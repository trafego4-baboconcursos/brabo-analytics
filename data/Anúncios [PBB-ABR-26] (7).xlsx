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úncios PBB-ABR-26" sheetId="1" r:id="rId5"/>
    <sheet state="visible" name="Anúncios FB PBB-ABR-26" sheetId="2" r:id="rId6"/>
    <sheet state="visible" name="Anúncios YT PBB-ABR-26" sheetId="3" r:id="rId7"/>
    <sheet state="visible" name="EXTRACAO-BM" sheetId="4" r:id="rId8"/>
    <sheet state="visible" name="EXTRACAO-GA" sheetId="5" r:id="rId9"/>
    <sheet state="hidden" name="Raw Data Report" sheetId="6" r:id="rId10"/>
  </sheets>
  <definedNames/>
  <calcPr/>
</workbook>
</file>

<file path=xl/sharedStrings.xml><?xml version="1.0" encoding="utf-8"?>
<sst xmlns="http://schemas.openxmlformats.org/spreadsheetml/2006/main" count="101839" uniqueCount="1112">
  <si>
    <t>CONTROLE DE DESEMPENHO DE CRIATIVOS - [PBB-ABR-26]</t>
  </si>
  <si>
    <t>Facebook Ads</t>
  </si>
  <si>
    <t>Google Ads</t>
  </si>
  <si>
    <t xml:space="preserve"> TOTAL</t>
  </si>
  <si>
    <t>TOTAL</t>
  </si>
  <si>
    <t>Anúncio</t>
  </si>
  <si>
    <t>Investimento</t>
  </si>
  <si>
    <t>Miniatura</t>
  </si>
  <si>
    <t>Leads</t>
  </si>
  <si>
    <t>CPL</t>
  </si>
  <si>
    <t>Vendas</t>
  </si>
  <si>
    <t>Custo / Venda</t>
  </si>
  <si>
    <t>ROAS</t>
  </si>
  <si>
    <t>Investimento FB</t>
  </si>
  <si>
    <t>Leads FB</t>
  </si>
  <si>
    <t>CPL FB</t>
  </si>
  <si>
    <t>Vendas FB</t>
  </si>
  <si>
    <t>Custo / Venda FB</t>
  </si>
  <si>
    <t>ROAS FB</t>
  </si>
  <si>
    <t>Investimento YT</t>
  </si>
  <si>
    <t>Leads YT</t>
  </si>
  <si>
    <t>CPL YT</t>
  </si>
  <si>
    <t>Vendas YT</t>
  </si>
  <si>
    <t>Custo / Venda YT</t>
  </si>
  <si>
    <t>ROAS YT</t>
  </si>
  <si>
    <t>AD054 - Banco do Brasil + IA - PBB-ABR-26</t>
  </si>
  <si>
    <t>AD110 - Banco do Brasil 2 - cx nova - PBB-ABR-26</t>
  </si>
  <si>
    <t>AD113 - Dois personagens ape do Felipe - PBB-ABR-26</t>
  </si>
  <si>
    <t>AD050 - Banco do Brasil 2 - cx nova - PBB-ABR-26</t>
  </si>
  <si>
    <t>AD109 - Fachada Banco do Brasil com cx PBB-ABR-26</t>
  </si>
  <si>
    <t/>
  </si>
  <si>
    <t>AD084 - Duas pessoas com caixa - PBB-ABR-26</t>
  </si>
  <si>
    <t>AD092 - Dois personagens casa do Thales - PBB-ABR-26</t>
  </si>
  <si>
    <t>AD037 - Banco do Brasil 2 - PBB-ABR-26</t>
  </si>
  <si>
    <t>AD058 - Casa do Thales - PBB-ABR-26</t>
  </si>
  <si>
    <t>AD059 - Fachada Banco do Brasil + cx nova PBB-ABR-26</t>
  </si>
  <si>
    <t>AD093 - Dois personagens casa do Thales - PBB-ABR-26</t>
  </si>
  <si>
    <t>AD100 - Tudo em 1 minuto + legenda - PBB-ABR-26</t>
  </si>
  <si>
    <t>AD071 - Casa do Felipe + cx - PBB-ABR-26</t>
  </si>
  <si>
    <t>AD112 - Dois personagens - Brabo+ legenda - PBB-ABR-26</t>
  </si>
  <si>
    <t>AD098 - Flip animado - PBB-ABR-26</t>
  </si>
  <si>
    <t>AD108 - Imagem apostilas - PBB-ABR-26</t>
  </si>
  <si>
    <t>AD097 - Carro + cx - PBB-ABR-26</t>
  </si>
  <si>
    <t>AD040 - Tela dividida - PBB-ABR-26</t>
  </si>
  <si>
    <t>AD115 - Banco do Brasil Reels - PBB-ABR-26</t>
  </si>
  <si>
    <t>AD090 - Dois personagens diva - PBB-ABR-26</t>
  </si>
  <si>
    <t>AD048 - Estúdio Brabo - PBB-ABR-26</t>
  </si>
  <si>
    <t>AD049 - Flip + Canetão PBB-ABR-26</t>
  </si>
  <si>
    <t>AD114 - Flip chart colorido Estúdio - PBB-ABR-26</t>
  </si>
  <si>
    <t>AD117 - Em frente ao Banco do Brasil - PBB-ABR-26</t>
  </si>
  <si>
    <t>AD031 - Pergunta e resposta - PBB-ABR-26</t>
  </si>
  <si>
    <t>AD091 - Dois personagens violão - PBB-ABR-26</t>
  </si>
  <si>
    <t>AD099 - Felipe sentado - PBB-ABR-26</t>
  </si>
  <si>
    <t>AD111 - Dois personagens - Brabo + legenda - PBB-ABR-26</t>
  </si>
  <si>
    <t>AD103 - Felipe TV - PBB-ABR-26</t>
  </si>
  <si>
    <t>AD102 - Dois personagens - Brabo - PBB-ABR-26</t>
  </si>
  <si>
    <t>AD116 - Banco do Brasil Reels - PBB-ABR-26</t>
  </si>
  <si>
    <t>AD095 - Felipe sentado - PBB-ABR-26</t>
  </si>
  <si>
    <t>Facebook Ads [PBB-ABR-26]</t>
  </si>
  <si>
    <t>Google Ads [PBB-ABR-26]</t>
  </si>
  <si>
    <t>Ad Name</t>
  </si>
  <si>
    <t>Campaign Name</t>
  </si>
  <si>
    <t>Amount Spent</t>
  </si>
  <si>
    <t>Cost per Lead</t>
  </si>
  <si>
    <t>Ad Set Name</t>
  </si>
  <si>
    <t>Ad ID</t>
  </si>
  <si>
    <t>Creative Post Link</t>
  </si>
  <si>
    <t>Creative Instagram Permalink</t>
  </si>
  <si>
    <t>Creative Thumbnail</t>
  </si>
  <si>
    <t>[MA][cadastro][captação][quente][principal][PBB-ABR-26][30.03.26]</t>
  </si>
  <si>
    <t>00 - Cadastrados Antigos</t>
  </si>
  <si>
    <t>120243988211350520</t>
  </si>
  <si>
    <t>https://www.facebook.com/418887747980692/posts/122214479714542386</t>
  </si>
  <si>
    <t>https://www.instagram.com/p/DWZTEQngNck/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</si>
  <si>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KP547DATcX1mm6BM8zbResvAQQACGaZeOmu3dtCPaphQOfypGACj7MFzBhhuDAxxn0pAC6Lh0&amp;stp=c0.5000x0.5000f_dst-emg0_p64x64_q75_tt6&amp;ur=b696e2&amp;_nc_sid=58080a&amp;oh=00_Af7GRJBGhZfSYjGSyLIEla2aiK2U_1Wb-1hCfrzD93OpGg&amp;oe=6A073222</t>
  </si>
  <si>
    <t>120244008325510520</t>
  </si>
  <si>
    <t>https://www.facebook.com/418887747980692/posts/122214479702542386</t>
  </si>
  <si>
    <t>https://www.instagram.com/p/DWZTEaFADsG/</t>
  </si>
  <si>
    <t>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G50FheyS1gTA2HEgeoqaF2I-_U6u_FBvp0j20PxqUpolAWsjJinWicqoQdLZ0ZmE2O_zxyJ-r6&amp;stp=c0.5000x0.5000f_dst-emg0_p64x64_q75_tt6&amp;ur=b696e2&amp;_nc_sid=58080a&amp;oh=00_Af6GUqM98WXhjbujQDlge1_gIGAjIp2JDWhmgoX_24KVxw&amp;oe=6A072BAC</t>
  </si>
  <si>
    <t>120244008672760520</t>
  </si>
  <si>
    <t>https://www.facebook.com/418887747980692/posts/122214479618542386</t>
  </si>
  <si>
    <t>https://www.instagram.com/p/DWZTEEkAESA/</t>
  </si>
  <si>
    <t>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F00DNXoRjpNbtJyCgBSSt4vZc2A299b8N012i-QUDZuPnqM91ozCL_a37QTC-EePYsHWBBSjTF&amp;stp=c0.5000x0.5000f_dst-emg0_p64x64_q75_tt6&amp;ur=b696e2&amp;_nc_sid=58080a&amp;oh=00_Af5oMbSR-vgiWFSDPek0H2ygHKZU9PnwS9cR-J1YmiPERQ&amp;oe=6A074314</t>
  </si>
  <si>
    <t>120244008702140520</t>
  </si>
  <si>
    <t>https://www.facebook.com/418887747980692/posts/122214479732542386</t>
  </si>
  <si>
    <t>https://www.instagram.com/p/DWZTEkgAHA2/</t>
  </si>
  <si>
    <t>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GxuQ8PXmCil8EAT0RfF2O8MeD2uw_Mxp35CbU8bJK1UYpAZ-cu04uhic4e9ygkhSC2bWhcVo9y&amp;stp=c0.5000x0.5000f_dst-emg0_p64x64_q75_tt6&amp;ur=b696e2&amp;_nc_sid=58080a&amp;oh=00_Af6q5h4ZRajxszSctSYWlklyxEPkQ2a5UYLIzIKULEfpkw&amp;oe=6A070D3D</t>
  </si>
  <si>
    <t>120244008722830520</t>
  </si>
  <si>
    <t>https://www.facebook.com/418887747980692/posts/122214479636542386</t>
  </si>
  <si>
    <t>https://www.instagram.com/p/DWZTEbXgEMB/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</si>
  <si>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GWV81HLcG08eSXKOL6gH7ximqIGDrg8bmTW4Rd2c56qTKDvdxpdFOpPADi4DH8uGFMpmEHcerK&amp;stp=c0.5000x0.5000f_dst-emg0_p64x64_q75_tt6&amp;ur=b696e2&amp;_nc_sid=58080a&amp;oh=00_Af6BPwKO6PsfrRNbWR5PDcWJfvpai_6EPVViW6jT2UhMsQ&amp;oe=6A071423</t>
  </si>
  <si>
    <t>120244008745810520</t>
  </si>
  <si>
    <t>https://www.facebook.com/418887747980692/posts/122214479822542386</t>
  </si>
  <si>
    <t>https://www.instagram.com/p/DWZTEq-AMPu/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</si>
  <si>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fC6uK_vx3QSEl5nacQov5-VUAKN_Rfgpz_WHvsTLnyLDxUCNexMtWci7v6AqQRqYiL9nFUDKW&amp;stp=c0.5000x0.5000f_dst-emg0_p64x64_q75_tt6&amp;ur=b696e2&amp;_nc_sid=58080a&amp;oh=00_Af54XMeMqt72wnKHJE37K1jk-3Zb8WpcTFwnv7qULLi56A&amp;oe=6A073222</t>
  </si>
  <si>
    <t>120244009119600520</t>
  </si>
  <si>
    <t>https://www.facebook.com/418887747980692/posts/122214479648542386</t>
  </si>
  <si>
    <t>https://www.instagram.com/p/DWZTEc_ABMS/</t>
  </si>
  <si>
    <t>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Egq_A_qxK4ku8pWq9dHpCTTinV2cBxjuDjnXz31kjZIW0XTESByp2vrDMcUUxMQUi6dVZj0BZX&amp;stp=c0.5000x0.5000f_dst-emg0_p64x64_q75_tt6&amp;ur=b696e2&amp;_nc_sid=58080a&amp;oh=00_Af717oKbXGdCpyZrEe5kejpEssZXq7-gXCg7iezwT6NYkg&amp;oe=6A07186A</t>
  </si>
  <si>
    <t>[MA][cadastro][captação][quente][potencial][PBB-ABR-26][30.03.26]</t>
  </si>
  <si>
    <t>120244068664000520</t>
  </si>
  <si>
    <t>https://www.facebook.com/418887747980692/posts/122214576476542386</t>
  </si>
  <si>
    <t>https://www.instagram.com/p/DWZTYL2gFWK/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</si>
  <si>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80Wvh6QISuT-KvwJMO8kR3Jdw1esDaejgzHQTNr6cLkxspVYjSQhQDzXHkUvObH65axbOQeUm&amp;stp=c0.5000x0.5000f_dst-emg0_p64x64_q75_tt6&amp;ur=b696e2&amp;_nc_sid=58080a&amp;oh=00_Af7lWVM3zo9LU_shzHmDsl1lhgSXUSFOB8GquYjDbVV1hQ&amp;oe=6A07199E</t>
  </si>
  <si>
    <t>120244069161470520</t>
  </si>
  <si>
    <t>https://www.facebook.com/418887747980692/posts/122214577814542386</t>
  </si>
  <si>
    <t>https://www.instagram.com/p/DWZTX4LAD2u/</t>
  </si>
  <si>
    <t>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FDvDxjZNi7bJjSXErkGmnotJE97Wg9i1Tr5QBlCWl9NIjI2h5mk_tOidVfwwVaC6CLOePFVmA8&amp;stp=c0.5000x0.5000f_dst-emg0_p64x64_q75_tt6&amp;ur=b696e2&amp;_nc_sid=58080a&amp;oh=00_Af5G_1nSXeOII4gG_PNUID3oqhNwlw0DRct4icecAahXRw&amp;oe=6A070B62</t>
  </si>
  <si>
    <t>120244069326730520</t>
  </si>
  <si>
    <t>https://www.facebook.com/418887747980692/posts/122214579746542386</t>
  </si>
  <si>
    <t>https://www.instagram.com/p/DWZTYbxAFFD/</t>
  </si>
  <si>
    <t>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FrRYuKa5ebbkQuRuLu-d_GuEFS1IKrMkQB1bXoJ5vjOGsYBmzs4y3IEIgWNoxOyWQ8Esx-6rbS&amp;stp=c0.5000x0.5000f_dst-emg0_p64x64_q75_tt6&amp;ur=b696e2&amp;_nc_sid=58080a&amp;oh=00_Af5pXW1RBeyCBN_UrlSXJAEWbEaOAGxyg0Xv2frp7q9ZcA&amp;oe=6A072CA5</t>
  </si>
  <si>
    <t>120244069410560520</t>
  </si>
  <si>
    <t>https://www.facebook.com/418887747980692/posts/122214581852542386</t>
  </si>
  <si>
    <t>https://www.instagram.com/p/DWZTYXOgBca/</t>
  </si>
  <si>
    <t>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lTPo95TmnTMW8Ud6jDRUBkIKI59EZYIVvq4OhNyyu8Zq1ri3vIqxc2W1bNVbUOP0nj4QtV3ly&amp;stp=c0.5000x0.5000f_dst-emg0_p64x64_q75_tt6&amp;ur=b696e2&amp;_nc_sid=58080a&amp;oh=00_Af5B4e6N6eiNHUv8ma4s-i6ZohVvMg37Euu7Y28NY_Q-4A&amp;oe=6A072D09</t>
  </si>
  <si>
    <t>120244069561480520</t>
  </si>
  <si>
    <t>https://www.facebook.com/418887747980692/posts/122214584036542386</t>
  </si>
  <si>
    <t>https://www.instagram.com/p/DWZTYaVAMgi/</t>
  </si>
  <si>
    <t>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G-F6wJRXWHPfeEIq_yng5rsMiYuCMErZjxbiCsjDOK6-yNB3lzlvm6Q2IuRSccwtFzERDUNIvu&amp;stp=c0.5000x0.5000f_dst-emg0_p64x64_q75_tt6&amp;ur=b696e2&amp;_nc_sid=58080a&amp;oh=00_Af6kX11xNReTkN9B-R0Jtfy_09QIWgBBSen9gROyDBQETw&amp;oe=6A0729E5</t>
  </si>
  <si>
    <t>120244069794730520</t>
  </si>
  <si>
    <t>https://www.facebook.com/418887747980692/posts/122214586136542386</t>
  </si>
  <si>
    <t>https://www.instagram.com/p/DWZTYAJAEIg/</t>
  </si>
  <si>
    <t>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HO3XPvH5dB-ThT9wPcUuVkqLwRDdEbp0aYQh5-I9S8cIwKDpyYYoDaGFWvUIsng244cmW_Efv_&amp;stp=c0.5000x0.5000f_dst-emg0_p64x64_q75_tt6&amp;ur=b696e2&amp;_nc_sid=58080a&amp;oh=00_Af4kv2Ooq_c0RDMyploddA99vpmmwMQ45fGOBSbmmAamfw&amp;oe=6A072CB3</t>
  </si>
  <si>
    <t>120244069905680520</t>
  </si>
  <si>
    <t>https://www.facebook.com/418887747980692/posts/122214588368542386</t>
  </si>
  <si>
    <t>https://www.instagram.com/p/DWZTYH4ANuK/</t>
  </si>
  <si>
    <t>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GE7sJ-gBNRFrEsOnWmP761fSHpzRrwyvRk6kOtEJn7gFmETqAPY0UL4I6IPySK3Ot7qvrpBmvk&amp;stp=c0.5000x0.5000f_dst-emg0_p64x64_q75_tt6&amp;ur=b696e2&amp;_nc_sid=58080a&amp;oh=00_Af5rlF0ATQJelyqtQI-mzrCXapAWspxfDhPE1k2rQa145A&amp;oe=6A072D6E</t>
  </si>
  <si>
    <t>120244069995020520</t>
  </si>
  <si>
    <t>https://www.facebook.com/418887747980692/posts/122214590924542386</t>
  </si>
  <si>
    <t>https://www.instagram.com/p/DWZTX58AEgK/</t>
  </si>
  <si>
    <t>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E3fX5fV5UVSGcmU8Og0O5Fq1a0gvQQSf4TBUfxHop9UQDBwwPjQYvkoIfpdv-fUHF5FJg9jsC9&amp;stp=c0.5000x0.5000f_dst-emg0_p64x64_q75_tt6&amp;ur=b696e2&amp;_nc_sid=58080a&amp;oh=00_Af4BaeD20zkhfmqkekABBDay2xA4r39uH-jLP65bo6FkUw&amp;oe=6A0712D4</t>
  </si>
  <si>
    <t>AD107 - Imagem apostilas - PBB-ABR-26</t>
  </si>
  <si>
    <t>120244070285940520</t>
  </si>
  <si>
    <t>https://www.facebook.com/418887747980692/posts/122214595862542386</t>
  </si>
  <si>
    <t>https://www.instagram.com/p/DWZTXsPgORt/</t>
  </si>
  <si>
    <t>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E3zcWbJJyOjLWMoTpSGlY9S5lJ3U8da1U3SpJhGATbMKn80SUdtI9PqdtdQieyrPTv0dDzGkbt&amp;stp=c0.5000x0.5000f_dst-emg0_p64x64_q75_tt6&amp;ur=52f3c4&amp;_nc_sid=58080a&amp;oh=00_Af4BW_JLxHLDprAP4LfoxtIuJO2knCpCL6wAMRp4yUocbQ&amp;oe=6A07362D</t>
  </si>
  <si>
    <t>120244071707840520</t>
  </si>
  <si>
    <t>https://www.facebook.com/418887747980692/posts/122214599870542386</t>
  </si>
  <si>
    <t>https://www.instagram.com/p/DWZTD62ADrR/</t>
  </si>
  <si>
    <t>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EZ4QXI9c3lLzHyiOh-K_h9P9oFzeI6MWjUxl2p4BzvLUirYdnvheX_iCjfoULM_m6GXi6xg2jd&amp;stp=c0.5000x0.5000f_dst-emg0_p64x64_q75_tt6&amp;ur=52f3c4&amp;_nc_sid=58080a&amp;oh=00_Af43fggfLIpn2YAXka8oGLxokwUVWoqu_NtqgvZpN5X7dQ&amp;oe=6A073D71</t>
  </si>
  <si>
    <t>[MA][cadastro][captação][quente][reels][PBB-ABR-26][30.03.26]</t>
  </si>
  <si>
    <t>120244072425100520</t>
  </si>
  <si>
    <t>https://www.facebook.com/418887747980692/posts/122215596530542386</t>
  </si>
  <si>
    <t>https://www.instagram.com/p/DWofuilgJuK/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</si>
  <si>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NYGQTifya7iUPR5TiAFHqutcgx5GcX8hOtJl1YvERXrgcgirogV6-fchGhCTahek98AhVJKmI&amp;stp=c0.5000x0.5000f_dst-emg0_p64x64_q75_tt6&amp;ur=5fad0e&amp;_nc_sid=58080a&amp;oh=00_Af53T-wh2HNsOh5MORF4s-Geb9R6CySxM6tVSrO2mirFHA&amp;oe=6A072B9E</t>
  </si>
  <si>
    <t>120244072853620520</t>
  </si>
  <si>
    <t>https://www.facebook.com/418887747980692/posts/122214605852542386</t>
  </si>
  <si>
    <t>https://www.instagram.com/p/DWY8z91gDAd/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</si>
  <si>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Ge9iGjTvMVUfyAD0-kdTG9ZJ51Mk9ekAjTikzWnfxiAJPfOxzmJXwzBKLvSJZyS3AgJrv-ddLJ&amp;stp=c0.5000x0.5000f_dst-emg0_p64x64_q75_tt6&amp;ur=5fad0e&amp;_nc_sid=58080a&amp;oh=00_Af7VXVyozR6pPEN57l4Mg0j_cpQhY1yTiu1NXWAnxzszng&amp;oe=6A07199E</t>
  </si>
  <si>
    <t>120244072934100520</t>
  </si>
  <si>
    <t>https://www.facebook.com/418887747980692/posts/122214609122542386</t>
  </si>
  <si>
    <t>https://www.instagram.com/p/DWY9T1aAIeM/</t>
  </si>
  <si>
    <t>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Fu9sgyq3bZLw6Rkj0dpvWhXWW71Bw_uU4_5qdr4MYjyn5fYlYGka2y-HAR2d36O54phbauMeBp&amp;stp=c0.5000x0.5000f_dst-emg0_p64x64_q75_tt6&amp;ur=5fad0e&amp;_nc_sid=58080a&amp;oh=00_Af6GCNVNTdVkP6NPRPh0ZAZO5hmYQ-u809-uM811YmtwZw&amp;oe=6A0738D6</t>
  </si>
  <si>
    <t>04 - Viu 25% da Captação - PBB-ABR-26</t>
  </si>
  <si>
    <t>120244080589020520</t>
  </si>
  <si>
    <t>https://www.instagram.com/p/DWmfVsgALR1/</t>
  </si>
  <si>
    <t>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E8_Ea_V-pBCMbjQRfiTUfCXP-DTbbMcBOx6xVUGQ2PYRcRs0yVXIJ9pmjsptVvF3ETqGbKSiVY&amp;stp=c0.5000x0.5000f_dst-emg0_p64x64_q75_tt6&amp;ur=b696e2&amp;_nc_sid=58080a&amp;oh=00_Af7wcEG704TQkTlwID44yIQ5Zry6JmqVCQ4OJMW3hMWuiw&amp;oe=6A072BAC</t>
  </si>
  <si>
    <t>120244080589030520</t>
  </si>
  <si>
    <t>https://www.instagram.com/p/DWmfWq9AIB_/</t>
  </si>
  <si>
    <t>120244080589040520</t>
  </si>
  <si>
    <t>https://www.instagram.com/p/DWmfVxKgOsh/</t>
  </si>
  <si>
    <t>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EyAPar-zZkdsI3SO9IwoD1LwXhpbhfkSVQsGcj3jzU6hNpuljGmOK42yAPUm_Ua_QseM1fVLah&amp;stp=c0.5000x0.5000f_dst-emg0_p64x64_q75_tt6&amp;ur=52f3c4&amp;_nc_sid=58080a&amp;oh=00_Af7jcyx9J08S2Ej_ZbQHjwYt2yQ9khEknjvdrdCru-A2gw&amp;oe=6A073D71</t>
  </si>
  <si>
    <t>120244080589050520</t>
  </si>
  <si>
    <t>https://www.instagram.com/p/DWmfVAngLG3/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</si>
  <si>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9k6Qh16ZuLkQG3TsZ1Z88F9zcUXt-jBZBTGoghFsMWHUL8gSySxi7qKLe3vWakL3yG_VLXYZb&amp;stp=c0.5000x0.5000f_dst-emg0_p64x64_q75_tt6&amp;ur=b696e2&amp;_nc_sid=58080a&amp;oh=00_Af5pB8aKWlfSCF2EiLYNIGwX-9bxQqxmHB3BdtyLC2qxwA&amp;oe=6A073222</t>
  </si>
  <si>
    <t>120244080589060520</t>
  </si>
  <si>
    <t>https://www.instagram.com/p/DWmfVVPAHxL/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</si>
  <si>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H7txmO0nKkMu128d1x_QkSn9l-eQFnDC-WinHZ-6uoPf6MyEdHP3jb7RVfTf4mjZGWUrAIyUtz&amp;stp=c0.5000x0.5000f_dst-emg0_p64x64_q75_tt6&amp;ur=b696e2&amp;_nc_sid=58080a&amp;oh=00_Af5HsbIoLJOM-zRqebavVuae_R95TdZem3JqaydjfUi_SQ&amp;oe=6A071423</t>
  </si>
  <si>
    <t>120244080589070520</t>
  </si>
  <si>
    <t>https://www.instagram.com/p/DWmfV26AHCk/</t>
  </si>
  <si>
    <t>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GG2jDH-HD7mCvbhQhf0HJE0eMXa1fzDpvTLFHbmiJf9nLL_qO1KXyCTS6P2tFVnADhySuVLxtW&amp;stp=c0.5000x0.5000f_dst-emg0_p64x64_q75_tt6&amp;ur=b696e2&amp;_nc_sid=58080a&amp;oh=00_Af512HcfWitX8J_2bnmgNrwAY6mIIMWHypzZVFVkvfyedA&amp;oe=6A070D3D</t>
  </si>
  <si>
    <t>120244080589080520</t>
  </si>
  <si>
    <t>https://www.instagram.com/p/DWmfVlEgE0O/</t>
  </si>
  <si>
    <t>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EMzfYUOfsEtVn3OwedlZbrUjeUNtUPLdbCHFWyjMaquA0nheFcOkThyLOQSem7j_kI24Sve4mv&amp;stp=c0.5000x0.5000f_dst-emg0_p64x64_q75_tt6&amp;ur=b696e2&amp;_nc_sid=58080a&amp;oh=00_Af6R6aWO3NIfjb9Q6D8BMfxe5eJCfugfb3X2vBZDkykl1Q&amp;oe=6A074314</t>
  </si>
  <si>
    <t>120244080589090520</t>
  </si>
  <si>
    <t>https://www.instagram.com/p/DWmfVbNANjQ/</t>
  </si>
  <si>
    <t>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H3_gfNknFi5rre_T4XUoZnzfqFTdzMihDGEnAeCOi2Ca-XBalmaBHtLSeeNRDCQ4-dnO-ZTPqL&amp;stp=c0.5000x0.5000f_dst-emg0_p64x64_q75_tt6&amp;ur=b696e2&amp;_nc_sid=58080a&amp;oh=00_Af7SYxd_FTukeYxmRUUj4xoC8g4woebbeHsfC3Gb-1mGLQ&amp;oe=6A07186A</t>
  </si>
  <si>
    <t>01 - Caiu na pag. de Captura [PBB-ABR-26]</t>
  </si>
  <si>
    <t>120244080589100520</t>
  </si>
  <si>
    <t>https://www.instagram.com/p/DWZTTKogAW-/</t>
  </si>
  <si>
    <t>120244080589110520</t>
  </si>
  <si>
    <t>https://www.instagram.com/p/DWZTSyZgD1l/</t>
  </si>
  <si>
    <t>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EcRPuNCDLA1a5dOjhZI4UKdPBbKVZKUZyqpSGy9eQnkaXUfXh5N-n3QDQLk_y-fo7F0aHCKw6Z&amp;stp=c0.5000x0.5000f_dst-emg0_p64x64_q75_tt6&amp;ur=b696e2&amp;_nc_sid=58080a&amp;oh=00_Af5WuYVujW7VAUepA7QgHUd4zs2tn4fu5GGhZY6poXFZow&amp;oe=6A070D3D</t>
  </si>
  <si>
    <t>120244080589120520</t>
  </si>
  <si>
    <t>https://www.instagram.com/p/DWZTS2WANnt/</t>
  </si>
  <si>
    <t>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glKzz8kyTTpK3ji_eZ6u6IO6TScA-luu8Zi-xSxEuwOvxztmrNMINSHkmWPWC4PakLs7LTcjz&amp;stp=c0.5000x0.5000f_dst-emg0_p64x64_q75_tt6&amp;ur=b696e2&amp;_nc_sid=58080a&amp;oh=00_Af7Wq_oZy5odJ-e8DNjJyKjMTiI-ylKugEhMPnObuFQQTg&amp;oe=6A072BAC</t>
  </si>
  <si>
    <t>120244080589130520</t>
  </si>
  <si>
    <t>https://www.instagram.com/p/DWZTS5mABqq/</t>
  </si>
  <si>
    <t>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GWtI7lUNbJoHUuUo32iswDaAa4QfqnfjphaqdVV9Jph-PmOX2cicYe_SiHDO798CXUO3PBX2II&amp;stp=c0.5000x0.5000f_dst-emg0_p64x64_q75_tt6&amp;ur=52f3c4&amp;_nc_sid=58080a&amp;oh=00_Af4z_tiBN5wqjlep31dvf4x_TEFo6WU7D8X2yTIzJwoSwg&amp;oe=6A073D71</t>
  </si>
  <si>
    <t>120244080589140520</t>
  </si>
  <si>
    <t>https://www.instagram.com/p/DWZTS33AFvK/</t>
  </si>
  <si>
    <t>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EoctBBN2ITCAaNsbmsvanEZUaQNYRMOig3-EzQ2Iuq1-F051ZM27pf4Sy9BM0edwClKwrrFoSa&amp;stp=c0.5000x0.5000f_dst-emg0_p64x64_q75_tt6&amp;ur=b696e2&amp;_nc_sid=58080a&amp;oh=00_Af5h7RnMbVKQyiVpU_1g6fzGNVVWkDPPELKD_p2e307qJg&amp;oe=6A074314</t>
  </si>
  <si>
    <t>120244080589150520</t>
  </si>
  <si>
    <t>https://www.instagram.com/p/DWZTSkOAMba/</t>
  </si>
  <si>
    <t>120244080589160520</t>
  </si>
  <si>
    <t>https://www.instagram.com/p/DWZTSsxAIhD/</t>
  </si>
  <si>
    <t>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EPCAcByGB8hwDM9Qo_HSr0m-_sEl0WhCGjlZrkejBsduP61NpsVG6sKTAgPEPq2AVnfGulnliO&amp;stp=c0.5000x0.5000f_dst-emg0_p64x64_q75_tt6&amp;ur=b696e2&amp;_nc_sid=58080a&amp;oh=00_Af58v1KZWk7rhnJrOrCIV-KpY5FtDjUdf0XcQ458u-LR7g&amp;oe=6A07186A</t>
  </si>
  <si>
    <t>120244080589170520</t>
  </si>
  <si>
    <t>https://www.instagram.com/p/DWZTSkiAK3P/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</si>
  <si>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FsB-YK3wN23YTIW8ZIoV1l3SyUoKmzbqEQeUS13bwYaNctc9HXfAvMiroYXsHXd2cppLpoR-di&amp;stp=c0.5000x0.5000f_dst-emg0_p64x64_q75_tt6&amp;ur=b696e2&amp;_nc_sid=58080a&amp;oh=00_Af5EVQCKEt4MZR2DDLH5rGPMov9dbEgoPAa__jP20jJhVw&amp;oe=6A073222</t>
  </si>
  <si>
    <t>05 - [Felipe Graton] Envolvimento 60D</t>
  </si>
  <si>
    <t>120244080589180520</t>
  </si>
  <si>
    <t>120244080589190520</t>
  </si>
  <si>
    <t>120244080589200520</t>
  </si>
  <si>
    <t>https://www.instagram.com/p/DWZTSk2AHQB/</t>
  </si>
  <si>
    <t>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HV9cdGa9-D7f-0dTb4gbJmse-Pc4j36nXa8B4fQzkTBv5La_TxYof78tgDa9CT6fXdiSMGsKMN&amp;stp=c0.5000x0.5000f_dst-emg0_p64x64_q75_tt6&amp;ur=b696e2&amp;_nc_sid=58080a&amp;oh=00_Af6kP3iZS88cpWWvOzDdTnSnSEc9N5VRtU6HVPSo6pWJMQ&amp;oe=6A070D3D</t>
  </si>
  <si>
    <t>120244080589210520</t>
  </si>
  <si>
    <t>https://www.instagram.com/p/DWZTSkzgD1q/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</si>
  <si>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I4h4sqJv1EXck6BpVSU3rrRRMY_G7A5lz_L72cHg--2Wh1xHcYZHI2_gmzjwfHJXcpW4NQOZE&amp;stp=c0.5000x0.5000f_dst-emg0_p64x64_q75_tt6&amp;ur=b696e2&amp;_nc_sid=58080a&amp;oh=00_Af4TC6RF-dbTW7qrwnVLSSrb1rXhr29fmvz4k8BAX8od1Q&amp;oe=6A073222</t>
  </si>
  <si>
    <t>120244080589220520</t>
  </si>
  <si>
    <t>https://www.instagram.com/p/DWZTTHeALJO/</t>
  </si>
  <si>
    <t>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H_B-qbzkXzok_8wVdp85KiOzt88XdTUOkJ7m4q7TsZ-Y3Gp0X3OQAAUlSMe3hCCe2CqZuQOi-4&amp;stp=c0.5000x0.5000f_dst-emg0_p64x64_q75_tt6&amp;ur=52f3c4&amp;_nc_sid=58080a&amp;oh=00_Af6jsP72Zx3Zp7ievGdo7pCgbzhA4NRSj9RqH3uX3okd3g&amp;oe=6A073D71</t>
  </si>
  <si>
    <t>120244080589230520</t>
  </si>
  <si>
    <t>https://www.instagram.com/p/DWZTSztAJr7/</t>
  </si>
  <si>
    <t>120244080589240520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</si>
  <si>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SeJCgTJ8wXOWGrg1FXeoFG-tZmTQIMegIUyb9rmNF9tdik6M-aYGOSGEcVBLe8cOPFoZ_BHqG&amp;stp=c0.5000x0.5000f_dst-emg0_p64x64_q75_tt6&amp;ur=b696e2&amp;_nc_sid=58080a&amp;oh=00_Af5OBYJCRp9JRUZG9MkZ0E7XQAQd8x--EWJNmp948ZrpSQ&amp;oe=6A071423</t>
  </si>
  <si>
    <t>120244080589250520</t>
  </si>
  <si>
    <t>03 - Viu 50% da Captação - PBB-ABR-26</t>
  </si>
  <si>
    <t>120244080589280520</t>
  </si>
  <si>
    <t>https://www.instagram.com/p/DWmfUsJAHIz/</t>
  </si>
  <si>
    <t>120244080589290520</t>
  </si>
  <si>
    <t>https://www.instagram.com/p/DWmfVWegBJr/</t>
  </si>
  <si>
    <t>120244080589300520</t>
  </si>
  <si>
    <t>https://www.instagram.com/p/DWmfT8FAF70/</t>
  </si>
  <si>
    <t>120244080589310520</t>
  </si>
  <si>
    <t>120244080589320520</t>
  </si>
  <si>
    <t>https://www.instagram.com/p/DWmfUbggPGQ/</t>
  </si>
  <si>
    <t>120244080589330520</t>
  </si>
  <si>
    <t>https://www.instagram.com/p/DWmfUpOAECH/</t>
  </si>
  <si>
    <t>120244080589340520</t>
  </si>
  <si>
    <t>https://www.instagram.com/p/DWmfTuyALgB/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</si>
  <si>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OXnMRg9RIqQXSkzMs2yf-6D40T9FUrWlAMldkEvexYOONIyb_yYT_TnNeEoTaKqGT__JA0zN9&amp;stp=c0.5000x0.5000f_dst-emg0_p64x64_q75_tt6&amp;ur=b696e2&amp;_nc_sid=58080a&amp;oh=00_Af5xU9ZA4HST7puidCoa5ObaXw6epOI17rzf6xXOjzjuyA&amp;oe=6A073222</t>
  </si>
  <si>
    <t>120244080589350520</t>
  </si>
  <si>
    <t>https://www.instagram.com/p/DWmfUlFAHcM/</t>
  </si>
  <si>
    <t>06 - [Felipe Graton] Envolvimento 180D</t>
  </si>
  <si>
    <t>120244080589370520</t>
  </si>
  <si>
    <t>120244080589380520</t>
  </si>
  <si>
    <t>https://www.instagram.com/p/DWZTTBCgI9r/</t>
  </si>
  <si>
    <t>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H6qLIwn-tmpsoYE7hK1zPIio6ztSGQJqSvFZ7r_Jk5eG-KOgVsWnIzeXtUGZUIv7m2ZxAu6rud&amp;stp=c0.5000x0.5000f_dst-emg0_p64x64_q75_tt6&amp;ur=b696e2&amp;_nc_sid=58080a&amp;oh=00_Af50v2D2cmWcm2tBqbFXpmdM6hE68WGtx6IPiDMIYqGRwQ&amp;oe=6A074314</t>
  </si>
  <si>
    <t>120244080589390520</t>
  </si>
  <si>
    <t>120244080589400520</t>
  </si>
  <si>
    <t>120244080589410520</t>
  </si>
  <si>
    <t>https://www.instagram.com/p/DWZTSmNADw1/</t>
  </si>
  <si>
    <t>120244080589420520</t>
  </si>
  <si>
    <t>120244080589430520</t>
  </si>
  <si>
    <t>120244080589440520</t>
  </si>
  <si>
    <t>02 - Visitou o Site da Brabo - 180D</t>
  </si>
  <si>
    <t>120244080589560520</t>
  </si>
  <si>
    <t>https://www.instagram.com/p/DWZTSlFgNNM/</t>
  </si>
  <si>
    <t>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GmyvOhx4kZF0MXaknpQB57ABYy0zmG4MKUALjI21ND4jUb3JjRcjS1auC0IRa_y-Xz41ZVqbyk&amp;stp=c0.5000x0.5000f_dst-emg0_p64x64_q75_tt6&amp;ur=b696e2&amp;_nc_sid=58080a&amp;oh=00_Af4tWmTi4m23l6HKczI1WdvMbuN22O31w-mC6nkssdeySg&amp;oe=6A07186A</t>
  </si>
  <si>
    <t>120244080589570520</t>
  </si>
  <si>
    <t>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Fqx87t1naEDPuQjaMzORW3WLxdSlznVFY36GNUzorRc6LwWsvttC1RxYnBZP7gS3bQzhnEBL6i&amp;stp=c0.5000x0.5000f_dst-emg0_p64x64_q75_tt6&amp;ur=b696e2&amp;_nc_sid=58080a&amp;oh=00_Af4XZpBh1137JWjhgBloaMAoF9t7kNM0SqlTRk5RzsA76g&amp;oe=6A072BAC</t>
  </si>
  <si>
    <t>120244080589580520</t>
  </si>
  <si>
    <t>120244080589590520</t>
  </si>
  <si>
    <t>https://www.instagram.com/p/DWZTTikAGL1/</t>
  </si>
  <si>
    <t>120244080589600520</t>
  </si>
  <si>
    <t>120244080589610520</t>
  </si>
  <si>
    <t>120244080589620520</t>
  </si>
  <si>
    <t>120244080589630520</t>
  </si>
  <si>
    <t>120244080799880520</t>
  </si>
  <si>
    <t>https://www.instagram.com/p/DWZTjMeAEIH/</t>
  </si>
  <si>
    <t>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H2J-e6cGImHBXAopemWKxhuyvZ544zmux4wcicAa1Wb7EwND6ra2x62H0kwxayZ8uydxZsHTR7&amp;stp=c0.5000x0.5000f_dst-emg0_p64x64_q75_tt6&amp;ur=52f3c4&amp;_nc_sid=58080a&amp;oh=00_Af6w2WX9yOklmUfVzIFmtfbVGVnV8z_B9NERRLeltR6nGw&amp;oe=6A07362D</t>
  </si>
  <si>
    <t>120244080799890520</t>
  </si>
  <si>
    <t>https://www.instagram.com/p/DWZTjHKAORA/</t>
  </si>
  <si>
    <t>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FBepwbghP0VrczglluSZFCcdHi1K0teEFSZBXjEc7gUm2Aye_Xi5aMbLD7geSIq3YOyk20SGHJ&amp;stp=c0.5000x0.5000f_dst-emg0_p64x64_q75_tt6&amp;ur=b696e2&amp;_nc_sid=58080a&amp;oh=00_Af7Mul7D0oxHyY8IZOc5vq3LY5WN770cDDv0wrYg67SLQA&amp;oe=6A0712D4</t>
  </si>
  <si>
    <t>120244080799900520</t>
  </si>
  <si>
    <t>https://www.instagram.com/p/DWZTjG4AKMq/</t>
  </si>
  <si>
    <t>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FrWhSr5PceHtNys53kup_Iw-dp7pmnNaTHxm2QAWiQWQyJlP2Ese51LgyP2dFQJX1DP2l6vXM-&amp;stp=c0.5000x0.5000f_dst-emg0_p64x64_q75_tt6&amp;ur=b696e2&amp;_nc_sid=58080a&amp;oh=00_Af4CvnXmVe5YOr60eUzENo7Xoe_Ygnd2VIcGnS-XEy5tTg&amp;oe=6A072D6E</t>
  </si>
  <si>
    <t>120244080799910520</t>
  </si>
  <si>
    <t>https://www.instagram.com/p/DWZTi6WAEOv/</t>
  </si>
  <si>
    <t>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EpMejtKO18_DFTNhKvVGeqXhtTAQJ4UXSgqvIPQxzBb06H_juib4AoIXCVeGwKepRrMOM1FHSw&amp;stp=c0.5000x0.5000f_dst-emg0_p64x64_q75_tt6&amp;ur=b696e2&amp;_nc_sid=58080a&amp;oh=00_Af51Idxgg0hdNNCFcbIhHWROFAZP0lzG6SBYFIZ0hUzUSg&amp;oe=6A0729E5</t>
  </si>
  <si>
    <t>120244080799920520</t>
  </si>
  <si>
    <t>https://www.instagram.com/p/DWZTivLgFwR/</t>
  </si>
  <si>
    <t>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HTqjH0Bnw7JHjAamHBRanXd923OAAEoAqjxFg5dDd5v6AmIvS9LN0myqn3OyZ11hxVwClrbHmA&amp;stp=c0.5000x0.5000f_dst-emg0_p64x64_q75_tt6&amp;ur=b696e2&amp;_nc_sid=58080a&amp;oh=00_Af47jkMoXMz7ka59ECvYzLb9QsggfKjYz7gx0PjdldezrQ&amp;oe=6A072CB3</t>
  </si>
  <si>
    <t>120244080799930520</t>
  </si>
  <si>
    <t>https://www.instagram.com/p/DWZTjRsADVg/</t>
  </si>
  <si>
    <t>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4UF38ubsmCT_khYrLTVIppGFHRT0dBTDFbJ3eAxhh_e0V4_YaFXAbP5Y_dsCt3rKLE7MT7TFP&amp;stp=c0.5000x0.5000f_dst-emg0_p64x64_q75_tt6&amp;ur=b696e2&amp;_nc_sid=58080a&amp;oh=00_Af4Ygf60RNwsve5pTOTSBx-rM2I1P45G8suHP8u5a8L2cA&amp;oe=6A072D09</t>
  </si>
  <si>
    <t>120244080799940520</t>
  </si>
  <si>
    <t>https://www.instagram.com/p/DWZTjAgAGOL/</t>
  </si>
  <si>
    <t>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lfuvvVW0OOy_MuVyckFVF0epU5JkE7SiRLTVImYtLPEKMll9fIDzicOGXIo_0-9KprGPec59c&amp;stp=c0.5000x0.5000f_dst-emg0_p64x64_q75_tt6&amp;ur=b696e2&amp;_nc_sid=58080a&amp;oh=00_Af7pq1hNv7xJuf6LKYPLsMN3Gld0Bx-mtUAXxDuF7I37vg&amp;oe=6A072CA5</t>
  </si>
  <si>
    <t>120244080799950520</t>
  </si>
  <si>
    <t>https://www.instagram.com/p/DWZTiw_ADPp/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</si>
  <si>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HJqsG94mDfc2UFJ7KvzvUp_Fn9uGiU-JoQI35RfLvwh2RB8ZbvxAVHYRw7_JFr0EqVH7-4Gzkj&amp;stp=c0.5000x0.5000f_dst-emg0_p64x64_q75_tt6&amp;ur=b696e2&amp;_nc_sid=58080a&amp;oh=00_Af6bKLetwkv4w20TXOFjDR36El7LSJvjf-aozJUOTirq5A&amp;oe=6A07199E</t>
  </si>
  <si>
    <t>03 - Viu 50% da Captação - PBB-FEV-26</t>
  </si>
  <si>
    <t>120244080799960520</t>
  </si>
  <si>
    <t>https://www.instagram.com/p/DWmf1U4gL76/</t>
  </si>
  <si>
    <t>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FbN_IqczOprNvlxtJ_tigWAI3YG23tTkhzwmFebVQG71rr3kbFm3_njsK6Qg4dT-F67qQLZF9c&amp;stp=c0.5000x0.5000f_dst-emg0_p64x64_q75_tt6&amp;ur=b696e2&amp;_nc_sid=58080a&amp;oh=00_Af4mYpuUlctnkbVWQwxa3d4gAElTGlJIbtsfvKza5sfjjA&amp;oe=6A072CB3</t>
  </si>
  <si>
    <t>120244080799970520</t>
  </si>
  <si>
    <t>https://www.instagram.com/p/DWmf1G1ALzY/</t>
  </si>
  <si>
    <t>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YGerjq_p6TD16aBD8bdeEW-6bdTb6biD7lA13nDpHCNBULTKPbh5-aUATKnXipt3roKmj5mgm&amp;stp=c0.5000x0.5000f_dst-emg0_p64x64_q75_tt6&amp;ur=b696e2&amp;_nc_sid=58080a&amp;oh=00_Af6mXgsD0MiQBQ2Q7P0ucoYkzBi_b6TvJh7ylTe7ad9mlQ&amp;oe=6A072D09</t>
  </si>
  <si>
    <t>120244080799980520</t>
  </si>
  <si>
    <t>https://www.instagram.com/p/DWmf2exAG0d/</t>
  </si>
  <si>
    <t>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EpQmz5Y5Lfzh3-wBuyvxBA_n6wAKFBo3FfHnr6QThQA7cTcPmp_SEQJo6OvTIgysR3htDIh1d8&amp;stp=c0.5000x0.5000f_dst-emg0_p64x64_q75_tt6&amp;ur=52f3c4&amp;_nc_sid=58080a&amp;oh=00_Af6yWrdVKjFgOO44CRSkxzj8SvFz-IyY5jVLHsKa8TmJ_g&amp;oe=6A07362D</t>
  </si>
  <si>
    <t>120244080799990520</t>
  </si>
  <si>
    <t>https://www.instagram.com/p/DWZTiwsgGbU/</t>
  </si>
  <si>
    <t>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HQPNRbxb-BTJpCWmhOo9VRSZ7bOZix0Px7JSO8qqgN55ZGYmQcg0yuoFRerM45x79BuorQ34hh&amp;stp=c0.5000x0.5000f_dst-emg0_p64x64_q75_tt6&amp;ur=b696e2&amp;_nc_sid=58080a&amp;oh=00_Af5rCcU0vMNiv2C81FJHeAfZJmC6_yj6nP3wXnYWBjTRPw&amp;oe=6A070B62</t>
  </si>
  <si>
    <t>120244080800000520</t>
  </si>
  <si>
    <t>https://www.instagram.com/p/DWmf04cgCOT/</t>
  </si>
  <si>
    <t>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GNL4cAH51efzJSFlleRRFT9b4IDqz1AQw34dhOVLDBs11Pu9T6ywqxm1EwOis6AFr__0TE9QiE&amp;stp=c0.5000x0.5000f_dst-emg0_p64x64_q75_tt6&amp;ur=b696e2&amp;_nc_sid=58080a&amp;oh=00_Af6H31v5HWelY2FcYGma4wUzrZuIh5dL-LsovGz8K3I9Dg&amp;oe=6A0729E5</t>
  </si>
  <si>
    <t>120244080800010520</t>
  </si>
  <si>
    <t>https://www.instagram.com/p/DWmf08tAPtX/</t>
  </si>
  <si>
    <t>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G1iepg64J9SPHD4XCqk3FQ4Qk-5HZ59vnN7jZOhI8Rn6ZtXkyfIVsv8i0XlrDRMfMWFiD5Js4v&amp;stp=c0.5000x0.5000f_dst-emg0_p64x64_q75_tt6&amp;ur=b696e2&amp;_nc_sid=58080a&amp;oh=00_Af77g8S40POyGfqxbYjqTiuFhFsZQzJjZVmIzw5qm4wPJA&amp;oe=6A0712D4</t>
  </si>
  <si>
    <t>120244080800020520</t>
  </si>
  <si>
    <t>https://www.instagram.com/p/DWmf0hMAA2n/</t>
  </si>
  <si>
    <t>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Gjp2QxcL8EWvtIXbHNxK8jRCcete1qNl0wHT7QuRH8R8qSJljxiNSLKBRbxIucQQisR-zYkdKN&amp;stp=c0.5000x0.5000f_dst-emg0_p64x64_q75_tt6&amp;ur=b696e2&amp;_nc_sid=58080a&amp;oh=00_Af7Ss-tCXw-KpqHywYiiM-jAEVS0ADnattYrOd40aUtFqQ&amp;oe=6A072D6E</t>
  </si>
  <si>
    <t>120244080800030520</t>
  </si>
  <si>
    <t>https://www.instagram.com/p/DWmf1QigKLv/</t>
  </si>
  <si>
    <t>120244080800040520</t>
  </si>
  <si>
    <t>https://www.instagram.com/p/DWmf1UzgG-D/</t>
  </si>
  <si>
    <t>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GZrrrkXiVq-DvjNKax1Up-98-WYEJP5SlCD56lNnCHMP2aYUoAXsBjHASCVD4C0K45tCZu0EIY&amp;stp=c0.5000x0.5000f_dst-emg0_p64x64_q75_tt6&amp;ur=b696e2&amp;_nc_sid=58080a&amp;oh=00_Af6S9-AejdK2Lf-7PqQJfr9rG5_TJf9NDxOtesRyVQsvtw&amp;oe=6A070B62</t>
  </si>
  <si>
    <t>120244080800050520</t>
  </si>
  <si>
    <t>120244080800060520</t>
  </si>
  <si>
    <t>https://www.instagram.com/p/DWZTizvAJb2/</t>
  </si>
  <si>
    <t>120244080800070520</t>
  </si>
  <si>
    <t>https://www.instagram.com/p/DWmf1z2gCgR/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</si>
  <si>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HQ6osrmQexTU8rd4jJDZnW8xA_NPjHJsN2bbctV6zYfV_3twDk-XF5JV5zldiL7-VbwKtGtw3i&amp;stp=c0.5000x0.5000f_dst-emg0_p64x64_q75_tt6&amp;ur=b696e2&amp;_nc_sid=58080a&amp;oh=00_Af6dc3G11CtUL7vh7sIrqIPEVhf6wlQQbbGFa-NAvamP1A&amp;oe=6A07199E</t>
  </si>
  <si>
    <t>120244080800080520</t>
  </si>
  <si>
    <t>https://www.instagram.com/p/DWZTjOwgLPO/</t>
  </si>
  <si>
    <t>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HUi-1MXBsk3AS9ZZbm7eUsTd38IWUGUnAGlr8OlBM3HNYy1vrjeJak0QuqwPmUvxwwkLkUAv3L&amp;stp=c0.5000x0.5000f_dst-emg0_p64x64_q75_tt6&amp;ur=b696e2&amp;_nc_sid=58080a&amp;oh=00_Af638K0EHUk12v66WYOAG14BinHRCaMip5sovsxT5ld07Q&amp;oe=6A072CB3</t>
  </si>
  <si>
    <t>120244080800090520</t>
  </si>
  <si>
    <t>https://www.instagram.com/p/DWZTi6ZAEXv/</t>
  </si>
  <si>
    <t>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Ekx1wgxlaAcSd6psOGLShJ6oOb25A-77qASypX3GsuTcT3vkj3xONqZQ7BLGqeDZmTYcbPOl2L&amp;stp=c0.5000x0.5000f_dst-emg0_p64x64_q75_tt6&amp;ur=b696e2&amp;_nc_sid=58080a&amp;oh=00_Af4zoX40S_YAj5hZPbqcFj43OkaxhC95Rq92GSG_u_fPdw&amp;oe=6A072D6E</t>
  </si>
  <si>
    <t>120244080800100520</t>
  </si>
  <si>
    <t>https://www.instagram.com/p/DWZTi3hAPYf/</t>
  </si>
  <si>
    <t>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EbEmhIPSQgKr5cuZ1uAIT1iBwYIo2vhxhPUlpdea3q5QLydpUYqCBZzz-5k2l7MXYj9EynRt6b&amp;stp=c0.5000x0.5000f_dst-emg0_p64x64_q75_tt6&amp;ur=b696e2&amp;_nc_sid=58080a&amp;oh=00_Af7iW0KqbUYwj_z2agX6a8kC1YeFnVDuWj9cGL-SMTquCA&amp;oe=6A0729E5</t>
  </si>
  <si>
    <t>120244080800110520</t>
  </si>
  <si>
    <t>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zY6YXMAk6Bz3zSlre8Y_J8jeEacELugpAncfuqxtvX4TpW2iVY3PelU044_VD8SjEUH-OwjOg&amp;stp=c0.5000x0.5000f_dst-emg0_p64x64_q75_tt6&amp;ur=b696e2&amp;_nc_sid=58080a&amp;oh=00_Af6ZfVteZxaA0xc_1eu-e0I5zePpy5oHgfm8sAmTDCLOQw&amp;oe=6A072CA5</t>
  </si>
  <si>
    <t>120244080800120520</t>
  </si>
  <si>
    <t>https://www.instagram.com/p/DWZTi1AALYX/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</si>
  <si>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ZHWor874Ql8bTlvvqqHpZn8zVAHu6fhcRVglZ6YuW1Wk7SwIWyfs4BaGC4AvscALBmZGtEOsb&amp;stp=c0.5000x0.5000f_dst-emg0_p64x64_q75_tt6&amp;ur=b696e2&amp;_nc_sid=58080a&amp;oh=00_Af7zBDtP1mGP9a2Vk_X5uDo1i4dLYjvruUOt4BB1HU1JTg&amp;oe=6A07199E</t>
  </si>
  <si>
    <t>120244080800130520</t>
  </si>
  <si>
    <t>https://www.instagram.com/p/DWZTi2agJG2/</t>
  </si>
  <si>
    <t>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ksm5yKgFKay7MzmzD0ATS0xF1flpkPJcz5Q6DeQnT56NTRS5ipQXFOJeo8CrnoCFWqfaMpamO&amp;stp=c0.5000x0.5000f_dst-emg0_p64x64_q75_tt6&amp;ur=b696e2&amp;_nc_sid=58080a&amp;oh=00_Af4NMQUS_fGc9X80CK87RyFNj2nqDTJ9UayttGUBUVxDZg&amp;oe=6A072D09</t>
  </si>
  <si>
    <t>120244080800140520</t>
  </si>
  <si>
    <t>https://www.instagram.com/p/DWZTiotABkB/</t>
  </si>
  <si>
    <t>120244080800170520</t>
  </si>
  <si>
    <t>120244080800180520</t>
  </si>
  <si>
    <t>120244080800190520</t>
  </si>
  <si>
    <t>120244080800200520</t>
  </si>
  <si>
    <t>https://www.instagram.com/p/DWmf1ZqgE9B/</t>
  </si>
  <si>
    <t>120244080800210520</t>
  </si>
  <si>
    <t>https://www.instagram.com/p/DWmf0-bACl9/</t>
  </si>
  <si>
    <t>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F-jdZsSRiex7lrtQUOAZLh_DLYSwXfWomObzHnjfFF7FHK_bfULXex4pLCStOW6dftL7gGnSiU&amp;stp=c0.5000x0.5000f_dst-emg0_p64x64_q75_tt6&amp;ur=b696e2&amp;_nc_sid=58080a&amp;oh=00_Af5_bHLHNSF1vBEKZ_UEFiSTBmp1a_oJ_GNnvl9uwKcl-w&amp;oe=6A0729E5</t>
  </si>
  <si>
    <t>120244080800220520</t>
  </si>
  <si>
    <t>120244080800230520</t>
  </si>
  <si>
    <t>120244080800240520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</si>
  <si>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WNJwBGOd6eKXzhLyooM6FeNrJyNvkVcOnSx9xg4Cc4w0L3cGBsNKvTo2vwXJ9vqMfcrgKyqL_&amp;stp=c0.5000x0.5000f_dst-emg0_p64x64_q75_tt6&amp;ur=b696e2&amp;_nc_sid=58080a&amp;oh=00_Af5Z99JgbnlsuI45eKG-qqH0BD2tzD4I3gDt6f-6oc5esQ&amp;oe=6A07199E</t>
  </si>
  <si>
    <t>120244080800250520</t>
  </si>
  <si>
    <t>120244080800260520</t>
  </si>
  <si>
    <t>120244080800270520</t>
  </si>
  <si>
    <t>120244080800280520</t>
  </si>
  <si>
    <t>https://www.instagram.com/p/DWmf3sIgKqK/</t>
  </si>
  <si>
    <t>120244080800290520</t>
  </si>
  <si>
    <t>120244080800300520</t>
  </si>
  <si>
    <t>https://www.instagram.com/p/DWZTjD5gCDE/</t>
  </si>
  <si>
    <t>120244080800310520</t>
  </si>
  <si>
    <t>120244080800320520</t>
  </si>
  <si>
    <t>https://www.instagram.com/p/DWZTiyNgOJD/</t>
  </si>
  <si>
    <t>120244080800330520</t>
  </si>
  <si>
    <t>120244080800340520</t>
  </si>
  <si>
    <t>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EaZbTa9_NcYTg2bwJI8Uz-XN8j1WrVrNcEXL37rXZK-bn6F4unMv6zIXFgJjrlLJR3uFAxaUfJ&amp;stp=c0.5000x0.5000f_dst-emg0_p64x64_q75_tt6&amp;ur=b696e2&amp;_nc_sid=58080a&amp;oh=00_Af5oIAav3rGS5gXmGRn5wsiLc0X-Vh6wHS2_dVjGr3iMFQ&amp;oe=6A0712D4</t>
  </si>
  <si>
    <t>120244080801000520</t>
  </si>
  <si>
    <t>120244080801010520</t>
  </si>
  <si>
    <t>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G2Gx_q_5qEEqvHFejEHPWLwKG6-RJiS1CE05My2c9ymYEiw9_qkequu8UlcjGBChaa4l1Y-zu8&amp;stp=c0.5000x0.5000f_dst-emg0_p64x64_q75_tt6&amp;ur=52f3c4&amp;_nc_sid=58080a&amp;oh=00_Af5LJsbcVmEAZI8K0yWD-FD3bQ_kSd_Ok7aHtIphZDf6eg&amp;oe=6A07362D</t>
  </si>
  <si>
    <t>120244080801020520</t>
  </si>
  <si>
    <t>120244080801030520</t>
  </si>
  <si>
    <t>https://www.instagram.com/p/DWZTjHrgPK1/</t>
  </si>
  <si>
    <t>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Fee1EwZ3evlqF0b1px4G0Dpau9TCvSxqQiotx2e6pRcdxfXsaJA9DFEnBVUltUz79d9OsSw_mn&amp;stp=c0.5000x0.5000f_dst-emg0_p64x64_q75_tt6&amp;ur=b696e2&amp;_nc_sid=58080a&amp;oh=00_Af4CKUcYpq22nPqwi7I6zNO50oa7-RHpF4euioP7ecKgVw&amp;oe=6A072D6E</t>
  </si>
  <si>
    <t>120244080801040520</t>
  </si>
  <si>
    <t>https://www.instagram.com/p/DWZTix_AIRY/</t>
  </si>
  <si>
    <t>120244080801050520</t>
  </si>
  <si>
    <t>120244080801060520</t>
  </si>
  <si>
    <t>https://www.instagram.com/p/DWZTjB5AEKk/</t>
  </si>
  <si>
    <t>120244080801070520</t>
  </si>
  <si>
    <t>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EPcQZJlZueIqa8LOb34RyPIVAAVx9pKT3YADpB-o9_WnIhkfckS_MmL6gY1AqbYm3qawMjivGa&amp;stp=c0.5000x0.5000f_dst-emg0_p64x64_q75_tt6&amp;ur=b696e2&amp;_nc_sid=58080a&amp;oh=00_Af4wp6ePp7GS0la1MeE3ZFl8DOn0sT8GcMCLjzXD39ScvA&amp;oe=6A070B62</t>
  </si>
  <si>
    <t>120244080801080520</t>
  </si>
  <si>
    <t>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gnpxFhrw3ACfPCornHLeW-90b01UXr39sgw7yVDeldH32yP9cdgpDUajfeolPhTD7r4VYs6iC&amp;stp=c0.5000x0.5000f_dst-emg0_p64x64_q75_tt6&amp;ur=b696e2&amp;_nc_sid=58080a&amp;oh=00_Af5M1xhQI62f8_sRboDeCkQfW7_qtppw3oPYCKvNOPgjPw&amp;oe=6A072D09</t>
  </si>
  <si>
    <t>120244081065790520</t>
  </si>
  <si>
    <t>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Fwqt5QCY4nLaytYqxav6aOGzOUUkn5LL3VfFGCagDXZ4EoO26NtjHxkNJu6CtQTZEnVCxLSg85&amp;stp=c0.5000x0.5000f_dst-emg0_p64x64_q75_tt6&amp;ur=5fad0e&amp;_nc_sid=58080a&amp;oh=00_Af5ruQI9qVK49aMoNEAJXqS_zD6lrs094Su9byUYxNIKUQ&amp;oe=6A0738D6</t>
  </si>
  <si>
    <t>120244081065800520</t>
  </si>
  <si>
    <t>https://www.facebook.com/418887747980692/posts/122215596470542386</t>
  </si>
  <si>
    <t>https://www.instagram.com/p/DWofuWmgEe5/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</si>
  <si>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FlBG1EH_w5IvY8uj3PplzXiiOoBsyFgHYUEblwXOm5hDL4pD-GoyBXMrdBnEsA4BiJomGyYYIP&amp;stp=c0.5000x0.5000f_dst-emg0_p64x64_q75_tt6&amp;ur=5fad0e&amp;_nc_sid=58080a&amp;oh=00_Af7-MRtMLpXdqgv2x3TYUwIANsjmjw5YJ5CBryB_9QIpsw&amp;oe=6A072B9E</t>
  </si>
  <si>
    <t>120244081065810520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</si>
  <si>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0_2RpNhSrpC9fCA0TX_EYAGaXpvNcYXjBM8HrAyQbk9tAGEq59J6U-ch9Cv_uwQqoolgrQWAV&amp;stp=c0.5000x0.5000f_dst-emg0_p64x64_q75_tt6&amp;ur=5fad0e&amp;_nc_sid=58080a&amp;oh=00_Af6d15fYw4aRKG8X9-xtJMFbgZRBDHizX3CsMBUdNEdpeQ&amp;oe=6A07199E</t>
  </si>
  <si>
    <t>120244081065820520</t>
  </si>
  <si>
    <t>120244081065830520</t>
  </si>
  <si>
    <t>120244081065840520</t>
  </si>
  <si>
    <t>https://www.facebook.com/418887747980692/posts/122215596494542386</t>
  </si>
  <si>
    <t>https://www.instagram.com/p/DWofuaWgCm9/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</si>
  <si>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lwOjeQ9xxhxUjYus9mlNrG3pmWg5gzhzOYWTesB1GR84_DKMKdH_yNvDTzjWgUMa2RIdO_20X&amp;stp=c0.5000x0.5000f_dst-emg0_p64x64_q75_tt6&amp;ur=5fad0e&amp;_nc_sid=58080a&amp;oh=00_Af5Ol_9BtVoC-sSrZ095bfvibNSiU5DpNdhW2FpyKYgXWg&amp;oe=6A072B9E</t>
  </si>
  <si>
    <t>04 - Viu 25% da Captação - PBB-FEV-26</t>
  </si>
  <si>
    <t>120244081065850520</t>
  </si>
  <si>
    <t>120244081065860520</t>
  </si>
  <si>
    <t>https://www.facebook.com/418887747980692/posts/122215596554542386</t>
  </si>
  <si>
    <t>https://www.instagram.com/p/DWofulRAE7s/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</si>
  <si>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_ghGlVdsQ0C9xe07th2-52WAxzoI7NONNjrcscotJzRM5vPeadzR6nzeBdhnQ0Dk3jkN5l3mK&amp;stp=c0.5000x0.5000f_dst-emg0_p64x64_q75_tt6&amp;ur=5fad0e&amp;_nc_sid=58080a&amp;oh=00_Af4dX3p3sR4BbsnKuYlTwnup_zxnZz9TxuQatK4gRrJmnA&amp;oe=6A072B9E</t>
  </si>
  <si>
    <t>120244081065870520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</si>
  <si>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GxhfBg2JSDdT4HgWTA94TVzpPaHq3j9PIgjobyTLcEXtj5WsXCkBKygmygR3oMOdXOXEn9LYNj&amp;stp=c0.5000x0.5000f_dst-emg0_p64x64_q75_tt6&amp;ur=5fad0e&amp;_nc_sid=58080a&amp;oh=00_Af5-to0-JRpKwkBl5_RJo4a3EDPA3SRZPm6aRMkW3V9P6Q&amp;oe=6A07199E</t>
  </si>
  <si>
    <t>120244081065880520</t>
  </si>
  <si>
    <t>120244081065890520</t>
  </si>
  <si>
    <t>https://www.facebook.com/418887747980692/posts/122215596458542386</t>
  </si>
  <si>
    <t>https://www.instagram.com/p/DWofuYGgMME/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</si>
  <si>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8r4C6rt5IUm111ZViwT2jdIl-pdKXDxJlVGTJlpPjMzWVMkEc2rbQl_upeTZ8avchWLpbVFlG&amp;stp=c0.5000x0.5000f_dst-emg0_p64x64_q75_tt6&amp;ur=5fad0e&amp;_nc_sid=58080a&amp;oh=00_Af4Ru4Jcm-bKeck0sXn0b1nXBDYgwzmmHkZKtuPI-YKQIA&amp;oe=6A072B9E</t>
  </si>
  <si>
    <t>120244081065900520</t>
  </si>
  <si>
    <t>120244081065910520</t>
  </si>
  <si>
    <t>120244081065920520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</si>
  <si>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GHLhJbXP0RomWOMRnXRythwxBFjIxjORh1KhPBZHuZSsE2CUWW5YdNny0OM7DSW8TLQg1eqsBY&amp;stp=c0.5000x0.5000f_dst-emg0_p64x64_q75_tt6&amp;ur=5fad0e&amp;_nc_sid=58080a&amp;oh=00_Af4U26EUgCtrx6kh7HrUCr_Po8WjhcgIGOQNT945otYiLg&amp;oe=6A07199E</t>
  </si>
  <si>
    <t>120244081065930520</t>
  </si>
  <si>
    <t>https://www.facebook.com/418887747980692/posts/122215596452542386</t>
  </si>
  <si>
    <t>https://www.instagram.com/p/DWofufEgJoJ/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</si>
  <si>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GkLaIO9Yiut_XxW-zLSN6eKym4JDJCTrS3XQFar10bhrC_O2zgPRTJWwxCacu86NWOgWrkU2pY&amp;stp=c0.5000x0.5000f_dst-emg0_p64x64_q75_tt6&amp;ur=5fad0e&amp;_nc_sid=58080a&amp;oh=00_Af5bTYDo-shul8HULmCgD2IohJqUnslVerG2CP56Q79ftQ&amp;oe=6A072B9E</t>
  </si>
  <si>
    <t>120244081065950520</t>
  </si>
  <si>
    <t>120244081065960520</t>
  </si>
  <si>
    <t>120244081065970520</t>
  </si>
  <si>
    <t>https://www.facebook.com/418887747980692/posts/122215596446542386</t>
  </si>
  <si>
    <t>https://www.instagram.com/p/DWofuYVAKjT/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</si>
  <si>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GZSj16hzJHIC8StfYzsFQLnpOpvZwLudqDWf5o3WmXeLYirv1voeocNkrOR3-0WdU_ROLI443A&amp;stp=c0.5000x0.5000f_dst-emg0_p64x64_q75_tt6&amp;ur=5fad0e&amp;_nc_sid=58080a&amp;oh=00_Af5x92rqZrPuVo-th_6xHmrJNFN0RVliNOSgNUrLEcvi2w&amp;oe=6A072B9E</t>
  </si>
  <si>
    <t>[MA][cadastro][captação][frio][principal][PBB-ABR-26][30.03.26]</t>
  </si>
  <si>
    <t>07 - Semelhante (BR, 1%) - Alunos BB</t>
  </si>
  <si>
    <t>120244081859880520</t>
  </si>
  <si>
    <t>https://www.facebook.com/418887747980692/posts/122214656132542386</t>
  </si>
  <si>
    <t>https://www.instagram.com/p/DWZVl58gAPq/</t>
  </si>
  <si>
    <t>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G0U3d9omSBQSq4t-De_8bgM94XGIubHP0MsYxSTEwTjJCLJIWiLkxIwXzzZRZuGA935njmJZGK&amp;stp=c0.5000x0.5000f_dst-emg0_p64x64_q75_tt6&amp;ur=b696e2&amp;_nc_sid=58080a&amp;oh=00_Af5Nd2WGjdski94SFNioLjixQ7G5F3GIx3QCuPrj89LEng&amp;oe=6A074314</t>
  </si>
  <si>
    <t>120244081859890520</t>
  </si>
  <si>
    <t>https://www.facebook.com/418887747980692/posts/122214656552542386</t>
  </si>
  <si>
    <t>https://www.instagram.com/p/DWZVmMUgGZ-/</t>
  </si>
  <si>
    <t>https://scontent.xx.fbcdn.net/v/t15.5256-10/660162830_1272549361485432_6301910598263306174_n.jpg?_nc_cat=102&amp;ccb=1-7&amp;_nc_ohc=3fzUbck5__cQ7kNvwG0foBX&amp;_nc_oc=Ado2q_l8yZr-w4607aBF1oU-7dStOUEf2UevRx8lKrf5cxRNnemdA7DzDOgRQRICwwU&amp;_nc_zt=23&amp;_nc_ht=scontent.xx&amp;edm=AAwGEdEEAAAA&amp;_nc_gid=iEndcDk33bF5gt7MdoYrfg&amp;_nc_tpa=Q5bMBQFr4tW_mhPEx8N9KkvCXxlWWgdI6EflD66sfj3DMuJU5G6pScOOurTbhWI3Ha4LXyN9ALGADSDC&amp;stp=c0.5000x0.5000f_dst-emg0_p64x64_q75_tt6&amp;ur=b696e2&amp;_nc_sid=58080a&amp;oh=00_Af4RZXRwDmnnUPtGLizT4aj2mgUHVC9HOUnDPX6-BrJ7kg&amp;oe=6A072BF4</t>
  </si>
  <si>
    <t>120244081859910520</t>
  </si>
  <si>
    <t>https://www.facebook.com/418887747980692/posts/122214656606542386</t>
  </si>
  <si>
    <t>https://www.instagram.com/p/DWZVmKWANfh/</t>
  </si>
  <si>
    <t>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FyRqDSgIJALUaFza5arS41GPGHs7n3J5qMGg_Sq-nh0fER8Ri5YON8OjKwftFqQEAmhVLnrzTS&amp;stp=c0.5000x0.5000f_dst-emg0_p64x64_q75_tt6&amp;ur=b696e2&amp;_nc_sid=58080a&amp;oh=00_Af5XBN0rcW_JvZkm4RE4dmjYsqAYwMYatN4t8LGdODE5Sg&amp;oe=6A070D3D</t>
  </si>
  <si>
    <t>120244081859930520</t>
  </si>
  <si>
    <t>https://www.facebook.com/418887747980692/posts/122214656414542386</t>
  </si>
  <si>
    <t>https://www.instagram.com/p/DWZVmK-AMij/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</si>
  <si>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GPbQk1zSgb92aNpmojqdp3wv7md8ae7u_hcVpiyCseYQziUgO5aOw2R22k5yOlJpc67_tnt5-X&amp;stp=c0.5000x0.5000f_dst-emg0_p64x64_q75_tt6&amp;ur=b696e2&amp;_nc_sid=58080a&amp;oh=00_Af6v-UTJ2_jRB4WbrcXlpndCFyezVjXuWJA1d8lxQGud5g&amp;oe=6A071423</t>
  </si>
  <si>
    <t>120244081859950520</t>
  </si>
  <si>
    <t>https://www.facebook.com/418887747980692/posts/122214655358542386</t>
  </si>
  <si>
    <t>https://www.instagram.com/p/DWZVmTwAO1E/</t>
  </si>
  <si>
    <t>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EAPIJ8oQowHgIGJgHiQKyjaHe9PsA30_8aVWj_gneE7VHSkuWXdJC3qAGdKmge8xr6k-1p6416&amp;stp=c0.5000x0.5000f_dst-emg0_p64x64_q75_tt6&amp;ur=52f3c4&amp;_nc_sid=58080a&amp;oh=00_Af7SbebbonnukHzniH9IZDxVsErkPuniKzeOPDrPP5VEkQ&amp;oe=6A073D71</t>
  </si>
  <si>
    <t>07 - Bancário</t>
  </si>
  <si>
    <t>120244081933730520</t>
  </si>
  <si>
    <t>https://www.facebook.com/418887747980692/posts/122214656876542386</t>
  </si>
  <si>
    <t>https://www.instagram.com/p/DWZVnb-gJ1c/</t>
  </si>
  <si>
    <t>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HJ7lZC7WmQNxubOkCXxf_Kk01KDAe2yfr9dRtOxtui0lXWNLRLMQQ7TwwFAOFlTyo7sHjupMZu&amp;stp=c0.5000x0.5000f_dst-emg0_p64x64_q75_tt6&amp;ur=b696e2&amp;_nc_sid=58080a&amp;oh=00_Af4iweoZzUpIZcycZMUuV3BisGq2cPEtYqoXjt2qK79PLg&amp;oe=6A070D3D</t>
  </si>
  <si>
    <t>120244081933740520</t>
  </si>
  <si>
    <t>https://www.facebook.com/418887747980692/posts/122214656786542386</t>
  </si>
  <si>
    <t>https://www.instagram.com/p/DWZVmXjAEZJ/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</si>
  <si>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9jfOOSC02b8XxaAbfueOpbWVcilyyTZpdKOXIMZym3OIIjTo_DIlyJE3vCbht3qhdjShaTbAb&amp;stp=c0.5000x0.5000f_dst-emg0_p64x64_q75_tt6&amp;ur=b696e2&amp;_nc_sid=58080a&amp;oh=00_Af5t4Le7YFevVHho8AYXNC6tGZwcuVb8ODX9j4gPMqnhfw&amp;oe=6A073222</t>
  </si>
  <si>
    <t>120244081933750520</t>
  </si>
  <si>
    <t>https://www.facebook.com/418887747980692/posts/122214656528542386</t>
  </si>
  <si>
    <t>https://www.instagram.com/p/DWZVlmyAPWX/</t>
  </si>
  <si>
    <t>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H6QLh187rW7oOCJST-qZnrb3ey28XyqtPb5NEexKLNZzYUWhaqAnbeEVv7b4BIKrKawMTNNAfj&amp;stp=c0.5000x0.5000f_dst-emg0_p64x64_q75_tt6&amp;ur=b696e2&amp;_nc_sid=58080a&amp;oh=00_Af4wm8CLfasAdRKrJe40f2DX3Va_Uz4dIdF4JrSMcwdTPA&amp;oe=6A074314</t>
  </si>
  <si>
    <t>120244081933760520</t>
  </si>
  <si>
    <t>https://www.facebook.com/418887747980692/posts/122214657032542386</t>
  </si>
  <si>
    <t>https://www.instagram.com/p/DWZVniXAHIf/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</si>
  <si>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Fsag1JuEaPn93cfCmLGHLWRbUqRH_xt-z5Ibn0U5Ahtgg_vY5cush4MrC89gghAof9redsVV_7&amp;stp=c0.5000x0.5000f_dst-emg0_p64x64_q75_tt6&amp;ur=b696e2&amp;_nc_sid=58080a&amp;oh=00_Af5MUIyzm3sEqcLDJ0TKTw1BR_t4f_zywslhWTCFex98FQ&amp;oe=6A073222</t>
  </si>
  <si>
    <t>120244081933770520</t>
  </si>
  <si>
    <t>https://www.facebook.com/418887747980692/posts/122214656648542386</t>
  </si>
  <si>
    <t>https://www.instagram.com/p/DWZVl-EAH3R/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</si>
  <si>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5_w3p6ZbLX9LhuxZ9yb1xg_zW08qr8kneIAqZ95C-D1Eo9sOONl13SAafNJAJUNlrUhG91nf3&amp;stp=c0.5000x0.5000f_dst-emg0_p64x64_q75_tt6&amp;ur=b696e2&amp;_nc_sid=58080a&amp;oh=00_Af5vAIu7O7GzJOVEF9Wvr8US4Yh5amU-8899Xb1mcd3uoA&amp;oe=6A071423</t>
  </si>
  <si>
    <t>120244081933780520</t>
  </si>
  <si>
    <t>https://www.facebook.com/418887747980692/posts/122214656186542386</t>
  </si>
  <si>
    <t>https://www.instagram.com/p/DWZVl5DgPO_/</t>
  </si>
  <si>
    <t>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G7xUPwPUcEZhVhuIWwqXciJOHsAEAbf24OKMWYOwP6WITAEpnl2McHqjdqT4CbeDvOACanMhTG&amp;stp=c0.5000x0.5000f_dst-emg0_p64x64_q75_tt6&amp;ur=b696e2&amp;_nc_sid=58080a&amp;oh=00_Af6K-t8xROjj0b-nK7jnRVnhV1hSpHqx4Rf6amFHWbVD-w&amp;oe=6A07186A</t>
  </si>
  <si>
    <t>120244081933790520</t>
  </si>
  <si>
    <t>https://www.facebook.com/418887747980692/posts/122214655454542386</t>
  </si>
  <si>
    <t>https://www.instagram.com/p/DWZVlgugDef/</t>
  </si>
  <si>
    <t>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HLZHxEcwUKZXwY_gzq7sjg0Qyxf0H9Vw3hBuum_khgkzxEY-p5sg4xLIBS81VNLI2wL1sATCBS&amp;stp=c0.5000x0.5000f_dst-emg0_p64x64_q75_tt6&amp;ur=52f3c4&amp;_nc_sid=58080a&amp;oh=00_Af5YMEhxjXFjV6bC7UW3p2H_yObGZ9QTuzgyFpCBJE12pA&amp;oe=6A073D71</t>
  </si>
  <si>
    <t>120244081933800520</t>
  </si>
  <si>
    <t>https://www.facebook.com/418887747980692/posts/122214656396542386</t>
  </si>
  <si>
    <t>https://www.instagram.com/p/DWZVl73ALlH/</t>
  </si>
  <si>
    <t>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mcMKyojx_l1w9r0KW5KVjsTnZr6xFJKSJFPJddWvJQ17jyuAmDZ-1lOWux59wvjDdelsvOVLA&amp;stp=c0.5000x0.5000f_dst-emg0_p64x64_q75_tt6&amp;ur=b696e2&amp;_nc_sid=58080a&amp;oh=00_Af40DW_CyPcmQ2pQTdkUi43qeLv63tUsHtViJayhf7DLjw&amp;oe=6A072BAC</t>
  </si>
  <si>
    <t>07 - Interessados BB</t>
  </si>
  <si>
    <t>120244081933820520</t>
  </si>
  <si>
    <t>https://www.facebook.com/418887747980692/posts/122214656336542386</t>
  </si>
  <si>
    <t>https://www.instagram.com/p/DWZVmY2AKl_/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</si>
  <si>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ErGRBmar9iRk2qQc6hv7CQhi5T1K6IaiFaVRpJwOSVs9NosMCGC2Jj4-sk2Bi9JeWKQQP8Dzi&amp;stp=c0.5000x0.5000f_dst-emg0_p64x64_q75_tt6&amp;ur=b696e2&amp;_nc_sid=58080a&amp;oh=00_Af4EBbX3E2x8LiUYD1xEynE43v0kJCEKHJTBXZm7L8y64g&amp;oe=6A073222</t>
  </si>
  <si>
    <t>120244081933830520</t>
  </si>
  <si>
    <t>https://www.facebook.com/418887747980692/posts/122214656768542386</t>
  </si>
  <si>
    <t>https://www.instagram.com/p/DWZVqQVADuf/</t>
  </si>
  <si>
    <t>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G5w2HPEY71fQL6kOrsBcdgo-rhfmMYrJ_DNSuzk1q8ppzWz1qzgdjFA6J-PX0v8eRCZDgQrhvv&amp;stp=c0.5000x0.5000f_dst-emg0_p64x64_q75_tt6&amp;ur=b696e2&amp;_nc_sid=58080a&amp;oh=00_Af6gYEyvyxf3AyB_x4PtQisziAvQkTHZt5yIpcx-s0dDOA&amp;oe=6A07186A</t>
  </si>
  <si>
    <t>120244081933840520</t>
  </si>
  <si>
    <t>https://www.facebook.com/418887747980692/posts/122214656300542386</t>
  </si>
  <si>
    <t>https://www.instagram.com/p/DWZVqfKgN4E/</t>
  </si>
  <si>
    <t>https://scontent.xx.fbcdn.net/v/t15.5256-10/659025191_3101773296690406_3562004591596694288_n.jpg?_nc_cat=109&amp;ccb=1-7&amp;_nc_ohc=Ntj-bG9e53cQ7kNvwH4VrrW&amp;_nc_oc=AdqWOJO3fllZzj0dF6d-rkI9a9JThAtYKDiTD-4X4_d1ioSuEyT66FgS-3lfdOefX1E&amp;_nc_zt=23&amp;_nc_ht=scontent.xx&amp;edm=AAwGEdEEAAAA&amp;_nc_gid=iEndcDk33bF5gt7MdoYrfg&amp;_nc_tpa=Q5bMBQEyg7hdoAW3zMRoE5TGTDk1iYX6InrVOSi7m2_tQXjdvoDGMJexP6m6BA7-jgYqUrlStrzKIw4_&amp;stp=c0.5000x0.5000f_dst-emg0_p64x64_q75_tt6&amp;ur=b696e2&amp;_nc_sid=58080a&amp;oh=00_Af6dO37X9069Zn1KUvP7Mgz8Cwg4-Ci8AFLRLexHLBvo0g&amp;oe=6A073FED</t>
  </si>
  <si>
    <t>120244081933850520</t>
  </si>
  <si>
    <t>https://www.facebook.com/418887747980692/posts/122214656516542386</t>
  </si>
  <si>
    <t>https://www.instagram.com/p/DWZVmdjgETy/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</si>
  <si>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E_8Wh4fUQbXoysjrk-vspMxlo8Uqt4KW4qb6_jpUlkdrMh6PFz64GXDZjt2jC7ZVR-BgfNO3Cc&amp;stp=c0.5000x0.5000f_dst-emg0_p64x64_q75_tt6&amp;ur=b696e2&amp;_nc_sid=58080a&amp;oh=00_Af7PQhpUYMywNePgUNmvhDb6RHrEXXzN-rsK5kVH44h8jA&amp;oe=6A071423</t>
  </si>
  <si>
    <t>120244081933860520</t>
  </si>
  <si>
    <t>https://www.facebook.com/418887747980692/posts/122214656486542386</t>
  </si>
  <si>
    <t>https://www.instagram.com/p/DWZVlrYgHkR/</t>
  </si>
  <si>
    <t>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GJqW5Zn9_jSQNnnagMPvBZ7144xMF61iQhIXDVJ4IqGwLoj5ftMt2BM0Em9ps2zk1ItDMm8FYw&amp;stp=c0.5000x0.5000f_dst-emg0_p64x64_q75_tt6&amp;ur=b696e2&amp;_nc_sid=58080a&amp;oh=00_Af5XBs7P4bChSroRohSDTnfqkShWhtwciDYl4s3-rPsidw&amp;oe=6A074314</t>
  </si>
  <si>
    <t>120244081933870520</t>
  </si>
  <si>
    <t>https://www.facebook.com/418887747980692/posts/122214656744542386</t>
  </si>
  <si>
    <t>https://www.instagram.com/p/DWZVmSfgC8N/</t>
  </si>
  <si>
    <t>https://scontent.xx.fbcdn.net/v/t15.5256-10/658367503_2434011343726447_2529871982841280428_n.jpg?_nc_cat=103&amp;ccb=1-7&amp;_nc_ohc=E4KJbJ7AUbEQ7kNvwHUdKiP&amp;_nc_oc=AdpVbkV2f0aAP5INRkjbBCPuqwnG_aEFHk-YBa4a_I2OacocVLth2o0DCq2NBAlDEcA&amp;_nc_zt=23&amp;_nc_ht=scontent.xx&amp;edm=AAwGEdEEAAAA&amp;_nc_gid=iEndcDk33bF5gt7MdoYrfg&amp;_nc_tpa=Q5bMBQE7pN-4zNZEgYpQakLDoCHcyj0Rpt6pM3lPXfxDVE198dG8Aspugd8zFy9x2Wf4NZa31T6ZvQ_N&amp;stp=c0.5000x0.5000f_dst-emg0_p64x64_q75_tt6&amp;ur=b696e2&amp;_nc_sid=58080a&amp;oh=00_Af6CcM13LAVHYNNFO2F-xJJaKc8HHLjRpapm8lRg_DFhZw&amp;oe=6A0726F7</t>
  </si>
  <si>
    <t>120244081933880520</t>
  </si>
  <si>
    <t>https://www.facebook.com/418887747980692/posts/122214656456542386</t>
  </si>
  <si>
    <t>https://www.instagram.com/p/DWZVvc6AGTe/</t>
  </si>
  <si>
    <t>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H5qzGu4IGUunUhfNK7G535vndgu1e1mzjFPtZHZtadJ4aFmVBsm7-EL6p4BqF2p55OzwnClHOD&amp;stp=c0.5000x0.5000f_dst-emg0_p64x64_q75_tt6&amp;ur=b696e2&amp;_nc_sid=58080a&amp;oh=00_Af71SemmIpWNvAzrMmWHZdVJaF2M34ny2fhYF2mGvC2XWg&amp;oe=6A070D3D</t>
  </si>
  <si>
    <t>120244081933890520</t>
  </si>
  <si>
    <t>https://www.facebook.com/418887747980692/posts/122214655394542386</t>
  </si>
  <si>
    <t>https://www.instagram.com/p/DWZVps3gOcx/</t>
  </si>
  <si>
    <t>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Fkj3lnyEPrOrXPTbYkVCOe2uIwG-xHcx-lAEGU42luPGY2ZxV0PWrmPTdkT3STQQhGG3mlt8xv&amp;stp=c0.5000x0.5000f_dst-emg0_p64x64_q75_tt6&amp;ur=52f3c4&amp;_nc_sid=58080a&amp;oh=00_Af4Z5HLLN4buleGnuEUNh6mesSeC99Cg113bTaIasRLeQw&amp;oe=6A073D71</t>
  </si>
  <si>
    <t>[MA][cadastro][captação][frio][potencial][PBB-ABR-26][30.03.26]</t>
  </si>
  <si>
    <t>120244083832150520</t>
  </si>
  <si>
    <t>https://www.facebook.com/418887747980692/posts/122214680894542386</t>
  </si>
  <si>
    <t>https://www.instagram.com/p/DWZXgW5gJIG/</t>
  </si>
  <si>
    <t>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HFLSGMOwfRoA5GBuO0D8hI8JjBw6hlbMJH4CZ3XrTYn9CjJE-EyiFX7BCRtVKi7avcNG7Bb32y&amp;stp=c0.5000x0.5000f_dst-emg0_p64x64_q75_tt6&amp;ur=b696e2&amp;_nc_sid=58080a&amp;oh=00_Af7SO4is-5aOL7ovSf3LFn7ZSZ_So6kjgEgzePap5QZuuQ&amp;oe=6A070B62</t>
  </si>
  <si>
    <t>120244083832160520</t>
  </si>
  <si>
    <t>https://www.facebook.com/418887747980692/posts/122214680246542386</t>
  </si>
  <si>
    <t>https://www.instagram.com/p/DWZXfxcgEdM/</t>
  </si>
  <si>
    <t>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sogYimbQcctRgjWjmxs0FRmpsTnbnjfZOCGaG5j07BNhoRUtl61H8IB-byK2qg2Xz4iZpgXbZ&amp;stp=c0.5000x0.5000f_dst-emg0_p64x64_q75_tt6&amp;ur=b696e2&amp;_nc_sid=58080a&amp;oh=00_Af5Ex_fIVIJM4TiXhu7LdF8o1APnGtjYcQO8ejI_LZmB8w&amp;oe=6A072CA5</t>
  </si>
  <si>
    <t>120244083832190520</t>
  </si>
  <si>
    <t>https://www.facebook.com/418887747980692/posts/122214680390542386</t>
  </si>
  <si>
    <t>https://www.instagram.com/p/DWZXfykgNyT/</t>
  </si>
  <si>
    <t>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FMi11GHVzE8iKAbqX7GcrzGGsOeVjtYuRL7NC0jv55tXd1YHbbR_6n1ZzM_LPXcki6t_kteNgV&amp;stp=c0.5000x0.5000f_dst-emg0_p64x64_q75_tt6&amp;ur=b696e2&amp;_nc_sid=58080a&amp;oh=00_Af4w8pkCv5hYknZjZFVF9jXn9JkuP0UPcEiOdh9pMlG2Yg&amp;oe=6A0712D4</t>
  </si>
  <si>
    <t>120244083832220520</t>
  </si>
  <si>
    <t>https://www.facebook.com/418887747980692/posts/122214680426542386</t>
  </si>
  <si>
    <t>https://www.instagram.com/p/DWZXgK9gLb2/</t>
  </si>
  <si>
    <t>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EWTZyLRh583R44b6_igY8e5-l298zy7852TLolQpd648lo78GTi_EhqqPFSaBdeoxc5CzYK9F6&amp;stp=c0.5000x0.5000f_dst-emg0_p64x64_q75_tt6&amp;ur=b696e2&amp;_nc_sid=58080a&amp;oh=00_Af70OysGepNOV2IIA7-_UZNGcE9HIeQjKX5e3Cmxq0X58Q&amp;oe=6A072D6E</t>
  </si>
  <si>
    <t>120244083832230520</t>
  </si>
  <si>
    <t>https://www.facebook.com/418887747980692/posts/122214680336542386</t>
  </si>
  <si>
    <t>https://www.instagram.com/p/DWZXcAhAL67/</t>
  </si>
  <si>
    <t>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H8NfbVRKe7rqruXwyYZPG5t394d388E8jy_04ndG1HwkSYk5dd-gPDyAoblk8dOOwhtSJe-20z&amp;stp=c0.5000x0.5000f_dst-emg0_p64x64_q75_tt6&amp;ur=b696e2&amp;_nc_sid=58080a&amp;oh=00_Af6FTbxs7UsF0acy-5nUZK6OXPfnxP-83f1Ja6N1S9hxDQ&amp;oe=6A0729E5</t>
  </si>
  <si>
    <t>120244083937270520</t>
  </si>
  <si>
    <t>https://www.facebook.com/418887747980692/posts/122214680564542386</t>
  </si>
  <si>
    <t>https://www.instagram.com/p/DWZXfvOAI2n/</t>
  </si>
  <si>
    <t>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Gc0slEA_142z1lJYvPm0KXel4SixvaKEaNk7z9M2sJpQ3LThs2f5CNBWaPmCLbD9YblXF6bdxn&amp;stp=c0.5000x0.5000f_dst-emg0_p64x64_q75_tt6&amp;ur=b696e2&amp;_nc_sid=58080a&amp;oh=00_Af4VrcAbnNF5S4KQXybQpekbMDGZjSCE9poE0e_pTv84Qw&amp;oe=6A072D09</t>
  </si>
  <si>
    <t>120244083937280520</t>
  </si>
  <si>
    <t>https://www.facebook.com/418887747980692/posts/122214680834542386</t>
  </si>
  <si>
    <t>https://www.instagram.com/p/DWZXc3CAE-x/</t>
  </si>
  <si>
    <t>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Gle-2cP1ckVO34p2qZxPsko57EM5SyBQq6Usj8MMUeIlhHi7NoHw8lKfr9I93YEwGq_mydwMtX&amp;stp=c0.5000x0.5000f_dst-emg0_p64x64_q75_tt6&amp;ur=b696e2&amp;_nc_sid=58080a&amp;oh=00_Af7fRfESyM_cdxoT_P42smH_XLMjDSq4006tVZFguw4CJQ&amp;oe=6A072CB3</t>
  </si>
  <si>
    <t>120244083937290520</t>
  </si>
  <si>
    <t>https://www.facebook.com/418887747980692/posts/122214680942542386</t>
  </si>
  <si>
    <t>https://www.instagram.com/p/DWZXbnpALH4/</t>
  </si>
  <si>
    <t>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GEPgf2I1JfQPFcy8aHpmZ4f5XwWypznSNExn1bII6WdtDiMul2cbhX8wl9JlYUr_bLnIQ64Hv4&amp;stp=c0.5000x0.5000f_dst-emg0_p64x64_q75_tt6&amp;ur=b696e2&amp;_nc_sid=58080a&amp;oh=00_Af6v7eStQpoUFLXE9kP-xsIok0cj9W5rFTjar01fLjE0uA&amp;oe=6A072D6E</t>
  </si>
  <si>
    <t>120244083937300520</t>
  </si>
  <si>
    <t>https://www.facebook.com/418887747980692/posts/122214679670542386</t>
  </si>
  <si>
    <t>https://www.instagram.com/p/DWZXcRlgM0j/</t>
  </si>
  <si>
    <t>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G7rNven1XTMZtgvpArafqZDXFCbRBOPDRQUlNOK2moLhQ_SRmgKoDRv726ynZ9z6_l9ae6wwCi&amp;stp=c0.5000x0.5000f_dst-emg0_p64x64_q75_tt6&amp;ur=52f3c4&amp;_nc_sid=58080a&amp;oh=00_Af4MhVFkIeq1NiLTuxzWmt5HOJb4UzBuOglH4TVkxSG1Uw&amp;oe=6A07362D</t>
  </si>
  <si>
    <t>120244083937310520</t>
  </si>
  <si>
    <t>https://www.facebook.com/418887747980692/posts/122214680306542386</t>
  </si>
  <si>
    <t>https://www.instagram.com/p/DWZXbwmgAxP/</t>
  </si>
  <si>
    <t>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HHaWJbIkT8teCILZZCrdmRvpF_oPQofgmALrZ4d7JNlb1t3a9TZpQhQmmhygaKrq1Sw8EV_nBx&amp;stp=c0.5000x0.5000f_dst-emg0_p64x64_q75_tt6&amp;ur=b696e2&amp;_nc_sid=58080a&amp;oh=00_Af5XHesSOiQfw9sf9wU7HIPT4RK_ZdIRri425xYiNj0opA&amp;oe=6A0729E5</t>
  </si>
  <si>
    <t>120244083937320520</t>
  </si>
  <si>
    <t>https://www.facebook.com/418887747980692/posts/122214680864542386</t>
  </si>
  <si>
    <t>https://www.instagram.com/p/DWZXcy6gNGX/</t>
  </si>
  <si>
    <t>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FZsWobwDUD2fP_mQjNwtk1J6IlihFvv4NFTHIMkbu-Dkt4nVYICOvvny9vo6dDHGuUOUkjzVzA&amp;stp=c0.5000x0.5000f_dst-emg0_p64x64_q75_tt6&amp;ur=b696e2&amp;_nc_sid=58080a&amp;oh=00_Af4MYH_1dKo9dq_rmqum-g9NPCSW-2GrxiY8nQeg4YVMfQ&amp;oe=6A0712D4</t>
  </si>
  <si>
    <t>120244083937330520</t>
  </si>
  <si>
    <t>https://www.facebook.com/418887747980692/posts/122214680582542386</t>
  </si>
  <si>
    <t>https://www.instagram.com/p/DWZXbzsgAnG/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</si>
  <si>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ochnBQterwJdTlnDNl9bCCk04_aFFECbnHiCD4NvROnoCoSA3cDpuxaakaMgdm6jGrrBDbOqG&amp;stp=c0.5000x0.5000f_dst-emg0_p64x64_q75_tt6&amp;ur=b696e2&amp;_nc_sid=58080a&amp;oh=00_Af52bKXvF5qkhAlAK3JO8aJMFy3uvJrdIdsKqCFF2zgDlA&amp;oe=6A07199E</t>
  </si>
  <si>
    <t>120244083937340520</t>
  </si>
  <si>
    <t>https://www.facebook.com/418887747980692/posts/122214680618542386</t>
  </si>
  <si>
    <t>https://www.instagram.com/p/DWZXdSYgBcu/</t>
  </si>
  <si>
    <t>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K_i2KhHYOo-QFDyi-VMoVDcBO5w6d1K0BIWEXUf1VaE3F5HZjb7_ak7B36jePjIr5KTWLzQ5g&amp;stp=c0.5000x0.5000f_dst-emg0_p64x64_q75_tt6&amp;ur=b696e2&amp;_nc_sid=58080a&amp;oh=00_Af5N-vSJMRJATeiomarLmypcEW8oeoDdv4azzXOkMQRGdA&amp;oe=6A072CA5</t>
  </si>
  <si>
    <t>120244083937350520</t>
  </si>
  <si>
    <t>https://www.facebook.com/418887747980692/posts/122214680918542386</t>
  </si>
  <si>
    <t>https://www.instagram.com/p/DWZXcIEgJk9/</t>
  </si>
  <si>
    <t>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GldwjMoN3LSGe-x4TDiC3hLuyFNiPpV65bW8oXHOK6kF4yUOtrwdLF7l2GRXzcjyTH5g2TpUux&amp;stp=c0.5000x0.5000f_dst-emg0_p64x64_q75_tt6&amp;ur=b696e2&amp;_nc_sid=58080a&amp;oh=00_Af5x54AYrnLcZgi7zbhp_e4TgIQa-YONmyh88Ku6SJuEJA&amp;oe=6A070B62</t>
  </si>
  <si>
    <t>120244083937470520</t>
  </si>
  <si>
    <t>https://www.facebook.com/418887747980692/posts/122214679664542386</t>
  </si>
  <si>
    <t>https://www.instagram.com/p/DWZXcWuAD4m/</t>
  </si>
  <si>
    <t>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HJLo_1qNtSB5XnIDYFKb8iNb1k5NNIPozakPBTHXoKrxYnl1gWbsxMFzQTAu9huZqDMOqRQX-w&amp;stp=c0.5000x0.5000f_dst-emg0_p64x64_q75_tt6&amp;ur=52f3c4&amp;_nc_sid=58080a&amp;oh=00_Af7cvwAjVG6Rl7Lci3qvA39nSGXECZcv2Lr13QRTo3NGpg&amp;oe=6A07362D</t>
  </si>
  <si>
    <t>120244083937480520</t>
  </si>
  <si>
    <t>https://www.facebook.com/418887747980692/posts/122214680552542386</t>
  </si>
  <si>
    <t>https://www.instagram.com/p/DWZXbpWANCT/</t>
  </si>
  <si>
    <t>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G0M56NQ0Ike5VhohliJzY83yVEfSswjYUDvV4dpbAqO38jO_2S8dY1YgAOzlD3F1NXCenRYEjp&amp;stp=c0.5000x0.5000f_dst-emg0_p64x64_q75_tt6&amp;ur=b696e2&amp;_nc_sid=58080a&amp;oh=00_Af5B67F4UZJaUzzT_eII1uiHp74PrbdwwfFA1vR1E43IsA&amp;oe=6A0712D4</t>
  </si>
  <si>
    <t>120244083937490520</t>
  </si>
  <si>
    <t>https://www.facebook.com/418887747980692/posts/122214680798542386</t>
  </si>
  <si>
    <t>https://www.instagram.com/p/DWZXa9EgJ26/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</si>
  <si>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HEqpDA-JfaRZWMBAkNAB9fipYfHzQYtwoLyG0CCDw9m2x-OiahbrWSkcBbkcZRdceW-ll3fk9O&amp;stp=c0.5000x0.5000f_dst-emg0_p64x64_q75_tt6&amp;ur=b696e2&amp;_nc_sid=58080a&amp;oh=00_Af7B21PaAa0GCDdbrELIK9MaUt-257MCEF0K_9RVFLEXmQ&amp;oe=6A07199E</t>
  </si>
  <si>
    <t>120244083937500520</t>
  </si>
  <si>
    <t>https://www.facebook.com/418887747980692/posts/122214680714542386</t>
  </si>
  <si>
    <t>https://www.instagram.com/p/DWZXb_2AGbb/</t>
  </si>
  <si>
    <t>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GAwiLkvVT24ML1Pgs7Fzn3TyI55jzEQJr1crUYJ-2t8JHF9xR5260Y9G55v8IR-y75DXhiO70r&amp;stp=c0.5000x0.5000f_dst-emg0_p64x64_q75_tt6&amp;ur=b696e2&amp;_nc_sid=58080a&amp;oh=00_Af5HQtxQuw96D3oTfQDQuxE48_7oPb1WAis7mqmpFkpyiw&amp;oe=6A0729E5</t>
  </si>
  <si>
    <t>120244083937510520</t>
  </si>
  <si>
    <t>https://www.facebook.com/418887747980692/posts/122214681098542386</t>
  </si>
  <si>
    <t>https://www.instagram.com/p/DWZXcAygIfc/</t>
  </si>
  <si>
    <t>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H8OrtWtVSiCSo0rntdT0dT7tbactupFwWCRJ295r7nzXbgBMf6HVcVvrWycCc2Xk0ZA7CNTxSU&amp;stp=c0.5000x0.5000f_dst-emg0_p64x64_q75_tt6&amp;ur=b696e2&amp;_nc_sid=58080a&amp;oh=00_Af4O_JqLgsZtNSjbvhYwAGiLE9sWBmzdVNpYGz7S0xu0nA&amp;oe=6A070B62</t>
  </si>
  <si>
    <t>120244083937520520</t>
  </si>
  <si>
    <t>https://www.facebook.com/418887747980692/posts/122214680642542386</t>
  </si>
  <si>
    <t>https://www.instagram.com/p/DWZXf2jgD56/</t>
  </si>
  <si>
    <t>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EBa_JAToik6HwbyuFhs3eOg2dKBBEjrSTC-FukNQ1y9J0I27LglC2r_SIWFiVwNkTuvGpJSWEk&amp;stp=c0.5000x0.5000f_dst-emg0_p64x64_q75_tt6&amp;ur=b696e2&amp;_nc_sid=58080a&amp;oh=00_Af6Rinq3Po66l8BNWr16KOCTkoTJnnJ-eo1ojEJkt4_BcA&amp;oe=6A072CA5</t>
  </si>
  <si>
    <t>120244083937530520</t>
  </si>
  <si>
    <t>https://www.facebook.com/418887747980692/posts/122214681176542386</t>
  </si>
  <si>
    <t>https://www.instagram.com/p/DWZXbswAFAG/</t>
  </si>
  <si>
    <t>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EuwE4D5heyjLvm-lwnknMLpEeCtnsE33-m7UDTgyF0OIGwnYeVObDY3De0imGe6dbPsJIGqSZ7&amp;stp=c0.5000x0.5000f_dst-emg0_p64x64_q75_tt6&amp;ur=b696e2&amp;_nc_sid=58080a&amp;oh=00_Af6KwEo9mTIkm9mhUjpASvbNqa6Hi8HmSsVpdF7vDdZSnw&amp;oe=6A072D6E</t>
  </si>
  <si>
    <t>120244083937540520</t>
  </si>
  <si>
    <t>https://www.facebook.com/418887747980692/posts/122214680384542386</t>
  </si>
  <si>
    <t>https://www.instagram.com/p/DWZXf47AMYO/</t>
  </si>
  <si>
    <t>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EvuPDmOpKTdPsJCsLUniWgTlQkEvCWJ0yh9sWOboN1rD7Db3NEhCBPsBeXm1Trih-tA4dgKXk8&amp;stp=c0.5000x0.5000f_dst-emg0_p64x64_q75_tt6&amp;ur=b696e2&amp;_nc_sid=58080a&amp;oh=00_Af7ckZG0tyiECeKMwTJRFCc0O10YQ_ouzEgO_TknY5nsTw&amp;oe=6A072CB3</t>
  </si>
  <si>
    <t>120244083937550520</t>
  </si>
  <si>
    <t>https://www.facebook.com/418887747980692/posts/122214680570542386</t>
  </si>
  <si>
    <t>https://www.instagram.com/p/DWZXg8KAEnh/</t>
  </si>
  <si>
    <t>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E8qVnpkSf-GCyyTbXm1J24_O48bxjJXN1VsNEniUSJnWBvio5Kjwrdqtz4sp1d6ibP1LCjpbNy&amp;stp=c0.5000x0.5000f_dst-emg0_p64x64_q75_tt6&amp;ur=b696e2&amp;_nc_sid=58080a&amp;oh=00_Af6jmGMkjTsazp8SOwWDLbjk5rTOpaAzj6c6faYyxtxl9A&amp;oe=6A072D09</t>
  </si>
  <si>
    <t>[MA][cadastro][captação][frio][reels][PBB-ABR-26][30.03.26]</t>
  </si>
  <si>
    <t>120244084066250520</t>
  </si>
  <si>
    <t>https://www.facebook.com/418887747980692/posts/122214681974542386</t>
  </si>
  <si>
    <t>https://www.instagram.com/p/DWZXVmvgDC4/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</si>
  <si>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QH0BeFJRuWhIVfYJ5tfZylrsJTH2yk7WmlBw0SGRK3xKOlC8wcCVXWoGsys5ApIrZtDt_Hhpw&amp;stp=c0.5000x0.5000f_dst-emg0_p64x64_q75_tt6&amp;ur=5fad0e&amp;_nc_sid=58080a&amp;oh=00_Af7dj5joAz7xu2uwUSNPL2HF0aFj99abldfW-7clktRO4A&amp;oe=6A07199E</t>
  </si>
  <si>
    <t>120244084066260520</t>
  </si>
  <si>
    <t>https://www.facebook.com/418887747980692/posts/122215596512542386</t>
  </si>
  <si>
    <t>https://www.instagram.com/p/DWofubCgLBa/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</si>
  <si>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F10LK-OLuo7YvrLnV5cUIpB8A8FVAVhlooct8G8FeI3eUrpj_c5-M7_FX1sk2XWYkN52yUt_Ih&amp;stp=c0.5000x0.5000f_dst-emg0_p64x64_q75_tt6&amp;ur=5fad0e&amp;_nc_sid=58080a&amp;oh=00_Af4E7iEViHid9KemmIo9YtAF7KBggnUUcZPhApvzV1Co6w&amp;oe=6A072B9E</t>
  </si>
  <si>
    <t>120244084066270520</t>
  </si>
  <si>
    <t>https://www.facebook.com/418887747980692/posts/122214682028542386</t>
  </si>
  <si>
    <t>https://www.instagram.com/p/DWZXW6VAHle/</t>
  </si>
  <si>
    <t>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EIX44WNLgPI3-pPeerxSBBIRJ3h9fP_dd-8AAEIPqLejvnYfjtDSTnURd5shiviFxw2RWdnvsY&amp;stp=c0.5000x0.5000f_dst-emg0_p64x64_q75_tt6&amp;ur=5fad0e&amp;_nc_sid=58080a&amp;oh=00_Af6ZqLu6lbSjkf7jWqw8dCPl-O-nkdS86kLyiqQ6grRPZA&amp;oe=6A0738D6</t>
  </si>
  <si>
    <t>120244084273440520</t>
  </si>
  <si>
    <t>https://www.facebook.com/418887747980692/posts/122215137398542386</t>
  </si>
  <si>
    <t>https://www.instagram.com/p/DWg0Vy3gJtu/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</si>
  <si>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GoqjspsB4ScInfH429mwOmmF1POEgQt_wil539vTtDj-1yyMB_rzQA9FIc-wKPqF0vE6O_-9fi&amp;stp=c0.5000x0.5000f_dst-emg0_p64x64_q75_tt6&amp;ur=5fad0e&amp;_nc_sid=58080a&amp;oh=00_Af6b5Wmqut09zHLNTIozW8lXHkLdkdSkYS3_UBfC-hquuw&amp;oe=6A072B9E</t>
  </si>
  <si>
    <t>120244084273450520</t>
  </si>
  <si>
    <t>https://www.facebook.com/418887747980692/posts/122214681860542386</t>
  </si>
  <si>
    <t>https://www.instagram.com/p/DWZXVfhAPDi/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</si>
  <si>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_vR4tX9G0bjhsT_caCVwE39M3gsXrl4xv9sGPFvAr_B_mCD974e8tthGIHSGNzvmJkuNKDwiO&amp;stp=c0.5000x0.5000f_dst-emg0_p64x64_q75_tt6&amp;ur=5fad0e&amp;_nc_sid=58080a&amp;oh=00_Af6o4xA1uVLxSHCdjNdLBMP2flchQt2HMF8gK20JSurDaQ&amp;oe=6A07199E</t>
  </si>
  <si>
    <t>120244084273460520</t>
  </si>
  <si>
    <t>https://www.facebook.com/418887747980692/posts/122214681866542386</t>
  </si>
  <si>
    <t>https://www.instagram.com/p/DWZXVZ7gL6q/</t>
  </si>
  <si>
    <t>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HKJlLODPJZL0dv_cCqL06OvHAd8RRBcxXFj2XUMqSZiU0xM95ahOtp2C8w3oQ-hZbEeWFqvFHL&amp;stp=c0.5000x0.5000f_dst-emg0_p64x64_q75_tt6&amp;ur=5fad0e&amp;_nc_sid=58080a&amp;oh=00_Af5-45-eFRCtp9yy3WnjiOjB7VBmhi-0SpP3fULgKxp5lw&amp;oe=6A0738D6</t>
  </si>
  <si>
    <t>120244084273500520</t>
  </si>
  <si>
    <t>https://www.facebook.com/418887747980692/posts/122214681986542386</t>
  </si>
  <si>
    <t>https://www.instagram.com/p/DWZXVqhgN9E/</t>
  </si>
  <si>
    <t>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GP1IpgU9wNZfBFKL_rgb22bB2Pk6h8A4iRZdO0s_Y0n3SCagNLT6ksiOx9xyDkkwdljPjiWWSq&amp;stp=c0.5000x0.5000f_dst-emg0_p64x64_q75_tt6&amp;ur=5fad0e&amp;_nc_sid=58080a&amp;oh=00_Af6RZdYdFTMVPRRdcYSbb65hoQmCGfzKoE9zq4j9n93osQ&amp;oe=6A0738D6</t>
  </si>
  <si>
    <t>120244084273510520</t>
  </si>
  <si>
    <t>https://www.facebook.com/418887747980692/posts/122214682004542386</t>
  </si>
  <si>
    <t>https://www.instagram.com/p/DWZXVqPAL2_/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</si>
  <si>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rxd6jefpsNKlrgTgXjg3VoG0LjiOY0-HFR7IbkUEKWo4t8pDjSj40tcdo2zp5aSveMxciT07i&amp;stp=c0.5000x0.5000f_dst-emg0_p64x64_q75_tt6&amp;ur=5fad0e&amp;_nc_sid=58080a&amp;oh=00_Af4k3NiFz851NrH0HupOqptufGpzSv9CBW6pAuvcBbsafQ&amp;oe=6A07199E</t>
  </si>
  <si>
    <t>120244084273520520</t>
  </si>
  <si>
    <t>https://www.facebook.com/418887747980692/posts/122215596440542386</t>
  </si>
  <si>
    <t>https://www.instagram.com/p/DWofuWqAApj/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</si>
  <si>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GDu7Ipq13Q2zXGte-pBJxYy0qapPuHG3pdd3D-Zvey6PC5wWx0FWqaPQCYh3qR0XMjjpmZU9K-&amp;stp=c0.5000x0.5000f_dst-emg0_p64x64_q75_tt6&amp;ur=5fad0e&amp;_nc_sid=58080a&amp;oh=00_Af5HutnNo0t0uiYhj8ovSxcx1nkPF-pYEeMYbxNsVFav9w&amp;oe=6A072B9E</t>
  </si>
  <si>
    <t>[MA][cadastro][captação][específico][principal][PBB-ABR-26][30.03.26]</t>
  </si>
  <si>
    <t>00 - Viu 50% da Pré-Quali - PBB-ABR-26</t>
  </si>
  <si>
    <t>120244084859590520</t>
  </si>
  <si>
    <t>https://www.facebook.com/418887747980692/posts/122214698048542386</t>
  </si>
  <si>
    <t>https://www.instagram.com/p/DWZY0CKAM65/</t>
  </si>
  <si>
    <t>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Fis8YrpsYyNi0iYJj_Nqct1d-6dca83uLbtxXdYkoZKEJDb4HaJ6U_qAEpZywR19umPyZzOm3W&amp;stp=c0.5000x0.5000f_dst-emg0_p64x64_q75_tt6&amp;ur=b696e2&amp;_nc_sid=58080a&amp;oh=00_Af5PW98HS7CSepTnEzCrfppCeVw417r-en_XzUwf8AE7gQ&amp;oe=6A072BAC</t>
  </si>
  <si>
    <t>120244084859600520</t>
  </si>
  <si>
    <t>https://www.facebook.com/418887747980692/posts/122214698252542386</t>
  </si>
  <si>
    <t>https://www.instagram.com/p/DWZY0DkgHBL/</t>
  </si>
  <si>
    <t>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G4MCo4iL4fh9TG_tjqXRajhKJdbqDXnkZC1G7gaQOL_u-Eq7Libmabyvuoo5-k6qUAF8cleu3D&amp;stp=c0.5000x0.5000f_dst-emg0_p64x64_q75_tt6&amp;ur=b696e2&amp;_nc_sid=58080a&amp;oh=00_Af4XrQf58DP5-hJ20YN5JreM9lq3TwEhAvaEV2ks0vD93g&amp;oe=6A074314</t>
  </si>
  <si>
    <t>120244084859610520</t>
  </si>
  <si>
    <t>https://www.facebook.com/418887747980692/posts/122214698348542386</t>
  </si>
  <si>
    <t>https://www.instagram.com/p/DWZY0LugNUo/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</si>
  <si>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EXjwcSP2WDkbqJWm20uG3wnH5xqvgphoHpyCpVIKALEX_dezEVrgcl6X4rLtikC2cwnOLEEJ6N&amp;stp=c0.5000x0.5000f_dst-emg0_p64x64_q75_tt6&amp;ur=b696e2&amp;_nc_sid=58080a&amp;oh=00_Af4NuWzEHCAISghF_yH4x6jPTv5P3eRxR18ff4DuyNhHGg&amp;oe=6A071423</t>
  </si>
  <si>
    <t>120244084859620520</t>
  </si>
  <si>
    <t>https://www.facebook.com/418887747980692/posts/122214697568542386</t>
  </si>
  <si>
    <t>https://www.instagram.com/p/DWZY1L-AFyT/</t>
  </si>
  <si>
    <t>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FMfpUeOcoSm69wXIuJnL9y7tEHejB-Rm72kiKSqb_93c7bOf8MZEdX1O1iiW7UUa8ZeN3vgYSK&amp;stp=c0.5000x0.5000f_dst-emg0_p64x64_q75_tt6&amp;ur=52f3c4&amp;_nc_sid=58080a&amp;oh=00_Af74fJHq5HEMTwg7W08rZBqeA9H2EUGD_rEaWztLUlOz2w&amp;oe=6A073D71</t>
  </si>
  <si>
    <t>120244084859630520</t>
  </si>
  <si>
    <t>https://www.facebook.com/418887747980692/posts/122214697994542386</t>
  </si>
  <si>
    <t>https://www.instagram.com/p/DWZY1wygMjK/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</si>
  <si>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5NQpKTT3ZEDc1kDvdMhmBilRjDT-98rLto6HlqXZG43VYjov_F7f_-db7OV8XNDkQcir2t7Vu&amp;stp=c0.5000x0.5000f_dst-emg0_p64x64_q75_tt6&amp;ur=b696e2&amp;_nc_sid=58080a&amp;oh=00_Af6L0bXEQHYsSnu_d-wicGbHDItYDxDe91BNRPFeCnuCrw&amp;oe=6A073222</t>
  </si>
  <si>
    <t>120244084859640520</t>
  </si>
  <si>
    <t>https://www.facebook.com/418887747980692/posts/122214697940542386</t>
  </si>
  <si>
    <t>https://www.instagram.com/p/DWZY0B_gKs5/</t>
  </si>
  <si>
    <t>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HCTYUgGzOkMNrR6xiFdDu13otVKlShUhuETTCjWUuwzQyQ6B5neUc68dX5oCLwZ4MgV-slRlMQ&amp;stp=c0.5000x0.5000f_dst-emg0_p64x64_q75_tt6&amp;ur=b696e2&amp;_nc_sid=58080a&amp;oh=00_Af5i_pQN4mtGs-tjwb7bIgNEkCZ_hOmDUnjh30vsqz_bQw&amp;oe=6A07186A</t>
  </si>
  <si>
    <t>120244084859650520</t>
  </si>
  <si>
    <t>https://www.facebook.com/418887747980692/posts/122214698162542386</t>
  </si>
  <si>
    <t>https://www.instagram.com/p/DWZY0TvgH5y/</t>
  </si>
  <si>
    <t>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EYN5SuQ7TkOwXC_IjIaWtpEITNVjf5jqbNL2r16bD21sj-nK9f6-6OSOoYH0c0HaIBOlLyG92v&amp;stp=c0.5000x0.5000f_dst-emg0_p64x64_q75_tt6&amp;ur=b696e2&amp;_nc_sid=58080a&amp;oh=00_Af5coXxrWqiHOO55m3vmm7O4YPZnefwm0iVSAFcSifqPEQ&amp;oe=6A070D3D</t>
  </si>
  <si>
    <t>120244084859660520</t>
  </si>
  <si>
    <t>https://www.facebook.com/418887747980692/posts/122214698072542386</t>
  </si>
  <si>
    <t>https://www.instagram.com/p/DWZYz7tgKaJ/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</si>
  <si>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Yq6lxxsg1ablCxP9ywhtLxFYFrfx84rLcQlqvdlSBQbv5DJrc3qEbpGk-_yLMmxQj-KSYLcDv&amp;stp=c0.5000x0.5000f_dst-emg0_p64x64_q75_tt6&amp;ur=b696e2&amp;_nc_sid=58080a&amp;oh=00_Af5gkgLdYsO0BJkLAOavxCAR9YIC6jqdHknIaU046_GPzg&amp;oe=6A073222</t>
  </si>
  <si>
    <t>01 - Viu 25% da Pré-Quali - PBB-ABR-26</t>
  </si>
  <si>
    <t>120244084943040520</t>
  </si>
  <si>
    <t>https://www.facebook.com/418887747980692/posts/122214698018542386</t>
  </si>
  <si>
    <t>https://www.instagram.com/p/DWZY05CAK2B/</t>
  </si>
  <si>
    <t>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E4SZHzdMPC1YkqzSV_i3vvbHqCisRT11F5MScb5NLq1qdJLJTD0OZENLfgmdTCcsxPT0P_ZXcv&amp;stp=c0.5000x0.5000f_dst-emg0_p64x64_q75_tt6&amp;ur=b696e2&amp;_nc_sid=58080a&amp;oh=00_Af6vpbCnl1q45ioYy_5V_IyvOSOWo_7JzfrI-KITn18fvQ&amp;oe=6A072BAC</t>
  </si>
  <si>
    <t>120244084943050520</t>
  </si>
  <si>
    <t>https://www.facebook.com/418887747980692/posts/122214697502542386</t>
  </si>
  <si>
    <t>https://www.instagram.com/p/DWZYzixAGmZ/</t>
  </si>
  <si>
    <t>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Hdw8uKnE6xMzN1i5Qeh7Gpx7gM9QJW0CBeVIQOeURpFhuIj2p9YCJdmfeSXM6a2H_1DRdVcYLP&amp;stp=c0.5000x0.5000f_dst-emg0_p64x64_q75_tt6&amp;ur=52f3c4&amp;_nc_sid=58080a&amp;oh=00_Af7HX5jD8Y22qW2flbmwbSIt3Av69j-rL3X4i3GSD24otA&amp;oe=6A073D71</t>
  </si>
  <si>
    <t>120244084943060520</t>
  </si>
  <si>
    <t>https://www.facebook.com/418887747980692/posts/122214697844542386</t>
  </si>
  <si>
    <t>https://www.instagram.com/p/DWZYz97gLW_/</t>
  </si>
  <si>
    <t>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GDOy7Fq8i8Mm6PIXQKX5SmEYA6dRqbUTRHxMkyXcaNc3YN4R2G9N_wg6Y1B-edlOf0zHlEFL08&amp;stp=c0.5000x0.5000f_dst-emg0_p64x64_q75_tt6&amp;ur=b696e2&amp;_nc_sid=58080a&amp;oh=00_Af54eypLhTKd-oG09F5ZoR7npv8ycY18cyuI-PRsJIH78A&amp;oe=6A074314</t>
  </si>
  <si>
    <t>120244084943070520</t>
  </si>
  <si>
    <t>https://www.facebook.com/418887747980692/posts/122214698054542386</t>
  </si>
  <si>
    <t>https://www.instagram.com/p/DWZY1TdgPCi/</t>
  </si>
  <si>
    <t>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G12WV-GJx3WbDmIVKhmPpp0gJhzzEnpAfx4SKI2kiW0PSk9XRHkNmi8URQ6qzOGajYfuiPrJMU&amp;stp=c0.5000x0.5000f_dst-emg0_p64x64_q75_tt6&amp;ur=b696e2&amp;_nc_sid=58080a&amp;oh=00_Af4oGLJQl0wUvtVs_q1Xp3r3DETLk3JRcC46ALi2opyLbw&amp;oe=6A070D3D</t>
  </si>
  <si>
    <t>120244084943080520</t>
  </si>
  <si>
    <t>https://www.facebook.com/418887747980692/posts/122214697886542386</t>
  </si>
  <si>
    <t>https://www.instagram.com/p/DWZYzrbgAD3/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</si>
  <si>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0C3Adu6NM83K9Vk9KxXMs-AxWUkPL2V26ZCNZBs9hNGwTcA52zQCQk_Lga8TZj19U4S0FwOQS&amp;stp=c0.5000x0.5000f_dst-emg0_p64x64_q75_tt6&amp;ur=b696e2&amp;_nc_sid=58080a&amp;oh=00_Af6Y_CprpWEuIn7SrgIuGu_vbPjABiABi_Kvnotab-WCfg&amp;oe=6A071423</t>
  </si>
  <si>
    <t>120244084943090520</t>
  </si>
  <si>
    <t>https://www.facebook.com/418887747980692/posts/122214698204542386</t>
  </si>
  <si>
    <t>https://www.instagram.com/p/DWZY1CPANqu/</t>
  </si>
  <si>
    <t>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FCIIWH-6oFPc_TtKIqfDcFMfdyGAXgATLNAjYz1UFjuWxs3p2ThsHCz1gaaE22SHNbC0fJETsQ&amp;stp=c0.5000x0.5000f_dst-emg0_p64x64_q75_tt6&amp;ur=b696e2&amp;_nc_sid=58080a&amp;oh=00_Af41TGihcrNJQEtJOnclwT3fasWtZA-ekUYL3zZ02kdTXA&amp;oe=6A07186A</t>
  </si>
  <si>
    <t>120244084943100520</t>
  </si>
  <si>
    <t>https://www.facebook.com/418887747980692/posts/122214697934542386</t>
  </si>
  <si>
    <t>https://www.instagram.com/p/DWZY3_TAHkg/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</si>
  <si>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8taWxN--gvBrJ2-WBXKkPXollks01sUvK-EUZ_qfzbuGS4EtfdWh1-rRkrB2lZogUMTMD0Whb&amp;stp=c0.5000x0.5000f_dst-emg0_p64x64_q75_tt6&amp;ur=b696e2&amp;_nc_sid=58080a&amp;oh=00_Af7tDVgnwQr5dvRhHRhNhVNaH45iNU2x_tnqaO60L0s2LQ&amp;oe=6A073222</t>
  </si>
  <si>
    <t>120244084943110520</t>
  </si>
  <si>
    <t>https://www.facebook.com/418887747980692/posts/122214697880542386</t>
  </si>
  <si>
    <t>https://www.instagram.com/p/DWZYz60gLuf/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</si>
  <si>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MwD--Dhphfh7fsaaI6Lb3jX1ZX6MB1Qx57dNLVDhnezGHZ3lmJ7_7Q5l3yF5AJbDzp6OXWB2m&amp;stp=c0.5000x0.5000f_dst-emg0_p64x64_q75_tt6&amp;ur=b696e2&amp;_nc_sid=58080a&amp;oh=00_Af7AchT4tcvl35DotP9pTX0wCFTrEY9MeuVF7_Xg-pmNgQ&amp;oe=6A073222</t>
  </si>
  <si>
    <t>[MA][cadastro][captação][específico][potencial][PBB-ABR-26][30.03.26]</t>
  </si>
  <si>
    <t>120244085820040520</t>
  </si>
  <si>
    <t>https://www.facebook.com/418887747980692/posts/122214710738542386</t>
  </si>
  <si>
    <t>https://www.instagram.com/p/DWZZpeEgGCI/</t>
  </si>
  <si>
    <t>https://scontent.xx.fbcdn.net/v/t15.5256-10/659443458_1465016701928100_117270221006308301_n.jpg?_nc_cat=110&amp;ccb=1-7&amp;_nc_ohc=au6KzZIHVAEQ7kNvwH0aM3l&amp;_nc_oc=AdqPMYqiM0Ynifch3gm3m9o5Iz6P7t9evYgRR4zgI8bC1Zq269Z2LACHiiGzXFmoCFg&amp;_nc_zt=23&amp;_nc_ht=scontent.xx&amp;edm=AAwGEdEEAAAA&amp;_nc_gid=iEndcDk33bF5gt7MdoYrfg&amp;_nc_tpa=Q5bMBQGd6RVW2AdEdPV3mtocDw6PtjsRqT8TJPgdBIOj6FF990O3aMYsdFr8fzroYAkrjGwQBCdyU5Nj&amp;stp=c0.5000x0.5000f_dst-emg0_p64x64_q75_tt6&amp;ur=b696e2&amp;_nc_sid=58080a&amp;oh=00_Af79IkPKZ1wIVFexn10ThCFJ_Slkq0VApxWYQM163XIaYQ&amp;oe=6A074120</t>
  </si>
  <si>
    <t>120244085820050520</t>
  </si>
  <si>
    <t>https://www.facebook.com/418887747980692/posts/122214710876542386</t>
  </si>
  <si>
    <t>https://www.instagram.com/p/DWZZnuAAEca/</t>
  </si>
  <si>
    <t>https://scontent.xx.fbcdn.net/v/t15.5256-10/658853731_802169709587828_5986795790243700673_n.jpg?_nc_cat=100&amp;ccb=1-7&amp;_nc_ohc=T7PCM7ztDIgQ7kNvwEseHal&amp;_nc_oc=AdpQxob-YS578TwJR-6mzWkknkKq-GGHOScvpg6bzXBgqnxqBQ6K3xjhS5dlXuvihaY&amp;_nc_zt=23&amp;_nc_ht=scontent.xx&amp;edm=AAwGEdEEAAAA&amp;_nc_gid=iEndcDk33bF5gt7MdoYrfg&amp;_nc_tpa=Q5bMBQFoWtpICtwYNb6DXMjvYQSQr2f1UX93_R94RhaLYqOAcL0Zc5WRhkU6hiPSoPQ0WXjI48IUcSgO&amp;stp=c0.5000x0.5000f_dst-emg0_p64x64_q75_tt6&amp;ur=b696e2&amp;_nc_sid=58080a&amp;oh=00_Af7TtVReoZ08dL4M_BMCB8wJ7mwkj42-wm6XWJVHLPtNzg&amp;oe=6A073BA0</t>
  </si>
  <si>
    <t>120244085820060520</t>
  </si>
  <si>
    <t>https://www.facebook.com/418887747980692/posts/122214710774542386</t>
  </si>
  <si>
    <t>https://www.instagram.com/p/DWZZnxsgNhe/</t>
  </si>
  <si>
    <t>https://scontent.xx.fbcdn.net/v/t15.5256-10/658763956_1665072807822779_1618303331855262670_n.jpg?_nc_cat=111&amp;ccb=1-7&amp;_nc_ohc=MEScl63LU6YQ7kNvwGv1RA9&amp;_nc_oc=Ado01_ZgrSKAeLM3nzYxK9d_lIZmKjuNc6KbkfTF3USJu6UgPuI4eExewaL9BfRT2s8&amp;_nc_zt=23&amp;_nc_ht=scontent.xx&amp;edm=AAwGEdEEAAAA&amp;_nc_gid=iEndcDk33bF5gt7MdoYrfg&amp;_nc_tpa=Q5bMBQEhi8TXRCpB5VKGCVt_4X2ukXAGyiA-LoFMzdx_WvIwWoTW_JfENECoC9meUqAF-ymzfJZbAVX2&amp;stp=c0.5000x0.5000f_dst-emg0_p64x64_q75_tt6&amp;ur=b696e2&amp;_nc_sid=58080a&amp;oh=00_Af7zPAEtTqRNrekt10H9RqEx_TJcPTuYDjvfnIDE-wmXvw&amp;oe=6A073677</t>
  </si>
  <si>
    <t>120244085820070520</t>
  </si>
  <si>
    <t>https://www.facebook.com/418887747980692/posts/122214711128542386</t>
  </si>
  <si>
    <t>https://www.instagram.com/p/DWZZpoXgGiG/</t>
  </si>
  <si>
    <t>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EUW-aNJdxMRdBm1wO83HZVkdWdb25UjGX0ohMqatKlYr7TJjcTsU0YMn6-xY540EFqgqi8xFjT&amp;stp=c0.5000x0.5000f_dst-emg0_p64x64_q75_tt6&amp;ur=b696e2&amp;_nc_sid=58080a&amp;oh=00_Af6NN5cEcUrqsTCBd-fGr4np22ZpqIzwZzZFnPthp6oRGA&amp;oe=6A072D6E</t>
  </si>
  <si>
    <t>120244085820080520</t>
  </si>
  <si>
    <t>https://www.facebook.com/418887747980692/posts/122214710498542386</t>
  </si>
  <si>
    <t>https://www.instagram.com/p/DWZZnaPAO8R/</t>
  </si>
  <si>
    <t>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EKfNNcG7ag470s4WlRfq9xgPPd4_FPwdi81t5crKguOiP59w_qJLovAwtZYXwcBwhvn_sxbTHS&amp;stp=c0.5000x0.5000f_dst-emg0_p64x64_q75_tt6&amp;ur=52f3c4&amp;_nc_sid=58080a&amp;oh=00_Af7tGGvC80MQgkUc6F9rXMk3fLb4ugettqPILl_Gdc3mCA&amp;oe=6A07362D</t>
  </si>
  <si>
    <t>120244085820090520</t>
  </si>
  <si>
    <t>https://www.facebook.com/418887747980692/posts/122214710840542386</t>
  </si>
  <si>
    <t>https://www.instagram.com/p/DWZZ0ihAOFD/</t>
  </si>
  <si>
    <t>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Hc7zYrnsLLNVBx2C0AZEmAaH0w2Ur83_ZoE2hKtqI5TzxJAolJsEOdzUVuG4_cjTo00RTAZEWP&amp;stp=c0.5000x0.5000f_dst-emg0_p64x64_q75_tt6&amp;ur=b696e2&amp;_nc_sid=58080a&amp;oh=00_Af5ucmkUhtszh7xNV4maUpTlWddM_n7GVHmU5lZA1-QtQA&amp;oe=6A0712D4</t>
  </si>
  <si>
    <t>120244085820100520</t>
  </si>
  <si>
    <t>https://www.facebook.com/418887747980692/posts/122214710984542386</t>
  </si>
  <si>
    <t>https://www.instagram.com/p/DWZZpDrADWs/</t>
  </si>
  <si>
    <t>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EXhJ1LfbG6qn2QdayOoBzf7xDmePZimpA_Ta6GgU1JkSjCY5_rfMm6sFal6eh2zrr4EDFX9XUM&amp;stp=c0.5000x0.5000f_dst-emg0_p64x64_q75_tt6&amp;ur=b696e2&amp;_nc_sid=58080a&amp;oh=00_Af7ObzrlimoMaJLyLdtpcFQePF-XOYc9JeMJsQ9uyj8ZWQ&amp;oe=6A072CA5</t>
  </si>
  <si>
    <t>120244085820110520</t>
  </si>
  <si>
    <t>https://www.facebook.com/418887747980692/posts/122214710996542386</t>
  </si>
  <si>
    <t>https://www.instagram.com/p/DWZZzvDgHRx/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</si>
  <si>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TVTAtxJuMBft8rw2K7QMSyIm4hPDLkSeeXvft6G_v1IDcfPL6R_w6tzpjbhkXZWENUZQlkpBP&amp;stp=c0.5000x0.5000f_dst-emg0_p64x64_q75_tt6&amp;ur=b696e2&amp;_nc_sid=58080a&amp;oh=00_Af72f1m9hGaf-kbMc3TCtzXXmdl12IrBqqdphIJr9k08vQ&amp;oe=6A07199E</t>
  </si>
  <si>
    <t>120244085820120520</t>
  </si>
  <si>
    <t>https://www.instagram.com/p/DWZZlQiACRS/</t>
  </si>
  <si>
    <t>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FkMZBZXjI10lLyigSxbV9gD0GbAPYfzrUbXTqqN8dKVKHC2vmi_NgzD9LGHrzTSiThzDL0S0ad&amp;stp=c0.5000x0.5000f_dst-emg0_p64x64_q75_tt6&amp;ur=b696e2&amp;_nc_sid=58080a&amp;oh=00_Af5dcuo_iGb9BdBgqeqhXBYwh6IiTdjL9QMXAaMUq2jnUg&amp;oe=6A070B62</t>
  </si>
  <si>
    <t>120244086088710520</t>
  </si>
  <si>
    <t>https://www.facebook.com/418887747980692/posts/122214710756542386</t>
  </si>
  <si>
    <t>https://www.instagram.com/p/DWZZpaagLDz/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</si>
  <si>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91MkPgd-mEcoC9DLBDV_E9L6ah2kb6B-u4w-c2jp24JLqg-10bIqPZoq3f1K9QvzS4pcikXPh&amp;stp=c0.5000x0.5000f_dst-emg0_p64x64_q75_tt6&amp;ur=b696e2&amp;_nc_sid=58080a&amp;oh=00_Af7bx7KK3bv8WUA_deO15heHWuOh49ZgY0HXqSh8GYAw6A&amp;oe=6A07199E</t>
  </si>
  <si>
    <t>120244086088720520</t>
  </si>
  <si>
    <t>https://www.facebook.com/418887747980692/posts/122214711056542386</t>
  </si>
  <si>
    <t>https://www.instagram.com/p/DWZZpVtACZI/</t>
  </si>
  <si>
    <t>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G9mnhx81MrUWMSf4khjARceY4aN65xt-fNI8hPecumW0MrJUYerMuRJKDmdn065pou5RbI4_GE&amp;stp=c0.5000x0.5000f_dst-emg0_p64x64_q75_tt6&amp;ur=b696e2&amp;_nc_sid=58080a&amp;oh=00_Af4DZ_0buV1VbmC2D1yi7YHjEbDqLVfM30VWc6RBhDvVIw&amp;oe=6A072D09</t>
  </si>
  <si>
    <t>120244086088730520</t>
  </si>
  <si>
    <t>https://www.facebook.com/418887747980692/posts/122214711086542386</t>
  </si>
  <si>
    <t>https://www.instagram.com/p/DWZZpTQgHpw/</t>
  </si>
  <si>
    <t>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FsxF5uXNMtUxnOGFAOR3exG9-lLAy8mhRCiirdgTm2bYyd0soiEKTQ2e1LAJkqlBH4nMvqlRrP&amp;stp=c0.5000x0.5000f_dst-emg0_p64x64_q75_tt6&amp;ur=b696e2&amp;_nc_sid=58080a&amp;oh=00_Af7HAx8swCR3gZydP7ssC7BWfq2D306ymu2Dr9NiFXFoyw&amp;oe=6A070B62</t>
  </si>
  <si>
    <t>120244086088740520</t>
  </si>
  <si>
    <t>https://www.facebook.com/418887747980692/posts/122214711038542386</t>
  </si>
  <si>
    <t>https://www.instagram.com/p/DWZZnf-AC9_/</t>
  </si>
  <si>
    <t>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HACZMOWbOXRe0Z-J71zdWQbcxWgGSoj6iaF5kjUAYvpCA_LeqFOb7sE2UFU3kDXk_JjG0IOmfO&amp;stp=c0.5000x0.5000f_dst-emg0_p64x64_q75_tt6&amp;ur=b696e2&amp;_nc_sid=58080a&amp;oh=00_Af5Mf26MGh9yz4TBCKhSoDVjb5C-uJY6Ne9hBruzU82tOA&amp;oe=6A072CB3</t>
  </si>
  <si>
    <t>120244086088750520</t>
  </si>
  <si>
    <t>https://www.facebook.com/418887747980692/posts/122214710972542386</t>
  </si>
  <si>
    <t>https://www.instagram.com/p/DWZZpRxgIrQ/</t>
  </si>
  <si>
    <t>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GU1UkEWtP6Ypic4ieyTLaydoA498hppzR6KyBoRSYo7riReEShrf7jLBQE4gY-drfLf_iU-jIo&amp;stp=c0.5000x0.5000f_dst-emg0_p64x64_q75_tt6&amp;ur=b696e2&amp;_nc_sid=58080a&amp;oh=00_Af72gUU9hg8K2eZBvrBEAE5Ot5kSmRNWHRzNBG1NRhZ0AA&amp;oe=6A0729E5</t>
  </si>
  <si>
    <t>120244086088760520</t>
  </si>
  <si>
    <t>https://www.facebook.com/418887747980692/posts/122214711296542386</t>
  </si>
  <si>
    <t>https://www.instagram.com/p/DWZZnxvAAjQ/</t>
  </si>
  <si>
    <t>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F4b4060hytpVijtp1CrgIov0VH5eyTDu868Aw4u1CpwCzzGLFVefQIWLKiEEoG_jnzPDvDRQyP&amp;stp=c0.5000x0.5000f_dst-emg0_p64x64_q75_tt6&amp;ur=b696e2&amp;_nc_sid=58080a&amp;oh=00_Af4itVmvo1Iq5nZD_1mbL9sFoX-J1P-0qp-SEn1LDai9oQ&amp;oe=6A072D6E</t>
  </si>
  <si>
    <t>120244086088770520</t>
  </si>
  <si>
    <t>https://www.facebook.com/418887747980692/posts/122214710546542386</t>
  </si>
  <si>
    <t>https://www.instagram.com/p/DWZZmxvACiI/</t>
  </si>
  <si>
    <t>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EKLtT8VNF_HLP0FjcB2FbQUG2CcwCA9CdD_4h5zRcFdLeC0T_yaEPW-Tk119q-EXKpith-XeEN&amp;stp=c0.5000x0.5000f_dst-emg0_p64x64_q75_tt6&amp;ur=52f3c4&amp;_nc_sid=58080a&amp;oh=00_Af7kwERopUciyLnCGk3h7XeGUYd5OzzF0fzC8P1eQm9kww&amp;oe=6A07362D</t>
  </si>
  <si>
    <t>120244086088780520</t>
  </si>
  <si>
    <t>https://www.facebook.com/418887747980692/posts/122214710732542386</t>
  </si>
  <si>
    <t>https://www.instagram.com/p/DWZZo8wgOwO/</t>
  </si>
  <si>
    <t>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F6E1-tSG7X4ZX5ZlcefAYycSDrRXhXHxUerKRbcHFeWZVHwE3t1G2ldbc9FaiMdCVTIdREbest&amp;stp=c0.5000x0.5000f_dst-emg0_p64x64_q75_tt6&amp;ur=b696e2&amp;_nc_sid=58080a&amp;oh=00_Af5mkLNmDGGNsmaptQ16qZfMSsNwOv4z_7NuXg68Anoy4w&amp;oe=6A0712D4</t>
  </si>
  <si>
    <t>120244086088790520</t>
  </si>
  <si>
    <t>https://www.facebook.com/418887747980692/posts/122214710954542386</t>
  </si>
  <si>
    <t>https://www.instagram.com/p/DWZZscSgPeS/</t>
  </si>
  <si>
    <t>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9KkWEc82mBZ-E3lzWZ7kv4jhO9QTKeDGzVCGjYRe9MrXUmV_pgL_RfjdrNNpz-fphbG-8ak1B&amp;stp=c0.5000x0.5000f_dst-emg0_p64x64_q75_tt6&amp;ur=b696e2&amp;_nc_sid=58080a&amp;oh=00_Af4zdFua4d7eAPjwxtxbVICxzPjig5rCu5OsEv2IOm1cHA&amp;oe=6A072CA5</t>
  </si>
  <si>
    <t>[MA][cadastro][captação][específico][reels][PBB-ABR-26][30.03.26]</t>
  </si>
  <si>
    <t>120244086433970520</t>
  </si>
  <si>
    <t>https://www.facebook.com/418887747980692/posts/122214720764542386</t>
  </si>
  <si>
    <t>https://www.instagram.com/p/DWZaMfYgDKM/</t>
  </si>
  <si>
    <t>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G4dFyHN_QQ8G2NRQbDeoGVdIjIZeGEKeevCvtVcvG7iEgQQJPz4HCbgxADAe2vaQ7rpnyQQbFB&amp;stp=c0.5000x0.5000f_dst-emg0_p64x64_q75_tt6&amp;ur=5fad0e&amp;_nc_sid=58080a&amp;oh=00_Af5nzEekQe9ktakeah8CHgB08ICmSptQat6KOkPOA9UC0g&amp;oe=6A0738D6</t>
  </si>
  <si>
    <t>120244086433980520</t>
  </si>
  <si>
    <t>https://www.facebook.com/418887747980692/posts/122214720776542386</t>
  </si>
  <si>
    <t>https://www.instagram.com/p/DWZaMfSAPhK/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</si>
  <si>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f52YfCvDfa5R1wBzpBErWLGrqQdy5ma0VQrmpmZ3qpGGFlI52TgnDe-k_giowZvQp0nWuBnN0&amp;stp=c0.5000x0.5000f_dst-emg0_p64x64_q75_tt6&amp;ur=5fad0e&amp;_nc_sid=58080a&amp;oh=00_Af7g5sklcP7_4GHi2TgmauB8OJC_ewWnLA8_yC9MH64GVw&amp;oe=6A07199E</t>
  </si>
  <si>
    <t>120244086433990520</t>
  </si>
  <si>
    <t>https://www.facebook.com/418887747980692/posts/122215596500542386</t>
  </si>
  <si>
    <t>https://www.instagram.com/p/DWofuaaAPJ_/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</si>
  <si>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5PbQGSKq1648zhCw2R1Pb70paevrCb9pCgfDbgqo3fvBevXiFwNFkh25NhjsvsbLrT6E0_ana&amp;stp=c0.5000x0.5000f_dst-emg0_p64x64_q75_tt6&amp;ur=5fad0e&amp;_nc_sid=58080a&amp;oh=00_Af5k8um88z_koHOxikRlxzOzaJGd8nz8wuniTCZ8jNvH2Q&amp;oe=6A072B9E</t>
  </si>
  <si>
    <t>120244086434320520</t>
  </si>
  <si>
    <t>https://www.facebook.com/418887747980692/posts/122214720788542386</t>
  </si>
  <si>
    <t>https://www.instagram.com/p/DWZaMvcgEdi/</t>
  </si>
  <si>
    <t>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Hv4n8mXKbj2HU6gpcTH3w9AOMOzb8AXVCt8fkTG5wpAn4LCEVGGXCur_cDnSGF6rH6WXvCD0XE&amp;stp=c0.5000x0.5000f_dst-emg0_p64x64_q75_tt6&amp;ur=5fad0e&amp;_nc_sid=58080a&amp;oh=00_Af6wdM8dy0dUNgFwbSYPlDUKVUofYNSNM5AXwiAINaUsKw&amp;oe=6A07199E</t>
  </si>
  <si>
    <t>120244086434330520</t>
  </si>
  <si>
    <t>https://www.facebook.com/418887747980692/posts/122214720752542386</t>
  </si>
  <si>
    <t>https://www.instagram.com/p/DWZaMf3AKUb/</t>
  </si>
  <si>
    <t>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GeqyHock0gFUnnkt7DYyjSmdkjgzu6Pmd0awIbsg1omK4HP3LlPl0thdrvMAA0GQrpRVWYbSh0&amp;stp=c0.5000x0.5000f_dst-emg0_p64x64_q75_tt6&amp;ur=5fad0e&amp;_nc_sid=58080a&amp;oh=00_Af77UIQRfpTYT2q_pz08CFwzu-D4sJystXgSz6PD2BCwaQ&amp;oe=6A0738D6</t>
  </si>
  <si>
    <t>120244086434340520</t>
  </si>
  <si>
    <t>https://www.facebook.com/418887747980692/posts/122215146980542386</t>
  </si>
  <si>
    <t>https://www.instagram.com/p/DWg999pAGc3/</t>
  </si>
  <si>
    <t>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KAzSyOHNSjFgTVkCRAwo6Izdk1RVHSMXWHEE_D5wzFusdTnDWuCrxeFx0KUsSBFmo3qk1aFyQ&amp;stp=c0.5000x0.5000f_dst-emg0_p64x64_q75_tt6&amp;ur=5fad0e&amp;_nc_sid=58080a&amp;oh=00_Af7yG3jtZrjSo-w_EExK6V0hPZrVvLxuFh-9-vzg3xXkVg&amp;oe=6A072B9E</t>
  </si>
  <si>
    <t>120244268020800520</t>
  </si>
  <si>
    <t>https://www.facebook.com/418887747980692/posts/122215164758542386</t>
  </si>
  <si>
    <t>https://www.instagram.com/p/DWhOoBpgN6r/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</si>
  <si>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G9FhqN-W402hCbWRhKF3G8pnVnbgoF0IcVNcdxlvtj_8ubWSzBjcuDFG3gyrXRSgSAVubLrsCh&amp;stp=c0.5000x0.5000f_dst-emg0_p64x64_q75_tt6&amp;ur=5fad0e&amp;_nc_sid=58080a&amp;oh=00_Af4G7478unCeCdB-Xfjzxx4D7aPIpWRs2GkF0ngDG5kWhg&amp;oe=6A0712F5</t>
  </si>
  <si>
    <t>120244268298380520</t>
  </si>
  <si>
    <t>https://www.facebook.com/418887747980692/posts/122215164680542386</t>
  </si>
  <si>
    <t>https://www.instagram.com/p/DWhOnmrACnh/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</si>
  <si>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FQVP1JPrJ5kCy1Ign0M47vpSyvahUCuaUafg7w_6-G9wNZCadDKZHddiB0gJMJA49SSTApW62W&amp;stp=c0.5000x0.5000f_dst-emg0_p64x64_q75_tt6&amp;ur=5fad0e&amp;_nc_sid=58080a&amp;oh=00_Af78LszEx0V2urryAuvqQDu1buS3PpAMkXWq7c1-UJk-dA&amp;oe=6A0712F5</t>
  </si>
  <si>
    <t>120244268298390520</t>
  </si>
  <si>
    <t>https://www.facebook.com/418887747980692/posts/122215164704542386</t>
  </si>
  <si>
    <t>https://www.instagram.com/p/DWhOo33gBdw/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</si>
  <si>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H9Qb9DOLj8QX3tHVCwT9hgChBDiNN3xm6dxndRwW7QanBkaZMfx2q4N-lQfijNE0Ac6Be6hn1z&amp;stp=c0.5000x0.5000f_dst-emg0_p64x64_q75_tt6&amp;ur=5fad0e&amp;_nc_sid=58080a&amp;oh=00_Af6lbaGRC1JApmDd6WuU1f81FvuwufWlQHZ3WFDixVn1Lw&amp;oe=6A0712F5</t>
  </si>
  <si>
    <t>120244268298580520</t>
  </si>
  <si>
    <t>https://www.facebook.com/418887747980692/posts/122215164692542386</t>
  </si>
  <si>
    <t>https://www.instagram.com/p/DWhOpDdgLoj/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</si>
  <si>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GTTg3MlY1npamZhq2Nss2HtKVVl0Kj8Gw4p55Wo2p_Iya-wlYhtT5NYkzGKakP0xXPEPrgzr4O&amp;stp=c0.5000x0.5000f_dst-emg0_p64x64_q75_tt6&amp;ur=5fad0e&amp;_nc_sid=58080a&amp;oh=00_Af7asYeVRz76RingbaRKX1gZ4IXHlIGIrXyKqGUF2eBEgQ&amp;oe=6A0712F5</t>
  </si>
  <si>
    <t>120244268298590520</t>
  </si>
  <si>
    <t>https://www.facebook.com/418887747980692/posts/122215164686542386</t>
  </si>
  <si>
    <t>https://www.instagram.com/p/DWhOnyYgCFe/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</si>
  <si>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EGmx4C_YY6InnPpkkzAyL9AW_1sq4x7S6U2GAYL01qjtniegT6x8UR0ckHXzDJULAV3wOzeDvV&amp;stp=c0.5000x0.5000f_dst-emg0_p64x64_q75_tt6&amp;ur=5fad0e&amp;_nc_sid=58080a&amp;oh=00_Af75ZSbRbh3Z3lYkDax-BHq-FU1hR8XV5NaRlC_Vb_TyCA&amp;oe=6A0712F5</t>
  </si>
  <si>
    <t>120244268298600520</t>
  </si>
  <si>
    <t>https://www.facebook.com/418887747980692/posts/122215164638542386</t>
  </si>
  <si>
    <t>https://www.instagram.com/p/DWhOnowgLzZ/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</si>
  <si>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FLk0felcmKJ9KhoN_ujprKnJBtPEvuq5YTP13NgBX8k8RK1QKDmlWR-yOJu5kZUZ3HKRT0wDtP&amp;stp=c0.5000x0.5000f_dst-emg0_p64x64_q75_tt6&amp;ur=5fad0e&amp;_nc_sid=58080a&amp;oh=00_Af6Q9iOYuQ557t8Gh2mOl7MhvJdidUcni4TnjmgrwtaMTA&amp;oe=6A0712F5</t>
  </si>
  <si>
    <t>120244268298610520</t>
  </si>
  <si>
    <t>https://www.facebook.com/418887747980692/posts/122215164770542386</t>
  </si>
  <si>
    <t>https://www.instagram.com/p/DWhOn08gI6U/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</si>
  <si>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EJ3rVNDW2aVEmBUQIqRo4GsQf0j_QabTU-F-_HS3A-AeQF9FR6xqrk7Wdx2nk27nTA2vTPYKKi&amp;stp=c0.5000x0.5000f_dst-emg0_p64x64_q75_tt6&amp;ur=5fad0e&amp;_nc_sid=58080a&amp;oh=00_Af5W8pfNUrYIGl4wiJzBAW1B2q_K1cxbXeDid8r6ebBPUw&amp;oe=6A0712F5</t>
  </si>
  <si>
    <t>120244268329150520</t>
  </si>
  <si>
    <t>https://www.facebook.com/418887747980692/posts/122215164698542386</t>
  </si>
  <si>
    <t>https://www.instagram.com/p/DWhOnnvgODu/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</si>
  <si>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HcUiKBeMnUnvDxvFgs52EAVDZQ33D9Hswn7C8VK-KO0v51StArUF3-3-YcdF773gZ27WpxyfZ1&amp;stp=c0.5000x0.5000f_dst-emg0_p64x64_q75_tt6&amp;ur=5fad0e&amp;_nc_sid=58080a&amp;oh=00_Af6uAXJ4wpS1t4x08wUMz9261JrFIivPO3xLGrpmqBG5Gw&amp;oe=6A0712F5</t>
  </si>
  <si>
    <t>120244268354900520</t>
  </si>
  <si>
    <t>https://www.facebook.com/418887747980692/posts/122215164644542386</t>
  </si>
  <si>
    <t>https://www.instagram.com/p/DWhOnxTgNdb/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</si>
  <si>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E3_jx0dQYCiRspCZArDcpGlmIvYSVgHIGIpTPCFTlG3dnsOUtQwG-17ski_EdKwI7C4mZNIRlm&amp;stp=c0.5000x0.5000f_dst-emg0_p64x64_q75_tt6&amp;ur=5fad0e&amp;_nc_sid=58080a&amp;oh=00_Af7sXTJhTiwD7bgObClr5v14GoF5y5vzKOJbSrKZxEBvGQ&amp;oe=6A0712F5</t>
  </si>
  <si>
    <t>120244268354920520</t>
  </si>
  <si>
    <t>https://www.facebook.com/418887747980692/posts/122215164668542386</t>
  </si>
  <si>
    <t>https://www.instagram.com/p/DWhOnplAHmE/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</si>
  <si>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HlyKTTfDe2-PWf7U10azXRrqAri0S8UDm-bZxUDt6wESD9cpykQB-iBiQQgPa61bMF88iff14B&amp;stp=c0.5000x0.5000f_dst-emg0_p64x64_q75_tt6&amp;ur=5fad0e&amp;_nc_sid=58080a&amp;oh=00_Af5ChMYxAZGydghE-KPrS4uN0hMLuvkZfv195_ykwrcvXw&amp;oe=6A0712F5</t>
  </si>
  <si>
    <t>120244268369420520</t>
  </si>
  <si>
    <t>https://www.facebook.com/418887747980692/posts/122215164662542386</t>
  </si>
  <si>
    <t>https://www.instagram.com/p/DWhOnjdANQx/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</si>
  <si>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FZPMX3IkM0vb3ui6hUlIqWDNgz0rmD_DwP9HkuYoBnGaBAIDRj83S0AThhOxZ-QKnWGj3rI0iE&amp;stp=c0.5000x0.5000f_dst-emg0_p64x64_q75_tt6&amp;ur=5fad0e&amp;_nc_sid=58080a&amp;oh=00_Af7gk7XzdSApZ5tJQLEQglwg5mKr7bCPLm1IvEWAgkbKlA&amp;oe=6A0712F5</t>
  </si>
  <si>
    <t>120244268384980520</t>
  </si>
  <si>
    <t>https://www.facebook.com/418887747980692/posts/122215164674542386</t>
  </si>
  <si>
    <t>https://www.instagram.com/p/DWhOnsTgBFi/</t>
  </si>
  <si>
    <t>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HYOQQJ8Ltna8Xl7TC6SVj1sME-B0cb0CihsNRWvR0DehphLbBNExBmt6raUHRBFjSVpFmYm6O9&amp;stp=c0.5000x0.5000f_dst-emg0_p64x64_q75_tt6&amp;ur=5fad0e&amp;_nc_sid=58080a&amp;oh=00_Af7kCsKscvmh27yGCDRIrayXbzMAaJHqyxXYGVssJDx5Dg&amp;oe=6A0712F5</t>
  </si>
  <si>
    <t>[MA][cadastro][captação][quente][novos-ads][PBB-ABR-26][07.03.26]</t>
  </si>
  <si>
    <t>120244861028530520</t>
  </si>
  <si>
    <t>https://www.instagram.com/p/DW1NH6CgA-F/</t>
  </si>
  <si>
    <t>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u5Q2t60cgb2hiFKqT4mRL6aySwkCguPZz06k2EpHkkJZloulm1uX6-3kas4hzvm5XoTQk3287&amp;stp=c0.5000x0.5000f_dst-emg0_p64x64_q75_tt6&amp;ur=b696e2&amp;_nc_sid=58080a&amp;oh=00_Af4XUr50eBV0iKpymQhhYIsoAgF0b1TTN34J1MuiLvn0pA&amp;oe=6A072BAC</t>
  </si>
  <si>
    <t>120244861028560520</t>
  </si>
  <si>
    <t>https://www.facebook.com/418887747980692/posts/122216291372542386</t>
  </si>
  <si>
    <t>https://www.instagram.com/p/DW1NKI6ABeI/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</si>
  <si>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HM2t9q0Bsndi-ZIEE7-_QdJjlA-2wLD49MAbb1VcXpBGcDSsgMsWT6lvZEe_IBGowVrNJbE2Z&amp;stp=c0.5000x0.5000f_dst-emg0_p64x64_q75_tt6&amp;ur=b696e2&amp;_nc_sid=58080a&amp;oh=00_Af4edv5FPRfza0HVHvUmnUAUmsQP1yWf2lXsIDTWV-Ix4g&amp;oe=6A073222</t>
  </si>
  <si>
    <t>120244861028570520</t>
  </si>
  <si>
    <t>https://www.instagram.com/p/DW1NHz3AGC6/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</si>
  <si>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I0y2nEtMs1FsVH0JZrCfvEtDu4jY1erdKxtK_YeIDeM0nsLKTt_KKvsOZVFiKv_ihHOCQntYf&amp;stp=c0.5000x0.5000f_dst-emg0_p64x64_q75_tt6&amp;ur=b696e2&amp;_nc_sid=58080a&amp;oh=00_Af7rkC7OO4zxWsa07gym_4iXu_zDjF_UwOphLp9PODJTDw&amp;oe=6A071423</t>
  </si>
  <si>
    <t>120244861028720520</t>
  </si>
  <si>
    <t>120244861028750520</t>
  </si>
  <si>
    <t>120244861028790520</t>
  </si>
  <si>
    <t>120244861028820520</t>
  </si>
  <si>
    <t>120244861028910520</t>
  </si>
  <si>
    <t>https://www.instagram.com/p/DW4QGeegD2f/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</si>
  <si>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Ht-sdjc5w4bJp-T85iscya25oq7E1x288xyTB5gLdzj7-wDAn3W8GgudkBEcwMmUwTbvesVX6G&amp;stp=c0.5000x0.5000f_dst-emg0_p64x64_q75_tt6&amp;ur=b696e2&amp;_nc_sid=58080a&amp;oh=00_Af5KgZhAc6XGWTXydRspaQRb8Bp-jHhiDEb8MQc9x_FBuA&amp;oe=6A071423</t>
  </si>
  <si>
    <t>120244861028930520</t>
  </si>
  <si>
    <t>https://www.instagram.com/p/DW1NK3EgNLu/</t>
  </si>
  <si>
    <t>120244861028940520</t>
  </si>
  <si>
    <t>120244861028970520</t>
  </si>
  <si>
    <t>120244861029020520</t>
  </si>
  <si>
    <t>https://www.instagram.com/p/DW1NLC3AKbs/</t>
  </si>
  <si>
    <t>120244861029030520</t>
  </si>
  <si>
    <t>https://www.instagram.com/p/DW1NJOIAHi0/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</si>
  <si>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w7PKqP7zyUyxjDvG8WC_WKmHlRfzDT05sNFvSuWTWj4devs3b2suDucyAYrR4be5Gxv9MPDge&amp;stp=c0.5000x0.5000f_dst-emg0_p64x64_q75_tt6&amp;ur=b696e2&amp;_nc_sid=58080a&amp;oh=00_Af6KfaJ526RMNOcRNdfYB5a6IV6rxmcbi91SrgBdRy9lEQ&amp;oe=6A073222</t>
  </si>
  <si>
    <t>120244861029090520</t>
  </si>
  <si>
    <t>120244861029100520</t>
  </si>
  <si>
    <t>120244861029120520</t>
  </si>
  <si>
    <t>120244861029140520</t>
  </si>
  <si>
    <t>https://www.instagram.com/p/DW4QI9BgB2y/</t>
  </si>
  <si>
    <t>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czk5l-Lz7cUeaAFvJPO9iH1JEmVr1i69Lc8bP-xAY2GccyoYS2cgV_93eN83TPBnX_lfhjMCn&amp;stp=c0.5000x0.5000f_dst-emg0_p64x64_q75_tt6&amp;ur=b696e2&amp;_nc_sid=58080a&amp;oh=00_Af5TsyfK1-r5WhLGzdDoE88n3gxAOA0EzqPuJjfJ7ge15g&amp;oe=6A073222</t>
  </si>
  <si>
    <t>120244861029160520</t>
  </si>
  <si>
    <t>https://www.instagram.com/p/DW6MIuDACCe/</t>
  </si>
  <si>
    <t>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-fsGXlG6_PtXL3QNjPJtGyOU3YR73TCaQceDNSdSc96GdF5odmmXNEHbkqJinQ6jfa7_-BGRY&amp;stp=c0.5000x0.5000f_dst-emg0_p64x64_q75_tt6&amp;ur=b696e2&amp;_nc_sid=58080a&amp;oh=00_Af6rPmSOh8II9Sidc96IPjvNFL2CbNYFO7Q5aQMddXBfRQ&amp;oe=6A071423</t>
  </si>
  <si>
    <t>120244861029190520</t>
  </si>
  <si>
    <t>120244861029220520</t>
  </si>
  <si>
    <t>120244861029230520</t>
  </si>
  <si>
    <t>120244970404930520</t>
  </si>
  <si>
    <t>https://www.facebook.com/418887747980692/posts/122216561186542386</t>
  </si>
  <si>
    <t>https://www.instagram.com/p/DW6UX84gGkw/</t>
  </si>
  <si>
    <t>https://scontent.xx.fbcdn.net/v/t15.5256-10/668079384_936738622474652_8707530169286926673_n.jpg?_nc_cat=105&amp;ccb=1-7&amp;_nc_ohc=CsCA30aF6JQQ7kNvwF_d6gC&amp;_nc_oc=Adq5UVdX_mzSiY98AEGH4CE2IMHu5l3TBSA9Tv5COXvZb3-nbdFpXUVIAyZzme4etQo&amp;_nc_zt=23&amp;_nc_ht=scontent.xx&amp;edm=AAwGEdEEAAAA&amp;_nc_gid=iEndcDk33bF5gt7MdoYrfg&amp;_nc_tpa=Q5bMBQELwqAYbyMUISrejWqpjTfGxpmyfBAsG0xQi9omdGmhqhnlCvb-5DJX8K9CDv9Qpt9IYOKwFjvR&amp;stp=c0.5000x0.5000f_dst-emg0_p64x64_q75_tt6&amp;ur=5fad0e&amp;_nc_sid=58080a&amp;oh=00_Af4ZlQmzLzStWeZ73I-6_89EVyp_Ne5qUeeDwYXTUOgYBQ&amp;oe=6A071CE2</t>
  </si>
  <si>
    <t>120244970780750520</t>
  </si>
  <si>
    <t>120244970780760520</t>
  </si>
  <si>
    <t>120244970780980520</t>
  </si>
  <si>
    <t>120244970781010520</t>
  </si>
  <si>
    <t>120244970781020520</t>
  </si>
  <si>
    <t>120244970781140520</t>
  </si>
  <si>
    <t>120244970845120520</t>
  </si>
  <si>
    <t>https://www.facebook.com/418887747980692/posts/122216579648542386</t>
  </si>
  <si>
    <t>https://www.instagram.com/p/DW6j0ZWAN_K/</t>
  </si>
  <si>
    <t>https://scontent.xx.fbcdn.net/v/t15.5256-10/668684979_2121389985454926_6771382376035068925_n.jpg?_nc_cat=104&amp;ccb=1-7&amp;_nc_ohc=Nsnd88IjSOsQ7kNvwF7zE0q&amp;_nc_oc=AdqdnrrZfwSQLBRzBR6mqwO6YOeQkSTxwliclIMhYM-l1yozHpkJ0XZsdVeRoG4fZqg&amp;_nc_zt=23&amp;_nc_ht=scontent.xx&amp;edm=AAwGEdEEAAAA&amp;_nc_gid=iEndcDk33bF5gt7MdoYrfg&amp;_nc_tpa=Q5bMBQEMobvcTv93FUmodBFJRMfbjqOkltL6zm72HoGMAPar1-0_wdlsg_-PZ7ambxA489i35qHcx6Lc&amp;stp=c0.5000x0.5000f_dst-emg0_p64x64_q75_tt6&amp;ur=5fad0e&amp;_nc_sid=58080a&amp;oh=00_Af4tpU_h905pCb5DQS9b5gTaMntPi8rBDHtLOAPkcIBrcw&amp;oe=6A072078</t>
  </si>
  <si>
    <t>120244976840660520</t>
  </si>
  <si>
    <t>https://www.facebook.com/418887747980692/posts/122216580968542386</t>
  </si>
  <si>
    <t>https://www.instagram.com/p/DW6kInegPkV/</t>
  </si>
  <si>
    <t>https://scontent.xx.fbcdn.net/v/t15.5256-10/669789746_997175606304558_8900824414369364553_n.jpg?_nc_cat=111&amp;ccb=1-7&amp;_nc_ohc=Oq4fFveQw9AQ7kNvwGmaDTl&amp;_nc_oc=Ado0Qccr_3yWVcQEU2x8ZfZFnpK7yvT8NTF5Nulanb4vV89ree8iFo4UzG_7YIUKpPQ&amp;_nc_zt=23&amp;_nc_ht=scontent.xx&amp;edm=AAwGEdEEAAAA&amp;_nc_gid=iEndcDk33bF5gt7MdoYrfg&amp;_nc_tpa=Q5bMBQGThKt2ByO12953exkBTBplFw9fNZWe216zRyIHMkMYT-bnaZ5Eh66rFuk2xRXPgfLVhvEc9YM3&amp;stp=c0.5000x0.5000f_dst-emg0_p64x64_q75_tt6&amp;ur=5fad0e&amp;_nc_sid=58080a&amp;oh=00_Af5BtFsrMlms4_x9Qzg1NAYWlQ3w1vkMkyecwHj5nnWwPA&amp;oe=6A072E20</t>
  </si>
  <si>
    <t>120244976987000520</t>
  </si>
  <si>
    <t>120244976987010520</t>
  </si>
  <si>
    <t>120244976987030520</t>
  </si>
  <si>
    <t>120244976987040520</t>
  </si>
  <si>
    <t>120244976987050520</t>
  </si>
  <si>
    <t>120244976987060520</t>
  </si>
  <si>
    <t>120244976987070520</t>
  </si>
  <si>
    <t>120244976987080520</t>
  </si>
  <si>
    <t>120244976987090520</t>
  </si>
  <si>
    <t>120244976987100520</t>
  </si>
  <si>
    <t>120244976987110520</t>
  </si>
  <si>
    <t>120244976987120520</t>
  </si>
  <si>
    <t>Cost (Spend)</t>
  </si>
  <si>
    <t>Conversions</t>
  </si>
  <si>
    <t>Cost / conv.</t>
  </si>
  <si>
    <t>Ad Group Name</t>
  </si>
  <si>
    <t>Day</t>
  </si>
  <si>
    <t>Video Id</t>
  </si>
  <si>
    <t>[GA][captação][específico][principal][PBB-ABR-26][03.04.26]</t>
  </si>
  <si>
    <t>00 - Viu vídeos Pré-quali - PBB-ABR-26</t>
  </si>
  <si>
    <t>IdQJSf3JppY</t>
  </si>
  <si>
    <t>M6VD6Pln568</t>
  </si>
  <si>
    <t>tO9pNx1LfKA</t>
  </si>
  <si>
    <t>Tx0nZPWkzH0</t>
  </si>
  <si>
    <t>lMk8JGTt2mc</t>
  </si>
  <si>
    <t>8acIC41_Mmw</t>
  </si>
  <si>
    <t>Ti3VCdb7u4E</t>
  </si>
  <si>
    <t>VJqKqsMJaT4</t>
  </si>
  <si>
    <t>NLmBRbnX-ug</t>
  </si>
  <si>
    <t>jBKlN3bX0og</t>
  </si>
  <si>
    <t>0HMdWbp57lo</t>
  </si>
  <si>
    <t>VkyRIyDco-s</t>
  </si>
  <si>
    <t>upG2P3Y3q3s</t>
  </si>
  <si>
    <t>4dDWSOmIYok</t>
  </si>
  <si>
    <t>y95nmwsr09g</t>
  </si>
  <si>
    <t>8J5tSryxoTk</t>
  </si>
  <si>
    <t>BaOVaxqWipY</t>
  </si>
  <si>
    <t>MgU5DaTwVDk</t>
  </si>
  <si>
    <t>AD113 - Dois personagens apê do Felipe - PBB-ABR-26</t>
  </si>
  <si>
    <t>5l-QvmOhqcg</t>
  </si>
  <si>
    <t>O76iV2ENS2c</t>
  </si>
  <si>
    <t>SeiJCL4maXA</t>
  </si>
  <si>
    <t>01 - Viu vídeos Pré-quali Lançamentos Anteriores - PBB-ABR-26</t>
  </si>
  <si>
    <t>[MA][captação][frio][potencial][PBB-ABR-26][30.03.26][deletada]</t>
  </si>
  <si>
    <t>06 - Mercado (setor público)</t>
  </si>
  <si>
    <t>Rg43_EJ-8s0</t>
  </si>
  <si>
    <t>dhnfLJAxO98</t>
  </si>
  <si>
    <t>qgHpOh9HVh8</t>
  </si>
  <si>
    <t>1bkZtDTxNvg</t>
  </si>
  <si>
    <t>6n3Z91RWibs</t>
  </si>
  <si>
    <t>iamq8S3Hf64</t>
  </si>
  <si>
    <t>LYcFyzEJGaA</t>
  </si>
  <si>
    <t>jClx2DYAxmc</t>
  </si>
  <si>
    <t>x2LI5BIhd6I</t>
  </si>
  <si>
    <t>0SB2ePHb0iY</t>
  </si>
  <si>
    <t>AZlHTrUi9pw</t>
  </si>
  <si>
    <t>djbvJDz4I2M</t>
  </si>
  <si>
    <t>Q6T718-hm4c</t>
  </si>
  <si>
    <t>eLYj4OH6Aps</t>
  </si>
  <si>
    <t>yDfnEB0bZqg</t>
  </si>
  <si>
    <t>AD112 - Dois personagens - Brabo + legenda - PBB-ABR-26</t>
  </si>
  <si>
    <t>IcHF8g0MgJo</t>
  </si>
  <si>
    <t>Zq2lPkAZ-L8</t>
  </si>
  <si>
    <t>xpHRsV46KoY</t>
  </si>
  <si>
    <t>AD059 - Fachada Banco do Brasil + cx nova - PBB-ABR-26</t>
  </si>
  <si>
    <t>5-0MCecIIWA</t>
  </si>
  <si>
    <t>BPu0hIVXLcg</t>
  </si>
  <si>
    <t>CHqRt7c2QEU</t>
  </si>
  <si>
    <t>07 - Afinidade Personalizada (Estabilidade financeira) - Pesquisa Google</t>
  </si>
  <si>
    <t>08 - Afinidade Personalizada (Concurso Banco do Brasil) - Pesquisa Google</t>
  </si>
  <si>
    <t>[MA][captação][frio][teste][PBB-ABR-26][30.03.26]][deletada]</t>
  </si>
  <si>
    <t>2iAj_tKCyZM</t>
  </si>
  <si>
    <t>7u2fvc_ayP4</t>
  </si>
  <si>
    <t>wV8grEHeLlo</t>
  </si>
  <si>
    <t>JLTEHqzhLVE</t>
  </si>
  <si>
    <t>j3jkDvpO9l0</t>
  </si>
  <si>
    <t>4mszdrCODIk</t>
  </si>
  <si>
    <t>UPqaCWoiVOM</t>
  </si>
  <si>
    <t>ZXSq8I0nSRo</t>
  </si>
  <si>
    <t>AD090 - Dois personagens no divã - PBB-ABR-26</t>
  </si>
  <si>
    <t>RegrXI79CAw</t>
  </si>
  <si>
    <t>lG34T1tbHKs</t>
  </si>
  <si>
    <t>[MA][captação][específico][teste][PBB-ABR-26][30.03.26][deletada]</t>
  </si>
  <si>
    <t>[GA][captação][quente][principal][PBB-ABR-26][30.03.26][deletada]</t>
  </si>
  <si>
    <t>01 - Caiu na pag. de Captura - [PBB-ABR-26]</t>
  </si>
  <si>
    <t>NuBGa_jgAiU</t>
  </si>
  <si>
    <t>kfAaIeyFoas</t>
  </si>
  <si>
    <t>03 - Viu vídeos BB - 540D</t>
  </si>
  <si>
    <t>06 - Envolvimento - 180D</t>
  </si>
  <si>
    <t>00 - Cadastrados PBB</t>
  </si>
  <si>
    <t>02 - Viu vídeos de captação - 180D</t>
  </si>
  <si>
    <t>05 - Envolvimento - 60D</t>
  </si>
  <si>
    <t>04 - Viu Algum CPL Antigo</t>
  </si>
  <si>
    <t>[GA][captação][específico][teste][PBB-ABR-26][30.03.26]</t>
  </si>
  <si>
    <t>[MA][captação][específico][principal][PBB-ABR-26][30.03.26][deletada]</t>
  </si>
  <si>
    <t>[GA][captação][frio][potencial][PBB-ABR-26][30.03.26]</t>
  </si>
  <si>
    <t>[GA][captação][quente][potencial][PBB-ABR-26][30.03.26][deletada]</t>
  </si>
  <si>
    <t>[GA][captação][quente][teste][PBB-ABR-26][30.03.26][deletada]</t>
  </si>
  <si>
    <t>[GA][captação][quente][potencial][PBB-ABR-26][03.04.26]</t>
  </si>
  <si>
    <t>00 - Cadastrados PBB antigos</t>
  </si>
  <si>
    <t>[GA][captação][quente][principal][PBB-ABR-26][03.04.26][M]</t>
  </si>
  <si>
    <t>[GA][captação][quente][teste][PBB-ABR-26][30.03.26]</t>
  </si>
  <si>
    <t>[GA][captação][específico][potencial][PBB-ABR-26][30.03.26]</t>
  </si>
  <si>
    <t>[MA][captação][frio][principal][PBB-ABR-26][30.03.26][deletada]</t>
  </si>
  <si>
    <t>[MA][captação][específico][potencial][PBB-ABR-26][30.03.26][deletada]</t>
  </si>
  <si>
    <t>[GA][captação][frio][principal][PBB-ABR-26][03.04.26]</t>
  </si>
  <si>
    <t>3DuOTf1ED8w</t>
  </si>
  <si>
    <t>HxkcBpVSqt0</t>
  </si>
  <si>
    <t>MTBbsOnGHJE</t>
  </si>
  <si>
    <t>7AaS_i1RuMg</t>
  </si>
  <si>
    <t>hOGcmnJwijc</t>
  </si>
  <si>
    <t>kVoR845R6FQ</t>
  </si>
  <si>
    <t>[GA][captação][frio][teste][PBB-ABR-26][30.03.26]</t>
  </si>
  <si>
    <t>[GA][captação][específico][principal][PBB-ABR-26][01.04.26]</t>
  </si>
  <si>
    <t>[GA][captação][frio][potencial][PBB-ABR-26][01.04.26]</t>
  </si>
  <si>
    <t>[GA][captação][frio][principal][PBB-ABR-26][01.04.26]</t>
  </si>
  <si>
    <t>[GA][captação][quente][potencial][PBB-ABR-26][01.04.26]</t>
  </si>
  <si>
    <t>[GA][captação][quente][principal][PBB-ABR-26][01.04.26]</t>
  </si>
  <si>
    <t>[GA][captação][específico][potencial][PBB-ABR-26][01.04.26]</t>
  </si>
  <si>
    <t>[GA][captação][quente][principal][V1][PBB-ABR-26][01.04.26]</t>
  </si>
  <si>
    <t>[GA][captação][quente][principal][PBB-ABR-26][02.04.26]</t>
  </si>
  <si>
    <t>[GA][captação][quente][potencial][PBB-ABR-26][02.04.26]</t>
  </si>
  <si>
    <t>[GA][captação][quente][potencial][PBB-ABR-26][02.04.26][MMM]</t>
  </si>
  <si>
    <t>[GA][captação][frio][potencial][PBB-ABR-26][30.03.26][M][V2]</t>
  </si>
  <si>
    <t>[GA][captação][frio][potencial][PBB-ABR-26][30.03.26][M]</t>
  </si>
  <si>
    <t>[GA][captação][específico][potencial][PBB-ABR-26][30.03.26][M]</t>
  </si>
  <si>
    <t>[GA][captação][quente][principal][PBB-ABR-26][03.04.26][M][V2]</t>
  </si>
  <si>
    <t>[GA][captação][quente][principal][PBB-ABR-26][03.04.26]</t>
  </si>
  <si>
    <t>00 - Viu CPL Anteriores</t>
  </si>
  <si>
    <t>[GA][captação][específico][potencial][PBB-ABR-26][30.03.26][M][V2]</t>
  </si>
  <si>
    <t>[GA][captação][frio][principal][PBB-ABR-26][04.04.26][MMM]</t>
  </si>
  <si>
    <t>[GA][captação][específico][principal][PBB-ABR-26][04.04.26][MMM]</t>
  </si>
  <si>
    <t>[GA][captação][frio][principal][PBB-ABR-26][04.03.26][MMM][V2]</t>
  </si>
  <si>
    <t>[GA][captação][quente][potencial][PBB-ABR-26][04.04.26][MMM]</t>
  </si>
  <si>
    <t>[GA][captação][específico][principal][PBB-ABR-26][04.04.26][MMM][V2]</t>
  </si>
  <si>
    <t>[GA][captação][quente][potencial][PBB-ABR-26][04.04.26][MMM][V2]</t>
  </si>
  <si>
    <t>[GA][captação][quente][ads-novos][PBB-ABR-26][07.04.26]</t>
  </si>
  <si>
    <t>AD114 - Flip chart colorido Estúdio - PBB-ABR-26</t>
  </si>
  <si>
    <t>wpvzEleWEj0</t>
  </si>
  <si>
    <t>8b1aXc4xW0Q</t>
  </si>
  <si>
    <t>ZHYcOPB4Yvo</t>
  </si>
  <si>
    <t>Relatório sem título mar-1-2026 a mar-31-2026</t>
  </si>
  <si>
    <t>#gid=574214319</t>
  </si>
  <si>
    <t>Report Period: Mar 1, 2026 - Mar 31, 2026</t>
  </si>
  <si>
    <t>Dia</t>
  </si>
  <si>
    <t>Nome do anúncio</t>
  </si>
  <si>
    <t>Nome da campanha</t>
  </si>
  <si>
    <t>Nome do conjunto de anúncios</t>
  </si>
  <si>
    <t>Valor usado (BRL)</t>
  </si>
  <si>
    <t>Custo por lead</t>
  </si>
  <si>
    <t>Início dos relatórios</t>
  </si>
  <si>
    <t>Término dos relatórios</t>
  </si>
  <si>
    <t>2026-03-31</t>
  </si>
  <si>
    <t>AD03</t>
  </si>
  <si>
    <t>[ENGAJAMENTO] Distribuição de Conteúdo - 14.01.25</t>
  </si>
  <si>
    <t>00 - Advantage +</t>
  </si>
  <si>
    <t>AD04</t>
  </si>
  <si>
    <t>00 - Semelhante (BR, 3%) - [M] Lista de Alunos BB 2024/25</t>
  </si>
  <si>
    <t>00 - Carreira / Bancos</t>
  </si>
  <si>
    <t>AD22 - O que você faria 2</t>
  </si>
  <si>
    <t>[MA][pré-qualificação][quente][PBB-ABR-26][16.03.26]</t>
  </si>
  <si>
    <t>01 - [Felipe Graton] Envolvimento 180D</t>
  </si>
  <si>
    <t>[MA][pré-qualificação][frio][PBB-ABR-26][16.03.26]</t>
  </si>
  <si>
    <t>02 - Semelhante (BR, 1%) - [M] - Lista de Alunos INSS 2023/24</t>
  </si>
  <si>
    <t>02 - Interesse Banco</t>
  </si>
  <si>
    <t>AD20 - Trinta horas</t>
  </si>
  <si>
    <t>00 - [Felipe Graton] Envolvimento 60D</t>
  </si>
  <si>
    <t>AD19 - O que voce faria</t>
  </si>
  <si>
    <t>AD14 - Estratégia</t>
  </si>
  <si>
    <t>AD21 - Banca</t>
  </si>
  <si>
    <t>AD23 - BB 2026 s/trilha</t>
  </si>
  <si>
    <t>AD24 - BB 2026 c/trilha</t>
  </si>
  <si>
    <t>2026-03-30</t>
  </si>
  <si>
    <t>2026-03-29</t>
  </si>
  <si>
    <t>2026-03-28</t>
  </si>
  <si>
    <t>2026-03-27</t>
  </si>
  <si>
    <t>2026-03-26</t>
  </si>
  <si>
    <t>02 - Ramos do direito (lei e governo)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</si>
  <si>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</si>
  <si>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</si>
  <si>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</si>
  <si>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</si>
  <si>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</si>
  <si>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</si>
  <si>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</si>
  <si>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</si>
  <si>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AD17 - Animação 2</t>
  </si>
  <si>
    <t>AD09 - Mudaria sua vida</t>
  </si>
  <si>
    <t>AD18 - Animação 3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</si>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</sst>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yyyy-mm-dd"/>
    <numFmt numFmtId="166" formatCode="d/m"/>
  </numFmts>
  <fonts count="33">
    <font>
      <sz val="10.0"/>
      <color rgb="FF000000"/>
      <name val="Arial"/>
      <scheme val="minor"/>
    </font>
    <font>
      <b/>
      <sz val="28.0"/>
      <color rgb="FFFFFFFF"/>
      <name val="Roboto"/>
    </font>
    <font/>
    <font>
      <b/>
      <sz val="16.0"/>
      <color rgb="FFFFFFFF"/>
      <name val="Roboto"/>
    </font>
    <font>
      <sz val="28.0"/>
      <color theme="1"/>
      <name val="Arial"/>
      <scheme val="minor"/>
    </font>
    <font>
      <b/>
      <sz val="15.0"/>
      <color rgb="FFFFFFFF"/>
      <name val="Roboto"/>
    </font>
    <font>
      <b/>
      <sz val="14.0"/>
      <color rgb="FFFFFFFF"/>
      <name val="Roboto"/>
    </font>
    <font>
      <sz val="13.0"/>
      <color rgb="FFFFFFFF"/>
      <name val="Roboto"/>
    </font>
    <font>
      <b/>
      <sz val="13.0"/>
      <color rgb="FFFFFFFF"/>
      <name val="Roboto"/>
    </font>
    <font>
      <color theme="1"/>
      <name val="Arial"/>
    </font>
    <font>
      <color theme="1"/>
      <name val="Arial"/>
      <scheme val="minor"/>
    </font>
    <font>
      <b/>
      <u/>
      <sz val="15.0"/>
      <color rgb="FFFFFFFF"/>
      <name val="Roboto"/>
    </font>
    <font>
      <sz val="15.0"/>
      <color rgb="FFFFFFFF"/>
      <name val="Roboto"/>
    </font>
    <font>
      <sz val="15.0"/>
      <color theme="1"/>
      <name val="Roboto"/>
    </font>
    <font>
      <b/>
      <sz val="15.0"/>
      <color rgb="FF000000"/>
      <name val="Roboto"/>
    </font>
    <font>
      <sz val="15.0"/>
      <color rgb="FF000000"/>
      <name val="Roboto"/>
    </font>
    <font>
      <b/>
      <sz val="15.0"/>
      <color theme="1"/>
      <name val="Roboto"/>
    </font>
    <font>
      <color theme="1"/>
      <name val="&quot;Google Sans Text&quot;"/>
    </font>
    <font>
      <b/>
      <color theme="1"/>
      <name val="&quot;Google Sans Text&quot;"/>
    </font>
    <font>
      <b/>
      <u/>
      <sz val="14.0"/>
      <color rgb="FFFFFFFF"/>
      <name val="Roboto"/>
    </font>
    <font>
      <sz val="13.0"/>
      <color theme="1"/>
      <name val="Roboto"/>
    </font>
    <font>
      <b/>
      <sz val="14.0"/>
      <color rgb="FF000000"/>
      <name val="Roboto"/>
    </font>
    <font>
      <sz val="13.0"/>
      <color rgb="FF000000"/>
      <name val="Roboto"/>
    </font>
    <font>
      <b/>
      <sz val="14.0"/>
      <color theme="1"/>
      <name val="Roboto"/>
    </font>
    <font>
      <b/>
      <u/>
      <sz val="14.0"/>
      <color rgb="FFFFFFFF"/>
      <name val="Roboto"/>
    </font>
    <font>
      <sz val="9.0"/>
      <color theme="1"/>
      <name val="Arial"/>
      <scheme val="minor"/>
    </font>
    <font>
      <sz val="9.0"/>
      <color rgb="FF000000"/>
      <name val="Arial"/>
      <scheme val="minor"/>
    </font>
    <font>
      <u/>
      <color rgb="FF0000FF"/>
    </font>
    <font>
      <sz val="11.0"/>
      <color rgb="FF000000"/>
      <name val="Calibri"/>
    </font>
    <font>
      <sz val="18.0"/>
      <color rgb="FFFFFFFF"/>
      <name val="Calibri"/>
    </font>
    <font>
      <u/>
      <sz val="11.0"/>
      <color rgb="FFFFFFFF"/>
      <name val="Calibri"/>
    </font>
    <font>
      <sz val="11.0"/>
      <color rgb="FFFFFFFF"/>
      <name val="Calibri"/>
    </font>
    <font>
      <b/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853F1"/>
        <bgColor rgb="FF2853F1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3E64EF"/>
        <bgColor rgb="FF3E64EF"/>
      </patternFill>
    </fill>
    <fill>
      <patternFill patternType="solid">
        <fgColor rgb="FFE65B4F"/>
        <bgColor rgb="FFE65B4F"/>
      </patternFill>
    </fill>
    <fill>
      <patternFill patternType="solid">
        <fgColor rgb="FF434343"/>
        <bgColor rgb="FF434343"/>
      </patternFill>
    </fill>
    <fill>
      <patternFill patternType="solid">
        <fgColor rgb="FFA4E4F1"/>
        <bgColor rgb="FFA4E4F1"/>
      </patternFill>
    </fill>
    <fill>
      <patternFill patternType="solid">
        <fgColor rgb="FFF4CCCC"/>
        <bgColor rgb="FFF4CCCC"/>
      </patternFill>
    </fill>
    <fill>
      <patternFill patternType="solid">
        <fgColor rgb="FF41596C"/>
        <bgColor rgb="FF41596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1" numFmtId="164" xfId="0" applyAlignment="1" applyFill="1" applyFont="1" applyNumberFormat="1">
      <alignment horizontal="center" readingOrder="0"/>
    </xf>
    <xf borderId="0" fillId="4" fontId="1" numFmtId="164" xfId="0" applyAlignment="1" applyFill="1" applyFont="1" applyNumberFormat="1">
      <alignment horizontal="center" readingOrder="0"/>
    </xf>
    <xf borderId="0" fillId="2" fontId="3" numFmtId="0" xfId="0" applyAlignment="1" applyFont="1">
      <alignment vertical="bottom"/>
    </xf>
    <xf borderId="0" fillId="5" fontId="4" numFmtId="0" xfId="0" applyFill="1" applyFont="1"/>
    <xf borderId="0" fillId="0" fontId="4" numFmtId="0" xfId="0" applyFont="1"/>
    <xf borderId="0" fillId="2" fontId="3" numFmtId="0" xfId="0" applyAlignment="1" applyFont="1">
      <alignment readingOrder="0" vertical="bottom"/>
    </xf>
    <xf borderId="0" fillId="2" fontId="5" numFmtId="164" xfId="0" applyAlignment="1" applyFont="1" applyNumberFormat="1">
      <alignment horizontal="center" vertical="bottom"/>
    </xf>
    <xf borderId="0" fillId="2" fontId="5" numFmtId="3" xfId="0" applyAlignment="1" applyFont="1" applyNumberFormat="1">
      <alignment horizontal="center" vertical="bottom"/>
    </xf>
    <xf borderId="0" fillId="2" fontId="6" numFmtId="164" xfId="0" applyAlignment="1" applyFont="1" applyNumberFormat="1">
      <alignment horizontal="center" vertical="bottom"/>
    </xf>
    <xf borderId="0" fillId="2" fontId="7" numFmtId="164" xfId="0" applyAlignment="1" applyFont="1" applyNumberFormat="1">
      <alignment horizontal="center"/>
    </xf>
    <xf borderId="0" fillId="2" fontId="5" numFmtId="4" xfId="0" applyAlignment="1" applyFont="1" applyNumberFormat="1">
      <alignment horizontal="center" readingOrder="0" vertical="bottom"/>
    </xf>
    <xf borderId="0" fillId="6" fontId="8" numFmtId="164" xfId="0" applyAlignment="1" applyFill="1" applyFont="1" applyNumberFormat="1">
      <alignment horizontal="center"/>
    </xf>
    <xf borderId="0" fillId="6" fontId="8" numFmtId="3" xfId="0" applyAlignment="1" applyFont="1" applyNumberFormat="1">
      <alignment horizontal="center" vertical="bottom"/>
    </xf>
    <xf borderId="0" fillId="6" fontId="6" numFmtId="3" xfId="0" applyAlignment="1" applyFont="1" applyNumberFormat="1">
      <alignment horizontal="center" readingOrder="0" vertical="bottom"/>
    </xf>
    <xf borderId="0" fillId="6" fontId="8" numFmtId="164" xfId="0" applyAlignment="1" applyFont="1" applyNumberFormat="1">
      <alignment horizontal="center" vertical="bottom"/>
    </xf>
    <xf borderId="0" fillId="6" fontId="6" numFmtId="4" xfId="0" applyAlignment="1" applyFont="1" applyNumberFormat="1">
      <alignment horizontal="center" readingOrder="0" vertical="bottom"/>
    </xf>
    <xf borderId="0" fillId="7" fontId="8" numFmtId="164" xfId="0" applyAlignment="1" applyFill="1" applyFont="1" applyNumberFormat="1">
      <alignment horizontal="center" vertical="bottom"/>
    </xf>
    <xf borderId="0" fillId="7" fontId="8" numFmtId="3" xfId="0" applyAlignment="1" applyFont="1" applyNumberFormat="1">
      <alignment horizontal="center" vertical="bottom"/>
    </xf>
    <xf borderId="0" fillId="7" fontId="6" numFmtId="0" xfId="0" applyAlignment="1" applyFont="1">
      <alignment horizontal="center" vertical="bottom"/>
    </xf>
    <xf borderId="0" fillId="7" fontId="6" numFmtId="2" xfId="0" applyAlignment="1" applyFont="1" applyNumberFormat="1">
      <alignment horizontal="center" vertical="bottom"/>
    </xf>
    <xf borderId="0" fillId="5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6" numFmtId="0" xfId="0" applyAlignment="1" applyFont="1">
      <alignment horizontal="center" readingOrder="0"/>
    </xf>
    <xf borderId="0" fillId="6" fontId="6" numFmtId="164" xfId="0" applyAlignment="1" applyFont="1" applyNumberFormat="1">
      <alignment horizontal="center" readingOrder="0"/>
    </xf>
    <xf borderId="0" fillId="6" fontId="6" numFmtId="0" xfId="0" applyAlignment="1" applyFont="1">
      <alignment horizontal="center" readingOrder="0"/>
    </xf>
    <xf borderId="0" fillId="7" fontId="6" numFmtId="164" xfId="0" applyAlignment="1" applyFont="1" applyNumberFormat="1">
      <alignment horizontal="center" readingOrder="0"/>
    </xf>
    <xf borderId="0" fillId="7" fontId="6" numFmtId="0" xfId="0" applyAlignment="1" applyFont="1">
      <alignment horizontal="center" readingOrder="0"/>
    </xf>
    <xf borderId="0" fillId="5" fontId="10" numFmtId="0" xfId="0" applyFont="1"/>
    <xf borderId="0" fillId="8" fontId="11" numFmtId="0" xfId="0" applyAlignment="1" applyFill="1" applyFont="1">
      <alignment readingOrder="0"/>
    </xf>
    <xf borderId="0" fillId="8" fontId="12" numFmtId="164" xfId="0" applyAlignment="1" applyFont="1" applyNumberFormat="1">
      <alignment horizontal="center" vertical="bottom"/>
    </xf>
    <xf borderId="0" fillId="8" fontId="13" numFmtId="0" xfId="0" applyAlignment="1" applyFont="1">
      <alignment horizontal="center"/>
    </xf>
    <xf borderId="0" fillId="8" fontId="5" numFmtId="3" xfId="0" applyAlignment="1" applyFont="1" applyNumberFormat="1">
      <alignment horizontal="center" vertical="bottom"/>
    </xf>
    <xf borderId="0" fillId="8" fontId="5" numFmtId="164" xfId="0" applyAlignment="1" applyFont="1" applyNumberFormat="1">
      <alignment horizontal="center" vertical="bottom"/>
    </xf>
    <xf borderId="0" fillId="8" fontId="5" numFmtId="3" xfId="0" applyAlignment="1" applyFont="1" applyNumberFormat="1">
      <alignment horizontal="center" readingOrder="0" vertical="bottom"/>
    </xf>
    <xf borderId="0" fillId="8" fontId="5" numFmtId="4" xfId="0" applyAlignment="1" applyFont="1" applyNumberFormat="1">
      <alignment horizontal="center" vertical="bottom"/>
    </xf>
    <xf borderId="0" fillId="9" fontId="13" numFmtId="164" xfId="0" applyAlignment="1" applyFill="1" applyFont="1" applyNumberFormat="1">
      <alignment horizontal="center"/>
    </xf>
    <xf borderId="0" fillId="9" fontId="13" numFmtId="0" xfId="0" applyAlignment="1" applyFont="1">
      <alignment horizontal="center"/>
    </xf>
    <xf borderId="0" fillId="9" fontId="13" numFmtId="164" xfId="0" applyAlignment="1" applyFont="1" applyNumberFormat="1">
      <alignment horizontal="center" vertical="bottom"/>
    </xf>
    <xf borderId="0" fillId="9" fontId="14" numFmtId="3" xfId="0" applyAlignment="1" applyFont="1" applyNumberFormat="1">
      <alignment horizontal="center" readingOrder="0"/>
    </xf>
    <xf borderId="0" fillId="9" fontId="15" numFmtId="164" xfId="0" applyAlignment="1" applyFont="1" applyNumberFormat="1">
      <alignment horizontal="center"/>
    </xf>
    <xf borderId="0" fillId="9" fontId="16" numFmtId="4" xfId="0" applyAlignment="1" applyFont="1" applyNumberFormat="1">
      <alignment horizontal="center"/>
    </xf>
    <xf borderId="0" fillId="10" fontId="13" numFmtId="164" xfId="0" applyAlignment="1" applyFill="1" applyFont="1" applyNumberFormat="1">
      <alignment horizontal="center"/>
    </xf>
    <xf borderId="0" fillId="10" fontId="13" numFmtId="0" xfId="0" applyAlignment="1" applyFont="1">
      <alignment horizontal="center"/>
    </xf>
    <xf borderId="0" fillId="10" fontId="16" numFmtId="0" xfId="0" applyAlignment="1" applyFont="1">
      <alignment horizontal="center" readingOrder="0"/>
    </xf>
    <xf borderId="0" fillId="10" fontId="16" numFmtId="4" xfId="0" applyAlignment="1" applyFont="1" applyNumberFormat="1">
      <alignment horizontal="center"/>
    </xf>
    <xf borderId="0" fillId="8" fontId="5" numFmtId="0" xfId="0" applyFont="1"/>
    <xf borderId="0" fillId="5" fontId="6" numFmtId="3" xfId="0" applyAlignment="1" applyFont="1" applyNumberFormat="1">
      <alignment horizontal="center" vertical="bottom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7" numFmtId="0" xfId="0" applyFont="1"/>
    <xf borderId="0" fillId="5" fontId="9" numFmtId="3" xfId="0" applyAlignment="1" applyFont="1" applyNumberFormat="1">
      <alignment vertical="bottom"/>
    </xf>
    <xf borderId="0" fillId="8" fontId="5" numFmtId="0" xfId="0" applyAlignment="1" applyFont="1">
      <alignment readingOrder="0"/>
    </xf>
    <xf borderId="0" fillId="8" fontId="19" numFmtId="0" xfId="0" applyAlignment="1" applyFont="1">
      <alignment readingOrder="0" vertical="bottom"/>
    </xf>
    <xf borderId="0" fillId="8" fontId="7" numFmtId="164" xfId="0" applyAlignment="1" applyFont="1" applyNumberFormat="1">
      <alignment horizontal="center" vertical="bottom"/>
    </xf>
    <xf borderId="0" fillId="8" fontId="6" numFmtId="164" xfId="0" applyAlignment="1" applyFont="1" applyNumberFormat="1">
      <alignment horizontal="center" vertical="bottom"/>
    </xf>
    <xf borderId="0" fillId="8" fontId="6" numFmtId="3" xfId="0" applyAlignment="1" applyFont="1" applyNumberFormat="1">
      <alignment horizontal="center" readingOrder="0" vertical="bottom"/>
    </xf>
    <xf borderId="0" fillId="9" fontId="20" numFmtId="164" xfId="0" applyAlignment="1" applyFont="1" applyNumberFormat="1">
      <alignment horizontal="center" vertical="bottom"/>
    </xf>
    <xf borderId="0" fillId="9" fontId="20" numFmtId="3" xfId="0" applyAlignment="1" applyFont="1" applyNumberFormat="1">
      <alignment horizontal="center" vertical="bottom"/>
    </xf>
    <xf borderId="0" fillId="9" fontId="21" numFmtId="3" xfId="0" applyAlignment="1" applyFont="1" applyNumberFormat="1">
      <alignment horizontal="center" readingOrder="0"/>
    </xf>
    <xf borderId="0" fillId="9" fontId="22" numFmtId="164" xfId="0" applyAlignment="1" applyFont="1" applyNumberFormat="1">
      <alignment horizontal="center"/>
    </xf>
    <xf borderId="0" fillId="10" fontId="22" numFmtId="164" xfId="0" applyAlignment="1" applyFont="1" applyNumberFormat="1">
      <alignment horizontal="center"/>
    </xf>
    <xf borderId="0" fillId="10" fontId="22" numFmtId="3" xfId="0" applyAlignment="1" applyFont="1" applyNumberFormat="1">
      <alignment horizontal="center"/>
    </xf>
    <xf borderId="0" fillId="10" fontId="20" numFmtId="164" xfId="0" applyAlignment="1" applyFont="1" applyNumberFormat="1">
      <alignment horizontal="center"/>
    </xf>
    <xf borderId="0" fillId="10" fontId="23" numFmtId="0" xfId="0" applyAlignment="1" applyFont="1">
      <alignment horizontal="center" readingOrder="0"/>
    </xf>
    <xf borderId="0" fillId="8" fontId="24" numFmtId="0" xfId="0" applyAlignment="1" applyFont="1">
      <alignment vertical="bottom"/>
    </xf>
    <xf borderId="0" fillId="8" fontId="6" numFmtId="0" xfId="0" applyAlignment="1" applyFont="1">
      <alignment vertical="bottom"/>
    </xf>
    <xf borderId="0" fillId="5" fontId="6" numFmtId="3" xfId="0" applyAlignment="1" applyFont="1" applyNumberFormat="1">
      <alignment horizontal="center" readingOrder="0" vertical="bottom"/>
    </xf>
    <xf borderId="0" fillId="8" fontId="6" numFmtId="0" xfId="0" applyAlignment="1" applyFont="1">
      <alignment readingOrder="0" vertical="bottom"/>
    </xf>
    <xf borderId="0" fillId="0" fontId="10" numFmtId="0" xfId="0" applyFont="1"/>
    <xf borderId="0" fillId="0" fontId="10" numFmtId="164" xfId="0" applyFont="1" applyNumberFormat="1"/>
    <xf borderId="0" fillId="8" fontId="5" numFmtId="2" xfId="0" applyAlignment="1" applyFont="1" applyNumberFormat="1">
      <alignment readingOrder="0"/>
    </xf>
    <xf borderId="0" fillId="0" fontId="25" numFmtId="0" xfId="0" applyAlignment="1" applyFont="1">
      <alignment readingOrder="0"/>
    </xf>
    <xf borderId="0" fillId="0" fontId="10" numFmtId="0" xfId="0" applyAlignment="1" applyFont="1">
      <alignment readingOrder="0"/>
    </xf>
    <xf borderId="0" fillId="5" fontId="26" numFmtId="2" xfId="0" applyAlignment="1" applyFont="1" applyNumberFormat="1">
      <alignment horizontal="left" readingOrder="0" shrinkToFit="0" vertical="center" wrapText="0"/>
    </xf>
    <xf borderId="0" fillId="5" fontId="26" numFmtId="0" xfId="0" applyAlignment="1" applyFont="1">
      <alignment horizontal="left" readingOrder="0" shrinkToFit="0" vertical="center" wrapText="0"/>
    </xf>
    <xf borderId="0" fillId="0" fontId="27" numFmtId="0" xfId="0" applyAlignment="1" applyFont="1">
      <alignment readingOrder="0"/>
    </xf>
    <xf borderId="0" fillId="5" fontId="26" numFmtId="165" xfId="0" applyAlignment="1" applyFont="1" applyNumberFormat="1">
      <alignment horizontal="left" readingOrder="0" shrinkToFit="0" vertical="center" wrapText="0"/>
    </xf>
    <xf borderId="0" fillId="5" fontId="26" numFmtId="2" xfId="0" applyAlignment="1" applyFont="1" applyNumberFormat="1">
      <alignment horizontal="left" shrinkToFit="0" vertical="center" wrapText="0"/>
    </xf>
    <xf borderId="0" fillId="0" fontId="25" numFmtId="165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0" fillId="0" fontId="10" numFmtId="0" xfId="0" applyAlignment="1" applyFont="1">
      <alignment readingOrder="0"/>
    </xf>
    <xf borderId="4" fillId="11" fontId="28" numFmtId="0" xfId="0" applyAlignment="1" applyBorder="1" applyFill="1" applyFont="1">
      <alignment horizontal="left" shrinkToFit="0" vertical="center" wrapText="0"/>
    </xf>
    <xf borderId="4" fillId="11" fontId="29" numFmtId="0" xfId="0" applyAlignment="1" applyBorder="1" applyFont="1">
      <alignment horizontal="left" shrinkToFit="0" vertical="center" wrapText="0"/>
    </xf>
    <xf borderId="4" fillId="11" fontId="30" numFmtId="0" xfId="0" applyAlignment="1" applyBorder="1" applyFont="1">
      <alignment horizontal="left" shrinkToFit="0" vertical="center" wrapText="0"/>
    </xf>
    <xf borderId="4" fillId="11" fontId="31" numFmtId="0" xfId="0" applyAlignment="1" applyBorder="1" applyFont="1">
      <alignment horizontal="left" shrinkToFit="0" vertical="center" wrapText="0"/>
    </xf>
    <xf borderId="4" fillId="5" fontId="28" numFmtId="0" xfId="0" applyAlignment="1" applyBorder="1" applyFont="1">
      <alignment horizontal="left" shrinkToFit="0" vertical="center" wrapText="0"/>
    </xf>
    <xf borderId="5" fillId="5" fontId="32" numFmtId="0" xfId="0" applyAlignment="1" applyBorder="1" applyFont="1">
      <alignment horizontal="left" shrinkToFit="0" vertical="center" wrapText="0"/>
    </xf>
    <xf borderId="5" fillId="5" fontId="28" numFmtId="2" xfId="0" applyAlignment="1" applyBorder="1" applyFont="1" applyNumberFormat="1">
      <alignment horizontal="left" shrinkToFit="0" vertical="center" wrapText="0"/>
    </xf>
    <xf borderId="6" fillId="5" fontId="28" numFmtId="2" xfId="0" applyAlignment="1" applyBorder="1" applyFont="1" applyNumberFormat="1">
      <alignment horizontal="left" shrinkToFit="0" vertical="center" wrapText="0"/>
    </xf>
    <xf borderId="6" fillId="5" fontId="28" numFmtId="0" xfId="0" applyAlignment="1" applyBorder="1" applyFont="1">
      <alignment horizontal="left" shrinkToFit="0" vertical="center" wrapText="0"/>
    </xf>
    <xf borderId="6" fillId="5" fontId="28" numFmtId="166" xfId="0" applyAlignment="1" applyBorder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66675</xdr:rowOff>
    </xdr:from>
    <xdr:ext cx="100012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152400</xdr:rowOff>
    </xdr:from>
    <xdr:ext cx="190500" cy="123825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418887747980692/posts/122216579648542386" TargetMode="External"/><Relationship Id="rId11" Type="http://schemas.openxmlformats.org/officeDocument/2006/relationships/hyperlink" Target="https://www.facebook.com/418887747980692/posts/122214590924542386" TargetMode="External"/><Relationship Id="rId22" Type="http://schemas.openxmlformats.org/officeDocument/2006/relationships/hyperlink" Target="https://www.facebook.com/418887747980692/posts/122216561186542386" TargetMode="External"/><Relationship Id="rId10" Type="http://schemas.openxmlformats.org/officeDocument/2006/relationships/hyperlink" Target="https://www.facebook.com/418887747980692/posts/122214586136542386" TargetMode="External"/><Relationship Id="rId21" Type="http://schemas.openxmlformats.org/officeDocument/2006/relationships/hyperlink" Target="https://www.facebook.com/418887747980692/posts/122216580968542386" TargetMode="External"/><Relationship Id="rId13" Type="http://schemas.openxmlformats.org/officeDocument/2006/relationships/hyperlink" Target="https://www.facebook.com/418887747980692/posts/122214579746542386" TargetMode="External"/><Relationship Id="rId12" Type="http://schemas.openxmlformats.org/officeDocument/2006/relationships/hyperlink" Target="https://www.facebook.com/418887747980692/posts/122215164758542386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facebook.com/418887747980692/posts/122214479714542386" TargetMode="External"/><Relationship Id="rId2" Type="http://schemas.openxmlformats.org/officeDocument/2006/relationships/hyperlink" Target="https://www.facebook.com/418887747980692/posts/122214479732542386" TargetMode="External"/><Relationship Id="rId3" Type="http://schemas.openxmlformats.org/officeDocument/2006/relationships/hyperlink" Target="https://www.facebook.com/418887747980692/posts/122214479618542386" TargetMode="External"/><Relationship Id="rId4" Type="http://schemas.openxmlformats.org/officeDocument/2006/relationships/hyperlink" Target="https://www.facebook.com/418887747980692/posts/122214576476542386" TargetMode="External"/><Relationship Id="rId9" Type="http://schemas.openxmlformats.org/officeDocument/2006/relationships/hyperlink" Target="https://www.facebook.com/418887747980692/posts/122214595862542386" TargetMode="External"/><Relationship Id="rId15" Type="http://schemas.openxmlformats.org/officeDocument/2006/relationships/hyperlink" Target="https://www.facebook.com/418887747980692/posts/122214479822542386" TargetMode="External"/><Relationship Id="rId14" Type="http://schemas.openxmlformats.org/officeDocument/2006/relationships/hyperlink" Target="https://www.facebook.com/418887747980692/posts/122214588368542386" TargetMode="External"/><Relationship Id="rId17" Type="http://schemas.openxmlformats.org/officeDocument/2006/relationships/hyperlink" Target="https://www.facebook.com/418887747980692/posts/122214599870542386" TargetMode="External"/><Relationship Id="rId16" Type="http://schemas.openxmlformats.org/officeDocument/2006/relationships/hyperlink" Target="https://www.facebook.com/418887747980692/posts/122214581852542386" TargetMode="External"/><Relationship Id="rId5" Type="http://schemas.openxmlformats.org/officeDocument/2006/relationships/hyperlink" Target="https://www.facebook.com/418887747980692/posts/122214479636542386" TargetMode="External"/><Relationship Id="rId19" Type="http://schemas.openxmlformats.org/officeDocument/2006/relationships/hyperlink" Target="https://www.facebook.com/418887747980692/posts/122216561186542386" TargetMode="External"/><Relationship Id="rId6" Type="http://schemas.openxmlformats.org/officeDocument/2006/relationships/hyperlink" Target="https://www.facebook.com/418887747980692/posts/122214479648542386" TargetMode="External"/><Relationship Id="rId18" Type="http://schemas.openxmlformats.org/officeDocument/2006/relationships/hyperlink" Target="https://www.facebook.com/418887747980692/posts/122214609122542386" TargetMode="External"/><Relationship Id="rId7" Type="http://schemas.openxmlformats.org/officeDocument/2006/relationships/hyperlink" Target="https://www.facebook.com/418887747980692/posts/122214577814542386" TargetMode="External"/><Relationship Id="rId8" Type="http://schemas.openxmlformats.org/officeDocument/2006/relationships/hyperlink" Target="https://www.facebook.com/418887747980692/posts/12221458403654238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cebook.com/418887747980692/posts/122214479822542386" TargetMode="External"/><Relationship Id="rId194" Type="http://schemas.openxmlformats.org/officeDocument/2006/relationships/hyperlink" Target="https://www.instagram.com/p/DWZTSkOAMba/" TargetMode="External"/><Relationship Id="rId193" Type="http://schemas.openxmlformats.org/officeDocument/2006/relationships/hyperlink" Target="https://www.facebook.com/418887747980692/posts/122214479636542386" TargetMode="External"/><Relationship Id="rId192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fC6uK_vx3QSEl5nacQov5-VUAKN_Rfgpz_WHvsTLnyLDxUCNexMtWci7v6AqQRqYiL9nFUDKW&amp;stp=c0.5000x0.5000f_dst-emg0_p64x64_q75_tt6&amp;ur=b696e2&amp;_nc_sid=58080a&amp;oh=00_Af54XMeMqt72wnKHJE37K1jk-3Zb8WpcTFwnv7qULLi56A&amp;oe=6A073222" TargetMode="External"/><Relationship Id="rId191" Type="http://schemas.openxmlformats.org/officeDocument/2006/relationships/hyperlink" Target="https://www.instagram.com/p/DWZTTikAGL1/" TargetMode="External"/><Relationship Id="rId187" Type="http://schemas.openxmlformats.org/officeDocument/2006/relationships/hyperlink" Target="https://www.facebook.com/418887747980692/posts/122214479714542386" TargetMode="External"/><Relationship Id="rId186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Fqx87t1naEDPuQjaMzORW3WLxdSlznVFY36GNUzorRc6LwWsvttC1RxYnBZP7gS3bQzhnEBL6i&amp;stp=c0.5000x0.5000f_dst-emg0_p64x64_q75_tt6&amp;ur=b696e2&amp;_nc_sid=58080a&amp;oh=00_Af4XZpBh1137JWjhgBloaMAoF9t7kNM0SqlTRk5RzsA76g&amp;oe=6A072BAC" TargetMode="External"/><Relationship Id="rId185" Type="http://schemas.openxmlformats.org/officeDocument/2006/relationships/hyperlink" Target="https://www.instagram.com/p/DWZTS2WANnt/" TargetMode="External"/><Relationship Id="rId184" Type="http://schemas.openxmlformats.org/officeDocument/2006/relationships/hyperlink" Target="https://www.facebook.com/418887747980692/posts/122214479702542386" TargetMode="External"/><Relationship Id="rId189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FsB-YK3wN23YTIW8ZIoV1l3SyUoKmzbqEQeUS13bwYaNctc9HXfAvMiroYXsHXd2cppLpoR-di&amp;stp=c0.5000x0.5000f_dst-emg0_p64x64_q75_tt6&amp;ur=b696e2&amp;_nc_sid=58080a&amp;oh=00_Af5EVQCKEt4MZR2DDLH5rGPMov9dbEgoPAa__jP20jJhVw&amp;oe=6A073222" TargetMode="External"/><Relationship Id="rId188" Type="http://schemas.openxmlformats.org/officeDocument/2006/relationships/hyperlink" Target="https://www.instagram.com/p/DWZTSkzgD1q/" TargetMode="External"/><Relationship Id="rId183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GmyvOhx4kZF0MXaknpQB57ABYy0zmG4MKUALjI21ND4jUb3JjRcjS1auC0IRa_y-Xz41ZVqbyk&amp;stp=c0.5000x0.5000f_dst-emg0_p64x64_q75_tt6&amp;ur=b696e2&amp;_nc_sid=58080a&amp;oh=00_Af4tWmTi4m23l6HKczI1WdvMbuN22O31w-mC6nkssdeySg&amp;oe=6A07186A" TargetMode="External"/><Relationship Id="rId182" Type="http://schemas.openxmlformats.org/officeDocument/2006/relationships/hyperlink" Target="https://www.instagram.com/p/DWZTSlFgNNM/" TargetMode="External"/><Relationship Id="rId181" Type="http://schemas.openxmlformats.org/officeDocument/2006/relationships/hyperlink" Target="https://www.facebook.com/418887747980692/posts/122214479648542386" TargetMode="External"/><Relationship Id="rId180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EcRPuNCDLA1a5dOjhZI4UKdPBbKVZKUZyqpSGy9eQnkaXUfXh5N-n3QDQLk_y-fo7F0aHCKw6Z&amp;stp=c0.5000x0.5000f_dst-emg0_p64x64_q75_tt6&amp;ur=b696e2&amp;_nc_sid=58080a&amp;oh=00_Af5WuYVujW7VAUepA7QgHUd4zs2tn4fu5GGhZY6poXFZow&amp;oe=6A070D3D" TargetMode="External"/><Relationship Id="rId176" Type="http://schemas.openxmlformats.org/officeDocument/2006/relationships/hyperlink" Target="https://www.instagram.com/p/DWZTS5mABqq/" TargetMode="External"/><Relationship Id="rId175" Type="http://schemas.openxmlformats.org/officeDocument/2006/relationships/hyperlink" Target="https://www.facebook.com/418887747980692/posts/122214599870542386" TargetMode="External"/><Relationship Id="rId174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I4h4sqJv1EXck6BpVSU3rrRRMY_G7A5lz_L72cHg--2Wh1xHcYZHI2_gmzjwfHJXcpW4NQOZE&amp;stp=c0.5000x0.5000f_dst-emg0_p64x64_q75_tt6&amp;ur=b696e2&amp;_nc_sid=58080a&amp;oh=00_Af4TC6RF-dbTW7qrwnVLSSrb1rXhr29fmvz4k8BAX8od1Q&amp;oe=6A073222" TargetMode="External"/><Relationship Id="rId173" Type="http://schemas.openxmlformats.org/officeDocument/2006/relationships/hyperlink" Target="https://www.instagram.com/p/DWZTSkzgD1q/" TargetMode="External"/><Relationship Id="rId179" Type="http://schemas.openxmlformats.org/officeDocument/2006/relationships/hyperlink" Target="https://www.instagram.com/p/DWZTSk2AHQB/" TargetMode="External"/><Relationship Id="rId178" Type="http://schemas.openxmlformats.org/officeDocument/2006/relationships/hyperlink" Target="https://www.facebook.com/418887747980692/posts/122214479732542386" TargetMode="External"/><Relationship Id="rId177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H_B-qbzkXzok_8wVdp85KiOzt88XdTUOkJ7m4q7TsZ-Y3Gp0X3OQAAUlSMe3hCCe2CqZuQOi-4&amp;stp=c0.5000x0.5000f_dst-emg0_p64x64_q75_tt6&amp;ur=52f3c4&amp;_nc_sid=58080a&amp;oh=00_Af6jsP72Zx3Zp7ievGdo7pCgbzhA4NRSj9RqH3uX3okd3g&amp;oe=6A073D71" TargetMode="External"/><Relationship Id="rId198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H_B-qbzkXzok_8wVdp85KiOzt88XdTUOkJ7m4q7TsZ-Y3Gp0X3OQAAUlSMe3hCCe2CqZuQOi-4&amp;stp=c0.5000x0.5000f_dst-emg0_p64x64_q75_tt6&amp;ur=52f3c4&amp;_nc_sid=58080a&amp;oh=00_Af6jsP72Zx3Zp7ievGdo7pCgbzhA4NRSj9RqH3uX3okd3g&amp;oe=6A073D71" TargetMode="External"/><Relationship Id="rId197" Type="http://schemas.openxmlformats.org/officeDocument/2006/relationships/hyperlink" Target="https://www.instagram.com/p/DWZTS5mABqq/" TargetMode="External"/><Relationship Id="rId196" Type="http://schemas.openxmlformats.org/officeDocument/2006/relationships/hyperlink" Target="https://www.facebook.com/418887747980692/posts/122214599870542386" TargetMode="External"/><Relationship Id="rId195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GWV81HLcG08eSXKOL6gH7ximqIGDrg8bmTW4Rd2c56qTKDvdxpdFOpPADi4DH8uGFMpmEHcerK&amp;stp=c0.5000x0.5000f_dst-emg0_p64x64_q75_tt6&amp;ur=b696e2&amp;_nc_sid=58080a&amp;oh=00_Af6BPwKO6PsfrRNbWR5PDcWJfvpai_6EPVViW6jT2UhMsQ&amp;oe=6A071423" TargetMode="External"/><Relationship Id="rId199" Type="http://schemas.openxmlformats.org/officeDocument/2006/relationships/hyperlink" Target="https://www.facebook.com/418887747980692/posts/122214479732542386" TargetMode="External"/><Relationship Id="rId150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GG2jDH-HD7mCvbhQhf0HJE0eMXa1fzDpvTLFHbmiJf9nLL_qO1KXyCTS6P2tFVnADhySuVLxtW&amp;stp=c0.5000x0.5000f_dst-emg0_p64x64_q75_tt6&amp;ur=b696e2&amp;_nc_sid=58080a&amp;oh=00_Af512HcfWitX8J_2bnmgNrwAY6mIIMWHypzZVFVkvfyedA&amp;oe=6A070D3D" TargetMode="External"/><Relationship Id="rId392" Type="http://schemas.openxmlformats.org/officeDocument/2006/relationships/hyperlink" Target="https://www.instagram.com/p/DWY8z91gDAd/" TargetMode="External"/><Relationship Id="rId391" Type="http://schemas.openxmlformats.org/officeDocument/2006/relationships/hyperlink" Target="https://www.facebook.com/418887747980692/posts/122214605852542386" TargetMode="External"/><Relationship Id="rId390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_ghGlVdsQ0C9xe07th2-52WAxzoI7NONNjrcscotJzRM5vPeadzR6nzeBdhnQ0Dk3jkN5l3mK&amp;stp=c0.5000x0.5000f_dst-emg0_p64x64_q75_tt6&amp;ur=5fad0e&amp;_nc_sid=58080a&amp;oh=00_Af4dX3p3sR4BbsnKuYlTwnup_zxnZz9TxuQatK4gRrJmnA&amp;oe=6A072B9E" TargetMode="External"/><Relationship Id="rId1" Type="http://schemas.openxmlformats.org/officeDocument/2006/relationships/hyperlink" Target="https://www.facebook.com/418887747980692/posts/122214479714542386" TargetMode="External"/><Relationship Id="rId2" Type="http://schemas.openxmlformats.org/officeDocument/2006/relationships/hyperlink" Target="https://www.instagram.com/p/DWZTEQngNck/" TargetMode="External"/><Relationship Id="rId3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KP547DATcX1mm6BM8zbResvAQQACGaZeOmu3dtCPaphQOfypGACj7MFzBhhuDAxxn0pAC6Lh0&amp;stp=c0.5000x0.5000f_dst-emg0_p64x64_q75_tt6&amp;ur=b696e2&amp;_nc_sid=58080a&amp;oh=00_Af7GRJBGhZfSYjGSyLIEla2aiK2U_1Wb-1hCfrzD93OpGg&amp;oe=6A073222" TargetMode="External"/><Relationship Id="rId149" Type="http://schemas.openxmlformats.org/officeDocument/2006/relationships/hyperlink" Target="https://www.instagram.com/p/DWmfUpOAECH/" TargetMode="External"/><Relationship Id="rId4" Type="http://schemas.openxmlformats.org/officeDocument/2006/relationships/hyperlink" Target="https://www.facebook.com/418887747980692/posts/122214479702542386" TargetMode="External"/><Relationship Id="rId148" Type="http://schemas.openxmlformats.org/officeDocument/2006/relationships/hyperlink" Target="https://www.facebook.com/418887747980692/posts/122214479732542386" TargetMode="External"/><Relationship Id="rId9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F00DNXoRjpNbtJyCgBSSt4vZc2A299b8N012i-QUDZuPnqM91ozCL_a37QTC-EePYsHWBBSjTF&amp;stp=c0.5000x0.5000f_dst-emg0_p64x64_q75_tt6&amp;ur=b696e2&amp;_nc_sid=58080a&amp;oh=00_Af5oMbSR-vgiWFSDPek0H2ygHKZU9PnwS9cR-J1YmiPERQ&amp;oe=6A074314" TargetMode="External"/><Relationship Id="rId143" Type="http://schemas.openxmlformats.org/officeDocument/2006/relationships/hyperlink" Target="https://www.instagram.com/p/DWmfVxKgOsh/" TargetMode="External"/><Relationship Id="rId385" Type="http://schemas.openxmlformats.org/officeDocument/2006/relationships/hyperlink" Target="https://www.facebook.com/418887747980692/posts/122214609122542386" TargetMode="External"/><Relationship Id="rId142" Type="http://schemas.openxmlformats.org/officeDocument/2006/relationships/hyperlink" Target="https://www.facebook.com/418887747980692/posts/122214599870542386" TargetMode="External"/><Relationship Id="rId384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lwOjeQ9xxhxUjYus9mlNrG3pmWg5gzhzOYWTesB1GR84_DKMKdH_yNvDTzjWgUMa2RIdO_20X&amp;stp=c0.5000x0.5000f_dst-emg0_p64x64_q75_tt6&amp;ur=5fad0e&amp;_nc_sid=58080a&amp;oh=00_Af5Ol_9BtVoC-sSrZ095bfvibNSiU5DpNdhW2FpyKYgXWg&amp;oe=6A072B9E" TargetMode="External"/><Relationship Id="rId141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E8_Ea_V-pBCMbjQRfiTUfCXP-DTbbMcBOx6xVUGQ2PYRcRs0yVXIJ9pmjsptVvF3ETqGbKSiVY&amp;stp=c0.5000x0.5000f_dst-emg0_p64x64_q75_tt6&amp;ur=b696e2&amp;_nc_sid=58080a&amp;oh=00_Af7wcEG704TQkTlwID44yIQ5Zry6JmqVCQ4OJMW3hMWuiw&amp;oe=6A072BAC" TargetMode="External"/><Relationship Id="rId383" Type="http://schemas.openxmlformats.org/officeDocument/2006/relationships/hyperlink" Target="https://www.instagram.com/p/DWofuaWgCm9/" TargetMode="External"/><Relationship Id="rId140" Type="http://schemas.openxmlformats.org/officeDocument/2006/relationships/hyperlink" Target="https://www.instagram.com/p/DWmfT8FAF70/" TargetMode="External"/><Relationship Id="rId382" Type="http://schemas.openxmlformats.org/officeDocument/2006/relationships/hyperlink" Target="https://www.facebook.com/418887747980692/posts/122215596494542386" TargetMode="External"/><Relationship Id="rId5" Type="http://schemas.openxmlformats.org/officeDocument/2006/relationships/hyperlink" Target="https://www.instagram.com/p/DWZTEaFADsG/" TargetMode="External"/><Relationship Id="rId147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EMzfYUOfsEtVn3OwedlZbrUjeUNtUPLdbCHFWyjMaquA0nheFcOkThyLOQSem7j_kI24Sve4mv&amp;stp=c0.5000x0.5000f_dst-emg0_p64x64_q75_tt6&amp;ur=b696e2&amp;_nc_sid=58080a&amp;oh=00_Af6R6aWO3NIfjb9Q6D8BMfxe5eJCfugfb3X2vBZDkykl1Q&amp;oe=6A074314" TargetMode="External"/><Relationship Id="rId389" Type="http://schemas.openxmlformats.org/officeDocument/2006/relationships/hyperlink" Target="https://www.instagram.com/p/DWofulRAE7s/" TargetMode="External"/><Relationship Id="rId6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G50FheyS1gTA2HEgeoqaF2I-_U6u_FBvp0j20PxqUpolAWsjJinWicqoQdLZ0ZmE2O_zxyJ-r6&amp;stp=c0.5000x0.5000f_dst-emg0_p64x64_q75_tt6&amp;ur=b696e2&amp;_nc_sid=58080a&amp;oh=00_Af6GUqM98WXhjbujQDlge1_gIGAjIp2JDWhmgoX_24KVxw&amp;oe=6A072BAC" TargetMode="External"/><Relationship Id="rId146" Type="http://schemas.openxmlformats.org/officeDocument/2006/relationships/hyperlink" Target="https://www.instagram.com/p/DWmfUbggPGQ/" TargetMode="External"/><Relationship Id="rId388" Type="http://schemas.openxmlformats.org/officeDocument/2006/relationships/hyperlink" Target="https://www.facebook.com/418887747980692/posts/122215596554542386" TargetMode="External"/><Relationship Id="rId7" Type="http://schemas.openxmlformats.org/officeDocument/2006/relationships/hyperlink" Target="https://www.facebook.com/418887747980692/posts/122214479618542386" TargetMode="External"/><Relationship Id="rId145" Type="http://schemas.openxmlformats.org/officeDocument/2006/relationships/hyperlink" Target="https://www.facebook.com/418887747980692/posts/122214479618542386" TargetMode="External"/><Relationship Id="rId387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Fwqt5QCY4nLaytYqxav6aOGzOUUkn5LL3VfFGCagDXZ4EoO26NtjHxkNJu6CtQTZEnVCxLSg85&amp;stp=c0.5000x0.5000f_dst-emg0_p64x64_q75_tt6&amp;ur=5fad0e&amp;_nc_sid=58080a&amp;oh=00_Af5ruQI9qVK49aMoNEAJXqS_zD6lrs094Su9byUYxNIKUQ&amp;oe=6A0738D6" TargetMode="External"/><Relationship Id="rId8" Type="http://schemas.openxmlformats.org/officeDocument/2006/relationships/hyperlink" Target="https://www.instagram.com/p/DWZTEEkAESA/" TargetMode="External"/><Relationship Id="rId144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EyAPar-zZkdsI3SO9IwoD1LwXhpbhfkSVQsGcj3jzU6hNpuljGmOK42yAPUm_Ua_QseM1fVLah&amp;stp=c0.5000x0.5000f_dst-emg0_p64x64_q75_tt6&amp;ur=52f3c4&amp;_nc_sid=58080a&amp;oh=00_Af7jcyx9J08S2Ej_ZbQHjwYt2yQ9khEknjvdrdCru-A2gw&amp;oe=6A073D71" TargetMode="External"/><Relationship Id="rId386" Type="http://schemas.openxmlformats.org/officeDocument/2006/relationships/hyperlink" Target="https://www.instagram.com/p/DWY9T1aAIeM/" TargetMode="External"/><Relationship Id="rId381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Fwqt5QCY4nLaytYqxav6aOGzOUUkn5LL3VfFGCagDXZ4EoO26NtjHxkNJu6CtQTZEnVCxLSg85&amp;stp=c0.5000x0.5000f_dst-emg0_p64x64_q75_tt6&amp;ur=5fad0e&amp;_nc_sid=58080a&amp;oh=00_Af5ruQI9qVK49aMoNEAJXqS_zD6lrs094Su9byUYxNIKUQ&amp;oe=6A0738D6" TargetMode="External"/><Relationship Id="rId380" Type="http://schemas.openxmlformats.org/officeDocument/2006/relationships/hyperlink" Target="https://www.instagram.com/p/DWY9T1aAIeM/" TargetMode="External"/><Relationship Id="rId139" Type="http://schemas.openxmlformats.org/officeDocument/2006/relationships/hyperlink" Target="https://www.facebook.com/418887747980692/posts/122214479702542386" TargetMode="External"/><Relationship Id="rId138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fC6uK_vx3QSEl5nacQov5-VUAKN_Rfgpz_WHvsTLnyLDxUCNexMtWci7v6AqQRqYiL9nFUDKW&amp;stp=c0.5000x0.5000f_dst-emg0_p64x64_q75_tt6&amp;ur=b696e2&amp;_nc_sid=58080a&amp;oh=00_Af54XMeMqt72wnKHJE37K1jk-3Zb8WpcTFwnv7qULLi56A&amp;oe=6A073222" TargetMode="External"/><Relationship Id="rId137" Type="http://schemas.openxmlformats.org/officeDocument/2006/relationships/hyperlink" Target="https://www.instagram.com/p/DWmfVWegBJr/" TargetMode="External"/><Relationship Id="rId379" Type="http://schemas.openxmlformats.org/officeDocument/2006/relationships/hyperlink" Target="https://www.facebook.com/418887747980692/posts/122214609122542386" TargetMode="External"/><Relationship Id="rId132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EPCAcByGB8hwDM9Qo_HSr0m-_sEl0WhCGjlZrkejBsduP61NpsVG6sKTAgPEPq2AVnfGulnliO&amp;stp=c0.5000x0.5000f_dst-emg0_p64x64_q75_tt6&amp;ur=b696e2&amp;_nc_sid=58080a&amp;oh=00_Af58v1KZWk7rhnJrOrCIV-KpY5FtDjUdf0XcQ458u-LR7g&amp;oe=6A07186A" TargetMode="External"/><Relationship Id="rId374" Type="http://schemas.openxmlformats.org/officeDocument/2006/relationships/hyperlink" Target="https://www.instagram.com/p/DWY8z91gDAd/" TargetMode="External"/><Relationship Id="rId131" Type="http://schemas.openxmlformats.org/officeDocument/2006/relationships/hyperlink" Target="https://www.instagram.com/p/DWZTSsxAIhD/" TargetMode="External"/><Relationship Id="rId373" Type="http://schemas.openxmlformats.org/officeDocument/2006/relationships/hyperlink" Target="https://www.facebook.com/418887747980692/posts/122214605852542386" TargetMode="External"/><Relationship Id="rId130" Type="http://schemas.openxmlformats.org/officeDocument/2006/relationships/hyperlink" Target="https://www.facebook.com/418887747980692/posts/122214479648542386" TargetMode="External"/><Relationship Id="rId372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FlBG1EH_w5IvY8uj3PplzXiiOoBsyFgHYUEblwXOm5hDL4pD-GoyBXMrdBnEsA4BiJomGyYYIP&amp;stp=c0.5000x0.5000f_dst-emg0_p64x64_q75_tt6&amp;ur=5fad0e&amp;_nc_sid=58080a&amp;oh=00_Af7-MRtMLpXdqgv2x3TYUwIANsjmjw5YJ5CBryB_9QIpsw&amp;oe=6A072B9E" TargetMode="External"/><Relationship Id="rId371" Type="http://schemas.openxmlformats.org/officeDocument/2006/relationships/hyperlink" Target="https://www.instagram.com/p/DWofuWmgEe5/" TargetMode="External"/><Relationship Id="rId136" Type="http://schemas.openxmlformats.org/officeDocument/2006/relationships/hyperlink" Target="https://www.facebook.com/418887747980692/posts/122214479822542386" TargetMode="External"/><Relationship Id="rId378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0_2RpNhSrpC9fCA0TX_EYAGaXpvNcYXjBM8HrAyQbk9tAGEq59J6U-ch9Cv_uwQqoolgrQWAV&amp;stp=c0.5000x0.5000f_dst-emg0_p64x64_q75_tt6&amp;ur=5fad0e&amp;_nc_sid=58080a&amp;oh=00_Af6d15fYw4aRKG8X9-xtJMFbgZRBDHizX3CsMBUdNEdpeQ&amp;oe=6A07199E" TargetMode="External"/><Relationship Id="rId135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H3_gfNknFi5rre_T4XUoZnzfqFTdzMihDGEnAeCOi2Ca-XBalmaBHtLSeeNRDCQ4-dnO-ZTPqL&amp;stp=c0.5000x0.5000f_dst-emg0_p64x64_q75_tt6&amp;ur=b696e2&amp;_nc_sid=58080a&amp;oh=00_Af7SYxd_FTukeYxmRUUj4xoC8g4woebbeHsfC3Gb-1mGLQ&amp;oe=6A07186A" TargetMode="External"/><Relationship Id="rId377" Type="http://schemas.openxmlformats.org/officeDocument/2006/relationships/hyperlink" Target="https://www.instagram.com/p/DWY8z91gDAd/" TargetMode="External"/><Relationship Id="rId134" Type="http://schemas.openxmlformats.org/officeDocument/2006/relationships/hyperlink" Target="https://www.instagram.com/p/DWmfUsJAHIz/" TargetMode="External"/><Relationship Id="rId376" Type="http://schemas.openxmlformats.org/officeDocument/2006/relationships/hyperlink" Target="https://www.facebook.com/418887747980692/posts/122214605852542386" TargetMode="External"/><Relationship Id="rId133" Type="http://schemas.openxmlformats.org/officeDocument/2006/relationships/hyperlink" Target="https://www.facebook.com/418887747980692/posts/122214479648542386" TargetMode="External"/><Relationship Id="rId375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0_2RpNhSrpC9fCA0TX_EYAGaXpvNcYXjBM8HrAyQbk9tAGEq59J6U-ch9Cv_uwQqoolgrQWAV&amp;stp=c0.5000x0.5000f_dst-emg0_p64x64_q75_tt6&amp;ur=5fad0e&amp;_nc_sid=58080a&amp;oh=00_Af6d15fYw4aRKG8X9-xtJMFbgZRBDHizX3CsMBUdNEdpeQ&amp;oe=6A07199E" TargetMode="External"/><Relationship Id="rId172" Type="http://schemas.openxmlformats.org/officeDocument/2006/relationships/hyperlink" Target="https://www.facebook.com/418887747980692/posts/122214479714542386" TargetMode="External"/><Relationship Id="rId171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glKzz8kyTTpK3ji_eZ6u6IO6TScA-luu8Zi-xSxEuwOvxztmrNMINSHkmWPWC4PakLs7LTcjz&amp;stp=c0.5000x0.5000f_dst-emg0_p64x64_q75_tt6&amp;ur=b696e2&amp;_nc_sid=58080a&amp;oh=00_Af7Wq_oZy5odJ-e8DNjJyKjMTiI-ylKugEhMPnObuFQQTg&amp;oe=6A072BAC" TargetMode="External"/><Relationship Id="rId170" Type="http://schemas.openxmlformats.org/officeDocument/2006/relationships/hyperlink" Target="https://www.instagram.com/p/DWZTSmNADw1/" TargetMode="External"/><Relationship Id="rId165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EPCAcByGB8hwDM9Qo_HSr0m-_sEl0WhCGjlZrkejBsduP61NpsVG6sKTAgPEPq2AVnfGulnliO&amp;stp=c0.5000x0.5000f_dst-emg0_p64x64_q75_tt6&amp;ur=b696e2&amp;_nc_sid=58080a&amp;oh=00_Af58v1KZWk7rhnJrOrCIV-KpY5FtDjUdf0XcQ458u-LR7g&amp;oe=6A07186A" TargetMode="External"/><Relationship Id="rId164" Type="http://schemas.openxmlformats.org/officeDocument/2006/relationships/hyperlink" Target="https://www.instagram.com/p/DWZTSsxAIhD/" TargetMode="External"/><Relationship Id="rId163" Type="http://schemas.openxmlformats.org/officeDocument/2006/relationships/hyperlink" Target="https://www.facebook.com/418887747980692/posts/122214479648542386" TargetMode="External"/><Relationship Id="rId162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H6qLIwn-tmpsoYE7hK1zPIio6ztSGQJqSvFZ7r_Jk5eG-KOgVsWnIzeXtUGZUIv7m2ZxAu6rud&amp;stp=c0.5000x0.5000f_dst-emg0_p64x64_q75_tt6&amp;ur=b696e2&amp;_nc_sid=58080a&amp;oh=00_Af50v2D2cmWcm2tBqbFXpmdM6hE68WGtx6IPiDMIYqGRwQ&amp;oe=6A074314" TargetMode="External"/><Relationship Id="rId169" Type="http://schemas.openxmlformats.org/officeDocument/2006/relationships/hyperlink" Target="https://www.facebook.com/418887747980692/posts/122214479702542386" TargetMode="External"/><Relationship Id="rId168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GWV81HLcG08eSXKOL6gH7ximqIGDrg8bmTW4Rd2c56qTKDvdxpdFOpPADi4DH8uGFMpmEHcerK&amp;stp=c0.5000x0.5000f_dst-emg0_p64x64_q75_tt6&amp;ur=b696e2&amp;_nc_sid=58080a&amp;oh=00_Af6BPwKO6PsfrRNbWR5PDcWJfvpai_6EPVViW6jT2UhMsQ&amp;oe=6A071423" TargetMode="External"/><Relationship Id="rId167" Type="http://schemas.openxmlformats.org/officeDocument/2006/relationships/hyperlink" Target="https://www.instagram.com/p/DWZTSkOAMba/" TargetMode="External"/><Relationship Id="rId166" Type="http://schemas.openxmlformats.org/officeDocument/2006/relationships/hyperlink" Target="https://www.facebook.com/418887747980692/posts/122214479636542386" TargetMode="External"/><Relationship Id="rId161" Type="http://schemas.openxmlformats.org/officeDocument/2006/relationships/hyperlink" Target="https://www.instagram.com/p/DWZTTBCgI9r/" TargetMode="External"/><Relationship Id="rId160" Type="http://schemas.openxmlformats.org/officeDocument/2006/relationships/hyperlink" Target="https://www.facebook.com/418887747980692/posts/122214479618542386" TargetMode="External"/><Relationship Id="rId159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fC6uK_vx3QSEl5nacQov5-VUAKN_Rfgpz_WHvsTLnyLDxUCNexMtWci7v6AqQRqYiL9nFUDKW&amp;stp=c0.5000x0.5000f_dst-emg0_p64x64_q75_tt6&amp;ur=b696e2&amp;_nc_sid=58080a&amp;oh=00_Af54XMeMqt72wnKHJE37K1jk-3Zb8WpcTFwnv7qULLi56A&amp;oe=6A073222" TargetMode="External"/><Relationship Id="rId154" Type="http://schemas.openxmlformats.org/officeDocument/2006/relationships/hyperlink" Target="https://www.facebook.com/418887747980692/posts/122214479636542386" TargetMode="External"/><Relationship Id="rId396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Fwqt5QCY4nLaytYqxav6aOGzOUUkn5LL3VfFGCagDXZ4EoO26NtjHxkNJu6CtQTZEnVCxLSg85&amp;stp=c0.5000x0.5000f_dst-emg0_p64x64_q75_tt6&amp;ur=5fad0e&amp;_nc_sid=58080a&amp;oh=00_Af5ruQI9qVK49aMoNEAJXqS_zD6lrs094Su9byUYxNIKUQ&amp;oe=6A0738D6" TargetMode="External"/><Relationship Id="rId153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OXnMRg9RIqQXSkzMs2yf-6D40T9FUrWlAMldkEvexYOONIyb_yYT_TnNeEoTaKqGT__JA0zN9&amp;stp=c0.5000x0.5000f_dst-emg0_p64x64_q75_tt6&amp;ur=b696e2&amp;_nc_sid=58080a&amp;oh=00_Af5xU9ZA4HST7puidCoa5ObaXw6epOI17rzf6xXOjzjuyA&amp;oe=6A073222" TargetMode="External"/><Relationship Id="rId395" Type="http://schemas.openxmlformats.org/officeDocument/2006/relationships/hyperlink" Target="https://www.instagram.com/p/DWY9T1aAIeM/" TargetMode="External"/><Relationship Id="rId152" Type="http://schemas.openxmlformats.org/officeDocument/2006/relationships/hyperlink" Target="https://www.instagram.com/p/DWmfTuyALgB/" TargetMode="External"/><Relationship Id="rId394" Type="http://schemas.openxmlformats.org/officeDocument/2006/relationships/hyperlink" Target="https://www.facebook.com/418887747980692/posts/122214609122542386" TargetMode="External"/><Relationship Id="rId151" Type="http://schemas.openxmlformats.org/officeDocument/2006/relationships/hyperlink" Target="https://www.facebook.com/418887747980692/posts/122214479714542386" TargetMode="External"/><Relationship Id="rId393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GxhfBg2JSDdT4HgWTA94TVzpPaHq3j9PIgjobyTLcEXtj5WsXCkBKygmygR3oMOdXOXEn9LYNj&amp;stp=c0.5000x0.5000f_dst-emg0_p64x64_q75_tt6&amp;ur=5fad0e&amp;_nc_sid=58080a&amp;oh=00_Af5-to0-JRpKwkBl5_RJo4a3EDPA3SRZPm6aRMkW3V9P6Q&amp;oe=6A07199E" TargetMode="External"/><Relationship Id="rId158" Type="http://schemas.openxmlformats.org/officeDocument/2006/relationships/hyperlink" Target="https://www.instagram.com/p/DWZTTKogAW-/" TargetMode="External"/><Relationship Id="rId157" Type="http://schemas.openxmlformats.org/officeDocument/2006/relationships/hyperlink" Target="https://www.facebook.com/418887747980692/posts/122214479822542386" TargetMode="External"/><Relationship Id="rId399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8r4C6rt5IUm111ZViwT2jdIl-pdKXDxJlVGTJlpPjMzWVMkEc2rbQl_upeTZ8avchWLpbVFlG&amp;stp=c0.5000x0.5000f_dst-emg0_p64x64_q75_tt6&amp;ur=5fad0e&amp;_nc_sid=58080a&amp;oh=00_Af4Ru4Jcm-bKeck0sXn0b1nXBDYgwzmmHkZKtuPI-YKQIA&amp;oe=6A072B9E" TargetMode="External"/><Relationship Id="rId156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H7txmO0nKkMu128d1x_QkSn9l-eQFnDC-WinHZ-6uoPf6MyEdHP3jb7RVfTf4mjZGWUrAIyUtz&amp;stp=c0.5000x0.5000f_dst-emg0_p64x64_q75_tt6&amp;ur=b696e2&amp;_nc_sid=58080a&amp;oh=00_Af5HsbIoLJOM-zRqebavVuae_R95TdZem3JqaydjfUi_SQ&amp;oe=6A071423" TargetMode="External"/><Relationship Id="rId398" Type="http://schemas.openxmlformats.org/officeDocument/2006/relationships/hyperlink" Target="https://www.instagram.com/p/DWofuYGgMME/" TargetMode="External"/><Relationship Id="rId155" Type="http://schemas.openxmlformats.org/officeDocument/2006/relationships/hyperlink" Target="https://www.instagram.com/p/DWmfUlFAHcM/" TargetMode="External"/><Relationship Id="rId397" Type="http://schemas.openxmlformats.org/officeDocument/2006/relationships/hyperlink" Target="https://www.facebook.com/418887747980692/posts/122215596458542386" TargetMode="External"/><Relationship Id="rId808" Type="http://schemas.openxmlformats.org/officeDocument/2006/relationships/hyperlink" Target="https://www.facebook.com/418887747980692/posts/122216561186542386" TargetMode="External"/><Relationship Id="rId807" Type="http://schemas.openxmlformats.org/officeDocument/2006/relationships/hyperlink" Target="https://scontent.xx.fbcdn.net/v/t15.5256-10/668079384_936738622474652_8707530169286926673_n.jpg?_nc_cat=105&amp;ccb=1-7&amp;_nc_ohc=CsCA30aF6JQQ7kNvwF_d6gC&amp;_nc_oc=Adq5UVdX_mzSiY98AEGH4CE2IMHu5l3TBSA9Tv5COXvZb3-nbdFpXUVIAyZzme4etQo&amp;_nc_zt=23&amp;_nc_ht=scontent.xx&amp;edm=AAwGEdEEAAAA&amp;_nc_gid=iEndcDk33bF5gt7MdoYrfg&amp;_nc_tpa=Q5bMBQELwqAYbyMUISrejWqpjTfGxpmyfBAsG0xQi9omdGmhqhnlCvb-5DJX8K9CDv9Qpt9IYOKwFjvR&amp;stp=c0.5000x0.5000f_dst-emg0_p64x64_q75_tt6&amp;ur=5fad0e&amp;_nc_sid=58080a&amp;oh=00_Af4ZlQmzLzStWeZ73I-6_89EVyp_Ne5qUeeDwYXTUOgYBQ&amp;oe=6A071CE2" TargetMode="External"/><Relationship Id="rId806" Type="http://schemas.openxmlformats.org/officeDocument/2006/relationships/hyperlink" Target="https://www.instagram.com/p/DW6UX84gGkw/" TargetMode="External"/><Relationship Id="rId805" Type="http://schemas.openxmlformats.org/officeDocument/2006/relationships/hyperlink" Target="https://www.facebook.com/418887747980692/posts/122216561186542386" TargetMode="External"/><Relationship Id="rId809" Type="http://schemas.openxmlformats.org/officeDocument/2006/relationships/hyperlink" Target="https://www.instagram.com/p/DW6UX84gGkw/" TargetMode="External"/><Relationship Id="rId800" Type="http://schemas.openxmlformats.org/officeDocument/2006/relationships/hyperlink" Target="https://www.instagram.com/p/DW6UX84gGkw/" TargetMode="External"/><Relationship Id="rId804" Type="http://schemas.openxmlformats.org/officeDocument/2006/relationships/hyperlink" Target="https://scontent.xx.fbcdn.net/v/t15.5256-10/668079384_936738622474652_8707530169286926673_n.jpg?_nc_cat=105&amp;ccb=1-7&amp;_nc_ohc=CsCA30aF6JQQ7kNvwF_d6gC&amp;_nc_oc=Adq5UVdX_mzSiY98AEGH4CE2IMHu5l3TBSA9Tv5COXvZb3-nbdFpXUVIAyZzme4etQo&amp;_nc_zt=23&amp;_nc_ht=scontent.xx&amp;edm=AAwGEdEEAAAA&amp;_nc_gid=iEndcDk33bF5gt7MdoYrfg&amp;_nc_tpa=Q5bMBQELwqAYbyMUISrejWqpjTfGxpmyfBAsG0xQi9omdGmhqhnlCvb-5DJX8K9CDv9Qpt9IYOKwFjvR&amp;stp=c0.5000x0.5000f_dst-emg0_p64x64_q75_tt6&amp;ur=5fad0e&amp;_nc_sid=58080a&amp;oh=00_Af4ZlQmzLzStWeZ73I-6_89EVyp_Ne5qUeeDwYXTUOgYBQ&amp;oe=6A071CE2" TargetMode="External"/><Relationship Id="rId803" Type="http://schemas.openxmlformats.org/officeDocument/2006/relationships/hyperlink" Target="https://www.instagram.com/p/DW6UX84gGkw/" TargetMode="External"/><Relationship Id="rId802" Type="http://schemas.openxmlformats.org/officeDocument/2006/relationships/hyperlink" Target="https://www.facebook.com/418887747980692/posts/122216561186542386" TargetMode="External"/><Relationship Id="rId801" Type="http://schemas.openxmlformats.org/officeDocument/2006/relationships/hyperlink" Target="https://scontent.xx.fbcdn.net/v/t15.5256-10/668079384_936738622474652_8707530169286926673_n.jpg?_nc_cat=105&amp;ccb=1-7&amp;_nc_ohc=CsCA30aF6JQQ7kNvwF_d6gC&amp;_nc_oc=Adq5UVdX_mzSiY98AEGH4CE2IMHu5l3TBSA9Tv5COXvZb3-nbdFpXUVIAyZzme4etQo&amp;_nc_zt=23&amp;_nc_ht=scontent.xx&amp;edm=AAwGEdEEAAAA&amp;_nc_gid=iEndcDk33bF5gt7MdoYrfg&amp;_nc_tpa=Q5bMBQELwqAYbyMUISrejWqpjTfGxpmyfBAsG0xQi9omdGmhqhnlCvb-5DJX8K9CDv9Qpt9IYOKwFjvR&amp;stp=c0.5000x0.5000f_dst-emg0_p64x64_q75_tt6&amp;ur=5fad0e&amp;_nc_sid=58080a&amp;oh=00_Af4ZlQmzLzStWeZ73I-6_89EVyp_Ne5qUeeDwYXTUOgYBQ&amp;oe=6A071CE2" TargetMode="External"/><Relationship Id="rId40" Type="http://schemas.openxmlformats.org/officeDocument/2006/relationships/hyperlink" Target="https://www.facebook.com/418887747980692/posts/122214588368542386" TargetMode="External"/><Relationship Id="rId42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GE7sJ-gBNRFrEsOnWmP761fSHpzRrwyvRk6kOtEJn7gFmETqAPY0UL4I6IPySK3Ot7qvrpBmvk&amp;stp=c0.5000x0.5000f_dst-emg0_p64x64_q75_tt6&amp;ur=b696e2&amp;_nc_sid=58080a&amp;oh=00_Af5rlF0ATQJelyqtQI-mzrCXapAWspxfDhPE1k2rQa145A&amp;oe=6A072D6E" TargetMode="External"/><Relationship Id="rId41" Type="http://schemas.openxmlformats.org/officeDocument/2006/relationships/hyperlink" Target="https://www.instagram.com/p/DWZTYH4ANuK/" TargetMode="External"/><Relationship Id="rId44" Type="http://schemas.openxmlformats.org/officeDocument/2006/relationships/hyperlink" Target="https://www.instagram.com/p/DWZTX58AEgK/" TargetMode="External"/><Relationship Id="rId43" Type="http://schemas.openxmlformats.org/officeDocument/2006/relationships/hyperlink" Target="https://www.facebook.com/418887747980692/posts/122214590924542386" TargetMode="External"/><Relationship Id="rId46" Type="http://schemas.openxmlformats.org/officeDocument/2006/relationships/hyperlink" Target="https://www.facebook.com/418887747980692/posts/122214595862542386" TargetMode="External"/><Relationship Id="rId45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E3fX5fV5UVSGcmU8Og0O5Fq1a0gvQQSf4TBUfxHop9UQDBwwPjQYvkoIfpdv-fUHF5FJg9jsC9&amp;stp=c0.5000x0.5000f_dst-emg0_p64x64_q75_tt6&amp;ur=b696e2&amp;_nc_sid=58080a&amp;oh=00_Af4BaeD20zkhfmqkekABBDay2xA4r39uH-jLP65bo6FkUw&amp;oe=6A0712D4" TargetMode="External"/><Relationship Id="rId509" Type="http://schemas.openxmlformats.org/officeDocument/2006/relationships/hyperlink" Target="https://www.instagram.com/p/DWZXcRlgM0j/" TargetMode="External"/><Relationship Id="rId508" Type="http://schemas.openxmlformats.org/officeDocument/2006/relationships/hyperlink" Target="https://www.facebook.com/418887747980692/posts/122214679670542386" TargetMode="External"/><Relationship Id="rId503" Type="http://schemas.openxmlformats.org/officeDocument/2006/relationships/hyperlink" Target="https://www.instagram.com/p/DWZXc3CAE-x/" TargetMode="External"/><Relationship Id="rId745" Type="http://schemas.openxmlformats.org/officeDocument/2006/relationships/hyperlink" Target="https://www.facebook.com/418887747980692/posts/122214479702542386" TargetMode="External"/><Relationship Id="rId502" Type="http://schemas.openxmlformats.org/officeDocument/2006/relationships/hyperlink" Target="https://www.facebook.com/418887747980692/posts/122214680834542386" TargetMode="External"/><Relationship Id="rId744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I0y2nEtMs1FsVH0JZrCfvEtDu4jY1erdKxtK_YeIDeM0nsLKTt_KKvsOZVFiKv_ihHOCQntYf&amp;stp=c0.5000x0.5000f_dst-emg0_p64x64_q75_tt6&amp;ur=b696e2&amp;_nc_sid=58080a&amp;oh=00_Af7rkC7OO4zxWsa07gym_4iXu_zDjF_UwOphLp9PODJTDw&amp;oe=6A071423" TargetMode="External"/><Relationship Id="rId501" Type="http://schemas.openxmlformats.org/officeDocument/2006/relationships/hyperlink" Target="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Gc0slEA_142z1lJYvPm0KXel4SixvaKEaNk7z9M2sJpQ3LThs2f5CNBWaPmCLbD9YblXF6bdxn&amp;stp=c0.5000x0.5000f_dst-emg0_p64x64_q75_tt6&amp;ur=b696e2&amp;_nc_sid=58080a&amp;oh=00_Af4VrcAbnNF5S4KQXybQpekbMDGZjSCE9poE0e_pTv84Qw&amp;oe=6A072D09" TargetMode="External"/><Relationship Id="rId743" Type="http://schemas.openxmlformats.org/officeDocument/2006/relationships/hyperlink" Target="https://www.instagram.com/p/DW1NHz3AGC6/" TargetMode="External"/><Relationship Id="rId500" Type="http://schemas.openxmlformats.org/officeDocument/2006/relationships/hyperlink" Target="https://www.instagram.com/p/DWZXfvOAI2n/" TargetMode="External"/><Relationship Id="rId742" Type="http://schemas.openxmlformats.org/officeDocument/2006/relationships/hyperlink" Target="https://www.facebook.com/418887747980692/posts/122214479636542386" TargetMode="External"/><Relationship Id="rId507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GEPgf2I1JfQPFcy8aHpmZ4f5XwWypznSNExn1bII6WdtDiMul2cbhX8wl9JlYUr_bLnIQ64Hv4&amp;stp=c0.5000x0.5000f_dst-emg0_p64x64_q75_tt6&amp;ur=b696e2&amp;_nc_sid=58080a&amp;oh=00_Af6v7eStQpoUFLXE9kP-xsIok0cj9W5rFTjar01fLjE0uA&amp;oe=6A072D6E" TargetMode="External"/><Relationship Id="rId749" Type="http://schemas.openxmlformats.org/officeDocument/2006/relationships/hyperlink" Target="https://www.instagram.com/p/DW1NHz3AGC6/" TargetMode="External"/><Relationship Id="rId506" Type="http://schemas.openxmlformats.org/officeDocument/2006/relationships/hyperlink" Target="https://www.instagram.com/p/DWZXbnpALH4/" TargetMode="External"/><Relationship Id="rId748" Type="http://schemas.openxmlformats.org/officeDocument/2006/relationships/hyperlink" Target="https://www.facebook.com/418887747980692/posts/122214479636542386" TargetMode="External"/><Relationship Id="rId505" Type="http://schemas.openxmlformats.org/officeDocument/2006/relationships/hyperlink" Target="https://www.facebook.com/418887747980692/posts/122214680942542386" TargetMode="External"/><Relationship Id="rId747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u5Q2t60cgb2hiFKqT4mRL6aySwkCguPZz06k2EpHkkJZloulm1uX6-3kas4hzvm5XoTQk3287&amp;stp=c0.5000x0.5000f_dst-emg0_p64x64_q75_tt6&amp;ur=b696e2&amp;_nc_sid=58080a&amp;oh=00_Af4XUr50eBV0iKpymQhhYIsoAgF0b1TTN34J1MuiLvn0pA&amp;oe=6A072BAC" TargetMode="External"/><Relationship Id="rId504" Type="http://schemas.openxmlformats.org/officeDocument/2006/relationships/hyperlink" Target="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Gle-2cP1ckVO34p2qZxPsko57EM5SyBQq6Usj8MMUeIlhHi7NoHw8lKfr9I93YEwGq_mydwMtX&amp;stp=c0.5000x0.5000f_dst-emg0_p64x64_q75_tt6&amp;ur=b696e2&amp;_nc_sid=58080a&amp;oh=00_Af7fRfESyM_cdxoT_P42smH_XLMjDSq4006tVZFguw4CJQ&amp;oe=6A072CB3" TargetMode="External"/><Relationship Id="rId746" Type="http://schemas.openxmlformats.org/officeDocument/2006/relationships/hyperlink" Target="https://www.instagram.com/p/DW1NH6CgA-F/" TargetMode="External"/><Relationship Id="rId48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E3zcWbJJyOjLWMoTpSGlY9S5lJ3U8da1U3SpJhGATbMKn80SUdtI9PqdtdQieyrPTv0dDzGkbt&amp;stp=c0.5000x0.5000f_dst-emg0_p64x64_q75_tt6&amp;ur=52f3c4&amp;_nc_sid=58080a&amp;oh=00_Af4BW_JLxHLDprAP4LfoxtIuJO2knCpCL6wAMRp4yUocbQ&amp;oe=6A07362D" TargetMode="External"/><Relationship Id="rId47" Type="http://schemas.openxmlformats.org/officeDocument/2006/relationships/hyperlink" Target="https://www.instagram.com/p/DWZTXsPgORt/" TargetMode="External"/><Relationship Id="rId49" Type="http://schemas.openxmlformats.org/officeDocument/2006/relationships/hyperlink" Target="https://www.facebook.com/418887747980692/posts/122214599870542386" TargetMode="External"/><Relationship Id="rId741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HM2t9q0Bsndi-ZIEE7-_QdJjlA-2wLD49MAbb1VcXpBGcDSsgMsWT6lvZEe_IBGowVrNJbE2Z&amp;stp=c0.5000x0.5000f_dst-emg0_p64x64_q75_tt6&amp;ur=b696e2&amp;_nc_sid=58080a&amp;oh=00_Af4edv5FPRfza0HVHvUmnUAUmsQP1yWf2lXsIDTWV-Ix4g&amp;oe=6A073222" TargetMode="External"/><Relationship Id="rId740" Type="http://schemas.openxmlformats.org/officeDocument/2006/relationships/hyperlink" Target="https://www.instagram.com/p/DW1NKI6ABeI/" TargetMode="External"/><Relationship Id="rId31" Type="http://schemas.openxmlformats.org/officeDocument/2006/relationships/hyperlink" Target="https://www.facebook.com/418887747980692/posts/122214581852542386" TargetMode="External"/><Relationship Id="rId30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FrRYuKa5ebbkQuRuLu-d_GuEFS1IKrMkQB1bXoJ5vjOGsYBmzs4y3IEIgWNoxOyWQ8Esx-6rbS&amp;stp=c0.5000x0.5000f_dst-emg0_p64x64_q75_tt6&amp;ur=b696e2&amp;_nc_sid=58080a&amp;oh=00_Af5pXW1RBeyCBN_UrlSXJAEWbEaOAGxyg0Xv2frp7q9ZcA&amp;oe=6A072CA5" TargetMode="External"/><Relationship Id="rId33" Type="http://schemas.openxmlformats.org/officeDocument/2006/relationships/hyperlink" Target="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lTPo95TmnTMW8Ud6jDRUBkIKI59EZYIVvq4OhNyyu8Zq1ri3vIqxc2W1bNVbUOP0nj4QtV3ly&amp;stp=c0.5000x0.5000f_dst-emg0_p64x64_q75_tt6&amp;ur=b696e2&amp;_nc_sid=58080a&amp;oh=00_Af5B4e6N6eiNHUv8ma4s-i6ZohVvMg37Euu7Y28NY_Q-4A&amp;oe=6A072D09" TargetMode="External"/><Relationship Id="rId32" Type="http://schemas.openxmlformats.org/officeDocument/2006/relationships/hyperlink" Target="https://www.instagram.com/p/DWZTYXOgBca/" TargetMode="External"/><Relationship Id="rId35" Type="http://schemas.openxmlformats.org/officeDocument/2006/relationships/hyperlink" Target="https://www.instagram.com/p/DWZTYaVAMgi/" TargetMode="External"/><Relationship Id="rId34" Type="http://schemas.openxmlformats.org/officeDocument/2006/relationships/hyperlink" Target="https://www.facebook.com/418887747980692/posts/122214584036542386" TargetMode="External"/><Relationship Id="rId739" Type="http://schemas.openxmlformats.org/officeDocument/2006/relationships/hyperlink" Target="https://www.facebook.com/418887747980692/posts/122216291372542386" TargetMode="External"/><Relationship Id="rId734" Type="http://schemas.openxmlformats.org/officeDocument/2006/relationships/hyperlink" Target="https://www.instagram.com/p/DWhOnsTgBFi/" TargetMode="External"/><Relationship Id="rId733" Type="http://schemas.openxmlformats.org/officeDocument/2006/relationships/hyperlink" Target="https://www.facebook.com/418887747980692/posts/122215164674542386" TargetMode="External"/><Relationship Id="rId732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FZPMX3IkM0vb3ui6hUlIqWDNgz0rmD_DwP9HkuYoBnGaBAIDRj83S0AThhOxZ-QKnWGj3rI0iE&amp;stp=c0.5000x0.5000f_dst-emg0_p64x64_q75_tt6&amp;ur=5fad0e&amp;_nc_sid=58080a&amp;oh=00_Af7gk7XzdSApZ5tJQLEQglwg5mKr7bCPLm1IvEWAgkbKlA&amp;oe=6A0712F5" TargetMode="External"/><Relationship Id="rId731" Type="http://schemas.openxmlformats.org/officeDocument/2006/relationships/hyperlink" Target="https://www.instagram.com/p/DWhOnjdANQx/" TargetMode="External"/><Relationship Id="rId738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u5Q2t60cgb2hiFKqT4mRL6aySwkCguPZz06k2EpHkkJZloulm1uX6-3kas4hzvm5XoTQk3287&amp;stp=c0.5000x0.5000f_dst-emg0_p64x64_q75_tt6&amp;ur=b696e2&amp;_nc_sid=58080a&amp;oh=00_Af4XUr50eBV0iKpymQhhYIsoAgF0b1TTN34J1MuiLvn0pA&amp;oe=6A072BAC" TargetMode="External"/><Relationship Id="rId737" Type="http://schemas.openxmlformats.org/officeDocument/2006/relationships/hyperlink" Target="https://www.instagram.com/p/DW1NH6CgA-F/" TargetMode="External"/><Relationship Id="rId736" Type="http://schemas.openxmlformats.org/officeDocument/2006/relationships/hyperlink" Target="https://www.facebook.com/418887747980692/posts/122214479702542386" TargetMode="External"/><Relationship Id="rId735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HYOQQJ8Ltna8Xl7TC6SVj1sME-B0cb0CihsNRWvR0DehphLbBNExBmt6raUHRBFjSVpFmYm6O9&amp;stp=c0.5000x0.5000f_dst-emg0_p64x64_q75_tt6&amp;ur=5fad0e&amp;_nc_sid=58080a&amp;oh=00_Af7kCsKscvmh27yGCDRIrayXbzMAaJHqyxXYGVssJDx5Dg&amp;oe=6A0712F5" TargetMode="External"/><Relationship Id="rId37" Type="http://schemas.openxmlformats.org/officeDocument/2006/relationships/hyperlink" Target="https://www.facebook.com/418887747980692/posts/122214586136542386" TargetMode="External"/><Relationship Id="rId36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G-F6wJRXWHPfeEIq_yng5rsMiYuCMErZjxbiCsjDOK6-yNB3lzlvm6Q2IuRSccwtFzERDUNIvu&amp;stp=c0.5000x0.5000f_dst-emg0_p64x64_q75_tt6&amp;ur=b696e2&amp;_nc_sid=58080a&amp;oh=00_Af6kX11xNReTkN9B-R0Jtfy_09QIWgBBSen9gROyDBQETw&amp;oe=6A0729E5" TargetMode="External"/><Relationship Id="rId39" Type="http://schemas.openxmlformats.org/officeDocument/2006/relationships/hyperlink" Target="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HO3XPvH5dB-ThT9wPcUuVkqLwRDdEbp0aYQh5-I9S8cIwKDpyYYoDaGFWvUIsng244cmW_Efv_&amp;stp=c0.5000x0.5000f_dst-emg0_p64x64_q75_tt6&amp;ur=b696e2&amp;_nc_sid=58080a&amp;oh=00_Af4kv2Ooq_c0RDMyploddA99vpmmwMQ45fGOBSbmmAamfw&amp;oe=6A072CB3" TargetMode="External"/><Relationship Id="rId38" Type="http://schemas.openxmlformats.org/officeDocument/2006/relationships/hyperlink" Target="https://www.instagram.com/p/DWZTYAJAEIg/" TargetMode="External"/><Relationship Id="rId730" Type="http://schemas.openxmlformats.org/officeDocument/2006/relationships/hyperlink" Target="https://www.facebook.com/418887747980692/posts/122215164662542386" TargetMode="External"/><Relationship Id="rId20" Type="http://schemas.openxmlformats.org/officeDocument/2006/relationships/hyperlink" Target="https://www.instagram.com/p/DWZTEc_ABMS/" TargetMode="External"/><Relationship Id="rId22" Type="http://schemas.openxmlformats.org/officeDocument/2006/relationships/hyperlink" Target="https://www.facebook.com/418887747980692/posts/122214576476542386" TargetMode="External"/><Relationship Id="rId21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Egq_A_qxK4ku8pWq9dHpCTTinV2cBxjuDjnXz31kjZIW0XTESByp2vrDMcUUxMQUi6dVZj0BZX&amp;stp=c0.5000x0.5000f_dst-emg0_p64x64_q75_tt6&amp;ur=b696e2&amp;_nc_sid=58080a&amp;oh=00_Af717oKbXGdCpyZrEe5kejpEssZXq7-gXCg7iezwT6NYkg&amp;oe=6A07186A" TargetMode="External"/><Relationship Id="rId24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80Wvh6QISuT-KvwJMO8kR3Jdw1esDaejgzHQTNr6cLkxspVYjSQhQDzXHkUvObH65axbOQeUm&amp;stp=c0.5000x0.5000f_dst-emg0_p64x64_q75_tt6&amp;ur=b696e2&amp;_nc_sid=58080a&amp;oh=00_Af7lWVM3zo9LU_shzHmDsl1lhgSXUSFOB8GquYjDbVV1hQ&amp;oe=6A07199E" TargetMode="External"/><Relationship Id="rId23" Type="http://schemas.openxmlformats.org/officeDocument/2006/relationships/hyperlink" Target="https://www.instagram.com/p/DWZTYL2gFWK/" TargetMode="External"/><Relationship Id="rId525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GldwjMoN3LSGe-x4TDiC3hLuyFNiPpV65bW8oXHOK6kF4yUOtrwdLF7l2GRXzcjyTH5g2TpUux&amp;stp=c0.5000x0.5000f_dst-emg0_p64x64_q75_tt6&amp;ur=b696e2&amp;_nc_sid=58080a&amp;oh=00_Af5x54AYrnLcZgi7zbhp_e4TgIQa-YONmyh88Ku6SJuEJA&amp;oe=6A070B62" TargetMode="External"/><Relationship Id="rId767" Type="http://schemas.openxmlformats.org/officeDocument/2006/relationships/hyperlink" Target="https://www.instagram.com/p/DW1NH6CgA-F/" TargetMode="External"/><Relationship Id="rId524" Type="http://schemas.openxmlformats.org/officeDocument/2006/relationships/hyperlink" Target="https://www.instagram.com/p/DWZXcIEgJk9/" TargetMode="External"/><Relationship Id="rId766" Type="http://schemas.openxmlformats.org/officeDocument/2006/relationships/hyperlink" Target="https://www.facebook.com/418887747980692/posts/122214479702542386" TargetMode="External"/><Relationship Id="rId523" Type="http://schemas.openxmlformats.org/officeDocument/2006/relationships/hyperlink" Target="https://www.facebook.com/418887747980692/posts/122214680918542386" TargetMode="External"/><Relationship Id="rId765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u5Q2t60cgb2hiFKqT4mRL6aySwkCguPZz06k2EpHkkJZloulm1uX6-3kas4hzvm5XoTQk3287&amp;stp=c0.5000x0.5000f_dst-emg0_p64x64_q75_tt6&amp;ur=b696e2&amp;_nc_sid=58080a&amp;oh=00_Af4XUr50eBV0iKpymQhhYIsoAgF0b1TTN34J1MuiLvn0pA&amp;oe=6A072BAC" TargetMode="External"/><Relationship Id="rId522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K_i2KhHYOo-QFDyi-VMoVDcBO5w6d1K0BIWEXUf1VaE3F5HZjb7_ak7B36jePjIr5KTWLzQ5g&amp;stp=c0.5000x0.5000f_dst-emg0_p64x64_q75_tt6&amp;ur=b696e2&amp;_nc_sid=58080a&amp;oh=00_Af5N-vSJMRJATeiomarLmypcEW8oeoDdv4azzXOkMQRGdA&amp;oe=6A072CA5" TargetMode="External"/><Relationship Id="rId764" Type="http://schemas.openxmlformats.org/officeDocument/2006/relationships/hyperlink" Target="https://www.instagram.com/p/DW1NK3EgNLu/" TargetMode="External"/><Relationship Id="rId529" Type="http://schemas.openxmlformats.org/officeDocument/2006/relationships/hyperlink" Target="https://www.facebook.com/418887747980692/posts/122214680552542386" TargetMode="External"/><Relationship Id="rId528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HJLo_1qNtSB5XnIDYFKb8iNb1k5NNIPozakPBTHXoKrxYnl1gWbsxMFzQTAu9huZqDMOqRQX-w&amp;stp=c0.5000x0.5000f_dst-emg0_p64x64_q75_tt6&amp;ur=52f3c4&amp;_nc_sid=58080a&amp;oh=00_Af7cvwAjVG6Rl7Lci3qvA39nSGXECZcv2Lr13QRTo3NGpg&amp;oe=6A07362D" TargetMode="External"/><Relationship Id="rId527" Type="http://schemas.openxmlformats.org/officeDocument/2006/relationships/hyperlink" Target="https://www.instagram.com/p/DWZXcWuAD4m/" TargetMode="External"/><Relationship Id="rId769" Type="http://schemas.openxmlformats.org/officeDocument/2006/relationships/hyperlink" Target="https://www.facebook.com/418887747980692/posts/122214479636542386" TargetMode="External"/><Relationship Id="rId526" Type="http://schemas.openxmlformats.org/officeDocument/2006/relationships/hyperlink" Target="https://www.facebook.com/418887747980692/posts/122214679664542386" TargetMode="External"/><Relationship Id="rId768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u5Q2t60cgb2hiFKqT4mRL6aySwkCguPZz06k2EpHkkJZloulm1uX6-3kas4hzvm5XoTQk3287&amp;stp=c0.5000x0.5000f_dst-emg0_p64x64_q75_tt6&amp;ur=b696e2&amp;_nc_sid=58080a&amp;oh=00_Af4XUr50eBV0iKpymQhhYIsoAgF0b1TTN34J1MuiLvn0pA&amp;oe=6A072BAC" TargetMode="External"/><Relationship Id="rId26" Type="http://schemas.openxmlformats.org/officeDocument/2006/relationships/hyperlink" Target="https://www.instagram.com/p/DWZTX4LAD2u/" TargetMode="External"/><Relationship Id="rId25" Type="http://schemas.openxmlformats.org/officeDocument/2006/relationships/hyperlink" Target="https://www.facebook.com/418887747980692/posts/122214577814542386" TargetMode="External"/><Relationship Id="rId28" Type="http://schemas.openxmlformats.org/officeDocument/2006/relationships/hyperlink" Target="https://www.facebook.com/418887747980692/posts/122214579746542386" TargetMode="External"/><Relationship Id="rId27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FDvDxjZNi7bJjSXErkGmnotJE97Wg9i1Tr5QBlCWl9NIjI2h5mk_tOidVfwwVaC6CLOePFVmA8&amp;stp=c0.5000x0.5000f_dst-emg0_p64x64_q75_tt6&amp;ur=b696e2&amp;_nc_sid=58080a&amp;oh=00_Af5G_1nSXeOII4gG_PNUID3oqhNwlw0DRct4icecAahXRw&amp;oe=6A070B62" TargetMode="External"/><Relationship Id="rId521" Type="http://schemas.openxmlformats.org/officeDocument/2006/relationships/hyperlink" Target="https://www.instagram.com/p/DWZXdSYgBcu/" TargetMode="External"/><Relationship Id="rId763" Type="http://schemas.openxmlformats.org/officeDocument/2006/relationships/hyperlink" Target="https://www.facebook.com/418887747980692/posts/122214479702542386" TargetMode="External"/><Relationship Id="rId29" Type="http://schemas.openxmlformats.org/officeDocument/2006/relationships/hyperlink" Target="https://www.instagram.com/p/DWZTYbxAFFD/" TargetMode="External"/><Relationship Id="rId520" Type="http://schemas.openxmlformats.org/officeDocument/2006/relationships/hyperlink" Target="https://www.facebook.com/418887747980692/posts/122214680618542386" TargetMode="External"/><Relationship Id="rId762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u5Q2t60cgb2hiFKqT4mRL6aySwkCguPZz06k2EpHkkJZloulm1uX6-3kas4hzvm5XoTQk3287&amp;stp=c0.5000x0.5000f_dst-emg0_p64x64_q75_tt6&amp;ur=b696e2&amp;_nc_sid=58080a&amp;oh=00_Af4XUr50eBV0iKpymQhhYIsoAgF0b1TTN34J1MuiLvn0pA&amp;oe=6A072BAC" TargetMode="External"/><Relationship Id="rId761" Type="http://schemas.openxmlformats.org/officeDocument/2006/relationships/hyperlink" Target="https://www.instagram.com/p/DW1NK3EgNLu/" TargetMode="External"/><Relationship Id="rId760" Type="http://schemas.openxmlformats.org/officeDocument/2006/relationships/hyperlink" Target="https://www.facebook.com/418887747980692/posts/122214479702542386" TargetMode="External"/><Relationship Id="rId11" Type="http://schemas.openxmlformats.org/officeDocument/2006/relationships/hyperlink" Target="https://www.instagram.com/p/DWZTEkgAHA2/" TargetMode="External"/><Relationship Id="rId10" Type="http://schemas.openxmlformats.org/officeDocument/2006/relationships/hyperlink" Target="https://www.facebook.com/418887747980692/posts/122214479732542386" TargetMode="External"/><Relationship Id="rId13" Type="http://schemas.openxmlformats.org/officeDocument/2006/relationships/hyperlink" Target="https://www.facebook.com/418887747980692/posts/122214479636542386" TargetMode="External"/><Relationship Id="rId12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GxuQ8PXmCil8EAT0RfF2O8MeD2uw_Mxp35CbU8bJK1UYpAZ-cu04uhic4e9ygkhSC2bWhcVo9y&amp;stp=c0.5000x0.5000f_dst-emg0_p64x64_q75_tt6&amp;ur=b696e2&amp;_nc_sid=58080a&amp;oh=00_Af6q5h4ZRajxszSctSYWlklyxEPkQ2a5UYLIzIKULEfpkw&amp;oe=6A070D3D" TargetMode="External"/><Relationship Id="rId519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ochnBQterwJdTlnDNl9bCCk04_aFFECbnHiCD4NvROnoCoSA3cDpuxaakaMgdm6jGrrBDbOqG&amp;stp=c0.5000x0.5000f_dst-emg0_p64x64_q75_tt6&amp;ur=b696e2&amp;_nc_sid=58080a&amp;oh=00_Af52bKXvF5qkhAlAK3JO8aJMFy3uvJrdIdsKqCFF2zgDlA&amp;oe=6A07199E" TargetMode="External"/><Relationship Id="rId514" Type="http://schemas.openxmlformats.org/officeDocument/2006/relationships/hyperlink" Target="https://www.facebook.com/418887747980692/posts/122214680864542386" TargetMode="External"/><Relationship Id="rId756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I0y2nEtMs1FsVH0JZrCfvEtDu4jY1erdKxtK_YeIDeM0nsLKTt_KKvsOZVFiKv_ihHOCQntYf&amp;stp=c0.5000x0.5000f_dst-emg0_p64x64_q75_tt6&amp;ur=b696e2&amp;_nc_sid=58080a&amp;oh=00_Af7rkC7OO4zxWsa07gym_4iXu_zDjF_UwOphLp9PODJTDw&amp;oe=6A071423" TargetMode="External"/><Relationship Id="rId513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HHaWJbIkT8teCILZZCrdmRvpF_oPQofgmALrZ4d7JNlb1t3a9TZpQhQmmhygaKrq1Sw8EV_nBx&amp;stp=c0.5000x0.5000f_dst-emg0_p64x64_q75_tt6&amp;ur=b696e2&amp;_nc_sid=58080a&amp;oh=00_Af5XHesSOiQfw9sf9wU7HIPT4RK_ZdIRri425xYiNj0opA&amp;oe=6A0729E5" TargetMode="External"/><Relationship Id="rId755" Type="http://schemas.openxmlformats.org/officeDocument/2006/relationships/hyperlink" Target="https://www.instagram.com/p/DW1NHz3AGC6/" TargetMode="External"/><Relationship Id="rId512" Type="http://schemas.openxmlformats.org/officeDocument/2006/relationships/hyperlink" Target="https://www.instagram.com/p/DWZXbwmgAxP/" TargetMode="External"/><Relationship Id="rId754" Type="http://schemas.openxmlformats.org/officeDocument/2006/relationships/hyperlink" Target="https://www.facebook.com/418887747980692/posts/122214479636542386" TargetMode="External"/><Relationship Id="rId511" Type="http://schemas.openxmlformats.org/officeDocument/2006/relationships/hyperlink" Target="https://www.facebook.com/418887747980692/posts/122214680306542386" TargetMode="External"/><Relationship Id="rId753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u5Q2t60cgb2hiFKqT4mRL6aySwkCguPZz06k2EpHkkJZloulm1uX6-3kas4hzvm5XoTQk3287&amp;stp=c0.5000x0.5000f_dst-emg0_p64x64_q75_tt6&amp;ur=b696e2&amp;_nc_sid=58080a&amp;oh=00_Af4XUr50eBV0iKpymQhhYIsoAgF0b1TTN34J1MuiLvn0pA&amp;oe=6A072BAC" TargetMode="External"/><Relationship Id="rId518" Type="http://schemas.openxmlformats.org/officeDocument/2006/relationships/hyperlink" Target="https://www.instagram.com/p/DWZXbzsgAnG/" TargetMode="External"/><Relationship Id="rId517" Type="http://schemas.openxmlformats.org/officeDocument/2006/relationships/hyperlink" Target="https://www.facebook.com/418887747980692/posts/122214680582542386" TargetMode="External"/><Relationship Id="rId759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Ht-sdjc5w4bJp-T85iscya25oq7E1x288xyTB5gLdzj7-wDAn3W8GgudkBEcwMmUwTbvesVX6G&amp;stp=c0.5000x0.5000f_dst-emg0_p64x64_q75_tt6&amp;ur=b696e2&amp;_nc_sid=58080a&amp;oh=00_Af5KgZhAc6XGWTXydRspaQRb8Bp-jHhiDEb8MQc9x_FBuA&amp;oe=6A071423" TargetMode="External"/><Relationship Id="rId516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FZsWobwDUD2fP_mQjNwtk1J6IlihFvv4NFTHIMkbu-Dkt4nVYICOvvny9vo6dDHGuUOUkjzVzA&amp;stp=c0.5000x0.5000f_dst-emg0_p64x64_q75_tt6&amp;ur=b696e2&amp;_nc_sid=58080a&amp;oh=00_Af4MYH_1dKo9dq_rmqum-g9NPCSW-2GrxiY8nQeg4YVMfQ&amp;oe=6A0712D4" TargetMode="External"/><Relationship Id="rId758" Type="http://schemas.openxmlformats.org/officeDocument/2006/relationships/hyperlink" Target="https://www.instagram.com/p/DW4QGeegD2f/" TargetMode="External"/><Relationship Id="rId515" Type="http://schemas.openxmlformats.org/officeDocument/2006/relationships/hyperlink" Target="https://www.instagram.com/p/DWZXcy6gNGX/" TargetMode="External"/><Relationship Id="rId757" Type="http://schemas.openxmlformats.org/officeDocument/2006/relationships/hyperlink" Target="https://www.facebook.com/418887747980692/posts/122214479636542386" TargetMode="External"/><Relationship Id="rId15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GWV81HLcG08eSXKOL6gH7ximqIGDrg8bmTW4Rd2c56qTKDvdxpdFOpPADi4DH8uGFMpmEHcerK&amp;stp=c0.5000x0.5000f_dst-emg0_p64x64_q75_tt6&amp;ur=b696e2&amp;_nc_sid=58080a&amp;oh=00_Af6BPwKO6PsfrRNbWR5PDcWJfvpai_6EPVViW6jT2UhMsQ&amp;oe=6A071423" TargetMode="External"/><Relationship Id="rId14" Type="http://schemas.openxmlformats.org/officeDocument/2006/relationships/hyperlink" Target="https://www.instagram.com/p/DWZTEbXgEMB/" TargetMode="External"/><Relationship Id="rId17" Type="http://schemas.openxmlformats.org/officeDocument/2006/relationships/hyperlink" Target="https://www.instagram.com/p/DWZTEq-AMPu/" TargetMode="External"/><Relationship Id="rId16" Type="http://schemas.openxmlformats.org/officeDocument/2006/relationships/hyperlink" Target="https://www.facebook.com/418887747980692/posts/122214479822542386" TargetMode="External"/><Relationship Id="rId19" Type="http://schemas.openxmlformats.org/officeDocument/2006/relationships/hyperlink" Target="https://www.facebook.com/418887747980692/posts/122214479648542386" TargetMode="External"/><Relationship Id="rId510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G7rNven1XTMZtgvpArafqZDXFCbRBOPDRQUlNOK2moLhQ_SRmgKoDRv726ynZ9z6_l9ae6wwCi&amp;stp=c0.5000x0.5000f_dst-emg0_p64x64_q75_tt6&amp;ur=52f3c4&amp;_nc_sid=58080a&amp;oh=00_Af4MhVFkIeq1NiLTuxzWmt5HOJb4UzBuOglH4TVkxSG1Uw&amp;oe=6A07362D" TargetMode="External"/><Relationship Id="rId752" Type="http://schemas.openxmlformats.org/officeDocument/2006/relationships/hyperlink" Target="https://www.instagram.com/p/DW1NH6CgA-F/" TargetMode="External"/><Relationship Id="rId18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fC6uK_vx3QSEl5nacQov5-VUAKN_Rfgpz_WHvsTLnyLDxUCNexMtWci7v6AqQRqYiL9nFUDKW&amp;stp=c0.5000x0.5000f_dst-emg0_p64x64_q75_tt6&amp;ur=b696e2&amp;_nc_sid=58080a&amp;oh=00_Af54XMeMqt72wnKHJE37K1jk-3Zb8WpcTFwnv7qULLi56A&amp;oe=6A073222" TargetMode="External"/><Relationship Id="rId751" Type="http://schemas.openxmlformats.org/officeDocument/2006/relationships/hyperlink" Target="https://www.facebook.com/418887747980692/posts/122214479702542386" TargetMode="External"/><Relationship Id="rId750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I0y2nEtMs1FsVH0JZrCfvEtDu4jY1erdKxtK_YeIDeM0nsLKTt_KKvsOZVFiKv_ihHOCQntYf&amp;stp=c0.5000x0.5000f_dst-emg0_p64x64_q75_tt6&amp;ur=b696e2&amp;_nc_sid=58080a&amp;oh=00_Af7rkC7OO4zxWsa07gym_4iXu_zDjF_UwOphLp9PODJTDw&amp;oe=6A071423" TargetMode="External"/><Relationship Id="rId84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H3_gfNknFi5rre_T4XUoZnzfqFTdzMihDGEnAeCOi2Ca-XBalmaBHtLSeeNRDCQ4-dnO-ZTPqL&amp;stp=c0.5000x0.5000f_dst-emg0_p64x64_q75_tt6&amp;ur=b696e2&amp;_nc_sid=58080a&amp;oh=00_Af7SYxd_FTukeYxmRUUj4xoC8g4woebbeHsfC3Gb-1mGLQ&amp;oe=6A07186A" TargetMode="External"/><Relationship Id="rId83" Type="http://schemas.openxmlformats.org/officeDocument/2006/relationships/hyperlink" Target="https://www.instagram.com/p/DWmfVbNANjQ/" TargetMode="External"/><Relationship Id="rId86" Type="http://schemas.openxmlformats.org/officeDocument/2006/relationships/hyperlink" Target="https://www.instagram.com/p/DWZTTKogAW-/" TargetMode="External"/><Relationship Id="rId85" Type="http://schemas.openxmlformats.org/officeDocument/2006/relationships/hyperlink" Target="https://www.facebook.com/418887747980692/posts/122214479822542386" TargetMode="External"/><Relationship Id="rId88" Type="http://schemas.openxmlformats.org/officeDocument/2006/relationships/hyperlink" Target="https://www.facebook.com/418887747980692/posts/122214479732542386" TargetMode="External"/><Relationship Id="rId87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fC6uK_vx3QSEl5nacQov5-VUAKN_Rfgpz_WHvsTLnyLDxUCNexMtWci7v6AqQRqYiL9nFUDKW&amp;stp=c0.5000x0.5000f_dst-emg0_p64x64_q75_tt6&amp;ur=b696e2&amp;_nc_sid=58080a&amp;oh=00_Af54XMeMqt72wnKHJE37K1jk-3Zb8WpcTFwnv7qULLi56A&amp;oe=6A073222" TargetMode="External"/><Relationship Id="rId89" Type="http://schemas.openxmlformats.org/officeDocument/2006/relationships/hyperlink" Target="https://www.instagram.com/p/DWZTSyZgD1l/" TargetMode="External"/><Relationship Id="rId709" Type="http://schemas.openxmlformats.org/officeDocument/2006/relationships/hyperlink" Target="https://www.facebook.com/418887747980692/posts/122215164692542386" TargetMode="External"/><Relationship Id="rId708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H9Qb9DOLj8QX3tHVCwT9hgChBDiNN3xm6dxndRwW7QanBkaZMfx2q4N-lQfijNE0Ac6Be6hn1z&amp;stp=c0.5000x0.5000f_dst-emg0_p64x64_q75_tt6&amp;ur=5fad0e&amp;_nc_sid=58080a&amp;oh=00_Af6lbaGRC1JApmDd6WuU1f81FvuwufWlQHZ3WFDixVn1Lw&amp;oe=6A0712F5" TargetMode="External"/><Relationship Id="rId707" Type="http://schemas.openxmlformats.org/officeDocument/2006/relationships/hyperlink" Target="https://www.instagram.com/p/DWhOo33gBdw/" TargetMode="External"/><Relationship Id="rId706" Type="http://schemas.openxmlformats.org/officeDocument/2006/relationships/hyperlink" Target="https://www.facebook.com/418887747980692/posts/122215164704542386" TargetMode="External"/><Relationship Id="rId80" Type="http://schemas.openxmlformats.org/officeDocument/2006/relationships/hyperlink" Target="https://www.instagram.com/p/DWmfVlEgE0O/" TargetMode="External"/><Relationship Id="rId82" Type="http://schemas.openxmlformats.org/officeDocument/2006/relationships/hyperlink" Target="https://www.facebook.com/418887747980692/posts/122214479648542386" TargetMode="External"/><Relationship Id="rId81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EMzfYUOfsEtVn3OwedlZbrUjeUNtUPLdbCHFWyjMaquA0nheFcOkThyLOQSem7j_kI24Sve4mv&amp;stp=c0.5000x0.5000f_dst-emg0_p64x64_q75_tt6&amp;ur=b696e2&amp;_nc_sid=58080a&amp;oh=00_Af6R6aWO3NIfjb9Q6D8BMfxe5eJCfugfb3X2vBZDkykl1Q&amp;oe=6A074314" TargetMode="External"/><Relationship Id="rId701" Type="http://schemas.openxmlformats.org/officeDocument/2006/relationships/hyperlink" Target="https://www.instagram.com/p/DWhOoBpgN6r/" TargetMode="External"/><Relationship Id="rId700" Type="http://schemas.openxmlformats.org/officeDocument/2006/relationships/hyperlink" Target="https://www.facebook.com/418887747980692/posts/122215164758542386" TargetMode="External"/><Relationship Id="rId705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FQVP1JPrJ5kCy1Ign0M47vpSyvahUCuaUafg7w_6-G9wNZCadDKZHddiB0gJMJA49SSTApW62W&amp;stp=c0.5000x0.5000f_dst-emg0_p64x64_q75_tt6&amp;ur=5fad0e&amp;_nc_sid=58080a&amp;oh=00_Af78LszEx0V2urryAuvqQDu1buS3PpAMkXWq7c1-UJk-dA&amp;oe=6A0712F5" TargetMode="External"/><Relationship Id="rId704" Type="http://schemas.openxmlformats.org/officeDocument/2006/relationships/hyperlink" Target="https://www.instagram.com/p/DWhOnmrACnh/" TargetMode="External"/><Relationship Id="rId703" Type="http://schemas.openxmlformats.org/officeDocument/2006/relationships/hyperlink" Target="https://www.facebook.com/418887747980692/posts/122215164680542386" TargetMode="External"/><Relationship Id="rId702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G9FhqN-W402hCbWRhKF3G8pnVnbgoF0IcVNcdxlvtj_8ubWSzBjcuDFG3gyrXRSgSAVubLrsCh&amp;stp=c0.5000x0.5000f_dst-emg0_p64x64_q75_tt6&amp;ur=5fad0e&amp;_nc_sid=58080a&amp;oh=00_Af4G7478unCeCdB-Xfjzxx4D7aPIpWRs2GkF0ngDG5kWhg&amp;oe=6A0712F5" TargetMode="External"/><Relationship Id="rId73" Type="http://schemas.openxmlformats.org/officeDocument/2006/relationships/hyperlink" Target="https://www.facebook.com/418887747980692/posts/122214479636542386" TargetMode="External"/><Relationship Id="rId72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9k6Qh16ZuLkQG3TsZ1Z88F9zcUXt-jBZBTGoghFsMWHUL8gSySxi7qKLe3vWakL3yG_VLXYZb&amp;stp=c0.5000x0.5000f_dst-emg0_p64x64_q75_tt6&amp;ur=b696e2&amp;_nc_sid=58080a&amp;oh=00_Af5pB8aKWlfSCF2EiLYNIGwX-9bxQqxmHB3BdtyLC2qxwA&amp;oe=6A073222" TargetMode="External"/><Relationship Id="rId75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H7txmO0nKkMu128d1x_QkSn9l-eQFnDC-WinHZ-6uoPf6MyEdHP3jb7RVfTf4mjZGWUrAIyUtz&amp;stp=c0.5000x0.5000f_dst-emg0_p64x64_q75_tt6&amp;ur=b696e2&amp;_nc_sid=58080a&amp;oh=00_Af5HsbIoLJOM-zRqebavVuae_R95TdZem3JqaydjfUi_SQ&amp;oe=6A071423" TargetMode="External"/><Relationship Id="rId74" Type="http://schemas.openxmlformats.org/officeDocument/2006/relationships/hyperlink" Target="https://www.instagram.com/p/DWmfVVPAHxL/" TargetMode="External"/><Relationship Id="rId77" Type="http://schemas.openxmlformats.org/officeDocument/2006/relationships/hyperlink" Target="https://www.instagram.com/p/DWmfV26AHCk/" TargetMode="External"/><Relationship Id="rId76" Type="http://schemas.openxmlformats.org/officeDocument/2006/relationships/hyperlink" Target="https://www.facebook.com/418887747980692/posts/122214479732542386" TargetMode="External"/><Relationship Id="rId79" Type="http://schemas.openxmlformats.org/officeDocument/2006/relationships/hyperlink" Target="https://www.facebook.com/418887747980692/posts/122214479618542386" TargetMode="External"/><Relationship Id="rId78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GG2jDH-HD7mCvbhQhf0HJE0eMXa1fzDpvTLFHbmiJf9nLL_qO1KXyCTS6P2tFVnADhySuVLxtW&amp;stp=c0.5000x0.5000f_dst-emg0_p64x64_q75_tt6&amp;ur=b696e2&amp;_nc_sid=58080a&amp;oh=00_Af512HcfWitX8J_2bnmgNrwAY6mIIMWHypzZVFVkvfyedA&amp;oe=6A070D3D" TargetMode="External"/><Relationship Id="rId71" Type="http://schemas.openxmlformats.org/officeDocument/2006/relationships/hyperlink" Target="https://www.instagram.com/p/DWmfVAngLG3/" TargetMode="External"/><Relationship Id="rId70" Type="http://schemas.openxmlformats.org/officeDocument/2006/relationships/hyperlink" Target="https://www.facebook.com/418887747980692/posts/122214479714542386" TargetMode="External"/><Relationship Id="rId62" Type="http://schemas.openxmlformats.org/officeDocument/2006/relationships/hyperlink" Target="https://www.instagram.com/p/DWmfVsgALR1/" TargetMode="External"/><Relationship Id="rId61" Type="http://schemas.openxmlformats.org/officeDocument/2006/relationships/hyperlink" Target="https://www.facebook.com/418887747980692/posts/122214479702542386" TargetMode="External"/><Relationship Id="rId64" Type="http://schemas.openxmlformats.org/officeDocument/2006/relationships/hyperlink" Target="https://www.facebook.com/418887747980692/posts/122214479822542386" TargetMode="External"/><Relationship Id="rId63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E8_Ea_V-pBCMbjQRfiTUfCXP-DTbbMcBOx6xVUGQ2PYRcRs0yVXIJ9pmjsptVvF3ETqGbKSiVY&amp;stp=c0.5000x0.5000f_dst-emg0_p64x64_q75_tt6&amp;ur=b696e2&amp;_nc_sid=58080a&amp;oh=00_Af7wcEG704TQkTlwID44yIQ5Zry6JmqVCQ4OJMW3hMWuiw&amp;oe=6A072BAC" TargetMode="External"/><Relationship Id="rId66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fC6uK_vx3QSEl5nacQov5-VUAKN_Rfgpz_WHvsTLnyLDxUCNexMtWci7v6AqQRqYiL9nFUDKW&amp;stp=c0.5000x0.5000f_dst-emg0_p64x64_q75_tt6&amp;ur=b696e2&amp;_nc_sid=58080a&amp;oh=00_Af54XMeMqt72wnKHJE37K1jk-3Zb8WpcTFwnv7qULLi56A&amp;oe=6A073222" TargetMode="External"/><Relationship Id="rId65" Type="http://schemas.openxmlformats.org/officeDocument/2006/relationships/hyperlink" Target="https://www.instagram.com/p/DWmfWq9AIB_/" TargetMode="External"/><Relationship Id="rId68" Type="http://schemas.openxmlformats.org/officeDocument/2006/relationships/hyperlink" Target="https://www.instagram.com/p/DWmfVxKgOsh/" TargetMode="External"/><Relationship Id="rId67" Type="http://schemas.openxmlformats.org/officeDocument/2006/relationships/hyperlink" Target="https://www.facebook.com/418887747980692/posts/122214599870542386" TargetMode="External"/><Relationship Id="rId729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HlyKTTfDe2-PWf7U10azXRrqAri0S8UDm-bZxUDt6wESD9cpykQB-iBiQQgPa61bMF88iff14B&amp;stp=c0.5000x0.5000f_dst-emg0_p64x64_q75_tt6&amp;ur=5fad0e&amp;_nc_sid=58080a&amp;oh=00_Af5ChMYxAZGydghE-KPrS4uN0hMLuvkZfv195_ykwrcvXw&amp;oe=6A0712F5" TargetMode="External"/><Relationship Id="rId728" Type="http://schemas.openxmlformats.org/officeDocument/2006/relationships/hyperlink" Target="https://www.instagram.com/p/DWhOnplAHmE/" TargetMode="External"/><Relationship Id="rId60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Fu9sgyq3bZLw6Rkj0dpvWhXWW71Bw_uU4_5qdr4MYjyn5fYlYGka2y-HAR2d36O54phbauMeBp&amp;stp=c0.5000x0.5000f_dst-emg0_p64x64_q75_tt6&amp;ur=5fad0e&amp;_nc_sid=58080a&amp;oh=00_Af6GCNVNTdVkP6NPRPh0ZAZO5hmYQ-u809-uM811YmtwZw&amp;oe=6A0738D6" TargetMode="External"/><Relationship Id="rId723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HcUiKBeMnUnvDxvFgs52EAVDZQ33D9Hswn7C8VK-KO0v51StArUF3-3-YcdF773gZ27WpxyfZ1&amp;stp=c0.5000x0.5000f_dst-emg0_p64x64_q75_tt6&amp;ur=5fad0e&amp;_nc_sid=58080a&amp;oh=00_Af6uAXJ4wpS1t4x08wUMz9261JrFIivPO3xLGrpmqBG5Gw&amp;oe=6A0712F5" TargetMode="External"/><Relationship Id="rId722" Type="http://schemas.openxmlformats.org/officeDocument/2006/relationships/hyperlink" Target="https://www.instagram.com/p/DWhOnnvgODu/" TargetMode="External"/><Relationship Id="rId721" Type="http://schemas.openxmlformats.org/officeDocument/2006/relationships/hyperlink" Target="https://www.facebook.com/418887747980692/posts/122215164698542386" TargetMode="External"/><Relationship Id="rId720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EJ3rVNDW2aVEmBUQIqRo4GsQf0j_QabTU-F-_HS3A-AeQF9FR6xqrk7Wdx2nk27nTA2vTPYKKi&amp;stp=c0.5000x0.5000f_dst-emg0_p64x64_q75_tt6&amp;ur=5fad0e&amp;_nc_sid=58080a&amp;oh=00_Af5W8pfNUrYIGl4wiJzBAW1B2q_K1cxbXeDid8r6ebBPUw&amp;oe=6A0712F5" TargetMode="External"/><Relationship Id="rId727" Type="http://schemas.openxmlformats.org/officeDocument/2006/relationships/hyperlink" Target="https://www.facebook.com/418887747980692/posts/122215164668542386" TargetMode="External"/><Relationship Id="rId726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E3_jx0dQYCiRspCZArDcpGlmIvYSVgHIGIpTPCFTlG3dnsOUtQwG-17ski_EdKwI7C4mZNIRlm&amp;stp=c0.5000x0.5000f_dst-emg0_p64x64_q75_tt6&amp;ur=5fad0e&amp;_nc_sid=58080a&amp;oh=00_Af7sXTJhTiwD7bgObClr5v14GoF5y5vzKOJbSrKZxEBvGQ&amp;oe=6A0712F5" TargetMode="External"/><Relationship Id="rId725" Type="http://schemas.openxmlformats.org/officeDocument/2006/relationships/hyperlink" Target="https://www.instagram.com/p/DWhOnxTgNdb/" TargetMode="External"/><Relationship Id="rId724" Type="http://schemas.openxmlformats.org/officeDocument/2006/relationships/hyperlink" Target="https://www.facebook.com/418887747980692/posts/122215164644542386" TargetMode="External"/><Relationship Id="rId69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EyAPar-zZkdsI3SO9IwoD1LwXhpbhfkSVQsGcj3jzU6hNpuljGmOK42yAPUm_Ua_QseM1fVLah&amp;stp=c0.5000x0.5000f_dst-emg0_p64x64_q75_tt6&amp;ur=52f3c4&amp;_nc_sid=58080a&amp;oh=00_Af7jcyx9J08S2Ej_ZbQHjwYt2yQ9khEknjvdrdCru-A2gw&amp;oe=6A073D71" TargetMode="External"/><Relationship Id="rId51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EZ4QXI9c3lLzHyiOh-K_h9P9oFzeI6MWjUxl2p4BzvLUirYdnvheX_iCjfoULM_m6GXi6xg2jd&amp;stp=c0.5000x0.5000f_dst-emg0_p64x64_q75_tt6&amp;ur=52f3c4&amp;_nc_sid=58080a&amp;oh=00_Af43fggfLIpn2YAXka8oGLxokwUVWoqu_NtqgvZpN5X7dQ&amp;oe=6A073D71" TargetMode="External"/><Relationship Id="rId50" Type="http://schemas.openxmlformats.org/officeDocument/2006/relationships/hyperlink" Target="https://www.instagram.com/p/DWZTD62ADrR/" TargetMode="External"/><Relationship Id="rId53" Type="http://schemas.openxmlformats.org/officeDocument/2006/relationships/hyperlink" Target="https://www.instagram.com/p/DWofuilgJuK/" TargetMode="External"/><Relationship Id="rId52" Type="http://schemas.openxmlformats.org/officeDocument/2006/relationships/hyperlink" Target="https://www.facebook.com/418887747980692/posts/122215596530542386" TargetMode="External"/><Relationship Id="rId55" Type="http://schemas.openxmlformats.org/officeDocument/2006/relationships/hyperlink" Target="https://www.facebook.com/418887747980692/posts/122214605852542386" TargetMode="External"/><Relationship Id="rId54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NYGQTifya7iUPR5TiAFHqutcgx5GcX8hOtJl1YvERXrgcgirogV6-fchGhCTahek98AhVJKmI&amp;stp=c0.5000x0.5000f_dst-emg0_p64x64_q75_tt6&amp;ur=5fad0e&amp;_nc_sid=58080a&amp;oh=00_Af53T-wh2HNsOh5MORF4s-Geb9R6CySxM6tVSrO2mirFHA&amp;oe=6A072B9E" TargetMode="External"/><Relationship Id="rId57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Ge9iGjTvMVUfyAD0-kdTG9ZJ51Mk9ekAjTikzWnfxiAJPfOxzmJXwzBKLvSJZyS3AgJrv-ddLJ&amp;stp=c0.5000x0.5000f_dst-emg0_p64x64_q75_tt6&amp;ur=5fad0e&amp;_nc_sid=58080a&amp;oh=00_Af7VXVyozR6pPEN57l4Mg0j_cpQhY1yTiu1NXWAnxzszng&amp;oe=6A07199E" TargetMode="External"/><Relationship Id="rId56" Type="http://schemas.openxmlformats.org/officeDocument/2006/relationships/hyperlink" Target="https://www.instagram.com/p/DWY8z91gDAd/" TargetMode="External"/><Relationship Id="rId719" Type="http://schemas.openxmlformats.org/officeDocument/2006/relationships/hyperlink" Target="https://www.instagram.com/p/DWhOn08gI6U/" TargetMode="External"/><Relationship Id="rId718" Type="http://schemas.openxmlformats.org/officeDocument/2006/relationships/hyperlink" Target="https://www.facebook.com/418887747980692/posts/122215164770542386" TargetMode="External"/><Relationship Id="rId717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FLk0felcmKJ9KhoN_ujprKnJBtPEvuq5YTP13NgBX8k8RK1QKDmlWR-yOJu5kZUZ3HKRT0wDtP&amp;stp=c0.5000x0.5000f_dst-emg0_p64x64_q75_tt6&amp;ur=5fad0e&amp;_nc_sid=58080a&amp;oh=00_Af6Q9iOYuQ557t8Gh2mOl7MhvJdidUcni4TnjmgrwtaMTA&amp;oe=6A0712F5" TargetMode="External"/><Relationship Id="rId712" Type="http://schemas.openxmlformats.org/officeDocument/2006/relationships/hyperlink" Target="https://www.facebook.com/418887747980692/posts/122215164686542386" TargetMode="External"/><Relationship Id="rId711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GTTg3MlY1npamZhq2Nss2HtKVVl0Kj8Gw4p55Wo2p_Iya-wlYhtT5NYkzGKakP0xXPEPrgzr4O&amp;stp=c0.5000x0.5000f_dst-emg0_p64x64_q75_tt6&amp;ur=5fad0e&amp;_nc_sid=58080a&amp;oh=00_Af7asYeVRz76RingbaRKX1gZ4IXHlIGIrXyKqGUF2eBEgQ&amp;oe=6A0712F5" TargetMode="External"/><Relationship Id="rId710" Type="http://schemas.openxmlformats.org/officeDocument/2006/relationships/hyperlink" Target="https://www.instagram.com/p/DWhOpDdgLoj/" TargetMode="External"/><Relationship Id="rId716" Type="http://schemas.openxmlformats.org/officeDocument/2006/relationships/hyperlink" Target="https://www.instagram.com/p/DWhOnowgLzZ/" TargetMode="External"/><Relationship Id="rId715" Type="http://schemas.openxmlformats.org/officeDocument/2006/relationships/hyperlink" Target="https://www.facebook.com/418887747980692/posts/122215164638542386" TargetMode="External"/><Relationship Id="rId714" Type="http://schemas.openxmlformats.org/officeDocument/2006/relationships/hyperlink" Target="https://scontent.xx.fbcdn.net/v/t15.5256-10/660542769_2397286440797691_5964015035631592868_n.jpg?_nc_cat=107&amp;ccb=1-7&amp;_nc_ohc=0_QY9-lKhb4Q7kNvwEjJdt0&amp;_nc_oc=AdoWN7hfLOqaTIXv0YCUXxf27Rx8jVlyuWyRQevbzQ3bkyoEdbyr6KOpZDEVRZ2gyfw&amp;_nc_zt=23&amp;_nc_ht=scontent.xx&amp;edm=AAwGEdEEAAAA&amp;_nc_gid=iEndcDk33bF5gt7MdoYrfg&amp;_nc_tpa=Q5bMBQEGmx4C_YY6InnPpkkzAyL9AW_1sq4x7S6U2GAYL01qjtniegT6x8UR0ckHXzDJULAV3wOzeDvV&amp;stp=c0.5000x0.5000f_dst-emg0_p64x64_q75_tt6&amp;ur=5fad0e&amp;_nc_sid=58080a&amp;oh=00_Af75ZSbRbh3Z3lYkDax-BHq-FU1hR8XV5NaRlC_Vb_TyCA&amp;oe=6A0712F5" TargetMode="External"/><Relationship Id="rId713" Type="http://schemas.openxmlformats.org/officeDocument/2006/relationships/hyperlink" Target="https://www.instagram.com/p/DWhOnyYgCFe/" TargetMode="External"/><Relationship Id="rId59" Type="http://schemas.openxmlformats.org/officeDocument/2006/relationships/hyperlink" Target="https://www.instagram.com/p/DWY9T1aAIeM/" TargetMode="External"/><Relationship Id="rId58" Type="http://schemas.openxmlformats.org/officeDocument/2006/relationships/hyperlink" Target="https://www.facebook.com/418887747980692/posts/122214609122542386" TargetMode="External"/><Relationship Id="rId590" Type="http://schemas.openxmlformats.org/officeDocument/2006/relationships/hyperlink" Target="https://www.instagram.com/p/DWZY1L-AFyT/" TargetMode="External"/><Relationship Id="rId107" Type="http://schemas.openxmlformats.org/officeDocument/2006/relationships/hyperlink" Target="https://www.instagram.com/p/DWZTSkiAK3P/" TargetMode="External"/><Relationship Id="rId349" Type="http://schemas.openxmlformats.org/officeDocument/2006/relationships/hyperlink" Target="https://www.facebook.com/418887747980692/posts/122214588368542386" TargetMode="External"/><Relationship Id="rId106" Type="http://schemas.openxmlformats.org/officeDocument/2006/relationships/hyperlink" Target="https://www.facebook.com/418887747980692/posts/122214479714542386" TargetMode="External"/><Relationship Id="rId348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EaZbTa9_NcYTg2bwJI8Uz-XN8j1WrVrNcEXL37rXZK-bn6F4unMv6zIXFgJjrlLJR3uFAxaUfJ&amp;stp=c0.5000x0.5000f_dst-emg0_p64x64_q75_tt6&amp;ur=b696e2&amp;_nc_sid=58080a&amp;oh=00_Af5oIAav3rGS5gXmGRn5wsiLc0X-Vh6wHS2_dVjGr3iMFQ&amp;oe=6A0712D4" TargetMode="External"/><Relationship Id="rId105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EPCAcByGB8hwDM9Qo_HSr0m-_sEl0WhCGjlZrkejBsduP61NpsVG6sKTAgPEPq2AVnfGulnliO&amp;stp=c0.5000x0.5000f_dst-emg0_p64x64_q75_tt6&amp;ur=b696e2&amp;_nc_sid=58080a&amp;oh=00_Af58v1KZWk7rhnJrOrCIV-KpY5FtDjUdf0XcQ458u-LR7g&amp;oe=6A07186A" TargetMode="External"/><Relationship Id="rId347" Type="http://schemas.openxmlformats.org/officeDocument/2006/relationships/hyperlink" Target="https://www.instagram.com/p/DWZTizvAJb2/" TargetMode="External"/><Relationship Id="rId589" Type="http://schemas.openxmlformats.org/officeDocument/2006/relationships/hyperlink" Target="https://www.facebook.com/418887747980692/posts/122214697568542386" TargetMode="External"/><Relationship Id="rId104" Type="http://schemas.openxmlformats.org/officeDocument/2006/relationships/hyperlink" Target="https://www.instagram.com/p/DWZTSsxAIhD/" TargetMode="External"/><Relationship Id="rId346" Type="http://schemas.openxmlformats.org/officeDocument/2006/relationships/hyperlink" Target="https://www.facebook.com/418887747980692/posts/122214590924542386" TargetMode="External"/><Relationship Id="rId588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EXjwcSP2WDkbqJWm20uG3wnH5xqvgphoHpyCpVIKALEX_dezEVrgcl6X4rLtikC2cwnOLEEJ6N&amp;stp=c0.5000x0.5000f_dst-emg0_p64x64_q75_tt6&amp;ur=b696e2&amp;_nc_sid=58080a&amp;oh=00_Af4NuWzEHCAISghF_yH4x6jPTv5P3eRxR18ff4DuyNhHGg&amp;oe=6A071423" TargetMode="External"/><Relationship Id="rId109" Type="http://schemas.openxmlformats.org/officeDocument/2006/relationships/hyperlink" Target="https://www.facebook.com/418887747980692/posts/122214479702542386" TargetMode="External"/><Relationship Id="rId108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FsB-YK3wN23YTIW8ZIoV1l3SyUoKmzbqEQeUS13bwYaNctc9HXfAvMiroYXsHXd2cppLpoR-di&amp;stp=c0.5000x0.5000f_dst-emg0_p64x64_q75_tt6&amp;ur=b696e2&amp;_nc_sid=58080a&amp;oh=00_Af5EVQCKEt4MZR2DDLH5rGPMov9dbEgoPAa__jP20jJhVw&amp;oe=6A073222" TargetMode="External"/><Relationship Id="rId341" Type="http://schemas.openxmlformats.org/officeDocument/2006/relationships/hyperlink" Target="https://www.instagram.com/p/DWZTiw_ADPp/" TargetMode="External"/><Relationship Id="rId583" Type="http://schemas.openxmlformats.org/officeDocument/2006/relationships/hyperlink" Target="https://www.facebook.com/418887747980692/posts/122214698252542386" TargetMode="External"/><Relationship Id="rId340" Type="http://schemas.openxmlformats.org/officeDocument/2006/relationships/hyperlink" Target="https://www.facebook.com/418887747980692/posts/122214576476542386" TargetMode="External"/><Relationship Id="rId582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Fis8YrpsYyNi0iYJj_Nqct1d-6dca83uLbtxXdYkoZKEJDb4HaJ6U_qAEpZywR19umPyZzOm3W&amp;stp=c0.5000x0.5000f_dst-emg0_p64x64_q75_tt6&amp;ur=b696e2&amp;_nc_sid=58080a&amp;oh=00_Af5PW98HS7CSepTnEzCrfppCeVw417r-en_XzUwf8AE7gQ&amp;oe=6A072BAC" TargetMode="External"/><Relationship Id="rId581" Type="http://schemas.openxmlformats.org/officeDocument/2006/relationships/hyperlink" Target="https://www.instagram.com/p/DWZY0CKAM65/" TargetMode="External"/><Relationship Id="rId580" Type="http://schemas.openxmlformats.org/officeDocument/2006/relationships/hyperlink" Target="https://www.facebook.com/418887747980692/posts/122214698048542386" TargetMode="External"/><Relationship Id="rId103" Type="http://schemas.openxmlformats.org/officeDocument/2006/relationships/hyperlink" Target="https://www.facebook.com/418887747980692/posts/122214479648542386" TargetMode="External"/><Relationship Id="rId345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G2Gx_q_5qEEqvHFejEHPWLwKG6-RJiS1CE05My2c9ymYEiw9_qkequu8UlcjGBChaa4l1Y-zu8&amp;stp=c0.5000x0.5000f_dst-emg0_p64x64_q75_tt6&amp;ur=52f3c4&amp;_nc_sid=58080a&amp;oh=00_Af5LJsbcVmEAZI8K0yWD-FD3bQ_kSd_Ok7aHtIphZDf6eg&amp;oe=6A07362D" TargetMode="External"/><Relationship Id="rId587" Type="http://schemas.openxmlformats.org/officeDocument/2006/relationships/hyperlink" Target="https://www.instagram.com/p/DWZY0LugNUo/" TargetMode="External"/><Relationship Id="rId102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GWV81HLcG08eSXKOL6gH7ximqIGDrg8bmTW4Rd2c56qTKDvdxpdFOpPADi4DH8uGFMpmEHcerK&amp;stp=c0.5000x0.5000f_dst-emg0_p64x64_q75_tt6&amp;ur=b696e2&amp;_nc_sid=58080a&amp;oh=00_Af6BPwKO6PsfrRNbWR5PDcWJfvpai_6EPVViW6jT2UhMsQ&amp;oe=6A071423" TargetMode="External"/><Relationship Id="rId344" Type="http://schemas.openxmlformats.org/officeDocument/2006/relationships/hyperlink" Target="https://www.instagram.com/p/DWZTjMeAEIH/" TargetMode="External"/><Relationship Id="rId586" Type="http://schemas.openxmlformats.org/officeDocument/2006/relationships/hyperlink" Target="https://www.facebook.com/418887747980692/posts/122214698348542386" TargetMode="External"/><Relationship Id="rId101" Type="http://schemas.openxmlformats.org/officeDocument/2006/relationships/hyperlink" Target="https://www.instagram.com/p/DWZTSkOAMba/" TargetMode="External"/><Relationship Id="rId343" Type="http://schemas.openxmlformats.org/officeDocument/2006/relationships/hyperlink" Target="https://www.facebook.com/418887747980692/posts/122214595862542386" TargetMode="External"/><Relationship Id="rId585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G4MCo4iL4fh9TG_tjqXRajhKJdbqDXnkZC1G7gaQOL_u-Eq7Libmabyvuoo5-k6qUAF8cleu3D&amp;stp=c0.5000x0.5000f_dst-emg0_p64x64_q75_tt6&amp;ur=b696e2&amp;_nc_sid=58080a&amp;oh=00_Af4XrQf58DP5-hJ20YN5JreM9lq3TwEhAvaEV2ks0vD93g&amp;oe=6A074314" TargetMode="External"/><Relationship Id="rId100" Type="http://schemas.openxmlformats.org/officeDocument/2006/relationships/hyperlink" Target="https://www.facebook.com/418887747980692/posts/122214479636542386" TargetMode="External"/><Relationship Id="rId342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WNJwBGOd6eKXzhLyooM6FeNrJyNvkVcOnSx9xg4Cc4w0L3cGBsNKvTo2vwXJ9vqMfcrgKyqL_&amp;stp=c0.5000x0.5000f_dst-emg0_p64x64_q75_tt6&amp;ur=b696e2&amp;_nc_sid=58080a&amp;oh=00_Af5Z99JgbnlsuI45eKG-qqH0BD2tzD4I3gDt6f-6oc5esQ&amp;oe=6A07199E" TargetMode="External"/><Relationship Id="rId584" Type="http://schemas.openxmlformats.org/officeDocument/2006/relationships/hyperlink" Target="https://www.instagram.com/p/DWZY0DkgHBL/" TargetMode="External"/><Relationship Id="rId338" Type="http://schemas.openxmlformats.org/officeDocument/2006/relationships/hyperlink" Target="https://www.instagram.com/p/DWZTizvAJb2/" TargetMode="External"/><Relationship Id="rId337" Type="http://schemas.openxmlformats.org/officeDocument/2006/relationships/hyperlink" Target="https://www.facebook.com/418887747980692/posts/122214590924542386" TargetMode="External"/><Relationship Id="rId579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GDu7Ipq13Q2zXGte-pBJxYy0qapPuHG3pdd3D-Zvey6PC5wWx0FWqaPQCYh3qR0XMjjpmZU9K-&amp;stp=c0.5000x0.5000f_dst-emg0_p64x64_q75_tt6&amp;ur=5fad0e&amp;_nc_sid=58080a&amp;oh=00_Af5HutnNo0t0uiYhj8ovSxcx1nkPF-pYEeMYbxNsVFav9w&amp;oe=6A072B9E" TargetMode="External"/><Relationship Id="rId336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Ekx1wgxlaAcSd6psOGLShJ6oOb25A-77qASypX3GsuTcT3vkj3xONqZQ7BLGqeDZmTYcbPOl2L&amp;stp=c0.5000x0.5000f_dst-emg0_p64x64_q75_tt6&amp;ur=b696e2&amp;_nc_sid=58080a&amp;oh=00_Af4zoX40S_YAj5hZPbqcFj43OkaxhC95Rq92GSG_u_fPdw&amp;oe=6A072D6E" TargetMode="External"/><Relationship Id="rId578" Type="http://schemas.openxmlformats.org/officeDocument/2006/relationships/hyperlink" Target="https://www.instagram.com/p/DWofuWqAApj/" TargetMode="External"/><Relationship Id="rId335" Type="http://schemas.openxmlformats.org/officeDocument/2006/relationships/hyperlink" Target="https://www.instagram.com/p/DWZTi6ZAEXv/" TargetMode="External"/><Relationship Id="rId577" Type="http://schemas.openxmlformats.org/officeDocument/2006/relationships/hyperlink" Target="https://www.facebook.com/418887747980692/posts/122215596440542386" TargetMode="External"/><Relationship Id="rId339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EaZbTa9_NcYTg2bwJI8Uz-XN8j1WrVrNcEXL37rXZK-bn6F4unMv6zIXFgJjrlLJR3uFAxaUfJ&amp;stp=c0.5000x0.5000f_dst-emg0_p64x64_q75_tt6&amp;ur=b696e2&amp;_nc_sid=58080a&amp;oh=00_Af5oIAav3rGS5gXmGRn5wsiLc0X-Vh6wHS2_dVjGr3iMFQ&amp;oe=6A0712D4" TargetMode="External"/><Relationship Id="rId330" Type="http://schemas.openxmlformats.org/officeDocument/2006/relationships/hyperlink" Target="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ksm5yKgFKay7MzmzD0ATS0xF1flpkPJcz5Q6DeQnT56NTRS5ipQXFOJeo8CrnoCFWqfaMpamO&amp;stp=c0.5000x0.5000f_dst-emg0_p64x64_q75_tt6&amp;ur=b696e2&amp;_nc_sid=58080a&amp;oh=00_Af4NMQUS_fGc9X80CK87RyFNj2nqDTJ9UayttGUBUVxDZg&amp;oe=6A072D09" TargetMode="External"/><Relationship Id="rId572" Type="http://schemas.openxmlformats.org/officeDocument/2006/relationships/hyperlink" Target="https://www.instagram.com/p/DWZXVqhgN9E/" TargetMode="External"/><Relationship Id="rId571" Type="http://schemas.openxmlformats.org/officeDocument/2006/relationships/hyperlink" Target="https://www.facebook.com/418887747980692/posts/122214681986542386" TargetMode="External"/><Relationship Id="rId570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HKJlLODPJZL0dv_cCqL06OvHAd8RRBcxXFj2XUMqSZiU0xM95ahOtp2C8w3oQ-hZbEeWFqvFHL&amp;stp=c0.5000x0.5000f_dst-emg0_p64x64_q75_tt6&amp;ur=5fad0e&amp;_nc_sid=58080a&amp;oh=00_Af5-45-eFRCtp9yy3WnjiOjB7VBmhi-0SpP3fULgKxp5lw&amp;oe=6A0738D6" TargetMode="External"/><Relationship Id="rId334" Type="http://schemas.openxmlformats.org/officeDocument/2006/relationships/hyperlink" Target="https://www.facebook.com/418887747980692/posts/122214588368542386" TargetMode="External"/><Relationship Id="rId576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rxd6jefpsNKlrgTgXjg3VoG0LjiOY0-HFR7IbkUEKWo4t8pDjSj40tcdo2zp5aSveMxciT07i&amp;stp=c0.5000x0.5000f_dst-emg0_p64x64_q75_tt6&amp;ur=5fad0e&amp;_nc_sid=58080a&amp;oh=00_Af4k3NiFz851NrH0HupOqptufGpzSv9CBW6pAuvcBbsafQ&amp;oe=6A07199E" TargetMode="External"/><Relationship Id="rId333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F-jdZsSRiex7lrtQUOAZLh_DLYSwXfWomObzHnjfFF7FHK_bfULXex4pLCStOW6dftL7gGnSiU&amp;stp=c0.5000x0.5000f_dst-emg0_p64x64_q75_tt6&amp;ur=b696e2&amp;_nc_sid=58080a&amp;oh=00_Af5_bHLHNSF1vBEKZ_UEFiSTBmp1a_oJ_GNnvl9uwKcl-w&amp;oe=6A0729E5" TargetMode="External"/><Relationship Id="rId575" Type="http://schemas.openxmlformats.org/officeDocument/2006/relationships/hyperlink" Target="https://www.instagram.com/p/DWZXVqPAL2_/" TargetMode="External"/><Relationship Id="rId332" Type="http://schemas.openxmlformats.org/officeDocument/2006/relationships/hyperlink" Target="https://www.instagram.com/p/DWZTiyNgOJD/" TargetMode="External"/><Relationship Id="rId574" Type="http://schemas.openxmlformats.org/officeDocument/2006/relationships/hyperlink" Target="https://www.facebook.com/418887747980692/posts/122214682004542386" TargetMode="External"/><Relationship Id="rId331" Type="http://schemas.openxmlformats.org/officeDocument/2006/relationships/hyperlink" Target="https://www.facebook.com/418887747980692/posts/122214584036542386" TargetMode="External"/><Relationship Id="rId573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GP1IpgU9wNZfBFKL_rgb22bB2Pk6h8A4iRZdO0s_Y0n3SCagNLT6ksiOx9xyDkkwdljPjiWWSq&amp;stp=c0.5000x0.5000f_dst-emg0_p64x64_q75_tt6&amp;ur=5fad0e&amp;_nc_sid=58080a&amp;oh=00_Af6RZdYdFTMVPRRdcYSbb65hoQmCGfzKoE9zq4j9n93osQ&amp;oe=6A0738D6" TargetMode="External"/><Relationship Id="rId370" Type="http://schemas.openxmlformats.org/officeDocument/2006/relationships/hyperlink" Target="https://www.facebook.com/418887747980692/posts/122215596470542386" TargetMode="External"/><Relationship Id="rId129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SeJCgTJ8wXOWGrg1FXeoFG-tZmTQIMegIUyb9rmNF9tdik6M-aYGOSGEcVBLe8cOPFoZ_BHqG&amp;stp=c0.5000x0.5000f_dst-emg0_p64x64_q75_tt6&amp;ur=b696e2&amp;_nc_sid=58080a&amp;oh=00_Af5OBYJCRp9JRUZG9MkZ0E7XQAQd8x--EWJNmp948ZrpSQ&amp;oe=6A071423" TargetMode="External"/><Relationship Id="rId128" Type="http://schemas.openxmlformats.org/officeDocument/2006/relationships/hyperlink" Target="https://www.instagram.com/p/DWZTSkOAMba/" TargetMode="External"/><Relationship Id="rId127" Type="http://schemas.openxmlformats.org/officeDocument/2006/relationships/hyperlink" Target="https://www.facebook.com/418887747980692/posts/122214479636542386" TargetMode="External"/><Relationship Id="rId369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Fwqt5QCY4nLaytYqxav6aOGzOUUkn5LL3VfFGCagDXZ4EoO26NtjHxkNJu6CtQTZEnVCxLSg85&amp;stp=c0.5000x0.5000f_dst-emg0_p64x64_q75_tt6&amp;ur=5fad0e&amp;_nc_sid=58080a&amp;oh=00_Af5ruQI9qVK49aMoNEAJXqS_zD6lrs094Su9byUYxNIKUQ&amp;oe=6A0738D6" TargetMode="External"/><Relationship Id="rId126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EoctBBN2ITCAaNsbmsvanEZUaQNYRMOig3-EzQ2Iuq1-F051ZM27pf4Sy9BM0edwClKwrrFoSa&amp;stp=c0.5000x0.5000f_dst-emg0_p64x64_q75_tt6&amp;ur=b696e2&amp;_nc_sid=58080a&amp;oh=00_Af5h7RnMbVKQyiVpU_1g6fzGNVVWkDPPELKD_p2e307qJg&amp;oe=6A074314" TargetMode="External"/><Relationship Id="rId368" Type="http://schemas.openxmlformats.org/officeDocument/2006/relationships/hyperlink" Target="https://www.instagram.com/p/DWY9T1aAIeM/" TargetMode="External"/><Relationship Id="rId121" Type="http://schemas.openxmlformats.org/officeDocument/2006/relationships/hyperlink" Target="https://www.facebook.com/418887747980692/posts/122214599870542386" TargetMode="External"/><Relationship Id="rId363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EPcQZJlZueIqa8LOb34RyPIVAAVx9pKT3YADpB-o9_WnIhkfckS_MmL6gY1AqbYm3qawMjivGa&amp;stp=c0.5000x0.5000f_dst-emg0_p64x64_q75_tt6&amp;ur=b696e2&amp;_nc_sid=58080a&amp;oh=00_Af4wp6ePp7GS0la1MeE3ZFl8DOn0sT8GcMCLjzXD39ScvA&amp;oe=6A070B62" TargetMode="External"/><Relationship Id="rId120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I4h4sqJv1EXck6BpVSU3rrRRMY_G7A5lz_L72cHg--2Wh1xHcYZHI2_gmzjwfHJXcpW4NQOZE&amp;stp=c0.5000x0.5000f_dst-emg0_p64x64_q75_tt6&amp;ur=b696e2&amp;_nc_sid=58080a&amp;oh=00_Af4TC6RF-dbTW7qrwnVLSSrb1rXhr29fmvz4k8BAX8od1Q&amp;oe=6A073222" TargetMode="External"/><Relationship Id="rId362" Type="http://schemas.openxmlformats.org/officeDocument/2006/relationships/hyperlink" Target="https://www.instagram.com/p/DWZTiotABkB/" TargetMode="External"/><Relationship Id="rId361" Type="http://schemas.openxmlformats.org/officeDocument/2006/relationships/hyperlink" Target="https://www.facebook.com/418887747980692/posts/122214577814542386" TargetMode="External"/><Relationship Id="rId360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lfuvvVW0OOy_MuVyckFVF0epU5JkE7SiRLTVImYtLPEKMll9fIDzicOGXIo_0-9KprGPec59c&amp;stp=c0.5000x0.5000f_dst-emg0_p64x64_q75_tt6&amp;ur=b696e2&amp;_nc_sid=58080a&amp;oh=00_Af7pq1hNv7xJuf6LKYPLsMN3Gld0Bx-mtUAXxDuF7I37vg&amp;oe=6A072CA5" TargetMode="External"/><Relationship Id="rId125" Type="http://schemas.openxmlformats.org/officeDocument/2006/relationships/hyperlink" Target="https://www.instagram.com/p/DWZTSztAJr7/" TargetMode="External"/><Relationship Id="rId367" Type="http://schemas.openxmlformats.org/officeDocument/2006/relationships/hyperlink" Target="https://www.facebook.com/418887747980692/posts/122214609122542386" TargetMode="External"/><Relationship Id="rId124" Type="http://schemas.openxmlformats.org/officeDocument/2006/relationships/hyperlink" Target="https://www.facebook.com/418887747980692/posts/122214479618542386" TargetMode="External"/><Relationship Id="rId366" Type="http://schemas.openxmlformats.org/officeDocument/2006/relationships/hyperlink" Target="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gnpxFhrw3ACfPCornHLeW-90b01UXr39sgw7yVDeldH32yP9cdgpDUajfeolPhTD7r4VYs6iC&amp;stp=c0.5000x0.5000f_dst-emg0_p64x64_q75_tt6&amp;ur=b696e2&amp;_nc_sid=58080a&amp;oh=00_Af5M1xhQI62f8_sRboDeCkQfW7_qtppw3oPYCKvNOPgjPw&amp;oe=6A072D09" TargetMode="External"/><Relationship Id="rId123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H_B-qbzkXzok_8wVdp85KiOzt88XdTUOkJ7m4q7TsZ-Y3Gp0X3OQAAUlSMe3hCCe2CqZuQOi-4&amp;stp=c0.5000x0.5000f_dst-emg0_p64x64_q75_tt6&amp;ur=52f3c4&amp;_nc_sid=58080a&amp;oh=00_Af6jsP72Zx3Zp7ievGdo7pCgbzhA4NRSj9RqH3uX3okd3g&amp;oe=6A073D71" TargetMode="External"/><Relationship Id="rId365" Type="http://schemas.openxmlformats.org/officeDocument/2006/relationships/hyperlink" Target="https://www.instagram.com/p/DWZTjRsADVg/" TargetMode="External"/><Relationship Id="rId122" Type="http://schemas.openxmlformats.org/officeDocument/2006/relationships/hyperlink" Target="https://www.instagram.com/p/DWZTTHeALJO/" TargetMode="External"/><Relationship Id="rId364" Type="http://schemas.openxmlformats.org/officeDocument/2006/relationships/hyperlink" Target="https://www.facebook.com/418887747980692/posts/122214581852542386" TargetMode="External"/><Relationship Id="rId95" Type="http://schemas.openxmlformats.org/officeDocument/2006/relationships/hyperlink" Target="https://www.instagram.com/p/DWZTS5mABqq/" TargetMode="External"/><Relationship Id="rId94" Type="http://schemas.openxmlformats.org/officeDocument/2006/relationships/hyperlink" Target="https://www.facebook.com/418887747980692/posts/122214599870542386" TargetMode="External"/><Relationship Id="rId97" Type="http://schemas.openxmlformats.org/officeDocument/2006/relationships/hyperlink" Target="https://www.facebook.com/418887747980692/posts/122214479618542386" TargetMode="External"/><Relationship Id="rId96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GWtI7lUNbJoHUuUo32iswDaAa4QfqnfjphaqdVV9Jph-PmOX2cicYe_SiHDO798CXUO3PBX2II&amp;stp=c0.5000x0.5000f_dst-emg0_p64x64_q75_tt6&amp;ur=52f3c4&amp;_nc_sid=58080a&amp;oh=00_Af4z_tiBN5wqjlep31dvf4x_TEFo6WU7D8X2yTIzJwoSwg&amp;oe=6A073D71" TargetMode="External"/><Relationship Id="rId99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EoctBBN2ITCAaNsbmsvanEZUaQNYRMOig3-EzQ2Iuq1-F051ZM27pf4Sy9BM0edwClKwrrFoSa&amp;stp=c0.5000x0.5000f_dst-emg0_p64x64_q75_tt6&amp;ur=b696e2&amp;_nc_sid=58080a&amp;oh=00_Af5h7RnMbVKQyiVpU_1g6fzGNVVWkDPPELKD_p2e307qJg&amp;oe=6A074314" TargetMode="External"/><Relationship Id="rId98" Type="http://schemas.openxmlformats.org/officeDocument/2006/relationships/hyperlink" Target="https://www.instagram.com/p/DWZTS33AFvK/" TargetMode="External"/><Relationship Id="rId91" Type="http://schemas.openxmlformats.org/officeDocument/2006/relationships/hyperlink" Target="https://www.facebook.com/418887747980692/posts/122214479702542386" TargetMode="External"/><Relationship Id="rId90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EcRPuNCDLA1a5dOjhZI4UKdPBbKVZKUZyqpSGy9eQnkaXUfXh5N-n3QDQLk_y-fo7F0aHCKw6Z&amp;stp=c0.5000x0.5000f_dst-emg0_p64x64_q75_tt6&amp;ur=b696e2&amp;_nc_sid=58080a&amp;oh=00_Af5WuYVujW7VAUepA7QgHUd4zs2tn4fu5GGhZY6poXFZow&amp;oe=6A070D3D" TargetMode="External"/><Relationship Id="rId93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glKzz8kyTTpK3ji_eZ6u6IO6TScA-luu8Zi-xSxEuwOvxztmrNMINSHkmWPWC4PakLs7LTcjz&amp;stp=c0.5000x0.5000f_dst-emg0_p64x64_q75_tt6&amp;ur=b696e2&amp;_nc_sid=58080a&amp;oh=00_Af7Wq_oZy5odJ-e8DNjJyKjMTiI-ylKugEhMPnObuFQQTg&amp;oe=6A072BAC" TargetMode="External"/><Relationship Id="rId92" Type="http://schemas.openxmlformats.org/officeDocument/2006/relationships/hyperlink" Target="https://www.instagram.com/p/DWZTS2WANnt/" TargetMode="External"/><Relationship Id="rId118" Type="http://schemas.openxmlformats.org/officeDocument/2006/relationships/hyperlink" Target="https://www.facebook.com/418887747980692/posts/122214479714542386" TargetMode="External"/><Relationship Id="rId117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HV9cdGa9-D7f-0dTb4gbJmse-Pc4j36nXa8B4fQzkTBv5La_TxYof78tgDa9CT6fXdiSMGsKMN&amp;stp=c0.5000x0.5000f_dst-emg0_p64x64_q75_tt6&amp;ur=b696e2&amp;_nc_sid=58080a&amp;oh=00_Af6kP3iZS88cpWWvOzDdTnSnSEc9N5VRtU6HVPSo6pWJMQ&amp;oe=6A070D3D" TargetMode="External"/><Relationship Id="rId359" Type="http://schemas.openxmlformats.org/officeDocument/2006/relationships/hyperlink" Target="https://www.instagram.com/p/DWZTjB5AEKk/" TargetMode="External"/><Relationship Id="rId116" Type="http://schemas.openxmlformats.org/officeDocument/2006/relationships/hyperlink" Target="https://www.instagram.com/p/DWZTSk2AHQB/" TargetMode="External"/><Relationship Id="rId358" Type="http://schemas.openxmlformats.org/officeDocument/2006/relationships/hyperlink" Target="https://www.facebook.com/418887747980692/posts/122214579746542386" TargetMode="External"/><Relationship Id="rId115" Type="http://schemas.openxmlformats.org/officeDocument/2006/relationships/hyperlink" Target="https://www.facebook.com/418887747980692/posts/122214479732542386" TargetMode="External"/><Relationship Id="rId357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EbEmhIPSQgKr5cuZ1uAIT1iBwYIo2vhxhPUlpdea3q5QLydpUYqCBZzz-5k2l7MXYj9EynRt6b&amp;stp=c0.5000x0.5000f_dst-emg0_p64x64_q75_tt6&amp;ur=b696e2&amp;_nc_sid=58080a&amp;oh=00_Af7iW0KqbUYwj_z2agX6a8kC1YeFnVDuWj9cGL-SMTquCA&amp;oe=6A0729E5" TargetMode="External"/><Relationship Id="rId599" Type="http://schemas.openxmlformats.org/officeDocument/2006/relationships/hyperlink" Target="https://www.instagram.com/p/DWZY0TvgH5y/" TargetMode="External"/><Relationship Id="rId119" Type="http://schemas.openxmlformats.org/officeDocument/2006/relationships/hyperlink" Target="https://www.instagram.com/p/DWZTSkzgD1q/" TargetMode="External"/><Relationship Id="rId110" Type="http://schemas.openxmlformats.org/officeDocument/2006/relationships/hyperlink" Target="https://www.instagram.com/p/DWZTS2WANnt/" TargetMode="External"/><Relationship Id="rId352" Type="http://schemas.openxmlformats.org/officeDocument/2006/relationships/hyperlink" Target="https://www.facebook.com/418887747980692/posts/122214586136542386" TargetMode="External"/><Relationship Id="rId594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5NQpKTT3ZEDc1kDvdMhmBilRjDT-98rLto6HlqXZG43VYjov_F7f_-db7OV8XNDkQcir2t7Vu&amp;stp=c0.5000x0.5000f_dst-emg0_p64x64_q75_tt6&amp;ur=b696e2&amp;_nc_sid=58080a&amp;oh=00_Af6L0bXEQHYsSnu_d-wicGbHDItYDxDe91BNRPFeCnuCrw&amp;oe=6A073222" TargetMode="External"/><Relationship Id="rId351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Fee1EwZ3evlqF0b1px4G0Dpau9TCvSxqQiotx2e6pRcdxfXsaJA9DFEnBVUltUz79d9OsSw_mn&amp;stp=c0.5000x0.5000f_dst-emg0_p64x64_q75_tt6&amp;ur=b696e2&amp;_nc_sid=58080a&amp;oh=00_Af4CKUcYpq22nPqwi7I6zNO50oa7-RHpF4euioP7ecKgVw&amp;oe=6A072D6E" TargetMode="External"/><Relationship Id="rId593" Type="http://schemas.openxmlformats.org/officeDocument/2006/relationships/hyperlink" Target="https://www.instagram.com/p/DWZY1wygMjK/" TargetMode="External"/><Relationship Id="rId350" Type="http://schemas.openxmlformats.org/officeDocument/2006/relationships/hyperlink" Target="https://www.instagram.com/p/DWZTjHrgPK1/" TargetMode="External"/><Relationship Id="rId592" Type="http://schemas.openxmlformats.org/officeDocument/2006/relationships/hyperlink" Target="https://www.facebook.com/418887747980692/posts/122214697994542386" TargetMode="External"/><Relationship Id="rId591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FMfpUeOcoSm69wXIuJnL9y7tEHejB-Rm72kiKSqb_93c7bOf8MZEdX1O1iiW7UUa8ZeN3vgYSK&amp;stp=c0.5000x0.5000f_dst-emg0_p64x64_q75_tt6&amp;ur=52f3c4&amp;_nc_sid=58080a&amp;oh=00_Af74fJHq5HEMTwg7W08rZBqeA9H2EUGD_rEaWztLUlOz2w&amp;oe=6A073D71" TargetMode="External"/><Relationship Id="rId114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fC6uK_vx3QSEl5nacQov5-VUAKN_Rfgpz_WHvsTLnyLDxUCNexMtWci7v6AqQRqYiL9nFUDKW&amp;stp=c0.5000x0.5000f_dst-emg0_p64x64_q75_tt6&amp;ur=b696e2&amp;_nc_sid=58080a&amp;oh=00_Af54XMeMqt72wnKHJE37K1jk-3Zb8WpcTFwnv7qULLi56A&amp;oe=6A073222" TargetMode="External"/><Relationship Id="rId356" Type="http://schemas.openxmlformats.org/officeDocument/2006/relationships/hyperlink" Target="https://www.instagram.com/p/DWZTi6WAEOv/" TargetMode="External"/><Relationship Id="rId598" Type="http://schemas.openxmlformats.org/officeDocument/2006/relationships/hyperlink" Target="https://www.facebook.com/418887747980692/posts/122214698162542386" TargetMode="External"/><Relationship Id="rId113" Type="http://schemas.openxmlformats.org/officeDocument/2006/relationships/hyperlink" Target="https://www.instagram.com/p/DWZTTKogAW-/" TargetMode="External"/><Relationship Id="rId355" Type="http://schemas.openxmlformats.org/officeDocument/2006/relationships/hyperlink" Target="https://www.facebook.com/418887747980692/posts/122214584036542386" TargetMode="External"/><Relationship Id="rId597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HCTYUgGzOkMNrR6xiFdDu13otVKlShUhuETTCjWUuwzQyQ6B5neUc68dX5oCLwZ4MgV-slRlMQ&amp;stp=c0.5000x0.5000f_dst-emg0_p64x64_q75_tt6&amp;ur=b696e2&amp;_nc_sid=58080a&amp;oh=00_Af5i_pQN4mtGs-tjwb7bIgNEkCZ_hOmDUnjh30vsqz_bQw&amp;oe=6A07186A" TargetMode="External"/><Relationship Id="rId112" Type="http://schemas.openxmlformats.org/officeDocument/2006/relationships/hyperlink" Target="https://www.facebook.com/418887747980692/posts/122214479822542386" TargetMode="External"/><Relationship Id="rId354" Type="http://schemas.openxmlformats.org/officeDocument/2006/relationships/hyperlink" Target="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HUi-1MXBsk3AS9ZZbm7eUsTd38IWUGUnAGlr8OlBM3HNYy1vrjeJak0QuqwPmUvxwwkLkUAv3L&amp;stp=c0.5000x0.5000f_dst-emg0_p64x64_q75_tt6&amp;ur=b696e2&amp;_nc_sid=58080a&amp;oh=00_Af638K0EHUk12v66WYOAG14BinHRCaMip5sovsxT5ld07Q&amp;oe=6A072CB3" TargetMode="External"/><Relationship Id="rId596" Type="http://schemas.openxmlformats.org/officeDocument/2006/relationships/hyperlink" Target="https://www.instagram.com/p/DWZY0B_gKs5/" TargetMode="External"/><Relationship Id="rId111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glKzz8kyTTpK3ji_eZ6u6IO6TScA-luu8Zi-xSxEuwOvxztmrNMINSHkmWPWC4PakLs7LTcjz&amp;stp=c0.5000x0.5000f_dst-emg0_p64x64_q75_tt6&amp;ur=b696e2&amp;_nc_sid=58080a&amp;oh=00_Af7Wq_oZy5odJ-e8DNjJyKjMTiI-ylKugEhMPnObuFQQTg&amp;oe=6A072BAC" TargetMode="External"/><Relationship Id="rId353" Type="http://schemas.openxmlformats.org/officeDocument/2006/relationships/hyperlink" Target="https://www.instagram.com/p/DWZTix_AIRY/" TargetMode="External"/><Relationship Id="rId595" Type="http://schemas.openxmlformats.org/officeDocument/2006/relationships/hyperlink" Target="https://www.facebook.com/418887747980692/posts/122214697940542386" TargetMode="External"/><Relationship Id="rId305" Type="http://schemas.openxmlformats.org/officeDocument/2006/relationships/hyperlink" Target="https://www.instagram.com/p/DWmf1G1ALzY/" TargetMode="External"/><Relationship Id="rId547" Type="http://schemas.openxmlformats.org/officeDocument/2006/relationships/hyperlink" Target="https://www.facebook.com/418887747980692/posts/122214680384542386" TargetMode="External"/><Relationship Id="rId789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-fsGXlG6_PtXL3QNjPJtGyOU3YR73TCaQceDNSdSc96GdF5odmmXNEHbkqJinQ6jfa7_-BGRY&amp;stp=c0.5000x0.5000f_dst-emg0_p64x64_q75_tt6&amp;ur=b696e2&amp;_nc_sid=58080a&amp;oh=00_Af6rPmSOh8II9Sidc96IPjvNFL2CbNYFO7Q5aQMddXBfRQ&amp;oe=6A071423" TargetMode="External"/><Relationship Id="rId304" Type="http://schemas.openxmlformats.org/officeDocument/2006/relationships/hyperlink" Target="https://www.facebook.com/418887747980692/posts/122214581852542386" TargetMode="External"/><Relationship Id="rId546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EuwE4D5heyjLvm-lwnknMLpEeCtnsE33-m7UDTgyF0OIGwnYeVObDY3De0imGe6dbPsJIGqSZ7&amp;stp=c0.5000x0.5000f_dst-emg0_p64x64_q75_tt6&amp;ur=b696e2&amp;_nc_sid=58080a&amp;oh=00_Af6KwEo9mTIkm9mhUjpASvbNqa6Hi8HmSsVpdF7vDdZSnw&amp;oe=6A072D6E" TargetMode="External"/><Relationship Id="rId788" Type="http://schemas.openxmlformats.org/officeDocument/2006/relationships/hyperlink" Target="https://www.instagram.com/p/DW6MIuDACCe/" TargetMode="External"/><Relationship Id="rId303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HQPNRbxb-BTJpCWmhOo9VRSZ7bOZix0Px7JSO8qqgN55ZGYmQcg0yuoFRerM45x79BuorQ34hh&amp;stp=c0.5000x0.5000f_dst-emg0_p64x64_q75_tt6&amp;ur=b696e2&amp;_nc_sid=58080a&amp;oh=00_Af5rCcU0vMNiv2C81FJHeAfZJmC6_yj6nP3wXnYWBjTRPw&amp;oe=6A070B62" TargetMode="External"/><Relationship Id="rId545" Type="http://schemas.openxmlformats.org/officeDocument/2006/relationships/hyperlink" Target="https://www.instagram.com/p/DWZXbswAFAG/" TargetMode="External"/><Relationship Id="rId787" Type="http://schemas.openxmlformats.org/officeDocument/2006/relationships/hyperlink" Target="https://www.facebook.com/418887747980692/posts/122214479636542386" TargetMode="External"/><Relationship Id="rId302" Type="http://schemas.openxmlformats.org/officeDocument/2006/relationships/hyperlink" Target="https://www.instagram.com/p/DWZTiotABkB/" TargetMode="External"/><Relationship Id="rId544" Type="http://schemas.openxmlformats.org/officeDocument/2006/relationships/hyperlink" Target="https://www.facebook.com/418887747980692/posts/122214681176542386" TargetMode="External"/><Relationship Id="rId786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czk5l-Lz7cUeaAFvJPO9iH1JEmVr1i69Lc8bP-xAY2GccyoYS2cgV_93eN83TPBnX_lfhjMCn&amp;stp=c0.5000x0.5000f_dst-emg0_p64x64_q75_tt6&amp;ur=b696e2&amp;_nc_sid=58080a&amp;oh=00_Af5TsyfK1-r5WhLGzdDoE88n3gxAOA0EzqPuJjfJ7ge15g&amp;oe=6A073222" TargetMode="External"/><Relationship Id="rId309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WNJwBGOd6eKXzhLyooM6FeNrJyNvkVcOnSx9xg4Cc4w0L3cGBsNKvTo2vwXJ9vqMfcrgKyqL_&amp;stp=c0.5000x0.5000f_dst-emg0_p64x64_q75_tt6&amp;ur=b696e2&amp;_nc_sid=58080a&amp;oh=00_Af5Z99JgbnlsuI45eKG-qqH0BD2tzD4I3gDt6f-6oc5esQ&amp;oe=6A07199E" TargetMode="External"/><Relationship Id="rId308" Type="http://schemas.openxmlformats.org/officeDocument/2006/relationships/hyperlink" Target="https://www.instagram.com/p/DWZTiw_ADPp/" TargetMode="External"/><Relationship Id="rId307" Type="http://schemas.openxmlformats.org/officeDocument/2006/relationships/hyperlink" Target="https://www.facebook.com/418887747980692/posts/122214576476542386" TargetMode="External"/><Relationship Id="rId549" Type="http://schemas.openxmlformats.org/officeDocument/2006/relationships/hyperlink" Target="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EvuPDmOpKTdPsJCsLUniWgTlQkEvCWJ0yh9sWOboN1rD7Db3NEhCBPsBeXm1Trih-tA4dgKXk8&amp;stp=c0.5000x0.5000f_dst-emg0_p64x64_q75_tt6&amp;ur=b696e2&amp;_nc_sid=58080a&amp;oh=00_Af7ckZG0tyiECeKMwTJRFCc0O10YQ_ouzEgO_TknY5nsTw&amp;oe=6A072CB3" TargetMode="External"/><Relationship Id="rId306" Type="http://schemas.openxmlformats.org/officeDocument/2006/relationships/hyperlink" Target="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YGerjq_p6TD16aBD8bdeEW-6bdTb6biD7lA13nDpHCNBULTKPbh5-aUATKnXipt3roKmj5mgm&amp;stp=c0.5000x0.5000f_dst-emg0_p64x64_q75_tt6&amp;ur=b696e2&amp;_nc_sid=58080a&amp;oh=00_Af6mXgsD0MiQBQ2Q7P0ucoYkzBi_b6TvJh7ylTe7ad9mlQ&amp;oe=6A072D09" TargetMode="External"/><Relationship Id="rId548" Type="http://schemas.openxmlformats.org/officeDocument/2006/relationships/hyperlink" Target="https://www.instagram.com/p/DWZXf47AMYO/" TargetMode="External"/><Relationship Id="rId781" Type="http://schemas.openxmlformats.org/officeDocument/2006/relationships/hyperlink" Target="https://www.facebook.com/418887747980692/posts/122214479714542386" TargetMode="External"/><Relationship Id="rId780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w7PKqP7zyUyxjDvG8WC_WKmHlRfzDT05sNFvSuWTWj4devs3b2suDucyAYrR4be5Gxv9MPDge&amp;stp=c0.5000x0.5000f_dst-emg0_p64x64_q75_tt6&amp;ur=b696e2&amp;_nc_sid=58080a&amp;oh=00_Af6KfaJ526RMNOcRNdfYB5a6IV6rxmcbi91SrgBdRy9lEQ&amp;oe=6A073222" TargetMode="External"/><Relationship Id="rId301" Type="http://schemas.openxmlformats.org/officeDocument/2006/relationships/hyperlink" Target="https://www.facebook.com/418887747980692/posts/122214577814542386" TargetMode="External"/><Relationship Id="rId543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EBa_JAToik6HwbyuFhs3eOg2dKBBEjrSTC-FukNQ1y9J0I27LglC2r_SIWFiVwNkTuvGpJSWEk&amp;stp=c0.5000x0.5000f_dst-emg0_p64x64_q75_tt6&amp;ur=b696e2&amp;_nc_sid=58080a&amp;oh=00_Af6Rinq3Po66l8BNWr16KOCTkoTJnnJ-eo1ojEJkt4_BcA&amp;oe=6A072CA5" TargetMode="External"/><Relationship Id="rId785" Type="http://schemas.openxmlformats.org/officeDocument/2006/relationships/hyperlink" Target="https://www.instagram.com/p/DW4QI9BgB2y/" TargetMode="External"/><Relationship Id="rId300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F-jdZsSRiex7lrtQUOAZLh_DLYSwXfWomObzHnjfFF7FHK_bfULXex4pLCStOW6dftL7gGnSiU&amp;stp=c0.5000x0.5000f_dst-emg0_p64x64_q75_tt6&amp;ur=b696e2&amp;_nc_sid=58080a&amp;oh=00_Af5_bHLHNSF1vBEKZ_UEFiSTBmp1a_oJ_GNnvl9uwKcl-w&amp;oe=6A0729E5" TargetMode="External"/><Relationship Id="rId542" Type="http://schemas.openxmlformats.org/officeDocument/2006/relationships/hyperlink" Target="https://www.instagram.com/p/DWZXf2jgD56/" TargetMode="External"/><Relationship Id="rId784" Type="http://schemas.openxmlformats.org/officeDocument/2006/relationships/hyperlink" Target="https://www.facebook.com/418887747980692/posts/122214479714542386" TargetMode="External"/><Relationship Id="rId541" Type="http://schemas.openxmlformats.org/officeDocument/2006/relationships/hyperlink" Target="https://www.facebook.com/418887747980692/posts/122214680642542386" TargetMode="External"/><Relationship Id="rId783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w7PKqP7zyUyxjDvG8WC_WKmHlRfzDT05sNFvSuWTWj4devs3b2suDucyAYrR4be5Gxv9MPDge&amp;stp=c0.5000x0.5000f_dst-emg0_p64x64_q75_tt6&amp;ur=b696e2&amp;_nc_sid=58080a&amp;oh=00_Af6KfaJ526RMNOcRNdfYB5a6IV6rxmcbi91SrgBdRy9lEQ&amp;oe=6A073222" TargetMode="External"/><Relationship Id="rId540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H8OrtWtVSiCSo0rntdT0dT7tbactupFwWCRJ295r7nzXbgBMf6HVcVvrWycCc2Xk0ZA7CNTxSU&amp;stp=c0.5000x0.5000f_dst-emg0_p64x64_q75_tt6&amp;ur=b696e2&amp;_nc_sid=58080a&amp;oh=00_Af4O_JqLgsZtNSjbvhYwAGiLE9sWBmzdVNpYGz7S0xu0nA&amp;oe=6A070B62" TargetMode="External"/><Relationship Id="rId782" Type="http://schemas.openxmlformats.org/officeDocument/2006/relationships/hyperlink" Target="https://www.instagram.com/p/DW1NJOIAHi0/" TargetMode="External"/><Relationship Id="rId536" Type="http://schemas.openxmlformats.org/officeDocument/2006/relationships/hyperlink" Target="https://www.instagram.com/p/DWZXb_2AGbb/" TargetMode="External"/><Relationship Id="rId778" Type="http://schemas.openxmlformats.org/officeDocument/2006/relationships/hyperlink" Target="https://www.facebook.com/418887747980692/posts/122214479714542386" TargetMode="External"/><Relationship Id="rId535" Type="http://schemas.openxmlformats.org/officeDocument/2006/relationships/hyperlink" Target="https://www.facebook.com/418887747980692/posts/122214680714542386" TargetMode="External"/><Relationship Id="rId777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u5Q2t60cgb2hiFKqT4mRL6aySwkCguPZz06k2EpHkkJZloulm1uX6-3kas4hzvm5XoTQk3287&amp;stp=c0.5000x0.5000f_dst-emg0_p64x64_q75_tt6&amp;ur=b696e2&amp;_nc_sid=58080a&amp;oh=00_Af4XUr50eBV0iKpymQhhYIsoAgF0b1TTN34J1MuiLvn0pA&amp;oe=6A072BAC" TargetMode="External"/><Relationship Id="rId534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HEqpDA-JfaRZWMBAkNAB9fipYfHzQYtwoLyG0CCDw9m2x-OiahbrWSkcBbkcZRdceW-ll3fk9O&amp;stp=c0.5000x0.5000f_dst-emg0_p64x64_q75_tt6&amp;ur=b696e2&amp;_nc_sid=58080a&amp;oh=00_Af7B21PaAa0GCDdbrELIK9MaUt-257MCEF0K_9RVFLEXmQ&amp;oe=6A07199E" TargetMode="External"/><Relationship Id="rId776" Type="http://schemas.openxmlformats.org/officeDocument/2006/relationships/hyperlink" Target="https://www.instagram.com/p/DW1NK3EgNLu/" TargetMode="External"/><Relationship Id="rId533" Type="http://schemas.openxmlformats.org/officeDocument/2006/relationships/hyperlink" Target="https://www.instagram.com/p/DWZXa9EgJ26/" TargetMode="External"/><Relationship Id="rId775" Type="http://schemas.openxmlformats.org/officeDocument/2006/relationships/hyperlink" Target="https://www.facebook.com/418887747980692/posts/122214479702542386" TargetMode="External"/><Relationship Id="rId539" Type="http://schemas.openxmlformats.org/officeDocument/2006/relationships/hyperlink" Target="https://www.instagram.com/p/DWZXcAygIfc/" TargetMode="External"/><Relationship Id="rId538" Type="http://schemas.openxmlformats.org/officeDocument/2006/relationships/hyperlink" Target="https://www.facebook.com/418887747980692/posts/122214681098542386" TargetMode="External"/><Relationship Id="rId537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GAwiLkvVT24ML1Pgs7Fzn3TyI55jzEQJr1crUYJ-2t8JHF9xR5260Y9G55v8IR-y75DXhiO70r&amp;stp=c0.5000x0.5000f_dst-emg0_p64x64_q75_tt6&amp;ur=b696e2&amp;_nc_sid=58080a&amp;oh=00_Af5HQtxQuw96D3oTfQDQuxE48_7oPb1WAis7mqmpFkpyiw&amp;oe=6A0729E5" TargetMode="External"/><Relationship Id="rId779" Type="http://schemas.openxmlformats.org/officeDocument/2006/relationships/hyperlink" Target="https://www.instagram.com/p/DW1NJOIAHi0/" TargetMode="External"/><Relationship Id="rId770" Type="http://schemas.openxmlformats.org/officeDocument/2006/relationships/hyperlink" Target="https://www.instagram.com/p/DW1NLC3AKbs/" TargetMode="External"/><Relationship Id="rId532" Type="http://schemas.openxmlformats.org/officeDocument/2006/relationships/hyperlink" Target="https://www.facebook.com/418887747980692/posts/122214680798542386" TargetMode="External"/><Relationship Id="rId774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w7PKqP7zyUyxjDvG8WC_WKmHlRfzDT05sNFvSuWTWj4devs3b2suDucyAYrR4be5Gxv9MPDge&amp;stp=c0.5000x0.5000f_dst-emg0_p64x64_q75_tt6&amp;ur=b696e2&amp;_nc_sid=58080a&amp;oh=00_Af6KfaJ526RMNOcRNdfYB5a6IV6rxmcbi91SrgBdRy9lEQ&amp;oe=6A073222" TargetMode="External"/><Relationship Id="rId531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G0M56NQ0Ike5VhohliJzY83yVEfSswjYUDvV4dpbAqO38jO_2S8dY1YgAOzlD3F1NXCenRYEjp&amp;stp=c0.5000x0.5000f_dst-emg0_p64x64_q75_tt6&amp;ur=b696e2&amp;_nc_sid=58080a&amp;oh=00_Af5B67F4UZJaUzzT_eII1uiHp74PrbdwwfFA1vR1E43IsA&amp;oe=6A0712D4" TargetMode="External"/><Relationship Id="rId773" Type="http://schemas.openxmlformats.org/officeDocument/2006/relationships/hyperlink" Target="https://www.instagram.com/p/DW1NJOIAHi0/" TargetMode="External"/><Relationship Id="rId530" Type="http://schemas.openxmlformats.org/officeDocument/2006/relationships/hyperlink" Target="https://www.instagram.com/p/DWZXbpWANCT/" TargetMode="External"/><Relationship Id="rId772" Type="http://schemas.openxmlformats.org/officeDocument/2006/relationships/hyperlink" Target="https://www.facebook.com/418887747980692/posts/122214479714542386" TargetMode="External"/><Relationship Id="rId771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I0y2nEtMs1FsVH0JZrCfvEtDu4jY1erdKxtK_YeIDeM0nsLKTt_KKvsOZVFiKv_ihHOCQntYf&amp;stp=c0.5000x0.5000f_dst-emg0_p64x64_q75_tt6&amp;ur=b696e2&amp;_nc_sid=58080a&amp;oh=00_Af7rkC7OO4zxWsa07gym_4iXu_zDjF_UwOphLp9PODJTDw&amp;oe=6A071423" TargetMode="External"/><Relationship Id="rId327" Type="http://schemas.openxmlformats.org/officeDocument/2006/relationships/hyperlink" Target="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HUi-1MXBsk3AS9ZZbm7eUsTd38IWUGUnAGlr8OlBM3HNYy1vrjeJak0QuqwPmUvxwwkLkUAv3L&amp;stp=c0.5000x0.5000f_dst-emg0_p64x64_q75_tt6&amp;ur=b696e2&amp;_nc_sid=58080a&amp;oh=00_Af638K0EHUk12v66WYOAG14BinHRCaMip5sovsxT5ld07Q&amp;oe=6A072CB3" TargetMode="External"/><Relationship Id="rId569" Type="http://schemas.openxmlformats.org/officeDocument/2006/relationships/hyperlink" Target="https://www.instagram.com/p/DWZXVZ7gL6q/" TargetMode="External"/><Relationship Id="rId326" Type="http://schemas.openxmlformats.org/officeDocument/2006/relationships/hyperlink" Target="https://www.instagram.com/p/DWZTjD5gCDE/" TargetMode="External"/><Relationship Id="rId568" Type="http://schemas.openxmlformats.org/officeDocument/2006/relationships/hyperlink" Target="https://www.facebook.com/418887747980692/posts/122214681866542386" TargetMode="External"/><Relationship Id="rId325" Type="http://schemas.openxmlformats.org/officeDocument/2006/relationships/hyperlink" Target="https://www.facebook.com/418887747980692/posts/122214586136542386" TargetMode="External"/><Relationship Id="rId567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_vR4tX9G0bjhsT_caCVwE39M3gsXrl4xv9sGPFvAr_B_mCD974e8tthGIHSGNzvmJkuNKDwiO&amp;stp=c0.5000x0.5000f_dst-emg0_p64x64_q75_tt6&amp;ur=5fad0e&amp;_nc_sid=58080a&amp;oh=00_Af6o4xA1uVLxSHCdjNdLBMP2flchQt2HMF8gK20JSurDaQ&amp;oe=6A07199E" TargetMode="External"/><Relationship Id="rId324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G1iepg64J9SPHD4XCqk3FQ4Qk-5HZ59vnN7jZOhI8Rn6ZtXkyfIVsv8i0XlrDRMfMWFiD5Js4v&amp;stp=c0.5000x0.5000f_dst-emg0_p64x64_q75_tt6&amp;ur=b696e2&amp;_nc_sid=58080a&amp;oh=00_Af77g8S40POyGfqxbYjqTiuFhFsZQzJjZVmIzw5qm4wPJA&amp;oe=6A0712D4" TargetMode="External"/><Relationship Id="rId566" Type="http://schemas.openxmlformats.org/officeDocument/2006/relationships/hyperlink" Target="https://www.instagram.com/p/DWZXVfhAPDi/" TargetMode="External"/><Relationship Id="rId329" Type="http://schemas.openxmlformats.org/officeDocument/2006/relationships/hyperlink" Target="https://www.instagram.com/p/DWZTjRsADVg/" TargetMode="External"/><Relationship Id="rId328" Type="http://schemas.openxmlformats.org/officeDocument/2006/relationships/hyperlink" Target="https://www.facebook.com/418887747980692/posts/122214581852542386" TargetMode="External"/><Relationship Id="rId561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EIX44WNLgPI3-pPeerxSBBIRJ3h9fP_dd-8AAEIPqLejvnYfjtDSTnURd5shiviFxw2RWdnvsY&amp;stp=c0.5000x0.5000f_dst-emg0_p64x64_q75_tt6&amp;ur=5fad0e&amp;_nc_sid=58080a&amp;oh=00_Af6ZqLu6lbSjkf7jWqw8dCPl-O-nkdS86kLyiqQ6grRPZA&amp;oe=6A0738D6" TargetMode="External"/><Relationship Id="rId560" Type="http://schemas.openxmlformats.org/officeDocument/2006/relationships/hyperlink" Target="https://www.instagram.com/p/DWZXW6VAHle/" TargetMode="External"/><Relationship Id="rId323" Type="http://schemas.openxmlformats.org/officeDocument/2006/relationships/hyperlink" Target="https://www.instagram.com/p/DWmf08tAPtX/" TargetMode="External"/><Relationship Id="rId565" Type="http://schemas.openxmlformats.org/officeDocument/2006/relationships/hyperlink" Target="https://www.facebook.com/418887747980692/posts/122214681860542386" TargetMode="External"/><Relationship Id="rId322" Type="http://schemas.openxmlformats.org/officeDocument/2006/relationships/hyperlink" Target="https://www.facebook.com/418887747980692/posts/122214590924542386" TargetMode="External"/><Relationship Id="rId564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GoqjspsB4ScInfH429mwOmmF1POEgQt_wil539vTtDj-1yyMB_rzQA9FIc-wKPqF0vE6O_-9fi&amp;stp=c0.5000x0.5000f_dst-emg0_p64x64_q75_tt6&amp;ur=5fad0e&amp;_nc_sid=58080a&amp;oh=00_Af6b5Wmqut09zHLNTIozW8lXHkLdkdSkYS3_UBfC-hquuw&amp;oe=6A072B9E" TargetMode="External"/><Relationship Id="rId321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EpQmz5Y5Lfzh3-wBuyvxBA_n6wAKFBo3FfHnr6QThQA7cTcPmp_SEQJo6OvTIgysR3htDIh1d8&amp;stp=c0.5000x0.5000f_dst-emg0_p64x64_q75_tt6&amp;ur=52f3c4&amp;_nc_sid=58080a&amp;oh=00_Af6yWrdVKjFgOO44CRSkxzj8SvFz-IyY5jVLHsKa8TmJ_g&amp;oe=6A07362D" TargetMode="External"/><Relationship Id="rId563" Type="http://schemas.openxmlformats.org/officeDocument/2006/relationships/hyperlink" Target="https://www.instagram.com/p/DWg0Vy3gJtu/" TargetMode="External"/><Relationship Id="rId320" Type="http://schemas.openxmlformats.org/officeDocument/2006/relationships/hyperlink" Target="https://www.instagram.com/p/DWmf3sIgKqK/" TargetMode="External"/><Relationship Id="rId562" Type="http://schemas.openxmlformats.org/officeDocument/2006/relationships/hyperlink" Target="https://www.facebook.com/418887747980692/posts/122215137398542386" TargetMode="External"/><Relationship Id="rId316" Type="http://schemas.openxmlformats.org/officeDocument/2006/relationships/hyperlink" Target="https://www.facebook.com/418887747980692/posts/122214579746542386" TargetMode="External"/><Relationship Id="rId558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F10LK-OLuo7YvrLnV5cUIpB8A8FVAVhlooct8G8FeI3eUrpj_c5-M7_FX1sk2XWYkN52yUt_Ih&amp;stp=c0.5000x0.5000f_dst-emg0_p64x64_q75_tt6&amp;ur=5fad0e&amp;_nc_sid=58080a&amp;oh=00_Af4E7iEViHid9KemmIo9YtAF7KBggnUUcZPhApvzV1Co6w&amp;oe=6A072B9E" TargetMode="External"/><Relationship Id="rId315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H2J-e6cGImHBXAopemWKxhuyvZ544zmux4wcicAa1Wb7EwND6ra2x62H0kwxayZ8uydxZsHTR7&amp;stp=c0.5000x0.5000f_dst-emg0_p64x64_q75_tt6&amp;ur=52f3c4&amp;_nc_sid=58080a&amp;oh=00_Af6w2WX9yOklmUfVzIFmtfbVGVnV8z_B9NERRLeltR6nGw&amp;oe=6A07362D" TargetMode="External"/><Relationship Id="rId557" Type="http://schemas.openxmlformats.org/officeDocument/2006/relationships/hyperlink" Target="https://www.instagram.com/p/DWofubCgLBa/" TargetMode="External"/><Relationship Id="rId799" Type="http://schemas.openxmlformats.org/officeDocument/2006/relationships/hyperlink" Target="https://www.facebook.com/418887747980692/posts/122216561186542386" TargetMode="External"/><Relationship Id="rId314" Type="http://schemas.openxmlformats.org/officeDocument/2006/relationships/hyperlink" Target="https://www.instagram.com/p/DWZTjMeAEIH/" TargetMode="External"/><Relationship Id="rId556" Type="http://schemas.openxmlformats.org/officeDocument/2006/relationships/hyperlink" Target="https://www.facebook.com/418887747980692/posts/122215596512542386" TargetMode="External"/><Relationship Id="rId798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I0y2nEtMs1FsVH0JZrCfvEtDu4jY1erdKxtK_YeIDeM0nsLKTt_KKvsOZVFiKv_ihHOCQntYf&amp;stp=c0.5000x0.5000f_dst-emg0_p64x64_q75_tt6&amp;ur=b696e2&amp;_nc_sid=58080a&amp;oh=00_Af7rkC7OO4zxWsa07gym_4iXu_zDjF_UwOphLp9PODJTDw&amp;oe=6A071423" TargetMode="External"/><Relationship Id="rId313" Type="http://schemas.openxmlformats.org/officeDocument/2006/relationships/hyperlink" Target="https://www.facebook.com/418887747980692/posts/122214595862542386" TargetMode="External"/><Relationship Id="rId555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QH0BeFJRuWhIVfYJ5tfZylrsJTH2yk7WmlBw0SGRK3xKOlC8wcCVXWoGsys5ApIrZtDt_Hhpw&amp;stp=c0.5000x0.5000f_dst-emg0_p64x64_q75_tt6&amp;ur=5fad0e&amp;_nc_sid=58080a&amp;oh=00_Af7dj5joAz7xu2uwUSNPL2HF0aFj99abldfW-7clktRO4A&amp;oe=6A07199E" TargetMode="External"/><Relationship Id="rId797" Type="http://schemas.openxmlformats.org/officeDocument/2006/relationships/hyperlink" Target="https://www.instagram.com/p/DW1NLC3AKbs/" TargetMode="External"/><Relationship Id="rId319" Type="http://schemas.openxmlformats.org/officeDocument/2006/relationships/hyperlink" Target="https://www.facebook.com/418887747980692/posts/122214595862542386" TargetMode="External"/><Relationship Id="rId318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zY6YXMAk6Bz3zSlre8Y_J8jeEacELugpAncfuqxtvX4TpW2iVY3PelU044_VD8SjEUH-OwjOg&amp;stp=c0.5000x0.5000f_dst-emg0_p64x64_q75_tt6&amp;ur=b696e2&amp;_nc_sid=58080a&amp;oh=00_Af6ZfVteZxaA0xc_1eu-e0I5zePpy5oHgfm8sAmTDCLOQw&amp;oe=6A072CA5" TargetMode="External"/><Relationship Id="rId317" Type="http://schemas.openxmlformats.org/officeDocument/2006/relationships/hyperlink" Target="https://www.instagram.com/p/DWZTjAgAGOL/" TargetMode="External"/><Relationship Id="rId559" Type="http://schemas.openxmlformats.org/officeDocument/2006/relationships/hyperlink" Target="https://www.facebook.com/418887747980692/posts/122214682028542386" TargetMode="External"/><Relationship Id="rId550" Type="http://schemas.openxmlformats.org/officeDocument/2006/relationships/hyperlink" Target="https://www.facebook.com/418887747980692/posts/122214680570542386" TargetMode="External"/><Relationship Id="rId792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w7PKqP7zyUyxjDvG8WC_WKmHlRfzDT05sNFvSuWTWj4devs3b2suDucyAYrR4be5Gxv9MPDge&amp;stp=c0.5000x0.5000f_dst-emg0_p64x64_q75_tt6&amp;ur=b696e2&amp;_nc_sid=58080a&amp;oh=00_Af6KfaJ526RMNOcRNdfYB5a6IV6rxmcbi91SrgBdRy9lEQ&amp;oe=6A073222" TargetMode="External"/><Relationship Id="rId791" Type="http://schemas.openxmlformats.org/officeDocument/2006/relationships/hyperlink" Target="https://www.instagram.com/p/DW1NJOIAHi0/" TargetMode="External"/><Relationship Id="rId790" Type="http://schemas.openxmlformats.org/officeDocument/2006/relationships/hyperlink" Target="https://www.facebook.com/418887747980692/posts/122214479714542386" TargetMode="External"/><Relationship Id="rId312" Type="http://schemas.openxmlformats.org/officeDocument/2006/relationships/hyperlink" Target="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FbN_IqczOprNvlxtJ_tigWAI3YG23tTkhzwmFebVQG71rr3kbFm3_njsK6Qg4dT-F67qQLZF9c&amp;stp=c0.5000x0.5000f_dst-emg0_p64x64_q75_tt6&amp;ur=b696e2&amp;_nc_sid=58080a&amp;oh=00_Af4mYpuUlctnkbVWQwxa3d4gAElTGlJIbtsfvKza5sfjjA&amp;oe=6A072CB3" TargetMode="External"/><Relationship Id="rId554" Type="http://schemas.openxmlformats.org/officeDocument/2006/relationships/hyperlink" Target="https://www.instagram.com/p/DWZXVmvgDC4/" TargetMode="External"/><Relationship Id="rId796" Type="http://schemas.openxmlformats.org/officeDocument/2006/relationships/hyperlink" Target="https://www.facebook.com/418887747980692/posts/122214479636542386" TargetMode="External"/><Relationship Id="rId311" Type="http://schemas.openxmlformats.org/officeDocument/2006/relationships/hyperlink" Target="https://www.instagram.com/p/DWmf1U4gL76/" TargetMode="External"/><Relationship Id="rId553" Type="http://schemas.openxmlformats.org/officeDocument/2006/relationships/hyperlink" Target="https://www.facebook.com/418887747980692/posts/122214681974542386" TargetMode="External"/><Relationship Id="rId795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Ew7PKqP7zyUyxjDvG8WC_WKmHlRfzDT05sNFvSuWTWj4devs3b2suDucyAYrR4be5Gxv9MPDge&amp;stp=c0.5000x0.5000f_dst-emg0_p64x64_q75_tt6&amp;ur=b696e2&amp;_nc_sid=58080a&amp;oh=00_Af6KfaJ526RMNOcRNdfYB5a6IV6rxmcbi91SrgBdRy9lEQ&amp;oe=6A073222" TargetMode="External"/><Relationship Id="rId310" Type="http://schemas.openxmlformats.org/officeDocument/2006/relationships/hyperlink" Target="https://www.facebook.com/418887747980692/posts/122214586136542386" TargetMode="External"/><Relationship Id="rId552" Type="http://schemas.openxmlformats.org/officeDocument/2006/relationships/hyperlink" Target="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E8qVnpkSf-GCyyTbXm1J24_O48bxjJXN1VsNEniUSJnWBvio5Kjwrdqtz4sp1d6ibP1LCjpbNy&amp;stp=c0.5000x0.5000f_dst-emg0_p64x64_q75_tt6&amp;ur=b696e2&amp;_nc_sid=58080a&amp;oh=00_Af6jmGMkjTsazp8SOwWDLbjk5rTOpaAzj6c6faYyxtxl9A&amp;oe=6A072D09" TargetMode="External"/><Relationship Id="rId794" Type="http://schemas.openxmlformats.org/officeDocument/2006/relationships/hyperlink" Target="https://www.instagram.com/p/DW1NJOIAHi0/" TargetMode="External"/><Relationship Id="rId551" Type="http://schemas.openxmlformats.org/officeDocument/2006/relationships/hyperlink" Target="https://www.instagram.com/p/DWZXg8KAEnh/" TargetMode="External"/><Relationship Id="rId793" Type="http://schemas.openxmlformats.org/officeDocument/2006/relationships/hyperlink" Target="https://www.facebook.com/418887747980692/posts/122214479714542386" TargetMode="External"/><Relationship Id="rId297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HQ6osrmQexTU8rd4jJDZnW8xA_NPjHJsN2bbctV6zYfV_3twDk-XF5JV5zldiL7-VbwKtGtw3i&amp;stp=c0.5000x0.5000f_dst-emg0_p64x64_q75_tt6&amp;ur=b696e2&amp;_nc_sid=58080a&amp;oh=00_Af6dc3G11CtUL7vh7sIrqIPEVhf6wlQQbbGFa-NAvamP1A&amp;oe=6A07199E" TargetMode="External"/><Relationship Id="rId296" Type="http://schemas.openxmlformats.org/officeDocument/2006/relationships/hyperlink" Target="https://www.instagram.com/p/DWmf1ZqgE9B/" TargetMode="External"/><Relationship Id="rId295" Type="http://schemas.openxmlformats.org/officeDocument/2006/relationships/hyperlink" Target="https://www.facebook.com/418887747980692/posts/122214576476542386" TargetMode="External"/><Relationship Id="rId294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lfuvvVW0OOy_MuVyckFVF0epU5JkE7SiRLTVImYtLPEKMll9fIDzicOGXIo_0-9KprGPec59c&amp;stp=c0.5000x0.5000f_dst-emg0_p64x64_q75_tt6&amp;ur=b696e2&amp;_nc_sid=58080a&amp;oh=00_Af7pq1hNv7xJuf6LKYPLsMN3Gld0Bx-mtUAXxDuF7I37vg&amp;oe=6A072CA5" TargetMode="External"/><Relationship Id="rId299" Type="http://schemas.openxmlformats.org/officeDocument/2006/relationships/hyperlink" Target="https://www.instagram.com/p/DWmf0-bACl9/" TargetMode="External"/><Relationship Id="rId298" Type="http://schemas.openxmlformats.org/officeDocument/2006/relationships/hyperlink" Target="https://www.facebook.com/418887747980692/posts/122214584036542386" TargetMode="External"/><Relationship Id="rId271" Type="http://schemas.openxmlformats.org/officeDocument/2006/relationships/hyperlink" Target="https://www.facebook.com/418887747980692/posts/122214584036542386" TargetMode="External"/><Relationship Id="rId270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Ekx1wgxlaAcSd6psOGLShJ6oOb25A-77qASypX3GsuTcT3vkj3xONqZQ7BLGqeDZmTYcbPOl2L&amp;stp=c0.5000x0.5000f_dst-emg0_p64x64_q75_tt6&amp;ur=b696e2&amp;_nc_sid=58080a&amp;oh=00_Af4zoX40S_YAj5hZPbqcFj43OkaxhC95Rq92GSG_u_fPdw&amp;oe=6A072D6E" TargetMode="External"/><Relationship Id="rId269" Type="http://schemas.openxmlformats.org/officeDocument/2006/relationships/hyperlink" Target="https://www.instagram.com/p/DWZTi6ZAEXv/" TargetMode="External"/><Relationship Id="rId264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HQ6osrmQexTU8rd4jJDZnW8xA_NPjHJsN2bbctV6zYfV_3twDk-XF5JV5zldiL7-VbwKtGtw3i&amp;stp=c0.5000x0.5000f_dst-emg0_p64x64_q75_tt6&amp;ur=b696e2&amp;_nc_sid=58080a&amp;oh=00_Af6dc3G11CtUL7vh7sIrqIPEVhf6wlQQbbGFa-NAvamP1A&amp;oe=6A07199E" TargetMode="External"/><Relationship Id="rId263" Type="http://schemas.openxmlformats.org/officeDocument/2006/relationships/hyperlink" Target="https://www.instagram.com/p/DWmf1z2gCgR/" TargetMode="External"/><Relationship Id="rId262" Type="http://schemas.openxmlformats.org/officeDocument/2006/relationships/hyperlink" Target="https://www.facebook.com/418887747980692/posts/122214576476542386" TargetMode="External"/><Relationship Id="rId261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FBepwbghP0VrczglluSZFCcdHi1K0teEFSZBXjEc7gUm2Aye_Xi5aMbLD7geSIq3YOyk20SGHJ&amp;stp=c0.5000x0.5000f_dst-emg0_p64x64_q75_tt6&amp;ur=b696e2&amp;_nc_sid=58080a&amp;oh=00_Af7Mul7D0oxHyY8IZOc5vq3LY5WN770cDDv0wrYg67SLQA&amp;oe=6A0712D4" TargetMode="External"/><Relationship Id="rId268" Type="http://schemas.openxmlformats.org/officeDocument/2006/relationships/hyperlink" Target="https://www.facebook.com/418887747980692/posts/122214588368542386" TargetMode="External"/><Relationship Id="rId267" Type="http://schemas.openxmlformats.org/officeDocument/2006/relationships/hyperlink" Target="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HUi-1MXBsk3AS9ZZbm7eUsTd38IWUGUnAGlr8OlBM3HNYy1vrjeJak0QuqwPmUvxwwkLkUAv3L&amp;stp=c0.5000x0.5000f_dst-emg0_p64x64_q75_tt6&amp;ur=b696e2&amp;_nc_sid=58080a&amp;oh=00_Af638K0EHUk12v66WYOAG14BinHRCaMip5sovsxT5ld07Q&amp;oe=6A072CB3" TargetMode="External"/><Relationship Id="rId266" Type="http://schemas.openxmlformats.org/officeDocument/2006/relationships/hyperlink" Target="https://www.instagram.com/p/DWZTjOwgLPO/" TargetMode="External"/><Relationship Id="rId265" Type="http://schemas.openxmlformats.org/officeDocument/2006/relationships/hyperlink" Target="https://www.facebook.com/418887747980692/posts/122214586136542386" TargetMode="External"/><Relationship Id="rId260" Type="http://schemas.openxmlformats.org/officeDocument/2006/relationships/hyperlink" Target="https://www.instagram.com/p/DWZTizvAJb2/" TargetMode="External"/><Relationship Id="rId259" Type="http://schemas.openxmlformats.org/officeDocument/2006/relationships/hyperlink" Target="https://www.facebook.com/418887747980692/posts/122214590924542386" TargetMode="External"/><Relationship Id="rId258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H2J-e6cGImHBXAopemWKxhuyvZ544zmux4wcicAa1Wb7EwND6ra2x62H0kwxayZ8uydxZsHTR7&amp;stp=c0.5000x0.5000f_dst-emg0_p64x64_q75_tt6&amp;ur=52f3c4&amp;_nc_sid=58080a&amp;oh=00_Af6w2WX9yOklmUfVzIFmtfbVGVnV8z_B9NERRLeltR6nGw&amp;oe=6A07362D" TargetMode="External"/><Relationship Id="rId253" Type="http://schemas.openxmlformats.org/officeDocument/2006/relationships/hyperlink" Target="https://www.facebook.com/418887747980692/posts/122214577814542386" TargetMode="External"/><Relationship Id="rId495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EWTZyLRh583R44b6_igY8e5-l298zy7852TLolQpd648lo78GTi_EhqqPFSaBdeoxc5CzYK9F6&amp;stp=c0.5000x0.5000f_dst-emg0_p64x64_q75_tt6&amp;ur=b696e2&amp;_nc_sid=58080a&amp;oh=00_Af70OysGepNOV2IIA7-_UZNGcE9HIeQjKX5e3Cmxq0X58Q&amp;oe=6A072D6E" TargetMode="External"/><Relationship Id="rId252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lfuvvVW0OOy_MuVyckFVF0epU5JkE7SiRLTVImYtLPEKMll9fIDzicOGXIo_0-9KprGPec59c&amp;stp=c0.5000x0.5000f_dst-emg0_p64x64_q75_tt6&amp;ur=b696e2&amp;_nc_sid=58080a&amp;oh=00_Af7pq1hNv7xJuf6LKYPLsMN3Gld0Bx-mtUAXxDuF7I37vg&amp;oe=6A072CA5" TargetMode="External"/><Relationship Id="rId494" Type="http://schemas.openxmlformats.org/officeDocument/2006/relationships/hyperlink" Target="https://www.instagram.com/p/DWZXgK9gLb2/" TargetMode="External"/><Relationship Id="rId251" Type="http://schemas.openxmlformats.org/officeDocument/2006/relationships/hyperlink" Target="https://www.instagram.com/p/DWmf1QigKLv/" TargetMode="External"/><Relationship Id="rId493" Type="http://schemas.openxmlformats.org/officeDocument/2006/relationships/hyperlink" Target="https://www.facebook.com/418887747980692/posts/122214680426542386" TargetMode="External"/><Relationship Id="rId250" Type="http://schemas.openxmlformats.org/officeDocument/2006/relationships/hyperlink" Target="https://www.facebook.com/418887747980692/posts/122214579746542386" TargetMode="External"/><Relationship Id="rId492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FMi11GHVzE8iKAbqX7GcrzGGsOeVjtYuRL7NC0jv55tXd1YHbbR_6n1ZzM_LPXcki6t_kteNgV&amp;stp=c0.5000x0.5000f_dst-emg0_p64x64_q75_tt6&amp;ur=b696e2&amp;_nc_sid=58080a&amp;oh=00_Af4w8pkCv5hYknZjZFVF9jXn9JkuP0UPcEiOdh9pMlG2Yg&amp;oe=6A0712D4" TargetMode="External"/><Relationship Id="rId257" Type="http://schemas.openxmlformats.org/officeDocument/2006/relationships/hyperlink" Target="https://www.instagram.com/p/DWZTjMeAEIH/" TargetMode="External"/><Relationship Id="rId499" Type="http://schemas.openxmlformats.org/officeDocument/2006/relationships/hyperlink" Target="https://www.facebook.com/418887747980692/posts/122214680564542386" TargetMode="External"/><Relationship Id="rId256" Type="http://schemas.openxmlformats.org/officeDocument/2006/relationships/hyperlink" Target="https://www.facebook.com/418887747980692/posts/122214595862542386" TargetMode="External"/><Relationship Id="rId498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H8NfbVRKe7rqruXwyYZPG5t394d388E8jy_04ndG1HwkSYk5dd-gPDyAoblk8dOOwhtSJe-20z&amp;stp=c0.5000x0.5000f_dst-emg0_p64x64_q75_tt6&amp;ur=b696e2&amp;_nc_sid=58080a&amp;oh=00_Af6FTbxs7UsF0acy-5nUZK6OXPfnxP-83f1Ja6N1S9hxDQ&amp;oe=6A0729E5" TargetMode="External"/><Relationship Id="rId255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GZrrrkXiVq-DvjNKax1Up-98-WYEJP5SlCD56lNnCHMP2aYUoAXsBjHASCVD4C0K45tCZu0EIY&amp;stp=c0.5000x0.5000f_dst-emg0_p64x64_q75_tt6&amp;ur=b696e2&amp;_nc_sid=58080a&amp;oh=00_Af6S9-AejdK2Lf-7PqQJfr9rG5_TJf9NDxOtesRyVQsvtw&amp;oe=6A070B62" TargetMode="External"/><Relationship Id="rId497" Type="http://schemas.openxmlformats.org/officeDocument/2006/relationships/hyperlink" Target="https://www.instagram.com/p/DWZXcAhAL67/" TargetMode="External"/><Relationship Id="rId254" Type="http://schemas.openxmlformats.org/officeDocument/2006/relationships/hyperlink" Target="https://www.instagram.com/p/DWmf1UzgG-D/" TargetMode="External"/><Relationship Id="rId496" Type="http://schemas.openxmlformats.org/officeDocument/2006/relationships/hyperlink" Target="https://www.facebook.com/418887747980692/posts/122214680336542386" TargetMode="External"/><Relationship Id="rId293" Type="http://schemas.openxmlformats.org/officeDocument/2006/relationships/hyperlink" Target="https://www.instagram.com/p/DWmf1QigKLv/" TargetMode="External"/><Relationship Id="rId292" Type="http://schemas.openxmlformats.org/officeDocument/2006/relationships/hyperlink" Target="https://www.facebook.com/418887747980692/posts/122214579746542386" TargetMode="External"/><Relationship Id="rId291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GZrrrkXiVq-DvjNKax1Up-98-WYEJP5SlCD56lNnCHMP2aYUoAXsBjHASCVD4C0K45tCZu0EIY&amp;stp=c0.5000x0.5000f_dst-emg0_p64x64_q75_tt6&amp;ur=b696e2&amp;_nc_sid=58080a&amp;oh=00_Af6S9-AejdK2Lf-7PqQJfr9rG5_TJf9NDxOtesRyVQsvtw&amp;oe=6A070B62" TargetMode="External"/><Relationship Id="rId290" Type="http://schemas.openxmlformats.org/officeDocument/2006/relationships/hyperlink" Target="https://www.instagram.com/p/DWmf1UzgG-D/" TargetMode="External"/><Relationship Id="rId286" Type="http://schemas.openxmlformats.org/officeDocument/2006/relationships/hyperlink" Target="https://www.facebook.com/418887747980692/posts/122214588368542386" TargetMode="External"/><Relationship Id="rId285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HQPNRbxb-BTJpCWmhOo9VRSZ7bOZix0Px7JSO8qqgN55ZGYmQcg0yuoFRerM45x79BuorQ34hh&amp;stp=c0.5000x0.5000f_dst-emg0_p64x64_q75_tt6&amp;ur=b696e2&amp;_nc_sid=58080a&amp;oh=00_Af5rCcU0vMNiv2C81FJHeAfZJmC6_yj6nP3wXnYWBjTRPw&amp;oe=6A070B62" TargetMode="External"/><Relationship Id="rId284" Type="http://schemas.openxmlformats.org/officeDocument/2006/relationships/hyperlink" Target="https://www.instagram.com/p/DWZTiotABkB/" TargetMode="External"/><Relationship Id="rId283" Type="http://schemas.openxmlformats.org/officeDocument/2006/relationships/hyperlink" Target="https://www.facebook.com/418887747980692/posts/122214577814542386" TargetMode="External"/><Relationship Id="rId289" Type="http://schemas.openxmlformats.org/officeDocument/2006/relationships/hyperlink" Target="https://www.facebook.com/418887747980692/posts/122214577814542386" TargetMode="External"/><Relationship Id="rId288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Gjp2QxcL8EWvtIXbHNxK8jRCcete1qNl0wHT7QuRH8R8qSJljxiNSLKBRbxIucQQisR-zYkdKN&amp;stp=c0.5000x0.5000f_dst-emg0_p64x64_q75_tt6&amp;ur=b696e2&amp;_nc_sid=58080a&amp;oh=00_Af7Ss-tCXw-KpqHywYiiM-jAEVS0ADnattYrOd40aUtFqQ&amp;oe=6A072D6E" TargetMode="External"/><Relationship Id="rId287" Type="http://schemas.openxmlformats.org/officeDocument/2006/relationships/hyperlink" Target="https://www.instagram.com/p/DWmf0hMAA2n/" TargetMode="External"/><Relationship Id="rId282" Type="http://schemas.openxmlformats.org/officeDocument/2006/relationships/hyperlink" Target="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ksm5yKgFKay7MzmzD0ATS0xF1flpkPJcz5Q6DeQnT56NTRS5ipQXFOJeo8CrnoCFWqfaMpamO&amp;stp=c0.5000x0.5000f_dst-emg0_p64x64_q75_tt6&amp;ur=b696e2&amp;_nc_sid=58080a&amp;oh=00_Af4NMQUS_fGc9X80CK87RyFNj2nqDTJ9UayttGUBUVxDZg&amp;oe=6A072D09" TargetMode="External"/><Relationship Id="rId281" Type="http://schemas.openxmlformats.org/officeDocument/2006/relationships/hyperlink" Target="https://www.instagram.com/p/DWZTi2agJG2/" TargetMode="External"/><Relationship Id="rId280" Type="http://schemas.openxmlformats.org/officeDocument/2006/relationships/hyperlink" Target="https://www.facebook.com/418887747980692/posts/122214581852542386" TargetMode="External"/><Relationship Id="rId275" Type="http://schemas.openxmlformats.org/officeDocument/2006/relationships/hyperlink" Target="https://www.instagram.com/p/DWZTjAgAGOL/" TargetMode="External"/><Relationship Id="rId274" Type="http://schemas.openxmlformats.org/officeDocument/2006/relationships/hyperlink" Target="https://www.facebook.com/418887747980692/posts/122214579746542386" TargetMode="External"/><Relationship Id="rId273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EbEmhIPSQgKr5cuZ1uAIT1iBwYIo2vhxhPUlpdea3q5QLydpUYqCBZzz-5k2l7MXYj9EynRt6b&amp;stp=c0.5000x0.5000f_dst-emg0_p64x64_q75_tt6&amp;ur=b696e2&amp;_nc_sid=58080a&amp;oh=00_Af7iW0KqbUYwj_z2agX6a8kC1YeFnVDuWj9cGL-SMTquCA&amp;oe=6A0729E5" TargetMode="External"/><Relationship Id="rId272" Type="http://schemas.openxmlformats.org/officeDocument/2006/relationships/hyperlink" Target="https://www.instagram.com/p/DWZTi3hAPYf/" TargetMode="External"/><Relationship Id="rId279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ZHWor874Ql8bTlvvqqHpZn8zVAHu6fhcRVglZ6YuW1Wk7SwIWyfs4BaGC4AvscALBmZGtEOsb&amp;stp=c0.5000x0.5000f_dst-emg0_p64x64_q75_tt6&amp;ur=b696e2&amp;_nc_sid=58080a&amp;oh=00_Af7zBDtP1mGP9a2Vk_X5uDo1i4dLYjvruUOt4BB1HU1JTg&amp;oe=6A07199E" TargetMode="External"/><Relationship Id="rId278" Type="http://schemas.openxmlformats.org/officeDocument/2006/relationships/hyperlink" Target="https://www.instagram.com/p/DWZTi1AALYX/" TargetMode="External"/><Relationship Id="rId277" Type="http://schemas.openxmlformats.org/officeDocument/2006/relationships/hyperlink" Target="https://www.facebook.com/418887747980692/posts/122214576476542386" TargetMode="External"/><Relationship Id="rId276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zY6YXMAk6Bz3zSlre8Y_J8jeEacELugpAncfuqxtvX4TpW2iVY3PelU044_VD8SjEUH-OwjOg&amp;stp=c0.5000x0.5000f_dst-emg0_p64x64_q75_tt6&amp;ur=b696e2&amp;_nc_sid=58080a&amp;oh=00_Af6ZfVteZxaA0xc_1eu-e0I5zePpy5oHgfm8sAmTDCLOQw&amp;oe=6A072CA5" TargetMode="External"/><Relationship Id="rId629" Type="http://schemas.openxmlformats.org/officeDocument/2006/relationships/hyperlink" Target="https://www.instagram.com/p/DWZZpeEgGCI/" TargetMode="External"/><Relationship Id="rId624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8taWxN--gvBrJ2-WBXKkPXollks01sUvK-EUZ_qfzbuGS4EtfdWh1-rRkrB2lZogUMTMD0Whb&amp;stp=c0.5000x0.5000f_dst-emg0_p64x64_q75_tt6&amp;ur=b696e2&amp;_nc_sid=58080a&amp;oh=00_Af7tDVgnwQr5dvRhHRhNhVNaH45iNU2x_tnqaO60L0s2LQ&amp;oe=6A073222" TargetMode="External"/><Relationship Id="rId623" Type="http://schemas.openxmlformats.org/officeDocument/2006/relationships/hyperlink" Target="https://www.instagram.com/p/DWZY3_TAHkg/" TargetMode="External"/><Relationship Id="rId622" Type="http://schemas.openxmlformats.org/officeDocument/2006/relationships/hyperlink" Target="https://www.facebook.com/418887747980692/posts/122214697934542386" TargetMode="External"/><Relationship Id="rId621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FCIIWH-6oFPc_TtKIqfDcFMfdyGAXgATLNAjYz1UFjuWxs3p2ThsHCz1gaaE22SHNbC0fJETsQ&amp;stp=c0.5000x0.5000f_dst-emg0_p64x64_q75_tt6&amp;ur=b696e2&amp;_nc_sid=58080a&amp;oh=00_Af41TGihcrNJQEtJOnclwT3fasWtZA-ekUYL3zZ02kdTXA&amp;oe=6A07186A" TargetMode="External"/><Relationship Id="rId628" Type="http://schemas.openxmlformats.org/officeDocument/2006/relationships/hyperlink" Target="https://www.facebook.com/418887747980692/posts/122214710738542386" TargetMode="External"/><Relationship Id="rId627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MwD--Dhphfh7fsaaI6Lb3jX1ZX6MB1Qx57dNLVDhnezGHZ3lmJ7_7Q5l3yF5AJbDzp6OXWB2m&amp;stp=c0.5000x0.5000f_dst-emg0_p64x64_q75_tt6&amp;ur=b696e2&amp;_nc_sid=58080a&amp;oh=00_Af7AchT4tcvl35DotP9pTX0wCFTrEY9MeuVF7_Xg-pmNgQ&amp;oe=6A073222" TargetMode="External"/><Relationship Id="rId626" Type="http://schemas.openxmlformats.org/officeDocument/2006/relationships/hyperlink" Target="https://www.instagram.com/p/DWZYz60gLuf/" TargetMode="External"/><Relationship Id="rId625" Type="http://schemas.openxmlformats.org/officeDocument/2006/relationships/hyperlink" Target="https://www.facebook.com/418887747980692/posts/122214697880542386" TargetMode="External"/><Relationship Id="rId620" Type="http://schemas.openxmlformats.org/officeDocument/2006/relationships/hyperlink" Target="https://www.instagram.com/p/DWZY1CPANqu/" TargetMode="External"/><Relationship Id="rId862" Type="http://schemas.openxmlformats.org/officeDocument/2006/relationships/drawing" Target="../drawings/drawing4.xml"/><Relationship Id="rId861" Type="http://schemas.openxmlformats.org/officeDocument/2006/relationships/hyperlink" Target="https://scontent.xx.fbcdn.net/v/t15.5256-10/668684979_2121389985454926_6771382376035068925_n.jpg?_nc_cat=104&amp;ccb=1-7&amp;_nc_ohc=Nsnd88IjSOsQ7kNvwF7zE0q&amp;_nc_oc=AdqdnrrZfwSQLBRzBR6mqwO6YOeQkSTxwliclIMhYM-l1yozHpkJ0XZsdVeRoG4fZqg&amp;_nc_zt=23&amp;_nc_ht=scontent.xx&amp;edm=AAwGEdEEAAAA&amp;_nc_gid=iEndcDk33bF5gt7MdoYrfg&amp;_nc_tpa=Q5bMBQEMobvcTv93FUmodBFJRMfbjqOkltL6zm72HoGMAPar1-0_wdlsg_-PZ7ambxA489i35qHcx6Lc&amp;stp=c0.5000x0.5000f_dst-emg0_p64x64_q75_tt6&amp;ur=5fad0e&amp;_nc_sid=58080a&amp;oh=00_Af4tpU_h905pCb5DQS9b5gTaMntPi8rBDHtLOAPkcIBrcw&amp;oe=6A072078" TargetMode="External"/><Relationship Id="rId860" Type="http://schemas.openxmlformats.org/officeDocument/2006/relationships/hyperlink" Target="https://www.instagram.com/p/DW6j0ZWAN_K/" TargetMode="External"/><Relationship Id="rId619" Type="http://schemas.openxmlformats.org/officeDocument/2006/relationships/hyperlink" Target="https://www.facebook.com/418887747980692/posts/122214698204542386" TargetMode="External"/><Relationship Id="rId618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0C3Adu6NM83K9Vk9KxXMs-AxWUkPL2V26ZCNZBs9hNGwTcA52zQCQk_Lga8TZj19U4S0FwOQS&amp;stp=c0.5000x0.5000f_dst-emg0_p64x64_q75_tt6&amp;ur=b696e2&amp;_nc_sid=58080a&amp;oh=00_Af6Y_CprpWEuIn7SrgIuGu_vbPjABiABi_Kvnotab-WCfg&amp;oe=6A071423" TargetMode="External"/><Relationship Id="rId613" Type="http://schemas.openxmlformats.org/officeDocument/2006/relationships/hyperlink" Target="https://www.facebook.com/418887747980692/posts/122214698054542386" TargetMode="External"/><Relationship Id="rId855" Type="http://schemas.openxmlformats.org/officeDocument/2006/relationships/hyperlink" Target="https://scontent.xx.fbcdn.net/v/t15.5256-10/668684979_2121389985454926_6771382376035068925_n.jpg?_nc_cat=104&amp;ccb=1-7&amp;_nc_ohc=Nsnd88IjSOsQ7kNvwF7zE0q&amp;_nc_oc=AdqdnrrZfwSQLBRzBR6mqwO6YOeQkSTxwliclIMhYM-l1yozHpkJ0XZsdVeRoG4fZqg&amp;_nc_zt=23&amp;_nc_ht=scontent.xx&amp;edm=AAwGEdEEAAAA&amp;_nc_gid=iEndcDk33bF5gt7MdoYrfg&amp;_nc_tpa=Q5bMBQEMobvcTv93FUmodBFJRMfbjqOkltL6zm72HoGMAPar1-0_wdlsg_-PZ7ambxA489i35qHcx6Lc&amp;stp=c0.5000x0.5000f_dst-emg0_p64x64_q75_tt6&amp;ur=5fad0e&amp;_nc_sid=58080a&amp;oh=00_Af4tpU_h905pCb5DQS9b5gTaMntPi8rBDHtLOAPkcIBrcw&amp;oe=6A072078" TargetMode="External"/><Relationship Id="rId612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GDOy7Fq8i8Mm6PIXQKX5SmEYA6dRqbUTRHxMkyXcaNc3YN4R2G9N_wg6Y1B-edlOf0zHlEFL08&amp;stp=c0.5000x0.5000f_dst-emg0_p64x64_q75_tt6&amp;ur=b696e2&amp;_nc_sid=58080a&amp;oh=00_Af54eypLhTKd-oG09F5ZoR7npv8ycY18cyuI-PRsJIH78A&amp;oe=6A074314" TargetMode="External"/><Relationship Id="rId854" Type="http://schemas.openxmlformats.org/officeDocument/2006/relationships/hyperlink" Target="https://www.instagram.com/p/DW6j0ZWAN_K/" TargetMode="External"/><Relationship Id="rId611" Type="http://schemas.openxmlformats.org/officeDocument/2006/relationships/hyperlink" Target="https://www.instagram.com/p/DWZYz97gLW_/" TargetMode="External"/><Relationship Id="rId853" Type="http://schemas.openxmlformats.org/officeDocument/2006/relationships/hyperlink" Target="https://www.facebook.com/418887747980692/posts/122216579648542386" TargetMode="External"/><Relationship Id="rId610" Type="http://schemas.openxmlformats.org/officeDocument/2006/relationships/hyperlink" Target="https://www.facebook.com/418887747980692/posts/122214697844542386" TargetMode="External"/><Relationship Id="rId852" Type="http://schemas.openxmlformats.org/officeDocument/2006/relationships/hyperlink" Target="https://scontent.xx.fbcdn.net/v/t15.5256-10/669789746_997175606304558_8900824414369364553_n.jpg?_nc_cat=111&amp;ccb=1-7&amp;_nc_ohc=Oq4fFveQw9AQ7kNvwGmaDTl&amp;_nc_oc=Ado0Qccr_3yWVcQEU2x8ZfZFnpK7yvT8NTF5Nulanb4vV89ree8iFo4UzG_7YIUKpPQ&amp;_nc_zt=23&amp;_nc_ht=scontent.xx&amp;edm=AAwGEdEEAAAA&amp;_nc_gid=iEndcDk33bF5gt7MdoYrfg&amp;_nc_tpa=Q5bMBQGThKt2ByO12953exkBTBplFw9fNZWe216zRyIHMkMYT-bnaZ5Eh66rFuk2xRXPgfLVhvEc9YM3&amp;stp=c0.5000x0.5000f_dst-emg0_p64x64_q75_tt6&amp;ur=5fad0e&amp;_nc_sid=58080a&amp;oh=00_Af5BtFsrMlms4_x9Qzg1NAYWlQ3w1vkMkyecwHj5nnWwPA&amp;oe=6A072E20" TargetMode="External"/><Relationship Id="rId617" Type="http://schemas.openxmlformats.org/officeDocument/2006/relationships/hyperlink" Target="https://www.instagram.com/p/DWZYzrbgAD3/" TargetMode="External"/><Relationship Id="rId859" Type="http://schemas.openxmlformats.org/officeDocument/2006/relationships/hyperlink" Target="https://www.facebook.com/418887747980692/posts/122216579648542386" TargetMode="External"/><Relationship Id="rId616" Type="http://schemas.openxmlformats.org/officeDocument/2006/relationships/hyperlink" Target="https://www.facebook.com/418887747980692/posts/122214697886542386" TargetMode="External"/><Relationship Id="rId858" Type="http://schemas.openxmlformats.org/officeDocument/2006/relationships/hyperlink" Target="https://scontent.xx.fbcdn.net/v/t15.5256-10/669789746_997175606304558_8900824414369364553_n.jpg?_nc_cat=111&amp;ccb=1-7&amp;_nc_ohc=Oq4fFveQw9AQ7kNvwGmaDTl&amp;_nc_oc=Ado0Qccr_3yWVcQEU2x8ZfZFnpK7yvT8NTF5Nulanb4vV89ree8iFo4UzG_7YIUKpPQ&amp;_nc_zt=23&amp;_nc_ht=scontent.xx&amp;edm=AAwGEdEEAAAA&amp;_nc_gid=iEndcDk33bF5gt7MdoYrfg&amp;_nc_tpa=Q5bMBQGThKt2ByO12953exkBTBplFw9fNZWe216zRyIHMkMYT-bnaZ5Eh66rFuk2xRXPgfLVhvEc9YM3&amp;stp=c0.5000x0.5000f_dst-emg0_p64x64_q75_tt6&amp;ur=5fad0e&amp;_nc_sid=58080a&amp;oh=00_Af5BtFsrMlms4_x9Qzg1NAYWlQ3w1vkMkyecwHj5nnWwPA&amp;oe=6A072E20" TargetMode="External"/><Relationship Id="rId615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G12WV-GJx3WbDmIVKhmPpp0gJhzzEnpAfx4SKI2kiW0PSk9XRHkNmi8URQ6qzOGajYfuiPrJMU&amp;stp=c0.5000x0.5000f_dst-emg0_p64x64_q75_tt6&amp;ur=b696e2&amp;_nc_sid=58080a&amp;oh=00_Af4oGLJQl0wUvtVs_q1Xp3r3DETLk3JRcC46ALi2opyLbw&amp;oe=6A070D3D" TargetMode="External"/><Relationship Id="rId857" Type="http://schemas.openxmlformats.org/officeDocument/2006/relationships/hyperlink" Target="https://www.instagram.com/p/DW6kInegPkV/" TargetMode="External"/><Relationship Id="rId614" Type="http://schemas.openxmlformats.org/officeDocument/2006/relationships/hyperlink" Target="https://www.instagram.com/p/DWZY1TdgPCi/" TargetMode="External"/><Relationship Id="rId856" Type="http://schemas.openxmlformats.org/officeDocument/2006/relationships/hyperlink" Target="https://www.facebook.com/418887747980692/posts/122216580968542386" TargetMode="External"/><Relationship Id="rId851" Type="http://schemas.openxmlformats.org/officeDocument/2006/relationships/hyperlink" Target="https://www.instagram.com/p/DW6kInegPkV/" TargetMode="External"/><Relationship Id="rId850" Type="http://schemas.openxmlformats.org/officeDocument/2006/relationships/hyperlink" Target="https://www.facebook.com/418887747980692/posts/122216580968542386" TargetMode="External"/><Relationship Id="rId409" Type="http://schemas.openxmlformats.org/officeDocument/2006/relationships/hyperlink" Target="https://www.facebook.com/418887747980692/posts/122215596452542386" TargetMode="External"/><Relationship Id="rId404" Type="http://schemas.openxmlformats.org/officeDocument/2006/relationships/hyperlink" Target="https://www.instagram.com/p/DWY9T1aAIeM/" TargetMode="External"/><Relationship Id="rId646" Type="http://schemas.openxmlformats.org/officeDocument/2006/relationships/hyperlink" Target="https://www.facebook.com/418887747980692/posts/122214710984542386" TargetMode="External"/><Relationship Id="rId403" Type="http://schemas.openxmlformats.org/officeDocument/2006/relationships/hyperlink" Target="https://www.facebook.com/418887747980692/posts/122214609122542386" TargetMode="External"/><Relationship Id="rId645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Hc7zYrnsLLNVBx2C0AZEmAaH0w2Ur83_ZoE2hKtqI5TzxJAolJsEOdzUVuG4_cjTo00RTAZEWP&amp;stp=c0.5000x0.5000f_dst-emg0_p64x64_q75_tt6&amp;ur=b696e2&amp;_nc_sid=58080a&amp;oh=00_Af5ucmkUhtszh7xNV4maUpTlWddM_n7GVHmU5lZA1-QtQA&amp;oe=6A0712D4" TargetMode="External"/><Relationship Id="rId402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0_2RpNhSrpC9fCA0TX_EYAGaXpvNcYXjBM8HrAyQbk9tAGEq59J6U-ch9Cv_uwQqoolgrQWAV&amp;stp=c0.5000x0.5000f_dst-emg0_p64x64_q75_tt6&amp;ur=5fad0e&amp;_nc_sid=58080a&amp;oh=00_Af6d15fYw4aRKG8X9-xtJMFbgZRBDHizX3CsMBUdNEdpeQ&amp;oe=6A07199E" TargetMode="External"/><Relationship Id="rId644" Type="http://schemas.openxmlformats.org/officeDocument/2006/relationships/hyperlink" Target="https://www.instagram.com/p/DWZZ0ihAOFD/" TargetMode="External"/><Relationship Id="rId401" Type="http://schemas.openxmlformats.org/officeDocument/2006/relationships/hyperlink" Target="https://www.instagram.com/p/DWY8z91gDAd/" TargetMode="External"/><Relationship Id="rId643" Type="http://schemas.openxmlformats.org/officeDocument/2006/relationships/hyperlink" Target="https://www.facebook.com/418887747980692/posts/122214710840542386" TargetMode="External"/><Relationship Id="rId408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GHLhJbXP0RomWOMRnXRythwxBFjIxjORh1KhPBZHuZSsE2CUWW5YdNny0OM7DSW8TLQg1eqsBY&amp;stp=c0.5000x0.5000f_dst-emg0_p64x64_q75_tt6&amp;ur=5fad0e&amp;_nc_sid=58080a&amp;oh=00_Af4U26EUgCtrx6kh7HrUCr_Po8WjhcgIGOQNT945otYiLg&amp;oe=6A07199E" TargetMode="External"/><Relationship Id="rId407" Type="http://schemas.openxmlformats.org/officeDocument/2006/relationships/hyperlink" Target="https://www.instagram.com/p/DWY8z91gDAd/" TargetMode="External"/><Relationship Id="rId649" Type="http://schemas.openxmlformats.org/officeDocument/2006/relationships/hyperlink" Target="https://www.facebook.com/418887747980692/posts/122214710996542386" TargetMode="External"/><Relationship Id="rId406" Type="http://schemas.openxmlformats.org/officeDocument/2006/relationships/hyperlink" Target="https://www.facebook.com/418887747980692/posts/122214605852542386" TargetMode="External"/><Relationship Id="rId648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EXhJ1LfbG6qn2QdayOoBzf7xDmePZimpA_Ta6GgU1JkSjCY5_rfMm6sFal6eh2zrr4EDFX9XUM&amp;stp=c0.5000x0.5000f_dst-emg0_p64x64_q75_tt6&amp;ur=b696e2&amp;_nc_sid=58080a&amp;oh=00_Af7ObzrlimoMaJLyLdtpcFQePF-XOYc9JeMJsQ9uyj8ZWQ&amp;oe=6A072CA5" TargetMode="External"/><Relationship Id="rId405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Fwqt5QCY4nLaytYqxav6aOGzOUUkn5LL3VfFGCagDXZ4EoO26NtjHxkNJu6CtQTZEnVCxLSg85&amp;stp=c0.5000x0.5000f_dst-emg0_p64x64_q75_tt6&amp;ur=5fad0e&amp;_nc_sid=58080a&amp;oh=00_Af5ruQI9qVK49aMoNEAJXqS_zD6lrs094Su9byUYxNIKUQ&amp;oe=6A0738D6" TargetMode="External"/><Relationship Id="rId647" Type="http://schemas.openxmlformats.org/officeDocument/2006/relationships/hyperlink" Target="https://www.instagram.com/p/DWZZpDrADWs/" TargetMode="External"/><Relationship Id="rId400" Type="http://schemas.openxmlformats.org/officeDocument/2006/relationships/hyperlink" Target="https://www.facebook.com/418887747980692/posts/122214605852542386" TargetMode="External"/><Relationship Id="rId642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EKfNNcG7ag470s4WlRfq9xgPPd4_FPwdi81t5crKguOiP59w_qJLovAwtZYXwcBwhvn_sxbTHS&amp;stp=c0.5000x0.5000f_dst-emg0_p64x64_q75_tt6&amp;ur=52f3c4&amp;_nc_sid=58080a&amp;oh=00_Af7tGGvC80MQgkUc6F9rXMk3fLb4ugettqPILl_Gdc3mCA&amp;oe=6A07362D" TargetMode="External"/><Relationship Id="rId641" Type="http://schemas.openxmlformats.org/officeDocument/2006/relationships/hyperlink" Target="https://www.instagram.com/p/DWZZnaPAO8R/" TargetMode="External"/><Relationship Id="rId640" Type="http://schemas.openxmlformats.org/officeDocument/2006/relationships/hyperlink" Target="https://www.facebook.com/418887747980692/posts/122214710498542386" TargetMode="External"/><Relationship Id="rId635" Type="http://schemas.openxmlformats.org/officeDocument/2006/relationships/hyperlink" Target="https://www.instagram.com/p/DWZZnxsgNhe/" TargetMode="External"/><Relationship Id="rId634" Type="http://schemas.openxmlformats.org/officeDocument/2006/relationships/hyperlink" Target="https://www.facebook.com/418887747980692/posts/122214710774542386" TargetMode="External"/><Relationship Id="rId633" Type="http://schemas.openxmlformats.org/officeDocument/2006/relationships/hyperlink" Target="https://scontent.xx.fbcdn.net/v/t15.5256-10/658853731_802169709587828_5986795790243700673_n.jpg?_nc_cat=100&amp;ccb=1-7&amp;_nc_ohc=T7PCM7ztDIgQ7kNvwEseHal&amp;_nc_oc=AdpQxob-YS578TwJR-6mzWkknkKq-GGHOScvpg6bzXBgqnxqBQ6K3xjhS5dlXuvihaY&amp;_nc_zt=23&amp;_nc_ht=scontent.xx&amp;edm=AAwGEdEEAAAA&amp;_nc_gid=iEndcDk33bF5gt7MdoYrfg&amp;_nc_tpa=Q5bMBQFoWtpICtwYNb6DXMjvYQSQr2f1UX93_R94RhaLYqOAcL0Zc5WRhkU6hiPSoPQ0WXjI48IUcSgO&amp;stp=c0.5000x0.5000f_dst-emg0_p64x64_q75_tt6&amp;ur=b696e2&amp;_nc_sid=58080a&amp;oh=00_Af7TtVReoZ08dL4M_BMCB8wJ7mwkj42-wm6XWJVHLPtNzg&amp;oe=6A073BA0" TargetMode="External"/><Relationship Id="rId632" Type="http://schemas.openxmlformats.org/officeDocument/2006/relationships/hyperlink" Target="https://www.instagram.com/p/DWZZnuAAEca/" TargetMode="External"/><Relationship Id="rId639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EUW-aNJdxMRdBm1wO83HZVkdWdb25UjGX0ohMqatKlYr7TJjcTsU0YMn6-xY540EFqgqi8xFjT&amp;stp=c0.5000x0.5000f_dst-emg0_p64x64_q75_tt6&amp;ur=b696e2&amp;_nc_sid=58080a&amp;oh=00_Af6NN5cEcUrqsTCBd-fGr4np22ZpqIzwZzZFnPthp6oRGA&amp;oe=6A072D6E" TargetMode="External"/><Relationship Id="rId638" Type="http://schemas.openxmlformats.org/officeDocument/2006/relationships/hyperlink" Target="https://www.instagram.com/p/DWZZpoXgGiG/" TargetMode="External"/><Relationship Id="rId637" Type="http://schemas.openxmlformats.org/officeDocument/2006/relationships/hyperlink" Target="https://www.facebook.com/418887747980692/posts/122214711128542386" TargetMode="External"/><Relationship Id="rId636" Type="http://schemas.openxmlformats.org/officeDocument/2006/relationships/hyperlink" Target="https://scontent.xx.fbcdn.net/v/t15.5256-10/658763956_1665072807822779_1618303331855262670_n.jpg?_nc_cat=111&amp;ccb=1-7&amp;_nc_ohc=MEScl63LU6YQ7kNvwGv1RA9&amp;_nc_oc=Ado01_ZgrSKAeLM3nzYxK9d_lIZmKjuNc6KbkfTF3USJu6UgPuI4eExewaL9BfRT2s8&amp;_nc_zt=23&amp;_nc_ht=scontent.xx&amp;edm=AAwGEdEEAAAA&amp;_nc_gid=iEndcDk33bF5gt7MdoYrfg&amp;_nc_tpa=Q5bMBQEhi8TXRCpB5VKGCVt_4X2ukXAGyiA-LoFMzdx_WvIwWoTW_JfENECoC9meUqAF-ymzfJZbAVX2&amp;stp=c0.5000x0.5000f_dst-emg0_p64x64_q75_tt6&amp;ur=b696e2&amp;_nc_sid=58080a&amp;oh=00_Af7zPAEtTqRNrekt10H9RqEx_TJcPTuYDjvfnIDE-wmXvw&amp;oe=6A073677" TargetMode="External"/><Relationship Id="rId631" Type="http://schemas.openxmlformats.org/officeDocument/2006/relationships/hyperlink" Target="https://www.facebook.com/418887747980692/posts/122214710876542386" TargetMode="External"/><Relationship Id="rId630" Type="http://schemas.openxmlformats.org/officeDocument/2006/relationships/hyperlink" Target="https://scontent.xx.fbcdn.net/v/t15.5256-10/659443458_1465016701928100_117270221006308301_n.jpg?_nc_cat=110&amp;ccb=1-7&amp;_nc_ohc=au6KzZIHVAEQ7kNvwH0aM3l&amp;_nc_oc=AdqPMYqiM0Ynifch3gm3m9o5Iz6P7t9evYgRR4zgI8bC1Zq269Z2LACHiiGzXFmoCFg&amp;_nc_zt=23&amp;_nc_ht=scontent.xx&amp;edm=AAwGEdEEAAAA&amp;_nc_gid=iEndcDk33bF5gt7MdoYrfg&amp;_nc_tpa=Q5bMBQGd6RVW2AdEdPV3mtocDw6PtjsRqT8TJPgdBIOj6FF990O3aMYsdFr8fzroYAkrjGwQBCdyU5Nj&amp;stp=c0.5000x0.5000f_dst-emg0_p64x64_q75_tt6&amp;ur=b696e2&amp;_nc_sid=58080a&amp;oh=00_Af79IkPKZ1wIVFexn10ThCFJ_Slkq0VApxWYQM163XIaYQ&amp;oe=6A074120" TargetMode="External"/><Relationship Id="rId829" Type="http://schemas.openxmlformats.org/officeDocument/2006/relationships/hyperlink" Target="https://www.facebook.com/418887747980692/posts/122216579648542386" TargetMode="External"/><Relationship Id="rId828" Type="http://schemas.openxmlformats.org/officeDocument/2006/relationships/hyperlink" Target="https://scontent.xx.fbcdn.net/v/t15.5256-10/669789746_997175606304558_8900824414369364553_n.jpg?_nc_cat=111&amp;ccb=1-7&amp;_nc_ohc=Oq4fFveQw9AQ7kNvwGmaDTl&amp;_nc_oc=Ado0Qccr_3yWVcQEU2x8ZfZFnpK7yvT8NTF5Nulanb4vV89ree8iFo4UzG_7YIUKpPQ&amp;_nc_zt=23&amp;_nc_ht=scontent.xx&amp;edm=AAwGEdEEAAAA&amp;_nc_gid=iEndcDk33bF5gt7MdoYrfg&amp;_nc_tpa=Q5bMBQGThKt2ByO12953exkBTBplFw9fNZWe216zRyIHMkMYT-bnaZ5Eh66rFuk2xRXPgfLVhvEc9YM3&amp;stp=c0.5000x0.5000f_dst-emg0_p64x64_q75_tt6&amp;ur=5fad0e&amp;_nc_sid=58080a&amp;oh=00_Af5BtFsrMlms4_x9Qzg1NAYWlQ3w1vkMkyecwHj5nnWwPA&amp;oe=6A072E20" TargetMode="External"/><Relationship Id="rId827" Type="http://schemas.openxmlformats.org/officeDocument/2006/relationships/hyperlink" Target="https://www.instagram.com/p/DW6kInegPkV/" TargetMode="External"/><Relationship Id="rId822" Type="http://schemas.openxmlformats.org/officeDocument/2006/relationships/hyperlink" Target="https://scontent.xx.fbcdn.net/v/t15.5256-10/668684979_2121389985454926_6771382376035068925_n.jpg?_nc_cat=104&amp;ccb=1-7&amp;_nc_ohc=Nsnd88IjSOsQ7kNvwF7zE0q&amp;_nc_oc=AdqdnrrZfwSQLBRzBR6mqwO6YOeQkSTxwliclIMhYM-l1yozHpkJ0XZsdVeRoG4fZqg&amp;_nc_zt=23&amp;_nc_ht=scontent.xx&amp;edm=AAwGEdEEAAAA&amp;_nc_gid=iEndcDk33bF5gt7MdoYrfg&amp;_nc_tpa=Q5bMBQEMobvcTv93FUmodBFJRMfbjqOkltL6zm72HoGMAPar1-0_wdlsg_-PZ7ambxA489i35qHcx6Lc&amp;stp=c0.5000x0.5000f_dst-emg0_p64x64_q75_tt6&amp;ur=5fad0e&amp;_nc_sid=58080a&amp;oh=00_Af4tpU_h905pCb5DQS9b5gTaMntPi8rBDHtLOAPkcIBrcw&amp;oe=6A072078" TargetMode="External"/><Relationship Id="rId821" Type="http://schemas.openxmlformats.org/officeDocument/2006/relationships/hyperlink" Target="https://www.instagram.com/p/DW6j0ZWAN_K/" TargetMode="External"/><Relationship Id="rId820" Type="http://schemas.openxmlformats.org/officeDocument/2006/relationships/hyperlink" Target="https://www.facebook.com/418887747980692/posts/122216579648542386" TargetMode="External"/><Relationship Id="rId826" Type="http://schemas.openxmlformats.org/officeDocument/2006/relationships/hyperlink" Target="https://www.facebook.com/418887747980692/posts/122216580968542386" TargetMode="External"/><Relationship Id="rId825" Type="http://schemas.openxmlformats.org/officeDocument/2006/relationships/hyperlink" Target="https://scontent.xx.fbcdn.net/v/t15.5256-10/669789746_997175606304558_8900824414369364553_n.jpg?_nc_cat=111&amp;ccb=1-7&amp;_nc_ohc=Oq4fFveQw9AQ7kNvwGmaDTl&amp;_nc_oc=Ado0Qccr_3yWVcQEU2x8ZfZFnpK7yvT8NTF5Nulanb4vV89ree8iFo4UzG_7YIUKpPQ&amp;_nc_zt=23&amp;_nc_ht=scontent.xx&amp;edm=AAwGEdEEAAAA&amp;_nc_gid=iEndcDk33bF5gt7MdoYrfg&amp;_nc_tpa=Q5bMBQGThKt2ByO12953exkBTBplFw9fNZWe216zRyIHMkMYT-bnaZ5Eh66rFuk2xRXPgfLVhvEc9YM3&amp;stp=c0.5000x0.5000f_dst-emg0_p64x64_q75_tt6&amp;ur=5fad0e&amp;_nc_sid=58080a&amp;oh=00_Af5BtFsrMlms4_x9Qzg1NAYWlQ3w1vkMkyecwHj5nnWwPA&amp;oe=6A072E20" TargetMode="External"/><Relationship Id="rId824" Type="http://schemas.openxmlformats.org/officeDocument/2006/relationships/hyperlink" Target="https://www.instagram.com/p/DW6kInegPkV/" TargetMode="External"/><Relationship Id="rId823" Type="http://schemas.openxmlformats.org/officeDocument/2006/relationships/hyperlink" Target="https://www.facebook.com/418887747980692/posts/122216580968542386" TargetMode="External"/><Relationship Id="rId819" Type="http://schemas.openxmlformats.org/officeDocument/2006/relationships/hyperlink" Target="https://scontent.xx.fbcdn.net/v/t15.5256-10/668079384_936738622474652_8707530169286926673_n.jpg?_nc_cat=105&amp;ccb=1-7&amp;_nc_ohc=CsCA30aF6JQQ7kNvwF_d6gC&amp;_nc_oc=Adq5UVdX_mzSiY98AEGH4CE2IMHu5l3TBSA9Tv5COXvZb3-nbdFpXUVIAyZzme4etQo&amp;_nc_zt=23&amp;_nc_ht=scontent.xx&amp;edm=AAwGEdEEAAAA&amp;_nc_gid=iEndcDk33bF5gt7MdoYrfg&amp;_nc_tpa=Q5bMBQELwqAYbyMUISrejWqpjTfGxpmyfBAsG0xQi9omdGmhqhnlCvb-5DJX8K9CDv9Qpt9IYOKwFjvR&amp;stp=c0.5000x0.5000f_dst-emg0_p64x64_q75_tt6&amp;ur=5fad0e&amp;_nc_sid=58080a&amp;oh=00_Af4ZlQmzLzStWeZ73I-6_89EVyp_Ne5qUeeDwYXTUOgYBQ&amp;oe=6A071CE2" TargetMode="External"/><Relationship Id="rId818" Type="http://schemas.openxmlformats.org/officeDocument/2006/relationships/hyperlink" Target="https://www.instagram.com/p/DW6UX84gGkw/" TargetMode="External"/><Relationship Id="rId817" Type="http://schemas.openxmlformats.org/officeDocument/2006/relationships/hyperlink" Target="https://www.facebook.com/418887747980692/posts/122216561186542386" TargetMode="External"/><Relationship Id="rId816" Type="http://schemas.openxmlformats.org/officeDocument/2006/relationships/hyperlink" Target="https://scontent.xx.fbcdn.net/v/t15.5256-10/668079384_936738622474652_8707530169286926673_n.jpg?_nc_cat=105&amp;ccb=1-7&amp;_nc_ohc=CsCA30aF6JQQ7kNvwF_d6gC&amp;_nc_oc=Adq5UVdX_mzSiY98AEGH4CE2IMHu5l3TBSA9Tv5COXvZb3-nbdFpXUVIAyZzme4etQo&amp;_nc_zt=23&amp;_nc_ht=scontent.xx&amp;edm=AAwGEdEEAAAA&amp;_nc_gid=iEndcDk33bF5gt7MdoYrfg&amp;_nc_tpa=Q5bMBQELwqAYbyMUISrejWqpjTfGxpmyfBAsG0xQi9omdGmhqhnlCvb-5DJX8K9CDv9Qpt9IYOKwFjvR&amp;stp=c0.5000x0.5000f_dst-emg0_p64x64_q75_tt6&amp;ur=5fad0e&amp;_nc_sid=58080a&amp;oh=00_Af4ZlQmzLzStWeZ73I-6_89EVyp_Ne5qUeeDwYXTUOgYBQ&amp;oe=6A071CE2" TargetMode="External"/><Relationship Id="rId811" Type="http://schemas.openxmlformats.org/officeDocument/2006/relationships/hyperlink" Target="https://www.facebook.com/418887747980692/posts/122216561186542386" TargetMode="External"/><Relationship Id="rId810" Type="http://schemas.openxmlformats.org/officeDocument/2006/relationships/hyperlink" Target="https://scontent.xx.fbcdn.net/v/t15.5256-10/668079384_936738622474652_8707530169286926673_n.jpg?_nc_cat=105&amp;ccb=1-7&amp;_nc_ohc=CsCA30aF6JQQ7kNvwF_d6gC&amp;_nc_oc=Adq5UVdX_mzSiY98AEGH4CE2IMHu5l3TBSA9Tv5COXvZb3-nbdFpXUVIAyZzme4etQo&amp;_nc_zt=23&amp;_nc_ht=scontent.xx&amp;edm=AAwGEdEEAAAA&amp;_nc_gid=iEndcDk33bF5gt7MdoYrfg&amp;_nc_tpa=Q5bMBQELwqAYbyMUISrejWqpjTfGxpmyfBAsG0xQi9omdGmhqhnlCvb-5DJX8K9CDv9Qpt9IYOKwFjvR&amp;stp=c0.5000x0.5000f_dst-emg0_p64x64_q75_tt6&amp;ur=5fad0e&amp;_nc_sid=58080a&amp;oh=00_Af4ZlQmzLzStWeZ73I-6_89EVyp_Ne5qUeeDwYXTUOgYBQ&amp;oe=6A071CE2" TargetMode="External"/><Relationship Id="rId815" Type="http://schemas.openxmlformats.org/officeDocument/2006/relationships/hyperlink" Target="https://www.instagram.com/p/DW6UX84gGkw/" TargetMode="External"/><Relationship Id="rId814" Type="http://schemas.openxmlformats.org/officeDocument/2006/relationships/hyperlink" Target="https://www.facebook.com/418887747980692/posts/122216561186542386" TargetMode="External"/><Relationship Id="rId813" Type="http://schemas.openxmlformats.org/officeDocument/2006/relationships/hyperlink" Target="https://scontent.xx.fbcdn.net/v/t15.5256-10/668079384_936738622474652_8707530169286926673_n.jpg?_nc_cat=105&amp;ccb=1-7&amp;_nc_ohc=CsCA30aF6JQQ7kNvwF_d6gC&amp;_nc_oc=Adq5UVdX_mzSiY98AEGH4CE2IMHu5l3TBSA9Tv5COXvZb3-nbdFpXUVIAyZzme4etQo&amp;_nc_zt=23&amp;_nc_ht=scontent.xx&amp;edm=AAwGEdEEAAAA&amp;_nc_gid=iEndcDk33bF5gt7MdoYrfg&amp;_nc_tpa=Q5bMBQELwqAYbyMUISrejWqpjTfGxpmyfBAsG0xQi9omdGmhqhnlCvb-5DJX8K9CDv9Qpt9IYOKwFjvR&amp;stp=c0.5000x0.5000f_dst-emg0_p64x64_q75_tt6&amp;ur=5fad0e&amp;_nc_sid=58080a&amp;oh=00_Af4ZlQmzLzStWeZ73I-6_89EVyp_Ne5qUeeDwYXTUOgYBQ&amp;oe=6A071CE2" TargetMode="External"/><Relationship Id="rId812" Type="http://schemas.openxmlformats.org/officeDocument/2006/relationships/hyperlink" Target="https://www.instagram.com/p/DW6UX84gGkw/" TargetMode="External"/><Relationship Id="rId609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Hdw8uKnE6xMzN1i5Qeh7Gpx7gM9QJW0CBeVIQOeURpFhuIj2p9YCJdmfeSXM6a2H_1DRdVcYLP&amp;stp=c0.5000x0.5000f_dst-emg0_p64x64_q75_tt6&amp;ur=52f3c4&amp;_nc_sid=58080a&amp;oh=00_Af7HX5jD8Y22qW2flbmwbSIt3Av69j-rL3X4i3GSD24otA&amp;oe=6A073D71" TargetMode="External"/><Relationship Id="rId608" Type="http://schemas.openxmlformats.org/officeDocument/2006/relationships/hyperlink" Target="https://www.instagram.com/p/DWZYzixAGmZ/" TargetMode="External"/><Relationship Id="rId607" Type="http://schemas.openxmlformats.org/officeDocument/2006/relationships/hyperlink" Target="https://www.facebook.com/418887747980692/posts/122214697502542386" TargetMode="External"/><Relationship Id="rId849" Type="http://schemas.openxmlformats.org/officeDocument/2006/relationships/hyperlink" Target="https://scontent.xx.fbcdn.net/v/t15.5256-10/669789746_997175606304558_8900824414369364553_n.jpg?_nc_cat=111&amp;ccb=1-7&amp;_nc_ohc=Oq4fFveQw9AQ7kNvwGmaDTl&amp;_nc_oc=Ado0Qccr_3yWVcQEU2x8ZfZFnpK7yvT8NTF5Nulanb4vV89ree8iFo4UzG_7YIUKpPQ&amp;_nc_zt=23&amp;_nc_ht=scontent.xx&amp;edm=AAwGEdEEAAAA&amp;_nc_gid=iEndcDk33bF5gt7MdoYrfg&amp;_nc_tpa=Q5bMBQGThKt2ByO12953exkBTBplFw9fNZWe216zRyIHMkMYT-bnaZ5Eh66rFuk2xRXPgfLVhvEc9YM3&amp;stp=c0.5000x0.5000f_dst-emg0_p64x64_q75_tt6&amp;ur=5fad0e&amp;_nc_sid=58080a&amp;oh=00_Af5BtFsrMlms4_x9Qzg1NAYWlQ3w1vkMkyecwHj5nnWwPA&amp;oe=6A072E20" TargetMode="External"/><Relationship Id="rId602" Type="http://schemas.openxmlformats.org/officeDocument/2006/relationships/hyperlink" Target="https://www.instagram.com/p/DWZYz7tgKaJ/" TargetMode="External"/><Relationship Id="rId844" Type="http://schemas.openxmlformats.org/officeDocument/2006/relationships/hyperlink" Target="https://www.facebook.com/418887747980692/posts/122216579648542386" TargetMode="External"/><Relationship Id="rId601" Type="http://schemas.openxmlformats.org/officeDocument/2006/relationships/hyperlink" Target="https://www.facebook.com/418887747980692/posts/122214698072542386" TargetMode="External"/><Relationship Id="rId843" Type="http://schemas.openxmlformats.org/officeDocument/2006/relationships/hyperlink" Target="https://scontent.xx.fbcdn.net/v/t15.5256-10/669789746_997175606304558_8900824414369364553_n.jpg?_nc_cat=111&amp;ccb=1-7&amp;_nc_ohc=Oq4fFveQw9AQ7kNvwGmaDTl&amp;_nc_oc=Ado0Qccr_3yWVcQEU2x8ZfZFnpK7yvT8NTF5Nulanb4vV89ree8iFo4UzG_7YIUKpPQ&amp;_nc_zt=23&amp;_nc_ht=scontent.xx&amp;edm=AAwGEdEEAAAA&amp;_nc_gid=iEndcDk33bF5gt7MdoYrfg&amp;_nc_tpa=Q5bMBQGThKt2ByO12953exkBTBplFw9fNZWe216zRyIHMkMYT-bnaZ5Eh66rFuk2xRXPgfLVhvEc9YM3&amp;stp=c0.5000x0.5000f_dst-emg0_p64x64_q75_tt6&amp;ur=5fad0e&amp;_nc_sid=58080a&amp;oh=00_Af5BtFsrMlms4_x9Qzg1NAYWlQ3w1vkMkyecwHj5nnWwPA&amp;oe=6A072E20" TargetMode="External"/><Relationship Id="rId600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EYN5SuQ7TkOwXC_IjIaWtpEITNVjf5jqbNL2r16bD21sj-nK9f6-6OSOoYH0c0HaIBOlLyG92v&amp;stp=c0.5000x0.5000f_dst-emg0_p64x64_q75_tt6&amp;ur=b696e2&amp;_nc_sid=58080a&amp;oh=00_Af5coXxrWqiHOO55m3vmm7O4YPZnefwm0iVSAFcSifqPEQ&amp;oe=6A070D3D" TargetMode="External"/><Relationship Id="rId842" Type="http://schemas.openxmlformats.org/officeDocument/2006/relationships/hyperlink" Target="https://www.instagram.com/p/DW6kInegPkV/" TargetMode="External"/><Relationship Id="rId841" Type="http://schemas.openxmlformats.org/officeDocument/2006/relationships/hyperlink" Target="https://www.facebook.com/418887747980692/posts/122216580968542386" TargetMode="External"/><Relationship Id="rId606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E4SZHzdMPC1YkqzSV_i3vvbHqCisRT11F5MScb5NLq1qdJLJTD0OZENLfgmdTCcsxPT0P_ZXcv&amp;stp=c0.5000x0.5000f_dst-emg0_p64x64_q75_tt6&amp;ur=b696e2&amp;_nc_sid=58080a&amp;oh=00_Af6vpbCnl1q45ioYy_5V_IyvOSOWo_7JzfrI-KITn18fvQ&amp;oe=6A072BAC" TargetMode="External"/><Relationship Id="rId848" Type="http://schemas.openxmlformats.org/officeDocument/2006/relationships/hyperlink" Target="https://www.instagram.com/p/DW6kInegPkV/" TargetMode="External"/><Relationship Id="rId605" Type="http://schemas.openxmlformats.org/officeDocument/2006/relationships/hyperlink" Target="https://www.instagram.com/p/DWZY05CAK2B/" TargetMode="External"/><Relationship Id="rId847" Type="http://schemas.openxmlformats.org/officeDocument/2006/relationships/hyperlink" Target="https://www.facebook.com/418887747980692/posts/122216580968542386" TargetMode="External"/><Relationship Id="rId604" Type="http://schemas.openxmlformats.org/officeDocument/2006/relationships/hyperlink" Target="https://www.facebook.com/418887747980692/posts/122214698018542386" TargetMode="External"/><Relationship Id="rId846" Type="http://schemas.openxmlformats.org/officeDocument/2006/relationships/hyperlink" Target="https://scontent.xx.fbcdn.net/v/t15.5256-10/668684979_2121389985454926_6771382376035068925_n.jpg?_nc_cat=104&amp;ccb=1-7&amp;_nc_ohc=Nsnd88IjSOsQ7kNvwF7zE0q&amp;_nc_oc=AdqdnrrZfwSQLBRzBR6mqwO6YOeQkSTxwliclIMhYM-l1yozHpkJ0XZsdVeRoG4fZqg&amp;_nc_zt=23&amp;_nc_ht=scontent.xx&amp;edm=AAwGEdEEAAAA&amp;_nc_gid=iEndcDk33bF5gt7MdoYrfg&amp;_nc_tpa=Q5bMBQEMobvcTv93FUmodBFJRMfbjqOkltL6zm72HoGMAPar1-0_wdlsg_-PZ7ambxA489i35qHcx6Lc&amp;stp=c0.5000x0.5000f_dst-emg0_p64x64_q75_tt6&amp;ur=5fad0e&amp;_nc_sid=58080a&amp;oh=00_Af4tpU_h905pCb5DQS9b5gTaMntPi8rBDHtLOAPkcIBrcw&amp;oe=6A072078" TargetMode="External"/><Relationship Id="rId603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GYq6lxxsg1ablCxP9ywhtLxFYFrfx84rLcQlqvdlSBQbv5DJrc3qEbpGk-_yLMmxQj-KSYLcDv&amp;stp=c0.5000x0.5000f_dst-emg0_p64x64_q75_tt6&amp;ur=b696e2&amp;_nc_sid=58080a&amp;oh=00_Af5gkgLdYsO0BJkLAOavxCAR9YIC6jqdHknIaU046_GPzg&amp;oe=6A073222" TargetMode="External"/><Relationship Id="rId845" Type="http://schemas.openxmlformats.org/officeDocument/2006/relationships/hyperlink" Target="https://www.instagram.com/p/DW6j0ZWAN_K/" TargetMode="External"/><Relationship Id="rId840" Type="http://schemas.openxmlformats.org/officeDocument/2006/relationships/hyperlink" Target="https://scontent.xx.fbcdn.net/v/t15.5256-10/669789746_997175606304558_8900824414369364553_n.jpg?_nc_cat=111&amp;ccb=1-7&amp;_nc_ohc=Oq4fFveQw9AQ7kNvwGmaDTl&amp;_nc_oc=Ado0Qccr_3yWVcQEU2x8ZfZFnpK7yvT8NTF5Nulanb4vV89ree8iFo4UzG_7YIUKpPQ&amp;_nc_zt=23&amp;_nc_ht=scontent.xx&amp;edm=AAwGEdEEAAAA&amp;_nc_gid=iEndcDk33bF5gt7MdoYrfg&amp;_nc_tpa=Q5bMBQGThKt2ByO12953exkBTBplFw9fNZWe216zRyIHMkMYT-bnaZ5Eh66rFuk2xRXPgfLVhvEc9YM3&amp;stp=c0.5000x0.5000f_dst-emg0_p64x64_q75_tt6&amp;ur=5fad0e&amp;_nc_sid=58080a&amp;oh=00_Af5BtFsrMlms4_x9Qzg1NAYWlQ3w1vkMkyecwHj5nnWwPA&amp;oe=6A072E20" TargetMode="External"/><Relationship Id="rId839" Type="http://schemas.openxmlformats.org/officeDocument/2006/relationships/hyperlink" Target="https://www.instagram.com/p/DW6kInegPkV/" TargetMode="External"/><Relationship Id="rId838" Type="http://schemas.openxmlformats.org/officeDocument/2006/relationships/hyperlink" Target="https://www.facebook.com/418887747980692/posts/122216580968542386" TargetMode="External"/><Relationship Id="rId833" Type="http://schemas.openxmlformats.org/officeDocument/2006/relationships/hyperlink" Target="https://www.instagram.com/p/DW6j0ZWAN_K/" TargetMode="External"/><Relationship Id="rId832" Type="http://schemas.openxmlformats.org/officeDocument/2006/relationships/hyperlink" Target="https://www.facebook.com/418887747980692/posts/122216579648542386" TargetMode="External"/><Relationship Id="rId831" Type="http://schemas.openxmlformats.org/officeDocument/2006/relationships/hyperlink" Target="https://scontent.xx.fbcdn.net/v/t15.5256-10/668684979_2121389985454926_6771382376035068925_n.jpg?_nc_cat=104&amp;ccb=1-7&amp;_nc_ohc=Nsnd88IjSOsQ7kNvwF7zE0q&amp;_nc_oc=AdqdnrrZfwSQLBRzBR6mqwO6YOeQkSTxwliclIMhYM-l1yozHpkJ0XZsdVeRoG4fZqg&amp;_nc_zt=23&amp;_nc_ht=scontent.xx&amp;edm=AAwGEdEEAAAA&amp;_nc_gid=iEndcDk33bF5gt7MdoYrfg&amp;_nc_tpa=Q5bMBQEMobvcTv93FUmodBFJRMfbjqOkltL6zm72HoGMAPar1-0_wdlsg_-PZ7ambxA489i35qHcx6Lc&amp;stp=c0.5000x0.5000f_dst-emg0_p64x64_q75_tt6&amp;ur=5fad0e&amp;_nc_sid=58080a&amp;oh=00_Af4tpU_h905pCb5DQS9b5gTaMntPi8rBDHtLOAPkcIBrcw&amp;oe=6A072078" TargetMode="External"/><Relationship Id="rId830" Type="http://schemas.openxmlformats.org/officeDocument/2006/relationships/hyperlink" Target="https://www.instagram.com/p/DW6j0ZWAN_K/" TargetMode="External"/><Relationship Id="rId837" Type="http://schemas.openxmlformats.org/officeDocument/2006/relationships/hyperlink" Target="https://scontent.xx.fbcdn.net/v/t15.5256-10/668684979_2121389985454926_6771382376035068925_n.jpg?_nc_cat=104&amp;ccb=1-7&amp;_nc_ohc=Nsnd88IjSOsQ7kNvwF7zE0q&amp;_nc_oc=AdqdnrrZfwSQLBRzBR6mqwO6YOeQkSTxwliclIMhYM-l1yozHpkJ0XZsdVeRoG4fZqg&amp;_nc_zt=23&amp;_nc_ht=scontent.xx&amp;edm=AAwGEdEEAAAA&amp;_nc_gid=iEndcDk33bF5gt7MdoYrfg&amp;_nc_tpa=Q5bMBQEMobvcTv93FUmodBFJRMfbjqOkltL6zm72HoGMAPar1-0_wdlsg_-PZ7ambxA489i35qHcx6Lc&amp;stp=c0.5000x0.5000f_dst-emg0_p64x64_q75_tt6&amp;ur=5fad0e&amp;_nc_sid=58080a&amp;oh=00_Af4tpU_h905pCb5DQS9b5gTaMntPi8rBDHtLOAPkcIBrcw&amp;oe=6A072078" TargetMode="External"/><Relationship Id="rId836" Type="http://schemas.openxmlformats.org/officeDocument/2006/relationships/hyperlink" Target="https://www.instagram.com/p/DW6j0ZWAN_K/" TargetMode="External"/><Relationship Id="rId835" Type="http://schemas.openxmlformats.org/officeDocument/2006/relationships/hyperlink" Target="https://www.facebook.com/418887747980692/posts/122216579648542386" TargetMode="External"/><Relationship Id="rId834" Type="http://schemas.openxmlformats.org/officeDocument/2006/relationships/hyperlink" Target="https://scontent.xx.fbcdn.net/v/t15.5256-10/668684979_2121389985454926_6771382376035068925_n.jpg?_nc_cat=104&amp;ccb=1-7&amp;_nc_ohc=Nsnd88IjSOsQ7kNvwF7zE0q&amp;_nc_oc=AdqdnrrZfwSQLBRzBR6mqwO6YOeQkSTxwliclIMhYM-l1yozHpkJ0XZsdVeRoG4fZqg&amp;_nc_zt=23&amp;_nc_ht=scontent.xx&amp;edm=AAwGEdEEAAAA&amp;_nc_gid=iEndcDk33bF5gt7MdoYrfg&amp;_nc_tpa=Q5bMBQEMobvcTv93FUmodBFJRMfbjqOkltL6zm72HoGMAPar1-0_wdlsg_-PZ7ambxA489i35qHcx6Lc&amp;stp=c0.5000x0.5000f_dst-emg0_p64x64_q75_tt6&amp;ur=5fad0e&amp;_nc_sid=58080a&amp;oh=00_Af4tpU_h905pCb5DQS9b5gTaMntPi8rBDHtLOAPkcIBrcw&amp;oe=6A072078" TargetMode="External"/><Relationship Id="rId228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HJqsG94mDfc2UFJ7KvzvUp_Fn9uGiU-JoQI35RfLvwh2RB8ZbvxAVHYRw7_JFr0EqVH7-4Gzkj&amp;stp=c0.5000x0.5000f_dst-emg0_p64x64_q75_tt6&amp;ur=b696e2&amp;_nc_sid=58080a&amp;oh=00_Af6bKLetwkv4w20TXOFjDR36El7LSJvjf-aozJUOTirq5A&amp;oe=6A07199E" TargetMode="External"/><Relationship Id="rId227" Type="http://schemas.openxmlformats.org/officeDocument/2006/relationships/hyperlink" Target="https://www.instagram.com/p/DWZTiw_ADPp/" TargetMode="External"/><Relationship Id="rId469" Type="http://schemas.openxmlformats.org/officeDocument/2006/relationships/hyperlink" Target="https://www.facebook.com/418887747980692/posts/122214656516542386" TargetMode="External"/><Relationship Id="rId226" Type="http://schemas.openxmlformats.org/officeDocument/2006/relationships/hyperlink" Target="https://www.facebook.com/418887747980692/posts/122214576476542386" TargetMode="External"/><Relationship Id="rId468" Type="http://schemas.openxmlformats.org/officeDocument/2006/relationships/hyperlink" Target="https://scontent.xx.fbcdn.net/v/t15.5256-10/659025191_3101773296690406_3562004591596694288_n.jpg?_nc_cat=109&amp;ccb=1-7&amp;_nc_ohc=Ntj-bG9e53cQ7kNvwH4VrrW&amp;_nc_oc=AdqWOJO3fllZzj0dF6d-rkI9a9JThAtYKDiTD-4X4_d1ioSuEyT66FgS-3lfdOefX1E&amp;_nc_zt=23&amp;_nc_ht=scontent.xx&amp;edm=AAwGEdEEAAAA&amp;_nc_gid=iEndcDk33bF5gt7MdoYrfg&amp;_nc_tpa=Q5bMBQEyg7hdoAW3zMRoE5TGTDk1iYX6InrVOSi7m2_tQXjdvoDGMJexP6m6BA7-jgYqUrlStrzKIw4_&amp;stp=c0.5000x0.5000f_dst-emg0_p64x64_q75_tt6&amp;ur=b696e2&amp;_nc_sid=58080a&amp;oh=00_Af6dO37X9069Zn1KUvP7Mgz8Cwg4-Ci8AFLRLexHLBvo0g&amp;oe=6A073FED" TargetMode="External"/><Relationship Id="rId225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lfuvvVW0OOy_MuVyckFVF0epU5JkE7SiRLTVImYtLPEKMll9fIDzicOGXIo_0-9KprGPec59c&amp;stp=c0.5000x0.5000f_dst-emg0_p64x64_q75_tt6&amp;ur=b696e2&amp;_nc_sid=58080a&amp;oh=00_Af7pq1hNv7xJuf6LKYPLsMN3Gld0Bx-mtUAXxDuF7I37vg&amp;oe=6A072CA5" TargetMode="External"/><Relationship Id="rId467" Type="http://schemas.openxmlformats.org/officeDocument/2006/relationships/hyperlink" Target="https://www.instagram.com/p/DWZVqfKgN4E/" TargetMode="External"/><Relationship Id="rId229" Type="http://schemas.openxmlformats.org/officeDocument/2006/relationships/hyperlink" Target="https://www.facebook.com/418887747980692/posts/122214586136542386" TargetMode="External"/><Relationship Id="rId220" Type="http://schemas.openxmlformats.org/officeDocument/2006/relationships/hyperlink" Target="https://www.facebook.com/418887747980692/posts/122214581852542386" TargetMode="External"/><Relationship Id="rId462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ErGRBmar9iRk2qQc6hv7CQhi5T1K6IaiFaVRpJwOSVs9NosMCGC2Jj4-sk2Bi9JeWKQQP8Dzi&amp;stp=c0.5000x0.5000f_dst-emg0_p64x64_q75_tt6&amp;ur=b696e2&amp;_nc_sid=58080a&amp;oh=00_Af4EBbX3E2x8LiUYD1xEynE43v0kJCEKHJTBXZm7L8y64g&amp;oe=6A073222" TargetMode="External"/><Relationship Id="rId461" Type="http://schemas.openxmlformats.org/officeDocument/2006/relationships/hyperlink" Target="https://www.instagram.com/p/DWZVmY2AKl_/" TargetMode="External"/><Relationship Id="rId460" Type="http://schemas.openxmlformats.org/officeDocument/2006/relationships/hyperlink" Target="https://www.facebook.com/418887747980692/posts/122214656336542386" TargetMode="External"/><Relationship Id="rId224" Type="http://schemas.openxmlformats.org/officeDocument/2006/relationships/hyperlink" Target="https://www.instagram.com/p/DWZTjAgAGOL/" TargetMode="External"/><Relationship Id="rId466" Type="http://schemas.openxmlformats.org/officeDocument/2006/relationships/hyperlink" Target="https://www.facebook.com/418887747980692/posts/122214656300542386" TargetMode="External"/><Relationship Id="rId223" Type="http://schemas.openxmlformats.org/officeDocument/2006/relationships/hyperlink" Target="https://www.facebook.com/418887747980692/posts/122214579746542386" TargetMode="External"/><Relationship Id="rId465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G5w2HPEY71fQL6kOrsBcdgo-rhfmMYrJ_DNSuzk1q8ppzWz1qzgdjFA6J-PX0v8eRCZDgQrhvv&amp;stp=c0.5000x0.5000f_dst-emg0_p64x64_q75_tt6&amp;ur=b696e2&amp;_nc_sid=58080a&amp;oh=00_Af6gYEyvyxf3AyB_x4PtQisziAvQkTHZt5yIpcx-s0dDOA&amp;oe=6A07186A" TargetMode="External"/><Relationship Id="rId222" Type="http://schemas.openxmlformats.org/officeDocument/2006/relationships/hyperlink" Target="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4UF38ubsmCT_khYrLTVIppGFHRT0dBTDFbJ3eAxhh_e0V4_YaFXAbP5Y_dsCt3rKLE7MT7TFP&amp;stp=c0.5000x0.5000f_dst-emg0_p64x64_q75_tt6&amp;ur=b696e2&amp;_nc_sid=58080a&amp;oh=00_Af4Ygf60RNwsve5pTOTSBx-rM2I1P45G8suHP8u5a8L2cA&amp;oe=6A072D09" TargetMode="External"/><Relationship Id="rId464" Type="http://schemas.openxmlformats.org/officeDocument/2006/relationships/hyperlink" Target="https://www.instagram.com/p/DWZVqQVADuf/" TargetMode="External"/><Relationship Id="rId221" Type="http://schemas.openxmlformats.org/officeDocument/2006/relationships/hyperlink" Target="https://www.instagram.com/p/DWZTjRsADVg/" TargetMode="External"/><Relationship Id="rId463" Type="http://schemas.openxmlformats.org/officeDocument/2006/relationships/hyperlink" Target="https://www.facebook.com/418887747980692/posts/122214656768542386" TargetMode="External"/><Relationship Id="rId217" Type="http://schemas.openxmlformats.org/officeDocument/2006/relationships/hyperlink" Target="https://www.facebook.com/418887747980692/posts/122214586136542386" TargetMode="External"/><Relationship Id="rId459" Type="http://schemas.openxmlformats.org/officeDocument/2006/relationships/hyperlink" Target="https://scontent.xx.fbcdn.net/v/t15.5256-10/660096093_1479960643565032_1947641573874748707_n.jpg?_nc_cat=106&amp;ccb=1-7&amp;_nc_ohc=zLPmXguhBaAQ7kNvwEc4GUe&amp;_nc_oc=AdpIw_n2s5yvv8v2AXk1nUqUr_JySByp8KjnPuoYi_fanlKPQgXJcsr4C9gJ2Fr-OmY&amp;_nc_zt=23&amp;_nc_ht=scontent.xx&amp;edm=AAwGEdEEAAAA&amp;_nc_gid=iEndcDk33bF5gt7MdoYrfg&amp;_nc_tpa=Q5bMBQHmcMKyojx_l1w9r0KW5KVjsTnZr6xFJKSJFPJddWvJQ17jyuAmDZ-1lOWux59wvjDdelsvOVLA&amp;stp=c0.5000x0.5000f_dst-emg0_p64x64_q75_tt6&amp;ur=b696e2&amp;_nc_sid=58080a&amp;oh=00_Af40DW_CyPcmQ2pQTdkUi43qeLv63tUsHtViJayhf7DLjw&amp;oe=6A072BAC" TargetMode="External"/><Relationship Id="rId216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EpMejtKO18_DFTNhKvVGeqXhtTAQJ4UXSgqvIPQxzBb06H_juib4AoIXCVeGwKepRrMOM1FHSw&amp;stp=c0.5000x0.5000f_dst-emg0_p64x64_q75_tt6&amp;ur=b696e2&amp;_nc_sid=58080a&amp;oh=00_Af51Idxgg0hdNNCFcbIhHWROFAZP0lzG6SBYFIZ0hUzUSg&amp;oe=6A0729E5" TargetMode="External"/><Relationship Id="rId458" Type="http://schemas.openxmlformats.org/officeDocument/2006/relationships/hyperlink" Target="https://www.instagram.com/p/DWZVl73ALlH/" TargetMode="External"/><Relationship Id="rId215" Type="http://schemas.openxmlformats.org/officeDocument/2006/relationships/hyperlink" Target="https://www.instagram.com/p/DWZTi6WAEOv/" TargetMode="External"/><Relationship Id="rId457" Type="http://schemas.openxmlformats.org/officeDocument/2006/relationships/hyperlink" Target="https://www.facebook.com/418887747980692/posts/122214656396542386" TargetMode="External"/><Relationship Id="rId699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KAzSyOHNSjFgTVkCRAwo6Izdk1RVHSMXWHEE_D5wzFusdTnDWuCrxeFx0KUsSBFmo3qk1aFyQ&amp;stp=c0.5000x0.5000f_dst-emg0_p64x64_q75_tt6&amp;ur=5fad0e&amp;_nc_sid=58080a&amp;oh=00_Af7yG3jtZrjSo-w_EExK6V0hPZrVvLxuFh-9-vzg3xXkVg&amp;oe=6A072B9E" TargetMode="External"/><Relationship Id="rId214" Type="http://schemas.openxmlformats.org/officeDocument/2006/relationships/hyperlink" Target="https://www.facebook.com/418887747980692/posts/122214584036542386" TargetMode="External"/><Relationship Id="rId456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HLZHxEcwUKZXwY_gzq7sjg0Qyxf0H9Vw3hBuum_khgkzxEY-p5sg4xLIBS81VNLI2wL1sATCBS&amp;stp=c0.5000x0.5000f_dst-emg0_p64x64_q75_tt6&amp;ur=52f3c4&amp;_nc_sid=58080a&amp;oh=00_Af5YMEhxjXFjV6bC7UW3p2H_yObGZ9QTuzgyFpCBJE12pA&amp;oe=6A073D71" TargetMode="External"/><Relationship Id="rId698" Type="http://schemas.openxmlformats.org/officeDocument/2006/relationships/hyperlink" Target="https://www.instagram.com/p/DWg999pAGc3/" TargetMode="External"/><Relationship Id="rId219" Type="http://schemas.openxmlformats.org/officeDocument/2006/relationships/hyperlink" Target="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HTqjH0Bnw7JHjAamHBRanXd923OAAEoAqjxFg5dDd5v6AmIvS9LN0myqn3OyZ11hxVwClrbHmA&amp;stp=c0.5000x0.5000f_dst-emg0_p64x64_q75_tt6&amp;ur=b696e2&amp;_nc_sid=58080a&amp;oh=00_Af47jkMoXMz7ka59ECvYzLb9QsggfKjYz7gx0PjdldezrQ&amp;oe=6A072CB3" TargetMode="External"/><Relationship Id="rId218" Type="http://schemas.openxmlformats.org/officeDocument/2006/relationships/hyperlink" Target="https://www.instagram.com/p/DWZTivLgFwR/" TargetMode="External"/><Relationship Id="rId451" Type="http://schemas.openxmlformats.org/officeDocument/2006/relationships/hyperlink" Target="https://www.facebook.com/418887747980692/posts/122214656186542386" TargetMode="External"/><Relationship Id="rId693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Hv4n8mXKbj2HU6gpcTH3w9AOMOzb8AXVCt8fkTG5wpAn4LCEVGGXCur_cDnSGF6rH6WXvCD0XE&amp;stp=c0.5000x0.5000f_dst-emg0_p64x64_q75_tt6&amp;ur=5fad0e&amp;_nc_sid=58080a&amp;oh=00_Af6wdM8dy0dUNgFwbSYPlDUKVUofYNSNM5AXwiAINaUsKw&amp;oe=6A07199E" TargetMode="External"/><Relationship Id="rId450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F5_w3p6ZbLX9LhuxZ9yb1xg_zW08qr8kneIAqZ95C-D1Eo9sOONl13SAafNJAJUNlrUhG91nf3&amp;stp=c0.5000x0.5000f_dst-emg0_p64x64_q75_tt6&amp;ur=b696e2&amp;_nc_sid=58080a&amp;oh=00_Af5vAIu7O7GzJOVEF9Wvr8US4Yh5amU-8899Xb1mcd3uoA&amp;oe=6A071423" TargetMode="External"/><Relationship Id="rId692" Type="http://schemas.openxmlformats.org/officeDocument/2006/relationships/hyperlink" Target="https://www.instagram.com/p/DWZaMvcgEdi/" TargetMode="External"/><Relationship Id="rId691" Type="http://schemas.openxmlformats.org/officeDocument/2006/relationships/hyperlink" Target="https://www.facebook.com/418887747980692/posts/122214720788542386" TargetMode="External"/><Relationship Id="rId690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E5PbQGSKq1648zhCw2R1Pb70paevrCb9pCgfDbgqo3fvBevXiFwNFkh25NhjsvsbLrT6E0_ana&amp;stp=c0.5000x0.5000f_dst-emg0_p64x64_q75_tt6&amp;ur=5fad0e&amp;_nc_sid=58080a&amp;oh=00_Af5k8um88z_koHOxikRlxzOzaJGd8nz8wuniTCZ8jNvH2Q&amp;oe=6A072B9E" TargetMode="External"/><Relationship Id="rId213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FrWhSr5PceHtNys53kup_Iw-dp7pmnNaTHxm2QAWiQWQyJlP2Ese51LgyP2dFQJX1DP2l6vXM-&amp;stp=c0.5000x0.5000f_dst-emg0_p64x64_q75_tt6&amp;ur=b696e2&amp;_nc_sid=58080a&amp;oh=00_Af4CvnXmVe5YOr60eUzENo7Xoe_Ygnd2VIcGnS-XEy5tTg&amp;oe=6A072D6E" TargetMode="External"/><Relationship Id="rId455" Type="http://schemas.openxmlformats.org/officeDocument/2006/relationships/hyperlink" Target="https://www.instagram.com/p/DWZVlgugDef/" TargetMode="External"/><Relationship Id="rId697" Type="http://schemas.openxmlformats.org/officeDocument/2006/relationships/hyperlink" Target="https://www.facebook.com/418887747980692/posts/122215146980542386" TargetMode="External"/><Relationship Id="rId212" Type="http://schemas.openxmlformats.org/officeDocument/2006/relationships/hyperlink" Target="https://www.instagram.com/p/DWZTjG4AKMq/" TargetMode="External"/><Relationship Id="rId454" Type="http://schemas.openxmlformats.org/officeDocument/2006/relationships/hyperlink" Target="https://www.facebook.com/418887747980692/posts/122214655454542386" TargetMode="External"/><Relationship Id="rId696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GeqyHock0gFUnnkt7DYyjSmdkjgzu6Pmd0awIbsg1omK4HP3LlPl0thdrvMAA0GQrpRVWYbSh0&amp;stp=c0.5000x0.5000f_dst-emg0_p64x64_q75_tt6&amp;ur=5fad0e&amp;_nc_sid=58080a&amp;oh=00_Af77UIQRfpTYT2q_pz08CFwzu-D4sJystXgSz6PD2BCwaQ&amp;oe=6A0738D6" TargetMode="External"/><Relationship Id="rId211" Type="http://schemas.openxmlformats.org/officeDocument/2006/relationships/hyperlink" Target="https://www.facebook.com/418887747980692/posts/122214588368542386" TargetMode="External"/><Relationship Id="rId453" Type="http://schemas.openxmlformats.org/officeDocument/2006/relationships/hyperlink" Target="https://scontent.xx.fbcdn.net/v/t15.5256-10/659377503_788056310657693_6745498894763113159_n.jpg?_nc_cat=109&amp;ccb=1-7&amp;_nc_ohc=VJCwaQA0_H0Q7kNvwEbIKi_&amp;_nc_oc=AdoqnwEXofOYXOtDjaqYazSyW-oak98Furv6opQ9dkj9e3quRPOGqVjW8OEdj8LXTnU&amp;_nc_zt=23&amp;_nc_ht=scontent.xx&amp;edm=AAwGEdEEAAAA&amp;_nc_gid=iEndcDk33bF5gt7MdoYrfg&amp;_nc_tpa=Q5bMBQG7xUPwPUcEZhVhuIWwqXciJOHsAEAbf24OKMWYOwP6WITAEpnl2McHqjdqT4CbeDvOACanMhTG&amp;stp=c0.5000x0.5000f_dst-emg0_p64x64_q75_tt6&amp;ur=b696e2&amp;_nc_sid=58080a&amp;oh=00_Af6K-t8xROjj0b-nK7jnRVnhV1hSpHqx4Rf6amFHWbVD-w&amp;oe=6A07186A" TargetMode="External"/><Relationship Id="rId695" Type="http://schemas.openxmlformats.org/officeDocument/2006/relationships/hyperlink" Target="https://www.instagram.com/p/DWZaMf3AKUb/" TargetMode="External"/><Relationship Id="rId210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FBepwbghP0VrczglluSZFCcdHi1K0teEFSZBXjEc7gUm2Aye_Xi5aMbLD7geSIq3YOyk20SGHJ&amp;stp=c0.5000x0.5000f_dst-emg0_p64x64_q75_tt6&amp;ur=b696e2&amp;_nc_sid=58080a&amp;oh=00_Af7Mul7D0oxHyY8IZOc5vq3LY5WN770cDDv0wrYg67SLQA&amp;oe=6A0712D4" TargetMode="External"/><Relationship Id="rId452" Type="http://schemas.openxmlformats.org/officeDocument/2006/relationships/hyperlink" Target="https://www.instagram.com/p/DWZVl5DgPO_/" TargetMode="External"/><Relationship Id="rId694" Type="http://schemas.openxmlformats.org/officeDocument/2006/relationships/hyperlink" Target="https://www.facebook.com/418887747980692/posts/122214720752542386" TargetMode="External"/><Relationship Id="rId491" Type="http://schemas.openxmlformats.org/officeDocument/2006/relationships/hyperlink" Target="https://www.instagram.com/p/DWZXfykgNyT/" TargetMode="External"/><Relationship Id="rId490" Type="http://schemas.openxmlformats.org/officeDocument/2006/relationships/hyperlink" Target="https://www.facebook.com/418887747980692/posts/122214680390542386" TargetMode="External"/><Relationship Id="rId249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Gjp2QxcL8EWvtIXbHNxK8jRCcete1qNl0wHT7QuRH8R8qSJljxiNSLKBRbxIucQQisR-zYkdKN&amp;stp=c0.5000x0.5000f_dst-emg0_p64x64_q75_tt6&amp;ur=b696e2&amp;_nc_sid=58080a&amp;oh=00_Af7Ss-tCXw-KpqHywYiiM-jAEVS0ADnattYrOd40aUtFqQ&amp;oe=6A072D6E" TargetMode="External"/><Relationship Id="rId248" Type="http://schemas.openxmlformats.org/officeDocument/2006/relationships/hyperlink" Target="https://www.instagram.com/p/DWmf0hMAA2n/" TargetMode="External"/><Relationship Id="rId247" Type="http://schemas.openxmlformats.org/officeDocument/2006/relationships/hyperlink" Target="https://www.facebook.com/418887747980692/posts/122214588368542386" TargetMode="External"/><Relationship Id="rId489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sogYimbQcctRgjWjmxs0FRmpsTnbnjfZOCGaG5j07BNhoRUtl61H8IB-byK2qg2Xz4iZpgXbZ&amp;stp=c0.5000x0.5000f_dst-emg0_p64x64_q75_tt6&amp;ur=b696e2&amp;_nc_sid=58080a&amp;oh=00_Af5Ex_fIVIJM4TiXhu7LdF8o1APnGtjYcQO8ejI_LZmB8w&amp;oe=6A072CA5" TargetMode="External"/><Relationship Id="rId242" Type="http://schemas.openxmlformats.org/officeDocument/2006/relationships/hyperlink" Target="https://www.instagram.com/p/DWmf04cgCOT/" TargetMode="External"/><Relationship Id="rId484" Type="http://schemas.openxmlformats.org/officeDocument/2006/relationships/hyperlink" Target="https://www.facebook.com/418887747980692/posts/122214680894542386" TargetMode="External"/><Relationship Id="rId241" Type="http://schemas.openxmlformats.org/officeDocument/2006/relationships/hyperlink" Target="https://www.facebook.com/418887747980692/posts/122214584036542386" TargetMode="External"/><Relationship Id="rId483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Fkj3lnyEPrOrXPTbYkVCOe2uIwG-xHcx-lAEGU42luPGY2ZxV0PWrmPTdkT3STQQhGG3mlt8xv&amp;stp=c0.5000x0.5000f_dst-emg0_p64x64_q75_tt6&amp;ur=52f3c4&amp;_nc_sid=58080a&amp;oh=00_Af4Z5HLLN4buleGnuEUNh6mesSeC99Cg113bTaIasRLeQw&amp;oe=6A073D71" TargetMode="External"/><Relationship Id="rId240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HQPNRbxb-BTJpCWmhOo9VRSZ7bOZix0Px7JSO8qqgN55ZGYmQcg0yuoFRerM45x79BuorQ34hh&amp;stp=c0.5000x0.5000f_dst-emg0_p64x64_q75_tt6&amp;ur=b696e2&amp;_nc_sid=58080a&amp;oh=00_Af5rCcU0vMNiv2C81FJHeAfZJmC6_yj6nP3wXnYWBjTRPw&amp;oe=6A070B62" TargetMode="External"/><Relationship Id="rId482" Type="http://schemas.openxmlformats.org/officeDocument/2006/relationships/hyperlink" Target="https://www.instagram.com/p/DWZVps3gOcx/" TargetMode="External"/><Relationship Id="rId481" Type="http://schemas.openxmlformats.org/officeDocument/2006/relationships/hyperlink" Target="https://www.facebook.com/418887747980692/posts/122214655394542386" TargetMode="External"/><Relationship Id="rId246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G1iepg64J9SPHD4XCqk3FQ4Qk-5HZ59vnN7jZOhI8Rn6ZtXkyfIVsv8i0XlrDRMfMWFiD5Js4v&amp;stp=c0.5000x0.5000f_dst-emg0_p64x64_q75_tt6&amp;ur=b696e2&amp;_nc_sid=58080a&amp;oh=00_Af77g8S40POyGfqxbYjqTiuFhFsZQzJjZVmIzw5qm4wPJA&amp;oe=6A0712D4" TargetMode="External"/><Relationship Id="rId488" Type="http://schemas.openxmlformats.org/officeDocument/2006/relationships/hyperlink" Target="https://www.instagram.com/p/DWZXfxcgEdM/" TargetMode="External"/><Relationship Id="rId245" Type="http://schemas.openxmlformats.org/officeDocument/2006/relationships/hyperlink" Target="https://www.instagram.com/p/DWmf08tAPtX/" TargetMode="External"/><Relationship Id="rId487" Type="http://schemas.openxmlformats.org/officeDocument/2006/relationships/hyperlink" Target="https://www.facebook.com/418887747980692/posts/122214680246542386" TargetMode="External"/><Relationship Id="rId244" Type="http://schemas.openxmlformats.org/officeDocument/2006/relationships/hyperlink" Target="https://www.facebook.com/418887747980692/posts/122214590924542386" TargetMode="External"/><Relationship Id="rId486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HFLSGMOwfRoA5GBuO0D8hI8JjBw6hlbMJH4CZ3XrTYn9CjJE-EyiFX7BCRtVKi7avcNG7Bb32y&amp;stp=c0.5000x0.5000f_dst-emg0_p64x64_q75_tt6&amp;ur=b696e2&amp;_nc_sid=58080a&amp;oh=00_Af7SO4is-5aOL7ovSf3LFn7ZSZ_So6kjgEgzePap5QZuuQ&amp;oe=6A070B62" TargetMode="External"/><Relationship Id="rId243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GNL4cAH51efzJSFlleRRFT9b4IDqz1AQw34dhOVLDBs11Pu9T6ywqxm1EwOis6AFr__0TE9QiE&amp;stp=c0.5000x0.5000f_dst-emg0_p64x64_q75_tt6&amp;ur=b696e2&amp;_nc_sid=58080a&amp;oh=00_Af6H31v5HWelY2FcYGma4wUzrZuIh5dL-LsovGz8K3I9Dg&amp;oe=6A0729E5" TargetMode="External"/><Relationship Id="rId485" Type="http://schemas.openxmlformats.org/officeDocument/2006/relationships/hyperlink" Target="https://www.instagram.com/p/DWZXgW5gJIG/" TargetMode="External"/><Relationship Id="rId480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H5qzGu4IGUunUhfNK7G535vndgu1e1mzjFPtZHZtadJ4aFmVBsm7-EL6p4BqF2p55OzwnClHOD&amp;stp=c0.5000x0.5000f_dst-emg0_p64x64_q75_tt6&amp;ur=b696e2&amp;_nc_sid=58080a&amp;oh=00_Af71SemmIpWNvAzrMmWHZdVJaF2M34ny2fhYF2mGvC2XWg&amp;oe=6A070D3D" TargetMode="External"/><Relationship Id="rId239" Type="http://schemas.openxmlformats.org/officeDocument/2006/relationships/hyperlink" Target="https://www.instagram.com/p/DWZTiwsgGbU/" TargetMode="External"/><Relationship Id="rId238" Type="http://schemas.openxmlformats.org/officeDocument/2006/relationships/hyperlink" Target="https://www.facebook.com/418887747980692/posts/122214577814542386" TargetMode="External"/><Relationship Id="rId237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EpQmz5Y5Lfzh3-wBuyvxBA_n6wAKFBo3FfHnr6QThQA7cTcPmp_SEQJo6OvTIgysR3htDIh1d8&amp;stp=c0.5000x0.5000f_dst-emg0_p64x64_q75_tt6&amp;ur=52f3c4&amp;_nc_sid=58080a&amp;oh=00_Af6yWrdVKjFgOO44CRSkxzj8SvFz-IyY5jVLHsKa8TmJ_g&amp;oe=6A07362D" TargetMode="External"/><Relationship Id="rId479" Type="http://schemas.openxmlformats.org/officeDocument/2006/relationships/hyperlink" Target="https://www.instagram.com/p/DWZVvc6AGTe/" TargetMode="External"/><Relationship Id="rId236" Type="http://schemas.openxmlformats.org/officeDocument/2006/relationships/hyperlink" Target="https://www.instagram.com/p/DWmf2exAG0d/" TargetMode="External"/><Relationship Id="rId478" Type="http://schemas.openxmlformats.org/officeDocument/2006/relationships/hyperlink" Target="https://www.facebook.com/418887747980692/posts/122214656456542386" TargetMode="External"/><Relationship Id="rId231" Type="http://schemas.openxmlformats.org/officeDocument/2006/relationships/hyperlink" Target="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FbN_IqczOprNvlxtJ_tigWAI3YG23tTkhzwmFebVQG71rr3kbFm3_njsK6Qg4dT-F67qQLZF9c&amp;stp=c0.5000x0.5000f_dst-emg0_p64x64_q75_tt6&amp;ur=b696e2&amp;_nc_sid=58080a&amp;oh=00_Af4mYpuUlctnkbVWQwxa3d4gAElTGlJIbtsfvKza5sfjjA&amp;oe=6A072CB3" TargetMode="External"/><Relationship Id="rId473" Type="http://schemas.openxmlformats.org/officeDocument/2006/relationships/hyperlink" Target="https://www.instagram.com/p/DWZVlrYgHkR/" TargetMode="External"/><Relationship Id="rId230" Type="http://schemas.openxmlformats.org/officeDocument/2006/relationships/hyperlink" Target="https://www.instagram.com/p/DWmf1U4gL76/" TargetMode="External"/><Relationship Id="rId472" Type="http://schemas.openxmlformats.org/officeDocument/2006/relationships/hyperlink" Target="https://www.facebook.com/418887747980692/posts/122214656486542386" TargetMode="External"/><Relationship Id="rId471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E_8Wh4fUQbXoysjrk-vspMxlo8Uqt4KW4qb6_jpUlkdrMh6PFz64GXDZjt2jC7ZVR-BgfNO3Cc&amp;stp=c0.5000x0.5000f_dst-emg0_p64x64_q75_tt6&amp;ur=b696e2&amp;_nc_sid=58080a&amp;oh=00_Af7PQhpUYMywNePgUNmvhDb6RHrEXXzN-rsK5kVH44h8jA&amp;oe=6A071423" TargetMode="External"/><Relationship Id="rId470" Type="http://schemas.openxmlformats.org/officeDocument/2006/relationships/hyperlink" Target="https://www.instagram.com/p/DWZVmdjgETy/" TargetMode="External"/><Relationship Id="rId235" Type="http://schemas.openxmlformats.org/officeDocument/2006/relationships/hyperlink" Target="https://www.facebook.com/418887747980692/posts/122214595862542386" TargetMode="External"/><Relationship Id="rId477" Type="http://schemas.openxmlformats.org/officeDocument/2006/relationships/hyperlink" Target="https://scontent.xx.fbcdn.net/v/t15.5256-10/658367503_2434011343726447_2529871982841280428_n.jpg?_nc_cat=103&amp;ccb=1-7&amp;_nc_ohc=E4KJbJ7AUbEQ7kNvwHUdKiP&amp;_nc_oc=AdpVbkV2f0aAP5INRkjbBCPuqwnG_aEFHk-YBa4a_I2OacocVLth2o0DCq2NBAlDEcA&amp;_nc_zt=23&amp;_nc_ht=scontent.xx&amp;edm=AAwGEdEEAAAA&amp;_nc_gid=iEndcDk33bF5gt7MdoYrfg&amp;_nc_tpa=Q5bMBQE7pN-4zNZEgYpQakLDoCHcyj0Rpt6pM3lPXfxDVE198dG8Aspugd8zFy9x2Wf4NZa31T6ZvQ_N&amp;stp=c0.5000x0.5000f_dst-emg0_p64x64_q75_tt6&amp;ur=b696e2&amp;_nc_sid=58080a&amp;oh=00_Af6CcM13LAVHYNNFO2F-xJJaKc8HHLjRpapm8lRg_DFhZw&amp;oe=6A0726F7" TargetMode="External"/><Relationship Id="rId234" Type="http://schemas.openxmlformats.org/officeDocument/2006/relationships/hyperlink" Target="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HYGerjq_p6TD16aBD8bdeEW-6bdTb6biD7lA13nDpHCNBULTKPbh5-aUATKnXipt3roKmj5mgm&amp;stp=c0.5000x0.5000f_dst-emg0_p64x64_q75_tt6&amp;ur=b696e2&amp;_nc_sid=58080a&amp;oh=00_Af6mXgsD0MiQBQ2Q7P0ucoYkzBi_b6TvJh7ylTe7ad9mlQ&amp;oe=6A072D09" TargetMode="External"/><Relationship Id="rId476" Type="http://schemas.openxmlformats.org/officeDocument/2006/relationships/hyperlink" Target="https://www.instagram.com/p/DWZVmSfgC8N/" TargetMode="External"/><Relationship Id="rId233" Type="http://schemas.openxmlformats.org/officeDocument/2006/relationships/hyperlink" Target="https://www.instagram.com/p/DWmf1G1ALzY/" TargetMode="External"/><Relationship Id="rId475" Type="http://schemas.openxmlformats.org/officeDocument/2006/relationships/hyperlink" Target="https://www.facebook.com/418887747980692/posts/122214656744542386" TargetMode="External"/><Relationship Id="rId232" Type="http://schemas.openxmlformats.org/officeDocument/2006/relationships/hyperlink" Target="https://www.facebook.com/418887747980692/posts/122214581852542386" TargetMode="External"/><Relationship Id="rId474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GJqW5Zn9_jSQNnnagMPvBZ7144xMF61iQhIXDVJ4IqGwLoj5ftMt2BM0Em9ps2zk1ItDMm8FYw&amp;stp=c0.5000x0.5000f_dst-emg0_p64x64_q75_tt6&amp;ur=b696e2&amp;_nc_sid=58080a&amp;oh=00_Af5XBs7P4bChSroRohSDTnfqkShWhtwciDYl4s3-rPsidw&amp;oe=6A074314" TargetMode="External"/><Relationship Id="rId426" Type="http://schemas.openxmlformats.org/officeDocument/2006/relationships/hyperlink" Target="https://scontent.xx.fbcdn.net/v/t15.5256-10/660162830_1272549361485432_6301910598263306174_n.jpg?_nc_cat=102&amp;ccb=1-7&amp;_nc_ohc=3fzUbck5__cQ7kNvwG0foBX&amp;_nc_oc=Ado2q_l8yZr-w4607aBF1oU-7dStOUEf2UevRx8lKrf5cxRNnemdA7DzDOgRQRICwwU&amp;_nc_zt=23&amp;_nc_ht=scontent.xx&amp;edm=AAwGEdEEAAAA&amp;_nc_gid=iEndcDk33bF5gt7MdoYrfg&amp;_nc_tpa=Q5bMBQFr4tW_mhPEx8N9KkvCXxlWWgdI6EflD66sfj3DMuJU5G6pScOOurTbhWI3Ha4LXyN9ALGADSDC&amp;stp=c0.5000x0.5000f_dst-emg0_p64x64_q75_tt6&amp;ur=b696e2&amp;_nc_sid=58080a&amp;oh=00_Af4RZXRwDmnnUPtGLizT4aj2mgUHVC9HOUnDPX6-BrJ7kg&amp;oe=6A072BF4" TargetMode="External"/><Relationship Id="rId668" Type="http://schemas.openxmlformats.org/officeDocument/2006/relationships/hyperlink" Target="https://www.instagram.com/p/DWZZpRxgIrQ/" TargetMode="External"/><Relationship Id="rId425" Type="http://schemas.openxmlformats.org/officeDocument/2006/relationships/hyperlink" Target="https://www.instagram.com/p/DWZVmMUgGZ-/" TargetMode="External"/><Relationship Id="rId667" Type="http://schemas.openxmlformats.org/officeDocument/2006/relationships/hyperlink" Target="https://www.facebook.com/418887747980692/posts/122214710972542386" TargetMode="External"/><Relationship Id="rId424" Type="http://schemas.openxmlformats.org/officeDocument/2006/relationships/hyperlink" Target="https://www.facebook.com/418887747980692/posts/122214656552542386" TargetMode="External"/><Relationship Id="rId666" Type="http://schemas.openxmlformats.org/officeDocument/2006/relationships/hyperlink" Target="https://scontent.xx.fbcdn.net/v/t15.5256-10/659258083_3872133279756228_6646461170497367954_n.jpg?_nc_cat=103&amp;ccb=1-7&amp;_nc_ohc=bhRFkE2FzpcQ7kNvwGnxlCf&amp;_nc_oc=AdoNaaJNXmdnykgQVwxZnMQWVeF45gR_IuB650BNQD0HhenZHTVNh99oWmCS3EQbR9A&amp;_nc_zt=23&amp;_nc_ht=scontent.xx&amp;edm=AAwGEdEEAAAA&amp;_nc_gid=iEndcDk33bF5gt7MdoYrfg&amp;_nc_tpa=Q5bMBQHACZMOWbOXRe0Z-J71zdWQbcxWgGSoj6iaF5kjUAYvpCA_LeqFOb7sE2UFU3kDXk_JjG0IOmfO&amp;stp=c0.5000x0.5000f_dst-emg0_p64x64_q75_tt6&amp;ur=b696e2&amp;_nc_sid=58080a&amp;oh=00_Af5Mf26MGh9yz4TBCKhSoDVjb5C-uJY6Ne9hBruzU82tOA&amp;oe=6A072CB3" TargetMode="External"/><Relationship Id="rId423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G0U3d9omSBQSq4t-De_8bgM94XGIubHP0MsYxSTEwTjJCLJIWiLkxIwXzzZRZuGA935njmJZGK&amp;stp=c0.5000x0.5000f_dst-emg0_p64x64_q75_tt6&amp;ur=b696e2&amp;_nc_sid=58080a&amp;oh=00_Af5Nd2WGjdski94SFNioLjixQ7G5F3GIx3QCuPrj89LEng&amp;oe=6A074314" TargetMode="External"/><Relationship Id="rId665" Type="http://schemas.openxmlformats.org/officeDocument/2006/relationships/hyperlink" Target="https://www.instagram.com/p/DWZZnf-AC9_/" TargetMode="External"/><Relationship Id="rId429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FyRqDSgIJALUaFza5arS41GPGHs7n3J5qMGg_Sq-nh0fER8Ri5YON8OjKwftFqQEAmhVLnrzTS&amp;stp=c0.5000x0.5000f_dst-emg0_p64x64_q75_tt6&amp;ur=b696e2&amp;_nc_sid=58080a&amp;oh=00_Af5XBN0rcW_JvZkm4RE4dmjYsqAYwMYatN4t8LGdODE5Sg&amp;oe=6A070D3D" TargetMode="External"/><Relationship Id="rId428" Type="http://schemas.openxmlformats.org/officeDocument/2006/relationships/hyperlink" Target="https://www.instagram.com/p/DWZVmKWANfh/" TargetMode="External"/><Relationship Id="rId427" Type="http://schemas.openxmlformats.org/officeDocument/2006/relationships/hyperlink" Target="https://www.facebook.com/418887747980692/posts/122214656606542386" TargetMode="External"/><Relationship Id="rId669" Type="http://schemas.openxmlformats.org/officeDocument/2006/relationships/hyperlink" Target="https://scontent.xx.fbcdn.net/v/t15.5256-10/659727968_1414282403831192_297067356207755898_n.jpg?_nc_cat=105&amp;ccb=1-7&amp;_nc_ohc=G5hKJk2PLlgQ7kNvwEFg0rM&amp;_nc_oc=AdplhTQH3fp3SNxnByyBbycj1mmfCOodVgUoACuClZcn721lc2kpt7r9POuRM0FssyU&amp;_nc_zt=23&amp;_nc_ht=scontent.xx&amp;edm=AAwGEdEEAAAA&amp;_nc_gid=iEndcDk33bF5gt7MdoYrfg&amp;_nc_tpa=Q5bMBQGU1UkEWtP6Ypic4ieyTLaydoA498hppzR6KyBoRSYo7riReEShrf7jLBQE4gY-drfLf_iU-jIo&amp;stp=c0.5000x0.5000f_dst-emg0_p64x64_q75_tt6&amp;ur=b696e2&amp;_nc_sid=58080a&amp;oh=00_Af72gUU9hg8K2eZBvrBEAE5Ot5kSmRNWHRzNBG1NRhZ0AA&amp;oe=6A0729E5" TargetMode="External"/><Relationship Id="rId660" Type="http://schemas.openxmlformats.org/officeDocument/2006/relationships/hyperlink" Target="https://scontent.xx.fbcdn.net/v/t15.5256-10/658912530_964767329323365_336155474875441123_n.jpg?_nc_cat=108&amp;ccb=1-7&amp;_nc_ohc=fe34ezdWe50Q7kNvwHtIJXa&amp;_nc_oc=AdqzYA-tTeB3StQhylV9tV-zSAsXjpiOsLZIux-hMKQWv3Sd2KK1N3ZIvqrMb8sedIY&amp;_nc_zt=23&amp;_nc_ht=scontent.xx&amp;edm=AAwGEdEEAAAA&amp;_nc_gid=iEndcDk33bF5gt7MdoYrfg&amp;_nc_tpa=Q5bMBQG9mnhx81MrUWMSf4khjARceY4aN65xt-fNI8hPecumW0MrJUYerMuRJKDmdn065pou5RbI4_GE&amp;stp=c0.5000x0.5000f_dst-emg0_p64x64_q75_tt6&amp;ur=b696e2&amp;_nc_sid=58080a&amp;oh=00_Af4DZ_0buV1VbmC2D1yi7YHjEbDqLVfM30VWc6RBhDvVIw&amp;oe=6A072D09" TargetMode="External"/><Relationship Id="rId422" Type="http://schemas.openxmlformats.org/officeDocument/2006/relationships/hyperlink" Target="https://www.instagram.com/p/DWZVl58gAPq/" TargetMode="External"/><Relationship Id="rId664" Type="http://schemas.openxmlformats.org/officeDocument/2006/relationships/hyperlink" Target="https://www.facebook.com/418887747980692/posts/122214711038542386" TargetMode="External"/><Relationship Id="rId421" Type="http://schemas.openxmlformats.org/officeDocument/2006/relationships/hyperlink" Target="https://www.facebook.com/418887747980692/posts/122214656132542386" TargetMode="External"/><Relationship Id="rId663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FsxF5uXNMtUxnOGFAOR3exG9-lLAy8mhRCiirdgTm2bYyd0soiEKTQ2e1LAJkqlBH4nMvqlRrP&amp;stp=c0.5000x0.5000f_dst-emg0_p64x64_q75_tt6&amp;ur=b696e2&amp;_nc_sid=58080a&amp;oh=00_Af7HAx8swCR3gZydP7ssC7BWfq2D306ymu2Dr9NiFXFoyw&amp;oe=6A070B62" TargetMode="External"/><Relationship Id="rId420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GZSj16hzJHIC8StfYzsFQLnpOpvZwLudqDWf5o3WmXeLYirv1voeocNkrOR3-0WdU_ROLI443A&amp;stp=c0.5000x0.5000f_dst-emg0_p64x64_q75_tt6&amp;ur=5fad0e&amp;_nc_sid=58080a&amp;oh=00_Af5x92rqZrPuVo-th_6xHmrJNFN0RVliNOSgNUrLEcvi2w&amp;oe=6A072B9E" TargetMode="External"/><Relationship Id="rId662" Type="http://schemas.openxmlformats.org/officeDocument/2006/relationships/hyperlink" Target="https://www.instagram.com/p/DWZZpTQgHpw/" TargetMode="External"/><Relationship Id="rId661" Type="http://schemas.openxmlformats.org/officeDocument/2006/relationships/hyperlink" Target="https://www.facebook.com/418887747980692/posts/122214711086542386" TargetMode="External"/><Relationship Id="rId415" Type="http://schemas.openxmlformats.org/officeDocument/2006/relationships/hyperlink" Target="https://www.facebook.com/418887747980692/posts/122214605852542386" TargetMode="External"/><Relationship Id="rId657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91MkPgd-mEcoC9DLBDV_E9L6ah2kb6B-u4w-c2jp24JLqg-10bIqPZoq3f1K9QvzS4pcikXPh&amp;stp=c0.5000x0.5000f_dst-emg0_p64x64_q75_tt6&amp;ur=b696e2&amp;_nc_sid=58080a&amp;oh=00_Af7bx7KK3bv8WUA_deO15heHWuOh49ZgY0HXqSh8GYAw6A&amp;oe=6A07199E" TargetMode="External"/><Relationship Id="rId414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Fwqt5QCY4nLaytYqxav6aOGzOUUkn5LL3VfFGCagDXZ4EoO26NtjHxkNJu6CtQTZEnVCxLSg85&amp;stp=c0.5000x0.5000f_dst-emg0_p64x64_q75_tt6&amp;ur=5fad0e&amp;_nc_sid=58080a&amp;oh=00_Af5ruQI9qVK49aMoNEAJXqS_zD6lrs094Su9byUYxNIKUQ&amp;oe=6A0738D6" TargetMode="External"/><Relationship Id="rId656" Type="http://schemas.openxmlformats.org/officeDocument/2006/relationships/hyperlink" Target="https://www.instagram.com/p/DWZZpaagLDz/" TargetMode="External"/><Relationship Id="rId413" Type="http://schemas.openxmlformats.org/officeDocument/2006/relationships/hyperlink" Target="https://www.instagram.com/p/DWY9T1aAIeM/" TargetMode="External"/><Relationship Id="rId655" Type="http://schemas.openxmlformats.org/officeDocument/2006/relationships/hyperlink" Target="https://www.facebook.com/418887747980692/posts/122214710756542386" TargetMode="External"/><Relationship Id="rId412" Type="http://schemas.openxmlformats.org/officeDocument/2006/relationships/hyperlink" Target="https://www.facebook.com/418887747980692/posts/122214609122542386" TargetMode="External"/><Relationship Id="rId654" Type="http://schemas.openxmlformats.org/officeDocument/2006/relationships/hyperlink" Target="https://scontent.xx.fbcdn.net/v/t15.5256-10/660365971_975418021505104_4535425168932836668_n.jpg?_nc_cat=109&amp;ccb=1-7&amp;_nc_ohc=hVjAM1sNlSkQ7kNvwEinrqP&amp;_nc_oc=Adp-UGcMbs0xv-7Px4kAfTrBWpat2kiYy9BJWxG_J5XrIsxLI4JZzBDiU9dI-Z8ENEM&amp;_nc_zt=23&amp;_nc_ht=scontent.xx&amp;edm=AAwGEdEEAAAA&amp;_nc_gid=iEndcDk33bF5gt7MdoYrfg&amp;_nc_tpa=Q5bMBQFkMZBZXjI10lLyigSxbV9gD0GbAPYfzrUbXTqqN8dKVKHC2vmi_NgzD9LGHrzTSiThzDL0S0ad&amp;stp=c0.5000x0.5000f_dst-emg0_p64x64_q75_tt6&amp;ur=b696e2&amp;_nc_sid=58080a&amp;oh=00_Af5dcuo_iGb9BdBgqeqhXBYwh6IiTdjL9QMXAaMUq2jnUg&amp;oe=6A070B62" TargetMode="External"/><Relationship Id="rId419" Type="http://schemas.openxmlformats.org/officeDocument/2006/relationships/hyperlink" Target="https://www.instagram.com/p/DWofuYVAKjT/" TargetMode="External"/><Relationship Id="rId418" Type="http://schemas.openxmlformats.org/officeDocument/2006/relationships/hyperlink" Target="https://www.facebook.com/418887747980692/posts/122215596446542386" TargetMode="External"/><Relationship Id="rId417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E0_2RpNhSrpC9fCA0TX_EYAGaXpvNcYXjBM8HrAyQbk9tAGEq59J6U-ch9Cv_uwQqoolgrQWAV&amp;stp=c0.5000x0.5000f_dst-emg0_p64x64_q75_tt6&amp;ur=5fad0e&amp;_nc_sid=58080a&amp;oh=00_Af6d15fYw4aRKG8X9-xtJMFbgZRBDHizX3CsMBUdNEdpeQ&amp;oe=6A07199E" TargetMode="External"/><Relationship Id="rId659" Type="http://schemas.openxmlformats.org/officeDocument/2006/relationships/hyperlink" Target="https://www.instagram.com/p/DWZZpVtACZI/" TargetMode="External"/><Relationship Id="rId416" Type="http://schemas.openxmlformats.org/officeDocument/2006/relationships/hyperlink" Target="https://www.instagram.com/p/DWY8z91gDAd/" TargetMode="External"/><Relationship Id="rId658" Type="http://schemas.openxmlformats.org/officeDocument/2006/relationships/hyperlink" Target="https://www.facebook.com/418887747980692/posts/122214711056542386" TargetMode="External"/><Relationship Id="rId411" Type="http://schemas.openxmlformats.org/officeDocument/2006/relationships/hyperlink" Target="https://scontent.xx.fbcdn.net/v/t15.5256-10/660117186_3010128652711523_244912281596665918_n.jpg?_nc_cat=104&amp;ccb=1-7&amp;_nc_ohc=JhTbN-h--1kQ7kNvwG6H2W7&amp;_nc_oc=AdpgVAFih9s_VsNQsHaQ9yYBeAGS5dWR_tSG9Gy8-UGvoRjY6x5h0UIWK_tB1ENA2_I&amp;_nc_zt=23&amp;_nc_ht=scontent.xx&amp;edm=AAwGEdEEAAAA&amp;_nc_gid=iEndcDk33bF5gt7MdoYrfg&amp;_nc_tpa=Q5bMBQGkLaIO9Yiut_XxW-zLSN6eKym4JDJCTrS3XQFar10bhrC_O2zgPRTJWwxCacu86NWOgWrkU2pY&amp;stp=c0.5000x0.5000f_dst-emg0_p64x64_q75_tt6&amp;ur=5fad0e&amp;_nc_sid=58080a&amp;oh=00_Af5bTYDo-shul8HULmCgD2IohJqUnslVerG2CP56Q79ftQ&amp;oe=6A072B9E" TargetMode="External"/><Relationship Id="rId653" Type="http://schemas.openxmlformats.org/officeDocument/2006/relationships/hyperlink" Target="https://www.instagram.com/p/DWZZlQiACRS/" TargetMode="External"/><Relationship Id="rId410" Type="http://schemas.openxmlformats.org/officeDocument/2006/relationships/hyperlink" Target="https://www.instagram.com/p/DWofufEgJoJ/" TargetMode="External"/><Relationship Id="rId652" Type="http://schemas.openxmlformats.org/officeDocument/2006/relationships/hyperlink" Target="https://www.facebook.com/418887747980692/posts/122214577814542386" TargetMode="External"/><Relationship Id="rId651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TVTAtxJuMBft8rw2K7QMSyIm4hPDLkSeeXvft6G_v1IDcfPL6R_w6tzpjbhkXZWENUZQlkpBP&amp;stp=c0.5000x0.5000f_dst-emg0_p64x64_q75_tt6&amp;ur=b696e2&amp;_nc_sid=58080a&amp;oh=00_Af72f1m9hGaf-kbMc3TCtzXXmdl12IrBqqdphIJr9k08vQ&amp;oe=6A07199E" TargetMode="External"/><Relationship Id="rId650" Type="http://schemas.openxmlformats.org/officeDocument/2006/relationships/hyperlink" Target="https://www.instagram.com/p/DWZZzvDgHRx/" TargetMode="External"/><Relationship Id="rId206" Type="http://schemas.openxmlformats.org/officeDocument/2006/relationships/hyperlink" Target="https://www.instagram.com/p/DWZTjMeAEIH/" TargetMode="External"/><Relationship Id="rId448" Type="http://schemas.openxmlformats.org/officeDocument/2006/relationships/hyperlink" Target="https://www.facebook.com/418887747980692/posts/122214656648542386" TargetMode="External"/><Relationship Id="rId205" Type="http://schemas.openxmlformats.org/officeDocument/2006/relationships/hyperlink" Target="https://www.facebook.com/418887747980692/posts/122214595862542386" TargetMode="External"/><Relationship Id="rId447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Fsag1JuEaPn93cfCmLGHLWRbUqRH_xt-z5Ibn0U5Ahtgg_vY5cush4MrC89gghAof9redsVV_7&amp;stp=c0.5000x0.5000f_dst-emg0_p64x64_q75_tt6&amp;ur=b696e2&amp;_nc_sid=58080a&amp;oh=00_Af5MUIyzm3sEqcLDJ0TKTw1BR_t4f_zywslhWTCFex98FQ&amp;oe=6A073222" TargetMode="External"/><Relationship Id="rId689" Type="http://schemas.openxmlformats.org/officeDocument/2006/relationships/hyperlink" Target="https://www.instagram.com/p/DWofuaaAPJ_/" TargetMode="External"/><Relationship Id="rId204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EoctBBN2ITCAaNsbmsvanEZUaQNYRMOig3-EzQ2Iuq1-F051ZM27pf4Sy9BM0edwClKwrrFoSa&amp;stp=c0.5000x0.5000f_dst-emg0_p64x64_q75_tt6&amp;ur=b696e2&amp;_nc_sid=58080a&amp;oh=00_Af5h7RnMbVKQyiVpU_1g6fzGNVVWkDPPELKD_p2e307qJg&amp;oe=6A074314" TargetMode="External"/><Relationship Id="rId446" Type="http://schemas.openxmlformats.org/officeDocument/2006/relationships/hyperlink" Target="https://www.instagram.com/p/DWZVniXAHIf/" TargetMode="External"/><Relationship Id="rId688" Type="http://schemas.openxmlformats.org/officeDocument/2006/relationships/hyperlink" Target="https://www.facebook.com/418887747980692/posts/122215596500542386" TargetMode="External"/><Relationship Id="rId203" Type="http://schemas.openxmlformats.org/officeDocument/2006/relationships/hyperlink" Target="https://www.instagram.com/p/DWZTTBCgI9r/" TargetMode="External"/><Relationship Id="rId445" Type="http://schemas.openxmlformats.org/officeDocument/2006/relationships/hyperlink" Target="https://www.facebook.com/418887747980692/posts/122214657032542386" TargetMode="External"/><Relationship Id="rId687" Type="http://schemas.openxmlformats.org/officeDocument/2006/relationships/hyperlink" Target="https://scontent.xx.fbcdn.net/v/t15.5256-10/659321723_2254137601661098_3915150513522158111_n.jpg?_nc_cat=100&amp;ccb=1-7&amp;_nc_ohc=VDBtqY-s7H0Q7kNvwEEuHpl&amp;_nc_oc=Adp2uDM1qy8yyLJ_op-8Na2qHkq9BqN9Q9teAv248oq4_356dfjrnKKzkn3yAWG1Chg&amp;_nc_zt=23&amp;_nc_ht=scontent.xx&amp;edm=AAwGEdEEAAAA&amp;_nc_gid=iEndcDk33bF5gt7MdoYrfg&amp;_nc_tpa=Q5bMBQFf52YfCvDfa5R1wBzpBErWLGrqQdy5ma0VQrmpmZ3qpGGFlI52TgnDe-k_giowZvQp0nWuBnN0&amp;stp=c0.5000x0.5000f_dst-emg0_p64x64_q75_tt6&amp;ur=5fad0e&amp;_nc_sid=58080a&amp;oh=00_Af7g5sklcP7_4GHi2TgmauB8OJC_ewWnLA8_yC9MH64GVw&amp;oe=6A07199E" TargetMode="External"/><Relationship Id="rId209" Type="http://schemas.openxmlformats.org/officeDocument/2006/relationships/hyperlink" Target="https://www.instagram.com/p/DWZTjHKAORA/" TargetMode="External"/><Relationship Id="rId208" Type="http://schemas.openxmlformats.org/officeDocument/2006/relationships/hyperlink" Target="https://www.facebook.com/418887747980692/posts/122214590924542386" TargetMode="External"/><Relationship Id="rId207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H2J-e6cGImHBXAopemWKxhuyvZ544zmux4wcicAa1Wb7EwND6ra2x62H0kwxayZ8uydxZsHTR7&amp;stp=c0.5000x0.5000f_dst-emg0_p64x64_q75_tt6&amp;ur=52f3c4&amp;_nc_sid=58080a&amp;oh=00_Af6w2WX9yOklmUfVzIFmtfbVGVnV8z_B9NERRLeltR6nGw&amp;oe=6A07362D" TargetMode="External"/><Relationship Id="rId449" Type="http://schemas.openxmlformats.org/officeDocument/2006/relationships/hyperlink" Target="https://www.instagram.com/p/DWZVl-EAH3R/" TargetMode="External"/><Relationship Id="rId440" Type="http://schemas.openxmlformats.org/officeDocument/2006/relationships/hyperlink" Target="https://www.instagram.com/p/DWZVmXjAEZJ/" TargetMode="External"/><Relationship Id="rId682" Type="http://schemas.openxmlformats.org/officeDocument/2006/relationships/hyperlink" Target="https://www.facebook.com/418887747980692/posts/122214720764542386" TargetMode="External"/><Relationship Id="rId681" Type="http://schemas.openxmlformats.org/officeDocument/2006/relationships/hyperlink" Target="https://scontent.xx.fbcdn.net/v/t15.5256-10/659015521_777825872069344_6853330414113120707_n.jpg?_nc_cat=102&amp;ccb=1-7&amp;_nc_ohc=BIvTDzLRsM0Q7kNvwE0L0iS&amp;_nc_oc=Adq1MMqW9lS0rlj5wMYi6BrleQUDxMNpeF0LX67bYqwSRSXB5s5UgCADW5X2lO8j_G0&amp;_nc_zt=23&amp;_nc_ht=scontent.xx&amp;edm=AAwGEdEEAAAA&amp;_nc_gid=iEndcDk33bF5gt7MdoYrfg&amp;_nc_tpa=Q5bMBQG9KkWEc82mBZ-E3lzWZ7kv4jhO9QTKeDGzVCGjYRe9MrXUmV_pgL_RfjdrNNpz-fphbG-8ak1B&amp;stp=c0.5000x0.5000f_dst-emg0_p64x64_q75_tt6&amp;ur=b696e2&amp;_nc_sid=58080a&amp;oh=00_Af4zdFua4d7eAPjwxtxbVICxzPjig5rCu5OsEv2IOm1cHA&amp;oe=6A072CA5" TargetMode="External"/><Relationship Id="rId680" Type="http://schemas.openxmlformats.org/officeDocument/2006/relationships/hyperlink" Target="https://www.instagram.com/p/DWZZscSgPeS/" TargetMode="External"/><Relationship Id="rId202" Type="http://schemas.openxmlformats.org/officeDocument/2006/relationships/hyperlink" Target="https://www.facebook.com/418887747980692/posts/122214479618542386" TargetMode="External"/><Relationship Id="rId444" Type="http://schemas.openxmlformats.org/officeDocument/2006/relationships/hyperlink" Target="https://scontent.xx.fbcdn.net/v/t15.5256-10/656855442_1594235935028329_1659051163966614332_n.jpg?_nc_cat=104&amp;ccb=1-7&amp;_nc_ohc=xqN22eWerpwQ7kNvwFXVIIy&amp;_nc_oc=AdpKfFNiYT9TkJjp1Xe-RO2MlMHUv8fhB-L5zmp4gbRcQYlgjuKT2aluzY1IxXuyqdo&amp;_nc_zt=23&amp;_nc_ht=scontent.xx&amp;edm=AAwGEdEEAAAA&amp;_nc_gid=iEndcDk33bF5gt7MdoYrfg&amp;_nc_tpa=Q5bMBQH6QLh187rW7oOCJST-qZnrb3ey28XyqtPb5NEexKLNZzYUWhaqAnbeEVv7b4BIKrKawMTNNAfj&amp;stp=c0.5000x0.5000f_dst-emg0_p64x64_q75_tt6&amp;ur=b696e2&amp;_nc_sid=58080a&amp;oh=00_Af4wm8CLfasAdRKrJe40f2DX3Va_Uz4dIdF4JrSMcwdTPA&amp;oe=6A074314" TargetMode="External"/><Relationship Id="rId686" Type="http://schemas.openxmlformats.org/officeDocument/2006/relationships/hyperlink" Target="https://www.instagram.com/p/DWZaMfSAPhK/" TargetMode="External"/><Relationship Id="rId201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EcRPuNCDLA1a5dOjhZI4UKdPBbKVZKUZyqpSGy9eQnkaXUfXh5N-n3QDQLk_y-fo7F0aHCKw6Z&amp;stp=c0.5000x0.5000f_dst-emg0_p64x64_q75_tt6&amp;ur=b696e2&amp;_nc_sid=58080a&amp;oh=00_Af5WuYVujW7VAUepA7QgHUd4zs2tn4fu5GGhZY6poXFZow&amp;oe=6A070D3D" TargetMode="External"/><Relationship Id="rId443" Type="http://schemas.openxmlformats.org/officeDocument/2006/relationships/hyperlink" Target="https://www.instagram.com/p/DWZVlmyAPWX/" TargetMode="External"/><Relationship Id="rId685" Type="http://schemas.openxmlformats.org/officeDocument/2006/relationships/hyperlink" Target="https://www.facebook.com/418887747980692/posts/122214720776542386" TargetMode="External"/><Relationship Id="rId200" Type="http://schemas.openxmlformats.org/officeDocument/2006/relationships/hyperlink" Target="https://www.instagram.com/p/DWZTSk2AHQB/" TargetMode="External"/><Relationship Id="rId442" Type="http://schemas.openxmlformats.org/officeDocument/2006/relationships/hyperlink" Target="https://www.facebook.com/418887747980692/posts/122214656528542386" TargetMode="External"/><Relationship Id="rId684" Type="http://schemas.openxmlformats.org/officeDocument/2006/relationships/hyperlink" Target="https://scontent.xx.fbcdn.net/v/t15.5256-10/659682602_924106003701176_4683466467973586042_n.jpg?_nc_cat=103&amp;ccb=1-7&amp;_nc_ohc=Q13eDLtD47oQ7kNvwGSlk-c&amp;_nc_oc=AdpwFxFnL2EYRNojSFUxAepq9EdAQ7AXSv5XQOwNZA_MbQptgaJcaGBsIqJ4vcANMEg&amp;_nc_zt=23&amp;_nc_ht=scontent.xx&amp;edm=AAwGEdEEAAAA&amp;_nc_gid=iEndcDk33bF5gt7MdoYrfg&amp;_nc_tpa=Q5bMBQG4dFyHN_QQ8G2NRQbDeoGVdIjIZeGEKeevCvtVcvG7iEgQQJPz4HCbgxADAe2vaQ7rpnyQQbFB&amp;stp=c0.5000x0.5000f_dst-emg0_p64x64_q75_tt6&amp;ur=5fad0e&amp;_nc_sid=58080a&amp;oh=00_Af5nzEekQe9ktakeah8CHgB08ICmSptQat6KOkPOA9UC0g&amp;oe=6A0738D6" TargetMode="External"/><Relationship Id="rId441" Type="http://schemas.openxmlformats.org/officeDocument/2006/relationships/hyperlink" Target="https://scontent.xx.fbcdn.net/v/t15.5256-10/656850466_36157958293803722_1530186273580255821_n.jpg?_nc_cat=103&amp;ccb=1-7&amp;_nc_ohc=JYPaxhvv7rIQ7kNvwHRUTtz&amp;_nc_oc=Adpxh15DH63wYqune_Ejk8r7whiigcxrC686H31xoY8jibaYtTg9TpRABbGTObPMyoA&amp;_nc_zt=23&amp;_nc_ht=scontent.xx&amp;edm=AAwGEdEEAAAA&amp;_nc_gid=iEndcDk33bF5gt7MdoYrfg&amp;_nc_tpa=Q5bMBQH9jfOOSC02b8XxaAbfueOpbWVcilyyTZpdKOXIMZym3OIIjTo_DIlyJE3vCbht3qhdjShaTbAb&amp;stp=c0.5000x0.5000f_dst-emg0_p64x64_q75_tt6&amp;ur=b696e2&amp;_nc_sid=58080a&amp;oh=00_Af5t4Le7YFevVHho8AYXNC6tGZwcuVb8ODX9j4gPMqnhfw&amp;oe=6A073222" TargetMode="External"/><Relationship Id="rId683" Type="http://schemas.openxmlformats.org/officeDocument/2006/relationships/hyperlink" Target="https://www.instagram.com/p/DWZaMfYgDKM/" TargetMode="External"/><Relationship Id="rId437" Type="http://schemas.openxmlformats.org/officeDocument/2006/relationships/hyperlink" Target="https://www.instagram.com/p/DWZVnb-gJ1c/" TargetMode="External"/><Relationship Id="rId679" Type="http://schemas.openxmlformats.org/officeDocument/2006/relationships/hyperlink" Target="https://www.facebook.com/418887747980692/posts/122214710954542386" TargetMode="External"/><Relationship Id="rId436" Type="http://schemas.openxmlformats.org/officeDocument/2006/relationships/hyperlink" Target="https://www.facebook.com/418887747980692/posts/122214656876542386" TargetMode="External"/><Relationship Id="rId678" Type="http://schemas.openxmlformats.org/officeDocument/2006/relationships/hyperlink" Target="https://scontent.xx.fbcdn.net/v/t15.5256-10/657320602_952154174159507_7148290027186586603_n.jpg?_nc_cat=102&amp;ccb=1-7&amp;_nc_ohc=2qVV1ntMrJMQ7kNvwFNUoqc&amp;_nc_oc=Adrj0pnnRilH8ZRJilrWiMsiVTDSANVGL94u5nS7E7RrB2qUIG-1e2OBQ7Fp_49LzEw&amp;_nc_zt=23&amp;_nc_ht=scontent.xx&amp;edm=AAwGEdEEAAAA&amp;_nc_gid=iEndcDk33bF5gt7MdoYrfg&amp;_nc_tpa=Q5bMBQF6E1-tSG7X4ZX5ZlcefAYycSDrRXhXHxUerKRbcHFeWZVHwE3t1G2ldbc9FaiMdCVTIdREbest&amp;stp=c0.5000x0.5000f_dst-emg0_p64x64_q75_tt6&amp;ur=b696e2&amp;_nc_sid=58080a&amp;oh=00_Af5mkLNmDGGNsmaptQ16qZfMSsNwOv4z_7NuXg68Anoy4w&amp;oe=6A0712D4" TargetMode="External"/><Relationship Id="rId435" Type="http://schemas.openxmlformats.org/officeDocument/2006/relationships/hyperlink" Target="https://scontent.xx.fbcdn.net/v/t45.1600-4/657704700_10241910228635954_4215404491985677412_n.jpg?_nc_cat=102&amp;ccb=1-7&amp;_nc_ohc=1yrs_l8o3FYQ7kNvwHLe3fc&amp;_nc_oc=Adoj1E7Pt5d42wlWp85hOgWXwa3avWQNfrmbvCDkh0bVA1rKxG8nZix7Lpln1MosKao&amp;_nc_zt=1&amp;_nc_ht=scontent.xx&amp;edm=AAwGEdEEAAAA&amp;_nc_gid=iEndcDk33bF5gt7MdoYrfg&amp;_nc_tpa=Q5bMBQEAPIJ8oQowHgIGJgHiQKyjaHe9PsA30_8aVWj_gneE7VHSkuWXdJC3qAGdKmge8xr6k-1p6416&amp;stp=c0.5000x0.5000f_dst-emg0_p64x64_q75_tt6&amp;ur=52f3c4&amp;_nc_sid=58080a&amp;oh=00_Af7SbebbonnukHzniH9IZDxVsErkPuniKzeOPDrPP5VEkQ&amp;oe=6A073D71" TargetMode="External"/><Relationship Id="rId677" Type="http://schemas.openxmlformats.org/officeDocument/2006/relationships/hyperlink" Target="https://www.instagram.com/p/DWZZo8wgOwO/" TargetMode="External"/><Relationship Id="rId434" Type="http://schemas.openxmlformats.org/officeDocument/2006/relationships/hyperlink" Target="https://www.instagram.com/p/DWZVmTwAO1E/" TargetMode="External"/><Relationship Id="rId676" Type="http://schemas.openxmlformats.org/officeDocument/2006/relationships/hyperlink" Target="https://www.facebook.com/418887747980692/posts/122214710732542386" TargetMode="External"/><Relationship Id="rId439" Type="http://schemas.openxmlformats.org/officeDocument/2006/relationships/hyperlink" Target="https://www.facebook.com/418887747980692/posts/122214656786542386" TargetMode="External"/><Relationship Id="rId438" Type="http://schemas.openxmlformats.org/officeDocument/2006/relationships/hyperlink" Target="https://scontent.xx.fbcdn.net/v/t15.5256-10/656950733_925953933387415_8803657205054814029_n.jpg?_nc_cat=104&amp;ccb=1-7&amp;_nc_ohc=J_K2Ip3KpmYQ7kNvwFbZHvI&amp;_nc_oc=Adose2P1PbqhQHY4XpfgdR8yYnjUWQuawDYdOdmcmUPQn7VZxTIJFCyDfZpISCe7oa0&amp;_nc_zt=23&amp;_nc_ht=scontent.xx&amp;edm=AAwGEdEEAAAA&amp;_nc_gid=iEndcDk33bF5gt7MdoYrfg&amp;_nc_tpa=Q5bMBQHJ7lZC7WmQNxubOkCXxf_Kk01KDAe2yfr9dRtOxtui0lXWNLRLMQQ7TwwFAOFlTyo7sHjupMZu&amp;stp=c0.5000x0.5000f_dst-emg0_p64x64_q75_tt6&amp;ur=b696e2&amp;_nc_sid=58080a&amp;oh=00_Af4iweoZzUpIZcycZMUuV3BisGq2cPEtYqoXjt2qK79PLg&amp;oe=6A070D3D" TargetMode="External"/><Relationship Id="rId671" Type="http://schemas.openxmlformats.org/officeDocument/2006/relationships/hyperlink" Target="https://www.instagram.com/p/DWZZnxvAAjQ/" TargetMode="External"/><Relationship Id="rId670" Type="http://schemas.openxmlformats.org/officeDocument/2006/relationships/hyperlink" Target="https://www.facebook.com/418887747980692/posts/122214711296542386" TargetMode="External"/><Relationship Id="rId433" Type="http://schemas.openxmlformats.org/officeDocument/2006/relationships/hyperlink" Target="https://www.facebook.com/418887747980692/posts/122214655358542386" TargetMode="External"/><Relationship Id="rId675" Type="http://schemas.openxmlformats.org/officeDocument/2006/relationships/hyperlink" Target="https://scontent.xx.fbcdn.net/v/t45.1600-4/656007801_10241909975789633_3853226454270751295_n.jpg?_nc_cat=108&amp;ccb=1-7&amp;_nc_ohc=kT8nFml0jDMQ7kNvwGA7MPn&amp;_nc_oc=Ado3cT5Cfy_kQvlN6xgA8vHng99VREb0P4JtrfCHfH7j8Z0lxTQIRB4rRjq4NASMPpI&amp;_nc_zt=1&amp;_nc_ht=scontent.xx&amp;edm=AAwGEdEEAAAA&amp;_nc_gid=iEndcDk33bF5gt7MdoYrfg&amp;_nc_tpa=Q5bMBQEKLtT8VNF_HLP0FjcB2FbQUG2CcwCA9CdD_4h5zRcFdLeC0T_yaEPW-Tk119q-EXKpith-XeEN&amp;stp=c0.5000x0.5000f_dst-emg0_p64x64_q75_tt6&amp;ur=52f3c4&amp;_nc_sid=58080a&amp;oh=00_Af7kwERopUciyLnCGk3h7XeGUYd5OzzF0fzC8P1eQm9kww&amp;oe=6A07362D" TargetMode="External"/><Relationship Id="rId432" Type="http://schemas.openxmlformats.org/officeDocument/2006/relationships/hyperlink" Target="https://scontent.xx.fbcdn.net/v/t15.5256-10/655230990_2188016461967465_1976998085957988302_n.jpg?_nc_cat=108&amp;ccb=1-7&amp;_nc_ohc=RKZogepcc-cQ7kNvwHnCAqf&amp;_nc_oc=AdpXy-s9kR-jSJxByVuBiEOT9v0JvZAf-cZycxP9Dj6qctXnO6YZYcNhJ4rwocDjo2E&amp;_nc_zt=23&amp;_nc_ht=scontent.xx&amp;edm=AAwGEdEEAAAA&amp;_nc_gid=iEndcDk33bF5gt7MdoYrfg&amp;_nc_tpa=Q5bMBQGPbQk1zSgb92aNpmojqdp3wv7md8ae7u_hcVpiyCseYQziUgO5aOw2R22k5yOlJpc67_tnt5-X&amp;stp=c0.5000x0.5000f_dst-emg0_p64x64_q75_tt6&amp;ur=b696e2&amp;_nc_sid=58080a&amp;oh=00_Af6v-UTJ2_jRB4WbrcXlpndCFyezVjXuWJA1d8lxQGud5g&amp;oe=6A071423" TargetMode="External"/><Relationship Id="rId674" Type="http://schemas.openxmlformats.org/officeDocument/2006/relationships/hyperlink" Target="https://www.instagram.com/p/DWZZmxvACiI/" TargetMode="External"/><Relationship Id="rId431" Type="http://schemas.openxmlformats.org/officeDocument/2006/relationships/hyperlink" Target="https://www.instagram.com/p/DWZVmK-AMij/" TargetMode="External"/><Relationship Id="rId673" Type="http://schemas.openxmlformats.org/officeDocument/2006/relationships/hyperlink" Target="https://www.facebook.com/418887747980692/posts/122214710546542386" TargetMode="External"/><Relationship Id="rId430" Type="http://schemas.openxmlformats.org/officeDocument/2006/relationships/hyperlink" Target="https://www.facebook.com/418887747980692/posts/122214656414542386" TargetMode="External"/><Relationship Id="rId672" Type="http://schemas.openxmlformats.org/officeDocument/2006/relationships/hyperlink" Target="https://scontent.xx.fbcdn.net/v/t15.5256-10/656738039_1263737895730885_5448108828000008158_n.jpg?_nc_cat=106&amp;ccb=1-7&amp;_nc_ohc=irq3tXoRXr4Q7kNvwHfhpfX&amp;_nc_oc=AdoYUAyhG0pc1eAEo4rmaCWwg14IzdWsfcGCdxNpVqwo13wS5eO91I4ddCVFKcTQGXw&amp;_nc_zt=23&amp;_nc_ht=scontent.xx&amp;edm=AAwGEdEEAAAA&amp;_nc_gid=iEndcDk33bF5gt7MdoYrfg&amp;_nc_tpa=Q5bMBQF4b4060hytpVijtp1CrgIov0VH5eyTDu868Aw4u1CpwCzzGLFVefQIWLKiEEoG_jnzPDvDRQyP&amp;stp=c0.5000x0.5000f_dst-emg0_p64x64_q75_tt6&amp;ur=b696e2&amp;_nc_sid=58080a&amp;oh=00_Af4itVmvo1Iq5nZD_1mbL9sFoX-J1P-0qp-SEn1LDai9oQ&amp;oe=6A072D6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1.63"/>
    <col customWidth="1" min="2" max="2" width="17.5"/>
    <col customWidth="1" min="3" max="3" width="16.25"/>
    <col customWidth="1" min="4" max="5" width="16.38"/>
    <col customWidth="1" min="6" max="6" width="12.38"/>
    <col customWidth="1" min="7" max="7" width="21.5"/>
    <col customWidth="1" min="8" max="8" width="18.63"/>
    <col customWidth="1" min="9" max="9" width="20.38"/>
    <col customWidth="1" min="10" max="10" width="12.75"/>
    <col customWidth="1" min="11" max="11" width="12.5"/>
    <col customWidth="1" min="12" max="12" width="13.5"/>
    <col customWidth="1" min="13" max="13" width="19.38"/>
    <col customWidth="1" min="14" max="14" width="13.38"/>
    <col customWidth="1" min="15" max="15" width="24.38"/>
    <col customWidth="1" min="16" max="16" width="13.25"/>
    <col customWidth="1" min="17" max="17" width="11.25"/>
    <col customWidth="1" min="18" max="18" width="14.75"/>
    <col customWidth="1" min="19" max="19" width="21.75"/>
    <col customWidth="1" min="20" max="20" width="13.13"/>
    <col customWidth="1" min="21" max="21" width="16.25"/>
    <col customWidth="1" min="22" max="22" width="66.88"/>
    <col customWidth="1" min="25" max="25" width="39.0"/>
  </cols>
  <sheetData>
    <row r="1" ht="45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O1" s="5" t="s">
        <v>2</v>
      </c>
      <c r="U1" s="6"/>
      <c r="V1" s="6"/>
      <c r="W1" s="7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ht="48.75" customHeight="1">
      <c r="A2" s="9" t="s">
        <v>3</v>
      </c>
      <c r="B2" s="10">
        <f>SUM(B4:B1002)</f>
        <v>353956.34</v>
      </c>
      <c r="C2" s="11"/>
      <c r="D2" s="11">
        <f>SUM(D4:D1002)</f>
        <v>102699</v>
      </c>
      <c r="E2" s="12">
        <f>IFERROR(B2/D2,"-")</f>
        <v>3.446541252</v>
      </c>
      <c r="F2" s="11">
        <f>SUM(F4:F89)</f>
        <v>385</v>
      </c>
      <c r="G2" s="13">
        <f>IFERROR(B2/F2,"-")</f>
        <v>919.3671169</v>
      </c>
      <c r="H2" s="14">
        <f>IFERROR(1574.65*F2/B2,"-")</f>
        <v>1.712754319</v>
      </c>
      <c r="I2" s="15">
        <f t="shared" ref="I2:J2" si="1">SUM(I4:I1002)</f>
        <v>180450.42</v>
      </c>
      <c r="J2" s="16">
        <f t="shared" si="1"/>
        <v>71456</v>
      </c>
      <c r="K2" s="15">
        <f>IFERROR(I2/J2,"-")</f>
        <v>2.525336151</v>
      </c>
      <c r="L2" s="17">
        <f>SUM(L4:L89)</f>
        <v>182</v>
      </c>
      <c r="M2" s="18">
        <f>IFERROR(I2/L2,"-")</f>
        <v>991.4858242</v>
      </c>
      <c r="N2" s="19">
        <f>IFERROR(1574.65*L2/I2,"-")</f>
        <v>1.588171975</v>
      </c>
      <c r="O2" s="20">
        <f t="shared" ref="O2:P2" si="2">SUM(O4:O1002)</f>
        <v>173505.92</v>
      </c>
      <c r="P2" s="21">
        <f t="shared" si="2"/>
        <v>31243</v>
      </c>
      <c r="Q2" s="20">
        <f>IFERROR(O2/P2,"-")</f>
        <v>5.553433409</v>
      </c>
      <c r="R2" s="22">
        <f>SUM(R4:R89)</f>
        <v>203</v>
      </c>
      <c r="S2" s="20">
        <f>IFERROR(O2/R2,"-")</f>
        <v>854.7089655</v>
      </c>
      <c r="T2" s="23">
        <f>IFERROR(1574.65*R2/O2,"-")</f>
        <v>1.842323017</v>
      </c>
      <c r="U2" s="6"/>
      <c r="V2" s="6" t="s">
        <v>4</v>
      </c>
      <c r="W2" s="24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ht="33.75" customHeight="1">
      <c r="A3" s="26" t="s">
        <v>5</v>
      </c>
      <c r="B3" s="26" t="s">
        <v>6</v>
      </c>
      <c r="C3" s="26" t="s">
        <v>7</v>
      </c>
      <c r="D3" s="26" t="s">
        <v>8</v>
      </c>
      <c r="E3" s="26" t="s">
        <v>9</v>
      </c>
      <c r="F3" s="26" t="s">
        <v>10</v>
      </c>
      <c r="G3" s="26" t="s">
        <v>11</v>
      </c>
      <c r="H3" s="26" t="s">
        <v>12</v>
      </c>
      <c r="I3" s="27" t="s">
        <v>13</v>
      </c>
      <c r="J3" s="28" t="s">
        <v>14</v>
      </c>
      <c r="K3" s="28" t="s">
        <v>15</v>
      </c>
      <c r="L3" s="28" t="s">
        <v>16</v>
      </c>
      <c r="M3" s="28" t="s">
        <v>17</v>
      </c>
      <c r="N3" s="28" t="s">
        <v>18</v>
      </c>
      <c r="O3" s="29" t="s">
        <v>19</v>
      </c>
      <c r="P3" s="30" t="s">
        <v>20</v>
      </c>
      <c r="Q3" s="30" t="s">
        <v>21</v>
      </c>
      <c r="R3" s="30" t="s">
        <v>22</v>
      </c>
      <c r="S3" s="30" t="s">
        <v>23</v>
      </c>
      <c r="T3" s="30" t="s">
        <v>24</v>
      </c>
      <c r="U3" s="6"/>
      <c r="V3" s="6"/>
      <c r="W3" s="31"/>
    </row>
    <row r="4" ht="48.75" customHeight="1">
      <c r="A4" s="32" t="str">
        <f>IFERROR(__xludf.DUMMYFUNCTION("LET(
  aba_fb, 'Anúncios FB PBB-ABR-26'!A4:F1002,
  aba_yt, 'Anúncios YT PBB-ABR-26'!A4:F1002,
  nomes_unicos, UNIQUE({CHOOSECOLS(aba_fb, 1); CHOOSECOLS(aba_yt, 1)}),
  nomes, FILTER(nomes_unicos, nomes_unicos&lt;&gt;""""),
  vendas, MAP(nomes, LAMBDA(n, "&amp;"
    IFERROR(VLOOKUP(n, aba_fb, 6, 0), 0) + 
    IFERROR(VLOOKUP(n, aba_yt, 6, 0), 0)
  )),
  ranking, SORT({nomes , vendas}, 2, 0),
  lista_final, CHOOSECOLS(ranking, 1),
  MAP(lista_final, LAMBDA(n, 
    LET(
      fb_link, IFERROR(XLOOKUP(n, 'EXT"&amp;"RACAO-BM'!A:A, 'EXTRACAO-BM'!H:H, """"), """"),
      yt_id, IFERROR(XLOOKUP(n, 'EXTRACAO-GA'!A:A, 'EXTRACAO-GA'!I:I, """"), """"),
      yt_link, IF(yt_id&lt;&gt;"""", ""https://www.youtube.com/watch?v="" &amp; yt_id, """"),
      final_link, IF(fb_link&lt;&gt;"""", fb_"&amp;"link, yt_link),
      IF(final_link&lt;&gt;"""", HYPERLINK(final_link, n), n)
    )
  ))
)"),"AD092 - Dois personagens casa do Thales - PBB-ABR-26")</f>
        <v>AD092 - Dois personagens casa do Thales - PBB-ABR-26</v>
      </c>
      <c r="B4" s="33">
        <f t="array" ref="B4:B1002">IF(A4:A1002="", "", I4:I1002 + O4:O1002)</f>
        <v>26472.84</v>
      </c>
      <c r="C4" s="34" t="str">
        <f t="array" ref="C4:C1002">MAP(A4:A1002, LAMBDA(n, 
  IF(n="", "",
    IF(IFERROR(SEARCH("AD157", n), 0) &gt; 0,
      IMAGE("https://scontent.frao5-1.fna.fbcdn.net/v/t45.1600-4/499368121_3450377525094777_6566430056816394720_n.jpg?stp=cp0_dst-jpg_p526x296_q75_spS444_tt6&amp;_nc_cat=102&amp;ccb=1-7&amp;_nc_sid=f0a831&amp;_nc_ohc=O2lTrkomxFkQ7kNvwHncz4G&amp;_nc_oc=AdpKNVnzhKBOTdc9UUtB7oM8dk0o8JKoZWab"&amp;"rkZucuVskaY_ui3mKrSkA9uwRjBWSkc&amp;_nc_zt=1&amp;_nc_ht=scontent.frao5-1.fna&amp;_nc_gid=g7-GLvUaa1O0YSEwuICwfg&amp;_nc_ss=7b2a8&amp;oh=00_Af5PoUdgXxOfXebkPAuO4VyG1qcaasRsMiAmlEqbghhWBQ&amp;oe=6A07B952"),
      IF(IFERROR(SEARCH("AD213", n), 0) &gt; 0,
        IMAGE("https://scontent.frao5-1.fna.fbcdn.net/v/t45.1600-4/611676973_3708502889282238_4328212273790943146_n.jpg?stp=dst-jpg_s168x128_tt6&amp;_nc_cat=108&amp;ccb=1-7&amp;_nc_sid=d5bd00&amp;_nc_ohc=mXi2u9t5t5YQ7kNvwFezS1w&amp;_nc_oc=AdrpGCQs1MxAOVQc6eyka9D7ooKfvzUyHzq92P374q9WRouWaJl"&amp;"2o-QEGsTelEamlLw&amp;_nc_zt=1&amp;_nc_ht=scontent.frao5-1.fna&amp;_nc_gid=51VBC5Aku7RbDZfD3swckw&amp;_nc_ss=7b2a8&amp;oh=00_Af6q1hpX492SXVH14YgqPZAsEbKlAJY38RVwGkxe937Cdg&amp;oe=6A02841A"),
        LET(
          fb, XLOOKUP(n, 'EXTRACAO-BM'!A:A, 'EXTRACAO-BM'!J:J, ""),
          yt, XLOOKUP(n, 'EXTRACAO-GA'!A:A, 'EXTRACAO-GA'!H:H, ""),
          IF(fb&lt;&gt;"", IMAGE(fb), 
            IF(yt&lt;&gt;"", IMAGE("https://img.youtube.com/vi/" &amp; yt &amp; "/hqdefault.jpg"), 
              ""
            )
          )
        )
      )
    )
  )
))</f>
        <v/>
      </c>
      <c r="D4" s="35">
        <f t="array" ref="D4:D1002">IF(A4:A1002="", "", J4:J1002 + P4:P1002)</f>
        <v>6830</v>
      </c>
      <c r="E4" s="36">
        <f t="array" ref="E4:E1002">IF(B4:B1002="", "", IFERROR(B4:B1002 / D4:D1002, 0))</f>
        <v>3.875964861</v>
      </c>
      <c r="F4" s="37">
        <f t="array" ref="F4:F1002">IF(A4:A1002="", "", L4:L1002 + R4:R1002)</f>
        <v>63</v>
      </c>
      <c r="G4" s="33">
        <f t="array" ref="G4:G1002">IF(B4:B1002="", "", IFERROR(B4:B1002 / F4:F1002, 0))</f>
        <v>420.2038095</v>
      </c>
      <c r="H4" s="38">
        <f t="array" ref="H4:H1002">IF(B4:B1002="", "", IFERROR((F4:F1002 * 1574.65) / B4:B1002, 0))</f>
        <v>3.747348226</v>
      </c>
      <c r="I4" s="39">
        <f t="array" ref="I4:I1002">MAP(A4:A1002, LAMBDA(anuncio, IF(anuncio="", "", SUMIFS('EXTRACAO-BM'!C:C, 'EXTRACAO-BM'!A:A, "*" &amp; LEFT(anuncio, 5) &amp; "*"))))</f>
        <v>5861.03</v>
      </c>
      <c r="J4" s="40">
        <f t="array" ref="J4:J1002">MAP(A4:A1002, LAMBDA(anuncio, IF(anuncio="", "", SUMIFS('EXTRACAO-BM'!D:D, 'EXTRACAO-BM'!A:A, "*" &amp; LEFT(anuncio, 5) &amp; "*"))))</f>
        <v>2376</v>
      </c>
      <c r="K4" s="41">
        <f t="array" ref="K4:K1002">IF(A4:A1002="", "", IF(J4:J1002=0, 0, I4:I1002 / J4:J1002))</f>
        <v>2.466763468</v>
      </c>
      <c r="L4" s="42">
        <f t="array" ref="L4:L1002">IF(A4:A1002="", "", IFERROR(VLOOKUP(A4:A1002, 'Anúncios FB PBB-ABR-26'!A:F, 6, 0), 0))</f>
        <v>26</v>
      </c>
      <c r="M4" s="43">
        <f t="array" ref="M4:M1002">IF(I4:I1002="", "", IFERROR(I4:I1002 / L4:L1002, 0))</f>
        <v>225.4242308</v>
      </c>
      <c r="N4" s="44">
        <f t="array" ref="N4:N1002">IF(A4:A1002="", "", IFERROR(1574.65 * L4:L1002 / I4:I1002, ""))</f>
        <v>6.985273919</v>
      </c>
      <c r="O4" s="45">
        <f t="array" ref="O4:O1002">MAP(A4:A1002, LAMBDA(anuncio, IF(anuncio="", "", SUMIFS('EXTRACAO-GA'!C:C, 'EXTRACAO-GA'!A:A, "*" &amp; LEFT(anuncio, 5) &amp; "*"))))</f>
        <v>20611.81</v>
      </c>
      <c r="P4" s="46">
        <f t="array" ref="P4:P1002">MAP(A4:A1002, LAMBDA(anuncio, IF(anuncio="", "", SUMIFS('EXTRACAO-GA'!D:D, 'EXTRACAO-GA'!A:A, "*" &amp; LEFT(anuncio, 5) &amp; "*"))))</f>
        <v>4454</v>
      </c>
      <c r="Q4" s="45">
        <f t="array" ref="Q4:Q1002">IF(A4:A1002="", "", IF(P4:P1002=0, 0, O4:O1002 / P4:P1002))</f>
        <v>4.627707678</v>
      </c>
      <c r="R4" s="47">
        <f t="array" ref="R4:R1002">IF(A4:A1002="", "", IFERROR(VLOOKUP(A4:A1002, 'Anúncios YT PBB-ABR-26'!A:F, 6, 0), 0))</f>
        <v>37</v>
      </c>
      <c r="S4" s="45">
        <f t="array" ref="S4:S1002">IF(O4:O1002="", "", IFERROR(O4:O1002 / R4:R1002, 0))</f>
        <v>557.0759459</v>
      </c>
      <c r="T4" s="48">
        <f t="array" ref="T4:T1002">IF(O4:O1002="", "", IFERROR((R4:R1002 * 1574.65) / O4:O1002, 0))</f>
        <v>2.826634342</v>
      </c>
      <c r="U4" s="34"/>
      <c r="V4" s="49" t="s">
        <v>25</v>
      </c>
      <c r="W4" s="50"/>
      <c r="Y4" s="51"/>
      <c r="Z4" s="51"/>
      <c r="AA4" s="51"/>
      <c r="AB4" s="51"/>
      <c r="AC4" s="51"/>
      <c r="AD4" s="51"/>
    </row>
    <row r="5" ht="48.75" customHeight="1">
      <c r="A5" s="32" t="str">
        <f>IFERROR(__xludf.DUMMYFUNCTION("""COMPUTED_VALUE"""),"AD058 - Casa do Thales - PBB-ABR-26")</f>
        <v>AD058 - Casa do Thales - PBB-ABR-26</v>
      </c>
      <c r="B5" s="33">
        <v>12930.630000000008</v>
      </c>
      <c r="C5" s="34"/>
      <c r="D5" s="35">
        <v>2653.0</v>
      </c>
      <c r="E5" s="36">
        <v>4.873965322276671</v>
      </c>
      <c r="F5" s="37">
        <v>47.0</v>
      </c>
      <c r="G5" s="33">
        <v>275.11978723404275</v>
      </c>
      <c r="H5" s="38">
        <v>5.723506897962431</v>
      </c>
      <c r="I5" s="39">
        <v>4893.7699999999995</v>
      </c>
      <c r="J5" s="40">
        <v>1736.0</v>
      </c>
      <c r="K5" s="41">
        <v>2.818991935483871</v>
      </c>
      <c r="L5" s="42">
        <v>38.0</v>
      </c>
      <c r="M5" s="43">
        <v>128.78342105263155</v>
      </c>
      <c r="N5" s="44">
        <v>12.227117334897228</v>
      </c>
      <c r="O5" s="45">
        <v>8036.86000000001</v>
      </c>
      <c r="P5" s="46">
        <v>917.0</v>
      </c>
      <c r="Q5" s="45">
        <v>8.764296619411134</v>
      </c>
      <c r="R5" s="47">
        <v>9.0</v>
      </c>
      <c r="S5" s="45">
        <v>892.9844444444456</v>
      </c>
      <c r="T5" s="48">
        <v>1.763356584536745</v>
      </c>
      <c r="U5" s="34"/>
      <c r="V5" s="49" t="s">
        <v>26</v>
      </c>
      <c r="W5" s="50"/>
      <c r="Y5" s="52"/>
      <c r="Z5" s="53"/>
      <c r="AA5" s="53"/>
      <c r="AB5" s="53"/>
      <c r="AC5" s="53"/>
      <c r="AD5" s="53"/>
    </row>
    <row r="6" ht="48.75" customHeight="1">
      <c r="A6" s="32" t="str">
        <f>IFERROR(__xludf.DUMMYFUNCTION("""COMPUTED_VALUE"""),"AD050 - Banco do Brasil 2 - cx nova - PBB-ABR-26")</f>
        <v>AD050 - Banco do Brasil 2 - cx nova - PBB-ABR-26</v>
      </c>
      <c r="B6" s="33">
        <v>34024.07</v>
      </c>
      <c r="C6" s="34"/>
      <c r="D6" s="35">
        <v>10726.0</v>
      </c>
      <c r="E6" s="36">
        <v>3.172111691217602</v>
      </c>
      <c r="F6" s="37">
        <v>41.0</v>
      </c>
      <c r="G6" s="33">
        <v>829.8553658536586</v>
      </c>
      <c r="H6" s="38">
        <v>1.897499329151392</v>
      </c>
      <c r="I6" s="39">
        <v>18922.739999999998</v>
      </c>
      <c r="J6" s="40">
        <v>8061.0</v>
      </c>
      <c r="K6" s="41">
        <v>2.3474432452549308</v>
      </c>
      <c r="L6" s="42">
        <v>27.0</v>
      </c>
      <c r="M6" s="43">
        <v>700.8422222222222</v>
      </c>
      <c r="N6" s="44">
        <v>2.246796711258518</v>
      </c>
      <c r="O6" s="45">
        <v>15101.330000000004</v>
      </c>
      <c r="P6" s="46">
        <v>2665.0</v>
      </c>
      <c r="Q6" s="45">
        <v>5.666540337711071</v>
      </c>
      <c r="R6" s="47">
        <v>14.0</v>
      </c>
      <c r="S6" s="45">
        <v>1078.666428571429</v>
      </c>
      <c r="T6" s="48">
        <v>1.4598118178994828</v>
      </c>
      <c r="U6" s="34"/>
      <c r="V6" s="49" t="s">
        <v>27</v>
      </c>
      <c r="W6" s="50"/>
      <c r="Y6" s="52"/>
      <c r="Z6" s="53"/>
      <c r="AA6" s="53"/>
      <c r="AB6" s="53"/>
      <c r="AC6" s="53"/>
      <c r="AD6" s="53"/>
    </row>
    <row r="7" ht="48.75" customHeight="1">
      <c r="A7" s="32" t="str">
        <f>IFERROR(__xludf.DUMMYFUNCTION("""COMPUTED_VALUE"""),"AD109 - Fachada Banco do Brasil com cx PBB-ABR-26")</f>
        <v>AD109 - Fachada Banco do Brasil com cx PBB-ABR-26</v>
      </c>
      <c r="B7" s="33">
        <v>24324.86</v>
      </c>
      <c r="C7" s="34"/>
      <c r="D7" s="35">
        <v>9084.0</v>
      </c>
      <c r="E7" s="36">
        <v>2.677769704975782</v>
      </c>
      <c r="F7" s="37">
        <v>39.0</v>
      </c>
      <c r="G7" s="33">
        <v>623.714358974359</v>
      </c>
      <c r="H7" s="38">
        <v>2.5246332352991963</v>
      </c>
      <c r="I7" s="39">
        <v>20743.81</v>
      </c>
      <c r="J7" s="40">
        <v>8335.0</v>
      </c>
      <c r="K7" s="41">
        <v>2.488759448110378</v>
      </c>
      <c r="L7" s="42">
        <v>39.0</v>
      </c>
      <c r="M7" s="43">
        <v>531.8925641025642</v>
      </c>
      <c r="N7" s="44">
        <v>2.960466278856199</v>
      </c>
      <c r="O7" s="45">
        <v>3581.05</v>
      </c>
      <c r="P7" s="46">
        <v>749.0</v>
      </c>
      <c r="Q7" s="45">
        <v>4.781108144192257</v>
      </c>
      <c r="R7" s="47"/>
      <c r="S7" s="45">
        <v>0.0</v>
      </c>
      <c r="T7" s="48">
        <v>0.0</v>
      </c>
      <c r="U7" s="34"/>
      <c r="V7" s="49" t="s">
        <v>28</v>
      </c>
      <c r="W7" s="54"/>
      <c r="X7" s="25"/>
      <c r="Y7" s="52"/>
      <c r="Z7" s="53"/>
      <c r="AA7" s="53"/>
      <c r="AB7" s="53"/>
      <c r="AC7" s="53"/>
      <c r="AD7" s="53"/>
      <c r="AE7" s="25"/>
      <c r="AF7" s="25"/>
      <c r="AG7" s="25"/>
      <c r="AH7" s="25"/>
      <c r="AI7" s="25"/>
    </row>
    <row r="8" ht="48.75" customHeight="1">
      <c r="A8" s="32" t="str">
        <f>IFERROR(__xludf.DUMMYFUNCTION("""COMPUTED_VALUE"""),"AD097 - Carro + cx - PBB-ABR-26")</f>
        <v>AD097 - Carro + cx - PBB-ABR-26</v>
      </c>
      <c r="B8" s="33">
        <v>2690.4899999999957</v>
      </c>
      <c r="C8" s="34"/>
      <c r="D8" s="35">
        <v>455.0</v>
      </c>
      <c r="E8" s="36">
        <v>5.913164835164825</v>
      </c>
      <c r="F8" s="37">
        <v>28.0</v>
      </c>
      <c r="G8" s="33">
        <v>96.08892857142841</v>
      </c>
      <c r="H8" s="38">
        <v>16.387423852160786</v>
      </c>
      <c r="I8" s="39">
        <v>921.05</v>
      </c>
      <c r="J8" s="40">
        <v>272.0</v>
      </c>
      <c r="K8" s="41">
        <v>3.3862132352941177</v>
      </c>
      <c r="L8" s="42"/>
      <c r="M8" s="43">
        <v>0.0</v>
      </c>
      <c r="N8" s="44">
        <v>0.0</v>
      </c>
      <c r="O8" s="45">
        <v>1769.4399999999957</v>
      </c>
      <c r="P8" s="46">
        <v>183.0</v>
      </c>
      <c r="Q8" s="45">
        <v>9.669071038251342</v>
      </c>
      <c r="R8" s="47">
        <v>28.0</v>
      </c>
      <c r="S8" s="45">
        <v>63.19428571428556</v>
      </c>
      <c r="T8" s="48">
        <v>24.917601048919494</v>
      </c>
      <c r="U8" s="34"/>
      <c r="V8" s="49" t="s">
        <v>29</v>
      </c>
      <c r="W8" s="50"/>
      <c r="Y8" s="52"/>
      <c r="Z8" s="53"/>
      <c r="AA8" s="53"/>
      <c r="AB8" s="53"/>
      <c r="AC8" s="53"/>
      <c r="AD8" s="53"/>
    </row>
    <row r="9" ht="48.75" customHeight="1">
      <c r="A9" s="55" t="str">
        <f>IFERROR(__xludf.DUMMYFUNCTION("""COMPUTED_VALUE"""),"AD031 - Pergunta e resposta - PBB-ABR-26")</f>
        <v>AD031 - Pergunta e resposta - PBB-ABR-26</v>
      </c>
      <c r="B9" s="33">
        <v>903.4699999999997</v>
      </c>
      <c r="C9" s="34"/>
      <c r="D9" s="35">
        <v>83.0</v>
      </c>
      <c r="E9" s="36">
        <v>10.885180722891562</v>
      </c>
      <c r="F9" s="37">
        <v>25.0</v>
      </c>
      <c r="G9" s="33">
        <v>36.13879999999999</v>
      </c>
      <c r="H9" s="38">
        <v>43.57228242221658</v>
      </c>
      <c r="I9" s="39">
        <v>0.0</v>
      </c>
      <c r="J9" s="40">
        <v>0.0</v>
      </c>
      <c r="K9" s="41">
        <v>0.0</v>
      </c>
      <c r="L9" s="42">
        <v>0.0</v>
      </c>
      <c r="M9" s="43">
        <v>0.0</v>
      </c>
      <c r="N9" s="44" t="s">
        <v>30</v>
      </c>
      <c r="O9" s="45">
        <v>903.4699999999997</v>
      </c>
      <c r="P9" s="46">
        <v>83.0</v>
      </c>
      <c r="Q9" s="45">
        <v>10.885180722891562</v>
      </c>
      <c r="R9" s="47">
        <v>25.0</v>
      </c>
      <c r="S9" s="45">
        <v>36.13879999999999</v>
      </c>
      <c r="T9" s="48">
        <v>43.57228242221658</v>
      </c>
      <c r="U9" s="34"/>
      <c r="V9" s="49" t="s">
        <v>31</v>
      </c>
      <c r="W9" s="50"/>
      <c r="Y9" s="52"/>
      <c r="Z9" s="53"/>
      <c r="AA9" s="53"/>
      <c r="AB9" s="53"/>
      <c r="AC9" s="53"/>
      <c r="AD9" s="53"/>
    </row>
    <row r="10" ht="48.75" customHeight="1">
      <c r="A10" s="55" t="str">
        <f>IFERROR(__xludf.DUMMYFUNCTION("""COMPUTED_VALUE"""),"AD037 - Banco do Brasil 2 - PBB-ABR-26")</f>
        <v>AD037 - Banco do Brasil 2 - PBB-ABR-26</v>
      </c>
      <c r="B10" s="33">
        <v>17751.440000000017</v>
      </c>
      <c r="C10" s="34"/>
      <c r="D10" s="35">
        <v>3425.0</v>
      </c>
      <c r="E10" s="36">
        <v>5.182902189781027</v>
      </c>
      <c r="F10" s="37">
        <v>23.0</v>
      </c>
      <c r="G10" s="33">
        <v>771.8017391304355</v>
      </c>
      <c r="H10" s="38">
        <v>2.04022603236695</v>
      </c>
      <c r="I10" s="39">
        <v>0.0</v>
      </c>
      <c r="J10" s="40">
        <v>0.0</v>
      </c>
      <c r="K10" s="41">
        <v>0.0</v>
      </c>
      <c r="L10" s="42">
        <v>0.0</v>
      </c>
      <c r="M10" s="43">
        <v>0.0</v>
      </c>
      <c r="N10" s="44" t="s">
        <v>30</v>
      </c>
      <c r="O10" s="45">
        <v>17751.440000000017</v>
      </c>
      <c r="P10" s="46">
        <v>3425.0</v>
      </c>
      <c r="Q10" s="45">
        <v>5.182902189781027</v>
      </c>
      <c r="R10" s="47">
        <v>23.0</v>
      </c>
      <c r="S10" s="45">
        <v>771.8017391304355</v>
      </c>
      <c r="T10" s="48">
        <v>2.04022603236695</v>
      </c>
      <c r="U10" s="34"/>
      <c r="V10" s="49" t="s">
        <v>32</v>
      </c>
      <c r="W10" s="50"/>
      <c r="Y10" s="52"/>
      <c r="Z10" s="53"/>
      <c r="AA10" s="53"/>
      <c r="AB10" s="53"/>
      <c r="AC10" s="53"/>
      <c r="AD10" s="53"/>
    </row>
    <row r="11" ht="48.75" customHeight="1">
      <c r="A11" s="55" t="str">
        <f>IFERROR(__xludf.DUMMYFUNCTION("""COMPUTED_VALUE"""),"AD113 - Dois personagens apê do Felipe - PBB-ABR-26")</f>
        <v>AD113 - Dois personagens apê do Felipe - PBB-ABR-26</v>
      </c>
      <c r="B11" s="33">
        <v>29684.309999999998</v>
      </c>
      <c r="C11" s="34"/>
      <c r="D11" s="35">
        <v>11176.0</v>
      </c>
      <c r="E11" s="36">
        <v>2.6560764137437363</v>
      </c>
      <c r="F11" s="37">
        <v>22.0</v>
      </c>
      <c r="G11" s="33">
        <v>1349.286818181818</v>
      </c>
      <c r="H11" s="38">
        <v>1.1670239261077655</v>
      </c>
      <c r="I11" s="39">
        <v>24663.339999999997</v>
      </c>
      <c r="J11" s="40">
        <v>10493.0</v>
      </c>
      <c r="K11" s="41">
        <v>2.350456494806061</v>
      </c>
      <c r="L11" s="42">
        <v>0.0</v>
      </c>
      <c r="M11" s="43">
        <v>0.0</v>
      </c>
      <c r="N11" s="44">
        <v>0.0</v>
      </c>
      <c r="O11" s="45">
        <v>5020.969999999999</v>
      </c>
      <c r="P11" s="46">
        <v>683.0</v>
      </c>
      <c r="Q11" s="45">
        <v>7.35134699853587</v>
      </c>
      <c r="R11" s="47">
        <v>22.0</v>
      </c>
      <c r="S11" s="45">
        <v>228.22590909090906</v>
      </c>
      <c r="T11" s="48">
        <v>6.899523398865161</v>
      </c>
      <c r="U11" s="34"/>
      <c r="V11" s="49" t="s">
        <v>33</v>
      </c>
      <c r="W11" s="50"/>
      <c r="Y11" s="52"/>
      <c r="Z11" s="53"/>
      <c r="AA11" s="53"/>
      <c r="AB11" s="53"/>
      <c r="AC11" s="53"/>
      <c r="AD11" s="53"/>
    </row>
    <row r="12" ht="48.75" customHeight="1">
      <c r="A12" s="55" t="str">
        <f>IFERROR(__xludf.DUMMYFUNCTION("""COMPUTED_VALUE"""),"AD084 - Duas pessoas com caixa - PBB-ABR-26")</f>
        <v>AD084 - Duas pessoas com caixa - PBB-ABR-26</v>
      </c>
      <c r="B12" s="33">
        <v>28696.910000000003</v>
      </c>
      <c r="C12" s="34"/>
      <c r="D12" s="35">
        <v>7266.0</v>
      </c>
      <c r="E12" s="36">
        <v>3.949478392513075</v>
      </c>
      <c r="F12" s="37">
        <v>18.0</v>
      </c>
      <c r="G12" s="33">
        <v>1594.272777777778</v>
      </c>
      <c r="H12" s="38">
        <v>0.9876917061802123</v>
      </c>
      <c r="I12" s="39">
        <v>0.0</v>
      </c>
      <c r="J12" s="40">
        <v>0.0</v>
      </c>
      <c r="K12" s="41">
        <v>0.0</v>
      </c>
      <c r="L12" s="42">
        <v>0.0</v>
      </c>
      <c r="M12" s="43">
        <v>0.0</v>
      </c>
      <c r="N12" s="44" t="s">
        <v>30</v>
      </c>
      <c r="O12" s="45">
        <v>28696.910000000003</v>
      </c>
      <c r="P12" s="46">
        <v>7266.0</v>
      </c>
      <c r="Q12" s="45">
        <v>3.949478392513075</v>
      </c>
      <c r="R12" s="47">
        <v>18.0</v>
      </c>
      <c r="S12" s="45">
        <v>1594.272777777778</v>
      </c>
      <c r="T12" s="48">
        <v>0.9876917061802123</v>
      </c>
      <c r="U12" s="34"/>
      <c r="V12" s="49" t="s">
        <v>34</v>
      </c>
      <c r="W12" s="50"/>
      <c r="Y12" s="52"/>
      <c r="Z12" s="53"/>
      <c r="AA12" s="53"/>
      <c r="AB12" s="53"/>
      <c r="AC12" s="53"/>
      <c r="AD12" s="53"/>
    </row>
    <row r="13" ht="48.75" customHeight="1">
      <c r="A13" s="32" t="str">
        <f>IFERROR(__xludf.DUMMYFUNCTION("""COMPUTED_VALUE"""),"AD059 - Fachada Banco do Brasil + cx nova PBB-ABR-26")</f>
        <v>AD059 - Fachada Banco do Brasil + cx nova PBB-ABR-26</v>
      </c>
      <c r="B13" s="33">
        <v>9539.28000000001</v>
      </c>
      <c r="C13" s="34"/>
      <c r="D13" s="35">
        <v>2502.0</v>
      </c>
      <c r="E13" s="36">
        <v>3.812661870503601</v>
      </c>
      <c r="F13" s="37">
        <v>17.0</v>
      </c>
      <c r="G13" s="33">
        <v>561.1341176470594</v>
      </c>
      <c r="H13" s="38">
        <v>2.8061918719232453</v>
      </c>
      <c r="I13" s="39">
        <v>3517.34</v>
      </c>
      <c r="J13" s="40">
        <v>1210.0</v>
      </c>
      <c r="K13" s="41">
        <v>2.9068925619834713</v>
      </c>
      <c r="L13" s="42">
        <v>17.0</v>
      </c>
      <c r="M13" s="43">
        <v>206.90235294117647</v>
      </c>
      <c r="N13" s="44">
        <v>7.61059493822036</v>
      </c>
      <c r="O13" s="45">
        <v>6021.94000000001</v>
      </c>
      <c r="P13" s="46">
        <v>1292.0</v>
      </c>
      <c r="Q13" s="45">
        <v>4.660944272445827</v>
      </c>
      <c r="R13" s="47">
        <v>0.0</v>
      </c>
      <c r="S13" s="45">
        <v>0.0</v>
      </c>
      <c r="T13" s="48">
        <v>0.0</v>
      </c>
      <c r="U13" s="34"/>
      <c r="V13" s="49" t="s">
        <v>35</v>
      </c>
      <c r="W13" s="50"/>
      <c r="Y13" s="52"/>
      <c r="Z13" s="53"/>
      <c r="AA13" s="53"/>
      <c r="AB13" s="53"/>
      <c r="AC13" s="53"/>
      <c r="AD13" s="53"/>
    </row>
    <row r="14" ht="48.75" customHeight="1">
      <c r="A14" s="32" t="str">
        <f>IFERROR(__xludf.DUMMYFUNCTION("""COMPUTED_VALUE"""),"AD111 - Dois personagens - Brabo + legenda - PBB-ABR-26")</f>
        <v>AD111 - Dois personagens - Brabo + legenda - PBB-ABR-26</v>
      </c>
      <c r="B14" s="33">
        <v>1137.21</v>
      </c>
      <c r="C14" s="34"/>
      <c r="D14" s="35">
        <v>64.0</v>
      </c>
      <c r="E14" s="36">
        <v>17.76890625</v>
      </c>
      <c r="F14" s="37">
        <v>17.0</v>
      </c>
      <c r="G14" s="33">
        <v>66.89470588235294</v>
      </c>
      <c r="H14" s="38">
        <v>23.53923198002128</v>
      </c>
      <c r="I14" s="39">
        <v>84.19000000000001</v>
      </c>
      <c r="J14" s="40">
        <v>35.0</v>
      </c>
      <c r="K14" s="41">
        <v>2.4054285714285717</v>
      </c>
      <c r="L14" s="42">
        <v>16.0</v>
      </c>
      <c r="M14" s="43">
        <v>5.261875000000001</v>
      </c>
      <c r="N14" s="44">
        <v>299.25644375816603</v>
      </c>
      <c r="O14" s="45">
        <v>1053.02</v>
      </c>
      <c r="P14" s="46">
        <v>29.0</v>
      </c>
      <c r="Q14" s="45">
        <v>36.31103448275862</v>
      </c>
      <c r="R14" s="47">
        <v>1.0</v>
      </c>
      <c r="S14" s="45">
        <v>1053.02</v>
      </c>
      <c r="T14" s="48">
        <v>1.4953657100529905</v>
      </c>
      <c r="U14" s="34"/>
      <c r="V14" s="49" t="s">
        <v>36</v>
      </c>
      <c r="W14" s="50"/>
      <c r="Y14" s="52"/>
      <c r="Z14" s="53"/>
      <c r="AA14" s="53"/>
      <c r="AB14" s="53"/>
      <c r="AC14" s="53"/>
      <c r="AD14" s="53"/>
    </row>
    <row r="15" ht="48.75" customHeight="1">
      <c r="A15" s="32" t="str">
        <f>IFERROR(__xludf.DUMMYFUNCTION("""COMPUTED_VALUE"""),"AD071 - Casa do Felipe + cx - PBB-ABR-26")</f>
        <v>AD071 - Casa do Felipe + cx - PBB-ABR-26</v>
      </c>
      <c r="B15" s="33">
        <v>5360.26</v>
      </c>
      <c r="C15" s="34"/>
      <c r="D15" s="35">
        <v>1779.0</v>
      </c>
      <c r="E15" s="36">
        <v>3.0130747611017425</v>
      </c>
      <c r="F15" s="37">
        <v>6.0</v>
      </c>
      <c r="G15" s="33">
        <v>893.3766666666667</v>
      </c>
      <c r="H15" s="38">
        <v>1.762582412047177</v>
      </c>
      <c r="I15" s="39">
        <v>5360.26</v>
      </c>
      <c r="J15" s="40">
        <v>1779.0</v>
      </c>
      <c r="K15" s="41">
        <v>3.0130747611017425</v>
      </c>
      <c r="L15" s="42">
        <v>6.0</v>
      </c>
      <c r="M15" s="43">
        <v>893.3766666666667</v>
      </c>
      <c r="N15" s="44">
        <v>1.762582412047177</v>
      </c>
      <c r="O15" s="45">
        <v>0.0</v>
      </c>
      <c r="P15" s="46">
        <v>0.0</v>
      </c>
      <c r="Q15" s="45">
        <v>0.0</v>
      </c>
      <c r="R15" s="47">
        <v>0.0</v>
      </c>
      <c r="S15" s="45">
        <v>0.0</v>
      </c>
      <c r="T15" s="48">
        <v>0.0</v>
      </c>
      <c r="U15" s="34"/>
      <c r="V15" s="49" t="s">
        <v>37</v>
      </c>
      <c r="W15" s="50"/>
      <c r="Y15" s="52"/>
      <c r="Z15" s="53"/>
      <c r="AA15" s="53"/>
      <c r="AB15" s="53"/>
      <c r="AC15" s="53"/>
      <c r="AD15" s="53"/>
    </row>
    <row r="16" ht="48.75" customHeight="1">
      <c r="A16" s="55" t="str">
        <f>IFERROR(__xludf.DUMMYFUNCTION("""COMPUTED_VALUE"""),"AD112 - Dois personagens - Brabo + legenda - PBB-ABR-26")</f>
        <v>AD112 - Dois personagens - Brabo + legenda - PBB-ABR-26</v>
      </c>
      <c r="B16" s="33">
        <v>4597.349999999997</v>
      </c>
      <c r="C16" s="34"/>
      <c r="D16" s="35">
        <v>861.0</v>
      </c>
      <c r="E16" s="36">
        <v>5.339547038327522</v>
      </c>
      <c r="F16" s="37">
        <v>6.0</v>
      </c>
      <c r="G16" s="33">
        <v>766.2249999999995</v>
      </c>
      <c r="H16" s="38">
        <v>2.055075206368888</v>
      </c>
      <c r="I16" s="39">
        <v>1175.5100000000002</v>
      </c>
      <c r="J16" s="40">
        <v>370.0</v>
      </c>
      <c r="K16" s="41">
        <v>3.1770540540540546</v>
      </c>
      <c r="L16" s="42">
        <v>0.0</v>
      </c>
      <c r="M16" s="43">
        <v>0.0</v>
      </c>
      <c r="N16" s="44">
        <v>0.0</v>
      </c>
      <c r="O16" s="45">
        <v>3421.8399999999965</v>
      </c>
      <c r="P16" s="46">
        <v>491.0</v>
      </c>
      <c r="Q16" s="45">
        <v>6.969124236252538</v>
      </c>
      <c r="R16" s="47">
        <v>6.0</v>
      </c>
      <c r="S16" s="45">
        <v>570.306666666666</v>
      </c>
      <c r="T16" s="48">
        <v>2.761058377948709</v>
      </c>
      <c r="U16" s="34"/>
      <c r="V16" s="49" t="s">
        <v>38</v>
      </c>
      <c r="W16" s="50"/>
      <c r="Y16" s="52"/>
      <c r="Z16" s="53"/>
      <c r="AA16" s="53"/>
      <c r="AB16" s="53"/>
      <c r="AC16" s="53"/>
      <c r="AD16" s="53"/>
    </row>
    <row r="17" ht="48.75" customHeight="1">
      <c r="A17" s="55" t="str">
        <f>IFERROR(__xludf.DUMMYFUNCTION("""COMPUTED_VALUE"""),"AD059 - Fachada Banco do Brasil + cx nova - PBB-ABR-26")</f>
        <v>AD059 - Fachada Banco do Brasil + cx nova - PBB-ABR-26</v>
      </c>
      <c r="B17" s="33">
        <v>9539.28000000001</v>
      </c>
      <c r="C17" s="34"/>
      <c r="D17" s="35">
        <v>2502.0</v>
      </c>
      <c r="E17" s="36">
        <v>3.812661870503601</v>
      </c>
      <c r="F17" s="37">
        <v>5.0</v>
      </c>
      <c r="G17" s="33">
        <v>1907.856000000002</v>
      </c>
      <c r="H17" s="38">
        <v>0.8253505505656603</v>
      </c>
      <c r="I17" s="39">
        <v>3517.34</v>
      </c>
      <c r="J17" s="40">
        <v>1210.0</v>
      </c>
      <c r="K17" s="41">
        <v>2.9068925619834713</v>
      </c>
      <c r="L17" s="42">
        <v>0.0</v>
      </c>
      <c r="M17" s="43">
        <v>0.0</v>
      </c>
      <c r="N17" s="44">
        <v>0.0</v>
      </c>
      <c r="O17" s="45">
        <v>6021.94000000001</v>
      </c>
      <c r="P17" s="46">
        <v>1292.0</v>
      </c>
      <c r="Q17" s="45">
        <v>4.660944272445827</v>
      </c>
      <c r="R17" s="47">
        <v>5.0</v>
      </c>
      <c r="S17" s="45">
        <v>1204.388000000002</v>
      </c>
      <c r="T17" s="48">
        <v>1.3074275067503143</v>
      </c>
      <c r="U17" s="34"/>
      <c r="V17" s="49" t="s">
        <v>39</v>
      </c>
      <c r="W17" s="50"/>
      <c r="Y17" s="52"/>
      <c r="Z17" s="53"/>
      <c r="AA17" s="53"/>
      <c r="AB17" s="53"/>
      <c r="AC17" s="53"/>
      <c r="AD17" s="53"/>
    </row>
    <row r="18" ht="48.75" customHeight="1">
      <c r="A18" s="32" t="str">
        <f>IFERROR(__xludf.DUMMYFUNCTION("""COMPUTED_VALUE"""),"AD091 - Dois personagens violão - PBB-ABR-26")</f>
        <v>AD091 - Dois personagens violão - PBB-ABR-26</v>
      </c>
      <c r="B18" s="33">
        <v>1313.0700000000004</v>
      </c>
      <c r="C18" s="34"/>
      <c r="D18" s="35">
        <v>73.0</v>
      </c>
      <c r="E18" s="36">
        <v>17.98726027397261</v>
      </c>
      <c r="F18" s="37">
        <v>4.0</v>
      </c>
      <c r="G18" s="33">
        <v>328.2675000000001</v>
      </c>
      <c r="H18" s="38">
        <v>4.7968501298483694</v>
      </c>
      <c r="I18" s="39">
        <v>181.28000000000003</v>
      </c>
      <c r="J18" s="40">
        <v>43.0</v>
      </c>
      <c r="K18" s="41">
        <v>4.2158139534883725</v>
      </c>
      <c r="L18" s="42">
        <v>2.0</v>
      </c>
      <c r="M18" s="43">
        <v>90.64000000000001</v>
      </c>
      <c r="N18" s="44">
        <v>17.372572815533978</v>
      </c>
      <c r="O18" s="45">
        <v>1131.7900000000004</v>
      </c>
      <c r="P18" s="46">
        <v>30.0</v>
      </c>
      <c r="Q18" s="45">
        <v>37.72633333333335</v>
      </c>
      <c r="R18" s="47">
        <v>2.0</v>
      </c>
      <c r="S18" s="45">
        <v>565.8950000000002</v>
      </c>
      <c r="T18" s="48">
        <v>2.782583341432597</v>
      </c>
      <c r="U18" s="34"/>
      <c r="V18" s="49" t="s">
        <v>40</v>
      </c>
      <c r="W18" s="50"/>
      <c r="Y18" s="52"/>
      <c r="Z18" s="53"/>
      <c r="AA18" s="53"/>
      <c r="AB18" s="53"/>
      <c r="AC18" s="53"/>
      <c r="AD18" s="53"/>
    </row>
    <row r="19" ht="48.75" customHeight="1">
      <c r="A19" s="32" t="str">
        <f>IFERROR(__xludf.DUMMYFUNCTION("""COMPUTED_VALUE"""),"AD107 - Imagem apostilas - PBB-ABR-26")</f>
        <v>AD107 - Imagem apostilas - PBB-ABR-26</v>
      </c>
      <c r="B19" s="33">
        <v>5041.13</v>
      </c>
      <c r="C19" s="34"/>
      <c r="D19" s="35">
        <v>1865.0</v>
      </c>
      <c r="E19" s="36">
        <v>2.703018766756032</v>
      </c>
      <c r="F19" s="37">
        <v>4.0</v>
      </c>
      <c r="G19" s="33">
        <v>1260.2825</v>
      </c>
      <c r="H19" s="38">
        <v>1.2494420893728193</v>
      </c>
      <c r="I19" s="39">
        <v>5041.13</v>
      </c>
      <c r="J19" s="40">
        <v>1865.0</v>
      </c>
      <c r="K19" s="41">
        <v>2.703018766756032</v>
      </c>
      <c r="L19" s="42">
        <v>4.0</v>
      </c>
      <c r="M19" s="43">
        <v>1260.2825</v>
      </c>
      <c r="N19" s="44">
        <v>1.2494420893728193</v>
      </c>
      <c r="O19" s="45">
        <v>0.0</v>
      </c>
      <c r="P19" s="46">
        <v>0.0</v>
      </c>
      <c r="Q19" s="45">
        <v>0.0</v>
      </c>
      <c r="R19" s="47">
        <v>0.0</v>
      </c>
      <c r="S19" s="45">
        <v>0.0</v>
      </c>
      <c r="T19" s="48">
        <v>0.0</v>
      </c>
      <c r="U19" s="34"/>
      <c r="V19" s="49" t="s">
        <v>41</v>
      </c>
      <c r="W19" s="50"/>
      <c r="Y19" s="52"/>
      <c r="Z19" s="53"/>
      <c r="AA19" s="53"/>
      <c r="AB19" s="53"/>
      <c r="AC19" s="53"/>
      <c r="AD19" s="53"/>
    </row>
    <row r="20" ht="48.75" customHeight="1">
      <c r="A20" s="55" t="str">
        <f>IFERROR(__xludf.DUMMYFUNCTION("""COMPUTED_VALUE"""),"AD098 - Flip animado - PBB-ABR-26")</f>
        <v>AD098 - Flip animado - PBB-ABR-26</v>
      </c>
      <c r="B20" s="33">
        <v>5808.820000000016</v>
      </c>
      <c r="C20" s="34"/>
      <c r="D20" s="35">
        <v>828.0</v>
      </c>
      <c r="E20" s="36">
        <v>7.015483091787459</v>
      </c>
      <c r="F20" s="37">
        <v>4.0</v>
      </c>
      <c r="G20" s="33">
        <v>1452.205000000004</v>
      </c>
      <c r="H20" s="38">
        <v>1.0843166081923665</v>
      </c>
      <c r="I20" s="39">
        <v>0.0</v>
      </c>
      <c r="J20" s="40">
        <v>0.0</v>
      </c>
      <c r="K20" s="41">
        <v>0.0</v>
      </c>
      <c r="L20" s="42">
        <v>0.0</v>
      </c>
      <c r="M20" s="43">
        <v>0.0</v>
      </c>
      <c r="N20" s="44" t="s">
        <v>30</v>
      </c>
      <c r="O20" s="45">
        <v>5808.820000000016</v>
      </c>
      <c r="P20" s="46">
        <v>828.0</v>
      </c>
      <c r="Q20" s="45">
        <v>7.015483091787459</v>
      </c>
      <c r="R20" s="47">
        <v>4.0</v>
      </c>
      <c r="S20" s="45">
        <v>1452.205000000004</v>
      </c>
      <c r="T20" s="48">
        <v>1.0843166081923665</v>
      </c>
      <c r="U20" s="34"/>
      <c r="V20" s="49" t="s">
        <v>42</v>
      </c>
      <c r="W20" s="50"/>
      <c r="Y20" s="52"/>
      <c r="Z20" s="53"/>
      <c r="AA20" s="53"/>
      <c r="AB20" s="53"/>
      <c r="AC20" s="53"/>
      <c r="AD20" s="53"/>
    </row>
    <row r="21" ht="48.75" customHeight="1">
      <c r="A21" s="32" t="str">
        <f>IFERROR(__xludf.DUMMYFUNCTION("""COMPUTED_VALUE"""),"AD093 - Dois personagens casa do Thales - PBB-ABR-26")</f>
        <v>AD093 - Dois personagens casa do Thales - PBB-ABR-26</v>
      </c>
      <c r="B21" s="33">
        <v>13513.129999999997</v>
      </c>
      <c r="C21" s="34"/>
      <c r="D21" s="35">
        <v>2475.0</v>
      </c>
      <c r="E21" s="36">
        <v>5.459850505050504</v>
      </c>
      <c r="F21" s="37">
        <v>3.0</v>
      </c>
      <c r="G21" s="33">
        <v>4504.376666666666</v>
      </c>
      <c r="H21" s="38">
        <v>0.3495822211434362</v>
      </c>
      <c r="I21" s="39">
        <v>61.89</v>
      </c>
      <c r="J21" s="40">
        <v>10.0</v>
      </c>
      <c r="K21" s="41">
        <v>6.189</v>
      </c>
      <c r="L21" s="42">
        <v>3.0</v>
      </c>
      <c r="M21" s="43">
        <v>20.63</v>
      </c>
      <c r="N21" s="44">
        <v>76.32816286960738</v>
      </c>
      <c r="O21" s="45">
        <v>13451.239999999998</v>
      </c>
      <c r="P21" s="46">
        <v>2465.0</v>
      </c>
      <c r="Q21" s="45">
        <v>5.456892494929005</v>
      </c>
      <c r="R21" s="47"/>
      <c r="S21" s="45">
        <v>0.0</v>
      </c>
      <c r="T21" s="48">
        <v>0.0</v>
      </c>
      <c r="U21" s="34"/>
      <c r="V21" s="49" t="s">
        <v>43</v>
      </c>
      <c r="W21" s="50"/>
      <c r="Y21" s="52"/>
      <c r="Z21" s="53"/>
      <c r="AA21" s="53"/>
      <c r="AB21" s="53"/>
      <c r="AC21" s="53"/>
      <c r="AD21" s="53"/>
    </row>
    <row r="22" ht="48.75" customHeight="1">
      <c r="A22" s="32" t="str">
        <f>IFERROR(__xludf.DUMMYFUNCTION("""COMPUTED_VALUE"""),"AD110 - Banco do Brasil 2 - cx nova - PBB-ABR-26")</f>
        <v>AD110 - Banco do Brasil 2 - cx nova - PBB-ABR-26</v>
      </c>
      <c r="B22" s="33">
        <v>29666.020000000004</v>
      </c>
      <c r="C22" s="34"/>
      <c r="D22" s="35">
        <v>9782.0</v>
      </c>
      <c r="E22" s="36">
        <v>3.032715191167451</v>
      </c>
      <c r="F22" s="37">
        <v>3.0</v>
      </c>
      <c r="G22" s="33">
        <v>9888.673333333334</v>
      </c>
      <c r="H22" s="38">
        <v>0.15923774068783073</v>
      </c>
      <c r="I22" s="39">
        <v>20401.409999999996</v>
      </c>
      <c r="J22" s="40">
        <v>8053.0</v>
      </c>
      <c r="K22" s="41">
        <v>2.5333925245250213</v>
      </c>
      <c r="L22" s="42"/>
      <c r="M22" s="43">
        <v>0.0</v>
      </c>
      <c r="N22" s="44">
        <v>0.0</v>
      </c>
      <c r="O22" s="45">
        <v>9264.61000000001</v>
      </c>
      <c r="P22" s="46">
        <v>1729.0</v>
      </c>
      <c r="Q22" s="45">
        <v>5.358363215731642</v>
      </c>
      <c r="R22" s="47">
        <v>3.0</v>
      </c>
      <c r="S22" s="45">
        <v>3088.2033333333366</v>
      </c>
      <c r="T22" s="48">
        <v>0.5098919436436068</v>
      </c>
      <c r="U22" s="34"/>
      <c r="V22" s="49" t="s">
        <v>44</v>
      </c>
      <c r="W22" s="50"/>
      <c r="Y22" s="52"/>
      <c r="Z22" s="53"/>
      <c r="AA22" s="53"/>
      <c r="AB22" s="53"/>
      <c r="AC22" s="53"/>
      <c r="AD22" s="53"/>
    </row>
    <row r="23" ht="48.75" customHeight="1">
      <c r="A23" s="55" t="str">
        <f>IFERROR(__xludf.DUMMYFUNCTION("""COMPUTED_VALUE"""),"AD090 - Dois personagens diva - PBB-ABR-26")</f>
        <v>AD090 - Dois personagens diva - PBB-ABR-26</v>
      </c>
      <c r="B23" s="33">
        <v>3531.8600000000074</v>
      </c>
      <c r="C23" s="34"/>
      <c r="D23" s="35">
        <v>268.0</v>
      </c>
      <c r="E23" s="36">
        <v>13.178582089552267</v>
      </c>
      <c r="F23" s="37">
        <v>3.0</v>
      </c>
      <c r="G23" s="33">
        <v>1177.2866666666691</v>
      </c>
      <c r="H23" s="38">
        <v>1.3375247036971993</v>
      </c>
      <c r="I23" s="39">
        <v>0.0</v>
      </c>
      <c r="J23" s="40">
        <v>0.0</v>
      </c>
      <c r="K23" s="41">
        <v>0.0</v>
      </c>
      <c r="L23" s="42">
        <v>0.0</v>
      </c>
      <c r="M23" s="43">
        <v>0.0</v>
      </c>
      <c r="N23" s="44" t="s">
        <v>30</v>
      </c>
      <c r="O23" s="45">
        <v>3531.8600000000074</v>
      </c>
      <c r="P23" s="46">
        <v>268.0</v>
      </c>
      <c r="Q23" s="45">
        <v>13.178582089552267</v>
      </c>
      <c r="R23" s="47">
        <v>3.0</v>
      </c>
      <c r="S23" s="45">
        <v>1177.2866666666691</v>
      </c>
      <c r="T23" s="48">
        <v>1.3375247036971993</v>
      </c>
      <c r="U23" s="34"/>
      <c r="V23" s="49" t="s">
        <v>45</v>
      </c>
      <c r="W23" s="50"/>
      <c r="Y23" s="52"/>
      <c r="Z23" s="53"/>
      <c r="AA23" s="53"/>
      <c r="AB23" s="53"/>
      <c r="AC23" s="53"/>
      <c r="AD23" s="53"/>
    </row>
    <row r="24" ht="48.75" customHeight="1">
      <c r="A24" s="32" t="str">
        <f>IFERROR(__xludf.DUMMYFUNCTION("""COMPUTED_VALUE"""),"AD054 - Banco do Brasil + IA - PBB-ABR-26")</f>
        <v>AD054 - Banco do Brasil + IA - PBB-ABR-26</v>
      </c>
      <c r="B24" s="33">
        <v>26299.58</v>
      </c>
      <c r="C24" s="34"/>
      <c r="D24" s="35">
        <v>11671.0</v>
      </c>
      <c r="E24" s="36">
        <v>2.253412732413675</v>
      </c>
      <c r="F24" s="37">
        <v>2.0</v>
      </c>
      <c r="G24" s="33">
        <v>13149.79</v>
      </c>
      <c r="H24" s="38">
        <v>0.11974715946034119</v>
      </c>
      <c r="I24" s="39">
        <v>26299.58</v>
      </c>
      <c r="J24" s="40">
        <v>11671.0</v>
      </c>
      <c r="K24" s="41">
        <v>2.253412732413675</v>
      </c>
      <c r="L24" s="42">
        <v>2.0</v>
      </c>
      <c r="M24" s="43">
        <v>13149.79</v>
      </c>
      <c r="N24" s="44">
        <v>0.11974715946034119</v>
      </c>
      <c r="O24" s="45">
        <v>0.0</v>
      </c>
      <c r="P24" s="46">
        <v>0.0</v>
      </c>
      <c r="Q24" s="45">
        <v>0.0</v>
      </c>
      <c r="R24" s="47">
        <v>0.0</v>
      </c>
      <c r="S24" s="45">
        <v>0.0</v>
      </c>
      <c r="T24" s="48">
        <v>0.0</v>
      </c>
      <c r="U24" s="34"/>
      <c r="V24" s="49" t="s">
        <v>46</v>
      </c>
      <c r="W24" s="50"/>
      <c r="Y24" s="52"/>
      <c r="Z24" s="53"/>
      <c r="AA24" s="53"/>
      <c r="AB24" s="53"/>
      <c r="AC24" s="53"/>
      <c r="AD24" s="53"/>
    </row>
    <row r="25" ht="48.75" customHeight="1">
      <c r="A25" s="55" t="str">
        <f>IFERROR(__xludf.DUMMYFUNCTION("""COMPUTED_VALUE"""),"AD099 - Felipe sentado - PBB-ABR-26")</f>
        <v>AD099 - Felipe sentado - PBB-ABR-26</v>
      </c>
      <c r="B25" s="33">
        <v>645.9000000000003</v>
      </c>
      <c r="C25" s="34"/>
      <c r="D25" s="35">
        <v>71.0</v>
      </c>
      <c r="E25" s="36">
        <v>9.097183098591554</v>
      </c>
      <c r="F25" s="37">
        <v>2.0</v>
      </c>
      <c r="G25" s="33">
        <v>322.95000000000016</v>
      </c>
      <c r="H25" s="38">
        <v>4.8758321721628715</v>
      </c>
      <c r="I25" s="39">
        <v>0.0</v>
      </c>
      <c r="J25" s="40">
        <v>0.0</v>
      </c>
      <c r="K25" s="41">
        <v>0.0</v>
      </c>
      <c r="L25" s="42">
        <v>0.0</v>
      </c>
      <c r="M25" s="43">
        <v>0.0</v>
      </c>
      <c r="N25" s="44" t="s">
        <v>30</v>
      </c>
      <c r="O25" s="45">
        <v>645.9000000000003</v>
      </c>
      <c r="P25" s="46">
        <v>71.0</v>
      </c>
      <c r="Q25" s="45">
        <v>9.097183098591554</v>
      </c>
      <c r="R25" s="47">
        <v>2.0</v>
      </c>
      <c r="S25" s="45">
        <v>322.95000000000016</v>
      </c>
      <c r="T25" s="48">
        <v>4.8758321721628715</v>
      </c>
      <c r="U25" s="34"/>
      <c r="V25" s="49" t="s">
        <v>47</v>
      </c>
      <c r="W25" s="50"/>
      <c r="Y25" s="52"/>
      <c r="Z25" s="53"/>
      <c r="AA25" s="53"/>
      <c r="AB25" s="53"/>
      <c r="AC25" s="53"/>
      <c r="AD25" s="53"/>
    </row>
    <row r="26" ht="48.75" customHeight="1">
      <c r="A26" s="32" t="str">
        <f>IFERROR(__xludf.DUMMYFUNCTION("""COMPUTED_VALUE"""),"AD095 - Felipe sentado - PBB-ABR-26")</f>
        <v>AD095 - Felipe sentado - PBB-ABR-26</v>
      </c>
      <c r="B26" s="33">
        <v>23.33</v>
      </c>
      <c r="C26" s="34"/>
      <c r="D26" s="35">
        <v>0.0</v>
      </c>
      <c r="E26" s="36">
        <v>0.0</v>
      </c>
      <c r="F26" s="37">
        <v>1.0</v>
      </c>
      <c r="G26" s="33">
        <v>23.33</v>
      </c>
      <c r="H26" s="38">
        <v>67.4946420917274</v>
      </c>
      <c r="I26" s="39">
        <v>23.33</v>
      </c>
      <c r="J26" s="40">
        <v>0.0</v>
      </c>
      <c r="K26" s="41">
        <v>0.0</v>
      </c>
      <c r="L26" s="42">
        <v>1.0</v>
      </c>
      <c r="M26" s="43">
        <v>23.33</v>
      </c>
      <c r="N26" s="44">
        <v>67.4946420917274</v>
      </c>
      <c r="O26" s="45">
        <v>0.0</v>
      </c>
      <c r="P26" s="46">
        <v>0.0</v>
      </c>
      <c r="Q26" s="45">
        <v>0.0</v>
      </c>
      <c r="R26" s="47">
        <v>0.0</v>
      </c>
      <c r="S26" s="45">
        <v>0.0</v>
      </c>
      <c r="T26" s="48">
        <v>0.0</v>
      </c>
      <c r="U26" s="34"/>
      <c r="V26" s="49" t="s">
        <v>48</v>
      </c>
      <c r="W26" s="50"/>
      <c r="Y26" s="52"/>
      <c r="Z26" s="53"/>
      <c r="AA26" s="53"/>
      <c r="AB26" s="53"/>
      <c r="AC26" s="53"/>
      <c r="AD26" s="53"/>
    </row>
    <row r="27" ht="48.75" customHeight="1">
      <c r="A27" s="32" t="str">
        <f>IFERROR(__xludf.DUMMYFUNCTION("""COMPUTED_VALUE"""),"AD112 - Dois personagens - Brabo+ legenda - PBB-ABR-26")</f>
        <v>AD112 - Dois personagens - Brabo+ legenda - PBB-ABR-26</v>
      </c>
      <c r="B27" s="33">
        <v>4597.349999999997</v>
      </c>
      <c r="C27" s="34"/>
      <c r="D27" s="35">
        <v>861.0</v>
      </c>
      <c r="E27" s="36">
        <v>5.339547038327522</v>
      </c>
      <c r="F27" s="37">
        <v>1.0</v>
      </c>
      <c r="G27" s="33">
        <v>4597.349999999997</v>
      </c>
      <c r="H27" s="38">
        <v>0.34251253439481466</v>
      </c>
      <c r="I27" s="39">
        <v>1175.5100000000002</v>
      </c>
      <c r="J27" s="40">
        <v>370.0</v>
      </c>
      <c r="K27" s="41">
        <v>3.1770540540540546</v>
      </c>
      <c r="L27" s="42">
        <v>1.0</v>
      </c>
      <c r="M27" s="43">
        <v>1175.5100000000002</v>
      </c>
      <c r="N27" s="44">
        <v>1.3395462395045552</v>
      </c>
      <c r="O27" s="45">
        <v>3421.8399999999965</v>
      </c>
      <c r="P27" s="46">
        <v>491.0</v>
      </c>
      <c r="Q27" s="45">
        <v>6.969124236252538</v>
      </c>
      <c r="R27" s="47">
        <v>0.0</v>
      </c>
      <c r="S27" s="45">
        <v>0.0</v>
      </c>
      <c r="T27" s="48">
        <v>0.0</v>
      </c>
      <c r="U27" s="34"/>
      <c r="V27" s="49" t="s">
        <v>49</v>
      </c>
      <c r="W27" s="50"/>
      <c r="Y27" s="52"/>
      <c r="Z27" s="53"/>
      <c r="AA27" s="53"/>
      <c r="AB27" s="53"/>
      <c r="AC27" s="53"/>
      <c r="AD27" s="53"/>
    </row>
    <row r="28" ht="48.75" customHeight="1">
      <c r="A28" s="55" t="str">
        <f>IFERROR(__xludf.DUMMYFUNCTION("""COMPUTED_VALUE"""),"AD102 - Dois personagens - Brabo - PBB-ABR-26")</f>
        <v>AD102 - Dois personagens - Brabo - PBB-ABR-26</v>
      </c>
      <c r="B28" s="33">
        <v>895.7799999999999</v>
      </c>
      <c r="C28" s="34"/>
      <c r="D28" s="35">
        <v>20.0</v>
      </c>
      <c r="E28" s="36">
        <v>44.788999999999994</v>
      </c>
      <c r="F28" s="37">
        <v>1.0</v>
      </c>
      <c r="G28" s="33">
        <v>895.7799999999999</v>
      </c>
      <c r="H28" s="38">
        <v>1.7578534908124765</v>
      </c>
      <c r="I28" s="39">
        <v>0.0</v>
      </c>
      <c r="J28" s="40">
        <v>0.0</v>
      </c>
      <c r="K28" s="41">
        <v>0.0</v>
      </c>
      <c r="L28" s="42">
        <v>0.0</v>
      </c>
      <c r="M28" s="43">
        <v>0.0</v>
      </c>
      <c r="N28" s="44" t="s">
        <v>30</v>
      </c>
      <c r="O28" s="45">
        <v>895.7799999999999</v>
      </c>
      <c r="P28" s="46">
        <v>20.0</v>
      </c>
      <c r="Q28" s="45">
        <v>44.788999999999994</v>
      </c>
      <c r="R28" s="47">
        <v>1.0</v>
      </c>
      <c r="S28" s="45">
        <v>895.7799999999999</v>
      </c>
      <c r="T28" s="48">
        <v>1.7578534908124765</v>
      </c>
      <c r="U28" s="34"/>
      <c r="V28" s="49" t="s">
        <v>50</v>
      </c>
      <c r="W28" s="50"/>
      <c r="Y28" s="52"/>
      <c r="Z28" s="53"/>
      <c r="AA28" s="53"/>
      <c r="AB28" s="53"/>
      <c r="AC28" s="53"/>
      <c r="AD28" s="53"/>
    </row>
    <row r="29" ht="48.75" customHeight="1">
      <c r="A29" s="32" t="str">
        <f>IFERROR(__xludf.DUMMYFUNCTION("""COMPUTED_VALUE"""),"AD113 - Dois personagens ape do Felipe - PBB-ABR-26")</f>
        <v>AD113 - Dois personagens ape do Felipe - PBB-ABR-26</v>
      </c>
      <c r="B29" s="33">
        <v>29684.309999999998</v>
      </c>
      <c r="C29" s="34"/>
      <c r="D29" s="35">
        <v>11176.0</v>
      </c>
      <c r="E29" s="36">
        <v>2.6560764137437363</v>
      </c>
      <c r="F29" s="37">
        <v>0.0</v>
      </c>
      <c r="G29" s="33">
        <v>0.0</v>
      </c>
      <c r="H29" s="38">
        <v>0.0</v>
      </c>
      <c r="I29" s="39">
        <v>24663.339999999997</v>
      </c>
      <c r="J29" s="40">
        <v>10493.0</v>
      </c>
      <c r="K29" s="41">
        <v>2.350456494806061</v>
      </c>
      <c r="L29" s="42"/>
      <c r="M29" s="43">
        <v>0.0</v>
      </c>
      <c r="N29" s="44">
        <v>0.0</v>
      </c>
      <c r="O29" s="45">
        <v>5020.969999999999</v>
      </c>
      <c r="P29" s="46">
        <v>683.0</v>
      </c>
      <c r="Q29" s="45">
        <v>7.35134699853587</v>
      </c>
      <c r="R29" s="47">
        <v>0.0</v>
      </c>
      <c r="S29" s="45">
        <v>0.0</v>
      </c>
      <c r="T29" s="48">
        <v>0.0</v>
      </c>
      <c r="U29" s="34"/>
      <c r="V29" s="49" t="s">
        <v>51</v>
      </c>
      <c r="W29" s="50"/>
      <c r="Y29" s="52"/>
      <c r="Z29" s="53"/>
      <c r="AA29" s="53"/>
      <c r="AB29" s="53"/>
      <c r="AC29" s="53"/>
      <c r="AD29" s="53"/>
    </row>
    <row r="30" ht="48.75" customHeight="1">
      <c r="A30" s="56" t="str">
        <f>IFERROR(__xludf.DUMMYFUNCTION("""COMPUTED_VALUE"""),"AD049 - Flip + Canetão PBB-ABR-26")</f>
        <v>AD049 - Flip + Canetão PBB-ABR-26</v>
      </c>
      <c r="B30" s="57">
        <v>653.6099999999999</v>
      </c>
      <c r="C30" s="35"/>
      <c r="D30" s="35">
        <v>203.0</v>
      </c>
      <c r="E30" s="58">
        <v>3.2197536945812804</v>
      </c>
      <c r="F30" s="59">
        <v>0.0</v>
      </c>
      <c r="G30" s="57">
        <v>0.0</v>
      </c>
      <c r="H30" s="38">
        <v>0.0</v>
      </c>
      <c r="I30" s="60">
        <v>653.6099999999999</v>
      </c>
      <c r="J30" s="61">
        <v>203.0</v>
      </c>
      <c r="K30" s="60">
        <v>3.2197536945812804</v>
      </c>
      <c r="L30" s="62">
        <v>0.0</v>
      </c>
      <c r="M30" s="63">
        <v>0.0</v>
      </c>
      <c r="N30" s="44">
        <v>0.0</v>
      </c>
      <c r="O30" s="64">
        <v>0.0</v>
      </c>
      <c r="P30" s="65">
        <v>0.0</v>
      </c>
      <c r="Q30" s="66">
        <v>0.0</v>
      </c>
      <c r="R30" s="67">
        <v>0.0</v>
      </c>
      <c r="S30" s="66">
        <v>0.0</v>
      </c>
      <c r="T30" s="48">
        <v>0.0</v>
      </c>
      <c r="U30" s="35"/>
      <c r="V30" s="68" t="s">
        <v>52</v>
      </c>
      <c r="W30" s="50"/>
    </row>
    <row r="31" ht="48.75" customHeight="1">
      <c r="A31" s="56" t="str">
        <f>IFERROR(__xludf.DUMMYFUNCTION("""COMPUTED_VALUE"""),"AD108 - Imagem apostilas - PBB-ABR-26")</f>
        <v>AD108 - Imagem apostilas - PBB-ABR-26</v>
      </c>
      <c r="B31" s="57">
        <v>1542.6799999999998</v>
      </c>
      <c r="C31" s="35"/>
      <c r="D31" s="35">
        <v>651.0</v>
      </c>
      <c r="E31" s="58">
        <v>2.3697081413210443</v>
      </c>
      <c r="F31" s="59">
        <v>0.0</v>
      </c>
      <c r="G31" s="57">
        <v>0.0</v>
      </c>
      <c r="H31" s="38">
        <v>0.0</v>
      </c>
      <c r="I31" s="60">
        <v>1542.6799999999998</v>
      </c>
      <c r="J31" s="61">
        <v>651.0</v>
      </c>
      <c r="K31" s="60">
        <v>2.3697081413210443</v>
      </c>
      <c r="L31" s="62"/>
      <c r="M31" s="63">
        <v>0.0</v>
      </c>
      <c r="N31" s="44">
        <v>0.0</v>
      </c>
      <c r="O31" s="64">
        <v>0.0</v>
      </c>
      <c r="P31" s="65">
        <v>0.0</v>
      </c>
      <c r="Q31" s="66">
        <v>0.0</v>
      </c>
      <c r="R31" s="67">
        <v>0.0</v>
      </c>
      <c r="S31" s="66">
        <v>0.0</v>
      </c>
      <c r="T31" s="48">
        <v>0.0</v>
      </c>
      <c r="U31" s="35"/>
      <c r="V31" s="69" t="s">
        <v>53</v>
      </c>
      <c r="W31" s="50"/>
    </row>
    <row r="32" ht="48.75" customHeight="1">
      <c r="A32" s="56" t="str">
        <f>IFERROR(__xludf.DUMMYFUNCTION("""COMPUTED_VALUE"""),"AD100 - Tudo em 1 minuto + legenda - PBB-ABR-26")</f>
        <v>AD100 - Tudo em 1 minuto + legenda - PBB-ABR-26</v>
      </c>
      <c r="B32" s="57">
        <v>9686.34</v>
      </c>
      <c r="C32" s="35"/>
      <c r="D32" s="35">
        <v>1878.0</v>
      </c>
      <c r="E32" s="58">
        <v>5.15779552715655</v>
      </c>
      <c r="F32" s="59">
        <v>0.0</v>
      </c>
      <c r="G32" s="57">
        <v>0.0</v>
      </c>
      <c r="H32" s="38">
        <v>0.0</v>
      </c>
      <c r="I32" s="60">
        <v>9686.34</v>
      </c>
      <c r="J32" s="61">
        <v>1878.0</v>
      </c>
      <c r="K32" s="60">
        <v>5.15779552715655</v>
      </c>
      <c r="L32" s="62"/>
      <c r="M32" s="63">
        <v>0.0</v>
      </c>
      <c r="N32" s="44">
        <v>0.0</v>
      </c>
      <c r="O32" s="64">
        <v>0.0</v>
      </c>
      <c r="P32" s="65">
        <v>0.0</v>
      </c>
      <c r="Q32" s="66">
        <v>0.0</v>
      </c>
      <c r="R32" s="67">
        <v>0.0</v>
      </c>
      <c r="S32" s="66">
        <v>0.0</v>
      </c>
      <c r="T32" s="48">
        <v>0.0</v>
      </c>
      <c r="U32" s="35"/>
      <c r="V32" s="68" t="s">
        <v>54</v>
      </c>
      <c r="W32" s="50"/>
    </row>
    <row r="33" ht="48.75" customHeight="1">
      <c r="A33" s="56" t="str">
        <f>IFERROR(__xludf.DUMMYFUNCTION("""COMPUTED_VALUE"""),"AD114 - Flip chart colorido Estúdio - PBB-ABR-26")</f>
        <v>AD114 - Flip chart colorido Estúdio - PBB-ABR-26</v>
      </c>
      <c r="B33" s="57">
        <v>701.85</v>
      </c>
      <c r="C33" s="35"/>
      <c r="D33" s="35">
        <v>111.0</v>
      </c>
      <c r="E33" s="58">
        <v>6.322972972972973</v>
      </c>
      <c r="F33" s="59">
        <v>0.0</v>
      </c>
      <c r="G33" s="57">
        <v>0.0</v>
      </c>
      <c r="H33" s="38">
        <v>0.0</v>
      </c>
      <c r="I33" s="60">
        <v>27.32</v>
      </c>
      <c r="J33" s="61">
        <v>11.0</v>
      </c>
      <c r="K33" s="60">
        <v>2.483636363636364</v>
      </c>
      <c r="L33" s="62"/>
      <c r="M33" s="63">
        <v>0.0</v>
      </c>
      <c r="N33" s="44">
        <v>0.0</v>
      </c>
      <c r="O33" s="64">
        <v>674.53</v>
      </c>
      <c r="P33" s="65">
        <v>100.0</v>
      </c>
      <c r="Q33" s="66">
        <v>6.745299999999999</v>
      </c>
      <c r="R33" s="67">
        <v>0.0</v>
      </c>
      <c r="S33" s="66">
        <v>0.0</v>
      </c>
      <c r="T33" s="48">
        <v>0.0</v>
      </c>
      <c r="U33" s="35"/>
      <c r="V33" s="69" t="s">
        <v>55</v>
      </c>
      <c r="W33" s="50"/>
    </row>
    <row r="34" ht="48.75" customHeight="1">
      <c r="A34" s="56" t="str">
        <f>IFERROR(__xludf.DUMMYFUNCTION("""COMPUTED_VALUE"""),"AD115 - Banco do Brasil Reels - PBB-ABR-26")</f>
        <v>AD115 - Banco do Brasil Reels - PBB-ABR-26</v>
      </c>
      <c r="B34" s="57">
        <v>971.36</v>
      </c>
      <c r="C34" s="35"/>
      <c r="D34" s="35">
        <v>309.0</v>
      </c>
      <c r="E34" s="58">
        <v>3.143559870550162</v>
      </c>
      <c r="F34" s="59">
        <v>0.0</v>
      </c>
      <c r="G34" s="57">
        <v>0.0</v>
      </c>
      <c r="H34" s="38">
        <v>0.0</v>
      </c>
      <c r="I34" s="60">
        <v>971.36</v>
      </c>
      <c r="J34" s="61">
        <v>309.0</v>
      </c>
      <c r="K34" s="60">
        <v>3.143559870550162</v>
      </c>
      <c r="L34" s="62"/>
      <c r="M34" s="63">
        <v>0.0</v>
      </c>
      <c r="N34" s="44">
        <v>0.0</v>
      </c>
      <c r="O34" s="64">
        <v>0.0</v>
      </c>
      <c r="P34" s="65">
        <v>0.0</v>
      </c>
      <c r="Q34" s="66">
        <v>0.0</v>
      </c>
      <c r="R34" s="67">
        <v>0.0</v>
      </c>
      <c r="S34" s="66">
        <v>0.0</v>
      </c>
      <c r="T34" s="48">
        <v>0.0</v>
      </c>
      <c r="U34" s="35"/>
      <c r="V34" s="68" t="s">
        <v>56</v>
      </c>
      <c r="W34" s="50"/>
    </row>
    <row r="35" ht="48.75" customHeight="1">
      <c r="A35" s="56" t="str">
        <f>IFERROR(__xludf.DUMMYFUNCTION("""COMPUTED_VALUE"""),"AD116 - Banco do Brasil Reels - PBB-ABR-26")</f>
        <v>AD116 - Banco do Brasil Reels - PBB-ABR-26</v>
      </c>
      <c r="B35" s="57">
        <v>33.94</v>
      </c>
      <c r="C35" s="35"/>
      <c r="D35" s="35">
        <v>11.0</v>
      </c>
      <c r="E35" s="58">
        <v>3.0854545454545454</v>
      </c>
      <c r="F35" s="59">
        <v>0.0</v>
      </c>
      <c r="G35" s="57">
        <v>0.0</v>
      </c>
      <c r="H35" s="38">
        <v>0.0</v>
      </c>
      <c r="I35" s="60">
        <v>33.94</v>
      </c>
      <c r="J35" s="61">
        <v>11.0</v>
      </c>
      <c r="K35" s="60">
        <v>3.0854545454545454</v>
      </c>
      <c r="L35" s="62">
        <v>0.0</v>
      </c>
      <c r="M35" s="63">
        <v>0.0</v>
      </c>
      <c r="N35" s="44">
        <v>0.0</v>
      </c>
      <c r="O35" s="64">
        <v>0.0</v>
      </c>
      <c r="P35" s="65">
        <v>0.0</v>
      </c>
      <c r="Q35" s="66">
        <v>0.0</v>
      </c>
      <c r="R35" s="67">
        <v>0.0</v>
      </c>
      <c r="S35" s="66">
        <v>0.0</v>
      </c>
      <c r="T35" s="48">
        <v>0.0</v>
      </c>
      <c r="U35" s="35"/>
      <c r="V35" s="68" t="s">
        <v>57</v>
      </c>
      <c r="W35" s="50"/>
    </row>
    <row r="36" ht="48.75" customHeight="1">
      <c r="A36" s="56" t="str">
        <f>IFERROR(__xludf.DUMMYFUNCTION("""COMPUTED_VALUE"""),"AD048 - Estúdio Brabo - PBB-ABR-26")</f>
        <v>AD048 - Estúdio Brabo - PBB-ABR-26</v>
      </c>
      <c r="B36" s="57">
        <v>2083.4599999999946</v>
      </c>
      <c r="C36" s="35"/>
      <c r="D36" s="35">
        <v>206.0</v>
      </c>
      <c r="E36" s="58">
        <v>10.113883495145604</v>
      </c>
      <c r="F36" s="59">
        <v>0.0</v>
      </c>
      <c r="G36" s="57">
        <v>0.0</v>
      </c>
      <c r="H36" s="38">
        <v>0.0</v>
      </c>
      <c r="I36" s="60">
        <v>0.0</v>
      </c>
      <c r="J36" s="61">
        <v>0.0</v>
      </c>
      <c r="K36" s="60">
        <v>0.0</v>
      </c>
      <c r="L36" s="62">
        <v>0.0</v>
      </c>
      <c r="M36" s="63">
        <v>0.0</v>
      </c>
      <c r="N36" s="44" t="s">
        <v>30</v>
      </c>
      <c r="O36" s="64">
        <v>2083.4599999999946</v>
      </c>
      <c r="P36" s="65">
        <v>206.0</v>
      </c>
      <c r="Q36" s="66">
        <v>10.113883495145604</v>
      </c>
      <c r="R36" s="67"/>
      <c r="S36" s="66">
        <v>0.0</v>
      </c>
      <c r="T36" s="48">
        <v>0.0</v>
      </c>
      <c r="U36" s="35"/>
      <c r="V36" s="56"/>
      <c r="W36" s="50"/>
    </row>
    <row r="37" ht="48.75" customHeight="1">
      <c r="A37" s="56" t="str">
        <f>IFERROR(__xludf.DUMMYFUNCTION("""COMPUTED_VALUE"""),"AD040 - Tela dividida - PBB-ABR-26")</f>
        <v>AD040 - Tela dividida - PBB-ABR-26</v>
      </c>
      <c r="B37" s="57">
        <v>3072.6599999999985</v>
      </c>
      <c r="C37" s="35"/>
      <c r="D37" s="35">
        <v>314.0</v>
      </c>
      <c r="E37" s="58">
        <v>9.78554140127388</v>
      </c>
      <c r="F37" s="59">
        <v>0.0</v>
      </c>
      <c r="G37" s="57">
        <v>0.0</v>
      </c>
      <c r="H37" s="38">
        <v>0.0</v>
      </c>
      <c r="I37" s="60">
        <v>0.0</v>
      </c>
      <c r="J37" s="61">
        <v>0.0</v>
      </c>
      <c r="K37" s="60">
        <v>0.0</v>
      </c>
      <c r="L37" s="62">
        <v>0.0</v>
      </c>
      <c r="M37" s="63">
        <v>0.0</v>
      </c>
      <c r="N37" s="44" t="s">
        <v>30</v>
      </c>
      <c r="O37" s="64">
        <v>3072.6599999999985</v>
      </c>
      <c r="P37" s="65">
        <v>314.0</v>
      </c>
      <c r="Q37" s="66">
        <v>9.78554140127388</v>
      </c>
      <c r="R37" s="67"/>
      <c r="S37" s="66">
        <v>0.0</v>
      </c>
      <c r="T37" s="48">
        <v>0.0</v>
      </c>
      <c r="U37" s="35"/>
      <c r="V37" s="56"/>
      <c r="W37" s="50"/>
    </row>
    <row r="38" ht="48.75" customHeight="1">
      <c r="A38" s="56" t="str">
        <f>IFERROR(__xludf.DUMMYFUNCTION("""COMPUTED_VALUE"""),"AD103 - Felipe TV - PBB-ABR-26")</f>
        <v>AD103 - Felipe TV - PBB-ABR-26</v>
      </c>
      <c r="B38" s="57">
        <v>1742.4099999999992</v>
      </c>
      <c r="C38" s="35"/>
      <c r="D38" s="35">
        <v>56.0</v>
      </c>
      <c r="E38" s="58">
        <v>31.11446428571427</v>
      </c>
      <c r="F38" s="59">
        <v>0.0</v>
      </c>
      <c r="G38" s="57">
        <v>0.0</v>
      </c>
      <c r="H38" s="38">
        <v>0.0</v>
      </c>
      <c r="I38" s="60">
        <v>0.0</v>
      </c>
      <c r="J38" s="61">
        <v>0.0</v>
      </c>
      <c r="K38" s="60">
        <v>0.0</v>
      </c>
      <c r="L38" s="62">
        <v>0.0</v>
      </c>
      <c r="M38" s="63">
        <v>0.0</v>
      </c>
      <c r="N38" s="44" t="s">
        <v>30</v>
      </c>
      <c r="O38" s="64">
        <v>1742.4099999999992</v>
      </c>
      <c r="P38" s="65">
        <v>56.0</v>
      </c>
      <c r="Q38" s="66">
        <v>31.11446428571427</v>
      </c>
      <c r="R38" s="67"/>
      <c r="S38" s="66">
        <v>0.0</v>
      </c>
      <c r="T38" s="48">
        <v>0.0</v>
      </c>
      <c r="U38" s="35"/>
      <c r="V38" s="56"/>
      <c r="W38" s="50"/>
    </row>
    <row r="39" ht="48.75" customHeight="1">
      <c r="A39" s="56" t="str">
        <f>IFERROR(__xludf.DUMMYFUNCTION("""COMPUTED_VALUE"""),"AD090 - Dois personagens no divã - PBB-ABR-26")</f>
        <v>AD090 - Dois personagens no divã - PBB-ABR-26</v>
      </c>
      <c r="B39" s="57">
        <v>3531.8600000000074</v>
      </c>
      <c r="C39" s="35"/>
      <c r="D39" s="35">
        <v>268.0</v>
      </c>
      <c r="E39" s="58">
        <v>13.178582089552267</v>
      </c>
      <c r="F39" s="59">
        <v>0.0</v>
      </c>
      <c r="G39" s="57">
        <v>0.0</v>
      </c>
      <c r="H39" s="38">
        <v>0.0</v>
      </c>
      <c r="I39" s="60">
        <v>0.0</v>
      </c>
      <c r="J39" s="61">
        <v>0.0</v>
      </c>
      <c r="K39" s="60">
        <v>0.0</v>
      </c>
      <c r="L39" s="62">
        <v>0.0</v>
      </c>
      <c r="M39" s="63">
        <v>0.0</v>
      </c>
      <c r="N39" s="44" t="s">
        <v>30</v>
      </c>
      <c r="O39" s="64">
        <v>3531.8600000000074</v>
      </c>
      <c r="P39" s="65">
        <v>268.0</v>
      </c>
      <c r="Q39" s="66">
        <v>13.178582089552267</v>
      </c>
      <c r="R39" s="67"/>
      <c r="S39" s="66">
        <v>0.0</v>
      </c>
      <c r="T39" s="48">
        <v>0.0</v>
      </c>
      <c r="U39" s="35"/>
      <c r="V39" s="56"/>
      <c r="W39" s="70"/>
    </row>
    <row r="40" ht="48.75" customHeight="1">
      <c r="A40" s="56" t="str">
        <f>IFERROR(__xludf.DUMMYFUNCTION("""COMPUTED_VALUE"""),"AD114 - Flip chart colorido Estúdio - PBB-ABR-26")</f>
        <v>AD114 - Flip chart colorido Estúdio - PBB-ABR-26</v>
      </c>
      <c r="B40" s="57">
        <v>701.85</v>
      </c>
      <c r="C40" s="35"/>
      <c r="D40" s="35">
        <v>111.0</v>
      </c>
      <c r="E40" s="58">
        <v>6.322972972972973</v>
      </c>
      <c r="F40" s="59">
        <v>0.0</v>
      </c>
      <c r="G40" s="57">
        <v>0.0</v>
      </c>
      <c r="H40" s="38">
        <v>0.0</v>
      </c>
      <c r="I40" s="60">
        <v>27.32</v>
      </c>
      <c r="J40" s="61">
        <v>11.0</v>
      </c>
      <c r="K40" s="60">
        <v>2.483636363636364</v>
      </c>
      <c r="L40" s="62"/>
      <c r="M40" s="63">
        <v>0.0</v>
      </c>
      <c r="N40" s="44">
        <v>0.0</v>
      </c>
      <c r="O40" s="64">
        <v>674.53</v>
      </c>
      <c r="P40" s="65">
        <v>100.0</v>
      </c>
      <c r="Q40" s="66">
        <v>6.745299999999999</v>
      </c>
      <c r="R40" s="67">
        <v>0.0</v>
      </c>
      <c r="S40" s="66">
        <v>0.0</v>
      </c>
      <c r="T40" s="48">
        <v>0.0</v>
      </c>
      <c r="U40" s="35"/>
      <c r="V40" s="56"/>
      <c r="W40" s="50"/>
    </row>
    <row r="41" ht="48.75" customHeight="1">
      <c r="A41" s="56" t="str">
        <f>IFERROR(__xludf.DUMMYFUNCTION("""COMPUTED_VALUE"""),"AD117 - Em frente ao Banco do Brasil - PBB-ABR-26")</f>
        <v>AD117 - Em frente ao Banco do Brasil - PBB-ABR-26</v>
      </c>
      <c r="B41" s="57">
        <v>561.6400000000001</v>
      </c>
      <c r="C41" s="35"/>
      <c r="D41" s="35">
        <v>85.0</v>
      </c>
      <c r="E41" s="58">
        <v>6.607529411764707</v>
      </c>
      <c r="F41" s="59">
        <v>0.0</v>
      </c>
      <c r="G41" s="57">
        <v>0.0</v>
      </c>
      <c r="H41" s="38">
        <v>0.0</v>
      </c>
      <c r="I41" s="60">
        <v>0.0</v>
      </c>
      <c r="J41" s="61">
        <v>0.0</v>
      </c>
      <c r="K41" s="60">
        <v>0.0</v>
      </c>
      <c r="L41" s="62">
        <v>0.0</v>
      </c>
      <c r="M41" s="63">
        <v>0.0</v>
      </c>
      <c r="N41" s="44" t="s">
        <v>30</v>
      </c>
      <c r="O41" s="64">
        <v>561.6400000000001</v>
      </c>
      <c r="P41" s="65">
        <v>85.0</v>
      </c>
      <c r="Q41" s="66">
        <v>6.607529411764707</v>
      </c>
      <c r="R41" s="67">
        <v>0.0</v>
      </c>
      <c r="S41" s="66">
        <v>0.0</v>
      </c>
      <c r="T41" s="48">
        <v>0.0</v>
      </c>
      <c r="U41" s="35"/>
      <c r="V41" s="56"/>
      <c r="W41" s="50"/>
    </row>
    <row r="42" ht="48.75" customHeight="1">
      <c r="A42" s="56"/>
      <c r="B42" s="57" t="s">
        <v>30</v>
      </c>
      <c r="C42" s="35" t="s">
        <v>30</v>
      </c>
      <c r="D42" s="35" t="s">
        <v>30</v>
      </c>
      <c r="E42" s="58" t="s">
        <v>30</v>
      </c>
      <c r="F42" s="59" t="s">
        <v>30</v>
      </c>
      <c r="G42" s="57" t="s">
        <v>30</v>
      </c>
      <c r="H42" s="38" t="s">
        <v>30</v>
      </c>
      <c r="I42" s="60" t="s">
        <v>30</v>
      </c>
      <c r="J42" s="61" t="s">
        <v>30</v>
      </c>
      <c r="K42" s="60" t="s">
        <v>30</v>
      </c>
      <c r="L42" s="62" t="s">
        <v>30</v>
      </c>
      <c r="M42" s="63" t="s">
        <v>30</v>
      </c>
      <c r="N42" s="44" t="s">
        <v>30</v>
      </c>
      <c r="O42" s="64" t="s">
        <v>30</v>
      </c>
      <c r="P42" s="65" t="s">
        <v>30</v>
      </c>
      <c r="Q42" s="66" t="s">
        <v>30</v>
      </c>
      <c r="R42" s="67" t="s">
        <v>30</v>
      </c>
      <c r="S42" s="66" t="s">
        <v>30</v>
      </c>
      <c r="T42" s="48" t="s">
        <v>30</v>
      </c>
      <c r="U42" s="35"/>
      <c r="V42" s="56"/>
      <c r="W42" s="70"/>
    </row>
    <row r="43" ht="48.75" customHeight="1">
      <c r="A43" s="71"/>
      <c r="B43" s="57" t="s">
        <v>30</v>
      </c>
      <c r="C43" s="35" t="s">
        <v>30</v>
      </c>
      <c r="D43" s="35" t="s">
        <v>30</v>
      </c>
      <c r="E43" s="58" t="s">
        <v>30</v>
      </c>
      <c r="F43" s="59" t="s">
        <v>30</v>
      </c>
      <c r="G43" s="57" t="s">
        <v>30</v>
      </c>
      <c r="H43" s="38" t="s">
        <v>30</v>
      </c>
      <c r="I43" s="60" t="s">
        <v>30</v>
      </c>
      <c r="J43" s="61" t="s">
        <v>30</v>
      </c>
      <c r="K43" s="60" t="s">
        <v>30</v>
      </c>
      <c r="L43" s="62" t="s">
        <v>30</v>
      </c>
      <c r="M43" s="63" t="s">
        <v>30</v>
      </c>
      <c r="N43" s="44" t="s">
        <v>30</v>
      </c>
      <c r="O43" s="64" t="s">
        <v>30</v>
      </c>
      <c r="P43" s="65" t="s">
        <v>30</v>
      </c>
      <c r="Q43" s="66" t="s">
        <v>30</v>
      </c>
      <c r="R43" s="67" t="s">
        <v>30</v>
      </c>
      <c r="S43" s="66" t="s">
        <v>30</v>
      </c>
      <c r="T43" s="48" t="s">
        <v>30</v>
      </c>
      <c r="U43" s="35"/>
      <c r="V43" s="71"/>
      <c r="W43" s="50"/>
    </row>
    <row r="44" ht="48.75" customHeight="1">
      <c r="A44" s="71"/>
      <c r="B44" s="57" t="s">
        <v>30</v>
      </c>
      <c r="C44" s="35" t="s">
        <v>30</v>
      </c>
      <c r="D44" s="35" t="s">
        <v>30</v>
      </c>
      <c r="E44" s="58" t="s">
        <v>30</v>
      </c>
      <c r="F44" s="59" t="s">
        <v>30</v>
      </c>
      <c r="G44" s="57" t="s">
        <v>30</v>
      </c>
      <c r="H44" s="38" t="s">
        <v>30</v>
      </c>
      <c r="I44" s="60" t="s">
        <v>30</v>
      </c>
      <c r="J44" s="61" t="s">
        <v>30</v>
      </c>
      <c r="K44" s="60" t="s">
        <v>30</v>
      </c>
      <c r="L44" s="62" t="s">
        <v>30</v>
      </c>
      <c r="M44" s="63" t="s">
        <v>30</v>
      </c>
      <c r="N44" s="44" t="s">
        <v>30</v>
      </c>
      <c r="O44" s="64" t="s">
        <v>30</v>
      </c>
      <c r="P44" s="65" t="s">
        <v>30</v>
      </c>
      <c r="Q44" s="66" t="s">
        <v>30</v>
      </c>
      <c r="R44" s="67" t="s">
        <v>30</v>
      </c>
      <c r="S44" s="66" t="s">
        <v>30</v>
      </c>
      <c r="T44" s="48" t="s">
        <v>30</v>
      </c>
      <c r="U44" s="35"/>
      <c r="V44" s="71"/>
      <c r="W44" s="50"/>
    </row>
    <row r="45" ht="48.75" customHeight="1">
      <c r="A45" s="56"/>
      <c r="B45" s="57" t="s">
        <v>30</v>
      </c>
      <c r="C45" s="35" t="s">
        <v>30</v>
      </c>
      <c r="D45" s="35" t="s">
        <v>30</v>
      </c>
      <c r="E45" s="58" t="s">
        <v>30</v>
      </c>
      <c r="F45" s="59" t="s">
        <v>30</v>
      </c>
      <c r="G45" s="57" t="s">
        <v>30</v>
      </c>
      <c r="H45" s="38" t="s">
        <v>30</v>
      </c>
      <c r="I45" s="60" t="s">
        <v>30</v>
      </c>
      <c r="J45" s="61" t="s">
        <v>30</v>
      </c>
      <c r="K45" s="60" t="s">
        <v>30</v>
      </c>
      <c r="L45" s="62" t="s">
        <v>30</v>
      </c>
      <c r="M45" s="63" t="s">
        <v>30</v>
      </c>
      <c r="N45" s="44" t="s">
        <v>30</v>
      </c>
      <c r="O45" s="64" t="s">
        <v>30</v>
      </c>
      <c r="P45" s="65" t="s">
        <v>30</v>
      </c>
      <c r="Q45" s="66" t="s">
        <v>30</v>
      </c>
      <c r="R45" s="67" t="s">
        <v>30</v>
      </c>
      <c r="S45" s="66" t="s">
        <v>30</v>
      </c>
      <c r="T45" s="48" t="s">
        <v>30</v>
      </c>
      <c r="U45" s="35"/>
      <c r="V45" s="56"/>
      <c r="W45" s="50"/>
    </row>
    <row r="46" ht="48.75" customHeight="1">
      <c r="A46" s="56"/>
      <c r="B46" s="57" t="s">
        <v>30</v>
      </c>
      <c r="C46" s="35" t="s">
        <v>30</v>
      </c>
      <c r="D46" s="35" t="s">
        <v>30</v>
      </c>
      <c r="E46" s="58" t="s">
        <v>30</v>
      </c>
      <c r="F46" s="59" t="s">
        <v>30</v>
      </c>
      <c r="G46" s="57" t="s">
        <v>30</v>
      </c>
      <c r="H46" s="38" t="s">
        <v>30</v>
      </c>
      <c r="I46" s="60" t="s">
        <v>30</v>
      </c>
      <c r="J46" s="61" t="s">
        <v>30</v>
      </c>
      <c r="K46" s="60" t="s">
        <v>30</v>
      </c>
      <c r="L46" s="62" t="s">
        <v>30</v>
      </c>
      <c r="M46" s="63" t="s">
        <v>30</v>
      </c>
      <c r="N46" s="44" t="s">
        <v>30</v>
      </c>
      <c r="O46" s="64" t="s">
        <v>30</v>
      </c>
      <c r="P46" s="65" t="s">
        <v>30</v>
      </c>
      <c r="Q46" s="66" t="s">
        <v>30</v>
      </c>
      <c r="R46" s="67" t="s">
        <v>30</v>
      </c>
      <c r="S46" s="66" t="s">
        <v>30</v>
      </c>
      <c r="T46" s="48" t="s">
        <v>30</v>
      </c>
      <c r="U46" s="35"/>
      <c r="V46" s="56"/>
      <c r="W46" s="50"/>
    </row>
    <row r="47" ht="48.75" customHeight="1">
      <c r="A47" s="56"/>
      <c r="B47" s="57" t="s">
        <v>30</v>
      </c>
      <c r="C47" s="35" t="s">
        <v>30</v>
      </c>
      <c r="D47" s="35" t="s">
        <v>30</v>
      </c>
      <c r="E47" s="58" t="s">
        <v>30</v>
      </c>
      <c r="F47" s="59" t="s">
        <v>30</v>
      </c>
      <c r="G47" s="57" t="s">
        <v>30</v>
      </c>
      <c r="H47" s="38" t="s">
        <v>30</v>
      </c>
      <c r="I47" s="60" t="s">
        <v>30</v>
      </c>
      <c r="J47" s="61" t="s">
        <v>30</v>
      </c>
      <c r="K47" s="60" t="s">
        <v>30</v>
      </c>
      <c r="L47" s="62" t="s">
        <v>30</v>
      </c>
      <c r="M47" s="63" t="s">
        <v>30</v>
      </c>
      <c r="N47" s="44" t="s">
        <v>30</v>
      </c>
      <c r="O47" s="64" t="s">
        <v>30</v>
      </c>
      <c r="P47" s="65" t="s">
        <v>30</v>
      </c>
      <c r="Q47" s="66" t="s">
        <v>30</v>
      </c>
      <c r="R47" s="67" t="s">
        <v>30</v>
      </c>
      <c r="S47" s="66" t="s">
        <v>30</v>
      </c>
      <c r="T47" s="48" t="s">
        <v>30</v>
      </c>
      <c r="U47" s="35"/>
      <c r="V47" s="56"/>
      <c r="W47" s="50"/>
    </row>
    <row r="48" ht="48.75" customHeight="1">
      <c r="A48" s="56"/>
      <c r="B48" s="57" t="s">
        <v>30</v>
      </c>
      <c r="C48" s="35" t="s">
        <v>30</v>
      </c>
      <c r="D48" s="35" t="s">
        <v>30</v>
      </c>
      <c r="E48" s="58" t="s">
        <v>30</v>
      </c>
      <c r="F48" s="59" t="s">
        <v>30</v>
      </c>
      <c r="G48" s="57" t="s">
        <v>30</v>
      </c>
      <c r="H48" s="38" t="s">
        <v>30</v>
      </c>
      <c r="I48" s="60" t="s">
        <v>30</v>
      </c>
      <c r="J48" s="61" t="s">
        <v>30</v>
      </c>
      <c r="K48" s="60" t="s">
        <v>30</v>
      </c>
      <c r="L48" s="62" t="s">
        <v>30</v>
      </c>
      <c r="M48" s="63" t="s">
        <v>30</v>
      </c>
      <c r="N48" s="44" t="s">
        <v>30</v>
      </c>
      <c r="O48" s="64" t="s">
        <v>30</v>
      </c>
      <c r="P48" s="65" t="s">
        <v>30</v>
      </c>
      <c r="Q48" s="66" t="s">
        <v>30</v>
      </c>
      <c r="R48" s="67" t="s">
        <v>30</v>
      </c>
      <c r="S48" s="66" t="s">
        <v>30</v>
      </c>
      <c r="T48" s="48" t="s">
        <v>30</v>
      </c>
      <c r="U48" s="35"/>
      <c r="V48" s="56"/>
      <c r="W48" s="50"/>
    </row>
    <row r="49" ht="48.75" customHeight="1">
      <c r="A49" s="56"/>
      <c r="B49" s="57" t="s">
        <v>30</v>
      </c>
      <c r="C49" s="35" t="s">
        <v>30</v>
      </c>
      <c r="D49" s="35" t="s">
        <v>30</v>
      </c>
      <c r="E49" s="58" t="s">
        <v>30</v>
      </c>
      <c r="F49" s="59" t="s">
        <v>30</v>
      </c>
      <c r="G49" s="57" t="s">
        <v>30</v>
      </c>
      <c r="H49" s="38" t="s">
        <v>30</v>
      </c>
      <c r="I49" s="60" t="s">
        <v>30</v>
      </c>
      <c r="J49" s="61" t="s">
        <v>30</v>
      </c>
      <c r="K49" s="60" t="s">
        <v>30</v>
      </c>
      <c r="L49" s="62" t="s">
        <v>30</v>
      </c>
      <c r="M49" s="63" t="s">
        <v>30</v>
      </c>
      <c r="N49" s="44" t="s">
        <v>30</v>
      </c>
      <c r="O49" s="64" t="s">
        <v>30</v>
      </c>
      <c r="P49" s="65" t="s">
        <v>30</v>
      </c>
      <c r="Q49" s="66" t="s">
        <v>30</v>
      </c>
      <c r="R49" s="67" t="s">
        <v>30</v>
      </c>
      <c r="S49" s="66" t="s">
        <v>30</v>
      </c>
      <c r="T49" s="48" t="s">
        <v>30</v>
      </c>
      <c r="U49" s="35"/>
      <c r="V49" s="56"/>
      <c r="W49" s="50"/>
    </row>
    <row r="50" ht="48.75" customHeight="1">
      <c r="A50" s="56"/>
      <c r="B50" s="57" t="s">
        <v>30</v>
      </c>
      <c r="C50" s="35" t="s">
        <v>30</v>
      </c>
      <c r="D50" s="35" t="s">
        <v>30</v>
      </c>
      <c r="E50" s="58" t="s">
        <v>30</v>
      </c>
      <c r="F50" s="59" t="s">
        <v>30</v>
      </c>
      <c r="G50" s="57" t="s">
        <v>30</v>
      </c>
      <c r="H50" s="38" t="s">
        <v>30</v>
      </c>
      <c r="I50" s="60" t="s">
        <v>30</v>
      </c>
      <c r="J50" s="61" t="s">
        <v>30</v>
      </c>
      <c r="K50" s="60" t="s">
        <v>30</v>
      </c>
      <c r="L50" s="62" t="s">
        <v>30</v>
      </c>
      <c r="M50" s="63" t="s">
        <v>30</v>
      </c>
      <c r="N50" s="44" t="s">
        <v>30</v>
      </c>
      <c r="O50" s="64" t="s">
        <v>30</v>
      </c>
      <c r="P50" s="65" t="s">
        <v>30</v>
      </c>
      <c r="Q50" s="66" t="s">
        <v>30</v>
      </c>
      <c r="R50" s="67" t="s">
        <v>30</v>
      </c>
      <c r="S50" s="66" t="s">
        <v>30</v>
      </c>
      <c r="T50" s="48" t="s">
        <v>30</v>
      </c>
      <c r="U50" s="35"/>
      <c r="V50" s="56"/>
      <c r="W50" s="70"/>
    </row>
    <row r="51" ht="48.75" customHeight="1">
      <c r="A51" s="56"/>
      <c r="B51" s="57" t="s">
        <v>30</v>
      </c>
      <c r="C51" s="35" t="s">
        <v>30</v>
      </c>
      <c r="D51" s="35" t="s">
        <v>30</v>
      </c>
      <c r="E51" s="58" t="s">
        <v>30</v>
      </c>
      <c r="F51" s="59" t="s">
        <v>30</v>
      </c>
      <c r="G51" s="57" t="s">
        <v>30</v>
      </c>
      <c r="H51" s="38" t="s">
        <v>30</v>
      </c>
      <c r="I51" s="60" t="s">
        <v>30</v>
      </c>
      <c r="J51" s="61" t="s">
        <v>30</v>
      </c>
      <c r="K51" s="60" t="s">
        <v>30</v>
      </c>
      <c r="L51" s="62" t="s">
        <v>30</v>
      </c>
      <c r="M51" s="63" t="s">
        <v>30</v>
      </c>
      <c r="N51" s="44" t="s">
        <v>30</v>
      </c>
      <c r="O51" s="64" t="s">
        <v>30</v>
      </c>
      <c r="P51" s="65" t="s">
        <v>30</v>
      </c>
      <c r="Q51" s="66" t="s">
        <v>30</v>
      </c>
      <c r="R51" s="67" t="s">
        <v>30</v>
      </c>
      <c r="S51" s="66" t="s">
        <v>30</v>
      </c>
      <c r="T51" s="48" t="s">
        <v>30</v>
      </c>
      <c r="U51" s="35"/>
      <c r="V51" s="56"/>
      <c r="W51" s="50"/>
    </row>
    <row r="52" ht="48.75" customHeight="1">
      <c r="A52" s="56"/>
      <c r="B52" s="57" t="s">
        <v>30</v>
      </c>
      <c r="C52" s="35" t="s">
        <v>30</v>
      </c>
      <c r="D52" s="35" t="s">
        <v>30</v>
      </c>
      <c r="E52" s="58" t="s">
        <v>30</v>
      </c>
      <c r="F52" s="59" t="s">
        <v>30</v>
      </c>
      <c r="G52" s="57" t="s">
        <v>30</v>
      </c>
      <c r="H52" s="38" t="s">
        <v>30</v>
      </c>
      <c r="I52" s="60" t="s">
        <v>30</v>
      </c>
      <c r="J52" s="61" t="s">
        <v>30</v>
      </c>
      <c r="K52" s="60" t="s">
        <v>30</v>
      </c>
      <c r="L52" s="62" t="s">
        <v>30</v>
      </c>
      <c r="M52" s="63" t="s">
        <v>30</v>
      </c>
      <c r="N52" s="44" t="s">
        <v>30</v>
      </c>
      <c r="O52" s="64" t="s">
        <v>30</v>
      </c>
      <c r="P52" s="65" t="s">
        <v>30</v>
      </c>
      <c r="Q52" s="66" t="s">
        <v>30</v>
      </c>
      <c r="R52" s="67" t="s">
        <v>30</v>
      </c>
      <c r="S52" s="66" t="s">
        <v>30</v>
      </c>
      <c r="T52" s="48" t="s">
        <v>30</v>
      </c>
      <c r="U52" s="35"/>
      <c r="V52" s="56"/>
      <c r="W52" s="70"/>
    </row>
    <row r="53" ht="48.75" customHeight="1">
      <c r="A53" s="56"/>
      <c r="B53" s="57" t="s">
        <v>30</v>
      </c>
      <c r="C53" s="35" t="s">
        <v>30</v>
      </c>
      <c r="D53" s="35" t="s">
        <v>30</v>
      </c>
      <c r="E53" s="58" t="s">
        <v>30</v>
      </c>
      <c r="F53" s="59" t="s">
        <v>30</v>
      </c>
      <c r="G53" s="57" t="s">
        <v>30</v>
      </c>
      <c r="H53" s="38" t="s">
        <v>30</v>
      </c>
      <c r="I53" s="60" t="s">
        <v>30</v>
      </c>
      <c r="J53" s="61" t="s">
        <v>30</v>
      </c>
      <c r="K53" s="60" t="s">
        <v>30</v>
      </c>
      <c r="L53" s="62" t="s">
        <v>30</v>
      </c>
      <c r="M53" s="63" t="s">
        <v>30</v>
      </c>
      <c r="N53" s="44" t="s">
        <v>30</v>
      </c>
      <c r="O53" s="64" t="s">
        <v>30</v>
      </c>
      <c r="P53" s="65" t="s">
        <v>30</v>
      </c>
      <c r="Q53" s="66" t="s">
        <v>30</v>
      </c>
      <c r="R53" s="67" t="s">
        <v>30</v>
      </c>
      <c r="S53" s="66" t="s">
        <v>30</v>
      </c>
      <c r="T53" s="48" t="s">
        <v>30</v>
      </c>
      <c r="U53" s="35"/>
      <c r="V53" s="56"/>
      <c r="W53" s="50"/>
    </row>
    <row r="54" ht="48.75" customHeight="1">
      <c r="A54" s="56"/>
      <c r="B54" s="57" t="s">
        <v>30</v>
      </c>
      <c r="C54" s="35" t="s">
        <v>30</v>
      </c>
      <c r="D54" s="35" t="s">
        <v>30</v>
      </c>
      <c r="E54" s="58" t="s">
        <v>30</v>
      </c>
      <c r="F54" s="59" t="s">
        <v>30</v>
      </c>
      <c r="G54" s="57" t="s">
        <v>30</v>
      </c>
      <c r="H54" s="38" t="s">
        <v>30</v>
      </c>
      <c r="I54" s="60" t="s">
        <v>30</v>
      </c>
      <c r="J54" s="61" t="s">
        <v>30</v>
      </c>
      <c r="K54" s="60" t="s">
        <v>30</v>
      </c>
      <c r="L54" s="62" t="s">
        <v>30</v>
      </c>
      <c r="M54" s="63" t="s">
        <v>30</v>
      </c>
      <c r="N54" s="44" t="s">
        <v>30</v>
      </c>
      <c r="O54" s="64" t="s">
        <v>30</v>
      </c>
      <c r="P54" s="65" t="s">
        <v>30</v>
      </c>
      <c r="Q54" s="66" t="s">
        <v>30</v>
      </c>
      <c r="R54" s="67" t="s">
        <v>30</v>
      </c>
      <c r="S54" s="66" t="s">
        <v>30</v>
      </c>
      <c r="T54" s="48" t="s">
        <v>30</v>
      </c>
      <c r="U54" s="35"/>
      <c r="V54" s="56"/>
      <c r="W54" s="50"/>
    </row>
    <row r="55" ht="48.75" customHeight="1">
      <c r="A55" s="56"/>
      <c r="B55" s="57" t="s">
        <v>30</v>
      </c>
      <c r="C55" s="35" t="s">
        <v>30</v>
      </c>
      <c r="D55" s="35" t="s">
        <v>30</v>
      </c>
      <c r="E55" s="58" t="s">
        <v>30</v>
      </c>
      <c r="F55" s="59" t="s">
        <v>30</v>
      </c>
      <c r="G55" s="57" t="s">
        <v>30</v>
      </c>
      <c r="H55" s="38" t="s">
        <v>30</v>
      </c>
      <c r="I55" s="60" t="s">
        <v>30</v>
      </c>
      <c r="J55" s="61" t="s">
        <v>30</v>
      </c>
      <c r="K55" s="60" t="s">
        <v>30</v>
      </c>
      <c r="L55" s="62" t="s">
        <v>30</v>
      </c>
      <c r="M55" s="63" t="s">
        <v>30</v>
      </c>
      <c r="N55" s="44" t="s">
        <v>30</v>
      </c>
      <c r="O55" s="64" t="s">
        <v>30</v>
      </c>
      <c r="P55" s="65" t="s">
        <v>30</v>
      </c>
      <c r="Q55" s="66" t="s">
        <v>30</v>
      </c>
      <c r="R55" s="67" t="s">
        <v>30</v>
      </c>
      <c r="S55" s="66" t="s">
        <v>30</v>
      </c>
      <c r="T55" s="48" t="s">
        <v>30</v>
      </c>
      <c r="U55" s="35"/>
      <c r="V55" s="56"/>
      <c r="W55" s="50"/>
    </row>
    <row r="56" ht="48.75" customHeight="1">
      <c r="A56" s="56"/>
      <c r="B56" s="57" t="s">
        <v>30</v>
      </c>
      <c r="C56" s="37" t="s">
        <v>30</v>
      </c>
      <c r="D56" s="35" t="s">
        <v>30</v>
      </c>
      <c r="E56" s="58" t="s">
        <v>30</v>
      </c>
      <c r="F56" s="59" t="s">
        <v>30</v>
      </c>
      <c r="G56" s="57" t="s">
        <v>30</v>
      </c>
      <c r="H56" s="38" t="s">
        <v>30</v>
      </c>
      <c r="I56" s="60" t="s">
        <v>30</v>
      </c>
      <c r="J56" s="61" t="s">
        <v>30</v>
      </c>
      <c r="K56" s="60" t="s">
        <v>30</v>
      </c>
      <c r="L56" s="62" t="s">
        <v>30</v>
      </c>
      <c r="M56" s="63" t="s">
        <v>30</v>
      </c>
      <c r="N56" s="44" t="s">
        <v>30</v>
      </c>
      <c r="O56" s="64" t="s">
        <v>30</v>
      </c>
      <c r="P56" s="65" t="s">
        <v>30</v>
      </c>
      <c r="Q56" s="66" t="s">
        <v>30</v>
      </c>
      <c r="R56" s="67" t="s">
        <v>30</v>
      </c>
      <c r="S56" s="66" t="s">
        <v>30</v>
      </c>
      <c r="T56" s="48" t="s">
        <v>30</v>
      </c>
      <c r="U56" s="37"/>
      <c r="V56" s="56"/>
      <c r="W56" s="70"/>
    </row>
    <row r="57" ht="48.75" customHeight="1">
      <c r="A57" s="56"/>
      <c r="B57" s="57" t="s">
        <v>30</v>
      </c>
      <c r="C57" s="35" t="s">
        <v>30</v>
      </c>
      <c r="D57" s="35" t="s">
        <v>30</v>
      </c>
      <c r="E57" s="58" t="s">
        <v>30</v>
      </c>
      <c r="F57" s="59" t="s">
        <v>30</v>
      </c>
      <c r="G57" s="57" t="s">
        <v>30</v>
      </c>
      <c r="H57" s="38" t="s">
        <v>30</v>
      </c>
      <c r="I57" s="60" t="s">
        <v>30</v>
      </c>
      <c r="J57" s="61" t="s">
        <v>30</v>
      </c>
      <c r="K57" s="60" t="s">
        <v>30</v>
      </c>
      <c r="L57" s="62" t="s">
        <v>30</v>
      </c>
      <c r="M57" s="63" t="s">
        <v>30</v>
      </c>
      <c r="N57" s="44" t="s">
        <v>30</v>
      </c>
      <c r="O57" s="64" t="s">
        <v>30</v>
      </c>
      <c r="P57" s="65" t="s">
        <v>30</v>
      </c>
      <c r="Q57" s="66" t="s">
        <v>30</v>
      </c>
      <c r="R57" s="67" t="s">
        <v>30</v>
      </c>
      <c r="S57" s="66" t="s">
        <v>30</v>
      </c>
      <c r="T57" s="48" t="s">
        <v>30</v>
      </c>
      <c r="U57" s="35"/>
      <c r="V57" s="56"/>
      <c r="W57" s="70"/>
    </row>
    <row r="58" ht="48.75" customHeight="1">
      <c r="A58" s="56"/>
      <c r="B58" s="57" t="s">
        <v>30</v>
      </c>
      <c r="C58" s="35" t="s">
        <v>30</v>
      </c>
      <c r="D58" s="35" t="s">
        <v>30</v>
      </c>
      <c r="E58" s="58" t="s">
        <v>30</v>
      </c>
      <c r="F58" s="59" t="s">
        <v>30</v>
      </c>
      <c r="G58" s="57" t="s">
        <v>30</v>
      </c>
      <c r="H58" s="38" t="s">
        <v>30</v>
      </c>
      <c r="I58" s="60" t="s">
        <v>30</v>
      </c>
      <c r="J58" s="61" t="s">
        <v>30</v>
      </c>
      <c r="K58" s="60" t="s">
        <v>30</v>
      </c>
      <c r="L58" s="62" t="s">
        <v>30</v>
      </c>
      <c r="M58" s="63" t="s">
        <v>30</v>
      </c>
      <c r="N58" s="44" t="s">
        <v>30</v>
      </c>
      <c r="O58" s="64" t="s">
        <v>30</v>
      </c>
      <c r="P58" s="65" t="s">
        <v>30</v>
      </c>
      <c r="Q58" s="66" t="s">
        <v>30</v>
      </c>
      <c r="R58" s="67" t="s">
        <v>30</v>
      </c>
      <c r="S58" s="66" t="s">
        <v>30</v>
      </c>
      <c r="T58" s="48" t="s">
        <v>30</v>
      </c>
      <c r="U58" s="35"/>
      <c r="V58" s="56"/>
      <c r="W58" s="50"/>
    </row>
    <row r="59" ht="48.75" customHeight="1">
      <c r="A59" s="56"/>
      <c r="B59" s="57" t="s">
        <v>30</v>
      </c>
      <c r="C59" s="35" t="s">
        <v>30</v>
      </c>
      <c r="D59" s="35" t="s">
        <v>30</v>
      </c>
      <c r="E59" s="58" t="s">
        <v>30</v>
      </c>
      <c r="F59" s="59" t="s">
        <v>30</v>
      </c>
      <c r="G59" s="57" t="s">
        <v>30</v>
      </c>
      <c r="H59" s="38" t="s">
        <v>30</v>
      </c>
      <c r="I59" s="60" t="s">
        <v>30</v>
      </c>
      <c r="J59" s="61" t="s">
        <v>30</v>
      </c>
      <c r="K59" s="60" t="s">
        <v>30</v>
      </c>
      <c r="L59" s="62" t="s">
        <v>30</v>
      </c>
      <c r="M59" s="63" t="s">
        <v>30</v>
      </c>
      <c r="N59" s="44" t="s">
        <v>30</v>
      </c>
      <c r="O59" s="64" t="s">
        <v>30</v>
      </c>
      <c r="P59" s="65" t="s">
        <v>30</v>
      </c>
      <c r="Q59" s="66" t="s">
        <v>30</v>
      </c>
      <c r="R59" s="67" t="s">
        <v>30</v>
      </c>
      <c r="S59" s="66" t="s">
        <v>30</v>
      </c>
      <c r="T59" s="48" t="s">
        <v>30</v>
      </c>
      <c r="U59" s="35"/>
      <c r="V59" s="56"/>
      <c r="W59" s="50"/>
    </row>
    <row r="60" ht="48.75" customHeight="1">
      <c r="A60" s="56"/>
      <c r="B60" s="57" t="s">
        <v>30</v>
      </c>
      <c r="C60" s="35" t="s">
        <v>30</v>
      </c>
      <c r="D60" s="35" t="s">
        <v>30</v>
      </c>
      <c r="E60" s="58" t="s">
        <v>30</v>
      </c>
      <c r="F60" s="59" t="s">
        <v>30</v>
      </c>
      <c r="G60" s="57" t="s">
        <v>30</v>
      </c>
      <c r="H60" s="38" t="s">
        <v>30</v>
      </c>
      <c r="I60" s="60" t="s">
        <v>30</v>
      </c>
      <c r="J60" s="61" t="s">
        <v>30</v>
      </c>
      <c r="K60" s="60" t="s">
        <v>30</v>
      </c>
      <c r="L60" s="62" t="s">
        <v>30</v>
      </c>
      <c r="M60" s="63" t="s">
        <v>30</v>
      </c>
      <c r="N60" s="44" t="s">
        <v>30</v>
      </c>
      <c r="O60" s="64" t="s">
        <v>30</v>
      </c>
      <c r="P60" s="65" t="s">
        <v>30</v>
      </c>
      <c r="Q60" s="66" t="s">
        <v>30</v>
      </c>
      <c r="R60" s="67" t="s">
        <v>30</v>
      </c>
      <c r="S60" s="66" t="s">
        <v>30</v>
      </c>
      <c r="T60" s="48" t="s">
        <v>30</v>
      </c>
      <c r="U60" s="35"/>
      <c r="V60" s="56"/>
      <c r="W60" s="70"/>
    </row>
    <row r="61" ht="48.75" customHeight="1">
      <c r="A61" s="71"/>
      <c r="B61" s="57" t="s">
        <v>30</v>
      </c>
      <c r="C61" s="35" t="s">
        <v>30</v>
      </c>
      <c r="D61" s="35" t="s">
        <v>30</v>
      </c>
      <c r="E61" s="58" t="s">
        <v>30</v>
      </c>
      <c r="F61" s="59" t="s">
        <v>30</v>
      </c>
      <c r="G61" s="57" t="s">
        <v>30</v>
      </c>
      <c r="H61" s="38" t="s">
        <v>30</v>
      </c>
      <c r="I61" s="60" t="s">
        <v>30</v>
      </c>
      <c r="J61" s="61" t="s">
        <v>30</v>
      </c>
      <c r="K61" s="60" t="s">
        <v>30</v>
      </c>
      <c r="L61" s="62" t="s">
        <v>30</v>
      </c>
      <c r="M61" s="63" t="s">
        <v>30</v>
      </c>
      <c r="N61" s="44" t="s">
        <v>30</v>
      </c>
      <c r="O61" s="64" t="s">
        <v>30</v>
      </c>
      <c r="P61" s="65" t="s">
        <v>30</v>
      </c>
      <c r="Q61" s="66" t="s">
        <v>30</v>
      </c>
      <c r="R61" s="67" t="s">
        <v>30</v>
      </c>
      <c r="S61" s="66" t="s">
        <v>30</v>
      </c>
      <c r="T61" s="48" t="s">
        <v>30</v>
      </c>
      <c r="U61" s="35"/>
      <c r="V61" s="71"/>
      <c r="W61" s="50"/>
    </row>
    <row r="62" ht="48.75" customHeight="1">
      <c r="A62" s="71"/>
      <c r="B62" s="57" t="s">
        <v>30</v>
      </c>
      <c r="C62" s="35" t="s">
        <v>30</v>
      </c>
      <c r="D62" s="35" t="s">
        <v>30</v>
      </c>
      <c r="E62" s="58" t="s">
        <v>30</v>
      </c>
      <c r="F62" s="59" t="s">
        <v>30</v>
      </c>
      <c r="G62" s="57" t="s">
        <v>30</v>
      </c>
      <c r="H62" s="38" t="s">
        <v>30</v>
      </c>
      <c r="I62" s="60" t="s">
        <v>30</v>
      </c>
      <c r="J62" s="61" t="s">
        <v>30</v>
      </c>
      <c r="K62" s="60" t="s">
        <v>30</v>
      </c>
      <c r="L62" s="62" t="s">
        <v>30</v>
      </c>
      <c r="M62" s="63" t="s">
        <v>30</v>
      </c>
      <c r="N62" s="44" t="s">
        <v>30</v>
      </c>
      <c r="O62" s="64" t="s">
        <v>30</v>
      </c>
      <c r="P62" s="65" t="s">
        <v>30</v>
      </c>
      <c r="Q62" s="66" t="s">
        <v>30</v>
      </c>
      <c r="R62" s="67" t="s">
        <v>30</v>
      </c>
      <c r="S62" s="66" t="s">
        <v>30</v>
      </c>
      <c r="T62" s="48" t="s">
        <v>30</v>
      </c>
      <c r="U62" s="35"/>
      <c r="V62" s="71"/>
      <c r="W62" s="50"/>
    </row>
    <row r="63" ht="48.75" customHeight="1">
      <c r="A63" s="56"/>
      <c r="B63" s="57" t="s">
        <v>30</v>
      </c>
      <c r="C63" s="35" t="s">
        <v>30</v>
      </c>
      <c r="D63" s="35" t="s">
        <v>30</v>
      </c>
      <c r="E63" s="58" t="s">
        <v>30</v>
      </c>
      <c r="F63" s="59" t="s">
        <v>30</v>
      </c>
      <c r="G63" s="57" t="s">
        <v>30</v>
      </c>
      <c r="H63" s="38" t="s">
        <v>30</v>
      </c>
      <c r="I63" s="60" t="s">
        <v>30</v>
      </c>
      <c r="J63" s="61" t="s">
        <v>30</v>
      </c>
      <c r="K63" s="60" t="s">
        <v>30</v>
      </c>
      <c r="L63" s="62" t="s">
        <v>30</v>
      </c>
      <c r="M63" s="63" t="s">
        <v>30</v>
      </c>
      <c r="N63" s="44" t="s">
        <v>30</v>
      </c>
      <c r="O63" s="64" t="s">
        <v>30</v>
      </c>
      <c r="P63" s="65" t="s">
        <v>30</v>
      </c>
      <c r="Q63" s="66" t="s">
        <v>30</v>
      </c>
      <c r="R63" s="67" t="s">
        <v>30</v>
      </c>
      <c r="S63" s="66" t="s">
        <v>30</v>
      </c>
      <c r="T63" s="48" t="s">
        <v>30</v>
      </c>
      <c r="U63" s="35"/>
      <c r="V63" s="56"/>
      <c r="W63" s="50"/>
    </row>
    <row r="64" ht="48.75" customHeight="1">
      <c r="A64" s="56"/>
      <c r="B64" s="57" t="s">
        <v>30</v>
      </c>
      <c r="C64" s="35" t="s">
        <v>30</v>
      </c>
      <c r="D64" s="35" t="s">
        <v>30</v>
      </c>
      <c r="E64" s="58" t="s">
        <v>30</v>
      </c>
      <c r="F64" s="59" t="s">
        <v>30</v>
      </c>
      <c r="G64" s="57" t="s">
        <v>30</v>
      </c>
      <c r="H64" s="38" t="s">
        <v>30</v>
      </c>
      <c r="I64" s="60" t="s">
        <v>30</v>
      </c>
      <c r="J64" s="61" t="s">
        <v>30</v>
      </c>
      <c r="K64" s="60" t="s">
        <v>30</v>
      </c>
      <c r="L64" s="62" t="s">
        <v>30</v>
      </c>
      <c r="M64" s="63" t="s">
        <v>30</v>
      </c>
      <c r="N64" s="44" t="s">
        <v>30</v>
      </c>
      <c r="O64" s="64" t="s">
        <v>30</v>
      </c>
      <c r="P64" s="65" t="s">
        <v>30</v>
      </c>
      <c r="Q64" s="66" t="s">
        <v>30</v>
      </c>
      <c r="R64" s="67" t="s">
        <v>30</v>
      </c>
      <c r="S64" s="66" t="s">
        <v>30</v>
      </c>
      <c r="T64" s="48" t="s">
        <v>30</v>
      </c>
      <c r="U64" s="35"/>
      <c r="V64" s="56"/>
      <c r="W64" s="50"/>
    </row>
    <row r="65" ht="48.75" customHeight="1">
      <c r="A65" s="71"/>
      <c r="B65" s="57" t="s">
        <v>30</v>
      </c>
      <c r="C65" s="35" t="s">
        <v>30</v>
      </c>
      <c r="D65" s="35" t="s">
        <v>30</v>
      </c>
      <c r="E65" s="58" t="s">
        <v>30</v>
      </c>
      <c r="F65" s="59" t="s">
        <v>30</v>
      </c>
      <c r="G65" s="57" t="s">
        <v>30</v>
      </c>
      <c r="H65" s="38" t="s">
        <v>30</v>
      </c>
      <c r="I65" s="60" t="s">
        <v>30</v>
      </c>
      <c r="J65" s="61" t="s">
        <v>30</v>
      </c>
      <c r="K65" s="60" t="s">
        <v>30</v>
      </c>
      <c r="L65" s="62" t="s">
        <v>30</v>
      </c>
      <c r="M65" s="63" t="s">
        <v>30</v>
      </c>
      <c r="N65" s="44" t="s">
        <v>30</v>
      </c>
      <c r="O65" s="64" t="s">
        <v>30</v>
      </c>
      <c r="P65" s="65" t="s">
        <v>30</v>
      </c>
      <c r="Q65" s="66" t="s">
        <v>30</v>
      </c>
      <c r="R65" s="67" t="s">
        <v>30</v>
      </c>
      <c r="S65" s="66" t="s">
        <v>30</v>
      </c>
      <c r="T65" s="48" t="s">
        <v>30</v>
      </c>
      <c r="U65" s="35"/>
      <c r="V65" s="71"/>
      <c r="W65" s="50"/>
    </row>
    <row r="66" ht="48.75" customHeight="1">
      <c r="A66" s="56"/>
      <c r="B66" s="57" t="s">
        <v>30</v>
      </c>
      <c r="C66" s="35" t="s">
        <v>30</v>
      </c>
      <c r="D66" s="35" t="s">
        <v>30</v>
      </c>
      <c r="E66" s="58" t="s">
        <v>30</v>
      </c>
      <c r="F66" s="59" t="s">
        <v>30</v>
      </c>
      <c r="G66" s="57" t="s">
        <v>30</v>
      </c>
      <c r="H66" s="38" t="s">
        <v>30</v>
      </c>
      <c r="I66" s="60" t="s">
        <v>30</v>
      </c>
      <c r="J66" s="61" t="s">
        <v>30</v>
      </c>
      <c r="K66" s="60" t="s">
        <v>30</v>
      </c>
      <c r="L66" s="62" t="s">
        <v>30</v>
      </c>
      <c r="M66" s="63" t="s">
        <v>30</v>
      </c>
      <c r="N66" s="44" t="s">
        <v>30</v>
      </c>
      <c r="O66" s="64" t="s">
        <v>30</v>
      </c>
      <c r="P66" s="65" t="s">
        <v>30</v>
      </c>
      <c r="Q66" s="66" t="s">
        <v>30</v>
      </c>
      <c r="R66" s="67" t="s">
        <v>30</v>
      </c>
      <c r="S66" s="66" t="s">
        <v>30</v>
      </c>
      <c r="T66" s="48" t="s">
        <v>30</v>
      </c>
      <c r="U66" s="35"/>
      <c r="V66" s="56"/>
      <c r="W66" s="50"/>
    </row>
    <row r="67" ht="48.75" customHeight="1">
      <c r="A67" s="71"/>
      <c r="B67" s="57" t="s">
        <v>30</v>
      </c>
      <c r="C67" s="35" t="s">
        <v>30</v>
      </c>
      <c r="D67" s="35" t="s">
        <v>30</v>
      </c>
      <c r="E67" s="58" t="s">
        <v>30</v>
      </c>
      <c r="F67" s="59" t="s">
        <v>30</v>
      </c>
      <c r="G67" s="57" t="s">
        <v>30</v>
      </c>
      <c r="H67" s="38" t="s">
        <v>30</v>
      </c>
      <c r="I67" s="60" t="s">
        <v>30</v>
      </c>
      <c r="J67" s="61" t="s">
        <v>30</v>
      </c>
      <c r="K67" s="60" t="s">
        <v>30</v>
      </c>
      <c r="L67" s="62" t="s">
        <v>30</v>
      </c>
      <c r="M67" s="63" t="s">
        <v>30</v>
      </c>
      <c r="N67" s="44" t="s">
        <v>30</v>
      </c>
      <c r="O67" s="64" t="s">
        <v>30</v>
      </c>
      <c r="P67" s="65" t="s">
        <v>30</v>
      </c>
      <c r="Q67" s="66" t="s">
        <v>30</v>
      </c>
      <c r="R67" s="67" t="s">
        <v>30</v>
      </c>
      <c r="S67" s="66" t="s">
        <v>30</v>
      </c>
      <c r="T67" s="48" t="s">
        <v>30</v>
      </c>
      <c r="U67" s="35"/>
      <c r="V67" s="71"/>
      <c r="W67" s="70"/>
    </row>
    <row r="68" ht="48.75" customHeight="1">
      <c r="A68" s="71"/>
      <c r="B68" s="57" t="s">
        <v>30</v>
      </c>
      <c r="C68" s="35" t="s">
        <v>30</v>
      </c>
      <c r="D68" s="35" t="s">
        <v>30</v>
      </c>
      <c r="E68" s="58" t="s">
        <v>30</v>
      </c>
      <c r="F68" s="59" t="s">
        <v>30</v>
      </c>
      <c r="G68" s="57" t="s">
        <v>30</v>
      </c>
      <c r="H68" s="38" t="s">
        <v>30</v>
      </c>
      <c r="I68" s="60" t="s">
        <v>30</v>
      </c>
      <c r="J68" s="61" t="s">
        <v>30</v>
      </c>
      <c r="K68" s="60" t="s">
        <v>30</v>
      </c>
      <c r="L68" s="62" t="s">
        <v>30</v>
      </c>
      <c r="M68" s="63" t="s">
        <v>30</v>
      </c>
      <c r="N68" s="44" t="s">
        <v>30</v>
      </c>
      <c r="O68" s="64" t="s">
        <v>30</v>
      </c>
      <c r="P68" s="65" t="s">
        <v>30</v>
      </c>
      <c r="Q68" s="66" t="s">
        <v>30</v>
      </c>
      <c r="R68" s="67" t="s">
        <v>30</v>
      </c>
      <c r="S68" s="66" t="s">
        <v>30</v>
      </c>
      <c r="T68" s="48" t="s">
        <v>30</v>
      </c>
      <c r="U68" s="35"/>
      <c r="V68" s="71"/>
      <c r="W68" s="50"/>
    </row>
    <row r="69" ht="48.75" customHeight="1">
      <c r="A69" s="71"/>
      <c r="B69" s="57" t="s">
        <v>30</v>
      </c>
      <c r="C69" s="35" t="s">
        <v>30</v>
      </c>
      <c r="D69" s="35" t="s">
        <v>30</v>
      </c>
      <c r="E69" s="58" t="s">
        <v>30</v>
      </c>
      <c r="F69" s="59" t="s">
        <v>30</v>
      </c>
      <c r="G69" s="57" t="s">
        <v>30</v>
      </c>
      <c r="H69" s="38" t="s">
        <v>30</v>
      </c>
      <c r="I69" s="60" t="s">
        <v>30</v>
      </c>
      <c r="J69" s="61" t="s">
        <v>30</v>
      </c>
      <c r="K69" s="60" t="s">
        <v>30</v>
      </c>
      <c r="L69" s="62" t="s">
        <v>30</v>
      </c>
      <c r="M69" s="63" t="s">
        <v>30</v>
      </c>
      <c r="N69" s="44" t="s">
        <v>30</v>
      </c>
      <c r="O69" s="64" t="s">
        <v>30</v>
      </c>
      <c r="P69" s="65" t="s">
        <v>30</v>
      </c>
      <c r="Q69" s="66" t="s">
        <v>30</v>
      </c>
      <c r="R69" s="67" t="s">
        <v>30</v>
      </c>
      <c r="S69" s="66" t="s">
        <v>30</v>
      </c>
      <c r="T69" s="48" t="s">
        <v>30</v>
      </c>
      <c r="U69" s="35"/>
      <c r="V69" s="71"/>
      <c r="W69" s="50"/>
    </row>
    <row r="70" ht="48.75" customHeight="1">
      <c r="A70" s="56"/>
      <c r="B70" s="57" t="s">
        <v>30</v>
      </c>
      <c r="C70" s="35" t="s">
        <v>30</v>
      </c>
      <c r="D70" s="35" t="s">
        <v>30</v>
      </c>
      <c r="E70" s="58" t="s">
        <v>30</v>
      </c>
      <c r="F70" s="59" t="s">
        <v>30</v>
      </c>
      <c r="G70" s="57" t="s">
        <v>30</v>
      </c>
      <c r="H70" s="38" t="s">
        <v>30</v>
      </c>
      <c r="I70" s="60" t="s">
        <v>30</v>
      </c>
      <c r="J70" s="61" t="s">
        <v>30</v>
      </c>
      <c r="K70" s="60" t="s">
        <v>30</v>
      </c>
      <c r="L70" s="62" t="s">
        <v>30</v>
      </c>
      <c r="M70" s="63" t="s">
        <v>30</v>
      </c>
      <c r="N70" s="44" t="s">
        <v>30</v>
      </c>
      <c r="O70" s="64" t="s">
        <v>30</v>
      </c>
      <c r="P70" s="65" t="s">
        <v>30</v>
      </c>
      <c r="Q70" s="66" t="s">
        <v>30</v>
      </c>
      <c r="R70" s="67" t="s">
        <v>30</v>
      </c>
      <c r="S70" s="66" t="s">
        <v>30</v>
      </c>
      <c r="T70" s="48" t="s">
        <v>30</v>
      </c>
      <c r="U70" s="35"/>
      <c r="V70" s="56"/>
      <c r="W70" s="70"/>
    </row>
    <row r="71" ht="48.75" customHeight="1">
      <c r="A71" s="56"/>
      <c r="B71" s="57" t="s">
        <v>30</v>
      </c>
      <c r="C71" s="35" t="s">
        <v>30</v>
      </c>
      <c r="D71" s="35" t="s">
        <v>30</v>
      </c>
      <c r="E71" s="58" t="s">
        <v>30</v>
      </c>
      <c r="F71" s="59" t="s">
        <v>30</v>
      </c>
      <c r="G71" s="57" t="s">
        <v>30</v>
      </c>
      <c r="H71" s="38" t="s">
        <v>30</v>
      </c>
      <c r="I71" s="60" t="s">
        <v>30</v>
      </c>
      <c r="J71" s="61" t="s">
        <v>30</v>
      </c>
      <c r="K71" s="60" t="s">
        <v>30</v>
      </c>
      <c r="L71" s="62" t="s">
        <v>30</v>
      </c>
      <c r="M71" s="63" t="s">
        <v>30</v>
      </c>
      <c r="N71" s="44" t="s">
        <v>30</v>
      </c>
      <c r="O71" s="64" t="s">
        <v>30</v>
      </c>
      <c r="P71" s="65" t="s">
        <v>30</v>
      </c>
      <c r="Q71" s="66" t="s">
        <v>30</v>
      </c>
      <c r="R71" s="67" t="s">
        <v>30</v>
      </c>
      <c r="S71" s="66" t="s">
        <v>30</v>
      </c>
      <c r="T71" s="48" t="s">
        <v>30</v>
      </c>
      <c r="U71" s="35"/>
      <c r="V71" s="56"/>
      <c r="W71" s="70"/>
    </row>
    <row r="72" ht="48.75" customHeight="1">
      <c r="A72" s="56"/>
      <c r="B72" s="57" t="s">
        <v>30</v>
      </c>
      <c r="C72" s="35" t="s">
        <v>30</v>
      </c>
      <c r="D72" s="35" t="s">
        <v>30</v>
      </c>
      <c r="E72" s="58" t="s">
        <v>30</v>
      </c>
      <c r="F72" s="59" t="s">
        <v>30</v>
      </c>
      <c r="G72" s="57" t="s">
        <v>30</v>
      </c>
      <c r="H72" s="38" t="s">
        <v>30</v>
      </c>
      <c r="I72" s="60" t="s">
        <v>30</v>
      </c>
      <c r="J72" s="61" t="s">
        <v>30</v>
      </c>
      <c r="K72" s="60" t="s">
        <v>30</v>
      </c>
      <c r="L72" s="62" t="s">
        <v>30</v>
      </c>
      <c r="M72" s="63" t="s">
        <v>30</v>
      </c>
      <c r="N72" s="44" t="s">
        <v>30</v>
      </c>
      <c r="O72" s="64" t="s">
        <v>30</v>
      </c>
      <c r="P72" s="65" t="s">
        <v>30</v>
      </c>
      <c r="Q72" s="66" t="s">
        <v>30</v>
      </c>
      <c r="R72" s="67" t="s">
        <v>30</v>
      </c>
      <c r="S72" s="66" t="s">
        <v>30</v>
      </c>
      <c r="T72" s="48" t="s">
        <v>30</v>
      </c>
      <c r="U72" s="35"/>
      <c r="V72" s="56"/>
      <c r="W72" s="50"/>
    </row>
    <row r="73" ht="48.75" customHeight="1">
      <c r="A73" s="71"/>
      <c r="B73" s="57" t="s">
        <v>30</v>
      </c>
      <c r="C73" s="35" t="s">
        <v>30</v>
      </c>
      <c r="D73" s="35" t="s">
        <v>30</v>
      </c>
      <c r="E73" s="58" t="s">
        <v>30</v>
      </c>
      <c r="F73" s="59" t="s">
        <v>30</v>
      </c>
      <c r="G73" s="57" t="s">
        <v>30</v>
      </c>
      <c r="H73" s="38" t="s">
        <v>30</v>
      </c>
      <c r="I73" s="60" t="s">
        <v>30</v>
      </c>
      <c r="J73" s="61" t="s">
        <v>30</v>
      </c>
      <c r="K73" s="60" t="s">
        <v>30</v>
      </c>
      <c r="L73" s="62" t="s">
        <v>30</v>
      </c>
      <c r="M73" s="63" t="s">
        <v>30</v>
      </c>
      <c r="N73" s="44" t="s">
        <v>30</v>
      </c>
      <c r="O73" s="64" t="s">
        <v>30</v>
      </c>
      <c r="P73" s="65" t="s">
        <v>30</v>
      </c>
      <c r="Q73" s="66" t="s">
        <v>30</v>
      </c>
      <c r="R73" s="67" t="s">
        <v>30</v>
      </c>
      <c r="S73" s="66" t="s">
        <v>30</v>
      </c>
      <c r="T73" s="48" t="s">
        <v>30</v>
      </c>
      <c r="U73" s="35"/>
      <c r="V73" s="56"/>
      <c r="W73" s="50"/>
    </row>
    <row r="74" ht="48.75" customHeight="1">
      <c r="A74" s="71"/>
      <c r="B74" s="57" t="s">
        <v>30</v>
      </c>
      <c r="C74" s="35" t="s">
        <v>30</v>
      </c>
      <c r="D74" s="35" t="s">
        <v>30</v>
      </c>
      <c r="E74" s="58" t="s">
        <v>30</v>
      </c>
      <c r="F74" s="59" t="s">
        <v>30</v>
      </c>
      <c r="G74" s="57" t="s">
        <v>30</v>
      </c>
      <c r="H74" s="38" t="s">
        <v>30</v>
      </c>
      <c r="I74" s="60" t="s">
        <v>30</v>
      </c>
      <c r="J74" s="61" t="s">
        <v>30</v>
      </c>
      <c r="K74" s="60" t="s">
        <v>30</v>
      </c>
      <c r="L74" s="62" t="s">
        <v>30</v>
      </c>
      <c r="M74" s="63" t="s">
        <v>30</v>
      </c>
      <c r="N74" s="44" t="s">
        <v>30</v>
      </c>
      <c r="O74" s="64" t="s">
        <v>30</v>
      </c>
      <c r="P74" s="65" t="s">
        <v>30</v>
      </c>
      <c r="Q74" s="66" t="s">
        <v>30</v>
      </c>
      <c r="R74" s="67" t="s">
        <v>30</v>
      </c>
      <c r="S74" s="66" t="s">
        <v>30</v>
      </c>
      <c r="T74" s="48" t="s">
        <v>30</v>
      </c>
      <c r="U74" s="35"/>
      <c r="V74" s="56"/>
      <c r="W74" s="70"/>
    </row>
    <row r="75" ht="48.75" customHeight="1">
      <c r="A75" s="71"/>
      <c r="B75" s="57" t="s">
        <v>30</v>
      </c>
      <c r="C75" s="35" t="s">
        <v>30</v>
      </c>
      <c r="D75" s="35" t="s">
        <v>30</v>
      </c>
      <c r="E75" s="58" t="s">
        <v>30</v>
      </c>
      <c r="F75" s="59" t="s">
        <v>30</v>
      </c>
      <c r="G75" s="57" t="s">
        <v>30</v>
      </c>
      <c r="H75" s="38" t="s">
        <v>30</v>
      </c>
      <c r="I75" s="60" t="s">
        <v>30</v>
      </c>
      <c r="J75" s="61" t="s">
        <v>30</v>
      </c>
      <c r="K75" s="60" t="s">
        <v>30</v>
      </c>
      <c r="L75" s="62" t="s">
        <v>30</v>
      </c>
      <c r="M75" s="63" t="s">
        <v>30</v>
      </c>
      <c r="N75" s="44" t="s">
        <v>30</v>
      </c>
      <c r="O75" s="64" t="s">
        <v>30</v>
      </c>
      <c r="P75" s="65" t="s">
        <v>30</v>
      </c>
      <c r="Q75" s="66" t="s">
        <v>30</v>
      </c>
      <c r="R75" s="67" t="s">
        <v>30</v>
      </c>
      <c r="S75" s="66" t="s">
        <v>30</v>
      </c>
      <c r="T75" s="48" t="s">
        <v>30</v>
      </c>
      <c r="U75" s="35"/>
      <c r="V75" s="71"/>
      <c r="W75" s="50"/>
    </row>
    <row r="76" ht="48.75" customHeight="1">
      <c r="A76" s="71"/>
      <c r="B76" s="57" t="s">
        <v>30</v>
      </c>
      <c r="C76" s="35" t="s">
        <v>30</v>
      </c>
      <c r="D76" s="35" t="s">
        <v>30</v>
      </c>
      <c r="E76" s="58" t="s">
        <v>30</v>
      </c>
      <c r="F76" s="59" t="s">
        <v>30</v>
      </c>
      <c r="G76" s="57" t="s">
        <v>30</v>
      </c>
      <c r="H76" s="38" t="s">
        <v>30</v>
      </c>
      <c r="I76" s="60" t="s">
        <v>30</v>
      </c>
      <c r="J76" s="61" t="s">
        <v>30</v>
      </c>
      <c r="K76" s="60" t="s">
        <v>30</v>
      </c>
      <c r="L76" s="62" t="s">
        <v>30</v>
      </c>
      <c r="M76" s="63" t="s">
        <v>30</v>
      </c>
      <c r="N76" s="44" t="s">
        <v>30</v>
      </c>
      <c r="O76" s="64" t="s">
        <v>30</v>
      </c>
      <c r="P76" s="65" t="s">
        <v>30</v>
      </c>
      <c r="Q76" s="66" t="s">
        <v>30</v>
      </c>
      <c r="R76" s="67" t="s">
        <v>30</v>
      </c>
      <c r="S76" s="66" t="s">
        <v>30</v>
      </c>
      <c r="T76" s="48" t="s">
        <v>30</v>
      </c>
      <c r="U76" s="35"/>
      <c r="V76" s="56"/>
      <c r="W76" s="70"/>
    </row>
    <row r="77" ht="48.75" customHeight="1">
      <c r="A77" s="71"/>
      <c r="B77" s="57" t="s">
        <v>30</v>
      </c>
      <c r="C77" s="35" t="s">
        <v>30</v>
      </c>
      <c r="D77" s="35" t="s">
        <v>30</v>
      </c>
      <c r="E77" s="58" t="s">
        <v>30</v>
      </c>
      <c r="F77" s="59" t="s">
        <v>30</v>
      </c>
      <c r="G77" s="57" t="s">
        <v>30</v>
      </c>
      <c r="H77" s="38" t="s">
        <v>30</v>
      </c>
      <c r="I77" s="60" t="s">
        <v>30</v>
      </c>
      <c r="J77" s="61" t="s">
        <v>30</v>
      </c>
      <c r="K77" s="60" t="s">
        <v>30</v>
      </c>
      <c r="L77" s="62" t="s">
        <v>30</v>
      </c>
      <c r="M77" s="63" t="s">
        <v>30</v>
      </c>
      <c r="N77" s="44" t="s">
        <v>30</v>
      </c>
      <c r="O77" s="64" t="s">
        <v>30</v>
      </c>
      <c r="P77" s="65" t="s">
        <v>30</v>
      </c>
      <c r="Q77" s="66" t="s">
        <v>30</v>
      </c>
      <c r="R77" s="67" t="s">
        <v>30</v>
      </c>
      <c r="S77" s="66" t="s">
        <v>30</v>
      </c>
      <c r="T77" s="48" t="s">
        <v>30</v>
      </c>
      <c r="U77" s="35"/>
      <c r="V77" s="56"/>
      <c r="W77" s="70"/>
    </row>
    <row r="78" ht="48.75" customHeight="1">
      <c r="A78" s="71"/>
      <c r="B78" s="57" t="s">
        <v>30</v>
      </c>
      <c r="C78" s="35" t="s">
        <v>30</v>
      </c>
      <c r="D78" s="35" t="s">
        <v>30</v>
      </c>
      <c r="E78" s="58" t="s">
        <v>30</v>
      </c>
      <c r="F78" s="59" t="s">
        <v>30</v>
      </c>
      <c r="G78" s="57" t="s">
        <v>30</v>
      </c>
      <c r="H78" s="38" t="s">
        <v>30</v>
      </c>
      <c r="I78" s="60" t="s">
        <v>30</v>
      </c>
      <c r="J78" s="61" t="s">
        <v>30</v>
      </c>
      <c r="K78" s="60" t="s">
        <v>30</v>
      </c>
      <c r="L78" s="62" t="s">
        <v>30</v>
      </c>
      <c r="M78" s="63" t="s">
        <v>30</v>
      </c>
      <c r="N78" s="44" t="s">
        <v>30</v>
      </c>
      <c r="O78" s="64" t="s">
        <v>30</v>
      </c>
      <c r="P78" s="65" t="s">
        <v>30</v>
      </c>
      <c r="Q78" s="66" t="s">
        <v>30</v>
      </c>
      <c r="R78" s="67" t="s">
        <v>30</v>
      </c>
      <c r="S78" s="66" t="s">
        <v>30</v>
      </c>
      <c r="T78" s="48" t="s">
        <v>30</v>
      </c>
      <c r="U78" s="35"/>
      <c r="V78" s="56"/>
      <c r="W78" s="70"/>
    </row>
    <row r="79" ht="48.75" customHeight="1">
      <c r="A79" s="71"/>
      <c r="B79" s="57" t="s">
        <v>30</v>
      </c>
      <c r="C79" s="35" t="s">
        <v>30</v>
      </c>
      <c r="D79" s="35" t="s">
        <v>30</v>
      </c>
      <c r="E79" s="58" t="s">
        <v>30</v>
      </c>
      <c r="F79" s="59" t="s">
        <v>30</v>
      </c>
      <c r="G79" s="57" t="s">
        <v>30</v>
      </c>
      <c r="H79" s="38" t="s">
        <v>30</v>
      </c>
      <c r="I79" s="60" t="s">
        <v>30</v>
      </c>
      <c r="J79" s="61" t="s">
        <v>30</v>
      </c>
      <c r="K79" s="60" t="s">
        <v>30</v>
      </c>
      <c r="L79" s="62" t="s">
        <v>30</v>
      </c>
      <c r="M79" s="63" t="s">
        <v>30</v>
      </c>
      <c r="N79" s="44" t="s">
        <v>30</v>
      </c>
      <c r="O79" s="64" t="s">
        <v>30</v>
      </c>
      <c r="P79" s="65" t="s">
        <v>30</v>
      </c>
      <c r="Q79" s="66" t="s">
        <v>30</v>
      </c>
      <c r="R79" s="67" t="s">
        <v>30</v>
      </c>
      <c r="S79" s="66" t="s">
        <v>30</v>
      </c>
      <c r="T79" s="48" t="s">
        <v>30</v>
      </c>
      <c r="U79" s="35"/>
      <c r="V79" s="56"/>
      <c r="W79" s="70"/>
    </row>
    <row r="80" ht="48.75" customHeight="1">
      <c r="A80" s="71"/>
      <c r="B80" s="57" t="s">
        <v>30</v>
      </c>
      <c r="C80" s="35" t="s">
        <v>30</v>
      </c>
      <c r="D80" s="35" t="s">
        <v>30</v>
      </c>
      <c r="E80" s="58" t="s">
        <v>30</v>
      </c>
      <c r="F80" s="59" t="s">
        <v>30</v>
      </c>
      <c r="G80" s="57" t="s">
        <v>30</v>
      </c>
      <c r="H80" s="38" t="s">
        <v>30</v>
      </c>
      <c r="I80" s="60" t="s">
        <v>30</v>
      </c>
      <c r="J80" s="61" t="s">
        <v>30</v>
      </c>
      <c r="K80" s="60" t="s">
        <v>30</v>
      </c>
      <c r="L80" s="62" t="s">
        <v>30</v>
      </c>
      <c r="M80" s="63" t="s">
        <v>30</v>
      </c>
      <c r="N80" s="44" t="s">
        <v>30</v>
      </c>
      <c r="O80" s="64" t="s">
        <v>30</v>
      </c>
      <c r="P80" s="65" t="s">
        <v>30</v>
      </c>
      <c r="Q80" s="66" t="s">
        <v>30</v>
      </c>
      <c r="R80" s="67" t="s">
        <v>30</v>
      </c>
      <c r="S80" s="66" t="s">
        <v>30</v>
      </c>
      <c r="T80" s="48" t="s">
        <v>30</v>
      </c>
      <c r="U80" s="35"/>
      <c r="V80" s="56"/>
      <c r="W80" s="50"/>
    </row>
    <row r="81" ht="48.75" customHeight="1">
      <c r="A81" s="71"/>
      <c r="B81" s="57" t="s">
        <v>30</v>
      </c>
      <c r="C81" s="35" t="s">
        <v>30</v>
      </c>
      <c r="D81" s="35" t="s">
        <v>30</v>
      </c>
      <c r="E81" s="58" t="s">
        <v>30</v>
      </c>
      <c r="F81" s="59" t="s">
        <v>30</v>
      </c>
      <c r="G81" s="57" t="s">
        <v>30</v>
      </c>
      <c r="H81" s="38" t="s">
        <v>30</v>
      </c>
      <c r="I81" s="60" t="s">
        <v>30</v>
      </c>
      <c r="J81" s="61" t="s">
        <v>30</v>
      </c>
      <c r="K81" s="60" t="s">
        <v>30</v>
      </c>
      <c r="L81" s="62" t="s">
        <v>30</v>
      </c>
      <c r="M81" s="63" t="s">
        <v>30</v>
      </c>
      <c r="N81" s="44" t="s">
        <v>30</v>
      </c>
      <c r="O81" s="64" t="s">
        <v>30</v>
      </c>
      <c r="P81" s="65" t="s">
        <v>30</v>
      </c>
      <c r="Q81" s="66" t="s">
        <v>30</v>
      </c>
      <c r="R81" s="67" t="s">
        <v>30</v>
      </c>
      <c r="S81" s="66" t="s">
        <v>30</v>
      </c>
      <c r="T81" s="48" t="s">
        <v>30</v>
      </c>
      <c r="U81" s="35"/>
      <c r="V81" s="56"/>
      <c r="W81" s="70"/>
    </row>
    <row r="82" ht="48.75" customHeight="1">
      <c r="A82" s="56"/>
      <c r="B82" s="57" t="s">
        <v>30</v>
      </c>
      <c r="C82" s="35" t="s">
        <v>30</v>
      </c>
      <c r="D82" s="35" t="s">
        <v>30</v>
      </c>
      <c r="E82" s="58" t="s">
        <v>30</v>
      </c>
      <c r="F82" s="59" t="s">
        <v>30</v>
      </c>
      <c r="G82" s="57" t="s">
        <v>30</v>
      </c>
      <c r="H82" s="38" t="s">
        <v>30</v>
      </c>
      <c r="I82" s="60" t="s">
        <v>30</v>
      </c>
      <c r="J82" s="61" t="s">
        <v>30</v>
      </c>
      <c r="K82" s="60" t="s">
        <v>30</v>
      </c>
      <c r="L82" s="62" t="s">
        <v>30</v>
      </c>
      <c r="M82" s="63" t="s">
        <v>30</v>
      </c>
      <c r="N82" s="44" t="s">
        <v>30</v>
      </c>
      <c r="O82" s="64" t="s">
        <v>30</v>
      </c>
      <c r="P82" s="65" t="s">
        <v>30</v>
      </c>
      <c r="Q82" s="66" t="s">
        <v>30</v>
      </c>
      <c r="R82" s="67" t="s">
        <v>30</v>
      </c>
      <c r="S82" s="66" t="s">
        <v>30</v>
      </c>
      <c r="T82" s="48" t="s">
        <v>30</v>
      </c>
      <c r="U82" s="35"/>
      <c r="V82" s="56"/>
      <c r="W82" s="50"/>
    </row>
    <row r="83" ht="48.75" customHeight="1">
      <c r="A83" s="71"/>
      <c r="B83" s="57" t="s">
        <v>30</v>
      </c>
      <c r="C83" s="35" t="s">
        <v>30</v>
      </c>
      <c r="D83" s="35" t="s">
        <v>30</v>
      </c>
      <c r="E83" s="58" t="s">
        <v>30</v>
      </c>
      <c r="F83" s="59" t="s">
        <v>30</v>
      </c>
      <c r="G83" s="57" t="s">
        <v>30</v>
      </c>
      <c r="H83" s="38" t="s">
        <v>30</v>
      </c>
      <c r="I83" s="60" t="s">
        <v>30</v>
      </c>
      <c r="J83" s="61" t="s">
        <v>30</v>
      </c>
      <c r="K83" s="60" t="s">
        <v>30</v>
      </c>
      <c r="L83" s="62" t="s">
        <v>30</v>
      </c>
      <c r="M83" s="63" t="s">
        <v>30</v>
      </c>
      <c r="N83" s="44" t="s">
        <v>30</v>
      </c>
      <c r="O83" s="64" t="s">
        <v>30</v>
      </c>
      <c r="P83" s="65" t="s">
        <v>30</v>
      </c>
      <c r="Q83" s="66" t="s">
        <v>30</v>
      </c>
      <c r="R83" s="67" t="s">
        <v>30</v>
      </c>
      <c r="S83" s="66" t="s">
        <v>30</v>
      </c>
      <c r="T83" s="48" t="s">
        <v>30</v>
      </c>
      <c r="U83" s="35"/>
      <c r="V83" s="56"/>
      <c r="W83" s="50"/>
    </row>
    <row r="84" ht="48.75" customHeight="1">
      <c r="A84" s="71"/>
      <c r="B84" s="57" t="s">
        <v>30</v>
      </c>
      <c r="C84" s="35" t="s">
        <v>30</v>
      </c>
      <c r="D84" s="35" t="s">
        <v>30</v>
      </c>
      <c r="E84" s="58" t="s">
        <v>30</v>
      </c>
      <c r="F84" s="59" t="s">
        <v>30</v>
      </c>
      <c r="G84" s="57" t="s">
        <v>30</v>
      </c>
      <c r="H84" s="38" t="s">
        <v>30</v>
      </c>
      <c r="I84" s="60" t="s">
        <v>30</v>
      </c>
      <c r="J84" s="61" t="s">
        <v>30</v>
      </c>
      <c r="K84" s="60" t="s">
        <v>30</v>
      </c>
      <c r="L84" s="62" t="s">
        <v>30</v>
      </c>
      <c r="M84" s="63" t="s">
        <v>30</v>
      </c>
      <c r="N84" s="44" t="s">
        <v>30</v>
      </c>
      <c r="O84" s="64" t="s">
        <v>30</v>
      </c>
      <c r="P84" s="65" t="s">
        <v>30</v>
      </c>
      <c r="Q84" s="66" t="s">
        <v>30</v>
      </c>
      <c r="R84" s="67" t="s">
        <v>30</v>
      </c>
      <c r="S84" s="66" t="s">
        <v>30</v>
      </c>
      <c r="T84" s="48" t="s">
        <v>30</v>
      </c>
      <c r="U84" s="35"/>
      <c r="V84" s="56"/>
      <c r="W84" s="70"/>
    </row>
    <row r="85" ht="48.75" customHeight="1">
      <c r="A85" s="56"/>
      <c r="B85" s="57" t="s">
        <v>30</v>
      </c>
      <c r="C85" s="35" t="s">
        <v>30</v>
      </c>
      <c r="D85" s="35" t="s">
        <v>30</v>
      </c>
      <c r="E85" s="58" t="s">
        <v>30</v>
      </c>
      <c r="F85" s="59" t="s">
        <v>30</v>
      </c>
      <c r="G85" s="57" t="s">
        <v>30</v>
      </c>
      <c r="H85" s="38" t="s">
        <v>30</v>
      </c>
      <c r="I85" s="60" t="s">
        <v>30</v>
      </c>
      <c r="J85" s="61" t="s">
        <v>30</v>
      </c>
      <c r="K85" s="60" t="s">
        <v>30</v>
      </c>
      <c r="L85" s="62" t="s">
        <v>30</v>
      </c>
      <c r="M85" s="63" t="s">
        <v>30</v>
      </c>
      <c r="N85" s="44" t="s">
        <v>30</v>
      </c>
      <c r="O85" s="64" t="s">
        <v>30</v>
      </c>
      <c r="P85" s="65" t="s">
        <v>30</v>
      </c>
      <c r="Q85" s="66" t="s">
        <v>30</v>
      </c>
      <c r="R85" s="67" t="s">
        <v>30</v>
      </c>
      <c r="S85" s="66" t="s">
        <v>30</v>
      </c>
      <c r="T85" s="48" t="s">
        <v>30</v>
      </c>
      <c r="U85" s="35"/>
      <c r="V85" s="56"/>
      <c r="W85" s="50"/>
    </row>
    <row r="86" ht="48.75" customHeight="1">
      <c r="A86" s="71"/>
      <c r="B86" s="57" t="s">
        <v>30</v>
      </c>
      <c r="C86" s="35" t="s">
        <v>30</v>
      </c>
      <c r="D86" s="35" t="s">
        <v>30</v>
      </c>
      <c r="E86" s="58" t="s">
        <v>30</v>
      </c>
      <c r="F86" s="59" t="s">
        <v>30</v>
      </c>
      <c r="G86" s="57" t="s">
        <v>30</v>
      </c>
      <c r="H86" s="38" t="s">
        <v>30</v>
      </c>
      <c r="I86" s="60" t="s">
        <v>30</v>
      </c>
      <c r="J86" s="61" t="s">
        <v>30</v>
      </c>
      <c r="K86" s="60" t="s">
        <v>30</v>
      </c>
      <c r="L86" s="62" t="s">
        <v>30</v>
      </c>
      <c r="M86" s="63" t="s">
        <v>30</v>
      </c>
      <c r="N86" s="44" t="s">
        <v>30</v>
      </c>
      <c r="O86" s="64" t="s">
        <v>30</v>
      </c>
      <c r="P86" s="65" t="s">
        <v>30</v>
      </c>
      <c r="Q86" s="66" t="s">
        <v>30</v>
      </c>
      <c r="R86" s="67" t="s">
        <v>30</v>
      </c>
      <c r="S86" s="66" t="s">
        <v>30</v>
      </c>
      <c r="T86" s="48" t="s">
        <v>30</v>
      </c>
      <c r="U86" s="35"/>
      <c r="V86" s="71"/>
      <c r="W86" s="50"/>
    </row>
    <row r="87" ht="48.75" customHeight="1">
      <c r="A87" s="71"/>
      <c r="B87" s="57" t="s">
        <v>30</v>
      </c>
      <c r="C87" s="35" t="s">
        <v>30</v>
      </c>
      <c r="D87" s="35" t="s">
        <v>30</v>
      </c>
      <c r="E87" s="58" t="s">
        <v>30</v>
      </c>
      <c r="F87" s="59" t="s">
        <v>30</v>
      </c>
      <c r="G87" s="57" t="s">
        <v>30</v>
      </c>
      <c r="H87" s="38" t="s">
        <v>30</v>
      </c>
      <c r="I87" s="60" t="s">
        <v>30</v>
      </c>
      <c r="J87" s="61" t="s">
        <v>30</v>
      </c>
      <c r="K87" s="60" t="s">
        <v>30</v>
      </c>
      <c r="L87" s="62" t="s">
        <v>30</v>
      </c>
      <c r="M87" s="63" t="s">
        <v>30</v>
      </c>
      <c r="N87" s="44" t="s">
        <v>30</v>
      </c>
      <c r="O87" s="64" t="s">
        <v>30</v>
      </c>
      <c r="P87" s="65" t="s">
        <v>30</v>
      </c>
      <c r="Q87" s="66" t="s">
        <v>30</v>
      </c>
      <c r="R87" s="67" t="s">
        <v>30</v>
      </c>
      <c r="S87" s="66" t="s">
        <v>30</v>
      </c>
      <c r="T87" s="48" t="s">
        <v>30</v>
      </c>
      <c r="U87" s="35"/>
      <c r="V87" s="71"/>
      <c r="W87" s="50"/>
    </row>
    <row r="88" ht="48.75" customHeight="1">
      <c r="A88" s="71"/>
      <c r="B88" s="57" t="s">
        <v>30</v>
      </c>
      <c r="C88" s="35" t="s">
        <v>30</v>
      </c>
      <c r="D88" s="35" t="s">
        <v>30</v>
      </c>
      <c r="E88" s="58" t="s">
        <v>30</v>
      </c>
      <c r="F88" s="59" t="s">
        <v>30</v>
      </c>
      <c r="G88" s="57" t="s">
        <v>30</v>
      </c>
      <c r="H88" s="38" t="s">
        <v>30</v>
      </c>
      <c r="I88" s="60" t="s">
        <v>30</v>
      </c>
      <c r="J88" s="61" t="s">
        <v>30</v>
      </c>
      <c r="K88" s="60" t="s">
        <v>30</v>
      </c>
      <c r="L88" s="62" t="s">
        <v>30</v>
      </c>
      <c r="M88" s="63" t="s">
        <v>30</v>
      </c>
      <c r="N88" s="44" t="s">
        <v>30</v>
      </c>
      <c r="O88" s="64" t="s">
        <v>30</v>
      </c>
      <c r="P88" s="65" t="s">
        <v>30</v>
      </c>
      <c r="Q88" s="66" t="s">
        <v>30</v>
      </c>
      <c r="R88" s="67" t="s">
        <v>30</v>
      </c>
      <c r="S88" s="66" t="s">
        <v>30</v>
      </c>
      <c r="T88" s="48" t="s">
        <v>30</v>
      </c>
      <c r="U88" s="35"/>
      <c r="V88" s="71"/>
      <c r="W88" s="50"/>
    </row>
    <row r="89" ht="48.75" customHeight="1">
      <c r="A89" s="56"/>
      <c r="B89" s="57" t="s">
        <v>30</v>
      </c>
      <c r="C89" s="35" t="s">
        <v>30</v>
      </c>
      <c r="D89" s="35" t="s">
        <v>30</v>
      </c>
      <c r="E89" s="58" t="s">
        <v>30</v>
      </c>
      <c r="F89" s="59" t="s">
        <v>30</v>
      </c>
      <c r="G89" s="57" t="s">
        <v>30</v>
      </c>
      <c r="H89" s="38" t="s">
        <v>30</v>
      </c>
      <c r="I89" s="60" t="s">
        <v>30</v>
      </c>
      <c r="J89" s="61" t="s">
        <v>30</v>
      </c>
      <c r="K89" s="60" t="s">
        <v>30</v>
      </c>
      <c r="L89" s="62" t="s">
        <v>30</v>
      </c>
      <c r="M89" s="63" t="s">
        <v>30</v>
      </c>
      <c r="N89" s="44" t="s">
        <v>30</v>
      </c>
      <c r="O89" s="64" t="s">
        <v>30</v>
      </c>
      <c r="P89" s="65" t="s">
        <v>30</v>
      </c>
      <c r="Q89" s="66" t="s">
        <v>30</v>
      </c>
      <c r="R89" s="67" t="s">
        <v>30</v>
      </c>
      <c r="S89" s="66" t="s">
        <v>30</v>
      </c>
      <c r="T89" s="48" t="s">
        <v>30</v>
      </c>
      <c r="U89" s="35"/>
      <c r="V89" s="71"/>
      <c r="W89" s="50"/>
    </row>
    <row r="90">
      <c r="A90" s="72"/>
      <c r="B90" s="72" t="s">
        <v>30</v>
      </c>
      <c r="C90" s="72" t="s">
        <v>30</v>
      </c>
      <c r="D90" s="72" t="s">
        <v>30</v>
      </c>
      <c r="E90" s="72" t="s">
        <v>30</v>
      </c>
      <c r="F90" s="72" t="s">
        <v>30</v>
      </c>
      <c r="G90" s="72" t="s">
        <v>30</v>
      </c>
      <c r="H90" s="72" t="s">
        <v>30</v>
      </c>
      <c r="I90" s="73" t="s">
        <v>30</v>
      </c>
      <c r="J90" s="72" t="s">
        <v>30</v>
      </c>
      <c r="K90" s="72" t="s">
        <v>30</v>
      </c>
      <c r="L90" s="72" t="s">
        <v>30</v>
      </c>
      <c r="M90" s="72" t="s">
        <v>30</v>
      </c>
      <c r="N90" s="72" t="s">
        <v>30</v>
      </c>
      <c r="O90" s="73" t="s">
        <v>30</v>
      </c>
      <c r="P90" s="72" t="s">
        <v>30</v>
      </c>
      <c r="Q90" s="72" t="s">
        <v>30</v>
      </c>
      <c r="R90" s="72" t="s">
        <v>30</v>
      </c>
      <c r="S90" s="72" t="s">
        <v>30</v>
      </c>
      <c r="T90" s="72" t="s">
        <v>30</v>
      </c>
      <c r="W90" s="31"/>
    </row>
    <row r="91">
      <c r="A91" s="72"/>
      <c r="B91" s="72" t="s">
        <v>30</v>
      </c>
      <c r="C91" s="72" t="s">
        <v>30</v>
      </c>
      <c r="D91" s="72" t="s">
        <v>30</v>
      </c>
      <c r="E91" s="72" t="s">
        <v>30</v>
      </c>
      <c r="F91" s="72" t="s">
        <v>30</v>
      </c>
      <c r="G91" s="72" t="s">
        <v>30</v>
      </c>
      <c r="H91" s="72" t="s">
        <v>30</v>
      </c>
      <c r="I91" s="73" t="s">
        <v>30</v>
      </c>
      <c r="J91" s="72" t="s">
        <v>30</v>
      </c>
      <c r="K91" s="72" t="s">
        <v>30</v>
      </c>
      <c r="L91" s="72" t="s">
        <v>30</v>
      </c>
      <c r="M91" s="72" t="s">
        <v>30</v>
      </c>
      <c r="N91" s="72" t="s">
        <v>30</v>
      </c>
      <c r="O91" s="73" t="s">
        <v>30</v>
      </c>
      <c r="P91" s="72" t="s">
        <v>30</v>
      </c>
      <c r="Q91" s="72" t="s">
        <v>30</v>
      </c>
      <c r="R91" s="72" t="s">
        <v>30</v>
      </c>
      <c r="S91" s="72" t="s">
        <v>30</v>
      </c>
      <c r="T91" s="72" t="s">
        <v>30</v>
      </c>
      <c r="W91" s="31"/>
    </row>
    <row r="92">
      <c r="A92" s="72"/>
      <c r="B92" s="72" t="s">
        <v>30</v>
      </c>
      <c r="C92" s="72" t="s">
        <v>30</v>
      </c>
      <c r="D92" s="72" t="s">
        <v>30</v>
      </c>
      <c r="E92" s="72" t="s">
        <v>30</v>
      </c>
      <c r="F92" s="72" t="s">
        <v>30</v>
      </c>
      <c r="G92" s="72" t="s">
        <v>30</v>
      </c>
      <c r="H92" s="72" t="s">
        <v>30</v>
      </c>
      <c r="I92" s="73" t="s">
        <v>30</v>
      </c>
      <c r="J92" s="72" t="s">
        <v>30</v>
      </c>
      <c r="K92" s="72" t="s">
        <v>30</v>
      </c>
      <c r="L92" s="72" t="s">
        <v>30</v>
      </c>
      <c r="M92" s="72" t="s">
        <v>30</v>
      </c>
      <c r="N92" s="72" t="s">
        <v>30</v>
      </c>
      <c r="O92" s="73" t="s">
        <v>30</v>
      </c>
      <c r="P92" s="72" t="s">
        <v>30</v>
      </c>
      <c r="Q92" s="72" t="s">
        <v>30</v>
      </c>
      <c r="R92" s="72" t="s">
        <v>30</v>
      </c>
      <c r="S92" s="72" t="s">
        <v>30</v>
      </c>
      <c r="T92" s="72" t="s">
        <v>30</v>
      </c>
      <c r="W92" s="31"/>
    </row>
    <row r="93">
      <c r="A93" s="72"/>
      <c r="B93" s="72" t="s">
        <v>30</v>
      </c>
      <c r="C93" s="72" t="s">
        <v>30</v>
      </c>
      <c r="D93" s="72" t="s">
        <v>30</v>
      </c>
      <c r="E93" s="72" t="s">
        <v>30</v>
      </c>
      <c r="F93" s="72" t="s">
        <v>30</v>
      </c>
      <c r="G93" s="72" t="s">
        <v>30</v>
      </c>
      <c r="H93" s="72" t="s">
        <v>30</v>
      </c>
      <c r="I93" s="73" t="s">
        <v>30</v>
      </c>
      <c r="J93" s="72" t="s">
        <v>30</v>
      </c>
      <c r="K93" s="72" t="s">
        <v>30</v>
      </c>
      <c r="L93" s="72" t="s">
        <v>30</v>
      </c>
      <c r="M93" s="72" t="s">
        <v>30</v>
      </c>
      <c r="N93" s="72" t="s">
        <v>30</v>
      </c>
      <c r="O93" s="73" t="s">
        <v>30</v>
      </c>
      <c r="P93" s="72" t="s">
        <v>30</v>
      </c>
      <c r="Q93" s="72" t="s">
        <v>30</v>
      </c>
      <c r="R93" s="72" t="s">
        <v>30</v>
      </c>
      <c r="S93" s="72" t="s">
        <v>30</v>
      </c>
      <c r="T93" s="72" t="s">
        <v>30</v>
      </c>
      <c r="W93" s="31"/>
    </row>
    <row r="94">
      <c r="B94" s="72" t="s">
        <v>30</v>
      </c>
      <c r="C94" s="72" t="s">
        <v>30</v>
      </c>
      <c r="D94" s="72" t="s">
        <v>30</v>
      </c>
      <c r="E94" s="72" t="s">
        <v>30</v>
      </c>
      <c r="F94" s="72" t="s">
        <v>30</v>
      </c>
      <c r="G94" s="72" t="s">
        <v>30</v>
      </c>
      <c r="H94" s="72" t="s">
        <v>30</v>
      </c>
      <c r="I94" s="73" t="s">
        <v>30</v>
      </c>
      <c r="J94" s="72" t="s">
        <v>30</v>
      </c>
      <c r="K94" s="72" t="s">
        <v>30</v>
      </c>
      <c r="L94" s="72" t="s">
        <v>30</v>
      </c>
      <c r="M94" s="72" t="s">
        <v>30</v>
      </c>
      <c r="N94" s="72" t="s">
        <v>30</v>
      </c>
      <c r="O94" s="73" t="s">
        <v>30</v>
      </c>
      <c r="P94" s="72" t="s">
        <v>30</v>
      </c>
      <c r="Q94" s="72" t="s">
        <v>30</v>
      </c>
      <c r="R94" s="72" t="s">
        <v>30</v>
      </c>
      <c r="S94" s="72" t="s">
        <v>30</v>
      </c>
      <c r="T94" s="72" t="s">
        <v>30</v>
      </c>
      <c r="W94" s="31"/>
    </row>
    <row r="95">
      <c r="B95" s="72" t="s">
        <v>30</v>
      </c>
      <c r="C95" s="72" t="s">
        <v>30</v>
      </c>
      <c r="D95" s="72" t="s">
        <v>30</v>
      </c>
      <c r="E95" s="72" t="s">
        <v>30</v>
      </c>
      <c r="F95" s="72" t="s">
        <v>30</v>
      </c>
      <c r="G95" s="72" t="s">
        <v>30</v>
      </c>
      <c r="H95" s="72" t="s">
        <v>30</v>
      </c>
      <c r="I95" s="73" t="s">
        <v>30</v>
      </c>
      <c r="J95" s="72" t="s">
        <v>30</v>
      </c>
      <c r="K95" s="72" t="s">
        <v>30</v>
      </c>
      <c r="L95" s="72" t="s">
        <v>30</v>
      </c>
      <c r="M95" s="72" t="s">
        <v>30</v>
      </c>
      <c r="N95" s="72" t="s">
        <v>30</v>
      </c>
      <c r="O95" s="73" t="s">
        <v>30</v>
      </c>
      <c r="P95" s="72" t="s">
        <v>30</v>
      </c>
      <c r="Q95" s="72" t="s">
        <v>30</v>
      </c>
      <c r="R95" s="72" t="s">
        <v>30</v>
      </c>
      <c r="S95" s="72" t="s">
        <v>30</v>
      </c>
      <c r="T95" s="72" t="s">
        <v>30</v>
      </c>
      <c r="W95" s="31"/>
    </row>
    <row r="96">
      <c r="B96" s="72" t="s">
        <v>30</v>
      </c>
      <c r="C96" s="72" t="s">
        <v>30</v>
      </c>
      <c r="D96" s="72" t="s">
        <v>30</v>
      </c>
      <c r="E96" s="72" t="s">
        <v>30</v>
      </c>
      <c r="F96" s="72" t="s">
        <v>30</v>
      </c>
      <c r="G96" s="72" t="s">
        <v>30</v>
      </c>
      <c r="H96" s="72" t="s">
        <v>30</v>
      </c>
      <c r="I96" s="73" t="s">
        <v>30</v>
      </c>
      <c r="J96" s="72" t="s">
        <v>30</v>
      </c>
      <c r="K96" s="72" t="s">
        <v>30</v>
      </c>
      <c r="L96" s="72" t="s">
        <v>30</v>
      </c>
      <c r="M96" s="72" t="s">
        <v>30</v>
      </c>
      <c r="N96" s="72" t="s">
        <v>30</v>
      </c>
      <c r="O96" s="73" t="s">
        <v>30</v>
      </c>
      <c r="P96" s="72" t="s">
        <v>30</v>
      </c>
      <c r="Q96" s="72" t="s">
        <v>30</v>
      </c>
      <c r="R96" s="72" t="s">
        <v>30</v>
      </c>
      <c r="S96" s="72" t="s">
        <v>30</v>
      </c>
      <c r="T96" s="72" t="s">
        <v>30</v>
      </c>
      <c r="W96" s="31"/>
    </row>
    <row r="97">
      <c r="B97" s="72" t="s">
        <v>30</v>
      </c>
      <c r="C97" s="72" t="s">
        <v>30</v>
      </c>
      <c r="D97" s="72" t="s">
        <v>30</v>
      </c>
      <c r="E97" s="72" t="s">
        <v>30</v>
      </c>
      <c r="F97" s="72" t="s">
        <v>30</v>
      </c>
      <c r="G97" s="72" t="s">
        <v>30</v>
      </c>
      <c r="H97" s="72" t="s">
        <v>30</v>
      </c>
      <c r="I97" s="73" t="s">
        <v>30</v>
      </c>
      <c r="J97" s="72" t="s">
        <v>30</v>
      </c>
      <c r="K97" s="72" t="s">
        <v>30</v>
      </c>
      <c r="L97" s="72" t="s">
        <v>30</v>
      </c>
      <c r="M97" s="72" t="s">
        <v>30</v>
      </c>
      <c r="N97" s="72" t="s">
        <v>30</v>
      </c>
      <c r="O97" s="73" t="s">
        <v>30</v>
      </c>
      <c r="P97" s="72" t="s">
        <v>30</v>
      </c>
      <c r="Q97" s="72" t="s">
        <v>30</v>
      </c>
      <c r="R97" s="72" t="s">
        <v>30</v>
      </c>
      <c r="S97" s="72" t="s">
        <v>30</v>
      </c>
      <c r="T97" s="72" t="s">
        <v>30</v>
      </c>
      <c r="W97" s="31"/>
    </row>
    <row r="98">
      <c r="B98" s="72" t="s">
        <v>30</v>
      </c>
      <c r="C98" s="72" t="s">
        <v>30</v>
      </c>
      <c r="D98" s="72" t="s">
        <v>30</v>
      </c>
      <c r="E98" s="72" t="s">
        <v>30</v>
      </c>
      <c r="F98" s="72" t="s">
        <v>30</v>
      </c>
      <c r="G98" s="72" t="s">
        <v>30</v>
      </c>
      <c r="H98" s="72" t="s">
        <v>30</v>
      </c>
      <c r="I98" s="73" t="s">
        <v>30</v>
      </c>
      <c r="J98" s="72" t="s">
        <v>30</v>
      </c>
      <c r="K98" s="72" t="s">
        <v>30</v>
      </c>
      <c r="L98" s="72" t="s">
        <v>30</v>
      </c>
      <c r="M98" s="72" t="s">
        <v>30</v>
      </c>
      <c r="N98" s="72" t="s">
        <v>30</v>
      </c>
      <c r="O98" s="73" t="s">
        <v>30</v>
      </c>
      <c r="P98" s="72" t="s">
        <v>30</v>
      </c>
      <c r="Q98" s="72" t="s">
        <v>30</v>
      </c>
      <c r="R98" s="72" t="s">
        <v>30</v>
      </c>
      <c r="S98" s="72" t="s">
        <v>30</v>
      </c>
      <c r="T98" s="72" t="s">
        <v>30</v>
      </c>
      <c r="W98" s="31"/>
    </row>
    <row r="99">
      <c r="B99" s="72" t="s">
        <v>30</v>
      </c>
      <c r="C99" s="72" t="s">
        <v>30</v>
      </c>
      <c r="D99" s="72" t="s">
        <v>30</v>
      </c>
      <c r="E99" s="72" t="s">
        <v>30</v>
      </c>
      <c r="F99" s="72" t="s">
        <v>30</v>
      </c>
      <c r="G99" s="72" t="s">
        <v>30</v>
      </c>
      <c r="H99" s="72" t="s">
        <v>30</v>
      </c>
      <c r="I99" s="73" t="s">
        <v>30</v>
      </c>
      <c r="J99" s="72" t="s">
        <v>30</v>
      </c>
      <c r="K99" s="72" t="s">
        <v>30</v>
      </c>
      <c r="L99" s="72" t="s">
        <v>30</v>
      </c>
      <c r="M99" s="72" t="s">
        <v>30</v>
      </c>
      <c r="N99" s="72" t="s">
        <v>30</v>
      </c>
      <c r="O99" s="73" t="s">
        <v>30</v>
      </c>
      <c r="P99" s="72" t="s">
        <v>30</v>
      </c>
      <c r="Q99" s="72" t="s">
        <v>30</v>
      </c>
      <c r="R99" s="72" t="s">
        <v>30</v>
      </c>
      <c r="S99" s="72" t="s">
        <v>30</v>
      </c>
      <c r="T99" s="72" t="s">
        <v>30</v>
      </c>
      <c r="W99" s="31"/>
    </row>
    <row r="100">
      <c r="B100" s="72" t="s">
        <v>30</v>
      </c>
      <c r="C100" s="72" t="s">
        <v>30</v>
      </c>
      <c r="D100" s="72" t="s">
        <v>30</v>
      </c>
      <c r="E100" s="72" t="s">
        <v>30</v>
      </c>
      <c r="F100" s="72" t="s">
        <v>30</v>
      </c>
      <c r="G100" s="72" t="s">
        <v>30</v>
      </c>
      <c r="H100" s="72" t="s">
        <v>30</v>
      </c>
      <c r="I100" s="73" t="s">
        <v>30</v>
      </c>
      <c r="J100" s="72" t="s">
        <v>30</v>
      </c>
      <c r="K100" s="72" t="s">
        <v>30</v>
      </c>
      <c r="L100" s="72" t="s">
        <v>30</v>
      </c>
      <c r="M100" s="72" t="s">
        <v>30</v>
      </c>
      <c r="N100" s="72" t="s">
        <v>30</v>
      </c>
      <c r="O100" s="73" t="s">
        <v>30</v>
      </c>
      <c r="P100" s="72" t="s">
        <v>30</v>
      </c>
      <c r="Q100" s="72" t="s">
        <v>30</v>
      </c>
      <c r="R100" s="72" t="s">
        <v>30</v>
      </c>
      <c r="S100" s="72" t="s">
        <v>30</v>
      </c>
      <c r="T100" s="72" t="s">
        <v>30</v>
      </c>
      <c r="W100" s="31"/>
    </row>
    <row r="101">
      <c r="B101" s="72" t="s">
        <v>30</v>
      </c>
      <c r="C101" s="72" t="s">
        <v>30</v>
      </c>
      <c r="D101" s="72" t="s">
        <v>30</v>
      </c>
      <c r="E101" s="72" t="s">
        <v>30</v>
      </c>
      <c r="F101" s="72" t="s">
        <v>30</v>
      </c>
      <c r="G101" s="72" t="s">
        <v>30</v>
      </c>
      <c r="H101" s="72" t="s">
        <v>30</v>
      </c>
      <c r="I101" s="73" t="s">
        <v>30</v>
      </c>
      <c r="J101" s="72" t="s">
        <v>30</v>
      </c>
      <c r="K101" s="72" t="s">
        <v>30</v>
      </c>
      <c r="L101" s="72" t="s">
        <v>30</v>
      </c>
      <c r="M101" s="72" t="s">
        <v>30</v>
      </c>
      <c r="N101" s="72" t="s">
        <v>30</v>
      </c>
      <c r="O101" s="73" t="s">
        <v>30</v>
      </c>
      <c r="P101" s="72" t="s">
        <v>30</v>
      </c>
      <c r="Q101" s="72" t="s">
        <v>30</v>
      </c>
      <c r="R101" s="72" t="s">
        <v>30</v>
      </c>
      <c r="S101" s="72" t="s">
        <v>30</v>
      </c>
      <c r="T101" s="72" t="s">
        <v>30</v>
      </c>
      <c r="W101" s="31"/>
    </row>
    <row r="102">
      <c r="B102" s="72" t="s">
        <v>30</v>
      </c>
      <c r="C102" s="72" t="s">
        <v>30</v>
      </c>
      <c r="D102" s="72" t="s">
        <v>30</v>
      </c>
      <c r="E102" s="72" t="s">
        <v>30</v>
      </c>
      <c r="F102" s="72" t="s">
        <v>30</v>
      </c>
      <c r="G102" s="72" t="s">
        <v>30</v>
      </c>
      <c r="H102" s="72" t="s">
        <v>30</v>
      </c>
      <c r="I102" s="73" t="s">
        <v>30</v>
      </c>
      <c r="J102" s="72" t="s">
        <v>30</v>
      </c>
      <c r="K102" s="72" t="s">
        <v>30</v>
      </c>
      <c r="L102" s="72" t="s">
        <v>30</v>
      </c>
      <c r="M102" s="72" t="s">
        <v>30</v>
      </c>
      <c r="N102" s="72" t="s">
        <v>30</v>
      </c>
      <c r="O102" s="73" t="s">
        <v>30</v>
      </c>
      <c r="P102" s="72" t="s">
        <v>30</v>
      </c>
      <c r="Q102" s="72" t="s">
        <v>30</v>
      </c>
      <c r="R102" s="72" t="s">
        <v>30</v>
      </c>
      <c r="S102" s="72" t="s">
        <v>30</v>
      </c>
      <c r="T102" s="72" t="s">
        <v>30</v>
      </c>
      <c r="W102" s="31"/>
    </row>
    <row r="103">
      <c r="B103" s="72" t="s">
        <v>30</v>
      </c>
      <c r="C103" s="72" t="s">
        <v>30</v>
      </c>
      <c r="D103" s="72" t="s">
        <v>30</v>
      </c>
      <c r="E103" s="72" t="s">
        <v>30</v>
      </c>
      <c r="F103" s="72" t="s">
        <v>30</v>
      </c>
      <c r="G103" s="72" t="s">
        <v>30</v>
      </c>
      <c r="H103" s="72" t="s">
        <v>30</v>
      </c>
      <c r="I103" s="73" t="s">
        <v>30</v>
      </c>
      <c r="J103" s="72" t="s">
        <v>30</v>
      </c>
      <c r="K103" s="72" t="s">
        <v>30</v>
      </c>
      <c r="L103" s="72" t="s">
        <v>30</v>
      </c>
      <c r="M103" s="72" t="s">
        <v>30</v>
      </c>
      <c r="N103" s="72" t="s">
        <v>30</v>
      </c>
      <c r="O103" s="73" t="s">
        <v>30</v>
      </c>
      <c r="P103" s="72" t="s">
        <v>30</v>
      </c>
      <c r="Q103" s="72" t="s">
        <v>30</v>
      </c>
      <c r="R103" s="72" t="s">
        <v>30</v>
      </c>
      <c r="S103" s="72" t="s">
        <v>30</v>
      </c>
      <c r="T103" s="72" t="s">
        <v>30</v>
      </c>
      <c r="W103" s="31"/>
    </row>
    <row r="104">
      <c r="B104" s="72" t="s">
        <v>30</v>
      </c>
      <c r="C104" s="72" t="s">
        <v>30</v>
      </c>
      <c r="D104" s="72" t="s">
        <v>30</v>
      </c>
      <c r="E104" s="72" t="s">
        <v>30</v>
      </c>
      <c r="F104" s="72" t="s">
        <v>30</v>
      </c>
      <c r="G104" s="72" t="s">
        <v>30</v>
      </c>
      <c r="H104" s="72" t="s">
        <v>30</v>
      </c>
      <c r="I104" s="73" t="s">
        <v>30</v>
      </c>
      <c r="J104" s="72" t="s">
        <v>30</v>
      </c>
      <c r="K104" s="72" t="s">
        <v>30</v>
      </c>
      <c r="L104" s="72" t="s">
        <v>30</v>
      </c>
      <c r="M104" s="72" t="s">
        <v>30</v>
      </c>
      <c r="N104" s="72" t="s">
        <v>30</v>
      </c>
      <c r="O104" s="73" t="s">
        <v>30</v>
      </c>
      <c r="P104" s="72" t="s">
        <v>30</v>
      </c>
      <c r="Q104" s="72" t="s">
        <v>30</v>
      </c>
      <c r="R104" s="72" t="s">
        <v>30</v>
      </c>
      <c r="S104" s="72" t="s">
        <v>30</v>
      </c>
      <c r="T104" s="72" t="s">
        <v>30</v>
      </c>
      <c r="W104" s="31"/>
    </row>
    <row r="105">
      <c r="B105" s="72" t="s">
        <v>30</v>
      </c>
      <c r="C105" s="72" t="s">
        <v>30</v>
      </c>
      <c r="D105" s="72" t="s">
        <v>30</v>
      </c>
      <c r="E105" s="72" t="s">
        <v>30</v>
      </c>
      <c r="F105" s="72" t="s">
        <v>30</v>
      </c>
      <c r="G105" s="72" t="s">
        <v>30</v>
      </c>
      <c r="H105" s="72" t="s">
        <v>30</v>
      </c>
      <c r="I105" s="73" t="s">
        <v>30</v>
      </c>
      <c r="J105" s="72" t="s">
        <v>30</v>
      </c>
      <c r="K105" s="72" t="s">
        <v>30</v>
      </c>
      <c r="L105" s="72" t="s">
        <v>30</v>
      </c>
      <c r="M105" s="72" t="s">
        <v>30</v>
      </c>
      <c r="N105" s="72" t="s">
        <v>30</v>
      </c>
      <c r="O105" s="73" t="s">
        <v>30</v>
      </c>
      <c r="P105" s="72" t="s">
        <v>30</v>
      </c>
      <c r="Q105" s="72" t="s">
        <v>30</v>
      </c>
      <c r="R105" s="72" t="s">
        <v>30</v>
      </c>
      <c r="S105" s="72" t="s">
        <v>30</v>
      </c>
      <c r="T105" s="72" t="s">
        <v>30</v>
      </c>
      <c r="W105" s="31"/>
    </row>
    <row r="106">
      <c r="B106" s="72" t="s">
        <v>30</v>
      </c>
      <c r="C106" s="72" t="s">
        <v>30</v>
      </c>
      <c r="D106" s="72" t="s">
        <v>30</v>
      </c>
      <c r="E106" s="72" t="s">
        <v>30</v>
      </c>
      <c r="F106" s="72" t="s">
        <v>30</v>
      </c>
      <c r="G106" s="72" t="s">
        <v>30</v>
      </c>
      <c r="H106" s="72" t="s">
        <v>30</v>
      </c>
      <c r="I106" s="73" t="s">
        <v>30</v>
      </c>
      <c r="J106" s="72" t="s">
        <v>30</v>
      </c>
      <c r="K106" s="72" t="s">
        <v>30</v>
      </c>
      <c r="L106" s="72" t="s">
        <v>30</v>
      </c>
      <c r="M106" s="72" t="s">
        <v>30</v>
      </c>
      <c r="N106" s="72" t="s">
        <v>30</v>
      </c>
      <c r="O106" s="73" t="s">
        <v>30</v>
      </c>
      <c r="P106" s="72" t="s">
        <v>30</v>
      </c>
      <c r="Q106" s="72" t="s">
        <v>30</v>
      </c>
      <c r="R106" s="72" t="s">
        <v>30</v>
      </c>
      <c r="S106" s="72" t="s">
        <v>30</v>
      </c>
      <c r="T106" s="72" t="s">
        <v>30</v>
      </c>
      <c r="W106" s="31"/>
    </row>
    <row r="107">
      <c r="B107" s="72" t="s">
        <v>30</v>
      </c>
      <c r="C107" s="72" t="s">
        <v>30</v>
      </c>
      <c r="D107" s="72" t="s">
        <v>30</v>
      </c>
      <c r="E107" s="72" t="s">
        <v>30</v>
      </c>
      <c r="F107" s="72" t="s">
        <v>30</v>
      </c>
      <c r="G107" s="72" t="s">
        <v>30</v>
      </c>
      <c r="H107" s="72" t="s">
        <v>30</v>
      </c>
      <c r="I107" s="73" t="s">
        <v>30</v>
      </c>
      <c r="J107" s="72" t="s">
        <v>30</v>
      </c>
      <c r="K107" s="72" t="s">
        <v>30</v>
      </c>
      <c r="L107" s="72" t="s">
        <v>30</v>
      </c>
      <c r="M107" s="72" t="s">
        <v>30</v>
      </c>
      <c r="N107" s="72" t="s">
        <v>30</v>
      </c>
      <c r="O107" s="73" t="s">
        <v>30</v>
      </c>
      <c r="P107" s="72" t="s">
        <v>30</v>
      </c>
      <c r="Q107" s="72" t="s">
        <v>30</v>
      </c>
      <c r="R107" s="72" t="s">
        <v>30</v>
      </c>
      <c r="S107" s="72" t="s">
        <v>30</v>
      </c>
      <c r="T107" s="72" t="s">
        <v>30</v>
      </c>
      <c r="W107" s="31"/>
    </row>
    <row r="108">
      <c r="B108" s="72" t="s">
        <v>30</v>
      </c>
      <c r="C108" s="72" t="s">
        <v>30</v>
      </c>
      <c r="D108" s="72" t="s">
        <v>30</v>
      </c>
      <c r="E108" s="72" t="s">
        <v>30</v>
      </c>
      <c r="F108" s="72" t="s">
        <v>30</v>
      </c>
      <c r="G108" s="72" t="s">
        <v>30</v>
      </c>
      <c r="H108" s="72" t="s">
        <v>30</v>
      </c>
      <c r="I108" s="73" t="s">
        <v>30</v>
      </c>
      <c r="J108" s="72" t="s">
        <v>30</v>
      </c>
      <c r="K108" s="72" t="s">
        <v>30</v>
      </c>
      <c r="L108" s="72" t="s">
        <v>30</v>
      </c>
      <c r="M108" s="72" t="s">
        <v>30</v>
      </c>
      <c r="N108" s="72" t="s">
        <v>30</v>
      </c>
      <c r="O108" s="73" t="s">
        <v>30</v>
      </c>
      <c r="P108" s="72" t="s">
        <v>30</v>
      </c>
      <c r="Q108" s="72" t="s">
        <v>30</v>
      </c>
      <c r="R108" s="72" t="s">
        <v>30</v>
      </c>
      <c r="S108" s="72" t="s">
        <v>30</v>
      </c>
      <c r="T108" s="72" t="s">
        <v>30</v>
      </c>
      <c r="W108" s="31"/>
    </row>
    <row r="109">
      <c r="B109" s="72" t="s">
        <v>30</v>
      </c>
      <c r="C109" s="72" t="s">
        <v>30</v>
      </c>
      <c r="D109" s="72" t="s">
        <v>30</v>
      </c>
      <c r="E109" s="72" t="s">
        <v>30</v>
      </c>
      <c r="F109" s="72" t="s">
        <v>30</v>
      </c>
      <c r="G109" s="72" t="s">
        <v>30</v>
      </c>
      <c r="H109" s="72" t="s">
        <v>30</v>
      </c>
      <c r="I109" s="73" t="s">
        <v>30</v>
      </c>
      <c r="J109" s="72" t="s">
        <v>30</v>
      </c>
      <c r="K109" s="72" t="s">
        <v>30</v>
      </c>
      <c r="L109" s="72" t="s">
        <v>30</v>
      </c>
      <c r="M109" s="72" t="s">
        <v>30</v>
      </c>
      <c r="N109" s="72" t="s">
        <v>30</v>
      </c>
      <c r="O109" s="73" t="s">
        <v>30</v>
      </c>
      <c r="P109" s="72" t="s">
        <v>30</v>
      </c>
      <c r="Q109" s="72" t="s">
        <v>30</v>
      </c>
      <c r="R109" s="72" t="s">
        <v>30</v>
      </c>
      <c r="S109" s="72" t="s">
        <v>30</v>
      </c>
      <c r="T109" s="72" t="s">
        <v>30</v>
      </c>
      <c r="W109" s="31"/>
    </row>
    <row r="110">
      <c r="B110" s="72" t="s">
        <v>30</v>
      </c>
      <c r="C110" s="72" t="s">
        <v>30</v>
      </c>
      <c r="D110" s="72" t="s">
        <v>30</v>
      </c>
      <c r="E110" s="72" t="s">
        <v>30</v>
      </c>
      <c r="F110" s="72" t="s">
        <v>30</v>
      </c>
      <c r="G110" s="72" t="s">
        <v>30</v>
      </c>
      <c r="H110" s="72" t="s">
        <v>30</v>
      </c>
      <c r="I110" s="73" t="s">
        <v>30</v>
      </c>
      <c r="J110" s="72" t="s">
        <v>30</v>
      </c>
      <c r="K110" s="72" t="s">
        <v>30</v>
      </c>
      <c r="L110" s="72" t="s">
        <v>30</v>
      </c>
      <c r="M110" s="72" t="s">
        <v>30</v>
      </c>
      <c r="N110" s="72" t="s">
        <v>30</v>
      </c>
      <c r="O110" s="73" t="s">
        <v>30</v>
      </c>
      <c r="P110" s="72" t="s">
        <v>30</v>
      </c>
      <c r="Q110" s="72" t="s">
        <v>30</v>
      </c>
      <c r="R110" s="72" t="s">
        <v>30</v>
      </c>
      <c r="S110" s="72" t="s">
        <v>30</v>
      </c>
      <c r="T110" s="72" t="s">
        <v>30</v>
      </c>
      <c r="W110" s="31"/>
    </row>
    <row r="111">
      <c r="B111" s="72" t="s">
        <v>30</v>
      </c>
      <c r="C111" s="72" t="s">
        <v>30</v>
      </c>
      <c r="D111" s="72" t="s">
        <v>30</v>
      </c>
      <c r="E111" s="72" t="s">
        <v>30</v>
      </c>
      <c r="F111" s="72" t="s">
        <v>30</v>
      </c>
      <c r="G111" s="72" t="s">
        <v>30</v>
      </c>
      <c r="H111" s="72" t="s">
        <v>30</v>
      </c>
      <c r="I111" s="73" t="s">
        <v>30</v>
      </c>
      <c r="J111" s="72" t="s">
        <v>30</v>
      </c>
      <c r="K111" s="72" t="s">
        <v>30</v>
      </c>
      <c r="L111" s="72" t="s">
        <v>30</v>
      </c>
      <c r="M111" s="72" t="s">
        <v>30</v>
      </c>
      <c r="N111" s="72" t="s">
        <v>30</v>
      </c>
      <c r="O111" s="73" t="s">
        <v>30</v>
      </c>
      <c r="P111" s="72" t="s">
        <v>30</v>
      </c>
      <c r="Q111" s="72" t="s">
        <v>30</v>
      </c>
      <c r="R111" s="72" t="s">
        <v>30</v>
      </c>
      <c r="S111" s="72" t="s">
        <v>30</v>
      </c>
      <c r="T111" s="72" t="s">
        <v>30</v>
      </c>
      <c r="W111" s="31"/>
    </row>
    <row r="112">
      <c r="B112" s="72" t="s">
        <v>30</v>
      </c>
      <c r="C112" s="72" t="s">
        <v>30</v>
      </c>
      <c r="D112" s="72" t="s">
        <v>30</v>
      </c>
      <c r="E112" s="72" t="s">
        <v>30</v>
      </c>
      <c r="F112" s="72" t="s">
        <v>30</v>
      </c>
      <c r="G112" s="72" t="s">
        <v>30</v>
      </c>
      <c r="H112" s="72" t="s">
        <v>30</v>
      </c>
      <c r="I112" s="73" t="s">
        <v>30</v>
      </c>
      <c r="J112" s="72" t="s">
        <v>30</v>
      </c>
      <c r="K112" s="72" t="s">
        <v>30</v>
      </c>
      <c r="L112" s="72" t="s">
        <v>30</v>
      </c>
      <c r="M112" s="72" t="s">
        <v>30</v>
      </c>
      <c r="N112" s="72" t="s">
        <v>30</v>
      </c>
      <c r="O112" s="73" t="s">
        <v>30</v>
      </c>
      <c r="P112" s="72" t="s">
        <v>30</v>
      </c>
      <c r="Q112" s="72" t="s">
        <v>30</v>
      </c>
      <c r="R112" s="72" t="s">
        <v>30</v>
      </c>
      <c r="S112" s="72" t="s">
        <v>30</v>
      </c>
      <c r="T112" s="72" t="s">
        <v>30</v>
      </c>
      <c r="W112" s="31"/>
    </row>
    <row r="113">
      <c r="B113" s="72" t="s">
        <v>30</v>
      </c>
      <c r="C113" s="72" t="s">
        <v>30</v>
      </c>
      <c r="D113" s="72" t="s">
        <v>30</v>
      </c>
      <c r="E113" s="72" t="s">
        <v>30</v>
      </c>
      <c r="F113" s="72" t="s">
        <v>30</v>
      </c>
      <c r="G113" s="72" t="s">
        <v>30</v>
      </c>
      <c r="H113" s="72" t="s">
        <v>30</v>
      </c>
      <c r="I113" s="73" t="s">
        <v>30</v>
      </c>
      <c r="J113" s="72" t="s">
        <v>30</v>
      </c>
      <c r="K113" s="72" t="s">
        <v>30</v>
      </c>
      <c r="L113" s="72" t="s">
        <v>30</v>
      </c>
      <c r="M113" s="72" t="s">
        <v>30</v>
      </c>
      <c r="N113" s="72" t="s">
        <v>30</v>
      </c>
      <c r="O113" s="73" t="s">
        <v>30</v>
      </c>
      <c r="P113" s="72" t="s">
        <v>30</v>
      </c>
      <c r="Q113" s="72" t="s">
        <v>30</v>
      </c>
      <c r="R113" s="72" t="s">
        <v>30</v>
      </c>
      <c r="S113" s="72" t="s">
        <v>30</v>
      </c>
      <c r="T113" s="72" t="s">
        <v>30</v>
      </c>
      <c r="W113" s="31"/>
    </row>
    <row r="114">
      <c r="B114" s="72" t="s">
        <v>30</v>
      </c>
      <c r="C114" s="72" t="s">
        <v>30</v>
      </c>
      <c r="D114" s="72" t="s">
        <v>30</v>
      </c>
      <c r="E114" s="72" t="s">
        <v>30</v>
      </c>
      <c r="F114" s="72" t="s">
        <v>30</v>
      </c>
      <c r="G114" s="72" t="s">
        <v>30</v>
      </c>
      <c r="H114" s="72" t="s">
        <v>30</v>
      </c>
      <c r="I114" s="73" t="s">
        <v>30</v>
      </c>
      <c r="J114" s="72" t="s">
        <v>30</v>
      </c>
      <c r="K114" s="72" t="s">
        <v>30</v>
      </c>
      <c r="L114" s="72" t="s">
        <v>30</v>
      </c>
      <c r="M114" s="72" t="s">
        <v>30</v>
      </c>
      <c r="N114" s="72" t="s">
        <v>30</v>
      </c>
      <c r="O114" s="73" t="s">
        <v>30</v>
      </c>
      <c r="P114" s="72" t="s">
        <v>30</v>
      </c>
      <c r="Q114" s="72" t="s">
        <v>30</v>
      </c>
      <c r="R114" s="72" t="s">
        <v>30</v>
      </c>
      <c r="S114" s="72" t="s">
        <v>30</v>
      </c>
      <c r="T114" s="72" t="s">
        <v>30</v>
      </c>
      <c r="W114" s="31"/>
    </row>
    <row r="115">
      <c r="B115" s="72" t="s">
        <v>30</v>
      </c>
      <c r="C115" s="72" t="s">
        <v>30</v>
      </c>
      <c r="D115" s="72" t="s">
        <v>30</v>
      </c>
      <c r="E115" s="72" t="s">
        <v>30</v>
      </c>
      <c r="F115" s="72" t="s">
        <v>30</v>
      </c>
      <c r="G115" s="72" t="s">
        <v>30</v>
      </c>
      <c r="H115" s="72" t="s">
        <v>30</v>
      </c>
      <c r="I115" s="73" t="s">
        <v>30</v>
      </c>
      <c r="J115" s="72" t="s">
        <v>30</v>
      </c>
      <c r="K115" s="72" t="s">
        <v>30</v>
      </c>
      <c r="L115" s="72" t="s">
        <v>30</v>
      </c>
      <c r="M115" s="72" t="s">
        <v>30</v>
      </c>
      <c r="N115" s="72" t="s">
        <v>30</v>
      </c>
      <c r="O115" s="73" t="s">
        <v>30</v>
      </c>
      <c r="P115" s="72" t="s">
        <v>30</v>
      </c>
      <c r="Q115" s="72" t="s">
        <v>30</v>
      </c>
      <c r="R115" s="72" t="s">
        <v>30</v>
      </c>
      <c r="S115" s="72" t="s">
        <v>30</v>
      </c>
      <c r="T115" s="72" t="s">
        <v>30</v>
      </c>
      <c r="W115" s="31"/>
    </row>
    <row r="116">
      <c r="B116" s="72" t="s">
        <v>30</v>
      </c>
      <c r="C116" s="72" t="s">
        <v>30</v>
      </c>
      <c r="D116" s="72" t="s">
        <v>30</v>
      </c>
      <c r="E116" s="72" t="s">
        <v>30</v>
      </c>
      <c r="F116" s="72" t="s">
        <v>30</v>
      </c>
      <c r="G116" s="72" t="s">
        <v>30</v>
      </c>
      <c r="H116" s="72" t="s">
        <v>30</v>
      </c>
      <c r="I116" s="73" t="s">
        <v>30</v>
      </c>
      <c r="J116" s="72" t="s">
        <v>30</v>
      </c>
      <c r="K116" s="72" t="s">
        <v>30</v>
      </c>
      <c r="L116" s="72" t="s">
        <v>30</v>
      </c>
      <c r="M116" s="72" t="s">
        <v>30</v>
      </c>
      <c r="N116" s="72" t="s">
        <v>30</v>
      </c>
      <c r="O116" s="73" t="s">
        <v>30</v>
      </c>
      <c r="P116" s="72" t="s">
        <v>30</v>
      </c>
      <c r="Q116" s="72" t="s">
        <v>30</v>
      </c>
      <c r="R116" s="72" t="s">
        <v>30</v>
      </c>
      <c r="S116" s="72" t="s">
        <v>30</v>
      </c>
      <c r="T116" s="72" t="s">
        <v>30</v>
      </c>
      <c r="W116" s="31"/>
    </row>
    <row r="117">
      <c r="B117" s="72" t="s">
        <v>30</v>
      </c>
      <c r="C117" s="72" t="s">
        <v>30</v>
      </c>
      <c r="D117" s="72" t="s">
        <v>30</v>
      </c>
      <c r="E117" s="72" t="s">
        <v>30</v>
      </c>
      <c r="F117" s="72" t="s">
        <v>30</v>
      </c>
      <c r="G117" s="72" t="s">
        <v>30</v>
      </c>
      <c r="H117" s="72" t="s">
        <v>30</v>
      </c>
      <c r="I117" s="73" t="s">
        <v>30</v>
      </c>
      <c r="J117" s="72" t="s">
        <v>30</v>
      </c>
      <c r="K117" s="72" t="s">
        <v>30</v>
      </c>
      <c r="L117" s="72" t="s">
        <v>30</v>
      </c>
      <c r="M117" s="72" t="s">
        <v>30</v>
      </c>
      <c r="N117" s="72" t="s">
        <v>30</v>
      </c>
      <c r="O117" s="73" t="s">
        <v>30</v>
      </c>
      <c r="P117" s="72" t="s">
        <v>30</v>
      </c>
      <c r="Q117" s="72" t="s">
        <v>30</v>
      </c>
      <c r="R117" s="72" t="s">
        <v>30</v>
      </c>
      <c r="S117" s="72" t="s">
        <v>30</v>
      </c>
      <c r="T117" s="72" t="s">
        <v>30</v>
      </c>
      <c r="W117" s="31"/>
    </row>
    <row r="118">
      <c r="B118" s="72" t="s">
        <v>30</v>
      </c>
      <c r="C118" s="72" t="s">
        <v>30</v>
      </c>
      <c r="D118" s="72" t="s">
        <v>30</v>
      </c>
      <c r="E118" s="72" t="s">
        <v>30</v>
      </c>
      <c r="F118" s="72" t="s">
        <v>30</v>
      </c>
      <c r="G118" s="72" t="s">
        <v>30</v>
      </c>
      <c r="H118" s="72" t="s">
        <v>30</v>
      </c>
      <c r="I118" s="73" t="s">
        <v>30</v>
      </c>
      <c r="J118" s="72" t="s">
        <v>30</v>
      </c>
      <c r="K118" s="72" t="s">
        <v>30</v>
      </c>
      <c r="L118" s="72" t="s">
        <v>30</v>
      </c>
      <c r="M118" s="72" t="s">
        <v>30</v>
      </c>
      <c r="N118" s="72" t="s">
        <v>30</v>
      </c>
      <c r="O118" s="73" t="s">
        <v>30</v>
      </c>
      <c r="P118" s="72" t="s">
        <v>30</v>
      </c>
      <c r="Q118" s="72" t="s">
        <v>30</v>
      </c>
      <c r="R118" s="72" t="s">
        <v>30</v>
      </c>
      <c r="S118" s="72" t="s">
        <v>30</v>
      </c>
      <c r="T118" s="72" t="s">
        <v>30</v>
      </c>
      <c r="W118" s="31"/>
    </row>
    <row r="119">
      <c r="B119" s="72" t="s">
        <v>30</v>
      </c>
      <c r="C119" s="72" t="s">
        <v>30</v>
      </c>
      <c r="D119" s="72" t="s">
        <v>30</v>
      </c>
      <c r="E119" s="72" t="s">
        <v>30</v>
      </c>
      <c r="F119" s="72" t="s">
        <v>30</v>
      </c>
      <c r="G119" s="72" t="s">
        <v>30</v>
      </c>
      <c r="H119" s="72" t="s">
        <v>30</v>
      </c>
      <c r="I119" s="73" t="s">
        <v>30</v>
      </c>
      <c r="J119" s="72" t="s">
        <v>30</v>
      </c>
      <c r="K119" s="72" t="s">
        <v>30</v>
      </c>
      <c r="L119" s="72" t="s">
        <v>30</v>
      </c>
      <c r="M119" s="72" t="s">
        <v>30</v>
      </c>
      <c r="N119" s="72" t="s">
        <v>30</v>
      </c>
      <c r="O119" s="73" t="s">
        <v>30</v>
      </c>
      <c r="P119" s="72" t="s">
        <v>30</v>
      </c>
      <c r="Q119" s="72" t="s">
        <v>30</v>
      </c>
      <c r="R119" s="72" t="s">
        <v>30</v>
      </c>
      <c r="S119" s="72" t="s">
        <v>30</v>
      </c>
      <c r="T119" s="72" t="s">
        <v>30</v>
      </c>
      <c r="W119" s="31"/>
    </row>
    <row r="120">
      <c r="B120" s="72" t="s">
        <v>30</v>
      </c>
      <c r="C120" s="72" t="s">
        <v>30</v>
      </c>
      <c r="D120" s="72" t="s">
        <v>30</v>
      </c>
      <c r="E120" s="72" t="s">
        <v>30</v>
      </c>
      <c r="F120" s="72" t="s">
        <v>30</v>
      </c>
      <c r="G120" s="72" t="s">
        <v>30</v>
      </c>
      <c r="H120" s="72" t="s">
        <v>30</v>
      </c>
      <c r="I120" s="73" t="s">
        <v>30</v>
      </c>
      <c r="J120" s="72" t="s">
        <v>30</v>
      </c>
      <c r="K120" s="72" t="s">
        <v>30</v>
      </c>
      <c r="L120" s="72" t="s">
        <v>30</v>
      </c>
      <c r="M120" s="72" t="s">
        <v>30</v>
      </c>
      <c r="N120" s="72" t="s">
        <v>30</v>
      </c>
      <c r="O120" s="73" t="s">
        <v>30</v>
      </c>
      <c r="P120" s="72" t="s">
        <v>30</v>
      </c>
      <c r="Q120" s="72" t="s">
        <v>30</v>
      </c>
      <c r="R120" s="72" t="s">
        <v>30</v>
      </c>
      <c r="S120" s="72" t="s">
        <v>30</v>
      </c>
      <c r="T120" s="72" t="s">
        <v>30</v>
      </c>
      <c r="W120" s="31"/>
    </row>
    <row r="121">
      <c r="B121" s="72" t="s">
        <v>30</v>
      </c>
      <c r="C121" s="72" t="s">
        <v>30</v>
      </c>
      <c r="D121" s="72" t="s">
        <v>30</v>
      </c>
      <c r="E121" s="72" t="s">
        <v>30</v>
      </c>
      <c r="F121" s="72" t="s">
        <v>30</v>
      </c>
      <c r="G121" s="72" t="s">
        <v>30</v>
      </c>
      <c r="H121" s="72" t="s">
        <v>30</v>
      </c>
      <c r="I121" s="73" t="s">
        <v>30</v>
      </c>
      <c r="J121" s="72" t="s">
        <v>30</v>
      </c>
      <c r="K121" s="72" t="s">
        <v>30</v>
      </c>
      <c r="L121" s="72" t="s">
        <v>30</v>
      </c>
      <c r="M121" s="72" t="s">
        <v>30</v>
      </c>
      <c r="N121" s="72" t="s">
        <v>30</v>
      </c>
      <c r="O121" s="73" t="s">
        <v>30</v>
      </c>
      <c r="P121" s="72" t="s">
        <v>30</v>
      </c>
      <c r="Q121" s="72" t="s">
        <v>30</v>
      </c>
      <c r="R121" s="72" t="s">
        <v>30</v>
      </c>
      <c r="S121" s="72" t="s">
        <v>30</v>
      </c>
      <c r="T121" s="72" t="s">
        <v>30</v>
      </c>
      <c r="W121" s="31"/>
    </row>
    <row r="122">
      <c r="B122" s="72" t="s">
        <v>30</v>
      </c>
      <c r="C122" s="72" t="s">
        <v>30</v>
      </c>
      <c r="D122" s="72" t="s">
        <v>30</v>
      </c>
      <c r="E122" s="72" t="s">
        <v>30</v>
      </c>
      <c r="F122" s="72" t="s">
        <v>30</v>
      </c>
      <c r="G122" s="72" t="s">
        <v>30</v>
      </c>
      <c r="H122" s="72" t="s">
        <v>30</v>
      </c>
      <c r="I122" s="73" t="s">
        <v>30</v>
      </c>
      <c r="J122" s="72" t="s">
        <v>30</v>
      </c>
      <c r="K122" s="72" t="s">
        <v>30</v>
      </c>
      <c r="L122" s="72" t="s">
        <v>30</v>
      </c>
      <c r="M122" s="72" t="s">
        <v>30</v>
      </c>
      <c r="N122" s="72" t="s">
        <v>30</v>
      </c>
      <c r="O122" s="73" t="s">
        <v>30</v>
      </c>
      <c r="P122" s="72" t="s">
        <v>30</v>
      </c>
      <c r="Q122" s="72" t="s">
        <v>30</v>
      </c>
      <c r="R122" s="72" t="s">
        <v>30</v>
      </c>
      <c r="S122" s="72" t="s">
        <v>30</v>
      </c>
      <c r="T122" s="72" t="s">
        <v>30</v>
      </c>
      <c r="W122" s="31"/>
    </row>
    <row r="123">
      <c r="B123" s="72" t="s">
        <v>30</v>
      </c>
      <c r="C123" s="72" t="s">
        <v>30</v>
      </c>
      <c r="D123" s="72" t="s">
        <v>30</v>
      </c>
      <c r="E123" s="72" t="s">
        <v>30</v>
      </c>
      <c r="F123" s="72" t="s">
        <v>30</v>
      </c>
      <c r="G123" s="72" t="s">
        <v>30</v>
      </c>
      <c r="H123" s="72" t="s">
        <v>30</v>
      </c>
      <c r="I123" s="73" t="s">
        <v>30</v>
      </c>
      <c r="J123" s="72" t="s">
        <v>30</v>
      </c>
      <c r="K123" s="72" t="s">
        <v>30</v>
      </c>
      <c r="L123" s="72" t="s">
        <v>30</v>
      </c>
      <c r="M123" s="72" t="s">
        <v>30</v>
      </c>
      <c r="N123" s="72" t="s">
        <v>30</v>
      </c>
      <c r="O123" s="73" t="s">
        <v>30</v>
      </c>
      <c r="P123" s="72" t="s">
        <v>30</v>
      </c>
      <c r="Q123" s="72" t="s">
        <v>30</v>
      </c>
      <c r="R123" s="72" t="s">
        <v>30</v>
      </c>
      <c r="S123" s="72" t="s">
        <v>30</v>
      </c>
      <c r="T123" s="72" t="s">
        <v>30</v>
      </c>
      <c r="W123" s="31"/>
    </row>
    <row r="124">
      <c r="B124" s="72" t="s">
        <v>30</v>
      </c>
      <c r="C124" s="72" t="s">
        <v>30</v>
      </c>
      <c r="D124" s="72" t="s">
        <v>30</v>
      </c>
      <c r="E124" s="72" t="s">
        <v>30</v>
      </c>
      <c r="F124" s="72" t="s">
        <v>30</v>
      </c>
      <c r="G124" s="72" t="s">
        <v>30</v>
      </c>
      <c r="H124" s="72" t="s">
        <v>30</v>
      </c>
      <c r="I124" s="73" t="s">
        <v>30</v>
      </c>
      <c r="J124" s="72" t="s">
        <v>30</v>
      </c>
      <c r="K124" s="72" t="s">
        <v>30</v>
      </c>
      <c r="L124" s="72" t="s">
        <v>30</v>
      </c>
      <c r="M124" s="72" t="s">
        <v>30</v>
      </c>
      <c r="N124" s="72" t="s">
        <v>30</v>
      </c>
      <c r="O124" s="73" t="s">
        <v>30</v>
      </c>
      <c r="P124" s="72" t="s">
        <v>30</v>
      </c>
      <c r="Q124" s="72" t="s">
        <v>30</v>
      </c>
      <c r="R124" s="72" t="s">
        <v>30</v>
      </c>
      <c r="S124" s="72" t="s">
        <v>30</v>
      </c>
      <c r="T124" s="72" t="s">
        <v>30</v>
      </c>
      <c r="W124" s="31"/>
    </row>
    <row r="125">
      <c r="B125" s="72" t="s">
        <v>30</v>
      </c>
      <c r="C125" s="72" t="s">
        <v>30</v>
      </c>
      <c r="D125" s="72" t="s">
        <v>30</v>
      </c>
      <c r="E125" s="72" t="s">
        <v>30</v>
      </c>
      <c r="F125" s="72" t="s">
        <v>30</v>
      </c>
      <c r="G125" s="72" t="s">
        <v>30</v>
      </c>
      <c r="H125" s="72" t="s">
        <v>30</v>
      </c>
      <c r="I125" s="73" t="s">
        <v>30</v>
      </c>
      <c r="J125" s="72" t="s">
        <v>30</v>
      </c>
      <c r="K125" s="72" t="s">
        <v>30</v>
      </c>
      <c r="L125" s="72" t="s">
        <v>30</v>
      </c>
      <c r="M125" s="72" t="s">
        <v>30</v>
      </c>
      <c r="N125" s="72" t="s">
        <v>30</v>
      </c>
      <c r="O125" s="73" t="s">
        <v>30</v>
      </c>
      <c r="P125" s="72" t="s">
        <v>30</v>
      </c>
      <c r="Q125" s="72" t="s">
        <v>30</v>
      </c>
      <c r="R125" s="72" t="s">
        <v>30</v>
      </c>
      <c r="S125" s="72" t="s">
        <v>30</v>
      </c>
      <c r="T125" s="72" t="s">
        <v>30</v>
      </c>
      <c r="W125" s="31"/>
    </row>
    <row r="126">
      <c r="B126" s="72" t="s">
        <v>30</v>
      </c>
      <c r="C126" s="72" t="s">
        <v>30</v>
      </c>
      <c r="D126" s="72" t="s">
        <v>30</v>
      </c>
      <c r="E126" s="72" t="s">
        <v>30</v>
      </c>
      <c r="F126" s="72" t="s">
        <v>30</v>
      </c>
      <c r="G126" s="72" t="s">
        <v>30</v>
      </c>
      <c r="H126" s="72" t="s">
        <v>30</v>
      </c>
      <c r="I126" s="73" t="s">
        <v>30</v>
      </c>
      <c r="J126" s="72" t="s">
        <v>30</v>
      </c>
      <c r="K126" s="72" t="s">
        <v>30</v>
      </c>
      <c r="L126" s="72" t="s">
        <v>30</v>
      </c>
      <c r="M126" s="72" t="s">
        <v>30</v>
      </c>
      <c r="N126" s="72" t="s">
        <v>30</v>
      </c>
      <c r="O126" s="73" t="s">
        <v>30</v>
      </c>
      <c r="P126" s="72" t="s">
        <v>30</v>
      </c>
      <c r="Q126" s="72" t="s">
        <v>30</v>
      </c>
      <c r="R126" s="72" t="s">
        <v>30</v>
      </c>
      <c r="S126" s="72" t="s">
        <v>30</v>
      </c>
      <c r="T126" s="72" t="s">
        <v>30</v>
      </c>
      <c r="W126" s="31"/>
    </row>
    <row r="127">
      <c r="B127" s="72" t="s">
        <v>30</v>
      </c>
      <c r="C127" s="72" t="s">
        <v>30</v>
      </c>
      <c r="D127" s="72" t="s">
        <v>30</v>
      </c>
      <c r="E127" s="72" t="s">
        <v>30</v>
      </c>
      <c r="F127" s="72" t="s">
        <v>30</v>
      </c>
      <c r="G127" s="72" t="s">
        <v>30</v>
      </c>
      <c r="H127" s="72" t="s">
        <v>30</v>
      </c>
      <c r="I127" s="73" t="s">
        <v>30</v>
      </c>
      <c r="J127" s="72" t="s">
        <v>30</v>
      </c>
      <c r="K127" s="72" t="s">
        <v>30</v>
      </c>
      <c r="L127" s="72" t="s">
        <v>30</v>
      </c>
      <c r="M127" s="72" t="s">
        <v>30</v>
      </c>
      <c r="N127" s="72" t="s">
        <v>30</v>
      </c>
      <c r="O127" s="73" t="s">
        <v>30</v>
      </c>
      <c r="P127" s="72" t="s">
        <v>30</v>
      </c>
      <c r="Q127" s="72" t="s">
        <v>30</v>
      </c>
      <c r="R127" s="72" t="s">
        <v>30</v>
      </c>
      <c r="S127" s="72" t="s">
        <v>30</v>
      </c>
      <c r="T127" s="72" t="s">
        <v>30</v>
      </c>
      <c r="W127" s="31"/>
    </row>
    <row r="128">
      <c r="B128" s="72" t="s">
        <v>30</v>
      </c>
      <c r="C128" s="72" t="s">
        <v>30</v>
      </c>
      <c r="D128" s="72" t="s">
        <v>30</v>
      </c>
      <c r="E128" s="72" t="s">
        <v>30</v>
      </c>
      <c r="F128" s="72" t="s">
        <v>30</v>
      </c>
      <c r="G128" s="72" t="s">
        <v>30</v>
      </c>
      <c r="H128" s="72" t="s">
        <v>30</v>
      </c>
      <c r="I128" s="73" t="s">
        <v>30</v>
      </c>
      <c r="J128" s="72" t="s">
        <v>30</v>
      </c>
      <c r="K128" s="72" t="s">
        <v>30</v>
      </c>
      <c r="L128" s="72" t="s">
        <v>30</v>
      </c>
      <c r="M128" s="72" t="s">
        <v>30</v>
      </c>
      <c r="N128" s="72" t="s">
        <v>30</v>
      </c>
      <c r="O128" s="73" t="s">
        <v>30</v>
      </c>
      <c r="P128" s="72" t="s">
        <v>30</v>
      </c>
      <c r="Q128" s="72" t="s">
        <v>30</v>
      </c>
      <c r="R128" s="72" t="s">
        <v>30</v>
      </c>
      <c r="S128" s="72" t="s">
        <v>30</v>
      </c>
      <c r="T128" s="72" t="s">
        <v>30</v>
      </c>
      <c r="W128" s="31"/>
    </row>
    <row r="129">
      <c r="B129" s="72" t="s">
        <v>30</v>
      </c>
      <c r="C129" s="72" t="s">
        <v>30</v>
      </c>
      <c r="D129" s="72" t="s">
        <v>30</v>
      </c>
      <c r="E129" s="72" t="s">
        <v>30</v>
      </c>
      <c r="F129" s="72" t="s">
        <v>30</v>
      </c>
      <c r="G129" s="72" t="s">
        <v>30</v>
      </c>
      <c r="H129" s="72" t="s">
        <v>30</v>
      </c>
      <c r="I129" s="73" t="s">
        <v>30</v>
      </c>
      <c r="J129" s="72" t="s">
        <v>30</v>
      </c>
      <c r="K129" s="72" t="s">
        <v>30</v>
      </c>
      <c r="L129" s="72" t="s">
        <v>30</v>
      </c>
      <c r="M129" s="72" t="s">
        <v>30</v>
      </c>
      <c r="N129" s="72" t="s">
        <v>30</v>
      </c>
      <c r="O129" s="73" t="s">
        <v>30</v>
      </c>
      <c r="P129" s="72" t="s">
        <v>30</v>
      </c>
      <c r="Q129" s="72" t="s">
        <v>30</v>
      </c>
      <c r="R129" s="72" t="s">
        <v>30</v>
      </c>
      <c r="S129" s="72" t="s">
        <v>30</v>
      </c>
      <c r="T129" s="72" t="s">
        <v>30</v>
      </c>
      <c r="W129" s="31"/>
    </row>
    <row r="130">
      <c r="B130" s="72" t="s">
        <v>30</v>
      </c>
      <c r="C130" s="72" t="s">
        <v>30</v>
      </c>
      <c r="D130" s="72" t="s">
        <v>30</v>
      </c>
      <c r="E130" s="72" t="s">
        <v>30</v>
      </c>
      <c r="F130" s="72" t="s">
        <v>30</v>
      </c>
      <c r="G130" s="72" t="s">
        <v>30</v>
      </c>
      <c r="H130" s="72" t="s">
        <v>30</v>
      </c>
      <c r="I130" s="73" t="s">
        <v>30</v>
      </c>
      <c r="J130" s="72" t="s">
        <v>30</v>
      </c>
      <c r="K130" s="72" t="s">
        <v>30</v>
      </c>
      <c r="L130" s="72" t="s">
        <v>30</v>
      </c>
      <c r="M130" s="72" t="s">
        <v>30</v>
      </c>
      <c r="N130" s="72" t="s">
        <v>30</v>
      </c>
      <c r="O130" s="73" t="s">
        <v>30</v>
      </c>
      <c r="P130" s="72" t="s">
        <v>30</v>
      </c>
      <c r="Q130" s="72" t="s">
        <v>30</v>
      </c>
      <c r="R130" s="72" t="s">
        <v>30</v>
      </c>
      <c r="S130" s="72" t="s">
        <v>30</v>
      </c>
      <c r="T130" s="72" t="s">
        <v>30</v>
      </c>
      <c r="W130" s="31"/>
    </row>
    <row r="131">
      <c r="B131" s="72" t="s">
        <v>30</v>
      </c>
      <c r="C131" s="72" t="s">
        <v>30</v>
      </c>
      <c r="D131" s="72" t="s">
        <v>30</v>
      </c>
      <c r="E131" s="72" t="s">
        <v>30</v>
      </c>
      <c r="F131" s="72" t="s">
        <v>30</v>
      </c>
      <c r="G131" s="72" t="s">
        <v>30</v>
      </c>
      <c r="H131" s="72" t="s">
        <v>30</v>
      </c>
      <c r="I131" s="73" t="s">
        <v>30</v>
      </c>
      <c r="J131" s="72" t="s">
        <v>30</v>
      </c>
      <c r="K131" s="72" t="s">
        <v>30</v>
      </c>
      <c r="L131" s="72" t="s">
        <v>30</v>
      </c>
      <c r="M131" s="72" t="s">
        <v>30</v>
      </c>
      <c r="N131" s="72" t="s">
        <v>30</v>
      </c>
      <c r="O131" s="73" t="s">
        <v>30</v>
      </c>
      <c r="P131" s="72" t="s">
        <v>30</v>
      </c>
      <c r="Q131" s="72" t="s">
        <v>30</v>
      </c>
      <c r="R131" s="72" t="s">
        <v>30</v>
      </c>
      <c r="S131" s="72" t="s">
        <v>30</v>
      </c>
      <c r="T131" s="72" t="s">
        <v>30</v>
      </c>
      <c r="W131" s="31"/>
    </row>
    <row r="132">
      <c r="B132" s="72" t="s">
        <v>30</v>
      </c>
      <c r="C132" s="72" t="s">
        <v>30</v>
      </c>
      <c r="D132" s="72" t="s">
        <v>30</v>
      </c>
      <c r="E132" s="72" t="s">
        <v>30</v>
      </c>
      <c r="F132" s="72" t="s">
        <v>30</v>
      </c>
      <c r="G132" s="72" t="s">
        <v>30</v>
      </c>
      <c r="H132" s="72" t="s">
        <v>30</v>
      </c>
      <c r="I132" s="73" t="s">
        <v>30</v>
      </c>
      <c r="J132" s="72" t="s">
        <v>30</v>
      </c>
      <c r="K132" s="72" t="s">
        <v>30</v>
      </c>
      <c r="L132" s="72" t="s">
        <v>30</v>
      </c>
      <c r="M132" s="72" t="s">
        <v>30</v>
      </c>
      <c r="N132" s="72" t="s">
        <v>30</v>
      </c>
      <c r="O132" s="73" t="s">
        <v>30</v>
      </c>
      <c r="P132" s="72" t="s">
        <v>30</v>
      </c>
      <c r="Q132" s="72" t="s">
        <v>30</v>
      </c>
      <c r="R132" s="72" t="s">
        <v>30</v>
      </c>
      <c r="S132" s="72" t="s">
        <v>30</v>
      </c>
      <c r="T132" s="72" t="s">
        <v>30</v>
      </c>
      <c r="W132" s="31"/>
    </row>
    <row r="133">
      <c r="B133" s="72" t="s">
        <v>30</v>
      </c>
      <c r="C133" s="72" t="s">
        <v>30</v>
      </c>
      <c r="D133" s="72" t="s">
        <v>30</v>
      </c>
      <c r="E133" s="72" t="s">
        <v>30</v>
      </c>
      <c r="F133" s="72" t="s">
        <v>30</v>
      </c>
      <c r="G133" s="72" t="s">
        <v>30</v>
      </c>
      <c r="H133" s="72" t="s">
        <v>30</v>
      </c>
      <c r="I133" s="73" t="s">
        <v>30</v>
      </c>
      <c r="J133" s="72" t="s">
        <v>30</v>
      </c>
      <c r="K133" s="72" t="s">
        <v>30</v>
      </c>
      <c r="L133" s="72" t="s">
        <v>30</v>
      </c>
      <c r="M133" s="72" t="s">
        <v>30</v>
      </c>
      <c r="N133" s="72" t="s">
        <v>30</v>
      </c>
      <c r="O133" s="73" t="s">
        <v>30</v>
      </c>
      <c r="P133" s="72" t="s">
        <v>30</v>
      </c>
      <c r="Q133" s="72" t="s">
        <v>30</v>
      </c>
      <c r="R133" s="72" t="s">
        <v>30</v>
      </c>
      <c r="S133" s="72" t="s">
        <v>30</v>
      </c>
      <c r="T133" s="72" t="s">
        <v>30</v>
      </c>
      <c r="W133" s="31"/>
    </row>
    <row r="134">
      <c r="B134" s="72" t="s">
        <v>30</v>
      </c>
      <c r="C134" s="72" t="s">
        <v>30</v>
      </c>
      <c r="D134" s="72" t="s">
        <v>30</v>
      </c>
      <c r="E134" s="72" t="s">
        <v>30</v>
      </c>
      <c r="F134" s="72" t="s">
        <v>30</v>
      </c>
      <c r="G134" s="72" t="s">
        <v>30</v>
      </c>
      <c r="H134" s="72" t="s">
        <v>30</v>
      </c>
      <c r="I134" s="73" t="s">
        <v>30</v>
      </c>
      <c r="J134" s="72" t="s">
        <v>30</v>
      </c>
      <c r="K134" s="72" t="s">
        <v>30</v>
      </c>
      <c r="L134" s="72" t="s">
        <v>30</v>
      </c>
      <c r="M134" s="72" t="s">
        <v>30</v>
      </c>
      <c r="N134" s="72" t="s">
        <v>30</v>
      </c>
      <c r="O134" s="73" t="s">
        <v>30</v>
      </c>
      <c r="P134" s="72" t="s">
        <v>30</v>
      </c>
      <c r="Q134" s="72" t="s">
        <v>30</v>
      </c>
      <c r="R134" s="72" t="s">
        <v>30</v>
      </c>
      <c r="S134" s="72" t="s">
        <v>30</v>
      </c>
      <c r="T134" s="72" t="s">
        <v>30</v>
      </c>
      <c r="W134" s="31"/>
    </row>
    <row r="135">
      <c r="B135" s="72" t="s">
        <v>30</v>
      </c>
      <c r="C135" s="72" t="s">
        <v>30</v>
      </c>
      <c r="D135" s="72" t="s">
        <v>30</v>
      </c>
      <c r="E135" s="72" t="s">
        <v>30</v>
      </c>
      <c r="F135" s="72" t="s">
        <v>30</v>
      </c>
      <c r="G135" s="72" t="s">
        <v>30</v>
      </c>
      <c r="H135" s="72" t="s">
        <v>30</v>
      </c>
      <c r="I135" s="73" t="s">
        <v>30</v>
      </c>
      <c r="J135" s="72" t="s">
        <v>30</v>
      </c>
      <c r="K135" s="72" t="s">
        <v>30</v>
      </c>
      <c r="L135" s="72" t="s">
        <v>30</v>
      </c>
      <c r="M135" s="72" t="s">
        <v>30</v>
      </c>
      <c r="N135" s="72" t="s">
        <v>30</v>
      </c>
      <c r="O135" s="73" t="s">
        <v>30</v>
      </c>
      <c r="P135" s="72" t="s">
        <v>30</v>
      </c>
      <c r="Q135" s="72" t="s">
        <v>30</v>
      </c>
      <c r="R135" s="72" t="s">
        <v>30</v>
      </c>
      <c r="S135" s="72" t="s">
        <v>30</v>
      </c>
      <c r="T135" s="72" t="s">
        <v>30</v>
      </c>
      <c r="W135" s="31"/>
    </row>
    <row r="136">
      <c r="B136" s="72" t="s">
        <v>30</v>
      </c>
      <c r="C136" s="72" t="s">
        <v>30</v>
      </c>
      <c r="D136" s="72" t="s">
        <v>30</v>
      </c>
      <c r="E136" s="72" t="s">
        <v>30</v>
      </c>
      <c r="F136" s="72" t="s">
        <v>30</v>
      </c>
      <c r="G136" s="72" t="s">
        <v>30</v>
      </c>
      <c r="H136" s="72" t="s">
        <v>30</v>
      </c>
      <c r="I136" s="73" t="s">
        <v>30</v>
      </c>
      <c r="J136" s="72" t="s">
        <v>30</v>
      </c>
      <c r="K136" s="72" t="s">
        <v>30</v>
      </c>
      <c r="L136" s="72" t="s">
        <v>30</v>
      </c>
      <c r="M136" s="72" t="s">
        <v>30</v>
      </c>
      <c r="N136" s="72" t="s">
        <v>30</v>
      </c>
      <c r="O136" s="73" t="s">
        <v>30</v>
      </c>
      <c r="P136" s="72" t="s">
        <v>30</v>
      </c>
      <c r="Q136" s="72" t="s">
        <v>30</v>
      </c>
      <c r="R136" s="72" t="s">
        <v>30</v>
      </c>
      <c r="S136" s="72" t="s">
        <v>30</v>
      </c>
      <c r="T136" s="72" t="s">
        <v>30</v>
      </c>
      <c r="W136" s="31"/>
    </row>
    <row r="137">
      <c r="B137" s="72" t="s">
        <v>30</v>
      </c>
      <c r="C137" s="72" t="s">
        <v>30</v>
      </c>
      <c r="D137" s="72" t="s">
        <v>30</v>
      </c>
      <c r="E137" s="72" t="s">
        <v>30</v>
      </c>
      <c r="F137" s="72" t="s">
        <v>30</v>
      </c>
      <c r="G137" s="72" t="s">
        <v>30</v>
      </c>
      <c r="H137" s="72" t="s">
        <v>30</v>
      </c>
      <c r="I137" s="73" t="s">
        <v>30</v>
      </c>
      <c r="J137" s="72" t="s">
        <v>30</v>
      </c>
      <c r="K137" s="72" t="s">
        <v>30</v>
      </c>
      <c r="L137" s="72" t="s">
        <v>30</v>
      </c>
      <c r="M137" s="72" t="s">
        <v>30</v>
      </c>
      <c r="N137" s="72" t="s">
        <v>30</v>
      </c>
      <c r="O137" s="73" t="s">
        <v>30</v>
      </c>
      <c r="P137" s="72" t="s">
        <v>30</v>
      </c>
      <c r="Q137" s="72" t="s">
        <v>30</v>
      </c>
      <c r="R137" s="72" t="s">
        <v>30</v>
      </c>
      <c r="S137" s="72" t="s">
        <v>30</v>
      </c>
      <c r="T137" s="72" t="s">
        <v>30</v>
      </c>
      <c r="W137" s="31"/>
    </row>
    <row r="138">
      <c r="B138" s="72" t="s">
        <v>30</v>
      </c>
      <c r="C138" s="72" t="s">
        <v>30</v>
      </c>
      <c r="D138" s="72" t="s">
        <v>30</v>
      </c>
      <c r="E138" s="72" t="s">
        <v>30</v>
      </c>
      <c r="F138" s="72" t="s">
        <v>30</v>
      </c>
      <c r="G138" s="72" t="s">
        <v>30</v>
      </c>
      <c r="H138" s="72" t="s">
        <v>30</v>
      </c>
      <c r="I138" s="73" t="s">
        <v>30</v>
      </c>
      <c r="J138" s="72" t="s">
        <v>30</v>
      </c>
      <c r="K138" s="72" t="s">
        <v>30</v>
      </c>
      <c r="L138" s="72" t="s">
        <v>30</v>
      </c>
      <c r="M138" s="72" t="s">
        <v>30</v>
      </c>
      <c r="N138" s="72" t="s">
        <v>30</v>
      </c>
      <c r="O138" s="73" t="s">
        <v>30</v>
      </c>
      <c r="P138" s="72" t="s">
        <v>30</v>
      </c>
      <c r="Q138" s="72" t="s">
        <v>30</v>
      </c>
      <c r="R138" s="72" t="s">
        <v>30</v>
      </c>
      <c r="S138" s="72" t="s">
        <v>30</v>
      </c>
      <c r="T138" s="72" t="s">
        <v>30</v>
      </c>
      <c r="W138" s="31"/>
    </row>
    <row r="139">
      <c r="B139" s="72" t="s">
        <v>30</v>
      </c>
      <c r="C139" s="72" t="s">
        <v>30</v>
      </c>
      <c r="D139" s="72" t="s">
        <v>30</v>
      </c>
      <c r="E139" s="72" t="s">
        <v>30</v>
      </c>
      <c r="F139" s="72" t="s">
        <v>30</v>
      </c>
      <c r="G139" s="72" t="s">
        <v>30</v>
      </c>
      <c r="H139" s="72" t="s">
        <v>30</v>
      </c>
      <c r="I139" s="73" t="s">
        <v>30</v>
      </c>
      <c r="J139" s="72" t="s">
        <v>30</v>
      </c>
      <c r="K139" s="72" t="s">
        <v>30</v>
      </c>
      <c r="L139" s="72" t="s">
        <v>30</v>
      </c>
      <c r="M139" s="72" t="s">
        <v>30</v>
      </c>
      <c r="N139" s="72" t="s">
        <v>30</v>
      </c>
      <c r="O139" s="73" t="s">
        <v>30</v>
      </c>
      <c r="P139" s="72" t="s">
        <v>30</v>
      </c>
      <c r="Q139" s="72" t="s">
        <v>30</v>
      </c>
      <c r="R139" s="72" t="s">
        <v>30</v>
      </c>
      <c r="S139" s="72" t="s">
        <v>30</v>
      </c>
      <c r="T139" s="72" t="s">
        <v>30</v>
      </c>
      <c r="W139" s="31"/>
    </row>
    <row r="140">
      <c r="B140" s="72" t="s">
        <v>30</v>
      </c>
      <c r="C140" s="72" t="s">
        <v>30</v>
      </c>
      <c r="D140" s="72" t="s">
        <v>30</v>
      </c>
      <c r="E140" s="72" t="s">
        <v>30</v>
      </c>
      <c r="F140" s="72" t="s">
        <v>30</v>
      </c>
      <c r="G140" s="72" t="s">
        <v>30</v>
      </c>
      <c r="H140" s="72" t="s">
        <v>30</v>
      </c>
      <c r="I140" s="73" t="s">
        <v>30</v>
      </c>
      <c r="J140" s="72" t="s">
        <v>30</v>
      </c>
      <c r="K140" s="72" t="s">
        <v>30</v>
      </c>
      <c r="L140" s="72" t="s">
        <v>30</v>
      </c>
      <c r="M140" s="72" t="s">
        <v>30</v>
      </c>
      <c r="N140" s="72" t="s">
        <v>30</v>
      </c>
      <c r="O140" s="73" t="s">
        <v>30</v>
      </c>
      <c r="P140" s="72" t="s">
        <v>30</v>
      </c>
      <c r="Q140" s="72" t="s">
        <v>30</v>
      </c>
      <c r="R140" s="72" t="s">
        <v>30</v>
      </c>
      <c r="S140" s="72" t="s">
        <v>30</v>
      </c>
      <c r="T140" s="72" t="s">
        <v>30</v>
      </c>
      <c r="W140" s="31"/>
    </row>
    <row r="141">
      <c r="B141" s="72" t="s">
        <v>30</v>
      </c>
      <c r="C141" s="72" t="s">
        <v>30</v>
      </c>
      <c r="D141" s="72" t="s">
        <v>30</v>
      </c>
      <c r="E141" s="72" t="s">
        <v>30</v>
      </c>
      <c r="F141" s="72" t="s">
        <v>30</v>
      </c>
      <c r="G141" s="72" t="s">
        <v>30</v>
      </c>
      <c r="H141" s="72" t="s">
        <v>30</v>
      </c>
      <c r="I141" s="73" t="s">
        <v>30</v>
      </c>
      <c r="J141" s="72" t="s">
        <v>30</v>
      </c>
      <c r="K141" s="72" t="s">
        <v>30</v>
      </c>
      <c r="L141" s="72" t="s">
        <v>30</v>
      </c>
      <c r="M141" s="72" t="s">
        <v>30</v>
      </c>
      <c r="N141" s="72" t="s">
        <v>30</v>
      </c>
      <c r="O141" s="73" t="s">
        <v>30</v>
      </c>
      <c r="P141" s="72" t="s">
        <v>30</v>
      </c>
      <c r="Q141" s="72" t="s">
        <v>30</v>
      </c>
      <c r="R141" s="72" t="s">
        <v>30</v>
      </c>
      <c r="S141" s="72" t="s">
        <v>30</v>
      </c>
      <c r="T141" s="72" t="s">
        <v>30</v>
      </c>
      <c r="W141" s="31"/>
    </row>
    <row r="142">
      <c r="B142" s="72" t="s">
        <v>30</v>
      </c>
      <c r="C142" s="72" t="s">
        <v>30</v>
      </c>
      <c r="D142" s="72" t="s">
        <v>30</v>
      </c>
      <c r="E142" s="72" t="s">
        <v>30</v>
      </c>
      <c r="F142" s="72" t="s">
        <v>30</v>
      </c>
      <c r="G142" s="72" t="s">
        <v>30</v>
      </c>
      <c r="H142" s="72" t="s">
        <v>30</v>
      </c>
      <c r="I142" s="73" t="s">
        <v>30</v>
      </c>
      <c r="J142" s="72" t="s">
        <v>30</v>
      </c>
      <c r="K142" s="72" t="s">
        <v>30</v>
      </c>
      <c r="L142" s="72" t="s">
        <v>30</v>
      </c>
      <c r="M142" s="72" t="s">
        <v>30</v>
      </c>
      <c r="N142" s="72" t="s">
        <v>30</v>
      </c>
      <c r="O142" s="73" t="s">
        <v>30</v>
      </c>
      <c r="P142" s="72" t="s">
        <v>30</v>
      </c>
      <c r="Q142" s="72" t="s">
        <v>30</v>
      </c>
      <c r="R142" s="72" t="s">
        <v>30</v>
      </c>
      <c r="S142" s="72" t="s">
        <v>30</v>
      </c>
      <c r="T142" s="72" t="s">
        <v>30</v>
      </c>
      <c r="W142" s="31"/>
    </row>
    <row r="143">
      <c r="B143" s="72" t="s">
        <v>30</v>
      </c>
      <c r="C143" s="72" t="s">
        <v>30</v>
      </c>
      <c r="D143" s="72" t="s">
        <v>30</v>
      </c>
      <c r="E143" s="72" t="s">
        <v>30</v>
      </c>
      <c r="F143" s="72" t="s">
        <v>30</v>
      </c>
      <c r="G143" s="72" t="s">
        <v>30</v>
      </c>
      <c r="H143" s="72" t="s">
        <v>30</v>
      </c>
      <c r="I143" s="73" t="s">
        <v>30</v>
      </c>
      <c r="J143" s="72" t="s">
        <v>30</v>
      </c>
      <c r="K143" s="72" t="s">
        <v>30</v>
      </c>
      <c r="L143" s="72" t="s">
        <v>30</v>
      </c>
      <c r="M143" s="72" t="s">
        <v>30</v>
      </c>
      <c r="N143" s="72" t="s">
        <v>30</v>
      </c>
      <c r="O143" s="73" t="s">
        <v>30</v>
      </c>
      <c r="P143" s="72" t="s">
        <v>30</v>
      </c>
      <c r="Q143" s="72" t="s">
        <v>30</v>
      </c>
      <c r="R143" s="72" t="s">
        <v>30</v>
      </c>
      <c r="S143" s="72" t="s">
        <v>30</v>
      </c>
      <c r="T143" s="72" t="s">
        <v>30</v>
      </c>
      <c r="W143" s="31"/>
    </row>
    <row r="144">
      <c r="B144" s="72" t="s">
        <v>30</v>
      </c>
      <c r="C144" s="72" t="s">
        <v>30</v>
      </c>
      <c r="D144" s="72" t="s">
        <v>30</v>
      </c>
      <c r="E144" s="72" t="s">
        <v>30</v>
      </c>
      <c r="F144" s="72" t="s">
        <v>30</v>
      </c>
      <c r="G144" s="72" t="s">
        <v>30</v>
      </c>
      <c r="H144" s="72" t="s">
        <v>30</v>
      </c>
      <c r="I144" s="73" t="s">
        <v>30</v>
      </c>
      <c r="J144" s="72" t="s">
        <v>30</v>
      </c>
      <c r="K144" s="72" t="s">
        <v>30</v>
      </c>
      <c r="L144" s="72" t="s">
        <v>30</v>
      </c>
      <c r="M144" s="72" t="s">
        <v>30</v>
      </c>
      <c r="N144" s="72" t="s">
        <v>30</v>
      </c>
      <c r="O144" s="73" t="s">
        <v>30</v>
      </c>
      <c r="P144" s="72" t="s">
        <v>30</v>
      </c>
      <c r="Q144" s="72" t="s">
        <v>30</v>
      </c>
      <c r="R144" s="72" t="s">
        <v>30</v>
      </c>
      <c r="S144" s="72" t="s">
        <v>30</v>
      </c>
      <c r="T144" s="72" t="s">
        <v>30</v>
      </c>
      <c r="W144" s="31"/>
    </row>
    <row r="145">
      <c r="B145" s="72" t="s">
        <v>30</v>
      </c>
      <c r="C145" s="72" t="s">
        <v>30</v>
      </c>
      <c r="D145" s="72" t="s">
        <v>30</v>
      </c>
      <c r="E145" s="72" t="s">
        <v>30</v>
      </c>
      <c r="F145" s="72" t="s">
        <v>30</v>
      </c>
      <c r="G145" s="72" t="s">
        <v>30</v>
      </c>
      <c r="H145" s="72" t="s">
        <v>30</v>
      </c>
      <c r="I145" s="73" t="s">
        <v>30</v>
      </c>
      <c r="J145" s="72" t="s">
        <v>30</v>
      </c>
      <c r="K145" s="72" t="s">
        <v>30</v>
      </c>
      <c r="L145" s="72" t="s">
        <v>30</v>
      </c>
      <c r="M145" s="72" t="s">
        <v>30</v>
      </c>
      <c r="N145" s="72" t="s">
        <v>30</v>
      </c>
      <c r="O145" s="73" t="s">
        <v>30</v>
      </c>
      <c r="P145" s="72" t="s">
        <v>30</v>
      </c>
      <c r="Q145" s="72" t="s">
        <v>30</v>
      </c>
      <c r="R145" s="72" t="s">
        <v>30</v>
      </c>
      <c r="S145" s="72" t="s">
        <v>30</v>
      </c>
      <c r="T145" s="72" t="s">
        <v>30</v>
      </c>
      <c r="W145" s="31"/>
    </row>
    <row r="146">
      <c r="B146" s="72" t="s">
        <v>30</v>
      </c>
      <c r="C146" s="72" t="s">
        <v>30</v>
      </c>
      <c r="D146" s="72" t="s">
        <v>30</v>
      </c>
      <c r="E146" s="72" t="s">
        <v>30</v>
      </c>
      <c r="F146" s="72" t="s">
        <v>30</v>
      </c>
      <c r="G146" s="72" t="s">
        <v>30</v>
      </c>
      <c r="H146" s="72" t="s">
        <v>30</v>
      </c>
      <c r="I146" s="73" t="s">
        <v>30</v>
      </c>
      <c r="J146" s="72" t="s">
        <v>30</v>
      </c>
      <c r="K146" s="72" t="s">
        <v>30</v>
      </c>
      <c r="L146" s="72" t="s">
        <v>30</v>
      </c>
      <c r="M146" s="72" t="s">
        <v>30</v>
      </c>
      <c r="N146" s="72" t="s">
        <v>30</v>
      </c>
      <c r="O146" s="73" t="s">
        <v>30</v>
      </c>
      <c r="P146" s="72" t="s">
        <v>30</v>
      </c>
      <c r="Q146" s="72" t="s">
        <v>30</v>
      </c>
      <c r="R146" s="72" t="s">
        <v>30</v>
      </c>
      <c r="S146" s="72" t="s">
        <v>30</v>
      </c>
      <c r="T146" s="72" t="s">
        <v>30</v>
      </c>
      <c r="W146" s="31"/>
    </row>
    <row r="147">
      <c r="B147" s="72" t="s">
        <v>30</v>
      </c>
      <c r="C147" s="72" t="s">
        <v>30</v>
      </c>
      <c r="D147" s="72" t="s">
        <v>30</v>
      </c>
      <c r="E147" s="72" t="s">
        <v>30</v>
      </c>
      <c r="F147" s="72" t="s">
        <v>30</v>
      </c>
      <c r="G147" s="72" t="s">
        <v>30</v>
      </c>
      <c r="H147" s="72" t="s">
        <v>30</v>
      </c>
      <c r="I147" s="73" t="s">
        <v>30</v>
      </c>
      <c r="J147" s="72" t="s">
        <v>30</v>
      </c>
      <c r="K147" s="72" t="s">
        <v>30</v>
      </c>
      <c r="L147" s="72" t="s">
        <v>30</v>
      </c>
      <c r="M147" s="72" t="s">
        <v>30</v>
      </c>
      <c r="N147" s="72" t="s">
        <v>30</v>
      </c>
      <c r="O147" s="73" t="s">
        <v>30</v>
      </c>
      <c r="P147" s="72" t="s">
        <v>30</v>
      </c>
      <c r="Q147" s="72" t="s">
        <v>30</v>
      </c>
      <c r="R147" s="72" t="s">
        <v>30</v>
      </c>
      <c r="S147" s="72" t="s">
        <v>30</v>
      </c>
      <c r="T147" s="72" t="s">
        <v>30</v>
      </c>
      <c r="W147" s="31"/>
    </row>
    <row r="148">
      <c r="B148" s="72" t="s">
        <v>30</v>
      </c>
      <c r="C148" s="72" t="s">
        <v>30</v>
      </c>
      <c r="D148" s="72" t="s">
        <v>30</v>
      </c>
      <c r="E148" s="72" t="s">
        <v>30</v>
      </c>
      <c r="F148" s="72" t="s">
        <v>30</v>
      </c>
      <c r="G148" s="72" t="s">
        <v>30</v>
      </c>
      <c r="H148" s="72" t="s">
        <v>30</v>
      </c>
      <c r="I148" s="73" t="s">
        <v>30</v>
      </c>
      <c r="J148" s="72" t="s">
        <v>30</v>
      </c>
      <c r="K148" s="72" t="s">
        <v>30</v>
      </c>
      <c r="L148" s="72" t="s">
        <v>30</v>
      </c>
      <c r="M148" s="72" t="s">
        <v>30</v>
      </c>
      <c r="N148" s="72" t="s">
        <v>30</v>
      </c>
      <c r="O148" s="73" t="s">
        <v>30</v>
      </c>
      <c r="P148" s="72" t="s">
        <v>30</v>
      </c>
      <c r="Q148" s="72" t="s">
        <v>30</v>
      </c>
      <c r="R148" s="72" t="s">
        <v>30</v>
      </c>
      <c r="S148" s="72" t="s">
        <v>30</v>
      </c>
      <c r="T148" s="72" t="s">
        <v>30</v>
      </c>
      <c r="W148" s="31"/>
    </row>
    <row r="149">
      <c r="B149" s="72" t="s">
        <v>30</v>
      </c>
      <c r="C149" s="72" t="s">
        <v>30</v>
      </c>
      <c r="D149" s="72" t="s">
        <v>30</v>
      </c>
      <c r="E149" s="72" t="s">
        <v>30</v>
      </c>
      <c r="F149" s="72" t="s">
        <v>30</v>
      </c>
      <c r="G149" s="72" t="s">
        <v>30</v>
      </c>
      <c r="H149" s="72" t="s">
        <v>30</v>
      </c>
      <c r="I149" s="73" t="s">
        <v>30</v>
      </c>
      <c r="J149" s="72" t="s">
        <v>30</v>
      </c>
      <c r="K149" s="72" t="s">
        <v>30</v>
      </c>
      <c r="L149" s="72" t="s">
        <v>30</v>
      </c>
      <c r="M149" s="72" t="s">
        <v>30</v>
      </c>
      <c r="N149" s="72" t="s">
        <v>30</v>
      </c>
      <c r="O149" s="73" t="s">
        <v>30</v>
      </c>
      <c r="P149" s="72" t="s">
        <v>30</v>
      </c>
      <c r="Q149" s="72" t="s">
        <v>30</v>
      </c>
      <c r="R149" s="72" t="s">
        <v>30</v>
      </c>
      <c r="S149" s="72" t="s">
        <v>30</v>
      </c>
      <c r="T149" s="72" t="s">
        <v>30</v>
      </c>
      <c r="W149" s="31"/>
    </row>
    <row r="150">
      <c r="B150" s="72" t="s">
        <v>30</v>
      </c>
      <c r="C150" s="72" t="s">
        <v>30</v>
      </c>
      <c r="D150" s="72" t="s">
        <v>30</v>
      </c>
      <c r="E150" s="72" t="s">
        <v>30</v>
      </c>
      <c r="F150" s="72" t="s">
        <v>30</v>
      </c>
      <c r="G150" s="72" t="s">
        <v>30</v>
      </c>
      <c r="H150" s="72" t="s">
        <v>30</v>
      </c>
      <c r="I150" s="73" t="s">
        <v>30</v>
      </c>
      <c r="J150" s="72" t="s">
        <v>30</v>
      </c>
      <c r="K150" s="72" t="s">
        <v>30</v>
      </c>
      <c r="L150" s="72" t="s">
        <v>30</v>
      </c>
      <c r="M150" s="72" t="s">
        <v>30</v>
      </c>
      <c r="N150" s="72" t="s">
        <v>30</v>
      </c>
      <c r="O150" s="73" t="s">
        <v>30</v>
      </c>
      <c r="P150" s="72" t="s">
        <v>30</v>
      </c>
      <c r="Q150" s="72" t="s">
        <v>30</v>
      </c>
      <c r="R150" s="72" t="s">
        <v>30</v>
      </c>
      <c r="S150" s="72" t="s">
        <v>30</v>
      </c>
      <c r="T150" s="72" t="s">
        <v>30</v>
      </c>
      <c r="W150" s="31"/>
    </row>
    <row r="151">
      <c r="B151" s="72" t="s">
        <v>30</v>
      </c>
      <c r="C151" s="72" t="s">
        <v>30</v>
      </c>
      <c r="D151" s="72" t="s">
        <v>30</v>
      </c>
      <c r="E151" s="72" t="s">
        <v>30</v>
      </c>
      <c r="F151" s="72" t="s">
        <v>30</v>
      </c>
      <c r="G151" s="72" t="s">
        <v>30</v>
      </c>
      <c r="H151" s="72" t="s">
        <v>30</v>
      </c>
      <c r="I151" s="73" t="s">
        <v>30</v>
      </c>
      <c r="J151" s="72" t="s">
        <v>30</v>
      </c>
      <c r="K151" s="72" t="s">
        <v>30</v>
      </c>
      <c r="L151" s="72" t="s">
        <v>30</v>
      </c>
      <c r="M151" s="72" t="s">
        <v>30</v>
      </c>
      <c r="N151" s="72" t="s">
        <v>30</v>
      </c>
      <c r="O151" s="73" t="s">
        <v>30</v>
      </c>
      <c r="P151" s="72" t="s">
        <v>30</v>
      </c>
      <c r="Q151" s="72" t="s">
        <v>30</v>
      </c>
      <c r="R151" s="72" t="s">
        <v>30</v>
      </c>
      <c r="S151" s="72" t="s">
        <v>30</v>
      </c>
      <c r="T151" s="72" t="s">
        <v>30</v>
      </c>
      <c r="W151" s="31"/>
    </row>
    <row r="152">
      <c r="B152" s="72" t="s">
        <v>30</v>
      </c>
      <c r="C152" s="72" t="s">
        <v>30</v>
      </c>
      <c r="D152" s="72" t="s">
        <v>30</v>
      </c>
      <c r="E152" s="72" t="s">
        <v>30</v>
      </c>
      <c r="F152" s="72" t="s">
        <v>30</v>
      </c>
      <c r="G152" s="72" t="s">
        <v>30</v>
      </c>
      <c r="H152" s="72" t="s">
        <v>30</v>
      </c>
      <c r="I152" s="73" t="s">
        <v>30</v>
      </c>
      <c r="J152" s="72" t="s">
        <v>30</v>
      </c>
      <c r="K152" s="72" t="s">
        <v>30</v>
      </c>
      <c r="L152" s="72" t="s">
        <v>30</v>
      </c>
      <c r="M152" s="72" t="s">
        <v>30</v>
      </c>
      <c r="N152" s="72" t="s">
        <v>30</v>
      </c>
      <c r="O152" s="73" t="s">
        <v>30</v>
      </c>
      <c r="P152" s="72" t="s">
        <v>30</v>
      </c>
      <c r="Q152" s="72" t="s">
        <v>30</v>
      </c>
      <c r="R152" s="72" t="s">
        <v>30</v>
      </c>
      <c r="S152" s="72" t="s">
        <v>30</v>
      </c>
      <c r="T152" s="72" t="s">
        <v>30</v>
      </c>
      <c r="W152" s="31"/>
    </row>
    <row r="153">
      <c r="B153" s="72" t="s">
        <v>30</v>
      </c>
      <c r="C153" s="72" t="s">
        <v>30</v>
      </c>
      <c r="D153" s="72" t="s">
        <v>30</v>
      </c>
      <c r="E153" s="72" t="s">
        <v>30</v>
      </c>
      <c r="F153" s="72" t="s">
        <v>30</v>
      </c>
      <c r="G153" s="72" t="s">
        <v>30</v>
      </c>
      <c r="H153" s="72" t="s">
        <v>30</v>
      </c>
      <c r="I153" s="73" t="s">
        <v>30</v>
      </c>
      <c r="J153" s="72" t="s">
        <v>30</v>
      </c>
      <c r="K153" s="72" t="s">
        <v>30</v>
      </c>
      <c r="L153" s="72" t="s">
        <v>30</v>
      </c>
      <c r="M153" s="72" t="s">
        <v>30</v>
      </c>
      <c r="N153" s="72" t="s">
        <v>30</v>
      </c>
      <c r="O153" s="73" t="s">
        <v>30</v>
      </c>
      <c r="P153" s="72" t="s">
        <v>30</v>
      </c>
      <c r="Q153" s="72" t="s">
        <v>30</v>
      </c>
      <c r="R153" s="72" t="s">
        <v>30</v>
      </c>
      <c r="S153" s="72" t="s">
        <v>30</v>
      </c>
      <c r="T153" s="72" t="s">
        <v>30</v>
      </c>
      <c r="W153" s="31"/>
    </row>
    <row r="154">
      <c r="B154" s="72" t="s">
        <v>30</v>
      </c>
      <c r="C154" s="72" t="s">
        <v>30</v>
      </c>
      <c r="D154" s="72" t="s">
        <v>30</v>
      </c>
      <c r="E154" s="72" t="s">
        <v>30</v>
      </c>
      <c r="F154" s="72" t="s">
        <v>30</v>
      </c>
      <c r="G154" s="72" t="s">
        <v>30</v>
      </c>
      <c r="H154" s="72" t="s">
        <v>30</v>
      </c>
      <c r="I154" s="73" t="s">
        <v>30</v>
      </c>
      <c r="J154" s="72" t="s">
        <v>30</v>
      </c>
      <c r="K154" s="72" t="s">
        <v>30</v>
      </c>
      <c r="L154" s="72" t="s">
        <v>30</v>
      </c>
      <c r="M154" s="72" t="s">
        <v>30</v>
      </c>
      <c r="N154" s="72" t="s">
        <v>30</v>
      </c>
      <c r="O154" s="73" t="s">
        <v>30</v>
      </c>
      <c r="P154" s="72" t="s">
        <v>30</v>
      </c>
      <c r="Q154" s="72" t="s">
        <v>30</v>
      </c>
      <c r="R154" s="72" t="s">
        <v>30</v>
      </c>
      <c r="S154" s="72" t="s">
        <v>30</v>
      </c>
      <c r="T154" s="72" t="s">
        <v>30</v>
      </c>
      <c r="W154" s="31"/>
    </row>
    <row r="155">
      <c r="B155" s="72" t="s">
        <v>30</v>
      </c>
      <c r="C155" s="72" t="s">
        <v>30</v>
      </c>
      <c r="D155" s="72" t="s">
        <v>30</v>
      </c>
      <c r="E155" s="72" t="s">
        <v>30</v>
      </c>
      <c r="F155" s="72" t="s">
        <v>30</v>
      </c>
      <c r="G155" s="72" t="s">
        <v>30</v>
      </c>
      <c r="H155" s="72" t="s">
        <v>30</v>
      </c>
      <c r="I155" s="73" t="s">
        <v>30</v>
      </c>
      <c r="J155" s="72" t="s">
        <v>30</v>
      </c>
      <c r="K155" s="72" t="s">
        <v>30</v>
      </c>
      <c r="L155" s="72" t="s">
        <v>30</v>
      </c>
      <c r="M155" s="72" t="s">
        <v>30</v>
      </c>
      <c r="N155" s="72" t="s">
        <v>30</v>
      </c>
      <c r="O155" s="73" t="s">
        <v>30</v>
      </c>
      <c r="P155" s="72" t="s">
        <v>30</v>
      </c>
      <c r="Q155" s="72" t="s">
        <v>30</v>
      </c>
      <c r="R155" s="72" t="s">
        <v>30</v>
      </c>
      <c r="S155" s="72" t="s">
        <v>30</v>
      </c>
      <c r="T155" s="72" t="s">
        <v>30</v>
      </c>
      <c r="W155" s="31"/>
    </row>
    <row r="156">
      <c r="B156" s="72" t="s">
        <v>30</v>
      </c>
      <c r="C156" s="72" t="s">
        <v>30</v>
      </c>
      <c r="D156" s="72" t="s">
        <v>30</v>
      </c>
      <c r="E156" s="72" t="s">
        <v>30</v>
      </c>
      <c r="F156" s="72" t="s">
        <v>30</v>
      </c>
      <c r="G156" s="72" t="s">
        <v>30</v>
      </c>
      <c r="H156" s="72" t="s">
        <v>30</v>
      </c>
      <c r="I156" s="73" t="s">
        <v>30</v>
      </c>
      <c r="J156" s="72" t="s">
        <v>30</v>
      </c>
      <c r="K156" s="72" t="s">
        <v>30</v>
      </c>
      <c r="L156" s="72" t="s">
        <v>30</v>
      </c>
      <c r="M156" s="72" t="s">
        <v>30</v>
      </c>
      <c r="N156" s="72" t="s">
        <v>30</v>
      </c>
      <c r="O156" s="73" t="s">
        <v>30</v>
      </c>
      <c r="P156" s="72" t="s">
        <v>30</v>
      </c>
      <c r="Q156" s="72" t="s">
        <v>30</v>
      </c>
      <c r="R156" s="72" t="s">
        <v>30</v>
      </c>
      <c r="S156" s="72" t="s">
        <v>30</v>
      </c>
      <c r="T156" s="72" t="s">
        <v>30</v>
      </c>
      <c r="W156" s="31"/>
    </row>
    <row r="157">
      <c r="B157" s="72" t="s">
        <v>30</v>
      </c>
      <c r="C157" s="72" t="s">
        <v>30</v>
      </c>
      <c r="D157" s="72" t="s">
        <v>30</v>
      </c>
      <c r="E157" s="72" t="s">
        <v>30</v>
      </c>
      <c r="F157" s="72" t="s">
        <v>30</v>
      </c>
      <c r="G157" s="72" t="s">
        <v>30</v>
      </c>
      <c r="H157" s="72" t="s">
        <v>30</v>
      </c>
      <c r="I157" s="73" t="s">
        <v>30</v>
      </c>
      <c r="J157" s="72" t="s">
        <v>30</v>
      </c>
      <c r="K157" s="72" t="s">
        <v>30</v>
      </c>
      <c r="L157" s="72" t="s">
        <v>30</v>
      </c>
      <c r="M157" s="72" t="s">
        <v>30</v>
      </c>
      <c r="N157" s="72" t="s">
        <v>30</v>
      </c>
      <c r="O157" s="73" t="s">
        <v>30</v>
      </c>
      <c r="P157" s="72" t="s">
        <v>30</v>
      </c>
      <c r="Q157" s="72" t="s">
        <v>30</v>
      </c>
      <c r="R157" s="72" t="s">
        <v>30</v>
      </c>
      <c r="S157" s="72" t="s">
        <v>30</v>
      </c>
      <c r="T157" s="72" t="s">
        <v>30</v>
      </c>
      <c r="W157" s="31"/>
    </row>
    <row r="158">
      <c r="B158" s="72" t="s">
        <v>30</v>
      </c>
      <c r="C158" s="72" t="s">
        <v>30</v>
      </c>
      <c r="D158" s="72" t="s">
        <v>30</v>
      </c>
      <c r="E158" s="72" t="s">
        <v>30</v>
      </c>
      <c r="F158" s="72" t="s">
        <v>30</v>
      </c>
      <c r="G158" s="72" t="s">
        <v>30</v>
      </c>
      <c r="H158" s="72" t="s">
        <v>30</v>
      </c>
      <c r="I158" s="73" t="s">
        <v>30</v>
      </c>
      <c r="J158" s="72" t="s">
        <v>30</v>
      </c>
      <c r="K158" s="72" t="s">
        <v>30</v>
      </c>
      <c r="L158" s="72" t="s">
        <v>30</v>
      </c>
      <c r="M158" s="72" t="s">
        <v>30</v>
      </c>
      <c r="N158" s="72" t="s">
        <v>30</v>
      </c>
      <c r="O158" s="73" t="s">
        <v>30</v>
      </c>
      <c r="P158" s="72" t="s">
        <v>30</v>
      </c>
      <c r="Q158" s="72" t="s">
        <v>30</v>
      </c>
      <c r="R158" s="72" t="s">
        <v>30</v>
      </c>
      <c r="S158" s="72" t="s">
        <v>30</v>
      </c>
      <c r="T158" s="72" t="s">
        <v>30</v>
      </c>
      <c r="W158" s="31"/>
    </row>
    <row r="159">
      <c r="B159" s="72" t="s">
        <v>30</v>
      </c>
      <c r="C159" s="72" t="s">
        <v>30</v>
      </c>
      <c r="D159" s="72" t="s">
        <v>30</v>
      </c>
      <c r="E159" s="72" t="s">
        <v>30</v>
      </c>
      <c r="F159" s="72" t="s">
        <v>30</v>
      </c>
      <c r="G159" s="72" t="s">
        <v>30</v>
      </c>
      <c r="H159" s="72" t="s">
        <v>30</v>
      </c>
      <c r="I159" s="73" t="s">
        <v>30</v>
      </c>
      <c r="J159" s="72" t="s">
        <v>30</v>
      </c>
      <c r="K159" s="72" t="s">
        <v>30</v>
      </c>
      <c r="L159" s="72" t="s">
        <v>30</v>
      </c>
      <c r="M159" s="72" t="s">
        <v>30</v>
      </c>
      <c r="N159" s="72" t="s">
        <v>30</v>
      </c>
      <c r="O159" s="73" t="s">
        <v>30</v>
      </c>
      <c r="P159" s="72" t="s">
        <v>30</v>
      </c>
      <c r="Q159" s="72" t="s">
        <v>30</v>
      </c>
      <c r="R159" s="72" t="s">
        <v>30</v>
      </c>
      <c r="S159" s="72" t="s">
        <v>30</v>
      </c>
      <c r="T159" s="72" t="s">
        <v>30</v>
      </c>
      <c r="W159" s="31"/>
    </row>
    <row r="160">
      <c r="B160" s="72" t="s">
        <v>30</v>
      </c>
      <c r="C160" s="72" t="s">
        <v>30</v>
      </c>
      <c r="D160" s="72" t="s">
        <v>30</v>
      </c>
      <c r="E160" s="72" t="s">
        <v>30</v>
      </c>
      <c r="F160" s="72" t="s">
        <v>30</v>
      </c>
      <c r="G160" s="72" t="s">
        <v>30</v>
      </c>
      <c r="H160" s="72" t="s">
        <v>30</v>
      </c>
      <c r="I160" s="73" t="s">
        <v>30</v>
      </c>
      <c r="J160" s="72" t="s">
        <v>30</v>
      </c>
      <c r="K160" s="72" t="s">
        <v>30</v>
      </c>
      <c r="L160" s="72" t="s">
        <v>30</v>
      </c>
      <c r="M160" s="72" t="s">
        <v>30</v>
      </c>
      <c r="N160" s="72" t="s">
        <v>30</v>
      </c>
      <c r="O160" s="73" t="s">
        <v>30</v>
      </c>
      <c r="P160" s="72" t="s">
        <v>30</v>
      </c>
      <c r="Q160" s="72" t="s">
        <v>30</v>
      </c>
      <c r="R160" s="72" t="s">
        <v>30</v>
      </c>
      <c r="S160" s="72" t="s">
        <v>30</v>
      </c>
      <c r="T160" s="72" t="s">
        <v>30</v>
      </c>
      <c r="W160" s="31"/>
    </row>
    <row r="161">
      <c r="B161" s="72" t="s">
        <v>30</v>
      </c>
      <c r="C161" s="72" t="s">
        <v>30</v>
      </c>
      <c r="D161" s="72" t="s">
        <v>30</v>
      </c>
      <c r="E161" s="72" t="s">
        <v>30</v>
      </c>
      <c r="F161" s="72" t="s">
        <v>30</v>
      </c>
      <c r="G161" s="72" t="s">
        <v>30</v>
      </c>
      <c r="H161" s="72" t="s">
        <v>30</v>
      </c>
      <c r="I161" s="73" t="s">
        <v>30</v>
      </c>
      <c r="J161" s="72" t="s">
        <v>30</v>
      </c>
      <c r="K161" s="72" t="s">
        <v>30</v>
      </c>
      <c r="L161" s="72" t="s">
        <v>30</v>
      </c>
      <c r="M161" s="72" t="s">
        <v>30</v>
      </c>
      <c r="N161" s="72" t="s">
        <v>30</v>
      </c>
      <c r="O161" s="73" t="s">
        <v>30</v>
      </c>
      <c r="P161" s="72" t="s">
        <v>30</v>
      </c>
      <c r="Q161" s="72" t="s">
        <v>30</v>
      </c>
      <c r="R161" s="72" t="s">
        <v>30</v>
      </c>
      <c r="S161" s="72" t="s">
        <v>30</v>
      </c>
      <c r="T161" s="72" t="s">
        <v>30</v>
      </c>
      <c r="W161" s="31"/>
    </row>
    <row r="162">
      <c r="B162" s="72" t="s">
        <v>30</v>
      </c>
      <c r="C162" s="72" t="s">
        <v>30</v>
      </c>
      <c r="D162" s="72" t="s">
        <v>30</v>
      </c>
      <c r="E162" s="72" t="s">
        <v>30</v>
      </c>
      <c r="F162" s="72" t="s">
        <v>30</v>
      </c>
      <c r="G162" s="72" t="s">
        <v>30</v>
      </c>
      <c r="H162" s="72" t="s">
        <v>30</v>
      </c>
      <c r="I162" s="73" t="s">
        <v>30</v>
      </c>
      <c r="J162" s="72" t="s">
        <v>30</v>
      </c>
      <c r="K162" s="72" t="s">
        <v>30</v>
      </c>
      <c r="L162" s="72" t="s">
        <v>30</v>
      </c>
      <c r="M162" s="72" t="s">
        <v>30</v>
      </c>
      <c r="N162" s="72" t="s">
        <v>30</v>
      </c>
      <c r="O162" s="73" t="s">
        <v>30</v>
      </c>
      <c r="P162" s="72" t="s">
        <v>30</v>
      </c>
      <c r="Q162" s="72" t="s">
        <v>30</v>
      </c>
      <c r="R162" s="72" t="s">
        <v>30</v>
      </c>
      <c r="S162" s="72" t="s">
        <v>30</v>
      </c>
      <c r="T162" s="72" t="s">
        <v>30</v>
      </c>
      <c r="W162" s="31"/>
    </row>
    <row r="163">
      <c r="B163" s="72" t="s">
        <v>30</v>
      </c>
      <c r="C163" s="72" t="s">
        <v>30</v>
      </c>
      <c r="D163" s="72" t="s">
        <v>30</v>
      </c>
      <c r="E163" s="72" t="s">
        <v>30</v>
      </c>
      <c r="F163" s="72" t="s">
        <v>30</v>
      </c>
      <c r="G163" s="72" t="s">
        <v>30</v>
      </c>
      <c r="H163" s="72" t="s">
        <v>30</v>
      </c>
      <c r="I163" s="73" t="s">
        <v>30</v>
      </c>
      <c r="J163" s="72" t="s">
        <v>30</v>
      </c>
      <c r="K163" s="72" t="s">
        <v>30</v>
      </c>
      <c r="L163" s="72" t="s">
        <v>30</v>
      </c>
      <c r="M163" s="72" t="s">
        <v>30</v>
      </c>
      <c r="N163" s="72" t="s">
        <v>30</v>
      </c>
      <c r="O163" s="73" t="s">
        <v>30</v>
      </c>
      <c r="P163" s="72" t="s">
        <v>30</v>
      </c>
      <c r="Q163" s="72" t="s">
        <v>30</v>
      </c>
      <c r="R163" s="72" t="s">
        <v>30</v>
      </c>
      <c r="S163" s="72" t="s">
        <v>30</v>
      </c>
      <c r="T163" s="72" t="s">
        <v>30</v>
      </c>
      <c r="W163" s="31"/>
    </row>
    <row r="164">
      <c r="B164" s="72" t="s">
        <v>30</v>
      </c>
      <c r="C164" s="72" t="s">
        <v>30</v>
      </c>
      <c r="D164" s="72" t="s">
        <v>30</v>
      </c>
      <c r="E164" s="72" t="s">
        <v>30</v>
      </c>
      <c r="F164" s="72" t="s">
        <v>30</v>
      </c>
      <c r="G164" s="72" t="s">
        <v>30</v>
      </c>
      <c r="H164" s="72" t="s">
        <v>30</v>
      </c>
      <c r="I164" s="73" t="s">
        <v>30</v>
      </c>
      <c r="J164" s="72" t="s">
        <v>30</v>
      </c>
      <c r="K164" s="72" t="s">
        <v>30</v>
      </c>
      <c r="L164" s="72" t="s">
        <v>30</v>
      </c>
      <c r="M164" s="72" t="s">
        <v>30</v>
      </c>
      <c r="N164" s="72" t="s">
        <v>30</v>
      </c>
      <c r="O164" s="73" t="s">
        <v>30</v>
      </c>
      <c r="P164" s="72" t="s">
        <v>30</v>
      </c>
      <c r="Q164" s="72" t="s">
        <v>30</v>
      </c>
      <c r="R164" s="72" t="s">
        <v>30</v>
      </c>
      <c r="S164" s="72" t="s">
        <v>30</v>
      </c>
      <c r="T164" s="72" t="s">
        <v>30</v>
      </c>
      <c r="W164" s="31"/>
    </row>
    <row r="165">
      <c r="B165" s="72" t="s">
        <v>30</v>
      </c>
      <c r="C165" s="72" t="s">
        <v>30</v>
      </c>
      <c r="D165" s="72" t="s">
        <v>30</v>
      </c>
      <c r="E165" s="72" t="s">
        <v>30</v>
      </c>
      <c r="F165" s="72" t="s">
        <v>30</v>
      </c>
      <c r="G165" s="72" t="s">
        <v>30</v>
      </c>
      <c r="H165" s="72" t="s">
        <v>30</v>
      </c>
      <c r="I165" s="73" t="s">
        <v>30</v>
      </c>
      <c r="J165" s="72" t="s">
        <v>30</v>
      </c>
      <c r="K165" s="72" t="s">
        <v>30</v>
      </c>
      <c r="L165" s="72" t="s">
        <v>30</v>
      </c>
      <c r="M165" s="72" t="s">
        <v>30</v>
      </c>
      <c r="N165" s="72" t="s">
        <v>30</v>
      </c>
      <c r="O165" s="73" t="s">
        <v>30</v>
      </c>
      <c r="P165" s="72" t="s">
        <v>30</v>
      </c>
      <c r="Q165" s="72" t="s">
        <v>30</v>
      </c>
      <c r="R165" s="72" t="s">
        <v>30</v>
      </c>
      <c r="S165" s="72" t="s">
        <v>30</v>
      </c>
      <c r="T165" s="72" t="s">
        <v>30</v>
      </c>
      <c r="W165" s="31"/>
    </row>
    <row r="166">
      <c r="B166" s="72" t="s">
        <v>30</v>
      </c>
      <c r="C166" s="72" t="s">
        <v>30</v>
      </c>
      <c r="D166" s="72" t="s">
        <v>30</v>
      </c>
      <c r="E166" s="72" t="s">
        <v>30</v>
      </c>
      <c r="F166" s="72" t="s">
        <v>30</v>
      </c>
      <c r="G166" s="72" t="s">
        <v>30</v>
      </c>
      <c r="H166" s="72" t="s">
        <v>30</v>
      </c>
      <c r="I166" s="73" t="s">
        <v>30</v>
      </c>
      <c r="J166" s="72" t="s">
        <v>30</v>
      </c>
      <c r="K166" s="72" t="s">
        <v>30</v>
      </c>
      <c r="L166" s="72" t="s">
        <v>30</v>
      </c>
      <c r="M166" s="72" t="s">
        <v>30</v>
      </c>
      <c r="N166" s="72" t="s">
        <v>30</v>
      </c>
      <c r="O166" s="73" t="s">
        <v>30</v>
      </c>
      <c r="P166" s="72" t="s">
        <v>30</v>
      </c>
      <c r="Q166" s="72" t="s">
        <v>30</v>
      </c>
      <c r="R166" s="72" t="s">
        <v>30</v>
      </c>
      <c r="S166" s="72" t="s">
        <v>30</v>
      </c>
      <c r="T166" s="72" t="s">
        <v>30</v>
      </c>
      <c r="W166" s="31"/>
    </row>
    <row r="167">
      <c r="B167" s="72" t="s">
        <v>30</v>
      </c>
      <c r="C167" s="72" t="s">
        <v>30</v>
      </c>
      <c r="D167" s="72" t="s">
        <v>30</v>
      </c>
      <c r="E167" s="72" t="s">
        <v>30</v>
      </c>
      <c r="F167" s="72" t="s">
        <v>30</v>
      </c>
      <c r="G167" s="72" t="s">
        <v>30</v>
      </c>
      <c r="H167" s="72" t="s">
        <v>30</v>
      </c>
      <c r="I167" s="73" t="s">
        <v>30</v>
      </c>
      <c r="J167" s="72" t="s">
        <v>30</v>
      </c>
      <c r="K167" s="72" t="s">
        <v>30</v>
      </c>
      <c r="L167" s="72" t="s">
        <v>30</v>
      </c>
      <c r="M167" s="72" t="s">
        <v>30</v>
      </c>
      <c r="N167" s="72" t="s">
        <v>30</v>
      </c>
      <c r="O167" s="73" t="s">
        <v>30</v>
      </c>
      <c r="P167" s="72" t="s">
        <v>30</v>
      </c>
      <c r="Q167" s="72" t="s">
        <v>30</v>
      </c>
      <c r="R167" s="72" t="s">
        <v>30</v>
      </c>
      <c r="S167" s="72" t="s">
        <v>30</v>
      </c>
      <c r="T167" s="72" t="s">
        <v>30</v>
      </c>
      <c r="W167" s="31"/>
    </row>
    <row r="168">
      <c r="B168" s="72" t="s">
        <v>30</v>
      </c>
      <c r="C168" s="72" t="s">
        <v>30</v>
      </c>
      <c r="D168" s="72" t="s">
        <v>30</v>
      </c>
      <c r="E168" s="72" t="s">
        <v>30</v>
      </c>
      <c r="F168" s="72" t="s">
        <v>30</v>
      </c>
      <c r="G168" s="72" t="s">
        <v>30</v>
      </c>
      <c r="H168" s="72" t="s">
        <v>30</v>
      </c>
      <c r="I168" s="73" t="s">
        <v>30</v>
      </c>
      <c r="J168" s="72" t="s">
        <v>30</v>
      </c>
      <c r="K168" s="72" t="s">
        <v>30</v>
      </c>
      <c r="L168" s="72" t="s">
        <v>30</v>
      </c>
      <c r="M168" s="72" t="s">
        <v>30</v>
      </c>
      <c r="N168" s="72" t="s">
        <v>30</v>
      </c>
      <c r="O168" s="73" t="s">
        <v>30</v>
      </c>
      <c r="P168" s="72" t="s">
        <v>30</v>
      </c>
      <c r="Q168" s="72" t="s">
        <v>30</v>
      </c>
      <c r="R168" s="72" t="s">
        <v>30</v>
      </c>
      <c r="S168" s="72" t="s">
        <v>30</v>
      </c>
      <c r="T168" s="72" t="s">
        <v>30</v>
      </c>
      <c r="W168" s="31"/>
    </row>
    <row r="169">
      <c r="B169" s="72" t="s">
        <v>30</v>
      </c>
      <c r="C169" s="72" t="s">
        <v>30</v>
      </c>
      <c r="D169" s="72" t="s">
        <v>30</v>
      </c>
      <c r="E169" s="72" t="s">
        <v>30</v>
      </c>
      <c r="F169" s="72" t="s">
        <v>30</v>
      </c>
      <c r="G169" s="72" t="s">
        <v>30</v>
      </c>
      <c r="H169" s="72" t="s">
        <v>30</v>
      </c>
      <c r="I169" s="73" t="s">
        <v>30</v>
      </c>
      <c r="J169" s="72" t="s">
        <v>30</v>
      </c>
      <c r="K169" s="72" t="s">
        <v>30</v>
      </c>
      <c r="L169" s="72" t="s">
        <v>30</v>
      </c>
      <c r="M169" s="72" t="s">
        <v>30</v>
      </c>
      <c r="N169" s="72" t="s">
        <v>30</v>
      </c>
      <c r="O169" s="73" t="s">
        <v>30</v>
      </c>
      <c r="P169" s="72" t="s">
        <v>30</v>
      </c>
      <c r="Q169" s="72" t="s">
        <v>30</v>
      </c>
      <c r="R169" s="72" t="s">
        <v>30</v>
      </c>
      <c r="S169" s="72" t="s">
        <v>30</v>
      </c>
      <c r="T169" s="72" t="s">
        <v>30</v>
      </c>
      <c r="W169" s="31"/>
    </row>
    <row r="170">
      <c r="B170" s="72" t="s">
        <v>30</v>
      </c>
      <c r="C170" s="72" t="s">
        <v>30</v>
      </c>
      <c r="D170" s="72" t="s">
        <v>30</v>
      </c>
      <c r="E170" s="72" t="s">
        <v>30</v>
      </c>
      <c r="F170" s="72" t="s">
        <v>30</v>
      </c>
      <c r="G170" s="72" t="s">
        <v>30</v>
      </c>
      <c r="H170" s="72" t="s">
        <v>30</v>
      </c>
      <c r="I170" s="73" t="s">
        <v>30</v>
      </c>
      <c r="J170" s="72" t="s">
        <v>30</v>
      </c>
      <c r="K170" s="72" t="s">
        <v>30</v>
      </c>
      <c r="L170" s="72" t="s">
        <v>30</v>
      </c>
      <c r="M170" s="72" t="s">
        <v>30</v>
      </c>
      <c r="N170" s="72" t="s">
        <v>30</v>
      </c>
      <c r="O170" s="73" t="s">
        <v>30</v>
      </c>
      <c r="P170" s="72" t="s">
        <v>30</v>
      </c>
      <c r="Q170" s="72" t="s">
        <v>30</v>
      </c>
      <c r="R170" s="72" t="s">
        <v>30</v>
      </c>
      <c r="S170" s="72" t="s">
        <v>30</v>
      </c>
      <c r="T170" s="72" t="s">
        <v>30</v>
      </c>
      <c r="W170" s="31"/>
    </row>
    <row r="171">
      <c r="B171" s="72" t="s">
        <v>30</v>
      </c>
      <c r="C171" s="72" t="s">
        <v>30</v>
      </c>
      <c r="D171" s="72" t="s">
        <v>30</v>
      </c>
      <c r="E171" s="72" t="s">
        <v>30</v>
      </c>
      <c r="F171" s="72" t="s">
        <v>30</v>
      </c>
      <c r="G171" s="72" t="s">
        <v>30</v>
      </c>
      <c r="H171" s="72" t="s">
        <v>30</v>
      </c>
      <c r="I171" s="73" t="s">
        <v>30</v>
      </c>
      <c r="J171" s="72" t="s">
        <v>30</v>
      </c>
      <c r="K171" s="72" t="s">
        <v>30</v>
      </c>
      <c r="L171" s="72" t="s">
        <v>30</v>
      </c>
      <c r="M171" s="72" t="s">
        <v>30</v>
      </c>
      <c r="N171" s="72" t="s">
        <v>30</v>
      </c>
      <c r="O171" s="73" t="s">
        <v>30</v>
      </c>
      <c r="P171" s="72" t="s">
        <v>30</v>
      </c>
      <c r="Q171" s="72" t="s">
        <v>30</v>
      </c>
      <c r="R171" s="72" t="s">
        <v>30</v>
      </c>
      <c r="S171" s="72" t="s">
        <v>30</v>
      </c>
      <c r="T171" s="72" t="s">
        <v>30</v>
      </c>
      <c r="W171" s="31"/>
    </row>
    <row r="172">
      <c r="B172" s="72" t="s">
        <v>30</v>
      </c>
      <c r="C172" s="72" t="s">
        <v>30</v>
      </c>
      <c r="D172" s="72" t="s">
        <v>30</v>
      </c>
      <c r="E172" s="72" t="s">
        <v>30</v>
      </c>
      <c r="F172" s="72" t="s">
        <v>30</v>
      </c>
      <c r="G172" s="72" t="s">
        <v>30</v>
      </c>
      <c r="H172" s="72" t="s">
        <v>30</v>
      </c>
      <c r="I172" s="73" t="s">
        <v>30</v>
      </c>
      <c r="J172" s="72" t="s">
        <v>30</v>
      </c>
      <c r="K172" s="72" t="s">
        <v>30</v>
      </c>
      <c r="L172" s="72" t="s">
        <v>30</v>
      </c>
      <c r="M172" s="72" t="s">
        <v>30</v>
      </c>
      <c r="N172" s="72" t="s">
        <v>30</v>
      </c>
      <c r="O172" s="73" t="s">
        <v>30</v>
      </c>
      <c r="P172" s="72" t="s">
        <v>30</v>
      </c>
      <c r="Q172" s="72" t="s">
        <v>30</v>
      </c>
      <c r="R172" s="72" t="s">
        <v>30</v>
      </c>
      <c r="S172" s="72" t="s">
        <v>30</v>
      </c>
      <c r="T172" s="72" t="s">
        <v>30</v>
      </c>
      <c r="W172" s="31"/>
    </row>
    <row r="173">
      <c r="B173" s="72" t="s">
        <v>30</v>
      </c>
      <c r="C173" s="72" t="s">
        <v>30</v>
      </c>
      <c r="D173" s="72" t="s">
        <v>30</v>
      </c>
      <c r="E173" s="72" t="s">
        <v>30</v>
      </c>
      <c r="F173" s="72" t="s">
        <v>30</v>
      </c>
      <c r="G173" s="72" t="s">
        <v>30</v>
      </c>
      <c r="H173" s="72" t="s">
        <v>30</v>
      </c>
      <c r="I173" s="73" t="s">
        <v>30</v>
      </c>
      <c r="J173" s="72" t="s">
        <v>30</v>
      </c>
      <c r="K173" s="72" t="s">
        <v>30</v>
      </c>
      <c r="L173" s="72" t="s">
        <v>30</v>
      </c>
      <c r="M173" s="72" t="s">
        <v>30</v>
      </c>
      <c r="N173" s="72" t="s">
        <v>30</v>
      </c>
      <c r="O173" s="73" t="s">
        <v>30</v>
      </c>
      <c r="P173" s="72" t="s">
        <v>30</v>
      </c>
      <c r="Q173" s="72" t="s">
        <v>30</v>
      </c>
      <c r="R173" s="72" t="s">
        <v>30</v>
      </c>
      <c r="S173" s="72" t="s">
        <v>30</v>
      </c>
      <c r="T173" s="72" t="s">
        <v>30</v>
      </c>
      <c r="W173" s="31"/>
    </row>
    <row r="174">
      <c r="B174" s="72" t="s">
        <v>30</v>
      </c>
      <c r="C174" s="72" t="s">
        <v>30</v>
      </c>
      <c r="D174" s="72" t="s">
        <v>30</v>
      </c>
      <c r="E174" s="72" t="s">
        <v>30</v>
      </c>
      <c r="F174" s="72" t="s">
        <v>30</v>
      </c>
      <c r="G174" s="72" t="s">
        <v>30</v>
      </c>
      <c r="H174" s="72" t="s">
        <v>30</v>
      </c>
      <c r="I174" s="73" t="s">
        <v>30</v>
      </c>
      <c r="J174" s="72" t="s">
        <v>30</v>
      </c>
      <c r="K174" s="72" t="s">
        <v>30</v>
      </c>
      <c r="L174" s="72" t="s">
        <v>30</v>
      </c>
      <c r="M174" s="72" t="s">
        <v>30</v>
      </c>
      <c r="N174" s="72" t="s">
        <v>30</v>
      </c>
      <c r="O174" s="73" t="s">
        <v>30</v>
      </c>
      <c r="P174" s="72" t="s">
        <v>30</v>
      </c>
      <c r="Q174" s="72" t="s">
        <v>30</v>
      </c>
      <c r="R174" s="72" t="s">
        <v>30</v>
      </c>
      <c r="S174" s="72" t="s">
        <v>30</v>
      </c>
      <c r="T174" s="72" t="s">
        <v>30</v>
      </c>
      <c r="W174" s="31"/>
    </row>
    <row r="175">
      <c r="B175" s="72" t="s">
        <v>30</v>
      </c>
      <c r="C175" s="72" t="s">
        <v>30</v>
      </c>
      <c r="D175" s="72" t="s">
        <v>30</v>
      </c>
      <c r="E175" s="72" t="s">
        <v>30</v>
      </c>
      <c r="F175" s="72" t="s">
        <v>30</v>
      </c>
      <c r="G175" s="72" t="s">
        <v>30</v>
      </c>
      <c r="H175" s="72" t="s">
        <v>30</v>
      </c>
      <c r="I175" s="73" t="s">
        <v>30</v>
      </c>
      <c r="J175" s="72" t="s">
        <v>30</v>
      </c>
      <c r="K175" s="72" t="s">
        <v>30</v>
      </c>
      <c r="L175" s="72" t="s">
        <v>30</v>
      </c>
      <c r="M175" s="72" t="s">
        <v>30</v>
      </c>
      <c r="N175" s="72" t="s">
        <v>30</v>
      </c>
      <c r="O175" s="73" t="s">
        <v>30</v>
      </c>
      <c r="P175" s="72" t="s">
        <v>30</v>
      </c>
      <c r="Q175" s="72" t="s">
        <v>30</v>
      </c>
      <c r="R175" s="72" t="s">
        <v>30</v>
      </c>
      <c r="S175" s="72" t="s">
        <v>30</v>
      </c>
      <c r="T175" s="72" t="s">
        <v>30</v>
      </c>
      <c r="W175" s="31"/>
    </row>
    <row r="176">
      <c r="B176" s="72" t="s">
        <v>30</v>
      </c>
      <c r="C176" s="72" t="s">
        <v>30</v>
      </c>
      <c r="D176" s="72" t="s">
        <v>30</v>
      </c>
      <c r="E176" s="72" t="s">
        <v>30</v>
      </c>
      <c r="F176" s="72" t="s">
        <v>30</v>
      </c>
      <c r="G176" s="72" t="s">
        <v>30</v>
      </c>
      <c r="H176" s="72" t="s">
        <v>30</v>
      </c>
      <c r="I176" s="73" t="s">
        <v>30</v>
      </c>
      <c r="J176" s="72" t="s">
        <v>30</v>
      </c>
      <c r="K176" s="72" t="s">
        <v>30</v>
      </c>
      <c r="L176" s="72" t="s">
        <v>30</v>
      </c>
      <c r="M176" s="72" t="s">
        <v>30</v>
      </c>
      <c r="N176" s="72" t="s">
        <v>30</v>
      </c>
      <c r="O176" s="73" t="s">
        <v>30</v>
      </c>
      <c r="P176" s="72" t="s">
        <v>30</v>
      </c>
      <c r="Q176" s="72" t="s">
        <v>30</v>
      </c>
      <c r="R176" s="72" t="s">
        <v>30</v>
      </c>
      <c r="S176" s="72" t="s">
        <v>30</v>
      </c>
      <c r="T176" s="72" t="s">
        <v>30</v>
      </c>
      <c r="W176" s="31"/>
    </row>
    <row r="177">
      <c r="B177" s="72" t="s">
        <v>30</v>
      </c>
      <c r="C177" s="72" t="s">
        <v>30</v>
      </c>
      <c r="D177" s="72" t="s">
        <v>30</v>
      </c>
      <c r="E177" s="72" t="s">
        <v>30</v>
      </c>
      <c r="F177" s="72" t="s">
        <v>30</v>
      </c>
      <c r="G177" s="72" t="s">
        <v>30</v>
      </c>
      <c r="H177" s="72" t="s">
        <v>30</v>
      </c>
      <c r="I177" s="73" t="s">
        <v>30</v>
      </c>
      <c r="J177" s="72" t="s">
        <v>30</v>
      </c>
      <c r="K177" s="72" t="s">
        <v>30</v>
      </c>
      <c r="L177" s="72" t="s">
        <v>30</v>
      </c>
      <c r="M177" s="72" t="s">
        <v>30</v>
      </c>
      <c r="N177" s="72" t="s">
        <v>30</v>
      </c>
      <c r="O177" s="73" t="s">
        <v>30</v>
      </c>
      <c r="P177" s="72" t="s">
        <v>30</v>
      </c>
      <c r="Q177" s="72" t="s">
        <v>30</v>
      </c>
      <c r="R177" s="72" t="s">
        <v>30</v>
      </c>
      <c r="S177" s="72" t="s">
        <v>30</v>
      </c>
      <c r="T177" s="72" t="s">
        <v>30</v>
      </c>
      <c r="W177" s="31"/>
    </row>
    <row r="178">
      <c r="B178" s="72" t="s">
        <v>30</v>
      </c>
      <c r="C178" s="72" t="s">
        <v>30</v>
      </c>
      <c r="D178" s="72" t="s">
        <v>30</v>
      </c>
      <c r="E178" s="72" t="s">
        <v>30</v>
      </c>
      <c r="F178" s="72" t="s">
        <v>30</v>
      </c>
      <c r="G178" s="72" t="s">
        <v>30</v>
      </c>
      <c r="H178" s="72" t="s">
        <v>30</v>
      </c>
      <c r="I178" s="73" t="s">
        <v>30</v>
      </c>
      <c r="J178" s="72" t="s">
        <v>30</v>
      </c>
      <c r="K178" s="72" t="s">
        <v>30</v>
      </c>
      <c r="L178" s="72" t="s">
        <v>30</v>
      </c>
      <c r="M178" s="72" t="s">
        <v>30</v>
      </c>
      <c r="N178" s="72" t="s">
        <v>30</v>
      </c>
      <c r="O178" s="73" t="s">
        <v>30</v>
      </c>
      <c r="P178" s="72" t="s">
        <v>30</v>
      </c>
      <c r="Q178" s="72" t="s">
        <v>30</v>
      </c>
      <c r="R178" s="72" t="s">
        <v>30</v>
      </c>
      <c r="S178" s="72" t="s">
        <v>30</v>
      </c>
      <c r="T178" s="72" t="s">
        <v>30</v>
      </c>
      <c r="W178" s="31"/>
    </row>
    <row r="179">
      <c r="B179" s="72" t="s">
        <v>30</v>
      </c>
      <c r="C179" s="72" t="s">
        <v>30</v>
      </c>
      <c r="D179" s="72" t="s">
        <v>30</v>
      </c>
      <c r="E179" s="72" t="s">
        <v>30</v>
      </c>
      <c r="F179" s="72" t="s">
        <v>30</v>
      </c>
      <c r="G179" s="72" t="s">
        <v>30</v>
      </c>
      <c r="H179" s="72" t="s">
        <v>30</v>
      </c>
      <c r="I179" s="73" t="s">
        <v>30</v>
      </c>
      <c r="J179" s="72" t="s">
        <v>30</v>
      </c>
      <c r="K179" s="72" t="s">
        <v>30</v>
      </c>
      <c r="L179" s="72" t="s">
        <v>30</v>
      </c>
      <c r="M179" s="72" t="s">
        <v>30</v>
      </c>
      <c r="N179" s="72" t="s">
        <v>30</v>
      </c>
      <c r="O179" s="73" t="s">
        <v>30</v>
      </c>
      <c r="P179" s="72" t="s">
        <v>30</v>
      </c>
      <c r="Q179" s="72" t="s">
        <v>30</v>
      </c>
      <c r="R179" s="72" t="s">
        <v>30</v>
      </c>
      <c r="S179" s="72" t="s">
        <v>30</v>
      </c>
      <c r="T179" s="72" t="s">
        <v>30</v>
      </c>
      <c r="W179" s="31"/>
    </row>
    <row r="180">
      <c r="B180" s="72" t="s">
        <v>30</v>
      </c>
      <c r="C180" s="72" t="s">
        <v>30</v>
      </c>
      <c r="D180" s="72" t="s">
        <v>30</v>
      </c>
      <c r="E180" s="72" t="s">
        <v>30</v>
      </c>
      <c r="F180" s="72" t="s">
        <v>30</v>
      </c>
      <c r="G180" s="72" t="s">
        <v>30</v>
      </c>
      <c r="H180" s="72" t="s">
        <v>30</v>
      </c>
      <c r="I180" s="73" t="s">
        <v>30</v>
      </c>
      <c r="J180" s="72" t="s">
        <v>30</v>
      </c>
      <c r="K180" s="72" t="s">
        <v>30</v>
      </c>
      <c r="L180" s="72" t="s">
        <v>30</v>
      </c>
      <c r="M180" s="72" t="s">
        <v>30</v>
      </c>
      <c r="N180" s="72" t="s">
        <v>30</v>
      </c>
      <c r="O180" s="73" t="s">
        <v>30</v>
      </c>
      <c r="P180" s="72" t="s">
        <v>30</v>
      </c>
      <c r="Q180" s="72" t="s">
        <v>30</v>
      </c>
      <c r="R180" s="72" t="s">
        <v>30</v>
      </c>
      <c r="S180" s="72" t="s">
        <v>30</v>
      </c>
      <c r="T180" s="72" t="s">
        <v>30</v>
      </c>
      <c r="W180" s="31"/>
    </row>
    <row r="181">
      <c r="B181" s="72" t="s">
        <v>30</v>
      </c>
      <c r="C181" s="72" t="s">
        <v>30</v>
      </c>
      <c r="D181" s="72" t="s">
        <v>30</v>
      </c>
      <c r="E181" s="72" t="s">
        <v>30</v>
      </c>
      <c r="F181" s="72" t="s">
        <v>30</v>
      </c>
      <c r="G181" s="72" t="s">
        <v>30</v>
      </c>
      <c r="H181" s="72" t="s">
        <v>30</v>
      </c>
      <c r="I181" s="73" t="s">
        <v>30</v>
      </c>
      <c r="J181" s="72" t="s">
        <v>30</v>
      </c>
      <c r="K181" s="72" t="s">
        <v>30</v>
      </c>
      <c r="L181" s="72" t="s">
        <v>30</v>
      </c>
      <c r="M181" s="72" t="s">
        <v>30</v>
      </c>
      <c r="N181" s="72" t="s">
        <v>30</v>
      </c>
      <c r="O181" s="73" t="s">
        <v>30</v>
      </c>
      <c r="P181" s="72" t="s">
        <v>30</v>
      </c>
      <c r="Q181" s="72" t="s">
        <v>30</v>
      </c>
      <c r="R181" s="72" t="s">
        <v>30</v>
      </c>
      <c r="S181" s="72" t="s">
        <v>30</v>
      </c>
      <c r="T181" s="72" t="s">
        <v>30</v>
      </c>
      <c r="W181" s="31"/>
    </row>
    <row r="182">
      <c r="B182" s="72" t="s">
        <v>30</v>
      </c>
      <c r="C182" s="72" t="s">
        <v>30</v>
      </c>
      <c r="D182" s="72" t="s">
        <v>30</v>
      </c>
      <c r="E182" s="72" t="s">
        <v>30</v>
      </c>
      <c r="F182" s="72" t="s">
        <v>30</v>
      </c>
      <c r="G182" s="72" t="s">
        <v>30</v>
      </c>
      <c r="H182" s="72" t="s">
        <v>30</v>
      </c>
      <c r="I182" s="73" t="s">
        <v>30</v>
      </c>
      <c r="J182" s="72" t="s">
        <v>30</v>
      </c>
      <c r="K182" s="72" t="s">
        <v>30</v>
      </c>
      <c r="L182" s="72" t="s">
        <v>30</v>
      </c>
      <c r="M182" s="72" t="s">
        <v>30</v>
      </c>
      <c r="N182" s="72" t="s">
        <v>30</v>
      </c>
      <c r="O182" s="73" t="s">
        <v>30</v>
      </c>
      <c r="P182" s="72" t="s">
        <v>30</v>
      </c>
      <c r="Q182" s="72" t="s">
        <v>30</v>
      </c>
      <c r="R182" s="72" t="s">
        <v>30</v>
      </c>
      <c r="S182" s="72" t="s">
        <v>30</v>
      </c>
      <c r="T182" s="72" t="s">
        <v>30</v>
      </c>
      <c r="W182" s="31"/>
    </row>
    <row r="183">
      <c r="B183" s="72" t="s">
        <v>30</v>
      </c>
      <c r="C183" s="72" t="s">
        <v>30</v>
      </c>
      <c r="D183" s="72" t="s">
        <v>30</v>
      </c>
      <c r="E183" s="72" t="s">
        <v>30</v>
      </c>
      <c r="F183" s="72" t="s">
        <v>30</v>
      </c>
      <c r="G183" s="72" t="s">
        <v>30</v>
      </c>
      <c r="H183" s="72" t="s">
        <v>30</v>
      </c>
      <c r="I183" s="73" t="s">
        <v>30</v>
      </c>
      <c r="J183" s="72" t="s">
        <v>30</v>
      </c>
      <c r="K183" s="72" t="s">
        <v>30</v>
      </c>
      <c r="L183" s="72" t="s">
        <v>30</v>
      </c>
      <c r="M183" s="72" t="s">
        <v>30</v>
      </c>
      <c r="N183" s="72" t="s">
        <v>30</v>
      </c>
      <c r="O183" s="73" t="s">
        <v>30</v>
      </c>
      <c r="P183" s="72" t="s">
        <v>30</v>
      </c>
      <c r="Q183" s="72" t="s">
        <v>30</v>
      </c>
      <c r="R183" s="72" t="s">
        <v>30</v>
      </c>
      <c r="S183" s="72" t="s">
        <v>30</v>
      </c>
      <c r="T183" s="72" t="s">
        <v>30</v>
      </c>
      <c r="W183" s="31"/>
    </row>
    <row r="184">
      <c r="B184" s="72" t="s">
        <v>30</v>
      </c>
      <c r="C184" s="72" t="s">
        <v>30</v>
      </c>
      <c r="D184" s="72" t="s">
        <v>30</v>
      </c>
      <c r="E184" s="72" t="s">
        <v>30</v>
      </c>
      <c r="F184" s="72" t="s">
        <v>30</v>
      </c>
      <c r="G184" s="72" t="s">
        <v>30</v>
      </c>
      <c r="H184" s="72" t="s">
        <v>30</v>
      </c>
      <c r="I184" s="73" t="s">
        <v>30</v>
      </c>
      <c r="J184" s="72" t="s">
        <v>30</v>
      </c>
      <c r="K184" s="72" t="s">
        <v>30</v>
      </c>
      <c r="L184" s="72" t="s">
        <v>30</v>
      </c>
      <c r="M184" s="72" t="s">
        <v>30</v>
      </c>
      <c r="N184" s="72" t="s">
        <v>30</v>
      </c>
      <c r="O184" s="73" t="s">
        <v>30</v>
      </c>
      <c r="P184" s="72" t="s">
        <v>30</v>
      </c>
      <c r="Q184" s="72" t="s">
        <v>30</v>
      </c>
      <c r="R184" s="72" t="s">
        <v>30</v>
      </c>
      <c r="S184" s="72" t="s">
        <v>30</v>
      </c>
      <c r="T184" s="72" t="s">
        <v>30</v>
      </c>
      <c r="W184" s="31"/>
    </row>
    <row r="185">
      <c r="B185" s="72" t="s">
        <v>30</v>
      </c>
      <c r="C185" s="72" t="s">
        <v>30</v>
      </c>
      <c r="D185" s="72" t="s">
        <v>30</v>
      </c>
      <c r="E185" s="72" t="s">
        <v>30</v>
      </c>
      <c r="F185" s="72" t="s">
        <v>30</v>
      </c>
      <c r="G185" s="72" t="s">
        <v>30</v>
      </c>
      <c r="H185" s="72" t="s">
        <v>30</v>
      </c>
      <c r="I185" s="73" t="s">
        <v>30</v>
      </c>
      <c r="J185" s="72" t="s">
        <v>30</v>
      </c>
      <c r="K185" s="72" t="s">
        <v>30</v>
      </c>
      <c r="L185" s="72" t="s">
        <v>30</v>
      </c>
      <c r="M185" s="72" t="s">
        <v>30</v>
      </c>
      <c r="N185" s="72" t="s">
        <v>30</v>
      </c>
      <c r="O185" s="73" t="s">
        <v>30</v>
      </c>
      <c r="P185" s="72" t="s">
        <v>30</v>
      </c>
      <c r="Q185" s="72" t="s">
        <v>30</v>
      </c>
      <c r="R185" s="72" t="s">
        <v>30</v>
      </c>
      <c r="S185" s="72" t="s">
        <v>30</v>
      </c>
      <c r="T185" s="72" t="s">
        <v>30</v>
      </c>
      <c r="W185" s="31"/>
    </row>
    <row r="186">
      <c r="B186" s="72" t="s">
        <v>30</v>
      </c>
      <c r="C186" s="72" t="s">
        <v>30</v>
      </c>
      <c r="D186" s="72" t="s">
        <v>30</v>
      </c>
      <c r="E186" s="72" t="s">
        <v>30</v>
      </c>
      <c r="F186" s="72" t="s">
        <v>30</v>
      </c>
      <c r="G186" s="72" t="s">
        <v>30</v>
      </c>
      <c r="H186" s="72" t="s">
        <v>30</v>
      </c>
      <c r="I186" s="73" t="s">
        <v>30</v>
      </c>
      <c r="J186" s="72" t="s">
        <v>30</v>
      </c>
      <c r="K186" s="72" t="s">
        <v>30</v>
      </c>
      <c r="L186" s="72" t="s">
        <v>30</v>
      </c>
      <c r="M186" s="72" t="s">
        <v>30</v>
      </c>
      <c r="N186" s="72" t="s">
        <v>30</v>
      </c>
      <c r="O186" s="73" t="s">
        <v>30</v>
      </c>
      <c r="P186" s="72" t="s">
        <v>30</v>
      </c>
      <c r="Q186" s="72" t="s">
        <v>30</v>
      </c>
      <c r="R186" s="72" t="s">
        <v>30</v>
      </c>
      <c r="S186" s="72" t="s">
        <v>30</v>
      </c>
      <c r="T186" s="72" t="s">
        <v>30</v>
      </c>
      <c r="W186" s="31"/>
    </row>
    <row r="187">
      <c r="B187" s="72" t="s">
        <v>30</v>
      </c>
      <c r="C187" s="72" t="s">
        <v>30</v>
      </c>
      <c r="D187" s="72" t="s">
        <v>30</v>
      </c>
      <c r="E187" s="72" t="s">
        <v>30</v>
      </c>
      <c r="F187" s="72" t="s">
        <v>30</v>
      </c>
      <c r="G187" s="72" t="s">
        <v>30</v>
      </c>
      <c r="H187" s="72" t="s">
        <v>30</v>
      </c>
      <c r="I187" s="73" t="s">
        <v>30</v>
      </c>
      <c r="J187" s="72" t="s">
        <v>30</v>
      </c>
      <c r="K187" s="72" t="s">
        <v>30</v>
      </c>
      <c r="L187" s="72" t="s">
        <v>30</v>
      </c>
      <c r="M187" s="72" t="s">
        <v>30</v>
      </c>
      <c r="N187" s="72" t="s">
        <v>30</v>
      </c>
      <c r="O187" s="73" t="s">
        <v>30</v>
      </c>
      <c r="P187" s="72" t="s">
        <v>30</v>
      </c>
      <c r="Q187" s="72" t="s">
        <v>30</v>
      </c>
      <c r="R187" s="72" t="s">
        <v>30</v>
      </c>
      <c r="S187" s="72" t="s">
        <v>30</v>
      </c>
      <c r="T187" s="72" t="s">
        <v>30</v>
      </c>
      <c r="W187" s="31"/>
    </row>
    <row r="188">
      <c r="B188" s="72" t="s">
        <v>30</v>
      </c>
      <c r="C188" s="72" t="s">
        <v>30</v>
      </c>
      <c r="D188" s="72" t="s">
        <v>30</v>
      </c>
      <c r="E188" s="72" t="s">
        <v>30</v>
      </c>
      <c r="F188" s="72" t="s">
        <v>30</v>
      </c>
      <c r="G188" s="72" t="s">
        <v>30</v>
      </c>
      <c r="H188" s="72" t="s">
        <v>30</v>
      </c>
      <c r="I188" s="73" t="s">
        <v>30</v>
      </c>
      <c r="J188" s="72" t="s">
        <v>30</v>
      </c>
      <c r="K188" s="72" t="s">
        <v>30</v>
      </c>
      <c r="L188" s="72" t="s">
        <v>30</v>
      </c>
      <c r="M188" s="72" t="s">
        <v>30</v>
      </c>
      <c r="N188" s="72" t="s">
        <v>30</v>
      </c>
      <c r="O188" s="73" t="s">
        <v>30</v>
      </c>
      <c r="P188" s="72" t="s">
        <v>30</v>
      </c>
      <c r="Q188" s="72" t="s">
        <v>30</v>
      </c>
      <c r="R188" s="72" t="s">
        <v>30</v>
      </c>
      <c r="S188" s="72" t="s">
        <v>30</v>
      </c>
      <c r="T188" s="72" t="s">
        <v>30</v>
      </c>
      <c r="W188" s="31"/>
    </row>
    <row r="189">
      <c r="B189" s="72" t="s">
        <v>30</v>
      </c>
      <c r="C189" s="72" t="s">
        <v>30</v>
      </c>
      <c r="D189" s="72" t="s">
        <v>30</v>
      </c>
      <c r="E189" s="72" t="s">
        <v>30</v>
      </c>
      <c r="F189" s="72" t="s">
        <v>30</v>
      </c>
      <c r="G189" s="72" t="s">
        <v>30</v>
      </c>
      <c r="H189" s="72" t="s">
        <v>30</v>
      </c>
      <c r="I189" s="73" t="s">
        <v>30</v>
      </c>
      <c r="J189" s="72" t="s">
        <v>30</v>
      </c>
      <c r="K189" s="72" t="s">
        <v>30</v>
      </c>
      <c r="L189" s="72" t="s">
        <v>30</v>
      </c>
      <c r="M189" s="72" t="s">
        <v>30</v>
      </c>
      <c r="N189" s="72" t="s">
        <v>30</v>
      </c>
      <c r="O189" s="73" t="s">
        <v>30</v>
      </c>
      <c r="P189" s="72" t="s">
        <v>30</v>
      </c>
      <c r="Q189" s="72" t="s">
        <v>30</v>
      </c>
      <c r="R189" s="72" t="s">
        <v>30</v>
      </c>
      <c r="S189" s="72" t="s">
        <v>30</v>
      </c>
      <c r="T189" s="72" t="s">
        <v>30</v>
      </c>
      <c r="W189" s="31"/>
    </row>
    <row r="190">
      <c r="B190" s="72" t="s">
        <v>30</v>
      </c>
      <c r="C190" s="72" t="s">
        <v>30</v>
      </c>
      <c r="D190" s="72" t="s">
        <v>30</v>
      </c>
      <c r="E190" s="72" t="s">
        <v>30</v>
      </c>
      <c r="F190" s="72" t="s">
        <v>30</v>
      </c>
      <c r="G190" s="72" t="s">
        <v>30</v>
      </c>
      <c r="H190" s="72" t="s">
        <v>30</v>
      </c>
      <c r="I190" s="73" t="s">
        <v>30</v>
      </c>
      <c r="J190" s="72" t="s">
        <v>30</v>
      </c>
      <c r="K190" s="72" t="s">
        <v>30</v>
      </c>
      <c r="L190" s="72" t="s">
        <v>30</v>
      </c>
      <c r="M190" s="72" t="s">
        <v>30</v>
      </c>
      <c r="N190" s="72" t="s">
        <v>30</v>
      </c>
      <c r="O190" s="73" t="s">
        <v>30</v>
      </c>
      <c r="P190" s="72" t="s">
        <v>30</v>
      </c>
      <c r="Q190" s="72" t="s">
        <v>30</v>
      </c>
      <c r="R190" s="72" t="s">
        <v>30</v>
      </c>
      <c r="S190" s="72" t="s">
        <v>30</v>
      </c>
      <c r="T190" s="72" t="s">
        <v>30</v>
      </c>
      <c r="W190" s="31"/>
    </row>
    <row r="191">
      <c r="B191" s="72" t="s">
        <v>30</v>
      </c>
      <c r="C191" s="72" t="s">
        <v>30</v>
      </c>
      <c r="D191" s="72" t="s">
        <v>30</v>
      </c>
      <c r="E191" s="72" t="s">
        <v>30</v>
      </c>
      <c r="F191" s="72" t="s">
        <v>30</v>
      </c>
      <c r="G191" s="72" t="s">
        <v>30</v>
      </c>
      <c r="H191" s="72" t="s">
        <v>30</v>
      </c>
      <c r="I191" s="73" t="s">
        <v>30</v>
      </c>
      <c r="J191" s="72" t="s">
        <v>30</v>
      </c>
      <c r="K191" s="72" t="s">
        <v>30</v>
      </c>
      <c r="L191" s="72" t="s">
        <v>30</v>
      </c>
      <c r="M191" s="72" t="s">
        <v>30</v>
      </c>
      <c r="N191" s="72" t="s">
        <v>30</v>
      </c>
      <c r="O191" s="73" t="s">
        <v>30</v>
      </c>
      <c r="P191" s="72" t="s">
        <v>30</v>
      </c>
      <c r="Q191" s="72" t="s">
        <v>30</v>
      </c>
      <c r="R191" s="72" t="s">
        <v>30</v>
      </c>
      <c r="S191" s="72" t="s">
        <v>30</v>
      </c>
      <c r="T191" s="72" t="s">
        <v>30</v>
      </c>
      <c r="W191" s="31"/>
    </row>
    <row r="192">
      <c r="B192" s="72" t="s">
        <v>30</v>
      </c>
      <c r="C192" s="72" t="s">
        <v>30</v>
      </c>
      <c r="D192" s="72" t="s">
        <v>30</v>
      </c>
      <c r="E192" s="72" t="s">
        <v>30</v>
      </c>
      <c r="F192" s="72" t="s">
        <v>30</v>
      </c>
      <c r="G192" s="72" t="s">
        <v>30</v>
      </c>
      <c r="H192" s="72" t="s">
        <v>30</v>
      </c>
      <c r="I192" s="73" t="s">
        <v>30</v>
      </c>
      <c r="J192" s="72" t="s">
        <v>30</v>
      </c>
      <c r="K192" s="72" t="s">
        <v>30</v>
      </c>
      <c r="L192" s="72" t="s">
        <v>30</v>
      </c>
      <c r="M192" s="72" t="s">
        <v>30</v>
      </c>
      <c r="N192" s="72" t="s">
        <v>30</v>
      </c>
      <c r="O192" s="73" t="s">
        <v>30</v>
      </c>
      <c r="P192" s="72" t="s">
        <v>30</v>
      </c>
      <c r="Q192" s="72" t="s">
        <v>30</v>
      </c>
      <c r="R192" s="72" t="s">
        <v>30</v>
      </c>
      <c r="S192" s="72" t="s">
        <v>30</v>
      </c>
      <c r="T192" s="72" t="s">
        <v>30</v>
      </c>
      <c r="W192" s="31"/>
    </row>
    <row r="193">
      <c r="B193" s="72" t="s">
        <v>30</v>
      </c>
      <c r="C193" s="72" t="s">
        <v>30</v>
      </c>
      <c r="D193" s="72" t="s">
        <v>30</v>
      </c>
      <c r="E193" s="72" t="s">
        <v>30</v>
      </c>
      <c r="F193" s="72" t="s">
        <v>30</v>
      </c>
      <c r="G193" s="72" t="s">
        <v>30</v>
      </c>
      <c r="H193" s="72" t="s">
        <v>30</v>
      </c>
      <c r="I193" s="73" t="s">
        <v>30</v>
      </c>
      <c r="J193" s="72" t="s">
        <v>30</v>
      </c>
      <c r="K193" s="72" t="s">
        <v>30</v>
      </c>
      <c r="L193" s="72" t="s">
        <v>30</v>
      </c>
      <c r="M193" s="72" t="s">
        <v>30</v>
      </c>
      <c r="N193" s="72" t="s">
        <v>30</v>
      </c>
      <c r="O193" s="73" t="s">
        <v>30</v>
      </c>
      <c r="P193" s="72" t="s">
        <v>30</v>
      </c>
      <c r="Q193" s="72" t="s">
        <v>30</v>
      </c>
      <c r="R193" s="72" t="s">
        <v>30</v>
      </c>
      <c r="S193" s="72" t="s">
        <v>30</v>
      </c>
      <c r="T193" s="72" t="s">
        <v>30</v>
      </c>
      <c r="W193" s="31"/>
    </row>
    <row r="194">
      <c r="B194" s="72" t="s">
        <v>30</v>
      </c>
      <c r="C194" s="72" t="s">
        <v>30</v>
      </c>
      <c r="D194" s="72" t="s">
        <v>30</v>
      </c>
      <c r="E194" s="72" t="s">
        <v>30</v>
      </c>
      <c r="F194" s="72" t="s">
        <v>30</v>
      </c>
      <c r="G194" s="72" t="s">
        <v>30</v>
      </c>
      <c r="H194" s="72" t="s">
        <v>30</v>
      </c>
      <c r="I194" s="73" t="s">
        <v>30</v>
      </c>
      <c r="J194" s="72" t="s">
        <v>30</v>
      </c>
      <c r="K194" s="72" t="s">
        <v>30</v>
      </c>
      <c r="L194" s="72" t="s">
        <v>30</v>
      </c>
      <c r="M194" s="72" t="s">
        <v>30</v>
      </c>
      <c r="N194" s="72" t="s">
        <v>30</v>
      </c>
      <c r="O194" s="73" t="s">
        <v>30</v>
      </c>
      <c r="P194" s="72" t="s">
        <v>30</v>
      </c>
      <c r="Q194" s="72" t="s">
        <v>30</v>
      </c>
      <c r="R194" s="72" t="s">
        <v>30</v>
      </c>
      <c r="S194" s="72" t="s">
        <v>30</v>
      </c>
      <c r="T194" s="72" t="s">
        <v>30</v>
      </c>
      <c r="W194" s="31"/>
    </row>
    <row r="195">
      <c r="B195" s="72" t="s">
        <v>30</v>
      </c>
      <c r="C195" s="72" t="s">
        <v>30</v>
      </c>
      <c r="D195" s="72" t="s">
        <v>30</v>
      </c>
      <c r="E195" s="72" t="s">
        <v>30</v>
      </c>
      <c r="F195" s="72" t="s">
        <v>30</v>
      </c>
      <c r="G195" s="72" t="s">
        <v>30</v>
      </c>
      <c r="H195" s="72" t="s">
        <v>30</v>
      </c>
      <c r="I195" s="73" t="s">
        <v>30</v>
      </c>
      <c r="J195" s="72" t="s">
        <v>30</v>
      </c>
      <c r="K195" s="72" t="s">
        <v>30</v>
      </c>
      <c r="L195" s="72" t="s">
        <v>30</v>
      </c>
      <c r="M195" s="72" t="s">
        <v>30</v>
      </c>
      <c r="N195" s="72" t="s">
        <v>30</v>
      </c>
      <c r="O195" s="73" t="s">
        <v>30</v>
      </c>
      <c r="P195" s="72" t="s">
        <v>30</v>
      </c>
      <c r="Q195" s="72" t="s">
        <v>30</v>
      </c>
      <c r="R195" s="72" t="s">
        <v>30</v>
      </c>
      <c r="S195" s="72" t="s">
        <v>30</v>
      </c>
      <c r="T195" s="72" t="s">
        <v>30</v>
      </c>
      <c r="W195" s="31"/>
    </row>
    <row r="196">
      <c r="B196" s="72" t="s">
        <v>30</v>
      </c>
      <c r="C196" s="72" t="s">
        <v>30</v>
      </c>
      <c r="D196" s="72" t="s">
        <v>30</v>
      </c>
      <c r="E196" s="72" t="s">
        <v>30</v>
      </c>
      <c r="F196" s="72" t="s">
        <v>30</v>
      </c>
      <c r="G196" s="72" t="s">
        <v>30</v>
      </c>
      <c r="H196" s="72" t="s">
        <v>30</v>
      </c>
      <c r="I196" s="73" t="s">
        <v>30</v>
      </c>
      <c r="J196" s="72" t="s">
        <v>30</v>
      </c>
      <c r="K196" s="72" t="s">
        <v>30</v>
      </c>
      <c r="L196" s="72" t="s">
        <v>30</v>
      </c>
      <c r="M196" s="72" t="s">
        <v>30</v>
      </c>
      <c r="N196" s="72" t="s">
        <v>30</v>
      </c>
      <c r="O196" s="73" t="s">
        <v>30</v>
      </c>
      <c r="P196" s="72" t="s">
        <v>30</v>
      </c>
      <c r="Q196" s="72" t="s">
        <v>30</v>
      </c>
      <c r="R196" s="72" t="s">
        <v>30</v>
      </c>
      <c r="S196" s="72" t="s">
        <v>30</v>
      </c>
      <c r="T196" s="72" t="s">
        <v>30</v>
      </c>
      <c r="W196" s="31"/>
    </row>
    <row r="197">
      <c r="B197" s="72" t="s">
        <v>30</v>
      </c>
      <c r="C197" s="72" t="s">
        <v>30</v>
      </c>
      <c r="D197" s="72" t="s">
        <v>30</v>
      </c>
      <c r="E197" s="72" t="s">
        <v>30</v>
      </c>
      <c r="F197" s="72" t="s">
        <v>30</v>
      </c>
      <c r="G197" s="72" t="s">
        <v>30</v>
      </c>
      <c r="H197" s="72" t="s">
        <v>30</v>
      </c>
      <c r="I197" s="73" t="s">
        <v>30</v>
      </c>
      <c r="J197" s="72" t="s">
        <v>30</v>
      </c>
      <c r="K197" s="72" t="s">
        <v>30</v>
      </c>
      <c r="L197" s="72" t="s">
        <v>30</v>
      </c>
      <c r="M197" s="72" t="s">
        <v>30</v>
      </c>
      <c r="N197" s="72" t="s">
        <v>30</v>
      </c>
      <c r="O197" s="73" t="s">
        <v>30</v>
      </c>
      <c r="P197" s="72" t="s">
        <v>30</v>
      </c>
      <c r="Q197" s="72" t="s">
        <v>30</v>
      </c>
      <c r="R197" s="72" t="s">
        <v>30</v>
      </c>
      <c r="S197" s="72" t="s">
        <v>30</v>
      </c>
      <c r="T197" s="72" t="s">
        <v>30</v>
      </c>
      <c r="W197" s="31"/>
    </row>
    <row r="198">
      <c r="B198" s="72" t="s">
        <v>30</v>
      </c>
      <c r="C198" s="72" t="s">
        <v>30</v>
      </c>
      <c r="D198" s="72" t="s">
        <v>30</v>
      </c>
      <c r="E198" s="72" t="s">
        <v>30</v>
      </c>
      <c r="F198" s="72" t="s">
        <v>30</v>
      </c>
      <c r="G198" s="72" t="s">
        <v>30</v>
      </c>
      <c r="H198" s="72" t="s">
        <v>30</v>
      </c>
      <c r="I198" s="73" t="s">
        <v>30</v>
      </c>
      <c r="J198" s="72" t="s">
        <v>30</v>
      </c>
      <c r="K198" s="72" t="s">
        <v>30</v>
      </c>
      <c r="L198" s="72" t="s">
        <v>30</v>
      </c>
      <c r="M198" s="72" t="s">
        <v>30</v>
      </c>
      <c r="N198" s="72" t="s">
        <v>30</v>
      </c>
      <c r="O198" s="73" t="s">
        <v>30</v>
      </c>
      <c r="P198" s="72" t="s">
        <v>30</v>
      </c>
      <c r="Q198" s="72" t="s">
        <v>30</v>
      </c>
      <c r="R198" s="72" t="s">
        <v>30</v>
      </c>
      <c r="S198" s="72" t="s">
        <v>30</v>
      </c>
      <c r="T198" s="72" t="s">
        <v>30</v>
      </c>
      <c r="W198" s="31"/>
    </row>
    <row r="199">
      <c r="B199" s="72" t="s">
        <v>30</v>
      </c>
      <c r="C199" s="72" t="s">
        <v>30</v>
      </c>
      <c r="D199" s="72" t="s">
        <v>30</v>
      </c>
      <c r="E199" s="72" t="s">
        <v>30</v>
      </c>
      <c r="F199" s="72" t="s">
        <v>30</v>
      </c>
      <c r="G199" s="72" t="s">
        <v>30</v>
      </c>
      <c r="H199" s="72" t="s">
        <v>30</v>
      </c>
      <c r="I199" s="73" t="s">
        <v>30</v>
      </c>
      <c r="J199" s="72" t="s">
        <v>30</v>
      </c>
      <c r="K199" s="72" t="s">
        <v>30</v>
      </c>
      <c r="L199" s="72" t="s">
        <v>30</v>
      </c>
      <c r="M199" s="72" t="s">
        <v>30</v>
      </c>
      <c r="N199" s="72" t="s">
        <v>30</v>
      </c>
      <c r="O199" s="73" t="s">
        <v>30</v>
      </c>
      <c r="P199" s="72" t="s">
        <v>30</v>
      </c>
      <c r="Q199" s="72" t="s">
        <v>30</v>
      </c>
      <c r="R199" s="72" t="s">
        <v>30</v>
      </c>
      <c r="S199" s="72" t="s">
        <v>30</v>
      </c>
      <c r="T199" s="72" t="s">
        <v>30</v>
      </c>
      <c r="W199" s="31"/>
    </row>
    <row r="200">
      <c r="B200" s="72" t="s">
        <v>30</v>
      </c>
      <c r="C200" s="72" t="s">
        <v>30</v>
      </c>
      <c r="D200" s="72" t="s">
        <v>30</v>
      </c>
      <c r="E200" s="72" t="s">
        <v>30</v>
      </c>
      <c r="F200" s="72" t="s">
        <v>30</v>
      </c>
      <c r="G200" s="72" t="s">
        <v>30</v>
      </c>
      <c r="H200" s="72" t="s">
        <v>30</v>
      </c>
      <c r="I200" s="73" t="s">
        <v>30</v>
      </c>
      <c r="J200" s="72" t="s">
        <v>30</v>
      </c>
      <c r="K200" s="72" t="s">
        <v>30</v>
      </c>
      <c r="L200" s="72" t="s">
        <v>30</v>
      </c>
      <c r="M200" s="72" t="s">
        <v>30</v>
      </c>
      <c r="N200" s="72" t="s">
        <v>30</v>
      </c>
      <c r="O200" s="73" t="s">
        <v>30</v>
      </c>
      <c r="P200" s="72" t="s">
        <v>30</v>
      </c>
      <c r="Q200" s="72" t="s">
        <v>30</v>
      </c>
      <c r="R200" s="72" t="s">
        <v>30</v>
      </c>
      <c r="S200" s="72" t="s">
        <v>30</v>
      </c>
      <c r="T200" s="72" t="s">
        <v>30</v>
      </c>
      <c r="W200" s="31"/>
    </row>
    <row r="201">
      <c r="B201" s="72" t="s">
        <v>30</v>
      </c>
      <c r="C201" s="72" t="s">
        <v>30</v>
      </c>
      <c r="D201" s="72" t="s">
        <v>30</v>
      </c>
      <c r="E201" s="72" t="s">
        <v>30</v>
      </c>
      <c r="F201" s="72" t="s">
        <v>30</v>
      </c>
      <c r="G201" s="72" t="s">
        <v>30</v>
      </c>
      <c r="H201" s="72" t="s">
        <v>30</v>
      </c>
      <c r="I201" s="73" t="s">
        <v>30</v>
      </c>
      <c r="J201" s="72" t="s">
        <v>30</v>
      </c>
      <c r="K201" s="72" t="s">
        <v>30</v>
      </c>
      <c r="L201" s="72" t="s">
        <v>30</v>
      </c>
      <c r="M201" s="72" t="s">
        <v>30</v>
      </c>
      <c r="N201" s="72" t="s">
        <v>30</v>
      </c>
      <c r="O201" s="73" t="s">
        <v>30</v>
      </c>
      <c r="P201" s="72" t="s">
        <v>30</v>
      </c>
      <c r="Q201" s="72" t="s">
        <v>30</v>
      </c>
      <c r="R201" s="72" t="s">
        <v>30</v>
      </c>
      <c r="S201" s="72" t="s">
        <v>30</v>
      </c>
      <c r="T201" s="72" t="s">
        <v>30</v>
      </c>
      <c r="W201" s="31"/>
    </row>
    <row r="202">
      <c r="B202" s="72" t="s">
        <v>30</v>
      </c>
      <c r="C202" s="72" t="s">
        <v>30</v>
      </c>
      <c r="D202" s="72" t="s">
        <v>30</v>
      </c>
      <c r="E202" s="72" t="s">
        <v>30</v>
      </c>
      <c r="F202" s="72" t="s">
        <v>30</v>
      </c>
      <c r="G202" s="72" t="s">
        <v>30</v>
      </c>
      <c r="H202" s="72" t="s">
        <v>30</v>
      </c>
      <c r="I202" s="73" t="s">
        <v>30</v>
      </c>
      <c r="J202" s="72" t="s">
        <v>30</v>
      </c>
      <c r="K202" s="72" t="s">
        <v>30</v>
      </c>
      <c r="L202" s="72" t="s">
        <v>30</v>
      </c>
      <c r="M202" s="72" t="s">
        <v>30</v>
      </c>
      <c r="N202" s="72" t="s">
        <v>30</v>
      </c>
      <c r="O202" s="73" t="s">
        <v>30</v>
      </c>
      <c r="P202" s="72" t="s">
        <v>30</v>
      </c>
      <c r="Q202" s="72" t="s">
        <v>30</v>
      </c>
      <c r="R202" s="72" t="s">
        <v>30</v>
      </c>
      <c r="S202" s="72" t="s">
        <v>30</v>
      </c>
      <c r="T202" s="72" t="s">
        <v>30</v>
      </c>
      <c r="W202" s="31"/>
    </row>
    <row r="203">
      <c r="B203" s="72" t="s">
        <v>30</v>
      </c>
      <c r="C203" s="72" t="s">
        <v>30</v>
      </c>
      <c r="D203" s="72" t="s">
        <v>30</v>
      </c>
      <c r="E203" s="72" t="s">
        <v>30</v>
      </c>
      <c r="F203" s="72" t="s">
        <v>30</v>
      </c>
      <c r="G203" s="72" t="s">
        <v>30</v>
      </c>
      <c r="H203" s="72" t="s">
        <v>30</v>
      </c>
      <c r="I203" s="73" t="s">
        <v>30</v>
      </c>
      <c r="J203" s="72" t="s">
        <v>30</v>
      </c>
      <c r="K203" s="72" t="s">
        <v>30</v>
      </c>
      <c r="L203" s="72" t="s">
        <v>30</v>
      </c>
      <c r="M203" s="72" t="s">
        <v>30</v>
      </c>
      <c r="N203" s="72" t="s">
        <v>30</v>
      </c>
      <c r="O203" s="73" t="s">
        <v>30</v>
      </c>
      <c r="P203" s="72" t="s">
        <v>30</v>
      </c>
      <c r="Q203" s="72" t="s">
        <v>30</v>
      </c>
      <c r="R203" s="72" t="s">
        <v>30</v>
      </c>
      <c r="S203" s="72" t="s">
        <v>30</v>
      </c>
      <c r="T203" s="72" t="s">
        <v>30</v>
      </c>
      <c r="W203" s="31"/>
    </row>
    <row r="204">
      <c r="B204" s="72" t="s">
        <v>30</v>
      </c>
      <c r="C204" s="72" t="s">
        <v>30</v>
      </c>
      <c r="D204" s="72" t="s">
        <v>30</v>
      </c>
      <c r="E204" s="72" t="s">
        <v>30</v>
      </c>
      <c r="F204" s="72" t="s">
        <v>30</v>
      </c>
      <c r="G204" s="72" t="s">
        <v>30</v>
      </c>
      <c r="H204" s="72" t="s">
        <v>30</v>
      </c>
      <c r="I204" s="73" t="s">
        <v>30</v>
      </c>
      <c r="J204" s="72" t="s">
        <v>30</v>
      </c>
      <c r="K204" s="72" t="s">
        <v>30</v>
      </c>
      <c r="L204" s="72" t="s">
        <v>30</v>
      </c>
      <c r="M204" s="72" t="s">
        <v>30</v>
      </c>
      <c r="N204" s="72" t="s">
        <v>30</v>
      </c>
      <c r="O204" s="73" t="s">
        <v>30</v>
      </c>
      <c r="P204" s="72" t="s">
        <v>30</v>
      </c>
      <c r="Q204" s="72" t="s">
        <v>30</v>
      </c>
      <c r="R204" s="72" t="s">
        <v>30</v>
      </c>
      <c r="S204" s="72" t="s">
        <v>30</v>
      </c>
      <c r="T204" s="72" t="s">
        <v>30</v>
      </c>
      <c r="W204" s="31"/>
    </row>
    <row r="205">
      <c r="B205" s="72" t="s">
        <v>30</v>
      </c>
      <c r="C205" s="72" t="s">
        <v>30</v>
      </c>
      <c r="D205" s="72" t="s">
        <v>30</v>
      </c>
      <c r="E205" s="72" t="s">
        <v>30</v>
      </c>
      <c r="F205" s="72" t="s">
        <v>30</v>
      </c>
      <c r="G205" s="72" t="s">
        <v>30</v>
      </c>
      <c r="H205" s="72" t="s">
        <v>30</v>
      </c>
      <c r="I205" s="73" t="s">
        <v>30</v>
      </c>
      <c r="J205" s="72" t="s">
        <v>30</v>
      </c>
      <c r="K205" s="72" t="s">
        <v>30</v>
      </c>
      <c r="L205" s="72" t="s">
        <v>30</v>
      </c>
      <c r="M205" s="72" t="s">
        <v>30</v>
      </c>
      <c r="N205" s="72" t="s">
        <v>30</v>
      </c>
      <c r="O205" s="73" t="s">
        <v>30</v>
      </c>
      <c r="P205" s="72" t="s">
        <v>30</v>
      </c>
      <c r="Q205" s="72" t="s">
        <v>30</v>
      </c>
      <c r="R205" s="72" t="s">
        <v>30</v>
      </c>
      <c r="S205" s="72" t="s">
        <v>30</v>
      </c>
      <c r="T205" s="72" t="s">
        <v>30</v>
      </c>
      <c r="W205" s="31"/>
    </row>
    <row r="206">
      <c r="B206" s="72" t="s">
        <v>30</v>
      </c>
      <c r="C206" s="72" t="s">
        <v>30</v>
      </c>
      <c r="D206" s="72" t="s">
        <v>30</v>
      </c>
      <c r="E206" s="72" t="s">
        <v>30</v>
      </c>
      <c r="F206" s="72" t="s">
        <v>30</v>
      </c>
      <c r="G206" s="72" t="s">
        <v>30</v>
      </c>
      <c r="H206" s="72" t="s">
        <v>30</v>
      </c>
      <c r="I206" s="73" t="s">
        <v>30</v>
      </c>
      <c r="J206" s="72" t="s">
        <v>30</v>
      </c>
      <c r="K206" s="72" t="s">
        <v>30</v>
      </c>
      <c r="L206" s="72" t="s">
        <v>30</v>
      </c>
      <c r="M206" s="72" t="s">
        <v>30</v>
      </c>
      <c r="N206" s="72" t="s">
        <v>30</v>
      </c>
      <c r="O206" s="73" t="s">
        <v>30</v>
      </c>
      <c r="P206" s="72" t="s">
        <v>30</v>
      </c>
      <c r="Q206" s="72" t="s">
        <v>30</v>
      </c>
      <c r="R206" s="72" t="s">
        <v>30</v>
      </c>
      <c r="S206" s="72" t="s">
        <v>30</v>
      </c>
      <c r="T206" s="72" t="s">
        <v>30</v>
      </c>
      <c r="W206" s="31"/>
    </row>
    <row r="207">
      <c r="B207" s="72" t="s">
        <v>30</v>
      </c>
      <c r="C207" s="72" t="s">
        <v>30</v>
      </c>
      <c r="D207" s="72" t="s">
        <v>30</v>
      </c>
      <c r="E207" s="72" t="s">
        <v>30</v>
      </c>
      <c r="F207" s="72" t="s">
        <v>30</v>
      </c>
      <c r="G207" s="72" t="s">
        <v>30</v>
      </c>
      <c r="H207" s="72" t="s">
        <v>30</v>
      </c>
      <c r="I207" s="73" t="s">
        <v>30</v>
      </c>
      <c r="J207" s="72" t="s">
        <v>30</v>
      </c>
      <c r="K207" s="72" t="s">
        <v>30</v>
      </c>
      <c r="L207" s="72" t="s">
        <v>30</v>
      </c>
      <c r="M207" s="72" t="s">
        <v>30</v>
      </c>
      <c r="N207" s="72" t="s">
        <v>30</v>
      </c>
      <c r="O207" s="73" t="s">
        <v>30</v>
      </c>
      <c r="P207" s="72" t="s">
        <v>30</v>
      </c>
      <c r="Q207" s="72" t="s">
        <v>30</v>
      </c>
      <c r="R207" s="72" t="s">
        <v>30</v>
      </c>
      <c r="S207" s="72" t="s">
        <v>30</v>
      </c>
      <c r="T207" s="72" t="s">
        <v>30</v>
      </c>
      <c r="W207" s="31"/>
    </row>
    <row r="208">
      <c r="B208" s="72" t="s">
        <v>30</v>
      </c>
      <c r="C208" s="72" t="s">
        <v>30</v>
      </c>
      <c r="D208" s="72" t="s">
        <v>30</v>
      </c>
      <c r="E208" s="72" t="s">
        <v>30</v>
      </c>
      <c r="F208" s="72" t="s">
        <v>30</v>
      </c>
      <c r="G208" s="72" t="s">
        <v>30</v>
      </c>
      <c r="H208" s="72" t="s">
        <v>30</v>
      </c>
      <c r="I208" s="73" t="s">
        <v>30</v>
      </c>
      <c r="J208" s="72" t="s">
        <v>30</v>
      </c>
      <c r="K208" s="72" t="s">
        <v>30</v>
      </c>
      <c r="L208" s="72" t="s">
        <v>30</v>
      </c>
      <c r="M208" s="72" t="s">
        <v>30</v>
      </c>
      <c r="N208" s="72" t="s">
        <v>30</v>
      </c>
      <c r="O208" s="73" t="s">
        <v>30</v>
      </c>
      <c r="P208" s="72" t="s">
        <v>30</v>
      </c>
      <c r="Q208" s="72" t="s">
        <v>30</v>
      </c>
      <c r="R208" s="72" t="s">
        <v>30</v>
      </c>
      <c r="S208" s="72" t="s">
        <v>30</v>
      </c>
      <c r="T208" s="72" t="s">
        <v>30</v>
      </c>
      <c r="W208" s="31"/>
    </row>
    <row r="209">
      <c r="B209" s="72" t="s">
        <v>30</v>
      </c>
      <c r="C209" s="72" t="s">
        <v>30</v>
      </c>
      <c r="D209" s="72" t="s">
        <v>30</v>
      </c>
      <c r="E209" s="72" t="s">
        <v>30</v>
      </c>
      <c r="F209" s="72" t="s">
        <v>30</v>
      </c>
      <c r="G209" s="72" t="s">
        <v>30</v>
      </c>
      <c r="H209" s="72" t="s">
        <v>30</v>
      </c>
      <c r="I209" s="73" t="s">
        <v>30</v>
      </c>
      <c r="J209" s="72" t="s">
        <v>30</v>
      </c>
      <c r="K209" s="72" t="s">
        <v>30</v>
      </c>
      <c r="L209" s="72" t="s">
        <v>30</v>
      </c>
      <c r="M209" s="72" t="s">
        <v>30</v>
      </c>
      <c r="N209" s="72" t="s">
        <v>30</v>
      </c>
      <c r="O209" s="73" t="s">
        <v>30</v>
      </c>
      <c r="P209" s="72" t="s">
        <v>30</v>
      </c>
      <c r="Q209" s="72" t="s">
        <v>30</v>
      </c>
      <c r="R209" s="72" t="s">
        <v>30</v>
      </c>
      <c r="S209" s="72" t="s">
        <v>30</v>
      </c>
      <c r="T209" s="72" t="s">
        <v>30</v>
      </c>
      <c r="W209" s="31"/>
    </row>
    <row r="210">
      <c r="B210" s="72" t="s">
        <v>30</v>
      </c>
      <c r="C210" s="72" t="s">
        <v>30</v>
      </c>
      <c r="D210" s="72" t="s">
        <v>30</v>
      </c>
      <c r="E210" s="72" t="s">
        <v>30</v>
      </c>
      <c r="F210" s="72" t="s">
        <v>30</v>
      </c>
      <c r="G210" s="72" t="s">
        <v>30</v>
      </c>
      <c r="H210" s="72" t="s">
        <v>30</v>
      </c>
      <c r="I210" s="73" t="s">
        <v>30</v>
      </c>
      <c r="J210" s="72" t="s">
        <v>30</v>
      </c>
      <c r="K210" s="72" t="s">
        <v>30</v>
      </c>
      <c r="L210" s="72" t="s">
        <v>30</v>
      </c>
      <c r="M210" s="72" t="s">
        <v>30</v>
      </c>
      <c r="N210" s="72" t="s">
        <v>30</v>
      </c>
      <c r="O210" s="73" t="s">
        <v>30</v>
      </c>
      <c r="P210" s="72" t="s">
        <v>30</v>
      </c>
      <c r="Q210" s="72" t="s">
        <v>30</v>
      </c>
      <c r="R210" s="72" t="s">
        <v>30</v>
      </c>
      <c r="S210" s="72" t="s">
        <v>30</v>
      </c>
      <c r="T210" s="72" t="s">
        <v>30</v>
      </c>
      <c r="W210" s="31"/>
    </row>
    <row r="211">
      <c r="B211" s="72" t="s">
        <v>30</v>
      </c>
      <c r="C211" s="72" t="s">
        <v>30</v>
      </c>
      <c r="D211" s="72" t="s">
        <v>30</v>
      </c>
      <c r="E211" s="72" t="s">
        <v>30</v>
      </c>
      <c r="F211" s="72" t="s">
        <v>30</v>
      </c>
      <c r="G211" s="72" t="s">
        <v>30</v>
      </c>
      <c r="H211" s="72" t="s">
        <v>30</v>
      </c>
      <c r="I211" s="73" t="s">
        <v>30</v>
      </c>
      <c r="J211" s="72" t="s">
        <v>30</v>
      </c>
      <c r="K211" s="72" t="s">
        <v>30</v>
      </c>
      <c r="L211" s="72" t="s">
        <v>30</v>
      </c>
      <c r="M211" s="72" t="s">
        <v>30</v>
      </c>
      <c r="N211" s="72" t="s">
        <v>30</v>
      </c>
      <c r="O211" s="73" t="s">
        <v>30</v>
      </c>
      <c r="P211" s="72" t="s">
        <v>30</v>
      </c>
      <c r="Q211" s="72" t="s">
        <v>30</v>
      </c>
      <c r="R211" s="72" t="s">
        <v>30</v>
      </c>
      <c r="S211" s="72" t="s">
        <v>30</v>
      </c>
      <c r="T211" s="72" t="s">
        <v>30</v>
      </c>
      <c r="W211" s="31"/>
    </row>
    <row r="212">
      <c r="B212" s="72" t="s">
        <v>30</v>
      </c>
      <c r="C212" s="72" t="s">
        <v>30</v>
      </c>
      <c r="D212" s="72" t="s">
        <v>30</v>
      </c>
      <c r="E212" s="72" t="s">
        <v>30</v>
      </c>
      <c r="F212" s="72" t="s">
        <v>30</v>
      </c>
      <c r="G212" s="72" t="s">
        <v>30</v>
      </c>
      <c r="H212" s="72" t="s">
        <v>30</v>
      </c>
      <c r="I212" s="73" t="s">
        <v>30</v>
      </c>
      <c r="J212" s="72" t="s">
        <v>30</v>
      </c>
      <c r="K212" s="72" t="s">
        <v>30</v>
      </c>
      <c r="L212" s="72" t="s">
        <v>30</v>
      </c>
      <c r="M212" s="72" t="s">
        <v>30</v>
      </c>
      <c r="N212" s="72" t="s">
        <v>30</v>
      </c>
      <c r="O212" s="73" t="s">
        <v>30</v>
      </c>
      <c r="P212" s="72" t="s">
        <v>30</v>
      </c>
      <c r="Q212" s="72" t="s">
        <v>30</v>
      </c>
      <c r="R212" s="72" t="s">
        <v>30</v>
      </c>
      <c r="S212" s="72" t="s">
        <v>30</v>
      </c>
      <c r="T212" s="72" t="s">
        <v>30</v>
      </c>
      <c r="W212" s="31"/>
    </row>
    <row r="213">
      <c r="B213" s="72" t="s">
        <v>30</v>
      </c>
      <c r="C213" s="72" t="s">
        <v>30</v>
      </c>
      <c r="D213" s="72" t="s">
        <v>30</v>
      </c>
      <c r="E213" s="72" t="s">
        <v>30</v>
      </c>
      <c r="F213" s="72" t="s">
        <v>30</v>
      </c>
      <c r="G213" s="72" t="s">
        <v>30</v>
      </c>
      <c r="H213" s="72" t="s">
        <v>30</v>
      </c>
      <c r="I213" s="73" t="s">
        <v>30</v>
      </c>
      <c r="J213" s="72" t="s">
        <v>30</v>
      </c>
      <c r="K213" s="72" t="s">
        <v>30</v>
      </c>
      <c r="L213" s="72" t="s">
        <v>30</v>
      </c>
      <c r="M213" s="72" t="s">
        <v>30</v>
      </c>
      <c r="N213" s="72" t="s">
        <v>30</v>
      </c>
      <c r="O213" s="73" t="s">
        <v>30</v>
      </c>
      <c r="P213" s="72" t="s">
        <v>30</v>
      </c>
      <c r="Q213" s="72" t="s">
        <v>30</v>
      </c>
      <c r="R213" s="72" t="s">
        <v>30</v>
      </c>
      <c r="S213" s="72" t="s">
        <v>30</v>
      </c>
      <c r="T213" s="72" t="s">
        <v>30</v>
      </c>
      <c r="W213" s="31"/>
    </row>
    <row r="214">
      <c r="B214" s="72" t="s">
        <v>30</v>
      </c>
      <c r="C214" s="72" t="s">
        <v>30</v>
      </c>
      <c r="D214" s="72" t="s">
        <v>30</v>
      </c>
      <c r="E214" s="72" t="s">
        <v>30</v>
      </c>
      <c r="F214" s="72" t="s">
        <v>30</v>
      </c>
      <c r="G214" s="72" t="s">
        <v>30</v>
      </c>
      <c r="H214" s="72" t="s">
        <v>30</v>
      </c>
      <c r="I214" s="73" t="s">
        <v>30</v>
      </c>
      <c r="J214" s="72" t="s">
        <v>30</v>
      </c>
      <c r="K214" s="72" t="s">
        <v>30</v>
      </c>
      <c r="L214" s="72" t="s">
        <v>30</v>
      </c>
      <c r="M214" s="72" t="s">
        <v>30</v>
      </c>
      <c r="N214" s="72" t="s">
        <v>30</v>
      </c>
      <c r="O214" s="73" t="s">
        <v>30</v>
      </c>
      <c r="P214" s="72" t="s">
        <v>30</v>
      </c>
      <c r="Q214" s="72" t="s">
        <v>30</v>
      </c>
      <c r="R214" s="72" t="s">
        <v>30</v>
      </c>
      <c r="S214" s="72" t="s">
        <v>30</v>
      </c>
      <c r="T214" s="72" t="s">
        <v>30</v>
      </c>
      <c r="W214" s="31"/>
    </row>
    <row r="215">
      <c r="B215" s="72" t="s">
        <v>30</v>
      </c>
      <c r="C215" s="72" t="s">
        <v>30</v>
      </c>
      <c r="D215" s="72" t="s">
        <v>30</v>
      </c>
      <c r="E215" s="72" t="s">
        <v>30</v>
      </c>
      <c r="F215" s="72" t="s">
        <v>30</v>
      </c>
      <c r="G215" s="72" t="s">
        <v>30</v>
      </c>
      <c r="H215" s="72" t="s">
        <v>30</v>
      </c>
      <c r="I215" s="73" t="s">
        <v>30</v>
      </c>
      <c r="J215" s="72" t="s">
        <v>30</v>
      </c>
      <c r="K215" s="72" t="s">
        <v>30</v>
      </c>
      <c r="L215" s="72" t="s">
        <v>30</v>
      </c>
      <c r="M215" s="72" t="s">
        <v>30</v>
      </c>
      <c r="N215" s="72" t="s">
        <v>30</v>
      </c>
      <c r="O215" s="73" t="s">
        <v>30</v>
      </c>
      <c r="P215" s="72" t="s">
        <v>30</v>
      </c>
      <c r="Q215" s="72" t="s">
        <v>30</v>
      </c>
      <c r="R215" s="72" t="s">
        <v>30</v>
      </c>
      <c r="S215" s="72" t="s">
        <v>30</v>
      </c>
      <c r="T215" s="72" t="s">
        <v>30</v>
      </c>
      <c r="W215" s="31"/>
    </row>
    <row r="216">
      <c r="B216" s="72" t="s">
        <v>30</v>
      </c>
      <c r="C216" s="72" t="s">
        <v>30</v>
      </c>
      <c r="D216" s="72" t="s">
        <v>30</v>
      </c>
      <c r="E216" s="72" t="s">
        <v>30</v>
      </c>
      <c r="F216" s="72" t="s">
        <v>30</v>
      </c>
      <c r="G216" s="72" t="s">
        <v>30</v>
      </c>
      <c r="H216" s="72" t="s">
        <v>30</v>
      </c>
      <c r="I216" s="73" t="s">
        <v>30</v>
      </c>
      <c r="J216" s="72" t="s">
        <v>30</v>
      </c>
      <c r="K216" s="72" t="s">
        <v>30</v>
      </c>
      <c r="L216" s="72" t="s">
        <v>30</v>
      </c>
      <c r="M216" s="72" t="s">
        <v>30</v>
      </c>
      <c r="N216" s="72" t="s">
        <v>30</v>
      </c>
      <c r="O216" s="73" t="s">
        <v>30</v>
      </c>
      <c r="P216" s="72" t="s">
        <v>30</v>
      </c>
      <c r="Q216" s="72" t="s">
        <v>30</v>
      </c>
      <c r="R216" s="72" t="s">
        <v>30</v>
      </c>
      <c r="S216" s="72" t="s">
        <v>30</v>
      </c>
      <c r="T216" s="72" t="s">
        <v>30</v>
      </c>
      <c r="W216" s="31"/>
    </row>
    <row r="217">
      <c r="B217" s="72" t="s">
        <v>30</v>
      </c>
      <c r="C217" s="72" t="s">
        <v>30</v>
      </c>
      <c r="D217" s="72" t="s">
        <v>30</v>
      </c>
      <c r="E217" s="72" t="s">
        <v>30</v>
      </c>
      <c r="F217" s="72" t="s">
        <v>30</v>
      </c>
      <c r="G217" s="72" t="s">
        <v>30</v>
      </c>
      <c r="H217" s="72" t="s">
        <v>30</v>
      </c>
      <c r="I217" s="73" t="s">
        <v>30</v>
      </c>
      <c r="J217" s="72" t="s">
        <v>30</v>
      </c>
      <c r="K217" s="72" t="s">
        <v>30</v>
      </c>
      <c r="L217" s="72" t="s">
        <v>30</v>
      </c>
      <c r="M217" s="72" t="s">
        <v>30</v>
      </c>
      <c r="N217" s="72" t="s">
        <v>30</v>
      </c>
      <c r="O217" s="73" t="s">
        <v>30</v>
      </c>
      <c r="P217" s="72" t="s">
        <v>30</v>
      </c>
      <c r="Q217" s="72" t="s">
        <v>30</v>
      </c>
      <c r="R217" s="72" t="s">
        <v>30</v>
      </c>
      <c r="S217" s="72" t="s">
        <v>30</v>
      </c>
      <c r="T217" s="72" t="s">
        <v>30</v>
      </c>
      <c r="W217" s="31"/>
    </row>
    <row r="218">
      <c r="B218" s="72" t="s">
        <v>30</v>
      </c>
      <c r="C218" s="72" t="s">
        <v>30</v>
      </c>
      <c r="D218" s="72" t="s">
        <v>30</v>
      </c>
      <c r="E218" s="72" t="s">
        <v>30</v>
      </c>
      <c r="F218" s="72" t="s">
        <v>30</v>
      </c>
      <c r="G218" s="72" t="s">
        <v>30</v>
      </c>
      <c r="H218" s="72" t="s">
        <v>30</v>
      </c>
      <c r="I218" s="73" t="s">
        <v>30</v>
      </c>
      <c r="J218" s="72" t="s">
        <v>30</v>
      </c>
      <c r="K218" s="72" t="s">
        <v>30</v>
      </c>
      <c r="L218" s="72" t="s">
        <v>30</v>
      </c>
      <c r="M218" s="72" t="s">
        <v>30</v>
      </c>
      <c r="N218" s="72" t="s">
        <v>30</v>
      </c>
      <c r="O218" s="73" t="s">
        <v>30</v>
      </c>
      <c r="P218" s="72" t="s">
        <v>30</v>
      </c>
      <c r="Q218" s="72" t="s">
        <v>30</v>
      </c>
      <c r="R218" s="72" t="s">
        <v>30</v>
      </c>
      <c r="S218" s="72" t="s">
        <v>30</v>
      </c>
      <c r="T218" s="72" t="s">
        <v>30</v>
      </c>
      <c r="W218" s="31"/>
    </row>
    <row r="219">
      <c r="B219" s="72" t="s">
        <v>30</v>
      </c>
      <c r="C219" s="72" t="s">
        <v>30</v>
      </c>
      <c r="D219" s="72" t="s">
        <v>30</v>
      </c>
      <c r="E219" s="72" t="s">
        <v>30</v>
      </c>
      <c r="F219" s="72" t="s">
        <v>30</v>
      </c>
      <c r="G219" s="72" t="s">
        <v>30</v>
      </c>
      <c r="H219" s="72" t="s">
        <v>30</v>
      </c>
      <c r="I219" s="73" t="s">
        <v>30</v>
      </c>
      <c r="J219" s="72" t="s">
        <v>30</v>
      </c>
      <c r="K219" s="72" t="s">
        <v>30</v>
      </c>
      <c r="L219" s="72" t="s">
        <v>30</v>
      </c>
      <c r="M219" s="72" t="s">
        <v>30</v>
      </c>
      <c r="N219" s="72" t="s">
        <v>30</v>
      </c>
      <c r="O219" s="73" t="s">
        <v>30</v>
      </c>
      <c r="P219" s="72" t="s">
        <v>30</v>
      </c>
      <c r="Q219" s="72" t="s">
        <v>30</v>
      </c>
      <c r="R219" s="72" t="s">
        <v>30</v>
      </c>
      <c r="S219" s="72" t="s">
        <v>30</v>
      </c>
      <c r="T219" s="72" t="s">
        <v>30</v>
      </c>
      <c r="W219" s="31"/>
    </row>
    <row r="220">
      <c r="B220" s="72" t="s">
        <v>30</v>
      </c>
      <c r="C220" s="72" t="s">
        <v>30</v>
      </c>
      <c r="D220" s="72" t="s">
        <v>30</v>
      </c>
      <c r="E220" s="72" t="s">
        <v>30</v>
      </c>
      <c r="F220" s="72" t="s">
        <v>30</v>
      </c>
      <c r="G220" s="72" t="s">
        <v>30</v>
      </c>
      <c r="H220" s="72" t="s">
        <v>30</v>
      </c>
      <c r="I220" s="73" t="s">
        <v>30</v>
      </c>
      <c r="J220" s="72" t="s">
        <v>30</v>
      </c>
      <c r="K220" s="72" t="s">
        <v>30</v>
      </c>
      <c r="L220" s="72" t="s">
        <v>30</v>
      </c>
      <c r="M220" s="72" t="s">
        <v>30</v>
      </c>
      <c r="N220" s="72" t="s">
        <v>30</v>
      </c>
      <c r="O220" s="73" t="s">
        <v>30</v>
      </c>
      <c r="P220" s="72" t="s">
        <v>30</v>
      </c>
      <c r="Q220" s="72" t="s">
        <v>30</v>
      </c>
      <c r="R220" s="72" t="s">
        <v>30</v>
      </c>
      <c r="S220" s="72" t="s">
        <v>30</v>
      </c>
      <c r="T220" s="72" t="s">
        <v>30</v>
      </c>
      <c r="W220" s="31"/>
    </row>
    <row r="221">
      <c r="B221" s="72" t="s">
        <v>30</v>
      </c>
      <c r="C221" s="72" t="s">
        <v>30</v>
      </c>
      <c r="D221" s="72" t="s">
        <v>30</v>
      </c>
      <c r="E221" s="72" t="s">
        <v>30</v>
      </c>
      <c r="F221" s="72" t="s">
        <v>30</v>
      </c>
      <c r="G221" s="72" t="s">
        <v>30</v>
      </c>
      <c r="H221" s="72" t="s">
        <v>30</v>
      </c>
      <c r="I221" s="73" t="s">
        <v>30</v>
      </c>
      <c r="J221" s="72" t="s">
        <v>30</v>
      </c>
      <c r="K221" s="72" t="s">
        <v>30</v>
      </c>
      <c r="L221" s="72" t="s">
        <v>30</v>
      </c>
      <c r="M221" s="72" t="s">
        <v>30</v>
      </c>
      <c r="N221" s="72" t="s">
        <v>30</v>
      </c>
      <c r="O221" s="73" t="s">
        <v>30</v>
      </c>
      <c r="P221" s="72" t="s">
        <v>30</v>
      </c>
      <c r="Q221" s="72" t="s">
        <v>30</v>
      </c>
      <c r="R221" s="72" t="s">
        <v>30</v>
      </c>
      <c r="S221" s="72" t="s">
        <v>30</v>
      </c>
      <c r="T221" s="72" t="s">
        <v>30</v>
      </c>
      <c r="W221" s="31"/>
    </row>
    <row r="222">
      <c r="B222" s="72" t="s">
        <v>30</v>
      </c>
      <c r="C222" s="72" t="s">
        <v>30</v>
      </c>
      <c r="D222" s="72" t="s">
        <v>30</v>
      </c>
      <c r="E222" s="72" t="s">
        <v>30</v>
      </c>
      <c r="F222" s="72" t="s">
        <v>30</v>
      </c>
      <c r="G222" s="72" t="s">
        <v>30</v>
      </c>
      <c r="H222" s="72" t="s">
        <v>30</v>
      </c>
      <c r="I222" s="73" t="s">
        <v>30</v>
      </c>
      <c r="J222" s="72" t="s">
        <v>30</v>
      </c>
      <c r="K222" s="72" t="s">
        <v>30</v>
      </c>
      <c r="L222" s="72" t="s">
        <v>30</v>
      </c>
      <c r="M222" s="72" t="s">
        <v>30</v>
      </c>
      <c r="N222" s="72" t="s">
        <v>30</v>
      </c>
      <c r="O222" s="73" t="s">
        <v>30</v>
      </c>
      <c r="P222" s="72" t="s">
        <v>30</v>
      </c>
      <c r="Q222" s="72" t="s">
        <v>30</v>
      </c>
      <c r="R222" s="72" t="s">
        <v>30</v>
      </c>
      <c r="S222" s="72" t="s">
        <v>30</v>
      </c>
      <c r="T222" s="72" t="s">
        <v>30</v>
      </c>
      <c r="W222" s="31"/>
    </row>
    <row r="223">
      <c r="B223" s="72" t="s">
        <v>30</v>
      </c>
      <c r="C223" s="72" t="s">
        <v>30</v>
      </c>
      <c r="D223" s="72" t="s">
        <v>30</v>
      </c>
      <c r="E223" s="72" t="s">
        <v>30</v>
      </c>
      <c r="F223" s="72" t="s">
        <v>30</v>
      </c>
      <c r="G223" s="72" t="s">
        <v>30</v>
      </c>
      <c r="H223" s="72" t="s">
        <v>30</v>
      </c>
      <c r="I223" s="73" t="s">
        <v>30</v>
      </c>
      <c r="J223" s="72" t="s">
        <v>30</v>
      </c>
      <c r="K223" s="72" t="s">
        <v>30</v>
      </c>
      <c r="L223" s="72" t="s">
        <v>30</v>
      </c>
      <c r="M223" s="72" t="s">
        <v>30</v>
      </c>
      <c r="N223" s="72" t="s">
        <v>30</v>
      </c>
      <c r="O223" s="73" t="s">
        <v>30</v>
      </c>
      <c r="P223" s="72" t="s">
        <v>30</v>
      </c>
      <c r="Q223" s="72" t="s">
        <v>30</v>
      </c>
      <c r="R223" s="72" t="s">
        <v>30</v>
      </c>
      <c r="S223" s="72" t="s">
        <v>30</v>
      </c>
      <c r="T223" s="72" t="s">
        <v>30</v>
      </c>
      <c r="W223" s="31"/>
    </row>
    <row r="224">
      <c r="B224" s="72" t="s">
        <v>30</v>
      </c>
      <c r="C224" s="72" t="s">
        <v>30</v>
      </c>
      <c r="D224" s="72" t="s">
        <v>30</v>
      </c>
      <c r="E224" s="72" t="s">
        <v>30</v>
      </c>
      <c r="F224" s="72" t="s">
        <v>30</v>
      </c>
      <c r="G224" s="72" t="s">
        <v>30</v>
      </c>
      <c r="H224" s="72" t="s">
        <v>30</v>
      </c>
      <c r="I224" s="73" t="s">
        <v>30</v>
      </c>
      <c r="J224" s="72" t="s">
        <v>30</v>
      </c>
      <c r="K224" s="72" t="s">
        <v>30</v>
      </c>
      <c r="L224" s="72" t="s">
        <v>30</v>
      </c>
      <c r="M224" s="72" t="s">
        <v>30</v>
      </c>
      <c r="N224" s="72" t="s">
        <v>30</v>
      </c>
      <c r="O224" s="73" t="s">
        <v>30</v>
      </c>
      <c r="P224" s="72" t="s">
        <v>30</v>
      </c>
      <c r="Q224" s="72" t="s">
        <v>30</v>
      </c>
      <c r="R224" s="72" t="s">
        <v>30</v>
      </c>
      <c r="S224" s="72" t="s">
        <v>30</v>
      </c>
      <c r="T224" s="72" t="s">
        <v>30</v>
      </c>
      <c r="W224" s="31"/>
    </row>
    <row r="225">
      <c r="B225" s="72" t="s">
        <v>30</v>
      </c>
      <c r="C225" s="72" t="s">
        <v>30</v>
      </c>
      <c r="D225" s="72" t="s">
        <v>30</v>
      </c>
      <c r="E225" s="72" t="s">
        <v>30</v>
      </c>
      <c r="F225" s="72" t="s">
        <v>30</v>
      </c>
      <c r="G225" s="72" t="s">
        <v>30</v>
      </c>
      <c r="H225" s="72" t="s">
        <v>30</v>
      </c>
      <c r="I225" s="73" t="s">
        <v>30</v>
      </c>
      <c r="J225" s="72" t="s">
        <v>30</v>
      </c>
      <c r="K225" s="72" t="s">
        <v>30</v>
      </c>
      <c r="L225" s="72" t="s">
        <v>30</v>
      </c>
      <c r="M225" s="72" t="s">
        <v>30</v>
      </c>
      <c r="N225" s="72" t="s">
        <v>30</v>
      </c>
      <c r="O225" s="73" t="s">
        <v>30</v>
      </c>
      <c r="P225" s="72" t="s">
        <v>30</v>
      </c>
      <c r="Q225" s="72" t="s">
        <v>30</v>
      </c>
      <c r="R225" s="72" t="s">
        <v>30</v>
      </c>
      <c r="S225" s="72" t="s">
        <v>30</v>
      </c>
      <c r="T225" s="72" t="s">
        <v>30</v>
      </c>
      <c r="W225" s="31"/>
    </row>
    <row r="226">
      <c r="B226" s="72" t="s">
        <v>30</v>
      </c>
      <c r="C226" s="72" t="s">
        <v>30</v>
      </c>
      <c r="D226" s="72" t="s">
        <v>30</v>
      </c>
      <c r="E226" s="72" t="s">
        <v>30</v>
      </c>
      <c r="F226" s="72" t="s">
        <v>30</v>
      </c>
      <c r="G226" s="72" t="s">
        <v>30</v>
      </c>
      <c r="H226" s="72" t="s">
        <v>30</v>
      </c>
      <c r="I226" s="73" t="s">
        <v>30</v>
      </c>
      <c r="J226" s="72" t="s">
        <v>30</v>
      </c>
      <c r="K226" s="72" t="s">
        <v>30</v>
      </c>
      <c r="L226" s="72" t="s">
        <v>30</v>
      </c>
      <c r="M226" s="72" t="s">
        <v>30</v>
      </c>
      <c r="N226" s="72" t="s">
        <v>30</v>
      </c>
      <c r="O226" s="73" t="s">
        <v>30</v>
      </c>
      <c r="P226" s="72" t="s">
        <v>30</v>
      </c>
      <c r="Q226" s="72" t="s">
        <v>30</v>
      </c>
      <c r="R226" s="72" t="s">
        <v>30</v>
      </c>
      <c r="S226" s="72" t="s">
        <v>30</v>
      </c>
      <c r="T226" s="72" t="s">
        <v>30</v>
      </c>
      <c r="W226" s="31"/>
    </row>
    <row r="227">
      <c r="B227" s="72" t="s">
        <v>30</v>
      </c>
      <c r="C227" s="72" t="s">
        <v>30</v>
      </c>
      <c r="D227" s="72" t="s">
        <v>30</v>
      </c>
      <c r="E227" s="72" t="s">
        <v>30</v>
      </c>
      <c r="F227" s="72" t="s">
        <v>30</v>
      </c>
      <c r="G227" s="72" t="s">
        <v>30</v>
      </c>
      <c r="H227" s="72" t="s">
        <v>30</v>
      </c>
      <c r="I227" s="73" t="s">
        <v>30</v>
      </c>
      <c r="J227" s="72" t="s">
        <v>30</v>
      </c>
      <c r="K227" s="72" t="s">
        <v>30</v>
      </c>
      <c r="L227" s="72" t="s">
        <v>30</v>
      </c>
      <c r="M227" s="72" t="s">
        <v>30</v>
      </c>
      <c r="N227" s="72" t="s">
        <v>30</v>
      </c>
      <c r="O227" s="73" t="s">
        <v>30</v>
      </c>
      <c r="P227" s="72" t="s">
        <v>30</v>
      </c>
      <c r="Q227" s="72" t="s">
        <v>30</v>
      </c>
      <c r="R227" s="72" t="s">
        <v>30</v>
      </c>
      <c r="S227" s="72" t="s">
        <v>30</v>
      </c>
      <c r="T227" s="72" t="s">
        <v>30</v>
      </c>
      <c r="W227" s="31"/>
    </row>
    <row r="228">
      <c r="B228" s="72" t="s">
        <v>30</v>
      </c>
      <c r="C228" s="72" t="s">
        <v>30</v>
      </c>
      <c r="D228" s="72" t="s">
        <v>30</v>
      </c>
      <c r="E228" s="72" t="s">
        <v>30</v>
      </c>
      <c r="F228" s="72" t="s">
        <v>30</v>
      </c>
      <c r="G228" s="72" t="s">
        <v>30</v>
      </c>
      <c r="H228" s="72" t="s">
        <v>30</v>
      </c>
      <c r="I228" s="73" t="s">
        <v>30</v>
      </c>
      <c r="J228" s="72" t="s">
        <v>30</v>
      </c>
      <c r="K228" s="72" t="s">
        <v>30</v>
      </c>
      <c r="L228" s="72" t="s">
        <v>30</v>
      </c>
      <c r="M228" s="72" t="s">
        <v>30</v>
      </c>
      <c r="N228" s="72" t="s">
        <v>30</v>
      </c>
      <c r="O228" s="73" t="s">
        <v>30</v>
      </c>
      <c r="P228" s="72" t="s">
        <v>30</v>
      </c>
      <c r="Q228" s="72" t="s">
        <v>30</v>
      </c>
      <c r="R228" s="72" t="s">
        <v>30</v>
      </c>
      <c r="S228" s="72" t="s">
        <v>30</v>
      </c>
      <c r="T228" s="72" t="s">
        <v>30</v>
      </c>
      <c r="W228" s="31"/>
    </row>
    <row r="229">
      <c r="B229" s="72" t="s">
        <v>30</v>
      </c>
      <c r="C229" s="72" t="s">
        <v>30</v>
      </c>
      <c r="D229" s="72" t="s">
        <v>30</v>
      </c>
      <c r="E229" s="72" t="s">
        <v>30</v>
      </c>
      <c r="F229" s="72" t="s">
        <v>30</v>
      </c>
      <c r="G229" s="72" t="s">
        <v>30</v>
      </c>
      <c r="H229" s="72" t="s">
        <v>30</v>
      </c>
      <c r="I229" s="73" t="s">
        <v>30</v>
      </c>
      <c r="J229" s="72" t="s">
        <v>30</v>
      </c>
      <c r="K229" s="72" t="s">
        <v>30</v>
      </c>
      <c r="L229" s="72" t="s">
        <v>30</v>
      </c>
      <c r="M229" s="72" t="s">
        <v>30</v>
      </c>
      <c r="N229" s="72" t="s">
        <v>30</v>
      </c>
      <c r="O229" s="73" t="s">
        <v>30</v>
      </c>
      <c r="P229" s="72" t="s">
        <v>30</v>
      </c>
      <c r="Q229" s="72" t="s">
        <v>30</v>
      </c>
      <c r="R229" s="72" t="s">
        <v>30</v>
      </c>
      <c r="S229" s="72" t="s">
        <v>30</v>
      </c>
      <c r="T229" s="72" t="s">
        <v>30</v>
      </c>
      <c r="W229" s="31"/>
    </row>
    <row r="230">
      <c r="B230" s="72" t="s">
        <v>30</v>
      </c>
      <c r="C230" s="72" t="s">
        <v>30</v>
      </c>
      <c r="D230" s="72" t="s">
        <v>30</v>
      </c>
      <c r="E230" s="72" t="s">
        <v>30</v>
      </c>
      <c r="F230" s="72" t="s">
        <v>30</v>
      </c>
      <c r="G230" s="72" t="s">
        <v>30</v>
      </c>
      <c r="H230" s="72" t="s">
        <v>30</v>
      </c>
      <c r="I230" s="73" t="s">
        <v>30</v>
      </c>
      <c r="J230" s="72" t="s">
        <v>30</v>
      </c>
      <c r="K230" s="72" t="s">
        <v>30</v>
      </c>
      <c r="L230" s="72" t="s">
        <v>30</v>
      </c>
      <c r="M230" s="72" t="s">
        <v>30</v>
      </c>
      <c r="N230" s="72" t="s">
        <v>30</v>
      </c>
      <c r="O230" s="73" t="s">
        <v>30</v>
      </c>
      <c r="P230" s="72" t="s">
        <v>30</v>
      </c>
      <c r="Q230" s="72" t="s">
        <v>30</v>
      </c>
      <c r="R230" s="72" t="s">
        <v>30</v>
      </c>
      <c r="S230" s="72" t="s">
        <v>30</v>
      </c>
      <c r="T230" s="72" t="s">
        <v>30</v>
      </c>
      <c r="W230" s="31"/>
    </row>
    <row r="231">
      <c r="B231" s="72" t="s">
        <v>30</v>
      </c>
      <c r="C231" s="72" t="s">
        <v>30</v>
      </c>
      <c r="D231" s="72" t="s">
        <v>30</v>
      </c>
      <c r="E231" s="72" t="s">
        <v>30</v>
      </c>
      <c r="F231" s="72" t="s">
        <v>30</v>
      </c>
      <c r="G231" s="72" t="s">
        <v>30</v>
      </c>
      <c r="H231" s="72" t="s">
        <v>30</v>
      </c>
      <c r="I231" s="73" t="s">
        <v>30</v>
      </c>
      <c r="J231" s="72" t="s">
        <v>30</v>
      </c>
      <c r="K231" s="72" t="s">
        <v>30</v>
      </c>
      <c r="L231" s="72" t="s">
        <v>30</v>
      </c>
      <c r="M231" s="72" t="s">
        <v>30</v>
      </c>
      <c r="N231" s="72" t="s">
        <v>30</v>
      </c>
      <c r="O231" s="73" t="s">
        <v>30</v>
      </c>
      <c r="P231" s="72" t="s">
        <v>30</v>
      </c>
      <c r="Q231" s="72" t="s">
        <v>30</v>
      </c>
      <c r="R231" s="72" t="s">
        <v>30</v>
      </c>
      <c r="S231" s="72" t="s">
        <v>30</v>
      </c>
      <c r="T231" s="72" t="s">
        <v>30</v>
      </c>
      <c r="W231" s="31"/>
    </row>
    <row r="232">
      <c r="B232" s="72" t="s">
        <v>30</v>
      </c>
      <c r="C232" s="72" t="s">
        <v>30</v>
      </c>
      <c r="D232" s="72" t="s">
        <v>30</v>
      </c>
      <c r="E232" s="72" t="s">
        <v>30</v>
      </c>
      <c r="F232" s="72" t="s">
        <v>30</v>
      </c>
      <c r="G232" s="72" t="s">
        <v>30</v>
      </c>
      <c r="H232" s="72" t="s">
        <v>30</v>
      </c>
      <c r="I232" s="73" t="s">
        <v>30</v>
      </c>
      <c r="J232" s="72" t="s">
        <v>30</v>
      </c>
      <c r="K232" s="72" t="s">
        <v>30</v>
      </c>
      <c r="L232" s="72" t="s">
        <v>30</v>
      </c>
      <c r="M232" s="72" t="s">
        <v>30</v>
      </c>
      <c r="N232" s="72" t="s">
        <v>30</v>
      </c>
      <c r="O232" s="73" t="s">
        <v>30</v>
      </c>
      <c r="P232" s="72" t="s">
        <v>30</v>
      </c>
      <c r="Q232" s="72" t="s">
        <v>30</v>
      </c>
      <c r="R232" s="72" t="s">
        <v>30</v>
      </c>
      <c r="S232" s="72" t="s">
        <v>30</v>
      </c>
      <c r="T232" s="72" t="s">
        <v>30</v>
      </c>
      <c r="W232" s="31"/>
    </row>
    <row r="233">
      <c r="B233" s="72" t="s">
        <v>30</v>
      </c>
      <c r="C233" s="72" t="s">
        <v>30</v>
      </c>
      <c r="D233" s="72" t="s">
        <v>30</v>
      </c>
      <c r="E233" s="72" t="s">
        <v>30</v>
      </c>
      <c r="F233" s="72" t="s">
        <v>30</v>
      </c>
      <c r="G233" s="72" t="s">
        <v>30</v>
      </c>
      <c r="H233" s="72" t="s">
        <v>30</v>
      </c>
      <c r="I233" s="73" t="s">
        <v>30</v>
      </c>
      <c r="J233" s="72" t="s">
        <v>30</v>
      </c>
      <c r="K233" s="72" t="s">
        <v>30</v>
      </c>
      <c r="L233" s="72" t="s">
        <v>30</v>
      </c>
      <c r="M233" s="72" t="s">
        <v>30</v>
      </c>
      <c r="N233" s="72" t="s">
        <v>30</v>
      </c>
      <c r="O233" s="73" t="s">
        <v>30</v>
      </c>
      <c r="P233" s="72" t="s">
        <v>30</v>
      </c>
      <c r="Q233" s="72" t="s">
        <v>30</v>
      </c>
      <c r="R233" s="72" t="s">
        <v>30</v>
      </c>
      <c r="S233" s="72" t="s">
        <v>30</v>
      </c>
      <c r="T233" s="72" t="s">
        <v>30</v>
      </c>
      <c r="W233" s="31"/>
    </row>
    <row r="234">
      <c r="B234" s="72" t="s">
        <v>30</v>
      </c>
      <c r="C234" s="72" t="s">
        <v>30</v>
      </c>
      <c r="D234" s="72" t="s">
        <v>30</v>
      </c>
      <c r="E234" s="72" t="s">
        <v>30</v>
      </c>
      <c r="F234" s="72" t="s">
        <v>30</v>
      </c>
      <c r="G234" s="72" t="s">
        <v>30</v>
      </c>
      <c r="H234" s="72" t="s">
        <v>30</v>
      </c>
      <c r="I234" s="73" t="s">
        <v>30</v>
      </c>
      <c r="J234" s="72" t="s">
        <v>30</v>
      </c>
      <c r="K234" s="72" t="s">
        <v>30</v>
      </c>
      <c r="L234" s="72" t="s">
        <v>30</v>
      </c>
      <c r="M234" s="72" t="s">
        <v>30</v>
      </c>
      <c r="N234" s="72" t="s">
        <v>30</v>
      </c>
      <c r="O234" s="73" t="s">
        <v>30</v>
      </c>
      <c r="P234" s="72" t="s">
        <v>30</v>
      </c>
      <c r="Q234" s="72" t="s">
        <v>30</v>
      </c>
      <c r="R234" s="72" t="s">
        <v>30</v>
      </c>
      <c r="S234" s="72" t="s">
        <v>30</v>
      </c>
      <c r="T234" s="72" t="s">
        <v>30</v>
      </c>
      <c r="W234" s="31"/>
    </row>
    <row r="235">
      <c r="B235" s="72" t="s">
        <v>30</v>
      </c>
      <c r="C235" s="72" t="s">
        <v>30</v>
      </c>
      <c r="D235" s="72" t="s">
        <v>30</v>
      </c>
      <c r="E235" s="72" t="s">
        <v>30</v>
      </c>
      <c r="F235" s="72" t="s">
        <v>30</v>
      </c>
      <c r="G235" s="72" t="s">
        <v>30</v>
      </c>
      <c r="H235" s="72" t="s">
        <v>30</v>
      </c>
      <c r="I235" s="73" t="s">
        <v>30</v>
      </c>
      <c r="J235" s="72" t="s">
        <v>30</v>
      </c>
      <c r="K235" s="72" t="s">
        <v>30</v>
      </c>
      <c r="L235" s="72" t="s">
        <v>30</v>
      </c>
      <c r="M235" s="72" t="s">
        <v>30</v>
      </c>
      <c r="N235" s="72" t="s">
        <v>30</v>
      </c>
      <c r="O235" s="73" t="s">
        <v>30</v>
      </c>
      <c r="P235" s="72" t="s">
        <v>30</v>
      </c>
      <c r="Q235" s="72" t="s">
        <v>30</v>
      </c>
      <c r="R235" s="72" t="s">
        <v>30</v>
      </c>
      <c r="S235" s="72" t="s">
        <v>30</v>
      </c>
      <c r="T235" s="72" t="s">
        <v>30</v>
      </c>
      <c r="W235" s="31"/>
    </row>
    <row r="236">
      <c r="B236" s="72" t="s">
        <v>30</v>
      </c>
      <c r="C236" s="72" t="s">
        <v>30</v>
      </c>
      <c r="D236" s="72" t="s">
        <v>30</v>
      </c>
      <c r="E236" s="72" t="s">
        <v>30</v>
      </c>
      <c r="F236" s="72" t="s">
        <v>30</v>
      </c>
      <c r="G236" s="72" t="s">
        <v>30</v>
      </c>
      <c r="H236" s="72" t="s">
        <v>30</v>
      </c>
      <c r="I236" s="73" t="s">
        <v>30</v>
      </c>
      <c r="J236" s="72" t="s">
        <v>30</v>
      </c>
      <c r="K236" s="72" t="s">
        <v>30</v>
      </c>
      <c r="L236" s="72" t="s">
        <v>30</v>
      </c>
      <c r="M236" s="72" t="s">
        <v>30</v>
      </c>
      <c r="N236" s="72" t="s">
        <v>30</v>
      </c>
      <c r="O236" s="73" t="s">
        <v>30</v>
      </c>
      <c r="P236" s="72" t="s">
        <v>30</v>
      </c>
      <c r="Q236" s="72" t="s">
        <v>30</v>
      </c>
      <c r="R236" s="72" t="s">
        <v>30</v>
      </c>
      <c r="S236" s="72" t="s">
        <v>30</v>
      </c>
      <c r="T236" s="72" t="s">
        <v>30</v>
      </c>
      <c r="W236" s="31"/>
    </row>
    <row r="237">
      <c r="B237" s="72" t="s">
        <v>30</v>
      </c>
      <c r="C237" s="72" t="s">
        <v>30</v>
      </c>
      <c r="D237" s="72" t="s">
        <v>30</v>
      </c>
      <c r="E237" s="72" t="s">
        <v>30</v>
      </c>
      <c r="F237" s="72" t="s">
        <v>30</v>
      </c>
      <c r="G237" s="72" t="s">
        <v>30</v>
      </c>
      <c r="H237" s="72" t="s">
        <v>30</v>
      </c>
      <c r="I237" s="73" t="s">
        <v>30</v>
      </c>
      <c r="J237" s="72" t="s">
        <v>30</v>
      </c>
      <c r="K237" s="72" t="s">
        <v>30</v>
      </c>
      <c r="L237" s="72" t="s">
        <v>30</v>
      </c>
      <c r="M237" s="72" t="s">
        <v>30</v>
      </c>
      <c r="N237" s="72" t="s">
        <v>30</v>
      </c>
      <c r="O237" s="73" t="s">
        <v>30</v>
      </c>
      <c r="P237" s="72" t="s">
        <v>30</v>
      </c>
      <c r="Q237" s="72" t="s">
        <v>30</v>
      </c>
      <c r="R237" s="72" t="s">
        <v>30</v>
      </c>
      <c r="S237" s="72" t="s">
        <v>30</v>
      </c>
      <c r="T237" s="72" t="s">
        <v>30</v>
      </c>
      <c r="W237" s="31"/>
    </row>
    <row r="238">
      <c r="B238" s="72" t="s">
        <v>30</v>
      </c>
      <c r="C238" s="72" t="s">
        <v>30</v>
      </c>
      <c r="D238" s="72" t="s">
        <v>30</v>
      </c>
      <c r="E238" s="72" t="s">
        <v>30</v>
      </c>
      <c r="F238" s="72" t="s">
        <v>30</v>
      </c>
      <c r="G238" s="72" t="s">
        <v>30</v>
      </c>
      <c r="H238" s="72" t="s">
        <v>30</v>
      </c>
      <c r="I238" s="73" t="s">
        <v>30</v>
      </c>
      <c r="J238" s="72" t="s">
        <v>30</v>
      </c>
      <c r="K238" s="72" t="s">
        <v>30</v>
      </c>
      <c r="L238" s="72" t="s">
        <v>30</v>
      </c>
      <c r="M238" s="72" t="s">
        <v>30</v>
      </c>
      <c r="N238" s="72" t="s">
        <v>30</v>
      </c>
      <c r="O238" s="73" t="s">
        <v>30</v>
      </c>
      <c r="P238" s="72" t="s">
        <v>30</v>
      </c>
      <c r="Q238" s="72" t="s">
        <v>30</v>
      </c>
      <c r="R238" s="72" t="s">
        <v>30</v>
      </c>
      <c r="S238" s="72" t="s">
        <v>30</v>
      </c>
      <c r="T238" s="72" t="s">
        <v>30</v>
      </c>
      <c r="W238" s="31"/>
    </row>
    <row r="239">
      <c r="B239" s="72" t="s">
        <v>30</v>
      </c>
      <c r="C239" s="72" t="s">
        <v>30</v>
      </c>
      <c r="D239" s="72" t="s">
        <v>30</v>
      </c>
      <c r="E239" s="72" t="s">
        <v>30</v>
      </c>
      <c r="F239" s="72" t="s">
        <v>30</v>
      </c>
      <c r="G239" s="72" t="s">
        <v>30</v>
      </c>
      <c r="H239" s="72" t="s">
        <v>30</v>
      </c>
      <c r="I239" s="73" t="s">
        <v>30</v>
      </c>
      <c r="J239" s="72" t="s">
        <v>30</v>
      </c>
      <c r="K239" s="72" t="s">
        <v>30</v>
      </c>
      <c r="L239" s="72" t="s">
        <v>30</v>
      </c>
      <c r="M239" s="72" t="s">
        <v>30</v>
      </c>
      <c r="N239" s="72" t="s">
        <v>30</v>
      </c>
      <c r="O239" s="73" t="s">
        <v>30</v>
      </c>
      <c r="P239" s="72" t="s">
        <v>30</v>
      </c>
      <c r="Q239" s="72" t="s">
        <v>30</v>
      </c>
      <c r="R239" s="72" t="s">
        <v>30</v>
      </c>
      <c r="S239" s="72" t="s">
        <v>30</v>
      </c>
      <c r="T239" s="72" t="s">
        <v>30</v>
      </c>
      <c r="W239" s="31"/>
    </row>
    <row r="240">
      <c r="B240" s="72" t="s">
        <v>30</v>
      </c>
      <c r="C240" s="72" t="s">
        <v>30</v>
      </c>
      <c r="D240" s="72" t="s">
        <v>30</v>
      </c>
      <c r="E240" s="72" t="s">
        <v>30</v>
      </c>
      <c r="F240" s="72" t="s">
        <v>30</v>
      </c>
      <c r="G240" s="72" t="s">
        <v>30</v>
      </c>
      <c r="H240" s="72" t="s">
        <v>30</v>
      </c>
      <c r="I240" s="73" t="s">
        <v>30</v>
      </c>
      <c r="J240" s="72" t="s">
        <v>30</v>
      </c>
      <c r="K240" s="72" t="s">
        <v>30</v>
      </c>
      <c r="L240" s="72" t="s">
        <v>30</v>
      </c>
      <c r="M240" s="72" t="s">
        <v>30</v>
      </c>
      <c r="N240" s="72" t="s">
        <v>30</v>
      </c>
      <c r="O240" s="73" t="s">
        <v>30</v>
      </c>
      <c r="P240" s="72" t="s">
        <v>30</v>
      </c>
      <c r="Q240" s="72" t="s">
        <v>30</v>
      </c>
      <c r="R240" s="72" t="s">
        <v>30</v>
      </c>
      <c r="S240" s="72" t="s">
        <v>30</v>
      </c>
      <c r="T240" s="72" t="s">
        <v>30</v>
      </c>
      <c r="W240" s="31"/>
    </row>
    <row r="241">
      <c r="B241" s="72" t="s">
        <v>30</v>
      </c>
      <c r="C241" s="72" t="s">
        <v>30</v>
      </c>
      <c r="D241" s="72" t="s">
        <v>30</v>
      </c>
      <c r="E241" s="72" t="s">
        <v>30</v>
      </c>
      <c r="F241" s="72" t="s">
        <v>30</v>
      </c>
      <c r="G241" s="72" t="s">
        <v>30</v>
      </c>
      <c r="H241" s="72" t="s">
        <v>30</v>
      </c>
      <c r="I241" s="73" t="s">
        <v>30</v>
      </c>
      <c r="J241" s="72" t="s">
        <v>30</v>
      </c>
      <c r="K241" s="72" t="s">
        <v>30</v>
      </c>
      <c r="L241" s="72" t="s">
        <v>30</v>
      </c>
      <c r="M241" s="72" t="s">
        <v>30</v>
      </c>
      <c r="N241" s="72" t="s">
        <v>30</v>
      </c>
      <c r="O241" s="73" t="s">
        <v>30</v>
      </c>
      <c r="P241" s="72" t="s">
        <v>30</v>
      </c>
      <c r="Q241" s="72" t="s">
        <v>30</v>
      </c>
      <c r="R241" s="72" t="s">
        <v>30</v>
      </c>
      <c r="S241" s="72" t="s">
        <v>30</v>
      </c>
      <c r="T241" s="72" t="s">
        <v>30</v>
      </c>
      <c r="W241" s="31"/>
    </row>
    <row r="242">
      <c r="B242" s="72" t="s">
        <v>30</v>
      </c>
      <c r="C242" s="72" t="s">
        <v>30</v>
      </c>
      <c r="D242" s="72" t="s">
        <v>30</v>
      </c>
      <c r="E242" s="72" t="s">
        <v>30</v>
      </c>
      <c r="F242" s="72" t="s">
        <v>30</v>
      </c>
      <c r="G242" s="72" t="s">
        <v>30</v>
      </c>
      <c r="H242" s="72" t="s">
        <v>30</v>
      </c>
      <c r="I242" s="73" t="s">
        <v>30</v>
      </c>
      <c r="J242" s="72" t="s">
        <v>30</v>
      </c>
      <c r="K242" s="72" t="s">
        <v>30</v>
      </c>
      <c r="L242" s="72" t="s">
        <v>30</v>
      </c>
      <c r="M242" s="72" t="s">
        <v>30</v>
      </c>
      <c r="N242" s="72" t="s">
        <v>30</v>
      </c>
      <c r="O242" s="73" t="s">
        <v>30</v>
      </c>
      <c r="P242" s="72" t="s">
        <v>30</v>
      </c>
      <c r="Q242" s="72" t="s">
        <v>30</v>
      </c>
      <c r="R242" s="72" t="s">
        <v>30</v>
      </c>
      <c r="S242" s="72" t="s">
        <v>30</v>
      </c>
      <c r="T242" s="72" t="s">
        <v>30</v>
      </c>
      <c r="W242" s="31"/>
    </row>
    <row r="243">
      <c r="B243" s="72" t="s">
        <v>30</v>
      </c>
      <c r="C243" s="72" t="s">
        <v>30</v>
      </c>
      <c r="D243" s="72" t="s">
        <v>30</v>
      </c>
      <c r="E243" s="72" t="s">
        <v>30</v>
      </c>
      <c r="F243" s="72" t="s">
        <v>30</v>
      </c>
      <c r="G243" s="72" t="s">
        <v>30</v>
      </c>
      <c r="H243" s="72" t="s">
        <v>30</v>
      </c>
      <c r="I243" s="73" t="s">
        <v>30</v>
      </c>
      <c r="J243" s="72" t="s">
        <v>30</v>
      </c>
      <c r="K243" s="72" t="s">
        <v>30</v>
      </c>
      <c r="L243" s="72" t="s">
        <v>30</v>
      </c>
      <c r="M243" s="72" t="s">
        <v>30</v>
      </c>
      <c r="N243" s="72" t="s">
        <v>30</v>
      </c>
      <c r="O243" s="73" t="s">
        <v>30</v>
      </c>
      <c r="P243" s="72" t="s">
        <v>30</v>
      </c>
      <c r="Q243" s="72" t="s">
        <v>30</v>
      </c>
      <c r="R243" s="72" t="s">
        <v>30</v>
      </c>
      <c r="S243" s="72" t="s">
        <v>30</v>
      </c>
      <c r="T243" s="72" t="s">
        <v>30</v>
      </c>
      <c r="W243" s="31"/>
    </row>
    <row r="244">
      <c r="B244" s="72" t="s">
        <v>30</v>
      </c>
      <c r="C244" s="72" t="s">
        <v>30</v>
      </c>
      <c r="D244" s="72" t="s">
        <v>30</v>
      </c>
      <c r="E244" s="72" t="s">
        <v>30</v>
      </c>
      <c r="F244" s="72" t="s">
        <v>30</v>
      </c>
      <c r="G244" s="72" t="s">
        <v>30</v>
      </c>
      <c r="H244" s="72" t="s">
        <v>30</v>
      </c>
      <c r="I244" s="73" t="s">
        <v>30</v>
      </c>
      <c r="J244" s="72" t="s">
        <v>30</v>
      </c>
      <c r="K244" s="72" t="s">
        <v>30</v>
      </c>
      <c r="L244" s="72" t="s">
        <v>30</v>
      </c>
      <c r="M244" s="72" t="s">
        <v>30</v>
      </c>
      <c r="N244" s="72" t="s">
        <v>30</v>
      </c>
      <c r="O244" s="73" t="s">
        <v>30</v>
      </c>
      <c r="P244" s="72" t="s">
        <v>30</v>
      </c>
      <c r="Q244" s="72" t="s">
        <v>30</v>
      </c>
      <c r="R244" s="72" t="s">
        <v>30</v>
      </c>
      <c r="S244" s="72" t="s">
        <v>30</v>
      </c>
      <c r="T244" s="72" t="s">
        <v>30</v>
      </c>
      <c r="W244" s="31"/>
    </row>
    <row r="245">
      <c r="B245" s="72" t="s">
        <v>30</v>
      </c>
      <c r="C245" s="72" t="s">
        <v>30</v>
      </c>
      <c r="D245" s="72" t="s">
        <v>30</v>
      </c>
      <c r="E245" s="72" t="s">
        <v>30</v>
      </c>
      <c r="F245" s="72" t="s">
        <v>30</v>
      </c>
      <c r="G245" s="72" t="s">
        <v>30</v>
      </c>
      <c r="H245" s="72" t="s">
        <v>30</v>
      </c>
      <c r="I245" s="73" t="s">
        <v>30</v>
      </c>
      <c r="J245" s="72" t="s">
        <v>30</v>
      </c>
      <c r="K245" s="72" t="s">
        <v>30</v>
      </c>
      <c r="L245" s="72" t="s">
        <v>30</v>
      </c>
      <c r="M245" s="72" t="s">
        <v>30</v>
      </c>
      <c r="N245" s="72" t="s">
        <v>30</v>
      </c>
      <c r="O245" s="73" t="s">
        <v>30</v>
      </c>
      <c r="P245" s="72" t="s">
        <v>30</v>
      </c>
      <c r="Q245" s="72" t="s">
        <v>30</v>
      </c>
      <c r="R245" s="72" t="s">
        <v>30</v>
      </c>
      <c r="S245" s="72" t="s">
        <v>30</v>
      </c>
      <c r="T245" s="72" t="s">
        <v>30</v>
      </c>
      <c r="W245" s="31"/>
    </row>
    <row r="246">
      <c r="B246" s="72" t="s">
        <v>30</v>
      </c>
      <c r="C246" s="72" t="s">
        <v>30</v>
      </c>
      <c r="D246" s="72" t="s">
        <v>30</v>
      </c>
      <c r="E246" s="72" t="s">
        <v>30</v>
      </c>
      <c r="F246" s="72" t="s">
        <v>30</v>
      </c>
      <c r="G246" s="72" t="s">
        <v>30</v>
      </c>
      <c r="H246" s="72" t="s">
        <v>30</v>
      </c>
      <c r="I246" s="73" t="s">
        <v>30</v>
      </c>
      <c r="J246" s="72" t="s">
        <v>30</v>
      </c>
      <c r="K246" s="72" t="s">
        <v>30</v>
      </c>
      <c r="L246" s="72" t="s">
        <v>30</v>
      </c>
      <c r="M246" s="72" t="s">
        <v>30</v>
      </c>
      <c r="N246" s="72" t="s">
        <v>30</v>
      </c>
      <c r="O246" s="73" t="s">
        <v>30</v>
      </c>
      <c r="P246" s="72" t="s">
        <v>30</v>
      </c>
      <c r="Q246" s="72" t="s">
        <v>30</v>
      </c>
      <c r="R246" s="72" t="s">
        <v>30</v>
      </c>
      <c r="S246" s="72" t="s">
        <v>30</v>
      </c>
      <c r="T246" s="72" t="s">
        <v>30</v>
      </c>
      <c r="W246" s="31"/>
    </row>
    <row r="247">
      <c r="B247" s="72" t="s">
        <v>30</v>
      </c>
      <c r="C247" s="72" t="s">
        <v>30</v>
      </c>
      <c r="D247" s="72" t="s">
        <v>30</v>
      </c>
      <c r="E247" s="72" t="s">
        <v>30</v>
      </c>
      <c r="F247" s="72" t="s">
        <v>30</v>
      </c>
      <c r="G247" s="72" t="s">
        <v>30</v>
      </c>
      <c r="H247" s="72" t="s">
        <v>30</v>
      </c>
      <c r="I247" s="73" t="s">
        <v>30</v>
      </c>
      <c r="J247" s="72" t="s">
        <v>30</v>
      </c>
      <c r="K247" s="72" t="s">
        <v>30</v>
      </c>
      <c r="L247" s="72" t="s">
        <v>30</v>
      </c>
      <c r="M247" s="72" t="s">
        <v>30</v>
      </c>
      <c r="N247" s="72" t="s">
        <v>30</v>
      </c>
      <c r="O247" s="73" t="s">
        <v>30</v>
      </c>
      <c r="P247" s="72" t="s">
        <v>30</v>
      </c>
      <c r="Q247" s="72" t="s">
        <v>30</v>
      </c>
      <c r="R247" s="72" t="s">
        <v>30</v>
      </c>
      <c r="S247" s="72" t="s">
        <v>30</v>
      </c>
      <c r="T247" s="72" t="s">
        <v>30</v>
      </c>
      <c r="W247" s="31"/>
    </row>
    <row r="248">
      <c r="B248" s="72" t="s">
        <v>30</v>
      </c>
      <c r="C248" s="72" t="s">
        <v>30</v>
      </c>
      <c r="D248" s="72" t="s">
        <v>30</v>
      </c>
      <c r="E248" s="72" t="s">
        <v>30</v>
      </c>
      <c r="F248" s="72" t="s">
        <v>30</v>
      </c>
      <c r="G248" s="72" t="s">
        <v>30</v>
      </c>
      <c r="H248" s="72" t="s">
        <v>30</v>
      </c>
      <c r="I248" s="73" t="s">
        <v>30</v>
      </c>
      <c r="J248" s="72" t="s">
        <v>30</v>
      </c>
      <c r="K248" s="72" t="s">
        <v>30</v>
      </c>
      <c r="L248" s="72" t="s">
        <v>30</v>
      </c>
      <c r="M248" s="72" t="s">
        <v>30</v>
      </c>
      <c r="N248" s="72" t="s">
        <v>30</v>
      </c>
      <c r="O248" s="73" t="s">
        <v>30</v>
      </c>
      <c r="P248" s="72" t="s">
        <v>30</v>
      </c>
      <c r="Q248" s="72" t="s">
        <v>30</v>
      </c>
      <c r="R248" s="72" t="s">
        <v>30</v>
      </c>
      <c r="S248" s="72" t="s">
        <v>30</v>
      </c>
      <c r="T248" s="72" t="s">
        <v>30</v>
      </c>
      <c r="W248" s="31"/>
    </row>
    <row r="249">
      <c r="B249" s="72" t="s">
        <v>30</v>
      </c>
      <c r="C249" s="72" t="s">
        <v>30</v>
      </c>
      <c r="D249" s="72" t="s">
        <v>30</v>
      </c>
      <c r="E249" s="72" t="s">
        <v>30</v>
      </c>
      <c r="F249" s="72" t="s">
        <v>30</v>
      </c>
      <c r="G249" s="72" t="s">
        <v>30</v>
      </c>
      <c r="H249" s="72" t="s">
        <v>30</v>
      </c>
      <c r="I249" s="73" t="s">
        <v>30</v>
      </c>
      <c r="J249" s="72" t="s">
        <v>30</v>
      </c>
      <c r="K249" s="72" t="s">
        <v>30</v>
      </c>
      <c r="L249" s="72" t="s">
        <v>30</v>
      </c>
      <c r="M249" s="72" t="s">
        <v>30</v>
      </c>
      <c r="N249" s="72" t="s">
        <v>30</v>
      </c>
      <c r="O249" s="73" t="s">
        <v>30</v>
      </c>
      <c r="P249" s="72" t="s">
        <v>30</v>
      </c>
      <c r="Q249" s="72" t="s">
        <v>30</v>
      </c>
      <c r="R249" s="72" t="s">
        <v>30</v>
      </c>
      <c r="S249" s="72" t="s">
        <v>30</v>
      </c>
      <c r="T249" s="72" t="s">
        <v>30</v>
      </c>
      <c r="W249" s="31"/>
    </row>
    <row r="250">
      <c r="B250" s="72" t="s">
        <v>30</v>
      </c>
      <c r="C250" s="72" t="s">
        <v>30</v>
      </c>
      <c r="D250" s="72" t="s">
        <v>30</v>
      </c>
      <c r="E250" s="72" t="s">
        <v>30</v>
      </c>
      <c r="F250" s="72" t="s">
        <v>30</v>
      </c>
      <c r="G250" s="72" t="s">
        <v>30</v>
      </c>
      <c r="H250" s="72" t="s">
        <v>30</v>
      </c>
      <c r="I250" s="73" t="s">
        <v>30</v>
      </c>
      <c r="J250" s="72" t="s">
        <v>30</v>
      </c>
      <c r="K250" s="72" t="s">
        <v>30</v>
      </c>
      <c r="L250" s="72" t="s">
        <v>30</v>
      </c>
      <c r="M250" s="72" t="s">
        <v>30</v>
      </c>
      <c r="N250" s="72" t="s">
        <v>30</v>
      </c>
      <c r="O250" s="73" t="s">
        <v>30</v>
      </c>
      <c r="P250" s="72" t="s">
        <v>30</v>
      </c>
      <c r="Q250" s="72" t="s">
        <v>30</v>
      </c>
      <c r="R250" s="72" t="s">
        <v>30</v>
      </c>
      <c r="S250" s="72" t="s">
        <v>30</v>
      </c>
      <c r="T250" s="72" t="s">
        <v>30</v>
      </c>
      <c r="W250" s="31"/>
    </row>
    <row r="251">
      <c r="B251" s="72" t="s">
        <v>30</v>
      </c>
      <c r="C251" s="72" t="s">
        <v>30</v>
      </c>
      <c r="D251" s="72" t="s">
        <v>30</v>
      </c>
      <c r="E251" s="72" t="s">
        <v>30</v>
      </c>
      <c r="F251" s="72" t="s">
        <v>30</v>
      </c>
      <c r="G251" s="72" t="s">
        <v>30</v>
      </c>
      <c r="H251" s="72" t="s">
        <v>30</v>
      </c>
      <c r="I251" s="73" t="s">
        <v>30</v>
      </c>
      <c r="J251" s="72" t="s">
        <v>30</v>
      </c>
      <c r="K251" s="72" t="s">
        <v>30</v>
      </c>
      <c r="L251" s="72" t="s">
        <v>30</v>
      </c>
      <c r="M251" s="72" t="s">
        <v>30</v>
      </c>
      <c r="N251" s="72" t="s">
        <v>30</v>
      </c>
      <c r="O251" s="73" t="s">
        <v>30</v>
      </c>
      <c r="P251" s="72" t="s">
        <v>30</v>
      </c>
      <c r="Q251" s="72" t="s">
        <v>30</v>
      </c>
      <c r="R251" s="72" t="s">
        <v>30</v>
      </c>
      <c r="S251" s="72" t="s">
        <v>30</v>
      </c>
      <c r="T251" s="72" t="s">
        <v>30</v>
      </c>
      <c r="W251" s="31"/>
    </row>
    <row r="252">
      <c r="B252" s="72" t="s">
        <v>30</v>
      </c>
      <c r="C252" s="72" t="s">
        <v>30</v>
      </c>
      <c r="D252" s="72" t="s">
        <v>30</v>
      </c>
      <c r="E252" s="72" t="s">
        <v>30</v>
      </c>
      <c r="F252" s="72" t="s">
        <v>30</v>
      </c>
      <c r="G252" s="72" t="s">
        <v>30</v>
      </c>
      <c r="H252" s="72" t="s">
        <v>30</v>
      </c>
      <c r="I252" s="73" t="s">
        <v>30</v>
      </c>
      <c r="J252" s="72" t="s">
        <v>30</v>
      </c>
      <c r="K252" s="72" t="s">
        <v>30</v>
      </c>
      <c r="L252" s="72" t="s">
        <v>30</v>
      </c>
      <c r="M252" s="72" t="s">
        <v>30</v>
      </c>
      <c r="N252" s="72" t="s">
        <v>30</v>
      </c>
      <c r="O252" s="73" t="s">
        <v>30</v>
      </c>
      <c r="P252" s="72" t="s">
        <v>30</v>
      </c>
      <c r="Q252" s="72" t="s">
        <v>30</v>
      </c>
      <c r="R252" s="72" t="s">
        <v>30</v>
      </c>
      <c r="S252" s="72" t="s">
        <v>30</v>
      </c>
      <c r="T252" s="72" t="s">
        <v>30</v>
      </c>
      <c r="W252" s="31"/>
    </row>
    <row r="253">
      <c r="B253" s="72" t="s">
        <v>30</v>
      </c>
      <c r="C253" s="72" t="s">
        <v>30</v>
      </c>
      <c r="D253" s="72" t="s">
        <v>30</v>
      </c>
      <c r="E253" s="72" t="s">
        <v>30</v>
      </c>
      <c r="F253" s="72" t="s">
        <v>30</v>
      </c>
      <c r="G253" s="72" t="s">
        <v>30</v>
      </c>
      <c r="H253" s="72" t="s">
        <v>30</v>
      </c>
      <c r="I253" s="73" t="s">
        <v>30</v>
      </c>
      <c r="J253" s="72" t="s">
        <v>30</v>
      </c>
      <c r="K253" s="72" t="s">
        <v>30</v>
      </c>
      <c r="L253" s="72" t="s">
        <v>30</v>
      </c>
      <c r="M253" s="72" t="s">
        <v>30</v>
      </c>
      <c r="N253" s="72" t="s">
        <v>30</v>
      </c>
      <c r="O253" s="73" t="s">
        <v>30</v>
      </c>
      <c r="P253" s="72" t="s">
        <v>30</v>
      </c>
      <c r="Q253" s="72" t="s">
        <v>30</v>
      </c>
      <c r="R253" s="72" t="s">
        <v>30</v>
      </c>
      <c r="S253" s="72" t="s">
        <v>30</v>
      </c>
      <c r="T253" s="72" t="s">
        <v>30</v>
      </c>
      <c r="W253" s="31"/>
    </row>
    <row r="254">
      <c r="B254" s="72" t="s">
        <v>30</v>
      </c>
      <c r="C254" s="72" t="s">
        <v>30</v>
      </c>
      <c r="D254" s="72" t="s">
        <v>30</v>
      </c>
      <c r="E254" s="72" t="s">
        <v>30</v>
      </c>
      <c r="F254" s="72" t="s">
        <v>30</v>
      </c>
      <c r="G254" s="72" t="s">
        <v>30</v>
      </c>
      <c r="H254" s="72" t="s">
        <v>30</v>
      </c>
      <c r="I254" s="73" t="s">
        <v>30</v>
      </c>
      <c r="J254" s="72" t="s">
        <v>30</v>
      </c>
      <c r="K254" s="72" t="s">
        <v>30</v>
      </c>
      <c r="L254" s="72" t="s">
        <v>30</v>
      </c>
      <c r="M254" s="72" t="s">
        <v>30</v>
      </c>
      <c r="N254" s="72" t="s">
        <v>30</v>
      </c>
      <c r="O254" s="73" t="s">
        <v>30</v>
      </c>
      <c r="P254" s="72" t="s">
        <v>30</v>
      </c>
      <c r="Q254" s="72" t="s">
        <v>30</v>
      </c>
      <c r="R254" s="72" t="s">
        <v>30</v>
      </c>
      <c r="S254" s="72" t="s">
        <v>30</v>
      </c>
      <c r="T254" s="72" t="s">
        <v>30</v>
      </c>
      <c r="W254" s="31"/>
    </row>
    <row r="255">
      <c r="B255" s="72" t="s">
        <v>30</v>
      </c>
      <c r="C255" s="72" t="s">
        <v>30</v>
      </c>
      <c r="D255" s="72" t="s">
        <v>30</v>
      </c>
      <c r="E255" s="72" t="s">
        <v>30</v>
      </c>
      <c r="F255" s="72" t="s">
        <v>30</v>
      </c>
      <c r="G255" s="72" t="s">
        <v>30</v>
      </c>
      <c r="H255" s="72" t="s">
        <v>30</v>
      </c>
      <c r="I255" s="73" t="s">
        <v>30</v>
      </c>
      <c r="J255" s="72" t="s">
        <v>30</v>
      </c>
      <c r="K255" s="72" t="s">
        <v>30</v>
      </c>
      <c r="L255" s="72" t="s">
        <v>30</v>
      </c>
      <c r="M255" s="72" t="s">
        <v>30</v>
      </c>
      <c r="N255" s="72" t="s">
        <v>30</v>
      </c>
      <c r="O255" s="73" t="s">
        <v>30</v>
      </c>
      <c r="P255" s="72" t="s">
        <v>30</v>
      </c>
      <c r="Q255" s="72" t="s">
        <v>30</v>
      </c>
      <c r="R255" s="72" t="s">
        <v>30</v>
      </c>
      <c r="S255" s="72" t="s">
        <v>30</v>
      </c>
      <c r="T255" s="72" t="s">
        <v>30</v>
      </c>
      <c r="W255" s="31"/>
    </row>
    <row r="256">
      <c r="B256" s="72" t="s">
        <v>30</v>
      </c>
      <c r="C256" s="72" t="s">
        <v>30</v>
      </c>
      <c r="D256" s="72" t="s">
        <v>30</v>
      </c>
      <c r="E256" s="72" t="s">
        <v>30</v>
      </c>
      <c r="F256" s="72" t="s">
        <v>30</v>
      </c>
      <c r="G256" s="72" t="s">
        <v>30</v>
      </c>
      <c r="H256" s="72" t="s">
        <v>30</v>
      </c>
      <c r="I256" s="73" t="s">
        <v>30</v>
      </c>
      <c r="J256" s="72" t="s">
        <v>30</v>
      </c>
      <c r="K256" s="72" t="s">
        <v>30</v>
      </c>
      <c r="L256" s="72" t="s">
        <v>30</v>
      </c>
      <c r="M256" s="72" t="s">
        <v>30</v>
      </c>
      <c r="N256" s="72" t="s">
        <v>30</v>
      </c>
      <c r="O256" s="73" t="s">
        <v>30</v>
      </c>
      <c r="P256" s="72" t="s">
        <v>30</v>
      </c>
      <c r="Q256" s="72" t="s">
        <v>30</v>
      </c>
      <c r="R256" s="72" t="s">
        <v>30</v>
      </c>
      <c r="S256" s="72" t="s">
        <v>30</v>
      </c>
      <c r="T256" s="72" t="s">
        <v>30</v>
      </c>
      <c r="W256" s="31"/>
    </row>
    <row r="257">
      <c r="B257" s="72" t="s">
        <v>30</v>
      </c>
      <c r="C257" s="72" t="s">
        <v>30</v>
      </c>
      <c r="D257" s="72" t="s">
        <v>30</v>
      </c>
      <c r="E257" s="72" t="s">
        <v>30</v>
      </c>
      <c r="F257" s="72" t="s">
        <v>30</v>
      </c>
      <c r="G257" s="72" t="s">
        <v>30</v>
      </c>
      <c r="H257" s="72" t="s">
        <v>30</v>
      </c>
      <c r="I257" s="73" t="s">
        <v>30</v>
      </c>
      <c r="J257" s="72" t="s">
        <v>30</v>
      </c>
      <c r="K257" s="72" t="s">
        <v>30</v>
      </c>
      <c r="L257" s="72" t="s">
        <v>30</v>
      </c>
      <c r="M257" s="72" t="s">
        <v>30</v>
      </c>
      <c r="N257" s="72" t="s">
        <v>30</v>
      </c>
      <c r="O257" s="73" t="s">
        <v>30</v>
      </c>
      <c r="P257" s="72" t="s">
        <v>30</v>
      </c>
      <c r="Q257" s="72" t="s">
        <v>30</v>
      </c>
      <c r="R257" s="72" t="s">
        <v>30</v>
      </c>
      <c r="S257" s="72" t="s">
        <v>30</v>
      </c>
      <c r="T257" s="72" t="s">
        <v>30</v>
      </c>
      <c r="W257" s="31"/>
    </row>
    <row r="258">
      <c r="B258" s="72" t="s">
        <v>30</v>
      </c>
      <c r="C258" s="72" t="s">
        <v>30</v>
      </c>
      <c r="D258" s="72" t="s">
        <v>30</v>
      </c>
      <c r="E258" s="72" t="s">
        <v>30</v>
      </c>
      <c r="F258" s="72" t="s">
        <v>30</v>
      </c>
      <c r="G258" s="72" t="s">
        <v>30</v>
      </c>
      <c r="H258" s="72" t="s">
        <v>30</v>
      </c>
      <c r="I258" s="73" t="s">
        <v>30</v>
      </c>
      <c r="J258" s="72" t="s">
        <v>30</v>
      </c>
      <c r="K258" s="72" t="s">
        <v>30</v>
      </c>
      <c r="L258" s="72" t="s">
        <v>30</v>
      </c>
      <c r="M258" s="72" t="s">
        <v>30</v>
      </c>
      <c r="N258" s="72" t="s">
        <v>30</v>
      </c>
      <c r="O258" s="73" t="s">
        <v>30</v>
      </c>
      <c r="P258" s="72" t="s">
        <v>30</v>
      </c>
      <c r="Q258" s="72" t="s">
        <v>30</v>
      </c>
      <c r="R258" s="72" t="s">
        <v>30</v>
      </c>
      <c r="S258" s="72" t="s">
        <v>30</v>
      </c>
      <c r="T258" s="72" t="s">
        <v>30</v>
      </c>
      <c r="W258" s="31"/>
    </row>
    <row r="259">
      <c r="B259" s="72" t="s">
        <v>30</v>
      </c>
      <c r="C259" s="72" t="s">
        <v>30</v>
      </c>
      <c r="D259" s="72" t="s">
        <v>30</v>
      </c>
      <c r="E259" s="72" t="s">
        <v>30</v>
      </c>
      <c r="F259" s="72" t="s">
        <v>30</v>
      </c>
      <c r="G259" s="72" t="s">
        <v>30</v>
      </c>
      <c r="H259" s="72" t="s">
        <v>30</v>
      </c>
      <c r="I259" s="73" t="s">
        <v>30</v>
      </c>
      <c r="J259" s="72" t="s">
        <v>30</v>
      </c>
      <c r="K259" s="72" t="s">
        <v>30</v>
      </c>
      <c r="L259" s="72" t="s">
        <v>30</v>
      </c>
      <c r="M259" s="72" t="s">
        <v>30</v>
      </c>
      <c r="N259" s="72" t="s">
        <v>30</v>
      </c>
      <c r="O259" s="73" t="s">
        <v>30</v>
      </c>
      <c r="P259" s="72" t="s">
        <v>30</v>
      </c>
      <c r="Q259" s="72" t="s">
        <v>30</v>
      </c>
      <c r="R259" s="72" t="s">
        <v>30</v>
      </c>
      <c r="S259" s="72" t="s">
        <v>30</v>
      </c>
      <c r="T259" s="72" t="s">
        <v>30</v>
      </c>
      <c r="W259" s="31"/>
    </row>
    <row r="260">
      <c r="B260" s="72" t="s">
        <v>30</v>
      </c>
      <c r="C260" s="72" t="s">
        <v>30</v>
      </c>
      <c r="D260" s="72" t="s">
        <v>30</v>
      </c>
      <c r="E260" s="72" t="s">
        <v>30</v>
      </c>
      <c r="F260" s="72" t="s">
        <v>30</v>
      </c>
      <c r="G260" s="72" t="s">
        <v>30</v>
      </c>
      <c r="H260" s="72" t="s">
        <v>30</v>
      </c>
      <c r="I260" s="73" t="s">
        <v>30</v>
      </c>
      <c r="J260" s="72" t="s">
        <v>30</v>
      </c>
      <c r="K260" s="72" t="s">
        <v>30</v>
      </c>
      <c r="L260" s="72" t="s">
        <v>30</v>
      </c>
      <c r="M260" s="72" t="s">
        <v>30</v>
      </c>
      <c r="N260" s="72" t="s">
        <v>30</v>
      </c>
      <c r="O260" s="73" t="s">
        <v>30</v>
      </c>
      <c r="P260" s="72" t="s">
        <v>30</v>
      </c>
      <c r="Q260" s="72" t="s">
        <v>30</v>
      </c>
      <c r="R260" s="72" t="s">
        <v>30</v>
      </c>
      <c r="S260" s="72" t="s">
        <v>30</v>
      </c>
      <c r="T260" s="72" t="s">
        <v>30</v>
      </c>
      <c r="W260" s="31"/>
    </row>
    <row r="261">
      <c r="B261" s="72" t="s">
        <v>30</v>
      </c>
      <c r="C261" s="72" t="s">
        <v>30</v>
      </c>
      <c r="D261" s="72" t="s">
        <v>30</v>
      </c>
      <c r="E261" s="72" t="s">
        <v>30</v>
      </c>
      <c r="F261" s="72" t="s">
        <v>30</v>
      </c>
      <c r="G261" s="72" t="s">
        <v>30</v>
      </c>
      <c r="H261" s="72" t="s">
        <v>30</v>
      </c>
      <c r="I261" s="73" t="s">
        <v>30</v>
      </c>
      <c r="J261" s="72" t="s">
        <v>30</v>
      </c>
      <c r="K261" s="72" t="s">
        <v>30</v>
      </c>
      <c r="L261" s="72" t="s">
        <v>30</v>
      </c>
      <c r="M261" s="72" t="s">
        <v>30</v>
      </c>
      <c r="N261" s="72" t="s">
        <v>30</v>
      </c>
      <c r="O261" s="73" t="s">
        <v>30</v>
      </c>
      <c r="P261" s="72" t="s">
        <v>30</v>
      </c>
      <c r="Q261" s="72" t="s">
        <v>30</v>
      </c>
      <c r="R261" s="72" t="s">
        <v>30</v>
      </c>
      <c r="S261" s="72" t="s">
        <v>30</v>
      </c>
      <c r="T261" s="72" t="s">
        <v>30</v>
      </c>
      <c r="W261" s="31"/>
    </row>
    <row r="262">
      <c r="B262" s="72" t="s">
        <v>30</v>
      </c>
      <c r="C262" s="72" t="s">
        <v>30</v>
      </c>
      <c r="D262" s="72" t="s">
        <v>30</v>
      </c>
      <c r="E262" s="72" t="s">
        <v>30</v>
      </c>
      <c r="F262" s="72" t="s">
        <v>30</v>
      </c>
      <c r="G262" s="72" t="s">
        <v>30</v>
      </c>
      <c r="H262" s="72" t="s">
        <v>30</v>
      </c>
      <c r="I262" s="73" t="s">
        <v>30</v>
      </c>
      <c r="J262" s="72" t="s">
        <v>30</v>
      </c>
      <c r="K262" s="72" t="s">
        <v>30</v>
      </c>
      <c r="L262" s="72" t="s">
        <v>30</v>
      </c>
      <c r="M262" s="72" t="s">
        <v>30</v>
      </c>
      <c r="N262" s="72" t="s">
        <v>30</v>
      </c>
      <c r="O262" s="73" t="s">
        <v>30</v>
      </c>
      <c r="P262" s="72" t="s">
        <v>30</v>
      </c>
      <c r="Q262" s="72" t="s">
        <v>30</v>
      </c>
      <c r="R262" s="72" t="s">
        <v>30</v>
      </c>
      <c r="S262" s="72" t="s">
        <v>30</v>
      </c>
      <c r="T262" s="72" t="s">
        <v>30</v>
      </c>
      <c r="W262" s="31"/>
    </row>
    <row r="263">
      <c r="B263" s="72" t="s">
        <v>30</v>
      </c>
      <c r="C263" s="72" t="s">
        <v>30</v>
      </c>
      <c r="D263" s="72" t="s">
        <v>30</v>
      </c>
      <c r="E263" s="72" t="s">
        <v>30</v>
      </c>
      <c r="F263" s="72" t="s">
        <v>30</v>
      </c>
      <c r="G263" s="72" t="s">
        <v>30</v>
      </c>
      <c r="H263" s="72" t="s">
        <v>30</v>
      </c>
      <c r="I263" s="73" t="s">
        <v>30</v>
      </c>
      <c r="J263" s="72" t="s">
        <v>30</v>
      </c>
      <c r="K263" s="72" t="s">
        <v>30</v>
      </c>
      <c r="L263" s="72" t="s">
        <v>30</v>
      </c>
      <c r="M263" s="72" t="s">
        <v>30</v>
      </c>
      <c r="N263" s="72" t="s">
        <v>30</v>
      </c>
      <c r="O263" s="73" t="s">
        <v>30</v>
      </c>
      <c r="P263" s="72" t="s">
        <v>30</v>
      </c>
      <c r="Q263" s="72" t="s">
        <v>30</v>
      </c>
      <c r="R263" s="72" t="s">
        <v>30</v>
      </c>
      <c r="S263" s="72" t="s">
        <v>30</v>
      </c>
      <c r="T263" s="72" t="s">
        <v>30</v>
      </c>
      <c r="W263" s="31"/>
    </row>
    <row r="264">
      <c r="B264" s="72" t="s">
        <v>30</v>
      </c>
      <c r="C264" s="72" t="s">
        <v>30</v>
      </c>
      <c r="D264" s="72" t="s">
        <v>30</v>
      </c>
      <c r="E264" s="72" t="s">
        <v>30</v>
      </c>
      <c r="F264" s="72" t="s">
        <v>30</v>
      </c>
      <c r="G264" s="72" t="s">
        <v>30</v>
      </c>
      <c r="H264" s="72" t="s">
        <v>30</v>
      </c>
      <c r="I264" s="73" t="s">
        <v>30</v>
      </c>
      <c r="J264" s="72" t="s">
        <v>30</v>
      </c>
      <c r="K264" s="72" t="s">
        <v>30</v>
      </c>
      <c r="L264" s="72" t="s">
        <v>30</v>
      </c>
      <c r="M264" s="72" t="s">
        <v>30</v>
      </c>
      <c r="N264" s="72" t="s">
        <v>30</v>
      </c>
      <c r="O264" s="73" t="s">
        <v>30</v>
      </c>
      <c r="P264" s="72" t="s">
        <v>30</v>
      </c>
      <c r="Q264" s="72" t="s">
        <v>30</v>
      </c>
      <c r="R264" s="72" t="s">
        <v>30</v>
      </c>
      <c r="S264" s="72" t="s">
        <v>30</v>
      </c>
      <c r="T264" s="72" t="s">
        <v>30</v>
      </c>
      <c r="W264" s="31"/>
    </row>
    <row r="265">
      <c r="B265" s="72" t="s">
        <v>30</v>
      </c>
      <c r="C265" s="72" t="s">
        <v>30</v>
      </c>
      <c r="D265" s="72" t="s">
        <v>30</v>
      </c>
      <c r="E265" s="72" t="s">
        <v>30</v>
      </c>
      <c r="F265" s="72" t="s">
        <v>30</v>
      </c>
      <c r="G265" s="72" t="s">
        <v>30</v>
      </c>
      <c r="H265" s="72" t="s">
        <v>30</v>
      </c>
      <c r="I265" s="73" t="s">
        <v>30</v>
      </c>
      <c r="J265" s="72" t="s">
        <v>30</v>
      </c>
      <c r="K265" s="72" t="s">
        <v>30</v>
      </c>
      <c r="L265" s="72" t="s">
        <v>30</v>
      </c>
      <c r="M265" s="72" t="s">
        <v>30</v>
      </c>
      <c r="N265" s="72" t="s">
        <v>30</v>
      </c>
      <c r="O265" s="73" t="s">
        <v>30</v>
      </c>
      <c r="P265" s="72" t="s">
        <v>30</v>
      </c>
      <c r="Q265" s="72" t="s">
        <v>30</v>
      </c>
      <c r="R265" s="72" t="s">
        <v>30</v>
      </c>
      <c r="S265" s="72" t="s">
        <v>30</v>
      </c>
      <c r="T265" s="72" t="s">
        <v>30</v>
      </c>
      <c r="W265" s="31"/>
    </row>
    <row r="266">
      <c r="B266" s="72" t="s">
        <v>30</v>
      </c>
      <c r="C266" s="72" t="s">
        <v>30</v>
      </c>
      <c r="D266" s="72" t="s">
        <v>30</v>
      </c>
      <c r="E266" s="72" t="s">
        <v>30</v>
      </c>
      <c r="F266" s="72" t="s">
        <v>30</v>
      </c>
      <c r="G266" s="72" t="s">
        <v>30</v>
      </c>
      <c r="H266" s="72" t="s">
        <v>30</v>
      </c>
      <c r="I266" s="73" t="s">
        <v>30</v>
      </c>
      <c r="J266" s="72" t="s">
        <v>30</v>
      </c>
      <c r="K266" s="72" t="s">
        <v>30</v>
      </c>
      <c r="L266" s="72" t="s">
        <v>30</v>
      </c>
      <c r="M266" s="72" t="s">
        <v>30</v>
      </c>
      <c r="N266" s="72" t="s">
        <v>30</v>
      </c>
      <c r="O266" s="73" t="s">
        <v>30</v>
      </c>
      <c r="P266" s="72" t="s">
        <v>30</v>
      </c>
      <c r="Q266" s="72" t="s">
        <v>30</v>
      </c>
      <c r="R266" s="72" t="s">
        <v>30</v>
      </c>
      <c r="S266" s="72" t="s">
        <v>30</v>
      </c>
      <c r="T266" s="72" t="s">
        <v>30</v>
      </c>
      <c r="W266" s="31"/>
    </row>
    <row r="267">
      <c r="B267" s="72" t="s">
        <v>30</v>
      </c>
      <c r="C267" s="72" t="s">
        <v>30</v>
      </c>
      <c r="D267" s="72" t="s">
        <v>30</v>
      </c>
      <c r="E267" s="72" t="s">
        <v>30</v>
      </c>
      <c r="F267" s="72" t="s">
        <v>30</v>
      </c>
      <c r="G267" s="72" t="s">
        <v>30</v>
      </c>
      <c r="H267" s="72" t="s">
        <v>30</v>
      </c>
      <c r="I267" s="73" t="s">
        <v>30</v>
      </c>
      <c r="J267" s="72" t="s">
        <v>30</v>
      </c>
      <c r="K267" s="72" t="s">
        <v>30</v>
      </c>
      <c r="L267" s="72" t="s">
        <v>30</v>
      </c>
      <c r="M267" s="72" t="s">
        <v>30</v>
      </c>
      <c r="N267" s="72" t="s">
        <v>30</v>
      </c>
      <c r="O267" s="73" t="s">
        <v>30</v>
      </c>
      <c r="P267" s="72" t="s">
        <v>30</v>
      </c>
      <c r="Q267" s="72" t="s">
        <v>30</v>
      </c>
      <c r="R267" s="72" t="s">
        <v>30</v>
      </c>
      <c r="S267" s="72" t="s">
        <v>30</v>
      </c>
      <c r="T267" s="72" t="s">
        <v>30</v>
      </c>
      <c r="W267" s="31"/>
    </row>
    <row r="268">
      <c r="B268" s="72" t="s">
        <v>30</v>
      </c>
      <c r="C268" s="72" t="s">
        <v>30</v>
      </c>
      <c r="D268" s="72" t="s">
        <v>30</v>
      </c>
      <c r="E268" s="72" t="s">
        <v>30</v>
      </c>
      <c r="F268" s="72" t="s">
        <v>30</v>
      </c>
      <c r="G268" s="72" t="s">
        <v>30</v>
      </c>
      <c r="H268" s="72" t="s">
        <v>30</v>
      </c>
      <c r="I268" s="73" t="s">
        <v>30</v>
      </c>
      <c r="J268" s="72" t="s">
        <v>30</v>
      </c>
      <c r="K268" s="72" t="s">
        <v>30</v>
      </c>
      <c r="L268" s="72" t="s">
        <v>30</v>
      </c>
      <c r="M268" s="72" t="s">
        <v>30</v>
      </c>
      <c r="N268" s="72" t="s">
        <v>30</v>
      </c>
      <c r="O268" s="73" t="s">
        <v>30</v>
      </c>
      <c r="P268" s="72" t="s">
        <v>30</v>
      </c>
      <c r="Q268" s="72" t="s">
        <v>30</v>
      </c>
      <c r="R268" s="72" t="s">
        <v>30</v>
      </c>
      <c r="S268" s="72" t="s">
        <v>30</v>
      </c>
      <c r="T268" s="72" t="s">
        <v>30</v>
      </c>
      <c r="W268" s="31"/>
    </row>
    <row r="269">
      <c r="B269" s="72" t="s">
        <v>30</v>
      </c>
      <c r="C269" s="72" t="s">
        <v>30</v>
      </c>
      <c r="D269" s="72" t="s">
        <v>30</v>
      </c>
      <c r="E269" s="72" t="s">
        <v>30</v>
      </c>
      <c r="F269" s="72" t="s">
        <v>30</v>
      </c>
      <c r="G269" s="72" t="s">
        <v>30</v>
      </c>
      <c r="H269" s="72" t="s">
        <v>30</v>
      </c>
      <c r="I269" s="73" t="s">
        <v>30</v>
      </c>
      <c r="J269" s="72" t="s">
        <v>30</v>
      </c>
      <c r="K269" s="72" t="s">
        <v>30</v>
      </c>
      <c r="L269" s="72" t="s">
        <v>30</v>
      </c>
      <c r="M269" s="72" t="s">
        <v>30</v>
      </c>
      <c r="N269" s="72" t="s">
        <v>30</v>
      </c>
      <c r="O269" s="73" t="s">
        <v>30</v>
      </c>
      <c r="P269" s="72" t="s">
        <v>30</v>
      </c>
      <c r="Q269" s="72" t="s">
        <v>30</v>
      </c>
      <c r="R269" s="72" t="s">
        <v>30</v>
      </c>
      <c r="S269" s="72" t="s">
        <v>30</v>
      </c>
      <c r="T269" s="72" t="s">
        <v>30</v>
      </c>
      <c r="W269" s="31"/>
    </row>
    <row r="270">
      <c r="B270" s="72" t="s">
        <v>30</v>
      </c>
      <c r="C270" s="72" t="s">
        <v>30</v>
      </c>
      <c r="D270" s="72" t="s">
        <v>30</v>
      </c>
      <c r="E270" s="72" t="s">
        <v>30</v>
      </c>
      <c r="F270" s="72" t="s">
        <v>30</v>
      </c>
      <c r="G270" s="72" t="s">
        <v>30</v>
      </c>
      <c r="H270" s="72" t="s">
        <v>30</v>
      </c>
      <c r="I270" s="73" t="s">
        <v>30</v>
      </c>
      <c r="J270" s="72" t="s">
        <v>30</v>
      </c>
      <c r="K270" s="72" t="s">
        <v>30</v>
      </c>
      <c r="L270" s="72" t="s">
        <v>30</v>
      </c>
      <c r="M270" s="72" t="s">
        <v>30</v>
      </c>
      <c r="N270" s="72" t="s">
        <v>30</v>
      </c>
      <c r="O270" s="73" t="s">
        <v>30</v>
      </c>
      <c r="P270" s="72" t="s">
        <v>30</v>
      </c>
      <c r="Q270" s="72" t="s">
        <v>30</v>
      </c>
      <c r="R270" s="72" t="s">
        <v>30</v>
      </c>
      <c r="S270" s="72" t="s">
        <v>30</v>
      </c>
      <c r="T270" s="72" t="s">
        <v>30</v>
      </c>
      <c r="W270" s="31"/>
    </row>
    <row r="271">
      <c r="B271" s="72" t="s">
        <v>30</v>
      </c>
      <c r="C271" s="72" t="s">
        <v>30</v>
      </c>
      <c r="D271" s="72" t="s">
        <v>30</v>
      </c>
      <c r="E271" s="72" t="s">
        <v>30</v>
      </c>
      <c r="F271" s="72" t="s">
        <v>30</v>
      </c>
      <c r="G271" s="72" t="s">
        <v>30</v>
      </c>
      <c r="H271" s="72" t="s">
        <v>30</v>
      </c>
      <c r="I271" s="73" t="s">
        <v>30</v>
      </c>
      <c r="J271" s="72" t="s">
        <v>30</v>
      </c>
      <c r="K271" s="72" t="s">
        <v>30</v>
      </c>
      <c r="L271" s="72" t="s">
        <v>30</v>
      </c>
      <c r="M271" s="72" t="s">
        <v>30</v>
      </c>
      <c r="N271" s="72" t="s">
        <v>30</v>
      </c>
      <c r="O271" s="73" t="s">
        <v>30</v>
      </c>
      <c r="P271" s="72" t="s">
        <v>30</v>
      </c>
      <c r="Q271" s="72" t="s">
        <v>30</v>
      </c>
      <c r="R271" s="72" t="s">
        <v>30</v>
      </c>
      <c r="S271" s="72" t="s">
        <v>30</v>
      </c>
      <c r="T271" s="72" t="s">
        <v>30</v>
      </c>
      <c r="W271" s="31"/>
    </row>
    <row r="272">
      <c r="B272" s="72" t="s">
        <v>30</v>
      </c>
      <c r="C272" s="72" t="s">
        <v>30</v>
      </c>
      <c r="D272" s="72" t="s">
        <v>30</v>
      </c>
      <c r="E272" s="72" t="s">
        <v>30</v>
      </c>
      <c r="F272" s="72" t="s">
        <v>30</v>
      </c>
      <c r="G272" s="72" t="s">
        <v>30</v>
      </c>
      <c r="H272" s="72" t="s">
        <v>30</v>
      </c>
      <c r="I272" s="73" t="s">
        <v>30</v>
      </c>
      <c r="J272" s="72" t="s">
        <v>30</v>
      </c>
      <c r="K272" s="72" t="s">
        <v>30</v>
      </c>
      <c r="L272" s="72" t="s">
        <v>30</v>
      </c>
      <c r="M272" s="72" t="s">
        <v>30</v>
      </c>
      <c r="N272" s="72" t="s">
        <v>30</v>
      </c>
      <c r="O272" s="73" t="s">
        <v>30</v>
      </c>
      <c r="P272" s="72" t="s">
        <v>30</v>
      </c>
      <c r="Q272" s="72" t="s">
        <v>30</v>
      </c>
      <c r="R272" s="72" t="s">
        <v>30</v>
      </c>
      <c r="S272" s="72" t="s">
        <v>30</v>
      </c>
      <c r="T272" s="72" t="s">
        <v>30</v>
      </c>
      <c r="W272" s="31"/>
    </row>
    <row r="273">
      <c r="B273" s="72" t="s">
        <v>30</v>
      </c>
      <c r="C273" s="72" t="s">
        <v>30</v>
      </c>
      <c r="D273" s="72" t="s">
        <v>30</v>
      </c>
      <c r="E273" s="72" t="s">
        <v>30</v>
      </c>
      <c r="F273" s="72" t="s">
        <v>30</v>
      </c>
      <c r="G273" s="72" t="s">
        <v>30</v>
      </c>
      <c r="H273" s="72" t="s">
        <v>30</v>
      </c>
      <c r="I273" s="73" t="s">
        <v>30</v>
      </c>
      <c r="J273" s="72" t="s">
        <v>30</v>
      </c>
      <c r="K273" s="72" t="s">
        <v>30</v>
      </c>
      <c r="L273" s="72" t="s">
        <v>30</v>
      </c>
      <c r="M273" s="72" t="s">
        <v>30</v>
      </c>
      <c r="N273" s="72" t="s">
        <v>30</v>
      </c>
      <c r="O273" s="73" t="s">
        <v>30</v>
      </c>
      <c r="P273" s="72" t="s">
        <v>30</v>
      </c>
      <c r="Q273" s="72" t="s">
        <v>30</v>
      </c>
      <c r="R273" s="72" t="s">
        <v>30</v>
      </c>
      <c r="S273" s="72" t="s">
        <v>30</v>
      </c>
      <c r="T273" s="72" t="s">
        <v>30</v>
      </c>
      <c r="W273" s="31"/>
    </row>
    <row r="274">
      <c r="B274" s="72" t="s">
        <v>30</v>
      </c>
      <c r="C274" s="72" t="s">
        <v>30</v>
      </c>
      <c r="D274" s="72" t="s">
        <v>30</v>
      </c>
      <c r="E274" s="72" t="s">
        <v>30</v>
      </c>
      <c r="F274" s="72" t="s">
        <v>30</v>
      </c>
      <c r="G274" s="72" t="s">
        <v>30</v>
      </c>
      <c r="H274" s="72" t="s">
        <v>30</v>
      </c>
      <c r="I274" s="73" t="s">
        <v>30</v>
      </c>
      <c r="J274" s="72" t="s">
        <v>30</v>
      </c>
      <c r="K274" s="72" t="s">
        <v>30</v>
      </c>
      <c r="L274" s="72" t="s">
        <v>30</v>
      </c>
      <c r="M274" s="72" t="s">
        <v>30</v>
      </c>
      <c r="N274" s="72" t="s">
        <v>30</v>
      </c>
      <c r="O274" s="73" t="s">
        <v>30</v>
      </c>
      <c r="P274" s="72" t="s">
        <v>30</v>
      </c>
      <c r="Q274" s="72" t="s">
        <v>30</v>
      </c>
      <c r="R274" s="72" t="s">
        <v>30</v>
      </c>
      <c r="S274" s="72" t="s">
        <v>30</v>
      </c>
      <c r="T274" s="72" t="s">
        <v>30</v>
      </c>
      <c r="W274" s="31"/>
    </row>
    <row r="275">
      <c r="B275" s="72" t="s">
        <v>30</v>
      </c>
      <c r="C275" s="72" t="s">
        <v>30</v>
      </c>
      <c r="D275" s="72" t="s">
        <v>30</v>
      </c>
      <c r="E275" s="72" t="s">
        <v>30</v>
      </c>
      <c r="F275" s="72" t="s">
        <v>30</v>
      </c>
      <c r="G275" s="72" t="s">
        <v>30</v>
      </c>
      <c r="H275" s="72" t="s">
        <v>30</v>
      </c>
      <c r="I275" s="73" t="s">
        <v>30</v>
      </c>
      <c r="J275" s="72" t="s">
        <v>30</v>
      </c>
      <c r="K275" s="72" t="s">
        <v>30</v>
      </c>
      <c r="L275" s="72" t="s">
        <v>30</v>
      </c>
      <c r="M275" s="72" t="s">
        <v>30</v>
      </c>
      <c r="N275" s="72" t="s">
        <v>30</v>
      </c>
      <c r="O275" s="73" t="s">
        <v>30</v>
      </c>
      <c r="P275" s="72" t="s">
        <v>30</v>
      </c>
      <c r="Q275" s="72" t="s">
        <v>30</v>
      </c>
      <c r="R275" s="72" t="s">
        <v>30</v>
      </c>
      <c r="S275" s="72" t="s">
        <v>30</v>
      </c>
      <c r="T275" s="72" t="s">
        <v>30</v>
      </c>
      <c r="W275" s="31"/>
    </row>
    <row r="276">
      <c r="B276" s="72" t="s">
        <v>30</v>
      </c>
      <c r="C276" s="72" t="s">
        <v>30</v>
      </c>
      <c r="D276" s="72" t="s">
        <v>30</v>
      </c>
      <c r="E276" s="72" t="s">
        <v>30</v>
      </c>
      <c r="F276" s="72" t="s">
        <v>30</v>
      </c>
      <c r="G276" s="72" t="s">
        <v>30</v>
      </c>
      <c r="H276" s="72" t="s">
        <v>30</v>
      </c>
      <c r="I276" s="73" t="s">
        <v>30</v>
      </c>
      <c r="J276" s="72" t="s">
        <v>30</v>
      </c>
      <c r="K276" s="72" t="s">
        <v>30</v>
      </c>
      <c r="L276" s="72" t="s">
        <v>30</v>
      </c>
      <c r="M276" s="72" t="s">
        <v>30</v>
      </c>
      <c r="N276" s="72" t="s">
        <v>30</v>
      </c>
      <c r="O276" s="73" t="s">
        <v>30</v>
      </c>
      <c r="P276" s="72" t="s">
        <v>30</v>
      </c>
      <c r="Q276" s="72" t="s">
        <v>30</v>
      </c>
      <c r="R276" s="72" t="s">
        <v>30</v>
      </c>
      <c r="S276" s="72" t="s">
        <v>30</v>
      </c>
      <c r="T276" s="72" t="s">
        <v>30</v>
      </c>
      <c r="W276" s="31"/>
    </row>
    <row r="277">
      <c r="B277" s="72" t="s">
        <v>30</v>
      </c>
      <c r="C277" s="72" t="s">
        <v>30</v>
      </c>
      <c r="D277" s="72" t="s">
        <v>30</v>
      </c>
      <c r="E277" s="72" t="s">
        <v>30</v>
      </c>
      <c r="F277" s="72" t="s">
        <v>30</v>
      </c>
      <c r="G277" s="72" t="s">
        <v>30</v>
      </c>
      <c r="H277" s="72" t="s">
        <v>30</v>
      </c>
      <c r="I277" s="73" t="s">
        <v>30</v>
      </c>
      <c r="J277" s="72" t="s">
        <v>30</v>
      </c>
      <c r="K277" s="72" t="s">
        <v>30</v>
      </c>
      <c r="L277" s="72" t="s">
        <v>30</v>
      </c>
      <c r="M277" s="72" t="s">
        <v>30</v>
      </c>
      <c r="N277" s="72" t="s">
        <v>30</v>
      </c>
      <c r="O277" s="73" t="s">
        <v>30</v>
      </c>
      <c r="P277" s="72" t="s">
        <v>30</v>
      </c>
      <c r="Q277" s="72" t="s">
        <v>30</v>
      </c>
      <c r="R277" s="72" t="s">
        <v>30</v>
      </c>
      <c r="S277" s="72" t="s">
        <v>30</v>
      </c>
      <c r="T277" s="72" t="s">
        <v>30</v>
      </c>
      <c r="W277" s="31"/>
    </row>
    <row r="278">
      <c r="B278" s="72" t="s">
        <v>30</v>
      </c>
      <c r="C278" s="72" t="s">
        <v>30</v>
      </c>
      <c r="D278" s="72" t="s">
        <v>30</v>
      </c>
      <c r="E278" s="72" t="s">
        <v>30</v>
      </c>
      <c r="F278" s="72" t="s">
        <v>30</v>
      </c>
      <c r="G278" s="72" t="s">
        <v>30</v>
      </c>
      <c r="H278" s="72" t="s">
        <v>30</v>
      </c>
      <c r="I278" s="73" t="s">
        <v>30</v>
      </c>
      <c r="J278" s="72" t="s">
        <v>30</v>
      </c>
      <c r="K278" s="72" t="s">
        <v>30</v>
      </c>
      <c r="L278" s="72" t="s">
        <v>30</v>
      </c>
      <c r="M278" s="72" t="s">
        <v>30</v>
      </c>
      <c r="N278" s="72" t="s">
        <v>30</v>
      </c>
      <c r="O278" s="73" t="s">
        <v>30</v>
      </c>
      <c r="P278" s="72" t="s">
        <v>30</v>
      </c>
      <c r="Q278" s="72" t="s">
        <v>30</v>
      </c>
      <c r="R278" s="72" t="s">
        <v>30</v>
      </c>
      <c r="S278" s="72" t="s">
        <v>30</v>
      </c>
      <c r="T278" s="72" t="s">
        <v>30</v>
      </c>
      <c r="W278" s="31"/>
    </row>
    <row r="279">
      <c r="B279" s="72" t="s">
        <v>30</v>
      </c>
      <c r="C279" s="72" t="s">
        <v>30</v>
      </c>
      <c r="D279" s="72" t="s">
        <v>30</v>
      </c>
      <c r="E279" s="72" t="s">
        <v>30</v>
      </c>
      <c r="F279" s="72" t="s">
        <v>30</v>
      </c>
      <c r="G279" s="72" t="s">
        <v>30</v>
      </c>
      <c r="H279" s="72" t="s">
        <v>30</v>
      </c>
      <c r="I279" s="73" t="s">
        <v>30</v>
      </c>
      <c r="J279" s="72" t="s">
        <v>30</v>
      </c>
      <c r="K279" s="72" t="s">
        <v>30</v>
      </c>
      <c r="L279" s="72" t="s">
        <v>30</v>
      </c>
      <c r="M279" s="72" t="s">
        <v>30</v>
      </c>
      <c r="N279" s="72" t="s">
        <v>30</v>
      </c>
      <c r="O279" s="73" t="s">
        <v>30</v>
      </c>
      <c r="P279" s="72" t="s">
        <v>30</v>
      </c>
      <c r="Q279" s="72" t="s">
        <v>30</v>
      </c>
      <c r="R279" s="72" t="s">
        <v>30</v>
      </c>
      <c r="S279" s="72" t="s">
        <v>30</v>
      </c>
      <c r="T279" s="72" t="s">
        <v>30</v>
      </c>
      <c r="W279" s="31"/>
    </row>
    <row r="280">
      <c r="B280" s="72" t="s">
        <v>30</v>
      </c>
      <c r="C280" s="72" t="s">
        <v>30</v>
      </c>
      <c r="D280" s="72" t="s">
        <v>30</v>
      </c>
      <c r="E280" s="72" t="s">
        <v>30</v>
      </c>
      <c r="F280" s="72" t="s">
        <v>30</v>
      </c>
      <c r="G280" s="72" t="s">
        <v>30</v>
      </c>
      <c r="H280" s="72" t="s">
        <v>30</v>
      </c>
      <c r="I280" s="73" t="s">
        <v>30</v>
      </c>
      <c r="J280" s="72" t="s">
        <v>30</v>
      </c>
      <c r="K280" s="72" t="s">
        <v>30</v>
      </c>
      <c r="L280" s="72" t="s">
        <v>30</v>
      </c>
      <c r="M280" s="72" t="s">
        <v>30</v>
      </c>
      <c r="N280" s="72" t="s">
        <v>30</v>
      </c>
      <c r="O280" s="73" t="s">
        <v>30</v>
      </c>
      <c r="P280" s="72" t="s">
        <v>30</v>
      </c>
      <c r="Q280" s="72" t="s">
        <v>30</v>
      </c>
      <c r="R280" s="72" t="s">
        <v>30</v>
      </c>
      <c r="S280" s="72" t="s">
        <v>30</v>
      </c>
      <c r="T280" s="72" t="s">
        <v>30</v>
      </c>
      <c r="W280" s="31"/>
    </row>
    <row r="281">
      <c r="B281" s="72" t="s">
        <v>30</v>
      </c>
      <c r="C281" s="72" t="s">
        <v>30</v>
      </c>
      <c r="D281" s="72" t="s">
        <v>30</v>
      </c>
      <c r="E281" s="72" t="s">
        <v>30</v>
      </c>
      <c r="F281" s="72" t="s">
        <v>30</v>
      </c>
      <c r="G281" s="72" t="s">
        <v>30</v>
      </c>
      <c r="H281" s="72" t="s">
        <v>30</v>
      </c>
      <c r="I281" s="73" t="s">
        <v>30</v>
      </c>
      <c r="J281" s="72" t="s">
        <v>30</v>
      </c>
      <c r="K281" s="72" t="s">
        <v>30</v>
      </c>
      <c r="L281" s="72" t="s">
        <v>30</v>
      </c>
      <c r="M281" s="72" t="s">
        <v>30</v>
      </c>
      <c r="N281" s="72" t="s">
        <v>30</v>
      </c>
      <c r="O281" s="73" t="s">
        <v>30</v>
      </c>
      <c r="P281" s="72" t="s">
        <v>30</v>
      </c>
      <c r="Q281" s="72" t="s">
        <v>30</v>
      </c>
      <c r="R281" s="72" t="s">
        <v>30</v>
      </c>
      <c r="S281" s="72" t="s">
        <v>30</v>
      </c>
      <c r="T281" s="72" t="s">
        <v>30</v>
      </c>
      <c r="W281" s="31"/>
    </row>
    <row r="282">
      <c r="B282" s="72" t="s">
        <v>30</v>
      </c>
      <c r="C282" s="72" t="s">
        <v>30</v>
      </c>
      <c r="D282" s="72" t="s">
        <v>30</v>
      </c>
      <c r="E282" s="72" t="s">
        <v>30</v>
      </c>
      <c r="F282" s="72" t="s">
        <v>30</v>
      </c>
      <c r="G282" s="72" t="s">
        <v>30</v>
      </c>
      <c r="H282" s="72" t="s">
        <v>30</v>
      </c>
      <c r="I282" s="73" t="s">
        <v>30</v>
      </c>
      <c r="J282" s="72" t="s">
        <v>30</v>
      </c>
      <c r="K282" s="72" t="s">
        <v>30</v>
      </c>
      <c r="L282" s="72" t="s">
        <v>30</v>
      </c>
      <c r="M282" s="72" t="s">
        <v>30</v>
      </c>
      <c r="N282" s="72" t="s">
        <v>30</v>
      </c>
      <c r="O282" s="73" t="s">
        <v>30</v>
      </c>
      <c r="P282" s="72" t="s">
        <v>30</v>
      </c>
      <c r="Q282" s="72" t="s">
        <v>30</v>
      </c>
      <c r="R282" s="72" t="s">
        <v>30</v>
      </c>
      <c r="S282" s="72" t="s">
        <v>30</v>
      </c>
      <c r="T282" s="72" t="s">
        <v>30</v>
      </c>
      <c r="W282" s="31"/>
    </row>
    <row r="283">
      <c r="B283" s="72" t="s">
        <v>30</v>
      </c>
      <c r="C283" s="72" t="s">
        <v>30</v>
      </c>
      <c r="D283" s="72" t="s">
        <v>30</v>
      </c>
      <c r="E283" s="72" t="s">
        <v>30</v>
      </c>
      <c r="F283" s="72" t="s">
        <v>30</v>
      </c>
      <c r="G283" s="72" t="s">
        <v>30</v>
      </c>
      <c r="H283" s="72" t="s">
        <v>30</v>
      </c>
      <c r="I283" s="73" t="s">
        <v>30</v>
      </c>
      <c r="J283" s="72" t="s">
        <v>30</v>
      </c>
      <c r="K283" s="72" t="s">
        <v>30</v>
      </c>
      <c r="L283" s="72" t="s">
        <v>30</v>
      </c>
      <c r="M283" s="72" t="s">
        <v>30</v>
      </c>
      <c r="N283" s="72" t="s">
        <v>30</v>
      </c>
      <c r="O283" s="73" t="s">
        <v>30</v>
      </c>
      <c r="P283" s="72" t="s">
        <v>30</v>
      </c>
      <c r="Q283" s="72" t="s">
        <v>30</v>
      </c>
      <c r="R283" s="72" t="s">
        <v>30</v>
      </c>
      <c r="S283" s="72" t="s">
        <v>30</v>
      </c>
      <c r="T283" s="72" t="s">
        <v>30</v>
      </c>
      <c r="W283" s="31"/>
    </row>
    <row r="284">
      <c r="B284" s="72" t="s">
        <v>30</v>
      </c>
      <c r="C284" s="72" t="s">
        <v>30</v>
      </c>
      <c r="D284" s="72" t="s">
        <v>30</v>
      </c>
      <c r="E284" s="72" t="s">
        <v>30</v>
      </c>
      <c r="F284" s="72" t="s">
        <v>30</v>
      </c>
      <c r="G284" s="72" t="s">
        <v>30</v>
      </c>
      <c r="H284" s="72" t="s">
        <v>30</v>
      </c>
      <c r="I284" s="73" t="s">
        <v>30</v>
      </c>
      <c r="J284" s="72" t="s">
        <v>30</v>
      </c>
      <c r="K284" s="72" t="s">
        <v>30</v>
      </c>
      <c r="L284" s="72" t="s">
        <v>30</v>
      </c>
      <c r="M284" s="72" t="s">
        <v>30</v>
      </c>
      <c r="N284" s="72" t="s">
        <v>30</v>
      </c>
      <c r="O284" s="73" t="s">
        <v>30</v>
      </c>
      <c r="P284" s="72" t="s">
        <v>30</v>
      </c>
      <c r="Q284" s="72" t="s">
        <v>30</v>
      </c>
      <c r="R284" s="72" t="s">
        <v>30</v>
      </c>
      <c r="S284" s="72" t="s">
        <v>30</v>
      </c>
      <c r="T284" s="72" t="s">
        <v>30</v>
      </c>
      <c r="W284" s="31"/>
    </row>
    <row r="285">
      <c r="B285" s="72" t="s">
        <v>30</v>
      </c>
      <c r="C285" s="72" t="s">
        <v>30</v>
      </c>
      <c r="D285" s="72" t="s">
        <v>30</v>
      </c>
      <c r="E285" s="72" t="s">
        <v>30</v>
      </c>
      <c r="F285" s="72" t="s">
        <v>30</v>
      </c>
      <c r="G285" s="72" t="s">
        <v>30</v>
      </c>
      <c r="H285" s="72" t="s">
        <v>30</v>
      </c>
      <c r="I285" s="73" t="s">
        <v>30</v>
      </c>
      <c r="J285" s="72" t="s">
        <v>30</v>
      </c>
      <c r="K285" s="72" t="s">
        <v>30</v>
      </c>
      <c r="L285" s="72" t="s">
        <v>30</v>
      </c>
      <c r="M285" s="72" t="s">
        <v>30</v>
      </c>
      <c r="N285" s="72" t="s">
        <v>30</v>
      </c>
      <c r="O285" s="73" t="s">
        <v>30</v>
      </c>
      <c r="P285" s="72" t="s">
        <v>30</v>
      </c>
      <c r="Q285" s="72" t="s">
        <v>30</v>
      </c>
      <c r="R285" s="72" t="s">
        <v>30</v>
      </c>
      <c r="S285" s="72" t="s">
        <v>30</v>
      </c>
      <c r="T285" s="72" t="s">
        <v>30</v>
      </c>
      <c r="W285" s="31"/>
    </row>
    <row r="286">
      <c r="B286" s="72" t="s">
        <v>30</v>
      </c>
      <c r="C286" s="72" t="s">
        <v>30</v>
      </c>
      <c r="D286" s="72" t="s">
        <v>30</v>
      </c>
      <c r="E286" s="72" t="s">
        <v>30</v>
      </c>
      <c r="F286" s="72" t="s">
        <v>30</v>
      </c>
      <c r="G286" s="72" t="s">
        <v>30</v>
      </c>
      <c r="H286" s="72" t="s">
        <v>30</v>
      </c>
      <c r="I286" s="73" t="s">
        <v>30</v>
      </c>
      <c r="J286" s="72" t="s">
        <v>30</v>
      </c>
      <c r="K286" s="72" t="s">
        <v>30</v>
      </c>
      <c r="L286" s="72" t="s">
        <v>30</v>
      </c>
      <c r="M286" s="72" t="s">
        <v>30</v>
      </c>
      <c r="N286" s="72" t="s">
        <v>30</v>
      </c>
      <c r="O286" s="73" t="s">
        <v>30</v>
      </c>
      <c r="P286" s="72" t="s">
        <v>30</v>
      </c>
      <c r="Q286" s="72" t="s">
        <v>30</v>
      </c>
      <c r="R286" s="72" t="s">
        <v>30</v>
      </c>
      <c r="S286" s="72" t="s">
        <v>30</v>
      </c>
      <c r="T286" s="72" t="s">
        <v>30</v>
      </c>
      <c r="W286" s="31"/>
    </row>
    <row r="287">
      <c r="B287" s="72" t="s">
        <v>30</v>
      </c>
      <c r="C287" s="72" t="s">
        <v>30</v>
      </c>
      <c r="D287" s="72" t="s">
        <v>30</v>
      </c>
      <c r="E287" s="72" t="s">
        <v>30</v>
      </c>
      <c r="F287" s="72" t="s">
        <v>30</v>
      </c>
      <c r="G287" s="72" t="s">
        <v>30</v>
      </c>
      <c r="H287" s="72" t="s">
        <v>30</v>
      </c>
      <c r="I287" s="73" t="s">
        <v>30</v>
      </c>
      <c r="J287" s="72" t="s">
        <v>30</v>
      </c>
      <c r="K287" s="72" t="s">
        <v>30</v>
      </c>
      <c r="L287" s="72" t="s">
        <v>30</v>
      </c>
      <c r="M287" s="72" t="s">
        <v>30</v>
      </c>
      <c r="N287" s="72" t="s">
        <v>30</v>
      </c>
      <c r="O287" s="73" t="s">
        <v>30</v>
      </c>
      <c r="P287" s="72" t="s">
        <v>30</v>
      </c>
      <c r="Q287" s="72" t="s">
        <v>30</v>
      </c>
      <c r="R287" s="72" t="s">
        <v>30</v>
      </c>
      <c r="S287" s="72" t="s">
        <v>30</v>
      </c>
      <c r="T287" s="72" t="s">
        <v>30</v>
      </c>
      <c r="W287" s="31"/>
    </row>
    <row r="288">
      <c r="B288" s="72" t="s">
        <v>30</v>
      </c>
      <c r="C288" s="72" t="s">
        <v>30</v>
      </c>
      <c r="D288" s="72" t="s">
        <v>30</v>
      </c>
      <c r="E288" s="72" t="s">
        <v>30</v>
      </c>
      <c r="F288" s="72" t="s">
        <v>30</v>
      </c>
      <c r="G288" s="72" t="s">
        <v>30</v>
      </c>
      <c r="H288" s="72" t="s">
        <v>30</v>
      </c>
      <c r="I288" s="73" t="s">
        <v>30</v>
      </c>
      <c r="J288" s="72" t="s">
        <v>30</v>
      </c>
      <c r="K288" s="72" t="s">
        <v>30</v>
      </c>
      <c r="L288" s="72" t="s">
        <v>30</v>
      </c>
      <c r="M288" s="72" t="s">
        <v>30</v>
      </c>
      <c r="N288" s="72" t="s">
        <v>30</v>
      </c>
      <c r="O288" s="73" t="s">
        <v>30</v>
      </c>
      <c r="P288" s="72" t="s">
        <v>30</v>
      </c>
      <c r="Q288" s="72" t="s">
        <v>30</v>
      </c>
      <c r="R288" s="72" t="s">
        <v>30</v>
      </c>
      <c r="S288" s="72" t="s">
        <v>30</v>
      </c>
      <c r="T288" s="72" t="s">
        <v>30</v>
      </c>
      <c r="W288" s="31"/>
    </row>
    <row r="289">
      <c r="B289" s="72" t="s">
        <v>30</v>
      </c>
      <c r="C289" s="72" t="s">
        <v>30</v>
      </c>
      <c r="D289" s="72" t="s">
        <v>30</v>
      </c>
      <c r="E289" s="72" t="s">
        <v>30</v>
      </c>
      <c r="F289" s="72" t="s">
        <v>30</v>
      </c>
      <c r="G289" s="72" t="s">
        <v>30</v>
      </c>
      <c r="H289" s="72" t="s">
        <v>30</v>
      </c>
      <c r="I289" s="73" t="s">
        <v>30</v>
      </c>
      <c r="J289" s="72" t="s">
        <v>30</v>
      </c>
      <c r="K289" s="72" t="s">
        <v>30</v>
      </c>
      <c r="L289" s="72" t="s">
        <v>30</v>
      </c>
      <c r="M289" s="72" t="s">
        <v>30</v>
      </c>
      <c r="N289" s="72" t="s">
        <v>30</v>
      </c>
      <c r="O289" s="73" t="s">
        <v>30</v>
      </c>
      <c r="P289" s="72" t="s">
        <v>30</v>
      </c>
      <c r="Q289" s="72" t="s">
        <v>30</v>
      </c>
      <c r="R289" s="72" t="s">
        <v>30</v>
      </c>
      <c r="S289" s="72" t="s">
        <v>30</v>
      </c>
      <c r="T289" s="72" t="s">
        <v>30</v>
      </c>
      <c r="W289" s="31"/>
    </row>
    <row r="290">
      <c r="B290" s="72" t="s">
        <v>30</v>
      </c>
      <c r="C290" s="72" t="s">
        <v>30</v>
      </c>
      <c r="D290" s="72" t="s">
        <v>30</v>
      </c>
      <c r="E290" s="72" t="s">
        <v>30</v>
      </c>
      <c r="F290" s="72" t="s">
        <v>30</v>
      </c>
      <c r="G290" s="72" t="s">
        <v>30</v>
      </c>
      <c r="H290" s="72" t="s">
        <v>30</v>
      </c>
      <c r="I290" s="73" t="s">
        <v>30</v>
      </c>
      <c r="J290" s="72" t="s">
        <v>30</v>
      </c>
      <c r="K290" s="72" t="s">
        <v>30</v>
      </c>
      <c r="L290" s="72" t="s">
        <v>30</v>
      </c>
      <c r="M290" s="72" t="s">
        <v>30</v>
      </c>
      <c r="N290" s="72" t="s">
        <v>30</v>
      </c>
      <c r="O290" s="73" t="s">
        <v>30</v>
      </c>
      <c r="P290" s="72" t="s">
        <v>30</v>
      </c>
      <c r="Q290" s="72" t="s">
        <v>30</v>
      </c>
      <c r="R290" s="72" t="s">
        <v>30</v>
      </c>
      <c r="S290" s="72" t="s">
        <v>30</v>
      </c>
      <c r="T290" s="72" t="s">
        <v>30</v>
      </c>
      <c r="W290" s="31"/>
    </row>
    <row r="291">
      <c r="B291" s="72" t="s">
        <v>30</v>
      </c>
      <c r="C291" s="72" t="s">
        <v>30</v>
      </c>
      <c r="D291" s="72" t="s">
        <v>30</v>
      </c>
      <c r="E291" s="72" t="s">
        <v>30</v>
      </c>
      <c r="F291" s="72" t="s">
        <v>30</v>
      </c>
      <c r="G291" s="72" t="s">
        <v>30</v>
      </c>
      <c r="H291" s="72" t="s">
        <v>30</v>
      </c>
      <c r="I291" s="73" t="s">
        <v>30</v>
      </c>
      <c r="J291" s="72" t="s">
        <v>30</v>
      </c>
      <c r="K291" s="72" t="s">
        <v>30</v>
      </c>
      <c r="L291" s="72" t="s">
        <v>30</v>
      </c>
      <c r="M291" s="72" t="s">
        <v>30</v>
      </c>
      <c r="N291" s="72" t="s">
        <v>30</v>
      </c>
      <c r="O291" s="73" t="s">
        <v>30</v>
      </c>
      <c r="P291" s="72" t="s">
        <v>30</v>
      </c>
      <c r="Q291" s="72" t="s">
        <v>30</v>
      </c>
      <c r="R291" s="72" t="s">
        <v>30</v>
      </c>
      <c r="S291" s="72" t="s">
        <v>30</v>
      </c>
      <c r="T291" s="72" t="s">
        <v>30</v>
      </c>
      <c r="W291" s="31"/>
    </row>
    <row r="292">
      <c r="B292" s="72" t="s">
        <v>30</v>
      </c>
      <c r="C292" s="72" t="s">
        <v>30</v>
      </c>
      <c r="D292" s="72" t="s">
        <v>30</v>
      </c>
      <c r="E292" s="72" t="s">
        <v>30</v>
      </c>
      <c r="F292" s="72" t="s">
        <v>30</v>
      </c>
      <c r="G292" s="72" t="s">
        <v>30</v>
      </c>
      <c r="H292" s="72" t="s">
        <v>30</v>
      </c>
      <c r="I292" s="73" t="s">
        <v>30</v>
      </c>
      <c r="J292" s="72" t="s">
        <v>30</v>
      </c>
      <c r="K292" s="72" t="s">
        <v>30</v>
      </c>
      <c r="L292" s="72" t="s">
        <v>30</v>
      </c>
      <c r="M292" s="72" t="s">
        <v>30</v>
      </c>
      <c r="N292" s="72" t="s">
        <v>30</v>
      </c>
      <c r="O292" s="73" t="s">
        <v>30</v>
      </c>
      <c r="P292" s="72" t="s">
        <v>30</v>
      </c>
      <c r="Q292" s="72" t="s">
        <v>30</v>
      </c>
      <c r="R292" s="72" t="s">
        <v>30</v>
      </c>
      <c r="S292" s="72" t="s">
        <v>30</v>
      </c>
      <c r="T292" s="72" t="s">
        <v>30</v>
      </c>
      <c r="W292" s="31"/>
    </row>
    <row r="293">
      <c r="B293" s="72" t="s">
        <v>30</v>
      </c>
      <c r="C293" s="72" t="s">
        <v>30</v>
      </c>
      <c r="D293" s="72" t="s">
        <v>30</v>
      </c>
      <c r="E293" s="72" t="s">
        <v>30</v>
      </c>
      <c r="F293" s="72" t="s">
        <v>30</v>
      </c>
      <c r="G293" s="72" t="s">
        <v>30</v>
      </c>
      <c r="H293" s="72" t="s">
        <v>30</v>
      </c>
      <c r="I293" s="73" t="s">
        <v>30</v>
      </c>
      <c r="J293" s="72" t="s">
        <v>30</v>
      </c>
      <c r="K293" s="72" t="s">
        <v>30</v>
      </c>
      <c r="L293" s="72" t="s">
        <v>30</v>
      </c>
      <c r="M293" s="72" t="s">
        <v>30</v>
      </c>
      <c r="N293" s="72" t="s">
        <v>30</v>
      </c>
      <c r="O293" s="73" t="s">
        <v>30</v>
      </c>
      <c r="P293" s="72" t="s">
        <v>30</v>
      </c>
      <c r="Q293" s="72" t="s">
        <v>30</v>
      </c>
      <c r="R293" s="72" t="s">
        <v>30</v>
      </c>
      <c r="S293" s="72" t="s">
        <v>30</v>
      </c>
      <c r="T293" s="72" t="s">
        <v>30</v>
      </c>
      <c r="W293" s="31"/>
    </row>
    <row r="294">
      <c r="B294" s="72" t="s">
        <v>30</v>
      </c>
      <c r="C294" s="72" t="s">
        <v>30</v>
      </c>
      <c r="D294" s="72" t="s">
        <v>30</v>
      </c>
      <c r="E294" s="72" t="s">
        <v>30</v>
      </c>
      <c r="F294" s="72" t="s">
        <v>30</v>
      </c>
      <c r="G294" s="72" t="s">
        <v>30</v>
      </c>
      <c r="H294" s="72" t="s">
        <v>30</v>
      </c>
      <c r="I294" s="73" t="s">
        <v>30</v>
      </c>
      <c r="J294" s="72" t="s">
        <v>30</v>
      </c>
      <c r="K294" s="72" t="s">
        <v>30</v>
      </c>
      <c r="L294" s="72" t="s">
        <v>30</v>
      </c>
      <c r="M294" s="72" t="s">
        <v>30</v>
      </c>
      <c r="N294" s="72" t="s">
        <v>30</v>
      </c>
      <c r="O294" s="73" t="s">
        <v>30</v>
      </c>
      <c r="P294" s="72" t="s">
        <v>30</v>
      </c>
      <c r="Q294" s="72" t="s">
        <v>30</v>
      </c>
      <c r="R294" s="72" t="s">
        <v>30</v>
      </c>
      <c r="S294" s="72" t="s">
        <v>30</v>
      </c>
      <c r="T294" s="72" t="s">
        <v>30</v>
      </c>
      <c r="W294" s="31"/>
    </row>
    <row r="295">
      <c r="B295" s="72" t="s">
        <v>30</v>
      </c>
      <c r="C295" s="72" t="s">
        <v>30</v>
      </c>
      <c r="D295" s="72" t="s">
        <v>30</v>
      </c>
      <c r="E295" s="72" t="s">
        <v>30</v>
      </c>
      <c r="F295" s="72" t="s">
        <v>30</v>
      </c>
      <c r="G295" s="72" t="s">
        <v>30</v>
      </c>
      <c r="H295" s="72" t="s">
        <v>30</v>
      </c>
      <c r="I295" s="73" t="s">
        <v>30</v>
      </c>
      <c r="J295" s="72" t="s">
        <v>30</v>
      </c>
      <c r="K295" s="72" t="s">
        <v>30</v>
      </c>
      <c r="L295" s="72" t="s">
        <v>30</v>
      </c>
      <c r="M295" s="72" t="s">
        <v>30</v>
      </c>
      <c r="N295" s="72" t="s">
        <v>30</v>
      </c>
      <c r="O295" s="73" t="s">
        <v>30</v>
      </c>
      <c r="P295" s="72" t="s">
        <v>30</v>
      </c>
      <c r="Q295" s="72" t="s">
        <v>30</v>
      </c>
      <c r="R295" s="72" t="s">
        <v>30</v>
      </c>
      <c r="S295" s="72" t="s">
        <v>30</v>
      </c>
      <c r="T295" s="72" t="s">
        <v>30</v>
      </c>
      <c r="W295" s="31"/>
    </row>
    <row r="296">
      <c r="B296" s="72" t="s">
        <v>30</v>
      </c>
      <c r="C296" s="72" t="s">
        <v>30</v>
      </c>
      <c r="D296" s="72" t="s">
        <v>30</v>
      </c>
      <c r="E296" s="72" t="s">
        <v>30</v>
      </c>
      <c r="F296" s="72" t="s">
        <v>30</v>
      </c>
      <c r="G296" s="72" t="s">
        <v>30</v>
      </c>
      <c r="H296" s="72" t="s">
        <v>30</v>
      </c>
      <c r="I296" s="73" t="s">
        <v>30</v>
      </c>
      <c r="J296" s="72" t="s">
        <v>30</v>
      </c>
      <c r="K296" s="72" t="s">
        <v>30</v>
      </c>
      <c r="L296" s="72" t="s">
        <v>30</v>
      </c>
      <c r="M296" s="72" t="s">
        <v>30</v>
      </c>
      <c r="N296" s="72" t="s">
        <v>30</v>
      </c>
      <c r="O296" s="73" t="s">
        <v>30</v>
      </c>
      <c r="P296" s="72" t="s">
        <v>30</v>
      </c>
      <c r="Q296" s="72" t="s">
        <v>30</v>
      </c>
      <c r="R296" s="72" t="s">
        <v>30</v>
      </c>
      <c r="S296" s="72" t="s">
        <v>30</v>
      </c>
      <c r="T296" s="72" t="s">
        <v>30</v>
      </c>
      <c r="W296" s="31"/>
    </row>
    <row r="297">
      <c r="B297" s="72" t="s">
        <v>30</v>
      </c>
      <c r="C297" s="72" t="s">
        <v>30</v>
      </c>
      <c r="D297" s="72" t="s">
        <v>30</v>
      </c>
      <c r="E297" s="72" t="s">
        <v>30</v>
      </c>
      <c r="F297" s="72" t="s">
        <v>30</v>
      </c>
      <c r="G297" s="72" t="s">
        <v>30</v>
      </c>
      <c r="H297" s="72" t="s">
        <v>30</v>
      </c>
      <c r="I297" s="73" t="s">
        <v>30</v>
      </c>
      <c r="J297" s="72" t="s">
        <v>30</v>
      </c>
      <c r="K297" s="72" t="s">
        <v>30</v>
      </c>
      <c r="L297" s="72" t="s">
        <v>30</v>
      </c>
      <c r="M297" s="72" t="s">
        <v>30</v>
      </c>
      <c r="N297" s="72" t="s">
        <v>30</v>
      </c>
      <c r="O297" s="73" t="s">
        <v>30</v>
      </c>
      <c r="P297" s="72" t="s">
        <v>30</v>
      </c>
      <c r="Q297" s="72" t="s">
        <v>30</v>
      </c>
      <c r="R297" s="72" t="s">
        <v>30</v>
      </c>
      <c r="S297" s="72" t="s">
        <v>30</v>
      </c>
      <c r="T297" s="72" t="s">
        <v>30</v>
      </c>
      <c r="W297" s="31"/>
    </row>
    <row r="298">
      <c r="B298" s="72" t="s">
        <v>30</v>
      </c>
      <c r="C298" s="72" t="s">
        <v>30</v>
      </c>
      <c r="D298" s="72" t="s">
        <v>30</v>
      </c>
      <c r="E298" s="72" t="s">
        <v>30</v>
      </c>
      <c r="F298" s="72" t="s">
        <v>30</v>
      </c>
      <c r="G298" s="72" t="s">
        <v>30</v>
      </c>
      <c r="H298" s="72" t="s">
        <v>30</v>
      </c>
      <c r="I298" s="73" t="s">
        <v>30</v>
      </c>
      <c r="J298" s="72" t="s">
        <v>30</v>
      </c>
      <c r="K298" s="72" t="s">
        <v>30</v>
      </c>
      <c r="L298" s="72" t="s">
        <v>30</v>
      </c>
      <c r="M298" s="72" t="s">
        <v>30</v>
      </c>
      <c r="N298" s="72" t="s">
        <v>30</v>
      </c>
      <c r="O298" s="73" t="s">
        <v>30</v>
      </c>
      <c r="P298" s="72" t="s">
        <v>30</v>
      </c>
      <c r="Q298" s="72" t="s">
        <v>30</v>
      </c>
      <c r="R298" s="72" t="s">
        <v>30</v>
      </c>
      <c r="S298" s="72" t="s">
        <v>30</v>
      </c>
      <c r="T298" s="72" t="s">
        <v>30</v>
      </c>
      <c r="W298" s="31"/>
    </row>
    <row r="299">
      <c r="B299" s="72" t="s">
        <v>30</v>
      </c>
      <c r="C299" s="72" t="s">
        <v>30</v>
      </c>
      <c r="D299" s="72" t="s">
        <v>30</v>
      </c>
      <c r="E299" s="72" t="s">
        <v>30</v>
      </c>
      <c r="F299" s="72" t="s">
        <v>30</v>
      </c>
      <c r="G299" s="72" t="s">
        <v>30</v>
      </c>
      <c r="H299" s="72" t="s">
        <v>30</v>
      </c>
      <c r="I299" s="73" t="s">
        <v>30</v>
      </c>
      <c r="J299" s="72" t="s">
        <v>30</v>
      </c>
      <c r="K299" s="72" t="s">
        <v>30</v>
      </c>
      <c r="L299" s="72" t="s">
        <v>30</v>
      </c>
      <c r="M299" s="72" t="s">
        <v>30</v>
      </c>
      <c r="N299" s="72" t="s">
        <v>30</v>
      </c>
      <c r="O299" s="73" t="s">
        <v>30</v>
      </c>
      <c r="P299" s="72" t="s">
        <v>30</v>
      </c>
      <c r="Q299" s="72" t="s">
        <v>30</v>
      </c>
      <c r="R299" s="72" t="s">
        <v>30</v>
      </c>
      <c r="S299" s="72" t="s">
        <v>30</v>
      </c>
      <c r="T299" s="72" t="s">
        <v>30</v>
      </c>
      <c r="W299" s="31"/>
    </row>
    <row r="300">
      <c r="B300" s="72" t="s">
        <v>30</v>
      </c>
      <c r="C300" s="72" t="s">
        <v>30</v>
      </c>
      <c r="D300" s="72" t="s">
        <v>30</v>
      </c>
      <c r="E300" s="72" t="s">
        <v>30</v>
      </c>
      <c r="F300" s="72" t="s">
        <v>30</v>
      </c>
      <c r="G300" s="72" t="s">
        <v>30</v>
      </c>
      <c r="H300" s="72" t="s">
        <v>30</v>
      </c>
      <c r="I300" s="73" t="s">
        <v>30</v>
      </c>
      <c r="J300" s="72" t="s">
        <v>30</v>
      </c>
      <c r="K300" s="72" t="s">
        <v>30</v>
      </c>
      <c r="L300" s="72" t="s">
        <v>30</v>
      </c>
      <c r="M300" s="72" t="s">
        <v>30</v>
      </c>
      <c r="N300" s="72" t="s">
        <v>30</v>
      </c>
      <c r="O300" s="73" t="s">
        <v>30</v>
      </c>
      <c r="P300" s="72" t="s">
        <v>30</v>
      </c>
      <c r="Q300" s="72" t="s">
        <v>30</v>
      </c>
      <c r="R300" s="72" t="s">
        <v>30</v>
      </c>
      <c r="S300" s="72" t="s">
        <v>30</v>
      </c>
      <c r="T300" s="72" t="s">
        <v>30</v>
      </c>
      <c r="W300" s="31"/>
    </row>
    <row r="301">
      <c r="B301" s="72" t="s">
        <v>30</v>
      </c>
      <c r="C301" s="72" t="s">
        <v>30</v>
      </c>
      <c r="D301" s="72" t="s">
        <v>30</v>
      </c>
      <c r="E301" s="72" t="s">
        <v>30</v>
      </c>
      <c r="F301" s="72" t="s">
        <v>30</v>
      </c>
      <c r="G301" s="72" t="s">
        <v>30</v>
      </c>
      <c r="H301" s="72" t="s">
        <v>30</v>
      </c>
      <c r="I301" s="73" t="s">
        <v>30</v>
      </c>
      <c r="J301" s="72" t="s">
        <v>30</v>
      </c>
      <c r="K301" s="72" t="s">
        <v>30</v>
      </c>
      <c r="L301" s="72" t="s">
        <v>30</v>
      </c>
      <c r="M301" s="72" t="s">
        <v>30</v>
      </c>
      <c r="N301" s="72" t="s">
        <v>30</v>
      </c>
      <c r="O301" s="73" t="s">
        <v>30</v>
      </c>
      <c r="P301" s="72" t="s">
        <v>30</v>
      </c>
      <c r="Q301" s="72" t="s">
        <v>30</v>
      </c>
      <c r="R301" s="72" t="s">
        <v>30</v>
      </c>
      <c r="S301" s="72" t="s">
        <v>30</v>
      </c>
      <c r="T301" s="72" t="s">
        <v>30</v>
      </c>
      <c r="W301" s="31"/>
    </row>
    <row r="302">
      <c r="B302" s="72" t="s">
        <v>30</v>
      </c>
      <c r="C302" s="72" t="s">
        <v>30</v>
      </c>
      <c r="D302" s="72" t="s">
        <v>30</v>
      </c>
      <c r="E302" s="72" t="s">
        <v>30</v>
      </c>
      <c r="F302" s="72" t="s">
        <v>30</v>
      </c>
      <c r="G302" s="72" t="s">
        <v>30</v>
      </c>
      <c r="H302" s="72" t="s">
        <v>30</v>
      </c>
      <c r="I302" s="73" t="s">
        <v>30</v>
      </c>
      <c r="J302" s="72" t="s">
        <v>30</v>
      </c>
      <c r="K302" s="72" t="s">
        <v>30</v>
      </c>
      <c r="L302" s="72" t="s">
        <v>30</v>
      </c>
      <c r="M302" s="72" t="s">
        <v>30</v>
      </c>
      <c r="N302" s="72" t="s">
        <v>30</v>
      </c>
      <c r="O302" s="73" t="s">
        <v>30</v>
      </c>
      <c r="P302" s="72" t="s">
        <v>30</v>
      </c>
      <c r="Q302" s="72" t="s">
        <v>30</v>
      </c>
      <c r="R302" s="72" t="s">
        <v>30</v>
      </c>
      <c r="S302" s="72" t="s">
        <v>30</v>
      </c>
      <c r="T302" s="72" t="s">
        <v>30</v>
      </c>
      <c r="W302" s="31"/>
    </row>
    <row r="303">
      <c r="B303" s="72" t="s">
        <v>30</v>
      </c>
      <c r="C303" s="72" t="s">
        <v>30</v>
      </c>
      <c r="D303" s="72" t="s">
        <v>30</v>
      </c>
      <c r="E303" s="72" t="s">
        <v>30</v>
      </c>
      <c r="F303" s="72" t="s">
        <v>30</v>
      </c>
      <c r="G303" s="72" t="s">
        <v>30</v>
      </c>
      <c r="H303" s="72" t="s">
        <v>30</v>
      </c>
      <c r="I303" s="73" t="s">
        <v>30</v>
      </c>
      <c r="J303" s="72" t="s">
        <v>30</v>
      </c>
      <c r="K303" s="72" t="s">
        <v>30</v>
      </c>
      <c r="L303" s="72" t="s">
        <v>30</v>
      </c>
      <c r="M303" s="72" t="s">
        <v>30</v>
      </c>
      <c r="N303" s="72" t="s">
        <v>30</v>
      </c>
      <c r="O303" s="73" t="s">
        <v>30</v>
      </c>
      <c r="P303" s="72" t="s">
        <v>30</v>
      </c>
      <c r="Q303" s="72" t="s">
        <v>30</v>
      </c>
      <c r="R303" s="72" t="s">
        <v>30</v>
      </c>
      <c r="S303" s="72" t="s">
        <v>30</v>
      </c>
      <c r="T303" s="72" t="s">
        <v>30</v>
      </c>
      <c r="W303" s="31"/>
    </row>
    <row r="304">
      <c r="B304" s="72" t="s">
        <v>30</v>
      </c>
      <c r="C304" s="72" t="s">
        <v>30</v>
      </c>
      <c r="D304" s="72" t="s">
        <v>30</v>
      </c>
      <c r="E304" s="72" t="s">
        <v>30</v>
      </c>
      <c r="F304" s="72" t="s">
        <v>30</v>
      </c>
      <c r="G304" s="72" t="s">
        <v>30</v>
      </c>
      <c r="H304" s="72" t="s">
        <v>30</v>
      </c>
      <c r="I304" s="73" t="s">
        <v>30</v>
      </c>
      <c r="J304" s="72" t="s">
        <v>30</v>
      </c>
      <c r="K304" s="72" t="s">
        <v>30</v>
      </c>
      <c r="L304" s="72" t="s">
        <v>30</v>
      </c>
      <c r="M304" s="72" t="s">
        <v>30</v>
      </c>
      <c r="N304" s="72" t="s">
        <v>30</v>
      </c>
      <c r="O304" s="73" t="s">
        <v>30</v>
      </c>
      <c r="P304" s="72" t="s">
        <v>30</v>
      </c>
      <c r="Q304" s="72" t="s">
        <v>30</v>
      </c>
      <c r="R304" s="72" t="s">
        <v>30</v>
      </c>
      <c r="S304" s="72" t="s">
        <v>30</v>
      </c>
      <c r="T304" s="72" t="s">
        <v>30</v>
      </c>
      <c r="W304" s="31"/>
    </row>
    <row r="305">
      <c r="B305" s="72" t="s">
        <v>30</v>
      </c>
      <c r="C305" s="72" t="s">
        <v>30</v>
      </c>
      <c r="D305" s="72" t="s">
        <v>30</v>
      </c>
      <c r="E305" s="72" t="s">
        <v>30</v>
      </c>
      <c r="F305" s="72" t="s">
        <v>30</v>
      </c>
      <c r="G305" s="72" t="s">
        <v>30</v>
      </c>
      <c r="H305" s="72" t="s">
        <v>30</v>
      </c>
      <c r="I305" s="73" t="s">
        <v>30</v>
      </c>
      <c r="J305" s="72" t="s">
        <v>30</v>
      </c>
      <c r="K305" s="72" t="s">
        <v>30</v>
      </c>
      <c r="L305" s="72" t="s">
        <v>30</v>
      </c>
      <c r="M305" s="72" t="s">
        <v>30</v>
      </c>
      <c r="N305" s="72" t="s">
        <v>30</v>
      </c>
      <c r="O305" s="73" t="s">
        <v>30</v>
      </c>
      <c r="P305" s="72" t="s">
        <v>30</v>
      </c>
      <c r="Q305" s="72" t="s">
        <v>30</v>
      </c>
      <c r="R305" s="72" t="s">
        <v>30</v>
      </c>
      <c r="S305" s="72" t="s">
        <v>30</v>
      </c>
      <c r="T305" s="72" t="s">
        <v>30</v>
      </c>
      <c r="W305" s="31"/>
    </row>
    <row r="306">
      <c r="B306" s="72" t="s">
        <v>30</v>
      </c>
      <c r="C306" s="72" t="s">
        <v>30</v>
      </c>
      <c r="D306" s="72" t="s">
        <v>30</v>
      </c>
      <c r="E306" s="72" t="s">
        <v>30</v>
      </c>
      <c r="F306" s="72" t="s">
        <v>30</v>
      </c>
      <c r="G306" s="72" t="s">
        <v>30</v>
      </c>
      <c r="H306" s="72" t="s">
        <v>30</v>
      </c>
      <c r="I306" s="73" t="s">
        <v>30</v>
      </c>
      <c r="J306" s="72" t="s">
        <v>30</v>
      </c>
      <c r="K306" s="72" t="s">
        <v>30</v>
      </c>
      <c r="L306" s="72" t="s">
        <v>30</v>
      </c>
      <c r="M306" s="72" t="s">
        <v>30</v>
      </c>
      <c r="N306" s="72" t="s">
        <v>30</v>
      </c>
      <c r="O306" s="73" t="s">
        <v>30</v>
      </c>
      <c r="P306" s="72" t="s">
        <v>30</v>
      </c>
      <c r="Q306" s="72" t="s">
        <v>30</v>
      </c>
      <c r="R306" s="72" t="s">
        <v>30</v>
      </c>
      <c r="S306" s="72" t="s">
        <v>30</v>
      </c>
      <c r="T306" s="72" t="s">
        <v>30</v>
      </c>
      <c r="W306" s="31"/>
    </row>
    <row r="307">
      <c r="B307" s="72" t="s">
        <v>30</v>
      </c>
      <c r="C307" s="72" t="s">
        <v>30</v>
      </c>
      <c r="D307" s="72" t="s">
        <v>30</v>
      </c>
      <c r="E307" s="72" t="s">
        <v>30</v>
      </c>
      <c r="F307" s="72" t="s">
        <v>30</v>
      </c>
      <c r="G307" s="72" t="s">
        <v>30</v>
      </c>
      <c r="H307" s="72" t="s">
        <v>30</v>
      </c>
      <c r="I307" s="73" t="s">
        <v>30</v>
      </c>
      <c r="J307" s="72" t="s">
        <v>30</v>
      </c>
      <c r="K307" s="72" t="s">
        <v>30</v>
      </c>
      <c r="L307" s="72" t="s">
        <v>30</v>
      </c>
      <c r="M307" s="72" t="s">
        <v>30</v>
      </c>
      <c r="N307" s="72" t="s">
        <v>30</v>
      </c>
      <c r="O307" s="73" t="s">
        <v>30</v>
      </c>
      <c r="P307" s="72" t="s">
        <v>30</v>
      </c>
      <c r="Q307" s="72" t="s">
        <v>30</v>
      </c>
      <c r="R307" s="72" t="s">
        <v>30</v>
      </c>
      <c r="S307" s="72" t="s">
        <v>30</v>
      </c>
      <c r="T307" s="72" t="s">
        <v>30</v>
      </c>
      <c r="W307" s="31"/>
    </row>
    <row r="308">
      <c r="B308" s="72" t="s">
        <v>30</v>
      </c>
      <c r="C308" s="72" t="s">
        <v>30</v>
      </c>
      <c r="D308" s="72" t="s">
        <v>30</v>
      </c>
      <c r="E308" s="72" t="s">
        <v>30</v>
      </c>
      <c r="F308" s="72" t="s">
        <v>30</v>
      </c>
      <c r="G308" s="72" t="s">
        <v>30</v>
      </c>
      <c r="H308" s="72" t="s">
        <v>30</v>
      </c>
      <c r="I308" s="73" t="s">
        <v>30</v>
      </c>
      <c r="J308" s="72" t="s">
        <v>30</v>
      </c>
      <c r="K308" s="72" t="s">
        <v>30</v>
      </c>
      <c r="L308" s="72" t="s">
        <v>30</v>
      </c>
      <c r="M308" s="72" t="s">
        <v>30</v>
      </c>
      <c r="N308" s="72" t="s">
        <v>30</v>
      </c>
      <c r="O308" s="73" t="s">
        <v>30</v>
      </c>
      <c r="P308" s="72" t="s">
        <v>30</v>
      </c>
      <c r="Q308" s="72" t="s">
        <v>30</v>
      </c>
      <c r="R308" s="72" t="s">
        <v>30</v>
      </c>
      <c r="S308" s="72" t="s">
        <v>30</v>
      </c>
      <c r="T308" s="72" t="s">
        <v>30</v>
      </c>
      <c r="W308" s="31"/>
    </row>
    <row r="309">
      <c r="B309" s="72" t="s">
        <v>30</v>
      </c>
      <c r="C309" s="72" t="s">
        <v>30</v>
      </c>
      <c r="D309" s="72" t="s">
        <v>30</v>
      </c>
      <c r="E309" s="72" t="s">
        <v>30</v>
      </c>
      <c r="F309" s="72" t="s">
        <v>30</v>
      </c>
      <c r="G309" s="72" t="s">
        <v>30</v>
      </c>
      <c r="H309" s="72" t="s">
        <v>30</v>
      </c>
      <c r="I309" s="73" t="s">
        <v>30</v>
      </c>
      <c r="J309" s="72" t="s">
        <v>30</v>
      </c>
      <c r="K309" s="72" t="s">
        <v>30</v>
      </c>
      <c r="L309" s="72" t="s">
        <v>30</v>
      </c>
      <c r="M309" s="72" t="s">
        <v>30</v>
      </c>
      <c r="N309" s="72" t="s">
        <v>30</v>
      </c>
      <c r="O309" s="73" t="s">
        <v>30</v>
      </c>
      <c r="P309" s="72" t="s">
        <v>30</v>
      </c>
      <c r="Q309" s="72" t="s">
        <v>30</v>
      </c>
      <c r="R309" s="72" t="s">
        <v>30</v>
      </c>
      <c r="S309" s="72" t="s">
        <v>30</v>
      </c>
      <c r="T309" s="72" t="s">
        <v>30</v>
      </c>
      <c r="W309" s="31"/>
    </row>
    <row r="310">
      <c r="B310" s="72" t="s">
        <v>30</v>
      </c>
      <c r="C310" s="72" t="s">
        <v>30</v>
      </c>
      <c r="D310" s="72" t="s">
        <v>30</v>
      </c>
      <c r="E310" s="72" t="s">
        <v>30</v>
      </c>
      <c r="F310" s="72" t="s">
        <v>30</v>
      </c>
      <c r="G310" s="72" t="s">
        <v>30</v>
      </c>
      <c r="H310" s="72" t="s">
        <v>30</v>
      </c>
      <c r="I310" s="73" t="s">
        <v>30</v>
      </c>
      <c r="J310" s="72" t="s">
        <v>30</v>
      </c>
      <c r="K310" s="72" t="s">
        <v>30</v>
      </c>
      <c r="L310" s="72" t="s">
        <v>30</v>
      </c>
      <c r="M310" s="72" t="s">
        <v>30</v>
      </c>
      <c r="N310" s="72" t="s">
        <v>30</v>
      </c>
      <c r="O310" s="73" t="s">
        <v>30</v>
      </c>
      <c r="P310" s="72" t="s">
        <v>30</v>
      </c>
      <c r="Q310" s="72" t="s">
        <v>30</v>
      </c>
      <c r="R310" s="72" t="s">
        <v>30</v>
      </c>
      <c r="S310" s="72" t="s">
        <v>30</v>
      </c>
      <c r="T310" s="72" t="s">
        <v>30</v>
      </c>
      <c r="W310" s="31"/>
    </row>
    <row r="311">
      <c r="B311" s="72" t="s">
        <v>30</v>
      </c>
      <c r="C311" s="72" t="s">
        <v>30</v>
      </c>
      <c r="D311" s="72" t="s">
        <v>30</v>
      </c>
      <c r="E311" s="72" t="s">
        <v>30</v>
      </c>
      <c r="F311" s="72" t="s">
        <v>30</v>
      </c>
      <c r="G311" s="72" t="s">
        <v>30</v>
      </c>
      <c r="H311" s="72" t="s">
        <v>30</v>
      </c>
      <c r="I311" s="73" t="s">
        <v>30</v>
      </c>
      <c r="J311" s="72" t="s">
        <v>30</v>
      </c>
      <c r="K311" s="72" t="s">
        <v>30</v>
      </c>
      <c r="L311" s="72" t="s">
        <v>30</v>
      </c>
      <c r="M311" s="72" t="s">
        <v>30</v>
      </c>
      <c r="N311" s="72" t="s">
        <v>30</v>
      </c>
      <c r="O311" s="73" t="s">
        <v>30</v>
      </c>
      <c r="P311" s="72" t="s">
        <v>30</v>
      </c>
      <c r="Q311" s="72" t="s">
        <v>30</v>
      </c>
      <c r="R311" s="72" t="s">
        <v>30</v>
      </c>
      <c r="S311" s="72" t="s">
        <v>30</v>
      </c>
      <c r="T311" s="72" t="s">
        <v>30</v>
      </c>
      <c r="W311" s="31"/>
    </row>
    <row r="312">
      <c r="B312" s="72" t="s">
        <v>30</v>
      </c>
      <c r="C312" s="72" t="s">
        <v>30</v>
      </c>
      <c r="D312" s="72" t="s">
        <v>30</v>
      </c>
      <c r="E312" s="72" t="s">
        <v>30</v>
      </c>
      <c r="F312" s="72" t="s">
        <v>30</v>
      </c>
      <c r="G312" s="72" t="s">
        <v>30</v>
      </c>
      <c r="H312" s="72" t="s">
        <v>30</v>
      </c>
      <c r="I312" s="73" t="s">
        <v>30</v>
      </c>
      <c r="J312" s="72" t="s">
        <v>30</v>
      </c>
      <c r="K312" s="72" t="s">
        <v>30</v>
      </c>
      <c r="L312" s="72" t="s">
        <v>30</v>
      </c>
      <c r="M312" s="72" t="s">
        <v>30</v>
      </c>
      <c r="N312" s="72" t="s">
        <v>30</v>
      </c>
      <c r="O312" s="73" t="s">
        <v>30</v>
      </c>
      <c r="P312" s="72" t="s">
        <v>30</v>
      </c>
      <c r="Q312" s="72" t="s">
        <v>30</v>
      </c>
      <c r="R312" s="72" t="s">
        <v>30</v>
      </c>
      <c r="S312" s="72" t="s">
        <v>30</v>
      </c>
      <c r="T312" s="72" t="s">
        <v>30</v>
      </c>
      <c r="W312" s="31"/>
    </row>
    <row r="313">
      <c r="B313" s="72" t="s">
        <v>30</v>
      </c>
      <c r="C313" s="72" t="s">
        <v>30</v>
      </c>
      <c r="D313" s="72" t="s">
        <v>30</v>
      </c>
      <c r="E313" s="72" t="s">
        <v>30</v>
      </c>
      <c r="F313" s="72" t="s">
        <v>30</v>
      </c>
      <c r="G313" s="72" t="s">
        <v>30</v>
      </c>
      <c r="H313" s="72" t="s">
        <v>30</v>
      </c>
      <c r="I313" s="73" t="s">
        <v>30</v>
      </c>
      <c r="J313" s="72" t="s">
        <v>30</v>
      </c>
      <c r="K313" s="72" t="s">
        <v>30</v>
      </c>
      <c r="L313" s="72" t="s">
        <v>30</v>
      </c>
      <c r="M313" s="72" t="s">
        <v>30</v>
      </c>
      <c r="N313" s="72" t="s">
        <v>30</v>
      </c>
      <c r="O313" s="73" t="s">
        <v>30</v>
      </c>
      <c r="P313" s="72" t="s">
        <v>30</v>
      </c>
      <c r="Q313" s="72" t="s">
        <v>30</v>
      </c>
      <c r="R313" s="72" t="s">
        <v>30</v>
      </c>
      <c r="S313" s="72" t="s">
        <v>30</v>
      </c>
      <c r="T313" s="72" t="s">
        <v>30</v>
      </c>
      <c r="W313" s="31"/>
    </row>
    <row r="314">
      <c r="B314" s="72" t="s">
        <v>30</v>
      </c>
      <c r="C314" s="72" t="s">
        <v>30</v>
      </c>
      <c r="D314" s="72" t="s">
        <v>30</v>
      </c>
      <c r="E314" s="72" t="s">
        <v>30</v>
      </c>
      <c r="F314" s="72" t="s">
        <v>30</v>
      </c>
      <c r="G314" s="72" t="s">
        <v>30</v>
      </c>
      <c r="H314" s="72" t="s">
        <v>30</v>
      </c>
      <c r="I314" s="73" t="s">
        <v>30</v>
      </c>
      <c r="J314" s="72" t="s">
        <v>30</v>
      </c>
      <c r="K314" s="72" t="s">
        <v>30</v>
      </c>
      <c r="L314" s="72" t="s">
        <v>30</v>
      </c>
      <c r="M314" s="72" t="s">
        <v>30</v>
      </c>
      <c r="N314" s="72" t="s">
        <v>30</v>
      </c>
      <c r="O314" s="73" t="s">
        <v>30</v>
      </c>
      <c r="P314" s="72" t="s">
        <v>30</v>
      </c>
      <c r="Q314" s="72" t="s">
        <v>30</v>
      </c>
      <c r="R314" s="72" t="s">
        <v>30</v>
      </c>
      <c r="S314" s="72" t="s">
        <v>30</v>
      </c>
      <c r="T314" s="72" t="s">
        <v>30</v>
      </c>
      <c r="W314" s="31"/>
    </row>
    <row r="315">
      <c r="B315" s="72" t="s">
        <v>30</v>
      </c>
      <c r="C315" s="72" t="s">
        <v>30</v>
      </c>
      <c r="D315" s="72" t="s">
        <v>30</v>
      </c>
      <c r="E315" s="72" t="s">
        <v>30</v>
      </c>
      <c r="F315" s="72" t="s">
        <v>30</v>
      </c>
      <c r="G315" s="72" t="s">
        <v>30</v>
      </c>
      <c r="H315" s="72" t="s">
        <v>30</v>
      </c>
      <c r="I315" s="73" t="s">
        <v>30</v>
      </c>
      <c r="J315" s="72" t="s">
        <v>30</v>
      </c>
      <c r="K315" s="72" t="s">
        <v>30</v>
      </c>
      <c r="L315" s="72" t="s">
        <v>30</v>
      </c>
      <c r="M315" s="72" t="s">
        <v>30</v>
      </c>
      <c r="N315" s="72" t="s">
        <v>30</v>
      </c>
      <c r="O315" s="73" t="s">
        <v>30</v>
      </c>
      <c r="P315" s="72" t="s">
        <v>30</v>
      </c>
      <c r="Q315" s="72" t="s">
        <v>30</v>
      </c>
      <c r="R315" s="72" t="s">
        <v>30</v>
      </c>
      <c r="S315" s="72" t="s">
        <v>30</v>
      </c>
      <c r="T315" s="72" t="s">
        <v>30</v>
      </c>
      <c r="W315" s="31"/>
    </row>
    <row r="316">
      <c r="B316" s="72" t="s">
        <v>30</v>
      </c>
      <c r="C316" s="72" t="s">
        <v>30</v>
      </c>
      <c r="D316" s="72" t="s">
        <v>30</v>
      </c>
      <c r="E316" s="72" t="s">
        <v>30</v>
      </c>
      <c r="F316" s="72" t="s">
        <v>30</v>
      </c>
      <c r="G316" s="72" t="s">
        <v>30</v>
      </c>
      <c r="H316" s="72" t="s">
        <v>30</v>
      </c>
      <c r="I316" s="73" t="s">
        <v>30</v>
      </c>
      <c r="J316" s="72" t="s">
        <v>30</v>
      </c>
      <c r="K316" s="72" t="s">
        <v>30</v>
      </c>
      <c r="L316" s="72" t="s">
        <v>30</v>
      </c>
      <c r="M316" s="72" t="s">
        <v>30</v>
      </c>
      <c r="N316" s="72" t="s">
        <v>30</v>
      </c>
      <c r="O316" s="73" t="s">
        <v>30</v>
      </c>
      <c r="P316" s="72" t="s">
        <v>30</v>
      </c>
      <c r="Q316" s="72" t="s">
        <v>30</v>
      </c>
      <c r="R316" s="72" t="s">
        <v>30</v>
      </c>
      <c r="S316" s="72" t="s">
        <v>30</v>
      </c>
      <c r="T316" s="72" t="s">
        <v>30</v>
      </c>
      <c r="W316" s="31"/>
    </row>
    <row r="317">
      <c r="B317" s="72" t="s">
        <v>30</v>
      </c>
      <c r="C317" s="72" t="s">
        <v>30</v>
      </c>
      <c r="D317" s="72" t="s">
        <v>30</v>
      </c>
      <c r="E317" s="72" t="s">
        <v>30</v>
      </c>
      <c r="F317" s="72" t="s">
        <v>30</v>
      </c>
      <c r="G317" s="72" t="s">
        <v>30</v>
      </c>
      <c r="H317" s="72" t="s">
        <v>30</v>
      </c>
      <c r="I317" s="73" t="s">
        <v>30</v>
      </c>
      <c r="J317" s="72" t="s">
        <v>30</v>
      </c>
      <c r="K317" s="72" t="s">
        <v>30</v>
      </c>
      <c r="L317" s="72" t="s">
        <v>30</v>
      </c>
      <c r="M317" s="72" t="s">
        <v>30</v>
      </c>
      <c r="N317" s="72" t="s">
        <v>30</v>
      </c>
      <c r="O317" s="73" t="s">
        <v>30</v>
      </c>
      <c r="P317" s="72" t="s">
        <v>30</v>
      </c>
      <c r="Q317" s="72" t="s">
        <v>30</v>
      </c>
      <c r="R317" s="72" t="s">
        <v>30</v>
      </c>
      <c r="S317" s="72" t="s">
        <v>30</v>
      </c>
      <c r="T317" s="72" t="s">
        <v>30</v>
      </c>
      <c r="W317" s="31"/>
    </row>
    <row r="318">
      <c r="B318" s="72" t="s">
        <v>30</v>
      </c>
      <c r="C318" s="72" t="s">
        <v>30</v>
      </c>
      <c r="D318" s="72" t="s">
        <v>30</v>
      </c>
      <c r="E318" s="72" t="s">
        <v>30</v>
      </c>
      <c r="F318" s="72" t="s">
        <v>30</v>
      </c>
      <c r="G318" s="72" t="s">
        <v>30</v>
      </c>
      <c r="H318" s="72" t="s">
        <v>30</v>
      </c>
      <c r="I318" s="73" t="s">
        <v>30</v>
      </c>
      <c r="J318" s="72" t="s">
        <v>30</v>
      </c>
      <c r="K318" s="72" t="s">
        <v>30</v>
      </c>
      <c r="L318" s="72" t="s">
        <v>30</v>
      </c>
      <c r="M318" s="72" t="s">
        <v>30</v>
      </c>
      <c r="N318" s="72" t="s">
        <v>30</v>
      </c>
      <c r="O318" s="73" t="s">
        <v>30</v>
      </c>
      <c r="P318" s="72" t="s">
        <v>30</v>
      </c>
      <c r="Q318" s="72" t="s">
        <v>30</v>
      </c>
      <c r="R318" s="72" t="s">
        <v>30</v>
      </c>
      <c r="S318" s="72" t="s">
        <v>30</v>
      </c>
      <c r="T318" s="72" t="s">
        <v>30</v>
      </c>
      <c r="W318" s="31"/>
    </row>
    <row r="319">
      <c r="B319" s="72" t="s">
        <v>30</v>
      </c>
      <c r="C319" s="72" t="s">
        <v>30</v>
      </c>
      <c r="D319" s="72" t="s">
        <v>30</v>
      </c>
      <c r="E319" s="72" t="s">
        <v>30</v>
      </c>
      <c r="F319" s="72" t="s">
        <v>30</v>
      </c>
      <c r="G319" s="72" t="s">
        <v>30</v>
      </c>
      <c r="H319" s="72" t="s">
        <v>30</v>
      </c>
      <c r="I319" s="73" t="s">
        <v>30</v>
      </c>
      <c r="J319" s="72" t="s">
        <v>30</v>
      </c>
      <c r="K319" s="72" t="s">
        <v>30</v>
      </c>
      <c r="L319" s="72" t="s">
        <v>30</v>
      </c>
      <c r="M319" s="72" t="s">
        <v>30</v>
      </c>
      <c r="N319" s="72" t="s">
        <v>30</v>
      </c>
      <c r="O319" s="73" t="s">
        <v>30</v>
      </c>
      <c r="P319" s="72" t="s">
        <v>30</v>
      </c>
      <c r="Q319" s="72" t="s">
        <v>30</v>
      </c>
      <c r="R319" s="72" t="s">
        <v>30</v>
      </c>
      <c r="S319" s="72" t="s">
        <v>30</v>
      </c>
      <c r="T319" s="72" t="s">
        <v>30</v>
      </c>
      <c r="W319" s="31"/>
    </row>
    <row r="320">
      <c r="B320" s="72" t="s">
        <v>30</v>
      </c>
      <c r="C320" s="72" t="s">
        <v>30</v>
      </c>
      <c r="D320" s="72" t="s">
        <v>30</v>
      </c>
      <c r="E320" s="72" t="s">
        <v>30</v>
      </c>
      <c r="F320" s="72" t="s">
        <v>30</v>
      </c>
      <c r="G320" s="72" t="s">
        <v>30</v>
      </c>
      <c r="H320" s="72" t="s">
        <v>30</v>
      </c>
      <c r="I320" s="73" t="s">
        <v>30</v>
      </c>
      <c r="J320" s="72" t="s">
        <v>30</v>
      </c>
      <c r="K320" s="72" t="s">
        <v>30</v>
      </c>
      <c r="L320" s="72" t="s">
        <v>30</v>
      </c>
      <c r="M320" s="72" t="s">
        <v>30</v>
      </c>
      <c r="N320" s="72" t="s">
        <v>30</v>
      </c>
      <c r="O320" s="73" t="s">
        <v>30</v>
      </c>
      <c r="P320" s="72" t="s">
        <v>30</v>
      </c>
      <c r="Q320" s="72" t="s">
        <v>30</v>
      </c>
      <c r="R320" s="72" t="s">
        <v>30</v>
      </c>
      <c r="S320" s="72" t="s">
        <v>30</v>
      </c>
      <c r="T320" s="72" t="s">
        <v>30</v>
      </c>
      <c r="W320" s="31"/>
    </row>
    <row r="321">
      <c r="B321" s="72" t="s">
        <v>30</v>
      </c>
      <c r="C321" s="72" t="s">
        <v>30</v>
      </c>
      <c r="D321" s="72" t="s">
        <v>30</v>
      </c>
      <c r="E321" s="72" t="s">
        <v>30</v>
      </c>
      <c r="F321" s="72" t="s">
        <v>30</v>
      </c>
      <c r="G321" s="72" t="s">
        <v>30</v>
      </c>
      <c r="H321" s="72" t="s">
        <v>30</v>
      </c>
      <c r="I321" s="73" t="s">
        <v>30</v>
      </c>
      <c r="J321" s="72" t="s">
        <v>30</v>
      </c>
      <c r="K321" s="72" t="s">
        <v>30</v>
      </c>
      <c r="L321" s="72" t="s">
        <v>30</v>
      </c>
      <c r="M321" s="72" t="s">
        <v>30</v>
      </c>
      <c r="N321" s="72" t="s">
        <v>30</v>
      </c>
      <c r="O321" s="73" t="s">
        <v>30</v>
      </c>
      <c r="P321" s="72" t="s">
        <v>30</v>
      </c>
      <c r="Q321" s="72" t="s">
        <v>30</v>
      </c>
      <c r="R321" s="72" t="s">
        <v>30</v>
      </c>
      <c r="S321" s="72" t="s">
        <v>30</v>
      </c>
      <c r="T321" s="72" t="s">
        <v>30</v>
      </c>
      <c r="W321" s="31"/>
    </row>
    <row r="322">
      <c r="B322" s="72" t="s">
        <v>30</v>
      </c>
      <c r="C322" s="72" t="s">
        <v>30</v>
      </c>
      <c r="D322" s="72" t="s">
        <v>30</v>
      </c>
      <c r="E322" s="72" t="s">
        <v>30</v>
      </c>
      <c r="F322" s="72" t="s">
        <v>30</v>
      </c>
      <c r="G322" s="72" t="s">
        <v>30</v>
      </c>
      <c r="H322" s="72" t="s">
        <v>30</v>
      </c>
      <c r="I322" s="73" t="s">
        <v>30</v>
      </c>
      <c r="J322" s="72" t="s">
        <v>30</v>
      </c>
      <c r="K322" s="72" t="s">
        <v>30</v>
      </c>
      <c r="L322" s="72" t="s">
        <v>30</v>
      </c>
      <c r="M322" s="72" t="s">
        <v>30</v>
      </c>
      <c r="N322" s="72" t="s">
        <v>30</v>
      </c>
      <c r="O322" s="73" t="s">
        <v>30</v>
      </c>
      <c r="P322" s="72" t="s">
        <v>30</v>
      </c>
      <c r="Q322" s="72" t="s">
        <v>30</v>
      </c>
      <c r="R322" s="72" t="s">
        <v>30</v>
      </c>
      <c r="S322" s="72" t="s">
        <v>30</v>
      </c>
      <c r="T322" s="72" t="s">
        <v>30</v>
      </c>
      <c r="W322" s="31"/>
    </row>
    <row r="323">
      <c r="B323" s="72" t="s">
        <v>30</v>
      </c>
      <c r="C323" s="72" t="s">
        <v>30</v>
      </c>
      <c r="D323" s="72" t="s">
        <v>30</v>
      </c>
      <c r="E323" s="72" t="s">
        <v>30</v>
      </c>
      <c r="F323" s="72" t="s">
        <v>30</v>
      </c>
      <c r="G323" s="72" t="s">
        <v>30</v>
      </c>
      <c r="H323" s="72" t="s">
        <v>30</v>
      </c>
      <c r="I323" s="73" t="s">
        <v>30</v>
      </c>
      <c r="J323" s="72" t="s">
        <v>30</v>
      </c>
      <c r="K323" s="72" t="s">
        <v>30</v>
      </c>
      <c r="L323" s="72" t="s">
        <v>30</v>
      </c>
      <c r="M323" s="72" t="s">
        <v>30</v>
      </c>
      <c r="N323" s="72" t="s">
        <v>30</v>
      </c>
      <c r="O323" s="73" t="s">
        <v>30</v>
      </c>
      <c r="P323" s="72" t="s">
        <v>30</v>
      </c>
      <c r="Q323" s="72" t="s">
        <v>30</v>
      </c>
      <c r="R323" s="72" t="s">
        <v>30</v>
      </c>
      <c r="S323" s="72" t="s">
        <v>30</v>
      </c>
      <c r="T323" s="72" t="s">
        <v>30</v>
      </c>
      <c r="W323" s="31"/>
    </row>
    <row r="324">
      <c r="B324" s="72" t="s">
        <v>30</v>
      </c>
      <c r="C324" s="72" t="s">
        <v>30</v>
      </c>
      <c r="D324" s="72" t="s">
        <v>30</v>
      </c>
      <c r="E324" s="72" t="s">
        <v>30</v>
      </c>
      <c r="F324" s="72" t="s">
        <v>30</v>
      </c>
      <c r="G324" s="72" t="s">
        <v>30</v>
      </c>
      <c r="H324" s="72" t="s">
        <v>30</v>
      </c>
      <c r="I324" s="73" t="s">
        <v>30</v>
      </c>
      <c r="J324" s="72" t="s">
        <v>30</v>
      </c>
      <c r="K324" s="72" t="s">
        <v>30</v>
      </c>
      <c r="L324" s="72" t="s">
        <v>30</v>
      </c>
      <c r="M324" s="72" t="s">
        <v>30</v>
      </c>
      <c r="N324" s="72" t="s">
        <v>30</v>
      </c>
      <c r="O324" s="73" t="s">
        <v>30</v>
      </c>
      <c r="P324" s="72" t="s">
        <v>30</v>
      </c>
      <c r="Q324" s="72" t="s">
        <v>30</v>
      </c>
      <c r="R324" s="72" t="s">
        <v>30</v>
      </c>
      <c r="S324" s="72" t="s">
        <v>30</v>
      </c>
      <c r="T324" s="72" t="s">
        <v>30</v>
      </c>
      <c r="W324" s="31"/>
    </row>
    <row r="325">
      <c r="B325" s="72" t="s">
        <v>30</v>
      </c>
      <c r="C325" s="72" t="s">
        <v>30</v>
      </c>
      <c r="D325" s="72" t="s">
        <v>30</v>
      </c>
      <c r="E325" s="72" t="s">
        <v>30</v>
      </c>
      <c r="F325" s="72" t="s">
        <v>30</v>
      </c>
      <c r="G325" s="72" t="s">
        <v>30</v>
      </c>
      <c r="H325" s="72" t="s">
        <v>30</v>
      </c>
      <c r="I325" s="73" t="s">
        <v>30</v>
      </c>
      <c r="J325" s="72" t="s">
        <v>30</v>
      </c>
      <c r="K325" s="72" t="s">
        <v>30</v>
      </c>
      <c r="L325" s="72" t="s">
        <v>30</v>
      </c>
      <c r="M325" s="72" t="s">
        <v>30</v>
      </c>
      <c r="N325" s="72" t="s">
        <v>30</v>
      </c>
      <c r="O325" s="73" t="s">
        <v>30</v>
      </c>
      <c r="P325" s="72" t="s">
        <v>30</v>
      </c>
      <c r="Q325" s="72" t="s">
        <v>30</v>
      </c>
      <c r="R325" s="72" t="s">
        <v>30</v>
      </c>
      <c r="S325" s="72" t="s">
        <v>30</v>
      </c>
      <c r="T325" s="72" t="s">
        <v>30</v>
      </c>
      <c r="W325" s="31"/>
    </row>
    <row r="326">
      <c r="B326" s="72" t="s">
        <v>30</v>
      </c>
      <c r="C326" s="72" t="s">
        <v>30</v>
      </c>
      <c r="D326" s="72" t="s">
        <v>30</v>
      </c>
      <c r="E326" s="72" t="s">
        <v>30</v>
      </c>
      <c r="F326" s="72" t="s">
        <v>30</v>
      </c>
      <c r="G326" s="72" t="s">
        <v>30</v>
      </c>
      <c r="H326" s="72" t="s">
        <v>30</v>
      </c>
      <c r="I326" s="73" t="s">
        <v>30</v>
      </c>
      <c r="J326" s="72" t="s">
        <v>30</v>
      </c>
      <c r="K326" s="72" t="s">
        <v>30</v>
      </c>
      <c r="L326" s="72" t="s">
        <v>30</v>
      </c>
      <c r="M326" s="72" t="s">
        <v>30</v>
      </c>
      <c r="N326" s="72" t="s">
        <v>30</v>
      </c>
      <c r="O326" s="73" t="s">
        <v>30</v>
      </c>
      <c r="P326" s="72" t="s">
        <v>30</v>
      </c>
      <c r="Q326" s="72" t="s">
        <v>30</v>
      </c>
      <c r="R326" s="72" t="s">
        <v>30</v>
      </c>
      <c r="S326" s="72" t="s">
        <v>30</v>
      </c>
      <c r="T326" s="72" t="s">
        <v>30</v>
      </c>
      <c r="W326" s="31"/>
    </row>
    <row r="327">
      <c r="B327" s="72" t="s">
        <v>30</v>
      </c>
      <c r="C327" s="72" t="s">
        <v>30</v>
      </c>
      <c r="D327" s="72" t="s">
        <v>30</v>
      </c>
      <c r="E327" s="72" t="s">
        <v>30</v>
      </c>
      <c r="F327" s="72" t="s">
        <v>30</v>
      </c>
      <c r="G327" s="72" t="s">
        <v>30</v>
      </c>
      <c r="H327" s="72" t="s">
        <v>30</v>
      </c>
      <c r="I327" s="73" t="s">
        <v>30</v>
      </c>
      <c r="J327" s="72" t="s">
        <v>30</v>
      </c>
      <c r="K327" s="72" t="s">
        <v>30</v>
      </c>
      <c r="L327" s="72" t="s">
        <v>30</v>
      </c>
      <c r="M327" s="72" t="s">
        <v>30</v>
      </c>
      <c r="N327" s="72" t="s">
        <v>30</v>
      </c>
      <c r="O327" s="73" t="s">
        <v>30</v>
      </c>
      <c r="P327" s="72" t="s">
        <v>30</v>
      </c>
      <c r="Q327" s="72" t="s">
        <v>30</v>
      </c>
      <c r="R327" s="72" t="s">
        <v>30</v>
      </c>
      <c r="S327" s="72" t="s">
        <v>30</v>
      </c>
      <c r="T327" s="72" t="s">
        <v>30</v>
      </c>
      <c r="W327" s="31"/>
    </row>
    <row r="328">
      <c r="B328" s="72" t="s">
        <v>30</v>
      </c>
      <c r="C328" s="72" t="s">
        <v>30</v>
      </c>
      <c r="D328" s="72" t="s">
        <v>30</v>
      </c>
      <c r="E328" s="72" t="s">
        <v>30</v>
      </c>
      <c r="F328" s="72" t="s">
        <v>30</v>
      </c>
      <c r="G328" s="72" t="s">
        <v>30</v>
      </c>
      <c r="H328" s="72" t="s">
        <v>30</v>
      </c>
      <c r="I328" s="73" t="s">
        <v>30</v>
      </c>
      <c r="J328" s="72" t="s">
        <v>30</v>
      </c>
      <c r="K328" s="72" t="s">
        <v>30</v>
      </c>
      <c r="L328" s="72" t="s">
        <v>30</v>
      </c>
      <c r="M328" s="72" t="s">
        <v>30</v>
      </c>
      <c r="N328" s="72" t="s">
        <v>30</v>
      </c>
      <c r="O328" s="73" t="s">
        <v>30</v>
      </c>
      <c r="P328" s="72" t="s">
        <v>30</v>
      </c>
      <c r="Q328" s="72" t="s">
        <v>30</v>
      </c>
      <c r="R328" s="72" t="s">
        <v>30</v>
      </c>
      <c r="S328" s="72" t="s">
        <v>30</v>
      </c>
      <c r="T328" s="72" t="s">
        <v>30</v>
      </c>
      <c r="W328" s="31"/>
    </row>
    <row r="329">
      <c r="B329" s="72" t="s">
        <v>30</v>
      </c>
      <c r="C329" s="72" t="s">
        <v>30</v>
      </c>
      <c r="D329" s="72" t="s">
        <v>30</v>
      </c>
      <c r="E329" s="72" t="s">
        <v>30</v>
      </c>
      <c r="F329" s="72" t="s">
        <v>30</v>
      </c>
      <c r="G329" s="72" t="s">
        <v>30</v>
      </c>
      <c r="H329" s="72" t="s">
        <v>30</v>
      </c>
      <c r="I329" s="73" t="s">
        <v>30</v>
      </c>
      <c r="J329" s="72" t="s">
        <v>30</v>
      </c>
      <c r="K329" s="72" t="s">
        <v>30</v>
      </c>
      <c r="L329" s="72" t="s">
        <v>30</v>
      </c>
      <c r="M329" s="72" t="s">
        <v>30</v>
      </c>
      <c r="N329" s="72" t="s">
        <v>30</v>
      </c>
      <c r="O329" s="73" t="s">
        <v>30</v>
      </c>
      <c r="P329" s="72" t="s">
        <v>30</v>
      </c>
      <c r="Q329" s="72" t="s">
        <v>30</v>
      </c>
      <c r="R329" s="72" t="s">
        <v>30</v>
      </c>
      <c r="S329" s="72" t="s">
        <v>30</v>
      </c>
      <c r="T329" s="72" t="s">
        <v>30</v>
      </c>
      <c r="W329" s="31"/>
    </row>
    <row r="330">
      <c r="B330" s="72" t="s">
        <v>30</v>
      </c>
      <c r="C330" s="72" t="s">
        <v>30</v>
      </c>
      <c r="D330" s="72" t="s">
        <v>30</v>
      </c>
      <c r="E330" s="72" t="s">
        <v>30</v>
      </c>
      <c r="F330" s="72" t="s">
        <v>30</v>
      </c>
      <c r="G330" s="72" t="s">
        <v>30</v>
      </c>
      <c r="H330" s="72" t="s">
        <v>30</v>
      </c>
      <c r="I330" s="73" t="s">
        <v>30</v>
      </c>
      <c r="J330" s="72" t="s">
        <v>30</v>
      </c>
      <c r="K330" s="72" t="s">
        <v>30</v>
      </c>
      <c r="L330" s="72" t="s">
        <v>30</v>
      </c>
      <c r="M330" s="72" t="s">
        <v>30</v>
      </c>
      <c r="N330" s="72" t="s">
        <v>30</v>
      </c>
      <c r="O330" s="73" t="s">
        <v>30</v>
      </c>
      <c r="P330" s="72" t="s">
        <v>30</v>
      </c>
      <c r="Q330" s="72" t="s">
        <v>30</v>
      </c>
      <c r="R330" s="72" t="s">
        <v>30</v>
      </c>
      <c r="S330" s="72" t="s">
        <v>30</v>
      </c>
      <c r="T330" s="72" t="s">
        <v>30</v>
      </c>
      <c r="W330" s="31"/>
    </row>
    <row r="331">
      <c r="B331" s="72" t="s">
        <v>30</v>
      </c>
      <c r="C331" s="72" t="s">
        <v>30</v>
      </c>
      <c r="D331" s="72" t="s">
        <v>30</v>
      </c>
      <c r="E331" s="72" t="s">
        <v>30</v>
      </c>
      <c r="F331" s="72" t="s">
        <v>30</v>
      </c>
      <c r="G331" s="72" t="s">
        <v>30</v>
      </c>
      <c r="H331" s="72" t="s">
        <v>30</v>
      </c>
      <c r="I331" s="73" t="s">
        <v>30</v>
      </c>
      <c r="J331" s="72" t="s">
        <v>30</v>
      </c>
      <c r="K331" s="72" t="s">
        <v>30</v>
      </c>
      <c r="L331" s="72" t="s">
        <v>30</v>
      </c>
      <c r="M331" s="72" t="s">
        <v>30</v>
      </c>
      <c r="N331" s="72" t="s">
        <v>30</v>
      </c>
      <c r="O331" s="73" t="s">
        <v>30</v>
      </c>
      <c r="P331" s="72" t="s">
        <v>30</v>
      </c>
      <c r="Q331" s="72" t="s">
        <v>30</v>
      </c>
      <c r="R331" s="72" t="s">
        <v>30</v>
      </c>
      <c r="S331" s="72" t="s">
        <v>30</v>
      </c>
      <c r="T331" s="72" t="s">
        <v>30</v>
      </c>
      <c r="W331" s="31"/>
    </row>
    <row r="332">
      <c r="B332" s="72" t="s">
        <v>30</v>
      </c>
      <c r="C332" s="72" t="s">
        <v>30</v>
      </c>
      <c r="D332" s="72" t="s">
        <v>30</v>
      </c>
      <c r="E332" s="72" t="s">
        <v>30</v>
      </c>
      <c r="F332" s="72" t="s">
        <v>30</v>
      </c>
      <c r="G332" s="72" t="s">
        <v>30</v>
      </c>
      <c r="H332" s="72" t="s">
        <v>30</v>
      </c>
      <c r="I332" s="73" t="s">
        <v>30</v>
      </c>
      <c r="J332" s="72" t="s">
        <v>30</v>
      </c>
      <c r="K332" s="72" t="s">
        <v>30</v>
      </c>
      <c r="L332" s="72" t="s">
        <v>30</v>
      </c>
      <c r="M332" s="72" t="s">
        <v>30</v>
      </c>
      <c r="N332" s="72" t="s">
        <v>30</v>
      </c>
      <c r="O332" s="73" t="s">
        <v>30</v>
      </c>
      <c r="P332" s="72" t="s">
        <v>30</v>
      </c>
      <c r="Q332" s="72" t="s">
        <v>30</v>
      </c>
      <c r="R332" s="72" t="s">
        <v>30</v>
      </c>
      <c r="S332" s="72" t="s">
        <v>30</v>
      </c>
      <c r="T332" s="72" t="s">
        <v>30</v>
      </c>
      <c r="W332" s="31"/>
    </row>
    <row r="333">
      <c r="B333" s="72" t="s">
        <v>30</v>
      </c>
      <c r="C333" s="72" t="s">
        <v>30</v>
      </c>
      <c r="D333" s="72" t="s">
        <v>30</v>
      </c>
      <c r="E333" s="72" t="s">
        <v>30</v>
      </c>
      <c r="F333" s="72" t="s">
        <v>30</v>
      </c>
      <c r="G333" s="72" t="s">
        <v>30</v>
      </c>
      <c r="H333" s="72" t="s">
        <v>30</v>
      </c>
      <c r="I333" s="73" t="s">
        <v>30</v>
      </c>
      <c r="J333" s="72" t="s">
        <v>30</v>
      </c>
      <c r="K333" s="72" t="s">
        <v>30</v>
      </c>
      <c r="L333" s="72" t="s">
        <v>30</v>
      </c>
      <c r="M333" s="72" t="s">
        <v>30</v>
      </c>
      <c r="N333" s="72" t="s">
        <v>30</v>
      </c>
      <c r="O333" s="73" t="s">
        <v>30</v>
      </c>
      <c r="P333" s="72" t="s">
        <v>30</v>
      </c>
      <c r="Q333" s="72" t="s">
        <v>30</v>
      </c>
      <c r="R333" s="72" t="s">
        <v>30</v>
      </c>
      <c r="S333" s="72" t="s">
        <v>30</v>
      </c>
      <c r="T333" s="72" t="s">
        <v>30</v>
      </c>
      <c r="W333" s="31"/>
    </row>
    <row r="334">
      <c r="B334" s="72" t="s">
        <v>30</v>
      </c>
      <c r="C334" s="72" t="s">
        <v>30</v>
      </c>
      <c r="D334" s="72" t="s">
        <v>30</v>
      </c>
      <c r="E334" s="72" t="s">
        <v>30</v>
      </c>
      <c r="F334" s="72" t="s">
        <v>30</v>
      </c>
      <c r="G334" s="72" t="s">
        <v>30</v>
      </c>
      <c r="H334" s="72" t="s">
        <v>30</v>
      </c>
      <c r="I334" s="73" t="s">
        <v>30</v>
      </c>
      <c r="J334" s="72" t="s">
        <v>30</v>
      </c>
      <c r="K334" s="72" t="s">
        <v>30</v>
      </c>
      <c r="L334" s="72" t="s">
        <v>30</v>
      </c>
      <c r="M334" s="72" t="s">
        <v>30</v>
      </c>
      <c r="N334" s="72" t="s">
        <v>30</v>
      </c>
      <c r="O334" s="73" t="s">
        <v>30</v>
      </c>
      <c r="P334" s="72" t="s">
        <v>30</v>
      </c>
      <c r="Q334" s="72" t="s">
        <v>30</v>
      </c>
      <c r="R334" s="72" t="s">
        <v>30</v>
      </c>
      <c r="S334" s="72" t="s">
        <v>30</v>
      </c>
      <c r="T334" s="72" t="s">
        <v>30</v>
      </c>
      <c r="W334" s="31"/>
    </row>
    <row r="335">
      <c r="B335" s="72" t="s">
        <v>30</v>
      </c>
      <c r="C335" s="72" t="s">
        <v>30</v>
      </c>
      <c r="D335" s="72" t="s">
        <v>30</v>
      </c>
      <c r="E335" s="72" t="s">
        <v>30</v>
      </c>
      <c r="F335" s="72" t="s">
        <v>30</v>
      </c>
      <c r="G335" s="72" t="s">
        <v>30</v>
      </c>
      <c r="H335" s="72" t="s">
        <v>30</v>
      </c>
      <c r="I335" s="73" t="s">
        <v>30</v>
      </c>
      <c r="J335" s="72" t="s">
        <v>30</v>
      </c>
      <c r="K335" s="72" t="s">
        <v>30</v>
      </c>
      <c r="L335" s="72" t="s">
        <v>30</v>
      </c>
      <c r="M335" s="72" t="s">
        <v>30</v>
      </c>
      <c r="N335" s="72" t="s">
        <v>30</v>
      </c>
      <c r="O335" s="73" t="s">
        <v>30</v>
      </c>
      <c r="P335" s="72" t="s">
        <v>30</v>
      </c>
      <c r="Q335" s="72" t="s">
        <v>30</v>
      </c>
      <c r="R335" s="72" t="s">
        <v>30</v>
      </c>
      <c r="S335" s="72" t="s">
        <v>30</v>
      </c>
      <c r="T335" s="72" t="s">
        <v>30</v>
      </c>
      <c r="W335" s="31"/>
    </row>
    <row r="336">
      <c r="B336" s="72" t="s">
        <v>30</v>
      </c>
      <c r="C336" s="72" t="s">
        <v>30</v>
      </c>
      <c r="D336" s="72" t="s">
        <v>30</v>
      </c>
      <c r="E336" s="72" t="s">
        <v>30</v>
      </c>
      <c r="F336" s="72" t="s">
        <v>30</v>
      </c>
      <c r="G336" s="72" t="s">
        <v>30</v>
      </c>
      <c r="H336" s="72" t="s">
        <v>30</v>
      </c>
      <c r="I336" s="73" t="s">
        <v>30</v>
      </c>
      <c r="J336" s="72" t="s">
        <v>30</v>
      </c>
      <c r="K336" s="72" t="s">
        <v>30</v>
      </c>
      <c r="L336" s="72" t="s">
        <v>30</v>
      </c>
      <c r="M336" s="72" t="s">
        <v>30</v>
      </c>
      <c r="N336" s="72" t="s">
        <v>30</v>
      </c>
      <c r="O336" s="73" t="s">
        <v>30</v>
      </c>
      <c r="P336" s="72" t="s">
        <v>30</v>
      </c>
      <c r="Q336" s="72" t="s">
        <v>30</v>
      </c>
      <c r="R336" s="72" t="s">
        <v>30</v>
      </c>
      <c r="S336" s="72" t="s">
        <v>30</v>
      </c>
      <c r="T336" s="72" t="s">
        <v>30</v>
      </c>
      <c r="W336" s="31"/>
    </row>
    <row r="337">
      <c r="B337" s="72" t="s">
        <v>30</v>
      </c>
      <c r="C337" s="72" t="s">
        <v>30</v>
      </c>
      <c r="D337" s="72" t="s">
        <v>30</v>
      </c>
      <c r="E337" s="72" t="s">
        <v>30</v>
      </c>
      <c r="F337" s="72" t="s">
        <v>30</v>
      </c>
      <c r="G337" s="72" t="s">
        <v>30</v>
      </c>
      <c r="H337" s="72" t="s">
        <v>30</v>
      </c>
      <c r="I337" s="73" t="s">
        <v>30</v>
      </c>
      <c r="J337" s="72" t="s">
        <v>30</v>
      </c>
      <c r="K337" s="72" t="s">
        <v>30</v>
      </c>
      <c r="L337" s="72" t="s">
        <v>30</v>
      </c>
      <c r="M337" s="72" t="s">
        <v>30</v>
      </c>
      <c r="N337" s="72" t="s">
        <v>30</v>
      </c>
      <c r="O337" s="73" t="s">
        <v>30</v>
      </c>
      <c r="P337" s="72" t="s">
        <v>30</v>
      </c>
      <c r="Q337" s="72" t="s">
        <v>30</v>
      </c>
      <c r="R337" s="72" t="s">
        <v>30</v>
      </c>
      <c r="S337" s="72" t="s">
        <v>30</v>
      </c>
      <c r="T337" s="72" t="s">
        <v>30</v>
      </c>
      <c r="W337" s="31"/>
    </row>
    <row r="338">
      <c r="B338" s="72" t="s">
        <v>30</v>
      </c>
      <c r="C338" s="72" t="s">
        <v>30</v>
      </c>
      <c r="D338" s="72" t="s">
        <v>30</v>
      </c>
      <c r="E338" s="72" t="s">
        <v>30</v>
      </c>
      <c r="F338" s="72" t="s">
        <v>30</v>
      </c>
      <c r="G338" s="72" t="s">
        <v>30</v>
      </c>
      <c r="H338" s="72" t="s">
        <v>30</v>
      </c>
      <c r="I338" s="73" t="s">
        <v>30</v>
      </c>
      <c r="J338" s="72" t="s">
        <v>30</v>
      </c>
      <c r="K338" s="72" t="s">
        <v>30</v>
      </c>
      <c r="L338" s="72" t="s">
        <v>30</v>
      </c>
      <c r="M338" s="72" t="s">
        <v>30</v>
      </c>
      <c r="N338" s="72" t="s">
        <v>30</v>
      </c>
      <c r="O338" s="73" t="s">
        <v>30</v>
      </c>
      <c r="P338" s="72" t="s">
        <v>30</v>
      </c>
      <c r="Q338" s="72" t="s">
        <v>30</v>
      </c>
      <c r="R338" s="72" t="s">
        <v>30</v>
      </c>
      <c r="S338" s="72" t="s">
        <v>30</v>
      </c>
      <c r="T338" s="72" t="s">
        <v>30</v>
      </c>
      <c r="W338" s="31"/>
    </row>
    <row r="339">
      <c r="B339" s="72" t="s">
        <v>30</v>
      </c>
      <c r="C339" s="72" t="s">
        <v>30</v>
      </c>
      <c r="D339" s="72" t="s">
        <v>30</v>
      </c>
      <c r="E339" s="72" t="s">
        <v>30</v>
      </c>
      <c r="F339" s="72" t="s">
        <v>30</v>
      </c>
      <c r="G339" s="72" t="s">
        <v>30</v>
      </c>
      <c r="H339" s="72" t="s">
        <v>30</v>
      </c>
      <c r="I339" s="73" t="s">
        <v>30</v>
      </c>
      <c r="J339" s="72" t="s">
        <v>30</v>
      </c>
      <c r="K339" s="72" t="s">
        <v>30</v>
      </c>
      <c r="L339" s="72" t="s">
        <v>30</v>
      </c>
      <c r="M339" s="72" t="s">
        <v>30</v>
      </c>
      <c r="N339" s="72" t="s">
        <v>30</v>
      </c>
      <c r="O339" s="73" t="s">
        <v>30</v>
      </c>
      <c r="P339" s="72" t="s">
        <v>30</v>
      </c>
      <c r="Q339" s="72" t="s">
        <v>30</v>
      </c>
      <c r="R339" s="72" t="s">
        <v>30</v>
      </c>
      <c r="S339" s="72" t="s">
        <v>30</v>
      </c>
      <c r="T339" s="72" t="s">
        <v>30</v>
      </c>
      <c r="W339" s="31"/>
    </row>
    <row r="340">
      <c r="B340" s="72" t="s">
        <v>30</v>
      </c>
      <c r="C340" s="72" t="s">
        <v>30</v>
      </c>
      <c r="D340" s="72" t="s">
        <v>30</v>
      </c>
      <c r="E340" s="72" t="s">
        <v>30</v>
      </c>
      <c r="F340" s="72" t="s">
        <v>30</v>
      </c>
      <c r="G340" s="72" t="s">
        <v>30</v>
      </c>
      <c r="H340" s="72" t="s">
        <v>30</v>
      </c>
      <c r="I340" s="73" t="s">
        <v>30</v>
      </c>
      <c r="J340" s="72" t="s">
        <v>30</v>
      </c>
      <c r="K340" s="72" t="s">
        <v>30</v>
      </c>
      <c r="L340" s="72" t="s">
        <v>30</v>
      </c>
      <c r="M340" s="72" t="s">
        <v>30</v>
      </c>
      <c r="N340" s="72" t="s">
        <v>30</v>
      </c>
      <c r="O340" s="73" t="s">
        <v>30</v>
      </c>
      <c r="P340" s="72" t="s">
        <v>30</v>
      </c>
      <c r="Q340" s="72" t="s">
        <v>30</v>
      </c>
      <c r="R340" s="72" t="s">
        <v>30</v>
      </c>
      <c r="S340" s="72" t="s">
        <v>30</v>
      </c>
      <c r="T340" s="72" t="s">
        <v>30</v>
      </c>
      <c r="W340" s="31"/>
    </row>
    <row r="341">
      <c r="B341" s="72" t="s">
        <v>30</v>
      </c>
      <c r="C341" s="72" t="s">
        <v>30</v>
      </c>
      <c r="D341" s="72" t="s">
        <v>30</v>
      </c>
      <c r="E341" s="72" t="s">
        <v>30</v>
      </c>
      <c r="F341" s="72" t="s">
        <v>30</v>
      </c>
      <c r="G341" s="72" t="s">
        <v>30</v>
      </c>
      <c r="H341" s="72" t="s">
        <v>30</v>
      </c>
      <c r="I341" s="73" t="s">
        <v>30</v>
      </c>
      <c r="J341" s="72" t="s">
        <v>30</v>
      </c>
      <c r="K341" s="72" t="s">
        <v>30</v>
      </c>
      <c r="L341" s="72" t="s">
        <v>30</v>
      </c>
      <c r="M341" s="72" t="s">
        <v>30</v>
      </c>
      <c r="N341" s="72" t="s">
        <v>30</v>
      </c>
      <c r="O341" s="73" t="s">
        <v>30</v>
      </c>
      <c r="P341" s="72" t="s">
        <v>30</v>
      </c>
      <c r="Q341" s="72" t="s">
        <v>30</v>
      </c>
      <c r="R341" s="72" t="s">
        <v>30</v>
      </c>
      <c r="S341" s="72" t="s">
        <v>30</v>
      </c>
      <c r="T341" s="72" t="s">
        <v>30</v>
      </c>
      <c r="W341" s="31"/>
    </row>
    <row r="342">
      <c r="B342" s="72" t="s">
        <v>30</v>
      </c>
      <c r="C342" s="72" t="s">
        <v>30</v>
      </c>
      <c r="D342" s="72" t="s">
        <v>30</v>
      </c>
      <c r="E342" s="72" t="s">
        <v>30</v>
      </c>
      <c r="F342" s="72" t="s">
        <v>30</v>
      </c>
      <c r="G342" s="72" t="s">
        <v>30</v>
      </c>
      <c r="H342" s="72" t="s">
        <v>30</v>
      </c>
      <c r="I342" s="73" t="s">
        <v>30</v>
      </c>
      <c r="J342" s="72" t="s">
        <v>30</v>
      </c>
      <c r="K342" s="72" t="s">
        <v>30</v>
      </c>
      <c r="L342" s="72" t="s">
        <v>30</v>
      </c>
      <c r="M342" s="72" t="s">
        <v>30</v>
      </c>
      <c r="N342" s="72" t="s">
        <v>30</v>
      </c>
      <c r="O342" s="73" t="s">
        <v>30</v>
      </c>
      <c r="P342" s="72" t="s">
        <v>30</v>
      </c>
      <c r="Q342" s="72" t="s">
        <v>30</v>
      </c>
      <c r="R342" s="72" t="s">
        <v>30</v>
      </c>
      <c r="S342" s="72" t="s">
        <v>30</v>
      </c>
      <c r="T342" s="72" t="s">
        <v>30</v>
      </c>
      <c r="W342" s="31"/>
    </row>
    <row r="343">
      <c r="B343" s="72" t="s">
        <v>30</v>
      </c>
      <c r="C343" s="72" t="s">
        <v>30</v>
      </c>
      <c r="D343" s="72" t="s">
        <v>30</v>
      </c>
      <c r="E343" s="72" t="s">
        <v>30</v>
      </c>
      <c r="F343" s="72" t="s">
        <v>30</v>
      </c>
      <c r="G343" s="72" t="s">
        <v>30</v>
      </c>
      <c r="H343" s="72" t="s">
        <v>30</v>
      </c>
      <c r="I343" s="73" t="s">
        <v>30</v>
      </c>
      <c r="J343" s="72" t="s">
        <v>30</v>
      </c>
      <c r="K343" s="72" t="s">
        <v>30</v>
      </c>
      <c r="L343" s="72" t="s">
        <v>30</v>
      </c>
      <c r="M343" s="72" t="s">
        <v>30</v>
      </c>
      <c r="N343" s="72" t="s">
        <v>30</v>
      </c>
      <c r="O343" s="73" t="s">
        <v>30</v>
      </c>
      <c r="P343" s="72" t="s">
        <v>30</v>
      </c>
      <c r="Q343" s="72" t="s">
        <v>30</v>
      </c>
      <c r="R343" s="72" t="s">
        <v>30</v>
      </c>
      <c r="S343" s="72" t="s">
        <v>30</v>
      </c>
      <c r="T343" s="72" t="s">
        <v>30</v>
      </c>
      <c r="W343" s="31"/>
    </row>
    <row r="344">
      <c r="B344" s="72" t="s">
        <v>30</v>
      </c>
      <c r="C344" s="72" t="s">
        <v>30</v>
      </c>
      <c r="D344" s="72" t="s">
        <v>30</v>
      </c>
      <c r="E344" s="72" t="s">
        <v>30</v>
      </c>
      <c r="F344" s="72" t="s">
        <v>30</v>
      </c>
      <c r="G344" s="72" t="s">
        <v>30</v>
      </c>
      <c r="H344" s="72" t="s">
        <v>30</v>
      </c>
      <c r="I344" s="73" t="s">
        <v>30</v>
      </c>
      <c r="J344" s="72" t="s">
        <v>30</v>
      </c>
      <c r="K344" s="72" t="s">
        <v>30</v>
      </c>
      <c r="L344" s="72" t="s">
        <v>30</v>
      </c>
      <c r="M344" s="72" t="s">
        <v>30</v>
      </c>
      <c r="N344" s="72" t="s">
        <v>30</v>
      </c>
      <c r="O344" s="73" t="s">
        <v>30</v>
      </c>
      <c r="P344" s="72" t="s">
        <v>30</v>
      </c>
      <c r="Q344" s="72" t="s">
        <v>30</v>
      </c>
      <c r="R344" s="72" t="s">
        <v>30</v>
      </c>
      <c r="S344" s="72" t="s">
        <v>30</v>
      </c>
      <c r="T344" s="72" t="s">
        <v>30</v>
      </c>
      <c r="W344" s="31"/>
    </row>
    <row r="345">
      <c r="B345" s="72" t="s">
        <v>30</v>
      </c>
      <c r="C345" s="72" t="s">
        <v>30</v>
      </c>
      <c r="D345" s="72" t="s">
        <v>30</v>
      </c>
      <c r="E345" s="72" t="s">
        <v>30</v>
      </c>
      <c r="F345" s="72" t="s">
        <v>30</v>
      </c>
      <c r="G345" s="72" t="s">
        <v>30</v>
      </c>
      <c r="H345" s="72" t="s">
        <v>30</v>
      </c>
      <c r="I345" s="73" t="s">
        <v>30</v>
      </c>
      <c r="J345" s="72" t="s">
        <v>30</v>
      </c>
      <c r="K345" s="72" t="s">
        <v>30</v>
      </c>
      <c r="L345" s="72" t="s">
        <v>30</v>
      </c>
      <c r="M345" s="72" t="s">
        <v>30</v>
      </c>
      <c r="N345" s="72" t="s">
        <v>30</v>
      </c>
      <c r="O345" s="73" t="s">
        <v>30</v>
      </c>
      <c r="P345" s="72" t="s">
        <v>30</v>
      </c>
      <c r="Q345" s="72" t="s">
        <v>30</v>
      </c>
      <c r="R345" s="72" t="s">
        <v>30</v>
      </c>
      <c r="S345" s="72" t="s">
        <v>30</v>
      </c>
      <c r="T345" s="72" t="s">
        <v>30</v>
      </c>
      <c r="W345" s="31"/>
    </row>
    <row r="346">
      <c r="B346" s="72" t="s">
        <v>30</v>
      </c>
      <c r="C346" s="72" t="s">
        <v>30</v>
      </c>
      <c r="D346" s="72" t="s">
        <v>30</v>
      </c>
      <c r="E346" s="72" t="s">
        <v>30</v>
      </c>
      <c r="F346" s="72" t="s">
        <v>30</v>
      </c>
      <c r="G346" s="72" t="s">
        <v>30</v>
      </c>
      <c r="H346" s="72" t="s">
        <v>30</v>
      </c>
      <c r="I346" s="73" t="s">
        <v>30</v>
      </c>
      <c r="J346" s="72" t="s">
        <v>30</v>
      </c>
      <c r="K346" s="72" t="s">
        <v>30</v>
      </c>
      <c r="L346" s="72" t="s">
        <v>30</v>
      </c>
      <c r="M346" s="72" t="s">
        <v>30</v>
      </c>
      <c r="N346" s="72" t="s">
        <v>30</v>
      </c>
      <c r="O346" s="73" t="s">
        <v>30</v>
      </c>
      <c r="P346" s="72" t="s">
        <v>30</v>
      </c>
      <c r="Q346" s="72" t="s">
        <v>30</v>
      </c>
      <c r="R346" s="72" t="s">
        <v>30</v>
      </c>
      <c r="S346" s="72" t="s">
        <v>30</v>
      </c>
      <c r="T346" s="72" t="s">
        <v>30</v>
      </c>
      <c r="W346" s="31"/>
    </row>
    <row r="347">
      <c r="B347" s="72" t="s">
        <v>30</v>
      </c>
      <c r="C347" s="72" t="s">
        <v>30</v>
      </c>
      <c r="D347" s="72" t="s">
        <v>30</v>
      </c>
      <c r="E347" s="72" t="s">
        <v>30</v>
      </c>
      <c r="F347" s="72" t="s">
        <v>30</v>
      </c>
      <c r="G347" s="72" t="s">
        <v>30</v>
      </c>
      <c r="H347" s="72" t="s">
        <v>30</v>
      </c>
      <c r="I347" s="73" t="s">
        <v>30</v>
      </c>
      <c r="J347" s="72" t="s">
        <v>30</v>
      </c>
      <c r="K347" s="72" t="s">
        <v>30</v>
      </c>
      <c r="L347" s="72" t="s">
        <v>30</v>
      </c>
      <c r="M347" s="72" t="s">
        <v>30</v>
      </c>
      <c r="N347" s="72" t="s">
        <v>30</v>
      </c>
      <c r="O347" s="73" t="s">
        <v>30</v>
      </c>
      <c r="P347" s="72" t="s">
        <v>30</v>
      </c>
      <c r="Q347" s="72" t="s">
        <v>30</v>
      </c>
      <c r="R347" s="72" t="s">
        <v>30</v>
      </c>
      <c r="S347" s="72" t="s">
        <v>30</v>
      </c>
      <c r="T347" s="72" t="s">
        <v>30</v>
      </c>
      <c r="W347" s="31"/>
    </row>
    <row r="348">
      <c r="B348" s="72" t="s">
        <v>30</v>
      </c>
      <c r="C348" s="72" t="s">
        <v>30</v>
      </c>
      <c r="D348" s="72" t="s">
        <v>30</v>
      </c>
      <c r="E348" s="72" t="s">
        <v>30</v>
      </c>
      <c r="F348" s="72" t="s">
        <v>30</v>
      </c>
      <c r="G348" s="72" t="s">
        <v>30</v>
      </c>
      <c r="H348" s="72" t="s">
        <v>30</v>
      </c>
      <c r="I348" s="73" t="s">
        <v>30</v>
      </c>
      <c r="J348" s="72" t="s">
        <v>30</v>
      </c>
      <c r="K348" s="72" t="s">
        <v>30</v>
      </c>
      <c r="L348" s="72" t="s">
        <v>30</v>
      </c>
      <c r="M348" s="72" t="s">
        <v>30</v>
      </c>
      <c r="N348" s="72" t="s">
        <v>30</v>
      </c>
      <c r="O348" s="73" t="s">
        <v>30</v>
      </c>
      <c r="P348" s="72" t="s">
        <v>30</v>
      </c>
      <c r="Q348" s="72" t="s">
        <v>30</v>
      </c>
      <c r="R348" s="72" t="s">
        <v>30</v>
      </c>
      <c r="S348" s="72" t="s">
        <v>30</v>
      </c>
      <c r="T348" s="72" t="s">
        <v>30</v>
      </c>
      <c r="W348" s="31"/>
    </row>
    <row r="349">
      <c r="B349" s="72" t="s">
        <v>30</v>
      </c>
      <c r="C349" s="72" t="s">
        <v>30</v>
      </c>
      <c r="D349" s="72" t="s">
        <v>30</v>
      </c>
      <c r="E349" s="72" t="s">
        <v>30</v>
      </c>
      <c r="F349" s="72" t="s">
        <v>30</v>
      </c>
      <c r="G349" s="72" t="s">
        <v>30</v>
      </c>
      <c r="H349" s="72" t="s">
        <v>30</v>
      </c>
      <c r="I349" s="73" t="s">
        <v>30</v>
      </c>
      <c r="J349" s="72" t="s">
        <v>30</v>
      </c>
      <c r="K349" s="72" t="s">
        <v>30</v>
      </c>
      <c r="L349" s="72" t="s">
        <v>30</v>
      </c>
      <c r="M349" s="72" t="s">
        <v>30</v>
      </c>
      <c r="N349" s="72" t="s">
        <v>30</v>
      </c>
      <c r="O349" s="73" t="s">
        <v>30</v>
      </c>
      <c r="P349" s="72" t="s">
        <v>30</v>
      </c>
      <c r="Q349" s="72" t="s">
        <v>30</v>
      </c>
      <c r="R349" s="72" t="s">
        <v>30</v>
      </c>
      <c r="S349" s="72" t="s">
        <v>30</v>
      </c>
      <c r="T349" s="72" t="s">
        <v>30</v>
      </c>
      <c r="W349" s="31"/>
    </row>
    <row r="350">
      <c r="B350" s="72" t="s">
        <v>30</v>
      </c>
      <c r="C350" s="72" t="s">
        <v>30</v>
      </c>
      <c r="D350" s="72" t="s">
        <v>30</v>
      </c>
      <c r="E350" s="72" t="s">
        <v>30</v>
      </c>
      <c r="F350" s="72" t="s">
        <v>30</v>
      </c>
      <c r="G350" s="72" t="s">
        <v>30</v>
      </c>
      <c r="H350" s="72" t="s">
        <v>30</v>
      </c>
      <c r="I350" s="73" t="s">
        <v>30</v>
      </c>
      <c r="J350" s="72" t="s">
        <v>30</v>
      </c>
      <c r="K350" s="72" t="s">
        <v>30</v>
      </c>
      <c r="L350" s="72" t="s">
        <v>30</v>
      </c>
      <c r="M350" s="72" t="s">
        <v>30</v>
      </c>
      <c r="N350" s="72" t="s">
        <v>30</v>
      </c>
      <c r="O350" s="73" t="s">
        <v>30</v>
      </c>
      <c r="P350" s="72" t="s">
        <v>30</v>
      </c>
      <c r="Q350" s="72" t="s">
        <v>30</v>
      </c>
      <c r="R350" s="72" t="s">
        <v>30</v>
      </c>
      <c r="S350" s="72" t="s">
        <v>30</v>
      </c>
      <c r="T350" s="72" t="s">
        <v>30</v>
      </c>
      <c r="W350" s="31"/>
    </row>
    <row r="351">
      <c r="B351" s="72" t="s">
        <v>30</v>
      </c>
      <c r="C351" s="72" t="s">
        <v>30</v>
      </c>
      <c r="D351" s="72" t="s">
        <v>30</v>
      </c>
      <c r="E351" s="72" t="s">
        <v>30</v>
      </c>
      <c r="F351" s="72" t="s">
        <v>30</v>
      </c>
      <c r="G351" s="72" t="s">
        <v>30</v>
      </c>
      <c r="H351" s="72" t="s">
        <v>30</v>
      </c>
      <c r="I351" s="73" t="s">
        <v>30</v>
      </c>
      <c r="J351" s="72" t="s">
        <v>30</v>
      </c>
      <c r="K351" s="72" t="s">
        <v>30</v>
      </c>
      <c r="L351" s="72" t="s">
        <v>30</v>
      </c>
      <c r="M351" s="72" t="s">
        <v>30</v>
      </c>
      <c r="N351" s="72" t="s">
        <v>30</v>
      </c>
      <c r="O351" s="73" t="s">
        <v>30</v>
      </c>
      <c r="P351" s="72" t="s">
        <v>30</v>
      </c>
      <c r="Q351" s="72" t="s">
        <v>30</v>
      </c>
      <c r="R351" s="72" t="s">
        <v>30</v>
      </c>
      <c r="S351" s="72" t="s">
        <v>30</v>
      </c>
      <c r="T351" s="72" t="s">
        <v>30</v>
      </c>
      <c r="W351" s="31"/>
    </row>
    <row r="352">
      <c r="B352" s="72" t="s">
        <v>30</v>
      </c>
      <c r="C352" s="72" t="s">
        <v>30</v>
      </c>
      <c r="D352" s="72" t="s">
        <v>30</v>
      </c>
      <c r="E352" s="72" t="s">
        <v>30</v>
      </c>
      <c r="F352" s="72" t="s">
        <v>30</v>
      </c>
      <c r="G352" s="72" t="s">
        <v>30</v>
      </c>
      <c r="H352" s="72" t="s">
        <v>30</v>
      </c>
      <c r="I352" s="73" t="s">
        <v>30</v>
      </c>
      <c r="J352" s="72" t="s">
        <v>30</v>
      </c>
      <c r="K352" s="72" t="s">
        <v>30</v>
      </c>
      <c r="L352" s="72" t="s">
        <v>30</v>
      </c>
      <c r="M352" s="72" t="s">
        <v>30</v>
      </c>
      <c r="N352" s="72" t="s">
        <v>30</v>
      </c>
      <c r="O352" s="73" t="s">
        <v>30</v>
      </c>
      <c r="P352" s="72" t="s">
        <v>30</v>
      </c>
      <c r="Q352" s="72" t="s">
        <v>30</v>
      </c>
      <c r="R352" s="72" t="s">
        <v>30</v>
      </c>
      <c r="S352" s="72" t="s">
        <v>30</v>
      </c>
      <c r="T352" s="72" t="s">
        <v>30</v>
      </c>
      <c r="W352" s="31"/>
    </row>
    <row r="353">
      <c r="B353" s="72" t="s">
        <v>30</v>
      </c>
      <c r="C353" s="72" t="s">
        <v>30</v>
      </c>
      <c r="D353" s="72" t="s">
        <v>30</v>
      </c>
      <c r="E353" s="72" t="s">
        <v>30</v>
      </c>
      <c r="F353" s="72" t="s">
        <v>30</v>
      </c>
      <c r="G353" s="72" t="s">
        <v>30</v>
      </c>
      <c r="H353" s="72" t="s">
        <v>30</v>
      </c>
      <c r="I353" s="73" t="s">
        <v>30</v>
      </c>
      <c r="J353" s="72" t="s">
        <v>30</v>
      </c>
      <c r="K353" s="72" t="s">
        <v>30</v>
      </c>
      <c r="L353" s="72" t="s">
        <v>30</v>
      </c>
      <c r="M353" s="72" t="s">
        <v>30</v>
      </c>
      <c r="N353" s="72" t="s">
        <v>30</v>
      </c>
      <c r="O353" s="73" t="s">
        <v>30</v>
      </c>
      <c r="P353" s="72" t="s">
        <v>30</v>
      </c>
      <c r="Q353" s="72" t="s">
        <v>30</v>
      </c>
      <c r="R353" s="72" t="s">
        <v>30</v>
      </c>
      <c r="S353" s="72" t="s">
        <v>30</v>
      </c>
      <c r="T353" s="72" t="s">
        <v>30</v>
      </c>
      <c r="W353" s="31"/>
    </row>
    <row r="354">
      <c r="B354" s="72" t="s">
        <v>30</v>
      </c>
      <c r="C354" s="72" t="s">
        <v>30</v>
      </c>
      <c r="D354" s="72" t="s">
        <v>30</v>
      </c>
      <c r="E354" s="72" t="s">
        <v>30</v>
      </c>
      <c r="F354" s="72" t="s">
        <v>30</v>
      </c>
      <c r="G354" s="72" t="s">
        <v>30</v>
      </c>
      <c r="H354" s="72" t="s">
        <v>30</v>
      </c>
      <c r="I354" s="73" t="s">
        <v>30</v>
      </c>
      <c r="J354" s="72" t="s">
        <v>30</v>
      </c>
      <c r="K354" s="72" t="s">
        <v>30</v>
      </c>
      <c r="L354" s="72" t="s">
        <v>30</v>
      </c>
      <c r="M354" s="72" t="s">
        <v>30</v>
      </c>
      <c r="N354" s="72" t="s">
        <v>30</v>
      </c>
      <c r="O354" s="73" t="s">
        <v>30</v>
      </c>
      <c r="P354" s="72" t="s">
        <v>30</v>
      </c>
      <c r="Q354" s="72" t="s">
        <v>30</v>
      </c>
      <c r="R354" s="72" t="s">
        <v>30</v>
      </c>
      <c r="S354" s="72" t="s">
        <v>30</v>
      </c>
      <c r="T354" s="72" t="s">
        <v>30</v>
      </c>
      <c r="W354" s="31"/>
    </row>
    <row r="355">
      <c r="B355" s="72" t="s">
        <v>30</v>
      </c>
      <c r="C355" s="72" t="s">
        <v>30</v>
      </c>
      <c r="D355" s="72" t="s">
        <v>30</v>
      </c>
      <c r="E355" s="72" t="s">
        <v>30</v>
      </c>
      <c r="F355" s="72" t="s">
        <v>30</v>
      </c>
      <c r="G355" s="72" t="s">
        <v>30</v>
      </c>
      <c r="H355" s="72" t="s">
        <v>30</v>
      </c>
      <c r="I355" s="73" t="s">
        <v>30</v>
      </c>
      <c r="J355" s="72" t="s">
        <v>30</v>
      </c>
      <c r="K355" s="72" t="s">
        <v>30</v>
      </c>
      <c r="L355" s="72" t="s">
        <v>30</v>
      </c>
      <c r="M355" s="72" t="s">
        <v>30</v>
      </c>
      <c r="N355" s="72" t="s">
        <v>30</v>
      </c>
      <c r="O355" s="73" t="s">
        <v>30</v>
      </c>
      <c r="P355" s="72" t="s">
        <v>30</v>
      </c>
      <c r="Q355" s="72" t="s">
        <v>30</v>
      </c>
      <c r="R355" s="72" t="s">
        <v>30</v>
      </c>
      <c r="S355" s="72" t="s">
        <v>30</v>
      </c>
      <c r="T355" s="72" t="s">
        <v>30</v>
      </c>
      <c r="W355" s="31"/>
    </row>
    <row r="356">
      <c r="B356" s="72" t="s">
        <v>30</v>
      </c>
      <c r="C356" s="72" t="s">
        <v>30</v>
      </c>
      <c r="D356" s="72" t="s">
        <v>30</v>
      </c>
      <c r="E356" s="72" t="s">
        <v>30</v>
      </c>
      <c r="F356" s="72" t="s">
        <v>30</v>
      </c>
      <c r="G356" s="72" t="s">
        <v>30</v>
      </c>
      <c r="H356" s="72" t="s">
        <v>30</v>
      </c>
      <c r="I356" s="73" t="s">
        <v>30</v>
      </c>
      <c r="J356" s="72" t="s">
        <v>30</v>
      </c>
      <c r="K356" s="72" t="s">
        <v>30</v>
      </c>
      <c r="L356" s="72" t="s">
        <v>30</v>
      </c>
      <c r="M356" s="72" t="s">
        <v>30</v>
      </c>
      <c r="N356" s="72" t="s">
        <v>30</v>
      </c>
      <c r="O356" s="73" t="s">
        <v>30</v>
      </c>
      <c r="P356" s="72" t="s">
        <v>30</v>
      </c>
      <c r="Q356" s="72" t="s">
        <v>30</v>
      </c>
      <c r="R356" s="72" t="s">
        <v>30</v>
      </c>
      <c r="S356" s="72" t="s">
        <v>30</v>
      </c>
      <c r="T356" s="72" t="s">
        <v>30</v>
      </c>
      <c r="W356" s="31"/>
    </row>
    <row r="357">
      <c r="B357" s="72" t="s">
        <v>30</v>
      </c>
      <c r="C357" s="72" t="s">
        <v>30</v>
      </c>
      <c r="D357" s="72" t="s">
        <v>30</v>
      </c>
      <c r="E357" s="72" t="s">
        <v>30</v>
      </c>
      <c r="F357" s="72" t="s">
        <v>30</v>
      </c>
      <c r="G357" s="72" t="s">
        <v>30</v>
      </c>
      <c r="H357" s="72" t="s">
        <v>30</v>
      </c>
      <c r="I357" s="73" t="s">
        <v>30</v>
      </c>
      <c r="J357" s="72" t="s">
        <v>30</v>
      </c>
      <c r="K357" s="72" t="s">
        <v>30</v>
      </c>
      <c r="L357" s="72" t="s">
        <v>30</v>
      </c>
      <c r="M357" s="72" t="s">
        <v>30</v>
      </c>
      <c r="N357" s="72" t="s">
        <v>30</v>
      </c>
      <c r="O357" s="73" t="s">
        <v>30</v>
      </c>
      <c r="P357" s="72" t="s">
        <v>30</v>
      </c>
      <c r="Q357" s="72" t="s">
        <v>30</v>
      </c>
      <c r="R357" s="72" t="s">
        <v>30</v>
      </c>
      <c r="S357" s="72" t="s">
        <v>30</v>
      </c>
      <c r="T357" s="72" t="s">
        <v>30</v>
      </c>
      <c r="W357" s="31"/>
    </row>
    <row r="358">
      <c r="B358" s="72" t="s">
        <v>30</v>
      </c>
      <c r="C358" s="72" t="s">
        <v>30</v>
      </c>
      <c r="D358" s="72" t="s">
        <v>30</v>
      </c>
      <c r="E358" s="72" t="s">
        <v>30</v>
      </c>
      <c r="F358" s="72" t="s">
        <v>30</v>
      </c>
      <c r="G358" s="72" t="s">
        <v>30</v>
      </c>
      <c r="H358" s="72" t="s">
        <v>30</v>
      </c>
      <c r="I358" s="73" t="s">
        <v>30</v>
      </c>
      <c r="J358" s="72" t="s">
        <v>30</v>
      </c>
      <c r="K358" s="72" t="s">
        <v>30</v>
      </c>
      <c r="L358" s="72" t="s">
        <v>30</v>
      </c>
      <c r="M358" s="72" t="s">
        <v>30</v>
      </c>
      <c r="N358" s="72" t="s">
        <v>30</v>
      </c>
      <c r="O358" s="73" t="s">
        <v>30</v>
      </c>
      <c r="P358" s="72" t="s">
        <v>30</v>
      </c>
      <c r="Q358" s="72" t="s">
        <v>30</v>
      </c>
      <c r="R358" s="72" t="s">
        <v>30</v>
      </c>
      <c r="S358" s="72" t="s">
        <v>30</v>
      </c>
      <c r="T358" s="72" t="s">
        <v>30</v>
      </c>
      <c r="W358" s="31"/>
    </row>
    <row r="359">
      <c r="B359" s="72" t="s">
        <v>30</v>
      </c>
      <c r="C359" s="72" t="s">
        <v>30</v>
      </c>
      <c r="D359" s="72" t="s">
        <v>30</v>
      </c>
      <c r="E359" s="72" t="s">
        <v>30</v>
      </c>
      <c r="F359" s="72" t="s">
        <v>30</v>
      </c>
      <c r="G359" s="72" t="s">
        <v>30</v>
      </c>
      <c r="H359" s="72" t="s">
        <v>30</v>
      </c>
      <c r="I359" s="73" t="s">
        <v>30</v>
      </c>
      <c r="J359" s="72" t="s">
        <v>30</v>
      </c>
      <c r="K359" s="72" t="s">
        <v>30</v>
      </c>
      <c r="L359" s="72" t="s">
        <v>30</v>
      </c>
      <c r="M359" s="72" t="s">
        <v>30</v>
      </c>
      <c r="N359" s="72" t="s">
        <v>30</v>
      </c>
      <c r="O359" s="73" t="s">
        <v>30</v>
      </c>
      <c r="P359" s="72" t="s">
        <v>30</v>
      </c>
      <c r="Q359" s="72" t="s">
        <v>30</v>
      </c>
      <c r="R359" s="72" t="s">
        <v>30</v>
      </c>
      <c r="S359" s="72" t="s">
        <v>30</v>
      </c>
      <c r="T359" s="72" t="s">
        <v>30</v>
      </c>
      <c r="W359" s="31"/>
    </row>
    <row r="360">
      <c r="B360" s="72" t="s">
        <v>30</v>
      </c>
      <c r="C360" s="72" t="s">
        <v>30</v>
      </c>
      <c r="D360" s="72" t="s">
        <v>30</v>
      </c>
      <c r="E360" s="72" t="s">
        <v>30</v>
      </c>
      <c r="F360" s="72" t="s">
        <v>30</v>
      </c>
      <c r="G360" s="72" t="s">
        <v>30</v>
      </c>
      <c r="H360" s="72" t="s">
        <v>30</v>
      </c>
      <c r="I360" s="73" t="s">
        <v>30</v>
      </c>
      <c r="J360" s="72" t="s">
        <v>30</v>
      </c>
      <c r="K360" s="72" t="s">
        <v>30</v>
      </c>
      <c r="L360" s="72" t="s">
        <v>30</v>
      </c>
      <c r="M360" s="72" t="s">
        <v>30</v>
      </c>
      <c r="N360" s="72" t="s">
        <v>30</v>
      </c>
      <c r="O360" s="73" t="s">
        <v>30</v>
      </c>
      <c r="P360" s="72" t="s">
        <v>30</v>
      </c>
      <c r="Q360" s="72" t="s">
        <v>30</v>
      </c>
      <c r="R360" s="72" t="s">
        <v>30</v>
      </c>
      <c r="S360" s="72" t="s">
        <v>30</v>
      </c>
      <c r="T360" s="72" t="s">
        <v>30</v>
      </c>
      <c r="W360" s="31"/>
    </row>
    <row r="361">
      <c r="B361" s="72" t="s">
        <v>30</v>
      </c>
      <c r="C361" s="72" t="s">
        <v>30</v>
      </c>
      <c r="D361" s="72" t="s">
        <v>30</v>
      </c>
      <c r="E361" s="72" t="s">
        <v>30</v>
      </c>
      <c r="F361" s="72" t="s">
        <v>30</v>
      </c>
      <c r="G361" s="72" t="s">
        <v>30</v>
      </c>
      <c r="H361" s="72" t="s">
        <v>30</v>
      </c>
      <c r="I361" s="73" t="s">
        <v>30</v>
      </c>
      <c r="J361" s="72" t="s">
        <v>30</v>
      </c>
      <c r="K361" s="72" t="s">
        <v>30</v>
      </c>
      <c r="L361" s="72" t="s">
        <v>30</v>
      </c>
      <c r="M361" s="72" t="s">
        <v>30</v>
      </c>
      <c r="N361" s="72" t="s">
        <v>30</v>
      </c>
      <c r="O361" s="73" t="s">
        <v>30</v>
      </c>
      <c r="P361" s="72" t="s">
        <v>30</v>
      </c>
      <c r="Q361" s="72" t="s">
        <v>30</v>
      </c>
      <c r="R361" s="72" t="s">
        <v>30</v>
      </c>
      <c r="S361" s="72" t="s">
        <v>30</v>
      </c>
      <c r="T361" s="72" t="s">
        <v>30</v>
      </c>
      <c r="W361" s="31"/>
    </row>
    <row r="362">
      <c r="B362" s="72" t="s">
        <v>30</v>
      </c>
      <c r="C362" s="72" t="s">
        <v>30</v>
      </c>
      <c r="D362" s="72" t="s">
        <v>30</v>
      </c>
      <c r="E362" s="72" t="s">
        <v>30</v>
      </c>
      <c r="F362" s="72" t="s">
        <v>30</v>
      </c>
      <c r="G362" s="72" t="s">
        <v>30</v>
      </c>
      <c r="H362" s="72" t="s">
        <v>30</v>
      </c>
      <c r="I362" s="73" t="s">
        <v>30</v>
      </c>
      <c r="J362" s="72" t="s">
        <v>30</v>
      </c>
      <c r="K362" s="72" t="s">
        <v>30</v>
      </c>
      <c r="L362" s="72" t="s">
        <v>30</v>
      </c>
      <c r="M362" s="72" t="s">
        <v>30</v>
      </c>
      <c r="N362" s="72" t="s">
        <v>30</v>
      </c>
      <c r="O362" s="73" t="s">
        <v>30</v>
      </c>
      <c r="P362" s="72" t="s">
        <v>30</v>
      </c>
      <c r="Q362" s="72" t="s">
        <v>30</v>
      </c>
      <c r="R362" s="72" t="s">
        <v>30</v>
      </c>
      <c r="S362" s="72" t="s">
        <v>30</v>
      </c>
      <c r="T362" s="72" t="s">
        <v>30</v>
      </c>
      <c r="W362" s="31"/>
    </row>
    <row r="363">
      <c r="B363" s="72" t="s">
        <v>30</v>
      </c>
      <c r="C363" s="72" t="s">
        <v>30</v>
      </c>
      <c r="D363" s="72" t="s">
        <v>30</v>
      </c>
      <c r="E363" s="72" t="s">
        <v>30</v>
      </c>
      <c r="F363" s="72" t="s">
        <v>30</v>
      </c>
      <c r="G363" s="72" t="s">
        <v>30</v>
      </c>
      <c r="H363" s="72" t="s">
        <v>30</v>
      </c>
      <c r="I363" s="73" t="s">
        <v>30</v>
      </c>
      <c r="J363" s="72" t="s">
        <v>30</v>
      </c>
      <c r="K363" s="72" t="s">
        <v>30</v>
      </c>
      <c r="L363" s="72" t="s">
        <v>30</v>
      </c>
      <c r="M363" s="72" t="s">
        <v>30</v>
      </c>
      <c r="N363" s="72" t="s">
        <v>30</v>
      </c>
      <c r="O363" s="73" t="s">
        <v>30</v>
      </c>
      <c r="P363" s="72" t="s">
        <v>30</v>
      </c>
      <c r="Q363" s="72" t="s">
        <v>30</v>
      </c>
      <c r="R363" s="72" t="s">
        <v>30</v>
      </c>
      <c r="S363" s="72" t="s">
        <v>30</v>
      </c>
      <c r="T363" s="72" t="s">
        <v>30</v>
      </c>
      <c r="W363" s="31"/>
    </row>
    <row r="364">
      <c r="B364" s="72" t="s">
        <v>30</v>
      </c>
      <c r="C364" s="72" t="s">
        <v>30</v>
      </c>
      <c r="D364" s="72" t="s">
        <v>30</v>
      </c>
      <c r="E364" s="72" t="s">
        <v>30</v>
      </c>
      <c r="F364" s="72" t="s">
        <v>30</v>
      </c>
      <c r="G364" s="72" t="s">
        <v>30</v>
      </c>
      <c r="H364" s="72" t="s">
        <v>30</v>
      </c>
      <c r="I364" s="73" t="s">
        <v>30</v>
      </c>
      <c r="J364" s="72" t="s">
        <v>30</v>
      </c>
      <c r="K364" s="72" t="s">
        <v>30</v>
      </c>
      <c r="L364" s="72" t="s">
        <v>30</v>
      </c>
      <c r="M364" s="72" t="s">
        <v>30</v>
      </c>
      <c r="N364" s="72" t="s">
        <v>30</v>
      </c>
      <c r="O364" s="73" t="s">
        <v>30</v>
      </c>
      <c r="P364" s="72" t="s">
        <v>30</v>
      </c>
      <c r="Q364" s="72" t="s">
        <v>30</v>
      </c>
      <c r="R364" s="72" t="s">
        <v>30</v>
      </c>
      <c r="S364" s="72" t="s">
        <v>30</v>
      </c>
      <c r="T364" s="72" t="s">
        <v>30</v>
      </c>
      <c r="W364" s="31"/>
    </row>
    <row r="365">
      <c r="B365" s="72" t="s">
        <v>30</v>
      </c>
      <c r="C365" s="72" t="s">
        <v>30</v>
      </c>
      <c r="D365" s="72" t="s">
        <v>30</v>
      </c>
      <c r="E365" s="72" t="s">
        <v>30</v>
      </c>
      <c r="F365" s="72" t="s">
        <v>30</v>
      </c>
      <c r="G365" s="72" t="s">
        <v>30</v>
      </c>
      <c r="H365" s="72" t="s">
        <v>30</v>
      </c>
      <c r="I365" s="73" t="s">
        <v>30</v>
      </c>
      <c r="J365" s="72" t="s">
        <v>30</v>
      </c>
      <c r="K365" s="72" t="s">
        <v>30</v>
      </c>
      <c r="L365" s="72" t="s">
        <v>30</v>
      </c>
      <c r="M365" s="72" t="s">
        <v>30</v>
      </c>
      <c r="N365" s="72" t="s">
        <v>30</v>
      </c>
      <c r="O365" s="73" t="s">
        <v>30</v>
      </c>
      <c r="P365" s="72" t="s">
        <v>30</v>
      </c>
      <c r="Q365" s="72" t="s">
        <v>30</v>
      </c>
      <c r="R365" s="72" t="s">
        <v>30</v>
      </c>
      <c r="S365" s="72" t="s">
        <v>30</v>
      </c>
      <c r="T365" s="72" t="s">
        <v>30</v>
      </c>
      <c r="W365" s="31"/>
    </row>
    <row r="366">
      <c r="B366" s="72" t="s">
        <v>30</v>
      </c>
      <c r="C366" s="72" t="s">
        <v>30</v>
      </c>
      <c r="D366" s="72" t="s">
        <v>30</v>
      </c>
      <c r="E366" s="72" t="s">
        <v>30</v>
      </c>
      <c r="F366" s="72" t="s">
        <v>30</v>
      </c>
      <c r="G366" s="72" t="s">
        <v>30</v>
      </c>
      <c r="H366" s="72" t="s">
        <v>30</v>
      </c>
      <c r="I366" s="73" t="s">
        <v>30</v>
      </c>
      <c r="J366" s="72" t="s">
        <v>30</v>
      </c>
      <c r="K366" s="72" t="s">
        <v>30</v>
      </c>
      <c r="L366" s="72" t="s">
        <v>30</v>
      </c>
      <c r="M366" s="72" t="s">
        <v>30</v>
      </c>
      <c r="N366" s="72" t="s">
        <v>30</v>
      </c>
      <c r="O366" s="73" t="s">
        <v>30</v>
      </c>
      <c r="P366" s="72" t="s">
        <v>30</v>
      </c>
      <c r="Q366" s="72" t="s">
        <v>30</v>
      </c>
      <c r="R366" s="72" t="s">
        <v>30</v>
      </c>
      <c r="S366" s="72" t="s">
        <v>30</v>
      </c>
      <c r="T366" s="72" t="s">
        <v>30</v>
      </c>
      <c r="W366" s="31"/>
    </row>
    <row r="367">
      <c r="B367" s="72" t="s">
        <v>30</v>
      </c>
      <c r="C367" s="72" t="s">
        <v>30</v>
      </c>
      <c r="D367" s="72" t="s">
        <v>30</v>
      </c>
      <c r="E367" s="72" t="s">
        <v>30</v>
      </c>
      <c r="F367" s="72" t="s">
        <v>30</v>
      </c>
      <c r="G367" s="72" t="s">
        <v>30</v>
      </c>
      <c r="H367" s="72" t="s">
        <v>30</v>
      </c>
      <c r="I367" s="73" t="s">
        <v>30</v>
      </c>
      <c r="J367" s="72" t="s">
        <v>30</v>
      </c>
      <c r="K367" s="72" t="s">
        <v>30</v>
      </c>
      <c r="L367" s="72" t="s">
        <v>30</v>
      </c>
      <c r="M367" s="72" t="s">
        <v>30</v>
      </c>
      <c r="N367" s="72" t="s">
        <v>30</v>
      </c>
      <c r="O367" s="73" t="s">
        <v>30</v>
      </c>
      <c r="P367" s="72" t="s">
        <v>30</v>
      </c>
      <c r="Q367" s="72" t="s">
        <v>30</v>
      </c>
      <c r="R367" s="72" t="s">
        <v>30</v>
      </c>
      <c r="S367" s="72" t="s">
        <v>30</v>
      </c>
      <c r="T367" s="72" t="s">
        <v>30</v>
      </c>
      <c r="W367" s="31"/>
    </row>
    <row r="368">
      <c r="B368" s="72" t="s">
        <v>30</v>
      </c>
      <c r="C368" s="72" t="s">
        <v>30</v>
      </c>
      <c r="D368" s="72" t="s">
        <v>30</v>
      </c>
      <c r="E368" s="72" t="s">
        <v>30</v>
      </c>
      <c r="F368" s="72" t="s">
        <v>30</v>
      </c>
      <c r="G368" s="72" t="s">
        <v>30</v>
      </c>
      <c r="H368" s="72" t="s">
        <v>30</v>
      </c>
      <c r="I368" s="73" t="s">
        <v>30</v>
      </c>
      <c r="J368" s="72" t="s">
        <v>30</v>
      </c>
      <c r="K368" s="72" t="s">
        <v>30</v>
      </c>
      <c r="L368" s="72" t="s">
        <v>30</v>
      </c>
      <c r="M368" s="72" t="s">
        <v>30</v>
      </c>
      <c r="N368" s="72" t="s">
        <v>30</v>
      </c>
      <c r="O368" s="73" t="s">
        <v>30</v>
      </c>
      <c r="P368" s="72" t="s">
        <v>30</v>
      </c>
      <c r="Q368" s="72" t="s">
        <v>30</v>
      </c>
      <c r="R368" s="72" t="s">
        <v>30</v>
      </c>
      <c r="S368" s="72" t="s">
        <v>30</v>
      </c>
      <c r="T368" s="72" t="s">
        <v>30</v>
      </c>
      <c r="W368" s="31"/>
    </row>
    <row r="369">
      <c r="B369" s="72" t="s">
        <v>30</v>
      </c>
      <c r="C369" s="72" t="s">
        <v>30</v>
      </c>
      <c r="D369" s="72" t="s">
        <v>30</v>
      </c>
      <c r="E369" s="72" t="s">
        <v>30</v>
      </c>
      <c r="F369" s="72" t="s">
        <v>30</v>
      </c>
      <c r="G369" s="72" t="s">
        <v>30</v>
      </c>
      <c r="H369" s="72" t="s">
        <v>30</v>
      </c>
      <c r="I369" s="73" t="s">
        <v>30</v>
      </c>
      <c r="J369" s="72" t="s">
        <v>30</v>
      </c>
      <c r="K369" s="72" t="s">
        <v>30</v>
      </c>
      <c r="L369" s="72" t="s">
        <v>30</v>
      </c>
      <c r="M369" s="72" t="s">
        <v>30</v>
      </c>
      <c r="N369" s="72" t="s">
        <v>30</v>
      </c>
      <c r="O369" s="73" t="s">
        <v>30</v>
      </c>
      <c r="P369" s="72" t="s">
        <v>30</v>
      </c>
      <c r="Q369" s="72" t="s">
        <v>30</v>
      </c>
      <c r="R369" s="72" t="s">
        <v>30</v>
      </c>
      <c r="S369" s="72" t="s">
        <v>30</v>
      </c>
      <c r="T369" s="72" t="s">
        <v>30</v>
      </c>
      <c r="W369" s="31"/>
    </row>
    <row r="370">
      <c r="B370" s="72" t="s">
        <v>30</v>
      </c>
      <c r="C370" s="72" t="s">
        <v>30</v>
      </c>
      <c r="D370" s="72" t="s">
        <v>30</v>
      </c>
      <c r="E370" s="72" t="s">
        <v>30</v>
      </c>
      <c r="F370" s="72" t="s">
        <v>30</v>
      </c>
      <c r="G370" s="72" t="s">
        <v>30</v>
      </c>
      <c r="H370" s="72" t="s">
        <v>30</v>
      </c>
      <c r="I370" s="73" t="s">
        <v>30</v>
      </c>
      <c r="J370" s="72" t="s">
        <v>30</v>
      </c>
      <c r="K370" s="72" t="s">
        <v>30</v>
      </c>
      <c r="L370" s="72" t="s">
        <v>30</v>
      </c>
      <c r="M370" s="72" t="s">
        <v>30</v>
      </c>
      <c r="N370" s="72" t="s">
        <v>30</v>
      </c>
      <c r="O370" s="73" t="s">
        <v>30</v>
      </c>
      <c r="P370" s="72" t="s">
        <v>30</v>
      </c>
      <c r="Q370" s="72" t="s">
        <v>30</v>
      </c>
      <c r="R370" s="72" t="s">
        <v>30</v>
      </c>
      <c r="S370" s="72" t="s">
        <v>30</v>
      </c>
      <c r="T370" s="72" t="s">
        <v>30</v>
      </c>
      <c r="W370" s="31"/>
    </row>
    <row r="371">
      <c r="B371" s="72" t="s">
        <v>30</v>
      </c>
      <c r="C371" s="72" t="s">
        <v>30</v>
      </c>
      <c r="D371" s="72" t="s">
        <v>30</v>
      </c>
      <c r="E371" s="72" t="s">
        <v>30</v>
      </c>
      <c r="F371" s="72" t="s">
        <v>30</v>
      </c>
      <c r="G371" s="72" t="s">
        <v>30</v>
      </c>
      <c r="H371" s="72" t="s">
        <v>30</v>
      </c>
      <c r="I371" s="73" t="s">
        <v>30</v>
      </c>
      <c r="J371" s="72" t="s">
        <v>30</v>
      </c>
      <c r="K371" s="72" t="s">
        <v>30</v>
      </c>
      <c r="L371" s="72" t="s">
        <v>30</v>
      </c>
      <c r="M371" s="72" t="s">
        <v>30</v>
      </c>
      <c r="N371" s="72" t="s">
        <v>30</v>
      </c>
      <c r="O371" s="73" t="s">
        <v>30</v>
      </c>
      <c r="P371" s="72" t="s">
        <v>30</v>
      </c>
      <c r="Q371" s="72" t="s">
        <v>30</v>
      </c>
      <c r="R371" s="72" t="s">
        <v>30</v>
      </c>
      <c r="S371" s="72" t="s">
        <v>30</v>
      </c>
      <c r="T371" s="72" t="s">
        <v>30</v>
      </c>
      <c r="W371" s="31"/>
    </row>
    <row r="372">
      <c r="B372" s="72" t="s">
        <v>30</v>
      </c>
      <c r="C372" s="72" t="s">
        <v>30</v>
      </c>
      <c r="D372" s="72" t="s">
        <v>30</v>
      </c>
      <c r="E372" s="72" t="s">
        <v>30</v>
      </c>
      <c r="F372" s="72" t="s">
        <v>30</v>
      </c>
      <c r="G372" s="72" t="s">
        <v>30</v>
      </c>
      <c r="H372" s="72" t="s">
        <v>30</v>
      </c>
      <c r="I372" s="73" t="s">
        <v>30</v>
      </c>
      <c r="J372" s="72" t="s">
        <v>30</v>
      </c>
      <c r="K372" s="72" t="s">
        <v>30</v>
      </c>
      <c r="L372" s="72" t="s">
        <v>30</v>
      </c>
      <c r="M372" s="72" t="s">
        <v>30</v>
      </c>
      <c r="N372" s="72" t="s">
        <v>30</v>
      </c>
      <c r="O372" s="73" t="s">
        <v>30</v>
      </c>
      <c r="P372" s="72" t="s">
        <v>30</v>
      </c>
      <c r="Q372" s="72" t="s">
        <v>30</v>
      </c>
      <c r="R372" s="72" t="s">
        <v>30</v>
      </c>
      <c r="S372" s="72" t="s">
        <v>30</v>
      </c>
      <c r="T372" s="72" t="s">
        <v>30</v>
      </c>
      <c r="W372" s="31"/>
    </row>
    <row r="373">
      <c r="B373" s="72" t="s">
        <v>30</v>
      </c>
      <c r="C373" s="72" t="s">
        <v>30</v>
      </c>
      <c r="D373" s="72" t="s">
        <v>30</v>
      </c>
      <c r="E373" s="72" t="s">
        <v>30</v>
      </c>
      <c r="F373" s="72" t="s">
        <v>30</v>
      </c>
      <c r="G373" s="72" t="s">
        <v>30</v>
      </c>
      <c r="H373" s="72" t="s">
        <v>30</v>
      </c>
      <c r="I373" s="73" t="s">
        <v>30</v>
      </c>
      <c r="J373" s="72" t="s">
        <v>30</v>
      </c>
      <c r="K373" s="72" t="s">
        <v>30</v>
      </c>
      <c r="L373" s="72" t="s">
        <v>30</v>
      </c>
      <c r="M373" s="72" t="s">
        <v>30</v>
      </c>
      <c r="N373" s="72" t="s">
        <v>30</v>
      </c>
      <c r="O373" s="73" t="s">
        <v>30</v>
      </c>
      <c r="P373" s="72" t="s">
        <v>30</v>
      </c>
      <c r="Q373" s="72" t="s">
        <v>30</v>
      </c>
      <c r="R373" s="72" t="s">
        <v>30</v>
      </c>
      <c r="S373" s="72" t="s">
        <v>30</v>
      </c>
      <c r="T373" s="72" t="s">
        <v>30</v>
      </c>
      <c r="W373" s="31"/>
    </row>
    <row r="374">
      <c r="B374" s="72" t="s">
        <v>30</v>
      </c>
      <c r="C374" s="72" t="s">
        <v>30</v>
      </c>
      <c r="D374" s="72" t="s">
        <v>30</v>
      </c>
      <c r="E374" s="72" t="s">
        <v>30</v>
      </c>
      <c r="F374" s="72" t="s">
        <v>30</v>
      </c>
      <c r="G374" s="72" t="s">
        <v>30</v>
      </c>
      <c r="H374" s="72" t="s">
        <v>30</v>
      </c>
      <c r="I374" s="73" t="s">
        <v>30</v>
      </c>
      <c r="J374" s="72" t="s">
        <v>30</v>
      </c>
      <c r="K374" s="72" t="s">
        <v>30</v>
      </c>
      <c r="L374" s="72" t="s">
        <v>30</v>
      </c>
      <c r="M374" s="72" t="s">
        <v>30</v>
      </c>
      <c r="N374" s="72" t="s">
        <v>30</v>
      </c>
      <c r="O374" s="73" t="s">
        <v>30</v>
      </c>
      <c r="P374" s="72" t="s">
        <v>30</v>
      </c>
      <c r="Q374" s="72" t="s">
        <v>30</v>
      </c>
      <c r="R374" s="72" t="s">
        <v>30</v>
      </c>
      <c r="S374" s="72" t="s">
        <v>30</v>
      </c>
      <c r="T374" s="72" t="s">
        <v>30</v>
      </c>
      <c r="W374" s="31"/>
    </row>
    <row r="375">
      <c r="B375" s="72" t="s">
        <v>30</v>
      </c>
      <c r="C375" s="72" t="s">
        <v>30</v>
      </c>
      <c r="D375" s="72" t="s">
        <v>30</v>
      </c>
      <c r="E375" s="72" t="s">
        <v>30</v>
      </c>
      <c r="F375" s="72" t="s">
        <v>30</v>
      </c>
      <c r="G375" s="72" t="s">
        <v>30</v>
      </c>
      <c r="H375" s="72" t="s">
        <v>30</v>
      </c>
      <c r="I375" s="73" t="s">
        <v>30</v>
      </c>
      <c r="J375" s="72" t="s">
        <v>30</v>
      </c>
      <c r="K375" s="72" t="s">
        <v>30</v>
      </c>
      <c r="L375" s="72" t="s">
        <v>30</v>
      </c>
      <c r="M375" s="72" t="s">
        <v>30</v>
      </c>
      <c r="N375" s="72" t="s">
        <v>30</v>
      </c>
      <c r="O375" s="73" t="s">
        <v>30</v>
      </c>
      <c r="P375" s="72" t="s">
        <v>30</v>
      </c>
      <c r="Q375" s="72" t="s">
        <v>30</v>
      </c>
      <c r="R375" s="72" t="s">
        <v>30</v>
      </c>
      <c r="S375" s="72" t="s">
        <v>30</v>
      </c>
      <c r="T375" s="72" t="s">
        <v>30</v>
      </c>
      <c r="W375" s="31"/>
    </row>
    <row r="376">
      <c r="B376" s="72" t="s">
        <v>30</v>
      </c>
      <c r="C376" s="72" t="s">
        <v>30</v>
      </c>
      <c r="D376" s="72" t="s">
        <v>30</v>
      </c>
      <c r="E376" s="72" t="s">
        <v>30</v>
      </c>
      <c r="F376" s="72" t="s">
        <v>30</v>
      </c>
      <c r="G376" s="72" t="s">
        <v>30</v>
      </c>
      <c r="H376" s="72" t="s">
        <v>30</v>
      </c>
      <c r="I376" s="73" t="s">
        <v>30</v>
      </c>
      <c r="J376" s="72" t="s">
        <v>30</v>
      </c>
      <c r="K376" s="72" t="s">
        <v>30</v>
      </c>
      <c r="L376" s="72" t="s">
        <v>30</v>
      </c>
      <c r="M376" s="72" t="s">
        <v>30</v>
      </c>
      <c r="N376" s="72" t="s">
        <v>30</v>
      </c>
      <c r="O376" s="73" t="s">
        <v>30</v>
      </c>
      <c r="P376" s="72" t="s">
        <v>30</v>
      </c>
      <c r="Q376" s="72" t="s">
        <v>30</v>
      </c>
      <c r="R376" s="72" t="s">
        <v>30</v>
      </c>
      <c r="S376" s="72" t="s">
        <v>30</v>
      </c>
      <c r="T376" s="72" t="s">
        <v>30</v>
      </c>
      <c r="W376" s="31"/>
    </row>
    <row r="377">
      <c r="B377" s="72" t="s">
        <v>30</v>
      </c>
      <c r="C377" s="72" t="s">
        <v>30</v>
      </c>
      <c r="D377" s="72" t="s">
        <v>30</v>
      </c>
      <c r="E377" s="72" t="s">
        <v>30</v>
      </c>
      <c r="F377" s="72" t="s">
        <v>30</v>
      </c>
      <c r="G377" s="72" t="s">
        <v>30</v>
      </c>
      <c r="H377" s="72" t="s">
        <v>30</v>
      </c>
      <c r="I377" s="73" t="s">
        <v>30</v>
      </c>
      <c r="J377" s="72" t="s">
        <v>30</v>
      </c>
      <c r="K377" s="72" t="s">
        <v>30</v>
      </c>
      <c r="L377" s="72" t="s">
        <v>30</v>
      </c>
      <c r="M377" s="72" t="s">
        <v>30</v>
      </c>
      <c r="N377" s="72" t="s">
        <v>30</v>
      </c>
      <c r="O377" s="73" t="s">
        <v>30</v>
      </c>
      <c r="P377" s="72" t="s">
        <v>30</v>
      </c>
      <c r="Q377" s="72" t="s">
        <v>30</v>
      </c>
      <c r="R377" s="72" t="s">
        <v>30</v>
      </c>
      <c r="S377" s="72" t="s">
        <v>30</v>
      </c>
      <c r="T377" s="72" t="s">
        <v>30</v>
      </c>
      <c r="W377" s="31"/>
    </row>
    <row r="378">
      <c r="B378" s="72" t="s">
        <v>30</v>
      </c>
      <c r="C378" s="72" t="s">
        <v>30</v>
      </c>
      <c r="D378" s="72" t="s">
        <v>30</v>
      </c>
      <c r="E378" s="72" t="s">
        <v>30</v>
      </c>
      <c r="F378" s="72" t="s">
        <v>30</v>
      </c>
      <c r="G378" s="72" t="s">
        <v>30</v>
      </c>
      <c r="H378" s="72" t="s">
        <v>30</v>
      </c>
      <c r="I378" s="73" t="s">
        <v>30</v>
      </c>
      <c r="J378" s="72" t="s">
        <v>30</v>
      </c>
      <c r="K378" s="72" t="s">
        <v>30</v>
      </c>
      <c r="L378" s="72" t="s">
        <v>30</v>
      </c>
      <c r="M378" s="72" t="s">
        <v>30</v>
      </c>
      <c r="N378" s="72" t="s">
        <v>30</v>
      </c>
      <c r="O378" s="73" t="s">
        <v>30</v>
      </c>
      <c r="P378" s="72" t="s">
        <v>30</v>
      </c>
      <c r="Q378" s="72" t="s">
        <v>30</v>
      </c>
      <c r="R378" s="72" t="s">
        <v>30</v>
      </c>
      <c r="S378" s="72" t="s">
        <v>30</v>
      </c>
      <c r="T378" s="72" t="s">
        <v>30</v>
      </c>
      <c r="W378" s="31"/>
    </row>
    <row r="379">
      <c r="B379" s="72" t="s">
        <v>30</v>
      </c>
      <c r="C379" s="72" t="s">
        <v>30</v>
      </c>
      <c r="D379" s="72" t="s">
        <v>30</v>
      </c>
      <c r="E379" s="72" t="s">
        <v>30</v>
      </c>
      <c r="F379" s="72" t="s">
        <v>30</v>
      </c>
      <c r="G379" s="72" t="s">
        <v>30</v>
      </c>
      <c r="H379" s="72" t="s">
        <v>30</v>
      </c>
      <c r="I379" s="73" t="s">
        <v>30</v>
      </c>
      <c r="J379" s="72" t="s">
        <v>30</v>
      </c>
      <c r="K379" s="72" t="s">
        <v>30</v>
      </c>
      <c r="L379" s="72" t="s">
        <v>30</v>
      </c>
      <c r="M379" s="72" t="s">
        <v>30</v>
      </c>
      <c r="N379" s="72" t="s">
        <v>30</v>
      </c>
      <c r="O379" s="73" t="s">
        <v>30</v>
      </c>
      <c r="P379" s="72" t="s">
        <v>30</v>
      </c>
      <c r="Q379" s="72" t="s">
        <v>30</v>
      </c>
      <c r="R379" s="72" t="s">
        <v>30</v>
      </c>
      <c r="S379" s="72" t="s">
        <v>30</v>
      </c>
      <c r="T379" s="72" t="s">
        <v>30</v>
      </c>
      <c r="W379" s="31"/>
    </row>
    <row r="380">
      <c r="B380" s="72" t="s">
        <v>30</v>
      </c>
      <c r="C380" s="72" t="s">
        <v>30</v>
      </c>
      <c r="D380" s="72" t="s">
        <v>30</v>
      </c>
      <c r="E380" s="72" t="s">
        <v>30</v>
      </c>
      <c r="F380" s="72" t="s">
        <v>30</v>
      </c>
      <c r="G380" s="72" t="s">
        <v>30</v>
      </c>
      <c r="H380" s="72" t="s">
        <v>30</v>
      </c>
      <c r="I380" s="73" t="s">
        <v>30</v>
      </c>
      <c r="J380" s="72" t="s">
        <v>30</v>
      </c>
      <c r="K380" s="72" t="s">
        <v>30</v>
      </c>
      <c r="L380" s="72" t="s">
        <v>30</v>
      </c>
      <c r="M380" s="72" t="s">
        <v>30</v>
      </c>
      <c r="N380" s="72" t="s">
        <v>30</v>
      </c>
      <c r="O380" s="73" t="s">
        <v>30</v>
      </c>
      <c r="P380" s="72" t="s">
        <v>30</v>
      </c>
      <c r="Q380" s="72" t="s">
        <v>30</v>
      </c>
      <c r="R380" s="72" t="s">
        <v>30</v>
      </c>
      <c r="S380" s="72" t="s">
        <v>30</v>
      </c>
      <c r="T380" s="72" t="s">
        <v>30</v>
      </c>
      <c r="W380" s="31"/>
    </row>
    <row r="381">
      <c r="B381" s="72" t="s">
        <v>30</v>
      </c>
      <c r="C381" s="72" t="s">
        <v>30</v>
      </c>
      <c r="D381" s="72" t="s">
        <v>30</v>
      </c>
      <c r="E381" s="72" t="s">
        <v>30</v>
      </c>
      <c r="F381" s="72" t="s">
        <v>30</v>
      </c>
      <c r="G381" s="72" t="s">
        <v>30</v>
      </c>
      <c r="H381" s="72" t="s">
        <v>30</v>
      </c>
      <c r="I381" s="73" t="s">
        <v>30</v>
      </c>
      <c r="J381" s="72" t="s">
        <v>30</v>
      </c>
      <c r="K381" s="72" t="s">
        <v>30</v>
      </c>
      <c r="L381" s="72" t="s">
        <v>30</v>
      </c>
      <c r="M381" s="72" t="s">
        <v>30</v>
      </c>
      <c r="N381" s="72" t="s">
        <v>30</v>
      </c>
      <c r="O381" s="73" t="s">
        <v>30</v>
      </c>
      <c r="P381" s="72" t="s">
        <v>30</v>
      </c>
      <c r="Q381" s="72" t="s">
        <v>30</v>
      </c>
      <c r="R381" s="72" t="s">
        <v>30</v>
      </c>
      <c r="S381" s="72" t="s">
        <v>30</v>
      </c>
      <c r="T381" s="72" t="s">
        <v>30</v>
      </c>
      <c r="W381" s="31"/>
    </row>
    <row r="382">
      <c r="B382" s="72" t="s">
        <v>30</v>
      </c>
      <c r="C382" s="72" t="s">
        <v>30</v>
      </c>
      <c r="D382" s="72" t="s">
        <v>30</v>
      </c>
      <c r="E382" s="72" t="s">
        <v>30</v>
      </c>
      <c r="F382" s="72" t="s">
        <v>30</v>
      </c>
      <c r="G382" s="72" t="s">
        <v>30</v>
      </c>
      <c r="H382" s="72" t="s">
        <v>30</v>
      </c>
      <c r="I382" s="73" t="s">
        <v>30</v>
      </c>
      <c r="J382" s="72" t="s">
        <v>30</v>
      </c>
      <c r="K382" s="72" t="s">
        <v>30</v>
      </c>
      <c r="L382" s="72" t="s">
        <v>30</v>
      </c>
      <c r="M382" s="72" t="s">
        <v>30</v>
      </c>
      <c r="N382" s="72" t="s">
        <v>30</v>
      </c>
      <c r="O382" s="73" t="s">
        <v>30</v>
      </c>
      <c r="P382" s="72" t="s">
        <v>30</v>
      </c>
      <c r="Q382" s="72" t="s">
        <v>30</v>
      </c>
      <c r="R382" s="72" t="s">
        <v>30</v>
      </c>
      <c r="S382" s="72" t="s">
        <v>30</v>
      </c>
      <c r="T382" s="72" t="s">
        <v>30</v>
      </c>
      <c r="W382" s="31"/>
    </row>
    <row r="383">
      <c r="B383" s="72" t="s">
        <v>30</v>
      </c>
      <c r="C383" s="72" t="s">
        <v>30</v>
      </c>
      <c r="D383" s="72" t="s">
        <v>30</v>
      </c>
      <c r="E383" s="72" t="s">
        <v>30</v>
      </c>
      <c r="F383" s="72" t="s">
        <v>30</v>
      </c>
      <c r="G383" s="72" t="s">
        <v>30</v>
      </c>
      <c r="H383" s="72" t="s">
        <v>30</v>
      </c>
      <c r="I383" s="73" t="s">
        <v>30</v>
      </c>
      <c r="J383" s="72" t="s">
        <v>30</v>
      </c>
      <c r="K383" s="72" t="s">
        <v>30</v>
      </c>
      <c r="L383" s="72" t="s">
        <v>30</v>
      </c>
      <c r="M383" s="72" t="s">
        <v>30</v>
      </c>
      <c r="N383" s="72" t="s">
        <v>30</v>
      </c>
      <c r="O383" s="73" t="s">
        <v>30</v>
      </c>
      <c r="P383" s="72" t="s">
        <v>30</v>
      </c>
      <c r="Q383" s="72" t="s">
        <v>30</v>
      </c>
      <c r="R383" s="72" t="s">
        <v>30</v>
      </c>
      <c r="S383" s="72" t="s">
        <v>30</v>
      </c>
      <c r="T383" s="72" t="s">
        <v>30</v>
      </c>
      <c r="W383" s="31"/>
    </row>
    <row r="384">
      <c r="B384" s="72" t="s">
        <v>30</v>
      </c>
      <c r="C384" s="72" t="s">
        <v>30</v>
      </c>
      <c r="D384" s="72" t="s">
        <v>30</v>
      </c>
      <c r="E384" s="72" t="s">
        <v>30</v>
      </c>
      <c r="F384" s="72" t="s">
        <v>30</v>
      </c>
      <c r="G384" s="72" t="s">
        <v>30</v>
      </c>
      <c r="H384" s="72" t="s">
        <v>30</v>
      </c>
      <c r="I384" s="73" t="s">
        <v>30</v>
      </c>
      <c r="J384" s="72" t="s">
        <v>30</v>
      </c>
      <c r="K384" s="72" t="s">
        <v>30</v>
      </c>
      <c r="L384" s="72" t="s">
        <v>30</v>
      </c>
      <c r="M384" s="72" t="s">
        <v>30</v>
      </c>
      <c r="N384" s="72" t="s">
        <v>30</v>
      </c>
      <c r="O384" s="73" t="s">
        <v>30</v>
      </c>
      <c r="P384" s="72" t="s">
        <v>30</v>
      </c>
      <c r="Q384" s="72" t="s">
        <v>30</v>
      </c>
      <c r="R384" s="72" t="s">
        <v>30</v>
      </c>
      <c r="S384" s="72" t="s">
        <v>30</v>
      </c>
      <c r="T384" s="72" t="s">
        <v>30</v>
      </c>
      <c r="W384" s="31"/>
    </row>
    <row r="385">
      <c r="B385" s="72" t="s">
        <v>30</v>
      </c>
      <c r="C385" s="72" t="s">
        <v>30</v>
      </c>
      <c r="D385" s="72" t="s">
        <v>30</v>
      </c>
      <c r="E385" s="72" t="s">
        <v>30</v>
      </c>
      <c r="F385" s="72" t="s">
        <v>30</v>
      </c>
      <c r="G385" s="72" t="s">
        <v>30</v>
      </c>
      <c r="H385" s="72" t="s">
        <v>30</v>
      </c>
      <c r="I385" s="73" t="s">
        <v>30</v>
      </c>
      <c r="J385" s="72" t="s">
        <v>30</v>
      </c>
      <c r="K385" s="72" t="s">
        <v>30</v>
      </c>
      <c r="L385" s="72" t="s">
        <v>30</v>
      </c>
      <c r="M385" s="72" t="s">
        <v>30</v>
      </c>
      <c r="N385" s="72" t="s">
        <v>30</v>
      </c>
      <c r="O385" s="73" t="s">
        <v>30</v>
      </c>
      <c r="P385" s="72" t="s">
        <v>30</v>
      </c>
      <c r="Q385" s="72" t="s">
        <v>30</v>
      </c>
      <c r="R385" s="72" t="s">
        <v>30</v>
      </c>
      <c r="S385" s="72" t="s">
        <v>30</v>
      </c>
      <c r="T385" s="72" t="s">
        <v>30</v>
      </c>
      <c r="W385" s="31"/>
    </row>
    <row r="386">
      <c r="B386" s="72" t="s">
        <v>30</v>
      </c>
      <c r="C386" s="72" t="s">
        <v>30</v>
      </c>
      <c r="D386" s="72" t="s">
        <v>30</v>
      </c>
      <c r="E386" s="72" t="s">
        <v>30</v>
      </c>
      <c r="F386" s="72" t="s">
        <v>30</v>
      </c>
      <c r="G386" s="72" t="s">
        <v>30</v>
      </c>
      <c r="H386" s="72" t="s">
        <v>30</v>
      </c>
      <c r="I386" s="73" t="s">
        <v>30</v>
      </c>
      <c r="J386" s="72" t="s">
        <v>30</v>
      </c>
      <c r="K386" s="72" t="s">
        <v>30</v>
      </c>
      <c r="L386" s="72" t="s">
        <v>30</v>
      </c>
      <c r="M386" s="72" t="s">
        <v>30</v>
      </c>
      <c r="N386" s="72" t="s">
        <v>30</v>
      </c>
      <c r="O386" s="73" t="s">
        <v>30</v>
      </c>
      <c r="P386" s="72" t="s">
        <v>30</v>
      </c>
      <c r="Q386" s="72" t="s">
        <v>30</v>
      </c>
      <c r="R386" s="72" t="s">
        <v>30</v>
      </c>
      <c r="S386" s="72" t="s">
        <v>30</v>
      </c>
      <c r="T386" s="72" t="s">
        <v>30</v>
      </c>
      <c r="W386" s="31"/>
    </row>
    <row r="387">
      <c r="B387" s="72" t="s">
        <v>30</v>
      </c>
      <c r="C387" s="72" t="s">
        <v>30</v>
      </c>
      <c r="D387" s="72" t="s">
        <v>30</v>
      </c>
      <c r="E387" s="72" t="s">
        <v>30</v>
      </c>
      <c r="F387" s="72" t="s">
        <v>30</v>
      </c>
      <c r="G387" s="72" t="s">
        <v>30</v>
      </c>
      <c r="H387" s="72" t="s">
        <v>30</v>
      </c>
      <c r="I387" s="73" t="s">
        <v>30</v>
      </c>
      <c r="J387" s="72" t="s">
        <v>30</v>
      </c>
      <c r="K387" s="72" t="s">
        <v>30</v>
      </c>
      <c r="L387" s="72" t="s">
        <v>30</v>
      </c>
      <c r="M387" s="72" t="s">
        <v>30</v>
      </c>
      <c r="N387" s="72" t="s">
        <v>30</v>
      </c>
      <c r="O387" s="73" t="s">
        <v>30</v>
      </c>
      <c r="P387" s="72" t="s">
        <v>30</v>
      </c>
      <c r="Q387" s="72" t="s">
        <v>30</v>
      </c>
      <c r="R387" s="72" t="s">
        <v>30</v>
      </c>
      <c r="S387" s="72" t="s">
        <v>30</v>
      </c>
      <c r="T387" s="72" t="s">
        <v>30</v>
      </c>
      <c r="W387" s="31"/>
    </row>
    <row r="388">
      <c r="B388" s="72" t="s">
        <v>30</v>
      </c>
      <c r="C388" s="72" t="s">
        <v>30</v>
      </c>
      <c r="D388" s="72" t="s">
        <v>30</v>
      </c>
      <c r="E388" s="72" t="s">
        <v>30</v>
      </c>
      <c r="F388" s="72" t="s">
        <v>30</v>
      </c>
      <c r="G388" s="72" t="s">
        <v>30</v>
      </c>
      <c r="H388" s="72" t="s">
        <v>30</v>
      </c>
      <c r="I388" s="73" t="s">
        <v>30</v>
      </c>
      <c r="J388" s="72" t="s">
        <v>30</v>
      </c>
      <c r="K388" s="72" t="s">
        <v>30</v>
      </c>
      <c r="L388" s="72" t="s">
        <v>30</v>
      </c>
      <c r="M388" s="72" t="s">
        <v>30</v>
      </c>
      <c r="N388" s="72" t="s">
        <v>30</v>
      </c>
      <c r="O388" s="73" t="s">
        <v>30</v>
      </c>
      <c r="P388" s="72" t="s">
        <v>30</v>
      </c>
      <c r="Q388" s="72" t="s">
        <v>30</v>
      </c>
      <c r="R388" s="72" t="s">
        <v>30</v>
      </c>
      <c r="S388" s="72" t="s">
        <v>30</v>
      </c>
      <c r="T388" s="72" t="s">
        <v>30</v>
      </c>
      <c r="W388" s="31"/>
    </row>
    <row r="389">
      <c r="B389" s="72" t="s">
        <v>30</v>
      </c>
      <c r="C389" s="72" t="s">
        <v>30</v>
      </c>
      <c r="D389" s="72" t="s">
        <v>30</v>
      </c>
      <c r="E389" s="72" t="s">
        <v>30</v>
      </c>
      <c r="F389" s="72" t="s">
        <v>30</v>
      </c>
      <c r="G389" s="72" t="s">
        <v>30</v>
      </c>
      <c r="H389" s="72" t="s">
        <v>30</v>
      </c>
      <c r="I389" s="73" t="s">
        <v>30</v>
      </c>
      <c r="J389" s="72" t="s">
        <v>30</v>
      </c>
      <c r="K389" s="72" t="s">
        <v>30</v>
      </c>
      <c r="L389" s="72" t="s">
        <v>30</v>
      </c>
      <c r="M389" s="72" t="s">
        <v>30</v>
      </c>
      <c r="N389" s="72" t="s">
        <v>30</v>
      </c>
      <c r="O389" s="73" t="s">
        <v>30</v>
      </c>
      <c r="P389" s="72" t="s">
        <v>30</v>
      </c>
      <c r="Q389" s="72" t="s">
        <v>30</v>
      </c>
      <c r="R389" s="72" t="s">
        <v>30</v>
      </c>
      <c r="S389" s="72" t="s">
        <v>30</v>
      </c>
      <c r="T389" s="72" t="s">
        <v>30</v>
      </c>
      <c r="W389" s="31"/>
    </row>
    <row r="390">
      <c r="B390" s="72" t="s">
        <v>30</v>
      </c>
      <c r="C390" s="72" t="s">
        <v>30</v>
      </c>
      <c r="D390" s="72" t="s">
        <v>30</v>
      </c>
      <c r="E390" s="72" t="s">
        <v>30</v>
      </c>
      <c r="F390" s="72" t="s">
        <v>30</v>
      </c>
      <c r="G390" s="72" t="s">
        <v>30</v>
      </c>
      <c r="H390" s="72" t="s">
        <v>30</v>
      </c>
      <c r="I390" s="73" t="s">
        <v>30</v>
      </c>
      <c r="J390" s="72" t="s">
        <v>30</v>
      </c>
      <c r="K390" s="72" t="s">
        <v>30</v>
      </c>
      <c r="L390" s="72" t="s">
        <v>30</v>
      </c>
      <c r="M390" s="72" t="s">
        <v>30</v>
      </c>
      <c r="N390" s="72" t="s">
        <v>30</v>
      </c>
      <c r="O390" s="73" t="s">
        <v>30</v>
      </c>
      <c r="P390" s="72" t="s">
        <v>30</v>
      </c>
      <c r="Q390" s="72" t="s">
        <v>30</v>
      </c>
      <c r="R390" s="72" t="s">
        <v>30</v>
      </c>
      <c r="S390" s="72" t="s">
        <v>30</v>
      </c>
      <c r="T390" s="72" t="s">
        <v>30</v>
      </c>
      <c r="W390" s="31"/>
    </row>
    <row r="391">
      <c r="B391" s="72" t="s">
        <v>30</v>
      </c>
      <c r="C391" s="72" t="s">
        <v>30</v>
      </c>
      <c r="D391" s="72" t="s">
        <v>30</v>
      </c>
      <c r="E391" s="72" t="s">
        <v>30</v>
      </c>
      <c r="F391" s="72" t="s">
        <v>30</v>
      </c>
      <c r="G391" s="72" t="s">
        <v>30</v>
      </c>
      <c r="H391" s="72" t="s">
        <v>30</v>
      </c>
      <c r="I391" s="73" t="s">
        <v>30</v>
      </c>
      <c r="J391" s="72" t="s">
        <v>30</v>
      </c>
      <c r="K391" s="72" t="s">
        <v>30</v>
      </c>
      <c r="L391" s="72" t="s">
        <v>30</v>
      </c>
      <c r="M391" s="72" t="s">
        <v>30</v>
      </c>
      <c r="N391" s="72" t="s">
        <v>30</v>
      </c>
      <c r="O391" s="73" t="s">
        <v>30</v>
      </c>
      <c r="P391" s="72" t="s">
        <v>30</v>
      </c>
      <c r="Q391" s="72" t="s">
        <v>30</v>
      </c>
      <c r="R391" s="72" t="s">
        <v>30</v>
      </c>
      <c r="S391" s="72" t="s">
        <v>30</v>
      </c>
      <c r="T391" s="72" t="s">
        <v>30</v>
      </c>
      <c r="W391" s="31"/>
    </row>
    <row r="392">
      <c r="B392" s="72" t="s">
        <v>30</v>
      </c>
      <c r="C392" s="72" t="s">
        <v>30</v>
      </c>
      <c r="D392" s="72" t="s">
        <v>30</v>
      </c>
      <c r="E392" s="72" t="s">
        <v>30</v>
      </c>
      <c r="F392" s="72" t="s">
        <v>30</v>
      </c>
      <c r="G392" s="72" t="s">
        <v>30</v>
      </c>
      <c r="H392" s="72" t="s">
        <v>30</v>
      </c>
      <c r="I392" s="73" t="s">
        <v>30</v>
      </c>
      <c r="J392" s="72" t="s">
        <v>30</v>
      </c>
      <c r="K392" s="72" t="s">
        <v>30</v>
      </c>
      <c r="L392" s="72" t="s">
        <v>30</v>
      </c>
      <c r="M392" s="72" t="s">
        <v>30</v>
      </c>
      <c r="N392" s="72" t="s">
        <v>30</v>
      </c>
      <c r="O392" s="73" t="s">
        <v>30</v>
      </c>
      <c r="P392" s="72" t="s">
        <v>30</v>
      </c>
      <c r="Q392" s="72" t="s">
        <v>30</v>
      </c>
      <c r="R392" s="72" t="s">
        <v>30</v>
      </c>
      <c r="S392" s="72" t="s">
        <v>30</v>
      </c>
      <c r="T392" s="72" t="s">
        <v>30</v>
      </c>
      <c r="W392" s="31"/>
    </row>
    <row r="393">
      <c r="B393" s="72" t="s">
        <v>30</v>
      </c>
      <c r="C393" s="72" t="s">
        <v>30</v>
      </c>
      <c r="D393" s="72" t="s">
        <v>30</v>
      </c>
      <c r="E393" s="72" t="s">
        <v>30</v>
      </c>
      <c r="F393" s="72" t="s">
        <v>30</v>
      </c>
      <c r="G393" s="72" t="s">
        <v>30</v>
      </c>
      <c r="H393" s="72" t="s">
        <v>30</v>
      </c>
      <c r="I393" s="73" t="s">
        <v>30</v>
      </c>
      <c r="J393" s="72" t="s">
        <v>30</v>
      </c>
      <c r="K393" s="72" t="s">
        <v>30</v>
      </c>
      <c r="L393" s="72" t="s">
        <v>30</v>
      </c>
      <c r="M393" s="72" t="s">
        <v>30</v>
      </c>
      <c r="N393" s="72" t="s">
        <v>30</v>
      </c>
      <c r="O393" s="73" t="s">
        <v>30</v>
      </c>
      <c r="P393" s="72" t="s">
        <v>30</v>
      </c>
      <c r="Q393" s="72" t="s">
        <v>30</v>
      </c>
      <c r="R393" s="72" t="s">
        <v>30</v>
      </c>
      <c r="S393" s="72" t="s">
        <v>30</v>
      </c>
      <c r="T393" s="72" t="s">
        <v>30</v>
      </c>
      <c r="W393" s="31"/>
    </row>
    <row r="394">
      <c r="B394" s="72" t="s">
        <v>30</v>
      </c>
      <c r="C394" s="72" t="s">
        <v>30</v>
      </c>
      <c r="D394" s="72" t="s">
        <v>30</v>
      </c>
      <c r="E394" s="72" t="s">
        <v>30</v>
      </c>
      <c r="F394" s="72" t="s">
        <v>30</v>
      </c>
      <c r="G394" s="72" t="s">
        <v>30</v>
      </c>
      <c r="H394" s="72" t="s">
        <v>30</v>
      </c>
      <c r="I394" s="73" t="s">
        <v>30</v>
      </c>
      <c r="J394" s="72" t="s">
        <v>30</v>
      </c>
      <c r="K394" s="72" t="s">
        <v>30</v>
      </c>
      <c r="L394" s="72" t="s">
        <v>30</v>
      </c>
      <c r="M394" s="72" t="s">
        <v>30</v>
      </c>
      <c r="N394" s="72" t="s">
        <v>30</v>
      </c>
      <c r="O394" s="73" t="s">
        <v>30</v>
      </c>
      <c r="P394" s="72" t="s">
        <v>30</v>
      </c>
      <c r="Q394" s="72" t="s">
        <v>30</v>
      </c>
      <c r="R394" s="72" t="s">
        <v>30</v>
      </c>
      <c r="S394" s="72" t="s">
        <v>30</v>
      </c>
      <c r="T394" s="72" t="s">
        <v>30</v>
      </c>
      <c r="W394" s="31"/>
    </row>
    <row r="395">
      <c r="B395" s="72" t="s">
        <v>30</v>
      </c>
      <c r="C395" s="72" t="s">
        <v>30</v>
      </c>
      <c r="D395" s="72" t="s">
        <v>30</v>
      </c>
      <c r="E395" s="72" t="s">
        <v>30</v>
      </c>
      <c r="F395" s="72" t="s">
        <v>30</v>
      </c>
      <c r="G395" s="72" t="s">
        <v>30</v>
      </c>
      <c r="H395" s="72" t="s">
        <v>30</v>
      </c>
      <c r="I395" s="73" t="s">
        <v>30</v>
      </c>
      <c r="J395" s="72" t="s">
        <v>30</v>
      </c>
      <c r="K395" s="72" t="s">
        <v>30</v>
      </c>
      <c r="L395" s="72" t="s">
        <v>30</v>
      </c>
      <c r="M395" s="72" t="s">
        <v>30</v>
      </c>
      <c r="N395" s="72" t="s">
        <v>30</v>
      </c>
      <c r="O395" s="73" t="s">
        <v>30</v>
      </c>
      <c r="P395" s="72" t="s">
        <v>30</v>
      </c>
      <c r="Q395" s="72" t="s">
        <v>30</v>
      </c>
      <c r="R395" s="72" t="s">
        <v>30</v>
      </c>
      <c r="S395" s="72" t="s">
        <v>30</v>
      </c>
      <c r="T395" s="72" t="s">
        <v>30</v>
      </c>
      <c r="W395" s="31"/>
    </row>
    <row r="396">
      <c r="B396" s="72" t="s">
        <v>30</v>
      </c>
      <c r="C396" s="72" t="s">
        <v>30</v>
      </c>
      <c r="D396" s="72" t="s">
        <v>30</v>
      </c>
      <c r="E396" s="72" t="s">
        <v>30</v>
      </c>
      <c r="F396" s="72" t="s">
        <v>30</v>
      </c>
      <c r="G396" s="72" t="s">
        <v>30</v>
      </c>
      <c r="H396" s="72" t="s">
        <v>30</v>
      </c>
      <c r="I396" s="73" t="s">
        <v>30</v>
      </c>
      <c r="J396" s="72" t="s">
        <v>30</v>
      </c>
      <c r="K396" s="72" t="s">
        <v>30</v>
      </c>
      <c r="L396" s="72" t="s">
        <v>30</v>
      </c>
      <c r="M396" s="72" t="s">
        <v>30</v>
      </c>
      <c r="N396" s="72" t="s">
        <v>30</v>
      </c>
      <c r="O396" s="73" t="s">
        <v>30</v>
      </c>
      <c r="P396" s="72" t="s">
        <v>30</v>
      </c>
      <c r="Q396" s="72" t="s">
        <v>30</v>
      </c>
      <c r="R396" s="72" t="s">
        <v>30</v>
      </c>
      <c r="S396" s="72" t="s">
        <v>30</v>
      </c>
      <c r="T396" s="72" t="s">
        <v>30</v>
      </c>
      <c r="W396" s="31"/>
    </row>
    <row r="397">
      <c r="B397" s="72" t="s">
        <v>30</v>
      </c>
      <c r="C397" s="72" t="s">
        <v>30</v>
      </c>
      <c r="D397" s="72" t="s">
        <v>30</v>
      </c>
      <c r="E397" s="72" t="s">
        <v>30</v>
      </c>
      <c r="F397" s="72" t="s">
        <v>30</v>
      </c>
      <c r="G397" s="72" t="s">
        <v>30</v>
      </c>
      <c r="H397" s="72" t="s">
        <v>30</v>
      </c>
      <c r="I397" s="73" t="s">
        <v>30</v>
      </c>
      <c r="J397" s="72" t="s">
        <v>30</v>
      </c>
      <c r="K397" s="72" t="s">
        <v>30</v>
      </c>
      <c r="L397" s="72" t="s">
        <v>30</v>
      </c>
      <c r="M397" s="72" t="s">
        <v>30</v>
      </c>
      <c r="N397" s="72" t="s">
        <v>30</v>
      </c>
      <c r="O397" s="73" t="s">
        <v>30</v>
      </c>
      <c r="P397" s="72" t="s">
        <v>30</v>
      </c>
      <c r="Q397" s="72" t="s">
        <v>30</v>
      </c>
      <c r="R397" s="72" t="s">
        <v>30</v>
      </c>
      <c r="S397" s="72" t="s">
        <v>30</v>
      </c>
      <c r="T397" s="72" t="s">
        <v>30</v>
      </c>
      <c r="W397" s="31"/>
    </row>
    <row r="398">
      <c r="B398" s="72" t="s">
        <v>30</v>
      </c>
      <c r="C398" s="72" t="s">
        <v>30</v>
      </c>
      <c r="D398" s="72" t="s">
        <v>30</v>
      </c>
      <c r="E398" s="72" t="s">
        <v>30</v>
      </c>
      <c r="F398" s="72" t="s">
        <v>30</v>
      </c>
      <c r="G398" s="72" t="s">
        <v>30</v>
      </c>
      <c r="H398" s="72" t="s">
        <v>30</v>
      </c>
      <c r="I398" s="73" t="s">
        <v>30</v>
      </c>
      <c r="J398" s="72" t="s">
        <v>30</v>
      </c>
      <c r="K398" s="72" t="s">
        <v>30</v>
      </c>
      <c r="L398" s="72" t="s">
        <v>30</v>
      </c>
      <c r="M398" s="72" t="s">
        <v>30</v>
      </c>
      <c r="N398" s="72" t="s">
        <v>30</v>
      </c>
      <c r="O398" s="73" t="s">
        <v>30</v>
      </c>
      <c r="P398" s="72" t="s">
        <v>30</v>
      </c>
      <c r="Q398" s="72" t="s">
        <v>30</v>
      </c>
      <c r="R398" s="72" t="s">
        <v>30</v>
      </c>
      <c r="S398" s="72" t="s">
        <v>30</v>
      </c>
      <c r="T398" s="72" t="s">
        <v>30</v>
      </c>
      <c r="W398" s="31"/>
    </row>
    <row r="399">
      <c r="B399" s="72" t="s">
        <v>30</v>
      </c>
      <c r="C399" s="72" t="s">
        <v>30</v>
      </c>
      <c r="D399" s="72" t="s">
        <v>30</v>
      </c>
      <c r="E399" s="72" t="s">
        <v>30</v>
      </c>
      <c r="F399" s="72" t="s">
        <v>30</v>
      </c>
      <c r="G399" s="72" t="s">
        <v>30</v>
      </c>
      <c r="H399" s="72" t="s">
        <v>30</v>
      </c>
      <c r="I399" s="73" t="s">
        <v>30</v>
      </c>
      <c r="J399" s="72" t="s">
        <v>30</v>
      </c>
      <c r="K399" s="72" t="s">
        <v>30</v>
      </c>
      <c r="L399" s="72" t="s">
        <v>30</v>
      </c>
      <c r="M399" s="72" t="s">
        <v>30</v>
      </c>
      <c r="N399" s="72" t="s">
        <v>30</v>
      </c>
      <c r="O399" s="73" t="s">
        <v>30</v>
      </c>
      <c r="P399" s="72" t="s">
        <v>30</v>
      </c>
      <c r="Q399" s="72" t="s">
        <v>30</v>
      </c>
      <c r="R399" s="72" t="s">
        <v>30</v>
      </c>
      <c r="S399" s="72" t="s">
        <v>30</v>
      </c>
      <c r="T399" s="72" t="s">
        <v>30</v>
      </c>
      <c r="W399" s="31"/>
    </row>
    <row r="400">
      <c r="B400" s="72" t="s">
        <v>30</v>
      </c>
      <c r="C400" s="72" t="s">
        <v>30</v>
      </c>
      <c r="D400" s="72" t="s">
        <v>30</v>
      </c>
      <c r="E400" s="72" t="s">
        <v>30</v>
      </c>
      <c r="F400" s="72" t="s">
        <v>30</v>
      </c>
      <c r="G400" s="72" t="s">
        <v>30</v>
      </c>
      <c r="H400" s="72" t="s">
        <v>30</v>
      </c>
      <c r="I400" s="73" t="s">
        <v>30</v>
      </c>
      <c r="J400" s="72" t="s">
        <v>30</v>
      </c>
      <c r="K400" s="72" t="s">
        <v>30</v>
      </c>
      <c r="L400" s="72" t="s">
        <v>30</v>
      </c>
      <c r="M400" s="72" t="s">
        <v>30</v>
      </c>
      <c r="N400" s="72" t="s">
        <v>30</v>
      </c>
      <c r="O400" s="73" t="s">
        <v>30</v>
      </c>
      <c r="P400" s="72" t="s">
        <v>30</v>
      </c>
      <c r="Q400" s="72" t="s">
        <v>30</v>
      </c>
      <c r="R400" s="72" t="s">
        <v>30</v>
      </c>
      <c r="S400" s="72" t="s">
        <v>30</v>
      </c>
      <c r="T400" s="72" t="s">
        <v>30</v>
      </c>
      <c r="W400" s="31"/>
    </row>
    <row r="401">
      <c r="B401" s="72" t="s">
        <v>30</v>
      </c>
      <c r="C401" s="72" t="s">
        <v>30</v>
      </c>
      <c r="D401" s="72" t="s">
        <v>30</v>
      </c>
      <c r="E401" s="72" t="s">
        <v>30</v>
      </c>
      <c r="F401" s="72" t="s">
        <v>30</v>
      </c>
      <c r="G401" s="72" t="s">
        <v>30</v>
      </c>
      <c r="H401" s="72" t="s">
        <v>30</v>
      </c>
      <c r="I401" s="73" t="s">
        <v>30</v>
      </c>
      <c r="J401" s="72" t="s">
        <v>30</v>
      </c>
      <c r="K401" s="72" t="s">
        <v>30</v>
      </c>
      <c r="L401" s="72" t="s">
        <v>30</v>
      </c>
      <c r="M401" s="72" t="s">
        <v>30</v>
      </c>
      <c r="N401" s="72" t="s">
        <v>30</v>
      </c>
      <c r="O401" s="73" t="s">
        <v>30</v>
      </c>
      <c r="P401" s="72" t="s">
        <v>30</v>
      </c>
      <c r="Q401" s="72" t="s">
        <v>30</v>
      </c>
      <c r="R401" s="72" t="s">
        <v>30</v>
      </c>
      <c r="S401" s="72" t="s">
        <v>30</v>
      </c>
      <c r="T401" s="72" t="s">
        <v>30</v>
      </c>
      <c r="W401" s="31"/>
    </row>
    <row r="402">
      <c r="B402" s="72" t="s">
        <v>30</v>
      </c>
      <c r="C402" s="72" t="s">
        <v>30</v>
      </c>
      <c r="D402" s="72" t="s">
        <v>30</v>
      </c>
      <c r="E402" s="72" t="s">
        <v>30</v>
      </c>
      <c r="F402" s="72" t="s">
        <v>30</v>
      </c>
      <c r="G402" s="72" t="s">
        <v>30</v>
      </c>
      <c r="H402" s="72" t="s">
        <v>30</v>
      </c>
      <c r="I402" s="73" t="s">
        <v>30</v>
      </c>
      <c r="J402" s="72" t="s">
        <v>30</v>
      </c>
      <c r="K402" s="72" t="s">
        <v>30</v>
      </c>
      <c r="L402" s="72" t="s">
        <v>30</v>
      </c>
      <c r="M402" s="72" t="s">
        <v>30</v>
      </c>
      <c r="N402" s="72" t="s">
        <v>30</v>
      </c>
      <c r="O402" s="73" t="s">
        <v>30</v>
      </c>
      <c r="P402" s="72" t="s">
        <v>30</v>
      </c>
      <c r="Q402" s="72" t="s">
        <v>30</v>
      </c>
      <c r="R402" s="72" t="s">
        <v>30</v>
      </c>
      <c r="S402" s="72" t="s">
        <v>30</v>
      </c>
      <c r="T402" s="72" t="s">
        <v>30</v>
      </c>
      <c r="W402" s="31"/>
    </row>
    <row r="403">
      <c r="B403" s="72" t="s">
        <v>30</v>
      </c>
      <c r="C403" s="72" t="s">
        <v>30</v>
      </c>
      <c r="D403" s="72" t="s">
        <v>30</v>
      </c>
      <c r="E403" s="72" t="s">
        <v>30</v>
      </c>
      <c r="F403" s="72" t="s">
        <v>30</v>
      </c>
      <c r="G403" s="72" t="s">
        <v>30</v>
      </c>
      <c r="H403" s="72" t="s">
        <v>30</v>
      </c>
      <c r="I403" s="73" t="s">
        <v>30</v>
      </c>
      <c r="J403" s="72" t="s">
        <v>30</v>
      </c>
      <c r="K403" s="72" t="s">
        <v>30</v>
      </c>
      <c r="L403" s="72" t="s">
        <v>30</v>
      </c>
      <c r="M403" s="72" t="s">
        <v>30</v>
      </c>
      <c r="N403" s="72" t="s">
        <v>30</v>
      </c>
      <c r="O403" s="73" t="s">
        <v>30</v>
      </c>
      <c r="P403" s="72" t="s">
        <v>30</v>
      </c>
      <c r="Q403" s="72" t="s">
        <v>30</v>
      </c>
      <c r="R403" s="72" t="s">
        <v>30</v>
      </c>
      <c r="S403" s="72" t="s">
        <v>30</v>
      </c>
      <c r="T403" s="72" t="s">
        <v>30</v>
      </c>
      <c r="W403" s="31"/>
    </row>
    <row r="404">
      <c r="B404" s="72" t="s">
        <v>30</v>
      </c>
      <c r="C404" s="72" t="s">
        <v>30</v>
      </c>
      <c r="D404" s="72" t="s">
        <v>30</v>
      </c>
      <c r="E404" s="72" t="s">
        <v>30</v>
      </c>
      <c r="F404" s="72" t="s">
        <v>30</v>
      </c>
      <c r="G404" s="72" t="s">
        <v>30</v>
      </c>
      <c r="H404" s="72" t="s">
        <v>30</v>
      </c>
      <c r="I404" s="73" t="s">
        <v>30</v>
      </c>
      <c r="J404" s="72" t="s">
        <v>30</v>
      </c>
      <c r="K404" s="72" t="s">
        <v>30</v>
      </c>
      <c r="L404" s="72" t="s">
        <v>30</v>
      </c>
      <c r="M404" s="72" t="s">
        <v>30</v>
      </c>
      <c r="N404" s="72" t="s">
        <v>30</v>
      </c>
      <c r="O404" s="73" t="s">
        <v>30</v>
      </c>
      <c r="P404" s="72" t="s">
        <v>30</v>
      </c>
      <c r="Q404" s="72" t="s">
        <v>30</v>
      </c>
      <c r="R404" s="72" t="s">
        <v>30</v>
      </c>
      <c r="S404" s="72" t="s">
        <v>30</v>
      </c>
      <c r="T404" s="72" t="s">
        <v>30</v>
      </c>
      <c r="W404" s="31"/>
    </row>
    <row r="405">
      <c r="B405" s="72" t="s">
        <v>30</v>
      </c>
      <c r="C405" s="72" t="s">
        <v>30</v>
      </c>
      <c r="D405" s="72" t="s">
        <v>30</v>
      </c>
      <c r="E405" s="72" t="s">
        <v>30</v>
      </c>
      <c r="F405" s="72" t="s">
        <v>30</v>
      </c>
      <c r="G405" s="72" t="s">
        <v>30</v>
      </c>
      <c r="H405" s="72" t="s">
        <v>30</v>
      </c>
      <c r="I405" s="73" t="s">
        <v>30</v>
      </c>
      <c r="J405" s="72" t="s">
        <v>30</v>
      </c>
      <c r="K405" s="72" t="s">
        <v>30</v>
      </c>
      <c r="L405" s="72" t="s">
        <v>30</v>
      </c>
      <c r="M405" s="72" t="s">
        <v>30</v>
      </c>
      <c r="N405" s="72" t="s">
        <v>30</v>
      </c>
      <c r="O405" s="73" t="s">
        <v>30</v>
      </c>
      <c r="P405" s="72" t="s">
        <v>30</v>
      </c>
      <c r="Q405" s="72" t="s">
        <v>30</v>
      </c>
      <c r="R405" s="72" t="s">
        <v>30</v>
      </c>
      <c r="S405" s="72" t="s">
        <v>30</v>
      </c>
      <c r="T405" s="72" t="s">
        <v>30</v>
      </c>
      <c r="W405" s="31"/>
    </row>
    <row r="406">
      <c r="B406" s="72" t="s">
        <v>30</v>
      </c>
      <c r="C406" s="72" t="s">
        <v>30</v>
      </c>
      <c r="D406" s="72" t="s">
        <v>30</v>
      </c>
      <c r="E406" s="72" t="s">
        <v>30</v>
      </c>
      <c r="F406" s="72" t="s">
        <v>30</v>
      </c>
      <c r="G406" s="72" t="s">
        <v>30</v>
      </c>
      <c r="H406" s="72" t="s">
        <v>30</v>
      </c>
      <c r="I406" s="73" t="s">
        <v>30</v>
      </c>
      <c r="J406" s="72" t="s">
        <v>30</v>
      </c>
      <c r="K406" s="72" t="s">
        <v>30</v>
      </c>
      <c r="L406" s="72" t="s">
        <v>30</v>
      </c>
      <c r="M406" s="72" t="s">
        <v>30</v>
      </c>
      <c r="N406" s="72" t="s">
        <v>30</v>
      </c>
      <c r="O406" s="73" t="s">
        <v>30</v>
      </c>
      <c r="P406" s="72" t="s">
        <v>30</v>
      </c>
      <c r="Q406" s="72" t="s">
        <v>30</v>
      </c>
      <c r="R406" s="72" t="s">
        <v>30</v>
      </c>
      <c r="S406" s="72" t="s">
        <v>30</v>
      </c>
      <c r="T406" s="72" t="s">
        <v>30</v>
      </c>
      <c r="W406" s="31"/>
    </row>
    <row r="407">
      <c r="B407" s="72" t="s">
        <v>30</v>
      </c>
      <c r="C407" s="72" t="s">
        <v>30</v>
      </c>
      <c r="D407" s="72" t="s">
        <v>30</v>
      </c>
      <c r="E407" s="72" t="s">
        <v>30</v>
      </c>
      <c r="F407" s="72" t="s">
        <v>30</v>
      </c>
      <c r="G407" s="72" t="s">
        <v>30</v>
      </c>
      <c r="H407" s="72" t="s">
        <v>30</v>
      </c>
      <c r="I407" s="73" t="s">
        <v>30</v>
      </c>
      <c r="J407" s="72" t="s">
        <v>30</v>
      </c>
      <c r="K407" s="72" t="s">
        <v>30</v>
      </c>
      <c r="L407" s="72" t="s">
        <v>30</v>
      </c>
      <c r="M407" s="72" t="s">
        <v>30</v>
      </c>
      <c r="N407" s="72" t="s">
        <v>30</v>
      </c>
      <c r="O407" s="73" t="s">
        <v>30</v>
      </c>
      <c r="P407" s="72" t="s">
        <v>30</v>
      </c>
      <c r="Q407" s="72" t="s">
        <v>30</v>
      </c>
      <c r="R407" s="72" t="s">
        <v>30</v>
      </c>
      <c r="S407" s="72" t="s">
        <v>30</v>
      </c>
      <c r="T407" s="72" t="s">
        <v>30</v>
      </c>
      <c r="W407" s="31"/>
    </row>
    <row r="408">
      <c r="B408" s="72" t="s">
        <v>30</v>
      </c>
      <c r="C408" s="72" t="s">
        <v>30</v>
      </c>
      <c r="D408" s="72" t="s">
        <v>30</v>
      </c>
      <c r="E408" s="72" t="s">
        <v>30</v>
      </c>
      <c r="F408" s="72" t="s">
        <v>30</v>
      </c>
      <c r="G408" s="72" t="s">
        <v>30</v>
      </c>
      <c r="H408" s="72" t="s">
        <v>30</v>
      </c>
      <c r="I408" s="73" t="s">
        <v>30</v>
      </c>
      <c r="J408" s="72" t="s">
        <v>30</v>
      </c>
      <c r="K408" s="72" t="s">
        <v>30</v>
      </c>
      <c r="L408" s="72" t="s">
        <v>30</v>
      </c>
      <c r="M408" s="72" t="s">
        <v>30</v>
      </c>
      <c r="N408" s="72" t="s">
        <v>30</v>
      </c>
      <c r="O408" s="73" t="s">
        <v>30</v>
      </c>
      <c r="P408" s="72" t="s">
        <v>30</v>
      </c>
      <c r="Q408" s="72" t="s">
        <v>30</v>
      </c>
      <c r="R408" s="72" t="s">
        <v>30</v>
      </c>
      <c r="S408" s="72" t="s">
        <v>30</v>
      </c>
      <c r="T408" s="72" t="s">
        <v>30</v>
      </c>
      <c r="W408" s="31"/>
    </row>
    <row r="409">
      <c r="B409" s="72" t="s">
        <v>30</v>
      </c>
      <c r="C409" s="72" t="s">
        <v>30</v>
      </c>
      <c r="D409" s="72" t="s">
        <v>30</v>
      </c>
      <c r="E409" s="72" t="s">
        <v>30</v>
      </c>
      <c r="F409" s="72" t="s">
        <v>30</v>
      </c>
      <c r="G409" s="72" t="s">
        <v>30</v>
      </c>
      <c r="H409" s="72" t="s">
        <v>30</v>
      </c>
      <c r="I409" s="73" t="s">
        <v>30</v>
      </c>
      <c r="J409" s="72" t="s">
        <v>30</v>
      </c>
      <c r="K409" s="72" t="s">
        <v>30</v>
      </c>
      <c r="L409" s="72" t="s">
        <v>30</v>
      </c>
      <c r="M409" s="72" t="s">
        <v>30</v>
      </c>
      <c r="N409" s="72" t="s">
        <v>30</v>
      </c>
      <c r="O409" s="73" t="s">
        <v>30</v>
      </c>
      <c r="P409" s="72" t="s">
        <v>30</v>
      </c>
      <c r="Q409" s="72" t="s">
        <v>30</v>
      </c>
      <c r="R409" s="72" t="s">
        <v>30</v>
      </c>
      <c r="S409" s="72" t="s">
        <v>30</v>
      </c>
      <c r="T409" s="72" t="s">
        <v>30</v>
      </c>
      <c r="W409" s="31"/>
    </row>
    <row r="410">
      <c r="B410" s="72" t="s">
        <v>30</v>
      </c>
      <c r="C410" s="72" t="s">
        <v>30</v>
      </c>
      <c r="D410" s="72" t="s">
        <v>30</v>
      </c>
      <c r="E410" s="72" t="s">
        <v>30</v>
      </c>
      <c r="F410" s="72" t="s">
        <v>30</v>
      </c>
      <c r="G410" s="72" t="s">
        <v>30</v>
      </c>
      <c r="H410" s="72" t="s">
        <v>30</v>
      </c>
      <c r="I410" s="73" t="s">
        <v>30</v>
      </c>
      <c r="J410" s="72" t="s">
        <v>30</v>
      </c>
      <c r="K410" s="72" t="s">
        <v>30</v>
      </c>
      <c r="L410" s="72" t="s">
        <v>30</v>
      </c>
      <c r="M410" s="72" t="s">
        <v>30</v>
      </c>
      <c r="N410" s="72" t="s">
        <v>30</v>
      </c>
      <c r="O410" s="73" t="s">
        <v>30</v>
      </c>
      <c r="P410" s="72" t="s">
        <v>30</v>
      </c>
      <c r="Q410" s="72" t="s">
        <v>30</v>
      </c>
      <c r="R410" s="72" t="s">
        <v>30</v>
      </c>
      <c r="S410" s="72" t="s">
        <v>30</v>
      </c>
      <c r="T410" s="72" t="s">
        <v>30</v>
      </c>
      <c r="W410" s="31"/>
    </row>
    <row r="411">
      <c r="B411" s="72" t="s">
        <v>30</v>
      </c>
      <c r="C411" s="72" t="s">
        <v>30</v>
      </c>
      <c r="D411" s="72" t="s">
        <v>30</v>
      </c>
      <c r="E411" s="72" t="s">
        <v>30</v>
      </c>
      <c r="F411" s="72" t="s">
        <v>30</v>
      </c>
      <c r="G411" s="72" t="s">
        <v>30</v>
      </c>
      <c r="H411" s="72" t="s">
        <v>30</v>
      </c>
      <c r="I411" s="73" t="s">
        <v>30</v>
      </c>
      <c r="J411" s="72" t="s">
        <v>30</v>
      </c>
      <c r="K411" s="72" t="s">
        <v>30</v>
      </c>
      <c r="L411" s="72" t="s">
        <v>30</v>
      </c>
      <c r="M411" s="72" t="s">
        <v>30</v>
      </c>
      <c r="N411" s="72" t="s">
        <v>30</v>
      </c>
      <c r="O411" s="73" t="s">
        <v>30</v>
      </c>
      <c r="P411" s="72" t="s">
        <v>30</v>
      </c>
      <c r="Q411" s="72" t="s">
        <v>30</v>
      </c>
      <c r="R411" s="72" t="s">
        <v>30</v>
      </c>
      <c r="S411" s="72" t="s">
        <v>30</v>
      </c>
      <c r="T411" s="72" t="s">
        <v>30</v>
      </c>
      <c r="W411" s="31"/>
    </row>
    <row r="412">
      <c r="B412" s="72" t="s">
        <v>30</v>
      </c>
      <c r="C412" s="72" t="s">
        <v>30</v>
      </c>
      <c r="D412" s="72" t="s">
        <v>30</v>
      </c>
      <c r="E412" s="72" t="s">
        <v>30</v>
      </c>
      <c r="F412" s="72" t="s">
        <v>30</v>
      </c>
      <c r="G412" s="72" t="s">
        <v>30</v>
      </c>
      <c r="H412" s="72" t="s">
        <v>30</v>
      </c>
      <c r="I412" s="73" t="s">
        <v>30</v>
      </c>
      <c r="J412" s="72" t="s">
        <v>30</v>
      </c>
      <c r="K412" s="72" t="s">
        <v>30</v>
      </c>
      <c r="L412" s="72" t="s">
        <v>30</v>
      </c>
      <c r="M412" s="72" t="s">
        <v>30</v>
      </c>
      <c r="N412" s="72" t="s">
        <v>30</v>
      </c>
      <c r="O412" s="73" t="s">
        <v>30</v>
      </c>
      <c r="P412" s="72" t="s">
        <v>30</v>
      </c>
      <c r="Q412" s="72" t="s">
        <v>30</v>
      </c>
      <c r="R412" s="72" t="s">
        <v>30</v>
      </c>
      <c r="S412" s="72" t="s">
        <v>30</v>
      </c>
      <c r="T412" s="72" t="s">
        <v>30</v>
      </c>
      <c r="W412" s="31"/>
    </row>
    <row r="413">
      <c r="B413" s="72" t="s">
        <v>30</v>
      </c>
      <c r="C413" s="72" t="s">
        <v>30</v>
      </c>
      <c r="D413" s="72" t="s">
        <v>30</v>
      </c>
      <c r="E413" s="72" t="s">
        <v>30</v>
      </c>
      <c r="F413" s="72" t="s">
        <v>30</v>
      </c>
      <c r="G413" s="72" t="s">
        <v>30</v>
      </c>
      <c r="H413" s="72" t="s">
        <v>30</v>
      </c>
      <c r="I413" s="73" t="s">
        <v>30</v>
      </c>
      <c r="J413" s="72" t="s">
        <v>30</v>
      </c>
      <c r="K413" s="72" t="s">
        <v>30</v>
      </c>
      <c r="L413" s="72" t="s">
        <v>30</v>
      </c>
      <c r="M413" s="72" t="s">
        <v>30</v>
      </c>
      <c r="N413" s="72" t="s">
        <v>30</v>
      </c>
      <c r="O413" s="73" t="s">
        <v>30</v>
      </c>
      <c r="P413" s="72" t="s">
        <v>30</v>
      </c>
      <c r="Q413" s="72" t="s">
        <v>30</v>
      </c>
      <c r="R413" s="72" t="s">
        <v>30</v>
      </c>
      <c r="S413" s="72" t="s">
        <v>30</v>
      </c>
      <c r="T413" s="72" t="s">
        <v>30</v>
      </c>
      <c r="W413" s="31"/>
    </row>
    <row r="414">
      <c r="B414" s="72" t="s">
        <v>30</v>
      </c>
      <c r="C414" s="72" t="s">
        <v>30</v>
      </c>
      <c r="D414" s="72" t="s">
        <v>30</v>
      </c>
      <c r="E414" s="72" t="s">
        <v>30</v>
      </c>
      <c r="F414" s="72" t="s">
        <v>30</v>
      </c>
      <c r="G414" s="72" t="s">
        <v>30</v>
      </c>
      <c r="H414" s="72" t="s">
        <v>30</v>
      </c>
      <c r="I414" s="73" t="s">
        <v>30</v>
      </c>
      <c r="J414" s="72" t="s">
        <v>30</v>
      </c>
      <c r="K414" s="72" t="s">
        <v>30</v>
      </c>
      <c r="L414" s="72" t="s">
        <v>30</v>
      </c>
      <c r="M414" s="72" t="s">
        <v>30</v>
      </c>
      <c r="N414" s="72" t="s">
        <v>30</v>
      </c>
      <c r="O414" s="73" t="s">
        <v>30</v>
      </c>
      <c r="P414" s="72" t="s">
        <v>30</v>
      </c>
      <c r="Q414" s="72" t="s">
        <v>30</v>
      </c>
      <c r="R414" s="72" t="s">
        <v>30</v>
      </c>
      <c r="S414" s="72" t="s">
        <v>30</v>
      </c>
      <c r="T414" s="72" t="s">
        <v>30</v>
      </c>
      <c r="W414" s="31"/>
    </row>
    <row r="415">
      <c r="B415" s="72" t="s">
        <v>30</v>
      </c>
      <c r="C415" s="72" t="s">
        <v>30</v>
      </c>
      <c r="D415" s="72" t="s">
        <v>30</v>
      </c>
      <c r="E415" s="72" t="s">
        <v>30</v>
      </c>
      <c r="F415" s="72" t="s">
        <v>30</v>
      </c>
      <c r="G415" s="72" t="s">
        <v>30</v>
      </c>
      <c r="H415" s="72" t="s">
        <v>30</v>
      </c>
      <c r="I415" s="73" t="s">
        <v>30</v>
      </c>
      <c r="J415" s="72" t="s">
        <v>30</v>
      </c>
      <c r="K415" s="72" t="s">
        <v>30</v>
      </c>
      <c r="L415" s="72" t="s">
        <v>30</v>
      </c>
      <c r="M415" s="72" t="s">
        <v>30</v>
      </c>
      <c r="N415" s="72" t="s">
        <v>30</v>
      </c>
      <c r="O415" s="73" t="s">
        <v>30</v>
      </c>
      <c r="P415" s="72" t="s">
        <v>30</v>
      </c>
      <c r="Q415" s="72" t="s">
        <v>30</v>
      </c>
      <c r="R415" s="72" t="s">
        <v>30</v>
      </c>
      <c r="S415" s="72" t="s">
        <v>30</v>
      </c>
      <c r="T415" s="72" t="s">
        <v>30</v>
      </c>
      <c r="W415" s="31"/>
    </row>
    <row r="416">
      <c r="B416" s="72" t="s">
        <v>30</v>
      </c>
      <c r="C416" s="72" t="s">
        <v>30</v>
      </c>
      <c r="D416" s="72" t="s">
        <v>30</v>
      </c>
      <c r="E416" s="72" t="s">
        <v>30</v>
      </c>
      <c r="F416" s="72" t="s">
        <v>30</v>
      </c>
      <c r="G416" s="72" t="s">
        <v>30</v>
      </c>
      <c r="H416" s="72" t="s">
        <v>30</v>
      </c>
      <c r="I416" s="73" t="s">
        <v>30</v>
      </c>
      <c r="J416" s="72" t="s">
        <v>30</v>
      </c>
      <c r="K416" s="72" t="s">
        <v>30</v>
      </c>
      <c r="L416" s="72" t="s">
        <v>30</v>
      </c>
      <c r="M416" s="72" t="s">
        <v>30</v>
      </c>
      <c r="N416" s="72" t="s">
        <v>30</v>
      </c>
      <c r="O416" s="73" t="s">
        <v>30</v>
      </c>
      <c r="P416" s="72" t="s">
        <v>30</v>
      </c>
      <c r="Q416" s="72" t="s">
        <v>30</v>
      </c>
      <c r="R416" s="72" t="s">
        <v>30</v>
      </c>
      <c r="S416" s="72" t="s">
        <v>30</v>
      </c>
      <c r="T416" s="72" t="s">
        <v>30</v>
      </c>
      <c r="W416" s="31"/>
    </row>
    <row r="417">
      <c r="B417" s="72" t="s">
        <v>30</v>
      </c>
      <c r="C417" s="72" t="s">
        <v>30</v>
      </c>
      <c r="D417" s="72" t="s">
        <v>30</v>
      </c>
      <c r="E417" s="72" t="s">
        <v>30</v>
      </c>
      <c r="F417" s="72" t="s">
        <v>30</v>
      </c>
      <c r="G417" s="72" t="s">
        <v>30</v>
      </c>
      <c r="H417" s="72" t="s">
        <v>30</v>
      </c>
      <c r="I417" s="73" t="s">
        <v>30</v>
      </c>
      <c r="J417" s="72" t="s">
        <v>30</v>
      </c>
      <c r="K417" s="72" t="s">
        <v>30</v>
      </c>
      <c r="L417" s="72" t="s">
        <v>30</v>
      </c>
      <c r="M417" s="72" t="s">
        <v>30</v>
      </c>
      <c r="N417" s="72" t="s">
        <v>30</v>
      </c>
      <c r="O417" s="73" t="s">
        <v>30</v>
      </c>
      <c r="P417" s="72" t="s">
        <v>30</v>
      </c>
      <c r="Q417" s="72" t="s">
        <v>30</v>
      </c>
      <c r="R417" s="72" t="s">
        <v>30</v>
      </c>
      <c r="S417" s="72" t="s">
        <v>30</v>
      </c>
      <c r="T417" s="72" t="s">
        <v>30</v>
      </c>
      <c r="W417" s="31"/>
    </row>
    <row r="418">
      <c r="B418" s="72" t="s">
        <v>30</v>
      </c>
      <c r="C418" s="72" t="s">
        <v>30</v>
      </c>
      <c r="D418" s="72" t="s">
        <v>30</v>
      </c>
      <c r="E418" s="72" t="s">
        <v>30</v>
      </c>
      <c r="F418" s="72" t="s">
        <v>30</v>
      </c>
      <c r="G418" s="72" t="s">
        <v>30</v>
      </c>
      <c r="H418" s="72" t="s">
        <v>30</v>
      </c>
      <c r="I418" s="73" t="s">
        <v>30</v>
      </c>
      <c r="J418" s="72" t="s">
        <v>30</v>
      </c>
      <c r="K418" s="72" t="s">
        <v>30</v>
      </c>
      <c r="L418" s="72" t="s">
        <v>30</v>
      </c>
      <c r="M418" s="72" t="s">
        <v>30</v>
      </c>
      <c r="N418" s="72" t="s">
        <v>30</v>
      </c>
      <c r="O418" s="73" t="s">
        <v>30</v>
      </c>
      <c r="P418" s="72" t="s">
        <v>30</v>
      </c>
      <c r="Q418" s="72" t="s">
        <v>30</v>
      </c>
      <c r="R418" s="72" t="s">
        <v>30</v>
      </c>
      <c r="S418" s="72" t="s">
        <v>30</v>
      </c>
      <c r="T418" s="72" t="s">
        <v>30</v>
      </c>
      <c r="W418" s="31"/>
    </row>
    <row r="419">
      <c r="B419" s="72" t="s">
        <v>30</v>
      </c>
      <c r="C419" s="72" t="s">
        <v>30</v>
      </c>
      <c r="D419" s="72" t="s">
        <v>30</v>
      </c>
      <c r="E419" s="72" t="s">
        <v>30</v>
      </c>
      <c r="F419" s="72" t="s">
        <v>30</v>
      </c>
      <c r="G419" s="72" t="s">
        <v>30</v>
      </c>
      <c r="H419" s="72" t="s">
        <v>30</v>
      </c>
      <c r="I419" s="73" t="s">
        <v>30</v>
      </c>
      <c r="J419" s="72" t="s">
        <v>30</v>
      </c>
      <c r="K419" s="72" t="s">
        <v>30</v>
      </c>
      <c r="L419" s="72" t="s">
        <v>30</v>
      </c>
      <c r="M419" s="72" t="s">
        <v>30</v>
      </c>
      <c r="N419" s="72" t="s">
        <v>30</v>
      </c>
      <c r="O419" s="73" t="s">
        <v>30</v>
      </c>
      <c r="P419" s="72" t="s">
        <v>30</v>
      </c>
      <c r="Q419" s="72" t="s">
        <v>30</v>
      </c>
      <c r="R419" s="72" t="s">
        <v>30</v>
      </c>
      <c r="S419" s="72" t="s">
        <v>30</v>
      </c>
      <c r="T419" s="72" t="s">
        <v>30</v>
      </c>
      <c r="W419" s="31"/>
    </row>
    <row r="420">
      <c r="B420" s="72" t="s">
        <v>30</v>
      </c>
      <c r="C420" s="72" t="s">
        <v>30</v>
      </c>
      <c r="D420" s="72" t="s">
        <v>30</v>
      </c>
      <c r="E420" s="72" t="s">
        <v>30</v>
      </c>
      <c r="F420" s="72" t="s">
        <v>30</v>
      </c>
      <c r="G420" s="72" t="s">
        <v>30</v>
      </c>
      <c r="H420" s="72" t="s">
        <v>30</v>
      </c>
      <c r="I420" s="73" t="s">
        <v>30</v>
      </c>
      <c r="J420" s="72" t="s">
        <v>30</v>
      </c>
      <c r="K420" s="72" t="s">
        <v>30</v>
      </c>
      <c r="L420" s="72" t="s">
        <v>30</v>
      </c>
      <c r="M420" s="72" t="s">
        <v>30</v>
      </c>
      <c r="N420" s="72" t="s">
        <v>30</v>
      </c>
      <c r="O420" s="73" t="s">
        <v>30</v>
      </c>
      <c r="P420" s="72" t="s">
        <v>30</v>
      </c>
      <c r="Q420" s="72" t="s">
        <v>30</v>
      </c>
      <c r="R420" s="72" t="s">
        <v>30</v>
      </c>
      <c r="S420" s="72" t="s">
        <v>30</v>
      </c>
      <c r="T420" s="72" t="s">
        <v>30</v>
      </c>
      <c r="W420" s="31"/>
    </row>
    <row r="421">
      <c r="B421" s="72" t="s">
        <v>30</v>
      </c>
      <c r="C421" s="72" t="s">
        <v>30</v>
      </c>
      <c r="D421" s="72" t="s">
        <v>30</v>
      </c>
      <c r="E421" s="72" t="s">
        <v>30</v>
      </c>
      <c r="F421" s="72" t="s">
        <v>30</v>
      </c>
      <c r="G421" s="72" t="s">
        <v>30</v>
      </c>
      <c r="H421" s="72" t="s">
        <v>30</v>
      </c>
      <c r="I421" s="73" t="s">
        <v>30</v>
      </c>
      <c r="J421" s="72" t="s">
        <v>30</v>
      </c>
      <c r="K421" s="72" t="s">
        <v>30</v>
      </c>
      <c r="L421" s="72" t="s">
        <v>30</v>
      </c>
      <c r="M421" s="72" t="s">
        <v>30</v>
      </c>
      <c r="N421" s="72" t="s">
        <v>30</v>
      </c>
      <c r="O421" s="73" t="s">
        <v>30</v>
      </c>
      <c r="P421" s="72" t="s">
        <v>30</v>
      </c>
      <c r="Q421" s="72" t="s">
        <v>30</v>
      </c>
      <c r="R421" s="72" t="s">
        <v>30</v>
      </c>
      <c r="S421" s="72" t="s">
        <v>30</v>
      </c>
      <c r="T421" s="72" t="s">
        <v>30</v>
      </c>
      <c r="W421" s="31"/>
    </row>
    <row r="422">
      <c r="B422" s="72" t="s">
        <v>30</v>
      </c>
      <c r="C422" s="72" t="s">
        <v>30</v>
      </c>
      <c r="D422" s="72" t="s">
        <v>30</v>
      </c>
      <c r="E422" s="72" t="s">
        <v>30</v>
      </c>
      <c r="F422" s="72" t="s">
        <v>30</v>
      </c>
      <c r="G422" s="72" t="s">
        <v>30</v>
      </c>
      <c r="H422" s="72" t="s">
        <v>30</v>
      </c>
      <c r="I422" s="73" t="s">
        <v>30</v>
      </c>
      <c r="J422" s="72" t="s">
        <v>30</v>
      </c>
      <c r="K422" s="72" t="s">
        <v>30</v>
      </c>
      <c r="L422" s="72" t="s">
        <v>30</v>
      </c>
      <c r="M422" s="72" t="s">
        <v>30</v>
      </c>
      <c r="N422" s="72" t="s">
        <v>30</v>
      </c>
      <c r="O422" s="73" t="s">
        <v>30</v>
      </c>
      <c r="P422" s="72" t="s">
        <v>30</v>
      </c>
      <c r="Q422" s="72" t="s">
        <v>30</v>
      </c>
      <c r="R422" s="72" t="s">
        <v>30</v>
      </c>
      <c r="S422" s="72" t="s">
        <v>30</v>
      </c>
      <c r="T422" s="72" t="s">
        <v>30</v>
      </c>
      <c r="W422" s="31"/>
    </row>
    <row r="423">
      <c r="B423" s="72" t="s">
        <v>30</v>
      </c>
      <c r="C423" s="72" t="s">
        <v>30</v>
      </c>
      <c r="D423" s="72" t="s">
        <v>30</v>
      </c>
      <c r="E423" s="72" t="s">
        <v>30</v>
      </c>
      <c r="F423" s="72" t="s">
        <v>30</v>
      </c>
      <c r="G423" s="72" t="s">
        <v>30</v>
      </c>
      <c r="H423" s="72" t="s">
        <v>30</v>
      </c>
      <c r="I423" s="73" t="s">
        <v>30</v>
      </c>
      <c r="J423" s="72" t="s">
        <v>30</v>
      </c>
      <c r="K423" s="72" t="s">
        <v>30</v>
      </c>
      <c r="L423" s="72" t="s">
        <v>30</v>
      </c>
      <c r="M423" s="72" t="s">
        <v>30</v>
      </c>
      <c r="N423" s="72" t="s">
        <v>30</v>
      </c>
      <c r="O423" s="73" t="s">
        <v>30</v>
      </c>
      <c r="P423" s="72" t="s">
        <v>30</v>
      </c>
      <c r="Q423" s="72" t="s">
        <v>30</v>
      </c>
      <c r="R423" s="72" t="s">
        <v>30</v>
      </c>
      <c r="S423" s="72" t="s">
        <v>30</v>
      </c>
      <c r="T423" s="72" t="s">
        <v>30</v>
      </c>
      <c r="W423" s="31"/>
    </row>
    <row r="424">
      <c r="B424" s="72" t="s">
        <v>30</v>
      </c>
      <c r="C424" s="72" t="s">
        <v>30</v>
      </c>
      <c r="D424" s="72" t="s">
        <v>30</v>
      </c>
      <c r="E424" s="72" t="s">
        <v>30</v>
      </c>
      <c r="F424" s="72" t="s">
        <v>30</v>
      </c>
      <c r="G424" s="72" t="s">
        <v>30</v>
      </c>
      <c r="H424" s="72" t="s">
        <v>30</v>
      </c>
      <c r="I424" s="73" t="s">
        <v>30</v>
      </c>
      <c r="J424" s="72" t="s">
        <v>30</v>
      </c>
      <c r="K424" s="72" t="s">
        <v>30</v>
      </c>
      <c r="L424" s="72" t="s">
        <v>30</v>
      </c>
      <c r="M424" s="72" t="s">
        <v>30</v>
      </c>
      <c r="N424" s="72" t="s">
        <v>30</v>
      </c>
      <c r="O424" s="73" t="s">
        <v>30</v>
      </c>
      <c r="P424" s="72" t="s">
        <v>30</v>
      </c>
      <c r="Q424" s="72" t="s">
        <v>30</v>
      </c>
      <c r="R424" s="72" t="s">
        <v>30</v>
      </c>
      <c r="S424" s="72" t="s">
        <v>30</v>
      </c>
      <c r="T424" s="72" t="s">
        <v>30</v>
      </c>
      <c r="W424" s="31"/>
    </row>
    <row r="425">
      <c r="B425" s="72" t="s">
        <v>30</v>
      </c>
      <c r="C425" s="72" t="s">
        <v>30</v>
      </c>
      <c r="D425" s="72" t="s">
        <v>30</v>
      </c>
      <c r="E425" s="72" t="s">
        <v>30</v>
      </c>
      <c r="F425" s="72" t="s">
        <v>30</v>
      </c>
      <c r="G425" s="72" t="s">
        <v>30</v>
      </c>
      <c r="H425" s="72" t="s">
        <v>30</v>
      </c>
      <c r="I425" s="73" t="s">
        <v>30</v>
      </c>
      <c r="J425" s="72" t="s">
        <v>30</v>
      </c>
      <c r="K425" s="72" t="s">
        <v>30</v>
      </c>
      <c r="L425" s="72" t="s">
        <v>30</v>
      </c>
      <c r="M425" s="72" t="s">
        <v>30</v>
      </c>
      <c r="N425" s="72" t="s">
        <v>30</v>
      </c>
      <c r="O425" s="73" t="s">
        <v>30</v>
      </c>
      <c r="P425" s="72" t="s">
        <v>30</v>
      </c>
      <c r="Q425" s="72" t="s">
        <v>30</v>
      </c>
      <c r="R425" s="72" t="s">
        <v>30</v>
      </c>
      <c r="S425" s="72" t="s">
        <v>30</v>
      </c>
      <c r="T425" s="72" t="s">
        <v>30</v>
      </c>
      <c r="W425" s="31"/>
    </row>
    <row r="426">
      <c r="B426" s="72" t="s">
        <v>30</v>
      </c>
      <c r="C426" s="72" t="s">
        <v>30</v>
      </c>
      <c r="D426" s="72" t="s">
        <v>30</v>
      </c>
      <c r="E426" s="72" t="s">
        <v>30</v>
      </c>
      <c r="F426" s="72" t="s">
        <v>30</v>
      </c>
      <c r="G426" s="72" t="s">
        <v>30</v>
      </c>
      <c r="H426" s="72" t="s">
        <v>30</v>
      </c>
      <c r="I426" s="73" t="s">
        <v>30</v>
      </c>
      <c r="J426" s="72" t="s">
        <v>30</v>
      </c>
      <c r="K426" s="72" t="s">
        <v>30</v>
      </c>
      <c r="L426" s="72" t="s">
        <v>30</v>
      </c>
      <c r="M426" s="72" t="s">
        <v>30</v>
      </c>
      <c r="N426" s="72" t="s">
        <v>30</v>
      </c>
      <c r="O426" s="73" t="s">
        <v>30</v>
      </c>
      <c r="P426" s="72" t="s">
        <v>30</v>
      </c>
      <c r="Q426" s="72" t="s">
        <v>30</v>
      </c>
      <c r="R426" s="72" t="s">
        <v>30</v>
      </c>
      <c r="S426" s="72" t="s">
        <v>30</v>
      </c>
      <c r="T426" s="72" t="s">
        <v>30</v>
      </c>
      <c r="W426" s="31"/>
    </row>
    <row r="427">
      <c r="B427" s="72" t="s">
        <v>30</v>
      </c>
      <c r="C427" s="72" t="s">
        <v>30</v>
      </c>
      <c r="D427" s="72" t="s">
        <v>30</v>
      </c>
      <c r="E427" s="72" t="s">
        <v>30</v>
      </c>
      <c r="F427" s="72" t="s">
        <v>30</v>
      </c>
      <c r="G427" s="72" t="s">
        <v>30</v>
      </c>
      <c r="H427" s="72" t="s">
        <v>30</v>
      </c>
      <c r="I427" s="73" t="s">
        <v>30</v>
      </c>
      <c r="J427" s="72" t="s">
        <v>30</v>
      </c>
      <c r="K427" s="72" t="s">
        <v>30</v>
      </c>
      <c r="L427" s="72" t="s">
        <v>30</v>
      </c>
      <c r="M427" s="72" t="s">
        <v>30</v>
      </c>
      <c r="N427" s="72" t="s">
        <v>30</v>
      </c>
      <c r="O427" s="73" t="s">
        <v>30</v>
      </c>
      <c r="P427" s="72" t="s">
        <v>30</v>
      </c>
      <c r="Q427" s="72" t="s">
        <v>30</v>
      </c>
      <c r="R427" s="72" t="s">
        <v>30</v>
      </c>
      <c r="S427" s="72" t="s">
        <v>30</v>
      </c>
      <c r="T427" s="72" t="s">
        <v>30</v>
      </c>
      <c r="W427" s="31"/>
    </row>
    <row r="428">
      <c r="B428" s="72" t="s">
        <v>30</v>
      </c>
      <c r="C428" s="72" t="s">
        <v>30</v>
      </c>
      <c r="D428" s="72" t="s">
        <v>30</v>
      </c>
      <c r="E428" s="72" t="s">
        <v>30</v>
      </c>
      <c r="F428" s="72" t="s">
        <v>30</v>
      </c>
      <c r="G428" s="72" t="s">
        <v>30</v>
      </c>
      <c r="H428" s="72" t="s">
        <v>30</v>
      </c>
      <c r="I428" s="73" t="s">
        <v>30</v>
      </c>
      <c r="J428" s="72" t="s">
        <v>30</v>
      </c>
      <c r="K428" s="72" t="s">
        <v>30</v>
      </c>
      <c r="L428" s="72" t="s">
        <v>30</v>
      </c>
      <c r="M428" s="72" t="s">
        <v>30</v>
      </c>
      <c r="N428" s="72" t="s">
        <v>30</v>
      </c>
      <c r="O428" s="73" t="s">
        <v>30</v>
      </c>
      <c r="P428" s="72" t="s">
        <v>30</v>
      </c>
      <c r="Q428" s="72" t="s">
        <v>30</v>
      </c>
      <c r="R428" s="72" t="s">
        <v>30</v>
      </c>
      <c r="S428" s="72" t="s">
        <v>30</v>
      </c>
      <c r="T428" s="72" t="s">
        <v>30</v>
      </c>
      <c r="W428" s="31"/>
    </row>
    <row r="429">
      <c r="B429" s="72" t="s">
        <v>30</v>
      </c>
      <c r="C429" s="72" t="s">
        <v>30</v>
      </c>
      <c r="D429" s="72" t="s">
        <v>30</v>
      </c>
      <c r="E429" s="72" t="s">
        <v>30</v>
      </c>
      <c r="F429" s="72" t="s">
        <v>30</v>
      </c>
      <c r="G429" s="72" t="s">
        <v>30</v>
      </c>
      <c r="H429" s="72" t="s">
        <v>30</v>
      </c>
      <c r="I429" s="73" t="s">
        <v>30</v>
      </c>
      <c r="J429" s="72" t="s">
        <v>30</v>
      </c>
      <c r="K429" s="72" t="s">
        <v>30</v>
      </c>
      <c r="L429" s="72" t="s">
        <v>30</v>
      </c>
      <c r="M429" s="72" t="s">
        <v>30</v>
      </c>
      <c r="N429" s="72" t="s">
        <v>30</v>
      </c>
      <c r="O429" s="73" t="s">
        <v>30</v>
      </c>
      <c r="P429" s="72" t="s">
        <v>30</v>
      </c>
      <c r="Q429" s="72" t="s">
        <v>30</v>
      </c>
      <c r="R429" s="72" t="s">
        <v>30</v>
      </c>
      <c r="S429" s="72" t="s">
        <v>30</v>
      </c>
      <c r="T429" s="72" t="s">
        <v>30</v>
      </c>
      <c r="W429" s="31"/>
    </row>
    <row r="430">
      <c r="B430" s="72" t="s">
        <v>30</v>
      </c>
      <c r="C430" s="72" t="s">
        <v>30</v>
      </c>
      <c r="D430" s="72" t="s">
        <v>30</v>
      </c>
      <c r="E430" s="72" t="s">
        <v>30</v>
      </c>
      <c r="F430" s="72" t="s">
        <v>30</v>
      </c>
      <c r="G430" s="72" t="s">
        <v>30</v>
      </c>
      <c r="H430" s="72" t="s">
        <v>30</v>
      </c>
      <c r="I430" s="73" t="s">
        <v>30</v>
      </c>
      <c r="J430" s="72" t="s">
        <v>30</v>
      </c>
      <c r="K430" s="72" t="s">
        <v>30</v>
      </c>
      <c r="L430" s="72" t="s">
        <v>30</v>
      </c>
      <c r="M430" s="72" t="s">
        <v>30</v>
      </c>
      <c r="N430" s="72" t="s">
        <v>30</v>
      </c>
      <c r="O430" s="73" t="s">
        <v>30</v>
      </c>
      <c r="P430" s="72" t="s">
        <v>30</v>
      </c>
      <c r="Q430" s="72" t="s">
        <v>30</v>
      </c>
      <c r="R430" s="72" t="s">
        <v>30</v>
      </c>
      <c r="S430" s="72" t="s">
        <v>30</v>
      </c>
      <c r="T430" s="72" t="s">
        <v>30</v>
      </c>
      <c r="W430" s="31"/>
    </row>
    <row r="431">
      <c r="B431" s="72" t="s">
        <v>30</v>
      </c>
      <c r="C431" s="72" t="s">
        <v>30</v>
      </c>
      <c r="D431" s="72" t="s">
        <v>30</v>
      </c>
      <c r="E431" s="72" t="s">
        <v>30</v>
      </c>
      <c r="F431" s="72" t="s">
        <v>30</v>
      </c>
      <c r="G431" s="72" t="s">
        <v>30</v>
      </c>
      <c r="H431" s="72" t="s">
        <v>30</v>
      </c>
      <c r="I431" s="73" t="s">
        <v>30</v>
      </c>
      <c r="J431" s="72" t="s">
        <v>30</v>
      </c>
      <c r="K431" s="72" t="s">
        <v>30</v>
      </c>
      <c r="L431" s="72" t="s">
        <v>30</v>
      </c>
      <c r="M431" s="72" t="s">
        <v>30</v>
      </c>
      <c r="N431" s="72" t="s">
        <v>30</v>
      </c>
      <c r="O431" s="73" t="s">
        <v>30</v>
      </c>
      <c r="P431" s="72" t="s">
        <v>30</v>
      </c>
      <c r="Q431" s="72" t="s">
        <v>30</v>
      </c>
      <c r="R431" s="72" t="s">
        <v>30</v>
      </c>
      <c r="S431" s="72" t="s">
        <v>30</v>
      </c>
      <c r="T431" s="72" t="s">
        <v>30</v>
      </c>
      <c r="W431" s="31"/>
    </row>
    <row r="432">
      <c r="B432" s="72" t="s">
        <v>30</v>
      </c>
      <c r="C432" s="72" t="s">
        <v>30</v>
      </c>
      <c r="D432" s="72" t="s">
        <v>30</v>
      </c>
      <c r="E432" s="72" t="s">
        <v>30</v>
      </c>
      <c r="F432" s="72" t="s">
        <v>30</v>
      </c>
      <c r="G432" s="72" t="s">
        <v>30</v>
      </c>
      <c r="H432" s="72" t="s">
        <v>30</v>
      </c>
      <c r="I432" s="73" t="s">
        <v>30</v>
      </c>
      <c r="J432" s="72" t="s">
        <v>30</v>
      </c>
      <c r="K432" s="72" t="s">
        <v>30</v>
      </c>
      <c r="L432" s="72" t="s">
        <v>30</v>
      </c>
      <c r="M432" s="72" t="s">
        <v>30</v>
      </c>
      <c r="N432" s="72" t="s">
        <v>30</v>
      </c>
      <c r="O432" s="73" t="s">
        <v>30</v>
      </c>
      <c r="P432" s="72" t="s">
        <v>30</v>
      </c>
      <c r="Q432" s="72" t="s">
        <v>30</v>
      </c>
      <c r="R432" s="72" t="s">
        <v>30</v>
      </c>
      <c r="S432" s="72" t="s">
        <v>30</v>
      </c>
      <c r="T432" s="72" t="s">
        <v>30</v>
      </c>
      <c r="W432" s="31"/>
    </row>
    <row r="433">
      <c r="B433" s="72" t="s">
        <v>30</v>
      </c>
      <c r="C433" s="72" t="s">
        <v>30</v>
      </c>
      <c r="D433" s="72" t="s">
        <v>30</v>
      </c>
      <c r="E433" s="72" t="s">
        <v>30</v>
      </c>
      <c r="F433" s="72" t="s">
        <v>30</v>
      </c>
      <c r="G433" s="72" t="s">
        <v>30</v>
      </c>
      <c r="H433" s="72" t="s">
        <v>30</v>
      </c>
      <c r="I433" s="73" t="s">
        <v>30</v>
      </c>
      <c r="J433" s="72" t="s">
        <v>30</v>
      </c>
      <c r="K433" s="72" t="s">
        <v>30</v>
      </c>
      <c r="L433" s="72" t="s">
        <v>30</v>
      </c>
      <c r="M433" s="72" t="s">
        <v>30</v>
      </c>
      <c r="N433" s="72" t="s">
        <v>30</v>
      </c>
      <c r="O433" s="73" t="s">
        <v>30</v>
      </c>
      <c r="P433" s="72" t="s">
        <v>30</v>
      </c>
      <c r="Q433" s="72" t="s">
        <v>30</v>
      </c>
      <c r="R433" s="72" t="s">
        <v>30</v>
      </c>
      <c r="S433" s="72" t="s">
        <v>30</v>
      </c>
      <c r="T433" s="72" t="s">
        <v>30</v>
      </c>
      <c r="W433" s="31"/>
    </row>
    <row r="434">
      <c r="B434" s="72" t="s">
        <v>30</v>
      </c>
      <c r="C434" s="72" t="s">
        <v>30</v>
      </c>
      <c r="D434" s="72" t="s">
        <v>30</v>
      </c>
      <c r="E434" s="72" t="s">
        <v>30</v>
      </c>
      <c r="F434" s="72" t="s">
        <v>30</v>
      </c>
      <c r="G434" s="72" t="s">
        <v>30</v>
      </c>
      <c r="H434" s="72" t="s">
        <v>30</v>
      </c>
      <c r="I434" s="73" t="s">
        <v>30</v>
      </c>
      <c r="J434" s="72" t="s">
        <v>30</v>
      </c>
      <c r="K434" s="72" t="s">
        <v>30</v>
      </c>
      <c r="L434" s="72" t="s">
        <v>30</v>
      </c>
      <c r="M434" s="72" t="s">
        <v>30</v>
      </c>
      <c r="N434" s="72" t="s">
        <v>30</v>
      </c>
      <c r="O434" s="73" t="s">
        <v>30</v>
      </c>
      <c r="P434" s="72" t="s">
        <v>30</v>
      </c>
      <c r="Q434" s="72" t="s">
        <v>30</v>
      </c>
      <c r="R434" s="72" t="s">
        <v>30</v>
      </c>
      <c r="S434" s="72" t="s">
        <v>30</v>
      </c>
      <c r="T434" s="72" t="s">
        <v>30</v>
      </c>
      <c r="W434" s="31"/>
    </row>
    <row r="435">
      <c r="B435" s="72" t="s">
        <v>30</v>
      </c>
      <c r="C435" s="72" t="s">
        <v>30</v>
      </c>
      <c r="D435" s="72" t="s">
        <v>30</v>
      </c>
      <c r="E435" s="72" t="s">
        <v>30</v>
      </c>
      <c r="F435" s="72" t="s">
        <v>30</v>
      </c>
      <c r="G435" s="72" t="s">
        <v>30</v>
      </c>
      <c r="H435" s="72" t="s">
        <v>30</v>
      </c>
      <c r="I435" s="73" t="s">
        <v>30</v>
      </c>
      <c r="J435" s="72" t="s">
        <v>30</v>
      </c>
      <c r="K435" s="72" t="s">
        <v>30</v>
      </c>
      <c r="L435" s="72" t="s">
        <v>30</v>
      </c>
      <c r="M435" s="72" t="s">
        <v>30</v>
      </c>
      <c r="N435" s="72" t="s">
        <v>30</v>
      </c>
      <c r="O435" s="73" t="s">
        <v>30</v>
      </c>
      <c r="P435" s="72" t="s">
        <v>30</v>
      </c>
      <c r="Q435" s="72" t="s">
        <v>30</v>
      </c>
      <c r="R435" s="72" t="s">
        <v>30</v>
      </c>
      <c r="S435" s="72" t="s">
        <v>30</v>
      </c>
      <c r="T435" s="72" t="s">
        <v>30</v>
      </c>
      <c r="W435" s="31"/>
    </row>
    <row r="436">
      <c r="B436" s="72" t="s">
        <v>30</v>
      </c>
      <c r="C436" s="72" t="s">
        <v>30</v>
      </c>
      <c r="D436" s="72" t="s">
        <v>30</v>
      </c>
      <c r="E436" s="72" t="s">
        <v>30</v>
      </c>
      <c r="F436" s="72" t="s">
        <v>30</v>
      </c>
      <c r="G436" s="72" t="s">
        <v>30</v>
      </c>
      <c r="H436" s="72" t="s">
        <v>30</v>
      </c>
      <c r="I436" s="73" t="s">
        <v>30</v>
      </c>
      <c r="J436" s="72" t="s">
        <v>30</v>
      </c>
      <c r="K436" s="72" t="s">
        <v>30</v>
      </c>
      <c r="L436" s="72" t="s">
        <v>30</v>
      </c>
      <c r="M436" s="72" t="s">
        <v>30</v>
      </c>
      <c r="N436" s="72" t="s">
        <v>30</v>
      </c>
      <c r="O436" s="73" t="s">
        <v>30</v>
      </c>
      <c r="P436" s="72" t="s">
        <v>30</v>
      </c>
      <c r="Q436" s="72" t="s">
        <v>30</v>
      </c>
      <c r="R436" s="72" t="s">
        <v>30</v>
      </c>
      <c r="S436" s="72" t="s">
        <v>30</v>
      </c>
      <c r="T436" s="72" t="s">
        <v>30</v>
      </c>
      <c r="W436" s="31"/>
    </row>
    <row r="437">
      <c r="B437" s="72" t="s">
        <v>30</v>
      </c>
      <c r="C437" s="72" t="s">
        <v>30</v>
      </c>
      <c r="D437" s="72" t="s">
        <v>30</v>
      </c>
      <c r="E437" s="72" t="s">
        <v>30</v>
      </c>
      <c r="F437" s="72" t="s">
        <v>30</v>
      </c>
      <c r="G437" s="72" t="s">
        <v>30</v>
      </c>
      <c r="H437" s="72" t="s">
        <v>30</v>
      </c>
      <c r="I437" s="73" t="s">
        <v>30</v>
      </c>
      <c r="J437" s="72" t="s">
        <v>30</v>
      </c>
      <c r="K437" s="72" t="s">
        <v>30</v>
      </c>
      <c r="L437" s="72" t="s">
        <v>30</v>
      </c>
      <c r="M437" s="72" t="s">
        <v>30</v>
      </c>
      <c r="N437" s="72" t="s">
        <v>30</v>
      </c>
      <c r="O437" s="73" t="s">
        <v>30</v>
      </c>
      <c r="P437" s="72" t="s">
        <v>30</v>
      </c>
      <c r="Q437" s="72" t="s">
        <v>30</v>
      </c>
      <c r="R437" s="72" t="s">
        <v>30</v>
      </c>
      <c r="S437" s="72" t="s">
        <v>30</v>
      </c>
      <c r="T437" s="72" t="s">
        <v>30</v>
      </c>
      <c r="W437" s="31"/>
    </row>
    <row r="438">
      <c r="B438" s="72" t="s">
        <v>30</v>
      </c>
      <c r="C438" s="72" t="s">
        <v>30</v>
      </c>
      <c r="D438" s="72" t="s">
        <v>30</v>
      </c>
      <c r="E438" s="72" t="s">
        <v>30</v>
      </c>
      <c r="F438" s="72" t="s">
        <v>30</v>
      </c>
      <c r="G438" s="72" t="s">
        <v>30</v>
      </c>
      <c r="H438" s="72" t="s">
        <v>30</v>
      </c>
      <c r="I438" s="73" t="s">
        <v>30</v>
      </c>
      <c r="J438" s="72" t="s">
        <v>30</v>
      </c>
      <c r="K438" s="72" t="s">
        <v>30</v>
      </c>
      <c r="L438" s="72" t="s">
        <v>30</v>
      </c>
      <c r="M438" s="72" t="s">
        <v>30</v>
      </c>
      <c r="N438" s="72" t="s">
        <v>30</v>
      </c>
      <c r="O438" s="73" t="s">
        <v>30</v>
      </c>
      <c r="P438" s="72" t="s">
        <v>30</v>
      </c>
      <c r="Q438" s="72" t="s">
        <v>30</v>
      </c>
      <c r="R438" s="72" t="s">
        <v>30</v>
      </c>
      <c r="S438" s="72" t="s">
        <v>30</v>
      </c>
      <c r="T438" s="72" t="s">
        <v>30</v>
      </c>
      <c r="W438" s="31"/>
    </row>
    <row r="439">
      <c r="B439" s="72" t="s">
        <v>30</v>
      </c>
      <c r="C439" s="72" t="s">
        <v>30</v>
      </c>
      <c r="D439" s="72" t="s">
        <v>30</v>
      </c>
      <c r="E439" s="72" t="s">
        <v>30</v>
      </c>
      <c r="F439" s="72" t="s">
        <v>30</v>
      </c>
      <c r="G439" s="72" t="s">
        <v>30</v>
      </c>
      <c r="H439" s="72" t="s">
        <v>30</v>
      </c>
      <c r="I439" s="73" t="s">
        <v>30</v>
      </c>
      <c r="J439" s="72" t="s">
        <v>30</v>
      </c>
      <c r="K439" s="72" t="s">
        <v>30</v>
      </c>
      <c r="L439" s="72" t="s">
        <v>30</v>
      </c>
      <c r="M439" s="72" t="s">
        <v>30</v>
      </c>
      <c r="N439" s="72" t="s">
        <v>30</v>
      </c>
      <c r="O439" s="73" t="s">
        <v>30</v>
      </c>
      <c r="P439" s="72" t="s">
        <v>30</v>
      </c>
      <c r="Q439" s="72" t="s">
        <v>30</v>
      </c>
      <c r="R439" s="72" t="s">
        <v>30</v>
      </c>
      <c r="S439" s="72" t="s">
        <v>30</v>
      </c>
      <c r="T439" s="72" t="s">
        <v>30</v>
      </c>
      <c r="W439" s="31"/>
    </row>
    <row r="440">
      <c r="B440" s="72" t="s">
        <v>30</v>
      </c>
      <c r="C440" s="72" t="s">
        <v>30</v>
      </c>
      <c r="D440" s="72" t="s">
        <v>30</v>
      </c>
      <c r="E440" s="72" t="s">
        <v>30</v>
      </c>
      <c r="F440" s="72" t="s">
        <v>30</v>
      </c>
      <c r="G440" s="72" t="s">
        <v>30</v>
      </c>
      <c r="H440" s="72" t="s">
        <v>30</v>
      </c>
      <c r="I440" s="73" t="s">
        <v>30</v>
      </c>
      <c r="J440" s="72" t="s">
        <v>30</v>
      </c>
      <c r="K440" s="72" t="s">
        <v>30</v>
      </c>
      <c r="L440" s="72" t="s">
        <v>30</v>
      </c>
      <c r="M440" s="72" t="s">
        <v>30</v>
      </c>
      <c r="N440" s="72" t="s">
        <v>30</v>
      </c>
      <c r="O440" s="73" t="s">
        <v>30</v>
      </c>
      <c r="P440" s="72" t="s">
        <v>30</v>
      </c>
      <c r="Q440" s="72" t="s">
        <v>30</v>
      </c>
      <c r="R440" s="72" t="s">
        <v>30</v>
      </c>
      <c r="S440" s="72" t="s">
        <v>30</v>
      </c>
      <c r="T440" s="72" t="s">
        <v>30</v>
      </c>
      <c r="W440" s="31"/>
    </row>
    <row r="441">
      <c r="B441" s="72" t="s">
        <v>30</v>
      </c>
      <c r="C441" s="72" t="s">
        <v>30</v>
      </c>
      <c r="D441" s="72" t="s">
        <v>30</v>
      </c>
      <c r="E441" s="72" t="s">
        <v>30</v>
      </c>
      <c r="F441" s="72" t="s">
        <v>30</v>
      </c>
      <c r="G441" s="72" t="s">
        <v>30</v>
      </c>
      <c r="H441" s="72" t="s">
        <v>30</v>
      </c>
      <c r="I441" s="73" t="s">
        <v>30</v>
      </c>
      <c r="J441" s="72" t="s">
        <v>30</v>
      </c>
      <c r="K441" s="72" t="s">
        <v>30</v>
      </c>
      <c r="L441" s="72" t="s">
        <v>30</v>
      </c>
      <c r="M441" s="72" t="s">
        <v>30</v>
      </c>
      <c r="N441" s="72" t="s">
        <v>30</v>
      </c>
      <c r="O441" s="73" t="s">
        <v>30</v>
      </c>
      <c r="P441" s="72" t="s">
        <v>30</v>
      </c>
      <c r="Q441" s="72" t="s">
        <v>30</v>
      </c>
      <c r="R441" s="72" t="s">
        <v>30</v>
      </c>
      <c r="S441" s="72" t="s">
        <v>30</v>
      </c>
      <c r="T441" s="72" t="s">
        <v>30</v>
      </c>
      <c r="W441" s="31"/>
    </row>
    <row r="442">
      <c r="B442" s="72" t="s">
        <v>30</v>
      </c>
      <c r="C442" s="72" t="s">
        <v>30</v>
      </c>
      <c r="D442" s="72" t="s">
        <v>30</v>
      </c>
      <c r="E442" s="72" t="s">
        <v>30</v>
      </c>
      <c r="F442" s="72" t="s">
        <v>30</v>
      </c>
      <c r="G442" s="72" t="s">
        <v>30</v>
      </c>
      <c r="H442" s="72" t="s">
        <v>30</v>
      </c>
      <c r="I442" s="73" t="s">
        <v>30</v>
      </c>
      <c r="J442" s="72" t="s">
        <v>30</v>
      </c>
      <c r="K442" s="72" t="s">
        <v>30</v>
      </c>
      <c r="L442" s="72" t="s">
        <v>30</v>
      </c>
      <c r="M442" s="72" t="s">
        <v>30</v>
      </c>
      <c r="N442" s="72" t="s">
        <v>30</v>
      </c>
      <c r="O442" s="73" t="s">
        <v>30</v>
      </c>
      <c r="P442" s="72" t="s">
        <v>30</v>
      </c>
      <c r="Q442" s="72" t="s">
        <v>30</v>
      </c>
      <c r="R442" s="72" t="s">
        <v>30</v>
      </c>
      <c r="S442" s="72" t="s">
        <v>30</v>
      </c>
      <c r="T442" s="72" t="s">
        <v>30</v>
      </c>
      <c r="W442" s="31"/>
    </row>
    <row r="443">
      <c r="B443" s="72" t="s">
        <v>30</v>
      </c>
      <c r="C443" s="72" t="s">
        <v>30</v>
      </c>
      <c r="D443" s="72" t="s">
        <v>30</v>
      </c>
      <c r="E443" s="72" t="s">
        <v>30</v>
      </c>
      <c r="F443" s="72" t="s">
        <v>30</v>
      </c>
      <c r="G443" s="72" t="s">
        <v>30</v>
      </c>
      <c r="H443" s="72" t="s">
        <v>30</v>
      </c>
      <c r="I443" s="73" t="s">
        <v>30</v>
      </c>
      <c r="J443" s="72" t="s">
        <v>30</v>
      </c>
      <c r="K443" s="72" t="s">
        <v>30</v>
      </c>
      <c r="L443" s="72" t="s">
        <v>30</v>
      </c>
      <c r="M443" s="72" t="s">
        <v>30</v>
      </c>
      <c r="N443" s="72" t="s">
        <v>30</v>
      </c>
      <c r="O443" s="73" t="s">
        <v>30</v>
      </c>
      <c r="P443" s="72" t="s">
        <v>30</v>
      </c>
      <c r="Q443" s="72" t="s">
        <v>30</v>
      </c>
      <c r="R443" s="72" t="s">
        <v>30</v>
      </c>
      <c r="S443" s="72" t="s">
        <v>30</v>
      </c>
      <c r="T443" s="72" t="s">
        <v>30</v>
      </c>
      <c r="W443" s="31"/>
    </row>
    <row r="444">
      <c r="B444" s="72" t="s">
        <v>30</v>
      </c>
      <c r="C444" s="72" t="s">
        <v>30</v>
      </c>
      <c r="D444" s="72" t="s">
        <v>30</v>
      </c>
      <c r="E444" s="72" t="s">
        <v>30</v>
      </c>
      <c r="F444" s="72" t="s">
        <v>30</v>
      </c>
      <c r="G444" s="72" t="s">
        <v>30</v>
      </c>
      <c r="H444" s="72" t="s">
        <v>30</v>
      </c>
      <c r="I444" s="73" t="s">
        <v>30</v>
      </c>
      <c r="J444" s="72" t="s">
        <v>30</v>
      </c>
      <c r="K444" s="72" t="s">
        <v>30</v>
      </c>
      <c r="L444" s="72" t="s">
        <v>30</v>
      </c>
      <c r="M444" s="72" t="s">
        <v>30</v>
      </c>
      <c r="N444" s="72" t="s">
        <v>30</v>
      </c>
      <c r="O444" s="73" t="s">
        <v>30</v>
      </c>
      <c r="P444" s="72" t="s">
        <v>30</v>
      </c>
      <c r="Q444" s="72" t="s">
        <v>30</v>
      </c>
      <c r="R444" s="72" t="s">
        <v>30</v>
      </c>
      <c r="S444" s="72" t="s">
        <v>30</v>
      </c>
      <c r="T444" s="72" t="s">
        <v>30</v>
      </c>
      <c r="W444" s="31"/>
    </row>
    <row r="445">
      <c r="B445" s="72" t="s">
        <v>30</v>
      </c>
      <c r="C445" s="72" t="s">
        <v>30</v>
      </c>
      <c r="D445" s="72" t="s">
        <v>30</v>
      </c>
      <c r="E445" s="72" t="s">
        <v>30</v>
      </c>
      <c r="F445" s="72" t="s">
        <v>30</v>
      </c>
      <c r="G445" s="72" t="s">
        <v>30</v>
      </c>
      <c r="H445" s="72" t="s">
        <v>30</v>
      </c>
      <c r="I445" s="73" t="s">
        <v>30</v>
      </c>
      <c r="J445" s="72" t="s">
        <v>30</v>
      </c>
      <c r="K445" s="72" t="s">
        <v>30</v>
      </c>
      <c r="L445" s="72" t="s">
        <v>30</v>
      </c>
      <c r="M445" s="72" t="s">
        <v>30</v>
      </c>
      <c r="N445" s="72" t="s">
        <v>30</v>
      </c>
      <c r="O445" s="73" t="s">
        <v>30</v>
      </c>
      <c r="P445" s="72" t="s">
        <v>30</v>
      </c>
      <c r="Q445" s="72" t="s">
        <v>30</v>
      </c>
      <c r="R445" s="72" t="s">
        <v>30</v>
      </c>
      <c r="S445" s="72" t="s">
        <v>30</v>
      </c>
      <c r="T445" s="72" t="s">
        <v>30</v>
      </c>
      <c r="W445" s="31"/>
    </row>
    <row r="446">
      <c r="B446" s="72" t="s">
        <v>30</v>
      </c>
      <c r="C446" s="72" t="s">
        <v>30</v>
      </c>
      <c r="D446" s="72" t="s">
        <v>30</v>
      </c>
      <c r="E446" s="72" t="s">
        <v>30</v>
      </c>
      <c r="F446" s="72" t="s">
        <v>30</v>
      </c>
      <c r="G446" s="72" t="s">
        <v>30</v>
      </c>
      <c r="H446" s="72" t="s">
        <v>30</v>
      </c>
      <c r="I446" s="73" t="s">
        <v>30</v>
      </c>
      <c r="J446" s="72" t="s">
        <v>30</v>
      </c>
      <c r="K446" s="72" t="s">
        <v>30</v>
      </c>
      <c r="L446" s="72" t="s">
        <v>30</v>
      </c>
      <c r="M446" s="72" t="s">
        <v>30</v>
      </c>
      <c r="N446" s="72" t="s">
        <v>30</v>
      </c>
      <c r="O446" s="73" t="s">
        <v>30</v>
      </c>
      <c r="P446" s="72" t="s">
        <v>30</v>
      </c>
      <c r="Q446" s="72" t="s">
        <v>30</v>
      </c>
      <c r="R446" s="72" t="s">
        <v>30</v>
      </c>
      <c r="S446" s="72" t="s">
        <v>30</v>
      </c>
      <c r="T446" s="72" t="s">
        <v>30</v>
      </c>
      <c r="W446" s="31"/>
    </row>
    <row r="447">
      <c r="B447" s="72" t="s">
        <v>30</v>
      </c>
      <c r="C447" s="72" t="s">
        <v>30</v>
      </c>
      <c r="D447" s="72" t="s">
        <v>30</v>
      </c>
      <c r="E447" s="72" t="s">
        <v>30</v>
      </c>
      <c r="F447" s="72" t="s">
        <v>30</v>
      </c>
      <c r="G447" s="72" t="s">
        <v>30</v>
      </c>
      <c r="H447" s="72" t="s">
        <v>30</v>
      </c>
      <c r="I447" s="73" t="s">
        <v>30</v>
      </c>
      <c r="J447" s="72" t="s">
        <v>30</v>
      </c>
      <c r="K447" s="72" t="s">
        <v>30</v>
      </c>
      <c r="L447" s="72" t="s">
        <v>30</v>
      </c>
      <c r="M447" s="72" t="s">
        <v>30</v>
      </c>
      <c r="N447" s="72" t="s">
        <v>30</v>
      </c>
      <c r="O447" s="73" t="s">
        <v>30</v>
      </c>
      <c r="P447" s="72" t="s">
        <v>30</v>
      </c>
      <c r="Q447" s="72" t="s">
        <v>30</v>
      </c>
      <c r="R447" s="72" t="s">
        <v>30</v>
      </c>
      <c r="S447" s="72" t="s">
        <v>30</v>
      </c>
      <c r="T447" s="72" t="s">
        <v>30</v>
      </c>
      <c r="W447" s="31"/>
    </row>
    <row r="448">
      <c r="B448" s="72" t="s">
        <v>30</v>
      </c>
      <c r="C448" s="72" t="s">
        <v>30</v>
      </c>
      <c r="D448" s="72" t="s">
        <v>30</v>
      </c>
      <c r="E448" s="72" t="s">
        <v>30</v>
      </c>
      <c r="F448" s="72" t="s">
        <v>30</v>
      </c>
      <c r="G448" s="72" t="s">
        <v>30</v>
      </c>
      <c r="H448" s="72" t="s">
        <v>30</v>
      </c>
      <c r="I448" s="73" t="s">
        <v>30</v>
      </c>
      <c r="J448" s="72" t="s">
        <v>30</v>
      </c>
      <c r="K448" s="72" t="s">
        <v>30</v>
      </c>
      <c r="L448" s="72" t="s">
        <v>30</v>
      </c>
      <c r="M448" s="72" t="s">
        <v>30</v>
      </c>
      <c r="N448" s="72" t="s">
        <v>30</v>
      </c>
      <c r="O448" s="73" t="s">
        <v>30</v>
      </c>
      <c r="P448" s="72" t="s">
        <v>30</v>
      </c>
      <c r="Q448" s="72" t="s">
        <v>30</v>
      </c>
      <c r="R448" s="72" t="s">
        <v>30</v>
      </c>
      <c r="S448" s="72" t="s">
        <v>30</v>
      </c>
      <c r="T448" s="72" t="s">
        <v>30</v>
      </c>
      <c r="W448" s="31"/>
    </row>
    <row r="449">
      <c r="B449" s="72" t="s">
        <v>30</v>
      </c>
      <c r="C449" s="72" t="s">
        <v>30</v>
      </c>
      <c r="D449" s="72" t="s">
        <v>30</v>
      </c>
      <c r="E449" s="72" t="s">
        <v>30</v>
      </c>
      <c r="F449" s="72" t="s">
        <v>30</v>
      </c>
      <c r="G449" s="72" t="s">
        <v>30</v>
      </c>
      <c r="H449" s="72" t="s">
        <v>30</v>
      </c>
      <c r="I449" s="73" t="s">
        <v>30</v>
      </c>
      <c r="J449" s="72" t="s">
        <v>30</v>
      </c>
      <c r="K449" s="72" t="s">
        <v>30</v>
      </c>
      <c r="L449" s="72" t="s">
        <v>30</v>
      </c>
      <c r="M449" s="72" t="s">
        <v>30</v>
      </c>
      <c r="N449" s="72" t="s">
        <v>30</v>
      </c>
      <c r="O449" s="73" t="s">
        <v>30</v>
      </c>
      <c r="P449" s="72" t="s">
        <v>30</v>
      </c>
      <c r="Q449" s="72" t="s">
        <v>30</v>
      </c>
      <c r="R449" s="72" t="s">
        <v>30</v>
      </c>
      <c r="S449" s="72" t="s">
        <v>30</v>
      </c>
      <c r="T449" s="72" t="s">
        <v>30</v>
      </c>
      <c r="W449" s="31"/>
    </row>
    <row r="450">
      <c r="B450" s="72" t="s">
        <v>30</v>
      </c>
      <c r="C450" s="72" t="s">
        <v>30</v>
      </c>
      <c r="D450" s="72" t="s">
        <v>30</v>
      </c>
      <c r="E450" s="72" t="s">
        <v>30</v>
      </c>
      <c r="F450" s="72" t="s">
        <v>30</v>
      </c>
      <c r="G450" s="72" t="s">
        <v>30</v>
      </c>
      <c r="H450" s="72" t="s">
        <v>30</v>
      </c>
      <c r="I450" s="73" t="s">
        <v>30</v>
      </c>
      <c r="J450" s="72" t="s">
        <v>30</v>
      </c>
      <c r="K450" s="72" t="s">
        <v>30</v>
      </c>
      <c r="L450" s="72" t="s">
        <v>30</v>
      </c>
      <c r="M450" s="72" t="s">
        <v>30</v>
      </c>
      <c r="N450" s="72" t="s">
        <v>30</v>
      </c>
      <c r="O450" s="73" t="s">
        <v>30</v>
      </c>
      <c r="P450" s="72" t="s">
        <v>30</v>
      </c>
      <c r="Q450" s="72" t="s">
        <v>30</v>
      </c>
      <c r="R450" s="72" t="s">
        <v>30</v>
      </c>
      <c r="S450" s="72" t="s">
        <v>30</v>
      </c>
      <c r="T450" s="72" t="s">
        <v>30</v>
      </c>
      <c r="W450" s="31"/>
    </row>
    <row r="451">
      <c r="B451" s="72" t="s">
        <v>30</v>
      </c>
      <c r="C451" s="72" t="s">
        <v>30</v>
      </c>
      <c r="D451" s="72" t="s">
        <v>30</v>
      </c>
      <c r="E451" s="72" t="s">
        <v>30</v>
      </c>
      <c r="F451" s="72" t="s">
        <v>30</v>
      </c>
      <c r="G451" s="72" t="s">
        <v>30</v>
      </c>
      <c r="H451" s="72" t="s">
        <v>30</v>
      </c>
      <c r="I451" s="73" t="s">
        <v>30</v>
      </c>
      <c r="J451" s="72" t="s">
        <v>30</v>
      </c>
      <c r="K451" s="72" t="s">
        <v>30</v>
      </c>
      <c r="L451" s="72" t="s">
        <v>30</v>
      </c>
      <c r="M451" s="72" t="s">
        <v>30</v>
      </c>
      <c r="N451" s="72" t="s">
        <v>30</v>
      </c>
      <c r="O451" s="73" t="s">
        <v>30</v>
      </c>
      <c r="P451" s="72" t="s">
        <v>30</v>
      </c>
      <c r="Q451" s="72" t="s">
        <v>30</v>
      </c>
      <c r="R451" s="72" t="s">
        <v>30</v>
      </c>
      <c r="S451" s="72" t="s">
        <v>30</v>
      </c>
      <c r="T451" s="72" t="s">
        <v>30</v>
      </c>
      <c r="W451" s="31"/>
    </row>
    <row r="452">
      <c r="B452" s="72" t="s">
        <v>30</v>
      </c>
      <c r="C452" s="72" t="s">
        <v>30</v>
      </c>
      <c r="D452" s="72" t="s">
        <v>30</v>
      </c>
      <c r="E452" s="72" t="s">
        <v>30</v>
      </c>
      <c r="F452" s="72" t="s">
        <v>30</v>
      </c>
      <c r="G452" s="72" t="s">
        <v>30</v>
      </c>
      <c r="H452" s="72" t="s">
        <v>30</v>
      </c>
      <c r="I452" s="73" t="s">
        <v>30</v>
      </c>
      <c r="J452" s="72" t="s">
        <v>30</v>
      </c>
      <c r="K452" s="72" t="s">
        <v>30</v>
      </c>
      <c r="L452" s="72" t="s">
        <v>30</v>
      </c>
      <c r="M452" s="72" t="s">
        <v>30</v>
      </c>
      <c r="N452" s="72" t="s">
        <v>30</v>
      </c>
      <c r="O452" s="73" t="s">
        <v>30</v>
      </c>
      <c r="P452" s="72" t="s">
        <v>30</v>
      </c>
      <c r="Q452" s="72" t="s">
        <v>30</v>
      </c>
      <c r="R452" s="72" t="s">
        <v>30</v>
      </c>
      <c r="S452" s="72" t="s">
        <v>30</v>
      </c>
      <c r="T452" s="72" t="s">
        <v>30</v>
      </c>
      <c r="W452" s="31"/>
    </row>
    <row r="453">
      <c r="B453" s="72" t="s">
        <v>30</v>
      </c>
      <c r="C453" s="72" t="s">
        <v>30</v>
      </c>
      <c r="D453" s="72" t="s">
        <v>30</v>
      </c>
      <c r="E453" s="72" t="s">
        <v>30</v>
      </c>
      <c r="F453" s="72" t="s">
        <v>30</v>
      </c>
      <c r="G453" s="72" t="s">
        <v>30</v>
      </c>
      <c r="H453" s="72" t="s">
        <v>30</v>
      </c>
      <c r="I453" s="73" t="s">
        <v>30</v>
      </c>
      <c r="J453" s="72" t="s">
        <v>30</v>
      </c>
      <c r="K453" s="72" t="s">
        <v>30</v>
      </c>
      <c r="L453" s="72" t="s">
        <v>30</v>
      </c>
      <c r="M453" s="72" t="s">
        <v>30</v>
      </c>
      <c r="N453" s="72" t="s">
        <v>30</v>
      </c>
      <c r="O453" s="73" t="s">
        <v>30</v>
      </c>
      <c r="P453" s="72" t="s">
        <v>30</v>
      </c>
      <c r="Q453" s="72" t="s">
        <v>30</v>
      </c>
      <c r="R453" s="72" t="s">
        <v>30</v>
      </c>
      <c r="S453" s="72" t="s">
        <v>30</v>
      </c>
      <c r="T453" s="72" t="s">
        <v>30</v>
      </c>
      <c r="W453" s="31"/>
    </row>
    <row r="454">
      <c r="B454" s="72" t="s">
        <v>30</v>
      </c>
      <c r="C454" s="72" t="s">
        <v>30</v>
      </c>
      <c r="D454" s="72" t="s">
        <v>30</v>
      </c>
      <c r="E454" s="72" t="s">
        <v>30</v>
      </c>
      <c r="F454" s="72" t="s">
        <v>30</v>
      </c>
      <c r="G454" s="72" t="s">
        <v>30</v>
      </c>
      <c r="H454" s="72" t="s">
        <v>30</v>
      </c>
      <c r="I454" s="73" t="s">
        <v>30</v>
      </c>
      <c r="J454" s="72" t="s">
        <v>30</v>
      </c>
      <c r="K454" s="72" t="s">
        <v>30</v>
      </c>
      <c r="L454" s="72" t="s">
        <v>30</v>
      </c>
      <c r="M454" s="72" t="s">
        <v>30</v>
      </c>
      <c r="N454" s="72" t="s">
        <v>30</v>
      </c>
      <c r="O454" s="73" t="s">
        <v>30</v>
      </c>
      <c r="P454" s="72" t="s">
        <v>30</v>
      </c>
      <c r="Q454" s="72" t="s">
        <v>30</v>
      </c>
      <c r="R454" s="72" t="s">
        <v>30</v>
      </c>
      <c r="S454" s="72" t="s">
        <v>30</v>
      </c>
      <c r="T454" s="72" t="s">
        <v>30</v>
      </c>
      <c r="W454" s="31"/>
    </row>
    <row r="455">
      <c r="B455" s="72" t="s">
        <v>30</v>
      </c>
      <c r="C455" s="72" t="s">
        <v>30</v>
      </c>
      <c r="D455" s="72" t="s">
        <v>30</v>
      </c>
      <c r="E455" s="72" t="s">
        <v>30</v>
      </c>
      <c r="F455" s="72" t="s">
        <v>30</v>
      </c>
      <c r="G455" s="72" t="s">
        <v>30</v>
      </c>
      <c r="H455" s="72" t="s">
        <v>30</v>
      </c>
      <c r="I455" s="73" t="s">
        <v>30</v>
      </c>
      <c r="J455" s="72" t="s">
        <v>30</v>
      </c>
      <c r="K455" s="72" t="s">
        <v>30</v>
      </c>
      <c r="L455" s="72" t="s">
        <v>30</v>
      </c>
      <c r="M455" s="72" t="s">
        <v>30</v>
      </c>
      <c r="N455" s="72" t="s">
        <v>30</v>
      </c>
      <c r="O455" s="73" t="s">
        <v>30</v>
      </c>
      <c r="P455" s="72" t="s">
        <v>30</v>
      </c>
      <c r="Q455" s="72" t="s">
        <v>30</v>
      </c>
      <c r="R455" s="72" t="s">
        <v>30</v>
      </c>
      <c r="S455" s="72" t="s">
        <v>30</v>
      </c>
      <c r="T455" s="72" t="s">
        <v>30</v>
      </c>
      <c r="W455" s="31"/>
    </row>
    <row r="456">
      <c r="B456" s="72" t="s">
        <v>30</v>
      </c>
      <c r="C456" s="72" t="s">
        <v>30</v>
      </c>
      <c r="D456" s="72" t="s">
        <v>30</v>
      </c>
      <c r="E456" s="72" t="s">
        <v>30</v>
      </c>
      <c r="F456" s="72" t="s">
        <v>30</v>
      </c>
      <c r="G456" s="72" t="s">
        <v>30</v>
      </c>
      <c r="H456" s="72" t="s">
        <v>30</v>
      </c>
      <c r="I456" s="73" t="s">
        <v>30</v>
      </c>
      <c r="J456" s="72" t="s">
        <v>30</v>
      </c>
      <c r="K456" s="72" t="s">
        <v>30</v>
      </c>
      <c r="L456" s="72" t="s">
        <v>30</v>
      </c>
      <c r="M456" s="72" t="s">
        <v>30</v>
      </c>
      <c r="N456" s="72" t="s">
        <v>30</v>
      </c>
      <c r="O456" s="73" t="s">
        <v>30</v>
      </c>
      <c r="P456" s="72" t="s">
        <v>30</v>
      </c>
      <c r="Q456" s="72" t="s">
        <v>30</v>
      </c>
      <c r="R456" s="72" t="s">
        <v>30</v>
      </c>
      <c r="S456" s="72" t="s">
        <v>30</v>
      </c>
      <c r="T456" s="72" t="s">
        <v>30</v>
      </c>
      <c r="W456" s="31"/>
    </row>
    <row r="457">
      <c r="B457" s="72" t="s">
        <v>30</v>
      </c>
      <c r="C457" s="72" t="s">
        <v>30</v>
      </c>
      <c r="D457" s="72" t="s">
        <v>30</v>
      </c>
      <c r="E457" s="72" t="s">
        <v>30</v>
      </c>
      <c r="F457" s="72" t="s">
        <v>30</v>
      </c>
      <c r="G457" s="72" t="s">
        <v>30</v>
      </c>
      <c r="H457" s="72" t="s">
        <v>30</v>
      </c>
      <c r="I457" s="73" t="s">
        <v>30</v>
      </c>
      <c r="J457" s="72" t="s">
        <v>30</v>
      </c>
      <c r="K457" s="72" t="s">
        <v>30</v>
      </c>
      <c r="L457" s="72" t="s">
        <v>30</v>
      </c>
      <c r="M457" s="72" t="s">
        <v>30</v>
      </c>
      <c r="N457" s="72" t="s">
        <v>30</v>
      </c>
      <c r="O457" s="73" t="s">
        <v>30</v>
      </c>
      <c r="P457" s="72" t="s">
        <v>30</v>
      </c>
      <c r="Q457" s="72" t="s">
        <v>30</v>
      </c>
      <c r="R457" s="72" t="s">
        <v>30</v>
      </c>
      <c r="S457" s="72" t="s">
        <v>30</v>
      </c>
      <c r="T457" s="72" t="s">
        <v>30</v>
      </c>
      <c r="W457" s="31"/>
    </row>
    <row r="458">
      <c r="B458" s="72" t="s">
        <v>30</v>
      </c>
      <c r="C458" s="72" t="s">
        <v>30</v>
      </c>
      <c r="D458" s="72" t="s">
        <v>30</v>
      </c>
      <c r="E458" s="72" t="s">
        <v>30</v>
      </c>
      <c r="F458" s="72" t="s">
        <v>30</v>
      </c>
      <c r="G458" s="72" t="s">
        <v>30</v>
      </c>
      <c r="H458" s="72" t="s">
        <v>30</v>
      </c>
      <c r="I458" s="73" t="s">
        <v>30</v>
      </c>
      <c r="J458" s="72" t="s">
        <v>30</v>
      </c>
      <c r="K458" s="72" t="s">
        <v>30</v>
      </c>
      <c r="L458" s="72" t="s">
        <v>30</v>
      </c>
      <c r="M458" s="72" t="s">
        <v>30</v>
      </c>
      <c r="N458" s="72" t="s">
        <v>30</v>
      </c>
      <c r="O458" s="73" t="s">
        <v>30</v>
      </c>
      <c r="P458" s="72" t="s">
        <v>30</v>
      </c>
      <c r="Q458" s="72" t="s">
        <v>30</v>
      </c>
      <c r="R458" s="72" t="s">
        <v>30</v>
      </c>
      <c r="S458" s="72" t="s">
        <v>30</v>
      </c>
      <c r="T458" s="72" t="s">
        <v>30</v>
      </c>
      <c r="W458" s="31"/>
    </row>
    <row r="459">
      <c r="B459" s="72" t="s">
        <v>30</v>
      </c>
      <c r="C459" s="72" t="s">
        <v>30</v>
      </c>
      <c r="D459" s="72" t="s">
        <v>30</v>
      </c>
      <c r="E459" s="72" t="s">
        <v>30</v>
      </c>
      <c r="F459" s="72" t="s">
        <v>30</v>
      </c>
      <c r="G459" s="72" t="s">
        <v>30</v>
      </c>
      <c r="H459" s="72" t="s">
        <v>30</v>
      </c>
      <c r="I459" s="73" t="s">
        <v>30</v>
      </c>
      <c r="J459" s="72" t="s">
        <v>30</v>
      </c>
      <c r="K459" s="72" t="s">
        <v>30</v>
      </c>
      <c r="L459" s="72" t="s">
        <v>30</v>
      </c>
      <c r="M459" s="72" t="s">
        <v>30</v>
      </c>
      <c r="N459" s="72" t="s">
        <v>30</v>
      </c>
      <c r="O459" s="73" t="s">
        <v>30</v>
      </c>
      <c r="P459" s="72" t="s">
        <v>30</v>
      </c>
      <c r="Q459" s="72" t="s">
        <v>30</v>
      </c>
      <c r="R459" s="72" t="s">
        <v>30</v>
      </c>
      <c r="S459" s="72" t="s">
        <v>30</v>
      </c>
      <c r="T459" s="72" t="s">
        <v>30</v>
      </c>
      <c r="W459" s="31"/>
    </row>
    <row r="460">
      <c r="B460" s="72" t="s">
        <v>30</v>
      </c>
      <c r="C460" s="72" t="s">
        <v>30</v>
      </c>
      <c r="D460" s="72" t="s">
        <v>30</v>
      </c>
      <c r="E460" s="72" t="s">
        <v>30</v>
      </c>
      <c r="F460" s="72" t="s">
        <v>30</v>
      </c>
      <c r="G460" s="72" t="s">
        <v>30</v>
      </c>
      <c r="H460" s="72" t="s">
        <v>30</v>
      </c>
      <c r="I460" s="73" t="s">
        <v>30</v>
      </c>
      <c r="J460" s="72" t="s">
        <v>30</v>
      </c>
      <c r="K460" s="72" t="s">
        <v>30</v>
      </c>
      <c r="L460" s="72" t="s">
        <v>30</v>
      </c>
      <c r="M460" s="72" t="s">
        <v>30</v>
      </c>
      <c r="N460" s="72" t="s">
        <v>30</v>
      </c>
      <c r="O460" s="73" t="s">
        <v>30</v>
      </c>
      <c r="P460" s="72" t="s">
        <v>30</v>
      </c>
      <c r="Q460" s="72" t="s">
        <v>30</v>
      </c>
      <c r="R460" s="72" t="s">
        <v>30</v>
      </c>
      <c r="S460" s="72" t="s">
        <v>30</v>
      </c>
      <c r="T460" s="72" t="s">
        <v>30</v>
      </c>
      <c r="W460" s="31"/>
    </row>
    <row r="461">
      <c r="B461" s="72" t="s">
        <v>30</v>
      </c>
      <c r="C461" s="72" t="s">
        <v>30</v>
      </c>
      <c r="D461" s="72" t="s">
        <v>30</v>
      </c>
      <c r="E461" s="72" t="s">
        <v>30</v>
      </c>
      <c r="F461" s="72" t="s">
        <v>30</v>
      </c>
      <c r="G461" s="72" t="s">
        <v>30</v>
      </c>
      <c r="H461" s="72" t="s">
        <v>30</v>
      </c>
      <c r="I461" s="73" t="s">
        <v>30</v>
      </c>
      <c r="J461" s="72" t="s">
        <v>30</v>
      </c>
      <c r="K461" s="72" t="s">
        <v>30</v>
      </c>
      <c r="L461" s="72" t="s">
        <v>30</v>
      </c>
      <c r="M461" s="72" t="s">
        <v>30</v>
      </c>
      <c r="N461" s="72" t="s">
        <v>30</v>
      </c>
      <c r="O461" s="73" t="s">
        <v>30</v>
      </c>
      <c r="P461" s="72" t="s">
        <v>30</v>
      </c>
      <c r="Q461" s="72" t="s">
        <v>30</v>
      </c>
      <c r="R461" s="72" t="s">
        <v>30</v>
      </c>
      <c r="S461" s="72" t="s">
        <v>30</v>
      </c>
      <c r="T461" s="72" t="s">
        <v>30</v>
      </c>
      <c r="W461" s="31"/>
    </row>
    <row r="462">
      <c r="B462" s="72" t="s">
        <v>30</v>
      </c>
      <c r="C462" s="72" t="s">
        <v>30</v>
      </c>
      <c r="D462" s="72" t="s">
        <v>30</v>
      </c>
      <c r="E462" s="72" t="s">
        <v>30</v>
      </c>
      <c r="F462" s="72" t="s">
        <v>30</v>
      </c>
      <c r="G462" s="72" t="s">
        <v>30</v>
      </c>
      <c r="H462" s="72" t="s">
        <v>30</v>
      </c>
      <c r="I462" s="73" t="s">
        <v>30</v>
      </c>
      <c r="J462" s="72" t="s">
        <v>30</v>
      </c>
      <c r="K462" s="72" t="s">
        <v>30</v>
      </c>
      <c r="L462" s="72" t="s">
        <v>30</v>
      </c>
      <c r="M462" s="72" t="s">
        <v>30</v>
      </c>
      <c r="N462" s="72" t="s">
        <v>30</v>
      </c>
      <c r="O462" s="73" t="s">
        <v>30</v>
      </c>
      <c r="P462" s="72" t="s">
        <v>30</v>
      </c>
      <c r="Q462" s="72" t="s">
        <v>30</v>
      </c>
      <c r="R462" s="72" t="s">
        <v>30</v>
      </c>
      <c r="S462" s="72" t="s">
        <v>30</v>
      </c>
      <c r="T462" s="72" t="s">
        <v>30</v>
      </c>
      <c r="W462" s="31"/>
    </row>
    <row r="463">
      <c r="B463" s="72" t="s">
        <v>30</v>
      </c>
      <c r="C463" s="72" t="s">
        <v>30</v>
      </c>
      <c r="D463" s="72" t="s">
        <v>30</v>
      </c>
      <c r="E463" s="72" t="s">
        <v>30</v>
      </c>
      <c r="F463" s="72" t="s">
        <v>30</v>
      </c>
      <c r="G463" s="72" t="s">
        <v>30</v>
      </c>
      <c r="H463" s="72" t="s">
        <v>30</v>
      </c>
      <c r="I463" s="73" t="s">
        <v>30</v>
      </c>
      <c r="J463" s="72" t="s">
        <v>30</v>
      </c>
      <c r="K463" s="72" t="s">
        <v>30</v>
      </c>
      <c r="L463" s="72" t="s">
        <v>30</v>
      </c>
      <c r="M463" s="72" t="s">
        <v>30</v>
      </c>
      <c r="N463" s="72" t="s">
        <v>30</v>
      </c>
      <c r="O463" s="73" t="s">
        <v>30</v>
      </c>
      <c r="P463" s="72" t="s">
        <v>30</v>
      </c>
      <c r="Q463" s="72" t="s">
        <v>30</v>
      </c>
      <c r="R463" s="72" t="s">
        <v>30</v>
      </c>
      <c r="S463" s="72" t="s">
        <v>30</v>
      </c>
      <c r="T463" s="72" t="s">
        <v>30</v>
      </c>
      <c r="W463" s="31"/>
    </row>
    <row r="464">
      <c r="B464" s="72" t="s">
        <v>30</v>
      </c>
      <c r="C464" s="72" t="s">
        <v>30</v>
      </c>
      <c r="D464" s="72" t="s">
        <v>30</v>
      </c>
      <c r="E464" s="72" t="s">
        <v>30</v>
      </c>
      <c r="F464" s="72" t="s">
        <v>30</v>
      </c>
      <c r="G464" s="72" t="s">
        <v>30</v>
      </c>
      <c r="H464" s="72" t="s">
        <v>30</v>
      </c>
      <c r="I464" s="73" t="s">
        <v>30</v>
      </c>
      <c r="J464" s="72" t="s">
        <v>30</v>
      </c>
      <c r="K464" s="72" t="s">
        <v>30</v>
      </c>
      <c r="L464" s="72" t="s">
        <v>30</v>
      </c>
      <c r="M464" s="72" t="s">
        <v>30</v>
      </c>
      <c r="N464" s="72" t="s">
        <v>30</v>
      </c>
      <c r="O464" s="73" t="s">
        <v>30</v>
      </c>
      <c r="P464" s="72" t="s">
        <v>30</v>
      </c>
      <c r="Q464" s="72" t="s">
        <v>30</v>
      </c>
      <c r="R464" s="72" t="s">
        <v>30</v>
      </c>
      <c r="S464" s="72" t="s">
        <v>30</v>
      </c>
      <c r="T464" s="72" t="s">
        <v>30</v>
      </c>
      <c r="W464" s="31"/>
    </row>
    <row r="465">
      <c r="B465" s="72" t="s">
        <v>30</v>
      </c>
      <c r="C465" s="72" t="s">
        <v>30</v>
      </c>
      <c r="D465" s="72" t="s">
        <v>30</v>
      </c>
      <c r="E465" s="72" t="s">
        <v>30</v>
      </c>
      <c r="F465" s="72" t="s">
        <v>30</v>
      </c>
      <c r="G465" s="72" t="s">
        <v>30</v>
      </c>
      <c r="H465" s="72" t="s">
        <v>30</v>
      </c>
      <c r="I465" s="73" t="s">
        <v>30</v>
      </c>
      <c r="J465" s="72" t="s">
        <v>30</v>
      </c>
      <c r="K465" s="72" t="s">
        <v>30</v>
      </c>
      <c r="L465" s="72" t="s">
        <v>30</v>
      </c>
      <c r="M465" s="72" t="s">
        <v>30</v>
      </c>
      <c r="N465" s="72" t="s">
        <v>30</v>
      </c>
      <c r="O465" s="73" t="s">
        <v>30</v>
      </c>
      <c r="P465" s="72" t="s">
        <v>30</v>
      </c>
      <c r="Q465" s="72" t="s">
        <v>30</v>
      </c>
      <c r="R465" s="72" t="s">
        <v>30</v>
      </c>
      <c r="S465" s="72" t="s">
        <v>30</v>
      </c>
      <c r="T465" s="72" t="s">
        <v>30</v>
      </c>
      <c r="W465" s="31"/>
    </row>
    <row r="466">
      <c r="B466" s="72" t="s">
        <v>30</v>
      </c>
      <c r="C466" s="72" t="s">
        <v>30</v>
      </c>
      <c r="D466" s="72" t="s">
        <v>30</v>
      </c>
      <c r="E466" s="72" t="s">
        <v>30</v>
      </c>
      <c r="F466" s="72" t="s">
        <v>30</v>
      </c>
      <c r="G466" s="72" t="s">
        <v>30</v>
      </c>
      <c r="H466" s="72" t="s">
        <v>30</v>
      </c>
      <c r="I466" s="73" t="s">
        <v>30</v>
      </c>
      <c r="J466" s="72" t="s">
        <v>30</v>
      </c>
      <c r="K466" s="72" t="s">
        <v>30</v>
      </c>
      <c r="L466" s="72" t="s">
        <v>30</v>
      </c>
      <c r="M466" s="72" t="s">
        <v>30</v>
      </c>
      <c r="N466" s="72" t="s">
        <v>30</v>
      </c>
      <c r="O466" s="73" t="s">
        <v>30</v>
      </c>
      <c r="P466" s="72" t="s">
        <v>30</v>
      </c>
      <c r="Q466" s="72" t="s">
        <v>30</v>
      </c>
      <c r="R466" s="72" t="s">
        <v>30</v>
      </c>
      <c r="S466" s="72" t="s">
        <v>30</v>
      </c>
      <c r="T466" s="72" t="s">
        <v>30</v>
      </c>
      <c r="W466" s="31"/>
    </row>
    <row r="467">
      <c r="B467" s="72" t="s">
        <v>30</v>
      </c>
      <c r="C467" s="72" t="s">
        <v>30</v>
      </c>
      <c r="D467" s="72" t="s">
        <v>30</v>
      </c>
      <c r="E467" s="72" t="s">
        <v>30</v>
      </c>
      <c r="F467" s="72" t="s">
        <v>30</v>
      </c>
      <c r="G467" s="72" t="s">
        <v>30</v>
      </c>
      <c r="H467" s="72" t="s">
        <v>30</v>
      </c>
      <c r="I467" s="73" t="s">
        <v>30</v>
      </c>
      <c r="J467" s="72" t="s">
        <v>30</v>
      </c>
      <c r="K467" s="72" t="s">
        <v>30</v>
      </c>
      <c r="L467" s="72" t="s">
        <v>30</v>
      </c>
      <c r="M467" s="72" t="s">
        <v>30</v>
      </c>
      <c r="N467" s="72" t="s">
        <v>30</v>
      </c>
      <c r="O467" s="73" t="s">
        <v>30</v>
      </c>
      <c r="P467" s="72" t="s">
        <v>30</v>
      </c>
      <c r="Q467" s="72" t="s">
        <v>30</v>
      </c>
      <c r="R467" s="72" t="s">
        <v>30</v>
      </c>
      <c r="S467" s="72" t="s">
        <v>30</v>
      </c>
      <c r="T467" s="72" t="s">
        <v>30</v>
      </c>
      <c r="W467" s="31"/>
    </row>
    <row r="468">
      <c r="B468" s="72" t="s">
        <v>30</v>
      </c>
      <c r="C468" s="72" t="s">
        <v>30</v>
      </c>
      <c r="D468" s="72" t="s">
        <v>30</v>
      </c>
      <c r="E468" s="72" t="s">
        <v>30</v>
      </c>
      <c r="F468" s="72" t="s">
        <v>30</v>
      </c>
      <c r="G468" s="72" t="s">
        <v>30</v>
      </c>
      <c r="H468" s="72" t="s">
        <v>30</v>
      </c>
      <c r="I468" s="73" t="s">
        <v>30</v>
      </c>
      <c r="J468" s="72" t="s">
        <v>30</v>
      </c>
      <c r="K468" s="72" t="s">
        <v>30</v>
      </c>
      <c r="L468" s="72" t="s">
        <v>30</v>
      </c>
      <c r="M468" s="72" t="s">
        <v>30</v>
      </c>
      <c r="N468" s="72" t="s">
        <v>30</v>
      </c>
      <c r="O468" s="73" t="s">
        <v>30</v>
      </c>
      <c r="P468" s="72" t="s">
        <v>30</v>
      </c>
      <c r="Q468" s="72" t="s">
        <v>30</v>
      </c>
      <c r="R468" s="72" t="s">
        <v>30</v>
      </c>
      <c r="S468" s="72" t="s">
        <v>30</v>
      </c>
      <c r="T468" s="72" t="s">
        <v>30</v>
      </c>
      <c r="W468" s="31"/>
    </row>
    <row r="469">
      <c r="B469" s="72" t="s">
        <v>30</v>
      </c>
      <c r="C469" s="72" t="s">
        <v>30</v>
      </c>
      <c r="D469" s="72" t="s">
        <v>30</v>
      </c>
      <c r="E469" s="72" t="s">
        <v>30</v>
      </c>
      <c r="F469" s="72" t="s">
        <v>30</v>
      </c>
      <c r="G469" s="72" t="s">
        <v>30</v>
      </c>
      <c r="H469" s="72" t="s">
        <v>30</v>
      </c>
      <c r="I469" s="73" t="s">
        <v>30</v>
      </c>
      <c r="J469" s="72" t="s">
        <v>30</v>
      </c>
      <c r="K469" s="72" t="s">
        <v>30</v>
      </c>
      <c r="L469" s="72" t="s">
        <v>30</v>
      </c>
      <c r="M469" s="72" t="s">
        <v>30</v>
      </c>
      <c r="N469" s="72" t="s">
        <v>30</v>
      </c>
      <c r="O469" s="73" t="s">
        <v>30</v>
      </c>
      <c r="P469" s="72" t="s">
        <v>30</v>
      </c>
      <c r="Q469" s="72" t="s">
        <v>30</v>
      </c>
      <c r="R469" s="72" t="s">
        <v>30</v>
      </c>
      <c r="S469" s="72" t="s">
        <v>30</v>
      </c>
      <c r="T469" s="72" t="s">
        <v>30</v>
      </c>
      <c r="W469" s="31"/>
    </row>
    <row r="470">
      <c r="B470" s="72" t="s">
        <v>30</v>
      </c>
      <c r="C470" s="72" t="s">
        <v>30</v>
      </c>
      <c r="D470" s="72" t="s">
        <v>30</v>
      </c>
      <c r="E470" s="72" t="s">
        <v>30</v>
      </c>
      <c r="F470" s="72" t="s">
        <v>30</v>
      </c>
      <c r="G470" s="72" t="s">
        <v>30</v>
      </c>
      <c r="H470" s="72" t="s">
        <v>30</v>
      </c>
      <c r="I470" s="73" t="s">
        <v>30</v>
      </c>
      <c r="J470" s="72" t="s">
        <v>30</v>
      </c>
      <c r="K470" s="72" t="s">
        <v>30</v>
      </c>
      <c r="L470" s="72" t="s">
        <v>30</v>
      </c>
      <c r="M470" s="72" t="s">
        <v>30</v>
      </c>
      <c r="N470" s="72" t="s">
        <v>30</v>
      </c>
      <c r="O470" s="73" t="s">
        <v>30</v>
      </c>
      <c r="P470" s="72" t="s">
        <v>30</v>
      </c>
      <c r="Q470" s="72" t="s">
        <v>30</v>
      </c>
      <c r="R470" s="72" t="s">
        <v>30</v>
      </c>
      <c r="S470" s="72" t="s">
        <v>30</v>
      </c>
      <c r="T470" s="72" t="s">
        <v>30</v>
      </c>
      <c r="W470" s="31"/>
    </row>
    <row r="471">
      <c r="B471" s="72" t="s">
        <v>30</v>
      </c>
      <c r="C471" s="72" t="s">
        <v>30</v>
      </c>
      <c r="D471" s="72" t="s">
        <v>30</v>
      </c>
      <c r="E471" s="72" t="s">
        <v>30</v>
      </c>
      <c r="F471" s="72" t="s">
        <v>30</v>
      </c>
      <c r="G471" s="72" t="s">
        <v>30</v>
      </c>
      <c r="H471" s="72" t="s">
        <v>30</v>
      </c>
      <c r="I471" s="73" t="s">
        <v>30</v>
      </c>
      <c r="J471" s="72" t="s">
        <v>30</v>
      </c>
      <c r="K471" s="72" t="s">
        <v>30</v>
      </c>
      <c r="L471" s="72" t="s">
        <v>30</v>
      </c>
      <c r="M471" s="72" t="s">
        <v>30</v>
      </c>
      <c r="N471" s="72" t="s">
        <v>30</v>
      </c>
      <c r="O471" s="73" t="s">
        <v>30</v>
      </c>
      <c r="P471" s="72" t="s">
        <v>30</v>
      </c>
      <c r="Q471" s="72" t="s">
        <v>30</v>
      </c>
      <c r="R471" s="72" t="s">
        <v>30</v>
      </c>
      <c r="S471" s="72" t="s">
        <v>30</v>
      </c>
      <c r="T471" s="72" t="s">
        <v>30</v>
      </c>
      <c r="W471" s="31"/>
    </row>
    <row r="472">
      <c r="B472" s="72" t="s">
        <v>30</v>
      </c>
      <c r="C472" s="72" t="s">
        <v>30</v>
      </c>
      <c r="D472" s="72" t="s">
        <v>30</v>
      </c>
      <c r="E472" s="72" t="s">
        <v>30</v>
      </c>
      <c r="F472" s="72" t="s">
        <v>30</v>
      </c>
      <c r="G472" s="72" t="s">
        <v>30</v>
      </c>
      <c r="H472" s="72" t="s">
        <v>30</v>
      </c>
      <c r="I472" s="73" t="s">
        <v>30</v>
      </c>
      <c r="J472" s="72" t="s">
        <v>30</v>
      </c>
      <c r="K472" s="72" t="s">
        <v>30</v>
      </c>
      <c r="L472" s="72" t="s">
        <v>30</v>
      </c>
      <c r="M472" s="72" t="s">
        <v>30</v>
      </c>
      <c r="N472" s="72" t="s">
        <v>30</v>
      </c>
      <c r="O472" s="73" t="s">
        <v>30</v>
      </c>
      <c r="P472" s="72" t="s">
        <v>30</v>
      </c>
      <c r="Q472" s="72" t="s">
        <v>30</v>
      </c>
      <c r="R472" s="72" t="s">
        <v>30</v>
      </c>
      <c r="S472" s="72" t="s">
        <v>30</v>
      </c>
      <c r="T472" s="72" t="s">
        <v>30</v>
      </c>
      <c r="W472" s="31"/>
    </row>
    <row r="473">
      <c r="B473" s="72" t="s">
        <v>30</v>
      </c>
      <c r="C473" s="72" t="s">
        <v>30</v>
      </c>
      <c r="D473" s="72" t="s">
        <v>30</v>
      </c>
      <c r="E473" s="72" t="s">
        <v>30</v>
      </c>
      <c r="F473" s="72" t="s">
        <v>30</v>
      </c>
      <c r="G473" s="72" t="s">
        <v>30</v>
      </c>
      <c r="H473" s="72" t="s">
        <v>30</v>
      </c>
      <c r="I473" s="73" t="s">
        <v>30</v>
      </c>
      <c r="J473" s="72" t="s">
        <v>30</v>
      </c>
      <c r="K473" s="72" t="s">
        <v>30</v>
      </c>
      <c r="L473" s="72" t="s">
        <v>30</v>
      </c>
      <c r="M473" s="72" t="s">
        <v>30</v>
      </c>
      <c r="N473" s="72" t="s">
        <v>30</v>
      </c>
      <c r="O473" s="73" t="s">
        <v>30</v>
      </c>
      <c r="P473" s="72" t="s">
        <v>30</v>
      </c>
      <c r="Q473" s="72" t="s">
        <v>30</v>
      </c>
      <c r="R473" s="72" t="s">
        <v>30</v>
      </c>
      <c r="S473" s="72" t="s">
        <v>30</v>
      </c>
      <c r="T473" s="72" t="s">
        <v>30</v>
      </c>
      <c r="W473" s="31"/>
    </row>
    <row r="474">
      <c r="B474" s="72" t="s">
        <v>30</v>
      </c>
      <c r="C474" s="72" t="s">
        <v>30</v>
      </c>
      <c r="D474" s="72" t="s">
        <v>30</v>
      </c>
      <c r="E474" s="72" t="s">
        <v>30</v>
      </c>
      <c r="F474" s="72" t="s">
        <v>30</v>
      </c>
      <c r="G474" s="72" t="s">
        <v>30</v>
      </c>
      <c r="H474" s="72" t="s">
        <v>30</v>
      </c>
      <c r="I474" s="73" t="s">
        <v>30</v>
      </c>
      <c r="J474" s="72" t="s">
        <v>30</v>
      </c>
      <c r="K474" s="72" t="s">
        <v>30</v>
      </c>
      <c r="L474" s="72" t="s">
        <v>30</v>
      </c>
      <c r="M474" s="72" t="s">
        <v>30</v>
      </c>
      <c r="N474" s="72" t="s">
        <v>30</v>
      </c>
      <c r="O474" s="73" t="s">
        <v>30</v>
      </c>
      <c r="P474" s="72" t="s">
        <v>30</v>
      </c>
      <c r="Q474" s="72" t="s">
        <v>30</v>
      </c>
      <c r="R474" s="72" t="s">
        <v>30</v>
      </c>
      <c r="S474" s="72" t="s">
        <v>30</v>
      </c>
      <c r="T474" s="72" t="s">
        <v>30</v>
      </c>
      <c r="W474" s="31"/>
    </row>
    <row r="475">
      <c r="B475" s="72" t="s">
        <v>30</v>
      </c>
      <c r="C475" s="72" t="s">
        <v>30</v>
      </c>
      <c r="D475" s="72" t="s">
        <v>30</v>
      </c>
      <c r="E475" s="72" t="s">
        <v>30</v>
      </c>
      <c r="F475" s="72" t="s">
        <v>30</v>
      </c>
      <c r="G475" s="72" t="s">
        <v>30</v>
      </c>
      <c r="H475" s="72" t="s">
        <v>30</v>
      </c>
      <c r="I475" s="73" t="s">
        <v>30</v>
      </c>
      <c r="J475" s="72" t="s">
        <v>30</v>
      </c>
      <c r="K475" s="72" t="s">
        <v>30</v>
      </c>
      <c r="L475" s="72" t="s">
        <v>30</v>
      </c>
      <c r="M475" s="72" t="s">
        <v>30</v>
      </c>
      <c r="N475" s="72" t="s">
        <v>30</v>
      </c>
      <c r="O475" s="73" t="s">
        <v>30</v>
      </c>
      <c r="P475" s="72" t="s">
        <v>30</v>
      </c>
      <c r="Q475" s="72" t="s">
        <v>30</v>
      </c>
      <c r="R475" s="72" t="s">
        <v>30</v>
      </c>
      <c r="S475" s="72" t="s">
        <v>30</v>
      </c>
      <c r="T475" s="72" t="s">
        <v>30</v>
      </c>
      <c r="W475" s="31"/>
    </row>
    <row r="476">
      <c r="B476" s="72" t="s">
        <v>30</v>
      </c>
      <c r="C476" s="72" t="s">
        <v>30</v>
      </c>
      <c r="D476" s="72" t="s">
        <v>30</v>
      </c>
      <c r="E476" s="72" t="s">
        <v>30</v>
      </c>
      <c r="F476" s="72" t="s">
        <v>30</v>
      </c>
      <c r="G476" s="72" t="s">
        <v>30</v>
      </c>
      <c r="H476" s="72" t="s">
        <v>30</v>
      </c>
      <c r="I476" s="73" t="s">
        <v>30</v>
      </c>
      <c r="J476" s="72" t="s">
        <v>30</v>
      </c>
      <c r="K476" s="72" t="s">
        <v>30</v>
      </c>
      <c r="L476" s="72" t="s">
        <v>30</v>
      </c>
      <c r="M476" s="72" t="s">
        <v>30</v>
      </c>
      <c r="N476" s="72" t="s">
        <v>30</v>
      </c>
      <c r="O476" s="73" t="s">
        <v>30</v>
      </c>
      <c r="P476" s="72" t="s">
        <v>30</v>
      </c>
      <c r="Q476" s="72" t="s">
        <v>30</v>
      </c>
      <c r="R476" s="72" t="s">
        <v>30</v>
      </c>
      <c r="S476" s="72" t="s">
        <v>30</v>
      </c>
      <c r="T476" s="72" t="s">
        <v>30</v>
      </c>
      <c r="W476" s="31"/>
    </row>
    <row r="477">
      <c r="B477" s="72" t="s">
        <v>30</v>
      </c>
      <c r="C477" s="72" t="s">
        <v>30</v>
      </c>
      <c r="D477" s="72" t="s">
        <v>30</v>
      </c>
      <c r="E477" s="72" t="s">
        <v>30</v>
      </c>
      <c r="F477" s="72" t="s">
        <v>30</v>
      </c>
      <c r="G477" s="72" t="s">
        <v>30</v>
      </c>
      <c r="H477" s="72" t="s">
        <v>30</v>
      </c>
      <c r="I477" s="73" t="s">
        <v>30</v>
      </c>
      <c r="J477" s="72" t="s">
        <v>30</v>
      </c>
      <c r="K477" s="72" t="s">
        <v>30</v>
      </c>
      <c r="L477" s="72" t="s">
        <v>30</v>
      </c>
      <c r="M477" s="72" t="s">
        <v>30</v>
      </c>
      <c r="N477" s="72" t="s">
        <v>30</v>
      </c>
      <c r="O477" s="73" t="s">
        <v>30</v>
      </c>
      <c r="P477" s="72" t="s">
        <v>30</v>
      </c>
      <c r="Q477" s="72" t="s">
        <v>30</v>
      </c>
      <c r="R477" s="72" t="s">
        <v>30</v>
      </c>
      <c r="S477" s="72" t="s">
        <v>30</v>
      </c>
      <c r="T477" s="72" t="s">
        <v>30</v>
      </c>
      <c r="W477" s="31"/>
    </row>
    <row r="478">
      <c r="B478" s="72" t="s">
        <v>30</v>
      </c>
      <c r="C478" s="72" t="s">
        <v>30</v>
      </c>
      <c r="D478" s="72" t="s">
        <v>30</v>
      </c>
      <c r="E478" s="72" t="s">
        <v>30</v>
      </c>
      <c r="F478" s="72" t="s">
        <v>30</v>
      </c>
      <c r="G478" s="72" t="s">
        <v>30</v>
      </c>
      <c r="H478" s="72" t="s">
        <v>30</v>
      </c>
      <c r="I478" s="73" t="s">
        <v>30</v>
      </c>
      <c r="J478" s="72" t="s">
        <v>30</v>
      </c>
      <c r="K478" s="72" t="s">
        <v>30</v>
      </c>
      <c r="L478" s="72" t="s">
        <v>30</v>
      </c>
      <c r="M478" s="72" t="s">
        <v>30</v>
      </c>
      <c r="N478" s="72" t="s">
        <v>30</v>
      </c>
      <c r="O478" s="73" t="s">
        <v>30</v>
      </c>
      <c r="P478" s="72" t="s">
        <v>30</v>
      </c>
      <c r="Q478" s="72" t="s">
        <v>30</v>
      </c>
      <c r="R478" s="72" t="s">
        <v>30</v>
      </c>
      <c r="S478" s="72" t="s">
        <v>30</v>
      </c>
      <c r="T478" s="72" t="s">
        <v>30</v>
      </c>
      <c r="W478" s="31"/>
    </row>
    <row r="479">
      <c r="B479" s="72" t="s">
        <v>30</v>
      </c>
      <c r="C479" s="72" t="s">
        <v>30</v>
      </c>
      <c r="D479" s="72" t="s">
        <v>30</v>
      </c>
      <c r="E479" s="72" t="s">
        <v>30</v>
      </c>
      <c r="F479" s="72" t="s">
        <v>30</v>
      </c>
      <c r="G479" s="72" t="s">
        <v>30</v>
      </c>
      <c r="H479" s="72" t="s">
        <v>30</v>
      </c>
      <c r="I479" s="73" t="s">
        <v>30</v>
      </c>
      <c r="J479" s="72" t="s">
        <v>30</v>
      </c>
      <c r="K479" s="72" t="s">
        <v>30</v>
      </c>
      <c r="L479" s="72" t="s">
        <v>30</v>
      </c>
      <c r="M479" s="72" t="s">
        <v>30</v>
      </c>
      <c r="N479" s="72" t="s">
        <v>30</v>
      </c>
      <c r="O479" s="73" t="s">
        <v>30</v>
      </c>
      <c r="P479" s="72" t="s">
        <v>30</v>
      </c>
      <c r="Q479" s="72" t="s">
        <v>30</v>
      </c>
      <c r="R479" s="72" t="s">
        <v>30</v>
      </c>
      <c r="S479" s="72" t="s">
        <v>30</v>
      </c>
      <c r="T479" s="72" t="s">
        <v>30</v>
      </c>
      <c r="W479" s="31"/>
    </row>
    <row r="480">
      <c r="B480" s="72" t="s">
        <v>30</v>
      </c>
      <c r="C480" s="72" t="s">
        <v>30</v>
      </c>
      <c r="D480" s="72" t="s">
        <v>30</v>
      </c>
      <c r="E480" s="72" t="s">
        <v>30</v>
      </c>
      <c r="F480" s="72" t="s">
        <v>30</v>
      </c>
      <c r="G480" s="72" t="s">
        <v>30</v>
      </c>
      <c r="H480" s="72" t="s">
        <v>30</v>
      </c>
      <c r="I480" s="73" t="s">
        <v>30</v>
      </c>
      <c r="J480" s="72" t="s">
        <v>30</v>
      </c>
      <c r="K480" s="72" t="s">
        <v>30</v>
      </c>
      <c r="L480" s="72" t="s">
        <v>30</v>
      </c>
      <c r="M480" s="72" t="s">
        <v>30</v>
      </c>
      <c r="N480" s="72" t="s">
        <v>30</v>
      </c>
      <c r="O480" s="73" t="s">
        <v>30</v>
      </c>
      <c r="P480" s="72" t="s">
        <v>30</v>
      </c>
      <c r="Q480" s="72" t="s">
        <v>30</v>
      </c>
      <c r="R480" s="72" t="s">
        <v>30</v>
      </c>
      <c r="S480" s="72" t="s">
        <v>30</v>
      </c>
      <c r="T480" s="72" t="s">
        <v>30</v>
      </c>
      <c r="W480" s="31"/>
    </row>
    <row r="481">
      <c r="B481" s="72" t="s">
        <v>30</v>
      </c>
      <c r="C481" s="72" t="s">
        <v>30</v>
      </c>
      <c r="D481" s="72" t="s">
        <v>30</v>
      </c>
      <c r="E481" s="72" t="s">
        <v>30</v>
      </c>
      <c r="F481" s="72" t="s">
        <v>30</v>
      </c>
      <c r="G481" s="72" t="s">
        <v>30</v>
      </c>
      <c r="H481" s="72" t="s">
        <v>30</v>
      </c>
      <c r="I481" s="73" t="s">
        <v>30</v>
      </c>
      <c r="J481" s="72" t="s">
        <v>30</v>
      </c>
      <c r="K481" s="72" t="s">
        <v>30</v>
      </c>
      <c r="L481" s="72" t="s">
        <v>30</v>
      </c>
      <c r="M481" s="72" t="s">
        <v>30</v>
      </c>
      <c r="N481" s="72" t="s">
        <v>30</v>
      </c>
      <c r="O481" s="73" t="s">
        <v>30</v>
      </c>
      <c r="P481" s="72" t="s">
        <v>30</v>
      </c>
      <c r="Q481" s="72" t="s">
        <v>30</v>
      </c>
      <c r="R481" s="72" t="s">
        <v>30</v>
      </c>
      <c r="S481" s="72" t="s">
        <v>30</v>
      </c>
      <c r="T481" s="72" t="s">
        <v>30</v>
      </c>
      <c r="W481" s="31"/>
    </row>
    <row r="482">
      <c r="B482" s="72" t="s">
        <v>30</v>
      </c>
      <c r="C482" s="72" t="s">
        <v>30</v>
      </c>
      <c r="D482" s="72" t="s">
        <v>30</v>
      </c>
      <c r="E482" s="72" t="s">
        <v>30</v>
      </c>
      <c r="F482" s="72" t="s">
        <v>30</v>
      </c>
      <c r="G482" s="72" t="s">
        <v>30</v>
      </c>
      <c r="H482" s="72" t="s">
        <v>30</v>
      </c>
      <c r="I482" s="73" t="s">
        <v>30</v>
      </c>
      <c r="J482" s="72" t="s">
        <v>30</v>
      </c>
      <c r="K482" s="72" t="s">
        <v>30</v>
      </c>
      <c r="L482" s="72" t="s">
        <v>30</v>
      </c>
      <c r="M482" s="72" t="s">
        <v>30</v>
      </c>
      <c r="N482" s="72" t="s">
        <v>30</v>
      </c>
      <c r="O482" s="73" t="s">
        <v>30</v>
      </c>
      <c r="P482" s="72" t="s">
        <v>30</v>
      </c>
      <c r="Q482" s="72" t="s">
        <v>30</v>
      </c>
      <c r="R482" s="72" t="s">
        <v>30</v>
      </c>
      <c r="S482" s="72" t="s">
        <v>30</v>
      </c>
      <c r="T482" s="72" t="s">
        <v>30</v>
      </c>
      <c r="W482" s="31"/>
    </row>
    <row r="483">
      <c r="B483" s="72" t="s">
        <v>30</v>
      </c>
      <c r="C483" s="72" t="s">
        <v>30</v>
      </c>
      <c r="D483" s="72" t="s">
        <v>30</v>
      </c>
      <c r="E483" s="72" t="s">
        <v>30</v>
      </c>
      <c r="F483" s="72" t="s">
        <v>30</v>
      </c>
      <c r="G483" s="72" t="s">
        <v>30</v>
      </c>
      <c r="H483" s="72" t="s">
        <v>30</v>
      </c>
      <c r="I483" s="73" t="s">
        <v>30</v>
      </c>
      <c r="J483" s="72" t="s">
        <v>30</v>
      </c>
      <c r="K483" s="72" t="s">
        <v>30</v>
      </c>
      <c r="L483" s="72" t="s">
        <v>30</v>
      </c>
      <c r="M483" s="72" t="s">
        <v>30</v>
      </c>
      <c r="N483" s="72" t="s">
        <v>30</v>
      </c>
      <c r="O483" s="73" t="s">
        <v>30</v>
      </c>
      <c r="P483" s="72" t="s">
        <v>30</v>
      </c>
      <c r="Q483" s="72" t="s">
        <v>30</v>
      </c>
      <c r="R483" s="72" t="s">
        <v>30</v>
      </c>
      <c r="S483" s="72" t="s">
        <v>30</v>
      </c>
      <c r="T483" s="72" t="s">
        <v>30</v>
      </c>
      <c r="W483" s="31"/>
    </row>
    <row r="484">
      <c r="B484" s="72" t="s">
        <v>30</v>
      </c>
      <c r="C484" s="72" t="s">
        <v>30</v>
      </c>
      <c r="D484" s="72" t="s">
        <v>30</v>
      </c>
      <c r="E484" s="72" t="s">
        <v>30</v>
      </c>
      <c r="F484" s="72" t="s">
        <v>30</v>
      </c>
      <c r="G484" s="72" t="s">
        <v>30</v>
      </c>
      <c r="H484" s="72" t="s">
        <v>30</v>
      </c>
      <c r="I484" s="73" t="s">
        <v>30</v>
      </c>
      <c r="J484" s="72" t="s">
        <v>30</v>
      </c>
      <c r="K484" s="72" t="s">
        <v>30</v>
      </c>
      <c r="L484" s="72" t="s">
        <v>30</v>
      </c>
      <c r="M484" s="72" t="s">
        <v>30</v>
      </c>
      <c r="N484" s="72" t="s">
        <v>30</v>
      </c>
      <c r="O484" s="73" t="s">
        <v>30</v>
      </c>
      <c r="P484" s="72" t="s">
        <v>30</v>
      </c>
      <c r="Q484" s="72" t="s">
        <v>30</v>
      </c>
      <c r="R484" s="72" t="s">
        <v>30</v>
      </c>
      <c r="S484" s="72" t="s">
        <v>30</v>
      </c>
      <c r="T484" s="72" t="s">
        <v>30</v>
      </c>
      <c r="W484" s="31"/>
    </row>
    <row r="485">
      <c r="B485" s="72" t="s">
        <v>30</v>
      </c>
      <c r="C485" s="72" t="s">
        <v>30</v>
      </c>
      <c r="D485" s="72" t="s">
        <v>30</v>
      </c>
      <c r="E485" s="72" t="s">
        <v>30</v>
      </c>
      <c r="F485" s="72" t="s">
        <v>30</v>
      </c>
      <c r="G485" s="72" t="s">
        <v>30</v>
      </c>
      <c r="H485" s="72" t="s">
        <v>30</v>
      </c>
      <c r="I485" s="73" t="s">
        <v>30</v>
      </c>
      <c r="J485" s="72" t="s">
        <v>30</v>
      </c>
      <c r="K485" s="72" t="s">
        <v>30</v>
      </c>
      <c r="L485" s="72" t="s">
        <v>30</v>
      </c>
      <c r="M485" s="72" t="s">
        <v>30</v>
      </c>
      <c r="N485" s="72" t="s">
        <v>30</v>
      </c>
      <c r="O485" s="73" t="s">
        <v>30</v>
      </c>
      <c r="P485" s="72" t="s">
        <v>30</v>
      </c>
      <c r="Q485" s="72" t="s">
        <v>30</v>
      </c>
      <c r="R485" s="72" t="s">
        <v>30</v>
      </c>
      <c r="S485" s="72" t="s">
        <v>30</v>
      </c>
      <c r="T485" s="72" t="s">
        <v>30</v>
      </c>
      <c r="W485" s="31"/>
    </row>
    <row r="486">
      <c r="B486" s="72" t="s">
        <v>30</v>
      </c>
      <c r="C486" s="72" t="s">
        <v>30</v>
      </c>
      <c r="D486" s="72" t="s">
        <v>30</v>
      </c>
      <c r="E486" s="72" t="s">
        <v>30</v>
      </c>
      <c r="F486" s="72" t="s">
        <v>30</v>
      </c>
      <c r="G486" s="72" t="s">
        <v>30</v>
      </c>
      <c r="H486" s="72" t="s">
        <v>30</v>
      </c>
      <c r="I486" s="73" t="s">
        <v>30</v>
      </c>
      <c r="J486" s="72" t="s">
        <v>30</v>
      </c>
      <c r="K486" s="72" t="s">
        <v>30</v>
      </c>
      <c r="L486" s="72" t="s">
        <v>30</v>
      </c>
      <c r="M486" s="72" t="s">
        <v>30</v>
      </c>
      <c r="N486" s="72" t="s">
        <v>30</v>
      </c>
      <c r="O486" s="73" t="s">
        <v>30</v>
      </c>
      <c r="P486" s="72" t="s">
        <v>30</v>
      </c>
      <c r="Q486" s="72" t="s">
        <v>30</v>
      </c>
      <c r="R486" s="72" t="s">
        <v>30</v>
      </c>
      <c r="S486" s="72" t="s">
        <v>30</v>
      </c>
      <c r="T486" s="72" t="s">
        <v>30</v>
      </c>
      <c r="W486" s="31"/>
    </row>
    <row r="487">
      <c r="B487" s="72" t="s">
        <v>30</v>
      </c>
      <c r="C487" s="72" t="s">
        <v>30</v>
      </c>
      <c r="D487" s="72" t="s">
        <v>30</v>
      </c>
      <c r="E487" s="72" t="s">
        <v>30</v>
      </c>
      <c r="F487" s="72" t="s">
        <v>30</v>
      </c>
      <c r="G487" s="72" t="s">
        <v>30</v>
      </c>
      <c r="H487" s="72" t="s">
        <v>30</v>
      </c>
      <c r="I487" s="73" t="s">
        <v>30</v>
      </c>
      <c r="J487" s="72" t="s">
        <v>30</v>
      </c>
      <c r="K487" s="72" t="s">
        <v>30</v>
      </c>
      <c r="L487" s="72" t="s">
        <v>30</v>
      </c>
      <c r="M487" s="72" t="s">
        <v>30</v>
      </c>
      <c r="N487" s="72" t="s">
        <v>30</v>
      </c>
      <c r="O487" s="73" t="s">
        <v>30</v>
      </c>
      <c r="P487" s="72" t="s">
        <v>30</v>
      </c>
      <c r="Q487" s="72" t="s">
        <v>30</v>
      </c>
      <c r="R487" s="72" t="s">
        <v>30</v>
      </c>
      <c r="S487" s="72" t="s">
        <v>30</v>
      </c>
      <c r="T487" s="72" t="s">
        <v>30</v>
      </c>
      <c r="W487" s="31"/>
    </row>
    <row r="488">
      <c r="B488" s="72" t="s">
        <v>30</v>
      </c>
      <c r="C488" s="72" t="s">
        <v>30</v>
      </c>
      <c r="D488" s="72" t="s">
        <v>30</v>
      </c>
      <c r="E488" s="72" t="s">
        <v>30</v>
      </c>
      <c r="F488" s="72" t="s">
        <v>30</v>
      </c>
      <c r="G488" s="72" t="s">
        <v>30</v>
      </c>
      <c r="H488" s="72" t="s">
        <v>30</v>
      </c>
      <c r="I488" s="73" t="s">
        <v>30</v>
      </c>
      <c r="J488" s="72" t="s">
        <v>30</v>
      </c>
      <c r="K488" s="72" t="s">
        <v>30</v>
      </c>
      <c r="L488" s="72" t="s">
        <v>30</v>
      </c>
      <c r="M488" s="72" t="s">
        <v>30</v>
      </c>
      <c r="N488" s="72" t="s">
        <v>30</v>
      </c>
      <c r="O488" s="73" t="s">
        <v>30</v>
      </c>
      <c r="P488" s="72" t="s">
        <v>30</v>
      </c>
      <c r="Q488" s="72" t="s">
        <v>30</v>
      </c>
      <c r="R488" s="72" t="s">
        <v>30</v>
      </c>
      <c r="S488" s="72" t="s">
        <v>30</v>
      </c>
      <c r="T488" s="72" t="s">
        <v>30</v>
      </c>
      <c r="W488" s="31"/>
    </row>
    <row r="489">
      <c r="B489" s="72" t="s">
        <v>30</v>
      </c>
      <c r="C489" s="72" t="s">
        <v>30</v>
      </c>
      <c r="D489" s="72" t="s">
        <v>30</v>
      </c>
      <c r="E489" s="72" t="s">
        <v>30</v>
      </c>
      <c r="F489" s="72" t="s">
        <v>30</v>
      </c>
      <c r="G489" s="72" t="s">
        <v>30</v>
      </c>
      <c r="H489" s="72" t="s">
        <v>30</v>
      </c>
      <c r="I489" s="73" t="s">
        <v>30</v>
      </c>
      <c r="J489" s="72" t="s">
        <v>30</v>
      </c>
      <c r="K489" s="72" t="s">
        <v>30</v>
      </c>
      <c r="L489" s="72" t="s">
        <v>30</v>
      </c>
      <c r="M489" s="72" t="s">
        <v>30</v>
      </c>
      <c r="N489" s="72" t="s">
        <v>30</v>
      </c>
      <c r="O489" s="73" t="s">
        <v>30</v>
      </c>
      <c r="P489" s="72" t="s">
        <v>30</v>
      </c>
      <c r="Q489" s="72" t="s">
        <v>30</v>
      </c>
      <c r="R489" s="72" t="s">
        <v>30</v>
      </c>
      <c r="S489" s="72" t="s">
        <v>30</v>
      </c>
      <c r="T489" s="72" t="s">
        <v>30</v>
      </c>
      <c r="W489" s="31"/>
    </row>
    <row r="490">
      <c r="B490" s="72" t="s">
        <v>30</v>
      </c>
      <c r="C490" s="72" t="s">
        <v>30</v>
      </c>
      <c r="D490" s="72" t="s">
        <v>30</v>
      </c>
      <c r="E490" s="72" t="s">
        <v>30</v>
      </c>
      <c r="F490" s="72" t="s">
        <v>30</v>
      </c>
      <c r="G490" s="72" t="s">
        <v>30</v>
      </c>
      <c r="H490" s="72" t="s">
        <v>30</v>
      </c>
      <c r="I490" s="73" t="s">
        <v>30</v>
      </c>
      <c r="J490" s="72" t="s">
        <v>30</v>
      </c>
      <c r="K490" s="72" t="s">
        <v>30</v>
      </c>
      <c r="L490" s="72" t="s">
        <v>30</v>
      </c>
      <c r="M490" s="72" t="s">
        <v>30</v>
      </c>
      <c r="N490" s="72" t="s">
        <v>30</v>
      </c>
      <c r="O490" s="73" t="s">
        <v>30</v>
      </c>
      <c r="P490" s="72" t="s">
        <v>30</v>
      </c>
      <c r="Q490" s="72" t="s">
        <v>30</v>
      </c>
      <c r="R490" s="72" t="s">
        <v>30</v>
      </c>
      <c r="S490" s="72" t="s">
        <v>30</v>
      </c>
      <c r="T490" s="72" t="s">
        <v>30</v>
      </c>
      <c r="W490" s="31"/>
    </row>
    <row r="491">
      <c r="B491" s="72" t="s">
        <v>30</v>
      </c>
      <c r="C491" s="72" t="s">
        <v>30</v>
      </c>
      <c r="D491" s="72" t="s">
        <v>30</v>
      </c>
      <c r="E491" s="72" t="s">
        <v>30</v>
      </c>
      <c r="F491" s="72" t="s">
        <v>30</v>
      </c>
      <c r="G491" s="72" t="s">
        <v>30</v>
      </c>
      <c r="H491" s="72" t="s">
        <v>30</v>
      </c>
      <c r="I491" s="73" t="s">
        <v>30</v>
      </c>
      <c r="J491" s="72" t="s">
        <v>30</v>
      </c>
      <c r="K491" s="72" t="s">
        <v>30</v>
      </c>
      <c r="L491" s="72" t="s">
        <v>30</v>
      </c>
      <c r="M491" s="72" t="s">
        <v>30</v>
      </c>
      <c r="N491" s="72" t="s">
        <v>30</v>
      </c>
      <c r="O491" s="73" t="s">
        <v>30</v>
      </c>
      <c r="P491" s="72" t="s">
        <v>30</v>
      </c>
      <c r="Q491" s="72" t="s">
        <v>30</v>
      </c>
      <c r="R491" s="72" t="s">
        <v>30</v>
      </c>
      <c r="S491" s="72" t="s">
        <v>30</v>
      </c>
      <c r="T491" s="72" t="s">
        <v>30</v>
      </c>
      <c r="W491" s="31"/>
    </row>
    <row r="492">
      <c r="B492" s="72" t="s">
        <v>30</v>
      </c>
      <c r="C492" s="72" t="s">
        <v>30</v>
      </c>
      <c r="D492" s="72" t="s">
        <v>30</v>
      </c>
      <c r="E492" s="72" t="s">
        <v>30</v>
      </c>
      <c r="F492" s="72" t="s">
        <v>30</v>
      </c>
      <c r="G492" s="72" t="s">
        <v>30</v>
      </c>
      <c r="H492" s="72" t="s">
        <v>30</v>
      </c>
      <c r="I492" s="73" t="s">
        <v>30</v>
      </c>
      <c r="J492" s="72" t="s">
        <v>30</v>
      </c>
      <c r="K492" s="72" t="s">
        <v>30</v>
      </c>
      <c r="L492" s="72" t="s">
        <v>30</v>
      </c>
      <c r="M492" s="72" t="s">
        <v>30</v>
      </c>
      <c r="N492" s="72" t="s">
        <v>30</v>
      </c>
      <c r="O492" s="73" t="s">
        <v>30</v>
      </c>
      <c r="P492" s="72" t="s">
        <v>30</v>
      </c>
      <c r="Q492" s="72" t="s">
        <v>30</v>
      </c>
      <c r="R492" s="72" t="s">
        <v>30</v>
      </c>
      <c r="S492" s="72" t="s">
        <v>30</v>
      </c>
      <c r="T492" s="72" t="s">
        <v>30</v>
      </c>
      <c r="W492" s="31"/>
    </row>
    <row r="493">
      <c r="B493" s="72" t="s">
        <v>30</v>
      </c>
      <c r="C493" s="72" t="s">
        <v>30</v>
      </c>
      <c r="D493" s="72" t="s">
        <v>30</v>
      </c>
      <c r="E493" s="72" t="s">
        <v>30</v>
      </c>
      <c r="F493" s="72" t="s">
        <v>30</v>
      </c>
      <c r="G493" s="72" t="s">
        <v>30</v>
      </c>
      <c r="H493" s="72" t="s">
        <v>30</v>
      </c>
      <c r="I493" s="73" t="s">
        <v>30</v>
      </c>
      <c r="J493" s="72" t="s">
        <v>30</v>
      </c>
      <c r="K493" s="72" t="s">
        <v>30</v>
      </c>
      <c r="L493" s="72" t="s">
        <v>30</v>
      </c>
      <c r="M493" s="72" t="s">
        <v>30</v>
      </c>
      <c r="N493" s="72" t="s">
        <v>30</v>
      </c>
      <c r="O493" s="73" t="s">
        <v>30</v>
      </c>
      <c r="P493" s="72" t="s">
        <v>30</v>
      </c>
      <c r="Q493" s="72" t="s">
        <v>30</v>
      </c>
      <c r="R493" s="72" t="s">
        <v>30</v>
      </c>
      <c r="S493" s="72" t="s">
        <v>30</v>
      </c>
      <c r="T493" s="72" t="s">
        <v>30</v>
      </c>
      <c r="W493" s="31"/>
    </row>
    <row r="494">
      <c r="B494" s="72" t="s">
        <v>30</v>
      </c>
      <c r="C494" s="72" t="s">
        <v>30</v>
      </c>
      <c r="D494" s="72" t="s">
        <v>30</v>
      </c>
      <c r="E494" s="72" t="s">
        <v>30</v>
      </c>
      <c r="F494" s="72" t="s">
        <v>30</v>
      </c>
      <c r="G494" s="72" t="s">
        <v>30</v>
      </c>
      <c r="H494" s="72" t="s">
        <v>30</v>
      </c>
      <c r="I494" s="73" t="s">
        <v>30</v>
      </c>
      <c r="J494" s="72" t="s">
        <v>30</v>
      </c>
      <c r="K494" s="72" t="s">
        <v>30</v>
      </c>
      <c r="L494" s="72" t="s">
        <v>30</v>
      </c>
      <c r="M494" s="72" t="s">
        <v>30</v>
      </c>
      <c r="N494" s="72" t="s">
        <v>30</v>
      </c>
      <c r="O494" s="73" t="s">
        <v>30</v>
      </c>
      <c r="P494" s="72" t="s">
        <v>30</v>
      </c>
      <c r="Q494" s="72" t="s">
        <v>30</v>
      </c>
      <c r="R494" s="72" t="s">
        <v>30</v>
      </c>
      <c r="S494" s="72" t="s">
        <v>30</v>
      </c>
      <c r="T494" s="72" t="s">
        <v>30</v>
      </c>
      <c r="W494" s="31"/>
    </row>
    <row r="495">
      <c r="B495" s="72" t="s">
        <v>30</v>
      </c>
      <c r="C495" s="72" t="s">
        <v>30</v>
      </c>
      <c r="D495" s="72" t="s">
        <v>30</v>
      </c>
      <c r="E495" s="72" t="s">
        <v>30</v>
      </c>
      <c r="F495" s="72" t="s">
        <v>30</v>
      </c>
      <c r="G495" s="72" t="s">
        <v>30</v>
      </c>
      <c r="H495" s="72" t="s">
        <v>30</v>
      </c>
      <c r="I495" s="73" t="s">
        <v>30</v>
      </c>
      <c r="J495" s="72" t="s">
        <v>30</v>
      </c>
      <c r="K495" s="72" t="s">
        <v>30</v>
      </c>
      <c r="L495" s="72" t="s">
        <v>30</v>
      </c>
      <c r="M495" s="72" t="s">
        <v>30</v>
      </c>
      <c r="N495" s="72" t="s">
        <v>30</v>
      </c>
      <c r="O495" s="73" t="s">
        <v>30</v>
      </c>
      <c r="P495" s="72" t="s">
        <v>30</v>
      </c>
      <c r="Q495" s="72" t="s">
        <v>30</v>
      </c>
      <c r="R495" s="72" t="s">
        <v>30</v>
      </c>
      <c r="S495" s="72" t="s">
        <v>30</v>
      </c>
      <c r="T495" s="72" t="s">
        <v>30</v>
      </c>
      <c r="W495" s="31"/>
    </row>
    <row r="496">
      <c r="B496" s="72" t="s">
        <v>30</v>
      </c>
      <c r="C496" s="72" t="s">
        <v>30</v>
      </c>
      <c r="D496" s="72" t="s">
        <v>30</v>
      </c>
      <c r="E496" s="72" t="s">
        <v>30</v>
      </c>
      <c r="F496" s="72" t="s">
        <v>30</v>
      </c>
      <c r="G496" s="72" t="s">
        <v>30</v>
      </c>
      <c r="H496" s="72" t="s">
        <v>30</v>
      </c>
      <c r="I496" s="73" t="s">
        <v>30</v>
      </c>
      <c r="J496" s="72" t="s">
        <v>30</v>
      </c>
      <c r="K496" s="72" t="s">
        <v>30</v>
      </c>
      <c r="L496" s="72" t="s">
        <v>30</v>
      </c>
      <c r="M496" s="72" t="s">
        <v>30</v>
      </c>
      <c r="N496" s="72" t="s">
        <v>30</v>
      </c>
      <c r="O496" s="73" t="s">
        <v>30</v>
      </c>
      <c r="P496" s="72" t="s">
        <v>30</v>
      </c>
      <c r="Q496" s="72" t="s">
        <v>30</v>
      </c>
      <c r="R496" s="72" t="s">
        <v>30</v>
      </c>
      <c r="S496" s="72" t="s">
        <v>30</v>
      </c>
      <c r="T496" s="72" t="s">
        <v>30</v>
      </c>
      <c r="W496" s="31"/>
    </row>
    <row r="497">
      <c r="B497" s="72" t="s">
        <v>30</v>
      </c>
      <c r="C497" s="72" t="s">
        <v>30</v>
      </c>
      <c r="D497" s="72" t="s">
        <v>30</v>
      </c>
      <c r="E497" s="72" t="s">
        <v>30</v>
      </c>
      <c r="F497" s="72" t="s">
        <v>30</v>
      </c>
      <c r="G497" s="72" t="s">
        <v>30</v>
      </c>
      <c r="H497" s="72" t="s">
        <v>30</v>
      </c>
      <c r="I497" s="73" t="s">
        <v>30</v>
      </c>
      <c r="J497" s="72" t="s">
        <v>30</v>
      </c>
      <c r="K497" s="72" t="s">
        <v>30</v>
      </c>
      <c r="L497" s="72" t="s">
        <v>30</v>
      </c>
      <c r="M497" s="72" t="s">
        <v>30</v>
      </c>
      <c r="N497" s="72" t="s">
        <v>30</v>
      </c>
      <c r="O497" s="73" t="s">
        <v>30</v>
      </c>
      <c r="P497" s="72" t="s">
        <v>30</v>
      </c>
      <c r="Q497" s="72" t="s">
        <v>30</v>
      </c>
      <c r="R497" s="72" t="s">
        <v>30</v>
      </c>
      <c r="S497" s="72" t="s">
        <v>30</v>
      </c>
      <c r="T497" s="72" t="s">
        <v>30</v>
      </c>
      <c r="W497" s="31"/>
    </row>
    <row r="498">
      <c r="B498" s="72" t="s">
        <v>30</v>
      </c>
      <c r="C498" s="72" t="s">
        <v>30</v>
      </c>
      <c r="D498" s="72" t="s">
        <v>30</v>
      </c>
      <c r="E498" s="72" t="s">
        <v>30</v>
      </c>
      <c r="F498" s="72" t="s">
        <v>30</v>
      </c>
      <c r="G498" s="72" t="s">
        <v>30</v>
      </c>
      <c r="H498" s="72" t="s">
        <v>30</v>
      </c>
      <c r="I498" s="73" t="s">
        <v>30</v>
      </c>
      <c r="J498" s="72" t="s">
        <v>30</v>
      </c>
      <c r="K498" s="72" t="s">
        <v>30</v>
      </c>
      <c r="L498" s="72" t="s">
        <v>30</v>
      </c>
      <c r="M498" s="72" t="s">
        <v>30</v>
      </c>
      <c r="N498" s="72" t="s">
        <v>30</v>
      </c>
      <c r="O498" s="73" t="s">
        <v>30</v>
      </c>
      <c r="P498" s="72" t="s">
        <v>30</v>
      </c>
      <c r="Q498" s="72" t="s">
        <v>30</v>
      </c>
      <c r="R498" s="72" t="s">
        <v>30</v>
      </c>
      <c r="S498" s="72" t="s">
        <v>30</v>
      </c>
      <c r="T498" s="72" t="s">
        <v>30</v>
      </c>
      <c r="W498" s="31"/>
    </row>
    <row r="499">
      <c r="B499" s="72" t="s">
        <v>30</v>
      </c>
      <c r="C499" s="72" t="s">
        <v>30</v>
      </c>
      <c r="D499" s="72" t="s">
        <v>30</v>
      </c>
      <c r="E499" s="72" t="s">
        <v>30</v>
      </c>
      <c r="F499" s="72" t="s">
        <v>30</v>
      </c>
      <c r="G499" s="72" t="s">
        <v>30</v>
      </c>
      <c r="H499" s="72" t="s">
        <v>30</v>
      </c>
      <c r="I499" s="73" t="s">
        <v>30</v>
      </c>
      <c r="J499" s="72" t="s">
        <v>30</v>
      </c>
      <c r="K499" s="72" t="s">
        <v>30</v>
      </c>
      <c r="L499" s="72" t="s">
        <v>30</v>
      </c>
      <c r="M499" s="72" t="s">
        <v>30</v>
      </c>
      <c r="N499" s="72" t="s">
        <v>30</v>
      </c>
      <c r="O499" s="73" t="s">
        <v>30</v>
      </c>
      <c r="P499" s="72" t="s">
        <v>30</v>
      </c>
      <c r="Q499" s="72" t="s">
        <v>30</v>
      </c>
      <c r="R499" s="72" t="s">
        <v>30</v>
      </c>
      <c r="S499" s="72" t="s">
        <v>30</v>
      </c>
      <c r="T499" s="72" t="s">
        <v>30</v>
      </c>
      <c r="W499" s="31"/>
    </row>
    <row r="500">
      <c r="B500" s="72" t="s">
        <v>30</v>
      </c>
      <c r="C500" s="72" t="s">
        <v>30</v>
      </c>
      <c r="D500" s="72" t="s">
        <v>30</v>
      </c>
      <c r="E500" s="72" t="s">
        <v>30</v>
      </c>
      <c r="F500" s="72" t="s">
        <v>30</v>
      </c>
      <c r="G500" s="72" t="s">
        <v>30</v>
      </c>
      <c r="H500" s="72" t="s">
        <v>30</v>
      </c>
      <c r="I500" s="73" t="s">
        <v>30</v>
      </c>
      <c r="J500" s="72" t="s">
        <v>30</v>
      </c>
      <c r="K500" s="72" t="s">
        <v>30</v>
      </c>
      <c r="L500" s="72" t="s">
        <v>30</v>
      </c>
      <c r="M500" s="72" t="s">
        <v>30</v>
      </c>
      <c r="N500" s="72" t="s">
        <v>30</v>
      </c>
      <c r="O500" s="73" t="s">
        <v>30</v>
      </c>
      <c r="P500" s="72" t="s">
        <v>30</v>
      </c>
      <c r="Q500" s="72" t="s">
        <v>30</v>
      </c>
      <c r="R500" s="72" t="s">
        <v>30</v>
      </c>
      <c r="S500" s="72" t="s">
        <v>30</v>
      </c>
      <c r="T500" s="72" t="s">
        <v>30</v>
      </c>
      <c r="W500" s="31"/>
    </row>
    <row r="501">
      <c r="B501" s="72" t="s">
        <v>30</v>
      </c>
      <c r="C501" s="72" t="s">
        <v>30</v>
      </c>
      <c r="D501" s="72" t="s">
        <v>30</v>
      </c>
      <c r="E501" s="72" t="s">
        <v>30</v>
      </c>
      <c r="F501" s="72" t="s">
        <v>30</v>
      </c>
      <c r="G501" s="72" t="s">
        <v>30</v>
      </c>
      <c r="H501" s="72" t="s">
        <v>30</v>
      </c>
      <c r="I501" s="73" t="s">
        <v>30</v>
      </c>
      <c r="J501" s="72" t="s">
        <v>30</v>
      </c>
      <c r="K501" s="72" t="s">
        <v>30</v>
      </c>
      <c r="L501" s="72" t="s">
        <v>30</v>
      </c>
      <c r="M501" s="72" t="s">
        <v>30</v>
      </c>
      <c r="N501" s="72" t="s">
        <v>30</v>
      </c>
      <c r="O501" s="73" t="s">
        <v>30</v>
      </c>
      <c r="P501" s="72" t="s">
        <v>30</v>
      </c>
      <c r="Q501" s="72" t="s">
        <v>30</v>
      </c>
      <c r="R501" s="72" t="s">
        <v>30</v>
      </c>
      <c r="S501" s="72" t="s">
        <v>30</v>
      </c>
      <c r="T501" s="72" t="s">
        <v>30</v>
      </c>
      <c r="W501" s="31"/>
    </row>
    <row r="502">
      <c r="B502" s="72" t="s">
        <v>30</v>
      </c>
      <c r="C502" s="72" t="s">
        <v>30</v>
      </c>
      <c r="D502" s="72" t="s">
        <v>30</v>
      </c>
      <c r="E502" s="72" t="s">
        <v>30</v>
      </c>
      <c r="F502" s="72" t="s">
        <v>30</v>
      </c>
      <c r="G502" s="72" t="s">
        <v>30</v>
      </c>
      <c r="H502" s="72" t="s">
        <v>30</v>
      </c>
      <c r="I502" s="73" t="s">
        <v>30</v>
      </c>
      <c r="J502" s="72" t="s">
        <v>30</v>
      </c>
      <c r="K502" s="72" t="s">
        <v>30</v>
      </c>
      <c r="L502" s="72" t="s">
        <v>30</v>
      </c>
      <c r="M502" s="72" t="s">
        <v>30</v>
      </c>
      <c r="N502" s="72" t="s">
        <v>30</v>
      </c>
      <c r="O502" s="73" t="s">
        <v>30</v>
      </c>
      <c r="P502" s="72" t="s">
        <v>30</v>
      </c>
      <c r="Q502" s="72" t="s">
        <v>30</v>
      </c>
      <c r="R502" s="72" t="s">
        <v>30</v>
      </c>
      <c r="S502" s="72" t="s">
        <v>30</v>
      </c>
      <c r="T502" s="72" t="s">
        <v>30</v>
      </c>
      <c r="W502" s="31"/>
    </row>
    <row r="503">
      <c r="B503" s="72" t="s">
        <v>30</v>
      </c>
      <c r="C503" s="72" t="s">
        <v>30</v>
      </c>
      <c r="D503" s="72" t="s">
        <v>30</v>
      </c>
      <c r="E503" s="72" t="s">
        <v>30</v>
      </c>
      <c r="F503" s="72" t="s">
        <v>30</v>
      </c>
      <c r="G503" s="72" t="s">
        <v>30</v>
      </c>
      <c r="H503" s="72" t="s">
        <v>30</v>
      </c>
      <c r="I503" s="73" t="s">
        <v>30</v>
      </c>
      <c r="J503" s="72" t="s">
        <v>30</v>
      </c>
      <c r="K503" s="72" t="s">
        <v>30</v>
      </c>
      <c r="L503" s="72" t="s">
        <v>30</v>
      </c>
      <c r="M503" s="72" t="s">
        <v>30</v>
      </c>
      <c r="N503" s="72" t="s">
        <v>30</v>
      </c>
      <c r="O503" s="73" t="s">
        <v>30</v>
      </c>
      <c r="P503" s="72" t="s">
        <v>30</v>
      </c>
      <c r="Q503" s="72" t="s">
        <v>30</v>
      </c>
      <c r="R503" s="72" t="s">
        <v>30</v>
      </c>
      <c r="S503" s="72" t="s">
        <v>30</v>
      </c>
      <c r="T503" s="72" t="s">
        <v>30</v>
      </c>
      <c r="W503" s="31"/>
    </row>
    <row r="504">
      <c r="B504" s="72" t="s">
        <v>30</v>
      </c>
      <c r="C504" s="72" t="s">
        <v>30</v>
      </c>
      <c r="D504" s="72" t="s">
        <v>30</v>
      </c>
      <c r="E504" s="72" t="s">
        <v>30</v>
      </c>
      <c r="F504" s="72" t="s">
        <v>30</v>
      </c>
      <c r="G504" s="72" t="s">
        <v>30</v>
      </c>
      <c r="H504" s="72" t="s">
        <v>30</v>
      </c>
      <c r="I504" s="73" t="s">
        <v>30</v>
      </c>
      <c r="J504" s="72" t="s">
        <v>30</v>
      </c>
      <c r="K504" s="72" t="s">
        <v>30</v>
      </c>
      <c r="L504" s="72" t="s">
        <v>30</v>
      </c>
      <c r="M504" s="72" t="s">
        <v>30</v>
      </c>
      <c r="N504" s="72" t="s">
        <v>30</v>
      </c>
      <c r="O504" s="73" t="s">
        <v>30</v>
      </c>
      <c r="P504" s="72" t="s">
        <v>30</v>
      </c>
      <c r="Q504" s="72" t="s">
        <v>30</v>
      </c>
      <c r="R504" s="72" t="s">
        <v>30</v>
      </c>
      <c r="S504" s="72" t="s">
        <v>30</v>
      </c>
      <c r="T504" s="72" t="s">
        <v>30</v>
      </c>
      <c r="W504" s="31"/>
    </row>
    <row r="505">
      <c r="B505" s="72" t="s">
        <v>30</v>
      </c>
      <c r="C505" s="72" t="s">
        <v>30</v>
      </c>
      <c r="D505" s="72" t="s">
        <v>30</v>
      </c>
      <c r="E505" s="72" t="s">
        <v>30</v>
      </c>
      <c r="F505" s="72" t="s">
        <v>30</v>
      </c>
      <c r="G505" s="72" t="s">
        <v>30</v>
      </c>
      <c r="H505" s="72" t="s">
        <v>30</v>
      </c>
      <c r="I505" s="73" t="s">
        <v>30</v>
      </c>
      <c r="J505" s="72" t="s">
        <v>30</v>
      </c>
      <c r="K505" s="72" t="s">
        <v>30</v>
      </c>
      <c r="L505" s="72" t="s">
        <v>30</v>
      </c>
      <c r="M505" s="72" t="s">
        <v>30</v>
      </c>
      <c r="N505" s="72" t="s">
        <v>30</v>
      </c>
      <c r="O505" s="73" t="s">
        <v>30</v>
      </c>
      <c r="P505" s="72" t="s">
        <v>30</v>
      </c>
      <c r="Q505" s="72" t="s">
        <v>30</v>
      </c>
      <c r="R505" s="72" t="s">
        <v>30</v>
      </c>
      <c r="S505" s="72" t="s">
        <v>30</v>
      </c>
      <c r="T505" s="72" t="s">
        <v>30</v>
      </c>
      <c r="W505" s="31"/>
    </row>
    <row r="506">
      <c r="B506" s="72" t="s">
        <v>30</v>
      </c>
      <c r="C506" s="72" t="s">
        <v>30</v>
      </c>
      <c r="D506" s="72" t="s">
        <v>30</v>
      </c>
      <c r="E506" s="72" t="s">
        <v>30</v>
      </c>
      <c r="F506" s="72" t="s">
        <v>30</v>
      </c>
      <c r="G506" s="72" t="s">
        <v>30</v>
      </c>
      <c r="H506" s="72" t="s">
        <v>30</v>
      </c>
      <c r="I506" s="73" t="s">
        <v>30</v>
      </c>
      <c r="J506" s="72" t="s">
        <v>30</v>
      </c>
      <c r="K506" s="72" t="s">
        <v>30</v>
      </c>
      <c r="L506" s="72" t="s">
        <v>30</v>
      </c>
      <c r="M506" s="72" t="s">
        <v>30</v>
      </c>
      <c r="N506" s="72" t="s">
        <v>30</v>
      </c>
      <c r="O506" s="73" t="s">
        <v>30</v>
      </c>
      <c r="P506" s="72" t="s">
        <v>30</v>
      </c>
      <c r="Q506" s="72" t="s">
        <v>30</v>
      </c>
      <c r="R506" s="72" t="s">
        <v>30</v>
      </c>
      <c r="S506" s="72" t="s">
        <v>30</v>
      </c>
      <c r="T506" s="72" t="s">
        <v>30</v>
      </c>
      <c r="W506" s="31"/>
    </row>
    <row r="507">
      <c r="B507" s="72" t="s">
        <v>30</v>
      </c>
      <c r="C507" s="72" t="s">
        <v>30</v>
      </c>
      <c r="D507" s="72" t="s">
        <v>30</v>
      </c>
      <c r="E507" s="72" t="s">
        <v>30</v>
      </c>
      <c r="F507" s="72" t="s">
        <v>30</v>
      </c>
      <c r="G507" s="72" t="s">
        <v>30</v>
      </c>
      <c r="H507" s="72" t="s">
        <v>30</v>
      </c>
      <c r="I507" s="73" t="s">
        <v>30</v>
      </c>
      <c r="J507" s="72" t="s">
        <v>30</v>
      </c>
      <c r="K507" s="72" t="s">
        <v>30</v>
      </c>
      <c r="L507" s="72" t="s">
        <v>30</v>
      </c>
      <c r="M507" s="72" t="s">
        <v>30</v>
      </c>
      <c r="N507" s="72" t="s">
        <v>30</v>
      </c>
      <c r="O507" s="73" t="s">
        <v>30</v>
      </c>
      <c r="P507" s="72" t="s">
        <v>30</v>
      </c>
      <c r="Q507" s="72" t="s">
        <v>30</v>
      </c>
      <c r="R507" s="72" t="s">
        <v>30</v>
      </c>
      <c r="S507" s="72" t="s">
        <v>30</v>
      </c>
      <c r="T507" s="72" t="s">
        <v>30</v>
      </c>
      <c r="W507" s="31"/>
    </row>
    <row r="508">
      <c r="B508" s="72" t="s">
        <v>30</v>
      </c>
      <c r="C508" s="72" t="s">
        <v>30</v>
      </c>
      <c r="D508" s="72" t="s">
        <v>30</v>
      </c>
      <c r="E508" s="72" t="s">
        <v>30</v>
      </c>
      <c r="F508" s="72" t="s">
        <v>30</v>
      </c>
      <c r="G508" s="72" t="s">
        <v>30</v>
      </c>
      <c r="H508" s="72" t="s">
        <v>30</v>
      </c>
      <c r="I508" s="73" t="s">
        <v>30</v>
      </c>
      <c r="J508" s="72" t="s">
        <v>30</v>
      </c>
      <c r="K508" s="72" t="s">
        <v>30</v>
      </c>
      <c r="L508" s="72" t="s">
        <v>30</v>
      </c>
      <c r="M508" s="72" t="s">
        <v>30</v>
      </c>
      <c r="N508" s="72" t="s">
        <v>30</v>
      </c>
      <c r="O508" s="73" t="s">
        <v>30</v>
      </c>
      <c r="P508" s="72" t="s">
        <v>30</v>
      </c>
      <c r="Q508" s="72" t="s">
        <v>30</v>
      </c>
      <c r="R508" s="72" t="s">
        <v>30</v>
      </c>
      <c r="S508" s="72" t="s">
        <v>30</v>
      </c>
      <c r="T508" s="72" t="s">
        <v>30</v>
      </c>
      <c r="W508" s="31"/>
    </row>
    <row r="509">
      <c r="B509" s="72" t="s">
        <v>30</v>
      </c>
      <c r="C509" s="72" t="s">
        <v>30</v>
      </c>
      <c r="D509" s="72" t="s">
        <v>30</v>
      </c>
      <c r="E509" s="72" t="s">
        <v>30</v>
      </c>
      <c r="F509" s="72" t="s">
        <v>30</v>
      </c>
      <c r="G509" s="72" t="s">
        <v>30</v>
      </c>
      <c r="H509" s="72" t="s">
        <v>30</v>
      </c>
      <c r="I509" s="73" t="s">
        <v>30</v>
      </c>
      <c r="J509" s="72" t="s">
        <v>30</v>
      </c>
      <c r="K509" s="72" t="s">
        <v>30</v>
      </c>
      <c r="L509" s="72" t="s">
        <v>30</v>
      </c>
      <c r="M509" s="72" t="s">
        <v>30</v>
      </c>
      <c r="N509" s="72" t="s">
        <v>30</v>
      </c>
      <c r="O509" s="73" t="s">
        <v>30</v>
      </c>
      <c r="P509" s="72" t="s">
        <v>30</v>
      </c>
      <c r="Q509" s="72" t="s">
        <v>30</v>
      </c>
      <c r="R509" s="72" t="s">
        <v>30</v>
      </c>
      <c r="S509" s="72" t="s">
        <v>30</v>
      </c>
      <c r="T509" s="72" t="s">
        <v>30</v>
      </c>
      <c r="W509" s="31"/>
    </row>
    <row r="510">
      <c r="B510" s="72" t="s">
        <v>30</v>
      </c>
      <c r="C510" s="72" t="s">
        <v>30</v>
      </c>
      <c r="D510" s="72" t="s">
        <v>30</v>
      </c>
      <c r="E510" s="72" t="s">
        <v>30</v>
      </c>
      <c r="F510" s="72" t="s">
        <v>30</v>
      </c>
      <c r="G510" s="72" t="s">
        <v>30</v>
      </c>
      <c r="H510" s="72" t="s">
        <v>30</v>
      </c>
      <c r="I510" s="73" t="s">
        <v>30</v>
      </c>
      <c r="J510" s="72" t="s">
        <v>30</v>
      </c>
      <c r="K510" s="72" t="s">
        <v>30</v>
      </c>
      <c r="L510" s="72" t="s">
        <v>30</v>
      </c>
      <c r="M510" s="72" t="s">
        <v>30</v>
      </c>
      <c r="N510" s="72" t="s">
        <v>30</v>
      </c>
      <c r="O510" s="73" t="s">
        <v>30</v>
      </c>
      <c r="P510" s="72" t="s">
        <v>30</v>
      </c>
      <c r="Q510" s="72" t="s">
        <v>30</v>
      </c>
      <c r="R510" s="72" t="s">
        <v>30</v>
      </c>
      <c r="S510" s="72" t="s">
        <v>30</v>
      </c>
      <c r="T510" s="72" t="s">
        <v>30</v>
      </c>
      <c r="W510" s="31"/>
    </row>
    <row r="511">
      <c r="B511" s="72" t="s">
        <v>30</v>
      </c>
      <c r="C511" s="72" t="s">
        <v>30</v>
      </c>
      <c r="D511" s="72" t="s">
        <v>30</v>
      </c>
      <c r="E511" s="72" t="s">
        <v>30</v>
      </c>
      <c r="F511" s="72" t="s">
        <v>30</v>
      </c>
      <c r="G511" s="72" t="s">
        <v>30</v>
      </c>
      <c r="H511" s="72" t="s">
        <v>30</v>
      </c>
      <c r="I511" s="73" t="s">
        <v>30</v>
      </c>
      <c r="J511" s="72" t="s">
        <v>30</v>
      </c>
      <c r="K511" s="72" t="s">
        <v>30</v>
      </c>
      <c r="L511" s="72" t="s">
        <v>30</v>
      </c>
      <c r="M511" s="72" t="s">
        <v>30</v>
      </c>
      <c r="N511" s="72" t="s">
        <v>30</v>
      </c>
      <c r="O511" s="73" t="s">
        <v>30</v>
      </c>
      <c r="P511" s="72" t="s">
        <v>30</v>
      </c>
      <c r="Q511" s="72" t="s">
        <v>30</v>
      </c>
      <c r="R511" s="72" t="s">
        <v>30</v>
      </c>
      <c r="S511" s="72" t="s">
        <v>30</v>
      </c>
      <c r="T511" s="72" t="s">
        <v>30</v>
      </c>
      <c r="W511" s="31"/>
    </row>
    <row r="512">
      <c r="B512" s="72" t="s">
        <v>30</v>
      </c>
      <c r="C512" s="72" t="s">
        <v>30</v>
      </c>
      <c r="D512" s="72" t="s">
        <v>30</v>
      </c>
      <c r="E512" s="72" t="s">
        <v>30</v>
      </c>
      <c r="F512" s="72" t="s">
        <v>30</v>
      </c>
      <c r="G512" s="72" t="s">
        <v>30</v>
      </c>
      <c r="H512" s="72" t="s">
        <v>30</v>
      </c>
      <c r="I512" s="73" t="s">
        <v>30</v>
      </c>
      <c r="J512" s="72" t="s">
        <v>30</v>
      </c>
      <c r="K512" s="72" t="s">
        <v>30</v>
      </c>
      <c r="L512" s="72" t="s">
        <v>30</v>
      </c>
      <c r="M512" s="72" t="s">
        <v>30</v>
      </c>
      <c r="N512" s="72" t="s">
        <v>30</v>
      </c>
      <c r="O512" s="73" t="s">
        <v>30</v>
      </c>
      <c r="P512" s="72" t="s">
        <v>30</v>
      </c>
      <c r="Q512" s="72" t="s">
        <v>30</v>
      </c>
      <c r="R512" s="72" t="s">
        <v>30</v>
      </c>
      <c r="S512" s="72" t="s">
        <v>30</v>
      </c>
      <c r="T512" s="72" t="s">
        <v>30</v>
      </c>
      <c r="W512" s="31"/>
    </row>
    <row r="513">
      <c r="B513" s="72" t="s">
        <v>30</v>
      </c>
      <c r="C513" s="72" t="s">
        <v>30</v>
      </c>
      <c r="D513" s="72" t="s">
        <v>30</v>
      </c>
      <c r="E513" s="72" t="s">
        <v>30</v>
      </c>
      <c r="F513" s="72" t="s">
        <v>30</v>
      </c>
      <c r="G513" s="72" t="s">
        <v>30</v>
      </c>
      <c r="H513" s="72" t="s">
        <v>30</v>
      </c>
      <c r="I513" s="73" t="s">
        <v>30</v>
      </c>
      <c r="J513" s="72" t="s">
        <v>30</v>
      </c>
      <c r="K513" s="72" t="s">
        <v>30</v>
      </c>
      <c r="L513" s="72" t="s">
        <v>30</v>
      </c>
      <c r="M513" s="72" t="s">
        <v>30</v>
      </c>
      <c r="N513" s="72" t="s">
        <v>30</v>
      </c>
      <c r="O513" s="73" t="s">
        <v>30</v>
      </c>
      <c r="P513" s="72" t="s">
        <v>30</v>
      </c>
      <c r="Q513" s="72" t="s">
        <v>30</v>
      </c>
      <c r="R513" s="72" t="s">
        <v>30</v>
      </c>
      <c r="S513" s="72" t="s">
        <v>30</v>
      </c>
      <c r="T513" s="72" t="s">
        <v>30</v>
      </c>
      <c r="W513" s="31"/>
    </row>
    <row r="514">
      <c r="B514" s="72" t="s">
        <v>30</v>
      </c>
      <c r="C514" s="72" t="s">
        <v>30</v>
      </c>
      <c r="D514" s="72" t="s">
        <v>30</v>
      </c>
      <c r="E514" s="72" t="s">
        <v>30</v>
      </c>
      <c r="F514" s="72" t="s">
        <v>30</v>
      </c>
      <c r="G514" s="72" t="s">
        <v>30</v>
      </c>
      <c r="H514" s="72" t="s">
        <v>30</v>
      </c>
      <c r="I514" s="73" t="s">
        <v>30</v>
      </c>
      <c r="J514" s="72" t="s">
        <v>30</v>
      </c>
      <c r="K514" s="72" t="s">
        <v>30</v>
      </c>
      <c r="L514" s="72" t="s">
        <v>30</v>
      </c>
      <c r="M514" s="72" t="s">
        <v>30</v>
      </c>
      <c r="N514" s="72" t="s">
        <v>30</v>
      </c>
      <c r="O514" s="73" t="s">
        <v>30</v>
      </c>
      <c r="P514" s="72" t="s">
        <v>30</v>
      </c>
      <c r="Q514" s="72" t="s">
        <v>30</v>
      </c>
      <c r="R514" s="72" t="s">
        <v>30</v>
      </c>
      <c r="S514" s="72" t="s">
        <v>30</v>
      </c>
      <c r="T514" s="72" t="s">
        <v>30</v>
      </c>
      <c r="W514" s="31"/>
    </row>
    <row r="515">
      <c r="B515" s="72" t="s">
        <v>30</v>
      </c>
      <c r="C515" s="72" t="s">
        <v>30</v>
      </c>
      <c r="D515" s="72" t="s">
        <v>30</v>
      </c>
      <c r="E515" s="72" t="s">
        <v>30</v>
      </c>
      <c r="F515" s="72" t="s">
        <v>30</v>
      </c>
      <c r="G515" s="72" t="s">
        <v>30</v>
      </c>
      <c r="H515" s="72" t="s">
        <v>30</v>
      </c>
      <c r="I515" s="73" t="s">
        <v>30</v>
      </c>
      <c r="J515" s="72" t="s">
        <v>30</v>
      </c>
      <c r="K515" s="72" t="s">
        <v>30</v>
      </c>
      <c r="L515" s="72" t="s">
        <v>30</v>
      </c>
      <c r="M515" s="72" t="s">
        <v>30</v>
      </c>
      <c r="N515" s="72" t="s">
        <v>30</v>
      </c>
      <c r="O515" s="73" t="s">
        <v>30</v>
      </c>
      <c r="P515" s="72" t="s">
        <v>30</v>
      </c>
      <c r="Q515" s="72" t="s">
        <v>30</v>
      </c>
      <c r="R515" s="72" t="s">
        <v>30</v>
      </c>
      <c r="S515" s="72" t="s">
        <v>30</v>
      </c>
      <c r="T515" s="72" t="s">
        <v>30</v>
      </c>
      <c r="W515" s="31"/>
    </row>
    <row r="516">
      <c r="B516" s="72" t="s">
        <v>30</v>
      </c>
      <c r="C516" s="72" t="s">
        <v>30</v>
      </c>
      <c r="D516" s="72" t="s">
        <v>30</v>
      </c>
      <c r="E516" s="72" t="s">
        <v>30</v>
      </c>
      <c r="F516" s="72" t="s">
        <v>30</v>
      </c>
      <c r="G516" s="72" t="s">
        <v>30</v>
      </c>
      <c r="H516" s="72" t="s">
        <v>30</v>
      </c>
      <c r="I516" s="73" t="s">
        <v>30</v>
      </c>
      <c r="J516" s="72" t="s">
        <v>30</v>
      </c>
      <c r="K516" s="72" t="s">
        <v>30</v>
      </c>
      <c r="L516" s="72" t="s">
        <v>30</v>
      </c>
      <c r="M516" s="72" t="s">
        <v>30</v>
      </c>
      <c r="N516" s="72" t="s">
        <v>30</v>
      </c>
      <c r="O516" s="73" t="s">
        <v>30</v>
      </c>
      <c r="P516" s="72" t="s">
        <v>30</v>
      </c>
      <c r="Q516" s="72" t="s">
        <v>30</v>
      </c>
      <c r="R516" s="72" t="s">
        <v>30</v>
      </c>
      <c r="S516" s="72" t="s">
        <v>30</v>
      </c>
      <c r="T516" s="72" t="s">
        <v>30</v>
      </c>
      <c r="W516" s="31"/>
    </row>
    <row r="517">
      <c r="B517" s="72" t="s">
        <v>30</v>
      </c>
      <c r="C517" s="72" t="s">
        <v>30</v>
      </c>
      <c r="D517" s="72" t="s">
        <v>30</v>
      </c>
      <c r="E517" s="72" t="s">
        <v>30</v>
      </c>
      <c r="F517" s="72" t="s">
        <v>30</v>
      </c>
      <c r="G517" s="72" t="s">
        <v>30</v>
      </c>
      <c r="H517" s="72" t="s">
        <v>30</v>
      </c>
      <c r="I517" s="73" t="s">
        <v>30</v>
      </c>
      <c r="J517" s="72" t="s">
        <v>30</v>
      </c>
      <c r="K517" s="72" t="s">
        <v>30</v>
      </c>
      <c r="L517" s="72" t="s">
        <v>30</v>
      </c>
      <c r="M517" s="72" t="s">
        <v>30</v>
      </c>
      <c r="N517" s="72" t="s">
        <v>30</v>
      </c>
      <c r="O517" s="73" t="s">
        <v>30</v>
      </c>
      <c r="P517" s="72" t="s">
        <v>30</v>
      </c>
      <c r="Q517" s="72" t="s">
        <v>30</v>
      </c>
      <c r="R517" s="72" t="s">
        <v>30</v>
      </c>
      <c r="S517" s="72" t="s">
        <v>30</v>
      </c>
      <c r="T517" s="72" t="s">
        <v>30</v>
      </c>
      <c r="W517" s="31"/>
    </row>
    <row r="518">
      <c r="B518" s="72" t="s">
        <v>30</v>
      </c>
      <c r="C518" s="72" t="s">
        <v>30</v>
      </c>
      <c r="D518" s="72" t="s">
        <v>30</v>
      </c>
      <c r="E518" s="72" t="s">
        <v>30</v>
      </c>
      <c r="F518" s="72" t="s">
        <v>30</v>
      </c>
      <c r="G518" s="72" t="s">
        <v>30</v>
      </c>
      <c r="H518" s="72" t="s">
        <v>30</v>
      </c>
      <c r="I518" s="73" t="s">
        <v>30</v>
      </c>
      <c r="J518" s="72" t="s">
        <v>30</v>
      </c>
      <c r="K518" s="72" t="s">
        <v>30</v>
      </c>
      <c r="L518" s="72" t="s">
        <v>30</v>
      </c>
      <c r="M518" s="72" t="s">
        <v>30</v>
      </c>
      <c r="N518" s="72" t="s">
        <v>30</v>
      </c>
      <c r="O518" s="73" t="s">
        <v>30</v>
      </c>
      <c r="P518" s="72" t="s">
        <v>30</v>
      </c>
      <c r="Q518" s="72" t="s">
        <v>30</v>
      </c>
      <c r="R518" s="72" t="s">
        <v>30</v>
      </c>
      <c r="S518" s="72" t="s">
        <v>30</v>
      </c>
      <c r="T518" s="72" t="s">
        <v>30</v>
      </c>
      <c r="W518" s="31"/>
    </row>
    <row r="519">
      <c r="B519" s="72" t="s">
        <v>30</v>
      </c>
      <c r="C519" s="72" t="s">
        <v>30</v>
      </c>
      <c r="D519" s="72" t="s">
        <v>30</v>
      </c>
      <c r="E519" s="72" t="s">
        <v>30</v>
      </c>
      <c r="F519" s="72" t="s">
        <v>30</v>
      </c>
      <c r="G519" s="72" t="s">
        <v>30</v>
      </c>
      <c r="H519" s="72" t="s">
        <v>30</v>
      </c>
      <c r="I519" s="73" t="s">
        <v>30</v>
      </c>
      <c r="J519" s="72" t="s">
        <v>30</v>
      </c>
      <c r="K519" s="72" t="s">
        <v>30</v>
      </c>
      <c r="L519" s="72" t="s">
        <v>30</v>
      </c>
      <c r="M519" s="72" t="s">
        <v>30</v>
      </c>
      <c r="N519" s="72" t="s">
        <v>30</v>
      </c>
      <c r="O519" s="73" t="s">
        <v>30</v>
      </c>
      <c r="P519" s="72" t="s">
        <v>30</v>
      </c>
      <c r="Q519" s="72" t="s">
        <v>30</v>
      </c>
      <c r="R519" s="72" t="s">
        <v>30</v>
      </c>
      <c r="S519" s="72" t="s">
        <v>30</v>
      </c>
      <c r="T519" s="72" t="s">
        <v>30</v>
      </c>
      <c r="W519" s="31"/>
    </row>
    <row r="520">
      <c r="B520" s="72" t="s">
        <v>30</v>
      </c>
      <c r="C520" s="72" t="s">
        <v>30</v>
      </c>
      <c r="D520" s="72" t="s">
        <v>30</v>
      </c>
      <c r="E520" s="72" t="s">
        <v>30</v>
      </c>
      <c r="F520" s="72" t="s">
        <v>30</v>
      </c>
      <c r="G520" s="72" t="s">
        <v>30</v>
      </c>
      <c r="H520" s="72" t="s">
        <v>30</v>
      </c>
      <c r="I520" s="73" t="s">
        <v>30</v>
      </c>
      <c r="J520" s="72" t="s">
        <v>30</v>
      </c>
      <c r="K520" s="72" t="s">
        <v>30</v>
      </c>
      <c r="L520" s="72" t="s">
        <v>30</v>
      </c>
      <c r="M520" s="72" t="s">
        <v>30</v>
      </c>
      <c r="N520" s="72" t="s">
        <v>30</v>
      </c>
      <c r="O520" s="73" t="s">
        <v>30</v>
      </c>
      <c r="P520" s="72" t="s">
        <v>30</v>
      </c>
      <c r="Q520" s="72" t="s">
        <v>30</v>
      </c>
      <c r="R520" s="72" t="s">
        <v>30</v>
      </c>
      <c r="S520" s="72" t="s">
        <v>30</v>
      </c>
      <c r="T520" s="72" t="s">
        <v>30</v>
      </c>
      <c r="W520" s="31"/>
    </row>
    <row r="521">
      <c r="B521" s="72" t="s">
        <v>30</v>
      </c>
      <c r="C521" s="72" t="s">
        <v>30</v>
      </c>
      <c r="D521" s="72" t="s">
        <v>30</v>
      </c>
      <c r="E521" s="72" t="s">
        <v>30</v>
      </c>
      <c r="F521" s="72" t="s">
        <v>30</v>
      </c>
      <c r="G521" s="72" t="s">
        <v>30</v>
      </c>
      <c r="H521" s="72" t="s">
        <v>30</v>
      </c>
      <c r="I521" s="73" t="s">
        <v>30</v>
      </c>
      <c r="J521" s="72" t="s">
        <v>30</v>
      </c>
      <c r="K521" s="72" t="s">
        <v>30</v>
      </c>
      <c r="L521" s="72" t="s">
        <v>30</v>
      </c>
      <c r="M521" s="72" t="s">
        <v>30</v>
      </c>
      <c r="N521" s="72" t="s">
        <v>30</v>
      </c>
      <c r="O521" s="73" t="s">
        <v>30</v>
      </c>
      <c r="P521" s="72" t="s">
        <v>30</v>
      </c>
      <c r="Q521" s="72" t="s">
        <v>30</v>
      </c>
      <c r="R521" s="72" t="s">
        <v>30</v>
      </c>
      <c r="S521" s="72" t="s">
        <v>30</v>
      </c>
      <c r="T521" s="72" t="s">
        <v>30</v>
      </c>
      <c r="W521" s="31"/>
    </row>
    <row r="522">
      <c r="B522" s="72" t="s">
        <v>30</v>
      </c>
      <c r="C522" s="72" t="s">
        <v>30</v>
      </c>
      <c r="D522" s="72" t="s">
        <v>30</v>
      </c>
      <c r="E522" s="72" t="s">
        <v>30</v>
      </c>
      <c r="F522" s="72" t="s">
        <v>30</v>
      </c>
      <c r="G522" s="72" t="s">
        <v>30</v>
      </c>
      <c r="H522" s="72" t="s">
        <v>30</v>
      </c>
      <c r="I522" s="73" t="s">
        <v>30</v>
      </c>
      <c r="J522" s="72" t="s">
        <v>30</v>
      </c>
      <c r="K522" s="72" t="s">
        <v>30</v>
      </c>
      <c r="L522" s="72" t="s">
        <v>30</v>
      </c>
      <c r="M522" s="72" t="s">
        <v>30</v>
      </c>
      <c r="N522" s="72" t="s">
        <v>30</v>
      </c>
      <c r="O522" s="73" t="s">
        <v>30</v>
      </c>
      <c r="P522" s="72" t="s">
        <v>30</v>
      </c>
      <c r="Q522" s="72" t="s">
        <v>30</v>
      </c>
      <c r="R522" s="72" t="s">
        <v>30</v>
      </c>
      <c r="S522" s="72" t="s">
        <v>30</v>
      </c>
      <c r="T522" s="72" t="s">
        <v>30</v>
      </c>
      <c r="W522" s="31"/>
    </row>
    <row r="523">
      <c r="B523" s="72" t="s">
        <v>30</v>
      </c>
      <c r="C523" s="72" t="s">
        <v>30</v>
      </c>
      <c r="D523" s="72" t="s">
        <v>30</v>
      </c>
      <c r="E523" s="72" t="s">
        <v>30</v>
      </c>
      <c r="F523" s="72" t="s">
        <v>30</v>
      </c>
      <c r="G523" s="72" t="s">
        <v>30</v>
      </c>
      <c r="H523" s="72" t="s">
        <v>30</v>
      </c>
      <c r="I523" s="73" t="s">
        <v>30</v>
      </c>
      <c r="J523" s="72" t="s">
        <v>30</v>
      </c>
      <c r="K523" s="72" t="s">
        <v>30</v>
      </c>
      <c r="L523" s="72" t="s">
        <v>30</v>
      </c>
      <c r="M523" s="72" t="s">
        <v>30</v>
      </c>
      <c r="N523" s="72" t="s">
        <v>30</v>
      </c>
      <c r="O523" s="73" t="s">
        <v>30</v>
      </c>
      <c r="P523" s="72" t="s">
        <v>30</v>
      </c>
      <c r="Q523" s="72" t="s">
        <v>30</v>
      </c>
      <c r="R523" s="72" t="s">
        <v>30</v>
      </c>
      <c r="S523" s="72" t="s">
        <v>30</v>
      </c>
      <c r="T523" s="72" t="s">
        <v>30</v>
      </c>
      <c r="W523" s="31"/>
    </row>
    <row r="524">
      <c r="B524" s="72" t="s">
        <v>30</v>
      </c>
      <c r="C524" s="72" t="s">
        <v>30</v>
      </c>
      <c r="D524" s="72" t="s">
        <v>30</v>
      </c>
      <c r="E524" s="72" t="s">
        <v>30</v>
      </c>
      <c r="F524" s="72" t="s">
        <v>30</v>
      </c>
      <c r="G524" s="72" t="s">
        <v>30</v>
      </c>
      <c r="H524" s="72" t="s">
        <v>30</v>
      </c>
      <c r="I524" s="73" t="s">
        <v>30</v>
      </c>
      <c r="J524" s="72" t="s">
        <v>30</v>
      </c>
      <c r="K524" s="72" t="s">
        <v>30</v>
      </c>
      <c r="L524" s="72" t="s">
        <v>30</v>
      </c>
      <c r="M524" s="72" t="s">
        <v>30</v>
      </c>
      <c r="N524" s="72" t="s">
        <v>30</v>
      </c>
      <c r="O524" s="73" t="s">
        <v>30</v>
      </c>
      <c r="P524" s="72" t="s">
        <v>30</v>
      </c>
      <c r="Q524" s="72" t="s">
        <v>30</v>
      </c>
      <c r="R524" s="72" t="s">
        <v>30</v>
      </c>
      <c r="S524" s="72" t="s">
        <v>30</v>
      </c>
      <c r="T524" s="72" t="s">
        <v>30</v>
      </c>
      <c r="W524" s="31"/>
    </row>
    <row r="525">
      <c r="B525" s="72" t="s">
        <v>30</v>
      </c>
      <c r="C525" s="72" t="s">
        <v>30</v>
      </c>
      <c r="D525" s="72" t="s">
        <v>30</v>
      </c>
      <c r="E525" s="72" t="s">
        <v>30</v>
      </c>
      <c r="F525" s="72" t="s">
        <v>30</v>
      </c>
      <c r="G525" s="72" t="s">
        <v>30</v>
      </c>
      <c r="H525" s="72" t="s">
        <v>30</v>
      </c>
      <c r="I525" s="73" t="s">
        <v>30</v>
      </c>
      <c r="J525" s="72" t="s">
        <v>30</v>
      </c>
      <c r="K525" s="72" t="s">
        <v>30</v>
      </c>
      <c r="L525" s="72" t="s">
        <v>30</v>
      </c>
      <c r="M525" s="72" t="s">
        <v>30</v>
      </c>
      <c r="N525" s="72" t="s">
        <v>30</v>
      </c>
      <c r="O525" s="73" t="s">
        <v>30</v>
      </c>
      <c r="P525" s="72" t="s">
        <v>30</v>
      </c>
      <c r="Q525" s="72" t="s">
        <v>30</v>
      </c>
      <c r="R525" s="72" t="s">
        <v>30</v>
      </c>
      <c r="S525" s="72" t="s">
        <v>30</v>
      </c>
      <c r="T525" s="72" t="s">
        <v>30</v>
      </c>
      <c r="W525" s="31"/>
    </row>
    <row r="526">
      <c r="B526" s="72" t="s">
        <v>30</v>
      </c>
      <c r="C526" s="72" t="s">
        <v>30</v>
      </c>
      <c r="D526" s="72" t="s">
        <v>30</v>
      </c>
      <c r="E526" s="72" t="s">
        <v>30</v>
      </c>
      <c r="F526" s="72" t="s">
        <v>30</v>
      </c>
      <c r="G526" s="72" t="s">
        <v>30</v>
      </c>
      <c r="H526" s="72" t="s">
        <v>30</v>
      </c>
      <c r="I526" s="73" t="s">
        <v>30</v>
      </c>
      <c r="J526" s="72" t="s">
        <v>30</v>
      </c>
      <c r="K526" s="72" t="s">
        <v>30</v>
      </c>
      <c r="L526" s="72" t="s">
        <v>30</v>
      </c>
      <c r="M526" s="72" t="s">
        <v>30</v>
      </c>
      <c r="N526" s="72" t="s">
        <v>30</v>
      </c>
      <c r="O526" s="73" t="s">
        <v>30</v>
      </c>
      <c r="P526" s="72" t="s">
        <v>30</v>
      </c>
      <c r="Q526" s="72" t="s">
        <v>30</v>
      </c>
      <c r="R526" s="72" t="s">
        <v>30</v>
      </c>
      <c r="S526" s="72" t="s">
        <v>30</v>
      </c>
      <c r="T526" s="72" t="s">
        <v>30</v>
      </c>
      <c r="W526" s="31"/>
    </row>
    <row r="527">
      <c r="B527" s="72" t="s">
        <v>30</v>
      </c>
      <c r="C527" s="72" t="s">
        <v>30</v>
      </c>
      <c r="D527" s="72" t="s">
        <v>30</v>
      </c>
      <c r="E527" s="72" t="s">
        <v>30</v>
      </c>
      <c r="F527" s="72" t="s">
        <v>30</v>
      </c>
      <c r="G527" s="72" t="s">
        <v>30</v>
      </c>
      <c r="H527" s="72" t="s">
        <v>30</v>
      </c>
      <c r="I527" s="73" t="s">
        <v>30</v>
      </c>
      <c r="J527" s="72" t="s">
        <v>30</v>
      </c>
      <c r="K527" s="72" t="s">
        <v>30</v>
      </c>
      <c r="L527" s="72" t="s">
        <v>30</v>
      </c>
      <c r="M527" s="72" t="s">
        <v>30</v>
      </c>
      <c r="N527" s="72" t="s">
        <v>30</v>
      </c>
      <c r="O527" s="73" t="s">
        <v>30</v>
      </c>
      <c r="P527" s="72" t="s">
        <v>30</v>
      </c>
      <c r="Q527" s="72" t="s">
        <v>30</v>
      </c>
      <c r="R527" s="72" t="s">
        <v>30</v>
      </c>
      <c r="S527" s="72" t="s">
        <v>30</v>
      </c>
      <c r="T527" s="72" t="s">
        <v>30</v>
      </c>
      <c r="W527" s="31"/>
    </row>
    <row r="528">
      <c r="B528" s="72" t="s">
        <v>30</v>
      </c>
      <c r="C528" s="72" t="s">
        <v>30</v>
      </c>
      <c r="D528" s="72" t="s">
        <v>30</v>
      </c>
      <c r="E528" s="72" t="s">
        <v>30</v>
      </c>
      <c r="F528" s="72" t="s">
        <v>30</v>
      </c>
      <c r="G528" s="72" t="s">
        <v>30</v>
      </c>
      <c r="H528" s="72" t="s">
        <v>30</v>
      </c>
      <c r="I528" s="73" t="s">
        <v>30</v>
      </c>
      <c r="J528" s="72" t="s">
        <v>30</v>
      </c>
      <c r="K528" s="72" t="s">
        <v>30</v>
      </c>
      <c r="L528" s="72" t="s">
        <v>30</v>
      </c>
      <c r="M528" s="72" t="s">
        <v>30</v>
      </c>
      <c r="N528" s="72" t="s">
        <v>30</v>
      </c>
      <c r="O528" s="73" t="s">
        <v>30</v>
      </c>
      <c r="P528" s="72" t="s">
        <v>30</v>
      </c>
      <c r="Q528" s="72" t="s">
        <v>30</v>
      </c>
      <c r="R528" s="72" t="s">
        <v>30</v>
      </c>
      <c r="S528" s="72" t="s">
        <v>30</v>
      </c>
      <c r="T528" s="72" t="s">
        <v>30</v>
      </c>
      <c r="W528" s="31"/>
    </row>
    <row r="529">
      <c r="B529" s="72" t="s">
        <v>30</v>
      </c>
      <c r="C529" s="72" t="s">
        <v>30</v>
      </c>
      <c r="D529" s="72" t="s">
        <v>30</v>
      </c>
      <c r="E529" s="72" t="s">
        <v>30</v>
      </c>
      <c r="F529" s="72" t="s">
        <v>30</v>
      </c>
      <c r="G529" s="72" t="s">
        <v>30</v>
      </c>
      <c r="H529" s="72" t="s">
        <v>30</v>
      </c>
      <c r="I529" s="73" t="s">
        <v>30</v>
      </c>
      <c r="J529" s="72" t="s">
        <v>30</v>
      </c>
      <c r="K529" s="72" t="s">
        <v>30</v>
      </c>
      <c r="L529" s="72" t="s">
        <v>30</v>
      </c>
      <c r="M529" s="72" t="s">
        <v>30</v>
      </c>
      <c r="N529" s="72" t="s">
        <v>30</v>
      </c>
      <c r="O529" s="73" t="s">
        <v>30</v>
      </c>
      <c r="P529" s="72" t="s">
        <v>30</v>
      </c>
      <c r="Q529" s="72" t="s">
        <v>30</v>
      </c>
      <c r="R529" s="72" t="s">
        <v>30</v>
      </c>
      <c r="S529" s="72" t="s">
        <v>30</v>
      </c>
      <c r="T529" s="72" t="s">
        <v>30</v>
      </c>
      <c r="W529" s="31"/>
    </row>
    <row r="530">
      <c r="B530" s="72" t="s">
        <v>30</v>
      </c>
      <c r="C530" s="72" t="s">
        <v>30</v>
      </c>
      <c r="D530" s="72" t="s">
        <v>30</v>
      </c>
      <c r="E530" s="72" t="s">
        <v>30</v>
      </c>
      <c r="F530" s="72" t="s">
        <v>30</v>
      </c>
      <c r="G530" s="72" t="s">
        <v>30</v>
      </c>
      <c r="H530" s="72" t="s">
        <v>30</v>
      </c>
      <c r="I530" s="73" t="s">
        <v>30</v>
      </c>
      <c r="J530" s="72" t="s">
        <v>30</v>
      </c>
      <c r="K530" s="72" t="s">
        <v>30</v>
      </c>
      <c r="L530" s="72" t="s">
        <v>30</v>
      </c>
      <c r="M530" s="72" t="s">
        <v>30</v>
      </c>
      <c r="N530" s="72" t="s">
        <v>30</v>
      </c>
      <c r="O530" s="73" t="s">
        <v>30</v>
      </c>
      <c r="P530" s="72" t="s">
        <v>30</v>
      </c>
      <c r="Q530" s="72" t="s">
        <v>30</v>
      </c>
      <c r="R530" s="72" t="s">
        <v>30</v>
      </c>
      <c r="S530" s="72" t="s">
        <v>30</v>
      </c>
      <c r="T530" s="72" t="s">
        <v>30</v>
      </c>
      <c r="W530" s="31"/>
    </row>
    <row r="531">
      <c r="B531" s="72" t="s">
        <v>30</v>
      </c>
      <c r="C531" s="72" t="s">
        <v>30</v>
      </c>
      <c r="D531" s="72" t="s">
        <v>30</v>
      </c>
      <c r="E531" s="72" t="s">
        <v>30</v>
      </c>
      <c r="F531" s="72" t="s">
        <v>30</v>
      </c>
      <c r="G531" s="72" t="s">
        <v>30</v>
      </c>
      <c r="H531" s="72" t="s">
        <v>30</v>
      </c>
      <c r="I531" s="73" t="s">
        <v>30</v>
      </c>
      <c r="J531" s="72" t="s">
        <v>30</v>
      </c>
      <c r="K531" s="72" t="s">
        <v>30</v>
      </c>
      <c r="L531" s="72" t="s">
        <v>30</v>
      </c>
      <c r="M531" s="72" t="s">
        <v>30</v>
      </c>
      <c r="N531" s="72" t="s">
        <v>30</v>
      </c>
      <c r="O531" s="73" t="s">
        <v>30</v>
      </c>
      <c r="P531" s="72" t="s">
        <v>30</v>
      </c>
      <c r="Q531" s="72" t="s">
        <v>30</v>
      </c>
      <c r="R531" s="72" t="s">
        <v>30</v>
      </c>
      <c r="S531" s="72" t="s">
        <v>30</v>
      </c>
      <c r="T531" s="72" t="s">
        <v>30</v>
      </c>
      <c r="W531" s="31"/>
    </row>
    <row r="532">
      <c r="B532" s="72" t="s">
        <v>30</v>
      </c>
      <c r="C532" s="72" t="s">
        <v>30</v>
      </c>
      <c r="D532" s="72" t="s">
        <v>30</v>
      </c>
      <c r="E532" s="72" t="s">
        <v>30</v>
      </c>
      <c r="F532" s="72" t="s">
        <v>30</v>
      </c>
      <c r="G532" s="72" t="s">
        <v>30</v>
      </c>
      <c r="H532" s="72" t="s">
        <v>30</v>
      </c>
      <c r="I532" s="73" t="s">
        <v>30</v>
      </c>
      <c r="J532" s="72" t="s">
        <v>30</v>
      </c>
      <c r="K532" s="72" t="s">
        <v>30</v>
      </c>
      <c r="L532" s="72" t="s">
        <v>30</v>
      </c>
      <c r="M532" s="72" t="s">
        <v>30</v>
      </c>
      <c r="N532" s="72" t="s">
        <v>30</v>
      </c>
      <c r="O532" s="73" t="s">
        <v>30</v>
      </c>
      <c r="P532" s="72" t="s">
        <v>30</v>
      </c>
      <c r="Q532" s="72" t="s">
        <v>30</v>
      </c>
      <c r="R532" s="72" t="s">
        <v>30</v>
      </c>
      <c r="S532" s="72" t="s">
        <v>30</v>
      </c>
      <c r="T532" s="72" t="s">
        <v>30</v>
      </c>
      <c r="W532" s="31"/>
    </row>
    <row r="533">
      <c r="B533" s="72" t="s">
        <v>30</v>
      </c>
      <c r="C533" s="72" t="s">
        <v>30</v>
      </c>
      <c r="D533" s="72" t="s">
        <v>30</v>
      </c>
      <c r="E533" s="72" t="s">
        <v>30</v>
      </c>
      <c r="F533" s="72" t="s">
        <v>30</v>
      </c>
      <c r="G533" s="72" t="s">
        <v>30</v>
      </c>
      <c r="H533" s="72" t="s">
        <v>30</v>
      </c>
      <c r="I533" s="73" t="s">
        <v>30</v>
      </c>
      <c r="J533" s="72" t="s">
        <v>30</v>
      </c>
      <c r="K533" s="72" t="s">
        <v>30</v>
      </c>
      <c r="L533" s="72" t="s">
        <v>30</v>
      </c>
      <c r="M533" s="72" t="s">
        <v>30</v>
      </c>
      <c r="N533" s="72" t="s">
        <v>30</v>
      </c>
      <c r="O533" s="73" t="s">
        <v>30</v>
      </c>
      <c r="P533" s="72" t="s">
        <v>30</v>
      </c>
      <c r="Q533" s="72" t="s">
        <v>30</v>
      </c>
      <c r="R533" s="72" t="s">
        <v>30</v>
      </c>
      <c r="S533" s="72" t="s">
        <v>30</v>
      </c>
      <c r="T533" s="72" t="s">
        <v>30</v>
      </c>
      <c r="W533" s="31"/>
    </row>
    <row r="534">
      <c r="B534" s="72" t="s">
        <v>30</v>
      </c>
      <c r="C534" s="72" t="s">
        <v>30</v>
      </c>
      <c r="D534" s="72" t="s">
        <v>30</v>
      </c>
      <c r="E534" s="72" t="s">
        <v>30</v>
      </c>
      <c r="F534" s="72" t="s">
        <v>30</v>
      </c>
      <c r="G534" s="72" t="s">
        <v>30</v>
      </c>
      <c r="H534" s="72" t="s">
        <v>30</v>
      </c>
      <c r="I534" s="73" t="s">
        <v>30</v>
      </c>
      <c r="J534" s="72" t="s">
        <v>30</v>
      </c>
      <c r="K534" s="72" t="s">
        <v>30</v>
      </c>
      <c r="L534" s="72" t="s">
        <v>30</v>
      </c>
      <c r="M534" s="72" t="s">
        <v>30</v>
      </c>
      <c r="N534" s="72" t="s">
        <v>30</v>
      </c>
      <c r="O534" s="73" t="s">
        <v>30</v>
      </c>
      <c r="P534" s="72" t="s">
        <v>30</v>
      </c>
      <c r="Q534" s="72" t="s">
        <v>30</v>
      </c>
      <c r="R534" s="72" t="s">
        <v>30</v>
      </c>
      <c r="S534" s="72" t="s">
        <v>30</v>
      </c>
      <c r="T534" s="72" t="s">
        <v>30</v>
      </c>
      <c r="W534" s="31"/>
    </row>
    <row r="535">
      <c r="B535" s="72" t="s">
        <v>30</v>
      </c>
      <c r="C535" s="72" t="s">
        <v>30</v>
      </c>
      <c r="D535" s="72" t="s">
        <v>30</v>
      </c>
      <c r="E535" s="72" t="s">
        <v>30</v>
      </c>
      <c r="F535" s="72" t="s">
        <v>30</v>
      </c>
      <c r="G535" s="72" t="s">
        <v>30</v>
      </c>
      <c r="H535" s="72" t="s">
        <v>30</v>
      </c>
      <c r="I535" s="73" t="s">
        <v>30</v>
      </c>
      <c r="J535" s="72" t="s">
        <v>30</v>
      </c>
      <c r="K535" s="72" t="s">
        <v>30</v>
      </c>
      <c r="L535" s="72" t="s">
        <v>30</v>
      </c>
      <c r="M535" s="72" t="s">
        <v>30</v>
      </c>
      <c r="N535" s="72" t="s">
        <v>30</v>
      </c>
      <c r="O535" s="73" t="s">
        <v>30</v>
      </c>
      <c r="P535" s="72" t="s">
        <v>30</v>
      </c>
      <c r="Q535" s="72" t="s">
        <v>30</v>
      </c>
      <c r="R535" s="72" t="s">
        <v>30</v>
      </c>
      <c r="S535" s="72" t="s">
        <v>30</v>
      </c>
      <c r="T535" s="72" t="s">
        <v>30</v>
      </c>
      <c r="W535" s="31"/>
    </row>
    <row r="536">
      <c r="B536" s="72" t="s">
        <v>30</v>
      </c>
      <c r="C536" s="72" t="s">
        <v>30</v>
      </c>
      <c r="D536" s="72" t="s">
        <v>30</v>
      </c>
      <c r="E536" s="72" t="s">
        <v>30</v>
      </c>
      <c r="F536" s="72" t="s">
        <v>30</v>
      </c>
      <c r="G536" s="72" t="s">
        <v>30</v>
      </c>
      <c r="H536" s="72" t="s">
        <v>30</v>
      </c>
      <c r="I536" s="73" t="s">
        <v>30</v>
      </c>
      <c r="J536" s="72" t="s">
        <v>30</v>
      </c>
      <c r="K536" s="72" t="s">
        <v>30</v>
      </c>
      <c r="L536" s="72" t="s">
        <v>30</v>
      </c>
      <c r="M536" s="72" t="s">
        <v>30</v>
      </c>
      <c r="N536" s="72" t="s">
        <v>30</v>
      </c>
      <c r="O536" s="73" t="s">
        <v>30</v>
      </c>
      <c r="P536" s="72" t="s">
        <v>30</v>
      </c>
      <c r="Q536" s="72" t="s">
        <v>30</v>
      </c>
      <c r="R536" s="72" t="s">
        <v>30</v>
      </c>
      <c r="S536" s="72" t="s">
        <v>30</v>
      </c>
      <c r="T536" s="72" t="s">
        <v>30</v>
      </c>
      <c r="W536" s="31"/>
    </row>
    <row r="537">
      <c r="B537" s="72" t="s">
        <v>30</v>
      </c>
      <c r="C537" s="72" t="s">
        <v>30</v>
      </c>
      <c r="D537" s="72" t="s">
        <v>30</v>
      </c>
      <c r="E537" s="72" t="s">
        <v>30</v>
      </c>
      <c r="F537" s="72" t="s">
        <v>30</v>
      </c>
      <c r="G537" s="72" t="s">
        <v>30</v>
      </c>
      <c r="H537" s="72" t="s">
        <v>30</v>
      </c>
      <c r="I537" s="73" t="s">
        <v>30</v>
      </c>
      <c r="J537" s="72" t="s">
        <v>30</v>
      </c>
      <c r="K537" s="72" t="s">
        <v>30</v>
      </c>
      <c r="L537" s="72" t="s">
        <v>30</v>
      </c>
      <c r="M537" s="72" t="s">
        <v>30</v>
      </c>
      <c r="N537" s="72" t="s">
        <v>30</v>
      </c>
      <c r="O537" s="73" t="s">
        <v>30</v>
      </c>
      <c r="P537" s="72" t="s">
        <v>30</v>
      </c>
      <c r="Q537" s="72" t="s">
        <v>30</v>
      </c>
      <c r="R537" s="72" t="s">
        <v>30</v>
      </c>
      <c r="S537" s="72" t="s">
        <v>30</v>
      </c>
      <c r="T537" s="72" t="s">
        <v>30</v>
      </c>
      <c r="W537" s="31"/>
    </row>
    <row r="538">
      <c r="B538" s="72" t="s">
        <v>30</v>
      </c>
      <c r="C538" s="72" t="s">
        <v>30</v>
      </c>
      <c r="D538" s="72" t="s">
        <v>30</v>
      </c>
      <c r="E538" s="72" t="s">
        <v>30</v>
      </c>
      <c r="F538" s="72" t="s">
        <v>30</v>
      </c>
      <c r="G538" s="72" t="s">
        <v>30</v>
      </c>
      <c r="H538" s="72" t="s">
        <v>30</v>
      </c>
      <c r="I538" s="73" t="s">
        <v>30</v>
      </c>
      <c r="J538" s="72" t="s">
        <v>30</v>
      </c>
      <c r="K538" s="72" t="s">
        <v>30</v>
      </c>
      <c r="L538" s="72" t="s">
        <v>30</v>
      </c>
      <c r="M538" s="72" t="s">
        <v>30</v>
      </c>
      <c r="N538" s="72" t="s">
        <v>30</v>
      </c>
      <c r="O538" s="73" t="s">
        <v>30</v>
      </c>
      <c r="P538" s="72" t="s">
        <v>30</v>
      </c>
      <c r="Q538" s="72" t="s">
        <v>30</v>
      </c>
      <c r="R538" s="72" t="s">
        <v>30</v>
      </c>
      <c r="S538" s="72" t="s">
        <v>30</v>
      </c>
      <c r="T538" s="72" t="s">
        <v>30</v>
      </c>
      <c r="W538" s="31"/>
    </row>
    <row r="539">
      <c r="B539" s="72" t="s">
        <v>30</v>
      </c>
      <c r="C539" s="72" t="s">
        <v>30</v>
      </c>
      <c r="D539" s="72" t="s">
        <v>30</v>
      </c>
      <c r="E539" s="72" t="s">
        <v>30</v>
      </c>
      <c r="F539" s="72" t="s">
        <v>30</v>
      </c>
      <c r="G539" s="72" t="s">
        <v>30</v>
      </c>
      <c r="H539" s="72" t="s">
        <v>30</v>
      </c>
      <c r="I539" s="73" t="s">
        <v>30</v>
      </c>
      <c r="J539" s="72" t="s">
        <v>30</v>
      </c>
      <c r="K539" s="72" t="s">
        <v>30</v>
      </c>
      <c r="L539" s="72" t="s">
        <v>30</v>
      </c>
      <c r="M539" s="72" t="s">
        <v>30</v>
      </c>
      <c r="N539" s="72" t="s">
        <v>30</v>
      </c>
      <c r="O539" s="73" t="s">
        <v>30</v>
      </c>
      <c r="P539" s="72" t="s">
        <v>30</v>
      </c>
      <c r="Q539" s="72" t="s">
        <v>30</v>
      </c>
      <c r="R539" s="72" t="s">
        <v>30</v>
      </c>
      <c r="S539" s="72" t="s">
        <v>30</v>
      </c>
      <c r="T539" s="72" t="s">
        <v>30</v>
      </c>
      <c r="W539" s="31"/>
    </row>
    <row r="540">
      <c r="B540" s="72" t="s">
        <v>30</v>
      </c>
      <c r="C540" s="72" t="s">
        <v>30</v>
      </c>
      <c r="D540" s="72" t="s">
        <v>30</v>
      </c>
      <c r="E540" s="72" t="s">
        <v>30</v>
      </c>
      <c r="F540" s="72" t="s">
        <v>30</v>
      </c>
      <c r="G540" s="72" t="s">
        <v>30</v>
      </c>
      <c r="H540" s="72" t="s">
        <v>30</v>
      </c>
      <c r="I540" s="73" t="s">
        <v>30</v>
      </c>
      <c r="J540" s="72" t="s">
        <v>30</v>
      </c>
      <c r="K540" s="72" t="s">
        <v>30</v>
      </c>
      <c r="L540" s="72" t="s">
        <v>30</v>
      </c>
      <c r="M540" s="72" t="s">
        <v>30</v>
      </c>
      <c r="N540" s="72" t="s">
        <v>30</v>
      </c>
      <c r="O540" s="73" t="s">
        <v>30</v>
      </c>
      <c r="P540" s="72" t="s">
        <v>30</v>
      </c>
      <c r="Q540" s="72" t="s">
        <v>30</v>
      </c>
      <c r="R540" s="72" t="s">
        <v>30</v>
      </c>
      <c r="S540" s="72" t="s">
        <v>30</v>
      </c>
      <c r="T540" s="72" t="s">
        <v>30</v>
      </c>
      <c r="W540" s="31"/>
    </row>
    <row r="541">
      <c r="B541" s="72" t="s">
        <v>30</v>
      </c>
      <c r="C541" s="72" t="s">
        <v>30</v>
      </c>
      <c r="D541" s="72" t="s">
        <v>30</v>
      </c>
      <c r="E541" s="72" t="s">
        <v>30</v>
      </c>
      <c r="F541" s="72" t="s">
        <v>30</v>
      </c>
      <c r="G541" s="72" t="s">
        <v>30</v>
      </c>
      <c r="H541" s="72" t="s">
        <v>30</v>
      </c>
      <c r="I541" s="73" t="s">
        <v>30</v>
      </c>
      <c r="J541" s="72" t="s">
        <v>30</v>
      </c>
      <c r="K541" s="72" t="s">
        <v>30</v>
      </c>
      <c r="L541" s="72" t="s">
        <v>30</v>
      </c>
      <c r="M541" s="72" t="s">
        <v>30</v>
      </c>
      <c r="N541" s="72" t="s">
        <v>30</v>
      </c>
      <c r="O541" s="73" t="s">
        <v>30</v>
      </c>
      <c r="P541" s="72" t="s">
        <v>30</v>
      </c>
      <c r="Q541" s="72" t="s">
        <v>30</v>
      </c>
      <c r="R541" s="72" t="s">
        <v>30</v>
      </c>
      <c r="S541" s="72" t="s">
        <v>30</v>
      </c>
      <c r="T541" s="72" t="s">
        <v>30</v>
      </c>
      <c r="W541" s="31"/>
    </row>
    <row r="542">
      <c r="B542" s="72" t="s">
        <v>30</v>
      </c>
      <c r="C542" s="72" t="s">
        <v>30</v>
      </c>
      <c r="D542" s="72" t="s">
        <v>30</v>
      </c>
      <c r="E542" s="72" t="s">
        <v>30</v>
      </c>
      <c r="F542" s="72" t="s">
        <v>30</v>
      </c>
      <c r="G542" s="72" t="s">
        <v>30</v>
      </c>
      <c r="H542" s="72" t="s">
        <v>30</v>
      </c>
      <c r="I542" s="73" t="s">
        <v>30</v>
      </c>
      <c r="J542" s="72" t="s">
        <v>30</v>
      </c>
      <c r="K542" s="72" t="s">
        <v>30</v>
      </c>
      <c r="L542" s="72" t="s">
        <v>30</v>
      </c>
      <c r="M542" s="72" t="s">
        <v>30</v>
      </c>
      <c r="N542" s="72" t="s">
        <v>30</v>
      </c>
      <c r="O542" s="73" t="s">
        <v>30</v>
      </c>
      <c r="P542" s="72" t="s">
        <v>30</v>
      </c>
      <c r="Q542" s="72" t="s">
        <v>30</v>
      </c>
      <c r="R542" s="72" t="s">
        <v>30</v>
      </c>
      <c r="S542" s="72" t="s">
        <v>30</v>
      </c>
      <c r="T542" s="72" t="s">
        <v>30</v>
      </c>
      <c r="W542" s="31"/>
    </row>
    <row r="543">
      <c r="B543" s="72" t="s">
        <v>30</v>
      </c>
      <c r="C543" s="72" t="s">
        <v>30</v>
      </c>
      <c r="D543" s="72" t="s">
        <v>30</v>
      </c>
      <c r="E543" s="72" t="s">
        <v>30</v>
      </c>
      <c r="F543" s="72" t="s">
        <v>30</v>
      </c>
      <c r="G543" s="72" t="s">
        <v>30</v>
      </c>
      <c r="H543" s="72" t="s">
        <v>30</v>
      </c>
      <c r="I543" s="73" t="s">
        <v>30</v>
      </c>
      <c r="J543" s="72" t="s">
        <v>30</v>
      </c>
      <c r="K543" s="72" t="s">
        <v>30</v>
      </c>
      <c r="L543" s="72" t="s">
        <v>30</v>
      </c>
      <c r="M543" s="72" t="s">
        <v>30</v>
      </c>
      <c r="N543" s="72" t="s">
        <v>30</v>
      </c>
      <c r="O543" s="73" t="s">
        <v>30</v>
      </c>
      <c r="P543" s="72" t="s">
        <v>30</v>
      </c>
      <c r="Q543" s="72" t="s">
        <v>30</v>
      </c>
      <c r="R543" s="72" t="s">
        <v>30</v>
      </c>
      <c r="S543" s="72" t="s">
        <v>30</v>
      </c>
      <c r="T543" s="72" t="s">
        <v>30</v>
      </c>
      <c r="W543" s="31"/>
    </row>
    <row r="544">
      <c r="B544" s="72" t="s">
        <v>30</v>
      </c>
      <c r="C544" s="72" t="s">
        <v>30</v>
      </c>
      <c r="D544" s="72" t="s">
        <v>30</v>
      </c>
      <c r="E544" s="72" t="s">
        <v>30</v>
      </c>
      <c r="F544" s="72" t="s">
        <v>30</v>
      </c>
      <c r="G544" s="72" t="s">
        <v>30</v>
      </c>
      <c r="H544" s="72" t="s">
        <v>30</v>
      </c>
      <c r="I544" s="73" t="s">
        <v>30</v>
      </c>
      <c r="J544" s="72" t="s">
        <v>30</v>
      </c>
      <c r="K544" s="72" t="s">
        <v>30</v>
      </c>
      <c r="L544" s="72" t="s">
        <v>30</v>
      </c>
      <c r="M544" s="72" t="s">
        <v>30</v>
      </c>
      <c r="N544" s="72" t="s">
        <v>30</v>
      </c>
      <c r="O544" s="73" t="s">
        <v>30</v>
      </c>
      <c r="P544" s="72" t="s">
        <v>30</v>
      </c>
      <c r="Q544" s="72" t="s">
        <v>30</v>
      </c>
      <c r="R544" s="72" t="s">
        <v>30</v>
      </c>
      <c r="S544" s="72" t="s">
        <v>30</v>
      </c>
      <c r="T544" s="72" t="s">
        <v>30</v>
      </c>
      <c r="W544" s="31"/>
    </row>
    <row r="545">
      <c r="B545" s="72" t="s">
        <v>30</v>
      </c>
      <c r="C545" s="72" t="s">
        <v>30</v>
      </c>
      <c r="D545" s="72" t="s">
        <v>30</v>
      </c>
      <c r="E545" s="72" t="s">
        <v>30</v>
      </c>
      <c r="F545" s="72" t="s">
        <v>30</v>
      </c>
      <c r="G545" s="72" t="s">
        <v>30</v>
      </c>
      <c r="H545" s="72" t="s">
        <v>30</v>
      </c>
      <c r="I545" s="73" t="s">
        <v>30</v>
      </c>
      <c r="J545" s="72" t="s">
        <v>30</v>
      </c>
      <c r="K545" s="72" t="s">
        <v>30</v>
      </c>
      <c r="L545" s="72" t="s">
        <v>30</v>
      </c>
      <c r="M545" s="72" t="s">
        <v>30</v>
      </c>
      <c r="N545" s="72" t="s">
        <v>30</v>
      </c>
      <c r="O545" s="73" t="s">
        <v>30</v>
      </c>
      <c r="P545" s="72" t="s">
        <v>30</v>
      </c>
      <c r="Q545" s="72" t="s">
        <v>30</v>
      </c>
      <c r="R545" s="72" t="s">
        <v>30</v>
      </c>
      <c r="S545" s="72" t="s">
        <v>30</v>
      </c>
      <c r="T545" s="72" t="s">
        <v>30</v>
      </c>
      <c r="W545" s="31"/>
    </row>
    <row r="546">
      <c r="B546" s="72" t="s">
        <v>30</v>
      </c>
      <c r="C546" s="72" t="s">
        <v>30</v>
      </c>
      <c r="D546" s="72" t="s">
        <v>30</v>
      </c>
      <c r="E546" s="72" t="s">
        <v>30</v>
      </c>
      <c r="F546" s="72" t="s">
        <v>30</v>
      </c>
      <c r="G546" s="72" t="s">
        <v>30</v>
      </c>
      <c r="H546" s="72" t="s">
        <v>30</v>
      </c>
      <c r="I546" s="73" t="s">
        <v>30</v>
      </c>
      <c r="J546" s="72" t="s">
        <v>30</v>
      </c>
      <c r="K546" s="72" t="s">
        <v>30</v>
      </c>
      <c r="L546" s="72" t="s">
        <v>30</v>
      </c>
      <c r="M546" s="72" t="s">
        <v>30</v>
      </c>
      <c r="N546" s="72" t="s">
        <v>30</v>
      </c>
      <c r="O546" s="73" t="s">
        <v>30</v>
      </c>
      <c r="P546" s="72" t="s">
        <v>30</v>
      </c>
      <c r="Q546" s="72" t="s">
        <v>30</v>
      </c>
      <c r="R546" s="72" t="s">
        <v>30</v>
      </c>
      <c r="S546" s="72" t="s">
        <v>30</v>
      </c>
      <c r="T546" s="72" t="s">
        <v>30</v>
      </c>
      <c r="W546" s="31"/>
    </row>
    <row r="547">
      <c r="B547" s="72" t="s">
        <v>30</v>
      </c>
      <c r="C547" s="72" t="s">
        <v>30</v>
      </c>
      <c r="D547" s="72" t="s">
        <v>30</v>
      </c>
      <c r="E547" s="72" t="s">
        <v>30</v>
      </c>
      <c r="F547" s="72" t="s">
        <v>30</v>
      </c>
      <c r="G547" s="72" t="s">
        <v>30</v>
      </c>
      <c r="H547" s="72" t="s">
        <v>30</v>
      </c>
      <c r="I547" s="73" t="s">
        <v>30</v>
      </c>
      <c r="J547" s="72" t="s">
        <v>30</v>
      </c>
      <c r="K547" s="72" t="s">
        <v>30</v>
      </c>
      <c r="L547" s="72" t="s">
        <v>30</v>
      </c>
      <c r="M547" s="72" t="s">
        <v>30</v>
      </c>
      <c r="N547" s="72" t="s">
        <v>30</v>
      </c>
      <c r="O547" s="73" t="s">
        <v>30</v>
      </c>
      <c r="P547" s="72" t="s">
        <v>30</v>
      </c>
      <c r="Q547" s="72" t="s">
        <v>30</v>
      </c>
      <c r="R547" s="72" t="s">
        <v>30</v>
      </c>
      <c r="S547" s="72" t="s">
        <v>30</v>
      </c>
      <c r="T547" s="72" t="s">
        <v>30</v>
      </c>
      <c r="W547" s="31"/>
    </row>
    <row r="548">
      <c r="B548" s="72" t="s">
        <v>30</v>
      </c>
      <c r="C548" s="72" t="s">
        <v>30</v>
      </c>
      <c r="D548" s="72" t="s">
        <v>30</v>
      </c>
      <c r="E548" s="72" t="s">
        <v>30</v>
      </c>
      <c r="F548" s="72" t="s">
        <v>30</v>
      </c>
      <c r="G548" s="72" t="s">
        <v>30</v>
      </c>
      <c r="H548" s="72" t="s">
        <v>30</v>
      </c>
      <c r="I548" s="73" t="s">
        <v>30</v>
      </c>
      <c r="J548" s="72" t="s">
        <v>30</v>
      </c>
      <c r="K548" s="72" t="s">
        <v>30</v>
      </c>
      <c r="L548" s="72" t="s">
        <v>30</v>
      </c>
      <c r="M548" s="72" t="s">
        <v>30</v>
      </c>
      <c r="N548" s="72" t="s">
        <v>30</v>
      </c>
      <c r="O548" s="73" t="s">
        <v>30</v>
      </c>
      <c r="P548" s="72" t="s">
        <v>30</v>
      </c>
      <c r="Q548" s="72" t="s">
        <v>30</v>
      </c>
      <c r="R548" s="72" t="s">
        <v>30</v>
      </c>
      <c r="S548" s="72" t="s">
        <v>30</v>
      </c>
      <c r="T548" s="72" t="s">
        <v>30</v>
      </c>
      <c r="W548" s="31"/>
    </row>
    <row r="549">
      <c r="B549" s="72" t="s">
        <v>30</v>
      </c>
      <c r="C549" s="72" t="s">
        <v>30</v>
      </c>
      <c r="D549" s="72" t="s">
        <v>30</v>
      </c>
      <c r="E549" s="72" t="s">
        <v>30</v>
      </c>
      <c r="F549" s="72" t="s">
        <v>30</v>
      </c>
      <c r="G549" s="72" t="s">
        <v>30</v>
      </c>
      <c r="H549" s="72" t="s">
        <v>30</v>
      </c>
      <c r="I549" s="73" t="s">
        <v>30</v>
      </c>
      <c r="J549" s="72" t="s">
        <v>30</v>
      </c>
      <c r="K549" s="72" t="s">
        <v>30</v>
      </c>
      <c r="L549" s="72" t="s">
        <v>30</v>
      </c>
      <c r="M549" s="72" t="s">
        <v>30</v>
      </c>
      <c r="N549" s="72" t="s">
        <v>30</v>
      </c>
      <c r="O549" s="73" t="s">
        <v>30</v>
      </c>
      <c r="P549" s="72" t="s">
        <v>30</v>
      </c>
      <c r="Q549" s="72" t="s">
        <v>30</v>
      </c>
      <c r="R549" s="72" t="s">
        <v>30</v>
      </c>
      <c r="S549" s="72" t="s">
        <v>30</v>
      </c>
      <c r="T549" s="72" t="s">
        <v>30</v>
      </c>
      <c r="W549" s="31"/>
    </row>
    <row r="550">
      <c r="B550" s="72" t="s">
        <v>30</v>
      </c>
      <c r="C550" s="72" t="s">
        <v>30</v>
      </c>
      <c r="D550" s="72" t="s">
        <v>30</v>
      </c>
      <c r="E550" s="72" t="s">
        <v>30</v>
      </c>
      <c r="F550" s="72" t="s">
        <v>30</v>
      </c>
      <c r="G550" s="72" t="s">
        <v>30</v>
      </c>
      <c r="H550" s="72" t="s">
        <v>30</v>
      </c>
      <c r="I550" s="73" t="s">
        <v>30</v>
      </c>
      <c r="J550" s="72" t="s">
        <v>30</v>
      </c>
      <c r="K550" s="72" t="s">
        <v>30</v>
      </c>
      <c r="L550" s="72" t="s">
        <v>30</v>
      </c>
      <c r="M550" s="72" t="s">
        <v>30</v>
      </c>
      <c r="N550" s="72" t="s">
        <v>30</v>
      </c>
      <c r="O550" s="73" t="s">
        <v>30</v>
      </c>
      <c r="P550" s="72" t="s">
        <v>30</v>
      </c>
      <c r="Q550" s="72" t="s">
        <v>30</v>
      </c>
      <c r="R550" s="72" t="s">
        <v>30</v>
      </c>
      <c r="S550" s="72" t="s">
        <v>30</v>
      </c>
      <c r="T550" s="72" t="s">
        <v>30</v>
      </c>
      <c r="W550" s="31"/>
    </row>
    <row r="551">
      <c r="B551" s="72" t="s">
        <v>30</v>
      </c>
      <c r="C551" s="72" t="s">
        <v>30</v>
      </c>
      <c r="D551" s="72" t="s">
        <v>30</v>
      </c>
      <c r="E551" s="72" t="s">
        <v>30</v>
      </c>
      <c r="F551" s="72" t="s">
        <v>30</v>
      </c>
      <c r="G551" s="72" t="s">
        <v>30</v>
      </c>
      <c r="H551" s="72" t="s">
        <v>30</v>
      </c>
      <c r="I551" s="73" t="s">
        <v>30</v>
      </c>
      <c r="J551" s="72" t="s">
        <v>30</v>
      </c>
      <c r="K551" s="72" t="s">
        <v>30</v>
      </c>
      <c r="L551" s="72" t="s">
        <v>30</v>
      </c>
      <c r="M551" s="72" t="s">
        <v>30</v>
      </c>
      <c r="N551" s="72" t="s">
        <v>30</v>
      </c>
      <c r="O551" s="73" t="s">
        <v>30</v>
      </c>
      <c r="P551" s="72" t="s">
        <v>30</v>
      </c>
      <c r="Q551" s="72" t="s">
        <v>30</v>
      </c>
      <c r="R551" s="72" t="s">
        <v>30</v>
      </c>
      <c r="S551" s="72" t="s">
        <v>30</v>
      </c>
      <c r="T551" s="72" t="s">
        <v>30</v>
      </c>
      <c r="W551" s="31"/>
    </row>
    <row r="552">
      <c r="B552" s="72" t="s">
        <v>30</v>
      </c>
      <c r="C552" s="72" t="s">
        <v>30</v>
      </c>
      <c r="D552" s="72" t="s">
        <v>30</v>
      </c>
      <c r="E552" s="72" t="s">
        <v>30</v>
      </c>
      <c r="F552" s="72" t="s">
        <v>30</v>
      </c>
      <c r="G552" s="72" t="s">
        <v>30</v>
      </c>
      <c r="H552" s="72" t="s">
        <v>30</v>
      </c>
      <c r="I552" s="73" t="s">
        <v>30</v>
      </c>
      <c r="J552" s="72" t="s">
        <v>30</v>
      </c>
      <c r="K552" s="72" t="s">
        <v>30</v>
      </c>
      <c r="L552" s="72" t="s">
        <v>30</v>
      </c>
      <c r="M552" s="72" t="s">
        <v>30</v>
      </c>
      <c r="N552" s="72" t="s">
        <v>30</v>
      </c>
      <c r="O552" s="73" t="s">
        <v>30</v>
      </c>
      <c r="P552" s="72" t="s">
        <v>30</v>
      </c>
      <c r="Q552" s="72" t="s">
        <v>30</v>
      </c>
      <c r="R552" s="72" t="s">
        <v>30</v>
      </c>
      <c r="S552" s="72" t="s">
        <v>30</v>
      </c>
      <c r="T552" s="72" t="s">
        <v>30</v>
      </c>
      <c r="W552" s="31"/>
    </row>
    <row r="553">
      <c r="B553" s="72" t="s">
        <v>30</v>
      </c>
      <c r="C553" s="72" t="s">
        <v>30</v>
      </c>
      <c r="D553" s="72" t="s">
        <v>30</v>
      </c>
      <c r="E553" s="72" t="s">
        <v>30</v>
      </c>
      <c r="F553" s="72" t="s">
        <v>30</v>
      </c>
      <c r="G553" s="72" t="s">
        <v>30</v>
      </c>
      <c r="H553" s="72" t="s">
        <v>30</v>
      </c>
      <c r="I553" s="73" t="s">
        <v>30</v>
      </c>
      <c r="J553" s="72" t="s">
        <v>30</v>
      </c>
      <c r="K553" s="72" t="s">
        <v>30</v>
      </c>
      <c r="L553" s="72" t="s">
        <v>30</v>
      </c>
      <c r="M553" s="72" t="s">
        <v>30</v>
      </c>
      <c r="N553" s="72" t="s">
        <v>30</v>
      </c>
      <c r="O553" s="73" t="s">
        <v>30</v>
      </c>
      <c r="P553" s="72" t="s">
        <v>30</v>
      </c>
      <c r="Q553" s="72" t="s">
        <v>30</v>
      </c>
      <c r="R553" s="72" t="s">
        <v>30</v>
      </c>
      <c r="S553" s="72" t="s">
        <v>30</v>
      </c>
      <c r="T553" s="72" t="s">
        <v>30</v>
      </c>
      <c r="W553" s="31"/>
    </row>
    <row r="554">
      <c r="B554" s="72" t="s">
        <v>30</v>
      </c>
      <c r="C554" s="72" t="s">
        <v>30</v>
      </c>
      <c r="D554" s="72" t="s">
        <v>30</v>
      </c>
      <c r="E554" s="72" t="s">
        <v>30</v>
      </c>
      <c r="F554" s="72" t="s">
        <v>30</v>
      </c>
      <c r="G554" s="72" t="s">
        <v>30</v>
      </c>
      <c r="H554" s="72" t="s">
        <v>30</v>
      </c>
      <c r="I554" s="73" t="s">
        <v>30</v>
      </c>
      <c r="J554" s="72" t="s">
        <v>30</v>
      </c>
      <c r="K554" s="72" t="s">
        <v>30</v>
      </c>
      <c r="L554" s="72" t="s">
        <v>30</v>
      </c>
      <c r="M554" s="72" t="s">
        <v>30</v>
      </c>
      <c r="N554" s="72" t="s">
        <v>30</v>
      </c>
      <c r="O554" s="73" t="s">
        <v>30</v>
      </c>
      <c r="P554" s="72" t="s">
        <v>30</v>
      </c>
      <c r="Q554" s="72" t="s">
        <v>30</v>
      </c>
      <c r="R554" s="72" t="s">
        <v>30</v>
      </c>
      <c r="S554" s="72" t="s">
        <v>30</v>
      </c>
      <c r="T554" s="72" t="s">
        <v>30</v>
      </c>
      <c r="W554" s="31"/>
    </row>
    <row r="555">
      <c r="B555" s="72" t="s">
        <v>30</v>
      </c>
      <c r="C555" s="72" t="s">
        <v>30</v>
      </c>
      <c r="D555" s="72" t="s">
        <v>30</v>
      </c>
      <c r="E555" s="72" t="s">
        <v>30</v>
      </c>
      <c r="F555" s="72" t="s">
        <v>30</v>
      </c>
      <c r="G555" s="72" t="s">
        <v>30</v>
      </c>
      <c r="H555" s="72" t="s">
        <v>30</v>
      </c>
      <c r="I555" s="73" t="s">
        <v>30</v>
      </c>
      <c r="J555" s="72" t="s">
        <v>30</v>
      </c>
      <c r="K555" s="72" t="s">
        <v>30</v>
      </c>
      <c r="L555" s="72" t="s">
        <v>30</v>
      </c>
      <c r="M555" s="72" t="s">
        <v>30</v>
      </c>
      <c r="N555" s="72" t="s">
        <v>30</v>
      </c>
      <c r="O555" s="73" t="s">
        <v>30</v>
      </c>
      <c r="P555" s="72" t="s">
        <v>30</v>
      </c>
      <c r="Q555" s="72" t="s">
        <v>30</v>
      </c>
      <c r="R555" s="72" t="s">
        <v>30</v>
      </c>
      <c r="S555" s="72" t="s">
        <v>30</v>
      </c>
      <c r="T555" s="72" t="s">
        <v>30</v>
      </c>
      <c r="W555" s="31"/>
    </row>
    <row r="556">
      <c r="B556" s="72" t="s">
        <v>30</v>
      </c>
      <c r="C556" s="72" t="s">
        <v>30</v>
      </c>
      <c r="D556" s="72" t="s">
        <v>30</v>
      </c>
      <c r="E556" s="72" t="s">
        <v>30</v>
      </c>
      <c r="F556" s="72" t="s">
        <v>30</v>
      </c>
      <c r="G556" s="72" t="s">
        <v>30</v>
      </c>
      <c r="H556" s="72" t="s">
        <v>30</v>
      </c>
      <c r="I556" s="73" t="s">
        <v>30</v>
      </c>
      <c r="J556" s="72" t="s">
        <v>30</v>
      </c>
      <c r="K556" s="72" t="s">
        <v>30</v>
      </c>
      <c r="L556" s="72" t="s">
        <v>30</v>
      </c>
      <c r="M556" s="72" t="s">
        <v>30</v>
      </c>
      <c r="N556" s="72" t="s">
        <v>30</v>
      </c>
      <c r="O556" s="73" t="s">
        <v>30</v>
      </c>
      <c r="P556" s="72" t="s">
        <v>30</v>
      </c>
      <c r="Q556" s="72" t="s">
        <v>30</v>
      </c>
      <c r="R556" s="72" t="s">
        <v>30</v>
      </c>
      <c r="S556" s="72" t="s">
        <v>30</v>
      </c>
      <c r="T556" s="72" t="s">
        <v>30</v>
      </c>
      <c r="W556" s="31"/>
    </row>
    <row r="557">
      <c r="B557" s="72" t="s">
        <v>30</v>
      </c>
      <c r="C557" s="72" t="s">
        <v>30</v>
      </c>
      <c r="D557" s="72" t="s">
        <v>30</v>
      </c>
      <c r="E557" s="72" t="s">
        <v>30</v>
      </c>
      <c r="F557" s="72" t="s">
        <v>30</v>
      </c>
      <c r="G557" s="72" t="s">
        <v>30</v>
      </c>
      <c r="H557" s="72" t="s">
        <v>30</v>
      </c>
      <c r="I557" s="73" t="s">
        <v>30</v>
      </c>
      <c r="J557" s="72" t="s">
        <v>30</v>
      </c>
      <c r="K557" s="72" t="s">
        <v>30</v>
      </c>
      <c r="L557" s="72" t="s">
        <v>30</v>
      </c>
      <c r="M557" s="72" t="s">
        <v>30</v>
      </c>
      <c r="N557" s="72" t="s">
        <v>30</v>
      </c>
      <c r="O557" s="73" t="s">
        <v>30</v>
      </c>
      <c r="P557" s="72" t="s">
        <v>30</v>
      </c>
      <c r="Q557" s="72" t="s">
        <v>30</v>
      </c>
      <c r="R557" s="72" t="s">
        <v>30</v>
      </c>
      <c r="S557" s="72" t="s">
        <v>30</v>
      </c>
      <c r="T557" s="72" t="s">
        <v>30</v>
      </c>
      <c r="W557" s="31"/>
    </row>
    <row r="558">
      <c r="B558" s="72" t="s">
        <v>30</v>
      </c>
      <c r="C558" s="72" t="s">
        <v>30</v>
      </c>
      <c r="D558" s="72" t="s">
        <v>30</v>
      </c>
      <c r="E558" s="72" t="s">
        <v>30</v>
      </c>
      <c r="F558" s="72" t="s">
        <v>30</v>
      </c>
      <c r="G558" s="72" t="s">
        <v>30</v>
      </c>
      <c r="H558" s="72" t="s">
        <v>30</v>
      </c>
      <c r="I558" s="73" t="s">
        <v>30</v>
      </c>
      <c r="J558" s="72" t="s">
        <v>30</v>
      </c>
      <c r="K558" s="72" t="s">
        <v>30</v>
      </c>
      <c r="L558" s="72" t="s">
        <v>30</v>
      </c>
      <c r="M558" s="72" t="s">
        <v>30</v>
      </c>
      <c r="N558" s="72" t="s">
        <v>30</v>
      </c>
      <c r="O558" s="73" t="s">
        <v>30</v>
      </c>
      <c r="P558" s="72" t="s">
        <v>30</v>
      </c>
      <c r="Q558" s="72" t="s">
        <v>30</v>
      </c>
      <c r="R558" s="72" t="s">
        <v>30</v>
      </c>
      <c r="S558" s="72" t="s">
        <v>30</v>
      </c>
      <c r="T558" s="72" t="s">
        <v>30</v>
      </c>
      <c r="W558" s="31"/>
    </row>
    <row r="559">
      <c r="B559" s="72" t="s">
        <v>30</v>
      </c>
      <c r="C559" s="72" t="s">
        <v>30</v>
      </c>
      <c r="D559" s="72" t="s">
        <v>30</v>
      </c>
      <c r="E559" s="72" t="s">
        <v>30</v>
      </c>
      <c r="F559" s="72" t="s">
        <v>30</v>
      </c>
      <c r="G559" s="72" t="s">
        <v>30</v>
      </c>
      <c r="H559" s="72" t="s">
        <v>30</v>
      </c>
      <c r="I559" s="73" t="s">
        <v>30</v>
      </c>
      <c r="J559" s="72" t="s">
        <v>30</v>
      </c>
      <c r="K559" s="72" t="s">
        <v>30</v>
      </c>
      <c r="L559" s="72" t="s">
        <v>30</v>
      </c>
      <c r="M559" s="72" t="s">
        <v>30</v>
      </c>
      <c r="N559" s="72" t="s">
        <v>30</v>
      </c>
      <c r="O559" s="73" t="s">
        <v>30</v>
      </c>
      <c r="P559" s="72" t="s">
        <v>30</v>
      </c>
      <c r="Q559" s="72" t="s">
        <v>30</v>
      </c>
      <c r="R559" s="72" t="s">
        <v>30</v>
      </c>
      <c r="S559" s="72" t="s">
        <v>30</v>
      </c>
      <c r="T559" s="72" t="s">
        <v>30</v>
      </c>
      <c r="W559" s="31"/>
    </row>
    <row r="560">
      <c r="B560" s="72" t="s">
        <v>30</v>
      </c>
      <c r="C560" s="72" t="s">
        <v>30</v>
      </c>
      <c r="D560" s="72" t="s">
        <v>30</v>
      </c>
      <c r="E560" s="72" t="s">
        <v>30</v>
      </c>
      <c r="F560" s="72" t="s">
        <v>30</v>
      </c>
      <c r="G560" s="72" t="s">
        <v>30</v>
      </c>
      <c r="H560" s="72" t="s">
        <v>30</v>
      </c>
      <c r="I560" s="73" t="s">
        <v>30</v>
      </c>
      <c r="J560" s="72" t="s">
        <v>30</v>
      </c>
      <c r="K560" s="72" t="s">
        <v>30</v>
      </c>
      <c r="L560" s="72" t="s">
        <v>30</v>
      </c>
      <c r="M560" s="72" t="s">
        <v>30</v>
      </c>
      <c r="N560" s="72" t="s">
        <v>30</v>
      </c>
      <c r="O560" s="73" t="s">
        <v>30</v>
      </c>
      <c r="P560" s="72" t="s">
        <v>30</v>
      </c>
      <c r="Q560" s="72" t="s">
        <v>30</v>
      </c>
      <c r="R560" s="72" t="s">
        <v>30</v>
      </c>
      <c r="S560" s="72" t="s">
        <v>30</v>
      </c>
      <c r="T560" s="72" t="s">
        <v>30</v>
      </c>
      <c r="W560" s="31"/>
    </row>
    <row r="561">
      <c r="B561" s="72" t="s">
        <v>30</v>
      </c>
      <c r="C561" s="72" t="s">
        <v>30</v>
      </c>
      <c r="D561" s="72" t="s">
        <v>30</v>
      </c>
      <c r="E561" s="72" t="s">
        <v>30</v>
      </c>
      <c r="F561" s="72" t="s">
        <v>30</v>
      </c>
      <c r="G561" s="72" t="s">
        <v>30</v>
      </c>
      <c r="H561" s="72" t="s">
        <v>30</v>
      </c>
      <c r="I561" s="73" t="s">
        <v>30</v>
      </c>
      <c r="J561" s="72" t="s">
        <v>30</v>
      </c>
      <c r="K561" s="72" t="s">
        <v>30</v>
      </c>
      <c r="L561" s="72" t="s">
        <v>30</v>
      </c>
      <c r="M561" s="72" t="s">
        <v>30</v>
      </c>
      <c r="N561" s="72" t="s">
        <v>30</v>
      </c>
      <c r="O561" s="73" t="s">
        <v>30</v>
      </c>
      <c r="P561" s="72" t="s">
        <v>30</v>
      </c>
      <c r="Q561" s="72" t="s">
        <v>30</v>
      </c>
      <c r="R561" s="72" t="s">
        <v>30</v>
      </c>
      <c r="S561" s="72" t="s">
        <v>30</v>
      </c>
      <c r="T561" s="72" t="s">
        <v>30</v>
      </c>
      <c r="W561" s="31"/>
    </row>
    <row r="562">
      <c r="B562" s="72" t="s">
        <v>30</v>
      </c>
      <c r="C562" s="72" t="s">
        <v>30</v>
      </c>
      <c r="D562" s="72" t="s">
        <v>30</v>
      </c>
      <c r="E562" s="72" t="s">
        <v>30</v>
      </c>
      <c r="F562" s="72" t="s">
        <v>30</v>
      </c>
      <c r="G562" s="72" t="s">
        <v>30</v>
      </c>
      <c r="H562" s="72" t="s">
        <v>30</v>
      </c>
      <c r="I562" s="73" t="s">
        <v>30</v>
      </c>
      <c r="J562" s="72" t="s">
        <v>30</v>
      </c>
      <c r="K562" s="72" t="s">
        <v>30</v>
      </c>
      <c r="L562" s="72" t="s">
        <v>30</v>
      </c>
      <c r="M562" s="72" t="s">
        <v>30</v>
      </c>
      <c r="N562" s="72" t="s">
        <v>30</v>
      </c>
      <c r="O562" s="73" t="s">
        <v>30</v>
      </c>
      <c r="P562" s="72" t="s">
        <v>30</v>
      </c>
      <c r="Q562" s="72" t="s">
        <v>30</v>
      </c>
      <c r="R562" s="72" t="s">
        <v>30</v>
      </c>
      <c r="S562" s="72" t="s">
        <v>30</v>
      </c>
      <c r="T562" s="72" t="s">
        <v>30</v>
      </c>
      <c r="W562" s="31"/>
    </row>
    <row r="563">
      <c r="B563" s="72" t="s">
        <v>30</v>
      </c>
      <c r="C563" s="72" t="s">
        <v>30</v>
      </c>
      <c r="D563" s="72" t="s">
        <v>30</v>
      </c>
      <c r="E563" s="72" t="s">
        <v>30</v>
      </c>
      <c r="F563" s="72" t="s">
        <v>30</v>
      </c>
      <c r="G563" s="72" t="s">
        <v>30</v>
      </c>
      <c r="H563" s="72" t="s">
        <v>30</v>
      </c>
      <c r="I563" s="73" t="s">
        <v>30</v>
      </c>
      <c r="J563" s="72" t="s">
        <v>30</v>
      </c>
      <c r="K563" s="72" t="s">
        <v>30</v>
      </c>
      <c r="L563" s="72" t="s">
        <v>30</v>
      </c>
      <c r="M563" s="72" t="s">
        <v>30</v>
      </c>
      <c r="N563" s="72" t="s">
        <v>30</v>
      </c>
      <c r="O563" s="73" t="s">
        <v>30</v>
      </c>
      <c r="P563" s="72" t="s">
        <v>30</v>
      </c>
      <c r="Q563" s="72" t="s">
        <v>30</v>
      </c>
      <c r="R563" s="72" t="s">
        <v>30</v>
      </c>
      <c r="S563" s="72" t="s">
        <v>30</v>
      </c>
      <c r="T563" s="72" t="s">
        <v>30</v>
      </c>
      <c r="W563" s="31"/>
    </row>
    <row r="564">
      <c r="B564" s="72" t="s">
        <v>30</v>
      </c>
      <c r="C564" s="72" t="s">
        <v>30</v>
      </c>
      <c r="D564" s="72" t="s">
        <v>30</v>
      </c>
      <c r="E564" s="72" t="s">
        <v>30</v>
      </c>
      <c r="F564" s="72" t="s">
        <v>30</v>
      </c>
      <c r="G564" s="72" t="s">
        <v>30</v>
      </c>
      <c r="H564" s="72" t="s">
        <v>30</v>
      </c>
      <c r="I564" s="73" t="s">
        <v>30</v>
      </c>
      <c r="J564" s="72" t="s">
        <v>30</v>
      </c>
      <c r="K564" s="72" t="s">
        <v>30</v>
      </c>
      <c r="L564" s="72" t="s">
        <v>30</v>
      </c>
      <c r="M564" s="72" t="s">
        <v>30</v>
      </c>
      <c r="N564" s="72" t="s">
        <v>30</v>
      </c>
      <c r="O564" s="73" t="s">
        <v>30</v>
      </c>
      <c r="P564" s="72" t="s">
        <v>30</v>
      </c>
      <c r="Q564" s="72" t="s">
        <v>30</v>
      </c>
      <c r="R564" s="72" t="s">
        <v>30</v>
      </c>
      <c r="S564" s="72" t="s">
        <v>30</v>
      </c>
      <c r="T564" s="72" t="s">
        <v>30</v>
      </c>
      <c r="W564" s="31"/>
    </row>
    <row r="565">
      <c r="B565" s="72" t="s">
        <v>30</v>
      </c>
      <c r="C565" s="72" t="s">
        <v>30</v>
      </c>
      <c r="D565" s="72" t="s">
        <v>30</v>
      </c>
      <c r="E565" s="72" t="s">
        <v>30</v>
      </c>
      <c r="F565" s="72" t="s">
        <v>30</v>
      </c>
      <c r="G565" s="72" t="s">
        <v>30</v>
      </c>
      <c r="H565" s="72" t="s">
        <v>30</v>
      </c>
      <c r="I565" s="73" t="s">
        <v>30</v>
      </c>
      <c r="J565" s="72" t="s">
        <v>30</v>
      </c>
      <c r="K565" s="72" t="s">
        <v>30</v>
      </c>
      <c r="L565" s="72" t="s">
        <v>30</v>
      </c>
      <c r="M565" s="72" t="s">
        <v>30</v>
      </c>
      <c r="N565" s="72" t="s">
        <v>30</v>
      </c>
      <c r="O565" s="73" t="s">
        <v>30</v>
      </c>
      <c r="P565" s="72" t="s">
        <v>30</v>
      </c>
      <c r="Q565" s="72" t="s">
        <v>30</v>
      </c>
      <c r="R565" s="72" t="s">
        <v>30</v>
      </c>
      <c r="S565" s="72" t="s">
        <v>30</v>
      </c>
      <c r="T565" s="72" t="s">
        <v>30</v>
      </c>
      <c r="W565" s="31"/>
    </row>
    <row r="566">
      <c r="B566" s="72" t="s">
        <v>30</v>
      </c>
      <c r="C566" s="72" t="s">
        <v>30</v>
      </c>
      <c r="D566" s="72" t="s">
        <v>30</v>
      </c>
      <c r="E566" s="72" t="s">
        <v>30</v>
      </c>
      <c r="F566" s="72" t="s">
        <v>30</v>
      </c>
      <c r="G566" s="72" t="s">
        <v>30</v>
      </c>
      <c r="H566" s="72" t="s">
        <v>30</v>
      </c>
      <c r="I566" s="73" t="s">
        <v>30</v>
      </c>
      <c r="J566" s="72" t="s">
        <v>30</v>
      </c>
      <c r="K566" s="72" t="s">
        <v>30</v>
      </c>
      <c r="L566" s="72" t="s">
        <v>30</v>
      </c>
      <c r="M566" s="72" t="s">
        <v>30</v>
      </c>
      <c r="N566" s="72" t="s">
        <v>30</v>
      </c>
      <c r="O566" s="73" t="s">
        <v>30</v>
      </c>
      <c r="P566" s="72" t="s">
        <v>30</v>
      </c>
      <c r="Q566" s="72" t="s">
        <v>30</v>
      </c>
      <c r="R566" s="72" t="s">
        <v>30</v>
      </c>
      <c r="S566" s="72" t="s">
        <v>30</v>
      </c>
      <c r="T566" s="72" t="s">
        <v>30</v>
      </c>
      <c r="W566" s="31"/>
    </row>
    <row r="567">
      <c r="B567" s="72" t="s">
        <v>30</v>
      </c>
      <c r="C567" s="72" t="s">
        <v>30</v>
      </c>
      <c r="D567" s="72" t="s">
        <v>30</v>
      </c>
      <c r="E567" s="72" t="s">
        <v>30</v>
      </c>
      <c r="F567" s="72" t="s">
        <v>30</v>
      </c>
      <c r="G567" s="72" t="s">
        <v>30</v>
      </c>
      <c r="H567" s="72" t="s">
        <v>30</v>
      </c>
      <c r="I567" s="73" t="s">
        <v>30</v>
      </c>
      <c r="J567" s="72" t="s">
        <v>30</v>
      </c>
      <c r="K567" s="72" t="s">
        <v>30</v>
      </c>
      <c r="L567" s="72" t="s">
        <v>30</v>
      </c>
      <c r="M567" s="72" t="s">
        <v>30</v>
      </c>
      <c r="N567" s="72" t="s">
        <v>30</v>
      </c>
      <c r="O567" s="73" t="s">
        <v>30</v>
      </c>
      <c r="P567" s="72" t="s">
        <v>30</v>
      </c>
      <c r="Q567" s="72" t="s">
        <v>30</v>
      </c>
      <c r="R567" s="72" t="s">
        <v>30</v>
      </c>
      <c r="S567" s="72" t="s">
        <v>30</v>
      </c>
      <c r="T567" s="72" t="s">
        <v>30</v>
      </c>
      <c r="W567" s="31"/>
    </row>
    <row r="568">
      <c r="B568" s="72" t="s">
        <v>30</v>
      </c>
      <c r="C568" s="72" t="s">
        <v>30</v>
      </c>
      <c r="D568" s="72" t="s">
        <v>30</v>
      </c>
      <c r="E568" s="72" t="s">
        <v>30</v>
      </c>
      <c r="F568" s="72" t="s">
        <v>30</v>
      </c>
      <c r="G568" s="72" t="s">
        <v>30</v>
      </c>
      <c r="H568" s="72" t="s">
        <v>30</v>
      </c>
      <c r="I568" s="73" t="s">
        <v>30</v>
      </c>
      <c r="J568" s="72" t="s">
        <v>30</v>
      </c>
      <c r="K568" s="72" t="s">
        <v>30</v>
      </c>
      <c r="L568" s="72" t="s">
        <v>30</v>
      </c>
      <c r="M568" s="72" t="s">
        <v>30</v>
      </c>
      <c r="N568" s="72" t="s">
        <v>30</v>
      </c>
      <c r="O568" s="73" t="s">
        <v>30</v>
      </c>
      <c r="P568" s="72" t="s">
        <v>30</v>
      </c>
      <c r="Q568" s="72" t="s">
        <v>30</v>
      </c>
      <c r="R568" s="72" t="s">
        <v>30</v>
      </c>
      <c r="S568" s="72" t="s">
        <v>30</v>
      </c>
      <c r="T568" s="72" t="s">
        <v>30</v>
      </c>
      <c r="W568" s="31"/>
    </row>
    <row r="569">
      <c r="B569" s="72" t="s">
        <v>30</v>
      </c>
      <c r="C569" s="72" t="s">
        <v>30</v>
      </c>
      <c r="D569" s="72" t="s">
        <v>30</v>
      </c>
      <c r="E569" s="72" t="s">
        <v>30</v>
      </c>
      <c r="F569" s="72" t="s">
        <v>30</v>
      </c>
      <c r="G569" s="72" t="s">
        <v>30</v>
      </c>
      <c r="H569" s="72" t="s">
        <v>30</v>
      </c>
      <c r="I569" s="73" t="s">
        <v>30</v>
      </c>
      <c r="J569" s="72" t="s">
        <v>30</v>
      </c>
      <c r="K569" s="72" t="s">
        <v>30</v>
      </c>
      <c r="L569" s="72" t="s">
        <v>30</v>
      </c>
      <c r="M569" s="72" t="s">
        <v>30</v>
      </c>
      <c r="N569" s="72" t="s">
        <v>30</v>
      </c>
      <c r="O569" s="73" t="s">
        <v>30</v>
      </c>
      <c r="P569" s="72" t="s">
        <v>30</v>
      </c>
      <c r="Q569" s="72" t="s">
        <v>30</v>
      </c>
      <c r="R569" s="72" t="s">
        <v>30</v>
      </c>
      <c r="S569" s="72" t="s">
        <v>30</v>
      </c>
      <c r="T569" s="72" t="s">
        <v>30</v>
      </c>
      <c r="W569" s="31"/>
    </row>
    <row r="570">
      <c r="B570" s="72" t="s">
        <v>30</v>
      </c>
      <c r="C570" s="72" t="s">
        <v>30</v>
      </c>
      <c r="D570" s="72" t="s">
        <v>30</v>
      </c>
      <c r="E570" s="72" t="s">
        <v>30</v>
      </c>
      <c r="F570" s="72" t="s">
        <v>30</v>
      </c>
      <c r="G570" s="72" t="s">
        <v>30</v>
      </c>
      <c r="H570" s="72" t="s">
        <v>30</v>
      </c>
      <c r="I570" s="73" t="s">
        <v>30</v>
      </c>
      <c r="J570" s="72" t="s">
        <v>30</v>
      </c>
      <c r="K570" s="72" t="s">
        <v>30</v>
      </c>
      <c r="L570" s="72" t="s">
        <v>30</v>
      </c>
      <c r="M570" s="72" t="s">
        <v>30</v>
      </c>
      <c r="N570" s="72" t="s">
        <v>30</v>
      </c>
      <c r="O570" s="73" t="s">
        <v>30</v>
      </c>
      <c r="P570" s="72" t="s">
        <v>30</v>
      </c>
      <c r="Q570" s="72" t="s">
        <v>30</v>
      </c>
      <c r="R570" s="72" t="s">
        <v>30</v>
      </c>
      <c r="S570" s="72" t="s">
        <v>30</v>
      </c>
      <c r="T570" s="72" t="s">
        <v>30</v>
      </c>
      <c r="W570" s="31"/>
    </row>
    <row r="571">
      <c r="B571" s="72" t="s">
        <v>30</v>
      </c>
      <c r="C571" s="72" t="s">
        <v>30</v>
      </c>
      <c r="D571" s="72" t="s">
        <v>30</v>
      </c>
      <c r="E571" s="72" t="s">
        <v>30</v>
      </c>
      <c r="F571" s="72" t="s">
        <v>30</v>
      </c>
      <c r="G571" s="72" t="s">
        <v>30</v>
      </c>
      <c r="H571" s="72" t="s">
        <v>30</v>
      </c>
      <c r="I571" s="73" t="s">
        <v>30</v>
      </c>
      <c r="J571" s="72" t="s">
        <v>30</v>
      </c>
      <c r="K571" s="72" t="s">
        <v>30</v>
      </c>
      <c r="L571" s="72" t="s">
        <v>30</v>
      </c>
      <c r="M571" s="72" t="s">
        <v>30</v>
      </c>
      <c r="N571" s="72" t="s">
        <v>30</v>
      </c>
      <c r="O571" s="73" t="s">
        <v>30</v>
      </c>
      <c r="P571" s="72" t="s">
        <v>30</v>
      </c>
      <c r="Q571" s="72" t="s">
        <v>30</v>
      </c>
      <c r="R571" s="72" t="s">
        <v>30</v>
      </c>
      <c r="S571" s="72" t="s">
        <v>30</v>
      </c>
      <c r="T571" s="72" t="s">
        <v>30</v>
      </c>
      <c r="W571" s="31"/>
    </row>
    <row r="572">
      <c r="B572" s="72" t="s">
        <v>30</v>
      </c>
      <c r="C572" s="72" t="s">
        <v>30</v>
      </c>
      <c r="D572" s="72" t="s">
        <v>30</v>
      </c>
      <c r="E572" s="72" t="s">
        <v>30</v>
      </c>
      <c r="F572" s="72" t="s">
        <v>30</v>
      </c>
      <c r="G572" s="72" t="s">
        <v>30</v>
      </c>
      <c r="H572" s="72" t="s">
        <v>30</v>
      </c>
      <c r="I572" s="73" t="s">
        <v>30</v>
      </c>
      <c r="J572" s="72" t="s">
        <v>30</v>
      </c>
      <c r="K572" s="72" t="s">
        <v>30</v>
      </c>
      <c r="L572" s="72" t="s">
        <v>30</v>
      </c>
      <c r="M572" s="72" t="s">
        <v>30</v>
      </c>
      <c r="N572" s="72" t="s">
        <v>30</v>
      </c>
      <c r="O572" s="73" t="s">
        <v>30</v>
      </c>
      <c r="P572" s="72" t="s">
        <v>30</v>
      </c>
      <c r="Q572" s="72" t="s">
        <v>30</v>
      </c>
      <c r="R572" s="72" t="s">
        <v>30</v>
      </c>
      <c r="S572" s="72" t="s">
        <v>30</v>
      </c>
      <c r="T572" s="72" t="s">
        <v>30</v>
      </c>
      <c r="W572" s="31"/>
    </row>
    <row r="573">
      <c r="B573" s="72" t="s">
        <v>30</v>
      </c>
      <c r="C573" s="72" t="s">
        <v>30</v>
      </c>
      <c r="D573" s="72" t="s">
        <v>30</v>
      </c>
      <c r="E573" s="72" t="s">
        <v>30</v>
      </c>
      <c r="F573" s="72" t="s">
        <v>30</v>
      </c>
      <c r="G573" s="72" t="s">
        <v>30</v>
      </c>
      <c r="H573" s="72" t="s">
        <v>30</v>
      </c>
      <c r="I573" s="73" t="s">
        <v>30</v>
      </c>
      <c r="J573" s="72" t="s">
        <v>30</v>
      </c>
      <c r="K573" s="72" t="s">
        <v>30</v>
      </c>
      <c r="L573" s="72" t="s">
        <v>30</v>
      </c>
      <c r="M573" s="72" t="s">
        <v>30</v>
      </c>
      <c r="N573" s="72" t="s">
        <v>30</v>
      </c>
      <c r="O573" s="73" t="s">
        <v>30</v>
      </c>
      <c r="P573" s="72" t="s">
        <v>30</v>
      </c>
      <c r="Q573" s="72" t="s">
        <v>30</v>
      </c>
      <c r="R573" s="72" t="s">
        <v>30</v>
      </c>
      <c r="S573" s="72" t="s">
        <v>30</v>
      </c>
      <c r="T573" s="72" t="s">
        <v>30</v>
      </c>
      <c r="W573" s="31"/>
    </row>
    <row r="574">
      <c r="B574" s="72" t="s">
        <v>30</v>
      </c>
      <c r="C574" s="72" t="s">
        <v>30</v>
      </c>
      <c r="D574" s="72" t="s">
        <v>30</v>
      </c>
      <c r="E574" s="72" t="s">
        <v>30</v>
      </c>
      <c r="F574" s="72" t="s">
        <v>30</v>
      </c>
      <c r="G574" s="72" t="s">
        <v>30</v>
      </c>
      <c r="H574" s="72" t="s">
        <v>30</v>
      </c>
      <c r="I574" s="73" t="s">
        <v>30</v>
      </c>
      <c r="J574" s="72" t="s">
        <v>30</v>
      </c>
      <c r="K574" s="72" t="s">
        <v>30</v>
      </c>
      <c r="L574" s="72" t="s">
        <v>30</v>
      </c>
      <c r="M574" s="72" t="s">
        <v>30</v>
      </c>
      <c r="N574" s="72" t="s">
        <v>30</v>
      </c>
      <c r="O574" s="73" t="s">
        <v>30</v>
      </c>
      <c r="P574" s="72" t="s">
        <v>30</v>
      </c>
      <c r="Q574" s="72" t="s">
        <v>30</v>
      </c>
      <c r="R574" s="72" t="s">
        <v>30</v>
      </c>
      <c r="S574" s="72" t="s">
        <v>30</v>
      </c>
      <c r="T574" s="72" t="s">
        <v>30</v>
      </c>
      <c r="W574" s="31"/>
    </row>
    <row r="575">
      <c r="B575" s="72" t="s">
        <v>30</v>
      </c>
      <c r="C575" s="72" t="s">
        <v>30</v>
      </c>
      <c r="D575" s="72" t="s">
        <v>30</v>
      </c>
      <c r="E575" s="72" t="s">
        <v>30</v>
      </c>
      <c r="F575" s="72" t="s">
        <v>30</v>
      </c>
      <c r="G575" s="72" t="s">
        <v>30</v>
      </c>
      <c r="H575" s="72" t="s">
        <v>30</v>
      </c>
      <c r="I575" s="73" t="s">
        <v>30</v>
      </c>
      <c r="J575" s="72" t="s">
        <v>30</v>
      </c>
      <c r="K575" s="72" t="s">
        <v>30</v>
      </c>
      <c r="L575" s="72" t="s">
        <v>30</v>
      </c>
      <c r="M575" s="72" t="s">
        <v>30</v>
      </c>
      <c r="N575" s="72" t="s">
        <v>30</v>
      </c>
      <c r="O575" s="73" t="s">
        <v>30</v>
      </c>
      <c r="P575" s="72" t="s">
        <v>30</v>
      </c>
      <c r="Q575" s="72" t="s">
        <v>30</v>
      </c>
      <c r="R575" s="72" t="s">
        <v>30</v>
      </c>
      <c r="S575" s="72" t="s">
        <v>30</v>
      </c>
      <c r="T575" s="72" t="s">
        <v>30</v>
      </c>
      <c r="W575" s="31"/>
    </row>
    <row r="576">
      <c r="B576" s="72" t="s">
        <v>30</v>
      </c>
      <c r="C576" s="72" t="s">
        <v>30</v>
      </c>
      <c r="D576" s="72" t="s">
        <v>30</v>
      </c>
      <c r="E576" s="72" t="s">
        <v>30</v>
      </c>
      <c r="F576" s="72" t="s">
        <v>30</v>
      </c>
      <c r="G576" s="72" t="s">
        <v>30</v>
      </c>
      <c r="H576" s="72" t="s">
        <v>30</v>
      </c>
      <c r="I576" s="73" t="s">
        <v>30</v>
      </c>
      <c r="J576" s="72" t="s">
        <v>30</v>
      </c>
      <c r="K576" s="72" t="s">
        <v>30</v>
      </c>
      <c r="L576" s="72" t="s">
        <v>30</v>
      </c>
      <c r="M576" s="72" t="s">
        <v>30</v>
      </c>
      <c r="N576" s="72" t="s">
        <v>30</v>
      </c>
      <c r="O576" s="73" t="s">
        <v>30</v>
      </c>
      <c r="P576" s="72" t="s">
        <v>30</v>
      </c>
      <c r="Q576" s="72" t="s">
        <v>30</v>
      </c>
      <c r="R576" s="72" t="s">
        <v>30</v>
      </c>
      <c r="S576" s="72" t="s">
        <v>30</v>
      </c>
      <c r="T576" s="72" t="s">
        <v>30</v>
      </c>
      <c r="W576" s="31"/>
    </row>
    <row r="577">
      <c r="B577" s="72" t="s">
        <v>30</v>
      </c>
      <c r="C577" s="72" t="s">
        <v>30</v>
      </c>
      <c r="D577" s="72" t="s">
        <v>30</v>
      </c>
      <c r="E577" s="72" t="s">
        <v>30</v>
      </c>
      <c r="F577" s="72" t="s">
        <v>30</v>
      </c>
      <c r="G577" s="72" t="s">
        <v>30</v>
      </c>
      <c r="H577" s="72" t="s">
        <v>30</v>
      </c>
      <c r="I577" s="73" t="s">
        <v>30</v>
      </c>
      <c r="J577" s="72" t="s">
        <v>30</v>
      </c>
      <c r="K577" s="72" t="s">
        <v>30</v>
      </c>
      <c r="L577" s="72" t="s">
        <v>30</v>
      </c>
      <c r="M577" s="72" t="s">
        <v>30</v>
      </c>
      <c r="N577" s="72" t="s">
        <v>30</v>
      </c>
      <c r="O577" s="73" t="s">
        <v>30</v>
      </c>
      <c r="P577" s="72" t="s">
        <v>30</v>
      </c>
      <c r="Q577" s="72" t="s">
        <v>30</v>
      </c>
      <c r="R577" s="72" t="s">
        <v>30</v>
      </c>
      <c r="S577" s="72" t="s">
        <v>30</v>
      </c>
      <c r="T577" s="72" t="s">
        <v>30</v>
      </c>
      <c r="W577" s="31"/>
    </row>
    <row r="578">
      <c r="B578" s="72" t="s">
        <v>30</v>
      </c>
      <c r="C578" s="72" t="s">
        <v>30</v>
      </c>
      <c r="D578" s="72" t="s">
        <v>30</v>
      </c>
      <c r="E578" s="72" t="s">
        <v>30</v>
      </c>
      <c r="F578" s="72" t="s">
        <v>30</v>
      </c>
      <c r="G578" s="72" t="s">
        <v>30</v>
      </c>
      <c r="H578" s="72" t="s">
        <v>30</v>
      </c>
      <c r="I578" s="73" t="s">
        <v>30</v>
      </c>
      <c r="J578" s="72" t="s">
        <v>30</v>
      </c>
      <c r="K578" s="72" t="s">
        <v>30</v>
      </c>
      <c r="L578" s="72" t="s">
        <v>30</v>
      </c>
      <c r="M578" s="72" t="s">
        <v>30</v>
      </c>
      <c r="N578" s="72" t="s">
        <v>30</v>
      </c>
      <c r="O578" s="73" t="s">
        <v>30</v>
      </c>
      <c r="P578" s="72" t="s">
        <v>30</v>
      </c>
      <c r="Q578" s="72" t="s">
        <v>30</v>
      </c>
      <c r="R578" s="72" t="s">
        <v>30</v>
      </c>
      <c r="S578" s="72" t="s">
        <v>30</v>
      </c>
      <c r="T578" s="72" t="s">
        <v>30</v>
      </c>
      <c r="W578" s="31"/>
    </row>
    <row r="579">
      <c r="B579" s="72" t="s">
        <v>30</v>
      </c>
      <c r="C579" s="72" t="s">
        <v>30</v>
      </c>
      <c r="D579" s="72" t="s">
        <v>30</v>
      </c>
      <c r="E579" s="72" t="s">
        <v>30</v>
      </c>
      <c r="F579" s="72" t="s">
        <v>30</v>
      </c>
      <c r="G579" s="72" t="s">
        <v>30</v>
      </c>
      <c r="H579" s="72" t="s">
        <v>30</v>
      </c>
      <c r="I579" s="73" t="s">
        <v>30</v>
      </c>
      <c r="J579" s="72" t="s">
        <v>30</v>
      </c>
      <c r="K579" s="72" t="s">
        <v>30</v>
      </c>
      <c r="L579" s="72" t="s">
        <v>30</v>
      </c>
      <c r="M579" s="72" t="s">
        <v>30</v>
      </c>
      <c r="N579" s="72" t="s">
        <v>30</v>
      </c>
      <c r="O579" s="73" t="s">
        <v>30</v>
      </c>
      <c r="P579" s="72" t="s">
        <v>30</v>
      </c>
      <c r="Q579" s="72" t="s">
        <v>30</v>
      </c>
      <c r="R579" s="72" t="s">
        <v>30</v>
      </c>
      <c r="S579" s="72" t="s">
        <v>30</v>
      </c>
      <c r="T579" s="72" t="s">
        <v>30</v>
      </c>
      <c r="W579" s="31"/>
    </row>
    <row r="580">
      <c r="B580" s="72" t="s">
        <v>30</v>
      </c>
      <c r="C580" s="72" t="s">
        <v>30</v>
      </c>
      <c r="D580" s="72" t="s">
        <v>30</v>
      </c>
      <c r="E580" s="72" t="s">
        <v>30</v>
      </c>
      <c r="F580" s="72" t="s">
        <v>30</v>
      </c>
      <c r="G580" s="72" t="s">
        <v>30</v>
      </c>
      <c r="H580" s="72" t="s">
        <v>30</v>
      </c>
      <c r="I580" s="73" t="s">
        <v>30</v>
      </c>
      <c r="J580" s="72" t="s">
        <v>30</v>
      </c>
      <c r="K580" s="72" t="s">
        <v>30</v>
      </c>
      <c r="L580" s="72" t="s">
        <v>30</v>
      </c>
      <c r="M580" s="72" t="s">
        <v>30</v>
      </c>
      <c r="N580" s="72" t="s">
        <v>30</v>
      </c>
      <c r="O580" s="73" t="s">
        <v>30</v>
      </c>
      <c r="P580" s="72" t="s">
        <v>30</v>
      </c>
      <c r="Q580" s="72" t="s">
        <v>30</v>
      </c>
      <c r="R580" s="72" t="s">
        <v>30</v>
      </c>
      <c r="S580" s="72" t="s">
        <v>30</v>
      </c>
      <c r="T580" s="72" t="s">
        <v>30</v>
      </c>
      <c r="W580" s="31"/>
    </row>
    <row r="581">
      <c r="B581" s="72" t="s">
        <v>30</v>
      </c>
      <c r="C581" s="72" t="s">
        <v>30</v>
      </c>
      <c r="D581" s="72" t="s">
        <v>30</v>
      </c>
      <c r="E581" s="72" t="s">
        <v>30</v>
      </c>
      <c r="F581" s="72" t="s">
        <v>30</v>
      </c>
      <c r="G581" s="72" t="s">
        <v>30</v>
      </c>
      <c r="H581" s="72" t="s">
        <v>30</v>
      </c>
      <c r="I581" s="73" t="s">
        <v>30</v>
      </c>
      <c r="J581" s="72" t="s">
        <v>30</v>
      </c>
      <c r="K581" s="72" t="s">
        <v>30</v>
      </c>
      <c r="L581" s="72" t="s">
        <v>30</v>
      </c>
      <c r="M581" s="72" t="s">
        <v>30</v>
      </c>
      <c r="N581" s="72" t="s">
        <v>30</v>
      </c>
      <c r="O581" s="73" t="s">
        <v>30</v>
      </c>
      <c r="P581" s="72" t="s">
        <v>30</v>
      </c>
      <c r="Q581" s="72" t="s">
        <v>30</v>
      </c>
      <c r="R581" s="72" t="s">
        <v>30</v>
      </c>
      <c r="S581" s="72" t="s">
        <v>30</v>
      </c>
      <c r="T581" s="72" t="s">
        <v>30</v>
      </c>
      <c r="W581" s="31"/>
    </row>
    <row r="582">
      <c r="B582" s="72" t="s">
        <v>30</v>
      </c>
      <c r="C582" s="72" t="s">
        <v>30</v>
      </c>
      <c r="D582" s="72" t="s">
        <v>30</v>
      </c>
      <c r="E582" s="72" t="s">
        <v>30</v>
      </c>
      <c r="F582" s="72" t="s">
        <v>30</v>
      </c>
      <c r="G582" s="72" t="s">
        <v>30</v>
      </c>
      <c r="H582" s="72" t="s">
        <v>30</v>
      </c>
      <c r="I582" s="73" t="s">
        <v>30</v>
      </c>
      <c r="J582" s="72" t="s">
        <v>30</v>
      </c>
      <c r="K582" s="72" t="s">
        <v>30</v>
      </c>
      <c r="L582" s="72" t="s">
        <v>30</v>
      </c>
      <c r="M582" s="72" t="s">
        <v>30</v>
      </c>
      <c r="N582" s="72" t="s">
        <v>30</v>
      </c>
      <c r="O582" s="73" t="s">
        <v>30</v>
      </c>
      <c r="P582" s="72" t="s">
        <v>30</v>
      </c>
      <c r="Q582" s="72" t="s">
        <v>30</v>
      </c>
      <c r="R582" s="72" t="s">
        <v>30</v>
      </c>
      <c r="S582" s="72" t="s">
        <v>30</v>
      </c>
      <c r="T582" s="72" t="s">
        <v>30</v>
      </c>
      <c r="W582" s="31"/>
    </row>
    <row r="583">
      <c r="B583" s="72" t="s">
        <v>30</v>
      </c>
      <c r="C583" s="72" t="s">
        <v>30</v>
      </c>
      <c r="D583" s="72" t="s">
        <v>30</v>
      </c>
      <c r="E583" s="72" t="s">
        <v>30</v>
      </c>
      <c r="F583" s="72" t="s">
        <v>30</v>
      </c>
      <c r="G583" s="72" t="s">
        <v>30</v>
      </c>
      <c r="H583" s="72" t="s">
        <v>30</v>
      </c>
      <c r="I583" s="73" t="s">
        <v>30</v>
      </c>
      <c r="J583" s="72" t="s">
        <v>30</v>
      </c>
      <c r="K583" s="72" t="s">
        <v>30</v>
      </c>
      <c r="L583" s="72" t="s">
        <v>30</v>
      </c>
      <c r="M583" s="72" t="s">
        <v>30</v>
      </c>
      <c r="N583" s="72" t="s">
        <v>30</v>
      </c>
      <c r="O583" s="73" t="s">
        <v>30</v>
      </c>
      <c r="P583" s="72" t="s">
        <v>30</v>
      </c>
      <c r="Q583" s="72" t="s">
        <v>30</v>
      </c>
      <c r="R583" s="72" t="s">
        <v>30</v>
      </c>
      <c r="S583" s="72" t="s">
        <v>30</v>
      </c>
      <c r="T583" s="72" t="s">
        <v>30</v>
      </c>
      <c r="W583" s="31"/>
    </row>
    <row r="584">
      <c r="B584" s="72" t="s">
        <v>30</v>
      </c>
      <c r="C584" s="72" t="s">
        <v>30</v>
      </c>
      <c r="D584" s="72" t="s">
        <v>30</v>
      </c>
      <c r="E584" s="72" t="s">
        <v>30</v>
      </c>
      <c r="F584" s="72" t="s">
        <v>30</v>
      </c>
      <c r="G584" s="72" t="s">
        <v>30</v>
      </c>
      <c r="H584" s="72" t="s">
        <v>30</v>
      </c>
      <c r="I584" s="73" t="s">
        <v>30</v>
      </c>
      <c r="J584" s="72" t="s">
        <v>30</v>
      </c>
      <c r="K584" s="72" t="s">
        <v>30</v>
      </c>
      <c r="L584" s="72" t="s">
        <v>30</v>
      </c>
      <c r="M584" s="72" t="s">
        <v>30</v>
      </c>
      <c r="N584" s="72" t="s">
        <v>30</v>
      </c>
      <c r="O584" s="73" t="s">
        <v>30</v>
      </c>
      <c r="P584" s="72" t="s">
        <v>30</v>
      </c>
      <c r="Q584" s="72" t="s">
        <v>30</v>
      </c>
      <c r="R584" s="72" t="s">
        <v>30</v>
      </c>
      <c r="S584" s="72" t="s">
        <v>30</v>
      </c>
      <c r="T584" s="72" t="s">
        <v>30</v>
      </c>
      <c r="W584" s="31"/>
    </row>
    <row r="585">
      <c r="B585" s="72" t="s">
        <v>30</v>
      </c>
      <c r="C585" s="72" t="s">
        <v>30</v>
      </c>
      <c r="D585" s="72" t="s">
        <v>30</v>
      </c>
      <c r="E585" s="72" t="s">
        <v>30</v>
      </c>
      <c r="F585" s="72" t="s">
        <v>30</v>
      </c>
      <c r="G585" s="72" t="s">
        <v>30</v>
      </c>
      <c r="H585" s="72" t="s">
        <v>30</v>
      </c>
      <c r="I585" s="73" t="s">
        <v>30</v>
      </c>
      <c r="J585" s="72" t="s">
        <v>30</v>
      </c>
      <c r="K585" s="72" t="s">
        <v>30</v>
      </c>
      <c r="L585" s="72" t="s">
        <v>30</v>
      </c>
      <c r="M585" s="72" t="s">
        <v>30</v>
      </c>
      <c r="N585" s="72" t="s">
        <v>30</v>
      </c>
      <c r="O585" s="73" t="s">
        <v>30</v>
      </c>
      <c r="P585" s="72" t="s">
        <v>30</v>
      </c>
      <c r="Q585" s="72" t="s">
        <v>30</v>
      </c>
      <c r="R585" s="72" t="s">
        <v>30</v>
      </c>
      <c r="S585" s="72" t="s">
        <v>30</v>
      </c>
      <c r="T585" s="72" t="s">
        <v>30</v>
      </c>
      <c r="W585" s="31"/>
    </row>
    <row r="586">
      <c r="B586" s="72" t="s">
        <v>30</v>
      </c>
      <c r="C586" s="72" t="s">
        <v>30</v>
      </c>
      <c r="D586" s="72" t="s">
        <v>30</v>
      </c>
      <c r="E586" s="72" t="s">
        <v>30</v>
      </c>
      <c r="F586" s="72" t="s">
        <v>30</v>
      </c>
      <c r="G586" s="72" t="s">
        <v>30</v>
      </c>
      <c r="H586" s="72" t="s">
        <v>30</v>
      </c>
      <c r="I586" s="73" t="s">
        <v>30</v>
      </c>
      <c r="J586" s="72" t="s">
        <v>30</v>
      </c>
      <c r="K586" s="72" t="s">
        <v>30</v>
      </c>
      <c r="L586" s="72" t="s">
        <v>30</v>
      </c>
      <c r="M586" s="72" t="s">
        <v>30</v>
      </c>
      <c r="N586" s="72" t="s">
        <v>30</v>
      </c>
      <c r="O586" s="73" t="s">
        <v>30</v>
      </c>
      <c r="P586" s="72" t="s">
        <v>30</v>
      </c>
      <c r="Q586" s="72" t="s">
        <v>30</v>
      </c>
      <c r="R586" s="72" t="s">
        <v>30</v>
      </c>
      <c r="S586" s="72" t="s">
        <v>30</v>
      </c>
      <c r="T586" s="72" t="s">
        <v>30</v>
      </c>
      <c r="W586" s="31"/>
    </row>
    <row r="587">
      <c r="B587" s="72" t="s">
        <v>30</v>
      </c>
      <c r="C587" s="72" t="s">
        <v>30</v>
      </c>
      <c r="D587" s="72" t="s">
        <v>30</v>
      </c>
      <c r="E587" s="72" t="s">
        <v>30</v>
      </c>
      <c r="F587" s="72" t="s">
        <v>30</v>
      </c>
      <c r="G587" s="72" t="s">
        <v>30</v>
      </c>
      <c r="H587" s="72" t="s">
        <v>30</v>
      </c>
      <c r="I587" s="73" t="s">
        <v>30</v>
      </c>
      <c r="J587" s="72" t="s">
        <v>30</v>
      </c>
      <c r="K587" s="72" t="s">
        <v>30</v>
      </c>
      <c r="L587" s="72" t="s">
        <v>30</v>
      </c>
      <c r="M587" s="72" t="s">
        <v>30</v>
      </c>
      <c r="N587" s="72" t="s">
        <v>30</v>
      </c>
      <c r="O587" s="73" t="s">
        <v>30</v>
      </c>
      <c r="P587" s="72" t="s">
        <v>30</v>
      </c>
      <c r="Q587" s="72" t="s">
        <v>30</v>
      </c>
      <c r="R587" s="72" t="s">
        <v>30</v>
      </c>
      <c r="S587" s="72" t="s">
        <v>30</v>
      </c>
      <c r="T587" s="72" t="s">
        <v>30</v>
      </c>
      <c r="W587" s="31"/>
    </row>
    <row r="588">
      <c r="B588" s="72" t="s">
        <v>30</v>
      </c>
      <c r="C588" s="72" t="s">
        <v>30</v>
      </c>
      <c r="D588" s="72" t="s">
        <v>30</v>
      </c>
      <c r="E588" s="72" t="s">
        <v>30</v>
      </c>
      <c r="F588" s="72" t="s">
        <v>30</v>
      </c>
      <c r="G588" s="72" t="s">
        <v>30</v>
      </c>
      <c r="H588" s="72" t="s">
        <v>30</v>
      </c>
      <c r="I588" s="73" t="s">
        <v>30</v>
      </c>
      <c r="J588" s="72" t="s">
        <v>30</v>
      </c>
      <c r="K588" s="72" t="s">
        <v>30</v>
      </c>
      <c r="L588" s="72" t="s">
        <v>30</v>
      </c>
      <c r="M588" s="72" t="s">
        <v>30</v>
      </c>
      <c r="N588" s="72" t="s">
        <v>30</v>
      </c>
      <c r="O588" s="73" t="s">
        <v>30</v>
      </c>
      <c r="P588" s="72" t="s">
        <v>30</v>
      </c>
      <c r="Q588" s="72" t="s">
        <v>30</v>
      </c>
      <c r="R588" s="72" t="s">
        <v>30</v>
      </c>
      <c r="S588" s="72" t="s">
        <v>30</v>
      </c>
      <c r="T588" s="72" t="s">
        <v>30</v>
      </c>
      <c r="W588" s="31"/>
    </row>
    <row r="589">
      <c r="B589" s="72" t="s">
        <v>30</v>
      </c>
      <c r="C589" s="72" t="s">
        <v>30</v>
      </c>
      <c r="D589" s="72" t="s">
        <v>30</v>
      </c>
      <c r="E589" s="72" t="s">
        <v>30</v>
      </c>
      <c r="F589" s="72" t="s">
        <v>30</v>
      </c>
      <c r="G589" s="72" t="s">
        <v>30</v>
      </c>
      <c r="H589" s="72" t="s">
        <v>30</v>
      </c>
      <c r="I589" s="73" t="s">
        <v>30</v>
      </c>
      <c r="J589" s="72" t="s">
        <v>30</v>
      </c>
      <c r="K589" s="72" t="s">
        <v>30</v>
      </c>
      <c r="L589" s="72" t="s">
        <v>30</v>
      </c>
      <c r="M589" s="72" t="s">
        <v>30</v>
      </c>
      <c r="N589" s="72" t="s">
        <v>30</v>
      </c>
      <c r="O589" s="73" t="s">
        <v>30</v>
      </c>
      <c r="P589" s="72" t="s">
        <v>30</v>
      </c>
      <c r="Q589" s="72" t="s">
        <v>30</v>
      </c>
      <c r="R589" s="72" t="s">
        <v>30</v>
      </c>
      <c r="S589" s="72" t="s">
        <v>30</v>
      </c>
      <c r="T589" s="72" t="s">
        <v>30</v>
      </c>
      <c r="W589" s="31"/>
    </row>
    <row r="590">
      <c r="B590" s="72" t="s">
        <v>30</v>
      </c>
      <c r="C590" s="72" t="s">
        <v>30</v>
      </c>
      <c r="D590" s="72" t="s">
        <v>30</v>
      </c>
      <c r="E590" s="72" t="s">
        <v>30</v>
      </c>
      <c r="F590" s="72" t="s">
        <v>30</v>
      </c>
      <c r="G590" s="72" t="s">
        <v>30</v>
      </c>
      <c r="H590" s="72" t="s">
        <v>30</v>
      </c>
      <c r="I590" s="73" t="s">
        <v>30</v>
      </c>
      <c r="J590" s="72" t="s">
        <v>30</v>
      </c>
      <c r="K590" s="72" t="s">
        <v>30</v>
      </c>
      <c r="L590" s="72" t="s">
        <v>30</v>
      </c>
      <c r="M590" s="72" t="s">
        <v>30</v>
      </c>
      <c r="N590" s="72" t="s">
        <v>30</v>
      </c>
      <c r="O590" s="73" t="s">
        <v>30</v>
      </c>
      <c r="P590" s="72" t="s">
        <v>30</v>
      </c>
      <c r="Q590" s="72" t="s">
        <v>30</v>
      </c>
      <c r="R590" s="72" t="s">
        <v>30</v>
      </c>
      <c r="S590" s="72" t="s">
        <v>30</v>
      </c>
      <c r="T590" s="72" t="s">
        <v>30</v>
      </c>
      <c r="W590" s="31"/>
    </row>
    <row r="591">
      <c r="B591" s="72" t="s">
        <v>30</v>
      </c>
      <c r="C591" s="72" t="s">
        <v>30</v>
      </c>
      <c r="D591" s="72" t="s">
        <v>30</v>
      </c>
      <c r="E591" s="72" t="s">
        <v>30</v>
      </c>
      <c r="F591" s="72" t="s">
        <v>30</v>
      </c>
      <c r="G591" s="72" t="s">
        <v>30</v>
      </c>
      <c r="H591" s="72" t="s">
        <v>30</v>
      </c>
      <c r="I591" s="73" t="s">
        <v>30</v>
      </c>
      <c r="J591" s="72" t="s">
        <v>30</v>
      </c>
      <c r="K591" s="72" t="s">
        <v>30</v>
      </c>
      <c r="L591" s="72" t="s">
        <v>30</v>
      </c>
      <c r="M591" s="72" t="s">
        <v>30</v>
      </c>
      <c r="N591" s="72" t="s">
        <v>30</v>
      </c>
      <c r="O591" s="73" t="s">
        <v>30</v>
      </c>
      <c r="P591" s="72" t="s">
        <v>30</v>
      </c>
      <c r="Q591" s="72" t="s">
        <v>30</v>
      </c>
      <c r="R591" s="72" t="s">
        <v>30</v>
      </c>
      <c r="S591" s="72" t="s">
        <v>30</v>
      </c>
      <c r="T591" s="72" t="s">
        <v>30</v>
      </c>
      <c r="W591" s="31"/>
    </row>
    <row r="592">
      <c r="B592" s="72" t="s">
        <v>30</v>
      </c>
      <c r="C592" s="72" t="s">
        <v>30</v>
      </c>
      <c r="D592" s="72" t="s">
        <v>30</v>
      </c>
      <c r="E592" s="72" t="s">
        <v>30</v>
      </c>
      <c r="F592" s="72" t="s">
        <v>30</v>
      </c>
      <c r="G592" s="72" t="s">
        <v>30</v>
      </c>
      <c r="H592" s="72" t="s">
        <v>30</v>
      </c>
      <c r="I592" s="73" t="s">
        <v>30</v>
      </c>
      <c r="J592" s="72" t="s">
        <v>30</v>
      </c>
      <c r="K592" s="72" t="s">
        <v>30</v>
      </c>
      <c r="L592" s="72" t="s">
        <v>30</v>
      </c>
      <c r="M592" s="72" t="s">
        <v>30</v>
      </c>
      <c r="N592" s="72" t="s">
        <v>30</v>
      </c>
      <c r="O592" s="73" t="s">
        <v>30</v>
      </c>
      <c r="P592" s="72" t="s">
        <v>30</v>
      </c>
      <c r="Q592" s="72" t="s">
        <v>30</v>
      </c>
      <c r="R592" s="72" t="s">
        <v>30</v>
      </c>
      <c r="S592" s="72" t="s">
        <v>30</v>
      </c>
      <c r="T592" s="72" t="s">
        <v>30</v>
      </c>
      <c r="W592" s="31"/>
    </row>
    <row r="593">
      <c r="B593" s="72" t="s">
        <v>30</v>
      </c>
      <c r="C593" s="72" t="s">
        <v>30</v>
      </c>
      <c r="D593" s="72" t="s">
        <v>30</v>
      </c>
      <c r="E593" s="72" t="s">
        <v>30</v>
      </c>
      <c r="F593" s="72" t="s">
        <v>30</v>
      </c>
      <c r="G593" s="72" t="s">
        <v>30</v>
      </c>
      <c r="H593" s="72" t="s">
        <v>30</v>
      </c>
      <c r="I593" s="73" t="s">
        <v>30</v>
      </c>
      <c r="J593" s="72" t="s">
        <v>30</v>
      </c>
      <c r="K593" s="72" t="s">
        <v>30</v>
      </c>
      <c r="L593" s="72" t="s">
        <v>30</v>
      </c>
      <c r="M593" s="72" t="s">
        <v>30</v>
      </c>
      <c r="N593" s="72" t="s">
        <v>30</v>
      </c>
      <c r="O593" s="73" t="s">
        <v>30</v>
      </c>
      <c r="P593" s="72" t="s">
        <v>30</v>
      </c>
      <c r="Q593" s="72" t="s">
        <v>30</v>
      </c>
      <c r="R593" s="72" t="s">
        <v>30</v>
      </c>
      <c r="S593" s="72" t="s">
        <v>30</v>
      </c>
      <c r="T593" s="72" t="s">
        <v>30</v>
      </c>
      <c r="W593" s="31"/>
    </row>
    <row r="594">
      <c r="B594" s="72" t="s">
        <v>30</v>
      </c>
      <c r="C594" s="72" t="s">
        <v>30</v>
      </c>
      <c r="D594" s="72" t="s">
        <v>30</v>
      </c>
      <c r="E594" s="72" t="s">
        <v>30</v>
      </c>
      <c r="F594" s="72" t="s">
        <v>30</v>
      </c>
      <c r="G594" s="72" t="s">
        <v>30</v>
      </c>
      <c r="H594" s="72" t="s">
        <v>30</v>
      </c>
      <c r="I594" s="73" t="s">
        <v>30</v>
      </c>
      <c r="J594" s="72" t="s">
        <v>30</v>
      </c>
      <c r="K594" s="72" t="s">
        <v>30</v>
      </c>
      <c r="L594" s="72" t="s">
        <v>30</v>
      </c>
      <c r="M594" s="72" t="s">
        <v>30</v>
      </c>
      <c r="N594" s="72" t="s">
        <v>30</v>
      </c>
      <c r="O594" s="73" t="s">
        <v>30</v>
      </c>
      <c r="P594" s="72" t="s">
        <v>30</v>
      </c>
      <c r="Q594" s="72" t="s">
        <v>30</v>
      </c>
      <c r="R594" s="72" t="s">
        <v>30</v>
      </c>
      <c r="S594" s="72" t="s">
        <v>30</v>
      </c>
      <c r="T594" s="72" t="s">
        <v>30</v>
      </c>
      <c r="W594" s="31"/>
    </row>
    <row r="595">
      <c r="B595" s="72" t="s">
        <v>30</v>
      </c>
      <c r="C595" s="72" t="s">
        <v>30</v>
      </c>
      <c r="D595" s="72" t="s">
        <v>30</v>
      </c>
      <c r="E595" s="72" t="s">
        <v>30</v>
      </c>
      <c r="F595" s="72" t="s">
        <v>30</v>
      </c>
      <c r="G595" s="72" t="s">
        <v>30</v>
      </c>
      <c r="H595" s="72" t="s">
        <v>30</v>
      </c>
      <c r="I595" s="73" t="s">
        <v>30</v>
      </c>
      <c r="J595" s="72" t="s">
        <v>30</v>
      </c>
      <c r="K595" s="72" t="s">
        <v>30</v>
      </c>
      <c r="L595" s="72" t="s">
        <v>30</v>
      </c>
      <c r="M595" s="72" t="s">
        <v>30</v>
      </c>
      <c r="N595" s="72" t="s">
        <v>30</v>
      </c>
      <c r="O595" s="73" t="s">
        <v>30</v>
      </c>
      <c r="P595" s="72" t="s">
        <v>30</v>
      </c>
      <c r="Q595" s="72" t="s">
        <v>30</v>
      </c>
      <c r="R595" s="72" t="s">
        <v>30</v>
      </c>
      <c r="S595" s="72" t="s">
        <v>30</v>
      </c>
      <c r="T595" s="72" t="s">
        <v>30</v>
      </c>
      <c r="W595" s="31"/>
    </row>
    <row r="596">
      <c r="B596" s="72" t="s">
        <v>30</v>
      </c>
      <c r="C596" s="72" t="s">
        <v>30</v>
      </c>
      <c r="D596" s="72" t="s">
        <v>30</v>
      </c>
      <c r="E596" s="72" t="s">
        <v>30</v>
      </c>
      <c r="F596" s="72" t="s">
        <v>30</v>
      </c>
      <c r="G596" s="72" t="s">
        <v>30</v>
      </c>
      <c r="H596" s="72" t="s">
        <v>30</v>
      </c>
      <c r="I596" s="73" t="s">
        <v>30</v>
      </c>
      <c r="J596" s="72" t="s">
        <v>30</v>
      </c>
      <c r="K596" s="72" t="s">
        <v>30</v>
      </c>
      <c r="L596" s="72" t="s">
        <v>30</v>
      </c>
      <c r="M596" s="72" t="s">
        <v>30</v>
      </c>
      <c r="N596" s="72" t="s">
        <v>30</v>
      </c>
      <c r="O596" s="73" t="s">
        <v>30</v>
      </c>
      <c r="P596" s="72" t="s">
        <v>30</v>
      </c>
      <c r="Q596" s="72" t="s">
        <v>30</v>
      </c>
      <c r="R596" s="72" t="s">
        <v>30</v>
      </c>
      <c r="S596" s="72" t="s">
        <v>30</v>
      </c>
      <c r="T596" s="72" t="s">
        <v>30</v>
      </c>
      <c r="W596" s="31"/>
    </row>
    <row r="597">
      <c r="B597" s="72" t="s">
        <v>30</v>
      </c>
      <c r="C597" s="72" t="s">
        <v>30</v>
      </c>
      <c r="D597" s="72" t="s">
        <v>30</v>
      </c>
      <c r="E597" s="72" t="s">
        <v>30</v>
      </c>
      <c r="F597" s="72" t="s">
        <v>30</v>
      </c>
      <c r="G597" s="72" t="s">
        <v>30</v>
      </c>
      <c r="H597" s="72" t="s">
        <v>30</v>
      </c>
      <c r="I597" s="73" t="s">
        <v>30</v>
      </c>
      <c r="J597" s="72" t="s">
        <v>30</v>
      </c>
      <c r="K597" s="72" t="s">
        <v>30</v>
      </c>
      <c r="L597" s="72" t="s">
        <v>30</v>
      </c>
      <c r="M597" s="72" t="s">
        <v>30</v>
      </c>
      <c r="N597" s="72" t="s">
        <v>30</v>
      </c>
      <c r="O597" s="73" t="s">
        <v>30</v>
      </c>
      <c r="P597" s="72" t="s">
        <v>30</v>
      </c>
      <c r="Q597" s="72" t="s">
        <v>30</v>
      </c>
      <c r="R597" s="72" t="s">
        <v>30</v>
      </c>
      <c r="S597" s="72" t="s">
        <v>30</v>
      </c>
      <c r="T597" s="72" t="s">
        <v>30</v>
      </c>
      <c r="W597" s="31"/>
    </row>
    <row r="598">
      <c r="B598" s="72" t="s">
        <v>30</v>
      </c>
      <c r="C598" s="72" t="s">
        <v>30</v>
      </c>
      <c r="D598" s="72" t="s">
        <v>30</v>
      </c>
      <c r="E598" s="72" t="s">
        <v>30</v>
      </c>
      <c r="F598" s="72" t="s">
        <v>30</v>
      </c>
      <c r="G598" s="72" t="s">
        <v>30</v>
      </c>
      <c r="H598" s="72" t="s">
        <v>30</v>
      </c>
      <c r="I598" s="73" t="s">
        <v>30</v>
      </c>
      <c r="J598" s="72" t="s">
        <v>30</v>
      </c>
      <c r="K598" s="72" t="s">
        <v>30</v>
      </c>
      <c r="L598" s="72" t="s">
        <v>30</v>
      </c>
      <c r="M598" s="72" t="s">
        <v>30</v>
      </c>
      <c r="N598" s="72" t="s">
        <v>30</v>
      </c>
      <c r="O598" s="73" t="s">
        <v>30</v>
      </c>
      <c r="P598" s="72" t="s">
        <v>30</v>
      </c>
      <c r="Q598" s="72" t="s">
        <v>30</v>
      </c>
      <c r="R598" s="72" t="s">
        <v>30</v>
      </c>
      <c r="S598" s="72" t="s">
        <v>30</v>
      </c>
      <c r="T598" s="72" t="s">
        <v>30</v>
      </c>
      <c r="W598" s="31"/>
    </row>
    <row r="599">
      <c r="B599" s="72" t="s">
        <v>30</v>
      </c>
      <c r="C599" s="72" t="s">
        <v>30</v>
      </c>
      <c r="D599" s="72" t="s">
        <v>30</v>
      </c>
      <c r="E599" s="72" t="s">
        <v>30</v>
      </c>
      <c r="F599" s="72" t="s">
        <v>30</v>
      </c>
      <c r="G599" s="72" t="s">
        <v>30</v>
      </c>
      <c r="H599" s="72" t="s">
        <v>30</v>
      </c>
      <c r="I599" s="73" t="s">
        <v>30</v>
      </c>
      <c r="J599" s="72" t="s">
        <v>30</v>
      </c>
      <c r="K599" s="72" t="s">
        <v>30</v>
      </c>
      <c r="L599" s="72" t="s">
        <v>30</v>
      </c>
      <c r="M599" s="72" t="s">
        <v>30</v>
      </c>
      <c r="N599" s="72" t="s">
        <v>30</v>
      </c>
      <c r="O599" s="73" t="s">
        <v>30</v>
      </c>
      <c r="P599" s="72" t="s">
        <v>30</v>
      </c>
      <c r="Q599" s="72" t="s">
        <v>30</v>
      </c>
      <c r="R599" s="72" t="s">
        <v>30</v>
      </c>
      <c r="S599" s="72" t="s">
        <v>30</v>
      </c>
      <c r="T599" s="72" t="s">
        <v>30</v>
      </c>
      <c r="W599" s="31"/>
    </row>
    <row r="600">
      <c r="B600" s="72" t="s">
        <v>30</v>
      </c>
      <c r="C600" s="72" t="s">
        <v>30</v>
      </c>
      <c r="D600" s="72" t="s">
        <v>30</v>
      </c>
      <c r="E600" s="72" t="s">
        <v>30</v>
      </c>
      <c r="F600" s="72" t="s">
        <v>30</v>
      </c>
      <c r="G600" s="72" t="s">
        <v>30</v>
      </c>
      <c r="H600" s="72" t="s">
        <v>30</v>
      </c>
      <c r="I600" s="73" t="s">
        <v>30</v>
      </c>
      <c r="J600" s="72" t="s">
        <v>30</v>
      </c>
      <c r="K600" s="72" t="s">
        <v>30</v>
      </c>
      <c r="L600" s="72" t="s">
        <v>30</v>
      </c>
      <c r="M600" s="72" t="s">
        <v>30</v>
      </c>
      <c r="N600" s="72" t="s">
        <v>30</v>
      </c>
      <c r="O600" s="73" t="s">
        <v>30</v>
      </c>
      <c r="P600" s="72" t="s">
        <v>30</v>
      </c>
      <c r="Q600" s="72" t="s">
        <v>30</v>
      </c>
      <c r="R600" s="72" t="s">
        <v>30</v>
      </c>
      <c r="S600" s="72" t="s">
        <v>30</v>
      </c>
      <c r="T600" s="72" t="s">
        <v>30</v>
      </c>
      <c r="W600" s="31"/>
    </row>
    <row r="601">
      <c r="B601" s="72" t="s">
        <v>30</v>
      </c>
      <c r="C601" s="72" t="s">
        <v>30</v>
      </c>
      <c r="D601" s="72" t="s">
        <v>30</v>
      </c>
      <c r="E601" s="72" t="s">
        <v>30</v>
      </c>
      <c r="F601" s="72" t="s">
        <v>30</v>
      </c>
      <c r="G601" s="72" t="s">
        <v>30</v>
      </c>
      <c r="H601" s="72" t="s">
        <v>30</v>
      </c>
      <c r="I601" s="73" t="s">
        <v>30</v>
      </c>
      <c r="J601" s="72" t="s">
        <v>30</v>
      </c>
      <c r="K601" s="72" t="s">
        <v>30</v>
      </c>
      <c r="L601" s="72" t="s">
        <v>30</v>
      </c>
      <c r="M601" s="72" t="s">
        <v>30</v>
      </c>
      <c r="N601" s="72" t="s">
        <v>30</v>
      </c>
      <c r="O601" s="73" t="s">
        <v>30</v>
      </c>
      <c r="P601" s="72" t="s">
        <v>30</v>
      </c>
      <c r="Q601" s="72" t="s">
        <v>30</v>
      </c>
      <c r="R601" s="72" t="s">
        <v>30</v>
      </c>
      <c r="S601" s="72" t="s">
        <v>30</v>
      </c>
      <c r="T601" s="72" t="s">
        <v>30</v>
      </c>
      <c r="W601" s="31"/>
    </row>
    <row r="602">
      <c r="B602" s="72" t="s">
        <v>30</v>
      </c>
      <c r="C602" s="72" t="s">
        <v>30</v>
      </c>
      <c r="D602" s="72" t="s">
        <v>30</v>
      </c>
      <c r="E602" s="72" t="s">
        <v>30</v>
      </c>
      <c r="F602" s="72" t="s">
        <v>30</v>
      </c>
      <c r="G602" s="72" t="s">
        <v>30</v>
      </c>
      <c r="H602" s="72" t="s">
        <v>30</v>
      </c>
      <c r="I602" s="73" t="s">
        <v>30</v>
      </c>
      <c r="J602" s="72" t="s">
        <v>30</v>
      </c>
      <c r="K602" s="72" t="s">
        <v>30</v>
      </c>
      <c r="L602" s="72" t="s">
        <v>30</v>
      </c>
      <c r="M602" s="72" t="s">
        <v>30</v>
      </c>
      <c r="N602" s="72" t="s">
        <v>30</v>
      </c>
      <c r="O602" s="73" t="s">
        <v>30</v>
      </c>
      <c r="P602" s="72" t="s">
        <v>30</v>
      </c>
      <c r="Q602" s="72" t="s">
        <v>30</v>
      </c>
      <c r="R602" s="72" t="s">
        <v>30</v>
      </c>
      <c r="S602" s="72" t="s">
        <v>30</v>
      </c>
      <c r="T602" s="72" t="s">
        <v>30</v>
      </c>
      <c r="W602" s="31"/>
    </row>
    <row r="603">
      <c r="B603" s="72" t="s">
        <v>30</v>
      </c>
      <c r="C603" s="72" t="s">
        <v>30</v>
      </c>
      <c r="D603" s="72" t="s">
        <v>30</v>
      </c>
      <c r="E603" s="72" t="s">
        <v>30</v>
      </c>
      <c r="F603" s="72" t="s">
        <v>30</v>
      </c>
      <c r="G603" s="72" t="s">
        <v>30</v>
      </c>
      <c r="H603" s="72" t="s">
        <v>30</v>
      </c>
      <c r="I603" s="73" t="s">
        <v>30</v>
      </c>
      <c r="J603" s="72" t="s">
        <v>30</v>
      </c>
      <c r="K603" s="72" t="s">
        <v>30</v>
      </c>
      <c r="L603" s="72" t="s">
        <v>30</v>
      </c>
      <c r="M603" s="72" t="s">
        <v>30</v>
      </c>
      <c r="N603" s="72" t="s">
        <v>30</v>
      </c>
      <c r="O603" s="73" t="s">
        <v>30</v>
      </c>
      <c r="P603" s="72" t="s">
        <v>30</v>
      </c>
      <c r="Q603" s="72" t="s">
        <v>30</v>
      </c>
      <c r="R603" s="72" t="s">
        <v>30</v>
      </c>
      <c r="S603" s="72" t="s">
        <v>30</v>
      </c>
      <c r="T603" s="72" t="s">
        <v>30</v>
      </c>
      <c r="W603" s="31"/>
    </row>
    <row r="604">
      <c r="B604" s="72" t="s">
        <v>30</v>
      </c>
      <c r="C604" s="72" t="s">
        <v>30</v>
      </c>
      <c r="D604" s="72" t="s">
        <v>30</v>
      </c>
      <c r="E604" s="72" t="s">
        <v>30</v>
      </c>
      <c r="F604" s="72" t="s">
        <v>30</v>
      </c>
      <c r="G604" s="72" t="s">
        <v>30</v>
      </c>
      <c r="H604" s="72" t="s">
        <v>30</v>
      </c>
      <c r="I604" s="73" t="s">
        <v>30</v>
      </c>
      <c r="J604" s="72" t="s">
        <v>30</v>
      </c>
      <c r="K604" s="72" t="s">
        <v>30</v>
      </c>
      <c r="L604" s="72" t="s">
        <v>30</v>
      </c>
      <c r="M604" s="72" t="s">
        <v>30</v>
      </c>
      <c r="N604" s="72" t="s">
        <v>30</v>
      </c>
      <c r="O604" s="73" t="s">
        <v>30</v>
      </c>
      <c r="P604" s="72" t="s">
        <v>30</v>
      </c>
      <c r="Q604" s="72" t="s">
        <v>30</v>
      </c>
      <c r="R604" s="72" t="s">
        <v>30</v>
      </c>
      <c r="S604" s="72" t="s">
        <v>30</v>
      </c>
      <c r="T604" s="72" t="s">
        <v>30</v>
      </c>
      <c r="W604" s="31"/>
    </row>
    <row r="605">
      <c r="B605" s="72" t="s">
        <v>30</v>
      </c>
      <c r="C605" s="72" t="s">
        <v>30</v>
      </c>
      <c r="D605" s="72" t="s">
        <v>30</v>
      </c>
      <c r="E605" s="72" t="s">
        <v>30</v>
      </c>
      <c r="F605" s="72" t="s">
        <v>30</v>
      </c>
      <c r="G605" s="72" t="s">
        <v>30</v>
      </c>
      <c r="H605" s="72" t="s">
        <v>30</v>
      </c>
      <c r="I605" s="73" t="s">
        <v>30</v>
      </c>
      <c r="J605" s="72" t="s">
        <v>30</v>
      </c>
      <c r="K605" s="72" t="s">
        <v>30</v>
      </c>
      <c r="L605" s="72" t="s">
        <v>30</v>
      </c>
      <c r="M605" s="72" t="s">
        <v>30</v>
      </c>
      <c r="N605" s="72" t="s">
        <v>30</v>
      </c>
      <c r="O605" s="73" t="s">
        <v>30</v>
      </c>
      <c r="P605" s="72" t="s">
        <v>30</v>
      </c>
      <c r="Q605" s="72" t="s">
        <v>30</v>
      </c>
      <c r="R605" s="72" t="s">
        <v>30</v>
      </c>
      <c r="S605" s="72" t="s">
        <v>30</v>
      </c>
      <c r="T605" s="72" t="s">
        <v>30</v>
      </c>
      <c r="W605" s="31"/>
    </row>
    <row r="606">
      <c r="B606" s="72" t="s">
        <v>30</v>
      </c>
      <c r="C606" s="72" t="s">
        <v>30</v>
      </c>
      <c r="D606" s="72" t="s">
        <v>30</v>
      </c>
      <c r="E606" s="72" t="s">
        <v>30</v>
      </c>
      <c r="F606" s="72" t="s">
        <v>30</v>
      </c>
      <c r="G606" s="72" t="s">
        <v>30</v>
      </c>
      <c r="H606" s="72" t="s">
        <v>30</v>
      </c>
      <c r="I606" s="73" t="s">
        <v>30</v>
      </c>
      <c r="J606" s="72" t="s">
        <v>30</v>
      </c>
      <c r="K606" s="72" t="s">
        <v>30</v>
      </c>
      <c r="L606" s="72" t="s">
        <v>30</v>
      </c>
      <c r="M606" s="72" t="s">
        <v>30</v>
      </c>
      <c r="N606" s="72" t="s">
        <v>30</v>
      </c>
      <c r="O606" s="73" t="s">
        <v>30</v>
      </c>
      <c r="P606" s="72" t="s">
        <v>30</v>
      </c>
      <c r="Q606" s="72" t="s">
        <v>30</v>
      </c>
      <c r="R606" s="72" t="s">
        <v>30</v>
      </c>
      <c r="S606" s="72" t="s">
        <v>30</v>
      </c>
      <c r="T606" s="72" t="s">
        <v>30</v>
      </c>
      <c r="W606" s="31"/>
    </row>
    <row r="607">
      <c r="B607" s="72" t="s">
        <v>30</v>
      </c>
      <c r="C607" s="72" t="s">
        <v>30</v>
      </c>
      <c r="D607" s="72" t="s">
        <v>30</v>
      </c>
      <c r="E607" s="72" t="s">
        <v>30</v>
      </c>
      <c r="F607" s="72" t="s">
        <v>30</v>
      </c>
      <c r="G607" s="72" t="s">
        <v>30</v>
      </c>
      <c r="H607" s="72" t="s">
        <v>30</v>
      </c>
      <c r="I607" s="73" t="s">
        <v>30</v>
      </c>
      <c r="J607" s="72" t="s">
        <v>30</v>
      </c>
      <c r="K607" s="72" t="s">
        <v>30</v>
      </c>
      <c r="L607" s="72" t="s">
        <v>30</v>
      </c>
      <c r="M607" s="72" t="s">
        <v>30</v>
      </c>
      <c r="N607" s="72" t="s">
        <v>30</v>
      </c>
      <c r="O607" s="73" t="s">
        <v>30</v>
      </c>
      <c r="P607" s="72" t="s">
        <v>30</v>
      </c>
      <c r="Q607" s="72" t="s">
        <v>30</v>
      </c>
      <c r="R607" s="72" t="s">
        <v>30</v>
      </c>
      <c r="S607" s="72" t="s">
        <v>30</v>
      </c>
      <c r="T607" s="72" t="s">
        <v>30</v>
      </c>
      <c r="W607" s="31"/>
    </row>
    <row r="608">
      <c r="B608" s="72" t="s">
        <v>30</v>
      </c>
      <c r="C608" s="72" t="s">
        <v>30</v>
      </c>
      <c r="D608" s="72" t="s">
        <v>30</v>
      </c>
      <c r="E608" s="72" t="s">
        <v>30</v>
      </c>
      <c r="F608" s="72" t="s">
        <v>30</v>
      </c>
      <c r="G608" s="72" t="s">
        <v>30</v>
      </c>
      <c r="H608" s="72" t="s">
        <v>30</v>
      </c>
      <c r="I608" s="73" t="s">
        <v>30</v>
      </c>
      <c r="J608" s="72" t="s">
        <v>30</v>
      </c>
      <c r="K608" s="72" t="s">
        <v>30</v>
      </c>
      <c r="L608" s="72" t="s">
        <v>30</v>
      </c>
      <c r="M608" s="72" t="s">
        <v>30</v>
      </c>
      <c r="N608" s="72" t="s">
        <v>30</v>
      </c>
      <c r="O608" s="73" t="s">
        <v>30</v>
      </c>
      <c r="P608" s="72" t="s">
        <v>30</v>
      </c>
      <c r="Q608" s="72" t="s">
        <v>30</v>
      </c>
      <c r="R608" s="72" t="s">
        <v>30</v>
      </c>
      <c r="S608" s="72" t="s">
        <v>30</v>
      </c>
      <c r="T608" s="72" t="s">
        <v>30</v>
      </c>
      <c r="W608" s="31"/>
    </row>
    <row r="609">
      <c r="B609" s="72" t="s">
        <v>30</v>
      </c>
      <c r="C609" s="72" t="s">
        <v>30</v>
      </c>
      <c r="D609" s="72" t="s">
        <v>30</v>
      </c>
      <c r="E609" s="72" t="s">
        <v>30</v>
      </c>
      <c r="F609" s="72" t="s">
        <v>30</v>
      </c>
      <c r="G609" s="72" t="s">
        <v>30</v>
      </c>
      <c r="H609" s="72" t="s">
        <v>30</v>
      </c>
      <c r="I609" s="73" t="s">
        <v>30</v>
      </c>
      <c r="J609" s="72" t="s">
        <v>30</v>
      </c>
      <c r="K609" s="72" t="s">
        <v>30</v>
      </c>
      <c r="L609" s="72" t="s">
        <v>30</v>
      </c>
      <c r="M609" s="72" t="s">
        <v>30</v>
      </c>
      <c r="N609" s="72" t="s">
        <v>30</v>
      </c>
      <c r="O609" s="73" t="s">
        <v>30</v>
      </c>
      <c r="P609" s="72" t="s">
        <v>30</v>
      </c>
      <c r="Q609" s="72" t="s">
        <v>30</v>
      </c>
      <c r="R609" s="72" t="s">
        <v>30</v>
      </c>
      <c r="S609" s="72" t="s">
        <v>30</v>
      </c>
      <c r="T609" s="72" t="s">
        <v>30</v>
      </c>
      <c r="W609" s="31"/>
    </row>
    <row r="610">
      <c r="B610" s="72" t="s">
        <v>30</v>
      </c>
      <c r="C610" s="72" t="s">
        <v>30</v>
      </c>
      <c r="D610" s="72" t="s">
        <v>30</v>
      </c>
      <c r="E610" s="72" t="s">
        <v>30</v>
      </c>
      <c r="F610" s="72" t="s">
        <v>30</v>
      </c>
      <c r="G610" s="72" t="s">
        <v>30</v>
      </c>
      <c r="H610" s="72" t="s">
        <v>30</v>
      </c>
      <c r="I610" s="73" t="s">
        <v>30</v>
      </c>
      <c r="J610" s="72" t="s">
        <v>30</v>
      </c>
      <c r="K610" s="72" t="s">
        <v>30</v>
      </c>
      <c r="L610" s="72" t="s">
        <v>30</v>
      </c>
      <c r="M610" s="72" t="s">
        <v>30</v>
      </c>
      <c r="N610" s="72" t="s">
        <v>30</v>
      </c>
      <c r="O610" s="73" t="s">
        <v>30</v>
      </c>
      <c r="P610" s="72" t="s">
        <v>30</v>
      </c>
      <c r="Q610" s="72" t="s">
        <v>30</v>
      </c>
      <c r="R610" s="72" t="s">
        <v>30</v>
      </c>
      <c r="S610" s="72" t="s">
        <v>30</v>
      </c>
      <c r="T610" s="72" t="s">
        <v>30</v>
      </c>
      <c r="W610" s="31"/>
    </row>
    <row r="611">
      <c r="B611" s="72" t="s">
        <v>30</v>
      </c>
      <c r="C611" s="72" t="s">
        <v>30</v>
      </c>
      <c r="D611" s="72" t="s">
        <v>30</v>
      </c>
      <c r="E611" s="72" t="s">
        <v>30</v>
      </c>
      <c r="F611" s="72" t="s">
        <v>30</v>
      </c>
      <c r="G611" s="72" t="s">
        <v>30</v>
      </c>
      <c r="H611" s="72" t="s">
        <v>30</v>
      </c>
      <c r="I611" s="73" t="s">
        <v>30</v>
      </c>
      <c r="J611" s="72" t="s">
        <v>30</v>
      </c>
      <c r="K611" s="72" t="s">
        <v>30</v>
      </c>
      <c r="L611" s="72" t="s">
        <v>30</v>
      </c>
      <c r="M611" s="72" t="s">
        <v>30</v>
      </c>
      <c r="N611" s="72" t="s">
        <v>30</v>
      </c>
      <c r="O611" s="73" t="s">
        <v>30</v>
      </c>
      <c r="P611" s="72" t="s">
        <v>30</v>
      </c>
      <c r="Q611" s="72" t="s">
        <v>30</v>
      </c>
      <c r="R611" s="72" t="s">
        <v>30</v>
      </c>
      <c r="S611" s="72" t="s">
        <v>30</v>
      </c>
      <c r="T611" s="72" t="s">
        <v>30</v>
      </c>
      <c r="W611" s="31"/>
    </row>
    <row r="612">
      <c r="B612" s="72" t="s">
        <v>30</v>
      </c>
      <c r="C612" s="72" t="s">
        <v>30</v>
      </c>
      <c r="D612" s="72" t="s">
        <v>30</v>
      </c>
      <c r="E612" s="72" t="s">
        <v>30</v>
      </c>
      <c r="F612" s="72" t="s">
        <v>30</v>
      </c>
      <c r="G612" s="72" t="s">
        <v>30</v>
      </c>
      <c r="H612" s="72" t="s">
        <v>30</v>
      </c>
      <c r="I612" s="73" t="s">
        <v>30</v>
      </c>
      <c r="J612" s="72" t="s">
        <v>30</v>
      </c>
      <c r="K612" s="72" t="s">
        <v>30</v>
      </c>
      <c r="L612" s="72" t="s">
        <v>30</v>
      </c>
      <c r="M612" s="72" t="s">
        <v>30</v>
      </c>
      <c r="N612" s="72" t="s">
        <v>30</v>
      </c>
      <c r="O612" s="73" t="s">
        <v>30</v>
      </c>
      <c r="P612" s="72" t="s">
        <v>30</v>
      </c>
      <c r="Q612" s="72" t="s">
        <v>30</v>
      </c>
      <c r="R612" s="72" t="s">
        <v>30</v>
      </c>
      <c r="S612" s="72" t="s">
        <v>30</v>
      </c>
      <c r="T612" s="72" t="s">
        <v>30</v>
      </c>
      <c r="W612" s="31"/>
    </row>
    <row r="613">
      <c r="B613" s="72" t="s">
        <v>30</v>
      </c>
      <c r="C613" s="72" t="s">
        <v>30</v>
      </c>
      <c r="D613" s="72" t="s">
        <v>30</v>
      </c>
      <c r="E613" s="72" t="s">
        <v>30</v>
      </c>
      <c r="F613" s="72" t="s">
        <v>30</v>
      </c>
      <c r="G613" s="72" t="s">
        <v>30</v>
      </c>
      <c r="H613" s="72" t="s">
        <v>30</v>
      </c>
      <c r="I613" s="73" t="s">
        <v>30</v>
      </c>
      <c r="J613" s="72" t="s">
        <v>30</v>
      </c>
      <c r="K613" s="72" t="s">
        <v>30</v>
      </c>
      <c r="L613" s="72" t="s">
        <v>30</v>
      </c>
      <c r="M613" s="72" t="s">
        <v>30</v>
      </c>
      <c r="N613" s="72" t="s">
        <v>30</v>
      </c>
      <c r="O613" s="73" t="s">
        <v>30</v>
      </c>
      <c r="P613" s="72" t="s">
        <v>30</v>
      </c>
      <c r="Q613" s="72" t="s">
        <v>30</v>
      </c>
      <c r="R613" s="72" t="s">
        <v>30</v>
      </c>
      <c r="S613" s="72" t="s">
        <v>30</v>
      </c>
      <c r="T613" s="72" t="s">
        <v>30</v>
      </c>
      <c r="W613" s="31"/>
    </row>
    <row r="614">
      <c r="B614" s="72" t="s">
        <v>30</v>
      </c>
      <c r="C614" s="72" t="s">
        <v>30</v>
      </c>
      <c r="D614" s="72" t="s">
        <v>30</v>
      </c>
      <c r="E614" s="72" t="s">
        <v>30</v>
      </c>
      <c r="F614" s="72" t="s">
        <v>30</v>
      </c>
      <c r="G614" s="72" t="s">
        <v>30</v>
      </c>
      <c r="H614" s="72" t="s">
        <v>30</v>
      </c>
      <c r="I614" s="73" t="s">
        <v>30</v>
      </c>
      <c r="J614" s="72" t="s">
        <v>30</v>
      </c>
      <c r="K614" s="72" t="s">
        <v>30</v>
      </c>
      <c r="L614" s="72" t="s">
        <v>30</v>
      </c>
      <c r="M614" s="72" t="s">
        <v>30</v>
      </c>
      <c r="N614" s="72" t="s">
        <v>30</v>
      </c>
      <c r="O614" s="73" t="s">
        <v>30</v>
      </c>
      <c r="P614" s="72" t="s">
        <v>30</v>
      </c>
      <c r="Q614" s="72" t="s">
        <v>30</v>
      </c>
      <c r="R614" s="72" t="s">
        <v>30</v>
      </c>
      <c r="S614" s="72" t="s">
        <v>30</v>
      </c>
      <c r="T614" s="72" t="s">
        <v>30</v>
      </c>
      <c r="W614" s="31"/>
    </row>
    <row r="615">
      <c r="B615" s="72" t="s">
        <v>30</v>
      </c>
      <c r="C615" s="72" t="s">
        <v>30</v>
      </c>
      <c r="D615" s="72" t="s">
        <v>30</v>
      </c>
      <c r="E615" s="72" t="s">
        <v>30</v>
      </c>
      <c r="F615" s="72" t="s">
        <v>30</v>
      </c>
      <c r="G615" s="72" t="s">
        <v>30</v>
      </c>
      <c r="H615" s="72" t="s">
        <v>30</v>
      </c>
      <c r="I615" s="73" t="s">
        <v>30</v>
      </c>
      <c r="J615" s="72" t="s">
        <v>30</v>
      </c>
      <c r="K615" s="72" t="s">
        <v>30</v>
      </c>
      <c r="L615" s="72" t="s">
        <v>30</v>
      </c>
      <c r="M615" s="72" t="s">
        <v>30</v>
      </c>
      <c r="N615" s="72" t="s">
        <v>30</v>
      </c>
      <c r="O615" s="73" t="s">
        <v>30</v>
      </c>
      <c r="P615" s="72" t="s">
        <v>30</v>
      </c>
      <c r="Q615" s="72" t="s">
        <v>30</v>
      </c>
      <c r="R615" s="72" t="s">
        <v>30</v>
      </c>
      <c r="S615" s="72" t="s">
        <v>30</v>
      </c>
      <c r="T615" s="72" t="s">
        <v>30</v>
      </c>
      <c r="W615" s="31"/>
    </row>
    <row r="616">
      <c r="B616" s="72" t="s">
        <v>30</v>
      </c>
      <c r="C616" s="72" t="s">
        <v>30</v>
      </c>
      <c r="D616" s="72" t="s">
        <v>30</v>
      </c>
      <c r="E616" s="72" t="s">
        <v>30</v>
      </c>
      <c r="F616" s="72" t="s">
        <v>30</v>
      </c>
      <c r="G616" s="72" t="s">
        <v>30</v>
      </c>
      <c r="H616" s="72" t="s">
        <v>30</v>
      </c>
      <c r="I616" s="73" t="s">
        <v>30</v>
      </c>
      <c r="J616" s="72" t="s">
        <v>30</v>
      </c>
      <c r="K616" s="72" t="s">
        <v>30</v>
      </c>
      <c r="L616" s="72" t="s">
        <v>30</v>
      </c>
      <c r="M616" s="72" t="s">
        <v>30</v>
      </c>
      <c r="N616" s="72" t="s">
        <v>30</v>
      </c>
      <c r="O616" s="73" t="s">
        <v>30</v>
      </c>
      <c r="P616" s="72" t="s">
        <v>30</v>
      </c>
      <c r="Q616" s="72" t="s">
        <v>30</v>
      </c>
      <c r="R616" s="72" t="s">
        <v>30</v>
      </c>
      <c r="S616" s="72" t="s">
        <v>30</v>
      </c>
      <c r="T616" s="72" t="s">
        <v>30</v>
      </c>
      <c r="W616" s="31"/>
    </row>
    <row r="617">
      <c r="B617" s="72" t="s">
        <v>30</v>
      </c>
      <c r="C617" s="72" t="s">
        <v>30</v>
      </c>
      <c r="D617" s="72" t="s">
        <v>30</v>
      </c>
      <c r="E617" s="72" t="s">
        <v>30</v>
      </c>
      <c r="F617" s="72" t="s">
        <v>30</v>
      </c>
      <c r="G617" s="72" t="s">
        <v>30</v>
      </c>
      <c r="H617" s="72" t="s">
        <v>30</v>
      </c>
      <c r="I617" s="73" t="s">
        <v>30</v>
      </c>
      <c r="J617" s="72" t="s">
        <v>30</v>
      </c>
      <c r="K617" s="72" t="s">
        <v>30</v>
      </c>
      <c r="L617" s="72" t="s">
        <v>30</v>
      </c>
      <c r="M617" s="72" t="s">
        <v>30</v>
      </c>
      <c r="N617" s="72" t="s">
        <v>30</v>
      </c>
      <c r="O617" s="73" t="s">
        <v>30</v>
      </c>
      <c r="P617" s="72" t="s">
        <v>30</v>
      </c>
      <c r="Q617" s="72" t="s">
        <v>30</v>
      </c>
      <c r="R617" s="72" t="s">
        <v>30</v>
      </c>
      <c r="S617" s="72" t="s">
        <v>30</v>
      </c>
      <c r="T617" s="72" t="s">
        <v>30</v>
      </c>
      <c r="W617" s="31"/>
    </row>
    <row r="618">
      <c r="B618" s="72" t="s">
        <v>30</v>
      </c>
      <c r="C618" s="72" t="s">
        <v>30</v>
      </c>
      <c r="D618" s="72" t="s">
        <v>30</v>
      </c>
      <c r="E618" s="72" t="s">
        <v>30</v>
      </c>
      <c r="F618" s="72" t="s">
        <v>30</v>
      </c>
      <c r="G618" s="72" t="s">
        <v>30</v>
      </c>
      <c r="H618" s="72" t="s">
        <v>30</v>
      </c>
      <c r="I618" s="73" t="s">
        <v>30</v>
      </c>
      <c r="J618" s="72" t="s">
        <v>30</v>
      </c>
      <c r="K618" s="72" t="s">
        <v>30</v>
      </c>
      <c r="L618" s="72" t="s">
        <v>30</v>
      </c>
      <c r="M618" s="72" t="s">
        <v>30</v>
      </c>
      <c r="N618" s="72" t="s">
        <v>30</v>
      </c>
      <c r="O618" s="73" t="s">
        <v>30</v>
      </c>
      <c r="P618" s="72" t="s">
        <v>30</v>
      </c>
      <c r="Q618" s="72" t="s">
        <v>30</v>
      </c>
      <c r="R618" s="72" t="s">
        <v>30</v>
      </c>
      <c r="S618" s="72" t="s">
        <v>30</v>
      </c>
      <c r="T618" s="72" t="s">
        <v>30</v>
      </c>
      <c r="W618" s="31"/>
    </row>
    <row r="619">
      <c r="B619" s="72" t="s">
        <v>30</v>
      </c>
      <c r="C619" s="72" t="s">
        <v>30</v>
      </c>
      <c r="D619" s="72" t="s">
        <v>30</v>
      </c>
      <c r="E619" s="72" t="s">
        <v>30</v>
      </c>
      <c r="F619" s="72" t="s">
        <v>30</v>
      </c>
      <c r="G619" s="72" t="s">
        <v>30</v>
      </c>
      <c r="H619" s="72" t="s">
        <v>30</v>
      </c>
      <c r="I619" s="73" t="s">
        <v>30</v>
      </c>
      <c r="J619" s="72" t="s">
        <v>30</v>
      </c>
      <c r="K619" s="72" t="s">
        <v>30</v>
      </c>
      <c r="L619" s="72" t="s">
        <v>30</v>
      </c>
      <c r="M619" s="72" t="s">
        <v>30</v>
      </c>
      <c r="N619" s="72" t="s">
        <v>30</v>
      </c>
      <c r="O619" s="73" t="s">
        <v>30</v>
      </c>
      <c r="P619" s="72" t="s">
        <v>30</v>
      </c>
      <c r="Q619" s="72" t="s">
        <v>30</v>
      </c>
      <c r="R619" s="72" t="s">
        <v>30</v>
      </c>
      <c r="S619" s="72" t="s">
        <v>30</v>
      </c>
      <c r="T619" s="72" t="s">
        <v>30</v>
      </c>
      <c r="W619" s="31"/>
    </row>
    <row r="620">
      <c r="B620" s="72" t="s">
        <v>30</v>
      </c>
      <c r="C620" s="72" t="s">
        <v>30</v>
      </c>
      <c r="D620" s="72" t="s">
        <v>30</v>
      </c>
      <c r="E620" s="72" t="s">
        <v>30</v>
      </c>
      <c r="F620" s="72" t="s">
        <v>30</v>
      </c>
      <c r="G620" s="72" t="s">
        <v>30</v>
      </c>
      <c r="H620" s="72" t="s">
        <v>30</v>
      </c>
      <c r="I620" s="73" t="s">
        <v>30</v>
      </c>
      <c r="J620" s="72" t="s">
        <v>30</v>
      </c>
      <c r="K620" s="72" t="s">
        <v>30</v>
      </c>
      <c r="L620" s="72" t="s">
        <v>30</v>
      </c>
      <c r="M620" s="72" t="s">
        <v>30</v>
      </c>
      <c r="N620" s="72" t="s">
        <v>30</v>
      </c>
      <c r="O620" s="73" t="s">
        <v>30</v>
      </c>
      <c r="P620" s="72" t="s">
        <v>30</v>
      </c>
      <c r="Q620" s="72" t="s">
        <v>30</v>
      </c>
      <c r="R620" s="72" t="s">
        <v>30</v>
      </c>
      <c r="S620" s="72" t="s">
        <v>30</v>
      </c>
      <c r="T620" s="72" t="s">
        <v>30</v>
      </c>
      <c r="W620" s="31"/>
    </row>
    <row r="621">
      <c r="B621" s="72" t="s">
        <v>30</v>
      </c>
      <c r="C621" s="72" t="s">
        <v>30</v>
      </c>
      <c r="D621" s="72" t="s">
        <v>30</v>
      </c>
      <c r="E621" s="72" t="s">
        <v>30</v>
      </c>
      <c r="F621" s="72" t="s">
        <v>30</v>
      </c>
      <c r="G621" s="72" t="s">
        <v>30</v>
      </c>
      <c r="H621" s="72" t="s">
        <v>30</v>
      </c>
      <c r="I621" s="73" t="s">
        <v>30</v>
      </c>
      <c r="J621" s="72" t="s">
        <v>30</v>
      </c>
      <c r="K621" s="72" t="s">
        <v>30</v>
      </c>
      <c r="L621" s="72" t="s">
        <v>30</v>
      </c>
      <c r="M621" s="72" t="s">
        <v>30</v>
      </c>
      <c r="N621" s="72" t="s">
        <v>30</v>
      </c>
      <c r="O621" s="73" t="s">
        <v>30</v>
      </c>
      <c r="P621" s="72" t="s">
        <v>30</v>
      </c>
      <c r="Q621" s="72" t="s">
        <v>30</v>
      </c>
      <c r="R621" s="72" t="s">
        <v>30</v>
      </c>
      <c r="S621" s="72" t="s">
        <v>30</v>
      </c>
      <c r="T621" s="72" t="s">
        <v>30</v>
      </c>
      <c r="W621" s="31"/>
    </row>
    <row r="622">
      <c r="B622" s="72" t="s">
        <v>30</v>
      </c>
      <c r="C622" s="72" t="s">
        <v>30</v>
      </c>
      <c r="D622" s="72" t="s">
        <v>30</v>
      </c>
      <c r="E622" s="72" t="s">
        <v>30</v>
      </c>
      <c r="F622" s="72" t="s">
        <v>30</v>
      </c>
      <c r="G622" s="72" t="s">
        <v>30</v>
      </c>
      <c r="H622" s="72" t="s">
        <v>30</v>
      </c>
      <c r="I622" s="73" t="s">
        <v>30</v>
      </c>
      <c r="J622" s="72" t="s">
        <v>30</v>
      </c>
      <c r="K622" s="72" t="s">
        <v>30</v>
      </c>
      <c r="L622" s="72" t="s">
        <v>30</v>
      </c>
      <c r="M622" s="72" t="s">
        <v>30</v>
      </c>
      <c r="N622" s="72" t="s">
        <v>30</v>
      </c>
      <c r="O622" s="73" t="s">
        <v>30</v>
      </c>
      <c r="P622" s="72" t="s">
        <v>30</v>
      </c>
      <c r="Q622" s="72" t="s">
        <v>30</v>
      </c>
      <c r="R622" s="72" t="s">
        <v>30</v>
      </c>
      <c r="S622" s="72" t="s">
        <v>30</v>
      </c>
      <c r="T622" s="72" t="s">
        <v>30</v>
      </c>
      <c r="W622" s="31"/>
    </row>
    <row r="623">
      <c r="B623" s="72" t="s">
        <v>30</v>
      </c>
      <c r="C623" s="72" t="s">
        <v>30</v>
      </c>
      <c r="D623" s="72" t="s">
        <v>30</v>
      </c>
      <c r="E623" s="72" t="s">
        <v>30</v>
      </c>
      <c r="F623" s="72" t="s">
        <v>30</v>
      </c>
      <c r="G623" s="72" t="s">
        <v>30</v>
      </c>
      <c r="H623" s="72" t="s">
        <v>30</v>
      </c>
      <c r="I623" s="73" t="s">
        <v>30</v>
      </c>
      <c r="J623" s="72" t="s">
        <v>30</v>
      </c>
      <c r="K623" s="72" t="s">
        <v>30</v>
      </c>
      <c r="L623" s="72" t="s">
        <v>30</v>
      </c>
      <c r="M623" s="72" t="s">
        <v>30</v>
      </c>
      <c r="N623" s="72" t="s">
        <v>30</v>
      </c>
      <c r="O623" s="73" t="s">
        <v>30</v>
      </c>
      <c r="P623" s="72" t="s">
        <v>30</v>
      </c>
      <c r="Q623" s="72" t="s">
        <v>30</v>
      </c>
      <c r="R623" s="72" t="s">
        <v>30</v>
      </c>
      <c r="S623" s="72" t="s">
        <v>30</v>
      </c>
      <c r="T623" s="72" t="s">
        <v>30</v>
      </c>
      <c r="W623" s="31"/>
    </row>
    <row r="624">
      <c r="B624" s="72" t="s">
        <v>30</v>
      </c>
      <c r="C624" s="72" t="s">
        <v>30</v>
      </c>
      <c r="D624" s="72" t="s">
        <v>30</v>
      </c>
      <c r="E624" s="72" t="s">
        <v>30</v>
      </c>
      <c r="F624" s="72" t="s">
        <v>30</v>
      </c>
      <c r="G624" s="72" t="s">
        <v>30</v>
      </c>
      <c r="H624" s="72" t="s">
        <v>30</v>
      </c>
      <c r="I624" s="73" t="s">
        <v>30</v>
      </c>
      <c r="J624" s="72" t="s">
        <v>30</v>
      </c>
      <c r="K624" s="72" t="s">
        <v>30</v>
      </c>
      <c r="L624" s="72" t="s">
        <v>30</v>
      </c>
      <c r="M624" s="72" t="s">
        <v>30</v>
      </c>
      <c r="N624" s="72" t="s">
        <v>30</v>
      </c>
      <c r="O624" s="73" t="s">
        <v>30</v>
      </c>
      <c r="P624" s="72" t="s">
        <v>30</v>
      </c>
      <c r="Q624" s="72" t="s">
        <v>30</v>
      </c>
      <c r="R624" s="72" t="s">
        <v>30</v>
      </c>
      <c r="S624" s="72" t="s">
        <v>30</v>
      </c>
      <c r="T624" s="72" t="s">
        <v>30</v>
      </c>
      <c r="W624" s="31"/>
    </row>
    <row r="625">
      <c r="B625" s="72" t="s">
        <v>30</v>
      </c>
      <c r="C625" s="72" t="s">
        <v>30</v>
      </c>
      <c r="D625" s="72" t="s">
        <v>30</v>
      </c>
      <c r="E625" s="72" t="s">
        <v>30</v>
      </c>
      <c r="F625" s="72" t="s">
        <v>30</v>
      </c>
      <c r="G625" s="72" t="s">
        <v>30</v>
      </c>
      <c r="H625" s="72" t="s">
        <v>30</v>
      </c>
      <c r="I625" s="73" t="s">
        <v>30</v>
      </c>
      <c r="J625" s="72" t="s">
        <v>30</v>
      </c>
      <c r="K625" s="72" t="s">
        <v>30</v>
      </c>
      <c r="L625" s="72" t="s">
        <v>30</v>
      </c>
      <c r="M625" s="72" t="s">
        <v>30</v>
      </c>
      <c r="N625" s="72" t="s">
        <v>30</v>
      </c>
      <c r="O625" s="73" t="s">
        <v>30</v>
      </c>
      <c r="P625" s="72" t="s">
        <v>30</v>
      </c>
      <c r="Q625" s="72" t="s">
        <v>30</v>
      </c>
      <c r="R625" s="72" t="s">
        <v>30</v>
      </c>
      <c r="S625" s="72" t="s">
        <v>30</v>
      </c>
      <c r="T625" s="72" t="s">
        <v>30</v>
      </c>
      <c r="W625" s="31"/>
    </row>
    <row r="626">
      <c r="B626" s="72" t="s">
        <v>30</v>
      </c>
      <c r="C626" s="72" t="s">
        <v>30</v>
      </c>
      <c r="D626" s="72" t="s">
        <v>30</v>
      </c>
      <c r="E626" s="72" t="s">
        <v>30</v>
      </c>
      <c r="F626" s="72" t="s">
        <v>30</v>
      </c>
      <c r="G626" s="72" t="s">
        <v>30</v>
      </c>
      <c r="H626" s="72" t="s">
        <v>30</v>
      </c>
      <c r="I626" s="73" t="s">
        <v>30</v>
      </c>
      <c r="J626" s="72" t="s">
        <v>30</v>
      </c>
      <c r="K626" s="72" t="s">
        <v>30</v>
      </c>
      <c r="L626" s="72" t="s">
        <v>30</v>
      </c>
      <c r="M626" s="72" t="s">
        <v>30</v>
      </c>
      <c r="N626" s="72" t="s">
        <v>30</v>
      </c>
      <c r="O626" s="73" t="s">
        <v>30</v>
      </c>
      <c r="P626" s="72" t="s">
        <v>30</v>
      </c>
      <c r="Q626" s="72" t="s">
        <v>30</v>
      </c>
      <c r="R626" s="72" t="s">
        <v>30</v>
      </c>
      <c r="S626" s="72" t="s">
        <v>30</v>
      </c>
      <c r="T626" s="72" t="s">
        <v>30</v>
      </c>
      <c r="W626" s="31"/>
    </row>
    <row r="627">
      <c r="B627" s="72" t="s">
        <v>30</v>
      </c>
      <c r="C627" s="72" t="s">
        <v>30</v>
      </c>
      <c r="D627" s="72" t="s">
        <v>30</v>
      </c>
      <c r="E627" s="72" t="s">
        <v>30</v>
      </c>
      <c r="F627" s="72" t="s">
        <v>30</v>
      </c>
      <c r="G627" s="72" t="s">
        <v>30</v>
      </c>
      <c r="H627" s="72" t="s">
        <v>30</v>
      </c>
      <c r="I627" s="73" t="s">
        <v>30</v>
      </c>
      <c r="J627" s="72" t="s">
        <v>30</v>
      </c>
      <c r="K627" s="72" t="s">
        <v>30</v>
      </c>
      <c r="L627" s="72" t="s">
        <v>30</v>
      </c>
      <c r="M627" s="72" t="s">
        <v>30</v>
      </c>
      <c r="N627" s="72" t="s">
        <v>30</v>
      </c>
      <c r="O627" s="73" t="s">
        <v>30</v>
      </c>
      <c r="P627" s="72" t="s">
        <v>30</v>
      </c>
      <c r="Q627" s="72" t="s">
        <v>30</v>
      </c>
      <c r="R627" s="72" t="s">
        <v>30</v>
      </c>
      <c r="S627" s="72" t="s">
        <v>30</v>
      </c>
      <c r="T627" s="72" t="s">
        <v>30</v>
      </c>
      <c r="W627" s="31"/>
    </row>
    <row r="628">
      <c r="B628" s="72" t="s">
        <v>30</v>
      </c>
      <c r="C628" s="72" t="s">
        <v>30</v>
      </c>
      <c r="D628" s="72" t="s">
        <v>30</v>
      </c>
      <c r="E628" s="72" t="s">
        <v>30</v>
      </c>
      <c r="F628" s="72" t="s">
        <v>30</v>
      </c>
      <c r="G628" s="72" t="s">
        <v>30</v>
      </c>
      <c r="H628" s="72" t="s">
        <v>30</v>
      </c>
      <c r="I628" s="73" t="s">
        <v>30</v>
      </c>
      <c r="J628" s="72" t="s">
        <v>30</v>
      </c>
      <c r="K628" s="72" t="s">
        <v>30</v>
      </c>
      <c r="L628" s="72" t="s">
        <v>30</v>
      </c>
      <c r="M628" s="72" t="s">
        <v>30</v>
      </c>
      <c r="N628" s="72" t="s">
        <v>30</v>
      </c>
      <c r="O628" s="73" t="s">
        <v>30</v>
      </c>
      <c r="P628" s="72" t="s">
        <v>30</v>
      </c>
      <c r="Q628" s="72" t="s">
        <v>30</v>
      </c>
      <c r="R628" s="72" t="s">
        <v>30</v>
      </c>
      <c r="S628" s="72" t="s">
        <v>30</v>
      </c>
      <c r="T628" s="72" t="s">
        <v>30</v>
      </c>
      <c r="W628" s="31"/>
    </row>
    <row r="629">
      <c r="B629" s="72" t="s">
        <v>30</v>
      </c>
      <c r="C629" s="72" t="s">
        <v>30</v>
      </c>
      <c r="D629" s="72" t="s">
        <v>30</v>
      </c>
      <c r="E629" s="72" t="s">
        <v>30</v>
      </c>
      <c r="F629" s="72" t="s">
        <v>30</v>
      </c>
      <c r="G629" s="72" t="s">
        <v>30</v>
      </c>
      <c r="H629" s="72" t="s">
        <v>30</v>
      </c>
      <c r="I629" s="73" t="s">
        <v>30</v>
      </c>
      <c r="J629" s="72" t="s">
        <v>30</v>
      </c>
      <c r="K629" s="72" t="s">
        <v>30</v>
      </c>
      <c r="L629" s="72" t="s">
        <v>30</v>
      </c>
      <c r="M629" s="72" t="s">
        <v>30</v>
      </c>
      <c r="N629" s="72" t="s">
        <v>30</v>
      </c>
      <c r="O629" s="73" t="s">
        <v>30</v>
      </c>
      <c r="P629" s="72" t="s">
        <v>30</v>
      </c>
      <c r="Q629" s="72" t="s">
        <v>30</v>
      </c>
      <c r="R629" s="72" t="s">
        <v>30</v>
      </c>
      <c r="S629" s="72" t="s">
        <v>30</v>
      </c>
      <c r="T629" s="72" t="s">
        <v>30</v>
      </c>
      <c r="W629" s="31"/>
    </row>
    <row r="630">
      <c r="B630" s="72" t="s">
        <v>30</v>
      </c>
      <c r="C630" s="72" t="s">
        <v>30</v>
      </c>
      <c r="D630" s="72" t="s">
        <v>30</v>
      </c>
      <c r="E630" s="72" t="s">
        <v>30</v>
      </c>
      <c r="F630" s="72" t="s">
        <v>30</v>
      </c>
      <c r="G630" s="72" t="s">
        <v>30</v>
      </c>
      <c r="H630" s="72" t="s">
        <v>30</v>
      </c>
      <c r="I630" s="73" t="s">
        <v>30</v>
      </c>
      <c r="J630" s="72" t="s">
        <v>30</v>
      </c>
      <c r="K630" s="72" t="s">
        <v>30</v>
      </c>
      <c r="L630" s="72" t="s">
        <v>30</v>
      </c>
      <c r="M630" s="72" t="s">
        <v>30</v>
      </c>
      <c r="N630" s="72" t="s">
        <v>30</v>
      </c>
      <c r="O630" s="73" t="s">
        <v>30</v>
      </c>
      <c r="P630" s="72" t="s">
        <v>30</v>
      </c>
      <c r="Q630" s="72" t="s">
        <v>30</v>
      </c>
      <c r="R630" s="72" t="s">
        <v>30</v>
      </c>
      <c r="S630" s="72" t="s">
        <v>30</v>
      </c>
      <c r="T630" s="72" t="s">
        <v>30</v>
      </c>
      <c r="W630" s="31"/>
    </row>
    <row r="631">
      <c r="B631" s="72" t="s">
        <v>30</v>
      </c>
      <c r="C631" s="72" t="s">
        <v>30</v>
      </c>
      <c r="D631" s="72" t="s">
        <v>30</v>
      </c>
      <c r="E631" s="72" t="s">
        <v>30</v>
      </c>
      <c r="F631" s="72" t="s">
        <v>30</v>
      </c>
      <c r="G631" s="72" t="s">
        <v>30</v>
      </c>
      <c r="H631" s="72" t="s">
        <v>30</v>
      </c>
      <c r="I631" s="73" t="s">
        <v>30</v>
      </c>
      <c r="J631" s="72" t="s">
        <v>30</v>
      </c>
      <c r="K631" s="72" t="s">
        <v>30</v>
      </c>
      <c r="L631" s="72" t="s">
        <v>30</v>
      </c>
      <c r="M631" s="72" t="s">
        <v>30</v>
      </c>
      <c r="N631" s="72" t="s">
        <v>30</v>
      </c>
      <c r="O631" s="73" t="s">
        <v>30</v>
      </c>
      <c r="P631" s="72" t="s">
        <v>30</v>
      </c>
      <c r="Q631" s="72" t="s">
        <v>30</v>
      </c>
      <c r="R631" s="72" t="s">
        <v>30</v>
      </c>
      <c r="S631" s="72" t="s">
        <v>30</v>
      </c>
      <c r="T631" s="72" t="s">
        <v>30</v>
      </c>
      <c r="W631" s="31"/>
    </row>
    <row r="632">
      <c r="B632" s="72" t="s">
        <v>30</v>
      </c>
      <c r="C632" s="72" t="s">
        <v>30</v>
      </c>
      <c r="D632" s="72" t="s">
        <v>30</v>
      </c>
      <c r="E632" s="72" t="s">
        <v>30</v>
      </c>
      <c r="F632" s="72" t="s">
        <v>30</v>
      </c>
      <c r="G632" s="72" t="s">
        <v>30</v>
      </c>
      <c r="H632" s="72" t="s">
        <v>30</v>
      </c>
      <c r="I632" s="73" t="s">
        <v>30</v>
      </c>
      <c r="J632" s="72" t="s">
        <v>30</v>
      </c>
      <c r="K632" s="72" t="s">
        <v>30</v>
      </c>
      <c r="L632" s="72" t="s">
        <v>30</v>
      </c>
      <c r="M632" s="72" t="s">
        <v>30</v>
      </c>
      <c r="N632" s="72" t="s">
        <v>30</v>
      </c>
      <c r="O632" s="73" t="s">
        <v>30</v>
      </c>
      <c r="P632" s="72" t="s">
        <v>30</v>
      </c>
      <c r="Q632" s="72" t="s">
        <v>30</v>
      </c>
      <c r="R632" s="72" t="s">
        <v>30</v>
      </c>
      <c r="S632" s="72" t="s">
        <v>30</v>
      </c>
      <c r="T632" s="72" t="s">
        <v>30</v>
      </c>
      <c r="W632" s="31"/>
    </row>
    <row r="633">
      <c r="B633" s="72" t="s">
        <v>30</v>
      </c>
      <c r="C633" s="72" t="s">
        <v>30</v>
      </c>
      <c r="D633" s="72" t="s">
        <v>30</v>
      </c>
      <c r="E633" s="72" t="s">
        <v>30</v>
      </c>
      <c r="F633" s="72" t="s">
        <v>30</v>
      </c>
      <c r="G633" s="72" t="s">
        <v>30</v>
      </c>
      <c r="H633" s="72" t="s">
        <v>30</v>
      </c>
      <c r="I633" s="73" t="s">
        <v>30</v>
      </c>
      <c r="J633" s="72" t="s">
        <v>30</v>
      </c>
      <c r="K633" s="72" t="s">
        <v>30</v>
      </c>
      <c r="L633" s="72" t="s">
        <v>30</v>
      </c>
      <c r="M633" s="72" t="s">
        <v>30</v>
      </c>
      <c r="N633" s="72" t="s">
        <v>30</v>
      </c>
      <c r="O633" s="73" t="s">
        <v>30</v>
      </c>
      <c r="P633" s="72" t="s">
        <v>30</v>
      </c>
      <c r="Q633" s="72" t="s">
        <v>30</v>
      </c>
      <c r="R633" s="72" t="s">
        <v>30</v>
      </c>
      <c r="S633" s="72" t="s">
        <v>30</v>
      </c>
      <c r="T633" s="72" t="s">
        <v>30</v>
      </c>
      <c r="W633" s="31"/>
    </row>
    <row r="634">
      <c r="B634" s="72" t="s">
        <v>30</v>
      </c>
      <c r="C634" s="72" t="s">
        <v>30</v>
      </c>
      <c r="D634" s="72" t="s">
        <v>30</v>
      </c>
      <c r="E634" s="72" t="s">
        <v>30</v>
      </c>
      <c r="F634" s="72" t="s">
        <v>30</v>
      </c>
      <c r="G634" s="72" t="s">
        <v>30</v>
      </c>
      <c r="H634" s="72" t="s">
        <v>30</v>
      </c>
      <c r="I634" s="73" t="s">
        <v>30</v>
      </c>
      <c r="J634" s="72" t="s">
        <v>30</v>
      </c>
      <c r="K634" s="72" t="s">
        <v>30</v>
      </c>
      <c r="L634" s="72" t="s">
        <v>30</v>
      </c>
      <c r="M634" s="72" t="s">
        <v>30</v>
      </c>
      <c r="N634" s="72" t="s">
        <v>30</v>
      </c>
      <c r="O634" s="73" t="s">
        <v>30</v>
      </c>
      <c r="P634" s="72" t="s">
        <v>30</v>
      </c>
      <c r="Q634" s="72" t="s">
        <v>30</v>
      </c>
      <c r="R634" s="72" t="s">
        <v>30</v>
      </c>
      <c r="S634" s="72" t="s">
        <v>30</v>
      </c>
      <c r="T634" s="72" t="s">
        <v>30</v>
      </c>
      <c r="W634" s="31"/>
    </row>
    <row r="635">
      <c r="B635" s="72" t="s">
        <v>30</v>
      </c>
      <c r="C635" s="72" t="s">
        <v>30</v>
      </c>
      <c r="D635" s="72" t="s">
        <v>30</v>
      </c>
      <c r="E635" s="72" t="s">
        <v>30</v>
      </c>
      <c r="F635" s="72" t="s">
        <v>30</v>
      </c>
      <c r="G635" s="72" t="s">
        <v>30</v>
      </c>
      <c r="H635" s="72" t="s">
        <v>30</v>
      </c>
      <c r="I635" s="73" t="s">
        <v>30</v>
      </c>
      <c r="J635" s="72" t="s">
        <v>30</v>
      </c>
      <c r="K635" s="72" t="s">
        <v>30</v>
      </c>
      <c r="L635" s="72" t="s">
        <v>30</v>
      </c>
      <c r="M635" s="72" t="s">
        <v>30</v>
      </c>
      <c r="N635" s="72" t="s">
        <v>30</v>
      </c>
      <c r="O635" s="73" t="s">
        <v>30</v>
      </c>
      <c r="P635" s="72" t="s">
        <v>30</v>
      </c>
      <c r="Q635" s="72" t="s">
        <v>30</v>
      </c>
      <c r="R635" s="72" t="s">
        <v>30</v>
      </c>
      <c r="S635" s="72" t="s">
        <v>30</v>
      </c>
      <c r="T635" s="72" t="s">
        <v>30</v>
      </c>
      <c r="W635" s="31"/>
    </row>
    <row r="636">
      <c r="B636" s="72" t="s">
        <v>30</v>
      </c>
      <c r="C636" s="72" t="s">
        <v>30</v>
      </c>
      <c r="D636" s="72" t="s">
        <v>30</v>
      </c>
      <c r="E636" s="72" t="s">
        <v>30</v>
      </c>
      <c r="F636" s="72" t="s">
        <v>30</v>
      </c>
      <c r="G636" s="72" t="s">
        <v>30</v>
      </c>
      <c r="H636" s="72" t="s">
        <v>30</v>
      </c>
      <c r="I636" s="73" t="s">
        <v>30</v>
      </c>
      <c r="J636" s="72" t="s">
        <v>30</v>
      </c>
      <c r="K636" s="72" t="s">
        <v>30</v>
      </c>
      <c r="L636" s="72" t="s">
        <v>30</v>
      </c>
      <c r="M636" s="72" t="s">
        <v>30</v>
      </c>
      <c r="N636" s="72" t="s">
        <v>30</v>
      </c>
      <c r="O636" s="73" t="s">
        <v>30</v>
      </c>
      <c r="P636" s="72" t="s">
        <v>30</v>
      </c>
      <c r="Q636" s="72" t="s">
        <v>30</v>
      </c>
      <c r="R636" s="72" t="s">
        <v>30</v>
      </c>
      <c r="S636" s="72" t="s">
        <v>30</v>
      </c>
      <c r="T636" s="72" t="s">
        <v>30</v>
      </c>
      <c r="W636" s="31"/>
    </row>
    <row r="637">
      <c r="B637" s="72" t="s">
        <v>30</v>
      </c>
      <c r="C637" s="72" t="s">
        <v>30</v>
      </c>
      <c r="D637" s="72" t="s">
        <v>30</v>
      </c>
      <c r="E637" s="72" t="s">
        <v>30</v>
      </c>
      <c r="F637" s="72" t="s">
        <v>30</v>
      </c>
      <c r="G637" s="72" t="s">
        <v>30</v>
      </c>
      <c r="H637" s="72" t="s">
        <v>30</v>
      </c>
      <c r="I637" s="73" t="s">
        <v>30</v>
      </c>
      <c r="J637" s="72" t="s">
        <v>30</v>
      </c>
      <c r="K637" s="72" t="s">
        <v>30</v>
      </c>
      <c r="L637" s="72" t="s">
        <v>30</v>
      </c>
      <c r="M637" s="72" t="s">
        <v>30</v>
      </c>
      <c r="N637" s="72" t="s">
        <v>30</v>
      </c>
      <c r="O637" s="73" t="s">
        <v>30</v>
      </c>
      <c r="P637" s="72" t="s">
        <v>30</v>
      </c>
      <c r="Q637" s="72" t="s">
        <v>30</v>
      </c>
      <c r="R637" s="72" t="s">
        <v>30</v>
      </c>
      <c r="S637" s="72" t="s">
        <v>30</v>
      </c>
      <c r="T637" s="72" t="s">
        <v>30</v>
      </c>
      <c r="W637" s="31"/>
    </row>
    <row r="638">
      <c r="B638" s="72" t="s">
        <v>30</v>
      </c>
      <c r="C638" s="72" t="s">
        <v>30</v>
      </c>
      <c r="D638" s="72" t="s">
        <v>30</v>
      </c>
      <c r="E638" s="72" t="s">
        <v>30</v>
      </c>
      <c r="F638" s="72" t="s">
        <v>30</v>
      </c>
      <c r="G638" s="72" t="s">
        <v>30</v>
      </c>
      <c r="H638" s="72" t="s">
        <v>30</v>
      </c>
      <c r="I638" s="73" t="s">
        <v>30</v>
      </c>
      <c r="J638" s="72" t="s">
        <v>30</v>
      </c>
      <c r="K638" s="72" t="s">
        <v>30</v>
      </c>
      <c r="L638" s="72" t="s">
        <v>30</v>
      </c>
      <c r="M638" s="72" t="s">
        <v>30</v>
      </c>
      <c r="N638" s="72" t="s">
        <v>30</v>
      </c>
      <c r="O638" s="73" t="s">
        <v>30</v>
      </c>
      <c r="P638" s="72" t="s">
        <v>30</v>
      </c>
      <c r="Q638" s="72" t="s">
        <v>30</v>
      </c>
      <c r="R638" s="72" t="s">
        <v>30</v>
      </c>
      <c r="S638" s="72" t="s">
        <v>30</v>
      </c>
      <c r="T638" s="72" t="s">
        <v>30</v>
      </c>
      <c r="W638" s="31"/>
    </row>
    <row r="639">
      <c r="B639" s="72" t="s">
        <v>30</v>
      </c>
      <c r="C639" s="72" t="s">
        <v>30</v>
      </c>
      <c r="D639" s="72" t="s">
        <v>30</v>
      </c>
      <c r="E639" s="72" t="s">
        <v>30</v>
      </c>
      <c r="F639" s="72" t="s">
        <v>30</v>
      </c>
      <c r="G639" s="72" t="s">
        <v>30</v>
      </c>
      <c r="H639" s="72" t="s">
        <v>30</v>
      </c>
      <c r="I639" s="73" t="s">
        <v>30</v>
      </c>
      <c r="J639" s="72" t="s">
        <v>30</v>
      </c>
      <c r="K639" s="72" t="s">
        <v>30</v>
      </c>
      <c r="L639" s="72" t="s">
        <v>30</v>
      </c>
      <c r="M639" s="72" t="s">
        <v>30</v>
      </c>
      <c r="N639" s="72" t="s">
        <v>30</v>
      </c>
      <c r="O639" s="73" t="s">
        <v>30</v>
      </c>
      <c r="P639" s="72" t="s">
        <v>30</v>
      </c>
      <c r="Q639" s="72" t="s">
        <v>30</v>
      </c>
      <c r="R639" s="72" t="s">
        <v>30</v>
      </c>
      <c r="S639" s="72" t="s">
        <v>30</v>
      </c>
      <c r="T639" s="72" t="s">
        <v>30</v>
      </c>
      <c r="W639" s="31"/>
    </row>
    <row r="640">
      <c r="B640" s="72" t="s">
        <v>30</v>
      </c>
      <c r="C640" s="72" t="s">
        <v>30</v>
      </c>
      <c r="D640" s="72" t="s">
        <v>30</v>
      </c>
      <c r="E640" s="72" t="s">
        <v>30</v>
      </c>
      <c r="F640" s="72" t="s">
        <v>30</v>
      </c>
      <c r="G640" s="72" t="s">
        <v>30</v>
      </c>
      <c r="H640" s="72" t="s">
        <v>30</v>
      </c>
      <c r="I640" s="73" t="s">
        <v>30</v>
      </c>
      <c r="J640" s="72" t="s">
        <v>30</v>
      </c>
      <c r="K640" s="72" t="s">
        <v>30</v>
      </c>
      <c r="L640" s="72" t="s">
        <v>30</v>
      </c>
      <c r="M640" s="72" t="s">
        <v>30</v>
      </c>
      <c r="N640" s="72" t="s">
        <v>30</v>
      </c>
      <c r="O640" s="73" t="s">
        <v>30</v>
      </c>
      <c r="P640" s="72" t="s">
        <v>30</v>
      </c>
      <c r="Q640" s="72" t="s">
        <v>30</v>
      </c>
      <c r="R640" s="72" t="s">
        <v>30</v>
      </c>
      <c r="S640" s="72" t="s">
        <v>30</v>
      </c>
      <c r="T640" s="72" t="s">
        <v>30</v>
      </c>
      <c r="W640" s="31"/>
    </row>
    <row r="641">
      <c r="B641" s="72" t="s">
        <v>30</v>
      </c>
      <c r="C641" s="72" t="s">
        <v>30</v>
      </c>
      <c r="D641" s="72" t="s">
        <v>30</v>
      </c>
      <c r="E641" s="72" t="s">
        <v>30</v>
      </c>
      <c r="F641" s="72" t="s">
        <v>30</v>
      </c>
      <c r="G641" s="72" t="s">
        <v>30</v>
      </c>
      <c r="H641" s="72" t="s">
        <v>30</v>
      </c>
      <c r="I641" s="73" t="s">
        <v>30</v>
      </c>
      <c r="J641" s="72" t="s">
        <v>30</v>
      </c>
      <c r="K641" s="72" t="s">
        <v>30</v>
      </c>
      <c r="L641" s="72" t="s">
        <v>30</v>
      </c>
      <c r="M641" s="72" t="s">
        <v>30</v>
      </c>
      <c r="N641" s="72" t="s">
        <v>30</v>
      </c>
      <c r="O641" s="73" t="s">
        <v>30</v>
      </c>
      <c r="P641" s="72" t="s">
        <v>30</v>
      </c>
      <c r="Q641" s="72" t="s">
        <v>30</v>
      </c>
      <c r="R641" s="72" t="s">
        <v>30</v>
      </c>
      <c r="S641" s="72" t="s">
        <v>30</v>
      </c>
      <c r="T641" s="72" t="s">
        <v>30</v>
      </c>
      <c r="W641" s="31"/>
    </row>
    <row r="642">
      <c r="B642" s="72" t="s">
        <v>30</v>
      </c>
      <c r="C642" s="72" t="s">
        <v>30</v>
      </c>
      <c r="D642" s="72" t="s">
        <v>30</v>
      </c>
      <c r="E642" s="72" t="s">
        <v>30</v>
      </c>
      <c r="F642" s="72" t="s">
        <v>30</v>
      </c>
      <c r="G642" s="72" t="s">
        <v>30</v>
      </c>
      <c r="H642" s="72" t="s">
        <v>30</v>
      </c>
      <c r="I642" s="73" t="s">
        <v>30</v>
      </c>
      <c r="J642" s="72" t="s">
        <v>30</v>
      </c>
      <c r="K642" s="72" t="s">
        <v>30</v>
      </c>
      <c r="L642" s="72" t="s">
        <v>30</v>
      </c>
      <c r="M642" s="72" t="s">
        <v>30</v>
      </c>
      <c r="N642" s="72" t="s">
        <v>30</v>
      </c>
      <c r="O642" s="73" t="s">
        <v>30</v>
      </c>
      <c r="P642" s="72" t="s">
        <v>30</v>
      </c>
      <c r="Q642" s="72" t="s">
        <v>30</v>
      </c>
      <c r="R642" s="72" t="s">
        <v>30</v>
      </c>
      <c r="S642" s="72" t="s">
        <v>30</v>
      </c>
      <c r="T642" s="72" t="s">
        <v>30</v>
      </c>
      <c r="W642" s="31"/>
    </row>
    <row r="643">
      <c r="B643" s="72" t="s">
        <v>30</v>
      </c>
      <c r="C643" s="72" t="s">
        <v>30</v>
      </c>
      <c r="D643" s="72" t="s">
        <v>30</v>
      </c>
      <c r="E643" s="72" t="s">
        <v>30</v>
      </c>
      <c r="F643" s="72" t="s">
        <v>30</v>
      </c>
      <c r="G643" s="72" t="s">
        <v>30</v>
      </c>
      <c r="H643" s="72" t="s">
        <v>30</v>
      </c>
      <c r="I643" s="73" t="s">
        <v>30</v>
      </c>
      <c r="J643" s="72" t="s">
        <v>30</v>
      </c>
      <c r="K643" s="72" t="s">
        <v>30</v>
      </c>
      <c r="L643" s="72" t="s">
        <v>30</v>
      </c>
      <c r="M643" s="72" t="s">
        <v>30</v>
      </c>
      <c r="N643" s="72" t="s">
        <v>30</v>
      </c>
      <c r="O643" s="73" t="s">
        <v>30</v>
      </c>
      <c r="P643" s="72" t="s">
        <v>30</v>
      </c>
      <c r="Q643" s="72" t="s">
        <v>30</v>
      </c>
      <c r="R643" s="72" t="s">
        <v>30</v>
      </c>
      <c r="S643" s="72" t="s">
        <v>30</v>
      </c>
      <c r="T643" s="72" t="s">
        <v>30</v>
      </c>
      <c r="W643" s="31"/>
    </row>
    <row r="644">
      <c r="B644" s="72" t="s">
        <v>30</v>
      </c>
      <c r="C644" s="72" t="s">
        <v>30</v>
      </c>
      <c r="D644" s="72" t="s">
        <v>30</v>
      </c>
      <c r="E644" s="72" t="s">
        <v>30</v>
      </c>
      <c r="F644" s="72" t="s">
        <v>30</v>
      </c>
      <c r="G644" s="72" t="s">
        <v>30</v>
      </c>
      <c r="H644" s="72" t="s">
        <v>30</v>
      </c>
      <c r="I644" s="73" t="s">
        <v>30</v>
      </c>
      <c r="J644" s="72" t="s">
        <v>30</v>
      </c>
      <c r="K644" s="72" t="s">
        <v>30</v>
      </c>
      <c r="L644" s="72" t="s">
        <v>30</v>
      </c>
      <c r="M644" s="72" t="s">
        <v>30</v>
      </c>
      <c r="N644" s="72" t="s">
        <v>30</v>
      </c>
      <c r="O644" s="73" t="s">
        <v>30</v>
      </c>
      <c r="P644" s="72" t="s">
        <v>30</v>
      </c>
      <c r="Q644" s="72" t="s">
        <v>30</v>
      </c>
      <c r="R644" s="72" t="s">
        <v>30</v>
      </c>
      <c r="S644" s="72" t="s">
        <v>30</v>
      </c>
      <c r="T644" s="72" t="s">
        <v>30</v>
      </c>
      <c r="W644" s="31"/>
    </row>
    <row r="645">
      <c r="B645" s="72" t="s">
        <v>30</v>
      </c>
      <c r="C645" s="72" t="s">
        <v>30</v>
      </c>
      <c r="D645" s="72" t="s">
        <v>30</v>
      </c>
      <c r="E645" s="72" t="s">
        <v>30</v>
      </c>
      <c r="F645" s="72" t="s">
        <v>30</v>
      </c>
      <c r="G645" s="72" t="s">
        <v>30</v>
      </c>
      <c r="H645" s="72" t="s">
        <v>30</v>
      </c>
      <c r="I645" s="73" t="s">
        <v>30</v>
      </c>
      <c r="J645" s="72" t="s">
        <v>30</v>
      </c>
      <c r="K645" s="72" t="s">
        <v>30</v>
      </c>
      <c r="L645" s="72" t="s">
        <v>30</v>
      </c>
      <c r="M645" s="72" t="s">
        <v>30</v>
      </c>
      <c r="N645" s="72" t="s">
        <v>30</v>
      </c>
      <c r="O645" s="73" t="s">
        <v>30</v>
      </c>
      <c r="P645" s="72" t="s">
        <v>30</v>
      </c>
      <c r="Q645" s="72" t="s">
        <v>30</v>
      </c>
      <c r="R645" s="72" t="s">
        <v>30</v>
      </c>
      <c r="S645" s="72" t="s">
        <v>30</v>
      </c>
      <c r="T645" s="72" t="s">
        <v>30</v>
      </c>
      <c r="W645" s="31"/>
    </row>
    <row r="646">
      <c r="B646" s="72" t="s">
        <v>30</v>
      </c>
      <c r="C646" s="72" t="s">
        <v>30</v>
      </c>
      <c r="D646" s="72" t="s">
        <v>30</v>
      </c>
      <c r="E646" s="72" t="s">
        <v>30</v>
      </c>
      <c r="F646" s="72" t="s">
        <v>30</v>
      </c>
      <c r="G646" s="72" t="s">
        <v>30</v>
      </c>
      <c r="H646" s="72" t="s">
        <v>30</v>
      </c>
      <c r="I646" s="73" t="s">
        <v>30</v>
      </c>
      <c r="J646" s="72" t="s">
        <v>30</v>
      </c>
      <c r="K646" s="72" t="s">
        <v>30</v>
      </c>
      <c r="L646" s="72" t="s">
        <v>30</v>
      </c>
      <c r="M646" s="72" t="s">
        <v>30</v>
      </c>
      <c r="N646" s="72" t="s">
        <v>30</v>
      </c>
      <c r="O646" s="73" t="s">
        <v>30</v>
      </c>
      <c r="P646" s="72" t="s">
        <v>30</v>
      </c>
      <c r="Q646" s="72" t="s">
        <v>30</v>
      </c>
      <c r="R646" s="72" t="s">
        <v>30</v>
      </c>
      <c r="S646" s="72" t="s">
        <v>30</v>
      </c>
      <c r="T646" s="72" t="s">
        <v>30</v>
      </c>
      <c r="W646" s="31"/>
    </row>
    <row r="647">
      <c r="B647" s="72" t="s">
        <v>30</v>
      </c>
      <c r="C647" s="72" t="s">
        <v>30</v>
      </c>
      <c r="D647" s="72" t="s">
        <v>30</v>
      </c>
      <c r="E647" s="72" t="s">
        <v>30</v>
      </c>
      <c r="F647" s="72" t="s">
        <v>30</v>
      </c>
      <c r="G647" s="72" t="s">
        <v>30</v>
      </c>
      <c r="H647" s="72" t="s">
        <v>30</v>
      </c>
      <c r="I647" s="73" t="s">
        <v>30</v>
      </c>
      <c r="J647" s="72" t="s">
        <v>30</v>
      </c>
      <c r="K647" s="72" t="s">
        <v>30</v>
      </c>
      <c r="L647" s="72" t="s">
        <v>30</v>
      </c>
      <c r="M647" s="72" t="s">
        <v>30</v>
      </c>
      <c r="N647" s="72" t="s">
        <v>30</v>
      </c>
      <c r="O647" s="73" t="s">
        <v>30</v>
      </c>
      <c r="P647" s="72" t="s">
        <v>30</v>
      </c>
      <c r="Q647" s="72" t="s">
        <v>30</v>
      </c>
      <c r="R647" s="72" t="s">
        <v>30</v>
      </c>
      <c r="S647" s="72" t="s">
        <v>30</v>
      </c>
      <c r="T647" s="72" t="s">
        <v>30</v>
      </c>
      <c r="W647" s="31"/>
    </row>
    <row r="648">
      <c r="B648" s="72" t="s">
        <v>30</v>
      </c>
      <c r="C648" s="72" t="s">
        <v>30</v>
      </c>
      <c r="D648" s="72" t="s">
        <v>30</v>
      </c>
      <c r="E648" s="72" t="s">
        <v>30</v>
      </c>
      <c r="F648" s="72" t="s">
        <v>30</v>
      </c>
      <c r="G648" s="72" t="s">
        <v>30</v>
      </c>
      <c r="H648" s="72" t="s">
        <v>30</v>
      </c>
      <c r="I648" s="73" t="s">
        <v>30</v>
      </c>
      <c r="J648" s="72" t="s">
        <v>30</v>
      </c>
      <c r="K648" s="72" t="s">
        <v>30</v>
      </c>
      <c r="L648" s="72" t="s">
        <v>30</v>
      </c>
      <c r="M648" s="72" t="s">
        <v>30</v>
      </c>
      <c r="N648" s="72" t="s">
        <v>30</v>
      </c>
      <c r="O648" s="73" t="s">
        <v>30</v>
      </c>
      <c r="P648" s="72" t="s">
        <v>30</v>
      </c>
      <c r="Q648" s="72" t="s">
        <v>30</v>
      </c>
      <c r="R648" s="72" t="s">
        <v>30</v>
      </c>
      <c r="S648" s="72" t="s">
        <v>30</v>
      </c>
      <c r="T648" s="72" t="s">
        <v>30</v>
      </c>
      <c r="W648" s="31"/>
    </row>
    <row r="649">
      <c r="B649" s="72" t="s">
        <v>30</v>
      </c>
      <c r="C649" s="72" t="s">
        <v>30</v>
      </c>
      <c r="D649" s="72" t="s">
        <v>30</v>
      </c>
      <c r="E649" s="72" t="s">
        <v>30</v>
      </c>
      <c r="F649" s="72" t="s">
        <v>30</v>
      </c>
      <c r="G649" s="72" t="s">
        <v>30</v>
      </c>
      <c r="H649" s="72" t="s">
        <v>30</v>
      </c>
      <c r="I649" s="73" t="s">
        <v>30</v>
      </c>
      <c r="J649" s="72" t="s">
        <v>30</v>
      </c>
      <c r="K649" s="72" t="s">
        <v>30</v>
      </c>
      <c r="L649" s="72" t="s">
        <v>30</v>
      </c>
      <c r="M649" s="72" t="s">
        <v>30</v>
      </c>
      <c r="N649" s="72" t="s">
        <v>30</v>
      </c>
      <c r="O649" s="73" t="s">
        <v>30</v>
      </c>
      <c r="P649" s="72" t="s">
        <v>30</v>
      </c>
      <c r="Q649" s="72" t="s">
        <v>30</v>
      </c>
      <c r="R649" s="72" t="s">
        <v>30</v>
      </c>
      <c r="S649" s="72" t="s">
        <v>30</v>
      </c>
      <c r="T649" s="72" t="s">
        <v>30</v>
      </c>
      <c r="W649" s="31"/>
    </row>
    <row r="650">
      <c r="B650" s="72" t="s">
        <v>30</v>
      </c>
      <c r="C650" s="72" t="s">
        <v>30</v>
      </c>
      <c r="D650" s="72" t="s">
        <v>30</v>
      </c>
      <c r="E650" s="72" t="s">
        <v>30</v>
      </c>
      <c r="F650" s="72" t="s">
        <v>30</v>
      </c>
      <c r="G650" s="72" t="s">
        <v>30</v>
      </c>
      <c r="H650" s="72" t="s">
        <v>30</v>
      </c>
      <c r="I650" s="73" t="s">
        <v>30</v>
      </c>
      <c r="J650" s="72" t="s">
        <v>30</v>
      </c>
      <c r="K650" s="72" t="s">
        <v>30</v>
      </c>
      <c r="L650" s="72" t="s">
        <v>30</v>
      </c>
      <c r="M650" s="72" t="s">
        <v>30</v>
      </c>
      <c r="N650" s="72" t="s">
        <v>30</v>
      </c>
      <c r="O650" s="73" t="s">
        <v>30</v>
      </c>
      <c r="P650" s="72" t="s">
        <v>30</v>
      </c>
      <c r="Q650" s="72" t="s">
        <v>30</v>
      </c>
      <c r="R650" s="72" t="s">
        <v>30</v>
      </c>
      <c r="S650" s="72" t="s">
        <v>30</v>
      </c>
      <c r="T650" s="72" t="s">
        <v>30</v>
      </c>
      <c r="W650" s="31"/>
    </row>
    <row r="651">
      <c r="B651" s="72" t="s">
        <v>30</v>
      </c>
      <c r="C651" s="72" t="s">
        <v>30</v>
      </c>
      <c r="D651" s="72" t="s">
        <v>30</v>
      </c>
      <c r="E651" s="72" t="s">
        <v>30</v>
      </c>
      <c r="F651" s="72" t="s">
        <v>30</v>
      </c>
      <c r="G651" s="72" t="s">
        <v>30</v>
      </c>
      <c r="H651" s="72" t="s">
        <v>30</v>
      </c>
      <c r="I651" s="73" t="s">
        <v>30</v>
      </c>
      <c r="J651" s="72" t="s">
        <v>30</v>
      </c>
      <c r="K651" s="72" t="s">
        <v>30</v>
      </c>
      <c r="L651" s="72" t="s">
        <v>30</v>
      </c>
      <c r="M651" s="72" t="s">
        <v>30</v>
      </c>
      <c r="N651" s="72" t="s">
        <v>30</v>
      </c>
      <c r="O651" s="73" t="s">
        <v>30</v>
      </c>
      <c r="P651" s="72" t="s">
        <v>30</v>
      </c>
      <c r="Q651" s="72" t="s">
        <v>30</v>
      </c>
      <c r="R651" s="72" t="s">
        <v>30</v>
      </c>
      <c r="S651" s="72" t="s">
        <v>30</v>
      </c>
      <c r="T651" s="72" t="s">
        <v>30</v>
      </c>
      <c r="W651" s="31"/>
    </row>
    <row r="652">
      <c r="B652" s="72" t="s">
        <v>30</v>
      </c>
      <c r="C652" s="72" t="s">
        <v>30</v>
      </c>
      <c r="D652" s="72" t="s">
        <v>30</v>
      </c>
      <c r="E652" s="72" t="s">
        <v>30</v>
      </c>
      <c r="F652" s="72" t="s">
        <v>30</v>
      </c>
      <c r="G652" s="72" t="s">
        <v>30</v>
      </c>
      <c r="H652" s="72" t="s">
        <v>30</v>
      </c>
      <c r="I652" s="73" t="s">
        <v>30</v>
      </c>
      <c r="J652" s="72" t="s">
        <v>30</v>
      </c>
      <c r="K652" s="72" t="s">
        <v>30</v>
      </c>
      <c r="L652" s="72" t="s">
        <v>30</v>
      </c>
      <c r="M652" s="72" t="s">
        <v>30</v>
      </c>
      <c r="N652" s="72" t="s">
        <v>30</v>
      </c>
      <c r="O652" s="73" t="s">
        <v>30</v>
      </c>
      <c r="P652" s="72" t="s">
        <v>30</v>
      </c>
      <c r="Q652" s="72" t="s">
        <v>30</v>
      </c>
      <c r="R652" s="72" t="s">
        <v>30</v>
      </c>
      <c r="S652" s="72" t="s">
        <v>30</v>
      </c>
      <c r="T652" s="72" t="s">
        <v>30</v>
      </c>
      <c r="W652" s="31"/>
    </row>
    <row r="653">
      <c r="B653" s="72" t="s">
        <v>30</v>
      </c>
      <c r="C653" s="72" t="s">
        <v>30</v>
      </c>
      <c r="D653" s="72" t="s">
        <v>30</v>
      </c>
      <c r="E653" s="72" t="s">
        <v>30</v>
      </c>
      <c r="F653" s="72" t="s">
        <v>30</v>
      </c>
      <c r="G653" s="72" t="s">
        <v>30</v>
      </c>
      <c r="H653" s="72" t="s">
        <v>30</v>
      </c>
      <c r="I653" s="73" t="s">
        <v>30</v>
      </c>
      <c r="J653" s="72" t="s">
        <v>30</v>
      </c>
      <c r="K653" s="72" t="s">
        <v>30</v>
      </c>
      <c r="L653" s="72" t="s">
        <v>30</v>
      </c>
      <c r="M653" s="72" t="s">
        <v>30</v>
      </c>
      <c r="N653" s="72" t="s">
        <v>30</v>
      </c>
      <c r="O653" s="73" t="s">
        <v>30</v>
      </c>
      <c r="P653" s="72" t="s">
        <v>30</v>
      </c>
      <c r="Q653" s="72" t="s">
        <v>30</v>
      </c>
      <c r="R653" s="72" t="s">
        <v>30</v>
      </c>
      <c r="S653" s="72" t="s">
        <v>30</v>
      </c>
      <c r="T653" s="72" t="s">
        <v>30</v>
      </c>
      <c r="W653" s="31"/>
    </row>
    <row r="654">
      <c r="B654" s="72" t="s">
        <v>30</v>
      </c>
      <c r="C654" s="72" t="s">
        <v>30</v>
      </c>
      <c r="D654" s="72" t="s">
        <v>30</v>
      </c>
      <c r="E654" s="72" t="s">
        <v>30</v>
      </c>
      <c r="F654" s="72" t="s">
        <v>30</v>
      </c>
      <c r="G654" s="72" t="s">
        <v>30</v>
      </c>
      <c r="H654" s="72" t="s">
        <v>30</v>
      </c>
      <c r="I654" s="73" t="s">
        <v>30</v>
      </c>
      <c r="J654" s="72" t="s">
        <v>30</v>
      </c>
      <c r="K654" s="72" t="s">
        <v>30</v>
      </c>
      <c r="L654" s="72" t="s">
        <v>30</v>
      </c>
      <c r="M654" s="72" t="s">
        <v>30</v>
      </c>
      <c r="N654" s="72" t="s">
        <v>30</v>
      </c>
      <c r="O654" s="73" t="s">
        <v>30</v>
      </c>
      <c r="P654" s="72" t="s">
        <v>30</v>
      </c>
      <c r="Q654" s="72" t="s">
        <v>30</v>
      </c>
      <c r="R654" s="72" t="s">
        <v>30</v>
      </c>
      <c r="S654" s="72" t="s">
        <v>30</v>
      </c>
      <c r="T654" s="72" t="s">
        <v>30</v>
      </c>
      <c r="W654" s="31"/>
    </row>
    <row r="655">
      <c r="B655" s="72" t="s">
        <v>30</v>
      </c>
      <c r="C655" s="72" t="s">
        <v>30</v>
      </c>
      <c r="D655" s="72" t="s">
        <v>30</v>
      </c>
      <c r="E655" s="72" t="s">
        <v>30</v>
      </c>
      <c r="F655" s="72" t="s">
        <v>30</v>
      </c>
      <c r="G655" s="72" t="s">
        <v>30</v>
      </c>
      <c r="H655" s="72" t="s">
        <v>30</v>
      </c>
      <c r="I655" s="73" t="s">
        <v>30</v>
      </c>
      <c r="J655" s="72" t="s">
        <v>30</v>
      </c>
      <c r="K655" s="72" t="s">
        <v>30</v>
      </c>
      <c r="L655" s="72" t="s">
        <v>30</v>
      </c>
      <c r="M655" s="72" t="s">
        <v>30</v>
      </c>
      <c r="N655" s="72" t="s">
        <v>30</v>
      </c>
      <c r="O655" s="73" t="s">
        <v>30</v>
      </c>
      <c r="P655" s="72" t="s">
        <v>30</v>
      </c>
      <c r="Q655" s="72" t="s">
        <v>30</v>
      </c>
      <c r="R655" s="72" t="s">
        <v>30</v>
      </c>
      <c r="S655" s="72" t="s">
        <v>30</v>
      </c>
      <c r="T655" s="72" t="s">
        <v>30</v>
      </c>
      <c r="W655" s="31"/>
    </row>
    <row r="656">
      <c r="B656" s="72" t="s">
        <v>30</v>
      </c>
      <c r="C656" s="72" t="s">
        <v>30</v>
      </c>
      <c r="D656" s="72" t="s">
        <v>30</v>
      </c>
      <c r="E656" s="72" t="s">
        <v>30</v>
      </c>
      <c r="F656" s="72" t="s">
        <v>30</v>
      </c>
      <c r="G656" s="72" t="s">
        <v>30</v>
      </c>
      <c r="H656" s="72" t="s">
        <v>30</v>
      </c>
      <c r="I656" s="73" t="s">
        <v>30</v>
      </c>
      <c r="J656" s="72" t="s">
        <v>30</v>
      </c>
      <c r="K656" s="72" t="s">
        <v>30</v>
      </c>
      <c r="L656" s="72" t="s">
        <v>30</v>
      </c>
      <c r="M656" s="72" t="s">
        <v>30</v>
      </c>
      <c r="N656" s="72" t="s">
        <v>30</v>
      </c>
      <c r="O656" s="73" t="s">
        <v>30</v>
      </c>
      <c r="P656" s="72" t="s">
        <v>30</v>
      </c>
      <c r="Q656" s="72" t="s">
        <v>30</v>
      </c>
      <c r="R656" s="72" t="s">
        <v>30</v>
      </c>
      <c r="S656" s="72" t="s">
        <v>30</v>
      </c>
      <c r="T656" s="72" t="s">
        <v>30</v>
      </c>
      <c r="W656" s="31"/>
    </row>
    <row r="657">
      <c r="B657" s="72" t="s">
        <v>30</v>
      </c>
      <c r="C657" s="72" t="s">
        <v>30</v>
      </c>
      <c r="D657" s="72" t="s">
        <v>30</v>
      </c>
      <c r="E657" s="72" t="s">
        <v>30</v>
      </c>
      <c r="F657" s="72" t="s">
        <v>30</v>
      </c>
      <c r="G657" s="72" t="s">
        <v>30</v>
      </c>
      <c r="H657" s="72" t="s">
        <v>30</v>
      </c>
      <c r="I657" s="73" t="s">
        <v>30</v>
      </c>
      <c r="J657" s="72" t="s">
        <v>30</v>
      </c>
      <c r="K657" s="72" t="s">
        <v>30</v>
      </c>
      <c r="L657" s="72" t="s">
        <v>30</v>
      </c>
      <c r="M657" s="72" t="s">
        <v>30</v>
      </c>
      <c r="N657" s="72" t="s">
        <v>30</v>
      </c>
      <c r="O657" s="73" t="s">
        <v>30</v>
      </c>
      <c r="P657" s="72" t="s">
        <v>30</v>
      </c>
      <c r="Q657" s="72" t="s">
        <v>30</v>
      </c>
      <c r="R657" s="72" t="s">
        <v>30</v>
      </c>
      <c r="S657" s="72" t="s">
        <v>30</v>
      </c>
      <c r="T657" s="72" t="s">
        <v>30</v>
      </c>
      <c r="W657" s="31"/>
    </row>
    <row r="658">
      <c r="B658" s="72" t="s">
        <v>30</v>
      </c>
      <c r="C658" s="72" t="s">
        <v>30</v>
      </c>
      <c r="D658" s="72" t="s">
        <v>30</v>
      </c>
      <c r="E658" s="72" t="s">
        <v>30</v>
      </c>
      <c r="F658" s="72" t="s">
        <v>30</v>
      </c>
      <c r="G658" s="72" t="s">
        <v>30</v>
      </c>
      <c r="H658" s="72" t="s">
        <v>30</v>
      </c>
      <c r="I658" s="73" t="s">
        <v>30</v>
      </c>
      <c r="J658" s="72" t="s">
        <v>30</v>
      </c>
      <c r="K658" s="72" t="s">
        <v>30</v>
      </c>
      <c r="L658" s="72" t="s">
        <v>30</v>
      </c>
      <c r="M658" s="72" t="s">
        <v>30</v>
      </c>
      <c r="N658" s="72" t="s">
        <v>30</v>
      </c>
      <c r="O658" s="73" t="s">
        <v>30</v>
      </c>
      <c r="P658" s="72" t="s">
        <v>30</v>
      </c>
      <c r="Q658" s="72" t="s">
        <v>30</v>
      </c>
      <c r="R658" s="72" t="s">
        <v>30</v>
      </c>
      <c r="S658" s="72" t="s">
        <v>30</v>
      </c>
      <c r="T658" s="72" t="s">
        <v>30</v>
      </c>
      <c r="W658" s="31"/>
    </row>
    <row r="659">
      <c r="B659" s="72" t="s">
        <v>30</v>
      </c>
      <c r="C659" s="72" t="s">
        <v>30</v>
      </c>
      <c r="D659" s="72" t="s">
        <v>30</v>
      </c>
      <c r="E659" s="72" t="s">
        <v>30</v>
      </c>
      <c r="F659" s="72" t="s">
        <v>30</v>
      </c>
      <c r="G659" s="72" t="s">
        <v>30</v>
      </c>
      <c r="H659" s="72" t="s">
        <v>30</v>
      </c>
      <c r="I659" s="73" t="s">
        <v>30</v>
      </c>
      <c r="J659" s="72" t="s">
        <v>30</v>
      </c>
      <c r="K659" s="72" t="s">
        <v>30</v>
      </c>
      <c r="L659" s="72" t="s">
        <v>30</v>
      </c>
      <c r="M659" s="72" t="s">
        <v>30</v>
      </c>
      <c r="N659" s="72" t="s">
        <v>30</v>
      </c>
      <c r="O659" s="73" t="s">
        <v>30</v>
      </c>
      <c r="P659" s="72" t="s">
        <v>30</v>
      </c>
      <c r="Q659" s="72" t="s">
        <v>30</v>
      </c>
      <c r="R659" s="72" t="s">
        <v>30</v>
      </c>
      <c r="S659" s="72" t="s">
        <v>30</v>
      </c>
      <c r="T659" s="72" t="s">
        <v>30</v>
      </c>
      <c r="W659" s="31"/>
    </row>
    <row r="660">
      <c r="B660" s="72" t="s">
        <v>30</v>
      </c>
      <c r="C660" s="72" t="s">
        <v>30</v>
      </c>
      <c r="D660" s="72" t="s">
        <v>30</v>
      </c>
      <c r="E660" s="72" t="s">
        <v>30</v>
      </c>
      <c r="F660" s="72" t="s">
        <v>30</v>
      </c>
      <c r="G660" s="72" t="s">
        <v>30</v>
      </c>
      <c r="H660" s="72" t="s">
        <v>30</v>
      </c>
      <c r="I660" s="73" t="s">
        <v>30</v>
      </c>
      <c r="J660" s="72" t="s">
        <v>30</v>
      </c>
      <c r="K660" s="72" t="s">
        <v>30</v>
      </c>
      <c r="L660" s="72" t="s">
        <v>30</v>
      </c>
      <c r="M660" s="72" t="s">
        <v>30</v>
      </c>
      <c r="N660" s="72" t="s">
        <v>30</v>
      </c>
      <c r="O660" s="73" t="s">
        <v>30</v>
      </c>
      <c r="P660" s="72" t="s">
        <v>30</v>
      </c>
      <c r="Q660" s="72" t="s">
        <v>30</v>
      </c>
      <c r="R660" s="72" t="s">
        <v>30</v>
      </c>
      <c r="S660" s="72" t="s">
        <v>30</v>
      </c>
      <c r="T660" s="72" t="s">
        <v>30</v>
      </c>
      <c r="W660" s="31"/>
    </row>
    <row r="661">
      <c r="B661" s="72" t="s">
        <v>30</v>
      </c>
      <c r="C661" s="72" t="s">
        <v>30</v>
      </c>
      <c r="D661" s="72" t="s">
        <v>30</v>
      </c>
      <c r="E661" s="72" t="s">
        <v>30</v>
      </c>
      <c r="F661" s="72" t="s">
        <v>30</v>
      </c>
      <c r="G661" s="72" t="s">
        <v>30</v>
      </c>
      <c r="H661" s="72" t="s">
        <v>30</v>
      </c>
      <c r="I661" s="73" t="s">
        <v>30</v>
      </c>
      <c r="J661" s="72" t="s">
        <v>30</v>
      </c>
      <c r="K661" s="72" t="s">
        <v>30</v>
      </c>
      <c r="L661" s="72" t="s">
        <v>30</v>
      </c>
      <c r="M661" s="72" t="s">
        <v>30</v>
      </c>
      <c r="N661" s="72" t="s">
        <v>30</v>
      </c>
      <c r="O661" s="73" t="s">
        <v>30</v>
      </c>
      <c r="P661" s="72" t="s">
        <v>30</v>
      </c>
      <c r="Q661" s="72" t="s">
        <v>30</v>
      </c>
      <c r="R661" s="72" t="s">
        <v>30</v>
      </c>
      <c r="S661" s="72" t="s">
        <v>30</v>
      </c>
      <c r="T661" s="72" t="s">
        <v>30</v>
      </c>
      <c r="W661" s="31"/>
    </row>
    <row r="662">
      <c r="B662" s="72" t="s">
        <v>30</v>
      </c>
      <c r="C662" s="72" t="s">
        <v>30</v>
      </c>
      <c r="D662" s="72" t="s">
        <v>30</v>
      </c>
      <c r="E662" s="72" t="s">
        <v>30</v>
      </c>
      <c r="F662" s="72" t="s">
        <v>30</v>
      </c>
      <c r="G662" s="72" t="s">
        <v>30</v>
      </c>
      <c r="H662" s="72" t="s">
        <v>30</v>
      </c>
      <c r="I662" s="73" t="s">
        <v>30</v>
      </c>
      <c r="J662" s="72" t="s">
        <v>30</v>
      </c>
      <c r="K662" s="72" t="s">
        <v>30</v>
      </c>
      <c r="L662" s="72" t="s">
        <v>30</v>
      </c>
      <c r="M662" s="72" t="s">
        <v>30</v>
      </c>
      <c r="N662" s="72" t="s">
        <v>30</v>
      </c>
      <c r="O662" s="73" t="s">
        <v>30</v>
      </c>
      <c r="P662" s="72" t="s">
        <v>30</v>
      </c>
      <c r="Q662" s="72" t="s">
        <v>30</v>
      </c>
      <c r="R662" s="72" t="s">
        <v>30</v>
      </c>
      <c r="S662" s="72" t="s">
        <v>30</v>
      </c>
      <c r="T662" s="72" t="s">
        <v>30</v>
      </c>
      <c r="W662" s="31"/>
    </row>
    <row r="663">
      <c r="B663" s="72" t="s">
        <v>30</v>
      </c>
      <c r="C663" s="72" t="s">
        <v>30</v>
      </c>
      <c r="D663" s="72" t="s">
        <v>30</v>
      </c>
      <c r="E663" s="72" t="s">
        <v>30</v>
      </c>
      <c r="F663" s="72" t="s">
        <v>30</v>
      </c>
      <c r="G663" s="72" t="s">
        <v>30</v>
      </c>
      <c r="H663" s="72" t="s">
        <v>30</v>
      </c>
      <c r="I663" s="73" t="s">
        <v>30</v>
      </c>
      <c r="J663" s="72" t="s">
        <v>30</v>
      </c>
      <c r="K663" s="72" t="s">
        <v>30</v>
      </c>
      <c r="L663" s="72" t="s">
        <v>30</v>
      </c>
      <c r="M663" s="72" t="s">
        <v>30</v>
      </c>
      <c r="N663" s="72" t="s">
        <v>30</v>
      </c>
      <c r="O663" s="73" t="s">
        <v>30</v>
      </c>
      <c r="P663" s="72" t="s">
        <v>30</v>
      </c>
      <c r="Q663" s="72" t="s">
        <v>30</v>
      </c>
      <c r="R663" s="72" t="s">
        <v>30</v>
      </c>
      <c r="S663" s="72" t="s">
        <v>30</v>
      </c>
      <c r="T663" s="72" t="s">
        <v>30</v>
      </c>
      <c r="W663" s="31"/>
    </row>
    <row r="664">
      <c r="B664" s="72" t="s">
        <v>30</v>
      </c>
      <c r="C664" s="72" t="s">
        <v>30</v>
      </c>
      <c r="D664" s="72" t="s">
        <v>30</v>
      </c>
      <c r="E664" s="72" t="s">
        <v>30</v>
      </c>
      <c r="F664" s="72" t="s">
        <v>30</v>
      </c>
      <c r="G664" s="72" t="s">
        <v>30</v>
      </c>
      <c r="H664" s="72" t="s">
        <v>30</v>
      </c>
      <c r="I664" s="73" t="s">
        <v>30</v>
      </c>
      <c r="J664" s="72" t="s">
        <v>30</v>
      </c>
      <c r="K664" s="72" t="s">
        <v>30</v>
      </c>
      <c r="L664" s="72" t="s">
        <v>30</v>
      </c>
      <c r="M664" s="72" t="s">
        <v>30</v>
      </c>
      <c r="N664" s="72" t="s">
        <v>30</v>
      </c>
      <c r="O664" s="73" t="s">
        <v>30</v>
      </c>
      <c r="P664" s="72" t="s">
        <v>30</v>
      </c>
      <c r="Q664" s="72" t="s">
        <v>30</v>
      </c>
      <c r="R664" s="72" t="s">
        <v>30</v>
      </c>
      <c r="S664" s="72" t="s">
        <v>30</v>
      </c>
      <c r="T664" s="72" t="s">
        <v>30</v>
      </c>
      <c r="W664" s="31"/>
    </row>
    <row r="665">
      <c r="B665" s="72" t="s">
        <v>30</v>
      </c>
      <c r="C665" s="72" t="s">
        <v>30</v>
      </c>
      <c r="D665" s="72" t="s">
        <v>30</v>
      </c>
      <c r="E665" s="72" t="s">
        <v>30</v>
      </c>
      <c r="F665" s="72" t="s">
        <v>30</v>
      </c>
      <c r="G665" s="72" t="s">
        <v>30</v>
      </c>
      <c r="H665" s="72" t="s">
        <v>30</v>
      </c>
      <c r="I665" s="73" t="s">
        <v>30</v>
      </c>
      <c r="J665" s="72" t="s">
        <v>30</v>
      </c>
      <c r="K665" s="72" t="s">
        <v>30</v>
      </c>
      <c r="L665" s="72" t="s">
        <v>30</v>
      </c>
      <c r="M665" s="72" t="s">
        <v>30</v>
      </c>
      <c r="N665" s="72" t="s">
        <v>30</v>
      </c>
      <c r="O665" s="73" t="s">
        <v>30</v>
      </c>
      <c r="P665" s="72" t="s">
        <v>30</v>
      </c>
      <c r="Q665" s="72" t="s">
        <v>30</v>
      </c>
      <c r="R665" s="72" t="s">
        <v>30</v>
      </c>
      <c r="S665" s="72" t="s">
        <v>30</v>
      </c>
      <c r="T665" s="72" t="s">
        <v>30</v>
      </c>
      <c r="W665" s="31"/>
    </row>
    <row r="666">
      <c r="B666" s="72" t="s">
        <v>30</v>
      </c>
      <c r="C666" s="72" t="s">
        <v>30</v>
      </c>
      <c r="D666" s="72" t="s">
        <v>30</v>
      </c>
      <c r="E666" s="72" t="s">
        <v>30</v>
      </c>
      <c r="F666" s="72" t="s">
        <v>30</v>
      </c>
      <c r="G666" s="72" t="s">
        <v>30</v>
      </c>
      <c r="H666" s="72" t="s">
        <v>30</v>
      </c>
      <c r="I666" s="73" t="s">
        <v>30</v>
      </c>
      <c r="J666" s="72" t="s">
        <v>30</v>
      </c>
      <c r="K666" s="72" t="s">
        <v>30</v>
      </c>
      <c r="L666" s="72" t="s">
        <v>30</v>
      </c>
      <c r="M666" s="72" t="s">
        <v>30</v>
      </c>
      <c r="N666" s="72" t="s">
        <v>30</v>
      </c>
      <c r="O666" s="73" t="s">
        <v>30</v>
      </c>
      <c r="P666" s="72" t="s">
        <v>30</v>
      </c>
      <c r="Q666" s="72" t="s">
        <v>30</v>
      </c>
      <c r="R666" s="72" t="s">
        <v>30</v>
      </c>
      <c r="S666" s="72" t="s">
        <v>30</v>
      </c>
      <c r="T666" s="72" t="s">
        <v>30</v>
      </c>
      <c r="W666" s="31"/>
    </row>
    <row r="667">
      <c r="B667" s="72" t="s">
        <v>30</v>
      </c>
      <c r="C667" s="72" t="s">
        <v>30</v>
      </c>
      <c r="D667" s="72" t="s">
        <v>30</v>
      </c>
      <c r="E667" s="72" t="s">
        <v>30</v>
      </c>
      <c r="F667" s="72" t="s">
        <v>30</v>
      </c>
      <c r="G667" s="72" t="s">
        <v>30</v>
      </c>
      <c r="H667" s="72" t="s">
        <v>30</v>
      </c>
      <c r="I667" s="73" t="s">
        <v>30</v>
      </c>
      <c r="J667" s="72" t="s">
        <v>30</v>
      </c>
      <c r="K667" s="72" t="s">
        <v>30</v>
      </c>
      <c r="L667" s="72" t="s">
        <v>30</v>
      </c>
      <c r="M667" s="72" t="s">
        <v>30</v>
      </c>
      <c r="N667" s="72" t="s">
        <v>30</v>
      </c>
      <c r="O667" s="73" t="s">
        <v>30</v>
      </c>
      <c r="P667" s="72" t="s">
        <v>30</v>
      </c>
      <c r="Q667" s="72" t="s">
        <v>30</v>
      </c>
      <c r="R667" s="72" t="s">
        <v>30</v>
      </c>
      <c r="S667" s="72" t="s">
        <v>30</v>
      </c>
      <c r="T667" s="72" t="s">
        <v>30</v>
      </c>
      <c r="W667" s="31"/>
    </row>
    <row r="668">
      <c r="B668" s="72" t="s">
        <v>30</v>
      </c>
      <c r="C668" s="72" t="s">
        <v>30</v>
      </c>
      <c r="D668" s="72" t="s">
        <v>30</v>
      </c>
      <c r="E668" s="72" t="s">
        <v>30</v>
      </c>
      <c r="F668" s="72" t="s">
        <v>30</v>
      </c>
      <c r="G668" s="72" t="s">
        <v>30</v>
      </c>
      <c r="H668" s="72" t="s">
        <v>30</v>
      </c>
      <c r="I668" s="73" t="s">
        <v>30</v>
      </c>
      <c r="J668" s="72" t="s">
        <v>30</v>
      </c>
      <c r="K668" s="72" t="s">
        <v>30</v>
      </c>
      <c r="L668" s="72" t="s">
        <v>30</v>
      </c>
      <c r="M668" s="72" t="s">
        <v>30</v>
      </c>
      <c r="N668" s="72" t="s">
        <v>30</v>
      </c>
      <c r="O668" s="73" t="s">
        <v>30</v>
      </c>
      <c r="P668" s="72" t="s">
        <v>30</v>
      </c>
      <c r="Q668" s="72" t="s">
        <v>30</v>
      </c>
      <c r="R668" s="72" t="s">
        <v>30</v>
      </c>
      <c r="S668" s="72" t="s">
        <v>30</v>
      </c>
      <c r="T668" s="72" t="s">
        <v>30</v>
      </c>
      <c r="W668" s="31"/>
    </row>
    <row r="669">
      <c r="B669" s="72" t="s">
        <v>30</v>
      </c>
      <c r="C669" s="72" t="s">
        <v>30</v>
      </c>
      <c r="D669" s="72" t="s">
        <v>30</v>
      </c>
      <c r="E669" s="72" t="s">
        <v>30</v>
      </c>
      <c r="F669" s="72" t="s">
        <v>30</v>
      </c>
      <c r="G669" s="72" t="s">
        <v>30</v>
      </c>
      <c r="H669" s="72" t="s">
        <v>30</v>
      </c>
      <c r="I669" s="73" t="s">
        <v>30</v>
      </c>
      <c r="J669" s="72" t="s">
        <v>30</v>
      </c>
      <c r="K669" s="72" t="s">
        <v>30</v>
      </c>
      <c r="L669" s="72" t="s">
        <v>30</v>
      </c>
      <c r="M669" s="72" t="s">
        <v>30</v>
      </c>
      <c r="N669" s="72" t="s">
        <v>30</v>
      </c>
      <c r="O669" s="73" t="s">
        <v>30</v>
      </c>
      <c r="P669" s="72" t="s">
        <v>30</v>
      </c>
      <c r="Q669" s="72" t="s">
        <v>30</v>
      </c>
      <c r="R669" s="72" t="s">
        <v>30</v>
      </c>
      <c r="S669" s="72" t="s">
        <v>30</v>
      </c>
      <c r="T669" s="72" t="s">
        <v>30</v>
      </c>
      <c r="W669" s="31"/>
    </row>
    <row r="670">
      <c r="B670" s="72" t="s">
        <v>30</v>
      </c>
      <c r="C670" s="72" t="s">
        <v>30</v>
      </c>
      <c r="D670" s="72" t="s">
        <v>30</v>
      </c>
      <c r="E670" s="72" t="s">
        <v>30</v>
      </c>
      <c r="F670" s="72" t="s">
        <v>30</v>
      </c>
      <c r="G670" s="72" t="s">
        <v>30</v>
      </c>
      <c r="H670" s="72" t="s">
        <v>30</v>
      </c>
      <c r="I670" s="73" t="s">
        <v>30</v>
      </c>
      <c r="J670" s="72" t="s">
        <v>30</v>
      </c>
      <c r="K670" s="72" t="s">
        <v>30</v>
      </c>
      <c r="L670" s="72" t="s">
        <v>30</v>
      </c>
      <c r="M670" s="72" t="s">
        <v>30</v>
      </c>
      <c r="N670" s="72" t="s">
        <v>30</v>
      </c>
      <c r="O670" s="73" t="s">
        <v>30</v>
      </c>
      <c r="P670" s="72" t="s">
        <v>30</v>
      </c>
      <c r="Q670" s="72" t="s">
        <v>30</v>
      </c>
      <c r="R670" s="72" t="s">
        <v>30</v>
      </c>
      <c r="S670" s="72" t="s">
        <v>30</v>
      </c>
      <c r="T670" s="72" t="s">
        <v>30</v>
      </c>
      <c r="W670" s="31"/>
    </row>
    <row r="671">
      <c r="B671" s="72" t="s">
        <v>30</v>
      </c>
      <c r="C671" s="72" t="s">
        <v>30</v>
      </c>
      <c r="D671" s="72" t="s">
        <v>30</v>
      </c>
      <c r="E671" s="72" t="s">
        <v>30</v>
      </c>
      <c r="F671" s="72" t="s">
        <v>30</v>
      </c>
      <c r="G671" s="72" t="s">
        <v>30</v>
      </c>
      <c r="H671" s="72" t="s">
        <v>30</v>
      </c>
      <c r="I671" s="73" t="s">
        <v>30</v>
      </c>
      <c r="J671" s="72" t="s">
        <v>30</v>
      </c>
      <c r="K671" s="72" t="s">
        <v>30</v>
      </c>
      <c r="L671" s="72" t="s">
        <v>30</v>
      </c>
      <c r="M671" s="72" t="s">
        <v>30</v>
      </c>
      <c r="N671" s="72" t="s">
        <v>30</v>
      </c>
      <c r="O671" s="73" t="s">
        <v>30</v>
      </c>
      <c r="P671" s="72" t="s">
        <v>30</v>
      </c>
      <c r="Q671" s="72" t="s">
        <v>30</v>
      </c>
      <c r="R671" s="72" t="s">
        <v>30</v>
      </c>
      <c r="S671" s="72" t="s">
        <v>30</v>
      </c>
      <c r="T671" s="72" t="s">
        <v>30</v>
      </c>
      <c r="W671" s="31"/>
    </row>
    <row r="672">
      <c r="B672" s="72" t="s">
        <v>30</v>
      </c>
      <c r="C672" s="72" t="s">
        <v>30</v>
      </c>
      <c r="D672" s="72" t="s">
        <v>30</v>
      </c>
      <c r="E672" s="72" t="s">
        <v>30</v>
      </c>
      <c r="F672" s="72" t="s">
        <v>30</v>
      </c>
      <c r="G672" s="72" t="s">
        <v>30</v>
      </c>
      <c r="H672" s="72" t="s">
        <v>30</v>
      </c>
      <c r="I672" s="73" t="s">
        <v>30</v>
      </c>
      <c r="J672" s="72" t="s">
        <v>30</v>
      </c>
      <c r="K672" s="72" t="s">
        <v>30</v>
      </c>
      <c r="L672" s="72" t="s">
        <v>30</v>
      </c>
      <c r="M672" s="72" t="s">
        <v>30</v>
      </c>
      <c r="N672" s="72" t="s">
        <v>30</v>
      </c>
      <c r="O672" s="73" t="s">
        <v>30</v>
      </c>
      <c r="P672" s="72" t="s">
        <v>30</v>
      </c>
      <c r="Q672" s="72" t="s">
        <v>30</v>
      </c>
      <c r="R672" s="72" t="s">
        <v>30</v>
      </c>
      <c r="S672" s="72" t="s">
        <v>30</v>
      </c>
      <c r="T672" s="72" t="s">
        <v>30</v>
      </c>
      <c r="W672" s="31"/>
    </row>
    <row r="673">
      <c r="B673" s="72" t="s">
        <v>30</v>
      </c>
      <c r="C673" s="72" t="s">
        <v>30</v>
      </c>
      <c r="D673" s="72" t="s">
        <v>30</v>
      </c>
      <c r="E673" s="72" t="s">
        <v>30</v>
      </c>
      <c r="F673" s="72" t="s">
        <v>30</v>
      </c>
      <c r="G673" s="72" t="s">
        <v>30</v>
      </c>
      <c r="H673" s="72" t="s">
        <v>30</v>
      </c>
      <c r="I673" s="73" t="s">
        <v>30</v>
      </c>
      <c r="J673" s="72" t="s">
        <v>30</v>
      </c>
      <c r="K673" s="72" t="s">
        <v>30</v>
      </c>
      <c r="L673" s="72" t="s">
        <v>30</v>
      </c>
      <c r="M673" s="72" t="s">
        <v>30</v>
      </c>
      <c r="N673" s="72" t="s">
        <v>30</v>
      </c>
      <c r="O673" s="73" t="s">
        <v>30</v>
      </c>
      <c r="P673" s="72" t="s">
        <v>30</v>
      </c>
      <c r="Q673" s="72" t="s">
        <v>30</v>
      </c>
      <c r="R673" s="72" t="s">
        <v>30</v>
      </c>
      <c r="S673" s="72" t="s">
        <v>30</v>
      </c>
      <c r="T673" s="72" t="s">
        <v>30</v>
      </c>
      <c r="W673" s="31"/>
    </row>
    <row r="674">
      <c r="B674" s="72" t="s">
        <v>30</v>
      </c>
      <c r="C674" s="72" t="s">
        <v>30</v>
      </c>
      <c r="D674" s="72" t="s">
        <v>30</v>
      </c>
      <c r="E674" s="72" t="s">
        <v>30</v>
      </c>
      <c r="F674" s="72" t="s">
        <v>30</v>
      </c>
      <c r="G674" s="72" t="s">
        <v>30</v>
      </c>
      <c r="H674" s="72" t="s">
        <v>30</v>
      </c>
      <c r="I674" s="73" t="s">
        <v>30</v>
      </c>
      <c r="J674" s="72" t="s">
        <v>30</v>
      </c>
      <c r="K674" s="72" t="s">
        <v>30</v>
      </c>
      <c r="L674" s="72" t="s">
        <v>30</v>
      </c>
      <c r="M674" s="72" t="s">
        <v>30</v>
      </c>
      <c r="N674" s="72" t="s">
        <v>30</v>
      </c>
      <c r="O674" s="73" t="s">
        <v>30</v>
      </c>
      <c r="P674" s="72" t="s">
        <v>30</v>
      </c>
      <c r="Q674" s="72" t="s">
        <v>30</v>
      </c>
      <c r="R674" s="72" t="s">
        <v>30</v>
      </c>
      <c r="S674" s="72" t="s">
        <v>30</v>
      </c>
      <c r="T674" s="72" t="s">
        <v>30</v>
      </c>
      <c r="W674" s="31"/>
    </row>
    <row r="675">
      <c r="B675" s="72" t="s">
        <v>30</v>
      </c>
      <c r="C675" s="72" t="s">
        <v>30</v>
      </c>
      <c r="D675" s="72" t="s">
        <v>30</v>
      </c>
      <c r="E675" s="72" t="s">
        <v>30</v>
      </c>
      <c r="F675" s="72" t="s">
        <v>30</v>
      </c>
      <c r="G675" s="72" t="s">
        <v>30</v>
      </c>
      <c r="H675" s="72" t="s">
        <v>30</v>
      </c>
      <c r="I675" s="73" t="s">
        <v>30</v>
      </c>
      <c r="J675" s="72" t="s">
        <v>30</v>
      </c>
      <c r="K675" s="72" t="s">
        <v>30</v>
      </c>
      <c r="L675" s="72" t="s">
        <v>30</v>
      </c>
      <c r="M675" s="72" t="s">
        <v>30</v>
      </c>
      <c r="N675" s="72" t="s">
        <v>30</v>
      </c>
      <c r="O675" s="73" t="s">
        <v>30</v>
      </c>
      <c r="P675" s="72" t="s">
        <v>30</v>
      </c>
      <c r="Q675" s="72" t="s">
        <v>30</v>
      </c>
      <c r="R675" s="72" t="s">
        <v>30</v>
      </c>
      <c r="S675" s="72" t="s">
        <v>30</v>
      </c>
      <c r="T675" s="72" t="s">
        <v>30</v>
      </c>
      <c r="W675" s="31"/>
    </row>
    <row r="676">
      <c r="B676" s="72" t="s">
        <v>30</v>
      </c>
      <c r="C676" s="72" t="s">
        <v>30</v>
      </c>
      <c r="D676" s="72" t="s">
        <v>30</v>
      </c>
      <c r="E676" s="72" t="s">
        <v>30</v>
      </c>
      <c r="F676" s="72" t="s">
        <v>30</v>
      </c>
      <c r="G676" s="72" t="s">
        <v>30</v>
      </c>
      <c r="H676" s="72" t="s">
        <v>30</v>
      </c>
      <c r="I676" s="73" t="s">
        <v>30</v>
      </c>
      <c r="J676" s="72" t="s">
        <v>30</v>
      </c>
      <c r="K676" s="72" t="s">
        <v>30</v>
      </c>
      <c r="L676" s="72" t="s">
        <v>30</v>
      </c>
      <c r="M676" s="72" t="s">
        <v>30</v>
      </c>
      <c r="N676" s="72" t="s">
        <v>30</v>
      </c>
      <c r="O676" s="73" t="s">
        <v>30</v>
      </c>
      <c r="P676" s="72" t="s">
        <v>30</v>
      </c>
      <c r="Q676" s="72" t="s">
        <v>30</v>
      </c>
      <c r="R676" s="72" t="s">
        <v>30</v>
      </c>
      <c r="S676" s="72" t="s">
        <v>30</v>
      </c>
      <c r="T676" s="72" t="s">
        <v>30</v>
      </c>
      <c r="W676" s="31"/>
    </row>
    <row r="677">
      <c r="B677" s="72" t="s">
        <v>30</v>
      </c>
      <c r="C677" s="72" t="s">
        <v>30</v>
      </c>
      <c r="D677" s="72" t="s">
        <v>30</v>
      </c>
      <c r="E677" s="72" t="s">
        <v>30</v>
      </c>
      <c r="F677" s="72" t="s">
        <v>30</v>
      </c>
      <c r="G677" s="72" t="s">
        <v>30</v>
      </c>
      <c r="H677" s="72" t="s">
        <v>30</v>
      </c>
      <c r="I677" s="73" t="s">
        <v>30</v>
      </c>
      <c r="J677" s="72" t="s">
        <v>30</v>
      </c>
      <c r="K677" s="72" t="s">
        <v>30</v>
      </c>
      <c r="L677" s="72" t="s">
        <v>30</v>
      </c>
      <c r="M677" s="72" t="s">
        <v>30</v>
      </c>
      <c r="N677" s="72" t="s">
        <v>30</v>
      </c>
      <c r="O677" s="73" t="s">
        <v>30</v>
      </c>
      <c r="P677" s="72" t="s">
        <v>30</v>
      </c>
      <c r="Q677" s="72" t="s">
        <v>30</v>
      </c>
      <c r="R677" s="72" t="s">
        <v>30</v>
      </c>
      <c r="S677" s="72" t="s">
        <v>30</v>
      </c>
      <c r="T677" s="72" t="s">
        <v>30</v>
      </c>
      <c r="W677" s="31"/>
    </row>
    <row r="678">
      <c r="B678" s="72" t="s">
        <v>30</v>
      </c>
      <c r="C678" s="72" t="s">
        <v>30</v>
      </c>
      <c r="D678" s="72" t="s">
        <v>30</v>
      </c>
      <c r="E678" s="72" t="s">
        <v>30</v>
      </c>
      <c r="F678" s="72" t="s">
        <v>30</v>
      </c>
      <c r="G678" s="72" t="s">
        <v>30</v>
      </c>
      <c r="H678" s="72" t="s">
        <v>30</v>
      </c>
      <c r="I678" s="73" t="s">
        <v>30</v>
      </c>
      <c r="J678" s="72" t="s">
        <v>30</v>
      </c>
      <c r="K678" s="72" t="s">
        <v>30</v>
      </c>
      <c r="L678" s="72" t="s">
        <v>30</v>
      </c>
      <c r="M678" s="72" t="s">
        <v>30</v>
      </c>
      <c r="N678" s="72" t="s">
        <v>30</v>
      </c>
      <c r="O678" s="73" t="s">
        <v>30</v>
      </c>
      <c r="P678" s="72" t="s">
        <v>30</v>
      </c>
      <c r="Q678" s="72" t="s">
        <v>30</v>
      </c>
      <c r="R678" s="72" t="s">
        <v>30</v>
      </c>
      <c r="S678" s="72" t="s">
        <v>30</v>
      </c>
      <c r="T678" s="72" t="s">
        <v>30</v>
      </c>
      <c r="W678" s="31"/>
    </row>
    <row r="679">
      <c r="B679" s="72" t="s">
        <v>30</v>
      </c>
      <c r="C679" s="72" t="s">
        <v>30</v>
      </c>
      <c r="D679" s="72" t="s">
        <v>30</v>
      </c>
      <c r="E679" s="72" t="s">
        <v>30</v>
      </c>
      <c r="F679" s="72" t="s">
        <v>30</v>
      </c>
      <c r="G679" s="72" t="s">
        <v>30</v>
      </c>
      <c r="H679" s="72" t="s">
        <v>30</v>
      </c>
      <c r="I679" s="73" t="s">
        <v>30</v>
      </c>
      <c r="J679" s="72" t="s">
        <v>30</v>
      </c>
      <c r="K679" s="72" t="s">
        <v>30</v>
      </c>
      <c r="L679" s="72" t="s">
        <v>30</v>
      </c>
      <c r="M679" s="72" t="s">
        <v>30</v>
      </c>
      <c r="N679" s="72" t="s">
        <v>30</v>
      </c>
      <c r="O679" s="73" t="s">
        <v>30</v>
      </c>
      <c r="P679" s="72" t="s">
        <v>30</v>
      </c>
      <c r="Q679" s="72" t="s">
        <v>30</v>
      </c>
      <c r="R679" s="72" t="s">
        <v>30</v>
      </c>
      <c r="S679" s="72" t="s">
        <v>30</v>
      </c>
      <c r="T679" s="72" t="s">
        <v>30</v>
      </c>
      <c r="W679" s="31"/>
    </row>
    <row r="680">
      <c r="B680" s="72" t="s">
        <v>30</v>
      </c>
      <c r="C680" s="72" t="s">
        <v>30</v>
      </c>
      <c r="D680" s="72" t="s">
        <v>30</v>
      </c>
      <c r="E680" s="72" t="s">
        <v>30</v>
      </c>
      <c r="F680" s="72" t="s">
        <v>30</v>
      </c>
      <c r="G680" s="72" t="s">
        <v>30</v>
      </c>
      <c r="H680" s="72" t="s">
        <v>30</v>
      </c>
      <c r="I680" s="73" t="s">
        <v>30</v>
      </c>
      <c r="J680" s="72" t="s">
        <v>30</v>
      </c>
      <c r="K680" s="72" t="s">
        <v>30</v>
      </c>
      <c r="L680" s="72" t="s">
        <v>30</v>
      </c>
      <c r="M680" s="72" t="s">
        <v>30</v>
      </c>
      <c r="N680" s="72" t="s">
        <v>30</v>
      </c>
      <c r="O680" s="73" t="s">
        <v>30</v>
      </c>
      <c r="P680" s="72" t="s">
        <v>30</v>
      </c>
      <c r="Q680" s="72" t="s">
        <v>30</v>
      </c>
      <c r="R680" s="72" t="s">
        <v>30</v>
      </c>
      <c r="S680" s="72" t="s">
        <v>30</v>
      </c>
      <c r="T680" s="72" t="s">
        <v>30</v>
      </c>
      <c r="W680" s="31"/>
    </row>
    <row r="681">
      <c r="B681" s="72" t="s">
        <v>30</v>
      </c>
      <c r="C681" s="72" t="s">
        <v>30</v>
      </c>
      <c r="D681" s="72" t="s">
        <v>30</v>
      </c>
      <c r="E681" s="72" t="s">
        <v>30</v>
      </c>
      <c r="F681" s="72" t="s">
        <v>30</v>
      </c>
      <c r="G681" s="72" t="s">
        <v>30</v>
      </c>
      <c r="H681" s="72" t="s">
        <v>30</v>
      </c>
      <c r="I681" s="73" t="s">
        <v>30</v>
      </c>
      <c r="J681" s="72" t="s">
        <v>30</v>
      </c>
      <c r="K681" s="72" t="s">
        <v>30</v>
      </c>
      <c r="L681" s="72" t="s">
        <v>30</v>
      </c>
      <c r="M681" s="72" t="s">
        <v>30</v>
      </c>
      <c r="N681" s="72" t="s">
        <v>30</v>
      </c>
      <c r="O681" s="73" t="s">
        <v>30</v>
      </c>
      <c r="P681" s="72" t="s">
        <v>30</v>
      </c>
      <c r="Q681" s="72" t="s">
        <v>30</v>
      </c>
      <c r="R681" s="72" t="s">
        <v>30</v>
      </c>
      <c r="S681" s="72" t="s">
        <v>30</v>
      </c>
      <c r="T681" s="72" t="s">
        <v>30</v>
      </c>
      <c r="W681" s="31"/>
    </row>
    <row r="682">
      <c r="B682" s="72" t="s">
        <v>30</v>
      </c>
      <c r="C682" s="72" t="s">
        <v>30</v>
      </c>
      <c r="D682" s="72" t="s">
        <v>30</v>
      </c>
      <c r="E682" s="72" t="s">
        <v>30</v>
      </c>
      <c r="F682" s="72" t="s">
        <v>30</v>
      </c>
      <c r="G682" s="72" t="s">
        <v>30</v>
      </c>
      <c r="H682" s="72" t="s">
        <v>30</v>
      </c>
      <c r="I682" s="73" t="s">
        <v>30</v>
      </c>
      <c r="J682" s="72" t="s">
        <v>30</v>
      </c>
      <c r="K682" s="72" t="s">
        <v>30</v>
      </c>
      <c r="L682" s="72" t="s">
        <v>30</v>
      </c>
      <c r="M682" s="72" t="s">
        <v>30</v>
      </c>
      <c r="N682" s="72" t="s">
        <v>30</v>
      </c>
      <c r="O682" s="73" t="s">
        <v>30</v>
      </c>
      <c r="P682" s="72" t="s">
        <v>30</v>
      </c>
      <c r="Q682" s="72" t="s">
        <v>30</v>
      </c>
      <c r="R682" s="72" t="s">
        <v>30</v>
      </c>
      <c r="S682" s="72" t="s">
        <v>30</v>
      </c>
      <c r="T682" s="72" t="s">
        <v>30</v>
      </c>
      <c r="W682" s="31"/>
    </row>
    <row r="683">
      <c r="B683" s="72" t="s">
        <v>30</v>
      </c>
      <c r="C683" s="72" t="s">
        <v>30</v>
      </c>
      <c r="D683" s="72" t="s">
        <v>30</v>
      </c>
      <c r="E683" s="72" t="s">
        <v>30</v>
      </c>
      <c r="F683" s="72" t="s">
        <v>30</v>
      </c>
      <c r="G683" s="72" t="s">
        <v>30</v>
      </c>
      <c r="H683" s="72" t="s">
        <v>30</v>
      </c>
      <c r="I683" s="73" t="s">
        <v>30</v>
      </c>
      <c r="J683" s="72" t="s">
        <v>30</v>
      </c>
      <c r="K683" s="72" t="s">
        <v>30</v>
      </c>
      <c r="L683" s="72" t="s">
        <v>30</v>
      </c>
      <c r="M683" s="72" t="s">
        <v>30</v>
      </c>
      <c r="N683" s="72" t="s">
        <v>30</v>
      </c>
      <c r="O683" s="73" t="s">
        <v>30</v>
      </c>
      <c r="P683" s="72" t="s">
        <v>30</v>
      </c>
      <c r="Q683" s="72" t="s">
        <v>30</v>
      </c>
      <c r="R683" s="72" t="s">
        <v>30</v>
      </c>
      <c r="S683" s="72" t="s">
        <v>30</v>
      </c>
      <c r="T683" s="72" t="s">
        <v>30</v>
      </c>
      <c r="W683" s="31"/>
    </row>
    <row r="684">
      <c r="B684" s="72" t="s">
        <v>30</v>
      </c>
      <c r="C684" s="72" t="s">
        <v>30</v>
      </c>
      <c r="D684" s="72" t="s">
        <v>30</v>
      </c>
      <c r="E684" s="72" t="s">
        <v>30</v>
      </c>
      <c r="F684" s="72" t="s">
        <v>30</v>
      </c>
      <c r="G684" s="72" t="s">
        <v>30</v>
      </c>
      <c r="H684" s="72" t="s">
        <v>30</v>
      </c>
      <c r="I684" s="73" t="s">
        <v>30</v>
      </c>
      <c r="J684" s="72" t="s">
        <v>30</v>
      </c>
      <c r="K684" s="72" t="s">
        <v>30</v>
      </c>
      <c r="L684" s="72" t="s">
        <v>30</v>
      </c>
      <c r="M684" s="72" t="s">
        <v>30</v>
      </c>
      <c r="N684" s="72" t="s">
        <v>30</v>
      </c>
      <c r="O684" s="73" t="s">
        <v>30</v>
      </c>
      <c r="P684" s="72" t="s">
        <v>30</v>
      </c>
      <c r="Q684" s="72" t="s">
        <v>30</v>
      </c>
      <c r="R684" s="72" t="s">
        <v>30</v>
      </c>
      <c r="S684" s="72" t="s">
        <v>30</v>
      </c>
      <c r="T684" s="72" t="s">
        <v>30</v>
      </c>
      <c r="W684" s="31"/>
    </row>
    <row r="685">
      <c r="B685" s="72" t="s">
        <v>30</v>
      </c>
      <c r="C685" s="72" t="s">
        <v>30</v>
      </c>
      <c r="D685" s="72" t="s">
        <v>30</v>
      </c>
      <c r="E685" s="72" t="s">
        <v>30</v>
      </c>
      <c r="F685" s="72" t="s">
        <v>30</v>
      </c>
      <c r="G685" s="72" t="s">
        <v>30</v>
      </c>
      <c r="H685" s="72" t="s">
        <v>30</v>
      </c>
      <c r="I685" s="73" t="s">
        <v>30</v>
      </c>
      <c r="J685" s="72" t="s">
        <v>30</v>
      </c>
      <c r="K685" s="72" t="s">
        <v>30</v>
      </c>
      <c r="L685" s="72" t="s">
        <v>30</v>
      </c>
      <c r="M685" s="72" t="s">
        <v>30</v>
      </c>
      <c r="N685" s="72" t="s">
        <v>30</v>
      </c>
      <c r="O685" s="73" t="s">
        <v>30</v>
      </c>
      <c r="P685" s="72" t="s">
        <v>30</v>
      </c>
      <c r="Q685" s="72" t="s">
        <v>30</v>
      </c>
      <c r="R685" s="72" t="s">
        <v>30</v>
      </c>
      <c r="S685" s="72" t="s">
        <v>30</v>
      </c>
      <c r="T685" s="72" t="s">
        <v>30</v>
      </c>
      <c r="W685" s="31"/>
    </row>
    <row r="686">
      <c r="B686" s="72" t="s">
        <v>30</v>
      </c>
      <c r="C686" s="72" t="s">
        <v>30</v>
      </c>
      <c r="D686" s="72" t="s">
        <v>30</v>
      </c>
      <c r="E686" s="72" t="s">
        <v>30</v>
      </c>
      <c r="F686" s="72" t="s">
        <v>30</v>
      </c>
      <c r="G686" s="72" t="s">
        <v>30</v>
      </c>
      <c r="H686" s="72" t="s">
        <v>30</v>
      </c>
      <c r="I686" s="73" t="s">
        <v>30</v>
      </c>
      <c r="J686" s="72" t="s">
        <v>30</v>
      </c>
      <c r="K686" s="72" t="s">
        <v>30</v>
      </c>
      <c r="L686" s="72" t="s">
        <v>30</v>
      </c>
      <c r="M686" s="72" t="s">
        <v>30</v>
      </c>
      <c r="N686" s="72" t="s">
        <v>30</v>
      </c>
      <c r="O686" s="73" t="s">
        <v>30</v>
      </c>
      <c r="P686" s="72" t="s">
        <v>30</v>
      </c>
      <c r="Q686" s="72" t="s">
        <v>30</v>
      </c>
      <c r="R686" s="72" t="s">
        <v>30</v>
      </c>
      <c r="S686" s="72" t="s">
        <v>30</v>
      </c>
      <c r="T686" s="72" t="s">
        <v>30</v>
      </c>
      <c r="W686" s="31"/>
    </row>
    <row r="687">
      <c r="B687" s="72" t="s">
        <v>30</v>
      </c>
      <c r="C687" s="72" t="s">
        <v>30</v>
      </c>
      <c r="D687" s="72" t="s">
        <v>30</v>
      </c>
      <c r="E687" s="72" t="s">
        <v>30</v>
      </c>
      <c r="F687" s="72" t="s">
        <v>30</v>
      </c>
      <c r="G687" s="72" t="s">
        <v>30</v>
      </c>
      <c r="H687" s="72" t="s">
        <v>30</v>
      </c>
      <c r="I687" s="73" t="s">
        <v>30</v>
      </c>
      <c r="J687" s="72" t="s">
        <v>30</v>
      </c>
      <c r="K687" s="72" t="s">
        <v>30</v>
      </c>
      <c r="L687" s="72" t="s">
        <v>30</v>
      </c>
      <c r="M687" s="72" t="s">
        <v>30</v>
      </c>
      <c r="N687" s="72" t="s">
        <v>30</v>
      </c>
      <c r="O687" s="73" t="s">
        <v>30</v>
      </c>
      <c r="P687" s="72" t="s">
        <v>30</v>
      </c>
      <c r="Q687" s="72" t="s">
        <v>30</v>
      </c>
      <c r="R687" s="72" t="s">
        <v>30</v>
      </c>
      <c r="S687" s="72" t="s">
        <v>30</v>
      </c>
      <c r="T687" s="72" t="s">
        <v>30</v>
      </c>
      <c r="W687" s="31"/>
    </row>
    <row r="688">
      <c r="B688" s="72" t="s">
        <v>30</v>
      </c>
      <c r="C688" s="72" t="s">
        <v>30</v>
      </c>
      <c r="D688" s="72" t="s">
        <v>30</v>
      </c>
      <c r="E688" s="72" t="s">
        <v>30</v>
      </c>
      <c r="F688" s="72" t="s">
        <v>30</v>
      </c>
      <c r="G688" s="72" t="s">
        <v>30</v>
      </c>
      <c r="H688" s="72" t="s">
        <v>30</v>
      </c>
      <c r="I688" s="73" t="s">
        <v>30</v>
      </c>
      <c r="J688" s="72" t="s">
        <v>30</v>
      </c>
      <c r="K688" s="72" t="s">
        <v>30</v>
      </c>
      <c r="L688" s="72" t="s">
        <v>30</v>
      </c>
      <c r="M688" s="72" t="s">
        <v>30</v>
      </c>
      <c r="N688" s="72" t="s">
        <v>30</v>
      </c>
      <c r="O688" s="73" t="s">
        <v>30</v>
      </c>
      <c r="P688" s="72" t="s">
        <v>30</v>
      </c>
      <c r="Q688" s="72" t="s">
        <v>30</v>
      </c>
      <c r="R688" s="72" t="s">
        <v>30</v>
      </c>
      <c r="S688" s="72" t="s">
        <v>30</v>
      </c>
      <c r="T688" s="72" t="s">
        <v>30</v>
      </c>
      <c r="W688" s="31"/>
    </row>
    <row r="689">
      <c r="B689" s="72" t="s">
        <v>30</v>
      </c>
      <c r="C689" s="72" t="s">
        <v>30</v>
      </c>
      <c r="D689" s="72" t="s">
        <v>30</v>
      </c>
      <c r="E689" s="72" t="s">
        <v>30</v>
      </c>
      <c r="F689" s="72" t="s">
        <v>30</v>
      </c>
      <c r="G689" s="72" t="s">
        <v>30</v>
      </c>
      <c r="H689" s="72" t="s">
        <v>30</v>
      </c>
      <c r="I689" s="73" t="s">
        <v>30</v>
      </c>
      <c r="J689" s="72" t="s">
        <v>30</v>
      </c>
      <c r="K689" s="72" t="s">
        <v>30</v>
      </c>
      <c r="L689" s="72" t="s">
        <v>30</v>
      </c>
      <c r="M689" s="72" t="s">
        <v>30</v>
      </c>
      <c r="N689" s="72" t="s">
        <v>30</v>
      </c>
      <c r="O689" s="73" t="s">
        <v>30</v>
      </c>
      <c r="P689" s="72" t="s">
        <v>30</v>
      </c>
      <c r="Q689" s="72" t="s">
        <v>30</v>
      </c>
      <c r="R689" s="72" t="s">
        <v>30</v>
      </c>
      <c r="S689" s="72" t="s">
        <v>30</v>
      </c>
      <c r="T689" s="72" t="s">
        <v>30</v>
      </c>
      <c r="W689" s="31"/>
    </row>
    <row r="690">
      <c r="B690" s="72" t="s">
        <v>30</v>
      </c>
      <c r="C690" s="72" t="s">
        <v>30</v>
      </c>
      <c r="D690" s="72" t="s">
        <v>30</v>
      </c>
      <c r="E690" s="72" t="s">
        <v>30</v>
      </c>
      <c r="F690" s="72" t="s">
        <v>30</v>
      </c>
      <c r="G690" s="72" t="s">
        <v>30</v>
      </c>
      <c r="H690" s="72" t="s">
        <v>30</v>
      </c>
      <c r="I690" s="73" t="s">
        <v>30</v>
      </c>
      <c r="J690" s="72" t="s">
        <v>30</v>
      </c>
      <c r="K690" s="72" t="s">
        <v>30</v>
      </c>
      <c r="L690" s="72" t="s">
        <v>30</v>
      </c>
      <c r="M690" s="72" t="s">
        <v>30</v>
      </c>
      <c r="N690" s="72" t="s">
        <v>30</v>
      </c>
      <c r="O690" s="73" t="s">
        <v>30</v>
      </c>
      <c r="P690" s="72" t="s">
        <v>30</v>
      </c>
      <c r="Q690" s="72" t="s">
        <v>30</v>
      </c>
      <c r="R690" s="72" t="s">
        <v>30</v>
      </c>
      <c r="S690" s="72" t="s">
        <v>30</v>
      </c>
      <c r="T690" s="72" t="s">
        <v>30</v>
      </c>
      <c r="W690" s="31"/>
    </row>
    <row r="691">
      <c r="B691" s="72" t="s">
        <v>30</v>
      </c>
      <c r="C691" s="72" t="s">
        <v>30</v>
      </c>
      <c r="D691" s="72" t="s">
        <v>30</v>
      </c>
      <c r="E691" s="72" t="s">
        <v>30</v>
      </c>
      <c r="F691" s="72" t="s">
        <v>30</v>
      </c>
      <c r="G691" s="72" t="s">
        <v>30</v>
      </c>
      <c r="H691" s="72" t="s">
        <v>30</v>
      </c>
      <c r="I691" s="73" t="s">
        <v>30</v>
      </c>
      <c r="J691" s="72" t="s">
        <v>30</v>
      </c>
      <c r="K691" s="72" t="s">
        <v>30</v>
      </c>
      <c r="L691" s="72" t="s">
        <v>30</v>
      </c>
      <c r="M691" s="72" t="s">
        <v>30</v>
      </c>
      <c r="N691" s="72" t="s">
        <v>30</v>
      </c>
      <c r="O691" s="73" t="s">
        <v>30</v>
      </c>
      <c r="P691" s="72" t="s">
        <v>30</v>
      </c>
      <c r="Q691" s="72" t="s">
        <v>30</v>
      </c>
      <c r="R691" s="72" t="s">
        <v>30</v>
      </c>
      <c r="S691" s="72" t="s">
        <v>30</v>
      </c>
      <c r="T691" s="72" t="s">
        <v>30</v>
      </c>
      <c r="W691" s="31"/>
    </row>
    <row r="692">
      <c r="B692" s="72" t="s">
        <v>30</v>
      </c>
      <c r="C692" s="72" t="s">
        <v>30</v>
      </c>
      <c r="D692" s="72" t="s">
        <v>30</v>
      </c>
      <c r="E692" s="72" t="s">
        <v>30</v>
      </c>
      <c r="F692" s="72" t="s">
        <v>30</v>
      </c>
      <c r="G692" s="72" t="s">
        <v>30</v>
      </c>
      <c r="H692" s="72" t="s">
        <v>30</v>
      </c>
      <c r="I692" s="73" t="s">
        <v>30</v>
      </c>
      <c r="J692" s="72" t="s">
        <v>30</v>
      </c>
      <c r="K692" s="72" t="s">
        <v>30</v>
      </c>
      <c r="L692" s="72" t="s">
        <v>30</v>
      </c>
      <c r="M692" s="72" t="s">
        <v>30</v>
      </c>
      <c r="N692" s="72" t="s">
        <v>30</v>
      </c>
      <c r="O692" s="73" t="s">
        <v>30</v>
      </c>
      <c r="P692" s="72" t="s">
        <v>30</v>
      </c>
      <c r="Q692" s="72" t="s">
        <v>30</v>
      </c>
      <c r="R692" s="72" t="s">
        <v>30</v>
      </c>
      <c r="S692" s="72" t="s">
        <v>30</v>
      </c>
      <c r="T692" s="72" t="s">
        <v>30</v>
      </c>
      <c r="W692" s="31"/>
    </row>
    <row r="693">
      <c r="B693" s="72" t="s">
        <v>30</v>
      </c>
      <c r="C693" s="72" t="s">
        <v>30</v>
      </c>
      <c r="D693" s="72" t="s">
        <v>30</v>
      </c>
      <c r="E693" s="72" t="s">
        <v>30</v>
      </c>
      <c r="F693" s="72" t="s">
        <v>30</v>
      </c>
      <c r="G693" s="72" t="s">
        <v>30</v>
      </c>
      <c r="H693" s="72" t="s">
        <v>30</v>
      </c>
      <c r="I693" s="73" t="s">
        <v>30</v>
      </c>
      <c r="J693" s="72" t="s">
        <v>30</v>
      </c>
      <c r="K693" s="72" t="s">
        <v>30</v>
      </c>
      <c r="L693" s="72" t="s">
        <v>30</v>
      </c>
      <c r="M693" s="72" t="s">
        <v>30</v>
      </c>
      <c r="N693" s="72" t="s">
        <v>30</v>
      </c>
      <c r="O693" s="73" t="s">
        <v>30</v>
      </c>
      <c r="P693" s="72" t="s">
        <v>30</v>
      </c>
      <c r="Q693" s="72" t="s">
        <v>30</v>
      </c>
      <c r="R693" s="72" t="s">
        <v>30</v>
      </c>
      <c r="S693" s="72" t="s">
        <v>30</v>
      </c>
      <c r="T693" s="72" t="s">
        <v>30</v>
      </c>
      <c r="W693" s="31"/>
    </row>
    <row r="694">
      <c r="B694" s="72" t="s">
        <v>30</v>
      </c>
      <c r="C694" s="72" t="s">
        <v>30</v>
      </c>
      <c r="D694" s="72" t="s">
        <v>30</v>
      </c>
      <c r="E694" s="72" t="s">
        <v>30</v>
      </c>
      <c r="F694" s="72" t="s">
        <v>30</v>
      </c>
      <c r="G694" s="72" t="s">
        <v>30</v>
      </c>
      <c r="H694" s="72" t="s">
        <v>30</v>
      </c>
      <c r="I694" s="73" t="s">
        <v>30</v>
      </c>
      <c r="J694" s="72" t="s">
        <v>30</v>
      </c>
      <c r="K694" s="72" t="s">
        <v>30</v>
      </c>
      <c r="L694" s="72" t="s">
        <v>30</v>
      </c>
      <c r="M694" s="72" t="s">
        <v>30</v>
      </c>
      <c r="N694" s="72" t="s">
        <v>30</v>
      </c>
      <c r="O694" s="73" t="s">
        <v>30</v>
      </c>
      <c r="P694" s="72" t="s">
        <v>30</v>
      </c>
      <c r="Q694" s="72" t="s">
        <v>30</v>
      </c>
      <c r="R694" s="72" t="s">
        <v>30</v>
      </c>
      <c r="S694" s="72" t="s">
        <v>30</v>
      </c>
      <c r="T694" s="72" t="s">
        <v>30</v>
      </c>
      <c r="W694" s="31"/>
    </row>
    <row r="695">
      <c r="B695" s="72" t="s">
        <v>30</v>
      </c>
      <c r="C695" s="72" t="s">
        <v>30</v>
      </c>
      <c r="D695" s="72" t="s">
        <v>30</v>
      </c>
      <c r="E695" s="72" t="s">
        <v>30</v>
      </c>
      <c r="F695" s="72" t="s">
        <v>30</v>
      </c>
      <c r="G695" s="72" t="s">
        <v>30</v>
      </c>
      <c r="H695" s="72" t="s">
        <v>30</v>
      </c>
      <c r="I695" s="73" t="s">
        <v>30</v>
      </c>
      <c r="J695" s="72" t="s">
        <v>30</v>
      </c>
      <c r="K695" s="72" t="s">
        <v>30</v>
      </c>
      <c r="L695" s="72" t="s">
        <v>30</v>
      </c>
      <c r="M695" s="72" t="s">
        <v>30</v>
      </c>
      <c r="N695" s="72" t="s">
        <v>30</v>
      </c>
      <c r="O695" s="73" t="s">
        <v>30</v>
      </c>
      <c r="P695" s="72" t="s">
        <v>30</v>
      </c>
      <c r="Q695" s="72" t="s">
        <v>30</v>
      </c>
      <c r="R695" s="72" t="s">
        <v>30</v>
      </c>
      <c r="S695" s="72" t="s">
        <v>30</v>
      </c>
      <c r="T695" s="72" t="s">
        <v>30</v>
      </c>
      <c r="W695" s="31"/>
    </row>
    <row r="696">
      <c r="B696" s="72" t="s">
        <v>30</v>
      </c>
      <c r="C696" s="72" t="s">
        <v>30</v>
      </c>
      <c r="D696" s="72" t="s">
        <v>30</v>
      </c>
      <c r="E696" s="72" t="s">
        <v>30</v>
      </c>
      <c r="F696" s="72" t="s">
        <v>30</v>
      </c>
      <c r="G696" s="72" t="s">
        <v>30</v>
      </c>
      <c r="H696" s="72" t="s">
        <v>30</v>
      </c>
      <c r="I696" s="73" t="s">
        <v>30</v>
      </c>
      <c r="J696" s="72" t="s">
        <v>30</v>
      </c>
      <c r="K696" s="72" t="s">
        <v>30</v>
      </c>
      <c r="L696" s="72" t="s">
        <v>30</v>
      </c>
      <c r="M696" s="72" t="s">
        <v>30</v>
      </c>
      <c r="N696" s="72" t="s">
        <v>30</v>
      </c>
      <c r="O696" s="73" t="s">
        <v>30</v>
      </c>
      <c r="P696" s="72" t="s">
        <v>30</v>
      </c>
      <c r="Q696" s="72" t="s">
        <v>30</v>
      </c>
      <c r="R696" s="72" t="s">
        <v>30</v>
      </c>
      <c r="S696" s="72" t="s">
        <v>30</v>
      </c>
      <c r="T696" s="72" t="s">
        <v>30</v>
      </c>
      <c r="W696" s="31"/>
    </row>
    <row r="697">
      <c r="B697" s="72" t="s">
        <v>30</v>
      </c>
      <c r="C697" s="72" t="s">
        <v>30</v>
      </c>
      <c r="D697" s="72" t="s">
        <v>30</v>
      </c>
      <c r="E697" s="72" t="s">
        <v>30</v>
      </c>
      <c r="F697" s="72" t="s">
        <v>30</v>
      </c>
      <c r="G697" s="72" t="s">
        <v>30</v>
      </c>
      <c r="H697" s="72" t="s">
        <v>30</v>
      </c>
      <c r="I697" s="73" t="s">
        <v>30</v>
      </c>
      <c r="J697" s="72" t="s">
        <v>30</v>
      </c>
      <c r="K697" s="72" t="s">
        <v>30</v>
      </c>
      <c r="L697" s="72" t="s">
        <v>30</v>
      </c>
      <c r="M697" s="72" t="s">
        <v>30</v>
      </c>
      <c r="N697" s="72" t="s">
        <v>30</v>
      </c>
      <c r="O697" s="73" t="s">
        <v>30</v>
      </c>
      <c r="P697" s="72" t="s">
        <v>30</v>
      </c>
      <c r="Q697" s="72" t="s">
        <v>30</v>
      </c>
      <c r="R697" s="72" t="s">
        <v>30</v>
      </c>
      <c r="S697" s="72" t="s">
        <v>30</v>
      </c>
      <c r="T697" s="72" t="s">
        <v>30</v>
      </c>
      <c r="W697" s="31"/>
    </row>
    <row r="698">
      <c r="B698" s="72" t="s">
        <v>30</v>
      </c>
      <c r="C698" s="72" t="s">
        <v>30</v>
      </c>
      <c r="D698" s="72" t="s">
        <v>30</v>
      </c>
      <c r="E698" s="72" t="s">
        <v>30</v>
      </c>
      <c r="F698" s="72" t="s">
        <v>30</v>
      </c>
      <c r="G698" s="72" t="s">
        <v>30</v>
      </c>
      <c r="H698" s="72" t="s">
        <v>30</v>
      </c>
      <c r="I698" s="73" t="s">
        <v>30</v>
      </c>
      <c r="J698" s="72" t="s">
        <v>30</v>
      </c>
      <c r="K698" s="72" t="s">
        <v>30</v>
      </c>
      <c r="L698" s="72" t="s">
        <v>30</v>
      </c>
      <c r="M698" s="72" t="s">
        <v>30</v>
      </c>
      <c r="N698" s="72" t="s">
        <v>30</v>
      </c>
      <c r="O698" s="73" t="s">
        <v>30</v>
      </c>
      <c r="P698" s="72" t="s">
        <v>30</v>
      </c>
      <c r="Q698" s="72" t="s">
        <v>30</v>
      </c>
      <c r="R698" s="72" t="s">
        <v>30</v>
      </c>
      <c r="S698" s="72" t="s">
        <v>30</v>
      </c>
      <c r="T698" s="72" t="s">
        <v>30</v>
      </c>
      <c r="W698" s="31"/>
    </row>
    <row r="699">
      <c r="B699" s="72" t="s">
        <v>30</v>
      </c>
      <c r="C699" s="72" t="s">
        <v>30</v>
      </c>
      <c r="D699" s="72" t="s">
        <v>30</v>
      </c>
      <c r="E699" s="72" t="s">
        <v>30</v>
      </c>
      <c r="F699" s="72" t="s">
        <v>30</v>
      </c>
      <c r="G699" s="72" t="s">
        <v>30</v>
      </c>
      <c r="H699" s="72" t="s">
        <v>30</v>
      </c>
      <c r="I699" s="73" t="s">
        <v>30</v>
      </c>
      <c r="J699" s="72" t="s">
        <v>30</v>
      </c>
      <c r="K699" s="72" t="s">
        <v>30</v>
      </c>
      <c r="L699" s="72" t="s">
        <v>30</v>
      </c>
      <c r="M699" s="72" t="s">
        <v>30</v>
      </c>
      <c r="N699" s="72" t="s">
        <v>30</v>
      </c>
      <c r="O699" s="73" t="s">
        <v>30</v>
      </c>
      <c r="P699" s="72" t="s">
        <v>30</v>
      </c>
      <c r="Q699" s="72" t="s">
        <v>30</v>
      </c>
      <c r="R699" s="72" t="s">
        <v>30</v>
      </c>
      <c r="S699" s="72" t="s">
        <v>30</v>
      </c>
      <c r="T699" s="72" t="s">
        <v>30</v>
      </c>
      <c r="W699" s="31"/>
    </row>
    <row r="700">
      <c r="B700" s="72" t="s">
        <v>30</v>
      </c>
      <c r="C700" s="72" t="s">
        <v>30</v>
      </c>
      <c r="D700" s="72" t="s">
        <v>30</v>
      </c>
      <c r="E700" s="72" t="s">
        <v>30</v>
      </c>
      <c r="F700" s="72" t="s">
        <v>30</v>
      </c>
      <c r="G700" s="72" t="s">
        <v>30</v>
      </c>
      <c r="H700" s="72" t="s">
        <v>30</v>
      </c>
      <c r="I700" s="73" t="s">
        <v>30</v>
      </c>
      <c r="J700" s="72" t="s">
        <v>30</v>
      </c>
      <c r="K700" s="72" t="s">
        <v>30</v>
      </c>
      <c r="L700" s="72" t="s">
        <v>30</v>
      </c>
      <c r="M700" s="72" t="s">
        <v>30</v>
      </c>
      <c r="N700" s="72" t="s">
        <v>30</v>
      </c>
      <c r="O700" s="73" t="s">
        <v>30</v>
      </c>
      <c r="P700" s="72" t="s">
        <v>30</v>
      </c>
      <c r="Q700" s="72" t="s">
        <v>30</v>
      </c>
      <c r="R700" s="72" t="s">
        <v>30</v>
      </c>
      <c r="S700" s="72" t="s">
        <v>30</v>
      </c>
      <c r="T700" s="72" t="s">
        <v>30</v>
      </c>
      <c r="W700" s="31"/>
    </row>
    <row r="701">
      <c r="B701" s="72" t="s">
        <v>30</v>
      </c>
      <c r="C701" s="72" t="s">
        <v>30</v>
      </c>
      <c r="D701" s="72" t="s">
        <v>30</v>
      </c>
      <c r="E701" s="72" t="s">
        <v>30</v>
      </c>
      <c r="F701" s="72" t="s">
        <v>30</v>
      </c>
      <c r="G701" s="72" t="s">
        <v>30</v>
      </c>
      <c r="H701" s="72" t="s">
        <v>30</v>
      </c>
      <c r="I701" s="73" t="s">
        <v>30</v>
      </c>
      <c r="J701" s="72" t="s">
        <v>30</v>
      </c>
      <c r="K701" s="72" t="s">
        <v>30</v>
      </c>
      <c r="L701" s="72" t="s">
        <v>30</v>
      </c>
      <c r="M701" s="72" t="s">
        <v>30</v>
      </c>
      <c r="N701" s="72" t="s">
        <v>30</v>
      </c>
      <c r="O701" s="73" t="s">
        <v>30</v>
      </c>
      <c r="P701" s="72" t="s">
        <v>30</v>
      </c>
      <c r="Q701" s="72" t="s">
        <v>30</v>
      </c>
      <c r="R701" s="72" t="s">
        <v>30</v>
      </c>
      <c r="S701" s="72" t="s">
        <v>30</v>
      </c>
      <c r="T701" s="72" t="s">
        <v>30</v>
      </c>
      <c r="W701" s="31"/>
    </row>
    <row r="702">
      <c r="B702" s="72" t="s">
        <v>30</v>
      </c>
      <c r="C702" s="72" t="s">
        <v>30</v>
      </c>
      <c r="D702" s="72" t="s">
        <v>30</v>
      </c>
      <c r="E702" s="72" t="s">
        <v>30</v>
      </c>
      <c r="F702" s="72" t="s">
        <v>30</v>
      </c>
      <c r="G702" s="72" t="s">
        <v>30</v>
      </c>
      <c r="H702" s="72" t="s">
        <v>30</v>
      </c>
      <c r="I702" s="73" t="s">
        <v>30</v>
      </c>
      <c r="J702" s="72" t="s">
        <v>30</v>
      </c>
      <c r="K702" s="72" t="s">
        <v>30</v>
      </c>
      <c r="L702" s="72" t="s">
        <v>30</v>
      </c>
      <c r="M702" s="72" t="s">
        <v>30</v>
      </c>
      <c r="N702" s="72" t="s">
        <v>30</v>
      </c>
      <c r="O702" s="73" t="s">
        <v>30</v>
      </c>
      <c r="P702" s="72" t="s">
        <v>30</v>
      </c>
      <c r="Q702" s="72" t="s">
        <v>30</v>
      </c>
      <c r="R702" s="72" t="s">
        <v>30</v>
      </c>
      <c r="S702" s="72" t="s">
        <v>30</v>
      </c>
      <c r="T702" s="72" t="s">
        <v>30</v>
      </c>
      <c r="W702" s="31"/>
    </row>
    <row r="703">
      <c r="B703" s="72" t="s">
        <v>30</v>
      </c>
      <c r="C703" s="72" t="s">
        <v>30</v>
      </c>
      <c r="D703" s="72" t="s">
        <v>30</v>
      </c>
      <c r="E703" s="72" t="s">
        <v>30</v>
      </c>
      <c r="F703" s="72" t="s">
        <v>30</v>
      </c>
      <c r="G703" s="72" t="s">
        <v>30</v>
      </c>
      <c r="H703" s="72" t="s">
        <v>30</v>
      </c>
      <c r="I703" s="73" t="s">
        <v>30</v>
      </c>
      <c r="J703" s="72" t="s">
        <v>30</v>
      </c>
      <c r="K703" s="72" t="s">
        <v>30</v>
      </c>
      <c r="L703" s="72" t="s">
        <v>30</v>
      </c>
      <c r="M703" s="72" t="s">
        <v>30</v>
      </c>
      <c r="N703" s="72" t="s">
        <v>30</v>
      </c>
      <c r="O703" s="73" t="s">
        <v>30</v>
      </c>
      <c r="P703" s="72" t="s">
        <v>30</v>
      </c>
      <c r="Q703" s="72" t="s">
        <v>30</v>
      </c>
      <c r="R703" s="72" t="s">
        <v>30</v>
      </c>
      <c r="S703" s="72" t="s">
        <v>30</v>
      </c>
      <c r="T703" s="72" t="s">
        <v>30</v>
      </c>
      <c r="W703" s="31"/>
    </row>
    <row r="704">
      <c r="B704" s="72" t="s">
        <v>30</v>
      </c>
      <c r="C704" s="72" t="s">
        <v>30</v>
      </c>
      <c r="D704" s="72" t="s">
        <v>30</v>
      </c>
      <c r="E704" s="72" t="s">
        <v>30</v>
      </c>
      <c r="F704" s="72" t="s">
        <v>30</v>
      </c>
      <c r="G704" s="72" t="s">
        <v>30</v>
      </c>
      <c r="H704" s="72" t="s">
        <v>30</v>
      </c>
      <c r="I704" s="73" t="s">
        <v>30</v>
      </c>
      <c r="J704" s="72" t="s">
        <v>30</v>
      </c>
      <c r="K704" s="72" t="s">
        <v>30</v>
      </c>
      <c r="L704" s="72" t="s">
        <v>30</v>
      </c>
      <c r="M704" s="72" t="s">
        <v>30</v>
      </c>
      <c r="N704" s="72" t="s">
        <v>30</v>
      </c>
      <c r="O704" s="73" t="s">
        <v>30</v>
      </c>
      <c r="P704" s="72" t="s">
        <v>30</v>
      </c>
      <c r="Q704" s="72" t="s">
        <v>30</v>
      </c>
      <c r="R704" s="72" t="s">
        <v>30</v>
      </c>
      <c r="S704" s="72" t="s">
        <v>30</v>
      </c>
      <c r="T704" s="72" t="s">
        <v>30</v>
      </c>
      <c r="W704" s="31"/>
    </row>
    <row r="705">
      <c r="B705" s="72" t="s">
        <v>30</v>
      </c>
      <c r="C705" s="72" t="s">
        <v>30</v>
      </c>
      <c r="D705" s="72" t="s">
        <v>30</v>
      </c>
      <c r="E705" s="72" t="s">
        <v>30</v>
      </c>
      <c r="F705" s="72" t="s">
        <v>30</v>
      </c>
      <c r="G705" s="72" t="s">
        <v>30</v>
      </c>
      <c r="H705" s="72" t="s">
        <v>30</v>
      </c>
      <c r="I705" s="73" t="s">
        <v>30</v>
      </c>
      <c r="J705" s="72" t="s">
        <v>30</v>
      </c>
      <c r="K705" s="72" t="s">
        <v>30</v>
      </c>
      <c r="L705" s="72" t="s">
        <v>30</v>
      </c>
      <c r="M705" s="72" t="s">
        <v>30</v>
      </c>
      <c r="N705" s="72" t="s">
        <v>30</v>
      </c>
      <c r="O705" s="73" t="s">
        <v>30</v>
      </c>
      <c r="P705" s="72" t="s">
        <v>30</v>
      </c>
      <c r="Q705" s="72" t="s">
        <v>30</v>
      </c>
      <c r="R705" s="72" t="s">
        <v>30</v>
      </c>
      <c r="S705" s="72" t="s">
        <v>30</v>
      </c>
      <c r="T705" s="72" t="s">
        <v>30</v>
      </c>
      <c r="W705" s="31"/>
    </row>
    <row r="706">
      <c r="B706" s="72" t="s">
        <v>30</v>
      </c>
      <c r="C706" s="72" t="s">
        <v>30</v>
      </c>
      <c r="D706" s="72" t="s">
        <v>30</v>
      </c>
      <c r="E706" s="72" t="s">
        <v>30</v>
      </c>
      <c r="F706" s="72" t="s">
        <v>30</v>
      </c>
      <c r="G706" s="72" t="s">
        <v>30</v>
      </c>
      <c r="H706" s="72" t="s">
        <v>30</v>
      </c>
      <c r="I706" s="73" t="s">
        <v>30</v>
      </c>
      <c r="J706" s="72" t="s">
        <v>30</v>
      </c>
      <c r="K706" s="72" t="s">
        <v>30</v>
      </c>
      <c r="L706" s="72" t="s">
        <v>30</v>
      </c>
      <c r="M706" s="72" t="s">
        <v>30</v>
      </c>
      <c r="N706" s="72" t="s">
        <v>30</v>
      </c>
      <c r="O706" s="73" t="s">
        <v>30</v>
      </c>
      <c r="P706" s="72" t="s">
        <v>30</v>
      </c>
      <c r="Q706" s="72" t="s">
        <v>30</v>
      </c>
      <c r="R706" s="72" t="s">
        <v>30</v>
      </c>
      <c r="S706" s="72" t="s">
        <v>30</v>
      </c>
      <c r="T706" s="72" t="s">
        <v>30</v>
      </c>
      <c r="W706" s="31"/>
    </row>
    <row r="707">
      <c r="B707" s="72" t="s">
        <v>30</v>
      </c>
      <c r="C707" s="72" t="s">
        <v>30</v>
      </c>
      <c r="D707" s="72" t="s">
        <v>30</v>
      </c>
      <c r="E707" s="72" t="s">
        <v>30</v>
      </c>
      <c r="F707" s="72" t="s">
        <v>30</v>
      </c>
      <c r="G707" s="72" t="s">
        <v>30</v>
      </c>
      <c r="H707" s="72" t="s">
        <v>30</v>
      </c>
      <c r="I707" s="73" t="s">
        <v>30</v>
      </c>
      <c r="J707" s="72" t="s">
        <v>30</v>
      </c>
      <c r="K707" s="72" t="s">
        <v>30</v>
      </c>
      <c r="L707" s="72" t="s">
        <v>30</v>
      </c>
      <c r="M707" s="72" t="s">
        <v>30</v>
      </c>
      <c r="N707" s="72" t="s">
        <v>30</v>
      </c>
      <c r="O707" s="73" t="s">
        <v>30</v>
      </c>
      <c r="P707" s="72" t="s">
        <v>30</v>
      </c>
      <c r="Q707" s="72" t="s">
        <v>30</v>
      </c>
      <c r="R707" s="72" t="s">
        <v>30</v>
      </c>
      <c r="S707" s="72" t="s">
        <v>30</v>
      </c>
      <c r="T707" s="72" t="s">
        <v>30</v>
      </c>
      <c r="W707" s="31"/>
    </row>
    <row r="708">
      <c r="B708" s="72" t="s">
        <v>30</v>
      </c>
      <c r="C708" s="72" t="s">
        <v>30</v>
      </c>
      <c r="D708" s="72" t="s">
        <v>30</v>
      </c>
      <c r="E708" s="72" t="s">
        <v>30</v>
      </c>
      <c r="F708" s="72" t="s">
        <v>30</v>
      </c>
      <c r="G708" s="72" t="s">
        <v>30</v>
      </c>
      <c r="H708" s="72" t="s">
        <v>30</v>
      </c>
      <c r="I708" s="73" t="s">
        <v>30</v>
      </c>
      <c r="J708" s="72" t="s">
        <v>30</v>
      </c>
      <c r="K708" s="72" t="s">
        <v>30</v>
      </c>
      <c r="L708" s="72" t="s">
        <v>30</v>
      </c>
      <c r="M708" s="72" t="s">
        <v>30</v>
      </c>
      <c r="N708" s="72" t="s">
        <v>30</v>
      </c>
      <c r="O708" s="73" t="s">
        <v>30</v>
      </c>
      <c r="P708" s="72" t="s">
        <v>30</v>
      </c>
      <c r="Q708" s="72" t="s">
        <v>30</v>
      </c>
      <c r="R708" s="72" t="s">
        <v>30</v>
      </c>
      <c r="S708" s="72" t="s">
        <v>30</v>
      </c>
      <c r="T708" s="72" t="s">
        <v>30</v>
      </c>
      <c r="W708" s="31"/>
    </row>
    <row r="709">
      <c r="B709" s="72" t="s">
        <v>30</v>
      </c>
      <c r="C709" s="72" t="s">
        <v>30</v>
      </c>
      <c r="D709" s="72" t="s">
        <v>30</v>
      </c>
      <c r="E709" s="72" t="s">
        <v>30</v>
      </c>
      <c r="F709" s="72" t="s">
        <v>30</v>
      </c>
      <c r="G709" s="72" t="s">
        <v>30</v>
      </c>
      <c r="H709" s="72" t="s">
        <v>30</v>
      </c>
      <c r="I709" s="73" t="s">
        <v>30</v>
      </c>
      <c r="J709" s="72" t="s">
        <v>30</v>
      </c>
      <c r="K709" s="72" t="s">
        <v>30</v>
      </c>
      <c r="L709" s="72" t="s">
        <v>30</v>
      </c>
      <c r="M709" s="72" t="s">
        <v>30</v>
      </c>
      <c r="N709" s="72" t="s">
        <v>30</v>
      </c>
      <c r="O709" s="73" t="s">
        <v>30</v>
      </c>
      <c r="P709" s="72" t="s">
        <v>30</v>
      </c>
      <c r="Q709" s="72" t="s">
        <v>30</v>
      </c>
      <c r="R709" s="72" t="s">
        <v>30</v>
      </c>
      <c r="S709" s="72" t="s">
        <v>30</v>
      </c>
      <c r="T709" s="72" t="s">
        <v>30</v>
      </c>
      <c r="W709" s="31"/>
    </row>
    <row r="710">
      <c r="B710" s="72" t="s">
        <v>30</v>
      </c>
      <c r="C710" s="72" t="s">
        <v>30</v>
      </c>
      <c r="D710" s="72" t="s">
        <v>30</v>
      </c>
      <c r="E710" s="72" t="s">
        <v>30</v>
      </c>
      <c r="F710" s="72" t="s">
        <v>30</v>
      </c>
      <c r="G710" s="72" t="s">
        <v>30</v>
      </c>
      <c r="H710" s="72" t="s">
        <v>30</v>
      </c>
      <c r="I710" s="73" t="s">
        <v>30</v>
      </c>
      <c r="J710" s="72" t="s">
        <v>30</v>
      </c>
      <c r="K710" s="72" t="s">
        <v>30</v>
      </c>
      <c r="L710" s="72" t="s">
        <v>30</v>
      </c>
      <c r="M710" s="72" t="s">
        <v>30</v>
      </c>
      <c r="N710" s="72" t="s">
        <v>30</v>
      </c>
      <c r="O710" s="73" t="s">
        <v>30</v>
      </c>
      <c r="P710" s="72" t="s">
        <v>30</v>
      </c>
      <c r="Q710" s="72" t="s">
        <v>30</v>
      </c>
      <c r="R710" s="72" t="s">
        <v>30</v>
      </c>
      <c r="S710" s="72" t="s">
        <v>30</v>
      </c>
      <c r="T710" s="72" t="s">
        <v>30</v>
      </c>
      <c r="W710" s="31"/>
    </row>
    <row r="711">
      <c r="B711" s="72" t="s">
        <v>30</v>
      </c>
      <c r="C711" s="72" t="s">
        <v>30</v>
      </c>
      <c r="D711" s="72" t="s">
        <v>30</v>
      </c>
      <c r="E711" s="72" t="s">
        <v>30</v>
      </c>
      <c r="F711" s="72" t="s">
        <v>30</v>
      </c>
      <c r="G711" s="72" t="s">
        <v>30</v>
      </c>
      <c r="H711" s="72" t="s">
        <v>30</v>
      </c>
      <c r="I711" s="73" t="s">
        <v>30</v>
      </c>
      <c r="J711" s="72" t="s">
        <v>30</v>
      </c>
      <c r="K711" s="72" t="s">
        <v>30</v>
      </c>
      <c r="L711" s="72" t="s">
        <v>30</v>
      </c>
      <c r="M711" s="72" t="s">
        <v>30</v>
      </c>
      <c r="N711" s="72" t="s">
        <v>30</v>
      </c>
      <c r="O711" s="73" t="s">
        <v>30</v>
      </c>
      <c r="P711" s="72" t="s">
        <v>30</v>
      </c>
      <c r="Q711" s="72" t="s">
        <v>30</v>
      </c>
      <c r="R711" s="72" t="s">
        <v>30</v>
      </c>
      <c r="S711" s="72" t="s">
        <v>30</v>
      </c>
      <c r="T711" s="72" t="s">
        <v>30</v>
      </c>
      <c r="W711" s="31"/>
    </row>
    <row r="712">
      <c r="B712" s="72" t="s">
        <v>30</v>
      </c>
      <c r="C712" s="72" t="s">
        <v>30</v>
      </c>
      <c r="D712" s="72" t="s">
        <v>30</v>
      </c>
      <c r="E712" s="72" t="s">
        <v>30</v>
      </c>
      <c r="F712" s="72" t="s">
        <v>30</v>
      </c>
      <c r="G712" s="72" t="s">
        <v>30</v>
      </c>
      <c r="H712" s="72" t="s">
        <v>30</v>
      </c>
      <c r="I712" s="73" t="s">
        <v>30</v>
      </c>
      <c r="J712" s="72" t="s">
        <v>30</v>
      </c>
      <c r="K712" s="72" t="s">
        <v>30</v>
      </c>
      <c r="L712" s="72" t="s">
        <v>30</v>
      </c>
      <c r="M712" s="72" t="s">
        <v>30</v>
      </c>
      <c r="N712" s="72" t="s">
        <v>30</v>
      </c>
      <c r="O712" s="73" t="s">
        <v>30</v>
      </c>
      <c r="P712" s="72" t="s">
        <v>30</v>
      </c>
      <c r="Q712" s="72" t="s">
        <v>30</v>
      </c>
      <c r="R712" s="72" t="s">
        <v>30</v>
      </c>
      <c r="S712" s="72" t="s">
        <v>30</v>
      </c>
      <c r="T712" s="72" t="s">
        <v>30</v>
      </c>
      <c r="W712" s="31"/>
    </row>
    <row r="713">
      <c r="B713" s="72" t="s">
        <v>30</v>
      </c>
      <c r="C713" s="72" t="s">
        <v>30</v>
      </c>
      <c r="D713" s="72" t="s">
        <v>30</v>
      </c>
      <c r="E713" s="72" t="s">
        <v>30</v>
      </c>
      <c r="F713" s="72" t="s">
        <v>30</v>
      </c>
      <c r="G713" s="72" t="s">
        <v>30</v>
      </c>
      <c r="H713" s="72" t="s">
        <v>30</v>
      </c>
      <c r="I713" s="73" t="s">
        <v>30</v>
      </c>
      <c r="J713" s="72" t="s">
        <v>30</v>
      </c>
      <c r="K713" s="72" t="s">
        <v>30</v>
      </c>
      <c r="L713" s="72" t="s">
        <v>30</v>
      </c>
      <c r="M713" s="72" t="s">
        <v>30</v>
      </c>
      <c r="N713" s="72" t="s">
        <v>30</v>
      </c>
      <c r="O713" s="73" t="s">
        <v>30</v>
      </c>
      <c r="P713" s="72" t="s">
        <v>30</v>
      </c>
      <c r="Q713" s="72" t="s">
        <v>30</v>
      </c>
      <c r="R713" s="72" t="s">
        <v>30</v>
      </c>
      <c r="S713" s="72" t="s">
        <v>30</v>
      </c>
      <c r="T713" s="72" t="s">
        <v>30</v>
      </c>
      <c r="W713" s="31"/>
    </row>
    <row r="714">
      <c r="B714" s="72" t="s">
        <v>30</v>
      </c>
      <c r="C714" s="72" t="s">
        <v>30</v>
      </c>
      <c r="D714" s="72" t="s">
        <v>30</v>
      </c>
      <c r="E714" s="72" t="s">
        <v>30</v>
      </c>
      <c r="F714" s="72" t="s">
        <v>30</v>
      </c>
      <c r="G714" s="72" t="s">
        <v>30</v>
      </c>
      <c r="H714" s="72" t="s">
        <v>30</v>
      </c>
      <c r="I714" s="73" t="s">
        <v>30</v>
      </c>
      <c r="J714" s="72" t="s">
        <v>30</v>
      </c>
      <c r="K714" s="72" t="s">
        <v>30</v>
      </c>
      <c r="L714" s="72" t="s">
        <v>30</v>
      </c>
      <c r="M714" s="72" t="s">
        <v>30</v>
      </c>
      <c r="N714" s="72" t="s">
        <v>30</v>
      </c>
      <c r="O714" s="73" t="s">
        <v>30</v>
      </c>
      <c r="P714" s="72" t="s">
        <v>30</v>
      </c>
      <c r="Q714" s="72" t="s">
        <v>30</v>
      </c>
      <c r="R714" s="72" t="s">
        <v>30</v>
      </c>
      <c r="S714" s="72" t="s">
        <v>30</v>
      </c>
      <c r="T714" s="72" t="s">
        <v>30</v>
      </c>
      <c r="W714" s="31"/>
    </row>
    <row r="715">
      <c r="B715" s="72" t="s">
        <v>30</v>
      </c>
      <c r="C715" s="72" t="s">
        <v>30</v>
      </c>
      <c r="D715" s="72" t="s">
        <v>30</v>
      </c>
      <c r="E715" s="72" t="s">
        <v>30</v>
      </c>
      <c r="F715" s="72" t="s">
        <v>30</v>
      </c>
      <c r="G715" s="72" t="s">
        <v>30</v>
      </c>
      <c r="H715" s="72" t="s">
        <v>30</v>
      </c>
      <c r="I715" s="73" t="s">
        <v>30</v>
      </c>
      <c r="J715" s="72" t="s">
        <v>30</v>
      </c>
      <c r="K715" s="72" t="s">
        <v>30</v>
      </c>
      <c r="L715" s="72" t="s">
        <v>30</v>
      </c>
      <c r="M715" s="72" t="s">
        <v>30</v>
      </c>
      <c r="N715" s="72" t="s">
        <v>30</v>
      </c>
      <c r="O715" s="73" t="s">
        <v>30</v>
      </c>
      <c r="P715" s="72" t="s">
        <v>30</v>
      </c>
      <c r="Q715" s="72" t="s">
        <v>30</v>
      </c>
      <c r="R715" s="72" t="s">
        <v>30</v>
      </c>
      <c r="S715" s="72" t="s">
        <v>30</v>
      </c>
      <c r="T715" s="72" t="s">
        <v>30</v>
      </c>
      <c r="W715" s="31"/>
    </row>
    <row r="716">
      <c r="B716" s="72" t="s">
        <v>30</v>
      </c>
      <c r="C716" s="72" t="s">
        <v>30</v>
      </c>
      <c r="D716" s="72" t="s">
        <v>30</v>
      </c>
      <c r="E716" s="72" t="s">
        <v>30</v>
      </c>
      <c r="F716" s="72" t="s">
        <v>30</v>
      </c>
      <c r="G716" s="72" t="s">
        <v>30</v>
      </c>
      <c r="H716" s="72" t="s">
        <v>30</v>
      </c>
      <c r="I716" s="73" t="s">
        <v>30</v>
      </c>
      <c r="J716" s="72" t="s">
        <v>30</v>
      </c>
      <c r="K716" s="72" t="s">
        <v>30</v>
      </c>
      <c r="L716" s="72" t="s">
        <v>30</v>
      </c>
      <c r="M716" s="72" t="s">
        <v>30</v>
      </c>
      <c r="N716" s="72" t="s">
        <v>30</v>
      </c>
      <c r="O716" s="73" t="s">
        <v>30</v>
      </c>
      <c r="P716" s="72" t="s">
        <v>30</v>
      </c>
      <c r="Q716" s="72" t="s">
        <v>30</v>
      </c>
      <c r="R716" s="72" t="s">
        <v>30</v>
      </c>
      <c r="S716" s="72" t="s">
        <v>30</v>
      </c>
      <c r="T716" s="72" t="s">
        <v>30</v>
      </c>
      <c r="W716" s="31"/>
    </row>
    <row r="717">
      <c r="B717" s="72" t="s">
        <v>30</v>
      </c>
      <c r="C717" s="72" t="s">
        <v>30</v>
      </c>
      <c r="D717" s="72" t="s">
        <v>30</v>
      </c>
      <c r="E717" s="72" t="s">
        <v>30</v>
      </c>
      <c r="F717" s="72" t="s">
        <v>30</v>
      </c>
      <c r="G717" s="72" t="s">
        <v>30</v>
      </c>
      <c r="H717" s="72" t="s">
        <v>30</v>
      </c>
      <c r="I717" s="73" t="s">
        <v>30</v>
      </c>
      <c r="J717" s="72" t="s">
        <v>30</v>
      </c>
      <c r="K717" s="72" t="s">
        <v>30</v>
      </c>
      <c r="L717" s="72" t="s">
        <v>30</v>
      </c>
      <c r="M717" s="72" t="s">
        <v>30</v>
      </c>
      <c r="N717" s="72" t="s">
        <v>30</v>
      </c>
      <c r="O717" s="73" t="s">
        <v>30</v>
      </c>
      <c r="P717" s="72" t="s">
        <v>30</v>
      </c>
      <c r="Q717" s="72" t="s">
        <v>30</v>
      </c>
      <c r="R717" s="72" t="s">
        <v>30</v>
      </c>
      <c r="S717" s="72" t="s">
        <v>30</v>
      </c>
      <c r="T717" s="72" t="s">
        <v>30</v>
      </c>
      <c r="W717" s="31"/>
    </row>
    <row r="718">
      <c r="B718" s="72" t="s">
        <v>30</v>
      </c>
      <c r="C718" s="72" t="s">
        <v>30</v>
      </c>
      <c r="D718" s="72" t="s">
        <v>30</v>
      </c>
      <c r="E718" s="72" t="s">
        <v>30</v>
      </c>
      <c r="F718" s="72" t="s">
        <v>30</v>
      </c>
      <c r="G718" s="72" t="s">
        <v>30</v>
      </c>
      <c r="H718" s="72" t="s">
        <v>30</v>
      </c>
      <c r="I718" s="73" t="s">
        <v>30</v>
      </c>
      <c r="J718" s="72" t="s">
        <v>30</v>
      </c>
      <c r="K718" s="72" t="s">
        <v>30</v>
      </c>
      <c r="L718" s="72" t="s">
        <v>30</v>
      </c>
      <c r="M718" s="72" t="s">
        <v>30</v>
      </c>
      <c r="N718" s="72" t="s">
        <v>30</v>
      </c>
      <c r="O718" s="73" t="s">
        <v>30</v>
      </c>
      <c r="P718" s="72" t="s">
        <v>30</v>
      </c>
      <c r="Q718" s="72" t="s">
        <v>30</v>
      </c>
      <c r="R718" s="72" t="s">
        <v>30</v>
      </c>
      <c r="S718" s="72" t="s">
        <v>30</v>
      </c>
      <c r="T718" s="72" t="s">
        <v>30</v>
      </c>
      <c r="W718" s="31"/>
    </row>
    <row r="719">
      <c r="B719" s="72" t="s">
        <v>30</v>
      </c>
      <c r="C719" s="72" t="s">
        <v>30</v>
      </c>
      <c r="D719" s="72" t="s">
        <v>30</v>
      </c>
      <c r="E719" s="72" t="s">
        <v>30</v>
      </c>
      <c r="F719" s="72" t="s">
        <v>30</v>
      </c>
      <c r="G719" s="72" t="s">
        <v>30</v>
      </c>
      <c r="H719" s="72" t="s">
        <v>30</v>
      </c>
      <c r="I719" s="73" t="s">
        <v>30</v>
      </c>
      <c r="J719" s="72" t="s">
        <v>30</v>
      </c>
      <c r="K719" s="72" t="s">
        <v>30</v>
      </c>
      <c r="L719" s="72" t="s">
        <v>30</v>
      </c>
      <c r="M719" s="72" t="s">
        <v>30</v>
      </c>
      <c r="N719" s="72" t="s">
        <v>30</v>
      </c>
      <c r="O719" s="73" t="s">
        <v>30</v>
      </c>
      <c r="P719" s="72" t="s">
        <v>30</v>
      </c>
      <c r="Q719" s="72" t="s">
        <v>30</v>
      </c>
      <c r="R719" s="72" t="s">
        <v>30</v>
      </c>
      <c r="S719" s="72" t="s">
        <v>30</v>
      </c>
      <c r="T719" s="72" t="s">
        <v>30</v>
      </c>
      <c r="W719" s="31"/>
    </row>
    <row r="720">
      <c r="B720" s="72" t="s">
        <v>30</v>
      </c>
      <c r="C720" s="72" t="s">
        <v>30</v>
      </c>
      <c r="D720" s="72" t="s">
        <v>30</v>
      </c>
      <c r="E720" s="72" t="s">
        <v>30</v>
      </c>
      <c r="F720" s="72" t="s">
        <v>30</v>
      </c>
      <c r="G720" s="72" t="s">
        <v>30</v>
      </c>
      <c r="H720" s="72" t="s">
        <v>30</v>
      </c>
      <c r="I720" s="73" t="s">
        <v>30</v>
      </c>
      <c r="J720" s="72" t="s">
        <v>30</v>
      </c>
      <c r="K720" s="72" t="s">
        <v>30</v>
      </c>
      <c r="L720" s="72" t="s">
        <v>30</v>
      </c>
      <c r="M720" s="72" t="s">
        <v>30</v>
      </c>
      <c r="N720" s="72" t="s">
        <v>30</v>
      </c>
      <c r="O720" s="73" t="s">
        <v>30</v>
      </c>
      <c r="P720" s="72" t="s">
        <v>30</v>
      </c>
      <c r="Q720" s="72" t="s">
        <v>30</v>
      </c>
      <c r="R720" s="72" t="s">
        <v>30</v>
      </c>
      <c r="S720" s="72" t="s">
        <v>30</v>
      </c>
      <c r="T720" s="72" t="s">
        <v>30</v>
      </c>
      <c r="W720" s="31"/>
    </row>
    <row r="721">
      <c r="B721" s="72" t="s">
        <v>30</v>
      </c>
      <c r="C721" s="72" t="s">
        <v>30</v>
      </c>
      <c r="D721" s="72" t="s">
        <v>30</v>
      </c>
      <c r="E721" s="72" t="s">
        <v>30</v>
      </c>
      <c r="F721" s="72" t="s">
        <v>30</v>
      </c>
      <c r="G721" s="72" t="s">
        <v>30</v>
      </c>
      <c r="H721" s="72" t="s">
        <v>30</v>
      </c>
      <c r="I721" s="73" t="s">
        <v>30</v>
      </c>
      <c r="J721" s="72" t="s">
        <v>30</v>
      </c>
      <c r="K721" s="72" t="s">
        <v>30</v>
      </c>
      <c r="L721" s="72" t="s">
        <v>30</v>
      </c>
      <c r="M721" s="72" t="s">
        <v>30</v>
      </c>
      <c r="N721" s="72" t="s">
        <v>30</v>
      </c>
      <c r="O721" s="73" t="s">
        <v>30</v>
      </c>
      <c r="P721" s="72" t="s">
        <v>30</v>
      </c>
      <c r="Q721" s="72" t="s">
        <v>30</v>
      </c>
      <c r="R721" s="72" t="s">
        <v>30</v>
      </c>
      <c r="S721" s="72" t="s">
        <v>30</v>
      </c>
      <c r="T721" s="72" t="s">
        <v>30</v>
      </c>
      <c r="W721" s="31"/>
    </row>
    <row r="722">
      <c r="B722" s="72" t="s">
        <v>30</v>
      </c>
      <c r="C722" s="72" t="s">
        <v>30</v>
      </c>
      <c r="D722" s="72" t="s">
        <v>30</v>
      </c>
      <c r="E722" s="72" t="s">
        <v>30</v>
      </c>
      <c r="F722" s="72" t="s">
        <v>30</v>
      </c>
      <c r="G722" s="72" t="s">
        <v>30</v>
      </c>
      <c r="H722" s="72" t="s">
        <v>30</v>
      </c>
      <c r="I722" s="73" t="s">
        <v>30</v>
      </c>
      <c r="J722" s="72" t="s">
        <v>30</v>
      </c>
      <c r="K722" s="72" t="s">
        <v>30</v>
      </c>
      <c r="L722" s="72" t="s">
        <v>30</v>
      </c>
      <c r="M722" s="72" t="s">
        <v>30</v>
      </c>
      <c r="N722" s="72" t="s">
        <v>30</v>
      </c>
      <c r="O722" s="73" t="s">
        <v>30</v>
      </c>
      <c r="P722" s="72" t="s">
        <v>30</v>
      </c>
      <c r="Q722" s="72" t="s">
        <v>30</v>
      </c>
      <c r="R722" s="72" t="s">
        <v>30</v>
      </c>
      <c r="S722" s="72" t="s">
        <v>30</v>
      </c>
      <c r="T722" s="72" t="s">
        <v>30</v>
      </c>
      <c r="W722" s="31"/>
    </row>
    <row r="723">
      <c r="B723" s="72" t="s">
        <v>30</v>
      </c>
      <c r="C723" s="72" t="s">
        <v>30</v>
      </c>
      <c r="D723" s="72" t="s">
        <v>30</v>
      </c>
      <c r="E723" s="72" t="s">
        <v>30</v>
      </c>
      <c r="F723" s="72" t="s">
        <v>30</v>
      </c>
      <c r="G723" s="72" t="s">
        <v>30</v>
      </c>
      <c r="H723" s="72" t="s">
        <v>30</v>
      </c>
      <c r="I723" s="73" t="s">
        <v>30</v>
      </c>
      <c r="J723" s="72" t="s">
        <v>30</v>
      </c>
      <c r="K723" s="72" t="s">
        <v>30</v>
      </c>
      <c r="L723" s="72" t="s">
        <v>30</v>
      </c>
      <c r="M723" s="72" t="s">
        <v>30</v>
      </c>
      <c r="N723" s="72" t="s">
        <v>30</v>
      </c>
      <c r="O723" s="73" t="s">
        <v>30</v>
      </c>
      <c r="P723" s="72" t="s">
        <v>30</v>
      </c>
      <c r="Q723" s="72" t="s">
        <v>30</v>
      </c>
      <c r="R723" s="72" t="s">
        <v>30</v>
      </c>
      <c r="S723" s="72" t="s">
        <v>30</v>
      </c>
      <c r="T723" s="72" t="s">
        <v>30</v>
      </c>
      <c r="W723" s="31"/>
    </row>
    <row r="724">
      <c r="B724" s="72" t="s">
        <v>30</v>
      </c>
      <c r="C724" s="72" t="s">
        <v>30</v>
      </c>
      <c r="D724" s="72" t="s">
        <v>30</v>
      </c>
      <c r="E724" s="72" t="s">
        <v>30</v>
      </c>
      <c r="F724" s="72" t="s">
        <v>30</v>
      </c>
      <c r="G724" s="72" t="s">
        <v>30</v>
      </c>
      <c r="H724" s="72" t="s">
        <v>30</v>
      </c>
      <c r="I724" s="73" t="s">
        <v>30</v>
      </c>
      <c r="J724" s="72" t="s">
        <v>30</v>
      </c>
      <c r="K724" s="72" t="s">
        <v>30</v>
      </c>
      <c r="L724" s="72" t="s">
        <v>30</v>
      </c>
      <c r="M724" s="72" t="s">
        <v>30</v>
      </c>
      <c r="N724" s="72" t="s">
        <v>30</v>
      </c>
      <c r="O724" s="73" t="s">
        <v>30</v>
      </c>
      <c r="P724" s="72" t="s">
        <v>30</v>
      </c>
      <c r="Q724" s="72" t="s">
        <v>30</v>
      </c>
      <c r="R724" s="72" t="s">
        <v>30</v>
      </c>
      <c r="S724" s="72" t="s">
        <v>30</v>
      </c>
      <c r="T724" s="72" t="s">
        <v>30</v>
      </c>
      <c r="W724" s="31"/>
    </row>
    <row r="725">
      <c r="B725" s="72" t="s">
        <v>30</v>
      </c>
      <c r="C725" s="72" t="s">
        <v>30</v>
      </c>
      <c r="D725" s="72" t="s">
        <v>30</v>
      </c>
      <c r="E725" s="72" t="s">
        <v>30</v>
      </c>
      <c r="F725" s="72" t="s">
        <v>30</v>
      </c>
      <c r="G725" s="72" t="s">
        <v>30</v>
      </c>
      <c r="H725" s="72" t="s">
        <v>30</v>
      </c>
      <c r="I725" s="73" t="s">
        <v>30</v>
      </c>
      <c r="J725" s="72" t="s">
        <v>30</v>
      </c>
      <c r="K725" s="72" t="s">
        <v>30</v>
      </c>
      <c r="L725" s="72" t="s">
        <v>30</v>
      </c>
      <c r="M725" s="72" t="s">
        <v>30</v>
      </c>
      <c r="N725" s="72" t="s">
        <v>30</v>
      </c>
      <c r="O725" s="73" t="s">
        <v>30</v>
      </c>
      <c r="P725" s="72" t="s">
        <v>30</v>
      </c>
      <c r="Q725" s="72" t="s">
        <v>30</v>
      </c>
      <c r="R725" s="72" t="s">
        <v>30</v>
      </c>
      <c r="S725" s="72" t="s">
        <v>30</v>
      </c>
      <c r="T725" s="72" t="s">
        <v>30</v>
      </c>
      <c r="W725" s="31"/>
    </row>
    <row r="726">
      <c r="B726" s="72" t="s">
        <v>30</v>
      </c>
      <c r="C726" s="72" t="s">
        <v>30</v>
      </c>
      <c r="D726" s="72" t="s">
        <v>30</v>
      </c>
      <c r="E726" s="72" t="s">
        <v>30</v>
      </c>
      <c r="F726" s="72" t="s">
        <v>30</v>
      </c>
      <c r="G726" s="72" t="s">
        <v>30</v>
      </c>
      <c r="H726" s="72" t="s">
        <v>30</v>
      </c>
      <c r="I726" s="73" t="s">
        <v>30</v>
      </c>
      <c r="J726" s="72" t="s">
        <v>30</v>
      </c>
      <c r="K726" s="72" t="s">
        <v>30</v>
      </c>
      <c r="L726" s="72" t="s">
        <v>30</v>
      </c>
      <c r="M726" s="72" t="s">
        <v>30</v>
      </c>
      <c r="N726" s="72" t="s">
        <v>30</v>
      </c>
      <c r="O726" s="73" t="s">
        <v>30</v>
      </c>
      <c r="P726" s="72" t="s">
        <v>30</v>
      </c>
      <c r="Q726" s="72" t="s">
        <v>30</v>
      </c>
      <c r="R726" s="72" t="s">
        <v>30</v>
      </c>
      <c r="S726" s="72" t="s">
        <v>30</v>
      </c>
      <c r="T726" s="72" t="s">
        <v>30</v>
      </c>
      <c r="W726" s="31"/>
    </row>
    <row r="727">
      <c r="B727" s="72" t="s">
        <v>30</v>
      </c>
      <c r="C727" s="72" t="s">
        <v>30</v>
      </c>
      <c r="D727" s="72" t="s">
        <v>30</v>
      </c>
      <c r="E727" s="72" t="s">
        <v>30</v>
      </c>
      <c r="F727" s="72" t="s">
        <v>30</v>
      </c>
      <c r="G727" s="72" t="s">
        <v>30</v>
      </c>
      <c r="H727" s="72" t="s">
        <v>30</v>
      </c>
      <c r="I727" s="73" t="s">
        <v>30</v>
      </c>
      <c r="J727" s="72" t="s">
        <v>30</v>
      </c>
      <c r="K727" s="72" t="s">
        <v>30</v>
      </c>
      <c r="L727" s="72" t="s">
        <v>30</v>
      </c>
      <c r="M727" s="72" t="s">
        <v>30</v>
      </c>
      <c r="N727" s="72" t="s">
        <v>30</v>
      </c>
      <c r="O727" s="73" t="s">
        <v>30</v>
      </c>
      <c r="P727" s="72" t="s">
        <v>30</v>
      </c>
      <c r="Q727" s="72" t="s">
        <v>30</v>
      </c>
      <c r="R727" s="72" t="s">
        <v>30</v>
      </c>
      <c r="S727" s="72" t="s">
        <v>30</v>
      </c>
      <c r="T727" s="72" t="s">
        <v>30</v>
      </c>
      <c r="W727" s="31"/>
    </row>
    <row r="728">
      <c r="B728" s="72" t="s">
        <v>30</v>
      </c>
      <c r="C728" s="72" t="s">
        <v>30</v>
      </c>
      <c r="D728" s="72" t="s">
        <v>30</v>
      </c>
      <c r="E728" s="72" t="s">
        <v>30</v>
      </c>
      <c r="F728" s="72" t="s">
        <v>30</v>
      </c>
      <c r="G728" s="72" t="s">
        <v>30</v>
      </c>
      <c r="H728" s="72" t="s">
        <v>30</v>
      </c>
      <c r="I728" s="73" t="s">
        <v>30</v>
      </c>
      <c r="J728" s="72" t="s">
        <v>30</v>
      </c>
      <c r="K728" s="72" t="s">
        <v>30</v>
      </c>
      <c r="L728" s="72" t="s">
        <v>30</v>
      </c>
      <c r="M728" s="72" t="s">
        <v>30</v>
      </c>
      <c r="N728" s="72" t="s">
        <v>30</v>
      </c>
      <c r="O728" s="73" t="s">
        <v>30</v>
      </c>
      <c r="P728" s="72" t="s">
        <v>30</v>
      </c>
      <c r="Q728" s="72" t="s">
        <v>30</v>
      </c>
      <c r="R728" s="72" t="s">
        <v>30</v>
      </c>
      <c r="S728" s="72" t="s">
        <v>30</v>
      </c>
      <c r="T728" s="72" t="s">
        <v>30</v>
      </c>
      <c r="W728" s="31"/>
    </row>
    <row r="729">
      <c r="B729" s="72" t="s">
        <v>30</v>
      </c>
      <c r="C729" s="72" t="s">
        <v>30</v>
      </c>
      <c r="D729" s="72" t="s">
        <v>30</v>
      </c>
      <c r="E729" s="72" t="s">
        <v>30</v>
      </c>
      <c r="F729" s="72" t="s">
        <v>30</v>
      </c>
      <c r="G729" s="72" t="s">
        <v>30</v>
      </c>
      <c r="H729" s="72" t="s">
        <v>30</v>
      </c>
      <c r="I729" s="73" t="s">
        <v>30</v>
      </c>
      <c r="J729" s="72" t="s">
        <v>30</v>
      </c>
      <c r="K729" s="72" t="s">
        <v>30</v>
      </c>
      <c r="L729" s="72" t="s">
        <v>30</v>
      </c>
      <c r="M729" s="72" t="s">
        <v>30</v>
      </c>
      <c r="N729" s="72" t="s">
        <v>30</v>
      </c>
      <c r="O729" s="73" t="s">
        <v>30</v>
      </c>
      <c r="P729" s="72" t="s">
        <v>30</v>
      </c>
      <c r="Q729" s="72" t="s">
        <v>30</v>
      </c>
      <c r="R729" s="72" t="s">
        <v>30</v>
      </c>
      <c r="S729" s="72" t="s">
        <v>30</v>
      </c>
      <c r="T729" s="72" t="s">
        <v>30</v>
      </c>
      <c r="W729" s="31"/>
    </row>
    <row r="730">
      <c r="B730" s="72" t="s">
        <v>30</v>
      </c>
      <c r="C730" s="72" t="s">
        <v>30</v>
      </c>
      <c r="D730" s="72" t="s">
        <v>30</v>
      </c>
      <c r="E730" s="72" t="s">
        <v>30</v>
      </c>
      <c r="F730" s="72" t="s">
        <v>30</v>
      </c>
      <c r="G730" s="72" t="s">
        <v>30</v>
      </c>
      <c r="H730" s="72" t="s">
        <v>30</v>
      </c>
      <c r="I730" s="73" t="s">
        <v>30</v>
      </c>
      <c r="J730" s="72" t="s">
        <v>30</v>
      </c>
      <c r="K730" s="72" t="s">
        <v>30</v>
      </c>
      <c r="L730" s="72" t="s">
        <v>30</v>
      </c>
      <c r="M730" s="72" t="s">
        <v>30</v>
      </c>
      <c r="N730" s="72" t="s">
        <v>30</v>
      </c>
      <c r="O730" s="73" t="s">
        <v>30</v>
      </c>
      <c r="P730" s="72" t="s">
        <v>30</v>
      </c>
      <c r="Q730" s="72" t="s">
        <v>30</v>
      </c>
      <c r="R730" s="72" t="s">
        <v>30</v>
      </c>
      <c r="S730" s="72" t="s">
        <v>30</v>
      </c>
      <c r="T730" s="72" t="s">
        <v>30</v>
      </c>
      <c r="W730" s="31"/>
    </row>
    <row r="731">
      <c r="B731" s="72" t="s">
        <v>30</v>
      </c>
      <c r="C731" s="72" t="s">
        <v>30</v>
      </c>
      <c r="D731" s="72" t="s">
        <v>30</v>
      </c>
      <c r="E731" s="72" t="s">
        <v>30</v>
      </c>
      <c r="F731" s="72" t="s">
        <v>30</v>
      </c>
      <c r="G731" s="72" t="s">
        <v>30</v>
      </c>
      <c r="H731" s="72" t="s">
        <v>30</v>
      </c>
      <c r="I731" s="73" t="s">
        <v>30</v>
      </c>
      <c r="J731" s="72" t="s">
        <v>30</v>
      </c>
      <c r="K731" s="72" t="s">
        <v>30</v>
      </c>
      <c r="L731" s="72" t="s">
        <v>30</v>
      </c>
      <c r="M731" s="72" t="s">
        <v>30</v>
      </c>
      <c r="N731" s="72" t="s">
        <v>30</v>
      </c>
      <c r="O731" s="73" t="s">
        <v>30</v>
      </c>
      <c r="P731" s="72" t="s">
        <v>30</v>
      </c>
      <c r="Q731" s="72" t="s">
        <v>30</v>
      </c>
      <c r="R731" s="72" t="s">
        <v>30</v>
      </c>
      <c r="S731" s="72" t="s">
        <v>30</v>
      </c>
      <c r="T731" s="72" t="s">
        <v>30</v>
      </c>
      <c r="W731" s="31"/>
    </row>
    <row r="732">
      <c r="B732" s="72" t="s">
        <v>30</v>
      </c>
      <c r="C732" s="72" t="s">
        <v>30</v>
      </c>
      <c r="D732" s="72" t="s">
        <v>30</v>
      </c>
      <c r="E732" s="72" t="s">
        <v>30</v>
      </c>
      <c r="F732" s="72" t="s">
        <v>30</v>
      </c>
      <c r="G732" s="72" t="s">
        <v>30</v>
      </c>
      <c r="H732" s="72" t="s">
        <v>30</v>
      </c>
      <c r="I732" s="73" t="s">
        <v>30</v>
      </c>
      <c r="J732" s="72" t="s">
        <v>30</v>
      </c>
      <c r="K732" s="72" t="s">
        <v>30</v>
      </c>
      <c r="L732" s="72" t="s">
        <v>30</v>
      </c>
      <c r="M732" s="72" t="s">
        <v>30</v>
      </c>
      <c r="N732" s="72" t="s">
        <v>30</v>
      </c>
      <c r="O732" s="73" t="s">
        <v>30</v>
      </c>
      <c r="P732" s="72" t="s">
        <v>30</v>
      </c>
      <c r="Q732" s="72" t="s">
        <v>30</v>
      </c>
      <c r="R732" s="72" t="s">
        <v>30</v>
      </c>
      <c r="S732" s="72" t="s">
        <v>30</v>
      </c>
      <c r="T732" s="72" t="s">
        <v>30</v>
      </c>
      <c r="W732" s="31"/>
    </row>
    <row r="733">
      <c r="B733" s="72" t="s">
        <v>30</v>
      </c>
      <c r="C733" s="72" t="s">
        <v>30</v>
      </c>
      <c r="D733" s="72" t="s">
        <v>30</v>
      </c>
      <c r="E733" s="72" t="s">
        <v>30</v>
      </c>
      <c r="F733" s="72" t="s">
        <v>30</v>
      </c>
      <c r="G733" s="72" t="s">
        <v>30</v>
      </c>
      <c r="H733" s="72" t="s">
        <v>30</v>
      </c>
      <c r="I733" s="73" t="s">
        <v>30</v>
      </c>
      <c r="J733" s="72" t="s">
        <v>30</v>
      </c>
      <c r="K733" s="72" t="s">
        <v>30</v>
      </c>
      <c r="L733" s="72" t="s">
        <v>30</v>
      </c>
      <c r="M733" s="72" t="s">
        <v>30</v>
      </c>
      <c r="N733" s="72" t="s">
        <v>30</v>
      </c>
      <c r="O733" s="73" t="s">
        <v>30</v>
      </c>
      <c r="P733" s="72" t="s">
        <v>30</v>
      </c>
      <c r="Q733" s="72" t="s">
        <v>30</v>
      </c>
      <c r="R733" s="72" t="s">
        <v>30</v>
      </c>
      <c r="S733" s="72" t="s">
        <v>30</v>
      </c>
      <c r="T733" s="72" t="s">
        <v>30</v>
      </c>
      <c r="W733" s="31"/>
    </row>
    <row r="734">
      <c r="B734" s="72" t="s">
        <v>30</v>
      </c>
      <c r="C734" s="72" t="s">
        <v>30</v>
      </c>
      <c r="D734" s="72" t="s">
        <v>30</v>
      </c>
      <c r="E734" s="72" t="s">
        <v>30</v>
      </c>
      <c r="F734" s="72" t="s">
        <v>30</v>
      </c>
      <c r="G734" s="72" t="s">
        <v>30</v>
      </c>
      <c r="H734" s="72" t="s">
        <v>30</v>
      </c>
      <c r="I734" s="73" t="s">
        <v>30</v>
      </c>
      <c r="J734" s="72" t="s">
        <v>30</v>
      </c>
      <c r="K734" s="72" t="s">
        <v>30</v>
      </c>
      <c r="L734" s="72" t="s">
        <v>30</v>
      </c>
      <c r="M734" s="72" t="s">
        <v>30</v>
      </c>
      <c r="N734" s="72" t="s">
        <v>30</v>
      </c>
      <c r="O734" s="73" t="s">
        <v>30</v>
      </c>
      <c r="P734" s="72" t="s">
        <v>30</v>
      </c>
      <c r="Q734" s="72" t="s">
        <v>30</v>
      </c>
      <c r="R734" s="72" t="s">
        <v>30</v>
      </c>
      <c r="S734" s="72" t="s">
        <v>30</v>
      </c>
      <c r="T734" s="72" t="s">
        <v>30</v>
      </c>
      <c r="W734" s="31"/>
    </row>
    <row r="735">
      <c r="B735" s="72" t="s">
        <v>30</v>
      </c>
      <c r="C735" s="72" t="s">
        <v>30</v>
      </c>
      <c r="D735" s="72" t="s">
        <v>30</v>
      </c>
      <c r="E735" s="72" t="s">
        <v>30</v>
      </c>
      <c r="F735" s="72" t="s">
        <v>30</v>
      </c>
      <c r="G735" s="72" t="s">
        <v>30</v>
      </c>
      <c r="H735" s="72" t="s">
        <v>30</v>
      </c>
      <c r="I735" s="73" t="s">
        <v>30</v>
      </c>
      <c r="J735" s="72" t="s">
        <v>30</v>
      </c>
      <c r="K735" s="72" t="s">
        <v>30</v>
      </c>
      <c r="L735" s="72" t="s">
        <v>30</v>
      </c>
      <c r="M735" s="72" t="s">
        <v>30</v>
      </c>
      <c r="N735" s="72" t="s">
        <v>30</v>
      </c>
      <c r="O735" s="73" t="s">
        <v>30</v>
      </c>
      <c r="P735" s="72" t="s">
        <v>30</v>
      </c>
      <c r="Q735" s="72" t="s">
        <v>30</v>
      </c>
      <c r="R735" s="72" t="s">
        <v>30</v>
      </c>
      <c r="S735" s="72" t="s">
        <v>30</v>
      </c>
      <c r="T735" s="72" t="s">
        <v>30</v>
      </c>
      <c r="W735" s="31"/>
    </row>
    <row r="736">
      <c r="B736" s="72" t="s">
        <v>30</v>
      </c>
      <c r="C736" s="72" t="s">
        <v>30</v>
      </c>
      <c r="D736" s="72" t="s">
        <v>30</v>
      </c>
      <c r="E736" s="72" t="s">
        <v>30</v>
      </c>
      <c r="F736" s="72" t="s">
        <v>30</v>
      </c>
      <c r="G736" s="72" t="s">
        <v>30</v>
      </c>
      <c r="H736" s="72" t="s">
        <v>30</v>
      </c>
      <c r="I736" s="73" t="s">
        <v>30</v>
      </c>
      <c r="J736" s="72" t="s">
        <v>30</v>
      </c>
      <c r="K736" s="72" t="s">
        <v>30</v>
      </c>
      <c r="L736" s="72" t="s">
        <v>30</v>
      </c>
      <c r="M736" s="72" t="s">
        <v>30</v>
      </c>
      <c r="N736" s="72" t="s">
        <v>30</v>
      </c>
      <c r="O736" s="73" t="s">
        <v>30</v>
      </c>
      <c r="P736" s="72" t="s">
        <v>30</v>
      </c>
      <c r="Q736" s="72" t="s">
        <v>30</v>
      </c>
      <c r="R736" s="72" t="s">
        <v>30</v>
      </c>
      <c r="S736" s="72" t="s">
        <v>30</v>
      </c>
      <c r="T736" s="72" t="s">
        <v>30</v>
      </c>
      <c r="W736" s="31"/>
    </row>
    <row r="737">
      <c r="B737" s="72" t="s">
        <v>30</v>
      </c>
      <c r="C737" s="72" t="s">
        <v>30</v>
      </c>
      <c r="D737" s="72" t="s">
        <v>30</v>
      </c>
      <c r="E737" s="72" t="s">
        <v>30</v>
      </c>
      <c r="F737" s="72" t="s">
        <v>30</v>
      </c>
      <c r="G737" s="72" t="s">
        <v>30</v>
      </c>
      <c r="H737" s="72" t="s">
        <v>30</v>
      </c>
      <c r="I737" s="73" t="s">
        <v>30</v>
      </c>
      <c r="J737" s="72" t="s">
        <v>30</v>
      </c>
      <c r="K737" s="72" t="s">
        <v>30</v>
      </c>
      <c r="L737" s="72" t="s">
        <v>30</v>
      </c>
      <c r="M737" s="72" t="s">
        <v>30</v>
      </c>
      <c r="N737" s="72" t="s">
        <v>30</v>
      </c>
      <c r="O737" s="73" t="s">
        <v>30</v>
      </c>
      <c r="P737" s="72" t="s">
        <v>30</v>
      </c>
      <c r="Q737" s="72" t="s">
        <v>30</v>
      </c>
      <c r="R737" s="72" t="s">
        <v>30</v>
      </c>
      <c r="S737" s="72" t="s">
        <v>30</v>
      </c>
      <c r="T737" s="72" t="s">
        <v>30</v>
      </c>
      <c r="W737" s="31"/>
    </row>
    <row r="738">
      <c r="B738" s="72" t="s">
        <v>30</v>
      </c>
      <c r="C738" s="72" t="s">
        <v>30</v>
      </c>
      <c r="D738" s="72" t="s">
        <v>30</v>
      </c>
      <c r="E738" s="72" t="s">
        <v>30</v>
      </c>
      <c r="F738" s="72" t="s">
        <v>30</v>
      </c>
      <c r="G738" s="72" t="s">
        <v>30</v>
      </c>
      <c r="H738" s="72" t="s">
        <v>30</v>
      </c>
      <c r="I738" s="73" t="s">
        <v>30</v>
      </c>
      <c r="J738" s="72" t="s">
        <v>30</v>
      </c>
      <c r="K738" s="72" t="s">
        <v>30</v>
      </c>
      <c r="L738" s="72" t="s">
        <v>30</v>
      </c>
      <c r="M738" s="72" t="s">
        <v>30</v>
      </c>
      <c r="N738" s="72" t="s">
        <v>30</v>
      </c>
      <c r="O738" s="73" t="s">
        <v>30</v>
      </c>
      <c r="P738" s="72" t="s">
        <v>30</v>
      </c>
      <c r="Q738" s="72" t="s">
        <v>30</v>
      </c>
      <c r="R738" s="72" t="s">
        <v>30</v>
      </c>
      <c r="S738" s="72" t="s">
        <v>30</v>
      </c>
      <c r="T738" s="72" t="s">
        <v>30</v>
      </c>
      <c r="W738" s="31"/>
    </row>
    <row r="739">
      <c r="B739" s="72" t="s">
        <v>30</v>
      </c>
      <c r="C739" s="72" t="s">
        <v>30</v>
      </c>
      <c r="D739" s="72" t="s">
        <v>30</v>
      </c>
      <c r="E739" s="72" t="s">
        <v>30</v>
      </c>
      <c r="F739" s="72" t="s">
        <v>30</v>
      </c>
      <c r="G739" s="72" t="s">
        <v>30</v>
      </c>
      <c r="H739" s="72" t="s">
        <v>30</v>
      </c>
      <c r="I739" s="73" t="s">
        <v>30</v>
      </c>
      <c r="J739" s="72" t="s">
        <v>30</v>
      </c>
      <c r="K739" s="72" t="s">
        <v>30</v>
      </c>
      <c r="L739" s="72" t="s">
        <v>30</v>
      </c>
      <c r="M739" s="72" t="s">
        <v>30</v>
      </c>
      <c r="N739" s="72" t="s">
        <v>30</v>
      </c>
      <c r="O739" s="73" t="s">
        <v>30</v>
      </c>
      <c r="P739" s="72" t="s">
        <v>30</v>
      </c>
      <c r="Q739" s="72" t="s">
        <v>30</v>
      </c>
      <c r="R739" s="72" t="s">
        <v>30</v>
      </c>
      <c r="S739" s="72" t="s">
        <v>30</v>
      </c>
      <c r="T739" s="72" t="s">
        <v>30</v>
      </c>
      <c r="W739" s="31"/>
    </row>
    <row r="740">
      <c r="B740" s="72" t="s">
        <v>30</v>
      </c>
      <c r="C740" s="72" t="s">
        <v>30</v>
      </c>
      <c r="D740" s="72" t="s">
        <v>30</v>
      </c>
      <c r="E740" s="72" t="s">
        <v>30</v>
      </c>
      <c r="F740" s="72" t="s">
        <v>30</v>
      </c>
      <c r="G740" s="72" t="s">
        <v>30</v>
      </c>
      <c r="H740" s="72" t="s">
        <v>30</v>
      </c>
      <c r="I740" s="73" t="s">
        <v>30</v>
      </c>
      <c r="J740" s="72" t="s">
        <v>30</v>
      </c>
      <c r="K740" s="72" t="s">
        <v>30</v>
      </c>
      <c r="L740" s="72" t="s">
        <v>30</v>
      </c>
      <c r="M740" s="72" t="s">
        <v>30</v>
      </c>
      <c r="N740" s="72" t="s">
        <v>30</v>
      </c>
      <c r="O740" s="73" t="s">
        <v>30</v>
      </c>
      <c r="P740" s="72" t="s">
        <v>30</v>
      </c>
      <c r="Q740" s="72" t="s">
        <v>30</v>
      </c>
      <c r="R740" s="72" t="s">
        <v>30</v>
      </c>
      <c r="S740" s="72" t="s">
        <v>30</v>
      </c>
      <c r="T740" s="72" t="s">
        <v>30</v>
      </c>
      <c r="W740" s="31"/>
    </row>
    <row r="741">
      <c r="B741" s="72" t="s">
        <v>30</v>
      </c>
      <c r="C741" s="72" t="s">
        <v>30</v>
      </c>
      <c r="D741" s="72" t="s">
        <v>30</v>
      </c>
      <c r="E741" s="72" t="s">
        <v>30</v>
      </c>
      <c r="F741" s="72" t="s">
        <v>30</v>
      </c>
      <c r="G741" s="72" t="s">
        <v>30</v>
      </c>
      <c r="H741" s="72" t="s">
        <v>30</v>
      </c>
      <c r="I741" s="73" t="s">
        <v>30</v>
      </c>
      <c r="J741" s="72" t="s">
        <v>30</v>
      </c>
      <c r="K741" s="72" t="s">
        <v>30</v>
      </c>
      <c r="L741" s="72" t="s">
        <v>30</v>
      </c>
      <c r="M741" s="72" t="s">
        <v>30</v>
      </c>
      <c r="N741" s="72" t="s">
        <v>30</v>
      </c>
      <c r="O741" s="73" t="s">
        <v>30</v>
      </c>
      <c r="P741" s="72" t="s">
        <v>30</v>
      </c>
      <c r="Q741" s="72" t="s">
        <v>30</v>
      </c>
      <c r="R741" s="72" t="s">
        <v>30</v>
      </c>
      <c r="S741" s="72" t="s">
        <v>30</v>
      </c>
      <c r="T741" s="72" t="s">
        <v>30</v>
      </c>
      <c r="W741" s="31"/>
    </row>
    <row r="742">
      <c r="B742" s="72" t="s">
        <v>30</v>
      </c>
      <c r="C742" s="72" t="s">
        <v>30</v>
      </c>
      <c r="D742" s="72" t="s">
        <v>30</v>
      </c>
      <c r="E742" s="72" t="s">
        <v>30</v>
      </c>
      <c r="F742" s="72" t="s">
        <v>30</v>
      </c>
      <c r="G742" s="72" t="s">
        <v>30</v>
      </c>
      <c r="H742" s="72" t="s">
        <v>30</v>
      </c>
      <c r="I742" s="73" t="s">
        <v>30</v>
      </c>
      <c r="J742" s="72" t="s">
        <v>30</v>
      </c>
      <c r="K742" s="72" t="s">
        <v>30</v>
      </c>
      <c r="L742" s="72" t="s">
        <v>30</v>
      </c>
      <c r="M742" s="72" t="s">
        <v>30</v>
      </c>
      <c r="N742" s="72" t="s">
        <v>30</v>
      </c>
      <c r="O742" s="73" t="s">
        <v>30</v>
      </c>
      <c r="P742" s="72" t="s">
        <v>30</v>
      </c>
      <c r="Q742" s="72" t="s">
        <v>30</v>
      </c>
      <c r="R742" s="72" t="s">
        <v>30</v>
      </c>
      <c r="S742" s="72" t="s">
        <v>30</v>
      </c>
      <c r="T742" s="72" t="s">
        <v>30</v>
      </c>
      <c r="W742" s="31"/>
    </row>
    <row r="743">
      <c r="B743" s="72" t="s">
        <v>30</v>
      </c>
      <c r="C743" s="72" t="s">
        <v>30</v>
      </c>
      <c r="D743" s="72" t="s">
        <v>30</v>
      </c>
      <c r="E743" s="72" t="s">
        <v>30</v>
      </c>
      <c r="F743" s="72" t="s">
        <v>30</v>
      </c>
      <c r="G743" s="72" t="s">
        <v>30</v>
      </c>
      <c r="H743" s="72" t="s">
        <v>30</v>
      </c>
      <c r="I743" s="73" t="s">
        <v>30</v>
      </c>
      <c r="J743" s="72" t="s">
        <v>30</v>
      </c>
      <c r="K743" s="72" t="s">
        <v>30</v>
      </c>
      <c r="L743" s="72" t="s">
        <v>30</v>
      </c>
      <c r="M743" s="72" t="s">
        <v>30</v>
      </c>
      <c r="N743" s="72" t="s">
        <v>30</v>
      </c>
      <c r="O743" s="73" t="s">
        <v>30</v>
      </c>
      <c r="P743" s="72" t="s">
        <v>30</v>
      </c>
      <c r="Q743" s="72" t="s">
        <v>30</v>
      </c>
      <c r="R743" s="72" t="s">
        <v>30</v>
      </c>
      <c r="S743" s="72" t="s">
        <v>30</v>
      </c>
      <c r="T743" s="72" t="s">
        <v>30</v>
      </c>
      <c r="W743" s="31"/>
    </row>
    <row r="744">
      <c r="B744" s="72" t="s">
        <v>30</v>
      </c>
      <c r="C744" s="72" t="s">
        <v>30</v>
      </c>
      <c r="D744" s="72" t="s">
        <v>30</v>
      </c>
      <c r="E744" s="72" t="s">
        <v>30</v>
      </c>
      <c r="F744" s="72" t="s">
        <v>30</v>
      </c>
      <c r="G744" s="72" t="s">
        <v>30</v>
      </c>
      <c r="H744" s="72" t="s">
        <v>30</v>
      </c>
      <c r="I744" s="73" t="s">
        <v>30</v>
      </c>
      <c r="J744" s="72" t="s">
        <v>30</v>
      </c>
      <c r="K744" s="72" t="s">
        <v>30</v>
      </c>
      <c r="L744" s="72" t="s">
        <v>30</v>
      </c>
      <c r="M744" s="72" t="s">
        <v>30</v>
      </c>
      <c r="N744" s="72" t="s">
        <v>30</v>
      </c>
      <c r="O744" s="73" t="s">
        <v>30</v>
      </c>
      <c r="P744" s="72" t="s">
        <v>30</v>
      </c>
      <c r="Q744" s="72" t="s">
        <v>30</v>
      </c>
      <c r="R744" s="72" t="s">
        <v>30</v>
      </c>
      <c r="S744" s="72" t="s">
        <v>30</v>
      </c>
      <c r="T744" s="72" t="s">
        <v>30</v>
      </c>
      <c r="W744" s="31"/>
    </row>
    <row r="745">
      <c r="B745" s="72" t="s">
        <v>30</v>
      </c>
      <c r="C745" s="72" t="s">
        <v>30</v>
      </c>
      <c r="D745" s="72" t="s">
        <v>30</v>
      </c>
      <c r="E745" s="72" t="s">
        <v>30</v>
      </c>
      <c r="F745" s="72" t="s">
        <v>30</v>
      </c>
      <c r="G745" s="72" t="s">
        <v>30</v>
      </c>
      <c r="H745" s="72" t="s">
        <v>30</v>
      </c>
      <c r="I745" s="73" t="s">
        <v>30</v>
      </c>
      <c r="J745" s="72" t="s">
        <v>30</v>
      </c>
      <c r="K745" s="72" t="s">
        <v>30</v>
      </c>
      <c r="L745" s="72" t="s">
        <v>30</v>
      </c>
      <c r="M745" s="72" t="s">
        <v>30</v>
      </c>
      <c r="N745" s="72" t="s">
        <v>30</v>
      </c>
      <c r="O745" s="73" t="s">
        <v>30</v>
      </c>
      <c r="P745" s="72" t="s">
        <v>30</v>
      </c>
      <c r="Q745" s="72" t="s">
        <v>30</v>
      </c>
      <c r="R745" s="72" t="s">
        <v>30</v>
      </c>
      <c r="S745" s="72" t="s">
        <v>30</v>
      </c>
      <c r="T745" s="72" t="s">
        <v>30</v>
      </c>
      <c r="W745" s="31"/>
    </row>
    <row r="746">
      <c r="B746" s="72" t="s">
        <v>30</v>
      </c>
      <c r="C746" s="72" t="s">
        <v>30</v>
      </c>
      <c r="D746" s="72" t="s">
        <v>30</v>
      </c>
      <c r="E746" s="72" t="s">
        <v>30</v>
      </c>
      <c r="F746" s="72" t="s">
        <v>30</v>
      </c>
      <c r="G746" s="72" t="s">
        <v>30</v>
      </c>
      <c r="H746" s="72" t="s">
        <v>30</v>
      </c>
      <c r="I746" s="73" t="s">
        <v>30</v>
      </c>
      <c r="J746" s="72" t="s">
        <v>30</v>
      </c>
      <c r="K746" s="72" t="s">
        <v>30</v>
      </c>
      <c r="L746" s="72" t="s">
        <v>30</v>
      </c>
      <c r="M746" s="72" t="s">
        <v>30</v>
      </c>
      <c r="N746" s="72" t="s">
        <v>30</v>
      </c>
      <c r="O746" s="73" t="s">
        <v>30</v>
      </c>
      <c r="P746" s="72" t="s">
        <v>30</v>
      </c>
      <c r="Q746" s="72" t="s">
        <v>30</v>
      </c>
      <c r="R746" s="72" t="s">
        <v>30</v>
      </c>
      <c r="S746" s="72" t="s">
        <v>30</v>
      </c>
      <c r="T746" s="72" t="s">
        <v>30</v>
      </c>
      <c r="W746" s="31"/>
    </row>
    <row r="747">
      <c r="B747" s="72" t="s">
        <v>30</v>
      </c>
      <c r="C747" s="72" t="s">
        <v>30</v>
      </c>
      <c r="D747" s="72" t="s">
        <v>30</v>
      </c>
      <c r="E747" s="72" t="s">
        <v>30</v>
      </c>
      <c r="F747" s="72" t="s">
        <v>30</v>
      </c>
      <c r="G747" s="72" t="s">
        <v>30</v>
      </c>
      <c r="H747" s="72" t="s">
        <v>30</v>
      </c>
      <c r="I747" s="73" t="s">
        <v>30</v>
      </c>
      <c r="J747" s="72" t="s">
        <v>30</v>
      </c>
      <c r="K747" s="72" t="s">
        <v>30</v>
      </c>
      <c r="L747" s="72" t="s">
        <v>30</v>
      </c>
      <c r="M747" s="72" t="s">
        <v>30</v>
      </c>
      <c r="N747" s="72" t="s">
        <v>30</v>
      </c>
      <c r="O747" s="73" t="s">
        <v>30</v>
      </c>
      <c r="P747" s="72" t="s">
        <v>30</v>
      </c>
      <c r="Q747" s="72" t="s">
        <v>30</v>
      </c>
      <c r="R747" s="72" t="s">
        <v>30</v>
      </c>
      <c r="S747" s="72" t="s">
        <v>30</v>
      </c>
      <c r="T747" s="72" t="s">
        <v>30</v>
      </c>
      <c r="W747" s="31"/>
    </row>
    <row r="748">
      <c r="B748" s="72" t="s">
        <v>30</v>
      </c>
      <c r="C748" s="72" t="s">
        <v>30</v>
      </c>
      <c r="D748" s="72" t="s">
        <v>30</v>
      </c>
      <c r="E748" s="72" t="s">
        <v>30</v>
      </c>
      <c r="F748" s="72" t="s">
        <v>30</v>
      </c>
      <c r="G748" s="72" t="s">
        <v>30</v>
      </c>
      <c r="H748" s="72" t="s">
        <v>30</v>
      </c>
      <c r="I748" s="73" t="s">
        <v>30</v>
      </c>
      <c r="J748" s="72" t="s">
        <v>30</v>
      </c>
      <c r="K748" s="72" t="s">
        <v>30</v>
      </c>
      <c r="L748" s="72" t="s">
        <v>30</v>
      </c>
      <c r="M748" s="72" t="s">
        <v>30</v>
      </c>
      <c r="N748" s="72" t="s">
        <v>30</v>
      </c>
      <c r="O748" s="73" t="s">
        <v>30</v>
      </c>
      <c r="P748" s="72" t="s">
        <v>30</v>
      </c>
      <c r="Q748" s="72" t="s">
        <v>30</v>
      </c>
      <c r="R748" s="72" t="s">
        <v>30</v>
      </c>
      <c r="S748" s="72" t="s">
        <v>30</v>
      </c>
      <c r="T748" s="72" t="s">
        <v>30</v>
      </c>
      <c r="W748" s="31"/>
    </row>
    <row r="749">
      <c r="B749" s="72" t="s">
        <v>30</v>
      </c>
      <c r="C749" s="72" t="s">
        <v>30</v>
      </c>
      <c r="D749" s="72" t="s">
        <v>30</v>
      </c>
      <c r="E749" s="72" t="s">
        <v>30</v>
      </c>
      <c r="F749" s="72" t="s">
        <v>30</v>
      </c>
      <c r="G749" s="72" t="s">
        <v>30</v>
      </c>
      <c r="H749" s="72" t="s">
        <v>30</v>
      </c>
      <c r="I749" s="73" t="s">
        <v>30</v>
      </c>
      <c r="J749" s="72" t="s">
        <v>30</v>
      </c>
      <c r="K749" s="72" t="s">
        <v>30</v>
      </c>
      <c r="L749" s="72" t="s">
        <v>30</v>
      </c>
      <c r="M749" s="72" t="s">
        <v>30</v>
      </c>
      <c r="N749" s="72" t="s">
        <v>30</v>
      </c>
      <c r="O749" s="73" t="s">
        <v>30</v>
      </c>
      <c r="P749" s="72" t="s">
        <v>30</v>
      </c>
      <c r="Q749" s="72" t="s">
        <v>30</v>
      </c>
      <c r="R749" s="72" t="s">
        <v>30</v>
      </c>
      <c r="S749" s="72" t="s">
        <v>30</v>
      </c>
      <c r="T749" s="72" t="s">
        <v>30</v>
      </c>
      <c r="W749" s="31"/>
    </row>
    <row r="750">
      <c r="B750" s="72" t="s">
        <v>30</v>
      </c>
      <c r="C750" s="72" t="s">
        <v>30</v>
      </c>
      <c r="D750" s="72" t="s">
        <v>30</v>
      </c>
      <c r="E750" s="72" t="s">
        <v>30</v>
      </c>
      <c r="F750" s="72" t="s">
        <v>30</v>
      </c>
      <c r="G750" s="72" t="s">
        <v>30</v>
      </c>
      <c r="H750" s="72" t="s">
        <v>30</v>
      </c>
      <c r="I750" s="73" t="s">
        <v>30</v>
      </c>
      <c r="J750" s="72" t="s">
        <v>30</v>
      </c>
      <c r="K750" s="72" t="s">
        <v>30</v>
      </c>
      <c r="L750" s="72" t="s">
        <v>30</v>
      </c>
      <c r="M750" s="72" t="s">
        <v>30</v>
      </c>
      <c r="N750" s="72" t="s">
        <v>30</v>
      </c>
      <c r="O750" s="73" t="s">
        <v>30</v>
      </c>
      <c r="P750" s="72" t="s">
        <v>30</v>
      </c>
      <c r="Q750" s="72" t="s">
        <v>30</v>
      </c>
      <c r="R750" s="72" t="s">
        <v>30</v>
      </c>
      <c r="S750" s="72" t="s">
        <v>30</v>
      </c>
      <c r="T750" s="72" t="s">
        <v>30</v>
      </c>
      <c r="W750" s="31"/>
    </row>
    <row r="751">
      <c r="B751" s="72" t="s">
        <v>30</v>
      </c>
      <c r="C751" s="72" t="s">
        <v>30</v>
      </c>
      <c r="D751" s="72" t="s">
        <v>30</v>
      </c>
      <c r="E751" s="72" t="s">
        <v>30</v>
      </c>
      <c r="F751" s="72" t="s">
        <v>30</v>
      </c>
      <c r="G751" s="72" t="s">
        <v>30</v>
      </c>
      <c r="H751" s="72" t="s">
        <v>30</v>
      </c>
      <c r="I751" s="73" t="s">
        <v>30</v>
      </c>
      <c r="J751" s="72" t="s">
        <v>30</v>
      </c>
      <c r="K751" s="72" t="s">
        <v>30</v>
      </c>
      <c r="L751" s="72" t="s">
        <v>30</v>
      </c>
      <c r="M751" s="72" t="s">
        <v>30</v>
      </c>
      <c r="N751" s="72" t="s">
        <v>30</v>
      </c>
      <c r="O751" s="73" t="s">
        <v>30</v>
      </c>
      <c r="P751" s="72" t="s">
        <v>30</v>
      </c>
      <c r="Q751" s="72" t="s">
        <v>30</v>
      </c>
      <c r="R751" s="72" t="s">
        <v>30</v>
      </c>
      <c r="S751" s="72" t="s">
        <v>30</v>
      </c>
      <c r="T751" s="72" t="s">
        <v>30</v>
      </c>
      <c r="W751" s="31"/>
    </row>
    <row r="752">
      <c r="B752" s="72" t="s">
        <v>30</v>
      </c>
      <c r="C752" s="72" t="s">
        <v>30</v>
      </c>
      <c r="D752" s="72" t="s">
        <v>30</v>
      </c>
      <c r="E752" s="72" t="s">
        <v>30</v>
      </c>
      <c r="F752" s="72" t="s">
        <v>30</v>
      </c>
      <c r="G752" s="72" t="s">
        <v>30</v>
      </c>
      <c r="H752" s="72" t="s">
        <v>30</v>
      </c>
      <c r="I752" s="73" t="s">
        <v>30</v>
      </c>
      <c r="J752" s="72" t="s">
        <v>30</v>
      </c>
      <c r="K752" s="72" t="s">
        <v>30</v>
      </c>
      <c r="L752" s="72" t="s">
        <v>30</v>
      </c>
      <c r="M752" s="72" t="s">
        <v>30</v>
      </c>
      <c r="N752" s="72" t="s">
        <v>30</v>
      </c>
      <c r="O752" s="73" t="s">
        <v>30</v>
      </c>
      <c r="P752" s="72" t="s">
        <v>30</v>
      </c>
      <c r="Q752" s="72" t="s">
        <v>30</v>
      </c>
      <c r="R752" s="72" t="s">
        <v>30</v>
      </c>
      <c r="S752" s="72" t="s">
        <v>30</v>
      </c>
      <c r="T752" s="72" t="s">
        <v>30</v>
      </c>
      <c r="W752" s="31"/>
    </row>
    <row r="753">
      <c r="B753" s="72" t="s">
        <v>30</v>
      </c>
      <c r="C753" s="72" t="s">
        <v>30</v>
      </c>
      <c r="D753" s="72" t="s">
        <v>30</v>
      </c>
      <c r="E753" s="72" t="s">
        <v>30</v>
      </c>
      <c r="F753" s="72" t="s">
        <v>30</v>
      </c>
      <c r="G753" s="72" t="s">
        <v>30</v>
      </c>
      <c r="H753" s="72" t="s">
        <v>30</v>
      </c>
      <c r="I753" s="73" t="s">
        <v>30</v>
      </c>
      <c r="J753" s="72" t="s">
        <v>30</v>
      </c>
      <c r="K753" s="72" t="s">
        <v>30</v>
      </c>
      <c r="L753" s="72" t="s">
        <v>30</v>
      </c>
      <c r="M753" s="72" t="s">
        <v>30</v>
      </c>
      <c r="N753" s="72" t="s">
        <v>30</v>
      </c>
      <c r="O753" s="73" t="s">
        <v>30</v>
      </c>
      <c r="P753" s="72" t="s">
        <v>30</v>
      </c>
      <c r="Q753" s="72" t="s">
        <v>30</v>
      </c>
      <c r="R753" s="72" t="s">
        <v>30</v>
      </c>
      <c r="S753" s="72" t="s">
        <v>30</v>
      </c>
      <c r="T753" s="72" t="s">
        <v>30</v>
      </c>
      <c r="W753" s="31"/>
    </row>
    <row r="754">
      <c r="B754" s="72" t="s">
        <v>30</v>
      </c>
      <c r="C754" s="72" t="s">
        <v>30</v>
      </c>
      <c r="D754" s="72" t="s">
        <v>30</v>
      </c>
      <c r="E754" s="72" t="s">
        <v>30</v>
      </c>
      <c r="F754" s="72" t="s">
        <v>30</v>
      </c>
      <c r="G754" s="72" t="s">
        <v>30</v>
      </c>
      <c r="H754" s="72" t="s">
        <v>30</v>
      </c>
      <c r="I754" s="73" t="s">
        <v>30</v>
      </c>
      <c r="J754" s="72" t="s">
        <v>30</v>
      </c>
      <c r="K754" s="72" t="s">
        <v>30</v>
      </c>
      <c r="L754" s="72" t="s">
        <v>30</v>
      </c>
      <c r="M754" s="72" t="s">
        <v>30</v>
      </c>
      <c r="N754" s="72" t="s">
        <v>30</v>
      </c>
      <c r="O754" s="73" t="s">
        <v>30</v>
      </c>
      <c r="P754" s="72" t="s">
        <v>30</v>
      </c>
      <c r="Q754" s="72" t="s">
        <v>30</v>
      </c>
      <c r="R754" s="72" t="s">
        <v>30</v>
      </c>
      <c r="S754" s="72" t="s">
        <v>30</v>
      </c>
      <c r="T754" s="72" t="s">
        <v>30</v>
      </c>
      <c r="W754" s="31"/>
    </row>
    <row r="755">
      <c r="B755" s="72" t="s">
        <v>30</v>
      </c>
      <c r="C755" s="72" t="s">
        <v>30</v>
      </c>
      <c r="D755" s="72" t="s">
        <v>30</v>
      </c>
      <c r="E755" s="72" t="s">
        <v>30</v>
      </c>
      <c r="F755" s="72" t="s">
        <v>30</v>
      </c>
      <c r="G755" s="72" t="s">
        <v>30</v>
      </c>
      <c r="H755" s="72" t="s">
        <v>30</v>
      </c>
      <c r="I755" s="73" t="s">
        <v>30</v>
      </c>
      <c r="J755" s="72" t="s">
        <v>30</v>
      </c>
      <c r="K755" s="72" t="s">
        <v>30</v>
      </c>
      <c r="L755" s="72" t="s">
        <v>30</v>
      </c>
      <c r="M755" s="72" t="s">
        <v>30</v>
      </c>
      <c r="N755" s="72" t="s">
        <v>30</v>
      </c>
      <c r="O755" s="73" t="s">
        <v>30</v>
      </c>
      <c r="P755" s="72" t="s">
        <v>30</v>
      </c>
      <c r="Q755" s="72" t="s">
        <v>30</v>
      </c>
      <c r="R755" s="72" t="s">
        <v>30</v>
      </c>
      <c r="S755" s="72" t="s">
        <v>30</v>
      </c>
      <c r="T755" s="72" t="s">
        <v>30</v>
      </c>
      <c r="W755" s="31"/>
    </row>
    <row r="756">
      <c r="B756" s="72" t="s">
        <v>30</v>
      </c>
      <c r="C756" s="72" t="s">
        <v>30</v>
      </c>
      <c r="D756" s="72" t="s">
        <v>30</v>
      </c>
      <c r="E756" s="72" t="s">
        <v>30</v>
      </c>
      <c r="F756" s="72" t="s">
        <v>30</v>
      </c>
      <c r="G756" s="72" t="s">
        <v>30</v>
      </c>
      <c r="H756" s="72" t="s">
        <v>30</v>
      </c>
      <c r="I756" s="73" t="s">
        <v>30</v>
      </c>
      <c r="J756" s="72" t="s">
        <v>30</v>
      </c>
      <c r="K756" s="72" t="s">
        <v>30</v>
      </c>
      <c r="L756" s="72" t="s">
        <v>30</v>
      </c>
      <c r="M756" s="72" t="s">
        <v>30</v>
      </c>
      <c r="N756" s="72" t="s">
        <v>30</v>
      </c>
      <c r="O756" s="73" t="s">
        <v>30</v>
      </c>
      <c r="P756" s="72" t="s">
        <v>30</v>
      </c>
      <c r="Q756" s="72" t="s">
        <v>30</v>
      </c>
      <c r="R756" s="72" t="s">
        <v>30</v>
      </c>
      <c r="S756" s="72" t="s">
        <v>30</v>
      </c>
      <c r="T756" s="72" t="s">
        <v>30</v>
      </c>
      <c r="W756" s="31"/>
    </row>
    <row r="757">
      <c r="B757" s="72" t="s">
        <v>30</v>
      </c>
      <c r="C757" s="72" t="s">
        <v>30</v>
      </c>
      <c r="D757" s="72" t="s">
        <v>30</v>
      </c>
      <c r="E757" s="72" t="s">
        <v>30</v>
      </c>
      <c r="F757" s="72" t="s">
        <v>30</v>
      </c>
      <c r="G757" s="72" t="s">
        <v>30</v>
      </c>
      <c r="H757" s="72" t="s">
        <v>30</v>
      </c>
      <c r="I757" s="73" t="s">
        <v>30</v>
      </c>
      <c r="J757" s="72" t="s">
        <v>30</v>
      </c>
      <c r="K757" s="72" t="s">
        <v>30</v>
      </c>
      <c r="L757" s="72" t="s">
        <v>30</v>
      </c>
      <c r="M757" s="72" t="s">
        <v>30</v>
      </c>
      <c r="N757" s="72" t="s">
        <v>30</v>
      </c>
      <c r="O757" s="73" t="s">
        <v>30</v>
      </c>
      <c r="P757" s="72" t="s">
        <v>30</v>
      </c>
      <c r="Q757" s="72" t="s">
        <v>30</v>
      </c>
      <c r="R757" s="72" t="s">
        <v>30</v>
      </c>
      <c r="S757" s="72" t="s">
        <v>30</v>
      </c>
      <c r="T757" s="72" t="s">
        <v>30</v>
      </c>
      <c r="W757" s="31"/>
    </row>
    <row r="758">
      <c r="B758" s="72" t="s">
        <v>30</v>
      </c>
      <c r="C758" s="72" t="s">
        <v>30</v>
      </c>
      <c r="D758" s="72" t="s">
        <v>30</v>
      </c>
      <c r="E758" s="72" t="s">
        <v>30</v>
      </c>
      <c r="F758" s="72" t="s">
        <v>30</v>
      </c>
      <c r="G758" s="72" t="s">
        <v>30</v>
      </c>
      <c r="H758" s="72" t="s">
        <v>30</v>
      </c>
      <c r="I758" s="73" t="s">
        <v>30</v>
      </c>
      <c r="J758" s="72" t="s">
        <v>30</v>
      </c>
      <c r="K758" s="72" t="s">
        <v>30</v>
      </c>
      <c r="L758" s="72" t="s">
        <v>30</v>
      </c>
      <c r="M758" s="72" t="s">
        <v>30</v>
      </c>
      <c r="N758" s="72" t="s">
        <v>30</v>
      </c>
      <c r="O758" s="73" t="s">
        <v>30</v>
      </c>
      <c r="P758" s="72" t="s">
        <v>30</v>
      </c>
      <c r="Q758" s="72" t="s">
        <v>30</v>
      </c>
      <c r="R758" s="72" t="s">
        <v>30</v>
      </c>
      <c r="S758" s="72" t="s">
        <v>30</v>
      </c>
      <c r="T758" s="72" t="s">
        <v>30</v>
      </c>
      <c r="W758" s="31"/>
    </row>
    <row r="759">
      <c r="B759" s="72" t="s">
        <v>30</v>
      </c>
      <c r="C759" s="72" t="s">
        <v>30</v>
      </c>
      <c r="D759" s="72" t="s">
        <v>30</v>
      </c>
      <c r="E759" s="72" t="s">
        <v>30</v>
      </c>
      <c r="F759" s="72" t="s">
        <v>30</v>
      </c>
      <c r="G759" s="72" t="s">
        <v>30</v>
      </c>
      <c r="H759" s="72" t="s">
        <v>30</v>
      </c>
      <c r="I759" s="73" t="s">
        <v>30</v>
      </c>
      <c r="J759" s="72" t="s">
        <v>30</v>
      </c>
      <c r="K759" s="72" t="s">
        <v>30</v>
      </c>
      <c r="L759" s="72" t="s">
        <v>30</v>
      </c>
      <c r="M759" s="72" t="s">
        <v>30</v>
      </c>
      <c r="N759" s="72" t="s">
        <v>30</v>
      </c>
      <c r="O759" s="73" t="s">
        <v>30</v>
      </c>
      <c r="P759" s="72" t="s">
        <v>30</v>
      </c>
      <c r="Q759" s="72" t="s">
        <v>30</v>
      </c>
      <c r="R759" s="72" t="s">
        <v>30</v>
      </c>
      <c r="S759" s="72" t="s">
        <v>30</v>
      </c>
      <c r="T759" s="72" t="s">
        <v>30</v>
      </c>
      <c r="W759" s="31"/>
    </row>
    <row r="760">
      <c r="B760" s="72" t="s">
        <v>30</v>
      </c>
      <c r="C760" s="72" t="s">
        <v>30</v>
      </c>
      <c r="D760" s="72" t="s">
        <v>30</v>
      </c>
      <c r="E760" s="72" t="s">
        <v>30</v>
      </c>
      <c r="F760" s="72" t="s">
        <v>30</v>
      </c>
      <c r="G760" s="72" t="s">
        <v>30</v>
      </c>
      <c r="H760" s="72" t="s">
        <v>30</v>
      </c>
      <c r="I760" s="73" t="s">
        <v>30</v>
      </c>
      <c r="J760" s="72" t="s">
        <v>30</v>
      </c>
      <c r="K760" s="72" t="s">
        <v>30</v>
      </c>
      <c r="L760" s="72" t="s">
        <v>30</v>
      </c>
      <c r="M760" s="72" t="s">
        <v>30</v>
      </c>
      <c r="N760" s="72" t="s">
        <v>30</v>
      </c>
      <c r="O760" s="73" t="s">
        <v>30</v>
      </c>
      <c r="P760" s="72" t="s">
        <v>30</v>
      </c>
      <c r="Q760" s="72" t="s">
        <v>30</v>
      </c>
      <c r="R760" s="72" t="s">
        <v>30</v>
      </c>
      <c r="S760" s="72" t="s">
        <v>30</v>
      </c>
      <c r="T760" s="72" t="s">
        <v>30</v>
      </c>
      <c r="W760" s="31"/>
    </row>
    <row r="761">
      <c r="B761" s="72" t="s">
        <v>30</v>
      </c>
      <c r="C761" s="72" t="s">
        <v>30</v>
      </c>
      <c r="D761" s="72" t="s">
        <v>30</v>
      </c>
      <c r="E761" s="72" t="s">
        <v>30</v>
      </c>
      <c r="F761" s="72" t="s">
        <v>30</v>
      </c>
      <c r="G761" s="72" t="s">
        <v>30</v>
      </c>
      <c r="H761" s="72" t="s">
        <v>30</v>
      </c>
      <c r="I761" s="73" t="s">
        <v>30</v>
      </c>
      <c r="J761" s="72" t="s">
        <v>30</v>
      </c>
      <c r="K761" s="72" t="s">
        <v>30</v>
      </c>
      <c r="L761" s="72" t="s">
        <v>30</v>
      </c>
      <c r="M761" s="72" t="s">
        <v>30</v>
      </c>
      <c r="N761" s="72" t="s">
        <v>30</v>
      </c>
      <c r="O761" s="73" t="s">
        <v>30</v>
      </c>
      <c r="P761" s="72" t="s">
        <v>30</v>
      </c>
      <c r="Q761" s="72" t="s">
        <v>30</v>
      </c>
      <c r="R761" s="72" t="s">
        <v>30</v>
      </c>
      <c r="S761" s="72" t="s">
        <v>30</v>
      </c>
      <c r="T761" s="72" t="s">
        <v>30</v>
      </c>
      <c r="W761" s="31"/>
    </row>
    <row r="762">
      <c r="B762" s="72" t="s">
        <v>30</v>
      </c>
      <c r="C762" s="72" t="s">
        <v>30</v>
      </c>
      <c r="D762" s="72" t="s">
        <v>30</v>
      </c>
      <c r="E762" s="72" t="s">
        <v>30</v>
      </c>
      <c r="F762" s="72" t="s">
        <v>30</v>
      </c>
      <c r="G762" s="72" t="s">
        <v>30</v>
      </c>
      <c r="H762" s="72" t="s">
        <v>30</v>
      </c>
      <c r="I762" s="73" t="s">
        <v>30</v>
      </c>
      <c r="J762" s="72" t="s">
        <v>30</v>
      </c>
      <c r="K762" s="72" t="s">
        <v>30</v>
      </c>
      <c r="L762" s="72" t="s">
        <v>30</v>
      </c>
      <c r="M762" s="72" t="s">
        <v>30</v>
      </c>
      <c r="N762" s="72" t="s">
        <v>30</v>
      </c>
      <c r="O762" s="73" t="s">
        <v>30</v>
      </c>
      <c r="P762" s="72" t="s">
        <v>30</v>
      </c>
      <c r="Q762" s="72" t="s">
        <v>30</v>
      </c>
      <c r="R762" s="72" t="s">
        <v>30</v>
      </c>
      <c r="S762" s="72" t="s">
        <v>30</v>
      </c>
      <c r="T762" s="72" t="s">
        <v>30</v>
      </c>
      <c r="W762" s="31"/>
    </row>
    <row r="763">
      <c r="B763" s="72" t="s">
        <v>30</v>
      </c>
      <c r="C763" s="72" t="s">
        <v>30</v>
      </c>
      <c r="D763" s="72" t="s">
        <v>30</v>
      </c>
      <c r="E763" s="72" t="s">
        <v>30</v>
      </c>
      <c r="F763" s="72" t="s">
        <v>30</v>
      </c>
      <c r="G763" s="72" t="s">
        <v>30</v>
      </c>
      <c r="H763" s="72" t="s">
        <v>30</v>
      </c>
      <c r="I763" s="73" t="s">
        <v>30</v>
      </c>
      <c r="J763" s="72" t="s">
        <v>30</v>
      </c>
      <c r="K763" s="72" t="s">
        <v>30</v>
      </c>
      <c r="L763" s="72" t="s">
        <v>30</v>
      </c>
      <c r="M763" s="72" t="s">
        <v>30</v>
      </c>
      <c r="N763" s="72" t="s">
        <v>30</v>
      </c>
      <c r="O763" s="73" t="s">
        <v>30</v>
      </c>
      <c r="P763" s="72" t="s">
        <v>30</v>
      </c>
      <c r="Q763" s="72" t="s">
        <v>30</v>
      </c>
      <c r="R763" s="72" t="s">
        <v>30</v>
      </c>
      <c r="S763" s="72" t="s">
        <v>30</v>
      </c>
      <c r="T763" s="72" t="s">
        <v>30</v>
      </c>
      <c r="W763" s="31"/>
    </row>
    <row r="764">
      <c r="B764" s="72" t="s">
        <v>30</v>
      </c>
      <c r="C764" s="72" t="s">
        <v>30</v>
      </c>
      <c r="D764" s="72" t="s">
        <v>30</v>
      </c>
      <c r="E764" s="72" t="s">
        <v>30</v>
      </c>
      <c r="F764" s="72" t="s">
        <v>30</v>
      </c>
      <c r="G764" s="72" t="s">
        <v>30</v>
      </c>
      <c r="H764" s="72" t="s">
        <v>30</v>
      </c>
      <c r="I764" s="73" t="s">
        <v>30</v>
      </c>
      <c r="J764" s="72" t="s">
        <v>30</v>
      </c>
      <c r="K764" s="72" t="s">
        <v>30</v>
      </c>
      <c r="L764" s="72" t="s">
        <v>30</v>
      </c>
      <c r="M764" s="72" t="s">
        <v>30</v>
      </c>
      <c r="N764" s="72" t="s">
        <v>30</v>
      </c>
      <c r="O764" s="73" t="s">
        <v>30</v>
      </c>
      <c r="P764" s="72" t="s">
        <v>30</v>
      </c>
      <c r="Q764" s="72" t="s">
        <v>30</v>
      </c>
      <c r="R764" s="72" t="s">
        <v>30</v>
      </c>
      <c r="S764" s="72" t="s">
        <v>30</v>
      </c>
      <c r="T764" s="72" t="s">
        <v>30</v>
      </c>
      <c r="W764" s="31"/>
    </row>
    <row r="765">
      <c r="B765" s="72" t="s">
        <v>30</v>
      </c>
      <c r="C765" s="72" t="s">
        <v>30</v>
      </c>
      <c r="D765" s="72" t="s">
        <v>30</v>
      </c>
      <c r="E765" s="72" t="s">
        <v>30</v>
      </c>
      <c r="F765" s="72" t="s">
        <v>30</v>
      </c>
      <c r="G765" s="72" t="s">
        <v>30</v>
      </c>
      <c r="H765" s="72" t="s">
        <v>30</v>
      </c>
      <c r="I765" s="73" t="s">
        <v>30</v>
      </c>
      <c r="J765" s="72" t="s">
        <v>30</v>
      </c>
      <c r="K765" s="72" t="s">
        <v>30</v>
      </c>
      <c r="L765" s="72" t="s">
        <v>30</v>
      </c>
      <c r="M765" s="72" t="s">
        <v>30</v>
      </c>
      <c r="N765" s="72" t="s">
        <v>30</v>
      </c>
      <c r="O765" s="73" t="s">
        <v>30</v>
      </c>
      <c r="P765" s="72" t="s">
        <v>30</v>
      </c>
      <c r="Q765" s="72" t="s">
        <v>30</v>
      </c>
      <c r="R765" s="72" t="s">
        <v>30</v>
      </c>
      <c r="S765" s="72" t="s">
        <v>30</v>
      </c>
      <c r="T765" s="72" t="s">
        <v>30</v>
      </c>
      <c r="W765" s="31"/>
    </row>
    <row r="766">
      <c r="B766" s="72" t="s">
        <v>30</v>
      </c>
      <c r="C766" s="72" t="s">
        <v>30</v>
      </c>
      <c r="D766" s="72" t="s">
        <v>30</v>
      </c>
      <c r="E766" s="72" t="s">
        <v>30</v>
      </c>
      <c r="F766" s="72" t="s">
        <v>30</v>
      </c>
      <c r="G766" s="72" t="s">
        <v>30</v>
      </c>
      <c r="H766" s="72" t="s">
        <v>30</v>
      </c>
      <c r="I766" s="73" t="s">
        <v>30</v>
      </c>
      <c r="J766" s="72" t="s">
        <v>30</v>
      </c>
      <c r="K766" s="72" t="s">
        <v>30</v>
      </c>
      <c r="L766" s="72" t="s">
        <v>30</v>
      </c>
      <c r="M766" s="72" t="s">
        <v>30</v>
      </c>
      <c r="N766" s="72" t="s">
        <v>30</v>
      </c>
      <c r="O766" s="73" t="s">
        <v>30</v>
      </c>
      <c r="P766" s="72" t="s">
        <v>30</v>
      </c>
      <c r="Q766" s="72" t="s">
        <v>30</v>
      </c>
      <c r="R766" s="72" t="s">
        <v>30</v>
      </c>
      <c r="S766" s="72" t="s">
        <v>30</v>
      </c>
      <c r="T766" s="72" t="s">
        <v>30</v>
      </c>
      <c r="W766" s="31"/>
    </row>
    <row r="767">
      <c r="B767" s="72" t="s">
        <v>30</v>
      </c>
      <c r="C767" s="72" t="s">
        <v>30</v>
      </c>
      <c r="D767" s="72" t="s">
        <v>30</v>
      </c>
      <c r="E767" s="72" t="s">
        <v>30</v>
      </c>
      <c r="F767" s="72" t="s">
        <v>30</v>
      </c>
      <c r="G767" s="72" t="s">
        <v>30</v>
      </c>
      <c r="H767" s="72" t="s">
        <v>30</v>
      </c>
      <c r="I767" s="73" t="s">
        <v>30</v>
      </c>
      <c r="J767" s="72" t="s">
        <v>30</v>
      </c>
      <c r="K767" s="72" t="s">
        <v>30</v>
      </c>
      <c r="L767" s="72" t="s">
        <v>30</v>
      </c>
      <c r="M767" s="72" t="s">
        <v>30</v>
      </c>
      <c r="N767" s="72" t="s">
        <v>30</v>
      </c>
      <c r="O767" s="73" t="s">
        <v>30</v>
      </c>
      <c r="P767" s="72" t="s">
        <v>30</v>
      </c>
      <c r="Q767" s="72" t="s">
        <v>30</v>
      </c>
      <c r="R767" s="72" t="s">
        <v>30</v>
      </c>
      <c r="S767" s="72" t="s">
        <v>30</v>
      </c>
      <c r="T767" s="72" t="s">
        <v>30</v>
      </c>
      <c r="W767" s="31"/>
    </row>
    <row r="768">
      <c r="B768" s="72" t="s">
        <v>30</v>
      </c>
      <c r="C768" s="72" t="s">
        <v>30</v>
      </c>
      <c r="D768" s="72" t="s">
        <v>30</v>
      </c>
      <c r="E768" s="72" t="s">
        <v>30</v>
      </c>
      <c r="F768" s="72" t="s">
        <v>30</v>
      </c>
      <c r="G768" s="72" t="s">
        <v>30</v>
      </c>
      <c r="H768" s="72" t="s">
        <v>30</v>
      </c>
      <c r="I768" s="73" t="s">
        <v>30</v>
      </c>
      <c r="J768" s="72" t="s">
        <v>30</v>
      </c>
      <c r="K768" s="72" t="s">
        <v>30</v>
      </c>
      <c r="L768" s="72" t="s">
        <v>30</v>
      </c>
      <c r="M768" s="72" t="s">
        <v>30</v>
      </c>
      <c r="N768" s="72" t="s">
        <v>30</v>
      </c>
      <c r="O768" s="73" t="s">
        <v>30</v>
      </c>
      <c r="P768" s="72" t="s">
        <v>30</v>
      </c>
      <c r="Q768" s="72" t="s">
        <v>30</v>
      </c>
      <c r="R768" s="72" t="s">
        <v>30</v>
      </c>
      <c r="S768" s="72" t="s">
        <v>30</v>
      </c>
      <c r="T768" s="72" t="s">
        <v>30</v>
      </c>
      <c r="W768" s="31"/>
    </row>
    <row r="769">
      <c r="B769" s="72" t="s">
        <v>30</v>
      </c>
      <c r="C769" s="72" t="s">
        <v>30</v>
      </c>
      <c r="D769" s="72" t="s">
        <v>30</v>
      </c>
      <c r="E769" s="72" t="s">
        <v>30</v>
      </c>
      <c r="F769" s="72" t="s">
        <v>30</v>
      </c>
      <c r="G769" s="72" t="s">
        <v>30</v>
      </c>
      <c r="H769" s="72" t="s">
        <v>30</v>
      </c>
      <c r="I769" s="73" t="s">
        <v>30</v>
      </c>
      <c r="J769" s="72" t="s">
        <v>30</v>
      </c>
      <c r="K769" s="72" t="s">
        <v>30</v>
      </c>
      <c r="L769" s="72" t="s">
        <v>30</v>
      </c>
      <c r="M769" s="72" t="s">
        <v>30</v>
      </c>
      <c r="N769" s="72" t="s">
        <v>30</v>
      </c>
      <c r="O769" s="73" t="s">
        <v>30</v>
      </c>
      <c r="P769" s="72" t="s">
        <v>30</v>
      </c>
      <c r="Q769" s="72" t="s">
        <v>30</v>
      </c>
      <c r="R769" s="72" t="s">
        <v>30</v>
      </c>
      <c r="S769" s="72" t="s">
        <v>30</v>
      </c>
      <c r="T769" s="72" t="s">
        <v>30</v>
      </c>
      <c r="W769" s="31"/>
    </row>
    <row r="770">
      <c r="B770" s="72" t="s">
        <v>30</v>
      </c>
      <c r="C770" s="72" t="s">
        <v>30</v>
      </c>
      <c r="D770" s="72" t="s">
        <v>30</v>
      </c>
      <c r="E770" s="72" t="s">
        <v>30</v>
      </c>
      <c r="F770" s="72" t="s">
        <v>30</v>
      </c>
      <c r="G770" s="72" t="s">
        <v>30</v>
      </c>
      <c r="H770" s="72" t="s">
        <v>30</v>
      </c>
      <c r="I770" s="73" t="s">
        <v>30</v>
      </c>
      <c r="J770" s="72" t="s">
        <v>30</v>
      </c>
      <c r="K770" s="72" t="s">
        <v>30</v>
      </c>
      <c r="L770" s="72" t="s">
        <v>30</v>
      </c>
      <c r="M770" s="72" t="s">
        <v>30</v>
      </c>
      <c r="N770" s="72" t="s">
        <v>30</v>
      </c>
      <c r="O770" s="73" t="s">
        <v>30</v>
      </c>
      <c r="P770" s="72" t="s">
        <v>30</v>
      </c>
      <c r="Q770" s="72" t="s">
        <v>30</v>
      </c>
      <c r="R770" s="72" t="s">
        <v>30</v>
      </c>
      <c r="S770" s="72" t="s">
        <v>30</v>
      </c>
      <c r="T770" s="72" t="s">
        <v>30</v>
      </c>
      <c r="W770" s="31"/>
    </row>
    <row r="771">
      <c r="B771" s="72" t="s">
        <v>30</v>
      </c>
      <c r="C771" s="72" t="s">
        <v>30</v>
      </c>
      <c r="D771" s="72" t="s">
        <v>30</v>
      </c>
      <c r="E771" s="72" t="s">
        <v>30</v>
      </c>
      <c r="F771" s="72" t="s">
        <v>30</v>
      </c>
      <c r="G771" s="72" t="s">
        <v>30</v>
      </c>
      <c r="H771" s="72" t="s">
        <v>30</v>
      </c>
      <c r="I771" s="73" t="s">
        <v>30</v>
      </c>
      <c r="J771" s="72" t="s">
        <v>30</v>
      </c>
      <c r="K771" s="72" t="s">
        <v>30</v>
      </c>
      <c r="L771" s="72" t="s">
        <v>30</v>
      </c>
      <c r="M771" s="72" t="s">
        <v>30</v>
      </c>
      <c r="N771" s="72" t="s">
        <v>30</v>
      </c>
      <c r="O771" s="73" t="s">
        <v>30</v>
      </c>
      <c r="P771" s="72" t="s">
        <v>30</v>
      </c>
      <c r="Q771" s="72" t="s">
        <v>30</v>
      </c>
      <c r="R771" s="72" t="s">
        <v>30</v>
      </c>
      <c r="S771" s="72" t="s">
        <v>30</v>
      </c>
      <c r="T771" s="72" t="s">
        <v>30</v>
      </c>
      <c r="W771" s="31"/>
    </row>
    <row r="772">
      <c r="B772" s="72" t="s">
        <v>30</v>
      </c>
      <c r="C772" s="72" t="s">
        <v>30</v>
      </c>
      <c r="D772" s="72" t="s">
        <v>30</v>
      </c>
      <c r="E772" s="72" t="s">
        <v>30</v>
      </c>
      <c r="F772" s="72" t="s">
        <v>30</v>
      </c>
      <c r="G772" s="72" t="s">
        <v>30</v>
      </c>
      <c r="H772" s="72" t="s">
        <v>30</v>
      </c>
      <c r="I772" s="73" t="s">
        <v>30</v>
      </c>
      <c r="J772" s="72" t="s">
        <v>30</v>
      </c>
      <c r="K772" s="72" t="s">
        <v>30</v>
      </c>
      <c r="L772" s="72" t="s">
        <v>30</v>
      </c>
      <c r="M772" s="72" t="s">
        <v>30</v>
      </c>
      <c r="N772" s="72" t="s">
        <v>30</v>
      </c>
      <c r="O772" s="73" t="s">
        <v>30</v>
      </c>
      <c r="P772" s="72" t="s">
        <v>30</v>
      </c>
      <c r="Q772" s="72" t="s">
        <v>30</v>
      </c>
      <c r="R772" s="72" t="s">
        <v>30</v>
      </c>
      <c r="S772" s="72" t="s">
        <v>30</v>
      </c>
      <c r="T772" s="72" t="s">
        <v>30</v>
      </c>
      <c r="W772" s="31"/>
    </row>
    <row r="773">
      <c r="B773" s="72" t="s">
        <v>30</v>
      </c>
      <c r="C773" s="72" t="s">
        <v>30</v>
      </c>
      <c r="D773" s="72" t="s">
        <v>30</v>
      </c>
      <c r="E773" s="72" t="s">
        <v>30</v>
      </c>
      <c r="F773" s="72" t="s">
        <v>30</v>
      </c>
      <c r="G773" s="72" t="s">
        <v>30</v>
      </c>
      <c r="H773" s="72" t="s">
        <v>30</v>
      </c>
      <c r="I773" s="73" t="s">
        <v>30</v>
      </c>
      <c r="J773" s="72" t="s">
        <v>30</v>
      </c>
      <c r="K773" s="72" t="s">
        <v>30</v>
      </c>
      <c r="L773" s="72" t="s">
        <v>30</v>
      </c>
      <c r="M773" s="72" t="s">
        <v>30</v>
      </c>
      <c r="N773" s="72" t="s">
        <v>30</v>
      </c>
      <c r="O773" s="73" t="s">
        <v>30</v>
      </c>
      <c r="P773" s="72" t="s">
        <v>30</v>
      </c>
      <c r="Q773" s="72" t="s">
        <v>30</v>
      </c>
      <c r="R773" s="72" t="s">
        <v>30</v>
      </c>
      <c r="S773" s="72" t="s">
        <v>30</v>
      </c>
      <c r="T773" s="72" t="s">
        <v>30</v>
      </c>
      <c r="W773" s="31"/>
    </row>
    <row r="774">
      <c r="B774" s="72" t="s">
        <v>30</v>
      </c>
      <c r="C774" s="72" t="s">
        <v>30</v>
      </c>
      <c r="D774" s="72" t="s">
        <v>30</v>
      </c>
      <c r="E774" s="72" t="s">
        <v>30</v>
      </c>
      <c r="F774" s="72" t="s">
        <v>30</v>
      </c>
      <c r="G774" s="72" t="s">
        <v>30</v>
      </c>
      <c r="H774" s="72" t="s">
        <v>30</v>
      </c>
      <c r="I774" s="73" t="s">
        <v>30</v>
      </c>
      <c r="J774" s="72" t="s">
        <v>30</v>
      </c>
      <c r="K774" s="72" t="s">
        <v>30</v>
      </c>
      <c r="L774" s="72" t="s">
        <v>30</v>
      </c>
      <c r="M774" s="72" t="s">
        <v>30</v>
      </c>
      <c r="N774" s="72" t="s">
        <v>30</v>
      </c>
      <c r="O774" s="73" t="s">
        <v>30</v>
      </c>
      <c r="P774" s="72" t="s">
        <v>30</v>
      </c>
      <c r="Q774" s="72" t="s">
        <v>30</v>
      </c>
      <c r="R774" s="72" t="s">
        <v>30</v>
      </c>
      <c r="S774" s="72" t="s">
        <v>30</v>
      </c>
      <c r="T774" s="72" t="s">
        <v>30</v>
      </c>
      <c r="W774" s="31"/>
    </row>
    <row r="775">
      <c r="B775" s="72" t="s">
        <v>30</v>
      </c>
      <c r="C775" s="72" t="s">
        <v>30</v>
      </c>
      <c r="D775" s="72" t="s">
        <v>30</v>
      </c>
      <c r="E775" s="72" t="s">
        <v>30</v>
      </c>
      <c r="F775" s="72" t="s">
        <v>30</v>
      </c>
      <c r="G775" s="72" t="s">
        <v>30</v>
      </c>
      <c r="H775" s="72" t="s">
        <v>30</v>
      </c>
      <c r="I775" s="73" t="s">
        <v>30</v>
      </c>
      <c r="J775" s="72" t="s">
        <v>30</v>
      </c>
      <c r="K775" s="72" t="s">
        <v>30</v>
      </c>
      <c r="L775" s="72" t="s">
        <v>30</v>
      </c>
      <c r="M775" s="72" t="s">
        <v>30</v>
      </c>
      <c r="N775" s="72" t="s">
        <v>30</v>
      </c>
      <c r="O775" s="73" t="s">
        <v>30</v>
      </c>
      <c r="P775" s="72" t="s">
        <v>30</v>
      </c>
      <c r="Q775" s="72" t="s">
        <v>30</v>
      </c>
      <c r="R775" s="72" t="s">
        <v>30</v>
      </c>
      <c r="S775" s="72" t="s">
        <v>30</v>
      </c>
      <c r="T775" s="72" t="s">
        <v>30</v>
      </c>
      <c r="W775" s="31"/>
    </row>
    <row r="776">
      <c r="B776" s="72" t="s">
        <v>30</v>
      </c>
      <c r="C776" s="72" t="s">
        <v>30</v>
      </c>
      <c r="D776" s="72" t="s">
        <v>30</v>
      </c>
      <c r="E776" s="72" t="s">
        <v>30</v>
      </c>
      <c r="F776" s="72" t="s">
        <v>30</v>
      </c>
      <c r="G776" s="72" t="s">
        <v>30</v>
      </c>
      <c r="H776" s="72" t="s">
        <v>30</v>
      </c>
      <c r="I776" s="73" t="s">
        <v>30</v>
      </c>
      <c r="J776" s="72" t="s">
        <v>30</v>
      </c>
      <c r="K776" s="72" t="s">
        <v>30</v>
      </c>
      <c r="L776" s="72" t="s">
        <v>30</v>
      </c>
      <c r="M776" s="72" t="s">
        <v>30</v>
      </c>
      <c r="N776" s="72" t="s">
        <v>30</v>
      </c>
      <c r="O776" s="73" t="s">
        <v>30</v>
      </c>
      <c r="P776" s="72" t="s">
        <v>30</v>
      </c>
      <c r="Q776" s="72" t="s">
        <v>30</v>
      </c>
      <c r="R776" s="72" t="s">
        <v>30</v>
      </c>
      <c r="S776" s="72" t="s">
        <v>30</v>
      </c>
      <c r="T776" s="72" t="s">
        <v>30</v>
      </c>
      <c r="W776" s="31"/>
    </row>
    <row r="777">
      <c r="B777" s="72" t="s">
        <v>30</v>
      </c>
      <c r="C777" s="72" t="s">
        <v>30</v>
      </c>
      <c r="D777" s="72" t="s">
        <v>30</v>
      </c>
      <c r="E777" s="72" t="s">
        <v>30</v>
      </c>
      <c r="F777" s="72" t="s">
        <v>30</v>
      </c>
      <c r="G777" s="72" t="s">
        <v>30</v>
      </c>
      <c r="H777" s="72" t="s">
        <v>30</v>
      </c>
      <c r="I777" s="73" t="s">
        <v>30</v>
      </c>
      <c r="J777" s="72" t="s">
        <v>30</v>
      </c>
      <c r="K777" s="72" t="s">
        <v>30</v>
      </c>
      <c r="L777" s="72" t="s">
        <v>30</v>
      </c>
      <c r="M777" s="72" t="s">
        <v>30</v>
      </c>
      <c r="N777" s="72" t="s">
        <v>30</v>
      </c>
      <c r="O777" s="73" t="s">
        <v>30</v>
      </c>
      <c r="P777" s="72" t="s">
        <v>30</v>
      </c>
      <c r="Q777" s="72" t="s">
        <v>30</v>
      </c>
      <c r="R777" s="72" t="s">
        <v>30</v>
      </c>
      <c r="S777" s="72" t="s">
        <v>30</v>
      </c>
      <c r="T777" s="72" t="s">
        <v>30</v>
      </c>
      <c r="W777" s="31"/>
    </row>
    <row r="778">
      <c r="B778" s="72" t="s">
        <v>30</v>
      </c>
      <c r="C778" s="72" t="s">
        <v>30</v>
      </c>
      <c r="D778" s="72" t="s">
        <v>30</v>
      </c>
      <c r="E778" s="72" t="s">
        <v>30</v>
      </c>
      <c r="F778" s="72" t="s">
        <v>30</v>
      </c>
      <c r="G778" s="72" t="s">
        <v>30</v>
      </c>
      <c r="H778" s="72" t="s">
        <v>30</v>
      </c>
      <c r="I778" s="73" t="s">
        <v>30</v>
      </c>
      <c r="J778" s="72" t="s">
        <v>30</v>
      </c>
      <c r="K778" s="72" t="s">
        <v>30</v>
      </c>
      <c r="L778" s="72" t="s">
        <v>30</v>
      </c>
      <c r="M778" s="72" t="s">
        <v>30</v>
      </c>
      <c r="N778" s="72" t="s">
        <v>30</v>
      </c>
      <c r="O778" s="73" t="s">
        <v>30</v>
      </c>
      <c r="P778" s="72" t="s">
        <v>30</v>
      </c>
      <c r="Q778" s="72" t="s">
        <v>30</v>
      </c>
      <c r="R778" s="72" t="s">
        <v>30</v>
      </c>
      <c r="S778" s="72" t="s">
        <v>30</v>
      </c>
      <c r="T778" s="72" t="s">
        <v>30</v>
      </c>
      <c r="W778" s="31"/>
    </row>
    <row r="779">
      <c r="B779" s="72" t="s">
        <v>30</v>
      </c>
      <c r="C779" s="72" t="s">
        <v>30</v>
      </c>
      <c r="D779" s="72" t="s">
        <v>30</v>
      </c>
      <c r="E779" s="72" t="s">
        <v>30</v>
      </c>
      <c r="F779" s="72" t="s">
        <v>30</v>
      </c>
      <c r="G779" s="72" t="s">
        <v>30</v>
      </c>
      <c r="H779" s="72" t="s">
        <v>30</v>
      </c>
      <c r="I779" s="73" t="s">
        <v>30</v>
      </c>
      <c r="J779" s="72" t="s">
        <v>30</v>
      </c>
      <c r="K779" s="72" t="s">
        <v>30</v>
      </c>
      <c r="L779" s="72" t="s">
        <v>30</v>
      </c>
      <c r="M779" s="72" t="s">
        <v>30</v>
      </c>
      <c r="N779" s="72" t="s">
        <v>30</v>
      </c>
      <c r="O779" s="73" t="s">
        <v>30</v>
      </c>
      <c r="P779" s="72" t="s">
        <v>30</v>
      </c>
      <c r="Q779" s="72" t="s">
        <v>30</v>
      </c>
      <c r="R779" s="72" t="s">
        <v>30</v>
      </c>
      <c r="S779" s="72" t="s">
        <v>30</v>
      </c>
      <c r="T779" s="72" t="s">
        <v>30</v>
      </c>
      <c r="W779" s="31"/>
    </row>
    <row r="780">
      <c r="B780" s="72" t="s">
        <v>30</v>
      </c>
      <c r="C780" s="72" t="s">
        <v>30</v>
      </c>
      <c r="D780" s="72" t="s">
        <v>30</v>
      </c>
      <c r="E780" s="72" t="s">
        <v>30</v>
      </c>
      <c r="F780" s="72" t="s">
        <v>30</v>
      </c>
      <c r="G780" s="72" t="s">
        <v>30</v>
      </c>
      <c r="H780" s="72" t="s">
        <v>30</v>
      </c>
      <c r="I780" s="73" t="s">
        <v>30</v>
      </c>
      <c r="J780" s="72" t="s">
        <v>30</v>
      </c>
      <c r="K780" s="72" t="s">
        <v>30</v>
      </c>
      <c r="L780" s="72" t="s">
        <v>30</v>
      </c>
      <c r="M780" s="72" t="s">
        <v>30</v>
      </c>
      <c r="N780" s="72" t="s">
        <v>30</v>
      </c>
      <c r="O780" s="73" t="s">
        <v>30</v>
      </c>
      <c r="P780" s="72" t="s">
        <v>30</v>
      </c>
      <c r="Q780" s="72" t="s">
        <v>30</v>
      </c>
      <c r="R780" s="72" t="s">
        <v>30</v>
      </c>
      <c r="S780" s="72" t="s">
        <v>30</v>
      </c>
      <c r="T780" s="72" t="s">
        <v>30</v>
      </c>
      <c r="W780" s="31"/>
    </row>
    <row r="781">
      <c r="B781" s="72" t="s">
        <v>30</v>
      </c>
      <c r="C781" s="72" t="s">
        <v>30</v>
      </c>
      <c r="D781" s="72" t="s">
        <v>30</v>
      </c>
      <c r="E781" s="72" t="s">
        <v>30</v>
      </c>
      <c r="F781" s="72" t="s">
        <v>30</v>
      </c>
      <c r="G781" s="72" t="s">
        <v>30</v>
      </c>
      <c r="H781" s="72" t="s">
        <v>30</v>
      </c>
      <c r="I781" s="73" t="s">
        <v>30</v>
      </c>
      <c r="J781" s="72" t="s">
        <v>30</v>
      </c>
      <c r="K781" s="72" t="s">
        <v>30</v>
      </c>
      <c r="L781" s="72" t="s">
        <v>30</v>
      </c>
      <c r="M781" s="72" t="s">
        <v>30</v>
      </c>
      <c r="N781" s="72" t="s">
        <v>30</v>
      </c>
      <c r="O781" s="73" t="s">
        <v>30</v>
      </c>
      <c r="P781" s="72" t="s">
        <v>30</v>
      </c>
      <c r="Q781" s="72" t="s">
        <v>30</v>
      </c>
      <c r="R781" s="72" t="s">
        <v>30</v>
      </c>
      <c r="S781" s="72" t="s">
        <v>30</v>
      </c>
      <c r="T781" s="72" t="s">
        <v>30</v>
      </c>
      <c r="W781" s="31"/>
    </row>
    <row r="782">
      <c r="B782" s="72" t="s">
        <v>30</v>
      </c>
      <c r="C782" s="72" t="s">
        <v>30</v>
      </c>
      <c r="D782" s="72" t="s">
        <v>30</v>
      </c>
      <c r="E782" s="72" t="s">
        <v>30</v>
      </c>
      <c r="F782" s="72" t="s">
        <v>30</v>
      </c>
      <c r="G782" s="72" t="s">
        <v>30</v>
      </c>
      <c r="H782" s="72" t="s">
        <v>30</v>
      </c>
      <c r="I782" s="73" t="s">
        <v>30</v>
      </c>
      <c r="J782" s="72" t="s">
        <v>30</v>
      </c>
      <c r="K782" s="72" t="s">
        <v>30</v>
      </c>
      <c r="L782" s="72" t="s">
        <v>30</v>
      </c>
      <c r="M782" s="72" t="s">
        <v>30</v>
      </c>
      <c r="N782" s="72" t="s">
        <v>30</v>
      </c>
      <c r="O782" s="73" t="s">
        <v>30</v>
      </c>
      <c r="P782" s="72" t="s">
        <v>30</v>
      </c>
      <c r="Q782" s="72" t="s">
        <v>30</v>
      </c>
      <c r="R782" s="72" t="s">
        <v>30</v>
      </c>
      <c r="S782" s="72" t="s">
        <v>30</v>
      </c>
      <c r="T782" s="72" t="s">
        <v>30</v>
      </c>
      <c r="W782" s="31"/>
    </row>
    <row r="783">
      <c r="B783" s="72" t="s">
        <v>30</v>
      </c>
      <c r="C783" s="72" t="s">
        <v>30</v>
      </c>
      <c r="D783" s="72" t="s">
        <v>30</v>
      </c>
      <c r="E783" s="72" t="s">
        <v>30</v>
      </c>
      <c r="F783" s="72" t="s">
        <v>30</v>
      </c>
      <c r="G783" s="72" t="s">
        <v>30</v>
      </c>
      <c r="H783" s="72" t="s">
        <v>30</v>
      </c>
      <c r="I783" s="73" t="s">
        <v>30</v>
      </c>
      <c r="J783" s="72" t="s">
        <v>30</v>
      </c>
      <c r="K783" s="72" t="s">
        <v>30</v>
      </c>
      <c r="L783" s="72" t="s">
        <v>30</v>
      </c>
      <c r="M783" s="72" t="s">
        <v>30</v>
      </c>
      <c r="N783" s="72" t="s">
        <v>30</v>
      </c>
      <c r="O783" s="73" t="s">
        <v>30</v>
      </c>
      <c r="P783" s="72" t="s">
        <v>30</v>
      </c>
      <c r="Q783" s="72" t="s">
        <v>30</v>
      </c>
      <c r="R783" s="72" t="s">
        <v>30</v>
      </c>
      <c r="S783" s="72" t="s">
        <v>30</v>
      </c>
      <c r="T783" s="72" t="s">
        <v>30</v>
      </c>
      <c r="W783" s="31"/>
    </row>
    <row r="784">
      <c r="B784" s="72" t="s">
        <v>30</v>
      </c>
      <c r="C784" s="72" t="s">
        <v>30</v>
      </c>
      <c r="D784" s="72" t="s">
        <v>30</v>
      </c>
      <c r="E784" s="72" t="s">
        <v>30</v>
      </c>
      <c r="F784" s="72" t="s">
        <v>30</v>
      </c>
      <c r="G784" s="72" t="s">
        <v>30</v>
      </c>
      <c r="H784" s="72" t="s">
        <v>30</v>
      </c>
      <c r="I784" s="73" t="s">
        <v>30</v>
      </c>
      <c r="J784" s="72" t="s">
        <v>30</v>
      </c>
      <c r="K784" s="72" t="s">
        <v>30</v>
      </c>
      <c r="L784" s="72" t="s">
        <v>30</v>
      </c>
      <c r="M784" s="72" t="s">
        <v>30</v>
      </c>
      <c r="N784" s="72" t="s">
        <v>30</v>
      </c>
      <c r="O784" s="73" t="s">
        <v>30</v>
      </c>
      <c r="P784" s="72" t="s">
        <v>30</v>
      </c>
      <c r="Q784" s="72" t="s">
        <v>30</v>
      </c>
      <c r="R784" s="72" t="s">
        <v>30</v>
      </c>
      <c r="S784" s="72" t="s">
        <v>30</v>
      </c>
      <c r="T784" s="72" t="s">
        <v>30</v>
      </c>
      <c r="W784" s="31"/>
    </row>
    <row r="785">
      <c r="B785" s="72" t="s">
        <v>30</v>
      </c>
      <c r="C785" s="72" t="s">
        <v>30</v>
      </c>
      <c r="D785" s="72" t="s">
        <v>30</v>
      </c>
      <c r="E785" s="72" t="s">
        <v>30</v>
      </c>
      <c r="F785" s="72" t="s">
        <v>30</v>
      </c>
      <c r="G785" s="72" t="s">
        <v>30</v>
      </c>
      <c r="H785" s="72" t="s">
        <v>30</v>
      </c>
      <c r="I785" s="73" t="s">
        <v>30</v>
      </c>
      <c r="J785" s="72" t="s">
        <v>30</v>
      </c>
      <c r="K785" s="72" t="s">
        <v>30</v>
      </c>
      <c r="L785" s="72" t="s">
        <v>30</v>
      </c>
      <c r="M785" s="72" t="s">
        <v>30</v>
      </c>
      <c r="N785" s="72" t="s">
        <v>30</v>
      </c>
      <c r="O785" s="73" t="s">
        <v>30</v>
      </c>
      <c r="P785" s="72" t="s">
        <v>30</v>
      </c>
      <c r="Q785" s="72" t="s">
        <v>30</v>
      </c>
      <c r="R785" s="72" t="s">
        <v>30</v>
      </c>
      <c r="S785" s="72" t="s">
        <v>30</v>
      </c>
      <c r="T785" s="72" t="s">
        <v>30</v>
      </c>
      <c r="W785" s="31"/>
    </row>
    <row r="786">
      <c r="B786" s="72" t="s">
        <v>30</v>
      </c>
      <c r="C786" s="72" t="s">
        <v>30</v>
      </c>
      <c r="D786" s="72" t="s">
        <v>30</v>
      </c>
      <c r="E786" s="72" t="s">
        <v>30</v>
      </c>
      <c r="F786" s="72" t="s">
        <v>30</v>
      </c>
      <c r="G786" s="72" t="s">
        <v>30</v>
      </c>
      <c r="H786" s="72" t="s">
        <v>30</v>
      </c>
      <c r="I786" s="73" t="s">
        <v>30</v>
      </c>
      <c r="J786" s="72" t="s">
        <v>30</v>
      </c>
      <c r="K786" s="72" t="s">
        <v>30</v>
      </c>
      <c r="L786" s="72" t="s">
        <v>30</v>
      </c>
      <c r="M786" s="72" t="s">
        <v>30</v>
      </c>
      <c r="N786" s="72" t="s">
        <v>30</v>
      </c>
      <c r="O786" s="73" t="s">
        <v>30</v>
      </c>
      <c r="P786" s="72" t="s">
        <v>30</v>
      </c>
      <c r="Q786" s="72" t="s">
        <v>30</v>
      </c>
      <c r="R786" s="72" t="s">
        <v>30</v>
      </c>
      <c r="S786" s="72" t="s">
        <v>30</v>
      </c>
      <c r="T786" s="72" t="s">
        <v>30</v>
      </c>
      <c r="W786" s="31"/>
    </row>
    <row r="787">
      <c r="B787" s="72" t="s">
        <v>30</v>
      </c>
      <c r="C787" s="72" t="s">
        <v>30</v>
      </c>
      <c r="D787" s="72" t="s">
        <v>30</v>
      </c>
      <c r="E787" s="72" t="s">
        <v>30</v>
      </c>
      <c r="F787" s="72" t="s">
        <v>30</v>
      </c>
      <c r="G787" s="72" t="s">
        <v>30</v>
      </c>
      <c r="H787" s="72" t="s">
        <v>30</v>
      </c>
      <c r="I787" s="73" t="s">
        <v>30</v>
      </c>
      <c r="J787" s="72" t="s">
        <v>30</v>
      </c>
      <c r="K787" s="72" t="s">
        <v>30</v>
      </c>
      <c r="L787" s="72" t="s">
        <v>30</v>
      </c>
      <c r="M787" s="72" t="s">
        <v>30</v>
      </c>
      <c r="N787" s="72" t="s">
        <v>30</v>
      </c>
      <c r="O787" s="73" t="s">
        <v>30</v>
      </c>
      <c r="P787" s="72" t="s">
        <v>30</v>
      </c>
      <c r="Q787" s="72" t="s">
        <v>30</v>
      </c>
      <c r="R787" s="72" t="s">
        <v>30</v>
      </c>
      <c r="S787" s="72" t="s">
        <v>30</v>
      </c>
      <c r="T787" s="72" t="s">
        <v>30</v>
      </c>
      <c r="W787" s="31"/>
    </row>
    <row r="788">
      <c r="B788" s="72" t="s">
        <v>30</v>
      </c>
      <c r="C788" s="72" t="s">
        <v>30</v>
      </c>
      <c r="D788" s="72" t="s">
        <v>30</v>
      </c>
      <c r="E788" s="72" t="s">
        <v>30</v>
      </c>
      <c r="F788" s="72" t="s">
        <v>30</v>
      </c>
      <c r="G788" s="72" t="s">
        <v>30</v>
      </c>
      <c r="H788" s="72" t="s">
        <v>30</v>
      </c>
      <c r="I788" s="73" t="s">
        <v>30</v>
      </c>
      <c r="J788" s="72" t="s">
        <v>30</v>
      </c>
      <c r="K788" s="72" t="s">
        <v>30</v>
      </c>
      <c r="L788" s="72" t="s">
        <v>30</v>
      </c>
      <c r="M788" s="72" t="s">
        <v>30</v>
      </c>
      <c r="N788" s="72" t="s">
        <v>30</v>
      </c>
      <c r="O788" s="73" t="s">
        <v>30</v>
      </c>
      <c r="P788" s="72" t="s">
        <v>30</v>
      </c>
      <c r="Q788" s="72" t="s">
        <v>30</v>
      </c>
      <c r="R788" s="72" t="s">
        <v>30</v>
      </c>
      <c r="S788" s="72" t="s">
        <v>30</v>
      </c>
      <c r="T788" s="72" t="s">
        <v>30</v>
      </c>
      <c r="W788" s="31"/>
    </row>
    <row r="789">
      <c r="B789" s="72" t="s">
        <v>30</v>
      </c>
      <c r="C789" s="72" t="s">
        <v>30</v>
      </c>
      <c r="D789" s="72" t="s">
        <v>30</v>
      </c>
      <c r="E789" s="72" t="s">
        <v>30</v>
      </c>
      <c r="F789" s="72" t="s">
        <v>30</v>
      </c>
      <c r="G789" s="72" t="s">
        <v>30</v>
      </c>
      <c r="H789" s="72" t="s">
        <v>30</v>
      </c>
      <c r="I789" s="73" t="s">
        <v>30</v>
      </c>
      <c r="J789" s="72" t="s">
        <v>30</v>
      </c>
      <c r="K789" s="72" t="s">
        <v>30</v>
      </c>
      <c r="L789" s="72" t="s">
        <v>30</v>
      </c>
      <c r="M789" s="72" t="s">
        <v>30</v>
      </c>
      <c r="N789" s="72" t="s">
        <v>30</v>
      </c>
      <c r="O789" s="73" t="s">
        <v>30</v>
      </c>
      <c r="P789" s="72" t="s">
        <v>30</v>
      </c>
      <c r="Q789" s="72" t="s">
        <v>30</v>
      </c>
      <c r="R789" s="72" t="s">
        <v>30</v>
      </c>
      <c r="S789" s="72" t="s">
        <v>30</v>
      </c>
      <c r="T789" s="72" t="s">
        <v>30</v>
      </c>
      <c r="W789" s="31"/>
    </row>
    <row r="790">
      <c r="B790" s="72" t="s">
        <v>30</v>
      </c>
      <c r="C790" s="72" t="s">
        <v>30</v>
      </c>
      <c r="D790" s="72" t="s">
        <v>30</v>
      </c>
      <c r="E790" s="72" t="s">
        <v>30</v>
      </c>
      <c r="F790" s="72" t="s">
        <v>30</v>
      </c>
      <c r="G790" s="72" t="s">
        <v>30</v>
      </c>
      <c r="H790" s="72" t="s">
        <v>30</v>
      </c>
      <c r="I790" s="73" t="s">
        <v>30</v>
      </c>
      <c r="J790" s="72" t="s">
        <v>30</v>
      </c>
      <c r="K790" s="72" t="s">
        <v>30</v>
      </c>
      <c r="L790" s="72" t="s">
        <v>30</v>
      </c>
      <c r="M790" s="72" t="s">
        <v>30</v>
      </c>
      <c r="N790" s="72" t="s">
        <v>30</v>
      </c>
      <c r="O790" s="73" t="s">
        <v>30</v>
      </c>
      <c r="P790" s="72" t="s">
        <v>30</v>
      </c>
      <c r="Q790" s="72" t="s">
        <v>30</v>
      </c>
      <c r="R790" s="72" t="s">
        <v>30</v>
      </c>
      <c r="S790" s="72" t="s">
        <v>30</v>
      </c>
      <c r="T790" s="72" t="s">
        <v>30</v>
      </c>
      <c r="W790" s="31"/>
    </row>
    <row r="791">
      <c r="B791" s="72" t="s">
        <v>30</v>
      </c>
      <c r="C791" s="72" t="s">
        <v>30</v>
      </c>
      <c r="D791" s="72" t="s">
        <v>30</v>
      </c>
      <c r="E791" s="72" t="s">
        <v>30</v>
      </c>
      <c r="F791" s="72" t="s">
        <v>30</v>
      </c>
      <c r="G791" s="72" t="s">
        <v>30</v>
      </c>
      <c r="H791" s="72" t="s">
        <v>30</v>
      </c>
      <c r="I791" s="73" t="s">
        <v>30</v>
      </c>
      <c r="J791" s="72" t="s">
        <v>30</v>
      </c>
      <c r="K791" s="72" t="s">
        <v>30</v>
      </c>
      <c r="L791" s="72" t="s">
        <v>30</v>
      </c>
      <c r="M791" s="72" t="s">
        <v>30</v>
      </c>
      <c r="N791" s="72" t="s">
        <v>30</v>
      </c>
      <c r="O791" s="73" t="s">
        <v>30</v>
      </c>
      <c r="P791" s="72" t="s">
        <v>30</v>
      </c>
      <c r="Q791" s="72" t="s">
        <v>30</v>
      </c>
      <c r="R791" s="72" t="s">
        <v>30</v>
      </c>
      <c r="S791" s="72" t="s">
        <v>30</v>
      </c>
      <c r="T791" s="72" t="s">
        <v>30</v>
      </c>
      <c r="W791" s="31"/>
    </row>
    <row r="792">
      <c r="B792" s="72" t="s">
        <v>30</v>
      </c>
      <c r="C792" s="72" t="s">
        <v>30</v>
      </c>
      <c r="D792" s="72" t="s">
        <v>30</v>
      </c>
      <c r="E792" s="72" t="s">
        <v>30</v>
      </c>
      <c r="F792" s="72" t="s">
        <v>30</v>
      </c>
      <c r="G792" s="72" t="s">
        <v>30</v>
      </c>
      <c r="H792" s="72" t="s">
        <v>30</v>
      </c>
      <c r="I792" s="73" t="s">
        <v>30</v>
      </c>
      <c r="J792" s="72" t="s">
        <v>30</v>
      </c>
      <c r="K792" s="72" t="s">
        <v>30</v>
      </c>
      <c r="L792" s="72" t="s">
        <v>30</v>
      </c>
      <c r="M792" s="72" t="s">
        <v>30</v>
      </c>
      <c r="N792" s="72" t="s">
        <v>30</v>
      </c>
      <c r="O792" s="73" t="s">
        <v>30</v>
      </c>
      <c r="P792" s="72" t="s">
        <v>30</v>
      </c>
      <c r="Q792" s="72" t="s">
        <v>30</v>
      </c>
      <c r="R792" s="72" t="s">
        <v>30</v>
      </c>
      <c r="S792" s="72" t="s">
        <v>30</v>
      </c>
      <c r="T792" s="72" t="s">
        <v>30</v>
      </c>
      <c r="W792" s="31"/>
    </row>
    <row r="793">
      <c r="B793" s="72" t="s">
        <v>30</v>
      </c>
      <c r="C793" s="72" t="s">
        <v>30</v>
      </c>
      <c r="D793" s="72" t="s">
        <v>30</v>
      </c>
      <c r="E793" s="72" t="s">
        <v>30</v>
      </c>
      <c r="F793" s="72" t="s">
        <v>30</v>
      </c>
      <c r="G793" s="72" t="s">
        <v>30</v>
      </c>
      <c r="H793" s="72" t="s">
        <v>30</v>
      </c>
      <c r="I793" s="73" t="s">
        <v>30</v>
      </c>
      <c r="J793" s="72" t="s">
        <v>30</v>
      </c>
      <c r="K793" s="72" t="s">
        <v>30</v>
      </c>
      <c r="L793" s="72" t="s">
        <v>30</v>
      </c>
      <c r="M793" s="72" t="s">
        <v>30</v>
      </c>
      <c r="N793" s="72" t="s">
        <v>30</v>
      </c>
      <c r="O793" s="73" t="s">
        <v>30</v>
      </c>
      <c r="P793" s="72" t="s">
        <v>30</v>
      </c>
      <c r="Q793" s="72" t="s">
        <v>30</v>
      </c>
      <c r="R793" s="72" t="s">
        <v>30</v>
      </c>
      <c r="S793" s="72" t="s">
        <v>30</v>
      </c>
      <c r="T793" s="72" t="s">
        <v>30</v>
      </c>
      <c r="W793" s="31"/>
    </row>
    <row r="794">
      <c r="B794" s="72" t="s">
        <v>30</v>
      </c>
      <c r="C794" s="72" t="s">
        <v>30</v>
      </c>
      <c r="D794" s="72" t="s">
        <v>30</v>
      </c>
      <c r="E794" s="72" t="s">
        <v>30</v>
      </c>
      <c r="F794" s="72" t="s">
        <v>30</v>
      </c>
      <c r="G794" s="72" t="s">
        <v>30</v>
      </c>
      <c r="H794" s="72" t="s">
        <v>30</v>
      </c>
      <c r="I794" s="73" t="s">
        <v>30</v>
      </c>
      <c r="J794" s="72" t="s">
        <v>30</v>
      </c>
      <c r="K794" s="72" t="s">
        <v>30</v>
      </c>
      <c r="L794" s="72" t="s">
        <v>30</v>
      </c>
      <c r="M794" s="72" t="s">
        <v>30</v>
      </c>
      <c r="N794" s="72" t="s">
        <v>30</v>
      </c>
      <c r="O794" s="73" t="s">
        <v>30</v>
      </c>
      <c r="P794" s="72" t="s">
        <v>30</v>
      </c>
      <c r="Q794" s="72" t="s">
        <v>30</v>
      </c>
      <c r="R794" s="72" t="s">
        <v>30</v>
      </c>
      <c r="S794" s="72" t="s">
        <v>30</v>
      </c>
      <c r="T794" s="72" t="s">
        <v>30</v>
      </c>
      <c r="W794" s="31"/>
    </row>
    <row r="795">
      <c r="B795" s="72" t="s">
        <v>30</v>
      </c>
      <c r="C795" s="72" t="s">
        <v>30</v>
      </c>
      <c r="D795" s="72" t="s">
        <v>30</v>
      </c>
      <c r="E795" s="72" t="s">
        <v>30</v>
      </c>
      <c r="F795" s="72" t="s">
        <v>30</v>
      </c>
      <c r="G795" s="72" t="s">
        <v>30</v>
      </c>
      <c r="H795" s="72" t="s">
        <v>30</v>
      </c>
      <c r="I795" s="73" t="s">
        <v>30</v>
      </c>
      <c r="J795" s="72" t="s">
        <v>30</v>
      </c>
      <c r="K795" s="72" t="s">
        <v>30</v>
      </c>
      <c r="L795" s="72" t="s">
        <v>30</v>
      </c>
      <c r="M795" s="72" t="s">
        <v>30</v>
      </c>
      <c r="N795" s="72" t="s">
        <v>30</v>
      </c>
      <c r="O795" s="73" t="s">
        <v>30</v>
      </c>
      <c r="P795" s="72" t="s">
        <v>30</v>
      </c>
      <c r="Q795" s="72" t="s">
        <v>30</v>
      </c>
      <c r="R795" s="72" t="s">
        <v>30</v>
      </c>
      <c r="S795" s="72" t="s">
        <v>30</v>
      </c>
      <c r="T795" s="72" t="s">
        <v>30</v>
      </c>
      <c r="W795" s="31"/>
    </row>
    <row r="796">
      <c r="B796" s="72" t="s">
        <v>30</v>
      </c>
      <c r="C796" s="72" t="s">
        <v>30</v>
      </c>
      <c r="D796" s="72" t="s">
        <v>30</v>
      </c>
      <c r="E796" s="72" t="s">
        <v>30</v>
      </c>
      <c r="F796" s="72" t="s">
        <v>30</v>
      </c>
      <c r="G796" s="72" t="s">
        <v>30</v>
      </c>
      <c r="H796" s="72" t="s">
        <v>30</v>
      </c>
      <c r="I796" s="73" t="s">
        <v>30</v>
      </c>
      <c r="J796" s="72" t="s">
        <v>30</v>
      </c>
      <c r="K796" s="72" t="s">
        <v>30</v>
      </c>
      <c r="L796" s="72" t="s">
        <v>30</v>
      </c>
      <c r="M796" s="72" t="s">
        <v>30</v>
      </c>
      <c r="N796" s="72" t="s">
        <v>30</v>
      </c>
      <c r="O796" s="73" t="s">
        <v>30</v>
      </c>
      <c r="P796" s="72" t="s">
        <v>30</v>
      </c>
      <c r="Q796" s="72" t="s">
        <v>30</v>
      </c>
      <c r="R796" s="72" t="s">
        <v>30</v>
      </c>
      <c r="S796" s="72" t="s">
        <v>30</v>
      </c>
      <c r="T796" s="72" t="s">
        <v>30</v>
      </c>
      <c r="W796" s="31"/>
    </row>
    <row r="797">
      <c r="B797" s="72" t="s">
        <v>30</v>
      </c>
      <c r="C797" s="72" t="s">
        <v>30</v>
      </c>
      <c r="D797" s="72" t="s">
        <v>30</v>
      </c>
      <c r="E797" s="72" t="s">
        <v>30</v>
      </c>
      <c r="F797" s="72" t="s">
        <v>30</v>
      </c>
      <c r="G797" s="72" t="s">
        <v>30</v>
      </c>
      <c r="H797" s="72" t="s">
        <v>30</v>
      </c>
      <c r="I797" s="73" t="s">
        <v>30</v>
      </c>
      <c r="J797" s="72" t="s">
        <v>30</v>
      </c>
      <c r="K797" s="72" t="s">
        <v>30</v>
      </c>
      <c r="L797" s="72" t="s">
        <v>30</v>
      </c>
      <c r="M797" s="72" t="s">
        <v>30</v>
      </c>
      <c r="N797" s="72" t="s">
        <v>30</v>
      </c>
      <c r="O797" s="73" t="s">
        <v>30</v>
      </c>
      <c r="P797" s="72" t="s">
        <v>30</v>
      </c>
      <c r="Q797" s="72" t="s">
        <v>30</v>
      </c>
      <c r="R797" s="72" t="s">
        <v>30</v>
      </c>
      <c r="S797" s="72" t="s">
        <v>30</v>
      </c>
      <c r="T797" s="72" t="s">
        <v>30</v>
      </c>
      <c r="W797" s="31"/>
    </row>
    <row r="798">
      <c r="B798" s="72" t="s">
        <v>30</v>
      </c>
      <c r="C798" s="72" t="s">
        <v>30</v>
      </c>
      <c r="D798" s="72" t="s">
        <v>30</v>
      </c>
      <c r="E798" s="72" t="s">
        <v>30</v>
      </c>
      <c r="F798" s="72" t="s">
        <v>30</v>
      </c>
      <c r="G798" s="72" t="s">
        <v>30</v>
      </c>
      <c r="H798" s="72" t="s">
        <v>30</v>
      </c>
      <c r="I798" s="73" t="s">
        <v>30</v>
      </c>
      <c r="J798" s="72" t="s">
        <v>30</v>
      </c>
      <c r="K798" s="72" t="s">
        <v>30</v>
      </c>
      <c r="L798" s="72" t="s">
        <v>30</v>
      </c>
      <c r="M798" s="72" t="s">
        <v>30</v>
      </c>
      <c r="N798" s="72" t="s">
        <v>30</v>
      </c>
      <c r="O798" s="73" t="s">
        <v>30</v>
      </c>
      <c r="P798" s="72" t="s">
        <v>30</v>
      </c>
      <c r="Q798" s="72" t="s">
        <v>30</v>
      </c>
      <c r="R798" s="72" t="s">
        <v>30</v>
      </c>
      <c r="S798" s="72" t="s">
        <v>30</v>
      </c>
      <c r="T798" s="72" t="s">
        <v>30</v>
      </c>
      <c r="W798" s="31"/>
    </row>
    <row r="799">
      <c r="B799" s="72" t="s">
        <v>30</v>
      </c>
      <c r="C799" s="72" t="s">
        <v>30</v>
      </c>
      <c r="D799" s="72" t="s">
        <v>30</v>
      </c>
      <c r="E799" s="72" t="s">
        <v>30</v>
      </c>
      <c r="F799" s="72" t="s">
        <v>30</v>
      </c>
      <c r="G799" s="72" t="s">
        <v>30</v>
      </c>
      <c r="H799" s="72" t="s">
        <v>30</v>
      </c>
      <c r="I799" s="73" t="s">
        <v>30</v>
      </c>
      <c r="J799" s="72" t="s">
        <v>30</v>
      </c>
      <c r="K799" s="72" t="s">
        <v>30</v>
      </c>
      <c r="L799" s="72" t="s">
        <v>30</v>
      </c>
      <c r="M799" s="72" t="s">
        <v>30</v>
      </c>
      <c r="N799" s="72" t="s">
        <v>30</v>
      </c>
      <c r="O799" s="73" t="s">
        <v>30</v>
      </c>
      <c r="P799" s="72" t="s">
        <v>30</v>
      </c>
      <c r="Q799" s="72" t="s">
        <v>30</v>
      </c>
      <c r="R799" s="72" t="s">
        <v>30</v>
      </c>
      <c r="S799" s="72" t="s">
        <v>30</v>
      </c>
      <c r="T799" s="72" t="s">
        <v>30</v>
      </c>
      <c r="W799" s="31"/>
    </row>
    <row r="800">
      <c r="B800" s="72" t="s">
        <v>30</v>
      </c>
      <c r="C800" s="72" t="s">
        <v>30</v>
      </c>
      <c r="D800" s="72" t="s">
        <v>30</v>
      </c>
      <c r="E800" s="72" t="s">
        <v>30</v>
      </c>
      <c r="F800" s="72" t="s">
        <v>30</v>
      </c>
      <c r="G800" s="72" t="s">
        <v>30</v>
      </c>
      <c r="H800" s="72" t="s">
        <v>30</v>
      </c>
      <c r="I800" s="73" t="s">
        <v>30</v>
      </c>
      <c r="J800" s="72" t="s">
        <v>30</v>
      </c>
      <c r="K800" s="72" t="s">
        <v>30</v>
      </c>
      <c r="L800" s="72" t="s">
        <v>30</v>
      </c>
      <c r="M800" s="72" t="s">
        <v>30</v>
      </c>
      <c r="N800" s="72" t="s">
        <v>30</v>
      </c>
      <c r="O800" s="73" t="s">
        <v>30</v>
      </c>
      <c r="P800" s="72" t="s">
        <v>30</v>
      </c>
      <c r="Q800" s="72" t="s">
        <v>30</v>
      </c>
      <c r="R800" s="72" t="s">
        <v>30</v>
      </c>
      <c r="S800" s="72" t="s">
        <v>30</v>
      </c>
      <c r="T800" s="72" t="s">
        <v>30</v>
      </c>
      <c r="W800" s="31"/>
    </row>
    <row r="801">
      <c r="B801" s="72" t="s">
        <v>30</v>
      </c>
      <c r="C801" s="72" t="s">
        <v>30</v>
      </c>
      <c r="D801" s="72" t="s">
        <v>30</v>
      </c>
      <c r="E801" s="72" t="s">
        <v>30</v>
      </c>
      <c r="F801" s="72" t="s">
        <v>30</v>
      </c>
      <c r="G801" s="72" t="s">
        <v>30</v>
      </c>
      <c r="H801" s="72" t="s">
        <v>30</v>
      </c>
      <c r="I801" s="73" t="s">
        <v>30</v>
      </c>
      <c r="J801" s="72" t="s">
        <v>30</v>
      </c>
      <c r="K801" s="72" t="s">
        <v>30</v>
      </c>
      <c r="L801" s="72" t="s">
        <v>30</v>
      </c>
      <c r="M801" s="72" t="s">
        <v>30</v>
      </c>
      <c r="N801" s="72" t="s">
        <v>30</v>
      </c>
      <c r="O801" s="73" t="s">
        <v>30</v>
      </c>
      <c r="P801" s="72" t="s">
        <v>30</v>
      </c>
      <c r="Q801" s="72" t="s">
        <v>30</v>
      </c>
      <c r="R801" s="72" t="s">
        <v>30</v>
      </c>
      <c r="S801" s="72" t="s">
        <v>30</v>
      </c>
      <c r="T801" s="72" t="s">
        <v>30</v>
      </c>
      <c r="W801" s="31"/>
    </row>
    <row r="802">
      <c r="B802" s="72" t="s">
        <v>30</v>
      </c>
      <c r="C802" s="72" t="s">
        <v>30</v>
      </c>
      <c r="D802" s="72" t="s">
        <v>30</v>
      </c>
      <c r="E802" s="72" t="s">
        <v>30</v>
      </c>
      <c r="F802" s="72" t="s">
        <v>30</v>
      </c>
      <c r="G802" s="72" t="s">
        <v>30</v>
      </c>
      <c r="H802" s="72" t="s">
        <v>30</v>
      </c>
      <c r="I802" s="73" t="s">
        <v>30</v>
      </c>
      <c r="J802" s="72" t="s">
        <v>30</v>
      </c>
      <c r="K802" s="72" t="s">
        <v>30</v>
      </c>
      <c r="L802" s="72" t="s">
        <v>30</v>
      </c>
      <c r="M802" s="72" t="s">
        <v>30</v>
      </c>
      <c r="N802" s="72" t="s">
        <v>30</v>
      </c>
      <c r="O802" s="73" t="s">
        <v>30</v>
      </c>
      <c r="P802" s="72" t="s">
        <v>30</v>
      </c>
      <c r="Q802" s="72" t="s">
        <v>30</v>
      </c>
      <c r="R802" s="72" t="s">
        <v>30</v>
      </c>
      <c r="S802" s="72" t="s">
        <v>30</v>
      </c>
      <c r="T802" s="72" t="s">
        <v>30</v>
      </c>
      <c r="W802" s="31"/>
    </row>
    <row r="803">
      <c r="B803" s="72" t="s">
        <v>30</v>
      </c>
      <c r="C803" s="72" t="s">
        <v>30</v>
      </c>
      <c r="D803" s="72" t="s">
        <v>30</v>
      </c>
      <c r="E803" s="72" t="s">
        <v>30</v>
      </c>
      <c r="F803" s="72" t="s">
        <v>30</v>
      </c>
      <c r="G803" s="72" t="s">
        <v>30</v>
      </c>
      <c r="H803" s="72" t="s">
        <v>30</v>
      </c>
      <c r="I803" s="73" t="s">
        <v>30</v>
      </c>
      <c r="J803" s="72" t="s">
        <v>30</v>
      </c>
      <c r="K803" s="72" t="s">
        <v>30</v>
      </c>
      <c r="L803" s="72" t="s">
        <v>30</v>
      </c>
      <c r="M803" s="72" t="s">
        <v>30</v>
      </c>
      <c r="N803" s="72" t="s">
        <v>30</v>
      </c>
      <c r="O803" s="73" t="s">
        <v>30</v>
      </c>
      <c r="P803" s="72" t="s">
        <v>30</v>
      </c>
      <c r="Q803" s="72" t="s">
        <v>30</v>
      </c>
      <c r="R803" s="72" t="s">
        <v>30</v>
      </c>
      <c r="S803" s="72" t="s">
        <v>30</v>
      </c>
      <c r="T803" s="72" t="s">
        <v>30</v>
      </c>
      <c r="W803" s="31"/>
    </row>
    <row r="804">
      <c r="B804" s="72" t="s">
        <v>30</v>
      </c>
      <c r="C804" s="72" t="s">
        <v>30</v>
      </c>
      <c r="D804" s="72" t="s">
        <v>30</v>
      </c>
      <c r="E804" s="72" t="s">
        <v>30</v>
      </c>
      <c r="F804" s="72" t="s">
        <v>30</v>
      </c>
      <c r="G804" s="72" t="s">
        <v>30</v>
      </c>
      <c r="H804" s="72" t="s">
        <v>30</v>
      </c>
      <c r="I804" s="73" t="s">
        <v>30</v>
      </c>
      <c r="J804" s="72" t="s">
        <v>30</v>
      </c>
      <c r="K804" s="72" t="s">
        <v>30</v>
      </c>
      <c r="L804" s="72" t="s">
        <v>30</v>
      </c>
      <c r="M804" s="72" t="s">
        <v>30</v>
      </c>
      <c r="N804" s="72" t="s">
        <v>30</v>
      </c>
      <c r="O804" s="73" t="s">
        <v>30</v>
      </c>
      <c r="P804" s="72" t="s">
        <v>30</v>
      </c>
      <c r="Q804" s="72" t="s">
        <v>30</v>
      </c>
      <c r="R804" s="72" t="s">
        <v>30</v>
      </c>
      <c r="S804" s="72" t="s">
        <v>30</v>
      </c>
      <c r="T804" s="72" t="s">
        <v>30</v>
      </c>
      <c r="W804" s="31"/>
    </row>
    <row r="805">
      <c r="B805" s="72" t="s">
        <v>30</v>
      </c>
      <c r="C805" s="72" t="s">
        <v>30</v>
      </c>
      <c r="D805" s="72" t="s">
        <v>30</v>
      </c>
      <c r="E805" s="72" t="s">
        <v>30</v>
      </c>
      <c r="F805" s="72" t="s">
        <v>30</v>
      </c>
      <c r="G805" s="72" t="s">
        <v>30</v>
      </c>
      <c r="H805" s="72" t="s">
        <v>30</v>
      </c>
      <c r="I805" s="73" t="s">
        <v>30</v>
      </c>
      <c r="J805" s="72" t="s">
        <v>30</v>
      </c>
      <c r="K805" s="72" t="s">
        <v>30</v>
      </c>
      <c r="L805" s="72" t="s">
        <v>30</v>
      </c>
      <c r="M805" s="72" t="s">
        <v>30</v>
      </c>
      <c r="N805" s="72" t="s">
        <v>30</v>
      </c>
      <c r="O805" s="73" t="s">
        <v>30</v>
      </c>
      <c r="P805" s="72" t="s">
        <v>30</v>
      </c>
      <c r="Q805" s="72" t="s">
        <v>30</v>
      </c>
      <c r="R805" s="72" t="s">
        <v>30</v>
      </c>
      <c r="S805" s="72" t="s">
        <v>30</v>
      </c>
      <c r="T805" s="72" t="s">
        <v>30</v>
      </c>
      <c r="W805" s="31"/>
    </row>
    <row r="806">
      <c r="B806" s="72" t="s">
        <v>30</v>
      </c>
      <c r="C806" s="72" t="s">
        <v>30</v>
      </c>
      <c r="D806" s="72" t="s">
        <v>30</v>
      </c>
      <c r="E806" s="72" t="s">
        <v>30</v>
      </c>
      <c r="F806" s="72" t="s">
        <v>30</v>
      </c>
      <c r="G806" s="72" t="s">
        <v>30</v>
      </c>
      <c r="H806" s="72" t="s">
        <v>30</v>
      </c>
      <c r="I806" s="73" t="s">
        <v>30</v>
      </c>
      <c r="J806" s="72" t="s">
        <v>30</v>
      </c>
      <c r="K806" s="72" t="s">
        <v>30</v>
      </c>
      <c r="L806" s="72" t="s">
        <v>30</v>
      </c>
      <c r="M806" s="72" t="s">
        <v>30</v>
      </c>
      <c r="N806" s="72" t="s">
        <v>30</v>
      </c>
      <c r="O806" s="73" t="s">
        <v>30</v>
      </c>
      <c r="P806" s="72" t="s">
        <v>30</v>
      </c>
      <c r="Q806" s="72" t="s">
        <v>30</v>
      </c>
      <c r="R806" s="72" t="s">
        <v>30</v>
      </c>
      <c r="S806" s="72" t="s">
        <v>30</v>
      </c>
      <c r="T806" s="72" t="s">
        <v>30</v>
      </c>
      <c r="W806" s="31"/>
    </row>
    <row r="807">
      <c r="B807" s="72" t="s">
        <v>30</v>
      </c>
      <c r="C807" s="72" t="s">
        <v>30</v>
      </c>
      <c r="D807" s="72" t="s">
        <v>30</v>
      </c>
      <c r="E807" s="72" t="s">
        <v>30</v>
      </c>
      <c r="F807" s="72" t="s">
        <v>30</v>
      </c>
      <c r="G807" s="72" t="s">
        <v>30</v>
      </c>
      <c r="H807" s="72" t="s">
        <v>30</v>
      </c>
      <c r="I807" s="73" t="s">
        <v>30</v>
      </c>
      <c r="J807" s="72" t="s">
        <v>30</v>
      </c>
      <c r="K807" s="72" t="s">
        <v>30</v>
      </c>
      <c r="L807" s="72" t="s">
        <v>30</v>
      </c>
      <c r="M807" s="72" t="s">
        <v>30</v>
      </c>
      <c r="N807" s="72" t="s">
        <v>30</v>
      </c>
      <c r="O807" s="73" t="s">
        <v>30</v>
      </c>
      <c r="P807" s="72" t="s">
        <v>30</v>
      </c>
      <c r="Q807" s="72" t="s">
        <v>30</v>
      </c>
      <c r="R807" s="72" t="s">
        <v>30</v>
      </c>
      <c r="S807" s="72" t="s">
        <v>30</v>
      </c>
      <c r="T807" s="72" t="s">
        <v>30</v>
      </c>
      <c r="W807" s="31"/>
    </row>
    <row r="808">
      <c r="B808" s="72" t="s">
        <v>30</v>
      </c>
      <c r="C808" s="72" t="s">
        <v>30</v>
      </c>
      <c r="D808" s="72" t="s">
        <v>30</v>
      </c>
      <c r="E808" s="72" t="s">
        <v>30</v>
      </c>
      <c r="F808" s="72" t="s">
        <v>30</v>
      </c>
      <c r="G808" s="72" t="s">
        <v>30</v>
      </c>
      <c r="H808" s="72" t="s">
        <v>30</v>
      </c>
      <c r="I808" s="73" t="s">
        <v>30</v>
      </c>
      <c r="J808" s="72" t="s">
        <v>30</v>
      </c>
      <c r="K808" s="72" t="s">
        <v>30</v>
      </c>
      <c r="L808" s="72" t="s">
        <v>30</v>
      </c>
      <c r="M808" s="72" t="s">
        <v>30</v>
      </c>
      <c r="N808" s="72" t="s">
        <v>30</v>
      </c>
      <c r="O808" s="73" t="s">
        <v>30</v>
      </c>
      <c r="P808" s="72" t="s">
        <v>30</v>
      </c>
      <c r="Q808" s="72" t="s">
        <v>30</v>
      </c>
      <c r="R808" s="72" t="s">
        <v>30</v>
      </c>
      <c r="S808" s="72" t="s">
        <v>30</v>
      </c>
      <c r="T808" s="72" t="s">
        <v>30</v>
      </c>
      <c r="W808" s="31"/>
    </row>
    <row r="809">
      <c r="B809" s="72" t="s">
        <v>30</v>
      </c>
      <c r="C809" s="72" t="s">
        <v>30</v>
      </c>
      <c r="D809" s="72" t="s">
        <v>30</v>
      </c>
      <c r="E809" s="72" t="s">
        <v>30</v>
      </c>
      <c r="F809" s="72" t="s">
        <v>30</v>
      </c>
      <c r="G809" s="72" t="s">
        <v>30</v>
      </c>
      <c r="H809" s="72" t="s">
        <v>30</v>
      </c>
      <c r="I809" s="73" t="s">
        <v>30</v>
      </c>
      <c r="J809" s="72" t="s">
        <v>30</v>
      </c>
      <c r="K809" s="72" t="s">
        <v>30</v>
      </c>
      <c r="L809" s="72" t="s">
        <v>30</v>
      </c>
      <c r="M809" s="72" t="s">
        <v>30</v>
      </c>
      <c r="N809" s="72" t="s">
        <v>30</v>
      </c>
      <c r="O809" s="73" t="s">
        <v>30</v>
      </c>
      <c r="P809" s="72" t="s">
        <v>30</v>
      </c>
      <c r="Q809" s="72" t="s">
        <v>30</v>
      </c>
      <c r="R809" s="72" t="s">
        <v>30</v>
      </c>
      <c r="S809" s="72" t="s">
        <v>30</v>
      </c>
      <c r="T809" s="72" t="s">
        <v>30</v>
      </c>
      <c r="W809" s="31"/>
    </row>
    <row r="810">
      <c r="B810" s="72" t="s">
        <v>30</v>
      </c>
      <c r="C810" s="72" t="s">
        <v>30</v>
      </c>
      <c r="D810" s="72" t="s">
        <v>30</v>
      </c>
      <c r="E810" s="72" t="s">
        <v>30</v>
      </c>
      <c r="F810" s="72" t="s">
        <v>30</v>
      </c>
      <c r="G810" s="72" t="s">
        <v>30</v>
      </c>
      <c r="H810" s="72" t="s">
        <v>30</v>
      </c>
      <c r="I810" s="73" t="s">
        <v>30</v>
      </c>
      <c r="J810" s="72" t="s">
        <v>30</v>
      </c>
      <c r="K810" s="72" t="s">
        <v>30</v>
      </c>
      <c r="L810" s="72" t="s">
        <v>30</v>
      </c>
      <c r="M810" s="72" t="s">
        <v>30</v>
      </c>
      <c r="N810" s="72" t="s">
        <v>30</v>
      </c>
      <c r="O810" s="73" t="s">
        <v>30</v>
      </c>
      <c r="P810" s="72" t="s">
        <v>30</v>
      </c>
      <c r="Q810" s="72" t="s">
        <v>30</v>
      </c>
      <c r="R810" s="72" t="s">
        <v>30</v>
      </c>
      <c r="S810" s="72" t="s">
        <v>30</v>
      </c>
      <c r="T810" s="72" t="s">
        <v>30</v>
      </c>
      <c r="W810" s="31"/>
    </row>
    <row r="811">
      <c r="B811" s="72" t="s">
        <v>30</v>
      </c>
      <c r="C811" s="72" t="s">
        <v>30</v>
      </c>
      <c r="D811" s="72" t="s">
        <v>30</v>
      </c>
      <c r="E811" s="72" t="s">
        <v>30</v>
      </c>
      <c r="F811" s="72" t="s">
        <v>30</v>
      </c>
      <c r="G811" s="72" t="s">
        <v>30</v>
      </c>
      <c r="H811" s="72" t="s">
        <v>30</v>
      </c>
      <c r="I811" s="73" t="s">
        <v>30</v>
      </c>
      <c r="J811" s="72" t="s">
        <v>30</v>
      </c>
      <c r="K811" s="72" t="s">
        <v>30</v>
      </c>
      <c r="L811" s="72" t="s">
        <v>30</v>
      </c>
      <c r="M811" s="72" t="s">
        <v>30</v>
      </c>
      <c r="N811" s="72" t="s">
        <v>30</v>
      </c>
      <c r="O811" s="73" t="s">
        <v>30</v>
      </c>
      <c r="P811" s="72" t="s">
        <v>30</v>
      </c>
      <c r="Q811" s="72" t="s">
        <v>30</v>
      </c>
      <c r="R811" s="72" t="s">
        <v>30</v>
      </c>
      <c r="S811" s="72" t="s">
        <v>30</v>
      </c>
      <c r="T811" s="72" t="s">
        <v>30</v>
      </c>
      <c r="W811" s="31"/>
    </row>
    <row r="812">
      <c r="B812" s="72" t="s">
        <v>30</v>
      </c>
      <c r="C812" s="72" t="s">
        <v>30</v>
      </c>
      <c r="D812" s="72" t="s">
        <v>30</v>
      </c>
      <c r="E812" s="72" t="s">
        <v>30</v>
      </c>
      <c r="F812" s="72" t="s">
        <v>30</v>
      </c>
      <c r="G812" s="72" t="s">
        <v>30</v>
      </c>
      <c r="H812" s="72" t="s">
        <v>30</v>
      </c>
      <c r="I812" s="73" t="s">
        <v>30</v>
      </c>
      <c r="J812" s="72" t="s">
        <v>30</v>
      </c>
      <c r="K812" s="72" t="s">
        <v>30</v>
      </c>
      <c r="L812" s="72" t="s">
        <v>30</v>
      </c>
      <c r="M812" s="72" t="s">
        <v>30</v>
      </c>
      <c r="N812" s="72" t="s">
        <v>30</v>
      </c>
      <c r="O812" s="73" t="s">
        <v>30</v>
      </c>
      <c r="P812" s="72" t="s">
        <v>30</v>
      </c>
      <c r="Q812" s="72" t="s">
        <v>30</v>
      </c>
      <c r="R812" s="72" t="s">
        <v>30</v>
      </c>
      <c r="S812" s="72" t="s">
        <v>30</v>
      </c>
      <c r="T812" s="72" t="s">
        <v>30</v>
      </c>
      <c r="W812" s="31"/>
    </row>
    <row r="813">
      <c r="B813" s="72" t="s">
        <v>30</v>
      </c>
      <c r="C813" s="72" t="s">
        <v>30</v>
      </c>
      <c r="D813" s="72" t="s">
        <v>30</v>
      </c>
      <c r="E813" s="72" t="s">
        <v>30</v>
      </c>
      <c r="F813" s="72" t="s">
        <v>30</v>
      </c>
      <c r="G813" s="72" t="s">
        <v>30</v>
      </c>
      <c r="H813" s="72" t="s">
        <v>30</v>
      </c>
      <c r="I813" s="73" t="s">
        <v>30</v>
      </c>
      <c r="J813" s="72" t="s">
        <v>30</v>
      </c>
      <c r="K813" s="72" t="s">
        <v>30</v>
      </c>
      <c r="L813" s="72" t="s">
        <v>30</v>
      </c>
      <c r="M813" s="72" t="s">
        <v>30</v>
      </c>
      <c r="N813" s="72" t="s">
        <v>30</v>
      </c>
      <c r="O813" s="73" t="s">
        <v>30</v>
      </c>
      <c r="P813" s="72" t="s">
        <v>30</v>
      </c>
      <c r="Q813" s="72" t="s">
        <v>30</v>
      </c>
      <c r="R813" s="72" t="s">
        <v>30</v>
      </c>
      <c r="S813" s="72" t="s">
        <v>30</v>
      </c>
      <c r="T813" s="72" t="s">
        <v>30</v>
      </c>
      <c r="W813" s="31"/>
    </row>
    <row r="814">
      <c r="B814" s="72" t="s">
        <v>30</v>
      </c>
      <c r="C814" s="72" t="s">
        <v>30</v>
      </c>
      <c r="D814" s="72" t="s">
        <v>30</v>
      </c>
      <c r="E814" s="72" t="s">
        <v>30</v>
      </c>
      <c r="F814" s="72" t="s">
        <v>30</v>
      </c>
      <c r="G814" s="72" t="s">
        <v>30</v>
      </c>
      <c r="H814" s="72" t="s">
        <v>30</v>
      </c>
      <c r="I814" s="73" t="s">
        <v>30</v>
      </c>
      <c r="J814" s="72" t="s">
        <v>30</v>
      </c>
      <c r="K814" s="72" t="s">
        <v>30</v>
      </c>
      <c r="L814" s="72" t="s">
        <v>30</v>
      </c>
      <c r="M814" s="72" t="s">
        <v>30</v>
      </c>
      <c r="N814" s="72" t="s">
        <v>30</v>
      </c>
      <c r="O814" s="73" t="s">
        <v>30</v>
      </c>
      <c r="P814" s="72" t="s">
        <v>30</v>
      </c>
      <c r="Q814" s="72" t="s">
        <v>30</v>
      </c>
      <c r="R814" s="72" t="s">
        <v>30</v>
      </c>
      <c r="S814" s="72" t="s">
        <v>30</v>
      </c>
      <c r="T814" s="72" t="s">
        <v>30</v>
      </c>
      <c r="W814" s="31"/>
    </row>
    <row r="815">
      <c r="B815" s="72" t="s">
        <v>30</v>
      </c>
      <c r="C815" s="72" t="s">
        <v>30</v>
      </c>
      <c r="D815" s="72" t="s">
        <v>30</v>
      </c>
      <c r="E815" s="72" t="s">
        <v>30</v>
      </c>
      <c r="F815" s="72" t="s">
        <v>30</v>
      </c>
      <c r="G815" s="72" t="s">
        <v>30</v>
      </c>
      <c r="H815" s="72" t="s">
        <v>30</v>
      </c>
      <c r="I815" s="73" t="s">
        <v>30</v>
      </c>
      <c r="J815" s="72" t="s">
        <v>30</v>
      </c>
      <c r="K815" s="72" t="s">
        <v>30</v>
      </c>
      <c r="L815" s="72" t="s">
        <v>30</v>
      </c>
      <c r="M815" s="72" t="s">
        <v>30</v>
      </c>
      <c r="N815" s="72" t="s">
        <v>30</v>
      </c>
      <c r="O815" s="73" t="s">
        <v>30</v>
      </c>
      <c r="P815" s="72" t="s">
        <v>30</v>
      </c>
      <c r="Q815" s="72" t="s">
        <v>30</v>
      </c>
      <c r="R815" s="72" t="s">
        <v>30</v>
      </c>
      <c r="S815" s="72" t="s">
        <v>30</v>
      </c>
      <c r="T815" s="72" t="s">
        <v>30</v>
      </c>
      <c r="W815" s="31"/>
    </row>
    <row r="816">
      <c r="B816" s="72" t="s">
        <v>30</v>
      </c>
      <c r="C816" s="72" t="s">
        <v>30</v>
      </c>
      <c r="D816" s="72" t="s">
        <v>30</v>
      </c>
      <c r="E816" s="72" t="s">
        <v>30</v>
      </c>
      <c r="F816" s="72" t="s">
        <v>30</v>
      </c>
      <c r="G816" s="72" t="s">
        <v>30</v>
      </c>
      <c r="H816" s="72" t="s">
        <v>30</v>
      </c>
      <c r="I816" s="73" t="s">
        <v>30</v>
      </c>
      <c r="J816" s="72" t="s">
        <v>30</v>
      </c>
      <c r="K816" s="72" t="s">
        <v>30</v>
      </c>
      <c r="L816" s="72" t="s">
        <v>30</v>
      </c>
      <c r="M816" s="72" t="s">
        <v>30</v>
      </c>
      <c r="N816" s="72" t="s">
        <v>30</v>
      </c>
      <c r="O816" s="73" t="s">
        <v>30</v>
      </c>
      <c r="P816" s="72" t="s">
        <v>30</v>
      </c>
      <c r="Q816" s="72" t="s">
        <v>30</v>
      </c>
      <c r="R816" s="72" t="s">
        <v>30</v>
      </c>
      <c r="S816" s="72" t="s">
        <v>30</v>
      </c>
      <c r="T816" s="72" t="s">
        <v>30</v>
      </c>
      <c r="W816" s="31"/>
    </row>
    <row r="817">
      <c r="B817" s="72" t="s">
        <v>30</v>
      </c>
      <c r="C817" s="72" t="s">
        <v>30</v>
      </c>
      <c r="D817" s="72" t="s">
        <v>30</v>
      </c>
      <c r="E817" s="72" t="s">
        <v>30</v>
      </c>
      <c r="F817" s="72" t="s">
        <v>30</v>
      </c>
      <c r="G817" s="72" t="s">
        <v>30</v>
      </c>
      <c r="H817" s="72" t="s">
        <v>30</v>
      </c>
      <c r="I817" s="73" t="s">
        <v>30</v>
      </c>
      <c r="J817" s="72" t="s">
        <v>30</v>
      </c>
      <c r="K817" s="72" t="s">
        <v>30</v>
      </c>
      <c r="L817" s="72" t="s">
        <v>30</v>
      </c>
      <c r="M817" s="72" t="s">
        <v>30</v>
      </c>
      <c r="N817" s="72" t="s">
        <v>30</v>
      </c>
      <c r="O817" s="73" t="s">
        <v>30</v>
      </c>
      <c r="P817" s="72" t="s">
        <v>30</v>
      </c>
      <c r="Q817" s="72" t="s">
        <v>30</v>
      </c>
      <c r="R817" s="72" t="s">
        <v>30</v>
      </c>
      <c r="S817" s="72" t="s">
        <v>30</v>
      </c>
      <c r="T817" s="72" t="s">
        <v>30</v>
      </c>
      <c r="W817" s="31"/>
    </row>
    <row r="818">
      <c r="B818" s="72" t="s">
        <v>30</v>
      </c>
      <c r="C818" s="72" t="s">
        <v>30</v>
      </c>
      <c r="D818" s="72" t="s">
        <v>30</v>
      </c>
      <c r="E818" s="72" t="s">
        <v>30</v>
      </c>
      <c r="F818" s="72" t="s">
        <v>30</v>
      </c>
      <c r="G818" s="72" t="s">
        <v>30</v>
      </c>
      <c r="H818" s="72" t="s">
        <v>30</v>
      </c>
      <c r="I818" s="73" t="s">
        <v>30</v>
      </c>
      <c r="J818" s="72" t="s">
        <v>30</v>
      </c>
      <c r="K818" s="72" t="s">
        <v>30</v>
      </c>
      <c r="L818" s="72" t="s">
        <v>30</v>
      </c>
      <c r="M818" s="72" t="s">
        <v>30</v>
      </c>
      <c r="N818" s="72" t="s">
        <v>30</v>
      </c>
      <c r="O818" s="73" t="s">
        <v>30</v>
      </c>
      <c r="P818" s="72" t="s">
        <v>30</v>
      </c>
      <c r="Q818" s="72" t="s">
        <v>30</v>
      </c>
      <c r="R818" s="72" t="s">
        <v>30</v>
      </c>
      <c r="S818" s="72" t="s">
        <v>30</v>
      </c>
      <c r="T818" s="72" t="s">
        <v>30</v>
      </c>
      <c r="W818" s="31"/>
    </row>
    <row r="819">
      <c r="B819" s="72" t="s">
        <v>30</v>
      </c>
      <c r="C819" s="72" t="s">
        <v>30</v>
      </c>
      <c r="D819" s="72" t="s">
        <v>30</v>
      </c>
      <c r="E819" s="72" t="s">
        <v>30</v>
      </c>
      <c r="F819" s="72" t="s">
        <v>30</v>
      </c>
      <c r="G819" s="72" t="s">
        <v>30</v>
      </c>
      <c r="H819" s="72" t="s">
        <v>30</v>
      </c>
      <c r="I819" s="73" t="s">
        <v>30</v>
      </c>
      <c r="J819" s="72" t="s">
        <v>30</v>
      </c>
      <c r="K819" s="72" t="s">
        <v>30</v>
      </c>
      <c r="L819" s="72" t="s">
        <v>30</v>
      </c>
      <c r="M819" s="72" t="s">
        <v>30</v>
      </c>
      <c r="N819" s="72" t="s">
        <v>30</v>
      </c>
      <c r="O819" s="73" t="s">
        <v>30</v>
      </c>
      <c r="P819" s="72" t="s">
        <v>30</v>
      </c>
      <c r="Q819" s="72" t="s">
        <v>30</v>
      </c>
      <c r="R819" s="72" t="s">
        <v>30</v>
      </c>
      <c r="S819" s="72" t="s">
        <v>30</v>
      </c>
      <c r="T819" s="72" t="s">
        <v>30</v>
      </c>
      <c r="W819" s="31"/>
    </row>
    <row r="820">
      <c r="B820" s="72" t="s">
        <v>30</v>
      </c>
      <c r="C820" s="72" t="s">
        <v>30</v>
      </c>
      <c r="D820" s="72" t="s">
        <v>30</v>
      </c>
      <c r="E820" s="72" t="s">
        <v>30</v>
      </c>
      <c r="F820" s="72" t="s">
        <v>30</v>
      </c>
      <c r="G820" s="72" t="s">
        <v>30</v>
      </c>
      <c r="H820" s="72" t="s">
        <v>30</v>
      </c>
      <c r="I820" s="73" t="s">
        <v>30</v>
      </c>
      <c r="J820" s="72" t="s">
        <v>30</v>
      </c>
      <c r="K820" s="72" t="s">
        <v>30</v>
      </c>
      <c r="L820" s="72" t="s">
        <v>30</v>
      </c>
      <c r="M820" s="72" t="s">
        <v>30</v>
      </c>
      <c r="N820" s="72" t="s">
        <v>30</v>
      </c>
      <c r="O820" s="73" t="s">
        <v>30</v>
      </c>
      <c r="P820" s="72" t="s">
        <v>30</v>
      </c>
      <c r="Q820" s="72" t="s">
        <v>30</v>
      </c>
      <c r="R820" s="72" t="s">
        <v>30</v>
      </c>
      <c r="S820" s="72" t="s">
        <v>30</v>
      </c>
      <c r="T820" s="72" t="s">
        <v>30</v>
      </c>
      <c r="W820" s="31"/>
    </row>
    <row r="821">
      <c r="B821" s="72" t="s">
        <v>30</v>
      </c>
      <c r="C821" s="72" t="s">
        <v>30</v>
      </c>
      <c r="D821" s="72" t="s">
        <v>30</v>
      </c>
      <c r="E821" s="72" t="s">
        <v>30</v>
      </c>
      <c r="F821" s="72" t="s">
        <v>30</v>
      </c>
      <c r="G821" s="72" t="s">
        <v>30</v>
      </c>
      <c r="H821" s="72" t="s">
        <v>30</v>
      </c>
      <c r="I821" s="73" t="s">
        <v>30</v>
      </c>
      <c r="J821" s="72" t="s">
        <v>30</v>
      </c>
      <c r="K821" s="72" t="s">
        <v>30</v>
      </c>
      <c r="L821" s="72" t="s">
        <v>30</v>
      </c>
      <c r="M821" s="72" t="s">
        <v>30</v>
      </c>
      <c r="N821" s="72" t="s">
        <v>30</v>
      </c>
      <c r="O821" s="73" t="s">
        <v>30</v>
      </c>
      <c r="P821" s="72" t="s">
        <v>30</v>
      </c>
      <c r="Q821" s="72" t="s">
        <v>30</v>
      </c>
      <c r="R821" s="72" t="s">
        <v>30</v>
      </c>
      <c r="S821" s="72" t="s">
        <v>30</v>
      </c>
      <c r="T821" s="72" t="s">
        <v>30</v>
      </c>
      <c r="W821" s="31"/>
    </row>
    <row r="822">
      <c r="B822" s="72" t="s">
        <v>30</v>
      </c>
      <c r="C822" s="72" t="s">
        <v>30</v>
      </c>
      <c r="D822" s="72" t="s">
        <v>30</v>
      </c>
      <c r="E822" s="72" t="s">
        <v>30</v>
      </c>
      <c r="F822" s="72" t="s">
        <v>30</v>
      </c>
      <c r="G822" s="72" t="s">
        <v>30</v>
      </c>
      <c r="H822" s="72" t="s">
        <v>30</v>
      </c>
      <c r="I822" s="73" t="s">
        <v>30</v>
      </c>
      <c r="J822" s="72" t="s">
        <v>30</v>
      </c>
      <c r="K822" s="72" t="s">
        <v>30</v>
      </c>
      <c r="L822" s="72" t="s">
        <v>30</v>
      </c>
      <c r="M822" s="72" t="s">
        <v>30</v>
      </c>
      <c r="N822" s="72" t="s">
        <v>30</v>
      </c>
      <c r="O822" s="73" t="s">
        <v>30</v>
      </c>
      <c r="P822" s="72" t="s">
        <v>30</v>
      </c>
      <c r="Q822" s="72" t="s">
        <v>30</v>
      </c>
      <c r="R822" s="72" t="s">
        <v>30</v>
      </c>
      <c r="S822" s="72" t="s">
        <v>30</v>
      </c>
      <c r="T822" s="72" t="s">
        <v>30</v>
      </c>
      <c r="W822" s="31"/>
    </row>
    <row r="823">
      <c r="B823" s="72" t="s">
        <v>30</v>
      </c>
      <c r="C823" s="72" t="s">
        <v>30</v>
      </c>
      <c r="D823" s="72" t="s">
        <v>30</v>
      </c>
      <c r="E823" s="72" t="s">
        <v>30</v>
      </c>
      <c r="F823" s="72" t="s">
        <v>30</v>
      </c>
      <c r="G823" s="72" t="s">
        <v>30</v>
      </c>
      <c r="H823" s="72" t="s">
        <v>30</v>
      </c>
      <c r="I823" s="73" t="s">
        <v>30</v>
      </c>
      <c r="J823" s="72" t="s">
        <v>30</v>
      </c>
      <c r="K823" s="72" t="s">
        <v>30</v>
      </c>
      <c r="L823" s="72" t="s">
        <v>30</v>
      </c>
      <c r="M823" s="72" t="s">
        <v>30</v>
      </c>
      <c r="N823" s="72" t="s">
        <v>30</v>
      </c>
      <c r="O823" s="73" t="s">
        <v>30</v>
      </c>
      <c r="P823" s="72" t="s">
        <v>30</v>
      </c>
      <c r="Q823" s="72" t="s">
        <v>30</v>
      </c>
      <c r="R823" s="72" t="s">
        <v>30</v>
      </c>
      <c r="S823" s="72" t="s">
        <v>30</v>
      </c>
      <c r="T823" s="72" t="s">
        <v>30</v>
      </c>
      <c r="W823" s="31"/>
    </row>
    <row r="824">
      <c r="B824" s="72" t="s">
        <v>30</v>
      </c>
      <c r="C824" s="72" t="s">
        <v>30</v>
      </c>
      <c r="D824" s="72" t="s">
        <v>30</v>
      </c>
      <c r="E824" s="72" t="s">
        <v>30</v>
      </c>
      <c r="F824" s="72" t="s">
        <v>30</v>
      </c>
      <c r="G824" s="72" t="s">
        <v>30</v>
      </c>
      <c r="H824" s="72" t="s">
        <v>30</v>
      </c>
      <c r="I824" s="73" t="s">
        <v>30</v>
      </c>
      <c r="J824" s="72" t="s">
        <v>30</v>
      </c>
      <c r="K824" s="72" t="s">
        <v>30</v>
      </c>
      <c r="L824" s="72" t="s">
        <v>30</v>
      </c>
      <c r="M824" s="72" t="s">
        <v>30</v>
      </c>
      <c r="N824" s="72" t="s">
        <v>30</v>
      </c>
      <c r="O824" s="73" t="s">
        <v>30</v>
      </c>
      <c r="P824" s="72" t="s">
        <v>30</v>
      </c>
      <c r="Q824" s="72" t="s">
        <v>30</v>
      </c>
      <c r="R824" s="72" t="s">
        <v>30</v>
      </c>
      <c r="S824" s="72" t="s">
        <v>30</v>
      </c>
      <c r="T824" s="72" t="s">
        <v>30</v>
      </c>
      <c r="W824" s="31"/>
    </row>
    <row r="825">
      <c r="B825" s="72" t="s">
        <v>30</v>
      </c>
      <c r="C825" s="72" t="s">
        <v>30</v>
      </c>
      <c r="D825" s="72" t="s">
        <v>30</v>
      </c>
      <c r="E825" s="72" t="s">
        <v>30</v>
      </c>
      <c r="F825" s="72" t="s">
        <v>30</v>
      </c>
      <c r="G825" s="72" t="s">
        <v>30</v>
      </c>
      <c r="H825" s="72" t="s">
        <v>30</v>
      </c>
      <c r="I825" s="73" t="s">
        <v>30</v>
      </c>
      <c r="J825" s="72" t="s">
        <v>30</v>
      </c>
      <c r="K825" s="72" t="s">
        <v>30</v>
      </c>
      <c r="L825" s="72" t="s">
        <v>30</v>
      </c>
      <c r="M825" s="72" t="s">
        <v>30</v>
      </c>
      <c r="N825" s="72" t="s">
        <v>30</v>
      </c>
      <c r="O825" s="73" t="s">
        <v>30</v>
      </c>
      <c r="P825" s="72" t="s">
        <v>30</v>
      </c>
      <c r="Q825" s="72" t="s">
        <v>30</v>
      </c>
      <c r="R825" s="72" t="s">
        <v>30</v>
      </c>
      <c r="S825" s="72" t="s">
        <v>30</v>
      </c>
      <c r="T825" s="72" t="s">
        <v>30</v>
      </c>
      <c r="W825" s="31"/>
    </row>
    <row r="826">
      <c r="B826" s="72" t="s">
        <v>30</v>
      </c>
      <c r="C826" s="72" t="s">
        <v>30</v>
      </c>
      <c r="D826" s="72" t="s">
        <v>30</v>
      </c>
      <c r="E826" s="72" t="s">
        <v>30</v>
      </c>
      <c r="F826" s="72" t="s">
        <v>30</v>
      </c>
      <c r="G826" s="72" t="s">
        <v>30</v>
      </c>
      <c r="H826" s="72" t="s">
        <v>30</v>
      </c>
      <c r="I826" s="73" t="s">
        <v>30</v>
      </c>
      <c r="J826" s="72" t="s">
        <v>30</v>
      </c>
      <c r="K826" s="72" t="s">
        <v>30</v>
      </c>
      <c r="L826" s="72" t="s">
        <v>30</v>
      </c>
      <c r="M826" s="72" t="s">
        <v>30</v>
      </c>
      <c r="N826" s="72" t="s">
        <v>30</v>
      </c>
      <c r="O826" s="73" t="s">
        <v>30</v>
      </c>
      <c r="P826" s="72" t="s">
        <v>30</v>
      </c>
      <c r="Q826" s="72" t="s">
        <v>30</v>
      </c>
      <c r="R826" s="72" t="s">
        <v>30</v>
      </c>
      <c r="S826" s="72" t="s">
        <v>30</v>
      </c>
      <c r="T826" s="72" t="s">
        <v>30</v>
      </c>
      <c r="W826" s="31"/>
    </row>
    <row r="827">
      <c r="B827" s="72" t="s">
        <v>30</v>
      </c>
      <c r="C827" s="72" t="s">
        <v>30</v>
      </c>
      <c r="D827" s="72" t="s">
        <v>30</v>
      </c>
      <c r="E827" s="72" t="s">
        <v>30</v>
      </c>
      <c r="F827" s="72" t="s">
        <v>30</v>
      </c>
      <c r="G827" s="72" t="s">
        <v>30</v>
      </c>
      <c r="H827" s="72" t="s">
        <v>30</v>
      </c>
      <c r="I827" s="73" t="s">
        <v>30</v>
      </c>
      <c r="J827" s="72" t="s">
        <v>30</v>
      </c>
      <c r="K827" s="72" t="s">
        <v>30</v>
      </c>
      <c r="L827" s="72" t="s">
        <v>30</v>
      </c>
      <c r="M827" s="72" t="s">
        <v>30</v>
      </c>
      <c r="N827" s="72" t="s">
        <v>30</v>
      </c>
      <c r="O827" s="73" t="s">
        <v>30</v>
      </c>
      <c r="P827" s="72" t="s">
        <v>30</v>
      </c>
      <c r="Q827" s="72" t="s">
        <v>30</v>
      </c>
      <c r="R827" s="72" t="s">
        <v>30</v>
      </c>
      <c r="S827" s="72" t="s">
        <v>30</v>
      </c>
      <c r="T827" s="72" t="s">
        <v>30</v>
      </c>
      <c r="W827" s="31"/>
    </row>
    <row r="828">
      <c r="B828" s="72" t="s">
        <v>30</v>
      </c>
      <c r="C828" s="72" t="s">
        <v>30</v>
      </c>
      <c r="D828" s="72" t="s">
        <v>30</v>
      </c>
      <c r="E828" s="72" t="s">
        <v>30</v>
      </c>
      <c r="F828" s="72" t="s">
        <v>30</v>
      </c>
      <c r="G828" s="72" t="s">
        <v>30</v>
      </c>
      <c r="H828" s="72" t="s">
        <v>30</v>
      </c>
      <c r="I828" s="73" t="s">
        <v>30</v>
      </c>
      <c r="J828" s="72" t="s">
        <v>30</v>
      </c>
      <c r="K828" s="72" t="s">
        <v>30</v>
      </c>
      <c r="L828" s="72" t="s">
        <v>30</v>
      </c>
      <c r="M828" s="72" t="s">
        <v>30</v>
      </c>
      <c r="N828" s="72" t="s">
        <v>30</v>
      </c>
      <c r="O828" s="73" t="s">
        <v>30</v>
      </c>
      <c r="P828" s="72" t="s">
        <v>30</v>
      </c>
      <c r="Q828" s="72" t="s">
        <v>30</v>
      </c>
      <c r="R828" s="72" t="s">
        <v>30</v>
      </c>
      <c r="S828" s="72" t="s">
        <v>30</v>
      </c>
      <c r="T828" s="72" t="s">
        <v>30</v>
      </c>
      <c r="W828" s="31"/>
    </row>
    <row r="829">
      <c r="B829" s="72" t="s">
        <v>30</v>
      </c>
      <c r="C829" s="72" t="s">
        <v>30</v>
      </c>
      <c r="D829" s="72" t="s">
        <v>30</v>
      </c>
      <c r="E829" s="72" t="s">
        <v>30</v>
      </c>
      <c r="F829" s="72" t="s">
        <v>30</v>
      </c>
      <c r="G829" s="72" t="s">
        <v>30</v>
      </c>
      <c r="H829" s="72" t="s">
        <v>30</v>
      </c>
      <c r="I829" s="73" t="s">
        <v>30</v>
      </c>
      <c r="J829" s="72" t="s">
        <v>30</v>
      </c>
      <c r="K829" s="72" t="s">
        <v>30</v>
      </c>
      <c r="L829" s="72" t="s">
        <v>30</v>
      </c>
      <c r="M829" s="72" t="s">
        <v>30</v>
      </c>
      <c r="N829" s="72" t="s">
        <v>30</v>
      </c>
      <c r="O829" s="73" t="s">
        <v>30</v>
      </c>
      <c r="P829" s="72" t="s">
        <v>30</v>
      </c>
      <c r="Q829" s="72" t="s">
        <v>30</v>
      </c>
      <c r="R829" s="72" t="s">
        <v>30</v>
      </c>
      <c r="S829" s="72" t="s">
        <v>30</v>
      </c>
      <c r="T829" s="72" t="s">
        <v>30</v>
      </c>
      <c r="W829" s="31"/>
    </row>
    <row r="830">
      <c r="B830" s="72" t="s">
        <v>30</v>
      </c>
      <c r="C830" s="72" t="s">
        <v>30</v>
      </c>
      <c r="D830" s="72" t="s">
        <v>30</v>
      </c>
      <c r="E830" s="72" t="s">
        <v>30</v>
      </c>
      <c r="F830" s="72" t="s">
        <v>30</v>
      </c>
      <c r="G830" s="72" t="s">
        <v>30</v>
      </c>
      <c r="H830" s="72" t="s">
        <v>30</v>
      </c>
      <c r="I830" s="73" t="s">
        <v>30</v>
      </c>
      <c r="J830" s="72" t="s">
        <v>30</v>
      </c>
      <c r="K830" s="72" t="s">
        <v>30</v>
      </c>
      <c r="L830" s="72" t="s">
        <v>30</v>
      </c>
      <c r="M830" s="72" t="s">
        <v>30</v>
      </c>
      <c r="N830" s="72" t="s">
        <v>30</v>
      </c>
      <c r="O830" s="73" t="s">
        <v>30</v>
      </c>
      <c r="P830" s="72" t="s">
        <v>30</v>
      </c>
      <c r="Q830" s="72" t="s">
        <v>30</v>
      </c>
      <c r="R830" s="72" t="s">
        <v>30</v>
      </c>
      <c r="S830" s="72" t="s">
        <v>30</v>
      </c>
      <c r="T830" s="72" t="s">
        <v>30</v>
      </c>
      <c r="W830" s="31"/>
    </row>
    <row r="831">
      <c r="B831" s="72" t="s">
        <v>30</v>
      </c>
      <c r="C831" s="72" t="s">
        <v>30</v>
      </c>
      <c r="D831" s="72" t="s">
        <v>30</v>
      </c>
      <c r="E831" s="72" t="s">
        <v>30</v>
      </c>
      <c r="F831" s="72" t="s">
        <v>30</v>
      </c>
      <c r="G831" s="72" t="s">
        <v>30</v>
      </c>
      <c r="H831" s="72" t="s">
        <v>30</v>
      </c>
      <c r="I831" s="73" t="s">
        <v>30</v>
      </c>
      <c r="J831" s="72" t="s">
        <v>30</v>
      </c>
      <c r="K831" s="72" t="s">
        <v>30</v>
      </c>
      <c r="L831" s="72" t="s">
        <v>30</v>
      </c>
      <c r="M831" s="72" t="s">
        <v>30</v>
      </c>
      <c r="N831" s="72" t="s">
        <v>30</v>
      </c>
      <c r="O831" s="73" t="s">
        <v>30</v>
      </c>
      <c r="P831" s="72" t="s">
        <v>30</v>
      </c>
      <c r="Q831" s="72" t="s">
        <v>30</v>
      </c>
      <c r="R831" s="72" t="s">
        <v>30</v>
      </c>
      <c r="S831" s="72" t="s">
        <v>30</v>
      </c>
      <c r="T831" s="72" t="s">
        <v>30</v>
      </c>
      <c r="W831" s="31"/>
    </row>
    <row r="832">
      <c r="B832" s="72" t="s">
        <v>30</v>
      </c>
      <c r="C832" s="72" t="s">
        <v>30</v>
      </c>
      <c r="D832" s="72" t="s">
        <v>30</v>
      </c>
      <c r="E832" s="72" t="s">
        <v>30</v>
      </c>
      <c r="F832" s="72" t="s">
        <v>30</v>
      </c>
      <c r="G832" s="72" t="s">
        <v>30</v>
      </c>
      <c r="H832" s="72" t="s">
        <v>30</v>
      </c>
      <c r="I832" s="73" t="s">
        <v>30</v>
      </c>
      <c r="J832" s="72" t="s">
        <v>30</v>
      </c>
      <c r="K832" s="72" t="s">
        <v>30</v>
      </c>
      <c r="L832" s="72" t="s">
        <v>30</v>
      </c>
      <c r="M832" s="72" t="s">
        <v>30</v>
      </c>
      <c r="N832" s="72" t="s">
        <v>30</v>
      </c>
      <c r="O832" s="73" t="s">
        <v>30</v>
      </c>
      <c r="P832" s="72" t="s">
        <v>30</v>
      </c>
      <c r="Q832" s="72" t="s">
        <v>30</v>
      </c>
      <c r="R832" s="72" t="s">
        <v>30</v>
      </c>
      <c r="S832" s="72" t="s">
        <v>30</v>
      </c>
      <c r="T832" s="72" t="s">
        <v>30</v>
      </c>
      <c r="W832" s="31"/>
    </row>
    <row r="833">
      <c r="B833" s="72" t="s">
        <v>30</v>
      </c>
      <c r="C833" s="72" t="s">
        <v>30</v>
      </c>
      <c r="D833" s="72" t="s">
        <v>30</v>
      </c>
      <c r="E833" s="72" t="s">
        <v>30</v>
      </c>
      <c r="F833" s="72" t="s">
        <v>30</v>
      </c>
      <c r="G833" s="72" t="s">
        <v>30</v>
      </c>
      <c r="H833" s="72" t="s">
        <v>30</v>
      </c>
      <c r="I833" s="73" t="s">
        <v>30</v>
      </c>
      <c r="J833" s="72" t="s">
        <v>30</v>
      </c>
      <c r="K833" s="72" t="s">
        <v>30</v>
      </c>
      <c r="L833" s="72" t="s">
        <v>30</v>
      </c>
      <c r="M833" s="72" t="s">
        <v>30</v>
      </c>
      <c r="N833" s="72" t="s">
        <v>30</v>
      </c>
      <c r="O833" s="73" t="s">
        <v>30</v>
      </c>
      <c r="P833" s="72" t="s">
        <v>30</v>
      </c>
      <c r="Q833" s="72" t="s">
        <v>30</v>
      </c>
      <c r="R833" s="72" t="s">
        <v>30</v>
      </c>
      <c r="S833" s="72" t="s">
        <v>30</v>
      </c>
      <c r="T833" s="72" t="s">
        <v>30</v>
      </c>
      <c r="W833" s="31"/>
    </row>
    <row r="834">
      <c r="B834" s="72" t="s">
        <v>30</v>
      </c>
      <c r="C834" s="72" t="s">
        <v>30</v>
      </c>
      <c r="D834" s="72" t="s">
        <v>30</v>
      </c>
      <c r="E834" s="72" t="s">
        <v>30</v>
      </c>
      <c r="F834" s="72" t="s">
        <v>30</v>
      </c>
      <c r="G834" s="72" t="s">
        <v>30</v>
      </c>
      <c r="H834" s="72" t="s">
        <v>30</v>
      </c>
      <c r="I834" s="73" t="s">
        <v>30</v>
      </c>
      <c r="J834" s="72" t="s">
        <v>30</v>
      </c>
      <c r="K834" s="72" t="s">
        <v>30</v>
      </c>
      <c r="L834" s="72" t="s">
        <v>30</v>
      </c>
      <c r="M834" s="72" t="s">
        <v>30</v>
      </c>
      <c r="N834" s="72" t="s">
        <v>30</v>
      </c>
      <c r="O834" s="73" t="s">
        <v>30</v>
      </c>
      <c r="P834" s="72" t="s">
        <v>30</v>
      </c>
      <c r="Q834" s="72" t="s">
        <v>30</v>
      </c>
      <c r="R834" s="72" t="s">
        <v>30</v>
      </c>
      <c r="S834" s="72" t="s">
        <v>30</v>
      </c>
      <c r="T834" s="72" t="s">
        <v>30</v>
      </c>
      <c r="W834" s="31"/>
    </row>
    <row r="835">
      <c r="B835" s="72" t="s">
        <v>30</v>
      </c>
      <c r="C835" s="72" t="s">
        <v>30</v>
      </c>
      <c r="D835" s="72" t="s">
        <v>30</v>
      </c>
      <c r="E835" s="72" t="s">
        <v>30</v>
      </c>
      <c r="F835" s="72" t="s">
        <v>30</v>
      </c>
      <c r="G835" s="72" t="s">
        <v>30</v>
      </c>
      <c r="H835" s="72" t="s">
        <v>30</v>
      </c>
      <c r="I835" s="73" t="s">
        <v>30</v>
      </c>
      <c r="J835" s="72" t="s">
        <v>30</v>
      </c>
      <c r="K835" s="72" t="s">
        <v>30</v>
      </c>
      <c r="L835" s="72" t="s">
        <v>30</v>
      </c>
      <c r="M835" s="72" t="s">
        <v>30</v>
      </c>
      <c r="N835" s="72" t="s">
        <v>30</v>
      </c>
      <c r="O835" s="73" t="s">
        <v>30</v>
      </c>
      <c r="P835" s="72" t="s">
        <v>30</v>
      </c>
      <c r="Q835" s="72" t="s">
        <v>30</v>
      </c>
      <c r="R835" s="72" t="s">
        <v>30</v>
      </c>
      <c r="S835" s="72" t="s">
        <v>30</v>
      </c>
      <c r="T835" s="72" t="s">
        <v>30</v>
      </c>
      <c r="W835" s="31"/>
    </row>
    <row r="836">
      <c r="B836" s="72" t="s">
        <v>30</v>
      </c>
      <c r="C836" s="72" t="s">
        <v>30</v>
      </c>
      <c r="D836" s="72" t="s">
        <v>30</v>
      </c>
      <c r="E836" s="72" t="s">
        <v>30</v>
      </c>
      <c r="F836" s="72" t="s">
        <v>30</v>
      </c>
      <c r="G836" s="72" t="s">
        <v>30</v>
      </c>
      <c r="H836" s="72" t="s">
        <v>30</v>
      </c>
      <c r="I836" s="73" t="s">
        <v>30</v>
      </c>
      <c r="J836" s="72" t="s">
        <v>30</v>
      </c>
      <c r="K836" s="72" t="s">
        <v>30</v>
      </c>
      <c r="L836" s="72" t="s">
        <v>30</v>
      </c>
      <c r="M836" s="72" t="s">
        <v>30</v>
      </c>
      <c r="N836" s="72" t="s">
        <v>30</v>
      </c>
      <c r="O836" s="73" t="s">
        <v>30</v>
      </c>
      <c r="P836" s="72" t="s">
        <v>30</v>
      </c>
      <c r="Q836" s="72" t="s">
        <v>30</v>
      </c>
      <c r="R836" s="72" t="s">
        <v>30</v>
      </c>
      <c r="S836" s="72" t="s">
        <v>30</v>
      </c>
      <c r="T836" s="72" t="s">
        <v>30</v>
      </c>
      <c r="W836" s="31"/>
    </row>
    <row r="837">
      <c r="B837" s="72" t="s">
        <v>30</v>
      </c>
      <c r="C837" s="72" t="s">
        <v>30</v>
      </c>
      <c r="D837" s="72" t="s">
        <v>30</v>
      </c>
      <c r="E837" s="72" t="s">
        <v>30</v>
      </c>
      <c r="F837" s="72" t="s">
        <v>30</v>
      </c>
      <c r="G837" s="72" t="s">
        <v>30</v>
      </c>
      <c r="H837" s="72" t="s">
        <v>30</v>
      </c>
      <c r="I837" s="73" t="s">
        <v>30</v>
      </c>
      <c r="J837" s="72" t="s">
        <v>30</v>
      </c>
      <c r="K837" s="72" t="s">
        <v>30</v>
      </c>
      <c r="L837" s="72" t="s">
        <v>30</v>
      </c>
      <c r="M837" s="72" t="s">
        <v>30</v>
      </c>
      <c r="N837" s="72" t="s">
        <v>30</v>
      </c>
      <c r="O837" s="73" t="s">
        <v>30</v>
      </c>
      <c r="P837" s="72" t="s">
        <v>30</v>
      </c>
      <c r="Q837" s="72" t="s">
        <v>30</v>
      </c>
      <c r="R837" s="72" t="s">
        <v>30</v>
      </c>
      <c r="S837" s="72" t="s">
        <v>30</v>
      </c>
      <c r="T837" s="72" t="s">
        <v>30</v>
      </c>
      <c r="W837" s="31"/>
    </row>
    <row r="838">
      <c r="B838" s="72" t="s">
        <v>30</v>
      </c>
      <c r="C838" s="72" t="s">
        <v>30</v>
      </c>
      <c r="D838" s="72" t="s">
        <v>30</v>
      </c>
      <c r="E838" s="72" t="s">
        <v>30</v>
      </c>
      <c r="F838" s="72" t="s">
        <v>30</v>
      </c>
      <c r="G838" s="72" t="s">
        <v>30</v>
      </c>
      <c r="H838" s="72" t="s">
        <v>30</v>
      </c>
      <c r="I838" s="73" t="s">
        <v>30</v>
      </c>
      <c r="J838" s="72" t="s">
        <v>30</v>
      </c>
      <c r="K838" s="72" t="s">
        <v>30</v>
      </c>
      <c r="L838" s="72" t="s">
        <v>30</v>
      </c>
      <c r="M838" s="72" t="s">
        <v>30</v>
      </c>
      <c r="N838" s="72" t="s">
        <v>30</v>
      </c>
      <c r="O838" s="73" t="s">
        <v>30</v>
      </c>
      <c r="P838" s="72" t="s">
        <v>30</v>
      </c>
      <c r="Q838" s="72" t="s">
        <v>30</v>
      </c>
      <c r="R838" s="72" t="s">
        <v>30</v>
      </c>
      <c r="S838" s="72" t="s">
        <v>30</v>
      </c>
      <c r="T838" s="72" t="s">
        <v>30</v>
      </c>
      <c r="W838" s="31"/>
    </row>
    <row r="839">
      <c r="B839" s="72" t="s">
        <v>30</v>
      </c>
      <c r="C839" s="72" t="s">
        <v>30</v>
      </c>
      <c r="D839" s="72" t="s">
        <v>30</v>
      </c>
      <c r="E839" s="72" t="s">
        <v>30</v>
      </c>
      <c r="F839" s="72" t="s">
        <v>30</v>
      </c>
      <c r="G839" s="72" t="s">
        <v>30</v>
      </c>
      <c r="H839" s="72" t="s">
        <v>30</v>
      </c>
      <c r="I839" s="73" t="s">
        <v>30</v>
      </c>
      <c r="J839" s="72" t="s">
        <v>30</v>
      </c>
      <c r="K839" s="72" t="s">
        <v>30</v>
      </c>
      <c r="L839" s="72" t="s">
        <v>30</v>
      </c>
      <c r="M839" s="72" t="s">
        <v>30</v>
      </c>
      <c r="N839" s="72" t="s">
        <v>30</v>
      </c>
      <c r="O839" s="73" t="s">
        <v>30</v>
      </c>
      <c r="P839" s="72" t="s">
        <v>30</v>
      </c>
      <c r="Q839" s="72" t="s">
        <v>30</v>
      </c>
      <c r="R839" s="72" t="s">
        <v>30</v>
      </c>
      <c r="S839" s="72" t="s">
        <v>30</v>
      </c>
      <c r="T839" s="72" t="s">
        <v>30</v>
      </c>
      <c r="W839" s="31"/>
    </row>
    <row r="840">
      <c r="B840" s="72" t="s">
        <v>30</v>
      </c>
      <c r="C840" s="72" t="s">
        <v>30</v>
      </c>
      <c r="D840" s="72" t="s">
        <v>30</v>
      </c>
      <c r="E840" s="72" t="s">
        <v>30</v>
      </c>
      <c r="F840" s="72" t="s">
        <v>30</v>
      </c>
      <c r="G840" s="72" t="s">
        <v>30</v>
      </c>
      <c r="H840" s="72" t="s">
        <v>30</v>
      </c>
      <c r="I840" s="73" t="s">
        <v>30</v>
      </c>
      <c r="J840" s="72" t="s">
        <v>30</v>
      </c>
      <c r="K840" s="72" t="s">
        <v>30</v>
      </c>
      <c r="L840" s="72" t="s">
        <v>30</v>
      </c>
      <c r="M840" s="72" t="s">
        <v>30</v>
      </c>
      <c r="N840" s="72" t="s">
        <v>30</v>
      </c>
      <c r="O840" s="73" t="s">
        <v>30</v>
      </c>
      <c r="P840" s="72" t="s">
        <v>30</v>
      </c>
      <c r="Q840" s="72" t="s">
        <v>30</v>
      </c>
      <c r="R840" s="72" t="s">
        <v>30</v>
      </c>
      <c r="S840" s="72" t="s">
        <v>30</v>
      </c>
      <c r="T840" s="72" t="s">
        <v>30</v>
      </c>
      <c r="W840" s="31"/>
    </row>
    <row r="841">
      <c r="B841" s="72" t="s">
        <v>30</v>
      </c>
      <c r="C841" s="72" t="s">
        <v>30</v>
      </c>
      <c r="D841" s="72" t="s">
        <v>30</v>
      </c>
      <c r="E841" s="72" t="s">
        <v>30</v>
      </c>
      <c r="F841" s="72" t="s">
        <v>30</v>
      </c>
      <c r="G841" s="72" t="s">
        <v>30</v>
      </c>
      <c r="H841" s="72" t="s">
        <v>30</v>
      </c>
      <c r="I841" s="73" t="s">
        <v>30</v>
      </c>
      <c r="J841" s="72" t="s">
        <v>30</v>
      </c>
      <c r="K841" s="72" t="s">
        <v>30</v>
      </c>
      <c r="L841" s="72" t="s">
        <v>30</v>
      </c>
      <c r="M841" s="72" t="s">
        <v>30</v>
      </c>
      <c r="N841" s="72" t="s">
        <v>30</v>
      </c>
      <c r="O841" s="73" t="s">
        <v>30</v>
      </c>
      <c r="P841" s="72" t="s">
        <v>30</v>
      </c>
      <c r="Q841" s="72" t="s">
        <v>30</v>
      </c>
      <c r="R841" s="72" t="s">
        <v>30</v>
      </c>
      <c r="S841" s="72" t="s">
        <v>30</v>
      </c>
      <c r="T841" s="72" t="s">
        <v>30</v>
      </c>
      <c r="W841" s="31"/>
    </row>
    <row r="842">
      <c r="B842" s="72" t="s">
        <v>30</v>
      </c>
      <c r="C842" s="72" t="s">
        <v>30</v>
      </c>
      <c r="D842" s="72" t="s">
        <v>30</v>
      </c>
      <c r="E842" s="72" t="s">
        <v>30</v>
      </c>
      <c r="F842" s="72" t="s">
        <v>30</v>
      </c>
      <c r="G842" s="72" t="s">
        <v>30</v>
      </c>
      <c r="H842" s="72" t="s">
        <v>30</v>
      </c>
      <c r="I842" s="73" t="s">
        <v>30</v>
      </c>
      <c r="J842" s="72" t="s">
        <v>30</v>
      </c>
      <c r="K842" s="72" t="s">
        <v>30</v>
      </c>
      <c r="L842" s="72" t="s">
        <v>30</v>
      </c>
      <c r="M842" s="72" t="s">
        <v>30</v>
      </c>
      <c r="N842" s="72" t="s">
        <v>30</v>
      </c>
      <c r="O842" s="73" t="s">
        <v>30</v>
      </c>
      <c r="P842" s="72" t="s">
        <v>30</v>
      </c>
      <c r="Q842" s="72" t="s">
        <v>30</v>
      </c>
      <c r="R842" s="72" t="s">
        <v>30</v>
      </c>
      <c r="S842" s="72" t="s">
        <v>30</v>
      </c>
      <c r="T842" s="72" t="s">
        <v>30</v>
      </c>
      <c r="W842" s="31"/>
    </row>
    <row r="843">
      <c r="B843" s="72" t="s">
        <v>30</v>
      </c>
      <c r="C843" s="72" t="s">
        <v>30</v>
      </c>
      <c r="D843" s="72" t="s">
        <v>30</v>
      </c>
      <c r="E843" s="72" t="s">
        <v>30</v>
      </c>
      <c r="F843" s="72" t="s">
        <v>30</v>
      </c>
      <c r="G843" s="72" t="s">
        <v>30</v>
      </c>
      <c r="H843" s="72" t="s">
        <v>30</v>
      </c>
      <c r="I843" s="73" t="s">
        <v>30</v>
      </c>
      <c r="J843" s="72" t="s">
        <v>30</v>
      </c>
      <c r="K843" s="72" t="s">
        <v>30</v>
      </c>
      <c r="L843" s="72" t="s">
        <v>30</v>
      </c>
      <c r="M843" s="72" t="s">
        <v>30</v>
      </c>
      <c r="N843" s="72" t="s">
        <v>30</v>
      </c>
      <c r="O843" s="73" t="s">
        <v>30</v>
      </c>
      <c r="P843" s="72" t="s">
        <v>30</v>
      </c>
      <c r="Q843" s="72" t="s">
        <v>30</v>
      </c>
      <c r="R843" s="72" t="s">
        <v>30</v>
      </c>
      <c r="S843" s="72" t="s">
        <v>30</v>
      </c>
      <c r="T843" s="72" t="s">
        <v>30</v>
      </c>
      <c r="W843" s="31"/>
    </row>
    <row r="844">
      <c r="B844" s="72" t="s">
        <v>30</v>
      </c>
      <c r="C844" s="72" t="s">
        <v>30</v>
      </c>
      <c r="D844" s="72" t="s">
        <v>30</v>
      </c>
      <c r="E844" s="72" t="s">
        <v>30</v>
      </c>
      <c r="F844" s="72" t="s">
        <v>30</v>
      </c>
      <c r="G844" s="72" t="s">
        <v>30</v>
      </c>
      <c r="H844" s="72" t="s">
        <v>30</v>
      </c>
      <c r="I844" s="73" t="s">
        <v>30</v>
      </c>
      <c r="J844" s="72" t="s">
        <v>30</v>
      </c>
      <c r="K844" s="72" t="s">
        <v>30</v>
      </c>
      <c r="L844" s="72" t="s">
        <v>30</v>
      </c>
      <c r="M844" s="72" t="s">
        <v>30</v>
      </c>
      <c r="N844" s="72" t="s">
        <v>30</v>
      </c>
      <c r="O844" s="73" t="s">
        <v>30</v>
      </c>
      <c r="P844" s="72" t="s">
        <v>30</v>
      </c>
      <c r="Q844" s="72" t="s">
        <v>30</v>
      </c>
      <c r="R844" s="72" t="s">
        <v>30</v>
      </c>
      <c r="S844" s="72" t="s">
        <v>30</v>
      </c>
      <c r="T844" s="72" t="s">
        <v>30</v>
      </c>
      <c r="W844" s="31"/>
    </row>
    <row r="845">
      <c r="B845" s="72" t="s">
        <v>30</v>
      </c>
      <c r="C845" s="72" t="s">
        <v>30</v>
      </c>
      <c r="D845" s="72" t="s">
        <v>30</v>
      </c>
      <c r="E845" s="72" t="s">
        <v>30</v>
      </c>
      <c r="F845" s="72" t="s">
        <v>30</v>
      </c>
      <c r="G845" s="72" t="s">
        <v>30</v>
      </c>
      <c r="H845" s="72" t="s">
        <v>30</v>
      </c>
      <c r="I845" s="73" t="s">
        <v>30</v>
      </c>
      <c r="J845" s="72" t="s">
        <v>30</v>
      </c>
      <c r="K845" s="72" t="s">
        <v>30</v>
      </c>
      <c r="L845" s="72" t="s">
        <v>30</v>
      </c>
      <c r="M845" s="72" t="s">
        <v>30</v>
      </c>
      <c r="N845" s="72" t="s">
        <v>30</v>
      </c>
      <c r="O845" s="73" t="s">
        <v>30</v>
      </c>
      <c r="P845" s="72" t="s">
        <v>30</v>
      </c>
      <c r="Q845" s="72" t="s">
        <v>30</v>
      </c>
      <c r="R845" s="72" t="s">
        <v>30</v>
      </c>
      <c r="S845" s="72" t="s">
        <v>30</v>
      </c>
      <c r="T845" s="72" t="s">
        <v>30</v>
      </c>
      <c r="W845" s="31"/>
    </row>
    <row r="846">
      <c r="B846" s="72" t="s">
        <v>30</v>
      </c>
      <c r="C846" s="72" t="s">
        <v>30</v>
      </c>
      <c r="D846" s="72" t="s">
        <v>30</v>
      </c>
      <c r="E846" s="72" t="s">
        <v>30</v>
      </c>
      <c r="F846" s="72" t="s">
        <v>30</v>
      </c>
      <c r="G846" s="72" t="s">
        <v>30</v>
      </c>
      <c r="H846" s="72" t="s">
        <v>30</v>
      </c>
      <c r="I846" s="73" t="s">
        <v>30</v>
      </c>
      <c r="J846" s="72" t="s">
        <v>30</v>
      </c>
      <c r="K846" s="72" t="s">
        <v>30</v>
      </c>
      <c r="L846" s="72" t="s">
        <v>30</v>
      </c>
      <c r="M846" s="72" t="s">
        <v>30</v>
      </c>
      <c r="N846" s="72" t="s">
        <v>30</v>
      </c>
      <c r="O846" s="73" t="s">
        <v>30</v>
      </c>
      <c r="P846" s="72" t="s">
        <v>30</v>
      </c>
      <c r="Q846" s="72" t="s">
        <v>30</v>
      </c>
      <c r="R846" s="72" t="s">
        <v>30</v>
      </c>
      <c r="S846" s="72" t="s">
        <v>30</v>
      </c>
      <c r="T846" s="72" t="s">
        <v>30</v>
      </c>
      <c r="W846" s="31"/>
    </row>
    <row r="847">
      <c r="B847" s="72" t="s">
        <v>30</v>
      </c>
      <c r="C847" s="72" t="s">
        <v>30</v>
      </c>
      <c r="D847" s="72" t="s">
        <v>30</v>
      </c>
      <c r="E847" s="72" t="s">
        <v>30</v>
      </c>
      <c r="F847" s="72" t="s">
        <v>30</v>
      </c>
      <c r="G847" s="72" t="s">
        <v>30</v>
      </c>
      <c r="H847" s="72" t="s">
        <v>30</v>
      </c>
      <c r="I847" s="73" t="s">
        <v>30</v>
      </c>
      <c r="J847" s="72" t="s">
        <v>30</v>
      </c>
      <c r="K847" s="72" t="s">
        <v>30</v>
      </c>
      <c r="L847" s="72" t="s">
        <v>30</v>
      </c>
      <c r="M847" s="72" t="s">
        <v>30</v>
      </c>
      <c r="N847" s="72" t="s">
        <v>30</v>
      </c>
      <c r="O847" s="73" t="s">
        <v>30</v>
      </c>
      <c r="P847" s="72" t="s">
        <v>30</v>
      </c>
      <c r="Q847" s="72" t="s">
        <v>30</v>
      </c>
      <c r="R847" s="72" t="s">
        <v>30</v>
      </c>
      <c r="S847" s="72" t="s">
        <v>30</v>
      </c>
      <c r="T847" s="72" t="s">
        <v>30</v>
      </c>
      <c r="W847" s="31"/>
    </row>
    <row r="848">
      <c r="B848" s="72" t="s">
        <v>30</v>
      </c>
      <c r="C848" s="72" t="s">
        <v>30</v>
      </c>
      <c r="D848" s="72" t="s">
        <v>30</v>
      </c>
      <c r="E848" s="72" t="s">
        <v>30</v>
      </c>
      <c r="F848" s="72" t="s">
        <v>30</v>
      </c>
      <c r="G848" s="72" t="s">
        <v>30</v>
      </c>
      <c r="H848" s="72" t="s">
        <v>30</v>
      </c>
      <c r="I848" s="73" t="s">
        <v>30</v>
      </c>
      <c r="J848" s="72" t="s">
        <v>30</v>
      </c>
      <c r="K848" s="72" t="s">
        <v>30</v>
      </c>
      <c r="L848" s="72" t="s">
        <v>30</v>
      </c>
      <c r="M848" s="72" t="s">
        <v>30</v>
      </c>
      <c r="N848" s="72" t="s">
        <v>30</v>
      </c>
      <c r="O848" s="73" t="s">
        <v>30</v>
      </c>
      <c r="P848" s="72" t="s">
        <v>30</v>
      </c>
      <c r="Q848" s="72" t="s">
        <v>30</v>
      </c>
      <c r="R848" s="72" t="s">
        <v>30</v>
      </c>
      <c r="S848" s="72" t="s">
        <v>30</v>
      </c>
      <c r="T848" s="72" t="s">
        <v>30</v>
      </c>
      <c r="W848" s="31"/>
    </row>
    <row r="849">
      <c r="B849" s="72" t="s">
        <v>30</v>
      </c>
      <c r="C849" s="72" t="s">
        <v>30</v>
      </c>
      <c r="D849" s="72" t="s">
        <v>30</v>
      </c>
      <c r="E849" s="72" t="s">
        <v>30</v>
      </c>
      <c r="F849" s="72" t="s">
        <v>30</v>
      </c>
      <c r="G849" s="72" t="s">
        <v>30</v>
      </c>
      <c r="H849" s="72" t="s">
        <v>30</v>
      </c>
      <c r="I849" s="73" t="s">
        <v>30</v>
      </c>
      <c r="J849" s="72" t="s">
        <v>30</v>
      </c>
      <c r="K849" s="72" t="s">
        <v>30</v>
      </c>
      <c r="L849" s="72" t="s">
        <v>30</v>
      </c>
      <c r="M849" s="72" t="s">
        <v>30</v>
      </c>
      <c r="N849" s="72" t="s">
        <v>30</v>
      </c>
      <c r="O849" s="73" t="s">
        <v>30</v>
      </c>
      <c r="P849" s="72" t="s">
        <v>30</v>
      </c>
      <c r="Q849" s="72" t="s">
        <v>30</v>
      </c>
      <c r="R849" s="72" t="s">
        <v>30</v>
      </c>
      <c r="S849" s="72" t="s">
        <v>30</v>
      </c>
      <c r="T849" s="72" t="s">
        <v>30</v>
      </c>
      <c r="W849" s="31"/>
    </row>
    <row r="850">
      <c r="B850" s="72" t="s">
        <v>30</v>
      </c>
      <c r="C850" s="72" t="s">
        <v>30</v>
      </c>
      <c r="D850" s="72" t="s">
        <v>30</v>
      </c>
      <c r="E850" s="72" t="s">
        <v>30</v>
      </c>
      <c r="F850" s="72" t="s">
        <v>30</v>
      </c>
      <c r="G850" s="72" t="s">
        <v>30</v>
      </c>
      <c r="H850" s="72" t="s">
        <v>30</v>
      </c>
      <c r="I850" s="73" t="s">
        <v>30</v>
      </c>
      <c r="J850" s="72" t="s">
        <v>30</v>
      </c>
      <c r="K850" s="72" t="s">
        <v>30</v>
      </c>
      <c r="L850" s="72" t="s">
        <v>30</v>
      </c>
      <c r="M850" s="72" t="s">
        <v>30</v>
      </c>
      <c r="N850" s="72" t="s">
        <v>30</v>
      </c>
      <c r="O850" s="73" t="s">
        <v>30</v>
      </c>
      <c r="P850" s="72" t="s">
        <v>30</v>
      </c>
      <c r="Q850" s="72" t="s">
        <v>30</v>
      </c>
      <c r="R850" s="72" t="s">
        <v>30</v>
      </c>
      <c r="S850" s="72" t="s">
        <v>30</v>
      </c>
      <c r="T850" s="72" t="s">
        <v>30</v>
      </c>
      <c r="W850" s="31"/>
    </row>
    <row r="851">
      <c r="B851" s="72" t="s">
        <v>30</v>
      </c>
      <c r="C851" s="72" t="s">
        <v>30</v>
      </c>
      <c r="D851" s="72" t="s">
        <v>30</v>
      </c>
      <c r="E851" s="72" t="s">
        <v>30</v>
      </c>
      <c r="F851" s="72" t="s">
        <v>30</v>
      </c>
      <c r="G851" s="72" t="s">
        <v>30</v>
      </c>
      <c r="H851" s="72" t="s">
        <v>30</v>
      </c>
      <c r="I851" s="73" t="s">
        <v>30</v>
      </c>
      <c r="J851" s="72" t="s">
        <v>30</v>
      </c>
      <c r="K851" s="72" t="s">
        <v>30</v>
      </c>
      <c r="L851" s="72" t="s">
        <v>30</v>
      </c>
      <c r="M851" s="72" t="s">
        <v>30</v>
      </c>
      <c r="N851" s="72" t="s">
        <v>30</v>
      </c>
      <c r="O851" s="73" t="s">
        <v>30</v>
      </c>
      <c r="P851" s="72" t="s">
        <v>30</v>
      </c>
      <c r="Q851" s="72" t="s">
        <v>30</v>
      </c>
      <c r="R851" s="72" t="s">
        <v>30</v>
      </c>
      <c r="S851" s="72" t="s">
        <v>30</v>
      </c>
      <c r="T851" s="72" t="s">
        <v>30</v>
      </c>
      <c r="W851" s="31"/>
    </row>
    <row r="852">
      <c r="B852" s="72" t="s">
        <v>30</v>
      </c>
      <c r="C852" s="72" t="s">
        <v>30</v>
      </c>
      <c r="D852" s="72" t="s">
        <v>30</v>
      </c>
      <c r="E852" s="72" t="s">
        <v>30</v>
      </c>
      <c r="F852" s="72" t="s">
        <v>30</v>
      </c>
      <c r="G852" s="72" t="s">
        <v>30</v>
      </c>
      <c r="H852" s="72" t="s">
        <v>30</v>
      </c>
      <c r="I852" s="73" t="s">
        <v>30</v>
      </c>
      <c r="J852" s="72" t="s">
        <v>30</v>
      </c>
      <c r="K852" s="72" t="s">
        <v>30</v>
      </c>
      <c r="L852" s="72" t="s">
        <v>30</v>
      </c>
      <c r="M852" s="72" t="s">
        <v>30</v>
      </c>
      <c r="N852" s="72" t="s">
        <v>30</v>
      </c>
      <c r="O852" s="73" t="s">
        <v>30</v>
      </c>
      <c r="P852" s="72" t="s">
        <v>30</v>
      </c>
      <c r="Q852" s="72" t="s">
        <v>30</v>
      </c>
      <c r="R852" s="72" t="s">
        <v>30</v>
      </c>
      <c r="S852" s="72" t="s">
        <v>30</v>
      </c>
      <c r="T852" s="72" t="s">
        <v>30</v>
      </c>
      <c r="W852" s="31"/>
    </row>
    <row r="853">
      <c r="B853" s="72" t="s">
        <v>30</v>
      </c>
      <c r="C853" s="72" t="s">
        <v>30</v>
      </c>
      <c r="D853" s="72" t="s">
        <v>30</v>
      </c>
      <c r="E853" s="72" t="s">
        <v>30</v>
      </c>
      <c r="F853" s="72" t="s">
        <v>30</v>
      </c>
      <c r="G853" s="72" t="s">
        <v>30</v>
      </c>
      <c r="H853" s="72" t="s">
        <v>30</v>
      </c>
      <c r="I853" s="73" t="s">
        <v>30</v>
      </c>
      <c r="J853" s="72" t="s">
        <v>30</v>
      </c>
      <c r="K853" s="72" t="s">
        <v>30</v>
      </c>
      <c r="L853" s="72" t="s">
        <v>30</v>
      </c>
      <c r="M853" s="72" t="s">
        <v>30</v>
      </c>
      <c r="N853" s="72" t="s">
        <v>30</v>
      </c>
      <c r="O853" s="73" t="s">
        <v>30</v>
      </c>
      <c r="P853" s="72" t="s">
        <v>30</v>
      </c>
      <c r="Q853" s="72" t="s">
        <v>30</v>
      </c>
      <c r="R853" s="72" t="s">
        <v>30</v>
      </c>
      <c r="S853" s="72" t="s">
        <v>30</v>
      </c>
      <c r="T853" s="72" t="s">
        <v>30</v>
      </c>
      <c r="W853" s="31"/>
    </row>
    <row r="854">
      <c r="B854" s="72" t="s">
        <v>30</v>
      </c>
      <c r="C854" s="72" t="s">
        <v>30</v>
      </c>
      <c r="D854" s="72" t="s">
        <v>30</v>
      </c>
      <c r="E854" s="72" t="s">
        <v>30</v>
      </c>
      <c r="F854" s="72" t="s">
        <v>30</v>
      </c>
      <c r="G854" s="72" t="s">
        <v>30</v>
      </c>
      <c r="H854" s="72" t="s">
        <v>30</v>
      </c>
      <c r="I854" s="73" t="s">
        <v>30</v>
      </c>
      <c r="J854" s="72" t="s">
        <v>30</v>
      </c>
      <c r="K854" s="72" t="s">
        <v>30</v>
      </c>
      <c r="L854" s="72" t="s">
        <v>30</v>
      </c>
      <c r="M854" s="72" t="s">
        <v>30</v>
      </c>
      <c r="N854" s="72" t="s">
        <v>30</v>
      </c>
      <c r="O854" s="73" t="s">
        <v>30</v>
      </c>
      <c r="P854" s="72" t="s">
        <v>30</v>
      </c>
      <c r="Q854" s="72" t="s">
        <v>30</v>
      </c>
      <c r="R854" s="72" t="s">
        <v>30</v>
      </c>
      <c r="S854" s="72" t="s">
        <v>30</v>
      </c>
      <c r="T854" s="72" t="s">
        <v>30</v>
      </c>
      <c r="W854" s="31"/>
    </row>
    <row r="855">
      <c r="B855" s="72" t="s">
        <v>30</v>
      </c>
      <c r="C855" s="72" t="s">
        <v>30</v>
      </c>
      <c r="D855" s="72" t="s">
        <v>30</v>
      </c>
      <c r="E855" s="72" t="s">
        <v>30</v>
      </c>
      <c r="F855" s="72" t="s">
        <v>30</v>
      </c>
      <c r="G855" s="72" t="s">
        <v>30</v>
      </c>
      <c r="H855" s="72" t="s">
        <v>30</v>
      </c>
      <c r="I855" s="73" t="s">
        <v>30</v>
      </c>
      <c r="J855" s="72" t="s">
        <v>30</v>
      </c>
      <c r="K855" s="72" t="s">
        <v>30</v>
      </c>
      <c r="L855" s="72" t="s">
        <v>30</v>
      </c>
      <c r="M855" s="72" t="s">
        <v>30</v>
      </c>
      <c r="N855" s="72" t="s">
        <v>30</v>
      </c>
      <c r="O855" s="73" t="s">
        <v>30</v>
      </c>
      <c r="P855" s="72" t="s">
        <v>30</v>
      </c>
      <c r="Q855" s="72" t="s">
        <v>30</v>
      </c>
      <c r="R855" s="72" t="s">
        <v>30</v>
      </c>
      <c r="S855" s="72" t="s">
        <v>30</v>
      </c>
      <c r="T855" s="72" t="s">
        <v>30</v>
      </c>
      <c r="W855" s="31"/>
    </row>
    <row r="856">
      <c r="B856" s="72" t="s">
        <v>30</v>
      </c>
      <c r="C856" s="72" t="s">
        <v>30</v>
      </c>
      <c r="D856" s="72" t="s">
        <v>30</v>
      </c>
      <c r="E856" s="72" t="s">
        <v>30</v>
      </c>
      <c r="F856" s="72" t="s">
        <v>30</v>
      </c>
      <c r="G856" s="72" t="s">
        <v>30</v>
      </c>
      <c r="H856" s="72" t="s">
        <v>30</v>
      </c>
      <c r="I856" s="73" t="s">
        <v>30</v>
      </c>
      <c r="J856" s="72" t="s">
        <v>30</v>
      </c>
      <c r="K856" s="72" t="s">
        <v>30</v>
      </c>
      <c r="L856" s="72" t="s">
        <v>30</v>
      </c>
      <c r="M856" s="72" t="s">
        <v>30</v>
      </c>
      <c r="N856" s="72" t="s">
        <v>30</v>
      </c>
      <c r="O856" s="73" t="s">
        <v>30</v>
      </c>
      <c r="P856" s="72" t="s">
        <v>30</v>
      </c>
      <c r="Q856" s="72" t="s">
        <v>30</v>
      </c>
      <c r="R856" s="72" t="s">
        <v>30</v>
      </c>
      <c r="S856" s="72" t="s">
        <v>30</v>
      </c>
      <c r="T856" s="72" t="s">
        <v>30</v>
      </c>
      <c r="W856" s="31"/>
    </row>
    <row r="857">
      <c r="B857" s="72" t="s">
        <v>30</v>
      </c>
      <c r="C857" s="72" t="s">
        <v>30</v>
      </c>
      <c r="D857" s="72" t="s">
        <v>30</v>
      </c>
      <c r="E857" s="72" t="s">
        <v>30</v>
      </c>
      <c r="F857" s="72" t="s">
        <v>30</v>
      </c>
      <c r="G857" s="72" t="s">
        <v>30</v>
      </c>
      <c r="H857" s="72" t="s">
        <v>30</v>
      </c>
      <c r="I857" s="73" t="s">
        <v>30</v>
      </c>
      <c r="J857" s="72" t="s">
        <v>30</v>
      </c>
      <c r="K857" s="72" t="s">
        <v>30</v>
      </c>
      <c r="L857" s="72" t="s">
        <v>30</v>
      </c>
      <c r="M857" s="72" t="s">
        <v>30</v>
      </c>
      <c r="N857" s="72" t="s">
        <v>30</v>
      </c>
      <c r="O857" s="73" t="s">
        <v>30</v>
      </c>
      <c r="P857" s="72" t="s">
        <v>30</v>
      </c>
      <c r="Q857" s="72" t="s">
        <v>30</v>
      </c>
      <c r="R857" s="72" t="s">
        <v>30</v>
      </c>
      <c r="S857" s="72" t="s">
        <v>30</v>
      </c>
      <c r="T857" s="72" t="s">
        <v>30</v>
      </c>
      <c r="W857" s="31"/>
    </row>
    <row r="858">
      <c r="B858" s="72" t="s">
        <v>30</v>
      </c>
      <c r="C858" s="72" t="s">
        <v>30</v>
      </c>
      <c r="D858" s="72" t="s">
        <v>30</v>
      </c>
      <c r="E858" s="72" t="s">
        <v>30</v>
      </c>
      <c r="F858" s="72" t="s">
        <v>30</v>
      </c>
      <c r="G858" s="72" t="s">
        <v>30</v>
      </c>
      <c r="H858" s="72" t="s">
        <v>30</v>
      </c>
      <c r="I858" s="73" t="s">
        <v>30</v>
      </c>
      <c r="J858" s="72" t="s">
        <v>30</v>
      </c>
      <c r="K858" s="72" t="s">
        <v>30</v>
      </c>
      <c r="L858" s="72" t="s">
        <v>30</v>
      </c>
      <c r="M858" s="72" t="s">
        <v>30</v>
      </c>
      <c r="N858" s="72" t="s">
        <v>30</v>
      </c>
      <c r="O858" s="73" t="s">
        <v>30</v>
      </c>
      <c r="P858" s="72" t="s">
        <v>30</v>
      </c>
      <c r="Q858" s="72" t="s">
        <v>30</v>
      </c>
      <c r="R858" s="72" t="s">
        <v>30</v>
      </c>
      <c r="S858" s="72" t="s">
        <v>30</v>
      </c>
      <c r="T858" s="72" t="s">
        <v>30</v>
      </c>
      <c r="W858" s="31"/>
    </row>
    <row r="859">
      <c r="B859" s="72" t="s">
        <v>30</v>
      </c>
      <c r="C859" s="72" t="s">
        <v>30</v>
      </c>
      <c r="D859" s="72" t="s">
        <v>30</v>
      </c>
      <c r="E859" s="72" t="s">
        <v>30</v>
      </c>
      <c r="F859" s="72" t="s">
        <v>30</v>
      </c>
      <c r="G859" s="72" t="s">
        <v>30</v>
      </c>
      <c r="H859" s="72" t="s">
        <v>30</v>
      </c>
      <c r="I859" s="73" t="s">
        <v>30</v>
      </c>
      <c r="J859" s="72" t="s">
        <v>30</v>
      </c>
      <c r="K859" s="72" t="s">
        <v>30</v>
      </c>
      <c r="L859" s="72" t="s">
        <v>30</v>
      </c>
      <c r="M859" s="72" t="s">
        <v>30</v>
      </c>
      <c r="N859" s="72" t="s">
        <v>30</v>
      </c>
      <c r="O859" s="73" t="s">
        <v>30</v>
      </c>
      <c r="P859" s="72" t="s">
        <v>30</v>
      </c>
      <c r="Q859" s="72" t="s">
        <v>30</v>
      </c>
      <c r="R859" s="72" t="s">
        <v>30</v>
      </c>
      <c r="S859" s="72" t="s">
        <v>30</v>
      </c>
      <c r="T859" s="72" t="s">
        <v>30</v>
      </c>
      <c r="W859" s="31"/>
    </row>
    <row r="860">
      <c r="B860" s="72" t="s">
        <v>30</v>
      </c>
      <c r="C860" s="72" t="s">
        <v>30</v>
      </c>
      <c r="D860" s="72" t="s">
        <v>30</v>
      </c>
      <c r="E860" s="72" t="s">
        <v>30</v>
      </c>
      <c r="F860" s="72" t="s">
        <v>30</v>
      </c>
      <c r="G860" s="72" t="s">
        <v>30</v>
      </c>
      <c r="H860" s="72" t="s">
        <v>30</v>
      </c>
      <c r="I860" s="73" t="s">
        <v>30</v>
      </c>
      <c r="J860" s="72" t="s">
        <v>30</v>
      </c>
      <c r="K860" s="72" t="s">
        <v>30</v>
      </c>
      <c r="L860" s="72" t="s">
        <v>30</v>
      </c>
      <c r="M860" s="72" t="s">
        <v>30</v>
      </c>
      <c r="N860" s="72" t="s">
        <v>30</v>
      </c>
      <c r="O860" s="73" t="s">
        <v>30</v>
      </c>
      <c r="P860" s="72" t="s">
        <v>30</v>
      </c>
      <c r="Q860" s="72" t="s">
        <v>30</v>
      </c>
      <c r="R860" s="72" t="s">
        <v>30</v>
      </c>
      <c r="S860" s="72" t="s">
        <v>30</v>
      </c>
      <c r="T860" s="72" t="s">
        <v>30</v>
      </c>
      <c r="W860" s="31"/>
    </row>
    <row r="861">
      <c r="B861" s="72" t="s">
        <v>30</v>
      </c>
      <c r="C861" s="72" t="s">
        <v>30</v>
      </c>
      <c r="D861" s="72" t="s">
        <v>30</v>
      </c>
      <c r="E861" s="72" t="s">
        <v>30</v>
      </c>
      <c r="F861" s="72" t="s">
        <v>30</v>
      </c>
      <c r="G861" s="72" t="s">
        <v>30</v>
      </c>
      <c r="H861" s="72" t="s">
        <v>30</v>
      </c>
      <c r="I861" s="73" t="s">
        <v>30</v>
      </c>
      <c r="J861" s="72" t="s">
        <v>30</v>
      </c>
      <c r="K861" s="72" t="s">
        <v>30</v>
      </c>
      <c r="L861" s="72" t="s">
        <v>30</v>
      </c>
      <c r="M861" s="72" t="s">
        <v>30</v>
      </c>
      <c r="N861" s="72" t="s">
        <v>30</v>
      </c>
      <c r="O861" s="73" t="s">
        <v>30</v>
      </c>
      <c r="P861" s="72" t="s">
        <v>30</v>
      </c>
      <c r="Q861" s="72" t="s">
        <v>30</v>
      </c>
      <c r="R861" s="72" t="s">
        <v>30</v>
      </c>
      <c r="S861" s="72" t="s">
        <v>30</v>
      </c>
      <c r="T861" s="72" t="s">
        <v>30</v>
      </c>
      <c r="W861" s="31"/>
    </row>
    <row r="862">
      <c r="B862" s="72" t="s">
        <v>30</v>
      </c>
      <c r="C862" s="72" t="s">
        <v>30</v>
      </c>
      <c r="D862" s="72" t="s">
        <v>30</v>
      </c>
      <c r="E862" s="72" t="s">
        <v>30</v>
      </c>
      <c r="F862" s="72" t="s">
        <v>30</v>
      </c>
      <c r="G862" s="72" t="s">
        <v>30</v>
      </c>
      <c r="H862" s="72" t="s">
        <v>30</v>
      </c>
      <c r="I862" s="73" t="s">
        <v>30</v>
      </c>
      <c r="J862" s="72" t="s">
        <v>30</v>
      </c>
      <c r="K862" s="72" t="s">
        <v>30</v>
      </c>
      <c r="L862" s="72" t="s">
        <v>30</v>
      </c>
      <c r="M862" s="72" t="s">
        <v>30</v>
      </c>
      <c r="N862" s="72" t="s">
        <v>30</v>
      </c>
      <c r="O862" s="73" t="s">
        <v>30</v>
      </c>
      <c r="P862" s="72" t="s">
        <v>30</v>
      </c>
      <c r="Q862" s="72" t="s">
        <v>30</v>
      </c>
      <c r="R862" s="72" t="s">
        <v>30</v>
      </c>
      <c r="S862" s="72" t="s">
        <v>30</v>
      </c>
      <c r="T862" s="72" t="s">
        <v>30</v>
      </c>
      <c r="W862" s="31"/>
    </row>
    <row r="863">
      <c r="B863" s="72" t="s">
        <v>30</v>
      </c>
      <c r="C863" s="72" t="s">
        <v>30</v>
      </c>
      <c r="D863" s="72" t="s">
        <v>30</v>
      </c>
      <c r="E863" s="72" t="s">
        <v>30</v>
      </c>
      <c r="F863" s="72" t="s">
        <v>30</v>
      </c>
      <c r="G863" s="72" t="s">
        <v>30</v>
      </c>
      <c r="H863" s="72" t="s">
        <v>30</v>
      </c>
      <c r="I863" s="73" t="s">
        <v>30</v>
      </c>
      <c r="J863" s="72" t="s">
        <v>30</v>
      </c>
      <c r="K863" s="72" t="s">
        <v>30</v>
      </c>
      <c r="L863" s="72" t="s">
        <v>30</v>
      </c>
      <c r="M863" s="72" t="s">
        <v>30</v>
      </c>
      <c r="N863" s="72" t="s">
        <v>30</v>
      </c>
      <c r="O863" s="73" t="s">
        <v>30</v>
      </c>
      <c r="P863" s="72" t="s">
        <v>30</v>
      </c>
      <c r="Q863" s="72" t="s">
        <v>30</v>
      </c>
      <c r="R863" s="72" t="s">
        <v>30</v>
      </c>
      <c r="S863" s="72" t="s">
        <v>30</v>
      </c>
      <c r="T863" s="72" t="s">
        <v>30</v>
      </c>
      <c r="W863" s="31"/>
    </row>
    <row r="864">
      <c r="B864" s="72" t="s">
        <v>30</v>
      </c>
      <c r="C864" s="72" t="s">
        <v>30</v>
      </c>
      <c r="D864" s="72" t="s">
        <v>30</v>
      </c>
      <c r="E864" s="72" t="s">
        <v>30</v>
      </c>
      <c r="F864" s="72" t="s">
        <v>30</v>
      </c>
      <c r="G864" s="72" t="s">
        <v>30</v>
      </c>
      <c r="H864" s="72" t="s">
        <v>30</v>
      </c>
      <c r="I864" s="73" t="s">
        <v>30</v>
      </c>
      <c r="J864" s="72" t="s">
        <v>30</v>
      </c>
      <c r="K864" s="72" t="s">
        <v>30</v>
      </c>
      <c r="L864" s="72" t="s">
        <v>30</v>
      </c>
      <c r="M864" s="72" t="s">
        <v>30</v>
      </c>
      <c r="N864" s="72" t="s">
        <v>30</v>
      </c>
      <c r="O864" s="73" t="s">
        <v>30</v>
      </c>
      <c r="P864" s="72" t="s">
        <v>30</v>
      </c>
      <c r="Q864" s="72" t="s">
        <v>30</v>
      </c>
      <c r="R864" s="72" t="s">
        <v>30</v>
      </c>
      <c r="S864" s="72" t="s">
        <v>30</v>
      </c>
      <c r="T864" s="72" t="s">
        <v>30</v>
      </c>
      <c r="W864" s="31"/>
    </row>
    <row r="865">
      <c r="B865" s="72" t="s">
        <v>30</v>
      </c>
      <c r="C865" s="72" t="s">
        <v>30</v>
      </c>
      <c r="D865" s="72" t="s">
        <v>30</v>
      </c>
      <c r="E865" s="72" t="s">
        <v>30</v>
      </c>
      <c r="F865" s="72" t="s">
        <v>30</v>
      </c>
      <c r="G865" s="72" t="s">
        <v>30</v>
      </c>
      <c r="H865" s="72" t="s">
        <v>30</v>
      </c>
      <c r="I865" s="73" t="s">
        <v>30</v>
      </c>
      <c r="J865" s="72" t="s">
        <v>30</v>
      </c>
      <c r="K865" s="72" t="s">
        <v>30</v>
      </c>
      <c r="L865" s="72" t="s">
        <v>30</v>
      </c>
      <c r="M865" s="72" t="s">
        <v>30</v>
      </c>
      <c r="N865" s="72" t="s">
        <v>30</v>
      </c>
      <c r="O865" s="73" t="s">
        <v>30</v>
      </c>
      <c r="P865" s="72" t="s">
        <v>30</v>
      </c>
      <c r="Q865" s="72" t="s">
        <v>30</v>
      </c>
      <c r="R865" s="72" t="s">
        <v>30</v>
      </c>
      <c r="S865" s="72" t="s">
        <v>30</v>
      </c>
      <c r="T865" s="72" t="s">
        <v>30</v>
      </c>
      <c r="W865" s="31"/>
    </row>
    <row r="866">
      <c r="B866" s="72" t="s">
        <v>30</v>
      </c>
      <c r="C866" s="72" t="s">
        <v>30</v>
      </c>
      <c r="D866" s="72" t="s">
        <v>30</v>
      </c>
      <c r="E866" s="72" t="s">
        <v>30</v>
      </c>
      <c r="F866" s="72" t="s">
        <v>30</v>
      </c>
      <c r="G866" s="72" t="s">
        <v>30</v>
      </c>
      <c r="H866" s="72" t="s">
        <v>30</v>
      </c>
      <c r="I866" s="73" t="s">
        <v>30</v>
      </c>
      <c r="J866" s="72" t="s">
        <v>30</v>
      </c>
      <c r="K866" s="72" t="s">
        <v>30</v>
      </c>
      <c r="L866" s="72" t="s">
        <v>30</v>
      </c>
      <c r="M866" s="72" t="s">
        <v>30</v>
      </c>
      <c r="N866" s="72" t="s">
        <v>30</v>
      </c>
      <c r="O866" s="73" t="s">
        <v>30</v>
      </c>
      <c r="P866" s="72" t="s">
        <v>30</v>
      </c>
      <c r="Q866" s="72" t="s">
        <v>30</v>
      </c>
      <c r="R866" s="72" t="s">
        <v>30</v>
      </c>
      <c r="S866" s="72" t="s">
        <v>30</v>
      </c>
      <c r="T866" s="72" t="s">
        <v>30</v>
      </c>
      <c r="W866" s="31"/>
    </row>
    <row r="867">
      <c r="B867" s="72" t="s">
        <v>30</v>
      </c>
      <c r="C867" s="72" t="s">
        <v>30</v>
      </c>
      <c r="D867" s="72" t="s">
        <v>30</v>
      </c>
      <c r="E867" s="72" t="s">
        <v>30</v>
      </c>
      <c r="F867" s="72" t="s">
        <v>30</v>
      </c>
      <c r="G867" s="72" t="s">
        <v>30</v>
      </c>
      <c r="H867" s="72" t="s">
        <v>30</v>
      </c>
      <c r="I867" s="73" t="s">
        <v>30</v>
      </c>
      <c r="J867" s="72" t="s">
        <v>30</v>
      </c>
      <c r="K867" s="72" t="s">
        <v>30</v>
      </c>
      <c r="L867" s="72" t="s">
        <v>30</v>
      </c>
      <c r="M867" s="72" t="s">
        <v>30</v>
      </c>
      <c r="N867" s="72" t="s">
        <v>30</v>
      </c>
      <c r="O867" s="73" t="s">
        <v>30</v>
      </c>
      <c r="P867" s="72" t="s">
        <v>30</v>
      </c>
      <c r="Q867" s="72" t="s">
        <v>30</v>
      </c>
      <c r="R867" s="72" t="s">
        <v>30</v>
      </c>
      <c r="S867" s="72" t="s">
        <v>30</v>
      </c>
      <c r="T867" s="72" t="s">
        <v>30</v>
      </c>
      <c r="W867" s="31"/>
    </row>
    <row r="868">
      <c r="B868" s="72" t="s">
        <v>30</v>
      </c>
      <c r="C868" s="72" t="s">
        <v>30</v>
      </c>
      <c r="D868" s="72" t="s">
        <v>30</v>
      </c>
      <c r="E868" s="72" t="s">
        <v>30</v>
      </c>
      <c r="F868" s="72" t="s">
        <v>30</v>
      </c>
      <c r="G868" s="72" t="s">
        <v>30</v>
      </c>
      <c r="H868" s="72" t="s">
        <v>30</v>
      </c>
      <c r="I868" s="73" t="s">
        <v>30</v>
      </c>
      <c r="J868" s="72" t="s">
        <v>30</v>
      </c>
      <c r="K868" s="72" t="s">
        <v>30</v>
      </c>
      <c r="L868" s="72" t="s">
        <v>30</v>
      </c>
      <c r="M868" s="72" t="s">
        <v>30</v>
      </c>
      <c r="N868" s="72" t="s">
        <v>30</v>
      </c>
      <c r="O868" s="73" t="s">
        <v>30</v>
      </c>
      <c r="P868" s="72" t="s">
        <v>30</v>
      </c>
      <c r="Q868" s="72" t="s">
        <v>30</v>
      </c>
      <c r="R868" s="72" t="s">
        <v>30</v>
      </c>
      <c r="S868" s="72" t="s">
        <v>30</v>
      </c>
      <c r="T868" s="72" t="s">
        <v>30</v>
      </c>
      <c r="W868" s="31"/>
    </row>
    <row r="869">
      <c r="B869" s="72" t="s">
        <v>30</v>
      </c>
      <c r="C869" s="72" t="s">
        <v>30</v>
      </c>
      <c r="D869" s="72" t="s">
        <v>30</v>
      </c>
      <c r="E869" s="72" t="s">
        <v>30</v>
      </c>
      <c r="F869" s="72" t="s">
        <v>30</v>
      </c>
      <c r="G869" s="72" t="s">
        <v>30</v>
      </c>
      <c r="H869" s="72" t="s">
        <v>30</v>
      </c>
      <c r="I869" s="73" t="s">
        <v>30</v>
      </c>
      <c r="J869" s="72" t="s">
        <v>30</v>
      </c>
      <c r="K869" s="72" t="s">
        <v>30</v>
      </c>
      <c r="L869" s="72" t="s">
        <v>30</v>
      </c>
      <c r="M869" s="72" t="s">
        <v>30</v>
      </c>
      <c r="N869" s="72" t="s">
        <v>30</v>
      </c>
      <c r="O869" s="73" t="s">
        <v>30</v>
      </c>
      <c r="P869" s="72" t="s">
        <v>30</v>
      </c>
      <c r="Q869" s="72" t="s">
        <v>30</v>
      </c>
      <c r="R869" s="72" t="s">
        <v>30</v>
      </c>
      <c r="S869" s="72" t="s">
        <v>30</v>
      </c>
      <c r="T869" s="72" t="s">
        <v>30</v>
      </c>
      <c r="W869" s="31"/>
    </row>
    <row r="870">
      <c r="B870" s="72" t="s">
        <v>30</v>
      </c>
      <c r="C870" s="72" t="s">
        <v>30</v>
      </c>
      <c r="D870" s="72" t="s">
        <v>30</v>
      </c>
      <c r="E870" s="72" t="s">
        <v>30</v>
      </c>
      <c r="F870" s="72" t="s">
        <v>30</v>
      </c>
      <c r="G870" s="72" t="s">
        <v>30</v>
      </c>
      <c r="H870" s="72" t="s">
        <v>30</v>
      </c>
      <c r="I870" s="73" t="s">
        <v>30</v>
      </c>
      <c r="J870" s="72" t="s">
        <v>30</v>
      </c>
      <c r="K870" s="72" t="s">
        <v>30</v>
      </c>
      <c r="L870" s="72" t="s">
        <v>30</v>
      </c>
      <c r="M870" s="72" t="s">
        <v>30</v>
      </c>
      <c r="N870" s="72" t="s">
        <v>30</v>
      </c>
      <c r="O870" s="73" t="s">
        <v>30</v>
      </c>
      <c r="P870" s="72" t="s">
        <v>30</v>
      </c>
      <c r="Q870" s="72" t="s">
        <v>30</v>
      </c>
      <c r="R870" s="72" t="s">
        <v>30</v>
      </c>
      <c r="S870" s="72" t="s">
        <v>30</v>
      </c>
      <c r="T870" s="72" t="s">
        <v>30</v>
      </c>
      <c r="W870" s="31"/>
    </row>
    <row r="871">
      <c r="B871" s="72" t="s">
        <v>30</v>
      </c>
      <c r="C871" s="72" t="s">
        <v>30</v>
      </c>
      <c r="D871" s="72" t="s">
        <v>30</v>
      </c>
      <c r="E871" s="72" t="s">
        <v>30</v>
      </c>
      <c r="F871" s="72" t="s">
        <v>30</v>
      </c>
      <c r="G871" s="72" t="s">
        <v>30</v>
      </c>
      <c r="H871" s="72" t="s">
        <v>30</v>
      </c>
      <c r="I871" s="73" t="s">
        <v>30</v>
      </c>
      <c r="J871" s="72" t="s">
        <v>30</v>
      </c>
      <c r="K871" s="72" t="s">
        <v>30</v>
      </c>
      <c r="L871" s="72" t="s">
        <v>30</v>
      </c>
      <c r="M871" s="72" t="s">
        <v>30</v>
      </c>
      <c r="N871" s="72" t="s">
        <v>30</v>
      </c>
      <c r="O871" s="73" t="s">
        <v>30</v>
      </c>
      <c r="P871" s="72" t="s">
        <v>30</v>
      </c>
      <c r="Q871" s="72" t="s">
        <v>30</v>
      </c>
      <c r="R871" s="72" t="s">
        <v>30</v>
      </c>
      <c r="S871" s="72" t="s">
        <v>30</v>
      </c>
      <c r="T871" s="72" t="s">
        <v>30</v>
      </c>
      <c r="W871" s="31"/>
    </row>
    <row r="872">
      <c r="B872" s="72" t="s">
        <v>30</v>
      </c>
      <c r="C872" s="72" t="s">
        <v>30</v>
      </c>
      <c r="D872" s="72" t="s">
        <v>30</v>
      </c>
      <c r="E872" s="72" t="s">
        <v>30</v>
      </c>
      <c r="F872" s="72" t="s">
        <v>30</v>
      </c>
      <c r="G872" s="72" t="s">
        <v>30</v>
      </c>
      <c r="H872" s="72" t="s">
        <v>30</v>
      </c>
      <c r="I872" s="73" t="s">
        <v>30</v>
      </c>
      <c r="J872" s="72" t="s">
        <v>30</v>
      </c>
      <c r="K872" s="72" t="s">
        <v>30</v>
      </c>
      <c r="L872" s="72" t="s">
        <v>30</v>
      </c>
      <c r="M872" s="72" t="s">
        <v>30</v>
      </c>
      <c r="N872" s="72" t="s">
        <v>30</v>
      </c>
      <c r="O872" s="73" t="s">
        <v>30</v>
      </c>
      <c r="P872" s="72" t="s">
        <v>30</v>
      </c>
      <c r="Q872" s="72" t="s">
        <v>30</v>
      </c>
      <c r="R872" s="72" t="s">
        <v>30</v>
      </c>
      <c r="S872" s="72" t="s">
        <v>30</v>
      </c>
      <c r="T872" s="72" t="s">
        <v>30</v>
      </c>
      <c r="W872" s="31"/>
    </row>
    <row r="873">
      <c r="B873" s="72" t="s">
        <v>30</v>
      </c>
      <c r="C873" s="72" t="s">
        <v>30</v>
      </c>
      <c r="D873" s="72" t="s">
        <v>30</v>
      </c>
      <c r="E873" s="72" t="s">
        <v>30</v>
      </c>
      <c r="F873" s="72" t="s">
        <v>30</v>
      </c>
      <c r="G873" s="72" t="s">
        <v>30</v>
      </c>
      <c r="H873" s="72" t="s">
        <v>30</v>
      </c>
      <c r="I873" s="73" t="s">
        <v>30</v>
      </c>
      <c r="J873" s="72" t="s">
        <v>30</v>
      </c>
      <c r="K873" s="72" t="s">
        <v>30</v>
      </c>
      <c r="L873" s="72" t="s">
        <v>30</v>
      </c>
      <c r="M873" s="72" t="s">
        <v>30</v>
      </c>
      <c r="N873" s="72" t="s">
        <v>30</v>
      </c>
      <c r="O873" s="73" t="s">
        <v>30</v>
      </c>
      <c r="P873" s="72" t="s">
        <v>30</v>
      </c>
      <c r="Q873" s="72" t="s">
        <v>30</v>
      </c>
      <c r="R873" s="72" t="s">
        <v>30</v>
      </c>
      <c r="S873" s="72" t="s">
        <v>30</v>
      </c>
      <c r="T873" s="72" t="s">
        <v>30</v>
      </c>
      <c r="W873" s="31"/>
    </row>
    <row r="874">
      <c r="B874" s="72" t="s">
        <v>30</v>
      </c>
      <c r="C874" s="72" t="s">
        <v>30</v>
      </c>
      <c r="D874" s="72" t="s">
        <v>30</v>
      </c>
      <c r="E874" s="72" t="s">
        <v>30</v>
      </c>
      <c r="F874" s="72" t="s">
        <v>30</v>
      </c>
      <c r="G874" s="72" t="s">
        <v>30</v>
      </c>
      <c r="H874" s="72" t="s">
        <v>30</v>
      </c>
      <c r="I874" s="73" t="s">
        <v>30</v>
      </c>
      <c r="J874" s="72" t="s">
        <v>30</v>
      </c>
      <c r="K874" s="72" t="s">
        <v>30</v>
      </c>
      <c r="L874" s="72" t="s">
        <v>30</v>
      </c>
      <c r="M874" s="72" t="s">
        <v>30</v>
      </c>
      <c r="N874" s="72" t="s">
        <v>30</v>
      </c>
      <c r="O874" s="73" t="s">
        <v>30</v>
      </c>
      <c r="P874" s="72" t="s">
        <v>30</v>
      </c>
      <c r="Q874" s="72" t="s">
        <v>30</v>
      </c>
      <c r="R874" s="72" t="s">
        <v>30</v>
      </c>
      <c r="S874" s="72" t="s">
        <v>30</v>
      </c>
      <c r="T874" s="72" t="s">
        <v>30</v>
      </c>
      <c r="W874" s="31"/>
    </row>
    <row r="875">
      <c r="B875" s="72" t="s">
        <v>30</v>
      </c>
      <c r="C875" s="72" t="s">
        <v>30</v>
      </c>
      <c r="D875" s="72" t="s">
        <v>30</v>
      </c>
      <c r="E875" s="72" t="s">
        <v>30</v>
      </c>
      <c r="F875" s="72" t="s">
        <v>30</v>
      </c>
      <c r="G875" s="72" t="s">
        <v>30</v>
      </c>
      <c r="H875" s="72" t="s">
        <v>30</v>
      </c>
      <c r="I875" s="73" t="s">
        <v>30</v>
      </c>
      <c r="J875" s="72" t="s">
        <v>30</v>
      </c>
      <c r="K875" s="72" t="s">
        <v>30</v>
      </c>
      <c r="L875" s="72" t="s">
        <v>30</v>
      </c>
      <c r="M875" s="72" t="s">
        <v>30</v>
      </c>
      <c r="N875" s="72" t="s">
        <v>30</v>
      </c>
      <c r="O875" s="73" t="s">
        <v>30</v>
      </c>
      <c r="P875" s="72" t="s">
        <v>30</v>
      </c>
      <c r="Q875" s="72" t="s">
        <v>30</v>
      </c>
      <c r="R875" s="72" t="s">
        <v>30</v>
      </c>
      <c r="S875" s="72" t="s">
        <v>30</v>
      </c>
      <c r="T875" s="72" t="s">
        <v>30</v>
      </c>
      <c r="W875" s="31"/>
    </row>
    <row r="876">
      <c r="B876" s="72" t="s">
        <v>30</v>
      </c>
      <c r="C876" s="72" t="s">
        <v>30</v>
      </c>
      <c r="D876" s="72" t="s">
        <v>30</v>
      </c>
      <c r="E876" s="72" t="s">
        <v>30</v>
      </c>
      <c r="F876" s="72" t="s">
        <v>30</v>
      </c>
      <c r="G876" s="72" t="s">
        <v>30</v>
      </c>
      <c r="H876" s="72" t="s">
        <v>30</v>
      </c>
      <c r="I876" s="73" t="s">
        <v>30</v>
      </c>
      <c r="J876" s="72" t="s">
        <v>30</v>
      </c>
      <c r="K876" s="72" t="s">
        <v>30</v>
      </c>
      <c r="L876" s="72" t="s">
        <v>30</v>
      </c>
      <c r="M876" s="72" t="s">
        <v>30</v>
      </c>
      <c r="N876" s="72" t="s">
        <v>30</v>
      </c>
      <c r="O876" s="73" t="s">
        <v>30</v>
      </c>
      <c r="P876" s="72" t="s">
        <v>30</v>
      </c>
      <c r="Q876" s="72" t="s">
        <v>30</v>
      </c>
      <c r="R876" s="72" t="s">
        <v>30</v>
      </c>
      <c r="S876" s="72" t="s">
        <v>30</v>
      </c>
      <c r="T876" s="72" t="s">
        <v>30</v>
      </c>
      <c r="W876" s="31"/>
    </row>
    <row r="877">
      <c r="B877" s="72" t="s">
        <v>30</v>
      </c>
      <c r="C877" s="72" t="s">
        <v>30</v>
      </c>
      <c r="D877" s="72" t="s">
        <v>30</v>
      </c>
      <c r="E877" s="72" t="s">
        <v>30</v>
      </c>
      <c r="F877" s="72" t="s">
        <v>30</v>
      </c>
      <c r="G877" s="72" t="s">
        <v>30</v>
      </c>
      <c r="H877" s="72" t="s">
        <v>30</v>
      </c>
      <c r="I877" s="73" t="s">
        <v>30</v>
      </c>
      <c r="J877" s="72" t="s">
        <v>30</v>
      </c>
      <c r="K877" s="72" t="s">
        <v>30</v>
      </c>
      <c r="L877" s="72" t="s">
        <v>30</v>
      </c>
      <c r="M877" s="72" t="s">
        <v>30</v>
      </c>
      <c r="N877" s="72" t="s">
        <v>30</v>
      </c>
      <c r="O877" s="73" t="s">
        <v>30</v>
      </c>
      <c r="P877" s="72" t="s">
        <v>30</v>
      </c>
      <c r="Q877" s="72" t="s">
        <v>30</v>
      </c>
      <c r="R877" s="72" t="s">
        <v>30</v>
      </c>
      <c r="S877" s="72" t="s">
        <v>30</v>
      </c>
      <c r="T877" s="72" t="s">
        <v>30</v>
      </c>
      <c r="W877" s="31"/>
    </row>
    <row r="878">
      <c r="B878" s="72" t="s">
        <v>30</v>
      </c>
      <c r="C878" s="72" t="s">
        <v>30</v>
      </c>
      <c r="D878" s="72" t="s">
        <v>30</v>
      </c>
      <c r="E878" s="72" t="s">
        <v>30</v>
      </c>
      <c r="F878" s="72" t="s">
        <v>30</v>
      </c>
      <c r="G878" s="72" t="s">
        <v>30</v>
      </c>
      <c r="H878" s="72" t="s">
        <v>30</v>
      </c>
      <c r="I878" s="73" t="s">
        <v>30</v>
      </c>
      <c r="J878" s="72" t="s">
        <v>30</v>
      </c>
      <c r="K878" s="72" t="s">
        <v>30</v>
      </c>
      <c r="L878" s="72" t="s">
        <v>30</v>
      </c>
      <c r="M878" s="72" t="s">
        <v>30</v>
      </c>
      <c r="N878" s="72" t="s">
        <v>30</v>
      </c>
      <c r="O878" s="73" t="s">
        <v>30</v>
      </c>
      <c r="P878" s="72" t="s">
        <v>30</v>
      </c>
      <c r="Q878" s="72" t="s">
        <v>30</v>
      </c>
      <c r="R878" s="72" t="s">
        <v>30</v>
      </c>
      <c r="S878" s="72" t="s">
        <v>30</v>
      </c>
      <c r="T878" s="72" t="s">
        <v>30</v>
      </c>
      <c r="W878" s="31"/>
    </row>
    <row r="879">
      <c r="B879" s="72" t="s">
        <v>30</v>
      </c>
      <c r="C879" s="72" t="s">
        <v>30</v>
      </c>
      <c r="D879" s="72" t="s">
        <v>30</v>
      </c>
      <c r="E879" s="72" t="s">
        <v>30</v>
      </c>
      <c r="F879" s="72" t="s">
        <v>30</v>
      </c>
      <c r="G879" s="72" t="s">
        <v>30</v>
      </c>
      <c r="H879" s="72" t="s">
        <v>30</v>
      </c>
      <c r="I879" s="73" t="s">
        <v>30</v>
      </c>
      <c r="J879" s="72" t="s">
        <v>30</v>
      </c>
      <c r="K879" s="72" t="s">
        <v>30</v>
      </c>
      <c r="L879" s="72" t="s">
        <v>30</v>
      </c>
      <c r="M879" s="72" t="s">
        <v>30</v>
      </c>
      <c r="N879" s="72" t="s">
        <v>30</v>
      </c>
      <c r="O879" s="73" t="s">
        <v>30</v>
      </c>
      <c r="P879" s="72" t="s">
        <v>30</v>
      </c>
      <c r="Q879" s="72" t="s">
        <v>30</v>
      </c>
      <c r="R879" s="72" t="s">
        <v>30</v>
      </c>
      <c r="S879" s="72" t="s">
        <v>30</v>
      </c>
      <c r="T879" s="72" t="s">
        <v>30</v>
      </c>
      <c r="W879" s="31"/>
    </row>
    <row r="880">
      <c r="B880" s="72" t="s">
        <v>30</v>
      </c>
      <c r="C880" s="72" t="s">
        <v>30</v>
      </c>
      <c r="D880" s="72" t="s">
        <v>30</v>
      </c>
      <c r="E880" s="72" t="s">
        <v>30</v>
      </c>
      <c r="F880" s="72" t="s">
        <v>30</v>
      </c>
      <c r="G880" s="72" t="s">
        <v>30</v>
      </c>
      <c r="H880" s="72" t="s">
        <v>30</v>
      </c>
      <c r="I880" s="73" t="s">
        <v>30</v>
      </c>
      <c r="J880" s="72" t="s">
        <v>30</v>
      </c>
      <c r="K880" s="72" t="s">
        <v>30</v>
      </c>
      <c r="L880" s="72" t="s">
        <v>30</v>
      </c>
      <c r="M880" s="72" t="s">
        <v>30</v>
      </c>
      <c r="N880" s="72" t="s">
        <v>30</v>
      </c>
      <c r="O880" s="73" t="s">
        <v>30</v>
      </c>
      <c r="P880" s="72" t="s">
        <v>30</v>
      </c>
      <c r="Q880" s="72" t="s">
        <v>30</v>
      </c>
      <c r="R880" s="72" t="s">
        <v>30</v>
      </c>
      <c r="S880" s="72" t="s">
        <v>30</v>
      </c>
      <c r="T880" s="72" t="s">
        <v>30</v>
      </c>
      <c r="W880" s="31"/>
    </row>
    <row r="881">
      <c r="B881" s="72" t="s">
        <v>30</v>
      </c>
      <c r="C881" s="72" t="s">
        <v>30</v>
      </c>
      <c r="D881" s="72" t="s">
        <v>30</v>
      </c>
      <c r="E881" s="72" t="s">
        <v>30</v>
      </c>
      <c r="F881" s="72" t="s">
        <v>30</v>
      </c>
      <c r="G881" s="72" t="s">
        <v>30</v>
      </c>
      <c r="H881" s="72" t="s">
        <v>30</v>
      </c>
      <c r="I881" s="73" t="s">
        <v>30</v>
      </c>
      <c r="J881" s="72" t="s">
        <v>30</v>
      </c>
      <c r="K881" s="72" t="s">
        <v>30</v>
      </c>
      <c r="L881" s="72" t="s">
        <v>30</v>
      </c>
      <c r="M881" s="72" t="s">
        <v>30</v>
      </c>
      <c r="N881" s="72" t="s">
        <v>30</v>
      </c>
      <c r="O881" s="73" t="s">
        <v>30</v>
      </c>
      <c r="P881" s="72" t="s">
        <v>30</v>
      </c>
      <c r="Q881" s="72" t="s">
        <v>30</v>
      </c>
      <c r="R881" s="72" t="s">
        <v>30</v>
      </c>
      <c r="S881" s="72" t="s">
        <v>30</v>
      </c>
      <c r="T881" s="72" t="s">
        <v>30</v>
      </c>
      <c r="W881" s="31"/>
    </row>
    <row r="882">
      <c r="B882" s="72" t="s">
        <v>30</v>
      </c>
      <c r="C882" s="72" t="s">
        <v>30</v>
      </c>
      <c r="D882" s="72" t="s">
        <v>30</v>
      </c>
      <c r="E882" s="72" t="s">
        <v>30</v>
      </c>
      <c r="F882" s="72" t="s">
        <v>30</v>
      </c>
      <c r="G882" s="72" t="s">
        <v>30</v>
      </c>
      <c r="H882" s="72" t="s">
        <v>30</v>
      </c>
      <c r="I882" s="73" t="s">
        <v>30</v>
      </c>
      <c r="J882" s="72" t="s">
        <v>30</v>
      </c>
      <c r="K882" s="72" t="s">
        <v>30</v>
      </c>
      <c r="L882" s="72" t="s">
        <v>30</v>
      </c>
      <c r="M882" s="72" t="s">
        <v>30</v>
      </c>
      <c r="N882" s="72" t="s">
        <v>30</v>
      </c>
      <c r="O882" s="73" t="s">
        <v>30</v>
      </c>
      <c r="P882" s="72" t="s">
        <v>30</v>
      </c>
      <c r="Q882" s="72" t="s">
        <v>30</v>
      </c>
      <c r="R882" s="72" t="s">
        <v>30</v>
      </c>
      <c r="S882" s="72" t="s">
        <v>30</v>
      </c>
      <c r="T882" s="72" t="s">
        <v>30</v>
      </c>
      <c r="W882" s="31"/>
    </row>
    <row r="883">
      <c r="B883" s="72" t="s">
        <v>30</v>
      </c>
      <c r="C883" s="72" t="s">
        <v>30</v>
      </c>
      <c r="D883" s="72" t="s">
        <v>30</v>
      </c>
      <c r="E883" s="72" t="s">
        <v>30</v>
      </c>
      <c r="F883" s="72" t="s">
        <v>30</v>
      </c>
      <c r="G883" s="72" t="s">
        <v>30</v>
      </c>
      <c r="H883" s="72" t="s">
        <v>30</v>
      </c>
      <c r="I883" s="73" t="s">
        <v>30</v>
      </c>
      <c r="J883" s="72" t="s">
        <v>30</v>
      </c>
      <c r="K883" s="72" t="s">
        <v>30</v>
      </c>
      <c r="L883" s="72" t="s">
        <v>30</v>
      </c>
      <c r="M883" s="72" t="s">
        <v>30</v>
      </c>
      <c r="N883" s="72" t="s">
        <v>30</v>
      </c>
      <c r="O883" s="73" t="s">
        <v>30</v>
      </c>
      <c r="P883" s="72" t="s">
        <v>30</v>
      </c>
      <c r="Q883" s="72" t="s">
        <v>30</v>
      </c>
      <c r="R883" s="72" t="s">
        <v>30</v>
      </c>
      <c r="S883" s="72" t="s">
        <v>30</v>
      </c>
      <c r="T883" s="72" t="s">
        <v>30</v>
      </c>
      <c r="W883" s="31"/>
    </row>
    <row r="884">
      <c r="B884" s="72" t="s">
        <v>30</v>
      </c>
      <c r="C884" s="72" t="s">
        <v>30</v>
      </c>
      <c r="D884" s="72" t="s">
        <v>30</v>
      </c>
      <c r="E884" s="72" t="s">
        <v>30</v>
      </c>
      <c r="F884" s="72" t="s">
        <v>30</v>
      </c>
      <c r="G884" s="72" t="s">
        <v>30</v>
      </c>
      <c r="H884" s="72" t="s">
        <v>30</v>
      </c>
      <c r="I884" s="73" t="s">
        <v>30</v>
      </c>
      <c r="J884" s="72" t="s">
        <v>30</v>
      </c>
      <c r="K884" s="72" t="s">
        <v>30</v>
      </c>
      <c r="L884" s="72" t="s">
        <v>30</v>
      </c>
      <c r="M884" s="72" t="s">
        <v>30</v>
      </c>
      <c r="N884" s="72" t="s">
        <v>30</v>
      </c>
      <c r="O884" s="73" t="s">
        <v>30</v>
      </c>
      <c r="P884" s="72" t="s">
        <v>30</v>
      </c>
      <c r="Q884" s="72" t="s">
        <v>30</v>
      </c>
      <c r="R884" s="72" t="s">
        <v>30</v>
      </c>
      <c r="S884" s="72" t="s">
        <v>30</v>
      </c>
      <c r="T884" s="72" t="s">
        <v>30</v>
      </c>
      <c r="W884" s="31"/>
    </row>
    <row r="885">
      <c r="B885" s="72" t="s">
        <v>30</v>
      </c>
      <c r="C885" s="72" t="s">
        <v>30</v>
      </c>
      <c r="D885" s="72" t="s">
        <v>30</v>
      </c>
      <c r="E885" s="72" t="s">
        <v>30</v>
      </c>
      <c r="F885" s="72" t="s">
        <v>30</v>
      </c>
      <c r="G885" s="72" t="s">
        <v>30</v>
      </c>
      <c r="H885" s="72" t="s">
        <v>30</v>
      </c>
      <c r="I885" s="73" t="s">
        <v>30</v>
      </c>
      <c r="J885" s="72" t="s">
        <v>30</v>
      </c>
      <c r="K885" s="72" t="s">
        <v>30</v>
      </c>
      <c r="L885" s="72" t="s">
        <v>30</v>
      </c>
      <c r="M885" s="72" t="s">
        <v>30</v>
      </c>
      <c r="N885" s="72" t="s">
        <v>30</v>
      </c>
      <c r="O885" s="73" t="s">
        <v>30</v>
      </c>
      <c r="P885" s="72" t="s">
        <v>30</v>
      </c>
      <c r="Q885" s="72" t="s">
        <v>30</v>
      </c>
      <c r="R885" s="72" t="s">
        <v>30</v>
      </c>
      <c r="S885" s="72" t="s">
        <v>30</v>
      </c>
      <c r="T885" s="72" t="s">
        <v>30</v>
      </c>
      <c r="W885" s="31"/>
    </row>
    <row r="886">
      <c r="B886" s="72" t="s">
        <v>30</v>
      </c>
      <c r="C886" s="72" t="s">
        <v>30</v>
      </c>
      <c r="D886" s="72" t="s">
        <v>30</v>
      </c>
      <c r="E886" s="72" t="s">
        <v>30</v>
      </c>
      <c r="F886" s="72" t="s">
        <v>30</v>
      </c>
      <c r="G886" s="72" t="s">
        <v>30</v>
      </c>
      <c r="H886" s="72" t="s">
        <v>30</v>
      </c>
      <c r="I886" s="73" t="s">
        <v>30</v>
      </c>
      <c r="J886" s="72" t="s">
        <v>30</v>
      </c>
      <c r="K886" s="72" t="s">
        <v>30</v>
      </c>
      <c r="L886" s="72" t="s">
        <v>30</v>
      </c>
      <c r="M886" s="72" t="s">
        <v>30</v>
      </c>
      <c r="N886" s="72" t="s">
        <v>30</v>
      </c>
      <c r="O886" s="73" t="s">
        <v>30</v>
      </c>
      <c r="P886" s="72" t="s">
        <v>30</v>
      </c>
      <c r="Q886" s="72" t="s">
        <v>30</v>
      </c>
      <c r="R886" s="72" t="s">
        <v>30</v>
      </c>
      <c r="S886" s="72" t="s">
        <v>30</v>
      </c>
      <c r="T886" s="72" t="s">
        <v>30</v>
      </c>
      <c r="W886" s="31"/>
    </row>
    <row r="887">
      <c r="B887" s="72" t="s">
        <v>30</v>
      </c>
      <c r="C887" s="72" t="s">
        <v>30</v>
      </c>
      <c r="D887" s="72" t="s">
        <v>30</v>
      </c>
      <c r="E887" s="72" t="s">
        <v>30</v>
      </c>
      <c r="F887" s="72" t="s">
        <v>30</v>
      </c>
      <c r="G887" s="72" t="s">
        <v>30</v>
      </c>
      <c r="H887" s="72" t="s">
        <v>30</v>
      </c>
      <c r="I887" s="73" t="s">
        <v>30</v>
      </c>
      <c r="J887" s="72" t="s">
        <v>30</v>
      </c>
      <c r="K887" s="72" t="s">
        <v>30</v>
      </c>
      <c r="L887" s="72" t="s">
        <v>30</v>
      </c>
      <c r="M887" s="72" t="s">
        <v>30</v>
      </c>
      <c r="N887" s="72" t="s">
        <v>30</v>
      </c>
      <c r="O887" s="73" t="s">
        <v>30</v>
      </c>
      <c r="P887" s="72" t="s">
        <v>30</v>
      </c>
      <c r="Q887" s="72" t="s">
        <v>30</v>
      </c>
      <c r="R887" s="72" t="s">
        <v>30</v>
      </c>
      <c r="S887" s="72" t="s">
        <v>30</v>
      </c>
      <c r="T887" s="72" t="s">
        <v>30</v>
      </c>
      <c r="W887" s="31"/>
    </row>
    <row r="888">
      <c r="B888" s="72" t="s">
        <v>30</v>
      </c>
      <c r="C888" s="72" t="s">
        <v>30</v>
      </c>
      <c r="D888" s="72" t="s">
        <v>30</v>
      </c>
      <c r="E888" s="72" t="s">
        <v>30</v>
      </c>
      <c r="F888" s="72" t="s">
        <v>30</v>
      </c>
      <c r="G888" s="72" t="s">
        <v>30</v>
      </c>
      <c r="H888" s="72" t="s">
        <v>30</v>
      </c>
      <c r="I888" s="73" t="s">
        <v>30</v>
      </c>
      <c r="J888" s="72" t="s">
        <v>30</v>
      </c>
      <c r="K888" s="72" t="s">
        <v>30</v>
      </c>
      <c r="L888" s="72" t="s">
        <v>30</v>
      </c>
      <c r="M888" s="72" t="s">
        <v>30</v>
      </c>
      <c r="N888" s="72" t="s">
        <v>30</v>
      </c>
      <c r="O888" s="73" t="s">
        <v>30</v>
      </c>
      <c r="P888" s="72" t="s">
        <v>30</v>
      </c>
      <c r="Q888" s="72" t="s">
        <v>30</v>
      </c>
      <c r="R888" s="72" t="s">
        <v>30</v>
      </c>
      <c r="S888" s="72" t="s">
        <v>30</v>
      </c>
      <c r="T888" s="72" t="s">
        <v>30</v>
      </c>
      <c r="W888" s="31"/>
    </row>
    <row r="889">
      <c r="B889" s="72" t="s">
        <v>30</v>
      </c>
      <c r="C889" s="72" t="s">
        <v>30</v>
      </c>
      <c r="D889" s="72" t="s">
        <v>30</v>
      </c>
      <c r="E889" s="72" t="s">
        <v>30</v>
      </c>
      <c r="F889" s="72" t="s">
        <v>30</v>
      </c>
      <c r="G889" s="72" t="s">
        <v>30</v>
      </c>
      <c r="H889" s="72" t="s">
        <v>30</v>
      </c>
      <c r="I889" s="73" t="s">
        <v>30</v>
      </c>
      <c r="J889" s="72" t="s">
        <v>30</v>
      </c>
      <c r="K889" s="72" t="s">
        <v>30</v>
      </c>
      <c r="L889" s="72" t="s">
        <v>30</v>
      </c>
      <c r="M889" s="72" t="s">
        <v>30</v>
      </c>
      <c r="N889" s="72" t="s">
        <v>30</v>
      </c>
      <c r="O889" s="73" t="s">
        <v>30</v>
      </c>
      <c r="P889" s="72" t="s">
        <v>30</v>
      </c>
      <c r="Q889" s="72" t="s">
        <v>30</v>
      </c>
      <c r="R889" s="72" t="s">
        <v>30</v>
      </c>
      <c r="S889" s="72" t="s">
        <v>30</v>
      </c>
      <c r="T889" s="72" t="s">
        <v>30</v>
      </c>
      <c r="W889" s="31"/>
    </row>
    <row r="890">
      <c r="B890" s="72" t="s">
        <v>30</v>
      </c>
      <c r="C890" s="72" t="s">
        <v>30</v>
      </c>
      <c r="D890" s="72" t="s">
        <v>30</v>
      </c>
      <c r="E890" s="72" t="s">
        <v>30</v>
      </c>
      <c r="F890" s="72" t="s">
        <v>30</v>
      </c>
      <c r="G890" s="72" t="s">
        <v>30</v>
      </c>
      <c r="H890" s="72" t="s">
        <v>30</v>
      </c>
      <c r="I890" s="73" t="s">
        <v>30</v>
      </c>
      <c r="J890" s="72" t="s">
        <v>30</v>
      </c>
      <c r="K890" s="72" t="s">
        <v>30</v>
      </c>
      <c r="L890" s="72" t="s">
        <v>30</v>
      </c>
      <c r="M890" s="72" t="s">
        <v>30</v>
      </c>
      <c r="N890" s="72" t="s">
        <v>30</v>
      </c>
      <c r="O890" s="73" t="s">
        <v>30</v>
      </c>
      <c r="P890" s="72" t="s">
        <v>30</v>
      </c>
      <c r="Q890" s="72" t="s">
        <v>30</v>
      </c>
      <c r="R890" s="72" t="s">
        <v>30</v>
      </c>
      <c r="S890" s="72" t="s">
        <v>30</v>
      </c>
      <c r="T890" s="72" t="s">
        <v>30</v>
      </c>
      <c r="W890" s="31"/>
    </row>
    <row r="891">
      <c r="B891" s="72" t="s">
        <v>30</v>
      </c>
      <c r="C891" s="72" t="s">
        <v>30</v>
      </c>
      <c r="D891" s="72" t="s">
        <v>30</v>
      </c>
      <c r="E891" s="72" t="s">
        <v>30</v>
      </c>
      <c r="F891" s="72" t="s">
        <v>30</v>
      </c>
      <c r="G891" s="72" t="s">
        <v>30</v>
      </c>
      <c r="H891" s="72" t="s">
        <v>30</v>
      </c>
      <c r="I891" s="73" t="s">
        <v>30</v>
      </c>
      <c r="J891" s="72" t="s">
        <v>30</v>
      </c>
      <c r="K891" s="72" t="s">
        <v>30</v>
      </c>
      <c r="L891" s="72" t="s">
        <v>30</v>
      </c>
      <c r="M891" s="72" t="s">
        <v>30</v>
      </c>
      <c r="N891" s="72" t="s">
        <v>30</v>
      </c>
      <c r="O891" s="73" t="s">
        <v>30</v>
      </c>
      <c r="P891" s="72" t="s">
        <v>30</v>
      </c>
      <c r="Q891" s="72" t="s">
        <v>30</v>
      </c>
      <c r="R891" s="72" t="s">
        <v>30</v>
      </c>
      <c r="S891" s="72" t="s">
        <v>30</v>
      </c>
      <c r="T891" s="72" t="s">
        <v>30</v>
      </c>
      <c r="W891" s="31"/>
    </row>
    <row r="892">
      <c r="B892" s="72" t="s">
        <v>30</v>
      </c>
      <c r="C892" s="72" t="s">
        <v>30</v>
      </c>
      <c r="D892" s="72" t="s">
        <v>30</v>
      </c>
      <c r="E892" s="72" t="s">
        <v>30</v>
      </c>
      <c r="F892" s="72" t="s">
        <v>30</v>
      </c>
      <c r="G892" s="72" t="s">
        <v>30</v>
      </c>
      <c r="H892" s="72" t="s">
        <v>30</v>
      </c>
      <c r="I892" s="73" t="s">
        <v>30</v>
      </c>
      <c r="J892" s="72" t="s">
        <v>30</v>
      </c>
      <c r="K892" s="72" t="s">
        <v>30</v>
      </c>
      <c r="L892" s="72" t="s">
        <v>30</v>
      </c>
      <c r="M892" s="72" t="s">
        <v>30</v>
      </c>
      <c r="N892" s="72" t="s">
        <v>30</v>
      </c>
      <c r="O892" s="73" t="s">
        <v>30</v>
      </c>
      <c r="P892" s="72" t="s">
        <v>30</v>
      </c>
      <c r="Q892" s="72" t="s">
        <v>30</v>
      </c>
      <c r="R892" s="72" t="s">
        <v>30</v>
      </c>
      <c r="S892" s="72" t="s">
        <v>30</v>
      </c>
      <c r="T892" s="72" t="s">
        <v>30</v>
      </c>
      <c r="W892" s="31"/>
    </row>
    <row r="893">
      <c r="B893" s="72" t="s">
        <v>30</v>
      </c>
      <c r="C893" s="72" t="s">
        <v>30</v>
      </c>
      <c r="D893" s="72" t="s">
        <v>30</v>
      </c>
      <c r="E893" s="72" t="s">
        <v>30</v>
      </c>
      <c r="F893" s="72" t="s">
        <v>30</v>
      </c>
      <c r="G893" s="72" t="s">
        <v>30</v>
      </c>
      <c r="H893" s="72" t="s">
        <v>30</v>
      </c>
      <c r="I893" s="73" t="s">
        <v>30</v>
      </c>
      <c r="J893" s="72" t="s">
        <v>30</v>
      </c>
      <c r="K893" s="72" t="s">
        <v>30</v>
      </c>
      <c r="L893" s="72" t="s">
        <v>30</v>
      </c>
      <c r="M893" s="72" t="s">
        <v>30</v>
      </c>
      <c r="N893" s="72" t="s">
        <v>30</v>
      </c>
      <c r="O893" s="73" t="s">
        <v>30</v>
      </c>
      <c r="P893" s="72" t="s">
        <v>30</v>
      </c>
      <c r="Q893" s="72" t="s">
        <v>30</v>
      </c>
      <c r="R893" s="72" t="s">
        <v>30</v>
      </c>
      <c r="S893" s="72" t="s">
        <v>30</v>
      </c>
      <c r="T893" s="72" t="s">
        <v>30</v>
      </c>
      <c r="W893" s="31"/>
    </row>
    <row r="894">
      <c r="B894" s="72" t="s">
        <v>30</v>
      </c>
      <c r="C894" s="72" t="s">
        <v>30</v>
      </c>
      <c r="D894" s="72" t="s">
        <v>30</v>
      </c>
      <c r="E894" s="72" t="s">
        <v>30</v>
      </c>
      <c r="F894" s="72" t="s">
        <v>30</v>
      </c>
      <c r="G894" s="72" t="s">
        <v>30</v>
      </c>
      <c r="H894" s="72" t="s">
        <v>30</v>
      </c>
      <c r="I894" s="73" t="s">
        <v>30</v>
      </c>
      <c r="J894" s="72" t="s">
        <v>30</v>
      </c>
      <c r="K894" s="72" t="s">
        <v>30</v>
      </c>
      <c r="L894" s="72" t="s">
        <v>30</v>
      </c>
      <c r="M894" s="72" t="s">
        <v>30</v>
      </c>
      <c r="N894" s="72" t="s">
        <v>30</v>
      </c>
      <c r="O894" s="73" t="s">
        <v>30</v>
      </c>
      <c r="P894" s="72" t="s">
        <v>30</v>
      </c>
      <c r="Q894" s="72" t="s">
        <v>30</v>
      </c>
      <c r="R894" s="72" t="s">
        <v>30</v>
      </c>
      <c r="S894" s="72" t="s">
        <v>30</v>
      </c>
      <c r="T894" s="72" t="s">
        <v>30</v>
      </c>
      <c r="W894" s="31"/>
    </row>
    <row r="895">
      <c r="B895" s="72" t="s">
        <v>30</v>
      </c>
      <c r="C895" s="72" t="s">
        <v>30</v>
      </c>
      <c r="D895" s="72" t="s">
        <v>30</v>
      </c>
      <c r="E895" s="72" t="s">
        <v>30</v>
      </c>
      <c r="F895" s="72" t="s">
        <v>30</v>
      </c>
      <c r="G895" s="72" t="s">
        <v>30</v>
      </c>
      <c r="H895" s="72" t="s">
        <v>30</v>
      </c>
      <c r="I895" s="73" t="s">
        <v>30</v>
      </c>
      <c r="J895" s="72" t="s">
        <v>30</v>
      </c>
      <c r="K895" s="72" t="s">
        <v>30</v>
      </c>
      <c r="L895" s="72" t="s">
        <v>30</v>
      </c>
      <c r="M895" s="72" t="s">
        <v>30</v>
      </c>
      <c r="N895" s="72" t="s">
        <v>30</v>
      </c>
      <c r="O895" s="73" t="s">
        <v>30</v>
      </c>
      <c r="P895" s="72" t="s">
        <v>30</v>
      </c>
      <c r="Q895" s="72" t="s">
        <v>30</v>
      </c>
      <c r="R895" s="72" t="s">
        <v>30</v>
      </c>
      <c r="S895" s="72" t="s">
        <v>30</v>
      </c>
      <c r="T895" s="72" t="s">
        <v>30</v>
      </c>
      <c r="W895" s="31"/>
    </row>
    <row r="896">
      <c r="B896" s="72" t="s">
        <v>30</v>
      </c>
      <c r="C896" s="72" t="s">
        <v>30</v>
      </c>
      <c r="D896" s="72" t="s">
        <v>30</v>
      </c>
      <c r="E896" s="72" t="s">
        <v>30</v>
      </c>
      <c r="F896" s="72" t="s">
        <v>30</v>
      </c>
      <c r="G896" s="72" t="s">
        <v>30</v>
      </c>
      <c r="H896" s="72" t="s">
        <v>30</v>
      </c>
      <c r="I896" s="73" t="s">
        <v>30</v>
      </c>
      <c r="J896" s="72" t="s">
        <v>30</v>
      </c>
      <c r="K896" s="72" t="s">
        <v>30</v>
      </c>
      <c r="L896" s="72" t="s">
        <v>30</v>
      </c>
      <c r="M896" s="72" t="s">
        <v>30</v>
      </c>
      <c r="N896" s="72" t="s">
        <v>30</v>
      </c>
      <c r="O896" s="73" t="s">
        <v>30</v>
      </c>
      <c r="P896" s="72" t="s">
        <v>30</v>
      </c>
      <c r="Q896" s="72" t="s">
        <v>30</v>
      </c>
      <c r="R896" s="72" t="s">
        <v>30</v>
      </c>
      <c r="S896" s="72" t="s">
        <v>30</v>
      </c>
      <c r="T896" s="72" t="s">
        <v>30</v>
      </c>
      <c r="W896" s="31"/>
    </row>
    <row r="897">
      <c r="B897" s="72" t="s">
        <v>30</v>
      </c>
      <c r="C897" s="72" t="s">
        <v>30</v>
      </c>
      <c r="D897" s="72" t="s">
        <v>30</v>
      </c>
      <c r="E897" s="72" t="s">
        <v>30</v>
      </c>
      <c r="F897" s="72" t="s">
        <v>30</v>
      </c>
      <c r="G897" s="72" t="s">
        <v>30</v>
      </c>
      <c r="H897" s="72" t="s">
        <v>30</v>
      </c>
      <c r="I897" s="73" t="s">
        <v>30</v>
      </c>
      <c r="J897" s="72" t="s">
        <v>30</v>
      </c>
      <c r="K897" s="72" t="s">
        <v>30</v>
      </c>
      <c r="L897" s="72" t="s">
        <v>30</v>
      </c>
      <c r="M897" s="72" t="s">
        <v>30</v>
      </c>
      <c r="N897" s="72" t="s">
        <v>30</v>
      </c>
      <c r="O897" s="73" t="s">
        <v>30</v>
      </c>
      <c r="P897" s="72" t="s">
        <v>30</v>
      </c>
      <c r="Q897" s="72" t="s">
        <v>30</v>
      </c>
      <c r="R897" s="72" t="s">
        <v>30</v>
      </c>
      <c r="S897" s="72" t="s">
        <v>30</v>
      </c>
      <c r="T897" s="72" t="s">
        <v>30</v>
      </c>
      <c r="W897" s="31"/>
    </row>
    <row r="898">
      <c r="B898" s="72" t="s">
        <v>30</v>
      </c>
      <c r="C898" s="72" t="s">
        <v>30</v>
      </c>
      <c r="D898" s="72" t="s">
        <v>30</v>
      </c>
      <c r="E898" s="72" t="s">
        <v>30</v>
      </c>
      <c r="F898" s="72" t="s">
        <v>30</v>
      </c>
      <c r="G898" s="72" t="s">
        <v>30</v>
      </c>
      <c r="H898" s="72" t="s">
        <v>30</v>
      </c>
      <c r="I898" s="73" t="s">
        <v>30</v>
      </c>
      <c r="J898" s="72" t="s">
        <v>30</v>
      </c>
      <c r="K898" s="72" t="s">
        <v>30</v>
      </c>
      <c r="L898" s="72" t="s">
        <v>30</v>
      </c>
      <c r="M898" s="72" t="s">
        <v>30</v>
      </c>
      <c r="N898" s="72" t="s">
        <v>30</v>
      </c>
      <c r="O898" s="73" t="s">
        <v>30</v>
      </c>
      <c r="P898" s="72" t="s">
        <v>30</v>
      </c>
      <c r="Q898" s="72" t="s">
        <v>30</v>
      </c>
      <c r="R898" s="72" t="s">
        <v>30</v>
      </c>
      <c r="S898" s="72" t="s">
        <v>30</v>
      </c>
      <c r="T898" s="72" t="s">
        <v>30</v>
      </c>
      <c r="W898" s="31"/>
    </row>
    <row r="899">
      <c r="B899" s="72" t="s">
        <v>30</v>
      </c>
      <c r="C899" s="72" t="s">
        <v>30</v>
      </c>
      <c r="D899" s="72" t="s">
        <v>30</v>
      </c>
      <c r="E899" s="72" t="s">
        <v>30</v>
      </c>
      <c r="F899" s="72" t="s">
        <v>30</v>
      </c>
      <c r="G899" s="72" t="s">
        <v>30</v>
      </c>
      <c r="H899" s="72" t="s">
        <v>30</v>
      </c>
      <c r="I899" s="73" t="s">
        <v>30</v>
      </c>
      <c r="J899" s="72" t="s">
        <v>30</v>
      </c>
      <c r="K899" s="72" t="s">
        <v>30</v>
      </c>
      <c r="L899" s="72" t="s">
        <v>30</v>
      </c>
      <c r="M899" s="72" t="s">
        <v>30</v>
      </c>
      <c r="N899" s="72" t="s">
        <v>30</v>
      </c>
      <c r="O899" s="73" t="s">
        <v>30</v>
      </c>
      <c r="P899" s="72" t="s">
        <v>30</v>
      </c>
      <c r="Q899" s="72" t="s">
        <v>30</v>
      </c>
      <c r="R899" s="72" t="s">
        <v>30</v>
      </c>
      <c r="S899" s="72" t="s">
        <v>30</v>
      </c>
      <c r="T899" s="72" t="s">
        <v>30</v>
      </c>
      <c r="W899" s="31"/>
    </row>
    <row r="900">
      <c r="B900" s="72" t="s">
        <v>30</v>
      </c>
      <c r="C900" s="72" t="s">
        <v>30</v>
      </c>
      <c r="D900" s="72" t="s">
        <v>30</v>
      </c>
      <c r="E900" s="72" t="s">
        <v>30</v>
      </c>
      <c r="F900" s="72" t="s">
        <v>30</v>
      </c>
      <c r="G900" s="72" t="s">
        <v>30</v>
      </c>
      <c r="H900" s="72" t="s">
        <v>30</v>
      </c>
      <c r="I900" s="73" t="s">
        <v>30</v>
      </c>
      <c r="J900" s="72" t="s">
        <v>30</v>
      </c>
      <c r="K900" s="72" t="s">
        <v>30</v>
      </c>
      <c r="L900" s="72" t="s">
        <v>30</v>
      </c>
      <c r="M900" s="72" t="s">
        <v>30</v>
      </c>
      <c r="N900" s="72" t="s">
        <v>30</v>
      </c>
      <c r="O900" s="73" t="s">
        <v>30</v>
      </c>
      <c r="P900" s="72" t="s">
        <v>30</v>
      </c>
      <c r="Q900" s="72" t="s">
        <v>30</v>
      </c>
      <c r="R900" s="72" t="s">
        <v>30</v>
      </c>
      <c r="S900" s="72" t="s">
        <v>30</v>
      </c>
      <c r="T900" s="72" t="s">
        <v>30</v>
      </c>
      <c r="W900" s="31"/>
    </row>
    <row r="901">
      <c r="B901" s="72" t="s">
        <v>30</v>
      </c>
      <c r="C901" s="72" t="s">
        <v>30</v>
      </c>
      <c r="D901" s="72" t="s">
        <v>30</v>
      </c>
      <c r="E901" s="72" t="s">
        <v>30</v>
      </c>
      <c r="F901" s="72" t="s">
        <v>30</v>
      </c>
      <c r="G901" s="72" t="s">
        <v>30</v>
      </c>
      <c r="H901" s="72" t="s">
        <v>30</v>
      </c>
      <c r="I901" s="73" t="s">
        <v>30</v>
      </c>
      <c r="J901" s="72" t="s">
        <v>30</v>
      </c>
      <c r="K901" s="72" t="s">
        <v>30</v>
      </c>
      <c r="L901" s="72" t="s">
        <v>30</v>
      </c>
      <c r="M901" s="72" t="s">
        <v>30</v>
      </c>
      <c r="N901" s="72" t="s">
        <v>30</v>
      </c>
      <c r="O901" s="73" t="s">
        <v>30</v>
      </c>
      <c r="P901" s="72" t="s">
        <v>30</v>
      </c>
      <c r="Q901" s="72" t="s">
        <v>30</v>
      </c>
      <c r="R901" s="72" t="s">
        <v>30</v>
      </c>
      <c r="S901" s="72" t="s">
        <v>30</v>
      </c>
      <c r="T901" s="72" t="s">
        <v>30</v>
      </c>
      <c r="W901" s="31"/>
    </row>
    <row r="902">
      <c r="B902" s="72" t="s">
        <v>30</v>
      </c>
      <c r="C902" s="72" t="s">
        <v>30</v>
      </c>
      <c r="D902" s="72" t="s">
        <v>30</v>
      </c>
      <c r="E902" s="72" t="s">
        <v>30</v>
      </c>
      <c r="F902" s="72" t="s">
        <v>30</v>
      </c>
      <c r="G902" s="72" t="s">
        <v>30</v>
      </c>
      <c r="H902" s="72" t="s">
        <v>30</v>
      </c>
      <c r="I902" s="73" t="s">
        <v>30</v>
      </c>
      <c r="J902" s="72" t="s">
        <v>30</v>
      </c>
      <c r="K902" s="72" t="s">
        <v>30</v>
      </c>
      <c r="L902" s="72" t="s">
        <v>30</v>
      </c>
      <c r="M902" s="72" t="s">
        <v>30</v>
      </c>
      <c r="N902" s="72" t="s">
        <v>30</v>
      </c>
      <c r="O902" s="73" t="s">
        <v>30</v>
      </c>
      <c r="P902" s="72" t="s">
        <v>30</v>
      </c>
      <c r="Q902" s="72" t="s">
        <v>30</v>
      </c>
      <c r="R902" s="72" t="s">
        <v>30</v>
      </c>
      <c r="S902" s="72" t="s">
        <v>30</v>
      </c>
      <c r="T902" s="72" t="s">
        <v>30</v>
      </c>
      <c r="W902" s="31"/>
    </row>
    <row r="903">
      <c r="B903" s="72" t="s">
        <v>30</v>
      </c>
      <c r="C903" s="72" t="s">
        <v>30</v>
      </c>
      <c r="D903" s="72" t="s">
        <v>30</v>
      </c>
      <c r="E903" s="72" t="s">
        <v>30</v>
      </c>
      <c r="F903" s="72" t="s">
        <v>30</v>
      </c>
      <c r="G903" s="72" t="s">
        <v>30</v>
      </c>
      <c r="H903" s="72" t="s">
        <v>30</v>
      </c>
      <c r="I903" s="73" t="s">
        <v>30</v>
      </c>
      <c r="J903" s="72" t="s">
        <v>30</v>
      </c>
      <c r="K903" s="72" t="s">
        <v>30</v>
      </c>
      <c r="L903" s="72" t="s">
        <v>30</v>
      </c>
      <c r="M903" s="72" t="s">
        <v>30</v>
      </c>
      <c r="N903" s="72" t="s">
        <v>30</v>
      </c>
      <c r="O903" s="73" t="s">
        <v>30</v>
      </c>
      <c r="P903" s="72" t="s">
        <v>30</v>
      </c>
      <c r="Q903" s="72" t="s">
        <v>30</v>
      </c>
      <c r="R903" s="72" t="s">
        <v>30</v>
      </c>
      <c r="S903" s="72" t="s">
        <v>30</v>
      </c>
      <c r="T903" s="72" t="s">
        <v>30</v>
      </c>
      <c r="W903" s="31"/>
    </row>
    <row r="904">
      <c r="B904" s="72" t="s">
        <v>30</v>
      </c>
      <c r="C904" s="72" t="s">
        <v>30</v>
      </c>
      <c r="D904" s="72" t="s">
        <v>30</v>
      </c>
      <c r="E904" s="72" t="s">
        <v>30</v>
      </c>
      <c r="F904" s="72" t="s">
        <v>30</v>
      </c>
      <c r="G904" s="72" t="s">
        <v>30</v>
      </c>
      <c r="H904" s="72" t="s">
        <v>30</v>
      </c>
      <c r="I904" s="73" t="s">
        <v>30</v>
      </c>
      <c r="J904" s="72" t="s">
        <v>30</v>
      </c>
      <c r="K904" s="72" t="s">
        <v>30</v>
      </c>
      <c r="L904" s="72" t="s">
        <v>30</v>
      </c>
      <c r="M904" s="72" t="s">
        <v>30</v>
      </c>
      <c r="N904" s="72" t="s">
        <v>30</v>
      </c>
      <c r="O904" s="73" t="s">
        <v>30</v>
      </c>
      <c r="P904" s="72" t="s">
        <v>30</v>
      </c>
      <c r="Q904" s="72" t="s">
        <v>30</v>
      </c>
      <c r="R904" s="72" t="s">
        <v>30</v>
      </c>
      <c r="S904" s="72" t="s">
        <v>30</v>
      </c>
      <c r="T904" s="72" t="s">
        <v>30</v>
      </c>
      <c r="W904" s="31"/>
    </row>
    <row r="905">
      <c r="B905" s="72" t="s">
        <v>30</v>
      </c>
      <c r="C905" s="72" t="s">
        <v>30</v>
      </c>
      <c r="D905" s="72" t="s">
        <v>30</v>
      </c>
      <c r="E905" s="72" t="s">
        <v>30</v>
      </c>
      <c r="F905" s="72" t="s">
        <v>30</v>
      </c>
      <c r="G905" s="72" t="s">
        <v>30</v>
      </c>
      <c r="H905" s="72" t="s">
        <v>30</v>
      </c>
      <c r="I905" s="73" t="s">
        <v>30</v>
      </c>
      <c r="J905" s="72" t="s">
        <v>30</v>
      </c>
      <c r="K905" s="72" t="s">
        <v>30</v>
      </c>
      <c r="L905" s="72" t="s">
        <v>30</v>
      </c>
      <c r="M905" s="72" t="s">
        <v>30</v>
      </c>
      <c r="N905" s="72" t="s">
        <v>30</v>
      </c>
      <c r="O905" s="73" t="s">
        <v>30</v>
      </c>
      <c r="P905" s="72" t="s">
        <v>30</v>
      </c>
      <c r="Q905" s="72" t="s">
        <v>30</v>
      </c>
      <c r="R905" s="72" t="s">
        <v>30</v>
      </c>
      <c r="S905" s="72" t="s">
        <v>30</v>
      </c>
      <c r="T905" s="72" t="s">
        <v>30</v>
      </c>
      <c r="W905" s="31"/>
    </row>
    <row r="906">
      <c r="B906" s="72" t="s">
        <v>30</v>
      </c>
      <c r="C906" s="72" t="s">
        <v>30</v>
      </c>
      <c r="D906" s="72" t="s">
        <v>30</v>
      </c>
      <c r="E906" s="72" t="s">
        <v>30</v>
      </c>
      <c r="F906" s="72" t="s">
        <v>30</v>
      </c>
      <c r="G906" s="72" t="s">
        <v>30</v>
      </c>
      <c r="H906" s="72" t="s">
        <v>30</v>
      </c>
      <c r="I906" s="73" t="s">
        <v>30</v>
      </c>
      <c r="J906" s="72" t="s">
        <v>30</v>
      </c>
      <c r="K906" s="72" t="s">
        <v>30</v>
      </c>
      <c r="L906" s="72" t="s">
        <v>30</v>
      </c>
      <c r="M906" s="72" t="s">
        <v>30</v>
      </c>
      <c r="N906" s="72" t="s">
        <v>30</v>
      </c>
      <c r="O906" s="73" t="s">
        <v>30</v>
      </c>
      <c r="P906" s="72" t="s">
        <v>30</v>
      </c>
      <c r="Q906" s="72" t="s">
        <v>30</v>
      </c>
      <c r="R906" s="72" t="s">
        <v>30</v>
      </c>
      <c r="S906" s="72" t="s">
        <v>30</v>
      </c>
      <c r="T906" s="72" t="s">
        <v>30</v>
      </c>
      <c r="W906" s="31"/>
    </row>
    <row r="907">
      <c r="B907" s="72" t="s">
        <v>30</v>
      </c>
      <c r="C907" s="72" t="s">
        <v>30</v>
      </c>
      <c r="D907" s="72" t="s">
        <v>30</v>
      </c>
      <c r="E907" s="72" t="s">
        <v>30</v>
      </c>
      <c r="F907" s="72" t="s">
        <v>30</v>
      </c>
      <c r="G907" s="72" t="s">
        <v>30</v>
      </c>
      <c r="H907" s="72" t="s">
        <v>30</v>
      </c>
      <c r="I907" s="73" t="s">
        <v>30</v>
      </c>
      <c r="J907" s="72" t="s">
        <v>30</v>
      </c>
      <c r="K907" s="72" t="s">
        <v>30</v>
      </c>
      <c r="L907" s="72" t="s">
        <v>30</v>
      </c>
      <c r="M907" s="72" t="s">
        <v>30</v>
      </c>
      <c r="N907" s="72" t="s">
        <v>30</v>
      </c>
      <c r="O907" s="73" t="s">
        <v>30</v>
      </c>
      <c r="P907" s="72" t="s">
        <v>30</v>
      </c>
      <c r="Q907" s="72" t="s">
        <v>30</v>
      </c>
      <c r="R907" s="72" t="s">
        <v>30</v>
      </c>
      <c r="S907" s="72" t="s">
        <v>30</v>
      </c>
      <c r="T907" s="72" t="s">
        <v>30</v>
      </c>
      <c r="W907" s="31"/>
    </row>
    <row r="908">
      <c r="B908" s="72" t="s">
        <v>30</v>
      </c>
      <c r="C908" s="72" t="s">
        <v>30</v>
      </c>
      <c r="D908" s="72" t="s">
        <v>30</v>
      </c>
      <c r="E908" s="72" t="s">
        <v>30</v>
      </c>
      <c r="F908" s="72" t="s">
        <v>30</v>
      </c>
      <c r="G908" s="72" t="s">
        <v>30</v>
      </c>
      <c r="H908" s="72" t="s">
        <v>30</v>
      </c>
      <c r="I908" s="73" t="s">
        <v>30</v>
      </c>
      <c r="J908" s="72" t="s">
        <v>30</v>
      </c>
      <c r="K908" s="72" t="s">
        <v>30</v>
      </c>
      <c r="L908" s="72" t="s">
        <v>30</v>
      </c>
      <c r="M908" s="72" t="s">
        <v>30</v>
      </c>
      <c r="N908" s="72" t="s">
        <v>30</v>
      </c>
      <c r="O908" s="73" t="s">
        <v>30</v>
      </c>
      <c r="P908" s="72" t="s">
        <v>30</v>
      </c>
      <c r="Q908" s="72" t="s">
        <v>30</v>
      </c>
      <c r="R908" s="72" t="s">
        <v>30</v>
      </c>
      <c r="S908" s="72" t="s">
        <v>30</v>
      </c>
      <c r="T908" s="72" t="s">
        <v>30</v>
      </c>
      <c r="W908" s="31"/>
    </row>
    <row r="909">
      <c r="B909" s="72" t="s">
        <v>30</v>
      </c>
      <c r="C909" s="72" t="s">
        <v>30</v>
      </c>
      <c r="D909" s="72" t="s">
        <v>30</v>
      </c>
      <c r="E909" s="72" t="s">
        <v>30</v>
      </c>
      <c r="F909" s="72" t="s">
        <v>30</v>
      </c>
      <c r="G909" s="72" t="s">
        <v>30</v>
      </c>
      <c r="H909" s="72" t="s">
        <v>30</v>
      </c>
      <c r="I909" s="73" t="s">
        <v>30</v>
      </c>
      <c r="J909" s="72" t="s">
        <v>30</v>
      </c>
      <c r="K909" s="72" t="s">
        <v>30</v>
      </c>
      <c r="L909" s="72" t="s">
        <v>30</v>
      </c>
      <c r="M909" s="72" t="s">
        <v>30</v>
      </c>
      <c r="N909" s="72" t="s">
        <v>30</v>
      </c>
      <c r="O909" s="73" t="s">
        <v>30</v>
      </c>
      <c r="P909" s="72" t="s">
        <v>30</v>
      </c>
      <c r="Q909" s="72" t="s">
        <v>30</v>
      </c>
      <c r="R909" s="72" t="s">
        <v>30</v>
      </c>
      <c r="S909" s="72" t="s">
        <v>30</v>
      </c>
      <c r="T909" s="72" t="s">
        <v>30</v>
      </c>
      <c r="W909" s="31"/>
    </row>
    <row r="910">
      <c r="B910" s="72" t="s">
        <v>30</v>
      </c>
      <c r="C910" s="72" t="s">
        <v>30</v>
      </c>
      <c r="D910" s="72" t="s">
        <v>30</v>
      </c>
      <c r="E910" s="72" t="s">
        <v>30</v>
      </c>
      <c r="F910" s="72" t="s">
        <v>30</v>
      </c>
      <c r="G910" s="72" t="s">
        <v>30</v>
      </c>
      <c r="H910" s="72" t="s">
        <v>30</v>
      </c>
      <c r="I910" s="73" t="s">
        <v>30</v>
      </c>
      <c r="J910" s="72" t="s">
        <v>30</v>
      </c>
      <c r="K910" s="72" t="s">
        <v>30</v>
      </c>
      <c r="L910" s="72" t="s">
        <v>30</v>
      </c>
      <c r="M910" s="72" t="s">
        <v>30</v>
      </c>
      <c r="N910" s="72" t="s">
        <v>30</v>
      </c>
      <c r="O910" s="73" t="s">
        <v>30</v>
      </c>
      <c r="P910" s="72" t="s">
        <v>30</v>
      </c>
      <c r="Q910" s="72" t="s">
        <v>30</v>
      </c>
      <c r="R910" s="72" t="s">
        <v>30</v>
      </c>
      <c r="S910" s="72" t="s">
        <v>30</v>
      </c>
      <c r="T910" s="72" t="s">
        <v>30</v>
      </c>
      <c r="W910" s="31"/>
    </row>
    <row r="911">
      <c r="B911" s="72" t="s">
        <v>30</v>
      </c>
      <c r="C911" s="72" t="s">
        <v>30</v>
      </c>
      <c r="D911" s="72" t="s">
        <v>30</v>
      </c>
      <c r="E911" s="72" t="s">
        <v>30</v>
      </c>
      <c r="F911" s="72" t="s">
        <v>30</v>
      </c>
      <c r="G911" s="72" t="s">
        <v>30</v>
      </c>
      <c r="H911" s="72" t="s">
        <v>30</v>
      </c>
      <c r="I911" s="73" t="s">
        <v>30</v>
      </c>
      <c r="J911" s="72" t="s">
        <v>30</v>
      </c>
      <c r="K911" s="72" t="s">
        <v>30</v>
      </c>
      <c r="L911" s="72" t="s">
        <v>30</v>
      </c>
      <c r="M911" s="72" t="s">
        <v>30</v>
      </c>
      <c r="N911" s="72" t="s">
        <v>30</v>
      </c>
      <c r="O911" s="73" t="s">
        <v>30</v>
      </c>
      <c r="P911" s="72" t="s">
        <v>30</v>
      </c>
      <c r="Q911" s="72" t="s">
        <v>30</v>
      </c>
      <c r="R911" s="72" t="s">
        <v>30</v>
      </c>
      <c r="S911" s="72" t="s">
        <v>30</v>
      </c>
      <c r="T911" s="72" t="s">
        <v>30</v>
      </c>
      <c r="W911" s="31"/>
    </row>
    <row r="912">
      <c r="B912" s="72" t="s">
        <v>30</v>
      </c>
      <c r="C912" s="72" t="s">
        <v>30</v>
      </c>
      <c r="D912" s="72" t="s">
        <v>30</v>
      </c>
      <c r="E912" s="72" t="s">
        <v>30</v>
      </c>
      <c r="F912" s="72" t="s">
        <v>30</v>
      </c>
      <c r="G912" s="72" t="s">
        <v>30</v>
      </c>
      <c r="H912" s="72" t="s">
        <v>30</v>
      </c>
      <c r="I912" s="73" t="s">
        <v>30</v>
      </c>
      <c r="J912" s="72" t="s">
        <v>30</v>
      </c>
      <c r="K912" s="72" t="s">
        <v>30</v>
      </c>
      <c r="L912" s="72" t="s">
        <v>30</v>
      </c>
      <c r="M912" s="72" t="s">
        <v>30</v>
      </c>
      <c r="N912" s="72" t="s">
        <v>30</v>
      </c>
      <c r="O912" s="73" t="s">
        <v>30</v>
      </c>
      <c r="P912" s="72" t="s">
        <v>30</v>
      </c>
      <c r="Q912" s="72" t="s">
        <v>30</v>
      </c>
      <c r="R912" s="72" t="s">
        <v>30</v>
      </c>
      <c r="S912" s="72" t="s">
        <v>30</v>
      </c>
      <c r="T912" s="72" t="s">
        <v>30</v>
      </c>
      <c r="W912" s="31"/>
    </row>
    <row r="913">
      <c r="B913" s="72" t="s">
        <v>30</v>
      </c>
      <c r="C913" s="72" t="s">
        <v>30</v>
      </c>
      <c r="D913" s="72" t="s">
        <v>30</v>
      </c>
      <c r="E913" s="72" t="s">
        <v>30</v>
      </c>
      <c r="F913" s="72" t="s">
        <v>30</v>
      </c>
      <c r="G913" s="72" t="s">
        <v>30</v>
      </c>
      <c r="H913" s="72" t="s">
        <v>30</v>
      </c>
      <c r="I913" s="73" t="s">
        <v>30</v>
      </c>
      <c r="J913" s="72" t="s">
        <v>30</v>
      </c>
      <c r="K913" s="72" t="s">
        <v>30</v>
      </c>
      <c r="L913" s="72" t="s">
        <v>30</v>
      </c>
      <c r="M913" s="72" t="s">
        <v>30</v>
      </c>
      <c r="N913" s="72" t="s">
        <v>30</v>
      </c>
      <c r="O913" s="73" t="s">
        <v>30</v>
      </c>
      <c r="P913" s="72" t="s">
        <v>30</v>
      </c>
      <c r="Q913" s="72" t="s">
        <v>30</v>
      </c>
      <c r="R913" s="72" t="s">
        <v>30</v>
      </c>
      <c r="S913" s="72" t="s">
        <v>30</v>
      </c>
      <c r="T913" s="72" t="s">
        <v>30</v>
      </c>
      <c r="W913" s="31"/>
    </row>
    <row r="914">
      <c r="B914" s="72" t="s">
        <v>30</v>
      </c>
      <c r="C914" s="72" t="s">
        <v>30</v>
      </c>
      <c r="D914" s="72" t="s">
        <v>30</v>
      </c>
      <c r="E914" s="72" t="s">
        <v>30</v>
      </c>
      <c r="F914" s="72" t="s">
        <v>30</v>
      </c>
      <c r="G914" s="72" t="s">
        <v>30</v>
      </c>
      <c r="H914" s="72" t="s">
        <v>30</v>
      </c>
      <c r="I914" s="73" t="s">
        <v>30</v>
      </c>
      <c r="J914" s="72" t="s">
        <v>30</v>
      </c>
      <c r="K914" s="72" t="s">
        <v>30</v>
      </c>
      <c r="L914" s="72" t="s">
        <v>30</v>
      </c>
      <c r="M914" s="72" t="s">
        <v>30</v>
      </c>
      <c r="N914" s="72" t="s">
        <v>30</v>
      </c>
      <c r="O914" s="73" t="s">
        <v>30</v>
      </c>
      <c r="P914" s="72" t="s">
        <v>30</v>
      </c>
      <c r="Q914" s="72" t="s">
        <v>30</v>
      </c>
      <c r="R914" s="72" t="s">
        <v>30</v>
      </c>
      <c r="S914" s="72" t="s">
        <v>30</v>
      </c>
      <c r="T914" s="72" t="s">
        <v>30</v>
      </c>
      <c r="W914" s="31"/>
    </row>
    <row r="915">
      <c r="B915" s="72" t="s">
        <v>30</v>
      </c>
      <c r="C915" s="72" t="s">
        <v>30</v>
      </c>
      <c r="D915" s="72" t="s">
        <v>30</v>
      </c>
      <c r="E915" s="72" t="s">
        <v>30</v>
      </c>
      <c r="F915" s="72" t="s">
        <v>30</v>
      </c>
      <c r="G915" s="72" t="s">
        <v>30</v>
      </c>
      <c r="H915" s="72" t="s">
        <v>30</v>
      </c>
      <c r="I915" s="73" t="s">
        <v>30</v>
      </c>
      <c r="J915" s="72" t="s">
        <v>30</v>
      </c>
      <c r="K915" s="72" t="s">
        <v>30</v>
      </c>
      <c r="L915" s="72" t="s">
        <v>30</v>
      </c>
      <c r="M915" s="72" t="s">
        <v>30</v>
      </c>
      <c r="N915" s="72" t="s">
        <v>30</v>
      </c>
      <c r="O915" s="73" t="s">
        <v>30</v>
      </c>
      <c r="P915" s="72" t="s">
        <v>30</v>
      </c>
      <c r="Q915" s="72" t="s">
        <v>30</v>
      </c>
      <c r="R915" s="72" t="s">
        <v>30</v>
      </c>
      <c r="S915" s="72" t="s">
        <v>30</v>
      </c>
      <c r="T915" s="72" t="s">
        <v>30</v>
      </c>
      <c r="W915" s="31"/>
    </row>
    <row r="916">
      <c r="B916" s="72" t="s">
        <v>30</v>
      </c>
      <c r="C916" s="72" t="s">
        <v>30</v>
      </c>
      <c r="D916" s="72" t="s">
        <v>30</v>
      </c>
      <c r="E916" s="72" t="s">
        <v>30</v>
      </c>
      <c r="F916" s="72" t="s">
        <v>30</v>
      </c>
      <c r="G916" s="72" t="s">
        <v>30</v>
      </c>
      <c r="H916" s="72" t="s">
        <v>30</v>
      </c>
      <c r="I916" s="73" t="s">
        <v>30</v>
      </c>
      <c r="J916" s="72" t="s">
        <v>30</v>
      </c>
      <c r="K916" s="72" t="s">
        <v>30</v>
      </c>
      <c r="L916" s="72" t="s">
        <v>30</v>
      </c>
      <c r="M916" s="72" t="s">
        <v>30</v>
      </c>
      <c r="N916" s="72" t="s">
        <v>30</v>
      </c>
      <c r="O916" s="73" t="s">
        <v>30</v>
      </c>
      <c r="P916" s="72" t="s">
        <v>30</v>
      </c>
      <c r="Q916" s="72" t="s">
        <v>30</v>
      </c>
      <c r="R916" s="72" t="s">
        <v>30</v>
      </c>
      <c r="S916" s="72" t="s">
        <v>30</v>
      </c>
      <c r="T916" s="72" t="s">
        <v>30</v>
      </c>
      <c r="W916" s="31"/>
    </row>
    <row r="917">
      <c r="B917" s="72" t="s">
        <v>30</v>
      </c>
      <c r="C917" s="72" t="s">
        <v>30</v>
      </c>
      <c r="D917" s="72" t="s">
        <v>30</v>
      </c>
      <c r="E917" s="72" t="s">
        <v>30</v>
      </c>
      <c r="F917" s="72" t="s">
        <v>30</v>
      </c>
      <c r="G917" s="72" t="s">
        <v>30</v>
      </c>
      <c r="H917" s="72" t="s">
        <v>30</v>
      </c>
      <c r="I917" s="73" t="s">
        <v>30</v>
      </c>
      <c r="J917" s="72" t="s">
        <v>30</v>
      </c>
      <c r="K917" s="72" t="s">
        <v>30</v>
      </c>
      <c r="L917" s="72" t="s">
        <v>30</v>
      </c>
      <c r="M917" s="72" t="s">
        <v>30</v>
      </c>
      <c r="N917" s="72" t="s">
        <v>30</v>
      </c>
      <c r="O917" s="73" t="s">
        <v>30</v>
      </c>
      <c r="P917" s="72" t="s">
        <v>30</v>
      </c>
      <c r="Q917" s="72" t="s">
        <v>30</v>
      </c>
      <c r="R917" s="72" t="s">
        <v>30</v>
      </c>
      <c r="S917" s="72" t="s">
        <v>30</v>
      </c>
      <c r="T917" s="72" t="s">
        <v>30</v>
      </c>
      <c r="W917" s="31"/>
    </row>
    <row r="918">
      <c r="B918" s="72" t="s">
        <v>30</v>
      </c>
      <c r="C918" s="72" t="s">
        <v>30</v>
      </c>
      <c r="D918" s="72" t="s">
        <v>30</v>
      </c>
      <c r="E918" s="72" t="s">
        <v>30</v>
      </c>
      <c r="F918" s="72" t="s">
        <v>30</v>
      </c>
      <c r="G918" s="72" t="s">
        <v>30</v>
      </c>
      <c r="H918" s="72" t="s">
        <v>30</v>
      </c>
      <c r="I918" s="73" t="s">
        <v>30</v>
      </c>
      <c r="J918" s="72" t="s">
        <v>30</v>
      </c>
      <c r="K918" s="72" t="s">
        <v>30</v>
      </c>
      <c r="L918" s="72" t="s">
        <v>30</v>
      </c>
      <c r="M918" s="72" t="s">
        <v>30</v>
      </c>
      <c r="N918" s="72" t="s">
        <v>30</v>
      </c>
      <c r="O918" s="73" t="s">
        <v>30</v>
      </c>
      <c r="P918" s="72" t="s">
        <v>30</v>
      </c>
      <c r="Q918" s="72" t="s">
        <v>30</v>
      </c>
      <c r="R918" s="72" t="s">
        <v>30</v>
      </c>
      <c r="S918" s="72" t="s">
        <v>30</v>
      </c>
      <c r="T918" s="72" t="s">
        <v>30</v>
      </c>
      <c r="W918" s="31"/>
    </row>
    <row r="919">
      <c r="B919" s="72" t="s">
        <v>30</v>
      </c>
      <c r="C919" s="72" t="s">
        <v>30</v>
      </c>
      <c r="D919" s="72" t="s">
        <v>30</v>
      </c>
      <c r="E919" s="72" t="s">
        <v>30</v>
      </c>
      <c r="F919" s="72" t="s">
        <v>30</v>
      </c>
      <c r="G919" s="72" t="s">
        <v>30</v>
      </c>
      <c r="H919" s="72" t="s">
        <v>30</v>
      </c>
      <c r="I919" s="73" t="s">
        <v>30</v>
      </c>
      <c r="J919" s="72" t="s">
        <v>30</v>
      </c>
      <c r="K919" s="72" t="s">
        <v>30</v>
      </c>
      <c r="L919" s="72" t="s">
        <v>30</v>
      </c>
      <c r="M919" s="72" t="s">
        <v>30</v>
      </c>
      <c r="N919" s="72" t="s">
        <v>30</v>
      </c>
      <c r="O919" s="73" t="s">
        <v>30</v>
      </c>
      <c r="P919" s="72" t="s">
        <v>30</v>
      </c>
      <c r="Q919" s="72" t="s">
        <v>30</v>
      </c>
      <c r="R919" s="72" t="s">
        <v>30</v>
      </c>
      <c r="S919" s="72" t="s">
        <v>30</v>
      </c>
      <c r="T919" s="72" t="s">
        <v>30</v>
      </c>
      <c r="W919" s="31"/>
    </row>
    <row r="920">
      <c r="B920" s="72" t="s">
        <v>30</v>
      </c>
      <c r="C920" s="72" t="s">
        <v>30</v>
      </c>
      <c r="D920" s="72" t="s">
        <v>30</v>
      </c>
      <c r="E920" s="72" t="s">
        <v>30</v>
      </c>
      <c r="F920" s="72" t="s">
        <v>30</v>
      </c>
      <c r="G920" s="72" t="s">
        <v>30</v>
      </c>
      <c r="H920" s="72" t="s">
        <v>30</v>
      </c>
      <c r="I920" s="73" t="s">
        <v>30</v>
      </c>
      <c r="J920" s="72" t="s">
        <v>30</v>
      </c>
      <c r="K920" s="72" t="s">
        <v>30</v>
      </c>
      <c r="L920" s="72" t="s">
        <v>30</v>
      </c>
      <c r="M920" s="72" t="s">
        <v>30</v>
      </c>
      <c r="N920" s="72" t="s">
        <v>30</v>
      </c>
      <c r="O920" s="73" t="s">
        <v>30</v>
      </c>
      <c r="P920" s="72" t="s">
        <v>30</v>
      </c>
      <c r="Q920" s="72" t="s">
        <v>30</v>
      </c>
      <c r="R920" s="72" t="s">
        <v>30</v>
      </c>
      <c r="S920" s="72" t="s">
        <v>30</v>
      </c>
      <c r="T920" s="72" t="s">
        <v>30</v>
      </c>
      <c r="W920" s="31"/>
    </row>
    <row r="921">
      <c r="B921" s="72" t="s">
        <v>30</v>
      </c>
      <c r="C921" s="72" t="s">
        <v>30</v>
      </c>
      <c r="D921" s="72" t="s">
        <v>30</v>
      </c>
      <c r="E921" s="72" t="s">
        <v>30</v>
      </c>
      <c r="F921" s="72" t="s">
        <v>30</v>
      </c>
      <c r="G921" s="72" t="s">
        <v>30</v>
      </c>
      <c r="H921" s="72" t="s">
        <v>30</v>
      </c>
      <c r="I921" s="73" t="s">
        <v>30</v>
      </c>
      <c r="J921" s="72" t="s">
        <v>30</v>
      </c>
      <c r="K921" s="72" t="s">
        <v>30</v>
      </c>
      <c r="L921" s="72" t="s">
        <v>30</v>
      </c>
      <c r="M921" s="72" t="s">
        <v>30</v>
      </c>
      <c r="N921" s="72" t="s">
        <v>30</v>
      </c>
      <c r="O921" s="73" t="s">
        <v>30</v>
      </c>
      <c r="P921" s="72" t="s">
        <v>30</v>
      </c>
      <c r="Q921" s="72" t="s">
        <v>30</v>
      </c>
      <c r="R921" s="72" t="s">
        <v>30</v>
      </c>
      <c r="S921" s="72" t="s">
        <v>30</v>
      </c>
      <c r="T921" s="72" t="s">
        <v>30</v>
      </c>
      <c r="W921" s="31"/>
    </row>
    <row r="922">
      <c r="B922" s="72" t="s">
        <v>30</v>
      </c>
      <c r="C922" s="72" t="s">
        <v>30</v>
      </c>
      <c r="D922" s="72" t="s">
        <v>30</v>
      </c>
      <c r="E922" s="72" t="s">
        <v>30</v>
      </c>
      <c r="F922" s="72" t="s">
        <v>30</v>
      </c>
      <c r="G922" s="72" t="s">
        <v>30</v>
      </c>
      <c r="H922" s="72" t="s">
        <v>30</v>
      </c>
      <c r="I922" s="73" t="s">
        <v>30</v>
      </c>
      <c r="J922" s="72" t="s">
        <v>30</v>
      </c>
      <c r="K922" s="72" t="s">
        <v>30</v>
      </c>
      <c r="L922" s="72" t="s">
        <v>30</v>
      </c>
      <c r="M922" s="72" t="s">
        <v>30</v>
      </c>
      <c r="N922" s="72" t="s">
        <v>30</v>
      </c>
      <c r="O922" s="73" t="s">
        <v>30</v>
      </c>
      <c r="P922" s="72" t="s">
        <v>30</v>
      </c>
      <c r="Q922" s="72" t="s">
        <v>30</v>
      </c>
      <c r="R922" s="72" t="s">
        <v>30</v>
      </c>
      <c r="S922" s="72" t="s">
        <v>30</v>
      </c>
      <c r="T922" s="72" t="s">
        <v>30</v>
      </c>
      <c r="W922" s="31"/>
    </row>
    <row r="923">
      <c r="B923" s="72" t="s">
        <v>30</v>
      </c>
      <c r="C923" s="72" t="s">
        <v>30</v>
      </c>
      <c r="D923" s="72" t="s">
        <v>30</v>
      </c>
      <c r="E923" s="72" t="s">
        <v>30</v>
      </c>
      <c r="F923" s="72" t="s">
        <v>30</v>
      </c>
      <c r="G923" s="72" t="s">
        <v>30</v>
      </c>
      <c r="H923" s="72" t="s">
        <v>30</v>
      </c>
      <c r="I923" s="73" t="s">
        <v>30</v>
      </c>
      <c r="J923" s="72" t="s">
        <v>30</v>
      </c>
      <c r="K923" s="72" t="s">
        <v>30</v>
      </c>
      <c r="L923" s="72" t="s">
        <v>30</v>
      </c>
      <c r="M923" s="72" t="s">
        <v>30</v>
      </c>
      <c r="N923" s="72" t="s">
        <v>30</v>
      </c>
      <c r="O923" s="73" t="s">
        <v>30</v>
      </c>
      <c r="P923" s="72" t="s">
        <v>30</v>
      </c>
      <c r="Q923" s="72" t="s">
        <v>30</v>
      </c>
      <c r="R923" s="72" t="s">
        <v>30</v>
      </c>
      <c r="S923" s="72" t="s">
        <v>30</v>
      </c>
      <c r="T923" s="72" t="s">
        <v>30</v>
      </c>
      <c r="W923" s="31"/>
    </row>
    <row r="924">
      <c r="B924" s="72" t="s">
        <v>30</v>
      </c>
      <c r="C924" s="72" t="s">
        <v>30</v>
      </c>
      <c r="D924" s="72" t="s">
        <v>30</v>
      </c>
      <c r="E924" s="72" t="s">
        <v>30</v>
      </c>
      <c r="F924" s="72" t="s">
        <v>30</v>
      </c>
      <c r="G924" s="72" t="s">
        <v>30</v>
      </c>
      <c r="H924" s="72" t="s">
        <v>30</v>
      </c>
      <c r="I924" s="73" t="s">
        <v>30</v>
      </c>
      <c r="J924" s="72" t="s">
        <v>30</v>
      </c>
      <c r="K924" s="72" t="s">
        <v>30</v>
      </c>
      <c r="L924" s="72" t="s">
        <v>30</v>
      </c>
      <c r="M924" s="72" t="s">
        <v>30</v>
      </c>
      <c r="N924" s="72" t="s">
        <v>30</v>
      </c>
      <c r="O924" s="73" t="s">
        <v>30</v>
      </c>
      <c r="P924" s="72" t="s">
        <v>30</v>
      </c>
      <c r="Q924" s="72" t="s">
        <v>30</v>
      </c>
      <c r="R924" s="72" t="s">
        <v>30</v>
      </c>
      <c r="S924" s="72" t="s">
        <v>30</v>
      </c>
      <c r="T924" s="72" t="s">
        <v>30</v>
      </c>
      <c r="W924" s="31"/>
    </row>
    <row r="925">
      <c r="B925" s="72" t="s">
        <v>30</v>
      </c>
      <c r="C925" s="72" t="s">
        <v>30</v>
      </c>
      <c r="D925" s="72" t="s">
        <v>30</v>
      </c>
      <c r="E925" s="72" t="s">
        <v>30</v>
      </c>
      <c r="F925" s="72" t="s">
        <v>30</v>
      </c>
      <c r="G925" s="72" t="s">
        <v>30</v>
      </c>
      <c r="H925" s="72" t="s">
        <v>30</v>
      </c>
      <c r="I925" s="73" t="s">
        <v>30</v>
      </c>
      <c r="J925" s="72" t="s">
        <v>30</v>
      </c>
      <c r="K925" s="72" t="s">
        <v>30</v>
      </c>
      <c r="L925" s="72" t="s">
        <v>30</v>
      </c>
      <c r="M925" s="72" t="s">
        <v>30</v>
      </c>
      <c r="N925" s="72" t="s">
        <v>30</v>
      </c>
      <c r="O925" s="73" t="s">
        <v>30</v>
      </c>
      <c r="P925" s="72" t="s">
        <v>30</v>
      </c>
      <c r="Q925" s="72" t="s">
        <v>30</v>
      </c>
      <c r="R925" s="72" t="s">
        <v>30</v>
      </c>
      <c r="S925" s="72" t="s">
        <v>30</v>
      </c>
      <c r="T925" s="72" t="s">
        <v>30</v>
      </c>
      <c r="W925" s="31"/>
    </row>
    <row r="926">
      <c r="B926" s="72" t="s">
        <v>30</v>
      </c>
      <c r="C926" s="72" t="s">
        <v>30</v>
      </c>
      <c r="D926" s="72" t="s">
        <v>30</v>
      </c>
      <c r="E926" s="72" t="s">
        <v>30</v>
      </c>
      <c r="F926" s="72" t="s">
        <v>30</v>
      </c>
      <c r="G926" s="72" t="s">
        <v>30</v>
      </c>
      <c r="H926" s="72" t="s">
        <v>30</v>
      </c>
      <c r="I926" s="73" t="s">
        <v>30</v>
      </c>
      <c r="J926" s="72" t="s">
        <v>30</v>
      </c>
      <c r="K926" s="72" t="s">
        <v>30</v>
      </c>
      <c r="L926" s="72" t="s">
        <v>30</v>
      </c>
      <c r="M926" s="72" t="s">
        <v>30</v>
      </c>
      <c r="N926" s="72" t="s">
        <v>30</v>
      </c>
      <c r="O926" s="73" t="s">
        <v>30</v>
      </c>
      <c r="P926" s="72" t="s">
        <v>30</v>
      </c>
      <c r="Q926" s="72" t="s">
        <v>30</v>
      </c>
      <c r="R926" s="72" t="s">
        <v>30</v>
      </c>
      <c r="S926" s="72" t="s">
        <v>30</v>
      </c>
      <c r="T926" s="72" t="s">
        <v>30</v>
      </c>
      <c r="W926" s="31"/>
    </row>
    <row r="927">
      <c r="B927" s="72" t="s">
        <v>30</v>
      </c>
      <c r="C927" s="72" t="s">
        <v>30</v>
      </c>
      <c r="D927" s="72" t="s">
        <v>30</v>
      </c>
      <c r="E927" s="72" t="s">
        <v>30</v>
      </c>
      <c r="F927" s="72" t="s">
        <v>30</v>
      </c>
      <c r="G927" s="72" t="s">
        <v>30</v>
      </c>
      <c r="H927" s="72" t="s">
        <v>30</v>
      </c>
      <c r="I927" s="73" t="s">
        <v>30</v>
      </c>
      <c r="J927" s="72" t="s">
        <v>30</v>
      </c>
      <c r="K927" s="72" t="s">
        <v>30</v>
      </c>
      <c r="L927" s="72" t="s">
        <v>30</v>
      </c>
      <c r="M927" s="72" t="s">
        <v>30</v>
      </c>
      <c r="N927" s="72" t="s">
        <v>30</v>
      </c>
      <c r="O927" s="73" t="s">
        <v>30</v>
      </c>
      <c r="P927" s="72" t="s">
        <v>30</v>
      </c>
      <c r="Q927" s="72" t="s">
        <v>30</v>
      </c>
      <c r="R927" s="72" t="s">
        <v>30</v>
      </c>
      <c r="S927" s="72" t="s">
        <v>30</v>
      </c>
      <c r="T927" s="72" t="s">
        <v>30</v>
      </c>
      <c r="W927" s="31"/>
    </row>
    <row r="928">
      <c r="B928" s="72" t="s">
        <v>30</v>
      </c>
      <c r="C928" s="72" t="s">
        <v>30</v>
      </c>
      <c r="D928" s="72" t="s">
        <v>30</v>
      </c>
      <c r="E928" s="72" t="s">
        <v>30</v>
      </c>
      <c r="F928" s="72" t="s">
        <v>30</v>
      </c>
      <c r="G928" s="72" t="s">
        <v>30</v>
      </c>
      <c r="H928" s="72" t="s">
        <v>30</v>
      </c>
      <c r="I928" s="73" t="s">
        <v>30</v>
      </c>
      <c r="J928" s="72" t="s">
        <v>30</v>
      </c>
      <c r="K928" s="72" t="s">
        <v>30</v>
      </c>
      <c r="L928" s="72" t="s">
        <v>30</v>
      </c>
      <c r="M928" s="72" t="s">
        <v>30</v>
      </c>
      <c r="N928" s="72" t="s">
        <v>30</v>
      </c>
      <c r="O928" s="73" t="s">
        <v>30</v>
      </c>
      <c r="P928" s="72" t="s">
        <v>30</v>
      </c>
      <c r="Q928" s="72" t="s">
        <v>30</v>
      </c>
      <c r="R928" s="72" t="s">
        <v>30</v>
      </c>
      <c r="S928" s="72" t="s">
        <v>30</v>
      </c>
      <c r="T928" s="72" t="s">
        <v>30</v>
      </c>
      <c r="W928" s="31"/>
    </row>
    <row r="929">
      <c r="B929" s="72" t="s">
        <v>30</v>
      </c>
      <c r="C929" s="72" t="s">
        <v>30</v>
      </c>
      <c r="D929" s="72" t="s">
        <v>30</v>
      </c>
      <c r="E929" s="72" t="s">
        <v>30</v>
      </c>
      <c r="F929" s="72" t="s">
        <v>30</v>
      </c>
      <c r="G929" s="72" t="s">
        <v>30</v>
      </c>
      <c r="H929" s="72" t="s">
        <v>30</v>
      </c>
      <c r="I929" s="73" t="s">
        <v>30</v>
      </c>
      <c r="J929" s="72" t="s">
        <v>30</v>
      </c>
      <c r="K929" s="72" t="s">
        <v>30</v>
      </c>
      <c r="L929" s="72" t="s">
        <v>30</v>
      </c>
      <c r="M929" s="72" t="s">
        <v>30</v>
      </c>
      <c r="N929" s="72" t="s">
        <v>30</v>
      </c>
      <c r="O929" s="73" t="s">
        <v>30</v>
      </c>
      <c r="P929" s="72" t="s">
        <v>30</v>
      </c>
      <c r="Q929" s="72" t="s">
        <v>30</v>
      </c>
      <c r="R929" s="72" t="s">
        <v>30</v>
      </c>
      <c r="S929" s="72" t="s">
        <v>30</v>
      </c>
      <c r="T929" s="72" t="s">
        <v>30</v>
      </c>
      <c r="W929" s="31"/>
    </row>
    <row r="930">
      <c r="B930" s="72" t="s">
        <v>30</v>
      </c>
      <c r="C930" s="72" t="s">
        <v>30</v>
      </c>
      <c r="D930" s="72" t="s">
        <v>30</v>
      </c>
      <c r="E930" s="72" t="s">
        <v>30</v>
      </c>
      <c r="F930" s="72" t="s">
        <v>30</v>
      </c>
      <c r="G930" s="72" t="s">
        <v>30</v>
      </c>
      <c r="H930" s="72" t="s">
        <v>30</v>
      </c>
      <c r="I930" s="73" t="s">
        <v>30</v>
      </c>
      <c r="J930" s="72" t="s">
        <v>30</v>
      </c>
      <c r="K930" s="72" t="s">
        <v>30</v>
      </c>
      <c r="L930" s="72" t="s">
        <v>30</v>
      </c>
      <c r="M930" s="72" t="s">
        <v>30</v>
      </c>
      <c r="N930" s="72" t="s">
        <v>30</v>
      </c>
      <c r="O930" s="73" t="s">
        <v>30</v>
      </c>
      <c r="P930" s="72" t="s">
        <v>30</v>
      </c>
      <c r="Q930" s="72" t="s">
        <v>30</v>
      </c>
      <c r="R930" s="72" t="s">
        <v>30</v>
      </c>
      <c r="S930" s="72" t="s">
        <v>30</v>
      </c>
      <c r="T930" s="72" t="s">
        <v>30</v>
      </c>
      <c r="W930" s="31"/>
    </row>
    <row r="931">
      <c r="B931" s="72" t="s">
        <v>30</v>
      </c>
      <c r="C931" s="72" t="s">
        <v>30</v>
      </c>
      <c r="D931" s="72" t="s">
        <v>30</v>
      </c>
      <c r="E931" s="72" t="s">
        <v>30</v>
      </c>
      <c r="F931" s="72" t="s">
        <v>30</v>
      </c>
      <c r="G931" s="72" t="s">
        <v>30</v>
      </c>
      <c r="H931" s="72" t="s">
        <v>30</v>
      </c>
      <c r="I931" s="73" t="s">
        <v>30</v>
      </c>
      <c r="J931" s="72" t="s">
        <v>30</v>
      </c>
      <c r="K931" s="72" t="s">
        <v>30</v>
      </c>
      <c r="L931" s="72" t="s">
        <v>30</v>
      </c>
      <c r="M931" s="72" t="s">
        <v>30</v>
      </c>
      <c r="N931" s="72" t="s">
        <v>30</v>
      </c>
      <c r="O931" s="73" t="s">
        <v>30</v>
      </c>
      <c r="P931" s="72" t="s">
        <v>30</v>
      </c>
      <c r="Q931" s="72" t="s">
        <v>30</v>
      </c>
      <c r="R931" s="72" t="s">
        <v>30</v>
      </c>
      <c r="S931" s="72" t="s">
        <v>30</v>
      </c>
      <c r="T931" s="72" t="s">
        <v>30</v>
      </c>
      <c r="W931" s="31"/>
    </row>
    <row r="932">
      <c r="B932" s="72" t="s">
        <v>30</v>
      </c>
      <c r="C932" s="72" t="s">
        <v>30</v>
      </c>
      <c r="D932" s="72" t="s">
        <v>30</v>
      </c>
      <c r="E932" s="72" t="s">
        <v>30</v>
      </c>
      <c r="F932" s="72" t="s">
        <v>30</v>
      </c>
      <c r="G932" s="72" t="s">
        <v>30</v>
      </c>
      <c r="H932" s="72" t="s">
        <v>30</v>
      </c>
      <c r="I932" s="73" t="s">
        <v>30</v>
      </c>
      <c r="J932" s="72" t="s">
        <v>30</v>
      </c>
      <c r="K932" s="72" t="s">
        <v>30</v>
      </c>
      <c r="L932" s="72" t="s">
        <v>30</v>
      </c>
      <c r="M932" s="72" t="s">
        <v>30</v>
      </c>
      <c r="N932" s="72" t="s">
        <v>30</v>
      </c>
      <c r="O932" s="73" t="s">
        <v>30</v>
      </c>
      <c r="P932" s="72" t="s">
        <v>30</v>
      </c>
      <c r="Q932" s="72" t="s">
        <v>30</v>
      </c>
      <c r="R932" s="72" t="s">
        <v>30</v>
      </c>
      <c r="S932" s="72" t="s">
        <v>30</v>
      </c>
      <c r="T932" s="72" t="s">
        <v>30</v>
      </c>
      <c r="W932" s="31"/>
    </row>
    <row r="933">
      <c r="B933" s="72" t="s">
        <v>30</v>
      </c>
      <c r="C933" s="72" t="s">
        <v>30</v>
      </c>
      <c r="D933" s="72" t="s">
        <v>30</v>
      </c>
      <c r="E933" s="72" t="s">
        <v>30</v>
      </c>
      <c r="F933" s="72" t="s">
        <v>30</v>
      </c>
      <c r="G933" s="72" t="s">
        <v>30</v>
      </c>
      <c r="H933" s="72" t="s">
        <v>30</v>
      </c>
      <c r="I933" s="73" t="s">
        <v>30</v>
      </c>
      <c r="J933" s="72" t="s">
        <v>30</v>
      </c>
      <c r="K933" s="72" t="s">
        <v>30</v>
      </c>
      <c r="L933" s="72" t="s">
        <v>30</v>
      </c>
      <c r="M933" s="72" t="s">
        <v>30</v>
      </c>
      <c r="N933" s="72" t="s">
        <v>30</v>
      </c>
      <c r="O933" s="73" t="s">
        <v>30</v>
      </c>
      <c r="P933" s="72" t="s">
        <v>30</v>
      </c>
      <c r="Q933" s="72" t="s">
        <v>30</v>
      </c>
      <c r="R933" s="72" t="s">
        <v>30</v>
      </c>
      <c r="S933" s="72" t="s">
        <v>30</v>
      </c>
      <c r="T933" s="72" t="s">
        <v>30</v>
      </c>
      <c r="W933" s="31"/>
    </row>
    <row r="934">
      <c r="B934" s="72" t="s">
        <v>30</v>
      </c>
      <c r="C934" s="72" t="s">
        <v>30</v>
      </c>
      <c r="D934" s="72" t="s">
        <v>30</v>
      </c>
      <c r="E934" s="72" t="s">
        <v>30</v>
      </c>
      <c r="F934" s="72" t="s">
        <v>30</v>
      </c>
      <c r="G934" s="72" t="s">
        <v>30</v>
      </c>
      <c r="H934" s="72" t="s">
        <v>30</v>
      </c>
      <c r="I934" s="73" t="s">
        <v>30</v>
      </c>
      <c r="J934" s="72" t="s">
        <v>30</v>
      </c>
      <c r="K934" s="72" t="s">
        <v>30</v>
      </c>
      <c r="L934" s="72" t="s">
        <v>30</v>
      </c>
      <c r="M934" s="72" t="s">
        <v>30</v>
      </c>
      <c r="N934" s="72" t="s">
        <v>30</v>
      </c>
      <c r="O934" s="73" t="s">
        <v>30</v>
      </c>
      <c r="P934" s="72" t="s">
        <v>30</v>
      </c>
      <c r="Q934" s="72" t="s">
        <v>30</v>
      </c>
      <c r="R934" s="72" t="s">
        <v>30</v>
      </c>
      <c r="S934" s="72" t="s">
        <v>30</v>
      </c>
      <c r="T934" s="72" t="s">
        <v>30</v>
      </c>
      <c r="W934" s="31"/>
    </row>
    <row r="935">
      <c r="B935" s="72" t="s">
        <v>30</v>
      </c>
      <c r="C935" s="72" t="s">
        <v>30</v>
      </c>
      <c r="D935" s="72" t="s">
        <v>30</v>
      </c>
      <c r="E935" s="72" t="s">
        <v>30</v>
      </c>
      <c r="F935" s="72" t="s">
        <v>30</v>
      </c>
      <c r="G935" s="72" t="s">
        <v>30</v>
      </c>
      <c r="H935" s="72" t="s">
        <v>30</v>
      </c>
      <c r="I935" s="73" t="s">
        <v>30</v>
      </c>
      <c r="J935" s="72" t="s">
        <v>30</v>
      </c>
      <c r="K935" s="72" t="s">
        <v>30</v>
      </c>
      <c r="L935" s="72" t="s">
        <v>30</v>
      </c>
      <c r="M935" s="72" t="s">
        <v>30</v>
      </c>
      <c r="N935" s="72" t="s">
        <v>30</v>
      </c>
      <c r="O935" s="73" t="s">
        <v>30</v>
      </c>
      <c r="P935" s="72" t="s">
        <v>30</v>
      </c>
      <c r="Q935" s="72" t="s">
        <v>30</v>
      </c>
      <c r="R935" s="72" t="s">
        <v>30</v>
      </c>
      <c r="S935" s="72" t="s">
        <v>30</v>
      </c>
      <c r="T935" s="72" t="s">
        <v>30</v>
      </c>
      <c r="W935" s="31"/>
    </row>
    <row r="936">
      <c r="B936" s="72" t="s">
        <v>30</v>
      </c>
      <c r="C936" s="72" t="s">
        <v>30</v>
      </c>
      <c r="D936" s="72" t="s">
        <v>30</v>
      </c>
      <c r="E936" s="72" t="s">
        <v>30</v>
      </c>
      <c r="F936" s="72" t="s">
        <v>30</v>
      </c>
      <c r="G936" s="72" t="s">
        <v>30</v>
      </c>
      <c r="H936" s="72" t="s">
        <v>30</v>
      </c>
      <c r="I936" s="73" t="s">
        <v>30</v>
      </c>
      <c r="J936" s="72" t="s">
        <v>30</v>
      </c>
      <c r="K936" s="72" t="s">
        <v>30</v>
      </c>
      <c r="L936" s="72" t="s">
        <v>30</v>
      </c>
      <c r="M936" s="72" t="s">
        <v>30</v>
      </c>
      <c r="N936" s="72" t="s">
        <v>30</v>
      </c>
      <c r="O936" s="73" t="s">
        <v>30</v>
      </c>
      <c r="P936" s="72" t="s">
        <v>30</v>
      </c>
      <c r="Q936" s="72" t="s">
        <v>30</v>
      </c>
      <c r="R936" s="72" t="s">
        <v>30</v>
      </c>
      <c r="S936" s="72" t="s">
        <v>30</v>
      </c>
      <c r="T936" s="72" t="s">
        <v>30</v>
      </c>
      <c r="W936" s="31"/>
    </row>
    <row r="937">
      <c r="B937" s="72" t="s">
        <v>30</v>
      </c>
      <c r="C937" s="72" t="s">
        <v>30</v>
      </c>
      <c r="D937" s="72" t="s">
        <v>30</v>
      </c>
      <c r="E937" s="72" t="s">
        <v>30</v>
      </c>
      <c r="F937" s="72" t="s">
        <v>30</v>
      </c>
      <c r="G937" s="72" t="s">
        <v>30</v>
      </c>
      <c r="H937" s="72" t="s">
        <v>30</v>
      </c>
      <c r="I937" s="73" t="s">
        <v>30</v>
      </c>
      <c r="J937" s="72" t="s">
        <v>30</v>
      </c>
      <c r="K937" s="72" t="s">
        <v>30</v>
      </c>
      <c r="L937" s="72" t="s">
        <v>30</v>
      </c>
      <c r="M937" s="72" t="s">
        <v>30</v>
      </c>
      <c r="N937" s="72" t="s">
        <v>30</v>
      </c>
      <c r="O937" s="73" t="s">
        <v>30</v>
      </c>
      <c r="P937" s="72" t="s">
        <v>30</v>
      </c>
      <c r="Q937" s="72" t="s">
        <v>30</v>
      </c>
      <c r="R937" s="72" t="s">
        <v>30</v>
      </c>
      <c r="S937" s="72" t="s">
        <v>30</v>
      </c>
      <c r="T937" s="72" t="s">
        <v>30</v>
      </c>
      <c r="W937" s="31"/>
    </row>
    <row r="938">
      <c r="B938" s="72" t="s">
        <v>30</v>
      </c>
      <c r="C938" s="72" t="s">
        <v>30</v>
      </c>
      <c r="D938" s="72" t="s">
        <v>30</v>
      </c>
      <c r="E938" s="72" t="s">
        <v>30</v>
      </c>
      <c r="F938" s="72" t="s">
        <v>30</v>
      </c>
      <c r="G938" s="72" t="s">
        <v>30</v>
      </c>
      <c r="H938" s="72" t="s">
        <v>30</v>
      </c>
      <c r="I938" s="73" t="s">
        <v>30</v>
      </c>
      <c r="J938" s="72" t="s">
        <v>30</v>
      </c>
      <c r="K938" s="72" t="s">
        <v>30</v>
      </c>
      <c r="L938" s="72" t="s">
        <v>30</v>
      </c>
      <c r="M938" s="72" t="s">
        <v>30</v>
      </c>
      <c r="N938" s="72" t="s">
        <v>30</v>
      </c>
      <c r="O938" s="73" t="s">
        <v>30</v>
      </c>
      <c r="P938" s="72" t="s">
        <v>30</v>
      </c>
      <c r="Q938" s="72" t="s">
        <v>30</v>
      </c>
      <c r="R938" s="72" t="s">
        <v>30</v>
      </c>
      <c r="S938" s="72" t="s">
        <v>30</v>
      </c>
      <c r="T938" s="72" t="s">
        <v>30</v>
      </c>
      <c r="W938" s="31"/>
    </row>
    <row r="939">
      <c r="B939" s="72" t="s">
        <v>30</v>
      </c>
      <c r="C939" s="72" t="s">
        <v>30</v>
      </c>
      <c r="D939" s="72" t="s">
        <v>30</v>
      </c>
      <c r="E939" s="72" t="s">
        <v>30</v>
      </c>
      <c r="F939" s="72" t="s">
        <v>30</v>
      </c>
      <c r="G939" s="72" t="s">
        <v>30</v>
      </c>
      <c r="H939" s="72" t="s">
        <v>30</v>
      </c>
      <c r="I939" s="73" t="s">
        <v>30</v>
      </c>
      <c r="J939" s="72" t="s">
        <v>30</v>
      </c>
      <c r="K939" s="72" t="s">
        <v>30</v>
      </c>
      <c r="L939" s="72" t="s">
        <v>30</v>
      </c>
      <c r="M939" s="72" t="s">
        <v>30</v>
      </c>
      <c r="N939" s="72" t="s">
        <v>30</v>
      </c>
      <c r="O939" s="73" t="s">
        <v>30</v>
      </c>
      <c r="P939" s="72" t="s">
        <v>30</v>
      </c>
      <c r="Q939" s="72" t="s">
        <v>30</v>
      </c>
      <c r="R939" s="72" t="s">
        <v>30</v>
      </c>
      <c r="S939" s="72" t="s">
        <v>30</v>
      </c>
      <c r="T939" s="72" t="s">
        <v>30</v>
      </c>
      <c r="W939" s="31"/>
    </row>
    <row r="940">
      <c r="B940" s="72" t="s">
        <v>30</v>
      </c>
      <c r="C940" s="72" t="s">
        <v>30</v>
      </c>
      <c r="D940" s="72" t="s">
        <v>30</v>
      </c>
      <c r="E940" s="72" t="s">
        <v>30</v>
      </c>
      <c r="F940" s="72" t="s">
        <v>30</v>
      </c>
      <c r="G940" s="72" t="s">
        <v>30</v>
      </c>
      <c r="H940" s="72" t="s">
        <v>30</v>
      </c>
      <c r="I940" s="73" t="s">
        <v>30</v>
      </c>
      <c r="J940" s="72" t="s">
        <v>30</v>
      </c>
      <c r="K940" s="72" t="s">
        <v>30</v>
      </c>
      <c r="L940" s="72" t="s">
        <v>30</v>
      </c>
      <c r="M940" s="72" t="s">
        <v>30</v>
      </c>
      <c r="N940" s="72" t="s">
        <v>30</v>
      </c>
      <c r="O940" s="73" t="s">
        <v>30</v>
      </c>
      <c r="P940" s="72" t="s">
        <v>30</v>
      </c>
      <c r="Q940" s="72" t="s">
        <v>30</v>
      </c>
      <c r="R940" s="72" t="s">
        <v>30</v>
      </c>
      <c r="S940" s="72" t="s">
        <v>30</v>
      </c>
      <c r="T940" s="72" t="s">
        <v>30</v>
      </c>
      <c r="W940" s="31"/>
    </row>
    <row r="941">
      <c r="B941" s="72" t="s">
        <v>30</v>
      </c>
      <c r="C941" s="72" t="s">
        <v>30</v>
      </c>
      <c r="D941" s="72" t="s">
        <v>30</v>
      </c>
      <c r="E941" s="72" t="s">
        <v>30</v>
      </c>
      <c r="F941" s="72" t="s">
        <v>30</v>
      </c>
      <c r="G941" s="72" t="s">
        <v>30</v>
      </c>
      <c r="H941" s="72" t="s">
        <v>30</v>
      </c>
      <c r="I941" s="73" t="s">
        <v>30</v>
      </c>
      <c r="J941" s="72" t="s">
        <v>30</v>
      </c>
      <c r="K941" s="72" t="s">
        <v>30</v>
      </c>
      <c r="L941" s="72" t="s">
        <v>30</v>
      </c>
      <c r="M941" s="72" t="s">
        <v>30</v>
      </c>
      <c r="N941" s="72" t="s">
        <v>30</v>
      </c>
      <c r="O941" s="73" t="s">
        <v>30</v>
      </c>
      <c r="P941" s="72" t="s">
        <v>30</v>
      </c>
      <c r="Q941" s="72" t="s">
        <v>30</v>
      </c>
      <c r="R941" s="72" t="s">
        <v>30</v>
      </c>
      <c r="S941" s="72" t="s">
        <v>30</v>
      </c>
      <c r="T941" s="72" t="s">
        <v>30</v>
      </c>
      <c r="W941" s="31"/>
    </row>
    <row r="942">
      <c r="B942" s="72" t="s">
        <v>30</v>
      </c>
      <c r="C942" s="72" t="s">
        <v>30</v>
      </c>
      <c r="D942" s="72" t="s">
        <v>30</v>
      </c>
      <c r="E942" s="72" t="s">
        <v>30</v>
      </c>
      <c r="F942" s="72" t="s">
        <v>30</v>
      </c>
      <c r="G942" s="72" t="s">
        <v>30</v>
      </c>
      <c r="H942" s="72" t="s">
        <v>30</v>
      </c>
      <c r="I942" s="73" t="s">
        <v>30</v>
      </c>
      <c r="J942" s="72" t="s">
        <v>30</v>
      </c>
      <c r="K942" s="72" t="s">
        <v>30</v>
      </c>
      <c r="L942" s="72" t="s">
        <v>30</v>
      </c>
      <c r="M942" s="72" t="s">
        <v>30</v>
      </c>
      <c r="N942" s="72" t="s">
        <v>30</v>
      </c>
      <c r="O942" s="73" t="s">
        <v>30</v>
      </c>
      <c r="P942" s="72" t="s">
        <v>30</v>
      </c>
      <c r="Q942" s="72" t="s">
        <v>30</v>
      </c>
      <c r="R942" s="72" t="s">
        <v>30</v>
      </c>
      <c r="S942" s="72" t="s">
        <v>30</v>
      </c>
      <c r="T942" s="72" t="s">
        <v>30</v>
      </c>
      <c r="W942" s="31"/>
    </row>
    <row r="943">
      <c r="B943" s="72" t="s">
        <v>30</v>
      </c>
      <c r="C943" s="72" t="s">
        <v>30</v>
      </c>
      <c r="D943" s="72" t="s">
        <v>30</v>
      </c>
      <c r="E943" s="72" t="s">
        <v>30</v>
      </c>
      <c r="F943" s="72" t="s">
        <v>30</v>
      </c>
      <c r="G943" s="72" t="s">
        <v>30</v>
      </c>
      <c r="H943" s="72" t="s">
        <v>30</v>
      </c>
      <c r="I943" s="73" t="s">
        <v>30</v>
      </c>
      <c r="J943" s="72" t="s">
        <v>30</v>
      </c>
      <c r="K943" s="72" t="s">
        <v>30</v>
      </c>
      <c r="L943" s="72" t="s">
        <v>30</v>
      </c>
      <c r="M943" s="72" t="s">
        <v>30</v>
      </c>
      <c r="N943" s="72" t="s">
        <v>30</v>
      </c>
      <c r="O943" s="73" t="s">
        <v>30</v>
      </c>
      <c r="P943" s="72" t="s">
        <v>30</v>
      </c>
      <c r="Q943" s="72" t="s">
        <v>30</v>
      </c>
      <c r="R943" s="72" t="s">
        <v>30</v>
      </c>
      <c r="S943" s="72" t="s">
        <v>30</v>
      </c>
      <c r="T943" s="72" t="s">
        <v>30</v>
      </c>
      <c r="W943" s="31"/>
    </row>
    <row r="944">
      <c r="B944" s="72" t="s">
        <v>30</v>
      </c>
      <c r="C944" s="72" t="s">
        <v>30</v>
      </c>
      <c r="D944" s="72" t="s">
        <v>30</v>
      </c>
      <c r="E944" s="72" t="s">
        <v>30</v>
      </c>
      <c r="F944" s="72" t="s">
        <v>30</v>
      </c>
      <c r="G944" s="72" t="s">
        <v>30</v>
      </c>
      <c r="H944" s="72" t="s">
        <v>30</v>
      </c>
      <c r="I944" s="73" t="s">
        <v>30</v>
      </c>
      <c r="J944" s="72" t="s">
        <v>30</v>
      </c>
      <c r="K944" s="72" t="s">
        <v>30</v>
      </c>
      <c r="L944" s="72" t="s">
        <v>30</v>
      </c>
      <c r="M944" s="72" t="s">
        <v>30</v>
      </c>
      <c r="N944" s="72" t="s">
        <v>30</v>
      </c>
      <c r="O944" s="73" t="s">
        <v>30</v>
      </c>
      <c r="P944" s="72" t="s">
        <v>30</v>
      </c>
      <c r="Q944" s="72" t="s">
        <v>30</v>
      </c>
      <c r="R944" s="72" t="s">
        <v>30</v>
      </c>
      <c r="S944" s="72" t="s">
        <v>30</v>
      </c>
      <c r="T944" s="72" t="s">
        <v>30</v>
      </c>
      <c r="W944" s="31"/>
    </row>
    <row r="945">
      <c r="B945" s="72" t="s">
        <v>30</v>
      </c>
      <c r="C945" s="72" t="s">
        <v>30</v>
      </c>
      <c r="D945" s="72" t="s">
        <v>30</v>
      </c>
      <c r="E945" s="72" t="s">
        <v>30</v>
      </c>
      <c r="F945" s="72" t="s">
        <v>30</v>
      </c>
      <c r="G945" s="72" t="s">
        <v>30</v>
      </c>
      <c r="H945" s="72" t="s">
        <v>30</v>
      </c>
      <c r="I945" s="73" t="s">
        <v>30</v>
      </c>
      <c r="J945" s="72" t="s">
        <v>30</v>
      </c>
      <c r="K945" s="72" t="s">
        <v>30</v>
      </c>
      <c r="L945" s="72" t="s">
        <v>30</v>
      </c>
      <c r="M945" s="72" t="s">
        <v>30</v>
      </c>
      <c r="N945" s="72" t="s">
        <v>30</v>
      </c>
      <c r="O945" s="73" t="s">
        <v>30</v>
      </c>
      <c r="P945" s="72" t="s">
        <v>30</v>
      </c>
      <c r="Q945" s="72" t="s">
        <v>30</v>
      </c>
      <c r="R945" s="72" t="s">
        <v>30</v>
      </c>
      <c r="S945" s="72" t="s">
        <v>30</v>
      </c>
      <c r="T945" s="72" t="s">
        <v>30</v>
      </c>
      <c r="W945" s="31"/>
    </row>
    <row r="946">
      <c r="B946" s="72" t="s">
        <v>30</v>
      </c>
      <c r="C946" s="72" t="s">
        <v>30</v>
      </c>
      <c r="D946" s="72" t="s">
        <v>30</v>
      </c>
      <c r="E946" s="72" t="s">
        <v>30</v>
      </c>
      <c r="F946" s="72" t="s">
        <v>30</v>
      </c>
      <c r="G946" s="72" t="s">
        <v>30</v>
      </c>
      <c r="H946" s="72" t="s">
        <v>30</v>
      </c>
      <c r="I946" s="73" t="s">
        <v>30</v>
      </c>
      <c r="J946" s="72" t="s">
        <v>30</v>
      </c>
      <c r="K946" s="72" t="s">
        <v>30</v>
      </c>
      <c r="L946" s="72" t="s">
        <v>30</v>
      </c>
      <c r="M946" s="72" t="s">
        <v>30</v>
      </c>
      <c r="N946" s="72" t="s">
        <v>30</v>
      </c>
      <c r="O946" s="73" t="s">
        <v>30</v>
      </c>
      <c r="P946" s="72" t="s">
        <v>30</v>
      </c>
      <c r="Q946" s="72" t="s">
        <v>30</v>
      </c>
      <c r="R946" s="72" t="s">
        <v>30</v>
      </c>
      <c r="S946" s="72" t="s">
        <v>30</v>
      </c>
      <c r="T946" s="72" t="s">
        <v>30</v>
      </c>
      <c r="W946" s="31"/>
    </row>
    <row r="947">
      <c r="B947" s="72" t="s">
        <v>30</v>
      </c>
      <c r="C947" s="72" t="s">
        <v>30</v>
      </c>
      <c r="D947" s="72" t="s">
        <v>30</v>
      </c>
      <c r="E947" s="72" t="s">
        <v>30</v>
      </c>
      <c r="F947" s="72" t="s">
        <v>30</v>
      </c>
      <c r="G947" s="72" t="s">
        <v>30</v>
      </c>
      <c r="H947" s="72" t="s">
        <v>30</v>
      </c>
      <c r="I947" s="73" t="s">
        <v>30</v>
      </c>
      <c r="J947" s="72" t="s">
        <v>30</v>
      </c>
      <c r="K947" s="72" t="s">
        <v>30</v>
      </c>
      <c r="L947" s="72" t="s">
        <v>30</v>
      </c>
      <c r="M947" s="72" t="s">
        <v>30</v>
      </c>
      <c r="N947" s="72" t="s">
        <v>30</v>
      </c>
      <c r="O947" s="73" t="s">
        <v>30</v>
      </c>
      <c r="P947" s="72" t="s">
        <v>30</v>
      </c>
      <c r="Q947" s="72" t="s">
        <v>30</v>
      </c>
      <c r="R947" s="72" t="s">
        <v>30</v>
      </c>
      <c r="S947" s="72" t="s">
        <v>30</v>
      </c>
      <c r="T947" s="72" t="s">
        <v>30</v>
      </c>
      <c r="W947" s="31"/>
    </row>
    <row r="948">
      <c r="B948" s="72" t="s">
        <v>30</v>
      </c>
      <c r="C948" s="72" t="s">
        <v>30</v>
      </c>
      <c r="D948" s="72" t="s">
        <v>30</v>
      </c>
      <c r="E948" s="72" t="s">
        <v>30</v>
      </c>
      <c r="F948" s="72" t="s">
        <v>30</v>
      </c>
      <c r="G948" s="72" t="s">
        <v>30</v>
      </c>
      <c r="H948" s="72" t="s">
        <v>30</v>
      </c>
      <c r="I948" s="73" t="s">
        <v>30</v>
      </c>
      <c r="J948" s="72" t="s">
        <v>30</v>
      </c>
      <c r="K948" s="72" t="s">
        <v>30</v>
      </c>
      <c r="L948" s="72" t="s">
        <v>30</v>
      </c>
      <c r="M948" s="72" t="s">
        <v>30</v>
      </c>
      <c r="N948" s="72" t="s">
        <v>30</v>
      </c>
      <c r="O948" s="73" t="s">
        <v>30</v>
      </c>
      <c r="P948" s="72" t="s">
        <v>30</v>
      </c>
      <c r="Q948" s="72" t="s">
        <v>30</v>
      </c>
      <c r="R948" s="72" t="s">
        <v>30</v>
      </c>
      <c r="S948" s="72" t="s">
        <v>30</v>
      </c>
      <c r="T948" s="72" t="s">
        <v>30</v>
      </c>
      <c r="W948" s="31"/>
    </row>
    <row r="949">
      <c r="B949" s="72" t="s">
        <v>30</v>
      </c>
      <c r="C949" s="72" t="s">
        <v>30</v>
      </c>
      <c r="D949" s="72" t="s">
        <v>30</v>
      </c>
      <c r="E949" s="72" t="s">
        <v>30</v>
      </c>
      <c r="F949" s="72" t="s">
        <v>30</v>
      </c>
      <c r="G949" s="72" t="s">
        <v>30</v>
      </c>
      <c r="H949" s="72" t="s">
        <v>30</v>
      </c>
      <c r="I949" s="73" t="s">
        <v>30</v>
      </c>
      <c r="J949" s="72" t="s">
        <v>30</v>
      </c>
      <c r="K949" s="72" t="s">
        <v>30</v>
      </c>
      <c r="L949" s="72" t="s">
        <v>30</v>
      </c>
      <c r="M949" s="72" t="s">
        <v>30</v>
      </c>
      <c r="N949" s="72" t="s">
        <v>30</v>
      </c>
      <c r="O949" s="73" t="s">
        <v>30</v>
      </c>
      <c r="P949" s="72" t="s">
        <v>30</v>
      </c>
      <c r="Q949" s="72" t="s">
        <v>30</v>
      </c>
      <c r="R949" s="72" t="s">
        <v>30</v>
      </c>
      <c r="S949" s="72" t="s">
        <v>30</v>
      </c>
      <c r="T949" s="72" t="s">
        <v>30</v>
      </c>
      <c r="W949" s="31"/>
    </row>
    <row r="950">
      <c r="B950" s="72" t="s">
        <v>30</v>
      </c>
      <c r="C950" s="72" t="s">
        <v>30</v>
      </c>
      <c r="D950" s="72" t="s">
        <v>30</v>
      </c>
      <c r="E950" s="72" t="s">
        <v>30</v>
      </c>
      <c r="F950" s="72" t="s">
        <v>30</v>
      </c>
      <c r="G950" s="72" t="s">
        <v>30</v>
      </c>
      <c r="H950" s="72" t="s">
        <v>30</v>
      </c>
      <c r="I950" s="73" t="s">
        <v>30</v>
      </c>
      <c r="J950" s="72" t="s">
        <v>30</v>
      </c>
      <c r="K950" s="72" t="s">
        <v>30</v>
      </c>
      <c r="L950" s="72" t="s">
        <v>30</v>
      </c>
      <c r="M950" s="72" t="s">
        <v>30</v>
      </c>
      <c r="N950" s="72" t="s">
        <v>30</v>
      </c>
      <c r="O950" s="73" t="s">
        <v>30</v>
      </c>
      <c r="P950" s="72" t="s">
        <v>30</v>
      </c>
      <c r="Q950" s="72" t="s">
        <v>30</v>
      </c>
      <c r="R950" s="72" t="s">
        <v>30</v>
      </c>
      <c r="S950" s="72" t="s">
        <v>30</v>
      </c>
      <c r="T950" s="72" t="s">
        <v>30</v>
      </c>
      <c r="W950" s="31"/>
    </row>
    <row r="951">
      <c r="B951" s="72" t="s">
        <v>30</v>
      </c>
      <c r="C951" s="72" t="s">
        <v>30</v>
      </c>
      <c r="D951" s="72" t="s">
        <v>30</v>
      </c>
      <c r="E951" s="72" t="s">
        <v>30</v>
      </c>
      <c r="F951" s="72" t="s">
        <v>30</v>
      </c>
      <c r="G951" s="72" t="s">
        <v>30</v>
      </c>
      <c r="H951" s="72" t="s">
        <v>30</v>
      </c>
      <c r="I951" s="73" t="s">
        <v>30</v>
      </c>
      <c r="J951" s="72" t="s">
        <v>30</v>
      </c>
      <c r="K951" s="72" t="s">
        <v>30</v>
      </c>
      <c r="L951" s="72" t="s">
        <v>30</v>
      </c>
      <c r="M951" s="72" t="s">
        <v>30</v>
      </c>
      <c r="N951" s="72" t="s">
        <v>30</v>
      </c>
      <c r="O951" s="73" t="s">
        <v>30</v>
      </c>
      <c r="P951" s="72" t="s">
        <v>30</v>
      </c>
      <c r="Q951" s="72" t="s">
        <v>30</v>
      </c>
      <c r="R951" s="72" t="s">
        <v>30</v>
      </c>
      <c r="S951" s="72" t="s">
        <v>30</v>
      </c>
      <c r="T951" s="72" t="s">
        <v>30</v>
      </c>
      <c r="W951" s="31"/>
    </row>
    <row r="952">
      <c r="B952" s="72" t="s">
        <v>30</v>
      </c>
      <c r="C952" s="72" t="s">
        <v>30</v>
      </c>
      <c r="D952" s="72" t="s">
        <v>30</v>
      </c>
      <c r="E952" s="72" t="s">
        <v>30</v>
      </c>
      <c r="F952" s="72" t="s">
        <v>30</v>
      </c>
      <c r="G952" s="72" t="s">
        <v>30</v>
      </c>
      <c r="H952" s="72" t="s">
        <v>30</v>
      </c>
      <c r="I952" s="73" t="s">
        <v>30</v>
      </c>
      <c r="J952" s="72" t="s">
        <v>30</v>
      </c>
      <c r="K952" s="72" t="s">
        <v>30</v>
      </c>
      <c r="L952" s="72" t="s">
        <v>30</v>
      </c>
      <c r="M952" s="72" t="s">
        <v>30</v>
      </c>
      <c r="N952" s="72" t="s">
        <v>30</v>
      </c>
      <c r="O952" s="73" t="s">
        <v>30</v>
      </c>
      <c r="P952" s="72" t="s">
        <v>30</v>
      </c>
      <c r="Q952" s="72" t="s">
        <v>30</v>
      </c>
      <c r="R952" s="72" t="s">
        <v>30</v>
      </c>
      <c r="S952" s="72" t="s">
        <v>30</v>
      </c>
      <c r="T952" s="72" t="s">
        <v>30</v>
      </c>
      <c r="W952" s="31"/>
    </row>
    <row r="953">
      <c r="B953" s="72" t="s">
        <v>30</v>
      </c>
      <c r="C953" s="72" t="s">
        <v>30</v>
      </c>
      <c r="D953" s="72" t="s">
        <v>30</v>
      </c>
      <c r="E953" s="72" t="s">
        <v>30</v>
      </c>
      <c r="F953" s="72" t="s">
        <v>30</v>
      </c>
      <c r="G953" s="72" t="s">
        <v>30</v>
      </c>
      <c r="H953" s="72" t="s">
        <v>30</v>
      </c>
      <c r="I953" s="73" t="s">
        <v>30</v>
      </c>
      <c r="J953" s="72" t="s">
        <v>30</v>
      </c>
      <c r="K953" s="72" t="s">
        <v>30</v>
      </c>
      <c r="L953" s="72" t="s">
        <v>30</v>
      </c>
      <c r="M953" s="72" t="s">
        <v>30</v>
      </c>
      <c r="N953" s="72" t="s">
        <v>30</v>
      </c>
      <c r="O953" s="73" t="s">
        <v>30</v>
      </c>
      <c r="P953" s="72" t="s">
        <v>30</v>
      </c>
      <c r="Q953" s="72" t="s">
        <v>30</v>
      </c>
      <c r="R953" s="72" t="s">
        <v>30</v>
      </c>
      <c r="S953" s="72" t="s">
        <v>30</v>
      </c>
      <c r="T953" s="72" t="s">
        <v>30</v>
      </c>
      <c r="W953" s="31"/>
    </row>
    <row r="954">
      <c r="B954" s="72" t="s">
        <v>30</v>
      </c>
      <c r="C954" s="72" t="s">
        <v>30</v>
      </c>
      <c r="D954" s="72" t="s">
        <v>30</v>
      </c>
      <c r="E954" s="72" t="s">
        <v>30</v>
      </c>
      <c r="F954" s="72" t="s">
        <v>30</v>
      </c>
      <c r="G954" s="72" t="s">
        <v>30</v>
      </c>
      <c r="H954" s="72" t="s">
        <v>30</v>
      </c>
      <c r="I954" s="73" t="s">
        <v>30</v>
      </c>
      <c r="J954" s="72" t="s">
        <v>30</v>
      </c>
      <c r="K954" s="72" t="s">
        <v>30</v>
      </c>
      <c r="L954" s="72" t="s">
        <v>30</v>
      </c>
      <c r="M954" s="72" t="s">
        <v>30</v>
      </c>
      <c r="N954" s="72" t="s">
        <v>30</v>
      </c>
      <c r="O954" s="73" t="s">
        <v>30</v>
      </c>
      <c r="P954" s="72" t="s">
        <v>30</v>
      </c>
      <c r="Q954" s="72" t="s">
        <v>30</v>
      </c>
      <c r="R954" s="72" t="s">
        <v>30</v>
      </c>
      <c r="S954" s="72" t="s">
        <v>30</v>
      </c>
      <c r="T954" s="72" t="s">
        <v>30</v>
      </c>
      <c r="W954" s="31"/>
    </row>
    <row r="955">
      <c r="B955" s="72" t="s">
        <v>30</v>
      </c>
      <c r="C955" s="72" t="s">
        <v>30</v>
      </c>
      <c r="D955" s="72" t="s">
        <v>30</v>
      </c>
      <c r="E955" s="72" t="s">
        <v>30</v>
      </c>
      <c r="F955" s="72" t="s">
        <v>30</v>
      </c>
      <c r="G955" s="72" t="s">
        <v>30</v>
      </c>
      <c r="H955" s="72" t="s">
        <v>30</v>
      </c>
      <c r="I955" s="73" t="s">
        <v>30</v>
      </c>
      <c r="J955" s="72" t="s">
        <v>30</v>
      </c>
      <c r="K955" s="72" t="s">
        <v>30</v>
      </c>
      <c r="L955" s="72" t="s">
        <v>30</v>
      </c>
      <c r="M955" s="72" t="s">
        <v>30</v>
      </c>
      <c r="N955" s="72" t="s">
        <v>30</v>
      </c>
      <c r="O955" s="73" t="s">
        <v>30</v>
      </c>
      <c r="P955" s="72" t="s">
        <v>30</v>
      </c>
      <c r="Q955" s="72" t="s">
        <v>30</v>
      </c>
      <c r="R955" s="72" t="s">
        <v>30</v>
      </c>
      <c r="S955" s="72" t="s">
        <v>30</v>
      </c>
      <c r="T955" s="72" t="s">
        <v>30</v>
      </c>
      <c r="W955" s="31"/>
    </row>
    <row r="956">
      <c r="B956" s="72" t="s">
        <v>30</v>
      </c>
      <c r="C956" s="72" t="s">
        <v>30</v>
      </c>
      <c r="D956" s="72" t="s">
        <v>30</v>
      </c>
      <c r="E956" s="72" t="s">
        <v>30</v>
      </c>
      <c r="F956" s="72" t="s">
        <v>30</v>
      </c>
      <c r="G956" s="72" t="s">
        <v>30</v>
      </c>
      <c r="H956" s="72" t="s">
        <v>30</v>
      </c>
      <c r="I956" s="73" t="s">
        <v>30</v>
      </c>
      <c r="J956" s="72" t="s">
        <v>30</v>
      </c>
      <c r="K956" s="72" t="s">
        <v>30</v>
      </c>
      <c r="L956" s="72" t="s">
        <v>30</v>
      </c>
      <c r="M956" s="72" t="s">
        <v>30</v>
      </c>
      <c r="N956" s="72" t="s">
        <v>30</v>
      </c>
      <c r="O956" s="73" t="s">
        <v>30</v>
      </c>
      <c r="P956" s="72" t="s">
        <v>30</v>
      </c>
      <c r="Q956" s="72" t="s">
        <v>30</v>
      </c>
      <c r="R956" s="72" t="s">
        <v>30</v>
      </c>
      <c r="S956" s="72" t="s">
        <v>30</v>
      </c>
      <c r="T956" s="72" t="s">
        <v>30</v>
      </c>
      <c r="W956" s="31"/>
    </row>
    <row r="957">
      <c r="B957" s="72" t="s">
        <v>30</v>
      </c>
      <c r="C957" s="72" t="s">
        <v>30</v>
      </c>
      <c r="D957" s="72" t="s">
        <v>30</v>
      </c>
      <c r="E957" s="72" t="s">
        <v>30</v>
      </c>
      <c r="F957" s="72" t="s">
        <v>30</v>
      </c>
      <c r="G957" s="72" t="s">
        <v>30</v>
      </c>
      <c r="H957" s="72" t="s">
        <v>30</v>
      </c>
      <c r="I957" s="73" t="s">
        <v>30</v>
      </c>
      <c r="J957" s="72" t="s">
        <v>30</v>
      </c>
      <c r="K957" s="72" t="s">
        <v>30</v>
      </c>
      <c r="L957" s="72" t="s">
        <v>30</v>
      </c>
      <c r="M957" s="72" t="s">
        <v>30</v>
      </c>
      <c r="N957" s="72" t="s">
        <v>30</v>
      </c>
      <c r="O957" s="73" t="s">
        <v>30</v>
      </c>
      <c r="P957" s="72" t="s">
        <v>30</v>
      </c>
      <c r="Q957" s="72" t="s">
        <v>30</v>
      </c>
      <c r="R957" s="72" t="s">
        <v>30</v>
      </c>
      <c r="S957" s="72" t="s">
        <v>30</v>
      </c>
      <c r="T957" s="72" t="s">
        <v>30</v>
      </c>
      <c r="W957" s="31"/>
    </row>
    <row r="958">
      <c r="B958" s="72" t="s">
        <v>30</v>
      </c>
      <c r="C958" s="72" t="s">
        <v>30</v>
      </c>
      <c r="D958" s="72" t="s">
        <v>30</v>
      </c>
      <c r="E958" s="72" t="s">
        <v>30</v>
      </c>
      <c r="F958" s="72" t="s">
        <v>30</v>
      </c>
      <c r="G958" s="72" t="s">
        <v>30</v>
      </c>
      <c r="H958" s="72" t="s">
        <v>30</v>
      </c>
      <c r="I958" s="73" t="s">
        <v>30</v>
      </c>
      <c r="J958" s="72" t="s">
        <v>30</v>
      </c>
      <c r="K958" s="72" t="s">
        <v>30</v>
      </c>
      <c r="L958" s="72" t="s">
        <v>30</v>
      </c>
      <c r="M958" s="72" t="s">
        <v>30</v>
      </c>
      <c r="N958" s="72" t="s">
        <v>30</v>
      </c>
      <c r="O958" s="73" t="s">
        <v>30</v>
      </c>
      <c r="P958" s="72" t="s">
        <v>30</v>
      </c>
      <c r="Q958" s="72" t="s">
        <v>30</v>
      </c>
      <c r="R958" s="72" t="s">
        <v>30</v>
      </c>
      <c r="S958" s="72" t="s">
        <v>30</v>
      </c>
      <c r="T958" s="72" t="s">
        <v>30</v>
      </c>
      <c r="W958" s="31"/>
    </row>
    <row r="959">
      <c r="B959" s="72" t="s">
        <v>30</v>
      </c>
      <c r="C959" s="72" t="s">
        <v>30</v>
      </c>
      <c r="D959" s="72" t="s">
        <v>30</v>
      </c>
      <c r="E959" s="72" t="s">
        <v>30</v>
      </c>
      <c r="F959" s="72" t="s">
        <v>30</v>
      </c>
      <c r="G959" s="72" t="s">
        <v>30</v>
      </c>
      <c r="H959" s="72" t="s">
        <v>30</v>
      </c>
      <c r="I959" s="73" t="s">
        <v>30</v>
      </c>
      <c r="J959" s="72" t="s">
        <v>30</v>
      </c>
      <c r="K959" s="72" t="s">
        <v>30</v>
      </c>
      <c r="L959" s="72" t="s">
        <v>30</v>
      </c>
      <c r="M959" s="72" t="s">
        <v>30</v>
      </c>
      <c r="N959" s="72" t="s">
        <v>30</v>
      </c>
      <c r="O959" s="73" t="s">
        <v>30</v>
      </c>
      <c r="P959" s="72" t="s">
        <v>30</v>
      </c>
      <c r="Q959" s="72" t="s">
        <v>30</v>
      </c>
      <c r="R959" s="72" t="s">
        <v>30</v>
      </c>
      <c r="S959" s="72" t="s">
        <v>30</v>
      </c>
      <c r="T959" s="72" t="s">
        <v>30</v>
      </c>
      <c r="W959" s="31"/>
    </row>
    <row r="960">
      <c r="B960" s="72" t="s">
        <v>30</v>
      </c>
      <c r="C960" s="72" t="s">
        <v>30</v>
      </c>
      <c r="D960" s="72" t="s">
        <v>30</v>
      </c>
      <c r="E960" s="72" t="s">
        <v>30</v>
      </c>
      <c r="F960" s="72" t="s">
        <v>30</v>
      </c>
      <c r="G960" s="72" t="s">
        <v>30</v>
      </c>
      <c r="H960" s="72" t="s">
        <v>30</v>
      </c>
      <c r="I960" s="73" t="s">
        <v>30</v>
      </c>
      <c r="J960" s="72" t="s">
        <v>30</v>
      </c>
      <c r="K960" s="72" t="s">
        <v>30</v>
      </c>
      <c r="L960" s="72" t="s">
        <v>30</v>
      </c>
      <c r="M960" s="72" t="s">
        <v>30</v>
      </c>
      <c r="N960" s="72" t="s">
        <v>30</v>
      </c>
      <c r="O960" s="73" t="s">
        <v>30</v>
      </c>
      <c r="P960" s="72" t="s">
        <v>30</v>
      </c>
      <c r="Q960" s="72" t="s">
        <v>30</v>
      </c>
      <c r="R960" s="72" t="s">
        <v>30</v>
      </c>
      <c r="S960" s="72" t="s">
        <v>30</v>
      </c>
      <c r="T960" s="72" t="s">
        <v>30</v>
      </c>
      <c r="W960" s="31"/>
    </row>
    <row r="961">
      <c r="B961" s="72" t="s">
        <v>30</v>
      </c>
      <c r="C961" s="72" t="s">
        <v>30</v>
      </c>
      <c r="D961" s="72" t="s">
        <v>30</v>
      </c>
      <c r="E961" s="72" t="s">
        <v>30</v>
      </c>
      <c r="F961" s="72" t="s">
        <v>30</v>
      </c>
      <c r="G961" s="72" t="s">
        <v>30</v>
      </c>
      <c r="H961" s="72" t="s">
        <v>30</v>
      </c>
      <c r="I961" s="73" t="s">
        <v>30</v>
      </c>
      <c r="J961" s="72" t="s">
        <v>30</v>
      </c>
      <c r="K961" s="72" t="s">
        <v>30</v>
      </c>
      <c r="L961" s="72" t="s">
        <v>30</v>
      </c>
      <c r="M961" s="72" t="s">
        <v>30</v>
      </c>
      <c r="N961" s="72" t="s">
        <v>30</v>
      </c>
      <c r="O961" s="73" t="s">
        <v>30</v>
      </c>
      <c r="P961" s="72" t="s">
        <v>30</v>
      </c>
      <c r="Q961" s="72" t="s">
        <v>30</v>
      </c>
      <c r="R961" s="72" t="s">
        <v>30</v>
      </c>
      <c r="S961" s="72" t="s">
        <v>30</v>
      </c>
      <c r="T961" s="72" t="s">
        <v>30</v>
      </c>
      <c r="W961" s="31"/>
    </row>
    <row r="962">
      <c r="B962" s="72" t="s">
        <v>30</v>
      </c>
      <c r="C962" s="72" t="s">
        <v>30</v>
      </c>
      <c r="D962" s="72" t="s">
        <v>30</v>
      </c>
      <c r="E962" s="72" t="s">
        <v>30</v>
      </c>
      <c r="F962" s="72" t="s">
        <v>30</v>
      </c>
      <c r="G962" s="72" t="s">
        <v>30</v>
      </c>
      <c r="H962" s="72" t="s">
        <v>30</v>
      </c>
      <c r="I962" s="73" t="s">
        <v>30</v>
      </c>
      <c r="J962" s="72" t="s">
        <v>30</v>
      </c>
      <c r="K962" s="72" t="s">
        <v>30</v>
      </c>
      <c r="L962" s="72" t="s">
        <v>30</v>
      </c>
      <c r="M962" s="72" t="s">
        <v>30</v>
      </c>
      <c r="N962" s="72" t="s">
        <v>30</v>
      </c>
      <c r="O962" s="73" t="s">
        <v>30</v>
      </c>
      <c r="P962" s="72" t="s">
        <v>30</v>
      </c>
      <c r="Q962" s="72" t="s">
        <v>30</v>
      </c>
      <c r="R962" s="72" t="s">
        <v>30</v>
      </c>
      <c r="S962" s="72" t="s">
        <v>30</v>
      </c>
      <c r="T962" s="72" t="s">
        <v>30</v>
      </c>
      <c r="W962" s="31"/>
    </row>
    <row r="963">
      <c r="B963" s="72" t="s">
        <v>30</v>
      </c>
      <c r="C963" s="72" t="s">
        <v>30</v>
      </c>
      <c r="D963" s="72" t="s">
        <v>30</v>
      </c>
      <c r="E963" s="72" t="s">
        <v>30</v>
      </c>
      <c r="F963" s="72" t="s">
        <v>30</v>
      </c>
      <c r="G963" s="72" t="s">
        <v>30</v>
      </c>
      <c r="H963" s="72" t="s">
        <v>30</v>
      </c>
      <c r="I963" s="73" t="s">
        <v>30</v>
      </c>
      <c r="J963" s="72" t="s">
        <v>30</v>
      </c>
      <c r="K963" s="72" t="s">
        <v>30</v>
      </c>
      <c r="L963" s="72" t="s">
        <v>30</v>
      </c>
      <c r="M963" s="72" t="s">
        <v>30</v>
      </c>
      <c r="N963" s="72" t="s">
        <v>30</v>
      </c>
      <c r="O963" s="73" t="s">
        <v>30</v>
      </c>
      <c r="P963" s="72" t="s">
        <v>30</v>
      </c>
      <c r="Q963" s="72" t="s">
        <v>30</v>
      </c>
      <c r="R963" s="72" t="s">
        <v>30</v>
      </c>
      <c r="S963" s="72" t="s">
        <v>30</v>
      </c>
      <c r="T963" s="72" t="s">
        <v>30</v>
      </c>
      <c r="W963" s="31"/>
    </row>
    <row r="964">
      <c r="B964" s="72" t="s">
        <v>30</v>
      </c>
      <c r="C964" s="72" t="s">
        <v>30</v>
      </c>
      <c r="D964" s="72" t="s">
        <v>30</v>
      </c>
      <c r="E964" s="72" t="s">
        <v>30</v>
      </c>
      <c r="F964" s="72" t="s">
        <v>30</v>
      </c>
      <c r="G964" s="72" t="s">
        <v>30</v>
      </c>
      <c r="H964" s="72" t="s">
        <v>30</v>
      </c>
      <c r="I964" s="73" t="s">
        <v>30</v>
      </c>
      <c r="J964" s="72" t="s">
        <v>30</v>
      </c>
      <c r="K964" s="72" t="s">
        <v>30</v>
      </c>
      <c r="L964" s="72" t="s">
        <v>30</v>
      </c>
      <c r="M964" s="72" t="s">
        <v>30</v>
      </c>
      <c r="N964" s="72" t="s">
        <v>30</v>
      </c>
      <c r="O964" s="73" t="s">
        <v>30</v>
      </c>
      <c r="P964" s="72" t="s">
        <v>30</v>
      </c>
      <c r="Q964" s="72" t="s">
        <v>30</v>
      </c>
      <c r="R964" s="72" t="s">
        <v>30</v>
      </c>
      <c r="S964" s="72" t="s">
        <v>30</v>
      </c>
      <c r="T964" s="72" t="s">
        <v>30</v>
      </c>
      <c r="W964" s="31"/>
    </row>
    <row r="965">
      <c r="B965" s="72" t="s">
        <v>30</v>
      </c>
      <c r="C965" s="72" t="s">
        <v>30</v>
      </c>
      <c r="D965" s="72" t="s">
        <v>30</v>
      </c>
      <c r="E965" s="72" t="s">
        <v>30</v>
      </c>
      <c r="F965" s="72" t="s">
        <v>30</v>
      </c>
      <c r="G965" s="72" t="s">
        <v>30</v>
      </c>
      <c r="H965" s="72" t="s">
        <v>30</v>
      </c>
      <c r="I965" s="73" t="s">
        <v>30</v>
      </c>
      <c r="J965" s="72" t="s">
        <v>30</v>
      </c>
      <c r="K965" s="72" t="s">
        <v>30</v>
      </c>
      <c r="L965" s="72" t="s">
        <v>30</v>
      </c>
      <c r="M965" s="72" t="s">
        <v>30</v>
      </c>
      <c r="N965" s="72" t="s">
        <v>30</v>
      </c>
      <c r="O965" s="73" t="s">
        <v>30</v>
      </c>
      <c r="P965" s="72" t="s">
        <v>30</v>
      </c>
      <c r="Q965" s="72" t="s">
        <v>30</v>
      </c>
      <c r="R965" s="72" t="s">
        <v>30</v>
      </c>
      <c r="S965" s="72" t="s">
        <v>30</v>
      </c>
      <c r="T965" s="72" t="s">
        <v>30</v>
      </c>
      <c r="W965" s="31"/>
    </row>
    <row r="966">
      <c r="B966" s="72" t="s">
        <v>30</v>
      </c>
      <c r="C966" s="72" t="s">
        <v>30</v>
      </c>
      <c r="D966" s="72" t="s">
        <v>30</v>
      </c>
      <c r="E966" s="72" t="s">
        <v>30</v>
      </c>
      <c r="F966" s="72" t="s">
        <v>30</v>
      </c>
      <c r="G966" s="72" t="s">
        <v>30</v>
      </c>
      <c r="H966" s="72" t="s">
        <v>30</v>
      </c>
      <c r="I966" s="73" t="s">
        <v>30</v>
      </c>
      <c r="J966" s="72" t="s">
        <v>30</v>
      </c>
      <c r="K966" s="72" t="s">
        <v>30</v>
      </c>
      <c r="L966" s="72" t="s">
        <v>30</v>
      </c>
      <c r="M966" s="72" t="s">
        <v>30</v>
      </c>
      <c r="N966" s="72" t="s">
        <v>30</v>
      </c>
      <c r="O966" s="73" t="s">
        <v>30</v>
      </c>
      <c r="P966" s="72" t="s">
        <v>30</v>
      </c>
      <c r="Q966" s="72" t="s">
        <v>30</v>
      </c>
      <c r="R966" s="72" t="s">
        <v>30</v>
      </c>
      <c r="S966" s="72" t="s">
        <v>30</v>
      </c>
      <c r="T966" s="72" t="s">
        <v>30</v>
      </c>
      <c r="W966" s="31"/>
    </row>
    <row r="967">
      <c r="B967" s="72" t="s">
        <v>30</v>
      </c>
      <c r="C967" s="72" t="s">
        <v>30</v>
      </c>
      <c r="D967" s="72" t="s">
        <v>30</v>
      </c>
      <c r="E967" s="72" t="s">
        <v>30</v>
      </c>
      <c r="F967" s="72" t="s">
        <v>30</v>
      </c>
      <c r="G967" s="72" t="s">
        <v>30</v>
      </c>
      <c r="H967" s="72" t="s">
        <v>30</v>
      </c>
      <c r="I967" s="73" t="s">
        <v>30</v>
      </c>
      <c r="J967" s="72" t="s">
        <v>30</v>
      </c>
      <c r="K967" s="72" t="s">
        <v>30</v>
      </c>
      <c r="L967" s="72" t="s">
        <v>30</v>
      </c>
      <c r="M967" s="72" t="s">
        <v>30</v>
      </c>
      <c r="N967" s="72" t="s">
        <v>30</v>
      </c>
      <c r="O967" s="73" t="s">
        <v>30</v>
      </c>
      <c r="P967" s="72" t="s">
        <v>30</v>
      </c>
      <c r="Q967" s="72" t="s">
        <v>30</v>
      </c>
      <c r="R967" s="72" t="s">
        <v>30</v>
      </c>
      <c r="S967" s="72" t="s">
        <v>30</v>
      </c>
      <c r="T967" s="72" t="s">
        <v>30</v>
      </c>
      <c r="W967" s="31"/>
    </row>
    <row r="968">
      <c r="B968" s="72" t="s">
        <v>30</v>
      </c>
      <c r="C968" s="72" t="s">
        <v>30</v>
      </c>
      <c r="D968" s="72" t="s">
        <v>30</v>
      </c>
      <c r="E968" s="72" t="s">
        <v>30</v>
      </c>
      <c r="F968" s="72" t="s">
        <v>30</v>
      </c>
      <c r="G968" s="72" t="s">
        <v>30</v>
      </c>
      <c r="H968" s="72" t="s">
        <v>30</v>
      </c>
      <c r="I968" s="73" t="s">
        <v>30</v>
      </c>
      <c r="J968" s="72" t="s">
        <v>30</v>
      </c>
      <c r="K968" s="72" t="s">
        <v>30</v>
      </c>
      <c r="L968" s="72" t="s">
        <v>30</v>
      </c>
      <c r="M968" s="72" t="s">
        <v>30</v>
      </c>
      <c r="N968" s="72" t="s">
        <v>30</v>
      </c>
      <c r="O968" s="73" t="s">
        <v>30</v>
      </c>
      <c r="P968" s="72" t="s">
        <v>30</v>
      </c>
      <c r="Q968" s="72" t="s">
        <v>30</v>
      </c>
      <c r="R968" s="72" t="s">
        <v>30</v>
      </c>
      <c r="S968" s="72" t="s">
        <v>30</v>
      </c>
      <c r="T968" s="72" t="s">
        <v>30</v>
      </c>
      <c r="W968" s="31"/>
    </row>
    <row r="969">
      <c r="B969" s="72" t="s">
        <v>30</v>
      </c>
      <c r="C969" s="72" t="s">
        <v>30</v>
      </c>
      <c r="D969" s="72" t="s">
        <v>30</v>
      </c>
      <c r="E969" s="72" t="s">
        <v>30</v>
      </c>
      <c r="F969" s="72" t="s">
        <v>30</v>
      </c>
      <c r="G969" s="72" t="s">
        <v>30</v>
      </c>
      <c r="H969" s="72" t="s">
        <v>30</v>
      </c>
      <c r="I969" s="73" t="s">
        <v>30</v>
      </c>
      <c r="J969" s="72" t="s">
        <v>30</v>
      </c>
      <c r="K969" s="72" t="s">
        <v>30</v>
      </c>
      <c r="L969" s="72" t="s">
        <v>30</v>
      </c>
      <c r="M969" s="72" t="s">
        <v>30</v>
      </c>
      <c r="N969" s="72" t="s">
        <v>30</v>
      </c>
      <c r="O969" s="73" t="s">
        <v>30</v>
      </c>
      <c r="P969" s="72" t="s">
        <v>30</v>
      </c>
      <c r="Q969" s="72" t="s">
        <v>30</v>
      </c>
      <c r="R969" s="72" t="s">
        <v>30</v>
      </c>
      <c r="S969" s="72" t="s">
        <v>30</v>
      </c>
      <c r="T969" s="72" t="s">
        <v>30</v>
      </c>
      <c r="W969" s="31"/>
    </row>
    <row r="970">
      <c r="B970" s="72" t="s">
        <v>30</v>
      </c>
      <c r="C970" s="72" t="s">
        <v>30</v>
      </c>
      <c r="D970" s="72" t="s">
        <v>30</v>
      </c>
      <c r="E970" s="72" t="s">
        <v>30</v>
      </c>
      <c r="F970" s="72" t="s">
        <v>30</v>
      </c>
      <c r="G970" s="72" t="s">
        <v>30</v>
      </c>
      <c r="H970" s="72" t="s">
        <v>30</v>
      </c>
      <c r="I970" s="73" t="s">
        <v>30</v>
      </c>
      <c r="J970" s="72" t="s">
        <v>30</v>
      </c>
      <c r="K970" s="72" t="s">
        <v>30</v>
      </c>
      <c r="L970" s="72" t="s">
        <v>30</v>
      </c>
      <c r="M970" s="72" t="s">
        <v>30</v>
      </c>
      <c r="N970" s="72" t="s">
        <v>30</v>
      </c>
      <c r="O970" s="73" t="s">
        <v>30</v>
      </c>
      <c r="P970" s="72" t="s">
        <v>30</v>
      </c>
      <c r="Q970" s="72" t="s">
        <v>30</v>
      </c>
      <c r="R970" s="72" t="s">
        <v>30</v>
      </c>
      <c r="S970" s="72" t="s">
        <v>30</v>
      </c>
      <c r="T970" s="72" t="s">
        <v>30</v>
      </c>
      <c r="W970" s="31"/>
    </row>
    <row r="971">
      <c r="B971" s="72" t="s">
        <v>30</v>
      </c>
      <c r="C971" s="72" t="s">
        <v>30</v>
      </c>
      <c r="D971" s="72" t="s">
        <v>30</v>
      </c>
      <c r="E971" s="72" t="s">
        <v>30</v>
      </c>
      <c r="F971" s="72" t="s">
        <v>30</v>
      </c>
      <c r="G971" s="72" t="s">
        <v>30</v>
      </c>
      <c r="H971" s="72" t="s">
        <v>30</v>
      </c>
      <c r="I971" s="73" t="s">
        <v>30</v>
      </c>
      <c r="J971" s="72" t="s">
        <v>30</v>
      </c>
      <c r="K971" s="72" t="s">
        <v>30</v>
      </c>
      <c r="L971" s="72" t="s">
        <v>30</v>
      </c>
      <c r="M971" s="72" t="s">
        <v>30</v>
      </c>
      <c r="N971" s="72" t="s">
        <v>30</v>
      </c>
      <c r="O971" s="73" t="s">
        <v>30</v>
      </c>
      <c r="P971" s="72" t="s">
        <v>30</v>
      </c>
      <c r="Q971" s="72" t="s">
        <v>30</v>
      </c>
      <c r="R971" s="72" t="s">
        <v>30</v>
      </c>
      <c r="S971" s="72" t="s">
        <v>30</v>
      </c>
      <c r="T971" s="72" t="s">
        <v>30</v>
      </c>
      <c r="W971" s="31"/>
    </row>
    <row r="972">
      <c r="B972" s="72" t="s">
        <v>30</v>
      </c>
      <c r="C972" s="72" t="s">
        <v>30</v>
      </c>
      <c r="D972" s="72" t="s">
        <v>30</v>
      </c>
      <c r="E972" s="72" t="s">
        <v>30</v>
      </c>
      <c r="F972" s="72" t="s">
        <v>30</v>
      </c>
      <c r="G972" s="72" t="s">
        <v>30</v>
      </c>
      <c r="H972" s="72" t="s">
        <v>30</v>
      </c>
      <c r="I972" s="73" t="s">
        <v>30</v>
      </c>
      <c r="J972" s="72" t="s">
        <v>30</v>
      </c>
      <c r="K972" s="72" t="s">
        <v>30</v>
      </c>
      <c r="L972" s="72" t="s">
        <v>30</v>
      </c>
      <c r="M972" s="72" t="s">
        <v>30</v>
      </c>
      <c r="N972" s="72" t="s">
        <v>30</v>
      </c>
      <c r="O972" s="73" t="s">
        <v>30</v>
      </c>
      <c r="P972" s="72" t="s">
        <v>30</v>
      </c>
      <c r="Q972" s="72" t="s">
        <v>30</v>
      </c>
      <c r="R972" s="72" t="s">
        <v>30</v>
      </c>
      <c r="S972" s="72" t="s">
        <v>30</v>
      </c>
      <c r="T972" s="72" t="s">
        <v>30</v>
      </c>
      <c r="W972" s="31"/>
    </row>
    <row r="973">
      <c r="B973" s="72" t="s">
        <v>30</v>
      </c>
      <c r="C973" s="72" t="s">
        <v>30</v>
      </c>
      <c r="D973" s="72" t="s">
        <v>30</v>
      </c>
      <c r="E973" s="72" t="s">
        <v>30</v>
      </c>
      <c r="F973" s="72" t="s">
        <v>30</v>
      </c>
      <c r="G973" s="72" t="s">
        <v>30</v>
      </c>
      <c r="H973" s="72" t="s">
        <v>30</v>
      </c>
      <c r="I973" s="73" t="s">
        <v>30</v>
      </c>
      <c r="J973" s="72" t="s">
        <v>30</v>
      </c>
      <c r="K973" s="72" t="s">
        <v>30</v>
      </c>
      <c r="L973" s="72" t="s">
        <v>30</v>
      </c>
      <c r="M973" s="72" t="s">
        <v>30</v>
      </c>
      <c r="N973" s="72" t="s">
        <v>30</v>
      </c>
      <c r="O973" s="73" t="s">
        <v>30</v>
      </c>
      <c r="P973" s="72" t="s">
        <v>30</v>
      </c>
      <c r="Q973" s="72" t="s">
        <v>30</v>
      </c>
      <c r="R973" s="72" t="s">
        <v>30</v>
      </c>
      <c r="S973" s="72" t="s">
        <v>30</v>
      </c>
      <c r="T973" s="72" t="s">
        <v>30</v>
      </c>
      <c r="W973" s="31"/>
    </row>
    <row r="974">
      <c r="B974" s="72" t="s">
        <v>30</v>
      </c>
      <c r="C974" s="72" t="s">
        <v>30</v>
      </c>
      <c r="D974" s="72" t="s">
        <v>30</v>
      </c>
      <c r="E974" s="72" t="s">
        <v>30</v>
      </c>
      <c r="F974" s="72" t="s">
        <v>30</v>
      </c>
      <c r="G974" s="72" t="s">
        <v>30</v>
      </c>
      <c r="H974" s="72" t="s">
        <v>30</v>
      </c>
      <c r="I974" s="73" t="s">
        <v>30</v>
      </c>
      <c r="J974" s="72" t="s">
        <v>30</v>
      </c>
      <c r="K974" s="72" t="s">
        <v>30</v>
      </c>
      <c r="L974" s="72" t="s">
        <v>30</v>
      </c>
      <c r="M974" s="72" t="s">
        <v>30</v>
      </c>
      <c r="N974" s="72" t="s">
        <v>30</v>
      </c>
      <c r="O974" s="73" t="s">
        <v>30</v>
      </c>
      <c r="P974" s="72" t="s">
        <v>30</v>
      </c>
      <c r="Q974" s="72" t="s">
        <v>30</v>
      </c>
      <c r="R974" s="72" t="s">
        <v>30</v>
      </c>
      <c r="S974" s="72" t="s">
        <v>30</v>
      </c>
      <c r="T974" s="72" t="s">
        <v>30</v>
      </c>
      <c r="W974" s="31"/>
    </row>
    <row r="975">
      <c r="B975" s="72" t="s">
        <v>30</v>
      </c>
      <c r="C975" s="72" t="s">
        <v>30</v>
      </c>
      <c r="D975" s="72" t="s">
        <v>30</v>
      </c>
      <c r="E975" s="72" t="s">
        <v>30</v>
      </c>
      <c r="F975" s="72" t="s">
        <v>30</v>
      </c>
      <c r="G975" s="72" t="s">
        <v>30</v>
      </c>
      <c r="H975" s="72" t="s">
        <v>30</v>
      </c>
      <c r="I975" s="73" t="s">
        <v>30</v>
      </c>
      <c r="J975" s="72" t="s">
        <v>30</v>
      </c>
      <c r="K975" s="72" t="s">
        <v>30</v>
      </c>
      <c r="L975" s="72" t="s">
        <v>30</v>
      </c>
      <c r="M975" s="72" t="s">
        <v>30</v>
      </c>
      <c r="N975" s="72" t="s">
        <v>30</v>
      </c>
      <c r="O975" s="73" t="s">
        <v>30</v>
      </c>
      <c r="P975" s="72" t="s">
        <v>30</v>
      </c>
      <c r="Q975" s="72" t="s">
        <v>30</v>
      </c>
      <c r="R975" s="72" t="s">
        <v>30</v>
      </c>
      <c r="S975" s="72" t="s">
        <v>30</v>
      </c>
      <c r="T975" s="72" t="s">
        <v>30</v>
      </c>
      <c r="W975" s="31"/>
    </row>
    <row r="976">
      <c r="B976" s="72" t="s">
        <v>30</v>
      </c>
      <c r="C976" s="72" t="s">
        <v>30</v>
      </c>
      <c r="D976" s="72" t="s">
        <v>30</v>
      </c>
      <c r="E976" s="72" t="s">
        <v>30</v>
      </c>
      <c r="F976" s="72" t="s">
        <v>30</v>
      </c>
      <c r="G976" s="72" t="s">
        <v>30</v>
      </c>
      <c r="H976" s="72" t="s">
        <v>30</v>
      </c>
      <c r="I976" s="73" t="s">
        <v>30</v>
      </c>
      <c r="J976" s="72" t="s">
        <v>30</v>
      </c>
      <c r="K976" s="72" t="s">
        <v>30</v>
      </c>
      <c r="L976" s="72" t="s">
        <v>30</v>
      </c>
      <c r="M976" s="72" t="s">
        <v>30</v>
      </c>
      <c r="N976" s="72" t="s">
        <v>30</v>
      </c>
      <c r="O976" s="73" t="s">
        <v>30</v>
      </c>
      <c r="P976" s="72" t="s">
        <v>30</v>
      </c>
      <c r="Q976" s="72" t="s">
        <v>30</v>
      </c>
      <c r="R976" s="72" t="s">
        <v>30</v>
      </c>
      <c r="S976" s="72" t="s">
        <v>30</v>
      </c>
      <c r="T976" s="72" t="s">
        <v>30</v>
      </c>
      <c r="W976" s="31"/>
    </row>
    <row r="977">
      <c r="B977" s="72" t="s">
        <v>30</v>
      </c>
      <c r="C977" s="72" t="s">
        <v>30</v>
      </c>
      <c r="D977" s="72" t="s">
        <v>30</v>
      </c>
      <c r="E977" s="72" t="s">
        <v>30</v>
      </c>
      <c r="F977" s="72" t="s">
        <v>30</v>
      </c>
      <c r="G977" s="72" t="s">
        <v>30</v>
      </c>
      <c r="H977" s="72" t="s">
        <v>30</v>
      </c>
      <c r="I977" s="73" t="s">
        <v>30</v>
      </c>
      <c r="J977" s="72" t="s">
        <v>30</v>
      </c>
      <c r="K977" s="72" t="s">
        <v>30</v>
      </c>
      <c r="L977" s="72" t="s">
        <v>30</v>
      </c>
      <c r="M977" s="72" t="s">
        <v>30</v>
      </c>
      <c r="N977" s="72" t="s">
        <v>30</v>
      </c>
      <c r="O977" s="73" t="s">
        <v>30</v>
      </c>
      <c r="P977" s="72" t="s">
        <v>30</v>
      </c>
      <c r="Q977" s="72" t="s">
        <v>30</v>
      </c>
      <c r="R977" s="72" t="s">
        <v>30</v>
      </c>
      <c r="S977" s="72" t="s">
        <v>30</v>
      </c>
      <c r="T977" s="72" t="s">
        <v>30</v>
      </c>
      <c r="W977" s="31"/>
    </row>
    <row r="978">
      <c r="B978" s="72" t="s">
        <v>30</v>
      </c>
      <c r="C978" s="72" t="s">
        <v>30</v>
      </c>
      <c r="D978" s="72" t="s">
        <v>30</v>
      </c>
      <c r="E978" s="72" t="s">
        <v>30</v>
      </c>
      <c r="F978" s="72" t="s">
        <v>30</v>
      </c>
      <c r="G978" s="72" t="s">
        <v>30</v>
      </c>
      <c r="H978" s="72" t="s">
        <v>30</v>
      </c>
      <c r="I978" s="73" t="s">
        <v>30</v>
      </c>
      <c r="J978" s="72" t="s">
        <v>30</v>
      </c>
      <c r="K978" s="72" t="s">
        <v>30</v>
      </c>
      <c r="L978" s="72" t="s">
        <v>30</v>
      </c>
      <c r="M978" s="72" t="s">
        <v>30</v>
      </c>
      <c r="N978" s="72" t="s">
        <v>30</v>
      </c>
      <c r="O978" s="73" t="s">
        <v>30</v>
      </c>
      <c r="P978" s="72" t="s">
        <v>30</v>
      </c>
      <c r="Q978" s="72" t="s">
        <v>30</v>
      </c>
      <c r="R978" s="72" t="s">
        <v>30</v>
      </c>
      <c r="S978" s="72" t="s">
        <v>30</v>
      </c>
      <c r="T978" s="72" t="s">
        <v>30</v>
      </c>
      <c r="W978" s="31"/>
    </row>
    <row r="979">
      <c r="B979" s="72" t="s">
        <v>30</v>
      </c>
      <c r="C979" s="72" t="s">
        <v>30</v>
      </c>
      <c r="D979" s="72" t="s">
        <v>30</v>
      </c>
      <c r="E979" s="72" t="s">
        <v>30</v>
      </c>
      <c r="F979" s="72" t="s">
        <v>30</v>
      </c>
      <c r="G979" s="72" t="s">
        <v>30</v>
      </c>
      <c r="H979" s="72" t="s">
        <v>30</v>
      </c>
      <c r="I979" s="73" t="s">
        <v>30</v>
      </c>
      <c r="J979" s="72" t="s">
        <v>30</v>
      </c>
      <c r="K979" s="72" t="s">
        <v>30</v>
      </c>
      <c r="L979" s="72" t="s">
        <v>30</v>
      </c>
      <c r="M979" s="72" t="s">
        <v>30</v>
      </c>
      <c r="N979" s="72" t="s">
        <v>30</v>
      </c>
      <c r="O979" s="73" t="s">
        <v>30</v>
      </c>
      <c r="P979" s="72" t="s">
        <v>30</v>
      </c>
      <c r="Q979" s="72" t="s">
        <v>30</v>
      </c>
      <c r="R979" s="72" t="s">
        <v>30</v>
      </c>
      <c r="S979" s="72" t="s">
        <v>30</v>
      </c>
      <c r="T979" s="72" t="s">
        <v>30</v>
      </c>
      <c r="W979" s="31"/>
    </row>
    <row r="980">
      <c r="B980" s="72" t="s">
        <v>30</v>
      </c>
      <c r="C980" s="72" t="s">
        <v>30</v>
      </c>
      <c r="D980" s="72" t="s">
        <v>30</v>
      </c>
      <c r="E980" s="72" t="s">
        <v>30</v>
      </c>
      <c r="F980" s="72" t="s">
        <v>30</v>
      </c>
      <c r="G980" s="72" t="s">
        <v>30</v>
      </c>
      <c r="H980" s="72" t="s">
        <v>30</v>
      </c>
      <c r="I980" s="73" t="s">
        <v>30</v>
      </c>
      <c r="J980" s="72" t="s">
        <v>30</v>
      </c>
      <c r="K980" s="72" t="s">
        <v>30</v>
      </c>
      <c r="L980" s="72" t="s">
        <v>30</v>
      </c>
      <c r="M980" s="72" t="s">
        <v>30</v>
      </c>
      <c r="N980" s="72" t="s">
        <v>30</v>
      </c>
      <c r="O980" s="73" t="s">
        <v>30</v>
      </c>
      <c r="P980" s="72" t="s">
        <v>30</v>
      </c>
      <c r="Q980" s="72" t="s">
        <v>30</v>
      </c>
      <c r="R980" s="72" t="s">
        <v>30</v>
      </c>
      <c r="S980" s="72" t="s">
        <v>30</v>
      </c>
      <c r="T980" s="72" t="s">
        <v>30</v>
      </c>
      <c r="W980" s="31"/>
    </row>
    <row r="981">
      <c r="B981" s="72" t="s">
        <v>30</v>
      </c>
      <c r="C981" s="72" t="s">
        <v>30</v>
      </c>
      <c r="D981" s="72" t="s">
        <v>30</v>
      </c>
      <c r="E981" s="72" t="s">
        <v>30</v>
      </c>
      <c r="F981" s="72" t="s">
        <v>30</v>
      </c>
      <c r="G981" s="72" t="s">
        <v>30</v>
      </c>
      <c r="H981" s="72" t="s">
        <v>30</v>
      </c>
      <c r="I981" s="73" t="s">
        <v>30</v>
      </c>
      <c r="J981" s="72" t="s">
        <v>30</v>
      </c>
      <c r="K981" s="72" t="s">
        <v>30</v>
      </c>
      <c r="L981" s="72" t="s">
        <v>30</v>
      </c>
      <c r="M981" s="72" t="s">
        <v>30</v>
      </c>
      <c r="N981" s="72" t="s">
        <v>30</v>
      </c>
      <c r="O981" s="73" t="s">
        <v>30</v>
      </c>
      <c r="P981" s="72" t="s">
        <v>30</v>
      </c>
      <c r="Q981" s="72" t="s">
        <v>30</v>
      </c>
      <c r="R981" s="72" t="s">
        <v>30</v>
      </c>
      <c r="S981" s="72" t="s">
        <v>30</v>
      </c>
      <c r="T981" s="72" t="s">
        <v>30</v>
      </c>
      <c r="W981" s="31"/>
    </row>
    <row r="982">
      <c r="B982" s="72" t="s">
        <v>30</v>
      </c>
      <c r="C982" s="72" t="s">
        <v>30</v>
      </c>
      <c r="D982" s="72" t="s">
        <v>30</v>
      </c>
      <c r="E982" s="72" t="s">
        <v>30</v>
      </c>
      <c r="F982" s="72" t="s">
        <v>30</v>
      </c>
      <c r="G982" s="72" t="s">
        <v>30</v>
      </c>
      <c r="H982" s="72" t="s">
        <v>30</v>
      </c>
      <c r="I982" s="73" t="s">
        <v>30</v>
      </c>
      <c r="J982" s="72" t="s">
        <v>30</v>
      </c>
      <c r="K982" s="72" t="s">
        <v>30</v>
      </c>
      <c r="L982" s="72" t="s">
        <v>30</v>
      </c>
      <c r="M982" s="72" t="s">
        <v>30</v>
      </c>
      <c r="N982" s="72" t="s">
        <v>30</v>
      </c>
      <c r="O982" s="73" t="s">
        <v>30</v>
      </c>
      <c r="P982" s="72" t="s">
        <v>30</v>
      </c>
      <c r="Q982" s="72" t="s">
        <v>30</v>
      </c>
      <c r="R982" s="72" t="s">
        <v>30</v>
      </c>
      <c r="S982" s="72" t="s">
        <v>30</v>
      </c>
      <c r="T982" s="72" t="s">
        <v>30</v>
      </c>
      <c r="W982" s="31"/>
    </row>
    <row r="983">
      <c r="B983" s="72" t="s">
        <v>30</v>
      </c>
      <c r="C983" s="72" t="s">
        <v>30</v>
      </c>
      <c r="D983" s="72" t="s">
        <v>30</v>
      </c>
      <c r="E983" s="72" t="s">
        <v>30</v>
      </c>
      <c r="F983" s="72" t="s">
        <v>30</v>
      </c>
      <c r="G983" s="72" t="s">
        <v>30</v>
      </c>
      <c r="H983" s="72" t="s">
        <v>30</v>
      </c>
      <c r="I983" s="73" t="s">
        <v>30</v>
      </c>
      <c r="J983" s="72" t="s">
        <v>30</v>
      </c>
      <c r="K983" s="72" t="s">
        <v>30</v>
      </c>
      <c r="L983" s="72" t="s">
        <v>30</v>
      </c>
      <c r="M983" s="72" t="s">
        <v>30</v>
      </c>
      <c r="N983" s="72" t="s">
        <v>30</v>
      </c>
      <c r="O983" s="73" t="s">
        <v>30</v>
      </c>
      <c r="P983" s="72" t="s">
        <v>30</v>
      </c>
      <c r="Q983" s="72" t="s">
        <v>30</v>
      </c>
      <c r="R983" s="72" t="s">
        <v>30</v>
      </c>
      <c r="S983" s="72" t="s">
        <v>30</v>
      </c>
      <c r="T983" s="72" t="s">
        <v>30</v>
      </c>
      <c r="W983" s="31"/>
    </row>
    <row r="984">
      <c r="B984" s="72" t="s">
        <v>30</v>
      </c>
      <c r="C984" s="72" t="s">
        <v>30</v>
      </c>
      <c r="D984" s="72" t="s">
        <v>30</v>
      </c>
      <c r="E984" s="72" t="s">
        <v>30</v>
      </c>
      <c r="F984" s="72" t="s">
        <v>30</v>
      </c>
      <c r="G984" s="72" t="s">
        <v>30</v>
      </c>
      <c r="H984" s="72" t="s">
        <v>30</v>
      </c>
      <c r="I984" s="73" t="s">
        <v>30</v>
      </c>
      <c r="J984" s="72" t="s">
        <v>30</v>
      </c>
      <c r="K984" s="72" t="s">
        <v>30</v>
      </c>
      <c r="L984" s="72" t="s">
        <v>30</v>
      </c>
      <c r="M984" s="72" t="s">
        <v>30</v>
      </c>
      <c r="N984" s="72" t="s">
        <v>30</v>
      </c>
      <c r="O984" s="73" t="s">
        <v>30</v>
      </c>
      <c r="P984" s="72" t="s">
        <v>30</v>
      </c>
      <c r="Q984" s="72" t="s">
        <v>30</v>
      </c>
      <c r="R984" s="72" t="s">
        <v>30</v>
      </c>
      <c r="S984" s="72" t="s">
        <v>30</v>
      </c>
      <c r="T984" s="72" t="s">
        <v>30</v>
      </c>
      <c r="W984" s="31"/>
    </row>
    <row r="985">
      <c r="B985" s="72" t="s">
        <v>30</v>
      </c>
      <c r="C985" s="72" t="s">
        <v>30</v>
      </c>
      <c r="D985" s="72" t="s">
        <v>30</v>
      </c>
      <c r="E985" s="72" t="s">
        <v>30</v>
      </c>
      <c r="F985" s="72" t="s">
        <v>30</v>
      </c>
      <c r="G985" s="72" t="s">
        <v>30</v>
      </c>
      <c r="H985" s="72" t="s">
        <v>30</v>
      </c>
      <c r="I985" s="73" t="s">
        <v>30</v>
      </c>
      <c r="J985" s="72" t="s">
        <v>30</v>
      </c>
      <c r="K985" s="72" t="s">
        <v>30</v>
      </c>
      <c r="L985" s="72" t="s">
        <v>30</v>
      </c>
      <c r="M985" s="72" t="s">
        <v>30</v>
      </c>
      <c r="N985" s="72" t="s">
        <v>30</v>
      </c>
      <c r="O985" s="73" t="s">
        <v>30</v>
      </c>
      <c r="P985" s="72" t="s">
        <v>30</v>
      </c>
      <c r="Q985" s="72" t="s">
        <v>30</v>
      </c>
      <c r="R985" s="72" t="s">
        <v>30</v>
      </c>
      <c r="S985" s="72" t="s">
        <v>30</v>
      </c>
      <c r="T985" s="72" t="s">
        <v>30</v>
      </c>
      <c r="W985" s="31"/>
    </row>
    <row r="986">
      <c r="B986" s="72" t="s">
        <v>30</v>
      </c>
      <c r="C986" s="72" t="s">
        <v>30</v>
      </c>
      <c r="D986" s="72" t="s">
        <v>30</v>
      </c>
      <c r="E986" s="72" t="s">
        <v>30</v>
      </c>
      <c r="F986" s="72" t="s">
        <v>30</v>
      </c>
      <c r="G986" s="72" t="s">
        <v>30</v>
      </c>
      <c r="H986" s="72" t="s">
        <v>30</v>
      </c>
      <c r="I986" s="73" t="s">
        <v>30</v>
      </c>
      <c r="J986" s="72" t="s">
        <v>30</v>
      </c>
      <c r="K986" s="72" t="s">
        <v>30</v>
      </c>
      <c r="L986" s="72" t="s">
        <v>30</v>
      </c>
      <c r="M986" s="72" t="s">
        <v>30</v>
      </c>
      <c r="N986" s="72" t="s">
        <v>30</v>
      </c>
      <c r="O986" s="73" t="s">
        <v>30</v>
      </c>
      <c r="P986" s="72" t="s">
        <v>30</v>
      </c>
      <c r="Q986" s="72" t="s">
        <v>30</v>
      </c>
      <c r="R986" s="72" t="s">
        <v>30</v>
      </c>
      <c r="S986" s="72" t="s">
        <v>30</v>
      </c>
      <c r="T986" s="72" t="s">
        <v>30</v>
      </c>
      <c r="W986" s="31"/>
    </row>
    <row r="987">
      <c r="B987" s="72" t="s">
        <v>30</v>
      </c>
      <c r="C987" s="72" t="s">
        <v>30</v>
      </c>
      <c r="D987" s="72" t="s">
        <v>30</v>
      </c>
      <c r="E987" s="72" t="s">
        <v>30</v>
      </c>
      <c r="F987" s="72" t="s">
        <v>30</v>
      </c>
      <c r="G987" s="72" t="s">
        <v>30</v>
      </c>
      <c r="H987" s="72" t="s">
        <v>30</v>
      </c>
      <c r="I987" s="73" t="s">
        <v>30</v>
      </c>
      <c r="J987" s="72" t="s">
        <v>30</v>
      </c>
      <c r="K987" s="72" t="s">
        <v>30</v>
      </c>
      <c r="L987" s="72" t="s">
        <v>30</v>
      </c>
      <c r="M987" s="72" t="s">
        <v>30</v>
      </c>
      <c r="N987" s="72" t="s">
        <v>30</v>
      </c>
      <c r="O987" s="73" t="s">
        <v>30</v>
      </c>
      <c r="P987" s="72" t="s">
        <v>30</v>
      </c>
      <c r="Q987" s="72" t="s">
        <v>30</v>
      </c>
      <c r="R987" s="72" t="s">
        <v>30</v>
      </c>
      <c r="S987" s="72" t="s">
        <v>30</v>
      </c>
      <c r="T987" s="72" t="s">
        <v>30</v>
      </c>
      <c r="W987" s="31"/>
    </row>
    <row r="988">
      <c r="B988" s="72" t="s">
        <v>30</v>
      </c>
      <c r="C988" s="72" t="s">
        <v>30</v>
      </c>
      <c r="D988" s="72" t="s">
        <v>30</v>
      </c>
      <c r="E988" s="72" t="s">
        <v>30</v>
      </c>
      <c r="F988" s="72" t="s">
        <v>30</v>
      </c>
      <c r="G988" s="72" t="s">
        <v>30</v>
      </c>
      <c r="H988" s="72" t="s">
        <v>30</v>
      </c>
      <c r="I988" s="73" t="s">
        <v>30</v>
      </c>
      <c r="J988" s="72" t="s">
        <v>30</v>
      </c>
      <c r="K988" s="72" t="s">
        <v>30</v>
      </c>
      <c r="L988" s="72" t="s">
        <v>30</v>
      </c>
      <c r="M988" s="72" t="s">
        <v>30</v>
      </c>
      <c r="N988" s="72" t="s">
        <v>30</v>
      </c>
      <c r="O988" s="73" t="s">
        <v>30</v>
      </c>
      <c r="P988" s="72" t="s">
        <v>30</v>
      </c>
      <c r="Q988" s="72" t="s">
        <v>30</v>
      </c>
      <c r="R988" s="72" t="s">
        <v>30</v>
      </c>
      <c r="S988" s="72" t="s">
        <v>30</v>
      </c>
      <c r="T988" s="72" t="s">
        <v>30</v>
      </c>
      <c r="W988" s="31"/>
    </row>
    <row r="989">
      <c r="B989" s="72" t="s">
        <v>30</v>
      </c>
      <c r="C989" s="72" t="s">
        <v>30</v>
      </c>
      <c r="D989" s="72" t="s">
        <v>30</v>
      </c>
      <c r="E989" s="72" t="s">
        <v>30</v>
      </c>
      <c r="F989" s="72" t="s">
        <v>30</v>
      </c>
      <c r="G989" s="72" t="s">
        <v>30</v>
      </c>
      <c r="H989" s="72" t="s">
        <v>30</v>
      </c>
      <c r="I989" s="73" t="s">
        <v>30</v>
      </c>
      <c r="J989" s="72" t="s">
        <v>30</v>
      </c>
      <c r="K989" s="72" t="s">
        <v>30</v>
      </c>
      <c r="L989" s="72" t="s">
        <v>30</v>
      </c>
      <c r="M989" s="72" t="s">
        <v>30</v>
      </c>
      <c r="N989" s="72" t="s">
        <v>30</v>
      </c>
      <c r="O989" s="73" t="s">
        <v>30</v>
      </c>
      <c r="P989" s="72" t="s">
        <v>30</v>
      </c>
      <c r="Q989" s="72" t="s">
        <v>30</v>
      </c>
      <c r="R989" s="72" t="s">
        <v>30</v>
      </c>
      <c r="S989" s="72" t="s">
        <v>30</v>
      </c>
      <c r="T989" s="72" t="s">
        <v>30</v>
      </c>
      <c r="W989" s="31"/>
    </row>
    <row r="990">
      <c r="B990" s="72" t="s">
        <v>30</v>
      </c>
      <c r="C990" s="72" t="s">
        <v>30</v>
      </c>
      <c r="D990" s="72" t="s">
        <v>30</v>
      </c>
      <c r="E990" s="72" t="s">
        <v>30</v>
      </c>
      <c r="F990" s="72" t="s">
        <v>30</v>
      </c>
      <c r="G990" s="72" t="s">
        <v>30</v>
      </c>
      <c r="H990" s="72" t="s">
        <v>30</v>
      </c>
      <c r="I990" s="73" t="s">
        <v>30</v>
      </c>
      <c r="J990" s="72" t="s">
        <v>30</v>
      </c>
      <c r="K990" s="72" t="s">
        <v>30</v>
      </c>
      <c r="L990" s="72" t="s">
        <v>30</v>
      </c>
      <c r="M990" s="72" t="s">
        <v>30</v>
      </c>
      <c r="N990" s="72" t="s">
        <v>30</v>
      </c>
      <c r="O990" s="73" t="s">
        <v>30</v>
      </c>
      <c r="P990" s="72" t="s">
        <v>30</v>
      </c>
      <c r="Q990" s="72" t="s">
        <v>30</v>
      </c>
      <c r="R990" s="72" t="s">
        <v>30</v>
      </c>
      <c r="S990" s="72" t="s">
        <v>30</v>
      </c>
      <c r="T990" s="72" t="s">
        <v>30</v>
      </c>
      <c r="W990" s="31"/>
    </row>
    <row r="991">
      <c r="B991" s="72" t="s">
        <v>30</v>
      </c>
      <c r="C991" s="72" t="s">
        <v>30</v>
      </c>
      <c r="D991" s="72" t="s">
        <v>30</v>
      </c>
      <c r="E991" s="72" t="s">
        <v>30</v>
      </c>
      <c r="F991" s="72" t="s">
        <v>30</v>
      </c>
      <c r="G991" s="72" t="s">
        <v>30</v>
      </c>
      <c r="H991" s="72" t="s">
        <v>30</v>
      </c>
      <c r="I991" s="73" t="s">
        <v>30</v>
      </c>
      <c r="J991" s="72" t="s">
        <v>30</v>
      </c>
      <c r="K991" s="72" t="s">
        <v>30</v>
      </c>
      <c r="L991" s="72" t="s">
        <v>30</v>
      </c>
      <c r="M991" s="72" t="s">
        <v>30</v>
      </c>
      <c r="N991" s="72" t="s">
        <v>30</v>
      </c>
      <c r="O991" s="73" t="s">
        <v>30</v>
      </c>
      <c r="P991" s="72" t="s">
        <v>30</v>
      </c>
      <c r="Q991" s="72" t="s">
        <v>30</v>
      </c>
      <c r="R991" s="72" t="s">
        <v>30</v>
      </c>
      <c r="S991" s="72" t="s">
        <v>30</v>
      </c>
      <c r="T991" s="72" t="s">
        <v>30</v>
      </c>
      <c r="W991" s="31"/>
    </row>
    <row r="992">
      <c r="B992" s="72" t="s">
        <v>30</v>
      </c>
      <c r="C992" s="72" t="s">
        <v>30</v>
      </c>
      <c r="D992" s="72" t="s">
        <v>30</v>
      </c>
      <c r="E992" s="72" t="s">
        <v>30</v>
      </c>
      <c r="F992" s="72" t="s">
        <v>30</v>
      </c>
      <c r="G992" s="72" t="s">
        <v>30</v>
      </c>
      <c r="H992" s="72" t="s">
        <v>30</v>
      </c>
      <c r="I992" s="73" t="s">
        <v>30</v>
      </c>
      <c r="J992" s="72" t="s">
        <v>30</v>
      </c>
      <c r="K992" s="72" t="s">
        <v>30</v>
      </c>
      <c r="L992" s="72" t="s">
        <v>30</v>
      </c>
      <c r="M992" s="72" t="s">
        <v>30</v>
      </c>
      <c r="N992" s="72" t="s">
        <v>30</v>
      </c>
      <c r="O992" s="73" t="s">
        <v>30</v>
      </c>
      <c r="P992" s="72" t="s">
        <v>30</v>
      </c>
      <c r="Q992" s="72" t="s">
        <v>30</v>
      </c>
      <c r="R992" s="72" t="s">
        <v>30</v>
      </c>
      <c r="S992" s="72" t="s">
        <v>30</v>
      </c>
      <c r="T992" s="72" t="s">
        <v>30</v>
      </c>
      <c r="W992" s="31"/>
    </row>
    <row r="993">
      <c r="B993" s="72" t="s">
        <v>30</v>
      </c>
      <c r="C993" s="72" t="s">
        <v>30</v>
      </c>
      <c r="D993" s="72" t="s">
        <v>30</v>
      </c>
      <c r="E993" s="72" t="s">
        <v>30</v>
      </c>
      <c r="F993" s="72" t="s">
        <v>30</v>
      </c>
      <c r="G993" s="72" t="s">
        <v>30</v>
      </c>
      <c r="H993" s="72" t="s">
        <v>30</v>
      </c>
      <c r="I993" s="73" t="s">
        <v>30</v>
      </c>
      <c r="J993" s="72" t="s">
        <v>30</v>
      </c>
      <c r="K993" s="72" t="s">
        <v>30</v>
      </c>
      <c r="L993" s="72" t="s">
        <v>30</v>
      </c>
      <c r="M993" s="72" t="s">
        <v>30</v>
      </c>
      <c r="N993" s="72" t="s">
        <v>30</v>
      </c>
      <c r="O993" s="73" t="s">
        <v>30</v>
      </c>
      <c r="P993" s="72" t="s">
        <v>30</v>
      </c>
      <c r="Q993" s="72" t="s">
        <v>30</v>
      </c>
      <c r="R993" s="72" t="s">
        <v>30</v>
      </c>
      <c r="S993" s="72" t="s">
        <v>30</v>
      </c>
      <c r="T993" s="72" t="s">
        <v>30</v>
      </c>
      <c r="W993" s="31"/>
    </row>
    <row r="994">
      <c r="B994" s="72" t="s">
        <v>30</v>
      </c>
      <c r="C994" s="72" t="s">
        <v>30</v>
      </c>
      <c r="D994" s="72" t="s">
        <v>30</v>
      </c>
      <c r="E994" s="72" t="s">
        <v>30</v>
      </c>
      <c r="F994" s="72" t="s">
        <v>30</v>
      </c>
      <c r="G994" s="72" t="s">
        <v>30</v>
      </c>
      <c r="H994" s="72" t="s">
        <v>30</v>
      </c>
      <c r="I994" s="73" t="s">
        <v>30</v>
      </c>
      <c r="J994" s="72" t="s">
        <v>30</v>
      </c>
      <c r="K994" s="72" t="s">
        <v>30</v>
      </c>
      <c r="L994" s="72" t="s">
        <v>30</v>
      </c>
      <c r="M994" s="72" t="s">
        <v>30</v>
      </c>
      <c r="N994" s="72" t="s">
        <v>30</v>
      </c>
      <c r="O994" s="73" t="s">
        <v>30</v>
      </c>
      <c r="P994" s="72" t="s">
        <v>30</v>
      </c>
      <c r="Q994" s="72" t="s">
        <v>30</v>
      </c>
      <c r="R994" s="72" t="s">
        <v>30</v>
      </c>
      <c r="S994" s="72" t="s">
        <v>30</v>
      </c>
      <c r="T994" s="72" t="s">
        <v>30</v>
      </c>
      <c r="W994" s="31"/>
    </row>
    <row r="995">
      <c r="B995" s="72" t="s">
        <v>30</v>
      </c>
      <c r="C995" s="72" t="s">
        <v>30</v>
      </c>
      <c r="D995" s="72" t="s">
        <v>30</v>
      </c>
      <c r="E995" s="72" t="s">
        <v>30</v>
      </c>
      <c r="F995" s="72" t="s">
        <v>30</v>
      </c>
      <c r="G995" s="72" t="s">
        <v>30</v>
      </c>
      <c r="H995" s="72" t="s">
        <v>30</v>
      </c>
      <c r="I995" s="73" t="s">
        <v>30</v>
      </c>
      <c r="J995" s="72" t="s">
        <v>30</v>
      </c>
      <c r="K995" s="72" t="s">
        <v>30</v>
      </c>
      <c r="L995" s="72" t="s">
        <v>30</v>
      </c>
      <c r="M995" s="72" t="s">
        <v>30</v>
      </c>
      <c r="N995" s="72" t="s">
        <v>30</v>
      </c>
      <c r="O995" s="73" t="s">
        <v>30</v>
      </c>
      <c r="P995" s="72" t="s">
        <v>30</v>
      </c>
      <c r="Q995" s="72" t="s">
        <v>30</v>
      </c>
      <c r="R995" s="72" t="s">
        <v>30</v>
      </c>
      <c r="S995" s="72" t="s">
        <v>30</v>
      </c>
      <c r="T995" s="72" t="s">
        <v>30</v>
      </c>
      <c r="W995" s="31"/>
    </row>
    <row r="996">
      <c r="B996" s="72" t="s">
        <v>30</v>
      </c>
      <c r="C996" s="72" t="s">
        <v>30</v>
      </c>
      <c r="D996" s="72" t="s">
        <v>30</v>
      </c>
      <c r="E996" s="72" t="s">
        <v>30</v>
      </c>
      <c r="F996" s="72" t="s">
        <v>30</v>
      </c>
      <c r="G996" s="72" t="s">
        <v>30</v>
      </c>
      <c r="H996" s="72" t="s">
        <v>30</v>
      </c>
      <c r="I996" s="73" t="s">
        <v>30</v>
      </c>
      <c r="J996" s="72" t="s">
        <v>30</v>
      </c>
      <c r="K996" s="72" t="s">
        <v>30</v>
      </c>
      <c r="L996" s="72" t="s">
        <v>30</v>
      </c>
      <c r="M996" s="72" t="s">
        <v>30</v>
      </c>
      <c r="N996" s="72" t="s">
        <v>30</v>
      </c>
      <c r="O996" s="73" t="s">
        <v>30</v>
      </c>
      <c r="P996" s="72" t="s">
        <v>30</v>
      </c>
      <c r="Q996" s="72" t="s">
        <v>30</v>
      </c>
      <c r="R996" s="72" t="s">
        <v>30</v>
      </c>
      <c r="S996" s="72" t="s">
        <v>30</v>
      </c>
      <c r="T996" s="72" t="s">
        <v>30</v>
      </c>
      <c r="W996" s="31"/>
    </row>
    <row r="997">
      <c r="B997" s="72" t="s">
        <v>30</v>
      </c>
      <c r="C997" s="72" t="s">
        <v>30</v>
      </c>
      <c r="D997" s="72" t="s">
        <v>30</v>
      </c>
      <c r="E997" s="72" t="s">
        <v>30</v>
      </c>
      <c r="F997" s="72" t="s">
        <v>30</v>
      </c>
      <c r="G997" s="72" t="s">
        <v>30</v>
      </c>
      <c r="H997" s="72" t="s">
        <v>30</v>
      </c>
      <c r="I997" s="73" t="s">
        <v>30</v>
      </c>
      <c r="J997" s="72" t="s">
        <v>30</v>
      </c>
      <c r="K997" s="72" t="s">
        <v>30</v>
      </c>
      <c r="L997" s="72" t="s">
        <v>30</v>
      </c>
      <c r="M997" s="72" t="s">
        <v>30</v>
      </c>
      <c r="N997" s="72" t="s">
        <v>30</v>
      </c>
      <c r="O997" s="73" t="s">
        <v>30</v>
      </c>
      <c r="P997" s="72" t="s">
        <v>30</v>
      </c>
      <c r="Q997" s="72" t="s">
        <v>30</v>
      </c>
      <c r="R997" s="72" t="s">
        <v>30</v>
      </c>
      <c r="S997" s="72" t="s">
        <v>30</v>
      </c>
      <c r="T997" s="72" t="s">
        <v>30</v>
      </c>
      <c r="W997" s="31"/>
    </row>
    <row r="998">
      <c r="B998" s="72" t="s">
        <v>30</v>
      </c>
      <c r="C998" s="72" t="s">
        <v>30</v>
      </c>
      <c r="D998" s="72" t="s">
        <v>30</v>
      </c>
      <c r="E998" s="72" t="s">
        <v>30</v>
      </c>
      <c r="F998" s="72" t="s">
        <v>30</v>
      </c>
      <c r="G998" s="72" t="s">
        <v>30</v>
      </c>
      <c r="H998" s="72" t="s">
        <v>30</v>
      </c>
      <c r="I998" s="73" t="s">
        <v>30</v>
      </c>
      <c r="J998" s="72" t="s">
        <v>30</v>
      </c>
      <c r="K998" s="72" t="s">
        <v>30</v>
      </c>
      <c r="L998" s="72" t="s">
        <v>30</v>
      </c>
      <c r="M998" s="72" t="s">
        <v>30</v>
      </c>
      <c r="N998" s="72" t="s">
        <v>30</v>
      </c>
      <c r="O998" s="73" t="s">
        <v>30</v>
      </c>
      <c r="P998" s="72" t="s">
        <v>30</v>
      </c>
      <c r="Q998" s="72" t="s">
        <v>30</v>
      </c>
      <c r="R998" s="72" t="s">
        <v>30</v>
      </c>
      <c r="S998" s="72" t="s">
        <v>30</v>
      </c>
      <c r="T998" s="72" t="s">
        <v>30</v>
      </c>
      <c r="W998" s="31"/>
    </row>
    <row r="999">
      <c r="B999" s="72" t="s">
        <v>30</v>
      </c>
      <c r="C999" s="72" t="s">
        <v>30</v>
      </c>
      <c r="D999" s="72" t="s">
        <v>30</v>
      </c>
      <c r="E999" s="72" t="s">
        <v>30</v>
      </c>
      <c r="F999" s="72" t="s">
        <v>30</v>
      </c>
      <c r="G999" s="72" t="s">
        <v>30</v>
      </c>
      <c r="H999" s="72" t="s">
        <v>30</v>
      </c>
      <c r="I999" s="73" t="s">
        <v>30</v>
      </c>
      <c r="J999" s="72" t="s">
        <v>30</v>
      </c>
      <c r="K999" s="72" t="s">
        <v>30</v>
      </c>
      <c r="L999" s="72" t="s">
        <v>30</v>
      </c>
      <c r="M999" s="72" t="s">
        <v>30</v>
      </c>
      <c r="N999" s="72" t="s">
        <v>30</v>
      </c>
      <c r="O999" s="73" t="s">
        <v>30</v>
      </c>
      <c r="P999" s="72" t="s">
        <v>30</v>
      </c>
      <c r="Q999" s="72" t="s">
        <v>30</v>
      </c>
      <c r="R999" s="72" t="s">
        <v>30</v>
      </c>
      <c r="S999" s="72" t="s">
        <v>30</v>
      </c>
      <c r="T999" s="72" t="s">
        <v>30</v>
      </c>
      <c r="W999" s="31"/>
    </row>
    <row r="1000">
      <c r="B1000" s="72" t="s">
        <v>30</v>
      </c>
      <c r="C1000" s="72" t="s">
        <v>30</v>
      </c>
      <c r="D1000" s="72" t="s">
        <v>30</v>
      </c>
      <c r="E1000" s="72" t="s">
        <v>30</v>
      </c>
      <c r="F1000" s="72" t="s">
        <v>30</v>
      </c>
      <c r="G1000" s="72" t="s">
        <v>30</v>
      </c>
      <c r="H1000" s="72" t="s">
        <v>30</v>
      </c>
      <c r="I1000" s="73" t="s">
        <v>30</v>
      </c>
      <c r="J1000" s="72" t="s">
        <v>30</v>
      </c>
      <c r="K1000" s="72" t="s">
        <v>30</v>
      </c>
      <c r="L1000" s="72" t="s">
        <v>30</v>
      </c>
      <c r="M1000" s="72" t="s">
        <v>30</v>
      </c>
      <c r="N1000" s="72" t="s">
        <v>30</v>
      </c>
      <c r="O1000" s="73" t="s">
        <v>30</v>
      </c>
      <c r="P1000" s="72" t="s">
        <v>30</v>
      </c>
      <c r="Q1000" s="72" t="s">
        <v>30</v>
      </c>
      <c r="R1000" s="72" t="s">
        <v>30</v>
      </c>
      <c r="S1000" s="72" t="s">
        <v>30</v>
      </c>
      <c r="T1000" s="72" t="s">
        <v>30</v>
      </c>
      <c r="W1000" s="31"/>
    </row>
    <row r="1001">
      <c r="B1001" s="72" t="s">
        <v>30</v>
      </c>
      <c r="C1001" s="72" t="s">
        <v>30</v>
      </c>
      <c r="D1001" s="72" t="s">
        <v>30</v>
      </c>
      <c r="E1001" s="72" t="s">
        <v>30</v>
      </c>
      <c r="F1001" s="72" t="s">
        <v>30</v>
      </c>
      <c r="G1001" s="72" t="s">
        <v>30</v>
      </c>
      <c r="H1001" s="72" t="s">
        <v>30</v>
      </c>
      <c r="I1001" s="73" t="s">
        <v>30</v>
      </c>
      <c r="J1001" s="72" t="s">
        <v>30</v>
      </c>
      <c r="K1001" s="72" t="s">
        <v>30</v>
      </c>
      <c r="L1001" s="72" t="s">
        <v>30</v>
      </c>
      <c r="M1001" s="72" t="s">
        <v>30</v>
      </c>
      <c r="N1001" s="72" t="s">
        <v>30</v>
      </c>
      <c r="O1001" s="73" t="s">
        <v>30</v>
      </c>
      <c r="P1001" s="72" t="s">
        <v>30</v>
      </c>
      <c r="Q1001" s="72" t="s">
        <v>30</v>
      </c>
      <c r="R1001" s="72" t="s">
        <v>30</v>
      </c>
      <c r="S1001" s="72" t="s">
        <v>30</v>
      </c>
      <c r="T1001" s="72" t="s">
        <v>30</v>
      </c>
      <c r="W1001" s="31"/>
    </row>
    <row r="1002">
      <c r="B1002" s="72" t="s">
        <v>30</v>
      </c>
      <c r="C1002" s="72" t="s">
        <v>30</v>
      </c>
      <c r="D1002" s="72" t="s">
        <v>30</v>
      </c>
      <c r="E1002" s="72" t="s">
        <v>30</v>
      </c>
      <c r="F1002" s="72" t="s">
        <v>30</v>
      </c>
      <c r="G1002" s="72" t="s">
        <v>30</v>
      </c>
      <c r="H1002" s="72" t="s">
        <v>30</v>
      </c>
      <c r="I1002" s="73" t="s">
        <v>30</v>
      </c>
      <c r="J1002" s="72" t="s">
        <v>30</v>
      </c>
      <c r="K1002" s="72" t="s">
        <v>30</v>
      </c>
      <c r="L1002" s="72" t="s">
        <v>30</v>
      </c>
      <c r="M1002" s="72" t="s">
        <v>30</v>
      </c>
      <c r="N1002" s="72" t="s">
        <v>30</v>
      </c>
      <c r="O1002" s="73" t="s">
        <v>30</v>
      </c>
      <c r="P1002" s="72" t="s">
        <v>30</v>
      </c>
      <c r="Q1002" s="72" t="s">
        <v>30</v>
      </c>
      <c r="R1002" s="72" t="s">
        <v>30</v>
      </c>
      <c r="S1002" s="72" t="s">
        <v>30</v>
      </c>
      <c r="T1002" s="72" t="s">
        <v>30</v>
      </c>
      <c r="W1002" s="31"/>
    </row>
  </sheetData>
  <mergeCells count="3">
    <mergeCell ref="A1:H1"/>
    <mergeCell ref="I1:N1"/>
    <mergeCell ref="O1:T1"/>
  </mergeCells>
  <hyperlinks>
    <hyperlink r:id="rId1" ref="A5"/>
    <hyperlink r:id="rId2" ref="A6"/>
    <hyperlink r:id="rId3" ref="A7"/>
    <hyperlink r:id="rId4" ref="A8"/>
    <hyperlink r:id="rId5" ref="A13"/>
    <hyperlink r:id="rId6" ref="A14"/>
    <hyperlink r:id="rId7" ref="A15"/>
    <hyperlink r:id="rId8" ref="A18"/>
    <hyperlink r:id="rId9" ref="A19"/>
    <hyperlink r:id="rId10" ref="A21"/>
    <hyperlink r:id="rId11" ref="A22"/>
    <hyperlink r:id="rId12" ref="A24"/>
    <hyperlink r:id="rId13" ref="A26"/>
    <hyperlink r:id="rId14" ref="A27"/>
    <hyperlink r:id="rId15" ref="A29"/>
    <hyperlink r:id="rId16" ref="A30"/>
    <hyperlink r:id="rId17" ref="A31"/>
    <hyperlink r:id="rId18" ref="A32"/>
    <hyperlink r:id="rId19" ref="A33"/>
    <hyperlink r:id="rId20" ref="A34"/>
    <hyperlink r:id="rId21" ref="A35"/>
    <hyperlink r:id="rId22" ref="A40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1.63"/>
    <col customWidth="1" min="2" max="2" width="16.25"/>
    <col customWidth="1" min="3" max="3" width="20.38"/>
    <col customWidth="1" min="4" max="4" width="12.75"/>
    <col customWidth="1" min="5" max="5" width="12.5"/>
    <col customWidth="1" min="6" max="6" width="13.5"/>
    <col customWidth="1" min="7" max="7" width="19.38"/>
    <col customWidth="1" min="8" max="8" width="13.38"/>
    <col customWidth="1" min="11" max="11" width="39.0"/>
  </cols>
  <sheetData>
    <row r="1" ht="45.75" customHeight="1">
      <c r="A1" s="4" t="s">
        <v>58</v>
      </c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ht="48.75" customHeight="1">
      <c r="A2" s="9" t="s">
        <v>3</v>
      </c>
      <c r="B2" s="11"/>
      <c r="C2" s="15">
        <f t="shared" ref="C2:D2" si="1">SUM(C4:C1002)</f>
        <v>107662.94</v>
      </c>
      <c r="D2" s="16">
        <f t="shared" si="1"/>
        <v>59372</v>
      </c>
      <c r="E2" s="15">
        <f>IFERROR(C2/D2,"-")</f>
        <v>1.813362191</v>
      </c>
      <c r="F2" s="17">
        <f>SUM(F4:F89)</f>
        <v>182</v>
      </c>
      <c r="G2" s="18">
        <f>IFERROR(C2/F2,"-")</f>
        <v>591.5546154</v>
      </c>
      <c r="H2" s="19">
        <f>IFERROR(1574.65*F2/C2,"-")</f>
        <v>2.661884396</v>
      </c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ht="33.75" customHeight="1">
      <c r="A3" s="26" t="s">
        <v>5</v>
      </c>
      <c r="B3" s="26" t="s">
        <v>7</v>
      </c>
      <c r="C3" s="27" t="s">
        <v>13</v>
      </c>
      <c r="D3" s="28" t="s">
        <v>14</v>
      </c>
      <c r="E3" s="28" t="s">
        <v>15</v>
      </c>
      <c r="F3" s="28" t="s">
        <v>16</v>
      </c>
      <c r="G3" s="28" t="s">
        <v>17</v>
      </c>
      <c r="H3" s="28" t="s">
        <v>18</v>
      </c>
      <c r="I3" s="31"/>
    </row>
    <row r="4" ht="48.75" customHeight="1">
      <c r="A4" s="74" t="str">
        <f>IFERROR(__xludf.DUMMYFUNCTION("LET(
  total_raw, 'EXTRACAO-BM'!A2:A1002,
  nomes_unicos, UNIQUE(FILTER(total_raw, (total_raw&lt;&gt;"""") * (total_raw&lt;&gt;""Ad Name""))),
  vendas, MAP(nomes_unicos, LAMBDA(n, 
    IFERROR(SUMIFS('EXTRACAO-BM'!L:L, 'EXTRACAO-BM'!A:A, n, 'EXTRACAO-BM'!B:B, ""*"&amp;"captação*""), 0)
  )),
  tabela_ranking, SORT({nomes_unicos , vendas}, 2, 0),
  CHOOSECOLS(tabela_ranking, 1)
)"),"AD058 - Casa do Thales - PBB-ABR-26")</f>
        <v>AD058 - Casa do Thales - PBB-ABR-26</v>
      </c>
      <c r="B4" s="34" t="str">
        <f t="array" ref="B4:B1002">MAP(A4:A1002, LAMBDA(n, 
  IF(n="", "",
    IF(IFERROR(SEARCH("AD157", n), 0) &gt; 0,
      IMAGE("https://scontent.frao5-1.fna.fbcdn.net/v/t45.1600-4/499368121_3450377525094777_6566430056816394720_n.jpg?stp=cp0_dst-jpg_p526x296_q75_spS444_tt6&amp;_nc_cat=102&amp;ccb=1-7&amp;_nc_sid=f0a831&amp;_nc_ohc=O2lTrkomxFkQ7kNvwHncz4G&amp;_nc_oc=AdpKNVnzhKBOTdc9UUtB7oM8dk0o8JKoZWab"&amp;"rkZucuVskaY_ui3mKrSkA9uwRjBWSkc&amp;_nc_zt=1&amp;_nc_ht=scontent.frao5-1.fna&amp;_nc_gid=g7-GLvUaa1O0YSEwuICwfg&amp;_nc_ss=7b2a8&amp;oh=00_Af5PoUdgXxOfXebkPAuO4VyG1qcaasRsMiAmlEqbghhWBQ&amp;oe=6A07B952"),
      IF(IFERROR(SEARCH("AD213", n), 0) &gt; 0,
        IMAGE("https://scontent.frao5-1.fna.fbcdn.net/v/t45.1600-4/611676973_3708502889282238_4328212273790943146_n.jpg?stp=dst-jpg_s168x128_tt6&amp;_nc_cat=108&amp;ccb=1-7&amp;_nc_sid=d5bd00&amp;_nc_ohc=mXi2u9t5t5YQ7kNvwFezS1w&amp;_nc_oc=AdrpGCQs1MxAOVQc6eyka9D7ooKfvzUyHzq92P374q9WRouWaJl"&amp;"2o-QEGsTelEamlLw&amp;_nc_zt=1&amp;_nc_ht=scontent.frao5-1.fna&amp;_nc_gid=51VBC5Aku7RbDZfD3swckw&amp;_nc_ss=7b2a8&amp;oh=00_Af6q1hpX492SXVH14YgqPZAsEbKlAJY38RVwGkxe937Cdg&amp;oe=6A02841A"),
        LET(
          fb, XLOOKUP(n, 'EXTRACAO-BM'!A:A, 'EXTRACAO-BM'!J:J, ""),
          yt, XLOOKUP(n, 'EXTRACAO-GA'!A:A, 'EXTRACAO-GA'!H:H, ""),
          IF(fb&lt;&gt;"", IMAGE(fb), 
            IF(yt&lt;&gt;"", IMAGE("https://img.youtube.com/vi/" &amp; yt &amp; "/hqdefault.jpg"), 
              ""
            )
          )
        )
      )
    )
  )
))</f>
        <v/>
      </c>
      <c r="C4" s="39">
        <f t="array" ref="C4:C1002">IF(A4:A1002="", "", IFERROR(SUMIFS('EXTRACAO-BM'!C:C, 'EXTRACAO-BM'!A:A, A4:A1002, 'EXTRACAO-BM'!B:B, "*captação*"), 0))</f>
        <v>4893.77</v>
      </c>
      <c r="D4" s="40">
        <f t="array" ref="D4:D1002">MAP(A4:A1002, LAMBDA(anuncio, IF(anuncio="", "", SUMIFS('EXTRACAO-BM'!D:D, 'EXTRACAO-BM'!A:A, "*" &amp; LEFT(anuncio, 5) &amp; "*"))))</f>
        <v>1736</v>
      </c>
      <c r="E4" s="41">
        <f t="array" ref="E4:E1002">IF(A4:A1002="", "", IF(D4:D1002=0, 0, C4:C1002 / D4:D1002))</f>
        <v>2.818991935</v>
      </c>
      <c r="F4" s="42">
        <v>38.0</v>
      </c>
      <c r="G4" s="43">
        <f t="array" ref="G4:G1002">IF(C4:C1002="", "", IFERROR(C4:C1002 / F4:F1002, 0))</f>
        <v>128.7834211</v>
      </c>
      <c r="H4" s="44">
        <f t="array" ref="H4:H1002">IF(A4:A1002="", "", IFERROR(1574.65 * F4:F1002 / C4:C1002, ""))</f>
        <v>12.22711733</v>
      </c>
      <c r="I4" s="50"/>
      <c r="K4" s="51"/>
      <c r="L4" s="51"/>
      <c r="M4" s="51"/>
      <c r="N4" s="51"/>
      <c r="O4" s="51"/>
      <c r="P4" s="51"/>
    </row>
    <row r="5" ht="48.75" customHeight="1">
      <c r="A5" s="74" t="str">
        <f>IFERROR(__xludf.DUMMYFUNCTION("""COMPUTED_VALUE"""),"AD092 - Dois personagens casa do Thales - PBB-ABR-26")</f>
        <v>AD092 - Dois personagens casa do Thales - PBB-ABR-26</v>
      </c>
      <c r="B5" s="34"/>
      <c r="C5" s="39">
        <v>4893.7699999999995</v>
      </c>
      <c r="D5" s="40">
        <v>2376.0</v>
      </c>
      <c r="E5" s="41">
        <v>2.0596675084175082</v>
      </c>
      <c r="F5" s="42">
        <v>26.0</v>
      </c>
      <c r="G5" s="43">
        <v>188.22192307692305</v>
      </c>
      <c r="H5" s="44">
        <v>8.365922387034946</v>
      </c>
      <c r="I5" s="50"/>
      <c r="K5" s="52"/>
      <c r="L5" s="53"/>
      <c r="M5" s="53"/>
      <c r="N5" s="53"/>
      <c r="O5" s="53"/>
      <c r="P5" s="53"/>
    </row>
    <row r="6" ht="48.75" customHeight="1">
      <c r="A6" s="74" t="str">
        <f>IFERROR(__xludf.DUMMYFUNCTION("""COMPUTED_VALUE"""),"AD109 - Fachada Banco do Brasil com cx PBB-ABR-26")</f>
        <v>AD109 - Fachada Banco do Brasil com cx PBB-ABR-26</v>
      </c>
      <c r="B6" s="34"/>
      <c r="C6" s="39">
        <v>4893.7699999999995</v>
      </c>
      <c r="D6" s="40">
        <v>8335.0</v>
      </c>
      <c r="E6" s="41">
        <v>0.5871349730053989</v>
      </c>
      <c r="F6" s="42">
        <v>39.0</v>
      </c>
      <c r="G6" s="43">
        <v>125.48128205128204</v>
      </c>
      <c r="H6" s="44">
        <v>12.548883580552419</v>
      </c>
      <c r="I6" s="50"/>
      <c r="K6" s="52"/>
      <c r="L6" s="53"/>
      <c r="M6" s="53"/>
      <c r="N6" s="53"/>
      <c r="O6" s="53"/>
      <c r="P6" s="53"/>
    </row>
    <row r="7" ht="48.75" customHeight="1">
      <c r="A7" s="74" t="str">
        <f>IFERROR(__xludf.DUMMYFUNCTION("""COMPUTED_VALUE"""),"AD050 - Banco do Brasil 2 - cx nova - PBB-ABR-26")</f>
        <v>AD050 - Banco do Brasil 2 - cx nova - PBB-ABR-26</v>
      </c>
      <c r="B7" s="34"/>
      <c r="C7" s="39">
        <v>4893.7699999999995</v>
      </c>
      <c r="D7" s="40">
        <v>8061.0</v>
      </c>
      <c r="E7" s="41">
        <v>0.6070921721870735</v>
      </c>
      <c r="F7" s="42">
        <v>27.0</v>
      </c>
      <c r="G7" s="43">
        <v>181.25074074074072</v>
      </c>
      <c r="H7" s="44">
        <v>8.687688632690136</v>
      </c>
      <c r="I7" s="54"/>
      <c r="J7" s="25"/>
      <c r="K7" s="52"/>
      <c r="L7" s="53"/>
      <c r="M7" s="53"/>
      <c r="N7" s="53"/>
      <c r="O7" s="53"/>
      <c r="P7" s="53"/>
      <c r="Q7" s="25"/>
      <c r="R7" s="25"/>
      <c r="S7" s="25"/>
      <c r="T7" s="25"/>
      <c r="U7" s="25"/>
    </row>
    <row r="8" ht="48.75" customHeight="1">
      <c r="A8" s="74" t="str">
        <f>IFERROR(__xludf.DUMMYFUNCTION("""COMPUTED_VALUE"""),"AD059 - Fachada Banco do Brasil + cx nova PBB-ABR-26")</f>
        <v>AD059 - Fachada Banco do Brasil + cx nova PBB-ABR-26</v>
      </c>
      <c r="B8" s="34"/>
      <c r="C8" s="39">
        <v>4893.7699999999995</v>
      </c>
      <c r="D8" s="40">
        <v>1210.0</v>
      </c>
      <c r="E8" s="41">
        <v>4.044438016528925</v>
      </c>
      <c r="F8" s="42">
        <v>17.0</v>
      </c>
      <c r="G8" s="43">
        <v>287.8688235294117</v>
      </c>
      <c r="H8" s="44">
        <v>5.470026176138234</v>
      </c>
      <c r="I8" s="50"/>
      <c r="K8" s="52"/>
      <c r="L8" s="53"/>
      <c r="M8" s="53"/>
      <c r="N8" s="53"/>
      <c r="O8" s="53"/>
      <c r="P8" s="53"/>
    </row>
    <row r="9" ht="48.75" customHeight="1">
      <c r="A9" s="74" t="str">
        <f>IFERROR(__xludf.DUMMYFUNCTION("""COMPUTED_VALUE"""),"AD113 - Dois personagens ape do Felipe - PBB-ABR-26")</f>
        <v>AD113 - Dois personagens ape do Felipe - PBB-ABR-26</v>
      </c>
      <c r="B9" s="34"/>
      <c r="C9" s="39">
        <v>4893.7699999999995</v>
      </c>
      <c r="D9" s="40">
        <v>10493.0</v>
      </c>
      <c r="E9" s="41">
        <v>0.4663842561707805</v>
      </c>
      <c r="F9" s="42"/>
      <c r="G9" s="43">
        <v>0.0</v>
      </c>
      <c r="H9" s="44">
        <v>0.0</v>
      </c>
      <c r="I9" s="50"/>
      <c r="K9" s="52"/>
      <c r="L9" s="53"/>
      <c r="M9" s="53"/>
      <c r="N9" s="53"/>
      <c r="O9" s="53"/>
      <c r="P9" s="53"/>
    </row>
    <row r="10" ht="48.75" customHeight="1">
      <c r="A10" s="74" t="str">
        <f>IFERROR(__xludf.DUMMYFUNCTION("""COMPUTED_VALUE"""),"AD111 - Dois personagens - Brabo + legenda - PBB-ABR-26")</f>
        <v>AD111 - Dois personagens - Brabo + legenda - PBB-ABR-26</v>
      </c>
      <c r="B10" s="34"/>
      <c r="C10" s="39">
        <v>4893.7699999999995</v>
      </c>
      <c r="D10" s="40">
        <v>35.0</v>
      </c>
      <c r="E10" s="41">
        <v>139.82199999999997</v>
      </c>
      <c r="F10" s="42">
        <v>16.0</v>
      </c>
      <c r="G10" s="43">
        <v>305.86062499999997</v>
      </c>
      <c r="H10" s="44">
        <v>5.148259930483044</v>
      </c>
      <c r="I10" s="50"/>
      <c r="K10" s="52"/>
      <c r="L10" s="53"/>
      <c r="M10" s="53"/>
      <c r="N10" s="53"/>
      <c r="O10" s="53"/>
      <c r="P10" s="53"/>
    </row>
    <row r="11" ht="48.75" customHeight="1">
      <c r="A11" s="74" t="str">
        <f>IFERROR(__xludf.DUMMYFUNCTION("""COMPUTED_VALUE"""),"AD097 - Carro + cx - PBB-ABR-26")</f>
        <v>AD097 - Carro + cx - PBB-ABR-26</v>
      </c>
      <c r="B11" s="34"/>
      <c r="C11" s="39">
        <v>4893.7699999999995</v>
      </c>
      <c r="D11" s="40">
        <v>272.0</v>
      </c>
      <c r="E11" s="41">
        <v>17.991801470588232</v>
      </c>
      <c r="F11" s="42"/>
      <c r="G11" s="43">
        <v>0.0</v>
      </c>
      <c r="H11" s="44">
        <v>0.0</v>
      </c>
      <c r="I11" s="50"/>
      <c r="K11" s="52"/>
      <c r="L11" s="53"/>
      <c r="M11" s="53"/>
      <c r="N11" s="53"/>
      <c r="O11" s="53"/>
      <c r="P11" s="53"/>
    </row>
    <row r="12" ht="48.75" customHeight="1">
      <c r="A12" s="74" t="str">
        <f>IFERROR(__xludf.DUMMYFUNCTION("""COMPUTED_VALUE"""),"AD071 - Casa do Felipe + cx - PBB-ABR-26")</f>
        <v>AD071 - Casa do Felipe + cx - PBB-ABR-26</v>
      </c>
      <c r="B12" s="34"/>
      <c r="C12" s="39">
        <v>4893.7699999999995</v>
      </c>
      <c r="D12" s="40">
        <v>1779.0</v>
      </c>
      <c r="E12" s="41">
        <v>2.7508544125913432</v>
      </c>
      <c r="F12" s="42">
        <v>6.0</v>
      </c>
      <c r="G12" s="43">
        <v>815.6283333333332</v>
      </c>
      <c r="H12" s="44">
        <v>1.9305974739311416</v>
      </c>
      <c r="I12" s="50"/>
      <c r="K12" s="52"/>
      <c r="L12" s="53"/>
      <c r="M12" s="53"/>
      <c r="N12" s="53"/>
      <c r="O12" s="53"/>
      <c r="P12" s="53"/>
    </row>
    <row r="13" ht="48.75" customHeight="1">
      <c r="A13" s="74" t="str">
        <f>IFERROR(__xludf.DUMMYFUNCTION("""COMPUTED_VALUE"""),"AD095 - Felipe sentado - PBB-ABR-26")</f>
        <v>AD095 - Felipe sentado - PBB-ABR-26</v>
      </c>
      <c r="B13" s="34"/>
      <c r="C13" s="39">
        <v>4893.7699999999995</v>
      </c>
      <c r="D13" s="40">
        <v>0.0</v>
      </c>
      <c r="E13" s="41">
        <v>0.0</v>
      </c>
      <c r="F13" s="42">
        <v>1.0</v>
      </c>
      <c r="G13" s="43">
        <v>4893.7699999999995</v>
      </c>
      <c r="H13" s="44">
        <v>0.32176624565519024</v>
      </c>
      <c r="I13" s="50"/>
      <c r="K13" s="52"/>
      <c r="L13" s="53"/>
      <c r="M13" s="53"/>
      <c r="N13" s="53"/>
      <c r="O13" s="53"/>
      <c r="P13" s="53"/>
    </row>
    <row r="14" ht="48.75" customHeight="1">
      <c r="A14" s="74" t="str">
        <f>IFERROR(__xludf.DUMMYFUNCTION("""COMPUTED_VALUE"""),"AD049 - Flip + Canetão PBB-ABR-26")</f>
        <v>AD049 - Flip + Canetão PBB-ABR-26</v>
      </c>
      <c r="B14" s="34"/>
      <c r="C14" s="39">
        <v>4893.7699999999995</v>
      </c>
      <c r="D14" s="40">
        <v>203.0</v>
      </c>
      <c r="E14" s="41">
        <v>24.10724137931034</v>
      </c>
      <c r="F14" s="42">
        <v>0.0</v>
      </c>
      <c r="G14" s="43">
        <v>0.0</v>
      </c>
      <c r="H14" s="44">
        <v>0.0</v>
      </c>
      <c r="I14" s="50"/>
      <c r="K14" s="52"/>
      <c r="L14" s="53"/>
      <c r="M14" s="53"/>
      <c r="N14" s="53"/>
      <c r="O14" s="53"/>
      <c r="P14" s="53"/>
    </row>
    <row r="15" ht="48.75" customHeight="1">
      <c r="A15" s="74" t="str">
        <f>IFERROR(__xludf.DUMMYFUNCTION("""COMPUTED_VALUE"""),"AD091 - Dois personagens violão - PBB-ABR-26")</f>
        <v>AD091 - Dois personagens violão - PBB-ABR-26</v>
      </c>
      <c r="B15" s="34"/>
      <c r="C15" s="39">
        <v>4893.7699999999995</v>
      </c>
      <c r="D15" s="40">
        <v>43.0</v>
      </c>
      <c r="E15" s="41">
        <v>113.80860465116278</v>
      </c>
      <c r="F15" s="42">
        <v>2.0</v>
      </c>
      <c r="G15" s="43">
        <v>2446.8849999999998</v>
      </c>
      <c r="H15" s="44">
        <v>0.6435324913103805</v>
      </c>
      <c r="I15" s="50"/>
      <c r="K15" s="52"/>
      <c r="L15" s="53"/>
      <c r="M15" s="53"/>
      <c r="N15" s="53"/>
      <c r="O15" s="53"/>
      <c r="P15" s="53"/>
    </row>
    <row r="16" ht="48.75" customHeight="1">
      <c r="A16" s="74" t="str">
        <f>IFERROR(__xludf.DUMMYFUNCTION("""COMPUTED_VALUE"""),"AD093 - Dois personagens casa do Thales - PBB-ABR-26")</f>
        <v>AD093 - Dois personagens casa do Thales - PBB-ABR-26</v>
      </c>
      <c r="B16" s="34"/>
      <c r="C16" s="39">
        <v>4893.7699999999995</v>
      </c>
      <c r="D16" s="40">
        <v>10.0</v>
      </c>
      <c r="E16" s="41">
        <v>489.37699999999995</v>
      </c>
      <c r="F16" s="42">
        <v>3.0</v>
      </c>
      <c r="G16" s="43">
        <v>1631.2566666666664</v>
      </c>
      <c r="H16" s="44">
        <v>0.9652987369655708</v>
      </c>
      <c r="I16" s="50"/>
      <c r="K16" s="52"/>
      <c r="L16" s="53"/>
      <c r="M16" s="53"/>
      <c r="N16" s="53"/>
      <c r="O16" s="53"/>
      <c r="P16" s="53"/>
    </row>
    <row r="17" ht="48.75" customHeight="1">
      <c r="A17" s="74" t="str">
        <f>IFERROR(__xludf.DUMMYFUNCTION("""COMPUTED_VALUE"""),"AD112 - Dois personagens - Brabo+ legenda - PBB-ABR-26")</f>
        <v>AD112 - Dois personagens - Brabo+ legenda - PBB-ABR-26</v>
      </c>
      <c r="B17" s="34"/>
      <c r="C17" s="39">
        <v>4893.7699999999995</v>
      </c>
      <c r="D17" s="40">
        <v>370.0</v>
      </c>
      <c r="E17" s="41">
        <v>13.226405405405405</v>
      </c>
      <c r="F17" s="42">
        <v>1.0</v>
      </c>
      <c r="G17" s="43">
        <v>4893.7699999999995</v>
      </c>
      <c r="H17" s="44">
        <v>0.32176624565519024</v>
      </c>
      <c r="I17" s="50"/>
      <c r="K17" s="52"/>
      <c r="L17" s="53"/>
      <c r="M17" s="53"/>
      <c r="N17" s="53"/>
      <c r="O17" s="53"/>
      <c r="P17" s="53"/>
    </row>
    <row r="18" ht="48.75" customHeight="1">
      <c r="A18" s="74" t="str">
        <f>IFERROR(__xludf.DUMMYFUNCTION("""COMPUTED_VALUE"""),"AD110 - Banco do Brasil 2 - cx nova - PBB-ABR-26")</f>
        <v>AD110 - Banco do Brasil 2 - cx nova - PBB-ABR-26</v>
      </c>
      <c r="B18" s="34"/>
      <c r="C18" s="39">
        <v>4893.7699999999995</v>
      </c>
      <c r="D18" s="40">
        <v>8053.0</v>
      </c>
      <c r="E18" s="41">
        <v>0.607695268843909</v>
      </c>
      <c r="F18" s="42"/>
      <c r="G18" s="43">
        <v>0.0</v>
      </c>
      <c r="H18" s="44">
        <v>0.0</v>
      </c>
      <c r="I18" s="50"/>
      <c r="K18" s="52"/>
      <c r="L18" s="53"/>
      <c r="M18" s="53"/>
      <c r="N18" s="53"/>
      <c r="O18" s="53"/>
      <c r="P18" s="53"/>
    </row>
    <row r="19" ht="48.75" customHeight="1">
      <c r="A19" s="74" t="str">
        <f>IFERROR(__xludf.DUMMYFUNCTION("""COMPUTED_VALUE"""),"AD107 - Imagem apostilas - PBB-ABR-26")</f>
        <v>AD107 - Imagem apostilas - PBB-ABR-26</v>
      </c>
      <c r="B19" s="34"/>
      <c r="C19" s="39">
        <v>4893.7699999999995</v>
      </c>
      <c r="D19" s="40">
        <v>1865.0</v>
      </c>
      <c r="E19" s="41">
        <v>2.6240053619302945</v>
      </c>
      <c r="F19" s="42">
        <v>4.0</v>
      </c>
      <c r="G19" s="43">
        <v>1223.4424999999999</v>
      </c>
      <c r="H19" s="44">
        <v>1.287064982620761</v>
      </c>
      <c r="I19" s="50"/>
      <c r="K19" s="52"/>
      <c r="L19" s="53"/>
      <c r="M19" s="53"/>
      <c r="N19" s="53"/>
      <c r="O19" s="53"/>
      <c r="P19" s="53"/>
    </row>
    <row r="20" ht="48.75" customHeight="1">
      <c r="A20" s="74" t="str">
        <f>IFERROR(__xludf.DUMMYFUNCTION("""COMPUTED_VALUE"""),"AD108 - Imagem apostilas - PBB-ABR-26")</f>
        <v>AD108 - Imagem apostilas - PBB-ABR-26</v>
      </c>
      <c r="B20" s="34"/>
      <c r="C20" s="39">
        <v>4893.7699999999995</v>
      </c>
      <c r="D20" s="40">
        <v>651.0</v>
      </c>
      <c r="E20" s="41">
        <v>7.517311827956989</v>
      </c>
      <c r="F20" s="42"/>
      <c r="G20" s="43">
        <v>0.0</v>
      </c>
      <c r="H20" s="44">
        <v>0.0</v>
      </c>
      <c r="I20" s="50"/>
      <c r="K20" s="52"/>
      <c r="L20" s="53"/>
      <c r="M20" s="53"/>
      <c r="N20" s="53"/>
      <c r="O20" s="53"/>
      <c r="P20" s="53"/>
    </row>
    <row r="21" ht="48.75" customHeight="1">
      <c r="A21" s="74" t="str">
        <f>IFERROR(__xludf.DUMMYFUNCTION("""COMPUTED_VALUE"""),"AD100 - Tudo em 1 minuto + legenda - PBB-ABR-26")</f>
        <v>AD100 - Tudo em 1 minuto + legenda - PBB-ABR-26</v>
      </c>
      <c r="B21" s="34"/>
      <c r="C21" s="39">
        <v>4893.7699999999995</v>
      </c>
      <c r="D21" s="40">
        <v>1878.0</v>
      </c>
      <c r="E21" s="41">
        <v>2.6058413205537803</v>
      </c>
      <c r="F21" s="42"/>
      <c r="G21" s="43">
        <v>0.0</v>
      </c>
      <c r="H21" s="44">
        <v>0.0</v>
      </c>
      <c r="I21" s="50"/>
      <c r="K21" s="52"/>
      <c r="L21" s="53"/>
      <c r="M21" s="53"/>
      <c r="N21" s="53"/>
      <c r="O21" s="53"/>
      <c r="P21" s="53"/>
    </row>
    <row r="22" ht="48.75" customHeight="1">
      <c r="A22" s="74" t="str">
        <f>IFERROR(__xludf.DUMMYFUNCTION("""COMPUTED_VALUE"""),"AD054 - Banco do Brasil + IA - PBB-ABR-26")</f>
        <v>AD054 - Banco do Brasil + IA - PBB-ABR-26</v>
      </c>
      <c r="B22" s="34"/>
      <c r="C22" s="39">
        <v>4893.7699999999995</v>
      </c>
      <c r="D22" s="40">
        <v>11671.0</v>
      </c>
      <c r="E22" s="41">
        <v>0.41931025619055773</v>
      </c>
      <c r="F22" s="42">
        <v>2.0</v>
      </c>
      <c r="G22" s="43">
        <v>2446.8849999999998</v>
      </c>
      <c r="H22" s="44">
        <v>0.6435324913103805</v>
      </c>
      <c r="I22" s="50"/>
      <c r="K22" s="52"/>
      <c r="L22" s="53"/>
      <c r="M22" s="53"/>
      <c r="N22" s="53"/>
      <c r="O22" s="53"/>
      <c r="P22" s="53"/>
    </row>
    <row r="23" ht="48.75" customHeight="1">
      <c r="A23" s="74" t="str">
        <f>IFERROR(__xludf.DUMMYFUNCTION("""COMPUTED_VALUE"""),"AD114 - Flip chart colorido Estúdio - PBB-ABR-26")</f>
        <v>AD114 - Flip chart colorido Estúdio - PBB-ABR-26</v>
      </c>
      <c r="B23" s="34"/>
      <c r="C23" s="39">
        <v>4893.7699999999995</v>
      </c>
      <c r="D23" s="40">
        <v>11.0</v>
      </c>
      <c r="E23" s="41">
        <v>444.88818181818175</v>
      </c>
      <c r="F23" s="42"/>
      <c r="G23" s="43">
        <v>0.0</v>
      </c>
      <c r="H23" s="44">
        <v>0.0</v>
      </c>
      <c r="I23" s="50"/>
      <c r="K23" s="52"/>
      <c r="L23" s="53"/>
      <c r="M23" s="53"/>
      <c r="N23" s="53"/>
      <c r="O23" s="53"/>
      <c r="P23" s="53"/>
    </row>
    <row r="24" ht="48.75" customHeight="1">
      <c r="A24" s="74" t="str">
        <f>IFERROR(__xludf.DUMMYFUNCTION("""COMPUTED_VALUE"""),"AD115 - Banco do Brasil Reels - PBB-ABR-26")</f>
        <v>AD115 - Banco do Brasil Reels - PBB-ABR-26</v>
      </c>
      <c r="B24" s="34"/>
      <c r="C24" s="39">
        <v>4893.7699999999995</v>
      </c>
      <c r="D24" s="40">
        <v>309.0</v>
      </c>
      <c r="E24" s="41">
        <v>15.83744336569579</v>
      </c>
      <c r="F24" s="42"/>
      <c r="G24" s="43">
        <v>0.0</v>
      </c>
      <c r="H24" s="44">
        <v>0.0</v>
      </c>
      <c r="I24" s="50"/>
      <c r="K24" s="52"/>
      <c r="L24" s="53"/>
      <c r="M24" s="53"/>
      <c r="N24" s="53"/>
      <c r="O24" s="53"/>
      <c r="P24" s="53"/>
    </row>
    <row r="25" ht="48.75" customHeight="1">
      <c r="A25" s="74" t="str">
        <f>IFERROR(__xludf.DUMMYFUNCTION("""COMPUTED_VALUE"""),"AD116 - Banco do Brasil Reels - PBB-ABR-26")</f>
        <v>AD116 - Banco do Brasil Reels - PBB-ABR-26</v>
      </c>
      <c r="B25" s="34"/>
      <c r="C25" s="39">
        <v>4893.7699999999995</v>
      </c>
      <c r="D25" s="40">
        <v>11.0</v>
      </c>
      <c r="E25" s="41">
        <v>444.88818181818175</v>
      </c>
      <c r="F25" s="42">
        <v>0.0</v>
      </c>
      <c r="G25" s="43">
        <v>0.0</v>
      </c>
      <c r="H25" s="44">
        <v>0.0</v>
      </c>
      <c r="I25" s="50"/>
      <c r="K25" s="52"/>
      <c r="L25" s="53"/>
      <c r="M25" s="53"/>
      <c r="N25" s="53"/>
      <c r="O25" s="53"/>
      <c r="P25" s="53"/>
    </row>
    <row r="26" ht="48.75" customHeight="1">
      <c r="A26" s="55"/>
      <c r="B26" s="34" t="s">
        <v>30</v>
      </c>
      <c r="C26" s="39" t="s">
        <v>30</v>
      </c>
      <c r="D26" s="40" t="s">
        <v>30</v>
      </c>
      <c r="E26" s="41" t="s">
        <v>30</v>
      </c>
      <c r="F26" s="42">
        <v>0.0</v>
      </c>
      <c r="G26" s="43" t="s">
        <v>30</v>
      </c>
      <c r="H26" s="44" t="s">
        <v>30</v>
      </c>
      <c r="I26" s="50"/>
      <c r="K26" s="52"/>
      <c r="L26" s="53"/>
      <c r="M26" s="53"/>
      <c r="N26" s="53"/>
      <c r="O26" s="53"/>
      <c r="P26" s="53"/>
    </row>
    <row r="27" ht="48.75" customHeight="1">
      <c r="A27" s="55"/>
      <c r="B27" s="34" t="s">
        <v>30</v>
      </c>
      <c r="C27" s="39" t="s">
        <v>30</v>
      </c>
      <c r="D27" s="40" t="s">
        <v>30</v>
      </c>
      <c r="E27" s="41" t="s">
        <v>30</v>
      </c>
      <c r="F27" s="42">
        <v>0.0</v>
      </c>
      <c r="G27" s="43" t="s">
        <v>30</v>
      </c>
      <c r="H27" s="44" t="s">
        <v>30</v>
      </c>
      <c r="I27" s="50"/>
      <c r="K27" s="52"/>
      <c r="L27" s="53"/>
      <c r="M27" s="53"/>
      <c r="N27" s="53"/>
      <c r="O27" s="53"/>
      <c r="P27" s="53"/>
    </row>
    <row r="28" ht="48.75" customHeight="1">
      <c r="A28" s="55"/>
      <c r="B28" s="34" t="s">
        <v>30</v>
      </c>
      <c r="C28" s="39" t="s">
        <v>30</v>
      </c>
      <c r="D28" s="40" t="s">
        <v>30</v>
      </c>
      <c r="E28" s="41" t="s">
        <v>30</v>
      </c>
      <c r="F28" s="42"/>
      <c r="G28" s="43" t="s">
        <v>30</v>
      </c>
      <c r="H28" s="44" t="s">
        <v>30</v>
      </c>
      <c r="I28" s="50"/>
      <c r="K28" s="52"/>
      <c r="L28" s="53"/>
      <c r="M28" s="53"/>
      <c r="N28" s="53"/>
      <c r="O28" s="53"/>
      <c r="P28" s="53"/>
    </row>
    <row r="29" ht="48.75" customHeight="1">
      <c r="A29" s="55"/>
      <c r="B29" s="34" t="s">
        <v>30</v>
      </c>
      <c r="C29" s="39" t="s">
        <v>30</v>
      </c>
      <c r="D29" s="40" t="s">
        <v>30</v>
      </c>
      <c r="E29" s="41" t="s">
        <v>30</v>
      </c>
      <c r="F29" s="42">
        <v>0.0</v>
      </c>
      <c r="G29" s="43" t="s">
        <v>30</v>
      </c>
      <c r="H29" s="44" t="s">
        <v>30</v>
      </c>
      <c r="I29" s="50"/>
      <c r="K29" s="52"/>
      <c r="L29" s="53"/>
      <c r="M29" s="53"/>
      <c r="N29" s="53"/>
      <c r="O29" s="53"/>
      <c r="P29" s="53"/>
    </row>
    <row r="30" ht="48.75" customHeight="1">
      <c r="A30" s="56"/>
      <c r="B30" s="35" t="s">
        <v>30</v>
      </c>
      <c r="C30" s="60" t="s">
        <v>30</v>
      </c>
      <c r="D30" s="61" t="s">
        <v>30</v>
      </c>
      <c r="E30" s="60" t="s">
        <v>30</v>
      </c>
      <c r="F30" s="62"/>
      <c r="G30" s="63" t="s">
        <v>30</v>
      </c>
      <c r="H30" s="44" t="s">
        <v>30</v>
      </c>
      <c r="I30" s="50"/>
    </row>
    <row r="31" ht="48.75" customHeight="1">
      <c r="A31" s="71"/>
      <c r="B31" s="35" t="s">
        <v>30</v>
      </c>
      <c r="C31" s="60" t="s">
        <v>30</v>
      </c>
      <c r="D31" s="61" t="s">
        <v>30</v>
      </c>
      <c r="E31" s="60" t="s">
        <v>30</v>
      </c>
      <c r="F31" s="62">
        <v>0.0</v>
      </c>
      <c r="G31" s="63" t="s">
        <v>30</v>
      </c>
      <c r="H31" s="44" t="s">
        <v>30</v>
      </c>
      <c r="I31" s="50"/>
    </row>
    <row r="32" ht="48.75" customHeight="1">
      <c r="A32" s="56"/>
      <c r="B32" s="35" t="s">
        <v>30</v>
      </c>
      <c r="C32" s="60" t="s">
        <v>30</v>
      </c>
      <c r="D32" s="61" t="s">
        <v>30</v>
      </c>
      <c r="E32" s="60" t="s">
        <v>30</v>
      </c>
      <c r="F32" s="62"/>
      <c r="G32" s="63" t="s">
        <v>30</v>
      </c>
      <c r="H32" s="44" t="s">
        <v>30</v>
      </c>
      <c r="I32" s="50"/>
    </row>
    <row r="33" ht="48.75" customHeight="1">
      <c r="A33" s="71"/>
      <c r="B33" s="35" t="s">
        <v>30</v>
      </c>
      <c r="C33" s="60" t="s">
        <v>30</v>
      </c>
      <c r="D33" s="61" t="s">
        <v>30</v>
      </c>
      <c r="E33" s="60" t="s">
        <v>30</v>
      </c>
      <c r="F33" s="62"/>
      <c r="G33" s="63" t="s">
        <v>30</v>
      </c>
      <c r="H33" s="44" t="s">
        <v>30</v>
      </c>
      <c r="I33" s="50"/>
    </row>
    <row r="34" ht="48.75" customHeight="1">
      <c r="A34" s="56"/>
      <c r="B34" s="35" t="s">
        <v>30</v>
      </c>
      <c r="C34" s="60" t="s">
        <v>30</v>
      </c>
      <c r="D34" s="61" t="s">
        <v>30</v>
      </c>
      <c r="E34" s="60" t="s">
        <v>30</v>
      </c>
      <c r="F34" s="62">
        <v>0.0</v>
      </c>
      <c r="G34" s="63" t="s">
        <v>30</v>
      </c>
      <c r="H34" s="44" t="s">
        <v>30</v>
      </c>
      <c r="I34" s="50"/>
    </row>
    <row r="35" ht="48.75" customHeight="1">
      <c r="A35" s="56"/>
      <c r="B35" s="35" t="s">
        <v>30</v>
      </c>
      <c r="C35" s="60" t="s">
        <v>30</v>
      </c>
      <c r="D35" s="61" t="s">
        <v>30</v>
      </c>
      <c r="E35" s="60" t="s">
        <v>30</v>
      </c>
      <c r="F35" s="62">
        <v>0.0</v>
      </c>
      <c r="G35" s="63" t="s">
        <v>30</v>
      </c>
      <c r="H35" s="44" t="s">
        <v>30</v>
      </c>
      <c r="I35" s="50"/>
    </row>
    <row r="36" ht="48.75" customHeight="1">
      <c r="A36" s="56"/>
      <c r="B36" s="35" t="s">
        <v>30</v>
      </c>
      <c r="C36" s="60" t="s">
        <v>30</v>
      </c>
      <c r="D36" s="61" t="s">
        <v>30</v>
      </c>
      <c r="E36" s="60" t="s">
        <v>30</v>
      </c>
      <c r="F36" s="62"/>
      <c r="G36" s="63" t="s">
        <v>30</v>
      </c>
      <c r="H36" s="44" t="s">
        <v>30</v>
      </c>
      <c r="I36" s="50"/>
    </row>
    <row r="37" ht="48.75" customHeight="1">
      <c r="A37" s="56"/>
      <c r="B37" s="35" t="s">
        <v>30</v>
      </c>
      <c r="C37" s="60" t="s">
        <v>30</v>
      </c>
      <c r="D37" s="61" t="s">
        <v>30</v>
      </c>
      <c r="E37" s="60" t="s">
        <v>30</v>
      </c>
      <c r="F37" s="62"/>
      <c r="G37" s="63" t="s">
        <v>30</v>
      </c>
      <c r="H37" s="44" t="s">
        <v>30</v>
      </c>
      <c r="I37" s="50"/>
    </row>
    <row r="38" ht="48.75" customHeight="1">
      <c r="A38" s="56"/>
      <c r="B38" s="35" t="s">
        <v>30</v>
      </c>
      <c r="C38" s="60" t="s">
        <v>30</v>
      </c>
      <c r="D38" s="61" t="s">
        <v>30</v>
      </c>
      <c r="E38" s="60" t="s">
        <v>30</v>
      </c>
      <c r="F38" s="62"/>
      <c r="G38" s="63" t="s">
        <v>30</v>
      </c>
      <c r="H38" s="44" t="s">
        <v>30</v>
      </c>
      <c r="I38" s="50"/>
    </row>
    <row r="39" ht="48.75" customHeight="1">
      <c r="A39" s="56"/>
      <c r="B39" s="35" t="s">
        <v>30</v>
      </c>
      <c r="C39" s="60" t="s">
        <v>30</v>
      </c>
      <c r="D39" s="61" t="s">
        <v>30</v>
      </c>
      <c r="E39" s="60" t="s">
        <v>30</v>
      </c>
      <c r="F39" s="62"/>
      <c r="G39" s="63" t="s">
        <v>30</v>
      </c>
      <c r="H39" s="44" t="s">
        <v>30</v>
      </c>
      <c r="I39" s="70"/>
    </row>
    <row r="40" ht="48.75" customHeight="1">
      <c r="A40" s="56"/>
      <c r="B40" s="35" t="s">
        <v>30</v>
      </c>
      <c r="C40" s="60" t="s">
        <v>30</v>
      </c>
      <c r="D40" s="61" t="s">
        <v>30</v>
      </c>
      <c r="E40" s="60" t="s">
        <v>30</v>
      </c>
      <c r="F40" s="62"/>
      <c r="G40" s="63" t="s">
        <v>30</v>
      </c>
      <c r="H40" s="44" t="s">
        <v>30</v>
      </c>
      <c r="I40" s="50"/>
    </row>
    <row r="41" ht="48.75" customHeight="1">
      <c r="A41" s="56"/>
      <c r="B41" s="35" t="s">
        <v>30</v>
      </c>
      <c r="C41" s="60" t="s">
        <v>30</v>
      </c>
      <c r="D41" s="61" t="s">
        <v>30</v>
      </c>
      <c r="E41" s="60" t="s">
        <v>30</v>
      </c>
      <c r="F41" s="62"/>
      <c r="G41" s="63" t="s">
        <v>30</v>
      </c>
      <c r="H41" s="44" t="s">
        <v>30</v>
      </c>
      <c r="I41" s="50"/>
    </row>
    <row r="42" ht="48.75" customHeight="1">
      <c r="A42" s="56"/>
      <c r="B42" s="35" t="s">
        <v>30</v>
      </c>
      <c r="C42" s="60" t="s">
        <v>30</v>
      </c>
      <c r="D42" s="61" t="s">
        <v>30</v>
      </c>
      <c r="E42" s="60" t="s">
        <v>30</v>
      </c>
      <c r="F42" s="62"/>
      <c r="G42" s="63" t="s">
        <v>30</v>
      </c>
      <c r="H42" s="44" t="s">
        <v>30</v>
      </c>
      <c r="I42" s="70"/>
    </row>
    <row r="43" ht="48.75" customHeight="1">
      <c r="A43" s="71"/>
      <c r="B43" s="35" t="s">
        <v>30</v>
      </c>
      <c r="C43" s="60" t="s">
        <v>30</v>
      </c>
      <c r="D43" s="61" t="s">
        <v>30</v>
      </c>
      <c r="E43" s="60" t="s">
        <v>30</v>
      </c>
      <c r="F43" s="62"/>
      <c r="G43" s="63" t="s">
        <v>30</v>
      </c>
      <c r="H43" s="44" t="s">
        <v>30</v>
      </c>
      <c r="I43" s="50"/>
    </row>
    <row r="44" ht="48.75" customHeight="1">
      <c r="A44" s="71"/>
      <c r="B44" s="35" t="s">
        <v>30</v>
      </c>
      <c r="C44" s="60" t="s">
        <v>30</v>
      </c>
      <c r="D44" s="61" t="s">
        <v>30</v>
      </c>
      <c r="E44" s="60" t="s">
        <v>30</v>
      </c>
      <c r="F44" s="62"/>
      <c r="G44" s="63" t="s">
        <v>30</v>
      </c>
      <c r="H44" s="44" t="s">
        <v>30</v>
      </c>
      <c r="I44" s="50"/>
    </row>
    <row r="45" ht="48.75" customHeight="1">
      <c r="A45" s="56"/>
      <c r="B45" s="35" t="s">
        <v>30</v>
      </c>
      <c r="C45" s="60" t="s">
        <v>30</v>
      </c>
      <c r="D45" s="61" t="s">
        <v>30</v>
      </c>
      <c r="E45" s="60" t="s">
        <v>30</v>
      </c>
      <c r="F45" s="62"/>
      <c r="G45" s="63" t="s">
        <v>30</v>
      </c>
      <c r="H45" s="44" t="s">
        <v>30</v>
      </c>
      <c r="I45" s="50"/>
    </row>
    <row r="46" ht="48.75" customHeight="1">
      <c r="A46" s="56"/>
      <c r="B46" s="35" t="s">
        <v>30</v>
      </c>
      <c r="C46" s="60" t="s">
        <v>30</v>
      </c>
      <c r="D46" s="61" t="s">
        <v>30</v>
      </c>
      <c r="E46" s="60" t="s">
        <v>30</v>
      </c>
      <c r="F46" s="62"/>
      <c r="G46" s="63" t="s">
        <v>30</v>
      </c>
      <c r="H46" s="44" t="s">
        <v>30</v>
      </c>
      <c r="I46" s="50"/>
    </row>
    <row r="47" ht="48.75" customHeight="1">
      <c r="A47" s="56"/>
      <c r="B47" s="35" t="s">
        <v>30</v>
      </c>
      <c r="C47" s="60" t="s">
        <v>30</v>
      </c>
      <c r="D47" s="61" t="s">
        <v>30</v>
      </c>
      <c r="E47" s="60" t="s">
        <v>30</v>
      </c>
      <c r="F47" s="62"/>
      <c r="G47" s="63" t="s">
        <v>30</v>
      </c>
      <c r="H47" s="44" t="s">
        <v>30</v>
      </c>
      <c r="I47" s="50"/>
    </row>
    <row r="48" ht="48.75" customHeight="1">
      <c r="A48" s="56"/>
      <c r="B48" s="35" t="s">
        <v>30</v>
      </c>
      <c r="C48" s="60" t="s">
        <v>30</v>
      </c>
      <c r="D48" s="61" t="s">
        <v>30</v>
      </c>
      <c r="E48" s="60" t="s">
        <v>30</v>
      </c>
      <c r="F48" s="62"/>
      <c r="G48" s="63" t="s">
        <v>30</v>
      </c>
      <c r="H48" s="44" t="s">
        <v>30</v>
      </c>
      <c r="I48" s="50"/>
    </row>
    <row r="49" ht="48.75" customHeight="1">
      <c r="A49" s="56"/>
      <c r="B49" s="35" t="s">
        <v>30</v>
      </c>
      <c r="C49" s="60" t="s">
        <v>30</v>
      </c>
      <c r="D49" s="61" t="s">
        <v>30</v>
      </c>
      <c r="E49" s="60" t="s">
        <v>30</v>
      </c>
      <c r="F49" s="62"/>
      <c r="G49" s="63" t="s">
        <v>30</v>
      </c>
      <c r="H49" s="44" t="s">
        <v>30</v>
      </c>
      <c r="I49" s="50"/>
    </row>
    <row r="50" ht="48.75" customHeight="1">
      <c r="A50" s="56"/>
      <c r="B50" s="35" t="s">
        <v>30</v>
      </c>
      <c r="C50" s="60" t="s">
        <v>30</v>
      </c>
      <c r="D50" s="61" t="s">
        <v>30</v>
      </c>
      <c r="E50" s="60" t="s">
        <v>30</v>
      </c>
      <c r="F50" s="62"/>
      <c r="G50" s="63" t="s">
        <v>30</v>
      </c>
      <c r="H50" s="44" t="s">
        <v>30</v>
      </c>
      <c r="I50" s="70"/>
    </row>
    <row r="51" ht="48.75" customHeight="1">
      <c r="A51" s="56"/>
      <c r="B51" s="35" t="s">
        <v>30</v>
      </c>
      <c r="C51" s="60" t="s">
        <v>30</v>
      </c>
      <c r="D51" s="61" t="s">
        <v>30</v>
      </c>
      <c r="E51" s="60" t="s">
        <v>30</v>
      </c>
      <c r="F51" s="62"/>
      <c r="G51" s="63" t="s">
        <v>30</v>
      </c>
      <c r="H51" s="44" t="s">
        <v>30</v>
      </c>
      <c r="I51" s="50"/>
    </row>
    <row r="52" ht="48.75" customHeight="1">
      <c r="A52" s="56"/>
      <c r="B52" s="35" t="s">
        <v>30</v>
      </c>
      <c r="C52" s="60" t="s">
        <v>30</v>
      </c>
      <c r="D52" s="61" t="s">
        <v>30</v>
      </c>
      <c r="E52" s="60" t="s">
        <v>30</v>
      </c>
      <c r="F52" s="62"/>
      <c r="G52" s="63" t="s">
        <v>30</v>
      </c>
      <c r="H52" s="44" t="s">
        <v>30</v>
      </c>
      <c r="I52" s="70"/>
    </row>
    <row r="53" ht="48.75" customHeight="1">
      <c r="A53" s="56"/>
      <c r="B53" s="35" t="s">
        <v>30</v>
      </c>
      <c r="C53" s="60" t="s">
        <v>30</v>
      </c>
      <c r="D53" s="61" t="s">
        <v>30</v>
      </c>
      <c r="E53" s="60" t="s">
        <v>30</v>
      </c>
      <c r="F53" s="62"/>
      <c r="G53" s="63" t="s">
        <v>30</v>
      </c>
      <c r="H53" s="44" t="s">
        <v>30</v>
      </c>
      <c r="I53" s="50"/>
    </row>
    <row r="54" ht="48.75" customHeight="1">
      <c r="A54" s="56"/>
      <c r="B54" s="35" t="s">
        <v>30</v>
      </c>
      <c r="C54" s="60" t="s">
        <v>30</v>
      </c>
      <c r="D54" s="61" t="s">
        <v>30</v>
      </c>
      <c r="E54" s="60" t="s">
        <v>30</v>
      </c>
      <c r="F54" s="62"/>
      <c r="G54" s="63" t="s">
        <v>30</v>
      </c>
      <c r="H54" s="44" t="s">
        <v>30</v>
      </c>
      <c r="I54" s="50"/>
    </row>
    <row r="55" ht="48.75" customHeight="1">
      <c r="A55" s="56"/>
      <c r="B55" s="35" t="s">
        <v>30</v>
      </c>
      <c r="C55" s="60" t="s">
        <v>30</v>
      </c>
      <c r="D55" s="61" t="s">
        <v>30</v>
      </c>
      <c r="E55" s="60" t="s">
        <v>30</v>
      </c>
      <c r="F55" s="62"/>
      <c r="G55" s="63" t="s">
        <v>30</v>
      </c>
      <c r="H55" s="44" t="s">
        <v>30</v>
      </c>
      <c r="I55" s="50"/>
    </row>
    <row r="56" ht="48.75" customHeight="1">
      <c r="A56" s="56"/>
      <c r="B56" s="37" t="s">
        <v>30</v>
      </c>
      <c r="C56" s="60" t="s">
        <v>30</v>
      </c>
      <c r="D56" s="61" t="s">
        <v>30</v>
      </c>
      <c r="E56" s="60" t="s">
        <v>30</v>
      </c>
      <c r="F56" s="62"/>
      <c r="G56" s="63" t="s">
        <v>30</v>
      </c>
      <c r="H56" s="44" t="s">
        <v>30</v>
      </c>
      <c r="I56" s="70"/>
    </row>
    <row r="57" ht="48.75" customHeight="1">
      <c r="A57" s="56"/>
      <c r="B57" s="35" t="s">
        <v>30</v>
      </c>
      <c r="C57" s="60" t="s">
        <v>30</v>
      </c>
      <c r="D57" s="61" t="s">
        <v>30</v>
      </c>
      <c r="E57" s="60" t="s">
        <v>30</v>
      </c>
      <c r="F57" s="62"/>
      <c r="G57" s="63" t="s">
        <v>30</v>
      </c>
      <c r="H57" s="44" t="s">
        <v>30</v>
      </c>
      <c r="I57" s="70"/>
    </row>
    <row r="58" ht="48.75" customHeight="1">
      <c r="A58" s="56"/>
      <c r="B58" s="35" t="s">
        <v>30</v>
      </c>
      <c r="C58" s="60" t="s">
        <v>30</v>
      </c>
      <c r="D58" s="61" t="s">
        <v>30</v>
      </c>
      <c r="E58" s="60" t="s">
        <v>30</v>
      </c>
      <c r="F58" s="62"/>
      <c r="G58" s="63" t="s">
        <v>30</v>
      </c>
      <c r="H58" s="44" t="s">
        <v>30</v>
      </c>
      <c r="I58" s="50"/>
    </row>
    <row r="59" ht="48.75" customHeight="1">
      <c r="A59" s="56"/>
      <c r="B59" s="35" t="s">
        <v>30</v>
      </c>
      <c r="C59" s="60" t="s">
        <v>30</v>
      </c>
      <c r="D59" s="61" t="s">
        <v>30</v>
      </c>
      <c r="E59" s="60" t="s">
        <v>30</v>
      </c>
      <c r="F59" s="62"/>
      <c r="G59" s="63" t="s">
        <v>30</v>
      </c>
      <c r="H59" s="44" t="s">
        <v>30</v>
      </c>
      <c r="I59" s="50"/>
    </row>
    <row r="60" ht="48.75" customHeight="1">
      <c r="A60" s="56"/>
      <c r="B60" s="35" t="s">
        <v>30</v>
      </c>
      <c r="C60" s="60" t="s">
        <v>30</v>
      </c>
      <c r="D60" s="61" t="s">
        <v>30</v>
      </c>
      <c r="E60" s="60" t="s">
        <v>30</v>
      </c>
      <c r="F60" s="62"/>
      <c r="G60" s="63" t="s">
        <v>30</v>
      </c>
      <c r="H60" s="44" t="s">
        <v>30</v>
      </c>
      <c r="I60" s="70"/>
    </row>
    <row r="61" ht="48.75" customHeight="1">
      <c r="A61" s="71"/>
      <c r="B61" s="35" t="s">
        <v>30</v>
      </c>
      <c r="C61" s="60" t="s">
        <v>30</v>
      </c>
      <c r="D61" s="61" t="s">
        <v>30</v>
      </c>
      <c r="E61" s="60" t="s">
        <v>30</v>
      </c>
      <c r="F61" s="62"/>
      <c r="G61" s="63" t="s">
        <v>30</v>
      </c>
      <c r="H61" s="44" t="s">
        <v>30</v>
      </c>
      <c r="I61" s="50"/>
    </row>
    <row r="62" ht="48.75" customHeight="1">
      <c r="A62" s="71"/>
      <c r="B62" s="35" t="s">
        <v>30</v>
      </c>
      <c r="C62" s="60" t="s">
        <v>30</v>
      </c>
      <c r="D62" s="61" t="s">
        <v>30</v>
      </c>
      <c r="E62" s="60" t="s">
        <v>30</v>
      </c>
      <c r="F62" s="62"/>
      <c r="G62" s="63" t="s">
        <v>30</v>
      </c>
      <c r="H62" s="44" t="s">
        <v>30</v>
      </c>
      <c r="I62" s="50"/>
    </row>
    <row r="63" ht="48.75" customHeight="1">
      <c r="A63" s="56"/>
      <c r="B63" s="35" t="s">
        <v>30</v>
      </c>
      <c r="C63" s="60" t="s">
        <v>30</v>
      </c>
      <c r="D63" s="61" t="s">
        <v>30</v>
      </c>
      <c r="E63" s="60" t="s">
        <v>30</v>
      </c>
      <c r="F63" s="62"/>
      <c r="G63" s="63" t="s">
        <v>30</v>
      </c>
      <c r="H63" s="44" t="s">
        <v>30</v>
      </c>
      <c r="I63" s="50"/>
    </row>
    <row r="64" ht="48.75" customHeight="1">
      <c r="A64" s="56"/>
      <c r="B64" s="35" t="s">
        <v>30</v>
      </c>
      <c r="C64" s="60" t="s">
        <v>30</v>
      </c>
      <c r="D64" s="61" t="s">
        <v>30</v>
      </c>
      <c r="E64" s="60" t="s">
        <v>30</v>
      </c>
      <c r="F64" s="62"/>
      <c r="G64" s="63" t="s">
        <v>30</v>
      </c>
      <c r="H64" s="44" t="s">
        <v>30</v>
      </c>
      <c r="I64" s="50"/>
    </row>
    <row r="65" ht="48.75" customHeight="1">
      <c r="A65" s="71"/>
      <c r="B65" s="35" t="s">
        <v>30</v>
      </c>
      <c r="C65" s="60" t="s">
        <v>30</v>
      </c>
      <c r="D65" s="61" t="s">
        <v>30</v>
      </c>
      <c r="E65" s="60" t="s">
        <v>30</v>
      </c>
      <c r="F65" s="62"/>
      <c r="G65" s="63" t="s">
        <v>30</v>
      </c>
      <c r="H65" s="44" t="s">
        <v>30</v>
      </c>
      <c r="I65" s="50"/>
    </row>
    <row r="66" ht="48.75" customHeight="1">
      <c r="A66" s="56"/>
      <c r="B66" s="35" t="s">
        <v>30</v>
      </c>
      <c r="C66" s="60" t="s">
        <v>30</v>
      </c>
      <c r="D66" s="61" t="s">
        <v>30</v>
      </c>
      <c r="E66" s="60" t="s">
        <v>30</v>
      </c>
      <c r="F66" s="62"/>
      <c r="G66" s="63" t="s">
        <v>30</v>
      </c>
      <c r="H66" s="44" t="s">
        <v>30</v>
      </c>
      <c r="I66" s="50"/>
    </row>
    <row r="67" ht="48.75" customHeight="1">
      <c r="A67" s="71"/>
      <c r="B67" s="35" t="s">
        <v>30</v>
      </c>
      <c r="C67" s="60" t="s">
        <v>30</v>
      </c>
      <c r="D67" s="61" t="s">
        <v>30</v>
      </c>
      <c r="E67" s="60" t="s">
        <v>30</v>
      </c>
      <c r="F67" s="62"/>
      <c r="G67" s="63" t="s">
        <v>30</v>
      </c>
      <c r="H67" s="44" t="s">
        <v>30</v>
      </c>
      <c r="I67" s="70"/>
    </row>
    <row r="68" ht="48.75" customHeight="1">
      <c r="A68" s="71"/>
      <c r="B68" s="35" t="s">
        <v>30</v>
      </c>
      <c r="C68" s="60" t="s">
        <v>30</v>
      </c>
      <c r="D68" s="61" t="s">
        <v>30</v>
      </c>
      <c r="E68" s="60" t="s">
        <v>30</v>
      </c>
      <c r="F68" s="62"/>
      <c r="G68" s="63" t="s">
        <v>30</v>
      </c>
      <c r="H68" s="44" t="s">
        <v>30</v>
      </c>
      <c r="I68" s="50"/>
    </row>
    <row r="69" ht="48.75" customHeight="1">
      <c r="A69" s="71"/>
      <c r="B69" s="35" t="s">
        <v>30</v>
      </c>
      <c r="C69" s="60" t="s">
        <v>30</v>
      </c>
      <c r="D69" s="61" t="s">
        <v>30</v>
      </c>
      <c r="E69" s="60" t="s">
        <v>30</v>
      </c>
      <c r="F69" s="62"/>
      <c r="G69" s="63" t="s">
        <v>30</v>
      </c>
      <c r="H69" s="44" t="s">
        <v>30</v>
      </c>
      <c r="I69" s="50"/>
    </row>
    <row r="70" ht="48.75" customHeight="1">
      <c r="A70" s="56"/>
      <c r="B70" s="35" t="s">
        <v>30</v>
      </c>
      <c r="C70" s="60" t="s">
        <v>30</v>
      </c>
      <c r="D70" s="61" t="s">
        <v>30</v>
      </c>
      <c r="E70" s="60" t="s">
        <v>30</v>
      </c>
      <c r="F70" s="62"/>
      <c r="G70" s="63" t="s">
        <v>30</v>
      </c>
      <c r="H70" s="44" t="s">
        <v>30</v>
      </c>
      <c r="I70" s="70"/>
    </row>
    <row r="71" ht="48.75" customHeight="1">
      <c r="A71" s="56"/>
      <c r="B71" s="35" t="s">
        <v>30</v>
      </c>
      <c r="C71" s="60" t="s">
        <v>30</v>
      </c>
      <c r="D71" s="61" t="s">
        <v>30</v>
      </c>
      <c r="E71" s="60" t="s">
        <v>30</v>
      </c>
      <c r="F71" s="62"/>
      <c r="G71" s="63" t="s">
        <v>30</v>
      </c>
      <c r="H71" s="44" t="s">
        <v>30</v>
      </c>
      <c r="I71" s="70"/>
    </row>
    <row r="72" ht="48.75" customHeight="1">
      <c r="A72" s="56"/>
      <c r="B72" s="35" t="s">
        <v>30</v>
      </c>
      <c r="C72" s="60" t="s">
        <v>30</v>
      </c>
      <c r="D72" s="61" t="s">
        <v>30</v>
      </c>
      <c r="E72" s="60" t="s">
        <v>30</v>
      </c>
      <c r="F72" s="62"/>
      <c r="G72" s="63" t="s">
        <v>30</v>
      </c>
      <c r="H72" s="44" t="s">
        <v>30</v>
      </c>
      <c r="I72" s="50"/>
    </row>
    <row r="73" ht="48.75" customHeight="1">
      <c r="A73" s="71"/>
      <c r="B73" s="35" t="s">
        <v>30</v>
      </c>
      <c r="C73" s="60" t="s">
        <v>30</v>
      </c>
      <c r="D73" s="61" t="s">
        <v>30</v>
      </c>
      <c r="E73" s="60" t="s">
        <v>30</v>
      </c>
      <c r="F73" s="62"/>
      <c r="G73" s="63" t="s">
        <v>30</v>
      </c>
      <c r="H73" s="44" t="s">
        <v>30</v>
      </c>
      <c r="I73" s="50"/>
    </row>
    <row r="74" ht="48.75" customHeight="1">
      <c r="A74" s="71"/>
      <c r="B74" s="35" t="s">
        <v>30</v>
      </c>
      <c r="C74" s="60" t="s">
        <v>30</v>
      </c>
      <c r="D74" s="61" t="s">
        <v>30</v>
      </c>
      <c r="E74" s="60" t="s">
        <v>30</v>
      </c>
      <c r="F74" s="62"/>
      <c r="G74" s="63" t="s">
        <v>30</v>
      </c>
      <c r="H74" s="44" t="s">
        <v>30</v>
      </c>
      <c r="I74" s="70"/>
    </row>
    <row r="75" ht="48.75" customHeight="1">
      <c r="A75" s="71"/>
      <c r="B75" s="35" t="s">
        <v>30</v>
      </c>
      <c r="C75" s="60" t="s">
        <v>30</v>
      </c>
      <c r="D75" s="61" t="s">
        <v>30</v>
      </c>
      <c r="E75" s="60" t="s">
        <v>30</v>
      </c>
      <c r="F75" s="62"/>
      <c r="G75" s="63" t="s">
        <v>30</v>
      </c>
      <c r="H75" s="44" t="s">
        <v>30</v>
      </c>
      <c r="I75" s="50"/>
    </row>
    <row r="76" ht="48.75" customHeight="1">
      <c r="A76" s="71"/>
      <c r="B76" s="35" t="s">
        <v>30</v>
      </c>
      <c r="C76" s="60" t="s">
        <v>30</v>
      </c>
      <c r="D76" s="61" t="s">
        <v>30</v>
      </c>
      <c r="E76" s="60" t="s">
        <v>30</v>
      </c>
      <c r="F76" s="62"/>
      <c r="G76" s="63" t="s">
        <v>30</v>
      </c>
      <c r="H76" s="44" t="s">
        <v>30</v>
      </c>
      <c r="I76" s="70"/>
    </row>
    <row r="77" ht="48.75" customHeight="1">
      <c r="A77" s="71"/>
      <c r="B77" s="35" t="s">
        <v>30</v>
      </c>
      <c r="C77" s="60" t="s">
        <v>30</v>
      </c>
      <c r="D77" s="61" t="s">
        <v>30</v>
      </c>
      <c r="E77" s="60" t="s">
        <v>30</v>
      </c>
      <c r="F77" s="62"/>
      <c r="G77" s="63" t="s">
        <v>30</v>
      </c>
      <c r="H77" s="44" t="s">
        <v>30</v>
      </c>
      <c r="I77" s="70"/>
    </row>
    <row r="78" ht="48.75" customHeight="1">
      <c r="A78" s="71"/>
      <c r="B78" s="35" t="s">
        <v>30</v>
      </c>
      <c r="C78" s="60" t="s">
        <v>30</v>
      </c>
      <c r="D78" s="61" t="s">
        <v>30</v>
      </c>
      <c r="E78" s="60" t="s">
        <v>30</v>
      </c>
      <c r="F78" s="62"/>
      <c r="G78" s="63" t="s">
        <v>30</v>
      </c>
      <c r="H78" s="44" t="s">
        <v>30</v>
      </c>
      <c r="I78" s="70"/>
    </row>
    <row r="79" ht="48.75" customHeight="1">
      <c r="A79" s="71"/>
      <c r="B79" s="35" t="s">
        <v>30</v>
      </c>
      <c r="C79" s="60" t="s">
        <v>30</v>
      </c>
      <c r="D79" s="61" t="s">
        <v>30</v>
      </c>
      <c r="E79" s="60" t="s">
        <v>30</v>
      </c>
      <c r="F79" s="62"/>
      <c r="G79" s="63" t="s">
        <v>30</v>
      </c>
      <c r="H79" s="44" t="s">
        <v>30</v>
      </c>
      <c r="I79" s="70"/>
    </row>
    <row r="80" ht="48.75" customHeight="1">
      <c r="A80" s="71"/>
      <c r="B80" s="35" t="s">
        <v>30</v>
      </c>
      <c r="C80" s="60" t="s">
        <v>30</v>
      </c>
      <c r="D80" s="61" t="s">
        <v>30</v>
      </c>
      <c r="E80" s="60" t="s">
        <v>30</v>
      </c>
      <c r="F80" s="62"/>
      <c r="G80" s="63" t="s">
        <v>30</v>
      </c>
      <c r="H80" s="44" t="s">
        <v>30</v>
      </c>
      <c r="I80" s="50"/>
    </row>
    <row r="81" ht="48.75" customHeight="1">
      <c r="A81" s="71"/>
      <c r="B81" s="35" t="s">
        <v>30</v>
      </c>
      <c r="C81" s="60" t="s">
        <v>30</v>
      </c>
      <c r="D81" s="61" t="s">
        <v>30</v>
      </c>
      <c r="E81" s="60" t="s">
        <v>30</v>
      </c>
      <c r="F81" s="62"/>
      <c r="G81" s="63" t="s">
        <v>30</v>
      </c>
      <c r="H81" s="44" t="s">
        <v>30</v>
      </c>
      <c r="I81" s="70"/>
    </row>
    <row r="82" ht="48.75" customHeight="1">
      <c r="A82" s="56"/>
      <c r="B82" s="35" t="s">
        <v>30</v>
      </c>
      <c r="C82" s="60" t="s">
        <v>30</v>
      </c>
      <c r="D82" s="61" t="s">
        <v>30</v>
      </c>
      <c r="E82" s="60" t="s">
        <v>30</v>
      </c>
      <c r="F82" s="62"/>
      <c r="G82" s="63" t="s">
        <v>30</v>
      </c>
      <c r="H82" s="44" t="s">
        <v>30</v>
      </c>
      <c r="I82" s="50"/>
    </row>
    <row r="83" ht="48.75" customHeight="1">
      <c r="A83" s="71"/>
      <c r="B83" s="35" t="s">
        <v>30</v>
      </c>
      <c r="C83" s="60" t="s">
        <v>30</v>
      </c>
      <c r="D83" s="61" t="s">
        <v>30</v>
      </c>
      <c r="E83" s="60" t="s">
        <v>30</v>
      </c>
      <c r="F83" s="62"/>
      <c r="G83" s="63" t="s">
        <v>30</v>
      </c>
      <c r="H83" s="44" t="s">
        <v>30</v>
      </c>
      <c r="I83" s="50"/>
    </row>
    <row r="84" ht="48.75" customHeight="1">
      <c r="A84" s="71"/>
      <c r="B84" s="35" t="s">
        <v>30</v>
      </c>
      <c r="C84" s="60" t="s">
        <v>30</v>
      </c>
      <c r="D84" s="61" t="s">
        <v>30</v>
      </c>
      <c r="E84" s="60" t="s">
        <v>30</v>
      </c>
      <c r="F84" s="62"/>
      <c r="G84" s="63" t="s">
        <v>30</v>
      </c>
      <c r="H84" s="44" t="s">
        <v>30</v>
      </c>
      <c r="I84" s="70"/>
    </row>
    <row r="85" ht="48.75" customHeight="1">
      <c r="A85" s="56"/>
      <c r="B85" s="35" t="s">
        <v>30</v>
      </c>
      <c r="C85" s="60" t="s">
        <v>30</v>
      </c>
      <c r="D85" s="61" t="s">
        <v>30</v>
      </c>
      <c r="E85" s="60" t="s">
        <v>30</v>
      </c>
      <c r="F85" s="62"/>
      <c r="G85" s="63" t="s">
        <v>30</v>
      </c>
      <c r="H85" s="44" t="s">
        <v>30</v>
      </c>
      <c r="I85" s="50"/>
    </row>
    <row r="86" ht="48.75" customHeight="1">
      <c r="A86" s="71"/>
      <c r="B86" s="35" t="s">
        <v>30</v>
      </c>
      <c r="C86" s="60" t="s">
        <v>30</v>
      </c>
      <c r="D86" s="61" t="s">
        <v>30</v>
      </c>
      <c r="E86" s="60" t="s">
        <v>30</v>
      </c>
      <c r="F86" s="62"/>
      <c r="G86" s="63" t="s">
        <v>30</v>
      </c>
      <c r="H86" s="44" t="s">
        <v>30</v>
      </c>
      <c r="I86" s="50"/>
    </row>
    <row r="87" ht="48.75" customHeight="1">
      <c r="A87" s="71"/>
      <c r="B87" s="35" t="s">
        <v>30</v>
      </c>
      <c r="C87" s="60" t="s">
        <v>30</v>
      </c>
      <c r="D87" s="61" t="s">
        <v>30</v>
      </c>
      <c r="E87" s="60" t="s">
        <v>30</v>
      </c>
      <c r="F87" s="62"/>
      <c r="G87" s="63" t="s">
        <v>30</v>
      </c>
      <c r="H87" s="44" t="s">
        <v>30</v>
      </c>
      <c r="I87" s="50"/>
    </row>
    <row r="88" ht="48.75" customHeight="1">
      <c r="A88" s="71"/>
      <c r="B88" s="35" t="s">
        <v>30</v>
      </c>
      <c r="C88" s="60" t="s">
        <v>30</v>
      </c>
      <c r="D88" s="61" t="s">
        <v>30</v>
      </c>
      <c r="E88" s="60" t="s">
        <v>30</v>
      </c>
      <c r="F88" s="62"/>
      <c r="G88" s="63" t="s">
        <v>30</v>
      </c>
      <c r="H88" s="44" t="s">
        <v>30</v>
      </c>
      <c r="I88" s="50"/>
    </row>
    <row r="89" ht="48.75" customHeight="1">
      <c r="A89" s="56"/>
      <c r="B89" s="35" t="s">
        <v>30</v>
      </c>
      <c r="C89" s="60" t="s">
        <v>30</v>
      </c>
      <c r="D89" s="61" t="s">
        <v>30</v>
      </c>
      <c r="E89" s="60" t="s">
        <v>30</v>
      </c>
      <c r="F89" s="62"/>
      <c r="G89" s="63" t="s">
        <v>30</v>
      </c>
      <c r="H89" s="44" t="s">
        <v>30</v>
      </c>
      <c r="I89" s="50"/>
    </row>
    <row r="90">
      <c r="B90" s="72" t="s">
        <v>30</v>
      </c>
      <c r="C90" s="73" t="s">
        <v>30</v>
      </c>
      <c r="D90" s="72" t="s">
        <v>30</v>
      </c>
      <c r="E90" s="72" t="s">
        <v>30</v>
      </c>
      <c r="G90" s="72" t="s">
        <v>30</v>
      </c>
      <c r="H90" s="72" t="s">
        <v>30</v>
      </c>
      <c r="I90" s="31"/>
    </row>
    <row r="91">
      <c r="B91" s="72" t="s">
        <v>30</v>
      </c>
      <c r="C91" s="73" t="s">
        <v>30</v>
      </c>
      <c r="D91" s="72" t="s">
        <v>30</v>
      </c>
      <c r="E91" s="72" t="s">
        <v>30</v>
      </c>
      <c r="G91" s="72" t="s">
        <v>30</v>
      </c>
      <c r="H91" s="72" t="s">
        <v>30</v>
      </c>
      <c r="I91" s="31"/>
    </row>
    <row r="92">
      <c r="B92" s="72" t="s">
        <v>30</v>
      </c>
      <c r="C92" s="73" t="s">
        <v>30</v>
      </c>
      <c r="D92" s="72" t="s">
        <v>30</v>
      </c>
      <c r="E92" s="72" t="s">
        <v>30</v>
      </c>
      <c r="G92" s="72" t="s">
        <v>30</v>
      </c>
      <c r="H92" s="72" t="s">
        <v>30</v>
      </c>
      <c r="I92" s="31"/>
    </row>
    <row r="93">
      <c r="B93" s="72" t="s">
        <v>30</v>
      </c>
      <c r="C93" s="73" t="s">
        <v>30</v>
      </c>
      <c r="D93" s="72" t="s">
        <v>30</v>
      </c>
      <c r="E93" s="72" t="s">
        <v>30</v>
      </c>
      <c r="G93" s="72" t="s">
        <v>30</v>
      </c>
      <c r="H93" s="72" t="s">
        <v>30</v>
      </c>
      <c r="I93" s="31"/>
    </row>
    <row r="94">
      <c r="B94" s="72" t="s">
        <v>30</v>
      </c>
      <c r="C94" s="73" t="s">
        <v>30</v>
      </c>
      <c r="D94" s="72" t="s">
        <v>30</v>
      </c>
      <c r="E94" s="72" t="s">
        <v>30</v>
      </c>
      <c r="G94" s="72" t="s">
        <v>30</v>
      </c>
      <c r="H94" s="72" t="s">
        <v>30</v>
      </c>
      <c r="I94" s="31"/>
    </row>
    <row r="95">
      <c r="B95" s="72" t="s">
        <v>30</v>
      </c>
      <c r="C95" s="73" t="s">
        <v>30</v>
      </c>
      <c r="D95" s="72" t="s">
        <v>30</v>
      </c>
      <c r="E95" s="72" t="s">
        <v>30</v>
      </c>
      <c r="G95" s="72" t="s">
        <v>30</v>
      </c>
      <c r="H95" s="72" t="s">
        <v>30</v>
      </c>
      <c r="I95" s="31"/>
    </row>
    <row r="96">
      <c r="B96" s="72" t="s">
        <v>30</v>
      </c>
      <c r="C96" s="73" t="s">
        <v>30</v>
      </c>
      <c r="D96" s="72" t="s">
        <v>30</v>
      </c>
      <c r="E96" s="72" t="s">
        <v>30</v>
      </c>
      <c r="G96" s="72" t="s">
        <v>30</v>
      </c>
      <c r="H96" s="72" t="s">
        <v>30</v>
      </c>
      <c r="I96" s="31"/>
    </row>
    <row r="97">
      <c r="B97" s="72" t="s">
        <v>30</v>
      </c>
      <c r="C97" s="73" t="s">
        <v>30</v>
      </c>
      <c r="D97" s="72" t="s">
        <v>30</v>
      </c>
      <c r="E97" s="72" t="s">
        <v>30</v>
      </c>
      <c r="G97" s="72" t="s">
        <v>30</v>
      </c>
      <c r="H97" s="72" t="s">
        <v>30</v>
      </c>
      <c r="I97" s="31"/>
    </row>
    <row r="98">
      <c r="B98" s="72" t="s">
        <v>30</v>
      </c>
      <c r="C98" s="73" t="s">
        <v>30</v>
      </c>
      <c r="D98" s="72" t="s">
        <v>30</v>
      </c>
      <c r="E98" s="72" t="s">
        <v>30</v>
      </c>
      <c r="G98" s="72" t="s">
        <v>30</v>
      </c>
      <c r="H98" s="72" t="s">
        <v>30</v>
      </c>
      <c r="I98" s="31"/>
    </row>
    <row r="99">
      <c r="B99" s="72" t="s">
        <v>30</v>
      </c>
      <c r="C99" s="73" t="s">
        <v>30</v>
      </c>
      <c r="D99" s="72" t="s">
        <v>30</v>
      </c>
      <c r="E99" s="72" t="s">
        <v>30</v>
      </c>
      <c r="G99" s="72" t="s">
        <v>30</v>
      </c>
      <c r="H99" s="72" t="s">
        <v>30</v>
      </c>
      <c r="I99" s="31"/>
    </row>
    <row r="100">
      <c r="B100" s="72" t="s">
        <v>30</v>
      </c>
      <c r="C100" s="73" t="s">
        <v>30</v>
      </c>
      <c r="D100" s="72" t="s">
        <v>30</v>
      </c>
      <c r="E100" s="72" t="s">
        <v>30</v>
      </c>
      <c r="G100" s="72" t="s">
        <v>30</v>
      </c>
      <c r="H100" s="72" t="s">
        <v>30</v>
      </c>
      <c r="I100" s="31"/>
    </row>
    <row r="101">
      <c r="B101" s="72" t="s">
        <v>30</v>
      </c>
      <c r="C101" s="73" t="s">
        <v>30</v>
      </c>
      <c r="D101" s="72" t="s">
        <v>30</v>
      </c>
      <c r="E101" s="72" t="s">
        <v>30</v>
      </c>
      <c r="G101" s="72" t="s">
        <v>30</v>
      </c>
      <c r="H101" s="72" t="s">
        <v>30</v>
      </c>
      <c r="I101" s="31"/>
    </row>
    <row r="102">
      <c r="B102" s="72" t="s">
        <v>30</v>
      </c>
      <c r="C102" s="73" t="s">
        <v>30</v>
      </c>
      <c r="D102" s="72" t="s">
        <v>30</v>
      </c>
      <c r="E102" s="72" t="s">
        <v>30</v>
      </c>
      <c r="G102" s="72" t="s">
        <v>30</v>
      </c>
      <c r="H102" s="72" t="s">
        <v>30</v>
      </c>
      <c r="I102" s="31"/>
    </row>
    <row r="103">
      <c r="B103" s="72" t="s">
        <v>30</v>
      </c>
      <c r="C103" s="73" t="s">
        <v>30</v>
      </c>
      <c r="D103" s="72" t="s">
        <v>30</v>
      </c>
      <c r="E103" s="72" t="s">
        <v>30</v>
      </c>
      <c r="G103" s="72" t="s">
        <v>30</v>
      </c>
      <c r="H103" s="72" t="s">
        <v>30</v>
      </c>
      <c r="I103" s="31"/>
    </row>
    <row r="104">
      <c r="B104" s="72" t="s">
        <v>30</v>
      </c>
      <c r="C104" s="73" t="s">
        <v>30</v>
      </c>
      <c r="D104" s="72" t="s">
        <v>30</v>
      </c>
      <c r="E104" s="72" t="s">
        <v>30</v>
      </c>
      <c r="G104" s="72" t="s">
        <v>30</v>
      </c>
      <c r="H104" s="72" t="s">
        <v>30</v>
      </c>
      <c r="I104" s="31"/>
    </row>
    <row r="105">
      <c r="B105" s="72" t="s">
        <v>30</v>
      </c>
      <c r="C105" s="73" t="s">
        <v>30</v>
      </c>
      <c r="D105" s="72" t="s">
        <v>30</v>
      </c>
      <c r="E105" s="72" t="s">
        <v>30</v>
      </c>
      <c r="G105" s="72" t="s">
        <v>30</v>
      </c>
      <c r="H105" s="72" t="s">
        <v>30</v>
      </c>
      <c r="I105" s="31"/>
    </row>
    <row r="106">
      <c r="B106" s="72" t="s">
        <v>30</v>
      </c>
      <c r="C106" s="73" t="s">
        <v>30</v>
      </c>
      <c r="D106" s="72" t="s">
        <v>30</v>
      </c>
      <c r="E106" s="72" t="s">
        <v>30</v>
      </c>
      <c r="G106" s="72" t="s">
        <v>30</v>
      </c>
      <c r="H106" s="72" t="s">
        <v>30</v>
      </c>
      <c r="I106" s="31"/>
    </row>
    <row r="107">
      <c r="B107" s="72" t="s">
        <v>30</v>
      </c>
      <c r="C107" s="73" t="s">
        <v>30</v>
      </c>
      <c r="D107" s="72" t="s">
        <v>30</v>
      </c>
      <c r="E107" s="72" t="s">
        <v>30</v>
      </c>
      <c r="G107" s="72" t="s">
        <v>30</v>
      </c>
      <c r="H107" s="72" t="s">
        <v>30</v>
      </c>
      <c r="I107" s="31"/>
    </row>
    <row r="108">
      <c r="B108" s="72" t="s">
        <v>30</v>
      </c>
      <c r="C108" s="73" t="s">
        <v>30</v>
      </c>
      <c r="D108" s="72" t="s">
        <v>30</v>
      </c>
      <c r="E108" s="72" t="s">
        <v>30</v>
      </c>
      <c r="G108" s="72" t="s">
        <v>30</v>
      </c>
      <c r="H108" s="72" t="s">
        <v>30</v>
      </c>
      <c r="I108" s="31"/>
    </row>
    <row r="109">
      <c r="B109" s="72" t="s">
        <v>30</v>
      </c>
      <c r="C109" s="73" t="s">
        <v>30</v>
      </c>
      <c r="D109" s="72" t="s">
        <v>30</v>
      </c>
      <c r="E109" s="72" t="s">
        <v>30</v>
      </c>
      <c r="G109" s="72" t="s">
        <v>30</v>
      </c>
      <c r="H109" s="72" t="s">
        <v>30</v>
      </c>
      <c r="I109" s="31"/>
    </row>
    <row r="110">
      <c r="B110" s="72" t="s">
        <v>30</v>
      </c>
      <c r="C110" s="73" t="s">
        <v>30</v>
      </c>
      <c r="D110" s="72" t="s">
        <v>30</v>
      </c>
      <c r="E110" s="72" t="s">
        <v>30</v>
      </c>
      <c r="G110" s="72" t="s">
        <v>30</v>
      </c>
      <c r="H110" s="72" t="s">
        <v>30</v>
      </c>
      <c r="I110" s="31"/>
    </row>
    <row r="111">
      <c r="B111" s="72" t="s">
        <v>30</v>
      </c>
      <c r="C111" s="73" t="s">
        <v>30</v>
      </c>
      <c r="D111" s="72" t="s">
        <v>30</v>
      </c>
      <c r="E111" s="72" t="s">
        <v>30</v>
      </c>
      <c r="G111" s="72" t="s">
        <v>30</v>
      </c>
      <c r="H111" s="72" t="s">
        <v>30</v>
      </c>
      <c r="I111" s="31"/>
    </row>
    <row r="112">
      <c r="B112" s="72" t="s">
        <v>30</v>
      </c>
      <c r="C112" s="73" t="s">
        <v>30</v>
      </c>
      <c r="D112" s="72" t="s">
        <v>30</v>
      </c>
      <c r="E112" s="72" t="s">
        <v>30</v>
      </c>
      <c r="G112" s="72" t="s">
        <v>30</v>
      </c>
      <c r="H112" s="72" t="s">
        <v>30</v>
      </c>
      <c r="I112" s="31"/>
    </row>
    <row r="113">
      <c r="B113" s="72" t="s">
        <v>30</v>
      </c>
      <c r="C113" s="73" t="s">
        <v>30</v>
      </c>
      <c r="D113" s="72" t="s">
        <v>30</v>
      </c>
      <c r="E113" s="72" t="s">
        <v>30</v>
      </c>
      <c r="G113" s="72" t="s">
        <v>30</v>
      </c>
      <c r="H113" s="72" t="s">
        <v>30</v>
      </c>
      <c r="I113" s="31"/>
    </row>
    <row r="114">
      <c r="B114" s="72" t="s">
        <v>30</v>
      </c>
      <c r="C114" s="73" t="s">
        <v>30</v>
      </c>
      <c r="D114" s="72" t="s">
        <v>30</v>
      </c>
      <c r="E114" s="72" t="s">
        <v>30</v>
      </c>
      <c r="G114" s="72" t="s">
        <v>30</v>
      </c>
      <c r="H114" s="72" t="s">
        <v>30</v>
      </c>
      <c r="I114" s="31"/>
    </row>
    <row r="115">
      <c r="B115" s="72" t="s">
        <v>30</v>
      </c>
      <c r="C115" s="73" t="s">
        <v>30</v>
      </c>
      <c r="D115" s="72" t="s">
        <v>30</v>
      </c>
      <c r="E115" s="72" t="s">
        <v>30</v>
      </c>
      <c r="G115" s="72" t="s">
        <v>30</v>
      </c>
      <c r="H115" s="72" t="s">
        <v>30</v>
      </c>
      <c r="I115" s="31"/>
    </row>
    <row r="116">
      <c r="B116" s="72" t="s">
        <v>30</v>
      </c>
      <c r="C116" s="73" t="s">
        <v>30</v>
      </c>
      <c r="D116" s="72" t="s">
        <v>30</v>
      </c>
      <c r="E116" s="72" t="s">
        <v>30</v>
      </c>
      <c r="G116" s="72" t="s">
        <v>30</v>
      </c>
      <c r="H116" s="72" t="s">
        <v>30</v>
      </c>
      <c r="I116" s="31"/>
    </row>
    <row r="117">
      <c r="B117" s="72" t="s">
        <v>30</v>
      </c>
      <c r="C117" s="73" t="s">
        <v>30</v>
      </c>
      <c r="D117" s="72" t="s">
        <v>30</v>
      </c>
      <c r="E117" s="72" t="s">
        <v>30</v>
      </c>
      <c r="G117" s="72" t="s">
        <v>30</v>
      </c>
      <c r="H117" s="72" t="s">
        <v>30</v>
      </c>
      <c r="I117" s="31"/>
    </row>
    <row r="118">
      <c r="B118" s="72" t="s">
        <v>30</v>
      </c>
      <c r="C118" s="73" t="s">
        <v>30</v>
      </c>
      <c r="D118" s="72" t="s">
        <v>30</v>
      </c>
      <c r="E118" s="72" t="s">
        <v>30</v>
      </c>
      <c r="G118" s="72" t="s">
        <v>30</v>
      </c>
      <c r="H118" s="72" t="s">
        <v>30</v>
      </c>
      <c r="I118" s="31"/>
    </row>
    <row r="119">
      <c r="B119" s="72" t="s">
        <v>30</v>
      </c>
      <c r="C119" s="73" t="s">
        <v>30</v>
      </c>
      <c r="D119" s="72" t="s">
        <v>30</v>
      </c>
      <c r="E119" s="72" t="s">
        <v>30</v>
      </c>
      <c r="G119" s="72" t="s">
        <v>30</v>
      </c>
      <c r="H119" s="72" t="s">
        <v>30</v>
      </c>
      <c r="I119" s="31"/>
    </row>
    <row r="120">
      <c r="B120" s="72" t="s">
        <v>30</v>
      </c>
      <c r="C120" s="73" t="s">
        <v>30</v>
      </c>
      <c r="D120" s="72" t="s">
        <v>30</v>
      </c>
      <c r="E120" s="72" t="s">
        <v>30</v>
      </c>
      <c r="G120" s="72" t="s">
        <v>30</v>
      </c>
      <c r="H120" s="72" t="s">
        <v>30</v>
      </c>
      <c r="I120" s="31"/>
    </row>
    <row r="121">
      <c r="B121" s="72" t="s">
        <v>30</v>
      </c>
      <c r="C121" s="73" t="s">
        <v>30</v>
      </c>
      <c r="D121" s="72" t="s">
        <v>30</v>
      </c>
      <c r="E121" s="72" t="s">
        <v>30</v>
      </c>
      <c r="G121" s="72" t="s">
        <v>30</v>
      </c>
      <c r="H121" s="72" t="s">
        <v>30</v>
      </c>
      <c r="I121" s="31"/>
    </row>
    <row r="122">
      <c r="B122" s="72" t="s">
        <v>30</v>
      </c>
      <c r="C122" s="73" t="s">
        <v>30</v>
      </c>
      <c r="D122" s="72" t="s">
        <v>30</v>
      </c>
      <c r="E122" s="72" t="s">
        <v>30</v>
      </c>
      <c r="G122" s="72" t="s">
        <v>30</v>
      </c>
      <c r="H122" s="72" t="s">
        <v>30</v>
      </c>
      <c r="I122" s="31"/>
    </row>
    <row r="123">
      <c r="B123" s="72" t="s">
        <v>30</v>
      </c>
      <c r="C123" s="73" t="s">
        <v>30</v>
      </c>
      <c r="D123" s="72" t="s">
        <v>30</v>
      </c>
      <c r="E123" s="72" t="s">
        <v>30</v>
      </c>
      <c r="G123" s="72" t="s">
        <v>30</v>
      </c>
      <c r="H123" s="72" t="s">
        <v>30</v>
      </c>
      <c r="I123" s="31"/>
    </row>
    <row r="124">
      <c r="B124" s="72" t="s">
        <v>30</v>
      </c>
      <c r="C124" s="73" t="s">
        <v>30</v>
      </c>
      <c r="D124" s="72" t="s">
        <v>30</v>
      </c>
      <c r="E124" s="72" t="s">
        <v>30</v>
      </c>
      <c r="G124" s="72" t="s">
        <v>30</v>
      </c>
      <c r="H124" s="72" t="s">
        <v>30</v>
      </c>
      <c r="I124" s="31"/>
    </row>
    <row r="125">
      <c r="B125" s="72" t="s">
        <v>30</v>
      </c>
      <c r="C125" s="73" t="s">
        <v>30</v>
      </c>
      <c r="D125" s="72" t="s">
        <v>30</v>
      </c>
      <c r="E125" s="72" t="s">
        <v>30</v>
      </c>
      <c r="G125" s="72" t="s">
        <v>30</v>
      </c>
      <c r="H125" s="72" t="s">
        <v>30</v>
      </c>
      <c r="I125" s="31"/>
    </row>
    <row r="126">
      <c r="B126" s="72" t="s">
        <v>30</v>
      </c>
      <c r="C126" s="73" t="s">
        <v>30</v>
      </c>
      <c r="D126" s="72" t="s">
        <v>30</v>
      </c>
      <c r="E126" s="72" t="s">
        <v>30</v>
      </c>
      <c r="G126" s="72" t="s">
        <v>30</v>
      </c>
      <c r="H126" s="72" t="s">
        <v>30</v>
      </c>
      <c r="I126" s="31"/>
    </row>
    <row r="127">
      <c r="B127" s="72" t="s">
        <v>30</v>
      </c>
      <c r="C127" s="73" t="s">
        <v>30</v>
      </c>
      <c r="D127" s="72" t="s">
        <v>30</v>
      </c>
      <c r="E127" s="72" t="s">
        <v>30</v>
      </c>
      <c r="G127" s="72" t="s">
        <v>30</v>
      </c>
      <c r="H127" s="72" t="s">
        <v>30</v>
      </c>
      <c r="I127" s="31"/>
    </row>
    <row r="128">
      <c r="B128" s="72" t="s">
        <v>30</v>
      </c>
      <c r="C128" s="73" t="s">
        <v>30</v>
      </c>
      <c r="D128" s="72" t="s">
        <v>30</v>
      </c>
      <c r="E128" s="72" t="s">
        <v>30</v>
      </c>
      <c r="G128" s="72" t="s">
        <v>30</v>
      </c>
      <c r="H128" s="72" t="s">
        <v>30</v>
      </c>
      <c r="I128" s="31"/>
    </row>
    <row r="129">
      <c r="B129" s="72" t="s">
        <v>30</v>
      </c>
      <c r="C129" s="73" t="s">
        <v>30</v>
      </c>
      <c r="D129" s="72" t="s">
        <v>30</v>
      </c>
      <c r="E129" s="72" t="s">
        <v>30</v>
      </c>
      <c r="G129" s="72" t="s">
        <v>30</v>
      </c>
      <c r="H129" s="72" t="s">
        <v>30</v>
      </c>
      <c r="I129" s="31"/>
    </row>
    <row r="130">
      <c r="B130" s="72" t="s">
        <v>30</v>
      </c>
      <c r="C130" s="73" t="s">
        <v>30</v>
      </c>
      <c r="D130" s="72" t="s">
        <v>30</v>
      </c>
      <c r="E130" s="72" t="s">
        <v>30</v>
      </c>
      <c r="G130" s="72" t="s">
        <v>30</v>
      </c>
      <c r="H130" s="72" t="s">
        <v>30</v>
      </c>
      <c r="I130" s="31"/>
    </row>
    <row r="131">
      <c r="B131" s="72" t="s">
        <v>30</v>
      </c>
      <c r="C131" s="73" t="s">
        <v>30</v>
      </c>
      <c r="D131" s="72" t="s">
        <v>30</v>
      </c>
      <c r="E131" s="72" t="s">
        <v>30</v>
      </c>
      <c r="G131" s="72" t="s">
        <v>30</v>
      </c>
      <c r="H131" s="72" t="s">
        <v>30</v>
      </c>
      <c r="I131" s="31"/>
    </row>
    <row r="132">
      <c r="B132" s="72" t="s">
        <v>30</v>
      </c>
      <c r="C132" s="73" t="s">
        <v>30</v>
      </c>
      <c r="D132" s="72" t="s">
        <v>30</v>
      </c>
      <c r="E132" s="72" t="s">
        <v>30</v>
      </c>
      <c r="G132" s="72" t="s">
        <v>30</v>
      </c>
      <c r="H132" s="72" t="s">
        <v>30</v>
      </c>
      <c r="I132" s="31"/>
    </row>
    <row r="133">
      <c r="B133" s="72" t="s">
        <v>30</v>
      </c>
      <c r="C133" s="73" t="s">
        <v>30</v>
      </c>
      <c r="D133" s="72" t="s">
        <v>30</v>
      </c>
      <c r="E133" s="72" t="s">
        <v>30</v>
      </c>
      <c r="G133" s="72" t="s">
        <v>30</v>
      </c>
      <c r="H133" s="72" t="s">
        <v>30</v>
      </c>
      <c r="I133" s="31"/>
    </row>
    <row r="134">
      <c r="B134" s="72" t="s">
        <v>30</v>
      </c>
      <c r="C134" s="73" t="s">
        <v>30</v>
      </c>
      <c r="D134" s="72" t="s">
        <v>30</v>
      </c>
      <c r="E134" s="72" t="s">
        <v>30</v>
      </c>
      <c r="G134" s="72" t="s">
        <v>30</v>
      </c>
      <c r="H134" s="72" t="s">
        <v>30</v>
      </c>
      <c r="I134" s="31"/>
    </row>
    <row r="135">
      <c r="B135" s="72" t="s">
        <v>30</v>
      </c>
      <c r="C135" s="73" t="s">
        <v>30</v>
      </c>
      <c r="D135" s="72" t="s">
        <v>30</v>
      </c>
      <c r="E135" s="72" t="s">
        <v>30</v>
      </c>
      <c r="G135" s="72" t="s">
        <v>30</v>
      </c>
      <c r="H135" s="72" t="s">
        <v>30</v>
      </c>
      <c r="I135" s="31"/>
    </row>
    <row r="136">
      <c r="B136" s="72" t="s">
        <v>30</v>
      </c>
      <c r="C136" s="73" t="s">
        <v>30</v>
      </c>
      <c r="D136" s="72" t="s">
        <v>30</v>
      </c>
      <c r="E136" s="72" t="s">
        <v>30</v>
      </c>
      <c r="G136" s="72" t="s">
        <v>30</v>
      </c>
      <c r="H136" s="72" t="s">
        <v>30</v>
      </c>
      <c r="I136" s="31"/>
    </row>
    <row r="137">
      <c r="B137" s="72" t="s">
        <v>30</v>
      </c>
      <c r="C137" s="73" t="s">
        <v>30</v>
      </c>
      <c r="D137" s="72" t="s">
        <v>30</v>
      </c>
      <c r="E137" s="72" t="s">
        <v>30</v>
      </c>
      <c r="G137" s="72" t="s">
        <v>30</v>
      </c>
      <c r="H137" s="72" t="s">
        <v>30</v>
      </c>
      <c r="I137" s="31"/>
    </row>
    <row r="138">
      <c r="B138" s="72" t="s">
        <v>30</v>
      </c>
      <c r="C138" s="73" t="s">
        <v>30</v>
      </c>
      <c r="D138" s="72" t="s">
        <v>30</v>
      </c>
      <c r="E138" s="72" t="s">
        <v>30</v>
      </c>
      <c r="G138" s="72" t="s">
        <v>30</v>
      </c>
      <c r="H138" s="72" t="s">
        <v>30</v>
      </c>
      <c r="I138" s="31"/>
    </row>
    <row r="139">
      <c r="B139" s="72" t="s">
        <v>30</v>
      </c>
      <c r="C139" s="73" t="s">
        <v>30</v>
      </c>
      <c r="D139" s="72" t="s">
        <v>30</v>
      </c>
      <c r="E139" s="72" t="s">
        <v>30</v>
      </c>
      <c r="G139" s="72" t="s">
        <v>30</v>
      </c>
      <c r="H139" s="72" t="s">
        <v>30</v>
      </c>
      <c r="I139" s="31"/>
    </row>
    <row r="140">
      <c r="B140" s="72" t="s">
        <v>30</v>
      </c>
      <c r="C140" s="73" t="s">
        <v>30</v>
      </c>
      <c r="D140" s="72" t="s">
        <v>30</v>
      </c>
      <c r="E140" s="72" t="s">
        <v>30</v>
      </c>
      <c r="G140" s="72" t="s">
        <v>30</v>
      </c>
      <c r="H140" s="72" t="s">
        <v>30</v>
      </c>
      <c r="I140" s="31"/>
    </row>
    <row r="141">
      <c r="B141" s="72" t="s">
        <v>30</v>
      </c>
      <c r="C141" s="73" t="s">
        <v>30</v>
      </c>
      <c r="D141" s="72" t="s">
        <v>30</v>
      </c>
      <c r="E141" s="72" t="s">
        <v>30</v>
      </c>
      <c r="G141" s="72" t="s">
        <v>30</v>
      </c>
      <c r="H141" s="72" t="s">
        <v>30</v>
      </c>
      <c r="I141" s="31"/>
    </row>
    <row r="142">
      <c r="B142" s="72" t="s">
        <v>30</v>
      </c>
      <c r="C142" s="73" t="s">
        <v>30</v>
      </c>
      <c r="D142" s="72" t="s">
        <v>30</v>
      </c>
      <c r="E142" s="72" t="s">
        <v>30</v>
      </c>
      <c r="G142" s="72" t="s">
        <v>30</v>
      </c>
      <c r="H142" s="72" t="s">
        <v>30</v>
      </c>
      <c r="I142" s="31"/>
    </row>
    <row r="143">
      <c r="B143" s="72" t="s">
        <v>30</v>
      </c>
      <c r="C143" s="73" t="s">
        <v>30</v>
      </c>
      <c r="D143" s="72" t="s">
        <v>30</v>
      </c>
      <c r="E143" s="72" t="s">
        <v>30</v>
      </c>
      <c r="G143" s="72" t="s">
        <v>30</v>
      </c>
      <c r="H143" s="72" t="s">
        <v>30</v>
      </c>
      <c r="I143" s="31"/>
    </row>
    <row r="144">
      <c r="B144" s="72" t="s">
        <v>30</v>
      </c>
      <c r="C144" s="73" t="s">
        <v>30</v>
      </c>
      <c r="D144" s="72" t="s">
        <v>30</v>
      </c>
      <c r="E144" s="72" t="s">
        <v>30</v>
      </c>
      <c r="G144" s="72" t="s">
        <v>30</v>
      </c>
      <c r="H144" s="72" t="s">
        <v>30</v>
      </c>
      <c r="I144" s="31"/>
    </row>
    <row r="145">
      <c r="B145" s="72" t="s">
        <v>30</v>
      </c>
      <c r="C145" s="73" t="s">
        <v>30</v>
      </c>
      <c r="D145" s="72" t="s">
        <v>30</v>
      </c>
      <c r="E145" s="72" t="s">
        <v>30</v>
      </c>
      <c r="G145" s="72" t="s">
        <v>30</v>
      </c>
      <c r="H145" s="72" t="s">
        <v>30</v>
      </c>
      <c r="I145" s="31"/>
    </row>
    <row r="146">
      <c r="B146" s="72" t="s">
        <v>30</v>
      </c>
      <c r="C146" s="73" t="s">
        <v>30</v>
      </c>
      <c r="D146" s="72" t="s">
        <v>30</v>
      </c>
      <c r="E146" s="72" t="s">
        <v>30</v>
      </c>
      <c r="G146" s="72" t="s">
        <v>30</v>
      </c>
      <c r="H146" s="72" t="s">
        <v>30</v>
      </c>
      <c r="I146" s="31"/>
    </row>
    <row r="147">
      <c r="B147" s="72" t="s">
        <v>30</v>
      </c>
      <c r="C147" s="73" t="s">
        <v>30</v>
      </c>
      <c r="D147" s="72" t="s">
        <v>30</v>
      </c>
      <c r="E147" s="72" t="s">
        <v>30</v>
      </c>
      <c r="G147" s="72" t="s">
        <v>30</v>
      </c>
      <c r="H147" s="72" t="s">
        <v>30</v>
      </c>
      <c r="I147" s="31"/>
    </row>
    <row r="148">
      <c r="B148" s="72" t="s">
        <v>30</v>
      </c>
      <c r="C148" s="73" t="s">
        <v>30</v>
      </c>
      <c r="D148" s="72" t="s">
        <v>30</v>
      </c>
      <c r="E148" s="72" t="s">
        <v>30</v>
      </c>
      <c r="G148" s="72" t="s">
        <v>30</v>
      </c>
      <c r="H148" s="72" t="s">
        <v>30</v>
      </c>
      <c r="I148" s="31"/>
    </row>
    <row r="149">
      <c r="B149" s="72" t="s">
        <v>30</v>
      </c>
      <c r="C149" s="73" t="s">
        <v>30</v>
      </c>
      <c r="D149" s="72" t="s">
        <v>30</v>
      </c>
      <c r="E149" s="72" t="s">
        <v>30</v>
      </c>
      <c r="G149" s="72" t="s">
        <v>30</v>
      </c>
      <c r="H149" s="72" t="s">
        <v>30</v>
      </c>
      <c r="I149" s="31"/>
    </row>
    <row r="150">
      <c r="B150" s="72" t="s">
        <v>30</v>
      </c>
      <c r="C150" s="73" t="s">
        <v>30</v>
      </c>
      <c r="D150" s="72" t="s">
        <v>30</v>
      </c>
      <c r="E150" s="72" t="s">
        <v>30</v>
      </c>
      <c r="G150" s="72" t="s">
        <v>30</v>
      </c>
      <c r="H150" s="72" t="s">
        <v>30</v>
      </c>
      <c r="I150" s="31"/>
    </row>
    <row r="151">
      <c r="B151" s="72" t="s">
        <v>30</v>
      </c>
      <c r="C151" s="73" t="s">
        <v>30</v>
      </c>
      <c r="D151" s="72" t="s">
        <v>30</v>
      </c>
      <c r="E151" s="72" t="s">
        <v>30</v>
      </c>
      <c r="G151" s="72" t="s">
        <v>30</v>
      </c>
      <c r="H151" s="72" t="s">
        <v>30</v>
      </c>
      <c r="I151" s="31"/>
    </row>
    <row r="152">
      <c r="B152" s="72" t="s">
        <v>30</v>
      </c>
      <c r="C152" s="73" t="s">
        <v>30</v>
      </c>
      <c r="D152" s="72" t="s">
        <v>30</v>
      </c>
      <c r="E152" s="72" t="s">
        <v>30</v>
      </c>
      <c r="G152" s="72" t="s">
        <v>30</v>
      </c>
      <c r="H152" s="72" t="s">
        <v>30</v>
      </c>
      <c r="I152" s="31"/>
    </row>
    <row r="153">
      <c r="B153" s="72" t="s">
        <v>30</v>
      </c>
      <c r="C153" s="73" t="s">
        <v>30</v>
      </c>
      <c r="D153" s="72" t="s">
        <v>30</v>
      </c>
      <c r="E153" s="72" t="s">
        <v>30</v>
      </c>
      <c r="G153" s="72" t="s">
        <v>30</v>
      </c>
      <c r="H153" s="72" t="s">
        <v>30</v>
      </c>
      <c r="I153" s="31"/>
    </row>
    <row r="154">
      <c r="B154" s="72" t="s">
        <v>30</v>
      </c>
      <c r="C154" s="73" t="s">
        <v>30</v>
      </c>
      <c r="D154" s="72" t="s">
        <v>30</v>
      </c>
      <c r="E154" s="72" t="s">
        <v>30</v>
      </c>
      <c r="G154" s="72" t="s">
        <v>30</v>
      </c>
      <c r="H154" s="72" t="s">
        <v>30</v>
      </c>
      <c r="I154" s="31"/>
    </row>
    <row r="155">
      <c r="B155" s="72" t="s">
        <v>30</v>
      </c>
      <c r="C155" s="73" t="s">
        <v>30</v>
      </c>
      <c r="D155" s="72" t="s">
        <v>30</v>
      </c>
      <c r="E155" s="72" t="s">
        <v>30</v>
      </c>
      <c r="G155" s="72" t="s">
        <v>30</v>
      </c>
      <c r="H155" s="72" t="s">
        <v>30</v>
      </c>
      <c r="I155" s="31"/>
    </row>
    <row r="156">
      <c r="B156" s="72" t="s">
        <v>30</v>
      </c>
      <c r="C156" s="73" t="s">
        <v>30</v>
      </c>
      <c r="D156" s="72" t="s">
        <v>30</v>
      </c>
      <c r="E156" s="72" t="s">
        <v>30</v>
      </c>
      <c r="G156" s="72" t="s">
        <v>30</v>
      </c>
      <c r="H156" s="72" t="s">
        <v>30</v>
      </c>
      <c r="I156" s="31"/>
    </row>
    <row r="157">
      <c r="B157" s="72" t="s">
        <v>30</v>
      </c>
      <c r="C157" s="73" t="s">
        <v>30</v>
      </c>
      <c r="D157" s="72" t="s">
        <v>30</v>
      </c>
      <c r="E157" s="72" t="s">
        <v>30</v>
      </c>
      <c r="G157" s="72" t="s">
        <v>30</v>
      </c>
      <c r="H157" s="72" t="s">
        <v>30</v>
      </c>
      <c r="I157" s="31"/>
    </row>
    <row r="158">
      <c r="B158" s="72" t="s">
        <v>30</v>
      </c>
      <c r="C158" s="73" t="s">
        <v>30</v>
      </c>
      <c r="D158" s="72" t="s">
        <v>30</v>
      </c>
      <c r="E158" s="72" t="s">
        <v>30</v>
      </c>
      <c r="G158" s="72" t="s">
        <v>30</v>
      </c>
      <c r="H158" s="72" t="s">
        <v>30</v>
      </c>
      <c r="I158" s="31"/>
    </row>
    <row r="159">
      <c r="B159" s="72" t="s">
        <v>30</v>
      </c>
      <c r="C159" s="73" t="s">
        <v>30</v>
      </c>
      <c r="D159" s="72" t="s">
        <v>30</v>
      </c>
      <c r="E159" s="72" t="s">
        <v>30</v>
      </c>
      <c r="G159" s="72" t="s">
        <v>30</v>
      </c>
      <c r="H159" s="72" t="s">
        <v>30</v>
      </c>
      <c r="I159" s="31"/>
    </row>
    <row r="160">
      <c r="B160" s="72" t="s">
        <v>30</v>
      </c>
      <c r="C160" s="73" t="s">
        <v>30</v>
      </c>
      <c r="D160" s="72" t="s">
        <v>30</v>
      </c>
      <c r="E160" s="72" t="s">
        <v>30</v>
      </c>
      <c r="G160" s="72" t="s">
        <v>30</v>
      </c>
      <c r="H160" s="72" t="s">
        <v>30</v>
      </c>
      <c r="I160" s="31"/>
    </row>
    <row r="161">
      <c r="B161" s="72" t="s">
        <v>30</v>
      </c>
      <c r="C161" s="73" t="s">
        <v>30</v>
      </c>
      <c r="D161" s="72" t="s">
        <v>30</v>
      </c>
      <c r="E161" s="72" t="s">
        <v>30</v>
      </c>
      <c r="G161" s="72" t="s">
        <v>30</v>
      </c>
      <c r="H161" s="72" t="s">
        <v>30</v>
      </c>
      <c r="I161" s="31"/>
    </row>
    <row r="162">
      <c r="B162" s="72" t="s">
        <v>30</v>
      </c>
      <c r="C162" s="73" t="s">
        <v>30</v>
      </c>
      <c r="D162" s="72" t="s">
        <v>30</v>
      </c>
      <c r="E162" s="72" t="s">
        <v>30</v>
      </c>
      <c r="G162" s="72" t="s">
        <v>30</v>
      </c>
      <c r="H162" s="72" t="s">
        <v>30</v>
      </c>
      <c r="I162" s="31"/>
    </row>
    <row r="163">
      <c r="B163" s="72" t="s">
        <v>30</v>
      </c>
      <c r="C163" s="73" t="s">
        <v>30</v>
      </c>
      <c r="D163" s="72" t="s">
        <v>30</v>
      </c>
      <c r="E163" s="72" t="s">
        <v>30</v>
      </c>
      <c r="G163" s="72" t="s">
        <v>30</v>
      </c>
      <c r="H163" s="72" t="s">
        <v>30</v>
      </c>
      <c r="I163" s="31"/>
    </row>
    <row r="164">
      <c r="B164" s="72" t="s">
        <v>30</v>
      </c>
      <c r="C164" s="73" t="s">
        <v>30</v>
      </c>
      <c r="D164" s="72" t="s">
        <v>30</v>
      </c>
      <c r="E164" s="72" t="s">
        <v>30</v>
      </c>
      <c r="G164" s="72" t="s">
        <v>30</v>
      </c>
      <c r="H164" s="72" t="s">
        <v>30</v>
      </c>
      <c r="I164" s="31"/>
    </row>
    <row r="165">
      <c r="B165" s="72" t="s">
        <v>30</v>
      </c>
      <c r="C165" s="73" t="s">
        <v>30</v>
      </c>
      <c r="D165" s="72" t="s">
        <v>30</v>
      </c>
      <c r="E165" s="72" t="s">
        <v>30</v>
      </c>
      <c r="G165" s="72" t="s">
        <v>30</v>
      </c>
      <c r="H165" s="72" t="s">
        <v>30</v>
      </c>
      <c r="I165" s="31"/>
    </row>
    <row r="166">
      <c r="B166" s="72" t="s">
        <v>30</v>
      </c>
      <c r="C166" s="73" t="s">
        <v>30</v>
      </c>
      <c r="D166" s="72" t="s">
        <v>30</v>
      </c>
      <c r="E166" s="72" t="s">
        <v>30</v>
      </c>
      <c r="G166" s="72" t="s">
        <v>30</v>
      </c>
      <c r="H166" s="72" t="s">
        <v>30</v>
      </c>
      <c r="I166" s="31"/>
    </row>
    <row r="167">
      <c r="B167" s="72" t="s">
        <v>30</v>
      </c>
      <c r="C167" s="73" t="s">
        <v>30</v>
      </c>
      <c r="D167" s="72" t="s">
        <v>30</v>
      </c>
      <c r="E167" s="72" t="s">
        <v>30</v>
      </c>
      <c r="G167" s="72" t="s">
        <v>30</v>
      </c>
      <c r="H167" s="72" t="s">
        <v>30</v>
      </c>
      <c r="I167" s="31"/>
    </row>
    <row r="168">
      <c r="B168" s="72" t="s">
        <v>30</v>
      </c>
      <c r="C168" s="73" t="s">
        <v>30</v>
      </c>
      <c r="D168" s="72" t="s">
        <v>30</v>
      </c>
      <c r="E168" s="72" t="s">
        <v>30</v>
      </c>
      <c r="G168" s="72" t="s">
        <v>30</v>
      </c>
      <c r="H168" s="72" t="s">
        <v>30</v>
      </c>
      <c r="I168" s="31"/>
    </row>
    <row r="169">
      <c r="B169" s="72" t="s">
        <v>30</v>
      </c>
      <c r="C169" s="73" t="s">
        <v>30</v>
      </c>
      <c r="D169" s="72" t="s">
        <v>30</v>
      </c>
      <c r="E169" s="72" t="s">
        <v>30</v>
      </c>
      <c r="G169" s="72" t="s">
        <v>30</v>
      </c>
      <c r="H169" s="72" t="s">
        <v>30</v>
      </c>
      <c r="I169" s="31"/>
    </row>
    <row r="170">
      <c r="B170" s="72" t="s">
        <v>30</v>
      </c>
      <c r="C170" s="73" t="s">
        <v>30</v>
      </c>
      <c r="D170" s="72" t="s">
        <v>30</v>
      </c>
      <c r="E170" s="72" t="s">
        <v>30</v>
      </c>
      <c r="G170" s="72" t="s">
        <v>30</v>
      </c>
      <c r="H170" s="72" t="s">
        <v>30</v>
      </c>
      <c r="I170" s="31"/>
    </row>
    <row r="171">
      <c r="B171" s="72" t="s">
        <v>30</v>
      </c>
      <c r="C171" s="73" t="s">
        <v>30</v>
      </c>
      <c r="D171" s="72" t="s">
        <v>30</v>
      </c>
      <c r="E171" s="72" t="s">
        <v>30</v>
      </c>
      <c r="G171" s="72" t="s">
        <v>30</v>
      </c>
      <c r="H171" s="72" t="s">
        <v>30</v>
      </c>
      <c r="I171" s="31"/>
    </row>
    <row r="172">
      <c r="B172" s="72" t="s">
        <v>30</v>
      </c>
      <c r="C172" s="73" t="s">
        <v>30</v>
      </c>
      <c r="D172" s="72" t="s">
        <v>30</v>
      </c>
      <c r="E172" s="72" t="s">
        <v>30</v>
      </c>
      <c r="G172" s="72" t="s">
        <v>30</v>
      </c>
      <c r="H172" s="72" t="s">
        <v>30</v>
      </c>
      <c r="I172" s="31"/>
    </row>
    <row r="173">
      <c r="B173" s="72" t="s">
        <v>30</v>
      </c>
      <c r="C173" s="73" t="s">
        <v>30</v>
      </c>
      <c r="D173" s="72" t="s">
        <v>30</v>
      </c>
      <c r="E173" s="72" t="s">
        <v>30</v>
      </c>
      <c r="G173" s="72" t="s">
        <v>30</v>
      </c>
      <c r="H173" s="72" t="s">
        <v>30</v>
      </c>
      <c r="I173" s="31"/>
    </row>
    <row r="174">
      <c r="B174" s="72" t="s">
        <v>30</v>
      </c>
      <c r="C174" s="73" t="s">
        <v>30</v>
      </c>
      <c r="D174" s="72" t="s">
        <v>30</v>
      </c>
      <c r="E174" s="72" t="s">
        <v>30</v>
      </c>
      <c r="G174" s="72" t="s">
        <v>30</v>
      </c>
      <c r="H174" s="72" t="s">
        <v>30</v>
      </c>
      <c r="I174" s="31"/>
    </row>
    <row r="175">
      <c r="B175" s="72" t="s">
        <v>30</v>
      </c>
      <c r="C175" s="73" t="s">
        <v>30</v>
      </c>
      <c r="D175" s="72" t="s">
        <v>30</v>
      </c>
      <c r="E175" s="72" t="s">
        <v>30</v>
      </c>
      <c r="G175" s="72" t="s">
        <v>30</v>
      </c>
      <c r="H175" s="72" t="s">
        <v>30</v>
      </c>
      <c r="I175" s="31"/>
    </row>
    <row r="176">
      <c r="B176" s="72" t="s">
        <v>30</v>
      </c>
      <c r="C176" s="73" t="s">
        <v>30</v>
      </c>
      <c r="D176" s="72" t="s">
        <v>30</v>
      </c>
      <c r="E176" s="72" t="s">
        <v>30</v>
      </c>
      <c r="G176" s="72" t="s">
        <v>30</v>
      </c>
      <c r="H176" s="72" t="s">
        <v>30</v>
      </c>
      <c r="I176" s="31"/>
    </row>
    <row r="177">
      <c r="B177" s="72" t="s">
        <v>30</v>
      </c>
      <c r="C177" s="73" t="s">
        <v>30</v>
      </c>
      <c r="D177" s="72" t="s">
        <v>30</v>
      </c>
      <c r="E177" s="72" t="s">
        <v>30</v>
      </c>
      <c r="G177" s="72" t="s">
        <v>30</v>
      </c>
      <c r="H177" s="72" t="s">
        <v>30</v>
      </c>
      <c r="I177" s="31"/>
    </row>
    <row r="178">
      <c r="B178" s="72" t="s">
        <v>30</v>
      </c>
      <c r="C178" s="73" t="s">
        <v>30</v>
      </c>
      <c r="D178" s="72" t="s">
        <v>30</v>
      </c>
      <c r="E178" s="72" t="s">
        <v>30</v>
      </c>
      <c r="G178" s="72" t="s">
        <v>30</v>
      </c>
      <c r="H178" s="72" t="s">
        <v>30</v>
      </c>
      <c r="I178" s="31"/>
    </row>
    <row r="179">
      <c r="B179" s="72" t="s">
        <v>30</v>
      </c>
      <c r="C179" s="73" t="s">
        <v>30</v>
      </c>
      <c r="D179" s="72" t="s">
        <v>30</v>
      </c>
      <c r="E179" s="72" t="s">
        <v>30</v>
      </c>
      <c r="G179" s="72" t="s">
        <v>30</v>
      </c>
      <c r="H179" s="72" t="s">
        <v>30</v>
      </c>
      <c r="I179" s="31"/>
    </row>
    <row r="180">
      <c r="B180" s="72" t="s">
        <v>30</v>
      </c>
      <c r="C180" s="73" t="s">
        <v>30</v>
      </c>
      <c r="D180" s="72" t="s">
        <v>30</v>
      </c>
      <c r="E180" s="72" t="s">
        <v>30</v>
      </c>
      <c r="G180" s="72" t="s">
        <v>30</v>
      </c>
      <c r="H180" s="72" t="s">
        <v>30</v>
      </c>
      <c r="I180" s="31"/>
    </row>
    <row r="181">
      <c r="B181" s="72" t="s">
        <v>30</v>
      </c>
      <c r="C181" s="73" t="s">
        <v>30</v>
      </c>
      <c r="D181" s="72" t="s">
        <v>30</v>
      </c>
      <c r="E181" s="72" t="s">
        <v>30</v>
      </c>
      <c r="G181" s="72" t="s">
        <v>30</v>
      </c>
      <c r="H181" s="72" t="s">
        <v>30</v>
      </c>
      <c r="I181" s="31"/>
    </row>
    <row r="182">
      <c r="B182" s="72" t="s">
        <v>30</v>
      </c>
      <c r="C182" s="73" t="s">
        <v>30</v>
      </c>
      <c r="D182" s="72" t="s">
        <v>30</v>
      </c>
      <c r="E182" s="72" t="s">
        <v>30</v>
      </c>
      <c r="G182" s="72" t="s">
        <v>30</v>
      </c>
      <c r="H182" s="72" t="s">
        <v>30</v>
      </c>
      <c r="I182" s="31"/>
    </row>
    <row r="183">
      <c r="B183" s="72" t="s">
        <v>30</v>
      </c>
      <c r="C183" s="73" t="s">
        <v>30</v>
      </c>
      <c r="D183" s="72" t="s">
        <v>30</v>
      </c>
      <c r="E183" s="72" t="s">
        <v>30</v>
      </c>
      <c r="G183" s="72" t="s">
        <v>30</v>
      </c>
      <c r="H183" s="72" t="s">
        <v>30</v>
      </c>
      <c r="I183" s="31"/>
    </row>
    <row r="184">
      <c r="B184" s="72" t="s">
        <v>30</v>
      </c>
      <c r="C184" s="73" t="s">
        <v>30</v>
      </c>
      <c r="D184" s="72" t="s">
        <v>30</v>
      </c>
      <c r="E184" s="72" t="s">
        <v>30</v>
      </c>
      <c r="G184" s="72" t="s">
        <v>30</v>
      </c>
      <c r="H184" s="72" t="s">
        <v>30</v>
      </c>
      <c r="I184" s="31"/>
    </row>
    <row r="185">
      <c r="B185" s="72" t="s">
        <v>30</v>
      </c>
      <c r="C185" s="73" t="s">
        <v>30</v>
      </c>
      <c r="D185" s="72" t="s">
        <v>30</v>
      </c>
      <c r="E185" s="72" t="s">
        <v>30</v>
      </c>
      <c r="G185" s="72" t="s">
        <v>30</v>
      </c>
      <c r="H185" s="72" t="s">
        <v>30</v>
      </c>
      <c r="I185" s="31"/>
    </row>
    <row r="186">
      <c r="B186" s="72" t="s">
        <v>30</v>
      </c>
      <c r="C186" s="73" t="s">
        <v>30</v>
      </c>
      <c r="D186" s="72" t="s">
        <v>30</v>
      </c>
      <c r="E186" s="72" t="s">
        <v>30</v>
      </c>
      <c r="G186" s="72" t="s">
        <v>30</v>
      </c>
      <c r="H186" s="72" t="s">
        <v>30</v>
      </c>
      <c r="I186" s="31"/>
    </row>
    <row r="187">
      <c r="B187" s="72" t="s">
        <v>30</v>
      </c>
      <c r="C187" s="73" t="s">
        <v>30</v>
      </c>
      <c r="D187" s="72" t="s">
        <v>30</v>
      </c>
      <c r="E187" s="72" t="s">
        <v>30</v>
      </c>
      <c r="G187" s="72" t="s">
        <v>30</v>
      </c>
      <c r="H187" s="72" t="s">
        <v>30</v>
      </c>
      <c r="I187" s="31"/>
    </row>
    <row r="188">
      <c r="B188" s="72" t="s">
        <v>30</v>
      </c>
      <c r="C188" s="73" t="s">
        <v>30</v>
      </c>
      <c r="D188" s="72" t="s">
        <v>30</v>
      </c>
      <c r="E188" s="72" t="s">
        <v>30</v>
      </c>
      <c r="G188" s="72" t="s">
        <v>30</v>
      </c>
      <c r="H188" s="72" t="s">
        <v>30</v>
      </c>
      <c r="I188" s="31"/>
    </row>
    <row r="189">
      <c r="B189" s="72" t="s">
        <v>30</v>
      </c>
      <c r="C189" s="73" t="s">
        <v>30</v>
      </c>
      <c r="D189" s="72" t="s">
        <v>30</v>
      </c>
      <c r="E189" s="72" t="s">
        <v>30</v>
      </c>
      <c r="G189" s="72" t="s">
        <v>30</v>
      </c>
      <c r="H189" s="72" t="s">
        <v>30</v>
      </c>
      <c r="I189" s="31"/>
    </row>
    <row r="190">
      <c r="B190" s="72" t="s">
        <v>30</v>
      </c>
      <c r="C190" s="73" t="s">
        <v>30</v>
      </c>
      <c r="D190" s="72" t="s">
        <v>30</v>
      </c>
      <c r="E190" s="72" t="s">
        <v>30</v>
      </c>
      <c r="G190" s="72" t="s">
        <v>30</v>
      </c>
      <c r="H190" s="72" t="s">
        <v>30</v>
      </c>
      <c r="I190" s="31"/>
    </row>
    <row r="191">
      <c r="B191" s="72" t="s">
        <v>30</v>
      </c>
      <c r="C191" s="73" t="s">
        <v>30</v>
      </c>
      <c r="D191" s="72" t="s">
        <v>30</v>
      </c>
      <c r="E191" s="72" t="s">
        <v>30</v>
      </c>
      <c r="G191" s="72" t="s">
        <v>30</v>
      </c>
      <c r="H191" s="72" t="s">
        <v>30</v>
      </c>
      <c r="I191" s="31"/>
    </row>
    <row r="192">
      <c r="B192" s="72" t="s">
        <v>30</v>
      </c>
      <c r="C192" s="73" t="s">
        <v>30</v>
      </c>
      <c r="D192" s="72" t="s">
        <v>30</v>
      </c>
      <c r="E192" s="72" t="s">
        <v>30</v>
      </c>
      <c r="G192" s="72" t="s">
        <v>30</v>
      </c>
      <c r="H192" s="72" t="s">
        <v>30</v>
      </c>
      <c r="I192" s="31"/>
    </row>
    <row r="193">
      <c r="B193" s="72" t="s">
        <v>30</v>
      </c>
      <c r="C193" s="73" t="s">
        <v>30</v>
      </c>
      <c r="D193" s="72" t="s">
        <v>30</v>
      </c>
      <c r="E193" s="72" t="s">
        <v>30</v>
      </c>
      <c r="G193" s="72" t="s">
        <v>30</v>
      </c>
      <c r="H193" s="72" t="s">
        <v>30</v>
      </c>
      <c r="I193" s="31"/>
    </row>
    <row r="194">
      <c r="B194" s="72" t="s">
        <v>30</v>
      </c>
      <c r="C194" s="73" t="s">
        <v>30</v>
      </c>
      <c r="D194" s="72" t="s">
        <v>30</v>
      </c>
      <c r="E194" s="72" t="s">
        <v>30</v>
      </c>
      <c r="G194" s="72" t="s">
        <v>30</v>
      </c>
      <c r="H194" s="72" t="s">
        <v>30</v>
      </c>
      <c r="I194" s="31"/>
    </row>
    <row r="195">
      <c r="B195" s="72" t="s">
        <v>30</v>
      </c>
      <c r="C195" s="73" t="s">
        <v>30</v>
      </c>
      <c r="D195" s="72" t="s">
        <v>30</v>
      </c>
      <c r="E195" s="72" t="s">
        <v>30</v>
      </c>
      <c r="G195" s="72" t="s">
        <v>30</v>
      </c>
      <c r="H195" s="72" t="s">
        <v>30</v>
      </c>
      <c r="I195" s="31"/>
    </row>
    <row r="196">
      <c r="B196" s="72" t="s">
        <v>30</v>
      </c>
      <c r="C196" s="73" t="s">
        <v>30</v>
      </c>
      <c r="D196" s="72" t="s">
        <v>30</v>
      </c>
      <c r="E196" s="72" t="s">
        <v>30</v>
      </c>
      <c r="G196" s="72" t="s">
        <v>30</v>
      </c>
      <c r="H196" s="72" t="s">
        <v>30</v>
      </c>
      <c r="I196" s="31"/>
    </row>
    <row r="197">
      <c r="B197" s="72" t="s">
        <v>30</v>
      </c>
      <c r="C197" s="73" t="s">
        <v>30</v>
      </c>
      <c r="D197" s="72" t="s">
        <v>30</v>
      </c>
      <c r="E197" s="72" t="s">
        <v>30</v>
      </c>
      <c r="G197" s="72" t="s">
        <v>30</v>
      </c>
      <c r="H197" s="72" t="s">
        <v>30</v>
      </c>
      <c r="I197" s="31"/>
    </row>
    <row r="198">
      <c r="B198" s="72" t="s">
        <v>30</v>
      </c>
      <c r="C198" s="73" t="s">
        <v>30</v>
      </c>
      <c r="D198" s="72" t="s">
        <v>30</v>
      </c>
      <c r="E198" s="72" t="s">
        <v>30</v>
      </c>
      <c r="G198" s="72" t="s">
        <v>30</v>
      </c>
      <c r="H198" s="72" t="s">
        <v>30</v>
      </c>
      <c r="I198" s="31"/>
    </row>
    <row r="199">
      <c r="B199" s="72" t="s">
        <v>30</v>
      </c>
      <c r="C199" s="73" t="s">
        <v>30</v>
      </c>
      <c r="D199" s="72" t="s">
        <v>30</v>
      </c>
      <c r="E199" s="72" t="s">
        <v>30</v>
      </c>
      <c r="G199" s="72" t="s">
        <v>30</v>
      </c>
      <c r="H199" s="72" t="s">
        <v>30</v>
      </c>
      <c r="I199" s="31"/>
    </row>
    <row r="200">
      <c r="B200" s="72" t="s">
        <v>30</v>
      </c>
      <c r="C200" s="73" t="s">
        <v>30</v>
      </c>
      <c r="D200" s="72" t="s">
        <v>30</v>
      </c>
      <c r="E200" s="72" t="s">
        <v>30</v>
      </c>
      <c r="G200" s="72" t="s">
        <v>30</v>
      </c>
      <c r="H200" s="72" t="s">
        <v>30</v>
      </c>
      <c r="I200" s="31"/>
    </row>
    <row r="201">
      <c r="B201" s="72" t="s">
        <v>30</v>
      </c>
      <c r="C201" s="73" t="s">
        <v>30</v>
      </c>
      <c r="D201" s="72" t="s">
        <v>30</v>
      </c>
      <c r="E201" s="72" t="s">
        <v>30</v>
      </c>
      <c r="G201" s="72" t="s">
        <v>30</v>
      </c>
      <c r="H201" s="72" t="s">
        <v>30</v>
      </c>
      <c r="I201" s="31"/>
    </row>
    <row r="202">
      <c r="B202" s="72" t="s">
        <v>30</v>
      </c>
      <c r="C202" s="73" t="s">
        <v>30</v>
      </c>
      <c r="D202" s="72" t="s">
        <v>30</v>
      </c>
      <c r="E202" s="72" t="s">
        <v>30</v>
      </c>
      <c r="G202" s="72" t="s">
        <v>30</v>
      </c>
      <c r="H202" s="72" t="s">
        <v>30</v>
      </c>
      <c r="I202" s="31"/>
    </row>
    <row r="203">
      <c r="B203" s="72" t="s">
        <v>30</v>
      </c>
      <c r="C203" s="73" t="s">
        <v>30</v>
      </c>
      <c r="D203" s="72" t="s">
        <v>30</v>
      </c>
      <c r="E203" s="72" t="s">
        <v>30</v>
      </c>
      <c r="G203" s="72" t="s">
        <v>30</v>
      </c>
      <c r="H203" s="72" t="s">
        <v>30</v>
      </c>
      <c r="I203" s="31"/>
    </row>
    <row r="204">
      <c r="B204" s="72" t="s">
        <v>30</v>
      </c>
      <c r="C204" s="73" t="s">
        <v>30</v>
      </c>
      <c r="D204" s="72" t="s">
        <v>30</v>
      </c>
      <c r="E204" s="72" t="s">
        <v>30</v>
      </c>
      <c r="G204" s="72" t="s">
        <v>30</v>
      </c>
      <c r="H204" s="72" t="s">
        <v>30</v>
      </c>
      <c r="I204" s="31"/>
    </row>
    <row r="205">
      <c r="B205" s="72" t="s">
        <v>30</v>
      </c>
      <c r="C205" s="73" t="s">
        <v>30</v>
      </c>
      <c r="D205" s="72" t="s">
        <v>30</v>
      </c>
      <c r="E205" s="72" t="s">
        <v>30</v>
      </c>
      <c r="G205" s="72" t="s">
        <v>30</v>
      </c>
      <c r="H205" s="72" t="s">
        <v>30</v>
      </c>
      <c r="I205" s="31"/>
    </row>
    <row r="206">
      <c r="B206" s="72" t="s">
        <v>30</v>
      </c>
      <c r="C206" s="73" t="s">
        <v>30</v>
      </c>
      <c r="D206" s="72" t="s">
        <v>30</v>
      </c>
      <c r="E206" s="72" t="s">
        <v>30</v>
      </c>
      <c r="G206" s="72" t="s">
        <v>30</v>
      </c>
      <c r="H206" s="72" t="s">
        <v>30</v>
      </c>
      <c r="I206" s="31"/>
    </row>
    <row r="207">
      <c r="B207" s="72" t="s">
        <v>30</v>
      </c>
      <c r="C207" s="73" t="s">
        <v>30</v>
      </c>
      <c r="D207" s="72" t="s">
        <v>30</v>
      </c>
      <c r="E207" s="72" t="s">
        <v>30</v>
      </c>
      <c r="G207" s="72" t="s">
        <v>30</v>
      </c>
      <c r="H207" s="72" t="s">
        <v>30</v>
      </c>
      <c r="I207" s="31"/>
    </row>
    <row r="208">
      <c r="B208" s="72" t="s">
        <v>30</v>
      </c>
      <c r="C208" s="73" t="s">
        <v>30</v>
      </c>
      <c r="D208" s="72" t="s">
        <v>30</v>
      </c>
      <c r="E208" s="72" t="s">
        <v>30</v>
      </c>
      <c r="G208" s="72" t="s">
        <v>30</v>
      </c>
      <c r="H208" s="72" t="s">
        <v>30</v>
      </c>
      <c r="I208" s="31"/>
    </row>
    <row r="209">
      <c r="B209" s="72" t="s">
        <v>30</v>
      </c>
      <c r="C209" s="73" t="s">
        <v>30</v>
      </c>
      <c r="D209" s="72" t="s">
        <v>30</v>
      </c>
      <c r="E209" s="72" t="s">
        <v>30</v>
      </c>
      <c r="G209" s="72" t="s">
        <v>30</v>
      </c>
      <c r="H209" s="72" t="s">
        <v>30</v>
      </c>
      <c r="I209" s="31"/>
    </row>
    <row r="210">
      <c r="B210" s="72" t="s">
        <v>30</v>
      </c>
      <c r="C210" s="73" t="s">
        <v>30</v>
      </c>
      <c r="D210" s="72" t="s">
        <v>30</v>
      </c>
      <c r="E210" s="72" t="s">
        <v>30</v>
      </c>
      <c r="G210" s="72" t="s">
        <v>30</v>
      </c>
      <c r="H210" s="72" t="s">
        <v>30</v>
      </c>
      <c r="I210" s="31"/>
    </row>
    <row r="211">
      <c r="B211" s="72" t="s">
        <v>30</v>
      </c>
      <c r="C211" s="73" t="s">
        <v>30</v>
      </c>
      <c r="D211" s="72" t="s">
        <v>30</v>
      </c>
      <c r="E211" s="72" t="s">
        <v>30</v>
      </c>
      <c r="G211" s="72" t="s">
        <v>30</v>
      </c>
      <c r="H211" s="72" t="s">
        <v>30</v>
      </c>
      <c r="I211" s="31"/>
    </row>
    <row r="212">
      <c r="B212" s="72" t="s">
        <v>30</v>
      </c>
      <c r="C212" s="73" t="s">
        <v>30</v>
      </c>
      <c r="D212" s="72" t="s">
        <v>30</v>
      </c>
      <c r="E212" s="72" t="s">
        <v>30</v>
      </c>
      <c r="G212" s="72" t="s">
        <v>30</v>
      </c>
      <c r="H212" s="72" t="s">
        <v>30</v>
      </c>
      <c r="I212" s="31"/>
    </row>
    <row r="213">
      <c r="B213" s="72" t="s">
        <v>30</v>
      </c>
      <c r="C213" s="73" t="s">
        <v>30</v>
      </c>
      <c r="D213" s="72" t="s">
        <v>30</v>
      </c>
      <c r="E213" s="72" t="s">
        <v>30</v>
      </c>
      <c r="G213" s="72" t="s">
        <v>30</v>
      </c>
      <c r="H213" s="72" t="s">
        <v>30</v>
      </c>
      <c r="I213" s="31"/>
    </row>
    <row r="214">
      <c r="B214" s="72" t="s">
        <v>30</v>
      </c>
      <c r="C214" s="73" t="s">
        <v>30</v>
      </c>
      <c r="D214" s="72" t="s">
        <v>30</v>
      </c>
      <c r="E214" s="72" t="s">
        <v>30</v>
      </c>
      <c r="G214" s="72" t="s">
        <v>30</v>
      </c>
      <c r="H214" s="72" t="s">
        <v>30</v>
      </c>
      <c r="I214" s="31"/>
    </row>
    <row r="215">
      <c r="B215" s="72" t="s">
        <v>30</v>
      </c>
      <c r="C215" s="73" t="s">
        <v>30</v>
      </c>
      <c r="D215" s="72" t="s">
        <v>30</v>
      </c>
      <c r="E215" s="72" t="s">
        <v>30</v>
      </c>
      <c r="G215" s="72" t="s">
        <v>30</v>
      </c>
      <c r="H215" s="72" t="s">
        <v>30</v>
      </c>
      <c r="I215" s="31"/>
    </row>
    <row r="216">
      <c r="B216" s="72" t="s">
        <v>30</v>
      </c>
      <c r="C216" s="73" t="s">
        <v>30</v>
      </c>
      <c r="D216" s="72" t="s">
        <v>30</v>
      </c>
      <c r="E216" s="72" t="s">
        <v>30</v>
      </c>
      <c r="G216" s="72" t="s">
        <v>30</v>
      </c>
      <c r="H216" s="72" t="s">
        <v>30</v>
      </c>
      <c r="I216" s="31"/>
    </row>
    <row r="217">
      <c r="B217" s="72" t="s">
        <v>30</v>
      </c>
      <c r="C217" s="73" t="s">
        <v>30</v>
      </c>
      <c r="D217" s="72" t="s">
        <v>30</v>
      </c>
      <c r="E217" s="72" t="s">
        <v>30</v>
      </c>
      <c r="G217" s="72" t="s">
        <v>30</v>
      </c>
      <c r="H217" s="72" t="s">
        <v>30</v>
      </c>
      <c r="I217" s="31"/>
    </row>
    <row r="218">
      <c r="B218" s="72" t="s">
        <v>30</v>
      </c>
      <c r="C218" s="73" t="s">
        <v>30</v>
      </c>
      <c r="D218" s="72" t="s">
        <v>30</v>
      </c>
      <c r="E218" s="72" t="s">
        <v>30</v>
      </c>
      <c r="G218" s="72" t="s">
        <v>30</v>
      </c>
      <c r="H218" s="72" t="s">
        <v>30</v>
      </c>
      <c r="I218" s="31"/>
    </row>
    <row r="219">
      <c r="B219" s="72" t="s">
        <v>30</v>
      </c>
      <c r="C219" s="73" t="s">
        <v>30</v>
      </c>
      <c r="D219" s="72" t="s">
        <v>30</v>
      </c>
      <c r="E219" s="72" t="s">
        <v>30</v>
      </c>
      <c r="G219" s="72" t="s">
        <v>30</v>
      </c>
      <c r="H219" s="72" t="s">
        <v>30</v>
      </c>
      <c r="I219" s="31"/>
    </row>
    <row r="220">
      <c r="B220" s="72" t="s">
        <v>30</v>
      </c>
      <c r="C220" s="73" t="s">
        <v>30</v>
      </c>
      <c r="D220" s="72" t="s">
        <v>30</v>
      </c>
      <c r="E220" s="72" t="s">
        <v>30</v>
      </c>
      <c r="G220" s="72" t="s">
        <v>30</v>
      </c>
      <c r="H220" s="72" t="s">
        <v>30</v>
      </c>
      <c r="I220" s="31"/>
    </row>
    <row r="221">
      <c r="B221" s="72" t="s">
        <v>30</v>
      </c>
      <c r="C221" s="73" t="s">
        <v>30</v>
      </c>
      <c r="D221" s="72" t="s">
        <v>30</v>
      </c>
      <c r="E221" s="72" t="s">
        <v>30</v>
      </c>
      <c r="G221" s="72" t="s">
        <v>30</v>
      </c>
      <c r="H221" s="72" t="s">
        <v>30</v>
      </c>
      <c r="I221" s="31"/>
    </row>
    <row r="222">
      <c r="B222" s="72" t="s">
        <v>30</v>
      </c>
      <c r="C222" s="73" t="s">
        <v>30</v>
      </c>
      <c r="D222" s="72" t="s">
        <v>30</v>
      </c>
      <c r="E222" s="72" t="s">
        <v>30</v>
      </c>
      <c r="G222" s="72" t="s">
        <v>30</v>
      </c>
      <c r="H222" s="72" t="s">
        <v>30</v>
      </c>
      <c r="I222" s="31"/>
    </row>
    <row r="223">
      <c r="B223" s="72" t="s">
        <v>30</v>
      </c>
      <c r="C223" s="73" t="s">
        <v>30</v>
      </c>
      <c r="D223" s="72" t="s">
        <v>30</v>
      </c>
      <c r="E223" s="72" t="s">
        <v>30</v>
      </c>
      <c r="G223" s="72" t="s">
        <v>30</v>
      </c>
      <c r="H223" s="72" t="s">
        <v>30</v>
      </c>
      <c r="I223" s="31"/>
    </row>
    <row r="224">
      <c r="B224" s="72" t="s">
        <v>30</v>
      </c>
      <c r="C224" s="73" t="s">
        <v>30</v>
      </c>
      <c r="D224" s="72" t="s">
        <v>30</v>
      </c>
      <c r="E224" s="72" t="s">
        <v>30</v>
      </c>
      <c r="G224" s="72" t="s">
        <v>30</v>
      </c>
      <c r="H224" s="72" t="s">
        <v>30</v>
      </c>
      <c r="I224" s="31"/>
    </row>
    <row r="225">
      <c r="B225" s="72" t="s">
        <v>30</v>
      </c>
      <c r="C225" s="73" t="s">
        <v>30</v>
      </c>
      <c r="D225" s="72" t="s">
        <v>30</v>
      </c>
      <c r="E225" s="72" t="s">
        <v>30</v>
      </c>
      <c r="G225" s="72" t="s">
        <v>30</v>
      </c>
      <c r="H225" s="72" t="s">
        <v>30</v>
      </c>
      <c r="I225" s="31"/>
    </row>
    <row r="226">
      <c r="B226" s="72" t="s">
        <v>30</v>
      </c>
      <c r="C226" s="73" t="s">
        <v>30</v>
      </c>
      <c r="D226" s="72" t="s">
        <v>30</v>
      </c>
      <c r="E226" s="72" t="s">
        <v>30</v>
      </c>
      <c r="G226" s="72" t="s">
        <v>30</v>
      </c>
      <c r="H226" s="72" t="s">
        <v>30</v>
      </c>
      <c r="I226" s="31"/>
    </row>
    <row r="227">
      <c r="B227" s="72" t="s">
        <v>30</v>
      </c>
      <c r="C227" s="73" t="s">
        <v>30</v>
      </c>
      <c r="D227" s="72" t="s">
        <v>30</v>
      </c>
      <c r="E227" s="72" t="s">
        <v>30</v>
      </c>
      <c r="G227" s="72" t="s">
        <v>30</v>
      </c>
      <c r="H227" s="72" t="s">
        <v>30</v>
      </c>
      <c r="I227" s="31"/>
    </row>
    <row r="228">
      <c r="B228" s="72" t="s">
        <v>30</v>
      </c>
      <c r="C228" s="73" t="s">
        <v>30</v>
      </c>
      <c r="D228" s="72" t="s">
        <v>30</v>
      </c>
      <c r="E228" s="72" t="s">
        <v>30</v>
      </c>
      <c r="G228" s="72" t="s">
        <v>30</v>
      </c>
      <c r="H228" s="72" t="s">
        <v>30</v>
      </c>
      <c r="I228" s="31"/>
    </row>
    <row r="229">
      <c r="B229" s="72" t="s">
        <v>30</v>
      </c>
      <c r="C229" s="73" t="s">
        <v>30</v>
      </c>
      <c r="D229" s="72" t="s">
        <v>30</v>
      </c>
      <c r="E229" s="72" t="s">
        <v>30</v>
      </c>
      <c r="G229" s="72" t="s">
        <v>30</v>
      </c>
      <c r="H229" s="72" t="s">
        <v>30</v>
      </c>
      <c r="I229" s="31"/>
    </row>
    <row r="230">
      <c r="B230" s="72" t="s">
        <v>30</v>
      </c>
      <c r="C230" s="73" t="s">
        <v>30</v>
      </c>
      <c r="D230" s="72" t="s">
        <v>30</v>
      </c>
      <c r="E230" s="72" t="s">
        <v>30</v>
      </c>
      <c r="G230" s="72" t="s">
        <v>30</v>
      </c>
      <c r="H230" s="72" t="s">
        <v>30</v>
      </c>
      <c r="I230" s="31"/>
    </row>
    <row r="231">
      <c r="B231" s="72" t="s">
        <v>30</v>
      </c>
      <c r="C231" s="73" t="s">
        <v>30</v>
      </c>
      <c r="D231" s="72" t="s">
        <v>30</v>
      </c>
      <c r="E231" s="72" t="s">
        <v>30</v>
      </c>
      <c r="G231" s="72" t="s">
        <v>30</v>
      </c>
      <c r="H231" s="72" t="s">
        <v>30</v>
      </c>
      <c r="I231" s="31"/>
    </row>
    <row r="232">
      <c r="B232" s="72" t="s">
        <v>30</v>
      </c>
      <c r="C232" s="73" t="s">
        <v>30</v>
      </c>
      <c r="D232" s="72" t="s">
        <v>30</v>
      </c>
      <c r="E232" s="72" t="s">
        <v>30</v>
      </c>
      <c r="G232" s="72" t="s">
        <v>30</v>
      </c>
      <c r="H232" s="72" t="s">
        <v>30</v>
      </c>
      <c r="I232" s="31"/>
    </row>
    <row r="233">
      <c r="B233" s="72" t="s">
        <v>30</v>
      </c>
      <c r="C233" s="73" t="s">
        <v>30</v>
      </c>
      <c r="D233" s="72" t="s">
        <v>30</v>
      </c>
      <c r="E233" s="72" t="s">
        <v>30</v>
      </c>
      <c r="G233" s="72" t="s">
        <v>30</v>
      </c>
      <c r="H233" s="72" t="s">
        <v>30</v>
      </c>
      <c r="I233" s="31"/>
    </row>
    <row r="234">
      <c r="B234" s="72" t="s">
        <v>30</v>
      </c>
      <c r="C234" s="73" t="s">
        <v>30</v>
      </c>
      <c r="D234" s="72" t="s">
        <v>30</v>
      </c>
      <c r="E234" s="72" t="s">
        <v>30</v>
      </c>
      <c r="G234" s="72" t="s">
        <v>30</v>
      </c>
      <c r="H234" s="72" t="s">
        <v>30</v>
      </c>
      <c r="I234" s="31"/>
    </row>
    <row r="235">
      <c r="B235" s="72" t="s">
        <v>30</v>
      </c>
      <c r="C235" s="73" t="s">
        <v>30</v>
      </c>
      <c r="D235" s="72" t="s">
        <v>30</v>
      </c>
      <c r="E235" s="72" t="s">
        <v>30</v>
      </c>
      <c r="G235" s="72" t="s">
        <v>30</v>
      </c>
      <c r="H235" s="72" t="s">
        <v>30</v>
      </c>
      <c r="I235" s="31"/>
    </row>
    <row r="236">
      <c r="B236" s="72" t="s">
        <v>30</v>
      </c>
      <c r="C236" s="73" t="s">
        <v>30</v>
      </c>
      <c r="D236" s="72" t="s">
        <v>30</v>
      </c>
      <c r="E236" s="72" t="s">
        <v>30</v>
      </c>
      <c r="G236" s="72" t="s">
        <v>30</v>
      </c>
      <c r="H236" s="72" t="s">
        <v>30</v>
      </c>
      <c r="I236" s="31"/>
    </row>
    <row r="237">
      <c r="B237" s="72" t="s">
        <v>30</v>
      </c>
      <c r="C237" s="73" t="s">
        <v>30</v>
      </c>
      <c r="D237" s="72" t="s">
        <v>30</v>
      </c>
      <c r="E237" s="72" t="s">
        <v>30</v>
      </c>
      <c r="G237" s="72" t="s">
        <v>30</v>
      </c>
      <c r="H237" s="72" t="s">
        <v>30</v>
      </c>
      <c r="I237" s="31"/>
    </row>
    <row r="238">
      <c r="B238" s="72" t="s">
        <v>30</v>
      </c>
      <c r="C238" s="73" t="s">
        <v>30</v>
      </c>
      <c r="D238" s="72" t="s">
        <v>30</v>
      </c>
      <c r="E238" s="72" t="s">
        <v>30</v>
      </c>
      <c r="G238" s="72" t="s">
        <v>30</v>
      </c>
      <c r="H238" s="72" t="s">
        <v>30</v>
      </c>
      <c r="I238" s="31"/>
    </row>
    <row r="239">
      <c r="B239" s="72" t="s">
        <v>30</v>
      </c>
      <c r="C239" s="73" t="s">
        <v>30</v>
      </c>
      <c r="D239" s="72" t="s">
        <v>30</v>
      </c>
      <c r="E239" s="72" t="s">
        <v>30</v>
      </c>
      <c r="G239" s="72" t="s">
        <v>30</v>
      </c>
      <c r="H239" s="72" t="s">
        <v>30</v>
      </c>
      <c r="I239" s="31"/>
    </row>
    <row r="240">
      <c r="B240" s="72" t="s">
        <v>30</v>
      </c>
      <c r="C240" s="73" t="s">
        <v>30</v>
      </c>
      <c r="D240" s="72" t="s">
        <v>30</v>
      </c>
      <c r="E240" s="72" t="s">
        <v>30</v>
      </c>
      <c r="G240" s="72" t="s">
        <v>30</v>
      </c>
      <c r="H240" s="72" t="s">
        <v>30</v>
      </c>
      <c r="I240" s="31"/>
    </row>
    <row r="241">
      <c r="B241" s="72" t="s">
        <v>30</v>
      </c>
      <c r="C241" s="73" t="s">
        <v>30</v>
      </c>
      <c r="D241" s="72" t="s">
        <v>30</v>
      </c>
      <c r="E241" s="72" t="s">
        <v>30</v>
      </c>
      <c r="G241" s="72" t="s">
        <v>30</v>
      </c>
      <c r="H241" s="72" t="s">
        <v>30</v>
      </c>
      <c r="I241" s="31"/>
    </row>
    <row r="242">
      <c r="B242" s="72" t="s">
        <v>30</v>
      </c>
      <c r="C242" s="73" t="s">
        <v>30</v>
      </c>
      <c r="D242" s="72" t="s">
        <v>30</v>
      </c>
      <c r="E242" s="72" t="s">
        <v>30</v>
      </c>
      <c r="G242" s="72" t="s">
        <v>30</v>
      </c>
      <c r="H242" s="72" t="s">
        <v>30</v>
      </c>
      <c r="I242" s="31"/>
    </row>
    <row r="243">
      <c r="B243" s="72" t="s">
        <v>30</v>
      </c>
      <c r="C243" s="73" t="s">
        <v>30</v>
      </c>
      <c r="D243" s="72" t="s">
        <v>30</v>
      </c>
      <c r="E243" s="72" t="s">
        <v>30</v>
      </c>
      <c r="G243" s="72" t="s">
        <v>30</v>
      </c>
      <c r="H243" s="72" t="s">
        <v>30</v>
      </c>
      <c r="I243" s="31"/>
    </row>
    <row r="244">
      <c r="B244" s="72" t="s">
        <v>30</v>
      </c>
      <c r="C244" s="73" t="s">
        <v>30</v>
      </c>
      <c r="D244" s="72" t="s">
        <v>30</v>
      </c>
      <c r="E244" s="72" t="s">
        <v>30</v>
      </c>
      <c r="G244" s="72" t="s">
        <v>30</v>
      </c>
      <c r="H244" s="72" t="s">
        <v>30</v>
      </c>
      <c r="I244" s="31"/>
    </row>
    <row r="245">
      <c r="B245" s="72" t="s">
        <v>30</v>
      </c>
      <c r="C245" s="73" t="s">
        <v>30</v>
      </c>
      <c r="D245" s="72" t="s">
        <v>30</v>
      </c>
      <c r="E245" s="72" t="s">
        <v>30</v>
      </c>
      <c r="G245" s="72" t="s">
        <v>30</v>
      </c>
      <c r="H245" s="72" t="s">
        <v>30</v>
      </c>
      <c r="I245" s="31"/>
    </row>
    <row r="246">
      <c r="B246" s="72" t="s">
        <v>30</v>
      </c>
      <c r="C246" s="73" t="s">
        <v>30</v>
      </c>
      <c r="D246" s="72" t="s">
        <v>30</v>
      </c>
      <c r="E246" s="72" t="s">
        <v>30</v>
      </c>
      <c r="G246" s="72" t="s">
        <v>30</v>
      </c>
      <c r="H246" s="72" t="s">
        <v>30</v>
      </c>
      <c r="I246" s="31"/>
    </row>
    <row r="247">
      <c r="B247" s="72" t="s">
        <v>30</v>
      </c>
      <c r="C247" s="73" t="s">
        <v>30</v>
      </c>
      <c r="D247" s="72" t="s">
        <v>30</v>
      </c>
      <c r="E247" s="72" t="s">
        <v>30</v>
      </c>
      <c r="G247" s="72" t="s">
        <v>30</v>
      </c>
      <c r="H247" s="72" t="s">
        <v>30</v>
      </c>
      <c r="I247" s="31"/>
    </row>
    <row r="248">
      <c r="B248" s="72" t="s">
        <v>30</v>
      </c>
      <c r="C248" s="73" t="s">
        <v>30</v>
      </c>
      <c r="D248" s="72" t="s">
        <v>30</v>
      </c>
      <c r="E248" s="72" t="s">
        <v>30</v>
      </c>
      <c r="G248" s="72" t="s">
        <v>30</v>
      </c>
      <c r="H248" s="72" t="s">
        <v>30</v>
      </c>
      <c r="I248" s="31"/>
    </row>
    <row r="249">
      <c r="B249" s="72" t="s">
        <v>30</v>
      </c>
      <c r="C249" s="73" t="s">
        <v>30</v>
      </c>
      <c r="D249" s="72" t="s">
        <v>30</v>
      </c>
      <c r="E249" s="72" t="s">
        <v>30</v>
      </c>
      <c r="G249" s="72" t="s">
        <v>30</v>
      </c>
      <c r="H249" s="72" t="s">
        <v>30</v>
      </c>
      <c r="I249" s="31"/>
    </row>
    <row r="250">
      <c r="B250" s="72" t="s">
        <v>30</v>
      </c>
      <c r="C250" s="73" t="s">
        <v>30</v>
      </c>
      <c r="D250" s="72" t="s">
        <v>30</v>
      </c>
      <c r="E250" s="72" t="s">
        <v>30</v>
      </c>
      <c r="G250" s="72" t="s">
        <v>30</v>
      </c>
      <c r="H250" s="72" t="s">
        <v>30</v>
      </c>
      <c r="I250" s="31"/>
    </row>
    <row r="251">
      <c r="B251" s="72" t="s">
        <v>30</v>
      </c>
      <c r="C251" s="73" t="s">
        <v>30</v>
      </c>
      <c r="D251" s="72" t="s">
        <v>30</v>
      </c>
      <c r="E251" s="72" t="s">
        <v>30</v>
      </c>
      <c r="G251" s="72" t="s">
        <v>30</v>
      </c>
      <c r="H251" s="72" t="s">
        <v>30</v>
      </c>
      <c r="I251" s="31"/>
    </row>
    <row r="252">
      <c r="B252" s="72" t="s">
        <v>30</v>
      </c>
      <c r="C252" s="73" t="s">
        <v>30</v>
      </c>
      <c r="D252" s="72" t="s">
        <v>30</v>
      </c>
      <c r="E252" s="72" t="s">
        <v>30</v>
      </c>
      <c r="G252" s="72" t="s">
        <v>30</v>
      </c>
      <c r="H252" s="72" t="s">
        <v>30</v>
      </c>
      <c r="I252" s="31"/>
    </row>
    <row r="253">
      <c r="B253" s="72" t="s">
        <v>30</v>
      </c>
      <c r="C253" s="73" t="s">
        <v>30</v>
      </c>
      <c r="D253" s="72" t="s">
        <v>30</v>
      </c>
      <c r="E253" s="72" t="s">
        <v>30</v>
      </c>
      <c r="G253" s="72" t="s">
        <v>30</v>
      </c>
      <c r="H253" s="72" t="s">
        <v>30</v>
      </c>
      <c r="I253" s="31"/>
    </row>
    <row r="254">
      <c r="B254" s="72" t="s">
        <v>30</v>
      </c>
      <c r="C254" s="73" t="s">
        <v>30</v>
      </c>
      <c r="D254" s="72" t="s">
        <v>30</v>
      </c>
      <c r="E254" s="72" t="s">
        <v>30</v>
      </c>
      <c r="G254" s="72" t="s">
        <v>30</v>
      </c>
      <c r="H254" s="72" t="s">
        <v>30</v>
      </c>
      <c r="I254" s="31"/>
    </row>
    <row r="255">
      <c r="B255" s="72" t="s">
        <v>30</v>
      </c>
      <c r="C255" s="73" t="s">
        <v>30</v>
      </c>
      <c r="D255" s="72" t="s">
        <v>30</v>
      </c>
      <c r="E255" s="72" t="s">
        <v>30</v>
      </c>
      <c r="G255" s="72" t="s">
        <v>30</v>
      </c>
      <c r="H255" s="72" t="s">
        <v>30</v>
      </c>
      <c r="I255" s="31"/>
    </row>
    <row r="256">
      <c r="B256" s="72" t="s">
        <v>30</v>
      </c>
      <c r="C256" s="73" t="s">
        <v>30</v>
      </c>
      <c r="D256" s="72" t="s">
        <v>30</v>
      </c>
      <c r="E256" s="72" t="s">
        <v>30</v>
      </c>
      <c r="G256" s="72" t="s">
        <v>30</v>
      </c>
      <c r="H256" s="72" t="s">
        <v>30</v>
      </c>
      <c r="I256" s="31"/>
    </row>
    <row r="257">
      <c r="B257" s="72" t="s">
        <v>30</v>
      </c>
      <c r="C257" s="73" t="s">
        <v>30</v>
      </c>
      <c r="D257" s="72" t="s">
        <v>30</v>
      </c>
      <c r="E257" s="72" t="s">
        <v>30</v>
      </c>
      <c r="G257" s="72" t="s">
        <v>30</v>
      </c>
      <c r="H257" s="72" t="s">
        <v>30</v>
      </c>
      <c r="I257" s="31"/>
    </row>
    <row r="258">
      <c r="B258" s="72" t="s">
        <v>30</v>
      </c>
      <c r="C258" s="73" t="s">
        <v>30</v>
      </c>
      <c r="D258" s="72" t="s">
        <v>30</v>
      </c>
      <c r="E258" s="72" t="s">
        <v>30</v>
      </c>
      <c r="G258" s="72" t="s">
        <v>30</v>
      </c>
      <c r="H258" s="72" t="s">
        <v>30</v>
      </c>
      <c r="I258" s="31"/>
    </row>
    <row r="259">
      <c r="B259" s="72" t="s">
        <v>30</v>
      </c>
      <c r="C259" s="73" t="s">
        <v>30</v>
      </c>
      <c r="D259" s="72" t="s">
        <v>30</v>
      </c>
      <c r="E259" s="72" t="s">
        <v>30</v>
      </c>
      <c r="G259" s="72" t="s">
        <v>30</v>
      </c>
      <c r="H259" s="72" t="s">
        <v>30</v>
      </c>
      <c r="I259" s="31"/>
    </row>
    <row r="260">
      <c r="B260" s="72" t="s">
        <v>30</v>
      </c>
      <c r="C260" s="73" t="s">
        <v>30</v>
      </c>
      <c r="D260" s="72" t="s">
        <v>30</v>
      </c>
      <c r="E260" s="72" t="s">
        <v>30</v>
      </c>
      <c r="G260" s="72" t="s">
        <v>30</v>
      </c>
      <c r="H260" s="72" t="s">
        <v>30</v>
      </c>
      <c r="I260" s="31"/>
    </row>
    <row r="261">
      <c r="B261" s="72" t="s">
        <v>30</v>
      </c>
      <c r="C261" s="73" t="s">
        <v>30</v>
      </c>
      <c r="D261" s="72" t="s">
        <v>30</v>
      </c>
      <c r="E261" s="72" t="s">
        <v>30</v>
      </c>
      <c r="G261" s="72" t="s">
        <v>30</v>
      </c>
      <c r="H261" s="72" t="s">
        <v>30</v>
      </c>
      <c r="I261" s="31"/>
    </row>
    <row r="262">
      <c r="B262" s="72" t="s">
        <v>30</v>
      </c>
      <c r="C262" s="73" t="s">
        <v>30</v>
      </c>
      <c r="D262" s="72" t="s">
        <v>30</v>
      </c>
      <c r="E262" s="72" t="s">
        <v>30</v>
      </c>
      <c r="G262" s="72" t="s">
        <v>30</v>
      </c>
      <c r="H262" s="72" t="s">
        <v>30</v>
      </c>
      <c r="I262" s="31"/>
    </row>
    <row r="263">
      <c r="B263" s="72" t="s">
        <v>30</v>
      </c>
      <c r="C263" s="73" t="s">
        <v>30</v>
      </c>
      <c r="D263" s="72" t="s">
        <v>30</v>
      </c>
      <c r="E263" s="72" t="s">
        <v>30</v>
      </c>
      <c r="G263" s="72" t="s">
        <v>30</v>
      </c>
      <c r="H263" s="72" t="s">
        <v>30</v>
      </c>
      <c r="I263" s="31"/>
    </row>
    <row r="264">
      <c r="B264" s="72" t="s">
        <v>30</v>
      </c>
      <c r="C264" s="73" t="s">
        <v>30</v>
      </c>
      <c r="D264" s="72" t="s">
        <v>30</v>
      </c>
      <c r="E264" s="72" t="s">
        <v>30</v>
      </c>
      <c r="G264" s="72" t="s">
        <v>30</v>
      </c>
      <c r="H264" s="72" t="s">
        <v>30</v>
      </c>
      <c r="I264" s="31"/>
    </row>
    <row r="265">
      <c r="B265" s="72" t="s">
        <v>30</v>
      </c>
      <c r="C265" s="73" t="s">
        <v>30</v>
      </c>
      <c r="D265" s="72" t="s">
        <v>30</v>
      </c>
      <c r="E265" s="72" t="s">
        <v>30</v>
      </c>
      <c r="G265" s="72" t="s">
        <v>30</v>
      </c>
      <c r="H265" s="72" t="s">
        <v>30</v>
      </c>
      <c r="I265" s="31"/>
    </row>
    <row r="266">
      <c r="B266" s="72" t="s">
        <v>30</v>
      </c>
      <c r="C266" s="73" t="s">
        <v>30</v>
      </c>
      <c r="D266" s="72" t="s">
        <v>30</v>
      </c>
      <c r="E266" s="72" t="s">
        <v>30</v>
      </c>
      <c r="G266" s="72" t="s">
        <v>30</v>
      </c>
      <c r="H266" s="72" t="s">
        <v>30</v>
      </c>
      <c r="I266" s="31"/>
    </row>
    <row r="267">
      <c r="B267" s="72" t="s">
        <v>30</v>
      </c>
      <c r="C267" s="73" t="s">
        <v>30</v>
      </c>
      <c r="D267" s="72" t="s">
        <v>30</v>
      </c>
      <c r="E267" s="72" t="s">
        <v>30</v>
      </c>
      <c r="G267" s="72" t="s">
        <v>30</v>
      </c>
      <c r="H267" s="72" t="s">
        <v>30</v>
      </c>
      <c r="I267" s="31"/>
    </row>
    <row r="268">
      <c r="B268" s="72" t="s">
        <v>30</v>
      </c>
      <c r="C268" s="73" t="s">
        <v>30</v>
      </c>
      <c r="D268" s="72" t="s">
        <v>30</v>
      </c>
      <c r="E268" s="72" t="s">
        <v>30</v>
      </c>
      <c r="G268" s="72" t="s">
        <v>30</v>
      </c>
      <c r="H268" s="72" t="s">
        <v>30</v>
      </c>
      <c r="I268" s="31"/>
    </row>
    <row r="269">
      <c r="B269" s="72" t="s">
        <v>30</v>
      </c>
      <c r="C269" s="73" t="s">
        <v>30</v>
      </c>
      <c r="D269" s="72" t="s">
        <v>30</v>
      </c>
      <c r="E269" s="72" t="s">
        <v>30</v>
      </c>
      <c r="G269" s="72" t="s">
        <v>30</v>
      </c>
      <c r="H269" s="72" t="s">
        <v>30</v>
      </c>
      <c r="I269" s="31"/>
    </row>
    <row r="270">
      <c r="B270" s="72" t="s">
        <v>30</v>
      </c>
      <c r="C270" s="73" t="s">
        <v>30</v>
      </c>
      <c r="D270" s="72" t="s">
        <v>30</v>
      </c>
      <c r="E270" s="72" t="s">
        <v>30</v>
      </c>
      <c r="G270" s="72" t="s">
        <v>30</v>
      </c>
      <c r="H270" s="72" t="s">
        <v>30</v>
      </c>
      <c r="I270" s="31"/>
    </row>
    <row r="271">
      <c r="B271" s="72" t="s">
        <v>30</v>
      </c>
      <c r="C271" s="73" t="s">
        <v>30</v>
      </c>
      <c r="D271" s="72" t="s">
        <v>30</v>
      </c>
      <c r="E271" s="72" t="s">
        <v>30</v>
      </c>
      <c r="G271" s="72" t="s">
        <v>30</v>
      </c>
      <c r="H271" s="72" t="s">
        <v>30</v>
      </c>
      <c r="I271" s="31"/>
    </row>
    <row r="272">
      <c r="B272" s="72" t="s">
        <v>30</v>
      </c>
      <c r="C272" s="73" t="s">
        <v>30</v>
      </c>
      <c r="D272" s="72" t="s">
        <v>30</v>
      </c>
      <c r="E272" s="72" t="s">
        <v>30</v>
      </c>
      <c r="G272" s="72" t="s">
        <v>30</v>
      </c>
      <c r="H272" s="72" t="s">
        <v>30</v>
      </c>
      <c r="I272" s="31"/>
    </row>
    <row r="273">
      <c r="B273" s="72" t="s">
        <v>30</v>
      </c>
      <c r="C273" s="73" t="s">
        <v>30</v>
      </c>
      <c r="D273" s="72" t="s">
        <v>30</v>
      </c>
      <c r="E273" s="72" t="s">
        <v>30</v>
      </c>
      <c r="G273" s="72" t="s">
        <v>30</v>
      </c>
      <c r="H273" s="72" t="s">
        <v>30</v>
      </c>
      <c r="I273" s="31"/>
    </row>
    <row r="274">
      <c r="B274" s="72" t="s">
        <v>30</v>
      </c>
      <c r="C274" s="73" t="s">
        <v>30</v>
      </c>
      <c r="D274" s="72" t="s">
        <v>30</v>
      </c>
      <c r="E274" s="72" t="s">
        <v>30</v>
      </c>
      <c r="G274" s="72" t="s">
        <v>30</v>
      </c>
      <c r="H274" s="72" t="s">
        <v>30</v>
      </c>
      <c r="I274" s="31"/>
    </row>
    <row r="275">
      <c r="B275" s="72" t="s">
        <v>30</v>
      </c>
      <c r="C275" s="73" t="s">
        <v>30</v>
      </c>
      <c r="D275" s="72" t="s">
        <v>30</v>
      </c>
      <c r="E275" s="72" t="s">
        <v>30</v>
      </c>
      <c r="G275" s="72" t="s">
        <v>30</v>
      </c>
      <c r="H275" s="72" t="s">
        <v>30</v>
      </c>
      <c r="I275" s="31"/>
    </row>
    <row r="276">
      <c r="B276" s="72" t="s">
        <v>30</v>
      </c>
      <c r="C276" s="73" t="s">
        <v>30</v>
      </c>
      <c r="D276" s="72" t="s">
        <v>30</v>
      </c>
      <c r="E276" s="72" t="s">
        <v>30</v>
      </c>
      <c r="G276" s="72" t="s">
        <v>30</v>
      </c>
      <c r="H276" s="72" t="s">
        <v>30</v>
      </c>
      <c r="I276" s="31"/>
    </row>
    <row r="277">
      <c r="B277" s="72" t="s">
        <v>30</v>
      </c>
      <c r="C277" s="73" t="s">
        <v>30</v>
      </c>
      <c r="D277" s="72" t="s">
        <v>30</v>
      </c>
      <c r="E277" s="72" t="s">
        <v>30</v>
      </c>
      <c r="G277" s="72" t="s">
        <v>30</v>
      </c>
      <c r="H277" s="72" t="s">
        <v>30</v>
      </c>
      <c r="I277" s="31"/>
    </row>
    <row r="278">
      <c r="B278" s="72" t="s">
        <v>30</v>
      </c>
      <c r="C278" s="73" t="s">
        <v>30</v>
      </c>
      <c r="D278" s="72" t="s">
        <v>30</v>
      </c>
      <c r="E278" s="72" t="s">
        <v>30</v>
      </c>
      <c r="G278" s="72" t="s">
        <v>30</v>
      </c>
      <c r="H278" s="72" t="s">
        <v>30</v>
      </c>
      <c r="I278" s="31"/>
    </row>
    <row r="279">
      <c r="B279" s="72" t="s">
        <v>30</v>
      </c>
      <c r="C279" s="73" t="s">
        <v>30</v>
      </c>
      <c r="D279" s="72" t="s">
        <v>30</v>
      </c>
      <c r="E279" s="72" t="s">
        <v>30</v>
      </c>
      <c r="G279" s="72" t="s">
        <v>30</v>
      </c>
      <c r="H279" s="72" t="s">
        <v>30</v>
      </c>
      <c r="I279" s="31"/>
    </row>
    <row r="280">
      <c r="B280" s="72" t="s">
        <v>30</v>
      </c>
      <c r="C280" s="73" t="s">
        <v>30</v>
      </c>
      <c r="D280" s="72" t="s">
        <v>30</v>
      </c>
      <c r="E280" s="72" t="s">
        <v>30</v>
      </c>
      <c r="G280" s="72" t="s">
        <v>30</v>
      </c>
      <c r="H280" s="72" t="s">
        <v>30</v>
      </c>
      <c r="I280" s="31"/>
    </row>
    <row r="281">
      <c r="B281" s="72" t="s">
        <v>30</v>
      </c>
      <c r="C281" s="73" t="s">
        <v>30</v>
      </c>
      <c r="D281" s="72" t="s">
        <v>30</v>
      </c>
      <c r="E281" s="72" t="s">
        <v>30</v>
      </c>
      <c r="G281" s="72" t="s">
        <v>30</v>
      </c>
      <c r="H281" s="72" t="s">
        <v>30</v>
      </c>
      <c r="I281" s="31"/>
    </row>
    <row r="282">
      <c r="B282" s="72" t="s">
        <v>30</v>
      </c>
      <c r="C282" s="73" t="s">
        <v>30</v>
      </c>
      <c r="D282" s="72" t="s">
        <v>30</v>
      </c>
      <c r="E282" s="72" t="s">
        <v>30</v>
      </c>
      <c r="G282" s="72" t="s">
        <v>30</v>
      </c>
      <c r="H282" s="72" t="s">
        <v>30</v>
      </c>
      <c r="I282" s="31"/>
    </row>
    <row r="283">
      <c r="B283" s="72" t="s">
        <v>30</v>
      </c>
      <c r="C283" s="73" t="s">
        <v>30</v>
      </c>
      <c r="D283" s="72" t="s">
        <v>30</v>
      </c>
      <c r="E283" s="72" t="s">
        <v>30</v>
      </c>
      <c r="G283" s="72" t="s">
        <v>30</v>
      </c>
      <c r="H283" s="72" t="s">
        <v>30</v>
      </c>
      <c r="I283" s="31"/>
    </row>
    <row r="284">
      <c r="B284" s="72" t="s">
        <v>30</v>
      </c>
      <c r="C284" s="73" t="s">
        <v>30</v>
      </c>
      <c r="D284" s="72" t="s">
        <v>30</v>
      </c>
      <c r="E284" s="72" t="s">
        <v>30</v>
      </c>
      <c r="G284" s="72" t="s">
        <v>30</v>
      </c>
      <c r="H284" s="72" t="s">
        <v>30</v>
      </c>
      <c r="I284" s="31"/>
    </row>
    <row r="285">
      <c r="B285" s="72" t="s">
        <v>30</v>
      </c>
      <c r="C285" s="73" t="s">
        <v>30</v>
      </c>
      <c r="D285" s="72" t="s">
        <v>30</v>
      </c>
      <c r="E285" s="72" t="s">
        <v>30</v>
      </c>
      <c r="G285" s="72" t="s">
        <v>30</v>
      </c>
      <c r="H285" s="72" t="s">
        <v>30</v>
      </c>
      <c r="I285" s="31"/>
    </row>
    <row r="286">
      <c r="B286" s="72" t="s">
        <v>30</v>
      </c>
      <c r="C286" s="73" t="s">
        <v>30</v>
      </c>
      <c r="D286" s="72" t="s">
        <v>30</v>
      </c>
      <c r="E286" s="72" t="s">
        <v>30</v>
      </c>
      <c r="G286" s="72" t="s">
        <v>30</v>
      </c>
      <c r="H286" s="72" t="s">
        <v>30</v>
      </c>
      <c r="I286" s="31"/>
    </row>
    <row r="287">
      <c r="B287" s="72" t="s">
        <v>30</v>
      </c>
      <c r="C287" s="73" t="s">
        <v>30</v>
      </c>
      <c r="D287" s="72" t="s">
        <v>30</v>
      </c>
      <c r="E287" s="72" t="s">
        <v>30</v>
      </c>
      <c r="G287" s="72" t="s">
        <v>30</v>
      </c>
      <c r="H287" s="72" t="s">
        <v>30</v>
      </c>
      <c r="I287" s="31"/>
    </row>
    <row r="288">
      <c r="B288" s="72" t="s">
        <v>30</v>
      </c>
      <c r="C288" s="73" t="s">
        <v>30</v>
      </c>
      <c r="D288" s="72" t="s">
        <v>30</v>
      </c>
      <c r="E288" s="72" t="s">
        <v>30</v>
      </c>
      <c r="G288" s="72" t="s">
        <v>30</v>
      </c>
      <c r="H288" s="72" t="s">
        <v>30</v>
      </c>
      <c r="I288" s="31"/>
    </row>
    <row r="289">
      <c r="B289" s="72" t="s">
        <v>30</v>
      </c>
      <c r="C289" s="73" t="s">
        <v>30</v>
      </c>
      <c r="D289" s="72" t="s">
        <v>30</v>
      </c>
      <c r="E289" s="72" t="s">
        <v>30</v>
      </c>
      <c r="G289" s="72" t="s">
        <v>30</v>
      </c>
      <c r="H289" s="72" t="s">
        <v>30</v>
      </c>
      <c r="I289" s="31"/>
    </row>
    <row r="290">
      <c r="B290" s="72" t="s">
        <v>30</v>
      </c>
      <c r="C290" s="73" t="s">
        <v>30</v>
      </c>
      <c r="D290" s="72" t="s">
        <v>30</v>
      </c>
      <c r="E290" s="72" t="s">
        <v>30</v>
      </c>
      <c r="G290" s="72" t="s">
        <v>30</v>
      </c>
      <c r="H290" s="72" t="s">
        <v>30</v>
      </c>
      <c r="I290" s="31"/>
    </row>
    <row r="291">
      <c r="B291" s="72" t="s">
        <v>30</v>
      </c>
      <c r="C291" s="73" t="s">
        <v>30</v>
      </c>
      <c r="D291" s="72" t="s">
        <v>30</v>
      </c>
      <c r="E291" s="72" t="s">
        <v>30</v>
      </c>
      <c r="G291" s="72" t="s">
        <v>30</v>
      </c>
      <c r="H291" s="72" t="s">
        <v>30</v>
      </c>
      <c r="I291" s="31"/>
    </row>
    <row r="292">
      <c r="B292" s="72" t="s">
        <v>30</v>
      </c>
      <c r="C292" s="73" t="s">
        <v>30</v>
      </c>
      <c r="D292" s="72" t="s">
        <v>30</v>
      </c>
      <c r="E292" s="72" t="s">
        <v>30</v>
      </c>
      <c r="G292" s="72" t="s">
        <v>30</v>
      </c>
      <c r="H292" s="72" t="s">
        <v>30</v>
      </c>
      <c r="I292" s="31"/>
    </row>
    <row r="293">
      <c r="B293" s="72" t="s">
        <v>30</v>
      </c>
      <c r="C293" s="73" t="s">
        <v>30</v>
      </c>
      <c r="D293" s="72" t="s">
        <v>30</v>
      </c>
      <c r="E293" s="72" t="s">
        <v>30</v>
      </c>
      <c r="G293" s="72" t="s">
        <v>30</v>
      </c>
      <c r="H293" s="72" t="s">
        <v>30</v>
      </c>
      <c r="I293" s="31"/>
    </row>
    <row r="294">
      <c r="B294" s="72" t="s">
        <v>30</v>
      </c>
      <c r="C294" s="73" t="s">
        <v>30</v>
      </c>
      <c r="D294" s="72" t="s">
        <v>30</v>
      </c>
      <c r="E294" s="72" t="s">
        <v>30</v>
      </c>
      <c r="G294" s="72" t="s">
        <v>30</v>
      </c>
      <c r="H294" s="72" t="s">
        <v>30</v>
      </c>
      <c r="I294" s="31"/>
    </row>
    <row r="295">
      <c r="B295" s="72" t="s">
        <v>30</v>
      </c>
      <c r="C295" s="73" t="s">
        <v>30</v>
      </c>
      <c r="D295" s="72" t="s">
        <v>30</v>
      </c>
      <c r="E295" s="72" t="s">
        <v>30</v>
      </c>
      <c r="G295" s="72" t="s">
        <v>30</v>
      </c>
      <c r="H295" s="72" t="s">
        <v>30</v>
      </c>
      <c r="I295" s="31"/>
    </row>
    <row r="296">
      <c r="B296" s="72" t="s">
        <v>30</v>
      </c>
      <c r="C296" s="73" t="s">
        <v>30</v>
      </c>
      <c r="D296" s="72" t="s">
        <v>30</v>
      </c>
      <c r="E296" s="72" t="s">
        <v>30</v>
      </c>
      <c r="G296" s="72" t="s">
        <v>30</v>
      </c>
      <c r="H296" s="72" t="s">
        <v>30</v>
      </c>
      <c r="I296" s="31"/>
    </row>
    <row r="297">
      <c r="B297" s="72" t="s">
        <v>30</v>
      </c>
      <c r="C297" s="73" t="s">
        <v>30</v>
      </c>
      <c r="D297" s="72" t="s">
        <v>30</v>
      </c>
      <c r="E297" s="72" t="s">
        <v>30</v>
      </c>
      <c r="G297" s="72" t="s">
        <v>30</v>
      </c>
      <c r="H297" s="72" t="s">
        <v>30</v>
      </c>
      <c r="I297" s="31"/>
    </row>
    <row r="298">
      <c r="B298" s="72" t="s">
        <v>30</v>
      </c>
      <c r="C298" s="73" t="s">
        <v>30</v>
      </c>
      <c r="D298" s="72" t="s">
        <v>30</v>
      </c>
      <c r="E298" s="72" t="s">
        <v>30</v>
      </c>
      <c r="G298" s="72" t="s">
        <v>30</v>
      </c>
      <c r="H298" s="72" t="s">
        <v>30</v>
      </c>
      <c r="I298" s="31"/>
    </row>
    <row r="299">
      <c r="B299" s="72" t="s">
        <v>30</v>
      </c>
      <c r="C299" s="73" t="s">
        <v>30</v>
      </c>
      <c r="D299" s="72" t="s">
        <v>30</v>
      </c>
      <c r="E299" s="72" t="s">
        <v>30</v>
      </c>
      <c r="G299" s="72" t="s">
        <v>30</v>
      </c>
      <c r="H299" s="72" t="s">
        <v>30</v>
      </c>
      <c r="I299" s="31"/>
    </row>
    <row r="300">
      <c r="B300" s="72" t="s">
        <v>30</v>
      </c>
      <c r="C300" s="73" t="s">
        <v>30</v>
      </c>
      <c r="D300" s="72" t="s">
        <v>30</v>
      </c>
      <c r="E300" s="72" t="s">
        <v>30</v>
      </c>
      <c r="G300" s="72" t="s">
        <v>30</v>
      </c>
      <c r="H300" s="72" t="s">
        <v>30</v>
      </c>
      <c r="I300" s="31"/>
    </row>
    <row r="301">
      <c r="B301" s="72" t="s">
        <v>30</v>
      </c>
      <c r="C301" s="73" t="s">
        <v>30</v>
      </c>
      <c r="D301" s="72" t="s">
        <v>30</v>
      </c>
      <c r="E301" s="72" t="s">
        <v>30</v>
      </c>
      <c r="G301" s="72" t="s">
        <v>30</v>
      </c>
      <c r="H301" s="72" t="s">
        <v>30</v>
      </c>
      <c r="I301" s="31"/>
    </row>
    <row r="302">
      <c r="B302" s="72" t="s">
        <v>30</v>
      </c>
      <c r="C302" s="73" t="s">
        <v>30</v>
      </c>
      <c r="D302" s="72" t="s">
        <v>30</v>
      </c>
      <c r="E302" s="72" t="s">
        <v>30</v>
      </c>
      <c r="G302" s="72" t="s">
        <v>30</v>
      </c>
      <c r="H302" s="72" t="s">
        <v>30</v>
      </c>
      <c r="I302" s="31"/>
    </row>
    <row r="303">
      <c r="B303" s="72" t="s">
        <v>30</v>
      </c>
      <c r="C303" s="73" t="s">
        <v>30</v>
      </c>
      <c r="D303" s="72" t="s">
        <v>30</v>
      </c>
      <c r="E303" s="72" t="s">
        <v>30</v>
      </c>
      <c r="G303" s="72" t="s">
        <v>30</v>
      </c>
      <c r="H303" s="72" t="s">
        <v>30</v>
      </c>
      <c r="I303" s="31"/>
    </row>
    <row r="304">
      <c r="B304" s="72" t="s">
        <v>30</v>
      </c>
      <c r="C304" s="73" t="s">
        <v>30</v>
      </c>
      <c r="D304" s="72" t="s">
        <v>30</v>
      </c>
      <c r="E304" s="72" t="s">
        <v>30</v>
      </c>
      <c r="G304" s="72" t="s">
        <v>30</v>
      </c>
      <c r="H304" s="72" t="s">
        <v>30</v>
      </c>
      <c r="I304" s="31"/>
    </row>
    <row r="305">
      <c r="B305" s="72" t="s">
        <v>30</v>
      </c>
      <c r="C305" s="73" t="s">
        <v>30</v>
      </c>
      <c r="D305" s="72" t="s">
        <v>30</v>
      </c>
      <c r="E305" s="72" t="s">
        <v>30</v>
      </c>
      <c r="G305" s="72" t="s">
        <v>30</v>
      </c>
      <c r="H305" s="72" t="s">
        <v>30</v>
      </c>
      <c r="I305" s="31"/>
    </row>
    <row r="306">
      <c r="B306" s="72" t="s">
        <v>30</v>
      </c>
      <c r="C306" s="73" t="s">
        <v>30</v>
      </c>
      <c r="D306" s="72" t="s">
        <v>30</v>
      </c>
      <c r="E306" s="72" t="s">
        <v>30</v>
      </c>
      <c r="G306" s="72" t="s">
        <v>30</v>
      </c>
      <c r="H306" s="72" t="s">
        <v>30</v>
      </c>
      <c r="I306" s="31"/>
    </row>
    <row r="307">
      <c r="B307" s="72" t="s">
        <v>30</v>
      </c>
      <c r="C307" s="73" t="s">
        <v>30</v>
      </c>
      <c r="D307" s="72" t="s">
        <v>30</v>
      </c>
      <c r="E307" s="72" t="s">
        <v>30</v>
      </c>
      <c r="G307" s="72" t="s">
        <v>30</v>
      </c>
      <c r="H307" s="72" t="s">
        <v>30</v>
      </c>
      <c r="I307" s="31"/>
    </row>
    <row r="308">
      <c r="B308" s="72" t="s">
        <v>30</v>
      </c>
      <c r="C308" s="73" t="s">
        <v>30</v>
      </c>
      <c r="D308" s="72" t="s">
        <v>30</v>
      </c>
      <c r="E308" s="72" t="s">
        <v>30</v>
      </c>
      <c r="G308" s="72" t="s">
        <v>30</v>
      </c>
      <c r="H308" s="72" t="s">
        <v>30</v>
      </c>
      <c r="I308" s="31"/>
    </row>
    <row r="309">
      <c r="B309" s="72" t="s">
        <v>30</v>
      </c>
      <c r="C309" s="73" t="s">
        <v>30</v>
      </c>
      <c r="D309" s="72" t="s">
        <v>30</v>
      </c>
      <c r="E309" s="72" t="s">
        <v>30</v>
      </c>
      <c r="G309" s="72" t="s">
        <v>30</v>
      </c>
      <c r="H309" s="72" t="s">
        <v>30</v>
      </c>
      <c r="I309" s="31"/>
    </row>
    <row r="310">
      <c r="B310" s="72" t="s">
        <v>30</v>
      </c>
      <c r="C310" s="73" t="s">
        <v>30</v>
      </c>
      <c r="D310" s="72" t="s">
        <v>30</v>
      </c>
      <c r="E310" s="72" t="s">
        <v>30</v>
      </c>
      <c r="G310" s="72" t="s">
        <v>30</v>
      </c>
      <c r="H310" s="72" t="s">
        <v>30</v>
      </c>
      <c r="I310" s="31"/>
    </row>
    <row r="311">
      <c r="B311" s="72" t="s">
        <v>30</v>
      </c>
      <c r="C311" s="73" t="s">
        <v>30</v>
      </c>
      <c r="D311" s="72" t="s">
        <v>30</v>
      </c>
      <c r="E311" s="72" t="s">
        <v>30</v>
      </c>
      <c r="G311" s="72" t="s">
        <v>30</v>
      </c>
      <c r="H311" s="72" t="s">
        <v>30</v>
      </c>
      <c r="I311" s="31"/>
    </row>
    <row r="312">
      <c r="B312" s="72" t="s">
        <v>30</v>
      </c>
      <c r="C312" s="73" t="s">
        <v>30</v>
      </c>
      <c r="D312" s="72" t="s">
        <v>30</v>
      </c>
      <c r="E312" s="72" t="s">
        <v>30</v>
      </c>
      <c r="G312" s="72" t="s">
        <v>30</v>
      </c>
      <c r="H312" s="72" t="s">
        <v>30</v>
      </c>
      <c r="I312" s="31"/>
    </row>
    <row r="313">
      <c r="B313" s="72" t="s">
        <v>30</v>
      </c>
      <c r="C313" s="73" t="s">
        <v>30</v>
      </c>
      <c r="D313" s="72" t="s">
        <v>30</v>
      </c>
      <c r="E313" s="72" t="s">
        <v>30</v>
      </c>
      <c r="G313" s="72" t="s">
        <v>30</v>
      </c>
      <c r="H313" s="72" t="s">
        <v>30</v>
      </c>
      <c r="I313" s="31"/>
    </row>
    <row r="314">
      <c r="B314" s="72" t="s">
        <v>30</v>
      </c>
      <c r="C314" s="73" t="s">
        <v>30</v>
      </c>
      <c r="D314" s="72" t="s">
        <v>30</v>
      </c>
      <c r="E314" s="72" t="s">
        <v>30</v>
      </c>
      <c r="G314" s="72" t="s">
        <v>30</v>
      </c>
      <c r="H314" s="72" t="s">
        <v>30</v>
      </c>
      <c r="I314" s="31"/>
    </row>
    <row r="315">
      <c r="B315" s="72" t="s">
        <v>30</v>
      </c>
      <c r="C315" s="73" t="s">
        <v>30</v>
      </c>
      <c r="D315" s="72" t="s">
        <v>30</v>
      </c>
      <c r="E315" s="72" t="s">
        <v>30</v>
      </c>
      <c r="G315" s="72" t="s">
        <v>30</v>
      </c>
      <c r="H315" s="72" t="s">
        <v>30</v>
      </c>
      <c r="I315" s="31"/>
    </row>
    <row r="316">
      <c r="B316" s="72" t="s">
        <v>30</v>
      </c>
      <c r="C316" s="73" t="s">
        <v>30</v>
      </c>
      <c r="D316" s="72" t="s">
        <v>30</v>
      </c>
      <c r="E316" s="72" t="s">
        <v>30</v>
      </c>
      <c r="G316" s="72" t="s">
        <v>30</v>
      </c>
      <c r="H316" s="72" t="s">
        <v>30</v>
      </c>
      <c r="I316" s="31"/>
    </row>
    <row r="317">
      <c r="B317" s="72" t="s">
        <v>30</v>
      </c>
      <c r="C317" s="73" t="s">
        <v>30</v>
      </c>
      <c r="D317" s="72" t="s">
        <v>30</v>
      </c>
      <c r="E317" s="72" t="s">
        <v>30</v>
      </c>
      <c r="G317" s="72" t="s">
        <v>30</v>
      </c>
      <c r="H317" s="72" t="s">
        <v>30</v>
      </c>
      <c r="I317" s="31"/>
    </row>
    <row r="318">
      <c r="B318" s="72" t="s">
        <v>30</v>
      </c>
      <c r="C318" s="73" t="s">
        <v>30</v>
      </c>
      <c r="D318" s="72" t="s">
        <v>30</v>
      </c>
      <c r="E318" s="72" t="s">
        <v>30</v>
      </c>
      <c r="G318" s="72" t="s">
        <v>30</v>
      </c>
      <c r="H318" s="72" t="s">
        <v>30</v>
      </c>
      <c r="I318" s="31"/>
    </row>
    <row r="319">
      <c r="B319" s="72" t="s">
        <v>30</v>
      </c>
      <c r="C319" s="73" t="s">
        <v>30</v>
      </c>
      <c r="D319" s="72" t="s">
        <v>30</v>
      </c>
      <c r="E319" s="72" t="s">
        <v>30</v>
      </c>
      <c r="G319" s="72" t="s">
        <v>30</v>
      </c>
      <c r="H319" s="72" t="s">
        <v>30</v>
      </c>
      <c r="I319" s="31"/>
    </row>
    <row r="320">
      <c r="B320" s="72" t="s">
        <v>30</v>
      </c>
      <c r="C320" s="73" t="s">
        <v>30</v>
      </c>
      <c r="D320" s="72" t="s">
        <v>30</v>
      </c>
      <c r="E320" s="72" t="s">
        <v>30</v>
      </c>
      <c r="G320" s="72" t="s">
        <v>30</v>
      </c>
      <c r="H320" s="72" t="s">
        <v>30</v>
      </c>
      <c r="I320" s="31"/>
    </row>
    <row r="321">
      <c r="B321" s="72" t="s">
        <v>30</v>
      </c>
      <c r="C321" s="73" t="s">
        <v>30</v>
      </c>
      <c r="D321" s="72" t="s">
        <v>30</v>
      </c>
      <c r="E321" s="72" t="s">
        <v>30</v>
      </c>
      <c r="G321" s="72" t="s">
        <v>30</v>
      </c>
      <c r="H321" s="72" t="s">
        <v>30</v>
      </c>
      <c r="I321" s="31"/>
    </row>
    <row r="322">
      <c r="B322" s="72" t="s">
        <v>30</v>
      </c>
      <c r="C322" s="73" t="s">
        <v>30</v>
      </c>
      <c r="D322" s="72" t="s">
        <v>30</v>
      </c>
      <c r="E322" s="72" t="s">
        <v>30</v>
      </c>
      <c r="G322" s="72" t="s">
        <v>30</v>
      </c>
      <c r="H322" s="72" t="s">
        <v>30</v>
      </c>
      <c r="I322" s="31"/>
    </row>
    <row r="323">
      <c r="B323" s="72" t="s">
        <v>30</v>
      </c>
      <c r="C323" s="73" t="s">
        <v>30</v>
      </c>
      <c r="D323" s="72" t="s">
        <v>30</v>
      </c>
      <c r="E323" s="72" t="s">
        <v>30</v>
      </c>
      <c r="G323" s="72" t="s">
        <v>30</v>
      </c>
      <c r="H323" s="72" t="s">
        <v>30</v>
      </c>
      <c r="I323" s="31"/>
    </row>
    <row r="324">
      <c r="B324" s="72" t="s">
        <v>30</v>
      </c>
      <c r="C324" s="73" t="s">
        <v>30</v>
      </c>
      <c r="D324" s="72" t="s">
        <v>30</v>
      </c>
      <c r="E324" s="72" t="s">
        <v>30</v>
      </c>
      <c r="G324" s="72" t="s">
        <v>30</v>
      </c>
      <c r="H324" s="72" t="s">
        <v>30</v>
      </c>
      <c r="I324" s="31"/>
    </row>
    <row r="325">
      <c r="B325" s="72" t="s">
        <v>30</v>
      </c>
      <c r="C325" s="73" t="s">
        <v>30</v>
      </c>
      <c r="D325" s="72" t="s">
        <v>30</v>
      </c>
      <c r="E325" s="72" t="s">
        <v>30</v>
      </c>
      <c r="G325" s="72" t="s">
        <v>30</v>
      </c>
      <c r="H325" s="72" t="s">
        <v>30</v>
      </c>
      <c r="I325" s="31"/>
    </row>
    <row r="326">
      <c r="B326" s="72" t="s">
        <v>30</v>
      </c>
      <c r="C326" s="73" t="s">
        <v>30</v>
      </c>
      <c r="D326" s="72" t="s">
        <v>30</v>
      </c>
      <c r="E326" s="72" t="s">
        <v>30</v>
      </c>
      <c r="G326" s="72" t="s">
        <v>30</v>
      </c>
      <c r="H326" s="72" t="s">
        <v>30</v>
      </c>
      <c r="I326" s="31"/>
    </row>
    <row r="327">
      <c r="B327" s="72" t="s">
        <v>30</v>
      </c>
      <c r="C327" s="73" t="s">
        <v>30</v>
      </c>
      <c r="D327" s="72" t="s">
        <v>30</v>
      </c>
      <c r="E327" s="72" t="s">
        <v>30</v>
      </c>
      <c r="G327" s="72" t="s">
        <v>30</v>
      </c>
      <c r="H327" s="72" t="s">
        <v>30</v>
      </c>
      <c r="I327" s="31"/>
    </row>
    <row r="328">
      <c r="B328" s="72" t="s">
        <v>30</v>
      </c>
      <c r="C328" s="73" t="s">
        <v>30</v>
      </c>
      <c r="D328" s="72" t="s">
        <v>30</v>
      </c>
      <c r="E328" s="72" t="s">
        <v>30</v>
      </c>
      <c r="G328" s="72" t="s">
        <v>30</v>
      </c>
      <c r="H328" s="72" t="s">
        <v>30</v>
      </c>
      <c r="I328" s="31"/>
    </row>
    <row r="329">
      <c r="B329" s="72" t="s">
        <v>30</v>
      </c>
      <c r="C329" s="73" t="s">
        <v>30</v>
      </c>
      <c r="D329" s="72" t="s">
        <v>30</v>
      </c>
      <c r="E329" s="72" t="s">
        <v>30</v>
      </c>
      <c r="G329" s="72" t="s">
        <v>30</v>
      </c>
      <c r="H329" s="72" t="s">
        <v>30</v>
      </c>
      <c r="I329" s="31"/>
    </row>
    <row r="330">
      <c r="B330" s="72" t="s">
        <v>30</v>
      </c>
      <c r="C330" s="73" t="s">
        <v>30</v>
      </c>
      <c r="D330" s="72" t="s">
        <v>30</v>
      </c>
      <c r="E330" s="72" t="s">
        <v>30</v>
      </c>
      <c r="G330" s="72" t="s">
        <v>30</v>
      </c>
      <c r="H330" s="72" t="s">
        <v>30</v>
      </c>
      <c r="I330" s="31"/>
    </row>
    <row r="331">
      <c r="B331" s="72" t="s">
        <v>30</v>
      </c>
      <c r="C331" s="73" t="s">
        <v>30</v>
      </c>
      <c r="D331" s="72" t="s">
        <v>30</v>
      </c>
      <c r="E331" s="72" t="s">
        <v>30</v>
      </c>
      <c r="G331" s="72" t="s">
        <v>30</v>
      </c>
      <c r="H331" s="72" t="s">
        <v>30</v>
      </c>
      <c r="I331" s="31"/>
    </row>
    <row r="332">
      <c r="B332" s="72" t="s">
        <v>30</v>
      </c>
      <c r="C332" s="73" t="s">
        <v>30</v>
      </c>
      <c r="D332" s="72" t="s">
        <v>30</v>
      </c>
      <c r="E332" s="72" t="s">
        <v>30</v>
      </c>
      <c r="G332" s="72" t="s">
        <v>30</v>
      </c>
      <c r="H332" s="72" t="s">
        <v>30</v>
      </c>
      <c r="I332" s="31"/>
    </row>
    <row r="333">
      <c r="B333" s="72" t="s">
        <v>30</v>
      </c>
      <c r="C333" s="73" t="s">
        <v>30</v>
      </c>
      <c r="D333" s="72" t="s">
        <v>30</v>
      </c>
      <c r="E333" s="72" t="s">
        <v>30</v>
      </c>
      <c r="G333" s="72" t="s">
        <v>30</v>
      </c>
      <c r="H333" s="72" t="s">
        <v>30</v>
      </c>
      <c r="I333" s="31"/>
    </row>
    <row r="334">
      <c r="B334" s="72" t="s">
        <v>30</v>
      </c>
      <c r="C334" s="73" t="s">
        <v>30</v>
      </c>
      <c r="D334" s="72" t="s">
        <v>30</v>
      </c>
      <c r="E334" s="72" t="s">
        <v>30</v>
      </c>
      <c r="G334" s="72" t="s">
        <v>30</v>
      </c>
      <c r="H334" s="72" t="s">
        <v>30</v>
      </c>
      <c r="I334" s="31"/>
    </row>
    <row r="335">
      <c r="B335" s="72" t="s">
        <v>30</v>
      </c>
      <c r="C335" s="73" t="s">
        <v>30</v>
      </c>
      <c r="D335" s="72" t="s">
        <v>30</v>
      </c>
      <c r="E335" s="72" t="s">
        <v>30</v>
      </c>
      <c r="G335" s="72" t="s">
        <v>30</v>
      </c>
      <c r="H335" s="72" t="s">
        <v>30</v>
      </c>
      <c r="I335" s="31"/>
    </row>
    <row r="336">
      <c r="B336" s="72" t="s">
        <v>30</v>
      </c>
      <c r="C336" s="73" t="s">
        <v>30</v>
      </c>
      <c r="D336" s="72" t="s">
        <v>30</v>
      </c>
      <c r="E336" s="72" t="s">
        <v>30</v>
      </c>
      <c r="G336" s="72" t="s">
        <v>30</v>
      </c>
      <c r="H336" s="72" t="s">
        <v>30</v>
      </c>
      <c r="I336" s="31"/>
    </row>
    <row r="337">
      <c r="B337" s="72" t="s">
        <v>30</v>
      </c>
      <c r="C337" s="73" t="s">
        <v>30</v>
      </c>
      <c r="D337" s="72" t="s">
        <v>30</v>
      </c>
      <c r="E337" s="72" t="s">
        <v>30</v>
      </c>
      <c r="G337" s="72" t="s">
        <v>30</v>
      </c>
      <c r="H337" s="72" t="s">
        <v>30</v>
      </c>
      <c r="I337" s="31"/>
    </row>
    <row r="338">
      <c r="B338" s="72" t="s">
        <v>30</v>
      </c>
      <c r="C338" s="73" t="s">
        <v>30</v>
      </c>
      <c r="D338" s="72" t="s">
        <v>30</v>
      </c>
      <c r="E338" s="72" t="s">
        <v>30</v>
      </c>
      <c r="G338" s="72" t="s">
        <v>30</v>
      </c>
      <c r="H338" s="72" t="s">
        <v>30</v>
      </c>
      <c r="I338" s="31"/>
    </row>
    <row r="339">
      <c r="B339" s="72" t="s">
        <v>30</v>
      </c>
      <c r="C339" s="73" t="s">
        <v>30</v>
      </c>
      <c r="D339" s="72" t="s">
        <v>30</v>
      </c>
      <c r="E339" s="72" t="s">
        <v>30</v>
      </c>
      <c r="G339" s="72" t="s">
        <v>30</v>
      </c>
      <c r="H339" s="72" t="s">
        <v>30</v>
      </c>
      <c r="I339" s="31"/>
    </row>
    <row r="340">
      <c r="B340" s="72" t="s">
        <v>30</v>
      </c>
      <c r="C340" s="73" t="s">
        <v>30</v>
      </c>
      <c r="D340" s="72" t="s">
        <v>30</v>
      </c>
      <c r="E340" s="72" t="s">
        <v>30</v>
      </c>
      <c r="G340" s="72" t="s">
        <v>30</v>
      </c>
      <c r="H340" s="72" t="s">
        <v>30</v>
      </c>
      <c r="I340" s="31"/>
    </row>
    <row r="341">
      <c r="B341" s="72" t="s">
        <v>30</v>
      </c>
      <c r="C341" s="73" t="s">
        <v>30</v>
      </c>
      <c r="D341" s="72" t="s">
        <v>30</v>
      </c>
      <c r="E341" s="72" t="s">
        <v>30</v>
      </c>
      <c r="G341" s="72" t="s">
        <v>30</v>
      </c>
      <c r="H341" s="72" t="s">
        <v>30</v>
      </c>
      <c r="I341" s="31"/>
    </row>
    <row r="342">
      <c r="B342" s="72" t="s">
        <v>30</v>
      </c>
      <c r="C342" s="73" t="s">
        <v>30</v>
      </c>
      <c r="D342" s="72" t="s">
        <v>30</v>
      </c>
      <c r="E342" s="72" t="s">
        <v>30</v>
      </c>
      <c r="G342" s="72" t="s">
        <v>30</v>
      </c>
      <c r="H342" s="72" t="s">
        <v>30</v>
      </c>
      <c r="I342" s="31"/>
    </row>
    <row r="343">
      <c r="B343" s="72" t="s">
        <v>30</v>
      </c>
      <c r="C343" s="73" t="s">
        <v>30</v>
      </c>
      <c r="D343" s="72" t="s">
        <v>30</v>
      </c>
      <c r="E343" s="72" t="s">
        <v>30</v>
      </c>
      <c r="G343" s="72" t="s">
        <v>30</v>
      </c>
      <c r="H343" s="72" t="s">
        <v>30</v>
      </c>
      <c r="I343" s="31"/>
    </row>
    <row r="344">
      <c r="B344" s="72" t="s">
        <v>30</v>
      </c>
      <c r="C344" s="73" t="s">
        <v>30</v>
      </c>
      <c r="D344" s="72" t="s">
        <v>30</v>
      </c>
      <c r="E344" s="72" t="s">
        <v>30</v>
      </c>
      <c r="G344" s="72" t="s">
        <v>30</v>
      </c>
      <c r="H344" s="72" t="s">
        <v>30</v>
      </c>
      <c r="I344" s="31"/>
    </row>
    <row r="345">
      <c r="B345" s="72" t="s">
        <v>30</v>
      </c>
      <c r="C345" s="73" t="s">
        <v>30</v>
      </c>
      <c r="D345" s="72" t="s">
        <v>30</v>
      </c>
      <c r="E345" s="72" t="s">
        <v>30</v>
      </c>
      <c r="G345" s="72" t="s">
        <v>30</v>
      </c>
      <c r="H345" s="72" t="s">
        <v>30</v>
      </c>
      <c r="I345" s="31"/>
    </row>
    <row r="346">
      <c r="B346" s="72" t="s">
        <v>30</v>
      </c>
      <c r="C346" s="73" t="s">
        <v>30</v>
      </c>
      <c r="D346" s="72" t="s">
        <v>30</v>
      </c>
      <c r="E346" s="72" t="s">
        <v>30</v>
      </c>
      <c r="G346" s="72" t="s">
        <v>30</v>
      </c>
      <c r="H346" s="72" t="s">
        <v>30</v>
      </c>
      <c r="I346" s="31"/>
    </row>
    <row r="347">
      <c r="B347" s="72" t="s">
        <v>30</v>
      </c>
      <c r="C347" s="73" t="s">
        <v>30</v>
      </c>
      <c r="D347" s="72" t="s">
        <v>30</v>
      </c>
      <c r="E347" s="72" t="s">
        <v>30</v>
      </c>
      <c r="G347" s="72" t="s">
        <v>30</v>
      </c>
      <c r="H347" s="72" t="s">
        <v>30</v>
      </c>
      <c r="I347" s="31"/>
    </row>
    <row r="348">
      <c r="B348" s="72" t="s">
        <v>30</v>
      </c>
      <c r="C348" s="73" t="s">
        <v>30</v>
      </c>
      <c r="D348" s="72" t="s">
        <v>30</v>
      </c>
      <c r="E348" s="72" t="s">
        <v>30</v>
      </c>
      <c r="G348" s="72" t="s">
        <v>30</v>
      </c>
      <c r="H348" s="72" t="s">
        <v>30</v>
      </c>
      <c r="I348" s="31"/>
    </row>
    <row r="349">
      <c r="B349" s="72" t="s">
        <v>30</v>
      </c>
      <c r="C349" s="73" t="s">
        <v>30</v>
      </c>
      <c r="D349" s="72" t="s">
        <v>30</v>
      </c>
      <c r="E349" s="72" t="s">
        <v>30</v>
      </c>
      <c r="G349" s="72" t="s">
        <v>30</v>
      </c>
      <c r="H349" s="72" t="s">
        <v>30</v>
      </c>
      <c r="I349" s="31"/>
    </row>
    <row r="350">
      <c r="B350" s="72" t="s">
        <v>30</v>
      </c>
      <c r="C350" s="73" t="s">
        <v>30</v>
      </c>
      <c r="D350" s="72" t="s">
        <v>30</v>
      </c>
      <c r="E350" s="72" t="s">
        <v>30</v>
      </c>
      <c r="G350" s="72" t="s">
        <v>30</v>
      </c>
      <c r="H350" s="72" t="s">
        <v>30</v>
      </c>
      <c r="I350" s="31"/>
    </row>
    <row r="351">
      <c r="B351" s="72" t="s">
        <v>30</v>
      </c>
      <c r="C351" s="73" t="s">
        <v>30</v>
      </c>
      <c r="D351" s="72" t="s">
        <v>30</v>
      </c>
      <c r="E351" s="72" t="s">
        <v>30</v>
      </c>
      <c r="G351" s="72" t="s">
        <v>30</v>
      </c>
      <c r="H351" s="72" t="s">
        <v>30</v>
      </c>
      <c r="I351" s="31"/>
    </row>
    <row r="352">
      <c r="B352" s="72" t="s">
        <v>30</v>
      </c>
      <c r="C352" s="73" t="s">
        <v>30</v>
      </c>
      <c r="D352" s="72" t="s">
        <v>30</v>
      </c>
      <c r="E352" s="72" t="s">
        <v>30</v>
      </c>
      <c r="G352" s="72" t="s">
        <v>30</v>
      </c>
      <c r="H352" s="72" t="s">
        <v>30</v>
      </c>
      <c r="I352" s="31"/>
    </row>
    <row r="353">
      <c r="B353" s="72" t="s">
        <v>30</v>
      </c>
      <c r="C353" s="73" t="s">
        <v>30</v>
      </c>
      <c r="D353" s="72" t="s">
        <v>30</v>
      </c>
      <c r="E353" s="72" t="s">
        <v>30</v>
      </c>
      <c r="G353" s="72" t="s">
        <v>30</v>
      </c>
      <c r="H353" s="72" t="s">
        <v>30</v>
      </c>
      <c r="I353" s="31"/>
    </row>
    <row r="354">
      <c r="B354" s="72" t="s">
        <v>30</v>
      </c>
      <c r="C354" s="73" t="s">
        <v>30</v>
      </c>
      <c r="D354" s="72" t="s">
        <v>30</v>
      </c>
      <c r="E354" s="72" t="s">
        <v>30</v>
      </c>
      <c r="G354" s="72" t="s">
        <v>30</v>
      </c>
      <c r="H354" s="72" t="s">
        <v>30</v>
      </c>
      <c r="I354" s="31"/>
    </row>
    <row r="355">
      <c r="B355" s="72" t="s">
        <v>30</v>
      </c>
      <c r="C355" s="73" t="s">
        <v>30</v>
      </c>
      <c r="D355" s="72" t="s">
        <v>30</v>
      </c>
      <c r="E355" s="72" t="s">
        <v>30</v>
      </c>
      <c r="G355" s="72" t="s">
        <v>30</v>
      </c>
      <c r="H355" s="72" t="s">
        <v>30</v>
      </c>
      <c r="I355" s="31"/>
    </row>
    <row r="356">
      <c r="B356" s="72" t="s">
        <v>30</v>
      </c>
      <c r="C356" s="73" t="s">
        <v>30</v>
      </c>
      <c r="D356" s="72" t="s">
        <v>30</v>
      </c>
      <c r="E356" s="72" t="s">
        <v>30</v>
      </c>
      <c r="G356" s="72" t="s">
        <v>30</v>
      </c>
      <c r="H356" s="72" t="s">
        <v>30</v>
      </c>
      <c r="I356" s="31"/>
    </row>
    <row r="357">
      <c r="B357" s="72" t="s">
        <v>30</v>
      </c>
      <c r="C357" s="73" t="s">
        <v>30</v>
      </c>
      <c r="D357" s="72" t="s">
        <v>30</v>
      </c>
      <c r="E357" s="72" t="s">
        <v>30</v>
      </c>
      <c r="G357" s="72" t="s">
        <v>30</v>
      </c>
      <c r="H357" s="72" t="s">
        <v>30</v>
      </c>
      <c r="I357" s="31"/>
    </row>
    <row r="358">
      <c r="B358" s="72" t="s">
        <v>30</v>
      </c>
      <c r="C358" s="73" t="s">
        <v>30</v>
      </c>
      <c r="D358" s="72" t="s">
        <v>30</v>
      </c>
      <c r="E358" s="72" t="s">
        <v>30</v>
      </c>
      <c r="G358" s="72" t="s">
        <v>30</v>
      </c>
      <c r="H358" s="72" t="s">
        <v>30</v>
      </c>
      <c r="I358" s="31"/>
    </row>
    <row r="359">
      <c r="B359" s="72" t="s">
        <v>30</v>
      </c>
      <c r="C359" s="73" t="s">
        <v>30</v>
      </c>
      <c r="D359" s="72" t="s">
        <v>30</v>
      </c>
      <c r="E359" s="72" t="s">
        <v>30</v>
      </c>
      <c r="G359" s="72" t="s">
        <v>30</v>
      </c>
      <c r="H359" s="72" t="s">
        <v>30</v>
      </c>
      <c r="I359" s="31"/>
    </row>
    <row r="360">
      <c r="B360" s="72" t="s">
        <v>30</v>
      </c>
      <c r="C360" s="73" t="s">
        <v>30</v>
      </c>
      <c r="D360" s="72" t="s">
        <v>30</v>
      </c>
      <c r="E360" s="72" t="s">
        <v>30</v>
      </c>
      <c r="G360" s="72" t="s">
        <v>30</v>
      </c>
      <c r="H360" s="72" t="s">
        <v>30</v>
      </c>
      <c r="I360" s="31"/>
    </row>
    <row r="361">
      <c r="B361" s="72" t="s">
        <v>30</v>
      </c>
      <c r="C361" s="73" t="s">
        <v>30</v>
      </c>
      <c r="D361" s="72" t="s">
        <v>30</v>
      </c>
      <c r="E361" s="72" t="s">
        <v>30</v>
      </c>
      <c r="G361" s="72" t="s">
        <v>30</v>
      </c>
      <c r="H361" s="72" t="s">
        <v>30</v>
      </c>
      <c r="I361" s="31"/>
    </row>
    <row r="362">
      <c r="B362" s="72" t="s">
        <v>30</v>
      </c>
      <c r="C362" s="73" t="s">
        <v>30</v>
      </c>
      <c r="D362" s="72" t="s">
        <v>30</v>
      </c>
      <c r="E362" s="72" t="s">
        <v>30</v>
      </c>
      <c r="G362" s="72" t="s">
        <v>30</v>
      </c>
      <c r="H362" s="72" t="s">
        <v>30</v>
      </c>
      <c r="I362" s="31"/>
    </row>
    <row r="363">
      <c r="B363" s="72" t="s">
        <v>30</v>
      </c>
      <c r="C363" s="73" t="s">
        <v>30</v>
      </c>
      <c r="D363" s="72" t="s">
        <v>30</v>
      </c>
      <c r="E363" s="72" t="s">
        <v>30</v>
      </c>
      <c r="G363" s="72" t="s">
        <v>30</v>
      </c>
      <c r="H363" s="72" t="s">
        <v>30</v>
      </c>
      <c r="I363" s="31"/>
    </row>
    <row r="364">
      <c r="B364" s="72" t="s">
        <v>30</v>
      </c>
      <c r="C364" s="73" t="s">
        <v>30</v>
      </c>
      <c r="D364" s="72" t="s">
        <v>30</v>
      </c>
      <c r="E364" s="72" t="s">
        <v>30</v>
      </c>
      <c r="G364" s="72" t="s">
        <v>30</v>
      </c>
      <c r="H364" s="72" t="s">
        <v>30</v>
      </c>
      <c r="I364" s="31"/>
    </row>
    <row r="365">
      <c r="B365" s="72" t="s">
        <v>30</v>
      </c>
      <c r="C365" s="73" t="s">
        <v>30</v>
      </c>
      <c r="D365" s="72" t="s">
        <v>30</v>
      </c>
      <c r="E365" s="72" t="s">
        <v>30</v>
      </c>
      <c r="G365" s="72" t="s">
        <v>30</v>
      </c>
      <c r="H365" s="72" t="s">
        <v>30</v>
      </c>
      <c r="I365" s="31"/>
    </row>
    <row r="366">
      <c r="B366" s="72" t="s">
        <v>30</v>
      </c>
      <c r="C366" s="73" t="s">
        <v>30</v>
      </c>
      <c r="D366" s="72" t="s">
        <v>30</v>
      </c>
      <c r="E366" s="72" t="s">
        <v>30</v>
      </c>
      <c r="G366" s="72" t="s">
        <v>30</v>
      </c>
      <c r="H366" s="72" t="s">
        <v>30</v>
      </c>
      <c r="I366" s="31"/>
    </row>
    <row r="367">
      <c r="B367" s="72" t="s">
        <v>30</v>
      </c>
      <c r="C367" s="73" t="s">
        <v>30</v>
      </c>
      <c r="D367" s="72" t="s">
        <v>30</v>
      </c>
      <c r="E367" s="72" t="s">
        <v>30</v>
      </c>
      <c r="G367" s="72" t="s">
        <v>30</v>
      </c>
      <c r="H367" s="72" t="s">
        <v>30</v>
      </c>
      <c r="I367" s="31"/>
    </row>
    <row r="368">
      <c r="B368" s="72" t="s">
        <v>30</v>
      </c>
      <c r="C368" s="73" t="s">
        <v>30</v>
      </c>
      <c r="D368" s="72" t="s">
        <v>30</v>
      </c>
      <c r="E368" s="72" t="s">
        <v>30</v>
      </c>
      <c r="G368" s="72" t="s">
        <v>30</v>
      </c>
      <c r="H368" s="72" t="s">
        <v>30</v>
      </c>
      <c r="I368" s="31"/>
    </row>
    <row r="369">
      <c r="B369" s="72" t="s">
        <v>30</v>
      </c>
      <c r="C369" s="73" t="s">
        <v>30</v>
      </c>
      <c r="D369" s="72" t="s">
        <v>30</v>
      </c>
      <c r="E369" s="72" t="s">
        <v>30</v>
      </c>
      <c r="G369" s="72" t="s">
        <v>30</v>
      </c>
      <c r="H369" s="72" t="s">
        <v>30</v>
      </c>
      <c r="I369" s="31"/>
    </row>
    <row r="370">
      <c r="B370" s="72" t="s">
        <v>30</v>
      </c>
      <c r="C370" s="73" t="s">
        <v>30</v>
      </c>
      <c r="D370" s="72" t="s">
        <v>30</v>
      </c>
      <c r="E370" s="72" t="s">
        <v>30</v>
      </c>
      <c r="G370" s="72" t="s">
        <v>30</v>
      </c>
      <c r="H370" s="72" t="s">
        <v>30</v>
      </c>
      <c r="I370" s="31"/>
    </row>
    <row r="371">
      <c r="B371" s="72" t="s">
        <v>30</v>
      </c>
      <c r="C371" s="73" t="s">
        <v>30</v>
      </c>
      <c r="D371" s="72" t="s">
        <v>30</v>
      </c>
      <c r="E371" s="72" t="s">
        <v>30</v>
      </c>
      <c r="G371" s="72" t="s">
        <v>30</v>
      </c>
      <c r="H371" s="72" t="s">
        <v>30</v>
      </c>
      <c r="I371" s="31"/>
    </row>
    <row r="372">
      <c r="B372" s="72" t="s">
        <v>30</v>
      </c>
      <c r="C372" s="73" t="s">
        <v>30</v>
      </c>
      <c r="D372" s="72" t="s">
        <v>30</v>
      </c>
      <c r="E372" s="72" t="s">
        <v>30</v>
      </c>
      <c r="G372" s="72" t="s">
        <v>30</v>
      </c>
      <c r="H372" s="72" t="s">
        <v>30</v>
      </c>
      <c r="I372" s="31"/>
    </row>
    <row r="373">
      <c r="B373" s="72" t="s">
        <v>30</v>
      </c>
      <c r="C373" s="73" t="s">
        <v>30</v>
      </c>
      <c r="D373" s="72" t="s">
        <v>30</v>
      </c>
      <c r="E373" s="72" t="s">
        <v>30</v>
      </c>
      <c r="G373" s="72" t="s">
        <v>30</v>
      </c>
      <c r="H373" s="72" t="s">
        <v>30</v>
      </c>
      <c r="I373" s="31"/>
    </row>
    <row r="374">
      <c r="B374" s="72" t="s">
        <v>30</v>
      </c>
      <c r="C374" s="73" t="s">
        <v>30</v>
      </c>
      <c r="D374" s="72" t="s">
        <v>30</v>
      </c>
      <c r="E374" s="72" t="s">
        <v>30</v>
      </c>
      <c r="G374" s="72" t="s">
        <v>30</v>
      </c>
      <c r="H374" s="72" t="s">
        <v>30</v>
      </c>
      <c r="I374" s="31"/>
    </row>
    <row r="375">
      <c r="B375" s="72" t="s">
        <v>30</v>
      </c>
      <c r="C375" s="73" t="s">
        <v>30</v>
      </c>
      <c r="D375" s="72" t="s">
        <v>30</v>
      </c>
      <c r="E375" s="72" t="s">
        <v>30</v>
      </c>
      <c r="G375" s="72" t="s">
        <v>30</v>
      </c>
      <c r="H375" s="72" t="s">
        <v>30</v>
      </c>
      <c r="I375" s="31"/>
    </row>
    <row r="376">
      <c r="B376" s="72" t="s">
        <v>30</v>
      </c>
      <c r="C376" s="73" t="s">
        <v>30</v>
      </c>
      <c r="D376" s="72" t="s">
        <v>30</v>
      </c>
      <c r="E376" s="72" t="s">
        <v>30</v>
      </c>
      <c r="G376" s="72" t="s">
        <v>30</v>
      </c>
      <c r="H376" s="72" t="s">
        <v>30</v>
      </c>
      <c r="I376" s="31"/>
    </row>
    <row r="377">
      <c r="B377" s="72" t="s">
        <v>30</v>
      </c>
      <c r="C377" s="73" t="s">
        <v>30</v>
      </c>
      <c r="D377" s="72" t="s">
        <v>30</v>
      </c>
      <c r="E377" s="72" t="s">
        <v>30</v>
      </c>
      <c r="G377" s="72" t="s">
        <v>30</v>
      </c>
      <c r="H377" s="72" t="s">
        <v>30</v>
      </c>
      <c r="I377" s="31"/>
    </row>
    <row r="378">
      <c r="B378" s="72" t="s">
        <v>30</v>
      </c>
      <c r="C378" s="73" t="s">
        <v>30</v>
      </c>
      <c r="D378" s="72" t="s">
        <v>30</v>
      </c>
      <c r="E378" s="72" t="s">
        <v>30</v>
      </c>
      <c r="G378" s="72" t="s">
        <v>30</v>
      </c>
      <c r="H378" s="72" t="s">
        <v>30</v>
      </c>
      <c r="I378" s="31"/>
    </row>
    <row r="379">
      <c r="B379" s="72" t="s">
        <v>30</v>
      </c>
      <c r="C379" s="73" t="s">
        <v>30</v>
      </c>
      <c r="D379" s="72" t="s">
        <v>30</v>
      </c>
      <c r="E379" s="72" t="s">
        <v>30</v>
      </c>
      <c r="G379" s="72" t="s">
        <v>30</v>
      </c>
      <c r="H379" s="72" t="s">
        <v>30</v>
      </c>
      <c r="I379" s="31"/>
    </row>
    <row r="380">
      <c r="B380" s="72" t="s">
        <v>30</v>
      </c>
      <c r="C380" s="73" t="s">
        <v>30</v>
      </c>
      <c r="D380" s="72" t="s">
        <v>30</v>
      </c>
      <c r="E380" s="72" t="s">
        <v>30</v>
      </c>
      <c r="G380" s="72" t="s">
        <v>30</v>
      </c>
      <c r="H380" s="72" t="s">
        <v>30</v>
      </c>
      <c r="I380" s="31"/>
    </row>
    <row r="381">
      <c r="B381" s="72" t="s">
        <v>30</v>
      </c>
      <c r="C381" s="73" t="s">
        <v>30</v>
      </c>
      <c r="D381" s="72" t="s">
        <v>30</v>
      </c>
      <c r="E381" s="72" t="s">
        <v>30</v>
      </c>
      <c r="G381" s="72" t="s">
        <v>30</v>
      </c>
      <c r="H381" s="72" t="s">
        <v>30</v>
      </c>
      <c r="I381" s="31"/>
    </row>
    <row r="382">
      <c r="B382" s="72" t="s">
        <v>30</v>
      </c>
      <c r="C382" s="73" t="s">
        <v>30</v>
      </c>
      <c r="D382" s="72" t="s">
        <v>30</v>
      </c>
      <c r="E382" s="72" t="s">
        <v>30</v>
      </c>
      <c r="G382" s="72" t="s">
        <v>30</v>
      </c>
      <c r="H382" s="72" t="s">
        <v>30</v>
      </c>
      <c r="I382" s="31"/>
    </row>
    <row r="383">
      <c r="B383" s="72" t="s">
        <v>30</v>
      </c>
      <c r="C383" s="73" t="s">
        <v>30</v>
      </c>
      <c r="D383" s="72" t="s">
        <v>30</v>
      </c>
      <c r="E383" s="72" t="s">
        <v>30</v>
      </c>
      <c r="G383" s="72" t="s">
        <v>30</v>
      </c>
      <c r="H383" s="72" t="s">
        <v>30</v>
      </c>
      <c r="I383" s="31"/>
    </row>
    <row r="384">
      <c r="B384" s="72" t="s">
        <v>30</v>
      </c>
      <c r="C384" s="73" t="s">
        <v>30</v>
      </c>
      <c r="D384" s="72" t="s">
        <v>30</v>
      </c>
      <c r="E384" s="72" t="s">
        <v>30</v>
      </c>
      <c r="G384" s="72" t="s">
        <v>30</v>
      </c>
      <c r="H384" s="72" t="s">
        <v>30</v>
      </c>
      <c r="I384" s="31"/>
    </row>
    <row r="385">
      <c r="B385" s="72" t="s">
        <v>30</v>
      </c>
      <c r="C385" s="73" t="s">
        <v>30</v>
      </c>
      <c r="D385" s="72" t="s">
        <v>30</v>
      </c>
      <c r="E385" s="72" t="s">
        <v>30</v>
      </c>
      <c r="G385" s="72" t="s">
        <v>30</v>
      </c>
      <c r="H385" s="72" t="s">
        <v>30</v>
      </c>
      <c r="I385" s="31"/>
    </row>
    <row r="386">
      <c r="B386" s="72" t="s">
        <v>30</v>
      </c>
      <c r="C386" s="73" t="s">
        <v>30</v>
      </c>
      <c r="D386" s="72" t="s">
        <v>30</v>
      </c>
      <c r="E386" s="72" t="s">
        <v>30</v>
      </c>
      <c r="G386" s="72" t="s">
        <v>30</v>
      </c>
      <c r="H386" s="72" t="s">
        <v>30</v>
      </c>
      <c r="I386" s="31"/>
    </row>
    <row r="387">
      <c r="B387" s="72" t="s">
        <v>30</v>
      </c>
      <c r="C387" s="73" t="s">
        <v>30</v>
      </c>
      <c r="D387" s="72" t="s">
        <v>30</v>
      </c>
      <c r="E387" s="72" t="s">
        <v>30</v>
      </c>
      <c r="G387" s="72" t="s">
        <v>30</v>
      </c>
      <c r="H387" s="72" t="s">
        <v>30</v>
      </c>
      <c r="I387" s="31"/>
    </row>
    <row r="388">
      <c r="B388" s="72" t="s">
        <v>30</v>
      </c>
      <c r="C388" s="73" t="s">
        <v>30</v>
      </c>
      <c r="D388" s="72" t="s">
        <v>30</v>
      </c>
      <c r="E388" s="72" t="s">
        <v>30</v>
      </c>
      <c r="G388" s="72" t="s">
        <v>30</v>
      </c>
      <c r="H388" s="72" t="s">
        <v>30</v>
      </c>
      <c r="I388" s="31"/>
    </row>
    <row r="389">
      <c r="B389" s="72" t="s">
        <v>30</v>
      </c>
      <c r="C389" s="73" t="s">
        <v>30</v>
      </c>
      <c r="D389" s="72" t="s">
        <v>30</v>
      </c>
      <c r="E389" s="72" t="s">
        <v>30</v>
      </c>
      <c r="G389" s="72" t="s">
        <v>30</v>
      </c>
      <c r="H389" s="72" t="s">
        <v>30</v>
      </c>
      <c r="I389" s="31"/>
    </row>
    <row r="390">
      <c r="B390" s="72" t="s">
        <v>30</v>
      </c>
      <c r="C390" s="73" t="s">
        <v>30</v>
      </c>
      <c r="D390" s="72" t="s">
        <v>30</v>
      </c>
      <c r="E390" s="72" t="s">
        <v>30</v>
      </c>
      <c r="G390" s="72" t="s">
        <v>30</v>
      </c>
      <c r="H390" s="72" t="s">
        <v>30</v>
      </c>
      <c r="I390" s="31"/>
    </row>
    <row r="391">
      <c r="B391" s="72" t="s">
        <v>30</v>
      </c>
      <c r="C391" s="73" t="s">
        <v>30</v>
      </c>
      <c r="D391" s="72" t="s">
        <v>30</v>
      </c>
      <c r="E391" s="72" t="s">
        <v>30</v>
      </c>
      <c r="G391" s="72" t="s">
        <v>30</v>
      </c>
      <c r="H391" s="72" t="s">
        <v>30</v>
      </c>
      <c r="I391" s="31"/>
    </row>
    <row r="392">
      <c r="B392" s="72" t="s">
        <v>30</v>
      </c>
      <c r="C392" s="73" t="s">
        <v>30</v>
      </c>
      <c r="D392" s="72" t="s">
        <v>30</v>
      </c>
      <c r="E392" s="72" t="s">
        <v>30</v>
      </c>
      <c r="G392" s="72" t="s">
        <v>30</v>
      </c>
      <c r="H392" s="72" t="s">
        <v>30</v>
      </c>
      <c r="I392" s="31"/>
    </row>
    <row r="393">
      <c r="B393" s="72" t="s">
        <v>30</v>
      </c>
      <c r="C393" s="73" t="s">
        <v>30</v>
      </c>
      <c r="D393" s="72" t="s">
        <v>30</v>
      </c>
      <c r="E393" s="72" t="s">
        <v>30</v>
      </c>
      <c r="G393" s="72" t="s">
        <v>30</v>
      </c>
      <c r="H393" s="72" t="s">
        <v>30</v>
      </c>
      <c r="I393" s="31"/>
    </row>
    <row r="394">
      <c r="B394" s="72" t="s">
        <v>30</v>
      </c>
      <c r="C394" s="73" t="s">
        <v>30</v>
      </c>
      <c r="D394" s="72" t="s">
        <v>30</v>
      </c>
      <c r="E394" s="72" t="s">
        <v>30</v>
      </c>
      <c r="G394" s="72" t="s">
        <v>30</v>
      </c>
      <c r="H394" s="72" t="s">
        <v>30</v>
      </c>
      <c r="I394" s="31"/>
    </row>
    <row r="395">
      <c r="B395" s="72" t="s">
        <v>30</v>
      </c>
      <c r="C395" s="73" t="s">
        <v>30</v>
      </c>
      <c r="D395" s="72" t="s">
        <v>30</v>
      </c>
      <c r="E395" s="72" t="s">
        <v>30</v>
      </c>
      <c r="G395" s="72" t="s">
        <v>30</v>
      </c>
      <c r="H395" s="72" t="s">
        <v>30</v>
      </c>
      <c r="I395" s="31"/>
    </row>
    <row r="396">
      <c r="B396" s="72" t="s">
        <v>30</v>
      </c>
      <c r="C396" s="73" t="s">
        <v>30</v>
      </c>
      <c r="D396" s="72" t="s">
        <v>30</v>
      </c>
      <c r="E396" s="72" t="s">
        <v>30</v>
      </c>
      <c r="G396" s="72" t="s">
        <v>30</v>
      </c>
      <c r="H396" s="72" t="s">
        <v>30</v>
      </c>
      <c r="I396" s="31"/>
    </row>
    <row r="397">
      <c r="B397" s="72" t="s">
        <v>30</v>
      </c>
      <c r="C397" s="73" t="s">
        <v>30</v>
      </c>
      <c r="D397" s="72" t="s">
        <v>30</v>
      </c>
      <c r="E397" s="72" t="s">
        <v>30</v>
      </c>
      <c r="G397" s="72" t="s">
        <v>30</v>
      </c>
      <c r="H397" s="72" t="s">
        <v>30</v>
      </c>
      <c r="I397" s="31"/>
    </row>
    <row r="398">
      <c r="B398" s="72" t="s">
        <v>30</v>
      </c>
      <c r="C398" s="73" t="s">
        <v>30</v>
      </c>
      <c r="D398" s="72" t="s">
        <v>30</v>
      </c>
      <c r="E398" s="72" t="s">
        <v>30</v>
      </c>
      <c r="G398" s="72" t="s">
        <v>30</v>
      </c>
      <c r="H398" s="72" t="s">
        <v>30</v>
      </c>
      <c r="I398" s="31"/>
    </row>
    <row r="399">
      <c r="B399" s="72" t="s">
        <v>30</v>
      </c>
      <c r="C399" s="73" t="s">
        <v>30</v>
      </c>
      <c r="D399" s="72" t="s">
        <v>30</v>
      </c>
      <c r="E399" s="72" t="s">
        <v>30</v>
      </c>
      <c r="G399" s="72" t="s">
        <v>30</v>
      </c>
      <c r="H399" s="72" t="s">
        <v>30</v>
      </c>
      <c r="I399" s="31"/>
    </row>
    <row r="400">
      <c r="B400" s="72" t="s">
        <v>30</v>
      </c>
      <c r="C400" s="73" t="s">
        <v>30</v>
      </c>
      <c r="D400" s="72" t="s">
        <v>30</v>
      </c>
      <c r="E400" s="72" t="s">
        <v>30</v>
      </c>
      <c r="G400" s="72" t="s">
        <v>30</v>
      </c>
      <c r="H400" s="72" t="s">
        <v>30</v>
      </c>
      <c r="I400" s="31"/>
    </row>
    <row r="401">
      <c r="B401" s="72" t="s">
        <v>30</v>
      </c>
      <c r="C401" s="73" t="s">
        <v>30</v>
      </c>
      <c r="D401" s="72" t="s">
        <v>30</v>
      </c>
      <c r="E401" s="72" t="s">
        <v>30</v>
      </c>
      <c r="G401" s="72" t="s">
        <v>30</v>
      </c>
      <c r="H401" s="72" t="s">
        <v>30</v>
      </c>
      <c r="I401" s="31"/>
    </row>
    <row r="402">
      <c r="B402" s="72" t="s">
        <v>30</v>
      </c>
      <c r="C402" s="73" t="s">
        <v>30</v>
      </c>
      <c r="D402" s="72" t="s">
        <v>30</v>
      </c>
      <c r="E402" s="72" t="s">
        <v>30</v>
      </c>
      <c r="G402" s="72" t="s">
        <v>30</v>
      </c>
      <c r="H402" s="72" t="s">
        <v>30</v>
      </c>
      <c r="I402" s="31"/>
    </row>
    <row r="403">
      <c r="B403" s="72" t="s">
        <v>30</v>
      </c>
      <c r="C403" s="73" t="s">
        <v>30</v>
      </c>
      <c r="D403" s="72" t="s">
        <v>30</v>
      </c>
      <c r="E403" s="72" t="s">
        <v>30</v>
      </c>
      <c r="G403" s="72" t="s">
        <v>30</v>
      </c>
      <c r="H403" s="72" t="s">
        <v>30</v>
      </c>
      <c r="I403" s="31"/>
    </row>
    <row r="404">
      <c r="B404" s="72" t="s">
        <v>30</v>
      </c>
      <c r="C404" s="73" t="s">
        <v>30</v>
      </c>
      <c r="D404" s="72" t="s">
        <v>30</v>
      </c>
      <c r="E404" s="72" t="s">
        <v>30</v>
      </c>
      <c r="G404" s="72" t="s">
        <v>30</v>
      </c>
      <c r="H404" s="72" t="s">
        <v>30</v>
      </c>
      <c r="I404" s="31"/>
    </row>
    <row r="405">
      <c r="B405" s="72" t="s">
        <v>30</v>
      </c>
      <c r="C405" s="73" t="s">
        <v>30</v>
      </c>
      <c r="D405" s="72" t="s">
        <v>30</v>
      </c>
      <c r="E405" s="72" t="s">
        <v>30</v>
      </c>
      <c r="G405" s="72" t="s">
        <v>30</v>
      </c>
      <c r="H405" s="72" t="s">
        <v>30</v>
      </c>
      <c r="I405" s="31"/>
    </row>
    <row r="406">
      <c r="B406" s="72" t="s">
        <v>30</v>
      </c>
      <c r="C406" s="73" t="s">
        <v>30</v>
      </c>
      <c r="D406" s="72" t="s">
        <v>30</v>
      </c>
      <c r="E406" s="72" t="s">
        <v>30</v>
      </c>
      <c r="G406" s="72" t="s">
        <v>30</v>
      </c>
      <c r="H406" s="72" t="s">
        <v>30</v>
      </c>
      <c r="I406" s="31"/>
    </row>
    <row r="407">
      <c r="B407" s="72" t="s">
        <v>30</v>
      </c>
      <c r="C407" s="73" t="s">
        <v>30</v>
      </c>
      <c r="D407" s="72" t="s">
        <v>30</v>
      </c>
      <c r="E407" s="72" t="s">
        <v>30</v>
      </c>
      <c r="G407" s="72" t="s">
        <v>30</v>
      </c>
      <c r="H407" s="72" t="s">
        <v>30</v>
      </c>
      <c r="I407" s="31"/>
    </row>
    <row r="408">
      <c r="B408" s="72" t="s">
        <v>30</v>
      </c>
      <c r="C408" s="73" t="s">
        <v>30</v>
      </c>
      <c r="D408" s="72" t="s">
        <v>30</v>
      </c>
      <c r="E408" s="72" t="s">
        <v>30</v>
      </c>
      <c r="G408" s="72" t="s">
        <v>30</v>
      </c>
      <c r="H408" s="72" t="s">
        <v>30</v>
      </c>
      <c r="I408" s="31"/>
    </row>
    <row r="409">
      <c r="B409" s="72" t="s">
        <v>30</v>
      </c>
      <c r="C409" s="73" t="s">
        <v>30</v>
      </c>
      <c r="D409" s="72" t="s">
        <v>30</v>
      </c>
      <c r="E409" s="72" t="s">
        <v>30</v>
      </c>
      <c r="G409" s="72" t="s">
        <v>30</v>
      </c>
      <c r="H409" s="72" t="s">
        <v>30</v>
      </c>
      <c r="I409" s="31"/>
    </row>
    <row r="410">
      <c r="B410" s="72" t="s">
        <v>30</v>
      </c>
      <c r="C410" s="73" t="s">
        <v>30</v>
      </c>
      <c r="D410" s="72" t="s">
        <v>30</v>
      </c>
      <c r="E410" s="72" t="s">
        <v>30</v>
      </c>
      <c r="G410" s="72" t="s">
        <v>30</v>
      </c>
      <c r="H410" s="72" t="s">
        <v>30</v>
      </c>
      <c r="I410" s="31"/>
    </row>
    <row r="411">
      <c r="B411" s="72" t="s">
        <v>30</v>
      </c>
      <c r="C411" s="73" t="s">
        <v>30</v>
      </c>
      <c r="D411" s="72" t="s">
        <v>30</v>
      </c>
      <c r="E411" s="72" t="s">
        <v>30</v>
      </c>
      <c r="G411" s="72" t="s">
        <v>30</v>
      </c>
      <c r="H411" s="72" t="s">
        <v>30</v>
      </c>
      <c r="I411" s="31"/>
    </row>
    <row r="412">
      <c r="B412" s="72" t="s">
        <v>30</v>
      </c>
      <c r="C412" s="73" t="s">
        <v>30</v>
      </c>
      <c r="D412" s="72" t="s">
        <v>30</v>
      </c>
      <c r="E412" s="72" t="s">
        <v>30</v>
      </c>
      <c r="G412" s="72" t="s">
        <v>30</v>
      </c>
      <c r="H412" s="72" t="s">
        <v>30</v>
      </c>
      <c r="I412" s="31"/>
    </row>
    <row r="413">
      <c r="B413" s="72" t="s">
        <v>30</v>
      </c>
      <c r="C413" s="73" t="s">
        <v>30</v>
      </c>
      <c r="D413" s="72" t="s">
        <v>30</v>
      </c>
      <c r="E413" s="72" t="s">
        <v>30</v>
      </c>
      <c r="G413" s="72" t="s">
        <v>30</v>
      </c>
      <c r="H413" s="72" t="s">
        <v>30</v>
      </c>
      <c r="I413" s="31"/>
    </row>
    <row r="414">
      <c r="B414" s="72" t="s">
        <v>30</v>
      </c>
      <c r="C414" s="73" t="s">
        <v>30</v>
      </c>
      <c r="D414" s="72" t="s">
        <v>30</v>
      </c>
      <c r="E414" s="72" t="s">
        <v>30</v>
      </c>
      <c r="G414" s="72" t="s">
        <v>30</v>
      </c>
      <c r="H414" s="72" t="s">
        <v>30</v>
      </c>
      <c r="I414" s="31"/>
    </row>
    <row r="415">
      <c r="B415" s="72" t="s">
        <v>30</v>
      </c>
      <c r="C415" s="73" t="s">
        <v>30</v>
      </c>
      <c r="D415" s="72" t="s">
        <v>30</v>
      </c>
      <c r="E415" s="72" t="s">
        <v>30</v>
      </c>
      <c r="G415" s="72" t="s">
        <v>30</v>
      </c>
      <c r="H415" s="72" t="s">
        <v>30</v>
      </c>
      <c r="I415" s="31"/>
    </row>
    <row r="416">
      <c r="B416" s="72" t="s">
        <v>30</v>
      </c>
      <c r="C416" s="73" t="s">
        <v>30</v>
      </c>
      <c r="D416" s="72" t="s">
        <v>30</v>
      </c>
      <c r="E416" s="72" t="s">
        <v>30</v>
      </c>
      <c r="G416" s="72" t="s">
        <v>30</v>
      </c>
      <c r="H416" s="72" t="s">
        <v>30</v>
      </c>
      <c r="I416" s="31"/>
    </row>
    <row r="417">
      <c r="B417" s="72" t="s">
        <v>30</v>
      </c>
      <c r="C417" s="73" t="s">
        <v>30</v>
      </c>
      <c r="D417" s="72" t="s">
        <v>30</v>
      </c>
      <c r="E417" s="72" t="s">
        <v>30</v>
      </c>
      <c r="G417" s="72" t="s">
        <v>30</v>
      </c>
      <c r="H417" s="72" t="s">
        <v>30</v>
      </c>
      <c r="I417" s="31"/>
    </row>
    <row r="418">
      <c r="B418" s="72" t="s">
        <v>30</v>
      </c>
      <c r="C418" s="73" t="s">
        <v>30</v>
      </c>
      <c r="D418" s="72" t="s">
        <v>30</v>
      </c>
      <c r="E418" s="72" t="s">
        <v>30</v>
      </c>
      <c r="G418" s="72" t="s">
        <v>30</v>
      </c>
      <c r="H418" s="72" t="s">
        <v>30</v>
      </c>
      <c r="I418" s="31"/>
    </row>
    <row r="419">
      <c r="B419" s="72" t="s">
        <v>30</v>
      </c>
      <c r="C419" s="73" t="s">
        <v>30</v>
      </c>
      <c r="D419" s="72" t="s">
        <v>30</v>
      </c>
      <c r="E419" s="72" t="s">
        <v>30</v>
      </c>
      <c r="G419" s="72" t="s">
        <v>30</v>
      </c>
      <c r="H419" s="72" t="s">
        <v>30</v>
      </c>
      <c r="I419" s="31"/>
    </row>
    <row r="420">
      <c r="B420" s="72" t="s">
        <v>30</v>
      </c>
      <c r="C420" s="73" t="s">
        <v>30</v>
      </c>
      <c r="D420" s="72" t="s">
        <v>30</v>
      </c>
      <c r="E420" s="72" t="s">
        <v>30</v>
      </c>
      <c r="G420" s="72" t="s">
        <v>30</v>
      </c>
      <c r="H420" s="72" t="s">
        <v>30</v>
      </c>
      <c r="I420" s="31"/>
    </row>
    <row r="421">
      <c r="B421" s="72" t="s">
        <v>30</v>
      </c>
      <c r="C421" s="73" t="s">
        <v>30</v>
      </c>
      <c r="D421" s="72" t="s">
        <v>30</v>
      </c>
      <c r="E421" s="72" t="s">
        <v>30</v>
      </c>
      <c r="G421" s="72" t="s">
        <v>30</v>
      </c>
      <c r="H421" s="72" t="s">
        <v>30</v>
      </c>
      <c r="I421" s="31"/>
    </row>
    <row r="422">
      <c r="B422" s="72" t="s">
        <v>30</v>
      </c>
      <c r="C422" s="73" t="s">
        <v>30</v>
      </c>
      <c r="D422" s="72" t="s">
        <v>30</v>
      </c>
      <c r="E422" s="72" t="s">
        <v>30</v>
      </c>
      <c r="G422" s="72" t="s">
        <v>30</v>
      </c>
      <c r="H422" s="72" t="s">
        <v>30</v>
      </c>
      <c r="I422" s="31"/>
    </row>
    <row r="423">
      <c r="B423" s="72" t="s">
        <v>30</v>
      </c>
      <c r="C423" s="73" t="s">
        <v>30</v>
      </c>
      <c r="D423" s="72" t="s">
        <v>30</v>
      </c>
      <c r="E423" s="72" t="s">
        <v>30</v>
      </c>
      <c r="G423" s="72" t="s">
        <v>30</v>
      </c>
      <c r="H423" s="72" t="s">
        <v>30</v>
      </c>
      <c r="I423" s="31"/>
    </row>
    <row r="424">
      <c r="B424" s="72" t="s">
        <v>30</v>
      </c>
      <c r="C424" s="73" t="s">
        <v>30</v>
      </c>
      <c r="D424" s="72" t="s">
        <v>30</v>
      </c>
      <c r="E424" s="72" t="s">
        <v>30</v>
      </c>
      <c r="G424" s="72" t="s">
        <v>30</v>
      </c>
      <c r="H424" s="72" t="s">
        <v>30</v>
      </c>
      <c r="I424" s="31"/>
    </row>
    <row r="425">
      <c r="B425" s="72" t="s">
        <v>30</v>
      </c>
      <c r="C425" s="73" t="s">
        <v>30</v>
      </c>
      <c r="D425" s="72" t="s">
        <v>30</v>
      </c>
      <c r="E425" s="72" t="s">
        <v>30</v>
      </c>
      <c r="G425" s="72" t="s">
        <v>30</v>
      </c>
      <c r="H425" s="72" t="s">
        <v>30</v>
      </c>
      <c r="I425" s="31"/>
    </row>
    <row r="426">
      <c r="B426" s="72" t="s">
        <v>30</v>
      </c>
      <c r="C426" s="73" t="s">
        <v>30</v>
      </c>
      <c r="D426" s="72" t="s">
        <v>30</v>
      </c>
      <c r="E426" s="72" t="s">
        <v>30</v>
      </c>
      <c r="G426" s="72" t="s">
        <v>30</v>
      </c>
      <c r="H426" s="72" t="s">
        <v>30</v>
      </c>
      <c r="I426" s="31"/>
    </row>
    <row r="427">
      <c r="B427" s="72" t="s">
        <v>30</v>
      </c>
      <c r="C427" s="73" t="s">
        <v>30</v>
      </c>
      <c r="D427" s="72" t="s">
        <v>30</v>
      </c>
      <c r="E427" s="72" t="s">
        <v>30</v>
      </c>
      <c r="G427" s="72" t="s">
        <v>30</v>
      </c>
      <c r="H427" s="72" t="s">
        <v>30</v>
      </c>
      <c r="I427" s="31"/>
    </row>
    <row r="428">
      <c r="B428" s="72" t="s">
        <v>30</v>
      </c>
      <c r="C428" s="73" t="s">
        <v>30</v>
      </c>
      <c r="D428" s="72" t="s">
        <v>30</v>
      </c>
      <c r="E428" s="72" t="s">
        <v>30</v>
      </c>
      <c r="G428" s="72" t="s">
        <v>30</v>
      </c>
      <c r="H428" s="72" t="s">
        <v>30</v>
      </c>
      <c r="I428" s="31"/>
    </row>
    <row r="429">
      <c r="B429" s="72" t="s">
        <v>30</v>
      </c>
      <c r="C429" s="73" t="s">
        <v>30</v>
      </c>
      <c r="D429" s="72" t="s">
        <v>30</v>
      </c>
      <c r="E429" s="72" t="s">
        <v>30</v>
      </c>
      <c r="G429" s="72" t="s">
        <v>30</v>
      </c>
      <c r="H429" s="72" t="s">
        <v>30</v>
      </c>
      <c r="I429" s="31"/>
    </row>
    <row r="430">
      <c r="B430" s="72" t="s">
        <v>30</v>
      </c>
      <c r="C430" s="73" t="s">
        <v>30</v>
      </c>
      <c r="D430" s="72" t="s">
        <v>30</v>
      </c>
      <c r="E430" s="72" t="s">
        <v>30</v>
      </c>
      <c r="G430" s="72" t="s">
        <v>30</v>
      </c>
      <c r="H430" s="72" t="s">
        <v>30</v>
      </c>
      <c r="I430" s="31"/>
    </row>
    <row r="431">
      <c r="B431" s="72" t="s">
        <v>30</v>
      </c>
      <c r="C431" s="73" t="s">
        <v>30</v>
      </c>
      <c r="D431" s="72" t="s">
        <v>30</v>
      </c>
      <c r="E431" s="72" t="s">
        <v>30</v>
      </c>
      <c r="G431" s="72" t="s">
        <v>30</v>
      </c>
      <c r="H431" s="72" t="s">
        <v>30</v>
      </c>
      <c r="I431" s="31"/>
    </row>
    <row r="432">
      <c r="B432" s="72" t="s">
        <v>30</v>
      </c>
      <c r="C432" s="73" t="s">
        <v>30</v>
      </c>
      <c r="D432" s="72" t="s">
        <v>30</v>
      </c>
      <c r="E432" s="72" t="s">
        <v>30</v>
      </c>
      <c r="G432" s="72" t="s">
        <v>30</v>
      </c>
      <c r="H432" s="72" t="s">
        <v>30</v>
      </c>
      <c r="I432" s="31"/>
    </row>
    <row r="433">
      <c r="B433" s="72" t="s">
        <v>30</v>
      </c>
      <c r="C433" s="73" t="s">
        <v>30</v>
      </c>
      <c r="D433" s="72" t="s">
        <v>30</v>
      </c>
      <c r="E433" s="72" t="s">
        <v>30</v>
      </c>
      <c r="G433" s="72" t="s">
        <v>30</v>
      </c>
      <c r="H433" s="72" t="s">
        <v>30</v>
      </c>
      <c r="I433" s="31"/>
    </row>
    <row r="434">
      <c r="B434" s="72" t="s">
        <v>30</v>
      </c>
      <c r="C434" s="73" t="s">
        <v>30</v>
      </c>
      <c r="D434" s="72" t="s">
        <v>30</v>
      </c>
      <c r="E434" s="72" t="s">
        <v>30</v>
      </c>
      <c r="G434" s="72" t="s">
        <v>30</v>
      </c>
      <c r="H434" s="72" t="s">
        <v>30</v>
      </c>
      <c r="I434" s="31"/>
    </row>
    <row r="435">
      <c r="B435" s="72" t="s">
        <v>30</v>
      </c>
      <c r="C435" s="73" t="s">
        <v>30</v>
      </c>
      <c r="D435" s="72" t="s">
        <v>30</v>
      </c>
      <c r="E435" s="72" t="s">
        <v>30</v>
      </c>
      <c r="G435" s="72" t="s">
        <v>30</v>
      </c>
      <c r="H435" s="72" t="s">
        <v>30</v>
      </c>
      <c r="I435" s="31"/>
    </row>
    <row r="436">
      <c r="B436" s="72" t="s">
        <v>30</v>
      </c>
      <c r="C436" s="73" t="s">
        <v>30</v>
      </c>
      <c r="D436" s="72" t="s">
        <v>30</v>
      </c>
      <c r="E436" s="72" t="s">
        <v>30</v>
      </c>
      <c r="G436" s="72" t="s">
        <v>30</v>
      </c>
      <c r="H436" s="72" t="s">
        <v>30</v>
      </c>
      <c r="I436" s="31"/>
    </row>
    <row r="437">
      <c r="B437" s="72" t="s">
        <v>30</v>
      </c>
      <c r="C437" s="73" t="s">
        <v>30</v>
      </c>
      <c r="D437" s="72" t="s">
        <v>30</v>
      </c>
      <c r="E437" s="72" t="s">
        <v>30</v>
      </c>
      <c r="G437" s="72" t="s">
        <v>30</v>
      </c>
      <c r="H437" s="72" t="s">
        <v>30</v>
      </c>
      <c r="I437" s="31"/>
    </row>
    <row r="438">
      <c r="B438" s="72" t="s">
        <v>30</v>
      </c>
      <c r="C438" s="73" t="s">
        <v>30</v>
      </c>
      <c r="D438" s="72" t="s">
        <v>30</v>
      </c>
      <c r="E438" s="72" t="s">
        <v>30</v>
      </c>
      <c r="G438" s="72" t="s">
        <v>30</v>
      </c>
      <c r="H438" s="72" t="s">
        <v>30</v>
      </c>
      <c r="I438" s="31"/>
    </row>
    <row r="439">
      <c r="B439" s="72" t="s">
        <v>30</v>
      </c>
      <c r="C439" s="73" t="s">
        <v>30</v>
      </c>
      <c r="D439" s="72" t="s">
        <v>30</v>
      </c>
      <c r="E439" s="72" t="s">
        <v>30</v>
      </c>
      <c r="G439" s="72" t="s">
        <v>30</v>
      </c>
      <c r="H439" s="72" t="s">
        <v>30</v>
      </c>
      <c r="I439" s="31"/>
    </row>
    <row r="440">
      <c r="B440" s="72" t="s">
        <v>30</v>
      </c>
      <c r="C440" s="73" t="s">
        <v>30</v>
      </c>
      <c r="D440" s="72" t="s">
        <v>30</v>
      </c>
      <c r="E440" s="72" t="s">
        <v>30</v>
      </c>
      <c r="G440" s="72" t="s">
        <v>30</v>
      </c>
      <c r="H440" s="72" t="s">
        <v>30</v>
      </c>
      <c r="I440" s="31"/>
    </row>
    <row r="441">
      <c r="B441" s="72" t="s">
        <v>30</v>
      </c>
      <c r="C441" s="73" t="s">
        <v>30</v>
      </c>
      <c r="D441" s="72" t="s">
        <v>30</v>
      </c>
      <c r="E441" s="72" t="s">
        <v>30</v>
      </c>
      <c r="G441" s="72" t="s">
        <v>30</v>
      </c>
      <c r="H441" s="72" t="s">
        <v>30</v>
      </c>
      <c r="I441" s="31"/>
    </row>
    <row r="442">
      <c r="B442" s="72" t="s">
        <v>30</v>
      </c>
      <c r="C442" s="73" t="s">
        <v>30</v>
      </c>
      <c r="D442" s="72" t="s">
        <v>30</v>
      </c>
      <c r="E442" s="72" t="s">
        <v>30</v>
      </c>
      <c r="G442" s="72" t="s">
        <v>30</v>
      </c>
      <c r="H442" s="72" t="s">
        <v>30</v>
      </c>
      <c r="I442" s="31"/>
    </row>
    <row r="443">
      <c r="B443" s="72" t="s">
        <v>30</v>
      </c>
      <c r="C443" s="73" t="s">
        <v>30</v>
      </c>
      <c r="D443" s="72" t="s">
        <v>30</v>
      </c>
      <c r="E443" s="72" t="s">
        <v>30</v>
      </c>
      <c r="G443" s="72" t="s">
        <v>30</v>
      </c>
      <c r="H443" s="72" t="s">
        <v>30</v>
      </c>
      <c r="I443" s="31"/>
    </row>
    <row r="444">
      <c r="B444" s="72" t="s">
        <v>30</v>
      </c>
      <c r="C444" s="73" t="s">
        <v>30</v>
      </c>
      <c r="D444" s="72" t="s">
        <v>30</v>
      </c>
      <c r="E444" s="72" t="s">
        <v>30</v>
      </c>
      <c r="G444" s="72" t="s">
        <v>30</v>
      </c>
      <c r="H444" s="72" t="s">
        <v>30</v>
      </c>
      <c r="I444" s="31"/>
    </row>
    <row r="445">
      <c r="B445" s="72" t="s">
        <v>30</v>
      </c>
      <c r="C445" s="73" t="s">
        <v>30</v>
      </c>
      <c r="D445" s="72" t="s">
        <v>30</v>
      </c>
      <c r="E445" s="72" t="s">
        <v>30</v>
      </c>
      <c r="G445" s="72" t="s">
        <v>30</v>
      </c>
      <c r="H445" s="72" t="s">
        <v>30</v>
      </c>
      <c r="I445" s="31"/>
    </row>
    <row r="446">
      <c r="B446" s="72" t="s">
        <v>30</v>
      </c>
      <c r="C446" s="73" t="s">
        <v>30</v>
      </c>
      <c r="D446" s="72" t="s">
        <v>30</v>
      </c>
      <c r="E446" s="72" t="s">
        <v>30</v>
      </c>
      <c r="G446" s="72" t="s">
        <v>30</v>
      </c>
      <c r="H446" s="72" t="s">
        <v>30</v>
      </c>
      <c r="I446" s="31"/>
    </row>
    <row r="447">
      <c r="B447" s="72" t="s">
        <v>30</v>
      </c>
      <c r="C447" s="73" t="s">
        <v>30</v>
      </c>
      <c r="D447" s="72" t="s">
        <v>30</v>
      </c>
      <c r="E447" s="72" t="s">
        <v>30</v>
      </c>
      <c r="G447" s="72" t="s">
        <v>30</v>
      </c>
      <c r="H447" s="72" t="s">
        <v>30</v>
      </c>
      <c r="I447" s="31"/>
    </row>
    <row r="448">
      <c r="B448" s="72" t="s">
        <v>30</v>
      </c>
      <c r="C448" s="73" t="s">
        <v>30</v>
      </c>
      <c r="D448" s="72" t="s">
        <v>30</v>
      </c>
      <c r="E448" s="72" t="s">
        <v>30</v>
      </c>
      <c r="G448" s="72" t="s">
        <v>30</v>
      </c>
      <c r="H448" s="72" t="s">
        <v>30</v>
      </c>
      <c r="I448" s="31"/>
    </row>
    <row r="449">
      <c r="B449" s="72" t="s">
        <v>30</v>
      </c>
      <c r="C449" s="73" t="s">
        <v>30</v>
      </c>
      <c r="D449" s="72" t="s">
        <v>30</v>
      </c>
      <c r="E449" s="72" t="s">
        <v>30</v>
      </c>
      <c r="G449" s="72" t="s">
        <v>30</v>
      </c>
      <c r="H449" s="72" t="s">
        <v>30</v>
      </c>
      <c r="I449" s="31"/>
    </row>
    <row r="450">
      <c r="B450" s="72" t="s">
        <v>30</v>
      </c>
      <c r="C450" s="73" t="s">
        <v>30</v>
      </c>
      <c r="D450" s="72" t="s">
        <v>30</v>
      </c>
      <c r="E450" s="72" t="s">
        <v>30</v>
      </c>
      <c r="G450" s="72" t="s">
        <v>30</v>
      </c>
      <c r="H450" s="72" t="s">
        <v>30</v>
      </c>
      <c r="I450" s="31"/>
    </row>
    <row r="451">
      <c r="B451" s="72" t="s">
        <v>30</v>
      </c>
      <c r="C451" s="73" t="s">
        <v>30</v>
      </c>
      <c r="D451" s="72" t="s">
        <v>30</v>
      </c>
      <c r="E451" s="72" t="s">
        <v>30</v>
      </c>
      <c r="G451" s="72" t="s">
        <v>30</v>
      </c>
      <c r="H451" s="72" t="s">
        <v>30</v>
      </c>
      <c r="I451" s="31"/>
    </row>
    <row r="452">
      <c r="B452" s="72" t="s">
        <v>30</v>
      </c>
      <c r="C452" s="73" t="s">
        <v>30</v>
      </c>
      <c r="D452" s="72" t="s">
        <v>30</v>
      </c>
      <c r="E452" s="72" t="s">
        <v>30</v>
      </c>
      <c r="G452" s="72" t="s">
        <v>30</v>
      </c>
      <c r="H452" s="72" t="s">
        <v>30</v>
      </c>
      <c r="I452" s="31"/>
    </row>
    <row r="453">
      <c r="B453" s="72" t="s">
        <v>30</v>
      </c>
      <c r="C453" s="73" t="s">
        <v>30</v>
      </c>
      <c r="D453" s="72" t="s">
        <v>30</v>
      </c>
      <c r="E453" s="72" t="s">
        <v>30</v>
      </c>
      <c r="G453" s="72" t="s">
        <v>30</v>
      </c>
      <c r="H453" s="72" t="s">
        <v>30</v>
      </c>
      <c r="I453" s="31"/>
    </row>
    <row r="454">
      <c r="B454" s="72" t="s">
        <v>30</v>
      </c>
      <c r="C454" s="73" t="s">
        <v>30</v>
      </c>
      <c r="D454" s="72" t="s">
        <v>30</v>
      </c>
      <c r="E454" s="72" t="s">
        <v>30</v>
      </c>
      <c r="G454" s="72" t="s">
        <v>30</v>
      </c>
      <c r="H454" s="72" t="s">
        <v>30</v>
      </c>
      <c r="I454" s="31"/>
    </row>
    <row r="455">
      <c r="B455" s="72" t="s">
        <v>30</v>
      </c>
      <c r="C455" s="73" t="s">
        <v>30</v>
      </c>
      <c r="D455" s="72" t="s">
        <v>30</v>
      </c>
      <c r="E455" s="72" t="s">
        <v>30</v>
      </c>
      <c r="G455" s="72" t="s">
        <v>30</v>
      </c>
      <c r="H455" s="72" t="s">
        <v>30</v>
      </c>
      <c r="I455" s="31"/>
    </row>
    <row r="456">
      <c r="B456" s="72" t="s">
        <v>30</v>
      </c>
      <c r="C456" s="73" t="s">
        <v>30</v>
      </c>
      <c r="D456" s="72" t="s">
        <v>30</v>
      </c>
      <c r="E456" s="72" t="s">
        <v>30</v>
      </c>
      <c r="G456" s="72" t="s">
        <v>30</v>
      </c>
      <c r="H456" s="72" t="s">
        <v>30</v>
      </c>
      <c r="I456" s="31"/>
    </row>
    <row r="457">
      <c r="B457" s="72" t="s">
        <v>30</v>
      </c>
      <c r="C457" s="73" t="s">
        <v>30</v>
      </c>
      <c r="D457" s="72" t="s">
        <v>30</v>
      </c>
      <c r="E457" s="72" t="s">
        <v>30</v>
      </c>
      <c r="G457" s="72" t="s">
        <v>30</v>
      </c>
      <c r="H457" s="72" t="s">
        <v>30</v>
      </c>
      <c r="I457" s="31"/>
    </row>
    <row r="458">
      <c r="B458" s="72" t="s">
        <v>30</v>
      </c>
      <c r="C458" s="73" t="s">
        <v>30</v>
      </c>
      <c r="D458" s="72" t="s">
        <v>30</v>
      </c>
      <c r="E458" s="72" t="s">
        <v>30</v>
      </c>
      <c r="G458" s="72" t="s">
        <v>30</v>
      </c>
      <c r="H458" s="72" t="s">
        <v>30</v>
      </c>
      <c r="I458" s="31"/>
    </row>
    <row r="459">
      <c r="B459" s="72" t="s">
        <v>30</v>
      </c>
      <c r="C459" s="73" t="s">
        <v>30</v>
      </c>
      <c r="D459" s="72" t="s">
        <v>30</v>
      </c>
      <c r="E459" s="72" t="s">
        <v>30</v>
      </c>
      <c r="G459" s="72" t="s">
        <v>30</v>
      </c>
      <c r="H459" s="72" t="s">
        <v>30</v>
      </c>
      <c r="I459" s="31"/>
    </row>
    <row r="460">
      <c r="B460" s="72" t="s">
        <v>30</v>
      </c>
      <c r="C460" s="73" t="s">
        <v>30</v>
      </c>
      <c r="D460" s="72" t="s">
        <v>30</v>
      </c>
      <c r="E460" s="72" t="s">
        <v>30</v>
      </c>
      <c r="G460" s="72" t="s">
        <v>30</v>
      </c>
      <c r="H460" s="72" t="s">
        <v>30</v>
      </c>
      <c r="I460" s="31"/>
    </row>
    <row r="461">
      <c r="B461" s="72" t="s">
        <v>30</v>
      </c>
      <c r="C461" s="73" t="s">
        <v>30</v>
      </c>
      <c r="D461" s="72" t="s">
        <v>30</v>
      </c>
      <c r="E461" s="72" t="s">
        <v>30</v>
      </c>
      <c r="G461" s="72" t="s">
        <v>30</v>
      </c>
      <c r="H461" s="72" t="s">
        <v>30</v>
      </c>
      <c r="I461" s="31"/>
    </row>
    <row r="462">
      <c r="B462" s="72" t="s">
        <v>30</v>
      </c>
      <c r="C462" s="73" t="s">
        <v>30</v>
      </c>
      <c r="D462" s="72" t="s">
        <v>30</v>
      </c>
      <c r="E462" s="72" t="s">
        <v>30</v>
      </c>
      <c r="G462" s="72" t="s">
        <v>30</v>
      </c>
      <c r="H462" s="72" t="s">
        <v>30</v>
      </c>
      <c r="I462" s="31"/>
    </row>
    <row r="463">
      <c r="B463" s="72" t="s">
        <v>30</v>
      </c>
      <c r="C463" s="73" t="s">
        <v>30</v>
      </c>
      <c r="D463" s="72" t="s">
        <v>30</v>
      </c>
      <c r="E463" s="72" t="s">
        <v>30</v>
      </c>
      <c r="G463" s="72" t="s">
        <v>30</v>
      </c>
      <c r="H463" s="72" t="s">
        <v>30</v>
      </c>
      <c r="I463" s="31"/>
    </row>
    <row r="464">
      <c r="B464" s="72" t="s">
        <v>30</v>
      </c>
      <c r="C464" s="73" t="s">
        <v>30</v>
      </c>
      <c r="D464" s="72" t="s">
        <v>30</v>
      </c>
      <c r="E464" s="72" t="s">
        <v>30</v>
      </c>
      <c r="G464" s="72" t="s">
        <v>30</v>
      </c>
      <c r="H464" s="72" t="s">
        <v>30</v>
      </c>
      <c r="I464" s="31"/>
    </row>
    <row r="465">
      <c r="B465" s="72" t="s">
        <v>30</v>
      </c>
      <c r="C465" s="73" t="s">
        <v>30</v>
      </c>
      <c r="D465" s="72" t="s">
        <v>30</v>
      </c>
      <c r="E465" s="72" t="s">
        <v>30</v>
      </c>
      <c r="G465" s="72" t="s">
        <v>30</v>
      </c>
      <c r="H465" s="72" t="s">
        <v>30</v>
      </c>
      <c r="I465" s="31"/>
    </row>
    <row r="466">
      <c r="B466" s="72" t="s">
        <v>30</v>
      </c>
      <c r="C466" s="73" t="s">
        <v>30</v>
      </c>
      <c r="D466" s="72" t="s">
        <v>30</v>
      </c>
      <c r="E466" s="72" t="s">
        <v>30</v>
      </c>
      <c r="G466" s="72" t="s">
        <v>30</v>
      </c>
      <c r="H466" s="72" t="s">
        <v>30</v>
      </c>
      <c r="I466" s="31"/>
    </row>
    <row r="467">
      <c r="B467" s="72" t="s">
        <v>30</v>
      </c>
      <c r="C467" s="73" t="s">
        <v>30</v>
      </c>
      <c r="D467" s="72" t="s">
        <v>30</v>
      </c>
      <c r="E467" s="72" t="s">
        <v>30</v>
      </c>
      <c r="G467" s="72" t="s">
        <v>30</v>
      </c>
      <c r="H467" s="72" t="s">
        <v>30</v>
      </c>
      <c r="I467" s="31"/>
    </row>
    <row r="468">
      <c r="B468" s="72" t="s">
        <v>30</v>
      </c>
      <c r="C468" s="73" t="s">
        <v>30</v>
      </c>
      <c r="D468" s="72" t="s">
        <v>30</v>
      </c>
      <c r="E468" s="72" t="s">
        <v>30</v>
      </c>
      <c r="G468" s="72" t="s">
        <v>30</v>
      </c>
      <c r="H468" s="72" t="s">
        <v>30</v>
      </c>
      <c r="I468" s="31"/>
    </row>
    <row r="469">
      <c r="B469" s="72" t="s">
        <v>30</v>
      </c>
      <c r="C469" s="73" t="s">
        <v>30</v>
      </c>
      <c r="D469" s="72" t="s">
        <v>30</v>
      </c>
      <c r="E469" s="72" t="s">
        <v>30</v>
      </c>
      <c r="G469" s="72" t="s">
        <v>30</v>
      </c>
      <c r="H469" s="72" t="s">
        <v>30</v>
      </c>
      <c r="I469" s="31"/>
    </row>
    <row r="470">
      <c r="B470" s="72" t="s">
        <v>30</v>
      </c>
      <c r="C470" s="73" t="s">
        <v>30</v>
      </c>
      <c r="D470" s="72" t="s">
        <v>30</v>
      </c>
      <c r="E470" s="72" t="s">
        <v>30</v>
      </c>
      <c r="G470" s="72" t="s">
        <v>30</v>
      </c>
      <c r="H470" s="72" t="s">
        <v>30</v>
      </c>
      <c r="I470" s="31"/>
    </row>
    <row r="471">
      <c r="B471" s="72" t="s">
        <v>30</v>
      </c>
      <c r="C471" s="73" t="s">
        <v>30</v>
      </c>
      <c r="D471" s="72" t="s">
        <v>30</v>
      </c>
      <c r="E471" s="72" t="s">
        <v>30</v>
      </c>
      <c r="G471" s="72" t="s">
        <v>30</v>
      </c>
      <c r="H471" s="72" t="s">
        <v>30</v>
      </c>
      <c r="I471" s="31"/>
    </row>
    <row r="472">
      <c r="B472" s="72" t="s">
        <v>30</v>
      </c>
      <c r="C472" s="73" t="s">
        <v>30</v>
      </c>
      <c r="D472" s="72" t="s">
        <v>30</v>
      </c>
      <c r="E472" s="72" t="s">
        <v>30</v>
      </c>
      <c r="G472" s="72" t="s">
        <v>30</v>
      </c>
      <c r="H472" s="72" t="s">
        <v>30</v>
      </c>
      <c r="I472" s="31"/>
    </row>
    <row r="473">
      <c r="B473" s="72" t="s">
        <v>30</v>
      </c>
      <c r="C473" s="73" t="s">
        <v>30</v>
      </c>
      <c r="D473" s="72" t="s">
        <v>30</v>
      </c>
      <c r="E473" s="72" t="s">
        <v>30</v>
      </c>
      <c r="G473" s="72" t="s">
        <v>30</v>
      </c>
      <c r="H473" s="72" t="s">
        <v>30</v>
      </c>
      <c r="I473" s="31"/>
    </row>
    <row r="474">
      <c r="B474" s="72" t="s">
        <v>30</v>
      </c>
      <c r="C474" s="73" t="s">
        <v>30</v>
      </c>
      <c r="D474" s="72" t="s">
        <v>30</v>
      </c>
      <c r="E474" s="72" t="s">
        <v>30</v>
      </c>
      <c r="G474" s="72" t="s">
        <v>30</v>
      </c>
      <c r="H474" s="72" t="s">
        <v>30</v>
      </c>
      <c r="I474" s="31"/>
    </row>
    <row r="475">
      <c r="B475" s="72" t="s">
        <v>30</v>
      </c>
      <c r="C475" s="73" t="s">
        <v>30</v>
      </c>
      <c r="D475" s="72" t="s">
        <v>30</v>
      </c>
      <c r="E475" s="72" t="s">
        <v>30</v>
      </c>
      <c r="G475" s="72" t="s">
        <v>30</v>
      </c>
      <c r="H475" s="72" t="s">
        <v>30</v>
      </c>
      <c r="I475" s="31"/>
    </row>
    <row r="476">
      <c r="B476" s="72" t="s">
        <v>30</v>
      </c>
      <c r="C476" s="73" t="s">
        <v>30</v>
      </c>
      <c r="D476" s="72" t="s">
        <v>30</v>
      </c>
      <c r="E476" s="72" t="s">
        <v>30</v>
      </c>
      <c r="G476" s="72" t="s">
        <v>30</v>
      </c>
      <c r="H476" s="72" t="s">
        <v>30</v>
      </c>
      <c r="I476" s="31"/>
    </row>
    <row r="477">
      <c r="B477" s="72" t="s">
        <v>30</v>
      </c>
      <c r="C477" s="73" t="s">
        <v>30</v>
      </c>
      <c r="D477" s="72" t="s">
        <v>30</v>
      </c>
      <c r="E477" s="72" t="s">
        <v>30</v>
      </c>
      <c r="G477" s="72" t="s">
        <v>30</v>
      </c>
      <c r="H477" s="72" t="s">
        <v>30</v>
      </c>
      <c r="I477" s="31"/>
    </row>
    <row r="478">
      <c r="B478" s="72" t="s">
        <v>30</v>
      </c>
      <c r="C478" s="73" t="s">
        <v>30</v>
      </c>
      <c r="D478" s="72" t="s">
        <v>30</v>
      </c>
      <c r="E478" s="72" t="s">
        <v>30</v>
      </c>
      <c r="G478" s="72" t="s">
        <v>30</v>
      </c>
      <c r="H478" s="72" t="s">
        <v>30</v>
      </c>
      <c r="I478" s="31"/>
    </row>
    <row r="479">
      <c r="B479" s="72" t="s">
        <v>30</v>
      </c>
      <c r="C479" s="73" t="s">
        <v>30</v>
      </c>
      <c r="D479" s="72" t="s">
        <v>30</v>
      </c>
      <c r="E479" s="72" t="s">
        <v>30</v>
      </c>
      <c r="G479" s="72" t="s">
        <v>30</v>
      </c>
      <c r="H479" s="72" t="s">
        <v>30</v>
      </c>
      <c r="I479" s="31"/>
    </row>
    <row r="480">
      <c r="B480" s="72" t="s">
        <v>30</v>
      </c>
      <c r="C480" s="73" t="s">
        <v>30</v>
      </c>
      <c r="D480" s="72" t="s">
        <v>30</v>
      </c>
      <c r="E480" s="72" t="s">
        <v>30</v>
      </c>
      <c r="G480" s="72" t="s">
        <v>30</v>
      </c>
      <c r="H480" s="72" t="s">
        <v>30</v>
      </c>
      <c r="I480" s="31"/>
    </row>
    <row r="481">
      <c r="B481" s="72" t="s">
        <v>30</v>
      </c>
      <c r="C481" s="73" t="s">
        <v>30</v>
      </c>
      <c r="D481" s="72" t="s">
        <v>30</v>
      </c>
      <c r="E481" s="72" t="s">
        <v>30</v>
      </c>
      <c r="G481" s="72" t="s">
        <v>30</v>
      </c>
      <c r="H481" s="72" t="s">
        <v>30</v>
      </c>
      <c r="I481" s="31"/>
    </row>
    <row r="482">
      <c r="B482" s="72" t="s">
        <v>30</v>
      </c>
      <c r="C482" s="73" t="s">
        <v>30</v>
      </c>
      <c r="D482" s="72" t="s">
        <v>30</v>
      </c>
      <c r="E482" s="72" t="s">
        <v>30</v>
      </c>
      <c r="G482" s="72" t="s">
        <v>30</v>
      </c>
      <c r="H482" s="72" t="s">
        <v>30</v>
      </c>
      <c r="I482" s="31"/>
    </row>
    <row r="483">
      <c r="B483" s="72" t="s">
        <v>30</v>
      </c>
      <c r="C483" s="73" t="s">
        <v>30</v>
      </c>
      <c r="D483" s="72" t="s">
        <v>30</v>
      </c>
      <c r="E483" s="72" t="s">
        <v>30</v>
      </c>
      <c r="G483" s="72" t="s">
        <v>30</v>
      </c>
      <c r="H483" s="72" t="s">
        <v>30</v>
      </c>
      <c r="I483" s="31"/>
    </row>
    <row r="484">
      <c r="B484" s="72" t="s">
        <v>30</v>
      </c>
      <c r="C484" s="73" t="s">
        <v>30</v>
      </c>
      <c r="D484" s="72" t="s">
        <v>30</v>
      </c>
      <c r="E484" s="72" t="s">
        <v>30</v>
      </c>
      <c r="G484" s="72" t="s">
        <v>30</v>
      </c>
      <c r="H484" s="72" t="s">
        <v>30</v>
      </c>
      <c r="I484" s="31"/>
    </row>
    <row r="485">
      <c r="B485" s="72" t="s">
        <v>30</v>
      </c>
      <c r="C485" s="73" t="s">
        <v>30</v>
      </c>
      <c r="D485" s="72" t="s">
        <v>30</v>
      </c>
      <c r="E485" s="72" t="s">
        <v>30</v>
      </c>
      <c r="G485" s="72" t="s">
        <v>30</v>
      </c>
      <c r="H485" s="72" t="s">
        <v>30</v>
      </c>
      <c r="I485" s="31"/>
    </row>
    <row r="486">
      <c r="B486" s="72" t="s">
        <v>30</v>
      </c>
      <c r="C486" s="73" t="s">
        <v>30</v>
      </c>
      <c r="D486" s="72" t="s">
        <v>30</v>
      </c>
      <c r="E486" s="72" t="s">
        <v>30</v>
      </c>
      <c r="G486" s="72" t="s">
        <v>30</v>
      </c>
      <c r="H486" s="72" t="s">
        <v>30</v>
      </c>
      <c r="I486" s="31"/>
    </row>
    <row r="487">
      <c r="B487" s="72" t="s">
        <v>30</v>
      </c>
      <c r="C487" s="73" t="s">
        <v>30</v>
      </c>
      <c r="D487" s="72" t="s">
        <v>30</v>
      </c>
      <c r="E487" s="72" t="s">
        <v>30</v>
      </c>
      <c r="G487" s="72" t="s">
        <v>30</v>
      </c>
      <c r="H487" s="72" t="s">
        <v>30</v>
      </c>
      <c r="I487" s="31"/>
    </row>
    <row r="488">
      <c r="B488" s="72" t="s">
        <v>30</v>
      </c>
      <c r="C488" s="73" t="s">
        <v>30</v>
      </c>
      <c r="D488" s="72" t="s">
        <v>30</v>
      </c>
      <c r="E488" s="72" t="s">
        <v>30</v>
      </c>
      <c r="G488" s="72" t="s">
        <v>30</v>
      </c>
      <c r="H488" s="72" t="s">
        <v>30</v>
      </c>
      <c r="I488" s="31"/>
    </row>
    <row r="489">
      <c r="B489" s="72" t="s">
        <v>30</v>
      </c>
      <c r="C489" s="73" t="s">
        <v>30</v>
      </c>
      <c r="D489" s="72" t="s">
        <v>30</v>
      </c>
      <c r="E489" s="72" t="s">
        <v>30</v>
      </c>
      <c r="G489" s="72" t="s">
        <v>30</v>
      </c>
      <c r="H489" s="72" t="s">
        <v>30</v>
      </c>
      <c r="I489" s="31"/>
    </row>
    <row r="490">
      <c r="B490" s="72" t="s">
        <v>30</v>
      </c>
      <c r="C490" s="73" t="s">
        <v>30</v>
      </c>
      <c r="D490" s="72" t="s">
        <v>30</v>
      </c>
      <c r="E490" s="72" t="s">
        <v>30</v>
      </c>
      <c r="G490" s="72" t="s">
        <v>30</v>
      </c>
      <c r="H490" s="72" t="s">
        <v>30</v>
      </c>
      <c r="I490" s="31"/>
    </row>
    <row r="491">
      <c r="B491" s="72" t="s">
        <v>30</v>
      </c>
      <c r="C491" s="73" t="s">
        <v>30</v>
      </c>
      <c r="D491" s="72" t="s">
        <v>30</v>
      </c>
      <c r="E491" s="72" t="s">
        <v>30</v>
      </c>
      <c r="G491" s="72" t="s">
        <v>30</v>
      </c>
      <c r="H491" s="72" t="s">
        <v>30</v>
      </c>
      <c r="I491" s="31"/>
    </row>
    <row r="492">
      <c r="B492" s="72" t="s">
        <v>30</v>
      </c>
      <c r="C492" s="73" t="s">
        <v>30</v>
      </c>
      <c r="D492" s="72" t="s">
        <v>30</v>
      </c>
      <c r="E492" s="72" t="s">
        <v>30</v>
      </c>
      <c r="G492" s="72" t="s">
        <v>30</v>
      </c>
      <c r="H492" s="72" t="s">
        <v>30</v>
      </c>
      <c r="I492" s="31"/>
    </row>
    <row r="493">
      <c r="B493" s="72" t="s">
        <v>30</v>
      </c>
      <c r="C493" s="73" t="s">
        <v>30</v>
      </c>
      <c r="D493" s="72" t="s">
        <v>30</v>
      </c>
      <c r="E493" s="72" t="s">
        <v>30</v>
      </c>
      <c r="G493" s="72" t="s">
        <v>30</v>
      </c>
      <c r="H493" s="72" t="s">
        <v>30</v>
      </c>
      <c r="I493" s="31"/>
    </row>
    <row r="494">
      <c r="B494" s="72" t="s">
        <v>30</v>
      </c>
      <c r="C494" s="73" t="s">
        <v>30</v>
      </c>
      <c r="D494" s="72" t="s">
        <v>30</v>
      </c>
      <c r="E494" s="72" t="s">
        <v>30</v>
      </c>
      <c r="G494" s="72" t="s">
        <v>30</v>
      </c>
      <c r="H494" s="72" t="s">
        <v>30</v>
      </c>
      <c r="I494" s="31"/>
    </row>
    <row r="495">
      <c r="B495" s="72" t="s">
        <v>30</v>
      </c>
      <c r="C495" s="73" t="s">
        <v>30</v>
      </c>
      <c r="D495" s="72" t="s">
        <v>30</v>
      </c>
      <c r="E495" s="72" t="s">
        <v>30</v>
      </c>
      <c r="G495" s="72" t="s">
        <v>30</v>
      </c>
      <c r="H495" s="72" t="s">
        <v>30</v>
      </c>
      <c r="I495" s="31"/>
    </row>
    <row r="496">
      <c r="B496" s="72" t="s">
        <v>30</v>
      </c>
      <c r="C496" s="73" t="s">
        <v>30</v>
      </c>
      <c r="D496" s="72" t="s">
        <v>30</v>
      </c>
      <c r="E496" s="72" t="s">
        <v>30</v>
      </c>
      <c r="G496" s="72" t="s">
        <v>30</v>
      </c>
      <c r="H496" s="72" t="s">
        <v>30</v>
      </c>
      <c r="I496" s="31"/>
    </row>
    <row r="497">
      <c r="B497" s="72" t="s">
        <v>30</v>
      </c>
      <c r="C497" s="73" t="s">
        <v>30</v>
      </c>
      <c r="D497" s="72" t="s">
        <v>30</v>
      </c>
      <c r="E497" s="72" t="s">
        <v>30</v>
      </c>
      <c r="G497" s="72" t="s">
        <v>30</v>
      </c>
      <c r="H497" s="72" t="s">
        <v>30</v>
      </c>
      <c r="I497" s="31"/>
    </row>
    <row r="498">
      <c r="B498" s="72" t="s">
        <v>30</v>
      </c>
      <c r="C498" s="73" t="s">
        <v>30</v>
      </c>
      <c r="D498" s="72" t="s">
        <v>30</v>
      </c>
      <c r="E498" s="72" t="s">
        <v>30</v>
      </c>
      <c r="G498" s="72" t="s">
        <v>30</v>
      </c>
      <c r="H498" s="72" t="s">
        <v>30</v>
      </c>
      <c r="I498" s="31"/>
    </row>
    <row r="499">
      <c r="B499" s="72" t="s">
        <v>30</v>
      </c>
      <c r="C499" s="73" t="s">
        <v>30</v>
      </c>
      <c r="D499" s="72" t="s">
        <v>30</v>
      </c>
      <c r="E499" s="72" t="s">
        <v>30</v>
      </c>
      <c r="G499" s="72" t="s">
        <v>30</v>
      </c>
      <c r="H499" s="72" t="s">
        <v>30</v>
      </c>
      <c r="I499" s="31"/>
    </row>
    <row r="500">
      <c r="B500" s="72" t="s">
        <v>30</v>
      </c>
      <c r="C500" s="73" t="s">
        <v>30</v>
      </c>
      <c r="D500" s="72" t="s">
        <v>30</v>
      </c>
      <c r="E500" s="72" t="s">
        <v>30</v>
      </c>
      <c r="G500" s="72" t="s">
        <v>30</v>
      </c>
      <c r="H500" s="72" t="s">
        <v>30</v>
      </c>
      <c r="I500" s="31"/>
    </row>
    <row r="501">
      <c r="B501" s="72" t="s">
        <v>30</v>
      </c>
      <c r="C501" s="73" t="s">
        <v>30</v>
      </c>
      <c r="D501" s="72" t="s">
        <v>30</v>
      </c>
      <c r="E501" s="72" t="s">
        <v>30</v>
      </c>
      <c r="G501" s="72" t="s">
        <v>30</v>
      </c>
      <c r="H501" s="72" t="s">
        <v>30</v>
      </c>
      <c r="I501" s="31"/>
    </row>
    <row r="502">
      <c r="B502" s="72" t="s">
        <v>30</v>
      </c>
      <c r="C502" s="73" t="s">
        <v>30</v>
      </c>
      <c r="D502" s="72" t="s">
        <v>30</v>
      </c>
      <c r="E502" s="72" t="s">
        <v>30</v>
      </c>
      <c r="G502" s="72" t="s">
        <v>30</v>
      </c>
      <c r="H502" s="72" t="s">
        <v>30</v>
      </c>
      <c r="I502" s="31"/>
    </row>
    <row r="503">
      <c r="B503" s="72" t="s">
        <v>30</v>
      </c>
      <c r="C503" s="73" t="s">
        <v>30</v>
      </c>
      <c r="D503" s="72" t="s">
        <v>30</v>
      </c>
      <c r="E503" s="72" t="s">
        <v>30</v>
      </c>
      <c r="G503" s="72" t="s">
        <v>30</v>
      </c>
      <c r="H503" s="72" t="s">
        <v>30</v>
      </c>
      <c r="I503" s="31"/>
    </row>
    <row r="504">
      <c r="B504" s="72" t="s">
        <v>30</v>
      </c>
      <c r="C504" s="73" t="s">
        <v>30</v>
      </c>
      <c r="D504" s="72" t="s">
        <v>30</v>
      </c>
      <c r="E504" s="72" t="s">
        <v>30</v>
      </c>
      <c r="G504" s="72" t="s">
        <v>30</v>
      </c>
      <c r="H504" s="72" t="s">
        <v>30</v>
      </c>
      <c r="I504" s="31"/>
    </row>
    <row r="505">
      <c r="B505" s="72" t="s">
        <v>30</v>
      </c>
      <c r="C505" s="73" t="s">
        <v>30</v>
      </c>
      <c r="D505" s="72" t="s">
        <v>30</v>
      </c>
      <c r="E505" s="72" t="s">
        <v>30</v>
      </c>
      <c r="G505" s="72" t="s">
        <v>30</v>
      </c>
      <c r="H505" s="72" t="s">
        <v>30</v>
      </c>
      <c r="I505" s="31"/>
    </row>
    <row r="506">
      <c r="B506" s="72" t="s">
        <v>30</v>
      </c>
      <c r="C506" s="73" t="s">
        <v>30</v>
      </c>
      <c r="D506" s="72" t="s">
        <v>30</v>
      </c>
      <c r="E506" s="72" t="s">
        <v>30</v>
      </c>
      <c r="G506" s="72" t="s">
        <v>30</v>
      </c>
      <c r="H506" s="72" t="s">
        <v>30</v>
      </c>
      <c r="I506" s="31"/>
    </row>
    <row r="507">
      <c r="B507" s="72" t="s">
        <v>30</v>
      </c>
      <c r="C507" s="73" t="s">
        <v>30</v>
      </c>
      <c r="D507" s="72" t="s">
        <v>30</v>
      </c>
      <c r="E507" s="72" t="s">
        <v>30</v>
      </c>
      <c r="G507" s="72" t="s">
        <v>30</v>
      </c>
      <c r="H507" s="72" t="s">
        <v>30</v>
      </c>
      <c r="I507" s="31"/>
    </row>
    <row r="508">
      <c r="B508" s="72" t="s">
        <v>30</v>
      </c>
      <c r="C508" s="73" t="s">
        <v>30</v>
      </c>
      <c r="D508" s="72" t="s">
        <v>30</v>
      </c>
      <c r="E508" s="72" t="s">
        <v>30</v>
      </c>
      <c r="G508" s="72" t="s">
        <v>30</v>
      </c>
      <c r="H508" s="72" t="s">
        <v>30</v>
      </c>
      <c r="I508" s="31"/>
    </row>
    <row r="509">
      <c r="B509" s="72" t="s">
        <v>30</v>
      </c>
      <c r="C509" s="73" t="s">
        <v>30</v>
      </c>
      <c r="D509" s="72" t="s">
        <v>30</v>
      </c>
      <c r="E509" s="72" t="s">
        <v>30</v>
      </c>
      <c r="G509" s="72" t="s">
        <v>30</v>
      </c>
      <c r="H509" s="72" t="s">
        <v>30</v>
      </c>
      <c r="I509" s="31"/>
    </row>
    <row r="510">
      <c r="B510" s="72" t="s">
        <v>30</v>
      </c>
      <c r="C510" s="73" t="s">
        <v>30</v>
      </c>
      <c r="D510" s="72" t="s">
        <v>30</v>
      </c>
      <c r="E510" s="72" t="s">
        <v>30</v>
      </c>
      <c r="G510" s="72" t="s">
        <v>30</v>
      </c>
      <c r="H510" s="72" t="s">
        <v>30</v>
      </c>
      <c r="I510" s="31"/>
    </row>
    <row r="511">
      <c r="B511" s="72" t="s">
        <v>30</v>
      </c>
      <c r="C511" s="73" t="s">
        <v>30</v>
      </c>
      <c r="D511" s="72" t="s">
        <v>30</v>
      </c>
      <c r="E511" s="72" t="s">
        <v>30</v>
      </c>
      <c r="G511" s="72" t="s">
        <v>30</v>
      </c>
      <c r="H511" s="72" t="s">
        <v>30</v>
      </c>
      <c r="I511" s="31"/>
    </row>
    <row r="512">
      <c r="B512" s="72" t="s">
        <v>30</v>
      </c>
      <c r="C512" s="73" t="s">
        <v>30</v>
      </c>
      <c r="D512" s="72" t="s">
        <v>30</v>
      </c>
      <c r="E512" s="72" t="s">
        <v>30</v>
      </c>
      <c r="G512" s="72" t="s">
        <v>30</v>
      </c>
      <c r="H512" s="72" t="s">
        <v>30</v>
      </c>
      <c r="I512" s="31"/>
    </row>
    <row r="513">
      <c r="B513" s="72" t="s">
        <v>30</v>
      </c>
      <c r="C513" s="73" t="s">
        <v>30</v>
      </c>
      <c r="D513" s="72" t="s">
        <v>30</v>
      </c>
      <c r="E513" s="72" t="s">
        <v>30</v>
      </c>
      <c r="G513" s="72" t="s">
        <v>30</v>
      </c>
      <c r="H513" s="72" t="s">
        <v>30</v>
      </c>
      <c r="I513" s="31"/>
    </row>
    <row r="514">
      <c r="B514" s="72" t="s">
        <v>30</v>
      </c>
      <c r="C514" s="73" t="s">
        <v>30</v>
      </c>
      <c r="D514" s="72" t="s">
        <v>30</v>
      </c>
      <c r="E514" s="72" t="s">
        <v>30</v>
      </c>
      <c r="G514" s="72" t="s">
        <v>30</v>
      </c>
      <c r="H514" s="72" t="s">
        <v>30</v>
      </c>
      <c r="I514" s="31"/>
    </row>
    <row r="515">
      <c r="B515" s="72" t="s">
        <v>30</v>
      </c>
      <c r="C515" s="73" t="s">
        <v>30</v>
      </c>
      <c r="D515" s="72" t="s">
        <v>30</v>
      </c>
      <c r="E515" s="72" t="s">
        <v>30</v>
      </c>
      <c r="G515" s="72" t="s">
        <v>30</v>
      </c>
      <c r="H515" s="72" t="s">
        <v>30</v>
      </c>
      <c r="I515" s="31"/>
    </row>
    <row r="516">
      <c r="B516" s="72" t="s">
        <v>30</v>
      </c>
      <c r="C516" s="73" t="s">
        <v>30</v>
      </c>
      <c r="D516" s="72" t="s">
        <v>30</v>
      </c>
      <c r="E516" s="72" t="s">
        <v>30</v>
      </c>
      <c r="G516" s="72" t="s">
        <v>30</v>
      </c>
      <c r="H516" s="72" t="s">
        <v>30</v>
      </c>
      <c r="I516" s="31"/>
    </row>
    <row r="517">
      <c r="B517" s="72" t="s">
        <v>30</v>
      </c>
      <c r="C517" s="73" t="s">
        <v>30</v>
      </c>
      <c r="D517" s="72" t="s">
        <v>30</v>
      </c>
      <c r="E517" s="72" t="s">
        <v>30</v>
      </c>
      <c r="G517" s="72" t="s">
        <v>30</v>
      </c>
      <c r="H517" s="72" t="s">
        <v>30</v>
      </c>
      <c r="I517" s="31"/>
    </row>
    <row r="518">
      <c r="B518" s="72" t="s">
        <v>30</v>
      </c>
      <c r="C518" s="73" t="s">
        <v>30</v>
      </c>
      <c r="D518" s="72" t="s">
        <v>30</v>
      </c>
      <c r="E518" s="72" t="s">
        <v>30</v>
      </c>
      <c r="G518" s="72" t="s">
        <v>30</v>
      </c>
      <c r="H518" s="72" t="s">
        <v>30</v>
      </c>
      <c r="I518" s="31"/>
    </row>
    <row r="519">
      <c r="B519" s="72" t="s">
        <v>30</v>
      </c>
      <c r="C519" s="73" t="s">
        <v>30</v>
      </c>
      <c r="D519" s="72" t="s">
        <v>30</v>
      </c>
      <c r="E519" s="72" t="s">
        <v>30</v>
      </c>
      <c r="G519" s="72" t="s">
        <v>30</v>
      </c>
      <c r="H519" s="72" t="s">
        <v>30</v>
      </c>
      <c r="I519" s="31"/>
    </row>
    <row r="520">
      <c r="B520" s="72" t="s">
        <v>30</v>
      </c>
      <c r="C520" s="73" t="s">
        <v>30</v>
      </c>
      <c r="D520" s="72" t="s">
        <v>30</v>
      </c>
      <c r="E520" s="72" t="s">
        <v>30</v>
      </c>
      <c r="G520" s="72" t="s">
        <v>30</v>
      </c>
      <c r="H520" s="72" t="s">
        <v>30</v>
      </c>
      <c r="I520" s="31"/>
    </row>
    <row r="521">
      <c r="B521" s="72" t="s">
        <v>30</v>
      </c>
      <c r="C521" s="73" t="s">
        <v>30</v>
      </c>
      <c r="D521" s="72" t="s">
        <v>30</v>
      </c>
      <c r="E521" s="72" t="s">
        <v>30</v>
      </c>
      <c r="G521" s="72" t="s">
        <v>30</v>
      </c>
      <c r="H521" s="72" t="s">
        <v>30</v>
      </c>
      <c r="I521" s="31"/>
    </row>
    <row r="522">
      <c r="B522" s="72" t="s">
        <v>30</v>
      </c>
      <c r="C522" s="73" t="s">
        <v>30</v>
      </c>
      <c r="D522" s="72" t="s">
        <v>30</v>
      </c>
      <c r="E522" s="72" t="s">
        <v>30</v>
      </c>
      <c r="G522" s="72" t="s">
        <v>30</v>
      </c>
      <c r="H522" s="72" t="s">
        <v>30</v>
      </c>
      <c r="I522" s="31"/>
    </row>
    <row r="523">
      <c r="B523" s="72" t="s">
        <v>30</v>
      </c>
      <c r="C523" s="73" t="s">
        <v>30</v>
      </c>
      <c r="D523" s="72" t="s">
        <v>30</v>
      </c>
      <c r="E523" s="72" t="s">
        <v>30</v>
      </c>
      <c r="G523" s="72" t="s">
        <v>30</v>
      </c>
      <c r="H523" s="72" t="s">
        <v>30</v>
      </c>
      <c r="I523" s="31"/>
    </row>
    <row r="524">
      <c r="B524" s="72" t="s">
        <v>30</v>
      </c>
      <c r="C524" s="73" t="s">
        <v>30</v>
      </c>
      <c r="D524" s="72" t="s">
        <v>30</v>
      </c>
      <c r="E524" s="72" t="s">
        <v>30</v>
      </c>
      <c r="G524" s="72" t="s">
        <v>30</v>
      </c>
      <c r="H524" s="72" t="s">
        <v>30</v>
      </c>
      <c r="I524" s="31"/>
    </row>
    <row r="525">
      <c r="B525" s="72" t="s">
        <v>30</v>
      </c>
      <c r="C525" s="73" t="s">
        <v>30</v>
      </c>
      <c r="D525" s="72" t="s">
        <v>30</v>
      </c>
      <c r="E525" s="72" t="s">
        <v>30</v>
      </c>
      <c r="G525" s="72" t="s">
        <v>30</v>
      </c>
      <c r="H525" s="72" t="s">
        <v>30</v>
      </c>
      <c r="I525" s="31"/>
    </row>
    <row r="526">
      <c r="B526" s="72" t="s">
        <v>30</v>
      </c>
      <c r="C526" s="73" t="s">
        <v>30</v>
      </c>
      <c r="D526" s="72" t="s">
        <v>30</v>
      </c>
      <c r="E526" s="72" t="s">
        <v>30</v>
      </c>
      <c r="G526" s="72" t="s">
        <v>30</v>
      </c>
      <c r="H526" s="72" t="s">
        <v>30</v>
      </c>
      <c r="I526" s="31"/>
    </row>
    <row r="527">
      <c r="B527" s="72" t="s">
        <v>30</v>
      </c>
      <c r="C527" s="73" t="s">
        <v>30</v>
      </c>
      <c r="D527" s="72" t="s">
        <v>30</v>
      </c>
      <c r="E527" s="72" t="s">
        <v>30</v>
      </c>
      <c r="G527" s="72" t="s">
        <v>30</v>
      </c>
      <c r="H527" s="72" t="s">
        <v>30</v>
      </c>
      <c r="I527" s="31"/>
    </row>
    <row r="528">
      <c r="B528" s="72" t="s">
        <v>30</v>
      </c>
      <c r="C528" s="73" t="s">
        <v>30</v>
      </c>
      <c r="D528" s="72" t="s">
        <v>30</v>
      </c>
      <c r="E528" s="72" t="s">
        <v>30</v>
      </c>
      <c r="G528" s="72" t="s">
        <v>30</v>
      </c>
      <c r="H528" s="72" t="s">
        <v>30</v>
      </c>
      <c r="I528" s="31"/>
    </row>
    <row r="529">
      <c r="B529" s="72" t="s">
        <v>30</v>
      </c>
      <c r="C529" s="73" t="s">
        <v>30</v>
      </c>
      <c r="D529" s="72" t="s">
        <v>30</v>
      </c>
      <c r="E529" s="72" t="s">
        <v>30</v>
      </c>
      <c r="G529" s="72" t="s">
        <v>30</v>
      </c>
      <c r="H529" s="72" t="s">
        <v>30</v>
      </c>
      <c r="I529" s="31"/>
    </row>
    <row r="530">
      <c r="B530" s="72" t="s">
        <v>30</v>
      </c>
      <c r="C530" s="73" t="s">
        <v>30</v>
      </c>
      <c r="D530" s="72" t="s">
        <v>30</v>
      </c>
      <c r="E530" s="72" t="s">
        <v>30</v>
      </c>
      <c r="G530" s="72" t="s">
        <v>30</v>
      </c>
      <c r="H530" s="72" t="s">
        <v>30</v>
      </c>
      <c r="I530" s="31"/>
    </row>
    <row r="531">
      <c r="B531" s="72" t="s">
        <v>30</v>
      </c>
      <c r="C531" s="73" t="s">
        <v>30</v>
      </c>
      <c r="D531" s="72" t="s">
        <v>30</v>
      </c>
      <c r="E531" s="72" t="s">
        <v>30</v>
      </c>
      <c r="G531" s="72" t="s">
        <v>30</v>
      </c>
      <c r="H531" s="72" t="s">
        <v>30</v>
      </c>
      <c r="I531" s="31"/>
    </row>
    <row r="532">
      <c r="B532" s="72" t="s">
        <v>30</v>
      </c>
      <c r="C532" s="73" t="s">
        <v>30</v>
      </c>
      <c r="D532" s="72" t="s">
        <v>30</v>
      </c>
      <c r="E532" s="72" t="s">
        <v>30</v>
      </c>
      <c r="G532" s="72" t="s">
        <v>30</v>
      </c>
      <c r="H532" s="72" t="s">
        <v>30</v>
      </c>
      <c r="I532" s="31"/>
    </row>
    <row r="533">
      <c r="B533" s="72" t="s">
        <v>30</v>
      </c>
      <c r="C533" s="73" t="s">
        <v>30</v>
      </c>
      <c r="D533" s="72" t="s">
        <v>30</v>
      </c>
      <c r="E533" s="72" t="s">
        <v>30</v>
      </c>
      <c r="G533" s="72" t="s">
        <v>30</v>
      </c>
      <c r="H533" s="72" t="s">
        <v>30</v>
      </c>
      <c r="I533" s="31"/>
    </row>
    <row r="534">
      <c r="B534" s="72" t="s">
        <v>30</v>
      </c>
      <c r="C534" s="73" t="s">
        <v>30</v>
      </c>
      <c r="D534" s="72" t="s">
        <v>30</v>
      </c>
      <c r="E534" s="72" t="s">
        <v>30</v>
      </c>
      <c r="G534" s="72" t="s">
        <v>30</v>
      </c>
      <c r="H534" s="72" t="s">
        <v>30</v>
      </c>
      <c r="I534" s="31"/>
    </row>
    <row r="535">
      <c r="B535" s="72" t="s">
        <v>30</v>
      </c>
      <c r="C535" s="73" t="s">
        <v>30</v>
      </c>
      <c r="D535" s="72" t="s">
        <v>30</v>
      </c>
      <c r="E535" s="72" t="s">
        <v>30</v>
      </c>
      <c r="G535" s="72" t="s">
        <v>30</v>
      </c>
      <c r="H535" s="72" t="s">
        <v>30</v>
      </c>
      <c r="I535" s="31"/>
    </row>
    <row r="536">
      <c r="B536" s="72" t="s">
        <v>30</v>
      </c>
      <c r="C536" s="73" t="s">
        <v>30</v>
      </c>
      <c r="D536" s="72" t="s">
        <v>30</v>
      </c>
      <c r="E536" s="72" t="s">
        <v>30</v>
      </c>
      <c r="G536" s="72" t="s">
        <v>30</v>
      </c>
      <c r="H536" s="72" t="s">
        <v>30</v>
      </c>
      <c r="I536" s="31"/>
    </row>
    <row r="537">
      <c r="B537" s="72" t="s">
        <v>30</v>
      </c>
      <c r="C537" s="73" t="s">
        <v>30</v>
      </c>
      <c r="D537" s="72" t="s">
        <v>30</v>
      </c>
      <c r="E537" s="72" t="s">
        <v>30</v>
      </c>
      <c r="G537" s="72" t="s">
        <v>30</v>
      </c>
      <c r="H537" s="72" t="s">
        <v>30</v>
      </c>
      <c r="I537" s="31"/>
    </row>
    <row r="538">
      <c r="B538" s="72" t="s">
        <v>30</v>
      </c>
      <c r="C538" s="73" t="s">
        <v>30</v>
      </c>
      <c r="D538" s="72" t="s">
        <v>30</v>
      </c>
      <c r="E538" s="72" t="s">
        <v>30</v>
      </c>
      <c r="G538" s="72" t="s">
        <v>30</v>
      </c>
      <c r="H538" s="72" t="s">
        <v>30</v>
      </c>
      <c r="I538" s="31"/>
    </row>
    <row r="539">
      <c r="B539" s="72" t="s">
        <v>30</v>
      </c>
      <c r="C539" s="73" t="s">
        <v>30</v>
      </c>
      <c r="D539" s="72" t="s">
        <v>30</v>
      </c>
      <c r="E539" s="72" t="s">
        <v>30</v>
      </c>
      <c r="G539" s="72" t="s">
        <v>30</v>
      </c>
      <c r="H539" s="72" t="s">
        <v>30</v>
      </c>
      <c r="I539" s="31"/>
    </row>
    <row r="540">
      <c r="B540" s="72" t="s">
        <v>30</v>
      </c>
      <c r="C540" s="73" t="s">
        <v>30</v>
      </c>
      <c r="D540" s="72" t="s">
        <v>30</v>
      </c>
      <c r="E540" s="72" t="s">
        <v>30</v>
      </c>
      <c r="G540" s="72" t="s">
        <v>30</v>
      </c>
      <c r="H540" s="72" t="s">
        <v>30</v>
      </c>
      <c r="I540" s="31"/>
    </row>
    <row r="541">
      <c r="B541" s="72" t="s">
        <v>30</v>
      </c>
      <c r="C541" s="73" t="s">
        <v>30</v>
      </c>
      <c r="D541" s="72" t="s">
        <v>30</v>
      </c>
      <c r="E541" s="72" t="s">
        <v>30</v>
      </c>
      <c r="G541" s="72" t="s">
        <v>30</v>
      </c>
      <c r="H541" s="72" t="s">
        <v>30</v>
      </c>
      <c r="I541" s="31"/>
    </row>
    <row r="542">
      <c r="B542" s="72" t="s">
        <v>30</v>
      </c>
      <c r="C542" s="73" t="s">
        <v>30</v>
      </c>
      <c r="D542" s="72" t="s">
        <v>30</v>
      </c>
      <c r="E542" s="72" t="s">
        <v>30</v>
      </c>
      <c r="G542" s="72" t="s">
        <v>30</v>
      </c>
      <c r="H542" s="72" t="s">
        <v>30</v>
      </c>
      <c r="I542" s="31"/>
    </row>
    <row r="543">
      <c r="B543" s="72" t="s">
        <v>30</v>
      </c>
      <c r="C543" s="73" t="s">
        <v>30</v>
      </c>
      <c r="D543" s="72" t="s">
        <v>30</v>
      </c>
      <c r="E543" s="72" t="s">
        <v>30</v>
      </c>
      <c r="G543" s="72" t="s">
        <v>30</v>
      </c>
      <c r="H543" s="72" t="s">
        <v>30</v>
      </c>
      <c r="I543" s="31"/>
    </row>
    <row r="544">
      <c r="B544" s="72" t="s">
        <v>30</v>
      </c>
      <c r="C544" s="73" t="s">
        <v>30</v>
      </c>
      <c r="D544" s="72" t="s">
        <v>30</v>
      </c>
      <c r="E544" s="72" t="s">
        <v>30</v>
      </c>
      <c r="G544" s="72" t="s">
        <v>30</v>
      </c>
      <c r="H544" s="72" t="s">
        <v>30</v>
      </c>
      <c r="I544" s="31"/>
    </row>
    <row r="545">
      <c r="B545" s="72" t="s">
        <v>30</v>
      </c>
      <c r="C545" s="73" t="s">
        <v>30</v>
      </c>
      <c r="D545" s="72" t="s">
        <v>30</v>
      </c>
      <c r="E545" s="72" t="s">
        <v>30</v>
      </c>
      <c r="G545" s="72" t="s">
        <v>30</v>
      </c>
      <c r="H545" s="72" t="s">
        <v>30</v>
      </c>
      <c r="I545" s="31"/>
    </row>
    <row r="546">
      <c r="B546" s="72" t="s">
        <v>30</v>
      </c>
      <c r="C546" s="73" t="s">
        <v>30</v>
      </c>
      <c r="D546" s="72" t="s">
        <v>30</v>
      </c>
      <c r="E546" s="72" t="s">
        <v>30</v>
      </c>
      <c r="G546" s="72" t="s">
        <v>30</v>
      </c>
      <c r="H546" s="72" t="s">
        <v>30</v>
      </c>
      <c r="I546" s="31"/>
    </row>
    <row r="547">
      <c r="B547" s="72" t="s">
        <v>30</v>
      </c>
      <c r="C547" s="73" t="s">
        <v>30</v>
      </c>
      <c r="D547" s="72" t="s">
        <v>30</v>
      </c>
      <c r="E547" s="72" t="s">
        <v>30</v>
      </c>
      <c r="G547" s="72" t="s">
        <v>30</v>
      </c>
      <c r="H547" s="72" t="s">
        <v>30</v>
      </c>
      <c r="I547" s="31"/>
    </row>
    <row r="548">
      <c r="B548" s="72" t="s">
        <v>30</v>
      </c>
      <c r="C548" s="73" t="s">
        <v>30</v>
      </c>
      <c r="D548" s="72" t="s">
        <v>30</v>
      </c>
      <c r="E548" s="72" t="s">
        <v>30</v>
      </c>
      <c r="G548" s="72" t="s">
        <v>30</v>
      </c>
      <c r="H548" s="72" t="s">
        <v>30</v>
      </c>
      <c r="I548" s="31"/>
    </row>
    <row r="549">
      <c r="B549" s="72" t="s">
        <v>30</v>
      </c>
      <c r="C549" s="73" t="s">
        <v>30</v>
      </c>
      <c r="D549" s="72" t="s">
        <v>30</v>
      </c>
      <c r="E549" s="72" t="s">
        <v>30</v>
      </c>
      <c r="G549" s="72" t="s">
        <v>30</v>
      </c>
      <c r="H549" s="72" t="s">
        <v>30</v>
      </c>
      <c r="I549" s="31"/>
    </row>
    <row r="550">
      <c r="B550" s="72" t="s">
        <v>30</v>
      </c>
      <c r="C550" s="73" t="s">
        <v>30</v>
      </c>
      <c r="D550" s="72" t="s">
        <v>30</v>
      </c>
      <c r="E550" s="72" t="s">
        <v>30</v>
      </c>
      <c r="G550" s="72" t="s">
        <v>30</v>
      </c>
      <c r="H550" s="72" t="s">
        <v>30</v>
      </c>
      <c r="I550" s="31"/>
    </row>
    <row r="551">
      <c r="B551" s="72" t="s">
        <v>30</v>
      </c>
      <c r="C551" s="73" t="s">
        <v>30</v>
      </c>
      <c r="D551" s="72" t="s">
        <v>30</v>
      </c>
      <c r="E551" s="72" t="s">
        <v>30</v>
      </c>
      <c r="G551" s="72" t="s">
        <v>30</v>
      </c>
      <c r="H551" s="72" t="s">
        <v>30</v>
      </c>
      <c r="I551" s="31"/>
    </row>
    <row r="552">
      <c r="B552" s="72" t="s">
        <v>30</v>
      </c>
      <c r="C552" s="73" t="s">
        <v>30</v>
      </c>
      <c r="D552" s="72" t="s">
        <v>30</v>
      </c>
      <c r="E552" s="72" t="s">
        <v>30</v>
      </c>
      <c r="G552" s="72" t="s">
        <v>30</v>
      </c>
      <c r="H552" s="72" t="s">
        <v>30</v>
      </c>
      <c r="I552" s="31"/>
    </row>
    <row r="553">
      <c r="B553" s="72" t="s">
        <v>30</v>
      </c>
      <c r="C553" s="73" t="s">
        <v>30</v>
      </c>
      <c r="D553" s="72" t="s">
        <v>30</v>
      </c>
      <c r="E553" s="72" t="s">
        <v>30</v>
      </c>
      <c r="G553" s="72" t="s">
        <v>30</v>
      </c>
      <c r="H553" s="72" t="s">
        <v>30</v>
      </c>
      <c r="I553" s="31"/>
    </row>
    <row r="554">
      <c r="B554" s="72" t="s">
        <v>30</v>
      </c>
      <c r="C554" s="73" t="s">
        <v>30</v>
      </c>
      <c r="D554" s="72" t="s">
        <v>30</v>
      </c>
      <c r="E554" s="72" t="s">
        <v>30</v>
      </c>
      <c r="G554" s="72" t="s">
        <v>30</v>
      </c>
      <c r="H554" s="72" t="s">
        <v>30</v>
      </c>
      <c r="I554" s="31"/>
    </row>
    <row r="555">
      <c r="B555" s="72" t="s">
        <v>30</v>
      </c>
      <c r="C555" s="73" t="s">
        <v>30</v>
      </c>
      <c r="D555" s="72" t="s">
        <v>30</v>
      </c>
      <c r="E555" s="72" t="s">
        <v>30</v>
      </c>
      <c r="G555" s="72" t="s">
        <v>30</v>
      </c>
      <c r="H555" s="72" t="s">
        <v>30</v>
      </c>
      <c r="I555" s="31"/>
    </row>
    <row r="556">
      <c r="B556" s="72" t="s">
        <v>30</v>
      </c>
      <c r="C556" s="73" t="s">
        <v>30</v>
      </c>
      <c r="D556" s="72" t="s">
        <v>30</v>
      </c>
      <c r="E556" s="72" t="s">
        <v>30</v>
      </c>
      <c r="G556" s="72" t="s">
        <v>30</v>
      </c>
      <c r="H556" s="72" t="s">
        <v>30</v>
      </c>
      <c r="I556" s="31"/>
    </row>
    <row r="557">
      <c r="B557" s="72" t="s">
        <v>30</v>
      </c>
      <c r="C557" s="73" t="s">
        <v>30</v>
      </c>
      <c r="D557" s="72" t="s">
        <v>30</v>
      </c>
      <c r="E557" s="72" t="s">
        <v>30</v>
      </c>
      <c r="G557" s="72" t="s">
        <v>30</v>
      </c>
      <c r="H557" s="72" t="s">
        <v>30</v>
      </c>
      <c r="I557" s="31"/>
    </row>
    <row r="558">
      <c r="B558" s="72" t="s">
        <v>30</v>
      </c>
      <c r="C558" s="73" t="s">
        <v>30</v>
      </c>
      <c r="D558" s="72" t="s">
        <v>30</v>
      </c>
      <c r="E558" s="72" t="s">
        <v>30</v>
      </c>
      <c r="G558" s="72" t="s">
        <v>30</v>
      </c>
      <c r="H558" s="72" t="s">
        <v>30</v>
      </c>
      <c r="I558" s="31"/>
    </row>
    <row r="559">
      <c r="B559" s="72" t="s">
        <v>30</v>
      </c>
      <c r="C559" s="73" t="s">
        <v>30</v>
      </c>
      <c r="D559" s="72" t="s">
        <v>30</v>
      </c>
      <c r="E559" s="72" t="s">
        <v>30</v>
      </c>
      <c r="G559" s="72" t="s">
        <v>30</v>
      </c>
      <c r="H559" s="72" t="s">
        <v>30</v>
      </c>
      <c r="I559" s="31"/>
    </row>
    <row r="560">
      <c r="B560" s="72" t="s">
        <v>30</v>
      </c>
      <c r="C560" s="73" t="s">
        <v>30</v>
      </c>
      <c r="D560" s="72" t="s">
        <v>30</v>
      </c>
      <c r="E560" s="72" t="s">
        <v>30</v>
      </c>
      <c r="G560" s="72" t="s">
        <v>30</v>
      </c>
      <c r="H560" s="72" t="s">
        <v>30</v>
      </c>
      <c r="I560" s="31"/>
    </row>
    <row r="561">
      <c r="B561" s="72" t="s">
        <v>30</v>
      </c>
      <c r="C561" s="73" t="s">
        <v>30</v>
      </c>
      <c r="D561" s="72" t="s">
        <v>30</v>
      </c>
      <c r="E561" s="72" t="s">
        <v>30</v>
      </c>
      <c r="G561" s="72" t="s">
        <v>30</v>
      </c>
      <c r="H561" s="72" t="s">
        <v>30</v>
      </c>
      <c r="I561" s="31"/>
    </row>
    <row r="562">
      <c r="B562" s="72" t="s">
        <v>30</v>
      </c>
      <c r="C562" s="73" t="s">
        <v>30</v>
      </c>
      <c r="D562" s="72" t="s">
        <v>30</v>
      </c>
      <c r="E562" s="72" t="s">
        <v>30</v>
      </c>
      <c r="G562" s="72" t="s">
        <v>30</v>
      </c>
      <c r="H562" s="72" t="s">
        <v>30</v>
      </c>
      <c r="I562" s="31"/>
    </row>
    <row r="563">
      <c r="B563" s="72" t="s">
        <v>30</v>
      </c>
      <c r="C563" s="73" t="s">
        <v>30</v>
      </c>
      <c r="D563" s="72" t="s">
        <v>30</v>
      </c>
      <c r="E563" s="72" t="s">
        <v>30</v>
      </c>
      <c r="G563" s="72" t="s">
        <v>30</v>
      </c>
      <c r="H563" s="72" t="s">
        <v>30</v>
      </c>
      <c r="I563" s="31"/>
    </row>
    <row r="564">
      <c r="B564" s="72" t="s">
        <v>30</v>
      </c>
      <c r="C564" s="73" t="s">
        <v>30</v>
      </c>
      <c r="D564" s="72" t="s">
        <v>30</v>
      </c>
      <c r="E564" s="72" t="s">
        <v>30</v>
      </c>
      <c r="G564" s="72" t="s">
        <v>30</v>
      </c>
      <c r="H564" s="72" t="s">
        <v>30</v>
      </c>
      <c r="I564" s="31"/>
    </row>
    <row r="565">
      <c r="B565" s="72" t="s">
        <v>30</v>
      </c>
      <c r="C565" s="73" t="s">
        <v>30</v>
      </c>
      <c r="D565" s="72" t="s">
        <v>30</v>
      </c>
      <c r="E565" s="72" t="s">
        <v>30</v>
      </c>
      <c r="G565" s="72" t="s">
        <v>30</v>
      </c>
      <c r="H565" s="72" t="s">
        <v>30</v>
      </c>
      <c r="I565" s="31"/>
    </row>
    <row r="566">
      <c r="B566" s="72" t="s">
        <v>30</v>
      </c>
      <c r="C566" s="73" t="s">
        <v>30</v>
      </c>
      <c r="D566" s="72" t="s">
        <v>30</v>
      </c>
      <c r="E566" s="72" t="s">
        <v>30</v>
      </c>
      <c r="G566" s="72" t="s">
        <v>30</v>
      </c>
      <c r="H566" s="72" t="s">
        <v>30</v>
      </c>
      <c r="I566" s="31"/>
    </row>
    <row r="567">
      <c r="B567" s="72" t="s">
        <v>30</v>
      </c>
      <c r="C567" s="73" t="s">
        <v>30</v>
      </c>
      <c r="D567" s="72" t="s">
        <v>30</v>
      </c>
      <c r="E567" s="72" t="s">
        <v>30</v>
      </c>
      <c r="G567" s="72" t="s">
        <v>30</v>
      </c>
      <c r="H567" s="72" t="s">
        <v>30</v>
      </c>
      <c r="I567" s="31"/>
    </row>
    <row r="568">
      <c r="B568" s="72" t="s">
        <v>30</v>
      </c>
      <c r="C568" s="73" t="s">
        <v>30</v>
      </c>
      <c r="D568" s="72" t="s">
        <v>30</v>
      </c>
      <c r="E568" s="72" t="s">
        <v>30</v>
      </c>
      <c r="G568" s="72" t="s">
        <v>30</v>
      </c>
      <c r="H568" s="72" t="s">
        <v>30</v>
      </c>
      <c r="I568" s="31"/>
    </row>
    <row r="569">
      <c r="B569" s="72" t="s">
        <v>30</v>
      </c>
      <c r="C569" s="73" t="s">
        <v>30</v>
      </c>
      <c r="D569" s="72" t="s">
        <v>30</v>
      </c>
      <c r="E569" s="72" t="s">
        <v>30</v>
      </c>
      <c r="G569" s="72" t="s">
        <v>30</v>
      </c>
      <c r="H569" s="72" t="s">
        <v>30</v>
      </c>
      <c r="I569" s="31"/>
    </row>
    <row r="570">
      <c r="B570" s="72" t="s">
        <v>30</v>
      </c>
      <c r="C570" s="73" t="s">
        <v>30</v>
      </c>
      <c r="D570" s="72" t="s">
        <v>30</v>
      </c>
      <c r="E570" s="72" t="s">
        <v>30</v>
      </c>
      <c r="G570" s="72" t="s">
        <v>30</v>
      </c>
      <c r="H570" s="72" t="s">
        <v>30</v>
      </c>
      <c r="I570" s="31"/>
    </row>
    <row r="571">
      <c r="B571" s="72" t="s">
        <v>30</v>
      </c>
      <c r="C571" s="73" t="s">
        <v>30</v>
      </c>
      <c r="D571" s="72" t="s">
        <v>30</v>
      </c>
      <c r="E571" s="72" t="s">
        <v>30</v>
      </c>
      <c r="G571" s="72" t="s">
        <v>30</v>
      </c>
      <c r="H571" s="72" t="s">
        <v>30</v>
      </c>
      <c r="I571" s="31"/>
    </row>
    <row r="572">
      <c r="B572" s="72" t="s">
        <v>30</v>
      </c>
      <c r="C572" s="73" t="s">
        <v>30</v>
      </c>
      <c r="D572" s="72" t="s">
        <v>30</v>
      </c>
      <c r="E572" s="72" t="s">
        <v>30</v>
      </c>
      <c r="G572" s="72" t="s">
        <v>30</v>
      </c>
      <c r="H572" s="72" t="s">
        <v>30</v>
      </c>
      <c r="I572" s="31"/>
    </row>
    <row r="573">
      <c r="B573" s="72" t="s">
        <v>30</v>
      </c>
      <c r="C573" s="73" t="s">
        <v>30</v>
      </c>
      <c r="D573" s="72" t="s">
        <v>30</v>
      </c>
      <c r="E573" s="72" t="s">
        <v>30</v>
      </c>
      <c r="G573" s="72" t="s">
        <v>30</v>
      </c>
      <c r="H573" s="72" t="s">
        <v>30</v>
      </c>
      <c r="I573" s="31"/>
    </row>
    <row r="574">
      <c r="B574" s="72" t="s">
        <v>30</v>
      </c>
      <c r="C574" s="73" t="s">
        <v>30</v>
      </c>
      <c r="D574" s="72" t="s">
        <v>30</v>
      </c>
      <c r="E574" s="72" t="s">
        <v>30</v>
      </c>
      <c r="G574" s="72" t="s">
        <v>30</v>
      </c>
      <c r="H574" s="72" t="s">
        <v>30</v>
      </c>
      <c r="I574" s="31"/>
    </row>
    <row r="575">
      <c r="B575" s="72" t="s">
        <v>30</v>
      </c>
      <c r="C575" s="73" t="s">
        <v>30</v>
      </c>
      <c r="D575" s="72" t="s">
        <v>30</v>
      </c>
      <c r="E575" s="72" t="s">
        <v>30</v>
      </c>
      <c r="G575" s="72" t="s">
        <v>30</v>
      </c>
      <c r="H575" s="72" t="s">
        <v>30</v>
      </c>
      <c r="I575" s="31"/>
    </row>
    <row r="576">
      <c r="B576" s="72" t="s">
        <v>30</v>
      </c>
      <c r="C576" s="73" t="s">
        <v>30</v>
      </c>
      <c r="D576" s="72" t="s">
        <v>30</v>
      </c>
      <c r="E576" s="72" t="s">
        <v>30</v>
      </c>
      <c r="G576" s="72" t="s">
        <v>30</v>
      </c>
      <c r="H576" s="72" t="s">
        <v>30</v>
      </c>
      <c r="I576" s="31"/>
    </row>
    <row r="577">
      <c r="B577" s="72" t="s">
        <v>30</v>
      </c>
      <c r="C577" s="73" t="s">
        <v>30</v>
      </c>
      <c r="D577" s="72" t="s">
        <v>30</v>
      </c>
      <c r="E577" s="72" t="s">
        <v>30</v>
      </c>
      <c r="G577" s="72" t="s">
        <v>30</v>
      </c>
      <c r="H577" s="72" t="s">
        <v>30</v>
      </c>
      <c r="I577" s="31"/>
    </row>
    <row r="578">
      <c r="B578" s="72" t="s">
        <v>30</v>
      </c>
      <c r="C578" s="73" t="s">
        <v>30</v>
      </c>
      <c r="D578" s="72" t="s">
        <v>30</v>
      </c>
      <c r="E578" s="72" t="s">
        <v>30</v>
      </c>
      <c r="G578" s="72" t="s">
        <v>30</v>
      </c>
      <c r="H578" s="72" t="s">
        <v>30</v>
      </c>
      <c r="I578" s="31"/>
    </row>
    <row r="579">
      <c r="B579" s="72" t="s">
        <v>30</v>
      </c>
      <c r="C579" s="73" t="s">
        <v>30</v>
      </c>
      <c r="D579" s="72" t="s">
        <v>30</v>
      </c>
      <c r="E579" s="72" t="s">
        <v>30</v>
      </c>
      <c r="G579" s="72" t="s">
        <v>30</v>
      </c>
      <c r="H579" s="72" t="s">
        <v>30</v>
      </c>
      <c r="I579" s="31"/>
    </row>
    <row r="580">
      <c r="B580" s="72" t="s">
        <v>30</v>
      </c>
      <c r="C580" s="73" t="s">
        <v>30</v>
      </c>
      <c r="D580" s="72" t="s">
        <v>30</v>
      </c>
      <c r="E580" s="72" t="s">
        <v>30</v>
      </c>
      <c r="G580" s="72" t="s">
        <v>30</v>
      </c>
      <c r="H580" s="72" t="s">
        <v>30</v>
      </c>
      <c r="I580" s="31"/>
    </row>
    <row r="581">
      <c r="B581" s="72" t="s">
        <v>30</v>
      </c>
      <c r="C581" s="73" t="s">
        <v>30</v>
      </c>
      <c r="D581" s="72" t="s">
        <v>30</v>
      </c>
      <c r="E581" s="72" t="s">
        <v>30</v>
      </c>
      <c r="G581" s="72" t="s">
        <v>30</v>
      </c>
      <c r="H581" s="72" t="s">
        <v>30</v>
      </c>
      <c r="I581" s="31"/>
    </row>
    <row r="582">
      <c r="B582" s="72" t="s">
        <v>30</v>
      </c>
      <c r="C582" s="73" t="s">
        <v>30</v>
      </c>
      <c r="D582" s="72" t="s">
        <v>30</v>
      </c>
      <c r="E582" s="72" t="s">
        <v>30</v>
      </c>
      <c r="G582" s="72" t="s">
        <v>30</v>
      </c>
      <c r="H582" s="72" t="s">
        <v>30</v>
      </c>
      <c r="I582" s="31"/>
    </row>
    <row r="583">
      <c r="B583" s="72" t="s">
        <v>30</v>
      </c>
      <c r="C583" s="73" t="s">
        <v>30</v>
      </c>
      <c r="D583" s="72" t="s">
        <v>30</v>
      </c>
      <c r="E583" s="72" t="s">
        <v>30</v>
      </c>
      <c r="G583" s="72" t="s">
        <v>30</v>
      </c>
      <c r="H583" s="72" t="s">
        <v>30</v>
      </c>
      <c r="I583" s="31"/>
    </row>
    <row r="584">
      <c r="B584" s="72" t="s">
        <v>30</v>
      </c>
      <c r="C584" s="73" t="s">
        <v>30</v>
      </c>
      <c r="D584" s="72" t="s">
        <v>30</v>
      </c>
      <c r="E584" s="72" t="s">
        <v>30</v>
      </c>
      <c r="G584" s="72" t="s">
        <v>30</v>
      </c>
      <c r="H584" s="72" t="s">
        <v>30</v>
      </c>
      <c r="I584" s="31"/>
    </row>
    <row r="585">
      <c r="B585" s="72" t="s">
        <v>30</v>
      </c>
      <c r="C585" s="73" t="s">
        <v>30</v>
      </c>
      <c r="D585" s="72" t="s">
        <v>30</v>
      </c>
      <c r="E585" s="72" t="s">
        <v>30</v>
      </c>
      <c r="G585" s="72" t="s">
        <v>30</v>
      </c>
      <c r="H585" s="72" t="s">
        <v>30</v>
      </c>
      <c r="I585" s="31"/>
    </row>
    <row r="586">
      <c r="B586" s="72" t="s">
        <v>30</v>
      </c>
      <c r="C586" s="73" t="s">
        <v>30</v>
      </c>
      <c r="D586" s="72" t="s">
        <v>30</v>
      </c>
      <c r="E586" s="72" t="s">
        <v>30</v>
      </c>
      <c r="G586" s="72" t="s">
        <v>30</v>
      </c>
      <c r="H586" s="72" t="s">
        <v>30</v>
      </c>
      <c r="I586" s="31"/>
    </row>
    <row r="587">
      <c r="B587" s="72" t="s">
        <v>30</v>
      </c>
      <c r="C587" s="73" t="s">
        <v>30</v>
      </c>
      <c r="D587" s="72" t="s">
        <v>30</v>
      </c>
      <c r="E587" s="72" t="s">
        <v>30</v>
      </c>
      <c r="G587" s="72" t="s">
        <v>30</v>
      </c>
      <c r="H587" s="72" t="s">
        <v>30</v>
      </c>
      <c r="I587" s="31"/>
    </row>
    <row r="588">
      <c r="B588" s="72" t="s">
        <v>30</v>
      </c>
      <c r="C588" s="73" t="s">
        <v>30</v>
      </c>
      <c r="D588" s="72" t="s">
        <v>30</v>
      </c>
      <c r="E588" s="72" t="s">
        <v>30</v>
      </c>
      <c r="G588" s="72" t="s">
        <v>30</v>
      </c>
      <c r="H588" s="72" t="s">
        <v>30</v>
      </c>
      <c r="I588" s="31"/>
    </row>
    <row r="589">
      <c r="B589" s="72" t="s">
        <v>30</v>
      </c>
      <c r="C589" s="73" t="s">
        <v>30</v>
      </c>
      <c r="D589" s="72" t="s">
        <v>30</v>
      </c>
      <c r="E589" s="72" t="s">
        <v>30</v>
      </c>
      <c r="G589" s="72" t="s">
        <v>30</v>
      </c>
      <c r="H589" s="72" t="s">
        <v>30</v>
      </c>
      <c r="I589" s="31"/>
    </row>
    <row r="590">
      <c r="B590" s="72" t="s">
        <v>30</v>
      </c>
      <c r="C590" s="73" t="s">
        <v>30</v>
      </c>
      <c r="D590" s="72" t="s">
        <v>30</v>
      </c>
      <c r="E590" s="72" t="s">
        <v>30</v>
      </c>
      <c r="G590" s="72" t="s">
        <v>30</v>
      </c>
      <c r="H590" s="72" t="s">
        <v>30</v>
      </c>
      <c r="I590" s="31"/>
    </row>
    <row r="591">
      <c r="B591" s="72" t="s">
        <v>30</v>
      </c>
      <c r="C591" s="73" t="s">
        <v>30</v>
      </c>
      <c r="D591" s="72" t="s">
        <v>30</v>
      </c>
      <c r="E591" s="72" t="s">
        <v>30</v>
      </c>
      <c r="G591" s="72" t="s">
        <v>30</v>
      </c>
      <c r="H591" s="72" t="s">
        <v>30</v>
      </c>
      <c r="I591" s="31"/>
    </row>
    <row r="592">
      <c r="B592" s="72" t="s">
        <v>30</v>
      </c>
      <c r="C592" s="73" t="s">
        <v>30</v>
      </c>
      <c r="D592" s="72" t="s">
        <v>30</v>
      </c>
      <c r="E592" s="72" t="s">
        <v>30</v>
      </c>
      <c r="G592" s="72" t="s">
        <v>30</v>
      </c>
      <c r="H592" s="72" t="s">
        <v>30</v>
      </c>
      <c r="I592" s="31"/>
    </row>
    <row r="593">
      <c r="B593" s="72" t="s">
        <v>30</v>
      </c>
      <c r="C593" s="73" t="s">
        <v>30</v>
      </c>
      <c r="D593" s="72" t="s">
        <v>30</v>
      </c>
      <c r="E593" s="72" t="s">
        <v>30</v>
      </c>
      <c r="G593" s="72" t="s">
        <v>30</v>
      </c>
      <c r="H593" s="72" t="s">
        <v>30</v>
      </c>
      <c r="I593" s="31"/>
    </row>
    <row r="594">
      <c r="B594" s="72" t="s">
        <v>30</v>
      </c>
      <c r="C594" s="73" t="s">
        <v>30</v>
      </c>
      <c r="D594" s="72" t="s">
        <v>30</v>
      </c>
      <c r="E594" s="72" t="s">
        <v>30</v>
      </c>
      <c r="G594" s="72" t="s">
        <v>30</v>
      </c>
      <c r="H594" s="72" t="s">
        <v>30</v>
      </c>
      <c r="I594" s="31"/>
    </row>
    <row r="595">
      <c r="B595" s="72" t="s">
        <v>30</v>
      </c>
      <c r="C595" s="73" t="s">
        <v>30</v>
      </c>
      <c r="D595" s="72" t="s">
        <v>30</v>
      </c>
      <c r="E595" s="72" t="s">
        <v>30</v>
      </c>
      <c r="G595" s="72" t="s">
        <v>30</v>
      </c>
      <c r="H595" s="72" t="s">
        <v>30</v>
      </c>
      <c r="I595" s="31"/>
    </row>
    <row r="596">
      <c r="B596" s="72" t="s">
        <v>30</v>
      </c>
      <c r="C596" s="73" t="s">
        <v>30</v>
      </c>
      <c r="D596" s="72" t="s">
        <v>30</v>
      </c>
      <c r="E596" s="72" t="s">
        <v>30</v>
      </c>
      <c r="G596" s="72" t="s">
        <v>30</v>
      </c>
      <c r="H596" s="72" t="s">
        <v>30</v>
      </c>
      <c r="I596" s="31"/>
    </row>
    <row r="597">
      <c r="B597" s="72" t="s">
        <v>30</v>
      </c>
      <c r="C597" s="73" t="s">
        <v>30</v>
      </c>
      <c r="D597" s="72" t="s">
        <v>30</v>
      </c>
      <c r="E597" s="72" t="s">
        <v>30</v>
      </c>
      <c r="G597" s="72" t="s">
        <v>30</v>
      </c>
      <c r="H597" s="72" t="s">
        <v>30</v>
      </c>
      <c r="I597" s="31"/>
    </row>
    <row r="598">
      <c r="B598" s="72" t="s">
        <v>30</v>
      </c>
      <c r="C598" s="73" t="s">
        <v>30</v>
      </c>
      <c r="D598" s="72" t="s">
        <v>30</v>
      </c>
      <c r="E598" s="72" t="s">
        <v>30</v>
      </c>
      <c r="G598" s="72" t="s">
        <v>30</v>
      </c>
      <c r="H598" s="72" t="s">
        <v>30</v>
      </c>
      <c r="I598" s="31"/>
    </row>
    <row r="599">
      <c r="B599" s="72" t="s">
        <v>30</v>
      </c>
      <c r="C599" s="73" t="s">
        <v>30</v>
      </c>
      <c r="D599" s="72" t="s">
        <v>30</v>
      </c>
      <c r="E599" s="72" t="s">
        <v>30</v>
      </c>
      <c r="G599" s="72" t="s">
        <v>30</v>
      </c>
      <c r="H599" s="72" t="s">
        <v>30</v>
      </c>
      <c r="I599" s="31"/>
    </row>
    <row r="600">
      <c r="B600" s="72" t="s">
        <v>30</v>
      </c>
      <c r="C600" s="73" t="s">
        <v>30</v>
      </c>
      <c r="D600" s="72" t="s">
        <v>30</v>
      </c>
      <c r="E600" s="72" t="s">
        <v>30</v>
      </c>
      <c r="G600" s="72" t="s">
        <v>30</v>
      </c>
      <c r="H600" s="72" t="s">
        <v>30</v>
      </c>
      <c r="I600" s="31"/>
    </row>
    <row r="601">
      <c r="B601" s="72" t="s">
        <v>30</v>
      </c>
      <c r="C601" s="73" t="s">
        <v>30</v>
      </c>
      <c r="D601" s="72" t="s">
        <v>30</v>
      </c>
      <c r="E601" s="72" t="s">
        <v>30</v>
      </c>
      <c r="G601" s="72" t="s">
        <v>30</v>
      </c>
      <c r="H601" s="72" t="s">
        <v>30</v>
      </c>
      <c r="I601" s="31"/>
    </row>
    <row r="602">
      <c r="B602" s="72" t="s">
        <v>30</v>
      </c>
      <c r="C602" s="73" t="s">
        <v>30</v>
      </c>
      <c r="D602" s="72" t="s">
        <v>30</v>
      </c>
      <c r="E602" s="72" t="s">
        <v>30</v>
      </c>
      <c r="G602" s="72" t="s">
        <v>30</v>
      </c>
      <c r="H602" s="72" t="s">
        <v>30</v>
      </c>
      <c r="I602" s="31"/>
    </row>
    <row r="603">
      <c r="B603" s="72" t="s">
        <v>30</v>
      </c>
      <c r="C603" s="73" t="s">
        <v>30</v>
      </c>
      <c r="D603" s="72" t="s">
        <v>30</v>
      </c>
      <c r="E603" s="72" t="s">
        <v>30</v>
      </c>
      <c r="G603" s="72" t="s">
        <v>30</v>
      </c>
      <c r="H603" s="72" t="s">
        <v>30</v>
      </c>
      <c r="I603" s="31"/>
    </row>
    <row r="604">
      <c r="B604" s="72" t="s">
        <v>30</v>
      </c>
      <c r="C604" s="73" t="s">
        <v>30</v>
      </c>
      <c r="D604" s="72" t="s">
        <v>30</v>
      </c>
      <c r="E604" s="72" t="s">
        <v>30</v>
      </c>
      <c r="G604" s="72" t="s">
        <v>30</v>
      </c>
      <c r="H604" s="72" t="s">
        <v>30</v>
      </c>
      <c r="I604" s="31"/>
    </row>
    <row r="605">
      <c r="B605" s="72" t="s">
        <v>30</v>
      </c>
      <c r="C605" s="73" t="s">
        <v>30</v>
      </c>
      <c r="D605" s="72" t="s">
        <v>30</v>
      </c>
      <c r="E605" s="72" t="s">
        <v>30</v>
      </c>
      <c r="G605" s="72" t="s">
        <v>30</v>
      </c>
      <c r="H605" s="72" t="s">
        <v>30</v>
      </c>
      <c r="I605" s="31"/>
    </row>
    <row r="606">
      <c r="B606" s="72" t="s">
        <v>30</v>
      </c>
      <c r="C606" s="73" t="s">
        <v>30</v>
      </c>
      <c r="D606" s="72" t="s">
        <v>30</v>
      </c>
      <c r="E606" s="72" t="s">
        <v>30</v>
      </c>
      <c r="G606" s="72" t="s">
        <v>30</v>
      </c>
      <c r="H606" s="72" t="s">
        <v>30</v>
      </c>
      <c r="I606" s="31"/>
    </row>
    <row r="607">
      <c r="B607" s="72" t="s">
        <v>30</v>
      </c>
      <c r="C607" s="73" t="s">
        <v>30</v>
      </c>
      <c r="D607" s="72" t="s">
        <v>30</v>
      </c>
      <c r="E607" s="72" t="s">
        <v>30</v>
      </c>
      <c r="G607" s="72" t="s">
        <v>30</v>
      </c>
      <c r="H607" s="72" t="s">
        <v>30</v>
      </c>
      <c r="I607" s="31"/>
    </row>
    <row r="608">
      <c r="B608" s="72" t="s">
        <v>30</v>
      </c>
      <c r="C608" s="73" t="s">
        <v>30</v>
      </c>
      <c r="D608" s="72" t="s">
        <v>30</v>
      </c>
      <c r="E608" s="72" t="s">
        <v>30</v>
      </c>
      <c r="G608" s="72" t="s">
        <v>30</v>
      </c>
      <c r="H608" s="72" t="s">
        <v>30</v>
      </c>
      <c r="I608" s="31"/>
    </row>
    <row r="609">
      <c r="B609" s="72" t="s">
        <v>30</v>
      </c>
      <c r="C609" s="73" t="s">
        <v>30</v>
      </c>
      <c r="D609" s="72" t="s">
        <v>30</v>
      </c>
      <c r="E609" s="72" t="s">
        <v>30</v>
      </c>
      <c r="G609" s="72" t="s">
        <v>30</v>
      </c>
      <c r="H609" s="72" t="s">
        <v>30</v>
      </c>
      <c r="I609" s="31"/>
    </row>
    <row r="610">
      <c r="B610" s="72" t="s">
        <v>30</v>
      </c>
      <c r="C610" s="73" t="s">
        <v>30</v>
      </c>
      <c r="D610" s="72" t="s">
        <v>30</v>
      </c>
      <c r="E610" s="72" t="s">
        <v>30</v>
      </c>
      <c r="G610" s="72" t="s">
        <v>30</v>
      </c>
      <c r="H610" s="72" t="s">
        <v>30</v>
      </c>
      <c r="I610" s="31"/>
    </row>
    <row r="611">
      <c r="B611" s="72" t="s">
        <v>30</v>
      </c>
      <c r="C611" s="73" t="s">
        <v>30</v>
      </c>
      <c r="D611" s="72" t="s">
        <v>30</v>
      </c>
      <c r="E611" s="72" t="s">
        <v>30</v>
      </c>
      <c r="G611" s="72" t="s">
        <v>30</v>
      </c>
      <c r="H611" s="72" t="s">
        <v>30</v>
      </c>
      <c r="I611" s="31"/>
    </row>
    <row r="612">
      <c r="B612" s="72" t="s">
        <v>30</v>
      </c>
      <c r="C612" s="73" t="s">
        <v>30</v>
      </c>
      <c r="D612" s="72" t="s">
        <v>30</v>
      </c>
      <c r="E612" s="72" t="s">
        <v>30</v>
      </c>
      <c r="G612" s="72" t="s">
        <v>30</v>
      </c>
      <c r="H612" s="72" t="s">
        <v>30</v>
      </c>
      <c r="I612" s="31"/>
    </row>
    <row r="613">
      <c r="B613" s="72" t="s">
        <v>30</v>
      </c>
      <c r="C613" s="73" t="s">
        <v>30</v>
      </c>
      <c r="D613" s="72" t="s">
        <v>30</v>
      </c>
      <c r="E613" s="72" t="s">
        <v>30</v>
      </c>
      <c r="G613" s="72" t="s">
        <v>30</v>
      </c>
      <c r="H613" s="72" t="s">
        <v>30</v>
      </c>
      <c r="I613" s="31"/>
    </row>
    <row r="614">
      <c r="B614" s="72" t="s">
        <v>30</v>
      </c>
      <c r="C614" s="73" t="s">
        <v>30</v>
      </c>
      <c r="D614" s="72" t="s">
        <v>30</v>
      </c>
      <c r="E614" s="72" t="s">
        <v>30</v>
      </c>
      <c r="G614" s="72" t="s">
        <v>30</v>
      </c>
      <c r="H614" s="72" t="s">
        <v>30</v>
      </c>
      <c r="I614" s="31"/>
    </row>
    <row r="615">
      <c r="B615" s="72" t="s">
        <v>30</v>
      </c>
      <c r="C615" s="73" t="s">
        <v>30</v>
      </c>
      <c r="D615" s="72" t="s">
        <v>30</v>
      </c>
      <c r="E615" s="72" t="s">
        <v>30</v>
      </c>
      <c r="G615" s="72" t="s">
        <v>30</v>
      </c>
      <c r="H615" s="72" t="s">
        <v>30</v>
      </c>
      <c r="I615" s="31"/>
    </row>
    <row r="616">
      <c r="B616" s="72" t="s">
        <v>30</v>
      </c>
      <c r="C616" s="73" t="s">
        <v>30</v>
      </c>
      <c r="D616" s="72" t="s">
        <v>30</v>
      </c>
      <c r="E616" s="72" t="s">
        <v>30</v>
      </c>
      <c r="G616" s="72" t="s">
        <v>30</v>
      </c>
      <c r="H616" s="72" t="s">
        <v>30</v>
      </c>
      <c r="I616" s="31"/>
    </row>
    <row r="617">
      <c r="B617" s="72" t="s">
        <v>30</v>
      </c>
      <c r="C617" s="73" t="s">
        <v>30</v>
      </c>
      <c r="D617" s="72" t="s">
        <v>30</v>
      </c>
      <c r="E617" s="72" t="s">
        <v>30</v>
      </c>
      <c r="G617" s="72" t="s">
        <v>30</v>
      </c>
      <c r="H617" s="72" t="s">
        <v>30</v>
      </c>
      <c r="I617" s="31"/>
    </row>
    <row r="618">
      <c r="B618" s="72" t="s">
        <v>30</v>
      </c>
      <c r="C618" s="73" t="s">
        <v>30</v>
      </c>
      <c r="D618" s="72" t="s">
        <v>30</v>
      </c>
      <c r="E618" s="72" t="s">
        <v>30</v>
      </c>
      <c r="G618" s="72" t="s">
        <v>30</v>
      </c>
      <c r="H618" s="72" t="s">
        <v>30</v>
      </c>
      <c r="I618" s="31"/>
    </row>
    <row r="619">
      <c r="B619" s="72" t="s">
        <v>30</v>
      </c>
      <c r="C619" s="73" t="s">
        <v>30</v>
      </c>
      <c r="D619" s="72" t="s">
        <v>30</v>
      </c>
      <c r="E619" s="72" t="s">
        <v>30</v>
      </c>
      <c r="G619" s="72" t="s">
        <v>30</v>
      </c>
      <c r="H619" s="72" t="s">
        <v>30</v>
      </c>
      <c r="I619" s="31"/>
    </row>
    <row r="620">
      <c r="B620" s="72" t="s">
        <v>30</v>
      </c>
      <c r="C620" s="73" t="s">
        <v>30</v>
      </c>
      <c r="D620" s="72" t="s">
        <v>30</v>
      </c>
      <c r="E620" s="72" t="s">
        <v>30</v>
      </c>
      <c r="G620" s="72" t="s">
        <v>30</v>
      </c>
      <c r="H620" s="72" t="s">
        <v>30</v>
      </c>
      <c r="I620" s="31"/>
    </row>
    <row r="621">
      <c r="B621" s="72" t="s">
        <v>30</v>
      </c>
      <c r="C621" s="73" t="s">
        <v>30</v>
      </c>
      <c r="D621" s="72" t="s">
        <v>30</v>
      </c>
      <c r="E621" s="72" t="s">
        <v>30</v>
      </c>
      <c r="G621" s="72" t="s">
        <v>30</v>
      </c>
      <c r="H621" s="72" t="s">
        <v>30</v>
      </c>
      <c r="I621" s="31"/>
    </row>
    <row r="622">
      <c r="B622" s="72" t="s">
        <v>30</v>
      </c>
      <c r="C622" s="73" t="s">
        <v>30</v>
      </c>
      <c r="D622" s="72" t="s">
        <v>30</v>
      </c>
      <c r="E622" s="72" t="s">
        <v>30</v>
      </c>
      <c r="G622" s="72" t="s">
        <v>30</v>
      </c>
      <c r="H622" s="72" t="s">
        <v>30</v>
      </c>
      <c r="I622" s="31"/>
    </row>
    <row r="623">
      <c r="B623" s="72" t="s">
        <v>30</v>
      </c>
      <c r="C623" s="73" t="s">
        <v>30</v>
      </c>
      <c r="D623" s="72" t="s">
        <v>30</v>
      </c>
      <c r="E623" s="72" t="s">
        <v>30</v>
      </c>
      <c r="G623" s="72" t="s">
        <v>30</v>
      </c>
      <c r="H623" s="72" t="s">
        <v>30</v>
      </c>
      <c r="I623" s="31"/>
    </row>
    <row r="624">
      <c r="B624" s="72" t="s">
        <v>30</v>
      </c>
      <c r="C624" s="73" t="s">
        <v>30</v>
      </c>
      <c r="D624" s="72" t="s">
        <v>30</v>
      </c>
      <c r="E624" s="72" t="s">
        <v>30</v>
      </c>
      <c r="G624" s="72" t="s">
        <v>30</v>
      </c>
      <c r="H624" s="72" t="s">
        <v>30</v>
      </c>
      <c r="I624" s="31"/>
    </row>
    <row r="625">
      <c r="B625" s="72" t="s">
        <v>30</v>
      </c>
      <c r="C625" s="73" t="s">
        <v>30</v>
      </c>
      <c r="D625" s="72" t="s">
        <v>30</v>
      </c>
      <c r="E625" s="72" t="s">
        <v>30</v>
      </c>
      <c r="G625" s="72" t="s">
        <v>30</v>
      </c>
      <c r="H625" s="72" t="s">
        <v>30</v>
      </c>
      <c r="I625" s="31"/>
    </row>
    <row r="626">
      <c r="B626" s="72" t="s">
        <v>30</v>
      </c>
      <c r="C626" s="73" t="s">
        <v>30</v>
      </c>
      <c r="D626" s="72" t="s">
        <v>30</v>
      </c>
      <c r="E626" s="72" t="s">
        <v>30</v>
      </c>
      <c r="G626" s="72" t="s">
        <v>30</v>
      </c>
      <c r="H626" s="72" t="s">
        <v>30</v>
      </c>
      <c r="I626" s="31"/>
    </row>
    <row r="627">
      <c r="B627" s="72" t="s">
        <v>30</v>
      </c>
      <c r="C627" s="73" t="s">
        <v>30</v>
      </c>
      <c r="D627" s="72" t="s">
        <v>30</v>
      </c>
      <c r="E627" s="72" t="s">
        <v>30</v>
      </c>
      <c r="G627" s="72" t="s">
        <v>30</v>
      </c>
      <c r="H627" s="72" t="s">
        <v>30</v>
      </c>
      <c r="I627" s="31"/>
    </row>
    <row r="628">
      <c r="B628" s="72" t="s">
        <v>30</v>
      </c>
      <c r="C628" s="73" t="s">
        <v>30</v>
      </c>
      <c r="D628" s="72" t="s">
        <v>30</v>
      </c>
      <c r="E628" s="72" t="s">
        <v>30</v>
      </c>
      <c r="G628" s="72" t="s">
        <v>30</v>
      </c>
      <c r="H628" s="72" t="s">
        <v>30</v>
      </c>
      <c r="I628" s="31"/>
    </row>
    <row r="629">
      <c r="B629" s="72" t="s">
        <v>30</v>
      </c>
      <c r="C629" s="73" t="s">
        <v>30</v>
      </c>
      <c r="D629" s="72" t="s">
        <v>30</v>
      </c>
      <c r="E629" s="72" t="s">
        <v>30</v>
      </c>
      <c r="G629" s="72" t="s">
        <v>30</v>
      </c>
      <c r="H629" s="72" t="s">
        <v>30</v>
      </c>
      <c r="I629" s="31"/>
    </row>
    <row r="630">
      <c r="B630" s="72" t="s">
        <v>30</v>
      </c>
      <c r="C630" s="73" t="s">
        <v>30</v>
      </c>
      <c r="D630" s="72" t="s">
        <v>30</v>
      </c>
      <c r="E630" s="72" t="s">
        <v>30</v>
      </c>
      <c r="G630" s="72" t="s">
        <v>30</v>
      </c>
      <c r="H630" s="72" t="s">
        <v>30</v>
      </c>
      <c r="I630" s="31"/>
    </row>
    <row r="631">
      <c r="B631" s="72" t="s">
        <v>30</v>
      </c>
      <c r="C631" s="73" t="s">
        <v>30</v>
      </c>
      <c r="D631" s="72" t="s">
        <v>30</v>
      </c>
      <c r="E631" s="72" t="s">
        <v>30</v>
      </c>
      <c r="G631" s="72" t="s">
        <v>30</v>
      </c>
      <c r="H631" s="72" t="s">
        <v>30</v>
      </c>
      <c r="I631" s="31"/>
    </row>
    <row r="632">
      <c r="B632" s="72" t="s">
        <v>30</v>
      </c>
      <c r="C632" s="73" t="s">
        <v>30</v>
      </c>
      <c r="D632" s="72" t="s">
        <v>30</v>
      </c>
      <c r="E632" s="72" t="s">
        <v>30</v>
      </c>
      <c r="G632" s="72" t="s">
        <v>30</v>
      </c>
      <c r="H632" s="72" t="s">
        <v>30</v>
      </c>
      <c r="I632" s="31"/>
    </row>
    <row r="633">
      <c r="B633" s="72" t="s">
        <v>30</v>
      </c>
      <c r="C633" s="73" t="s">
        <v>30</v>
      </c>
      <c r="D633" s="72" t="s">
        <v>30</v>
      </c>
      <c r="E633" s="72" t="s">
        <v>30</v>
      </c>
      <c r="G633" s="72" t="s">
        <v>30</v>
      </c>
      <c r="H633" s="72" t="s">
        <v>30</v>
      </c>
      <c r="I633" s="31"/>
    </row>
    <row r="634">
      <c r="B634" s="72" t="s">
        <v>30</v>
      </c>
      <c r="C634" s="73" t="s">
        <v>30</v>
      </c>
      <c r="D634" s="72" t="s">
        <v>30</v>
      </c>
      <c r="E634" s="72" t="s">
        <v>30</v>
      </c>
      <c r="G634" s="72" t="s">
        <v>30</v>
      </c>
      <c r="H634" s="72" t="s">
        <v>30</v>
      </c>
      <c r="I634" s="31"/>
    </row>
    <row r="635">
      <c r="B635" s="72" t="s">
        <v>30</v>
      </c>
      <c r="C635" s="73" t="s">
        <v>30</v>
      </c>
      <c r="D635" s="72" t="s">
        <v>30</v>
      </c>
      <c r="E635" s="72" t="s">
        <v>30</v>
      </c>
      <c r="G635" s="72" t="s">
        <v>30</v>
      </c>
      <c r="H635" s="72" t="s">
        <v>30</v>
      </c>
      <c r="I635" s="31"/>
    </row>
    <row r="636">
      <c r="B636" s="72" t="s">
        <v>30</v>
      </c>
      <c r="C636" s="73" t="s">
        <v>30</v>
      </c>
      <c r="D636" s="72" t="s">
        <v>30</v>
      </c>
      <c r="E636" s="72" t="s">
        <v>30</v>
      </c>
      <c r="G636" s="72" t="s">
        <v>30</v>
      </c>
      <c r="H636" s="72" t="s">
        <v>30</v>
      </c>
      <c r="I636" s="31"/>
    </row>
    <row r="637">
      <c r="B637" s="72" t="s">
        <v>30</v>
      </c>
      <c r="C637" s="73" t="s">
        <v>30</v>
      </c>
      <c r="D637" s="72" t="s">
        <v>30</v>
      </c>
      <c r="E637" s="72" t="s">
        <v>30</v>
      </c>
      <c r="G637" s="72" t="s">
        <v>30</v>
      </c>
      <c r="H637" s="72" t="s">
        <v>30</v>
      </c>
      <c r="I637" s="31"/>
    </row>
    <row r="638">
      <c r="B638" s="72" t="s">
        <v>30</v>
      </c>
      <c r="C638" s="73" t="s">
        <v>30</v>
      </c>
      <c r="D638" s="72" t="s">
        <v>30</v>
      </c>
      <c r="E638" s="72" t="s">
        <v>30</v>
      </c>
      <c r="G638" s="72" t="s">
        <v>30</v>
      </c>
      <c r="H638" s="72" t="s">
        <v>30</v>
      </c>
      <c r="I638" s="31"/>
    </row>
    <row r="639">
      <c r="B639" s="72" t="s">
        <v>30</v>
      </c>
      <c r="C639" s="73" t="s">
        <v>30</v>
      </c>
      <c r="D639" s="72" t="s">
        <v>30</v>
      </c>
      <c r="E639" s="72" t="s">
        <v>30</v>
      </c>
      <c r="G639" s="72" t="s">
        <v>30</v>
      </c>
      <c r="H639" s="72" t="s">
        <v>30</v>
      </c>
      <c r="I639" s="31"/>
    </row>
    <row r="640">
      <c r="B640" s="72" t="s">
        <v>30</v>
      </c>
      <c r="C640" s="73" t="s">
        <v>30</v>
      </c>
      <c r="D640" s="72" t="s">
        <v>30</v>
      </c>
      <c r="E640" s="72" t="s">
        <v>30</v>
      </c>
      <c r="G640" s="72" t="s">
        <v>30</v>
      </c>
      <c r="H640" s="72" t="s">
        <v>30</v>
      </c>
      <c r="I640" s="31"/>
    </row>
    <row r="641">
      <c r="B641" s="72" t="s">
        <v>30</v>
      </c>
      <c r="C641" s="73" t="s">
        <v>30</v>
      </c>
      <c r="D641" s="72" t="s">
        <v>30</v>
      </c>
      <c r="E641" s="72" t="s">
        <v>30</v>
      </c>
      <c r="G641" s="72" t="s">
        <v>30</v>
      </c>
      <c r="H641" s="72" t="s">
        <v>30</v>
      </c>
      <c r="I641" s="31"/>
    </row>
    <row r="642">
      <c r="B642" s="72" t="s">
        <v>30</v>
      </c>
      <c r="C642" s="73" t="s">
        <v>30</v>
      </c>
      <c r="D642" s="72" t="s">
        <v>30</v>
      </c>
      <c r="E642" s="72" t="s">
        <v>30</v>
      </c>
      <c r="G642" s="72" t="s">
        <v>30</v>
      </c>
      <c r="H642" s="72" t="s">
        <v>30</v>
      </c>
      <c r="I642" s="31"/>
    </row>
    <row r="643">
      <c r="B643" s="72" t="s">
        <v>30</v>
      </c>
      <c r="C643" s="73" t="s">
        <v>30</v>
      </c>
      <c r="D643" s="72" t="s">
        <v>30</v>
      </c>
      <c r="E643" s="72" t="s">
        <v>30</v>
      </c>
      <c r="G643" s="72" t="s">
        <v>30</v>
      </c>
      <c r="H643" s="72" t="s">
        <v>30</v>
      </c>
      <c r="I643" s="31"/>
    </row>
    <row r="644">
      <c r="B644" s="72" t="s">
        <v>30</v>
      </c>
      <c r="C644" s="73" t="s">
        <v>30</v>
      </c>
      <c r="D644" s="72" t="s">
        <v>30</v>
      </c>
      <c r="E644" s="72" t="s">
        <v>30</v>
      </c>
      <c r="G644" s="72" t="s">
        <v>30</v>
      </c>
      <c r="H644" s="72" t="s">
        <v>30</v>
      </c>
      <c r="I644" s="31"/>
    </row>
    <row r="645">
      <c r="B645" s="72" t="s">
        <v>30</v>
      </c>
      <c r="C645" s="73" t="s">
        <v>30</v>
      </c>
      <c r="D645" s="72" t="s">
        <v>30</v>
      </c>
      <c r="E645" s="72" t="s">
        <v>30</v>
      </c>
      <c r="G645" s="72" t="s">
        <v>30</v>
      </c>
      <c r="H645" s="72" t="s">
        <v>30</v>
      </c>
      <c r="I645" s="31"/>
    </row>
    <row r="646">
      <c r="B646" s="72" t="s">
        <v>30</v>
      </c>
      <c r="C646" s="73" t="s">
        <v>30</v>
      </c>
      <c r="D646" s="72" t="s">
        <v>30</v>
      </c>
      <c r="E646" s="72" t="s">
        <v>30</v>
      </c>
      <c r="G646" s="72" t="s">
        <v>30</v>
      </c>
      <c r="H646" s="72" t="s">
        <v>30</v>
      </c>
      <c r="I646" s="31"/>
    </row>
    <row r="647">
      <c r="B647" s="72" t="s">
        <v>30</v>
      </c>
      <c r="C647" s="73" t="s">
        <v>30</v>
      </c>
      <c r="D647" s="72" t="s">
        <v>30</v>
      </c>
      <c r="E647" s="72" t="s">
        <v>30</v>
      </c>
      <c r="G647" s="72" t="s">
        <v>30</v>
      </c>
      <c r="H647" s="72" t="s">
        <v>30</v>
      </c>
      <c r="I647" s="31"/>
    </row>
    <row r="648">
      <c r="B648" s="72" t="s">
        <v>30</v>
      </c>
      <c r="C648" s="73" t="s">
        <v>30</v>
      </c>
      <c r="D648" s="72" t="s">
        <v>30</v>
      </c>
      <c r="E648" s="72" t="s">
        <v>30</v>
      </c>
      <c r="G648" s="72" t="s">
        <v>30</v>
      </c>
      <c r="H648" s="72" t="s">
        <v>30</v>
      </c>
      <c r="I648" s="31"/>
    </row>
    <row r="649">
      <c r="B649" s="72" t="s">
        <v>30</v>
      </c>
      <c r="C649" s="73" t="s">
        <v>30</v>
      </c>
      <c r="D649" s="72" t="s">
        <v>30</v>
      </c>
      <c r="E649" s="72" t="s">
        <v>30</v>
      </c>
      <c r="G649" s="72" t="s">
        <v>30</v>
      </c>
      <c r="H649" s="72" t="s">
        <v>30</v>
      </c>
      <c r="I649" s="31"/>
    </row>
    <row r="650">
      <c r="B650" s="72" t="s">
        <v>30</v>
      </c>
      <c r="C650" s="73" t="s">
        <v>30</v>
      </c>
      <c r="D650" s="72" t="s">
        <v>30</v>
      </c>
      <c r="E650" s="72" t="s">
        <v>30</v>
      </c>
      <c r="G650" s="72" t="s">
        <v>30</v>
      </c>
      <c r="H650" s="72" t="s">
        <v>30</v>
      </c>
      <c r="I650" s="31"/>
    </row>
    <row r="651">
      <c r="B651" s="72" t="s">
        <v>30</v>
      </c>
      <c r="C651" s="73" t="s">
        <v>30</v>
      </c>
      <c r="D651" s="72" t="s">
        <v>30</v>
      </c>
      <c r="E651" s="72" t="s">
        <v>30</v>
      </c>
      <c r="G651" s="72" t="s">
        <v>30</v>
      </c>
      <c r="H651" s="72" t="s">
        <v>30</v>
      </c>
      <c r="I651" s="31"/>
    </row>
    <row r="652">
      <c r="B652" s="72" t="s">
        <v>30</v>
      </c>
      <c r="C652" s="73" t="s">
        <v>30</v>
      </c>
      <c r="D652" s="72" t="s">
        <v>30</v>
      </c>
      <c r="E652" s="72" t="s">
        <v>30</v>
      </c>
      <c r="G652" s="72" t="s">
        <v>30</v>
      </c>
      <c r="H652" s="72" t="s">
        <v>30</v>
      </c>
      <c r="I652" s="31"/>
    </row>
    <row r="653">
      <c r="B653" s="72" t="s">
        <v>30</v>
      </c>
      <c r="C653" s="73" t="s">
        <v>30</v>
      </c>
      <c r="D653" s="72" t="s">
        <v>30</v>
      </c>
      <c r="E653" s="72" t="s">
        <v>30</v>
      </c>
      <c r="G653" s="72" t="s">
        <v>30</v>
      </c>
      <c r="H653" s="72" t="s">
        <v>30</v>
      </c>
      <c r="I653" s="31"/>
    </row>
    <row r="654">
      <c r="B654" s="72" t="s">
        <v>30</v>
      </c>
      <c r="C654" s="73" t="s">
        <v>30</v>
      </c>
      <c r="D654" s="72" t="s">
        <v>30</v>
      </c>
      <c r="E654" s="72" t="s">
        <v>30</v>
      </c>
      <c r="G654" s="72" t="s">
        <v>30</v>
      </c>
      <c r="H654" s="72" t="s">
        <v>30</v>
      </c>
      <c r="I654" s="31"/>
    </row>
    <row r="655">
      <c r="B655" s="72" t="s">
        <v>30</v>
      </c>
      <c r="C655" s="73" t="s">
        <v>30</v>
      </c>
      <c r="D655" s="72" t="s">
        <v>30</v>
      </c>
      <c r="E655" s="72" t="s">
        <v>30</v>
      </c>
      <c r="G655" s="72" t="s">
        <v>30</v>
      </c>
      <c r="H655" s="72" t="s">
        <v>30</v>
      </c>
      <c r="I655" s="31"/>
    </row>
    <row r="656">
      <c r="B656" s="72" t="s">
        <v>30</v>
      </c>
      <c r="C656" s="73" t="s">
        <v>30</v>
      </c>
      <c r="D656" s="72" t="s">
        <v>30</v>
      </c>
      <c r="E656" s="72" t="s">
        <v>30</v>
      </c>
      <c r="G656" s="72" t="s">
        <v>30</v>
      </c>
      <c r="H656" s="72" t="s">
        <v>30</v>
      </c>
      <c r="I656" s="31"/>
    </row>
    <row r="657">
      <c r="B657" s="72" t="s">
        <v>30</v>
      </c>
      <c r="C657" s="73" t="s">
        <v>30</v>
      </c>
      <c r="D657" s="72" t="s">
        <v>30</v>
      </c>
      <c r="E657" s="72" t="s">
        <v>30</v>
      </c>
      <c r="G657" s="72" t="s">
        <v>30</v>
      </c>
      <c r="H657" s="72" t="s">
        <v>30</v>
      </c>
      <c r="I657" s="31"/>
    </row>
    <row r="658">
      <c r="B658" s="72" t="s">
        <v>30</v>
      </c>
      <c r="C658" s="73" t="s">
        <v>30</v>
      </c>
      <c r="D658" s="72" t="s">
        <v>30</v>
      </c>
      <c r="E658" s="72" t="s">
        <v>30</v>
      </c>
      <c r="G658" s="72" t="s">
        <v>30</v>
      </c>
      <c r="H658" s="72" t="s">
        <v>30</v>
      </c>
      <c r="I658" s="31"/>
    </row>
    <row r="659">
      <c r="B659" s="72" t="s">
        <v>30</v>
      </c>
      <c r="C659" s="73" t="s">
        <v>30</v>
      </c>
      <c r="D659" s="72" t="s">
        <v>30</v>
      </c>
      <c r="E659" s="72" t="s">
        <v>30</v>
      </c>
      <c r="G659" s="72" t="s">
        <v>30</v>
      </c>
      <c r="H659" s="72" t="s">
        <v>30</v>
      </c>
      <c r="I659" s="31"/>
    </row>
    <row r="660">
      <c r="B660" s="72" t="s">
        <v>30</v>
      </c>
      <c r="C660" s="73" t="s">
        <v>30</v>
      </c>
      <c r="D660" s="72" t="s">
        <v>30</v>
      </c>
      <c r="E660" s="72" t="s">
        <v>30</v>
      </c>
      <c r="G660" s="72" t="s">
        <v>30</v>
      </c>
      <c r="H660" s="72" t="s">
        <v>30</v>
      </c>
      <c r="I660" s="31"/>
    </row>
    <row r="661">
      <c r="B661" s="72" t="s">
        <v>30</v>
      </c>
      <c r="C661" s="73" t="s">
        <v>30</v>
      </c>
      <c r="D661" s="72" t="s">
        <v>30</v>
      </c>
      <c r="E661" s="72" t="s">
        <v>30</v>
      </c>
      <c r="G661" s="72" t="s">
        <v>30</v>
      </c>
      <c r="H661" s="72" t="s">
        <v>30</v>
      </c>
      <c r="I661" s="31"/>
    </row>
    <row r="662">
      <c r="B662" s="72" t="s">
        <v>30</v>
      </c>
      <c r="C662" s="73" t="s">
        <v>30</v>
      </c>
      <c r="D662" s="72" t="s">
        <v>30</v>
      </c>
      <c r="E662" s="72" t="s">
        <v>30</v>
      </c>
      <c r="G662" s="72" t="s">
        <v>30</v>
      </c>
      <c r="H662" s="72" t="s">
        <v>30</v>
      </c>
      <c r="I662" s="31"/>
    </row>
    <row r="663">
      <c r="B663" s="72" t="s">
        <v>30</v>
      </c>
      <c r="C663" s="73" t="s">
        <v>30</v>
      </c>
      <c r="D663" s="72" t="s">
        <v>30</v>
      </c>
      <c r="E663" s="72" t="s">
        <v>30</v>
      </c>
      <c r="G663" s="72" t="s">
        <v>30</v>
      </c>
      <c r="H663" s="72" t="s">
        <v>30</v>
      </c>
      <c r="I663" s="31"/>
    </row>
    <row r="664">
      <c r="B664" s="72" t="s">
        <v>30</v>
      </c>
      <c r="C664" s="73" t="s">
        <v>30</v>
      </c>
      <c r="D664" s="72" t="s">
        <v>30</v>
      </c>
      <c r="E664" s="72" t="s">
        <v>30</v>
      </c>
      <c r="G664" s="72" t="s">
        <v>30</v>
      </c>
      <c r="H664" s="72" t="s">
        <v>30</v>
      </c>
      <c r="I664" s="31"/>
    </row>
    <row r="665">
      <c r="B665" s="72" t="s">
        <v>30</v>
      </c>
      <c r="C665" s="73" t="s">
        <v>30</v>
      </c>
      <c r="D665" s="72" t="s">
        <v>30</v>
      </c>
      <c r="E665" s="72" t="s">
        <v>30</v>
      </c>
      <c r="G665" s="72" t="s">
        <v>30</v>
      </c>
      <c r="H665" s="72" t="s">
        <v>30</v>
      </c>
      <c r="I665" s="31"/>
    </row>
    <row r="666">
      <c r="B666" s="72" t="s">
        <v>30</v>
      </c>
      <c r="C666" s="73" t="s">
        <v>30</v>
      </c>
      <c r="D666" s="72" t="s">
        <v>30</v>
      </c>
      <c r="E666" s="72" t="s">
        <v>30</v>
      </c>
      <c r="G666" s="72" t="s">
        <v>30</v>
      </c>
      <c r="H666" s="72" t="s">
        <v>30</v>
      </c>
      <c r="I666" s="31"/>
    </row>
    <row r="667">
      <c r="B667" s="72" t="s">
        <v>30</v>
      </c>
      <c r="C667" s="73" t="s">
        <v>30</v>
      </c>
      <c r="D667" s="72" t="s">
        <v>30</v>
      </c>
      <c r="E667" s="72" t="s">
        <v>30</v>
      </c>
      <c r="G667" s="72" t="s">
        <v>30</v>
      </c>
      <c r="H667" s="72" t="s">
        <v>30</v>
      </c>
      <c r="I667" s="31"/>
    </row>
    <row r="668">
      <c r="B668" s="72" t="s">
        <v>30</v>
      </c>
      <c r="C668" s="73" t="s">
        <v>30</v>
      </c>
      <c r="D668" s="72" t="s">
        <v>30</v>
      </c>
      <c r="E668" s="72" t="s">
        <v>30</v>
      </c>
      <c r="G668" s="72" t="s">
        <v>30</v>
      </c>
      <c r="H668" s="72" t="s">
        <v>30</v>
      </c>
      <c r="I668" s="31"/>
    </row>
    <row r="669">
      <c r="B669" s="72" t="s">
        <v>30</v>
      </c>
      <c r="C669" s="73" t="s">
        <v>30</v>
      </c>
      <c r="D669" s="72" t="s">
        <v>30</v>
      </c>
      <c r="E669" s="72" t="s">
        <v>30</v>
      </c>
      <c r="G669" s="72" t="s">
        <v>30</v>
      </c>
      <c r="H669" s="72" t="s">
        <v>30</v>
      </c>
      <c r="I669" s="31"/>
    </row>
    <row r="670">
      <c r="B670" s="72" t="s">
        <v>30</v>
      </c>
      <c r="C670" s="73" t="s">
        <v>30</v>
      </c>
      <c r="D670" s="72" t="s">
        <v>30</v>
      </c>
      <c r="E670" s="72" t="s">
        <v>30</v>
      </c>
      <c r="G670" s="72" t="s">
        <v>30</v>
      </c>
      <c r="H670" s="72" t="s">
        <v>30</v>
      </c>
      <c r="I670" s="31"/>
    </row>
    <row r="671">
      <c r="B671" s="72" t="s">
        <v>30</v>
      </c>
      <c r="C671" s="73" t="s">
        <v>30</v>
      </c>
      <c r="D671" s="72" t="s">
        <v>30</v>
      </c>
      <c r="E671" s="72" t="s">
        <v>30</v>
      </c>
      <c r="G671" s="72" t="s">
        <v>30</v>
      </c>
      <c r="H671" s="72" t="s">
        <v>30</v>
      </c>
      <c r="I671" s="31"/>
    </row>
    <row r="672">
      <c r="B672" s="72" t="s">
        <v>30</v>
      </c>
      <c r="C672" s="73" t="s">
        <v>30</v>
      </c>
      <c r="D672" s="72" t="s">
        <v>30</v>
      </c>
      <c r="E672" s="72" t="s">
        <v>30</v>
      </c>
      <c r="G672" s="72" t="s">
        <v>30</v>
      </c>
      <c r="H672" s="72" t="s">
        <v>30</v>
      </c>
      <c r="I672" s="31"/>
    </row>
    <row r="673">
      <c r="B673" s="72" t="s">
        <v>30</v>
      </c>
      <c r="C673" s="73" t="s">
        <v>30</v>
      </c>
      <c r="D673" s="72" t="s">
        <v>30</v>
      </c>
      <c r="E673" s="72" t="s">
        <v>30</v>
      </c>
      <c r="G673" s="72" t="s">
        <v>30</v>
      </c>
      <c r="H673" s="72" t="s">
        <v>30</v>
      </c>
      <c r="I673" s="31"/>
    </row>
    <row r="674">
      <c r="B674" s="72" t="s">
        <v>30</v>
      </c>
      <c r="C674" s="73" t="s">
        <v>30</v>
      </c>
      <c r="D674" s="72" t="s">
        <v>30</v>
      </c>
      <c r="E674" s="72" t="s">
        <v>30</v>
      </c>
      <c r="G674" s="72" t="s">
        <v>30</v>
      </c>
      <c r="H674" s="72" t="s">
        <v>30</v>
      </c>
      <c r="I674" s="31"/>
    </row>
    <row r="675">
      <c r="B675" s="72" t="s">
        <v>30</v>
      </c>
      <c r="C675" s="73" t="s">
        <v>30</v>
      </c>
      <c r="D675" s="72" t="s">
        <v>30</v>
      </c>
      <c r="E675" s="72" t="s">
        <v>30</v>
      </c>
      <c r="G675" s="72" t="s">
        <v>30</v>
      </c>
      <c r="H675" s="72" t="s">
        <v>30</v>
      </c>
      <c r="I675" s="31"/>
    </row>
    <row r="676">
      <c r="B676" s="72" t="s">
        <v>30</v>
      </c>
      <c r="C676" s="73" t="s">
        <v>30</v>
      </c>
      <c r="D676" s="72" t="s">
        <v>30</v>
      </c>
      <c r="E676" s="72" t="s">
        <v>30</v>
      </c>
      <c r="G676" s="72" t="s">
        <v>30</v>
      </c>
      <c r="H676" s="72" t="s">
        <v>30</v>
      </c>
      <c r="I676" s="31"/>
    </row>
    <row r="677">
      <c r="B677" s="72" t="s">
        <v>30</v>
      </c>
      <c r="C677" s="73" t="s">
        <v>30</v>
      </c>
      <c r="D677" s="72" t="s">
        <v>30</v>
      </c>
      <c r="E677" s="72" t="s">
        <v>30</v>
      </c>
      <c r="G677" s="72" t="s">
        <v>30</v>
      </c>
      <c r="H677" s="72" t="s">
        <v>30</v>
      </c>
      <c r="I677" s="31"/>
    </row>
    <row r="678">
      <c r="B678" s="72" t="s">
        <v>30</v>
      </c>
      <c r="C678" s="73" t="s">
        <v>30</v>
      </c>
      <c r="D678" s="72" t="s">
        <v>30</v>
      </c>
      <c r="E678" s="72" t="s">
        <v>30</v>
      </c>
      <c r="G678" s="72" t="s">
        <v>30</v>
      </c>
      <c r="H678" s="72" t="s">
        <v>30</v>
      </c>
      <c r="I678" s="31"/>
    </row>
    <row r="679">
      <c r="B679" s="72" t="s">
        <v>30</v>
      </c>
      <c r="C679" s="73" t="s">
        <v>30</v>
      </c>
      <c r="D679" s="72" t="s">
        <v>30</v>
      </c>
      <c r="E679" s="72" t="s">
        <v>30</v>
      </c>
      <c r="G679" s="72" t="s">
        <v>30</v>
      </c>
      <c r="H679" s="72" t="s">
        <v>30</v>
      </c>
      <c r="I679" s="31"/>
    </row>
    <row r="680">
      <c r="B680" s="72" t="s">
        <v>30</v>
      </c>
      <c r="C680" s="73" t="s">
        <v>30</v>
      </c>
      <c r="D680" s="72" t="s">
        <v>30</v>
      </c>
      <c r="E680" s="72" t="s">
        <v>30</v>
      </c>
      <c r="G680" s="72" t="s">
        <v>30</v>
      </c>
      <c r="H680" s="72" t="s">
        <v>30</v>
      </c>
      <c r="I680" s="31"/>
    </row>
    <row r="681">
      <c r="B681" s="72" t="s">
        <v>30</v>
      </c>
      <c r="C681" s="73" t="s">
        <v>30</v>
      </c>
      <c r="D681" s="72" t="s">
        <v>30</v>
      </c>
      <c r="E681" s="72" t="s">
        <v>30</v>
      </c>
      <c r="G681" s="72" t="s">
        <v>30</v>
      </c>
      <c r="H681" s="72" t="s">
        <v>30</v>
      </c>
      <c r="I681" s="31"/>
    </row>
    <row r="682">
      <c r="B682" s="72" t="s">
        <v>30</v>
      </c>
      <c r="C682" s="73" t="s">
        <v>30</v>
      </c>
      <c r="D682" s="72" t="s">
        <v>30</v>
      </c>
      <c r="E682" s="72" t="s">
        <v>30</v>
      </c>
      <c r="G682" s="72" t="s">
        <v>30</v>
      </c>
      <c r="H682" s="72" t="s">
        <v>30</v>
      </c>
      <c r="I682" s="31"/>
    </row>
    <row r="683">
      <c r="B683" s="72" t="s">
        <v>30</v>
      </c>
      <c r="C683" s="73" t="s">
        <v>30</v>
      </c>
      <c r="D683" s="72" t="s">
        <v>30</v>
      </c>
      <c r="E683" s="72" t="s">
        <v>30</v>
      </c>
      <c r="G683" s="72" t="s">
        <v>30</v>
      </c>
      <c r="H683" s="72" t="s">
        <v>30</v>
      </c>
      <c r="I683" s="31"/>
    </row>
    <row r="684">
      <c r="B684" s="72" t="s">
        <v>30</v>
      </c>
      <c r="C684" s="73" t="s">
        <v>30</v>
      </c>
      <c r="D684" s="72" t="s">
        <v>30</v>
      </c>
      <c r="E684" s="72" t="s">
        <v>30</v>
      </c>
      <c r="G684" s="72" t="s">
        <v>30</v>
      </c>
      <c r="H684" s="72" t="s">
        <v>30</v>
      </c>
      <c r="I684" s="31"/>
    </row>
    <row r="685">
      <c r="B685" s="72" t="s">
        <v>30</v>
      </c>
      <c r="C685" s="73" t="s">
        <v>30</v>
      </c>
      <c r="D685" s="72" t="s">
        <v>30</v>
      </c>
      <c r="E685" s="72" t="s">
        <v>30</v>
      </c>
      <c r="G685" s="72" t="s">
        <v>30</v>
      </c>
      <c r="H685" s="72" t="s">
        <v>30</v>
      </c>
      <c r="I685" s="31"/>
    </row>
    <row r="686">
      <c r="B686" s="72" t="s">
        <v>30</v>
      </c>
      <c r="C686" s="73" t="s">
        <v>30</v>
      </c>
      <c r="D686" s="72" t="s">
        <v>30</v>
      </c>
      <c r="E686" s="72" t="s">
        <v>30</v>
      </c>
      <c r="G686" s="72" t="s">
        <v>30</v>
      </c>
      <c r="H686" s="72" t="s">
        <v>30</v>
      </c>
      <c r="I686" s="31"/>
    </row>
    <row r="687">
      <c r="B687" s="72" t="s">
        <v>30</v>
      </c>
      <c r="C687" s="73" t="s">
        <v>30</v>
      </c>
      <c r="D687" s="72" t="s">
        <v>30</v>
      </c>
      <c r="E687" s="72" t="s">
        <v>30</v>
      </c>
      <c r="G687" s="72" t="s">
        <v>30</v>
      </c>
      <c r="H687" s="72" t="s">
        <v>30</v>
      </c>
      <c r="I687" s="31"/>
    </row>
    <row r="688">
      <c r="B688" s="72" t="s">
        <v>30</v>
      </c>
      <c r="C688" s="73" t="s">
        <v>30</v>
      </c>
      <c r="D688" s="72" t="s">
        <v>30</v>
      </c>
      <c r="E688" s="72" t="s">
        <v>30</v>
      </c>
      <c r="G688" s="72" t="s">
        <v>30</v>
      </c>
      <c r="H688" s="72" t="s">
        <v>30</v>
      </c>
      <c r="I688" s="31"/>
    </row>
    <row r="689">
      <c r="B689" s="72" t="s">
        <v>30</v>
      </c>
      <c r="C689" s="73" t="s">
        <v>30</v>
      </c>
      <c r="D689" s="72" t="s">
        <v>30</v>
      </c>
      <c r="E689" s="72" t="s">
        <v>30</v>
      </c>
      <c r="G689" s="72" t="s">
        <v>30</v>
      </c>
      <c r="H689" s="72" t="s">
        <v>30</v>
      </c>
      <c r="I689" s="31"/>
    </row>
    <row r="690">
      <c r="B690" s="72" t="s">
        <v>30</v>
      </c>
      <c r="C690" s="73" t="s">
        <v>30</v>
      </c>
      <c r="D690" s="72" t="s">
        <v>30</v>
      </c>
      <c r="E690" s="72" t="s">
        <v>30</v>
      </c>
      <c r="G690" s="72" t="s">
        <v>30</v>
      </c>
      <c r="H690" s="72" t="s">
        <v>30</v>
      </c>
      <c r="I690" s="31"/>
    </row>
    <row r="691">
      <c r="B691" s="72" t="s">
        <v>30</v>
      </c>
      <c r="C691" s="73" t="s">
        <v>30</v>
      </c>
      <c r="D691" s="72" t="s">
        <v>30</v>
      </c>
      <c r="E691" s="72" t="s">
        <v>30</v>
      </c>
      <c r="G691" s="72" t="s">
        <v>30</v>
      </c>
      <c r="H691" s="72" t="s">
        <v>30</v>
      </c>
      <c r="I691" s="31"/>
    </row>
    <row r="692">
      <c r="B692" s="72" t="s">
        <v>30</v>
      </c>
      <c r="C692" s="73" t="s">
        <v>30</v>
      </c>
      <c r="D692" s="72" t="s">
        <v>30</v>
      </c>
      <c r="E692" s="72" t="s">
        <v>30</v>
      </c>
      <c r="G692" s="72" t="s">
        <v>30</v>
      </c>
      <c r="H692" s="72" t="s">
        <v>30</v>
      </c>
      <c r="I692" s="31"/>
    </row>
    <row r="693">
      <c r="B693" s="72" t="s">
        <v>30</v>
      </c>
      <c r="C693" s="73" t="s">
        <v>30</v>
      </c>
      <c r="D693" s="72" t="s">
        <v>30</v>
      </c>
      <c r="E693" s="72" t="s">
        <v>30</v>
      </c>
      <c r="G693" s="72" t="s">
        <v>30</v>
      </c>
      <c r="H693" s="72" t="s">
        <v>30</v>
      </c>
      <c r="I693" s="31"/>
    </row>
    <row r="694">
      <c r="B694" s="72" t="s">
        <v>30</v>
      </c>
      <c r="C694" s="73" t="s">
        <v>30</v>
      </c>
      <c r="D694" s="72" t="s">
        <v>30</v>
      </c>
      <c r="E694" s="72" t="s">
        <v>30</v>
      </c>
      <c r="G694" s="72" t="s">
        <v>30</v>
      </c>
      <c r="H694" s="72" t="s">
        <v>30</v>
      </c>
      <c r="I694" s="31"/>
    </row>
    <row r="695">
      <c r="B695" s="72" t="s">
        <v>30</v>
      </c>
      <c r="C695" s="73" t="s">
        <v>30</v>
      </c>
      <c r="D695" s="72" t="s">
        <v>30</v>
      </c>
      <c r="E695" s="72" t="s">
        <v>30</v>
      </c>
      <c r="G695" s="72" t="s">
        <v>30</v>
      </c>
      <c r="H695" s="72" t="s">
        <v>30</v>
      </c>
      <c r="I695" s="31"/>
    </row>
    <row r="696">
      <c r="B696" s="72" t="s">
        <v>30</v>
      </c>
      <c r="C696" s="73" t="s">
        <v>30</v>
      </c>
      <c r="D696" s="72" t="s">
        <v>30</v>
      </c>
      <c r="E696" s="72" t="s">
        <v>30</v>
      </c>
      <c r="G696" s="72" t="s">
        <v>30</v>
      </c>
      <c r="H696" s="72" t="s">
        <v>30</v>
      </c>
      <c r="I696" s="31"/>
    </row>
    <row r="697">
      <c r="B697" s="72" t="s">
        <v>30</v>
      </c>
      <c r="C697" s="73" t="s">
        <v>30</v>
      </c>
      <c r="D697" s="72" t="s">
        <v>30</v>
      </c>
      <c r="E697" s="72" t="s">
        <v>30</v>
      </c>
      <c r="G697" s="72" t="s">
        <v>30</v>
      </c>
      <c r="H697" s="72" t="s">
        <v>30</v>
      </c>
      <c r="I697" s="31"/>
    </row>
    <row r="698">
      <c r="B698" s="72" t="s">
        <v>30</v>
      </c>
      <c r="C698" s="73" t="s">
        <v>30</v>
      </c>
      <c r="D698" s="72" t="s">
        <v>30</v>
      </c>
      <c r="E698" s="72" t="s">
        <v>30</v>
      </c>
      <c r="G698" s="72" t="s">
        <v>30</v>
      </c>
      <c r="H698" s="72" t="s">
        <v>30</v>
      </c>
      <c r="I698" s="31"/>
    </row>
    <row r="699">
      <c r="B699" s="72" t="s">
        <v>30</v>
      </c>
      <c r="C699" s="73" t="s">
        <v>30</v>
      </c>
      <c r="D699" s="72" t="s">
        <v>30</v>
      </c>
      <c r="E699" s="72" t="s">
        <v>30</v>
      </c>
      <c r="G699" s="72" t="s">
        <v>30</v>
      </c>
      <c r="H699" s="72" t="s">
        <v>30</v>
      </c>
      <c r="I699" s="31"/>
    </row>
    <row r="700">
      <c r="B700" s="72" t="s">
        <v>30</v>
      </c>
      <c r="C700" s="73" t="s">
        <v>30</v>
      </c>
      <c r="D700" s="72" t="s">
        <v>30</v>
      </c>
      <c r="E700" s="72" t="s">
        <v>30</v>
      </c>
      <c r="G700" s="72" t="s">
        <v>30</v>
      </c>
      <c r="H700" s="72" t="s">
        <v>30</v>
      </c>
      <c r="I700" s="31"/>
    </row>
    <row r="701">
      <c r="B701" s="72" t="s">
        <v>30</v>
      </c>
      <c r="C701" s="73" t="s">
        <v>30</v>
      </c>
      <c r="D701" s="72" t="s">
        <v>30</v>
      </c>
      <c r="E701" s="72" t="s">
        <v>30</v>
      </c>
      <c r="G701" s="72" t="s">
        <v>30</v>
      </c>
      <c r="H701" s="72" t="s">
        <v>30</v>
      </c>
      <c r="I701" s="31"/>
    </row>
    <row r="702">
      <c r="B702" s="72" t="s">
        <v>30</v>
      </c>
      <c r="C702" s="73" t="s">
        <v>30</v>
      </c>
      <c r="D702" s="72" t="s">
        <v>30</v>
      </c>
      <c r="E702" s="72" t="s">
        <v>30</v>
      </c>
      <c r="G702" s="72" t="s">
        <v>30</v>
      </c>
      <c r="H702" s="72" t="s">
        <v>30</v>
      </c>
      <c r="I702" s="31"/>
    </row>
    <row r="703">
      <c r="B703" s="72" t="s">
        <v>30</v>
      </c>
      <c r="C703" s="73" t="s">
        <v>30</v>
      </c>
      <c r="D703" s="72" t="s">
        <v>30</v>
      </c>
      <c r="E703" s="72" t="s">
        <v>30</v>
      </c>
      <c r="G703" s="72" t="s">
        <v>30</v>
      </c>
      <c r="H703" s="72" t="s">
        <v>30</v>
      </c>
      <c r="I703" s="31"/>
    </row>
    <row r="704">
      <c r="B704" s="72" t="s">
        <v>30</v>
      </c>
      <c r="C704" s="73" t="s">
        <v>30</v>
      </c>
      <c r="D704" s="72" t="s">
        <v>30</v>
      </c>
      <c r="E704" s="72" t="s">
        <v>30</v>
      </c>
      <c r="G704" s="72" t="s">
        <v>30</v>
      </c>
      <c r="H704" s="72" t="s">
        <v>30</v>
      </c>
      <c r="I704" s="31"/>
    </row>
    <row r="705">
      <c r="B705" s="72" t="s">
        <v>30</v>
      </c>
      <c r="C705" s="73" t="s">
        <v>30</v>
      </c>
      <c r="D705" s="72" t="s">
        <v>30</v>
      </c>
      <c r="E705" s="72" t="s">
        <v>30</v>
      </c>
      <c r="G705" s="72" t="s">
        <v>30</v>
      </c>
      <c r="H705" s="72" t="s">
        <v>30</v>
      </c>
      <c r="I705" s="31"/>
    </row>
    <row r="706">
      <c r="B706" s="72" t="s">
        <v>30</v>
      </c>
      <c r="C706" s="73" t="s">
        <v>30</v>
      </c>
      <c r="D706" s="72" t="s">
        <v>30</v>
      </c>
      <c r="E706" s="72" t="s">
        <v>30</v>
      </c>
      <c r="G706" s="72" t="s">
        <v>30</v>
      </c>
      <c r="H706" s="72" t="s">
        <v>30</v>
      </c>
      <c r="I706" s="31"/>
    </row>
    <row r="707">
      <c r="B707" s="72" t="s">
        <v>30</v>
      </c>
      <c r="C707" s="73" t="s">
        <v>30</v>
      </c>
      <c r="D707" s="72" t="s">
        <v>30</v>
      </c>
      <c r="E707" s="72" t="s">
        <v>30</v>
      </c>
      <c r="G707" s="72" t="s">
        <v>30</v>
      </c>
      <c r="H707" s="72" t="s">
        <v>30</v>
      </c>
      <c r="I707" s="31"/>
    </row>
    <row r="708">
      <c r="B708" s="72" t="s">
        <v>30</v>
      </c>
      <c r="C708" s="73" t="s">
        <v>30</v>
      </c>
      <c r="D708" s="72" t="s">
        <v>30</v>
      </c>
      <c r="E708" s="72" t="s">
        <v>30</v>
      </c>
      <c r="G708" s="72" t="s">
        <v>30</v>
      </c>
      <c r="H708" s="72" t="s">
        <v>30</v>
      </c>
      <c r="I708" s="31"/>
    </row>
    <row r="709">
      <c r="B709" s="72" t="s">
        <v>30</v>
      </c>
      <c r="C709" s="73" t="s">
        <v>30</v>
      </c>
      <c r="D709" s="72" t="s">
        <v>30</v>
      </c>
      <c r="E709" s="72" t="s">
        <v>30</v>
      </c>
      <c r="G709" s="72" t="s">
        <v>30</v>
      </c>
      <c r="H709" s="72" t="s">
        <v>30</v>
      </c>
      <c r="I709" s="31"/>
    </row>
    <row r="710">
      <c r="B710" s="72" t="s">
        <v>30</v>
      </c>
      <c r="C710" s="73" t="s">
        <v>30</v>
      </c>
      <c r="D710" s="72" t="s">
        <v>30</v>
      </c>
      <c r="E710" s="72" t="s">
        <v>30</v>
      </c>
      <c r="G710" s="72" t="s">
        <v>30</v>
      </c>
      <c r="H710" s="72" t="s">
        <v>30</v>
      </c>
      <c r="I710" s="31"/>
    </row>
    <row r="711">
      <c r="B711" s="72" t="s">
        <v>30</v>
      </c>
      <c r="C711" s="73" t="s">
        <v>30</v>
      </c>
      <c r="D711" s="72" t="s">
        <v>30</v>
      </c>
      <c r="E711" s="72" t="s">
        <v>30</v>
      </c>
      <c r="G711" s="72" t="s">
        <v>30</v>
      </c>
      <c r="H711" s="72" t="s">
        <v>30</v>
      </c>
      <c r="I711" s="31"/>
    </row>
    <row r="712">
      <c r="B712" s="72" t="s">
        <v>30</v>
      </c>
      <c r="C712" s="73" t="s">
        <v>30</v>
      </c>
      <c r="D712" s="72" t="s">
        <v>30</v>
      </c>
      <c r="E712" s="72" t="s">
        <v>30</v>
      </c>
      <c r="G712" s="72" t="s">
        <v>30</v>
      </c>
      <c r="H712" s="72" t="s">
        <v>30</v>
      </c>
      <c r="I712" s="31"/>
    </row>
    <row r="713">
      <c r="B713" s="72" t="s">
        <v>30</v>
      </c>
      <c r="C713" s="73" t="s">
        <v>30</v>
      </c>
      <c r="D713" s="72" t="s">
        <v>30</v>
      </c>
      <c r="E713" s="72" t="s">
        <v>30</v>
      </c>
      <c r="G713" s="72" t="s">
        <v>30</v>
      </c>
      <c r="H713" s="72" t="s">
        <v>30</v>
      </c>
      <c r="I713" s="31"/>
    </row>
    <row r="714">
      <c r="B714" s="72" t="s">
        <v>30</v>
      </c>
      <c r="C714" s="73" t="s">
        <v>30</v>
      </c>
      <c r="D714" s="72" t="s">
        <v>30</v>
      </c>
      <c r="E714" s="72" t="s">
        <v>30</v>
      </c>
      <c r="G714" s="72" t="s">
        <v>30</v>
      </c>
      <c r="H714" s="72" t="s">
        <v>30</v>
      </c>
      <c r="I714" s="31"/>
    </row>
    <row r="715">
      <c r="B715" s="72" t="s">
        <v>30</v>
      </c>
      <c r="C715" s="73" t="s">
        <v>30</v>
      </c>
      <c r="D715" s="72" t="s">
        <v>30</v>
      </c>
      <c r="E715" s="72" t="s">
        <v>30</v>
      </c>
      <c r="G715" s="72" t="s">
        <v>30</v>
      </c>
      <c r="H715" s="72" t="s">
        <v>30</v>
      </c>
      <c r="I715" s="31"/>
    </row>
    <row r="716">
      <c r="B716" s="72" t="s">
        <v>30</v>
      </c>
      <c r="C716" s="73" t="s">
        <v>30</v>
      </c>
      <c r="D716" s="72" t="s">
        <v>30</v>
      </c>
      <c r="E716" s="72" t="s">
        <v>30</v>
      </c>
      <c r="G716" s="72" t="s">
        <v>30</v>
      </c>
      <c r="H716" s="72" t="s">
        <v>30</v>
      </c>
      <c r="I716" s="31"/>
    </row>
    <row r="717">
      <c r="B717" s="72" t="s">
        <v>30</v>
      </c>
      <c r="C717" s="73" t="s">
        <v>30</v>
      </c>
      <c r="D717" s="72" t="s">
        <v>30</v>
      </c>
      <c r="E717" s="72" t="s">
        <v>30</v>
      </c>
      <c r="G717" s="72" t="s">
        <v>30</v>
      </c>
      <c r="H717" s="72" t="s">
        <v>30</v>
      </c>
      <c r="I717" s="31"/>
    </row>
    <row r="718">
      <c r="B718" s="72" t="s">
        <v>30</v>
      </c>
      <c r="C718" s="73" t="s">
        <v>30</v>
      </c>
      <c r="D718" s="72" t="s">
        <v>30</v>
      </c>
      <c r="E718" s="72" t="s">
        <v>30</v>
      </c>
      <c r="G718" s="72" t="s">
        <v>30</v>
      </c>
      <c r="H718" s="72" t="s">
        <v>30</v>
      </c>
      <c r="I718" s="31"/>
    </row>
    <row r="719">
      <c r="B719" s="72" t="s">
        <v>30</v>
      </c>
      <c r="C719" s="73" t="s">
        <v>30</v>
      </c>
      <c r="D719" s="72" t="s">
        <v>30</v>
      </c>
      <c r="E719" s="72" t="s">
        <v>30</v>
      </c>
      <c r="G719" s="72" t="s">
        <v>30</v>
      </c>
      <c r="H719" s="72" t="s">
        <v>30</v>
      </c>
      <c r="I719" s="31"/>
    </row>
    <row r="720">
      <c r="B720" s="72" t="s">
        <v>30</v>
      </c>
      <c r="C720" s="73" t="s">
        <v>30</v>
      </c>
      <c r="D720" s="72" t="s">
        <v>30</v>
      </c>
      <c r="E720" s="72" t="s">
        <v>30</v>
      </c>
      <c r="G720" s="72" t="s">
        <v>30</v>
      </c>
      <c r="H720" s="72" t="s">
        <v>30</v>
      </c>
      <c r="I720" s="31"/>
    </row>
    <row r="721">
      <c r="B721" s="72" t="s">
        <v>30</v>
      </c>
      <c r="C721" s="73" t="s">
        <v>30</v>
      </c>
      <c r="D721" s="72" t="s">
        <v>30</v>
      </c>
      <c r="E721" s="72" t="s">
        <v>30</v>
      </c>
      <c r="G721" s="72" t="s">
        <v>30</v>
      </c>
      <c r="H721" s="72" t="s">
        <v>30</v>
      </c>
      <c r="I721" s="31"/>
    </row>
    <row r="722">
      <c r="B722" s="72" t="s">
        <v>30</v>
      </c>
      <c r="C722" s="73" t="s">
        <v>30</v>
      </c>
      <c r="D722" s="72" t="s">
        <v>30</v>
      </c>
      <c r="E722" s="72" t="s">
        <v>30</v>
      </c>
      <c r="G722" s="72" t="s">
        <v>30</v>
      </c>
      <c r="H722" s="72" t="s">
        <v>30</v>
      </c>
      <c r="I722" s="31"/>
    </row>
    <row r="723">
      <c r="B723" s="72" t="s">
        <v>30</v>
      </c>
      <c r="C723" s="73" t="s">
        <v>30</v>
      </c>
      <c r="D723" s="72" t="s">
        <v>30</v>
      </c>
      <c r="E723" s="72" t="s">
        <v>30</v>
      </c>
      <c r="G723" s="72" t="s">
        <v>30</v>
      </c>
      <c r="H723" s="72" t="s">
        <v>30</v>
      </c>
      <c r="I723" s="31"/>
    </row>
    <row r="724">
      <c r="B724" s="72" t="s">
        <v>30</v>
      </c>
      <c r="C724" s="73" t="s">
        <v>30</v>
      </c>
      <c r="D724" s="72" t="s">
        <v>30</v>
      </c>
      <c r="E724" s="72" t="s">
        <v>30</v>
      </c>
      <c r="G724" s="72" t="s">
        <v>30</v>
      </c>
      <c r="H724" s="72" t="s">
        <v>30</v>
      </c>
      <c r="I724" s="31"/>
    </row>
    <row r="725">
      <c r="B725" s="72" t="s">
        <v>30</v>
      </c>
      <c r="C725" s="73" t="s">
        <v>30</v>
      </c>
      <c r="D725" s="72" t="s">
        <v>30</v>
      </c>
      <c r="E725" s="72" t="s">
        <v>30</v>
      </c>
      <c r="G725" s="72" t="s">
        <v>30</v>
      </c>
      <c r="H725" s="72" t="s">
        <v>30</v>
      </c>
      <c r="I725" s="31"/>
    </row>
    <row r="726">
      <c r="B726" s="72" t="s">
        <v>30</v>
      </c>
      <c r="C726" s="73" t="s">
        <v>30</v>
      </c>
      <c r="D726" s="72" t="s">
        <v>30</v>
      </c>
      <c r="E726" s="72" t="s">
        <v>30</v>
      </c>
      <c r="G726" s="72" t="s">
        <v>30</v>
      </c>
      <c r="H726" s="72" t="s">
        <v>30</v>
      </c>
      <c r="I726" s="31"/>
    </row>
    <row r="727">
      <c r="B727" s="72" t="s">
        <v>30</v>
      </c>
      <c r="C727" s="73" t="s">
        <v>30</v>
      </c>
      <c r="D727" s="72" t="s">
        <v>30</v>
      </c>
      <c r="E727" s="72" t="s">
        <v>30</v>
      </c>
      <c r="G727" s="72" t="s">
        <v>30</v>
      </c>
      <c r="H727" s="72" t="s">
        <v>30</v>
      </c>
      <c r="I727" s="31"/>
    </row>
    <row r="728">
      <c r="B728" s="72" t="s">
        <v>30</v>
      </c>
      <c r="C728" s="73" t="s">
        <v>30</v>
      </c>
      <c r="D728" s="72" t="s">
        <v>30</v>
      </c>
      <c r="E728" s="72" t="s">
        <v>30</v>
      </c>
      <c r="G728" s="72" t="s">
        <v>30</v>
      </c>
      <c r="H728" s="72" t="s">
        <v>30</v>
      </c>
      <c r="I728" s="31"/>
    </row>
    <row r="729">
      <c r="B729" s="72" t="s">
        <v>30</v>
      </c>
      <c r="C729" s="73" t="s">
        <v>30</v>
      </c>
      <c r="D729" s="72" t="s">
        <v>30</v>
      </c>
      <c r="E729" s="72" t="s">
        <v>30</v>
      </c>
      <c r="G729" s="72" t="s">
        <v>30</v>
      </c>
      <c r="H729" s="72" t="s">
        <v>30</v>
      </c>
      <c r="I729" s="31"/>
    </row>
    <row r="730">
      <c r="B730" s="72" t="s">
        <v>30</v>
      </c>
      <c r="C730" s="73" t="s">
        <v>30</v>
      </c>
      <c r="D730" s="72" t="s">
        <v>30</v>
      </c>
      <c r="E730" s="72" t="s">
        <v>30</v>
      </c>
      <c r="G730" s="72" t="s">
        <v>30</v>
      </c>
      <c r="H730" s="72" t="s">
        <v>30</v>
      </c>
      <c r="I730" s="31"/>
    </row>
    <row r="731">
      <c r="B731" s="72" t="s">
        <v>30</v>
      </c>
      <c r="C731" s="73" t="s">
        <v>30</v>
      </c>
      <c r="D731" s="72" t="s">
        <v>30</v>
      </c>
      <c r="E731" s="72" t="s">
        <v>30</v>
      </c>
      <c r="G731" s="72" t="s">
        <v>30</v>
      </c>
      <c r="H731" s="72" t="s">
        <v>30</v>
      </c>
      <c r="I731" s="31"/>
    </row>
    <row r="732">
      <c r="B732" s="72" t="s">
        <v>30</v>
      </c>
      <c r="C732" s="73" t="s">
        <v>30</v>
      </c>
      <c r="D732" s="72" t="s">
        <v>30</v>
      </c>
      <c r="E732" s="72" t="s">
        <v>30</v>
      </c>
      <c r="G732" s="72" t="s">
        <v>30</v>
      </c>
      <c r="H732" s="72" t="s">
        <v>30</v>
      </c>
      <c r="I732" s="31"/>
    </row>
    <row r="733">
      <c r="B733" s="72" t="s">
        <v>30</v>
      </c>
      <c r="C733" s="73" t="s">
        <v>30</v>
      </c>
      <c r="D733" s="72" t="s">
        <v>30</v>
      </c>
      <c r="E733" s="72" t="s">
        <v>30</v>
      </c>
      <c r="G733" s="72" t="s">
        <v>30</v>
      </c>
      <c r="H733" s="72" t="s">
        <v>30</v>
      </c>
      <c r="I733" s="31"/>
    </row>
    <row r="734">
      <c r="B734" s="72" t="s">
        <v>30</v>
      </c>
      <c r="C734" s="73" t="s">
        <v>30</v>
      </c>
      <c r="D734" s="72" t="s">
        <v>30</v>
      </c>
      <c r="E734" s="72" t="s">
        <v>30</v>
      </c>
      <c r="G734" s="72" t="s">
        <v>30</v>
      </c>
      <c r="H734" s="72" t="s">
        <v>30</v>
      </c>
      <c r="I734" s="31"/>
    </row>
    <row r="735">
      <c r="B735" s="72" t="s">
        <v>30</v>
      </c>
      <c r="C735" s="73" t="s">
        <v>30</v>
      </c>
      <c r="D735" s="72" t="s">
        <v>30</v>
      </c>
      <c r="E735" s="72" t="s">
        <v>30</v>
      </c>
      <c r="G735" s="72" t="s">
        <v>30</v>
      </c>
      <c r="H735" s="72" t="s">
        <v>30</v>
      </c>
      <c r="I735" s="31"/>
    </row>
    <row r="736">
      <c r="B736" s="72" t="s">
        <v>30</v>
      </c>
      <c r="C736" s="73" t="s">
        <v>30</v>
      </c>
      <c r="D736" s="72" t="s">
        <v>30</v>
      </c>
      <c r="E736" s="72" t="s">
        <v>30</v>
      </c>
      <c r="G736" s="72" t="s">
        <v>30</v>
      </c>
      <c r="H736" s="72" t="s">
        <v>30</v>
      </c>
      <c r="I736" s="31"/>
    </row>
    <row r="737">
      <c r="B737" s="72" t="s">
        <v>30</v>
      </c>
      <c r="C737" s="73" t="s">
        <v>30</v>
      </c>
      <c r="D737" s="72" t="s">
        <v>30</v>
      </c>
      <c r="E737" s="72" t="s">
        <v>30</v>
      </c>
      <c r="G737" s="72" t="s">
        <v>30</v>
      </c>
      <c r="H737" s="72" t="s">
        <v>30</v>
      </c>
      <c r="I737" s="31"/>
    </row>
    <row r="738">
      <c r="B738" s="72" t="s">
        <v>30</v>
      </c>
      <c r="C738" s="73" t="s">
        <v>30</v>
      </c>
      <c r="D738" s="72" t="s">
        <v>30</v>
      </c>
      <c r="E738" s="72" t="s">
        <v>30</v>
      </c>
      <c r="G738" s="72" t="s">
        <v>30</v>
      </c>
      <c r="H738" s="72" t="s">
        <v>30</v>
      </c>
      <c r="I738" s="31"/>
    </row>
    <row r="739">
      <c r="B739" s="72" t="s">
        <v>30</v>
      </c>
      <c r="C739" s="73" t="s">
        <v>30</v>
      </c>
      <c r="D739" s="72" t="s">
        <v>30</v>
      </c>
      <c r="E739" s="72" t="s">
        <v>30</v>
      </c>
      <c r="G739" s="72" t="s">
        <v>30</v>
      </c>
      <c r="H739" s="72" t="s">
        <v>30</v>
      </c>
      <c r="I739" s="31"/>
    </row>
    <row r="740">
      <c r="B740" s="72" t="s">
        <v>30</v>
      </c>
      <c r="C740" s="73" t="s">
        <v>30</v>
      </c>
      <c r="D740" s="72" t="s">
        <v>30</v>
      </c>
      <c r="E740" s="72" t="s">
        <v>30</v>
      </c>
      <c r="G740" s="72" t="s">
        <v>30</v>
      </c>
      <c r="H740" s="72" t="s">
        <v>30</v>
      </c>
      <c r="I740" s="31"/>
    </row>
    <row r="741">
      <c r="B741" s="72" t="s">
        <v>30</v>
      </c>
      <c r="C741" s="73" t="s">
        <v>30</v>
      </c>
      <c r="D741" s="72" t="s">
        <v>30</v>
      </c>
      <c r="E741" s="72" t="s">
        <v>30</v>
      </c>
      <c r="G741" s="72" t="s">
        <v>30</v>
      </c>
      <c r="H741" s="72" t="s">
        <v>30</v>
      </c>
      <c r="I741" s="31"/>
    </row>
    <row r="742">
      <c r="B742" s="72" t="s">
        <v>30</v>
      </c>
      <c r="C742" s="73" t="s">
        <v>30</v>
      </c>
      <c r="D742" s="72" t="s">
        <v>30</v>
      </c>
      <c r="E742" s="72" t="s">
        <v>30</v>
      </c>
      <c r="G742" s="72" t="s">
        <v>30</v>
      </c>
      <c r="H742" s="72" t="s">
        <v>30</v>
      </c>
      <c r="I742" s="31"/>
    </row>
    <row r="743">
      <c r="B743" s="72" t="s">
        <v>30</v>
      </c>
      <c r="C743" s="73" t="s">
        <v>30</v>
      </c>
      <c r="D743" s="72" t="s">
        <v>30</v>
      </c>
      <c r="E743" s="72" t="s">
        <v>30</v>
      </c>
      <c r="G743" s="72" t="s">
        <v>30</v>
      </c>
      <c r="H743" s="72" t="s">
        <v>30</v>
      </c>
      <c r="I743" s="31"/>
    </row>
    <row r="744">
      <c r="B744" s="72" t="s">
        <v>30</v>
      </c>
      <c r="C744" s="73" t="s">
        <v>30</v>
      </c>
      <c r="D744" s="72" t="s">
        <v>30</v>
      </c>
      <c r="E744" s="72" t="s">
        <v>30</v>
      </c>
      <c r="G744" s="72" t="s">
        <v>30</v>
      </c>
      <c r="H744" s="72" t="s">
        <v>30</v>
      </c>
      <c r="I744" s="31"/>
    </row>
    <row r="745">
      <c r="B745" s="72" t="s">
        <v>30</v>
      </c>
      <c r="C745" s="73" t="s">
        <v>30</v>
      </c>
      <c r="D745" s="72" t="s">
        <v>30</v>
      </c>
      <c r="E745" s="72" t="s">
        <v>30</v>
      </c>
      <c r="G745" s="72" t="s">
        <v>30</v>
      </c>
      <c r="H745" s="72" t="s">
        <v>30</v>
      </c>
      <c r="I745" s="31"/>
    </row>
    <row r="746">
      <c r="B746" s="72" t="s">
        <v>30</v>
      </c>
      <c r="C746" s="73" t="s">
        <v>30</v>
      </c>
      <c r="D746" s="72" t="s">
        <v>30</v>
      </c>
      <c r="E746" s="72" t="s">
        <v>30</v>
      </c>
      <c r="G746" s="72" t="s">
        <v>30</v>
      </c>
      <c r="H746" s="72" t="s">
        <v>30</v>
      </c>
      <c r="I746" s="31"/>
    </row>
    <row r="747">
      <c r="B747" s="72" t="s">
        <v>30</v>
      </c>
      <c r="C747" s="73" t="s">
        <v>30</v>
      </c>
      <c r="D747" s="72" t="s">
        <v>30</v>
      </c>
      <c r="E747" s="72" t="s">
        <v>30</v>
      </c>
      <c r="G747" s="72" t="s">
        <v>30</v>
      </c>
      <c r="H747" s="72" t="s">
        <v>30</v>
      </c>
      <c r="I747" s="31"/>
    </row>
    <row r="748">
      <c r="B748" s="72" t="s">
        <v>30</v>
      </c>
      <c r="C748" s="73" t="s">
        <v>30</v>
      </c>
      <c r="D748" s="72" t="s">
        <v>30</v>
      </c>
      <c r="E748" s="72" t="s">
        <v>30</v>
      </c>
      <c r="G748" s="72" t="s">
        <v>30</v>
      </c>
      <c r="H748" s="72" t="s">
        <v>30</v>
      </c>
      <c r="I748" s="31"/>
    </row>
    <row r="749">
      <c r="B749" s="72" t="s">
        <v>30</v>
      </c>
      <c r="C749" s="73" t="s">
        <v>30</v>
      </c>
      <c r="D749" s="72" t="s">
        <v>30</v>
      </c>
      <c r="E749" s="72" t="s">
        <v>30</v>
      </c>
      <c r="G749" s="72" t="s">
        <v>30</v>
      </c>
      <c r="H749" s="72" t="s">
        <v>30</v>
      </c>
      <c r="I749" s="31"/>
    </row>
    <row r="750">
      <c r="B750" s="72" t="s">
        <v>30</v>
      </c>
      <c r="C750" s="73" t="s">
        <v>30</v>
      </c>
      <c r="D750" s="72" t="s">
        <v>30</v>
      </c>
      <c r="E750" s="72" t="s">
        <v>30</v>
      </c>
      <c r="G750" s="72" t="s">
        <v>30</v>
      </c>
      <c r="H750" s="72" t="s">
        <v>30</v>
      </c>
      <c r="I750" s="31"/>
    </row>
    <row r="751">
      <c r="B751" s="72" t="s">
        <v>30</v>
      </c>
      <c r="C751" s="73" t="s">
        <v>30</v>
      </c>
      <c r="D751" s="72" t="s">
        <v>30</v>
      </c>
      <c r="E751" s="72" t="s">
        <v>30</v>
      </c>
      <c r="G751" s="72" t="s">
        <v>30</v>
      </c>
      <c r="H751" s="72" t="s">
        <v>30</v>
      </c>
      <c r="I751" s="31"/>
    </row>
    <row r="752">
      <c r="B752" s="72" t="s">
        <v>30</v>
      </c>
      <c r="C752" s="73" t="s">
        <v>30</v>
      </c>
      <c r="D752" s="72" t="s">
        <v>30</v>
      </c>
      <c r="E752" s="72" t="s">
        <v>30</v>
      </c>
      <c r="G752" s="72" t="s">
        <v>30</v>
      </c>
      <c r="H752" s="72" t="s">
        <v>30</v>
      </c>
      <c r="I752" s="31"/>
    </row>
    <row r="753">
      <c r="B753" s="72" t="s">
        <v>30</v>
      </c>
      <c r="C753" s="73" t="s">
        <v>30</v>
      </c>
      <c r="D753" s="72" t="s">
        <v>30</v>
      </c>
      <c r="E753" s="72" t="s">
        <v>30</v>
      </c>
      <c r="G753" s="72" t="s">
        <v>30</v>
      </c>
      <c r="H753" s="72" t="s">
        <v>30</v>
      </c>
      <c r="I753" s="31"/>
    </row>
    <row r="754">
      <c r="B754" s="72" t="s">
        <v>30</v>
      </c>
      <c r="C754" s="73" t="s">
        <v>30</v>
      </c>
      <c r="D754" s="72" t="s">
        <v>30</v>
      </c>
      <c r="E754" s="72" t="s">
        <v>30</v>
      </c>
      <c r="G754" s="72" t="s">
        <v>30</v>
      </c>
      <c r="H754" s="72" t="s">
        <v>30</v>
      </c>
      <c r="I754" s="31"/>
    </row>
    <row r="755">
      <c r="B755" s="72" t="s">
        <v>30</v>
      </c>
      <c r="C755" s="73" t="s">
        <v>30</v>
      </c>
      <c r="D755" s="72" t="s">
        <v>30</v>
      </c>
      <c r="E755" s="72" t="s">
        <v>30</v>
      </c>
      <c r="G755" s="72" t="s">
        <v>30</v>
      </c>
      <c r="H755" s="72" t="s">
        <v>30</v>
      </c>
      <c r="I755" s="31"/>
    </row>
    <row r="756">
      <c r="B756" s="72" t="s">
        <v>30</v>
      </c>
      <c r="C756" s="73" t="s">
        <v>30</v>
      </c>
      <c r="D756" s="72" t="s">
        <v>30</v>
      </c>
      <c r="E756" s="72" t="s">
        <v>30</v>
      </c>
      <c r="G756" s="72" t="s">
        <v>30</v>
      </c>
      <c r="H756" s="72" t="s">
        <v>30</v>
      </c>
      <c r="I756" s="31"/>
    </row>
    <row r="757">
      <c r="B757" s="72" t="s">
        <v>30</v>
      </c>
      <c r="C757" s="73" t="s">
        <v>30</v>
      </c>
      <c r="D757" s="72" t="s">
        <v>30</v>
      </c>
      <c r="E757" s="72" t="s">
        <v>30</v>
      </c>
      <c r="G757" s="72" t="s">
        <v>30</v>
      </c>
      <c r="H757" s="72" t="s">
        <v>30</v>
      </c>
      <c r="I757" s="31"/>
    </row>
    <row r="758">
      <c r="B758" s="72" t="s">
        <v>30</v>
      </c>
      <c r="C758" s="73" t="s">
        <v>30</v>
      </c>
      <c r="D758" s="72" t="s">
        <v>30</v>
      </c>
      <c r="E758" s="72" t="s">
        <v>30</v>
      </c>
      <c r="G758" s="72" t="s">
        <v>30</v>
      </c>
      <c r="H758" s="72" t="s">
        <v>30</v>
      </c>
      <c r="I758" s="31"/>
    </row>
    <row r="759">
      <c r="B759" s="72" t="s">
        <v>30</v>
      </c>
      <c r="C759" s="73" t="s">
        <v>30</v>
      </c>
      <c r="D759" s="72" t="s">
        <v>30</v>
      </c>
      <c r="E759" s="72" t="s">
        <v>30</v>
      </c>
      <c r="G759" s="72" t="s">
        <v>30</v>
      </c>
      <c r="H759" s="72" t="s">
        <v>30</v>
      </c>
      <c r="I759" s="31"/>
    </row>
    <row r="760">
      <c r="B760" s="72" t="s">
        <v>30</v>
      </c>
      <c r="C760" s="73" t="s">
        <v>30</v>
      </c>
      <c r="D760" s="72" t="s">
        <v>30</v>
      </c>
      <c r="E760" s="72" t="s">
        <v>30</v>
      </c>
      <c r="G760" s="72" t="s">
        <v>30</v>
      </c>
      <c r="H760" s="72" t="s">
        <v>30</v>
      </c>
      <c r="I760" s="31"/>
    </row>
    <row r="761">
      <c r="B761" s="72" t="s">
        <v>30</v>
      </c>
      <c r="C761" s="73" t="s">
        <v>30</v>
      </c>
      <c r="D761" s="72" t="s">
        <v>30</v>
      </c>
      <c r="E761" s="72" t="s">
        <v>30</v>
      </c>
      <c r="G761" s="72" t="s">
        <v>30</v>
      </c>
      <c r="H761" s="72" t="s">
        <v>30</v>
      </c>
      <c r="I761" s="31"/>
    </row>
    <row r="762">
      <c r="B762" s="72" t="s">
        <v>30</v>
      </c>
      <c r="C762" s="73" t="s">
        <v>30</v>
      </c>
      <c r="D762" s="72" t="s">
        <v>30</v>
      </c>
      <c r="E762" s="72" t="s">
        <v>30</v>
      </c>
      <c r="G762" s="72" t="s">
        <v>30</v>
      </c>
      <c r="H762" s="72" t="s">
        <v>30</v>
      </c>
      <c r="I762" s="31"/>
    </row>
    <row r="763">
      <c r="B763" s="72" t="s">
        <v>30</v>
      </c>
      <c r="C763" s="73" t="s">
        <v>30</v>
      </c>
      <c r="D763" s="72" t="s">
        <v>30</v>
      </c>
      <c r="E763" s="72" t="s">
        <v>30</v>
      </c>
      <c r="G763" s="72" t="s">
        <v>30</v>
      </c>
      <c r="H763" s="72" t="s">
        <v>30</v>
      </c>
      <c r="I763" s="31"/>
    </row>
    <row r="764">
      <c r="B764" s="72" t="s">
        <v>30</v>
      </c>
      <c r="C764" s="73" t="s">
        <v>30</v>
      </c>
      <c r="D764" s="72" t="s">
        <v>30</v>
      </c>
      <c r="E764" s="72" t="s">
        <v>30</v>
      </c>
      <c r="G764" s="72" t="s">
        <v>30</v>
      </c>
      <c r="H764" s="72" t="s">
        <v>30</v>
      </c>
      <c r="I764" s="31"/>
    </row>
    <row r="765">
      <c r="B765" s="72" t="s">
        <v>30</v>
      </c>
      <c r="C765" s="73" t="s">
        <v>30</v>
      </c>
      <c r="D765" s="72" t="s">
        <v>30</v>
      </c>
      <c r="E765" s="72" t="s">
        <v>30</v>
      </c>
      <c r="G765" s="72" t="s">
        <v>30</v>
      </c>
      <c r="H765" s="72" t="s">
        <v>30</v>
      </c>
      <c r="I765" s="31"/>
    </row>
    <row r="766">
      <c r="B766" s="72" t="s">
        <v>30</v>
      </c>
      <c r="C766" s="73" t="s">
        <v>30</v>
      </c>
      <c r="D766" s="72" t="s">
        <v>30</v>
      </c>
      <c r="E766" s="72" t="s">
        <v>30</v>
      </c>
      <c r="G766" s="72" t="s">
        <v>30</v>
      </c>
      <c r="H766" s="72" t="s">
        <v>30</v>
      </c>
      <c r="I766" s="31"/>
    </row>
    <row r="767">
      <c r="B767" s="72" t="s">
        <v>30</v>
      </c>
      <c r="C767" s="73" t="s">
        <v>30</v>
      </c>
      <c r="D767" s="72" t="s">
        <v>30</v>
      </c>
      <c r="E767" s="72" t="s">
        <v>30</v>
      </c>
      <c r="G767" s="72" t="s">
        <v>30</v>
      </c>
      <c r="H767" s="72" t="s">
        <v>30</v>
      </c>
      <c r="I767" s="31"/>
    </row>
    <row r="768">
      <c r="B768" s="72" t="s">
        <v>30</v>
      </c>
      <c r="C768" s="73" t="s">
        <v>30</v>
      </c>
      <c r="D768" s="72" t="s">
        <v>30</v>
      </c>
      <c r="E768" s="72" t="s">
        <v>30</v>
      </c>
      <c r="G768" s="72" t="s">
        <v>30</v>
      </c>
      <c r="H768" s="72" t="s">
        <v>30</v>
      </c>
      <c r="I768" s="31"/>
    </row>
    <row r="769">
      <c r="B769" s="72" t="s">
        <v>30</v>
      </c>
      <c r="C769" s="73" t="s">
        <v>30</v>
      </c>
      <c r="D769" s="72" t="s">
        <v>30</v>
      </c>
      <c r="E769" s="72" t="s">
        <v>30</v>
      </c>
      <c r="G769" s="72" t="s">
        <v>30</v>
      </c>
      <c r="H769" s="72" t="s">
        <v>30</v>
      </c>
      <c r="I769" s="31"/>
    </row>
    <row r="770">
      <c r="B770" s="72" t="s">
        <v>30</v>
      </c>
      <c r="C770" s="73" t="s">
        <v>30</v>
      </c>
      <c r="D770" s="72" t="s">
        <v>30</v>
      </c>
      <c r="E770" s="72" t="s">
        <v>30</v>
      </c>
      <c r="G770" s="72" t="s">
        <v>30</v>
      </c>
      <c r="H770" s="72" t="s">
        <v>30</v>
      </c>
      <c r="I770" s="31"/>
    </row>
    <row r="771">
      <c r="B771" s="72" t="s">
        <v>30</v>
      </c>
      <c r="C771" s="73" t="s">
        <v>30</v>
      </c>
      <c r="D771" s="72" t="s">
        <v>30</v>
      </c>
      <c r="E771" s="72" t="s">
        <v>30</v>
      </c>
      <c r="G771" s="72" t="s">
        <v>30</v>
      </c>
      <c r="H771" s="72" t="s">
        <v>30</v>
      </c>
      <c r="I771" s="31"/>
    </row>
    <row r="772">
      <c r="B772" s="72" t="s">
        <v>30</v>
      </c>
      <c r="C772" s="73" t="s">
        <v>30</v>
      </c>
      <c r="D772" s="72" t="s">
        <v>30</v>
      </c>
      <c r="E772" s="72" t="s">
        <v>30</v>
      </c>
      <c r="G772" s="72" t="s">
        <v>30</v>
      </c>
      <c r="H772" s="72" t="s">
        <v>30</v>
      </c>
      <c r="I772" s="31"/>
    </row>
    <row r="773">
      <c r="B773" s="72" t="s">
        <v>30</v>
      </c>
      <c r="C773" s="73" t="s">
        <v>30</v>
      </c>
      <c r="D773" s="72" t="s">
        <v>30</v>
      </c>
      <c r="E773" s="72" t="s">
        <v>30</v>
      </c>
      <c r="G773" s="72" t="s">
        <v>30</v>
      </c>
      <c r="H773" s="72" t="s">
        <v>30</v>
      </c>
      <c r="I773" s="31"/>
    </row>
    <row r="774">
      <c r="B774" s="72" t="s">
        <v>30</v>
      </c>
      <c r="C774" s="73" t="s">
        <v>30</v>
      </c>
      <c r="D774" s="72" t="s">
        <v>30</v>
      </c>
      <c r="E774" s="72" t="s">
        <v>30</v>
      </c>
      <c r="G774" s="72" t="s">
        <v>30</v>
      </c>
      <c r="H774" s="72" t="s">
        <v>30</v>
      </c>
      <c r="I774" s="31"/>
    </row>
    <row r="775">
      <c r="B775" s="72" t="s">
        <v>30</v>
      </c>
      <c r="C775" s="73" t="s">
        <v>30</v>
      </c>
      <c r="D775" s="72" t="s">
        <v>30</v>
      </c>
      <c r="E775" s="72" t="s">
        <v>30</v>
      </c>
      <c r="G775" s="72" t="s">
        <v>30</v>
      </c>
      <c r="H775" s="72" t="s">
        <v>30</v>
      </c>
      <c r="I775" s="31"/>
    </row>
    <row r="776">
      <c r="B776" s="72" t="s">
        <v>30</v>
      </c>
      <c r="C776" s="73" t="s">
        <v>30</v>
      </c>
      <c r="D776" s="72" t="s">
        <v>30</v>
      </c>
      <c r="E776" s="72" t="s">
        <v>30</v>
      </c>
      <c r="G776" s="72" t="s">
        <v>30</v>
      </c>
      <c r="H776" s="72" t="s">
        <v>30</v>
      </c>
      <c r="I776" s="31"/>
    </row>
    <row r="777">
      <c r="B777" s="72" t="s">
        <v>30</v>
      </c>
      <c r="C777" s="73" t="s">
        <v>30</v>
      </c>
      <c r="D777" s="72" t="s">
        <v>30</v>
      </c>
      <c r="E777" s="72" t="s">
        <v>30</v>
      </c>
      <c r="G777" s="72" t="s">
        <v>30</v>
      </c>
      <c r="H777" s="72" t="s">
        <v>30</v>
      </c>
      <c r="I777" s="31"/>
    </row>
    <row r="778">
      <c r="B778" s="72" t="s">
        <v>30</v>
      </c>
      <c r="C778" s="73" t="s">
        <v>30</v>
      </c>
      <c r="D778" s="72" t="s">
        <v>30</v>
      </c>
      <c r="E778" s="72" t="s">
        <v>30</v>
      </c>
      <c r="G778" s="72" t="s">
        <v>30</v>
      </c>
      <c r="H778" s="72" t="s">
        <v>30</v>
      </c>
      <c r="I778" s="31"/>
    </row>
    <row r="779">
      <c r="B779" s="72" t="s">
        <v>30</v>
      </c>
      <c r="C779" s="73" t="s">
        <v>30</v>
      </c>
      <c r="D779" s="72" t="s">
        <v>30</v>
      </c>
      <c r="E779" s="72" t="s">
        <v>30</v>
      </c>
      <c r="G779" s="72" t="s">
        <v>30</v>
      </c>
      <c r="H779" s="72" t="s">
        <v>30</v>
      </c>
      <c r="I779" s="31"/>
    </row>
    <row r="780">
      <c r="B780" s="72" t="s">
        <v>30</v>
      </c>
      <c r="C780" s="73" t="s">
        <v>30</v>
      </c>
      <c r="D780" s="72" t="s">
        <v>30</v>
      </c>
      <c r="E780" s="72" t="s">
        <v>30</v>
      </c>
      <c r="G780" s="72" t="s">
        <v>30</v>
      </c>
      <c r="H780" s="72" t="s">
        <v>30</v>
      </c>
      <c r="I780" s="31"/>
    </row>
    <row r="781">
      <c r="B781" s="72" t="s">
        <v>30</v>
      </c>
      <c r="C781" s="73" t="s">
        <v>30</v>
      </c>
      <c r="D781" s="72" t="s">
        <v>30</v>
      </c>
      <c r="E781" s="72" t="s">
        <v>30</v>
      </c>
      <c r="G781" s="72" t="s">
        <v>30</v>
      </c>
      <c r="H781" s="72" t="s">
        <v>30</v>
      </c>
      <c r="I781" s="31"/>
    </row>
    <row r="782">
      <c r="B782" s="72" t="s">
        <v>30</v>
      </c>
      <c r="C782" s="73" t="s">
        <v>30</v>
      </c>
      <c r="D782" s="72" t="s">
        <v>30</v>
      </c>
      <c r="E782" s="72" t="s">
        <v>30</v>
      </c>
      <c r="G782" s="72" t="s">
        <v>30</v>
      </c>
      <c r="H782" s="72" t="s">
        <v>30</v>
      </c>
      <c r="I782" s="31"/>
    </row>
    <row r="783">
      <c r="B783" s="72" t="s">
        <v>30</v>
      </c>
      <c r="C783" s="73" t="s">
        <v>30</v>
      </c>
      <c r="D783" s="72" t="s">
        <v>30</v>
      </c>
      <c r="E783" s="72" t="s">
        <v>30</v>
      </c>
      <c r="G783" s="72" t="s">
        <v>30</v>
      </c>
      <c r="H783" s="72" t="s">
        <v>30</v>
      </c>
      <c r="I783" s="31"/>
    </row>
    <row r="784">
      <c r="B784" s="72" t="s">
        <v>30</v>
      </c>
      <c r="C784" s="73" t="s">
        <v>30</v>
      </c>
      <c r="D784" s="72" t="s">
        <v>30</v>
      </c>
      <c r="E784" s="72" t="s">
        <v>30</v>
      </c>
      <c r="G784" s="72" t="s">
        <v>30</v>
      </c>
      <c r="H784" s="72" t="s">
        <v>30</v>
      </c>
      <c r="I784" s="31"/>
    </row>
    <row r="785">
      <c r="B785" s="72" t="s">
        <v>30</v>
      </c>
      <c r="C785" s="73" t="s">
        <v>30</v>
      </c>
      <c r="D785" s="72" t="s">
        <v>30</v>
      </c>
      <c r="E785" s="72" t="s">
        <v>30</v>
      </c>
      <c r="G785" s="72" t="s">
        <v>30</v>
      </c>
      <c r="H785" s="72" t="s">
        <v>30</v>
      </c>
      <c r="I785" s="31"/>
    </row>
    <row r="786">
      <c r="B786" s="72" t="s">
        <v>30</v>
      </c>
      <c r="C786" s="73" t="s">
        <v>30</v>
      </c>
      <c r="D786" s="72" t="s">
        <v>30</v>
      </c>
      <c r="E786" s="72" t="s">
        <v>30</v>
      </c>
      <c r="G786" s="72" t="s">
        <v>30</v>
      </c>
      <c r="H786" s="72" t="s">
        <v>30</v>
      </c>
      <c r="I786" s="31"/>
    </row>
    <row r="787">
      <c r="B787" s="72" t="s">
        <v>30</v>
      </c>
      <c r="C787" s="73" t="s">
        <v>30</v>
      </c>
      <c r="D787" s="72" t="s">
        <v>30</v>
      </c>
      <c r="E787" s="72" t="s">
        <v>30</v>
      </c>
      <c r="G787" s="72" t="s">
        <v>30</v>
      </c>
      <c r="H787" s="72" t="s">
        <v>30</v>
      </c>
      <c r="I787" s="31"/>
    </row>
    <row r="788">
      <c r="B788" s="72" t="s">
        <v>30</v>
      </c>
      <c r="C788" s="73" t="s">
        <v>30</v>
      </c>
      <c r="D788" s="72" t="s">
        <v>30</v>
      </c>
      <c r="E788" s="72" t="s">
        <v>30</v>
      </c>
      <c r="G788" s="72" t="s">
        <v>30</v>
      </c>
      <c r="H788" s="72" t="s">
        <v>30</v>
      </c>
      <c r="I788" s="31"/>
    </row>
    <row r="789">
      <c r="B789" s="72" t="s">
        <v>30</v>
      </c>
      <c r="C789" s="73" t="s">
        <v>30</v>
      </c>
      <c r="D789" s="72" t="s">
        <v>30</v>
      </c>
      <c r="E789" s="72" t="s">
        <v>30</v>
      </c>
      <c r="G789" s="72" t="s">
        <v>30</v>
      </c>
      <c r="H789" s="72" t="s">
        <v>30</v>
      </c>
      <c r="I789" s="31"/>
    </row>
    <row r="790">
      <c r="B790" s="72" t="s">
        <v>30</v>
      </c>
      <c r="C790" s="73" t="s">
        <v>30</v>
      </c>
      <c r="D790" s="72" t="s">
        <v>30</v>
      </c>
      <c r="E790" s="72" t="s">
        <v>30</v>
      </c>
      <c r="G790" s="72" t="s">
        <v>30</v>
      </c>
      <c r="H790" s="72" t="s">
        <v>30</v>
      </c>
      <c r="I790" s="31"/>
    </row>
    <row r="791">
      <c r="B791" s="72" t="s">
        <v>30</v>
      </c>
      <c r="C791" s="73" t="s">
        <v>30</v>
      </c>
      <c r="D791" s="72" t="s">
        <v>30</v>
      </c>
      <c r="E791" s="72" t="s">
        <v>30</v>
      </c>
      <c r="G791" s="72" t="s">
        <v>30</v>
      </c>
      <c r="H791" s="72" t="s">
        <v>30</v>
      </c>
      <c r="I791" s="31"/>
    </row>
    <row r="792">
      <c r="B792" s="72" t="s">
        <v>30</v>
      </c>
      <c r="C792" s="73" t="s">
        <v>30</v>
      </c>
      <c r="D792" s="72" t="s">
        <v>30</v>
      </c>
      <c r="E792" s="72" t="s">
        <v>30</v>
      </c>
      <c r="G792" s="72" t="s">
        <v>30</v>
      </c>
      <c r="H792" s="72" t="s">
        <v>30</v>
      </c>
      <c r="I792" s="31"/>
    </row>
    <row r="793">
      <c r="B793" s="72" t="s">
        <v>30</v>
      </c>
      <c r="C793" s="73" t="s">
        <v>30</v>
      </c>
      <c r="D793" s="72" t="s">
        <v>30</v>
      </c>
      <c r="E793" s="72" t="s">
        <v>30</v>
      </c>
      <c r="G793" s="72" t="s">
        <v>30</v>
      </c>
      <c r="H793" s="72" t="s">
        <v>30</v>
      </c>
      <c r="I793" s="31"/>
    </row>
    <row r="794">
      <c r="B794" s="72" t="s">
        <v>30</v>
      </c>
      <c r="C794" s="73" t="s">
        <v>30</v>
      </c>
      <c r="D794" s="72" t="s">
        <v>30</v>
      </c>
      <c r="E794" s="72" t="s">
        <v>30</v>
      </c>
      <c r="G794" s="72" t="s">
        <v>30</v>
      </c>
      <c r="H794" s="72" t="s">
        <v>30</v>
      </c>
      <c r="I794" s="31"/>
    </row>
    <row r="795">
      <c r="B795" s="72" t="s">
        <v>30</v>
      </c>
      <c r="C795" s="73" t="s">
        <v>30</v>
      </c>
      <c r="D795" s="72" t="s">
        <v>30</v>
      </c>
      <c r="E795" s="72" t="s">
        <v>30</v>
      </c>
      <c r="G795" s="72" t="s">
        <v>30</v>
      </c>
      <c r="H795" s="72" t="s">
        <v>30</v>
      </c>
      <c r="I795" s="31"/>
    </row>
    <row r="796">
      <c r="B796" s="72" t="s">
        <v>30</v>
      </c>
      <c r="C796" s="73" t="s">
        <v>30</v>
      </c>
      <c r="D796" s="72" t="s">
        <v>30</v>
      </c>
      <c r="E796" s="72" t="s">
        <v>30</v>
      </c>
      <c r="G796" s="72" t="s">
        <v>30</v>
      </c>
      <c r="H796" s="72" t="s">
        <v>30</v>
      </c>
      <c r="I796" s="31"/>
    </row>
    <row r="797">
      <c r="B797" s="72" t="s">
        <v>30</v>
      </c>
      <c r="C797" s="73" t="s">
        <v>30</v>
      </c>
      <c r="D797" s="72" t="s">
        <v>30</v>
      </c>
      <c r="E797" s="72" t="s">
        <v>30</v>
      </c>
      <c r="G797" s="72" t="s">
        <v>30</v>
      </c>
      <c r="H797" s="72" t="s">
        <v>30</v>
      </c>
      <c r="I797" s="31"/>
    </row>
    <row r="798">
      <c r="B798" s="72" t="s">
        <v>30</v>
      </c>
      <c r="C798" s="73" t="s">
        <v>30</v>
      </c>
      <c r="D798" s="72" t="s">
        <v>30</v>
      </c>
      <c r="E798" s="72" t="s">
        <v>30</v>
      </c>
      <c r="G798" s="72" t="s">
        <v>30</v>
      </c>
      <c r="H798" s="72" t="s">
        <v>30</v>
      </c>
      <c r="I798" s="31"/>
    </row>
    <row r="799">
      <c r="B799" s="72" t="s">
        <v>30</v>
      </c>
      <c r="C799" s="73" t="s">
        <v>30</v>
      </c>
      <c r="D799" s="72" t="s">
        <v>30</v>
      </c>
      <c r="E799" s="72" t="s">
        <v>30</v>
      </c>
      <c r="G799" s="72" t="s">
        <v>30</v>
      </c>
      <c r="H799" s="72" t="s">
        <v>30</v>
      </c>
      <c r="I799" s="31"/>
    </row>
    <row r="800">
      <c r="B800" s="72" t="s">
        <v>30</v>
      </c>
      <c r="C800" s="73" t="s">
        <v>30</v>
      </c>
      <c r="D800" s="72" t="s">
        <v>30</v>
      </c>
      <c r="E800" s="72" t="s">
        <v>30</v>
      </c>
      <c r="G800" s="72" t="s">
        <v>30</v>
      </c>
      <c r="H800" s="72" t="s">
        <v>30</v>
      </c>
      <c r="I800" s="31"/>
    </row>
    <row r="801">
      <c r="B801" s="72" t="s">
        <v>30</v>
      </c>
      <c r="C801" s="73" t="s">
        <v>30</v>
      </c>
      <c r="D801" s="72" t="s">
        <v>30</v>
      </c>
      <c r="E801" s="72" t="s">
        <v>30</v>
      </c>
      <c r="G801" s="72" t="s">
        <v>30</v>
      </c>
      <c r="H801" s="72" t="s">
        <v>30</v>
      </c>
      <c r="I801" s="31"/>
    </row>
    <row r="802">
      <c r="B802" s="72" t="s">
        <v>30</v>
      </c>
      <c r="C802" s="73" t="s">
        <v>30</v>
      </c>
      <c r="D802" s="72" t="s">
        <v>30</v>
      </c>
      <c r="E802" s="72" t="s">
        <v>30</v>
      </c>
      <c r="G802" s="72" t="s">
        <v>30</v>
      </c>
      <c r="H802" s="72" t="s">
        <v>30</v>
      </c>
      <c r="I802" s="31"/>
    </row>
    <row r="803">
      <c r="B803" s="72" t="s">
        <v>30</v>
      </c>
      <c r="C803" s="73" t="s">
        <v>30</v>
      </c>
      <c r="D803" s="72" t="s">
        <v>30</v>
      </c>
      <c r="E803" s="72" t="s">
        <v>30</v>
      </c>
      <c r="G803" s="72" t="s">
        <v>30</v>
      </c>
      <c r="H803" s="72" t="s">
        <v>30</v>
      </c>
      <c r="I803" s="31"/>
    </row>
    <row r="804">
      <c r="B804" s="72" t="s">
        <v>30</v>
      </c>
      <c r="C804" s="73" t="s">
        <v>30</v>
      </c>
      <c r="D804" s="72" t="s">
        <v>30</v>
      </c>
      <c r="E804" s="72" t="s">
        <v>30</v>
      </c>
      <c r="G804" s="72" t="s">
        <v>30</v>
      </c>
      <c r="H804" s="72" t="s">
        <v>30</v>
      </c>
      <c r="I804" s="31"/>
    </row>
    <row r="805">
      <c r="B805" s="72" t="s">
        <v>30</v>
      </c>
      <c r="C805" s="73" t="s">
        <v>30</v>
      </c>
      <c r="D805" s="72" t="s">
        <v>30</v>
      </c>
      <c r="E805" s="72" t="s">
        <v>30</v>
      </c>
      <c r="G805" s="72" t="s">
        <v>30</v>
      </c>
      <c r="H805" s="72" t="s">
        <v>30</v>
      </c>
      <c r="I805" s="31"/>
    </row>
    <row r="806">
      <c r="B806" s="72" t="s">
        <v>30</v>
      </c>
      <c r="C806" s="73" t="s">
        <v>30</v>
      </c>
      <c r="D806" s="72" t="s">
        <v>30</v>
      </c>
      <c r="E806" s="72" t="s">
        <v>30</v>
      </c>
      <c r="G806" s="72" t="s">
        <v>30</v>
      </c>
      <c r="H806" s="72" t="s">
        <v>30</v>
      </c>
      <c r="I806" s="31"/>
    </row>
    <row r="807">
      <c r="B807" s="72" t="s">
        <v>30</v>
      </c>
      <c r="C807" s="73" t="s">
        <v>30</v>
      </c>
      <c r="D807" s="72" t="s">
        <v>30</v>
      </c>
      <c r="E807" s="72" t="s">
        <v>30</v>
      </c>
      <c r="G807" s="72" t="s">
        <v>30</v>
      </c>
      <c r="H807" s="72" t="s">
        <v>30</v>
      </c>
      <c r="I807" s="31"/>
    </row>
    <row r="808">
      <c r="B808" s="72" t="s">
        <v>30</v>
      </c>
      <c r="C808" s="73" t="s">
        <v>30</v>
      </c>
      <c r="D808" s="72" t="s">
        <v>30</v>
      </c>
      <c r="E808" s="72" t="s">
        <v>30</v>
      </c>
      <c r="G808" s="72" t="s">
        <v>30</v>
      </c>
      <c r="H808" s="72" t="s">
        <v>30</v>
      </c>
      <c r="I808" s="31"/>
    </row>
    <row r="809">
      <c r="B809" s="72" t="s">
        <v>30</v>
      </c>
      <c r="C809" s="73" t="s">
        <v>30</v>
      </c>
      <c r="D809" s="72" t="s">
        <v>30</v>
      </c>
      <c r="E809" s="72" t="s">
        <v>30</v>
      </c>
      <c r="G809" s="72" t="s">
        <v>30</v>
      </c>
      <c r="H809" s="72" t="s">
        <v>30</v>
      </c>
      <c r="I809" s="31"/>
    </row>
    <row r="810">
      <c r="B810" s="72" t="s">
        <v>30</v>
      </c>
      <c r="C810" s="73" t="s">
        <v>30</v>
      </c>
      <c r="D810" s="72" t="s">
        <v>30</v>
      </c>
      <c r="E810" s="72" t="s">
        <v>30</v>
      </c>
      <c r="G810" s="72" t="s">
        <v>30</v>
      </c>
      <c r="H810" s="72" t="s">
        <v>30</v>
      </c>
      <c r="I810" s="31"/>
    </row>
    <row r="811">
      <c r="B811" s="72" t="s">
        <v>30</v>
      </c>
      <c r="C811" s="73" t="s">
        <v>30</v>
      </c>
      <c r="D811" s="72" t="s">
        <v>30</v>
      </c>
      <c r="E811" s="72" t="s">
        <v>30</v>
      </c>
      <c r="G811" s="72" t="s">
        <v>30</v>
      </c>
      <c r="H811" s="72" t="s">
        <v>30</v>
      </c>
      <c r="I811" s="31"/>
    </row>
    <row r="812">
      <c r="B812" s="72" t="s">
        <v>30</v>
      </c>
      <c r="C812" s="73" t="s">
        <v>30</v>
      </c>
      <c r="D812" s="72" t="s">
        <v>30</v>
      </c>
      <c r="E812" s="72" t="s">
        <v>30</v>
      </c>
      <c r="G812" s="72" t="s">
        <v>30</v>
      </c>
      <c r="H812" s="72" t="s">
        <v>30</v>
      </c>
      <c r="I812" s="31"/>
    </row>
    <row r="813">
      <c r="B813" s="72" t="s">
        <v>30</v>
      </c>
      <c r="C813" s="73" t="s">
        <v>30</v>
      </c>
      <c r="D813" s="72" t="s">
        <v>30</v>
      </c>
      <c r="E813" s="72" t="s">
        <v>30</v>
      </c>
      <c r="G813" s="72" t="s">
        <v>30</v>
      </c>
      <c r="H813" s="72" t="s">
        <v>30</v>
      </c>
      <c r="I813" s="31"/>
    </row>
    <row r="814">
      <c r="B814" s="72" t="s">
        <v>30</v>
      </c>
      <c r="C814" s="73" t="s">
        <v>30</v>
      </c>
      <c r="D814" s="72" t="s">
        <v>30</v>
      </c>
      <c r="E814" s="72" t="s">
        <v>30</v>
      </c>
      <c r="G814" s="72" t="s">
        <v>30</v>
      </c>
      <c r="H814" s="72" t="s">
        <v>30</v>
      </c>
      <c r="I814" s="31"/>
    </row>
    <row r="815">
      <c r="B815" s="72" t="s">
        <v>30</v>
      </c>
      <c r="C815" s="73" t="s">
        <v>30</v>
      </c>
      <c r="D815" s="72" t="s">
        <v>30</v>
      </c>
      <c r="E815" s="72" t="s">
        <v>30</v>
      </c>
      <c r="G815" s="72" t="s">
        <v>30</v>
      </c>
      <c r="H815" s="72" t="s">
        <v>30</v>
      </c>
      <c r="I815" s="31"/>
    </row>
    <row r="816">
      <c r="B816" s="72" t="s">
        <v>30</v>
      </c>
      <c r="C816" s="73" t="s">
        <v>30</v>
      </c>
      <c r="D816" s="72" t="s">
        <v>30</v>
      </c>
      <c r="E816" s="72" t="s">
        <v>30</v>
      </c>
      <c r="G816" s="72" t="s">
        <v>30</v>
      </c>
      <c r="H816" s="72" t="s">
        <v>30</v>
      </c>
      <c r="I816" s="31"/>
    </row>
    <row r="817">
      <c r="B817" s="72" t="s">
        <v>30</v>
      </c>
      <c r="C817" s="73" t="s">
        <v>30</v>
      </c>
      <c r="D817" s="72" t="s">
        <v>30</v>
      </c>
      <c r="E817" s="72" t="s">
        <v>30</v>
      </c>
      <c r="G817" s="72" t="s">
        <v>30</v>
      </c>
      <c r="H817" s="72" t="s">
        <v>30</v>
      </c>
      <c r="I817" s="31"/>
    </row>
    <row r="818">
      <c r="B818" s="72" t="s">
        <v>30</v>
      </c>
      <c r="C818" s="73" t="s">
        <v>30</v>
      </c>
      <c r="D818" s="72" t="s">
        <v>30</v>
      </c>
      <c r="E818" s="72" t="s">
        <v>30</v>
      </c>
      <c r="G818" s="72" t="s">
        <v>30</v>
      </c>
      <c r="H818" s="72" t="s">
        <v>30</v>
      </c>
      <c r="I818" s="31"/>
    </row>
    <row r="819">
      <c r="B819" s="72" t="s">
        <v>30</v>
      </c>
      <c r="C819" s="73" t="s">
        <v>30</v>
      </c>
      <c r="D819" s="72" t="s">
        <v>30</v>
      </c>
      <c r="E819" s="72" t="s">
        <v>30</v>
      </c>
      <c r="G819" s="72" t="s">
        <v>30</v>
      </c>
      <c r="H819" s="72" t="s">
        <v>30</v>
      </c>
      <c r="I819" s="31"/>
    </row>
    <row r="820">
      <c r="B820" s="72" t="s">
        <v>30</v>
      </c>
      <c r="C820" s="73" t="s">
        <v>30</v>
      </c>
      <c r="D820" s="72" t="s">
        <v>30</v>
      </c>
      <c r="E820" s="72" t="s">
        <v>30</v>
      </c>
      <c r="G820" s="72" t="s">
        <v>30</v>
      </c>
      <c r="H820" s="72" t="s">
        <v>30</v>
      </c>
      <c r="I820" s="31"/>
    </row>
    <row r="821">
      <c r="B821" s="72" t="s">
        <v>30</v>
      </c>
      <c r="C821" s="73" t="s">
        <v>30</v>
      </c>
      <c r="D821" s="72" t="s">
        <v>30</v>
      </c>
      <c r="E821" s="72" t="s">
        <v>30</v>
      </c>
      <c r="G821" s="72" t="s">
        <v>30</v>
      </c>
      <c r="H821" s="72" t="s">
        <v>30</v>
      </c>
      <c r="I821" s="31"/>
    </row>
    <row r="822">
      <c r="B822" s="72" t="s">
        <v>30</v>
      </c>
      <c r="C822" s="73" t="s">
        <v>30</v>
      </c>
      <c r="D822" s="72" t="s">
        <v>30</v>
      </c>
      <c r="E822" s="72" t="s">
        <v>30</v>
      </c>
      <c r="G822" s="72" t="s">
        <v>30</v>
      </c>
      <c r="H822" s="72" t="s">
        <v>30</v>
      </c>
      <c r="I822" s="31"/>
    </row>
    <row r="823">
      <c r="B823" s="72" t="s">
        <v>30</v>
      </c>
      <c r="C823" s="73" t="s">
        <v>30</v>
      </c>
      <c r="D823" s="72" t="s">
        <v>30</v>
      </c>
      <c r="E823" s="72" t="s">
        <v>30</v>
      </c>
      <c r="G823" s="72" t="s">
        <v>30</v>
      </c>
      <c r="H823" s="72" t="s">
        <v>30</v>
      </c>
      <c r="I823" s="31"/>
    </row>
    <row r="824">
      <c r="B824" s="72" t="s">
        <v>30</v>
      </c>
      <c r="C824" s="73" t="s">
        <v>30</v>
      </c>
      <c r="D824" s="72" t="s">
        <v>30</v>
      </c>
      <c r="E824" s="72" t="s">
        <v>30</v>
      </c>
      <c r="G824" s="72" t="s">
        <v>30</v>
      </c>
      <c r="H824" s="72" t="s">
        <v>30</v>
      </c>
      <c r="I824" s="31"/>
    </row>
    <row r="825">
      <c r="B825" s="72" t="s">
        <v>30</v>
      </c>
      <c r="C825" s="73" t="s">
        <v>30</v>
      </c>
      <c r="D825" s="72" t="s">
        <v>30</v>
      </c>
      <c r="E825" s="72" t="s">
        <v>30</v>
      </c>
      <c r="G825" s="72" t="s">
        <v>30</v>
      </c>
      <c r="H825" s="72" t="s">
        <v>30</v>
      </c>
      <c r="I825" s="31"/>
    </row>
    <row r="826">
      <c r="B826" s="72" t="s">
        <v>30</v>
      </c>
      <c r="C826" s="73" t="s">
        <v>30</v>
      </c>
      <c r="D826" s="72" t="s">
        <v>30</v>
      </c>
      <c r="E826" s="72" t="s">
        <v>30</v>
      </c>
      <c r="G826" s="72" t="s">
        <v>30</v>
      </c>
      <c r="H826" s="72" t="s">
        <v>30</v>
      </c>
      <c r="I826" s="31"/>
    </row>
    <row r="827">
      <c r="B827" s="72" t="s">
        <v>30</v>
      </c>
      <c r="C827" s="73" t="s">
        <v>30</v>
      </c>
      <c r="D827" s="72" t="s">
        <v>30</v>
      </c>
      <c r="E827" s="72" t="s">
        <v>30</v>
      </c>
      <c r="G827" s="72" t="s">
        <v>30</v>
      </c>
      <c r="H827" s="72" t="s">
        <v>30</v>
      </c>
      <c r="I827" s="31"/>
    </row>
    <row r="828">
      <c r="B828" s="72" t="s">
        <v>30</v>
      </c>
      <c r="C828" s="73" t="s">
        <v>30</v>
      </c>
      <c r="D828" s="72" t="s">
        <v>30</v>
      </c>
      <c r="E828" s="72" t="s">
        <v>30</v>
      </c>
      <c r="G828" s="72" t="s">
        <v>30</v>
      </c>
      <c r="H828" s="72" t="s">
        <v>30</v>
      </c>
      <c r="I828" s="31"/>
    </row>
    <row r="829">
      <c r="B829" s="72" t="s">
        <v>30</v>
      </c>
      <c r="C829" s="73" t="s">
        <v>30</v>
      </c>
      <c r="D829" s="72" t="s">
        <v>30</v>
      </c>
      <c r="E829" s="72" t="s">
        <v>30</v>
      </c>
      <c r="G829" s="72" t="s">
        <v>30</v>
      </c>
      <c r="H829" s="72" t="s">
        <v>30</v>
      </c>
      <c r="I829" s="31"/>
    </row>
    <row r="830">
      <c r="B830" s="72" t="s">
        <v>30</v>
      </c>
      <c r="C830" s="73" t="s">
        <v>30</v>
      </c>
      <c r="D830" s="72" t="s">
        <v>30</v>
      </c>
      <c r="E830" s="72" t="s">
        <v>30</v>
      </c>
      <c r="G830" s="72" t="s">
        <v>30</v>
      </c>
      <c r="H830" s="72" t="s">
        <v>30</v>
      </c>
      <c r="I830" s="31"/>
    </row>
    <row r="831">
      <c r="B831" s="72" t="s">
        <v>30</v>
      </c>
      <c r="C831" s="73" t="s">
        <v>30</v>
      </c>
      <c r="D831" s="72" t="s">
        <v>30</v>
      </c>
      <c r="E831" s="72" t="s">
        <v>30</v>
      </c>
      <c r="G831" s="72" t="s">
        <v>30</v>
      </c>
      <c r="H831" s="72" t="s">
        <v>30</v>
      </c>
      <c r="I831" s="31"/>
    </row>
    <row r="832">
      <c r="B832" s="72" t="s">
        <v>30</v>
      </c>
      <c r="C832" s="73" t="s">
        <v>30</v>
      </c>
      <c r="D832" s="72" t="s">
        <v>30</v>
      </c>
      <c r="E832" s="72" t="s">
        <v>30</v>
      </c>
      <c r="G832" s="72" t="s">
        <v>30</v>
      </c>
      <c r="H832" s="72" t="s">
        <v>30</v>
      </c>
      <c r="I832" s="31"/>
    </row>
    <row r="833">
      <c r="B833" s="72" t="s">
        <v>30</v>
      </c>
      <c r="C833" s="73" t="s">
        <v>30</v>
      </c>
      <c r="D833" s="72" t="s">
        <v>30</v>
      </c>
      <c r="E833" s="72" t="s">
        <v>30</v>
      </c>
      <c r="G833" s="72" t="s">
        <v>30</v>
      </c>
      <c r="H833" s="72" t="s">
        <v>30</v>
      </c>
      <c r="I833" s="31"/>
    </row>
    <row r="834">
      <c r="B834" s="72" t="s">
        <v>30</v>
      </c>
      <c r="C834" s="73" t="s">
        <v>30</v>
      </c>
      <c r="D834" s="72" t="s">
        <v>30</v>
      </c>
      <c r="E834" s="72" t="s">
        <v>30</v>
      </c>
      <c r="G834" s="72" t="s">
        <v>30</v>
      </c>
      <c r="H834" s="72" t="s">
        <v>30</v>
      </c>
      <c r="I834" s="31"/>
    </row>
    <row r="835">
      <c r="B835" s="72" t="s">
        <v>30</v>
      </c>
      <c r="C835" s="73" t="s">
        <v>30</v>
      </c>
      <c r="D835" s="72" t="s">
        <v>30</v>
      </c>
      <c r="E835" s="72" t="s">
        <v>30</v>
      </c>
      <c r="G835" s="72" t="s">
        <v>30</v>
      </c>
      <c r="H835" s="72" t="s">
        <v>30</v>
      </c>
      <c r="I835" s="31"/>
    </row>
    <row r="836">
      <c r="B836" s="72" t="s">
        <v>30</v>
      </c>
      <c r="C836" s="73" t="s">
        <v>30</v>
      </c>
      <c r="D836" s="72" t="s">
        <v>30</v>
      </c>
      <c r="E836" s="72" t="s">
        <v>30</v>
      </c>
      <c r="G836" s="72" t="s">
        <v>30</v>
      </c>
      <c r="H836" s="72" t="s">
        <v>30</v>
      </c>
      <c r="I836" s="31"/>
    </row>
    <row r="837">
      <c r="B837" s="72" t="s">
        <v>30</v>
      </c>
      <c r="C837" s="73" t="s">
        <v>30</v>
      </c>
      <c r="D837" s="72" t="s">
        <v>30</v>
      </c>
      <c r="E837" s="72" t="s">
        <v>30</v>
      </c>
      <c r="G837" s="72" t="s">
        <v>30</v>
      </c>
      <c r="H837" s="72" t="s">
        <v>30</v>
      </c>
      <c r="I837" s="31"/>
    </row>
    <row r="838">
      <c r="B838" s="72" t="s">
        <v>30</v>
      </c>
      <c r="C838" s="73" t="s">
        <v>30</v>
      </c>
      <c r="D838" s="72" t="s">
        <v>30</v>
      </c>
      <c r="E838" s="72" t="s">
        <v>30</v>
      </c>
      <c r="G838" s="72" t="s">
        <v>30</v>
      </c>
      <c r="H838" s="72" t="s">
        <v>30</v>
      </c>
      <c r="I838" s="31"/>
    </row>
    <row r="839">
      <c r="B839" s="72" t="s">
        <v>30</v>
      </c>
      <c r="C839" s="73" t="s">
        <v>30</v>
      </c>
      <c r="D839" s="72" t="s">
        <v>30</v>
      </c>
      <c r="E839" s="72" t="s">
        <v>30</v>
      </c>
      <c r="G839" s="72" t="s">
        <v>30</v>
      </c>
      <c r="H839" s="72" t="s">
        <v>30</v>
      </c>
      <c r="I839" s="31"/>
    </row>
    <row r="840">
      <c r="B840" s="72" t="s">
        <v>30</v>
      </c>
      <c r="C840" s="73" t="s">
        <v>30</v>
      </c>
      <c r="D840" s="72" t="s">
        <v>30</v>
      </c>
      <c r="E840" s="72" t="s">
        <v>30</v>
      </c>
      <c r="G840" s="72" t="s">
        <v>30</v>
      </c>
      <c r="H840" s="72" t="s">
        <v>30</v>
      </c>
      <c r="I840" s="31"/>
    </row>
    <row r="841">
      <c r="B841" s="72" t="s">
        <v>30</v>
      </c>
      <c r="C841" s="73" t="s">
        <v>30</v>
      </c>
      <c r="D841" s="72" t="s">
        <v>30</v>
      </c>
      <c r="E841" s="72" t="s">
        <v>30</v>
      </c>
      <c r="G841" s="72" t="s">
        <v>30</v>
      </c>
      <c r="H841" s="72" t="s">
        <v>30</v>
      </c>
      <c r="I841" s="31"/>
    </row>
    <row r="842">
      <c r="B842" s="72" t="s">
        <v>30</v>
      </c>
      <c r="C842" s="73" t="s">
        <v>30</v>
      </c>
      <c r="D842" s="72" t="s">
        <v>30</v>
      </c>
      <c r="E842" s="72" t="s">
        <v>30</v>
      </c>
      <c r="G842" s="72" t="s">
        <v>30</v>
      </c>
      <c r="H842" s="72" t="s">
        <v>30</v>
      </c>
      <c r="I842" s="31"/>
    </row>
    <row r="843">
      <c r="B843" s="72" t="s">
        <v>30</v>
      </c>
      <c r="C843" s="73" t="s">
        <v>30</v>
      </c>
      <c r="D843" s="72" t="s">
        <v>30</v>
      </c>
      <c r="E843" s="72" t="s">
        <v>30</v>
      </c>
      <c r="G843" s="72" t="s">
        <v>30</v>
      </c>
      <c r="H843" s="72" t="s">
        <v>30</v>
      </c>
      <c r="I843" s="31"/>
    </row>
    <row r="844">
      <c r="B844" s="72" t="s">
        <v>30</v>
      </c>
      <c r="C844" s="73" t="s">
        <v>30</v>
      </c>
      <c r="D844" s="72" t="s">
        <v>30</v>
      </c>
      <c r="E844" s="72" t="s">
        <v>30</v>
      </c>
      <c r="G844" s="72" t="s">
        <v>30</v>
      </c>
      <c r="H844" s="72" t="s">
        <v>30</v>
      </c>
      <c r="I844" s="31"/>
    </row>
    <row r="845">
      <c r="B845" s="72" t="s">
        <v>30</v>
      </c>
      <c r="C845" s="73" t="s">
        <v>30</v>
      </c>
      <c r="D845" s="72" t="s">
        <v>30</v>
      </c>
      <c r="E845" s="72" t="s">
        <v>30</v>
      </c>
      <c r="G845" s="72" t="s">
        <v>30</v>
      </c>
      <c r="H845" s="72" t="s">
        <v>30</v>
      </c>
      <c r="I845" s="31"/>
    </row>
    <row r="846">
      <c r="B846" s="72" t="s">
        <v>30</v>
      </c>
      <c r="C846" s="73" t="s">
        <v>30</v>
      </c>
      <c r="D846" s="72" t="s">
        <v>30</v>
      </c>
      <c r="E846" s="72" t="s">
        <v>30</v>
      </c>
      <c r="G846" s="72" t="s">
        <v>30</v>
      </c>
      <c r="H846" s="72" t="s">
        <v>30</v>
      </c>
      <c r="I846" s="31"/>
    </row>
    <row r="847">
      <c r="B847" s="72" t="s">
        <v>30</v>
      </c>
      <c r="C847" s="73" t="s">
        <v>30</v>
      </c>
      <c r="D847" s="72" t="s">
        <v>30</v>
      </c>
      <c r="E847" s="72" t="s">
        <v>30</v>
      </c>
      <c r="G847" s="72" t="s">
        <v>30</v>
      </c>
      <c r="H847" s="72" t="s">
        <v>30</v>
      </c>
      <c r="I847" s="31"/>
    </row>
    <row r="848">
      <c r="B848" s="72" t="s">
        <v>30</v>
      </c>
      <c r="C848" s="73" t="s">
        <v>30</v>
      </c>
      <c r="D848" s="72" t="s">
        <v>30</v>
      </c>
      <c r="E848" s="72" t="s">
        <v>30</v>
      </c>
      <c r="G848" s="72" t="s">
        <v>30</v>
      </c>
      <c r="H848" s="72" t="s">
        <v>30</v>
      </c>
      <c r="I848" s="31"/>
    </row>
    <row r="849">
      <c r="B849" s="72" t="s">
        <v>30</v>
      </c>
      <c r="C849" s="73" t="s">
        <v>30</v>
      </c>
      <c r="D849" s="72" t="s">
        <v>30</v>
      </c>
      <c r="E849" s="72" t="s">
        <v>30</v>
      </c>
      <c r="G849" s="72" t="s">
        <v>30</v>
      </c>
      <c r="H849" s="72" t="s">
        <v>30</v>
      </c>
      <c r="I849" s="31"/>
    </row>
    <row r="850">
      <c r="B850" s="72" t="s">
        <v>30</v>
      </c>
      <c r="C850" s="73" t="s">
        <v>30</v>
      </c>
      <c r="D850" s="72" t="s">
        <v>30</v>
      </c>
      <c r="E850" s="72" t="s">
        <v>30</v>
      </c>
      <c r="G850" s="72" t="s">
        <v>30</v>
      </c>
      <c r="H850" s="72" t="s">
        <v>30</v>
      </c>
      <c r="I850" s="31"/>
    </row>
    <row r="851">
      <c r="B851" s="72" t="s">
        <v>30</v>
      </c>
      <c r="C851" s="73" t="s">
        <v>30</v>
      </c>
      <c r="D851" s="72" t="s">
        <v>30</v>
      </c>
      <c r="E851" s="72" t="s">
        <v>30</v>
      </c>
      <c r="G851" s="72" t="s">
        <v>30</v>
      </c>
      <c r="H851" s="72" t="s">
        <v>30</v>
      </c>
      <c r="I851" s="31"/>
    </row>
    <row r="852">
      <c r="B852" s="72" t="s">
        <v>30</v>
      </c>
      <c r="C852" s="73" t="s">
        <v>30</v>
      </c>
      <c r="D852" s="72" t="s">
        <v>30</v>
      </c>
      <c r="E852" s="72" t="s">
        <v>30</v>
      </c>
      <c r="G852" s="72" t="s">
        <v>30</v>
      </c>
      <c r="H852" s="72" t="s">
        <v>30</v>
      </c>
      <c r="I852" s="31"/>
    </row>
    <row r="853">
      <c r="B853" s="72" t="s">
        <v>30</v>
      </c>
      <c r="C853" s="73" t="s">
        <v>30</v>
      </c>
      <c r="D853" s="72" t="s">
        <v>30</v>
      </c>
      <c r="E853" s="72" t="s">
        <v>30</v>
      </c>
      <c r="G853" s="72" t="s">
        <v>30</v>
      </c>
      <c r="H853" s="72" t="s">
        <v>30</v>
      </c>
      <c r="I853" s="31"/>
    </row>
    <row r="854">
      <c r="B854" s="72" t="s">
        <v>30</v>
      </c>
      <c r="C854" s="73" t="s">
        <v>30</v>
      </c>
      <c r="D854" s="72" t="s">
        <v>30</v>
      </c>
      <c r="E854" s="72" t="s">
        <v>30</v>
      </c>
      <c r="G854" s="72" t="s">
        <v>30</v>
      </c>
      <c r="H854" s="72" t="s">
        <v>30</v>
      </c>
      <c r="I854" s="31"/>
    </row>
    <row r="855">
      <c r="B855" s="72" t="s">
        <v>30</v>
      </c>
      <c r="C855" s="73" t="s">
        <v>30</v>
      </c>
      <c r="D855" s="72" t="s">
        <v>30</v>
      </c>
      <c r="E855" s="72" t="s">
        <v>30</v>
      </c>
      <c r="G855" s="72" t="s">
        <v>30</v>
      </c>
      <c r="H855" s="72" t="s">
        <v>30</v>
      </c>
      <c r="I855" s="31"/>
    </row>
    <row r="856">
      <c r="B856" s="72" t="s">
        <v>30</v>
      </c>
      <c r="C856" s="73" t="s">
        <v>30</v>
      </c>
      <c r="D856" s="72" t="s">
        <v>30</v>
      </c>
      <c r="E856" s="72" t="s">
        <v>30</v>
      </c>
      <c r="G856" s="72" t="s">
        <v>30</v>
      </c>
      <c r="H856" s="72" t="s">
        <v>30</v>
      </c>
      <c r="I856" s="31"/>
    </row>
    <row r="857">
      <c r="B857" s="72" t="s">
        <v>30</v>
      </c>
      <c r="C857" s="73" t="s">
        <v>30</v>
      </c>
      <c r="D857" s="72" t="s">
        <v>30</v>
      </c>
      <c r="E857" s="72" t="s">
        <v>30</v>
      </c>
      <c r="G857" s="72" t="s">
        <v>30</v>
      </c>
      <c r="H857" s="72" t="s">
        <v>30</v>
      </c>
      <c r="I857" s="31"/>
    </row>
    <row r="858">
      <c r="B858" s="72" t="s">
        <v>30</v>
      </c>
      <c r="C858" s="73" t="s">
        <v>30</v>
      </c>
      <c r="D858" s="72" t="s">
        <v>30</v>
      </c>
      <c r="E858" s="72" t="s">
        <v>30</v>
      </c>
      <c r="G858" s="72" t="s">
        <v>30</v>
      </c>
      <c r="H858" s="72" t="s">
        <v>30</v>
      </c>
      <c r="I858" s="31"/>
    </row>
    <row r="859">
      <c r="B859" s="72" t="s">
        <v>30</v>
      </c>
      <c r="C859" s="73" t="s">
        <v>30</v>
      </c>
      <c r="D859" s="72" t="s">
        <v>30</v>
      </c>
      <c r="E859" s="72" t="s">
        <v>30</v>
      </c>
      <c r="G859" s="72" t="s">
        <v>30</v>
      </c>
      <c r="H859" s="72" t="s">
        <v>30</v>
      </c>
      <c r="I859" s="31"/>
    </row>
    <row r="860">
      <c r="B860" s="72" t="s">
        <v>30</v>
      </c>
      <c r="C860" s="73" t="s">
        <v>30</v>
      </c>
      <c r="D860" s="72" t="s">
        <v>30</v>
      </c>
      <c r="E860" s="72" t="s">
        <v>30</v>
      </c>
      <c r="G860" s="72" t="s">
        <v>30</v>
      </c>
      <c r="H860" s="72" t="s">
        <v>30</v>
      </c>
      <c r="I860" s="31"/>
    </row>
    <row r="861">
      <c r="B861" s="72" t="s">
        <v>30</v>
      </c>
      <c r="C861" s="73" t="s">
        <v>30</v>
      </c>
      <c r="D861" s="72" t="s">
        <v>30</v>
      </c>
      <c r="E861" s="72" t="s">
        <v>30</v>
      </c>
      <c r="G861" s="72" t="s">
        <v>30</v>
      </c>
      <c r="H861" s="72" t="s">
        <v>30</v>
      </c>
      <c r="I861" s="31"/>
    </row>
    <row r="862">
      <c r="B862" s="72" t="s">
        <v>30</v>
      </c>
      <c r="C862" s="73" t="s">
        <v>30</v>
      </c>
      <c r="D862" s="72" t="s">
        <v>30</v>
      </c>
      <c r="E862" s="72" t="s">
        <v>30</v>
      </c>
      <c r="G862" s="72" t="s">
        <v>30</v>
      </c>
      <c r="H862" s="72" t="s">
        <v>30</v>
      </c>
      <c r="I862" s="31"/>
    </row>
    <row r="863">
      <c r="B863" s="72" t="s">
        <v>30</v>
      </c>
      <c r="C863" s="73" t="s">
        <v>30</v>
      </c>
      <c r="D863" s="72" t="s">
        <v>30</v>
      </c>
      <c r="E863" s="72" t="s">
        <v>30</v>
      </c>
      <c r="G863" s="72" t="s">
        <v>30</v>
      </c>
      <c r="H863" s="72" t="s">
        <v>30</v>
      </c>
      <c r="I863" s="31"/>
    </row>
    <row r="864">
      <c r="B864" s="72" t="s">
        <v>30</v>
      </c>
      <c r="C864" s="73" t="s">
        <v>30</v>
      </c>
      <c r="D864" s="72" t="s">
        <v>30</v>
      </c>
      <c r="E864" s="72" t="s">
        <v>30</v>
      </c>
      <c r="G864" s="72" t="s">
        <v>30</v>
      </c>
      <c r="H864" s="72" t="s">
        <v>30</v>
      </c>
      <c r="I864" s="31"/>
    </row>
    <row r="865">
      <c r="B865" s="72" t="s">
        <v>30</v>
      </c>
      <c r="C865" s="73" t="s">
        <v>30</v>
      </c>
      <c r="D865" s="72" t="s">
        <v>30</v>
      </c>
      <c r="E865" s="72" t="s">
        <v>30</v>
      </c>
      <c r="G865" s="72" t="s">
        <v>30</v>
      </c>
      <c r="H865" s="72" t="s">
        <v>30</v>
      </c>
      <c r="I865" s="31"/>
    </row>
    <row r="866">
      <c r="B866" s="72" t="s">
        <v>30</v>
      </c>
      <c r="C866" s="73" t="s">
        <v>30</v>
      </c>
      <c r="D866" s="72" t="s">
        <v>30</v>
      </c>
      <c r="E866" s="72" t="s">
        <v>30</v>
      </c>
      <c r="G866" s="72" t="s">
        <v>30</v>
      </c>
      <c r="H866" s="72" t="s">
        <v>30</v>
      </c>
      <c r="I866" s="31"/>
    </row>
    <row r="867">
      <c r="B867" s="72" t="s">
        <v>30</v>
      </c>
      <c r="C867" s="73" t="s">
        <v>30</v>
      </c>
      <c r="D867" s="72" t="s">
        <v>30</v>
      </c>
      <c r="E867" s="72" t="s">
        <v>30</v>
      </c>
      <c r="G867" s="72" t="s">
        <v>30</v>
      </c>
      <c r="H867" s="72" t="s">
        <v>30</v>
      </c>
      <c r="I867" s="31"/>
    </row>
    <row r="868">
      <c r="B868" s="72" t="s">
        <v>30</v>
      </c>
      <c r="C868" s="73" t="s">
        <v>30</v>
      </c>
      <c r="D868" s="72" t="s">
        <v>30</v>
      </c>
      <c r="E868" s="72" t="s">
        <v>30</v>
      </c>
      <c r="G868" s="72" t="s">
        <v>30</v>
      </c>
      <c r="H868" s="72" t="s">
        <v>30</v>
      </c>
      <c r="I868" s="31"/>
    </row>
    <row r="869">
      <c r="B869" s="72" t="s">
        <v>30</v>
      </c>
      <c r="C869" s="73" t="s">
        <v>30</v>
      </c>
      <c r="D869" s="72" t="s">
        <v>30</v>
      </c>
      <c r="E869" s="72" t="s">
        <v>30</v>
      </c>
      <c r="G869" s="72" t="s">
        <v>30</v>
      </c>
      <c r="H869" s="72" t="s">
        <v>30</v>
      </c>
      <c r="I869" s="31"/>
    </row>
    <row r="870">
      <c r="B870" s="72" t="s">
        <v>30</v>
      </c>
      <c r="C870" s="73" t="s">
        <v>30</v>
      </c>
      <c r="D870" s="72" t="s">
        <v>30</v>
      </c>
      <c r="E870" s="72" t="s">
        <v>30</v>
      </c>
      <c r="G870" s="72" t="s">
        <v>30</v>
      </c>
      <c r="H870" s="72" t="s">
        <v>30</v>
      </c>
      <c r="I870" s="31"/>
    </row>
    <row r="871">
      <c r="B871" s="72" t="s">
        <v>30</v>
      </c>
      <c r="C871" s="73" t="s">
        <v>30</v>
      </c>
      <c r="D871" s="72" t="s">
        <v>30</v>
      </c>
      <c r="E871" s="72" t="s">
        <v>30</v>
      </c>
      <c r="G871" s="72" t="s">
        <v>30</v>
      </c>
      <c r="H871" s="72" t="s">
        <v>30</v>
      </c>
      <c r="I871" s="31"/>
    </row>
    <row r="872">
      <c r="B872" s="72" t="s">
        <v>30</v>
      </c>
      <c r="C872" s="73" t="s">
        <v>30</v>
      </c>
      <c r="D872" s="72" t="s">
        <v>30</v>
      </c>
      <c r="E872" s="72" t="s">
        <v>30</v>
      </c>
      <c r="G872" s="72" t="s">
        <v>30</v>
      </c>
      <c r="H872" s="72" t="s">
        <v>30</v>
      </c>
      <c r="I872" s="31"/>
    </row>
    <row r="873">
      <c r="B873" s="72" t="s">
        <v>30</v>
      </c>
      <c r="C873" s="73" t="s">
        <v>30</v>
      </c>
      <c r="D873" s="72" t="s">
        <v>30</v>
      </c>
      <c r="E873" s="72" t="s">
        <v>30</v>
      </c>
      <c r="G873" s="72" t="s">
        <v>30</v>
      </c>
      <c r="H873" s="72" t="s">
        <v>30</v>
      </c>
      <c r="I873" s="31"/>
    </row>
    <row r="874">
      <c r="B874" s="72" t="s">
        <v>30</v>
      </c>
      <c r="C874" s="73" t="s">
        <v>30</v>
      </c>
      <c r="D874" s="72" t="s">
        <v>30</v>
      </c>
      <c r="E874" s="72" t="s">
        <v>30</v>
      </c>
      <c r="G874" s="72" t="s">
        <v>30</v>
      </c>
      <c r="H874" s="72" t="s">
        <v>30</v>
      </c>
      <c r="I874" s="31"/>
    </row>
    <row r="875">
      <c r="B875" s="72" t="s">
        <v>30</v>
      </c>
      <c r="C875" s="73" t="s">
        <v>30</v>
      </c>
      <c r="D875" s="72" t="s">
        <v>30</v>
      </c>
      <c r="E875" s="72" t="s">
        <v>30</v>
      </c>
      <c r="G875" s="72" t="s">
        <v>30</v>
      </c>
      <c r="H875" s="72" t="s">
        <v>30</v>
      </c>
      <c r="I875" s="31"/>
    </row>
    <row r="876">
      <c r="B876" s="72" t="s">
        <v>30</v>
      </c>
      <c r="C876" s="73" t="s">
        <v>30</v>
      </c>
      <c r="D876" s="72" t="s">
        <v>30</v>
      </c>
      <c r="E876" s="72" t="s">
        <v>30</v>
      </c>
      <c r="G876" s="72" t="s">
        <v>30</v>
      </c>
      <c r="H876" s="72" t="s">
        <v>30</v>
      </c>
      <c r="I876" s="31"/>
    </row>
    <row r="877">
      <c r="B877" s="72" t="s">
        <v>30</v>
      </c>
      <c r="C877" s="73" t="s">
        <v>30</v>
      </c>
      <c r="D877" s="72" t="s">
        <v>30</v>
      </c>
      <c r="E877" s="72" t="s">
        <v>30</v>
      </c>
      <c r="G877" s="72" t="s">
        <v>30</v>
      </c>
      <c r="H877" s="72" t="s">
        <v>30</v>
      </c>
      <c r="I877" s="31"/>
    </row>
    <row r="878">
      <c r="B878" s="72" t="s">
        <v>30</v>
      </c>
      <c r="C878" s="73" t="s">
        <v>30</v>
      </c>
      <c r="D878" s="72" t="s">
        <v>30</v>
      </c>
      <c r="E878" s="72" t="s">
        <v>30</v>
      </c>
      <c r="G878" s="72" t="s">
        <v>30</v>
      </c>
      <c r="H878" s="72" t="s">
        <v>30</v>
      </c>
      <c r="I878" s="31"/>
    </row>
    <row r="879">
      <c r="B879" s="72" t="s">
        <v>30</v>
      </c>
      <c r="C879" s="73" t="s">
        <v>30</v>
      </c>
      <c r="D879" s="72" t="s">
        <v>30</v>
      </c>
      <c r="E879" s="72" t="s">
        <v>30</v>
      </c>
      <c r="G879" s="72" t="s">
        <v>30</v>
      </c>
      <c r="H879" s="72" t="s">
        <v>30</v>
      </c>
      <c r="I879" s="31"/>
    </row>
    <row r="880">
      <c r="B880" s="72" t="s">
        <v>30</v>
      </c>
      <c r="C880" s="73" t="s">
        <v>30</v>
      </c>
      <c r="D880" s="72" t="s">
        <v>30</v>
      </c>
      <c r="E880" s="72" t="s">
        <v>30</v>
      </c>
      <c r="G880" s="72" t="s">
        <v>30</v>
      </c>
      <c r="H880" s="72" t="s">
        <v>30</v>
      </c>
      <c r="I880" s="31"/>
    </row>
    <row r="881">
      <c r="B881" s="72" t="s">
        <v>30</v>
      </c>
      <c r="C881" s="73" t="s">
        <v>30</v>
      </c>
      <c r="D881" s="72" t="s">
        <v>30</v>
      </c>
      <c r="E881" s="72" t="s">
        <v>30</v>
      </c>
      <c r="G881" s="72" t="s">
        <v>30</v>
      </c>
      <c r="H881" s="72" t="s">
        <v>30</v>
      </c>
      <c r="I881" s="31"/>
    </row>
    <row r="882">
      <c r="B882" s="72" t="s">
        <v>30</v>
      </c>
      <c r="C882" s="73" t="s">
        <v>30</v>
      </c>
      <c r="D882" s="72" t="s">
        <v>30</v>
      </c>
      <c r="E882" s="72" t="s">
        <v>30</v>
      </c>
      <c r="G882" s="72" t="s">
        <v>30</v>
      </c>
      <c r="H882" s="72" t="s">
        <v>30</v>
      </c>
      <c r="I882" s="31"/>
    </row>
    <row r="883">
      <c r="B883" s="72" t="s">
        <v>30</v>
      </c>
      <c r="C883" s="73" t="s">
        <v>30</v>
      </c>
      <c r="D883" s="72" t="s">
        <v>30</v>
      </c>
      <c r="E883" s="72" t="s">
        <v>30</v>
      </c>
      <c r="G883" s="72" t="s">
        <v>30</v>
      </c>
      <c r="H883" s="72" t="s">
        <v>30</v>
      </c>
      <c r="I883" s="31"/>
    </row>
    <row r="884">
      <c r="B884" s="72" t="s">
        <v>30</v>
      </c>
      <c r="C884" s="73" t="s">
        <v>30</v>
      </c>
      <c r="D884" s="72" t="s">
        <v>30</v>
      </c>
      <c r="E884" s="72" t="s">
        <v>30</v>
      </c>
      <c r="G884" s="72" t="s">
        <v>30</v>
      </c>
      <c r="H884" s="72" t="s">
        <v>30</v>
      </c>
      <c r="I884" s="31"/>
    </row>
    <row r="885">
      <c r="B885" s="72" t="s">
        <v>30</v>
      </c>
      <c r="C885" s="73" t="s">
        <v>30</v>
      </c>
      <c r="D885" s="72" t="s">
        <v>30</v>
      </c>
      <c r="E885" s="72" t="s">
        <v>30</v>
      </c>
      <c r="G885" s="72" t="s">
        <v>30</v>
      </c>
      <c r="H885" s="72" t="s">
        <v>30</v>
      </c>
      <c r="I885" s="31"/>
    </row>
    <row r="886">
      <c r="B886" s="72" t="s">
        <v>30</v>
      </c>
      <c r="C886" s="73" t="s">
        <v>30</v>
      </c>
      <c r="D886" s="72" t="s">
        <v>30</v>
      </c>
      <c r="E886" s="72" t="s">
        <v>30</v>
      </c>
      <c r="G886" s="72" t="s">
        <v>30</v>
      </c>
      <c r="H886" s="72" t="s">
        <v>30</v>
      </c>
      <c r="I886" s="31"/>
    </row>
    <row r="887">
      <c r="B887" s="72" t="s">
        <v>30</v>
      </c>
      <c r="C887" s="73" t="s">
        <v>30</v>
      </c>
      <c r="D887" s="72" t="s">
        <v>30</v>
      </c>
      <c r="E887" s="72" t="s">
        <v>30</v>
      </c>
      <c r="G887" s="72" t="s">
        <v>30</v>
      </c>
      <c r="H887" s="72" t="s">
        <v>30</v>
      </c>
      <c r="I887" s="31"/>
    </row>
    <row r="888">
      <c r="B888" s="72" t="s">
        <v>30</v>
      </c>
      <c r="C888" s="73" t="s">
        <v>30</v>
      </c>
      <c r="D888" s="72" t="s">
        <v>30</v>
      </c>
      <c r="E888" s="72" t="s">
        <v>30</v>
      </c>
      <c r="G888" s="72" t="s">
        <v>30</v>
      </c>
      <c r="H888" s="72" t="s">
        <v>30</v>
      </c>
      <c r="I888" s="31"/>
    </row>
    <row r="889">
      <c r="B889" s="72" t="s">
        <v>30</v>
      </c>
      <c r="C889" s="73" t="s">
        <v>30</v>
      </c>
      <c r="D889" s="72" t="s">
        <v>30</v>
      </c>
      <c r="E889" s="72" t="s">
        <v>30</v>
      </c>
      <c r="G889" s="72" t="s">
        <v>30</v>
      </c>
      <c r="H889" s="72" t="s">
        <v>30</v>
      </c>
      <c r="I889" s="31"/>
    </row>
    <row r="890">
      <c r="B890" s="72" t="s">
        <v>30</v>
      </c>
      <c r="C890" s="73" t="s">
        <v>30</v>
      </c>
      <c r="D890" s="72" t="s">
        <v>30</v>
      </c>
      <c r="E890" s="72" t="s">
        <v>30</v>
      </c>
      <c r="G890" s="72" t="s">
        <v>30</v>
      </c>
      <c r="H890" s="72" t="s">
        <v>30</v>
      </c>
      <c r="I890" s="31"/>
    </row>
    <row r="891">
      <c r="B891" s="72" t="s">
        <v>30</v>
      </c>
      <c r="C891" s="73" t="s">
        <v>30</v>
      </c>
      <c r="D891" s="72" t="s">
        <v>30</v>
      </c>
      <c r="E891" s="72" t="s">
        <v>30</v>
      </c>
      <c r="G891" s="72" t="s">
        <v>30</v>
      </c>
      <c r="H891" s="72" t="s">
        <v>30</v>
      </c>
      <c r="I891" s="31"/>
    </row>
    <row r="892">
      <c r="B892" s="72" t="s">
        <v>30</v>
      </c>
      <c r="C892" s="73" t="s">
        <v>30</v>
      </c>
      <c r="D892" s="72" t="s">
        <v>30</v>
      </c>
      <c r="E892" s="72" t="s">
        <v>30</v>
      </c>
      <c r="G892" s="72" t="s">
        <v>30</v>
      </c>
      <c r="H892" s="72" t="s">
        <v>30</v>
      </c>
      <c r="I892" s="31"/>
    </row>
    <row r="893">
      <c r="B893" s="72" t="s">
        <v>30</v>
      </c>
      <c r="C893" s="73" t="s">
        <v>30</v>
      </c>
      <c r="D893" s="72" t="s">
        <v>30</v>
      </c>
      <c r="E893" s="72" t="s">
        <v>30</v>
      </c>
      <c r="G893" s="72" t="s">
        <v>30</v>
      </c>
      <c r="H893" s="72" t="s">
        <v>30</v>
      </c>
      <c r="I893" s="31"/>
    </row>
    <row r="894">
      <c r="B894" s="72" t="s">
        <v>30</v>
      </c>
      <c r="C894" s="73" t="s">
        <v>30</v>
      </c>
      <c r="D894" s="72" t="s">
        <v>30</v>
      </c>
      <c r="E894" s="72" t="s">
        <v>30</v>
      </c>
      <c r="G894" s="72" t="s">
        <v>30</v>
      </c>
      <c r="H894" s="72" t="s">
        <v>30</v>
      </c>
      <c r="I894" s="31"/>
    </row>
    <row r="895">
      <c r="B895" s="72" t="s">
        <v>30</v>
      </c>
      <c r="C895" s="73" t="s">
        <v>30</v>
      </c>
      <c r="D895" s="72" t="s">
        <v>30</v>
      </c>
      <c r="E895" s="72" t="s">
        <v>30</v>
      </c>
      <c r="G895" s="72" t="s">
        <v>30</v>
      </c>
      <c r="H895" s="72" t="s">
        <v>30</v>
      </c>
      <c r="I895" s="31"/>
    </row>
    <row r="896">
      <c r="B896" s="72" t="s">
        <v>30</v>
      </c>
      <c r="C896" s="73" t="s">
        <v>30</v>
      </c>
      <c r="D896" s="72" t="s">
        <v>30</v>
      </c>
      <c r="E896" s="72" t="s">
        <v>30</v>
      </c>
      <c r="G896" s="72" t="s">
        <v>30</v>
      </c>
      <c r="H896" s="72" t="s">
        <v>30</v>
      </c>
      <c r="I896" s="31"/>
    </row>
    <row r="897">
      <c r="B897" s="72" t="s">
        <v>30</v>
      </c>
      <c r="C897" s="73" t="s">
        <v>30</v>
      </c>
      <c r="D897" s="72" t="s">
        <v>30</v>
      </c>
      <c r="E897" s="72" t="s">
        <v>30</v>
      </c>
      <c r="G897" s="72" t="s">
        <v>30</v>
      </c>
      <c r="H897" s="72" t="s">
        <v>30</v>
      </c>
      <c r="I897" s="31"/>
    </row>
    <row r="898">
      <c r="B898" s="72" t="s">
        <v>30</v>
      </c>
      <c r="C898" s="73" t="s">
        <v>30</v>
      </c>
      <c r="D898" s="72" t="s">
        <v>30</v>
      </c>
      <c r="E898" s="72" t="s">
        <v>30</v>
      </c>
      <c r="G898" s="72" t="s">
        <v>30</v>
      </c>
      <c r="H898" s="72" t="s">
        <v>30</v>
      </c>
      <c r="I898" s="31"/>
    </row>
    <row r="899">
      <c r="B899" s="72" t="s">
        <v>30</v>
      </c>
      <c r="C899" s="73" t="s">
        <v>30</v>
      </c>
      <c r="D899" s="72" t="s">
        <v>30</v>
      </c>
      <c r="E899" s="72" t="s">
        <v>30</v>
      </c>
      <c r="G899" s="72" t="s">
        <v>30</v>
      </c>
      <c r="H899" s="72" t="s">
        <v>30</v>
      </c>
      <c r="I899" s="31"/>
    </row>
    <row r="900">
      <c r="B900" s="72" t="s">
        <v>30</v>
      </c>
      <c r="C900" s="73" t="s">
        <v>30</v>
      </c>
      <c r="D900" s="72" t="s">
        <v>30</v>
      </c>
      <c r="E900" s="72" t="s">
        <v>30</v>
      </c>
      <c r="G900" s="72" t="s">
        <v>30</v>
      </c>
      <c r="H900" s="72" t="s">
        <v>30</v>
      </c>
      <c r="I900" s="31"/>
    </row>
    <row r="901">
      <c r="B901" s="72" t="s">
        <v>30</v>
      </c>
      <c r="C901" s="73" t="s">
        <v>30</v>
      </c>
      <c r="D901" s="72" t="s">
        <v>30</v>
      </c>
      <c r="E901" s="72" t="s">
        <v>30</v>
      </c>
      <c r="G901" s="72" t="s">
        <v>30</v>
      </c>
      <c r="H901" s="72" t="s">
        <v>30</v>
      </c>
      <c r="I901" s="31"/>
    </row>
    <row r="902">
      <c r="B902" s="72" t="s">
        <v>30</v>
      </c>
      <c r="C902" s="73" t="s">
        <v>30</v>
      </c>
      <c r="D902" s="72" t="s">
        <v>30</v>
      </c>
      <c r="E902" s="72" t="s">
        <v>30</v>
      </c>
      <c r="G902" s="72" t="s">
        <v>30</v>
      </c>
      <c r="H902" s="72" t="s">
        <v>30</v>
      </c>
      <c r="I902" s="31"/>
    </row>
    <row r="903">
      <c r="B903" s="72" t="s">
        <v>30</v>
      </c>
      <c r="C903" s="73" t="s">
        <v>30</v>
      </c>
      <c r="D903" s="72" t="s">
        <v>30</v>
      </c>
      <c r="E903" s="72" t="s">
        <v>30</v>
      </c>
      <c r="G903" s="72" t="s">
        <v>30</v>
      </c>
      <c r="H903" s="72" t="s">
        <v>30</v>
      </c>
      <c r="I903" s="31"/>
    </row>
    <row r="904">
      <c r="B904" s="72" t="s">
        <v>30</v>
      </c>
      <c r="C904" s="73" t="s">
        <v>30</v>
      </c>
      <c r="D904" s="72" t="s">
        <v>30</v>
      </c>
      <c r="E904" s="72" t="s">
        <v>30</v>
      </c>
      <c r="G904" s="72" t="s">
        <v>30</v>
      </c>
      <c r="H904" s="72" t="s">
        <v>30</v>
      </c>
      <c r="I904" s="31"/>
    </row>
    <row r="905">
      <c r="B905" s="72" t="s">
        <v>30</v>
      </c>
      <c r="C905" s="73" t="s">
        <v>30</v>
      </c>
      <c r="D905" s="72" t="s">
        <v>30</v>
      </c>
      <c r="E905" s="72" t="s">
        <v>30</v>
      </c>
      <c r="G905" s="72" t="s">
        <v>30</v>
      </c>
      <c r="H905" s="72" t="s">
        <v>30</v>
      </c>
      <c r="I905" s="31"/>
    </row>
    <row r="906">
      <c r="B906" s="72" t="s">
        <v>30</v>
      </c>
      <c r="C906" s="73" t="s">
        <v>30</v>
      </c>
      <c r="D906" s="72" t="s">
        <v>30</v>
      </c>
      <c r="E906" s="72" t="s">
        <v>30</v>
      </c>
      <c r="G906" s="72" t="s">
        <v>30</v>
      </c>
      <c r="H906" s="72" t="s">
        <v>30</v>
      </c>
      <c r="I906" s="31"/>
    </row>
    <row r="907">
      <c r="B907" s="72" t="s">
        <v>30</v>
      </c>
      <c r="C907" s="73" t="s">
        <v>30</v>
      </c>
      <c r="D907" s="72" t="s">
        <v>30</v>
      </c>
      <c r="E907" s="72" t="s">
        <v>30</v>
      </c>
      <c r="G907" s="72" t="s">
        <v>30</v>
      </c>
      <c r="H907" s="72" t="s">
        <v>30</v>
      </c>
      <c r="I907" s="31"/>
    </row>
    <row r="908">
      <c r="B908" s="72" t="s">
        <v>30</v>
      </c>
      <c r="C908" s="73" t="s">
        <v>30</v>
      </c>
      <c r="D908" s="72" t="s">
        <v>30</v>
      </c>
      <c r="E908" s="72" t="s">
        <v>30</v>
      </c>
      <c r="G908" s="72" t="s">
        <v>30</v>
      </c>
      <c r="H908" s="72" t="s">
        <v>30</v>
      </c>
      <c r="I908" s="31"/>
    </row>
    <row r="909">
      <c r="B909" s="72" t="s">
        <v>30</v>
      </c>
      <c r="C909" s="73" t="s">
        <v>30</v>
      </c>
      <c r="D909" s="72" t="s">
        <v>30</v>
      </c>
      <c r="E909" s="72" t="s">
        <v>30</v>
      </c>
      <c r="G909" s="72" t="s">
        <v>30</v>
      </c>
      <c r="H909" s="72" t="s">
        <v>30</v>
      </c>
      <c r="I909" s="31"/>
    </row>
    <row r="910">
      <c r="B910" s="72" t="s">
        <v>30</v>
      </c>
      <c r="C910" s="73" t="s">
        <v>30</v>
      </c>
      <c r="D910" s="72" t="s">
        <v>30</v>
      </c>
      <c r="E910" s="72" t="s">
        <v>30</v>
      </c>
      <c r="G910" s="72" t="s">
        <v>30</v>
      </c>
      <c r="H910" s="72" t="s">
        <v>30</v>
      </c>
      <c r="I910" s="31"/>
    </row>
    <row r="911">
      <c r="B911" s="72" t="s">
        <v>30</v>
      </c>
      <c r="C911" s="73" t="s">
        <v>30</v>
      </c>
      <c r="D911" s="72" t="s">
        <v>30</v>
      </c>
      <c r="E911" s="72" t="s">
        <v>30</v>
      </c>
      <c r="G911" s="72" t="s">
        <v>30</v>
      </c>
      <c r="H911" s="72" t="s">
        <v>30</v>
      </c>
      <c r="I911" s="31"/>
    </row>
    <row r="912">
      <c r="B912" s="72" t="s">
        <v>30</v>
      </c>
      <c r="C912" s="73" t="s">
        <v>30</v>
      </c>
      <c r="D912" s="72" t="s">
        <v>30</v>
      </c>
      <c r="E912" s="72" t="s">
        <v>30</v>
      </c>
      <c r="G912" s="72" t="s">
        <v>30</v>
      </c>
      <c r="H912" s="72" t="s">
        <v>30</v>
      </c>
      <c r="I912" s="31"/>
    </row>
    <row r="913">
      <c r="B913" s="72" t="s">
        <v>30</v>
      </c>
      <c r="C913" s="73" t="s">
        <v>30</v>
      </c>
      <c r="D913" s="72" t="s">
        <v>30</v>
      </c>
      <c r="E913" s="72" t="s">
        <v>30</v>
      </c>
      <c r="G913" s="72" t="s">
        <v>30</v>
      </c>
      <c r="H913" s="72" t="s">
        <v>30</v>
      </c>
      <c r="I913" s="31"/>
    </row>
    <row r="914">
      <c r="B914" s="72" t="s">
        <v>30</v>
      </c>
      <c r="C914" s="73" t="s">
        <v>30</v>
      </c>
      <c r="D914" s="72" t="s">
        <v>30</v>
      </c>
      <c r="E914" s="72" t="s">
        <v>30</v>
      </c>
      <c r="G914" s="72" t="s">
        <v>30</v>
      </c>
      <c r="H914" s="72" t="s">
        <v>30</v>
      </c>
      <c r="I914" s="31"/>
    </row>
    <row r="915">
      <c r="B915" s="72" t="s">
        <v>30</v>
      </c>
      <c r="C915" s="73" t="s">
        <v>30</v>
      </c>
      <c r="D915" s="72" t="s">
        <v>30</v>
      </c>
      <c r="E915" s="72" t="s">
        <v>30</v>
      </c>
      <c r="G915" s="72" t="s">
        <v>30</v>
      </c>
      <c r="H915" s="72" t="s">
        <v>30</v>
      </c>
      <c r="I915" s="31"/>
    </row>
    <row r="916">
      <c r="B916" s="72" t="s">
        <v>30</v>
      </c>
      <c r="C916" s="73" t="s">
        <v>30</v>
      </c>
      <c r="D916" s="72" t="s">
        <v>30</v>
      </c>
      <c r="E916" s="72" t="s">
        <v>30</v>
      </c>
      <c r="G916" s="72" t="s">
        <v>30</v>
      </c>
      <c r="H916" s="72" t="s">
        <v>30</v>
      </c>
      <c r="I916" s="31"/>
    </row>
    <row r="917">
      <c r="B917" s="72" t="s">
        <v>30</v>
      </c>
      <c r="C917" s="73" t="s">
        <v>30</v>
      </c>
      <c r="D917" s="72" t="s">
        <v>30</v>
      </c>
      <c r="E917" s="72" t="s">
        <v>30</v>
      </c>
      <c r="G917" s="72" t="s">
        <v>30</v>
      </c>
      <c r="H917" s="72" t="s">
        <v>30</v>
      </c>
      <c r="I917" s="31"/>
    </row>
    <row r="918">
      <c r="B918" s="72" t="s">
        <v>30</v>
      </c>
      <c r="C918" s="73" t="s">
        <v>30</v>
      </c>
      <c r="D918" s="72" t="s">
        <v>30</v>
      </c>
      <c r="E918" s="72" t="s">
        <v>30</v>
      </c>
      <c r="G918" s="72" t="s">
        <v>30</v>
      </c>
      <c r="H918" s="72" t="s">
        <v>30</v>
      </c>
      <c r="I918" s="31"/>
    </row>
    <row r="919">
      <c r="B919" s="72" t="s">
        <v>30</v>
      </c>
      <c r="C919" s="73" t="s">
        <v>30</v>
      </c>
      <c r="D919" s="72" t="s">
        <v>30</v>
      </c>
      <c r="E919" s="72" t="s">
        <v>30</v>
      </c>
      <c r="G919" s="72" t="s">
        <v>30</v>
      </c>
      <c r="H919" s="72" t="s">
        <v>30</v>
      </c>
      <c r="I919" s="31"/>
    </row>
    <row r="920">
      <c r="B920" s="72" t="s">
        <v>30</v>
      </c>
      <c r="C920" s="73" t="s">
        <v>30</v>
      </c>
      <c r="D920" s="72" t="s">
        <v>30</v>
      </c>
      <c r="E920" s="72" t="s">
        <v>30</v>
      </c>
      <c r="G920" s="72" t="s">
        <v>30</v>
      </c>
      <c r="H920" s="72" t="s">
        <v>30</v>
      </c>
      <c r="I920" s="31"/>
    </row>
    <row r="921">
      <c r="B921" s="72" t="s">
        <v>30</v>
      </c>
      <c r="C921" s="73" t="s">
        <v>30</v>
      </c>
      <c r="D921" s="72" t="s">
        <v>30</v>
      </c>
      <c r="E921" s="72" t="s">
        <v>30</v>
      </c>
      <c r="G921" s="72" t="s">
        <v>30</v>
      </c>
      <c r="H921" s="72" t="s">
        <v>30</v>
      </c>
      <c r="I921" s="31"/>
    </row>
    <row r="922">
      <c r="B922" s="72" t="s">
        <v>30</v>
      </c>
      <c r="C922" s="73" t="s">
        <v>30</v>
      </c>
      <c r="D922" s="72" t="s">
        <v>30</v>
      </c>
      <c r="E922" s="72" t="s">
        <v>30</v>
      </c>
      <c r="G922" s="72" t="s">
        <v>30</v>
      </c>
      <c r="H922" s="72" t="s">
        <v>30</v>
      </c>
      <c r="I922" s="31"/>
    </row>
    <row r="923">
      <c r="B923" s="72" t="s">
        <v>30</v>
      </c>
      <c r="C923" s="73" t="s">
        <v>30</v>
      </c>
      <c r="D923" s="72" t="s">
        <v>30</v>
      </c>
      <c r="E923" s="72" t="s">
        <v>30</v>
      </c>
      <c r="G923" s="72" t="s">
        <v>30</v>
      </c>
      <c r="H923" s="72" t="s">
        <v>30</v>
      </c>
      <c r="I923" s="31"/>
    </row>
    <row r="924">
      <c r="B924" s="72" t="s">
        <v>30</v>
      </c>
      <c r="C924" s="73" t="s">
        <v>30</v>
      </c>
      <c r="D924" s="72" t="s">
        <v>30</v>
      </c>
      <c r="E924" s="72" t="s">
        <v>30</v>
      </c>
      <c r="G924" s="72" t="s">
        <v>30</v>
      </c>
      <c r="H924" s="72" t="s">
        <v>30</v>
      </c>
      <c r="I924" s="31"/>
    </row>
    <row r="925">
      <c r="B925" s="72" t="s">
        <v>30</v>
      </c>
      <c r="C925" s="73" t="s">
        <v>30</v>
      </c>
      <c r="D925" s="72" t="s">
        <v>30</v>
      </c>
      <c r="E925" s="72" t="s">
        <v>30</v>
      </c>
      <c r="G925" s="72" t="s">
        <v>30</v>
      </c>
      <c r="H925" s="72" t="s">
        <v>30</v>
      </c>
      <c r="I925" s="31"/>
    </row>
    <row r="926">
      <c r="B926" s="72" t="s">
        <v>30</v>
      </c>
      <c r="C926" s="73" t="s">
        <v>30</v>
      </c>
      <c r="D926" s="72" t="s">
        <v>30</v>
      </c>
      <c r="E926" s="72" t="s">
        <v>30</v>
      </c>
      <c r="G926" s="72" t="s">
        <v>30</v>
      </c>
      <c r="H926" s="72" t="s">
        <v>30</v>
      </c>
      <c r="I926" s="31"/>
    </row>
    <row r="927">
      <c r="B927" s="72" t="s">
        <v>30</v>
      </c>
      <c r="C927" s="73" t="s">
        <v>30</v>
      </c>
      <c r="D927" s="72" t="s">
        <v>30</v>
      </c>
      <c r="E927" s="72" t="s">
        <v>30</v>
      </c>
      <c r="G927" s="72" t="s">
        <v>30</v>
      </c>
      <c r="H927" s="72" t="s">
        <v>30</v>
      </c>
      <c r="I927" s="31"/>
    </row>
    <row r="928">
      <c r="B928" s="72" t="s">
        <v>30</v>
      </c>
      <c r="C928" s="73" t="s">
        <v>30</v>
      </c>
      <c r="D928" s="72" t="s">
        <v>30</v>
      </c>
      <c r="E928" s="72" t="s">
        <v>30</v>
      </c>
      <c r="G928" s="72" t="s">
        <v>30</v>
      </c>
      <c r="H928" s="72" t="s">
        <v>30</v>
      </c>
      <c r="I928" s="31"/>
    </row>
    <row r="929">
      <c r="B929" s="72" t="s">
        <v>30</v>
      </c>
      <c r="C929" s="73" t="s">
        <v>30</v>
      </c>
      <c r="D929" s="72" t="s">
        <v>30</v>
      </c>
      <c r="E929" s="72" t="s">
        <v>30</v>
      </c>
      <c r="G929" s="72" t="s">
        <v>30</v>
      </c>
      <c r="H929" s="72" t="s">
        <v>30</v>
      </c>
      <c r="I929" s="31"/>
    </row>
    <row r="930">
      <c r="B930" s="72" t="s">
        <v>30</v>
      </c>
      <c r="C930" s="73" t="s">
        <v>30</v>
      </c>
      <c r="D930" s="72" t="s">
        <v>30</v>
      </c>
      <c r="E930" s="72" t="s">
        <v>30</v>
      </c>
      <c r="G930" s="72" t="s">
        <v>30</v>
      </c>
      <c r="H930" s="72" t="s">
        <v>30</v>
      </c>
      <c r="I930" s="31"/>
    </row>
    <row r="931">
      <c r="B931" s="72" t="s">
        <v>30</v>
      </c>
      <c r="C931" s="73" t="s">
        <v>30</v>
      </c>
      <c r="D931" s="72" t="s">
        <v>30</v>
      </c>
      <c r="E931" s="72" t="s">
        <v>30</v>
      </c>
      <c r="G931" s="72" t="s">
        <v>30</v>
      </c>
      <c r="H931" s="72" t="s">
        <v>30</v>
      </c>
      <c r="I931" s="31"/>
    </row>
    <row r="932">
      <c r="B932" s="72" t="s">
        <v>30</v>
      </c>
      <c r="C932" s="73" t="s">
        <v>30</v>
      </c>
      <c r="D932" s="72" t="s">
        <v>30</v>
      </c>
      <c r="E932" s="72" t="s">
        <v>30</v>
      </c>
      <c r="G932" s="72" t="s">
        <v>30</v>
      </c>
      <c r="H932" s="72" t="s">
        <v>30</v>
      </c>
      <c r="I932" s="31"/>
    </row>
    <row r="933">
      <c r="B933" s="72" t="s">
        <v>30</v>
      </c>
      <c r="C933" s="73" t="s">
        <v>30</v>
      </c>
      <c r="D933" s="72" t="s">
        <v>30</v>
      </c>
      <c r="E933" s="72" t="s">
        <v>30</v>
      </c>
      <c r="G933" s="72" t="s">
        <v>30</v>
      </c>
      <c r="H933" s="72" t="s">
        <v>30</v>
      </c>
      <c r="I933" s="31"/>
    </row>
    <row r="934">
      <c r="B934" s="72" t="s">
        <v>30</v>
      </c>
      <c r="C934" s="73" t="s">
        <v>30</v>
      </c>
      <c r="D934" s="72" t="s">
        <v>30</v>
      </c>
      <c r="E934" s="72" t="s">
        <v>30</v>
      </c>
      <c r="G934" s="72" t="s">
        <v>30</v>
      </c>
      <c r="H934" s="72" t="s">
        <v>30</v>
      </c>
      <c r="I934" s="31"/>
    </row>
    <row r="935">
      <c r="B935" s="72" t="s">
        <v>30</v>
      </c>
      <c r="C935" s="73" t="s">
        <v>30</v>
      </c>
      <c r="D935" s="72" t="s">
        <v>30</v>
      </c>
      <c r="E935" s="72" t="s">
        <v>30</v>
      </c>
      <c r="G935" s="72" t="s">
        <v>30</v>
      </c>
      <c r="H935" s="72" t="s">
        <v>30</v>
      </c>
      <c r="I935" s="31"/>
    </row>
    <row r="936">
      <c r="B936" s="72" t="s">
        <v>30</v>
      </c>
      <c r="C936" s="73" t="s">
        <v>30</v>
      </c>
      <c r="D936" s="72" t="s">
        <v>30</v>
      </c>
      <c r="E936" s="72" t="s">
        <v>30</v>
      </c>
      <c r="G936" s="72" t="s">
        <v>30</v>
      </c>
      <c r="H936" s="72" t="s">
        <v>30</v>
      </c>
      <c r="I936" s="31"/>
    </row>
    <row r="937">
      <c r="B937" s="72" t="s">
        <v>30</v>
      </c>
      <c r="C937" s="73" t="s">
        <v>30</v>
      </c>
      <c r="D937" s="72" t="s">
        <v>30</v>
      </c>
      <c r="E937" s="72" t="s">
        <v>30</v>
      </c>
      <c r="G937" s="72" t="s">
        <v>30</v>
      </c>
      <c r="H937" s="72" t="s">
        <v>30</v>
      </c>
      <c r="I937" s="31"/>
    </row>
    <row r="938">
      <c r="B938" s="72" t="s">
        <v>30</v>
      </c>
      <c r="C938" s="73" t="s">
        <v>30</v>
      </c>
      <c r="D938" s="72" t="s">
        <v>30</v>
      </c>
      <c r="E938" s="72" t="s">
        <v>30</v>
      </c>
      <c r="G938" s="72" t="s">
        <v>30</v>
      </c>
      <c r="H938" s="72" t="s">
        <v>30</v>
      </c>
      <c r="I938" s="31"/>
    </row>
    <row r="939">
      <c r="B939" s="72" t="s">
        <v>30</v>
      </c>
      <c r="C939" s="73" t="s">
        <v>30</v>
      </c>
      <c r="D939" s="72" t="s">
        <v>30</v>
      </c>
      <c r="E939" s="72" t="s">
        <v>30</v>
      </c>
      <c r="G939" s="72" t="s">
        <v>30</v>
      </c>
      <c r="H939" s="72" t="s">
        <v>30</v>
      </c>
      <c r="I939" s="31"/>
    </row>
    <row r="940">
      <c r="B940" s="72" t="s">
        <v>30</v>
      </c>
      <c r="C940" s="73" t="s">
        <v>30</v>
      </c>
      <c r="D940" s="72" t="s">
        <v>30</v>
      </c>
      <c r="E940" s="72" t="s">
        <v>30</v>
      </c>
      <c r="G940" s="72" t="s">
        <v>30</v>
      </c>
      <c r="H940" s="72" t="s">
        <v>30</v>
      </c>
      <c r="I940" s="31"/>
    </row>
    <row r="941">
      <c r="B941" s="72" t="s">
        <v>30</v>
      </c>
      <c r="C941" s="73" t="s">
        <v>30</v>
      </c>
      <c r="D941" s="72" t="s">
        <v>30</v>
      </c>
      <c r="E941" s="72" t="s">
        <v>30</v>
      </c>
      <c r="G941" s="72" t="s">
        <v>30</v>
      </c>
      <c r="H941" s="72" t="s">
        <v>30</v>
      </c>
      <c r="I941" s="31"/>
    </row>
    <row r="942">
      <c r="B942" s="72" t="s">
        <v>30</v>
      </c>
      <c r="C942" s="73" t="s">
        <v>30</v>
      </c>
      <c r="D942" s="72" t="s">
        <v>30</v>
      </c>
      <c r="E942" s="72" t="s">
        <v>30</v>
      </c>
      <c r="G942" s="72" t="s">
        <v>30</v>
      </c>
      <c r="H942" s="72" t="s">
        <v>30</v>
      </c>
      <c r="I942" s="31"/>
    </row>
    <row r="943">
      <c r="B943" s="72" t="s">
        <v>30</v>
      </c>
      <c r="C943" s="73" t="s">
        <v>30</v>
      </c>
      <c r="D943" s="72" t="s">
        <v>30</v>
      </c>
      <c r="E943" s="72" t="s">
        <v>30</v>
      </c>
      <c r="G943" s="72" t="s">
        <v>30</v>
      </c>
      <c r="H943" s="72" t="s">
        <v>30</v>
      </c>
      <c r="I943" s="31"/>
    </row>
    <row r="944">
      <c r="B944" s="72" t="s">
        <v>30</v>
      </c>
      <c r="C944" s="73" t="s">
        <v>30</v>
      </c>
      <c r="D944" s="72" t="s">
        <v>30</v>
      </c>
      <c r="E944" s="72" t="s">
        <v>30</v>
      </c>
      <c r="G944" s="72" t="s">
        <v>30</v>
      </c>
      <c r="H944" s="72" t="s">
        <v>30</v>
      </c>
      <c r="I944" s="31"/>
    </row>
    <row r="945">
      <c r="B945" s="72" t="s">
        <v>30</v>
      </c>
      <c r="C945" s="73" t="s">
        <v>30</v>
      </c>
      <c r="D945" s="72" t="s">
        <v>30</v>
      </c>
      <c r="E945" s="72" t="s">
        <v>30</v>
      </c>
      <c r="G945" s="72" t="s">
        <v>30</v>
      </c>
      <c r="H945" s="72" t="s">
        <v>30</v>
      </c>
      <c r="I945" s="31"/>
    </row>
    <row r="946">
      <c r="B946" s="72" t="s">
        <v>30</v>
      </c>
      <c r="C946" s="73" t="s">
        <v>30</v>
      </c>
      <c r="D946" s="72" t="s">
        <v>30</v>
      </c>
      <c r="E946" s="72" t="s">
        <v>30</v>
      </c>
      <c r="G946" s="72" t="s">
        <v>30</v>
      </c>
      <c r="H946" s="72" t="s">
        <v>30</v>
      </c>
      <c r="I946" s="31"/>
    </row>
    <row r="947">
      <c r="B947" s="72" t="s">
        <v>30</v>
      </c>
      <c r="C947" s="73" t="s">
        <v>30</v>
      </c>
      <c r="D947" s="72" t="s">
        <v>30</v>
      </c>
      <c r="E947" s="72" t="s">
        <v>30</v>
      </c>
      <c r="G947" s="72" t="s">
        <v>30</v>
      </c>
      <c r="H947" s="72" t="s">
        <v>30</v>
      </c>
      <c r="I947" s="31"/>
    </row>
    <row r="948">
      <c r="B948" s="72" t="s">
        <v>30</v>
      </c>
      <c r="C948" s="73" t="s">
        <v>30</v>
      </c>
      <c r="D948" s="72" t="s">
        <v>30</v>
      </c>
      <c r="E948" s="72" t="s">
        <v>30</v>
      </c>
      <c r="G948" s="72" t="s">
        <v>30</v>
      </c>
      <c r="H948" s="72" t="s">
        <v>30</v>
      </c>
      <c r="I948" s="31"/>
    </row>
    <row r="949">
      <c r="B949" s="72" t="s">
        <v>30</v>
      </c>
      <c r="C949" s="73" t="s">
        <v>30</v>
      </c>
      <c r="D949" s="72" t="s">
        <v>30</v>
      </c>
      <c r="E949" s="72" t="s">
        <v>30</v>
      </c>
      <c r="G949" s="72" t="s">
        <v>30</v>
      </c>
      <c r="H949" s="72" t="s">
        <v>30</v>
      </c>
      <c r="I949" s="31"/>
    </row>
    <row r="950">
      <c r="B950" s="72" t="s">
        <v>30</v>
      </c>
      <c r="C950" s="73" t="s">
        <v>30</v>
      </c>
      <c r="D950" s="72" t="s">
        <v>30</v>
      </c>
      <c r="E950" s="72" t="s">
        <v>30</v>
      </c>
      <c r="G950" s="72" t="s">
        <v>30</v>
      </c>
      <c r="H950" s="72" t="s">
        <v>30</v>
      </c>
      <c r="I950" s="31"/>
    </row>
    <row r="951">
      <c r="B951" s="72" t="s">
        <v>30</v>
      </c>
      <c r="C951" s="73" t="s">
        <v>30</v>
      </c>
      <c r="D951" s="72" t="s">
        <v>30</v>
      </c>
      <c r="E951" s="72" t="s">
        <v>30</v>
      </c>
      <c r="G951" s="72" t="s">
        <v>30</v>
      </c>
      <c r="H951" s="72" t="s">
        <v>30</v>
      </c>
      <c r="I951" s="31"/>
    </row>
    <row r="952">
      <c r="B952" s="72" t="s">
        <v>30</v>
      </c>
      <c r="C952" s="73" t="s">
        <v>30</v>
      </c>
      <c r="D952" s="72" t="s">
        <v>30</v>
      </c>
      <c r="E952" s="72" t="s">
        <v>30</v>
      </c>
      <c r="G952" s="72" t="s">
        <v>30</v>
      </c>
      <c r="H952" s="72" t="s">
        <v>30</v>
      </c>
      <c r="I952" s="31"/>
    </row>
    <row r="953">
      <c r="B953" s="72" t="s">
        <v>30</v>
      </c>
      <c r="C953" s="73" t="s">
        <v>30</v>
      </c>
      <c r="D953" s="72" t="s">
        <v>30</v>
      </c>
      <c r="E953" s="72" t="s">
        <v>30</v>
      </c>
      <c r="G953" s="72" t="s">
        <v>30</v>
      </c>
      <c r="H953" s="72" t="s">
        <v>30</v>
      </c>
      <c r="I953" s="31"/>
    </row>
    <row r="954">
      <c r="B954" s="72" t="s">
        <v>30</v>
      </c>
      <c r="C954" s="73" t="s">
        <v>30</v>
      </c>
      <c r="D954" s="72" t="s">
        <v>30</v>
      </c>
      <c r="E954" s="72" t="s">
        <v>30</v>
      </c>
      <c r="G954" s="72" t="s">
        <v>30</v>
      </c>
      <c r="H954" s="72" t="s">
        <v>30</v>
      </c>
      <c r="I954" s="31"/>
    </row>
    <row r="955">
      <c r="B955" s="72" t="s">
        <v>30</v>
      </c>
      <c r="C955" s="73" t="s">
        <v>30</v>
      </c>
      <c r="D955" s="72" t="s">
        <v>30</v>
      </c>
      <c r="E955" s="72" t="s">
        <v>30</v>
      </c>
      <c r="G955" s="72" t="s">
        <v>30</v>
      </c>
      <c r="H955" s="72" t="s">
        <v>30</v>
      </c>
      <c r="I955" s="31"/>
    </row>
    <row r="956">
      <c r="B956" s="72" t="s">
        <v>30</v>
      </c>
      <c r="C956" s="73" t="s">
        <v>30</v>
      </c>
      <c r="D956" s="72" t="s">
        <v>30</v>
      </c>
      <c r="E956" s="72" t="s">
        <v>30</v>
      </c>
      <c r="G956" s="72" t="s">
        <v>30</v>
      </c>
      <c r="H956" s="72" t="s">
        <v>30</v>
      </c>
      <c r="I956" s="31"/>
    </row>
    <row r="957">
      <c r="B957" s="72" t="s">
        <v>30</v>
      </c>
      <c r="C957" s="73" t="s">
        <v>30</v>
      </c>
      <c r="D957" s="72" t="s">
        <v>30</v>
      </c>
      <c r="E957" s="72" t="s">
        <v>30</v>
      </c>
      <c r="G957" s="72" t="s">
        <v>30</v>
      </c>
      <c r="H957" s="72" t="s">
        <v>30</v>
      </c>
      <c r="I957" s="31"/>
    </row>
    <row r="958">
      <c r="B958" s="72" t="s">
        <v>30</v>
      </c>
      <c r="C958" s="73" t="s">
        <v>30</v>
      </c>
      <c r="D958" s="72" t="s">
        <v>30</v>
      </c>
      <c r="E958" s="72" t="s">
        <v>30</v>
      </c>
      <c r="G958" s="72" t="s">
        <v>30</v>
      </c>
      <c r="H958" s="72" t="s">
        <v>30</v>
      </c>
      <c r="I958" s="31"/>
    </row>
    <row r="959">
      <c r="B959" s="72" t="s">
        <v>30</v>
      </c>
      <c r="C959" s="73" t="s">
        <v>30</v>
      </c>
      <c r="D959" s="72" t="s">
        <v>30</v>
      </c>
      <c r="E959" s="72" t="s">
        <v>30</v>
      </c>
      <c r="G959" s="72" t="s">
        <v>30</v>
      </c>
      <c r="H959" s="72" t="s">
        <v>30</v>
      </c>
      <c r="I959" s="31"/>
    </row>
    <row r="960">
      <c r="B960" s="72" t="s">
        <v>30</v>
      </c>
      <c r="C960" s="73" t="s">
        <v>30</v>
      </c>
      <c r="D960" s="72" t="s">
        <v>30</v>
      </c>
      <c r="E960" s="72" t="s">
        <v>30</v>
      </c>
      <c r="G960" s="72" t="s">
        <v>30</v>
      </c>
      <c r="H960" s="72" t="s">
        <v>30</v>
      </c>
      <c r="I960" s="31"/>
    </row>
    <row r="961">
      <c r="B961" s="72" t="s">
        <v>30</v>
      </c>
      <c r="C961" s="73" t="s">
        <v>30</v>
      </c>
      <c r="D961" s="72" t="s">
        <v>30</v>
      </c>
      <c r="E961" s="72" t="s">
        <v>30</v>
      </c>
      <c r="G961" s="72" t="s">
        <v>30</v>
      </c>
      <c r="H961" s="72" t="s">
        <v>30</v>
      </c>
      <c r="I961" s="31"/>
    </row>
    <row r="962">
      <c r="B962" s="72" t="s">
        <v>30</v>
      </c>
      <c r="C962" s="73" t="s">
        <v>30</v>
      </c>
      <c r="D962" s="72" t="s">
        <v>30</v>
      </c>
      <c r="E962" s="72" t="s">
        <v>30</v>
      </c>
      <c r="G962" s="72" t="s">
        <v>30</v>
      </c>
      <c r="H962" s="72" t="s">
        <v>30</v>
      </c>
      <c r="I962" s="31"/>
    </row>
    <row r="963">
      <c r="B963" s="72" t="s">
        <v>30</v>
      </c>
      <c r="C963" s="73" t="s">
        <v>30</v>
      </c>
      <c r="D963" s="72" t="s">
        <v>30</v>
      </c>
      <c r="E963" s="72" t="s">
        <v>30</v>
      </c>
      <c r="G963" s="72" t="s">
        <v>30</v>
      </c>
      <c r="H963" s="72" t="s">
        <v>30</v>
      </c>
      <c r="I963" s="31"/>
    </row>
    <row r="964">
      <c r="B964" s="72" t="s">
        <v>30</v>
      </c>
      <c r="C964" s="73" t="s">
        <v>30</v>
      </c>
      <c r="D964" s="72" t="s">
        <v>30</v>
      </c>
      <c r="E964" s="72" t="s">
        <v>30</v>
      </c>
      <c r="G964" s="72" t="s">
        <v>30</v>
      </c>
      <c r="H964" s="72" t="s">
        <v>30</v>
      </c>
      <c r="I964" s="31"/>
    </row>
    <row r="965">
      <c r="B965" s="72" t="s">
        <v>30</v>
      </c>
      <c r="C965" s="73" t="s">
        <v>30</v>
      </c>
      <c r="D965" s="72" t="s">
        <v>30</v>
      </c>
      <c r="E965" s="72" t="s">
        <v>30</v>
      </c>
      <c r="G965" s="72" t="s">
        <v>30</v>
      </c>
      <c r="H965" s="72" t="s">
        <v>30</v>
      </c>
      <c r="I965" s="31"/>
    </row>
    <row r="966">
      <c r="B966" s="72" t="s">
        <v>30</v>
      </c>
      <c r="C966" s="73" t="s">
        <v>30</v>
      </c>
      <c r="D966" s="72" t="s">
        <v>30</v>
      </c>
      <c r="E966" s="72" t="s">
        <v>30</v>
      </c>
      <c r="G966" s="72" t="s">
        <v>30</v>
      </c>
      <c r="H966" s="72" t="s">
        <v>30</v>
      </c>
      <c r="I966" s="31"/>
    </row>
    <row r="967">
      <c r="B967" s="72" t="s">
        <v>30</v>
      </c>
      <c r="C967" s="73" t="s">
        <v>30</v>
      </c>
      <c r="D967" s="72" t="s">
        <v>30</v>
      </c>
      <c r="E967" s="72" t="s">
        <v>30</v>
      </c>
      <c r="G967" s="72" t="s">
        <v>30</v>
      </c>
      <c r="H967" s="72" t="s">
        <v>30</v>
      </c>
      <c r="I967" s="31"/>
    </row>
    <row r="968">
      <c r="B968" s="72" t="s">
        <v>30</v>
      </c>
      <c r="C968" s="73" t="s">
        <v>30</v>
      </c>
      <c r="D968" s="72" t="s">
        <v>30</v>
      </c>
      <c r="E968" s="72" t="s">
        <v>30</v>
      </c>
      <c r="G968" s="72" t="s">
        <v>30</v>
      </c>
      <c r="H968" s="72" t="s">
        <v>30</v>
      </c>
      <c r="I968" s="31"/>
    </row>
    <row r="969">
      <c r="B969" s="72" t="s">
        <v>30</v>
      </c>
      <c r="C969" s="73" t="s">
        <v>30</v>
      </c>
      <c r="D969" s="72" t="s">
        <v>30</v>
      </c>
      <c r="E969" s="72" t="s">
        <v>30</v>
      </c>
      <c r="G969" s="72" t="s">
        <v>30</v>
      </c>
      <c r="H969" s="72" t="s">
        <v>30</v>
      </c>
      <c r="I969" s="31"/>
    </row>
    <row r="970">
      <c r="B970" s="72" t="s">
        <v>30</v>
      </c>
      <c r="C970" s="73" t="s">
        <v>30</v>
      </c>
      <c r="D970" s="72" t="s">
        <v>30</v>
      </c>
      <c r="E970" s="72" t="s">
        <v>30</v>
      </c>
      <c r="G970" s="72" t="s">
        <v>30</v>
      </c>
      <c r="H970" s="72" t="s">
        <v>30</v>
      </c>
      <c r="I970" s="31"/>
    </row>
    <row r="971">
      <c r="B971" s="72" t="s">
        <v>30</v>
      </c>
      <c r="C971" s="73" t="s">
        <v>30</v>
      </c>
      <c r="D971" s="72" t="s">
        <v>30</v>
      </c>
      <c r="E971" s="72" t="s">
        <v>30</v>
      </c>
      <c r="G971" s="72" t="s">
        <v>30</v>
      </c>
      <c r="H971" s="72" t="s">
        <v>30</v>
      </c>
      <c r="I971" s="31"/>
    </row>
    <row r="972">
      <c r="B972" s="72" t="s">
        <v>30</v>
      </c>
      <c r="C972" s="73" t="s">
        <v>30</v>
      </c>
      <c r="D972" s="72" t="s">
        <v>30</v>
      </c>
      <c r="E972" s="72" t="s">
        <v>30</v>
      </c>
      <c r="G972" s="72" t="s">
        <v>30</v>
      </c>
      <c r="H972" s="72" t="s">
        <v>30</v>
      </c>
      <c r="I972" s="31"/>
    </row>
    <row r="973">
      <c r="B973" s="72" t="s">
        <v>30</v>
      </c>
      <c r="C973" s="73" t="s">
        <v>30</v>
      </c>
      <c r="D973" s="72" t="s">
        <v>30</v>
      </c>
      <c r="E973" s="72" t="s">
        <v>30</v>
      </c>
      <c r="G973" s="72" t="s">
        <v>30</v>
      </c>
      <c r="H973" s="72" t="s">
        <v>30</v>
      </c>
      <c r="I973" s="31"/>
    </row>
    <row r="974">
      <c r="B974" s="72" t="s">
        <v>30</v>
      </c>
      <c r="C974" s="73" t="s">
        <v>30</v>
      </c>
      <c r="D974" s="72" t="s">
        <v>30</v>
      </c>
      <c r="E974" s="72" t="s">
        <v>30</v>
      </c>
      <c r="G974" s="72" t="s">
        <v>30</v>
      </c>
      <c r="H974" s="72" t="s">
        <v>30</v>
      </c>
      <c r="I974" s="31"/>
    </row>
    <row r="975">
      <c r="B975" s="72" t="s">
        <v>30</v>
      </c>
      <c r="C975" s="73" t="s">
        <v>30</v>
      </c>
      <c r="D975" s="72" t="s">
        <v>30</v>
      </c>
      <c r="E975" s="72" t="s">
        <v>30</v>
      </c>
      <c r="G975" s="72" t="s">
        <v>30</v>
      </c>
      <c r="H975" s="72" t="s">
        <v>30</v>
      </c>
      <c r="I975" s="31"/>
    </row>
    <row r="976">
      <c r="B976" s="72" t="s">
        <v>30</v>
      </c>
      <c r="C976" s="73" t="s">
        <v>30</v>
      </c>
      <c r="D976" s="72" t="s">
        <v>30</v>
      </c>
      <c r="E976" s="72" t="s">
        <v>30</v>
      </c>
      <c r="G976" s="72" t="s">
        <v>30</v>
      </c>
      <c r="H976" s="72" t="s">
        <v>30</v>
      </c>
      <c r="I976" s="31"/>
    </row>
    <row r="977">
      <c r="B977" s="72" t="s">
        <v>30</v>
      </c>
      <c r="C977" s="73" t="s">
        <v>30</v>
      </c>
      <c r="D977" s="72" t="s">
        <v>30</v>
      </c>
      <c r="E977" s="72" t="s">
        <v>30</v>
      </c>
      <c r="G977" s="72" t="s">
        <v>30</v>
      </c>
      <c r="H977" s="72" t="s">
        <v>30</v>
      </c>
      <c r="I977" s="31"/>
    </row>
    <row r="978">
      <c r="B978" s="72" t="s">
        <v>30</v>
      </c>
      <c r="C978" s="73" t="s">
        <v>30</v>
      </c>
      <c r="D978" s="72" t="s">
        <v>30</v>
      </c>
      <c r="E978" s="72" t="s">
        <v>30</v>
      </c>
      <c r="G978" s="72" t="s">
        <v>30</v>
      </c>
      <c r="H978" s="72" t="s">
        <v>30</v>
      </c>
      <c r="I978" s="31"/>
    </row>
    <row r="979">
      <c r="B979" s="72" t="s">
        <v>30</v>
      </c>
      <c r="C979" s="73" t="s">
        <v>30</v>
      </c>
      <c r="D979" s="72" t="s">
        <v>30</v>
      </c>
      <c r="E979" s="72" t="s">
        <v>30</v>
      </c>
      <c r="G979" s="72" t="s">
        <v>30</v>
      </c>
      <c r="H979" s="72" t="s">
        <v>30</v>
      </c>
      <c r="I979" s="31"/>
    </row>
    <row r="980">
      <c r="B980" s="72" t="s">
        <v>30</v>
      </c>
      <c r="C980" s="73" t="s">
        <v>30</v>
      </c>
      <c r="D980" s="72" t="s">
        <v>30</v>
      </c>
      <c r="E980" s="72" t="s">
        <v>30</v>
      </c>
      <c r="G980" s="72" t="s">
        <v>30</v>
      </c>
      <c r="H980" s="72" t="s">
        <v>30</v>
      </c>
      <c r="I980" s="31"/>
    </row>
    <row r="981">
      <c r="B981" s="72" t="s">
        <v>30</v>
      </c>
      <c r="C981" s="73" t="s">
        <v>30</v>
      </c>
      <c r="D981" s="72" t="s">
        <v>30</v>
      </c>
      <c r="E981" s="72" t="s">
        <v>30</v>
      </c>
      <c r="G981" s="72" t="s">
        <v>30</v>
      </c>
      <c r="H981" s="72" t="s">
        <v>30</v>
      </c>
      <c r="I981" s="31"/>
    </row>
    <row r="982">
      <c r="B982" s="72" t="s">
        <v>30</v>
      </c>
      <c r="C982" s="73" t="s">
        <v>30</v>
      </c>
      <c r="D982" s="72" t="s">
        <v>30</v>
      </c>
      <c r="E982" s="72" t="s">
        <v>30</v>
      </c>
      <c r="G982" s="72" t="s">
        <v>30</v>
      </c>
      <c r="H982" s="72" t="s">
        <v>30</v>
      </c>
      <c r="I982" s="31"/>
    </row>
    <row r="983">
      <c r="B983" s="72" t="s">
        <v>30</v>
      </c>
      <c r="C983" s="73" t="s">
        <v>30</v>
      </c>
      <c r="D983" s="72" t="s">
        <v>30</v>
      </c>
      <c r="E983" s="72" t="s">
        <v>30</v>
      </c>
      <c r="G983" s="72" t="s">
        <v>30</v>
      </c>
      <c r="H983" s="72" t="s">
        <v>30</v>
      </c>
      <c r="I983" s="31"/>
    </row>
    <row r="984">
      <c r="B984" s="72" t="s">
        <v>30</v>
      </c>
      <c r="C984" s="73" t="s">
        <v>30</v>
      </c>
      <c r="D984" s="72" t="s">
        <v>30</v>
      </c>
      <c r="E984" s="72" t="s">
        <v>30</v>
      </c>
      <c r="G984" s="72" t="s">
        <v>30</v>
      </c>
      <c r="H984" s="72" t="s">
        <v>30</v>
      </c>
      <c r="I984" s="31"/>
    </row>
    <row r="985">
      <c r="B985" s="72" t="s">
        <v>30</v>
      </c>
      <c r="C985" s="73" t="s">
        <v>30</v>
      </c>
      <c r="D985" s="72" t="s">
        <v>30</v>
      </c>
      <c r="E985" s="72" t="s">
        <v>30</v>
      </c>
      <c r="G985" s="72" t="s">
        <v>30</v>
      </c>
      <c r="H985" s="72" t="s">
        <v>30</v>
      </c>
      <c r="I985" s="31"/>
    </row>
    <row r="986">
      <c r="B986" s="72" t="s">
        <v>30</v>
      </c>
      <c r="C986" s="73" t="s">
        <v>30</v>
      </c>
      <c r="D986" s="72" t="s">
        <v>30</v>
      </c>
      <c r="E986" s="72" t="s">
        <v>30</v>
      </c>
      <c r="G986" s="72" t="s">
        <v>30</v>
      </c>
      <c r="H986" s="72" t="s">
        <v>30</v>
      </c>
      <c r="I986" s="31"/>
    </row>
    <row r="987">
      <c r="B987" s="72" t="s">
        <v>30</v>
      </c>
      <c r="C987" s="73" t="s">
        <v>30</v>
      </c>
      <c r="D987" s="72" t="s">
        <v>30</v>
      </c>
      <c r="E987" s="72" t="s">
        <v>30</v>
      </c>
      <c r="G987" s="72" t="s">
        <v>30</v>
      </c>
      <c r="H987" s="72" t="s">
        <v>30</v>
      </c>
      <c r="I987" s="31"/>
    </row>
    <row r="988">
      <c r="B988" s="72" t="s">
        <v>30</v>
      </c>
      <c r="C988" s="73" t="s">
        <v>30</v>
      </c>
      <c r="D988" s="72" t="s">
        <v>30</v>
      </c>
      <c r="E988" s="72" t="s">
        <v>30</v>
      </c>
      <c r="G988" s="72" t="s">
        <v>30</v>
      </c>
      <c r="H988" s="72" t="s">
        <v>30</v>
      </c>
      <c r="I988" s="31"/>
    </row>
    <row r="989">
      <c r="B989" s="72" t="s">
        <v>30</v>
      </c>
      <c r="C989" s="73" t="s">
        <v>30</v>
      </c>
      <c r="D989" s="72" t="s">
        <v>30</v>
      </c>
      <c r="E989" s="72" t="s">
        <v>30</v>
      </c>
      <c r="G989" s="72" t="s">
        <v>30</v>
      </c>
      <c r="H989" s="72" t="s">
        <v>30</v>
      </c>
      <c r="I989" s="31"/>
    </row>
    <row r="990">
      <c r="B990" s="72" t="s">
        <v>30</v>
      </c>
      <c r="C990" s="73" t="s">
        <v>30</v>
      </c>
      <c r="D990" s="72" t="s">
        <v>30</v>
      </c>
      <c r="E990" s="72" t="s">
        <v>30</v>
      </c>
      <c r="G990" s="72" t="s">
        <v>30</v>
      </c>
      <c r="H990" s="72" t="s">
        <v>30</v>
      </c>
      <c r="I990" s="31"/>
    </row>
    <row r="991">
      <c r="B991" s="72" t="s">
        <v>30</v>
      </c>
      <c r="C991" s="73" t="s">
        <v>30</v>
      </c>
      <c r="D991" s="72" t="s">
        <v>30</v>
      </c>
      <c r="E991" s="72" t="s">
        <v>30</v>
      </c>
      <c r="G991" s="72" t="s">
        <v>30</v>
      </c>
      <c r="H991" s="72" t="s">
        <v>30</v>
      </c>
      <c r="I991" s="31"/>
    </row>
    <row r="992">
      <c r="B992" s="72" t="s">
        <v>30</v>
      </c>
      <c r="C992" s="73" t="s">
        <v>30</v>
      </c>
      <c r="D992" s="72" t="s">
        <v>30</v>
      </c>
      <c r="E992" s="72" t="s">
        <v>30</v>
      </c>
      <c r="G992" s="72" t="s">
        <v>30</v>
      </c>
      <c r="H992" s="72" t="s">
        <v>30</v>
      </c>
      <c r="I992" s="31"/>
    </row>
    <row r="993">
      <c r="B993" s="72" t="s">
        <v>30</v>
      </c>
      <c r="C993" s="73" t="s">
        <v>30</v>
      </c>
      <c r="D993" s="72" t="s">
        <v>30</v>
      </c>
      <c r="E993" s="72" t="s">
        <v>30</v>
      </c>
      <c r="G993" s="72" t="s">
        <v>30</v>
      </c>
      <c r="H993" s="72" t="s">
        <v>30</v>
      </c>
      <c r="I993" s="31"/>
    </row>
    <row r="994">
      <c r="B994" s="72" t="s">
        <v>30</v>
      </c>
      <c r="C994" s="73" t="s">
        <v>30</v>
      </c>
      <c r="D994" s="72" t="s">
        <v>30</v>
      </c>
      <c r="E994" s="72" t="s">
        <v>30</v>
      </c>
      <c r="G994" s="72" t="s">
        <v>30</v>
      </c>
      <c r="H994" s="72" t="s">
        <v>30</v>
      </c>
      <c r="I994" s="31"/>
    </row>
    <row r="995">
      <c r="B995" s="72" t="s">
        <v>30</v>
      </c>
      <c r="C995" s="73" t="s">
        <v>30</v>
      </c>
      <c r="D995" s="72" t="s">
        <v>30</v>
      </c>
      <c r="E995" s="72" t="s">
        <v>30</v>
      </c>
      <c r="G995" s="72" t="s">
        <v>30</v>
      </c>
      <c r="H995" s="72" t="s">
        <v>30</v>
      </c>
      <c r="I995" s="31"/>
    </row>
    <row r="996">
      <c r="B996" s="72" t="s">
        <v>30</v>
      </c>
      <c r="C996" s="73" t="s">
        <v>30</v>
      </c>
      <c r="D996" s="72" t="s">
        <v>30</v>
      </c>
      <c r="E996" s="72" t="s">
        <v>30</v>
      </c>
      <c r="G996" s="72" t="s">
        <v>30</v>
      </c>
      <c r="H996" s="72" t="s">
        <v>30</v>
      </c>
      <c r="I996" s="31"/>
    </row>
    <row r="997">
      <c r="B997" s="72" t="s">
        <v>30</v>
      </c>
      <c r="C997" s="73" t="s">
        <v>30</v>
      </c>
      <c r="D997" s="72" t="s">
        <v>30</v>
      </c>
      <c r="E997" s="72" t="s">
        <v>30</v>
      </c>
      <c r="G997" s="72" t="s">
        <v>30</v>
      </c>
      <c r="H997" s="72" t="s">
        <v>30</v>
      </c>
      <c r="I997" s="31"/>
    </row>
    <row r="998">
      <c r="B998" s="72" t="s">
        <v>30</v>
      </c>
      <c r="C998" s="73" t="s">
        <v>30</v>
      </c>
      <c r="D998" s="72" t="s">
        <v>30</v>
      </c>
      <c r="E998" s="72" t="s">
        <v>30</v>
      </c>
      <c r="G998" s="72" t="s">
        <v>30</v>
      </c>
      <c r="H998" s="72" t="s">
        <v>30</v>
      </c>
      <c r="I998" s="31"/>
    </row>
    <row r="999">
      <c r="B999" s="72" t="s">
        <v>30</v>
      </c>
      <c r="C999" s="73" t="s">
        <v>30</v>
      </c>
      <c r="D999" s="72" t="s">
        <v>30</v>
      </c>
      <c r="E999" s="72" t="s">
        <v>30</v>
      </c>
      <c r="G999" s="72" t="s">
        <v>30</v>
      </c>
      <c r="H999" s="72" t="s">
        <v>30</v>
      </c>
      <c r="I999" s="31"/>
    </row>
    <row r="1000">
      <c r="B1000" s="72" t="s">
        <v>30</v>
      </c>
      <c r="C1000" s="73" t="s">
        <v>30</v>
      </c>
      <c r="D1000" s="72" t="s">
        <v>30</v>
      </c>
      <c r="E1000" s="72" t="s">
        <v>30</v>
      </c>
      <c r="G1000" s="72" t="s">
        <v>30</v>
      </c>
      <c r="H1000" s="72" t="s">
        <v>30</v>
      </c>
      <c r="I1000" s="31"/>
    </row>
    <row r="1001">
      <c r="B1001" s="72" t="s">
        <v>30</v>
      </c>
      <c r="C1001" s="73" t="s">
        <v>30</v>
      </c>
      <c r="D1001" s="72" t="s">
        <v>30</v>
      </c>
      <c r="E1001" s="72" t="s">
        <v>30</v>
      </c>
      <c r="G1001" s="72" t="s">
        <v>30</v>
      </c>
      <c r="H1001" s="72" t="s">
        <v>30</v>
      </c>
      <c r="I1001" s="31"/>
    </row>
    <row r="1002">
      <c r="B1002" s="72" t="s">
        <v>30</v>
      </c>
      <c r="C1002" s="73" t="s">
        <v>30</v>
      </c>
      <c r="D1002" s="72" t="s">
        <v>30</v>
      </c>
      <c r="E1002" s="72" t="s">
        <v>30</v>
      </c>
      <c r="G1002" s="72" t="s">
        <v>30</v>
      </c>
      <c r="H1002" s="72" t="s">
        <v>30</v>
      </c>
      <c r="I1002" s="31"/>
    </row>
  </sheetData>
  <mergeCells count="1">
    <mergeCell ref="A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1.63"/>
    <col customWidth="1" min="2" max="2" width="16.25"/>
    <col customWidth="1" min="3" max="3" width="24.38"/>
    <col customWidth="1" min="4" max="4" width="13.25"/>
    <col customWidth="1" min="5" max="5" width="11.25"/>
    <col customWidth="1" min="6" max="6" width="14.75"/>
    <col customWidth="1" min="7" max="7" width="21.75"/>
    <col customWidth="1" min="8" max="8" width="13.13"/>
    <col customWidth="1" min="11" max="11" width="39.0"/>
  </cols>
  <sheetData>
    <row r="1" ht="45.75" customHeight="1">
      <c r="A1" s="5" t="s">
        <v>59</v>
      </c>
    </row>
    <row r="2" ht="48.75" customHeight="1">
      <c r="A2" s="9" t="s">
        <v>3</v>
      </c>
      <c r="B2" s="11"/>
      <c r="C2" s="20">
        <f t="shared" ref="C2:D2" si="1">SUM(C4:C1002)</f>
        <v>158366.64</v>
      </c>
      <c r="D2" s="21">
        <f t="shared" si="1"/>
        <v>28677</v>
      </c>
      <c r="E2" s="20">
        <f>IFERROR(C2/D2,"-")</f>
        <v>5.522427032</v>
      </c>
      <c r="F2" s="22">
        <f>SUM(F4:F89)</f>
        <v>203</v>
      </c>
      <c r="G2" s="20">
        <f>IFERROR(C2/F2,"-")</f>
        <v>780.1312315</v>
      </c>
      <c r="H2" s="23">
        <f>IFERROR(1574.65*F2/C2,"-")</f>
        <v>2.018442457</v>
      </c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ht="33.75" customHeight="1">
      <c r="A3" s="26" t="s">
        <v>5</v>
      </c>
      <c r="B3" s="26" t="s">
        <v>7</v>
      </c>
      <c r="C3" s="29" t="s">
        <v>19</v>
      </c>
      <c r="D3" s="30" t="s">
        <v>20</v>
      </c>
      <c r="E3" s="30" t="s">
        <v>21</v>
      </c>
      <c r="F3" s="30" t="s">
        <v>22</v>
      </c>
      <c r="G3" s="30" t="s">
        <v>23</v>
      </c>
      <c r="H3" s="30" t="s">
        <v>24</v>
      </c>
      <c r="I3" s="31"/>
    </row>
    <row r="4" ht="48.75" customHeight="1">
      <c r="A4" s="55" t="str">
        <f>IFERROR(__xludf.DUMMYFUNCTION("LET(
  total_raw, 'EXTRACAO-GA'!A2:A1002,
  nomes_unicos, UNIQUE(FILTER(total_raw, (total_raw&lt;&gt;"""") * (total_raw&lt;&gt;""Ad Name""))),
  vendas, MAP(nomes_unicos, LAMBDA(n, 
    IFERROR(SUMIFS('EXTRACAO-GA'!R:R, 'EXTRACAO-GA'!A:A, n, 'EXTRACAO-GA'!B:B, ""*"&amp;"captação*""), 0)
  )),
  tabela_ranking, SORT({nomes_unicos , vendas}, 2, 0),
  CHOOSECOLS(tabela_ranking, 1)
)"),"AD093 - Dois personagens casa do Thales - PBB-ABR-26")</f>
        <v>AD093 - Dois personagens casa do Thales - PBB-ABR-26</v>
      </c>
      <c r="B4" s="34" t="str">
        <f t="array" ref="B4:B1002">MAP(A4:A1002, LAMBDA(n, 
  IF(n="", "",
    IF(IFERROR(SEARCH("AD157", n), 0) &gt; 0,
      IMAGE("https://scontent.frao5-1.fna.fbcdn.net/v/t45.1600-4/499368121_3450377525094777_6566430056816394720_n.jpg?stp=cp0_dst-jpg_p526x296_q75_spS444_tt6&amp;_nc_cat=102&amp;ccb=1-7&amp;_nc_sid=f0a831&amp;_nc_ohc=O2lTrkomxFkQ7kNvwHncz4G&amp;_nc_oc=AdpKNVnzhKBOTdc9UUtB7oM8dk0o8JKoZWab"&amp;"rkZucuVskaY_ui3mKrSkA9uwRjBWSkc&amp;_nc_zt=1&amp;_nc_ht=scontent.frao5-1.fna&amp;_nc_gid=g7-GLvUaa1O0YSEwuICwfg&amp;_nc_ss=7b2a8&amp;oh=00_Af5PoUdgXxOfXebkPAuO4VyG1qcaasRsMiAmlEqbghhWBQ&amp;oe=6A07B952"),
      IF(IFERROR(SEARCH("AD213", n), 0) &gt; 0,
        IMAGE("https://scontent.frao5-1.fna.fbcdn.net/v/t45.1600-4/611676973_3708502889282238_4328212273790943146_n.jpg?stp=dst-jpg_s168x128_tt6&amp;_nc_cat=108&amp;ccb=1-7&amp;_nc_sid=d5bd00&amp;_nc_ohc=mXi2u9t5t5YQ7kNvwFezS1w&amp;_nc_oc=AdrpGCQs1MxAOVQc6eyka9D7ooKfvzUyHzq92P374q9WRouWaJl"&amp;"2o-QEGsTelEamlLw&amp;_nc_zt=1&amp;_nc_ht=scontent.frao5-1.fna&amp;_nc_gid=51VBC5Aku7RbDZfD3swckw&amp;_nc_ss=7b2a8&amp;oh=00_Af6q1hpX492SXVH14YgqPZAsEbKlAJY38RVwGkxe937Cdg&amp;oe=6A02841A"),
        LET(
          fb, XLOOKUP(n, 'EXTRACAO-BM'!A:A, 'EXTRACAO-BM'!J:J, ""),
          yt, XLOOKUP(n, 'EXTRACAO-GA'!A:A, 'EXTRACAO-GA'!H:H, ""),
          IF(fb&lt;&gt;"", IMAGE(fb), 
            IF(yt&lt;&gt;"", IMAGE("https://img.youtube.com/vi/" &amp; yt &amp; "/hqdefault.jpg"), 
              ""
            )
          )
        )
      )
    )
  )
))</f>
        <v/>
      </c>
      <c r="C4" s="45">
        <f t="array" ref="C4:C1002">MAP(A4:A1002, LAMBDA(anuncio, IF(anuncio="", "", SUMIFS('EXTRACAO-GA'!C:C, 'EXTRACAO-GA'!A:A, "*" &amp; LEFT(anuncio, 5) &amp; "*"))))</f>
        <v>13451.24</v>
      </c>
      <c r="D4" s="46">
        <f t="array" ref="D4:D1002">MAP(A4:A1002, LAMBDA(anuncio, IF(anuncio="", "", SUMIFS('EXTRACAO-GA'!D:D, 'EXTRACAO-GA'!A:A, "*" &amp; LEFT(anuncio, 5) &amp; "*"))))</f>
        <v>2465</v>
      </c>
      <c r="E4" s="45">
        <f t="array" ref="E4:E1002">IF(A4:A1002="", "", IF(D4:D1002=0, 0, C4:C1002 / D4:D1002))</f>
        <v>5.456892495</v>
      </c>
      <c r="F4" s="47"/>
      <c r="G4" s="45">
        <f t="array" ref="G4:G1002">IF(C4:C1002="", "", IFERROR(C4:C1002 / F4:F1002, 0))</f>
        <v>0</v>
      </c>
      <c r="H4" s="48">
        <f t="array" ref="H4:H1002">IF(C4:C1002="", "", IFERROR((F4:F1002 * 1574.65) / C4:C1002, 0))</f>
        <v>0</v>
      </c>
      <c r="I4" s="50"/>
      <c r="K4" s="51"/>
      <c r="L4" s="51"/>
      <c r="M4" s="51"/>
      <c r="N4" s="51"/>
      <c r="O4" s="51"/>
      <c r="P4" s="51"/>
    </row>
    <row r="5" ht="48.75" customHeight="1">
      <c r="A5" s="55" t="str">
        <f>IFERROR(__xludf.DUMMYFUNCTION("""COMPUTED_VALUE"""),"AD084 - Duas pessoas com caixa - PBB-ABR-26")</f>
        <v>AD084 - Duas pessoas com caixa - PBB-ABR-26</v>
      </c>
      <c r="B5" s="34"/>
      <c r="C5" s="45">
        <v>28696.910000000003</v>
      </c>
      <c r="D5" s="46">
        <v>7266.0</v>
      </c>
      <c r="E5" s="45">
        <v>3.949478392513075</v>
      </c>
      <c r="F5" s="47">
        <v>18.0</v>
      </c>
      <c r="G5" s="45">
        <v>1594.272777777778</v>
      </c>
      <c r="H5" s="48">
        <v>0.9876917061802123</v>
      </c>
      <c r="I5" s="50"/>
      <c r="K5" s="52"/>
      <c r="L5" s="53"/>
      <c r="M5" s="53"/>
      <c r="N5" s="53"/>
      <c r="O5" s="53"/>
      <c r="P5" s="53"/>
    </row>
    <row r="6" ht="48.75" customHeight="1">
      <c r="A6" s="55" t="str">
        <f>IFERROR(__xludf.DUMMYFUNCTION("""COMPUTED_VALUE"""),"AD050 - Banco do Brasil 2 - cx nova - PBB-ABR-26")</f>
        <v>AD050 - Banco do Brasil 2 - cx nova - PBB-ABR-26</v>
      </c>
      <c r="B6" s="34"/>
      <c r="C6" s="45">
        <v>15101.330000000004</v>
      </c>
      <c r="D6" s="46">
        <v>2665.0</v>
      </c>
      <c r="E6" s="45">
        <v>5.666540337711071</v>
      </c>
      <c r="F6" s="47">
        <v>14.0</v>
      </c>
      <c r="G6" s="45">
        <v>1078.666428571429</v>
      </c>
      <c r="H6" s="48">
        <v>1.4598118178994828</v>
      </c>
      <c r="I6" s="50"/>
      <c r="K6" s="52"/>
      <c r="L6" s="53"/>
      <c r="M6" s="53"/>
      <c r="N6" s="53"/>
      <c r="O6" s="53"/>
      <c r="P6" s="53"/>
    </row>
    <row r="7" ht="48.75" customHeight="1">
      <c r="A7" s="55" t="str">
        <f>IFERROR(__xludf.DUMMYFUNCTION("""COMPUTED_VALUE"""),"AD097 - Carro + cx - PBB-ABR-26")</f>
        <v>AD097 - Carro + cx - PBB-ABR-26</v>
      </c>
      <c r="B7" s="34"/>
      <c r="C7" s="45">
        <v>1769.4399999999957</v>
      </c>
      <c r="D7" s="46">
        <v>183.0</v>
      </c>
      <c r="E7" s="45">
        <v>9.669071038251342</v>
      </c>
      <c r="F7" s="47">
        <v>28.0</v>
      </c>
      <c r="G7" s="45">
        <v>63.19428571428556</v>
      </c>
      <c r="H7" s="48">
        <v>24.917601048919494</v>
      </c>
      <c r="I7" s="54"/>
      <c r="J7" s="25"/>
      <c r="K7" s="52"/>
      <c r="L7" s="53"/>
      <c r="M7" s="53"/>
      <c r="N7" s="53"/>
      <c r="O7" s="53"/>
      <c r="P7" s="53"/>
      <c r="Q7" s="25"/>
      <c r="R7" s="25"/>
      <c r="S7" s="25"/>
      <c r="T7" s="25"/>
      <c r="U7" s="25"/>
    </row>
    <row r="8" ht="48.75" customHeight="1">
      <c r="A8" s="55" t="str">
        <f>IFERROR(__xludf.DUMMYFUNCTION("""COMPUTED_VALUE"""),"AD090 - Dois personagens diva - PBB-ABR-26")</f>
        <v>AD090 - Dois personagens diva - PBB-ABR-26</v>
      </c>
      <c r="B8" s="34"/>
      <c r="C8" s="45">
        <v>3531.8600000000074</v>
      </c>
      <c r="D8" s="46">
        <v>268.0</v>
      </c>
      <c r="E8" s="45">
        <v>13.178582089552267</v>
      </c>
      <c r="F8" s="47">
        <v>3.0</v>
      </c>
      <c r="G8" s="45">
        <v>1177.2866666666691</v>
      </c>
      <c r="H8" s="48">
        <v>1.3375247036971993</v>
      </c>
      <c r="I8" s="50"/>
      <c r="K8" s="52"/>
      <c r="L8" s="53"/>
      <c r="M8" s="53"/>
      <c r="N8" s="53"/>
      <c r="O8" s="53"/>
      <c r="P8" s="53"/>
    </row>
    <row r="9" ht="48.75" customHeight="1">
      <c r="A9" s="55" t="str">
        <f>IFERROR(__xludf.DUMMYFUNCTION("""COMPUTED_VALUE"""),"AD031 - Pergunta e resposta - PBB-ABR-26")</f>
        <v>AD031 - Pergunta e resposta - PBB-ABR-26</v>
      </c>
      <c r="B9" s="34"/>
      <c r="C9" s="45">
        <v>903.4699999999997</v>
      </c>
      <c r="D9" s="46">
        <v>83.0</v>
      </c>
      <c r="E9" s="45">
        <v>10.885180722891562</v>
      </c>
      <c r="F9" s="47">
        <v>25.0</v>
      </c>
      <c r="G9" s="45">
        <v>36.13879999999999</v>
      </c>
      <c r="H9" s="48">
        <v>43.57228242221658</v>
      </c>
      <c r="I9" s="50"/>
      <c r="K9" s="52"/>
      <c r="L9" s="53"/>
      <c r="M9" s="53"/>
      <c r="N9" s="53"/>
      <c r="O9" s="53"/>
      <c r="P9" s="53"/>
    </row>
    <row r="10" ht="48.75" customHeight="1">
      <c r="A10" s="55" t="str">
        <f>IFERROR(__xludf.DUMMYFUNCTION("""COMPUTED_VALUE"""),"AD092 - Dois personagens casa do Thales - PBB-ABR-26")</f>
        <v>AD092 - Dois personagens casa do Thales - PBB-ABR-26</v>
      </c>
      <c r="B10" s="34"/>
      <c r="C10" s="45">
        <v>20611.810000000016</v>
      </c>
      <c r="D10" s="46">
        <v>4454.0</v>
      </c>
      <c r="E10" s="45">
        <v>4.627707678491247</v>
      </c>
      <c r="F10" s="47">
        <v>37.0</v>
      </c>
      <c r="G10" s="45">
        <v>557.0759459459464</v>
      </c>
      <c r="H10" s="48">
        <v>2.8266343421562667</v>
      </c>
      <c r="I10" s="50"/>
      <c r="K10" s="52"/>
      <c r="L10" s="53"/>
      <c r="M10" s="53"/>
      <c r="N10" s="53"/>
      <c r="O10" s="53"/>
      <c r="P10" s="53"/>
    </row>
    <row r="11" ht="48.75" customHeight="1">
      <c r="A11" s="55" t="str">
        <f>IFERROR(__xludf.DUMMYFUNCTION("""COMPUTED_VALUE"""),"AD113 - Dois personagens apê do Felipe - PBB-ABR-26")</f>
        <v>AD113 - Dois personagens apê do Felipe - PBB-ABR-26</v>
      </c>
      <c r="B11" s="34"/>
      <c r="C11" s="45">
        <v>5020.969999999999</v>
      </c>
      <c r="D11" s="46">
        <v>683.0</v>
      </c>
      <c r="E11" s="45">
        <v>7.35134699853587</v>
      </c>
      <c r="F11" s="47">
        <v>22.0</v>
      </c>
      <c r="G11" s="45">
        <v>228.22590909090906</v>
      </c>
      <c r="H11" s="48">
        <v>6.899523398865161</v>
      </c>
      <c r="I11" s="50"/>
      <c r="K11" s="52"/>
      <c r="L11" s="53"/>
      <c r="M11" s="53"/>
      <c r="N11" s="53"/>
      <c r="O11" s="53"/>
      <c r="P11" s="53"/>
    </row>
    <row r="12" ht="48.75" customHeight="1">
      <c r="A12" s="55" t="str">
        <f>IFERROR(__xludf.DUMMYFUNCTION("""COMPUTED_VALUE"""),"AD058 - Casa do Thales - PBB-ABR-26")</f>
        <v>AD058 - Casa do Thales - PBB-ABR-26</v>
      </c>
      <c r="B12" s="34"/>
      <c r="C12" s="45">
        <v>8036.86000000001</v>
      </c>
      <c r="D12" s="46">
        <v>917.0</v>
      </c>
      <c r="E12" s="45">
        <v>8.764296619411134</v>
      </c>
      <c r="F12" s="47">
        <v>9.0</v>
      </c>
      <c r="G12" s="45">
        <v>892.9844444444456</v>
      </c>
      <c r="H12" s="48">
        <v>1.763356584536745</v>
      </c>
      <c r="I12" s="50"/>
      <c r="K12" s="52"/>
      <c r="L12" s="53"/>
      <c r="M12" s="53"/>
      <c r="N12" s="53"/>
      <c r="O12" s="53"/>
      <c r="P12" s="53"/>
    </row>
    <row r="13" ht="48.75" customHeight="1">
      <c r="A13" s="55" t="str">
        <f>IFERROR(__xludf.DUMMYFUNCTION("""COMPUTED_VALUE"""),"AD098 - Flip animado - PBB-ABR-26")</f>
        <v>AD098 - Flip animado - PBB-ABR-26</v>
      </c>
      <c r="B13" s="34"/>
      <c r="C13" s="45">
        <v>5808.820000000016</v>
      </c>
      <c r="D13" s="46">
        <v>828.0</v>
      </c>
      <c r="E13" s="45">
        <v>7.015483091787459</v>
      </c>
      <c r="F13" s="47">
        <v>4.0</v>
      </c>
      <c r="G13" s="45">
        <v>1452.205000000004</v>
      </c>
      <c r="H13" s="48">
        <v>1.0843166081923665</v>
      </c>
      <c r="I13" s="50"/>
      <c r="K13" s="52"/>
      <c r="L13" s="53"/>
      <c r="M13" s="53"/>
      <c r="N13" s="53"/>
      <c r="O13" s="53"/>
      <c r="P13" s="53"/>
    </row>
    <row r="14" ht="48.75" customHeight="1">
      <c r="A14" s="55" t="str">
        <f>IFERROR(__xludf.DUMMYFUNCTION("""COMPUTED_VALUE"""),"AD037 - Banco do Brasil 2 - PBB-ABR-26")</f>
        <v>AD037 - Banco do Brasil 2 - PBB-ABR-26</v>
      </c>
      <c r="B14" s="34"/>
      <c r="C14" s="45">
        <v>17751.440000000017</v>
      </c>
      <c r="D14" s="46">
        <v>3425.0</v>
      </c>
      <c r="E14" s="45">
        <v>5.182902189781027</v>
      </c>
      <c r="F14" s="47">
        <v>23.0</v>
      </c>
      <c r="G14" s="45">
        <v>771.8017391304355</v>
      </c>
      <c r="H14" s="48">
        <v>2.04022603236695</v>
      </c>
      <c r="I14" s="50"/>
      <c r="K14" s="52"/>
      <c r="L14" s="53"/>
      <c r="M14" s="53"/>
      <c r="N14" s="53"/>
      <c r="O14" s="53"/>
      <c r="P14" s="53"/>
    </row>
    <row r="15" ht="48.75" customHeight="1">
      <c r="A15" s="55" t="str">
        <f>IFERROR(__xludf.DUMMYFUNCTION("""COMPUTED_VALUE"""),"AD048 - Estúdio Brabo - PBB-ABR-26")</f>
        <v>AD048 - Estúdio Brabo - PBB-ABR-26</v>
      </c>
      <c r="B15" s="34"/>
      <c r="C15" s="45">
        <v>2083.4599999999946</v>
      </c>
      <c r="D15" s="46">
        <v>206.0</v>
      </c>
      <c r="E15" s="45">
        <v>10.113883495145604</v>
      </c>
      <c r="F15" s="47"/>
      <c r="G15" s="45">
        <v>0.0</v>
      </c>
      <c r="H15" s="48">
        <v>0.0</v>
      </c>
      <c r="I15" s="50"/>
      <c r="K15" s="52"/>
      <c r="L15" s="53"/>
      <c r="M15" s="53"/>
      <c r="N15" s="53"/>
      <c r="O15" s="53"/>
      <c r="P15" s="53"/>
    </row>
    <row r="16" ht="48.75" customHeight="1">
      <c r="A16" s="55" t="str">
        <f>IFERROR(__xludf.DUMMYFUNCTION("""COMPUTED_VALUE"""),"AD040 - Tela dividida - PBB-ABR-26")</f>
        <v>AD040 - Tela dividida - PBB-ABR-26</v>
      </c>
      <c r="B16" s="34"/>
      <c r="C16" s="45">
        <v>3072.6599999999985</v>
      </c>
      <c r="D16" s="46">
        <v>314.0</v>
      </c>
      <c r="E16" s="45">
        <v>9.78554140127388</v>
      </c>
      <c r="F16" s="47"/>
      <c r="G16" s="45">
        <v>0.0</v>
      </c>
      <c r="H16" s="48">
        <v>0.0</v>
      </c>
      <c r="I16" s="50"/>
      <c r="K16" s="52"/>
      <c r="L16" s="53"/>
      <c r="M16" s="53"/>
      <c r="N16" s="53"/>
      <c r="O16" s="53"/>
      <c r="P16" s="53"/>
    </row>
    <row r="17" ht="48.75" customHeight="1">
      <c r="A17" s="55" t="str">
        <f>IFERROR(__xludf.DUMMYFUNCTION("""COMPUTED_VALUE"""),"AD112 - Dois personagens - Brabo + legenda - PBB-ABR-26")</f>
        <v>AD112 - Dois personagens - Brabo + legenda - PBB-ABR-26</v>
      </c>
      <c r="B17" s="34"/>
      <c r="C17" s="45">
        <v>3421.8399999999965</v>
      </c>
      <c r="D17" s="46">
        <v>491.0</v>
      </c>
      <c r="E17" s="45">
        <v>6.969124236252538</v>
      </c>
      <c r="F17" s="47">
        <v>6.0</v>
      </c>
      <c r="G17" s="45">
        <v>570.306666666666</v>
      </c>
      <c r="H17" s="48">
        <v>2.761058377948709</v>
      </c>
      <c r="I17" s="50"/>
      <c r="K17" s="52"/>
      <c r="L17" s="53"/>
      <c r="M17" s="53"/>
      <c r="N17" s="53"/>
      <c r="O17" s="53"/>
      <c r="P17" s="53"/>
    </row>
    <row r="18" ht="48.75" customHeight="1">
      <c r="A18" s="55" t="str">
        <f>IFERROR(__xludf.DUMMYFUNCTION("""COMPUTED_VALUE"""),"AD059 - Fachada Banco do Brasil + cx nova - PBB-ABR-26")</f>
        <v>AD059 - Fachada Banco do Brasil + cx nova - PBB-ABR-26</v>
      </c>
      <c r="B18" s="34"/>
      <c r="C18" s="45">
        <v>6021.94000000001</v>
      </c>
      <c r="D18" s="46">
        <v>1292.0</v>
      </c>
      <c r="E18" s="45">
        <v>4.660944272445827</v>
      </c>
      <c r="F18" s="47">
        <v>5.0</v>
      </c>
      <c r="G18" s="45">
        <v>1204.388000000002</v>
      </c>
      <c r="H18" s="48">
        <v>1.3074275067503143</v>
      </c>
      <c r="I18" s="50"/>
      <c r="K18" s="52"/>
      <c r="L18" s="53"/>
      <c r="M18" s="53"/>
      <c r="N18" s="53"/>
      <c r="O18" s="53"/>
      <c r="P18" s="53"/>
    </row>
    <row r="19" ht="48.75" customHeight="1">
      <c r="A19" s="55" t="str">
        <f>IFERROR(__xludf.DUMMYFUNCTION("""COMPUTED_VALUE"""),"AD103 - Felipe TV - PBB-ABR-26")</f>
        <v>AD103 - Felipe TV - PBB-ABR-26</v>
      </c>
      <c r="B19" s="34"/>
      <c r="C19" s="45">
        <v>1742.4099999999992</v>
      </c>
      <c r="D19" s="46">
        <v>56.0</v>
      </c>
      <c r="E19" s="45">
        <v>31.11446428571427</v>
      </c>
      <c r="F19" s="47"/>
      <c r="G19" s="45">
        <v>0.0</v>
      </c>
      <c r="H19" s="48">
        <v>0.0</v>
      </c>
      <c r="I19" s="50"/>
      <c r="K19" s="52"/>
      <c r="L19" s="53"/>
      <c r="M19" s="53"/>
      <c r="N19" s="53"/>
      <c r="O19" s="53"/>
      <c r="P19" s="53"/>
    </row>
    <row r="20" ht="48.75" customHeight="1">
      <c r="A20" s="55" t="str">
        <f>IFERROR(__xludf.DUMMYFUNCTION("""COMPUTED_VALUE"""),"AD102 - Dois personagens - Brabo - PBB-ABR-26")</f>
        <v>AD102 - Dois personagens - Brabo - PBB-ABR-26</v>
      </c>
      <c r="B20" s="34"/>
      <c r="C20" s="45">
        <v>895.7799999999999</v>
      </c>
      <c r="D20" s="46">
        <v>20.0</v>
      </c>
      <c r="E20" s="45">
        <v>44.788999999999994</v>
      </c>
      <c r="F20" s="47">
        <v>1.0</v>
      </c>
      <c r="G20" s="45">
        <v>895.7799999999999</v>
      </c>
      <c r="H20" s="48">
        <v>1.7578534908124765</v>
      </c>
      <c r="I20" s="50"/>
      <c r="K20" s="52"/>
      <c r="L20" s="53"/>
      <c r="M20" s="53"/>
      <c r="N20" s="53"/>
      <c r="O20" s="53"/>
      <c r="P20" s="53"/>
    </row>
    <row r="21" ht="48.75" customHeight="1">
      <c r="A21" s="55" t="str">
        <f>IFERROR(__xludf.DUMMYFUNCTION("""COMPUTED_VALUE"""),"AD111 - Dois personagens - Brabo + legenda - PBB-ABR-26")</f>
        <v>AD111 - Dois personagens - Brabo + legenda - PBB-ABR-26</v>
      </c>
      <c r="B21" s="34"/>
      <c r="C21" s="45">
        <v>1053.02</v>
      </c>
      <c r="D21" s="46">
        <v>29.0</v>
      </c>
      <c r="E21" s="45">
        <v>36.31103448275862</v>
      </c>
      <c r="F21" s="47">
        <v>1.0</v>
      </c>
      <c r="G21" s="45">
        <v>1053.02</v>
      </c>
      <c r="H21" s="48">
        <v>1.4953657100529905</v>
      </c>
      <c r="I21" s="50"/>
      <c r="K21" s="52"/>
      <c r="L21" s="53"/>
      <c r="M21" s="53"/>
      <c r="N21" s="53"/>
      <c r="O21" s="53"/>
      <c r="P21" s="53"/>
    </row>
    <row r="22" ht="48.75" customHeight="1">
      <c r="A22" s="55" t="str">
        <f>IFERROR(__xludf.DUMMYFUNCTION("""COMPUTED_VALUE"""),"AD090 - Dois personagens no divã - PBB-ABR-26")</f>
        <v>AD090 - Dois personagens no divã - PBB-ABR-26</v>
      </c>
      <c r="B22" s="34"/>
      <c r="C22" s="45">
        <v>3531.8600000000074</v>
      </c>
      <c r="D22" s="46">
        <v>268.0</v>
      </c>
      <c r="E22" s="45">
        <v>13.178582089552267</v>
      </c>
      <c r="F22" s="47"/>
      <c r="G22" s="45">
        <v>0.0</v>
      </c>
      <c r="H22" s="48">
        <v>0.0</v>
      </c>
      <c r="I22" s="50"/>
      <c r="K22" s="52"/>
      <c r="L22" s="53"/>
      <c r="M22" s="53"/>
      <c r="N22" s="53"/>
      <c r="O22" s="53"/>
      <c r="P22" s="53"/>
    </row>
    <row r="23" ht="48.75" customHeight="1">
      <c r="A23" s="55" t="str">
        <f>IFERROR(__xludf.DUMMYFUNCTION("""COMPUTED_VALUE"""),"AD091 - Dois personagens violão - PBB-ABR-26")</f>
        <v>AD091 - Dois personagens violão - PBB-ABR-26</v>
      </c>
      <c r="B23" s="34"/>
      <c r="C23" s="45">
        <v>1131.7900000000004</v>
      </c>
      <c r="D23" s="46">
        <v>30.0</v>
      </c>
      <c r="E23" s="45">
        <v>37.72633333333335</v>
      </c>
      <c r="F23" s="47">
        <v>2.0</v>
      </c>
      <c r="G23" s="45">
        <v>565.8950000000002</v>
      </c>
      <c r="H23" s="48">
        <v>2.782583341432597</v>
      </c>
      <c r="I23" s="50"/>
      <c r="K23" s="52"/>
      <c r="L23" s="53"/>
      <c r="M23" s="53"/>
      <c r="N23" s="53"/>
      <c r="O23" s="53"/>
      <c r="P23" s="53"/>
    </row>
    <row r="24" ht="48.75" customHeight="1">
      <c r="A24" s="55" t="str">
        <f>IFERROR(__xludf.DUMMYFUNCTION("""COMPUTED_VALUE"""),"AD110 - Banco do Brasil 2 - cx nova - PBB-ABR-26")</f>
        <v>AD110 - Banco do Brasil 2 - cx nova - PBB-ABR-26</v>
      </c>
      <c r="B24" s="34"/>
      <c r="C24" s="45">
        <v>9264.61000000001</v>
      </c>
      <c r="D24" s="46">
        <v>1729.0</v>
      </c>
      <c r="E24" s="45">
        <v>5.358363215731642</v>
      </c>
      <c r="F24" s="47">
        <v>3.0</v>
      </c>
      <c r="G24" s="45">
        <v>3088.2033333333366</v>
      </c>
      <c r="H24" s="48">
        <v>0.5098919436436068</v>
      </c>
      <c r="I24" s="50"/>
      <c r="K24" s="52"/>
      <c r="L24" s="53"/>
      <c r="M24" s="53"/>
      <c r="N24" s="53"/>
      <c r="O24" s="53"/>
      <c r="P24" s="53"/>
    </row>
    <row r="25" ht="48.75" customHeight="1">
      <c r="A25" s="55" t="str">
        <f>IFERROR(__xludf.DUMMYFUNCTION("""COMPUTED_VALUE"""),"AD109 - Fachada Banco do Brasil com cx PBB-ABR-26")</f>
        <v>AD109 - Fachada Banco do Brasil com cx PBB-ABR-26</v>
      </c>
      <c r="B25" s="34"/>
      <c r="C25" s="45">
        <v>3581.05</v>
      </c>
      <c r="D25" s="46">
        <v>749.0</v>
      </c>
      <c r="E25" s="45">
        <v>4.781108144192257</v>
      </c>
      <c r="F25" s="47"/>
      <c r="G25" s="45">
        <v>0.0</v>
      </c>
      <c r="H25" s="48">
        <v>0.0</v>
      </c>
      <c r="I25" s="50"/>
      <c r="K25" s="52"/>
      <c r="L25" s="53"/>
      <c r="M25" s="53"/>
      <c r="N25" s="53"/>
      <c r="O25" s="53"/>
      <c r="P25" s="53"/>
    </row>
    <row r="26" ht="48.75" customHeight="1">
      <c r="A26" s="55" t="str">
        <f>IFERROR(__xludf.DUMMYFUNCTION("""COMPUTED_VALUE"""),"AD114 - Flip chart colorido Estúdio - PBB-ABR-26")</f>
        <v>AD114 - Flip chart colorido Estúdio - PBB-ABR-26</v>
      </c>
      <c r="B26" s="34"/>
      <c r="C26" s="45">
        <v>674.53</v>
      </c>
      <c r="D26" s="46">
        <v>100.0</v>
      </c>
      <c r="E26" s="45">
        <v>6.745299999999999</v>
      </c>
      <c r="F26" s="47">
        <v>0.0</v>
      </c>
      <c r="G26" s="45">
        <v>0.0</v>
      </c>
      <c r="H26" s="48">
        <v>0.0</v>
      </c>
      <c r="I26" s="50"/>
      <c r="K26" s="52"/>
      <c r="L26" s="53"/>
      <c r="M26" s="53"/>
      <c r="N26" s="53"/>
      <c r="O26" s="53"/>
      <c r="P26" s="53"/>
    </row>
    <row r="27" ht="48.75" customHeight="1">
      <c r="A27" s="55" t="str">
        <f>IFERROR(__xludf.DUMMYFUNCTION("""COMPUTED_VALUE"""),"AD099 - Felipe sentado - PBB-ABR-26")</f>
        <v>AD099 - Felipe sentado - PBB-ABR-26</v>
      </c>
      <c r="B27" s="34"/>
      <c r="C27" s="45">
        <v>645.9000000000003</v>
      </c>
      <c r="D27" s="46">
        <v>71.0</v>
      </c>
      <c r="E27" s="45">
        <v>9.097183098591554</v>
      </c>
      <c r="F27" s="47">
        <v>2.0</v>
      </c>
      <c r="G27" s="45">
        <v>322.95000000000016</v>
      </c>
      <c r="H27" s="48">
        <v>4.8758321721628715</v>
      </c>
      <c r="I27" s="50"/>
      <c r="K27" s="52"/>
      <c r="L27" s="53"/>
      <c r="M27" s="53"/>
      <c r="N27" s="53"/>
      <c r="O27" s="53"/>
      <c r="P27" s="53"/>
    </row>
    <row r="28" ht="48.75" customHeight="1">
      <c r="A28" s="55" t="str">
        <f>IFERROR(__xludf.DUMMYFUNCTION("""COMPUTED_VALUE"""),"AD117 - Em frente ao Banco do Brasil - PBB-ABR-26")</f>
        <v>AD117 - Em frente ao Banco do Brasil - PBB-ABR-26</v>
      </c>
      <c r="B28" s="34"/>
      <c r="C28" s="45">
        <v>561.6400000000001</v>
      </c>
      <c r="D28" s="46">
        <v>85.0</v>
      </c>
      <c r="E28" s="45">
        <v>6.607529411764707</v>
      </c>
      <c r="F28" s="47">
        <v>0.0</v>
      </c>
      <c r="G28" s="45">
        <v>0.0</v>
      </c>
      <c r="H28" s="48">
        <v>0.0</v>
      </c>
      <c r="I28" s="50"/>
      <c r="K28" s="52"/>
      <c r="L28" s="53"/>
      <c r="M28" s="53"/>
      <c r="N28" s="53"/>
      <c r="O28" s="53"/>
      <c r="P28" s="53"/>
    </row>
    <row r="29" ht="48.75" customHeight="1">
      <c r="A29" s="55"/>
      <c r="B29" s="34" t="s">
        <v>30</v>
      </c>
      <c r="C29" s="45" t="s">
        <v>30</v>
      </c>
      <c r="D29" s="46" t="s">
        <v>30</v>
      </c>
      <c r="E29" s="45" t="s">
        <v>30</v>
      </c>
      <c r="F29" s="47">
        <v>0.0</v>
      </c>
      <c r="G29" s="45" t="s">
        <v>30</v>
      </c>
      <c r="H29" s="48" t="s">
        <v>30</v>
      </c>
      <c r="I29" s="50"/>
      <c r="K29" s="52"/>
      <c r="L29" s="53"/>
      <c r="M29" s="53"/>
      <c r="N29" s="53"/>
      <c r="O29" s="53"/>
      <c r="P29" s="53"/>
    </row>
    <row r="30" ht="48.75" customHeight="1">
      <c r="A30" s="56"/>
      <c r="B30" s="35" t="s">
        <v>30</v>
      </c>
      <c r="C30" s="64" t="s">
        <v>30</v>
      </c>
      <c r="D30" s="65" t="s">
        <v>30</v>
      </c>
      <c r="E30" s="66" t="s">
        <v>30</v>
      </c>
      <c r="F30" s="67">
        <v>0.0</v>
      </c>
      <c r="G30" s="66" t="s">
        <v>30</v>
      </c>
      <c r="H30" s="48" t="s">
        <v>30</v>
      </c>
      <c r="I30" s="50"/>
    </row>
    <row r="31" ht="48.75" customHeight="1">
      <c r="A31" s="71"/>
      <c r="B31" s="35" t="s">
        <v>30</v>
      </c>
      <c r="C31" s="64" t="s">
        <v>30</v>
      </c>
      <c r="D31" s="65" t="s">
        <v>30</v>
      </c>
      <c r="E31" s="66" t="s">
        <v>30</v>
      </c>
      <c r="F31" s="67">
        <v>0.0</v>
      </c>
      <c r="G31" s="66" t="s">
        <v>30</v>
      </c>
      <c r="H31" s="48" t="s">
        <v>30</v>
      </c>
      <c r="I31" s="50"/>
    </row>
    <row r="32" ht="48.75" customHeight="1">
      <c r="A32" s="56"/>
      <c r="B32" s="35" t="s">
        <v>30</v>
      </c>
      <c r="C32" s="64" t="s">
        <v>30</v>
      </c>
      <c r="D32" s="65" t="s">
        <v>30</v>
      </c>
      <c r="E32" s="66" t="s">
        <v>30</v>
      </c>
      <c r="F32" s="67">
        <v>0.0</v>
      </c>
      <c r="G32" s="66" t="s">
        <v>30</v>
      </c>
      <c r="H32" s="48" t="s">
        <v>30</v>
      </c>
      <c r="I32" s="50"/>
    </row>
    <row r="33" ht="48.75" customHeight="1">
      <c r="A33" s="71"/>
      <c r="B33" s="35" t="s">
        <v>30</v>
      </c>
      <c r="C33" s="64" t="s">
        <v>30</v>
      </c>
      <c r="D33" s="65" t="s">
        <v>30</v>
      </c>
      <c r="E33" s="66" t="s">
        <v>30</v>
      </c>
      <c r="F33" s="67">
        <v>0.0</v>
      </c>
      <c r="G33" s="66" t="s">
        <v>30</v>
      </c>
      <c r="H33" s="48" t="s">
        <v>30</v>
      </c>
      <c r="I33" s="50"/>
    </row>
    <row r="34" ht="48.75" customHeight="1">
      <c r="A34" s="56"/>
      <c r="B34" s="35" t="s">
        <v>30</v>
      </c>
      <c r="C34" s="64" t="s">
        <v>30</v>
      </c>
      <c r="D34" s="65" t="s">
        <v>30</v>
      </c>
      <c r="E34" s="66" t="s">
        <v>30</v>
      </c>
      <c r="F34" s="67"/>
      <c r="G34" s="66" t="s">
        <v>30</v>
      </c>
      <c r="H34" s="48" t="s">
        <v>30</v>
      </c>
      <c r="I34" s="50"/>
    </row>
    <row r="35" ht="48.75" customHeight="1">
      <c r="A35" s="56"/>
      <c r="B35" s="35" t="s">
        <v>30</v>
      </c>
      <c r="C35" s="64" t="s">
        <v>30</v>
      </c>
      <c r="D35" s="65" t="s">
        <v>30</v>
      </c>
      <c r="E35" s="66" t="s">
        <v>30</v>
      </c>
      <c r="F35" s="67"/>
      <c r="G35" s="66" t="s">
        <v>30</v>
      </c>
      <c r="H35" s="48" t="s">
        <v>30</v>
      </c>
      <c r="I35" s="50"/>
    </row>
    <row r="36" ht="48.75" customHeight="1">
      <c r="A36" s="56"/>
      <c r="B36" s="35" t="s">
        <v>30</v>
      </c>
      <c r="C36" s="64" t="s">
        <v>30</v>
      </c>
      <c r="D36" s="65" t="s">
        <v>30</v>
      </c>
      <c r="E36" s="66" t="s">
        <v>30</v>
      </c>
      <c r="F36" s="67"/>
      <c r="G36" s="66" t="s">
        <v>30</v>
      </c>
      <c r="H36" s="48" t="s">
        <v>30</v>
      </c>
      <c r="I36" s="50"/>
    </row>
    <row r="37" ht="48.75" customHeight="1">
      <c r="A37" s="56"/>
      <c r="B37" s="35" t="s">
        <v>30</v>
      </c>
      <c r="C37" s="64" t="s">
        <v>30</v>
      </c>
      <c r="D37" s="65" t="s">
        <v>30</v>
      </c>
      <c r="E37" s="66" t="s">
        <v>30</v>
      </c>
      <c r="F37" s="67"/>
      <c r="G37" s="66" t="s">
        <v>30</v>
      </c>
      <c r="H37" s="48" t="s">
        <v>30</v>
      </c>
      <c r="I37" s="50"/>
    </row>
    <row r="38" ht="48.75" customHeight="1">
      <c r="A38" s="56"/>
      <c r="B38" s="35" t="s">
        <v>30</v>
      </c>
      <c r="C38" s="64" t="s">
        <v>30</v>
      </c>
      <c r="D38" s="65" t="s">
        <v>30</v>
      </c>
      <c r="E38" s="66" t="s">
        <v>30</v>
      </c>
      <c r="F38" s="67"/>
      <c r="G38" s="66" t="s">
        <v>30</v>
      </c>
      <c r="H38" s="48" t="s">
        <v>30</v>
      </c>
      <c r="I38" s="50"/>
    </row>
    <row r="39" ht="48.75" customHeight="1">
      <c r="A39" s="56"/>
      <c r="B39" s="35" t="s">
        <v>30</v>
      </c>
      <c r="C39" s="64" t="s">
        <v>30</v>
      </c>
      <c r="D39" s="65" t="s">
        <v>30</v>
      </c>
      <c r="E39" s="66" t="s">
        <v>30</v>
      </c>
      <c r="F39" s="67"/>
      <c r="G39" s="66" t="s">
        <v>30</v>
      </c>
      <c r="H39" s="48" t="s">
        <v>30</v>
      </c>
      <c r="I39" s="70"/>
    </row>
    <row r="40" ht="48.75" customHeight="1">
      <c r="A40" s="56"/>
      <c r="B40" s="35" t="s">
        <v>30</v>
      </c>
      <c r="C40" s="64" t="s">
        <v>30</v>
      </c>
      <c r="D40" s="65" t="s">
        <v>30</v>
      </c>
      <c r="E40" s="66" t="s">
        <v>30</v>
      </c>
      <c r="F40" s="67"/>
      <c r="G40" s="66" t="s">
        <v>30</v>
      </c>
      <c r="H40" s="48" t="s">
        <v>30</v>
      </c>
      <c r="I40" s="50"/>
    </row>
    <row r="41" ht="48.75" customHeight="1">
      <c r="A41" s="56"/>
      <c r="B41" s="35" t="s">
        <v>30</v>
      </c>
      <c r="C41" s="64" t="s">
        <v>30</v>
      </c>
      <c r="D41" s="65" t="s">
        <v>30</v>
      </c>
      <c r="E41" s="66" t="s">
        <v>30</v>
      </c>
      <c r="F41" s="67"/>
      <c r="G41" s="66" t="s">
        <v>30</v>
      </c>
      <c r="H41" s="48" t="s">
        <v>30</v>
      </c>
      <c r="I41" s="50"/>
    </row>
    <row r="42" ht="48.75" customHeight="1">
      <c r="A42" s="56"/>
      <c r="B42" s="35" t="s">
        <v>30</v>
      </c>
      <c r="C42" s="64" t="s">
        <v>30</v>
      </c>
      <c r="D42" s="65" t="s">
        <v>30</v>
      </c>
      <c r="E42" s="66" t="s">
        <v>30</v>
      </c>
      <c r="F42" s="67"/>
      <c r="G42" s="66" t="s">
        <v>30</v>
      </c>
      <c r="H42" s="48" t="s">
        <v>30</v>
      </c>
      <c r="I42" s="70"/>
    </row>
    <row r="43" ht="48.75" customHeight="1">
      <c r="A43" s="71"/>
      <c r="B43" s="35" t="s">
        <v>30</v>
      </c>
      <c r="C43" s="64" t="s">
        <v>30</v>
      </c>
      <c r="D43" s="65" t="s">
        <v>30</v>
      </c>
      <c r="E43" s="66" t="s">
        <v>30</v>
      </c>
      <c r="F43" s="67"/>
      <c r="G43" s="66" t="s">
        <v>30</v>
      </c>
      <c r="H43" s="48" t="s">
        <v>30</v>
      </c>
      <c r="I43" s="50"/>
    </row>
    <row r="44" ht="48.75" customHeight="1">
      <c r="A44" s="71"/>
      <c r="B44" s="35" t="s">
        <v>30</v>
      </c>
      <c r="C44" s="64" t="s">
        <v>30</v>
      </c>
      <c r="D44" s="65" t="s">
        <v>30</v>
      </c>
      <c r="E44" s="66" t="s">
        <v>30</v>
      </c>
      <c r="F44" s="67"/>
      <c r="G44" s="66" t="s">
        <v>30</v>
      </c>
      <c r="H44" s="48" t="s">
        <v>30</v>
      </c>
      <c r="I44" s="50"/>
    </row>
    <row r="45" ht="48.75" customHeight="1">
      <c r="A45" s="56"/>
      <c r="B45" s="35" t="s">
        <v>30</v>
      </c>
      <c r="C45" s="64" t="s">
        <v>30</v>
      </c>
      <c r="D45" s="65" t="s">
        <v>30</v>
      </c>
      <c r="E45" s="66" t="s">
        <v>30</v>
      </c>
      <c r="F45" s="67"/>
      <c r="G45" s="66" t="s">
        <v>30</v>
      </c>
      <c r="H45" s="48" t="s">
        <v>30</v>
      </c>
      <c r="I45" s="50"/>
    </row>
    <row r="46" ht="48.75" customHeight="1">
      <c r="A46" s="56"/>
      <c r="B46" s="35" t="s">
        <v>30</v>
      </c>
      <c r="C46" s="64" t="s">
        <v>30</v>
      </c>
      <c r="D46" s="65" t="s">
        <v>30</v>
      </c>
      <c r="E46" s="66" t="s">
        <v>30</v>
      </c>
      <c r="F46" s="67"/>
      <c r="G46" s="66" t="s">
        <v>30</v>
      </c>
      <c r="H46" s="48" t="s">
        <v>30</v>
      </c>
      <c r="I46" s="50"/>
    </row>
    <row r="47" ht="48.75" customHeight="1">
      <c r="A47" s="56"/>
      <c r="B47" s="35" t="s">
        <v>30</v>
      </c>
      <c r="C47" s="64" t="s">
        <v>30</v>
      </c>
      <c r="D47" s="65" t="s">
        <v>30</v>
      </c>
      <c r="E47" s="66" t="s">
        <v>30</v>
      </c>
      <c r="F47" s="67"/>
      <c r="G47" s="66" t="s">
        <v>30</v>
      </c>
      <c r="H47" s="48" t="s">
        <v>30</v>
      </c>
      <c r="I47" s="50"/>
    </row>
    <row r="48" ht="48.75" customHeight="1">
      <c r="A48" s="56"/>
      <c r="B48" s="35" t="s">
        <v>30</v>
      </c>
      <c r="C48" s="64" t="s">
        <v>30</v>
      </c>
      <c r="D48" s="65" t="s">
        <v>30</v>
      </c>
      <c r="E48" s="66" t="s">
        <v>30</v>
      </c>
      <c r="F48" s="67"/>
      <c r="G48" s="66" t="s">
        <v>30</v>
      </c>
      <c r="H48" s="48" t="s">
        <v>30</v>
      </c>
      <c r="I48" s="50"/>
    </row>
    <row r="49" ht="48.75" customHeight="1">
      <c r="A49" s="56"/>
      <c r="B49" s="35" t="s">
        <v>30</v>
      </c>
      <c r="C49" s="64" t="s">
        <v>30</v>
      </c>
      <c r="D49" s="65" t="s">
        <v>30</v>
      </c>
      <c r="E49" s="66" t="s">
        <v>30</v>
      </c>
      <c r="F49" s="67"/>
      <c r="G49" s="66" t="s">
        <v>30</v>
      </c>
      <c r="H49" s="48" t="s">
        <v>30</v>
      </c>
      <c r="I49" s="50"/>
    </row>
    <row r="50" ht="48.75" customHeight="1">
      <c r="A50" s="56"/>
      <c r="B50" s="35" t="s">
        <v>30</v>
      </c>
      <c r="C50" s="64" t="s">
        <v>30</v>
      </c>
      <c r="D50" s="65" t="s">
        <v>30</v>
      </c>
      <c r="E50" s="66" t="s">
        <v>30</v>
      </c>
      <c r="F50" s="67"/>
      <c r="G50" s="66" t="s">
        <v>30</v>
      </c>
      <c r="H50" s="48" t="s">
        <v>30</v>
      </c>
      <c r="I50" s="70"/>
    </row>
    <row r="51" ht="48.75" customHeight="1">
      <c r="A51" s="56"/>
      <c r="B51" s="35" t="s">
        <v>30</v>
      </c>
      <c r="C51" s="64" t="s">
        <v>30</v>
      </c>
      <c r="D51" s="65" t="s">
        <v>30</v>
      </c>
      <c r="E51" s="66" t="s">
        <v>30</v>
      </c>
      <c r="F51" s="67"/>
      <c r="G51" s="66" t="s">
        <v>30</v>
      </c>
      <c r="H51" s="48" t="s">
        <v>30</v>
      </c>
      <c r="I51" s="50"/>
    </row>
    <row r="52" ht="48.75" customHeight="1">
      <c r="A52" s="56"/>
      <c r="B52" s="35" t="s">
        <v>30</v>
      </c>
      <c r="C52" s="64" t="s">
        <v>30</v>
      </c>
      <c r="D52" s="65" t="s">
        <v>30</v>
      </c>
      <c r="E52" s="66" t="s">
        <v>30</v>
      </c>
      <c r="F52" s="67"/>
      <c r="G52" s="66" t="s">
        <v>30</v>
      </c>
      <c r="H52" s="48" t="s">
        <v>30</v>
      </c>
      <c r="I52" s="70"/>
    </row>
    <row r="53" ht="48.75" customHeight="1">
      <c r="A53" s="56"/>
      <c r="B53" s="35" t="s">
        <v>30</v>
      </c>
      <c r="C53" s="64" t="s">
        <v>30</v>
      </c>
      <c r="D53" s="65" t="s">
        <v>30</v>
      </c>
      <c r="E53" s="66" t="s">
        <v>30</v>
      </c>
      <c r="F53" s="67"/>
      <c r="G53" s="66" t="s">
        <v>30</v>
      </c>
      <c r="H53" s="48" t="s">
        <v>30</v>
      </c>
      <c r="I53" s="50"/>
    </row>
    <row r="54" ht="48.75" customHeight="1">
      <c r="A54" s="56"/>
      <c r="B54" s="35" t="s">
        <v>30</v>
      </c>
      <c r="C54" s="64" t="s">
        <v>30</v>
      </c>
      <c r="D54" s="65" t="s">
        <v>30</v>
      </c>
      <c r="E54" s="66" t="s">
        <v>30</v>
      </c>
      <c r="F54" s="67"/>
      <c r="G54" s="66" t="s">
        <v>30</v>
      </c>
      <c r="H54" s="48" t="s">
        <v>30</v>
      </c>
      <c r="I54" s="50"/>
    </row>
    <row r="55" ht="48.75" customHeight="1">
      <c r="A55" s="56"/>
      <c r="B55" s="35" t="s">
        <v>30</v>
      </c>
      <c r="C55" s="64" t="s">
        <v>30</v>
      </c>
      <c r="D55" s="65" t="s">
        <v>30</v>
      </c>
      <c r="E55" s="66" t="s">
        <v>30</v>
      </c>
      <c r="F55" s="67"/>
      <c r="G55" s="66" t="s">
        <v>30</v>
      </c>
      <c r="H55" s="48" t="s">
        <v>30</v>
      </c>
      <c r="I55" s="50"/>
    </row>
    <row r="56" ht="48.75" customHeight="1">
      <c r="A56" s="56"/>
      <c r="B56" s="37" t="s">
        <v>30</v>
      </c>
      <c r="C56" s="64" t="s">
        <v>30</v>
      </c>
      <c r="D56" s="65" t="s">
        <v>30</v>
      </c>
      <c r="E56" s="66" t="s">
        <v>30</v>
      </c>
      <c r="F56" s="67"/>
      <c r="G56" s="66" t="s">
        <v>30</v>
      </c>
      <c r="H56" s="48" t="s">
        <v>30</v>
      </c>
      <c r="I56" s="70"/>
    </row>
    <row r="57" ht="48.75" customHeight="1">
      <c r="A57" s="56"/>
      <c r="B57" s="35" t="s">
        <v>30</v>
      </c>
      <c r="C57" s="64" t="s">
        <v>30</v>
      </c>
      <c r="D57" s="65" t="s">
        <v>30</v>
      </c>
      <c r="E57" s="66" t="s">
        <v>30</v>
      </c>
      <c r="F57" s="67"/>
      <c r="G57" s="66" t="s">
        <v>30</v>
      </c>
      <c r="H57" s="48" t="s">
        <v>30</v>
      </c>
      <c r="I57" s="70"/>
    </row>
    <row r="58" ht="48.75" customHeight="1">
      <c r="A58" s="56"/>
      <c r="B58" s="35" t="s">
        <v>30</v>
      </c>
      <c r="C58" s="64" t="s">
        <v>30</v>
      </c>
      <c r="D58" s="65" t="s">
        <v>30</v>
      </c>
      <c r="E58" s="66" t="s">
        <v>30</v>
      </c>
      <c r="F58" s="67"/>
      <c r="G58" s="66" t="s">
        <v>30</v>
      </c>
      <c r="H58" s="48" t="s">
        <v>30</v>
      </c>
      <c r="I58" s="50"/>
    </row>
    <row r="59" ht="48.75" customHeight="1">
      <c r="A59" s="56"/>
      <c r="B59" s="35" t="s">
        <v>30</v>
      </c>
      <c r="C59" s="64" t="s">
        <v>30</v>
      </c>
      <c r="D59" s="65" t="s">
        <v>30</v>
      </c>
      <c r="E59" s="66" t="s">
        <v>30</v>
      </c>
      <c r="F59" s="67"/>
      <c r="G59" s="66" t="s">
        <v>30</v>
      </c>
      <c r="H59" s="48" t="s">
        <v>30</v>
      </c>
      <c r="I59" s="50"/>
    </row>
    <row r="60" ht="48.75" customHeight="1">
      <c r="A60" s="56"/>
      <c r="B60" s="35" t="s">
        <v>30</v>
      </c>
      <c r="C60" s="64" t="s">
        <v>30</v>
      </c>
      <c r="D60" s="65" t="s">
        <v>30</v>
      </c>
      <c r="E60" s="66" t="s">
        <v>30</v>
      </c>
      <c r="F60" s="67"/>
      <c r="G60" s="66" t="s">
        <v>30</v>
      </c>
      <c r="H60" s="48" t="s">
        <v>30</v>
      </c>
      <c r="I60" s="70"/>
    </row>
    <row r="61" ht="48.75" customHeight="1">
      <c r="A61" s="71"/>
      <c r="B61" s="35" t="s">
        <v>30</v>
      </c>
      <c r="C61" s="64" t="s">
        <v>30</v>
      </c>
      <c r="D61" s="65" t="s">
        <v>30</v>
      </c>
      <c r="E61" s="66" t="s">
        <v>30</v>
      </c>
      <c r="F61" s="67"/>
      <c r="G61" s="66" t="s">
        <v>30</v>
      </c>
      <c r="H61" s="48" t="s">
        <v>30</v>
      </c>
      <c r="I61" s="50"/>
    </row>
    <row r="62" ht="48.75" customHeight="1">
      <c r="A62" s="71"/>
      <c r="B62" s="35" t="s">
        <v>30</v>
      </c>
      <c r="C62" s="64" t="s">
        <v>30</v>
      </c>
      <c r="D62" s="65" t="s">
        <v>30</v>
      </c>
      <c r="E62" s="66" t="s">
        <v>30</v>
      </c>
      <c r="F62" s="67"/>
      <c r="G62" s="66" t="s">
        <v>30</v>
      </c>
      <c r="H62" s="48" t="s">
        <v>30</v>
      </c>
      <c r="I62" s="50"/>
    </row>
    <row r="63" ht="48.75" customHeight="1">
      <c r="A63" s="56"/>
      <c r="B63" s="35" t="s">
        <v>30</v>
      </c>
      <c r="C63" s="64" t="s">
        <v>30</v>
      </c>
      <c r="D63" s="65" t="s">
        <v>30</v>
      </c>
      <c r="E63" s="66" t="s">
        <v>30</v>
      </c>
      <c r="F63" s="67"/>
      <c r="G63" s="66" t="s">
        <v>30</v>
      </c>
      <c r="H63" s="48" t="s">
        <v>30</v>
      </c>
      <c r="I63" s="50"/>
    </row>
    <row r="64" ht="48.75" customHeight="1">
      <c r="A64" s="56"/>
      <c r="B64" s="35" t="s">
        <v>30</v>
      </c>
      <c r="C64" s="64" t="s">
        <v>30</v>
      </c>
      <c r="D64" s="65" t="s">
        <v>30</v>
      </c>
      <c r="E64" s="66" t="s">
        <v>30</v>
      </c>
      <c r="F64" s="67"/>
      <c r="G64" s="66" t="s">
        <v>30</v>
      </c>
      <c r="H64" s="48" t="s">
        <v>30</v>
      </c>
      <c r="I64" s="50"/>
    </row>
    <row r="65" ht="48.75" customHeight="1">
      <c r="A65" s="71"/>
      <c r="B65" s="35" t="s">
        <v>30</v>
      </c>
      <c r="C65" s="64" t="s">
        <v>30</v>
      </c>
      <c r="D65" s="65" t="s">
        <v>30</v>
      </c>
      <c r="E65" s="66" t="s">
        <v>30</v>
      </c>
      <c r="F65" s="67"/>
      <c r="G65" s="66" t="s">
        <v>30</v>
      </c>
      <c r="H65" s="48" t="s">
        <v>30</v>
      </c>
      <c r="I65" s="50"/>
    </row>
    <row r="66" ht="48.75" customHeight="1">
      <c r="A66" s="56"/>
      <c r="B66" s="35" t="s">
        <v>30</v>
      </c>
      <c r="C66" s="64" t="s">
        <v>30</v>
      </c>
      <c r="D66" s="65" t="s">
        <v>30</v>
      </c>
      <c r="E66" s="66" t="s">
        <v>30</v>
      </c>
      <c r="F66" s="67"/>
      <c r="G66" s="66" t="s">
        <v>30</v>
      </c>
      <c r="H66" s="48" t="s">
        <v>30</v>
      </c>
      <c r="I66" s="50"/>
    </row>
    <row r="67" ht="48.75" customHeight="1">
      <c r="A67" s="71"/>
      <c r="B67" s="35" t="s">
        <v>30</v>
      </c>
      <c r="C67" s="64" t="s">
        <v>30</v>
      </c>
      <c r="D67" s="65" t="s">
        <v>30</v>
      </c>
      <c r="E67" s="66" t="s">
        <v>30</v>
      </c>
      <c r="F67" s="67"/>
      <c r="G67" s="66" t="s">
        <v>30</v>
      </c>
      <c r="H67" s="48" t="s">
        <v>30</v>
      </c>
      <c r="I67" s="70"/>
    </row>
    <row r="68" ht="48.75" customHeight="1">
      <c r="A68" s="71"/>
      <c r="B68" s="35" t="s">
        <v>30</v>
      </c>
      <c r="C68" s="64" t="s">
        <v>30</v>
      </c>
      <c r="D68" s="65" t="s">
        <v>30</v>
      </c>
      <c r="E68" s="66" t="s">
        <v>30</v>
      </c>
      <c r="F68" s="67"/>
      <c r="G68" s="66" t="s">
        <v>30</v>
      </c>
      <c r="H68" s="48" t="s">
        <v>30</v>
      </c>
      <c r="I68" s="50"/>
    </row>
    <row r="69" ht="48.75" customHeight="1">
      <c r="A69" s="71"/>
      <c r="B69" s="35" t="s">
        <v>30</v>
      </c>
      <c r="C69" s="64" t="s">
        <v>30</v>
      </c>
      <c r="D69" s="65" t="s">
        <v>30</v>
      </c>
      <c r="E69" s="66" t="s">
        <v>30</v>
      </c>
      <c r="F69" s="67"/>
      <c r="G69" s="66" t="s">
        <v>30</v>
      </c>
      <c r="H69" s="48" t="s">
        <v>30</v>
      </c>
      <c r="I69" s="50"/>
    </row>
    <row r="70" ht="48.75" customHeight="1">
      <c r="A70" s="56"/>
      <c r="B70" s="35" t="s">
        <v>30</v>
      </c>
      <c r="C70" s="64" t="s">
        <v>30</v>
      </c>
      <c r="D70" s="65" t="s">
        <v>30</v>
      </c>
      <c r="E70" s="66" t="s">
        <v>30</v>
      </c>
      <c r="F70" s="67"/>
      <c r="G70" s="66" t="s">
        <v>30</v>
      </c>
      <c r="H70" s="48" t="s">
        <v>30</v>
      </c>
      <c r="I70" s="70"/>
    </row>
    <row r="71" ht="48.75" customHeight="1">
      <c r="A71" s="56"/>
      <c r="B71" s="35" t="s">
        <v>30</v>
      </c>
      <c r="C71" s="64" t="s">
        <v>30</v>
      </c>
      <c r="D71" s="65" t="s">
        <v>30</v>
      </c>
      <c r="E71" s="66" t="s">
        <v>30</v>
      </c>
      <c r="F71" s="67"/>
      <c r="G71" s="66" t="s">
        <v>30</v>
      </c>
      <c r="H71" s="48" t="s">
        <v>30</v>
      </c>
      <c r="I71" s="70"/>
    </row>
    <row r="72" ht="48.75" customHeight="1">
      <c r="A72" s="56"/>
      <c r="B72" s="35" t="s">
        <v>30</v>
      </c>
      <c r="C72" s="64" t="s">
        <v>30</v>
      </c>
      <c r="D72" s="65" t="s">
        <v>30</v>
      </c>
      <c r="E72" s="66" t="s">
        <v>30</v>
      </c>
      <c r="F72" s="67"/>
      <c r="G72" s="66" t="s">
        <v>30</v>
      </c>
      <c r="H72" s="48" t="s">
        <v>30</v>
      </c>
      <c r="I72" s="50"/>
    </row>
    <row r="73" ht="48.75" customHeight="1">
      <c r="A73" s="71"/>
      <c r="B73" s="35" t="s">
        <v>30</v>
      </c>
      <c r="C73" s="64" t="s">
        <v>30</v>
      </c>
      <c r="D73" s="65" t="s">
        <v>30</v>
      </c>
      <c r="E73" s="66" t="s">
        <v>30</v>
      </c>
      <c r="F73" s="67"/>
      <c r="G73" s="66" t="s">
        <v>30</v>
      </c>
      <c r="H73" s="48" t="s">
        <v>30</v>
      </c>
      <c r="I73" s="50"/>
    </row>
    <row r="74" ht="48.75" customHeight="1">
      <c r="A74" s="71"/>
      <c r="B74" s="35" t="s">
        <v>30</v>
      </c>
      <c r="C74" s="64" t="s">
        <v>30</v>
      </c>
      <c r="D74" s="65" t="s">
        <v>30</v>
      </c>
      <c r="E74" s="66" t="s">
        <v>30</v>
      </c>
      <c r="F74" s="67"/>
      <c r="G74" s="66" t="s">
        <v>30</v>
      </c>
      <c r="H74" s="48" t="s">
        <v>30</v>
      </c>
      <c r="I74" s="70"/>
    </row>
    <row r="75" ht="48.75" customHeight="1">
      <c r="A75" s="71"/>
      <c r="B75" s="35" t="s">
        <v>30</v>
      </c>
      <c r="C75" s="64" t="s">
        <v>30</v>
      </c>
      <c r="D75" s="65" t="s">
        <v>30</v>
      </c>
      <c r="E75" s="66" t="s">
        <v>30</v>
      </c>
      <c r="F75" s="67"/>
      <c r="G75" s="66" t="s">
        <v>30</v>
      </c>
      <c r="H75" s="48" t="s">
        <v>30</v>
      </c>
      <c r="I75" s="50"/>
    </row>
    <row r="76" ht="48.75" customHeight="1">
      <c r="A76" s="71"/>
      <c r="B76" s="35" t="s">
        <v>30</v>
      </c>
      <c r="C76" s="64" t="s">
        <v>30</v>
      </c>
      <c r="D76" s="65" t="s">
        <v>30</v>
      </c>
      <c r="E76" s="66" t="s">
        <v>30</v>
      </c>
      <c r="F76" s="67"/>
      <c r="G76" s="66" t="s">
        <v>30</v>
      </c>
      <c r="H76" s="48" t="s">
        <v>30</v>
      </c>
      <c r="I76" s="70"/>
    </row>
    <row r="77" ht="48.75" customHeight="1">
      <c r="A77" s="71"/>
      <c r="B77" s="35" t="s">
        <v>30</v>
      </c>
      <c r="C77" s="64" t="s">
        <v>30</v>
      </c>
      <c r="D77" s="65" t="s">
        <v>30</v>
      </c>
      <c r="E77" s="66" t="s">
        <v>30</v>
      </c>
      <c r="F77" s="67"/>
      <c r="G77" s="66" t="s">
        <v>30</v>
      </c>
      <c r="H77" s="48" t="s">
        <v>30</v>
      </c>
      <c r="I77" s="70"/>
    </row>
    <row r="78" ht="48.75" customHeight="1">
      <c r="A78" s="71"/>
      <c r="B78" s="35" t="s">
        <v>30</v>
      </c>
      <c r="C78" s="64" t="s">
        <v>30</v>
      </c>
      <c r="D78" s="65" t="s">
        <v>30</v>
      </c>
      <c r="E78" s="66" t="s">
        <v>30</v>
      </c>
      <c r="F78" s="67"/>
      <c r="G78" s="66" t="s">
        <v>30</v>
      </c>
      <c r="H78" s="48" t="s">
        <v>30</v>
      </c>
      <c r="I78" s="70"/>
    </row>
    <row r="79" ht="48.75" customHeight="1">
      <c r="A79" s="71"/>
      <c r="B79" s="35" t="s">
        <v>30</v>
      </c>
      <c r="C79" s="64" t="s">
        <v>30</v>
      </c>
      <c r="D79" s="65" t="s">
        <v>30</v>
      </c>
      <c r="E79" s="66" t="s">
        <v>30</v>
      </c>
      <c r="F79" s="67"/>
      <c r="G79" s="66" t="s">
        <v>30</v>
      </c>
      <c r="H79" s="48" t="s">
        <v>30</v>
      </c>
      <c r="I79" s="70"/>
    </row>
    <row r="80" ht="48.75" customHeight="1">
      <c r="A80" s="71"/>
      <c r="B80" s="35" t="s">
        <v>30</v>
      </c>
      <c r="C80" s="64" t="s">
        <v>30</v>
      </c>
      <c r="D80" s="65" t="s">
        <v>30</v>
      </c>
      <c r="E80" s="66" t="s">
        <v>30</v>
      </c>
      <c r="F80" s="67"/>
      <c r="G80" s="66" t="s">
        <v>30</v>
      </c>
      <c r="H80" s="48" t="s">
        <v>30</v>
      </c>
      <c r="I80" s="50"/>
    </row>
    <row r="81" ht="48.75" customHeight="1">
      <c r="A81" s="71"/>
      <c r="B81" s="35" t="s">
        <v>30</v>
      </c>
      <c r="C81" s="64" t="s">
        <v>30</v>
      </c>
      <c r="D81" s="65" t="s">
        <v>30</v>
      </c>
      <c r="E81" s="66" t="s">
        <v>30</v>
      </c>
      <c r="F81" s="67"/>
      <c r="G81" s="66" t="s">
        <v>30</v>
      </c>
      <c r="H81" s="48" t="s">
        <v>30</v>
      </c>
      <c r="I81" s="70"/>
    </row>
    <row r="82" ht="48.75" customHeight="1">
      <c r="A82" s="56"/>
      <c r="B82" s="35" t="s">
        <v>30</v>
      </c>
      <c r="C82" s="64" t="s">
        <v>30</v>
      </c>
      <c r="D82" s="65" t="s">
        <v>30</v>
      </c>
      <c r="E82" s="66" t="s">
        <v>30</v>
      </c>
      <c r="F82" s="67"/>
      <c r="G82" s="66" t="s">
        <v>30</v>
      </c>
      <c r="H82" s="48" t="s">
        <v>30</v>
      </c>
      <c r="I82" s="50"/>
    </row>
    <row r="83" ht="48.75" customHeight="1">
      <c r="A83" s="71"/>
      <c r="B83" s="35" t="s">
        <v>30</v>
      </c>
      <c r="C83" s="64" t="s">
        <v>30</v>
      </c>
      <c r="D83" s="65" t="s">
        <v>30</v>
      </c>
      <c r="E83" s="66" t="s">
        <v>30</v>
      </c>
      <c r="F83" s="67"/>
      <c r="G83" s="66" t="s">
        <v>30</v>
      </c>
      <c r="H83" s="48" t="s">
        <v>30</v>
      </c>
      <c r="I83" s="50"/>
    </row>
    <row r="84" ht="48.75" customHeight="1">
      <c r="A84" s="71"/>
      <c r="B84" s="35" t="s">
        <v>30</v>
      </c>
      <c r="C84" s="64" t="s">
        <v>30</v>
      </c>
      <c r="D84" s="65" t="s">
        <v>30</v>
      </c>
      <c r="E84" s="66" t="s">
        <v>30</v>
      </c>
      <c r="F84" s="67"/>
      <c r="G84" s="66" t="s">
        <v>30</v>
      </c>
      <c r="H84" s="48" t="s">
        <v>30</v>
      </c>
      <c r="I84" s="70"/>
    </row>
    <row r="85" ht="48.75" customHeight="1">
      <c r="A85" s="56"/>
      <c r="B85" s="35" t="s">
        <v>30</v>
      </c>
      <c r="C85" s="64" t="s">
        <v>30</v>
      </c>
      <c r="D85" s="65" t="s">
        <v>30</v>
      </c>
      <c r="E85" s="66" t="s">
        <v>30</v>
      </c>
      <c r="F85" s="67"/>
      <c r="G85" s="66" t="s">
        <v>30</v>
      </c>
      <c r="H85" s="48" t="s">
        <v>30</v>
      </c>
      <c r="I85" s="50"/>
    </row>
    <row r="86" ht="48.75" customHeight="1">
      <c r="A86" s="71"/>
      <c r="B86" s="35" t="s">
        <v>30</v>
      </c>
      <c r="C86" s="64" t="s">
        <v>30</v>
      </c>
      <c r="D86" s="65" t="s">
        <v>30</v>
      </c>
      <c r="E86" s="66" t="s">
        <v>30</v>
      </c>
      <c r="F86" s="67"/>
      <c r="G86" s="66" t="s">
        <v>30</v>
      </c>
      <c r="H86" s="48" t="s">
        <v>30</v>
      </c>
      <c r="I86" s="50"/>
    </row>
    <row r="87" ht="48.75" customHeight="1">
      <c r="A87" s="71"/>
      <c r="B87" s="35" t="s">
        <v>30</v>
      </c>
      <c r="C87" s="64" t="s">
        <v>30</v>
      </c>
      <c r="D87" s="65" t="s">
        <v>30</v>
      </c>
      <c r="E87" s="66" t="s">
        <v>30</v>
      </c>
      <c r="F87" s="67"/>
      <c r="G87" s="66" t="s">
        <v>30</v>
      </c>
      <c r="H87" s="48" t="s">
        <v>30</v>
      </c>
      <c r="I87" s="50"/>
    </row>
    <row r="88" ht="48.75" customHeight="1">
      <c r="A88" s="71"/>
      <c r="B88" s="35" t="s">
        <v>30</v>
      </c>
      <c r="C88" s="64" t="s">
        <v>30</v>
      </c>
      <c r="D88" s="65" t="s">
        <v>30</v>
      </c>
      <c r="E88" s="66" t="s">
        <v>30</v>
      </c>
      <c r="F88" s="67"/>
      <c r="G88" s="66" t="s">
        <v>30</v>
      </c>
      <c r="H88" s="48" t="s">
        <v>30</v>
      </c>
      <c r="I88" s="50"/>
    </row>
    <row r="89" ht="48.75" customHeight="1">
      <c r="A89" s="56"/>
      <c r="B89" s="35" t="s">
        <v>30</v>
      </c>
      <c r="C89" s="64" t="s">
        <v>30</v>
      </c>
      <c r="D89" s="65" t="s">
        <v>30</v>
      </c>
      <c r="E89" s="66" t="s">
        <v>30</v>
      </c>
      <c r="F89" s="67"/>
      <c r="G89" s="66" t="s">
        <v>30</v>
      </c>
      <c r="H89" s="48" t="s">
        <v>30</v>
      </c>
      <c r="I89" s="50"/>
    </row>
    <row r="90">
      <c r="B90" s="72" t="s">
        <v>30</v>
      </c>
      <c r="C90" s="73" t="s">
        <v>30</v>
      </c>
      <c r="D90" s="72" t="s">
        <v>30</v>
      </c>
      <c r="E90" s="72" t="s">
        <v>30</v>
      </c>
      <c r="G90" s="72" t="s">
        <v>30</v>
      </c>
      <c r="H90" s="72" t="s">
        <v>30</v>
      </c>
      <c r="I90" s="31"/>
    </row>
    <row r="91">
      <c r="B91" s="72" t="s">
        <v>30</v>
      </c>
      <c r="C91" s="73" t="s">
        <v>30</v>
      </c>
      <c r="D91" s="72" t="s">
        <v>30</v>
      </c>
      <c r="E91" s="72" t="s">
        <v>30</v>
      </c>
      <c r="G91" s="72" t="s">
        <v>30</v>
      </c>
      <c r="H91" s="72" t="s">
        <v>30</v>
      </c>
      <c r="I91" s="31"/>
    </row>
    <row r="92">
      <c r="B92" s="72" t="s">
        <v>30</v>
      </c>
      <c r="C92" s="73" t="s">
        <v>30</v>
      </c>
      <c r="D92" s="72" t="s">
        <v>30</v>
      </c>
      <c r="E92" s="72" t="s">
        <v>30</v>
      </c>
      <c r="G92" s="72" t="s">
        <v>30</v>
      </c>
      <c r="H92" s="72" t="s">
        <v>30</v>
      </c>
      <c r="I92" s="31"/>
    </row>
    <row r="93">
      <c r="B93" s="72" t="s">
        <v>30</v>
      </c>
      <c r="C93" s="73" t="s">
        <v>30</v>
      </c>
      <c r="D93" s="72" t="s">
        <v>30</v>
      </c>
      <c r="E93" s="72" t="s">
        <v>30</v>
      </c>
      <c r="G93" s="72" t="s">
        <v>30</v>
      </c>
      <c r="H93" s="72" t="s">
        <v>30</v>
      </c>
      <c r="I93" s="31"/>
    </row>
    <row r="94">
      <c r="B94" s="72" t="s">
        <v>30</v>
      </c>
      <c r="C94" s="73" t="s">
        <v>30</v>
      </c>
      <c r="D94" s="72" t="s">
        <v>30</v>
      </c>
      <c r="E94" s="72" t="s">
        <v>30</v>
      </c>
      <c r="G94" s="72" t="s">
        <v>30</v>
      </c>
      <c r="H94" s="72" t="s">
        <v>30</v>
      </c>
      <c r="I94" s="31"/>
    </row>
    <row r="95">
      <c r="B95" s="72" t="s">
        <v>30</v>
      </c>
      <c r="C95" s="73" t="s">
        <v>30</v>
      </c>
      <c r="D95" s="72" t="s">
        <v>30</v>
      </c>
      <c r="E95" s="72" t="s">
        <v>30</v>
      </c>
      <c r="G95" s="72" t="s">
        <v>30</v>
      </c>
      <c r="H95" s="72" t="s">
        <v>30</v>
      </c>
      <c r="I95" s="31"/>
    </row>
    <row r="96">
      <c r="B96" s="72" t="s">
        <v>30</v>
      </c>
      <c r="C96" s="73" t="s">
        <v>30</v>
      </c>
      <c r="D96" s="72" t="s">
        <v>30</v>
      </c>
      <c r="E96" s="72" t="s">
        <v>30</v>
      </c>
      <c r="G96" s="72" t="s">
        <v>30</v>
      </c>
      <c r="H96" s="72" t="s">
        <v>30</v>
      </c>
      <c r="I96" s="31"/>
    </row>
    <row r="97">
      <c r="B97" s="72" t="s">
        <v>30</v>
      </c>
      <c r="C97" s="73" t="s">
        <v>30</v>
      </c>
      <c r="D97" s="72" t="s">
        <v>30</v>
      </c>
      <c r="E97" s="72" t="s">
        <v>30</v>
      </c>
      <c r="G97" s="72" t="s">
        <v>30</v>
      </c>
      <c r="H97" s="72" t="s">
        <v>30</v>
      </c>
      <c r="I97" s="31"/>
    </row>
    <row r="98">
      <c r="B98" s="72" t="s">
        <v>30</v>
      </c>
      <c r="C98" s="73" t="s">
        <v>30</v>
      </c>
      <c r="D98" s="72" t="s">
        <v>30</v>
      </c>
      <c r="E98" s="72" t="s">
        <v>30</v>
      </c>
      <c r="G98" s="72" t="s">
        <v>30</v>
      </c>
      <c r="H98" s="72" t="s">
        <v>30</v>
      </c>
      <c r="I98" s="31"/>
    </row>
    <row r="99">
      <c r="B99" s="72" t="s">
        <v>30</v>
      </c>
      <c r="C99" s="73" t="s">
        <v>30</v>
      </c>
      <c r="D99" s="72" t="s">
        <v>30</v>
      </c>
      <c r="E99" s="72" t="s">
        <v>30</v>
      </c>
      <c r="G99" s="72" t="s">
        <v>30</v>
      </c>
      <c r="H99" s="72" t="s">
        <v>30</v>
      </c>
      <c r="I99" s="31"/>
    </row>
    <row r="100">
      <c r="B100" s="72" t="s">
        <v>30</v>
      </c>
      <c r="C100" s="73" t="s">
        <v>30</v>
      </c>
      <c r="D100" s="72" t="s">
        <v>30</v>
      </c>
      <c r="E100" s="72" t="s">
        <v>30</v>
      </c>
      <c r="G100" s="72" t="s">
        <v>30</v>
      </c>
      <c r="H100" s="72" t="s">
        <v>30</v>
      </c>
      <c r="I100" s="31"/>
    </row>
    <row r="101">
      <c r="B101" s="72" t="s">
        <v>30</v>
      </c>
      <c r="C101" s="73" t="s">
        <v>30</v>
      </c>
      <c r="D101" s="72" t="s">
        <v>30</v>
      </c>
      <c r="E101" s="72" t="s">
        <v>30</v>
      </c>
      <c r="G101" s="72" t="s">
        <v>30</v>
      </c>
      <c r="H101" s="72" t="s">
        <v>30</v>
      </c>
      <c r="I101" s="31"/>
    </row>
    <row r="102">
      <c r="B102" s="72" t="s">
        <v>30</v>
      </c>
      <c r="C102" s="73" t="s">
        <v>30</v>
      </c>
      <c r="D102" s="72" t="s">
        <v>30</v>
      </c>
      <c r="E102" s="72" t="s">
        <v>30</v>
      </c>
      <c r="G102" s="72" t="s">
        <v>30</v>
      </c>
      <c r="H102" s="72" t="s">
        <v>30</v>
      </c>
      <c r="I102" s="31"/>
    </row>
    <row r="103">
      <c r="B103" s="72" t="s">
        <v>30</v>
      </c>
      <c r="C103" s="73" t="s">
        <v>30</v>
      </c>
      <c r="D103" s="72" t="s">
        <v>30</v>
      </c>
      <c r="E103" s="72" t="s">
        <v>30</v>
      </c>
      <c r="G103" s="72" t="s">
        <v>30</v>
      </c>
      <c r="H103" s="72" t="s">
        <v>30</v>
      </c>
      <c r="I103" s="31"/>
    </row>
    <row r="104">
      <c r="B104" s="72" t="s">
        <v>30</v>
      </c>
      <c r="C104" s="73" t="s">
        <v>30</v>
      </c>
      <c r="D104" s="72" t="s">
        <v>30</v>
      </c>
      <c r="E104" s="72" t="s">
        <v>30</v>
      </c>
      <c r="G104" s="72" t="s">
        <v>30</v>
      </c>
      <c r="H104" s="72" t="s">
        <v>30</v>
      </c>
      <c r="I104" s="31"/>
    </row>
    <row r="105">
      <c r="B105" s="72" t="s">
        <v>30</v>
      </c>
      <c r="C105" s="73" t="s">
        <v>30</v>
      </c>
      <c r="D105" s="72" t="s">
        <v>30</v>
      </c>
      <c r="E105" s="72" t="s">
        <v>30</v>
      </c>
      <c r="G105" s="72" t="s">
        <v>30</v>
      </c>
      <c r="H105" s="72" t="s">
        <v>30</v>
      </c>
      <c r="I105" s="31"/>
    </row>
    <row r="106">
      <c r="B106" s="72" t="s">
        <v>30</v>
      </c>
      <c r="C106" s="73" t="s">
        <v>30</v>
      </c>
      <c r="D106" s="72" t="s">
        <v>30</v>
      </c>
      <c r="E106" s="72" t="s">
        <v>30</v>
      </c>
      <c r="G106" s="72" t="s">
        <v>30</v>
      </c>
      <c r="H106" s="72" t="s">
        <v>30</v>
      </c>
      <c r="I106" s="31"/>
    </row>
    <row r="107">
      <c r="B107" s="72" t="s">
        <v>30</v>
      </c>
      <c r="C107" s="73" t="s">
        <v>30</v>
      </c>
      <c r="D107" s="72" t="s">
        <v>30</v>
      </c>
      <c r="E107" s="72" t="s">
        <v>30</v>
      </c>
      <c r="G107" s="72" t="s">
        <v>30</v>
      </c>
      <c r="H107" s="72" t="s">
        <v>30</v>
      </c>
      <c r="I107" s="31"/>
    </row>
    <row r="108">
      <c r="B108" s="72" t="s">
        <v>30</v>
      </c>
      <c r="C108" s="73" t="s">
        <v>30</v>
      </c>
      <c r="D108" s="72" t="s">
        <v>30</v>
      </c>
      <c r="E108" s="72" t="s">
        <v>30</v>
      </c>
      <c r="G108" s="72" t="s">
        <v>30</v>
      </c>
      <c r="H108" s="72" t="s">
        <v>30</v>
      </c>
      <c r="I108" s="31"/>
    </row>
    <row r="109">
      <c r="B109" s="72" t="s">
        <v>30</v>
      </c>
      <c r="C109" s="73" t="s">
        <v>30</v>
      </c>
      <c r="D109" s="72" t="s">
        <v>30</v>
      </c>
      <c r="E109" s="72" t="s">
        <v>30</v>
      </c>
      <c r="G109" s="72" t="s">
        <v>30</v>
      </c>
      <c r="H109" s="72" t="s">
        <v>30</v>
      </c>
      <c r="I109" s="31"/>
    </row>
    <row r="110">
      <c r="B110" s="72" t="s">
        <v>30</v>
      </c>
      <c r="C110" s="73" t="s">
        <v>30</v>
      </c>
      <c r="D110" s="72" t="s">
        <v>30</v>
      </c>
      <c r="E110" s="72" t="s">
        <v>30</v>
      </c>
      <c r="G110" s="72" t="s">
        <v>30</v>
      </c>
      <c r="H110" s="72" t="s">
        <v>30</v>
      </c>
      <c r="I110" s="31"/>
    </row>
    <row r="111">
      <c r="B111" s="72" t="s">
        <v>30</v>
      </c>
      <c r="C111" s="73" t="s">
        <v>30</v>
      </c>
      <c r="D111" s="72" t="s">
        <v>30</v>
      </c>
      <c r="E111" s="72" t="s">
        <v>30</v>
      </c>
      <c r="G111" s="72" t="s">
        <v>30</v>
      </c>
      <c r="H111" s="72" t="s">
        <v>30</v>
      </c>
      <c r="I111" s="31"/>
    </row>
    <row r="112">
      <c r="B112" s="72" t="s">
        <v>30</v>
      </c>
      <c r="C112" s="73" t="s">
        <v>30</v>
      </c>
      <c r="D112" s="72" t="s">
        <v>30</v>
      </c>
      <c r="E112" s="72" t="s">
        <v>30</v>
      </c>
      <c r="G112" s="72" t="s">
        <v>30</v>
      </c>
      <c r="H112" s="72" t="s">
        <v>30</v>
      </c>
      <c r="I112" s="31"/>
    </row>
    <row r="113">
      <c r="B113" s="72" t="s">
        <v>30</v>
      </c>
      <c r="C113" s="73" t="s">
        <v>30</v>
      </c>
      <c r="D113" s="72" t="s">
        <v>30</v>
      </c>
      <c r="E113" s="72" t="s">
        <v>30</v>
      </c>
      <c r="G113" s="72" t="s">
        <v>30</v>
      </c>
      <c r="H113" s="72" t="s">
        <v>30</v>
      </c>
      <c r="I113" s="31"/>
    </row>
    <row r="114">
      <c r="B114" s="72" t="s">
        <v>30</v>
      </c>
      <c r="C114" s="73" t="s">
        <v>30</v>
      </c>
      <c r="D114" s="72" t="s">
        <v>30</v>
      </c>
      <c r="E114" s="72" t="s">
        <v>30</v>
      </c>
      <c r="G114" s="72" t="s">
        <v>30</v>
      </c>
      <c r="H114" s="72" t="s">
        <v>30</v>
      </c>
      <c r="I114" s="31"/>
    </row>
    <row r="115">
      <c r="B115" s="72" t="s">
        <v>30</v>
      </c>
      <c r="C115" s="73" t="s">
        <v>30</v>
      </c>
      <c r="D115" s="72" t="s">
        <v>30</v>
      </c>
      <c r="E115" s="72" t="s">
        <v>30</v>
      </c>
      <c r="G115" s="72" t="s">
        <v>30</v>
      </c>
      <c r="H115" s="72" t="s">
        <v>30</v>
      </c>
      <c r="I115" s="31"/>
    </row>
    <row r="116">
      <c r="B116" s="72" t="s">
        <v>30</v>
      </c>
      <c r="C116" s="73" t="s">
        <v>30</v>
      </c>
      <c r="D116" s="72" t="s">
        <v>30</v>
      </c>
      <c r="E116" s="72" t="s">
        <v>30</v>
      </c>
      <c r="G116" s="72" t="s">
        <v>30</v>
      </c>
      <c r="H116" s="72" t="s">
        <v>30</v>
      </c>
      <c r="I116" s="31"/>
    </row>
    <row r="117">
      <c r="B117" s="72" t="s">
        <v>30</v>
      </c>
      <c r="C117" s="73" t="s">
        <v>30</v>
      </c>
      <c r="D117" s="72" t="s">
        <v>30</v>
      </c>
      <c r="E117" s="72" t="s">
        <v>30</v>
      </c>
      <c r="G117" s="72" t="s">
        <v>30</v>
      </c>
      <c r="H117" s="72" t="s">
        <v>30</v>
      </c>
      <c r="I117" s="31"/>
    </row>
    <row r="118">
      <c r="B118" s="72" t="s">
        <v>30</v>
      </c>
      <c r="C118" s="73" t="s">
        <v>30</v>
      </c>
      <c r="D118" s="72" t="s">
        <v>30</v>
      </c>
      <c r="E118" s="72" t="s">
        <v>30</v>
      </c>
      <c r="G118" s="72" t="s">
        <v>30</v>
      </c>
      <c r="H118" s="72" t="s">
        <v>30</v>
      </c>
      <c r="I118" s="31"/>
    </row>
    <row r="119">
      <c r="B119" s="72" t="s">
        <v>30</v>
      </c>
      <c r="C119" s="73" t="s">
        <v>30</v>
      </c>
      <c r="D119" s="72" t="s">
        <v>30</v>
      </c>
      <c r="E119" s="72" t="s">
        <v>30</v>
      </c>
      <c r="G119" s="72" t="s">
        <v>30</v>
      </c>
      <c r="H119" s="72" t="s">
        <v>30</v>
      </c>
      <c r="I119" s="31"/>
    </row>
    <row r="120">
      <c r="B120" s="72" t="s">
        <v>30</v>
      </c>
      <c r="C120" s="73" t="s">
        <v>30</v>
      </c>
      <c r="D120" s="72" t="s">
        <v>30</v>
      </c>
      <c r="E120" s="72" t="s">
        <v>30</v>
      </c>
      <c r="G120" s="72" t="s">
        <v>30</v>
      </c>
      <c r="H120" s="72" t="s">
        <v>30</v>
      </c>
      <c r="I120" s="31"/>
    </row>
    <row r="121">
      <c r="B121" s="72" t="s">
        <v>30</v>
      </c>
      <c r="C121" s="73" t="s">
        <v>30</v>
      </c>
      <c r="D121" s="72" t="s">
        <v>30</v>
      </c>
      <c r="E121" s="72" t="s">
        <v>30</v>
      </c>
      <c r="G121" s="72" t="s">
        <v>30</v>
      </c>
      <c r="H121" s="72" t="s">
        <v>30</v>
      </c>
      <c r="I121" s="31"/>
    </row>
    <row r="122">
      <c r="B122" s="72" t="s">
        <v>30</v>
      </c>
      <c r="C122" s="73" t="s">
        <v>30</v>
      </c>
      <c r="D122" s="72" t="s">
        <v>30</v>
      </c>
      <c r="E122" s="72" t="s">
        <v>30</v>
      </c>
      <c r="G122" s="72" t="s">
        <v>30</v>
      </c>
      <c r="H122" s="72" t="s">
        <v>30</v>
      </c>
      <c r="I122" s="31"/>
    </row>
    <row r="123">
      <c r="B123" s="72" t="s">
        <v>30</v>
      </c>
      <c r="C123" s="73" t="s">
        <v>30</v>
      </c>
      <c r="D123" s="72" t="s">
        <v>30</v>
      </c>
      <c r="E123" s="72" t="s">
        <v>30</v>
      </c>
      <c r="G123" s="72" t="s">
        <v>30</v>
      </c>
      <c r="H123" s="72" t="s">
        <v>30</v>
      </c>
      <c r="I123" s="31"/>
    </row>
    <row r="124">
      <c r="B124" s="72" t="s">
        <v>30</v>
      </c>
      <c r="C124" s="73" t="s">
        <v>30</v>
      </c>
      <c r="D124" s="72" t="s">
        <v>30</v>
      </c>
      <c r="E124" s="72" t="s">
        <v>30</v>
      </c>
      <c r="G124" s="72" t="s">
        <v>30</v>
      </c>
      <c r="H124" s="72" t="s">
        <v>30</v>
      </c>
      <c r="I124" s="31"/>
    </row>
    <row r="125">
      <c r="B125" s="72" t="s">
        <v>30</v>
      </c>
      <c r="C125" s="73" t="s">
        <v>30</v>
      </c>
      <c r="D125" s="72" t="s">
        <v>30</v>
      </c>
      <c r="E125" s="72" t="s">
        <v>30</v>
      </c>
      <c r="G125" s="72" t="s">
        <v>30</v>
      </c>
      <c r="H125" s="72" t="s">
        <v>30</v>
      </c>
      <c r="I125" s="31"/>
    </row>
    <row r="126">
      <c r="B126" s="72" t="s">
        <v>30</v>
      </c>
      <c r="C126" s="73" t="s">
        <v>30</v>
      </c>
      <c r="D126" s="72" t="s">
        <v>30</v>
      </c>
      <c r="E126" s="72" t="s">
        <v>30</v>
      </c>
      <c r="G126" s="72" t="s">
        <v>30</v>
      </c>
      <c r="H126" s="72" t="s">
        <v>30</v>
      </c>
      <c r="I126" s="31"/>
    </row>
    <row r="127">
      <c r="B127" s="72" t="s">
        <v>30</v>
      </c>
      <c r="C127" s="73" t="s">
        <v>30</v>
      </c>
      <c r="D127" s="72" t="s">
        <v>30</v>
      </c>
      <c r="E127" s="72" t="s">
        <v>30</v>
      </c>
      <c r="G127" s="72" t="s">
        <v>30</v>
      </c>
      <c r="H127" s="72" t="s">
        <v>30</v>
      </c>
      <c r="I127" s="31"/>
    </row>
    <row r="128">
      <c r="B128" s="72" t="s">
        <v>30</v>
      </c>
      <c r="C128" s="73" t="s">
        <v>30</v>
      </c>
      <c r="D128" s="72" t="s">
        <v>30</v>
      </c>
      <c r="E128" s="72" t="s">
        <v>30</v>
      </c>
      <c r="G128" s="72" t="s">
        <v>30</v>
      </c>
      <c r="H128" s="72" t="s">
        <v>30</v>
      </c>
      <c r="I128" s="31"/>
    </row>
    <row r="129">
      <c r="B129" s="72" t="s">
        <v>30</v>
      </c>
      <c r="C129" s="73" t="s">
        <v>30</v>
      </c>
      <c r="D129" s="72" t="s">
        <v>30</v>
      </c>
      <c r="E129" s="72" t="s">
        <v>30</v>
      </c>
      <c r="G129" s="72" t="s">
        <v>30</v>
      </c>
      <c r="H129" s="72" t="s">
        <v>30</v>
      </c>
      <c r="I129" s="31"/>
    </row>
    <row r="130">
      <c r="B130" s="72" t="s">
        <v>30</v>
      </c>
      <c r="C130" s="73" t="s">
        <v>30</v>
      </c>
      <c r="D130" s="72" t="s">
        <v>30</v>
      </c>
      <c r="E130" s="72" t="s">
        <v>30</v>
      </c>
      <c r="G130" s="72" t="s">
        <v>30</v>
      </c>
      <c r="H130" s="72" t="s">
        <v>30</v>
      </c>
      <c r="I130" s="31"/>
    </row>
    <row r="131">
      <c r="B131" s="72" t="s">
        <v>30</v>
      </c>
      <c r="C131" s="73" t="s">
        <v>30</v>
      </c>
      <c r="D131" s="72" t="s">
        <v>30</v>
      </c>
      <c r="E131" s="72" t="s">
        <v>30</v>
      </c>
      <c r="G131" s="72" t="s">
        <v>30</v>
      </c>
      <c r="H131" s="72" t="s">
        <v>30</v>
      </c>
      <c r="I131" s="31"/>
    </row>
    <row r="132">
      <c r="B132" s="72" t="s">
        <v>30</v>
      </c>
      <c r="C132" s="73" t="s">
        <v>30</v>
      </c>
      <c r="D132" s="72" t="s">
        <v>30</v>
      </c>
      <c r="E132" s="72" t="s">
        <v>30</v>
      </c>
      <c r="G132" s="72" t="s">
        <v>30</v>
      </c>
      <c r="H132" s="72" t="s">
        <v>30</v>
      </c>
      <c r="I132" s="31"/>
    </row>
    <row r="133">
      <c r="B133" s="72" t="s">
        <v>30</v>
      </c>
      <c r="C133" s="73" t="s">
        <v>30</v>
      </c>
      <c r="D133" s="72" t="s">
        <v>30</v>
      </c>
      <c r="E133" s="72" t="s">
        <v>30</v>
      </c>
      <c r="G133" s="72" t="s">
        <v>30</v>
      </c>
      <c r="H133" s="72" t="s">
        <v>30</v>
      </c>
      <c r="I133" s="31"/>
    </row>
    <row r="134">
      <c r="B134" s="72" t="s">
        <v>30</v>
      </c>
      <c r="C134" s="73" t="s">
        <v>30</v>
      </c>
      <c r="D134" s="72" t="s">
        <v>30</v>
      </c>
      <c r="E134" s="72" t="s">
        <v>30</v>
      </c>
      <c r="G134" s="72" t="s">
        <v>30</v>
      </c>
      <c r="H134" s="72" t="s">
        <v>30</v>
      </c>
      <c r="I134" s="31"/>
    </row>
    <row r="135">
      <c r="B135" s="72" t="s">
        <v>30</v>
      </c>
      <c r="C135" s="73" t="s">
        <v>30</v>
      </c>
      <c r="D135" s="72" t="s">
        <v>30</v>
      </c>
      <c r="E135" s="72" t="s">
        <v>30</v>
      </c>
      <c r="G135" s="72" t="s">
        <v>30</v>
      </c>
      <c r="H135" s="72" t="s">
        <v>30</v>
      </c>
      <c r="I135" s="31"/>
    </row>
    <row r="136">
      <c r="B136" s="72" t="s">
        <v>30</v>
      </c>
      <c r="C136" s="73" t="s">
        <v>30</v>
      </c>
      <c r="D136" s="72" t="s">
        <v>30</v>
      </c>
      <c r="E136" s="72" t="s">
        <v>30</v>
      </c>
      <c r="G136" s="72" t="s">
        <v>30</v>
      </c>
      <c r="H136" s="72" t="s">
        <v>30</v>
      </c>
      <c r="I136" s="31"/>
    </row>
    <row r="137">
      <c r="B137" s="72" t="s">
        <v>30</v>
      </c>
      <c r="C137" s="73" t="s">
        <v>30</v>
      </c>
      <c r="D137" s="72" t="s">
        <v>30</v>
      </c>
      <c r="E137" s="72" t="s">
        <v>30</v>
      </c>
      <c r="G137" s="72" t="s">
        <v>30</v>
      </c>
      <c r="H137" s="72" t="s">
        <v>30</v>
      </c>
      <c r="I137" s="31"/>
    </row>
    <row r="138">
      <c r="B138" s="72" t="s">
        <v>30</v>
      </c>
      <c r="C138" s="73" t="s">
        <v>30</v>
      </c>
      <c r="D138" s="72" t="s">
        <v>30</v>
      </c>
      <c r="E138" s="72" t="s">
        <v>30</v>
      </c>
      <c r="G138" s="72" t="s">
        <v>30</v>
      </c>
      <c r="H138" s="72" t="s">
        <v>30</v>
      </c>
      <c r="I138" s="31"/>
    </row>
    <row r="139">
      <c r="B139" s="72" t="s">
        <v>30</v>
      </c>
      <c r="C139" s="73" t="s">
        <v>30</v>
      </c>
      <c r="D139" s="72" t="s">
        <v>30</v>
      </c>
      <c r="E139" s="72" t="s">
        <v>30</v>
      </c>
      <c r="G139" s="72" t="s">
        <v>30</v>
      </c>
      <c r="H139" s="72" t="s">
        <v>30</v>
      </c>
      <c r="I139" s="31"/>
    </row>
    <row r="140">
      <c r="B140" s="72" t="s">
        <v>30</v>
      </c>
      <c r="C140" s="73" t="s">
        <v>30</v>
      </c>
      <c r="D140" s="72" t="s">
        <v>30</v>
      </c>
      <c r="E140" s="72" t="s">
        <v>30</v>
      </c>
      <c r="G140" s="72" t="s">
        <v>30</v>
      </c>
      <c r="H140" s="72" t="s">
        <v>30</v>
      </c>
      <c r="I140" s="31"/>
    </row>
    <row r="141">
      <c r="B141" s="72" t="s">
        <v>30</v>
      </c>
      <c r="C141" s="73" t="s">
        <v>30</v>
      </c>
      <c r="D141" s="72" t="s">
        <v>30</v>
      </c>
      <c r="E141" s="72" t="s">
        <v>30</v>
      </c>
      <c r="G141" s="72" t="s">
        <v>30</v>
      </c>
      <c r="H141" s="72" t="s">
        <v>30</v>
      </c>
      <c r="I141" s="31"/>
    </row>
    <row r="142">
      <c r="B142" s="72" t="s">
        <v>30</v>
      </c>
      <c r="C142" s="73" t="s">
        <v>30</v>
      </c>
      <c r="D142" s="72" t="s">
        <v>30</v>
      </c>
      <c r="E142" s="72" t="s">
        <v>30</v>
      </c>
      <c r="G142" s="72" t="s">
        <v>30</v>
      </c>
      <c r="H142" s="72" t="s">
        <v>30</v>
      </c>
      <c r="I142" s="31"/>
    </row>
    <row r="143">
      <c r="B143" s="72" t="s">
        <v>30</v>
      </c>
      <c r="C143" s="73" t="s">
        <v>30</v>
      </c>
      <c r="D143" s="72" t="s">
        <v>30</v>
      </c>
      <c r="E143" s="72" t="s">
        <v>30</v>
      </c>
      <c r="G143" s="72" t="s">
        <v>30</v>
      </c>
      <c r="H143" s="72" t="s">
        <v>30</v>
      </c>
      <c r="I143" s="31"/>
    </row>
    <row r="144">
      <c r="B144" s="72" t="s">
        <v>30</v>
      </c>
      <c r="C144" s="73" t="s">
        <v>30</v>
      </c>
      <c r="D144" s="72" t="s">
        <v>30</v>
      </c>
      <c r="E144" s="72" t="s">
        <v>30</v>
      </c>
      <c r="G144" s="72" t="s">
        <v>30</v>
      </c>
      <c r="H144" s="72" t="s">
        <v>30</v>
      </c>
      <c r="I144" s="31"/>
    </row>
    <row r="145">
      <c r="B145" s="72" t="s">
        <v>30</v>
      </c>
      <c r="C145" s="73" t="s">
        <v>30</v>
      </c>
      <c r="D145" s="72" t="s">
        <v>30</v>
      </c>
      <c r="E145" s="72" t="s">
        <v>30</v>
      </c>
      <c r="G145" s="72" t="s">
        <v>30</v>
      </c>
      <c r="H145" s="72" t="s">
        <v>30</v>
      </c>
      <c r="I145" s="31"/>
    </row>
    <row r="146">
      <c r="B146" s="72" t="s">
        <v>30</v>
      </c>
      <c r="C146" s="73" t="s">
        <v>30</v>
      </c>
      <c r="D146" s="72" t="s">
        <v>30</v>
      </c>
      <c r="E146" s="72" t="s">
        <v>30</v>
      </c>
      <c r="G146" s="72" t="s">
        <v>30</v>
      </c>
      <c r="H146" s="72" t="s">
        <v>30</v>
      </c>
      <c r="I146" s="31"/>
    </row>
    <row r="147">
      <c r="B147" s="72" t="s">
        <v>30</v>
      </c>
      <c r="C147" s="73" t="s">
        <v>30</v>
      </c>
      <c r="D147" s="72" t="s">
        <v>30</v>
      </c>
      <c r="E147" s="72" t="s">
        <v>30</v>
      </c>
      <c r="G147" s="72" t="s">
        <v>30</v>
      </c>
      <c r="H147" s="72" t="s">
        <v>30</v>
      </c>
      <c r="I147" s="31"/>
    </row>
    <row r="148">
      <c r="B148" s="72" t="s">
        <v>30</v>
      </c>
      <c r="C148" s="73" t="s">
        <v>30</v>
      </c>
      <c r="D148" s="72" t="s">
        <v>30</v>
      </c>
      <c r="E148" s="72" t="s">
        <v>30</v>
      </c>
      <c r="G148" s="72" t="s">
        <v>30</v>
      </c>
      <c r="H148" s="72" t="s">
        <v>30</v>
      </c>
      <c r="I148" s="31"/>
    </row>
    <row r="149">
      <c r="B149" s="72" t="s">
        <v>30</v>
      </c>
      <c r="C149" s="73" t="s">
        <v>30</v>
      </c>
      <c r="D149" s="72" t="s">
        <v>30</v>
      </c>
      <c r="E149" s="72" t="s">
        <v>30</v>
      </c>
      <c r="G149" s="72" t="s">
        <v>30</v>
      </c>
      <c r="H149" s="72" t="s">
        <v>30</v>
      </c>
      <c r="I149" s="31"/>
    </row>
    <row r="150">
      <c r="B150" s="72" t="s">
        <v>30</v>
      </c>
      <c r="C150" s="73" t="s">
        <v>30</v>
      </c>
      <c r="D150" s="72" t="s">
        <v>30</v>
      </c>
      <c r="E150" s="72" t="s">
        <v>30</v>
      </c>
      <c r="G150" s="72" t="s">
        <v>30</v>
      </c>
      <c r="H150" s="72" t="s">
        <v>30</v>
      </c>
      <c r="I150" s="31"/>
    </row>
    <row r="151">
      <c r="B151" s="72" t="s">
        <v>30</v>
      </c>
      <c r="C151" s="73" t="s">
        <v>30</v>
      </c>
      <c r="D151" s="72" t="s">
        <v>30</v>
      </c>
      <c r="E151" s="72" t="s">
        <v>30</v>
      </c>
      <c r="G151" s="72" t="s">
        <v>30</v>
      </c>
      <c r="H151" s="72" t="s">
        <v>30</v>
      </c>
      <c r="I151" s="31"/>
    </row>
    <row r="152">
      <c r="B152" s="72" t="s">
        <v>30</v>
      </c>
      <c r="C152" s="73" t="s">
        <v>30</v>
      </c>
      <c r="D152" s="72" t="s">
        <v>30</v>
      </c>
      <c r="E152" s="72" t="s">
        <v>30</v>
      </c>
      <c r="G152" s="72" t="s">
        <v>30</v>
      </c>
      <c r="H152" s="72" t="s">
        <v>30</v>
      </c>
      <c r="I152" s="31"/>
    </row>
    <row r="153">
      <c r="B153" s="72" t="s">
        <v>30</v>
      </c>
      <c r="C153" s="73" t="s">
        <v>30</v>
      </c>
      <c r="D153" s="72" t="s">
        <v>30</v>
      </c>
      <c r="E153" s="72" t="s">
        <v>30</v>
      </c>
      <c r="G153" s="72" t="s">
        <v>30</v>
      </c>
      <c r="H153" s="72" t="s">
        <v>30</v>
      </c>
      <c r="I153" s="31"/>
    </row>
    <row r="154">
      <c r="B154" s="72" t="s">
        <v>30</v>
      </c>
      <c r="C154" s="73" t="s">
        <v>30</v>
      </c>
      <c r="D154" s="72" t="s">
        <v>30</v>
      </c>
      <c r="E154" s="72" t="s">
        <v>30</v>
      </c>
      <c r="G154" s="72" t="s">
        <v>30</v>
      </c>
      <c r="H154" s="72" t="s">
        <v>30</v>
      </c>
      <c r="I154" s="31"/>
    </row>
    <row r="155">
      <c r="B155" s="72" t="s">
        <v>30</v>
      </c>
      <c r="C155" s="73" t="s">
        <v>30</v>
      </c>
      <c r="D155" s="72" t="s">
        <v>30</v>
      </c>
      <c r="E155" s="72" t="s">
        <v>30</v>
      </c>
      <c r="G155" s="72" t="s">
        <v>30</v>
      </c>
      <c r="H155" s="72" t="s">
        <v>30</v>
      </c>
      <c r="I155" s="31"/>
    </row>
    <row r="156">
      <c r="B156" s="72" t="s">
        <v>30</v>
      </c>
      <c r="C156" s="73" t="s">
        <v>30</v>
      </c>
      <c r="D156" s="72" t="s">
        <v>30</v>
      </c>
      <c r="E156" s="72" t="s">
        <v>30</v>
      </c>
      <c r="G156" s="72" t="s">
        <v>30</v>
      </c>
      <c r="H156" s="72" t="s">
        <v>30</v>
      </c>
      <c r="I156" s="31"/>
    </row>
    <row r="157">
      <c r="B157" s="72" t="s">
        <v>30</v>
      </c>
      <c r="C157" s="73" t="s">
        <v>30</v>
      </c>
      <c r="D157" s="72" t="s">
        <v>30</v>
      </c>
      <c r="E157" s="72" t="s">
        <v>30</v>
      </c>
      <c r="G157" s="72" t="s">
        <v>30</v>
      </c>
      <c r="H157" s="72" t="s">
        <v>30</v>
      </c>
      <c r="I157" s="31"/>
    </row>
    <row r="158">
      <c r="B158" s="72" t="s">
        <v>30</v>
      </c>
      <c r="C158" s="73" t="s">
        <v>30</v>
      </c>
      <c r="D158" s="72" t="s">
        <v>30</v>
      </c>
      <c r="E158" s="72" t="s">
        <v>30</v>
      </c>
      <c r="G158" s="72" t="s">
        <v>30</v>
      </c>
      <c r="H158" s="72" t="s">
        <v>30</v>
      </c>
      <c r="I158" s="31"/>
    </row>
    <row r="159">
      <c r="B159" s="72" t="s">
        <v>30</v>
      </c>
      <c r="C159" s="73" t="s">
        <v>30</v>
      </c>
      <c r="D159" s="72" t="s">
        <v>30</v>
      </c>
      <c r="E159" s="72" t="s">
        <v>30</v>
      </c>
      <c r="G159" s="72" t="s">
        <v>30</v>
      </c>
      <c r="H159" s="72" t="s">
        <v>30</v>
      </c>
      <c r="I159" s="31"/>
    </row>
    <row r="160">
      <c r="B160" s="72" t="s">
        <v>30</v>
      </c>
      <c r="C160" s="73" t="s">
        <v>30</v>
      </c>
      <c r="D160" s="72" t="s">
        <v>30</v>
      </c>
      <c r="E160" s="72" t="s">
        <v>30</v>
      </c>
      <c r="G160" s="72" t="s">
        <v>30</v>
      </c>
      <c r="H160" s="72" t="s">
        <v>30</v>
      </c>
      <c r="I160" s="31"/>
    </row>
    <row r="161">
      <c r="B161" s="72" t="s">
        <v>30</v>
      </c>
      <c r="C161" s="73" t="s">
        <v>30</v>
      </c>
      <c r="D161" s="72" t="s">
        <v>30</v>
      </c>
      <c r="E161" s="72" t="s">
        <v>30</v>
      </c>
      <c r="G161" s="72" t="s">
        <v>30</v>
      </c>
      <c r="H161" s="72" t="s">
        <v>30</v>
      </c>
      <c r="I161" s="31"/>
    </row>
    <row r="162">
      <c r="B162" s="72" t="s">
        <v>30</v>
      </c>
      <c r="C162" s="73" t="s">
        <v>30</v>
      </c>
      <c r="D162" s="72" t="s">
        <v>30</v>
      </c>
      <c r="E162" s="72" t="s">
        <v>30</v>
      </c>
      <c r="G162" s="72" t="s">
        <v>30</v>
      </c>
      <c r="H162" s="72" t="s">
        <v>30</v>
      </c>
      <c r="I162" s="31"/>
    </row>
    <row r="163">
      <c r="B163" s="72" t="s">
        <v>30</v>
      </c>
      <c r="C163" s="73" t="s">
        <v>30</v>
      </c>
      <c r="D163" s="72" t="s">
        <v>30</v>
      </c>
      <c r="E163" s="72" t="s">
        <v>30</v>
      </c>
      <c r="G163" s="72" t="s">
        <v>30</v>
      </c>
      <c r="H163" s="72" t="s">
        <v>30</v>
      </c>
      <c r="I163" s="31"/>
    </row>
    <row r="164">
      <c r="B164" s="72" t="s">
        <v>30</v>
      </c>
      <c r="C164" s="73" t="s">
        <v>30</v>
      </c>
      <c r="D164" s="72" t="s">
        <v>30</v>
      </c>
      <c r="E164" s="72" t="s">
        <v>30</v>
      </c>
      <c r="G164" s="72" t="s">
        <v>30</v>
      </c>
      <c r="H164" s="72" t="s">
        <v>30</v>
      </c>
      <c r="I164" s="31"/>
    </row>
    <row r="165">
      <c r="B165" s="72" t="s">
        <v>30</v>
      </c>
      <c r="C165" s="73" t="s">
        <v>30</v>
      </c>
      <c r="D165" s="72" t="s">
        <v>30</v>
      </c>
      <c r="E165" s="72" t="s">
        <v>30</v>
      </c>
      <c r="G165" s="72" t="s">
        <v>30</v>
      </c>
      <c r="H165" s="72" t="s">
        <v>30</v>
      </c>
      <c r="I165" s="31"/>
    </row>
    <row r="166">
      <c r="B166" s="72" t="s">
        <v>30</v>
      </c>
      <c r="C166" s="73" t="s">
        <v>30</v>
      </c>
      <c r="D166" s="72" t="s">
        <v>30</v>
      </c>
      <c r="E166" s="72" t="s">
        <v>30</v>
      </c>
      <c r="G166" s="72" t="s">
        <v>30</v>
      </c>
      <c r="H166" s="72" t="s">
        <v>30</v>
      </c>
      <c r="I166" s="31"/>
    </row>
    <row r="167">
      <c r="B167" s="72" t="s">
        <v>30</v>
      </c>
      <c r="C167" s="73" t="s">
        <v>30</v>
      </c>
      <c r="D167" s="72" t="s">
        <v>30</v>
      </c>
      <c r="E167" s="72" t="s">
        <v>30</v>
      </c>
      <c r="G167" s="72" t="s">
        <v>30</v>
      </c>
      <c r="H167" s="72" t="s">
        <v>30</v>
      </c>
      <c r="I167" s="31"/>
    </row>
    <row r="168">
      <c r="B168" s="72" t="s">
        <v>30</v>
      </c>
      <c r="C168" s="73" t="s">
        <v>30</v>
      </c>
      <c r="D168" s="72" t="s">
        <v>30</v>
      </c>
      <c r="E168" s="72" t="s">
        <v>30</v>
      </c>
      <c r="G168" s="72" t="s">
        <v>30</v>
      </c>
      <c r="H168" s="72" t="s">
        <v>30</v>
      </c>
      <c r="I168" s="31"/>
    </row>
    <row r="169">
      <c r="B169" s="72" t="s">
        <v>30</v>
      </c>
      <c r="C169" s="73" t="s">
        <v>30</v>
      </c>
      <c r="D169" s="72" t="s">
        <v>30</v>
      </c>
      <c r="E169" s="72" t="s">
        <v>30</v>
      </c>
      <c r="G169" s="72" t="s">
        <v>30</v>
      </c>
      <c r="H169" s="72" t="s">
        <v>30</v>
      </c>
      <c r="I169" s="31"/>
    </row>
    <row r="170">
      <c r="B170" s="72" t="s">
        <v>30</v>
      </c>
      <c r="C170" s="73" t="s">
        <v>30</v>
      </c>
      <c r="D170" s="72" t="s">
        <v>30</v>
      </c>
      <c r="E170" s="72" t="s">
        <v>30</v>
      </c>
      <c r="G170" s="72" t="s">
        <v>30</v>
      </c>
      <c r="H170" s="72" t="s">
        <v>30</v>
      </c>
      <c r="I170" s="31"/>
    </row>
    <row r="171">
      <c r="B171" s="72" t="s">
        <v>30</v>
      </c>
      <c r="C171" s="73" t="s">
        <v>30</v>
      </c>
      <c r="D171" s="72" t="s">
        <v>30</v>
      </c>
      <c r="E171" s="72" t="s">
        <v>30</v>
      </c>
      <c r="G171" s="72" t="s">
        <v>30</v>
      </c>
      <c r="H171" s="72" t="s">
        <v>30</v>
      </c>
      <c r="I171" s="31"/>
    </row>
    <row r="172">
      <c r="B172" s="72" t="s">
        <v>30</v>
      </c>
      <c r="C172" s="73" t="s">
        <v>30</v>
      </c>
      <c r="D172" s="72" t="s">
        <v>30</v>
      </c>
      <c r="E172" s="72" t="s">
        <v>30</v>
      </c>
      <c r="G172" s="72" t="s">
        <v>30</v>
      </c>
      <c r="H172" s="72" t="s">
        <v>30</v>
      </c>
      <c r="I172" s="31"/>
    </row>
    <row r="173">
      <c r="B173" s="72" t="s">
        <v>30</v>
      </c>
      <c r="C173" s="73" t="s">
        <v>30</v>
      </c>
      <c r="D173" s="72" t="s">
        <v>30</v>
      </c>
      <c r="E173" s="72" t="s">
        <v>30</v>
      </c>
      <c r="G173" s="72" t="s">
        <v>30</v>
      </c>
      <c r="H173" s="72" t="s">
        <v>30</v>
      </c>
      <c r="I173" s="31"/>
    </row>
    <row r="174">
      <c r="B174" s="72" t="s">
        <v>30</v>
      </c>
      <c r="C174" s="73" t="s">
        <v>30</v>
      </c>
      <c r="D174" s="72" t="s">
        <v>30</v>
      </c>
      <c r="E174" s="72" t="s">
        <v>30</v>
      </c>
      <c r="G174" s="72" t="s">
        <v>30</v>
      </c>
      <c r="H174" s="72" t="s">
        <v>30</v>
      </c>
      <c r="I174" s="31"/>
    </row>
    <row r="175">
      <c r="B175" s="72" t="s">
        <v>30</v>
      </c>
      <c r="C175" s="73" t="s">
        <v>30</v>
      </c>
      <c r="D175" s="72" t="s">
        <v>30</v>
      </c>
      <c r="E175" s="72" t="s">
        <v>30</v>
      </c>
      <c r="G175" s="72" t="s">
        <v>30</v>
      </c>
      <c r="H175" s="72" t="s">
        <v>30</v>
      </c>
      <c r="I175" s="31"/>
    </row>
    <row r="176">
      <c r="B176" s="72" t="s">
        <v>30</v>
      </c>
      <c r="C176" s="73" t="s">
        <v>30</v>
      </c>
      <c r="D176" s="72" t="s">
        <v>30</v>
      </c>
      <c r="E176" s="72" t="s">
        <v>30</v>
      </c>
      <c r="G176" s="72" t="s">
        <v>30</v>
      </c>
      <c r="H176" s="72" t="s">
        <v>30</v>
      </c>
      <c r="I176" s="31"/>
    </row>
    <row r="177">
      <c r="B177" s="72" t="s">
        <v>30</v>
      </c>
      <c r="C177" s="73" t="s">
        <v>30</v>
      </c>
      <c r="D177" s="72" t="s">
        <v>30</v>
      </c>
      <c r="E177" s="72" t="s">
        <v>30</v>
      </c>
      <c r="G177" s="72" t="s">
        <v>30</v>
      </c>
      <c r="H177" s="72" t="s">
        <v>30</v>
      </c>
      <c r="I177" s="31"/>
    </row>
    <row r="178">
      <c r="B178" s="72" t="s">
        <v>30</v>
      </c>
      <c r="C178" s="73" t="s">
        <v>30</v>
      </c>
      <c r="D178" s="72" t="s">
        <v>30</v>
      </c>
      <c r="E178" s="72" t="s">
        <v>30</v>
      </c>
      <c r="G178" s="72" t="s">
        <v>30</v>
      </c>
      <c r="H178" s="72" t="s">
        <v>30</v>
      </c>
      <c r="I178" s="31"/>
    </row>
    <row r="179">
      <c r="B179" s="72" t="s">
        <v>30</v>
      </c>
      <c r="C179" s="73" t="s">
        <v>30</v>
      </c>
      <c r="D179" s="72" t="s">
        <v>30</v>
      </c>
      <c r="E179" s="72" t="s">
        <v>30</v>
      </c>
      <c r="G179" s="72" t="s">
        <v>30</v>
      </c>
      <c r="H179" s="72" t="s">
        <v>30</v>
      </c>
      <c r="I179" s="31"/>
    </row>
    <row r="180">
      <c r="B180" s="72" t="s">
        <v>30</v>
      </c>
      <c r="C180" s="73" t="s">
        <v>30</v>
      </c>
      <c r="D180" s="72" t="s">
        <v>30</v>
      </c>
      <c r="E180" s="72" t="s">
        <v>30</v>
      </c>
      <c r="G180" s="72" t="s">
        <v>30</v>
      </c>
      <c r="H180" s="72" t="s">
        <v>30</v>
      </c>
      <c r="I180" s="31"/>
    </row>
    <row r="181">
      <c r="B181" s="72" t="s">
        <v>30</v>
      </c>
      <c r="C181" s="73" t="s">
        <v>30</v>
      </c>
      <c r="D181" s="72" t="s">
        <v>30</v>
      </c>
      <c r="E181" s="72" t="s">
        <v>30</v>
      </c>
      <c r="G181" s="72" t="s">
        <v>30</v>
      </c>
      <c r="H181" s="72" t="s">
        <v>30</v>
      </c>
      <c r="I181" s="31"/>
    </row>
    <row r="182">
      <c r="B182" s="72" t="s">
        <v>30</v>
      </c>
      <c r="C182" s="73" t="s">
        <v>30</v>
      </c>
      <c r="D182" s="72" t="s">
        <v>30</v>
      </c>
      <c r="E182" s="72" t="s">
        <v>30</v>
      </c>
      <c r="G182" s="72" t="s">
        <v>30</v>
      </c>
      <c r="H182" s="72" t="s">
        <v>30</v>
      </c>
      <c r="I182" s="31"/>
    </row>
    <row r="183">
      <c r="B183" s="72" t="s">
        <v>30</v>
      </c>
      <c r="C183" s="73" t="s">
        <v>30</v>
      </c>
      <c r="D183" s="72" t="s">
        <v>30</v>
      </c>
      <c r="E183" s="72" t="s">
        <v>30</v>
      </c>
      <c r="G183" s="72" t="s">
        <v>30</v>
      </c>
      <c r="H183" s="72" t="s">
        <v>30</v>
      </c>
      <c r="I183" s="31"/>
    </row>
    <row r="184">
      <c r="B184" s="72" t="s">
        <v>30</v>
      </c>
      <c r="C184" s="73" t="s">
        <v>30</v>
      </c>
      <c r="D184" s="72" t="s">
        <v>30</v>
      </c>
      <c r="E184" s="72" t="s">
        <v>30</v>
      </c>
      <c r="G184" s="72" t="s">
        <v>30</v>
      </c>
      <c r="H184" s="72" t="s">
        <v>30</v>
      </c>
      <c r="I184" s="31"/>
    </row>
    <row r="185">
      <c r="B185" s="72" t="s">
        <v>30</v>
      </c>
      <c r="C185" s="73" t="s">
        <v>30</v>
      </c>
      <c r="D185" s="72" t="s">
        <v>30</v>
      </c>
      <c r="E185" s="72" t="s">
        <v>30</v>
      </c>
      <c r="G185" s="72" t="s">
        <v>30</v>
      </c>
      <c r="H185" s="72" t="s">
        <v>30</v>
      </c>
      <c r="I185" s="31"/>
    </row>
    <row r="186">
      <c r="B186" s="72" t="s">
        <v>30</v>
      </c>
      <c r="C186" s="73" t="s">
        <v>30</v>
      </c>
      <c r="D186" s="72" t="s">
        <v>30</v>
      </c>
      <c r="E186" s="72" t="s">
        <v>30</v>
      </c>
      <c r="G186" s="72" t="s">
        <v>30</v>
      </c>
      <c r="H186" s="72" t="s">
        <v>30</v>
      </c>
      <c r="I186" s="31"/>
    </row>
    <row r="187">
      <c r="B187" s="72" t="s">
        <v>30</v>
      </c>
      <c r="C187" s="73" t="s">
        <v>30</v>
      </c>
      <c r="D187" s="72" t="s">
        <v>30</v>
      </c>
      <c r="E187" s="72" t="s">
        <v>30</v>
      </c>
      <c r="G187" s="72" t="s">
        <v>30</v>
      </c>
      <c r="H187" s="72" t="s">
        <v>30</v>
      </c>
      <c r="I187" s="31"/>
    </row>
    <row r="188">
      <c r="B188" s="72" t="s">
        <v>30</v>
      </c>
      <c r="C188" s="73" t="s">
        <v>30</v>
      </c>
      <c r="D188" s="72" t="s">
        <v>30</v>
      </c>
      <c r="E188" s="72" t="s">
        <v>30</v>
      </c>
      <c r="G188" s="72" t="s">
        <v>30</v>
      </c>
      <c r="H188" s="72" t="s">
        <v>30</v>
      </c>
      <c r="I188" s="31"/>
    </row>
    <row r="189">
      <c r="B189" s="72" t="s">
        <v>30</v>
      </c>
      <c r="C189" s="73" t="s">
        <v>30</v>
      </c>
      <c r="D189" s="72" t="s">
        <v>30</v>
      </c>
      <c r="E189" s="72" t="s">
        <v>30</v>
      </c>
      <c r="G189" s="72" t="s">
        <v>30</v>
      </c>
      <c r="H189" s="72" t="s">
        <v>30</v>
      </c>
      <c r="I189" s="31"/>
    </row>
    <row r="190">
      <c r="B190" s="72" t="s">
        <v>30</v>
      </c>
      <c r="C190" s="73" t="s">
        <v>30</v>
      </c>
      <c r="D190" s="72" t="s">
        <v>30</v>
      </c>
      <c r="E190" s="72" t="s">
        <v>30</v>
      </c>
      <c r="G190" s="72" t="s">
        <v>30</v>
      </c>
      <c r="H190" s="72" t="s">
        <v>30</v>
      </c>
      <c r="I190" s="31"/>
    </row>
    <row r="191">
      <c r="B191" s="72" t="s">
        <v>30</v>
      </c>
      <c r="C191" s="73" t="s">
        <v>30</v>
      </c>
      <c r="D191" s="72" t="s">
        <v>30</v>
      </c>
      <c r="E191" s="72" t="s">
        <v>30</v>
      </c>
      <c r="G191" s="72" t="s">
        <v>30</v>
      </c>
      <c r="H191" s="72" t="s">
        <v>30</v>
      </c>
      <c r="I191" s="31"/>
    </row>
    <row r="192">
      <c r="B192" s="72" t="s">
        <v>30</v>
      </c>
      <c r="C192" s="73" t="s">
        <v>30</v>
      </c>
      <c r="D192" s="72" t="s">
        <v>30</v>
      </c>
      <c r="E192" s="72" t="s">
        <v>30</v>
      </c>
      <c r="G192" s="72" t="s">
        <v>30</v>
      </c>
      <c r="H192" s="72" t="s">
        <v>30</v>
      </c>
      <c r="I192" s="31"/>
    </row>
    <row r="193">
      <c r="B193" s="72" t="s">
        <v>30</v>
      </c>
      <c r="C193" s="73" t="s">
        <v>30</v>
      </c>
      <c r="D193" s="72" t="s">
        <v>30</v>
      </c>
      <c r="E193" s="72" t="s">
        <v>30</v>
      </c>
      <c r="G193" s="72" t="s">
        <v>30</v>
      </c>
      <c r="H193" s="72" t="s">
        <v>30</v>
      </c>
      <c r="I193" s="31"/>
    </row>
    <row r="194">
      <c r="B194" s="72" t="s">
        <v>30</v>
      </c>
      <c r="C194" s="73" t="s">
        <v>30</v>
      </c>
      <c r="D194" s="72" t="s">
        <v>30</v>
      </c>
      <c r="E194" s="72" t="s">
        <v>30</v>
      </c>
      <c r="G194" s="72" t="s">
        <v>30</v>
      </c>
      <c r="H194" s="72" t="s">
        <v>30</v>
      </c>
      <c r="I194" s="31"/>
    </row>
    <row r="195">
      <c r="B195" s="72" t="s">
        <v>30</v>
      </c>
      <c r="C195" s="73" t="s">
        <v>30</v>
      </c>
      <c r="D195" s="72" t="s">
        <v>30</v>
      </c>
      <c r="E195" s="72" t="s">
        <v>30</v>
      </c>
      <c r="G195" s="72" t="s">
        <v>30</v>
      </c>
      <c r="H195" s="72" t="s">
        <v>30</v>
      </c>
      <c r="I195" s="31"/>
    </row>
    <row r="196">
      <c r="B196" s="72" t="s">
        <v>30</v>
      </c>
      <c r="C196" s="73" t="s">
        <v>30</v>
      </c>
      <c r="D196" s="72" t="s">
        <v>30</v>
      </c>
      <c r="E196" s="72" t="s">
        <v>30</v>
      </c>
      <c r="G196" s="72" t="s">
        <v>30</v>
      </c>
      <c r="H196" s="72" t="s">
        <v>30</v>
      </c>
      <c r="I196" s="31"/>
    </row>
    <row r="197">
      <c r="B197" s="72" t="s">
        <v>30</v>
      </c>
      <c r="C197" s="73" t="s">
        <v>30</v>
      </c>
      <c r="D197" s="72" t="s">
        <v>30</v>
      </c>
      <c r="E197" s="72" t="s">
        <v>30</v>
      </c>
      <c r="G197" s="72" t="s">
        <v>30</v>
      </c>
      <c r="H197" s="72" t="s">
        <v>30</v>
      </c>
      <c r="I197" s="31"/>
    </row>
    <row r="198">
      <c r="B198" s="72" t="s">
        <v>30</v>
      </c>
      <c r="C198" s="73" t="s">
        <v>30</v>
      </c>
      <c r="D198" s="72" t="s">
        <v>30</v>
      </c>
      <c r="E198" s="72" t="s">
        <v>30</v>
      </c>
      <c r="G198" s="72" t="s">
        <v>30</v>
      </c>
      <c r="H198" s="72" t="s">
        <v>30</v>
      </c>
      <c r="I198" s="31"/>
    </row>
    <row r="199">
      <c r="B199" s="72" t="s">
        <v>30</v>
      </c>
      <c r="C199" s="73" t="s">
        <v>30</v>
      </c>
      <c r="D199" s="72" t="s">
        <v>30</v>
      </c>
      <c r="E199" s="72" t="s">
        <v>30</v>
      </c>
      <c r="G199" s="72" t="s">
        <v>30</v>
      </c>
      <c r="H199" s="72" t="s">
        <v>30</v>
      </c>
      <c r="I199" s="31"/>
    </row>
    <row r="200">
      <c r="B200" s="72" t="s">
        <v>30</v>
      </c>
      <c r="C200" s="73" t="s">
        <v>30</v>
      </c>
      <c r="D200" s="72" t="s">
        <v>30</v>
      </c>
      <c r="E200" s="72" t="s">
        <v>30</v>
      </c>
      <c r="G200" s="72" t="s">
        <v>30</v>
      </c>
      <c r="H200" s="72" t="s">
        <v>30</v>
      </c>
      <c r="I200" s="31"/>
    </row>
    <row r="201">
      <c r="B201" s="72" t="s">
        <v>30</v>
      </c>
      <c r="C201" s="73" t="s">
        <v>30</v>
      </c>
      <c r="D201" s="72" t="s">
        <v>30</v>
      </c>
      <c r="E201" s="72" t="s">
        <v>30</v>
      </c>
      <c r="G201" s="72" t="s">
        <v>30</v>
      </c>
      <c r="H201" s="72" t="s">
        <v>30</v>
      </c>
      <c r="I201" s="31"/>
    </row>
    <row r="202">
      <c r="B202" s="72" t="s">
        <v>30</v>
      </c>
      <c r="C202" s="73" t="s">
        <v>30</v>
      </c>
      <c r="D202" s="72" t="s">
        <v>30</v>
      </c>
      <c r="E202" s="72" t="s">
        <v>30</v>
      </c>
      <c r="G202" s="72" t="s">
        <v>30</v>
      </c>
      <c r="H202" s="72" t="s">
        <v>30</v>
      </c>
      <c r="I202" s="31"/>
    </row>
    <row r="203">
      <c r="B203" s="72" t="s">
        <v>30</v>
      </c>
      <c r="C203" s="73" t="s">
        <v>30</v>
      </c>
      <c r="D203" s="72" t="s">
        <v>30</v>
      </c>
      <c r="E203" s="72" t="s">
        <v>30</v>
      </c>
      <c r="G203" s="72" t="s">
        <v>30</v>
      </c>
      <c r="H203" s="72" t="s">
        <v>30</v>
      </c>
      <c r="I203" s="31"/>
    </row>
    <row r="204">
      <c r="B204" s="72" t="s">
        <v>30</v>
      </c>
      <c r="C204" s="73" t="s">
        <v>30</v>
      </c>
      <c r="D204" s="72" t="s">
        <v>30</v>
      </c>
      <c r="E204" s="72" t="s">
        <v>30</v>
      </c>
      <c r="G204" s="72" t="s">
        <v>30</v>
      </c>
      <c r="H204" s="72" t="s">
        <v>30</v>
      </c>
      <c r="I204" s="31"/>
    </row>
    <row r="205">
      <c r="B205" s="72" t="s">
        <v>30</v>
      </c>
      <c r="C205" s="73" t="s">
        <v>30</v>
      </c>
      <c r="D205" s="72" t="s">
        <v>30</v>
      </c>
      <c r="E205" s="72" t="s">
        <v>30</v>
      </c>
      <c r="G205" s="72" t="s">
        <v>30</v>
      </c>
      <c r="H205" s="72" t="s">
        <v>30</v>
      </c>
      <c r="I205" s="31"/>
    </row>
    <row r="206">
      <c r="B206" s="72" t="s">
        <v>30</v>
      </c>
      <c r="C206" s="73" t="s">
        <v>30</v>
      </c>
      <c r="D206" s="72" t="s">
        <v>30</v>
      </c>
      <c r="E206" s="72" t="s">
        <v>30</v>
      </c>
      <c r="G206" s="72" t="s">
        <v>30</v>
      </c>
      <c r="H206" s="72" t="s">
        <v>30</v>
      </c>
      <c r="I206" s="31"/>
    </row>
    <row r="207">
      <c r="B207" s="72" t="s">
        <v>30</v>
      </c>
      <c r="C207" s="73" t="s">
        <v>30</v>
      </c>
      <c r="D207" s="72" t="s">
        <v>30</v>
      </c>
      <c r="E207" s="72" t="s">
        <v>30</v>
      </c>
      <c r="G207" s="72" t="s">
        <v>30</v>
      </c>
      <c r="H207" s="72" t="s">
        <v>30</v>
      </c>
      <c r="I207" s="31"/>
    </row>
    <row r="208">
      <c r="B208" s="72" t="s">
        <v>30</v>
      </c>
      <c r="C208" s="73" t="s">
        <v>30</v>
      </c>
      <c r="D208" s="72" t="s">
        <v>30</v>
      </c>
      <c r="E208" s="72" t="s">
        <v>30</v>
      </c>
      <c r="G208" s="72" t="s">
        <v>30</v>
      </c>
      <c r="H208" s="72" t="s">
        <v>30</v>
      </c>
      <c r="I208" s="31"/>
    </row>
    <row r="209">
      <c r="B209" s="72" t="s">
        <v>30</v>
      </c>
      <c r="C209" s="73" t="s">
        <v>30</v>
      </c>
      <c r="D209" s="72" t="s">
        <v>30</v>
      </c>
      <c r="E209" s="72" t="s">
        <v>30</v>
      </c>
      <c r="G209" s="72" t="s">
        <v>30</v>
      </c>
      <c r="H209" s="72" t="s">
        <v>30</v>
      </c>
      <c r="I209" s="31"/>
    </row>
    <row r="210">
      <c r="B210" s="72" t="s">
        <v>30</v>
      </c>
      <c r="C210" s="73" t="s">
        <v>30</v>
      </c>
      <c r="D210" s="72" t="s">
        <v>30</v>
      </c>
      <c r="E210" s="72" t="s">
        <v>30</v>
      </c>
      <c r="G210" s="72" t="s">
        <v>30</v>
      </c>
      <c r="H210" s="72" t="s">
        <v>30</v>
      </c>
      <c r="I210" s="31"/>
    </row>
    <row r="211">
      <c r="B211" s="72" t="s">
        <v>30</v>
      </c>
      <c r="C211" s="73" t="s">
        <v>30</v>
      </c>
      <c r="D211" s="72" t="s">
        <v>30</v>
      </c>
      <c r="E211" s="72" t="s">
        <v>30</v>
      </c>
      <c r="G211" s="72" t="s">
        <v>30</v>
      </c>
      <c r="H211" s="72" t="s">
        <v>30</v>
      </c>
      <c r="I211" s="31"/>
    </row>
    <row r="212">
      <c r="B212" s="72" t="s">
        <v>30</v>
      </c>
      <c r="C212" s="73" t="s">
        <v>30</v>
      </c>
      <c r="D212" s="72" t="s">
        <v>30</v>
      </c>
      <c r="E212" s="72" t="s">
        <v>30</v>
      </c>
      <c r="G212" s="72" t="s">
        <v>30</v>
      </c>
      <c r="H212" s="72" t="s">
        <v>30</v>
      </c>
      <c r="I212" s="31"/>
    </row>
    <row r="213">
      <c r="B213" s="72" t="s">
        <v>30</v>
      </c>
      <c r="C213" s="73" t="s">
        <v>30</v>
      </c>
      <c r="D213" s="72" t="s">
        <v>30</v>
      </c>
      <c r="E213" s="72" t="s">
        <v>30</v>
      </c>
      <c r="G213" s="72" t="s">
        <v>30</v>
      </c>
      <c r="H213" s="72" t="s">
        <v>30</v>
      </c>
      <c r="I213" s="31"/>
    </row>
    <row r="214">
      <c r="B214" s="72" t="s">
        <v>30</v>
      </c>
      <c r="C214" s="73" t="s">
        <v>30</v>
      </c>
      <c r="D214" s="72" t="s">
        <v>30</v>
      </c>
      <c r="E214" s="72" t="s">
        <v>30</v>
      </c>
      <c r="G214" s="72" t="s">
        <v>30</v>
      </c>
      <c r="H214" s="72" t="s">
        <v>30</v>
      </c>
      <c r="I214" s="31"/>
    </row>
    <row r="215">
      <c r="B215" s="72" t="s">
        <v>30</v>
      </c>
      <c r="C215" s="73" t="s">
        <v>30</v>
      </c>
      <c r="D215" s="72" t="s">
        <v>30</v>
      </c>
      <c r="E215" s="72" t="s">
        <v>30</v>
      </c>
      <c r="G215" s="72" t="s">
        <v>30</v>
      </c>
      <c r="H215" s="72" t="s">
        <v>30</v>
      </c>
      <c r="I215" s="31"/>
    </row>
    <row r="216">
      <c r="B216" s="72" t="s">
        <v>30</v>
      </c>
      <c r="C216" s="73" t="s">
        <v>30</v>
      </c>
      <c r="D216" s="72" t="s">
        <v>30</v>
      </c>
      <c r="E216" s="72" t="s">
        <v>30</v>
      </c>
      <c r="G216" s="72" t="s">
        <v>30</v>
      </c>
      <c r="H216" s="72" t="s">
        <v>30</v>
      </c>
      <c r="I216" s="31"/>
    </row>
    <row r="217">
      <c r="B217" s="72" t="s">
        <v>30</v>
      </c>
      <c r="C217" s="73" t="s">
        <v>30</v>
      </c>
      <c r="D217" s="72" t="s">
        <v>30</v>
      </c>
      <c r="E217" s="72" t="s">
        <v>30</v>
      </c>
      <c r="G217" s="72" t="s">
        <v>30</v>
      </c>
      <c r="H217" s="72" t="s">
        <v>30</v>
      </c>
      <c r="I217" s="31"/>
    </row>
    <row r="218">
      <c r="B218" s="72" t="s">
        <v>30</v>
      </c>
      <c r="C218" s="73" t="s">
        <v>30</v>
      </c>
      <c r="D218" s="72" t="s">
        <v>30</v>
      </c>
      <c r="E218" s="72" t="s">
        <v>30</v>
      </c>
      <c r="G218" s="72" t="s">
        <v>30</v>
      </c>
      <c r="H218" s="72" t="s">
        <v>30</v>
      </c>
      <c r="I218" s="31"/>
    </row>
    <row r="219">
      <c r="B219" s="72" t="s">
        <v>30</v>
      </c>
      <c r="C219" s="73" t="s">
        <v>30</v>
      </c>
      <c r="D219" s="72" t="s">
        <v>30</v>
      </c>
      <c r="E219" s="72" t="s">
        <v>30</v>
      </c>
      <c r="G219" s="72" t="s">
        <v>30</v>
      </c>
      <c r="H219" s="72" t="s">
        <v>30</v>
      </c>
      <c r="I219" s="31"/>
    </row>
    <row r="220">
      <c r="B220" s="72" t="s">
        <v>30</v>
      </c>
      <c r="C220" s="73" t="s">
        <v>30</v>
      </c>
      <c r="D220" s="72" t="s">
        <v>30</v>
      </c>
      <c r="E220" s="72" t="s">
        <v>30</v>
      </c>
      <c r="G220" s="72" t="s">
        <v>30</v>
      </c>
      <c r="H220" s="72" t="s">
        <v>30</v>
      </c>
      <c r="I220" s="31"/>
    </row>
    <row r="221">
      <c r="B221" s="72" t="s">
        <v>30</v>
      </c>
      <c r="C221" s="73" t="s">
        <v>30</v>
      </c>
      <c r="D221" s="72" t="s">
        <v>30</v>
      </c>
      <c r="E221" s="72" t="s">
        <v>30</v>
      </c>
      <c r="G221" s="72" t="s">
        <v>30</v>
      </c>
      <c r="H221" s="72" t="s">
        <v>30</v>
      </c>
      <c r="I221" s="31"/>
    </row>
    <row r="222">
      <c r="B222" s="72" t="s">
        <v>30</v>
      </c>
      <c r="C222" s="73" t="s">
        <v>30</v>
      </c>
      <c r="D222" s="72" t="s">
        <v>30</v>
      </c>
      <c r="E222" s="72" t="s">
        <v>30</v>
      </c>
      <c r="G222" s="72" t="s">
        <v>30</v>
      </c>
      <c r="H222" s="72" t="s">
        <v>30</v>
      </c>
      <c r="I222" s="31"/>
    </row>
    <row r="223">
      <c r="B223" s="72" t="s">
        <v>30</v>
      </c>
      <c r="C223" s="73" t="s">
        <v>30</v>
      </c>
      <c r="D223" s="72" t="s">
        <v>30</v>
      </c>
      <c r="E223" s="72" t="s">
        <v>30</v>
      </c>
      <c r="G223" s="72" t="s">
        <v>30</v>
      </c>
      <c r="H223" s="72" t="s">
        <v>30</v>
      </c>
      <c r="I223" s="31"/>
    </row>
    <row r="224">
      <c r="B224" s="72" t="s">
        <v>30</v>
      </c>
      <c r="C224" s="73" t="s">
        <v>30</v>
      </c>
      <c r="D224" s="72" t="s">
        <v>30</v>
      </c>
      <c r="E224" s="72" t="s">
        <v>30</v>
      </c>
      <c r="G224" s="72" t="s">
        <v>30</v>
      </c>
      <c r="H224" s="72" t="s">
        <v>30</v>
      </c>
      <c r="I224" s="31"/>
    </row>
    <row r="225">
      <c r="B225" s="72" t="s">
        <v>30</v>
      </c>
      <c r="C225" s="73" t="s">
        <v>30</v>
      </c>
      <c r="D225" s="72" t="s">
        <v>30</v>
      </c>
      <c r="E225" s="72" t="s">
        <v>30</v>
      </c>
      <c r="G225" s="72" t="s">
        <v>30</v>
      </c>
      <c r="H225" s="72" t="s">
        <v>30</v>
      </c>
      <c r="I225" s="31"/>
    </row>
    <row r="226">
      <c r="B226" s="72" t="s">
        <v>30</v>
      </c>
      <c r="C226" s="73" t="s">
        <v>30</v>
      </c>
      <c r="D226" s="72" t="s">
        <v>30</v>
      </c>
      <c r="E226" s="72" t="s">
        <v>30</v>
      </c>
      <c r="G226" s="72" t="s">
        <v>30</v>
      </c>
      <c r="H226" s="72" t="s">
        <v>30</v>
      </c>
      <c r="I226" s="31"/>
    </row>
    <row r="227">
      <c r="B227" s="72" t="s">
        <v>30</v>
      </c>
      <c r="C227" s="73" t="s">
        <v>30</v>
      </c>
      <c r="D227" s="72" t="s">
        <v>30</v>
      </c>
      <c r="E227" s="72" t="s">
        <v>30</v>
      </c>
      <c r="G227" s="72" t="s">
        <v>30</v>
      </c>
      <c r="H227" s="72" t="s">
        <v>30</v>
      </c>
      <c r="I227" s="31"/>
    </row>
    <row r="228">
      <c r="B228" s="72" t="s">
        <v>30</v>
      </c>
      <c r="C228" s="73" t="s">
        <v>30</v>
      </c>
      <c r="D228" s="72" t="s">
        <v>30</v>
      </c>
      <c r="E228" s="72" t="s">
        <v>30</v>
      </c>
      <c r="G228" s="72" t="s">
        <v>30</v>
      </c>
      <c r="H228" s="72" t="s">
        <v>30</v>
      </c>
      <c r="I228" s="31"/>
    </row>
    <row r="229">
      <c r="B229" s="72" t="s">
        <v>30</v>
      </c>
      <c r="C229" s="73" t="s">
        <v>30</v>
      </c>
      <c r="D229" s="72" t="s">
        <v>30</v>
      </c>
      <c r="E229" s="72" t="s">
        <v>30</v>
      </c>
      <c r="G229" s="72" t="s">
        <v>30</v>
      </c>
      <c r="H229" s="72" t="s">
        <v>30</v>
      </c>
      <c r="I229" s="31"/>
    </row>
    <row r="230">
      <c r="B230" s="72" t="s">
        <v>30</v>
      </c>
      <c r="C230" s="73" t="s">
        <v>30</v>
      </c>
      <c r="D230" s="72" t="s">
        <v>30</v>
      </c>
      <c r="E230" s="72" t="s">
        <v>30</v>
      </c>
      <c r="G230" s="72" t="s">
        <v>30</v>
      </c>
      <c r="H230" s="72" t="s">
        <v>30</v>
      </c>
      <c r="I230" s="31"/>
    </row>
    <row r="231">
      <c r="B231" s="72" t="s">
        <v>30</v>
      </c>
      <c r="C231" s="73" t="s">
        <v>30</v>
      </c>
      <c r="D231" s="72" t="s">
        <v>30</v>
      </c>
      <c r="E231" s="72" t="s">
        <v>30</v>
      </c>
      <c r="G231" s="72" t="s">
        <v>30</v>
      </c>
      <c r="H231" s="72" t="s">
        <v>30</v>
      </c>
      <c r="I231" s="31"/>
    </row>
    <row r="232">
      <c r="B232" s="72" t="s">
        <v>30</v>
      </c>
      <c r="C232" s="73" t="s">
        <v>30</v>
      </c>
      <c r="D232" s="72" t="s">
        <v>30</v>
      </c>
      <c r="E232" s="72" t="s">
        <v>30</v>
      </c>
      <c r="G232" s="72" t="s">
        <v>30</v>
      </c>
      <c r="H232" s="72" t="s">
        <v>30</v>
      </c>
      <c r="I232" s="31"/>
    </row>
    <row r="233">
      <c r="B233" s="72" t="s">
        <v>30</v>
      </c>
      <c r="C233" s="73" t="s">
        <v>30</v>
      </c>
      <c r="D233" s="72" t="s">
        <v>30</v>
      </c>
      <c r="E233" s="72" t="s">
        <v>30</v>
      </c>
      <c r="G233" s="72" t="s">
        <v>30</v>
      </c>
      <c r="H233" s="72" t="s">
        <v>30</v>
      </c>
      <c r="I233" s="31"/>
    </row>
    <row r="234">
      <c r="B234" s="72" t="s">
        <v>30</v>
      </c>
      <c r="C234" s="73" t="s">
        <v>30</v>
      </c>
      <c r="D234" s="72" t="s">
        <v>30</v>
      </c>
      <c r="E234" s="72" t="s">
        <v>30</v>
      </c>
      <c r="G234" s="72" t="s">
        <v>30</v>
      </c>
      <c r="H234" s="72" t="s">
        <v>30</v>
      </c>
      <c r="I234" s="31"/>
    </row>
    <row r="235">
      <c r="B235" s="72" t="s">
        <v>30</v>
      </c>
      <c r="C235" s="73" t="s">
        <v>30</v>
      </c>
      <c r="D235" s="72" t="s">
        <v>30</v>
      </c>
      <c r="E235" s="72" t="s">
        <v>30</v>
      </c>
      <c r="G235" s="72" t="s">
        <v>30</v>
      </c>
      <c r="H235" s="72" t="s">
        <v>30</v>
      </c>
      <c r="I235" s="31"/>
    </row>
    <row r="236">
      <c r="B236" s="72" t="s">
        <v>30</v>
      </c>
      <c r="C236" s="73" t="s">
        <v>30</v>
      </c>
      <c r="D236" s="72" t="s">
        <v>30</v>
      </c>
      <c r="E236" s="72" t="s">
        <v>30</v>
      </c>
      <c r="G236" s="72" t="s">
        <v>30</v>
      </c>
      <c r="H236" s="72" t="s">
        <v>30</v>
      </c>
      <c r="I236" s="31"/>
    </row>
    <row r="237">
      <c r="B237" s="72" t="s">
        <v>30</v>
      </c>
      <c r="C237" s="73" t="s">
        <v>30</v>
      </c>
      <c r="D237" s="72" t="s">
        <v>30</v>
      </c>
      <c r="E237" s="72" t="s">
        <v>30</v>
      </c>
      <c r="G237" s="72" t="s">
        <v>30</v>
      </c>
      <c r="H237" s="72" t="s">
        <v>30</v>
      </c>
      <c r="I237" s="31"/>
    </row>
    <row r="238">
      <c r="B238" s="72" t="s">
        <v>30</v>
      </c>
      <c r="C238" s="73" t="s">
        <v>30</v>
      </c>
      <c r="D238" s="72" t="s">
        <v>30</v>
      </c>
      <c r="E238" s="72" t="s">
        <v>30</v>
      </c>
      <c r="G238" s="72" t="s">
        <v>30</v>
      </c>
      <c r="H238" s="72" t="s">
        <v>30</v>
      </c>
      <c r="I238" s="31"/>
    </row>
    <row r="239">
      <c r="B239" s="72" t="s">
        <v>30</v>
      </c>
      <c r="C239" s="73" t="s">
        <v>30</v>
      </c>
      <c r="D239" s="72" t="s">
        <v>30</v>
      </c>
      <c r="E239" s="72" t="s">
        <v>30</v>
      </c>
      <c r="G239" s="72" t="s">
        <v>30</v>
      </c>
      <c r="H239" s="72" t="s">
        <v>30</v>
      </c>
      <c r="I239" s="31"/>
    </row>
    <row r="240">
      <c r="B240" s="72" t="s">
        <v>30</v>
      </c>
      <c r="C240" s="73" t="s">
        <v>30</v>
      </c>
      <c r="D240" s="72" t="s">
        <v>30</v>
      </c>
      <c r="E240" s="72" t="s">
        <v>30</v>
      </c>
      <c r="G240" s="72" t="s">
        <v>30</v>
      </c>
      <c r="H240" s="72" t="s">
        <v>30</v>
      </c>
      <c r="I240" s="31"/>
    </row>
    <row r="241">
      <c r="B241" s="72" t="s">
        <v>30</v>
      </c>
      <c r="C241" s="73" t="s">
        <v>30</v>
      </c>
      <c r="D241" s="72" t="s">
        <v>30</v>
      </c>
      <c r="E241" s="72" t="s">
        <v>30</v>
      </c>
      <c r="G241" s="72" t="s">
        <v>30</v>
      </c>
      <c r="H241" s="72" t="s">
        <v>30</v>
      </c>
      <c r="I241" s="31"/>
    </row>
    <row r="242">
      <c r="B242" s="72" t="s">
        <v>30</v>
      </c>
      <c r="C242" s="73" t="s">
        <v>30</v>
      </c>
      <c r="D242" s="72" t="s">
        <v>30</v>
      </c>
      <c r="E242" s="72" t="s">
        <v>30</v>
      </c>
      <c r="G242" s="72" t="s">
        <v>30</v>
      </c>
      <c r="H242" s="72" t="s">
        <v>30</v>
      </c>
      <c r="I242" s="31"/>
    </row>
    <row r="243">
      <c r="B243" s="72" t="s">
        <v>30</v>
      </c>
      <c r="C243" s="73" t="s">
        <v>30</v>
      </c>
      <c r="D243" s="72" t="s">
        <v>30</v>
      </c>
      <c r="E243" s="72" t="s">
        <v>30</v>
      </c>
      <c r="G243" s="72" t="s">
        <v>30</v>
      </c>
      <c r="H243" s="72" t="s">
        <v>30</v>
      </c>
      <c r="I243" s="31"/>
    </row>
    <row r="244">
      <c r="B244" s="72" t="s">
        <v>30</v>
      </c>
      <c r="C244" s="73" t="s">
        <v>30</v>
      </c>
      <c r="D244" s="72" t="s">
        <v>30</v>
      </c>
      <c r="E244" s="72" t="s">
        <v>30</v>
      </c>
      <c r="G244" s="72" t="s">
        <v>30</v>
      </c>
      <c r="H244" s="72" t="s">
        <v>30</v>
      </c>
      <c r="I244" s="31"/>
    </row>
    <row r="245">
      <c r="B245" s="72" t="s">
        <v>30</v>
      </c>
      <c r="C245" s="73" t="s">
        <v>30</v>
      </c>
      <c r="D245" s="72" t="s">
        <v>30</v>
      </c>
      <c r="E245" s="72" t="s">
        <v>30</v>
      </c>
      <c r="G245" s="72" t="s">
        <v>30</v>
      </c>
      <c r="H245" s="72" t="s">
        <v>30</v>
      </c>
      <c r="I245" s="31"/>
    </row>
    <row r="246">
      <c r="B246" s="72" t="s">
        <v>30</v>
      </c>
      <c r="C246" s="73" t="s">
        <v>30</v>
      </c>
      <c r="D246" s="72" t="s">
        <v>30</v>
      </c>
      <c r="E246" s="72" t="s">
        <v>30</v>
      </c>
      <c r="G246" s="72" t="s">
        <v>30</v>
      </c>
      <c r="H246" s="72" t="s">
        <v>30</v>
      </c>
      <c r="I246" s="31"/>
    </row>
    <row r="247">
      <c r="B247" s="72" t="s">
        <v>30</v>
      </c>
      <c r="C247" s="73" t="s">
        <v>30</v>
      </c>
      <c r="D247" s="72" t="s">
        <v>30</v>
      </c>
      <c r="E247" s="72" t="s">
        <v>30</v>
      </c>
      <c r="G247" s="72" t="s">
        <v>30</v>
      </c>
      <c r="H247" s="72" t="s">
        <v>30</v>
      </c>
      <c r="I247" s="31"/>
    </row>
    <row r="248">
      <c r="B248" s="72" t="s">
        <v>30</v>
      </c>
      <c r="C248" s="73" t="s">
        <v>30</v>
      </c>
      <c r="D248" s="72" t="s">
        <v>30</v>
      </c>
      <c r="E248" s="72" t="s">
        <v>30</v>
      </c>
      <c r="G248" s="72" t="s">
        <v>30</v>
      </c>
      <c r="H248" s="72" t="s">
        <v>30</v>
      </c>
      <c r="I248" s="31"/>
    </row>
    <row r="249">
      <c r="B249" s="72" t="s">
        <v>30</v>
      </c>
      <c r="C249" s="73" t="s">
        <v>30</v>
      </c>
      <c r="D249" s="72" t="s">
        <v>30</v>
      </c>
      <c r="E249" s="72" t="s">
        <v>30</v>
      </c>
      <c r="G249" s="72" t="s">
        <v>30</v>
      </c>
      <c r="H249" s="72" t="s">
        <v>30</v>
      </c>
      <c r="I249" s="31"/>
    </row>
    <row r="250">
      <c r="B250" s="72" t="s">
        <v>30</v>
      </c>
      <c r="C250" s="73" t="s">
        <v>30</v>
      </c>
      <c r="D250" s="72" t="s">
        <v>30</v>
      </c>
      <c r="E250" s="72" t="s">
        <v>30</v>
      </c>
      <c r="G250" s="72" t="s">
        <v>30</v>
      </c>
      <c r="H250" s="72" t="s">
        <v>30</v>
      </c>
      <c r="I250" s="31"/>
    </row>
    <row r="251">
      <c r="B251" s="72" t="s">
        <v>30</v>
      </c>
      <c r="C251" s="73" t="s">
        <v>30</v>
      </c>
      <c r="D251" s="72" t="s">
        <v>30</v>
      </c>
      <c r="E251" s="72" t="s">
        <v>30</v>
      </c>
      <c r="G251" s="72" t="s">
        <v>30</v>
      </c>
      <c r="H251" s="72" t="s">
        <v>30</v>
      </c>
      <c r="I251" s="31"/>
    </row>
    <row r="252">
      <c r="B252" s="72" t="s">
        <v>30</v>
      </c>
      <c r="C252" s="73" t="s">
        <v>30</v>
      </c>
      <c r="D252" s="72" t="s">
        <v>30</v>
      </c>
      <c r="E252" s="72" t="s">
        <v>30</v>
      </c>
      <c r="G252" s="72" t="s">
        <v>30</v>
      </c>
      <c r="H252" s="72" t="s">
        <v>30</v>
      </c>
      <c r="I252" s="31"/>
    </row>
    <row r="253">
      <c r="B253" s="72" t="s">
        <v>30</v>
      </c>
      <c r="C253" s="73" t="s">
        <v>30</v>
      </c>
      <c r="D253" s="72" t="s">
        <v>30</v>
      </c>
      <c r="E253" s="72" t="s">
        <v>30</v>
      </c>
      <c r="G253" s="72" t="s">
        <v>30</v>
      </c>
      <c r="H253" s="72" t="s">
        <v>30</v>
      </c>
      <c r="I253" s="31"/>
    </row>
    <row r="254">
      <c r="B254" s="72" t="s">
        <v>30</v>
      </c>
      <c r="C254" s="73" t="s">
        <v>30</v>
      </c>
      <c r="D254" s="72" t="s">
        <v>30</v>
      </c>
      <c r="E254" s="72" t="s">
        <v>30</v>
      </c>
      <c r="G254" s="72" t="s">
        <v>30</v>
      </c>
      <c r="H254" s="72" t="s">
        <v>30</v>
      </c>
      <c r="I254" s="31"/>
    </row>
    <row r="255">
      <c r="B255" s="72" t="s">
        <v>30</v>
      </c>
      <c r="C255" s="73" t="s">
        <v>30</v>
      </c>
      <c r="D255" s="72" t="s">
        <v>30</v>
      </c>
      <c r="E255" s="72" t="s">
        <v>30</v>
      </c>
      <c r="G255" s="72" t="s">
        <v>30</v>
      </c>
      <c r="H255" s="72" t="s">
        <v>30</v>
      </c>
      <c r="I255" s="31"/>
    </row>
    <row r="256">
      <c r="B256" s="72" t="s">
        <v>30</v>
      </c>
      <c r="C256" s="73" t="s">
        <v>30</v>
      </c>
      <c r="D256" s="72" t="s">
        <v>30</v>
      </c>
      <c r="E256" s="72" t="s">
        <v>30</v>
      </c>
      <c r="G256" s="72" t="s">
        <v>30</v>
      </c>
      <c r="H256" s="72" t="s">
        <v>30</v>
      </c>
      <c r="I256" s="31"/>
    </row>
    <row r="257">
      <c r="B257" s="72" t="s">
        <v>30</v>
      </c>
      <c r="C257" s="73" t="s">
        <v>30</v>
      </c>
      <c r="D257" s="72" t="s">
        <v>30</v>
      </c>
      <c r="E257" s="72" t="s">
        <v>30</v>
      </c>
      <c r="G257" s="72" t="s">
        <v>30</v>
      </c>
      <c r="H257" s="72" t="s">
        <v>30</v>
      </c>
      <c r="I257" s="31"/>
    </row>
    <row r="258">
      <c r="B258" s="72" t="s">
        <v>30</v>
      </c>
      <c r="C258" s="73" t="s">
        <v>30</v>
      </c>
      <c r="D258" s="72" t="s">
        <v>30</v>
      </c>
      <c r="E258" s="72" t="s">
        <v>30</v>
      </c>
      <c r="G258" s="72" t="s">
        <v>30</v>
      </c>
      <c r="H258" s="72" t="s">
        <v>30</v>
      </c>
      <c r="I258" s="31"/>
    </row>
    <row r="259">
      <c r="B259" s="72" t="s">
        <v>30</v>
      </c>
      <c r="C259" s="73" t="s">
        <v>30</v>
      </c>
      <c r="D259" s="72" t="s">
        <v>30</v>
      </c>
      <c r="E259" s="72" t="s">
        <v>30</v>
      </c>
      <c r="G259" s="72" t="s">
        <v>30</v>
      </c>
      <c r="H259" s="72" t="s">
        <v>30</v>
      </c>
      <c r="I259" s="31"/>
    </row>
    <row r="260">
      <c r="B260" s="72" t="s">
        <v>30</v>
      </c>
      <c r="C260" s="73" t="s">
        <v>30</v>
      </c>
      <c r="D260" s="72" t="s">
        <v>30</v>
      </c>
      <c r="E260" s="72" t="s">
        <v>30</v>
      </c>
      <c r="G260" s="72" t="s">
        <v>30</v>
      </c>
      <c r="H260" s="72" t="s">
        <v>30</v>
      </c>
      <c r="I260" s="31"/>
    </row>
    <row r="261">
      <c r="B261" s="72" t="s">
        <v>30</v>
      </c>
      <c r="C261" s="73" t="s">
        <v>30</v>
      </c>
      <c r="D261" s="72" t="s">
        <v>30</v>
      </c>
      <c r="E261" s="72" t="s">
        <v>30</v>
      </c>
      <c r="G261" s="72" t="s">
        <v>30</v>
      </c>
      <c r="H261" s="72" t="s">
        <v>30</v>
      </c>
      <c r="I261" s="31"/>
    </row>
    <row r="262">
      <c r="B262" s="72" t="s">
        <v>30</v>
      </c>
      <c r="C262" s="73" t="s">
        <v>30</v>
      </c>
      <c r="D262" s="72" t="s">
        <v>30</v>
      </c>
      <c r="E262" s="72" t="s">
        <v>30</v>
      </c>
      <c r="G262" s="72" t="s">
        <v>30</v>
      </c>
      <c r="H262" s="72" t="s">
        <v>30</v>
      </c>
      <c r="I262" s="31"/>
    </row>
    <row r="263">
      <c r="B263" s="72" t="s">
        <v>30</v>
      </c>
      <c r="C263" s="73" t="s">
        <v>30</v>
      </c>
      <c r="D263" s="72" t="s">
        <v>30</v>
      </c>
      <c r="E263" s="72" t="s">
        <v>30</v>
      </c>
      <c r="G263" s="72" t="s">
        <v>30</v>
      </c>
      <c r="H263" s="72" t="s">
        <v>30</v>
      </c>
      <c r="I263" s="31"/>
    </row>
    <row r="264">
      <c r="B264" s="72" t="s">
        <v>30</v>
      </c>
      <c r="C264" s="73" t="s">
        <v>30</v>
      </c>
      <c r="D264" s="72" t="s">
        <v>30</v>
      </c>
      <c r="E264" s="72" t="s">
        <v>30</v>
      </c>
      <c r="G264" s="72" t="s">
        <v>30</v>
      </c>
      <c r="H264" s="72" t="s">
        <v>30</v>
      </c>
      <c r="I264" s="31"/>
    </row>
    <row r="265">
      <c r="B265" s="72" t="s">
        <v>30</v>
      </c>
      <c r="C265" s="73" t="s">
        <v>30</v>
      </c>
      <c r="D265" s="72" t="s">
        <v>30</v>
      </c>
      <c r="E265" s="72" t="s">
        <v>30</v>
      </c>
      <c r="G265" s="72" t="s">
        <v>30</v>
      </c>
      <c r="H265" s="72" t="s">
        <v>30</v>
      </c>
      <c r="I265" s="31"/>
    </row>
    <row r="266">
      <c r="B266" s="72" t="s">
        <v>30</v>
      </c>
      <c r="C266" s="73" t="s">
        <v>30</v>
      </c>
      <c r="D266" s="72" t="s">
        <v>30</v>
      </c>
      <c r="E266" s="72" t="s">
        <v>30</v>
      </c>
      <c r="G266" s="72" t="s">
        <v>30</v>
      </c>
      <c r="H266" s="72" t="s">
        <v>30</v>
      </c>
      <c r="I266" s="31"/>
    </row>
    <row r="267">
      <c r="B267" s="72" t="s">
        <v>30</v>
      </c>
      <c r="C267" s="73" t="s">
        <v>30</v>
      </c>
      <c r="D267" s="72" t="s">
        <v>30</v>
      </c>
      <c r="E267" s="72" t="s">
        <v>30</v>
      </c>
      <c r="G267" s="72" t="s">
        <v>30</v>
      </c>
      <c r="H267" s="72" t="s">
        <v>30</v>
      </c>
      <c r="I267" s="31"/>
    </row>
    <row r="268">
      <c r="B268" s="72" t="s">
        <v>30</v>
      </c>
      <c r="C268" s="73" t="s">
        <v>30</v>
      </c>
      <c r="D268" s="72" t="s">
        <v>30</v>
      </c>
      <c r="E268" s="72" t="s">
        <v>30</v>
      </c>
      <c r="G268" s="72" t="s">
        <v>30</v>
      </c>
      <c r="H268" s="72" t="s">
        <v>30</v>
      </c>
      <c r="I268" s="31"/>
    </row>
    <row r="269">
      <c r="B269" s="72" t="s">
        <v>30</v>
      </c>
      <c r="C269" s="73" t="s">
        <v>30</v>
      </c>
      <c r="D269" s="72" t="s">
        <v>30</v>
      </c>
      <c r="E269" s="72" t="s">
        <v>30</v>
      </c>
      <c r="G269" s="72" t="s">
        <v>30</v>
      </c>
      <c r="H269" s="72" t="s">
        <v>30</v>
      </c>
      <c r="I269" s="31"/>
    </row>
    <row r="270">
      <c r="B270" s="72" t="s">
        <v>30</v>
      </c>
      <c r="C270" s="73" t="s">
        <v>30</v>
      </c>
      <c r="D270" s="72" t="s">
        <v>30</v>
      </c>
      <c r="E270" s="72" t="s">
        <v>30</v>
      </c>
      <c r="G270" s="72" t="s">
        <v>30</v>
      </c>
      <c r="H270" s="72" t="s">
        <v>30</v>
      </c>
      <c r="I270" s="31"/>
    </row>
    <row r="271">
      <c r="B271" s="72" t="s">
        <v>30</v>
      </c>
      <c r="C271" s="73" t="s">
        <v>30</v>
      </c>
      <c r="D271" s="72" t="s">
        <v>30</v>
      </c>
      <c r="E271" s="72" t="s">
        <v>30</v>
      </c>
      <c r="G271" s="72" t="s">
        <v>30</v>
      </c>
      <c r="H271" s="72" t="s">
        <v>30</v>
      </c>
      <c r="I271" s="31"/>
    </row>
    <row r="272">
      <c r="B272" s="72" t="s">
        <v>30</v>
      </c>
      <c r="C272" s="73" t="s">
        <v>30</v>
      </c>
      <c r="D272" s="72" t="s">
        <v>30</v>
      </c>
      <c r="E272" s="72" t="s">
        <v>30</v>
      </c>
      <c r="G272" s="72" t="s">
        <v>30</v>
      </c>
      <c r="H272" s="72" t="s">
        <v>30</v>
      </c>
      <c r="I272" s="31"/>
    </row>
    <row r="273">
      <c r="B273" s="72" t="s">
        <v>30</v>
      </c>
      <c r="C273" s="73" t="s">
        <v>30</v>
      </c>
      <c r="D273" s="72" t="s">
        <v>30</v>
      </c>
      <c r="E273" s="72" t="s">
        <v>30</v>
      </c>
      <c r="G273" s="72" t="s">
        <v>30</v>
      </c>
      <c r="H273" s="72" t="s">
        <v>30</v>
      </c>
      <c r="I273" s="31"/>
    </row>
    <row r="274">
      <c r="B274" s="72" t="s">
        <v>30</v>
      </c>
      <c r="C274" s="73" t="s">
        <v>30</v>
      </c>
      <c r="D274" s="72" t="s">
        <v>30</v>
      </c>
      <c r="E274" s="72" t="s">
        <v>30</v>
      </c>
      <c r="G274" s="72" t="s">
        <v>30</v>
      </c>
      <c r="H274" s="72" t="s">
        <v>30</v>
      </c>
      <c r="I274" s="31"/>
    </row>
    <row r="275">
      <c r="B275" s="72" t="s">
        <v>30</v>
      </c>
      <c r="C275" s="73" t="s">
        <v>30</v>
      </c>
      <c r="D275" s="72" t="s">
        <v>30</v>
      </c>
      <c r="E275" s="72" t="s">
        <v>30</v>
      </c>
      <c r="G275" s="72" t="s">
        <v>30</v>
      </c>
      <c r="H275" s="72" t="s">
        <v>30</v>
      </c>
      <c r="I275" s="31"/>
    </row>
    <row r="276">
      <c r="B276" s="72" t="s">
        <v>30</v>
      </c>
      <c r="C276" s="73" t="s">
        <v>30</v>
      </c>
      <c r="D276" s="72" t="s">
        <v>30</v>
      </c>
      <c r="E276" s="72" t="s">
        <v>30</v>
      </c>
      <c r="G276" s="72" t="s">
        <v>30</v>
      </c>
      <c r="H276" s="72" t="s">
        <v>30</v>
      </c>
      <c r="I276" s="31"/>
    </row>
    <row r="277">
      <c r="B277" s="72" t="s">
        <v>30</v>
      </c>
      <c r="C277" s="73" t="s">
        <v>30</v>
      </c>
      <c r="D277" s="72" t="s">
        <v>30</v>
      </c>
      <c r="E277" s="72" t="s">
        <v>30</v>
      </c>
      <c r="G277" s="72" t="s">
        <v>30</v>
      </c>
      <c r="H277" s="72" t="s">
        <v>30</v>
      </c>
      <c r="I277" s="31"/>
    </row>
    <row r="278">
      <c r="B278" s="72" t="s">
        <v>30</v>
      </c>
      <c r="C278" s="73" t="s">
        <v>30</v>
      </c>
      <c r="D278" s="72" t="s">
        <v>30</v>
      </c>
      <c r="E278" s="72" t="s">
        <v>30</v>
      </c>
      <c r="G278" s="72" t="s">
        <v>30</v>
      </c>
      <c r="H278" s="72" t="s">
        <v>30</v>
      </c>
      <c r="I278" s="31"/>
    </row>
    <row r="279">
      <c r="B279" s="72" t="s">
        <v>30</v>
      </c>
      <c r="C279" s="73" t="s">
        <v>30</v>
      </c>
      <c r="D279" s="72" t="s">
        <v>30</v>
      </c>
      <c r="E279" s="72" t="s">
        <v>30</v>
      </c>
      <c r="G279" s="72" t="s">
        <v>30</v>
      </c>
      <c r="H279" s="72" t="s">
        <v>30</v>
      </c>
      <c r="I279" s="31"/>
    </row>
    <row r="280">
      <c r="B280" s="72" t="s">
        <v>30</v>
      </c>
      <c r="C280" s="73" t="s">
        <v>30</v>
      </c>
      <c r="D280" s="72" t="s">
        <v>30</v>
      </c>
      <c r="E280" s="72" t="s">
        <v>30</v>
      </c>
      <c r="G280" s="72" t="s">
        <v>30</v>
      </c>
      <c r="H280" s="72" t="s">
        <v>30</v>
      </c>
      <c r="I280" s="31"/>
    </row>
    <row r="281">
      <c r="B281" s="72" t="s">
        <v>30</v>
      </c>
      <c r="C281" s="73" t="s">
        <v>30</v>
      </c>
      <c r="D281" s="72" t="s">
        <v>30</v>
      </c>
      <c r="E281" s="72" t="s">
        <v>30</v>
      </c>
      <c r="G281" s="72" t="s">
        <v>30</v>
      </c>
      <c r="H281" s="72" t="s">
        <v>30</v>
      </c>
      <c r="I281" s="31"/>
    </row>
    <row r="282">
      <c r="B282" s="72" t="s">
        <v>30</v>
      </c>
      <c r="C282" s="73" t="s">
        <v>30</v>
      </c>
      <c r="D282" s="72" t="s">
        <v>30</v>
      </c>
      <c r="E282" s="72" t="s">
        <v>30</v>
      </c>
      <c r="G282" s="72" t="s">
        <v>30</v>
      </c>
      <c r="H282" s="72" t="s">
        <v>30</v>
      </c>
      <c r="I282" s="31"/>
    </row>
    <row r="283">
      <c r="B283" s="72" t="s">
        <v>30</v>
      </c>
      <c r="C283" s="73" t="s">
        <v>30</v>
      </c>
      <c r="D283" s="72" t="s">
        <v>30</v>
      </c>
      <c r="E283" s="72" t="s">
        <v>30</v>
      </c>
      <c r="G283" s="72" t="s">
        <v>30</v>
      </c>
      <c r="H283" s="72" t="s">
        <v>30</v>
      </c>
      <c r="I283" s="31"/>
    </row>
    <row r="284">
      <c r="B284" s="72" t="s">
        <v>30</v>
      </c>
      <c r="C284" s="73" t="s">
        <v>30</v>
      </c>
      <c r="D284" s="72" t="s">
        <v>30</v>
      </c>
      <c r="E284" s="72" t="s">
        <v>30</v>
      </c>
      <c r="G284" s="72" t="s">
        <v>30</v>
      </c>
      <c r="H284" s="72" t="s">
        <v>30</v>
      </c>
      <c r="I284" s="31"/>
    </row>
    <row r="285">
      <c r="B285" s="72" t="s">
        <v>30</v>
      </c>
      <c r="C285" s="73" t="s">
        <v>30</v>
      </c>
      <c r="D285" s="72" t="s">
        <v>30</v>
      </c>
      <c r="E285" s="72" t="s">
        <v>30</v>
      </c>
      <c r="G285" s="72" t="s">
        <v>30</v>
      </c>
      <c r="H285" s="72" t="s">
        <v>30</v>
      </c>
      <c r="I285" s="31"/>
    </row>
    <row r="286">
      <c r="B286" s="72" t="s">
        <v>30</v>
      </c>
      <c r="C286" s="73" t="s">
        <v>30</v>
      </c>
      <c r="D286" s="72" t="s">
        <v>30</v>
      </c>
      <c r="E286" s="72" t="s">
        <v>30</v>
      </c>
      <c r="G286" s="72" t="s">
        <v>30</v>
      </c>
      <c r="H286" s="72" t="s">
        <v>30</v>
      </c>
      <c r="I286" s="31"/>
    </row>
    <row r="287">
      <c r="B287" s="72" t="s">
        <v>30</v>
      </c>
      <c r="C287" s="73" t="s">
        <v>30</v>
      </c>
      <c r="D287" s="72" t="s">
        <v>30</v>
      </c>
      <c r="E287" s="72" t="s">
        <v>30</v>
      </c>
      <c r="G287" s="72" t="s">
        <v>30</v>
      </c>
      <c r="H287" s="72" t="s">
        <v>30</v>
      </c>
      <c r="I287" s="31"/>
    </row>
    <row r="288">
      <c r="B288" s="72" t="s">
        <v>30</v>
      </c>
      <c r="C288" s="73" t="s">
        <v>30</v>
      </c>
      <c r="D288" s="72" t="s">
        <v>30</v>
      </c>
      <c r="E288" s="72" t="s">
        <v>30</v>
      </c>
      <c r="G288" s="72" t="s">
        <v>30</v>
      </c>
      <c r="H288" s="72" t="s">
        <v>30</v>
      </c>
      <c r="I288" s="31"/>
    </row>
    <row r="289">
      <c r="B289" s="72" t="s">
        <v>30</v>
      </c>
      <c r="C289" s="73" t="s">
        <v>30</v>
      </c>
      <c r="D289" s="72" t="s">
        <v>30</v>
      </c>
      <c r="E289" s="72" t="s">
        <v>30</v>
      </c>
      <c r="G289" s="72" t="s">
        <v>30</v>
      </c>
      <c r="H289" s="72" t="s">
        <v>30</v>
      </c>
      <c r="I289" s="31"/>
    </row>
    <row r="290">
      <c r="B290" s="72" t="s">
        <v>30</v>
      </c>
      <c r="C290" s="73" t="s">
        <v>30</v>
      </c>
      <c r="D290" s="72" t="s">
        <v>30</v>
      </c>
      <c r="E290" s="72" t="s">
        <v>30</v>
      </c>
      <c r="G290" s="72" t="s">
        <v>30</v>
      </c>
      <c r="H290" s="72" t="s">
        <v>30</v>
      </c>
      <c r="I290" s="31"/>
    </row>
    <row r="291">
      <c r="B291" s="72" t="s">
        <v>30</v>
      </c>
      <c r="C291" s="73" t="s">
        <v>30</v>
      </c>
      <c r="D291" s="72" t="s">
        <v>30</v>
      </c>
      <c r="E291" s="72" t="s">
        <v>30</v>
      </c>
      <c r="G291" s="72" t="s">
        <v>30</v>
      </c>
      <c r="H291" s="72" t="s">
        <v>30</v>
      </c>
      <c r="I291" s="31"/>
    </row>
    <row r="292">
      <c r="B292" s="72" t="s">
        <v>30</v>
      </c>
      <c r="C292" s="73" t="s">
        <v>30</v>
      </c>
      <c r="D292" s="72" t="s">
        <v>30</v>
      </c>
      <c r="E292" s="72" t="s">
        <v>30</v>
      </c>
      <c r="G292" s="72" t="s">
        <v>30</v>
      </c>
      <c r="H292" s="72" t="s">
        <v>30</v>
      </c>
      <c r="I292" s="31"/>
    </row>
    <row r="293">
      <c r="B293" s="72" t="s">
        <v>30</v>
      </c>
      <c r="C293" s="73" t="s">
        <v>30</v>
      </c>
      <c r="D293" s="72" t="s">
        <v>30</v>
      </c>
      <c r="E293" s="72" t="s">
        <v>30</v>
      </c>
      <c r="G293" s="72" t="s">
        <v>30</v>
      </c>
      <c r="H293" s="72" t="s">
        <v>30</v>
      </c>
      <c r="I293" s="31"/>
    </row>
    <row r="294">
      <c r="B294" s="72" t="s">
        <v>30</v>
      </c>
      <c r="C294" s="73" t="s">
        <v>30</v>
      </c>
      <c r="D294" s="72" t="s">
        <v>30</v>
      </c>
      <c r="E294" s="72" t="s">
        <v>30</v>
      </c>
      <c r="G294" s="72" t="s">
        <v>30</v>
      </c>
      <c r="H294" s="72" t="s">
        <v>30</v>
      </c>
      <c r="I294" s="31"/>
    </row>
    <row r="295">
      <c r="B295" s="72" t="s">
        <v>30</v>
      </c>
      <c r="C295" s="73" t="s">
        <v>30</v>
      </c>
      <c r="D295" s="72" t="s">
        <v>30</v>
      </c>
      <c r="E295" s="72" t="s">
        <v>30</v>
      </c>
      <c r="G295" s="72" t="s">
        <v>30</v>
      </c>
      <c r="H295" s="72" t="s">
        <v>30</v>
      </c>
      <c r="I295" s="31"/>
    </row>
    <row r="296">
      <c r="B296" s="72" t="s">
        <v>30</v>
      </c>
      <c r="C296" s="73" t="s">
        <v>30</v>
      </c>
      <c r="D296" s="72" t="s">
        <v>30</v>
      </c>
      <c r="E296" s="72" t="s">
        <v>30</v>
      </c>
      <c r="G296" s="72" t="s">
        <v>30</v>
      </c>
      <c r="H296" s="72" t="s">
        <v>30</v>
      </c>
      <c r="I296" s="31"/>
    </row>
    <row r="297">
      <c r="B297" s="72" t="s">
        <v>30</v>
      </c>
      <c r="C297" s="73" t="s">
        <v>30</v>
      </c>
      <c r="D297" s="72" t="s">
        <v>30</v>
      </c>
      <c r="E297" s="72" t="s">
        <v>30</v>
      </c>
      <c r="G297" s="72" t="s">
        <v>30</v>
      </c>
      <c r="H297" s="72" t="s">
        <v>30</v>
      </c>
      <c r="I297" s="31"/>
    </row>
    <row r="298">
      <c r="B298" s="72" t="s">
        <v>30</v>
      </c>
      <c r="C298" s="73" t="s">
        <v>30</v>
      </c>
      <c r="D298" s="72" t="s">
        <v>30</v>
      </c>
      <c r="E298" s="72" t="s">
        <v>30</v>
      </c>
      <c r="G298" s="72" t="s">
        <v>30</v>
      </c>
      <c r="H298" s="72" t="s">
        <v>30</v>
      </c>
      <c r="I298" s="31"/>
    </row>
    <row r="299">
      <c r="B299" s="72" t="s">
        <v>30</v>
      </c>
      <c r="C299" s="73" t="s">
        <v>30</v>
      </c>
      <c r="D299" s="72" t="s">
        <v>30</v>
      </c>
      <c r="E299" s="72" t="s">
        <v>30</v>
      </c>
      <c r="G299" s="72" t="s">
        <v>30</v>
      </c>
      <c r="H299" s="72" t="s">
        <v>30</v>
      </c>
      <c r="I299" s="31"/>
    </row>
    <row r="300">
      <c r="B300" s="72" t="s">
        <v>30</v>
      </c>
      <c r="C300" s="73" t="s">
        <v>30</v>
      </c>
      <c r="D300" s="72" t="s">
        <v>30</v>
      </c>
      <c r="E300" s="72" t="s">
        <v>30</v>
      </c>
      <c r="G300" s="72" t="s">
        <v>30</v>
      </c>
      <c r="H300" s="72" t="s">
        <v>30</v>
      </c>
      <c r="I300" s="31"/>
    </row>
    <row r="301">
      <c r="B301" s="72" t="s">
        <v>30</v>
      </c>
      <c r="C301" s="73" t="s">
        <v>30</v>
      </c>
      <c r="D301" s="72" t="s">
        <v>30</v>
      </c>
      <c r="E301" s="72" t="s">
        <v>30</v>
      </c>
      <c r="G301" s="72" t="s">
        <v>30</v>
      </c>
      <c r="H301" s="72" t="s">
        <v>30</v>
      </c>
      <c r="I301" s="31"/>
    </row>
    <row r="302">
      <c r="B302" s="72" t="s">
        <v>30</v>
      </c>
      <c r="C302" s="73" t="s">
        <v>30</v>
      </c>
      <c r="D302" s="72" t="s">
        <v>30</v>
      </c>
      <c r="E302" s="72" t="s">
        <v>30</v>
      </c>
      <c r="G302" s="72" t="s">
        <v>30</v>
      </c>
      <c r="H302" s="72" t="s">
        <v>30</v>
      </c>
      <c r="I302" s="31"/>
    </row>
    <row r="303">
      <c r="B303" s="72" t="s">
        <v>30</v>
      </c>
      <c r="C303" s="73" t="s">
        <v>30</v>
      </c>
      <c r="D303" s="72" t="s">
        <v>30</v>
      </c>
      <c r="E303" s="72" t="s">
        <v>30</v>
      </c>
      <c r="G303" s="72" t="s">
        <v>30</v>
      </c>
      <c r="H303" s="72" t="s">
        <v>30</v>
      </c>
      <c r="I303" s="31"/>
    </row>
    <row r="304">
      <c r="B304" s="72" t="s">
        <v>30</v>
      </c>
      <c r="C304" s="73" t="s">
        <v>30</v>
      </c>
      <c r="D304" s="72" t="s">
        <v>30</v>
      </c>
      <c r="E304" s="72" t="s">
        <v>30</v>
      </c>
      <c r="G304" s="72" t="s">
        <v>30</v>
      </c>
      <c r="H304" s="72" t="s">
        <v>30</v>
      </c>
      <c r="I304" s="31"/>
    </row>
    <row r="305">
      <c r="B305" s="72" t="s">
        <v>30</v>
      </c>
      <c r="C305" s="73" t="s">
        <v>30</v>
      </c>
      <c r="D305" s="72" t="s">
        <v>30</v>
      </c>
      <c r="E305" s="72" t="s">
        <v>30</v>
      </c>
      <c r="G305" s="72" t="s">
        <v>30</v>
      </c>
      <c r="H305" s="72" t="s">
        <v>30</v>
      </c>
      <c r="I305" s="31"/>
    </row>
    <row r="306">
      <c r="B306" s="72" t="s">
        <v>30</v>
      </c>
      <c r="C306" s="73" t="s">
        <v>30</v>
      </c>
      <c r="D306" s="72" t="s">
        <v>30</v>
      </c>
      <c r="E306" s="72" t="s">
        <v>30</v>
      </c>
      <c r="G306" s="72" t="s">
        <v>30</v>
      </c>
      <c r="H306" s="72" t="s">
        <v>30</v>
      </c>
      <c r="I306" s="31"/>
    </row>
    <row r="307">
      <c r="B307" s="72" t="s">
        <v>30</v>
      </c>
      <c r="C307" s="73" t="s">
        <v>30</v>
      </c>
      <c r="D307" s="72" t="s">
        <v>30</v>
      </c>
      <c r="E307" s="72" t="s">
        <v>30</v>
      </c>
      <c r="G307" s="72" t="s">
        <v>30</v>
      </c>
      <c r="H307" s="72" t="s">
        <v>30</v>
      </c>
      <c r="I307" s="31"/>
    </row>
    <row r="308">
      <c r="B308" s="72" t="s">
        <v>30</v>
      </c>
      <c r="C308" s="73" t="s">
        <v>30</v>
      </c>
      <c r="D308" s="72" t="s">
        <v>30</v>
      </c>
      <c r="E308" s="72" t="s">
        <v>30</v>
      </c>
      <c r="G308" s="72" t="s">
        <v>30</v>
      </c>
      <c r="H308" s="72" t="s">
        <v>30</v>
      </c>
      <c r="I308" s="31"/>
    </row>
    <row r="309">
      <c r="B309" s="72" t="s">
        <v>30</v>
      </c>
      <c r="C309" s="73" t="s">
        <v>30</v>
      </c>
      <c r="D309" s="72" t="s">
        <v>30</v>
      </c>
      <c r="E309" s="72" t="s">
        <v>30</v>
      </c>
      <c r="G309" s="72" t="s">
        <v>30</v>
      </c>
      <c r="H309" s="72" t="s">
        <v>30</v>
      </c>
      <c r="I309" s="31"/>
    </row>
    <row r="310">
      <c r="B310" s="72" t="s">
        <v>30</v>
      </c>
      <c r="C310" s="73" t="s">
        <v>30</v>
      </c>
      <c r="D310" s="72" t="s">
        <v>30</v>
      </c>
      <c r="E310" s="72" t="s">
        <v>30</v>
      </c>
      <c r="G310" s="72" t="s">
        <v>30</v>
      </c>
      <c r="H310" s="72" t="s">
        <v>30</v>
      </c>
      <c r="I310" s="31"/>
    </row>
    <row r="311">
      <c r="B311" s="72" t="s">
        <v>30</v>
      </c>
      <c r="C311" s="73" t="s">
        <v>30</v>
      </c>
      <c r="D311" s="72" t="s">
        <v>30</v>
      </c>
      <c r="E311" s="72" t="s">
        <v>30</v>
      </c>
      <c r="G311" s="72" t="s">
        <v>30</v>
      </c>
      <c r="H311" s="72" t="s">
        <v>30</v>
      </c>
      <c r="I311" s="31"/>
    </row>
    <row r="312">
      <c r="B312" s="72" t="s">
        <v>30</v>
      </c>
      <c r="C312" s="73" t="s">
        <v>30</v>
      </c>
      <c r="D312" s="72" t="s">
        <v>30</v>
      </c>
      <c r="E312" s="72" t="s">
        <v>30</v>
      </c>
      <c r="G312" s="72" t="s">
        <v>30</v>
      </c>
      <c r="H312" s="72" t="s">
        <v>30</v>
      </c>
      <c r="I312" s="31"/>
    </row>
    <row r="313">
      <c r="B313" s="72" t="s">
        <v>30</v>
      </c>
      <c r="C313" s="73" t="s">
        <v>30</v>
      </c>
      <c r="D313" s="72" t="s">
        <v>30</v>
      </c>
      <c r="E313" s="72" t="s">
        <v>30</v>
      </c>
      <c r="G313" s="72" t="s">
        <v>30</v>
      </c>
      <c r="H313" s="72" t="s">
        <v>30</v>
      </c>
      <c r="I313" s="31"/>
    </row>
    <row r="314">
      <c r="B314" s="72" t="s">
        <v>30</v>
      </c>
      <c r="C314" s="73" t="s">
        <v>30</v>
      </c>
      <c r="D314" s="72" t="s">
        <v>30</v>
      </c>
      <c r="E314" s="72" t="s">
        <v>30</v>
      </c>
      <c r="G314" s="72" t="s">
        <v>30</v>
      </c>
      <c r="H314" s="72" t="s">
        <v>30</v>
      </c>
      <c r="I314" s="31"/>
    </row>
    <row r="315">
      <c r="B315" s="72" t="s">
        <v>30</v>
      </c>
      <c r="C315" s="73" t="s">
        <v>30</v>
      </c>
      <c r="D315" s="72" t="s">
        <v>30</v>
      </c>
      <c r="E315" s="72" t="s">
        <v>30</v>
      </c>
      <c r="G315" s="72" t="s">
        <v>30</v>
      </c>
      <c r="H315" s="72" t="s">
        <v>30</v>
      </c>
      <c r="I315" s="31"/>
    </row>
    <row r="316">
      <c r="B316" s="72" t="s">
        <v>30</v>
      </c>
      <c r="C316" s="73" t="s">
        <v>30</v>
      </c>
      <c r="D316" s="72" t="s">
        <v>30</v>
      </c>
      <c r="E316" s="72" t="s">
        <v>30</v>
      </c>
      <c r="G316" s="72" t="s">
        <v>30</v>
      </c>
      <c r="H316" s="72" t="s">
        <v>30</v>
      </c>
      <c r="I316" s="31"/>
    </row>
    <row r="317">
      <c r="B317" s="72" t="s">
        <v>30</v>
      </c>
      <c r="C317" s="73" t="s">
        <v>30</v>
      </c>
      <c r="D317" s="72" t="s">
        <v>30</v>
      </c>
      <c r="E317" s="72" t="s">
        <v>30</v>
      </c>
      <c r="G317" s="72" t="s">
        <v>30</v>
      </c>
      <c r="H317" s="72" t="s">
        <v>30</v>
      </c>
      <c r="I317" s="31"/>
    </row>
    <row r="318">
      <c r="B318" s="72" t="s">
        <v>30</v>
      </c>
      <c r="C318" s="73" t="s">
        <v>30</v>
      </c>
      <c r="D318" s="72" t="s">
        <v>30</v>
      </c>
      <c r="E318" s="72" t="s">
        <v>30</v>
      </c>
      <c r="G318" s="72" t="s">
        <v>30</v>
      </c>
      <c r="H318" s="72" t="s">
        <v>30</v>
      </c>
      <c r="I318" s="31"/>
    </row>
    <row r="319">
      <c r="B319" s="72" t="s">
        <v>30</v>
      </c>
      <c r="C319" s="73" t="s">
        <v>30</v>
      </c>
      <c r="D319" s="72" t="s">
        <v>30</v>
      </c>
      <c r="E319" s="72" t="s">
        <v>30</v>
      </c>
      <c r="G319" s="72" t="s">
        <v>30</v>
      </c>
      <c r="H319" s="72" t="s">
        <v>30</v>
      </c>
      <c r="I319" s="31"/>
    </row>
    <row r="320">
      <c r="B320" s="72" t="s">
        <v>30</v>
      </c>
      <c r="C320" s="73" t="s">
        <v>30</v>
      </c>
      <c r="D320" s="72" t="s">
        <v>30</v>
      </c>
      <c r="E320" s="72" t="s">
        <v>30</v>
      </c>
      <c r="G320" s="72" t="s">
        <v>30</v>
      </c>
      <c r="H320" s="72" t="s">
        <v>30</v>
      </c>
      <c r="I320" s="31"/>
    </row>
    <row r="321">
      <c r="B321" s="72" t="s">
        <v>30</v>
      </c>
      <c r="C321" s="73" t="s">
        <v>30</v>
      </c>
      <c r="D321" s="72" t="s">
        <v>30</v>
      </c>
      <c r="E321" s="72" t="s">
        <v>30</v>
      </c>
      <c r="G321" s="72" t="s">
        <v>30</v>
      </c>
      <c r="H321" s="72" t="s">
        <v>30</v>
      </c>
      <c r="I321" s="31"/>
    </row>
    <row r="322">
      <c r="B322" s="72" t="s">
        <v>30</v>
      </c>
      <c r="C322" s="73" t="s">
        <v>30</v>
      </c>
      <c r="D322" s="72" t="s">
        <v>30</v>
      </c>
      <c r="E322" s="72" t="s">
        <v>30</v>
      </c>
      <c r="G322" s="72" t="s">
        <v>30</v>
      </c>
      <c r="H322" s="72" t="s">
        <v>30</v>
      </c>
      <c r="I322" s="31"/>
    </row>
    <row r="323">
      <c r="B323" s="72" t="s">
        <v>30</v>
      </c>
      <c r="C323" s="73" t="s">
        <v>30</v>
      </c>
      <c r="D323" s="72" t="s">
        <v>30</v>
      </c>
      <c r="E323" s="72" t="s">
        <v>30</v>
      </c>
      <c r="G323" s="72" t="s">
        <v>30</v>
      </c>
      <c r="H323" s="72" t="s">
        <v>30</v>
      </c>
      <c r="I323" s="31"/>
    </row>
    <row r="324">
      <c r="B324" s="72" t="s">
        <v>30</v>
      </c>
      <c r="C324" s="73" t="s">
        <v>30</v>
      </c>
      <c r="D324" s="72" t="s">
        <v>30</v>
      </c>
      <c r="E324" s="72" t="s">
        <v>30</v>
      </c>
      <c r="G324" s="72" t="s">
        <v>30</v>
      </c>
      <c r="H324" s="72" t="s">
        <v>30</v>
      </c>
      <c r="I324" s="31"/>
    </row>
    <row r="325">
      <c r="B325" s="72" t="s">
        <v>30</v>
      </c>
      <c r="C325" s="73" t="s">
        <v>30</v>
      </c>
      <c r="D325" s="72" t="s">
        <v>30</v>
      </c>
      <c r="E325" s="72" t="s">
        <v>30</v>
      </c>
      <c r="G325" s="72" t="s">
        <v>30</v>
      </c>
      <c r="H325" s="72" t="s">
        <v>30</v>
      </c>
      <c r="I325" s="31"/>
    </row>
    <row r="326">
      <c r="B326" s="72" t="s">
        <v>30</v>
      </c>
      <c r="C326" s="73" t="s">
        <v>30</v>
      </c>
      <c r="D326" s="72" t="s">
        <v>30</v>
      </c>
      <c r="E326" s="72" t="s">
        <v>30</v>
      </c>
      <c r="G326" s="72" t="s">
        <v>30</v>
      </c>
      <c r="H326" s="72" t="s">
        <v>30</v>
      </c>
      <c r="I326" s="31"/>
    </row>
    <row r="327">
      <c r="B327" s="72" t="s">
        <v>30</v>
      </c>
      <c r="C327" s="73" t="s">
        <v>30</v>
      </c>
      <c r="D327" s="72" t="s">
        <v>30</v>
      </c>
      <c r="E327" s="72" t="s">
        <v>30</v>
      </c>
      <c r="G327" s="72" t="s">
        <v>30</v>
      </c>
      <c r="H327" s="72" t="s">
        <v>30</v>
      </c>
      <c r="I327" s="31"/>
    </row>
    <row r="328">
      <c r="B328" s="72" t="s">
        <v>30</v>
      </c>
      <c r="C328" s="73" t="s">
        <v>30</v>
      </c>
      <c r="D328" s="72" t="s">
        <v>30</v>
      </c>
      <c r="E328" s="72" t="s">
        <v>30</v>
      </c>
      <c r="G328" s="72" t="s">
        <v>30</v>
      </c>
      <c r="H328" s="72" t="s">
        <v>30</v>
      </c>
      <c r="I328" s="31"/>
    </row>
    <row r="329">
      <c r="B329" s="72" t="s">
        <v>30</v>
      </c>
      <c r="C329" s="73" t="s">
        <v>30</v>
      </c>
      <c r="D329" s="72" t="s">
        <v>30</v>
      </c>
      <c r="E329" s="72" t="s">
        <v>30</v>
      </c>
      <c r="G329" s="72" t="s">
        <v>30</v>
      </c>
      <c r="H329" s="72" t="s">
        <v>30</v>
      </c>
      <c r="I329" s="31"/>
    </row>
    <row r="330">
      <c r="B330" s="72" t="s">
        <v>30</v>
      </c>
      <c r="C330" s="73" t="s">
        <v>30</v>
      </c>
      <c r="D330" s="72" t="s">
        <v>30</v>
      </c>
      <c r="E330" s="72" t="s">
        <v>30</v>
      </c>
      <c r="G330" s="72" t="s">
        <v>30</v>
      </c>
      <c r="H330" s="72" t="s">
        <v>30</v>
      </c>
      <c r="I330" s="31"/>
    </row>
    <row r="331">
      <c r="B331" s="72" t="s">
        <v>30</v>
      </c>
      <c r="C331" s="73" t="s">
        <v>30</v>
      </c>
      <c r="D331" s="72" t="s">
        <v>30</v>
      </c>
      <c r="E331" s="72" t="s">
        <v>30</v>
      </c>
      <c r="G331" s="72" t="s">
        <v>30</v>
      </c>
      <c r="H331" s="72" t="s">
        <v>30</v>
      </c>
      <c r="I331" s="31"/>
    </row>
    <row r="332">
      <c r="B332" s="72" t="s">
        <v>30</v>
      </c>
      <c r="C332" s="73" t="s">
        <v>30</v>
      </c>
      <c r="D332" s="72" t="s">
        <v>30</v>
      </c>
      <c r="E332" s="72" t="s">
        <v>30</v>
      </c>
      <c r="G332" s="72" t="s">
        <v>30</v>
      </c>
      <c r="H332" s="72" t="s">
        <v>30</v>
      </c>
      <c r="I332" s="31"/>
    </row>
    <row r="333">
      <c r="B333" s="72" t="s">
        <v>30</v>
      </c>
      <c r="C333" s="73" t="s">
        <v>30</v>
      </c>
      <c r="D333" s="72" t="s">
        <v>30</v>
      </c>
      <c r="E333" s="72" t="s">
        <v>30</v>
      </c>
      <c r="G333" s="72" t="s">
        <v>30</v>
      </c>
      <c r="H333" s="72" t="s">
        <v>30</v>
      </c>
      <c r="I333" s="31"/>
    </row>
    <row r="334">
      <c r="B334" s="72" t="s">
        <v>30</v>
      </c>
      <c r="C334" s="73" t="s">
        <v>30</v>
      </c>
      <c r="D334" s="72" t="s">
        <v>30</v>
      </c>
      <c r="E334" s="72" t="s">
        <v>30</v>
      </c>
      <c r="G334" s="72" t="s">
        <v>30</v>
      </c>
      <c r="H334" s="72" t="s">
        <v>30</v>
      </c>
      <c r="I334" s="31"/>
    </row>
    <row r="335">
      <c r="B335" s="72" t="s">
        <v>30</v>
      </c>
      <c r="C335" s="73" t="s">
        <v>30</v>
      </c>
      <c r="D335" s="72" t="s">
        <v>30</v>
      </c>
      <c r="E335" s="72" t="s">
        <v>30</v>
      </c>
      <c r="G335" s="72" t="s">
        <v>30</v>
      </c>
      <c r="H335" s="72" t="s">
        <v>30</v>
      </c>
      <c r="I335" s="31"/>
    </row>
    <row r="336">
      <c r="B336" s="72" t="s">
        <v>30</v>
      </c>
      <c r="C336" s="73" t="s">
        <v>30</v>
      </c>
      <c r="D336" s="72" t="s">
        <v>30</v>
      </c>
      <c r="E336" s="72" t="s">
        <v>30</v>
      </c>
      <c r="G336" s="72" t="s">
        <v>30</v>
      </c>
      <c r="H336" s="72" t="s">
        <v>30</v>
      </c>
      <c r="I336" s="31"/>
    </row>
    <row r="337">
      <c r="B337" s="72" t="s">
        <v>30</v>
      </c>
      <c r="C337" s="73" t="s">
        <v>30</v>
      </c>
      <c r="D337" s="72" t="s">
        <v>30</v>
      </c>
      <c r="E337" s="72" t="s">
        <v>30</v>
      </c>
      <c r="G337" s="72" t="s">
        <v>30</v>
      </c>
      <c r="H337" s="72" t="s">
        <v>30</v>
      </c>
      <c r="I337" s="31"/>
    </row>
    <row r="338">
      <c r="B338" s="72" t="s">
        <v>30</v>
      </c>
      <c r="C338" s="73" t="s">
        <v>30</v>
      </c>
      <c r="D338" s="72" t="s">
        <v>30</v>
      </c>
      <c r="E338" s="72" t="s">
        <v>30</v>
      </c>
      <c r="G338" s="72" t="s">
        <v>30</v>
      </c>
      <c r="H338" s="72" t="s">
        <v>30</v>
      </c>
      <c r="I338" s="31"/>
    </row>
    <row r="339">
      <c r="B339" s="72" t="s">
        <v>30</v>
      </c>
      <c r="C339" s="73" t="s">
        <v>30</v>
      </c>
      <c r="D339" s="72" t="s">
        <v>30</v>
      </c>
      <c r="E339" s="72" t="s">
        <v>30</v>
      </c>
      <c r="G339" s="72" t="s">
        <v>30</v>
      </c>
      <c r="H339" s="72" t="s">
        <v>30</v>
      </c>
      <c r="I339" s="31"/>
    </row>
    <row r="340">
      <c r="B340" s="72" t="s">
        <v>30</v>
      </c>
      <c r="C340" s="73" t="s">
        <v>30</v>
      </c>
      <c r="D340" s="72" t="s">
        <v>30</v>
      </c>
      <c r="E340" s="72" t="s">
        <v>30</v>
      </c>
      <c r="G340" s="72" t="s">
        <v>30</v>
      </c>
      <c r="H340" s="72" t="s">
        <v>30</v>
      </c>
      <c r="I340" s="31"/>
    </row>
    <row r="341">
      <c r="B341" s="72" t="s">
        <v>30</v>
      </c>
      <c r="C341" s="73" t="s">
        <v>30</v>
      </c>
      <c r="D341" s="72" t="s">
        <v>30</v>
      </c>
      <c r="E341" s="72" t="s">
        <v>30</v>
      </c>
      <c r="G341" s="72" t="s">
        <v>30</v>
      </c>
      <c r="H341" s="72" t="s">
        <v>30</v>
      </c>
      <c r="I341" s="31"/>
    </row>
    <row r="342">
      <c r="B342" s="72" t="s">
        <v>30</v>
      </c>
      <c r="C342" s="73" t="s">
        <v>30</v>
      </c>
      <c r="D342" s="72" t="s">
        <v>30</v>
      </c>
      <c r="E342" s="72" t="s">
        <v>30</v>
      </c>
      <c r="G342" s="72" t="s">
        <v>30</v>
      </c>
      <c r="H342" s="72" t="s">
        <v>30</v>
      </c>
      <c r="I342" s="31"/>
    </row>
    <row r="343">
      <c r="B343" s="72" t="s">
        <v>30</v>
      </c>
      <c r="C343" s="73" t="s">
        <v>30</v>
      </c>
      <c r="D343" s="72" t="s">
        <v>30</v>
      </c>
      <c r="E343" s="72" t="s">
        <v>30</v>
      </c>
      <c r="G343" s="72" t="s">
        <v>30</v>
      </c>
      <c r="H343" s="72" t="s">
        <v>30</v>
      </c>
      <c r="I343" s="31"/>
    </row>
    <row r="344">
      <c r="B344" s="72" t="s">
        <v>30</v>
      </c>
      <c r="C344" s="73" t="s">
        <v>30</v>
      </c>
      <c r="D344" s="72" t="s">
        <v>30</v>
      </c>
      <c r="E344" s="72" t="s">
        <v>30</v>
      </c>
      <c r="G344" s="72" t="s">
        <v>30</v>
      </c>
      <c r="H344" s="72" t="s">
        <v>30</v>
      </c>
      <c r="I344" s="31"/>
    </row>
    <row r="345">
      <c r="B345" s="72" t="s">
        <v>30</v>
      </c>
      <c r="C345" s="73" t="s">
        <v>30</v>
      </c>
      <c r="D345" s="72" t="s">
        <v>30</v>
      </c>
      <c r="E345" s="72" t="s">
        <v>30</v>
      </c>
      <c r="G345" s="72" t="s">
        <v>30</v>
      </c>
      <c r="H345" s="72" t="s">
        <v>30</v>
      </c>
      <c r="I345" s="31"/>
    </row>
    <row r="346">
      <c r="B346" s="72" t="s">
        <v>30</v>
      </c>
      <c r="C346" s="73" t="s">
        <v>30</v>
      </c>
      <c r="D346" s="72" t="s">
        <v>30</v>
      </c>
      <c r="E346" s="72" t="s">
        <v>30</v>
      </c>
      <c r="G346" s="72" t="s">
        <v>30</v>
      </c>
      <c r="H346" s="72" t="s">
        <v>30</v>
      </c>
      <c r="I346" s="31"/>
    </row>
    <row r="347">
      <c r="B347" s="72" t="s">
        <v>30</v>
      </c>
      <c r="C347" s="73" t="s">
        <v>30</v>
      </c>
      <c r="D347" s="72" t="s">
        <v>30</v>
      </c>
      <c r="E347" s="72" t="s">
        <v>30</v>
      </c>
      <c r="G347" s="72" t="s">
        <v>30</v>
      </c>
      <c r="H347" s="72" t="s">
        <v>30</v>
      </c>
      <c r="I347" s="31"/>
    </row>
    <row r="348">
      <c r="B348" s="72" t="s">
        <v>30</v>
      </c>
      <c r="C348" s="73" t="s">
        <v>30</v>
      </c>
      <c r="D348" s="72" t="s">
        <v>30</v>
      </c>
      <c r="E348" s="72" t="s">
        <v>30</v>
      </c>
      <c r="G348" s="72" t="s">
        <v>30</v>
      </c>
      <c r="H348" s="72" t="s">
        <v>30</v>
      </c>
      <c r="I348" s="31"/>
    </row>
    <row r="349">
      <c r="B349" s="72" t="s">
        <v>30</v>
      </c>
      <c r="C349" s="73" t="s">
        <v>30</v>
      </c>
      <c r="D349" s="72" t="s">
        <v>30</v>
      </c>
      <c r="E349" s="72" t="s">
        <v>30</v>
      </c>
      <c r="G349" s="72" t="s">
        <v>30</v>
      </c>
      <c r="H349" s="72" t="s">
        <v>30</v>
      </c>
      <c r="I349" s="31"/>
    </row>
    <row r="350">
      <c r="B350" s="72" t="s">
        <v>30</v>
      </c>
      <c r="C350" s="73" t="s">
        <v>30</v>
      </c>
      <c r="D350" s="72" t="s">
        <v>30</v>
      </c>
      <c r="E350" s="72" t="s">
        <v>30</v>
      </c>
      <c r="G350" s="72" t="s">
        <v>30</v>
      </c>
      <c r="H350" s="72" t="s">
        <v>30</v>
      </c>
      <c r="I350" s="31"/>
    </row>
    <row r="351">
      <c r="B351" s="72" t="s">
        <v>30</v>
      </c>
      <c r="C351" s="73" t="s">
        <v>30</v>
      </c>
      <c r="D351" s="72" t="s">
        <v>30</v>
      </c>
      <c r="E351" s="72" t="s">
        <v>30</v>
      </c>
      <c r="G351" s="72" t="s">
        <v>30</v>
      </c>
      <c r="H351" s="72" t="s">
        <v>30</v>
      </c>
      <c r="I351" s="31"/>
    </row>
    <row r="352">
      <c r="B352" s="72" t="s">
        <v>30</v>
      </c>
      <c r="C352" s="73" t="s">
        <v>30</v>
      </c>
      <c r="D352" s="72" t="s">
        <v>30</v>
      </c>
      <c r="E352" s="72" t="s">
        <v>30</v>
      </c>
      <c r="G352" s="72" t="s">
        <v>30</v>
      </c>
      <c r="H352" s="72" t="s">
        <v>30</v>
      </c>
      <c r="I352" s="31"/>
    </row>
    <row r="353">
      <c r="B353" s="72" t="s">
        <v>30</v>
      </c>
      <c r="C353" s="73" t="s">
        <v>30</v>
      </c>
      <c r="D353" s="72" t="s">
        <v>30</v>
      </c>
      <c r="E353" s="72" t="s">
        <v>30</v>
      </c>
      <c r="G353" s="72" t="s">
        <v>30</v>
      </c>
      <c r="H353" s="72" t="s">
        <v>30</v>
      </c>
      <c r="I353" s="31"/>
    </row>
    <row r="354">
      <c r="B354" s="72" t="s">
        <v>30</v>
      </c>
      <c r="C354" s="73" t="s">
        <v>30</v>
      </c>
      <c r="D354" s="72" t="s">
        <v>30</v>
      </c>
      <c r="E354" s="72" t="s">
        <v>30</v>
      </c>
      <c r="G354" s="72" t="s">
        <v>30</v>
      </c>
      <c r="H354" s="72" t="s">
        <v>30</v>
      </c>
      <c r="I354" s="31"/>
    </row>
    <row r="355">
      <c r="B355" s="72" t="s">
        <v>30</v>
      </c>
      <c r="C355" s="73" t="s">
        <v>30</v>
      </c>
      <c r="D355" s="72" t="s">
        <v>30</v>
      </c>
      <c r="E355" s="72" t="s">
        <v>30</v>
      </c>
      <c r="G355" s="72" t="s">
        <v>30</v>
      </c>
      <c r="H355" s="72" t="s">
        <v>30</v>
      </c>
      <c r="I355" s="31"/>
    </row>
    <row r="356">
      <c r="B356" s="72" t="s">
        <v>30</v>
      </c>
      <c r="C356" s="73" t="s">
        <v>30</v>
      </c>
      <c r="D356" s="72" t="s">
        <v>30</v>
      </c>
      <c r="E356" s="72" t="s">
        <v>30</v>
      </c>
      <c r="G356" s="72" t="s">
        <v>30</v>
      </c>
      <c r="H356" s="72" t="s">
        <v>30</v>
      </c>
      <c r="I356" s="31"/>
    </row>
    <row r="357">
      <c r="B357" s="72" t="s">
        <v>30</v>
      </c>
      <c r="C357" s="73" t="s">
        <v>30</v>
      </c>
      <c r="D357" s="72" t="s">
        <v>30</v>
      </c>
      <c r="E357" s="72" t="s">
        <v>30</v>
      </c>
      <c r="G357" s="72" t="s">
        <v>30</v>
      </c>
      <c r="H357" s="72" t="s">
        <v>30</v>
      </c>
      <c r="I357" s="31"/>
    </row>
    <row r="358">
      <c r="B358" s="72" t="s">
        <v>30</v>
      </c>
      <c r="C358" s="73" t="s">
        <v>30</v>
      </c>
      <c r="D358" s="72" t="s">
        <v>30</v>
      </c>
      <c r="E358" s="72" t="s">
        <v>30</v>
      </c>
      <c r="G358" s="72" t="s">
        <v>30</v>
      </c>
      <c r="H358" s="72" t="s">
        <v>30</v>
      </c>
      <c r="I358" s="31"/>
    </row>
    <row r="359">
      <c r="B359" s="72" t="s">
        <v>30</v>
      </c>
      <c r="C359" s="73" t="s">
        <v>30</v>
      </c>
      <c r="D359" s="72" t="s">
        <v>30</v>
      </c>
      <c r="E359" s="72" t="s">
        <v>30</v>
      </c>
      <c r="G359" s="72" t="s">
        <v>30</v>
      </c>
      <c r="H359" s="72" t="s">
        <v>30</v>
      </c>
      <c r="I359" s="31"/>
    </row>
    <row r="360">
      <c r="B360" s="72" t="s">
        <v>30</v>
      </c>
      <c r="C360" s="73" t="s">
        <v>30</v>
      </c>
      <c r="D360" s="72" t="s">
        <v>30</v>
      </c>
      <c r="E360" s="72" t="s">
        <v>30</v>
      </c>
      <c r="G360" s="72" t="s">
        <v>30</v>
      </c>
      <c r="H360" s="72" t="s">
        <v>30</v>
      </c>
      <c r="I360" s="31"/>
    </row>
    <row r="361">
      <c r="B361" s="72" t="s">
        <v>30</v>
      </c>
      <c r="C361" s="73" t="s">
        <v>30</v>
      </c>
      <c r="D361" s="72" t="s">
        <v>30</v>
      </c>
      <c r="E361" s="72" t="s">
        <v>30</v>
      </c>
      <c r="G361" s="72" t="s">
        <v>30</v>
      </c>
      <c r="H361" s="72" t="s">
        <v>30</v>
      </c>
      <c r="I361" s="31"/>
    </row>
    <row r="362">
      <c r="B362" s="72" t="s">
        <v>30</v>
      </c>
      <c r="C362" s="73" t="s">
        <v>30</v>
      </c>
      <c r="D362" s="72" t="s">
        <v>30</v>
      </c>
      <c r="E362" s="72" t="s">
        <v>30</v>
      </c>
      <c r="G362" s="72" t="s">
        <v>30</v>
      </c>
      <c r="H362" s="72" t="s">
        <v>30</v>
      </c>
      <c r="I362" s="31"/>
    </row>
    <row r="363">
      <c r="B363" s="72" t="s">
        <v>30</v>
      </c>
      <c r="C363" s="73" t="s">
        <v>30</v>
      </c>
      <c r="D363" s="72" t="s">
        <v>30</v>
      </c>
      <c r="E363" s="72" t="s">
        <v>30</v>
      </c>
      <c r="G363" s="72" t="s">
        <v>30</v>
      </c>
      <c r="H363" s="72" t="s">
        <v>30</v>
      </c>
      <c r="I363" s="31"/>
    </row>
    <row r="364">
      <c r="B364" s="72" t="s">
        <v>30</v>
      </c>
      <c r="C364" s="73" t="s">
        <v>30</v>
      </c>
      <c r="D364" s="72" t="s">
        <v>30</v>
      </c>
      <c r="E364" s="72" t="s">
        <v>30</v>
      </c>
      <c r="G364" s="72" t="s">
        <v>30</v>
      </c>
      <c r="H364" s="72" t="s">
        <v>30</v>
      </c>
      <c r="I364" s="31"/>
    </row>
    <row r="365">
      <c r="B365" s="72" t="s">
        <v>30</v>
      </c>
      <c r="C365" s="73" t="s">
        <v>30</v>
      </c>
      <c r="D365" s="72" t="s">
        <v>30</v>
      </c>
      <c r="E365" s="72" t="s">
        <v>30</v>
      </c>
      <c r="G365" s="72" t="s">
        <v>30</v>
      </c>
      <c r="H365" s="72" t="s">
        <v>30</v>
      </c>
      <c r="I365" s="31"/>
    </row>
    <row r="366">
      <c r="B366" s="72" t="s">
        <v>30</v>
      </c>
      <c r="C366" s="73" t="s">
        <v>30</v>
      </c>
      <c r="D366" s="72" t="s">
        <v>30</v>
      </c>
      <c r="E366" s="72" t="s">
        <v>30</v>
      </c>
      <c r="G366" s="72" t="s">
        <v>30</v>
      </c>
      <c r="H366" s="72" t="s">
        <v>30</v>
      </c>
      <c r="I366" s="31"/>
    </row>
    <row r="367">
      <c r="B367" s="72" t="s">
        <v>30</v>
      </c>
      <c r="C367" s="73" t="s">
        <v>30</v>
      </c>
      <c r="D367" s="72" t="s">
        <v>30</v>
      </c>
      <c r="E367" s="72" t="s">
        <v>30</v>
      </c>
      <c r="G367" s="72" t="s">
        <v>30</v>
      </c>
      <c r="H367" s="72" t="s">
        <v>30</v>
      </c>
      <c r="I367" s="31"/>
    </row>
    <row r="368">
      <c r="B368" s="72" t="s">
        <v>30</v>
      </c>
      <c r="C368" s="73" t="s">
        <v>30</v>
      </c>
      <c r="D368" s="72" t="s">
        <v>30</v>
      </c>
      <c r="E368" s="72" t="s">
        <v>30</v>
      </c>
      <c r="G368" s="72" t="s">
        <v>30</v>
      </c>
      <c r="H368" s="72" t="s">
        <v>30</v>
      </c>
      <c r="I368" s="31"/>
    </row>
    <row r="369">
      <c r="B369" s="72" t="s">
        <v>30</v>
      </c>
      <c r="C369" s="73" t="s">
        <v>30</v>
      </c>
      <c r="D369" s="72" t="s">
        <v>30</v>
      </c>
      <c r="E369" s="72" t="s">
        <v>30</v>
      </c>
      <c r="G369" s="72" t="s">
        <v>30</v>
      </c>
      <c r="H369" s="72" t="s">
        <v>30</v>
      </c>
      <c r="I369" s="31"/>
    </row>
    <row r="370">
      <c r="B370" s="72" t="s">
        <v>30</v>
      </c>
      <c r="C370" s="73" t="s">
        <v>30</v>
      </c>
      <c r="D370" s="72" t="s">
        <v>30</v>
      </c>
      <c r="E370" s="72" t="s">
        <v>30</v>
      </c>
      <c r="G370" s="72" t="s">
        <v>30</v>
      </c>
      <c r="H370" s="72" t="s">
        <v>30</v>
      </c>
      <c r="I370" s="31"/>
    </row>
    <row r="371">
      <c r="B371" s="72" t="s">
        <v>30</v>
      </c>
      <c r="C371" s="73" t="s">
        <v>30</v>
      </c>
      <c r="D371" s="72" t="s">
        <v>30</v>
      </c>
      <c r="E371" s="72" t="s">
        <v>30</v>
      </c>
      <c r="G371" s="72" t="s">
        <v>30</v>
      </c>
      <c r="H371" s="72" t="s">
        <v>30</v>
      </c>
      <c r="I371" s="31"/>
    </row>
    <row r="372">
      <c r="B372" s="72" t="s">
        <v>30</v>
      </c>
      <c r="C372" s="73" t="s">
        <v>30</v>
      </c>
      <c r="D372" s="72" t="s">
        <v>30</v>
      </c>
      <c r="E372" s="72" t="s">
        <v>30</v>
      </c>
      <c r="G372" s="72" t="s">
        <v>30</v>
      </c>
      <c r="H372" s="72" t="s">
        <v>30</v>
      </c>
      <c r="I372" s="31"/>
    </row>
    <row r="373">
      <c r="B373" s="72" t="s">
        <v>30</v>
      </c>
      <c r="C373" s="73" t="s">
        <v>30</v>
      </c>
      <c r="D373" s="72" t="s">
        <v>30</v>
      </c>
      <c r="E373" s="72" t="s">
        <v>30</v>
      </c>
      <c r="G373" s="72" t="s">
        <v>30</v>
      </c>
      <c r="H373" s="72" t="s">
        <v>30</v>
      </c>
      <c r="I373" s="31"/>
    </row>
    <row r="374">
      <c r="B374" s="72" t="s">
        <v>30</v>
      </c>
      <c r="C374" s="73" t="s">
        <v>30</v>
      </c>
      <c r="D374" s="72" t="s">
        <v>30</v>
      </c>
      <c r="E374" s="72" t="s">
        <v>30</v>
      </c>
      <c r="G374" s="72" t="s">
        <v>30</v>
      </c>
      <c r="H374" s="72" t="s">
        <v>30</v>
      </c>
      <c r="I374" s="31"/>
    </row>
    <row r="375">
      <c r="B375" s="72" t="s">
        <v>30</v>
      </c>
      <c r="C375" s="73" t="s">
        <v>30</v>
      </c>
      <c r="D375" s="72" t="s">
        <v>30</v>
      </c>
      <c r="E375" s="72" t="s">
        <v>30</v>
      </c>
      <c r="G375" s="72" t="s">
        <v>30</v>
      </c>
      <c r="H375" s="72" t="s">
        <v>30</v>
      </c>
      <c r="I375" s="31"/>
    </row>
    <row r="376">
      <c r="B376" s="72" t="s">
        <v>30</v>
      </c>
      <c r="C376" s="73" t="s">
        <v>30</v>
      </c>
      <c r="D376" s="72" t="s">
        <v>30</v>
      </c>
      <c r="E376" s="72" t="s">
        <v>30</v>
      </c>
      <c r="G376" s="72" t="s">
        <v>30</v>
      </c>
      <c r="H376" s="72" t="s">
        <v>30</v>
      </c>
      <c r="I376" s="31"/>
    </row>
    <row r="377">
      <c r="B377" s="72" t="s">
        <v>30</v>
      </c>
      <c r="C377" s="73" t="s">
        <v>30</v>
      </c>
      <c r="D377" s="72" t="s">
        <v>30</v>
      </c>
      <c r="E377" s="72" t="s">
        <v>30</v>
      </c>
      <c r="G377" s="72" t="s">
        <v>30</v>
      </c>
      <c r="H377" s="72" t="s">
        <v>30</v>
      </c>
      <c r="I377" s="31"/>
    </row>
    <row r="378">
      <c r="B378" s="72" t="s">
        <v>30</v>
      </c>
      <c r="C378" s="73" t="s">
        <v>30</v>
      </c>
      <c r="D378" s="72" t="s">
        <v>30</v>
      </c>
      <c r="E378" s="72" t="s">
        <v>30</v>
      </c>
      <c r="G378" s="72" t="s">
        <v>30</v>
      </c>
      <c r="H378" s="72" t="s">
        <v>30</v>
      </c>
      <c r="I378" s="31"/>
    </row>
    <row r="379">
      <c r="B379" s="72" t="s">
        <v>30</v>
      </c>
      <c r="C379" s="73" t="s">
        <v>30</v>
      </c>
      <c r="D379" s="72" t="s">
        <v>30</v>
      </c>
      <c r="E379" s="72" t="s">
        <v>30</v>
      </c>
      <c r="G379" s="72" t="s">
        <v>30</v>
      </c>
      <c r="H379" s="72" t="s">
        <v>30</v>
      </c>
      <c r="I379" s="31"/>
    </row>
    <row r="380">
      <c r="B380" s="72" t="s">
        <v>30</v>
      </c>
      <c r="C380" s="73" t="s">
        <v>30</v>
      </c>
      <c r="D380" s="72" t="s">
        <v>30</v>
      </c>
      <c r="E380" s="72" t="s">
        <v>30</v>
      </c>
      <c r="G380" s="72" t="s">
        <v>30</v>
      </c>
      <c r="H380" s="72" t="s">
        <v>30</v>
      </c>
      <c r="I380" s="31"/>
    </row>
    <row r="381">
      <c r="B381" s="72" t="s">
        <v>30</v>
      </c>
      <c r="C381" s="73" t="s">
        <v>30</v>
      </c>
      <c r="D381" s="72" t="s">
        <v>30</v>
      </c>
      <c r="E381" s="72" t="s">
        <v>30</v>
      </c>
      <c r="G381" s="72" t="s">
        <v>30</v>
      </c>
      <c r="H381" s="72" t="s">
        <v>30</v>
      </c>
      <c r="I381" s="31"/>
    </row>
    <row r="382">
      <c r="B382" s="72" t="s">
        <v>30</v>
      </c>
      <c r="C382" s="73" t="s">
        <v>30</v>
      </c>
      <c r="D382" s="72" t="s">
        <v>30</v>
      </c>
      <c r="E382" s="72" t="s">
        <v>30</v>
      </c>
      <c r="G382" s="72" t="s">
        <v>30</v>
      </c>
      <c r="H382" s="72" t="s">
        <v>30</v>
      </c>
      <c r="I382" s="31"/>
    </row>
    <row r="383">
      <c r="B383" s="72" t="s">
        <v>30</v>
      </c>
      <c r="C383" s="73" t="s">
        <v>30</v>
      </c>
      <c r="D383" s="72" t="s">
        <v>30</v>
      </c>
      <c r="E383" s="72" t="s">
        <v>30</v>
      </c>
      <c r="G383" s="72" t="s">
        <v>30</v>
      </c>
      <c r="H383" s="72" t="s">
        <v>30</v>
      </c>
      <c r="I383" s="31"/>
    </row>
    <row r="384">
      <c r="B384" s="72" t="s">
        <v>30</v>
      </c>
      <c r="C384" s="73" t="s">
        <v>30</v>
      </c>
      <c r="D384" s="72" t="s">
        <v>30</v>
      </c>
      <c r="E384" s="72" t="s">
        <v>30</v>
      </c>
      <c r="G384" s="72" t="s">
        <v>30</v>
      </c>
      <c r="H384" s="72" t="s">
        <v>30</v>
      </c>
      <c r="I384" s="31"/>
    </row>
    <row r="385">
      <c r="B385" s="72" t="s">
        <v>30</v>
      </c>
      <c r="C385" s="73" t="s">
        <v>30</v>
      </c>
      <c r="D385" s="72" t="s">
        <v>30</v>
      </c>
      <c r="E385" s="72" t="s">
        <v>30</v>
      </c>
      <c r="G385" s="72" t="s">
        <v>30</v>
      </c>
      <c r="H385" s="72" t="s">
        <v>30</v>
      </c>
      <c r="I385" s="31"/>
    </row>
    <row r="386">
      <c r="B386" s="72" t="s">
        <v>30</v>
      </c>
      <c r="C386" s="73" t="s">
        <v>30</v>
      </c>
      <c r="D386" s="72" t="s">
        <v>30</v>
      </c>
      <c r="E386" s="72" t="s">
        <v>30</v>
      </c>
      <c r="G386" s="72" t="s">
        <v>30</v>
      </c>
      <c r="H386" s="72" t="s">
        <v>30</v>
      </c>
      <c r="I386" s="31"/>
    </row>
    <row r="387">
      <c r="B387" s="72" t="s">
        <v>30</v>
      </c>
      <c r="C387" s="73" t="s">
        <v>30</v>
      </c>
      <c r="D387" s="72" t="s">
        <v>30</v>
      </c>
      <c r="E387" s="72" t="s">
        <v>30</v>
      </c>
      <c r="G387" s="72" t="s">
        <v>30</v>
      </c>
      <c r="H387" s="72" t="s">
        <v>30</v>
      </c>
      <c r="I387" s="31"/>
    </row>
    <row r="388">
      <c r="B388" s="72" t="s">
        <v>30</v>
      </c>
      <c r="C388" s="73" t="s">
        <v>30</v>
      </c>
      <c r="D388" s="72" t="s">
        <v>30</v>
      </c>
      <c r="E388" s="72" t="s">
        <v>30</v>
      </c>
      <c r="G388" s="72" t="s">
        <v>30</v>
      </c>
      <c r="H388" s="72" t="s">
        <v>30</v>
      </c>
      <c r="I388" s="31"/>
    </row>
    <row r="389">
      <c r="B389" s="72" t="s">
        <v>30</v>
      </c>
      <c r="C389" s="73" t="s">
        <v>30</v>
      </c>
      <c r="D389" s="72" t="s">
        <v>30</v>
      </c>
      <c r="E389" s="72" t="s">
        <v>30</v>
      </c>
      <c r="G389" s="72" t="s">
        <v>30</v>
      </c>
      <c r="H389" s="72" t="s">
        <v>30</v>
      </c>
      <c r="I389" s="31"/>
    </row>
    <row r="390">
      <c r="B390" s="72" t="s">
        <v>30</v>
      </c>
      <c r="C390" s="73" t="s">
        <v>30</v>
      </c>
      <c r="D390" s="72" t="s">
        <v>30</v>
      </c>
      <c r="E390" s="72" t="s">
        <v>30</v>
      </c>
      <c r="G390" s="72" t="s">
        <v>30</v>
      </c>
      <c r="H390" s="72" t="s">
        <v>30</v>
      </c>
      <c r="I390" s="31"/>
    </row>
    <row r="391">
      <c r="B391" s="72" t="s">
        <v>30</v>
      </c>
      <c r="C391" s="73" t="s">
        <v>30</v>
      </c>
      <c r="D391" s="72" t="s">
        <v>30</v>
      </c>
      <c r="E391" s="72" t="s">
        <v>30</v>
      </c>
      <c r="G391" s="72" t="s">
        <v>30</v>
      </c>
      <c r="H391" s="72" t="s">
        <v>30</v>
      </c>
      <c r="I391" s="31"/>
    </row>
    <row r="392">
      <c r="B392" s="72" t="s">
        <v>30</v>
      </c>
      <c r="C392" s="73" t="s">
        <v>30</v>
      </c>
      <c r="D392" s="72" t="s">
        <v>30</v>
      </c>
      <c r="E392" s="72" t="s">
        <v>30</v>
      </c>
      <c r="G392" s="72" t="s">
        <v>30</v>
      </c>
      <c r="H392" s="72" t="s">
        <v>30</v>
      </c>
      <c r="I392" s="31"/>
    </row>
    <row r="393">
      <c r="B393" s="72" t="s">
        <v>30</v>
      </c>
      <c r="C393" s="73" t="s">
        <v>30</v>
      </c>
      <c r="D393" s="72" t="s">
        <v>30</v>
      </c>
      <c r="E393" s="72" t="s">
        <v>30</v>
      </c>
      <c r="G393" s="72" t="s">
        <v>30</v>
      </c>
      <c r="H393" s="72" t="s">
        <v>30</v>
      </c>
      <c r="I393" s="31"/>
    </row>
    <row r="394">
      <c r="B394" s="72" t="s">
        <v>30</v>
      </c>
      <c r="C394" s="73" t="s">
        <v>30</v>
      </c>
      <c r="D394" s="72" t="s">
        <v>30</v>
      </c>
      <c r="E394" s="72" t="s">
        <v>30</v>
      </c>
      <c r="G394" s="72" t="s">
        <v>30</v>
      </c>
      <c r="H394" s="72" t="s">
        <v>30</v>
      </c>
      <c r="I394" s="31"/>
    </row>
    <row r="395">
      <c r="B395" s="72" t="s">
        <v>30</v>
      </c>
      <c r="C395" s="73" t="s">
        <v>30</v>
      </c>
      <c r="D395" s="72" t="s">
        <v>30</v>
      </c>
      <c r="E395" s="72" t="s">
        <v>30</v>
      </c>
      <c r="G395" s="72" t="s">
        <v>30</v>
      </c>
      <c r="H395" s="72" t="s">
        <v>30</v>
      </c>
      <c r="I395" s="31"/>
    </row>
    <row r="396">
      <c r="B396" s="72" t="s">
        <v>30</v>
      </c>
      <c r="C396" s="73" t="s">
        <v>30</v>
      </c>
      <c r="D396" s="72" t="s">
        <v>30</v>
      </c>
      <c r="E396" s="72" t="s">
        <v>30</v>
      </c>
      <c r="G396" s="72" t="s">
        <v>30</v>
      </c>
      <c r="H396" s="72" t="s">
        <v>30</v>
      </c>
      <c r="I396" s="31"/>
    </row>
    <row r="397">
      <c r="B397" s="72" t="s">
        <v>30</v>
      </c>
      <c r="C397" s="73" t="s">
        <v>30</v>
      </c>
      <c r="D397" s="72" t="s">
        <v>30</v>
      </c>
      <c r="E397" s="72" t="s">
        <v>30</v>
      </c>
      <c r="G397" s="72" t="s">
        <v>30</v>
      </c>
      <c r="H397" s="72" t="s">
        <v>30</v>
      </c>
      <c r="I397" s="31"/>
    </row>
    <row r="398">
      <c r="B398" s="72" t="s">
        <v>30</v>
      </c>
      <c r="C398" s="73" t="s">
        <v>30</v>
      </c>
      <c r="D398" s="72" t="s">
        <v>30</v>
      </c>
      <c r="E398" s="72" t="s">
        <v>30</v>
      </c>
      <c r="G398" s="72" t="s">
        <v>30</v>
      </c>
      <c r="H398" s="72" t="s">
        <v>30</v>
      </c>
      <c r="I398" s="31"/>
    </row>
    <row r="399">
      <c r="B399" s="72" t="s">
        <v>30</v>
      </c>
      <c r="C399" s="73" t="s">
        <v>30</v>
      </c>
      <c r="D399" s="72" t="s">
        <v>30</v>
      </c>
      <c r="E399" s="72" t="s">
        <v>30</v>
      </c>
      <c r="G399" s="72" t="s">
        <v>30</v>
      </c>
      <c r="H399" s="72" t="s">
        <v>30</v>
      </c>
      <c r="I399" s="31"/>
    </row>
    <row r="400">
      <c r="B400" s="72" t="s">
        <v>30</v>
      </c>
      <c r="C400" s="73" t="s">
        <v>30</v>
      </c>
      <c r="D400" s="72" t="s">
        <v>30</v>
      </c>
      <c r="E400" s="72" t="s">
        <v>30</v>
      </c>
      <c r="G400" s="72" t="s">
        <v>30</v>
      </c>
      <c r="H400" s="72" t="s">
        <v>30</v>
      </c>
      <c r="I400" s="31"/>
    </row>
    <row r="401">
      <c r="B401" s="72" t="s">
        <v>30</v>
      </c>
      <c r="C401" s="73" t="s">
        <v>30</v>
      </c>
      <c r="D401" s="72" t="s">
        <v>30</v>
      </c>
      <c r="E401" s="72" t="s">
        <v>30</v>
      </c>
      <c r="G401" s="72" t="s">
        <v>30</v>
      </c>
      <c r="H401" s="72" t="s">
        <v>30</v>
      </c>
      <c r="I401" s="31"/>
    </row>
    <row r="402">
      <c r="B402" s="72" t="s">
        <v>30</v>
      </c>
      <c r="C402" s="73" t="s">
        <v>30</v>
      </c>
      <c r="D402" s="72" t="s">
        <v>30</v>
      </c>
      <c r="E402" s="72" t="s">
        <v>30</v>
      </c>
      <c r="G402" s="72" t="s">
        <v>30</v>
      </c>
      <c r="H402" s="72" t="s">
        <v>30</v>
      </c>
      <c r="I402" s="31"/>
    </row>
    <row r="403">
      <c r="B403" s="72" t="s">
        <v>30</v>
      </c>
      <c r="C403" s="73" t="s">
        <v>30</v>
      </c>
      <c r="D403" s="72" t="s">
        <v>30</v>
      </c>
      <c r="E403" s="72" t="s">
        <v>30</v>
      </c>
      <c r="G403" s="72" t="s">
        <v>30</v>
      </c>
      <c r="H403" s="72" t="s">
        <v>30</v>
      </c>
      <c r="I403" s="31"/>
    </row>
    <row r="404">
      <c r="B404" s="72" t="s">
        <v>30</v>
      </c>
      <c r="C404" s="73" t="s">
        <v>30</v>
      </c>
      <c r="D404" s="72" t="s">
        <v>30</v>
      </c>
      <c r="E404" s="72" t="s">
        <v>30</v>
      </c>
      <c r="G404" s="72" t="s">
        <v>30</v>
      </c>
      <c r="H404" s="72" t="s">
        <v>30</v>
      </c>
      <c r="I404" s="31"/>
    </row>
    <row r="405">
      <c r="B405" s="72" t="s">
        <v>30</v>
      </c>
      <c r="C405" s="73" t="s">
        <v>30</v>
      </c>
      <c r="D405" s="72" t="s">
        <v>30</v>
      </c>
      <c r="E405" s="72" t="s">
        <v>30</v>
      </c>
      <c r="G405" s="72" t="s">
        <v>30</v>
      </c>
      <c r="H405" s="72" t="s">
        <v>30</v>
      </c>
      <c r="I405" s="31"/>
    </row>
    <row r="406">
      <c r="B406" s="72" t="s">
        <v>30</v>
      </c>
      <c r="C406" s="73" t="s">
        <v>30</v>
      </c>
      <c r="D406" s="72" t="s">
        <v>30</v>
      </c>
      <c r="E406" s="72" t="s">
        <v>30</v>
      </c>
      <c r="G406" s="72" t="s">
        <v>30</v>
      </c>
      <c r="H406" s="72" t="s">
        <v>30</v>
      </c>
      <c r="I406" s="31"/>
    </row>
    <row r="407">
      <c r="B407" s="72" t="s">
        <v>30</v>
      </c>
      <c r="C407" s="73" t="s">
        <v>30</v>
      </c>
      <c r="D407" s="72" t="s">
        <v>30</v>
      </c>
      <c r="E407" s="72" t="s">
        <v>30</v>
      </c>
      <c r="G407" s="72" t="s">
        <v>30</v>
      </c>
      <c r="H407" s="72" t="s">
        <v>30</v>
      </c>
      <c r="I407" s="31"/>
    </row>
    <row r="408">
      <c r="B408" s="72" t="s">
        <v>30</v>
      </c>
      <c r="C408" s="73" t="s">
        <v>30</v>
      </c>
      <c r="D408" s="72" t="s">
        <v>30</v>
      </c>
      <c r="E408" s="72" t="s">
        <v>30</v>
      </c>
      <c r="G408" s="72" t="s">
        <v>30</v>
      </c>
      <c r="H408" s="72" t="s">
        <v>30</v>
      </c>
      <c r="I408" s="31"/>
    </row>
    <row r="409">
      <c r="B409" s="72" t="s">
        <v>30</v>
      </c>
      <c r="C409" s="73" t="s">
        <v>30</v>
      </c>
      <c r="D409" s="72" t="s">
        <v>30</v>
      </c>
      <c r="E409" s="72" t="s">
        <v>30</v>
      </c>
      <c r="G409" s="72" t="s">
        <v>30</v>
      </c>
      <c r="H409" s="72" t="s">
        <v>30</v>
      </c>
      <c r="I409" s="31"/>
    </row>
    <row r="410">
      <c r="B410" s="72" t="s">
        <v>30</v>
      </c>
      <c r="C410" s="73" t="s">
        <v>30</v>
      </c>
      <c r="D410" s="72" t="s">
        <v>30</v>
      </c>
      <c r="E410" s="72" t="s">
        <v>30</v>
      </c>
      <c r="G410" s="72" t="s">
        <v>30</v>
      </c>
      <c r="H410" s="72" t="s">
        <v>30</v>
      </c>
      <c r="I410" s="31"/>
    </row>
    <row r="411">
      <c r="B411" s="72" t="s">
        <v>30</v>
      </c>
      <c r="C411" s="73" t="s">
        <v>30</v>
      </c>
      <c r="D411" s="72" t="s">
        <v>30</v>
      </c>
      <c r="E411" s="72" t="s">
        <v>30</v>
      </c>
      <c r="G411" s="72" t="s">
        <v>30</v>
      </c>
      <c r="H411" s="72" t="s">
        <v>30</v>
      </c>
      <c r="I411" s="31"/>
    </row>
    <row r="412">
      <c r="B412" s="72" t="s">
        <v>30</v>
      </c>
      <c r="C412" s="73" t="s">
        <v>30</v>
      </c>
      <c r="D412" s="72" t="s">
        <v>30</v>
      </c>
      <c r="E412" s="72" t="s">
        <v>30</v>
      </c>
      <c r="G412" s="72" t="s">
        <v>30</v>
      </c>
      <c r="H412" s="72" t="s">
        <v>30</v>
      </c>
      <c r="I412" s="31"/>
    </row>
    <row r="413">
      <c r="B413" s="72" t="s">
        <v>30</v>
      </c>
      <c r="C413" s="73" t="s">
        <v>30</v>
      </c>
      <c r="D413" s="72" t="s">
        <v>30</v>
      </c>
      <c r="E413" s="72" t="s">
        <v>30</v>
      </c>
      <c r="G413" s="72" t="s">
        <v>30</v>
      </c>
      <c r="H413" s="72" t="s">
        <v>30</v>
      </c>
      <c r="I413" s="31"/>
    </row>
    <row r="414">
      <c r="B414" s="72" t="s">
        <v>30</v>
      </c>
      <c r="C414" s="73" t="s">
        <v>30</v>
      </c>
      <c r="D414" s="72" t="s">
        <v>30</v>
      </c>
      <c r="E414" s="72" t="s">
        <v>30</v>
      </c>
      <c r="G414" s="72" t="s">
        <v>30</v>
      </c>
      <c r="H414" s="72" t="s">
        <v>30</v>
      </c>
      <c r="I414" s="31"/>
    </row>
    <row r="415">
      <c r="B415" s="72" t="s">
        <v>30</v>
      </c>
      <c r="C415" s="73" t="s">
        <v>30</v>
      </c>
      <c r="D415" s="72" t="s">
        <v>30</v>
      </c>
      <c r="E415" s="72" t="s">
        <v>30</v>
      </c>
      <c r="G415" s="72" t="s">
        <v>30</v>
      </c>
      <c r="H415" s="72" t="s">
        <v>30</v>
      </c>
      <c r="I415" s="31"/>
    </row>
    <row r="416">
      <c r="B416" s="72" t="s">
        <v>30</v>
      </c>
      <c r="C416" s="73" t="s">
        <v>30</v>
      </c>
      <c r="D416" s="72" t="s">
        <v>30</v>
      </c>
      <c r="E416" s="72" t="s">
        <v>30</v>
      </c>
      <c r="G416" s="72" t="s">
        <v>30</v>
      </c>
      <c r="H416" s="72" t="s">
        <v>30</v>
      </c>
      <c r="I416" s="31"/>
    </row>
    <row r="417">
      <c r="B417" s="72" t="s">
        <v>30</v>
      </c>
      <c r="C417" s="73" t="s">
        <v>30</v>
      </c>
      <c r="D417" s="72" t="s">
        <v>30</v>
      </c>
      <c r="E417" s="72" t="s">
        <v>30</v>
      </c>
      <c r="G417" s="72" t="s">
        <v>30</v>
      </c>
      <c r="H417" s="72" t="s">
        <v>30</v>
      </c>
      <c r="I417" s="31"/>
    </row>
    <row r="418">
      <c r="B418" s="72" t="s">
        <v>30</v>
      </c>
      <c r="C418" s="73" t="s">
        <v>30</v>
      </c>
      <c r="D418" s="72" t="s">
        <v>30</v>
      </c>
      <c r="E418" s="72" t="s">
        <v>30</v>
      </c>
      <c r="G418" s="72" t="s">
        <v>30</v>
      </c>
      <c r="H418" s="72" t="s">
        <v>30</v>
      </c>
      <c r="I418" s="31"/>
    </row>
    <row r="419">
      <c r="B419" s="72" t="s">
        <v>30</v>
      </c>
      <c r="C419" s="73" t="s">
        <v>30</v>
      </c>
      <c r="D419" s="72" t="s">
        <v>30</v>
      </c>
      <c r="E419" s="72" t="s">
        <v>30</v>
      </c>
      <c r="G419" s="72" t="s">
        <v>30</v>
      </c>
      <c r="H419" s="72" t="s">
        <v>30</v>
      </c>
      <c r="I419" s="31"/>
    </row>
    <row r="420">
      <c r="B420" s="72" t="s">
        <v>30</v>
      </c>
      <c r="C420" s="73" t="s">
        <v>30</v>
      </c>
      <c r="D420" s="72" t="s">
        <v>30</v>
      </c>
      <c r="E420" s="72" t="s">
        <v>30</v>
      </c>
      <c r="G420" s="72" t="s">
        <v>30</v>
      </c>
      <c r="H420" s="72" t="s">
        <v>30</v>
      </c>
      <c r="I420" s="31"/>
    </row>
    <row r="421">
      <c r="B421" s="72" t="s">
        <v>30</v>
      </c>
      <c r="C421" s="73" t="s">
        <v>30</v>
      </c>
      <c r="D421" s="72" t="s">
        <v>30</v>
      </c>
      <c r="E421" s="72" t="s">
        <v>30</v>
      </c>
      <c r="G421" s="72" t="s">
        <v>30</v>
      </c>
      <c r="H421" s="72" t="s">
        <v>30</v>
      </c>
      <c r="I421" s="31"/>
    </row>
    <row r="422">
      <c r="B422" s="72" t="s">
        <v>30</v>
      </c>
      <c r="C422" s="73" t="s">
        <v>30</v>
      </c>
      <c r="D422" s="72" t="s">
        <v>30</v>
      </c>
      <c r="E422" s="72" t="s">
        <v>30</v>
      </c>
      <c r="G422" s="72" t="s">
        <v>30</v>
      </c>
      <c r="H422" s="72" t="s">
        <v>30</v>
      </c>
      <c r="I422" s="31"/>
    </row>
    <row r="423">
      <c r="B423" s="72" t="s">
        <v>30</v>
      </c>
      <c r="C423" s="73" t="s">
        <v>30</v>
      </c>
      <c r="D423" s="72" t="s">
        <v>30</v>
      </c>
      <c r="E423" s="72" t="s">
        <v>30</v>
      </c>
      <c r="G423" s="72" t="s">
        <v>30</v>
      </c>
      <c r="H423" s="72" t="s">
        <v>30</v>
      </c>
      <c r="I423" s="31"/>
    </row>
    <row r="424">
      <c r="B424" s="72" t="s">
        <v>30</v>
      </c>
      <c r="C424" s="73" t="s">
        <v>30</v>
      </c>
      <c r="D424" s="72" t="s">
        <v>30</v>
      </c>
      <c r="E424" s="72" t="s">
        <v>30</v>
      </c>
      <c r="G424" s="72" t="s">
        <v>30</v>
      </c>
      <c r="H424" s="72" t="s">
        <v>30</v>
      </c>
      <c r="I424" s="31"/>
    </row>
    <row r="425">
      <c r="B425" s="72" t="s">
        <v>30</v>
      </c>
      <c r="C425" s="73" t="s">
        <v>30</v>
      </c>
      <c r="D425" s="72" t="s">
        <v>30</v>
      </c>
      <c r="E425" s="72" t="s">
        <v>30</v>
      </c>
      <c r="G425" s="72" t="s">
        <v>30</v>
      </c>
      <c r="H425" s="72" t="s">
        <v>30</v>
      </c>
      <c r="I425" s="31"/>
    </row>
    <row r="426">
      <c r="B426" s="72" t="s">
        <v>30</v>
      </c>
      <c r="C426" s="73" t="s">
        <v>30</v>
      </c>
      <c r="D426" s="72" t="s">
        <v>30</v>
      </c>
      <c r="E426" s="72" t="s">
        <v>30</v>
      </c>
      <c r="G426" s="72" t="s">
        <v>30</v>
      </c>
      <c r="H426" s="72" t="s">
        <v>30</v>
      </c>
      <c r="I426" s="31"/>
    </row>
    <row r="427">
      <c r="B427" s="72" t="s">
        <v>30</v>
      </c>
      <c r="C427" s="73" t="s">
        <v>30</v>
      </c>
      <c r="D427" s="72" t="s">
        <v>30</v>
      </c>
      <c r="E427" s="72" t="s">
        <v>30</v>
      </c>
      <c r="G427" s="72" t="s">
        <v>30</v>
      </c>
      <c r="H427" s="72" t="s">
        <v>30</v>
      </c>
      <c r="I427" s="31"/>
    </row>
    <row r="428">
      <c r="B428" s="72" t="s">
        <v>30</v>
      </c>
      <c r="C428" s="73" t="s">
        <v>30</v>
      </c>
      <c r="D428" s="72" t="s">
        <v>30</v>
      </c>
      <c r="E428" s="72" t="s">
        <v>30</v>
      </c>
      <c r="G428" s="72" t="s">
        <v>30</v>
      </c>
      <c r="H428" s="72" t="s">
        <v>30</v>
      </c>
      <c r="I428" s="31"/>
    </row>
    <row r="429">
      <c r="B429" s="72" t="s">
        <v>30</v>
      </c>
      <c r="C429" s="73" t="s">
        <v>30</v>
      </c>
      <c r="D429" s="72" t="s">
        <v>30</v>
      </c>
      <c r="E429" s="72" t="s">
        <v>30</v>
      </c>
      <c r="G429" s="72" t="s">
        <v>30</v>
      </c>
      <c r="H429" s="72" t="s">
        <v>30</v>
      </c>
      <c r="I429" s="31"/>
    </row>
    <row r="430">
      <c r="B430" s="72" t="s">
        <v>30</v>
      </c>
      <c r="C430" s="73" t="s">
        <v>30</v>
      </c>
      <c r="D430" s="72" t="s">
        <v>30</v>
      </c>
      <c r="E430" s="72" t="s">
        <v>30</v>
      </c>
      <c r="G430" s="72" t="s">
        <v>30</v>
      </c>
      <c r="H430" s="72" t="s">
        <v>30</v>
      </c>
      <c r="I430" s="31"/>
    </row>
    <row r="431">
      <c r="B431" s="72" t="s">
        <v>30</v>
      </c>
      <c r="C431" s="73" t="s">
        <v>30</v>
      </c>
      <c r="D431" s="72" t="s">
        <v>30</v>
      </c>
      <c r="E431" s="72" t="s">
        <v>30</v>
      </c>
      <c r="G431" s="72" t="s">
        <v>30</v>
      </c>
      <c r="H431" s="72" t="s">
        <v>30</v>
      </c>
      <c r="I431" s="31"/>
    </row>
    <row r="432">
      <c r="B432" s="72" t="s">
        <v>30</v>
      </c>
      <c r="C432" s="73" t="s">
        <v>30</v>
      </c>
      <c r="D432" s="72" t="s">
        <v>30</v>
      </c>
      <c r="E432" s="72" t="s">
        <v>30</v>
      </c>
      <c r="G432" s="72" t="s">
        <v>30</v>
      </c>
      <c r="H432" s="72" t="s">
        <v>30</v>
      </c>
      <c r="I432" s="31"/>
    </row>
    <row r="433">
      <c r="B433" s="72" t="s">
        <v>30</v>
      </c>
      <c r="C433" s="73" t="s">
        <v>30</v>
      </c>
      <c r="D433" s="72" t="s">
        <v>30</v>
      </c>
      <c r="E433" s="72" t="s">
        <v>30</v>
      </c>
      <c r="G433" s="72" t="s">
        <v>30</v>
      </c>
      <c r="H433" s="72" t="s">
        <v>30</v>
      </c>
      <c r="I433" s="31"/>
    </row>
    <row r="434">
      <c r="B434" s="72" t="s">
        <v>30</v>
      </c>
      <c r="C434" s="73" t="s">
        <v>30</v>
      </c>
      <c r="D434" s="72" t="s">
        <v>30</v>
      </c>
      <c r="E434" s="72" t="s">
        <v>30</v>
      </c>
      <c r="G434" s="72" t="s">
        <v>30</v>
      </c>
      <c r="H434" s="72" t="s">
        <v>30</v>
      </c>
      <c r="I434" s="31"/>
    </row>
    <row r="435">
      <c r="B435" s="72" t="s">
        <v>30</v>
      </c>
      <c r="C435" s="73" t="s">
        <v>30</v>
      </c>
      <c r="D435" s="72" t="s">
        <v>30</v>
      </c>
      <c r="E435" s="72" t="s">
        <v>30</v>
      </c>
      <c r="G435" s="72" t="s">
        <v>30</v>
      </c>
      <c r="H435" s="72" t="s">
        <v>30</v>
      </c>
      <c r="I435" s="31"/>
    </row>
    <row r="436">
      <c r="B436" s="72" t="s">
        <v>30</v>
      </c>
      <c r="C436" s="73" t="s">
        <v>30</v>
      </c>
      <c r="D436" s="72" t="s">
        <v>30</v>
      </c>
      <c r="E436" s="72" t="s">
        <v>30</v>
      </c>
      <c r="G436" s="72" t="s">
        <v>30</v>
      </c>
      <c r="H436" s="72" t="s">
        <v>30</v>
      </c>
      <c r="I436" s="31"/>
    </row>
    <row r="437">
      <c r="B437" s="72" t="s">
        <v>30</v>
      </c>
      <c r="C437" s="73" t="s">
        <v>30</v>
      </c>
      <c r="D437" s="72" t="s">
        <v>30</v>
      </c>
      <c r="E437" s="72" t="s">
        <v>30</v>
      </c>
      <c r="G437" s="72" t="s">
        <v>30</v>
      </c>
      <c r="H437" s="72" t="s">
        <v>30</v>
      </c>
      <c r="I437" s="31"/>
    </row>
    <row r="438">
      <c r="B438" s="72" t="s">
        <v>30</v>
      </c>
      <c r="C438" s="73" t="s">
        <v>30</v>
      </c>
      <c r="D438" s="72" t="s">
        <v>30</v>
      </c>
      <c r="E438" s="72" t="s">
        <v>30</v>
      </c>
      <c r="G438" s="72" t="s">
        <v>30</v>
      </c>
      <c r="H438" s="72" t="s">
        <v>30</v>
      </c>
      <c r="I438" s="31"/>
    </row>
    <row r="439">
      <c r="B439" s="72" t="s">
        <v>30</v>
      </c>
      <c r="C439" s="73" t="s">
        <v>30</v>
      </c>
      <c r="D439" s="72" t="s">
        <v>30</v>
      </c>
      <c r="E439" s="72" t="s">
        <v>30</v>
      </c>
      <c r="G439" s="72" t="s">
        <v>30</v>
      </c>
      <c r="H439" s="72" t="s">
        <v>30</v>
      </c>
      <c r="I439" s="31"/>
    </row>
    <row r="440">
      <c r="B440" s="72" t="s">
        <v>30</v>
      </c>
      <c r="C440" s="73" t="s">
        <v>30</v>
      </c>
      <c r="D440" s="72" t="s">
        <v>30</v>
      </c>
      <c r="E440" s="72" t="s">
        <v>30</v>
      </c>
      <c r="G440" s="72" t="s">
        <v>30</v>
      </c>
      <c r="H440" s="72" t="s">
        <v>30</v>
      </c>
      <c r="I440" s="31"/>
    </row>
    <row r="441">
      <c r="B441" s="72" t="s">
        <v>30</v>
      </c>
      <c r="C441" s="73" t="s">
        <v>30</v>
      </c>
      <c r="D441" s="72" t="s">
        <v>30</v>
      </c>
      <c r="E441" s="72" t="s">
        <v>30</v>
      </c>
      <c r="G441" s="72" t="s">
        <v>30</v>
      </c>
      <c r="H441" s="72" t="s">
        <v>30</v>
      </c>
      <c r="I441" s="31"/>
    </row>
    <row r="442">
      <c r="B442" s="72" t="s">
        <v>30</v>
      </c>
      <c r="C442" s="73" t="s">
        <v>30</v>
      </c>
      <c r="D442" s="72" t="s">
        <v>30</v>
      </c>
      <c r="E442" s="72" t="s">
        <v>30</v>
      </c>
      <c r="G442" s="72" t="s">
        <v>30</v>
      </c>
      <c r="H442" s="72" t="s">
        <v>30</v>
      </c>
      <c r="I442" s="31"/>
    </row>
    <row r="443">
      <c r="B443" s="72" t="s">
        <v>30</v>
      </c>
      <c r="C443" s="73" t="s">
        <v>30</v>
      </c>
      <c r="D443" s="72" t="s">
        <v>30</v>
      </c>
      <c r="E443" s="72" t="s">
        <v>30</v>
      </c>
      <c r="G443" s="72" t="s">
        <v>30</v>
      </c>
      <c r="H443" s="72" t="s">
        <v>30</v>
      </c>
      <c r="I443" s="31"/>
    </row>
    <row r="444">
      <c r="B444" s="72" t="s">
        <v>30</v>
      </c>
      <c r="C444" s="73" t="s">
        <v>30</v>
      </c>
      <c r="D444" s="72" t="s">
        <v>30</v>
      </c>
      <c r="E444" s="72" t="s">
        <v>30</v>
      </c>
      <c r="G444" s="72" t="s">
        <v>30</v>
      </c>
      <c r="H444" s="72" t="s">
        <v>30</v>
      </c>
      <c r="I444" s="31"/>
    </row>
    <row r="445">
      <c r="B445" s="72" t="s">
        <v>30</v>
      </c>
      <c r="C445" s="73" t="s">
        <v>30</v>
      </c>
      <c r="D445" s="72" t="s">
        <v>30</v>
      </c>
      <c r="E445" s="72" t="s">
        <v>30</v>
      </c>
      <c r="G445" s="72" t="s">
        <v>30</v>
      </c>
      <c r="H445" s="72" t="s">
        <v>30</v>
      </c>
      <c r="I445" s="31"/>
    </row>
    <row r="446">
      <c r="B446" s="72" t="s">
        <v>30</v>
      </c>
      <c r="C446" s="73" t="s">
        <v>30</v>
      </c>
      <c r="D446" s="72" t="s">
        <v>30</v>
      </c>
      <c r="E446" s="72" t="s">
        <v>30</v>
      </c>
      <c r="G446" s="72" t="s">
        <v>30</v>
      </c>
      <c r="H446" s="72" t="s">
        <v>30</v>
      </c>
      <c r="I446" s="31"/>
    </row>
    <row r="447">
      <c r="B447" s="72" t="s">
        <v>30</v>
      </c>
      <c r="C447" s="73" t="s">
        <v>30</v>
      </c>
      <c r="D447" s="72" t="s">
        <v>30</v>
      </c>
      <c r="E447" s="72" t="s">
        <v>30</v>
      </c>
      <c r="G447" s="72" t="s">
        <v>30</v>
      </c>
      <c r="H447" s="72" t="s">
        <v>30</v>
      </c>
      <c r="I447" s="31"/>
    </row>
    <row r="448">
      <c r="B448" s="72" t="s">
        <v>30</v>
      </c>
      <c r="C448" s="73" t="s">
        <v>30</v>
      </c>
      <c r="D448" s="72" t="s">
        <v>30</v>
      </c>
      <c r="E448" s="72" t="s">
        <v>30</v>
      </c>
      <c r="G448" s="72" t="s">
        <v>30</v>
      </c>
      <c r="H448" s="72" t="s">
        <v>30</v>
      </c>
      <c r="I448" s="31"/>
    </row>
    <row r="449">
      <c r="B449" s="72" t="s">
        <v>30</v>
      </c>
      <c r="C449" s="73" t="s">
        <v>30</v>
      </c>
      <c r="D449" s="72" t="s">
        <v>30</v>
      </c>
      <c r="E449" s="72" t="s">
        <v>30</v>
      </c>
      <c r="G449" s="72" t="s">
        <v>30</v>
      </c>
      <c r="H449" s="72" t="s">
        <v>30</v>
      </c>
      <c r="I449" s="31"/>
    </row>
    <row r="450">
      <c r="B450" s="72" t="s">
        <v>30</v>
      </c>
      <c r="C450" s="73" t="s">
        <v>30</v>
      </c>
      <c r="D450" s="72" t="s">
        <v>30</v>
      </c>
      <c r="E450" s="72" t="s">
        <v>30</v>
      </c>
      <c r="G450" s="72" t="s">
        <v>30</v>
      </c>
      <c r="H450" s="72" t="s">
        <v>30</v>
      </c>
      <c r="I450" s="31"/>
    </row>
    <row r="451">
      <c r="B451" s="72" t="s">
        <v>30</v>
      </c>
      <c r="C451" s="73" t="s">
        <v>30</v>
      </c>
      <c r="D451" s="72" t="s">
        <v>30</v>
      </c>
      <c r="E451" s="72" t="s">
        <v>30</v>
      </c>
      <c r="G451" s="72" t="s">
        <v>30</v>
      </c>
      <c r="H451" s="72" t="s">
        <v>30</v>
      </c>
      <c r="I451" s="31"/>
    </row>
    <row r="452">
      <c r="B452" s="72" t="s">
        <v>30</v>
      </c>
      <c r="C452" s="73" t="s">
        <v>30</v>
      </c>
      <c r="D452" s="72" t="s">
        <v>30</v>
      </c>
      <c r="E452" s="72" t="s">
        <v>30</v>
      </c>
      <c r="G452" s="72" t="s">
        <v>30</v>
      </c>
      <c r="H452" s="72" t="s">
        <v>30</v>
      </c>
      <c r="I452" s="31"/>
    </row>
    <row r="453">
      <c r="B453" s="72" t="s">
        <v>30</v>
      </c>
      <c r="C453" s="73" t="s">
        <v>30</v>
      </c>
      <c r="D453" s="72" t="s">
        <v>30</v>
      </c>
      <c r="E453" s="72" t="s">
        <v>30</v>
      </c>
      <c r="G453" s="72" t="s">
        <v>30</v>
      </c>
      <c r="H453" s="72" t="s">
        <v>30</v>
      </c>
      <c r="I453" s="31"/>
    </row>
    <row r="454">
      <c r="B454" s="72" t="s">
        <v>30</v>
      </c>
      <c r="C454" s="73" t="s">
        <v>30</v>
      </c>
      <c r="D454" s="72" t="s">
        <v>30</v>
      </c>
      <c r="E454" s="72" t="s">
        <v>30</v>
      </c>
      <c r="G454" s="72" t="s">
        <v>30</v>
      </c>
      <c r="H454" s="72" t="s">
        <v>30</v>
      </c>
      <c r="I454" s="31"/>
    </row>
    <row r="455">
      <c r="B455" s="72" t="s">
        <v>30</v>
      </c>
      <c r="C455" s="73" t="s">
        <v>30</v>
      </c>
      <c r="D455" s="72" t="s">
        <v>30</v>
      </c>
      <c r="E455" s="72" t="s">
        <v>30</v>
      </c>
      <c r="G455" s="72" t="s">
        <v>30</v>
      </c>
      <c r="H455" s="72" t="s">
        <v>30</v>
      </c>
      <c r="I455" s="31"/>
    </row>
    <row r="456">
      <c r="B456" s="72" t="s">
        <v>30</v>
      </c>
      <c r="C456" s="73" t="s">
        <v>30</v>
      </c>
      <c r="D456" s="72" t="s">
        <v>30</v>
      </c>
      <c r="E456" s="72" t="s">
        <v>30</v>
      </c>
      <c r="G456" s="72" t="s">
        <v>30</v>
      </c>
      <c r="H456" s="72" t="s">
        <v>30</v>
      </c>
      <c r="I456" s="31"/>
    </row>
    <row r="457">
      <c r="B457" s="72" t="s">
        <v>30</v>
      </c>
      <c r="C457" s="73" t="s">
        <v>30</v>
      </c>
      <c r="D457" s="72" t="s">
        <v>30</v>
      </c>
      <c r="E457" s="72" t="s">
        <v>30</v>
      </c>
      <c r="G457" s="72" t="s">
        <v>30</v>
      </c>
      <c r="H457" s="72" t="s">
        <v>30</v>
      </c>
      <c r="I457" s="31"/>
    </row>
    <row r="458">
      <c r="B458" s="72" t="s">
        <v>30</v>
      </c>
      <c r="C458" s="73" t="s">
        <v>30</v>
      </c>
      <c r="D458" s="72" t="s">
        <v>30</v>
      </c>
      <c r="E458" s="72" t="s">
        <v>30</v>
      </c>
      <c r="G458" s="72" t="s">
        <v>30</v>
      </c>
      <c r="H458" s="72" t="s">
        <v>30</v>
      </c>
      <c r="I458" s="31"/>
    </row>
    <row r="459">
      <c r="B459" s="72" t="s">
        <v>30</v>
      </c>
      <c r="C459" s="73" t="s">
        <v>30</v>
      </c>
      <c r="D459" s="72" t="s">
        <v>30</v>
      </c>
      <c r="E459" s="72" t="s">
        <v>30</v>
      </c>
      <c r="G459" s="72" t="s">
        <v>30</v>
      </c>
      <c r="H459" s="72" t="s">
        <v>30</v>
      </c>
      <c r="I459" s="31"/>
    </row>
    <row r="460">
      <c r="B460" s="72" t="s">
        <v>30</v>
      </c>
      <c r="C460" s="73" t="s">
        <v>30</v>
      </c>
      <c r="D460" s="72" t="s">
        <v>30</v>
      </c>
      <c r="E460" s="72" t="s">
        <v>30</v>
      </c>
      <c r="G460" s="72" t="s">
        <v>30</v>
      </c>
      <c r="H460" s="72" t="s">
        <v>30</v>
      </c>
      <c r="I460" s="31"/>
    </row>
    <row r="461">
      <c r="B461" s="72" t="s">
        <v>30</v>
      </c>
      <c r="C461" s="73" t="s">
        <v>30</v>
      </c>
      <c r="D461" s="72" t="s">
        <v>30</v>
      </c>
      <c r="E461" s="72" t="s">
        <v>30</v>
      </c>
      <c r="G461" s="72" t="s">
        <v>30</v>
      </c>
      <c r="H461" s="72" t="s">
        <v>30</v>
      </c>
      <c r="I461" s="31"/>
    </row>
    <row r="462">
      <c r="B462" s="72" t="s">
        <v>30</v>
      </c>
      <c r="C462" s="73" t="s">
        <v>30</v>
      </c>
      <c r="D462" s="72" t="s">
        <v>30</v>
      </c>
      <c r="E462" s="72" t="s">
        <v>30</v>
      </c>
      <c r="G462" s="72" t="s">
        <v>30</v>
      </c>
      <c r="H462" s="72" t="s">
        <v>30</v>
      </c>
      <c r="I462" s="31"/>
    </row>
    <row r="463">
      <c r="B463" s="72" t="s">
        <v>30</v>
      </c>
      <c r="C463" s="73" t="s">
        <v>30</v>
      </c>
      <c r="D463" s="72" t="s">
        <v>30</v>
      </c>
      <c r="E463" s="72" t="s">
        <v>30</v>
      </c>
      <c r="G463" s="72" t="s">
        <v>30</v>
      </c>
      <c r="H463" s="72" t="s">
        <v>30</v>
      </c>
      <c r="I463" s="31"/>
    </row>
    <row r="464">
      <c r="B464" s="72" t="s">
        <v>30</v>
      </c>
      <c r="C464" s="73" t="s">
        <v>30</v>
      </c>
      <c r="D464" s="72" t="s">
        <v>30</v>
      </c>
      <c r="E464" s="72" t="s">
        <v>30</v>
      </c>
      <c r="G464" s="72" t="s">
        <v>30</v>
      </c>
      <c r="H464" s="72" t="s">
        <v>30</v>
      </c>
      <c r="I464" s="31"/>
    </row>
    <row r="465">
      <c r="B465" s="72" t="s">
        <v>30</v>
      </c>
      <c r="C465" s="73" t="s">
        <v>30</v>
      </c>
      <c r="D465" s="72" t="s">
        <v>30</v>
      </c>
      <c r="E465" s="72" t="s">
        <v>30</v>
      </c>
      <c r="G465" s="72" t="s">
        <v>30</v>
      </c>
      <c r="H465" s="72" t="s">
        <v>30</v>
      </c>
      <c r="I465" s="31"/>
    </row>
    <row r="466">
      <c r="B466" s="72" t="s">
        <v>30</v>
      </c>
      <c r="C466" s="73" t="s">
        <v>30</v>
      </c>
      <c r="D466" s="72" t="s">
        <v>30</v>
      </c>
      <c r="E466" s="72" t="s">
        <v>30</v>
      </c>
      <c r="G466" s="72" t="s">
        <v>30</v>
      </c>
      <c r="H466" s="72" t="s">
        <v>30</v>
      </c>
      <c r="I466" s="31"/>
    </row>
    <row r="467">
      <c r="B467" s="72" t="s">
        <v>30</v>
      </c>
      <c r="C467" s="73" t="s">
        <v>30</v>
      </c>
      <c r="D467" s="72" t="s">
        <v>30</v>
      </c>
      <c r="E467" s="72" t="s">
        <v>30</v>
      </c>
      <c r="G467" s="72" t="s">
        <v>30</v>
      </c>
      <c r="H467" s="72" t="s">
        <v>30</v>
      </c>
      <c r="I467" s="31"/>
    </row>
    <row r="468">
      <c r="B468" s="72" t="s">
        <v>30</v>
      </c>
      <c r="C468" s="73" t="s">
        <v>30</v>
      </c>
      <c r="D468" s="72" t="s">
        <v>30</v>
      </c>
      <c r="E468" s="72" t="s">
        <v>30</v>
      </c>
      <c r="G468" s="72" t="s">
        <v>30</v>
      </c>
      <c r="H468" s="72" t="s">
        <v>30</v>
      </c>
      <c r="I468" s="31"/>
    </row>
    <row r="469">
      <c r="B469" s="72" t="s">
        <v>30</v>
      </c>
      <c r="C469" s="73" t="s">
        <v>30</v>
      </c>
      <c r="D469" s="72" t="s">
        <v>30</v>
      </c>
      <c r="E469" s="72" t="s">
        <v>30</v>
      </c>
      <c r="G469" s="72" t="s">
        <v>30</v>
      </c>
      <c r="H469" s="72" t="s">
        <v>30</v>
      </c>
      <c r="I469" s="31"/>
    </row>
    <row r="470">
      <c r="B470" s="72" t="s">
        <v>30</v>
      </c>
      <c r="C470" s="73" t="s">
        <v>30</v>
      </c>
      <c r="D470" s="72" t="s">
        <v>30</v>
      </c>
      <c r="E470" s="72" t="s">
        <v>30</v>
      </c>
      <c r="G470" s="72" t="s">
        <v>30</v>
      </c>
      <c r="H470" s="72" t="s">
        <v>30</v>
      </c>
      <c r="I470" s="31"/>
    </row>
    <row r="471">
      <c r="B471" s="72" t="s">
        <v>30</v>
      </c>
      <c r="C471" s="73" t="s">
        <v>30</v>
      </c>
      <c r="D471" s="72" t="s">
        <v>30</v>
      </c>
      <c r="E471" s="72" t="s">
        <v>30</v>
      </c>
      <c r="G471" s="72" t="s">
        <v>30</v>
      </c>
      <c r="H471" s="72" t="s">
        <v>30</v>
      </c>
      <c r="I471" s="31"/>
    </row>
    <row r="472">
      <c r="B472" s="72" t="s">
        <v>30</v>
      </c>
      <c r="C472" s="73" t="s">
        <v>30</v>
      </c>
      <c r="D472" s="72" t="s">
        <v>30</v>
      </c>
      <c r="E472" s="72" t="s">
        <v>30</v>
      </c>
      <c r="G472" s="72" t="s">
        <v>30</v>
      </c>
      <c r="H472" s="72" t="s">
        <v>30</v>
      </c>
      <c r="I472" s="31"/>
    </row>
    <row r="473">
      <c r="B473" s="72" t="s">
        <v>30</v>
      </c>
      <c r="C473" s="73" t="s">
        <v>30</v>
      </c>
      <c r="D473" s="72" t="s">
        <v>30</v>
      </c>
      <c r="E473" s="72" t="s">
        <v>30</v>
      </c>
      <c r="G473" s="72" t="s">
        <v>30</v>
      </c>
      <c r="H473" s="72" t="s">
        <v>30</v>
      </c>
      <c r="I473" s="31"/>
    </row>
    <row r="474">
      <c r="B474" s="72" t="s">
        <v>30</v>
      </c>
      <c r="C474" s="73" t="s">
        <v>30</v>
      </c>
      <c r="D474" s="72" t="s">
        <v>30</v>
      </c>
      <c r="E474" s="72" t="s">
        <v>30</v>
      </c>
      <c r="G474" s="72" t="s">
        <v>30</v>
      </c>
      <c r="H474" s="72" t="s">
        <v>30</v>
      </c>
      <c r="I474" s="31"/>
    </row>
    <row r="475">
      <c r="B475" s="72" t="s">
        <v>30</v>
      </c>
      <c r="C475" s="73" t="s">
        <v>30</v>
      </c>
      <c r="D475" s="72" t="s">
        <v>30</v>
      </c>
      <c r="E475" s="72" t="s">
        <v>30</v>
      </c>
      <c r="G475" s="72" t="s">
        <v>30</v>
      </c>
      <c r="H475" s="72" t="s">
        <v>30</v>
      </c>
      <c r="I475" s="31"/>
    </row>
    <row r="476">
      <c r="B476" s="72" t="s">
        <v>30</v>
      </c>
      <c r="C476" s="73" t="s">
        <v>30</v>
      </c>
      <c r="D476" s="72" t="s">
        <v>30</v>
      </c>
      <c r="E476" s="72" t="s">
        <v>30</v>
      </c>
      <c r="G476" s="72" t="s">
        <v>30</v>
      </c>
      <c r="H476" s="72" t="s">
        <v>30</v>
      </c>
      <c r="I476" s="31"/>
    </row>
    <row r="477">
      <c r="B477" s="72" t="s">
        <v>30</v>
      </c>
      <c r="C477" s="73" t="s">
        <v>30</v>
      </c>
      <c r="D477" s="72" t="s">
        <v>30</v>
      </c>
      <c r="E477" s="72" t="s">
        <v>30</v>
      </c>
      <c r="G477" s="72" t="s">
        <v>30</v>
      </c>
      <c r="H477" s="72" t="s">
        <v>30</v>
      </c>
      <c r="I477" s="31"/>
    </row>
    <row r="478">
      <c r="B478" s="72" t="s">
        <v>30</v>
      </c>
      <c r="C478" s="73" t="s">
        <v>30</v>
      </c>
      <c r="D478" s="72" t="s">
        <v>30</v>
      </c>
      <c r="E478" s="72" t="s">
        <v>30</v>
      </c>
      <c r="G478" s="72" t="s">
        <v>30</v>
      </c>
      <c r="H478" s="72" t="s">
        <v>30</v>
      </c>
      <c r="I478" s="31"/>
    </row>
    <row r="479">
      <c r="B479" s="72" t="s">
        <v>30</v>
      </c>
      <c r="C479" s="73" t="s">
        <v>30</v>
      </c>
      <c r="D479" s="72" t="s">
        <v>30</v>
      </c>
      <c r="E479" s="72" t="s">
        <v>30</v>
      </c>
      <c r="G479" s="72" t="s">
        <v>30</v>
      </c>
      <c r="H479" s="72" t="s">
        <v>30</v>
      </c>
      <c r="I479" s="31"/>
    </row>
    <row r="480">
      <c r="B480" s="72" t="s">
        <v>30</v>
      </c>
      <c r="C480" s="73" t="s">
        <v>30</v>
      </c>
      <c r="D480" s="72" t="s">
        <v>30</v>
      </c>
      <c r="E480" s="72" t="s">
        <v>30</v>
      </c>
      <c r="G480" s="72" t="s">
        <v>30</v>
      </c>
      <c r="H480" s="72" t="s">
        <v>30</v>
      </c>
      <c r="I480" s="31"/>
    </row>
    <row r="481">
      <c r="B481" s="72" t="s">
        <v>30</v>
      </c>
      <c r="C481" s="73" t="s">
        <v>30</v>
      </c>
      <c r="D481" s="72" t="s">
        <v>30</v>
      </c>
      <c r="E481" s="72" t="s">
        <v>30</v>
      </c>
      <c r="G481" s="72" t="s">
        <v>30</v>
      </c>
      <c r="H481" s="72" t="s">
        <v>30</v>
      </c>
      <c r="I481" s="31"/>
    </row>
    <row r="482">
      <c r="B482" s="72" t="s">
        <v>30</v>
      </c>
      <c r="C482" s="73" t="s">
        <v>30</v>
      </c>
      <c r="D482" s="72" t="s">
        <v>30</v>
      </c>
      <c r="E482" s="72" t="s">
        <v>30</v>
      </c>
      <c r="G482" s="72" t="s">
        <v>30</v>
      </c>
      <c r="H482" s="72" t="s">
        <v>30</v>
      </c>
      <c r="I482" s="31"/>
    </row>
    <row r="483">
      <c r="B483" s="72" t="s">
        <v>30</v>
      </c>
      <c r="C483" s="73" t="s">
        <v>30</v>
      </c>
      <c r="D483" s="72" t="s">
        <v>30</v>
      </c>
      <c r="E483" s="72" t="s">
        <v>30</v>
      </c>
      <c r="G483" s="72" t="s">
        <v>30</v>
      </c>
      <c r="H483" s="72" t="s">
        <v>30</v>
      </c>
      <c r="I483" s="31"/>
    </row>
    <row r="484">
      <c r="B484" s="72" t="s">
        <v>30</v>
      </c>
      <c r="C484" s="73" t="s">
        <v>30</v>
      </c>
      <c r="D484" s="72" t="s">
        <v>30</v>
      </c>
      <c r="E484" s="72" t="s">
        <v>30</v>
      </c>
      <c r="G484" s="72" t="s">
        <v>30</v>
      </c>
      <c r="H484" s="72" t="s">
        <v>30</v>
      </c>
      <c r="I484" s="31"/>
    </row>
    <row r="485">
      <c r="B485" s="72" t="s">
        <v>30</v>
      </c>
      <c r="C485" s="73" t="s">
        <v>30</v>
      </c>
      <c r="D485" s="72" t="s">
        <v>30</v>
      </c>
      <c r="E485" s="72" t="s">
        <v>30</v>
      </c>
      <c r="G485" s="72" t="s">
        <v>30</v>
      </c>
      <c r="H485" s="72" t="s">
        <v>30</v>
      </c>
      <c r="I485" s="31"/>
    </row>
    <row r="486">
      <c r="B486" s="72" t="s">
        <v>30</v>
      </c>
      <c r="C486" s="73" t="s">
        <v>30</v>
      </c>
      <c r="D486" s="72" t="s">
        <v>30</v>
      </c>
      <c r="E486" s="72" t="s">
        <v>30</v>
      </c>
      <c r="G486" s="72" t="s">
        <v>30</v>
      </c>
      <c r="H486" s="72" t="s">
        <v>30</v>
      </c>
      <c r="I486" s="31"/>
    </row>
    <row r="487">
      <c r="B487" s="72" t="s">
        <v>30</v>
      </c>
      <c r="C487" s="73" t="s">
        <v>30</v>
      </c>
      <c r="D487" s="72" t="s">
        <v>30</v>
      </c>
      <c r="E487" s="72" t="s">
        <v>30</v>
      </c>
      <c r="G487" s="72" t="s">
        <v>30</v>
      </c>
      <c r="H487" s="72" t="s">
        <v>30</v>
      </c>
      <c r="I487" s="31"/>
    </row>
    <row r="488">
      <c r="B488" s="72" t="s">
        <v>30</v>
      </c>
      <c r="C488" s="73" t="s">
        <v>30</v>
      </c>
      <c r="D488" s="72" t="s">
        <v>30</v>
      </c>
      <c r="E488" s="72" t="s">
        <v>30</v>
      </c>
      <c r="G488" s="72" t="s">
        <v>30</v>
      </c>
      <c r="H488" s="72" t="s">
        <v>30</v>
      </c>
      <c r="I488" s="31"/>
    </row>
    <row r="489">
      <c r="B489" s="72" t="s">
        <v>30</v>
      </c>
      <c r="C489" s="73" t="s">
        <v>30</v>
      </c>
      <c r="D489" s="72" t="s">
        <v>30</v>
      </c>
      <c r="E489" s="72" t="s">
        <v>30</v>
      </c>
      <c r="G489" s="72" t="s">
        <v>30</v>
      </c>
      <c r="H489" s="72" t="s">
        <v>30</v>
      </c>
      <c r="I489" s="31"/>
    </row>
    <row r="490">
      <c r="B490" s="72" t="s">
        <v>30</v>
      </c>
      <c r="C490" s="73" t="s">
        <v>30</v>
      </c>
      <c r="D490" s="72" t="s">
        <v>30</v>
      </c>
      <c r="E490" s="72" t="s">
        <v>30</v>
      </c>
      <c r="G490" s="72" t="s">
        <v>30</v>
      </c>
      <c r="H490" s="72" t="s">
        <v>30</v>
      </c>
      <c r="I490" s="31"/>
    </row>
    <row r="491">
      <c r="B491" s="72" t="s">
        <v>30</v>
      </c>
      <c r="C491" s="73" t="s">
        <v>30</v>
      </c>
      <c r="D491" s="72" t="s">
        <v>30</v>
      </c>
      <c r="E491" s="72" t="s">
        <v>30</v>
      </c>
      <c r="G491" s="72" t="s">
        <v>30</v>
      </c>
      <c r="H491" s="72" t="s">
        <v>30</v>
      </c>
      <c r="I491" s="31"/>
    </row>
    <row r="492">
      <c r="B492" s="72" t="s">
        <v>30</v>
      </c>
      <c r="C492" s="73" t="s">
        <v>30</v>
      </c>
      <c r="D492" s="72" t="s">
        <v>30</v>
      </c>
      <c r="E492" s="72" t="s">
        <v>30</v>
      </c>
      <c r="G492" s="72" t="s">
        <v>30</v>
      </c>
      <c r="H492" s="72" t="s">
        <v>30</v>
      </c>
      <c r="I492" s="31"/>
    </row>
    <row r="493">
      <c r="B493" s="72" t="s">
        <v>30</v>
      </c>
      <c r="C493" s="73" t="s">
        <v>30</v>
      </c>
      <c r="D493" s="72" t="s">
        <v>30</v>
      </c>
      <c r="E493" s="72" t="s">
        <v>30</v>
      </c>
      <c r="G493" s="72" t="s">
        <v>30</v>
      </c>
      <c r="H493" s="72" t="s">
        <v>30</v>
      </c>
      <c r="I493" s="31"/>
    </row>
    <row r="494">
      <c r="B494" s="72" t="s">
        <v>30</v>
      </c>
      <c r="C494" s="73" t="s">
        <v>30</v>
      </c>
      <c r="D494" s="72" t="s">
        <v>30</v>
      </c>
      <c r="E494" s="72" t="s">
        <v>30</v>
      </c>
      <c r="G494" s="72" t="s">
        <v>30</v>
      </c>
      <c r="H494" s="72" t="s">
        <v>30</v>
      </c>
      <c r="I494" s="31"/>
    </row>
    <row r="495">
      <c r="B495" s="72" t="s">
        <v>30</v>
      </c>
      <c r="C495" s="73" t="s">
        <v>30</v>
      </c>
      <c r="D495" s="72" t="s">
        <v>30</v>
      </c>
      <c r="E495" s="72" t="s">
        <v>30</v>
      </c>
      <c r="G495" s="72" t="s">
        <v>30</v>
      </c>
      <c r="H495" s="72" t="s">
        <v>30</v>
      </c>
      <c r="I495" s="31"/>
    </row>
    <row r="496">
      <c r="B496" s="72" t="s">
        <v>30</v>
      </c>
      <c r="C496" s="73" t="s">
        <v>30</v>
      </c>
      <c r="D496" s="72" t="s">
        <v>30</v>
      </c>
      <c r="E496" s="72" t="s">
        <v>30</v>
      </c>
      <c r="G496" s="72" t="s">
        <v>30</v>
      </c>
      <c r="H496" s="72" t="s">
        <v>30</v>
      </c>
      <c r="I496" s="31"/>
    </row>
    <row r="497">
      <c r="B497" s="72" t="s">
        <v>30</v>
      </c>
      <c r="C497" s="73" t="s">
        <v>30</v>
      </c>
      <c r="D497" s="72" t="s">
        <v>30</v>
      </c>
      <c r="E497" s="72" t="s">
        <v>30</v>
      </c>
      <c r="G497" s="72" t="s">
        <v>30</v>
      </c>
      <c r="H497" s="72" t="s">
        <v>30</v>
      </c>
      <c r="I497" s="31"/>
    </row>
    <row r="498">
      <c r="B498" s="72" t="s">
        <v>30</v>
      </c>
      <c r="C498" s="73" t="s">
        <v>30</v>
      </c>
      <c r="D498" s="72" t="s">
        <v>30</v>
      </c>
      <c r="E498" s="72" t="s">
        <v>30</v>
      </c>
      <c r="G498" s="72" t="s">
        <v>30</v>
      </c>
      <c r="H498" s="72" t="s">
        <v>30</v>
      </c>
      <c r="I498" s="31"/>
    </row>
    <row r="499">
      <c r="B499" s="72" t="s">
        <v>30</v>
      </c>
      <c r="C499" s="73" t="s">
        <v>30</v>
      </c>
      <c r="D499" s="72" t="s">
        <v>30</v>
      </c>
      <c r="E499" s="72" t="s">
        <v>30</v>
      </c>
      <c r="G499" s="72" t="s">
        <v>30</v>
      </c>
      <c r="H499" s="72" t="s">
        <v>30</v>
      </c>
      <c r="I499" s="31"/>
    </row>
    <row r="500">
      <c r="B500" s="72" t="s">
        <v>30</v>
      </c>
      <c r="C500" s="73" t="s">
        <v>30</v>
      </c>
      <c r="D500" s="72" t="s">
        <v>30</v>
      </c>
      <c r="E500" s="72" t="s">
        <v>30</v>
      </c>
      <c r="G500" s="72" t="s">
        <v>30</v>
      </c>
      <c r="H500" s="72" t="s">
        <v>30</v>
      </c>
      <c r="I500" s="31"/>
    </row>
    <row r="501">
      <c r="B501" s="72" t="s">
        <v>30</v>
      </c>
      <c r="C501" s="73" t="s">
        <v>30</v>
      </c>
      <c r="D501" s="72" t="s">
        <v>30</v>
      </c>
      <c r="E501" s="72" t="s">
        <v>30</v>
      </c>
      <c r="G501" s="72" t="s">
        <v>30</v>
      </c>
      <c r="H501" s="72" t="s">
        <v>30</v>
      </c>
      <c r="I501" s="31"/>
    </row>
    <row r="502">
      <c r="B502" s="72" t="s">
        <v>30</v>
      </c>
      <c r="C502" s="73" t="s">
        <v>30</v>
      </c>
      <c r="D502" s="72" t="s">
        <v>30</v>
      </c>
      <c r="E502" s="72" t="s">
        <v>30</v>
      </c>
      <c r="G502" s="72" t="s">
        <v>30</v>
      </c>
      <c r="H502" s="72" t="s">
        <v>30</v>
      </c>
      <c r="I502" s="31"/>
    </row>
    <row r="503">
      <c r="B503" s="72" t="s">
        <v>30</v>
      </c>
      <c r="C503" s="73" t="s">
        <v>30</v>
      </c>
      <c r="D503" s="72" t="s">
        <v>30</v>
      </c>
      <c r="E503" s="72" t="s">
        <v>30</v>
      </c>
      <c r="G503" s="72" t="s">
        <v>30</v>
      </c>
      <c r="H503" s="72" t="s">
        <v>30</v>
      </c>
      <c r="I503" s="31"/>
    </row>
    <row r="504">
      <c r="B504" s="72" t="s">
        <v>30</v>
      </c>
      <c r="C504" s="73" t="s">
        <v>30</v>
      </c>
      <c r="D504" s="72" t="s">
        <v>30</v>
      </c>
      <c r="E504" s="72" t="s">
        <v>30</v>
      </c>
      <c r="G504" s="72" t="s">
        <v>30</v>
      </c>
      <c r="H504" s="72" t="s">
        <v>30</v>
      </c>
      <c r="I504" s="31"/>
    </row>
    <row r="505">
      <c r="B505" s="72" t="s">
        <v>30</v>
      </c>
      <c r="C505" s="73" t="s">
        <v>30</v>
      </c>
      <c r="D505" s="72" t="s">
        <v>30</v>
      </c>
      <c r="E505" s="72" t="s">
        <v>30</v>
      </c>
      <c r="G505" s="72" t="s">
        <v>30</v>
      </c>
      <c r="H505" s="72" t="s">
        <v>30</v>
      </c>
      <c r="I505" s="31"/>
    </row>
    <row r="506">
      <c r="B506" s="72" t="s">
        <v>30</v>
      </c>
      <c r="C506" s="73" t="s">
        <v>30</v>
      </c>
      <c r="D506" s="72" t="s">
        <v>30</v>
      </c>
      <c r="E506" s="72" t="s">
        <v>30</v>
      </c>
      <c r="G506" s="72" t="s">
        <v>30</v>
      </c>
      <c r="H506" s="72" t="s">
        <v>30</v>
      </c>
      <c r="I506" s="31"/>
    </row>
    <row r="507">
      <c r="B507" s="72" t="s">
        <v>30</v>
      </c>
      <c r="C507" s="73" t="s">
        <v>30</v>
      </c>
      <c r="D507" s="72" t="s">
        <v>30</v>
      </c>
      <c r="E507" s="72" t="s">
        <v>30</v>
      </c>
      <c r="G507" s="72" t="s">
        <v>30</v>
      </c>
      <c r="H507" s="72" t="s">
        <v>30</v>
      </c>
      <c r="I507" s="31"/>
    </row>
    <row r="508">
      <c r="B508" s="72" t="s">
        <v>30</v>
      </c>
      <c r="C508" s="73" t="s">
        <v>30</v>
      </c>
      <c r="D508" s="72" t="s">
        <v>30</v>
      </c>
      <c r="E508" s="72" t="s">
        <v>30</v>
      </c>
      <c r="G508" s="72" t="s">
        <v>30</v>
      </c>
      <c r="H508" s="72" t="s">
        <v>30</v>
      </c>
      <c r="I508" s="31"/>
    </row>
    <row r="509">
      <c r="B509" s="72" t="s">
        <v>30</v>
      </c>
      <c r="C509" s="73" t="s">
        <v>30</v>
      </c>
      <c r="D509" s="72" t="s">
        <v>30</v>
      </c>
      <c r="E509" s="72" t="s">
        <v>30</v>
      </c>
      <c r="G509" s="72" t="s">
        <v>30</v>
      </c>
      <c r="H509" s="72" t="s">
        <v>30</v>
      </c>
      <c r="I509" s="31"/>
    </row>
    <row r="510">
      <c r="B510" s="72" t="s">
        <v>30</v>
      </c>
      <c r="C510" s="73" t="s">
        <v>30</v>
      </c>
      <c r="D510" s="72" t="s">
        <v>30</v>
      </c>
      <c r="E510" s="72" t="s">
        <v>30</v>
      </c>
      <c r="G510" s="72" t="s">
        <v>30</v>
      </c>
      <c r="H510" s="72" t="s">
        <v>30</v>
      </c>
      <c r="I510" s="31"/>
    </row>
    <row r="511">
      <c r="B511" s="72" t="s">
        <v>30</v>
      </c>
      <c r="C511" s="73" t="s">
        <v>30</v>
      </c>
      <c r="D511" s="72" t="s">
        <v>30</v>
      </c>
      <c r="E511" s="72" t="s">
        <v>30</v>
      </c>
      <c r="G511" s="72" t="s">
        <v>30</v>
      </c>
      <c r="H511" s="72" t="s">
        <v>30</v>
      </c>
      <c r="I511" s="31"/>
    </row>
    <row r="512">
      <c r="B512" s="72" t="s">
        <v>30</v>
      </c>
      <c r="C512" s="73" t="s">
        <v>30</v>
      </c>
      <c r="D512" s="72" t="s">
        <v>30</v>
      </c>
      <c r="E512" s="72" t="s">
        <v>30</v>
      </c>
      <c r="G512" s="72" t="s">
        <v>30</v>
      </c>
      <c r="H512" s="72" t="s">
        <v>30</v>
      </c>
      <c r="I512" s="31"/>
    </row>
    <row r="513">
      <c r="B513" s="72" t="s">
        <v>30</v>
      </c>
      <c r="C513" s="73" t="s">
        <v>30</v>
      </c>
      <c r="D513" s="72" t="s">
        <v>30</v>
      </c>
      <c r="E513" s="72" t="s">
        <v>30</v>
      </c>
      <c r="G513" s="72" t="s">
        <v>30</v>
      </c>
      <c r="H513" s="72" t="s">
        <v>30</v>
      </c>
      <c r="I513" s="31"/>
    </row>
    <row r="514">
      <c r="B514" s="72" t="s">
        <v>30</v>
      </c>
      <c r="C514" s="73" t="s">
        <v>30</v>
      </c>
      <c r="D514" s="72" t="s">
        <v>30</v>
      </c>
      <c r="E514" s="72" t="s">
        <v>30</v>
      </c>
      <c r="G514" s="72" t="s">
        <v>30</v>
      </c>
      <c r="H514" s="72" t="s">
        <v>30</v>
      </c>
      <c r="I514" s="31"/>
    </row>
    <row r="515">
      <c r="B515" s="72" t="s">
        <v>30</v>
      </c>
      <c r="C515" s="73" t="s">
        <v>30</v>
      </c>
      <c r="D515" s="72" t="s">
        <v>30</v>
      </c>
      <c r="E515" s="72" t="s">
        <v>30</v>
      </c>
      <c r="G515" s="72" t="s">
        <v>30</v>
      </c>
      <c r="H515" s="72" t="s">
        <v>30</v>
      </c>
      <c r="I515" s="31"/>
    </row>
    <row r="516">
      <c r="B516" s="72" t="s">
        <v>30</v>
      </c>
      <c r="C516" s="73" t="s">
        <v>30</v>
      </c>
      <c r="D516" s="72" t="s">
        <v>30</v>
      </c>
      <c r="E516" s="72" t="s">
        <v>30</v>
      </c>
      <c r="G516" s="72" t="s">
        <v>30</v>
      </c>
      <c r="H516" s="72" t="s">
        <v>30</v>
      </c>
      <c r="I516" s="31"/>
    </row>
    <row r="517">
      <c r="B517" s="72" t="s">
        <v>30</v>
      </c>
      <c r="C517" s="73" t="s">
        <v>30</v>
      </c>
      <c r="D517" s="72" t="s">
        <v>30</v>
      </c>
      <c r="E517" s="72" t="s">
        <v>30</v>
      </c>
      <c r="G517" s="72" t="s">
        <v>30</v>
      </c>
      <c r="H517" s="72" t="s">
        <v>30</v>
      </c>
      <c r="I517" s="31"/>
    </row>
    <row r="518">
      <c r="B518" s="72" t="s">
        <v>30</v>
      </c>
      <c r="C518" s="73" t="s">
        <v>30</v>
      </c>
      <c r="D518" s="72" t="s">
        <v>30</v>
      </c>
      <c r="E518" s="72" t="s">
        <v>30</v>
      </c>
      <c r="G518" s="72" t="s">
        <v>30</v>
      </c>
      <c r="H518" s="72" t="s">
        <v>30</v>
      </c>
      <c r="I518" s="31"/>
    </row>
    <row r="519">
      <c r="B519" s="72" t="s">
        <v>30</v>
      </c>
      <c r="C519" s="73" t="s">
        <v>30</v>
      </c>
      <c r="D519" s="72" t="s">
        <v>30</v>
      </c>
      <c r="E519" s="72" t="s">
        <v>30</v>
      </c>
      <c r="G519" s="72" t="s">
        <v>30</v>
      </c>
      <c r="H519" s="72" t="s">
        <v>30</v>
      </c>
      <c r="I519" s="31"/>
    </row>
    <row r="520">
      <c r="B520" s="72" t="s">
        <v>30</v>
      </c>
      <c r="C520" s="73" t="s">
        <v>30</v>
      </c>
      <c r="D520" s="72" t="s">
        <v>30</v>
      </c>
      <c r="E520" s="72" t="s">
        <v>30</v>
      </c>
      <c r="G520" s="72" t="s">
        <v>30</v>
      </c>
      <c r="H520" s="72" t="s">
        <v>30</v>
      </c>
      <c r="I520" s="31"/>
    </row>
    <row r="521">
      <c r="B521" s="72" t="s">
        <v>30</v>
      </c>
      <c r="C521" s="73" t="s">
        <v>30</v>
      </c>
      <c r="D521" s="72" t="s">
        <v>30</v>
      </c>
      <c r="E521" s="72" t="s">
        <v>30</v>
      </c>
      <c r="G521" s="72" t="s">
        <v>30</v>
      </c>
      <c r="H521" s="72" t="s">
        <v>30</v>
      </c>
      <c r="I521" s="31"/>
    </row>
    <row r="522">
      <c r="B522" s="72" t="s">
        <v>30</v>
      </c>
      <c r="C522" s="73" t="s">
        <v>30</v>
      </c>
      <c r="D522" s="72" t="s">
        <v>30</v>
      </c>
      <c r="E522" s="72" t="s">
        <v>30</v>
      </c>
      <c r="G522" s="72" t="s">
        <v>30</v>
      </c>
      <c r="H522" s="72" t="s">
        <v>30</v>
      </c>
      <c r="I522" s="31"/>
    </row>
    <row r="523">
      <c r="B523" s="72" t="s">
        <v>30</v>
      </c>
      <c r="C523" s="73" t="s">
        <v>30</v>
      </c>
      <c r="D523" s="72" t="s">
        <v>30</v>
      </c>
      <c r="E523" s="72" t="s">
        <v>30</v>
      </c>
      <c r="G523" s="72" t="s">
        <v>30</v>
      </c>
      <c r="H523" s="72" t="s">
        <v>30</v>
      </c>
      <c r="I523" s="31"/>
    </row>
    <row r="524">
      <c r="B524" s="72" t="s">
        <v>30</v>
      </c>
      <c r="C524" s="73" t="s">
        <v>30</v>
      </c>
      <c r="D524" s="72" t="s">
        <v>30</v>
      </c>
      <c r="E524" s="72" t="s">
        <v>30</v>
      </c>
      <c r="G524" s="72" t="s">
        <v>30</v>
      </c>
      <c r="H524" s="72" t="s">
        <v>30</v>
      </c>
      <c r="I524" s="31"/>
    </row>
    <row r="525">
      <c r="B525" s="72" t="s">
        <v>30</v>
      </c>
      <c r="C525" s="73" t="s">
        <v>30</v>
      </c>
      <c r="D525" s="72" t="s">
        <v>30</v>
      </c>
      <c r="E525" s="72" t="s">
        <v>30</v>
      </c>
      <c r="G525" s="72" t="s">
        <v>30</v>
      </c>
      <c r="H525" s="72" t="s">
        <v>30</v>
      </c>
      <c r="I525" s="31"/>
    </row>
    <row r="526">
      <c r="B526" s="72" t="s">
        <v>30</v>
      </c>
      <c r="C526" s="73" t="s">
        <v>30</v>
      </c>
      <c r="D526" s="72" t="s">
        <v>30</v>
      </c>
      <c r="E526" s="72" t="s">
        <v>30</v>
      </c>
      <c r="G526" s="72" t="s">
        <v>30</v>
      </c>
      <c r="H526" s="72" t="s">
        <v>30</v>
      </c>
      <c r="I526" s="31"/>
    </row>
    <row r="527">
      <c r="B527" s="72" t="s">
        <v>30</v>
      </c>
      <c r="C527" s="73" t="s">
        <v>30</v>
      </c>
      <c r="D527" s="72" t="s">
        <v>30</v>
      </c>
      <c r="E527" s="72" t="s">
        <v>30</v>
      </c>
      <c r="G527" s="72" t="s">
        <v>30</v>
      </c>
      <c r="H527" s="72" t="s">
        <v>30</v>
      </c>
      <c r="I527" s="31"/>
    </row>
    <row r="528">
      <c r="B528" s="72" t="s">
        <v>30</v>
      </c>
      <c r="C528" s="73" t="s">
        <v>30</v>
      </c>
      <c r="D528" s="72" t="s">
        <v>30</v>
      </c>
      <c r="E528" s="72" t="s">
        <v>30</v>
      </c>
      <c r="G528" s="72" t="s">
        <v>30</v>
      </c>
      <c r="H528" s="72" t="s">
        <v>30</v>
      </c>
      <c r="I528" s="31"/>
    </row>
    <row r="529">
      <c r="B529" s="72" t="s">
        <v>30</v>
      </c>
      <c r="C529" s="73" t="s">
        <v>30</v>
      </c>
      <c r="D529" s="72" t="s">
        <v>30</v>
      </c>
      <c r="E529" s="72" t="s">
        <v>30</v>
      </c>
      <c r="G529" s="72" t="s">
        <v>30</v>
      </c>
      <c r="H529" s="72" t="s">
        <v>30</v>
      </c>
      <c r="I529" s="31"/>
    </row>
    <row r="530">
      <c r="B530" s="72" t="s">
        <v>30</v>
      </c>
      <c r="C530" s="73" t="s">
        <v>30</v>
      </c>
      <c r="D530" s="72" t="s">
        <v>30</v>
      </c>
      <c r="E530" s="72" t="s">
        <v>30</v>
      </c>
      <c r="G530" s="72" t="s">
        <v>30</v>
      </c>
      <c r="H530" s="72" t="s">
        <v>30</v>
      </c>
      <c r="I530" s="31"/>
    </row>
    <row r="531">
      <c r="B531" s="72" t="s">
        <v>30</v>
      </c>
      <c r="C531" s="73" t="s">
        <v>30</v>
      </c>
      <c r="D531" s="72" t="s">
        <v>30</v>
      </c>
      <c r="E531" s="72" t="s">
        <v>30</v>
      </c>
      <c r="G531" s="72" t="s">
        <v>30</v>
      </c>
      <c r="H531" s="72" t="s">
        <v>30</v>
      </c>
      <c r="I531" s="31"/>
    </row>
    <row r="532">
      <c r="B532" s="72" t="s">
        <v>30</v>
      </c>
      <c r="C532" s="73" t="s">
        <v>30</v>
      </c>
      <c r="D532" s="72" t="s">
        <v>30</v>
      </c>
      <c r="E532" s="72" t="s">
        <v>30</v>
      </c>
      <c r="G532" s="72" t="s">
        <v>30</v>
      </c>
      <c r="H532" s="72" t="s">
        <v>30</v>
      </c>
      <c r="I532" s="31"/>
    </row>
    <row r="533">
      <c r="B533" s="72" t="s">
        <v>30</v>
      </c>
      <c r="C533" s="73" t="s">
        <v>30</v>
      </c>
      <c r="D533" s="72" t="s">
        <v>30</v>
      </c>
      <c r="E533" s="72" t="s">
        <v>30</v>
      </c>
      <c r="G533" s="72" t="s">
        <v>30</v>
      </c>
      <c r="H533" s="72" t="s">
        <v>30</v>
      </c>
      <c r="I533" s="31"/>
    </row>
    <row r="534">
      <c r="B534" s="72" t="s">
        <v>30</v>
      </c>
      <c r="C534" s="73" t="s">
        <v>30</v>
      </c>
      <c r="D534" s="72" t="s">
        <v>30</v>
      </c>
      <c r="E534" s="72" t="s">
        <v>30</v>
      </c>
      <c r="G534" s="72" t="s">
        <v>30</v>
      </c>
      <c r="H534" s="72" t="s">
        <v>30</v>
      </c>
      <c r="I534" s="31"/>
    </row>
    <row r="535">
      <c r="B535" s="72" t="s">
        <v>30</v>
      </c>
      <c r="C535" s="73" t="s">
        <v>30</v>
      </c>
      <c r="D535" s="72" t="s">
        <v>30</v>
      </c>
      <c r="E535" s="72" t="s">
        <v>30</v>
      </c>
      <c r="G535" s="72" t="s">
        <v>30</v>
      </c>
      <c r="H535" s="72" t="s">
        <v>30</v>
      </c>
      <c r="I535" s="31"/>
    </row>
    <row r="536">
      <c r="B536" s="72" t="s">
        <v>30</v>
      </c>
      <c r="C536" s="73" t="s">
        <v>30</v>
      </c>
      <c r="D536" s="72" t="s">
        <v>30</v>
      </c>
      <c r="E536" s="72" t="s">
        <v>30</v>
      </c>
      <c r="G536" s="72" t="s">
        <v>30</v>
      </c>
      <c r="H536" s="72" t="s">
        <v>30</v>
      </c>
      <c r="I536" s="31"/>
    </row>
    <row r="537">
      <c r="B537" s="72" t="s">
        <v>30</v>
      </c>
      <c r="C537" s="73" t="s">
        <v>30</v>
      </c>
      <c r="D537" s="72" t="s">
        <v>30</v>
      </c>
      <c r="E537" s="72" t="s">
        <v>30</v>
      </c>
      <c r="G537" s="72" t="s">
        <v>30</v>
      </c>
      <c r="H537" s="72" t="s">
        <v>30</v>
      </c>
      <c r="I537" s="31"/>
    </row>
    <row r="538">
      <c r="B538" s="72" t="s">
        <v>30</v>
      </c>
      <c r="C538" s="73" t="s">
        <v>30</v>
      </c>
      <c r="D538" s="72" t="s">
        <v>30</v>
      </c>
      <c r="E538" s="72" t="s">
        <v>30</v>
      </c>
      <c r="G538" s="72" t="s">
        <v>30</v>
      </c>
      <c r="H538" s="72" t="s">
        <v>30</v>
      </c>
      <c r="I538" s="31"/>
    </row>
    <row r="539">
      <c r="B539" s="72" t="s">
        <v>30</v>
      </c>
      <c r="C539" s="73" t="s">
        <v>30</v>
      </c>
      <c r="D539" s="72" t="s">
        <v>30</v>
      </c>
      <c r="E539" s="72" t="s">
        <v>30</v>
      </c>
      <c r="G539" s="72" t="s">
        <v>30</v>
      </c>
      <c r="H539" s="72" t="s">
        <v>30</v>
      </c>
      <c r="I539" s="31"/>
    </row>
    <row r="540">
      <c r="B540" s="72" t="s">
        <v>30</v>
      </c>
      <c r="C540" s="73" t="s">
        <v>30</v>
      </c>
      <c r="D540" s="72" t="s">
        <v>30</v>
      </c>
      <c r="E540" s="72" t="s">
        <v>30</v>
      </c>
      <c r="G540" s="72" t="s">
        <v>30</v>
      </c>
      <c r="H540" s="72" t="s">
        <v>30</v>
      </c>
      <c r="I540" s="31"/>
    </row>
    <row r="541">
      <c r="B541" s="72" t="s">
        <v>30</v>
      </c>
      <c r="C541" s="73" t="s">
        <v>30</v>
      </c>
      <c r="D541" s="72" t="s">
        <v>30</v>
      </c>
      <c r="E541" s="72" t="s">
        <v>30</v>
      </c>
      <c r="G541" s="72" t="s">
        <v>30</v>
      </c>
      <c r="H541" s="72" t="s">
        <v>30</v>
      </c>
      <c r="I541" s="31"/>
    </row>
    <row r="542">
      <c r="B542" s="72" t="s">
        <v>30</v>
      </c>
      <c r="C542" s="73" t="s">
        <v>30</v>
      </c>
      <c r="D542" s="72" t="s">
        <v>30</v>
      </c>
      <c r="E542" s="72" t="s">
        <v>30</v>
      </c>
      <c r="G542" s="72" t="s">
        <v>30</v>
      </c>
      <c r="H542" s="72" t="s">
        <v>30</v>
      </c>
      <c r="I542" s="31"/>
    </row>
    <row r="543">
      <c r="B543" s="72" t="s">
        <v>30</v>
      </c>
      <c r="C543" s="73" t="s">
        <v>30</v>
      </c>
      <c r="D543" s="72" t="s">
        <v>30</v>
      </c>
      <c r="E543" s="72" t="s">
        <v>30</v>
      </c>
      <c r="G543" s="72" t="s">
        <v>30</v>
      </c>
      <c r="H543" s="72" t="s">
        <v>30</v>
      </c>
      <c r="I543" s="31"/>
    </row>
    <row r="544">
      <c r="B544" s="72" t="s">
        <v>30</v>
      </c>
      <c r="C544" s="73" t="s">
        <v>30</v>
      </c>
      <c r="D544" s="72" t="s">
        <v>30</v>
      </c>
      <c r="E544" s="72" t="s">
        <v>30</v>
      </c>
      <c r="G544" s="72" t="s">
        <v>30</v>
      </c>
      <c r="H544" s="72" t="s">
        <v>30</v>
      </c>
      <c r="I544" s="31"/>
    </row>
    <row r="545">
      <c r="B545" s="72" t="s">
        <v>30</v>
      </c>
      <c r="C545" s="73" t="s">
        <v>30</v>
      </c>
      <c r="D545" s="72" t="s">
        <v>30</v>
      </c>
      <c r="E545" s="72" t="s">
        <v>30</v>
      </c>
      <c r="G545" s="72" t="s">
        <v>30</v>
      </c>
      <c r="H545" s="72" t="s">
        <v>30</v>
      </c>
      <c r="I545" s="31"/>
    </row>
    <row r="546">
      <c r="B546" s="72" t="s">
        <v>30</v>
      </c>
      <c r="C546" s="73" t="s">
        <v>30</v>
      </c>
      <c r="D546" s="72" t="s">
        <v>30</v>
      </c>
      <c r="E546" s="72" t="s">
        <v>30</v>
      </c>
      <c r="G546" s="72" t="s">
        <v>30</v>
      </c>
      <c r="H546" s="72" t="s">
        <v>30</v>
      </c>
      <c r="I546" s="31"/>
    </row>
    <row r="547">
      <c r="B547" s="72" t="s">
        <v>30</v>
      </c>
      <c r="C547" s="73" t="s">
        <v>30</v>
      </c>
      <c r="D547" s="72" t="s">
        <v>30</v>
      </c>
      <c r="E547" s="72" t="s">
        <v>30</v>
      </c>
      <c r="G547" s="72" t="s">
        <v>30</v>
      </c>
      <c r="H547" s="72" t="s">
        <v>30</v>
      </c>
      <c r="I547" s="31"/>
    </row>
    <row r="548">
      <c r="B548" s="72" t="s">
        <v>30</v>
      </c>
      <c r="C548" s="73" t="s">
        <v>30</v>
      </c>
      <c r="D548" s="72" t="s">
        <v>30</v>
      </c>
      <c r="E548" s="72" t="s">
        <v>30</v>
      </c>
      <c r="G548" s="72" t="s">
        <v>30</v>
      </c>
      <c r="H548" s="72" t="s">
        <v>30</v>
      </c>
      <c r="I548" s="31"/>
    </row>
    <row r="549">
      <c r="B549" s="72" t="s">
        <v>30</v>
      </c>
      <c r="C549" s="73" t="s">
        <v>30</v>
      </c>
      <c r="D549" s="72" t="s">
        <v>30</v>
      </c>
      <c r="E549" s="72" t="s">
        <v>30</v>
      </c>
      <c r="G549" s="72" t="s">
        <v>30</v>
      </c>
      <c r="H549" s="72" t="s">
        <v>30</v>
      </c>
      <c r="I549" s="31"/>
    </row>
    <row r="550">
      <c r="B550" s="72" t="s">
        <v>30</v>
      </c>
      <c r="C550" s="73" t="s">
        <v>30</v>
      </c>
      <c r="D550" s="72" t="s">
        <v>30</v>
      </c>
      <c r="E550" s="72" t="s">
        <v>30</v>
      </c>
      <c r="G550" s="72" t="s">
        <v>30</v>
      </c>
      <c r="H550" s="72" t="s">
        <v>30</v>
      </c>
      <c r="I550" s="31"/>
    </row>
    <row r="551">
      <c r="B551" s="72" t="s">
        <v>30</v>
      </c>
      <c r="C551" s="73" t="s">
        <v>30</v>
      </c>
      <c r="D551" s="72" t="s">
        <v>30</v>
      </c>
      <c r="E551" s="72" t="s">
        <v>30</v>
      </c>
      <c r="G551" s="72" t="s">
        <v>30</v>
      </c>
      <c r="H551" s="72" t="s">
        <v>30</v>
      </c>
      <c r="I551" s="31"/>
    </row>
    <row r="552">
      <c r="B552" s="72" t="s">
        <v>30</v>
      </c>
      <c r="C552" s="73" t="s">
        <v>30</v>
      </c>
      <c r="D552" s="72" t="s">
        <v>30</v>
      </c>
      <c r="E552" s="72" t="s">
        <v>30</v>
      </c>
      <c r="G552" s="72" t="s">
        <v>30</v>
      </c>
      <c r="H552" s="72" t="s">
        <v>30</v>
      </c>
      <c r="I552" s="31"/>
    </row>
    <row r="553">
      <c r="B553" s="72" t="s">
        <v>30</v>
      </c>
      <c r="C553" s="73" t="s">
        <v>30</v>
      </c>
      <c r="D553" s="72" t="s">
        <v>30</v>
      </c>
      <c r="E553" s="72" t="s">
        <v>30</v>
      </c>
      <c r="G553" s="72" t="s">
        <v>30</v>
      </c>
      <c r="H553" s="72" t="s">
        <v>30</v>
      </c>
      <c r="I553" s="31"/>
    </row>
    <row r="554">
      <c r="B554" s="72" t="s">
        <v>30</v>
      </c>
      <c r="C554" s="73" t="s">
        <v>30</v>
      </c>
      <c r="D554" s="72" t="s">
        <v>30</v>
      </c>
      <c r="E554" s="72" t="s">
        <v>30</v>
      </c>
      <c r="G554" s="72" t="s">
        <v>30</v>
      </c>
      <c r="H554" s="72" t="s">
        <v>30</v>
      </c>
      <c r="I554" s="31"/>
    </row>
    <row r="555">
      <c r="B555" s="72" t="s">
        <v>30</v>
      </c>
      <c r="C555" s="73" t="s">
        <v>30</v>
      </c>
      <c r="D555" s="72" t="s">
        <v>30</v>
      </c>
      <c r="E555" s="72" t="s">
        <v>30</v>
      </c>
      <c r="G555" s="72" t="s">
        <v>30</v>
      </c>
      <c r="H555" s="72" t="s">
        <v>30</v>
      </c>
      <c r="I555" s="31"/>
    </row>
    <row r="556">
      <c r="B556" s="72" t="s">
        <v>30</v>
      </c>
      <c r="C556" s="73" t="s">
        <v>30</v>
      </c>
      <c r="D556" s="72" t="s">
        <v>30</v>
      </c>
      <c r="E556" s="72" t="s">
        <v>30</v>
      </c>
      <c r="G556" s="72" t="s">
        <v>30</v>
      </c>
      <c r="H556" s="72" t="s">
        <v>30</v>
      </c>
      <c r="I556" s="31"/>
    </row>
    <row r="557">
      <c r="B557" s="72" t="s">
        <v>30</v>
      </c>
      <c r="C557" s="73" t="s">
        <v>30</v>
      </c>
      <c r="D557" s="72" t="s">
        <v>30</v>
      </c>
      <c r="E557" s="72" t="s">
        <v>30</v>
      </c>
      <c r="G557" s="72" t="s">
        <v>30</v>
      </c>
      <c r="H557" s="72" t="s">
        <v>30</v>
      </c>
      <c r="I557" s="31"/>
    </row>
    <row r="558">
      <c r="B558" s="72" t="s">
        <v>30</v>
      </c>
      <c r="C558" s="73" t="s">
        <v>30</v>
      </c>
      <c r="D558" s="72" t="s">
        <v>30</v>
      </c>
      <c r="E558" s="72" t="s">
        <v>30</v>
      </c>
      <c r="G558" s="72" t="s">
        <v>30</v>
      </c>
      <c r="H558" s="72" t="s">
        <v>30</v>
      </c>
      <c r="I558" s="31"/>
    </row>
    <row r="559">
      <c r="B559" s="72" t="s">
        <v>30</v>
      </c>
      <c r="C559" s="73" t="s">
        <v>30</v>
      </c>
      <c r="D559" s="72" t="s">
        <v>30</v>
      </c>
      <c r="E559" s="72" t="s">
        <v>30</v>
      </c>
      <c r="G559" s="72" t="s">
        <v>30</v>
      </c>
      <c r="H559" s="72" t="s">
        <v>30</v>
      </c>
      <c r="I559" s="31"/>
    </row>
    <row r="560">
      <c r="B560" s="72" t="s">
        <v>30</v>
      </c>
      <c r="C560" s="73" t="s">
        <v>30</v>
      </c>
      <c r="D560" s="72" t="s">
        <v>30</v>
      </c>
      <c r="E560" s="72" t="s">
        <v>30</v>
      </c>
      <c r="G560" s="72" t="s">
        <v>30</v>
      </c>
      <c r="H560" s="72" t="s">
        <v>30</v>
      </c>
      <c r="I560" s="31"/>
    </row>
    <row r="561">
      <c r="B561" s="72" t="s">
        <v>30</v>
      </c>
      <c r="C561" s="73" t="s">
        <v>30</v>
      </c>
      <c r="D561" s="72" t="s">
        <v>30</v>
      </c>
      <c r="E561" s="72" t="s">
        <v>30</v>
      </c>
      <c r="G561" s="72" t="s">
        <v>30</v>
      </c>
      <c r="H561" s="72" t="s">
        <v>30</v>
      </c>
      <c r="I561" s="31"/>
    </row>
    <row r="562">
      <c r="B562" s="72" t="s">
        <v>30</v>
      </c>
      <c r="C562" s="73" t="s">
        <v>30</v>
      </c>
      <c r="D562" s="72" t="s">
        <v>30</v>
      </c>
      <c r="E562" s="72" t="s">
        <v>30</v>
      </c>
      <c r="G562" s="72" t="s">
        <v>30</v>
      </c>
      <c r="H562" s="72" t="s">
        <v>30</v>
      </c>
      <c r="I562" s="31"/>
    </row>
    <row r="563">
      <c r="B563" s="72" t="s">
        <v>30</v>
      </c>
      <c r="C563" s="73" t="s">
        <v>30</v>
      </c>
      <c r="D563" s="72" t="s">
        <v>30</v>
      </c>
      <c r="E563" s="72" t="s">
        <v>30</v>
      </c>
      <c r="G563" s="72" t="s">
        <v>30</v>
      </c>
      <c r="H563" s="72" t="s">
        <v>30</v>
      </c>
      <c r="I563" s="31"/>
    </row>
    <row r="564">
      <c r="B564" s="72" t="s">
        <v>30</v>
      </c>
      <c r="C564" s="73" t="s">
        <v>30</v>
      </c>
      <c r="D564" s="72" t="s">
        <v>30</v>
      </c>
      <c r="E564" s="72" t="s">
        <v>30</v>
      </c>
      <c r="G564" s="72" t="s">
        <v>30</v>
      </c>
      <c r="H564" s="72" t="s">
        <v>30</v>
      </c>
      <c r="I564" s="31"/>
    </row>
    <row r="565">
      <c r="B565" s="72" t="s">
        <v>30</v>
      </c>
      <c r="C565" s="73" t="s">
        <v>30</v>
      </c>
      <c r="D565" s="72" t="s">
        <v>30</v>
      </c>
      <c r="E565" s="72" t="s">
        <v>30</v>
      </c>
      <c r="G565" s="72" t="s">
        <v>30</v>
      </c>
      <c r="H565" s="72" t="s">
        <v>30</v>
      </c>
      <c r="I565" s="31"/>
    </row>
    <row r="566">
      <c r="B566" s="72" t="s">
        <v>30</v>
      </c>
      <c r="C566" s="73" t="s">
        <v>30</v>
      </c>
      <c r="D566" s="72" t="s">
        <v>30</v>
      </c>
      <c r="E566" s="72" t="s">
        <v>30</v>
      </c>
      <c r="G566" s="72" t="s">
        <v>30</v>
      </c>
      <c r="H566" s="72" t="s">
        <v>30</v>
      </c>
      <c r="I566" s="31"/>
    </row>
    <row r="567">
      <c r="B567" s="72" t="s">
        <v>30</v>
      </c>
      <c r="C567" s="73" t="s">
        <v>30</v>
      </c>
      <c r="D567" s="72" t="s">
        <v>30</v>
      </c>
      <c r="E567" s="72" t="s">
        <v>30</v>
      </c>
      <c r="G567" s="72" t="s">
        <v>30</v>
      </c>
      <c r="H567" s="72" t="s">
        <v>30</v>
      </c>
      <c r="I567" s="31"/>
    </row>
    <row r="568">
      <c r="B568" s="72" t="s">
        <v>30</v>
      </c>
      <c r="C568" s="73" t="s">
        <v>30</v>
      </c>
      <c r="D568" s="72" t="s">
        <v>30</v>
      </c>
      <c r="E568" s="72" t="s">
        <v>30</v>
      </c>
      <c r="G568" s="72" t="s">
        <v>30</v>
      </c>
      <c r="H568" s="72" t="s">
        <v>30</v>
      </c>
      <c r="I568" s="31"/>
    </row>
    <row r="569">
      <c r="B569" s="72" t="s">
        <v>30</v>
      </c>
      <c r="C569" s="73" t="s">
        <v>30</v>
      </c>
      <c r="D569" s="72" t="s">
        <v>30</v>
      </c>
      <c r="E569" s="72" t="s">
        <v>30</v>
      </c>
      <c r="G569" s="72" t="s">
        <v>30</v>
      </c>
      <c r="H569" s="72" t="s">
        <v>30</v>
      </c>
      <c r="I569" s="31"/>
    </row>
    <row r="570">
      <c r="B570" s="72" t="s">
        <v>30</v>
      </c>
      <c r="C570" s="73" t="s">
        <v>30</v>
      </c>
      <c r="D570" s="72" t="s">
        <v>30</v>
      </c>
      <c r="E570" s="72" t="s">
        <v>30</v>
      </c>
      <c r="G570" s="72" t="s">
        <v>30</v>
      </c>
      <c r="H570" s="72" t="s">
        <v>30</v>
      </c>
      <c r="I570" s="31"/>
    </row>
    <row r="571">
      <c r="B571" s="72" t="s">
        <v>30</v>
      </c>
      <c r="C571" s="73" t="s">
        <v>30</v>
      </c>
      <c r="D571" s="72" t="s">
        <v>30</v>
      </c>
      <c r="E571" s="72" t="s">
        <v>30</v>
      </c>
      <c r="G571" s="72" t="s">
        <v>30</v>
      </c>
      <c r="H571" s="72" t="s">
        <v>30</v>
      </c>
      <c r="I571" s="31"/>
    </row>
    <row r="572">
      <c r="B572" s="72" t="s">
        <v>30</v>
      </c>
      <c r="C572" s="73" t="s">
        <v>30</v>
      </c>
      <c r="D572" s="72" t="s">
        <v>30</v>
      </c>
      <c r="E572" s="72" t="s">
        <v>30</v>
      </c>
      <c r="G572" s="72" t="s">
        <v>30</v>
      </c>
      <c r="H572" s="72" t="s">
        <v>30</v>
      </c>
      <c r="I572" s="31"/>
    </row>
    <row r="573">
      <c r="B573" s="72" t="s">
        <v>30</v>
      </c>
      <c r="C573" s="73" t="s">
        <v>30</v>
      </c>
      <c r="D573" s="72" t="s">
        <v>30</v>
      </c>
      <c r="E573" s="72" t="s">
        <v>30</v>
      </c>
      <c r="G573" s="72" t="s">
        <v>30</v>
      </c>
      <c r="H573" s="72" t="s">
        <v>30</v>
      </c>
      <c r="I573" s="31"/>
    </row>
    <row r="574">
      <c r="B574" s="72" t="s">
        <v>30</v>
      </c>
      <c r="C574" s="73" t="s">
        <v>30</v>
      </c>
      <c r="D574" s="72" t="s">
        <v>30</v>
      </c>
      <c r="E574" s="72" t="s">
        <v>30</v>
      </c>
      <c r="G574" s="72" t="s">
        <v>30</v>
      </c>
      <c r="H574" s="72" t="s">
        <v>30</v>
      </c>
      <c r="I574" s="31"/>
    </row>
    <row r="575">
      <c r="B575" s="72" t="s">
        <v>30</v>
      </c>
      <c r="C575" s="73" t="s">
        <v>30</v>
      </c>
      <c r="D575" s="72" t="s">
        <v>30</v>
      </c>
      <c r="E575" s="72" t="s">
        <v>30</v>
      </c>
      <c r="G575" s="72" t="s">
        <v>30</v>
      </c>
      <c r="H575" s="72" t="s">
        <v>30</v>
      </c>
      <c r="I575" s="31"/>
    </row>
    <row r="576">
      <c r="B576" s="72" t="s">
        <v>30</v>
      </c>
      <c r="C576" s="73" t="s">
        <v>30</v>
      </c>
      <c r="D576" s="72" t="s">
        <v>30</v>
      </c>
      <c r="E576" s="72" t="s">
        <v>30</v>
      </c>
      <c r="G576" s="72" t="s">
        <v>30</v>
      </c>
      <c r="H576" s="72" t="s">
        <v>30</v>
      </c>
      <c r="I576" s="31"/>
    </row>
    <row r="577">
      <c r="B577" s="72" t="s">
        <v>30</v>
      </c>
      <c r="C577" s="73" t="s">
        <v>30</v>
      </c>
      <c r="D577" s="72" t="s">
        <v>30</v>
      </c>
      <c r="E577" s="72" t="s">
        <v>30</v>
      </c>
      <c r="G577" s="72" t="s">
        <v>30</v>
      </c>
      <c r="H577" s="72" t="s">
        <v>30</v>
      </c>
      <c r="I577" s="31"/>
    </row>
    <row r="578">
      <c r="B578" s="72" t="s">
        <v>30</v>
      </c>
      <c r="C578" s="73" t="s">
        <v>30</v>
      </c>
      <c r="D578" s="72" t="s">
        <v>30</v>
      </c>
      <c r="E578" s="72" t="s">
        <v>30</v>
      </c>
      <c r="G578" s="72" t="s">
        <v>30</v>
      </c>
      <c r="H578" s="72" t="s">
        <v>30</v>
      </c>
      <c r="I578" s="31"/>
    </row>
    <row r="579">
      <c r="B579" s="72" t="s">
        <v>30</v>
      </c>
      <c r="C579" s="73" t="s">
        <v>30</v>
      </c>
      <c r="D579" s="72" t="s">
        <v>30</v>
      </c>
      <c r="E579" s="72" t="s">
        <v>30</v>
      </c>
      <c r="G579" s="72" t="s">
        <v>30</v>
      </c>
      <c r="H579" s="72" t="s">
        <v>30</v>
      </c>
      <c r="I579" s="31"/>
    </row>
    <row r="580">
      <c r="B580" s="72" t="s">
        <v>30</v>
      </c>
      <c r="C580" s="73" t="s">
        <v>30</v>
      </c>
      <c r="D580" s="72" t="s">
        <v>30</v>
      </c>
      <c r="E580" s="72" t="s">
        <v>30</v>
      </c>
      <c r="G580" s="72" t="s">
        <v>30</v>
      </c>
      <c r="H580" s="72" t="s">
        <v>30</v>
      </c>
      <c r="I580" s="31"/>
    </row>
    <row r="581">
      <c r="B581" s="72" t="s">
        <v>30</v>
      </c>
      <c r="C581" s="73" t="s">
        <v>30</v>
      </c>
      <c r="D581" s="72" t="s">
        <v>30</v>
      </c>
      <c r="E581" s="72" t="s">
        <v>30</v>
      </c>
      <c r="G581" s="72" t="s">
        <v>30</v>
      </c>
      <c r="H581" s="72" t="s">
        <v>30</v>
      </c>
      <c r="I581" s="31"/>
    </row>
    <row r="582">
      <c r="B582" s="72" t="s">
        <v>30</v>
      </c>
      <c r="C582" s="73" t="s">
        <v>30</v>
      </c>
      <c r="D582" s="72" t="s">
        <v>30</v>
      </c>
      <c r="E582" s="72" t="s">
        <v>30</v>
      </c>
      <c r="G582" s="72" t="s">
        <v>30</v>
      </c>
      <c r="H582" s="72" t="s">
        <v>30</v>
      </c>
      <c r="I582" s="31"/>
    </row>
    <row r="583">
      <c r="B583" s="72" t="s">
        <v>30</v>
      </c>
      <c r="C583" s="73" t="s">
        <v>30</v>
      </c>
      <c r="D583" s="72" t="s">
        <v>30</v>
      </c>
      <c r="E583" s="72" t="s">
        <v>30</v>
      </c>
      <c r="G583" s="72" t="s">
        <v>30</v>
      </c>
      <c r="H583" s="72" t="s">
        <v>30</v>
      </c>
      <c r="I583" s="31"/>
    </row>
    <row r="584">
      <c r="B584" s="72" t="s">
        <v>30</v>
      </c>
      <c r="C584" s="73" t="s">
        <v>30</v>
      </c>
      <c r="D584" s="72" t="s">
        <v>30</v>
      </c>
      <c r="E584" s="72" t="s">
        <v>30</v>
      </c>
      <c r="G584" s="72" t="s">
        <v>30</v>
      </c>
      <c r="H584" s="72" t="s">
        <v>30</v>
      </c>
      <c r="I584" s="31"/>
    </row>
    <row r="585">
      <c r="B585" s="72" t="s">
        <v>30</v>
      </c>
      <c r="C585" s="73" t="s">
        <v>30</v>
      </c>
      <c r="D585" s="72" t="s">
        <v>30</v>
      </c>
      <c r="E585" s="72" t="s">
        <v>30</v>
      </c>
      <c r="G585" s="72" t="s">
        <v>30</v>
      </c>
      <c r="H585" s="72" t="s">
        <v>30</v>
      </c>
      <c r="I585" s="31"/>
    </row>
    <row r="586">
      <c r="B586" s="72" t="s">
        <v>30</v>
      </c>
      <c r="C586" s="73" t="s">
        <v>30</v>
      </c>
      <c r="D586" s="72" t="s">
        <v>30</v>
      </c>
      <c r="E586" s="72" t="s">
        <v>30</v>
      </c>
      <c r="G586" s="72" t="s">
        <v>30</v>
      </c>
      <c r="H586" s="72" t="s">
        <v>30</v>
      </c>
      <c r="I586" s="31"/>
    </row>
    <row r="587">
      <c r="B587" s="72" t="s">
        <v>30</v>
      </c>
      <c r="C587" s="73" t="s">
        <v>30</v>
      </c>
      <c r="D587" s="72" t="s">
        <v>30</v>
      </c>
      <c r="E587" s="72" t="s">
        <v>30</v>
      </c>
      <c r="G587" s="72" t="s">
        <v>30</v>
      </c>
      <c r="H587" s="72" t="s">
        <v>30</v>
      </c>
      <c r="I587" s="31"/>
    </row>
    <row r="588">
      <c r="B588" s="72" t="s">
        <v>30</v>
      </c>
      <c r="C588" s="73" t="s">
        <v>30</v>
      </c>
      <c r="D588" s="72" t="s">
        <v>30</v>
      </c>
      <c r="E588" s="72" t="s">
        <v>30</v>
      </c>
      <c r="G588" s="72" t="s">
        <v>30</v>
      </c>
      <c r="H588" s="72" t="s">
        <v>30</v>
      </c>
      <c r="I588" s="31"/>
    </row>
    <row r="589">
      <c r="B589" s="72" t="s">
        <v>30</v>
      </c>
      <c r="C589" s="73" t="s">
        <v>30</v>
      </c>
      <c r="D589" s="72" t="s">
        <v>30</v>
      </c>
      <c r="E589" s="72" t="s">
        <v>30</v>
      </c>
      <c r="G589" s="72" t="s">
        <v>30</v>
      </c>
      <c r="H589" s="72" t="s">
        <v>30</v>
      </c>
      <c r="I589" s="31"/>
    </row>
    <row r="590">
      <c r="B590" s="72" t="s">
        <v>30</v>
      </c>
      <c r="C590" s="73" t="s">
        <v>30</v>
      </c>
      <c r="D590" s="72" t="s">
        <v>30</v>
      </c>
      <c r="E590" s="72" t="s">
        <v>30</v>
      </c>
      <c r="G590" s="72" t="s">
        <v>30</v>
      </c>
      <c r="H590" s="72" t="s">
        <v>30</v>
      </c>
      <c r="I590" s="31"/>
    </row>
    <row r="591">
      <c r="B591" s="72" t="s">
        <v>30</v>
      </c>
      <c r="C591" s="73" t="s">
        <v>30</v>
      </c>
      <c r="D591" s="72" t="s">
        <v>30</v>
      </c>
      <c r="E591" s="72" t="s">
        <v>30</v>
      </c>
      <c r="G591" s="72" t="s">
        <v>30</v>
      </c>
      <c r="H591" s="72" t="s">
        <v>30</v>
      </c>
      <c r="I591" s="31"/>
    </row>
    <row r="592">
      <c r="B592" s="72" t="s">
        <v>30</v>
      </c>
      <c r="C592" s="73" t="s">
        <v>30</v>
      </c>
      <c r="D592" s="72" t="s">
        <v>30</v>
      </c>
      <c r="E592" s="72" t="s">
        <v>30</v>
      </c>
      <c r="G592" s="72" t="s">
        <v>30</v>
      </c>
      <c r="H592" s="72" t="s">
        <v>30</v>
      </c>
      <c r="I592" s="31"/>
    </row>
    <row r="593">
      <c r="B593" s="72" t="s">
        <v>30</v>
      </c>
      <c r="C593" s="73" t="s">
        <v>30</v>
      </c>
      <c r="D593" s="72" t="s">
        <v>30</v>
      </c>
      <c r="E593" s="72" t="s">
        <v>30</v>
      </c>
      <c r="G593" s="72" t="s">
        <v>30</v>
      </c>
      <c r="H593" s="72" t="s">
        <v>30</v>
      </c>
      <c r="I593" s="31"/>
    </row>
    <row r="594">
      <c r="B594" s="72" t="s">
        <v>30</v>
      </c>
      <c r="C594" s="73" t="s">
        <v>30</v>
      </c>
      <c r="D594" s="72" t="s">
        <v>30</v>
      </c>
      <c r="E594" s="72" t="s">
        <v>30</v>
      </c>
      <c r="G594" s="72" t="s">
        <v>30</v>
      </c>
      <c r="H594" s="72" t="s">
        <v>30</v>
      </c>
      <c r="I594" s="31"/>
    </row>
    <row r="595">
      <c r="B595" s="72" t="s">
        <v>30</v>
      </c>
      <c r="C595" s="73" t="s">
        <v>30</v>
      </c>
      <c r="D595" s="72" t="s">
        <v>30</v>
      </c>
      <c r="E595" s="72" t="s">
        <v>30</v>
      </c>
      <c r="G595" s="72" t="s">
        <v>30</v>
      </c>
      <c r="H595" s="72" t="s">
        <v>30</v>
      </c>
      <c r="I595" s="31"/>
    </row>
    <row r="596">
      <c r="B596" s="72" t="s">
        <v>30</v>
      </c>
      <c r="C596" s="73" t="s">
        <v>30</v>
      </c>
      <c r="D596" s="72" t="s">
        <v>30</v>
      </c>
      <c r="E596" s="72" t="s">
        <v>30</v>
      </c>
      <c r="G596" s="72" t="s">
        <v>30</v>
      </c>
      <c r="H596" s="72" t="s">
        <v>30</v>
      </c>
      <c r="I596" s="31"/>
    </row>
    <row r="597">
      <c r="B597" s="72" t="s">
        <v>30</v>
      </c>
      <c r="C597" s="73" t="s">
        <v>30</v>
      </c>
      <c r="D597" s="72" t="s">
        <v>30</v>
      </c>
      <c r="E597" s="72" t="s">
        <v>30</v>
      </c>
      <c r="G597" s="72" t="s">
        <v>30</v>
      </c>
      <c r="H597" s="72" t="s">
        <v>30</v>
      </c>
      <c r="I597" s="31"/>
    </row>
    <row r="598">
      <c r="B598" s="72" t="s">
        <v>30</v>
      </c>
      <c r="C598" s="73" t="s">
        <v>30</v>
      </c>
      <c r="D598" s="72" t="s">
        <v>30</v>
      </c>
      <c r="E598" s="72" t="s">
        <v>30</v>
      </c>
      <c r="G598" s="72" t="s">
        <v>30</v>
      </c>
      <c r="H598" s="72" t="s">
        <v>30</v>
      </c>
      <c r="I598" s="31"/>
    </row>
    <row r="599">
      <c r="B599" s="72" t="s">
        <v>30</v>
      </c>
      <c r="C599" s="73" t="s">
        <v>30</v>
      </c>
      <c r="D599" s="72" t="s">
        <v>30</v>
      </c>
      <c r="E599" s="72" t="s">
        <v>30</v>
      </c>
      <c r="G599" s="72" t="s">
        <v>30</v>
      </c>
      <c r="H599" s="72" t="s">
        <v>30</v>
      </c>
      <c r="I599" s="31"/>
    </row>
    <row r="600">
      <c r="B600" s="72" t="s">
        <v>30</v>
      </c>
      <c r="C600" s="73" t="s">
        <v>30</v>
      </c>
      <c r="D600" s="72" t="s">
        <v>30</v>
      </c>
      <c r="E600" s="72" t="s">
        <v>30</v>
      </c>
      <c r="G600" s="72" t="s">
        <v>30</v>
      </c>
      <c r="H600" s="72" t="s">
        <v>30</v>
      </c>
      <c r="I600" s="31"/>
    </row>
    <row r="601">
      <c r="B601" s="72" t="s">
        <v>30</v>
      </c>
      <c r="C601" s="73" t="s">
        <v>30</v>
      </c>
      <c r="D601" s="72" t="s">
        <v>30</v>
      </c>
      <c r="E601" s="72" t="s">
        <v>30</v>
      </c>
      <c r="G601" s="72" t="s">
        <v>30</v>
      </c>
      <c r="H601" s="72" t="s">
        <v>30</v>
      </c>
      <c r="I601" s="31"/>
    </row>
    <row r="602">
      <c r="B602" s="72" t="s">
        <v>30</v>
      </c>
      <c r="C602" s="73" t="s">
        <v>30</v>
      </c>
      <c r="D602" s="72" t="s">
        <v>30</v>
      </c>
      <c r="E602" s="72" t="s">
        <v>30</v>
      </c>
      <c r="G602" s="72" t="s">
        <v>30</v>
      </c>
      <c r="H602" s="72" t="s">
        <v>30</v>
      </c>
      <c r="I602" s="31"/>
    </row>
    <row r="603">
      <c r="B603" s="72" t="s">
        <v>30</v>
      </c>
      <c r="C603" s="73" t="s">
        <v>30</v>
      </c>
      <c r="D603" s="72" t="s">
        <v>30</v>
      </c>
      <c r="E603" s="72" t="s">
        <v>30</v>
      </c>
      <c r="G603" s="72" t="s">
        <v>30</v>
      </c>
      <c r="H603" s="72" t="s">
        <v>30</v>
      </c>
      <c r="I603" s="31"/>
    </row>
    <row r="604">
      <c r="B604" s="72" t="s">
        <v>30</v>
      </c>
      <c r="C604" s="73" t="s">
        <v>30</v>
      </c>
      <c r="D604" s="72" t="s">
        <v>30</v>
      </c>
      <c r="E604" s="72" t="s">
        <v>30</v>
      </c>
      <c r="G604" s="72" t="s">
        <v>30</v>
      </c>
      <c r="H604" s="72" t="s">
        <v>30</v>
      </c>
      <c r="I604" s="31"/>
    </row>
    <row r="605">
      <c r="B605" s="72" t="s">
        <v>30</v>
      </c>
      <c r="C605" s="73" t="s">
        <v>30</v>
      </c>
      <c r="D605" s="72" t="s">
        <v>30</v>
      </c>
      <c r="E605" s="72" t="s">
        <v>30</v>
      </c>
      <c r="G605" s="72" t="s">
        <v>30</v>
      </c>
      <c r="H605" s="72" t="s">
        <v>30</v>
      </c>
      <c r="I605" s="31"/>
    </row>
    <row r="606">
      <c r="B606" s="72" t="s">
        <v>30</v>
      </c>
      <c r="C606" s="73" t="s">
        <v>30</v>
      </c>
      <c r="D606" s="72" t="s">
        <v>30</v>
      </c>
      <c r="E606" s="72" t="s">
        <v>30</v>
      </c>
      <c r="G606" s="72" t="s">
        <v>30</v>
      </c>
      <c r="H606" s="72" t="s">
        <v>30</v>
      </c>
      <c r="I606" s="31"/>
    </row>
    <row r="607">
      <c r="B607" s="72" t="s">
        <v>30</v>
      </c>
      <c r="C607" s="73" t="s">
        <v>30</v>
      </c>
      <c r="D607" s="72" t="s">
        <v>30</v>
      </c>
      <c r="E607" s="72" t="s">
        <v>30</v>
      </c>
      <c r="G607" s="72" t="s">
        <v>30</v>
      </c>
      <c r="H607" s="72" t="s">
        <v>30</v>
      </c>
      <c r="I607" s="31"/>
    </row>
    <row r="608">
      <c r="B608" s="72" t="s">
        <v>30</v>
      </c>
      <c r="C608" s="73" t="s">
        <v>30</v>
      </c>
      <c r="D608" s="72" t="s">
        <v>30</v>
      </c>
      <c r="E608" s="72" t="s">
        <v>30</v>
      </c>
      <c r="G608" s="72" t="s">
        <v>30</v>
      </c>
      <c r="H608" s="72" t="s">
        <v>30</v>
      </c>
      <c r="I608" s="31"/>
    </row>
    <row r="609">
      <c r="B609" s="72" t="s">
        <v>30</v>
      </c>
      <c r="C609" s="73" t="s">
        <v>30</v>
      </c>
      <c r="D609" s="72" t="s">
        <v>30</v>
      </c>
      <c r="E609" s="72" t="s">
        <v>30</v>
      </c>
      <c r="G609" s="72" t="s">
        <v>30</v>
      </c>
      <c r="H609" s="72" t="s">
        <v>30</v>
      </c>
      <c r="I609" s="31"/>
    </row>
    <row r="610">
      <c r="B610" s="72" t="s">
        <v>30</v>
      </c>
      <c r="C610" s="73" t="s">
        <v>30</v>
      </c>
      <c r="D610" s="72" t="s">
        <v>30</v>
      </c>
      <c r="E610" s="72" t="s">
        <v>30</v>
      </c>
      <c r="G610" s="72" t="s">
        <v>30</v>
      </c>
      <c r="H610" s="72" t="s">
        <v>30</v>
      </c>
      <c r="I610" s="31"/>
    </row>
    <row r="611">
      <c r="B611" s="72" t="s">
        <v>30</v>
      </c>
      <c r="C611" s="73" t="s">
        <v>30</v>
      </c>
      <c r="D611" s="72" t="s">
        <v>30</v>
      </c>
      <c r="E611" s="72" t="s">
        <v>30</v>
      </c>
      <c r="G611" s="72" t="s">
        <v>30</v>
      </c>
      <c r="H611" s="72" t="s">
        <v>30</v>
      </c>
      <c r="I611" s="31"/>
    </row>
    <row r="612">
      <c r="B612" s="72" t="s">
        <v>30</v>
      </c>
      <c r="C612" s="73" t="s">
        <v>30</v>
      </c>
      <c r="D612" s="72" t="s">
        <v>30</v>
      </c>
      <c r="E612" s="72" t="s">
        <v>30</v>
      </c>
      <c r="G612" s="72" t="s">
        <v>30</v>
      </c>
      <c r="H612" s="72" t="s">
        <v>30</v>
      </c>
      <c r="I612" s="31"/>
    </row>
    <row r="613">
      <c r="B613" s="72" t="s">
        <v>30</v>
      </c>
      <c r="C613" s="73" t="s">
        <v>30</v>
      </c>
      <c r="D613" s="72" t="s">
        <v>30</v>
      </c>
      <c r="E613" s="72" t="s">
        <v>30</v>
      </c>
      <c r="G613" s="72" t="s">
        <v>30</v>
      </c>
      <c r="H613" s="72" t="s">
        <v>30</v>
      </c>
      <c r="I613" s="31"/>
    </row>
    <row r="614">
      <c r="B614" s="72" t="s">
        <v>30</v>
      </c>
      <c r="C614" s="73" t="s">
        <v>30</v>
      </c>
      <c r="D614" s="72" t="s">
        <v>30</v>
      </c>
      <c r="E614" s="72" t="s">
        <v>30</v>
      </c>
      <c r="G614" s="72" t="s">
        <v>30</v>
      </c>
      <c r="H614" s="72" t="s">
        <v>30</v>
      </c>
      <c r="I614" s="31"/>
    </row>
    <row r="615">
      <c r="B615" s="72" t="s">
        <v>30</v>
      </c>
      <c r="C615" s="73" t="s">
        <v>30</v>
      </c>
      <c r="D615" s="72" t="s">
        <v>30</v>
      </c>
      <c r="E615" s="72" t="s">
        <v>30</v>
      </c>
      <c r="G615" s="72" t="s">
        <v>30</v>
      </c>
      <c r="H615" s="72" t="s">
        <v>30</v>
      </c>
      <c r="I615" s="31"/>
    </row>
    <row r="616">
      <c r="B616" s="72" t="s">
        <v>30</v>
      </c>
      <c r="C616" s="73" t="s">
        <v>30</v>
      </c>
      <c r="D616" s="72" t="s">
        <v>30</v>
      </c>
      <c r="E616" s="72" t="s">
        <v>30</v>
      </c>
      <c r="G616" s="72" t="s">
        <v>30</v>
      </c>
      <c r="H616" s="72" t="s">
        <v>30</v>
      </c>
      <c r="I616" s="31"/>
    </row>
    <row r="617">
      <c r="B617" s="72" t="s">
        <v>30</v>
      </c>
      <c r="C617" s="73" t="s">
        <v>30</v>
      </c>
      <c r="D617" s="72" t="s">
        <v>30</v>
      </c>
      <c r="E617" s="72" t="s">
        <v>30</v>
      </c>
      <c r="G617" s="72" t="s">
        <v>30</v>
      </c>
      <c r="H617" s="72" t="s">
        <v>30</v>
      </c>
      <c r="I617" s="31"/>
    </row>
    <row r="618">
      <c r="B618" s="72" t="s">
        <v>30</v>
      </c>
      <c r="C618" s="73" t="s">
        <v>30</v>
      </c>
      <c r="D618" s="72" t="s">
        <v>30</v>
      </c>
      <c r="E618" s="72" t="s">
        <v>30</v>
      </c>
      <c r="G618" s="72" t="s">
        <v>30</v>
      </c>
      <c r="H618" s="72" t="s">
        <v>30</v>
      </c>
      <c r="I618" s="31"/>
    </row>
    <row r="619">
      <c r="B619" s="72" t="s">
        <v>30</v>
      </c>
      <c r="C619" s="73" t="s">
        <v>30</v>
      </c>
      <c r="D619" s="72" t="s">
        <v>30</v>
      </c>
      <c r="E619" s="72" t="s">
        <v>30</v>
      </c>
      <c r="G619" s="72" t="s">
        <v>30</v>
      </c>
      <c r="H619" s="72" t="s">
        <v>30</v>
      </c>
      <c r="I619" s="31"/>
    </row>
    <row r="620">
      <c r="B620" s="72" t="s">
        <v>30</v>
      </c>
      <c r="C620" s="73" t="s">
        <v>30</v>
      </c>
      <c r="D620" s="72" t="s">
        <v>30</v>
      </c>
      <c r="E620" s="72" t="s">
        <v>30</v>
      </c>
      <c r="G620" s="72" t="s">
        <v>30</v>
      </c>
      <c r="H620" s="72" t="s">
        <v>30</v>
      </c>
      <c r="I620" s="31"/>
    </row>
    <row r="621">
      <c r="B621" s="72" t="s">
        <v>30</v>
      </c>
      <c r="C621" s="73" t="s">
        <v>30</v>
      </c>
      <c r="D621" s="72" t="s">
        <v>30</v>
      </c>
      <c r="E621" s="72" t="s">
        <v>30</v>
      </c>
      <c r="G621" s="72" t="s">
        <v>30</v>
      </c>
      <c r="H621" s="72" t="s">
        <v>30</v>
      </c>
      <c r="I621" s="31"/>
    </row>
    <row r="622">
      <c r="B622" s="72" t="s">
        <v>30</v>
      </c>
      <c r="C622" s="73" t="s">
        <v>30</v>
      </c>
      <c r="D622" s="72" t="s">
        <v>30</v>
      </c>
      <c r="E622" s="72" t="s">
        <v>30</v>
      </c>
      <c r="G622" s="72" t="s">
        <v>30</v>
      </c>
      <c r="H622" s="72" t="s">
        <v>30</v>
      </c>
      <c r="I622" s="31"/>
    </row>
    <row r="623">
      <c r="B623" s="72" t="s">
        <v>30</v>
      </c>
      <c r="C623" s="73" t="s">
        <v>30</v>
      </c>
      <c r="D623" s="72" t="s">
        <v>30</v>
      </c>
      <c r="E623" s="72" t="s">
        <v>30</v>
      </c>
      <c r="G623" s="72" t="s">
        <v>30</v>
      </c>
      <c r="H623" s="72" t="s">
        <v>30</v>
      </c>
      <c r="I623" s="31"/>
    </row>
    <row r="624">
      <c r="B624" s="72" t="s">
        <v>30</v>
      </c>
      <c r="C624" s="73" t="s">
        <v>30</v>
      </c>
      <c r="D624" s="72" t="s">
        <v>30</v>
      </c>
      <c r="E624" s="72" t="s">
        <v>30</v>
      </c>
      <c r="G624" s="72" t="s">
        <v>30</v>
      </c>
      <c r="H624" s="72" t="s">
        <v>30</v>
      </c>
      <c r="I624" s="31"/>
    </row>
    <row r="625">
      <c r="B625" s="72" t="s">
        <v>30</v>
      </c>
      <c r="C625" s="73" t="s">
        <v>30</v>
      </c>
      <c r="D625" s="72" t="s">
        <v>30</v>
      </c>
      <c r="E625" s="72" t="s">
        <v>30</v>
      </c>
      <c r="G625" s="72" t="s">
        <v>30</v>
      </c>
      <c r="H625" s="72" t="s">
        <v>30</v>
      </c>
      <c r="I625" s="31"/>
    </row>
    <row r="626">
      <c r="B626" s="72" t="s">
        <v>30</v>
      </c>
      <c r="C626" s="73" t="s">
        <v>30</v>
      </c>
      <c r="D626" s="72" t="s">
        <v>30</v>
      </c>
      <c r="E626" s="72" t="s">
        <v>30</v>
      </c>
      <c r="G626" s="72" t="s">
        <v>30</v>
      </c>
      <c r="H626" s="72" t="s">
        <v>30</v>
      </c>
      <c r="I626" s="31"/>
    </row>
    <row r="627">
      <c r="B627" s="72" t="s">
        <v>30</v>
      </c>
      <c r="C627" s="73" t="s">
        <v>30</v>
      </c>
      <c r="D627" s="72" t="s">
        <v>30</v>
      </c>
      <c r="E627" s="72" t="s">
        <v>30</v>
      </c>
      <c r="G627" s="72" t="s">
        <v>30</v>
      </c>
      <c r="H627" s="72" t="s">
        <v>30</v>
      </c>
      <c r="I627" s="31"/>
    </row>
    <row r="628">
      <c r="B628" s="72" t="s">
        <v>30</v>
      </c>
      <c r="C628" s="73" t="s">
        <v>30</v>
      </c>
      <c r="D628" s="72" t="s">
        <v>30</v>
      </c>
      <c r="E628" s="72" t="s">
        <v>30</v>
      </c>
      <c r="G628" s="72" t="s">
        <v>30</v>
      </c>
      <c r="H628" s="72" t="s">
        <v>30</v>
      </c>
      <c r="I628" s="31"/>
    </row>
    <row r="629">
      <c r="B629" s="72" t="s">
        <v>30</v>
      </c>
      <c r="C629" s="73" t="s">
        <v>30</v>
      </c>
      <c r="D629" s="72" t="s">
        <v>30</v>
      </c>
      <c r="E629" s="72" t="s">
        <v>30</v>
      </c>
      <c r="G629" s="72" t="s">
        <v>30</v>
      </c>
      <c r="H629" s="72" t="s">
        <v>30</v>
      </c>
      <c r="I629" s="31"/>
    </row>
    <row r="630">
      <c r="B630" s="72" t="s">
        <v>30</v>
      </c>
      <c r="C630" s="73" t="s">
        <v>30</v>
      </c>
      <c r="D630" s="72" t="s">
        <v>30</v>
      </c>
      <c r="E630" s="72" t="s">
        <v>30</v>
      </c>
      <c r="G630" s="72" t="s">
        <v>30</v>
      </c>
      <c r="H630" s="72" t="s">
        <v>30</v>
      </c>
      <c r="I630" s="31"/>
    </row>
    <row r="631">
      <c r="B631" s="72" t="s">
        <v>30</v>
      </c>
      <c r="C631" s="73" t="s">
        <v>30</v>
      </c>
      <c r="D631" s="72" t="s">
        <v>30</v>
      </c>
      <c r="E631" s="72" t="s">
        <v>30</v>
      </c>
      <c r="G631" s="72" t="s">
        <v>30</v>
      </c>
      <c r="H631" s="72" t="s">
        <v>30</v>
      </c>
      <c r="I631" s="31"/>
    </row>
    <row r="632">
      <c r="B632" s="72" t="s">
        <v>30</v>
      </c>
      <c r="C632" s="73" t="s">
        <v>30</v>
      </c>
      <c r="D632" s="72" t="s">
        <v>30</v>
      </c>
      <c r="E632" s="72" t="s">
        <v>30</v>
      </c>
      <c r="G632" s="72" t="s">
        <v>30</v>
      </c>
      <c r="H632" s="72" t="s">
        <v>30</v>
      </c>
      <c r="I632" s="31"/>
    </row>
    <row r="633">
      <c r="B633" s="72" t="s">
        <v>30</v>
      </c>
      <c r="C633" s="73" t="s">
        <v>30</v>
      </c>
      <c r="D633" s="72" t="s">
        <v>30</v>
      </c>
      <c r="E633" s="72" t="s">
        <v>30</v>
      </c>
      <c r="G633" s="72" t="s">
        <v>30</v>
      </c>
      <c r="H633" s="72" t="s">
        <v>30</v>
      </c>
      <c r="I633" s="31"/>
    </row>
    <row r="634">
      <c r="B634" s="72" t="s">
        <v>30</v>
      </c>
      <c r="C634" s="73" t="s">
        <v>30</v>
      </c>
      <c r="D634" s="72" t="s">
        <v>30</v>
      </c>
      <c r="E634" s="72" t="s">
        <v>30</v>
      </c>
      <c r="G634" s="72" t="s">
        <v>30</v>
      </c>
      <c r="H634" s="72" t="s">
        <v>30</v>
      </c>
      <c r="I634" s="31"/>
    </row>
    <row r="635">
      <c r="B635" s="72" t="s">
        <v>30</v>
      </c>
      <c r="C635" s="73" t="s">
        <v>30</v>
      </c>
      <c r="D635" s="72" t="s">
        <v>30</v>
      </c>
      <c r="E635" s="72" t="s">
        <v>30</v>
      </c>
      <c r="G635" s="72" t="s">
        <v>30</v>
      </c>
      <c r="H635" s="72" t="s">
        <v>30</v>
      </c>
      <c r="I635" s="31"/>
    </row>
    <row r="636">
      <c r="B636" s="72" t="s">
        <v>30</v>
      </c>
      <c r="C636" s="73" t="s">
        <v>30</v>
      </c>
      <c r="D636" s="72" t="s">
        <v>30</v>
      </c>
      <c r="E636" s="72" t="s">
        <v>30</v>
      </c>
      <c r="G636" s="72" t="s">
        <v>30</v>
      </c>
      <c r="H636" s="72" t="s">
        <v>30</v>
      </c>
      <c r="I636" s="31"/>
    </row>
    <row r="637">
      <c r="B637" s="72" t="s">
        <v>30</v>
      </c>
      <c r="C637" s="73" t="s">
        <v>30</v>
      </c>
      <c r="D637" s="72" t="s">
        <v>30</v>
      </c>
      <c r="E637" s="72" t="s">
        <v>30</v>
      </c>
      <c r="G637" s="72" t="s">
        <v>30</v>
      </c>
      <c r="H637" s="72" t="s">
        <v>30</v>
      </c>
      <c r="I637" s="31"/>
    </row>
    <row r="638">
      <c r="B638" s="72" t="s">
        <v>30</v>
      </c>
      <c r="C638" s="73" t="s">
        <v>30</v>
      </c>
      <c r="D638" s="72" t="s">
        <v>30</v>
      </c>
      <c r="E638" s="72" t="s">
        <v>30</v>
      </c>
      <c r="G638" s="72" t="s">
        <v>30</v>
      </c>
      <c r="H638" s="72" t="s">
        <v>30</v>
      </c>
      <c r="I638" s="31"/>
    </row>
    <row r="639">
      <c r="B639" s="72" t="s">
        <v>30</v>
      </c>
      <c r="C639" s="73" t="s">
        <v>30</v>
      </c>
      <c r="D639" s="72" t="s">
        <v>30</v>
      </c>
      <c r="E639" s="72" t="s">
        <v>30</v>
      </c>
      <c r="G639" s="72" t="s">
        <v>30</v>
      </c>
      <c r="H639" s="72" t="s">
        <v>30</v>
      </c>
      <c r="I639" s="31"/>
    </row>
    <row r="640">
      <c r="B640" s="72" t="s">
        <v>30</v>
      </c>
      <c r="C640" s="73" t="s">
        <v>30</v>
      </c>
      <c r="D640" s="72" t="s">
        <v>30</v>
      </c>
      <c r="E640" s="72" t="s">
        <v>30</v>
      </c>
      <c r="G640" s="72" t="s">
        <v>30</v>
      </c>
      <c r="H640" s="72" t="s">
        <v>30</v>
      </c>
      <c r="I640" s="31"/>
    </row>
    <row r="641">
      <c r="B641" s="72" t="s">
        <v>30</v>
      </c>
      <c r="C641" s="73" t="s">
        <v>30</v>
      </c>
      <c r="D641" s="72" t="s">
        <v>30</v>
      </c>
      <c r="E641" s="72" t="s">
        <v>30</v>
      </c>
      <c r="G641" s="72" t="s">
        <v>30</v>
      </c>
      <c r="H641" s="72" t="s">
        <v>30</v>
      </c>
      <c r="I641" s="31"/>
    </row>
    <row r="642">
      <c r="B642" s="72" t="s">
        <v>30</v>
      </c>
      <c r="C642" s="73" t="s">
        <v>30</v>
      </c>
      <c r="D642" s="72" t="s">
        <v>30</v>
      </c>
      <c r="E642" s="72" t="s">
        <v>30</v>
      </c>
      <c r="G642" s="72" t="s">
        <v>30</v>
      </c>
      <c r="H642" s="72" t="s">
        <v>30</v>
      </c>
      <c r="I642" s="31"/>
    </row>
    <row r="643">
      <c r="B643" s="72" t="s">
        <v>30</v>
      </c>
      <c r="C643" s="73" t="s">
        <v>30</v>
      </c>
      <c r="D643" s="72" t="s">
        <v>30</v>
      </c>
      <c r="E643" s="72" t="s">
        <v>30</v>
      </c>
      <c r="G643" s="72" t="s">
        <v>30</v>
      </c>
      <c r="H643" s="72" t="s">
        <v>30</v>
      </c>
      <c r="I643" s="31"/>
    </row>
    <row r="644">
      <c r="B644" s="72" t="s">
        <v>30</v>
      </c>
      <c r="C644" s="73" t="s">
        <v>30</v>
      </c>
      <c r="D644" s="72" t="s">
        <v>30</v>
      </c>
      <c r="E644" s="72" t="s">
        <v>30</v>
      </c>
      <c r="G644" s="72" t="s">
        <v>30</v>
      </c>
      <c r="H644" s="72" t="s">
        <v>30</v>
      </c>
      <c r="I644" s="31"/>
    </row>
    <row r="645">
      <c r="B645" s="72" t="s">
        <v>30</v>
      </c>
      <c r="C645" s="73" t="s">
        <v>30</v>
      </c>
      <c r="D645" s="72" t="s">
        <v>30</v>
      </c>
      <c r="E645" s="72" t="s">
        <v>30</v>
      </c>
      <c r="G645" s="72" t="s">
        <v>30</v>
      </c>
      <c r="H645" s="72" t="s">
        <v>30</v>
      </c>
      <c r="I645" s="31"/>
    </row>
    <row r="646">
      <c r="B646" s="72" t="s">
        <v>30</v>
      </c>
      <c r="C646" s="73" t="s">
        <v>30</v>
      </c>
      <c r="D646" s="72" t="s">
        <v>30</v>
      </c>
      <c r="E646" s="72" t="s">
        <v>30</v>
      </c>
      <c r="G646" s="72" t="s">
        <v>30</v>
      </c>
      <c r="H646" s="72" t="s">
        <v>30</v>
      </c>
      <c r="I646" s="31"/>
    </row>
    <row r="647">
      <c r="B647" s="72" t="s">
        <v>30</v>
      </c>
      <c r="C647" s="73" t="s">
        <v>30</v>
      </c>
      <c r="D647" s="72" t="s">
        <v>30</v>
      </c>
      <c r="E647" s="72" t="s">
        <v>30</v>
      </c>
      <c r="G647" s="72" t="s">
        <v>30</v>
      </c>
      <c r="H647" s="72" t="s">
        <v>30</v>
      </c>
      <c r="I647" s="31"/>
    </row>
    <row r="648">
      <c r="B648" s="72" t="s">
        <v>30</v>
      </c>
      <c r="C648" s="73" t="s">
        <v>30</v>
      </c>
      <c r="D648" s="72" t="s">
        <v>30</v>
      </c>
      <c r="E648" s="72" t="s">
        <v>30</v>
      </c>
      <c r="G648" s="72" t="s">
        <v>30</v>
      </c>
      <c r="H648" s="72" t="s">
        <v>30</v>
      </c>
      <c r="I648" s="31"/>
    </row>
    <row r="649">
      <c r="B649" s="72" t="s">
        <v>30</v>
      </c>
      <c r="C649" s="73" t="s">
        <v>30</v>
      </c>
      <c r="D649" s="72" t="s">
        <v>30</v>
      </c>
      <c r="E649" s="72" t="s">
        <v>30</v>
      </c>
      <c r="G649" s="72" t="s">
        <v>30</v>
      </c>
      <c r="H649" s="72" t="s">
        <v>30</v>
      </c>
      <c r="I649" s="31"/>
    </row>
    <row r="650">
      <c r="B650" s="72" t="s">
        <v>30</v>
      </c>
      <c r="C650" s="73" t="s">
        <v>30</v>
      </c>
      <c r="D650" s="72" t="s">
        <v>30</v>
      </c>
      <c r="E650" s="72" t="s">
        <v>30</v>
      </c>
      <c r="G650" s="72" t="s">
        <v>30</v>
      </c>
      <c r="H650" s="72" t="s">
        <v>30</v>
      </c>
      <c r="I650" s="31"/>
    </row>
    <row r="651">
      <c r="B651" s="72" t="s">
        <v>30</v>
      </c>
      <c r="C651" s="73" t="s">
        <v>30</v>
      </c>
      <c r="D651" s="72" t="s">
        <v>30</v>
      </c>
      <c r="E651" s="72" t="s">
        <v>30</v>
      </c>
      <c r="G651" s="72" t="s">
        <v>30</v>
      </c>
      <c r="H651" s="72" t="s">
        <v>30</v>
      </c>
      <c r="I651" s="31"/>
    </row>
    <row r="652">
      <c r="B652" s="72" t="s">
        <v>30</v>
      </c>
      <c r="C652" s="73" t="s">
        <v>30</v>
      </c>
      <c r="D652" s="72" t="s">
        <v>30</v>
      </c>
      <c r="E652" s="72" t="s">
        <v>30</v>
      </c>
      <c r="G652" s="72" t="s">
        <v>30</v>
      </c>
      <c r="H652" s="72" t="s">
        <v>30</v>
      </c>
      <c r="I652" s="31"/>
    </row>
    <row r="653">
      <c r="B653" s="72" t="s">
        <v>30</v>
      </c>
      <c r="C653" s="73" t="s">
        <v>30</v>
      </c>
      <c r="D653" s="72" t="s">
        <v>30</v>
      </c>
      <c r="E653" s="72" t="s">
        <v>30</v>
      </c>
      <c r="G653" s="72" t="s">
        <v>30</v>
      </c>
      <c r="H653" s="72" t="s">
        <v>30</v>
      </c>
      <c r="I653" s="31"/>
    </row>
    <row r="654">
      <c r="B654" s="72" t="s">
        <v>30</v>
      </c>
      <c r="C654" s="73" t="s">
        <v>30</v>
      </c>
      <c r="D654" s="72" t="s">
        <v>30</v>
      </c>
      <c r="E654" s="72" t="s">
        <v>30</v>
      </c>
      <c r="G654" s="72" t="s">
        <v>30</v>
      </c>
      <c r="H654" s="72" t="s">
        <v>30</v>
      </c>
      <c r="I654" s="31"/>
    </row>
    <row r="655">
      <c r="B655" s="72" t="s">
        <v>30</v>
      </c>
      <c r="C655" s="73" t="s">
        <v>30</v>
      </c>
      <c r="D655" s="72" t="s">
        <v>30</v>
      </c>
      <c r="E655" s="72" t="s">
        <v>30</v>
      </c>
      <c r="G655" s="72" t="s">
        <v>30</v>
      </c>
      <c r="H655" s="72" t="s">
        <v>30</v>
      </c>
      <c r="I655" s="31"/>
    </row>
    <row r="656">
      <c r="B656" s="72" t="s">
        <v>30</v>
      </c>
      <c r="C656" s="73" t="s">
        <v>30</v>
      </c>
      <c r="D656" s="72" t="s">
        <v>30</v>
      </c>
      <c r="E656" s="72" t="s">
        <v>30</v>
      </c>
      <c r="G656" s="72" t="s">
        <v>30</v>
      </c>
      <c r="H656" s="72" t="s">
        <v>30</v>
      </c>
      <c r="I656" s="31"/>
    </row>
    <row r="657">
      <c r="B657" s="72" t="s">
        <v>30</v>
      </c>
      <c r="C657" s="73" t="s">
        <v>30</v>
      </c>
      <c r="D657" s="72" t="s">
        <v>30</v>
      </c>
      <c r="E657" s="72" t="s">
        <v>30</v>
      </c>
      <c r="G657" s="72" t="s">
        <v>30</v>
      </c>
      <c r="H657" s="72" t="s">
        <v>30</v>
      </c>
      <c r="I657" s="31"/>
    </row>
    <row r="658">
      <c r="B658" s="72" t="s">
        <v>30</v>
      </c>
      <c r="C658" s="73" t="s">
        <v>30</v>
      </c>
      <c r="D658" s="72" t="s">
        <v>30</v>
      </c>
      <c r="E658" s="72" t="s">
        <v>30</v>
      </c>
      <c r="G658" s="72" t="s">
        <v>30</v>
      </c>
      <c r="H658" s="72" t="s">
        <v>30</v>
      </c>
      <c r="I658" s="31"/>
    </row>
    <row r="659">
      <c r="B659" s="72" t="s">
        <v>30</v>
      </c>
      <c r="C659" s="73" t="s">
        <v>30</v>
      </c>
      <c r="D659" s="72" t="s">
        <v>30</v>
      </c>
      <c r="E659" s="72" t="s">
        <v>30</v>
      </c>
      <c r="G659" s="72" t="s">
        <v>30</v>
      </c>
      <c r="H659" s="72" t="s">
        <v>30</v>
      </c>
      <c r="I659" s="31"/>
    </row>
    <row r="660">
      <c r="B660" s="72" t="s">
        <v>30</v>
      </c>
      <c r="C660" s="73" t="s">
        <v>30</v>
      </c>
      <c r="D660" s="72" t="s">
        <v>30</v>
      </c>
      <c r="E660" s="72" t="s">
        <v>30</v>
      </c>
      <c r="G660" s="72" t="s">
        <v>30</v>
      </c>
      <c r="H660" s="72" t="s">
        <v>30</v>
      </c>
      <c r="I660" s="31"/>
    </row>
    <row r="661">
      <c r="B661" s="72" t="s">
        <v>30</v>
      </c>
      <c r="C661" s="73" t="s">
        <v>30</v>
      </c>
      <c r="D661" s="72" t="s">
        <v>30</v>
      </c>
      <c r="E661" s="72" t="s">
        <v>30</v>
      </c>
      <c r="G661" s="72" t="s">
        <v>30</v>
      </c>
      <c r="H661" s="72" t="s">
        <v>30</v>
      </c>
      <c r="I661" s="31"/>
    </row>
    <row r="662">
      <c r="B662" s="72" t="s">
        <v>30</v>
      </c>
      <c r="C662" s="73" t="s">
        <v>30</v>
      </c>
      <c r="D662" s="72" t="s">
        <v>30</v>
      </c>
      <c r="E662" s="72" t="s">
        <v>30</v>
      </c>
      <c r="G662" s="72" t="s">
        <v>30</v>
      </c>
      <c r="H662" s="72" t="s">
        <v>30</v>
      </c>
      <c r="I662" s="31"/>
    </row>
    <row r="663">
      <c r="B663" s="72" t="s">
        <v>30</v>
      </c>
      <c r="C663" s="73" t="s">
        <v>30</v>
      </c>
      <c r="D663" s="72" t="s">
        <v>30</v>
      </c>
      <c r="E663" s="72" t="s">
        <v>30</v>
      </c>
      <c r="G663" s="72" t="s">
        <v>30</v>
      </c>
      <c r="H663" s="72" t="s">
        <v>30</v>
      </c>
      <c r="I663" s="31"/>
    </row>
    <row r="664">
      <c r="B664" s="72" t="s">
        <v>30</v>
      </c>
      <c r="C664" s="73" t="s">
        <v>30</v>
      </c>
      <c r="D664" s="72" t="s">
        <v>30</v>
      </c>
      <c r="E664" s="72" t="s">
        <v>30</v>
      </c>
      <c r="G664" s="72" t="s">
        <v>30</v>
      </c>
      <c r="H664" s="72" t="s">
        <v>30</v>
      </c>
      <c r="I664" s="31"/>
    </row>
    <row r="665">
      <c r="B665" s="72" t="s">
        <v>30</v>
      </c>
      <c r="C665" s="73" t="s">
        <v>30</v>
      </c>
      <c r="D665" s="72" t="s">
        <v>30</v>
      </c>
      <c r="E665" s="72" t="s">
        <v>30</v>
      </c>
      <c r="G665" s="72" t="s">
        <v>30</v>
      </c>
      <c r="H665" s="72" t="s">
        <v>30</v>
      </c>
      <c r="I665" s="31"/>
    </row>
    <row r="666">
      <c r="B666" s="72" t="s">
        <v>30</v>
      </c>
      <c r="C666" s="73" t="s">
        <v>30</v>
      </c>
      <c r="D666" s="72" t="s">
        <v>30</v>
      </c>
      <c r="E666" s="72" t="s">
        <v>30</v>
      </c>
      <c r="G666" s="72" t="s">
        <v>30</v>
      </c>
      <c r="H666" s="72" t="s">
        <v>30</v>
      </c>
      <c r="I666" s="31"/>
    </row>
    <row r="667">
      <c r="B667" s="72" t="s">
        <v>30</v>
      </c>
      <c r="C667" s="73" t="s">
        <v>30</v>
      </c>
      <c r="D667" s="72" t="s">
        <v>30</v>
      </c>
      <c r="E667" s="72" t="s">
        <v>30</v>
      </c>
      <c r="G667" s="72" t="s">
        <v>30</v>
      </c>
      <c r="H667" s="72" t="s">
        <v>30</v>
      </c>
      <c r="I667" s="31"/>
    </row>
    <row r="668">
      <c r="B668" s="72" t="s">
        <v>30</v>
      </c>
      <c r="C668" s="73" t="s">
        <v>30</v>
      </c>
      <c r="D668" s="72" t="s">
        <v>30</v>
      </c>
      <c r="E668" s="72" t="s">
        <v>30</v>
      </c>
      <c r="G668" s="72" t="s">
        <v>30</v>
      </c>
      <c r="H668" s="72" t="s">
        <v>30</v>
      </c>
      <c r="I668" s="31"/>
    </row>
    <row r="669">
      <c r="B669" s="72" t="s">
        <v>30</v>
      </c>
      <c r="C669" s="73" t="s">
        <v>30</v>
      </c>
      <c r="D669" s="72" t="s">
        <v>30</v>
      </c>
      <c r="E669" s="72" t="s">
        <v>30</v>
      </c>
      <c r="G669" s="72" t="s">
        <v>30</v>
      </c>
      <c r="H669" s="72" t="s">
        <v>30</v>
      </c>
      <c r="I669" s="31"/>
    </row>
    <row r="670">
      <c r="B670" s="72" t="s">
        <v>30</v>
      </c>
      <c r="C670" s="73" t="s">
        <v>30</v>
      </c>
      <c r="D670" s="72" t="s">
        <v>30</v>
      </c>
      <c r="E670" s="72" t="s">
        <v>30</v>
      </c>
      <c r="G670" s="72" t="s">
        <v>30</v>
      </c>
      <c r="H670" s="72" t="s">
        <v>30</v>
      </c>
      <c r="I670" s="31"/>
    </row>
    <row r="671">
      <c r="B671" s="72" t="s">
        <v>30</v>
      </c>
      <c r="C671" s="73" t="s">
        <v>30</v>
      </c>
      <c r="D671" s="72" t="s">
        <v>30</v>
      </c>
      <c r="E671" s="72" t="s">
        <v>30</v>
      </c>
      <c r="G671" s="72" t="s">
        <v>30</v>
      </c>
      <c r="H671" s="72" t="s">
        <v>30</v>
      </c>
      <c r="I671" s="31"/>
    </row>
    <row r="672">
      <c r="B672" s="72" t="s">
        <v>30</v>
      </c>
      <c r="C672" s="73" t="s">
        <v>30</v>
      </c>
      <c r="D672" s="72" t="s">
        <v>30</v>
      </c>
      <c r="E672" s="72" t="s">
        <v>30</v>
      </c>
      <c r="G672" s="72" t="s">
        <v>30</v>
      </c>
      <c r="H672" s="72" t="s">
        <v>30</v>
      </c>
      <c r="I672" s="31"/>
    </row>
    <row r="673">
      <c r="B673" s="72" t="s">
        <v>30</v>
      </c>
      <c r="C673" s="73" t="s">
        <v>30</v>
      </c>
      <c r="D673" s="72" t="s">
        <v>30</v>
      </c>
      <c r="E673" s="72" t="s">
        <v>30</v>
      </c>
      <c r="G673" s="72" t="s">
        <v>30</v>
      </c>
      <c r="H673" s="72" t="s">
        <v>30</v>
      </c>
      <c r="I673" s="31"/>
    </row>
    <row r="674">
      <c r="B674" s="72" t="s">
        <v>30</v>
      </c>
      <c r="C674" s="73" t="s">
        <v>30</v>
      </c>
      <c r="D674" s="72" t="s">
        <v>30</v>
      </c>
      <c r="E674" s="72" t="s">
        <v>30</v>
      </c>
      <c r="G674" s="72" t="s">
        <v>30</v>
      </c>
      <c r="H674" s="72" t="s">
        <v>30</v>
      </c>
      <c r="I674" s="31"/>
    </row>
    <row r="675">
      <c r="B675" s="72" t="s">
        <v>30</v>
      </c>
      <c r="C675" s="73" t="s">
        <v>30</v>
      </c>
      <c r="D675" s="72" t="s">
        <v>30</v>
      </c>
      <c r="E675" s="72" t="s">
        <v>30</v>
      </c>
      <c r="G675" s="72" t="s">
        <v>30</v>
      </c>
      <c r="H675" s="72" t="s">
        <v>30</v>
      </c>
      <c r="I675" s="31"/>
    </row>
    <row r="676">
      <c r="B676" s="72" t="s">
        <v>30</v>
      </c>
      <c r="C676" s="73" t="s">
        <v>30</v>
      </c>
      <c r="D676" s="72" t="s">
        <v>30</v>
      </c>
      <c r="E676" s="72" t="s">
        <v>30</v>
      </c>
      <c r="G676" s="72" t="s">
        <v>30</v>
      </c>
      <c r="H676" s="72" t="s">
        <v>30</v>
      </c>
      <c r="I676" s="31"/>
    </row>
    <row r="677">
      <c r="B677" s="72" t="s">
        <v>30</v>
      </c>
      <c r="C677" s="73" t="s">
        <v>30</v>
      </c>
      <c r="D677" s="72" t="s">
        <v>30</v>
      </c>
      <c r="E677" s="72" t="s">
        <v>30</v>
      </c>
      <c r="G677" s="72" t="s">
        <v>30</v>
      </c>
      <c r="H677" s="72" t="s">
        <v>30</v>
      </c>
      <c r="I677" s="31"/>
    </row>
    <row r="678">
      <c r="B678" s="72" t="s">
        <v>30</v>
      </c>
      <c r="C678" s="73" t="s">
        <v>30</v>
      </c>
      <c r="D678" s="72" t="s">
        <v>30</v>
      </c>
      <c r="E678" s="72" t="s">
        <v>30</v>
      </c>
      <c r="G678" s="72" t="s">
        <v>30</v>
      </c>
      <c r="H678" s="72" t="s">
        <v>30</v>
      </c>
      <c r="I678" s="31"/>
    </row>
    <row r="679">
      <c r="B679" s="72" t="s">
        <v>30</v>
      </c>
      <c r="C679" s="73" t="s">
        <v>30</v>
      </c>
      <c r="D679" s="72" t="s">
        <v>30</v>
      </c>
      <c r="E679" s="72" t="s">
        <v>30</v>
      </c>
      <c r="G679" s="72" t="s">
        <v>30</v>
      </c>
      <c r="H679" s="72" t="s">
        <v>30</v>
      </c>
      <c r="I679" s="31"/>
    </row>
    <row r="680">
      <c r="B680" s="72" t="s">
        <v>30</v>
      </c>
      <c r="C680" s="73" t="s">
        <v>30</v>
      </c>
      <c r="D680" s="72" t="s">
        <v>30</v>
      </c>
      <c r="E680" s="72" t="s">
        <v>30</v>
      </c>
      <c r="G680" s="72" t="s">
        <v>30</v>
      </c>
      <c r="H680" s="72" t="s">
        <v>30</v>
      </c>
      <c r="I680" s="31"/>
    </row>
    <row r="681">
      <c r="B681" s="72" t="s">
        <v>30</v>
      </c>
      <c r="C681" s="73" t="s">
        <v>30</v>
      </c>
      <c r="D681" s="72" t="s">
        <v>30</v>
      </c>
      <c r="E681" s="72" t="s">
        <v>30</v>
      </c>
      <c r="G681" s="72" t="s">
        <v>30</v>
      </c>
      <c r="H681" s="72" t="s">
        <v>30</v>
      </c>
      <c r="I681" s="31"/>
    </row>
    <row r="682">
      <c r="B682" s="72" t="s">
        <v>30</v>
      </c>
      <c r="C682" s="73" t="s">
        <v>30</v>
      </c>
      <c r="D682" s="72" t="s">
        <v>30</v>
      </c>
      <c r="E682" s="72" t="s">
        <v>30</v>
      </c>
      <c r="G682" s="72" t="s">
        <v>30</v>
      </c>
      <c r="H682" s="72" t="s">
        <v>30</v>
      </c>
      <c r="I682" s="31"/>
    </row>
    <row r="683">
      <c r="B683" s="72" t="s">
        <v>30</v>
      </c>
      <c r="C683" s="73" t="s">
        <v>30</v>
      </c>
      <c r="D683" s="72" t="s">
        <v>30</v>
      </c>
      <c r="E683" s="72" t="s">
        <v>30</v>
      </c>
      <c r="G683" s="72" t="s">
        <v>30</v>
      </c>
      <c r="H683" s="72" t="s">
        <v>30</v>
      </c>
      <c r="I683" s="31"/>
    </row>
    <row r="684">
      <c r="B684" s="72" t="s">
        <v>30</v>
      </c>
      <c r="C684" s="73" t="s">
        <v>30</v>
      </c>
      <c r="D684" s="72" t="s">
        <v>30</v>
      </c>
      <c r="E684" s="72" t="s">
        <v>30</v>
      </c>
      <c r="G684" s="72" t="s">
        <v>30</v>
      </c>
      <c r="H684" s="72" t="s">
        <v>30</v>
      </c>
      <c r="I684" s="31"/>
    </row>
    <row r="685">
      <c r="B685" s="72" t="s">
        <v>30</v>
      </c>
      <c r="C685" s="73" t="s">
        <v>30</v>
      </c>
      <c r="D685" s="72" t="s">
        <v>30</v>
      </c>
      <c r="E685" s="72" t="s">
        <v>30</v>
      </c>
      <c r="G685" s="72" t="s">
        <v>30</v>
      </c>
      <c r="H685" s="72" t="s">
        <v>30</v>
      </c>
      <c r="I685" s="31"/>
    </row>
    <row r="686">
      <c r="B686" s="72" t="s">
        <v>30</v>
      </c>
      <c r="C686" s="73" t="s">
        <v>30</v>
      </c>
      <c r="D686" s="72" t="s">
        <v>30</v>
      </c>
      <c r="E686" s="72" t="s">
        <v>30</v>
      </c>
      <c r="G686" s="72" t="s">
        <v>30</v>
      </c>
      <c r="H686" s="72" t="s">
        <v>30</v>
      </c>
      <c r="I686" s="31"/>
    </row>
    <row r="687">
      <c r="B687" s="72" t="s">
        <v>30</v>
      </c>
      <c r="C687" s="73" t="s">
        <v>30</v>
      </c>
      <c r="D687" s="72" t="s">
        <v>30</v>
      </c>
      <c r="E687" s="72" t="s">
        <v>30</v>
      </c>
      <c r="G687" s="72" t="s">
        <v>30</v>
      </c>
      <c r="H687" s="72" t="s">
        <v>30</v>
      </c>
      <c r="I687" s="31"/>
    </row>
    <row r="688">
      <c r="B688" s="72" t="s">
        <v>30</v>
      </c>
      <c r="C688" s="73" t="s">
        <v>30</v>
      </c>
      <c r="D688" s="72" t="s">
        <v>30</v>
      </c>
      <c r="E688" s="72" t="s">
        <v>30</v>
      </c>
      <c r="G688" s="72" t="s">
        <v>30</v>
      </c>
      <c r="H688" s="72" t="s">
        <v>30</v>
      </c>
      <c r="I688" s="31"/>
    </row>
    <row r="689">
      <c r="B689" s="72" t="s">
        <v>30</v>
      </c>
      <c r="C689" s="73" t="s">
        <v>30</v>
      </c>
      <c r="D689" s="72" t="s">
        <v>30</v>
      </c>
      <c r="E689" s="72" t="s">
        <v>30</v>
      </c>
      <c r="G689" s="72" t="s">
        <v>30</v>
      </c>
      <c r="H689" s="72" t="s">
        <v>30</v>
      </c>
      <c r="I689" s="31"/>
    </row>
    <row r="690">
      <c r="B690" s="72" t="s">
        <v>30</v>
      </c>
      <c r="C690" s="73" t="s">
        <v>30</v>
      </c>
      <c r="D690" s="72" t="s">
        <v>30</v>
      </c>
      <c r="E690" s="72" t="s">
        <v>30</v>
      </c>
      <c r="G690" s="72" t="s">
        <v>30</v>
      </c>
      <c r="H690" s="72" t="s">
        <v>30</v>
      </c>
      <c r="I690" s="31"/>
    </row>
    <row r="691">
      <c r="B691" s="72" t="s">
        <v>30</v>
      </c>
      <c r="C691" s="73" t="s">
        <v>30</v>
      </c>
      <c r="D691" s="72" t="s">
        <v>30</v>
      </c>
      <c r="E691" s="72" t="s">
        <v>30</v>
      </c>
      <c r="G691" s="72" t="s">
        <v>30</v>
      </c>
      <c r="H691" s="72" t="s">
        <v>30</v>
      </c>
      <c r="I691" s="31"/>
    </row>
    <row r="692">
      <c r="B692" s="72" t="s">
        <v>30</v>
      </c>
      <c r="C692" s="73" t="s">
        <v>30</v>
      </c>
      <c r="D692" s="72" t="s">
        <v>30</v>
      </c>
      <c r="E692" s="72" t="s">
        <v>30</v>
      </c>
      <c r="G692" s="72" t="s">
        <v>30</v>
      </c>
      <c r="H692" s="72" t="s">
        <v>30</v>
      </c>
      <c r="I692" s="31"/>
    </row>
    <row r="693">
      <c r="B693" s="72" t="s">
        <v>30</v>
      </c>
      <c r="C693" s="73" t="s">
        <v>30</v>
      </c>
      <c r="D693" s="72" t="s">
        <v>30</v>
      </c>
      <c r="E693" s="72" t="s">
        <v>30</v>
      </c>
      <c r="G693" s="72" t="s">
        <v>30</v>
      </c>
      <c r="H693" s="72" t="s">
        <v>30</v>
      </c>
      <c r="I693" s="31"/>
    </row>
    <row r="694">
      <c r="B694" s="72" t="s">
        <v>30</v>
      </c>
      <c r="C694" s="73" t="s">
        <v>30</v>
      </c>
      <c r="D694" s="72" t="s">
        <v>30</v>
      </c>
      <c r="E694" s="72" t="s">
        <v>30</v>
      </c>
      <c r="G694" s="72" t="s">
        <v>30</v>
      </c>
      <c r="H694" s="72" t="s">
        <v>30</v>
      </c>
      <c r="I694" s="31"/>
    </row>
    <row r="695">
      <c r="B695" s="72" t="s">
        <v>30</v>
      </c>
      <c r="C695" s="73" t="s">
        <v>30</v>
      </c>
      <c r="D695" s="72" t="s">
        <v>30</v>
      </c>
      <c r="E695" s="72" t="s">
        <v>30</v>
      </c>
      <c r="G695" s="72" t="s">
        <v>30</v>
      </c>
      <c r="H695" s="72" t="s">
        <v>30</v>
      </c>
      <c r="I695" s="31"/>
    </row>
    <row r="696">
      <c r="B696" s="72" t="s">
        <v>30</v>
      </c>
      <c r="C696" s="73" t="s">
        <v>30</v>
      </c>
      <c r="D696" s="72" t="s">
        <v>30</v>
      </c>
      <c r="E696" s="72" t="s">
        <v>30</v>
      </c>
      <c r="G696" s="72" t="s">
        <v>30</v>
      </c>
      <c r="H696" s="72" t="s">
        <v>30</v>
      </c>
      <c r="I696" s="31"/>
    </row>
    <row r="697">
      <c r="B697" s="72" t="s">
        <v>30</v>
      </c>
      <c r="C697" s="73" t="s">
        <v>30</v>
      </c>
      <c r="D697" s="72" t="s">
        <v>30</v>
      </c>
      <c r="E697" s="72" t="s">
        <v>30</v>
      </c>
      <c r="G697" s="72" t="s">
        <v>30</v>
      </c>
      <c r="H697" s="72" t="s">
        <v>30</v>
      </c>
      <c r="I697" s="31"/>
    </row>
    <row r="698">
      <c r="B698" s="72" t="s">
        <v>30</v>
      </c>
      <c r="C698" s="73" t="s">
        <v>30</v>
      </c>
      <c r="D698" s="72" t="s">
        <v>30</v>
      </c>
      <c r="E698" s="72" t="s">
        <v>30</v>
      </c>
      <c r="G698" s="72" t="s">
        <v>30</v>
      </c>
      <c r="H698" s="72" t="s">
        <v>30</v>
      </c>
      <c r="I698" s="31"/>
    </row>
    <row r="699">
      <c r="B699" s="72" t="s">
        <v>30</v>
      </c>
      <c r="C699" s="73" t="s">
        <v>30</v>
      </c>
      <c r="D699" s="72" t="s">
        <v>30</v>
      </c>
      <c r="E699" s="72" t="s">
        <v>30</v>
      </c>
      <c r="G699" s="72" t="s">
        <v>30</v>
      </c>
      <c r="H699" s="72" t="s">
        <v>30</v>
      </c>
      <c r="I699" s="31"/>
    </row>
    <row r="700">
      <c r="B700" s="72" t="s">
        <v>30</v>
      </c>
      <c r="C700" s="73" t="s">
        <v>30</v>
      </c>
      <c r="D700" s="72" t="s">
        <v>30</v>
      </c>
      <c r="E700" s="72" t="s">
        <v>30</v>
      </c>
      <c r="G700" s="72" t="s">
        <v>30</v>
      </c>
      <c r="H700" s="72" t="s">
        <v>30</v>
      </c>
      <c r="I700" s="31"/>
    </row>
    <row r="701">
      <c r="B701" s="72" t="s">
        <v>30</v>
      </c>
      <c r="C701" s="73" t="s">
        <v>30</v>
      </c>
      <c r="D701" s="72" t="s">
        <v>30</v>
      </c>
      <c r="E701" s="72" t="s">
        <v>30</v>
      </c>
      <c r="G701" s="72" t="s">
        <v>30</v>
      </c>
      <c r="H701" s="72" t="s">
        <v>30</v>
      </c>
      <c r="I701" s="31"/>
    </row>
    <row r="702">
      <c r="B702" s="72" t="s">
        <v>30</v>
      </c>
      <c r="C702" s="73" t="s">
        <v>30</v>
      </c>
      <c r="D702" s="72" t="s">
        <v>30</v>
      </c>
      <c r="E702" s="72" t="s">
        <v>30</v>
      </c>
      <c r="G702" s="72" t="s">
        <v>30</v>
      </c>
      <c r="H702" s="72" t="s">
        <v>30</v>
      </c>
      <c r="I702" s="31"/>
    </row>
    <row r="703">
      <c r="B703" s="72" t="s">
        <v>30</v>
      </c>
      <c r="C703" s="73" t="s">
        <v>30</v>
      </c>
      <c r="D703" s="72" t="s">
        <v>30</v>
      </c>
      <c r="E703" s="72" t="s">
        <v>30</v>
      </c>
      <c r="G703" s="72" t="s">
        <v>30</v>
      </c>
      <c r="H703" s="72" t="s">
        <v>30</v>
      </c>
      <c r="I703" s="31"/>
    </row>
    <row r="704">
      <c r="B704" s="72" t="s">
        <v>30</v>
      </c>
      <c r="C704" s="73" t="s">
        <v>30</v>
      </c>
      <c r="D704" s="72" t="s">
        <v>30</v>
      </c>
      <c r="E704" s="72" t="s">
        <v>30</v>
      </c>
      <c r="G704" s="72" t="s">
        <v>30</v>
      </c>
      <c r="H704" s="72" t="s">
        <v>30</v>
      </c>
      <c r="I704" s="31"/>
    </row>
    <row r="705">
      <c r="B705" s="72" t="s">
        <v>30</v>
      </c>
      <c r="C705" s="73" t="s">
        <v>30</v>
      </c>
      <c r="D705" s="72" t="s">
        <v>30</v>
      </c>
      <c r="E705" s="72" t="s">
        <v>30</v>
      </c>
      <c r="G705" s="72" t="s">
        <v>30</v>
      </c>
      <c r="H705" s="72" t="s">
        <v>30</v>
      </c>
      <c r="I705" s="31"/>
    </row>
    <row r="706">
      <c r="B706" s="72" t="s">
        <v>30</v>
      </c>
      <c r="C706" s="73" t="s">
        <v>30</v>
      </c>
      <c r="D706" s="72" t="s">
        <v>30</v>
      </c>
      <c r="E706" s="72" t="s">
        <v>30</v>
      </c>
      <c r="G706" s="72" t="s">
        <v>30</v>
      </c>
      <c r="H706" s="72" t="s">
        <v>30</v>
      </c>
      <c r="I706" s="31"/>
    </row>
    <row r="707">
      <c r="B707" s="72" t="s">
        <v>30</v>
      </c>
      <c r="C707" s="73" t="s">
        <v>30</v>
      </c>
      <c r="D707" s="72" t="s">
        <v>30</v>
      </c>
      <c r="E707" s="72" t="s">
        <v>30</v>
      </c>
      <c r="G707" s="72" t="s">
        <v>30</v>
      </c>
      <c r="H707" s="72" t="s">
        <v>30</v>
      </c>
      <c r="I707" s="31"/>
    </row>
    <row r="708">
      <c r="B708" s="72" t="s">
        <v>30</v>
      </c>
      <c r="C708" s="73" t="s">
        <v>30</v>
      </c>
      <c r="D708" s="72" t="s">
        <v>30</v>
      </c>
      <c r="E708" s="72" t="s">
        <v>30</v>
      </c>
      <c r="G708" s="72" t="s">
        <v>30</v>
      </c>
      <c r="H708" s="72" t="s">
        <v>30</v>
      </c>
      <c r="I708" s="31"/>
    </row>
    <row r="709">
      <c r="B709" s="72" t="s">
        <v>30</v>
      </c>
      <c r="C709" s="73" t="s">
        <v>30</v>
      </c>
      <c r="D709" s="72" t="s">
        <v>30</v>
      </c>
      <c r="E709" s="72" t="s">
        <v>30</v>
      </c>
      <c r="G709" s="72" t="s">
        <v>30</v>
      </c>
      <c r="H709" s="72" t="s">
        <v>30</v>
      </c>
      <c r="I709" s="31"/>
    </row>
    <row r="710">
      <c r="B710" s="72" t="s">
        <v>30</v>
      </c>
      <c r="C710" s="73" t="s">
        <v>30</v>
      </c>
      <c r="D710" s="72" t="s">
        <v>30</v>
      </c>
      <c r="E710" s="72" t="s">
        <v>30</v>
      </c>
      <c r="G710" s="72" t="s">
        <v>30</v>
      </c>
      <c r="H710" s="72" t="s">
        <v>30</v>
      </c>
      <c r="I710" s="31"/>
    </row>
    <row r="711">
      <c r="B711" s="72" t="s">
        <v>30</v>
      </c>
      <c r="C711" s="73" t="s">
        <v>30</v>
      </c>
      <c r="D711" s="72" t="s">
        <v>30</v>
      </c>
      <c r="E711" s="72" t="s">
        <v>30</v>
      </c>
      <c r="G711" s="72" t="s">
        <v>30</v>
      </c>
      <c r="H711" s="72" t="s">
        <v>30</v>
      </c>
      <c r="I711" s="31"/>
    </row>
    <row r="712">
      <c r="B712" s="72" t="s">
        <v>30</v>
      </c>
      <c r="C712" s="73" t="s">
        <v>30</v>
      </c>
      <c r="D712" s="72" t="s">
        <v>30</v>
      </c>
      <c r="E712" s="72" t="s">
        <v>30</v>
      </c>
      <c r="G712" s="72" t="s">
        <v>30</v>
      </c>
      <c r="H712" s="72" t="s">
        <v>30</v>
      </c>
      <c r="I712" s="31"/>
    </row>
    <row r="713">
      <c r="B713" s="72" t="s">
        <v>30</v>
      </c>
      <c r="C713" s="73" t="s">
        <v>30</v>
      </c>
      <c r="D713" s="72" t="s">
        <v>30</v>
      </c>
      <c r="E713" s="72" t="s">
        <v>30</v>
      </c>
      <c r="G713" s="72" t="s">
        <v>30</v>
      </c>
      <c r="H713" s="72" t="s">
        <v>30</v>
      </c>
      <c r="I713" s="31"/>
    </row>
    <row r="714">
      <c r="B714" s="72" t="s">
        <v>30</v>
      </c>
      <c r="C714" s="73" t="s">
        <v>30</v>
      </c>
      <c r="D714" s="72" t="s">
        <v>30</v>
      </c>
      <c r="E714" s="72" t="s">
        <v>30</v>
      </c>
      <c r="G714" s="72" t="s">
        <v>30</v>
      </c>
      <c r="H714" s="72" t="s">
        <v>30</v>
      </c>
      <c r="I714" s="31"/>
    </row>
    <row r="715">
      <c r="B715" s="72" t="s">
        <v>30</v>
      </c>
      <c r="C715" s="73" t="s">
        <v>30</v>
      </c>
      <c r="D715" s="72" t="s">
        <v>30</v>
      </c>
      <c r="E715" s="72" t="s">
        <v>30</v>
      </c>
      <c r="G715" s="72" t="s">
        <v>30</v>
      </c>
      <c r="H715" s="72" t="s">
        <v>30</v>
      </c>
      <c r="I715" s="31"/>
    </row>
    <row r="716">
      <c r="B716" s="72" t="s">
        <v>30</v>
      </c>
      <c r="C716" s="73" t="s">
        <v>30</v>
      </c>
      <c r="D716" s="72" t="s">
        <v>30</v>
      </c>
      <c r="E716" s="72" t="s">
        <v>30</v>
      </c>
      <c r="G716" s="72" t="s">
        <v>30</v>
      </c>
      <c r="H716" s="72" t="s">
        <v>30</v>
      </c>
      <c r="I716" s="31"/>
    </row>
    <row r="717">
      <c r="B717" s="72" t="s">
        <v>30</v>
      </c>
      <c r="C717" s="73" t="s">
        <v>30</v>
      </c>
      <c r="D717" s="72" t="s">
        <v>30</v>
      </c>
      <c r="E717" s="72" t="s">
        <v>30</v>
      </c>
      <c r="G717" s="72" t="s">
        <v>30</v>
      </c>
      <c r="H717" s="72" t="s">
        <v>30</v>
      </c>
      <c r="I717" s="31"/>
    </row>
    <row r="718">
      <c r="B718" s="72" t="s">
        <v>30</v>
      </c>
      <c r="C718" s="73" t="s">
        <v>30</v>
      </c>
      <c r="D718" s="72" t="s">
        <v>30</v>
      </c>
      <c r="E718" s="72" t="s">
        <v>30</v>
      </c>
      <c r="G718" s="72" t="s">
        <v>30</v>
      </c>
      <c r="H718" s="72" t="s">
        <v>30</v>
      </c>
      <c r="I718" s="31"/>
    </row>
    <row r="719">
      <c r="B719" s="72" t="s">
        <v>30</v>
      </c>
      <c r="C719" s="73" t="s">
        <v>30</v>
      </c>
      <c r="D719" s="72" t="s">
        <v>30</v>
      </c>
      <c r="E719" s="72" t="s">
        <v>30</v>
      </c>
      <c r="G719" s="72" t="s">
        <v>30</v>
      </c>
      <c r="H719" s="72" t="s">
        <v>30</v>
      </c>
      <c r="I719" s="31"/>
    </row>
    <row r="720">
      <c r="B720" s="72" t="s">
        <v>30</v>
      </c>
      <c r="C720" s="73" t="s">
        <v>30</v>
      </c>
      <c r="D720" s="72" t="s">
        <v>30</v>
      </c>
      <c r="E720" s="72" t="s">
        <v>30</v>
      </c>
      <c r="G720" s="72" t="s">
        <v>30</v>
      </c>
      <c r="H720" s="72" t="s">
        <v>30</v>
      </c>
      <c r="I720" s="31"/>
    </row>
    <row r="721">
      <c r="B721" s="72" t="s">
        <v>30</v>
      </c>
      <c r="C721" s="73" t="s">
        <v>30</v>
      </c>
      <c r="D721" s="72" t="s">
        <v>30</v>
      </c>
      <c r="E721" s="72" t="s">
        <v>30</v>
      </c>
      <c r="G721" s="72" t="s">
        <v>30</v>
      </c>
      <c r="H721" s="72" t="s">
        <v>30</v>
      </c>
      <c r="I721" s="31"/>
    </row>
    <row r="722">
      <c r="B722" s="72" t="s">
        <v>30</v>
      </c>
      <c r="C722" s="73" t="s">
        <v>30</v>
      </c>
      <c r="D722" s="72" t="s">
        <v>30</v>
      </c>
      <c r="E722" s="72" t="s">
        <v>30</v>
      </c>
      <c r="G722" s="72" t="s">
        <v>30</v>
      </c>
      <c r="H722" s="72" t="s">
        <v>30</v>
      </c>
      <c r="I722" s="31"/>
    </row>
    <row r="723">
      <c r="B723" s="72" t="s">
        <v>30</v>
      </c>
      <c r="C723" s="73" t="s">
        <v>30</v>
      </c>
      <c r="D723" s="72" t="s">
        <v>30</v>
      </c>
      <c r="E723" s="72" t="s">
        <v>30</v>
      </c>
      <c r="G723" s="72" t="s">
        <v>30</v>
      </c>
      <c r="H723" s="72" t="s">
        <v>30</v>
      </c>
      <c r="I723" s="31"/>
    </row>
    <row r="724">
      <c r="B724" s="72" t="s">
        <v>30</v>
      </c>
      <c r="C724" s="73" t="s">
        <v>30</v>
      </c>
      <c r="D724" s="72" t="s">
        <v>30</v>
      </c>
      <c r="E724" s="72" t="s">
        <v>30</v>
      </c>
      <c r="G724" s="72" t="s">
        <v>30</v>
      </c>
      <c r="H724" s="72" t="s">
        <v>30</v>
      </c>
      <c r="I724" s="31"/>
    </row>
    <row r="725">
      <c r="B725" s="72" t="s">
        <v>30</v>
      </c>
      <c r="C725" s="73" t="s">
        <v>30</v>
      </c>
      <c r="D725" s="72" t="s">
        <v>30</v>
      </c>
      <c r="E725" s="72" t="s">
        <v>30</v>
      </c>
      <c r="G725" s="72" t="s">
        <v>30</v>
      </c>
      <c r="H725" s="72" t="s">
        <v>30</v>
      </c>
      <c r="I725" s="31"/>
    </row>
    <row r="726">
      <c r="B726" s="72" t="s">
        <v>30</v>
      </c>
      <c r="C726" s="73" t="s">
        <v>30</v>
      </c>
      <c r="D726" s="72" t="s">
        <v>30</v>
      </c>
      <c r="E726" s="72" t="s">
        <v>30</v>
      </c>
      <c r="G726" s="72" t="s">
        <v>30</v>
      </c>
      <c r="H726" s="72" t="s">
        <v>30</v>
      </c>
      <c r="I726" s="31"/>
    </row>
    <row r="727">
      <c r="B727" s="72" t="s">
        <v>30</v>
      </c>
      <c r="C727" s="73" t="s">
        <v>30</v>
      </c>
      <c r="D727" s="72" t="s">
        <v>30</v>
      </c>
      <c r="E727" s="72" t="s">
        <v>30</v>
      </c>
      <c r="G727" s="72" t="s">
        <v>30</v>
      </c>
      <c r="H727" s="72" t="s">
        <v>30</v>
      </c>
      <c r="I727" s="31"/>
    </row>
    <row r="728">
      <c r="B728" s="72" t="s">
        <v>30</v>
      </c>
      <c r="C728" s="73" t="s">
        <v>30</v>
      </c>
      <c r="D728" s="72" t="s">
        <v>30</v>
      </c>
      <c r="E728" s="72" t="s">
        <v>30</v>
      </c>
      <c r="G728" s="72" t="s">
        <v>30</v>
      </c>
      <c r="H728" s="72" t="s">
        <v>30</v>
      </c>
      <c r="I728" s="31"/>
    </row>
    <row r="729">
      <c r="B729" s="72" t="s">
        <v>30</v>
      </c>
      <c r="C729" s="73" t="s">
        <v>30</v>
      </c>
      <c r="D729" s="72" t="s">
        <v>30</v>
      </c>
      <c r="E729" s="72" t="s">
        <v>30</v>
      </c>
      <c r="G729" s="72" t="s">
        <v>30</v>
      </c>
      <c r="H729" s="72" t="s">
        <v>30</v>
      </c>
      <c r="I729" s="31"/>
    </row>
    <row r="730">
      <c r="B730" s="72" t="s">
        <v>30</v>
      </c>
      <c r="C730" s="73" t="s">
        <v>30</v>
      </c>
      <c r="D730" s="72" t="s">
        <v>30</v>
      </c>
      <c r="E730" s="72" t="s">
        <v>30</v>
      </c>
      <c r="G730" s="72" t="s">
        <v>30</v>
      </c>
      <c r="H730" s="72" t="s">
        <v>30</v>
      </c>
      <c r="I730" s="31"/>
    </row>
    <row r="731">
      <c r="B731" s="72" t="s">
        <v>30</v>
      </c>
      <c r="C731" s="73" t="s">
        <v>30</v>
      </c>
      <c r="D731" s="72" t="s">
        <v>30</v>
      </c>
      <c r="E731" s="72" t="s">
        <v>30</v>
      </c>
      <c r="G731" s="72" t="s">
        <v>30</v>
      </c>
      <c r="H731" s="72" t="s">
        <v>30</v>
      </c>
      <c r="I731" s="31"/>
    </row>
    <row r="732">
      <c r="B732" s="72" t="s">
        <v>30</v>
      </c>
      <c r="C732" s="73" t="s">
        <v>30</v>
      </c>
      <c r="D732" s="72" t="s">
        <v>30</v>
      </c>
      <c r="E732" s="72" t="s">
        <v>30</v>
      </c>
      <c r="G732" s="72" t="s">
        <v>30</v>
      </c>
      <c r="H732" s="72" t="s">
        <v>30</v>
      </c>
      <c r="I732" s="31"/>
    </row>
    <row r="733">
      <c r="B733" s="72" t="s">
        <v>30</v>
      </c>
      <c r="C733" s="73" t="s">
        <v>30</v>
      </c>
      <c r="D733" s="72" t="s">
        <v>30</v>
      </c>
      <c r="E733" s="72" t="s">
        <v>30</v>
      </c>
      <c r="G733" s="72" t="s">
        <v>30</v>
      </c>
      <c r="H733" s="72" t="s">
        <v>30</v>
      </c>
      <c r="I733" s="31"/>
    </row>
    <row r="734">
      <c r="B734" s="72" t="s">
        <v>30</v>
      </c>
      <c r="C734" s="73" t="s">
        <v>30</v>
      </c>
      <c r="D734" s="72" t="s">
        <v>30</v>
      </c>
      <c r="E734" s="72" t="s">
        <v>30</v>
      </c>
      <c r="G734" s="72" t="s">
        <v>30</v>
      </c>
      <c r="H734" s="72" t="s">
        <v>30</v>
      </c>
      <c r="I734" s="31"/>
    </row>
    <row r="735">
      <c r="B735" s="72" t="s">
        <v>30</v>
      </c>
      <c r="C735" s="73" t="s">
        <v>30</v>
      </c>
      <c r="D735" s="72" t="s">
        <v>30</v>
      </c>
      <c r="E735" s="72" t="s">
        <v>30</v>
      </c>
      <c r="G735" s="72" t="s">
        <v>30</v>
      </c>
      <c r="H735" s="72" t="s">
        <v>30</v>
      </c>
      <c r="I735" s="31"/>
    </row>
    <row r="736">
      <c r="B736" s="72" t="s">
        <v>30</v>
      </c>
      <c r="C736" s="73" t="s">
        <v>30</v>
      </c>
      <c r="D736" s="72" t="s">
        <v>30</v>
      </c>
      <c r="E736" s="72" t="s">
        <v>30</v>
      </c>
      <c r="G736" s="72" t="s">
        <v>30</v>
      </c>
      <c r="H736" s="72" t="s">
        <v>30</v>
      </c>
      <c r="I736" s="31"/>
    </row>
    <row r="737">
      <c r="B737" s="72" t="s">
        <v>30</v>
      </c>
      <c r="C737" s="73" t="s">
        <v>30</v>
      </c>
      <c r="D737" s="72" t="s">
        <v>30</v>
      </c>
      <c r="E737" s="72" t="s">
        <v>30</v>
      </c>
      <c r="G737" s="72" t="s">
        <v>30</v>
      </c>
      <c r="H737" s="72" t="s">
        <v>30</v>
      </c>
      <c r="I737" s="31"/>
    </row>
    <row r="738">
      <c r="B738" s="72" t="s">
        <v>30</v>
      </c>
      <c r="C738" s="73" t="s">
        <v>30</v>
      </c>
      <c r="D738" s="72" t="s">
        <v>30</v>
      </c>
      <c r="E738" s="72" t="s">
        <v>30</v>
      </c>
      <c r="G738" s="72" t="s">
        <v>30</v>
      </c>
      <c r="H738" s="72" t="s">
        <v>30</v>
      </c>
      <c r="I738" s="31"/>
    </row>
    <row r="739">
      <c r="B739" s="72" t="s">
        <v>30</v>
      </c>
      <c r="C739" s="73" t="s">
        <v>30</v>
      </c>
      <c r="D739" s="72" t="s">
        <v>30</v>
      </c>
      <c r="E739" s="72" t="s">
        <v>30</v>
      </c>
      <c r="G739" s="72" t="s">
        <v>30</v>
      </c>
      <c r="H739" s="72" t="s">
        <v>30</v>
      </c>
      <c r="I739" s="31"/>
    </row>
    <row r="740">
      <c r="B740" s="72" t="s">
        <v>30</v>
      </c>
      <c r="C740" s="73" t="s">
        <v>30</v>
      </c>
      <c r="D740" s="72" t="s">
        <v>30</v>
      </c>
      <c r="E740" s="72" t="s">
        <v>30</v>
      </c>
      <c r="G740" s="72" t="s">
        <v>30</v>
      </c>
      <c r="H740" s="72" t="s">
        <v>30</v>
      </c>
      <c r="I740" s="31"/>
    </row>
    <row r="741">
      <c r="B741" s="72" t="s">
        <v>30</v>
      </c>
      <c r="C741" s="73" t="s">
        <v>30</v>
      </c>
      <c r="D741" s="72" t="s">
        <v>30</v>
      </c>
      <c r="E741" s="72" t="s">
        <v>30</v>
      </c>
      <c r="G741" s="72" t="s">
        <v>30</v>
      </c>
      <c r="H741" s="72" t="s">
        <v>30</v>
      </c>
      <c r="I741" s="31"/>
    </row>
    <row r="742">
      <c r="B742" s="72" t="s">
        <v>30</v>
      </c>
      <c r="C742" s="73" t="s">
        <v>30</v>
      </c>
      <c r="D742" s="72" t="s">
        <v>30</v>
      </c>
      <c r="E742" s="72" t="s">
        <v>30</v>
      </c>
      <c r="G742" s="72" t="s">
        <v>30</v>
      </c>
      <c r="H742" s="72" t="s">
        <v>30</v>
      </c>
      <c r="I742" s="31"/>
    </row>
    <row r="743">
      <c r="B743" s="72" t="s">
        <v>30</v>
      </c>
      <c r="C743" s="73" t="s">
        <v>30</v>
      </c>
      <c r="D743" s="72" t="s">
        <v>30</v>
      </c>
      <c r="E743" s="72" t="s">
        <v>30</v>
      </c>
      <c r="G743" s="72" t="s">
        <v>30</v>
      </c>
      <c r="H743" s="72" t="s">
        <v>30</v>
      </c>
      <c r="I743" s="31"/>
    </row>
    <row r="744">
      <c r="B744" s="72" t="s">
        <v>30</v>
      </c>
      <c r="C744" s="73" t="s">
        <v>30</v>
      </c>
      <c r="D744" s="72" t="s">
        <v>30</v>
      </c>
      <c r="E744" s="72" t="s">
        <v>30</v>
      </c>
      <c r="G744" s="72" t="s">
        <v>30</v>
      </c>
      <c r="H744" s="72" t="s">
        <v>30</v>
      </c>
      <c r="I744" s="31"/>
    </row>
    <row r="745">
      <c r="B745" s="72" t="s">
        <v>30</v>
      </c>
      <c r="C745" s="73" t="s">
        <v>30</v>
      </c>
      <c r="D745" s="72" t="s">
        <v>30</v>
      </c>
      <c r="E745" s="72" t="s">
        <v>30</v>
      </c>
      <c r="G745" s="72" t="s">
        <v>30</v>
      </c>
      <c r="H745" s="72" t="s">
        <v>30</v>
      </c>
      <c r="I745" s="31"/>
    </row>
    <row r="746">
      <c r="B746" s="72" t="s">
        <v>30</v>
      </c>
      <c r="C746" s="73" t="s">
        <v>30</v>
      </c>
      <c r="D746" s="72" t="s">
        <v>30</v>
      </c>
      <c r="E746" s="72" t="s">
        <v>30</v>
      </c>
      <c r="G746" s="72" t="s">
        <v>30</v>
      </c>
      <c r="H746" s="72" t="s">
        <v>30</v>
      </c>
      <c r="I746" s="31"/>
    </row>
    <row r="747">
      <c r="B747" s="72" t="s">
        <v>30</v>
      </c>
      <c r="C747" s="73" t="s">
        <v>30</v>
      </c>
      <c r="D747" s="72" t="s">
        <v>30</v>
      </c>
      <c r="E747" s="72" t="s">
        <v>30</v>
      </c>
      <c r="G747" s="72" t="s">
        <v>30</v>
      </c>
      <c r="H747" s="72" t="s">
        <v>30</v>
      </c>
      <c r="I747" s="31"/>
    </row>
    <row r="748">
      <c r="B748" s="72" t="s">
        <v>30</v>
      </c>
      <c r="C748" s="73" t="s">
        <v>30</v>
      </c>
      <c r="D748" s="72" t="s">
        <v>30</v>
      </c>
      <c r="E748" s="72" t="s">
        <v>30</v>
      </c>
      <c r="G748" s="72" t="s">
        <v>30</v>
      </c>
      <c r="H748" s="72" t="s">
        <v>30</v>
      </c>
      <c r="I748" s="31"/>
    </row>
    <row r="749">
      <c r="B749" s="72" t="s">
        <v>30</v>
      </c>
      <c r="C749" s="73" t="s">
        <v>30</v>
      </c>
      <c r="D749" s="72" t="s">
        <v>30</v>
      </c>
      <c r="E749" s="72" t="s">
        <v>30</v>
      </c>
      <c r="G749" s="72" t="s">
        <v>30</v>
      </c>
      <c r="H749" s="72" t="s">
        <v>30</v>
      </c>
      <c r="I749" s="31"/>
    </row>
    <row r="750">
      <c r="B750" s="72" t="s">
        <v>30</v>
      </c>
      <c r="C750" s="73" t="s">
        <v>30</v>
      </c>
      <c r="D750" s="72" t="s">
        <v>30</v>
      </c>
      <c r="E750" s="72" t="s">
        <v>30</v>
      </c>
      <c r="G750" s="72" t="s">
        <v>30</v>
      </c>
      <c r="H750" s="72" t="s">
        <v>30</v>
      </c>
      <c r="I750" s="31"/>
    </row>
    <row r="751">
      <c r="B751" s="72" t="s">
        <v>30</v>
      </c>
      <c r="C751" s="73" t="s">
        <v>30</v>
      </c>
      <c r="D751" s="72" t="s">
        <v>30</v>
      </c>
      <c r="E751" s="72" t="s">
        <v>30</v>
      </c>
      <c r="G751" s="72" t="s">
        <v>30</v>
      </c>
      <c r="H751" s="72" t="s">
        <v>30</v>
      </c>
      <c r="I751" s="31"/>
    </row>
    <row r="752">
      <c r="B752" s="72" t="s">
        <v>30</v>
      </c>
      <c r="C752" s="73" t="s">
        <v>30</v>
      </c>
      <c r="D752" s="72" t="s">
        <v>30</v>
      </c>
      <c r="E752" s="72" t="s">
        <v>30</v>
      </c>
      <c r="G752" s="72" t="s">
        <v>30</v>
      </c>
      <c r="H752" s="72" t="s">
        <v>30</v>
      </c>
      <c r="I752" s="31"/>
    </row>
    <row r="753">
      <c r="B753" s="72" t="s">
        <v>30</v>
      </c>
      <c r="C753" s="73" t="s">
        <v>30</v>
      </c>
      <c r="D753" s="72" t="s">
        <v>30</v>
      </c>
      <c r="E753" s="72" t="s">
        <v>30</v>
      </c>
      <c r="G753" s="72" t="s">
        <v>30</v>
      </c>
      <c r="H753" s="72" t="s">
        <v>30</v>
      </c>
      <c r="I753" s="31"/>
    </row>
    <row r="754">
      <c r="B754" s="72" t="s">
        <v>30</v>
      </c>
      <c r="C754" s="73" t="s">
        <v>30</v>
      </c>
      <c r="D754" s="72" t="s">
        <v>30</v>
      </c>
      <c r="E754" s="72" t="s">
        <v>30</v>
      </c>
      <c r="G754" s="72" t="s">
        <v>30</v>
      </c>
      <c r="H754" s="72" t="s">
        <v>30</v>
      </c>
      <c r="I754" s="31"/>
    </row>
    <row r="755">
      <c r="B755" s="72" t="s">
        <v>30</v>
      </c>
      <c r="C755" s="73" t="s">
        <v>30</v>
      </c>
      <c r="D755" s="72" t="s">
        <v>30</v>
      </c>
      <c r="E755" s="72" t="s">
        <v>30</v>
      </c>
      <c r="G755" s="72" t="s">
        <v>30</v>
      </c>
      <c r="H755" s="72" t="s">
        <v>30</v>
      </c>
      <c r="I755" s="31"/>
    </row>
    <row r="756">
      <c r="B756" s="72" t="s">
        <v>30</v>
      </c>
      <c r="C756" s="73" t="s">
        <v>30</v>
      </c>
      <c r="D756" s="72" t="s">
        <v>30</v>
      </c>
      <c r="E756" s="72" t="s">
        <v>30</v>
      </c>
      <c r="G756" s="72" t="s">
        <v>30</v>
      </c>
      <c r="H756" s="72" t="s">
        <v>30</v>
      </c>
      <c r="I756" s="31"/>
    </row>
    <row r="757">
      <c r="B757" s="72" t="s">
        <v>30</v>
      </c>
      <c r="C757" s="73" t="s">
        <v>30</v>
      </c>
      <c r="D757" s="72" t="s">
        <v>30</v>
      </c>
      <c r="E757" s="72" t="s">
        <v>30</v>
      </c>
      <c r="G757" s="72" t="s">
        <v>30</v>
      </c>
      <c r="H757" s="72" t="s">
        <v>30</v>
      </c>
      <c r="I757" s="31"/>
    </row>
    <row r="758">
      <c r="B758" s="72" t="s">
        <v>30</v>
      </c>
      <c r="C758" s="73" t="s">
        <v>30</v>
      </c>
      <c r="D758" s="72" t="s">
        <v>30</v>
      </c>
      <c r="E758" s="72" t="s">
        <v>30</v>
      </c>
      <c r="G758" s="72" t="s">
        <v>30</v>
      </c>
      <c r="H758" s="72" t="s">
        <v>30</v>
      </c>
      <c r="I758" s="31"/>
    </row>
    <row r="759">
      <c r="B759" s="72" t="s">
        <v>30</v>
      </c>
      <c r="C759" s="73" t="s">
        <v>30</v>
      </c>
      <c r="D759" s="72" t="s">
        <v>30</v>
      </c>
      <c r="E759" s="72" t="s">
        <v>30</v>
      </c>
      <c r="G759" s="72" t="s">
        <v>30</v>
      </c>
      <c r="H759" s="72" t="s">
        <v>30</v>
      </c>
      <c r="I759" s="31"/>
    </row>
    <row r="760">
      <c r="B760" s="72" t="s">
        <v>30</v>
      </c>
      <c r="C760" s="73" t="s">
        <v>30</v>
      </c>
      <c r="D760" s="72" t="s">
        <v>30</v>
      </c>
      <c r="E760" s="72" t="s">
        <v>30</v>
      </c>
      <c r="G760" s="72" t="s">
        <v>30</v>
      </c>
      <c r="H760" s="72" t="s">
        <v>30</v>
      </c>
      <c r="I760" s="31"/>
    </row>
    <row r="761">
      <c r="B761" s="72" t="s">
        <v>30</v>
      </c>
      <c r="C761" s="73" t="s">
        <v>30</v>
      </c>
      <c r="D761" s="72" t="s">
        <v>30</v>
      </c>
      <c r="E761" s="72" t="s">
        <v>30</v>
      </c>
      <c r="G761" s="72" t="s">
        <v>30</v>
      </c>
      <c r="H761" s="72" t="s">
        <v>30</v>
      </c>
      <c r="I761" s="31"/>
    </row>
    <row r="762">
      <c r="B762" s="72" t="s">
        <v>30</v>
      </c>
      <c r="C762" s="73" t="s">
        <v>30</v>
      </c>
      <c r="D762" s="72" t="s">
        <v>30</v>
      </c>
      <c r="E762" s="72" t="s">
        <v>30</v>
      </c>
      <c r="G762" s="72" t="s">
        <v>30</v>
      </c>
      <c r="H762" s="72" t="s">
        <v>30</v>
      </c>
      <c r="I762" s="31"/>
    </row>
    <row r="763">
      <c r="B763" s="72" t="s">
        <v>30</v>
      </c>
      <c r="C763" s="73" t="s">
        <v>30</v>
      </c>
      <c r="D763" s="72" t="s">
        <v>30</v>
      </c>
      <c r="E763" s="72" t="s">
        <v>30</v>
      </c>
      <c r="G763" s="72" t="s">
        <v>30</v>
      </c>
      <c r="H763" s="72" t="s">
        <v>30</v>
      </c>
      <c r="I763" s="31"/>
    </row>
    <row r="764">
      <c r="B764" s="72" t="s">
        <v>30</v>
      </c>
      <c r="C764" s="73" t="s">
        <v>30</v>
      </c>
      <c r="D764" s="72" t="s">
        <v>30</v>
      </c>
      <c r="E764" s="72" t="s">
        <v>30</v>
      </c>
      <c r="G764" s="72" t="s">
        <v>30</v>
      </c>
      <c r="H764" s="72" t="s">
        <v>30</v>
      </c>
      <c r="I764" s="31"/>
    </row>
    <row r="765">
      <c r="B765" s="72" t="s">
        <v>30</v>
      </c>
      <c r="C765" s="73" t="s">
        <v>30</v>
      </c>
      <c r="D765" s="72" t="s">
        <v>30</v>
      </c>
      <c r="E765" s="72" t="s">
        <v>30</v>
      </c>
      <c r="G765" s="72" t="s">
        <v>30</v>
      </c>
      <c r="H765" s="72" t="s">
        <v>30</v>
      </c>
      <c r="I765" s="31"/>
    </row>
    <row r="766">
      <c r="B766" s="72" t="s">
        <v>30</v>
      </c>
      <c r="C766" s="73" t="s">
        <v>30</v>
      </c>
      <c r="D766" s="72" t="s">
        <v>30</v>
      </c>
      <c r="E766" s="72" t="s">
        <v>30</v>
      </c>
      <c r="G766" s="72" t="s">
        <v>30</v>
      </c>
      <c r="H766" s="72" t="s">
        <v>30</v>
      </c>
      <c r="I766" s="31"/>
    </row>
    <row r="767">
      <c r="B767" s="72" t="s">
        <v>30</v>
      </c>
      <c r="C767" s="73" t="s">
        <v>30</v>
      </c>
      <c r="D767" s="72" t="s">
        <v>30</v>
      </c>
      <c r="E767" s="72" t="s">
        <v>30</v>
      </c>
      <c r="G767" s="72" t="s">
        <v>30</v>
      </c>
      <c r="H767" s="72" t="s">
        <v>30</v>
      </c>
      <c r="I767" s="31"/>
    </row>
    <row r="768">
      <c r="B768" s="72" t="s">
        <v>30</v>
      </c>
      <c r="C768" s="73" t="s">
        <v>30</v>
      </c>
      <c r="D768" s="72" t="s">
        <v>30</v>
      </c>
      <c r="E768" s="72" t="s">
        <v>30</v>
      </c>
      <c r="G768" s="72" t="s">
        <v>30</v>
      </c>
      <c r="H768" s="72" t="s">
        <v>30</v>
      </c>
      <c r="I768" s="31"/>
    </row>
    <row r="769">
      <c r="B769" s="72" t="s">
        <v>30</v>
      </c>
      <c r="C769" s="73" t="s">
        <v>30</v>
      </c>
      <c r="D769" s="72" t="s">
        <v>30</v>
      </c>
      <c r="E769" s="72" t="s">
        <v>30</v>
      </c>
      <c r="G769" s="72" t="s">
        <v>30</v>
      </c>
      <c r="H769" s="72" t="s">
        <v>30</v>
      </c>
      <c r="I769" s="31"/>
    </row>
    <row r="770">
      <c r="B770" s="72" t="s">
        <v>30</v>
      </c>
      <c r="C770" s="73" t="s">
        <v>30</v>
      </c>
      <c r="D770" s="72" t="s">
        <v>30</v>
      </c>
      <c r="E770" s="72" t="s">
        <v>30</v>
      </c>
      <c r="G770" s="72" t="s">
        <v>30</v>
      </c>
      <c r="H770" s="72" t="s">
        <v>30</v>
      </c>
      <c r="I770" s="31"/>
    </row>
    <row r="771">
      <c r="B771" s="72" t="s">
        <v>30</v>
      </c>
      <c r="C771" s="73" t="s">
        <v>30</v>
      </c>
      <c r="D771" s="72" t="s">
        <v>30</v>
      </c>
      <c r="E771" s="72" t="s">
        <v>30</v>
      </c>
      <c r="G771" s="72" t="s">
        <v>30</v>
      </c>
      <c r="H771" s="72" t="s">
        <v>30</v>
      </c>
      <c r="I771" s="31"/>
    </row>
    <row r="772">
      <c r="B772" s="72" t="s">
        <v>30</v>
      </c>
      <c r="C772" s="73" t="s">
        <v>30</v>
      </c>
      <c r="D772" s="72" t="s">
        <v>30</v>
      </c>
      <c r="E772" s="72" t="s">
        <v>30</v>
      </c>
      <c r="G772" s="72" t="s">
        <v>30</v>
      </c>
      <c r="H772" s="72" t="s">
        <v>30</v>
      </c>
      <c r="I772" s="31"/>
    </row>
    <row r="773">
      <c r="B773" s="72" t="s">
        <v>30</v>
      </c>
      <c r="C773" s="73" t="s">
        <v>30</v>
      </c>
      <c r="D773" s="72" t="s">
        <v>30</v>
      </c>
      <c r="E773" s="72" t="s">
        <v>30</v>
      </c>
      <c r="G773" s="72" t="s">
        <v>30</v>
      </c>
      <c r="H773" s="72" t="s">
        <v>30</v>
      </c>
      <c r="I773" s="31"/>
    </row>
    <row r="774">
      <c r="B774" s="72" t="s">
        <v>30</v>
      </c>
      <c r="C774" s="73" t="s">
        <v>30</v>
      </c>
      <c r="D774" s="72" t="s">
        <v>30</v>
      </c>
      <c r="E774" s="72" t="s">
        <v>30</v>
      </c>
      <c r="G774" s="72" t="s">
        <v>30</v>
      </c>
      <c r="H774" s="72" t="s">
        <v>30</v>
      </c>
      <c r="I774" s="31"/>
    </row>
    <row r="775">
      <c r="B775" s="72" t="s">
        <v>30</v>
      </c>
      <c r="C775" s="73" t="s">
        <v>30</v>
      </c>
      <c r="D775" s="72" t="s">
        <v>30</v>
      </c>
      <c r="E775" s="72" t="s">
        <v>30</v>
      </c>
      <c r="G775" s="72" t="s">
        <v>30</v>
      </c>
      <c r="H775" s="72" t="s">
        <v>30</v>
      </c>
      <c r="I775" s="31"/>
    </row>
    <row r="776">
      <c r="B776" s="72" t="s">
        <v>30</v>
      </c>
      <c r="C776" s="73" t="s">
        <v>30</v>
      </c>
      <c r="D776" s="72" t="s">
        <v>30</v>
      </c>
      <c r="E776" s="72" t="s">
        <v>30</v>
      </c>
      <c r="G776" s="72" t="s">
        <v>30</v>
      </c>
      <c r="H776" s="72" t="s">
        <v>30</v>
      </c>
      <c r="I776" s="31"/>
    </row>
    <row r="777">
      <c r="B777" s="72" t="s">
        <v>30</v>
      </c>
      <c r="C777" s="73" t="s">
        <v>30</v>
      </c>
      <c r="D777" s="72" t="s">
        <v>30</v>
      </c>
      <c r="E777" s="72" t="s">
        <v>30</v>
      </c>
      <c r="G777" s="72" t="s">
        <v>30</v>
      </c>
      <c r="H777" s="72" t="s">
        <v>30</v>
      </c>
      <c r="I777" s="31"/>
    </row>
    <row r="778">
      <c r="B778" s="72" t="s">
        <v>30</v>
      </c>
      <c r="C778" s="73" t="s">
        <v>30</v>
      </c>
      <c r="D778" s="72" t="s">
        <v>30</v>
      </c>
      <c r="E778" s="72" t="s">
        <v>30</v>
      </c>
      <c r="G778" s="72" t="s">
        <v>30</v>
      </c>
      <c r="H778" s="72" t="s">
        <v>30</v>
      </c>
      <c r="I778" s="31"/>
    </row>
    <row r="779">
      <c r="B779" s="72" t="s">
        <v>30</v>
      </c>
      <c r="C779" s="73" t="s">
        <v>30</v>
      </c>
      <c r="D779" s="72" t="s">
        <v>30</v>
      </c>
      <c r="E779" s="72" t="s">
        <v>30</v>
      </c>
      <c r="G779" s="72" t="s">
        <v>30</v>
      </c>
      <c r="H779" s="72" t="s">
        <v>30</v>
      </c>
      <c r="I779" s="31"/>
    </row>
    <row r="780">
      <c r="B780" s="72" t="s">
        <v>30</v>
      </c>
      <c r="C780" s="73" t="s">
        <v>30</v>
      </c>
      <c r="D780" s="72" t="s">
        <v>30</v>
      </c>
      <c r="E780" s="72" t="s">
        <v>30</v>
      </c>
      <c r="G780" s="72" t="s">
        <v>30</v>
      </c>
      <c r="H780" s="72" t="s">
        <v>30</v>
      </c>
      <c r="I780" s="31"/>
    </row>
    <row r="781">
      <c r="B781" s="72" t="s">
        <v>30</v>
      </c>
      <c r="C781" s="73" t="s">
        <v>30</v>
      </c>
      <c r="D781" s="72" t="s">
        <v>30</v>
      </c>
      <c r="E781" s="72" t="s">
        <v>30</v>
      </c>
      <c r="G781" s="72" t="s">
        <v>30</v>
      </c>
      <c r="H781" s="72" t="s">
        <v>30</v>
      </c>
      <c r="I781" s="31"/>
    </row>
    <row r="782">
      <c r="B782" s="72" t="s">
        <v>30</v>
      </c>
      <c r="C782" s="73" t="s">
        <v>30</v>
      </c>
      <c r="D782" s="72" t="s">
        <v>30</v>
      </c>
      <c r="E782" s="72" t="s">
        <v>30</v>
      </c>
      <c r="G782" s="72" t="s">
        <v>30</v>
      </c>
      <c r="H782" s="72" t="s">
        <v>30</v>
      </c>
      <c r="I782" s="31"/>
    </row>
    <row r="783">
      <c r="B783" s="72" t="s">
        <v>30</v>
      </c>
      <c r="C783" s="73" t="s">
        <v>30</v>
      </c>
      <c r="D783" s="72" t="s">
        <v>30</v>
      </c>
      <c r="E783" s="72" t="s">
        <v>30</v>
      </c>
      <c r="G783" s="72" t="s">
        <v>30</v>
      </c>
      <c r="H783" s="72" t="s">
        <v>30</v>
      </c>
      <c r="I783" s="31"/>
    </row>
    <row r="784">
      <c r="B784" s="72" t="s">
        <v>30</v>
      </c>
      <c r="C784" s="73" t="s">
        <v>30</v>
      </c>
      <c r="D784" s="72" t="s">
        <v>30</v>
      </c>
      <c r="E784" s="72" t="s">
        <v>30</v>
      </c>
      <c r="G784" s="72" t="s">
        <v>30</v>
      </c>
      <c r="H784" s="72" t="s">
        <v>30</v>
      </c>
      <c r="I784" s="31"/>
    </row>
    <row r="785">
      <c r="B785" s="72" t="s">
        <v>30</v>
      </c>
      <c r="C785" s="73" t="s">
        <v>30</v>
      </c>
      <c r="D785" s="72" t="s">
        <v>30</v>
      </c>
      <c r="E785" s="72" t="s">
        <v>30</v>
      </c>
      <c r="G785" s="72" t="s">
        <v>30</v>
      </c>
      <c r="H785" s="72" t="s">
        <v>30</v>
      </c>
      <c r="I785" s="31"/>
    </row>
    <row r="786">
      <c r="B786" s="72" t="s">
        <v>30</v>
      </c>
      <c r="C786" s="73" t="s">
        <v>30</v>
      </c>
      <c r="D786" s="72" t="s">
        <v>30</v>
      </c>
      <c r="E786" s="72" t="s">
        <v>30</v>
      </c>
      <c r="G786" s="72" t="s">
        <v>30</v>
      </c>
      <c r="H786" s="72" t="s">
        <v>30</v>
      </c>
      <c r="I786" s="31"/>
    </row>
    <row r="787">
      <c r="B787" s="72" t="s">
        <v>30</v>
      </c>
      <c r="C787" s="73" t="s">
        <v>30</v>
      </c>
      <c r="D787" s="72" t="s">
        <v>30</v>
      </c>
      <c r="E787" s="72" t="s">
        <v>30</v>
      </c>
      <c r="G787" s="72" t="s">
        <v>30</v>
      </c>
      <c r="H787" s="72" t="s">
        <v>30</v>
      </c>
      <c r="I787" s="31"/>
    </row>
    <row r="788">
      <c r="B788" s="72" t="s">
        <v>30</v>
      </c>
      <c r="C788" s="73" t="s">
        <v>30</v>
      </c>
      <c r="D788" s="72" t="s">
        <v>30</v>
      </c>
      <c r="E788" s="72" t="s">
        <v>30</v>
      </c>
      <c r="G788" s="72" t="s">
        <v>30</v>
      </c>
      <c r="H788" s="72" t="s">
        <v>30</v>
      </c>
      <c r="I788" s="31"/>
    </row>
    <row r="789">
      <c r="B789" s="72" t="s">
        <v>30</v>
      </c>
      <c r="C789" s="73" t="s">
        <v>30</v>
      </c>
      <c r="D789" s="72" t="s">
        <v>30</v>
      </c>
      <c r="E789" s="72" t="s">
        <v>30</v>
      </c>
      <c r="G789" s="72" t="s">
        <v>30</v>
      </c>
      <c r="H789" s="72" t="s">
        <v>30</v>
      </c>
      <c r="I789" s="31"/>
    </row>
    <row r="790">
      <c r="B790" s="72" t="s">
        <v>30</v>
      </c>
      <c r="C790" s="73" t="s">
        <v>30</v>
      </c>
      <c r="D790" s="72" t="s">
        <v>30</v>
      </c>
      <c r="E790" s="72" t="s">
        <v>30</v>
      </c>
      <c r="G790" s="72" t="s">
        <v>30</v>
      </c>
      <c r="H790" s="72" t="s">
        <v>30</v>
      </c>
      <c r="I790" s="31"/>
    </row>
    <row r="791">
      <c r="B791" s="72" t="s">
        <v>30</v>
      </c>
      <c r="C791" s="73" t="s">
        <v>30</v>
      </c>
      <c r="D791" s="72" t="s">
        <v>30</v>
      </c>
      <c r="E791" s="72" t="s">
        <v>30</v>
      </c>
      <c r="G791" s="72" t="s">
        <v>30</v>
      </c>
      <c r="H791" s="72" t="s">
        <v>30</v>
      </c>
      <c r="I791" s="31"/>
    </row>
    <row r="792">
      <c r="B792" s="72" t="s">
        <v>30</v>
      </c>
      <c r="C792" s="73" t="s">
        <v>30</v>
      </c>
      <c r="D792" s="72" t="s">
        <v>30</v>
      </c>
      <c r="E792" s="72" t="s">
        <v>30</v>
      </c>
      <c r="G792" s="72" t="s">
        <v>30</v>
      </c>
      <c r="H792" s="72" t="s">
        <v>30</v>
      </c>
      <c r="I792" s="31"/>
    </row>
    <row r="793">
      <c r="B793" s="72" t="s">
        <v>30</v>
      </c>
      <c r="C793" s="73" t="s">
        <v>30</v>
      </c>
      <c r="D793" s="72" t="s">
        <v>30</v>
      </c>
      <c r="E793" s="72" t="s">
        <v>30</v>
      </c>
      <c r="G793" s="72" t="s">
        <v>30</v>
      </c>
      <c r="H793" s="72" t="s">
        <v>30</v>
      </c>
      <c r="I793" s="31"/>
    </row>
    <row r="794">
      <c r="B794" s="72" t="s">
        <v>30</v>
      </c>
      <c r="C794" s="73" t="s">
        <v>30</v>
      </c>
      <c r="D794" s="72" t="s">
        <v>30</v>
      </c>
      <c r="E794" s="72" t="s">
        <v>30</v>
      </c>
      <c r="G794" s="72" t="s">
        <v>30</v>
      </c>
      <c r="H794" s="72" t="s">
        <v>30</v>
      </c>
      <c r="I794" s="31"/>
    </row>
    <row r="795">
      <c r="B795" s="72" t="s">
        <v>30</v>
      </c>
      <c r="C795" s="73" t="s">
        <v>30</v>
      </c>
      <c r="D795" s="72" t="s">
        <v>30</v>
      </c>
      <c r="E795" s="72" t="s">
        <v>30</v>
      </c>
      <c r="G795" s="72" t="s">
        <v>30</v>
      </c>
      <c r="H795" s="72" t="s">
        <v>30</v>
      </c>
      <c r="I795" s="31"/>
    </row>
    <row r="796">
      <c r="B796" s="72" t="s">
        <v>30</v>
      </c>
      <c r="C796" s="73" t="s">
        <v>30</v>
      </c>
      <c r="D796" s="72" t="s">
        <v>30</v>
      </c>
      <c r="E796" s="72" t="s">
        <v>30</v>
      </c>
      <c r="G796" s="72" t="s">
        <v>30</v>
      </c>
      <c r="H796" s="72" t="s">
        <v>30</v>
      </c>
      <c r="I796" s="31"/>
    </row>
    <row r="797">
      <c r="B797" s="72" t="s">
        <v>30</v>
      </c>
      <c r="C797" s="73" t="s">
        <v>30</v>
      </c>
      <c r="D797" s="72" t="s">
        <v>30</v>
      </c>
      <c r="E797" s="72" t="s">
        <v>30</v>
      </c>
      <c r="G797" s="72" t="s">
        <v>30</v>
      </c>
      <c r="H797" s="72" t="s">
        <v>30</v>
      </c>
      <c r="I797" s="31"/>
    </row>
    <row r="798">
      <c r="B798" s="72" t="s">
        <v>30</v>
      </c>
      <c r="C798" s="73" t="s">
        <v>30</v>
      </c>
      <c r="D798" s="72" t="s">
        <v>30</v>
      </c>
      <c r="E798" s="72" t="s">
        <v>30</v>
      </c>
      <c r="G798" s="72" t="s">
        <v>30</v>
      </c>
      <c r="H798" s="72" t="s">
        <v>30</v>
      </c>
      <c r="I798" s="31"/>
    </row>
    <row r="799">
      <c r="B799" s="72" t="s">
        <v>30</v>
      </c>
      <c r="C799" s="73" t="s">
        <v>30</v>
      </c>
      <c r="D799" s="72" t="s">
        <v>30</v>
      </c>
      <c r="E799" s="72" t="s">
        <v>30</v>
      </c>
      <c r="G799" s="72" t="s">
        <v>30</v>
      </c>
      <c r="H799" s="72" t="s">
        <v>30</v>
      </c>
      <c r="I799" s="31"/>
    </row>
    <row r="800">
      <c r="B800" s="72" t="s">
        <v>30</v>
      </c>
      <c r="C800" s="73" t="s">
        <v>30</v>
      </c>
      <c r="D800" s="72" t="s">
        <v>30</v>
      </c>
      <c r="E800" s="72" t="s">
        <v>30</v>
      </c>
      <c r="G800" s="72" t="s">
        <v>30</v>
      </c>
      <c r="H800" s="72" t="s">
        <v>30</v>
      </c>
      <c r="I800" s="31"/>
    </row>
    <row r="801">
      <c r="B801" s="72" t="s">
        <v>30</v>
      </c>
      <c r="C801" s="73" t="s">
        <v>30</v>
      </c>
      <c r="D801" s="72" t="s">
        <v>30</v>
      </c>
      <c r="E801" s="72" t="s">
        <v>30</v>
      </c>
      <c r="G801" s="72" t="s">
        <v>30</v>
      </c>
      <c r="H801" s="72" t="s">
        <v>30</v>
      </c>
      <c r="I801" s="31"/>
    </row>
    <row r="802">
      <c r="B802" s="72" t="s">
        <v>30</v>
      </c>
      <c r="C802" s="73" t="s">
        <v>30</v>
      </c>
      <c r="D802" s="72" t="s">
        <v>30</v>
      </c>
      <c r="E802" s="72" t="s">
        <v>30</v>
      </c>
      <c r="G802" s="72" t="s">
        <v>30</v>
      </c>
      <c r="H802" s="72" t="s">
        <v>30</v>
      </c>
      <c r="I802" s="31"/>
    </row>
    <row r="803">
      <c r="B803" s="72" t="s">
        <v>30</v>
      </c>
      <c r="C803" s="73" t="s">
        <v>30</v>
      </c>
      <c r="D803" s="72" t="s">
        <v>30</v>
      </c>
      <c r="E803" s="72" t="s">
        <v>30</v>
      </c>
      <c r="G803" s="72" t="s">
        <v>30</v>
      </c>
      <c r="H803" s="72" t="s">
        <v>30</v>
      </c>
      <c r="I803" s="31"/>
    </row>
    <row r="804">
      <c r="B804" s="72" t="s">
        <v>30</v>
      </c>
      <c r="C804" s="73" t="s">
        <v>30</v>
      </c>
      <c r="D804" s="72" t="s">
        <v>30</v>
      </c>
      <c r="E804" s="72" t="s">
        <v>30</v>
      </c>
      <c r="G804" s="72" t="s">
        <v>30</v>
      </c>
      <c r="H804" s="72" t="s">
        <v>30</v>
      </c>
      <c r="I804" s="31"/>
    </row>
    <row r="805">
      <c r="B805" s="72" t="s">
        <v>30</v>
      </c>
      <c r="C805" s="73" t="s">
        <v>30</v>
      </c>
      <c r="D805" s="72" t="s">
        <v>30</v>
      </c>
      <c r="E805" s="72" t="s">
        <v>30</v>
      </c>
      <c r="G805" s="72" t="s">
        <v>30</v>
      </c>
      <c r="H805" s="72" t="s">
        <v>30</v>
      </c>
      <c r="I805" s="31"/>
    </row>
    <row r="806">
      <c r="B806" s="72" t="s">
        <v>30</v>
      </c>
      <c r="C806" s="73" t="s">
        <v>30</v>
      </c>
      <c r="D806" s="72" t="s">
        <v>30</v>
      </c>
      <c r="E806" s="72" t="s">
        <v>30</v>
      </c>
      <c r="G806" s="72" t="s">
        <v>30</v>
      </c>
      <c r="H806" s="72" t="s">
        <v>30</v>
      </c>
      <c r="I806" s="31"/>
    </row>
    <row r="807">
      <c r="B807" s="72" t="s">
        <v>30</v>
      </c>
      <c r="C807" s="73" t="s">
        <v>30</v>
      </c>
      <c r="D807" s="72" t="s">
        <v>30</v>
      </c>
      <c r="E807" s="72" t="s">
        <v>30</v>
      </c>
      <c r="G807" s="72" t="s">
        <v>30</v>
      </c>
      <c r="H807" s="72" t="s">
        <v>30</v>
      </c>
      <c r="I807" s="31"/>
    </row>
    <row r="808">
      <c r="B808" s="72" t="s">
        <v>30</v>
      </c>
      <c r="C808" s="73" t="s">
        <v>30</v>
      </c>
      <c r="D808" s="72" t="s">
        <v>30</v>
      </c>
      <c r="E808" s="72" t="s">
        <v>30</v>
      </c>
      <c r="G808" s="72" t="s">
        <v>30</v>
      </c>
      <c r="H808" s="72" t="s">
        <v>30</v>
      </c>
      <c r="I808" s="31"/>
    </row>
    <row r="809">
      <c r="B809" s="72" t="s">
        <v>30</v>
      </c>
      <c r="C809" s="73" t="s">
        <v>30</v>
      </c>
      <c r="D809" s="72" t="s">
        <v>30</v>
      </c>
      <c r="E809" s="72" t="s">
        <v>30</v>
      </c>
      <c r="G809" s="72" t="s">
        <v>30</v>
      </c>
      <c r="H809" s="72" t="s">
        <v>30</v>
      </c>
      <c r="I809" s="31"/>
    </row>
    <row r="810">
      <c r="B810" s="72" t="s">
        <v>30</v>
      </c>
      <c r="C810" s="73" t="s">
        <v>30</v>
      </c>
      <c r="D810" s="72" t="s">
        <v>30</v>
      </c>
      <c r="E810" s="72" t="s">
        <v>30</v>
      </c>
      <c r="G810" s="72" t="s">
        <v>30</v>
      </c>
      <c r="H810" s="72" t="s">
        <v>30</v>
      </c>
      <c r="I810" s="31"/>
    </row>
    <row r="811">
      <c r="B811" s="72" t="s">
        <v>30</v>
      </c>
      <c r="C811" s="73" t="s">
        <v>30</v>
      </c>
      <c r="D811" s="72" t="s">
        <v>30</v>
      </c>
      <c r="E811" s="72" t="s">
        <v>30</v>
      </c>
      <c r="G811" s="72" t="s">
        <v>30</v>
      </c>
      <c r="H811" s="72" t="s">
        <v>30</v>
      </c>
      <c r="I811" s="31"/>
    </row>
    <row r="812">
      <c r="B812" s="72" t="s">
        <v>30</v>
      </c>
      <c r="C812" s="73" t="s">
        <v>30</v>
      </c>
      <c r="D812" s="72" t="s">
        <v>30</v>
      </c>
      <c r="E812" s="72" t="s">
        <v>30</v>
      </c>
      <c r="G812" s="72" t="s">
        <v>30</v>
      </c>
      <c r="H812" s="72" t="s">
        <v>30</v>
      </c>
      <c r="I812" s="31"/>
    </row>
    <row r="813">
      <c r="B813" s="72" t="s">
        <v>30</v>
      </c>
      <c r="C813" s="73" t="s">
        <v>30</v>
      </c>
      <c r="D813" s="72" t="s">
        <v>30</v>
      </c>
      <c r="E813" s="72" t="s">
        <v>30</v>
      </c>
      <c r="G813" s="72" t="s">
        <v>30</v>
      </c>
      <c r="H813" s="72" t="s">
        <v>30</v>
      </c>
      <c r="I813" s="31"/>
    </row>
    <row r="814">
      <c r="B814" s="72" t="s">
        <v>30</v>
      </c>
      <c r="C814" s="73" t="s">
        <v>30</v>
      </c>
      <c r="D814" s="72" t="s">
        <v>30</v>
      </c>
      <c r="E814" s="72" t="s">
        <v>30</v>
      </c>
      <c r="G814" s="72" t="s">
        <v>30</v>
      </c>
      <c r="H814" s="72" t="s">
        <v>30</v>
      </c>
      <c r="I814" s="31"/>
    </row>
    <row r="815">
      <c r="B815" s="72" t="s">
        <v>30</v>
      </c>
      <c r="C815" s="73" t="s">
        <v>30</v>
      </c>
      <c r="D815" s="72" t="s">
        <v>30</v>
      </c>
      <c r="E815" s="72" t="s">
        <v>30</v>
      </c>
      <c r="G815" s="72" t="s">
        <v>30</v>
      </c>
      <c r="H815" s="72" t="s">
        <v>30</v>
      </c>
      <c r="I815" s="31"/>
    </row>
    <row r="816">
      <c r="B816" s="72" t="s">
        <v>30</v>
      </c>
      <c r="C816" s="73" t="s">
        <v>30</v>
      </c>
      <c r="D816" s="72" t="s">
        <v>30</v>
      </c>
      <c r="E816" s="72" t="s">
        <v>30</v>
      </c>
      <c r="G816" s="72" t="s">
        <v>30</v>
      </c>
      <c r="H816" s="72" t="s">
        <v>30</v>
      </c>
      <c r="I816" s="31"/>
    </row>
    <row r="817">
      <c r="B817" s="72" t="s">
        <v>30</v>
      </c>
      <c r="C817" s="73" t="s">
        <v>30</v>
      </c>
      <c r="D817" s="72" t="s">
        <v>30</v>
      </c>
      <c r="E817" s="72" t="s">
        <v>30</v>
      </c>
      <c r="G817" s="72" t="s">
        <v>30</v>
      </c>
      <c r="H817" s="72" t="s">
        <v>30</v>
      </c>
      <c r="I817" s="31"/>
    </row>
    <row r="818">
      <c r="B818" s="72" t="s">
        <v>30</v>
      </c>
      <c r="C818" s="73" t="s">
        <v>30</v>
      </c>
      <c r="D818" s="72" t="s">
        <v>30</v>
      </c>
      <c r="E818" s="72" t="s">
        <v>30</v>
      </c>
      <c r="G818" s="72" t="s">
        <v>30</v>
      </c>
      <c r="H818" s="72" t="s">
        <v>30</v>
      </c>
      <c r="I818" s="31"/>
    </row>
    <row r="819">
      <c r="B819" s="72" t="s">
        <v>30</v>
      </c>
      <c r="C819" s="73" t="s">
        <v>30</v>
      </c>
      <c r="D819" s="72" t="s">
        <v>30</v>
      </c>
      <c r="E819" s="72" t="s">
        <v>30</v>
      </c>
      <c r="G819" s="72" t="s">
        <v>30</v>
      </c>
      <c r="H819" s="72" t="s">
        <v>30</v>
      </c>
      <c r="I819" s="31"/>
    </row>
    <row r="820">
      <c r="B820" s="72" t="s">
        <v>30</v>
      </c>
      <c r="C820" s="73" t="s">
        <v>30</v>
      </c>
      <c r="D820" s="72" t="s">
        <v>30</v>
      </c>
      <c r="E820" s="72" t="s">
        <v>30</v>
      </c>
      <c r="G820" s="72" t="s">
        <v>30</v>
      </c>
      <c r="H820" s="72" t="s">
        <v>30</v>
      </c>
      <c r="I820" s="31"/>
    </row>
    <row r="821">
      <c r="B821" s="72" t="s">
        <v>30</v>
      </c>
      <c r="C821" s="73" t="s">
        <v>30</v>
      </c>
      <c r="D821" s="72" t="s">
        <v>30</v>
      </c>
      <c r="E821" s="72" t="s">
        <v>30</v>
      </c>
      <c r="G821" s="72" t="s">
        <v>30</v>
      </c>
      <c r="H821" s="72" t="s">
        <v>30</v>
      </c>
      <c r="I821" s="31"/>
    </row>
    <row r="822">
      <c r="B822" s="72" t="s">
        <v>30</v>
      </c>
      <c r="C822" s="73" t="s">
        <v>30</v>
      </c>
      <c r="D822" s="72" t="s">
        <v>30</v>
      </c>
      <c r="E822" s="72" t="s">
        <v>30</v>
      </c>
      <c r="G822" s="72" t="s">
        <v>30</v>
      </c>
      <c r="H822" s="72" t="s">
        <v>30</v>
      </c>
      <c r="I822" s="31"/>
    </row>
    <row r="823">
      <c r="B823" s="72" t="s">
        <v>30</v>
      </c>
      <c r="C823" s="73" t="s">
        <v>30</v>
      </c>
      <c r="D823" s="72" t="s">
        <v>30</v>
      </c>
      <c r="E823" s="72" t="s">
        <v>30</v>
      </c>
      <c r="G823" s="72" t="s">
        <v>30</v>
      </c>
      <c r="H823" s="72" t="s">
        <v>30</v>
      </c>
      <c r="I823" s="31"/>
    </row>
    <row r="824">
      <c r="B824" s="72" t="s">
        <v>30</v>
      </c>
      <c r="C824" s="73" t="s">
        <v>30</v>
      </c>
      <c r="D824" s="72" t="s">
        <v>30</v>
      </c>
      <c r="E824" s="72" t="s">
        <v>30</v>
      </c>
      <c r="G824" s="72" t="s">
        <v>30</v>
      </c>
      <c r="H824" s="72" t="s">
        <v>30</v>
      </c>
      <c r="I824" s="31"/>
    </row>
    <row r="825">
      <c r="B825" s="72" t="s">
        <v>30</v>
      </c>
      <c r="C825" s="73" t="s">
        <v>30</v>
      </c>
      <c r="D825" s="72" t="s">
        <v>30</v>
      </c>
      <c r="E825" s="72" t="s">
        <v>30</v>
      </c>
      <c r="G825" s="72" t="s">
        <v>30</v>
      </c>
      <c r="H825" s="72" t="s">
        <v>30</v>
      </c>
      <c r="I825" s="31"/>
    </row>
    <row r="826">
      <c r="B826" s="72" t="s">
        <v>30</v>
      </c>
      <c r="C826" s="73" t="s">
        <v>30</v>
      </c>
      <c r="D826" s="72" t="s">
        <v>30</v>
      </c>
      <c r="E826" s="72" t="s">
        <v>30</v>
      </c>
      <c r="G826" s="72" t="s">
        <v>30</v>
      </c>
      <c r="H826" s="72" t="s">
        <v>30</v>
      </c>
      <c r="I826" s="31"/>
    </row>
    <row r="827">
      <c r="B827" s="72" t="s">
        <v>30</v>
      </c>
      <c r="C827" s="73" t="s">
        <v>30</v>
      </c>
      <c r="D827" s="72" t="s">
        <v>30</v>
      </c>
      <c r="E827" s="72" t="s">
        <v>30</v>
      </c>
      <c r="G827" s="72" t="s">
        <v>30</v>
      </c>
      <c r="H827" s="72" t="s">
        <v>30</v>
      </c>
      <c r="I827" s="31"/>
    </row>
    <row r="828">
      <c r="B828" s="72" t="s">
        <v>30</v>
      </c>
      <c r="C828" s="73" t="s">
        <v>30</v>
      </c>
      <c r="D828" s="72" t="s">
        <v>30</v>
      </c>
      <c r="E828" s="72" t="s">
        <v>30</v>
      </c>
      <c r="G828" s="72" t="s">
        <v>30</v>
      </c>
      <c r="H828" s="72" t="s">
        <v>30</v>
      </c>
      <c r="I828" s="31"/>
    </row>
    <row r="829">
      <c r="B829" s="72" t="s">
        <v>30</v>
      </c>
      <c r="C829" s="73" t="s">
        <v>30</v>
      </c>
      <c r="D829" s="72" t="s">
        <v>30</v>
      </c>
      <c r="E829" s="72" t="s">
        <v>30</v>
      </c>
      <c r="G829" s="72" t="s">
        <v>30</v>
      </c>
      <c r="H829" s="72" t="s">
        <v>30</v>
      </c>
      <c r="I829" s="31"/>
    </row>
    <row r="830">
      <c r="B830" s="72" t="s">
        <v>30</v>
      </c>
      <c r="C830" s="73" t="s">
        <v>30</v>
      </c>
      <c r="D830" s="72" t="s">
        <v>30</v>
      </c>
      <c r="E830" s="72" t="s">
        <v>30</v>
      </c>
      <c r="G830" s="72" t="s">
        <v>30</v>
      </c>
      <c r="H830" s="72" t="s">
        <v>30</v>
      </c>
      <c r="I830" s="31"/>
    </row>
    <row r="831">
      <c r="B831" s="72" t="s">
        <v>30</v>
      </c>
      <c r="C831" s="73" t="s">
        <v>30</v>
      </c>
      <c r="D831" s="72" t="s">
        <v>30</v>
      </c>
      <c r="E831" s="72" t="s">
        <v>30</v>
      </c>
      <c r="G831" s="72" t="s">
        <v>30</v>
      </c>
      <c r="H831" s="72" t="s">
        <v>30</v>
      </c>
      <c r="I831" s="31"/>
    </row>
    <row r="832">
      <c r="B832" s="72" t="s">
        <v>30</v>
      </c>
      <c r="C832" s="73" t="s">
        <v>30</v>
      </c>
      <c r="D832" s="72" t="s">
        <v>30</v>
      </c>
      <c r="E832" s="72" t="s">
        <v>30</v>
      </c>
      <c r="G832" s="72" t="s">
        <v>30</v>
      </c>
      <c r="H832" s="72" t="s">
        <v>30</v>
      </c>
      <c r="I832" s="31"/>
    </row>
    <row r="833">
      <c r="B833" s="72" t="s">
        <v>30</v>
      </c>
      <c r="C833" s="73" t="s">
        <v>30</v>
      </c>
      <c r="D833" s="72" t="s">
        <v>30</v>
      </c>
      <c r="E833" s="72" t="s">
        <v>30</v>
      </c>
      <c r="G833" s="72" t="s">
        <v>30</v>
      </c>
      <c r="H833" s="72" t="s">
        <v>30</v>
      </c>
      <c r="I833" s="31"/>
    </row>
    <row r="834">
      <c r="B834" s="72" t="s">
        <v>30</v>
      </c>
      <c r="C834" s="73" t="s">
        <v>30</v>
      </c>
      <c r="D834" s="72" t="s">
        <v>30</v>
      </c>
      <c r="E834" s="72" t="s">
        <v>30</v>
      </c>
      <c r="G834" s="72" t="s">
        <v>30</v>
      </c>
      <c r="H834" s="72" t="s">
        <v>30</v>
      </c>
      <c r="I834" s="31"/>
    </row>
    <row r="835">
      <c r="B835" s="72" t="s">
        <v>30</v>
      </c>
      <c r="C835" s="73" t="s">
        <v>30</v>
      </c>
      <c r="D835" s="72" t="s">
        <v>30</v>
      </c>
      <c r="E835" s="72" t="s">
        <v>30</v>
      </c>
      <c r="G835" s="72" t="s">
        <v>30</v>
      </c>
      <c r="H835" s="72" t="s">
        <v>30</v>
      </c>
      <c r="I835" s="31"/>
    </row>
    <row r="836">
      <c r="B836" s="72" t="s">
        <v>30</v>
      </c>
      <c r="C836" s="73" t="s">
        <v>30</v>
      </c>
      <c r="D836" s="72" t="s">
        <v>30</v>
      </c>
      <c r="E836" s="72" t="s">
        <v>30</v>
      </c>
      <c r="G836" s="72" t="s">
        <v>30</v>
      </c>
      <c r="H836" s="72" t="s">
        <v>30</v>
      </c>
      <c r="I836" s="31"/>
    </row>
    <row r="837">
      <c r="B837" s="72" t="s">
        <v>30</v>
      </c>
      <c r="C837" s="73" t="s">
        <v>30</v>
      </c>
      <c r="D837" s="72" t="s">
        <v>30</v>
      </c>
      <c r="E837" s="72" t="s">
        <v>30</v>
      </c>
      <c r="G837" s="72" t="s">
        <v>30</v>
      </c>
      <c r="H837" s="72" t="s">
        <v>30</v>
      </c>
      <c r="I837" s="31"/>
    </row>
    <row r="838">
      <c r="B838" s="72" t="s">
        <v>30</v>
      </c>
      <c r="C838" s="73" t="s">
        <v>30</v>
      </c>
      <c r="D838" s="72" t="s">
        <v>30</v>
      </c>
      <c r="E838" s="72" t="s">
        <v>30</v>
      </c>
      <c r="G838" s="72" t="s">
        <v>30</v>
      </c>
      <c r="H838" s="72" t="s">
        <v>30</v>
      </c>
      <c r="I838" s="31"/>
    </row>
    <row r="839">
      <c r="B839" s="72" t="s">
        <v>30</v>
      </c>
      <c r="C839" s="73" t="s">
        <v>30</v>
      </c>
      <c r="D839" s="72" t="s">
        <v>30</v>
      </c>
      <c r="E839" s="72" t="s">
        <v>30</v>
      </c>
      <c r="G839" s="72" t="s">
        <v>30</v>
      </c>
      <c r="H839" s="72" t="s">
        <v>30</v>
      </c>
      <c r="I839" s="31"/>
    </row>
    <row r="840">
      <c r="B840" s="72" t="s">
        <v>30</v>
      </c>
      <c r="C840" s="73" t="s">
        <v>30</v>
      </c>
      <c r="D840" s="72" t="s">
        <v>30</v>
      </c>
      <c r="E840" s="72" t="s">
        <v>30</v>
      </c>
      <c r="G840" s="72" t="s">
        <v>30</v>
      </c>
      <c r="H840" s="72" t="s">
        <v>30</v>
      </c>
      <c r="I840" s="31"/>
    </row>
    <row r="841">
      <c r="B841" s="72" t="s">
        <v>30</v>
      </c>
      <c r="C841" s="73" t="s">
        <v>30</v>
      </c>
      <c r="D841" s="72" t="s">
        <v>30</v>
      </c>
      <c r="E841" s="72" t="s">
        <v>30</v>
      </c>
      <c r="G841" s="72" t="s">
        <v>30</v>
      </c>
      <c r="H841" s="72" t="s">
        <v>30</v>
      </c>
      <c r="I841" s="31"/>
    </row>
    <row r="842">
      <c r="B842" s="72" t="s">
        <v>30</v>
      </c>
      <c r="C842" s="73" t="s">
        <v>30</v>
      </c>
      <c r="D842" s="72" t="s">
        <v>30</v>
      </c>
      <c r="E842" s="72" t="s">
        <v>30</v>
      </c>
      <c r="G842" s="72" t="s">
        <v>30</v>
      </c>
      <c r="H842" s="72" t="s">
        <v>30</v>
      </c>
      <c r="I842" s="31"/>
    </row>
    <row r="843">
      <c r="B843" s="72" t="s">
        <v>30</v>
      </c>
      <c r="C843" s="73" t="s">
        <v>30</v>
      </c>
      <c r="D843" s="72" t="s">
        <v>30</v>
      </c>
      <c r="E843" s="72" t="s">
        <v>30</v>
      </c>
      <c r="G843" s="72" t="s">
        <v>30</v>
      </c>
      <c r="H843" s="72" t="s">
        <v>30</v>
      </c>
      <c r="I843" s="31"/>
    </row>
    <row r="844">
      <c r="B844" s="72" t="s">
        <v>30</v>
      </c>
      <c r="C844" s="73" t="s">
        <v>30</v>
      </c>
      <c r="D844" s="72" t="s">
        <v>30</v>
      </c>
      <c r="E844" s="72" t="s">
        <v>30</v>
      </c>
      <c r="G844" s="72" t="s">
        <v>30</v>
      </c>
      <c r="H844" s="72" t="s">
        <v>30</v>
      </c>
      <c r="I844" s="31"/>
    </row>
    <row r="845">
      <c r="B845" s="72" t="s">
        <v>30</v>
      </c>
      <c r="C845" s="73" t="s">
        <v>30</v>
      </c>
      <c r="D845" s="72" t="s">
        <v>30</v>
      </c>
      <c r="E845" s="72" t="s">
        <v>30</v>
      </c>
      <c r="G845" s="72" t="s">
        <v>30</v>
      </c>
      <c r="H845" s="72" t="s">
        <v>30</v>
      </c>
      <c r="I845" s="31"/>
    </row>
    <row r="846">
      <c r="B846" s="72" t="s">
        <v>30</v>
      </c>
      <c r="C846" s="73" t="s">
        <v>30</v>
      </c>
      <c r="D846" s="72" t="s">
        <v>30</v>
      </c>
      <c r="E846" s="72" t="s">
        <v>30</v>
      </c>
      <c r="G846" s="72" t="s">
        <v>30</v>
      </c>
      <c r="H846" s="72" t="s">
        <v>30</v>
      </c>
      <c r="I846" s="31"/>
    </row>
    <row r="847">
      <c r="B847" s="72" t="s">
        <v>30</v>
      </c>
      <c r="C847" s="73" t="s">
        <v>30</v>
      </c>
      <c r="D847" s="72" t="s">
        <v>30</v>
      </c>
      <c r="E847" s="72" t="s">
        <v>30</v>
      </c>
      <c r="G847" s="72" t="s">
        <v>30</v>
      </c>
      <c r="H847" s="72" t="s">
        <v>30</v>
      </c>
      <c r="I847" s="31"/>
    </row>
    <row r="848">
      <c r="B848" s="72" t="s">
        <v>30</v>
      </c>
      <c r="C848" s="73" t="s">
        <v>30</v>
      </c>
      <c r="D848" s="72" t="s">
        <v>30</v>
      </c>
      <c r="E848" s="72" t="s">
        <v>30</v>
      </c>
      <c r="G848" s="72" t="s">
        <v>30</v>
      </c>
      <c r="H848" s="72" t="s">
        <v>30</v>
      </c>
      <c r="I848" s="31"/>
    </row>
    <row r="849">
      <c r="B849" s="72" t="s">
        <v>30</v>
      </c>
      <c r="C849" s="73" t="s">
        <v>30</v>
      </c>
      <c r="D849" s="72" t="s">
        <v>30</v>
      </c>
      <c r="E849" s="72" t="s">
        <v>30</v>
      </c>
      <c r="G849" s="72" t="s">
        <v>30</v>
      </c>
      <c r="H849" s="72" t="s">
        <v>30</v>
      </c>
      <c r="I849" s="31"/>
    </row>
    <row r="850">
      <c r="B850" s="72" t="s">
        <v>30</v>
      </c>
      <c r="C850" s="73" t="s">
        <v>30</v>
      </c>
      <c r="D850" s="72" t="s">
        <v>30</v>
      </c>
      <c r="E850" s="72" t="s">
        <v>30</v>
      </c>
      <c r="G850" s="72" t="s">
        <v>30</v>
      </c>
      <c r="H850" s="72" t="s">
        <v>30</v>
      </c>
      <c r="I850" s="31"/>
    </row>
    <row r="851">
      <c r="B851" s="72" t="s">
        <v>30</v>
      </c>
      <c r="C851" s="73" t="s">
        <v>30</v>
      </c>
      <c r="D851" s="72" t="s">
        <v>30</v>
      </c>
      <c r="E851" s="72" t="s">
        <v>30</v>
      </c>
      <c r="G851" s="72" t="s">
        <v>30</v>
      </c>
      <c r="H851" s="72" t="s">
        <v>30</v>
      </c>
      <c r="I851" s="31"/>
    </row>
    <row r="852">
      <c r="B852" s="72" t="s">
        <v>30</v>
      </c>
      <c r="C852" s="73" t="s">
        <v>30</v>
      </c>
      <c r="D852" s="72" t="s">
        <v>30</v>
      </c>
      <c r="E852" s="72" t="s">
        <v>30</v>
      </c>
      <c r="G852" s="72" t="s">
        <v>30</v>
      </c>
      <c r="H852" s="72" t="s">
        <v>30</v>
      </c>
      <c r="I852" s="31"/>
    </row>
    <row r="853">
      <c r="B853" s="72" t="s">
        <v>30</v>
      </c>
      <c r="C853" s="73" t="s">
        <v>30</v>
      </c>
      <c r="D853" s="72" t="s">
        <v>30</v>
      </c>
      <c r="E853" s="72" t="s">
        <v>30</v>
      </c>
      <c r="G853" s="72" t="s">
        <v>30</v>
      </c>
      <c r="H853" s="72" t="s">
        <v>30</v>
      </c>
      <c r="I853" s="31"/>
    </row>
    <row r="854">
      <c r="B854" s="72" t="s">
        <v>30</v>
      </c>
      <c r="C854" s="73" t="s">
        <v>30</v>
      </c>
      <c r="D854" s="72" t="s">
        <v>30</v>
      </c>
      <c r="E854" s="72" t="s">
        <v>30</v>
      </c>
      <c r="G854" s="72" t="s">
        <v>30</v>
      </c>
      <c r="H854" s="72" t="s">
        <v>30</v>
      </c>
      <c r="I854" s="31"/>
    </row>
    <row r="855">
      <c r="B855" s="72" t="s">
        <v>30</v>
      </c>
      <c r="C855" s="73" t="s">
        <v>30</v>
      </c>
      <c r="D855" s="72" t="s">
        <v>30</v>
      </c>
      <c r="E855" s="72" t="s">
        <v>30</v>
      </c>
      <c r="G855" s="72" t="s">
        <v>30</v>
      </c>
      <c r="H855" s="72" t="s">
        <v>30</v>
      </c>
      <c r="I855" s="31"/>
    </row>
    <row r="856">
      <c r="B856" s="72" t="s">
        <v>30</v>
      </c>
      <c r="C856" s="73" t="s">
        <v>30</v>
      </c>
      <c r="D856" s="72" t="s">
        <v>30</v>
      </c>
      <c r="E856" s="72" t="s">
        <v>30</v>
      </c>
      <c r="G856" s="72" t="s">
        <v>30</v>
      </c>
      <c r="H856" s="72" t="s">
        <v>30</v>
      </c>
      <c r="I856" s="31"/>
    </row>
    <row r="857">
      <c r="B857" s="72" t="s">
        <v>30</v>
      </c>
      <c r="C857" s="73" t="s">
        <v>30</v>
      </c>
      <c r="D857" s="72" t="s">
        <v>30</v>
      </c>
      <c r="E857" s="72" t="s">
        <v>30</v>
      </c>
      <c r="G857" s="72" t="s">
        <v>30</v>
      </c>
      <c r="H857" s="72" t="s">
        <v>30</v>
      </c>
      <c r="I857" s="31"/>
    </row>
    <row r="858">
      <c r="B858" s="72" t="s">
        <v>30</v>
      </c>
      <c r="C858" s="73" t="s">
        <v>30</v>
      </c>
      <c r="D858" s="72" t="s">
        <v>30</v>
      </c>
      <c r="E858" s="72" t="s">
        <v>30</v>
      </c>
      <c r="G858" s="72" t="s">
        <v>30</v>
      </c>
      <c r="H858" s="72" t="s">
        <v>30</v>
      </c>
      <c r="I858" s="31"/>
    </row>
    <row r="859">
      <c r="B859" s="72" t="s">
        <v>30</v>
      </c>
      <c r="C859" s="73" t="s">
        <v>30</v>
      </c>
      <c r="D859" s="72" t="s">
        <v>30</v>
      </c>
      <c r="E859" s="72" t="s">
        <v>30</v>
      </c>
      <c r="G859" s="72" t="s">
        <v>30</v>
      </c>
      <c r="H859" s="72" t="s">
        <v>30</v>
      </c>
      <c r="I859" s="31"/>
    </row>
    <row r="860">
      <c r="B860" s="72" t="s">
        <v>30</v>
      </c>
      <c r="C860" s="73" t="s">
        <v>30</v>
      </c>
      <c r="D860" s="72" t="s">
        <v>30</v>
      </c>
      <c r="E860" s="72" t="s">
        <v>30</v>
      </c>
      <c r="G860" s="72" t="s">
        <v>30</v>
      </c>
      <c r="H860" s="72" t="s">
        <v>30</v>
      </c>
      <c r="I860" s="31"/>
    </row>
    <row r="861">
      <c r="B861" s="72" t="s">
        <v>30</v>
      </c>
      <c r="C861" s="73" t="s">
        <v>30</v>
      </c>
      <c r="D861" s="72" t="s">
        <v>30</v>
      </c>
      <c r="E861" s="72" t="s">
        <v>30</v>
      </c>
      <c r="G861" s="72" t="s">
        <v>30</v>
      </c>
      <c r="H861" s="72" t="s">
        <v>30</v>
      </c>
      <c r="I861" s="31"/>
    </row>
    <row r="862">
      <c r="B862" s="72" t="s">
        <v>30</v>
      </c>
      <c r="C862" s="73" t="s">
        <v>30</v>
      </c>
      <c r="D862" s="72" t="s">
        <v>30</v>
      </c>
      <c r="E862" s="72" t="s">
        <v>30</v>
      </c>
      <c r="G862" s="72" t="s">
        <v>30</v>
      </c>
      <c r="H862" s="72" t="s">
        <v>30</v>
      </c>
      <c r="I862" s="31"/>
    </row>
    <row r="863">
      <c r="B863" s="72" t="s">
        <v>30</v>
      </c>
      <c r="C863" s="73" t="s">
        <v>30</v>
      </c>
      <c r="D863" s="72" t="s">
        <v>30</v>
      </c>
      <c r="E863" s="72" t="s">
        <v>30</v>
      </c>
      <c r="G863" s="72" t="s">
        <v>30</v>
      </c>
      <c r="H863" s="72" t="s">
        <v>30</v>
      </c>
      <c r="I863" s="31"/>
    </row>
    <row r="864">
      <c r="B864" s="72" t="s">
        <v>30</v>
      </c>
      <c r="C864" s="73" t="s">
        <v>30</v>
      </c>
      <c r="D864" s="72" t="s">
        <v>30</v>
      </c>
      <c r="E864" s="72" t="s">
        <v>30</v>
      </c>
      <c r="G864" s="72" t="s">
        <v>30</v>
      </c>
      <c r="H864" s="72" t="s">
        <v>30</v>
      </c>
      <c r="I864" s="31"/>
    </row>
    <row r="865">
      <c r="B865" s="72" t="s">
        <v>30</v>
      </c>
      <c r="C865" s="73" t="s">
        <v>30</v>
      </c>
      <c r="D865" s="72" t="s">
        <v>30</v>
      </c>
      <c r="E865" s="72" t="s">
        <v>30</v>
      </c>
      <c r="G865" s="72" t="s">
        <v>30</v>
      </c>
      <c r="H865" s="72" t="s">
        <v>30</v>
      </c>
      <c r="I865" s="31"/>
    </row>
    <row r="866">
      <c r="B866" s="72" t="s">
        <v>30</v>
      </c>
      <c r="C866" s="73" t="s">
        <v>30</v>
      </c>
      <c r="D866" s="72" t="s">
        <v>30</v>
      </c>
      <c r="E866" s="72" t="s">
        <v>30</v>
      </c>
      <c r="G866" s="72" t="s">
        <v>30</v>
      </c>
      <c r="H866" s="72" t="s">
        <v>30</v>
      </c>
      <c r="I866" s="31"/>
    </row>
    <row r="867">
      <c r="B867" s="72" t="s">
        <v>30</v>
      </c>
      <c r="C867" s="73" t="s">
        <v>30</v>
      </c>
      <c r="D867" s="72" t="s">
        <v>30</v>
      </c>
      <c r="E867" s="72" t="s">
        <v>30</v>
      </c>
      <c r="G867" s="72" t="s">
        <v>30</v>
      </c>
      <c r="H867" s="72" t="s">
        <v>30</v>
      </c>
      <c r="I867" s="31"/>
    </row>
    <row r="868">
      <c r="B868" s="72" t="s">
        <v>30</v>
      </c>
      <c r="C868" s="73" t="s">
        <v>30</v>
      </c>
      <c r="D868" s="72" t="s">
        <v>30</v>
      </c>
      <c r="E868" s="72" t="s">
        <v>30</v>
      </c>
      <c r="G868" s="72" t="s">
        <v>30</v>
      </c>
      <c r="H868" s="72" t="s">
        <v>30</v>
      </c>
      <c r="I868" s="31"/>
    </row>
    <row r="869">
      <c r="B869" s="72" t="s">
        <v>30</v>
      </c>
      <c r="C869" s="73" t="s">
        <v>30</v>
      </c>
      <c r="D869" s="72" t="s">
        <v>30</v>
      </c>
      <c r="E869" s="72" t="s">
        <v>30</v>
      </c>
      <c r="G869" s="72" t="s">
        <v>30</v>
      </c>
      <c r="H869" s="72" t="s">
        <v>30</v>
      </c>
      <c r="I869" s="31"/>
    </row>
    <row r="870">
      <c r="B870" s="72" t="s">
        <v>30</v>
      </c>
      <c r="C870" s="73" t="s">
        <v>30</v>
      </c>
      <c r="D870" s="72" t="s">
        <v>30</v>
      </c>
      <c r="E870" s="72" t="s">
        <v>30</v>
      </c>
      <c r="G870" s="72" t="s">
        <v>30</v>
      </c>
      <c r="H870" s="72" t="s">
        <v>30</v>
      </c>
      <c r="I870" s="31"/>
    </row>
    <row r="871">
      <c r="B871" s="72" t="s">
        <v>30</v>
      </c>
      <c r="C871" s="73" t="s">
        <v>30</v>
      </c>
      <c r="D871" s="72" t="s">
        <v>30</v>
      </c>
      <c r="E871" s="72" t="s">
        <v>30</v>
      </c>
      <c r="G871" s="72" t="s">
        <v>30</v>
      </c>
      <c r="H871" s="72" t="s">
        <v>30</v>
      </c>
      <c r="I871" s="31"/>
    </row>
    <row r="872">
      <c r="B872" s="72" t="s">
        <v>30</v>
      </c>
      <c r="C872" s="73" t="s">
        <v>30</v>
      </c>
      <c r="D872" s="72" t="s">
        <v>30</v>
      </c>
      <c r="E872" s="72" t="s">
        <v>30</v>
      </c>
      <c r="G872" s="72" t="s">
        <v>30</v>
      </c>
      <c r="H872" s="72" t="s">
        <v>30</v>
      </c>
      <c r="I872" s="31"/>
    </row>
    <row r="873">
      <c r="B873" s="72" t="s">
        <v>30</v>
      </c>
      <c r="C873" s="73" t="s">
        <v>30</v>
      </c>
      <c r="D873" s="72" t="s">
        <v>30</v>
      </c>
      <c r="E873" s="72" t="s">
        <v>30</v>
      </c>
      <c r="G873" s="72" t="s">
        <v>30</v>
      </c>
      <c r="H873" s="72" t="s">
        <v>30</v>
      </c>
      <c r="I873" s="31"/>
    </row>
    <row r="874">
      <c r="B874" s="72" t="s">
        <v>30</v>
      </c>
      <c r="C874" s="73" t="s">
        <v>30</v>
      </c>
      <c r="D874" s="72" t="s">
        <v>30</v>
      </c>
      <c r="E874" s="72" t="s">
        <v>30</v>
      </c>
      <c r="G874" s="72" t="s">
        <v>30</v>
      </c>
      <c r="H874" s="72" t="s">
        <v>30</v>
      </c>
      <c r="I874" s="31"/>
    </row>
    <row r="875">
      <c r="B875" s="72" t="s">
        <v>30</v>
      </c>
      <c r="C875" s="73" t="s">
        <v>30</v>
      </c>
      <c r="D875" s="72" t="s">
        <v>30</v>
      </c>
      <c r="E875" s="72" t="s">
        <v>30</v>
      </c>
      <c r="G875" s="72" t="s">
        <v>30</v>
      </c>
      <c r="H875" s="72" t="s">
        <v>30</v>
      </c>
      <c r="I875" s="31"/>
    </row>
    <row r="876">
      <c r="B876" s="72" t="s">
        <v>30</v>
      </c>
      <c r="C876" s="73" t="s">
        <v>30</v>
      </c>
      <c r="D876" s="72" t="s">
        <v>30</v>
      </c>
      <c r="E876" s="72" t="s">
        <v>30</v>
      </c>
      <c r="G876" s="72" t="s">
        <v>30</v>
      </c>
      <c r="H876" s="72" t="s">
        <v>30</v>
      </c>
      <c r="I876" s="31"/>
    </row>
    <row r="877">
      <c r="B877" s="72" t="s">
        <v>30</v>
      </c>
      <c r="C877" s="73" t="s">
        <v>30</v>
      </c>
      <c r="D877" s="72" t="s">
        <v>30</v>
      </c>
      <c r="E877" s="72" t="s">
        <v>30</v>
      </c>
      <c r="G877" s="72" t="s">
        <v>30</v>
      </c>
      <c r="H877" s="72" t="s">
        <v>30</v>
      </c>
      <c r="I877" s="31"/>
    </row>
    <row r="878">
      <c r="B878" s="72" t="s">
        <v>30</v>
      </c>
      <c r="C878" s="73" t="s">
        <v>30</v>
      </c>
      <c r="D878" s="72" t="s">
        <v>30</v>
      </c>
      <c r="E878" s="72" t="s">
        <v>30</v>
      </c>
      <c r="G878" s="72" t="s">
        <v>30</v>
      </c>
      <c r="H878" s="72" t="s">
        <v>30</v>
      </c>
      <c r="I878" s="31"/>
    </row>
    <row r="879">
      <c r="B879" s="72" t="s">
        <v>30</v>
      </c>
      <c r="C879" s="73" t="s">
        <v>30</v>
      </c>
      <c r="D879" s="72" t="s">
        <v>30</v>
      </c>
      <c r="E879" s="72" t="s">
        <v>30</v>
      </c>
      <c r="G879" s="72" t="s">
        <v>30</v>
      </c>
      <c r="H879" s="72" t="s">
        <v>30</v>
      </c>
      <c r="I879" s="31"/>
    </row>
    <row r="880">
      <c r="B880" s="72" t="s">
        <v>30</v>
      </c>
      <c r="C880" s="73" t="s">
        <v>30</v>
      </c>
      <c r="D880" s="72" t="s">
        <v>30</v>
      </c>
      <c r="E880" s="72" t="s">
        <v>30</v>
      </c>
      <c r="G880" s="72" t="s">
        <v>30</v>
      </c>
      <c r="H880" s="72" t="s">
        <v>30</v>
      </c>
      <c r="I880" s="31"/>
    </row>
    <row r="881">
      <c r="B881" s="72" t="s">
        <v>30</v>
      </c>
      <c r="C881" s="73" t="s">
        <v>30</v>
      </c>
      <c r="D881" s="72" t="s">
        <v>30</v>
      </c>
      <c r="E881" s="72" t="s">
        <v>30</v>
      </c>
      <c r="G881" s="72" t="s">
        <v>30</v>
      </c>
      <c r="H881" s="72" t="s">
        <v>30</v>
      </c>
      <c r="I881" s="31"/>
    </row>
    <row r="882">
      <c r="B882" s="72" t="s">
        <v>30</v>
      </c>
      <c r="C882" s="73" t="s">
        <v>30</v>
      </c>
      <c r="D882" s="72" t="s">
        <v>30</v>
      </c>
      <c r="E882" s="72" t="s">
        <v>30</v>
      </c>
      <c r="G882" s="72" t="s">
        <v>30</v>
      </c>
      <c r="H882" s="72" t="s">
        <v>30</v>
      </c>
      <c r="I882" s="31"/>
    </row>
    <row r="883">
      <c r="B883" s="72" t="s">
        <v>30</v>
      </c>
      <c r="C883" s="73" t="s">
        <v>30</v>
      </c>
      <c r="D883" s="72" t="s">
        <v>30</v>
      </c>
      <c r="E883" s="72" t="s">
        <v>30</v>
      </c>
      <c r="G883" s="72" t="s">
        <v>30</v>
      </c>
      <c r="H883" s="72" t="s">
        <v>30</v>
      </c>
      <c r="I883" s="31"/>
    </row>
    <row r="884">
      <c r="B884" s="72" t="s">
        <v>30</v>
      </c>
      <c r="C884" s="73" t="s">
        <v>30</v>
      </c>
      <c r="D884" s="72" t="s">
        <v>30</v>
      </c>
      <c r="E884" s="72" t="s">
        <v>30</v>
      </c>
      <c r="G884" s="72" t="s">
        <v>30</v>
      </c>
      <c r="H884" s="72" t="s">
        <v>30</v>
      </c>
      <c r="I884" s="31"/>
    </row>
    <row r="885">
      <c r="B885" s="72" t="s">
        <v>30</v>
      </c>
      <c r="C885" s="73" t="s">
        <v>30</v>
      </c>
      <c r="D885" s="72" t="s">
        <v>30</v>
      </c>
      <c r="E885" s="72" t="s">
        <v>30</v>
      </c>
      <c r="G885" s="72" t="s">
        <v>30</v>
      </c>
      <c r="H885" s="72" t="s">
        <v>30</v>
      </c>
      <c r="I885" s="31"/>
    </row>
    <row r="886">
      <c r="B886" s="72" t="s">
        <v>30</v>
      </c>
      <c r="C886" s="73" t="s">
        <v>30</v>
      </c>
      <c r="D886" s="72" t="s">
        <v>30</v>
      </c>
      <c r="E886" s="72" t="s">
        <v>30</v>
      </c>
      <c r="G886" s="72" t="s">
        <v>30</v>
      </c>
      <c r="H886" s="72" t="s">
        <v>30</v>
      </c>
      <c r="I886" s="31"/>
    </row>
    <row r="887">
      <c r="B887" s="72" t="s">
        <v>30</v>
      </c>
      <c r="C887" s="73" t="s">
        <v>30</v>
      </c>
      <c r="D887" s="72" t="s">
        <v>30</v>
      </c>
      <c r="E887" s="72" t="s">
        <v>30</v>
      </c>
      <c r="G887" s="72" t="s">
        <v>30</v>
      </c>
      <c r="H887" s="72" t="s">
        <v>30</v>
      </c>
      <c r="I887" s="31"/>
    </row>
    <row r="888">
      <c r="B888" s="72" t="s">
        <v>30</v>
      </c>
      <c r="C888" s="73" t="s">
        <v>30</v>
      </c>
      <c r="D888" s="72" t="s">
        <v>30</v>
      </c>
      <c r="E888" s="72" t="s">
        <v>30</v>
      </c>
      <c r="G888" s="72" t="s">
        <v>30</v>
      </c>
      <c r="H888" s="72" t="s">
        <v>30</v>
      </c>
      <c r="I888" s="31"/>
    </row>
    <row r="889">
      <c r="B889" s="72" t="s">
        <v>30</v>
      </c>
      <c r="C889" s="73" t="s">
        <v>30</v>
      </c>
      <c r="D889" s="72" t="s">
        <v>30</v>
      </c>
      <c r="E889" s="72" t="s">
        <v>30</v>
      </c>
      <c r="G889" s="72" t="s">
        <v>30</v>
      </c>
      <c r="H889" s="72" t="s">
        <v>30</v>
      </c>
      <c r="I889" s="31"/>
    </row>
    <row r="890">
      <c r="B890" s="72" t="s">
        <v>30</v>
      </c>
      <c r="C890" s="73" t="s">
        <v>30</v>
      </c>
      <c r="D890" s="72" t="s">
        <v>30</v>
      </c>
      <c r="E890" s="72" t="s">
        <v>30</v>
      </c>
      <c r="G890" s="72" t="s">
        <v>30</v>
      </c>
      <c r="H890" s="72" t="s">
        <v>30</v>
      </c>
      <c r="I890" s="31"/>
    </row>
    <row r="891">
      <c r="B891" s="72" t="s">
        <v>30</v>
      </c>
      <c r="C891" s="73" t="s">
        <v>30</v>
      </c>
      <c r="D891" s="72" t="s">
        <v>30</v>
      </c>
      <c r="E891" s="72" t="s">
        <v>30</v>
      </c>
      <c r="G891" s="72" t="s">
        <v>30</v>
      </c>
      <c r="H891" s="72" t="s">
        <v>30</v>
      </c>
      <c r="I891" s="31"/>
    </row>
    <row r="892">
      <c r="B892" s="72" t="s">
        <v>30</v>
      </c>
      <c r="C892" s="73" t="s">
        <v>30</v>
      </c>
      <c r="D892" s="72" t="s">
        <v>30</v>
      </c>
      <c r="E892" s="72" t="s">
        <v>30</v>
      </c>
      <c r="G892" s="72" t="s">
        <v>30</v>
      </c>
      <c r="H892" s="72" t="s">
        <v>30</v>
      </c>
      <c r="I892" s="31"/>
    </row>
    <row r="893">
      <c r="B893" s="72" t="s">
        <v>30</v>
      </c>
      <c r="C893" s="73" t="s">
        <v>30</v>
      </c>
      <c r="D893" s="72" t="s">
        <v>30</v>
      </c>
      <c r="E893" s="72" t="s">
        <v>30</v>
      </c>
      <c r="G893" s="72" t="s">
        <v>30</v>
      </c>
      <c r="H893" s="72" t="s">
        <v>30</v>
      </c>
      <c r="I893" s="31"/>
    </row>
    <row r="894">
      <c r="B894" s="72" t="s">
        <v>30</v>
      </c>
      <c r="C894" s="73" t="s">
        <v>30</v>
      </c>
      <c r="D894" s="72" t="s">
        <v>30</v>
      </c>
      <c r="E894" s="72" t="s">
        <v>30</v>
      </c>
      <c r="G894" s="72" t="s">
        <v>30</v>
      </c>
      <c r="H894" s="72" t="s">
        <v>30</v>
      </c>
      <c r="I894" s="31"/>
    </row>
    <row r="895">
      <c r="B895" s="72" t="s">
        <v>30</v>
      </c>
      <c r="C895" s="73" t="s">
        <v>30</v>
      </c>
      <c r="D895" s="72" t="s">
        <v>30</v>
      </c>
      <c r="E895" s="72" t="s">
        <v>30</v>
      </c>
      <c r="G895" s="72" t="s">
        <v>30</v>
      </c>
      <c r="H895" s="72" t="s">
        <v>30</v>
      </c>
      <c r="I895" s="31"/>
    </row>
    <row r="896">
      <c r="B896" s="72" t="s">
        <v>30</v>
      </c>
      <c r="C896" s="73" t="s">
        <v>30</v>
      </c>
      <c r="D896" s="72" t="s">
        <v>30</v>
      </c>
      <c r="E896" s="72" t="s">
        <v>30</v>
      </c>
      <c r="G896" s="72" t="s">
        <v>30</v>
      </c>
      <c r="H896" s="72" t="s">
        <v>30</v>
      </c>
      <c r="I896" s="31"/>
    </row>
    <row r="897">
      <c r="B897" s="72" t="s">
        <v>30</v>
      </c>
      <c r="C897" s="73" t="s">
        <v>30</v>
      </c>
      <c r="D897" s="72" t="s">
        <v>30</v>
      </c>
      <c r="E897" s="72" t="s">
        <v>30</v>
      </c>
      <c r="G897" s="72" t="s">
        <v>30</v>
      </c>
      <c r="H897" s="72" t="s">
        <v>30</v>
      </c>
      <c r="I897" s="31"/>
    </row>
    <row r="898">
      <c r="B898" s="72" t="s">
        <v>30</v>
      </c>
      <c r="C898" s="73" t="s">
        <v>30</v>
      </c>
      <c r="D898" s="72" t="s">
        <v>30</v>
      </c>
      <c r="E898" s="72" t="s">
        <v>30</v>
      </c>
      <c r="G898" s="72" t="s">
        <v>30</v>
      </c>
      <c r="H898" s="72" t="s">
        <v>30</v>
      </c>
      <c r="I898" s="31"/>
    </row>
    <row r="899">
      <c r="B899" s="72" t="s">
        <v>30</v>
      </c>
      <c r="C899" s="73" t="s">
        <v>30</v>
      </c>
      <c r="D899" s="72" t="s">
        <v>30</v>
      </c>
      <c r="E899" s="72" t="s">
        <v>30</v>
      </c>
      <c r="G899" s="72" t="s">
        <v>30</v>
      </c>
      <c r="H899" s="72" t="s">
        <v>30</v>
      </c>
      <c r="I899" s="31"/>
    </row>
    <row r="900">
      <c r="B900" s="72" t="s">
        <v>30</v>
      </c>
      <c r="C900" s="73" t="s">
        <v>30</v>
      </c>
      <c r="D900" s="72" t="s">
        <v>30</v>
      </c>
      <c r="E900" s="72" t="s">
        <v>30</v>
      </c>
      <c r="G900" s="72" t="s">
        <v>30</v>
      </c>
      <c r="H900" s="72" t="s">
        <v>30</v>
      </c>
      <c r="I900" s="31"/>
    </row>
    <row r="901">
      <c r="B901" s="72" t="s">
        <v>30</v>
      </c>
      <c r="C901" s="73" t="s">
        <v>30</v>
      </c>
      <c r="D901" s="72" t="s">
        <v>30</v>
      </c>
      <c r="E901" s="72" t="s">
        <v>30</v>
      </c>
      <c r="G901" s="72" t="s">
        <v>30</v>
      </c>
      <c r="H901" s="72" t="s">
        <v>30</v>
      </c>
      <c r="I901" s="31"/>
    </row>
    <row r="902">
      <c r="B902" s="72" t="s">
        <v>30</v>
      </c>
      <c r="C902" s="73" t="s">
        <v>30</v>
      </c>
      <c r="D902" s="72" t="s">
        <v>30</v>
      </c>
      <c r="E902" s="72" t="s">
        <v>30</v>
      </c>
      <c r="G902" s="72" t="s">
        <v>30</v>
      </c>
      <c r="H902" s="72" t="s">
        <v>30</v>
      </c>
      <c r="I902" s="31"/>
    </row>
    <row r="903">
      <c r="B903" s="72" t="s">
        <v>30</v>
      </c>
      <c r="C903" s="73" t="s">
        <v>30</v>
      </c>
      <c r="D903" s="72" t="s">
        <v>30</v>
      </c>
      <c r="E903" s="72" t="s">
        <v>30</v>
      </c>
      <c r="G903" s="72" t="s">
        <v>30</v>
      </c>
      <c r="H903" s="72" t="s">
        <v>30</v>
      </c>
      <c r="I903" s="31"/>
    </row>
    <row r="904">
      <c r="B904" s="72" t="s">
        <v>30</v>
      </c>
      <c r="C904" s="73" t="s">
        <v>30</v>
      </c>
      <c r="D904" s="72" t="s">
        <v>30</v>
      </c>
      <c r="E904" s="72" t="s">
        <v>30</v>
      </c>
      <c r="G904" s="72" t="s">
        <v>30</v>
      </c>
      <c r="H904" s="72" t="s">
        <v>30</v>
      </c>
      <c r="I904" s="31"/>
    </row>
    <row r="905">
      <c r="B905" s="72" t="s">
        <v>30</v>
      </c>
      <c r="C905" s="73" t="s">
        <v>30</v>
      </c>
      <c r="D905" s="72" t="s">
        <v>30</v>
      </c>
      <c r="E905" s="72" t="s">
        <v>30</v>
      </c>
      <c r="G905" s="72" t="s">
        <v>30</v>
      </c>
      <c r="H905" s="72" t="s">
        <v>30</v>
      </c>
      <c r="I905" s="31"/>
    </row>
    <row r="906">
      <c r="B906" s="72" t="s">
        <v>30</v>
      </c>
      <c r="C906" s="73" t="s">
        <v>30</v>
      </c>
      <c r="D906" s="72" t="s">
        <v>30</v>
      </c>
      <c r="E906" s="72" t="s">
        <v>30</v>
      </c>
      <c r="G906" s="72" t="s">
        <v>30</v>
      </c>
      <c r="H906" s="72" t="s">
        <v>30</v>
      </c>
      <c r="I906" s="31"/>
    </row>
    <row r="907">
      <c r="B907" s="72" t="s">
        <v>30</v>
      </c>
      <c r="C907" s="73" t="s">
        <v>30</v>
      </c>
      <c r="D907" s="72" t="s">
        <v>30</v>
      </c>
      <c r="E907" s="72" t="s">
        <v>30</v>
      </c>
      <c r="G907" s="72" t="s">
        <v>30</v>
      </c>
      <c r="H907" s="72" t="s">
        <v>30</v>
      </c>
      <c r="I907" s="31"/>
    </row>
    <row r="908">
      <c r="B908" s="72" t="s">
        <v>30</v>
      </c>
      <c r="C908" s="73" t="s">
        <v>30</v>
      </c>
      <c r="D908" s="72" t="s">
        <v>30</v>
      </c>
      <c r="E908" s="72" t="s">
        <v>30</v>
      </c>
      <c r="G908" s="72" t="s">
        <v>30</v>
      </c>
      <c r="H908" s="72" t="s">
        <v>30</v>
      </c>
      <c r="I908" s="31"/>
    </row>
    <row r="909">
      <c r="B909" s="72" t="s">
        <v>30</v>
      </c>
      <c r="C909" s="73" t="s">
        <v>30</v>
      </c>
      <c r="D909" s="72" t="s">
        <v>30</v>
      </c>
      <c r="E909" s="72" t="s">
        <v>30</v>
      </c>
      <c r="G909" s="72" t="s">
        <v>30</v>
      </c>
      <c r="H909" s="72" t="s">
        <v>30</v>
      </c>
      <c r="I909" s="31"/>
    </row>
    <row r="910">
      <c r="B910" s="72" t="s">
        <v>30</v>
      </c>
      <c r="C910" s="73" t="s">
        <v>30</v>
      </c>
      <c r="D910" s="72" t="s">
        <v>30</v>
      </c>
      <c r="E910" s="72" t="s">
        <v>30</v>
      </c>
      <c r="G910" s="72" t="s">
        <v>30</v>
      </c>
      <c r="H910" s="72" t="s">
        <v>30</v>
      </c>
      <c r="I910" s="31"/>
    </row>
    <row r="911">
      <c r="B911" s="72" t="s">
        <v>30</v>
      </c>
      <c r="C911" s="73" t="s">
        <v>30</v>
      </c>
      <c r="D911" s="72" t="s">
        <v>30</v>
      </c>
      <c r="E911" s="72" t="s">
        <v>30</v>
      </c>
      <c r="G911" s="72" t="s">
        <v>30</v>
      </c>
      <c r="H911" s="72" t="s">
        <v>30</v>
      </c>
      <c r="I911" s="31"/>
    </row>
    <row r="912">
      <c r="B912" s="72" t="s">
        <v>30</v>
      </c>
      <c r="C912" s="73" t="s">
        <v>30</v>
      </c>
      <c r="D912" s="72" t="s">
        <v>30</v>
      </c>
      <c r="E912" s="72" t="s">
        <v>30</v>
      </c>
      <c r="G912" s="72" t="s">
        <v>30</v>
      </c>
      <c r="H912" s="72" t="s">
        <v>30</v>
      </c>
      <c r="I912" s="31"/>
    </row>
    <row r="913">
      <c r="B913" s="72" t="s">
        <v>30</v>
      </c>
      <c r="C913" s="73" t="s">
        <v>30</v>
      </c>
      <c r="D913" s="72" t="s">
        <v>30</v>
      </c>
      <c r="E913" s="72" t="s">
        <v>30</v>
      </c>
      <c r="G913" s="72" t="s">
        <v>30</v>
      </c>
      <c r="H913" s="72" t="s">
        <v>30</v>
      </c>
      <c r="I913" s="31"/>
    </row>
    <row r="914">
      <c r="B914" s="72" t="s">
        <v>30</v>
      </c>
      <c r="C914" s="73" t="s">
        <v>30</v>
      </c>
      <c r="D914" s="72" t="s">
        <v>30</v>
      </c>
      <c r="E914" s="72" t="s">
        <v>30</v>
      </c>
      <c r="G914" s="72" t="s">
        <v>30</v>
      </c>
      <c r="H914" s="72" t="s">
        <v>30</v>
      </c>
      <c r="I914" s="31"/>
    </row>
    <row r="915">
      <c r="B915" s="72" t="s">
        <v>30</v>
      </c>
      <c r="C915" s="73" t="s">
        <v>30</v>
      </c>
      <c r="D915" s="72" t="s">
        <v>30</v>
      </c>
      <c r="E915" s="72" t="s">
        <v>30</v>
      </c>
      <c r="G915" s="72" t="s">
        <v>30</v>
      </c>
      <c r="H915" s="72" t="s">
        <v>30</v>
      </c>
      <c r="I915" s="31"/>
    </row>
    <row r="916">
      <c r="B916" s="72" t="s">
        <v>30</v>
      </c>
      <c r="C916" s="73" t="s">
        <v>30</v>
      </c>
      <c r="D916" s="72" t="s">
        <v>30</v>
      </c>
      <c r="E916" s="72" t="s">
        <v>30</v>
      </c>
      <c r="G916" s="72" t="s">
        <v>30</v>
      </c>
      <c r="H916" s="72" t="s">
        <v>30</v>
      </c>
      <c r="I916" s="31"/>
    </row>
    <row r="917">
      <c r="B917" s="72" t="s">
        <v>30</v>
      </c>
      <c r="C917" s="73" t="s">
        <v>30</v>
      </c>
      <c r="D917" s="72" t="s">
        <v>30</v>
      </c>
      <c r="E917" s="72" t="s">
        <v>30</v>
      </c>
      <c r="G917" s="72" t="s">
        <v>30</v>
      </c>
      <c r="H917" s="72" t="s">
        <v>30</v>
      </c>
      <c r="I917" s="31"/>
    </row>
    <row r="918">
      <c r="B918" s="72" t="s">
        <v>30</v>
      </c>
      <c r="C918" s="73" t="s">
        <v>30</v>
      </c>
      <c r="D918" s="72" t="s">
        <v>30</v>
      </c>
      <c r="E918" s="72" t="s">
        <v>30</v>
      </c>
      <c r="G918" s="72" t="s">
        <v>30</v>
      </c>
      <c r="H918" s="72" t="s">
        <v>30</v>
      </c>
      <c r="I918" s="31"/>
    </row>
    <row r="919">
      <c r="B919" s="72" t="s">
        <v>30</v>
      </c>
      <c r="C919" s="73" t="s">
        <v>30</v>
      </c>
      <c r="D919" s="72" t="s">
        <v>30</v>
      </c>
      <c r="E919" s="72" t="s">
        <v>30</v>
      </c>
      <c r="G919" s="72" t="s">
        <v>30</v>
      </c>
      <c r="H919" s="72" t="s">
        <v>30</v>
      </c>
      <c r="I919" s="31"/>
    </row>
    <row r="920">
      <c r="B920" s="72" t="s">
        <v>30</v>
      </c>
      <c r="C920" s="73" t="s">
        <v>30</v>
      </c>
      <c r="D920" s="72" t="s">
        <v>30</v>
      </c>
      <c r="E920" s="72" t="s">
        <v>30</v>
      </c>
      <c r="G920" s="72" t="s">
        <v>30</v>
      </c>
      <c r="H920" s="72" t="s">
        <v>30</v>
      </c>
      <c r="I920" s="31"/>
    </row>
    <row r="921">
      <c r="B921" s="72" t="s">
        <v>30</v>
      </c>
      <c r="C921" s="73" t="s">
        <v>30</v>
      </c>
      <c r="D921" s="72" t="s">
        <v>30</v>
      </c>
      <c r="E921" s="72" t="s">
        <v>30</v>
      </c>
      <c r="G921" s="72" t="s">
        <v>30</v>
      </c>
      <c r="H921" s="72" t="s">
        <v>30</v>
      </c>
      <c r="I921" s="31"/>
    </row>
    <row r="922">
      <c r="B922" s="72" t="s">
        <v>30</v>
      </c>
      <c r="C922" s="73" t="s">
        <v>30</v>
      </c>
      <c r="D922" s="72" t="s">
        <v>30</v>
      </c>
      <c r="E922" s="72" t="s">
        <v>30</v>
      </c>
      <c r="G922" s="72" t="s">
        <v>30</v>
      </c>
      <c r="H922" s="72" t="s">
        <v>30</v>
      </c>
      <c r="I922" s="31"/>
    </row>
    <row r="923">
      <c r="B923" s="72" t="s">
        <v>30</v>
      </c>
      <c r="C923" s="73" t="s">
        <v>30</v>
      </c>
      <c r="D923" s="72" t="s">
        <v>30</v>
      </c>
      <c r="E923" s="72" t="s">
        <v>30</v>
      </c>
      <c r="G923" s="72" t="s">
        <v>30</v>
      </c>
      <c r="H923" s="72" t="s">
        <v>30</v>
      </c>
      <c r="I923" s="31"/>
    </row>
    <row r="924">
      <c r="B924" s="72" t="s">
        <v>30</v>
      </c>
      <c r="C924" s="73" t="s">
        <v>30</v>
      </c>
      <c r="D924" s="72" t="s">
        <v>30</v>
      </c>
      <c r="E924" s="72" t="s">
        <v>30</v>
      </c>
      <c r="G924" s="72" t="s">
        <v>30</v>
      </c>
      <c r="H924" s="72" t="s">
        <v>30</v>
      </c>
      <c r="I924" s="31"/>
    </row>
    <row r="925">
      <c r="B925" s="72" t="s">
        <v>30</v>
      </c>
      <c r="C925" s="73" t="s">
        <v>30</v>
      </c>
      <c r="D925" s="72" t="s">
        <v>30</v>
      </c>
      <c r="E925" s="72" t="s">
        <v>30</v>
      </c>
      <c r="G925" s="72" t="s">
        <v>30</v>
      </c>
      <c r="H925" s="72" t="s">
        <v>30</v>
      </c>
      <c r="I925" s="31"/>
    </row>
    <row r="926">
      <c r="B926" s="72" t="s">
        <v>30</v>
      </c>
      <c r="C926" s="73" t="s">
        <v>30</v>
      </c>
      <c r="D926" s="72" t="s">
        <v>30</v>
      </c>
      <c r="E926" s="72" t="s">
        <v>30</v>
      </c>
      <c r="G926" s="72" t="s">
        <v>30</v>
      </c>
      <c r="H926" s="72" t="s">
        <v>30</v>
      </c>
      <c r="I926" s="31"/>
    </row>
    <row r="927">
      <c r="B927" s="72" t="s">
        <v>30</v>
      </c>
      <c r="C927" s="73" t="s">
        <v>30</v>
      </c>
      <c r="D927" s="72" t="s">
        <v>30</v>
      </c>
      <c r="E927" s="72" t="s">
        <v>30</v>
      </c>
      <c r="G927" s="72" t="s">
        <v>30</v>
      </c>
      <c r="H927" s="72" t="s">
        <v>30</v>
      </c>
      <c r="I927" s="31"/>
    </row>
    <row r="928">
      <c r="B928" s="72" t="s">
        <v>30</v>
      </c>
      <c r="C928" s="73" t="s">
        <v>30</v>
      </c>
      <c r="D928" s="72" t="s">
        <v>30</v>
      </c>
      <c r="E928" s="72" t="s">
        <v>30</v>
      </c>
      <c r="G928" s="72" t="s">
        <v>30</v>
      </c>
      <c r="H928" s="72" t="s">
        <v>30</v>
      </c>
      <c r="I928" s="31"/>
    </row>
    <row r="929">
      <c r="B929" s="72" t="s">
        <v>30</v>
      </c>
      <c r="C929" s="73" t="s">
        <v>30</v>
      </c>
      <c r="D929" s="72" t="s">
        <v>30</v>
      </c>
      <c r="E929" s="72" t="s">
        <v>30</v>
      </c>
      <c r="G929" s="72" t="s">
        <v>30</v>
      </c>
      <c r="H929" s="72" t="s">
        <v>30</v>
      </c>
      <c r="I929" s="31"/>
    </row>
    <row r="930">
      <c r="B930" s="72" t="s">
        <v>30</v>
      </c>
      <c r="C930" s="73" t="s">
        <v>30</v>
      </c>
      <c r="D930" s="72" t="s">
        <v>30</v>
      </c>
      <c r="E930" s="72" t="s">
        <v>30</v>
      </c>
      <c r="G930" s="72" t="s">
        <v>30</v>
      </c>
      <c r="H930" s="72" t="s">
        <v>30</v>
      </c>
      <c r="I930" s="31"/>
    </row>
    <row r="931">
      <c r="B931" s="72" t="s">
        <v>30</v>
      </c>
      <c r="C931" s="73" t="s">
        <v>30</v>
      </c>
      <c r="D931" s="72" t="s">
        <v>30</v>
      </c>
      <c r="E931" s="72" t="s">
        <v>30</v>
      </c>
      <c r="G931" s="72" t="s">
        <v>30</v>
      </c>
      <c r="H931" s="72" t="s">
        <v>30</v>
      </c>
      <c r="I931" s="31"/>
    </row>
    <row r="932">
      <c r="B932" s="72" t="s">
        <v>30</v>
      </c>
      <c r="C932" s="73" t="s">
        <v>30</v>
      </c>
      <c r="D932" s="72" t="s">
        <v>30</v>
      </c>
      <c r="E932" s="72" t="s">
        <v>30</v>
      </c>
      <c r="G932" s="72" t="s">
        <v>30</v>
      </c>
      <c r="H932" s="72" t="s">
        <v>30</v>
      </c>
      <c r="I932" s="31"/>
    </row>
    <row r="933">
      <c r="B933" s="72" t="s">
        <v>30</v>
      </c>
      <c r="C933" s="73" t="s">
        <v>30</v>
      </c>
      <c r="D933" s="72" t="s">
        <v>30</v>
      </c>
      <c r="E933" s="72" t="s">
        <v>30</v>
      </c>
      <c r="G933" s="72" t="s">
        <v>30</v>
      </c>
      <c r="H933" s="72" t="s">
        <v>30</v>
      </c>
      <c r="I933" s="31"/>
    </row>
    <row r="934">
      <c r="B934" s="72" t="s">
        <v>30</v>
      </c>
      <c r="C934" s="73" t="s">
        <v>30</v>
      </c>
      <c r="D934" s="72" t="s">
        <v>30</v>
      </c>
      <c r="E934" s="72" t="s">
        <v>30</v>
      </c>
      <c r="G934" s="72" t="s">
        <v>30</v>
      </c>
      <c r="H934" s="72" t="s">
        <v>30</v>
      </c>
      <c r="I934" s="31"/>
    </row>
    <row r="935">
      <c r="B935" s="72" t="s">
        <v>30</v>
      </c>
      <c r="C935" s="73" t="s">
        <v>30</v>
      </c>
      <c r="D935" s="72" t="s">
        <v>30</v>
      </c>
      <c r="E935" s="72" t="s">
        <v>30</v>
      </c>
      <c r="G935" s="72" t="s">
        <v>30</v>
      </c>
      <c r="H935" s="72" t="s">
        <v>30</v>
      </c>
      <c r="I935" s="31"/>
    </row>
    <row r="936">
      <c r="B936" s="72" t="s">
        <v>30</v>
      </c>
      <c r="C936" s="73" t="s">
        <v>30</v>
      </c>
      <c r="D936" s="72" t="s">
        <v>30</v>
      </c>
      <c r="E936" s="72" t="s">
        <v>30</v>
      </c>
      <c r="G936" s="72" t="s">
        <v>30</v>
      </c>
      <c r="H936" s="72" t="s">
        <v>30</v>
      </c>
      <c r="I936" s="31"/>
    </row>
    <row r="937">
      <c r="B937" s="72" t="s">
        <v>30</v>
      </c>
      <c r="C937" s="73" t="s">
        <v>30</v>
      </c>
      <c r="D937" s="72" t="s">
        <v>30</v>
      </c>
      <c r="E937" s="72" t="s">
        <v>30</v>
      </c>
      <c r="G937" s="72" t="s">
        <v>30</v>
      </c>
      <c r="H937" s="72" t="s">
        <v>30</v>
      </c>
      <c r="I937" s="31"/>
    </row>
    <row r="938">
      <c r="B938" s="72" t="s">
        <v>30</v>
      </c>
      <c r="C938" s="73" t="s">
        <v>30</v>
      </c>
      <c r="D938" s="72" t="s">
        <v>30</v>
      </c>
      <c r="E938" s="72" t="s">
        <v>30</v>
      </c>
      <c r="G938" s="72" t="s">
        <v>30</v>
      </c>
      <c r="H938" s="72" t="s">
        <v>30</v>
      </c>
      <c r="I938" s="31"/>
    </row>
    <row r="939">
      <c r="B939" s="72" t="s">
        <v>30</v>
      </c>
      <c r="C939" s="73" t="s">
        <v>30</v>
      </c>
      <c r="D939" s="72" t="s">
        <v>30</v>
      </c>
      <c r="E939" s="72" t="s">
        <v>30</v>
      </c>
      <c r="G939" s="72" t="s">
        <v>30</v>
      </c>
      <c r="H939" s="72" t="s">
        <v>30</v>
      </c>
      <c r="I939" s="31"/>
    </row>
    <row r="940">
      <c r="B940" s="72" t="s">
        <v>30</v>
      </c>
      <c r="C940" s="73" t="s">
        <v>30</v>
      </c>
      <c r="D940" s="72" t="s">
        <v>30</v>
      </c>
      <c r="E940" s="72" t="s">
        <v>30</v>
      </c>
      <c r="G940" s="72" t="s">
        <v>30</v>
      </c>
      <c r="H940" s="72" t="s">
        <v>30</v>
      </c>
      <c r="I940" s="31"/>
    </row>
    <row r="941">
      <c r="B941" s="72" t="s">
        <v>30</v>
      </c>
      <c r="C941" s="73" t="s">
        <v>30</v>
      </c>
      <c r="D941" s="72" t="s">
        <v>30</v>
      </c>
      <c r="E941" s="72" t="s">
        <v>30</v>
      </c>
      <c r="G941" s="72" t="s">
        <v>30</v>
      </c>
      <c r="H941" s="72" t="s">
        <v>30</v>
      </c>
      <c r="I941" s="31"/>
    </row>
    <row r="942">
      <c r="B942" s="72" t="s">
        <v>30</v>
      </c>
      <c r="C942" s="73" t="s">
        <v>30</v>
      </c>
      <c r="D942" s="72" t="s">
        <v>30</v>
      </c>
      <c r="E942" s="72" t="s">
        <v>30</v>
      </c>
      <c r="G942" s="72" t="s">
        <v>30</v>
      </c>
      <c r="H942" s="72" t="s">
        <v>30</v>
      </c>
      <c r="I942" s="31"/>
    </row>
    <row r="943">
      <c r="B943" s="72" t="s">
        <v>30</v>
      </c>
      <c r="C943" s="73" t="s">
        <v>30</v>
      </c>
      <c r="D943" s="72" t="s">
        <v>30</v>
      </c>
      <c r="E943" s="72" t="s">
        <v>30</v>
      </c>
      <c r="G943" s="72" t="s">
        <v>30</v>
      </c>
      <c r="H943" s="72" t="s">
        <v>30</v>
      </c>
      <c r="I943" s="31"/>
    </row>
    <row r="944">
      <c r="B944" s="72" t="s">
        <v>30</v>
      </c>
      <c r="C944" s="73" t="s">
        <v>30</v>
      </c>
      <c r="D944" s="72" t="s">
        <v>30</v>
      </c>
      <c r="E944" s="72" t="s">
        <v>30</v>
      </c>
      <c r="G944" s="72" t="s">
        <v>30</v>
      </c>
      <c r="H944" s="72" t="s">
        <v>30</v>
      </c>
      <c r="I944" s="31"/>
    </row>
    <row r="945">
      <c r="B945" s="72" t="s">
        <v>30</v>
      </c>
      <c r="C945" s="73" t="s">
        <v>30</v>
      </c>
      <c r="D945" s="72" t="s">
        <v>30</v>
      </c>
      <c r="E945" s="72" t="s">
        <v>30</v>
      </c>
      <c r="G945" s="72" t="s">
        <v>30</v>
      </c>
      <c r="H945" s="72" t="s">
        <v>30</v>
      </c>
      <c r="I945" s="31"/>
    </row>
    <row r="946">
      <c r="B946" s="72" t="s">
        <v>30</v>
      </c>
      <c r="C946" s="73" t="s">
        <v>30</v>
      </c>
      <c r="D946" s="72" t="s">
        <v>30</v>
      </c>
      <c r="E946" s="72" t="s">
        <v>30</v>
      </c>
      <c r="G946" s="72" t="s">
        <v>30</v>
      </c>
      <c r="H946" s="72" t="s">
        <v>30</v>
      </c>
      <c r="I946" s="31"/>
    </row>
    <row r="947">
      <c r="B947" s="72" t="s">
        <v>30</v>
      </c>
      <c r="C947" s="73" t="s">
        <v>30</v>
      </c>
      <c r="D947" s="72" t="s">
        <v>30</v>
      </c>
      <c r="E947" s="72" t="s">
        <v>30</v>
      </c>
      <c r="G947" s="72" t="s">
        <v>30</v>
      </c>
      <c r="H947" s="72" t="s">
        <v>30</v>
      </c>
      <c r="I947" s="31"/>
    </row>
    <row r="948">
      <c r="B948" s="72" t="s">
        <v>30</v>
      </c>
      <c r="C948" s="73" t="s">
        <v>30</v>
      </c>
      <c r="D948" s="72" t="s">
        <v>30</v>
      </c>
      <c r="E948" s="72" t="s">
        <v>30</v>
      </c>
      <c r="G948" s="72" t="s">
        <v>30</v>
      </c>
      <c r="H948" s="72" t="s">
        <v>30</v>
      </c>
      <c r="I948" s="31"/>
    </row>
    <row r="949">
      <c r="B949" s="72" t="s">
        <v>30</v>
      </c>
      <c r="C949" s="73" t="s">
        <v>30</v>
      </c>
      <c r="D949" s="72" t="s">
        <v>30</v>
      </c>
      <c r="E949" s="72" t="s">
        <v>30</v>
      </c>
      <c r="G949" s="72" t="s">
        <v>30</v>
      </c>
      <c r="H949" s="72" t="s">
        <v>30</v>
      </c>
      <c r="I949" s="31"/>
    </row>
    <row r="950">
      <c r="B950" s="72" t="s">
        <v>30</v>
      </c>
      <c r="C950" s="73" t="s">
        <v>30</v>
      </c>
      <c r="D950" s="72" t="s">
        <v>30</v>
      </c>
      <c r="E950" s="72" t="s">
        <v>30</v>
      </c>
      <c r="G950" s="72" t="s">
        <v>30</v>
      </c>
      <c r="H950" s="72" t="s">
        <v>30</v>
      </c>
      <c r="I950" s="31"/>
    </row>
    <row r="951">
      <c r="B951" s="72" t="s">
        <v>30</v>
      </c>
      <c r="C951" s="73" t="s">
        <v>30</v>
      </c>
      <c r="D951" s="72" t="s">
        <v>30</v>
      </c>
      <c r="E951" s="72" t="s">
        <v>30</v>
      </c>
      <c r="G951" s="72" t="s">
        <v>30</v>
      </c>
      <c r="H951" s="72" t="s">
        <v>30</v>
      </c>
      <c r="I951" s="31"/>
    </row>
    <row r="952">
      <c r="B952" s="72" t="s">
        <v>30</v>
      </c>
      <c r="C952" s="73" t="s">
        <v>30</v>
      </c>
      <c r="D952" s="72" t="s">
        <v>30</v>
      </c>
      <c r="E952" s="72" t="s">
        <v>30</v>
      </c>
      <c r="G952" s="72" t="s">
        <v>30</v>
      </c>
      <c r="H952" s="72" t="s">
        <v>30</v>
      </c>
      <c r="I952" s="31"/>
    </row>
    <row r="953">
      <c r="B953" s="72" t="s">
        <v>30</v>
      </c>
      <c r="C953" s="73" t="s">
        <v>30</v>
      </c>
      <c r="D953" s="72" t="s">
        <v>30</v>
      </c>
      <c r="E953" s="72" t="s">
        <v>30</v>
      </c>
      <c r="G953" s="72" t="s">
        <v>30</v>
      </c>
      <c r="H953" s="72" t="s">
        <v>30</v>
      </c>
      <c r="I953" s="31"/>
    </row>
    <row r="954">
      <c r="B954" s="72" t="s">
        <v>30</v>
      </c>
      <c r="C954" s="73" t="s">
        <v>30</v>
      </c>
      <c r="D954" s="72" t="s">
        <v>30</v>
      </c>
      <c r="E954" s="72" t="s">
        <v>30</v>
      </c>
      <c r="G954" s="72" t="s">
        <v>30</v>
      </c>
      <c r="H954" s="72" t="s">
        <v>30</v>
      </c>
      <c r="I954" s="31"/>
    </row>
    <row r="955">
      <c r="B955" s="72" t="s">
        <v>30</v>
      </c>
      <c r="C955" s="73" t="s">
        <v>30</v>
      </c>
      <c r="D955" s="72" t="s">
        <v>30</v>
      </c>
      <c r="E955" s="72" t="s">
        <v>30</v>
      </c>
      <c r="G955" s="72" t="s">
        <v>30</v>
      </c>
      <c r="H955" s="72" t="s">
        <v>30</v>
      </c>
      <c r="I955" s="31"/>
    </row>
    <row r="956">
      <c r="B956" s="72" t="s">
        <v>30</v>
      </c>
      <c r="C956" s="73" t="s">
        <v>30</v>
      </c>
      <c r="D956" s="72" t="s">
        <v>30</v>
      </c>
      <c r="E956" s="72" t="s">
        <v>30</v>
      </c>
      <c r="G956" s="72" t="s">
        <v>30</v>
      </c>
      <c r="H956" s="72" t="s">
        <v>30</v>
      </c>
      <c r="I956" s="31"/>
    </row>
    <row r="957">
      <c r="B957" s="72" t="s">
        <v>30</v>
      </c>
      <c r="C957" s="73" t="s">
        <v>30</v>
      </c>
      <c r="D957" s="72" t="s">
        <v>30</v>
      </c>
      <c r="E957" s="72" t="s">
        <v>30</v>
      </c>
      <c r="G957" s="72" t="s">
        <v>30</v>
      </c>
      <c r="H957" s="72" t="s">
        <v>30</v>
      </c>
      <c r="I957" s="31"/>
    </row>
    <row r="958">
      <c r="B958" s="72" t="s">
        <v>30</v>
      </c>
      <c r="C958" s="73" t="s">
        <v>30</v>
      </c>
      <c r="D958" s="72" t="s">
        <v>30</v>
      </c>
      <c r="E958" s="72" t="s">
        <v>30</v>
      </c>
      <c r="G958" s="72" t="s">
        <v>30</v>
      </c>
      <c r="H958" s="72" t="s">
        <v>30</v>
      </c>
      <c r="I958" s="31"/>
    </row>
    <row r="959">
      <c r="B959" s="72" t="s">
        <v>30</v>
      </c>
      <c r="C959" s="73" t="s">
        <v>30</v>
      </c>
      <c r="D959" s="72" t="s">
        <v>30</v>
      </c>
      <c r="E959" s="72" t="s">
        <v>30</v>
      </c>
      <c r="G959" s="72" t="s">
        <v>30</v>
      </c>
      <c r="H959" s="72" t="s">
        <v>30</v>
      </c>
      <c r="I959" s="31"/>
    </row>
    <row r="960">
      <c r="B960" s="72" t="s">
        <v>30</v>
      </c>
      <c r="C960" s="73" t="s">
        <v>30</v>
      </c>
      <c r="D960" s="72" t="s">
        <v>30</v>
      </c>
      <c r="E960" s="72" t="s">
        <v>30</v>
      </c>
      <c r="G960" s="72" t="s">
        <v>30</v>
      </c>
      <c r="H960" s="72" t="s">
        <v>30</v>
      </c>
      <c r="I960" s="31"/>
    </row>
    <row r="961">
      <c r="B961" s="72" t="s">
        <v>30</v>
      </c>
      <c r="C961" s="73" t="s">
        <v>30</v>
      </c>
      <c r="D961" s="72" t="s">
        <v>30</v>
      </c>
      <c r="E961" s="72" t="s">
        <v>30</v>
      </c>
      <c r="G961" s="72" t="s">
        <v>30</v>
      </c>
      <c r="H961" s="72" t="s">
        <v>30</v>
      </c>
      <c r="I961" s="31"/>
    </row>
    <row r="962">
      <c r="B962" s="72" t="s">
        <v>30</v>
      </c>
      <c r="C962" s="73" t="s">
        <v>30</v>
      </c>
      <c r="D962" s="72" t="s">
        <v>30</v>
      </c>
      <c r="E962" s="72" t="s">
        <v>30</v>
      </c>
      <c r="G962" s="72" t="s">
        <v>30</v>
      </c>
      <c r="H962" s="72" t="s">
        <v>30</v>
      </c>
      <c r="I962" s="31"/>
    </row>
    <row r="963">
      <c r="B963" s="72" t="s">
        <v>30</v>
      </c>
      <c r="C963" s="73" t="s">
        <v>30</v>
      </c>
      <c r="D963" s="72" t="s">
        <v>30</v>
      </c>
      <c r="E963" s="72" t="s">
        <v>30</v>
      </c>
      <c r="G963" s="72" t="s">
        <v>30</v>
      </c>
      <c r="H963" s="72" t="s">
        <v>30</v>
      </c>
      <c r="I963" s="31"/>
    </row>
    <row r="964">
      <c r="B964" s="72" t="s">
        <v>30</v>
      </c>
      <c r="C964" s="73" t="s">
        <v>30</v>
      </c>
      <c r="D964" s="72" t="s">
        <v>30</v>
      </c>
      <c r="E964" s="72" t="s">
        <v>30</v>
      </c>
      <c r="G964" s="72" t="s">
        <v>30</v>
      </c>
      <c r="H964" s="72" t="s">
        <v>30</v>
      </c>
      <c r="I964" s="31"/>
    </row>
    <row r="965">
      <c r="B965" s="72" t="s">
        <v>30</v>
      </c>
      <c r="C965" s="73" t="s">
        <v>30</v>
      </c>
      <c r="D965" s="72" t="s">
        <v>30</v>
      </c>
      <c r="E965" s="72" t="s">
        <v>30</v>
      </c>
      <c r="G965" s="72" t="s">
        <v>30</v>
      </c>
      <c r="H965" s="72" t="s">
        <v>30</v>
      </c>
      <c r="I965" s="31"/>
    </row>
    <row r="966">
      <c r="B966" s="72" t="s">
        <v>30</v>
      </c>
      <c r="C966" s="73" t="s">
        <v>30</v>
      </c>
      <c r="D966" s="72" t="s">
        <v>30</v>
      </c>
      <c r="E966" s="72" t="s">
        <v>30</v>
      </c>
      <c r="G966" s="72" t="s">
        <v>30</v>
      </c>
      <c r="H966" s="72" t="s">
        <v>30</v>
      </c>
      <c r="I966" s="31"/>
    </row>
    <row r="967">
      <c r="B967" s="72" t="s">
        <v>30</v>
      </c>
      <c r="C967" s="73" t="s">
        <v>30</v>
      </c>
      <c r="D967" s="72" t="s">
        <v>30</v>
      </c>
      <c r="E967" s="72" t="s">
        <v>30</v>
      </c>
      <c r="G967" s="72" t="s">
        <v>30</v>
      </c>
      <c r="H967" s="72" t="s">
        <v>30</v>
      </c>
      <c r="I967" s="31"/>
    </row>
    <row r="968">
      <c r="B968" s="72" t="s">
        <v>30</v>
      </c>
      <c r="C968" s="73" t="s">
        <v>30</v>
      </c>
      <c r="D968" s="72" t="s">
        <v>30</v>
      </c>
      <c r="E968" s="72" t="s">
        <v>30</v>
      </c>
      <c r="G968" s="72" t="s">
        <v>30</v>
      </c>
      <c r="H968" s="72" t="s">
        <v>30</v>
      </c>
      <c r="I968" s="31"/>
    </row>
    <row r="969">
      <c r="B969" s="72" t="s">
        <v>30</v>
      </c>
      <c r="C969" s="73" t="s">
        <v>30</v>
      </c>
      <c r="D969" s="72" t="s">
        <v>30</v>
      </c>
      <c r="E969" s="72" t="s">
        <v>30</v>
      </c>
      <c r="G969" s="72" t="s">
        <v>30</v>
      </c>
      <c r="H969" s="72" t="s">
        <v>30</v>
      </c>
      <c r="I969" s="31"/>
    </row>
    <row r="970">
      <c r="B970" s="72" t="s">
        <v>30</v>
      </c>
      <c r="C970" s="73" t="s">
        <v>30</v>
      </c>
      <c r="D970" s="72" t="s">
        <v>30</v>
      </c>
      <c r="E970" s="72" t="s">
        <v>30</v>
      </c>
      <c r="G970" s="72" t="s">
        <v>30</v>
      </c>
      <c r="H970" s="72" t="s">
        <v>30</v>
      </c>
      <c r="I970" s="31"/>
    </row>
    <row r="971">
      <c r="B971" s="72" t="s">
        <v>30</v>
      </c>
      <c r="C971" s="73" t="s">
        <v>30</v>
      </c>
      <c r="D971" s="72" t="s">
        <v>30</v>
      </c>
      <c r="E971" s="72" t="s">
        <v>30</v>
      </c>
      <c r="G971" s="72" t="s">
        <v>30</v>
      </c>
      <c r="H971" s="72" t="s">
        <v>30</v>
      </c>
      <c r="I971" s="31"/>
    </row>
    <row r="972">
      <c r="B972" s="72" t="s">
        <v>30</v>
      </c>
      <c r="C972" s="73" t="s">
        <v>30</v>
      </c>
      <c r="D972" s="72" t="s">
        <v>30</v>
      </c>
      <c r="E972" s="72" t="s">
        <v>30</v>
      </c>
      <c r="G972" s="72" t="s">
        <v>30</v>
      </c>
      <c r="H972" s="72" t="s">
        <v>30</v>
      </c>
      <c r="I972" s="31"/>
    </row>
    <row r="973">
      <c r="B973" s="72" t="s">
        <v>30</v>
      </c>
      <c r="C973" s="73" t="s">
        <v>30</v>
      </c>
      <c r="D973" s="72" t="s">
        <v>30</v>
      </c>
      <c r="E973" s="72" t="s">
        <v>30</v>
      </c>
      <c r="G973" s="72" t="s">
        <v>30</v>
      </c>
      <c r="H973" s="72" t="s">
        <v>30</v>
      </c>
      <c r="I973" s="31"/>
    </row>
    <row r="974">
      <c r="B974" s="72" t="s">
        <v>30</v>
      </c>
      <c r="C974" s="73" t="s">
        <v>30</v>
      </c>
      <c r="D974" s="72" t="s">
        <v>30</v>
      </c>
      <c r="E974" s="72" t="s">
        <v>30</v>
      </c>
      <c r="G974" s="72" t="s">
        <v>30</v>
      </c>
      <c r="H974" s="72" t="s">
        <v>30</v>
      </c>
      <c r="I974" s="31"/>
    </row>
    <row r="975">
      <c r="B975" s="72" t="s">
        <v>30</v>
      </c>
      <c r="C975" s="73" t="s">
        <v>30</v>
      </c>
      <c r="D975" s="72" t="s">
        <v>30</v>
      </c>
      <c r="E975" s="72" t="s">
        <v>30</v>
      </c>
      <c r="G975" s="72" t="s">
        <v>30</v>
      </c>
      <c r="H975" s="72" t="s">
        <v>30</v>
      </c>
      <c r="I975" s="31"/>
    </row>
    <row r="976">
      <c r="B976" s="72" t="s">
        <v>30</v>
      </c>
      <c r="C976" s="73" t="s">
        <v>30</v>
      </c>
      <c r="D976" s="72" t="s">
        <v>30</v>
      </c>
      <c r="E976" s="72" t="s">
        <v>30</v>
      </c>
      <c r="G976" s="72" t="s">
        <v>30</v>
      </c>
      <c r="H976" s="72" t="s">
        <v>30</v>
      </c>
      <c r="I976" s="31"/>
    </row>
    <row r="977">
      <c r="B977" s="72" t="s">
        <v>30</v>
      </c>
      <c r="C977" s="73" t="s">
        <v>30</v>
      </c>
      <c r="D977" s="72" t="s">
        <v>30</v>
      </c>
      <c r="E977" s="72" t="s">
        <v>30</v>
      </c>
      <c r="G977" s="72" t="s">
        <v>30</v>
      </c>
      <c r="H977" s="72" t="s">
        <v>30</v>
      </c>
      <c r="I977" s="31"/>
    </row>
    <row r="978">
      <c r="B978" s="72" t="s">
        <v>30</v>
      </c>
      <c r="C978" s="73" t="s">
        <v>30</v>
      </c>
      <c r="D978" s="72" t="s">
        <v>30</v>
      </c>
      <c r="E978" s="72" t="s">
        <v>30</v>
      </c>
      <c r="G978" s="72" t="s">
        <v>30</v>
      </c>
      <c r="H978" s="72" t="s">
        <v>30</v>
      </c>
      <c r="I978" s="31"/>
    </row>
    <row r="979">
      <c r="B979" s="72" t="s">
        <v>30</v>
      </c>
      <c r="C979" s="73" t="s">
        <v>30</v>
      </c>
      <c r="D979" s="72" t="s">
        <v>30</v>
      </c>
      <c r="E979" s="72" t="s">
        <v>30</v>
      </c>
      <c r="G979" s="72" t="s">
        <v>30</v>
      </c>
      <c r="H979" s="72" t="s">
        <v>30</v>
      </c>
      <c r="I979" s="31"/>
    </row>
    <row r="980">
      <c r="B980" s="72" t="s">
        <v>30</v>
      </c>
      <c r="C980" s="73" t="s">
        <v>30</v>
      </c>
      <c r="D980" s="72" t="s">
        <v>30</v>
      </c>
      <c r="E980" s="72" t="s">
        <v>30</v>
      </c>
      <c r="G980" s="72" t="s">
        <v>30</v>
      </c>
      <c r="H980" s="72" t="s">
        <v>30</v>
      </c>
      <c r="I980" s="31"/>
    </row>
    <row r="981">
      <c r="B981" s="72" t="s">
        <v>30</v>
      </c>
      <c r="C981" s="73" t="s">
        <v>30</v>
      </c>
      <c r="D981" s="72" t="s">
        <v>30</v>
      </c>
      <c r="E981" s="72" t="s">
        <v>30</v>
      </c>
      <c r="G981" s="72" t="s">
        <v>30</v>
      </c>
      <c r="H981" s="72" t="s">
        <v>30</v>
      </c>
      <c r="I981" s="31"/>
    </row>
    <row r="982">
      <c r="B982" s="72" t="s">
        <v>30</v>
      </c>
      <c r="C982" s="73" t="s">
        <v>30</v>
      </c>
      <c r="D982" s="72" t="s">
        <v>30</v>
      </c>
      <c r="E982" s="72" t="s">
        <v>30</v>
      </c>
      <c r="G982" s="72" t="s">
        <v>30</v>
      </c>
      <c r="H982" s="72" t="s">
        <v>30</v>
      </c>
      <c r="I982" s="31"/>
    </row>
    <row r="983">
      <c r="B983" s="72" t="s">
        <v>30</v>
      </c>
      <c r="C983" s="73" t="s">
        <v>30</v>
      </c>
      <c r="D983" s="72" t="s">
        <v>30</v>
      </c>
      <c r="E983" s="72" t="s">
        <v>30</v>
      </c>
      <c r="G983" s="72" t="s">
        <v>30</v>
      </c>
      <c r="H983" s="72" t="s">
        <v>30</v>
      </c>
      <c r="I983" s="31"/>
    </row>
    <row r="984">
      <c r="B984" s="72" t="s">
        <v>30</v>
      </c>
      <c r="C984" s="73" t="s">
        <v>30</v>
      </c>
      <c r="D984" s="72" t="s">
        <v>30</v>
      </c>
      <c r="E984" s="72" t="s">
        <v>30</v>
      </c>
      <c r="G984" s="72" t="s">
        <v>30</v>
      </c>
      <c r="H984" s="72" t="s">
        <v>30</v>
      </c>
      <c r="I984" s="31"/>
    </row>
    <row r="985">
      <c r="B985" s="72" t="s">
        <v>30</v>
      </c>
      <c r="C985" s="73" t="s">
        <v>30</v>
      </c>
      <c r="D985" s="72" t="s">
        <v>30</v>
      </c>
      <c r="E985" s="72" t="s">
        <v>30</v>
      </c>
      <c r="G985" s="72" t="s">
        <v>30</v>
      </c>
      <c r="H985" s="72" t="s">
        <v>30</v>
      </c>
      <c r="I985" s="31"/>
    </row>
    <row r="986">
      <c r="B986" s="72" t="s">
        <v>30</v>
      </c>
      <c r="C986" s="73" t="s">
        <v>30</v>
      </c>
      <c r="D986" s="72" t="s">
        <v>30</v>
      </c>
      <c r="E986" s="72" t="s">
        <v>30</v>
      </c>
      <c r="G986" s="72" t="s">
        <v>30</v>
      </c>
      <c r="H986" s="72" t="s">
        <v>30</v>
      </c>
      <c r="I986" s="31"/>
    </row>
    <row r="987">
      <c r="B987" s="72" t="s">
        <v>30</v>
      </c>
      <c r="C987" s="73" t="s">
        <v>30</v>
      </c>
      <c r="D987" s="72" t="s">
        <v>30</v>
      </c>
      <c r="E987" s="72" t="s">
        <v>30</v>
      </c>
      <c r="G987" s="72" t="s">
        <v>30</v>
      </c>
      <c r="H987" s="72" t="s">
        <v>30</v>
      </c>
      <c r="I987" s="31"/>
    </row>
    <row r="988">
      <c r="B988" s="72" t="s">
        <v>30</v>
      </c>
      <c r="C988" s="73" t="s">
        <v>30</v>
      </c>
      <c r="D988" s="72" t="s">
        <v>30</v>
      </c>
      <c r="E988" s="72" t="s">
        <v>30</v>
      </c>
      <c r="G988" s="72" t="s">
        <v>30</v>
      </c>
      <c r="H988" s="72" t="s">
        <v>30</v>
      </c>
      <c r="I988" s="31"/>
    </row>
    <row r="989">
      <c r="B989" s="72" t="s">
        <v>30</v>
      </c>
      <c r="C989" s="73" t="s">
        <v>30</v>
      </c>
      <c r="D989" s="72" t="s">
        <v>30</v>
      </c>
      <c r="E989" s="72" t="s">
        <v>30</v>
      </c>
      <c r="G989" s="72" t="s">
        <v>30</v>
      </c>
      <c r="H989" s="72" t="s">
        <v>30</v>
      </c>
      <c r="I989" s="31"/>
    </row>
    <row r="990">
      <c r="B990" s="72" t="s">
        <v>30</v>
      </c>
      <c r="C990" s="73" t="s">
        <v>30</v>
      </c>
      <c r="D990" s="72" t="s">
        <v>30</v>
      </c>
      <c r="E990" s="72" t="s">
        <v>30</v>
      </c>
      <c r="G990" s="72" t="s">
        <v>30</v>
      </c>
      <c r="H990" s="72" t="s">
        <v>30</v>
      </c>
      <c r="I990" s="31"/>
    </row>
    <row r="991">
      <c r="B991" s="72" t="s">
        <v>30</v>
      </c>
      <c r="C991" s="73" t="s">
        <v>30</v>
      </c>
      <c r="D991" s="72" t="s">
        <v>30</v>
      </c>
      <c r="E991" s="72" t="s">
        <v>30</v>
      </c>
      <c r="G991" s="72" t="s">
        <v>30</v>
      </c>
      <c r="H991" s="72" t="s">
        <v>30</v>
      </c>
      <c r="I991" s="31"/>
    </row>
    <row r="992">
      <c r="B992" s="72" t="s">
        <v>30</v>
      </c>
      <c r="C992" s="73" t="s">
        <v>30</v>
      </c>
      <c r="D992" s="72" t="s">
        <v>30</v>
      </c>
      <c r="E992" s="72" t="s">
        <v>30</v>
      </c>
      <c r="G992" s="72" t="s">
        <v>30</v>
      </c>
      <c r="H992" s="72" t="s">
        <v>30</v>
      </c>
      <c r="I992" s="31"/>
    </row>
    <row r="993">
      <c r="B993" s="72" t="s">
        <v>30</v>
      </c>
      <c r="C993" s="73" t="s">
        <v>30</v>
      </c>
      <c r="D993" s="72" t="s">
        <v>30</v>
      </c>
      <c r="E993" s="72" t="s">
        <v>30</v>
      </c>
      <c r="G993" s="72" t="s">
        <v>30</v>
      </c>
      <c r="H993" s="72" t="s">
        <v>30</v>
      </c>
      <c r="I993" s="31"/>
    </row>
    <row r="994">
      <c r="B994" s="72" t="s">
        <v>30</v>
      </c>
      <c r="C994" s="73" t="s">
        <v>30</v>
      </c>
      <c r="D994" s="72" t="s">
        <v>30</v>
      </c>
      <c r="E994" s="72" t="s">
        <v>30</v>
      </c>
      <c r="G994" s="72" t="s">
        <v>30</v>
      </c>
      <c r="H994" s="72" t="s">
        <v>30</v>
      </c>
      <c r="I994" s="31"/>
    </row>
    <row r="995">
      <c r="B995" s="72" t="s">
        <v>30</v>
      </c>
      <c r="C995" s="73" t="s">
        <v>30</v>
      </c>
      <c r="D995" s="72" t="s">
        <v>30</v>
      </c>
      <c r="E995" s="72" t="s">
        <v>30</v>
      </c>
      <c r="G995" s="72" t="s">
        <v>30</v>
      </c>
      <c r="H995" s="72" t="s">
        <v>30</v>
      </c>
      <c r="I995" s="31"/>
    </row>
    <row r="996">
      <c r="B996" s="72" t="s">
        <v>30</v>
      </c>
      <c r="C996" s="73" t="s">
        <v>30</v>
      </c>
      <c r="D996" s="72" t="s">
        <v>30</v>
      </c>
      <c r="E996" s="72" t="s">
        <v>30</v>
      </c>
      <c r="G996" s="72" t="s">
        <v>30</v>
      </c>
      <c r="H996" s="72" t="s">
        <v>30</v>
      </c>
      <c r="I996" s="31"/>
    </row>
    <row r="997">
      <c r="B997" s="72" t="s">
        <v>30</v>
      </c>
      <c r="C997" s="73" t="s">
        <v>30</v>
      </c>
      <c r="D997" s="72" t="s">
        <v>30</v>
      </c>
      <c r="E997" s="72" t="s">
        <v>30</v>
      </c>
      <c r="G997" s="72" t="s">
        <v>30</v>
      </c>
      <c r="H997" s="72" t="s">
        <v>30</v>
      </c>
      <c r="I997" s="31"/>
    </row>
    <row r="998">
      <c r="B998" s="72" t="s">
        <v>30</v>
      </c>
      <c r="C998" s="73" t="s">
        <v>30</v>
      </c>
      <c r="D998" s="72" t="s">
        <v>30</v>
      </c>
      <c r="E998" s="72" t="s">
        <v>30</v>
      </c>
      <c r="G998" s="72" t="s">
        <v>30</v>
      </c>
      <c r="H998" s="72" t="s">
        <v>30</v>
      </c>
      <c r="I998" s="31"/>
    </row>
    <row r="999">
      <c r="B999" s="72" t="s">
        <v>30</v>
      </c>
      <c r="C999" s="73" t="s">
        <v>30</v>
      </c>
      <c r="D999" s="72" t="s">
        <v>30</v>
      </c>
      <c r="E999" s="72" t="s">
        <v>30</v>
      </c>
      <c r="G999" s="72" t="s">
        <v>30</v>
      </c>
      <c r="H999" s="72" t="s">
        <v>30</v>
      </c>
      <c r="I999" s="31"/>
    </row>
    <row r="1000">
      <c r="B1000" s="72" t="s">
        <v>30</v>
      </c>
      <c r="C1000" s="73" t="s">
        <v>30</v>
      </c>
      <c r="D1000" s="72" t="s">
        <v>30</v>
      </c>
      <c r="E1000" s="72" t="s">
        <v>30</v>
      </c>
      <c r="G1000" s="72" t="s">
        <v>30</v>
      </c>
      <c r="H1000" s="72" t="s">
        <v>30</v>
      </c>
      <c r="I1000" s="31"/>
    </row>
    <row r="1001">
      <c r="B1001" s="72" t="s">
        <v>30</v>
      </c>
      <c r="C1001" s="73" t="s">
        <v>30</v>
      </c>
      <c r="D1001" s="72" t="s">
        <v>30</v>
      </c>
      <c r="E1001" s="72" t="s">
        <v>30</v>
      </c>
      <c r="G1001" s="72" t="s">
        <v>30</v>
      </c>
      <c r="H1001" s="72" t="s">
        <v>30</v>
      </c>
      <c r="I1001" s="31"/>
    </row>
    <row r="1002">
      <c r="B1002" s="72" t="s">
        <v>30</v>
      </c>
      <c r="C1002" s="73" t="s">
        <v>30</v>
      </c>
      <c r="D1002" s="72" t="s">
        <v>30</v>
      </c>
      <c r="E1002" s="72" t="s">
        <v>30</v>
      </c>
      <c r="G1002" s="72" t="s">
        <v>30</v>
      </c>
      <c r="H1002" s="72" t="s">
        <v>30</v>
      </c>
      <c r="I1002" s="31"/>
    </row>
  </sheetData>
  <mergeCells count="1">
    <mergeCell ref="A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54.25"/>
    <col customWidth="1" min="3" max="3" width="14.38"/>
    <col customWidth="1" min="4" max="4" width="6.13"/>
    <col customWidth="1" min="5" max="5" width="11.5"/>
    <col customWidth="1" min="6" max="6" width="46.75"/>
    <col customWidth="1" min="7" max="7" width="9.5"/>
  </cols>
  <sheetData>
    <row r="1">
      <c r="A1" s="75" t="s">
        <v>60</v>
      </c>
      <c r="B1" s="75" t="s">
        <v>61</v>
      </c>
      <c r="C1" s="75" t="s">
        <v>62</v>
      </c>
      <c r="D1" s="75" t="s">
        <v>8</v>
      </c>
      <c r="E1" s="75" t="s">
        <v>63</v>
      </c>
      <c r="F1" s="75" t="s">
        <v>64</v>
      </c>
      <c r="G1" s="75" t="s">
        <v>65</v>
      </c>
      <c r="H1" s="76" t="s">
        <v>66</v>
      </c>
      <c r="I1" s="76" t="s">
        <v>67</v>
      </c>
      <c r="J1" s="76" t="s">
        <v>68</v>
      </c>
    </row>
    <row r="2">
      <c r="A2" s="77" t="s">
        <v>34</v>
      </c>
      <c r="B2" s="77" t="s">
        <v>69</v>
      </c>
      <c r="C2" s="77">
        <v>58.48</v>
      </c>
      <c r="D2" s="77">
        <v>39.0</v>
      </c>
      <c r="E2" s="77">
        <v>1.5</v>
      </c>
      <c r="F2" s="77" t="s">
        <v>70</v>
      </c>
      <c r="G2" s="78" t="s">
        <v>71</v>
      </c>
      <c r="H2" s="79" t="s">
        <v>72</v>
      </c>
      <c r="I2" s="79" t="s">
        <v>73</v>
      </c>
      <c r="J2" s="79" t="s">
        <v>74</v>
      </c>
    </row>
    <row r="3">
      <c r="A3" s="77" t="s">
        <v>32</v>
      </c>
      <c r="B3" s="77" t="s">
        <v>69</v>
      </c>
      <c r="C3" s="77">
        <v>77.79</v>
      </c>
      <c r="D3" s="77">
        <v>42.0</v>
      </c>
      <c r="E3" s="77">
        <v>1.85</v>
      </c>
      <c r="F3" s="77" t="s">
        <v>70</v>
      </c>
      <c r="G3" s="78" t="s">
        <v>75</v>
      </c>
      <c r="H3" s="79" t="s">
        <v>76</v>
      </c>
      <c r="I3" s="79" t="s">
        <v>77</v>
      </c>
      <c r="J3" s="79" t="s">
        <v>78</v>
      </c>
    </row>
    <row r="4">
      <c r="A4" s="77" t="s">
        <v>29</v>
      </c>
      <c r="B4" s="77" t="s">
        <v>69</v>
      </c>
      <c r="C4" s="77">
        <v>100.09</v>
      </c>
      <c r="D4" s="77">
        <v>35.0</v>
      </c>
      <c r="E4" s="77">
        <v>2.86</v>
      </c>
      <c r="F4" s="77" t="s">
        <v>70</v>
      </c>
      <c r="G4" s="78" t="s">
        <v>79</v>
      </c>
      <c r="H4" s="79" t="s">
        <v>80</v>
      </c>
      <c r="I4" s="79" t="s">
        <v>81</v>
      </c>
      <c r="J4" s="79" t="s">
        <v>82</v>
      </c>
    </row>
    <row r="5">
      <c r="A5" s="77" t="s">
        <v>28</v>
      </c>
      <c r="B5" s="77" t="s">
        <v>69</v>
      </c>
      <c r="C5" s="77">
        <v>646.62</v>
      </c>
      <c r="D5" s="77">
        <v>317.0</v>
      </c>
      <c r="E5" s="77">
        <v>2.04</v>
      </c>
      <c r="F5" s="77" t="s">
        <v>70</v>
      </c>
      <c r="G5" s="78" t="s">
        <v>83</v>
      </c>
      <c r="H5" s="79" t="s">
        <v>84</v>
      </c>
      <c r="I5" s="79" t="s">
        <v>85</v>
      </c>
      <c r="J5" s="79" t="s">
        <v>86</v>
      </c>
    </row>
    <row r="6">
      <c r="A6" s="77" t="s">
        <v>35</v>
      </c>
      <c r="B6" s="77" t="s">
        <v>69</v>
      </c>
      <c r="C6" s="77">
        <v>15.7</v>
      </c>
      <c r="D6" s="77"/>
      <c r="E6" s="77"/>
      <c r="F6" s="77" t="s">
        <v>70</v>
      </c>
      <c r="G6" s="78" t="s">
        <v>87</v>
      </c>
      <c r="H6" s="79" t="s">
        <v>88</v>
      </c>
      <c r="I6" s="79" t="s">
        <v>89</v>
      </c>
      <c r="J6" s="79" t="s">
        <v>90</v>
      </c>
    </row>
    <row r="7">
      <c r="A7" s="77" t="s">
        <v>27</v>
      </c>
      <c r="B7" s="77" t="s">
        <v>69</v>
      </c>
      <c r="C7" s="77">
        <v>538.27</v>
      </c>
      <c r="D7" s="77">
        <v>252.0</v>
      </c>
      <c r="E7" s="77">
        <v>2.14</v>
      </c>
      <c r="F7" s="77" t="s">
        <v>70</v>
      </c>
      <c r="G7" s="78" t="s">
        <v>91</v>
      </c>
      <c r="H7" s="79" t="s">
        <v>92</v>
      </c>
      <c r="I7" s="79" t="s">
        <v>93</v>
      </c>
      <c r="J7" s="79" t="s">
        <v>94</v>
      </c>
    </row>
    <row r="8">
      <c r="A8" s="77" t="s">
        <v>53</v>
      </c>
      <c r="B8" s="77" t="s">
        <v>69</v>
      </c>
      <c r="C8" s="77">
        <v>1.04</v>
      </c>
      <c r="D8" s="77">
        <v>2.0</v>
      </c>
      <c r="E8" s="77">
        <v>0.52</v>
      </c>
      <c r="F8" s="77" t="s">
        <v>70</v>
      </c>
      <c r="G8" s="78" t="s">
        <v>95</v>
      </c>
      <c r="H8" s="79" t="s">
        <v>96</v>
      </c>
      <c r="I8" s="79" t="s">
        <v>97</v>
      </c>
      <c r="J8" s="79" t="s">
        <v>98</v>
      </c>
    </row>
    <row r="9">
      <c r="A9" s="77" t="s">
        <v>42</v>
      </c>
      <c r="B9" s="77" t="s">
        <v>99</v>
      </c>
      <c r="C9" s="77">
        <v>17.7</v>
      </c>
      <c r="D9" s="77">
        <v>6.0</v>
      </c>
      <c r="E9" s="77">
        <v>2.95</v>
      </c>
      <c r="F9" s="77" t="s">
        <v>70</v>
      </c>
      <c r="G9" s="78" t="s">
        <v>100</v>
      </c>
      <c r="H9" s="79" t="s">
        <v>101</v>
      </c>
      <c r="I9" s="79" t="s">
        <v>102</v>
      </c>
      <c r="J9" s="79" t="s">
        <v>103</v>
      </c>
    </row>
    <row r="10">
      <c r="A10" s="77" t="s">
        <v>38</v>
      </c>
      <c r="B10" s="77" t="s">
        <v>99</v>
      </c>
      <c r="C10" s="77">
        <v>0.33</v>
      </c>
      <c r="D10" s="77"/>
      <c r="E10" s="77"/>
      <c r="F10" s="77" t="s">
        <v>70</v>
      </c>
      <c r="G10" s="78" t="s">
        <v>104</v>
      </c>
      <c r="H10" s="79" t="s">
        <v>105</v>
      </c>
      <c r="I10" s="79" t="s">
        <v>106</v>
      </c>
      <c r="J10" s="79" t="s">
        <v>107</v>
      </c>
    </row>
    <row r="11">
      <c r="A11" s="77" t="s">
        <v>57</v>
      </c>
      <c r="B11" s="77" t="s">
        <v>99</v>
      </c>
      <c r="C11" s="77">
        <v>0.34</v>
      </c>
      <c r="D11" s="77"/>
      <c r="E11" s="77"/>
      <c r="F11" s="77" t="s">
        <v>70</v>
      </c>
      <c r="G11" s="78" t="s">
        <v>108</v>
      </c>
      <c r="H11" s="79" t="s">
        <v>109</v>
      </c>
      <c r="I11" s="79" t="s">
        <v>110</v>
      </c>
      <c r="J11" s="79" t="s">
        <v>111</v>
      </c>
    </row>
    <row r="12">
      <c r="A12" s="77" t="s">
        <v>47</v>
      </c>
      <c r="B12" s="77" t="s">
        <v>99</v>
      </c>
      <c r="C12" s="77">
        <v>0.63</v>
      </c>
      <c r="D12" s="77"/>
      <c r="E12" s="77"/>
      <c r="F12" s="77" t="s">
        <v>70</v>
      </c>
      <c r="G12" s="78" t="s">
        <v>112</v>
      </c>
      <c r="H12" s="79" t="s">
        <v>113</v>
      </c>
      <c r="I12" s="79" t="s">
        <v>114</v>
      </c>
      <c r="J12" s="79" t="s">
        <v>115</v>
      </c>
    </row>
    <row r="13">
      <c r="A13" s="77" t="s">
        <v>51</v>
      </c>
      <c r="B13" s="77" t="s">
        <v>99</v>
      </c>
      <c r="C13" s="77">
        <v>0.2</v>
      </c>
      <c r="D13" s="77"/>
      <c r="E13" s="77"/>
      <c r="F13" s="77" t="s">
        <v>70</v>
      </c>
      <c r="G13" s="78" t="s">
        <v>116</v>
      </c>
      <c r="H13" s="79" t="s">
        <v>117</v>
      </c>
      <c r="I13" s="79" t="s">
        <v>118</v>
      </c>
      <c r="J13" s="79" t="s">
        <v>119</v>
      </c>
    </row>
    <row r="14">
      <c r="A14" s="77" t="s">
        <v>36</v>
      </c>
      <c r="B14" s="77" t="s">
        <v>99</v>
      </c>
      <c r="C14" s="77">
        <v>0.58</v>
      </c>
      <c r="D14" s="77"/>
      <c r="E14" s="77"/>
      <c r="F14" s="77" t="s">
        <v>70</v>
      </c>
      <c r="G14" s="78" t="s">
        <v>120</v>
      </c>
      <c r="H14" s="79" t="s">
        <v>121</v>
      </c>
      <c r="I14" s="79" t="s">
        <v>122</v>
      </c>
      <c r="J14" s="79" t="s">
        <v>123</v>
      </c>
    </row>
    <row r="15">
      <c r="A15" s="77" t="s">
        <v>39</v>
      </c>
      <c r="B15" s="77" t="s">
        <v>99</v>
      </c>
      <c r="C15" s="77">
        <v>57.1</v>
      </c>
      <c r="D15" s="77">
        <v>40.0</v>
      </c>
      <c r="E15" s="77">
        <v>1.43</v>
      </c>
      <c r="F15" s="77" t="s">
        <v>70</v>
      </c>
      <c r="G15" s="78" t="s">
        <v>124</v>
      </c>
      <c r="H15" s="79" t="s">
        <v>125</v>
      </c>
      <c r="I15" s="79" t="s">
        <v>126</v>
      </c>
      <c r="J15" s="79" t="s">
        <v>127</v>
      </c>
    </row>
    <row r="16">
      <c r="A16" s="77" t="s">
        <v>26</v>
      </c>
      <c r="B16" s="77" t="s">
        <v>99</v>
      </c>
      <c r="C16" s="77">
        <v>2.97</v>
      </c>
      <c r="D16" s="77">
        <v>1.0</v>
      </c>
      <c r="E16" s="77">
        <v>2.97</v>
      </c>
      <c r="F16" s="77" t="s">
        <v>70</v>
      </c>
      <c r="G16" s="78" t="s">
        <v>128</v>
      </c>
      <c r="H16" s="79" t="s">
        <v>129</v>
      </c>
      <c r="I16" s="79" t="s">
        <v>130</v>
      </c>
      <c r="J16" s="79" t="s">
        <v>131</v>
      </c>
    </row>
    <row r="17">
      <c r="A17" s="77" t="s">
        <v>132</v>
      </c>
      <c r="B17" s="77" t="s">
        <v>99</v>
      </c>
      <c r="C17" s="77">
        <v>44.68</v>
      </c>
      <c r="D17" s="77">
        <v>31.0</v>
      </c>
      <c r="E17" s="77">
        <v>1.44</v>
      </c>
      <c r="F17" s="77" t="s">
        <v>70</v>
      </c>
      <c r="G17" s="78" t="s">
        <v>133</v>
      </c>
      <c r="H17" s="79" t="s">
        <v>134</v>
      </c>
      <c r="I17" s="79" t="s">
        <v>135</v>
      </c>
      <c r="J17" s="79" t="s">
        <v>136</v>
      </c>
    </row>
    <row r="18">
      <c r="A18" s="77" t="s">
        <v>41</v>
      </c>
      <c r="B18" s="77" t="s">
        <v>69</v>
      </c>
      <c r="C18" s="77">
        <v>135.25</v>
      </c>
      <c r="D18" s="77">
        <v>77.0</v>
      </c>
      <c r="E18" s="77">
        <v>1.76</v>
      </c>
      <c r="F18" s="77" t="s">
        <v>70</v>
      </c>
      <c r="G18" s="78" t="s">
        <v>137</v>
      </c>
      <c r="H18" s="79" t="s">
        <v>138</v>
      </c>
      <c r="I18" s="79" t="s">
        <v>139</v>
      </c>
      <c r="J18" s="79" t="s">
        <v>140</v>
      </c>
    </row>
    <row r="19">
      <c r="A19" s="77" t="s">
        <v>29</v>
      </c>
      <c r="B19" s="77" t="s">
        <v>141</v>
      </c>
      <c r="C19" s="77">
        <v>63.71</v>
      </c>
      <c r="D19" s="77">
        <v>28.0</v>
      </c>
      <c r="E19" s="77">
        <v>2.28</v>
      </c>
      <c r="F19" s="77" t="s">
        <v>70</v>
      </c>
      <c r="G19" s="78" t="s">
        <v>142</v>
      </c>
      <c r="H19" s="79" t="s">
        <v>143</v>
      </c>
      <c r="I19" s="79" t="s">
        <v>144</v>
      </c>
      <c r="J19" s="79" t="s">
        <v>145</v>
      </c>
    </row>
    <row r="20">
      <c r="A20" s="77" t="s">
        <v>42</v>
      </c>
      <c r="B20" s="77" t="s">
        <v>141</v>
      </c>
      <c r="C20" s="77">
        <v>2.5</v>
      </c>
      <c r="D20" s="77"/>
      <c r="E20" s="77"/>
      <c r="F20" s="77" t="s">
        <v>70</v>
      </c>
      <c r="G20" s="78" t="s">
        <v>146</v>
      </c>
      <c r="H20" s="79" t="s">
        <v>147</v>
      </c>
      <c r="I20" s="79" t="s">
        <v>148</v>
      </c>
      <c r="J20" s="79" t="s">
        <v>149</v>
      </c>
    </row>
    <row r="21">
      <c r="A21" s="77" t="s">
        <v>37</v>
      </c>
      <c r="B21" s="77" t="s">
        <v>141</v>
      </c>
      <c r="C21" s="77">
        <v>59.04</v>
      </c>
      <c r="D21" s="77">
        <v>32.0</v>
      </c>
      <c r="E21" s="77">
        <v>1.85</v>
      </c>
      <c r="F21" s="77" t="s">
        <v>70</v>
      </c>
      <c r="G21" s="78" t="s">
        <v>150</v>
      </c>
      <c r="H21" s="79" t="s">
        <v>151</v>
      </c>
      <c r="I21" s="79" t="s">
        <v>152</v>
      </c>
      <c r="J21" s="79" t="s">
        <v>153</v>
      </c>
    </row>
    <row r="22">
      <c r="A22" s="77" t="s">
        <v>32</v>
      </c>
      <c r="B22" s="77" t="s">
        <v>69</v>
      </c>
      <c r="C22" s="77">
        <v>129.28</v>
      </c>
      <c r="D22" s="77">
        <v>55.0</v>
      </c>
      <c r="E22" s="77">
        <v>2.35</v>
      </c>
      <c r="F22" s="77" t="s">
        <v>154</v>
      </c>
      <c r="G22" s="78" t="s">
        <v>155</v>
      </c>
      <c r="H22" s="79" t="s">
        <v>76</v>
      </c>
      <c r="I22" s="79" t="s">
        <v>156</v>
      </c>
      <c r="J22" s="79" t="s">
        <v>157</v>
      </c>
    </row>
    <row r="23">
      <c r="A23" s="77" t="s">
        <v>27</v>
      </c>
      <c r="B23" s="77" t="s">
        <v>69</v>
      </c>
      <c r="C23" s="77">
        <v>2599.91</v>
      </c>
      <c r="D23" s="77">
        <v>1027.0</v>
      </c>
      <c r="E23" s="77">
        <v>2.53</v>
      </c>
      <c r="F23" s="77" t="s">
        <v>154</v>
      </c>
      <c r="G23" s="78" t="s">
        <v>158</v>
      </c>
      <c r="H23" s="79" t="s">
        <v>92</v>
      </c>
      <c r="I23" s="79" t="s">
        <v>159</v>
      </c>
      <c r="J23" s="79" t="s">
        <v>94</v>
      </c>
    </row>
    <row r="24">
      <c r="A24" s="77" t="s">
        <v>41</v>
      </c>
      <c r="B24" s="77" t="s">
        <v>69</v>
      </c>
      <c r="C24" s="77">
        <v>368.55</v>
      </c>
      <c r="D24" s="77">
        <v>133.0</v>
      </c>
      <c r="E24" s="77">
        <v>2.77</v>
      </c>
      <c r="F24" s="77" t="s">
        <v>154</v>
      </c>
      <c r="G24" s="78" t="s">
        <v>160</v>
      </c>
      <c r="H24" s="79" t="s">
        <v>138</v>
      </c>
      <c r="I24" s="79" t="s">
        <v>161</v>
      </c>
      <c r="J24" s="79" t="s">
        <v>162</v>
      </c>
    </row>
    <row r="25">
      <c r="A25" s="77" t="s">
        <v>34</v>
      </c>
      <c r="B25" s="77" t="s">
        <v>69</v>
      </c>
      <c r="C25" s="77">
        <v>197.21</v>
      </c>
      <c r="D25" s="77">
        <v>78.0</v>
      </c>
      <c r="E25" s="77">
        <v>2.53</v>
      </c>
      <c r="F25" s="77" t="s">
        <v>154</v>
      </c>
      <c r="G25" s="78" t="s">
        <v>163</v>
      </c>
      <c r="H25" s="79" t="s">
        <v>72</v>
      </c>
      <c r="I25" s="79" t="s">
        <v>164</v>
      </c>
      <c r="J25" s="79" t="s">
        <v>165</v>
      </c>
    </row>
    <row r="26">
      <c r="A26" s="77" t="s">
        <v>35</v>
      </c>
      <c r="B26" s="77" t="s">
        <v>69</v>
      </c>
      <c r="C26" s="77">
        <v>58.2</v>
      </c>
      <c r="D26" s="77">
        <v>17.0</v>
      </c>
      <c r="E26" s="77">
        <v>3.42</v>
      </c>
      <c r="F26" s="77" t="s">
        <v>154</v>
      </c>
      <c r="G26" s="78" t="s">
        <v>166</v>
      </c>
      <c r="H26" s="79" t="s">
        <v>88</v>
      </c>
      <c r="I26" s="79" t="s">
        <v>167</v>
      </c>
      <c r="J26" s="79" t="s">
        <v>168</v>
      </c>
    </row>
    <row r="27">
      <c r="A27" s="77" t="s">
        <v>28</v>
      </c>
      <c r="B27" s="77" t="s">
        <v>69</v>
      </c>
      <c r="C27" s="77">
        <v>3011.97</v>
      </c>
      <c r="D27" s="77">
        <v>1211.0</v>
      </c>
      <c r="E27" s="77">
        <v>2.49</v>
      </c>
      <c r="F27" s="77" t="s">
        <v>154</v>
      </c>
      <c r="G27" s="78" t="s">
        <v>169</v>
      </c>
      <c r="H27" s="79" t="s">
        <v>84</v>
      </c>
      <c r="I27" s="79" t="s">
        <v>170</v>
      </c>
      <c r="J27" s="79" t="s">
        <v>171</v>
      </c>
    </row>
    <row r="28">
      <c r="A28" s="77" t="s">
        <v>29</v>
      </c>
      <c r="B28" s="77" t="s">
        <v>69</v>
      </c>
      <c r="C28" s="77">
        <v>1177.56</v>
      </c>
      <c r="D28" s="77">
        <v>449.0</v>
      </c>
      <c r="E28" s="77">
        <v>2.62</v>
      </c>
      <c r="F28" s="77" t="s">
        <v>154</v>
      </c>
      <c r="G28" s="78" t="s">
        <v>172</v>
      </c>
      <c r="H28" s="79" t="s">
        <v>80</v>
      </c>
      <c r="I28" s="79" t="s">
        <v>173</v>
      </c>
      <c r="J28" s="79" t="s">
        <v>174</v>
      </c>
    </row>
    <row r="29">
      <c r="A29" s="77" t="s">
        <v>53</v>
      </c>
      <c r="B29" s="77" t="s">
        <v>69</v>
      </c>
      <c r="C29" s="77">
        <v>3.71</v>
      </c>
      <c r="D29" s="77">
        <v>1.0</v>
      </c>
      <c r="E29" s="77">
        <v>3.71</v>
      </c>
      <c r="F29" s="77" t="s">
        <v>154</v>
      </c>
      <c r="G29" s="78" t="s">
        <v>175</v>
      </c>
      <c r="H29" s="79" t="s">
        <v>96</v>
      </c>
      <c r="I29" s="79" t="s">
        <v>176</v>
      </c>
      <c r="J29" s="79" t="s">
        <v>177</v>
      </c>
    </row>
    <row r="30">
      <c r="A30" s="77" t="s">
        <v>27</v>
      </c>
      <c r="B30" s="77" t="s">
        <v>69</v>
      </c>
      <c r="C30" s="77">
        <v>914.27</v>
      </c>
      <c r="D30" s="77">
        <v>360.0</v>
      </c>
      <c r="E30" s="77">
        <v>2.54</v>
      </c>
      <c r="F30" s="77" t="s">
        <v>178</v>
      </c>
      <c r="G30" s="78" t="s">
        <v>179</v>
      </c>
      <c r="H30" s="79" t="s">
        <v>92</v>
      </c>
      <c r="I30" s="79" t="s">
        <v>180</v>
      </c>
      <c r="J30" s="79" t="s">
        <v>94</v>
      </c>
    </row>
    <row r="31">
      <c r="A31" s="77" t="s">
        <v>28</v>
      </c>
      <c r="B31" s="77" t="s">
        <v>69</v>
      </c>
      <c r="C31" s="77">
        <v>1086.68</v>
      </c>
      <c r="D31" s="77">
        <v>424.0</v>
      </c>
      <c r="E31" s="77">
        <v>2.56</v>
      </c>
      <c r="F31" s="77" t="s">
        <v>178</v>
      </c>
      <c r="G31" s="78" t="s">
        <v>181</v>
      </c>
      <c r="H31" s="79" t="s">
        <v>84</v>
      </c>
      <c r="I31" s="79" t="s">
        <v>182</v>
      </c>
      <c r="J31" s="79" t="s">
        <v>183</v>
      </c>
    </row>
    <row r="32">
      <c r="A32" s="77" t="s">
        <v>32</v>
      </c>
      <c r="B32" s="77" t="s">
        <v>69</v>
      </c>
      <c r="C32" s="77">
        <v>287.39</v>
      </c>
      <c r="D32" s="77">
        <v>94.0</v>
      </c>
      <c r="E32" s="77">
        <v>3.06</v>
      </c>
      <c r="F32" s="77" t="s">
        <v>178</v>
      </c>
      <c r="G32" s="78" t="s">
        <v>184</v>
      </c>
      <c r="H32" s="79" t="s">
        <v>76</v>
      </c>
      <c r="I32" s="79" t="s">
        <v>185</v>
      </c>
      <c r="J32" s="79" t="s">
        <v>186</v>
      </c>
    </row>
    <row r="33">
      <c r="A33" s="77" t="s">
        <v>41</v>
      </c>
      <c r="B33" s="77" t="s">
        <v>69</v>
      </c>
      <c r="C33" s="77">
        <v>174.53</v>
      </c>
      <c r="D33" s="77">
        <v>74.0</v>
      </c>
      <c r="E33" s="77">
        <v>2.36</v>
      </c>
      <c r="F33" s="77" t="s">
        <v>178</v>
      </c>
      <c r="G33" s="78" t="s">
        <v>187</v>
      </c>
      <c r="H33" s="79" t="s">
        <v>138</v>
      </c>
      <c r="I33" s="79" t="s">
        <v>188</v>
      </c>
      <c r="J33" s="79" t="s">
        <v>189</v>
      </c>
    </row>
    <row r="34">
      <c r="A34" s="77" t="s">
        <v>29</v>
      </c>
      <c r="B34" s="77" t="s">
        <v>69</v>
      </c>
      <c r="C34" s="77">
        <v>332.82</v>
      </c>
      <c r="D34" s="77">
        <v>126.0</v>
      </c>
      <c r="E34" s="77">
        <v>2.64</v>
      </c>
      <c r="F34" s="77" t="s">
        <v>178</v>
      </c>
      <c r="G34" s="78" t="s">
        <v>190</v>
      </c>
      <c r="H34" s="79" t="s">
        <v>80</v>
      </c>
      <c r="I34" s="79" t="s">
        <v>191</v>
      </c>
      <c r="J34" s="79" t="s">
        <v>192</v>
      </c>
    </row>
    <row r="35">
      <c r="A35" s="77" t="s">
        <v>35</v>
      </c>
      <c r="B35" s="77" t="s">
        <v>69</v>
      </c>
      <c r="C35" s="77">
        <v>5.73</v>
      </c>
      <c r="D35" s="77">
        <v>2.0</v>
      </c>
      <c r="E35" s="77">
        <v>2.87</v>
      </c>
      <c r="F35" s="77" t="s">
        <v>178</v>
      </c>
      <c r="G35" s="78" t="s">
        <v>193</v>
      </c>
      <c r="H35" s="79" t="s">
        <v>88</v>
      </c>
      <c r="I35" s="79" t="s">
        <v>194</v>
      </c>
      <c r="J35" s="79" t="s">
        <v>90</v>
      </c>
    </row>
    <row r="36">
      <c r="A36" s="77" t="s">
        <v>53</v>
      </c>
      <c r="B36" s="77" t="s">
        <v>69</v>
      </c>
      <c r="C36" s="77">
        <v>1.21</v>
      </c>
      <c r="D36" s="77">
        <v>2.0</v>
      </c>
      <c r="E36" s="77">
        <v>0.61</v>
      </c>
      <c r="F36" s="77" t="s">
        <v>178</v>
      </c>
      <c r="G36" s="78" t="s">
        <v>195</v>
      </c>
      <c r="H36" s="79" t="s">
        <v>96</v>
      </c>
      <c r="I36" s="79" t="s">
        <v>196</v>
      </c>
      <c r="J36" s="79" t="s">
        <v>197</v>
      </c>
    </row>
    <row r="37">
      <c r="A37" s="77" t="s">
        <v>34</v>
      </c>
      <c r="B37" s="77" t="s">
        <v>69</v>
      </c>
      <c r="C37" s="77">
        <v>44.35</v>
      </c>
      <c r="D37" s="77">
        <v>14.0</v>
      </c>
      <c r="E37" s="77">
        <v>3.17</v>
      </c>
      <c r="F37" s="77" t="s">
        <v>178</v>
      </c>
      <c r="G37" s="78" t="s">
        <v>198</v>
      </c>
      <c r="H37" s="79" t="s">
        <v>72</v>
      </c>
      <c r="I37" s="79" t="s">
        <v>199</v>
      </c>
      <c r="J37" s="79" t="s">
        <v>200</v>
      </c>
    </row>
    <row r="38">
      <c r="A38" s="77" t="s">
        <v>32</v>
      </c>
      <c r="B38" s="77" t="s">
        <v>69</v>
      </c>
      <c r="C38" s="77">
        <v>182.88</v>
      </c>
      <c r="D38" s="77">
        <v>78.0</v>
      </c>
      <c r="E38" s="77">
        <v>2.34</v>
      </c>
      <c r="F38" s="77" t="s">
        <v>201</v>
      </c>
      <c r="G38" s="78" t="s">
        <v>202</v>
      </c>
      <c r="H38" s="79" t="s">
        <v>76</v>
      </c>
      <c r="I38" s="79" t="s">
        <v>185</v>
      </c>
      <c r="J38" s="79" t="s">
        <v>186</v>
      </c>
    </row>
    <row r="39">
      <c r="A39" s="77" t="s">
        <v>27</v>
      </c>
      <c r="B39" s="77" t="s">
        <v>69</v>
      </c>
      <c r="C39" s="77">
        <v>3476.94</v>
      </c>
      <c r="D39" s="77">
        <v>1526.0</v>
      </c>
      <c r="E39" s="77">
        <v>2.28</v>
      </c>
      <c r="F39" s="77" t="s">
        <v>201</v>
      </c>
      <c r="G39" s="78" t="s">
        <v>203</v>
      </c>
      <c r="H39" s="79" t="s">
        <v>92</v>
      </c>
      <c r="I39" s="79" t="s">
        <v>180</v>
      </c>
      <c r="J39" s="79" t="s">
        <v>94</v>
      </c>
    </row>
    <row r="40">
      <c r="A40" s="77" t="s">
        <v>28</v>
      </c>
      <c r="B40" s="77" t="s">
        <v>69</v>
      </c>
      <c r="C40" s="77">
        <v>1464.31</v>
      </c>
      <c r="D40" s="77">
        <v>538.0</v>
      </c>
      <c r="E40" s="77">
        <v>2.72</v>
      </c>
      <c r="F40" s="77" t="s">
        <v>201</v>
      </c>
      <c r="G40" s="78" t="s">
        <v>204</v>
      </c>
      <c r="H40" s="79" t="s">
        <v>84</v>
      </c>
      <c r="I40" s="79" t="s">
        <v>205</v>
      </c>
      <c r="J40" s="79" t="s">
        <v>206</v>
      </c>
    </row>
    <row r="41">
      <c r="A41" s="77" t="s">
        <v>34</v>
      </c>
      <c r="B41" s="77" t="s">
        <v>69</v>
      </c>
      <c r="C41" s="77">
        <v>115.77</v>
      </c>
      <c r="D41" s="77">
        <v>30.0</v>
      </c>
      <c r="E41" s="77">
        <v>3.86</v>
      </c>
      <c r="F41" s="77" t="s">
        <v>201</v>
      </c>
      <c r="G41" s="78" t="s">
        <v>207</v>
      </c>
      <c r="H41" s="79" t="s">
        <v>72</v>
      </c>
      <c r="I41" s="79" t="s">
        <v>208</v>
      </c>
      <c r="J41" s="79" t="s">
        <v>209</v>
      </c>
    </row>
    <row r="42">
      <c r="A42" s="77" t="s">
        <v>41</v>
      </c>
      <c r="B42" s="77" t="s">
        <v>69</v>
      </c>
      <c r="C42" s="77">
        <v>264.23</v>
      </c>
      <c r="D42" s="77">
        <v>105.0</v>
      </c>
      <c r="E42" s="77">
        <v>2.52</v>
      </c>
      <c r="F42" s="77" t="s">
        <v>201</v>
      </c>
      <c r="G42" s="78" t="s">
        <v>210</v>
      </c>
      <c r="H42" s="79" t="s">
        <v>138</v>
      </c>
      <c r="I42" s="79" t="s">
        <v>211</v>
      </c>
      <c r="J42" s="79" t="s">
        <v>212</v>
      </c>
    </row>
    <row r="43">
      <c r="A43" s="77" t="s">
        <v>29</v>
      </c>
      <c r="B43" s="77" t="s">
        <v>69</v>
      </c>
      <c r="C43" s="77">
        <v>445.96</v>
      </c>
      <c r="D43" s="77">
        <v>204.0</v>
      </c>
      <c r="E43" s="77">
        <v>2.19</v>
      </c>
      <c r="F43" s="77" t="s">
        <v>201</v>
      </c>
      <c r="G43" s="78" t="s">
        <v>213</v>
      </c>
      <c r="H43" s="79" t="s">
        <v>80</v>
      </c>
      <c r="I43" s="79" t="s">
        <v>214</v>
      </c>
      <c r="J43" s="79" t="s">
        <v>192</v>
      </c>
    </row>
    <row r="44">
      <c r="A44" s="77" t="s">
        <v>35</v>
      </c>
      <c r="B44" s="77" t="s">
        <v>69</v>
      </c>
      <c r="C44" s="77">
        <v>42.87</v>
      </c>
      <c r="D44" s="77">
        <v>10.0</v>
      </c>
      <c r="E44" s="77">
        <v>4.29</v>
      </c>
      <c r="F44" s="77" t="s">
        <v>201</v>
      </c>
      <c r="G44" s="78" t="s">
        <v>215</v>
      </c>
      <c r="H44" s="79" t="s">
        <v>88</v>
      </c>
      <c r="I44" s="79" t="s">
        <v>194</v>
      </c>
      <c r="J44" s="79" t="s">
        <v>216</v>
      </c>
    </row>
    <row r="45">
      <c r="A45" s="77" t="s">
        <v>53</v>
      </c>
      <c r="B45" s="77" t="s">
        <v>69</v>
      </c>
      <c r="C45" s="77">
        <v>2.06</v>
      </c>
      <c r="D45" s="77"/>
      <c r="E45" s="77"/>
      <c r="F45" s="77" t="s">
        <v>201</v>
      </c>
      <c r="G45" s="78" t="s">
        <v>217</v>
      </c>
      <c r="H45" s="79" t="s">
        <v>96</v>
      </c>
      <c r="I45" s="79" t="s">
        <v>196</v>
      </c>
      <c r="J45" s="79" t="s">
        <v>197</v>
      </c>
    </row>
    <row r="46">
      <c r="A46" s="77" t="s">
        <v>53</v>
      </c>
      <c r="B46" s="77" t="s">
        <v>69</v>
      </c>
      <c r="C46" s="77">
        <v>55.62</v>
      </c>
      <c r="D46" s="77">
        <v>19.0</v>
      </c>
      <c r="E46" s="77">
        <v>2.93</v>
      </c>
      <c r="F46" s="77" t="s">
        <v>218</v>
      </c>
      <c r="G46" s="78" t="s">
        <v>219</v>
      </c>
      <c r="H46" s="79" t="s">
        <v>96</v>
      </c>
      <c r="I46" s="79" t="s">
        <v>220</v>
      </c>
      <c r="J46" s="79" t="s">
        <v>177</v>
      </c>
    </row>
    <row r="47">
      <c r="A47" s="77" t="s">
        <v>27</v>
      </c>
      <c r="B47" s="77" t="s">
        <v>69</v>
      </c>
      <c r="C47" s="77">
        <v>6025.5</v>
      </c>
      <c r="D47" s="77">
        <v>3134.0</v>
      </c>
      <c r="E47" s="77">
        <v>1.92</v>
      </c>
      <c r="F47" s="77" t="s">
        <v>218</v>
      </c>
      <c r="G47" s="78" t="s">
        <v>221</v>
      </c>
      <c r="H47" s="79" t="s">
        <v>92</v>
      </c>
      <c r="I47" s="79" t="s">
        <v>222</v>
      </c>
      <c r="J47" s="79" t="s">
        <v>94</v>
      </c>
    </row>
    <row r="48">
      <c r="A48" s="77" t="s">
        <v>32</v>
      </c>
      <c r="B48" s="77" t="s">
        <v>69</v>
      </c>
      <c r="C48" s="77">
        <v>316.35</v>
      </c>
      <c r="D48" s="77">
        <v>141.0</v>
      </c>
      <c r="E48" s="77">
        <v>2.24</v>
      </c>
      <c r="F48" s="77" t="s">
        <v>218</v>
      </c>
      <c r="G48" s="78" t="s">
        <v>223</v>
      </c>
      <c r="H48" s="79" t="s">
        <v>76</v>
      </c>
      <c r="I48" s="79" t="s">
        <v>224</v>
      </c>
      <c r="J48" s="79" t="s">
        <v>157</v>
      </c>
    </row>
    <row r="49">
      <c r="A49" s="77" t="s">
        <v>41</v>
      </c>
      <c r="B49" s="77" t="s">
        <v>69</v>
      </c>
      <c r="C49" s="77">
        <v>365.82</v>
      </c>
      <c r="D49" s="77">
        <v>160.0</v>
      </c>
      <c r="E49" s="77">
        <v>2.29</v>
      </c>
      <c r="F49" s="77" t="s">
        <v>218</v>
      </c>
      <c r="G49" s="78" t="s">
        <v>225</v>
      </c>
      <c r="H49" s="79" t="s">
        <v>138</v>
      </c>
      <c r="I49" s="79" t="s">
        <v>161</v>
      </c>
      <c r="J49" s="79" t="s">
        <v>162</v>
      </c>
    </row>
    <row r="50">
      <c r="A50" s="77" t="s">
        <v>29</v>
      </c>
      <c r="B50" s="77" t="s">
        <v>69</v>
      </c>
      <c r="C50" s="77">
        <v>1007.1</v>
      </c>
      <c r="D50" s="77">
        <v>94.0</v>
      </c>
      <c r="E50" s="77">
        <v>10.71</v>
      </c>
      <c r="F50" s="77" t="s">
        <v>218</v>
      </c>
      <c r="G50" s="78" t="s">
        <v>226</v>
      </c>
      <c r="H50" s="79" t="s">
        <v>80</v>
      </c>
      <c r="I50" s="79" t="s">
        <v>227</v>
      </c>
      <c r="J50" s="79" t="s">
        <v>174</v>
      </c>
    </row>
    <row r="51">
      <c r="A51" s="77" t="s">
        <v>28</v>
      </c>
      <c r="B51" s="77" t="s">
        <v>69</v>
      </c>
      <c r="C51" s="77">
        <v>2261.41</v>
      </c>
      <c r="D51" s="77">
        <v>919.0</v>
      </c>
      <c r="E51" s="77">
        <v>2.46</v>
      </c>
      <c r="F51" s="77" t="s">
        <v>218</v>
      </c>
      <c r="G51" s="78" t="s">
        <v>228</v>
      </c>
      <c r="H51" s="79" t="s">
        <v>84</v>
      </c>
      <c r="I51" s="79" t="s">
        <v>229</v>
      </c>
      <c r="J51" s="79" t="s">
        <v>171</v>
      </c>
    </row>
    <row r="52">
      <c r="A52" s="77" t="s">
        <v>34</v>
      </c>
      <c r="B52" s="77" t="s">
        <v>69</v>
      </c>
      <c r="C52" s="77">
        <v>213.23</v>
      </c>
      <c r="D52" s="77">
        <v>81.0</v>
      </c>
      <c r="E52" s="77">
        <v>2.63</v>
      </c>
      <c r="F52" s="77" t="s">
        <v>218</v>
      </c>
      <c r="G52" s="78" t="s">
        <v>230</v>
      </c>
      <c r="H52" s="79" t="s">
        <v>72</v>
      </c>
      <c r="I52" s="79" t="s">
        <v>231</v>
      </c>
      <c r="J52" s="79" t="s">
        <v>232</v>
      </c>
    </row>
    <row r="53">
      <c r="A53" s="77" t="s">
        <v>35</v>
      </c>
      <c r="B53" s="77" t="s">
        <v>69</v>
      </c>
      <c r="C53" s="77">
        <v>126.79</v>
      </c>
      <c r="D53" s="77">
        <v>21.0</v>
      </c>
      <c r="E53" s="77">
        <v>6.04</v>
      </c>
      <c r="F53" s="77" t="s">
        <v>218</v>
      </c>
      <c r="G53" s="78" t="s">
        <v>233</v>
      </c>
      <c r="H53" s="79" t="s">
        <v>88</v>
      </c>
      <c r="I53" s="79" t="s">
        <v>234</v>
      </c>
      <c r="J53" s="79" t="s">
        <v>168</v>
      </c>
    </row>
    <row r="54">
      <c r="A54" s="77" t="s">
        <v>27</v>
      </c>
      <c r="B54" s="77" t="s">
        <v>69</v>
      </c>
      <c r="C54" s="77">
        <v>1600.12</v>
      </c>
      <c r="D54" s="77">
        <v>564.0</v>
      </c>
      <c r="E54" s="77">
        <v>2.84</v>
      </c>
      <c r="F54" s="77" t="s">
        <v>235</v>
      </c>
      <c r="G54" s="78" t="s">
        <v>236</v>
      </c>
      <c r="H54" s="79" t="s">
        <v>92</v>
      </c>
      <c r="I54" s="79" t="s">
        <v>180</v>
      </c>
      <c r="J54" s="79" t="s">
        <v>94</v>
      </c>
    </row>
    <row r="55">
      <c r="A55" s="77" t="s">
        <v>29</v>
      </c>
      <c r="B55" s="77" t="s">
        <v>69</v>
      </c>
      <c r="C55" s="77">
        <v>550.76</v>
      </c>
      <c r="D55" s="77">
        <v>207.0</v>
      </c>
      <c r="E55" s="77">
        <v>2.66</v>
      </c>
      <c r="F55" s="77" t="s">
        <v>235</v>
      </c>
      <c r="G55" s="78" t="s">
        <v>237</v>
      </c>
      <c r="H55" s="79" t="s">
        <v>80</v>
      </c>
      <c r="I55" s="79" t="s">
        <v>238</v>
      </c>
      <c r="J55" s="79" t="s">
        <v>239</v>
      </c>
    </row>
    <row r="56">
      <c r="A56" s="77" t="s">
        <v>53</v>
      </c>
      <c r="B56" s="77" t="s">
        <v>69</v>
      </c>
      <c r="C56" s="77">
        <v>1.67</v>
      </c>
      <c r="D56" s="77">
        <v>1.0</v>
      </c>
      <c r="E56" s="77">
        <v>1.67</v>
      </c>
      <c r="F56" s="77" t="s">
        <v>235</v>
      </c>
      <c r="G56" s="78" t="s">
        <v>240</v>
      </c>
      <c r="H56" s="79" t="s">
        <v>96</v>
      </c>
      <c r="I56" s="79" t="s">
        <v>196</v>
      </c>
      <c r="J56" s="79" t="s">
        <v>197</v>
      </c>
    </row>
    <row r="57">
      <c r="A57" s="77" t="s">
        <v>35</v>
      </c>
      <c r="B57" s="77" t="s">
        <v>69</v>
      </c>
      <c r="C57" s="77">
        <v>23.48</v>
      </c>
      <c r="D57" s="77">
        <v>7.0</v>
      </c>
      <c r="E57" s="77">
        <v>3.35</v>
      </c>
      <c r="F57" s="77" t="s">
        <v>235</v>
      </c>
      <c r="G57" s="78" t="s">
        <v>241</v>
      </c>
      <c r="H57" s="79" t="s">
        <v>88</v>
      </c>
      <c r="I57" s="79" t="s">
        <v>194</v>
      </c>
      <c r="J57" s="79" t="s">
        <v>90</v>
      </c>
    </row>
    <row r="58">
      <c r="A58" s="77" t="s">
        <v>32</v>
      </c>
      <c r="B58" s="77" t="s">
        <v>69</v>
      </c>
      <c r="C58" s="77">
        <v>16.14</v>
      </c>
      <c r="D58" s="77">
        <v>6.0</v>
      </c>
      <c r="E58" s="77">
        <v>2.69</v>
      </c>
      <c r="F58" s="77" t="s">
        <v>235</v>
      </c>
      <c r="G58" s="78" t="s">
        <v>242</v>
      </c>
      <c r="H58" s="79" t="s">
        <v>76</v>
      </c>
      <c r="I58" s="79" t="s">
        <v>243</v>
      </c>
      <c r="J58" s="79" t="s">
        <v>186</v>
      </c>
    </row>
    <row r="59">
      <c r="A59" s="77" t="s">
        <v>34</v>
      </c>
      <c r="B59" s="77" t="s">
        <v>69</v>
      </c>
      <c r="C59" s="77">
        <v>49.33</v>
      </c>
      <c r="D59" s="77">
        <v>15.0</v>
      </c>
      <c r="E59" s="77">
        <v>3.29</v>
      </c>
      <c r="F59" s="77" t="s">
        <v>235</v>
      </c>
      <c r="G59" s="78" t="s">
        <v>244</v>
      </c>
      <c r="H59" s="79" t="s">
        <v>72</v>
      </c>
      <c r="I59" s="79" t="s">
        <v>208</v>
      </c>
      <c r="J59" s="79" t="s">
        <v>209</v>
      </c>
    </row>
    <row r="60">
      <c r="A60" s="77" t="s">
        <v>41</v>
      </c>
      <c r="B60" s="77" t="s">
        <v>69</v>
      </c>
      <c r="C60" s="77">
        <v>27.82</v>
      </c>
      <c r="D60" s="77">
        <v>17.0</v>
      </c>
      <c r="E60" s="77">
        <v>1.64</v>
      </c>
      <c r="F60" s="77" t="s">
        <v>235</v>
      </c>
      <c r="G60" s="78" t="s">
        <v>245</v>
      </c>
      <c r="H60" s="79" t="s">
        <v>138</v>
      </c>
      <c r="I60" s="79" t="s">
        <v>188</v>
      </c>
      <c r="J60" s="79" t="s">
        <v>212</v>
      </c>
    </row>
    <row r="61">
      <c r="A61" s="77" t="s">
        <v>28</v>
      </c>
      <c r="B61" s="77" t="s">
        <v>69</v>
      </c>
      <c r="C61" s="77">
        <v>1067.29</v>
      </c>
      <c r="D61" s="77">
        <v>380.0</v>
      </c>
      <c r="E61" s="77">
        <v>2.81</v>
      </c>
      <c r="F61" s="77" t="s">
        <v>235</v>
      </c>
      <c r="G61" s="78" t="s">
        <v>246</v>
      </c>
      <c r="H61" s="79" t="s">
        <v>84</v>
      </c>
      <c r="I61" s="79" t="s">
        <v>205</v>
      </c>
      <c r="J61" s="79" t="s">
        <v>183</v>
      </c>
    </row>
    <row r="62">
      <c r="A62" s="77" t="s">
        <v>53</v>
      </c>
      <c r="B62" s="77" t="s">
        <v>69</v>
      </c>
      <c r="C62" s="77">
        <v>13.22</v>
      </c>
      <c r="D62" s="77">
        <v>6.0</v>
      </c>
      <c r="E62" s="77">
        <v>2.2</v>
      </c>
      <c r="F62" s="77" t="s">
        <v>247</v>
      </c>
      <c r="G62" s="78" t="s">
        <v>248</v>
      </c>
      <c r="H62" s="79" t="s">
        <v>96</v>
      </c>
      <c r="I62" s="79" t="s">
        <v>249</v>
      </c>
      <c r="J62" s="79" t="s">
        <v>250</v>
      </c>
    </row>
    <row r="63">
      <c r="A63" s="77" t="s">
        <v>32</v>
      </c>
      <c r="B63" s="77" t="s">
        <v>69</v>
      </c>
      <c r="C63" s="77">
        <v>57.39</v>
      </c>
      <c r="D63" s="77">
        <v>32.0</v>
      </c>
      <c r="E63" s="77">
        <v>1.79</v>
      </c>
      <c r="F63" s="77" t="s">
        <v>247</v>
      </c>
      <c r="G63" s="78" t="s">
        <v>251</v>
      </c>
      <c r="H63" s="79" t="s">
        <v>76</v>
      </c>
      <c r="I63" s="79" t="s">
        <v>185</v>
      </c>
      <c r="J63" s="79" t="s">
        <v>252</v>
      </c>
    </row>
    <row r="64">
      <c r="A64" s="77" t="s">
        <v>34</v>
      </c>
      <c r="B64" s="77" t="s">
        <v>69</v>
      </c>
      <c r="C64" s="77">
        <v>132.08</v>
      </c>
      <c r="D64" s="77">
        <v>23.0</v>
      </c>
      <c r="E64" s="77">
        <v>5.74</v>
      </c>
      <c r="F64" s="77" t="s">
        <v>247</v>
      </c>
      <c r="G64" s="78" t="s">
        <v>253</v>
      </c>
      <c r="H64" s="79" t="s">
        <v>72</v>
      </c>
      <c r="I64" s="79" t="s">
        <v>208</v>
      </c>
      <c r="J64" s="79" t="s">
        <v>200</v>
      </c>
    </row>
    <row r="65">
      <c r="A65" s="77" t="s">
        <v>27</v>
      </c>
      <c r="B65" s="77" t="s">
        <v>69</v>
      </c>
      <c r="C65" s="77">
        <v>1372.79</v>
      </c>
      <c r="D65" s="77">
        <v>390.0</v>
      </c>
      <c r="E65" s="77">
        <v>3.52</v>
      </c>
      <c r="F65" s="77" t="s">
        <v>247</v>
      </c>
      <c r="G65" s="78" t="s">
        <v>254</v>
      </c>
      <c r="H65" s="79" t="s">
        <v>92</v>
      </c>
      <c r="I65" s="79" t="s">
        <v>255</v>
      </c>
      <c r="J65" s="79" t="s">
        <v>94</v>
      </c>
    </row>
    <row r="66">
      <c r="A66" s="77" t="s">
        <v>35</v>
      </c>
      <c r="B66" s="77" t="s">
        <v>69</v>
      </c>
      <c r="C66" s="77">
        <v>11.25</v>
      </c>
      <c r="D66" s="77"/>
      <c r="E66" s="77"/>
      <c r="F66" s="77" t="s">
        <v>247</v>
      </c>
      <c r="G66" s="78" t="s">
        <v>256</v>
      </c>
      <c r="H66" s="79" t="s">
        <v>88</v>
      </c>
      <c r="I66" s="79" t="s">
        <v>194</v>
      </c>
      <c r="J66" s="79" t="s">
        <v>90</v>
      </c>
    </row>
    <row r="67">
      <c r="A67" s="77" t="s">
        <v>41</v>
      </c>
      <c r="B67" s="77" t="s">
        <v>69</v>
      </c>
      <c r="C67" s="77">
        <v>7.94</v>
      </c>
      <c r="D67" s="77">
        <v>2.0</v>
      </c>
      <c r="E67" s="77">
        <v>3.97</v>
      </c>
      <c r="F67" s="77" t="s">
        <v>247</v>
      </c>
      <c r="G67" s="78" t="s">
        <v>257</v>
      </c>
      <c r="H67" s="79" t="s">
        <v>138</v>
      </c>
      <c r="I67" s="79" t="s">
        <v>188</v>
      </c>
      <c r="J67" s="79" t="s">
        <v>212</v>
      </c>
    </row>
    <row r="68">
      <c r="A68" s="77" t="s">
        <v>28</v>
      </c>
      <c r="B68" s="77" t="s">
        <v>69</v>
      </c>
      <c r="C68" s="77">
        <v>1380.64</v>
      </c>
      <c r="D68" s="77">
        <v>542.0</v>
      </c>
      <c r="E68" s="77">
        <v>2.55</v>
      </c>
      <c r="F68" s="77" t="s">
        <v>247</v>
      </c>
      <c r="G68" s="78" t="s">
        <v>258</v>
      </c>
      <c r="H68" s="79" t="s">
        <v>84</v>
      </c>
      <c r="I68" s="79" t="s">
        <v>205</v>
      </c>
      <c r="J68" s="79" t="s">
        <v>183</v>
      </c>
    </row>
    <row r="69">
      <c r="A69" s="77" t="s">
        <v>29</v>
      </c>
      <c r="B69" s="77" t="s">
        <v>69</v>
      </c>
      <c r="C69" s="77">
        <v>61.51</v>
      </c>
      <c r="D69" s="77">
        <v>2.0</v>
      </c>
      <c r="E69" s="77">
        <v>30.76</v>
      </c>
      <c r="F69" s="77" t="s">
        <v>247</v>
      </c>
      <c r="G69" s="78" t="s">
        <v>259</v>
      </c>
      <c r="H69" s="79" t="s">
        <v>80</v>
      </c>
      <c r="I69" s="79" t="s">
        <v>238</v>
      </c>
      <c r="J69" s="79" t="s">
        <v>192</v>
      </c>
    </row>
    <row r="70">
      <c r="A70" s="77" t="s">
        <v>132</v>
      </c>
      <c r="B70" s="77" t="s">
        <v>99</v>
      </c>
      <c r="C70" s="77">
        <v>261.29</v>
      </c>
      <c r="D70" s="77">
        <v>82.0</v>
      </c>
      <c r="E70" s="77">
        <v>3.19</v>
      </c>
      <c r="F70" s="77" t="s">
        <v>247</v>
      </c>
      <c r="G70" s="78" t="s">
        <v>260</v>
      </c>
      <c r="H70" s="79" t="s">
        <v>134</v>
      </c>
      <c r="I70" s="79" t="s">
        <v>261</v>
      </c>
      <c r="J70" s="79" t="s">
        <v>262</v>
      </c>
    </row>
    <row r="71">
      <c r="A71" s="77" t="s">
        <v>26</v>
      </c>
      <c r="B71" s="77" t="s">
        <v>99</v>
      </c>
      <c r="C71" s="77">
        <v>787.82</v>
      </c>
      <c r="D71" s="77">
        <v>10.0</v>
      </c>
      <c r="E71" s="77">
        <v>78.78</v>
      </c>
      <c r="F71" s="77" t="s">
        <v>247</v>
      </c>
      <c r="G71" s="78" t="s">
        <v>263</v>
      </c>
      <c r="H71" s="79" t="s">
        <v>129</v>
      </c>
      <c r="I71" s="79" t="s">
        <v>264</v>
      </c>
      <c r="J71" s="79" t="s">
        <v>265</v>
      </c>
    </row>
    <row r="72">
      <c r="A72" s="77" t="s">
        <v>39</v>
      </c>
      <c r="B72" s="77" t="s">
        <v>99</v>
      </c>
      <c r="C72" s="77">
        <v>257.68</v>
      </c>
      <c r="D72" s="77">
        <v>66.0</v>
      </c>
      <c r="E72" s="77">
        <v>3.9</v>
      </c>
      <c r="F72" s="77" t="s">
        <v>247</v>
      </c>
      <c r="G72" s="78" t="s">
        <v>266</v>
      </c>
      <c r="H72" s="79" t="s">
        <v>125</v>
      </c>
      <c r="I72" s="79" t="s">
        <v>267</v>
      </c>
      <c r="J72" s="79" t="s">
        <v>268</v>
      </c>
    </row>
    <row r="73">
      <c r="A73" s="77" t="s">
        <v>51</v>
      </c>
      <c r="B73" s="77" t="s">
        <v>99</v>
      </c>
      <c r="C73" s="77">
        <v>42.45</v>
      </c>
      <c r="D73" s="77">
        <v>9.0</v>
      </c>
      <c r="E73" s="77">
        <v>4.72</v>
      </c>
      <c r="F73" s="77" t="s">
        <v>247</v>
      </c>
      <c r="G73" s="78" t="s">
        <v>269</v>
      </c>
      <c r="H73" s="79" t="s">
        <v>117</v>
      </c>
      <c r="I73" s="79" t="s">
        <v>270</v>
      </c>
      <c r="J73" s="79" t="s">
        <v>271</v>
      </c>
    </row>
    <row r="74">
      <c r="A74" s="77" t="s">
        <v>36</v>
      </c>
      <c r="B74" s="77" t="s">
        <v>99</v>
      </c>
      <c r="C74" s="77">
        <v>24.66</v>
      </c>
      <c r="D74" s="77">
        <v>5.0</v>
      </c>
      <c r="E74" s="77">
        <v>4.93</v>
      </c>
      <c r="F74" s="77" t="s">
        <v>247</v>
      </c>
      <c r="G74" s="78" t="s">
        <v>272</v>
      </c>
      <c r="H74" s="79" t="s">
        <v>121</v>
      </c>
      <c r="I74" s="79" t="s">
        <v>273</v>
      </c>
      <c r="J74" s="79" t="s">
        <v>274</v>
      </c>
    </row>
    <row r="75">
      <c r="A75" s="77" t="s">
        <v>47</v>
      </c>
      <c r="B75" s="77" t="s">
        <v>99</v>
      </c>
      <c r="C75" s="77">
        <v>253.76</v>
      </c>
      <c r="D75" s="77">
        <v>79.0</v>
      </c>
      <c r="E75" s="77">
        <v>3.21</v>
      </c>
      <c r="F75" s="77" t="s">
        <v>247</v>
      </c>
      <c r="G75" s="78" t="s">
        <v>275</v>
      </c>
      <c r="H75" s="79" t="s">
        <v>113</v>
      </c>
      <c r="I75" s="79" t="s">
        <v>276</v>
      </c>
      <c r="J75" s="79" t="s">
        <v>277</v>
      </c>
    </row>
    <row r="76">
      <c r="A76" s="77" t="s">
        <v>57</v>
      </c>
      <c r="B76" s="77" t="s">
        <v>99</v>
      </c>
      <c r="C76" s="77">
        <v>0.55</v>
      </c>
      <c r="D76" s="77"/>
      <c r="E76" s="77"/>
      <c r="F76" s="77" t="s">
        <v>247</v>
      </c>
      <c r="G76" s="78" t="s">
        <v>278</v>
      </c>
      <c r="H76" s="79" t="s">
        <v>109</v>
      </c>
      <c r="I76" s="79" t="s">
        <v>279</v>
      </c>
      <c r="J76" s="79" t="s">
        <v>280</v>
      </c>
    </row>
    <row r="77">
      <c r="A77" s="77" t="s">
        <v>42</v>
      </c>
      <c r="B77" s="77" t="s">
        <v>99</v>
      </c>
      <c r="C77" s="77">
        <v>28.5</v>
      </c>
      <c r="D77" s="77">
        <v>10.0</v>
      </c>
      <c r="E77" s="77">
        <v>2.85</v>
      </c>
      <c r="F77" s="77" t="s">
        <v>247</v>
      </c>
      <c r="G77" s="78" t="s">
        <v>281</v>
      </c>
      <c r="H77" s="79" t="s">
        <v>101</v>
      </c>
      <c r="I77" s="79" t="s">
        <v>282</v>
      </c>
      <c r="J77" s="79" t="s">
        <v>283</v>
      </c>
    </row>
    <row r="78">
      <c r="A78" s="77" t="s">
        <v>36</v>
      </c>
      <c r="B78" s="77" t="s">
        <v>99</v>
      </c>
      <c r="C78" s="77">
        <v>0.87</v>
      </c>
      <c r="D78" s="77"/>
      <c r="E78" s="77"/>
      <c r="F78" s="77" t="s">
        <v>284</v>
      </c>
      <c r="G78" s="78" t="s">
        <v>285</v>
      </c>
      <c r="H78" s="79" t="s">
        <v>121</v>
      </c>
      <c r="I78" s="79" t="s">
        <v>286</v>
      </c>
      <c r="J78" s="79" t="s">
        <v>287</v>
      </c>
    </row>
    <row r="79">
      <c r="A79" s="77" t="s">
        <v>47</v>
      </c>
      <c r="B79" s="77" t="s">
        <v>99</v>
      </c>
      <c r="C79" s="77">
        <v>4.82</v>
      </c>
      <c r="D79" s="77">
        <v>2.0</v>
      </c>
      <c r="E79" s="77">
        <v>2.41</v>
      </c>
      <c r="F79" s="77" t="s">
        <v>284</v>
      </c>
      <c r="G79" s="78" t="s">
        <v>288</v>
      </c>
      <c r="H79" s="79" t="s">
        <v>113</v>
      </c>
      <c r="I79" s="79" t="s">
        <v>289</v>
      </c>
      <c r="J79" s="79" t="s">
        <v>290</v>
      </c>
    </row>
    <row r="80">
      <c r="A80" s="77" t="s">
        <v>132</v>
      </c>
      <c r="B80" s="77" t="s">
        <v>99</v>
      </c>
      <c r="C80" s="77">
        <v>421.29</v>
      </c>
      <c r="D80" s="77">
        <v>191.0</v>
      </c>
      <c r="E80" s="77">
        <v>2.21</v>
      </c>
      <c r="F80" s="77" t="s">
        <v>284</v>
      </c>
      <c r="G80" s="78" t="s">
        <v>291</v>
      </c>
      <c r="H80" s="79" t="s">
        <v>134</v>
      </c>
      <c r="I80" s="79" t="s">
        <v>292</v>
      </c>
      <c r="J80" s="79" t="s">
        <v>293</v>
      </c>
    </row>
    <row r="81">
      <c r="A81" s="77" t="s">
        <v>38</v>
      </c>
      <c r="B81" s="77" t="s">
        <v>99</v>
      </c>
      <c r="C81" s="77">
        <v>395.1</v>
      </c>
      <c r="D81" s="77">
        <v>129.0</v>
      </c>
      <c r="E81" s="77">
        <v>3.06</v>
      </c>
      <c r="F81" s="77" t="s">
        <v>247</v>
      </c>
      <c r="G81" s="78" t="s">
        <v>294</v>
      </c>
      <c r="H81" s="79" t="s">
        <v>105</v>
      </c>
      <c r="I81" s="79" t="s">
        <v>295</v>
      </c>
      <c r="J81" s="79" t="s">
        <v>296</v>
      </c>
    </row>
    <row r="82">
      <c r="A82" s="77" t="s">
        <v>51</v>
      </c>
      <c r="B82" s="77" t="s">
        <v>99</v>
      </c>
      <c r="C82" s="77">
        <v>42.77</v>
      </c>
      <c r="D82" s="77">
        <v>15.0</v>
      </c>
      <c r="E82" s="77">
        <v>2.85</v>
      </c>
      <c r="F82" s="77" t="s">
        <v>284</v>
      </c>
      <c r="G82" s="78" t="s">
        <v>297</v>
      </c>
      <c r="H82" s="79" t="s">
        <v>117</v>
      </c>
      <c r="I82" s="79" t="s">
        <v>298</v>
      </c>
      <c r="J82" s="79" t="s">
        <v>299</v>
      </c>
    </row>
    <row r="83">
      <c r="A83" s="77" t="s">
        <v>26</v>
      </c>
      <c r="B83" s="77" t="s">
        <v>99</v>
      </c>
      <c r="C83" s="77">
        <v>2577.99</v>
      </c>
      <c r="D83" s="77">
        <v>1176.0</v>
      </c>
      <c r="E83" s="77">
        <v>2.19</v>
      </c>
      <c r="F83" s="77" t="s">
        <v>284</v>
      </c>
      <c r="G83" s="78" t="s">
        <v>300</v>
      </c>
      <c r="H83" s="79" t="s">
        <v>129</v>
      </c>
      <c r="I83" s="79" t="s">
        <v>301</v>
      </c>
      <c r="J83" s="79" t="s">
        <v>302</v>
      </c>
    </row>
    <row r="84">
      <c r="A84" s="77" t="s">
        <v>39</v>
      </c>
      <c r="B84" s="77" t="s">
        <v>99</v>
      </c>
      <c r="C84" s="77">
        <v>4.62</v>
      </c>
      <c r="D84" s="77">
        <v>1.0</v>
      </c>
      <c r="E84" s="77">
        <v>4.62</v>
      </c>
      <c r="F84" s="77" t="s">
        <v>284</v>
      </c>
      <c r="G84" s="78" t="s">
        <v>303</v>
      </c>
      <c r="H84" s="79" t="s">
        <v>125</v>
      </c>
      <c r="I84" s="79" t="s">
        <v>304</v>
      </c>
      <c r="J84" s="79" t="s">
        <v>305</v>
      </c>
    </row>
    <row r="85">
      <c r="A85" s="77" t="s">
        <v>57</v>
      </c>
      <c r="B85" s="77" t="s">
        <v>99</v>
      </c>
      <c r="C85" s="77">
        <v>3.99</v>
      </c>
      <c r="D85" s="77"/>
      <c r="E85" s="77"/>
      <c r="F85" s="77" t="s">
        <v>284</v>
      </c>
      <c r="G85" s="78" t="s">
        <v>306</v>
      </c>
      <c r="H85" s="79" t="s">
        <v>109</v>
      </c>
      <c r="I85" s="79" t="s">
        <v>307</v>
      </c>
      <c r="J85" s="79" t="s">
        <v>280</v>
      </c>
    </row>
    <row r="86">
      <c r="A86" s="77" t="s">
        <v>38</v>
      </c>
      <c r="B86" s="77" t="s">
        <v>99</v>
      </c>
      <c r="C86" s="77">
        <v>28.56</v>
      </c>
      <c r="D86" s="77">
        <v>9.0</v>
      </c>
      <c r="E86" s="77">
        <v>3.17</v>
      </c>
      <c r="F86" s="77" t="s">
        <v>284</v>
      </c>
      <c r="G86" s="78" t="s">
        <v>308</v>
      </c>
      <c r="H86" s="79" t="s">
        <v>105</v>
      </c>
      <c r="I86" s="79" t="s">
        <v>309</v>
      </c>
      <c r="J86" s="79" t="s">
        <v>310</v>
      </c>
    </row>
    <row r="87">
      <c r="A87" s="77" t="s">
        <v>132</v>
      </c>
      <c r="B87" s="77" t="s">
        <v>99</v>
      </c>
      <c r="C87" s="77">
        <v>783.64</v>
      </c>
      <c r="D87" s="77">
        <v>296.0</v>
      </c>
      <c r="E87" s="77">
        <v>2.65</v>
      </c>
      <c r="F87" s="77" t="s">
        <v>201</v>
      </c>
      <c r="G87" s="78" t="s">
        <v>311</v>
      </c>
      <c r="H87" s="79" t="s">
        <v>134</v>
      </c>
      <c r="I87" s="79" t="s">
        <v>261</v>
      </c>
      <c r="J87" s="79" t="s">
        <v>262</v>
      </c>
    </row>
    <row r="88">
      <c r="A88" s="77" t="s">
        <v>26</v>
      </c>
      <c r="B88" s="77" t="s">
        <v>99</v>
      </c>
      <c r="C88" s="77">
        <v>1810.87</v>
      </c>
      <c r="D88" s="77">
        <v>767.0</v>
      </c>
      <c r="E88" s="77">
        <v>2.36</v>
      </c>
      <c r="F88" s="77" t="s">
        <v>201</v>
      </c>
      <c r="G88" s="78" t="s">
        <v>312</v>
      </c>
      <c r="H88" s="79" t="s">
        <v>129</v>
      </c>
      <c r="I88" s="79" t="s">
        <v>313</v>
      </c>
      <c r="J88" s="79" t="s">
        <v>265</v>
      </c>
    </row>
    <row r="89">
      <c r="A89" s="77" t="s">
        <v>42</v>
      </c>
      <c r="B89" s="77" t="s">
        <v>99</v>
      </c>
      <c r="C89" s="77">
        <v>8.28</v>
      </c>
      <c r="D89" s="77">
        <v>2.0</v>
      </c>
      <c r="E89" s="77">
        <v>4.14</v>
      </c>
      <c r="F89" s="77" t="s">
        <v>284</v>
      </c>
      <c r="G89" s="78" t="s">
        <v>314</v>
      </c>
      <c r="H89" s="79" t="s">
        <v>101</v>
      </c>
      <c r="I89" s="79" t="s">
        <v>315</v>
      </c>
      <c r="J89" s="79" t="s">
        <v>316</v>
      </c>
    </row>
    <row r="90">
      <c r="A90" s="77" t="s">
        <v>36</v>
      </c>
      <c r="B90" s="77" t="s">
        <v>99</v>
      </c>
      <c r="C90" s="77">
        <v>0.18</v>
      </c>
      <c r="D90" s="77"/>
      <c r="E90" s="77"/>
      <c r="F90" s="77" t="s">
        <v>201</v>
      </c>
      <c r="G90" s="78" t="s">
        <v>317</v>
      </c>
      <c r="H90" s="79" t="s">
        <v>121</v>
      </c>
      <c r="I90" s="79" t="s">
        <v>318</v>
      </c>
      <c r="J90" s="79" t="s">
        <v>319</v>
      </c>
    </row>
    <row r="91">
      <c r="A91" s="77" t="s">
        <v>39</v>
      </c>
      <c r="B91" s="77" t="s">
        <v>99</v>
      </c>
      <c r="C91" s="77">
        <v>7.64</v>
      </c>
      <c r="D91" s="77">
        <v>3.0</v>
      </c>
      <c r="E91" s="77">
        <v>2.55</v>
      </c>
      <c r="F91" s="77" t="s">
        <v>201</v>
      </c>
      <c r="G91" s="78" t="s">
        <v>320</v>
      </c>
      <c r="H91" s="79" t="s">
        <v>125</v>
      </c>
      <c r="I91" s="79" t="s">
        <v>321</v>
      </c>
      <c r="J91" s="79" t="s">
        <v>322</v>
      </c>
    </row>
    <row r="92">
      <c r="A92" s="77" t="s">
        <v>51</v>
      </c>
      <c r="B92" s="77" t="s">
        <v>99</v>
      </c>
      <c r="C92" s="77">
        <v>10.21</v>
      </c>
      <c r="D92" s="77">
        <v>1.0</v>
      </c>
      <c r="E92" s="77">
        <v>10.21</v>
      </c>
      <c r="F92" s="77" t="s">
        <v>201</v>
      </c>
      <c r="G92" s="78" t="s">
        <v>323</v>
      </c>
      <c r="H92" s="79" t="s">
        <v>117</v>
      </c>
      <c r="I92" s="79" t="s">
        <v>324</v>
      </c>
      <c r="J92" s="79" t="s">
        <v>325</v>
      </c>
    </row>
    <row r="93">
      <c r="A93" s="77" t="s">
        <v>57</v>
      </c>
      <c r="B93" s="77" t="s">
        <v>99</v>
      </c>
      <c r="C93" s="77">
        <v>0.09</v>
      </c>
      <c r="D93" s="77"/>
      <c r="E93" s="77"/>
      <c r="F93" s="77" t="s">
        <v>201</v>
      </c>
      <c r="G93" s="78" t="s">
        <v>326</v>
      </c>
      <c r="H93" s="79" t="s">
        <v>109</v>
      </c>
      <c r="I93" s="79" t="s">
        <v>279</v>
      </c>
      <c r="J93" s="79" t="s">
        <v>327</v>
      </c>
    </row>
    <row r="94">
      <c r="A94" s="77" t="s">
        <v>42</v>
      </c>
      <c r="B94" s="77" t="s">
        <v>99</v>
      </c>
      <c r="C94" s="77">
        <v>1.54</v>
      </c>
      <c r="D94" s="77"/>
      <c r="E94" s="77"/>
      <c r="F94" s="77" t="s">
        <v>201</v>
      </c>
      <c r="G94" s="78" t="s">
        <v>328</v>
      </c>
      <c r="H94" s="79" t="s">
        <v>101</v>
      </c>
      <c r="I94" s="79" t="s">
        <v>329</v>
      </c>
      <c r="J94" s="79" t="s">
        <v>330</v>
      </c>
    </row>
    <row r="95">
      <c r="A95" s="77" t="s">
        <v>47</v>
      </c>
      <c r="B95" s="77" t="s">
        <v>99</v>
      </c>
      <c r="C95" s="77">
        <v>15.31</v>
      </c>
      <c r="D95" s="77">
        <v>5.0</v>
      </c>
      <c r="E95" s="77">
        <v>3.06</v>
      </c>
      <c r="F95" s="77" t="s">
        <v>201</v>
      </c>
      <c r="G95" s="78" t="s">
        <v>331</v>
      </c>
      <c r="H95" s="79" t="s">
        <v>113</v>
      </c>
      <c r="I95" s="79" t="s">
        <v>332</v>
      </c>
      <c r="J95" s="79" t="s">
        <v>333</v>
      </c>
    </row>
    <row r="96">
      <c r="A96" s="77" t="s">
        <v>38</v>
      </c>
      <c r="B96" s="77" t="s">
        <v>99</v>
      </c>
      <c r="C96" s="77">
        <v>345.91</v>
      </c>
      <c r="D96" s="77">
        <v>134.0</v>
      </c>
      <c r="E96" s="77">
        <v>2.58</v>
      </c>
      <c r="F96" s="77" t="s">
        <v>201</v>
      </c>
      <c r="G96" s="78" t="s">
        <v>334</v>
      </c>
      <c r="H96" s="79" t="s">
        <v>105</v>
      </c>
      <c r="I96" s="79" t="s">
        <v>335</v>
      </c>
      <c r="J96" s="79" t="s">
        <v>296</v>
      </c>
    </row>
    <row r="97">
      <c r="A97" s="77" t="s">
        <v>39</v>
      </c>
      <c r="B97" s="77" t="s">
        <v>99</v>
      </c>
      <c r="C97" s="77">
        <v>155.66</v>
      </c>
      <c r="D97" s="77">
        <v>40.0</v>
      </c>
      <c r="E97" s="77">
        <v>3.89</v>
      </c>
      <c r="F97" s="77" t="s">
        <v>154</v>
      </c>
      <c r="G97" s="78" t="s">
        <v>336</v>
      </c>
      <c r="H97" s="79" t="s">
        <v>125</v>
      </c>
      <c r="I97" s="79" t="s">
        <v>304</v>
      </c>
      <c r="J97" s="79" t="s">
        <v>305</v>
      </c>
    </row>
    <row r="98">
      <c r="A98" s="77" t="s">
        <v>38</v>
      </c>
      <c r="B98" s="77" t="s">
        <v>99</v>
      </c>
      <c r="C98" s="77">
        <v>488.36</v>
      </c>
      <c r="D98" s="77">
        <v>159.0</v>
      </c>
      <c r="E98" s="77">
        <v>3.07</v>
      </c>
      <c r="F98" s="77" t="s">
        <v>154</v>
      </c>
      <c r="G98" s="78" t="s">
        <v>337</v>
      </c>
      <c r="H98" s="79" t="s">
        <v>105</v>
      </c>
      <c r="I98" s="79" t="s">
        <v>309</v>
      </c>
      <c r="J98" s="79" t="s">
        <v>310</v>
      </c>
    </row>
    <row r="99">
      <c r="A99" s="77" t="s">
        <v>57</v>
      </c>
      <c r="B99" s="77" t="s">
        <v>99</v>
      </c>
      <c r="C99" s="77">
        <v>9.09</v>
      </c>
      <c r="D99" s="77"/>
      <c r="E99" s="77"/>
      <c r="F99" s="77" t="s">
        <v>154</v>
      </c>
      <c r="G99" s="78" t="s">
        <v>338</v>
      </c>
      <c r="H99" s="79" t="s">
        <v>109</v>
      </c>
      <c r="I99" s="79" t="s">
        <v>307</v>
      </c>
      <c r="J99" s="79" t="s">
        <v>280</v>
      </c>
    </row>
    <row r="100">
      <c r="A100" s="77" t="s">
        <v>42</v>
      </c>
      <c r="B100" s="77" t="s">
        <v>99</v>
      </c>
      <c r="C100" s="77">
        <v>153.29</v>
      </c>
      <c r="D100" s="77">
        <v>64.0</v>
      </c>
      <c r="E100" s="77">
        <v>2.4</v>
      </c>
      <c r="F100" s="77" t="s">
        <v>154</v>
      </c>
      <c r="G100" s="78" t="s">
        <v>339</v>
      </c>
      <c r="H100" s="79" t="s">
        <v>101</v>
      </c>
      <c r="I100" s="79" t="s">
        <v>340</v>
      </c>
      <c r="J100" s="79" t="s">
        <v>316</v>
      </c>
    </row>
    <row r="101">
      <c r="A101" s="77" t="s">
        <v>51</v>
      </c>
      <c r="B101" s="77" t="s">
        <v>99</v>
      </c>
      <c r="C101" s="77">
        <v>0.7</v>
      </c>
      <c r="D101" s="77"/>
      <c r="E101" s="77"/>
      <c r="F101" s="77" t="s">
        <v>154</v>
      </c>
      <c r="G101" s="78" t="s">
        <v>341</v>
      </c>
      <c r="H101" s="79" t="s">
        <v>117</v>
      </c>
      <c r="I101" s="79" t="s">
        <v>342</v>
      </c>
      <c r="J101" s="79" t="s">
        <v>343</v>
      </c>
    </row>
    <row r="102">
      <c r="A102" s="77" t="s">
        <v>38</v>
      </c>
      <c r="B102" s="77" t="s">
        <v>99</v>
      </c>
      <c r="C102" s="77">
        <v>529.13</v>
      </c>
      <c r="D102" s="77">
        <v>144.0</v>
      </c>
      <c r="E102" s="77">
        <v>3.67</v>
      </c>
      <c r="F102" s="77" t="s">
        <v>178</v>
      </c>
      <c r="G102" s="78" t="s">
        <v>344</v>
      </c>
      <c r="H102" s="79" t="s">
        <v>105</v>
      </c>
      <c r="I102" s="79" t="s">
        <v>335</v>
      </c>
      <c r="J102" s="79" t="s">
        <v>296</v>
      </c>
    </row>
    <row r="103">
      <c r="A103" s="77" t="s">
        <v>47</v>
      </c>
      <c r="B103" s="77" t="s">
        <v>99</v>
      </c>
      <c r="C103" s="77">
        <v>36.53</v>
      </c>
      <c r="D103" s="77">
        <v>15.0</v>
      </c>
      <c r="E103" s="77">
        <v>2.44</v>
      </c>
      <c r="F103" s="77" t="s">
        <v>154</v>
      </c>
      <c r="G103" s="78" t="s">
        <v>345</v>
      </c>
      <c r="H103" s="79" t="s">
        <v>113</v>
      </c>
      <c r="I103" s="79" t="s">
        <v>289</v>
      </c>
      <c r="J103" s="79" t="s">
        <v>290</v>
      </c>
    </row>
    <row r="104">
      <c r="A104" s="77" t="s">
        <v>42</v>
      </c>
      <c r="B104" s="77" t="s">
        <v>99</v>
      </c>
      <c r="C104" s="77">
        <v>5.37</v>
      </c>
      <c r="D104" s="77">
        <v>3.0</v>
      </c>
      <c r="E104" s="77">
        <v>1.79</v>
      </c>
      <c r="F104" s="77" t="s">
        <v>178</v>
      </c>
      <c r="G104" s="78" t="s">
        <v>346</v>
      </c>
      <c r="H104" s="79" t="s">
        <v>101</v>
      </c>
      <c r="I104" s="79" t="s">
        <v>282</v>
      </c>
      <c r="J104" s="79" t="s">
        <v>347</v>
      </c>
    </row>
    <row r="105">
      <c r="A105" s="77" t="s">
        <v>36</v>
      </c>
      <c r="B105" s="77" t="s">
        <v>99</v>
      </c>
      <c r="C105" s="77">
        <v>0.72</v>
      </c>
      <c r="D105" s="77"/>
      <c r="E105" s="77"/>
      <c r="F105" s="77" t="s">
        <v>154</v>
      </c>
      <c r="G105" s="78" t="s">
        <v>348</v>
      </c>
      <c r="H105" s="79" t="s">
        <v>121</v>
      </c>
      <c r="I105" s="79" t="s">
        <v>286</v>
      </c>
      <c r="J105" s="79" t="s">
        <v>287</v>
      </c>
    </row>
    <row r="106">
      <c r="A106" s="77" t="s">
        <v>132</v>
      </c>
      <c r="B106" s="77" t="s">
        <v>99</v>
      </c>
      <c r="C106" s="77">
        <v>401.48</v>
      </c>
      <c r="D106" s="77">
        <v>116.0</v>
      </c>
      <c r="E106" s="77">
        <v>3.46</v>
      </c>
      <c r="F106" s="77" t="s">
        <v>178</v>
      </c>
      <c r="G106" s="78" t="s">
        <v>349</v>
      </c>
      <c r="H106" s="79" t="s">
        <v>134</v>
      </c>
      <c r="I106" s="79" t="s">
        <v>261</v>
      </c>
      <c r="J106" s="79" t="s">
        <v>262</v>
      </c>
    </row>
    <row r="107">
      <c r="A107" s="77" t="s">
        <v>57</v>
      </c>
      <c r="B107" s="77" t="s">
        <v>99</v>
      </c>
      <c r="C107" s="77">
        <v>1.01</v>
      </c>
      <c r="D107" s="77"/>
      <c r="E107" s="77"/>
      <c r="F107" s="77" t="s">
        <v>178</v>
      </c>
      <c r="G107" s="78" t="s">
        <v>350</v>
      </c>
      <c r="H107" s="79" t="s">
        <v>109</v>
      </c>
      <c r="I107" s="79" t="s">
        <v>279</v>
      </c>
      <c r="J107" s="79" t="s">
        <v>327</v>
      </c>
    </row>
    <row r="108">
      <c r="A108" s="77" t="s">
        <v>132</v>
      </c>
      <c r="B108" s="77" t="s">
        <v>99</v>
      </c>
      <c r="C108" s="77">
        <v>443.67</v>
      </c>
      <c r="D108" s="77">
        <v>138.0</v>
      </c>
      <c r="E108" s="77">
        <v>3.22</v>
      </c>
      <c r="F108" s="77" t="s">
        <v>154</v>
      </c>
      <c r="G108" s="78" t="s">
        <v>351</v>
      </c>
      <c r="H108" s="79" t="s">
        <v>134</v>
      </c>
      <c r="I108" s="79" t="s">
        <v>352</v>
      </c>
      <c r="J108" s="79" t="s">
        <v>293</v>
      </c>
    </row>
    <row r="109">
      <c r="A109" s="77" t="s">
        <v>26</v>
      </c>
      <c r="B109" s="77" t="s">
        <v>99</v>
      </c>
      <c r="C109" s="77">
        <v>3998.53</v>
      </c>
      <c r="D109" s="77">
        <v>1754.0</v>
      </c>
      <c r="E109" s="77">
        <v>2.28</v>
      </c>
      <c r="F109" s="77" t="s">
        <v>154</v>
      </c>
      <c r="G109" s="78" t="s">
        <v>353</v>
      </c>
      <c r="H109" s="79" t="s">
        <v>129</v>
      </c>
      <c r="I109" s="79" t="s">
        <v>301</v>
      </c>
      <c r="J109" s="79" t="s">
        <v>302</v>
      </c>
    </row>
    <row r="110">
      <c r="A110" s="77" t="s">
        <v>36</v>
      </c>
      <c r="B110" s="77" t="s">
        <v>99</v>
      </c>
      <c r="C110" s="77">
        <v>0.67</v>
      </c>
      <c r="D110" s="77">
        <v>1.0</v>
      </c>
      <c r="E110" s="77">
        <v>0.67</v>
      </c>
      <c r="F110" s="77" t="s">
        <v>178</v>
      </c>
      <c r="G110" s="78" t="s">
        <v>354</v>
      </c>
      <c r="H110" s="79" t="s">
        <v>121</v>
      </c>
      <c r="I110" s="79" t="s">
        <v>355</v>
      </c>
      <c r="J110" s="79" t="s">
        <v>319</v>
      </c>
    </row>
    <row r="111">
      <c r="A111" s="77" t="s">
        <v>47</v>
      </c>
      <c r="B111" s="77" t="s">
        <v>99</v>
      </c>
      <c r="C111" s="77">
        <v>8.35</v>
      </c>
      <c r="D111" s="77">
        <v>3.0</v>
      </c>
      <c r="E111" s="77">
        <v>2.78</v>
      </c>
      <c r="F111" s="77" t="s">
        <v>178</v>
      </c>
      <c r="G111" s="78" t="s">
        <v>356</v>
      </c>
      <c r="H111" s="79" t="s">
        <v>113</v>
      </c>
      <c r="I111" s="79" t="s">
        <v>276</v>
      </c>
      <c r="J111" s="79" t="s">
        <v>333</v>
      </c>
    </row>
    <row r="112">
      <c r="A112" s="77" t="s">
        <v>51</v>
      </c>
      <c r="B112" s="77" t="s">
        <v>99</v>
      </c>
      <c r="C112" s="77">
        <v>0.64</v>
      </c>
      <c r="D112" s="77"/>
      <c r="E112" s="77"/>
      <c r="F112" s="77" t="s">
        <v>178</v>
      </c>
      <c r="G112" s="78" t="s">
        <v>357</v>
      </c>
      <c r="H112" s="79" t="s">
        <v>117</v>
      </c>
      <c r="I112" s="79" t="s">
        <v>358</v>
      </c>
      <c r="J112" s="79" t="s">
        <v>343</v>
      </c>
    </row>
    <row r="113">
      <c r="A113" s="77" t="s">
        <v>39</v>
      </c>
      <c r="B113" s="77" t="s">
        <v>99</v>
      </c>
      <c r="C113" s="77">
        <v>117.18</v>
      </c>
      <c r="D113" s="77">
        <v>42.0</v>
      </c>
      <c r="E113" s="77">
        <v>2.79</v>
      </c>
      <c r="F113" s="77" t="s">
        <v>178</v>
      </c>
      <c r="G113" s="78" t="s">
        <v>359</v>
      </c>
      <c r="H113" s="79" t="s">
        <v>125</v>
      </c>
      <c r="I113" s="79" t="s">
        <v>321</v>
      </c>
      <c r="J113" s="79" t="s">
        <v>322</v>
      </c>
    </row>
    <row r="114">
      <c r="A114" s="77" t="s">
        <v>26</v>
      </c>
      <c r="B114" s="77" t="s">
        <v>99</v>
      </c>
      <c r="C114" s="77">
        <v>2630.12</v>
      </c>
      <c r="D114" s="77">
        <v>1115.0</v>
      </c>
      <c r="E114" s="77">
        <v>2.36</v>
      </c>
      <c r="F114" s="77" t="s">
        <v>178</v>
      </c>
      <c r="G114" s="78" t="s">
        <v>360</v>
      </c>
      <c r="H114" s="79" t="s">
        <v>129</v>
      </c>
      <c r="I114" s="79" t="s">
        <v>313</v>
      </c>
      <c r="J114" s="79" t="s">
        <v>361</v>
      </c>
    </row>
    <row r="115">
      <c r="A115" s="77" t="s">
        <v>42</v>
      </c>
      <c r="B115" s="77" t="s">
        <v>99</v>
      </c>
      <c r="C115" s="77">
        <v>1.88</v>
      </c>
      <c r="D115" s="77">
        <v>1.0</v>
      </c>
      <c r="E115" s="77">
        <v>1.88</v>
      </c>
      <c r="F115" s="77" t="s">
        <v>235</v>
      </c>
      <c r="G115" s="78" t="s">
        <v>362</v>
      </c>
      <c r="H115" s="79" t="s">
        <v>101</v>
      </c>
      <c r="I115" s="79" t="s">
        <v>282</v>
      </c>
      <c r="J115" s="79" t="s">
        <v>347</v>
      </c>
    </row>
    <row r="116">
      <c r="A116" s="77" t="s">
        <v>132</v>
      </c>
      <c r="B116" s="77" t="s">
        <v>99</v>
      </c>
      <c r="C116" s="77">
        <v>4.11</v>
      </c>
      <c r="D116" s="77">
        <v>4.0</v>
      </c>
      <c r="E116" s="77">
        <v>1.03</v>
      </c>
      <c r="F116" s="77" t="s">
        <v>235</v>
      </c>
      <c r="G116" s="78" t="s">
        <v>363</v>
      </c>
      <c r="H116" s="79" t="s">
        <v>134</v>
      </c>
      <c r="I116" s="79" t="s">
        <v>261</v>
      </c>
      <c r="J116" s="79" t="s">
        <v>364</v>
      </c>
    </row>
    <row r="117">
      <c r="A117" s="77" t="s">
        <v>26</v>
      </c>
      <c r="B117" s="77" t="s">
        <v>99</v>
      </c>
      <c r="C117" s="77">
        <v>1128.94</v>
      </c>
      <c r="D117" s="77">
        <v>514.0</v>
      </c>
      <c r="E117" s="77">
        <v>2.2</v>
      </c>
      <c r="F117" s="77" t="s">
        <v>235</v>
      </c>
      <c r="G117" s="78" t="s">
        <v>365</v>
      </c>
      <c r="H117" s="79" t="s">
        <v>129</v>
      </c>
      <c r="I117" s="79" t="s">
        <v>313</v>
      </c>
      <c r="J117" s="79" t="s">
        <v>361</v>
      </c>
    </row>
    <row r="118">
      <c r="A118" s="77" t="s">
        <v>39</v>
      </c>
      <c r="B118" s="77" t="s">
        <v>99</v>
      </c>
      <c r="C118" s="77">
        <v>0.41</v>
      </c>
      <c r="D118" s="77"/>
      <c r="E118" s="77"/>
      <c r="F118" s="77" t="s">
        <v>235</v>
      </c>
      <c r="G118" s="78" t="s">
        <v>366</v>
      </c>
      <c r="H118" s="79" t="s">
        <v>125</v>
      </c>
      <c r="I118" s="79" t="s">
        <v>367</v>
      </c>
      <c r="J118" s="79" t="s">
        <v>368</v>
      </c>
    </row>
    <row r="119">
      <c r="A119" s="77" t="s">
        <v>36</v>
      </c>
      <c r="B119" s="77" t="s">
        <v>99</v>
      </c>
      <c r="C119" s="77">
        <v>0.01</v>
      </c>
      <c r="D119" s="77"/>
      <c r="E119" s="77"/>
      <c r="F119" s="77" t="s">
        <v>235</v>
      </c>
      <c r="G119" s="78" t="s">
        <v>369</v>
      </c>
      <c r="H119" s="79" t="s">
        <v>121</v>
      </c>
      <c r="I119" s="79" t="s">
        <v>370</v>
      </c>
      <c r="J119" s="79" t="s">
        <v>319</v>
      </c>
    </row>
    <row r="120">
      <c r="A120" s="77" t="s">
        <v>51</v>
      </c>
      <c r="B120" s="77" t="s">
        <v>99</v>
      </c>
      <c r="C120" s="77">
        <v>0.02</v>
      </c>
      <c r="D120" s="77"/>
      <c r="E120" s="77"/>
      <c r="F120" s="77" t="s">
        <v>235</v>
      </c>
      <c r="G120" s="78" t="s">
        <v>371</v>
      </c>
      <c r="H120" s="79" t="s">
        <v>117</v>
      </c>
      <c r="I120" s="79" t="s">
        <v>270</v>
      </c>
      <c r="J120" s="79" t="s">
        <v>325</v>
      </c>
    </row>
    <row r="121">
      <c r="A121" s="77" t="s">
        <v>57</v>
      </c>
      <c r="B121" s="77" t="s">
        <v>99</v>
      </c>
      <c r="C121" s="77">
        <v>0.0</v>
      </c>
      <c r="D121" s="77"/>
      <c r="E121" s="77"/>
      <c r="F121" s="77" t="s">
        <v>235</v>
      </c>
      <c r="G121" s="78" t="s">
        <v>372</v>
      </c>
      <c r="H121" s="79" t="s">
        <v>109</v>
      </c>
      <c r="I121" s="79" t="s">
        <v>373</v>
      </c>
      <c r="J121" s="79" t="s">
        <v>280</v>
      </c>
    </row>
    <row r="122">
      <c r="A122" s="77" t="s">
        <v>38</v>
      </c>
      <c r="B122" s="77" t="s">
        <v>99</v>
      </c>
      <c r="C122" s="77">
        <v>4.14</v>
      </c>
      <c r="D122" s="77"/>
      <c r="E122" s="77"/>
      <c r="F122" s="77" t="s">
        <v>235</v>
      </c>
      <c r="G122" s="78" t="s">
        <v>374</v>
      </c>
      <c r="H122" s="79" t="s">
        <v>105</v>
      </c>
      <c r="I122" s="79" t="s">
        <v>335</v>
      </c>
      <c r="J122" s="79" t="s">
        <v>375</v>
      </c>
    </row>
    <row r="123">
      <c r="A123" s="77" t="s">
        <v>47</v>
      </c>
      <c r="B123" s="77" t="s">
        <v>99</v>
      </c>
      <c r="C123" s="77">
        <v>0.71</v>
      </c>
      <c r="D123" s="77"/>
      <c r="E123" s="77"/>
      <c r="F123" s="77" t="s">
        <v>235</v>
      </c>
      <c r="G123" s="78" t="s">
        <v>376</v>
      </c>
      <c r="H123" s="79" t="s">
        <v>113</v>
      </c>
      <c r="I123" s="79" t="s">
        <v>276</v>
      </c>
      <c r="J123" s="79" t="s">
        <v>377</v>
      </c>
    </row>
    <row r="124">
      <c r="A124" s="77" t="s">
        <v>37</v>
      </c>
      <c r="B124" s="77" t="s">
        <v>141</v>
      </c>
      <c r="C124" s="77">
        <v>508.32</v>
      </c>
      <c r="D124" s="77">
        <v>140.0</v>
      </c>
      <c r="E124" s="77">
        <v>3.63</v>
      </c>
      <c r="F124" s="77" t="s">
        <v>284</v>
      </c>
      <c r="G124" s="78" t="s">
        <v>378</v>
      </c>
      <c r="H124" s="79" t="s">
        <v>151</v>
      </c>
      <c r="I124" s="79" t="s">
        <v>152</v>
      </c>
      <c r="J124" s="79" t="s">
        <v>379</v>
      </c>
    </row>
    <row r="125">
      <c r="A125" s="77" t="s">
        <v>29</v>
      </c>
      <c r="B125" s="77" t="s">
        <v>141</v>
      </c>
      <c r="C125" s="77">
        <v>739.89</v>
      </c>
      <c r="D125" s="77">
        <v>320.0</v>
      </c>
      <c r="E125" s="77">
        <v>2.31</v>
      </c>
      <c r="F125" s="77" t="s">
        <v>284</v>
      </c>
      <c r="G125" s="78" t="s">
        <v>380</v>
      </c>
      <c r="H125" s="79" t="s">
        <v>381</v>
      </c>
      <c r="I125" s="79" t="s">
        <v>382</v>
      </c>
      <c r="J125" s="79" t="s">
        <v>383</v>
      </c>
    </row>
    <row r="126">
      <c r="A126" s="77" t="s">
        <v>42</v>
      </c>
      <c r="B126" s="77" t="s">
        <v>141</v>
      </c>
      <c r="C126" s="77">
        <v>15.08</v>
      </c>
      <c r="D126" s="77"/>
      <c r="E126" s="77"/>
      <c r="F126" s="77" t="s">
        <v>284</v>
      </c>
      <c r="G126" s="78" t="s">
        <v>384</v>
      </c>
      <c r="H126" s="79" t="s">
        <v>147</v>
      </c>
      <c r="I126" s="79" t="s">
        <v>148</v>
      </c>
      <c r="J126" s="79" t="s">
        <v>385</v>
      </c>
    </row>
    <row r="127">
      <c r="A127" s="77" t="s">
        <v>42</v>
      </c>
      <c r="B127" s="77" t="s">
        <v>141</v>
      </c>
      <c r="C127" s="77">
        <v>8.51</v>
      </c>
      <c r="D127" s="77"/>
      <c r="E127" s="77"/>
      <c r="F127" s="77" t="s">
        <v>178</v>
      </c>
      <c r="G127" s="78" t="s">
        <v>386</v>
      </c>
      <c r="H127" s="79" t="s">
        <v>147</v>
      </c>
      <c r="I127" s="79" t="s">
        <v>148</v>
      </c>
      <c r="J127" s="79" t="s">
        <v>385</v>
      </c>
    </row>
    <row r="128">
      <c r="A128" s="77" t="s">
        <v>37</v>
      </c>
      <c r="B128" s="77" t="s">
        <v>141</v>
      </c>
      <c r="C128" s="77">
        <v>138.17</v>
      </c>
      <c r="D128" s="77">
        <v>32.0</v>
      </c>
      <c r="E128" s="77">
        <v>4.32</v>
      </c>
      <c r="F128" s="77" t="s">
        <v>178</v>
      </c>
      <c r="G128" s="78" t="s">
        <v>387</v>
      </c>
      <c r="H128" s="79" t="s">
        <v>151</v>
      </c>
      <c r="I128" s="79" t="s">
        <v>152</v>
      </c>
      <c r="J128" s="79" t="s">
        <v>379</v>
      </c>
    </row>
    <row r="129">
      <c r="A129" s="77" t="s">
        <v>29</v>
      </c>
      <c r="B129" s="77" t="s">
        <v>141</v>
      </c>
      <c r="C129" s="77">
        <v>388.45</v>
      </c>
      <c r="D129" s="77">
        <v>132.0</v>
      </c>
      <c r="E129" s="77">
        <v>2.94</v>
      </c>
      <c r="F129" s="77" t="s">
        <v>178</v>
      </c>
      <c r="G129" s="78" t="s">
        <v>388</v>
      </c>
      <c r="H129" s="79" t="s">
        <v>389</v>
      </c>
      <c r="I129" s="79" t="s">
        <v>390</v>
      </c>
      <c r="J129" s="79" t="s">
        <v>391</v>
      </c>
    </row>
    <row r="130">
      <c r="A130" s="77" t="s">
        <v>37</v>
      </c>
      <c r="B130" s="77" t="s">
        <v>141</v>
      </c>
      <c r="C130" s="77">
        <v>766.91</v>
      </c>
      <c r="D130" s="77">
        <v>240.0</v>
      </c>
      <c r="E130" s="77">
        <v>3.2</v>
      </c>
      <c r="F130" s="77" t="s">
        <v>392</v>
      </c>
      <c r="G130" s="78" t="s">
        <v>393</v>
      </c>
      <c r="H130" s="79" t="s">
        <v>151</v>
      </c>
      <c r="I130" s="79" t="s">
        <v>152</v>
      </c>
      <c r="J130" s="79" t="s">
        <v>379</v>
      </c>
    </row>
    <row r="131">
      <c r="A131" s="77" t="s">
        <v>29</v>
      </c>
      <c r="B131" s="77" t="s">
        <v>141</v>
      </c>
      <c r="C131" s="77">
        <v>1166.01</v>
      </c>
      <c r="D131" s="77">
        <v>477.0</v>
      </c>
      <c r="E131" s="77">
        <v>2.44</v>
      </c>
      <c r="F131" s="77" t="s">
        <v>392</v>
      </c>
      <c r="G131" s="78" t="s">
        <v>394</v>
      </c>
      <c r="H131" s="79" t="s">
        <v>395</v>
      </c>
      <c r="I131" s="79" t="s">
        <v>396</v>
      </c>
      <c r="J131" s="79" t="s">
        <v>397</v>
      </c>
    </row>
    <row r="132">
      <c r="A132" s="77" t="s">
        <v>42</v>
      </c>
      <c r="B132" s="77" t="s">
        <v>141</v>
      </c>
      <c r="C132" s="77">
        <v>71.34</v>
      </c>
      <c r="D132" s="77">
        <v>2.0</v>
      </c>
      <c r="E132" s="77">
        <v>35.67</v>
      </c>
      <c r="F132" s="77" t="s">
        <v>392</v>
      </c>
      <c r="G132" s="78" t="s">
        <v>398</v>
      </c>
      <c r="H132" s="79" t="s">
        <v>147</v>
      </c>
      <c r="I132" s="79" t="s">
        <v>148</v>
      </c>
      <c r="J132" s="79" t="s">
        <v>399</v>
      </c>
    </row>
    <row r="133">
      <c r="A133" s="77" t="s">
        <v>37</v>
      </c>
      <c r="B133" s="77" t="s">
        <v>141</v>
      </c>
      <c r="C133" s="77">
        <v>19.89</v>
      </c>
      <c r="D133" s="77">
        <v>6.0</v>
      </c>
      <c r="E133" s="77">
        <v>3.32</v>
      </c>
      <c r="F133" s="77" t="s">
        <v>201</v>
      </c>
      <c r="G133" s="78" t="s">
        <v>400</v>
      </c>
      <c r="H133" s="79" t="s">
        <v>151</v>
      </c>
      <c r="I133" s="79" t="s">
        <v>152</v>
      </c>
      <c r="J133" s="79" t="s">
        <v>379</v>
      </c>
    </row>
    <row r="134">
      <c r="A134" s="77" t="s">
        <v>29</v>
      </c>
      <c r="B134" s="77" t="s">
        <v>141</v>
      </c>
      <c r="C134" s="77">
        <v>43.1</v>
      </c>
      <c r="D134" s="77">
        <v>15.0</v>
      </c>
      <c r="E134" s="77">
        <v>2.87</v>
      </c>
      <c r="F134" s="77" t="s">
        <v>201</v>
      </c>
      <c r="G134" s="78" t="s">
        <v>401</v>
      </c>
      <c r="H134" s="79" t="s">
        <v>402</v>
      </c>
      <c r="I134" s="79" t="s">
        <v>403</v>
      </c>
      <c r="J134" s="79" t="s">
        <v>404</v>
      </c>
    </row>
    <row r="135">
      <c r="A135" s="77" t="s">
        <v>42</v>
      </c>
      <c r="B135" s="77" t="s">
        <v>141</v>
      </c>
      <c r="C135" s="77">
        <v>0.14</v>
      </c>
      <c r="D135" s="77"/>
      <c r="E135" s="77"/>
      <c r="F135" s="77" t="s">
        <v>201</v>
      </c>
      <c r="G135" s="78" t="s">
        <v>405</v>
      </c>
      <c r="H135" s="79" t="s">
        <v>147</v>
      </c>
      <c r="I135" s="79" t="s">
        <v>148</v>
      </c>
      <c r="J135" s="79" t="s">
        <v>385</v>
      </c>
    </row>
    <row r="136">
      <c r="A136" s="77" t="s">
        <v>37</v>
      </c>
      <c r="B136" s="77" t="s">
        <v>141</v>
      </c>
      <c r="C136" s="77">
        <v>855.0</v>
      </c>
      <c r="D136" s="77">
        <v>62.0</v>
      </c>
      <c r="E136" s="77">
        <v>13.79</v>
      </c>
      <c r="F136" s="77" t="s">
        <v>235</v>
      </c>
      <c r="G136" s="78" t="s">
        <v>406</v>
      </c>
      <c r="H136" s="79" t="s">
        <v>151</v>
      </c>
      <c r="I136" s="79" t="s">
        <v>152</v>
      </c>
      <c r="J136" s="79" t="s">
        <v>379</v>
      </c>
    </row>
    <row r="137">
      <c r="A137" s="77" t="s">
        <v>42</v>
      </c>
      <c r="B137" s="77" t="s">
        <v>141</v>
      </c>
      <c r="C137" s="77">
        <v>8.37</v>
      </c>
      <c r="D137" s="77"/>
      <c r="E137" s="77"/>
      <c r="F137" s="77" t="s">
        <v>235</v>
      </c>
      <c r="G137" s="78" t="s">
        <v>407</v>
      </c>
      <c r="H137" s="79" t="s">
        <v>147</v>
      </c>
      <c r="I137" s="79" t="s">
        <v>148</v>
      </c>
      <c r="J137" s="79" t="s">
        <v>408</v>
      </c>
    </row>
    <row r="138">
      <c r="A138" s="77" t="s">
        <v>29</v>
      </c>
      <c r="B138" s="77" t="s">
        <v>141</v>
      </c>
      <c r="C138" s="77">
        <v>267.3</v>
      </c>
      <c r="D138" s="77">
        <v>86.0</v>
      </c>
      <c r="E138" s="77">
        <v>3.11</v>
      </c>
      <c r="F138" s="77" t="s">
        <v>235</v>
      </c>
      <c r="G138" s="78" t="s">
        <v>409</v>
      </c>
      <c r="H138" s="79" t="s">
        <v>410</v>
      </c>
      <c r="I138" s="79" t="s">
        <v>411</v>
      </c>
      <c r="J138" s="79" t="s">
        <v>412</v>
      </c>
    </row>
    <row r="139">
      <c r="A139" s="77" t="s">
        <v>37</v>
      </c>
      <c r="B139" s="77" t="s">
        <v>141</v>
      </c>
      <c r="C139" s="77">
        <v>227.59</v>
      </c>
      <c r="D139" s="77">
        <v>29.0</v>
      </c>
      <c r="E139" s="77">
        <v>7.85</v>
      </c>
      <c r="F139" s="77" t="s">
        <v>247</v>
      </c>
      <c r="G139" s="78" t="s">
        <v>413</v>
      </c>
      <c r="H139" s="79" t="s">
        <v>151</v>
      </c>
      <c r="I139" s="79" t="s">
        <v>152</v>
      </c>
      <c r="J139" s="79" t="s">
        <v>379</v>
      </c>
    </row>
    <row r="140">
      <c r="A140" s="77" t="s">
        <v>42</v>
      </c>
      <c r="B140" s="77" t="s">
        <v>141</v>
      </c>
      <c r="C140" s="77">
        <v>17.02</v>
      </c>
      <c r="D140" s="77"/>
      <c r="E140" s="77"/>
      <c r="F140" s="77" t="s">
        <v>247</v>
      </c>
      <c r="G140" s="78" t="s">
        <v>414</v>
      </c>
      <c r="H140" s="79" t="s">
        <v>147</v>
      </c>
      <c r="I140" s="79" t="s">
        <v>148</v>
      </c>
      <c r="J140" s="79" t="s">
        <v>385</v>
      </c>
    </row>
    <row r="141">
      <c r="A141" s="77" t="s">
        <v>29</v>
      </c>
      <c r="B141" s="77" t="s">
        <v>141</v>
      </c>
      <c r="C141" s="77">
        <v>191.83</v>
      </c>
      <c r="D141" s="77">
        <v>79.0</v>
      </c>
      <c r="E141" s="77">
        <v>2.43</v>
      </c>
      <c r="F141" s="77" t="s">
        <v>247</v>
      </c>
      <c r="G141" s="78" t="s">
        <v>415</v>
      </c>
      <c r="H141" s="79" t="s">
        <v>416</v>
      </c>
      <c r="I141" s="79" t="s">
        <v>417</v>
      </c>
      <c r="J141" s="79" t="s">
        <v>418</v>
      </c>
    </row>
    <row r="142">
      <c r="A142" s="77" t="s">
        <v>29</v>
      </c>
      <c r="B142" s="77" t="s">
        <v>419</v>
      </c>
      <c r="C142" s="77">
        <v>0.01</v>
      </c>
      <c r="D142" s="77"/>
      <c r="E142" s="77"/>
      <c r="F142" s="77" t="s">
        <v>420</v>
      </c>
      <c r="G142" s="78" t="s">
        <v>421</v>
      </c>
      <c r="H142" s="79" t="s">
        <v>422</v>
      </c>
      <c r="I142" s="79" t="s">
        <v>423</v>
      </c>
      <c r="J142" s="79" t="s">
        <v>424</v>
      </c>
    </row>
    <row r="143">
      <c r="A143" s="77" t="s">
        <v>27</v>
      </c>
      <c r="B143" s="77" t="s">
        <v>419</v>
      </c>
      <c r="C143" s="77">
        <v>3.92</v>
      </c>
      <c r="D143" s="77">
        <v>7.0</v>
      </c>
      <c r="E143" s="77">
        <v>0.56</v>
      </c>
      <c r="F143" s="77" t="s">
        <v>420</v>
      </c>
      <c r="G143" s="78" t="s">
        <v>425</v>
      </c>
      <c r="H143" s="79" t="s">
        <v>426</v>
      </c>
      <c r="I143" s="79" t="s">
        <v>427</v>
      </c>
      <c r="J143" s="79" t="s">
        <v>428</v>
      </c>
    </row>
    <row r="144">
      <c r="A144" s="77" t="s">
        <v>28</v>
      </c>
      <c r="B144" s="77" t="s">
        <v>419</v>
      </c>
      <c r="C144" s="77">
        <v>8.19</v>
      </c>
      <c r="D144" s="77">
        <v>7.0</v>
      </c>
      <c r="E144" s="77">
        <v>1.17</v>
      </c>
      <c r="F144" s="77" t="s">
        <v>420</v>
      </c>
      <c r="G144" s="78" t="s">
        <v>429</v>
      </c>
      <c r="H144" s="79" t="s">
        <v>430</v>
      </c>
      <c r="I144" s="79" t="s">
        <v>431</v>
      </c>
      <c r="J144" s="79" t="s">
        <v>432</v>
      </c>
    </row>
    <row r="145">
      <c r="A145" s="77" t="s">
        <v>35</v>
      </c>
      <c r="B145" s="77" t="s">
        <v>419</v>
      </c>
      <c r="C145" s="77">
        <v>7.79</v>
      </c>
      <c r="D145" s="77"/>
      <c r="E145" s="77"/>
      <c r="F145" s="77" t="s">
        <v>420</v>
      </c>
      <c r="G145" s="78" t="s">
        <v>433</v>
      </c>
      <c r="H145" s="79" t="s">
        <v>434</v>
      </c>
      <c r="I145" s="79" t="s">
        <v>435</v>
      </c>
      <c r="J145" s="79" t="s">
        <v>436</v>
      </c>
    </row>
    <row r="146">
      <c r="A146" s="77" t="s">
        <v>41</v>
      </c>
      <c r="B146" s="77" t="s">
        <v>419</v>
      </c>
      <c r="C146" s="77">
        <v>0.35</v>
      </c>
      <c r="D146" s="77"/>
      <c r="E146" s="77"/>
      <c r="F146" s="77" t="s">
        <v>420</v>
      </c>
      <c r="G146" s="78" t="s">
        <v>437</v>
      </c>
      <c r="H146" s="79" t="s">
        <v>438</v>
      </c>
      <c r="I146" s="79" t="s">
        <v>439</v>
      </c>
      <c r="J146" s="79" t="s">
        <v>440</v>
      </c>
    </row>
    <row r="147">
      <c r="A147" s="77" t="s">
        <v>28</v>
      </c>
      <c r="B147" s="77" t="s">
        <v>419</v>
      </c>
      <c r="C147" s="77">
        <v>2819.18</v>
      </c>
      <c r="D147" s="77">
        <v>1342.0</v>
      </c>
      <c r="E147" s="77">
        <v>2.1</v>
      </c>
      <c r="F147" s="77" t="s">
        <v>441</v>
      </c>
      <c r="G147" s="78" t="s">
        <v>442</v>
      </c>
      <c r="H147" s="79" t="s">
        <v>443</v>
      </c>
      <c r="I147" s="79" t="s">
        <v>444</v>
      </c>
      <c r="J147" s="79" t="s">
        <v>445</v>
      </c>
    </row>
    <row r="148">
      <c r="A148" s="77" t="s">
        <v>34</v>
      </c>
      <c r="B148" s="77" t="s">
        <v>419</v>
      </c>
      <c r="C148" s="77">
        <v>53.36</v>
      </c>
      <c r="D148" s="77">
        <v>29.0</v>
      </c>
      <c r="E148" s="77">
        <v>1.84</v>
      </c>
      <c r="F148" s="77" t="s">
        <v>441</v>
      </c>
      <c r="G148" s="78" t="s">
        <v>446</v>
      </c>
      <c r="H148" s="79" t="s">
        <v>447</v>
      </c>
      <c r="I148" s="79" t="s">
        <v>448</v>
      </c>
      <c r="J148" s="79" t="s">
        <v>449</v>
      </c>
    </row>
    <row r="149">
      <c r="A149" s="77" t="s">
        <v>29</v>
      </c>
      <c r="B149" s="77" t="s">
        <v>419</v>
      </c>
      <c r="C149" s="77">
        <v>1003.61</v>
      </c>
      <c r="D149" s="77">
        <v>312.0</v>
      </c>
      <c r="E149" s="77">
        <v>3.22</v>
      </c>
      <c r="F149" s="77" t="s">
        <v>441</v>
      </c>
      <c r="G149" s="78" t="s">
        <v>450</v>
      </c>
      <c r="H149" s="79" t="s">
        <v>451</v>
      </c>
      <c r="I149" s="79" t="s">
        <v>452</v>
      </c>
      <c r="J149" s="79" t="s">
        <v>453</v>
      </c>
    </row>
    <row r="150">
      <c r="A150" s="77" t="s">
        <v>27</v>
      </c>
      <c r="B150" s="77" t="s">
        <v>419</v>
      </c>
      <c r="C150" s="77">
        <v>2389.36</v>
      </c>
      <c r="D150" s="77">
        <v>740.0</v>
      </c>
      <c r="E150" s="77">
        <v>3.23</v>
      </c>
      <c r="F150" s="77" t="s">
        <v>441</v>
      </c>
      <c r="G150" s="78" t="s">
        <v>454</v>
      </c>
      <c r="H150" s="79" t="s">
        <v>455</v>
      </c>
      <c r="I150" s="79" t="s">
        <v>456</v>
      </c>
      <c r="J150" s="79" t="s">
        <v>457</v>
      </c>
    </row>
    <row r="151">
      <c r="A151" s="77" t="s">
        <v>35</v>
      </c>
      <c r="B151" s="77" t="s">
        <v>419</v>
      </c>
      <c r="C151" s="77">
        <v>101.02</v>
      </c>
      <c r="D151" s="77">
        <v>31.0</v>
      </c>
      <c r="E151" s="77">
        <v>3.26</v>
      </c>
      <c r="F151" s="77" t="s">
        <v>441</v>
      </c>
      <c r="G151" s="78" t="s">
        <v>458</v>
      </c>
      <c r="H151" s="79" t="s">
        <v>459</v>
      </c>
      <c r="I151" s="79" t="s">
        <v>460</v>
      </c>
      <c r="J151" s="79" t="s">
        <v>461</v>
      </c>
    </row>
    <row r="152">
      <c r="A152" s="77" t="s">
        <v>53</v>
      </c>
      <c r="B152" s="77" t="s">
        <v>419</v>
      </c>
      <c r="C152" s="77">
        <v>1.26</v>
      </c>
      <c r="D152" s="77"/>
      <c r="E152" s="77"/>
      <c r="F152" s="77" t="s">
        <v>441</v>
      </c>
      <c r="G152" s="78" t="s">
        <v>462</v>
      </c>
      <c r="H152" s="79" t="s">
        <v>463</v>
      </c>
      <c r="I152" s="79" t="s">
        <v>464</v>
      </c>
      <c r="J152" s="79" t="s">
        <v>465</v>
      </c>
    </row>
    <row r="153">
      <c r="A153" s="77" t="s">
        <v>41</v>
      </c>
      <c r="B153" s="77" t="s">
        <v>419</v>
      </c>
      <c r="C153" s="77">
        <v>21.93</v>
      </c>
      <c r="D153" s="77">
        <v>14.0</v>
      </c>
      <c r="E153" s="77">
        <v>1.57</v>
      </c>
      <c r="F153" s="77" t="s">
        <v>441</v>
      </c>
      <c r="G153" s="78" t="s">
        <v>466</v>
      </c>
      <c r="H153" s="79" t="s">
        <v>467</v>
      </c>
      <c r="I153" s="79" t="s">
        <v>468</v>
      </c>
      <c r="J153" s="79" t="s">
        <v>469</v>
      </c>
    </row>
    <row r="154">
      <c r="A154" s="77" t="s">
        <v>32</v>
      </c>
      <c r="B154" s="77" t="s">
        <v>419</v>
      </c>
      <c r="C154" s="77">
        <v>21.47</v>
      </c>
      <c r="D154" s="77">
        <v>8.0</v>
      </c>
      <c r="E154" s="77">
        <v>2.68</v>
      </c>
      <c r="F154" s="77" t="s">
        <v>441</v>
      </c>
      <c r="G154" s="78" t="s">
        <v>470</v>
      </c>
      <c r="H154" s="79" t="s">
        <v>471</v>
      </c>
      <c r="I154" s="79" t="s">
        <v>472</v>
      </c>
      <c r="J154" s="79" t="s">
        <v>473</v>
      </c>
    </row>
    <row r="155">
      <c r="A155" s="77" t="s">
        <v>34</v>
      </c>
      <c r="B155" s="77" t="s">
        <v>419</v>
      </c>
      <c r="C155" s="77">
        <v>412.23</v>
      </c>
      <c r="D155" s="77">
        <v>168.0</v>
      </c>
      <c r="E155" s="77">
        <v>2.45</v>
      </c>
      <c r="F155" s="77" t="s">
        <v>474</v>
      </c>
      <c r="G155" s="78" t="s">
        <v>475</v>
      </c>
      <c r="H155" s="79" t="s">
        <v>476</v>
      </c>
      <c r="I155" s="79" t="s">
        <v>477</v>
      </c>
      <c r="J155" s="79" t="s">
        <v>478</v>
      </c>
    </row>
    <row r="156">
      <c r="A156" s="77" t="s">
        <v>53</v>
      </c>
      <c r="B156" s="77" t="s">
        <v>419</v>
      </c>
      <c r="C156" s="77">
        <v>0.94</v>
      </c>
      <c r="D156" s="77">
        <v>2.0</v>
      </c>
      <c r="E156" s="77">
        <v>0.47</v>
      </c>
      <c r="F156" s="77" t="s">
        <v>474</v>
      </c>
      <c r="G156" s="78" t="s">
        <v>479</v>
      </c>
      <c r="H156" s="79" t="s">
        <v>480</v>
      </c>
      <c r="I156" s="79" t="s">
        <v>481</v>
      </c>
      <c r="J156" s="79" t="s">
        <v>482</v>
      </c>
    </row>
    <row r="157">
      <c r="A157" s="77" t="s">
        <v>32</v>
      </c>
      <c r="B157" s="77" t="s">
        <v>419</v>
      </c>
      <c r="C157" s="77">
        <v>29.24</v>
      </c>
      <c r="D157" s="77">
        <v>21.0</v>
      </c>
      <c r="E157" s="77">
        <v>1.39</v>
      </c>
      <c r="F157" s="77" t="s">
        <v>474</v>
      </c>
      <c r="G157" s="78" t="s">
        <v>483</v>
      </c>
      <c r="H157" s="79" t="s">
        <v>484</v>
      </c>
      <c r="I157" s="79" t="s">
        <v>485</v>
      </c>
      <c r="J157" s="79" t="s">
        <v>486</v>
      </c>
    </row>
    <row r="158">
      <c r="A158" s="77" t="s">
        <v>35</v>
      </c>
      <c r="B158" s="77" t="s">
        <v>419</v>
      </c>
      <c r="C158" s="77">
        <v>223.91</v>
      </c>
      <c r="D158" s="77">
        <v>76.0</v>
      </c>
      <c r="E158" s="77">
        <v>2.95</v>
      </c>
      <c r="F158" s="77" t="s">
        <v>474</v>
      </c>
      <c r="G158" s="78" t="s">
        <v>487</v>
      </c>
      <c r="H158" s="79" t="s">
        <v>488</v>
      </c>
      <c r="I158" s="79" t="s">
        <v>489</v>
      </c>
      <c r="J158" s="79" t="s">
        <v>490</v>
      </c>
    </row>
    <row r="159">
      <c r="A159" s="77" t="s">
        <v>29</v>
      </c>
      <c r="B159" s="77" t="s">
        <v>419</v>
      </c>
      <c r="C159" s="77">
        <v>1075.48</v>
      </c>
      <c r="D159" s="77">
        <v>236.0</v>
      </c>
      <c r="E159" s="77">
        <v>4.56</v>
      </c>
      <c r="F159" s="77" t="s">
        <v>474</v>
      </c>
      <c r="G159" s="78" t="s">
        <v>491</v>
      </c>
      <c r="H159" s="79" t="s">
        <v>492</v>
      </c>
      <c r="I159" s="79" t="s">
        <v>493</v>
      </c>
      <c r="J159" s="79" t="s">
        <v>494</v>
      </c>
    </row>
    <row r="160">
      <c r="A160" s="77" t="s">
        <v>27</v>
      </c>
      <c r="B160" s="77" t="s">
        <v>419</v>
      </c>
      <c r="C160" s="77">
        <v>948.17</v>
      </c>
      <c r="D160" s="77">
        <v>570.0</v>
      </c>
      <c r="E160" s="77">
        <v>1.66</v>
      </c>
      <c r="F160" s="77" t="s">
        <v>474</v>
      </c>
      <c r="G160" s="78" t="s">
        <v>495</v>
      </c>
      <c r="H160" s="79" t="s">
        <v>496</v>
      </c>
      <c r="I160" s="79" t="s">
        <v>497</v>
      </c>
      <c r="J160" s="79" t="s">
        <v>498</v>
      </c>
    </row>
    <row r="161">
      <c r="A161" s="77" t="s">
        <v>28</v>
      </c>
      <c r="B161" s="77" t="s">
        <v>419</v>
      </c>
      <c r="C161" s="77">
        <v>2766.64</v>
      </c>
      <c r="D161" s="77">
        <v>1328.0</v>
      </c>
      <c r="E161" s="77">
        <v>2.08</v>
      </c>
      <c r="F161" s="77" t="s">
        <v>474</v>
      </c>
      <c r="G161" s="78" t="s">
        <v>499</v>
      </c>
      <c r="H161" s="79" t="s">
        <v>500</v>
      </c>
      <c r="I161" s="79" t="s">
        <v>501</v>
      </c>
      <c r="J161" s="79" t="s">
        <v>502</v>
      </c>
    </row>
    <row r="162">
      <c r="A162" s="77" t="s">
        <v>41</v>
      </c>
      <c r="B162" s="77" t="s">
        <v>419</v>
      </c>
      <c r="C162" s="77">
        <v>18.87</v>
      </c>
      <c r="D162" s="77">
        <v>12.0</v>
      </c>
      <c r="E162" s="77">
        <v>1.57</v>
      </c>
      <c r="F162" s="77" t="s">
        <v>474</v>
      </c>
      <c r="G162" s="78" t="s">
        <v>503</v>
      </c>
      <c r="H162" s="79" t="s">
        <v>504</v>
      </c>
      <c r="I162" s="79" t="s">
        <v>505</v>
      </c>
      <c r="J162" s="79" t="s">
        <v>506</v>
      </c>
    </row>
    <row r="163">
      <c r="A163" s="77" t="s">
        <v>38</v>
      </c>
      <c r="B163" s="77" t="s">
        <v>507</v>
      </c>
      <c r="C163" s="77">
        <v>0.36</v>
      </c>
      <c r="D163" s="77"/>
      <c r="E163" s="77"/>
      <c r="F163" s="77" t="s">
        <v>420</v>
      </c>
      <c r="G163" s="78" t="s">
        <v>508</v>
      </c>
      <c r="H163" s="79" t="s">
        <v>509</v>
      </c>
      <c r="I163" s="79" t="s">
        <v>510</v>
      </c>
      <c r="J163" s="79" t="s">
        <v>511</v>
      </c>
    </row>
    <row r="164">
      <c r="A164" s="77" t="s">
        <v>57</v>
      </c>
      <c r="B164" s="77" t="s">
        <v>507</v>
      </c>
      <c r="C164" s="77">
        <v>0.12</v>
      </c>
      <c r="D164" s="77"/>
      <c r="E164" s="77"/>
      <c r="F164" s="77" t="s">
        <v>420</v>
      </c>
      <c r="G164" s="78" t="s">
        <v>512</v>
      </c>
      <c r="H164" s="79" t="s">
        <v>513</v>
      </c>
      <c r="I164" s="79" t="s">
        <v>514</v>
      </c>
      <c r="J164" s="79" t="s">
        <v>515</v>
      </c>
    </row>
    <row r="165">
      <c r="A165" s="77" t="s">
        <v>26</v>
      </c>
      <c r="B165" s="77" t="s">
        <v>507</v>
      </c>
      <c r="C165" s="77">
        <v>0.38</v>
      </c>
      <c r="D165" s="77"/>
      <c r="E165" s="77"/>
      <c r="F165" s="77" t="s">
        <v>420</v>
      </c>
      <c r="G165" s="78" t="s">
        <v>516</v>
      </c>
      <c r="H165" s="79" t="s">
        <v>517</v>
      </c>
      <c r="I165" s="79" t="s">
        <v>518</v>
      </c>
      <c r="J165" s="79" t="s">
        <v>519</v>
      </c>
    </row>
    <row r="166">
      <c r="A166" s="77" t="s">
        <v>39</v>
      </c>
      <c r="B166" s="77" t="s">
        <v>507</v>
      </c>
      <c r="C166" s="77">
        <v>0.0</v>
      </c>
      <c r="D166" s="77"/>
      <c r="E166" s="77"/>
      <c r="F166" s="77" t="s">
        <v>420</v>
      </c>
      <c r="G166" s="78" t="s">
        <v>520</v>
      </c>
      <c r="H166" s="79" t="s">
        <v>521</v>
      </c>
      <c r="I166" s="79" t="s">
        <v>522</v>
      </c>
      <c r="J166" s="79" t="s">
        <v>523</v>
      </c>
    </row>
    <row r="167">
      <c r="A167" s="77" t="s">
        <v>51</v>
      </c>
      <c r="B167" s="77" t="s">
        <v>507</v>
      </c>
      <c r="C167" s="77">
        <v>0.09</v>
      </c>
      <c r="D167" s="77"/>
      <c r="E167" s="77"/>
      <c r="F167" s="77" t="s">
        <v>420</v>
      </c>
      <c r="G167" s="78" t="s">
        <v>524</v>
      </c>
      <c r="H167" s="79" t="s">
        <v>525</v>
      </c>
      <c r="I167" s="79" t="s">
        <v>526</v>
      </c>
      <c r="J167" s="79" t="s">
        <v>527</v>
      </c>
    </row>
    <row r="168">
      <c r="A168" s="77" t="s">
        <v>47</v>
      </c>
      <c r="B168" s="77" t="s">
        <v>507</v>
      </c>
      <c r="C168" s="77">
        <v>0.89</v>
      </c>
      <c r="D168" s="77"/>
      <c r="E168" s="77"/>
      <c r="F168" s="77" t="s">
        <v>474</v>
      </c>
      <c r="G168" s="78" t="s">
        <v>528</v>
      </c>
      <c r="H168" s="79" t="s">
        <v>529</v>
      </c>
      <c r="I168" s="79" t="s">
        <v>530</v>
      </c>
      <c r="J168" s="79" t="s">
        <v>531</v>
      </c>
    </row>
    <row r="169">
      <c r="A169" s="77" t="s">
        <v>36</v>
      </c>
      <c r="B169" s="77" t="s">
        <v>507</v>
      </c>
      <c r="C169" s="77">
        <v>0.03</v>
      </c>
      <c r="D169" s="77"/>
      <c r="E169" s="77"/>
      <c r="F169" s="77" t="s">
        <v>474</v>
      </c>
      <c r="G169" s="78" t="s">
        <v>532</v>
      </c>
      <c r="H169" s="79" t="s">
        <v>533</v>
      </c>
      <c r="I169" s="79" t="s">
        <v>534</v>
      </c>
      <c r="J169" s="79" t="s">
        <v>535</v>
      </c>
    </row>
    <row r="170">
      <c r="A170" s="77" t="s">
        <v>39</v>
      </c>
      <c r="B170" s="77" t="s">
        <v>507</v>
      </c>
      <c r="C170" s="77">
        <v>29.01</v>
      </c>
      <c r="D170" s="77">
        <v>20.0</v>
      </c>
      <c r="E170" s="77">
        <v>1.45</v>
      </c>
      <c r="F170" s="77" t="s">
        <v>474</v>
      </c>
      <c r="G170" s="78" t="s">
        <v>536</v>
      </c>
      <c r="H170" s="79" t="s">
        <v>537</v>
      </c>
      <c r="I170" s="79" t="s">
        <v>538</v>
      </c>
      <c r="J170" s="79" t="s">
        <v>539</v>
      </c>
    </row>
    <row r="171">
      <c r="A171" s="77" t="s">
        <v>132</v>
      </c>
      <c r="B171" s="77" t="s">
        <v>507</v>
      </c>
      <c r="C171" s="77">
        <v>8.04</v>
      </c>
      <c r="D171" s="77">
        <v>7.0</v>
      </c>
      <c r="E171" s="77">
        <v>1.15</v>
      </c>
      <c r="F171" s="77" t="s">
        <v>474</v>
      </c>
      <c r="G171" s="78" t="s">
        <v>540</v>
      </c>
      <c r="H171" s="79" t="s">
        <v>541</v>
      </c>
      <c r="I171" s="79" t="s">
        <v>542</v>
      </c>
      <c r="J171" s="79" t="s">
        <v>543</v>
      </c>
    </row>
    <row r="172">
      <c r="A172" s="77" t="s">
        <v>51</v>
      </c>
      <c r="B172" s="77" t="s">
        <v>507</v>
      </c>
      <c r="C172" s="77">
        <v>0.23</v>
      </c>
      <c r="D172" s="77">
        <v>1.0</v>
      </c>
      <c r="E172" s="77">
        <v>0.23</v>
      </c>
      <c r="F172" s="77" t="s">
        <v>474</v>
      </c>
      <c r="G172" s="78" t="s">
        <v>544</v>
      </c>
      <c r="H172" s="79" t="s">
        <v>545</v>
      </c>
      <c r="I172" s="79" t="s">
        <v>546</v>
      </c>
      <c r="J172" s="79" t="s">
        <v>547</v>
      </c>
    </row>
    <row r="173">
      <c r="A173" s="77" t="s">
        <v>26</v>
      </c>
      <c r="B173" s="77" t="s">
        <v>507</v>
      </c>
      <c r="C173" s="77">
        <v>192.57</v>
      </c>
      <c r="D173" s="77">
        <v>4.0</v>
      </c>
      <c r="E173" s="77">
        <v>48.14</v>
      </c>
      <c r="F173" s="77" t="s">
        <v>474</v>
      </c>
      <c r="G173" s="78" t="s">
        <v>548</v>
      </c>
      <c r="H173" s="79" t="s">
        <v>549</v>
      </c>
      <c r="I173" s="79" t="s">
        <v>550</v>
      </c>
      <c r="J173" s="79" t="s">
        <v>551</v>
      </c>
    </row>
    <row r="174">
      <c r="A174" s="77" t="s">
        <v>42</v>
      </c>
      <c r="B174" s="77" t="s">
        <v>507</v>
      </c>
      <c r="C174" s="77">
        <v>0.16</v>
      </c>
      <c r="D174" s="77"/>
      <c r="E174" s="77"/>
      <c r="F174" s="77" t="s">
        <v>474</v>
      </c>
      <c r="G174" s="78" t="s">
        <v>552</v>
      </c>
      <c r="H174" s="79" t="s">
        <v>553</v>
      </c>
      <c r="I174" s="79" t="s">
        <v>554</v>
      </c>
      <c r="J174" s="79" t="s">
        <v>555</v>
      </c>
    </row>
    <row r="175">
      <c r="A175" s="77" t="s">
        <v>57</v>
      </c>
      <c r="B175" s="77" t="s">
        <v>507</v>
      </c>
      <c r="C175" s="77">
        <v>0.02</v>
      </c>
      <c r="D175" s="77"/>
      <c r="E175" s="77"/>
      <c r="F175" s="77" t="s">
        <v>474</v>
      </c>
      <c r="G175" s="78" t="s">
        <v>556</v>
      </c>
      <c r="H175" s="79" t="s">
        <v>557</v>
      </c>
      <c r="I175" s="79" t="s">
        <v>558</v>
      </c>
      <c r="J175" s="79" t="s">
        <v>559</v>
      </c>
    </row>
    <row r="176">
      <c r="A176" s="77" t="s">
        <v>38</v>
      </c>
      <c r="B176" s="77" t="s">
        <v>507</v>
      </c>
      <c r="C176" s="77">
        <v>5.49</v>
      </c>
      <c r="D176" s="77">
        <v>5.0</v>
      </c>
      <c r="E176" s="77">
        <v>1.1</v>
      </c>
      <c r="F176" s="77" t="s">
        <v>474</v>
      </c>
      <c r="G176" s="78" t="s">
        <v>560</v>
      </c>
      <c r="H176" s="79" t="s">
        <v>561</v>
      </c>
      <c r="I176" s="79" t="s">
        <v>562</v>
      </c>
      <c r="J176" s="79" t="s">
        <v>563</v>
      </c>
    </row>
    <row r="177">
      <c r="A177" s="77" t="s">
        <v>132</v>
      </c>
      <c r="B177" s="77" t="s">
        <v>507</v>
      </c>
      <c r="C177" s="77">
        <v>1.05</v>
      </c>
      <c r="D177" s="77">
        <v>2.0</v>
      </c>
      <c r="E177" s="77">
        <v>0.53</v>
      </c>
      <c r="F177" s="77" t="s">
        <v>441</v>
      </c>
      <c r="G177" s="78" t="s">
        <v>564</v>
      </c>
      <c r="H177" s="79" t="s">
        <v>565</v>
      </c>
      <c r="I177" s="79" t="s">
        <v>566</v>
      </c>
      <c r="J177" s="79" t="s">
        <v>567</v>
      </c>
    </row>
    <row r="178">
      <c r="A178" s="77" t="s">
        <v>26</v>
      </c>
      <c r="B178" s="77" t="s">
        <v>507</v>
      </c>
      <c r="C178" s="77">
        <v>477.43</v>
      </c>
      <c r="D178" s="77">
        <v>5.0</v>
      </c>
      <c r="E178" s="77">
        <v>95.49</v>
      </c>
      <c r="F178" s="77" t="s">
        <v>441</v>
      </c>
      <c r="G178" s="78" t="s">
        <v>568</v>
      </c>
      <c r="H178" s="79" t="s">
        <v>569</v>
      </c>
      <c r="I178" s="79" t="s">
        <v>570</v>
      </c>
      <c r="J178" s="79" t="s">
        <v>571</v>
      </c>
    </row>
    <row r="179">
      <c r="A179" s="77" t="s">
        <v>42</v>
      </c>
      <c r="B179" s="77" t="s">
        <v>507</v>
      </c>
      <c r="C179" s="77">
        <v>67.99</v>
      </c>
      <c r="D179" s="77">
        <v>33.0</v>
      </c>
      <c r="E179" s="77">
        <v>2.06</v>
      </c>
      <c r="F179" s="77" t="s">
        <v>441</v>
      </c>
      <c r="G179" s="78" t="s">
        <v>572</v>
      </c>
      <c r="H179" s="79" t="s">
        <v>573</v>
      </c>
      <c r="I179" s="79" t="s">
        <v>574</v>
      </c>
      <c r="J179" s="79" t="s">
        <v>575</v>
      </c>
    </row>
    <row r="180">
      <c r="A180" s="77" t="s">
        <v>51</v>
      </c>
      <c r="B180" s="77" t="s">
        <v>507</v>
      </c>
      <c r="C180" s="77">
        <v>2.93</v>
      </c>
      <c r="D180" s="77">
        <v>2.0</v>
      </c>
      <c r="E180" s="77">
        <v>1.47</v>
      </c>
      <c r="F180" s="77" t="s">
        <v>441</v>
      </c>
      <c r="G180" s="78" t="s">
        <v>576</v>
      </c>
      <c r="H180" s="79" t="s">
        <v>577</v>
      </c>
      <c r="I180" s="79" t="s">
        <v>578</v>
      </c>
      <c r="J180" s="79" t="s">
        <v>579</v>
      </c>
    </row>
    <row r="181">
      <c r="A181" s="77" t="s">
        <v>38</v>
      </c>
      <c r="B181" s="77" t="s">
        <v>507</v>
      </c>
      <c r="C181" s="77">
        <v>17.43</v>
      </c>
      <c r="D181" s="77">
        <v>11.0</v>
      </c>
      <c r="E181" s="77">
        <v>1.58</v>
      </c>
      <c r="F181" s="77" t="s">
        <v>441</v>
      </c>
      <c r="G181" s="78" t="s">
        <v>580</v>
      </c>
      <c r="H181" s="79" t="s">
        <v>581</v>
      </c>
      <c r="I181" s="79" t="s">
        <v>582</v>
      </c>
      <c r="J181" s="79" t="s">
        <v>583</v>
      </c>
    </row>
    <row r="182">
      <c r="A182" s="77" t="s">
        <v>57</v>
      </c>
      <c r="B182" s="77" t="s">
        <v>507</v>
      </c>
      <c r="C182" s="77">
        <v>0.78</v>
      </c>
      <c r="D182" s="77"/>
      <c r="E182" s="77"/>
      <c r="F182" s="77" t="s">
        <v>441</v>
      </c>
      <c r="G182" s="78" t="s">
        <v>584</v>
      </c>
      <c r="H182" s="79" t="s">
        <v>585</v>
      </c>
      <c r="I182" s="79" t="s">
        <v>586</v>
      </c>
      <c r="J182" s="79" t="s">
        <v>587</v>
      </c>
    </row>
    <row r="183">
      <c r="A183" s="77" t="s">
        <v>39</v>
      </c>
      <c r="B183" s="77" t="s">
        <v>507</v>
      </c>
      <c r="C183" s="77">
        <v>22.6</v>
      </c>
      <c r="D183" s="77">
        <v>8.0</v>
      </c>
      <c r="E183" s="77">
        <v>2.83</v>
      </c>
      <c r="F183" s="77" t="s">
        <v>441</v>
      </c>
      <c r="G183" s="78" t="s">
        <v>588</v>
      </c>
      <c r="H183" s="79" t="s">
        <v>589</v>
      </c>
      <c r="I183" s="79" t="s">
        <v>590</v>
      </c>
      <c r="J183" s="79" t="s">
        <v>591</v>
      </c>
    </row>
    <row r="184">
      <c r="A184" s="77" t="s">
        <v>36</v>
      </c>
      <c r="B184" s="77" t="s">
        <v>507</v>
      </c>
      <c r="C184" s="77">
        <v>1.02</v>
      </c>
      <c r="D184" s="77"/>
      <c r="E184" s="77"/>
      <c r="F184" s="77" t="s">
        <v>441</v>
      </c>
      <c r="G184" s="78" t="s">
        <v>592</v>
      </c>
      <c r="H184" s="79" t="s">
        <v>593</v>
      </c>
      <c r="I184" s="79" t="s">
        <v>594</v>
      </c>
      <c r="J184" s="79" t="s">
        <v>595</v>
      </c>
    </row>
    <row r="185">
      <c r="A185" s="77" t="s">
        <v>47</v>
      </c>
      <c r="B185" s="77" t="s">
        <v>507</v>
      </c>
      <c r="C185" s="77">
        <v>17.12</v>
      </c>
      <c r="D185" s="77">
        <v>6.0</v>
      </c>
      <c r="E185" s="77">
        <v>2.85</v>
      </c>
      <c r="F185" s="77" t="s">
        <v>441</v>
      </c>
      <c r="G185" s="78" t="s">
        <v>596</v>
      </c>
      <c r="H185" s="79" t="s">
        <v>597</v>
      </c>
      <c r="I185" s="79" t="s">
        <v>598</v>
      </c>
      <c r="J185" s="79" t="s">
        <v>599</v>
      </c>
    </row>
    <row r="186">
      <c r="A186" s="77" t="s">
        <v>42</v>
      </c>
      <c r="B186" s="77" t="s">
        <v>600</v>
      </c>
      <c r="C186" s="77">
        <v>0.25</v>
      </c>
      <c r="D186" s="77"/>
      <c r="E186" s="77"/>
      <c r="F186" s="77" t="s">
        <v>420</v>
      </c>
      <c r="G186" s="78" t="s">
        <v>601</v>
      </c>
      <c r="H186" s="79" t="s">
        <v>602</v>
      </c>
      <c r="I186" s="79" t="s">
        <v>603</v>
      </c>
      <c r="J186" s="79" t="s">
        <v>604</v>
      </c>
    </row>
    <row r="187">
      <c r="A187" s="77" t="s">
        <v>29</v>
      </c>
      <c r="B187" s="77" t="s">
        <v>600</v>
      </c>
      <c r="C187" s="77">
        <v>179.96</v>
      </c>
      <c r="D187" s="77">
        <v>117.0</v>
      </c>
      <c r="E187" s="77">
        <v>1.54</v>
      </c>
      <c r="F187" s="77" t="s">
        <v>420</v>
      </c>
      <c r="G187" s="78" t="s">
        <v>605</v>
      </c>
      <c r="H187" s="79" t="s">
        <v>606</v>
      </c>
      <c r="I187" s="79" t="s">
        <v>607</v>
      </c>
      <c r="J187" s="79" t="s">
        <v>608</v>
      </c>
    </row>
    <row r="188">
      <c r="A188" s="77" t="s">
        <v>37</v>
      </c>
      <c r="B188" s="77" t="s">
        <v>600</v>
      </c>
      <c r="C188" s="77">
        <v>3.84</v>
      </c>
      <c r="D188" s="77">
        <v>1.0</v>
      </c>
      <c r="E188" s="77">
        <v>3.84</v>
      </c>
      <c r="F188" s="77" t="s">
        <v>420</v>
      </c>
      <c r="G188" s="78" t="s">
        <v>609</v>
      </c>
      <c r="H188" s="79" t="s">
        <v>610</v>
      </c>
      <c r="I188" s="79" t="s">
        <v>611</v>
      </c>
      <c r="J188" s="79" t="s">
        <v>612</v>
      </c>
    </row>
    <row r="189">
      <c r="A189" s="77" t="s">
        <v>29</v>
      </c>
      <c r="B189" s="77" t="s">
        <v>600</v>
      </c>
      <c r="C189" s="77">
        <v>7659.58</v>
      </c>
      <c r="D189" s="77">
        <v>3552.0</v>
      </c>
      <c r="E189" s="77">
        <v>2.16</v>
      </c>
      <c r="F189" s="77" t="s">
        <v>474</v>
      </c>
      <c r="G189" s="78" t="s">
        <v>613</v>
      </c>
      <c r="H189" s="79" t="s">
        <v>614</v>
      </c>
      <c r="I189" s="79" t="s">
        <v>615</v>
      </c>
      <c r="J189" s="79" t="s">
        <v>616</v>
      </c>
    </row>
    <row r="190">
      <c r="A190" s="77" t="s">
        <v>42</v>
      </c>
      <c r="B190" s="77" t="s">
        <v>600</v>
      </c>
      <c r="C190" s="77">
        <v>26.36</v>
      </c>
      <c r="D190" s="77"/>
      <c r="E190" s="77"/>
      <c r="F190" s="77" t="s">
        <v>474</v>
      </c>
      <c r="G190" s="78" t="s">
        <v>617</v>
      </c>
      <c r="H190" s="79" t="s">
        <v>618</v>
      </c>
      <c r="I190" s="79" t="s">
        <v>619</v>
      </c>
      <c r="J190" s="79" t="s">
        <v>620</v>
      </c>
    </row>
    <row r="191">
      <c r="A191" s="77" t="s">
        <v>37</v>
      </c>
      <c r="B191" s="77" t="s">
        <v>600</v>
      </c>
      <c r="C191" s="77">
        <v>821.88</v>
      </c>
      <c r="D191" s="77">
        <v>166.0</v>
      </c>
      <c r="E191" s="77">
        <v>4.95</v>
      </c>
      <c r="F191" s="77" t="s">
        <v>474</v>
      </c>
      <c r="G191" s="78" t="s">
        <v>621</v>
      </c>
      <c r="H191" s="79" t="s">
        <v>622</v>
      </c>
      <c r="I191" s="79" t="s">
        <v>623</v>
      </c>
      <c r="J191" s="79" t="s">
        <v>624</v>
      </c>
    </row>
    <row r="192">
      <c r="A192" s="77" t="s">
        <v>37</v>
      </c>
      <c r="B192" s="77" t="s">
        <v>600</v>
      </c>
      <c r="C192" s="77">
        <v>3181.79</v>
      </c>
      <c r="D192" s="77">
        <v>373.0</v>
      </c>
      <c r="E192" s="77">
        <v>8.53</v>
      </c>
      <c r="F192" s="77" t="s">
        <v>441</v>
      </c>
      <c r="G192" s="78" t="s">
        <v>625</v>
      </c>
      <c r="H192" s="79" t="s">
        <v>626</v>
      </c>
      <c r="I192" s="79" t="s">
        <v>627</v>
      </c>
      <c r="J192" s="79" t="s">
        <v>628</v>
      </c>
    </row>
    <row r="193">
      <c r="A193" s="77" t="s">
        <v>42</v>
      </c>
      <c r="B193" s="77" t="s">
        <v>600</v>
      </c>
      <c r="C193" s="77">
        <v>30.51</v>
      </c>
      <c r="D193" s="77">
        <v>3.0</v>
      </c>
      <c r="E193" s="77">
        <v>10.17</v>
      </c>
      <c r="F193" s="77" t="s">
        <v>441</v>
      </c>
      <c r="G193" s="78" t="s">
        <v>629</v>
      </c>
      <c r="H193" s="79" t="s">
        <v>630</v>
      </c>
      <c r="I193" s="79" t="s">
        <v>631</v>
      </c>
      <c r="J193" s="79" t="s">
        <v>632</v>
      </c>
    </row>
    <row r="194">
      <c r="A194" s="77" t="s">
        <v>29</v>
      </c>
      <c r="B194" s="77" t="s">
        <v>600</v>
      </c>
      <c r="C194" s="77">
        <v>3252.81</v>
      </c>
      <c r="D194" s="77">
        <v>1543.0</v>
      </c>
      <c r="E194" s="77">
        <v>2.11</v>
      </c>
      <c r="F194" s="77" t="s">
        <v>441</v>
      </c>
      <c r="G194" s="78" t="s">
        <v>633</v>
      </c>
      <c r="H194" s="79" t="s">
        <v>634</v>
      </c>
      <c r="I194" s="79" t="s">
        <v>635</v>
      </c>
      <c r="J194" s="79" t="s">
        <v>636</v>
      </c>
    </row>
    <row r="195">
      <c r="A195" s="77" t="s">
        <v>32</v>
      </c>
      <c r="B195" s="77" t="s">
        <v>637</v>
      </c>
      <c r="C195" s="77">
        <v>2.46</v>
      </c>
      <c r="D195" s="77">
        <v>1.0</v>
      </c>
      <c r="E195" s="77">
        <v>2.46</v>
      </c>
      <c r="F195" s="77" t="s">
        <v>638</v>
      </c>
      <c r="G195" s="78" t="s">
        <v>639</v>
      </c>
      <c r="H195" s="79" t="s">
        <v>640</v>
      </c>
      <c r="I195" s="79" t="s">
        <v>641</v>
      </c>
      <c r="J195" s="79" t="s">
        <v>642</v>
      </c>
    </row>
    <row r="196">
      <c r="A196" s="77" t="s">
        <v>29</v>
      </c>
      <c r="B196" s="77" t="s">
        <v>637</v>
      </c>
      <c r="C196" s="77">
        <v>21.86</v>
      </c>
      <c r="D196" s="77">
        <v>1.0</v>
      </c>
      <c r="E196" s="77">
        <v>21.86</v>
      </c>
      <c r="F196" s="77" t="s">
        <v>638</v>
      </c>
      <c r="G196" s="78" t="s">
        <v>643</v>
      </c>
      <c r="H196" s="79" t="s">
        <v>644</v>
      </c>
      <c r="I196" s="79" t="s">
        <v>645</v>
      </c>
      <c r="J196" s="79" t="s">
        <v>646</v>
      </c>
    </row>
    <row r="197">
      <c r="A197" s="77" t="s">
        <v>35</v>
      </c>
      <c r="B197" s="77" t="s">
        <v>637</v>
      </c>
      <c r="C197" s="77">
        <v>6.28</v>
      </c>
      <c r="D197" s="77"/>
      <c r="E197" s="77"/>
      <c r="F197" s="77" t="s">
        <v>638</v>
      </c>
      <c r="G197" s="78" t="s">
        <v>647</v>
      </c>
      <c r="H197" s="79" t="s">
        <v>648</v>
      </c>
      <c r="I197" s="79" t="s">
        <v>649</v>
      </c>
      <c r="J197" s="79" t="s">
        <v>650</v>
      </c>
    </row>
    <row r="198">
      <c r="A198" s="77" t="s">
        <v>41</v>
      </c>
      <c r="B198" s="77" t="s">
        <v>637</v>
      </c>
      <c r="C198" s="77">
        <v>5.51</v>
      </c>
      <c r="D198" s="77">
        <v>2.0</v>
      </c>
      <c r="E198" s="77">
        <v>2.76</v>
      </c>
      <c r="F198" s="77" t="s">
        <v>638</v>
      </c>
      <c r="G198" s="78" t="s">
        <v>651</v>
      </c>
      <c r="H198" s="79" t="s">
        <v>652</v>
      </c>
      <c r="I198" s="79" t="s">
        <v>653</v>
      </c>
      <c r="J198" s="79" t="s">
        <v>654</v>
      </c>
    </row>
    <row r="199">
      <c r="A199" s="77" t="s">
        <v>27</v>
      </c>
      <c r="B199" s="77" t="s">
        <v>637</v>
      </c>
      <c r="C199" s="77">
        <v>22.71</v>
      </c>
      <c r="D199" s="77">
        <v>19.0</v>
      </c>
      <c r="E199" s="77">
        <v>1.2</v>
      </c>
      <c r="F199" s="77" t="s">
        <v>638</v>
      </c>
      <c r="G199" s="78" t="s">
        <v>655</v>
      </c>
      <c r="H199" s="79" t="s">
        <v>656</v>
      </c>
      <c r="I199" s="79" t="s">
        <v>657</v>
      </c>
      <c r="J199" s="79" t="s">
        <v>658</v>
      </c>
    </row>
    <row r="200">
      <c r="A200" s="77" t="s">
        <v>53</v>
      </c>
      <c r="B200" s="77" t="s">
        <v>637</v>
      </c>
      <c r="C200" s="77">
        <v>1.76</v>
      </c>
      <c r="D200" s="77">
        <v>1.0</v>
      </c>
      <c r="E200" s="77">
        <v>1.76</v>
      </c>
      <c r="F200" s="77" t="s">
        <v>638</v>
      </c>
      <c r="G200" s="78" t="s">
        <v>659</v>
      </c>
      <c r="H200" s="79" t="s">
        <v>660</v>
      </c>
      <c r="I200" s="79" t="s">
        <v>661</v>
      </c>
      <c r="J200" s="79" t="s">
        <v>662</v>
      </c>
    </row>
    <row r="201">
      <c r="A201" s="77" t="s">
        <v>28</v>
      </c>
      <c r="B201" s="77" t="s">
        <v>637</v>
      </c>
      <c r="C201" s="77">
        <v>99.17</v>
      </c>
      <c r="D201" s="77">
        <v>48.0</v>
      </c>
      <c r="E201" s="77">
        <v>2.07</v>
      </c>
      <c r="F201" s="77" t="s">
        <v>638</v>
      </c>
      <c r="G201" s="78" t="s">
        <v>663</v>
      </c>
      <c r="H201" s="79" t="s">
        <v>664</v>
      </c>
      <c r="I201" s="79" t="s">
        <v>665</v>
      </c>
      <c r="J201" s="79" t="s">
        <v>666</v>
      </c>
    </row>
    <row r="202">
      <c r="A202" s="77" t="s">
        <v>34</v>
      </c>
      <c r="B202" s="77" t="s">
        <v>637</v>
      </c>
      <c r="C202" s="77">
        <v>31.9</v>
      </c>
      <c r="D202" s="77">
        <v>11.0</v>
      </c>
      <c r="E202" s="77">
        <v>2.9</v>
      </c>
      <c r="F202" s="77" t="s">
        <v>638</v>
      </c>
      <c r="G202" s="78" t="s">
        <v>667</v>
      </c>
      <c r="H202" s="79" t="s">
        <v>668</v>
      </c>
      <c r="I202" s="79" t="s">
        <v>669</v>
      </c>
      <c r="J202" s="79" t="s">
        <v>670</v>
      </c>
    </row>
    <row r="203">
      <c r="A203" s="77" t="s">
        <v>32</v>
      </c>
      <c r="B203" s="77" t="s">
        <v>637</v>
      </c>
      <c r="C203" s="77">
        <v>116.29</v>
      </c>
      <c r="D203" s="77">
        <v>57.0</v>
      </c>
      <c r="E203" s="77">
        <v>2.04</v>
      </c>
      <c r="F203" s="77" t="s">
        <v>671</v>
      </c>
      <c r="G203" s="78" t="s">
        <v>672</v>
      </c>
      <c r="H203" s="79" t="s">
        <v>673</v>
      </c>
      <c r="I203" s="79" t="s">
        <v>674</v>
      </c>
      <c r="J203" s="79" t="s">
        <v>675</v>
      </c>
    </row>
    <row r="204">
      <c r="A204" s="77" t="s">
        <v>41</v>
      </c>
      <c r="B204" s="77" t="s">
        <v>637</v>
      </c>
      <c r="C204" s="77">
        <v>151.88</v>
      </c>
      <c r="D204" s="77">
        <v>55.0</v>
      </c>
      <c r="E204" s="77">
        <v>2.76</v>
      </c>
      <c r="F204" s="77" t="s">
        <v>671</v>
      </c>
      <c r="G204" s="78" t="s">
        <v>676</v>
      </c>
      <c r="H204" s="79" t="s">
        <v>677</v>
      </c>
      <c r="I204" s="79" t="s">
        <v>678</v>
      </c>
      <c r="J204" s="79" t="s">
        <v>679</v>
      </c>
    </row>
    <row r="205">
      <c r="A205" s="77" t="s">
        <v>29</v>
      </c>
      <c r="B205" s="77" t="s">
        <v>637</v>
      </c>
      <c r="C205" s="77">
        <v>451.11</v>
      </c>
      <c r="D205" s="77">
        <v>105.0</v>
      </c>
      <c r="E205" s="77">
        <v>4.3</v>
      </c>
      <c r="F205" s="77" t="s">
        <v>671</v>
      </c>
      <c r="G205" s="78" t="s">
        <v>680</v>
      </c>
      <c r="H205" s="79" t="s">
        <v>681</v>
      </c>
      <c r="I205" s="79" t="s">
        <v>682</v>
      </c>
      <c r="J205" s="79" t="s">
        <v>683</v>
      </c>
    </row>
    <row r="206">
      <c r="A206" s="77" t="s">
        <v>28</v>
      </c>
      <c r="B206" s="77" t="s">
        <v>637</v>
      </c>
      <c r="C206" s="77">
        <v>2310.64</v>
      </c>
      <c r="D206" s="77">
        <v>1005.0</v>
      </c>
      <c r="E206" s="77">
        <v>2.3</v>
      </c>
      <c r="F206" s="77" t="s">
        <v>671</v>
      </c>
      <c r="G206" s="78" t="s">
        <v>684</v>
      </c>
      <c r="H206" s="79" t="s">
        <v>685</v>
      </c>
      <c r="I206" s="79" t="s">
        <v>686</v>
      </c>
      <c r="J206" s="79" t="s">
        <v>687</v>
      </c>
    </row>
    <row r="207">
      <c r="A207" s="77" t="s">
        <v>35</v>
      </c>
      <c r="B207" s="77" t="s">
        <v>637</v>
      </c>
      <c r="C207" s="77">
        <v>107.29</v>
      </c>
      <c r="D207" s="77">
        <v>29.0</v>
      </c>
      <c r="E207" s="77">
        <v>3.7</v>
      </c>
      <c r="F207" s="77" t="s">
        <v>671</v>
      </c>
      <c r="G207" s="78" t="s">
        <v>688</v>
      </c>
      <c r="H207" s="79" t="s">
        <v>689</v>
      </c>
      <c r="I207" s="79" t="s">
        <v>690</v>
      </c>
      <c r="J207" s="79" t="s">
        <v>691</v>
      </c>
    </row>
    <row r="208">
      <c r="A208" s="77" t="s">
        <v>53</v>
      </c>
      <c r="B208" s="77" t="s">
        <v>637</v>
      </c>
      <c r="C208" s="77">
        <v>1.7</v>
      </c>
      <c r="D208" s="77">
        <v>1.0</v>
      </c>
      <c r="E208" s="77">
        <v>1.7</v>
      </c>
      <c r="F208" s="77" t="s">
        <v>671</v>
      </c>
      <c r="G208" s="78" t="s">
        <v>692</v>
      </c>
      <c r="H208" s="79" t="s">
        <v>693</v>
      </c>
      <c r="I208" s="79" t="s">
        <v>694</v>
      </c>
      <c r="J208" s="79" t="s">
        <v>695</v>
      </c>
    </row>
    <row r="209">
      <c r="A209" s="77" t="s">
        <v>27</v>
      </c>
      <c r="B209" s="77" t="s">
        <v>637</v>
      </c>
      <c r="C209" s="77">
        <v>4771.38</v>
      </c>
      <c r="D209" s="77">
        <v>1904.0</v>
      </c>
      <c r="E209" s="77">
        <v>2.51</v>
      </c>
      <c r="F209" s="77" t="s">
        <v>671</v>
      </c>
      <c r="G209" s="78" t="s">
        <v>696</v>
      </c>
      <c r="H209" s="79" t="s">
        <v>697</v>
      </c>
      <c r="I209" s="79" t="s">
        <v>698</v>
      </c>
      <c r="J209" s="79" t="s">
        <v>699</v>
      </c>
    </row>
    <row r="210">
      <c r="A210" s="77" t="s">
        <v>34</v>
      </c>
      <c r="B210" s="77" t="s">
        <v>637</v>
      </c>
      <c r="C210" s="77">
        <v>135.54</v>
      </c>
      <c r="D210" s="77">
        <v>41.0</v>
      </c>
      <c r="E210" s="77">
        <v>3.31</v>
      </c>
      <c r="F210" s="77" t="s">
        <v>671</v>
      </c>
      <c r="G210" s="78" t="s">
        <v>700</v>
      </c>
      <c r="H210" s="79" t="s">
        <v>701</v>
      </c>
      <c r="I210" s="79" t="s">
        <v>702</v>
      </c>
      <c r="J210" s="79" t="s">
        <v>703</v>
      </c>
    </row>
    <row r="211">
      <c r="A211" s="77" t="s">
        <v>47</v>
      </c>
      <c r="B211" s="77" t="s">
        <v>704</v>
      </c>
      <c r="C211" s="77">
        <v>11.3</v>
      </c>
      <c r="D211" s="77">
        <v>2.0</v>
      </c>
      <c r="E211" s="77">
        <v>5.65</v>
      </c>
      <c r="F211" s="77" t="s">
        <v>638</v>
      </c>
      <c r="G211" s="78" t="s">
        <v>705</v>
      </c>
      <c r="H211" s="79" t="s">
        <v>706</v>
      </c>
      <c r="I211" s="79" t="s">
        <v>707</v>
      </c>
      <c r="J211" s="79" t="s">
        <v>708</v>
      </c>
    </row>
    <row r="212">
      <c r="A212" s="77" t="s">
        <v>51</v>
      </c>
      <c r="B212" s="77" t="s">
        <v>704</v>
      </c>
      <c r="C212" s="77">
        <v>1.82</v>
      </c>
      <c r="D212" s="77">
        <v>1.0</v>
      </c>
      <c r="E212" s="77">
        <v>1.82</v>
      </c>
      <c r="F212" s="77" t="s">
        <v>638</v>
      </c>
      <c r="G212" s="78" t="s">
        <v>709</v>
      </c>
      <c r="H212" s="79" t="s">
        <v>710</v>
      </c>
      <c r="I212" s="79" t="s">
        <v>711</v>
      </c>
      <c r="J212" s="79" t="s">
        <v>712</v>
      </c>
    </row>
    <row r="213">
      <c r="A213" s="77" t="s">
        <v>36</v>
      </c>
      <c r="B213" s="77" t="s">
        <v>704</v>
      </c>
      <c r="C213" s="77">
        <v>0.99</v>
      </c>
      <c r="D213" s="77">
        <v>1.0</v>
      </c>
      <c r="E213" s="77">
        <v>0.99</v>
      </c>
      <c r="F213" s="77" t="s">
        <v>638</v>
      </c>
      <c r="G213" s="78" t="s">
        <v>713</v>
      </c>
      <c r="H213" s="79" t="s">
        <v>714</v>
      </c>
      <c r="I213" s="79" t="s">
        <v>715</v>
      </c>
      <c r="J213" s="79" t="s">
        <v>716</v>
      </c>
    </row>
    <row r="214">
      <c r="A214" s="77" t="s">
        <v>39</v>
      </c>
      <c r="B214" s="77" t="s">
        <v>704</v>
      </c>
      <c r="C214" s="77">
        <v>3.88</v>
      </c>
      <c r="D214" s="77">
        <v>1.0</v>
      </c>
      <c r="E214" s="77">
        <v>3.88</v>
      </c>
      <c r="F214" s="77" t="s">
        <v>638</v>
      </c>
      <c r="G214" s="78" t="s">
        <v>717</v>
      </c>
      <c r="H214" s="79" t="s">
        <v>718</v>
      </c>
      <c r="I214" s="79" t="s">
        <v>719</v>
      </c>
      <c r="J214" s="79" t="s">
        <v>720</v>
      </c>
    </row>
    <row r="215">
      <c r="A215" s="77" t="s">
        <v>132</v>
      </c>
      <c r="B215" s="77" t="s">
        <v>704</v>
      </c>
      <c r="C215" s="77">
        <v>40.14</v>
      </c>
      <c r="D215" s="77">
        <v>36.0</v>
      </c>
      <c r="E215" s="77">
        <v>1.12</v>
      </c>
      <c r="F215" s="77" t="s">
        <v>638</v>
      </c>
      <c r="G215" s="78" t="s">
        <v>721</v>
      </c>
      <c r="H215" s="79" t="s">
        <v>722</v>
      </c>
      <c r="I215" s="79" t="s">
        <v>723</v>
      </c>
      <c r="J215" s="79" t="s">
        <v>724</v>
      </c>
    </row>
    <row r="216">
      <c r="A216" s="77" t="s">
        <v>26</v>
      </c>
      <c r="B216" s="77" t="s">
        <v>704</v>
      </c>
      <c r="C216" s="77">
        <v>95.21</v>
      </c>
      <c r="D216" s="77">
        <v>2.0</v>
      </c>
      <c r="E216" s="77">
        <v>47.61</v>
      </c>
      <c r="F216" s="77" t="s">
        <v>638</v>
      </c>
      <c r="G216" s="78" t="s">
        <v>725</v>
      </c>
      <c r="H216" s="79" t="s">
        <v>726</v>
      </c>
      <c r="I216" s="79" t="s">
        <v>727</v>
      </c>
      <c r="J216" s="79" t="s">
        <v>728</v>
      </c>
    </row>
    <row r="217">
      <c r="A217" s="77" t="s">
        <v>57</v>
      </c>
      <c r="B217" s="77" t="s">
        <v>704</v>
      </c>
      <c r="C217" s="77">
        <v>3.33</v>
      </c>
      <c r="D217" s="77"/>
      <c r="E217" s="77"/>
      <c r="F217" s="77" t="s">
        <v>638</v>
      </c>
      <c r="G217" s="78" t="s">
        <v>729</v>
      </c>
      <c r="H217" s="79" t="s">
        <v>730</v>
      </c>
      <c r="I217" s="79" t="s">
        <v>731</v>
      </c>
      <c r="J217" s="79" t="s">
        <v>732</v>
      </c>
    </row>
    <row r="218">
      <c r="A218" s="77" t="s">
        <v>42</v>
      </c>
      <c r="B218" s="77" t="s">
        <v>704</v>
      </c>
      <c r="C218" s="77">
        <v>3.09</v>
      </c>
      <c r="D218" s="77"/>
      <c r="E218" s="77"/>
      <c r="F218" s="77" t="s">
        <v>638</v>
      </c>
      <c r="G218" s="78" t="s">
        <v>733</v>
      </c>
      <c r="H218" s="79" t="s">
        <v>734</v>
      </c>
      <c r="I218" s="79" t="s">
        <v>735</v>
      </c>
      <c r="J218" s="79" t="s">
        <v>736</v>
      </c>
    </row>
    <row r="219">
      <c r="A219" s="77" t="s">
        <v>38</v>
      </c>
      <c r="B219" s="77" t="s">
        <v>704</v>
      </c>
      <c r="C219" s="77">
        <v>195.32</v>
      </c>
      <c r="D219" s="77">
        <v>69.0</v>
      </c>
      <c r="E219" s="77">
        <v>2.83</v>
      </c>
      <c r="F219" s="77" t="s">
        <v>638</v>
      </c>
      <c r="G219" s="78" t="s">
        <v>737</v>
      </c>
      <c r="H219" s="79" t="s">
        <v>105</v>
      </c>
      <c r="I219" s="79" t="s">
        <v>738</v>
      </c>
      <c r="J219" s="79" t="s">
        <v>739</v>
      </c>
    </row>
    <row r="220">
      <c r="A220" s="77" t="s">
        <v>42</v>
      </c>
      <c r="B220" s="77" t="s">
        <v>704</v>
      </c>
      <c r="C220" s="77">
        <v>378.72</v>
      </c>
      <c r="D220" s="77">
        <v>147.0</v>
      </c>
      <c r="E220" s="77">
        <v>2.58</v>
      </c>
      <c r="F220" s="77" t="s">
        <v>671</v>
      </c>
      <c r="G220" s="78" t="s">
        <v>740</v>
      </c>
      <c r="H220" s="79" t="s">
        <v>741</v>
      </c>
      <c r="I220" s="79" t="s">
        <v>742</v>
      </c>
      <c r="J220" s="79" t="s">
        <v>743</v>
      </c>
    </row>
    <row r="221">
      <c r="A221" s="77" t="s">
        <v>47</v>
      </c>
      <c r="B221" s="77" t="s">
        <v>704</v>
      </c>
      <c r="C221" s="77">
        <v>304.19</v>
      </c>
      <c r="D221" s="77">
        <v>91.0</v>
      </c>
      <c r="E221" s="77">
        <v>3.34</v>
      </c>
      <c r="F221" s="77" t="s">
        <v>671</v>
      </c>
      <c r="G221" s="78" t="s">
        <v>744</v>
      </c>
      <c r="H221" s="79" t="s">
        <v>745</v>
      </c>
      <c r="I221" s="79" t="s">
        <v>746</v>
      </c>
      <c r="J221" s="79" t="s">
        <v>747</v>
      </c>
    </row>
    <row r="222">
      <c r="A222" s="77" t="s">
        <v>38</v>
      </c>
      <c r="B222" s="77" t="s">
        <v>704</v>
      </c>
      <c r="C222" s="77">
        <v>3350.13</v>
      </c>
      <c r="D222" s="77">
        <v>1119.0</v>
      </c>
      <c r="E222" s="77">
        <v>2.99</v>
      </c>
      <c r="F222" s="77" t="s">
        <v>671</v>
      </c>
      <c r="G222" s="78" t="s">
        <v>748</v>
      </c>
      <c r="H222" s="79" t="s">
        <v>749</v>
      </c>
      <c r="I222" s="79" t="s">
        <v>750</v>
      </c>
      <c r="J222" s="79" t="s">
        <v>751</v>
      </c>
    </row>
    <row r="223">
      <c r="A223" s="77" t="s">
        <v>36</v>
      </c>
      <c r="B223" s="77" t="s">
        <v>704</v>
      </c>
      <c r="C223" s="77">
        <v>32.16</v>
      </c>
      <c r="D223" s="77">
        <v>3.0</v>
      </c>
      <c r="E223" s="77">
        <v>10.72</v>
      </c>
      <c r="F223" s="77" t="s">
        <v>671</v>
      </c>
      <c r="G223" s="78" t="s">
        <v>752</v>
      </c>
      <c r="H223" s="79" t="s">
        <v>753</v>
      </c>
      <c r="I223" s="79" t="s">
        <v>754</v>
      </c>
      <c r="J223" s="79" t="s">
        <v>755</v>
      </c>
    </row>
    <row r="224">
      <c r="A224" s="77" t="s">
        <v>51</v>
      </c>
      <c r="B224" s="77" t="s">
        <v>704</v>
      </c>
      <c r="C224" s="77">
        <v>79.22</v>
      </c>
      <c r="D224" s="77">
        <v>14.0</v>
      </c>
      <c r="E224" s="77">
        <v>5.66</v>
      </c>
      <c r="F224" s="77" t="s">
        <v>671</v>
      </c>
      <c r="G224" s="78" t="s">
        <v>756</v>
      </c>
      <c r="H224" s="79" t="s">
        <v>757</v>
      </c>
      <c r="I224" s="79" t="s">
        <v>758</v>
      </c>
      <c r="J224" s="79" t="s">
        <v>759</v>
      </c>
    </row>
    <row r="225">
      <c r="A225" s="77" t="s">
        <v>39</v>
      </c>
      <c r="B225" s="77" t="s">
        <v>704</v>
      </c>
      <c r="C225" s="77">
        <v>519.73</v>
      </c>
      <c r="D225" s="77">
        <v>149.0</v>
      </c>
      <c r="E225" s="77">
        <v>3.49</v>
      </c>
      <c r="F225" s="77" t="s">
        <v>671</v>
      </c>
      <c r="G225" s="78" t="s">
        <v>760</v>
      </c>
      <c r="H225" s="79" t="s">
        <v>761</v>
      </c>
      <c r="I225" s="79" t="s">
        <v>762</v>
      </c>
      <c r="J225" s="79" t="s">
        <v>763</v>
      </c>
    </row>
    <row r="226">
      <c r="A226" s="77" t="s">
        <v>132</v>
      </c>
      <c r="B226" s="77" t="s">
        <v>704</v>
      </c>
      <c r="C226" s="77">
        <v>2631.74</v>
      </c>
      <c r="D226" s="77">
        <v>962.0</v>
      </c>
      <c r="E226" s="77">
        <v>2.74</v>
      </c>
      <c r="F226" s="77" t="s">
        <v>671</v>
      </c>
      <c r="G226" s="78" t="s">
        <v>764</v>
      </c>
      <c r="H226" s="79" t="s">
        <v>765</v>
      </c>
      <c r="I226" s="79" t="s">
        <v>766</v>
      </c>
      <c r="J226" s="79" t="s">
        <v>767</v>
      </c>
    </row>
    <row r="227">
      <c r="A227" s="77" t="s">
        <v>26</v>
      </c>
      <c r="B227" s="77" t="s">
        <v>704</v>
      </c>
      <c r="C227" s="77">
        <v>6698.58</v>
      </c>
      <c r="D227" s="77">
        <v>2705.0</v>
      </c>
      <c r="E227" s="77">
        <v>2.48</v>
      </c>
      <c r="F227" s="77" t="s">
        <v>671</v>
      </c>
      <c r="G227" s="78" t="s">
        <v>768</v>
      </c>
      <c r="H227" s="79" t="s">
        <v>769</v>
      </c>
      <c r="I227" s="79" t="s">
        <v>770</v>
      </c>
      <c r="J227" s="79" t="s">
        <v>771</v>
      </c>
    </row>
    <row r="228">
      <c r="A228" s="77" t="s">
        <v>57</v>
      </c>
      <c r="B228" s="77" t="s">
        <v>704</v>
      </c>
      <c r="C228" s="77">
        <v>4.01</v>
      </c>
      <c r="D228" s="77"/>
      <c r="E228" s="77"/>
      <c r="F228" s="77" t="s">
        <v>671</v>
      </c>
      <c r="G228" s="78" t="s">
        <v>772</v>
      </c>
      <c r="H228" s="79" t="s">
        <v>773</v>
      </c>
      <c r="I228" s="79" t="s">
        <v>774</v>
      </c>
      <c r="J228" s="79" t="s">
        <v>775</v>
      </c>
    </row>
    <row r="229">
      <c r="A229" s="77" t="s">
        <v>37</v>
      </c>
      <c r="B229" s="77" t="s">
        <v>776</v>
      </c>
      <c r="C229" s="77">
        <v>1315.68</v>
      </c>
      <c r="D229" s="77">
        <v>201.0</v>
      </c>
      <c r="E229" s="77">
        <v>6.55</v>
      </c>
      <c r="F229" s="77" t="s">
        <v>638</v>
      </c>
      <c r="G229" s="78" t="s">
        <v>777</v>
      </c>
      <c r="H229" s="79" t="s">
        <v>778</v>
      </c>
      <c r="I229" s="79" t="s">
        <v>779</v>
      </c>
      <c r="J229" s="79" t="s">
        <v>780</v>
      </c>
    </row>
    <row r="230">
      <c r="A230" s="77" t="s">
        <v>42</v>
      </c>
      <c r="B230" s="77" t="s">
        <v>776</v>
      </c>
      <c r="C230" s="77">
        <v>18.8</v>
      </c>
      <c r="D230" s="77"/>
      <c r="E230" s="77"/>
      <c r="F230" s="77" t="s">
        <v>638</v>
      </c>
      <c r="G230" s="78" t="s">
        <v>781</v>
      </c>
      <c r="H230" s="79" t="s">
        <v>782</v>
      </c>
      <c r="I230" s="79" t="s">
        <v>783</v>
      </c>
      <c r="J230" s="79" t="s">
        <v>784</v>
      </c>
    </row>
    <row r="231">
      <c r="A231" s="77" t="s">
        <v>29</v>
      </c>
      <c r="B231" s="77" t="s">
        <v>776</v>
      </c>
      <c r="C231" s="77">
        <v>158.39</v>
      </c>
      <c r="D231" s="77">
        <v>37.0</v>
      </c>
      <c r="E231" s="77">
        <v>4.28</v>
      </c>
      <c r="F231" s="77" t="s">
        <v>638</v>
      </c>
      <c r="G231" s="78" t="s">
        <v>785</v>
      </c>
      <c r="H231" s="79" t="s">
        <v>786</v>
      </c>
      <c r="I231" s="79" t="s">
        <v>787</v>
      </c>
      <c r="J231" s="79" t="s">
        <v>788</v>
      </c>
    </row>
    <row r="232">
      <c r="A232" s="77" t="s">
        <v>42</v>
      </c>
      <c r="B232" s="77" t="s">
        <v>776</v>
      </c>
      <c r="C232" s="77">
        <v>55.65</v>
      </c>
      <c r="D232" s="77">
        <v>1.0</v>
      </c>
      <c r="E232" s="77">
        <v>55.65</v>
      </c>
      <c r="F232" s="77" t="s">
        <v>671</v>
      </c>
      <c r="G232" s="78" t="s">
        <v>789</v>
      </c>
      <c r="H232" s="79" t="s">
        <v>790</v>
      </c>
      <c r="I232" s="79" t="s">
        <v>791</v>
      </c>
      <c r="J232" s="79" t="s">
        <v>792</v>
      </c>
    </row>
    <row r="233">
      <c r="A233" s="77" t="s">
        <v>37</v>
      </c>
      <c r="B233" s="77" t="s">
        <v>776</v>
      </c>
      <c r="C233" s="77">
        <v>1788.23</v>
      </c>
      <c r="D233" s="77">
        <v>596.0</v>
      </c>
      <c r="E233" s="77">
        <v>3.0</v>
      </c>
      <c r="F233" s="77" t="s">
        <v>671</v>
      </c>
      <c r="G233" s="78" t="s">
        <v>793</v>
      </c>
      <c r="H233" s="79" t="s">
        <v>794</v>
      </c>
      <c r="I233" s="79" t="s">
        <v>795</v>
      </c>
      <c r="J233" s="79" t="s">
        <v>796</v>
      </c>
    </row>
    <row r="234">
      <c r="A234" s="77" t="s">
        <v>29</v>
      </c>
      <c r="B234" s="77" t="s">
        <v>776</v>
      </c>
      <c r="C234" s="77">
        <v>404.91</v>
      </c>
      <c r="D234" s="77">
        <v>178.0</v>
      </c>
      <c r="E234" s="77">
        <v>2.27</v>
      </c>
      <c r="F234" s="77" t="s">
        <v>671</v>
      </c>
      <c r="G234" s="78" t="s">
        <v>797</v>
      </c>
      <c r="H234" s="79" t="s">
        <v>798</v>
      </c>
      <c r="I234" s="79" t="s">
        <v>799</v>
      </c>
      <c r="J234" s="79" t="s">
        <v>800</v>
      </c>
    </row>
    <row r="235">
      <c r="A235" s="77" t="s">
        <v>25</v>
      </c>
      <c r="B235" s="77" t="s">
        <v>141</v>
      </c>
      <c r="C235" s="77">
        <v>1391.77</v>
      </c>
      <c r="D235" s="77">
        <v>506.0</v>
      </c>
      <c r="E235" s="77">
        <v>2.75</v>
      </c>
      <c r="F235" s="77" t="s">
        <v>392</v>
      </c>
      <c r="G235" s="78" t="s">
        <v>801</v>
      </c>
      <c r="H235" s="79" t="s">
        <v>802</v>
      </c>
      <c r="I235" s="79" t="s">
        <v>803</v>
      </c>
      <c r="J235" s="79" t="s">
        <v>804</v>
      </c>
    </row>
    <row r="236">
      <c r="A236" s="77" t="s">
        <v>25</v>
      </c>
      <c r="B236" s="77" t="s">
        <v>141</v>
      </c>
      <c r="C236" s="77">
        <v>1171.99</v>
      </c>
      <c r="D236" s="77">
        <v>486.0</v>
      </c>
      <c r="E236" s="77">
        <v>2.41</v>
      </c>
      <c r="F236" s="77" t="s">
        <v>247</v>
      </c>
      <c r="G236" s="78" t="s">
        <v>805</v>
      </c>
      <c r="H236" s="79" t="s">
        <v>806</v>
      </c>
      <c r="I236" s="79" t="s">
        <v>807</v>
      </c>
      <c r="J236" s="79" t="s">
        <v>808</v>
      </c>
    </row>
    <row r="237">
      <c r="A237" s="77" t="s">
        <v>25</v>
      </c>
      <c r="B237" s="77" t="s">
        <v>141</v>
      </c>
      <c r="C237" s="77">
        <v>4154.4</v>
      </c>
      <c r="D237" s="77">
        <v>1824.0</v>
      </c>
      <c r="E237" s="77">
        <v>2.28</v>
      </c>
      <c r="F237" s="77" t="s">
        <v>284</v>
      </c>
      <c r="G237" s="78" t="s">
        <v>809</v>
      </c>
      <c r="H237" s="79" t="s">
        <v>810</v>
      </c>
      <c r="I237" s="79" t="s">
        <v>811</v>
      </c>
      <c r="J237" s="79" t="s">
        <v>812</v>
      </c>
    </row>
    <row r="238">
      <c r="A238" s="77" t="s">
        <v>25</v>
      </c>
      <c r="B238" s="77" t="s">
        <v>141</v>
      </c>
      <c r="C238" s="77">
        <v>624.31</v>
      </c>
      <c r="D238" s="77">
        <v>388.0</v>
      </c>
      <c r="E238" s="77">
        <v>1.61</v>
      </c>
      <c r="F238" s="77" t="s">
        <v>70</v>
      </c>
      <c r="G238" s="78" t="s">
        <v>813</v>
      </c>
      <c r="H238" s="79" t="s">
        <v>814</v>
      </c>
      <c r="I238" s="79" t="s">
        <v>815</v>
      </c>
      <c r="J238" s="79" t="s">
        <v>816</v>
      </c>
    </row>
    <row r="239">
      <c r="A239" s="77" t="s">
        <v>25</v>
      </c>
      <c r="B239" s="77" t="s">
        <v>141</v>
      </c>
      <c r="C239" s="77">
        <v>1542.68</v>
      </c>
      <c r="D239" s="77">
        <v>677.0</v>
      </c>
      <c r="E239" s="77">
        <v>2.28</v>
      </c>
      <c r="F239" s="77" t="s">
        <v>178</v>
      </c>
      <c r="G239" s="78" t="s">
        <v>817</v>
      </c>
      <c r="H239" s="79" t="s">
        <v>818</v>
      </c>
      <c r="I239" s="79" t="s">
        <v>819</v>
      </c>
      <c r="J239" s="79" t="s">
        <v>820</v>
      </c>
    </row>
    <row r="240">
      <c r="A240" s="77" t="s">
        <v>25</v>
      </c>
      <c r="B240" s="77" t="s">
        <v>141</v>
      </c>
      <c r="C240" s="77">
        <v>1507.72</v>
      </c>
      <c r="D240" s="77">
        <v>688.0</v>
      </c>
      <c r="E240" s="77">
        <v>2.19</v>
      </c>
      <c r="F240" s="77" t="s">
        <v>235</v>
      </c>
      <c r="G240" s="78" t="s">
        <v>821</v>
      </c>
      <c r="H240" s="79" t="s">
        <v>822</v>
      </c>
      <c r="I240" s="79" t="s">
        <v>823</v>
      </c>
      <c r="J240" s="79" t="s">
        <v>824</v>
      </c>
    </row>
    <row r="241">
      <c r="A241" s="77" t="s">
        <v>25</v>
      </c>
      <c r="B241" s="77" t="s">
        <v>141</v>
      </c>
      <c r="C241" s="77">
        <v>63.34</v>
      </c>
      <c r="D241" s="77">
        <v>24.0</v>
      </c>
      <c r="E241" s="77">
        <v>2.64</v>
      </c>
      <c r="F241" s="77" t="s">
        <v>201</v>
      </c>
      <c r="G241" s="78" t="s">
        <v>825</v>
      </c>
      <c r="H241" s="79" t="s">
        <v>826</v>
      </c>
      <c r="I241" s="79" t="s">
        <v>827</v>
      </c>
      <c r="J241" s="79" t="s">
        <v>828</v>
      </c>
    </row>
    <row r="242">
      <c r="A242" s="77" t="s">
        <v>25</v>
      </c>
      <c r="B242" s="77" t="s">
        <v>600</v>
      </c>
      <c r="C242" s="77">
        <v>42.23</v>
      </c>
      <c r="D242" s="77">
        <v>26.0</v>
      </c>
      <c r="E242" s="77">
        <v>1.62</v>
      </c>
      <c r="F242" s="77" t="s">
        <v>420</v>
      </c>
      <c r="G242" s="78" t="s">
        <v>829</v>
      </c>
      <c r="H242" s="79" t="s">
        <v>830</v>
      </c>
      <c r="I242" s="79" t="s">
        <v>831</v>
      </c>
      <c r="J242" s="79" t="s">
        <v>832</v>
      </c>
    </row>
    <row r="243">
      <c r="A243" s="77" t="s">
        <v>25</v>
      </c>
      <c r="B243" s="77" t="s">
        <v>600</v>
      </c>
      <c r="C243" s="77">
        <v>3164.45</v>
      </c>
      <c r="D243" s="77">
        <v>1464.0</v>
      </c>
      <c r="E243" s="77">
        <v>2.16</v>
      </c>
      <c r="F243" s="77" t="s">
        <v>441</v>
      </c>
      <c r="G243" s="78" t="s">
        <v>833</v>
      </c>
      <c r="H243" s="79" t="s">
        <v>834</v>
      </c>
      <c r="I243" s="79" t="s">
        <v>835</v>
      </c>
      <c r="J243" s="79" t="s">
        <v>836</v>
      </c>
    </row>
    <row r="244">
      <c r="A244" s="77" t="s">
        <v>25</v>
      </c>
      <c r="B244" s="77" t="s">
        <v>600</v>
      </c>
      <c r="C244" s="77">
        <v>1703.63</v>
      </c>
      <c r="D244" s="77">
        <v>701.0</v>
      </c>
      <c r="E244" s="77">
        <v>2.43</v>
      </c>
      <c r="F244" s="77" t="s">
        <v>474</v>
      </c>
      <c r="G244" s="78" t="s">
        <v>837</v>
      </c>
      <c r="H244" s="79" t="s">
        <v>838</v>
      </c>
      <c r="I244" s="79" t="s">
        <v>839</v>
      </c>
      <c r="J244" s="79" t="s">
        <v>840</v>
      </c>
    </row>
    <row r="245">
      <c r="A245" s="77" t="s">
        <v>25</v>
      </c>
      <c r="B245" s="77" t="s">
        <v>776</v>
      </c>
      <c r="C245" s="77">
        <v>158.89</v>
      </c>
      <c r="D245" s="77">
        <v>56.0</v>
      </c>
      <c r="E245" s="77">
        <v>2.84</v>
      </c>
      <c r="F245" s="77" t="s">
        <v>638</v>
      </c>
      <c r="G245" s="78" t="s">
        <v>841</v>
      </c>
      <c r="H245" s="79" t="s">
        <v>842</v>
      </c>
      <c r="I245" s="79" t="s">
        <v>843</v>
      </c>
      <c r="J245" s="79" t="s">
        <v>844</v>
      </c>
    </row>
    <row r="246">
      <c r="A246" s="77" t="s">
        <v>25</v>
      </c>
      <c r="B246" s="77" t="s">
        <v>776</v>
      </c>
      <c r="C246" s="77">
        <v>10774.17</v>
      </c>
      <c r="D246" s="77">
        <v>4831.0</v>
      </c>
      <c r="E246" s="77">
        <v>2.23</v>
      </c>
      <c r="F246" s="77" t="s">
        <v>671</v>
      </c>
      <c r="G246" s="78" t="s">
        <v>845</v>
      </c>
      <c r="H246" s="79" t="s">
        <v>846</v>
      </c>
      <c r="I246" s="79" t="s">
        <v>847</v>
      </c>
      <c r="J246" s="79" t="s">
        <v>848</v>
      </c>
    </row>
    <row r="247">
      <c r="A247" s="77" t="s">
        <v>32</v>
      </c>
      <c r="B247" s="77" t="s">
        <v>849</v>
      </c>
      <c r="C247" s="77">
        <v>372.33</v>
      </c>
      <c r="D247" s="77">
        <v>179.0</v>
      </c>
      <c r="E247" s="77">
        <v>2.08</v>
      </c>
      <c r="F247" s="77" t="s">
        <v>70</v>
      </c>
      <c r="G247" s="78" t="s">
        <v>850</v>
      </c>
      <c r="H247" s="79" t="s">
        <v>76</v>
      </c>
      <c r="I247" s="79" t="s">
        <v>851</v>
      </c>
      <c r="J247" s="79" t="s">
        <v>852</v>
      </c>
    </row>
    <row r="248">
      <c r="A248" s="77" t="s">
        <v>34</v>
      </c>
      <c r="B248" s="77" t="s">
        <v>849</v>
      </c>
      <c r="C248" s="77">
        <v>120.05</v>
      </c>
      <c r="D248" s="77">
        <v>51.0</v>
      </c>
      <c r="E248" s="77">
        <v>2.35</v>
      </c>
      <c r="F248" s="77" t="s">
        <v>70</v>
      </c>
      <c r="G248" s="78" t="s">
        <v>853</v>
      </c>
      <c r="H248" s="79" t="s">
        <v>854</v>
      </c>
      <c r="I248" s="79" t="s">
        <v>855</v>
      </c>
      <c r="J248" s="79" t="s">
        <v>856</v>
      </c>
    </row>
    <row r="249">
      <c r="A249" s="77" t="s">
        <v>35</v>
      </c>
      <c r="B249" s="77" t="s">
        <v>849</v>
      </c>
      <c r="C249" s="77">
        <v>102.3</v>
      </c>
      <c r="D249" s="77">
        <v>48.0</v>
      </c>
      <c r="E249" s="77">
        <v>2.13</v>
      </c>
      <c r="F249" s="77" t="s">
        <v>70</v>
      </c>
      <c r="G249" s="78" t="s">
        <v>857</v>
      </c>
      <c r="H249" s="79" t="s">
        <v>88</v>
      </c>
      <c r="I249" s="79" t="s">
        <v>858</v>
      </c>
      <c r="J249" s="79" t="s">
        <v>859</v>
      </c>
    </row>
    <row r="250">
      <c r="A250" s="77" t="s">
        <v>32</v>
      </c>
      <c r="B250" s="77" t="s">
        <v>849</v>
      </c>
      <c r="C250" s="77">
        <v>591.48</v>
      </c>
      <c r="D250" s="77">
        <v>233.0</v>
      </c>
      <c r="E250" s="77">
        <v>2.54</v>
      </c>
      <c r="F250" s="77" t="s">
        <v>218</v>
      </c>
      <c r="G250" s="78" t="s">
        <v>860</v>
      </c>
      <c r="H250" s="79" t="s">
        <v>76</v>
      </c>
      <c r="I250" s="79" t="s">
        <v>851</v>
      </c>
      <c r="J250" s="79" t="s">
        <v>852</v>
      </c>
    </row>
    <row r="251">
      <c r="A251" s="77" t="s">
        <v>35</v>
      </c>
      <c r="B251" s="77" t="s">
        <v>849</v>
      </c>
      <c r="C251" s="77">
        <v>323.26</v>
      </c>
      <c r="D251" s="77">
        <v>107.0</v>
      </c>
      <c r="E251" s="77">
        <v>3.02</v>
      </c>
      <c r="F251" s="77" t="s">
        <v>218</v>
      </c>
      <c r="G251" s="78" t="s">
        <v>861</v>
      </c>
      <c r="H251" s="79" t="s">
        <v>88</v>
      </c>
      <c r="I251" s="79" t="s">
        <v>858</v>
      </c>
      <c r="J251" s="79" t="s">
        <v>859</v>
      </c>
    </row>
    <row r="252">
      <c r="A252" s="77" t="s">
        <v>32</v>
      </c>
      <c r="B252" s="77" t="s">
        <v>849</v>
      </c>
      <c r="C252" s="77">
        <v>528.07</v>
      </c>
      <c r="D252" s="77">
        <v>202.0</v>
      </c>
      <c r="E252" s="77">
        <v>2.61</v>
      </c>
      <c r="F252" s="77" t="s">
        <v>178</v>
      </c>
      <c r="G252" s="78" t="s">
        <v>862</v>
      </c>
      <c r="H252" s="79" t="s">
        <v>76</v>
      </c>
      <c r="I252" s="79" t="s">
        <v>851</v>
      </c>
      <c r="J252" s="79" t="s">
        <v>852</v>
      </c>
    </row>
    <row r="253">
      <c r="A253" s="77" t="s">
        <v>35</v>
      </c>
      <c r="B253" s="77" t="s">
        <v>849</v>
      </c>
      <c r="C253" s="77">
        <v>950.85</v>
      </c>
      <c r="D253" s="77">
        <v>350.0</v>
      </c>
      <c r="E253" s="77">
        <v>2.72</v>
      </c>
      <c r="F253" s="77" t="s">
        <v>154</v>
      </c>
      <c r="G253" s="78" t="s">
        <v>863</v>
      </c>
      <c r="H253" s="79" t="s">
        <v>88</v>
      </c>
      <c r="I253" s="79" t="s">
        <v>858</v>
      </c>
      <c r="J253" s="79" t="s">
        <v>859</v>
      </c>
    </row>
    <row r="254">
      <c r="A254" s="77" t="s">
        <v>35</v>
      </c>
      <c r="B254" s="77" t="s">
        <v>849</v>
      </c>
      <c r="C254" s="77">
        <v>340.75</v>
      </c>
      <c r="D254" s="77">
        <v>111.0</v>
      </c>
      <c r="E254" s="77">
        <v>3.07</v>
      </c>
      <c r="F254" s="77" t="s">
        <v>178</v>
      </c>
      <c r="G254" s="78" t="s">
        <v>864</v>
      </c>
      <c r="H254" s="79" t="s">
        <v>88</v>
      </c>
      <c r="I254" s="79" t="s">
        <v>865</v>
      </c>
      <c r="J254" s="79" t="s">
        <v>866</v>
      </c>
    </row>
    <row r="255">
      <c r="A255" s="77" t="s">
        <v>32</v>
      </c>
      <c r="B255" s="77" t="s">
        <v>849</v>
      </c>
      <c r="C255" s="77">
        <v>937.66</v>
      </c>
      <c r="D255" s="77">
        <v>374.0</v>
      </c>
      <c r="E255" s="77">
        <v>2.51</v>
      </c>
      <c r="F255" s="77" t="s">
        <v>201</v>
      </c>
      <c r="G255" s="78" t="s">
        <v>867</v>
      </c>
      <c r="H255" s="79" t="s">
        <v>76</v>
      </c>
      <c r="I255" s="79" t="s">
        <v>868</v>
      </c>
      <c r="J255" s="79" t="s">
        <v>852</v>
      </c>
    </row>
    <row r="256">
      <c r="A256" s="77" t="s">
        <v>32</v>
      </c>
      <c r="B256" s="77" t="s">
        <v>849</v>
      </c>
      <c r="C256" s="77">
        <v>404.93</v>
      </c>
      <c r="D256" s="77">
        <v>141.0</v>
      </c>
      <c r="E256" s="77">
        <v>2.87</v>
      </c>
      <c r="F256" s="77" t="s">
        <v>247</v>
      </c>
      <c r="G256" s="78" t="s">
        <v>869</v>
      </c>
      <c r="H256" s="79" t="s">
        <v>76</v>
      </c>
      <c r="I256" s="79" t="s">
        <v>868</v>
      </c>
      <c r="J256" s="79" t="s">
        <v>852</v>
      </c>
    </row>
    <row r="257">
      <c r="A257" s="77" t="s">
        <v>32</v>
      </c>
      <c r="B257" s="77" t="s">
        <v>849</v>
      </c>
      <c r="C257" s="77">
        <v>756.74</v>
      </c>
      <c r="D257" s="77">
        <v>270.0</v>
      </c>
      <c r="E257" s="77">
        <v>2.8</v>
      </c>
      <c r="F257" s="77" t="s">
        <v>154</v>
      </c>
      <c r="G257" s="78" t="s">
        <v>870</v>
      </c>
      <c r="H257" s="79" t="s">
        <v>76</v>
      </c>
      <c r="I257" s="79" t="s">
        <v>851</v>
      </c>
      <c r="J257" s="79" t="s">
        <v>852</v>
      </c>
    </row>
    <row r="258">
      <c r="A258" s="77" t="s">
        <v>35</v>
      </c>
      <c r="B258" s="77" t="s">
        <v>849</v>
      </c>
      <c r="C258" s="77">
        <v>236.34</v>
      </c>
      <c r="D258" s="77">
        <v>86.0</v>
      </c>
      <c r="E258" s="77">
        <v>2.75</v>
      </c>
      <c r="F258" s="77" t="s">
        <v>247</v>
      </c>
      <c r="G258" s="78" t="s">
        <v>871</v>
      </c>
      <c r="H258" s="79" t="s">
        <v>88</v>
      </c>
      <c r="I258" s="79" t="s">
        <v>872</v>
      </c>
      <c r="J258" s="79" t="s">
        <v>859</v>
      </c>
    </row>
    <row r="259">
      <c r="A259" s="77" t="s">
        <v>34</v>
      </c>
      <c r="B259" s="77" t="s">
        <v>849</v>
      </c>
      <c r="C259" s="77">
        <v>733.92</v>
      </c>
      <c r="D259" s="77">
        <v>249.0</v>
      </c>
      <c r="E259" s="77">
        <v>2.95</v>
      </c>
      <c r="F259" s="77" t="s">
        <v>154</v>
      </c>
      <c r="G259" s="78" t="s">
        <v>873</v>
      </c>
      <c r="H259" s="79" t="s">
        <v>72</v>
      </c>
      <c r="I259" s="79" t="s">
        <v>874</v>
      </c>
      <c r="J259" s="79" t="s">
        <v>875</v>
      </c>
    </row>
    <row r="260">
      <c r="A260" s="77" t="s">
        <v>32</v>
      </c>
      <c r="B260" s="77" t="s">
        <v>849</v>
      </c>
      <c r="C260" s="77">
        <v>1033.14</v>
      </c>
      <c r="D260" s="77">
        <v>442.0</v>
      </c>
      <c r="E260" s="77">
        <v>2.34</v>
      </c>
      <c r="F260" s="77" t="s">
        <v>235</v>
      </c>
      <c r="G260" s="78" t="s">
        <v>876</v>
      </c>
      <c r="H260" s="79" t="s">
        <v>76</v>
      </c>
      <c r="I260" s="79" t="s">
        <v>868</v>
      </c>
      <c r="J260" s="79" t="s">
        <v>852</v>
      </c>
    </row>
    <row r="261">
      <c r="A261" s="77" t="s">
        <v>34</v>
      </c>
      <c r="B261" s="77" t="s">
        <v>849</v>
      </c>
      <c r="C261" s="77">
        <v>1034.97</v>
      </c>
      <c r="D261" s="77">
        <v>353.0</v>
      </c>
      <c r="E261" s="77">
        <v>2.93</v>
      </c>
      <c r="F261" s="77" t="s">
        <v>218</v>
      </c>
      <c r="G261" s="78" t="s">
        <v>877</v>
      </c>
      <c r="H261" s="79" t="s">
        <v>72</v>
      </c>
      <c r="I261" s="79" t="s">
        <v>874</v>
      </c>
      <c r="J261" s="79" t="s">
        <v>875</v>
      </c>
    </row>
    <row r="262">
      <c r="A262" s="77" t="s">
        <v>34</v>
      </c>
      <c r="B262" s="77" t="s">
        <v>849</v>
      </c>
      <c r="C262" s="77">
        <v>252.14</v>
      </c>
      <c r="D262" s="77">
        <v>100.0</v>
      </c>
      <c r="E262" s="77">
        <v>2.52</v>
      </c>
      <c r="F262" s="77" t="s">
        <v>235</v>
      </c>
      <c r="G262" s="78" t="s">
        <v>878</v>
      </c>
      <c r="H262" s="79" t="s">
        <v>72</v>
      </c>
      <c r="I262" s="79" t="s">
        <v>874</v>
      </c>
      <c r="J262" s="79" t="s">
        <v>875</v>
      </c>
    </row>
    <row r="263">
      <c r="A263" s="77" t="s">
        <v>34</v>
      </c>
      <c r="B263" s="77" t="s">
        <v>849</v>
      </c>
      <c r="C263" s="77">
        <v>665.52</v>
      </c>
      <c r="D263" s="77">
        <v>229.0</v>
      </c>
      <c r="E263" s="77">
        <v>2.91</v>
      </c>
      <c r="F263" s="77" t="s">
        <v>178</v>
      </c>
      <c r="G263" s="78" t="s">
        <v>879</v>
      </c>
      <c r="H263" s="79" t="s">
        <v>72</v>
      </c>
      <c r="I263" s="79" t="s">
        <v>880</v>
      </c>
      <c r="J263" s="79" t="s">
        <v>881</v>
      </c>
    </row>
    <row r="264">
      <c r="A264" s="77" t="s">
        <v>35</v>
      </c>
      <c r="B264" s="77" t="s">
        <v>849</v>
      </c>
      <c r="C264" s="77">
        <v>96.11</v>
      </c>
      <c r="D264" s="77">
        <v>35.0</v>
      </c>
      <c r="E264" s="77">
        <v>2.75</v>
      </c>
      <c r="F264" s="77" t="s">
        <v>235</v>
      </c>
      <c r="G264" s="78" t="s">
        <v>882</v>
      </c>
      <c r="H264" s="79" t="s">
        <v>88</v>
      </c>
      <c r="I264" s="79" t="s">
        <v>883</v>
      </c>
      <c r="J264" s="79" t="s">
        <v>884</v>
      </c>
    </row>
    <row r="265">
      <c r="A265" s="77" t="s">
        <v>34</v>
      </c>
      <c r="B265" s="77" t="s">
        <v>849</v>
      </c>
      <c r="C265" s="77">
        <v>285.53</v>
      </c>
      <c r="D265" s="77">
        <v>103.0</v>
      </c>
      <c r="E265" s="77">
        <v>2.77</v>
      </c>
      <c r="F265" s="77" t="s">
        <v>247</v>
      </c>
      <c r="G265" s="78" t="s">
        <v>885</v>
      </c>
      <c r="H265" s="79" t="s">
        <v>72</v>
      </c>
      <c r="I265" s="79" t="s">
        <v>874</v>
      </c>
      <c r="J265" s="79" t="s">
        <v>875</v>
      </c>
    </row>
    <row r="266">
      <c r="A266" s="77" t="s">
        <v>34</v>
      </c>
      <c r="B266" s="77" t="s">
        <v>849</v>
      </c>
      <c r="C266" s="77">
        <v>358.16</v>
      </c>
      <c r="D266" s="77">
        <v>122.0</v>
      </c>
      <c r="E266" s="77">
        <v>2.94</v>
      </c>
      <c r="F266" s="77" t="s">
        <v>201</v>
      </c>
      <c r="G266" s="78" t="s">
        <v>886</v>
      </c>
      <c r="H266" s="79" t="s">
        <v>72</v>
      </c>
      <c r="I266" s="79" t="s">
        <v>874</v>
      </c>
      <c r="J266" s="79" t="s">
        <v>875</v>
      </c>
    </row>
    <row r="267">
      <c r="A267" s="77" t="s">
        <v>35</v>
      </c>
      <c r="B267" s="77" t="s">
        <v>849</v>
      </c>
      <c r="C267" s="77">
        <v>737.42</v>
      </c>
      <c r="D267" s="77">
        <v>280.0</v>
      </c>
      <c r="E267" s="77">
        <v>2.63</v>
      </c>
      <c r="F267" s="77" t="s">
        <v>201</v>
      </c>
      <c r="G267" s="78" t="s">
        <v>887</v>
      </c>
      <c r="H267" s="79" t="s">
        <v>88</v>
      </c>
      <c r="I267" s="79" t="s">
        <v>872</v>
      </c>
      <c r="J267" s="79" t="s">
        <v>859</v>
      </c>
    </row>
    <row r="268">
      <c r="A268" s="77" t="s">
        <v>48</v>
      </c>
      <c r="B268" s="77" t="s">
        <v>849</v>
      </c>
      <c r="C268" s="77">
        <v>3.71</v>
      </c>
      <c r="D268" s="77">
        <v>1.0</v>
      </c>
      <c r="E268" s="77">
        <v>3.71</v>
      </c>
      <c r="F268" s="77" t="s">
        <v>70</v>
      </c>
      <c r="G268" s="78" t="s">
        <v>888</v>
      </c>
      <c r="H268" s="79" t="s">
        <v>889</v>
      </c>
      <c r="I268" s="79" t="s">
        <v>890</v>
      </c>
      <c r="J268" s="79" t="s">
        <v>891</v>
      </c>
    </row>
    <row r="269">
      <c r="A269" s="77" t="s">
        <v>48</v>
      </c>
      <c r="B269" s="77" t="s">
        <v>849</v>
      </c>
      <c r="C269" s="77">
        <v>3.14</v>
      </c>
      <c r="D269" s="77"/>
      <c r="E269" s="77"/>
      <c r="F269" s="77" t="s">
        <v>247</v>
      </c>
      <c r="G269" s="78" t="s">
        <v>892</v>
      </c>
      <c r="H269" s="79" t="s">
        <v>889</v>
      </c>
      <c r="I269" s="79" t="s">
        <v>890</v>
      </c>
      <c r="J269" s="79" t="s">
        <v>891</v>
      </c>
    </row>
    <row r="270">
      <c r="A270" s="77" t="s">
        <v>48</v>
      </c>
      <c r="B270" s="77" t="s">
        <v>849</v>
      </c>
      <c r="C270" s="77">
        <v>1.02</v>
      </c>
      <c r="D270" s="77"/>
      <c r="E270" s="77"/>
      <c r="F270" s="77" t="s">
        <v>235</v>
      </c>
      <c r="G270" s="78" t="s">
        <v>893</v>
      </c>
      <c r="H270" s="79" t="s">
        <v>889</v>
      </c>
      <c r="I270" s="79" t="s">
        <v>890</v>
      </c>
      <c r="J270" s="79" t="s">
        <v>891</v>
      </c>
    </row>
    <row r="271">
      <c r="A271" s="77" t="s">
        <v>48</v>
      </c>
      <c r="B271" s="77" t="s">
        <v>849</v>
      </c>
      <c r="C271" s="77">
        <v>8.16</v>
      </c>
      <c r="D271" s="77">
        <v>3.0</v>
      </c>
      <c r="E271" s="77">
        <v>2.72</v>
      </c>
      <c r="F271" s="77" t="s">
        <v>201</v>
      </c>
      <c r="G271" s="78" t="s">
        <v>894</v>
      </c>
      <c r="H271" s="79" t="s">
        <v>889</v>
      </c>
      <c r="I271" s="79" t="s">
        <v>890</v>
      </c>
      <c r="J271" s="79" t="s">
        <v>891</v>
      </c>
    </row>
    <row r="272">
      <c r="A272" s="77" t="s">
        <v>48</v>
      </c>
      <c r="B272" s="77" t="s">
        <v>849</v>
      </c>
      <c r="C272" s="77">
        <v>6.2</v>
      </c>
      <c r="D272" s="77">
        <v>1.0</v>
      </c>
      <c r="E272" s="77">
        <v>6.2</v>
      </c>
      <c r="F272" s="77" t="s">
        <v>218</v>
      </c>
      <c r="G272" s="78" t="s">
        <v>895</v>
      </c>
      <c r="H272" s="79" t="s">
        <v>889</v>
      </c>
      <c r="I272" s="79" t="s">
        <v>890</v>
      </c>
      <c r="J272" s="79" t="s">
        <v>891</v>
      </c>
    </row>
    <row r="273">
      <c r="A273" s="77" t="s">
        <v>48</v>
      </c>
      <c r="B273" s="77" t="s">
        <v>849</v>
      </c>
      <c r="C273" s="77">
        <v>1.31</v>
      </c>
      <c r="D273" s="77">
        <v>2.0</v>
      </c>
      <c r="E273" s="77">
        <v>0.66</v>
      </c>
      <c r="F273" s="77" t="s">
        <v>154</v>
      </c>
      <c r="G273" s="78" t="s">
        <v>896</v>
      </c>
      <c r="H273" s="79" t="s">
        <v>889</v>
      </c>
      <c r="I273" s="79" t="s">
        <v>890</v>
      </c>
      <c r="J273" s="79" t="s">
        <v>891</v>
      </c>
    </row>
    <row r="274">
      <c r="A274" s="77" t="s">
        <v>48</v>
      </c>
      <c r="B274" s="77" t="s">
        <v>849</v>
      </c>
      <c r="C274" s="77">
        <v>3.78</v>
      </c>
      <c r="D274" s="77">
        <v>4.0</v>
      </c>
      <c r="E274" s="77">
        <v>0.95</v>
      </c>
      <c r="F274" s="77" t="s">
        <v>178</v>
      </c>
      <c r="G274" s="78" t="s">
        <v>897</v>
      </c>
      <c r="H274" s="79" t="s">
        <v>889</v>
      </c>
      <c r="I274" s="79" t="s">
        <v>890</v>
      </c>
      <c r="J274" s="79" t="s">
        <v>891</v>
      </c>
    </row>
    <row r="275">
      <c r="A275" s="77" t="s">
        <v>44</v>
      </c>
      <c r="B275" s="77" t="s">
        <v>141</v>
      </c>
      <c r="C275" s="77">
        <v>111.27</v>
      </c>
      <c r="D275" s="77">
        <v>45.0</v>
      </c>
      <c r="E275" s="77">
        <v>2.47</v>
      </c>
      <c r="F275" s="77" t="s">
        <v>70</v>
      </c>
      <c r="G275" s="78" t="s">
        <v>898</v>
      </c>
      <c r="H275" s="79" t="s">
        <v>899</v>
      </c>
      <c r="I275" s="79" t="s">
        <v>900</v>
      </c>
      <c r="J275" s="79" t="s">
        <v>901</v>
      </c>
    </row>
    <row r="276">
      <c r="A276" s="77" t="s">
        <v>56</v>
      </c>
      <c r="B276" s="77" t="s">
        <v>141</v>
      </c>
      <c r="C276" s="77">
        <v>8.3</v>
      </c>
      <c r="D276" s="77">
        <v>1.0</v>
      </c>
      <c r="E276" s="77">
        <v>8.3</v>
      </c>
      <c r="F276" s="77" t="s">
        <v>70</v>
      </c>
      <c r="G276" s="78" t="s">
        <v>902</v>
      </c>
      <c r="H276" s="79" t="s">
        <v>903</v>
      </c>
      <c r="I276" s="79" t="s">
        <v>904</v>
      </c>
      <c r="J276" s="79" t="s">
        <v>905</v>
      </c>
    </row>
    <row r="277">
      <c r="A277" s="77" t="s">
        <v>56</v>
      </c>
      <c r="B277" s="77" t="s">
        <v>141</v>
      </c>
      <c r="C277" s="77">
        <v>11.86</v>
      </c>
      <c r="D277" s="77">
        <v>4.0</v>
      </c>
      <c r="E277" s="77">
        <v>2.97</v>
      </c>
      <c r="F277" s="77" t="s">
        <v>284</v>
      </c>
      <c r="G277" s="78" t="s">
        <v>906</v>
      </c>
      <c r="H277" s="79" t="s">
        <v>903</v>
      </c>
      <c r="I277" s="79" t="s">
        <v>904</v>
      </c>
      <c r="J277" s="79" t="s">
        <v>905</v>
      </c>
    </row>
    <row r="278">
      <c r="A278" s="77" t="s">
        <v>44</v>
      </c>
      <c r="B278" s="77" t="s">
        <v>141</v>
      </c>
      <c r="C278" s="77">
        <v>85.94</v>
      </c>
      <c r="D278" s="77">
        <v>34.0</v>
      </c>
      <c r="E278" s="77">
        <v>2.53</v>
      </c>
      <c r="F278" s="77" t="s">
        <v>284</v>
      </c>
      <c r="G278" s="78" t="s">
        <v>907</v>
      </c>
      <c r="H278" s="79" t="s">
        <v>899</v>
      </c>
      <c r="I278" s="79" t="s">
        <v>900</v>
      </c>
      <c r="J278" s="79" t="s">
        <v>901</v>
      </c>
    </row>
    <row r="279">
      <c r="A279" s="77" t="s">
        <v>44</v>
      </c>
      <c r="B279" s="77" t="s">
        <v>141</v>
      </c>
      <c r="C279" s="77">
        <v>104.04</v>
      </c>
      <c r="D279" s="77">
        <v>24.0</v>
      </c>
      <c r="E279" s="77">
        <v>4.34</v>
      </c>
      <c r="F279" s="77" t="s">
        <v>392</v>
      </c>
      <c r="G279" s="78" t="s">
        <v>908</v>
      </c>
      <c r="H279" s="79" t="s">
        <v>899</v>
      </c>
      <c r="I279" s="79" t="s">
        <v>900</v>
      </c>
      <c r="J279" s="79" t="s">
        <v>901</v>
      </c>
    </row>
    <row r="280">
      <c r="A280" s="77" t="s">
        <v>44</v>
      </c>
      <c r="B280" s="77" t="s">
        <v>141</v>
      </c>
      <c r="C280" s="77">
        <v>71.78</v>
      </c>
      <c r="D280" s="77">
        <v>26.0</v>
      </c>
      <c r="E280" s="77">
        <v>2.76</v>
      </c>
      <c r="F280" s="77" t="s">
        <v>247</v>
      </c>
      <c r="G280" s="78" t="s">
        <v>909</v>
      </c>
      <c r="H280" s="79" t="s">
        <v>899</v>
      </c>
      <c r="I280" s="79" t="s">
        <v>900</v>
      </c>
      <c r="J280" s="79" t="s">
        <v>901</v>
      </c>
    </row>
    <row r="281">
      <c r="A281" s="77" t="s">
        <v>56</v>
      </c>
      <c r="B281" s="77" t="s">
        <v>141</v>
      </c>
      <c r="C281" s="77">
        <v>3.72</v>
      </c>
      <c r="D281" s="77">
        <v>2.0</v>
      </c>
      <c r="E281" s="77">
        <v>1.86</v>
      </c>
      <c r="F281" s="77" t="s">
        <v>392</v>
      </c>
      <c r="G281" s="78" t="s">
        <v>910</v>
      </c>
      <c r="H281" s="79" t="s">
        <v>903</v>
      </c>
      <c r="I281" s="79" t="s">
        <v>904</v>
      </c>
      <c r="J281" s="79" t="s">
        <v>905</v>
      </c>
    </row>
    <row r="282">
      <c r="A282" s="77" t="s">
        <v>56</v>
      </c>
      <c r="B282" s="77" t="s">
        <v>141</v>
      </c>
      <c r="C282" s="77">
        <v>1.34</v>
      </c>
      <c r="D282" s="77"/>
      <c r="E282" s="77"/>
      <c r="F282" s="77" t="s">
        <v>247</v>
      </c>
      <c r="G282" s="78" t="s">
        <v>911</v>
      </c>
      <c r="H282" s="79" t="s">
        <v>903</v>
      </c>
      <c r="I282" s="79" t="s">
        <v>904</v>
      </c>
      <c r="J282" s="79" t="s">
        <v>905</v>
      </c>
    </row>
    <row r="283">
      <c r="A283" s="77" t="s">
        <v>44</v>
      </c>
      <c r="B283" s="77" t="s">
        <v>141</v>
      </c>
      <c r="C283" s="77">
        <v>22.55</v>
      </c>
      <c r="D283" s="77">
        <v>6.0</v>
      </c>
      <c r="E283" s="77">
        <v>3.76</v>
      </c>
      <c r="F283" s="77" t="s">
        <v>201</v>
      </c>
      <c r="G283" s="78" t="s">
        <v>912</v>
      </c>
      <c r="H283" s="79" t="s">
        <v>899</v>
      </c>
      <c r="I283" s="79" t="s">
        <v>900</v>
      </c>
      <c r="J283" s="79" t="s">
        <v>901</v>
      </c>
    </row>
    <row r="284">
      <c r="A284" s="77" t="s">
        <v>56</v>
      </c>
      <c r="B284" s="77" t="s">
        <v>141</v>
      </c>
      <c r="C284" s="77">
        <v>3.02</v>
      </c>
      <c r="D284" s="77"/>
      <c r="E284" s="77"/>
      <c r="F284" s="77" t="s">
        <v>201</v>
      </c>
      <c r="G284" s="78" t="s">
        <v>913</v>
      </c>
      <c r="H284" s="79" t="s">
        <v>903</v>
      </c>
      <c r="I284" s="79" t="s">
        <v>904</v>
      </c>
      <c r="J284" s="79" t="s">
        <v>905</v>
      </c>
    </row>
    <row r="285">
      <c r="A285" s="77" t="s">
        <v>56</v>
      </c>
      <c r="B285" s="77" t="s">
        <v>141</v>
      </c>
      <c r="C285" s="77">
        <v>3.65</v>
      </c>
      <c r="D285" s="77">
        <v>3.0</v>
      </c>
      <c r="E285" s="77">
        <v>1.22</v>
      </c>
      <c r="F285" s="77" t="s">
        <v>235</v>
      </c>
      <c r="G285" s="78" t="s">
        <v>914</v>
      </c>
      <c r="H285" s="79" t="s">
        <v>903</v>
      </c>
      <c r="I285" s="79" t="s">
        <v>904</v>
      </c>
      <c r="J285" s="79" t="s">
        <v>905</v>
      </c>
    </row>
    <row r="286">
      <c r="A286" s="77" t="s">
        <v>44</v>
      </c>
      <c r="B286" s="77" t="s">
        <v>141</v>
      </c>
      <c r="C286" s="77">
        <v>250.31</v>
      </c>
      <c r="D286" s="77">
        <v>66.0</v>
      </c>
      <c r="E286" s="77">
        <v>3.79</v>
      </c>
      <c r="F286" s="77" t="s">
        <v>235</v>
      </c>
      <c r="G286" s="78" t="s">
        <v>915</v>
      </c>
      <c r="H286" s="79" t="s">
        <v>899</v>
      </c>
      <c r="I286" s="79" t="s">
        <v>900</v>
      </c>
      <c r="J286" s="79" t="s">
        <v>901</v>
      </c>
    </row>
    <row r="287">
      <c r="A287" s="77" t="s">
        <v>56</v>
      </c>
      <c r="B287" s="77" t="s">
        <v>141</v>
      </c>
      <c r="C287" s="77">
        <v>2.05</v>
      </c>
      <c r="D287" s="77">
        <v>1.0</v>
      </c>
      <c r="E287" s="77">
        <v>2.05</v>
      </c>
      <c r="F287" s="77" t="s">
        <v>178</v>
      </c>
      <c r="G287" s="78" t="s">
        <v>916</v>
      </c>
      <c r="H287" s="79" t="s">
        <v>903</v>
      </c>
      <c r="I287" s="79" t="s">
        <v>904</v>
      </c>
      <c r="J287" s="79" t="s">
        <v>905</v>
      </c>
    </row>
    <row r="288">
      <c r="A288" s="77" t="s">
        <v>44</v>
      </c>
      <c r="B288" s="77" t="s">
        <v>141</v>
      </c>
      <c r="C288" s="77">
        <v>325.47</v>
      </c>
      <c r="D288" s="77">
        <v>108.0</v>
      </c>
      <c r="E288" s="77">
        <v>3.01</v>
      </c>
      <c r="F288" s="77" t="s">
        <v>178</v>
      </c>
      <c r="G288" s="78" t="s">
        <v>917</v>
      </c>
      <c r="H288" s="79" t="s">
        <v>899</v>
      </c>
      <c r="I288" s="79" t="s">
        <v>900</v>
      </c>
      <c r="J288" s="79" t="s">
        <v>901</v>
      </c>
    </row>
    <row r="289">
      <c r="A289" s="77"/>
      <c r="B289" s="77"/>
      <c r="C289" s="77"/>
      <c r="D289" s="77"/>
      <c r="E289" s="77"/>
      <c r="F289" s="77"/>
      <c r="G289" s="80"/>
    </row>
    <row r="290">
      <c r="A290" s="77"/>
      <c r="B290" s="77"/>
      <c r="C290" s="77"/>
      <c r="D290" s="77"/>
      <c r="E290" s="77"/>
      <c r="F290" s="77"/>
      <c r="G290" s="80"/>
    </row>
    <row r="291">
      <c r="A291" s="77"/>
      <c r="B291" s="77"/>
      <c r="C291" s="77"/>
      <c r="D291" s="77"/>
      <c r="E291" s="77"/>
      <c r="F291" s="77"/>
      <c r="G291" s="80"/>
    </row>
    <row r="292">
      <c r="A292" s="77"/>
      <c r="B292" s="77"/>
      <c r="C292" s="77"/>
      <c r="D292" s="77"/>
      <c r="E292" s="77"/>
      <c r="F292" s="77"/>
      <c r="G292" s="80"/>
    </row>
    <row r="293">
      <c r="A293" s="77"/>
      <c r="B293" s="77"/>
      <c r="C293" s="77"/>
      <c r="D293" s="77"/>
      <c r="E293" s="77"/>
      <c r="F293" s="77"/>
      <c r="G293" s="80"/>
    </row>
    <row r="294">
      <c r="A294" s="77"/>
      <c r="B294" s="77"/>
      <c r="C294" s="77"/>
      <c r="D294" s="77"/>
      <c r="E294" s="77"/>
      <c r="F294" s="77"/>
      <c r="G294" s="80"/>
    </row>
    <row r="295">
      <c r="A295" s="77"/>
      <c r="B295" s="77"/>
      <c r="C295" s="77"/>
      <c r="D295" s="77"/>
      <c r="E295" s="77"/>
      <c r="F295" s="77"/>
      <c r="G295" s="80"/>
    </row>
    <row r="296">
      <c r="A296" s="77"/>
      <c r="B296" s="77"/>
      <c r="C296" s="77"/>
      <c r="D296" s="77"/>
      <c r="E296" s="77"/>
      <c r="F296" s="77"/>
      <c r="G296" s="80"/>
    </row>
    <row r="297">
      <c r="A297" s="77"/>
      <c r="B297" s="77"/>
      <c r="C297" s="77"/>
      <c r="D297" s="77"/>
      <c r="E297" s="77"/>
      <c r="F297" s="77"/>
      <c r="G297" s="80"/>
    </row>
    <row r="298">
      <c r="A298" s="77"/>
      <c r="B298" s="77"/>
      <c r="C298" s="77"/>
      <c r="D298" s="77"/>
      <c r="E298" s="77"/>
      <c r="F298" s="77"/>
      <c r="G298" s="80"/>
    </row>
    <row r="299">
      <c r="A299" s="77"/>
      <c r="B299" s="77"/>
      <c r="C299" s="77"/>
      <c r="D299" s="77"/>
      <c r="E299" s="77"/>
      <c r="F299" s="77"/>
      <c r="G299" s="80"/>
    </row>
    <row r="300">
      <c r="A300" s="77"/>
      <c r="B300" s="77"/>
      <c r="C300" s="77"/>
      <c r="D300" s="77"/>
      <c r="E300" s="77"/>
      <c r="F300" s="77"/>
      <c r="G300" s="80"/>
    </row>
    <row r="301">
      <c r="A301" s="77"/>
      <c r="B301" s="77"/>
      <c r="C301" s="77"/>
      <c r="D301" s="77"/>
      <c r="E301" s="77"/>
      <c r="F301" s="77"/>
      <c r="G301" s="80"/>
    </row>
    <row r="302">
      <c r="A302" s="77"/>
      <c r="B302" s="77"/>
      <c r="C302" s="77"/>
      <c r="D302" s="77"/>
      <c r="E302" s="77"/>
      <c r="F302" s="77"/>
      <c r="G302" s="80"/>
    </row>
    <row r="303">
      <c r="A303" s="77"/>
      <c r="B303" s="77"/>
      <c r="C303" s="77"/>
      <c r="D303" s="77"/>
      <c r="E303" s="77"/>
      <c r="F303" s="77"/>
      <c r="G303" s="80"/>
    </row>
    <row r="304">
      <c r="A304" s="77"/>
      <c r="B304" s="77"/>
      <c r="C304" s="77"/>
      <c r="D304" s="77"/>
      <c r="E304" s="77"/>
      <c r="F304" s="77"/>
      <c r="G304" s="80"/>
    </row>
    <row r="305">
      <c r="A305" s="77"/>
      <c r="B305" s="77"/>
      <c r="C305" s="77"/>
      <c r="D305" s="77"/>
      <c r="E305" s="77"/>
      <c r="F305" s="77"/>
      <c r="G305" s="80"/>
    </row>
    <row r="306">
      <c r="A306" s="77"/>
      <c r="B306" s="77"/>
      <c r="C306" s="77"/>
      <c r="D306" s="77"/>
      <c r="E306" s="77"/>
      <c r="F306" s="77"/>
      <c r="G306" s="80"/>
    </row>
    <row r="307">
      <c r="A307" s="77"/>
      <c r="B307" s="77"/>
      <c r="C307" s="77"/>
      <c r="D307" s="77"/>
      <c r="E307" s="77"/>
      <c r="F307" s="77"/>
      <c r="G307" s="80"/>
    </row>
    <row r="308">
      <c r="A308" s="77"/>
      <c r="B308" s="77"/>
      <c r="C308" s="77"/>
      <c r="D308" s="77"/>
      <c r="E308" s="77"/>
      <c r="F308" s="77"/>
      <c r="G308" s="80"/>
    </row>
    <row r="309">
      <c r="A309" s="77"/>
      <c r="B309" s="77"/>
      <c r="C309" s="77"/>
      <c r="D309" s="77"/>
      <c r="E309" s="77"/>
      <c r="F309" s="77"/>
      <c r="G309" s="80"/>
    </row>
    <row r="310">
      <c r="A310" s="77"/>
      <c r="B310" s="77"/>
      <c r="C310" s="77"/>
      <c r="D310" s="77"/>
      <c r="E310" s="77"/>
      <c r="F310" s="77"/>
      <c r="G310" s="80"/>
    </row>
    <row r="311">
      <c r="A311" s="77"/>
      <c r="B311" s="77"/>
      <c r="C311" s="77"/>
      <c r="D311" s="77"/>
      <c r="E311" s="77"/>
      <c r="F311" s="77"/>
      <c r="G311" s="80"/>
    </row>
    <row r="312">
      <c r="A312" s="77"/>
      <c r="B312" s="77"/>
      <c r="C312" s="77"/>
      <c r="D312" s="77"/>
      <c r="E312" s="77"/>
      <c r="F312" s="77"/>
      <c r="G312" s="80"/>
    </row>
    <row r="313">
      <c r="A313" s="77"/>
      <c r="B313" s="77"/>
      <c r="C313" s="77"/>
      <c r="D313" s="77"/>
      <c r="E313" s="77"/>
      <c r="F313" s="77"/>
      <c r="G313" s="80"/>
    </row>
    <row r="314">
      <c r="A314" s="77"/>
      <c r="B314" s="77"/>
      <c r="C314" s="77"/>
      <c r="D314" s="77"/>
      <c r="E314" s="77"/>
      <c r="F314" s="77"/>
      <c r="G314" s="80"/>
    </row>
    <row r="315">
      <c r="A315" s="77"/>
      <c r="B315" s="77"/>
      <c r="C315" s="77"/>
      <c r="D315" s="77"/>
      <c r="E315" s="77"/>
      <c r="F315" s="77"/>
      <c r="G315" s="80"/>
    </row>
    <row r="316">
      <c r="A316" s="77"/>
      <c r="B316" s="77"/>
      <c r="C316" s="77"/>
      <c r="D316" s="77"/>
      <c r="E316" s="77"/>
      <c r="F316" s="77"/>
      <c r="G316" s="80"/>
    </row>
    <row r="317">
      <c r="A317" s="77"/>
      <c r="B317" s="77"/>
      <c r="C317" s="77"/>
      <c r="D317" s="77"/>
      <c r="E317" s="77"/>
      <c r="F317" s="77"/>
      <c r="G317" s="80"/>
    </row>
    <row r="318">
      <c r="A318" s="77"/>
      <c r="B318" s="77"/>
      <c r="C318" s="77"/>
      <c r="D318" s="77"/>
      <c r="E318" s="77"/>
      <c r="F318" s="77"/>
      <c r="G318" s="80"/>
    </row>
    <row r="319">
      <c r="A319" s="77"/>
      <c r="B319" s="77"/>
      <c r="C319" s="77"/>
      <c r="D319" s="77"/>
      <c r="E319" s="77"/>
      <c r="F319" s="77"/>
      <c r="G319" s="80"/>
    </row>
    <row r="320">
      <c r="A320" s="77"/>
      <c r="B320" s="77"/>
      <c r="C320" s="77"/>
      <c r="D320" s="77"/>
      <c r="E320" s="77"/>
      <c r="F320" s="77"/>
      <c r="G320" s="80"/>
    </row>
    <row r="321">
      <c r="A321" s="77"/>
      <c r="B321" s="77"/>
      <c r="C321" s="77"/>
      <c r="D321" s="77"/>
      <c r="E321" s="77"/>
      <c r="F321" s="77"/>
      <c r="G321" s="80"/>
    </row>
    <row r="322">
      <c r="A322" s="77"/>
      <c r="B322" s="77"/>
      <c r="C322" s="77"/>
      <c r="D322" s="77"/>
      <c r="E322" s="77"/>
      <c r="F322" s="77"/>
      <c r="G322" s="80"/>
    </row>
    <row r="323">
      <c r="A323" s="77"/>
      <c r="B323" s="77"/>
      <c r="C323" s="77"/>
      <c r="D323" s="77"/>
      <c r="E323" s="77"/>
      <c r="F323" s="77"/>
      <c r="G323" s="80"/>
    </row>
    <row r="324">
      <c r="A324" s="77"/>
      <c r="B324" s="77"/>
      <c r="C324" s="77"/>
      <c r="D324" s="77"/>
      <c r="E324" s="77"/>
      <c r="F324" s="77"/>
      <c r="G324" s="80"/>
    </row>
    <row r="325">
      <c r="A325" s="77"/>
      <c r="B325" s="77"/>
      <c r="C325" s="77"/>
      <c r="D325" s="77"/>
      <c r="E325" s="77"/>
      <c r="F325" s="77"/>
      <c r="G325" s="80"/>
    </row>
    <row r="326">
      <c r="A326" s="77"/>
      <c r="B326" s="77"/>
      <c r="C326" s="77"/>
      <c r="D326" s="77"/>
      <c r="E326" s="77"/>
      <c r="F326" s="77"/>
      <c r="G326" s="80"/>
    </row>
    <row r="327">
      <c r="A327" s="77"/>
      <c r="B327" s="77"/>
      <c r="C327" s="77"/>
      <c r="D327" s="77"/>
      <c r="E327" s="77"/>
      <c r="F327" s="77"/>
      <c r="G327" s="80"/>
    </row>
    <row r="328">
      <c r="A328" s="77"/>
      <c r="B328" s="77"/>
      <c r="C328" s="77"/>
      <c r="D328" s="77"/>
      <c r="E328" s="77"/>
      <c r="F328" s="77"/>
      <c r="G328" s="80"/>
    </row>
    <row r="329">
      <c r="A329" s="77"/>
      <c r="B329" s="77"/>
      <c r="C329" s="77"/>
      <c r="D329" s="77"/>
      <c r="E329" s="77"/>
      <c r="F329" s="77"/>
      <c r="G329" s="80"/>
    </row>
    <row r="330">
      <c r="A330" s="77"/>
      <c r="B330" s="77"/>
      <c r="C330" s="77"/>
      <c r="D330" s="77"/>
      <c r="E330" s="77"/>
      <c r="F330" s="77"/>
      <c r="G330" s="80"/>
    </row>
    <row r="331">
      <c r="A331" s="77"/>
      <c r="B331" s="77"/>
      <c r="C331" s="77"/>
      <c r="D331" s="77"/>
      <c r="E331" s="77"/>
      <c r="F331" s="77"/>
      <c r="G331" s="80"/>
    </row>
    <row r="332">
      <c r="A332" s="77"/>
      <c r="B332" s="77"/>
      <c r="C332" s="77"/>
      <c r="D332" s="77"/>
      <c r="E332" s="77"/>
      <c r="F332" s="77"/>
      <c r="G332" s="80"/>
    </row>
    <row r="333">
      <c r="A333" s="77"/>
      <c r="B333" s="77"/>
      <c r="C333" s="77"/>
      <c r="D333" s="77"/>
      <c r="E333" s="77"/>
      <c r="F333" s="77"/>
      <c r="G333" s="80"/>
    </row>
    <row r="334">
      <c r="A334" s="77"/>
      <c r="B334" s="77"/>
      <c r="C334" s="77"/>
      <c r="D334" s="77"/>
      <c r="E334" s="77"/>
      <c r="F334" s="77"/>
      <c r="G334" s="80"/>
    </row>
    <row r="335">
      <c r="A335" s="77"/>
      <c r="B335" s="77"/>
      <c r="C335" s="77"/>
      <c r="D335" s="77"/>
      <c r="E335" s="77"/>
      <c r="F335" s="77"/>
      <c r="G335" s="80"/>
    </row>
    <row r="336">
      <c r="A336" s="77"/>
      <c r="B336" s="77"/>
      <c r="C336" s="77"/>
      <c r="D336" s="77"/>
      <c r="E336" s="77"/>
      <c r="F336" s="77"/>
      <c r="G336" s="80"/>
    </row>
    <row r="337">
      <c r="A337" s="77"/>
      <c r="B337" s="77"/>
      <c r="C337" s="77"/>
      <c r="D337" s="77"/>
      <c r="E337" s="77"/>
      <c r="F337" s="77"/>
      <c r="G337" s="80"/>
    </row>
    <row r="338">
      <c r="A338" s="77"/>
      <c r="B338" s="77"/>
      <c r="C338" s="77"/>
      <c r="D338" s="77"/>
      <c r="E338" s="77"/>
      <c r="F338" s="77"/>
      <c r="G338" s="80"/>
    </row>
    <row r="339">
      <c r="A339" s="77"/>
      <c r="B339" s="77"/>
      <c r="C339" s="77"/>
      <c r="D339" s="77"/>
      <c r="E339" s="77"/>
      <c r="F339" s="77"/>
      <c r="G339" s="80"/>
    </row>
    <row r="340">
      <c r="A340" s="77"/>
      <c r="B340" s="77"/>
      <c r="C340" s="77"/>
      <c r="D340" s="77"/>
      <c r="E340" s="77"/>
      <c r="F340" s="77"/>
      <c r="G340" s="80"/>
    </row>
    <row r="341">
      <c r="A341" s="77"/>
      <c r="B341" s="77"/>
      <c r="C341" s="77"/>
      <c r="D341" s="77"/>
      <c r="E341" s="77"/>
      <c r="F341" s="77"/>
      <c r="G341" s="80"/>
    </row>
    <row r="342">
      <c r="A342" s="77"/>
      <c r="B342" s="77"/>
      <c r="C342" s="77"/>
      <c r="D342" s="77"/>
      <c r="E342" s="77"/>
      <c r="F342" s="77"/>
      <c r="G342" s="80"/>
    </row>
    <row r="343">
      <c r="A343" s="77"/>
      <c r="B343" s="77"/>
      <c r="C343" s="77"/>
      <c r="D343" s="77"/>
      <c r="E343" s="77"/>
      <c r="F343" s="77"/>
      <c r="G343" s="80"/>
    </row>
    <row r="344">
      <c r="A344" s="77"/>
      <c r="B344" s="77"/>
      <c r="C344" s="77"/>
      <c r="D344" s="77"/>
      <c r="E344" s="77"/>
      <c r="F344" s="77"/>
      <c r="G344" s="80"/>
    </row>
    <row r="345">
      <c r="A345" s="77"/>
      <c r="B345" s="77"/>
      <c r="C345" s="77"/>
      <c r="D345" s="77"/>
      <c r="E345" s="77"/>
      <c r="F345" s="77"/>
      <c r="G345" s="80"/>
    </row>
    <row r="346">
      <c r="A346" s="77"/>
      <c r="B346" s="77"/>
      <c r="C346" s="77"/>
      <c r="D346" s="77"/>
      <c r="E346" s="77"/>
      <c r="F346" s="77"/>
      <c r="G346" s="80"/>
    </row>
    <row r="347">
      <c r="A347" s="77"/>
      <c r="B347" s="77"/>
      <c r="C347" s="77"/>
      <c r="D347" s="77"/>
      <c r="E347" s="77"/>
      <c r="F347" s="77"/>
      <c r="G347" s="80"/>
    </row>
    <row r="348">
      <c r="A348" s="77"/>
      <c r="B348" s="77"/>
      <c r="C348" s="77"/>
      <c r="D348" s="77"/>
      <c r="E348" s="77"/>
      <c r="F348" s="77"/>
      <c r="G348" s="80"/>
    </row>
    <row r="349">
      <c r="A349" s="77"/>
      <c r="B349" s="77"/>
      <c r="C349" s="77"/>
      <c r="D349" s="77"/>
      <c r="E349" s="77"/>
      <c r="F349" s="77"/>
      <c r="G349" s="80"/>
    </row>
    <row r="350">
      <c r="A350" s="77"/>
      <c r="B350" s="77"/>
      <c r="C350" s="77"/>
      <c r="D350" s="77"/>
      <c r="E350" s="77"/>
      <c r="F350" s="77"/>
      <c r="G350" s="80"/>
    </row>
    <row r="351">
      <c r="A351" s="77"/>
      <c r="B351" s="77"/>
      <c r="C351" s="77"/>
      <c r="D351" s="77"/>
      <c r="E351" s="77"/>
      <c r="F351" s="77"/>
      <c r="G351" s="80"/>
    </row>
    <row r="352">
      <c r="A352" s="77"/>
      <c r="B352" s="77"/>
      <c r="C352" s="77"/>
      <c r="D352" s="77"/>
      <c r="E352" s="77"/>
      <c r="F352" s="77"/>
      <c r="G352" s="80"/>
    </row>
    <row r="353">
      <c r="A353" s="77"/>
      <c r="B353" s="77"/>
      <c r="C353" s="77"/>
      <c r="D353" s="77"/>
      <c r="E353" s="77"/>
      <c r="F353" s="77"/>
      <c r="G353" s="80"/>
    </row>
    <row r="354">
      <c r="A354" s="77"/>
      <c r="B354" s="77"/>
      <c r="C354" s="77"/>
      <c r="D354" s="77"/>
      <c r="E354" s="77"/>
      <c r="F354" s="77"/>
      <c r="G354" s="80"/>
    </row>
    <row r="355">
      <c r="A355" s="77"/>
      <c r="B355" s="77"/>
      <c r="C355" s="77"/>
      <c r="D355" s="77"/>
      <c r="E355" s="77"/>
      <c r="F355" s="77"/>
      <c r="G355" s="80"/>
    </row>
    <row r="356">
      <c r="A356" s="77"/>
      <c r="B356" s="77"/>
      <c r="C356" s="77"/>
      <c r="D356" s="77"/>
      <c r="E356" s="77"/>
      <c r="F356" s="77"/>
      <c r="G356" s="80"/>
    </row>
    <row r="357">
      <c r="A357" s="77"/>
      <c r="B357" s="77"/>
      <c r="C357" s="77"/>
      <c r="D357" s="77"/>
      <c r="E357" s="77"/>
      <c r="F357" s="77"/>
      <c r="G357" s="80"/>
    </row>
    <row r="358">
      <c r="A358" s="77"/>
      <c r="B358" s="77"/>
      <c r="C358" s="77"/>
      <c r="D358" s="77"/>
      <c r="E358" s="77"/>
      <c r="F358" s="77"/>
      <c r="G358" s="80"/>
    </row>
    <row r="359">
      <c r="A359" s="77"/>
      <c r="B359" s="77"/>
      <c r="C359" s="77"/>
      <c r="D359" s="77"/>
      <c r="E359" s="77"/>
      <c r="F359" s="77"/>
      <c r="G359" s="80"/>
    </row>
    <row r="360">
      <c r="A360" s="77"/>
      <c r="B360" s="77"/>
      <c r="C360" s="77"/>
      <c r="D360" s="77"/>
      <c r="E360" s="77"/>
      <c r="F360" s="77"/>
      <c r="G360" s="80"/>
    </row>
    <row r="361">
      <c r="A361" s="77"/>
      <c r="B361" s="77"/>
      <c r="C361" s="77"/>
      <c r="D361" s="77"/>
      <c r="E361" s="77"/>
      <c r="F361" s="77"/>
      <c r="G361" s="80"/>
    </row>
    <row r="362">
      <c r="A362" s="77"/>
      <c r="B362" s="77"/>
      <c r="C362" s="77"/>
      <c r="D362" s="77"/>
      <c r="E362" s="77"/>
      <c r="F362" s="77"/>
      <c r="G362" s="80"/>
    </row>
    <row r="363">
      <c r="A363" s="77"/>
      <c r="B363" s="77"/>
      <c r="C363" s="77"/>
      <c r="D363" s="77"/>
      <c r="E363" s="77"/>
      <c r="F363" s="77"/>
      <c r="G363" s="80"/>
    </row>
    <row r="364">
      <c r="A364" s="77"/>
      <c r="B364" s="77"/>
      <c r="C364" s="77"/>
      <c r="D364" s="77"/>
      <c r="E364" s="77"/>
      <c r="F364" s="77"/>
      <c r="G364" s="80"/>
    </row>
    <row r="365">
      <c r="A365" s="77"/>
      <c r="B365" s="77"/>
      <c r="C365" s="77"/>
      <c r="D365" s="77"/>
      <c r="E365" s="77"/>
      <c r="F365" s="77"/>
      <c r="G365" s="80"/>
    </row>
    <row r="366">
      <c r="A366" s="77"/>
      <c r="B366" s="77"/>
      <c r="C366" s="77"/>
      <c r="D366" s="77"/>
      <c r="E366" s="77"/>
      <c r="F366" s="77"/>
      <c r="G366" s="80"/>
    </row>
    <row r="367">
      <c r="A367" s="77"/>
      <c r="B367" s="77"/>
      <c r="C367" s="77"/>
      <c r="D367" s="77"/>
      <c r="E367" s="77"/>
      <c r="F367" s="77"/>
      <c r="G367" s="80"/>
    </row>
    <row r="368">
      <c r="A368" s="77"/>
      <c r="B368" s="77"/>
      <c r="C368" s="77"/>
      <c r="D368" s="77"/>
      <c r="E368" s="77"/>
      <c r="F368" s="77"/>
      <c r="G368" s="80"/>
    </row>
    <row r="369">
      <c r="A369" s="77"/>
      <c r="B369" s="77"/>
      <c r="C369" s="77"/>
      <c r="D369" s="77"/>
      <c r="E369" s="77"/>
      <c r="F369" s="77"/>
      <c r="G369" s="80"/>
    </row>
    <row r="370">
      <c r="A370" s="77"/>
      <c r="B370" s="77"/>
      <c r="C370" s="77"/>
      <c r="D370" s="77"/>
      <c r="E370" s="77"/>
      <c r="F370" s="77"/>
      <c r="G370" s="80"/>
    </row>
    <row r="371">
      <c r="A371" s="77"/>
      <c r="B371" s="77"/>
      <c r="C371" s="77"/>
      <c r="D371" s="77"/>
      <c r="E371" s="77"/>
      <c r="F371" s="77"/>
      <c r="G371" s="80"/>
    </row>
    <row r="372">
      <c r="A372" s="77"/>
      <c r="B372" s="77"/>
      <c r="C372" s="77"/>
      <c r="D372" s="77"/>
      <c r="E372" s="77"/>
      <c r="F372" s="77"/>
      <c r="G372" s="80"/>
    </row>
    <row r="373">
      <c r="A373" s="77"/>
      <c r="B373" s="77"/>
      <c r="C373" s="77"/>
      <c r="D373" s="77"/>
      <c r="E373" s="77"/>
      <c r="F373" s="77"/>
      <c r="G373" s="80"/>
    </row>
    <row r="374">
      <c r="A374" s="77"/>
      <c r="B374" s="77"/>
      <c r="C374" s="77"/>
      <c r="D374" s="77"/>
      <c r="E374" s="77"/>
      <c r="F374" s="77"/>
      <c r="G374" s="80"/>
    </row>
    <row r="375">
      <c r="A375" s="77"/>
      <c r="B375" s="77"/>
      <c r="C375" s="77"/>
      <c r="D375" s="77"/>
      <c r="E375" s="77"/>
      <c r="F375" s="77"/>
      <c r="G375" s="80"/>
    </row>
    <row r="376">
      <c r="A376" s="77"/>
      <c r="B376" s="77"/>
      <c r="C376" s="77"/>
      <c r="D376" s="77"/>
      <c r="E376" s="77"/>
      <c r="F376" s="77"/>
      <c r="G376" s="80"/>
    </row>
    <row r="377">
      <c r="A377" s="77"/>
      <c r="B377" s="77"/>
      <c r="C377" s="77"/>
      <c r="D377" s="77"/>
      <c r="E377" s="77"/>
      <c r="F377" s="77"/>
      <c r="G377" s="80"/>
    </row>
    <row r="378">
      <c r="A378" s="77"/>
      <c r="B378" s="77"/>
      <c r="C378" s="77"/>
      <c r="D378" s="77"/>
      <c r="E378" s="77"/>
      <c r="F378" s="77"/>
      <c r="G378" s="80"/>
    </row>
    <row r="379">
      <c r="A379" s="77"/>
      <c r="B379" s="77"/>
      <c r="C379" s="77"/>
      <c r="D379" s="77"/>
      <c r="E379" s="77"/>
      <c r="F379" s="77"/>
      <c r="G379" s="80"/>
    </row>
    <row r="380">
      <c r="A380" s="77"/>
      <c r="B380" s="77"/>
      <c r="C380" s="77"/>
      <c r="D380" s="77"/>
      <c r="E380" s="77"/>
      <c r="F380" s="77"/>
      <c r="G380" s="80"/>
    </row>
    <row r="381">
      <c r="A381" s="77"/>
      <c r="B381" s="77"/>
      <c r="C381" s="77"/>
      <c r="D381" s="77"/>
      <c r="E381" s="77"/>
      <c r="F381" s="77"/>
      <c r="G381" s="80"/>
    </row>
    <row r="382">
      <c r="A382" s="77"/>
      <c r="B382" s="77"/>
      <c r="C382" s="77"/>
      <c r="D382" s="77"/>
      <c r="E382" s="77"/>
      <c r="F382" s="77"/>
      <c r="G382" s="80"/>
    </row>
    <row r="383">
      <c r="A383" s="77"/>
      <c r="B383" s="77"/>
      <c r="C383" s="77"/>
      <c r="D383" s="77"/>
      <c r="E383" s="77"/>
      <c r="F383" s="77"/>
      <c r="G383" s="80"/>
    </row>
    <row r="384">
      <c r="A384" s="77"/>
      <c r="B384" s="77"/>
      <c r="C384" s="77"/>
      <c r="D384" s="77"/>
      <c r="E384" s="77"/>
      <c r="F384" s="77"/>
      <c r="G384" s="80"/>
    </row>
    <row r="385">
      <c r="A385" s="77"/>
      <c r="B385" s="77"/>
      <c r="C385" s="77"/>
      <c r="D385" s="77"/>
      <c r="E385" s="77"/>
      <c r="F385" s="77"/>
      <c r="G385" s="80"/>
    </row>
    <row r="386">
      <c r="A386" s="77"/>
      <c r="B386" s="77"/>
      <c r="C386" s="77"/>
      <c r="D386" s="77"/>
      <c r="E386" s="77"/>
      <c r="F386" s="77"/>
      <c r="G386" s="80"/>
    </row>
    <row r="387">
      <c r="A387" s="77"/>
      <c r="B387" s="77"/>
      <c r="C387" s="77"/>
      <c r="D387" s="77"/>
      <c r="E387" s="77"/>
      <c r="F387" s="77"/>
      <c r="G387" s="80"/>
    </row>
    <row r="388">
      <c r="A388" s="77"/>
      <c r="B388" s="77"/>
      <c r="C388" s="77"/>
      <c r="D388" s="77"/>
      <c r="E388" s="77"/>
      <c r="F388" s="77"/>
      <c r="G388" s="80"/>
    </row>
    <row r="389">
      <c r="A389" s="77"/>
      <c r="B389" s="77"/>
      <c r="C389" s="77"/>
      <c r="D389" s="77"/>
      <c r="E389" s="77"/>
      <c r="F389" s="77"/>
      <c r="G389" s="80"/>
    </row>
    <row r="390">
      <c r="A390" s="77"/>
      <c r="B390" s="77"/>
      <c r="C390" s="77"/>
      <c r="D390" s="77"/>
      <c r="E390" s="77"/>
      <c r="F390" s="77"/>
      <c r="G390" s="80"/>
    </row>
    <row r="391">
      <c r="A391" s="77"/>
      <c r="B391" s="77"/>
      <c r="C391" s="77"/>
      <c r="D391" s="77"/>
      <c r="E391" s="77"/>
      <c r="F391" s="77"/>
      <c r="G391" s="80"/>
    </row>
    <row r="392">
      <c r="A392" s="77"/>
      <c r="B392" s="77"/>
      <c r="C392" s="77"/>
      <c r="D392" s="77"/>
      <c r="E392" s="77"/>
      <c r="F392" s="77"/>
      <c r="G392" s="80"/>
    </row>
    <row r="393">
      <c r="A393" s="77"/>
      <c r="B393" s="77"/>
      <c r="C393" s="77"/>
      <c r="D393" s="77"/>
      <c r="E393" s="77"/>
      <c r="F393" s="77"/>
      <c r="G393" s="80"/>
    </row>
    <row r="394">
      <c r="A394" s="77"/>
      <c r="B394" s="77"/>
      <c r="C394" s="77"/>
      <c r="D394" s="77"/>
      <c r="E394" s="77"/>
      <c r="F394" s="77"/>
      <c r="G394" s="80"/>
    </row>
    <row r="395">
      <c r="A395" s="77"/>
      <c r="B395" s="77"/>
      <c r="C395" s="77"/>
      <c r="D395" s="77"/>
      <c r="E395" s="77"/>
      <c r="F395" s="77"/>
      <c r="G395" s="80"/>
    </row>
    <row r="396">
      <c r="A396" s="77"/>
      <c r="B396" s="77"/>
      <c r="C396" s="77"/>
      <c r="D396" s="77"/>
      <c r="E396" s="77"/>
      <c r="F396" s="77"/>
      <c r="G396" s="80"/>
    </row>
    <row r="397">
      <c r="A397" s="77"/>
      <c r="B397" s="77"/>
      <c r="C397" s="77"/>
      <c r="D397" s="77"/>
      <c r="E397" s="77"/>
      <c r="F397" s="77"/>
      <c r="G397" s="80"/>
    </row>
    <row r="398">
      <c r="A398" s="77"/>
      <c r="B398" s="77"/>
      <c r="C398" s="77"/>
      <c r="D398" s="77"/>
      <c r="E398" s="77"/>
      <c r="F398" s="77"/>
      <c r="G398" s="80"/>
    </row>
    <row r="399">
      <c r="A399" s="77"/>
      <c r="B399" s="77"/>
      <c r="C399" s="77"/>
      <c r="D399" s="77"/>
      <c r="E399" s="77"/>
      <c r="F399" s="77"/>
      <c r="G399" s="80"/>
    </row>
    <row r="400">
      <c r="A400" s="77"/>
      <c r="B400" s="77"/>
      <c r="C400" s="77"/>
      <c r="D400" s="77"/>
      <c r="E400" s="77"/>
      <c r="F400" s="77"/>
      <c r="G400" s="80"/>
    </row>
    <row r="401">
      <c r="A401" s="77"/>
      <c r="B401" s="77"/>
      <c r="C401" s="77"/>
      <c r="D401" s="77"/>
      <c r="E401" s="77"/>
      <c r="F401" s="77"/>
      <c r="G401" s="80"/>
    </row>
    <row r="402">
      <c r="A402" s="77"/>
      <c r="B402" s="77"/>
      <c r="C402" s="77"/>
      <c r="D402" s="77"/>
      <c r="E402" s="77"/>
      <c r="F402" s="77"/>
      <c r="G402" s="80"/>
    </row>
    <row r="403">
      <c r="A403" s="77"/>
      <c r="B403" s="77"/>
      <c r="C403" s="77"/>
      <c r="D403" s="77"/>
      <c r="E403" s="77"/>
      <c r="F403" s="77"/>
      <c r="G403" s="80"/>
    </row>
    <row r="404">
      <c r="A404" s="77"/>
      <c r="B404" s="77"/>
      <c r="C404" s="77"/>
      <c r="D404" s="77"/>
      <c r="E404" s="77"/>
      <c r="F404" s="77"/>
      <c r="G404" s="80"/>
    </row>
    <row r="405">
      <c r="A405" s="77"/>
      <c r="B405" s="77"/>
      <c r="C405" s="77"/>
      <c r="D405" s="77"/>
      <c r="E405" s="77"/>
      <c r="F405" s="77"/>
      <c r="G405" s="80"/>
    </row>
    <row r="406">
      <c r="A406" s="77"/>
      <c r="B406" s="77"/>
      <c r="C406" s="77"/>
      <c r="D406" s="77"/>
      <c r="E406" s="77"/>
      <c r="F406" s="77"/>
      <c r="G406" s="80"/>
    </row>
    <row r="407">
      <c r="A407" s="77"/>
      <c r="B407" s="77"/>
      <c r="C407" s="77"/>
      <c r="D407" s="77"/>
      <c r="E407" s="77"/>
      <c r="F407" s="77"/>
      <c r="G407" s="80"/>
    </row>
    <row r="408">
      <c r="A408" s="77"/>
      <c r="B408" s="77"/>
      <c r="C408" s="77"/>
      <c r="D408" s="77"/>
      <c r="E408" s="77"/>
      <c r="F408" s="77"/>
      <c r="G408" s="80"/>
    </row>
    <row r="409">
      <c r="A409" s="77"/>
      <c r="B409" s="77"/>
      <c r="C409" s="77"/>
      <c r="D409" s="77"/>
      <c r="E409" s="77"/>
      <c r="F409" s="77"/>
      <c r="G409" s="80"/>
    </row>
    <row r="410">
      <c r="A410" s="77"/>
      <c r="B410" s="77"/>
      <c r="C410" s="77"/>
      <c r="D410" s="77"/>
      <c r="E410" s="77"/>
      <c r="F410" s="77"/>
      <c r="G410" s="80"/>
    </row>
    <row r="411">
      <c r="A411" s="77"/>
      <c r="B411" s="77"/>
      <c r="C411" s="77"/>
      <c r="D411" s="77"/>
      <c r="E411" s="77"/>
      <c r="F411" s="77"/>
      <c r="G411" s="80"/>
    </row>
    <row r="412">
      <c r="A412" s="77"/>
      <c r="B412" s="77"/>
      <c r="C412" s="77"/>
      <c r="D412" s="77"/>
      <c r="E412" s="77"/>
      <c r="F412" s="77"/>
      <c r="G412" s="80"/>
    </row>
    <row r="413">
      <c r="A413" s="77"/>
      <c r="B413" s="77"/>
      <c r="C413" s="77"/>
      <c r="D413" s="77"/>
      <c r="E413" s="77"/>
      <c r="F413" s="77"/>
      <c r="G413" s="80"/>
    </row>
    <row r="414">
      <c r="A414" s="77"/>
      <c r="B414" s="77"/>
      <c r="C414" s="77"/>
      <c r="D414" s="77"/>
      <c r="E414" s="77"/>
      <c r="F414" s="77"/>
      <c r="G414" s="80"/>
    </row>
    <row r="415">
      <c r="A415" s="77"/>
      <c r="B415" s="77"/>
      <c r="C415" s="77"/>
      <c r="D415" s="77"/>
      <c r="E415" s="77"/>
      <c r="F415" s="77"/>
      <c r="G415" s="80"/>
    </row>
    <row r="416">
      <c r="A416" s="77"/>
      <c r="B416" s="77"/>
      <c r="C416" s="77"/>
      <c r="D416" s="77"/>
      <c r="E416" s="77"/>
      <c r="F416" s="77"/>
      <c r="G416" s="80"/>
    </row>
    <row r="417">
      <c r="A417" s="77"/>
      <c r="B417" s="77"/>
      <c r="C417" s="77"/>
      <c r="D417" s="77"/>
      <c r="E417" s="77"/>
      <c r="F417" s="77"/>
      <c r="G417" s="80"/>
    </row>
    <row r="418">
      <c r="A418" s="77"/>
      <c r="B418" s="77"/>
      <c r="C418" s="77"/>
      <c r="D418" s="77"/>
      <c r="E418" s="77"/>
      <c r="F418" s="77"/>
      <c r="G418" s="80"/>
    </row>
    <row r="419">
      <c r="A419" s="77"/>
      <c r="B419" s="77"/>
      <c r="C419" s="77"/>
      <c r="D419" s="77"/>
      <c r="E419" s="77"/>
      <c r="F419" s="77"/>
      <c r="G419" s="80"/>
    </row>
    <row r="420">
      <c r="A420" s="77"/>
      <c r="B420" s="77"/>
      <c r="C420" s="77"/>
      <c r="D420" s="77"/>
      <c r="E420" s="77"/>
      <c r="F420" s="77"/>
      <c r="G420" s="80"/>
    </row>
    <row r="421">
      <c r="A421" s="77"/>
      <c r="B421" s="77"/>
      <c r="C421" s="77"/>
      <c r="D421" s="77"/>
      <c r="E421" s="77"/>
      <c r="F421" s="77"/>
      <c r="G421" s="80"/>
    </row>
    <row r="422">
      <c r="A422" s="77"/>
      <c r="B422" s="77"/>
      <c r="C422" s="77"/>
      <c r="D422" s="77"/>
      <c r="E422" s="77"/>
      <c r="F422" s="77"/>
      <c r="G422" s="80"/>
    </row>
    <row r="423">
      <c r="A423" s="77"/>
      <c r="B423" s="77"/>
      <c r="C423" s="77"/>
      <c r="D423" s="77"/>
      <c r="E423" s="77"/>
      <c r="F423" s="77"/>
      <c r="G423" s="80"/>
    </row>
    <row r="424">
      <c r="A424" s="77"/>
      <c r="B424" s="77"/>
      <c r="C424" s="77"/>
      <c r="D424" s="77"/>
      <c r="E424" s="77"/>
      <c r="F424" s="77"/>
      <c r="G424" s="80"/>
    </row>
    <row r="425">
      <c r="A425" s="77"/>
      <c r="B425" s="77"/>
      <c r="C425" s="77"/>
      <c r="D425" s="77"/>
      <c r="E425" s="77"/>
      <c r="F425" s="77"/>
      <c r="G425" s="80"/>
    </row>
    <row r="426">
      <c r="A426" s="77"/>
      <c r="B426" s="77"/>
      <c r="C426" s="77"/>
      <c r="D426" s="77"/>
      <c r="E426" s="77"/>
      <c r="F426" s="77"/>
      <c r="G426" s="80"/>
    </row>
    <row r="427">
      <c r="A427" s="77"/>
      <c r="B427" s="77"/>
      <c r="C427" s="77"/>
      <c r="D427" s="77"/>
      <c r="E427" s="77"/>
      <c r="F427" s="77"/>
      <c r="G427" s="80"/>
    </row>
    <row r="428">
      <c r="A428" s="77"/>
      <c r="B428" s="77"/>
      <c r="C428" s="77"/>
      <c r="D428" s="77"/>
      <c r="E428" s="77"/>
      <c r="F428" s="77"/>
      <c r="G428" s="80"/>
    </row>
    <row r="429">
      <c r="A429" s="77"/>
      <c r="B429" s="77"/>
      <c r="C429" s="77"/>
      <c r="D429" s="77"/>
      <c r="E429" s="77"/>
      <c r="F429" s="77"/>
      <c r="G429" s="80"/>
    </row>
    <row r="430">
      <c r="A430" s="77"/>
      <c r="B430" s="77"/>
      <c r="C430" s="77"/>
      <c r="D430" s="77"/>
      <c r="E430" s="77"/>
      <c r="F430" s="77"/>
      <c r="G430" s="80"/>
    </row>
    <row r="431">
      <c r="A431" s="77"/>
      <c r="B431" s="77"/>
      <c r="C431" s="77"/>
      <c r="D431" s="77"/>
      <c r="E431" s="77"/>
      <c r="F431" s="77"/>
      <c r="G431" s="80"/>
    </row>
    <row r="432">
      <c r="A432" s="77"/>
      <c r="B432" s="77"/>
      <c r="C432" s="77"/>
      <c r="D432" s="77"/>
      <c r="E432" s="77"/>
      <c r="F432" s="77"/>
      <c r="G432" s="80"/>
    </row>
    <row r="433">
      <c r="A433" s="77"/>
      <c r="B433" s="77"/>
      <c r="C433" s="77"/>
      <c r="D433" s="77"/>
      <c r="E433" s="77"/>
      <c r="F433" s="77"/>
      <c r="G433" s="80"/>
    </row>
    <row r="434">
      <c r="A434" s="77"/>
      <c r="B434" s="77"/>
      <c r="C434" s="77"/>
      <c r="D434" s="77"/>
      <c r="E434" s="77"/>
      <c r="F434" s="77"/>
      <c r="G434" s="80"/>
    </row>
    <row r="435">
      <c r="A435" s="77"/>
      <c r="B435" s="77"/>
      <c r="C435" s="77"/>
      <c r="D435" s="77"/>
      <c r="E435" s="77"/>
      <c r="F435" s="77"/>
      <c r="G435" s="80"/>
    </row>
    <row r="436">
      <c r="A436" s="77"/>
      <c r="B436" s="77"/>
      <c r="C436" s="77"/>
      <c r="D436" s="77"/>
      <c r="E436" s="77"/>
      <c r="F436" s="77"/>
      <c r="G436" s="80"/>
    </row>
    <row r="437">
      <c r="A437" s="77"/>
      <c r="B437" s="77"/>
      <c r="C437" s="77"/>
      <c r="D437" s="77"/>
      <c r="E437" s="77"/>
      <c r="F437" s="77"/>
      <c r="G437" s="80"/>
    </row>
    <row r="438">
      <c r="A438" s="77"/>
      <c r="B438" s="77"/>
      <c r="C438" s="77"/>
      <c r="D438" s="77"/>
      <c r="E438" s="77"/>
      <c r="F438" s="77"/>
      <c r="G438" s="80"/>
    </row>
    <row r="439">
      <c r="A439" s="77"/>
      <c r="B439" s="77"/>
      <c r="C439" s="77"/>
      <c r="D439" s="77"/>
      <c r="E439" s="77"/>
      <c r="F439" s="77"/>
      <c r="G439" s="80"/>
    </row>
    <row r="440">
      <c r="A440" s="77"/>
      <c r="B440" s="77"/>
      <c r="C440" s="77"/>
      <c r="D440" s="77"/>
      <c r="E440" s="77"/>
      <c r="F440" s="77"/>
      <c r="G440" s="80"/>
    </row>
    <row r="441">
      <c r="A441" s="77"/>
      <c r="B441" s="77"/>
      <c r="C441" s="77"/>
      <c r="D441" s="77"/>
      <c r="E441" s="77"/>
      <c r="F441" s="77"/>
      <c r="G441" s="80"/>
    </row>
    <row r="442">
      <c r="A442" s="77"/>
      <c r="B442" s="77"/>
      <c r="C442" s="77"/>
      <c r="D442" s="77"/>
      <c r="E442" s="77"/>
      <c r="F442" s="77"/>
      <c r="G442" s="80"/>
    </row>
    <row r="443">
      <c r="A443" s="77"/>
      <c r="B443" s="77"/>
      <c r="C443" s="77"/>
      <c r="D443" s="77"/>
      <c r="E443" s="77"/>
      <c r="F443" s="77"/>
      <c r="G443" s="80"/>
    </row>
    <row r="444">
      <c r="A444" s="77"/>
      <c r="B444" s="77"/>
      <c r="C444" s="77"/>
      <c r="D444" s="77"/>
      <c r="E444" s="77"/>
      <c r="F444" s="77"/>
      <c r="G444" s="80"/>
    </row>
    <row r="445">
      <c r="A445" s="77"/>
      <c r="B445" s="77"/>
      <c r="C445" s="77"/>
      <c r="D445" s="77"/>
      <c r="E445" s="77"/>
      <c r="F445" s="77"/>
      <c r="G445" s="80"/>
    </row>
    <row r="446">
      <c r="A446" s="77"/>
      <c r="B446" s="77"/>
      <c r="C446" s="77"/>
      <c r="D446" s="77"/>
      <c r="E446" s="77"/>
      <c r="F446" s="77"/>
      <c r="G446" s="80"/>
    </row>
    <row r="447">
      <c r="A447" s="77"/>
      <c r="B447" s="77"/>
      <c r="C447" s="77"/>
      <c r="D447" s="77"/>
      <c r="E447" s="77"/>
      <c r="F447" s="77"/>
      <c r="G447" s="80"/>
    </row>
    <row r="448">
      <c r="A448" s="77"/>
      <c r="B448" s="77"/>
      <c r="C448" s="77"/>
      <c r="D448" s="77"/>
      <c r="E448" s="77"/>
      <c r="F448" s="77"/>
      <c r="G448" s="80"/>
    </row>
    <row r="449">
      <c r="A449" s="77"/>
      <c r="B449" s="77"/>
      <c r="C449" s="77"/>
      <c r="D449" s="77"/>
      <c r="E449" s="77"/>
      <c r="F449" s="77"/>
      <c r="G449" s="80"/>
    </row>
    <row r="450">
      <c r="A450" s="77"/>
      <c r="B450" s="77"/>
      <c r="C450" s="77"/>
      <c r="D450" s="77"/>
      <c r="E450" s="77"/>
      <c r="F450" s="77"/>
      <c r="G450" s="80"/>
    </row>
    <row r="451">
      <c r="A451" s="77"/>
      <c r="B451" s="77"/>
      <c r="C451" s="77"/>
      <c r="D451" s="77"/>
      <c r="E451" s="77"/>
      <c r="F451" s="77"/>
      <c r="G451" s="80"/>
    </row>
    <row r="452">
      <c r="A452" s="77"/>
      <c r="B452" s="77"/>
      <c r="C452" s="77"/>
      <c r="D452" s="77"/>
      <c r="E452" s="77"/>
      <c r="F452" s="77"/>
      <c r="G452" s="80"/>
    </row>
    <row r="453">
      <c r="A453" s="77"/>
      <c r="B453" s="77"/>
      <c r="C453" s="77"/>
      <c r="D453" s="77"/>
      <c r="E453" s="77"/>
      <c r="F453" s="77"/>
      <c r="G453" s="80"/>
    </row>
    <row r="454">
      <c r="A454" s="77"/>
      <c r="B454" s="77"/>
      <c r="C454" s="77"/>
      <c r="D454" s="77"/>
      <c r="E454" s="77"/>
      <c r="F454" s="77"/>
      <c r="G454" s="80"/>
    </row>
    <row r="455">
      <c r="A455" s="77"/>
      <c r="B455" s="77"/>
      <c r="C455" s="77"/>
      <c r="D455" s="77"/>
      <c r="E455" s="77"/>
      <c r="F455" s="77"/>
      <c r="G455" s="80"/>
    </row>
    <row r="456">
      <c r="A456" s="77"/>
      <c r="B456" s="77"/>
      <c r="C456" s="77"/>
      <c r="D456" s="77"/>
      <c r="E456" s="77"/>
      <c r="F456" s="77"/>
      <c r="G456" s="80"/>
    </row>
    <row r="457">
      <c r="A457" s="77"/>
      <c r="B457" s="77"/>
      <c r="C457" s="77"/>
      <c r="D457" s="77"/>
      <c r="E457" s="77"/>
      <c r="F457" s="77"/>
      <c r="G457" s="80"/>
    </row>
    <row r="458">
      <c r="A458" s="77"/>
      <c r="B458" s="77"/>
      <c r="C458" s="77"/>
      <c r="D458" s="77"/>
      <c r="E458" s="77"/>
      <c r="F458" s="77"/>
      <c r="G458" s="80"/>
    </row>
    <row r="459">
      <c r="A459" s="77"/>
      <c r="B459" s="77"/>
      <c r="C459" s="77"/>
      <c r="D459" s="77"/>
      <c r="E459" s="77"/>
      <c r="F459" s="77"/>
      <c r="G459" s="80"/>
    </row>
    <row r="460">
      <c r="A460" s="77"/>
      <c r="B460" s="77"/>
      <c r="C460" s="77"/>
      <c r="D460" s="77"/>
      <c r="E460" s="77"/>
      <c r="F460" s="77"/>
      <c r="G460" s="80"/>
    </row>
    <row r="461">
      <c r="A461" s="77"/>
      <c r="B461" s="77"/>
      <c r="C461" s="77"/>
      <c r="D461" s="77"/>
      <c r="E461" s="77"/>
      <c r="F461" s="77"/>
      <c r="G461" s="80"/>
    </row>
    <row r="462">
      <c r="A462" s="77"/>
      <c r="B462" s="77"/>
      <c r="C462" s="77"/>
      <c r="D462" s="77"/>
      <c r="E462" s="77"/>
      <c r="F462" s="77"/>
      <c r="G462" s="80"/>
    </row>
    <row r="463">
      <c r="A463" s="77"/>
      <c r="B463" s="77"/>
      <c r="C463" s="77"/>
      <c r="D463" s="77"/>
      <c r="E463" s="77"/>
      <c r="F463" s="77"/>
      <c r="G463" s="80"/>
    </row>
    <row r="464">
      <c r="A464" s="77"/>
      <c r="B464" s="77"/>
      <c r="C464" s="77"/>
      <c r="D464" s="77"/>
      <c r="E464" s="77"/>
      <c r="F464" s="77"/>
      <c r="G464" s="80"/>
    </row>
    <row r="465">
      <c r="A465" s="77"/>
      <c r="B465" s="77"/>
      <c r="C465" s="77"/>
      <c r="D465" s="77"/>
      <c r="E465" s="77"/>
      <c r="F465" s="77"/>
      <c r="G465" s="80"/>
    </row>
    <row r="466">
      <c r="A466" s="77"/>
      <c r="B466" s="77"/>
      <c r="C466" s="77"/>
      <c r="D466" s="77"/>
      <c r="E466" s="77"/>
      <c r="F466" s="77"/>
      <c r="G466" s="80"/>
    </row>
    <row r="467">
      <c r="A467" s="77"/>
      <c r="B467" s="77"/>
      <c r="C467" s="77"/>
      <c r="D467" s="77"/>
      <c r="E467" s="77"/>
      <c r="F467" s="77"/>
      <c r="G467" s="80"/>
    </row>
    <row r="468">
      <c r="A468" s="77"/>
      <c r="B468" s="77"/>
      <c r="C468" s="77"/>
      <c r="D468" s="77"/>
      <c r="E468" s="77"/>
      <c r="F468" s="77"/>
      <c r="G468" s="80"/>
    </row>
    <row r="469">
      <c r="A469" s="77"/>
      <c r="B469" s="77"/>
      <c r="C469" s="77"/>
      <c r="D469" s="77"/>
      <c r="E469" s="77"/>
      <c r="F469" s="77"/>
      <c r="G469" s="80"/>
    </row>
    <row r="470">
      <c r="A470" s="77"/>
      <c r="B470" s="77"/>
      <c r="C470" s="77"/>
      <c r="D470" s="77"/>
      <c r="E470" s="77"/>
      <c r="F470" s="77"/>
      <c r="G470" s="80"/>
    </row>
    <row r="471">
      <c r="A471" s="77"/>
      <c r="B471" s="77"/>
      <c r="C471" s="77"/>
      <c r="D471" s="77"/>
      <c r="E471" s="77"/>
      <c r="F471" s="77"/>
      <c r="G471" s="80"/>
    </row>
    <row r="472">
      <c r="A472" s="77"/>
      <c r="B472" s="77"/>
      <c r="C472" s="77"/>
      <c r="D472" s="77"/>
      <c r="E472" s="77"/>
      <c r="F472" s="77"/>
      <c r="G472" s="80"/>
    </row>
    <row r="473">
      <c r="A473" s="77"/>
      <c r="B473" s="77"/>
      <c r="C473" s="77"/>
      <c r="D473" s="77"/>
      <c r="E473" s="77"/>
      <c r="F473" s="77"/>
      <c r="G473" s="80"/>
    </row>
    <row r="474">
      <c r="A474" s="77"/>
      <c r="B474" s="77"/>
      <c r="C474" s="77"/>
      <c r="D474" s="77"/>
      <c r="E474" s="77"/>
      <c r="F474" s="77"/>
      <c r="G474" s="80"/>
    </row>
    <row r="475">
      <c r="A475" s="77"/>
      <c r="B475" s="77"/>
      <c r="C475" s="77"/>
      <c r="D475" s="77"/>
      <c r="E475" s="77"/>
      <c r="F475" s="77"/>
      <c r="G475" s="80"/>
    </row>
    <row r="476">
      <c r="A476" s="77"/>
      <c r="B476" s="77"/>
      <c r="C476" s="77"/>
      <c r="D476" s="77"/>
      <c r="E476" s="77"/>
      <c r="F476" s="77"/>
      <c r="G476" s="80"/>
    </row>
    <row r="477">
      <c r="A477" s="77"/>
      <c r="B477" s="77"/>
      <c r="C477" s="77"/>
      <c r="D477" s="77"/>
      <c r="E477" s="77"/>
      <c r="F477" s="77"/>
      <c r="G477" s="80"/>
    </row>
    <row r="478">
      <c r="A478" s="77"/>
      <c r="B478" s="77"/>
      <c r="C478" s="77"/>
      <c r="D478" s="77"/>
      <c r="E478" s="77"/>
      <c r="F478" s="77"/>
      <c r="G478" s="80"/>
    </row>
    <row r="479">
      <c r="A479" s="77"/>
      <c r="B479" s="77"/>
      <c r="C479" s="77"/>
      <c r="D479" s="77"/>
      <c r="E479" s="77"/>
      <c r="F479" s="77"/>
      <c r="G479" s="80"/>
    </row>
    <row r="480">
      <c r="A480" s="77"/>
      <c r="B480" s="77"/>
      <c r="C480" s="77"/>
      <c r="D480" s="77"/>
      <c r="E480" s="77"/>
      <c r="F480" s="77"/>
      <c r="G480" s="80"/>
    </row>
    <row r="481">
      <c r="A481" s="77"/>
      <c r="B481" s="77"/>
      <c r="C481" s="77"/>
      <c r="D481" s="77"/>
      <c r="E481" s="77"/>
      <c r="F481" s="77"/>
      <c r="G481" s="80"/>
    </row>
    <row r="482">
      <c r="A482" s="77"/>
      <c r="B482" s="77"/>
      <c r="C482" s="77"/>
      <c r="D482" s="77"/>
      <c r="E482" s="77"/>
      <c r="F482" s="77"/>
      <c r="G482" s="80"/>
    </row>
    <row r="483">
      <c r="A483" s="77"/>
      <c r="B483" s="77"/>
      <c r="C483" s="77"/>
      <c r="D483" s="77"/>
      <c r="E483" s="77"/>
      <c r="F483" s="77"/>
      <c r="G483" s="80"/>
    </row>
    <row r="484">
      <c r="A484" s="77"/>
      <c r="B484" s="77"/>
      <c r="C484" s="77"/>
      <c r="D484" s="77"/>
      <c r="E484" s="77"/>
      <c r="F484" s="77"/>
      <c r="G484" s="80"/>
    </row>
    <row r="485">
      <c r="A485" s="77"/>
      <c r="B485" s="77"/>
      <c r="C485" s="77"/>
      <c r="D485" s="77"/>
      <c r="E485" s="77"/>
      <c r="F485" s="77"/>
      <c r="G485" s="80"/>
    </row>
    <row r="486">
      <c r="A486" s="77"/>
      <c r="B486" s="77"/>
      <c r="C486" s="77"/>
      <c r="D486" s="77"/>
      <c r="E486" s="77"/>
      <c r="F486" s="77"/>
      <c r="G486" s="80"/>
    </row>
    <row r="487">
      <c r="A487" s="77"/>
      <c r="B487" s="77"/>
      <c r="C487" s="77"/>
      <c r="D487" s="77"/>
      <c r="E487" s="77"/>
      <c r="F487" s="77"/>
      <c r="G487" s="80"/>
    </row>
    <row r="488">
      <c r="A488" s="77"/>
      <c r="B488" s="77"/>
      <c r="C488" s="77"/>
      <c r="D488" s="77"/>
      <c r="E488" s="77"/>
      <c r="F488" s="77"/>
      <c r="G488" s="80"/>
    </row>
    <row r="489">
      <c r="A489" s="77"/>
      <c r="B489" s="77"/>
      <c r="C489" s="77"/>
      <c r="D489" s="77"/>
      <c r="E489" s="77"/>
      <c r="F489" s="77"/>
      <c r="G489" s="80"/>
    </row>
    <row r="490">
      <c r="A490" s="77"/>
      <c r="B490" s="77"/>
      <c r="C490" s="77"/>
      <c r="D490" s="77"/>
      <c r="E490" s="77"/>
      <c r="F490" s="77"/>
      <c r="G490" s="80"/>
    </row>
    <row r="491">
      <c r="A491" s="77"/>
      <c r="B491" s="77"/>
      <c r="C491" s="77"/>
      <c r="D491" s="77"/>
      <c r="E491" s="77"/>
      <c r="F491" s="77"/>
      <c r="G491" s="80"/>
    </row>
    <row r="492">
      <c r="A492" s="77"/>
      <c r="B492" s="77"/>
      <c r="C492" s="77"/>
      <c r="D492" s="77"/>
      <c r="E492" s="77"/>
      <c r="F492" s="77"/>
      <c r="G492" s="80"/>
    </row>
    <row r="493">
      <c r="A493" s="77"/>
      <c r="B493" s="77"/>
      <c r="C493" s="77"/>
      <c r="D493" s="77"/>
      <c r="E493" s="77"/>
      <c r="F493" s="77"/>
      <c r="G493" s="80"/>
    </row>
    <row r="494">
      <c r="A494" s="77"/>
      <c r="B494" s="77"/>
      <c r="C494" s="77"/>
      <c r="D494" s="77"/>
      <c r="E494" s="77"/>
      <c r="F494" s="77"/>
      <c r="G494" s="80"/>
    </row>
    <row r="495">
      <c r="A495" s="77"/>
      <c r="B495" s="77"/>
      <c r="C495" s="77"/>
      <c r="D495" s="77"/>
      <c r="E495" s="77"/>
      <c r="F495" s="77"/>
      <c r="G495" s="80"/>
    </row>
    <row r="496">
      <c r="A496" s="77"/>
      <c r="B496" s="77"/>
      <c r="C496" s="77"/>
      <c r="D496" s="77"/>
      <c r="E496" s="77"/>
      <c r="F496" s="77"/>
      <c r="G496" s="80"/>
    </row>
    <row r="497">
      <c r="A497" s="77"/>
      <c r="B497" s="77"/>
      <c r="C497" s="77"/>
      <c r="D497" s="77"/>
      <c r="E497" s="77"/>
      <c r="F497" s="77"/>
      <c r="G497" s="80"/>
    </row>
    <row r="498">
      <c r="A498" s="77"/>
      <c r="B498" s="77"/>
      <c r="C498" s="77"/>
      <c r="D498" s="77"/>
      <c r="E498" s="77"/>
      <c r="F498" s="77"/>
      <c r="G498" s="80"/>
    </row>
    <row r="499">
      <c r="A499" s="77"/>
      <c r="B499" s="77"/>
      <c r="C499" s="77"/>
      <c r="D499" s="77"/>
      <c r="E499" s="77"/>
      <c r="F499" s="77"/>
      <c r="G499" s="80"/>
    </row>
    <row r="500">
      <c r="A500" s="77"/>
      <c r="B500" s="77"/>
      <c r="C500" s="77"/>
      <c r="D500" s="77"/>
      <c r="E500" s="77"/>
      <c r="F500" s="77"/>
      <c r="G500" s="80"/>
    </row>
    <row r="501">
      <c r="A501" s="77"/>
      <c r="B501" s="77"/>
      <c r="C501" s="77"/>
      <c r="D501" s="77"/>
      <c r="E501" s="77"/>
      <c r="F501" s="77"/>
      <c r="G501" s="80"/>
    </row>
    <row r="502">
      <c r="A502" s="77"/>
      <c r="B502" s="77"/>
      <c r="C502" s="77"/>
      <c r="D502" s="77"/>
      <c r="E502" s="77"/>
      <c r="F502" s="77"/>
      <c r="G502" s="80"/>
    </row>
    <row r="503">
      <c r="A503" s="77"/>
      <c r="B503" s="77"/>
      <c r="C503" s="77"/>
      <c r="D503" s="77"/>
      <c r="E503" s="77"/>
      <c r="F503" s="77"/>
      <c r="G503" s="80"/>
    </row>
    <row r="504">
      <c r="A504" s="77"/>
      <c r="B504" s="77"/>
      <c r="C504" s="77"/>
      <c r="D504" s="77"/>
      <c r="E504" s="77"/>
      <c r="F504" s="77"/>
      <c r="G504" s="80"/>
    </row>
    <row r="505">
      <c r="A505" s="77"/>
      <c r="B505" s="77"/>
      <c r="C505" s="77"/>
      <c r="D505" s="77"/>
      <c r="E505" s="77"/>
      <c r="F505" s="77"/>
      <c r="G505" s="80"/>
    </row>
    <row r="506">
      <c r="A506" s="77"/>
      <c r="B506" s="77"/>
      <c r="C506" s="77"/>
      <c r="D506" s="77"/>
      <c r="E506" s="77"/>
      <c r="F506" s="77"/>
      <c r="G506" s="80"/>
    </row>
    <row r="507">
      <c r="A507" s="77"/>
      <c r="B507" s="77"/>
      <c r="C507" s="77"/>
      <c r="D507" s="77"/>
      <c r="E507" s="77"/>
      <c r="F507" s="77"/>
      <c r="G507" s="80"/>
    </row>
    <row r="508">
      <c r="A508" s="77"/>
      <c r="B508" s="77"/>
      <c r="C508" s="77"/>
      <c r="D508" s="77"/>
      <c r="E508" s="77"/>
      <c r="F508" s="77"/>
      <c r="G508" s="80"/>
    </row>
    <row r="509">
      <c r="A509" s="77"/>
      <c r="B509" s="77"/>
      <c r="C509" s="77"/>
      <c r="D509" s="77"/>
      <c r="E509" s="77"/>
      <c r="F509" s="77"/>
      <c r="G509" s="80"/>
    </row>
    <row r="510">
      <c r="A510" s="77"/>
      <c r="B510" s="77"/>
      <c r="C510" s="77"/>
      <c r="D510" s="77"/>
      <c r="E510" s="77"/>
      <c r="F510" s="77"/>
      <c r="G510" s="80"/>
    </row>
    <row r="511">
      <c r="A511" s="77"/>
      <c r="B511" s="77"/>
      <c r="C511" s="77"/>
      <c r="D511" s="77"/>
      <c r="E511" s="77"/>
      <c r="F511" s="77"/>
      <c r="G511" s="80"/>
    </row>
    <row r="512">
      <c r="A512" s="77"/>
      <c r="B512" s="77"/>
      <c r="C512" s="77"/>
      <c r="D512" s="77"/>
      <c r="E512" s="77"/>
      <c r="F512" s="77"/>
      <c r="G512" s="80"/>
    </row>
    <row r="513">
      <c r="A513" s="77"/>
      <c r="B513" s="77"/>
      <c r="C513" s="77"/>
      <c r="D513" s="77"/>
      <c r="E513" s="77"/>
      <c r="F513" s="77"/>
      <c r="G513" s="80"/>
    </row>
    <row r="514">
      <c r="A514" s="77"/>
      <c r="B514" s="77"/>
      <c r="C514" s="77"/>
      <c r="D514" s="77"/>
      <c r="E514" s="77"/>
      <c r="F514" s="77"/>
      <c r="G514" s="80"/>
    </row>
    <row r="515">
      <c r="A515" s="77"/>
      <c r="B515" s="77"/>
      <c r="C515" s="77"/>
      <c r="D515" s="77"/>
      <c r="E515" s="77"/>
      <c r="F515" s="77"/>
      <c r="G515" s="80"/>
    </row>
    <row r="516">
      <c r="A516" s="77"/>
      <c r="B516" s="77"/>
      <c r="C516" s="77"/>
      <c r="D516" s="77"/>
      <c r="E516" s="77"/>
      <c r="F516" s="77"/>
      <c r="G516" s="80"/>
    </row>
    <row r="517">
      <c r="A517" s="77"/>
      <c r="B517" s="77"/>
      <c r="C517" s="77"/>
      <c r="D517" s="77"/>
      <c r="E517" s="77"/>
      <c r="F517" s="77"/>
      <c r="G517" s="80"/>
    </row>
    <row r="518">
      <c r="A518" s="77"/>
      <c r="B518" s="77"/>
      <c r="C518" s="77"/>
      <c r="D518" s="77"/>
      <c r="E518" s="77"/>
      <c r="F518" s="77"/>
      <c r="G518" s="80"/>
    </row>
    <row r="519">
      <c r="A519" s="77"/>
      <c r="B519" s="77"/>
      <c r="C519" s="77"/>
      <c r="D519" s="77"/>
      <c r="E519" s="77"/>
      <c r="F519" s="77"/>
      <c r="G519" s="80"/>
    </row>
    <row r="520">
      <c r="A520" s="77"/>
      <c r="B520" s="77"/>
      <c r="C520" s="77"/>
      <c r="D520" s="77"/>
      <c r="E520" s="77"/>
      <c r="F520" s="77"/>
      <c r="G520" s="80"/>
    </row>
    <row r="521">
      <c r="A521" s="77"/>
      <c r="B521" s="77"/>
      <c r="C521" s="77"/>
      <c r="D521" s="77"/>
      <c r="E521" s="77"/>
      <c r="F521" s="77"/>
      <c r="G521" s="80"/>
    </row>
    <row r="522">
      <c r="A522" s="77"/>
      <c r="B522" s="77"/>
      <c r="C522" s="77"/>
      <c r="D522" s="77"/>
      <c r="E522" s="77"/>
      <c r="F522" s="77"/>
      <c r="G522" s="80"/>
    </row>
    <row r="523">
      <c r="A523" s="77"/>
      <c r="B523" s="77"/>
      <c r="C523" s="77"/>
      <c r="D523" s="77"/>
      <c r="E523" s="77"/>
      <c r="F523" s="77"/>
      <c r="G523" s="80"/>
    </row>
    <row r="524">
      <c r="A524" s="77"/>
      <c r="B524" s="77"/>
      <c r="C524" s="77"/>
      <c r="D524" s="77"/>
      <c r="E524" s="77"/>
      <c r="F524" s="77"/>
      <c r="G524" s="80"/>
    </row>
    <row r="525">
      <c r="A525" s="77"/>
      <c r="B525" s="77"/>
      <c r="C525" s="77"/>
      <c r="D525" s="77"/>
      <c r="E525" s="77"/>
      <c r="F525" s="77"/>
      <c r="G525" s="80"/>
    </row>
    <row r="526">
      <c r="A526" s="77"/>
      <c r="B526" s="77"/>
      <c r="C526" s="77"/>
      <c r="D526" s="77"/>
      <c r="E526" s="77"/>
      <c r="F526" s="77"/>
      <c r="G526" s="80"/>
    </row>
    <row r="527">
      <c r="A527" s="77"/>
      <c r="B527" s="77"/>
      <c r="C527" s="77"/>
      <c r="D527" s="77"/>
      <c r="E527" s="77"/>
      <c r="F527" s="77"/>
      <c r="G527" s="80"/>
    </row>
    <row r="528">
      <c r="A528" s="77"/>
      <c r="B528" s="77"/>
      <c r="C528" s="77"/>
      <c r="D528" s="77"/>
      <c r="E528" s="77"/>
      <c r="F528" s="77"/>
      <c r="G528" s="80"/>
    </row>
    <row r="529">
      <c r="A529" s="77"/>
      <c r="B529" s="77"/>
      <c r="C529" s="77"/>
      <c r="D529" s="77"/>
      <c r="E529" s="77"/>
      <c r="F529" s="77"/>
      <c r="G529" s="80"/>
    </row>
    <row r="530">
      <c r="A530" s="77"/>
      <c r="B530" s="77"/>
      <c r="C530" s="77"/>
      <c r="D530" s="77"/>
      <c r="E530" s="77"/>
      <c r="F530" s="77"/>
      <c r="G530" s="80"/>
    </row>
    <row r="531">
      <c r="A531" s="77"/>
      <c r="B531" s="77"/>
      <c r="C531" s="77"/>
      <c r="D531" s="77"/>
      <c r="E531" s="77"/>
      <c r="F531" s="77"/>
      <c r="G531" s="80"/>
    </row>
    <row r="532">
      <c r="A532" s="77"/>
      <c r="B532" s="77"/>
      <c r="C532" s="77"/>
      <c r="D532" s="77"/>
      <c r="E532" s="77"/>
      <c r="F532" s="77"/>
      <c r="G532" s="80"/>
    </row>
    <row r="533">
      <c r="A533" s="77"/>
      <c r="B533" s="77"/>
      <c r="C533" s="77"/>
      <c r="D533" s="77"/>
      <c r="E533" s="77"/>
      <c r="F533" s="77"/>
      <c r="G533" s="80"/>
    </row>
    <row r="534">
      <c r="A534" s="77"/>
      <c r="B534" s="77"/>
      <c r="C534" s="77"/>
      <c r="D534" s="77"/>
      <c r="E534" s="77"/>
      <c r="F534" s="77"/>
      <c r="G534" s="80"/>
    </row>
    <row r="535">
      <c r="A535" s="77"/>
      <c r="B535" s="77"/>
      <c r="C535" s="77"/>
      <c r="D535" s="77"/>
      <c r="E535" s="77"/>
      <c r="F535" s="77"/>
      <c r="G535" s="80"/>
    </row>
    <row r="536">
      <c r="A536" s="77"/>
      <c r="B536" s="77"/>
      <c r="C536" s="77"/>
      <c r="D536" s="77"/>
      <c r="E536" s="77"/>
      <c r="F536" s="77"/>
      <c r="G536" s="80"/>
    </row>
    <row r="537">
      <c r="A537" s="77"/>
      <c r="B537" s="77"/>
      <c r="C537" s="77"/>
      <c r="D537" s="77"/>
      <c r="E537" s="77"/>
      <c r="F537" s="77"/>
      <c r="G537" s="80"/>
    </row>
    <row r="538">
      <c r="A538" s="77"/>
      <c r="B538" s="77"/>
      <c r="C538" s="77"/>
      <c r="D538" s="77"/>
      <c r="E538" s="77"/>
      <c r="F538" s="77"/>
      <c r="G538" s="80"/>
    </row>
    <row r="539">
      <c r="A539" s="77"/>
      <c r="B539" s="77"/>
      <c r="C539" s="77"/>
      <c r="D539" s="77"/>
      <c r="E539" s="77"/>
      <c r="F539" s="77"/>
      <c r="G539" s="80"/>
    </row>
    <row r="540">
      <c r="A540" s="77"/>
      <c r="B540" s="77"/>
      <c r="C540" s="77"/>
      <c r="D540" s="77"/>
      <c r="E540" s="77"/>
      <c r="F540" s="77"/>
      <c r="G540" s="80"/>
    </row>
    <row r="541">
      <c r="A541" s="77"/>
      <c r="B541" s="77"/>
      <c r="C541" s="77"/>
      <c r="D541" s="77"/>
      <c r="E541" s="77"/>
      <c r="F541" s="77"/>
      <c r="G541" s="80"/>
    </row>
    <row r="542">
      <c r="A542" s="77"/>
      <c r="B542" s="77"/>
      <c r="C542" s="77"/>
      <c r="D542" s="77"/>
      <c r="E542" s="77"/>
      <c r="F542" s="77"/>
      <c r="G542" s="80"/>
    </row>
    <row r="543">
      <c r="A543" s="77"/>
      <c r="B543" s="77"/>
      <c r="C543" s="77"/>
      <c r="D543" s="77"/>
      <c r="E543" s="77"/>
      <c r="F543" s="77"/>
      <c r="G543" s="80"/>
    </row>
    <row r="544">
      <c r="A544" s="77"/>
      <c r="B544" s="77"/>
      <c r="C544" s="77"/>
      <c r="D544" s="77"/>
      <c r="E544" s="77"/>
      <c r="F544" s="77"/>
      <c r="G544" s="80"/>
    </row>
    <row r="545">
      <c r="A545" s="77"/>
      <c r="B545" s="77"/>
      <c r="C545" s="77"/>
      <c r="D545" s="77"/>
      <c r="E545" s="77"/>
      <c r="F545" s="77"/>
      <c r="G545" s="80"/>
    </row>
    <row r="546">
      <c r="A546" s="77"/>
      <c r="B546" s="77"/>
      <c r="C546" s="77"/>
      <c r="D546" s="77"/>
      <c r="E546" s="77"/>
      <c r="F546" s="77"/>
      <c r="G546" s="80"/>
    </row>
    <row r="547">
      <c r="A547" s="77"/>
      <c r="B547" s="77"/>
      <c r="C547" s="77"/>
      <c r="D547" s="77"/>
      <c r="E547" s="77"/>
      <c r="F547" s="77"/>
      <c r="G547" s="80"/>
    </row>
    <row r="548">
      <c r="A548" s="77"/>
      <c r="B548" s="77"/>
      <c r="C548" s="77"/>
      <c r="D548" s="77"/>
      <c r="E548" s="77"/>
      <c r="F548" s="77"/>
      <c r="G548" s="80"/>
    </row>
    <row r="549">
      <c r="A549" s="77"/>
      <c r="B549" s="77"/>
      <c r="C549" s="77"/>
      <c r="D549" s="77"/>
      <c r="E549" s="77"/>
      <c r="F549" s="77"/>
      <c r="G549" s="80"/>
    </row>
    <row r="550">
      <c r="A550" s="77"/>
      <c r="B550" s="77"/>
      <c r="C550" s="77"/>
      <c r="D550" s="77"/>
      <c r="E550" s="77"/>
      <c r="F550" s="77"/>
      <c r="G550" s="80"/>
    </row>
    <row r="551">
      <c r="A551" s="77"/>
      <c r="B551" s="77"/>
      <c r="C551" s="77"/>
      <c r="D551" s="77"/>
      <c r="E551" s="77"/>
      <c r="F551" s="77"/>
      <c r="G551" s="80"/>
    </row>
    <row r="552">
      <c r="A552" s="77"/>
      <c r="B552" s="77"/>
      <c r="C552" s="77"/>
      <c r="D552" s="77"/>
      <c r="E552" s="77"/>
      <c r="F552" s="77"/>
      <c r="G552" s="80"/>
    </row>
    <row r="553">
      <c r="A553" s="77"/>
      <c r="B553" s="77"/>
      <c r="C553" s="77"/>
      <c r="D553" s="77"/>
      <c r="E553" s="77"/>
      <c r="F553" s="77"/>
      <c r="G553" s="80"/>
    </row>
    <row r="554">
      <c r="A554" s="77"/>
      <c r="B554" s="77"/>
      <c r="C554" s="77"/>
      <c r="D554" s="77"/>
      <c r="E554" s="77"/>
      <c r="F554" s="77"/>
      <c r="G554" s="80"/>
    </row>
    <row r="555">
      <c r="A555" s="77"/>
      <c r="B555" s="77"/>
      <c r="C555" s="77"/>
      <c r="D555" s="77"/>
      <c r="E555" s="77"/>
      <c r="F555" s="77"/>
      <c r="G555" s="80"/>
    </row>
    <row r="556">
      <c r="A556" s="77"/>
      <c r="B556" s="77"/>
      <c r="C556" s="77"/>
      <c r="D556" s="77"/>
      <c r="E556" s="77"/>
      <c r="F556" s="77"/>
      <c r="G556" s="80"/>
    </row>
    <row r="557">
      <c r="A557" s="77"/>
      <c r="B557" s="77"/>
      <c r="C557" s="77"/>
      <c r="D557" s="77"/>
      <c r="E557" s="77"/>
      <c r="F557" s="77"/>
      <c r="G557" s="80"/>
    </row>
    <row r="558">
      <c r="A558" s="77"/>
      <c r="B558" s="77"/>
      <c r="C558" s="77"/>
      <c r="D558" s="77"/>
      <c r="E558" s="77"/>
      <c r="F558" s="77"/>
      <c r="G558" s="80"/>
    </row>
    <row r="559">
      <c r="A559" s="77"/>
      <c r="B559" s="77"/>
      <c r="C559" s="77"/>
      <c r="D559" s="77"/>
      <c r="E559" s="77"/>
      <c r="F559" s="77"/>
      <c r="G559" s="80"/>
    </row>
    <row r="560">
      <c r="A560" s="77"/>
      <c r="B560" s="77"/>
      <c r="C560" s="77"/>
      <c r="D560" s="77"/>
      <c r="E560" s="77"/>
      <c r="F560" s="77"/>
      <c r="G560" s="80"/>
    </row>
    <row r="561">
      <c r="A561" s="77"/>
      <c r="B561" s="77"/>
      <c r="C561" s="77"/>
      <c r="D561" s="77"/>
      <c r="E561" s="77"/>
      <c r="F561" s="77"/>
      <c r="G561" s="80"/>
    </row>
    <row r="562">
      <c r="A562" s="77"/>
      <c r="B562" s="77"/>
      <c r="C562" s="77"/>
      <c r="D562" s="77"/>
      <c r="E562" s="77"/>
      <c r="F562" s="77"/>
      <c r="G562" s="80"/>
    </row>
    <row r="563">
      <c r="A563" s="77"/>
      <c r="B563" s="77"/>
      <c r="C563" s="77"/>
      <c r="D563" s="77"/>
      <c r="E563" s="77"/>
      <c r="F563" s="77"/>
      <c r="G563" s="80"/>
    </row>
    <row r="564">
      <c r="A564" s="77"/>
      <c r="B564" s="77"/>
      <c r="C564" s="77"/>
      <c r="D564" s="77"/>
      <c r="E564" s="77"/>
      <c r="F564" s="77"/>
      <c r="G564" s="80"/>
    </row>
    <row r="565">
      <c r="A565" s="77"/>
      <c r="B565" s="77"/>
      <c r="C565" s="77"/>
      <c r="D565" s="77"/>
      <c r="E565" s="77"/>
      <c r="F565" s="77"/>
      <c r="G565" s="80"/>
    </row>
    <row r="566">
      <c r="A566" s="77"/>
      <c r="B566" s="77"/>
      <c r="C566" s="77"/>
      <c r="D566" s="77"/>
      <c r="E566" s="77"/>
      <c r="F566" s="77"/>
      <c r="G566" s="80"/>
    </row>
    <row r="567">
      <c r="A567" s="77"/>
      <c r="B567" s="77"/>
      <c r="C567" s="77"/>
      <c r="D567" s="77"/>
      <c r="E567" s="77"/>
      <c r="F567" s="77"/>
      <c r="G567" s="80"/>
    </row>
    <row r="568">
      <c r="A568" s="77"/>
      <c r="B568" s="77"/>
      <c r="C568" s="77"/>
      <c r="D568" s="77"/>
      <c r="E568" s="77"/>
      <c r="F568" s="77"/>
      <c r="G568" s="80"/>
    </row>
    <row r="569">
      <c r="A569" s="77"/>
      <c r="B569" s="77"/>
      <c r="C569" s="77"/>
      <c r="D569" s="77"/>
      <c r="E569" s="77"/>
      <c r="F569" s="77"/>
      <c r="G569" s="80"/>
    </row>
    <row r="570">
      <c r="A570" s="77"/>
      <c r="B570" s="77"/>
      <c r="C570" s="77"/>
      <c r="D570" s="77"/>
      <c r="E570" s="77"/>
      <c r="F570" s="77"/>
      <c r="G570" s="80"/>
    </row>
    <row r="571">
      <c r="A571" s="77"/>
      <c r="B571" s="77"/>
      <c r="C571" s="77"/>
      <c r="D571" s="77"/>
      <c r="E571" s="77"/>
      <c r="F571" s="77"/>
      <c r="G571" s="80"/>
    </row>
    <row r="572">
      <c r="A572" s="77"/>
      <c r="B572" s="77"/>
      <c r="C572" s="77"/>
      <c r="D572" s="77"/>
      <c r="E572" s="77"/>
      <c r="F572" s="77"/>
      <c r="G572" s="80"/>
    </row>
    <row r="573">
      <c r="A573" s="77"/>
      <c r="B573" s="77"/>
      <c r="C573" s="77"/>
      <c r="D573" s="77"/>
      <c r="E573" s="77"/>
      <c r="F573" s="77"/>
      <c r="G573" s="80"/>
    </row>
    <row r="574">
      <c r="A574" s="77"/>
      <c r="B574" s="77"/>
      <c r="C574" s="77"/>
      <c r="D574" s="77"/>
      <c r="E574" s="77"/>
      <c r="F574" s="77"/>
      <c r="G574" s="80"/>
    </row>
    <row r="575">
      <c r="A575" s="77"/>
      <c r="B575" s="77"/>
      <c r="C575" s="77"/>
      <c r="D575" s="77"/>
      <c r="E575" s="77"/>
      <c r="F575" s="77"/>
      <c r="G575" s="80"/>
    </row>
    <row r="576">
      <c r="A576" s="77"/>
      <c r="B576" s="77"/>
      <c r="C576" s="77"/>
      <c r="D576" s="77"/>
      <c r="E576" s="77"/>
      <c r="F576" s="77"/>
      <c r="G576" s="80"/>
    </row>
    <row r="577">
      <c r="A577" s="77"/>
      <c r="B577" s="77"/>
      <c r="C577" s="77"/>
      <c r="D577" s="77"/>
      <c r="E577" s="77"/>
      <c r="F577" s="77"/>
      <c r="G577" s="80"/>
    </row>
    <row r="578">
      <c r="A578" s="77"/>
      <c r="B578" s="77"/>
      <c r="C578" s="77"/>
      <c r="D578" s="77"/>
      <c r="E578" s="77"/>
      <c r="F578" s="77"/>
      <c r="G578" s="80"/>
    </row>
    <row r="579">
      <c r="A579" s="77"/>
      <c r="B579" s="77"/>
      <c r="C579" s="77"/>
      <c r="D579" s="77"/>
      <c r="E579" s="77"/>
      <c r="F579" s="77"/>
      <c r="G579" s="80"/>
    </row>
    <row r="580">
      <c r="A580" s="77"/>
      <c r="B580" s="77"/>
      <c r="C580" s="77"/>
      <c r="D580" s="77"/>
      <c r="E580" s="77"/>
      <c r="F580" s="77"/>
      <c r="G580" s="80"/>
    </row>
    <row r="581">
      <c r="A581" s="77"/>
      <c r="B581" s="77"/>
      <c r="C581" s="77"/>
      <c r="D581" s="77"/>
      <c r="E581" s="77"/>
      <c r="F581" s="77"/>
      <c r="G581" s="80"/>
    </row>
    <row r="582">
      <c r="A582" s="77"/>
      <c r="B582" s="77"/>
      <c r="C582" s="77"/>
      <c r="D582" s="77"/>
      <c r="E582" s="77"/>
      <c r="F582" s="77"/>
      <c r="G582" s="80"/>
    </row>
    <row r="583">
      <c r="A583" s="77"/>
      <c r="B583" s="77"/>
      <c r="C583" s="77"/>
      <c r="D583" s="77"/>
      <c r="E583" s="77"/>
      <c r="F583" s="77"/>
      <c r="G583" s="80"/>
    </row>
    <row r="584">
      <c r="A584" s="77"/>
      <c r="B584" s="77"/>
      <c r="C584" s="77"/>
      <c r="D584" s="77"/>
      <c r="E584" s="77"/>
      <c r="F584" s="77"/>
      <c r="G584" s="80"/>
    </row>
    <row r="585">
      <c r="A585" s="77"/>
      <c r="B585" s="77"/>
      <c r="C585" s="77"/>
      <c r="D585" s="77"/>
      <c r="E585" s="77"/>
      <c r="F585" s="77"/>
      <c r="G585" s="80"/>
    </row>
    <row r="586">
      <c r="A586" s="77"/>
      <c r="B586" s="77"/>
      <c r="C586" s="77"/>
      <c r="D586" s="77"/>
      <c r="E586" s="77"/>
      <c r="F586" s="77"/>
      <c r="G586" s="80"/>
    </row>
    <row r="587">
      <c r="A587" s="77"/>
      <c r="B587" s="77"/>
      <c r="C587" s="77"/>
      <c r="D587" s="77"/>
      <c r="E587" s="77"/>
      <c r="F587" s="77"/>
      <c r="G587" s="80"/>
    </row>
    <row r="588">
      <c r="A588" s="77"/>
      <c r="B588" s="77"/>
      <c r="C588" s="77"/>
      <c r="D588" s="77"/>
      <c r="E588" s="77"/>
      <c r="F588" s="77"/>
      <c r="G588" s="80"/>
    </row>
    <row r="589">
      <c r="A589" s="77"/>
      <c r="B589" s="77"/>
      <c r="C589" s="77"/>
      <c r="D589" s="77"/>
      <c r="E589" s="77"/>
      <c r="F589" s="77"/>
      <c r="G589" s="80"/>
    </row>
    <row r="590">
      <c r="A590" s="77"/>
      <c r="B590" s="77"/>
      <c r="C590" s="77"/>
      <c r="D590" s="77"/>
      <c r="E590" s="77"/>
      <c r="F590" s="77"/>
      <c r="G590" s="80"/>
    </row>
    <row r="591">
      <c r="A591" s="77"/>
      <c r="B591" s="77"/>
      <c r="C591" s="77"/>
      <c r="D591" s="77"/>
      <c r="E591" s="77"/>
      <c r="F591" s="77"/>
      <c r="G591" s="80"/>
    </row>
    <row r="592">
      <c r="A592" s="77"/>
      <c r="B592" s="77"/>
      <c r="C592" s="77"/>
      <c r="D592" s="77"/>
      <c r="E592" s="77"/>
      <c r="F592" s="77"/>
      <c r="G592" s="80"/>
    </row>
    <row r="593">
      <c r="A593" s="77"/>
      <c r="B593" s="77"/>
      <c r="C593" s="77"/>
      <c r="D593" s="77"/>
      <c r="E593" s="77"/>
      <c r="F593" s="77"/>
      <c r="G593" s="80"/>
    </row>
    <row r="594">
      <c r="A594" s="77"/>
      <c r="B594" s="77"/>
      <c r="C594" s="77"/>
      <c r="D594" s="77"/>
      <c r="E594" s="77"/>
      <c r="F594" s="77"/>
      <c r="G594" s="80"/>
    </row>
    <row r="595">
      <c r="A595" s="77"/>
      <c r="B595" s="77"/>
      <c r="C595" s="77"/>
      <c r="D595" s="77"/>
      <c r="E595" s="77"/>
      <c r="F595" s="77"/>
      <c r="G595" s="80"/>
    </row>
    <row r="596">
      <c r="A596" s="77"/>
      <c r="B596" s="77"/>
      <c r="C596" s="77"/>
      <c r="D596" s="77"/>
      <c r="E596" s="77"/>
      <c r="F596" s="77"/>
      <c r="G596" s="80"/>
    </row>
    <row r="597">
      <c r="A597" s="77"/>
      <c r="B597" s="77"/>
      <c r="C597" s="77"/>
      <c r="D597" s="77"/>
      <c r="E597" s="77"/>
      <c r="F597" s="77"/>
      <c r="G597" s="80"/>
    </row>
    <row r="598">
      <c r="A598" s="77"/>
      <c r="B598" s="77"/>
      <c r="C598" s="77"/>
      <c r="D598" s="77"/>
      <c r="E598" s="77"/>
      <c r="F598" s="77"/>
      <c r="G598" s="80"/>
    </row>
    <row r="599">
      <c r="A599" s="77"/>
      <c r="B599" s="77"/>
      <c r="C599" s="77"/>
      <c r="D599" s="77"/>
      <c r="E599" s="77"/>
      <c r="F599" s="77"/>
      <c r="G599" s="80"/>
    </row>
    <row r="600">
      <c r="A600" s="77"/>
      <c r="B600" s="77"/>
      <c r="C600" s="77"/>
      <c r="D600" s="77"/>
      <c r="E600" s="77"/>
      <c r="F600" s="77"/>
      <c r="G600" s="80"/>
    </row>
    <row r="601">
      <c r="A601" s="77"/>
      <c r="B601" s="77"/>
      <c r="C601" s="77"/>
      <c r="D601" s="77"/>
      <c r="E601" s="77"/>
      <c r="F601" s="77"/>
      <c r="G601" s="80"/>
    </row>
    <row r="602">
      <c r="A602" s="77"/>
      <c r="B602" s="77"/>
      <c r="C602" s="77"/>
      <c r="D602" s="77"/>
      <c r="E602" s="77"/>
      <c r="F602" s="77"/>
      <c r="G602" s="80"/>
    </row>
    <row r="603">
      <c r="A603" s="77"/>
      <c r="B603" s="77"/>
      <c r="C603" s="77"/>
      <c r="D603" s="77"/>
      <c r="E603" s="77"/>
      <c r="F603" s="77"/>
      <c r="G603" s="80"/>
    </row>
    <row r="604">
      <c r="A604" s="77"/>
      <c r="B604" s="77"/>
      <c r="C604" s="77"/>
      <c r="D604" s="77"/>
      <c r="E604" s="77"/>
      <c r="F604" s="77"/>
      <c r="G604" s="80"/>
    </row>
    <row r="605">
      <c r="A605" s="77"/>
      <c r="B605" s="77"/>
      <c r="C605" s="77"/>
      <c r="D605" s="77"/>
      <c r="E605" s="77"/>
      <c r="F605" s="77"/>
      <c r="G605" s="80"/>
    </row>
    <row r="606">
      <c r="A606" s="77"/>
      <c r="B606" s="77"/>
      <c r="C606" s="77"/>
      <c r="D606" s="77"/>
      <c r="E606" s="77"/>
      <c r="F606" s="77"/>
      <c r="G606" s="80"/>
    </row>
    <row r="607">
      <c r="A607" s="77"/>
      <c r="B607" s="77"/>
      <c r="C607" s="77"/>
      <c r="D607" s="77"/>
      <c r="E607" s="77"/>
      <c r="F607" s="77"/>
      <c r="G607" s="80"/>
    </row>
    <row r="608">
      <c r="A608" s="77"/>
      <c r="B608" s="77"/>
      <c r="C608" s="77"/>
      <c r="D608" s="77"/>
      <c r="E608" s="77"/>
      <c r="F608" s="77"/>
      <c r="G608" s="80"/>
    </row>
    <row r="609">
      <c r="A609" s="77"/>
      <c r="B609" s="77"/>
      <c r="C609" s="77"/>
      <c r="D609" s="77"/>
      <c r="E609" s="77"/>
      <c r="F609" s="77"/>
      <c r="G609" s="80"/>
    </row>
    <row r="610">
      <c r="A610" s="77"/>
      <c r="B610" s="77"/>
      <c r="C610" s="77"/>
      <c r="D610" s="77"/>
      <c r="E610" s="77"/>
      <c r="F610" s="77"/>
      <c r="G610" s="80"/>
    </row>
    <row r="611">
      <c r="A611" s="77"/>
      <c r="B611" s="77"/>
      <c r="C611" s="77"/>
      <c r="D611" s="77"/>
      <c r="E611" s="77"/>
      <c r="F611" s="77"/>
      <c r="G611" s="80"/>
    </row>
    <row r="612">
      <c r="A612" s="77"/>
      <c r="B612" s="77"/>
      <c r="C612" s="77"/>
      <c r="D612" s="77"/>
      <c r="E612" s="77"/>
      <c r="F612" s="77"/>
      <c r="G612" s="80"/>
    </row>
    <row r="613">
      <c r="A613" s="77"/>
      <c r="B613" s="77"/>
      <c r="C613" s="77"/>
      <c r="D613" s="77"/>
      <c r="E613" s="77"/>
      <c r="F613" s="77"/>
      <c r="G613" s="80"/>
    </row>
    <row r="614">
      <c r="A614" s="77"/>
      <c r="B614" s="77"/>
      <c r="C614" s="77"/>
      <c r="D614" s="77"/>
      <c r="E614" s="77"/>
      <c r="F614" s="77"/>
      <c r="G614" s="80"/>
    </row>
    <row r="615">
      <c r="A615" s="77"/>
      <c r="B615" s="77"/>
      <c r="C615" s="77"/>
      <c r="D615" s="77"/>
      <c r="E615" s="77"/>
      <c r="F615" s="77"/>
      <c r="G615" s="80"/>
    </row>
    <row r="616">
      <c r="A616" s="77"/>
      <c r="B616" s="77"/>
      <c r="C616" s="77"/>
      <c r="D616" s="77"/>
      <c r="E616" s="77"/>
      <c r="F616" s="77"/>
      <c r="G616" s="80"/>
    </row>
    <row r="617">
      <c r="A617" s="77"/>
      <c r="B617" s="77"/>
      <c r="C617" s="77"/>
      <c r="D617" s="77"/>
      <c r="E617" s="77"/>
      <c r="F617" s="77"/>
      <c r="G617" s="80"/>
    </row>
    <row r="618">
      <c r="A618" s="77"/>
      <c r="B618" s="77"/>
      <c r="C618" s="77"/>
      <c r="D618" s="77"/>
      <c r="E618" s="77"/>
      <c r="F618" s="77"/>
      <c r="G618" s="80"/>
    </row>
    <row r="619">
      <c r="A619" s="77"/>
      <c r="B619" s="77"/>
      <c r="C619" s="77"/>
      <c r="D619" s="77"/>
      <c r="E619" s="77"/>
      <c r="F619" s="77"/>
      <c r="G619" s="80"/>
    </row>
    <row r="620">
      <c r="A620" s="77"/>
      <c r="B620" s="77"/>
      <c r="C620" s="77"/>
      <c r="D620" s="77"/>
      <c r="E620" s="77"/>
      <c r="F620" s="77"/>
      <c r="G620" s="80"/>
    </row>
    <row r="621">
      <c r="A621" s="77"/>
      <c r="B621" s="77"/>
      <c r="C621" s="77"/>
      <c r="D621" s="77"/>
      <c r="E621" s="77"/>
      <c r="F621" s="77"/>
      <c r="G621" s="80"/>
    </row>
    <row r="622">
      <c r="A622" s="77"/>
      <c r="B622" s="77"/>
      <c r="C622" s="77"/>
      <c r="D622" s="77"/>
      <c r="E622" s="77"/>
      <c r="F622" s="77"/>
      <c r="G622" s="80"/>
    </row>
    <row r="623">
      <c r="A623" s="77"/>
      <c r="B623" s="77"/>
      <c r="C623" s="77"/>
      <c r="D623" s="77"/>
      <c r="E623" s="77"/>
      <c r="F623" s="77"/>
      <c r="G623" s="80"/>
    </row>
    <row r="624">
      <c r="A624" s="77"/>
      <c r="B624" s="77"/>
      <c r="C624" s="77"/>
      <c r="D624" s="77"/>
      <c r="E624" s="77"/>
      <c r="F624" s="77"/>
      <c r="G624" s="80"/>
    </row>
    <row r="625">
      <c r="A625" s="77"/>
      <c r="B625" s="77"/>
      <c r="C625" s="77"/>
      <c r="D625" s="77"/>
      <c r="E625" s="77"/>
      <c r="F625" s="77"/>
      <c r="G625" s="80"/>
    </row>
    <row r="626">
      <c r="A626" s="77"/>
      <c r="B626" s="77"/>
      <c r="C626" s="77"/>
      <c r="D626" s="77"/>
      <c r="E626" s="77"/>
      <c r="F626" s="77"/>
      <c r="G626" s="80"/>
    </row>
    <row r="627">
      <c r="A627" s="77"/>
      <c r="B627" s="77"/>
      <c r="C627" s="77"/>
      <c r="D627" s="77"/>
      <c r="E627" s="77"/>
      <c r="F627" s="77"/>
      <c r="G627" s="80"/>
    </row>
    <row r="628">
      <c r="A628" s="77"/>
      <c r="B628" s="77"/>
      <c r="C628" s="77"/>
      <c r="D628" s="77"/>
      <c r="E628" s="77"/>
      <c r="F628" s="77"/>
      <c r="G628" s="80"/>
    </row>
    <row r="629">
      <c r="A629" s="77"/>
      <c r="B629" s="77"/>
      <c r="C629" s="77"/>
      <c r="D629" s="77"/>
      <c r="E629" s="77"/>
      <c r="F629" s="77"/>
      <c r="G629" s="80"/>
    </row>
    <row r="630">
      <c r="A630" s="77"/>
      <c r="B630" s="77"/>
      <c r="C630" s="77"/>
      <c r="D630" s="77"/>
      <c r="E630" s="77"/>
      <c r="F630" s="77"/>
      <c r="G630" s="80"/>
    </row>
    <row r="631">
      <c r="A631" s="77"/>
      <c r="B631" s="77"/>
      <c r="C631" s="77"/>
      <c r="D631" s="77"/>
      <c r="E631" s="77"/>
      <c r="F631" s="77"/>
      <c r="G631" s="80"/>
    </row>
    <row r="632">
      <c r="A632" s="77"/>
      <c r="B632" s="77"/>
      <c r="C632" s="77"/>
      <c r="D632" s="77"/>
      <c r="E632" s="77"/>
      <c r="F632" s="77"/>
      <c r="G632" s="80"/>
    </row>
    <row r="633">
      <c r="A633" s="77"/>
      <c r="B633" s="77"/>
      <c r="C633" s="77"/>
      <c r="D633" s="77"/>
      <c r="E633" s="77"/>
      <c r="F633" s="77"/>
      <c r="G633" s="80"/>
    </row>
    <row r="634">
      <c r="A634" s="77"/>
      <c r="B634" s="77"/>
      <c r="C634" s="77"/>
      <c r="D634" s="77"/>
      <c r="E634" s="77"/>
      <c r="F634" s="77"/>
      <c r="G634" s="80"/>
    </row>
    <row r="635">
      <c r="A635" s="77"/>
      <c r="B635" s="77"/>
      <c r="C635" s="77"/>
      <c r="D635" s="77"/>
      <c r="E635" s="77"/>
      <c r="F635" s="77"/>
      <c r="G635" s="80"/>
    </row>
    <row r="636">
      <c r="A636" s="77"/>
      <c r="B636" s="77"/>
      <c r="C636" s="77"/>
      <c r="D636" s="77"/>
      <c r="E636" s="77"/>
      <c r="F636" s="77"/>
      <c r="G636" s="80"/>
    </row>
    <row r="637">
      <c r="A637" s="77"/>
      <c r="B637" s="77"/>
      <c r="C637" s="77"/>
      <c r="D637" s="77"/>
      <c r="E637" s="77"/>
      <c r="F637" s="77"/>
      <c r="G637" s="80"/>
    </row>
    <row r="638">
      <c r="A638" s="77"/>
      <c r="B638" s="77"/>
      <c r="C638" s="77"/>
      <c r="D638" s="77"/>
      <c r="E638" s="77"/>
      <c r="F638" s="77"/>
      <c r="G638" s="80"/>
    </row>
    <row r="639">
      <c r="A639" s="77"/>
      <c r="B639" s="77"/>
      <c r="C639" s="77"/>
      <c r="D639" s="77"/>
      <c r="E639" s="77"/>
      <c r="F639" s="77"/>
      <c r="G639" s="80"/>
    </row>
    <row r="640">
      <c r="A640" s="77"/>
      <c r="B640" s="77"/>
      <c r="C640" s="77"/>
      <c r="D640" s="77"/>
      <c r="E640" s="77"/>
      <c r="F640" s="77"/>
      <c r="G640" s="80"/>
    </row>
    <row r="641">
      <c r="A641" s="77"/>
      <c r="B641" s="77"/>
      <c r="C641" s="77"/>
      <c r="D641" s="77"/>
      <c r="E641" s="77"/>
      <c r="F641" s="77"/>
      <c r="G641" s="80"/>
    </row>
    <row r="642">
      <c r="A642" s="77"/>
      <c r="B642" s="77"/>
      <c r="C642" s="77"/>
      <c r="D642" s="77"/>
      <c r="E642" s="77"/>
      <c r="F642" s="77"/>
      <c r="G642" s="80"/>
    </row>
    <row r="643">
      <c r="A643" s="77"/>
      <c r="B643" s="77"/>
      <c r="C643" s="77"/>
      <c r="D643" s="77"/>
      <c r="E643" s="77"/>
      <c r="F643" s="77"/>
      <c r="G643" s="80"/>
    </row>
    <row r="644">
      <c r="A644" s="77"/>
      <c r="B644" s="77"/>
      <c r="C644" s="77"/>
      <c r="D644" s="77"/>
      <c r="E644" s="77"/>
      <c r="F644" s="77"/>
      <c r="G644" s="80"/>
    </row>
    <row r="645">
      <c r="A645" s="77"/>
      <c r="B645" s="77"/>
      <c r="C645" s="77"/>
      <c r="D645" s="77"/>
      <c r="E645" s="77"/>
      <c r="F645" s="77"/>
      <c r="G645" s="80"/>
    </row>
    <row r="646">
      <c r="A646" s="77"/>
      <c r="B646" s="77"/>
      <c r="C646" s="77"/>
      <c r="D646" s="77"/>
      <c r="E646" s="77"/>
      <c r="F646" s="77"/>
      <c r="G646" s="80"/>
    </row>
    <row r="647">
      <c r="A647" s="77"/>
      <c r="B647" s="77"/>
      <c r="C647" s="77"/>
      <c r="D647" s="77"/>
      <c r="E647" s="77"/>
      <c r="F647" s="77"/>
      <c r="G647" s="80"/>
    </row>
    <row r="648">
      <c r="A648" s="77"/>
      <c r="B648" s="77"/>
      <c r="C648" s="77"/>
      <c r="D648" s="77"/>
      <c r="E648" s="77"/>
      <c r="F648" s="77"/>
      <c r="G648" s="80"/>
    </row>
    <row r="649">
      <c r="A649" s="77"/>
      <c r="B649" s="77"/>
      <c r="C649" s="77"/>
      <c r="D649" s="77"/>
      <c r="E649" s="77"/>
      <c r="F649" s="77"/>
      <c r="G649" s="80"/>
    </row>
    <row r="650">
      <c r="A650" s="77"/>
      <c r="B650" s="77"/>
      <c r="C650" s="77"/>
      <c r="D650" s="77"/>
      <c r="E650" s="77"/>
      <c r="F650" s="77"/>
      <c r="G650" s="80"/>
    </row>
    <row r="651">
      <c r="A651" s="77"/>
      <c r="B651" s="77"/>
      <c r="C651" s="77"/>
      <c r="D651" s="77"/>
      <c r="E651" s="77"/>
      <c r="F651" s="77"/>
      <c r="G651" s="80"/>
    </row>
    <row r="652">
      <c r="A652" s="77"/>
      <c r="B652" s="77"/>
      <c r="C652" s="77"/>
      <c r="D652" s="77"/>
      <c r="E652" s="77"/>
      <c r="F652" s="77"/>
      <c r="G652" s="80"/>
    </row>
    <row r="653">
      <c r="A653" s="77"/>
      <c r="B653" s="77"/>
      <c r="C653" s="77"/>
      <c r="D653" s="77"/>
      <c r="E653" s="77"/>
      <c r="F653" s="77"/>
      <c r="G653" s="80"/>
    </row>
    <row r="654">
      <c r="A654" s="77"/>
      <c r="B654" s="77"/>
      <c r="C654" s="77"/>
      <c r="D654" s="77"/>
      <c r="E654" s="77"/>
      <c r="F654" s="77"/>
      <c r="G654" s="80"/>
    </row>
    <row r="655">
      <c r="A655" s="77"/>
      <c r="B655" s="77"/>
      <c r="C655" s="77"/>
      <c r="D655" s="77"/>
      <c r="E655" s="77"/>
      <c r="F655" s="77"/>
      <c r="G655" s="80"/>
    </row>
    <row r="656">
      <c r="A656" s="77"/>
      <c r="B656" s="77"/>
      <c r="C656" s="77"/>
      <c r="D656" s="77"/>
      <c r="E656" s="77"/>
      <c r="F656" s="77"/>
      <c r="G656" s="80"/>
    </row>
    <row r="657">
      <c r="A657" s="77"/>
      <c r="B657" s="77"/>
      <c r="C657" s="77"/>
      <c r="D657" s="77"/>
      <c r="E657" s="77"/>
      <c r="F657" s="77"/>
      <c r="G657" s="80"/>
    </row>
    <row r="658">
      <c r="A658" s="77"/>
      <c r="B658" s="77"/>
      <c r="C658" s="77"/>
      <c r="D658" s="77"/>
      <c r="E658" s="77"/>
      <c r="F658" s="77"/>
      <c r="G658" s="80"/>
    </row>
    <row r="659">
      <c r="A659" s="77"/>
      <c r="B659" s="77"/>
      <c r="C659" s="77"/>
      <c r="D659" s="77"/>
      <c r="E659" s="77"/>
      <c r="F659" s="77"/>
      <c r="G659" s="80"/>
    </row>
    <row r="660">
      <c r="A660" s="77"/>
      <c r="B660" s="77"/>
      <c r="C660" s="77"/>
      <c r="D660" s="77"/>
      <c r="E660" s="77"/>
      <c r="F660" s="77"/>
      <c r="G660" s="80"/>
    </row>
    <row r="661">
      <c r="A661" s="77"/>
      <c r="B661" s="77"/>
      <c r="C661" s="77"/>
      <c r="D661" s="77"/>
      <c r="E661" s="77"/>
      <c r="F661" s="77"/>
      <c r="G661" s="80"/>
    </row>
    <row r="662">
      <c r="A662" s="77"/>
      <c r="B662" s="77"/>
      <c r="C662" s="77"/>
      <c r="D662" s="77"/>
      <c r="E662" s="77"/>
      <c r="F662" s="77"/>
      <c r="G662" s="80"/>
    </row>
    <row r="663">
      <c r="A663" s="77"/>
      <c r="B663" s="77"/>
      <c r="C663" s="77"/>
      <c r="D663" s="77"/>
      <c r="E663" s="77"/>
      <c r="F663" s="77"/>
      <c r="G663" s="80"/>
    </row>
    <row r="664">
      <c r="A664" s="77"/>
      <c r="B664" s="77"/>
      <c r="C664" s="77"/>
      <c r="D664" s="77"/>
      <c r="E664" s="77"/>
      <c r="F664" s="77"/>
      <c r="G664" s="80"/>
    </row>
    <row r="665">
      <c r="A665" s="77"/>
      <c r="B665" s="77"/>
      <c r="C665" s="77"/>
      <c r="D665" s="77"/>
      <c r="E665" s="77"/>
      <c r="F665" s="77"/>
      <c r="G665" s="80"/>
    </row>
    <row r="666">
      <c r="A666" s="77"/>
      <c r="B666" s="77"/>
      <c r="C666" s="77"/>
      <c r="D666" s="77"/>
      <c r="E666" s="77"/>
      <c r="F666" s="77"/>
      <c r="G666" s="80"/>
    </row>
    <row r="667">
      <c r="A667" s="77"/>
      <c r="B667" s="77"/>
      <c r="C667" s="77"/>
      <c r="D667" s="77"/>
      <c r="E667" s="77"/>
      <c r="F667" s="77"/>
      <c r="G667" s="80"/>
    </row>
    <row r="668">
      <c r="A668" s="77"/>
      <c r="B668" s="77"/>
      <c r="C668" s="77"/>
      <c r="D668" s="77"/>
      <c r="E668" s="77"/>
      <c r="F668" s="77"/>
      <c r="G668" s="80"/>
    </row>
    <row r="669">
      <c r="A669" s="77"/>
      <c r="B669" s="77"/>
      <c r="C669" s="77"/>
      <c r="D669" s="77"/>
      <c r="E669" s="77"/>
      <c r="F669" s="77"/>
      <c r="G669" s="80"/>
    </row>
    <row r="670">
      <c r="A670" s="77"/>
      <c r="B670" s="77"/>
      <c r="C670" s="77"/>
      <c r="D670" s="77"/>
      <c r="E670" s="77"/>
      <c r="F670" s="77"/>
      <c r="G670" s="80"/>
    </row>
    <row r="671">
      <c r="A671" s="77"/>
      <c r="B671" s="77"/>
      <c r="C671" s="77"/>
      <c r="D671" s="77"/>
      <c r="E671" s="77"/>
      <c r="F671" s="77"/>
      <c r="G671" s="80"/>
    </row>
    <row r="672">
      <c r="A672" s="77"/>
      <c r="B672" s="77"/>
      <c r="C672" s="77"/>
      <c r="D672" s="77"/>
      <c r="E672" s="77"/>
      <c r="F672" s="77"/>
      <c r="G672" s="80"/>
    </row>
    <row r="673">
      <c r="A673" s="77"/>
      <c r="B673" s="77"/>
      <c r="C673" s="77"/>
      <c r="D673" s="77"/>
      <c r="E673" s="77"/>
      <c r="F673" s="77"/>
      <c r="G673" s="80"/>
    </row>
    <row r="674">
      <c r="A674" s="77"/>
      <c r="B674" s="77"/>
      <c r="C674" s="77"/>
      <c r="D674" s="77"/>
      <c r="E674" s="77"/>
      <c r="F674" s="77"/>
      <c r="G674" s="80"/>
    </row>
    <row r="675">
      <c r="A675" s="77"/>
      <c r="B675" s="77"/>
      <c r="C675" s="77"/>
      <c r="D675" s="77"/>
      <c r="E675" s="77"/>
      <c r="F675" s="77"/>
      <c r="G675" s="80"/>
    </row>
    <row r="676">
      <c r="A676" s="77"/>
      <c r="B676" s="77"/>
      <c r="C676" s="77"/>
      <c r="D676" s="77"/>
      <c r="E676" s="77"/>
      <c r="F676" s="77"/>
      <c r="G676" s="80"/>
    </row>
    <row r="677">
      <c r="A677" s="77"/>
      <c r="B677" s="77"/>
      <c r="C677" s="77"/>
      <c r="D677" s="77"/>
      <c r="E677" s="77"/>
      <c r="F677" s="77"/>
      <c r="G677" s="80"/>
    </row>
    <row r="678">
      <c r="A678" s="77"/>
      <c r="B678" s="77"/>
      <c r="C678" s="77"/>
      <c r="D678" s="77"/>
      <c r="E678" s="77"/>
      <c r="F678" s="77"/>
      <c r="G678" s="80"/>
    </row>
    <row r="679">
      <c r="A679" s="77"/>
      <c r="B679" s="77"/>
      <c r="C679" s="77"/>
      <c r="D679" s="77"/>
      <c r="E679" s="77"/>
      <c r="F679" s="77"/>
      <c r="G679" s="80"/>
    </row>
    <row r="680">
      <c r="A680" s="77"/>
      <c r="B680" s="77"/>
      <c r="C680" s="77"/>
      <c r="D680" s="77"/>
      <c r="E680" s="77"/>
      <c r="F680" s="77"/>
      <c r="G680" s="80"/>
    </row>
    <row r="681">
      <c r="A681" s="77"/>
      <c r="B681" s="77"/>
      <c r="C681" s="77"/>
      <c r="D681" s="77"/>
      <c r="E681" s="77"/>
      <c r="F681" s="77"/>
      <c r="G681" s="80"/>
    </row>
    <row r="682">
      <c r="A682" s="77"/>
      <c r="B682" s="77"/>
      <c r="C682" s="77"/>
      <c r="D682" s="77"/>
      <c r="E682" s="77"/>
      <c r="F682" s="77"/>
      <c r="G682" s="80"/>
    </row>
    <row r="683">
      <c r="A683" s="77"/>
      <c r="B683" s="77"/>
      <c r="C683" s="77"/>
      <c r="D683" s="77"/>
      <c r="E683" s="77"/>
      <c r="F683" s="77"/>
      <c r="G683" s="80"/>
    </row>
    <row r="684">
      <c r="A684" s="77"/>
      <c r="B684" s="77"/>
      <c r="C684" s="77"/>
      <c r="D684" s="77"/>
      <c r="E684" s="77"/>
      <c r="F684" s="77"/>
      <c r="G684" s="80"/>
    </row>
    <row r="685">
      <c r="A685" s="77"/>
      <c r="B685" s="77"/>
      <c r="C685" s="77"/>
      <c r="D685" s="77"/>
      <c r="E685" s="77"/>
      <c r="F685" s="77"/>
      <c r="G685" s="80"/>
    </row>
    <row r="686">
      <c r="A686" s="77"/>
      <c r="B686" s="77"/>
      <c r="C686" s="77"/>
      <c r="D686" s="77"/>
      <c r="E686" s="77"/>
      <c r="F686" s="77"/>
      <c r="G686" s="80"/>
    </row>
    <row r="687">
      <c r="A687" s="77"/>
      <c r="B687" s="77"/>
      <c r="C687" s="77"/>
      <c r="D687" s="77"/>
      <c r="E687" s="77"/>
      <c r="F687" s="77"/>
      <c r="G687" s="80"/>
    </row>
    <row r="688">
      <c r="A688" s="77"/>
      <c r="B688" s="77"/>
      <c r="C688" s="77"/>
      <c r="D688" s="77"/>
      <c r="E688" s="77"/>
      <c r="F688" s="77"/>
      <c r="G688" s="80"/>
    </row>
    <row r="689">
      <c r="A689" s="77"/>
      <c r="B689" s="77"/>
      <c r="C689" s="77"/>
      <c r="D689" s="77"/>
      <c r="E689" s="77"/>
      <c r="F689" s="77"/>
      <c r="G689" s="80"/>
    </row>
    <row r="690">
      <c r="A690" s="77"/>
      <c r="B690" s="77"/>
      <c r="C690" s="77"/>
      <c r="D690" s="77"/>
      <c r="E690" s="77"/>
      <c r="F690" s="77"/>
      <c r="G690" s="80"/>
    </row>
    <row r="691">
      <c r="A691" s="77"/>
      <c r="B691" s="77"/>
      <c r="C691" s="77"/>
      <c r="D691" s="77"/>
      <c r="E691" s="77"/>
      <c r="F691" s="77"/>
      <c r="G691" s="80"/>
    </row>
    <row r="692">
      <c r="A692" s="77"/>
      <c r="B692" s="77"/>
      <c r="C692" s="77"/>
      <c r="D692" s="77"/>
      <c r="E692" s="77"/>
      <c r="F692" s="77"/>
      <c r="G692" s="80"/>
    </row>
    <row r="693">
      <c r="A693" s="77"/>
      <c r="B693" s="77"/>
      <c r="C693" s="77"/>
      <c r="D693" s="77"/>
      <c r="E693" s="77"/>
      <c r="F693" s="77"/>
      <c r="G693" s="80"/>
    </row>
    <row r="694">
      <c r="A694" s="77"/>
      <c r="B694" s="77"/>
      <c r="C694" s="77"/>
      <c r="D694" s="77"/>
      <c r="E694" s="77"/>
      <c r="F694" s="77"/>
      <c r="G694" s="80"/>
    </row>
    <row r="695">
      <c r="A695" s="77"/>
      <c r="B695" s="77"/>
      <c r="C695" s="77"/>
      <c r="D695" s="77"/>
      <c r="E695" s="77"/>
      <c r="F695" s="77"/>
      <c r="G695" s="80"/>
    </row>
    <row r="696">
      <c r="A696" s="77"/>
      <c r="B696" s="77"/>
      <c r="C696" s="77"/>
      <c r="D696" s="77"/>
      <c r="E696" s="77"/>
      <c r="F696" s="77"/>
      <c r="G696" s="80"/>
    </row>
    <row r="697">
      <c r="A697" s="77"/>
      <c r="B697" s="77"/>
      <c r="C697" s="77"/>
      <c r="D697" s="77"/>
      <c r="E697" s="77"/>
      <c r="F697" s="77"/>
      <c r="G697" s="80"/>
    </row>
    <row r="698">
      <c r="A698" s="77"/>
      <c r="B698" s="77"/>
      <c r="C698" s="77"/>
      <c r="D698" s="77"/>
      <c r="E698" s="77"/>
      <c r="F698" s="77"/>
      <c r="G698" s="80"/>
    </row>
    <row r="699">
      <c r="A699" s="77"/>
      <c r="B699" s="77"/>
      <c r="C699" s="77"/>
      <c r="D699" s="77"/>
      <c r="E699" s="77"/>
      <c r="F699" s="77"/>
      <c r="G699" s="80"/>
    </row>
    <row r="700">
      <c r="A700" s="77"/>
      <c r="B700" s="77"/>
      <c r="C700" s="77"/>
      <c r="D700" s="77"/>
      <c r="E700" s="77"/>
      <c r="F700" s="77"/>
      <c r="G700" s="80"/>
    </row>
    <row r="701">
      <c r="A701" s="77"/>
      <c r="B701" s="77"/>
      <c r="C701" s="77"/>
      <c r="D701" s="77"/>
      <c r="E701" s="77"/>
      <c r="F701" s="77"/>
      <c r="G701" s="80"/>
    </row>
    <row r="702">
      <c r="A702" s="77"/>
      <c r="B702" s="77"/>
      <c r="C702" s="77"/>
      <c r="D702" s="77"/>
      <c r="E702" s="77"/>
      <c r="F702" s="77"/>
      <c r="G702" s="80"/>
    </row>
    <row r="703">
      <c r="A703" s="77"/>
      <c r="B703" s="77"/>
      <c r="C703" s="77"/>
      <c r="D703" s="77"/>
      <c r="E703" s="77"/>
      <c r="F703" s="77"/>
      <c r="G703" s="80"/>
    </row>
    <row r="704">
      <c r="A704" s="77"/>
      <c r="B704" s="77"/>
      <c r="C704" s="77"/>
      <c r="D704" s="77"/>
      <c r="E704" s="77"/>
      <c r="F704" s="77"/>
      <c r="G704" s="80"/>
    </row>
    <row r="705">
      <c r="A705" s="77"/>
      <c r="B705" s="77"/>
      <c r="C705" s="77"/>
      <c r="D705" s="77"/>
      <c r="E705" s="77"/>
      <c r="F705" s="77"/>
      <c r="G705" s="80"/>
    </row>
    <row r="706">
      <c r="A706" s="77"/>
      <c r="B706" s="77"/>
      <c r="C706" s="77"/>
      <c r="D706" s="77"/>
      <c r="E706" s="77"/>
      <c r="F706" s="77"/>
      <c r="G706" s="80"/>
    </row>
    <row r="707">
      <c r="A707" s="77"/>
      <c r="B707" s="77"/>
      <c r="C707" s="77"/>
      <c r="D707" s="77"/>
      <c r="E707" s="77"/>
      <c r="F707" s="77"/>
      <c r="G707" s="80"/>
    </row>
    <row r="708">
      <c r="A708" s="77"/>
      <c r="B708" s="77"/>
      <c r="C708" s="77"/>
      <c r="D708" s="77"/>
      <c r="E708" s="77"/>
      <c r="F708" s="77"/>
      <c r="G708" s="80"/>
    </row>
    <row r="709">
      <c r="A709" s="77"/>
      <c r="B709" s="77"/>
      <c r="C709" s="77"/>
      <c r="D709" s="77"/>
      <c r="E709" s="77"/>
      <c r="F709" s="77"/>
      <c r="G709" s="80"/>
    </row>
    <row r="710">
      <c r="A710" s="77"/>
      <c r="B710" s="77"/>
      <c r="C710" s="77"/>
      <c r="D710" s="77"/>
      <c r="E710" s="77"/>
      <c r="F710" s="77"/>
      <c r="G710" s="80"/>
    </row>
    <row r="711">
      <c r="A711" s="77"/>
      <c r="B711" s="77"/>
      <c r="C711" s="77"/>
      <c r="D711" s="77"/>
      <c r="E711" s="77"/>
      <c r="F711" s="77"/>
      <c r="G711" s="80"/>
    </row>
    <row r="712">
      <c r="A712" s="77"/>
      <c r="B712" s="77"/>
      <c r="C712" s="77"/>
      <c r="D712" s="77"/>
      <c r="E712" s="77"/>
      <c r="F712" s="77"/>
      <c r="G712" s="80"/>
    </row>
    <row r="713">
      <c r="A713" s="77"/>
      <c r="B713" s="77"/>
      <c r="C713" s="77"/>
      <c r="D713" s="77"/>
      <c r="E713" s="77"/>
      <c r="F713" s="77"/>
      <c r="G713" s="80"/>
    </row>
    <row r="714">
      <c r="A714" s="77"/>
      <c r="B714" s="77"/>
      <c r="C714" s="77"/>
      <c r="D714" s="77"/>
      <c r="E714" s="77"/>
      <c r="F714" s="77"/>
      <c r="G714" s="80"/>
    </row>
    <row r="715">
      <c r="A715" s="77"/>
      <c r="B715" s="77"/>
      <c r="C715" s="77"/>
      <c r="D715" s="77"/>
      <c r="E715" s="77"/>
      <c r="F715" s="77"/>
      <c r="G715" s="80"/>
    </row>
    <row r="716">
      <c r="A716" s="77"/>
      <c r="B716" s="77"/>
      <c r="C716" s="77"/>
      <c r="D716" s="77"/>
      <c r="E716" s="77"/>
      <c r="F716" s="77"/>
      <c r="G716" s="80"/>
    </row>
    <row r="717">
      <c r="A717" s="77"/>
      <c r="B717" s="77"/>
      <c r="C717" s="77"/>
      <c r="D717" s="77"/>
      <c r="E717" s="77"/>
      <c r="F717" s="77"/>
      <c r="G717" s="80"/>
    </row>
    <row r="718">
      <c r="A718" s="77"/>
      <c r="B718" s="77"/>
      <c r="C718" s="77"/>
      <c r="D718" s="77"/>
      <c r="E718" s="77"/>
      <c r="F718" s="77"/>
      <c r="G718" s="80"/>
    </row>
    <row r="719">
      <c r="A719" s="77"/>
      <c r="B719" s="77"/>
      <c r="C719" s="77"/>
      <c r="D719" s="77"/>
      <c r="E719" s="77"/>
      <c r="F719" s="77"/>
      <c r="G719" s="80"/>
    </row>
    <row r="720">
      <c r="A720" s="77"/>
      <c r="B720" s="77"/>
      <c r="C720" s="77"/>
      <c r="D720" s="77"/>
      <c r="E720" s="77"/>
      <c r="F720" s="77"/>
      <c r="G720" s="80"/>
    </row>
    <row r="721">
      <c r="A721" s="77"/>
      <c r="B721" s="77"/>
      <c r="C721" s="77"/>
      <c r="D721" s="77"/>
      <c r="E721" s="77"/>
      <c r="F721" s="77"/>
      <c r="G721" s="80"/>
    </row>
    <row r="722">
      <c r="A722" s="77"/>
      <c r="B722" s="77"/>
      <c r="C722" s="77"/>
      <c r="D722" s="77"/>
      <c r="E722" s="77"/>
      <c r="F722" s="77"/>
      <c r="G722" s="80"/>
    </row>
    <row r="723">
      <c r="A723" s="77"/>
      <c r="B723" s="77"/>
      <c r="C723" s="77"/>
      <c r="D723" s="77"/>
      <c r="E723" s="77"/>
      <c r="F723" s="77"/>
      <c r="G723" s="80"/>
    </row>
    <row r="724">
      <c r="A724" s="77"/>
      <c r="B724" s="77"/>
      <c r="C724" s="77"/>
      <c r="D724" s="77"/>
      <c r="E724" s="77"/>
      <c r="F724" s="77"/>
      <c r="G724" s="80"/>
    </row>
    <row r="725">
      <c r="A725" s="77"/>
      <c r="B725" s="77"/>
      <c r="C725" s="77"/>
      <c r="D725" s="77"/>
      <c r="E725" s="77"/>
      <c r="F725" s="77"/>
      <c r="G725" s="80"/>
    </row>
    <row r="726">
      <c r="A726" s="77"/>
      <c r="B726" s="77"/>
      <c r="C726" s="77"/>
      <c r="D726" s="77"/>
      <c r="E726" s="77"/>
      <c r="F726" s="77"/>
      <c r="G726" s="80"/>
    </row>
    <row r="727">
      <c r="A727" s="77"/>
      <c r="B727" s="77"/>
      <c r="C727" s="77"/>
      <c r="D727" s="77"/>
      <c r="E727" s="77"/>
      <c r="F727" s="77"/>
      <c r="G727" s="80"/>
    </row>
    <row r="728">
      <c r="A728" s="77"/>
      <c r="B728" s="77"/>
      <c r="C728" s="77"/>
      <c r="D728" s="77"/>
      <c r="E728" s="77"/>
      <c r="F728" s="77"/>
      <c r="G728" s="80"/>
    </row>
    <row r="729">
      <c r="A729" s="77"/>
      <c r="B729" s="77"/>
      <c r="C729" s="77"/>
      <c r="D729" s="77"/>
      <c r="E729" s="77"/>
      <c r="F729" s="77"/>
      <c r="G729" s="80"/>
    </row>
    <row r="730">
      <c r="A730" s="77"/>
      <c r="B730" s="77"/>
      <c r="C730" s="77"/>
      <c r="D730" s="77"/>
      <c r="E730" s="77"/>
      <c r="F730" s="77"/>
      <c r="G730" s="80"/>
    </row>
    <row r="731">
      <c r="A731" s="77"/>
      <c r="B731" s="77"/>
      <c r="C731" s="77"/>
      <c r="D731" s="77"/>
      <c r="E731" s="77"/>
      <c r="F731" s="77"/>
      <c r="G731" s="80"/>
    </row>
    <row r="732">
      <c r="A732" s="77"/>
      <c r="B732" s="77"/>
      <c r="C732" s="77"/>
      <c r="D732" s="77"/>
      <c r="E732" s="77"/>
      <c r="F732" s="77"/>
      <c r="G732" s="80"/>
    </row>
    <row r="733">
      <c r="A733" s="77"/>
      <c r="B733" s="77"/>
      <c r="C733" s="77"/>
      <c r="D733" s="77"/>
      <c r="E733" s="77"/>
      <c r="F733" s="77"/>
      <c r="G733" s="80"/>
    </row>
    <row r="734">
      <c r="A734" s="77"/>
      <c r="B734" s="77"/>
      <c r="C734" s="77"/>
      <c r="D734" s="77"/>
      <c r="E734" s="77"/>
      <c r="F734" s="77"/>
      <c r="G734" s="80"/>
    </row>
    <row r="735">
      <c r="A735" s="77"/>
      <c r="B735" s="77"/>
      <c r="C735" s="77"/>
      <c r="D735" s="77"/>
      <c r="E735" s="77"/>
      <c r="F735" s="77"/>
      <c r="G735" s="80"/>
    </row>
    <row r="736">
      <c r="A736" s="77"/>
      <c r="B736" s="77"/>
      <c r="C736" s="77"/>
      <c r="D736" s="77"/>
      <c r="E736" s="77"/>
      <c r="F736" s="77"/>
      <c r="G736" s="80"/>
    </row>
    <row r="737">
      <c r="A737" s="77"/>
      <c r="B737" s="77"/>
      <c r="C737" s="77"/>
      <c r="D737" s="77"/>
      <c r="E737" s="77"/>
      <c r="F737" s="77"/>
      <c r="G737" s="80"/>
    </row>
    <row r="738">
      <c r="A738" s="77"/>
      <c r="B738" s="77"/>
      <c r="C738" s="77"/>
      <c r="D738" s="77"/>
      <c r="E738" s="77"/>
      <c r="F738" s="77"/>
      <c r="G738" s="80"/>
    </row>
    <row r="739">
      <c r="A739" s="77"/>
      <c r="B739" s="77"/>
      <c r="C739" s="77"/>
      <c r="D739" s="77"/>
      <c r="E739" s="77"/>
      <c r="F739" s="77"/>
      <c r="G739" s="80"/>
    </row>
    <row r="740">
      <c r="A740" s="77"/>
      <c r="B740" s="77"/>
      <c r="C740" s="77"/>
      <c r="D740" s="77"/>
      <c r="E740" s="77"/>
      <c r="F740" s="77"/>
      <c r="G740" s="80"/>
    </row>
    <row r="741">
      <c r="A741" s="77"/>
      <c r="B741" s="77"/>
      <c r="C741" s="77"/>
      <c r="D741" s="77"/>
      <c r="E741" s="77"/>
      <c r="F741" s="77"/>
      <c r="G741" s="80"/>
    </row>
    <row r="742">
      <c r="A742" s="77"/>
      <c r="B742" s="77"/>
      <c r="C742" s="77"/>
      <c r="D742" s="77"/>
      <c r="E742" s="77"/>
      <c r="F742" s="77"/>
      <c r="G742" s="80"/>
    </row>
    <row r="743">
      <c r="A743" s="77"/>
      <c r="B743" s="77"/>
      <c r="C743" s="77"/>
      <c r="D743" s="77"/>
      <c r="E743" s="77"/>
      <c r="F743" s="77"/>
      <c r="G743" s="80"/>
    </row>
    <row r="744">
      <c r="A744" s="77"/>
      <c r="B744" s="77"/>
      <c r="C744" s="77"/>
      <c r="D744" s="77"/>
      <c r="E744" s="77"/>
      <c r="F744" s="77"/>
      <c r="G744" s="80"/>
    </row>
    <row r="745">
      <c r="A745" s="77"/>
      <c r="B745" s="77"/>
      <c r="C745" s="77"/>
      <c r="D745" s="77"/>
      <c r="E745" s="77"/>
      <c r="F745" s="77"/>
      <c r="G745" s="80"/>
    </row>
    <row r="746">
      <c r="A746" s="77"/>
      <c r="B746" s="77"/>
      <c r="C746" s="77"/>
      <c r="D746" s="77"/>
      <c r="E746" s="77"/>
      <c r="F746" s="77"/>
      <c r="G746" s="80"/>
    </row>
    <row r="747">
      <c r="A747" s="77"/>
      <c r="B747" s="77"/>
      <c r="C747" s="77"/>
      <c r="D747" s="77"/>
      <c r="E747" s="77"/>
      <c r="F747" s="77"/>
      <c r="G747" s="80"/>
    </row>
    <row r="748">
      <c r="A748" s="77"/>
      <c r="B748" s="77"/>
      <c r="C748" s="77"/>
      <c r="D748" s="77"/>
      <c r="E748" s="77"/>
      <c r="F748" s="77"/>
      <c r="G748" s="80"/>
    </row>
    <row r="749">
      <c r="A749" s="77"/>
      <c r="B749" s="77"/>
      <c r="C749" s="77"/>
      <c r="D749" s="77"/>
      <c r="E749" s="77"/>
      <c r="F749" s="77"/>
      <c r="G749" s="80"/>
    </row>
    <row r="750">
      <c r="A750" s="77"/>
      <c r="B750" s="77"/>
      <c r="C750" s="77"/>
      <c r="D750" s="77"/>
      <c r="E750" s="77"/>
      <c r="F750" s="77"/>
      <c r="G750" s="80"/>
    </row>
    <row r="751">
      <c r="A751" s="77"/>
      <c r="B751" s="77"/>
      <c r="C751" s="77"/>
      <c r="D751" s="77"/>
      <c r="E751" s="77"/>
      <c r="F751" s="77"/>
      <c r="G751" s="80"/>
    </row>
    <row r="752">
      <c r="A752" s="77"/>
      <c r="B752" s="77"/>
      <c r="C752" s="77"/>
      <c r="D752" s="77"/>
      <c r="E752" s="77"/>
      <c r="F752" s="77"/>
      <c r="G752" s="80"/>
    </row>
    <row r="753">
      <c r="A753" s="77"/>
      <c r="B753" s="77"/>
      <c r="C753" s="77"/>
      <c r="D753" s="77"/>
      <c r="E753" s="77"/>
      <c r="F753" s="77"/>
      <c r="G753" s="80"/>
    </row>
    <row r="754">
      <c r="A754" s="77"/>
      <c r="B754" s="77"/>
      <c r="C754" s="77"/>
      <c r="D754" s="77"/>
      <c r="E754" s="77"/>
      <c r="F754" s="77"/>
      <c r="G754" s="80"/>
    </row>
    <row r="755">
      <c r="A755" s="77"/>
      <c r="B755" s="77"/>
      <c r="C755" s="77"/>
      <c r="D755" s="77"/>
      <c r="E755" s="77"/>
      <c r="F755" s="77"/>
      <c r="G755" s="80"/>
    </row>
    <row r="756">
      <c r="A756" s="77"/>
      <c r="B756" s="77"/>
      <c r="C756" s="77"/>
      <c r="D756" s="77"/>
      <c r="E756" s="77"/>
      <c r="F756" s="77"/>
      <c r="G756" s="80"/>
    </row>
    <row r="757">
      <c r="A757" s="77"/>
      <c r="B757" s="77"/>
      <c r="C757" s="77"/>
      <c r="D757" s="77"/>
      <c r="E757" s="77"/>
      <c r="F757" s="77"/>
      <c r="G757" s="80"/>
    </row>
    <row r="758">
      <c r="A758" s="77"/>
      <c r="B758" s="77"/>
      <c r="C758" s="77"/>
      <c r="D758" s="77"/>
      <c r="E758" s="77"/>
      <c r="F758" s="77"/>
      <c r="G758" s="80"/>
    </row>
    <row r="759">
      <c r="A759" s="77"/>
      <c r="B759" s="77"/>
      <c r="C759" s="77"/>
      <c r="D759" s="77"/>
      <c r="E759" s="77"/>
      <c r="F759" s="77"/>
      <c r="G759" s="80"/>
    </row>
    <row r="760">
      <c r="A760" s="77"/>
      <c r="B760" s="77"/>
      <c r="C760" s="77"/>
      <c r="D760" s="77"/>
      <c r="E760" s="77"/>
      <c r="F760" s="77"/>
      <c r="G760" s="80"/>
    </row>
    <row r="761">
      <c r="A761" s="77"/>
      <c r="B761" s="77"/>
      <c r="C761" s="77"/>
      <c r="D761" s="77"/>
      <c r="E761" s="77"/>
      <c r="F761" s="77"/>
      <c r="G761" s="80"/>
    </row>
    <row r="762">
      <c r="A762" s="77"/>
      <c r="B762" s="77"/>
      <c r="C762" s="77"/>
      <c r="D762" s="77"/>
      <c r="E762" s="77"/>
      <c r="F762" s="77"/>
      <c r="G762" s="80"/>
    </row>
    <row r="763">
      <c r="A763" s="77"/>
      <c r="B763" s="77"/>
      <c r="C763" s="77"/>
      <c r="D763" s="77"/>
      <c r="E763" s="77"/>
      <c r="F763" s="77"/>
      <c r="G763" s="80"/>
    </row>
    <row r="764">
      <c r="A764" s="77"/>
      <c r="B764" s="77"/>
      <c r="C764" s="77"/>
      <c r="D764" s="77"/>
      <c r="E764" s="77"/>
      <c r="F764" s="77"/>
      <c r="G764" s="80"/>
    </row>
    <row r="765">
      <c r="A765" s="77"/>
      <c r="B765" s="77"/>
      <c r="C765" s="77"/>
      <c r="D765" s="77"/>
      <c r="E765" s="77"/>
      <c r="F765" s="77"/>
      <c r="G765" s="80"/>
    </row>
    <row r="766">
      <c r="A766" s="77"/>
      <c r="B766" s="77"/>
      <c r="C766" s="77"/>
      <c r="D766" s="77"/>
      <c r="E766" s="77"/>
      <c r="F766" s="77"/>
      <c r="G766" s="80"/>
    </row>
    <row r="767">
      <c r="A767" s="77"/>
      <c r="B767" s="77"/>
      <c r="C767" s="77"/>
      <c r="D767" s="77"/>
      <c r="E767" s="77"/>
      <c r="F767" s="77"/>
      <c r="G767" s="80"/>
    </row>
    <row r="768">
      <c r="A768" s="77"/>
      <c r="B768" s="77"/>
      <c r="C768" s="77"/>
      <c r="D768" s="77"/>
      <c r="E768" s="77"/>
      <c r="F768" s="77"/>
      <c r="G768" s="80"/>
    </row>
    <row r="769">
      <c r="A769" s="77"/>
      <c r="B769" s="77"/>
      <c r="C769" s="77"/>
      <c r="D769" s="77"/>
      <c r="E769" s="77"/>
      <c r="F769" s="77"/>
      <c r="G769" s="80"/>
    </row>
    <row r="770">
      <c r="A770" s="77"/>
      <c r="B770" s="77"/>
      <c r="C770" s="77"/>
      <c r="D770" s="77"/>
      <c r="E770" s="77"/>
      <c r="F770" s="77"/>
      <c r="G770" s="80"/>
    </row>
    <row r="771">
      <c r="A771" s="77"/>
      <c r="B771" s="77"/>
      <c r="C771" s="77"/>
      <c r="D771" s="77"/>
      <c r="E771" s="77"/>
      <c r="F771" s="77"/>
      <c r="G771" s="80"/>
    </row>
    <row r="772">
      <c r="A772" s="77"/>
      <c r="B772" s="77"/>
      <c r="C772" s="77"/>
      <c r="D772" s="77"/>
      <c r="E772" s="77"/>
      <c r="F772" s="77"/>
      <c r="G772" s="80"/>
    </row>
    <row r="773">
      <c r="A773" s="77"/>
      <c r="B773" s="77"/>
      <c r="C773" s="77"/>
      <c r="D773" s="77"/>
      <c r="E773" s="77"/>
      <c r="F773" s="77"/>
      <c r="G773" s="80"/>
    </row>
    <row r="774">
      <c r="A774" s="77"/>
      <c r="B774" s="77"/>
      <c r="C774" s="77"/>
      <c r="D774" s="77"/>
      <c r="E774" s="77"/>
      <c r="F774" s="77"/>
      <c r="G774" s="80"/>
    </row>
    <row r="775">
      <c r="A775" s="77"/>
      <c r="B775" s="77"/>
      <c r="C775" s="77"/>
      <c r="D775" s="77"/>
      <c r="E775" s="77"/>
      <c r="F775" s="77"/>
      <c r="G775" s="80"/>
    </row>
    <row r="776">
      <c r="A776" s="77"/>
      <c r="B776" s="77"/>
      <c r="C776" s="77"/>
      <c r="D776" s="77"/>
      <c r="E776" s="77"/>
      <c r="F776" s="77"/>
      <c r="G776" s="80"/>
    </row>
    <row r="777">
      <c r="A777" s="77"/>
      <c r="B777" s="77"/>
      <c r="C777" s="77"/>
      <c r="D777" s="77"/>
      <c r="E777" s="77"/>
      <c r="F777" s="77"/>
      <c r="G777" s="80"/>
    </row>
    <row r="778">
      <c r="A778" s="77"/>
      <c r="B778" s="77"/>
      <c r="C778" s="77"/>
      <c r="D778" s="77"/>
      <c r="E778" s="77"/>
      <c r="F778" s="77"/>
      <c r="G778" s="80"/>
    </row>
    <row r="779">
      <c r="A779" s="77"/>
      <c r="B779" s="77"/>
      <c r="C779" s="77"/>
      <c r="D779" s="77"/>
      <c r="E779" s="77"/>
      <c r="F779" s="77"/>
      <c r="G779" s="80"/>
    </row>
    <row r="780">
      <c r="A780" s="77"/>
      <c r="B780" s="77"/>
      <c r="C780" s="77"/>
      <c r="D780" s="77"/>
      <c r="E780" s="77"/>
      <c r="F780" s="77"/>
      <c r="G780" s="80"/>
    </row>
    <row r="781">
      <c r="A781" s="77"/>
      <c r="B781" s="77"/>
      <c r="C781" s="77"/>
      <c r="D781" s="77"/>
      <c r="E781" s="77"/>
      <c r="F781" s="77"/>
      <c r="G781" s="80"/>
    </row>
    <row r="782">
      <c r="A782" s="77"/>
      <c r="B782" s="77"/>
      <c r="C782" s="77"/>
      <c r="D782" s="77"/>
      <c r="E782" s="77"/>
      <c r="F782" s="77"/>
      <c r="G782" s="80"/>
    </row>
    <row r="783">
      <c r="A783" s="77"/>
      <c r="B783" s="77"/>
      <c r="C783" s="77"/>
      <c r="D783" s="77"/>
      <c r="E783" s="77"/>
      <c r="F783" s="77"/>
      <c r="G783" s="80"/>
    </row>
    <row r="784">
      <c r="A784" s="77"/>
      <c r="B784" s="77"/>
      <c r="C784" s="77"/>
      <c r="D784" s="77"/>
      <c r="E784" s="77"/>
      <c r="F784" s="77"/>
      <c r="G784" s="80"/>
    </row>
    <row r="785">
      <c r="A785" s="77"/>
      <c r="B785" s="77"/>
      <c r="C785" s="77"/>
      <c r="D785" s="77"/>
      <c r="E785" s="77"/>
      <c r="F785" s="77"/>
      <c r="G785" s="80"/>
    </row>
    <row r="786">
      <c r="A786" s="77"/>
      <c r="B786" s="77"/>
      <c r="C786" s="77"/>
      <c r="D786" s="77"/>
      <c r="E786" s="77"/>
      <c r="F786" s="77"/>
      <c r="G786" s="80"/>
    </row>
    <row r="787">
      <c r="A787" s="77"/>
      <c r="B787" s="77"/>
      <c r="C787" s="77"/>
      <c r="D787" s="77"/>
      <c r="E787" s="77"/>
      <c r="F787" s="77"/>
      <c r="G787" s="80"/>
    </row>
    <row r="788">
      <c r="A788" s="77"/>
      <c r="B788" s="77"/>
      <c r="C788" s="77"/>
      <c r="D788" s="77"/>
      <c r="E788" s="77"/>
      <c r="F788" s="77"/>
      <c r="G788" s="80"/>
    </row>
    <row r="789">
      <c r="A789" s="77"/>
      <c r="B789" s="77"/>
      <c r="C789" s="77"/>
      <c r="D789" s="77"/>
      <c r="E789" s="77"/>
      <c r="F789" s="77"/>
      <c r="G789" s="80"/>
    </row>
    <row r="790">
      <c r="A790" s="77"/>
      <c r="B790" s="77"/>
      <c r="C790" s="77"/>
      <c r="D790" s="77"/>
      <c r="E790" s="77"/>
      <c r="F790" s="77"/>
      <c r="G790" s="80"/>
    </row>
    <row r="791">
      <c r="A791" s="77"/>
      <c r="B791" s="77"/>
      <c r="C791" s="77"/>
      <c r="D791" s="77"/>
      <c r="E791" s="77"/>
      <c r="F791" s="77"/>
      <c r="G791" s="80"/>
    </row>
    <row r="792">
      <c r="A792" s="77"/>
      <c r="B792" s="77"/>
      <c r="C792" s="77"/>
      <c r="D792" s="77"/>
      <c r="E792" s="77"/>
      <c r="F792" s="77"/>
      <c r="G792" s="80"/>
    </row>
    <row r="793">
      <c r="A793" s="77"/>
      <c r="B793" s="77"/>
      <c r="C793" s="77"/>
      <c r="D793" s="77"/>
      <c r="E793" s="77"/>
      <c r="F793" s="77"/>
      <c r="G793" s="80"/>
    </row>
    <row r="794">
      <c r="A794" s="77"/>
      <c r="B794" s="77"/>
      <c r="C794" s="77"/>
      <c r="D794" s="77"/>
      <c r="E794" s="77"/>
      <c r="F794" s="77"/>
      <c r="G794" s="80"/>
    </row>
    <row r="795">
      <c r="A795" s="77"/>
      <c r="B795" s="77"/>
      <c r="C795" s="77"/>
      <c r="D795" s="77"/>
      <c r="E795" s="77"/>
      <c r="F795" s="77"/>
      <c r="G795" s="80"/>
    </row>
    <row r="796">
      <c r="A796" s="77"/>
      <c r="B796" s="77"/>
      <c r="C796" s="77"/>
      <c r="D796" s="77"/>
      <c r="E796" s="77"/>
      <c r="F796" s="77"/>
      <c r="G796" s="80"/>
    </row>
    <row r="797">
      <c r="A797" s="77"/>
      <c r="B797" s="77"/>
      <c r="C797" s="77"/>
      <c r="D797" s="77"/>
      <c r="E797" s="77"/>
      <c r="F797" s="77"/>
      <c r="G797" s="80"/>
    </row>
    <row r="798">
      <c r="A798" s="77"/>
      <c r="B798" s="77"/>
      <c r="C798" s="77"/>
      <c r="D798" s="77"/>
      <c r="E798" s="77"/>
      <c r="F798" s="77"/>
      <c r="G798" s="80"/>
    </row>
    <row r="799">
      <c r="A799" s="77"/>
      <c r="B799" s="77"/>
      <c r="C799" s="77"/>
      <c r="D799" s="77"/>
      <c r="E799" s="77"/>
      <c r="F799" s="77"/>
      <c r="G799" s="80"/>
    </row>
    <row r="800">
      <c r="A800" s="77"/>
      <c r="B800" s="77"/>
      <c r="C800" s="77"/>
      <c r="D800" s="77"/>
      <c r="E800" s="77"/>
      <c r="F800" s="77"/>
      <c r="G800" s="80"/>
    </row>
    <row r="801">
      <c r="A801" s="77"/>
      <c r="B801" s="77"/>
      <c r="C801" s="77"/>
      <c r="D801" s="77"/>
      <c r="E801" s="77"/>
      <c r="F801" s="77"/>
      <c r="G801" s="80"/>
    </row>
    <row r="802">
      <c r="A802" s="77"/>
      <c r="B802" s="77"/>
      <c r="C802" s="77"/>
      <c r="D802" s="77"/>
      <c r="E802" s="77"/>
      <c r="F802" s="77"/>
      <c r="G802" s="80"/>
    </row>
    <row r="803">
      <c r="A803" s="77"/>
      <c r="B803" s="77"/>
      <c r="C803" s="77"/>
      <c r="D803" s="77"/>
      <c r="E803" s="77"/>
      <c r="F803" s="77"/>
      <c r="G803" s="80"/>
    </row>
    <row r="804">
      <c r="A804" s="77"/>
      <c r="B804" s="77"/>
      <c r="C804" s="77"/>
      <c r="D804" s="77"/>
      <c r="E804" s="77"/>
      <c r="F804" s="77"/>
      <c r="G804" s="80"/>
    </row>
    <row r="805">
      <c r="A805" s="77"/>
      <c r="B805" s="77"/>
      <c r="C805" s="77"/>
      <c r="D805" s="77"/>
      <c r="E805" s="77"/>
      <c r="F805" s="77"/>
      <c r="G805" s="80"/>
    </row>
    <row r="806">
      <c r="A806" s="77"/>
      <c r="B806" s="77"/>
      <c r="C806" s="77"/>
      <c r="D806" s="77"/>
      <c r="E806" s="77"/>
      <c r="F806" s="77"/>
      <c r="G806" s="80"/>
    </row>
    <row r="807">
      <c r="A807" s="77"/>
      <c r="B807" s="77"/>
      <c r="C807" s="77"/>
      <c r="D807" s="77"/>
      <c r="E807" s="77"/>
      <c r="F807" s="77"/>
      <c r="G807" s="80"/>
    </row>
    <row r="808">
      <c r="A808" s="77"/>
      <c r="B808" s="77"/>
      <c r="C808" s="77"/>
      <c r="D808" s="77"/>
      <c r="E808" s="77"/>
      <c r="F808" s="77"/>
      <c r="G808" s="80"/>
    </row>
    <row r="809">
      <c r="A809" s="77"/>
      <c r="B809" s="77"/>
      <c r="C809" s="77"/>
      <c r="D809" s="77"/>
      <c r="E809" s="77"/>
      <c r="F809" s="77"/>
      <c r="G809" s="80"/>
    </row>
    <row r="810">
      <c r="A810" s="77"/>
      <c r="B810" s="77"/>
      <c r="C810" s="77"/>
      <c r="D810" s="77"/>
      <c r="E810" s="77"/>
      <c r="F810" s="77"/>
      <c r="G810" s="80"/>
    </row>
    <row r="811">
      <c r="A811" s="77"/>
      <c r="B811" s="77"/>
      <c r="C811" s="77"/>
      <c r="D811" s="77"/>
      <c r="E811" s="77"/>
      <c r="F811" s="77"/>
      <c r="G811" s="80"/>
    </row>
    <row r="812">
      <c r="A812" s="77"/>
      <c r="B812" s="77"/>
      <c r="C812" s="77"/>
      <c r="D812" s="77"/>
      <c r="E812" s="77"/>
      <c r="F812" s="77"/>
      <c r="G812" s="80"/>
    </row>
    <row r="813">
      <c r="A813" s="77"/>
      <c r="B813" s="77"/>
      <c r="C813" s="77"/>
      <c r="D813" s="77"/>
      <c r="E813" s="77"/>
      <c r="F813" s="77"/>
      <c r="G813" s="80"/>
    </row>
    <row r="814">
      <c r="A814" s="77"/>
      <c r="B814" s="77"/>
      <c r="C814" s="77"/>
      <c r="D814" s="77"/>
      <c r="E814" s="77"/>
      <c r="F814" s="77"/>
      <c r="G814" s="80"/>
    </row>
    <row r="815">
      <c r="A815" s="77"/>
      <c r="B815" s="77"/>
      <c r="C815" s="77"/>
      <c r="D815" s="77"/>
      <c r="E815" s="77"/>
      <c r="F815" s="77"/>
      <c r="G815" s="80"/>
    </row>
    <row r="816">
      <c r="A816" s="77"/>
      <c r="B816" s="77"/>
      <c r="C816" s="77"/>
      <c r="D816" s="77"/>
      <c r="E816" s="77"/>
      <c r="F816" s="77"/>
      <c r="G816" s="80"/>
    </row>
    <row r="817">
      <c r="A817" s="77"/>
      <c r="B817" s="77"/>
      <c r="C817" s="77"/>
      <c r="D817" s="77"/>
      <c r="E817" s="77"/>
      <c r="F817" s="77"/>
      <c r="G817" s="80"/>
    </row>
    <row r="818">
      <c r="A818" s="77"/>
      <c r="B818" s="77"/>
      <c r="C818" s="77"/>
      <c r="D818" s="77"/>
      <c r="E818" s="77"/>
      <c r="F818" s="77"/>
      <c r="G818" s="80"/>
    </row>
    <row r="819">
      <c r="A819" s="77"/>
      <c r="B819" s="77"/>
      <c r="C819" s="77"/>
      <c r="D819" s="77"/>
      <c r="E819" s="77"/>
      <c r="F819" s="77"/>
      <c r="G819" s="80"/>
    </row>
    <row r="820">
      <c r="A820" s="77"/>
      <c r="B820" s="77"/>
      <c r="C820" s="77"/>
      <c r="D820" s="77"/>
      <c r="E820" s="77"/>
      <c r="F820" s="77"/>
      <c r="G820" s="80"/>
    </row>
    <row r="821">
      <c r="A821" s="77"/>
      <c r="B821" s="77"/>
      <c r="C821" s="77"/>
      <c r="D821" s="77"/>
      <c r="E821" s="77"/>
      <c r="F821" s="77"/>
      <c r="G821" s="80"/>
    </row>
    <row r="822">
      <c r="A822" s="77"/>
      <c r="B822" s="77"/>
      <c r="C822" s="77"/>
      <c r="D822" s="77"/>
      <c r="E822" s="77"/>
      <c r="F822" s="77"/>
      <c r="G822" s="80"/>
    </row>
    <row r="823">
      <c r="A823" s="77"/>
      <c r="B823" s="77"/>
      <c r="C823" s="77"/>
      <c r="D823" s="77"/>
      <c r="E823" s="77"/>
      <c r="F823" s="77"/>
      <c r="G823" s="80"/>
    </row>
    <row r="824">
      <c r="A824" s="77"/>
      <c r="B824" s="77"/>
      <c r="C824" s="77"/>
      <c r="D824" s="77"/>
      <c r="E824" s="77"/>
      <c r="F824" s="77"/>
      <c r="G824" s="80"/>
    </row>
    <row r="825">
      <c r="A825" s="77"/>
      <c r="B825" s="77"/>
      <c r="C825" s="77"/>
      <c r="D825" s="77"/>
      <c r="E825" s="77"/>
      <c r="F825" s="77"/>
      <c r="G825" s="80"/>
    </row>
    <row r="826">
      <c r="A826" s="77"/>
      <c r="B826" s="77"/>
      <c r="C826" s="77"/>
      <c r="D826" s="77"/>
      <c r="E826" s="77"/>
      <c r="F826" s="77"/>
      <c r="G826" s="80"/>
    </row>
    <row r="827">
      <c r="A827" s="77"/>
      <c r="B827" s="77"/>
      <c r="C827" s="77"/>
      <c r="D827" s="77"/>
      <c r="E827" s="77"/>
      <c r="F827" s="77"/>
      <c r="G827" s="80"/>
    </row>
    <row r="828">
      <c r="A828" s="77"/>
      <c r="B828" s="77"/>
      <c r="C828" s="77"/>
      <c r="D828" s="77"/>
      <c r="E828" s="77"/>
      <c r="F828" s="77"/>
      <c r="G828" s="80"/>
    </row>
    <row r="829">
      <c r="A829" s="77"/>
      <c r="B829" s="77"/>
      <c r="C829" s="77"/>
      <c r="D829" s="77"/>
      <c r="E829" s="77"/>
      <c r="F829" s="77"/>
      <c r="G829" s="80"/>
    </row>
    <row r="830">
      <c r="A830" s="77"/>
      <c r="B830" s="77"/>
      <c r="C830" s="77"/>
      <c r="D830" s="77"/>
      <c r="E830" s="77"/>
      <c r="F830" s="77"/>
      <c r="G830" s="80"/>
    </row>
    <row r="831">
      <c r="A831" s="77"/>
      <c r="B831" s="77"/>
      <c r="C831" s="77"/>
      <c r="D831" s="77"/>
      <c r="E831" s="77"/>
      <c r="F831" s="77"/>
      <c r="G831" s="80"/>
    </row>
    <row r="832">
      <c r="A832" s="77"/>
      <c r="B832" s="77"/>
      <c r="C832" s="77"/>
      <c r="D832" s="77"/>
      <c r="E832" s="77"/>
      <c r="F832" s="77"/>
      <c r="G832" s="80"/>
    </row>
    <row r="833">
      <c r="A833" s="77"/>
      <c r="B833" s="77"/>
      <c r="C833" s="77"/>
      <c r="D833" s="77"/>
      <c r="E833" s="77"/>
      <c r="F833" s="77"/>
      <c r="G833" s="80"/>
    </row>
    <row r="834">
      <c r="A834" s="77"/>
      <c r="B834" s="77"/>
      <c r="C834" s="77"/>
      <c r="D834" s="77"/>
      <c r="E834" s="77"/>
      <c r="F834" s="77"/>
      <c r="G834" s="80"/>
    </row>
    <row r="835">
      <c r="A835" s="77"/>
      <c r="B835" s="77"/>
      <c r="C835" s="77"/>
      <c r="D835" s="77"/>
      <c r="E835" s="77"/>
      <c r="F835" s="77"/>
      <c r="G835" s="80"/>
    </row>
    <row r="836">
      <c r="A836" s="77"/>
      <c r="B836" s="77"/>
      <c r="C836" s="77"/>
      <c r="D836" s="77"/>
      <c r="E836" s="77"/>
      <c r="F836" s="77"/>
      <c r="G836" s="80"/>
    </row>
    <row r="837">
      <c r="A837" s="77"/>
      <c r="B837" s="77"/>
      <c r="C837" s="77"/>
      <c r="D837" s="77"/>
      <c r="E837" s="77"/>
      <c r="F837" s="77"/>
      <c r="G837" s="80"/>
    </row>
    <row r="838">
      <c r="A838" s="77"/>
      <c r="B838" s="77"/>
      <c r="C838" s="77"/>
      <c r="D838" s="77"/>
      <c r="E838" s="77"/>
      <c r="F838" s="77"/>
      <c r="G838" s="80"/>
    </row>
    <row r="839">
      <c r="A839" s="77"/>
      <c r="B839" s="77"/>
      <c r="C839" s="77"/>
      <c r="D839" s="77"/>
      <c r="E839" s="77"/>
      <c r="F839" s="77"/>
      <c r="G839" s="80"/>
    </row>
    <row r="840">
      <c r="A840" s="77"/>
      <c r="B840" s="77"/>
      <c r="C840" s="77"/>
      <c r="D840" s="77"/>
      <c r="E840" s="77"/>
      <c r="F840" s="77"/>
      <c r="G840" s="80"/>
    </row>
    <row r="841">
      <c r="A841" s="77"/>
      <c r="B841" s="77"/>
      <c r="C841" s="77"/>
      <c r="D841" s="77"/>
      <c r="E841" s="77"/>
      <c r="F841" s="77"/>
      <c r="G841" s="80"/>
    </row>
    <row r="842">
      <c r="A842" s="77"/>
      <c r="B842" s="77"/>
      <c r="C842" s="77"/>
      <c r="D842" s="77"/>
      <c r="E842" s="77"/>
      <c r="F842" s="77"/>
      <c r="G842" s="80"/>
    </row>
    <row r="843">
      <c r="A843" s="77"/>
      <c r="B843" s="77"/>
      <c r="C843" s="77"/>
      <c r="D843" s="77"/>
      <c r="E843" s="77"/>
      <c r="F843" s="77"/>
      <c r="G843" s="80"/>
    </row>
    <row r="844">
      <c r="A844" s="77"/>
      <c r="B844" s="77"/>
      <c r="C844" s="77"/>
      <c r="D844" s="77"/>
      <c r="E844" s="77"/>
      <c r="F844" s="77"/>
      <c r="G844" s="80"/>
    </row>
    <row r="845">
      <c r="A845" s="77"/>
      <c r="B845" s="77"/>
      <c r="C845" s="77"/>
      <c r="D845" s="77"/>
      <c r="E845" s="77"/>
      <c r="F845" s="77"/>
      <c r="G845" s="80"/>
    </row>
    <row r="846">
      <c r="A846" s="77"/>
      <c r="B846" s="77"/>
      <c r="C846" s="77"/>
      <c r="D846" s="77"/>
      <c r="E846" s="77"/>
      <c r="F846" s="77"/>
      <c r="G846" s="80"/>
    </row>
    <row r="847">
      <c r="A847" s="77"/>
      <c r="B847" s="77"/>
      <c r="C847" s="77"/>
      <c r="D847" s="77"/>
      <c r="E847" s="77"/>
      <c r="F847" s="77"/>
      <c r="G847" s="80"/>
    </row>
    <row r="848">
      <c r="A848" s="77"/>
      <c r="B848" s="77"/>
      <c r="C848" s="77"/>
      <c r="D848" s="77"/>
      <c r="E848" s="77"/>
      <c r="F848" s="77"/>
      <c r="G848" s="80"/>
    </row>
    <row r="849">
      <c r="A849" s="77"/>
      <c r="B849" s="77"/>
      <c r="C849" s="77"/>
      <c r="D849" s="77"/>
      <c r="E849" s="77"/>
      <c r="F849" s="77"/>
      <c r="G849" s="80"/>
    </row>
    <row r="850">
      <c r="A850" s="77"/>
      <c r="B850" s="77"/>
      <c r="C850" s="77"/>
      <c r="D850" s="77"/>
      <c r="E850" s="77"/>
      <c r="F850" s="77"/>
      <c r="G850" s="80"/>
    </row>
    <row r="851">
      <c r="A851" s="77"/>
      <c r="B851" s="77"/>
      <c r="C851" s="77"/>
      <c r="D851" s="77"/>
      <c r="E851" s="77"/>
      <c r="F851" s="77"/>
      <c r="G851" s="80"/>
    </row>
    <row r="852">
      <c r="A852" s="77"/>
      <c r="B852" s="77"/>
      <c r="C852" s="77"/>
      <c r="D852" s="77"/>
      <c r="E852" s="77"/>
      <c r="F852" s="77"/>
      <c r="G852" s="80"/>
    </row>
    <row r="853">
      <c r="A853" s="77"/>
      <c r="B853" s="77"/>
      <c r="C853" s="77"/>
      <c r="D853" s="77"/>
      <c r="E853" s="77"/>
      <c r="F853" s="77"/>
      <c r="G853" s="80"/>
    </row>
    <row r="854">
      <c r="A854" s="77"/>
      <c r="B854" s="77"/>
      <c r="C854" s="77"/>
      <c r="D854" s="77"/>
      <c r="E854" s="77"/>
      <c r="F854" s="77"/>
      <c r="G854" s="80"/>
    </row>
    <row r="855">
      <c r="A855" s="77"/>
      <c r="B855" s="77"/>
      <c r="C855" s="77"/>
      <c r="D855" s="77"/>
      <c r="E855" s="77"/>
      <c r="F855" s="77"/>
      <c r="G855" s="80"/>
    </row>
    <row r="856">
      <c r="A856" s="77"/>
      <c r="B856" s="77"/>
      <c r="C856" s="77"/>
      <c r="D856" s="77"/>
      <c r="E856" s="77"/>
      <c r="F856" s="77"/>
      <c r="G856" s="80"/>
    </row>
    <row r="857">
      <c r="A857" s="77"/>
      <c r="B857" s="77"/>
      <c r="C857" s="77"/>
      <c r="D857" s="77"/>
      <c r="E857" s="77"/>
      <c r="F857" s="77"/>
      <c r="G857" s="80"/>
    </row>
    <row r="858">
      <c r="A858" s="77"/>
      <c r="B858" s="77"/>
      <c r="C858" s="77"/>
      <c r="D858" s="77"/>
      <c r="E858" s="77"/>
      <c r="F858" s="77"/>
      <c r="G858" s="80"/>
    </row>
    <row r="859">
      <c r="A859" s="77"/>
      <c r="B859" s="77"/>
      <c r="C859" s="77"/>
      <c r="D859" s="77"/>
      <c r="E859" s="77"/>
      <c r="F859" s="77"/>
      <c r="G859" s="80"/>
    </row>
    <row r="860">
      <c r="A860" s="77"/>
      <c r="B860" s="77"/>
      <c r="C860" s="77"/>
      <c r="D860" s="77"/>
      <c r="E860" s="77"/>
      <c r="F860" s="77"/>
      <c r="G860" s="80"/>
    </row>
    <row r="861">
      <c r="A861" s="77"/>
      <c r="B861" s="77"/>
      <c r="C861" s="77"/>
      <c r="D861" s="77"/>
      <c r="E861" s="77"/>
      <c r="F861" s="77"/>
      <c r="G861" s="80"/>
    </row>
    <row r="862">
      <c r="A862" s="77"/>
      <c r="B862" s="77"/>
      <c r="C862" s="77"/>
      <c r="D862" s="77"/>
      <c r="E862" s="77"/>
      <c r="F862" s="77"/>
      <c r="G862" s="80"/>
    </row>
    <row r="863">
      <c r="A863" s="77"/>
      <c r="B863" s="77"/>
      <c r="C863" s="77"/>
      <c r="D863" s="77"/>
      <c r="E863" s="77"/>
      <c r="F863" s="77"/>
      <c r="G863" s="80"/>
    </row>
    <row r="864">
      <c r="A864" s="77"/>
      <c r="B864" s="77"/>
      <c r="C864" s="77"/>
      <c r="D864" s="77"/>
      <c r="E864" s="77"/>
      <c r="F864" s="77"/>
      <c r="G864" s="80"/>
    </row>
    <row r="865">
      <c r="A865" s="77"/>
      <c r="B865" s="77"/>
      <c r="C865" s="77"/>
      <c r="D865" s="77"/>
      <c r="E865" s="77"/>
      <c r="F865" s="77"/>
      <c r="G865" s="80"/>
    </row>
    <row r="866">
      <c r="A866" s="77"/>
      <c r="B866" s="77"/>
      <c r="C866" s="77"/>
      <c r="D866" s="77"/>
      <c r="E866" s="77"/>
      <c r="F866" s="77"/>
      <c r="G866" s="80"/>
    </row>
    <row r="867">
      <c r="A867" s="77"/>
      <c r="B867" s="77"/>
      <c r="C867" s="77"/>
      <c r="D867" s="77"/>
      <c r="E867" s="77"/>
      <c r="F867" s="77"/>
      <c r="G867" s="80"/>
    </row>
    <row r="868">
      <c r="A868" s="77"/>
      <c r="B868" s="77"/>
      <c r="C868" s="77"/>
      <c r="D868" s="77"/>
      <c r="E868" s="77"/>
      <c r="F868" s="77"/>
      <c r="G868" s="80"/>
    </row>
    <row r="869">
      <c r="A869" s="77"/>
      <c r="B869" s="77"/>
      <c r="C869" s="77"/>
      <c r="D869" s="77"/>
      <c r="E869" s="77"/>
      <c r="F869" s="77"/>
      <c r="G869" s="80"/>
    </row>
    <row r="870">
      <c r="A870" s="77"/>
      <c r="B870" s="77"/>
      <c r="C870" s="77"/>
      <c r="D870" s="77"/>
      <c r="E870" s="77"/>
      <c r="F870" s="77"/>
      <c r="G870" s="80"/>
    </row>
    <row r="871">
      <c r="A871" s="77"/>
      <c r="B871" s="77"/>
      <c r="C871" s="77"/>
      <c r="D871" s="77"/>
      <c r="E871" s="77"/>
      <c r="F871" s="77"/>
      <c r="G871" s="80"/>
    </row>
    <row r="872">
      <c r="A872" s="77"/>
      <c r="B872" s="77"/>
      <c r="C872" s="77"/>
      <c r="D872" s="77"/>
      <c r="E872" s="77"/>
      <c r="F872" s="77"/>
      <c r="G872" s="80"/>
    </row>
    <row r="873">
      <c r="A873" s="77"/>
      <c r="B873" s="77"/>
      <c r="C873" s="77"/>
      <c r="D873" s="77"/>
      <c r="E873" s="77"/>
      <c r="F873" s="77"/>
      <c r="G873" s="80"/>
    </row>
    <row r="874">
      <c r="A874" s="77"/>
      <c r="B874" s="77"/>
      <c r="C874" s="77"/>
      <c r="D874" s="77"/>
      <c r="E874" s="77"/>
      <c r="F874" s="77"/>
      <c r="G874" s="80"/>
    </row>
    <row r="875">
      <c r="A875" s="77"/>
      <c r="B875" s="77"/>
      <c r="C875" s="77"/>
      <c r="D875" s="77"/>
      <c r="E875" s="77"/>
      <c r="F875" s="77"/>
      <c r="G875" s="80"/>
    </row>
    <row r="876">
      <c r="A876" s="77"/>
      <c r="B876" s="77"/>
      <c r="C876" s="77"/>
      <c r="D876" s="77"/>
      <c r="E876" s="77"/>
      <c r="F876" s="77"/>
      <c r="G876" s="80"/>
    </row>
    <row r="877">
      <c r="A877" s="77"/>
      <c r="B877" s="77"/>
      <c r="C877" s="77"/>
      <c r="D877" s="77"/>
      <c r="E877" s="77"/>
      <c r="F877" s="77"/>
      <c r="G877" s="80"/>
    </row>
    <row r="878">
      <c r="A878" s="77"/>
      <c r="B878" s="77"/>
      <c r="C878" s="77"/>
      <c r="D878" s="77"/>
      <c r="E878" s="77"/>
      <c r="F878" s="77"/>
      <c r="G878" s="80"/>
    </row>
    <row r="879">
      <c r="A879" s="77"/>
      <c r="B879" s="77"/>
      <c r="C879" s="77"/>
      <c r="D879" s="77"/>
      <c r="E879" s="77"/>
      <c r="F879" s="77"/>
      <c r="G879" s="80"/>
    </row>
    <row r="880">
      <c r="A880" s="77"/>
      <c r="B880" s="77"/>
      <c r="C880" s="77"/>
      <c r="D880" s="77"/>
      <c r="E880" s="77"/>
      <c r="F880" s="77"/>
      <c r="G880" s="80"/>
    </row>
    <row r="881">
      <c r="A881" s="77"/>
      <c r="B881" s="77"/>
      <c r="C881" s="77"/>
      <c r="D881" s="77"/>
      <c r="E881" s="77"/>
      <c r="F881" s="77"/>
      <c r="G881" s="80"/>
    </row>
    <row r="882">
      <c r="A882" s="77"/>
      <c r="B882" s="77"/>
      <c r="C882" s="77"/>
      <c r="D882" s="77"/>
      <c r="E882" s="77"/>
      <c r="F882" s="77"/>
      <c r="G882" s="80"/>
    </row>
    <row r="883">
      <c r="A883" s="77"/>
      <c r="B883" s="77"/>
      <c r="C883" s="77"/>
      <c r="D883" s="77"/>
      <c r="E883" s="77"/>
      <c r="F883" s="77"/>
      <c r="G883" s="80"/>
    </row>
    <row r="884">
      <c r="A884" s="77"/>
      <c r="B884" s="77"/>
      <c r="C884" s="77"/>
      <c r="D884" s="77"/>
      <c r="E884" s="77"/>
      <c r="F884" s="77"/>
      <c r="G884" s="80"/>
    </row>
    <row r="885">
      <c r="A885" s="77"/>
      <c r="B885" s="77"/>
      <c r="C885" s="77"/>
      <c r="D885" s="77"/>
      <c r="E885" s="77"/>
      <c r="F885" s="77"/>
      <c r="G885" s="80"/>
    </row>
    <row r="886">
      <c r="A886" s="77"/>
      <c r="B886" s="77"/>
      <c r="C886" s="77"/>
      <c r="D886" s="77"/>
      <c r="E886" s="77"/>
      <c r="F886" s="77"/>
      <c r="G886" s="80"/>
    </row>
    <row r="887">
      <c r="A887" s="77"/>
      <c r="B887" s="77"/>
      <c r="C887" s="77"/>
      <c r="D887" s="77"/>
      <c r="E887" s="77"/>
      <c r="F887" s="77"/>
      <c r="G887" s="80"/>
    </row>
    <row r="888">
      <c r="A888" s="77"/>
      <c r="B888" s="77"/>
      <c r="C888" s="77"/>
      <c r="D888" s="77"/>
      <c r="E888" s="77"/>
      <c r="F888" s="77"/>
      <c r="G888" s="80"/>
    </row>
    <row r="889">
      <c r="A889" s="77"/>
      <c r="B889" s="77"/>
      <c r="C889" s="77"/>
      <c r="D889" s="77"/>
      <c r="E889" s="77"/>
      <c r="F889" s="77"/>
      <c r="G889" s="80"/>
    </row>
    <row r="890">
      <c r="A890" s="77"/>
      <c r="B890" s="77"/>
      <c r="C890" s="77"/>
      <c r="D890" s="77"/>
      <c r="E890" s="77"/>
      <c r="F890" s="77"/>
      <c r="G890" s="80"/>
    </row>
    <row r="891">
      <c r="A891" s="77"/>
      <c r="B891" s="77"/>
      <c r="C891" s="77"/>
      <c r="D891" s="77"/>
      <c r="E891" s="77"/>
      <c r="F891" s="77"/>
      <c r="G891" s="80"/>
    </row>
    <row r="892">
      <c r="A892" s="77"/>
      <c r="B892" s="77"/>
      <c r="C892" s="77"/>
      <c r="D892" s="77"/>
      <c r="E892" s="77"/>
      <c r="F892" s="77"/>
      <c r="G892" s="80"/>
    </row>
    <row r="893">
      <c r="A893" s="77"/>
      <c r="B893" s="77"/>
      <c r="C893" s="77"/>
      <c r="D893" s="77"/>
      <c r="E893" s="77"/>
      <c r="F893" s="77"/>
      <c r="G893" s="80"/>
    </row>
    <row r="894">
      <c r="A894" s="77"/>
      <c r="B894" s="77"/>
      <c r="C894" s="77"/>
      <c r="D894" s="77"/>
      <c r="E894" s="77"/>
      <c r="F894" s="77"/>
      <c r="G894" s="80"/>
    </row>
    <row r="895">
      <c r="A895" s="77"/>
      <c r="B895" s="77"/>
      <c r="C895" s="77"/>
      <c r="D895" s="77"/>
      <c r="E895" s="77"/>
      <c r="F895" s="77"/>
      <c r="G895" s="80"/>
    </row>
    <row r="896">
      <c r="A896" s="77"/>
      <c r="B896" s="77"/>
      <c r="C896" s="77"/>
      <c r="D896" s="77"/>
      <c r="E896" s="77"/>
      <c r="F896" s="77"/>
      <c r="G896" s="80"/>
    </row>
    <row r="897">
      <c r="A897" s="77"/>
      <c r="B897" s="77"/>
      <c r="C897" s="77"/>
      <c r="D897" s="77"/>
      <c r="E897" s="77"/>
      <c r="F897" s="77"/>
      <c r="G897" s="80"/>
    </row>
    <row r="898">
      <c r="A898" s="77"/>
      <c r="B898" s="77"/>
      <c r="C898" s="77"/>
      <c r="D898" s="77"/>
      <c r="E898" s="77"/>
      <c r="F898" s="77"/>
      <c r="G898" s="80"/>
    </row>
    <row r="899">
      <c r="A899" s="77"/>
      <c r="B899" s="77"/>
      <c r="C899" s="77"/>
      <c r="D899" s="77"/>
      <c r="E899" s="77"/>
      <c r="F899" s="77"/>
      <c r="G899" s="80"/>
    </row>
    <row r="900">
      <c r="A900" s="77"/>
      <c r="B900" s="77"/>
      <c r="C900" s="77"/>
      <c r="D900" s="77"/>
      <c r="E900" s="77"/>
      <c r="F900" s="77"/>
      <c r="G900" s="80"/>
    </row>
    <row r="901">
      <c r="A901" s="77"/>
      <c r="B901" s="77"/>
      <c r="C901" s="77"/>
      <c r="D901" s="77"/>
      <c r="E901" s="77"/>
      <c r="F901" s="77"/>
      <c r="G901" s="80"/>
    </row>
    <row r="902">
      <c r="A902" s="77"/>
      <c r="B902" s="77"/>
      <c r="C902" s="77"/>
      <c r="D902" s="77"/>
      <c r="E902" s="77"/>
      <c r="F902" s="77"/>
      <c r="G902" s="80"/>
    </row>
    <row r="903">
      <c r="A903" s="77"/>
      <c r="B903" s="77"/>
      <c r="C903" s="77"/>
      <c r="D903" s="77"/>
      <c r="E903" s="77"/>
      <c r="F903" s="77"/>
      <c r="G903" s="80"/>
    </row>
    <row r="904">
      <c r="A904" s="77"/>
      <c r="B904" s="77"/>
      <c r="C904" s="77"/>
      <c r="D904" s="77"/>
      <c r="E904" s="77"/>
      <c r="F904" s="77"/>
      <c r="G904" s="80"/>
    </row>
    <row r="905">
      <c r="A905" s="77"/>
      <c r="B905" s="77"/>
      <c r="C905" s="77"/>
      <c r="D905" s="77"/>
      <c r="E905" s="77"/>
      <c r="F905" s="77"/>
      <c r="G905" s="80"/>
    </row>
    <row r="906">
      <c r="A906" s="77"/>
      <c r="B906" s="77"/>
      <c r="C906" s="77"/>
      <c r="D906" s="77"/>
      <c r="E906" s="77"/>
      <c r="F906" s="77"/>
      <c r="G906" s="80"/>
    </row>
    <row r="907">
      <c r="A907" s="77"/>
      <c r="B907" s="77"/>
      <c r="C907" s="77"/>
      <c r="D907" s="77"/>
      <c r="E907" s="77"/>
      <c r="F907" s="77"/>
      <c r="G907" s="80"/>
    </row>
    <row r="908">
      <c r="A908" s="77"/>
      <c r="B908" s="77"/>
      <c r="C908" s="77"/>
      <c r="D908" s="77"/>
      <c r="E908" s="77"/>
      <c r="F908" s="77"/>
      <c r="G908" s="80"/>
    </row>
    <row r="909">
      <c r="A909" s="77"/>
      <c r="B909" s="77"/>
      <c r="C909" s="77"/>
      <c r="D909" s="77"/>
      <c r="E909" s="77"/>
      <c r="F909" s="77"/>
      <c r="G909" s="80"/>
    </row>
    <row r="910">
      <c r="A910" s="77"/>
      <c r="B910" s="77"/>
      <c r="C910" s="77"/>
      <c r="D910" s="77"/>
      <c r="E910" s="77"/>
      <c r="F910" s="77"/>
      <c r="G910" s="80"/>
    </row>
    <row r="911">
      <c r="A911" s="77"/>
      <c r="B911" s="77"/>
      <c r="C911" s="77"/>
      <c r="D911" s="77"/>
      <c r="E911" s="77"/>
      <c r="F911" s="77"/>
      <c r="G911" s="80"/>
    </row>
    <row r="912">
      <c r="A912" s="77"/>
      <c r="B912" s="77"/>
      <c r="C912" s="77"/>
      <c r="D912" s="77"/>
      <c r="E912" s="77"/>
      <c r="F912" s="77"/>
      <c r="G912" s="80"/>
    </row>
    <row r="913">
      <c r="A913" s="77"/>
      <c r="B913" s="77"/>
      <c r="C913" s="77"/>
      <c r="D913" s="77"/>
      <c r="E913" s="77"/>
      <c r="F913" s="77"/>
      <c r="G913" s="80"/>
    </row>
    <row r="914">
      <c r="A914" s="77"/>
      <c r="B914" s="77"/>
      <c r="C914" s="77"/>
      <c r="D914" s="77"/>
      <c r="E914" s="77"/>
      <c r="F914" s="77"/>
      <c r="G914" s="80"/>
    </row>
    <row r="915">
      <c r="A915" s="77"/>
      <c r="B915" s="77"/>
      <c r="C915" s="77"/>
      <c r="D915" s="77"/>
      <c r="E915" s="77"/>
      <c r="F915" s="77"/>
      <c r="G915" s="80"/>
    </row>
    <row r="916">
      <c r="A916" s="77"/>
      <c r="B916" s="77"/>
      <c r="C916" s="77"/>
      <c r="D916" s="77"/>
      <c r="E916" s="77"/>
      <c r="F916" s="77"/>
      <c r="G916" s="80"/>
    </row>
    <row r="917">
      <c r="A917" s="77"/>
      <c r="B917" s="77"/>
      <c r="C917" s="77"/>
      <c r="D917" s="77"/>
      <c r="E917" s="77"/>
      <c r="F917" s="77"/>
      <c r="G917" s="80"/>
    </row>
    <row r="918">
      <c r="A918" s="77"/>
      <c r="B918" s="77"/>
      <c r="C918" s="77"/>
      <c r="D918" s="77"/>
      <c r="E918" s="77"/>
      <c r="F918" s="77"/>
      <c r="G918" s="80"/>
    </row>
    <row r="919">
      <c r="A919" s="77"/>
      <c r="B919" s="77"/>
      <c r="C919" s="77"/>
      <c r="D919" s="77"/>
      <c r="E919" s="77"/>
      <c r="F919" s="77"/>
      <c r="G919" s="80"/>
    </row>
    <row r="920">
      <c r="A920" s="77"/>
      <c r="B920" s="77"/>
      <c r="C920" s="77"/>
      <c r="D920" s="77"/>
      <c r="E920" s="77"/>
      <c r="F920" s="77"/>
      <c r="G920" s="80"/>
    </row>
    <row r="921">
      <c r="A921" s="77"/>
      <c r="B921" s="77"/>
      <c r="C921" s="77"/>
      <c r="D921" s="77"/>
      <c r="E921" s="77"/>
      <c r="F921" s="77"/>
      <c r="G921" s="80"/>
    </row>
    <row r="922">
      <c r="A922" s="77"/>
      <c r="B922" s="77"/>
      <c r="C922" s="77"/>
      <c r="D922" s="77"/>
      <c r="E922" s="77"/>
      <c r="F922" s="77"/>
      <c r="G922" s="80"/>
    </row>
    <row r="923">
      <c r="A923" s="77"/>
      <c r="B923" s="77"/>
      <c r="C923" s="77"/>
      <c r="D923" s="77"/>
      <c r="E923" s="77"/>
      <c r="F923" s="77"/>
      <c r="G923" s="80"/>
    </row>
    <row r="924">
      <c r="A924" s="77"/>
      <c r="B924" s="77"/>
      <c r="C924" s="77"/>
      <c r="D924" s="77"/>
      <c r="E924" s="77"/>
      <c r="F924" s="77"/>
      <c r="G924" s="80"/>
    </row>
    <row r="925">
      <c r="A925" s="77"/>
      <c r="B925" s="77"/>
      <c r="C925" s="77"/>
      <c r="D925" s="77"/>
      <c r="E925" s="77"/>
      <c r="F925" s="77"/>
      <c r="G925" s="80"/>
    </row>
    <row r="926">
      <c r="A926" s="77"/>
      <c r="B926" s="77"/>
      <c r="C926" s="77"/>
      <c r="D926" s="77"/>
      <c r="E926" s="77"/>
      <c r="F926" s="77"/>
      <c r="G926" s="80"/>
    </row>
    <row r="927">
      <c r="A927" s="77"/>
      <c r="B927" s="77"/>
      <c r="C927" s="77"/>
      <c r="D927" s="77"/>
      <c r="E927" s="77"/>
      <c r="F927" s="77"/>
      <c r="G927" s="80"/>
    </row>
    <row r="928">
      <c r="A928" s="77"/>
      <c r="B928" s="77"/>
      <c r="C928" s="77"/>
      <c r="D928" s="77"/>
      <c r="E928" s="77"/>
      <c r="F928" s="77"/>
      <c r="G928" s="80"/>
    </row>
    <row r="929">
      <c r="A929" s="77"/>
      <c r="B929" s="77"/>
      <c r="C929" s="77"/>
      <c r="D929" s="77"/>
      <c r="E929" s="77"/>
      <c r="F929" s="77"/>
      <c r="G929" s="80"/>
    </row>
    <row r="930">
      <c r="A930" s="77"/>
      <c r="B930" s="77"/>
      <c r="C930" s="77"/>
      <c r="D930" s="77"/>
      <c r="E930" s="77"/>
      <c r="F930" s="77"/>
      <c r="G930" s="80"/>
    </row>
    <row r="931">
      <c r="A931" s="77"/>
      <c r="B931" s="77"/>
      <c r="C931" s="77"/>
      <c r="D931" s="77"/>
      <c r="E931" s="77"/>
      <c r="F931" s="77"/>
      <c r="G931" s="80"/>
    </row>
    <row r="932">
      <c r="A932" s="77"/>
      <c r="B932" s="77"/>
      <c r="C932" s="77"/>
      <c r="D932" s="77"/>
      <c r="E932" s="77"/>
      <c r="F932" s="77"/>
      <c r="G932" s="80"/>
    </row>
    <row r="933">
      <c r="A933" s="77"/>
      <c r="B933" s="77"/>
      <c r="C933" s="77"/>
      <c r="D933" s="77"/>
      <c r="E933" s="77"/>
      <c r="F933" s="77"/>
      <c r="G933" s="80"/>
    </row>
    <row r="934">
      <c r="A934" s="77"/>
      <c r="B934" s="77"/>
      <c r="C934" s="77"/>
      <c r="D934" s="77"/>
      <c r="E934" s="77"/>
      <c r="F934" s="77"/>
      <c r="G934" s="80"/>
    </row>
    <row r="935">
      <c r="A935" s="77"/>
      <c r="B935" s="77"/>
      <c r="C935" s="77"/>
      <c r="D935" s="77"/>
      <c r="E935" s="77"/>
      <c r="F935" s="77"/>
      <c r="G935" s="80"/>
    </row>
    <row r="936">
      <c r="A936" s="77"/>
      <c r="B936" s="77"/>
      <c r="C936" s="77"/>
      <c r="D936" s="77"/>
      <c r="E936" s="77"/>
      <c r="F936" s="77"/>
      <c r="G936" s="80"/>
    </row>
    <row r="937">
      <c r="A937" s="77"/>
      <c r="B937" s="77"/>
      <c r="C937" s="77"/>
      <c r="D937" s="77"/>
      <c r="E937" s="77"/>
      <c r="F937" s="77"/>
      <c r="G937" s="80"/>
    </row>
    <row r="938">
      <c r="A938" s="77"/>
      <c r="B938" s="77"/>
      <c r="C938" s="77"/>
      <c r="D938" s="77"/>
      <c r="E938" s="77"/>
      <c r="F938" s="77"/>
      <c r="G938" s="80"/>
    </row>
    <row r="939">
      <c r="A939" s="77"/>
      <c r="B939" s="77"/>
      <c r="C939" s="77"/>
      <c r="D939" s="77"/>
      <c r="E939" s="77"/>
      <c r="F939" s="77"/>
      <c r="G939" s="80"/>
    </row>
    <row r="940">
      <c r="A940" s="77"/>
      <c r="B940" s="77"/>
      <c r="C940" s="77"/>
      <c r="D940" s="77"/>
      <c r="E940" s="77"/>
      <c r="F940" s="77"/>
      <c r="G940" s="80"/>
    </row>
    <row r="941">
      <c r="A941" s="77"/>
      <c r="B941" s="77"/>
      <c r="C941" s="77"/>
      <c r="D941" s="77"/>
      <c r="E941" s="77"/>
      <c r="F941" s="77"/>
      <c r="G941" s="80"/>
    </row>
    <row r="942">
      <c r="A942" s="77"/>
      <c r="B942" s="77"/>
      <c r="C942" s="77"/>
      <c r="D942" s="77"/>
      <c r="E942" s="77"/>
      <c r="F942" s="77"/>
      <c r="G942" s="80"/>
    </row>
    <row r="943">
      <c r="A943" s="77"/>
      <c r="B943" s="77"/>
      <c r="C943" s="77"/>
      <c r="D943" s="77"/>
      <c r="E943" s="77"/>
      <c r="F943" s="77"/>
      <c r="G943" s="80"/>
    </row>
    <row r="944">
      <c r="A944" s="77"/>
      <c r="B944" s="77"/>
      <c r="C944" s="77"/>
      <c r="D944" s="77"/>
      <c r="E944" s="77"/>
      <c r="F944" s="77"/>
      <c r="G944" s="80"/>
    </row>
    <row r="945">
      <c r="A945" s="77"/>
      <c r="B945" s="77"/>
      <c r="C945" s="77"/>
      <c r="D945" s="77"/>
      <c r="E945" s="77"/>
      <c r="F945" s="77"/>
      <c r="G945" s="80"/>
    </row>
    <row r="946">
      <c r="A946" s="77"/>
      <c r="B946" s="77"/>
      <c r="C946" s="77"/>
      <c r="D946" s="77"/>
      <c r="E946" s="77"/>
      <c r="F946" s="77"/>
      <c r="G946" s="80"/>
    </row>
    <row r="947">
      <c r="A947" s="77"/>
      <c r="B947" s="77"/>
      <c r="C947" s="77"/>
      <c r="D947" s="77"/>
      <c r="E947" s="77"/>
      <c r="F947" s="77"/>
      <c r="G947" s="80"/>
    </row>
    <row r="948">
      <c r="A948" s="77"/>
      <c r="B948" s="77"/>
      <c r="C948" s="77"/>
      <c r="D948" s="77"/>
      <c r="E948" s="77"/>
      <c r="F948" s="77"/>
      <c r="G948" s="80"/>
    </row>
    <row r="949">
      <c r="A949" s="77"/>
      <c r="B949" s="77"/>
      <c r="C949" s="77"/>
      <c r="D949" s="77"/>
      <c r="E949" s="77"/>
      <c r="F949" s="77"/>
      <c r="G949" s="80"/>
    </row>
    <row r="950">
      <c r="A950" s="77"/>
      <c r="B950" s="77"/>
      <c r="C950" s="77"/>
      <c r="D950" s="77"/>
      <c r="E950" s="77"/>
      <c r="F950" s="77"/>
      <c r="G950" s="80"/>
    </row>
    <row r="951">
      <c r="A951" s="77"/>
      <c r="B951" s="77"/>
      <c r="C951" s="77"/>
      <c r="D951" s="77"/>
      <c r="E951" s="77"/>
      <c r="F951" s="77"/>
      <c r="G951" s="80"/>
    </row>
    <row r="952">
      <c r="A952" s="77"/>
      <c r="B952" s="77"/>
      <c r="C952" s="77"/>
      <c r="D952" s="77"/>
      <c r="E952" s="77"/>
      <c r="F952" s="77"/>
      <c r="G952" s="80"/>
    </row>
    <row r="953">
      <c r="A953" s="77"/>
      <c r="B953" s="77"/>
      <c r="C953" s="77"/>
      <c r="D953" s="77"/>
      <c r="E953" s="77"/>
      <c r="F953" s="77"/>
      <c r="G953" s="80"/>
    </row>
    <row r="954">
      <c r="A954" s="77"/>
      <c r="B954" s="77"/>
      <c r="C954" s="77"/>
      <c r="D954" s="77"/>
      <c r="E954" s="77"/>
      <c r="F954" s="77"/>
      <c r="G954" s="80"/>
    </row>
    <row r="955">
      <c r="A955" s="77"/>
      <c r="B955" s="77"/>
      <c r="C955" s="77"/>
      <c r="D955" s="77"/>
      <c r="E955" s="77"/>
      <c r="F955" s="77"/>
      <c r="G955" s="80"/>
    </row>
    <row r="956">
      <c r="A956" s="77"/>
      <c r="B956" s="77"/>
      <c r="C956" s="77"/>
      <c r="D956" s="77"/>
      <c r="E956" s="77"/>
      <c r="F956" s="77"/>
      <c r="G956" s="80"/>
    </row>
    <row r="957">
      <c r="A957" s="77"/>
      <c r="B957" s="77"/>
      <c r="C957" s="77"/>
      <c r="D957" s="77"/>
      <c r="E957" s="77"/>
      <c r="F957" s="77"/>
      <c r="G957" s="80"/>
    </row>
    <row r="958">
      <c r="A958" s="77"/>
      <c r="B958" s="77"/>
      <c r="C958" s="77"/>
      <c r="D958" s="77"/>
      <c r="E958" s="77"/>
      <c r="F958" s="77"/>
      <c r="G958" s="80"/>
    </row>
    <row r="959">
      <c r="A959" s="77"/>
      <c r="B959" s="77"/>
      <c r="C959" s="77"/>
      <c r="D959" s="77"/>
      <c r="E959" s="77"/>
      <c r="F959" s="77"/>
      <c r="G959" s="80"/>
    </row>
    <row r="960">
      <c r="A960" s="77"/>
      <c r="B960" s="77"/>
      <c r="C960" s="77"/>
      <c r="D960" s="77"/>
      <c r="E960" s="77"/>
      <c r="F960" s="77"/>
      <c r="G960" s="80"/>
    </row>
    <row r="961">
      <c r="A961" s="77"/>
      <c r="B961" s="77"/>
      <c r="C961" s="77"/>
      <c r="D961" s="77"/>
      <c r="E961" s="77"/>
      <c r="F961" s="77"/>
      <c r="G961" s="80"/>
    </row>
    <row r="962">
      <c r="A962" s="77"/>
      <c r="B962" s="77"/>
      <c r="C962" s="77"/>
      <c r="D962" s="77"/>
      <c r="E962" s="77"/>
      <c r="F962" s="77"/>
      <c r="G962" s="80"/>
    </row>
    <row r="963">
      <c r="A963" s="77"/>
      <c r="B963" s="77"/>
      <c r="C963" s="77"/>
      <c r="D963" s="77"/>
      <c r="E963" s="77"/>
      <c r="F963" s="77"/>
      <c r="G963" s="80"/>
    </row>
    <row r="964">
      <c r="A964" s="77"/>
      <c r="B964" s="77"/>
      <c r="C964" s="77"/>
      <c r="D964" s="77"/>
      <c r="E964" s="77"/>
      <c r="F964" s="77"/>
      <c r="G964" s="80"/>
    </row>
    <row r="965">
      <c r="A965" s="77"/>
      <c r="B965" s="77"/>
      <c r="C965" s="77"/>
      <c r="D965" s="77"/>
      <c r="E965" s="77"/>
      <c r="F965" s="77"/>
      <c r="G965" s="80"/>
    </row>
    <row r="966">
      <c r="A966" s="77"/>
      <c r="B966" s="77"/>
      <c r="C966" s="77"/>
      <c r="D966" s="77"/>
      <c r="E966" s="77"/>
      <c r="F966" s="77"/>
      <c r="G966" s="80"/>
    </row>
    <row r="967">
      <c r="A967" s="77"/>
      <c r="B967" s="77"/>
      <c r="C967" s="77"/>
      <c r="D967" s="77"/>
      <c r="E967" s="77"/>
      <c r="F967" s="77"/>
      <c r="G967" s="80"/>
    </row>
    <row r="968">
      <c r="A968" s="77"/>
      <c r="B968" s="77"/>
      <c r="C968" s="77"/>
      <c r="D968" s="77"/>
      <c r="E968" s="77"/>
      <c r="F968" s="77"/>
      <c r="G968" s="80"/>
    </row>
    <row r="969">
      <c r="A969" s="77"/>
      <c r="B969" s="77"/>
      <c r="C969" s="77"/>
      <c r="D969" s="77"/>
      <c r="E969" s="77"/>
      <c r="F969" s="77"/>
      <c r="G969" s="80"/>
    </row>
    <row r="970">
      <c r="A970" s="77"/>
      <c r="B970" s="77"/>
      <c r="C970" s="77"/>
      <c r="D970" s="77"/>
      <c r="E970" s="77"/>
      <c r="F970" s="77"/>
      <c r="G970" s="80"/>
    </row>
    <row r="971">
      <c r="A971" s="77"/>
      <c r="B971" s="77"/>
      <c r="C971" s="77"/>
      <c r="D971" s="77"/>
      <c r="E971" s="77"/>
      <c r="F971" s="77"/>
      <c r="G971" s="80"/>
    </row>
    <row r="972">
      <c r="A972" s="77"/>
      <c r="B972" s="77"/>
      <c r="C972" s="77"/>
      <c r="D972" s="77"/>
      <c r="E972" s="77"/>
      <c r="F972" s="77"/>
      <c r="G972" s="80"/>
    </row>
    <row r="973">
      <c r="A973" s="77"/>
      <c r="B973" s="77"/>
      <c r="C973" s="77"/>
      <c r="D973" s="77"/>
      <c r="E973" s="77"/>
      <c r="F973" s="77"/>
      <c r="G973" s="80"/>
    </row>
    <row r="974">
      <c r="A974" s="77"/>
      <c r="B974" s="77"/>
      <c r="C974" s="77"/>
      <c r="D974" s="77"/>
      <c r="E974" s="77"/>
      <c r="F974" s="77"/>
      <c r="G974" s="80"/>
    </row>
    <row r="975">
      <c r="A975" s="77"/>
      <c r="B975" s="77"/>
      <c r="C975" s="77"/>
      <c r="D975" s="77"/>
      <c r="E975" s="77"/>
      <c r="F975" s="77"/>
      <c r="G975" s="80"/>
    </row>
    <row r="976">
      <c r="A976" s="77"/>
      <c r="B976" s="77"/>
      <c r="C976" s="77"/>
      <c r="D976" s="77"/>
      <c r="E976" s="77"/>
      <c r="F976" s="77"/>
      <c r="G976" s="80"/>
    </row>
    <row r="977">
      <c r="A977" s="77"/>
      <c r="B977" s="77"/>
      <c r="C977" s="77"/>
      <c r="D977" s="77"/>
      <c r="E977" s="77"/>
      <c r="F977" s="77"/>
      <c r="G977" s="80"/>
    </row>
    <row r="978">
      <c r="A978" s="77"/>
      <c r="B978" s="77"/>
      <c r="C978" s="77"/>
      <c r="D978" s="77"/>
      <c r="E978" s="77"/>
      <c r="F978" s="77"/>
      <c r="G978" s="80"/>
    </row>
    <row r="979">
      <c r="A979" s="77"/>
      <c r="B979" s="77"/>
      <c r="C979" s="77"/>
      <c r="D979" s="77"/>
      <c r="E979" s="77"/>
      <c r="F979" s="77"/>
      <c r="G979" s="80"/>
    </row>
    <row r="980">
      <c r="A980" s="77"/>
      <c r="B980" s="77"/>
      <c r="C980" s="77"/>
      <c r="D980" s="77"/>
      <c r="E980" s="77"/>
      <c r="F980" s="77"/>
      <c r="G980" s="80"/>
    </row>
    <row r="981">
      <c r="A981" s="77"/>
      <c r="B981" s="77"/>
      <c r="C981" s="77"/>
      <c r="D981" s="77"/>
      <c r="E981" s="77"/>
      <c r="F981" s="77"/>
      <c r="G981" s="80"/>
    </row>
    <row r="982">
      <c r="A982" s="77"/>
      <c r="B982" s="77"/>
      <c r="C982" s="77"/>
      <c r="D982" s="77"/>
      <c r="E982" s="77"/>
      <c r="F982" s="77"/>
      <c r="G982" s="80"/>
    </row>
    <row r="983">
      <c r="A983" s="77"/>
      <c r="B983" s="77"/>
      <c r="C983" s="77"/>
      <c r="D983" s="77"/>
      <c r="E983" s="77"/>
      <c r="F983" s="77"/>
      <c r="G983" s="80"/>
    </row>
    <row r="984">
      <c r="A984" s="77"/>
      <c r="B984" s="77"/>
      <c r="C984" s="77"/>
      <c r="D984" s="77"/>
      <c r="E984" s="77"/>
      <c r="F984" s="77"/>
      <c r="G984" s="80"/>
    </row>
    <row r="985">
      <c r="A985" s="77"/>
      <c r="B985" s="77"/>
      <c r="C985" s="77"/>
      <c r="D985" s="77"/>
      <c r="E985" s="77"/>
      <c r="F985" s="77"/>
      <c r="G985" s="80"/>
    </row>
    <row r="986">
      <c r="A986" s="77"/>
      <c r="B986" s="77"/>
      <c r="C986" s="77"/>
      <c r="D986" s="77"/>
      <c r="E986" s="77"/>
      <c r="F986" s="77"/>
      <c r="G986" s="80"/>
    </row>
    <row r="987">
      <c r="A987" s="77"/>
      <c r="B987" s="77"/>
      <c r="C987" s="77"/>
      <c r="D987" s="77"/>
      <c r="E987" s="77"/>
      <c r="F987" s="77"/>
      <c r="G987" s="80"/>
    </row>
    <row r="988">
      <c r="A988" s="77"/>
      <c r="B988" s="77"/>
      <c r="C988" s="77"/>
      <c r="D988" s="77"/>
      <c r="E988" s="77"/>
      <c r="F988" s="77"/>
      <c r="G988" s="80"/>
    </row>
    <row r="989">
      <c r="A989" s="77"/>
      <c r="B989" s="77"/>
      <c r="C989" s="77"/>
      <c r="D989" s="77"/>
      <c r="E989" s="77"/>
      <c r="F989" s="77"/>
      <c r="G989" s="80"/>
    </row>
    <row r="990">
      <c r="A990" s="77"/>
      <c r="B990" s="77"/>
      <c r="C990" s="77"/>
      <c r="D990" s="77"/>
      <c r="E990" s="77"/>
      <c r="F990" s="77"/>
      <c r="G990" s="80"/>
    </row>
    <row r="991">
      <c r="A991" s="77"/>
      <c r="B991" s="77"/>
      <c r="C991" s="77"/>
      <c r="D991" s="77"/>
      <c r="E991" s="77"/>
      <c r="F991" s="77"/>
      <c r="G991" s="80"/>
    </row>
    <row r="992">
      <c r="A992" s="77"/>
      <c r="B992" s="77"/>
      <c r="C992" s="77"/>
      <c r="D992" s="77"/>
      <c r="E992" s="77"/>
      <c r="F992" s="77"/>
      <c r="G992" s="80"/>
    </row>
    <row r="993">
      <c r="A993" s="77"/>
      <c r="B993" s="77"/>
      <c r="C993" s="77"/>
      <c r="D993" s="77"/>
      <c r="E993" s="77"/>
      <c r="F993" s="77"/>
      <c r="G993" s="80"/>
    </row>
    <row r="994">
      <c r="A994" s="77"/>
      <c r="B994" s="77"/>
      <c r="C994" s="77"/>
      <c r="D994" s="77"/>
      <c r="E994" s="77"/>
      <c r="F994" s="77"/>
      <c r="G994" s="80"/>
    </row>
    <row r="995">
      <c r="A995" s="77"/>
      <c r="B995" s="77"/>
      <c r="C995" s="77"/>
      <c r="D995" s="77"/>
      <c r="E995" s="77"/>
      <c r="F995" s="77"/>
      <c r="G995" s="80"/>
    </row>
    <row r="996">
      <c r="A996" s="77"/>
      <c r="B996" s="77"/>
      <c r="C996" s="77"/>
      <c r="D996" s="77"/>
      <c r="E996" s="77"/>
      <c r="F996" s="77"/>
      <c r="G996" s="80"/>
    </row>
    <row r="997">
      <c r="A997" s="77"/>
      <c r="B997" s="77"/>
      <c r="C997" s="77"/>
      <c r="D997" s="77"/>
      <c r="E997" s="77"/>
      <c r="F997" s="77"/>
      <c r="G997" s="80"/>
    </row>
    <row r="998">
      <c r="A998" s="77"/>
      <c r="B998" s="77"/>
      <c r="C998" s="77"/>
      <c r="D998" s="77"/>
      <c r="E998" s="77"/>
      <c r="F998" s="77"/>
      <c r="G998" s="80"/>
    </row>
    <row r="999">
      <c r="A999" s="77"/>
      <c r="B999" s="77"/>
      <c r="C999" s="77"/>
      <c r="D999" s="77"/>
      <c r="E999" s="77"/>
      <c r="F999" s="77"/>
      <c r="G999" s="80"/>
    </row>
    <row r="1000">
      <c r="A1000" s="77"/>
      <c r="B1000" s="77"/>
      <c r="C1000" s="77"/>
      <c r="D1000" s="77"/>
      <c r="E1000" s="77"/>
      <c r="F1000" s="77"/>
      <c r="G1000" s="80"/>
    </row>
    <row r="1001">
      <c r="A1001" s="77"/>
      <c r="B1001" s="77"/>
      <c r="C1001" s="77"/>
      <c r="D1001" s="77"/>
      <c r="E1001" s="77"/>
      <c r="F1001" s="77"/>
      <c r="G1001" s="80"/>
    </row>
    <row r="1002">
      <c r="A1002" s="77"/>
      <c r="B1002" s="77"/>
      <c r="C1002" s="77"/>
      <c r="D1002" s="77"/>
      <c r="E1002" s="77"/>
      <c r="F1002" s="77"/>
      <c r="G1002" s="80"/>
    </row>
    <row r="1003">
      <c r="A1003" s="77"/>
      <c r="B1003" s="77"/>
      <c r="C1003" s="77"/>
      <c r="D1003" s="77"/>
      <c r="E1003" s="77"/>
      <c r="F1003" s="77"/>
      <c r="G1003" s="80"/>
    </row>
    <row r="1004">
      <c r="A1004" s="77"/>
      <c r="B1004" s="77"/>
      <c r="C1004" s="77"/>
      <c r="D1004" s="77"/>
      <c r="E1004" s="77"/>
      <c r="F1004" s="77"/>
      <c r="G1004" s="80"/>
    </row>
    <row r="1005">
      <c r="A1005" s="77"/>
      <c r="B1005" s="77"/>
      <c r="C1005" s="77"/>
      <c r="D1005" s="77"/>
      <c r="E1005" s="77"/>
      <c r="F1005" s="77"/>
      <c r="G1005" s="80"/>
    </row>
    <row r="1006">
      <c r="A1006" s="77"/>
      <c r="B1006" s="77"/>
      <c r="C1006" s="77"/>
      <c r="D1006" s="77"/>
      <c r="E1006" s="77"/>
      <c r="F1006" s="77"/>
      <c r="G1006" s="80"/>
    </row>
    <row r="1007">
      <c r="A1007" s="77"/>
      <c r="B1007" s="77"/>
      <c r="C1007" s="77"/>
      <c r="D1007" s="77"/>
      <c r="E1007" s="77"/>
      <c r="F1007" s="77"/>
      <c r="G1007" s="80"/>
    </row>
    <row r="1008">
      <c r="A1008" s="77"/>
      <c r="B1008" s="77"/>
      <c r="C1008" s="77"/>
      <c r="D1008" s="77"/>
      <c r="E1008" s="77"/>
      <c r="F1008" s="77"/>
      <c r="G1008" s="80"/>
    </row>
    <row r="1009">
      <c r="A1009" s="77"/>
      <c r="B1009" s="77"/>
      <c r="C1009" s="77"/>
      <c r="D1009" s="77"/>
      <c r="E1009" s="77"/>
      <c r="F1009" s="77"/>
      <c r="G1009" s="80"/>
    </row>
    <row r="1010">
      <c r="A1010" s="77"/>
      <c r="B1010" s="77"/>
      <c r="C1010" s="77"/>
      <c r="D1010" s="77"/>
      <c r="E1010" s="77"/>
      <c r="F1010" s="77"/>
      <c r="G1010" s="80"/>
    </row>
    <row r="1011">
      <c r="A1011" s="77"/>
      <c r="B1011" s="77"/>
      <c r="C1011" s="77"/>
      <c r="D1011" s="77"/>
      <c r="E1011" s="77"/>
      <c r="F1011" s="77"/>
      <c r="G1011" s="80"/>
    </row>
    <row r="1012">
      <c r="A1012" s="77"/>
      <c r="B1012" s="77"/>
      <c r="C1012" s="77"/>
      <c r="D1012" s="77"/>
      <c r="E1012" s="77"/>
      <c r="F1012" s="77"/>
      <c r="G1012" s="80"/>
    </row>
    <row r="1013">
      <c r="A1013" s="77"/>
      <c r="B1013" s="77"/>
      <c r="C1013" s="77"/>
      <c r="D1013" s="77"/>
      <c r="E1013" s="77"/>
      <c r="F1013" s="77"/>
      <c r="G1013" s="80"/>
    </row>
    <row r="1014">
      <c r="A1014" s="77"/>
      <c r="B1014" s="77"/>
      <c r="C1014" s="77"/>
      <c r="D1014" s="77"/>
      <c r="E1014" s="77"/>
      <c r="F1014" s="77"/>
      <c r="G1014" s="80"/>
    </row>
    <row r="1015">
      <c r="A1015" s="77"/>
      <c r="B1015" s="77"/>
      <c r="C1015" s="77"/>
      <c r="D1015" s="77"/>
      <c r="E1015" s="77"/>
      <c r="F1015" s="77"/>
      <c r="G1015" s="80"/>
    </row>
    <row r="1016">
      <c r="A1016" s="77"/>
      <c r="B1016" s="77"/>
      <c r="C1016" s="77"/>
      <c r="D1016" s="77"/>
      <c r="E1016" s="77"/>
      <c r="F1016" s="77"/>
      <c r="G1016" s="80"/>
    </row>
    <row r="1017">
      <c r="A1017" s="77"/>
      <c r="B1017" s="77"/>
      <c r="C1017" s="77"/>
      <c r="D1017" s="77"/>
      <c r="E1017" s="77"/>
      <c r="F1017" s="77"/>
      <c r="G1017" s="80"/>
    </row>
    <row r="1018">
      <c r="A1018" s="77"/>
      <c r="B1018" s="77"/>
      <c r="C1018" s="77"/>
      <c r="D1018" s="77"/>
      <c r="E1018" s="77"/>
      <c r="F1018" s="77"/>
      <c r="G1018" s="80"/>
    </row>
    <row r="1019">
      <c r="A1019" s="77"/>
      <c r="B1019" s="77"/>
      <c r="C1019" s="77"/>
      <c r="D1019" s="77"/>
      <c r="E1019" s="77"/>
      <c r="F1019" s="77"/>
      <c r="G1019" s="80"/>
    </row>
    <row r="1020">
      <c r="A1020" s="77"/>
      <c r="B1020" s="77"/>
      <c r="C1020" s="77"/>
      <c r="D1020" s="77"/>
      <c r="E1020" s="77"/>
      <c r="F1020" s="77"/>
      <c r="G1020" s="80"/>
    </row>
    <row r="1021">
      <c r="A1021" s="77"/>
      <c r="B1021" s="77"/>
      <c r="C1021" s="77"/>
      <c r="D1021" s="77"/>
      <c r="E1021" s="77"/>
      <c r="F1021" s="77"/>
      <c r="G1021" s="80"/>
    </row>
    <row r="1022">
      <c r="A1022" s="77"/>
      <c r="B1022" s="77"/>
      <c r="C1022" s="77"/>
      <c r="D1022" s="77"/>
      <c r="E1022" s="77"/>
      <c r="F1022" s="77"/>
      <c r="G1022" s="80"/>
    </row>
    <row r="1023">
      <c r="A1023" s="77"/>
      <c r="B1023" s="77"/>
      <c r="C1023" s="77"/>
      <c r="D1023" s="77"/>
      <c r="E1023" s="77"/>
      <c r="F1023" s="77"/>
      <c r="G1023" s="80"/>
    </row>
    <row r="1024">
      <c r="A1024" s="77"/>
      <c r="B1024" s="77"/>
      <c r="C1024" s="77"/>
      <c r="D1024" s="77"/>
      <c r="E1024" s="77"/>
      <c r="F1024" s="77"/>
      <c r="G1024" s="80"/>
    </row>
    <row r="1025">
      <c r="A1025" s="77"/>
      <c r="B1025" s="77"/>
      <c r="C1025" s="77"/>
      <c r="D1025" s="77"/>
      <c r="E1025" s="77"/>
      <c r="F1025" s="77"/>
      <c r="G1025" s="80"/>
    </row>
    <row r="1026">
      <c r="A1026" s="77"/>
      <c r="B1026" s="77"/>
      <c r="C1026" s="77"/>
      <c r="D1026" s="77"/>
      <c r="E1026" s="77"/>
      <c r="F1026" s="77"/>
      <c r="G1026" s="80"/>
    </row>
    <row r="1027">
      <c r="A1027" s="77"/>
      <c r="B1027" s="77"/>
      <c r="C1027" s="77"/>
      <c r="D1027" s="77"/>
      <c r="E1027" s="77"/>
      <c r="F1027" s="77"/>
      <c r="G1027" s="80"/>
    </row>
    <row r="1028">
      <c r="A1028" s="77"/>
      <c r="B1028" s="77"/>
      <c r="C1028" s="77"/>
      <c r="D1028" s="77"/>
      <c r="E1028" s="77"/>
      <c r="F1028" s="77"/>
      <c r="G1028" s="80"/>
    </row>
    <row r="1029">
      <c r="A1029" s="77"/>
      <c r="B1029" s="77"/>
      <c r="C1029" s="77"/>
      <c r="D1029" s="77"/>
      <c r="E1029" s="77"/>
      <c r="F1029" s="77"/>
      <c r="G1029" s="80"/>
    </row>
    <row r="1030">
      <c r="A1030" s="77"/>
      <c r="B1030" s="77"/>
      <c r="C1030" s="77"/>
      <c r="D1030" s="77"/>
      <c r="E1030" s="77"/>
      <c r="F1030" s="77"/>
      <c r="G1030" s="80"/>
    </row>
    <row r="1031">
      <c r="A1031" s="77"/>
      <c r="B1031" s="77"/>
      <c r="C1031" s="77"/>
      <c r="D1031" s="77"/>
      <c r="E1031" s="77"/>
      <c r="F1031" s="77"/>
      <c r="G1031" s="80"/>
    </row>
    <row r="1032">
      <c r="A1032" s="77"/>
      <c r="B1032" s="77"/>
      <c r="C1032" s="77"/>
      <c r="D1032" s="77"/>
      <c r="E1032" s="77"/>
      <c r="F1032" s="77"/>
      <c r="G1032" s="80"/>
    </row>
    <row r="1033">
      <c r="A1033" s="77"/>
      <c r="B1033" s="77"/>
      <c r="C1033" s="77"/>
      <c r="D1033" s="77"/>
      <c r="E1033" s="77"/>
      <c r="F1033" s="77"/>
      <c r="G1033" s="80"/>
    </row>
    <row r="1034">
      <c r="A1034" s="77"/>
      <c r="B1034" s="77"/>
      <c r="C1034" s="77"/>
      <c r="D1034" s="77"/>
      <c r="E1034" s="77"/>
      <c r="F1034" s="77"/>
      <c r="G1034" s="80"/>
    </row>
    <row r="1035">
      <c r="A1035" s="77"/>
      <c r="B1035" s="77"/>
      <c r="C1035" s="77"/>
      <c r="D1035" s="77"/>
      <c r="E1035" s="77"/>
      <c r="F1035" s="77"/>
      <c r="G1035" s="80"/>
    </row>
    <row r="1036">
      <c r="A1036" s="77"/>
      <c r="B1036" s="77"/>
      <c r="C1036" s="77"/>
      <c r="D1036" s="77"/>
      <c r="E1036" s="77"/>
      <c r="F1036" s="77"/>
      <c r="G1036" s="80"/>
    </row>
    <row r="1037">
      <c r="A1037" s="77"/>
      <c r="B1037" s="77"/>
      <c r="C1037" s="77"/>
      <c r="D1037" s="77"/>
      <c r="E1037" s="77"/>
      <c r="F1037" s="77"/>
      <c r="G1037" s="80"/>
    </row>
    <row r="1038">
      <c r="A1038" s="77"/>
      <c r="B1038" s="77"/>
      <c r="C1038" s="77"/>
      <c r="D1038" s="77"/>
      <c r="E1038" s="77"/>
      <c r="F1038" s="77"/>
      <c r="G1038" s="80"/>
    </row>
    <row r="1039">
      <c r="A1039" s="77"/>
      <c r="B1039" s="77"/>
      <c r="C1039" s="77"/>
      <c r="D1039" s="77"/>
      <c r="E1039" s="77"/>
      <c r="F1039" s="77"/>
      <c r="G1039" s="80"/>
    </row>
    <row r="1040">
      <c r="A1040" s="77"/>
      <c r="B1040" s="77"/>
      <c r="C1040" s="77"/>
      <c r="D1040" s="77"/>
      <c r="E1040" s="77"/>
      <c r="F1040" s="77"/>
      <c r="G1040" s="80"/>
    </row>
    <row r="1041">
      <c r="A1041" s="77"/>
      <c r="B1041" s="77"/>
      <c r="C1041" s="77"/>
      <c r="D1041" s="77"/>
      <c r="E1041" s="77"/>
      <c r="F1041" s="77"/>
      <c r="G1041" s="80"/>
    </row>
    <row r="1042">
      <c r="A1042" s="77"/>
      <c r="B1042" s="77"/>
      <c r="C1042" s="77"/>
      <c r="D1042" s="77"/>
      <c r="E1042" s="77"/>
      <c r="F1042" s="77"/>
      <c r="G1042" s="80"/>
    </row>
    <row r="1043">
      <c r="A1043" s="77"/>
      <c r="B1043" s="77"/>
      <c r="C1043" s="77"/>
      <c r="D1043" s="77"/>
      <c r="E1043" s="77"/>
      <c r="F1043" s="77"/>
      <c r="G1043" s="80"/>
    </row>
    <row r="1044">
      <c r="A1044" s="77"/>
      <c r="B1044" s="77"/>
      <c r="C1044" s="77"/>
      <c r="D1044" s="77"/>
      <c r="E1044" s="77"/>
      <c r="F1044" s="77"/>
      <c r="G1044" s="80"/>
    </row>
    <row r="1045">
      <c r="A1045" s="77"/>
      <c r="B1045" s="77"/>
      <c r="C1045" s="77"/>
      <c r="D1045" s="77"/>
      <c r="E1045" s="77"/>
      <c r="F1045" s="77"/>
      <c r="G1045" s="80"/>
    </row>
    <row r="1046">
      <c r="A1046" s="77"/>
      <c r="B1046" s="77"/>
      <c r="C1046" s="77"/>
      <c r="D1046" s="77"/>
      <c r="E1046" s="77"/>
      <c r="F1046" s="77"/>
      <c r="G1046" s="80"/>
    </row>
    <row r="1047">
      <c r="A1047" s="77"/>
      <c r="B1047" s="77"/>
      <c r="C1047" s="77"/>
      <c r="D1047" s="77"/>
      <c r="E1047" s="77"/>
      <c r="F1047" s="77"/>
      <c r="G1047" s="80"/>
    </row>
    <row r="1048">
      <c r="A1048" s="77"/>
      <c r="B1048" s="77"/>
      <c r="C1048" s="77"/>
      <c r="D1048" s="77"/>
      <c r="E1048" s="77"/>
      <c r="F1048" s="77"/>
      <c r="G1048" s="80"/>
    </row>
    <row r="1049">
      <c r="A1049" s="77"/>
      <c r="B1049" s="77"/>
      <c r="C1049" s="77"/>
      <c r="D1049" s="77"/>
      <c r="E1049" s="77"/>
      <c r="F1049" s="77"/>
      <c r="G1049" s="80"/>
    </row>
    <row r="1050">
      <c r="A1050" s="77"/>
      <c r="B1050" s="77"/>
      <c r="C1050" s="77"/>
      <c r="D1050" s="77"/>
      <c r="E1050" s="77"/>
      <c r="F1050" s="77"/>
      <c r="G1050" s="80"/>
    </row>
    <row r="1051">
      <c r="A1051" s="77"/>
      <c r="B1051" s="77"/>
      <c r="C1051" s="77"/>
      <c r="D1051" s="77"/>
      <c r="E1051" s="77"/>
      <c r="F1051" s="77"/>
      <c r="G1051" s="80"/>
    </row>
    <row r="1052">
      <c r="A1052" s="77"/>
      <c r="B1052" s="77"/>
      <c r="C1052" s="77"/>
      <c r="D1052" s="77"/>
      <c r="E1052" s="77"/>
      <c r="F1052" s="77"/>
      <c r="G1052" s="80"/>
    </row>
    <row r="1053">
      <c r="A1053" s="77"/>
      <c r="B1053" s="77"/>
      <c r="C1053" s="77"/>
      <c r="D1053" s="77"/>
      <c r="E1053" s="77"/>
      <c r="F1053" s="77"/>
      <c r="G1053" s="80"/>
    </row>
    <row r="1054">
      <c r="A1054" s="77"/>
      <c r="B1054" s="77"/>
      <c r="C1054" s="77"/>
      <c r="D1054" s="77"/>
      <c r="E1054" s="77"/>
      <c r="F1054" s="77"/>
      <c r="G1054" s="80"/>
    </row>
    <row r="1055">
      <c r="A1055" s="77"/>
      <c r="B1055" s="77"/>
      <c r="C1055" s="77"/>
      <c r="D1055" s="77"/>
      <c r="E1055" s="77"/>
      <c r="F1055" s="77"/>
      <c r="G1055" s="80"/>
    </row>
    <row r="1056">
      <c r="A1056" s="77"/>
      <c r="B1056" s="77"/>
      <c r="C1056" s="77"/>
      <c r="D1056" s="77"/>
      <c r="E1056" s="77"/>
      <c r="F1056" s="77"/>
      <c r="G1056" s="80"/>
    </row>
    <row r="1057">
      <c r="A1057" s="77"/>
      <c r="B1057" s="77"/>
      <c r="C1057" s="77"/>
      <c r="D1057" s="77"/>
      <c r="E1057" s="77"/>
      <c r="F1057" s="77"/>
      <c r="G1057" s="80"/>
    </row>
    <row r="1058">
      <c r="A1058" s="77"/>
      <c r="B1058" s="77"/>
      <c r="C1058" s="77"/>
      <c r="D1058" s="77"/>
      <c r="E1058" s="77"/>
      <c r="F1058" s="77"/>
      <c r="G1058" s="80"/>
    </row>
    <row r="1059">
      <c r="A1059" s="77"/>
      <c r="B1059" s="77"/>
      <c r="C1059" s="77"/>
      <c r="D1059" s="77"/>
      <c r="E1059" s="77"/>
      <c r="F1059" s="77"/>
      <c r="G1059" s="80"/>
    </row>
    <row r="1060">
      <c r="A1060" s="77"/>
      <c r="B1060" s="77"/>
      <c r="C1060" s="77"/>
      <c r="D1060" s="77"/>
      <c r="E1060" s="77"/>
      <c r="F1060" s="77"/>
      <c r="G1060" s="80"/>
    </row>
    <row r="1061">
      <c r="A1061" s="77"/>
      <c r="B1061" s="77"/>
      <c r="C1061" s="77"/>
      <c r="D1061" s="77"/>
      <c r="E1061" s="77"/>
      <c r="F1061" s="77"/>
      <c r="G1061" s="80"/>
    </row>
    <row r="1062">
      <c r="A1062" s="77"/>
      <c r="B1062" s="77"/>
      <c r="C1062" s="77"/>
      <c r="D1062" s="77"/>
      <c r="E1062" s="77"/>
      <c r="F1062" s="77"/>
      <c r="G1062" s="80"/>
    </row>
    <row r="1063">
      <c r="A1063" s="77"/>
      <c r="B1063" s="77"/>
      <c r="C1063" s="77"/>
      <c r="D1063" s="77"/>
      <c r="E1063" s="77"/>
      <c r="F1063" s="77"/>
      <c r="G1063" s="80"/>
    </row>
    <row r="1064">
      <c r="A1064" s="77"/>
      <c r="B1064" s="77"/>
      <c r="C1064" s="77"/>
      <c r="D1064" s="77"/>
      <c r="E1064" s="77"/>
      <c r="F1064" s="77"/>
      <c r="G1064" s="80"/>
    </row>
    <row r="1065">
      <c r="A1065" s="77"/>
      <c r="B1065" s="77"/>
      <c r="C1065" s="77"/>
      <c r="D1065" s="77"/>
      <c r="E1065" s="77"/>
      <c r="F1065" s="77"/>
      <c r="G1065" s="80"/>
    </row>
    <row r="1066">
      <c r="A1066" s="77"/>
      <c r="B1066" s="77"/>
      <c r="C1066" s="77"/>
      <c r="D1066" s="77"/>
      <c r="E1066" s="77"/>
      <c r="F1066" s="77"/>
      <c r="G1066" s="80"/>
    </row>
    <row r="1067">
      <c r="A1067" s="77"/>
      <c r="B1067" s="77"/>
      <c r="C1067" s="77"/>
      <c r="D1067" s="77"/>
      <c r="E1067" s="77"/>
      <c r="F1067" s="77"/>
      <c r="G1067" s="80"/>
    </row>
    <row r="1068">
      <c r="A1068" s="77"/>
      <c r="B1068" s="77"/>
      <c r="C1068" s="77"/>
      <c r="D1068" s="77"/>
      <c r="E1068" s="77"/>
      <c r="F1068" s="77"/>
      <c r="G1068" s="80"/>
    </row>
    <row r="1069">
      <c r="A1069" s="77"/>
      <c r="B1069" s="77"/>
      <c r="C1069" s="77"/>
      <c r="D1069" s="77"/>
      <c r="E1069" s="77"/>
      <c r="F1069" s="77"/>
      <c r="G1069" s="80"/>
    </row>
    <row r="1070">
      <c r="A1070" s="77"/>
      <c r="B1070" s="77"/>
      <c r="C1070" s="77"/>
      <c r="D1070" s="77"/>
      <c r="E1070" s="77"/>
      <c r="F1070" s="77"/>
      <c r="G1070" s="80"/>
    </row>
    <row r="1071">
      <c r="A1071" s="77"/>
      <c r="B1071" s="77"/>
      <c r="C1071" s="77"/>
      <c r="D1071" s="77"/>
      <c r="E1071" s="77"/>
      <c r="F1071" s="77"/>
      <c r="G1071" s="80"/>
    </row>
    <row r="1072">
      <c r="A1072" s="77"/>
      <c r="B1072" s="77"/>
      <c r="C1072" s="77"/>
      <c r="D1072" s="77"/>
      <c r="E1072" s="77"/>
      <c r="F1072" s="77"/>
      <c r="G1072" s="80"/>
    </row>
    <row r="1073">
      <c r="A1073" s="77"/>
      <c r="B1073" s="77"/>
      <c r="C1073" s="77"/>
      <c r="D1073" s="77"/>
      <c r="E1073" s="77"/>
      <c r="F1073" s="77"/>
      <c r="G1073" s="80"/>
    </row>
    <row r="1074">
      <c r="A1074" s="77"/>
      <c r="B1074" s="77"/>
      <c r="C1074" s="77"/>
      <c r="D1074" s="77"/>
      <c r="E1074" s="77"/>
      <c r="F1074" s="77"/>
      <c r="G1074" s="80"/>
    </row>
    <row r="1075">
      <c r="A1075" s="77"/>
      <c r="B1075" s="77"/>
      <c r="C1075" s="77"/>
      <c r="D1075" s="77"/>
      <c r="E1075" s="77"/>
      <c r="F1075" s="77"/>
      <c r="G1075" s="80"/>
    </row>
    <row r="1076">
      <c r="A1076" s="77"/>
      <c r="B1076" s="77"/>
      <c r="C1076" s="77"/>
      <c r="D1076" s="77"/>
      <c r="E1076" s="77"/>
      <c r="F1076" s="77"/>
      <c r="G1076" s="80"/>
    </row>
    <row r="1077">
      <c r="A1077" s="77"/>
      <c r="B1077" s="77"/>
      <c r="C1077" s="77"/>
      <c r="D1077" s="77"/>
      <c r="E1077" s="77"/>
      <c r="F1077" s="77"/>
      <c r="G1077" s="80"/>
    </row>
    <row r="1078">
      <c r="A1078" s="77"/>
      <c r="B1078" s="77"/>
      <c r="C1078" s="77"/>
      <c r="D1078" s="77"/>
      <c r="E1078" s="77"/>
      <c r="F1078" s="77"/>
      <c r="G1078" s="80"/>
    </row>
    <row r="1079">
      <c r="A1079" s="77"/>
      <c r="B1079" s="77"/>
      <c r="C1079" s="77"/>
      <c r="D1079" s="77"/>
      <c r="E1079" s="77"/>
      <c r="F1079" s="77"/>
      <c r="G1079" s="80"/>
    </row>
    <row r="1080">
      <c r="A1080" s="77"/>
      <c r="B1080" s="77"/>
      <c r="C1080" s="77"/>
      <c r="D1080" s="77"/>
      <c r="E1080" s="77"/>
      <c r="F1080" s="77"/>
      <c r="G1080" s="80"/>
    </row>
    <row r="1081">
      <c r="A1081" s="77"/>
      <c r="B1081" s="77"/>
      <c r="C1081" s="77"/>
      <c r="D1081" s="77"/>
      <c r="E1081" s="77"/>
      <c r="F1081" s="77"/>
      <c r="G1081" s="80"/>
    </row>
    <row r="1082">
      <c r="A1082" s="77"/>
      <c r="B1082" s="77"/>
      <c r="C1082" s="77"/>
      <c r="D1082" s="77"/>
      <c r="E1082" s="77"/>
      <c r="F1082" s="77"/>
      <c r="G1082" s="80"/>
    </row>
    <row r="1083">
      <c r="A1083" s="77"/>
      <c r="B1083" s="77"/>
      <c r="C1083" s="77"/>
      <c r="D1083" s="77"/>
      <c r="E1083" s="77"/>
      <c r="F1083" s="77"/>
      <c r="G1083" s="80"/>
    </row>
    <row r="1084">
      <c r="A1084" s="77"/>
      <c r="B1084" s="77"/>
      <c r="C1084" s="77"/>
      <c r="D1084" s="77"/>
      <c r="E1084" s="77"/>
      <c r="F1084" s="77"/>
      <c r="G1084" s="80"/>
    </row>
    <row r="1085">
      <c r="A1085" s="77"/>
      <c r="B1085" s="77"/>
      <c r="C1085" s="77"/>
      <c r="D1085" s="77"/>
      <c r="E1085" s="77"/>
      <c r="F1085" s="77"/>
      <c r="G1085" s="80"/>
    </row>
    <row r="1086">
      <c r="A1086" s="77"/>
      <c r="B1086" s="77"/>
      <c r="C1086" s="77"/>
      <c r="D1086" s="77"/>
      <c r="E1086" s="77"/>
      <c r="F1086" s="77"/>
      <c r="G1086" s="80"/>
    </row>
    <row r="1087">
      <c r="A1087" s="77"/>
      <c r="B1087" s="77"/>
      <c r="C1087" s="77"/>
      <c r="D1087" s="77"/>
      <c r="E1087" s="77"/>
      <c r="F1087" s="77"/>
      <c r="G1087" s="80"/>
    </row>
    <row r="1088">
      <c r="A1088" s="77"/>
      <c r="B1088" s="77"/>
      <c r="C1088" s="77"/>
      <c r="D1088" s="77"/>
      <c r="E1088" s="77"/>
      <c r="F1088" s="77"/>
      <c r="G1088" s="80"/>
    </row>
    <row r="1089">
      <c r="A1089" s="77"/>
      <c r="B1089" s="77"/>
      <c r="C1089" s="77"/>
      <c r="D1089" s="77"/>
      <c r="E1089" s="77"/>
      <c r="F1089" s="77"/>
      <c r="G1089" s="80"/>
    </row>
    <row r="1090">
      <c r="A1090" s="77"/>
      <c r="B1090" s="77"/>
      <c r="C1090" s="77"/>
      <c r="D1090" s="77"/>
      <c r="E1090" s="77"/>
      <c r="F1090" s="77"/>
      <c r="G1090" s="80"/>
    </row>
    <row r="1091">
      <c r="A1091" s="77"/>
      <c r="B1091" s="77"/>
      <c r="C1091" s="77"/>
      <c r="D1091" s="77"/>
      <c r="E1091" s="77"/>
      <c r="F1091" s="77"/>
      <c r="G1091" s="80"/>
    </row>
    <row r="1092">
      <c r="A1092" s="77"/>
      <c r="B1092" s="77"/>
      <c r="C1092" s="77"/>
      <c r="D1092" s="77"/>
      <c r="E1092" s="77"/>
      <c r="F1092" s="77"/>
      <c r="G1092" s="80"/>
    </row>
    <row r="1093">
      <c r="A1093" s="77"/>
      <c r="B1093" s="77"/>
      <c r="C1093" s="77"/>
      <c r="D1093" s="77"/>
      <c r="E1093" s="77"/>
      <c r="F1093" s="77"/>
      <c r="G1093" s="80"/>
    </row>
    <row r="1094">
      <c r="A1094" s="77"/>
      <c r="B1094" s="77"/>
      <c r="C1094" s="77"/>
      <c r="D1094" s="77"/>
      <c r="E1094" s="77"/>
      <c r="F1094" s="77"/>
      <c r="G1094" s="80"/>
    </row>
    <row r="1095">
      <c r="A1095" s="77"/>
      <c r="B1095" s="77"/>
      <c r="C1095" s="77"/>
      <c r="D1095" s="77"/>
      <c r="E1095" s="77"/>
      <c r="F1095" s="77"/>
      <c r="G1095" s="80"/>
    </row>
    <row r="1096">
      <c r="A1096" s="77"/>
      <c r="B1096" s="77"/>
      <c r="C1096" s="77"/>
      <c r="D1096" s="77"/>
      <c r="E1096" s="77"/>
      <c r="F1096" s="77"/>
      <c r="G1096" s="80"/>
    </row>
    <row r="1097">
      <c r="A1097" s="77"/>
      <c r="B1097" s="77"/>
      <c r="C1097" s="77"/>
      <c r="D1097" s="77"/>
      <c r="E1097" s="77"/>
      <c r="F1097" s="77"/>
      <c r="G1097" s="80"/>
    </row>
    <row r="1098">
      <c r="A1098" s="77"/>
      <c r="B1098" s="77"/>
      <c r="C1098" s="77"/>
      <c r="D1098" s="77"/>
      <c r="E1098" s="77"/>
      <c r="F1098" s="77"/>
      <c r="G1098" s="80"/>
    </row>
    <row r="1099">
      <c r="A1099" s="77"/>
      <c r="B1099" s="77"/>
      <c r="C1099" s="77"/>
      <c r="D1099" s="77"/>
      <c r="E1099" s="77"/>
      <c r="F1099" s="77"/>
      <c r="G1099" s="80"/>
    </row>
    <row r="1100">
      <c r="A1100" s="77"/>
      <c r="B1100" s="77"/>
      <c r="C1100" s="77"/>
      <c r="D1100" s="77"/>
      <c r="E1100" s="77"/>
      <c r="F1100" s="77"/>
      <c r="G1100" s="80"/>
    </row>
    <row r="1101">
      <c r="A1101" s="77"/>
      <c r="B1101" s="77"/>
      <c r="C1101" s="77"/>
      <c r="D1101" s="77"/>
      <c r="E1101" s="77"/>
      <c r="F1101" s="77"/>
      <c r="G1101" s="80"/>
    </row>
    <row r="1102">
      <c r="A1102" s="77"/>
      <c r="B1102" s="77"/>
      <c r="C1102" s="77"/>
      <c r="D1102" s="77"/>
      <c r="E1102" s="77"/>
      <c r="F1102" s="77"/>
      <c r="G1102" s="80"/>
    </row>
    <row r="1103">
      <c r="A1103" s="77"/>
      <c r="B1103" s="77"/>
      <c r="C1103" s="77"/>
      <c r="D1103" s="77"/>
      <c r="E1103" s="77"/>
      <c r="F1103" s="77"/>
      <c r="G1103" s="80"/>
    </row>
    <row r="1104">
      <c r="A1104" s="77"/>
      <c r="B1104" s="77"/>
      <c r="C1104" s="77"/>
      <c r="D1104" s="77"/>
      <c r="E1104" s="77"/>
      <c r="F1104" s="77"/>
      <c r="G1104" s="80"/>
    </row>
    <row r="1105">
      <c r="A1105" s="77"/>
      <c r="B1105" s="77"/>
      <c r="C1105" s="77"/>
      <c r="D1105" s="77"/>
      <c r="E1105" s="77"/>
      <c r="F1105" s="77"/>
      <c r="G1105" s="80"/>
    </row>
    <row r="1106">
      <c r="A1106" s="77"/>
      <c r="B1106" s="77"/>
      <c r="C1106" s="77"/>
      <c r="D1106" s="77"/>
      <c r="E1106" s="77"/>
      <c r="F1106" s="77"/>
      <c r="G1106" s="80"/>
    </row>
    <row r="1107">
      <c r="A1107" s="77"/>
      <c r="B1107" s="77"/>
      <c r="C1107" s="77"/>
      <c r="D1107" s="77"/>
      <c r="E1107" s="77"/>
      <c r="F1107" s="77"/>
      <c r="G1107" s="80"/>
    </row>
    <row r="1108">
      <c r="A1108" s="77"/>
      <c r="B1108" s="77"/>
      <c r="C1108" s="77"/>
      <c r="D1108" s="77"/>
      <c r="E1108" s="77"/>
      <c r="F1108" s="77"/>
      <c r="G1108" s="80"/>
    </row>
    <row r="1109">
      <c r="A1109" s="77"/>
      <c r="B1109" s="77"/>
      <c r="C1109" s="77"/>
      <c r="D1109" s="77"/>
      <c r="E1109" s="77"/>
      <c r="F1109" s="77"/>
      <c r="G1109" s="80"/>
    </row>
    <row r="1110">
      <c r="A1110" s="77"/>
      <c r="B1110" s="77"/>
      <c r="C1110" s="77"/>
      <c r="D1110" s="77"/>
      <c r="E1110" s="77"/>
      <c r="F1110" s="77"/>
      <c r="G1110" s="80"/>
    </row>
    <row r="1111">
      <c r="A1111" s="77"/>
      <c r="B1111" s="77"/>
      <c r="C1111" s="77"/>
      <c r="D1111" s="77"/>
      <c r="E1111" s="77"/>
      <c r="F1111" s="77"/>
      <c r="G1111" s="80"/>
    </row>
    <row r="1112">
      <c r="A1112" s="77"/>
      <c r="B1112" s="77"/>
      <c r="C1112" s="77"/>
      <c r="D1112" s="77"/>
      <c r="E1112" s="77"/>
      <c r="F1112" s="77"/>
      <c r="G1112" s="80"/>
    </row>
    <row r="1113">
      <c r="A1113" s="77"/>
      <c r="B1113" s="77"/>
      <c r="C1113" s="77"/>
      <c r="D1113" s="77"/>
      <c r="E1113" s="77"/>
      <c r="F1113" s="77"/>
      <c r="G1113" s="80"/>
    </row>
    <row r="1114">
      <c r="A1114" s="77"/>
      <c r="B1114" s="77"/>
      <c r="C1114" s="77"/>
      <c r="D1114" s="77"/>
      <c r="E1114" s="77"/>
      <c r="F1114" s="77"/>
      <c r="G1114" s="80"/>
    </row>
    <row r="1115">
      <c r="A1115" s="77"/>
      <c r="B1115" s="77"/>
      <c r="C1115" s="77"/>
      <c r="D1115" s="77"/>
      <c r="E1115" s="77"/>
      <c r="F1115" s="77"/>
      <c r="G1115" s="80"/>
    </row>
    <row r="1116">
      <c r="A1116" s="77"/>
      <c r="B1116" s="77"/>
      <c r="C1116" s="77"/>
      <c r="D1116" s="77"/>
      <c r="E1116" s="77"/>
      <c r="F1116" s="77"/>
      <c r="G1116" s="80"/>
    </row>
    <row r="1117">
      <c r="A1117" s="77"/>
      <c r="B1117" s="77"/>
      <c r="C1117" s="77"/>
      <c r="D1117" s="77"/>
      <c r="E1117" s="77"/>
      <c r="F1117" s="77"/>
      <c r="G1117" s="80"/>
    </row>
    <row r="1118">
      <c r="A1118" s="77"/>
      <c r="B1118" s="77"/>
      <c r="C1118" s="77"/>
      <c r="D1118" s="77"/>
      <c r="E1118" s="77"/>
      <c r="F1118" s="77"/>
      <c r="G1118" s="80"/>
    </row>
    <row r="1119">
      <c r="A1119" s="77"/>
      <c r="B1119" s="77"/>
      <c r="C1119" s="77"/>
      <c r="D1119" s="77"/>
      <c r="E1119" s="77"/>
      <c r="F1119" s="77"/>
      <c r="G1119" s="80"/>
    </row>
    <row r="1120">
      <c r="A1120" s="77"/>
      <c r="B1120" s="77"/>
      <c r="C1120" s="77"/>
      <c r="D1120" s="77"/>
      <c r="E1120" s="77"/>
      <c r="F1120" s="77"/>
      <c r="G1120" s="80"/>
    </row>
    <row r="1121">
      <c r="A1121" s="77"/>
      <c r="B1121" s="77"/>
      <c r="C1121" s="77"/>
      <c r="D1121" s="77"/>
      <c r="E1121" s="77"/>
      <c r="F1121" s="77"/>
      <c r="G1121" s="80"/>
    </row>
    <row r="1122">
      <c r="A1122" s="77"/>
      <c r="B1122" s="77"/>
      <c r="C1122" s="77"/>
      <c r="D1122" s="77"/>
      <c r="E1122" s="77"/>
      <c r="F1122" s="77"/>
      <c r="G1122" s="80"/>
    </row>
    <row r="1123">
      <c r="A1123" s="77"/>
      <c r="B1123" s="77"/>
      <c r="C1123" s="77"/>
      <c r="D1123" s="77"/>
      <c r="E1123" s="77"/>
      <c r="F1123" s="77"/>
      <c r="G1123" s="80"/>
    </row>
    <row r="1124">
      <c r="A1124" s="77"/>
      <c r="B1124" s="77"/>
      <c r="C1124" s="77"/>
      <c r="D1124" s="77"/>
      <c r="E1124" s="77"/>
      <c r="F1124" s="77"/>
      <c r="G1124" s="80"/>
    </row>
    <row r="1125">
      <c r="A1125" s="77"/>
      <c r="B1125" s="77"/>
      <c r="C1125" s="77"/>
      <c r="D1125" s="77"/>
      <c r="E1125" s="77"/>
      <c r="F1125" s="77"/>
      <c r="G1125" s="80"/>
    </row>
    <row r="1126">
      <c r="A1126" s="77"/>
      <c r="B1126" s="77"/>
      <c r="C1126" s="77"/>
      <c r="D1126" s="77"/>
      <c r="E1126" s="77"/>
      <c r="F1126" s="77"/>
      <c r="G1126" s="80"/>
    </row>
    <row r="1127">
      <c r="A1127" s="77"/>
      <c r="B1127" s="77"/>
      <c r="C1127" s="77"/>
      <c r="D1127" s="77"/>
      <c r="E1127" s="77"/>
      <c r="F1127" s="77"/>
      <c r="G1127" s="80"/>
    </row>
    <row r="1128">
      <c r="A1128" s="77"/>
      <c r="B1128" s="77"/>
      <c r="C1128" s="77"/>
      <c r="D1128" s="77"/>
      <c r="E1128" s="77"/>
      <c r="F1128" s="77"/>
      <c r="G1128" s="80"/>
    </row>
    <row r="1129">
      <c r="A1129" s="77"/>
      <c r="B1129" s="77"/>
      <c r="C1129" s="77"/>
      <c r="D1129" s="77"/>
      <c r="E1129" s="77"/>
      <c r="F1129" s="77"/>
      <c r="G1129" s="80"/>
    </row>
    <row r="1130">
      <c r="A1130" s="77"/>
      <c r="B1130" s="77"/>
      <c r="C1130" s="77"/>
      <c r="D1130" s="77"/>
      <c r="E1130" s="77"/>
      <c r="F1130" s="77"/>
      <c r="G1130" s="80"/>
    </row>
    <row r="1131">
      <c r="A1131" s="77"/>
      <c r="B1131" s="77"/>
      <c r="C1131" s="77"/>
      <c r="D1131" s="77"/>
      <c r="E1131" s="77"/>
      <c r="F1131" s="77"/>
      <c r="G1131" s="80"/>
    </row>
    <row r="1132">
      <c r="A1132" s="77"/>
      <c r="B1132" s="77"/>
      <c r="C1132" s="77"/>
      <c r="D1132" s="77"/>
      <c r="E1132" s="77"/>
      <c r="F1132" s="77"/>
      <c r="G1132" s="80"/>
    </row>
    <row r="1133">
      <c r="A1133" s="77"/>
      <c r="B1133" s="77"/>
      <c r="C1133" s="77"/>
      <c r="D1133" s="77"/>
      <c r="E1133" s="77"/>
      <c r="F1133" s="77"/>
      <c r="G1133" s="80"/>
    </row>
    <row r="1134">
      <c r="A1134" s="77"/>
      <c r="B1134" s="77"/>
      <c r="C1134" s="77"/>
      <c r="D1134" s="77"/>
      <c r="E1134" s="77"/>
      <c r="F1134" s="77"/>
      <c r="G1134" s="80"/>
    </row>
    <row r="1135">
      <c r="A1135" s="77"/>
      <c r="B1135" s="77"/>
      <c r="C1135" s="77"/>
      <c r="D1135" s="77"/>
      <c r="E1135" s="77"/>
      <c r="F1135" s="77"/>
      <c r="G1135" s="80"/>
    </row>
    <row r="1136">
      <c r="A1136" s="77"/>
      <c r="B1136" s="77"/>
      <c r="C1136" s="77"/>
      <c r="D1136" s="77"/>
      <c r="E1136" s="77"/>
      <c r="F1136" s="77"/>
      <c r="G1136" s="80"/>
    </row>
    <row r="1137">
      <c r="A1137" s="77"/>
      <c r="B1137" s="77"/>
      <c r="C1137" s="77"/>
      <c r="D1137" s="77"/>
      <c r="E1137" s="77"/>
      <c r="F1137" s="77"/>
      <c r="G1137" s="80"/>
    </row>
    <row r="1138">
      <c r="A1138" s="77"/>
      <c r="B1138" s="77"/>
      <c r="C1138" s="77"/>
      <c r="D1138" s="77"/>
      <c r="E1138" s="77"/>
      <c r="F1138" s="77"/>
      <c r="G1138" s="80"/>
    </row>
    <row r="1139">
      <c r="A1139" s="77"/>
      <c r="B1139" s="77"/>
      <c r="C1139" s="77"/>
      <c r="D1139" s="77"/>
      <c r="E1139" s="77"/>
      <c r="F1139" s="77"/>
      <c r="G1139" s="80"/>
    </row>
    <row r="1140">
      <c r="A1140" s="77"/>
      <c r="B1140" s="77"/>
      <c r="C1140" s="77"/>
      <c r="D1140" s="77"/>
      <c r="E1140" s="77"/>
      <c r="F1140" s="77"/>
      <c r="G1140" s="80"/>
    </row>
    <row r="1141">
      <c r="A1141" s="77"/>
      <c r="B1141" s="77"/>
      <c r="C1141" s="77"/>
      <c r="D1141" s="77"/>
      <c r="E1141" s="77"/>
      <c r="F1141" s="77"/>
      <c r="G1141" s="80"/>
    </row>
    <row r="1142">
      <c r="A1142" s="77"/>
      <c r="B1142" s="77"/>
      <c r="C1142" s="77"/>
      <c r="D1142" s="77"/>
      <c r="E1142" s="77"/>
      <c r="F1142" s="77"/>
      <c r="G1142" s="80"/>
    </row>
    <row r="1143">
      <c r="A1143" s="77"/>
      <c r="B1143" s="77"/>
      <c r="C1143" s="77"/>
      <c r="D1143" s="77"/>
      <c r="E1143" s="77"/>
      <c r="F1143" s="77"/>
      <c r="G1143" s="80"/>
    </row>
    <row r="1144">
      <c r="A1144" s="77"/>
      <c r="B1144" s="77"/>
      <c r="C1144" s="77"/>
      <c r="D1144" s="77"/>
      <c r="E1144" s="77"/>
      <c r="F1144" s="77"/>
      <c r="G1144" s="80"/>
    </row>
    <row r="1145">
      <c r="A1145" s="77"/>
      <c r="B1145" s="77"/>
      <c r="C1145" s="77"/>
      <c r="D1145" s="77"/>
      <c r="E1145" s="77"/>
      <c r="F1145" s="77"/>
      <c r="G1145" s="80"/>
    </row>
    <row r="1146">
      <c r="A1146" s="77"/>
      <c r="B1146" s="77"/>
      <c r="C1146" s="77"/>
      <c r="D1146" s="77"/>
      <c r="E1146" s="77"/>
      <c r="F1146" s="77"/>
      <c r="G1146" s="80"/>
    </row>
    <row r="1147">
      <c r="A1147" s="77"/>
      <c r="B1147" s="77"/>
      <c r="C1147" s="77"/>
      <c r="D1147" s="77"/>
      <c r="E1147" s="77"/>
      <c r="F1147" s="77"/>
      <c r="G1147" s="80"/>
    </row>
    <row r="1148">
      <c r="A1148" s="77"/>
      <c r="B1148" s="77"/>
      <c r="C1148" s="77"/>
      <c r="D1148" s="77"/>
      <c r="E1148" s="77"/>
      <c r="F1148" s="77"/>
      <c r="G1148" s="80"/>
    </row>
    <row r="1149">
      <c r="A1149" s="77"/>
      <c r="B1149" s="77"/>
      <c r="C1149" s="77"/>
      <c r="D1149" s="77"/>
      <c r="E1149" s="77"/>
      <c r="F1149" s="77"/>
      <c r="G1149" s="80"/>
    </row>
    <row r="1150">
      <c r="A1150" s="77"/>
      <c r="B1150" s="77"/>
      <c r="C1150" s="77"/>
      <c r="D1150" s="77"/>
      <c r="E1150" s="77"/>
      <c r="F1150" s="77"/>
      <c r="G1150" s="80"/>
    </row>
    <row r="1151">
      <c r="A1151" s="77"/>
      <c r="B1151" s="77"/>
      <c r="C1151" s="77"/>
      <c r="D1151" s="77"/>
      <c r="E1151" s="77"/>
      <c r="F1151" s="77"/>
      <c r="G1151" s="80"/>
    </row>
    <row r="1152">
      <c r="A1152" s="77"/>
      <c r="B1152" s="77"/>
      <c r="C1152" s="77"/>
      <c r="D1152" s="77"/>
      <c r="E1152" s="77"/>
      <c r="F1152" s="77"/>
      <c r="G1152" s="80"/>
    </row>
    <row r="1153">
      <c r="A1153" s="77"/>
      <c r="B1153" s="77"/>
      <c r="C1153" s="77"/>
      <c r="D1153" s="77"/>
      <c r="E1153" s="77"/>
      <c r="F1153" s="77"/>
      <c r="G1153" s="80"/>
    </row>
    <row r="1154">
      <c r="A1154" s="77"/>
      <c r="B1154" s="77"/>
      <c r="C1154" s="77"/>
      <c r="D1154" s="77"/>
      <c r="E1154" s="77"/>
      <c r="F1154" s="77"/>
      <c r="G1154" s="80"/>
    </row>
    <row r="1155">
      <c r="A1155" s="77"/>
      <c r="B1155" s="77"/>
      <c r="C1155" s="77"/>
      <c r="D1155" s="77"/>
      <c r="E1155" s="77"/>
      <c r="F1155" s="77"/>
      <c r="G1155" s="80"/>
    </row>
    <row r="1156">
      <c r="A1156" s="77"/>
      <c r="B1156" s="77"/>
      <c r="C1156" s="77"/>
      <c r="D1156" s="77"/>
      <c r="E1156" s="77"/>
      <c r="F1156" s="77"/>
      <c r="G1156" s="80"/>
    </row>
    <row r="1157">
      <c r="A1157" s="77"/>
      <c r="B1157" s="77"/>
      <c r="C1157" s="77"/>
      <c r="D1157" s="77"/>
      <c r="E1157" s="77"/>
      <c r="F1157" s="77"/>
      <c r="G1157" s="80"/>
    </row>
    <row r="1158">
      <c r="A1158" s="77"/>
      <c r="B1158" s="77"/>
      <c r="C1158" s="77"/>
      <c r="D1158" s="77"/>
      <c r="E1158" s="77"/>
      <c r="F1158" s="77"/>
      <c r="G1158" s="80"/>
    </row>
    <row r="1159">
      <c r="A1159" s="77"/>
      <c r="B1159" s="77"/>
      <c r="C1159" s="77"/>
      <c r="D1159" s="77"/>
      <c r="E1159" s="77"/>
      <c r="F1159" s="77"/>
      <c r="G1159" s="80"/>
    </row>
    <row r="1160">
      <c r="A1160" s="77"/>
      <c r="B1160" s="77"/>
      <c r="C1160" s="77"/>
      <c r="D1160" s="77"/>
      <c r="E1160" s="77"/>
      <c r="F1160" s="77"/>
      <c r="G1160" s="80"/>
    </row>
    <row r="1161">
      <c r="A1161" s="77"/>
      <c r="B1161" s="77"/>
      <c r="C1161" s="77"/>
      <c r="D1161" s="77"/>
      <c r="E1161" s="77"/>
      <c r="F1161" s="77"/>
      <c r="G1161" s="80"/>
    </row>
    <row r="1162">
      <c r="A1162" s="77"/>
      <c r="B1162" s="77"/>
      <c r="C1162" s="77"/>
      <c r="D1162" s="77"/>
      <c r="E1162" s="77"/>
      <c r="F1162" s="77"/>
      <c r="G1162" s="80"/>
    </row>
    <row r="1163">
      <c r="A1163" s="77"/>
      <c r="B1163" s="77"/>
      <c r="C1163" s="77"/>
      <c r="D1163" s="77"/>
      <c r="E1163" s="77"/>
      <c r="F1163" s="77"/>
      <c r="G1163" s="80"/>
    </row>
    <row r="1164">
      <c r="A1164" s="77"/>
      <c r="B1164" s="77"/>
      <c r="C1164" s="77"/>
      <c r="D1164" s="77"/>
      <c r="E1164" s="77"/>
      <c r="F1164" s="77"/>
      <c r="G1164" s="80"/>
    </row>
    <row r="1165">
      <c r="A1165" s="77"/>
      <c r="B1165" s="77"/>
      <c r="C1165" s="77"/>
      <c r="D1165" s="77"/>
      <c r="E1165" s="77"/>
      <c r="F1165" s="77"/>
      <c r="G1165" s="80"/>
    </row>
    <row r="1166">
      <c r="A1166" s="77"/>
      <c r="B1166" s="77"/>
      <c r="C1166" s="77"/>
      <c r="D1166" s="77"/>
      <c r="E1166" s="77"/>
      <c r="F1166" s="77"/>
      <c r="G1166" s="80"/>
    </row>
    <row r="1167">
      <c r="A1167" s="77"/>
      <c r="B1167" s="77"/>
      <c r="C1167" s="77"/>
      <c r="D1167" s="77"/>
      <c r="E1167" s="77"/>
      <c r="F1167" s="77"/>
      <c r="G1167" s="80"/>
    </row>
    <row r="1168">
      <c r="A1168" s="77"/>
      <c r="B1168" s="77"/>
      <c r="C1168" s="77"/>
      <c r="D1168" s="77"/>
      <c r="E1168" s="77"/>
      <c r="F1168" s="77"/>
      <c r="G1168" s="80"/>
    </row>
    <row r="1169">
      <c r="A1169" s="77"/>
      <c r="B1169" s="77"/>
      <c r="C1169" s="77"/>
      <c r="D1169" s="77"/>
      <c r="E1169" s="77"/>
      <c r="F1169" s="77"/>
      <c r="G1169" s="80"/>
    </row>
    <row r="1170">
      <c r="A1170" s="77"/>
      <c r="B1170" s="77"/>
      <c r="C1170" s="77"/>
      <c r="D1170" s="77"/>
      <c r="E1170" s="77"/>
      <c r="F1170" s="77"/>
      <c r="G1170" s="80"/>
    </row>
    <row r="1171">
      <c r="A1171" s="77"/>
      <c r="B1171" s="77"/>
      <c r="C1171" s="77"/>
      <c r="D1171" s="77"/>
      <c r="E1171" s="77"/>
      <c r="F1171" s="77"/>
      <c r="G1171" s="80"/>
    </row>
    <row r="1172">
      <c r="A1172" s="77"/>
      <c r="B1172" s="77"/>
      <c r="C1172" s="77"/>
      <c r="D1172" s="77"/>
      <c r="E1172" s="77"/>
      <c r="F1172" s="77"/>
      <c r="G1172" s="80"/>
    </row>
    <row r="1173">
      <c r="A1173" s="77"/>
      <c r="B1173" s="77"/>
      <c r="C1173" s="77"/>
      <c r="D1173" s="77"/>
      <c r="E1173" s="77"/>
      <c r="F1173" s="77"/>
      <c r="G1173" s="80"/>
    </row>
    <row r="1174">
      <c r="A1174" s="77"/>
      <c r="B1174" s="77"/>
      <c r="C1174" s="77"/>
      <c r="D1174" s="77"/>
      <c r="E1174" s="77"/>
      <c r="F1174" s="77"/>
      <c r="G1174" s="80"/>
    </row>
    <row r="1175">
      <c r="A1175" s="77"/>
      <c r="B1175" s="77"/>
      <c r="C1175" s="77"/>
      <c r="D1175" s="77"/>
      <c r="E1175" s="77"/>
      <c r="F1175" s="77"/>
      <c r="G1175" s="80"/>
    </row>
    <row r="1176">
      <c r="A1176" s="77"/>
      <c r="B1176" s="77"/>
      <c r="C1176" s="77"/>
      <c r="D1176" s="77"/>
      <c r="E1176" s="77"/>
      <c r="F1176" s="77"/>
      <c r="G1176" s="80"/>
    </row>
    <row r="1177">
      <c r="A1177" s="77"/>
      <c r="B1177" s="77"/>
      <c r="C1177" s="77"/>
      <c r="D1177" s="77"/>
      <c r="E1177" s="77"/>
      <c r="F1177" s="77"/>
      <c r="G1177" s="80"/>
    </row>
    <row r="1178">
      <c r="A1178" s="77"/>
      <c r="B1178" s="77"/>
      <c r="C1178" s="77"/>
      <c r="D1178" s="77"/>
      <c r="E1178" s="77"/>
      <c r="F1178" s="77"/>
      <c r="G1178" s="80"/>
    </row>
    <row r="1179">
      <c r="A1179" s="77"/>
      <c r="B1179" s="77"/>
      <c r="C1179" s="77"/>
      <c r="D1179" s="77"/>
      <c r="E1179" s="77"/>
      <c r="F1179" s="77"/>
      <c r="G1179" s="80"/>
    </row>
    <row r="1180">
      <c r="A1180" s="77"/>
      <c r="B1180" s="77"/>
      <c r="C1180" s="77"/>
      <c r="D1180" s="77"/>
      <c r="E1180" s="77"/>
      <c r="F1180" s="77"/>
      <c r="G1180" s="80"/>
    </row>
    <row r="1181">
      <c r="A1181" s="77"/>
      <c r="B1181" s="77"/>
      <c r="C1181" s="77"/>
      <c r="D1181" s="77"/>
      <c r="E1181" s="77"/>
      <c r="F1181" s="77"/>
      <c r="G1181" s="80"/>
    </row>
    <row r="1182">
      <c r="A1182" s="77"/>
      <c r="B1182" s="77"/>
      <c r="C1182" s="77"/>
      <c r="D1182" s="77"/>
      <c r="E1182" s="77"/>
      <c r="F1182" s="77"/>
      <c r="G1182" s="80"/>
    </row>
    <row r="1183">
      <c r="A1183" s="77"/>
      <c r="B1183" s="77"/>
      <c r="C1183" s="77"/>
      <c r="D1183" s="77"/>
      <c r="E1183" s="77"/>
      <c r="F1183" s="77"/>
      <c r="G1183" s="80"/>
    </row>
    <row r="1184">
      <c r="A1184" s="77"/>
      <c r="B1184" s="77"/>
      <c r="C1184" s="77"/>
      <c r="D1184" s="77"/>
      <c r="E1184" s="77"/>
      <c r="F1184" s="77"/>
      <c r="G1184" s="80"/>
    </row>
    <row r="1185">
      <c r="A1185" s="77"/>
      <c r="B1185" s="77"/>
      <c r="C1185" s="77"/>
      <c r="D1185" s="77"/>
      <c r="E1185" s="77"/>
      <c r="F1185" s="77"/>
      <c r="G1185" s="80"/>
    </row>
    <row r="1186">
      <c r="A1186" s="77"/>
      <c r="B1186" s="77"/>
      <c r="C1186" s="77"/>
      <c r="D1186" s="77"/>
      <c r="E1186" s="77"/>
      <c r="F1186" s="77"/>
      <c r="G1186" s="80"/>
    </row>
    <row r="1187">
      <c r="A1187" s="77"/>
      <c r="B1187" s="77"/>
      <c r="C1187" s="77"/>
      <c r="D1187" s="77"/>
      <c r="E1187" s="77"/>
      <c r="F1187" s="77"/>
      <c r="G1187" s="80"/>
    </row>
    <row r="1188">
      <c r="A1188" s="77"/>
      <c r="B1188" s="77"/>
      <c r="C1188" s="77"/>
      <c r="D1188" s="77"/>
      <c r="E1188" s="77"/>
      <c r="F1188" s="77"/>
      <c r="G1188" s="80"/>
    </row>
    <row r="1189">
      <c r="A1189" s="77"/>
      <c r="B1189" s="77"/>
      <c r="C1189" s="77"/>
      <c r="D1189" s="77"/>
      <c r="E1189" s="77"/>
      <c r="F1189" s="77"/>
      <c r="G1189" s="80"/>
    </row>
    <row r="1190">
      <c r="A1190" s="77"/>
      <c r="B1190" s="77"/>
      <c r="C1190" s="77"/>
      <c r="D1190" s="77"/>
      <c r="E1190" s="77"/>
      <c r="F1190" s="77"/>
      <c r="G1190" s="80"/>
    </row>
    <row r="1191">
      <c r="A1191" s="77"/>
      <c r="B1191" s="77"/>
      <c r="C1191" s="77"/>
      <c r="D1191" s="77"/>
      <c r="E1191" s="77"/>
      <c r="F1191" s="77"/>
      <c r="G1191" s="80"/>
    </row>
    <row r="1192">
      <c r="A1192" s="77"/>
      <c r="B1192" s="77"/>
      <c r="C1192" s="77"/>
      <c r="D1192" s="77"/>
      <c r="E1192" s="77"/>
      <c r="F1192" s="77"/>
      <c r="G1192" s="80"/>
    </row>
    <row r="1193">
      <c r="A1193" s="77"/>
      <c r="B1193" s="77"/>
      <c r="C1193" s="77"/>
      <c r="D1193" s="77"/>
      <c r="E1193" s="77"/>
      <c r="F1193" s="77"/>
      <c r="G1193" s="80"/>
    </row>
    <row r="1194">
      <c r="A1194" s="77"/>
      <c r="B1194" s="77"/>
      <c r="C1194" s="77"/>
      <c r="D1194" s="77"/>
      <c r="E1194" s="77"/>
      <c r="F1194" s="77"/>
      <c r="G1194" s="80"/>
    </row>
    <row r="1195">
      <c r="A1195" s="77"/>
      <c r="B1195" s="77"/>
      <c r="C1195" s="77"/>
      <c r="D1195" s="77"/>
      <c r="E1195" s="77"/>
      <c r="F1195" s="77"/>
      <c r="G1195" s="80"/>
    </row>
    <row r="1196">
      <c r="A1196" s="77"/>
      <c r="B1196" s="77"/>
      <c r="C1196" s="77"/>
      <c r="D1196" s="77"/>
      <c r="E1196" s="77"/>
      <c r="F1196" s="77"/>
      <c r="G1196" s="80"/>
    </row>
    <row r="1197">
      <c r="A1197" s="77"/>
      <c r="B1197" s="77"/>
      <c r="C1197" s="77"/>
      <c r="D1197" s="77"/>
      <c r="E1197" s="77"/>
      <c r="F1197" s="77"/>
      <c r="G1197" s="80"/>
    </row>
    <row r="1198">
      <c r="A1198" s="77"/>
      <c r="B1198" s="77"/>
      <c r="C1198" s="77"/>
      <c r="D1198" s="77"/>
      <c r="E1198" s="77"/>
      <c r="F1198" s="77"/>
      <c r="G1198" s="80"/>
    </row>
    <row r="1199">
      <c r="A1199" s="77"/>
      <c r="B1199" s="77"/>
      <c r="C1199" s="77"/>
      <c r="D1199" s="77"/>
      <c r="E1199" s="77"/>
      <c r="F1199" s="77"/>
      <c r="G1199" s="80"/>
    </row>
    <row r="1200">
      <c r="A1200" s="77"/>
      <c r="B1200" s="77"/>
      <c r="C1200" s="77"/>
      <c r="D1200" s="77"/>
      <c r="E1200" s="77"/>
      <c r="F1200" s="77"/>
      <c r="G1200" s="80"/>
    </row>
    <row r="1201">
      <c r="A1201" s="77"/>
      <c r="B1201" s="77"/>
      <c r="C1201" s="77"/>
      <c r="D1201" s="77"/>
      <c r="E1201" s="77"/>
      <c r="F1201" s="77"/>
      <c r="G1201" s="80"/>
    </row>
    <row r="1202">
      <c r="A1202" s="77"/>
      <c r="B1202" s="77"/>
      <c r="C1202" s="77"/>
      <c r="D1202" s="77"/>
      <c r="E1202" s="77"/>
      <c r="F1202" s="77"/>
      <c r="G1202" s="80"/>
    </row>
    <row r="1203">
      <c r="A1203" s="77"/>
      <c r="B1203" s="77"/>
      <c r="C1203" s="77"/>
      <c r="D1203" s="77"/>
      <c r="E1203" s="77"/>
      <c r="F1203" s="77"/>
      <c r="G1203" s="80"/>
    </row>
    <row r="1204">
      <c r="A1204" s="77"/>
      <c r="B1204" s="77"/>
      <c r="C1204" s="77"/>
      <c r="D1204" s="77"/>
      <c r="E1204" s="77"/>
      <c r="F1204" s="77"/>
      <c r="G1204" s="80"/>
    </row>
    <row r="1205">
      <c r="A1205" s="77"/>
      <c r="B1205" s="77"/>
      <c r="C1205" s="77"/>
      <c r="D1205" s="77"/>
      <c r="E1205" s="77"/>
      <c r="F1205" s="77"/>
      <c r="G1205" s="80"/>
    </row>
    <row r="1206">
      <c r="A1206" s="77"/>
      <c r="B1206" s="77"/>
      <c r="C1206" s="77"/>
      <c r="D1206" s="77"/>
      <c r="E1206" s="77"/>
      <c r="F1206" s="77"/>
      <c r="G1206" s="80"/>
    </row>
    <row r="1207">
      <c r="A1207" s="77"/>
      <c r="B1207" s="77"/>
      <c r="C1207" s="77"/>
      <c r="D1207" s="77"/>
      <c r="E1207" s="77"/>
      <c r="F1207" s="77"/>
      <c r="G1207" s="80"/>
    </row>
    <row r="1208">
      <c r="A1208" s="77"/>
      <c r="B1208" s="77"/>
      <c r="C1208" s="77"/>
      <c r="D1208" s="77"/>
      <c r="E1208" s="77"/>
      <c r="F1208" s="77"/>
      <c r="G1208" s="80"/>
    </row>
    <row r="1209">
      <c r="A1209" s="77"/>
      <c r="B1209" s="77"/>
      <c r="C1209" s="77"/>
      <c r="D1209" s="77"/>
      <c r="E1209" s="77"/>
      <c r="F1209" s="77"/>
      <c r="G1209" s="80"/>
    </row>
    <row r="1210">
      <c r="A1210" s="77"/>
      <c r="B1210" s="77"/>
      <c r="C1210" s="77"/>
      <c r="D1210" s="77"/>
      <c r="E1210" s="77"/>
      <c r="F1210" s="77"/>
      <c r="G1210" s="80"/>
    </row>
    <row r="1211">
      <c r="A1211" s="77"/>
      <c r="B1211" s="77"/>
      <c r="C1211" s="77"/>
      <c r="D1211" s="77"/>
      <c r="E1211" s="77"/>
      <c r="F1211" s="77"/>
      <c r="G1211" s="80"/>
    </row>
    <row r="1212">
      <c r="A1212" s="77"/>
      <c r="B1212" s="77"/>
      <c r="C1212" s="77"/>
      <c r="D1212" s="77"/>
      <c r="E1212" s="77"/>
      <c r="F1212" s="77"/>
      <c r="G1212" s="80"/>
    </row>
    <row r="1213">
      <c r="A1213" s="77"/>
      <c r="B1213" s="77"/>
      <c r="C1213" s="77"/>
      <c r="D1213" s="77"/>
      <c r="E1213" s="77"/>
      <c r="F1213" s="77"/>
      <c r="G1213" s="80"/>
    </row>
    <row r="1214">
      <c r="A1214" s="77"/>
      <c r="B1214" s="77"/>
      <c r="C1214" s="77"/>
      <c r="D1214" s="77"/>
      <c r="E1214" s="77"/>
      <c r="F1214" s="77"/>
      <c r="G1214" s="80"/>
    </row>
    <row r="1215">
      <c r="A1215" s="77"/>
      <c r="B1215" s="77"/>
      <c r="C1215" s="77"/>
      <c r="D1215" s="77"/>
      <c r="E1215" s="77"/>
      <c r="F1215" s="77"/>
      <c r="G1215" s="80"/>
    </row>
    <row r="1216">
      <c r="A1216" s="77"/>
      <c r="B1216" s="77"/>
      <c r="C1216" s="77"/>
      <c r="D1216" s="77"/>
      <c r="E1216" s="77"/>
      <c r="F1216" s="77"/>
      <c r="G1216" s="80"/>
    </row>
    <row r="1217">
      <c r="A1217" s="77"/>
      <c r="B1217" s="77"/>
      <c r="C1217" s="77"/>
      <c r="D1217" s="77"/>
      <c r="E1217" s="77"/>
      <c r="F1217" s="77"/>
      <c r="G1217" s="80"/>
    </row>
    <row r="1218">
      <c r="A1218" s="77"/>
      <c r="B1218" s="77"/>
      <c r="C1218" s="77"/>
      <c r="D1218" s="77"/>
      <c r="E1218" s="77"/>
      <c r="F1218" s="77"/>
      <c r="G1218" s="80"/>
    </row>
    <row r="1219">
      <c r="A1219" s="77"/>
      <c r="B1219" s="77"/>
      <c r="C1219" s="77"/>
      <c r="D1219" s="77"/>
      <c r="E1219" s="77"/>
      <c r="F1219" s="77"/>
      <c r="G1219" s="80"/>
    </row>
    <row r="1220">
      <c r="A1220" s="77"/>
      <c r="B1220" s="77"/>
      <c r="C1220" s="77"/>
      <c r="D1220" s="77"/>
      <c r="E1220" s="77"/>
      <c r="F1220" s="77"/>
      <c r="G1220" s="80"/>
    </row>
    <row r="1221">
      <c r="A1221" s="77"/>
      <c r="B1221" s="77"/>
      <c r="C1221" s="77"/>
      <c r="D1221" s="77"/>
      <c r="E1221" s="77"/>
      <c r="F1221" s="77"/>
      <c r="G1221" s="80"/>
    </row>
    <row r="1222">
      <c r="A1222" s="77"/>
      <c r="B1222" s="77"/>
      <c r="C1222" s="77"/>
      <c r="D1222" s="77"/>
      <c r="E1222" s="77"/>
      <c r="F1222" s="77"/>
      <c r="G1222" s="80"/>
    </row>
    <row r="1223">
      <c r="A1223" s="77"/>
      <c r="B1223" s="77"/>
      <c r="C1223" s="77"/>
      <c r="D1223" s="77"/>
      <c r="E1223" s="77"/>
      <c r="F1223" s="77"/>
      <c r="G1223" s="80"/>
    </row>
    <row r="1224">
      <c r="A1224" s="77"/>
      <c r="B1224" s="77"/>
      <c r="C1224" s="77"/>
      <c r="D1224" s="77"/>
      <c r="E1224" s="77"/>
      <c r="F1224" s="77"/>
      <c r="G1224" s="80"/>
    </row>
    <row r="1225">
      <c r="A1225" s="77"/>
      <c r="B1225" s="77"/>
      <c r="C1225" s="77"/>
      <c r="D1225" s="77"/>
      <c r="E1225" s="77"/>
      <c r="F1225" s="77"/>
      <c r="G1225" s="80"/>
    </row>
    <row r="1226">
      <c r="A1226" s="77"/>
      <c r="B1226" s="77"/>
      <c r="C1226" s="77"/>
      <c r="D1226" s="77"/>
      <c r="E1226" s="77"/>
      <c r="F1226" s="77"/>
      <c r="G1226" s="80"/>
    </row>
    <row r="1227">
      <c r="A1227" s="77"/>
      <c r="B1227" s="77"/>
      <c r="C1227" s="77"/>
      <c r="D1227" s="77"/>
      <c r="E1227" s="77"/>
      <c r="F1227" s="77"/>
      <c r="G1227" s="80"/>
    </row>
    <row r="1228">
      <c r="A1228" s="77"/>
      <c r="B1228" s="77"/>
      <c r="C1228" s="77"/>
      <c r="D1228" s="77"/>
      <c r="E1228" s="77"/>
      <c r="F1228" s="77"/>
      <c r="G1228" s="80"/>
    </row>
    <row r="1229">
      <c r="A1229" s="77"/>
      <c r="B1229" s="77"/>
      <c r="C1229" s="77"/>
      <c r="D1229" s="77"/>
      <c r="E1229" s="77"/>
      <c r="F1229" s="77"/>
      <c r="G1229" s="80"/>
    </row>
    <row r="1230">
      <c r="A1230" s="77"/>
      <c r="B1230" s="77"/>
      <c r="C1230" s="77"/>
      <c r="D1230" s="77"/>
      <c r="E1230" s="77"/>
      <c r="F1230" s="77"/>
      <c r="G1230" s="80"/>
    </row>
    <row r="1231">
      <c r="A1231" s="77"/>
      <c r="B1231" s="77"/>
      <c r="C1231" s="77"/>
      <c r="D1231" s="77"/>
      <c r="E1231" s="77"/>
      <c r="F1231" s="77"/>
      <c r="G1231" s="80"/>
    </row>
    <row r="1232">
      <c r="A1232" s="77"/>
      <c r="B1232" s="77"/>
      <c r="C1232" s="77"/>
      <c r="D1232" s="77"/>
      <c r="E1232" s="77"/>
      <c r="F1232" s="77"/>
      <c r="G1232" s="80"/>
    </row>
    <row r="1233">
      <c r="A1233" s="77"/>
      <c r="B1233" s="77"/>
      <c r="C1233" s="77"/>
      <c r="D1233" s="77"/>
      <c r="E1233" s="77"/>
      <c r="F1233" s="77"/>
      <c r="G1233" s="80"/>
    </row>
    <row r="1234">
      <c r="A1234" s="77"/>
      <c r="B1234" s="77"/>
      <c r="C1234" s="77"/>
      <c r="D1234" s="77"/>
      <c r="E1234" s="77"/>
      <c r="F1234" s="77"/>
      <c r="G1234" s="80"/>
    </row>
    <row r="1235">
      <c r="A1235" s="77"/>
      <c r="B1235" s="77"/>
      <c r="C1235" s="77"/>
      <c r="D1235" s="77"/>
      <c r="E1235" s="77"/>
      <c r="F1235" s="77"/>
      <c r="G1235" s="80"/>
    </row>
    <row r="1236">
      <c r="A1236" s="77"/>
      <c r="B1236" s="77"/>
      <c r="C1236" s="77"/>
      <c r="D1236" s="77"/>
      <c r="E1236" s="77"/>
      <c r="F1236" s="77"/>
      <c r="G1236" s="80"/>
    </row>
    <row r="1237">
      <c r="A1237" s="77"/>
      <c r="B1237" s="77"/>
      <c r="C1237" s="77"/>
      <c r="D1237" s="77"/>
      <c r="E1237" s="77"/>
      <c r="F1237" s="77"/>
      <c r="G1237" s="80"/>
    </row>
    <row r="1238">
      <c r="A1238" s="77"/>
      <c r="B1238" s="77"/>
      <c r="C1238" s="77"/>
      <c r="D1238" s="77"/>
      <c r="E1238" s="77"/>
      <c r="F1238" s="77"/>
      <c r="G1238" s="80"/>
    </row>
    <row r="1239">
      <c r="A1239" s="77"/>
      <c r="B1239" s="77"/>
      <c r="C1239" s="77"/>
      <c r="D1239" s="77"/>
      <c r="E1239" s="77"/>
      <c r="F1239" s="77"/>
      <c r="G1239" s="80"/>
    </row>
    <row r="1240">
      <c r="A1240" s="77"/>
      <c r="B1240" s="77"/>
      <c r="C1240" s="77"/>
      <c r="D1240" s="77"/>
      <c r="E1240" s="77"/>
      <c r="F1240" s="77"/>
      <c r="G1240" s="80"/>
    </row>
    <row r="1241">
      <c r="A1241" s="77"/>
      <c r="B1241" s="77"/>
      <c r="C1241" s="77"/>
      <c r="D1241" s="77"/>
      <c r="E1241" s="77"/>
      <c r="F1241" s="77"/>
      <c r="G1241" s="80"/>
    </row>
    <row r="1242">
      <c r="A1242" s="77"/>
      <c r="B1242" s="77"/>
      <c r="C1242" s="77"/>
      <c r="D1242" s="77"/>
      <c r="E1242" s="77"/>
      <c r="F1242" s="77"/>
      <c r="G1242" s="80"/>
    </row>
    <row r="1243">
      <c r="A1243" s="77"/>
      <c r="B1243" s="77"/>
      <c r="C1243" s="77"/>
      <c r="D1243" s="77"/>
      <c r="E1243" s="77"/>
      <c r="F1243" s="77"/>
      <c r="G1243" s="80"/>
    </row>
    <row r="1244">
      <c r="A1244" s="77"/>
      <c r="B1244" s="77"/>
      <c r="C1244" s="77"/>
      <c r="D1244" s="77"/>
      <c r="E1244" s="77"/>
      <c r="F1244" s="77"/>
      <c r="G1244" s="80"/>
    </row>
    <row r="1245">
      <c r="A1245" s="77"/>
      <c r="B1245" s="77"/>
      <c r="C1245" s="77"/>
      <c r="D1245" s="77"/>
      <c r="E1245" s="77"/>
      <c r="F1245" s="77"/>
      <c r="G1245" s="80"/>
    </row>
    <row r="1246">
      <c r="A1246" s="77"/>
      <c r="B1246" s="77"/>
      <c r="C1246" s="77"/>
      <c r="D1246" s="77"/>
      <c r="E1246" s="77"/>
      <c r="F1246" s="77"/>
      <c r="G1246" s="80"/>
    </row>
    <row r="1247">
      <c r="A1247" s="77"/>
      <c r="B1247" s="77"/>
      <c r="C1247" s="77"/>
      <c r="D1247" s="77"/>
      <c r="E1247" s="77"/>
      <c r="F1247" s="77"/>
      <c r="G1247" s="80"/>
    </row>
    <row r="1248">
      <c r="A1248" s="77"/>
      <c r="B1248" s="77"/>
      <c r="C1248" s="77"/>
      <c r="D1248" s="77"/>
      <c r="E1248" s="77"/>
      <c r="F1248" s="77"/>
      <c r="G1248" s="80"/>
    </row>
    <row r="1249">
      <c r="A1249" s="77"/>
      <c r="B1249" s="77"/>
      <c r="C1249" s="77"/>
      <c r="D1249" s="77"/>
      <c r="E1249" s="77"/>
      <c r="F1249" s="77"/>
      <c r="G1249" s="80"/>
    </row>
    <row r="1250">
      <c r="A1250" s="77"/>
      <c r="B1250" s="77"/>
      <c r="C1250" s="77"/>
      <c r="D1250" s="77"/>
      <c r="E1250" s="77"/>
      <c r="F1250" s="77"/>
      <c r="G1250" s="80"/>
    </row>
    <row r="1251">
      <c r="A1251" s="77"/>
      <c r="B1251" s="77"/>
      <c r="C1251" s="77"/>
      <c r="D1251" s="77"/>
      <c r="E1251" s="77"/>
      <c r="F1251" s="77"/>
      <c r="G1251" s="80"/>
    </row>
    <row r="1252">
      <c r="A1252" s="77"/>
      <c r="B1252" s="77"/>
      <c r="C1252" s="77"/>
      <c r="D1252" s="77"/>
      <c r="E1252" s="77"/>
      <c r="F1252" s="77"/>
      <c r="G1252" s="80"/>
    </row>
    <row r="1253">
      <c r="A1253" s="77"/>
      <c r="B1253" s="77"/>
      <c r="C1253" s="77"/>
      <c r="D1253" s="77"/>
      <c r="E1253" s="77"/>
      <c r="F1253" s="77"/>
      <c r="G1253" s="80"/>
    </row>
    <row r="1254">
      <c r="A1254" s="77"/>
      <c r="B1254" s="77"/>
      <c r="C1254" s="77"/>
      <c r="D1254" s="77"/>
      <c r="E1254" s="77"/>
      <c r="F1254" s="77"/>
      <c r="G1254" s="80"/>
    </row>
    <row r="1255">
      <c r="A1255" s="77"/>
      <c r="B1255" s="77"/>
      <c r="C1255" s="77"/>
      <c r="D1255" s="77"/>
      <c r="E1255" s="77"/>
      <c r="F1255" s="77"/>
      <c r="G1255" s="80"/>
    </row>
    <row r="1256">
      <c r="A1256" s="77"/>
      <c r="B1256" s="77"/>
      <c r="C1256" s="77"/>
      <c r="D1256" s="77"/>
      <c r="E1256" s="77"/>
      <c r="F1256" s="77"/>
      <c r="G1256" s="80"/>
    </row>
    <row r="1257">
      <c r="A1257" s="77"/>
      <c r="B1257" s="77"/>
      <c r="C1257" s="77"/>
      <c r="D1257" s="77"/>
      <c r="E1257" s="77"/>
      <c r="F1257" s="77"/>
      <c r="G1257" s="80"/>
    </row>
    <row r="1258">
      <c r="A1258" s="77"/>
      <c r="B1258" s="77"/>
      <c r="C1258" s="77"/>
      <c r="D1258" s="77"/>
      <c r="E1258" s="77"/>
      <c r="F1258" s="77"/>
      <c r="G1258" s="80"/>
    </row>
    <row r="1259">
      <c r="A1259" s="77"/>
      <c r="B1259" s="77"/>
      <c r="C1259" s="77"/>
      <c r="D1259" s="77"/>
      <c r="E1259" s="77"/>
      <c r="F1259" s="77"/>
      <c r="G1259" s="80"/>
    </row>
    <row r="1260">
      <c r="A1260" s="77"/>
      <c r="B1260" s="77"/>
      <c r="C1260" s="77"/>
      <c r="D1260" s="77"/>
      <c r="E1260" s="77"/>
      <c r="F1260" s="77"/>
      <c r="G1260" s="80"/>
    </row>
    <row r="1261">
      <c r="A1261" s="77"/>
      <c r="B1261" s="77"/>
      <c r="C1261" s="77"/>
      <c r="D1261" s="77"/>
      <c r="E1261" s="77"/>
      <c r="F1261" s="77"/>
      <c r="G1261" s="80"/>
    </row>
    <row r="1262">
      <c r="A1262" s="77"/>
      <c r="B1262" s="77"/>
      <c r="C1262" s="77"/>
      <c r="D1262" s="77"/>
      <c r="E1262" s="77"/>
      <c r="F1262" s="77"/>
      <c r="G1262" s="80"/>
    </row>
    <row r="1263">
      <c r="A1263" s="77"/>
      <c r="B1263" s="77"/>
      <c r="C1263" s="77"/>
      <c r="D1263" s="77"/>
      <c r="E1263" s="77"/>
      <c r="F1263" s="77"/>
      <c r="G1263" s="80"/>
    </row>
    <row r="1264">
      <c r="A1264" s="77"/>
      <c r="B1264" s="77"/>
      <c r="C1264" s="77"/>
      <c r="D1264" s="77"/>
      <c r="E1264" s="77"/>
      <c r="F1264" s="77"/>
      <c r="G1264" s="80"/>
    </row>
    <row r="1265">
      <c r="A1265" s="77"/>
      <c r="B1265" s="77"/>
      <c r="C1265" s="77"/>
      <c r="D1265" s="77"/>
      <c r="E1265" s="77"/>
      <c r="F1265" s="77"/>
      <c r="G1265" s="80"/>
    </row>
    <row r="1266">
      <c r="A1266" s="77"/>
      <c r="B1266" s="77"/>
      <c r="C1266" s="77"/>
      <c r="D1266" s="77"/>
      <c r="E1266" s="77"/>
      <c r="F1266" s="77"/>
      <c r="G1266" s="80"/>
    </row>
    <row r="1267">
      <c r="A1267" s="77"/>
      <c r="B1267" s="77"/>
      <c r="C1267" s="77"/>
      <c r="D1267" s="77"/>
      <c r="E1267" s="77"/>
      <c r="F1267" s="77"/>
      <c r="G1267" s="80"/>
    </row>
    <row r="1268">
      <c r="A1268" s="77"/>
      <c r="B1268" s="77"/>
      <c r="C1268" s="77"/>
      <c r="D1268" s="77"/>
      <c r="E1268" s="77"/>
      <c r="F1268" s="77"/>
      <c r="G1268" s="80"/>
    </row>
    <row r="1269">
      <c r="A1269" s="77"/>
      <c r="B1269" s="77"/>
      <c r="C1269" s="77"/>
      <c r="D1269" s="77"/>
      <c r="E1269" s="77"/>
      <c r="F1269" s="77"/>
      <c r="G1269" s="80"/>
    </row>
    <row r="1270">
      <c r="A1270" s="77"/>
      <c r="B1270" s="77"/>
      <c r="C1270" s="77"/>
      <c r="D1270" s="77"/>
      <c r="E1270" s="77"/>
      <c r="F1270" s="77"/>
      <c r="G1270" s="80"/>
    </row>
    <row r="1271">
      <c r="A1271" s="77"/>
      <c r="B1271" s="77"/>
      <c r="C1271" s="77"/>
      <c r="D1271" s="77"/>
      <c r="E1271" s="77"/>
      <c r="F1271" s="77"/>
      <c r="G1271" s="80"/>
    </row>
    <row r="1272">
      <c r="A1272" s="77"/>
      <c r="B1272" s="77"/>
      <c r="C1272" s="77"/>
      <c r="D1272" s="77"/>
      <c r="E1272" s="77"/>
      <c r="F1272" s="77"/>
      <c r="G1272" s="80"/>
    </row>
    <row r="1273">
      <c r="A1273" s="77"/>
      <c r="B1273" s="77"/>
      <c r="C1273" s="77"/>
      <c r="D1273" s="77"/>
      <c r="E1273" s="77"/>
      <c r="F1273" s="77"/>
      <c r="G1273" s="80"/>
    </row>
    <row r="1274">
      <c r="A1274" s="77"/>
      <c r="B1274" s="77"/>
      <c r="C1274" s="77"/>
      <c r="D1274" s="77"/>
      <c r="E1274" s="77"/>
      <c r="F1274" s="77"/>
      <c r="G1274" s="80"/>
    </row>
    <row r="1275">
      <c r="A1275" s="77"/>
      <c r="B1275" s="77"/>
      <c r="C1275" s="77"/>
      <c r="D1275" s="77"/>
      <c r="E1275" s="77"/>
      <c r="F1275" s="77"/>
      <c r="G1275" s="80"/>
    </row>
    <row r="1276">
      <c r="A1276" s="77"/>
      <c r="B1276" s="77"/>
      <c r="C1276" s="77"/>
      <c r="D1276" s="77"/>
      <c r="E1276" s="77"/>
      <c r="F1276" s="77"/>
      <c r="G1276" s="80"/>
    </row>
    <row r="1277">
      <c r="A1277" s="77"/>
      <c r="B1277" s="77"/>
      <c r="C1277" s="77"/>
      <c r="D1277" s="77"/>
      <c r="E1277" s="77"/>
      <c r="F1277" s="77"/>
      <c r="G1277" s="80"/>
    </row>
    <row r="1278">
      <c r="A1278" s="77"/>
      <c r="B1278" s="77"/>
      <c r="C1278" s="77"/>
      <c r="D1278" s="77"/>
      <c r="E1278" s="77"/>
      <c r="F1278" s="77"/>
      <c r="G1278" s="80"/>
    </row>
    <row r="1279">
      <c r="A1279" s="77"/>
      <c r="B1279" s="77"/>
      <c r="C1279" s="77"/>
      <c r="D1279" s="77"/>
      <c r="E1279" s="77"/>
      <c r="F1279" s="77"/>
      <c r="G1279" s="80"/>
    </row>
    <row r="1280">
      <c r="A1280" s="77"/>
      <c r="B1280" s="77"/>
      <c r="C1280" s="77"/>
      <c r="D1280" s="77"/>
      <c r="E1280" s="77"/>
      <c r="F1280" s="77"/>
      <c r="G1280" s="80"/>
    </row>
    <row r="1281">
      <c r="A1281" s="77"/>
      <c r="B1281" s="77"/>
      <c r="C1281" s="77"/>
      <c r="D1281" s="77"/>
      <c r="E1281" s="77"/>
      <c r="F1281" s="77"/>
      <c r="G1281" s="80"/>
    </row>
    <row r="1282">
      <c r="A1282" s="77"/>
      <c r="B1282" s="77"/>
      <c r="C1282" s="77"/>
      <c r="D1282" s="77"/>
      <c r="E1282" s="77"/>
      <c r="F1282" s="77"/>
      <c r="G1282" s="80"/>
    </row>
    <row r="1283">
      <c r="A1283" s="77"/>
      <c r="B1283" s="77"/>
      <c r="C1283" s="77"/>
      <c r="D1283" s="77"/>
      <c r="E1283" s="77"/>
      <c r="F1283" s="77"/>
      <c r="G1283" s="80"/>
    </row>
    <row r="1284">
      <c r="A1284" s="77"/>
      <c r="B1284" s="77"/>
      <c r="C1284" s="77"/>
      <c r="D1284" s="77"/>
      <c r="E1284" s="77"/>
      <c r="F1284" s="77"/>
      <c r="G1284" s="80"/>
    </row>
    <row r="1285">
      <c r="A1285" s="77"/>
      <c r="B1285" s="77"/>
      <c r="C1285" s="77"/>
      <c r="D1285" s="77"/>
      <c r="E1285" s="77"/>
      <c r="F1285" s="77"/>
      <c r="G1285" s="80"/>
    </row>
    <row r="1286">
      <c r="A1286" s="77"/>
      <c r="B1286" s="77"/>
      <c r="C1286" s="77"/>
      <c r="D1286" s="77"/>
      <c r="E1286" s="77"/>
      <c r="F1286" s="77"/>
      <c r="G1286" s="80"/>
    </row>
    <row r="1287">
      <c r="A1287" s="77"/>
      <c r="B1287" s="77"/>
      <c r="C1287" s="77"/>
      <c r="D1287" s="77"/>
      <c r="E1287" s="77"/>
      <c r="F1287" s="77"/>
      <c r="G1287" s="80"/>
    </row>
    <row r="1288">
      <c r="A1288" s="77"/>
      <c r="B1288" s="77"/>
      <c r="C1288" s="77"/>
      <c r="D1288" s="77"/>
      <c r="E1288" s="77"/>
      <c r="F1288" s="77"/>
      <c r="G1288" s="80"/>
    </row>
    <row r="1289">
      <c r="A1289" s="77"/>
      <c r="B1289" s="77"/>
      <c r="C1289" s="77"/>
      <c r="D1289" s="77"/>
      <c r="E1289" s="77"/>
      <c r="F1289" s="77"/>
      <c r="G1289" s="80"/>
    </row>
    <row r="1290">
      <c r="A1290" s="77"/>
      <c r="B1290" s="77"/>
      <c r="C1290" s="77"/>
      <c r="D1290" s="77"/>
      <c r="E1290" s="77"/>
      <c r="F1290" s="77"/>
      <c r="G1290" s="80"/>
    </row>
    <row r="1291">
      <c r="A1291" s="77"/>
      <c r="B1291" s="77"/>
      <c r="C1291" s="77"/>
      <c r="D1291" s="77"/>
      <c r="E1291" s="77"/>
      <c r="F1291" s="77"/>
      <c r="G1291" s="80"/>
    </row>
    <row r="1292">
      <c r="A1292" s="77"/>
      <c r="B1292" s="77"/>
      <c r="C1292" s="77"/>
      <c r="D1292" s="77"/>
      <c r="E1292" s="77"/>
      <c r="F1292" s="77"/>
      <c r="G1292" s="80"/>
    </row>
    <row r="1293">
      <c r="A1293" s="77"/>
      <c r="B1293" s="77"/>
      <c r="C1293" s="77"/>
      <c r="D1293" s="77"/>
      <c r="E1293" s="77"/>
      <c r="F1293" s="77"/>
      <c r="G1293" s="80"/>
    </row>
    <row r="1294">
      <c r="A1294" s="77"/>
      <c r="B1294" s="77"/>
      <c r="C1294" s="77"/>
      <c r="D1294" s="77"/>
      <c r="E1294" s="77"/>
      <c r="F1294" s="77"/>
      <c r="G1294" s="80"/>
    </row>
    <row r="1295">
      <c r="A1295" s="77"/>
      <c r="B1295" s="77"/>
      <c r="C1295" s="77"/>
      <c r="D1295" s="77"/>
      <c r="E1295" s="77"/>
      <c r="F1295" s="77"/>
      <c r="G1295" s="80"/>
    </row>
    <row r="1296">
      <c r="A1296" s="77"/>
      <c r="B1296" s="77"/>
      <c r="C1296" s="77"/>
      <c r="D1296" s="77"/>
      <c r="E1296" s="77"/>
      <c r="F1296" s="77"/>
      <c r="G1296" s="80"/>
    </row>
    <row r="1297">
      <c r="A1297" s="77"/>
      <c r="B1297" s="77"/>
      <c r="C1297" s="77"/>
      <c r="D1297" s="77"/>
      <c r="E1297" s="77"/>
      <c r="F1297" s="77"/>
      <c r="G1297" s="80"/>
    </row>
    <row r="1298">
      <c r="A1298" s="77"/>
      <c r="B1298" s="77"/>
      <c r="C1298" s="77"/>
      <c r="D1298" s="77"/>
      <c r="E1298" s="77"/>
      <c r="F1298" s="77"/>
      <c r="G1298" s="80"/>
    </row>
    <row r="1299">
      <c r="A1299" s="77"/>
      <c r="B1299" s="77"/>
      <c r="C1299" s="77"/>
      <c r="D1299" s="77"/>
      <c r="E1299" s="77"/>
      <c r="F1299" s="77"/>
      <c r="G1299" s="80"/>
    </row>
    <row r="1300">
      <c r="A1300" s="77"/>
      <c r="B1300" s="77"/>
      <c r="C1300" s="77"/>
      <c r="D1300" s="77"/>
      <c r="E1300" s="77"/>
      <c r="F1300" s="77"/>
      <c r="G1300" s="80"/>
    </row>
    <row r="1301">
      <c r="A1301" s="77"/>
      <c r="B1301" s="77"/>
      <c r="C1301" s="77"/>
      <c r="D1301" s="77"/>
      <c r="E1301" s="77"/>
      <c r="F1301" s="77"/>
      <c r="G1301" s="80"/>
    </row>
    <row r="1302">
      <c r="A1302" s="77"/>
      <c r="B1302" s="77"/>
      <c r="C1302" s="77"/>
      <c r="D1302" s="77"/>
      <c r="E1302" s="77"/>
      <c r="F1302" s="77"/>
      <c r="G1302" s="80"/>
    </row>
    <row r="1303">
      <c r="A1303" s="77"/>
      <c r="B1303" s="77"/>
      <c r="C1303" s="77"/>
      <c r="D1303" s="77"/>
      <c r="E1303" s="77"/>
      <c r="F1303" s="77"/>
      <c r="G1303" s="80"/>
    </row>
    <row r="1304">
      <c r="A1304" s="77"/>
      <c r="B1304" s="77"/>
      <c r="C1304" s="77"/>
      <c r="D1304" s="77"/>
      <c r="E1304" s="77"/>
      <c r="F1304" s="77"/>
      <c r="G1304" s="80"/>
    </row>
    <row r="1305">
      <c r="A1305" s="77"/>
      <c r="B1305" s="77"/>
      <c r="C1305" s="77"/>
      <c r="D1305" s="77"/>
      <c r="E1305" s="77"/>
      <c r="F1305" s="77"/>
      <c r="G1305" s="80"/>
    </row>
    <row r="1306">
      <c r="A1306" s="77"/>
      <c r="B1306" s="77"/>
      <c r="C1306" s="77"/>
      <c r="D1306" s="77"/>
      <c r="E1306" s="77"/>
      <c r="F1306" s="77"/>
      <c r="G1306" s="80"/>
    </row>
    <row r="1307">
      <c r="A1307" s="77"/>
      <c r="B1307" s="77"/>
      <c r="C1307" s="77"/>
      <c r="D1307" s="77"/>
      <c r="E1307" s="77"/>
      <c r="F1307" s="77"/>
      <c r="G1307" s="80"/>
    </row>
    <row r="1308">
      <c r="A1308" s="77"/>
      <c r="B1308" s="77"/>
      <c r="C1308" s="77"/>
      <c r="D1308" s="77"/>
      <c r="E1308" s="77"/>
      <c r="F1308" s="77"/>
      <c r="G1308" s="80"/>
    </row>
    <row r="1309">
      <c r="A1309" s="77"/>
      <c r="B1309" s="77"/>
      <c r="C1309" s="77"/>
      <c r="D1309" s="77"/>
      <c r="E1309" s="77"/>
      <c r="F1309" s="77"/>
      <c r="G1309" s="80"/>
    </row>
    <row r="1310">
      <c r="A1310" s="77"/>
      <c r="B1310" s="77"/>
      <c r="C1310" s="77"/>
      <c r="D1310" s="77"/>
      <c r="E1310" s="77"/>
      <c r="F1310" s="77"/>
      <c r="G1310" s="80"/>
    </row>
    <row r="1311">
      <c r="A1311" s="77"/>
      <c r="B1311" s="77"/>
      <c r="C1311" s="77"/>
      <c r="D1311" s="77"/>
      <c r="E1311" s="77"/>
      <c r="F1311" s="77"/>
      <c r="G1311" s="80"/>
    </row>
    <row r="1312">
      <c r="A1312" s="77"/>
      <c r="B1312" s="77"/>
      <c r="C1312" s="77"/>
      <c r="D1312" s="77"/>
      <c r="E1312" s="77"/>
      <c r="F1312" s="77"/>
      <c r="G1312" s="80"/>
    </row>
    <row r="1313">
      <c r="A1313" s="77"/>
      <c r="B1313" s="77"/>
      <c r="C1313" s="77"/>
      <c r="D1313" s="77"/>
      <c r="E1313" s="77"/>
      <c r="F1313" s="77"/>
      <c r="G1313" s="80"/>
    </row>
    <row r="1314">
      <c r="A1314" s="77"/>
      <c r="B1314" s="77"/>
      <c r="C1314" s="77"/>
      <c r="D1314" s="77"/>
      <c r="E1314" s="77"/>
      <c r="F1314" s="77"/>
      <c r="G1314" s="80"/>
    </row>
    <row r="1315">
      <c r="A1315" s="77"/>
      <c r="B1315" s="77"/>
      <c r="C1315" s="77"/>
      <c r="D1315" s="77"/>
      <c r="E1315" s="77"/>
      <c r="F1315" s="77"/>
      <c r="G1315" s="80"/>
    </row>
    <row r="1316">
      <c r="A1316" s="77"/>
      <c r="B1316" s="77"/>
      <c r="C1316" s="77"/>
      <c r="D1316" s="77"/>
      <c r="E1316" s="77"/>
      <c r="F1316" s="77"/>
      <c r="G1316" s="80"/>
    </row>
    <row r="1317">
      <c r="A1317" s="77"/>
      <c r="B1317" s="77"/>
      <c r="C1317" s="77"/>
      <c r="D1317" s="77"/>
      <c r="E1317" s="77"/>
      <c r="F1317" s="77"/>
      <c r="G1317" s="80"/>
    </row>
    <row r="1318">
      <c r="A1318" s="77"/>
      <c r="B1318" s="77"/>
      <c r="C1318" s="77"/>
      <c r="D1318" s="77"/>
      <c r="E1318" s="77"/>
      <c r="F1318" s="77"/>
      <c r="G1318" s="80"/>
    </row>
    <row r="1319">
      <c r="A1319" s="77"/>
      <c r="B1319" s="77"/>
      <c r="C1319" s="77"/>
      <c r="D1319" s="77"/>
      <c r="E1319" s="77"/>
      <c r="F1319" s="77"/>
      <c r="G1319" s="80"/>
    </row>
    <row r="1320">
      <c r="A1320" s="77"/>
      <c r="B1320" s="77"/>
      <c r="C1320" s="77"/>
      <c r="D1320" s="77"/>
      <c r="E1320" s="77"/>
      <c r="F1320" s="77"/>
      <c r="G1320" s="80"/>
    </row>
    <row r="1321">
      <c r="A1321" s="77"/>
      <c r="B1321" s="77"/>
      <c r="C1321" s="77"/>
      <c r="D1321" s="77"/>
      <c r="E1321" s="77"/>
      <c r="F1321" s="77"/>
      <c r="G1321" s="80"/>
    </row>
    <row r="1322">
      <c r="A1322" s="77"/>
      <c r="B1322" s="77"/>
      <c r="C1322" s="77"/>
      <c r="D1322" s="77"/>
      <c r="E1322" s="77"/>
      <c r="F1322" s="77"/>
      <c r="G1322" s="80"/>
    </row>
    <row r="1323">
      <c r="A1323" s="77"/>
      <c r="B1323" s="77"/>
      <c r="C1323" s="77"/>
      <c r="D1323" s="77"/>
      <c r="E1323" s="77"/>
      <c r="F1323" s="77"/>
      <c r="G1323" s="80"/>
    </row>
    <row r="1324">
      <c r="A1324" s="77"/>
      <c r="B1324" s="77"/>
      <c r="C1324" s="77"/>
      <c r="D1324" s="77"/>
      <c r="E1324" s="77"/>
      <c r="F1324" s="77"/>
      <c r="G1324" s="80"/>
    </row>
    <row r="1325">
      <c r="A1325" s="77"/>
      <c r="B1325" s="77"/>
      <c r="C1325" s="77"/>
      <c r="D1325" s="77"/>
      <c r="E1325" s="77"/>
      <c r="F1325" s="77"/>
      <c r="G1325" s="80"/>
    </row>
    <row r="1326">
      <c r="A1326" s="77"/>
      <c r="B1326" s="77"/>
      <c r="C1326" s="77"/>
      <c r="D1326" s="77"/>
      <c r="E1326" s="77"/>
      <c r="F1326" s="77"/>
      <c r="G1326" s="80"/>
    </row>
    <row r="1327">
      <c r="A1327" s="77"/>
      <c r="B1327" s="77"/>
      <c r="C1327" s="77"/>
      <c r="D1327" s="77"/>
      <c r="E1327" s="77"/>
      <c r="F1327" s="77"/>
      <c r="G1327" s="80"/>
    </row>
    <row r="1328">
      <c r="A1328" s="77"/>
      <c r="B1328" s="77"/>
      <c r="C1328" s="77"/>
      <c r="D1328" s="77"/>
      <c r="E1328" s="77"/>
      <c r="F1328" s="77"/>
      <c r="G1328" s="80"/>
    </row>
    <row r="1329">
      <c r="A1329" s="77"/>
      <c r="B1329" s="77"/>
      <c r="C1329" s="77"/>
      <c r="D1329" s="77"/>
      <c r="E1329" s="77"/>
      <c r="F1329" s="77"/>
      <c r="G1329" s="80"/>
    </row>
    <row r="1330">
      <c r="A1330" s="77"/>
      <c r="B1330" s="77"/>
      <c r="C1330" s="77"/>
      <c r="D1330" s="77"/>
      <c r="E1330" s="77"/>
      <c r="F1330" s="77"/>
      <c r="G1330" s="80"/>
    </row>
    <row r="1331">
      <c r="A1331" s="77"/>
      <c r="B1331" s="77"/>
      <c r="C1331" s="77"/>
      <c r="D1331" s="77"/>
      <c r="E1331" s="77"/>
      <c r="F1331" s="77"/>
      <c r="G1331" s="80"/>
    </row>
    <row r="1332">
      <c r="A1332" s="77"/>
      <c r="B1332" s="77"/>
      <c r="C1332" s="77"/>
      <c r="D1332" s="77"/>
      <c r="E1332" s="77"/>
      <c r="F1332" s="77"/>
      <c r="G1332" s="80"/>
    </row>
    <row r="1333">
      <c r="A1333" s="77"/>
      <c r="B1333" s="77"/>
      <c r="C1333" s="77"/>
      <c r="D1333" s="77"/>
      <c r="E1333" s="77"/>
      <c r="F1333" s="77"/>
      <c r="G1333" s="80"/>
    </row>
    <row r="1334">
      <c r="A1334" s="77"/>
      <c r="B1334" s="77"/>
      <c r="C1334" s="77"/>
      <c r="D1334" s="77"/>
      <c r="E1334" s="77"/>
      <c r="F1334" s="77"/>
      <c r="G1334" s="80"/>
    </row>
    <row r="1335">
      <c r="A1335" s="77"/>
      <c r="B1335" s="77"/>
      <c r="C1335" s="77"/>
      <c r="D1335" s="77"/>
      <c r="E1335" s="77"/>
      <c r="F1335" s="77"/>
      <c r="G1335" s="80"/>
    </row>
    <row r="1336">
      <c r="A1336" s="77"/>
      <c r="B1336" s="77"/>
      <c r="C1336" s="77"/>
      <c r="D1336" s="77"/>
      <c r="E1336" s="77"/>
      <c r="F1336" s="77"/>
      <c r="G1336" s="80"/>
    </row>
    <row r="1337">
      <c r="A1337" s="77"/>
      <c r="B1337" s="77"/>
      <c r="C1337" s="77"/>
      <c r="D1337" s="77"/>
      <c r="E1337" s="77"/>
      <c r="F1337" s="77"/>
      <c r="G1337" s="80"/>
    </row>
    <row r="1338">
      <c r="A1338" s="77"/>
      <c r="B1338" s="77"/>
      <c r="C1338" s="77"/>
      <c r="D1338" s="77"/>
      <c r="E1338" s="77"/>
      <c r="F1338" s="77"/>
      <c r="G1338" s="80"/>
    </row>
    <row r="1339">
      <c r="A1339" s="77"/>
      <c r="B1339" s="77"/>
      <c r="C1339" s="77"/>
      <c r="D1339" s="77"/>
      <c r="E1339" s="77"/>
      <c r="F1339" s="77"/>
      <c r="G1339" s="80"/>
    </row>
    <row r="1340">
      <c r="A1340" s="77"/>
      <c r="B1340" s="77"/>
      <c r="C1340" s="77"/>
      <c r="D1340" s="77"/>
      <c r="E1340" s="77"/>
      <c r="F1340" s="77"/>
      <c r="G1340" s="80"/>
    </row>
    <row r="1341">
      <c r="A1341" s="77"/>
      <c r="B1341" s="77"/>
      <c r="C1341" s="77"/>
      <c r="D1341" s="77"/>
      <c r="E1341" s="77"/>
      <c r="F1341" s="77"/>
      <c r="G1341" s="80"/>
    </row>
    <row r="1342">
      <c r="A1342" s="77"/>
      <c r="B1342" s="77"/>
      <c r="C1342" s="77"/>
      <c r="D1342" s="77"/>
      <c r="E1342" s="77"/>
      <c r="F1342" s="77"/>
      <c r="G1342" s="80"/>
    </row>
    <row r="1343">
      <c r="A1343" s="77"/>
      <c r="B1343" s="77"/>
      <c r="C1343" s="77"/>
      <c r="D1343" s="77"/>
      <c r="E1343" s="77"/>
      <c r="F1343" s="77"/>
      <c r="G1343" s="80"/>
    </row>
    <row r="1344">
      <c r="A1344" s="77"/>
      <c r="B1344" s="77"/>
      <c r="C1344" s="77"/>
      <c r="D1344" s="77"/>
      <c r="E1344" s="77"/>
      <c r="F1344" s="77"/>
      <c r="G1344" s="80"/>
    </row>
    <row r="1345">
      <c r="A1345" s="77"/>
      <c r="B1345" s="77"/>
      <c r="C1345" s="77"/>
      <c r="D1345" s="77"/>
      <c r="E1345" s="77"/>
      <c r="F1345" s="77"/>
      <c r="G1345" s="80"/>
    </row>
    <row r="1346">
      <c r="A1346" s="77"/>
      <c r="B1346" s="77"/>
      <c r="C1346" s="77"/>
      <c r="D1346" s="77"/>
      <c r="E1346" s="77"/>
      <c r="F1346" s="77"/>
      <c r="G1346" s="80"/>
    </row>
    <row r="1347">
      <c r="A1347" s="77"/>
      <c r="B1347" s="77"/>
      <c r="C1347" s="77"/>
      <c r="D1347" s="77"/>
      <c r="E1347" s="77"/>
      <c r="F1347" s="77"/>
      <c r="G1347" s="80"/>
    </row>
    <row r="1348">
      <c r="A1348" s="77"/>
      <c r="B1348" s="77"/>
      <c r="C1348" s="77"/>
      <c r="D1348" s="77"/>
      <c r="E1348" s="77"/>
      <c r="F1348" s="77"/>
      <c r="G1348" s="80"/>
    </row>
    <row r="1349">
      <c r="A1349" s="77"/>
      <c r="B1349" s="77"/>
      <c r="C1349" s="77"/>
      <c r="D1349" s="77"/>
      <c r="E1349" s="77"/>
      <c r="F1349" s="77"/>
      <c r="G1349" s="80"/>
    </row>
    <row r="1350">
      <c r="A1350" s="77"/>
      <c r="B1350" s="77"/>
      <c r="C1350" s="77"/>
      <c r="D1350" s="77"/>
      <c r="E1350" s="77"/>
      <c r="F1350" s="77"/>
      <c r="G1350" s="80"/>
    </row>
    <row r="1351">
      <c r="A1351" s="77"/>
      <c r="B1351" s="77"/>
      <c r="C1351" s="77"/>
      <c r="D1351" s="77"/>
      <c r="E1351" s="77"/>
      <c r="F1351" s="77"/>
      <c r="G1351" s="80"/>
    </row>
    <row r="1352">
      <c r="A1352" s="77"/>
      <c r="B1352" s="77"/>
      <c r="C1352" s="77"/>
      <c r="D1352" s="77"/>
      <c r="E1352" s="77"/>
      <c r="F1352" s="77"/>
      <c r="G1352" s="80"/>
    </row>
    <row r="1353">
      <c r="A1353" s="77"/>
      <c r="B1353" s="77"/>
      <c r="C1353" s="77"/>
      <c r="D1353" s="77"/>
      <c r="E1353" s="77"/>
      <c r="F1353" s="77"/>
      <c r="G1353" s="80"/>
    </row>
    <row r="1354">
      <c r="A1354" s="77"/>
      <c r="B1354" s="77"/>
      <c r="C1354" s="77"/>
      <c r="D1354" s="77"/>
      <c r="E1354" s="77"/>
      <c r="F1354" s="77"/>
      <c r="G1354" s="80"/>
    </row>
    <row r="1355">
      <c r="A1355" s="77"/>
      <c r="B1355" s="77"/>
      <c r="C1355" s="77"/>
      <c r="D1355" s="77"/>
      <c r="E1355" s="77"/>
      <c r="F1355" s="77"/>
      <c r="G1355" s="80"/>
    </row>
    <row r="1356">
      <c r="A1356" s="77"/>
      <c r="B1356" s="77"/>
      <c r="C1356" s="77"/>
      <c r="D1356" s="77"/>
      <c r="E1356" s="77"/>
      <c r="F1356" s="77"/>
      <c r="G1356" s="80"/>
    </row>
    <row r="1357">
      <c r="A1357" s="77"/>
      <c r="B1357" s="77"/>
      <c r="C1357" s="77"/>
      <c r="D1357" s="77"/>
      <c r="E1357" s="77"/>
      <c r="F1357" s="77"/>
      <c r="G1357" s="80"/>
    </row>
    <row r="1358">
      <c r="A1358" s="77"/>
      <c r="B1358" s="77"/>
      <c r="C1358" s="77"/>
      <c r="D1358" s="77"/>
      <c r="E1358" s="77"/>
      <c r="F1358" s="77"/>
      <c r="G1358" s="80"/>
    </row>
    <row r="1359">
      <c r="A1359" s="77"/>
      <c r="B1359" s="77"/>
      <c r="C1359" s="77"/>
      <c r="D1359" s="77"/>
      <c r="E1359" s="77"/>
      <c r="F1359" s="77"/>
      <c r="G1359" s="80"/>
    </row>
    <row r="1360">
      <c r="A1360" s="77"/>
      <c r="B1360" s="77"/>
      <c r="C1360" s="77"/>
      <c r="D1360" s="77"/>
      <c r="E1360" s="77"/>
      <c r="F1360" s="77"/>
      <c r="G1360" s="80"/>
    </row>
    <row r="1361">
      <c r="A1361" s="77"/>
      <c r="B1361" s="77"/>
      <c r="C1361" s="77"/>
      <c r="D1361" s="77"/>
      <c r="E1361" s="77"/>
      <c r="F1361" s="77"/>
      <c r="G1361" s="80"/>
    </row>
    <row r="1362">
      <c r="A1362" s="77"/>
      <c r="B1362" s="77"/>
      <c r="C1362" s="77"/>
      <c r="D1362" s="77"/>
      <c r="E1362" s="77"/>
      <c r="F1362" s="77"/>
      <c r="G1362" s="80"/>
    </row>
    <row r="1363">
      <c r="A1363" s="77"/>
      <c r="B1363" s="77"/>
      <c r="C1363" s="77"/>
      <c r="D1363" s="77"/>
      <c r="E1363" s="77"/>
      <c r="F1363" s="77"/>
      <c r="G1363" s="80"/>
    </row>
    <row r="1364">
      <c r="A1364" s="77"/>
      <c r="B1364" s="77"/>
      <c r="C1364" s="77"/>
      <c r="D1364" s="77"/>
      <c r="E1364" s="77"/>
      <c r="F1364" s="77"/>
      <c r="G1364" s="80"/>
    </row>
    <row r="1365">
      <c r="A1365" s="77"/>
      <c r="B1365" s="77"/>
      <c r="C1365" s="77"/>
      <c r="D1365" s="77"/>
      <c r="E1365" s="77"/>
      <c r="F1365" s="77"/>
      <c r="G1365" s="80"/>
    </row>
    <row r="1366">
      <c r="A1366" s="77"/>
      <c r="B1366" s="77"/>
      <c r="C1366" s="77"/>
      <c r="D1366" s="77"/>
      <c r="E1366" s="77"/>
      <c r="F1366" s="77"/>
      <c r="G1366" s="80"/>
    </row>
    <row r="1367">
      <c r="A1367" s="77"/>
      <c r="B1367" s="77"/>
      <c r="C1367" s="77"/>
      <c r="D1367" s="77"/>
      <c r="E1367" s="77"/>
      <c r="F1367" s="77"/>
      <c r="G1367" s="80"/>
    </row>
    <row r="1368">
      <c r="A1368" s="77"/>
      <c r="B1368" s="77"/>
      <c r="C1368" s="77"/>
      <c r="D1368" s="77"/>
      <c r="E1368" s="77"/>
      <c r="F1368" s="77"/>
      <c r="G1368" s="80"/>
    </row>
    <row r="1369">
      <c r="A1369" s="77"/>
      <c r="B1369" s="77"/>
      <c r="C1369" s="77"/>
      <c r="D1369" s="77"/>
      <c r="E1369" s="77"/>
      <c r="F1369" s="77"/>
      <c r="G1369" s="80"/>
    </row>
    <row r="1370">
      <c r="A1370" s="77"/>
      <c r="B1370" s="77"/>
      <c r="C1370" s="77"/>
      <c r="D1370" s="77"/>
      <c r="E1370" s="77"/>
      <c r="F1370" s="77"/>
      <c r="G1370" s="80"/>
    </row>
    <row r="1371">
      <c r="A1371" s="77"/>
      <c r="B1371" s="77"/>
      <c r="C1371" s="77"/>
      <c r="D1371" s="77"/>
      <c r="E1371" s="77"/>
      <c r="F1371" s="77"/>
      <c r="G1371" s="80"/>
    </row>
    <row r="1372">
      <c r="A1372" s="77"/>
      <c r="B1372" s="77"/>
      <c r="C1372" s="77"/>
      <c r="D1372" s="77"/>
      <c r="E1372" s="77"/>
      <c r="F1372" s="77"/>
      <c r="G1372" s="80"/>
    </row>
    <row r="1373">
      <c r="A1373" s="77"/>
      <c r="B1373" s="77"/>
      <c r="C1373" s="77"/>
      <c r="D1373" s="77"/>
      <c r="E1373" s="77"/>
      <c r="F1373" s="77"/>
      <c r="G1373" s="80"/>
    </row>
    <row r="1374">
      <c r="A1374" s="77"/>
      <c r="B1374" s="77"/>
      <c r="C1374" s="77"/>
      <c r="D1374" s="77"/>
      <c r="E1374" s="77"/>
      <c r="F1374" s="77"/>
      <c r="G1374" s="80"/>
    </row>
    <row r="1375">
      <c r="A1375" s="77"/>
      <c r="B1375" s="77"/>
      <c r="C1375" s="77"/>
      <c r="D1375" s="77"/>
      <c r="E1375" s="77"/>
      <c r="F1375" s="77"/>
      <c r="G1375" s="80"/>
    </row>
    <row r="1376">
      <c r="A1376" s="77"/>
      <c r="B1376" s="77"/>
      <c r="C1376" s="77"/>
      <c r="D1376" s="77"/>
      <c r="E1376" s="77"/>
      <c r="F1376" s="77"/>
      <c r="G1376" s="80"/>
    </row>
    <row r="1377">
      <c r="A1377" s="77"/>
      <c r="B1377" s="77"/>
      <c r="C1377" s="77"/>
      <c r="D1377" s="77"/>
      <c r="E1377" s="77"/>
      <c r="F1377" s="77"/>
      <c r="G1377" s="80"/>
    </row>
    <row r="1378">
      <c r="A1378" s="77"/>
      <c r="B1378" s="77"/>
      <c r="C1378" s="77"/>
      <c r="D1378" s="77"/>
      <c r="E1378" s="77"/>
      <c r="F1378" s="77"/>
      <c r="G1378" s="80"/>
    </row>
    <row r="1379">
      <c r="A1379" s="77"/>
      <c r="B1379" s="77"/>
      <c r="C1379" s="77"/>
      <c r="D1379" s="77"/>
      <c r="E1379" s="77"/>
      <c r="F1379" s="77"/>
      <c r="G1379" s="80"/>
    </row>
    <row r="1380">
      <c r="A1380" s="77"/>
      <c r="B1380" s="77"/>
      <c r="C1380" s="77"/>
      <c r="D1380" s="77"/>
      <c r="E1380" s="77"/>
      <c r="F1380" s="77"/>
      <c r="G1380" s="80"/>
    </row>
    <row r="1381">
      <c r="A1381" s="77"/>
      <c r="B1381" s="77"/>
      <c r="C1381" s="77"/>
      <c r="D1381" s="77"/>
      <c r="E1381" s="77"/>
      <c r="F1381" s="77"/>
      <c r="G1381" s="80"/>
    </row>
    <row r="1382">
      <c r="A1382" s="77"/>
      <c r="B1382" s="77"/>
      <c r="C1382" s="77"/>
      <c r="D1382" s="77"/>
      <c r="E1382" s="77"/>
      <c r="F1382" s="77"/>
      <c r="G1382" s="80"/>
    </row>
    <row r="1383">
      <c r="A1383" s="77"/>
      <c r="B1383" s="77"/>
      <c r="C1383" s="77"/>
      <c r="D1383" s="77"/>
      <c r="E1383" s="77"/>
      <c r="F1383" s="77"/>
      <c r="G1383" s="80"/>
    </row>
    <row r="1384">
      <c r="A1384" s="77"/>
      <c r="B1384" s="77"/>
      <c r="C1384" s="77"/>
      <c r="D1384" s="77"/>
      <c r="E1384" s="77"/>
      <c r="F1384" s="77"/>
      <c r="G1384" s="80"/>
    </row>
    <row r="1385">
      <c r="A1385" s="77"/>
      <c r="B1385" s="77"/>
      <c r="C1385" s="77"/>
      <c r="D1385" s="77"/>
      <c r="E1385" s="77"/>
      <c r="F1385" s="77"/>
      <c r="G1385" s="80"/>
    </row>
    <row r="1386">
      <c r="A1386" s="77"/>
      <c r="B1386" s="77"/>
      <c r="C1386" s="77"/>
      <c r="D1386" s="77"/>
      <c r="E1386" s="77"/>
      <c r="F1386" s="77"/>
      <c r="G1386" s="80"/>
    </row>
    <row r="1387">
      <c r="A1387" s="77"/>
      <c r="B1387" s="77"/>
      <c r="C1387" s="77"/>
      <c r="D1387" s="77"/>
      <c r="E1387" s="77"/>
      <c r="F1387" s="77"/>
      <c r="G1387" s="80"/>
    </row>
    <row r="1388">
      <c r="A1388" s="77"/>
      <c r="B1388" s="77"/>
      <c r="C1388" s="77"/>
      <c r="D1388" s="77"/>
      <c r="E1388" s="77"/>
      <c r="F1388" s="77"/>
      <c r="G1388" s="80"/>
    </row>
    <row r="1389">
      <c r="A1389" s="77"/>
      <c r="B1389" s="77"/>
      <c r="C1389" s="77"/>
      <c r="D1389" s="77"/>
      <c r="E1389" s="77"/>
      <c r="F1389" s="77"/>
      <c r="G1389" s="80"/>
    </row>
    <row r="1390">
      <c r="A1390" s="77"/>
      <c r="B1390" s="77"/>
      <c r="C1390" s="77"/>
      <c r="D1390" s="77"/>
      <c r="E1390" s="77"/>
      <c r="F1390" s="77"/>
      <c r="G1390" s="80"/>
    </row>
    <row r="1391">
      <c r="A1391" s="77"/>
      <c r="B1391" s="77"/>
      <c r="C1391" s="77"/>
      <c r="D1391" s="77"/>
      <c r="E1391" s="77"/>
      <c r="F1391" s="77"/>
      <c r="G1391" s="80"/>
    </row>
    <row r="1392">
      <c r="A1392" s="77"/>
      <c r="B1392" s="77"/>
      <c r="C1392" s="77"/>
      <c r="D1392" s="77"/>
      <c r="E1392" s="77"/>
      <c r="F1392" s="77"/>
      <c r="G1392" s="80"/>
    </row>
    <row r="1393">
      <c r="A1393" s="77"/>
      <c r="B1393" s="77"/>
      <c r="C1393" s="77"/>
      <c r="D1393" s="77"/>
      <c r="E1393" s="77"/>
      <c r="F1393" s="77"/>
      <c r="G1393" s="80"/>
    </row>
    <row r="1394">
      <c r="A1394" s="77"/>
      <c r="B1394" s="77"/>
      <c r="C1394" s="77"/>
      <c r="D1394" s="77"/>
      <c r="E1394" s="77"/>
      <c r="F1394" s="77"/>
      <c r="G1394" s="80"/>
    </row>
    <row r="1395">
      <c r="A1395" s="77"/>
      <c r="B1395" s="77"/>
      <c r="C1395" s="77"/>
      <c r="D1395" s="77"/>
      <c r="E1395" s="77"/>
      <c r="F1395" s="77"/>
      <c r="G1395" s="80"/>
    </row>
    <row r="1396">
      <c r="A1396" s="77"/>
      <c r="B1396" s="77"/>
      <c r="C1396" s="77"/>
      <c r="D1396" s="77"/>
      <c r="E1396" s="77"/>
      <c r="F1396" s="77"/>
      <c r="G1396" s="80"/>
    </row>
    <row r="1397">
      <c r="A1397" s="77"/>
      <c r="B1397" s="77"/>
      <c r="C1397" s="77"/>
      <c r="D1397" s="77"/>
      <c r="E1397" s="77"/>
      <c r="F1397" s="77"/>
      <c r="G1397" s="80"/>
    </row>
    <row r="1398">
      <c r="A1398" s="77"/>
      <c r="B1398" s="77"/>
      <c r="C1398" s="77"/>
      <c r="D1398" s="77"/>
      <c r="E1398" s="77"/>
      <c r="F1398" s="77"/>
      <c r="G1398" s="80"/>
    </row>
    <row r="1399">
      <c r="A1399" s="77"/>
      <c r="B1399" s="77"/>
      <c r="C1399" s="77"/>
      <c r="D1399" s="77"/>
      <c r="E1399" s="77"/>
      <c r="F1399" s="77"/>
      <c r="G1399" s="80"/>
    </row>
    <row r="1400">
      <c r="A1400" s="77"/>
      <c r="B1400" s="77"/>
      <c r="C1400" s="77"/>
      <c r="D1400" s="77"/>
      <c r="E1400" s="77"/>
      <c r="F1400" s="77"/>
      <c r="G1400" s="80"/>
    </row>
    <row r="1401">
      <c r="A1401" s="77"/>
      <c r="B1401" s="77"/>
      <c r="C1401" s="77"/>
      <c r="D1401" s="77"/>
      <c r="E1401" s="77"/>
      <c r="F1401" s="77"/>
      <c r="G1401" s="80"/>
    </row>
    <row r="1402">
      <c r="A1402" s="77"/>
      <c r="B1402" s="77"/>
      <c r="C1402" s="77"/>
      <c r="D1402" s="77"/>
      <c r="E1402" s="77"/>
      <c r="F1402" s="77"/>
      <c r="G1402" s="80"/>
    </row>
    <row r="1403">
      <c r="A1403" s="77"/>
      <c r="B1403" s="77"/>
      <c r="C1403" s="77"/>
      <c r="D1403" s="77"/>
      <c r="E1403" s="77"/>
      <c r="F1403" s="77"/>
      <c r="G1403" s="80"/>
    </row>
    <row r="1404">
      <c r="A1404" s="77"/>
      <c r="B1404" s="77"/>
      <c r="C1404" s="77"/>
      <c r="D1404" s="77"/>
      <c r="E1404" s="77"/>
      <c r="F1404" s="77"/>
      <c r="G1404" s="80"/>
    </row>
    <row r="1405">
      <c r="A1405" s="77"/>
      <c r="B1405" s="77"/>
      <c r="C1405" s="77"/>
      <c r="D1405" s="77"/>
      <c r="E1405" s="77"/>
      <c r="F1405" s="77"/>
      <c r="G1405" s="80"/>
    </row>
    <row r="1406">
      <c r="A1406" s="77"/>
      <c r="B1406" s="77"/>
      <c r="C1406" s="77"/>
      <c r="D1406" s="77"/>
      <c r="E1406" s="77"/>
      <c r="F1406" s="77"/>
      <c r="G1406" s="80"/>
    </row>
    <row r="1407">
      <c r="A1407" s="77"/>
      <c r="B1407" s="77"/>
      <c r="C1407" s="77"/>
      <c r="D1407" s="77"/>
      <c r="E1407" s="77"/>
      <c r="F1407" s="77"/>
      <c r="G1407" s="80"/>
    </row>
    <row r="1408">
      <c r="A1408" s="77"/>
      <c r="B1408" s="77"/>
      <c r="C1408" s="77"/>
      <c r="D1408" s="77"/>
      <c r="E1408" s="77"/>
      <c r="F1408" s="77"/>
      <c r="G1408" s="80"/>
    </row>
    <row r="1409">
      <c r="A1409" s="77"/>
      <c r="B1409" s="77"/>
      <c r="C1409" s="77"/>
      <c r="D1409" s="77"/>
      <c r="E1409" s="77"/>
      <c r="F1409" s="77"/>
      <c r="G1409" s="80"/>
    </row>
    <row r="1410">
      <c r="A1410" s="77"/>
      <c r="B1410" s="77"/>
      <c r="C1410" s="77"/>
      <c r="D1410" s="77"/>
      <c r="E1410" s="77"/>
      <c r="F1410" s="77"/>
      <c r="G1410" s="80"/>
    </row>
    <row r="1411">
      <c r="A1411" s="77"/>
      <c r="B1411" s="77"/>
      <c r="C1411" s="77"/>
      <c r="D1411" s="77"/>
      <c r="E1411" s="77"/>
      <c r="F1411" s="77"/>
      <c r="G1411" s="80"/>
    </row>
    <row r="1412">
      <c r="A1412" s="77"/>
      <c r="B1412" s="77"/>
      <c r="C1412" s="77"/>
      <c r="D1412" s="77"/>
      <c r="E1412" s="77"/>
      <c r="F1412" s="77"/>
      <c r="G1412" s="80"/>
    </row>
    <row r="1413">
      <c r="A1413" s="77"/>
      <c r="B1413" s="77"/>
      <c r="C1413" s="77"/>
      <c r="D1413" s="77"/>
      <c r="E1413" s="77"/>
      <c r="F1413" s="77"/>
      <c r="G1413" s="80"/>
    </row>
    <row r="1414">
      <c r="A1414" s="77"/>
      <c r="B1414" s="77"/>
      <c r="C1414" s="77"/>
      <c r="D1414" s="77"/>
      <c r="E1414" s="77"/>
      <c r="F1414" s="77"/>
      <c r="G1414" s="80"/>
    </row>
    <row r="1415">
      <c r="A1415" s="77"/>
      <c r="B1415" s="77"/>
      <c r="C1415" s="77"/>
      <c r="D1415" s="77"/>
      <c r="E1415" s="77"/>
      <c r="F1415" s="77"/>
      <c r="G1415" s="80"/>
    </row>
    <row r="1416">
      <c r="A1416" s="77"/>
      <c r="B1416" s="77"/>
      <c r="C1416" s="77"/>
      <c r="D1416" s="77"/>
      <c r="E1416" s="77"/>
      <c r="F1416" s="77"/>
      <c r="G1416" s="80"/>
    </row>
    <row r="1417">
      <c r="A1417" s="77"/>
      <c r="B1417" s="77"/>
      <c r="C1417" s="77"/>
      <c r="D1417" s="77"/>
      <c r="E1417" s="77"/>
      <c r="F1417" s="77"/>
      <c r="G1417" s="80"/>
    </row>
    <row r="1418">
      <c r="A1418" s="77"/>
      <c r="B1418" s="77"/>
      <c r="C1418" s="77"/>
      <c r="D1418" s="77"/>
      <c r="E1418" s="77"/>
      <c r="F1418" s="77"/>
      <c r="G1418" s="80"/>
    </row>
    <row r="1419">
      <c r="A1419" s="77"/>
      <c r="B1419" s="77"/>
      <c r="C1419" s="77"/>
      <c r="D1419" s="77"/>
      <c r="E1419" s="77"/>
      <c r="F1419" s="77"/>
      <c r="G1419" s="80"/>
    </row>
    <row r="1420">
      <c r="A1420" s="77"/>
      <c r="B1420" s="77"/>
      <c r="C1420" s="77"/>
      <c r="D1420" s="77"/>
      <c r="E1420" s="77"/>
      <c r="F1420" s="77"/>
      <c r="G1420" s="80"/>
    </row>
    <row r="1421">
      <c r="A1421" s="77"/>
      <c r="B1421" s="77"/>
      <c r="C1421" s="77"/>
      <c r="D1421" s="77"/>
      <c r="E1421" s="77"/>
      <c r="F1421" s="77"/>
      <c r="G1421" s="80"/>
    </row>
    <row r="1422">
      <c r="A1422" s="77"/>
      <c r="B1422" s="77"/>
      <c r="C1422" s="77"/>
      <c r="D1422" s="77"/>
      <c r="E1422" s="77"/>
      <c r="F1422" s="77"/>
      <c r="G1422" s="80"/>
    </row>
    <row r="1423">
      <c r="A1423" s="77"/>
      <c r="B1423" s="77"/>
      <c r="C1423" s="77"/>
      <c r="D1423" s="77"/>
      <c r="E1423" s="77"/>
      <c r="F1423" s="77"/>
      <c r="G1423" s="80"/>
    </row>
    <row r="1424">
      <c r="A1424" s="77"/>
      <c r="B1424" s="77"/>
      <c r="C1424" s="77"/>
      <c r="D1424" s="77"/>
      <c r="E1424" s="77"/>
      <c r="F1424" s="77"/>
      <c r="G1424" s="80"/>
    </row>
    <row r="1425">
      <c r="A1425" s="77"/>
      <c r="B1425" s="77"/>
      <c r="C1425" s="77"/>
      <c r="D1425" s="77"/>
      <c r="E1425" s="77"/>
      <c r="F1425" s="77"/>
      <c r="G1425" s="80"/>
    </row>
    <row r="1426">
      <c r="A1426" s="77"/>
      <c r="B1426" s="77"/>
      <c r="C1426" s="77"/>
      <c r="D1426" s="77"/>
      <c r="E1426" s="77"/>
      <c r="F1426" s="77"/>
      <c r="G1426" s="80"/>
    </row>
    <row r="1427">
      <c r="A1427" s="77"/>
      <c r="B1427" s="77"/>
      <c r="C1427" s="77"/>
      <c r="D1427" s="77"/>
      <c r="E1427" s="77"/>
      <c r="F1427" s="77"/>
      <c r="G1427" s="80"/>
    </row>
    <row r="1428">
      <c r="A1428" s="77"/>
      <c r="B1428" s="77"/>
      <c r="C1428" s="77"/>
      <c r="D1428" s="77"/>
      <c r="E1428" s="77"/>
      <c r="F1428" s="77"/>
      <c r="G1428" s="80"/>
    </row>
    <row r="1429">
      <c r="A1429" s="77"/>
      <c r="B1429" s="77"/>
      <c r="C1429" s="77"/>
      <c r="D1429" s="77"/>
      <c r="E1429" s="77"/>
      <c r="F1429" s="77"/>
      <c r="G1429" s="80"/>
    </row>
    <row r="1430">
      <c r="A1430" s="77"/>
      <c r="B1430" s="77"/>
      <c r="C1430" s="77"/>
      <c r="D1430" s="77"/>
      <c r="E1430" s="77"/>
      <c r="F1430" s="77"/>
      <c r="G1430" s="80"/>
    </row>
    <row r="1431">
      <c r="A1431" s="77"/>
      <c r="B1431" s="77"/>
      <c r="C1431" s="77"/>
      <c r="D1431" s="77"/>
      <c r="E1431" s="77"/>
      <c r="F1431" s="77"/>
      <c r="G1431" s="80"/>
    </row>
    <row r="1432">
      <c r="A1432" s="77"/>
      <c r="B1432" s="77"/>
      <c r="C1432" s="77"/>
      <c r="D1432" s="77"/>
      <c r="E1432" s="77"/>
      <c r="F1432" s="77"/>
      <c r="G1432" s="80"/>
    </row>
    <row r="1433">
      <c r="A1433" s="77"/>
      <c r="B1433" s="77"/>
      <c r="C1433" s="77"/>
      <c r="D1433" s="77"/>
      <c r="E1433" s="77"/>
      <c r="F1433" s="77"/>
      <c r="G1433" s="80"/>
    </row>
    <row r="1434">
      <c r="A1434" s="77"/>
      <c r="B1434" s="77"/>
      <c r="C1434" s="77"/>
      <c r="D1434" s="77"/>
      <c r="E1434" s="77"/>
      <c r="F1434" s="77"/>
      <c r="G1434" s="80"/>
    </row>
    <row r="1435">
      <c r="A1435" s="77"/>
      <c r="B1435" s="77"/>
      <c r="C1435" s="77"/>
      <c r="D1435" s="77"/>
      <c r="E1435" s="77"/>
      <c r="F1435" s="77"/>
      <c r="G1435" s="80"/>
    </row>
    <row r="1436">
      <c r="A1436" s="77"/>
      <c r="B1436" s="77"/>
      <c r="C1436" s="77"/>
      <c r="D1436" s="77"/>
      <c r="E1436" s="77"/>
      <c r="F1436" s="77"/>
      <c r="G1436" s="80"/>
    </row>
    <row r="1437">
      <c r="A1437" s="77"/>
      <c r="B1437" s="77"/>
      <c r="C1437" s="77"/>
      <c r="D1437" s="77"/>
      <c r="E1437" s="77"/>
      <c r="F1437" s="77"/>
      <c r="G1437" s="80"/>
    </row>
    <row r="1438">
      <c r="A1438" s="77"/>
      <c r="B1438" s="77"/>
      <c r="C1438" s="77"/>
      <c r="D1438" s="77"/>
      <c r="E1438" s="77"/>
      <c r="F1438" s="77"/>
      <c r="G1438" s="80"/>
    </row>
    <row r="1439">
      <c r="A1439" s="77"/>
      <c r="B1439" s="77"/>
      <c r="C1439" s="77"/>
      <c r="D1439" s="77"/>
      <c r="E1439" s="77"/>
      <c r="F1439" s="77"/>
      <c r="G1439" s="80"/>
    </row>
    <row r="1440">
      <c r="A1440" s="77"/>
      <c r="B1440" s="77"/>
      <c r="C1440" s="77"/>
      <c r="D1440" s="77"/>
      <c r="E1440" s="77"/>
      <c r="F1440" s="77"/>
      <c r="G1440" s="80"/>
    </row>
    <row r="1441">
      <c r="A1441" s="77"/>
      <c r="B1441" s="77"/>
      <c r="C1441" s="77"/>
      <c r="D1441" s="77"/>
      <c r="E1441" s="77"/>
      <c r="F1441" s="77"/>
      <c r="G1441" s="80"/>
    </row>
    <row r="1442">
      <c r="A1442" s="77"/>
      <c r="B1442" s="77"/>
      <c r="C1442" s="77"/>
      <c r="D1442" s="77"/>
      <c r="E1442" s="77"/>
      <c r="F1442" s="77"/>
      <c r="G1442" s="80"/>
    </row>
    <row r="1443">
      <c r="A1443" s="77"/>
      <c r="B1443" s="77"/>
      <c r="C1443" s="77"/>
      <c r="D1443" s="77"/>
      <c r="E1443" s="77"/>
      <c r="F1443" s="77"/>
      <c r="G1443" s="80"/>
    </row>
    <row r="1444">
      <c r="A1444" s="77"/>
      <c r="B1444" s="77"/>
      <c r="C1444" s="77"/>
      <c r="D1444" s="77"/>
      <c r="E1444" s="77"/>
      <c r="F1444" s="77"/>
      <c r="G1444" s="80"/>
    </row>
    <row r="1445">
      <c r="A1445" s="77"/>
      <c r="B1445" s="77"/>
      <c r="C1445" s="77"/>
      <c r="D1445" s="77"/>
      <c r="E1445" s="77"/>
      <c r="F1445" s="77"/>
      <c r="G1445" s="80"/>
    </row>
    <row r="1446">
      <c r="A1446" s="77"/>
      <c r="B1446" s="77"/>
      <c r="C1446" s="77"/>
      <c r="D1446" s="77"/>
      <c r="E1446" s="77"/>
      <c r="F1446" s="77"/>
      <c r="G1446" s="80"/>
    </row>
    <row r="1447">
      <c r="A1447" s="77"/>
      <c r="B1447" s="77"/>
      <c r="C1447" s="77"/>
      <c r="D1447" s="77"/>
      <c r="E1447" s="77"/>
      <c r="F1447" s="77"/>
      <c r="G1447" s="80"/>
    </row>
    <row r="1448">
      <c r="A1448" s="77"/>
      <c r="B1448" s="77"/>
      <c r="C1448" s="77"/>
      <c r="D1448" s="77"/>
      <c r="E1448" s="77"/>
      <c r="F1448" s="77"/>
      <c r="G1448" s="80"/>
    </row>
    <row r="1449">
      <c r="A1449" s="77"/>
      <c r="B1449" s="77"/>
      <c r="C1449" s="77"/>
      <c r="D1449" s="77"/>
      <c r="E1449" s="77"/>
      <c r="F1449" s="77"/>
      <c r="G1449" s="80"/>
    </row>
    <row r="1450">
      <c r="A1450" s="77"/>
      <c r="B1450" s="77"/>
      <c r="C1450" s="77"/>
      <c r="D1450" s="77"/>
      <c r="E1450" s="77"/>
      <c r="F1450" s="77"/>
      <c r="G1450" s="80"/>
    </row>
    <row r="1451">
      <c r="A1451" s="77"/>
      <c r="B1451" s="77"/>
      <c r="C1451" s="77"/>
      <c r="D1451" s="77"/>
      <c r="E1451" s="77"/>
      <c r="F1451" s="77"/>
      <c r="G1451" s="80"/>
    </row>
    <row r="1452">
      <c r="A1452" s="77"/>
      <c r="B1452" s="77"/>
      <c r="C1452" s="77"/>
      <c r="D1452" s="77"/>
      <c r="E1452" s="77"/>
      <c r="F1452" s="77"/>
      <c r="G1452" s="80"/>
    </row>
    <row r="1453">
      <c r="A1453" s="77"/>
      <c r="B1453" s="77"/>
      <c r="C1453" s="77"/>
      <c r="D1453" s="77"/>
      <c r="E1453" s="77"/>
      <c r="F1453" s="77"/>
      <c r="G1453" s="80"/>
    </row>
    <row r="1454">
      <c r="A1454" s="77"/>
      <c r="B1454" s="77"/>
      <c r="C1454" s="77"/>
      <c r="D1454" s="77"/>
      <c r="E1454" s="77"/>
      <c r="F1454" s="77"/>
      <c r="G1454" s="80"/>
    </row>
    <row r="1455">
      <c r="A1455" s="77"/>
      <c r="B1455" s="77"/>
      <c r="C1455" s="77"/>
      <c r="D1455" s="77"/>
      <c r="E1455" s="77"/>
      <c r="F1455" s="77"/>
      <c r="G1455" s="80"/>
    </row>
    <row r="1456">
      <c r="A1456" s="77"/>
      <c r="B1456" s="77"/>
      <c r="C1456" s="77"/>
      <c r="D1456" s="77"/>
      <c r="E1456" s="77"/>
      <c r="F1456" s="77"/>
      <c r="G1456" s="80"/>
    </row>
    <row r="1457">
      <c r="A1457" s="77"/>
      <c r="B1457" s="77"/>
      <c r="C1457" s="77"/>
      <c r="D1457" s="77"/>
      <c r="E1457" s="77"/>
      <c r="F1457" s="77"/>
      <c r="G1457" s="80"/>
    </row>
    <row r="1458">
      <c r="A1458" s="77"/>
      <c r="B1458" s="77"/>
      <c r="C1458" s="77"/>
      <c r="D1458" s="77"/>
      <c r="E1458" s="77"/>
      <c r="F1458" s="77"/>
      <c r="G1458" s="80"/>
    </row>
    <row r="1459">
      <c r="A1459" s="77"/>
      <c r="B1459" s="77"/>
      <c r="C1459" s="77"/>
      <c r="D1459" s="77"/>
      <c r="E1459" s="77"/>
      <c r="F1459" s="77"/>
      <c r="G1459" s="80"/>
    </row>
    <row r="1460">
      <c r="A1460" s="77"/>
      <c r="B1460" s="77"/>
      <c r="C1460" s="77"/>
      <c r="D1460" s="77"/>
      <c r="E1460" s="77"/>
      <c r="F1460" s="77"/>
      <c r="G1460" s="80"/>
    </row>
    <row r="1461">
      <c r="A1461" s="77"/>
      <c r="B1461" s="77"/>
      <c r="C1461" s="77"/>
      <c r="D1461" s="77"/>
      <c r="E1461" s="77"/>
      <c r="F1461" s="77"/>
      <c r="G1461" s="80"/>
    </row>
    <row r="1462">
      <c r="A1462" s="77"/>
      <c r="B1462" s="77"/>
      <c r="C1462" s="77"/>
      <c r="D1462" s="77"/>
      <c r="E1462" s="77"/>
      <c r="F1462" s="77"/>
      <c r="G1462" s="80"/>
    </row>
    <row r="1463">
      <c r="A1463" s="77"/>
      <c r="B1463" s="77"/>
      <c r="C1463" s="77"/>
      <c r="D1463" s="77"/>
      <c r="E1463" s="77"/>
      <c r="F1463" s="77"/>
      <c r="G1463" s="80"/>
    </row>
    <row r="1464">
      <c r="A1464" s="77"/>
      <c r="B1464" s="77"/>
      <c r="C1464" s="77"/>
      <c r="D1464" s="77"/>
      <c r="E1464" s="77"/>
      <c r="F1464" s="77"/>
      <c r="G1464" s="80"/>
    </row>
    <row r="1465">
      <c r="A1465" s="77"/>
      <c r="B1465" s="77"/>
      <c r="C1465" s="77"/>
      <c r="D1465" s="77"/>
      <c r="E1465" s="77"/>
      <c r="F1465" s="77"/>
      <c r="G1465" s="80"/>
    </row>
    <row r="1466">
      <c r="A1466" s="77"/>
      <c r="B1466" s="77"/>
      <c r="C1466" s="77"/>
      <c r="D1466" s="77"/>
      <c r="E1466" s="77"/>
      <c r="F1466" s="77"/>
      <c r="G1466" s="80"/>
    </row>
    <row r="1467">
      <c r="A1467" s="77"/>
      <c r="B1467" s="77"/>
      <c r="C1467" s="77"/>
      <c r="D1467" s="77"/>
      <c r="E1467" s="77"/>
      <c r="F1467" s="77"/>
      <c r="G1467" s="80"/>
    </row>
    <row r="1468">
      <c r="A1468" s="77"/>
      <c r="B1468" s="77"/>
      <c r="C1468" s="77"/>
      <c r="D1468" s="77"/>
      <c r="E1468" s="77"/>
      <c r="F1468" s="77"/>
      <c r="G1468" s="80"/>
    </row>
    <row r="1469">
      <c r="A1469" s="77"/>
      <c r="B1469" s="77"/>
      <c r="C1469" s="77"/>
      <c r="D1469" s="77"/>
      <c r="E1469" s="77"/>
      <c r="F1469" s="77"/>
      <c r="G1469" s="80"/>
    </row>
    <row r="1470">
      <c r="A1470" s="77"/>
      <c r="B1470" s="77"/>
      <c r="C1470" s="77"/>
      <c r="D1470" s="77"/>
      <c r="E1470" s="77"/>
      <c r="F1470" s="77"/>
      <c r="G1470" s="80"/>
    </row>
    <row r="1471">
      <c r="A1471" s="77"/>
      <c r="B1471" s="77"/>
      <c r="C1471" s="77"/>
      <c r="D1471" s="77"/>
      <c r="E1471" s="77"/>
      <c r="F1471" s="77"/>
      <c r="G1471" s="80"/>
    </row>
    <row r="1472">
      <c r="A1472" s="77"/>
      <c r="B1472" s="77"/>
      <c r="C1472" s="77"/>
      <c r="D1472" s="77"/>
      <c r="E1472" s="77"/>
      <c r="F1472" s="77"/>
      <c r="G1472" s="80"/>
    </row>
    <row r="1473">
      <c r="A1473" s="77"/>
      <c r="B1473" s="77"/>
      <c r="C1473" s="77"/>
      <c r="D1473" s="77"/>
      <c r="E1473" s="77"/>
      <c r="F1473" s="77"/>
      <c r="G1473" s="80"/>
    </row>
    <row r="1474">
      <c r="A1474" s="77"/>
      <c r="B1474" s="77"/>
      <c r="C1474" s="77"/>
      <c r="D1474" s="77"/>
      <c r="E1474" s="77"/>
      <c r="F1474" s="77"/>
      <c r="G1474" s="80"/>
    </row>
    <row r="1475">
      <c r="A1475" s="77"/>
      <c r="B1475" s="77"/>
      <c r="C1475" s="77"/>
      <c r="D1475" s="77"/>
      <c r="E1475" s="77"/>
      <c r="F1475" s="77"/>
      <c r="G1475" s="80"/>
    </row>
    <row r="1476">
      <c r="A1476" s="77"/>
      <c r="B1476" s="77"/>
      <c r="C1476" s="77"/>
      <c r="D1476" s="77"/>
      <c r="E1476" s="77"/>
      <c r="F1476" s="77"/>
      <c r="G1476" s="80"/>
    </row>
    <row r="1477">
      <c r="A1477" s="77"/>
      <c r="B1477" s="77"/>
      <c r="C1477" s="77"/>
      <c r="D1477" s="77"/>
      <c r="E1477" s="77"/>
      <c r="F1477" s="77"/>
      <c r="G1477" s="80"/>
    </row>
    <row r="1478">
      <c r="A1478" s="77"/>
      <c r="B1478" s="77"/>
      <c r="C1478" s="77"/>
      <c r="D1478" s="77"/>
      <c r="E1478" s="77"/>
      <c r="F1478" s="77"/>
      <c r="G1478" s="80"/>
    </row>
    <row r="1479">
      <c r="A1479" s="77"/>
      <c r="B1479" s="77"/>
      <c r="C1479" s="77"/>
      <c r="D1479" s="77"/>
      <c r="E1479" s="77"/>
      <c r="F1479" s="77"/>
      <c r="G1479" s="80"/>
    </row>
    <row r="1480">
      <c r="A1480" s="77"/>
      <c r="B1480" s="77"/>
      <c r="C1480" s="77"/>
      <c r="D1480" s="77"/>
      <c r="E1480" s="77"/>
      <c r="F1480" s="77"/>
      <c r="G1480" s="80"/>
    </row>
    <row r="1481">
      <c r="A1481" s="77"/>
      <c r="B1481" s="77"/>
      <c r="C1481" s="77"/>
      <c r="D1481" s="77"/>
      <c r="E1481" s="77"/>
      <c r="F1481" s="77"/>
      <c r="G1481" s="80"/>
    </row>
    <row r="1482">
      <c r="A1482" s="77"/>
      <c r="B1482" s="77"/>
      <c r="C1482" s="77"/>
      <c r="D1482" s="77"/>
      <c r="E1482" s="77"/>
      <c r="F1482" s="77"/>
      <c r="G1482" s="80"/>
    </row>
    <row r="1483">
      <c r="A1483" s="77"/>
      <c r="B1483" s="77"/>
      <c r="C1483" s="77"/>
      <c r="D1483" s="77"/>
      <c r="E1483" s="77"/>
      <c r="F1483" s="77"/>
      <c r="G1483" s="80"/>
    </row>
    <row r="1484">
      <c r="A1484" s="77"/>
      <c r="B1484" s="77"/>
      <c r="C1484" s="77"/>
      <c r="D1484" s="77"/>
      <c r="E1484" s="77"/>
      <c r="F1484" s="77"/>
      <c r="G1484" s="80"/>
    </row>
    <row r="1485">
      <c r="A1485" s="77"/>
      <c r="B1485" s="77"/>
      <c r="C1485" s="77"/>
      <c r="D1485" s="77"/>
      <c r="E1485" s="77"/>
      <c r="F1485" s="77"/>
      <c r="G1485" s="80"/>
    </row>
    <row r="1486">
      <c r="A1486" s="77"/>
      <c r="B1486" s="77"/>
      <c r="C1486" s="77"/>
      <c r="D1486" s="77"/>
      <c r="E1486" s="77"/>
      <c r="F1486" s="77"/>
      <c r="G1486" s="80"/>
    </row>
    <row r="1487">
      <c r="A1487" s="77"/>
      <c r="B1487" s="77"/>
      <c r="C1487" s="77"/>
      <c r="D1487" s="77"/>
      <c r="E1487" s="77"/>
      <c r="F1487" s="77"/>
      <c r="G1487" s="80"/>
    </row>
    <row r="1488">
      <c r="A1488" s="77"/>
      <c r="B1488" s="77"/>
      <c r="C1488" s="77"/>
      <c r="D1488" s="77"/>
      <c r="E1488" s="77"/>
      <c r="F1488" s="77"/>
      <c r="G1488" s="80"/>
    </row>
    <row r="1489">
      <c r="A1489" s="77"/>
      <c r="B1489" s="77"/>
      <c r="C1489" s="77"/>
      <c r="D1489" s="77"/>
      <c r="E1489" s="77"/>
      <c r="F1489" s="77"/>
      <c r="G1489" s="80"/>
    </row>
    <row r="1490">
      <c r="A1490" s="77"/>
      <c r="B1490" s="77"/>
      <c r="C1490" s="77"/>
      <c r="D1490" s="77"/>
      <c r="E1490" s="77"/>
      <c r="F1490" s="77"/>
      <c r="G1490" s="80"/>
    </row>
    <row r="1491">
      <c r="A1491" s="77"/>
      <c r="B1491" s="77"/>
      <c r="C1491" s="77"/>
      <c r="D1491" s="77"/>
      <c r="E1491" s="77"/>
      <c r="F1491" s="77"/>
      <c r="G1491" s="80"/>
    </row>
    <row r="1492">
      <c r="A1492" s="77"/>
      <c r="B1492" s="77"/>
      <c r="C1492" s="77"/>
      <c r="D1492" s="77"/>
      <c r="E1492" s="77"/>
      <c r="F1492" s="77"/>
      <c r="G1492" s="80"/>
    </row>
    <row r="1493">
      <c r="A1493" s="77"/>
      <c r="B1493" s="77"/>
      <c r="C1493" s="77"/>
      <c r="D1493" s="77"/>
      <c r="E1493" s="77"/>
      <c r="F1493" s="77"/>
      <c r="G1493" s="80"/>
    </row>
    <row r="1494">
      <c r="A1494" s="77"/>
      <c r="B1494" s="77"/>
      <c r="C1494" s="77"/>
      <c r="D1494" s="77"/>
      <c r="E1494" s="77"/>
      <c r="F1494" s="77"/>
      <c r="G1494" s="80"/>
    </row>
    <row r="1495">
      <c r="A1495" s="77"/>
      <c r="B1495" s="77"/>
      <c r="C1495" s="77"/>
      <c r="D1495" s="77"/>
      <c r="E1495" s="77"/>
      <c r="F1495" s="77"/>
      <c r="G1495" s="80"/>
    </row>
    <row r="1496">
      <c r="A1496" s="77"/>
      <c r="B1496" s="77"/>
      <c r="C1496" s="77"/>
      <c r="D1496" s="77"/>
      <c r="E1496" s="77"/>
      <c r="F1496" s="77"/>
      <c r="G1496" s="80"/>
    </row>
    <row r="1497">
      <c r="A1497" s="77"/>
      <c r="B1497" s="77"/>
      <c r="C1497" s="77"/>
      <c r="D1497" s="77"/>
      <c r="E1497" s="77"/>
      <c r="F1497" s="77"/>
      <c r="G1497" s="80"/>
    </row>
    <row r="1498">
      <c r="A1498" s="77"/>
      <c r="B1498" s="77"/>
      <c r="C1498" s="77"/>
      <c r="D1498" s="77"/>
      <c r="E1498" s="77"/>
      <c r="F1498" s="77"/>
      <c r="G1498" s="80"/>
    </row>
    <row r="1499">
      <c r="A1499" s="77"/>
      <c r="B1499" s="77"/>
      <c r="C1499" s="77"/>
      <c r="D1499" s="77"/>
      <c r="E1499" s="77"/>
      <c r="F1499" s="77"/>
      <c r="G1499" s="80"/>
    </row>
    <row r="1500">
      <c r="A1500" s="77"/>
      <c r="B1500" s="77"/>
      <c r="C1500" s="77"/>
      <c r="D1500" s="77"/>
      <c r="E1500" s="77"/>
      <c r="F1500" s="77"/>
      <c r="G1500" s="80"/>
    </row>
    <row r="1501">
      <c r="A1501" s="77"/>
      <c r="B1501" s="77"/>
      <c r="C1501" s="77"/>
      <c r="D1501" s="77"/>
      <c r="E1501" s="77"/>
      <c r="F1501" s="77"/>
      <c r="G1501" s="80"/>
    </row>
    <row r="1502">
      <c r="A1502" s="77"/>
      <c r="B1502" s="77"/>
      <c r="C1502" s="77"/>
      <c r="D1502" s="77"/>
      <c r="E1502" s="77"/>
      <c r="F1502" s="77"/>
      <c r="G1502" s="80"/>
    </row>
    <row r="1503">
      <c r="A1503" s="77"/>
      <c r="B1503" s="77"/>
      <c r="C1503" s="77"/>
      <c r="D1503" s="77"/>
      <c r="E1503" s="77"/>
      <c r="F1503" s="77"/>
      <c r="G1503" s="80"/>
    </row>
    <row r="1504">
      <c r="A1504" s="77"/>
      <c r="B1504" s="77"/>
      <c r="C1504" s="77"/>
      <c r="D1504" s="77"/>
      <c r="E1504" s="77"/>
      <c r="F1504" s="77"/>
      <c r="G1504" s="80"/>
    </row>
    <row r="1505">
      <c r="A1505" s="77"/>
      <c r="B1505" s="77"/>
      <c r="C1505" s="77"/>
      <c r="D1505" s="77"/>
      <c r="E1505" s="77"/>
      <c r="F1505" s="77"/>
      <c r="G1505" s="80"/>
    </row>
    <row r="1506">
      <c r="A1506" s="77"/>
      <c r="B1506" s="77"/>
      <c r="C1506" s="77"/>
      <c r="D1506" s="77"/>
      <c r="E1506" s="77"/>
      <c r="F1506" s="77"/>
      <c r="G1506" s="80"/>
    </row>
    <row r="1507">
      <c r="A1507" s="77"/>
      <c r="B1507" s="77"/>
      <c r="C1507" s="77"/>
      <c r="D1507" s="77"/>
      <c r="E1507" s="77"/>
      <c r="F1507" s="77"/>
      <c r="G1507" s="80"/>
    </row>
    <row r="1508">
      <c r="A1508" s="77"/>
      <c r="B1508" s="77"/>
      <c r="C1508" s="77"/>
      <c r="D1508" s="77"/>
      <c r="E1508" s="77"/>
      <c r="F1508" s="77"/>
      <c r="G1508" s="80"/>
    </row>
    <row r="1509">
      <c r="A1509" s="77"/>
      <c r="B1509" s="77"/>
      <c r="C1509" s="77"/>
      <c r="D1509" s="77"/>
      <c r="E1509" s="77"/>
      <c r="F1509" s="77"/>
      <c r="G1509" s="80"/>
    </row>
    <row r="1510">
      <c r="A1510" s="77"/>
      <c r="B1510" s="77"/>
      <c r="C1510" s="77"/>
      <c r="D1510" s="77"/>
      <c r="E1510" s="77"/>
      <c r="F1510" s="77"/>
      <c r="G1510" s="80"/>
    </row>
    <row r="1511">
      <c r="A1511" s="77"/>
      <c r="B1511" s="77"/>
      <c r="C1511" s="77"/>
      <c r="D1511" s="77"/>
      <c r="E1511" s="77"/>
      <c r="F1511" s="77"/>
      <c r="G1511" s="80"/>
    </row>
    <row r="1512">
      <c r="A1512" s="77"/>
      <c r="B1512" s="77"/>
      <c r="C1512" s="77"/>
      <c r="D1512" s="77"/>
      <c r="E1512" s="77"/>
      <c r="F1512" s="77"/>
      <c r="G1512" s="80"/>
    </row>
    <row r="1513">
      <c r="A1513" s="77"/>
      <c r="B1513" s="77"/>
      <c r="C1513" s="77"/>
      <c r="D1513" s="77"/>
      <c r="E1513" s="77"/>
      <c r="F1513" s="77"/>
      <c r="G1513" s="80"/>
    </row>
    <row r="1514">
      <c r="A1514" s="77"/>
      <c r="B1514" s="77"/>
      <c r="C1514" s="77"/>
      <c r="D1514" s="77"/>
      <c r="E1514" s="77"/>
      <c r="F1514" s="77"/>
      <c r="G1514" s="80"/>
    </row>
    <row r="1515">
      <c r="A1515" s="77"/>
      <c r="B1515" s="77"/>
      <c r="C1515" s="77"/>
      <c r="D1515" s="77"/>
      <c r="E1515" s="77"/>
      <c r="F1515" s="77"/>
      <c r="G1515" s="80"/>
    </row>
    <row r="1516">
      <c r="A1516" s="77"/>
      <c r="B1516" s="77"/>
      <c r="C1516" s="77"/>
      <c r="D1516" s="77"/>
      <c r="E1516" s="77"/>
      <c r="F1516" s="77"/>
      <c r="G1516" s="80"/>
    </row>
    <row r="1517">
      <c r="A1517" s="77"/>
      <c r="B1517" s="77"/>
      <c r="C1517" s="77"/>
      <c r="D1517" s="77"/>
      <c r="E1517" s="77"/>
      <c r="F1517" s="77"/>
      <c r="G1517" s="80"/>
    </row>
    <row r="1518">
      <c r="A1518" s="77"/>
      <c r="B1518" s="77"/>
      <c r="C1518" s="77"/>
      <c r="D1518" s="77"/>
      <c r="E1518" s="77"/>
      <c r="F1518" s="77"/>
      <c r="G1518" s="80"/>
    </row>
    <row r="1519">
      <c r="A1519" s="77"/>
      <c r="B1519" s="77"/>
      <c r="C1519" s="77"/>
      <c r="D1519" s="77"/>
      <c r="E1519" s="77"/>
      <c r="F1519" s="77"/>
      <c r="G1519" s="80"/>
    </row>
    <row r="1520">
      <c r="A1520" s="77"/>
      <c r="B1520" s="77"/>
      <c r="C1520" s="77"/>
      <c r="D1520" s="77"/>
      <c r="E1520" s="77"/>
      <c r="F1520" s="77"/>
      <c r="G1520" s="80"/>
    </row>
    <row r="1521">
      <c r="A1521" s="77"/>
      <c r="B1521" s="77"/>
      <c r="C1521" s="77"/>
      <c r="D1521" s="77"/>
      <c r="E1521" s="77"/>
      <c r="F1521" s="77"/>
      <c r="G1521" s="80"/>
    </row>
    <row r="1522">
      <c r="A1522" s="77"/>
      <c r="B1522" s="77"/>
      <c r="C1522" s="77"/>
      <c r="D1522" s="77"/>
      <c r="E1522" s="77"/>
      <c r="F1522" s="77"/>
      <c r="G1522" s="80"/>
    </row>
    <row r="1523">
      <c r="A1523" s="77"/>
      <c r="B1523" s="77"/>
      <c r="C1523" s="77"/>
      <c r="D1523" s="77"/>
      <c r="E1523" s="77"/>
      <c r="F1523" s="77"/>
      <c r="G1523" s="80"/>
    </row>
    <row r="1524">
      <c r="A1524" s="77"/>
      <c r="B1524" s="77"/>
      <c r="C1524" s="77"/>
      <c r="D1524" s="77"/>
      <c r="E1524" s="77"/>
      <c r="F1524" s="77"/>
      <c r="G1524" s="80"/>
    </row>
    <row r="1525">
      <c r="A1525" s="77"/>
      <c r="B1525" s="77"/>
      <c r="C1525" s="77"/>
      <c r="D1525" s="77"/>
      <c r="E1525" s="77"/>
      <c r="F1525" s="77"/>
      <c r="G1525" s="80"/>
    </row>
    <row r="1526">
      <c r="A1526" s="77"/>
      <c r="B1526" s="77"/>
      <c r="C1526" s="77"/>
      <c r="D1526" s="77"/>
      <c r="E1526" s="77"/>
      <c r="F1526" s="77"/>
      <c r="G1526" s="80"/>
    </row>
    <row r="1527">
      <c r="A1527" s="77"/>
      <c r="B1527" s="77"/>
      <c r="C1527" s="77"/>
      <c r="D1527" s="77"/>
      <c r="E1527" s="77"/>
      <c r="F1527" s="77"/>
      <c r="G1527" s="80"/>
    </row>
    <row r="1528">
      <c r="A1528" s="77"/>
      <c r="B1528" s="77"/>
      <c r="C1528" s="77"/>
      <c r="D1528" s="77"/>
      <c r="E1528" s="77"/>
      <c r="F1528" s="77"/>
      <c r="G1528" s="80"/>
    </row>
    <row r="1529">
      <c r="A1529" s="77"/>
      <c r="B1529" s="77"/>
      <c r="C1529" s="77"/>
      <c r="D1529" s="77"/>
      <c r="E1529" s="77"/>
      <c r="F1529" s="77"/>
      <c r="G1529" s="80"/>
    </row>
    <row r="1530">
      <c r="A1530" s="77"/>
      <c r="B1530" s="77"/>
      <c r="C1530" s="77"/>
      <c r="D1530" s="77"/>
      <c r="E1530" s="77"/>
      <c r="F1530" s="77"/>
      <c r="G1530" s="80"/>
    </row>
    <row r="1531">
      <c r="A1531" s="77"/>
      <c r="B1531" s="77"/>
      <c r="C1531" s="77"/>
      <c r="D1531" s="77"/>
      <c r="E1531" s="77"/>
      <c r="F1531" s="77"/>
      <c r="G1531" s="80"/>
    </row>
    <row r="1532">
      <c r="A1532" s="77"/>
      <c r="B1532" s="77"/>
      <c r="C1532" s="77"/>
      <c r="D1532" s="77"/>
      <c r="E1532" s="77"/>
      <c r="F1532" s="77"/>
      <c r="G1532" s="80"/>
    </row>
    <row r="1533">
      <c r="A1533" s="77"/>
      <c r="B1533" s="77"/>
      <c r="C1533" s="77"/>
      <c r="D1533" s="77"/>
      <c r="E1533" s="77"/>
      <c r="F1533" s="77"/>
      <c r="G1533" s="80"/>
    </row>
    <row r="1534">
      <c r="A1534" s="77"/>
      <c r="B1534" s="77"/>
      <c r="C1534" s="77"/>
      <c r="D1534" s="77"/>
      <c r="E1534" s="77"/>
      <c r="F1534" s="77"/>
      <c r="G1534" s="80"/>
    </row>
    <row r="1535">
      <c r="A1535" s="77"/>
      <c r="B1535" s="77"/>
      <c r="C1535" s="77"/>
      <c r="D1535" s="77"/>
      <c r="E1535" s="77"/>
      <c r="F1535" s="77"/>
      <c r="G1535" s="80"/>
    </row>
    <row r="1536">
      <c r="A1536" s="77"/>
      <c r="B1536" s="77"/>
      <c r="C1536" s="77"/>
      <c r="D1536" s="77"/>
      <c r="E1536" s="77"/>
      <c r="F1536" s="77"/>
      <c r="G1536" s="80"/>
    </row>
    <row r="1537">
      <c r="A1537" s="77"/>
      <c r="B1537" s="77"/>
      <c r="C1537" s="77"/>
      <c r="D1537" s="77"/>
      <c r="E1537" s="77"/>
      <c r="F1537" s="77"/>
      <c r="G1537" s="80"/>
    </row>
    <row r="1538">
      <c r="A1538" s="77"/>
      <c r="B1538" s="77"/>
      <c r="C1538" s="77"/>
      <c r="D1538" s="77"/>
      <c r="E1538" s="77"/>
      <c r="F1538" s="77"/>
      <c r="G1538" s="80"/>
    </row>
    <row r="1539">
      <c r="A1539" s="77"/>
      <c r="B1539" s="77"/>
      <c r="C1539" s="77"/>
      <c r="D1539" s="77"/>
      <c r="E1539" s="77"/>
      <c r="F1539" s="77"/>
      <c r="G1539" s="80"/>
    </row>
    <row r="1540">
      <c r="A1540" s="77"/>
      <c r="B1540" s="77"/>
      <c r="C1540" s="77"/>
      <c r="D1540" s="77"/>
      <c r="E1540" s="77"/>
      <c r="F1540" s="77"/>
      <c r="G1540" s="80"/>
    </row>
    <row r="1541">
      <c r="A1541" s="77"/>
      <c r="B1541" s="77"/>
      <c r="C1541" s="77"/>
      <c r="D1541" s="77"/>
      <c r="E1541" s="77"/>
      <c r="F1541" s="77"/>
      <c r="G1541" s="80"/>
    </row>
    <row r="1542">
      <c r="A1542" s="77"/>
      <c r="B1542" s="77"/>
      <c r="C1542" s="77"/>
      <c r="D1542" s="77"/>
      <c r="E1542" s="77"/>
      <c r="F1542" s="77"/>
      <c r="G1542" s="80"/>
    </row>
    <row r="1543">
      <c r="A1543" s="77"/>
      <c r="B1543" s="77"/>
      <c r="C1543" s="77"/>
      <c r="D1543" s="77"/>
      <c r="E1543" s="77"/>
      <c r="F1543" s="77"/>
      <c r="G1543" s="80"/>
    </row>
    <row r="1544">
      <c r="A1544" s="77"/>
      <c r="B1544" s="77"/>
      <c r="C1544" s="77"/>
      <c r="D1544" s="77"/>
      <c r="E1544" s="77"/>
      <c r="F1544" s="77"/>
      <c r="G1544" s="80"/>
    </row>
    <row r="1545">
      <c r="A1545" s="77"/>
      <c r="B1545" s="77"/>
      <c r="C1545" s="77"/>
      <c r="D1545" s="77"/>
      <c r="E1545" s="77"/>
      <c r="F1545" s="77"/>
      <c r="G1545" s="80"/>
    </row>
    <row r="1546">
      <c r="A1546" s="77"/>
      <c r="B1546" s="77"/>
      <c r="C1546" s="77"/>
      <c r="D1546" s="77"/>
      <c r="E1546" s="77"/>
      <c r="F1546" s="77"/>
      <c r="G1546" s="80"/>
    </row>
    <row r="1547">
      <c r="A1547" s="77"/>
      <c r="B1547" s="77"/>
      <c r="C1547" s="77"/>
      <c r="D1547" s="77"/>
      <c r="E1547" s="77"/>
      <c r="F1547" s="77"/>
      <c r="G1547" s="80"/>
    </row>
    <row r="1548">
      <c r="A1548" s="77"/>
      <c r="B1548" s="77"/>
      <c r="C1548" s="77"/>
      <c r="D1548" s="77"/>
      <c r="E1548" s="77"/>
      <c r="F1548" s="77"/>
      <c r="G1548" s="80"/>
    </row>
    <row r="1549">
      <c r="A1549" s="77"/>
      <c r="B1549" s="77"/>
      <c r="C1549" s="77"/>
      <c r="D1549" s="77"/>
      <c r="E1549" s="77"/>
      <c r="F1549" s="77"/>
      <c r="G1549" s="80"/>
    </row>
    <row r="1550">
      <c r="A1550" s="77"/>
      <c r="B1550" s="77"/>
      <c r="C1550" s="77"/>
      <c r="D1550" s="77"/>
      <c r="E1550" s="77"/>
      <c r="F1550" s="77"/>
      <c r="G1550" s="80"/>
    </row>
    <row r="1551">
      <c r="A1551" s="77"/>
      <c r="B1551" s="77"/>
      <c r="C1551" s="77"/>
      <c r="D1551" s="77"/>
      <c r="E1551" s="77"/>
      <c r="F1551" s="77"/>
      <c r="G1551" s="80"/>
    </row>
    <row r="1552">
      <c r="A1552" s="77"/>
      <c r="B1552" s="77"/>
      <c r="C1552" s="77"/>
      <c r="D1552" s="77"/>
      <c r="E1552" s="77"/>
      <c r="F1552" s="77"/>
      <c r="G1552" s="80"/>
    </row>
    <row r="1553">
      <c r="A1553" s="77"/>
      <c r="B1553" s="77"/>
      <c r="C1553" s="77"/>
      <c r="D1553" s="77"/>
      <c r="E1553" s="77"/>
      <c r="F1553" s="77"/>
      <c r="G1553" s="80"/>
    </row>
    <row r="1554">
      <c r="A1554" s="77"/>
      <c r="B1554" s="77"/>
      <c r="C1554" s="77"/>
      <c r="D1554" s="77"/>
      <c r="E1554" s="77"/>
      <c r="F1554" s="77"/>
      <c r="G1554" s="80"/>
    </row>
    <row r="1555">
      <c r="A1555" s="77"/>
      <c r="B1555" s="77"/>
      <c r="C1555" s="77"/>
      <c r="D1555" s="77"/>
      <c r="E1555" s="77"/>
      <c r="F1555" s="77"/>
      <c r="G1555" s="80"/>
    </row>
    <row r="1556">
      <c r="A1556" s="77"/>
      <c r="B1556" s="77"/>
      <c r="C1556" s="77"/>
      <c r="D1556" s="77"/>
      <c r="E1556" s="77"/>
      <c r="F1556" s="77"/>
      <c r="G1556" s="80"/>
    </row>
    <row r="1557">
      <c r="A1557" s="77"/>
      <c r="B1557" s="77"/>
      <c r="C1557" s="77"/>
      <c r="D1557" s="77"/>
      <c r="E1557" s="77"/>
      <c r="F1557" s="77"/>
      <c r="G1557" s="80"/>
    </row>
    <row r="1558">
      <c r="A1558" s="77"/>
      <c r="B1558" s="77"/>
      <c r="C1558" s="77"/>
      <c r="D1558" s="77"/>
      <c r="E1558" s="77"/>
      <c r="F1558" s="77"/>
      <c r="G1558" s="80"/>
    </row>
    <row r="1559">
      <c r="A1559" s="77"/>
      <c r="B1559" s="77"/>
      <c r="C1559" s="77"/>
      <c r="D1559" s="77"/>
      <c r="E1559" s="77"/>
      <c r="F1559" s="77"/>
      <c r="G1559" s="80"/>
    </row>
    <row r="1560">
      <c r="A1560" s="77"/>
      <c r="B1560" s="77"/>
      <c r="C1560" s="77"/>
      <c r="D1560" s="77"/>
      <c r="E1560" s="77"/>
      <c r="F1560" s="77"/>
      <c r="G1560" s="80"/>
    </row>
    <row r="1561">
      <c r="A1561" s="77"/>
      <c r="B1561" s="77"/>
      <c r="C1561" s="77"/>
      <c r="D1561" s="77"/>
      <c r="E1561" s="77"/>
      <c r="F1561" s="77"/>
      <c r="G1561" s="80"/>
    </row>
    <row r="1562">
      <c r="A1562" s="77"/>
      <c r="B1562" s="77"/>
      <c r="C1562" s="77"/>
      <c r="D1562" s="77"/>
      <c r="E1562" s="77"/>
      <c r="F1562" s="77"/>
      <c r="G1562" s="80"/>
    </row>
    <row r="1563">
      <c r="A1563" s="77"/>
      <c r="B1563" s="77"/>
      <c r="C1563" s="77"/>
      <c r="D1563" s="77"/>
      <c r="E1563" s="77"/>
      <c r="F1563" s="77"/>
      <c r="G1563" s="80"/>
    </row>
    <row r="1564">
      <c r="A1564" s="77"/>
      <c r="B1564" s="77"/>
      <c r="C1564" s="77"/>
      <c r="D1564" s="77"/>
      <c r="E1564" s="77"/>
      <c r="F1564" s="77"/>
      <c r="G1564" s="80"/>
    </row>
    <row r="1565">
      <c r="A1565" s="77"/>
      <c r="B1565" s="77"/>
      <c r="C1565" s="77"/>
      <c r="D1565" s="77"/>
      <c r="E1565" s="77"/>
      <c r="F1565" s="77"/>
      <c r="G1565" s="80"/>
    </row>
    <row r="1566">
      <c r="A1566" s="77"/>
      <c r="B1566" s="77"/>
      <c r="C1566" s="77"/>
      <c r="D1566" s="77"/>
      <c r="E1566" s="77"/>
      <c r="F1566" s="77"/>
      <c r="G1566" s="80"/>
    </row>
    <row r="1567">
      <c r="A1567" s="77"/>
      <c r="B1567" s="77"/>
      <c r="C1567" s="77"/>
      <c r="D1567" s="77"/>
      <c r="E1567" s="77"/>
      <c r="F1567" s="77"/>
      <c r="G1567" s="80"/>
    </row>
    <row r="1568">
      <c r="A1568" s="77"/>
      <c r="B1568" s="77"/>
      <c r="C1568" s="77"/>
      <c r="D1568" s="77"/>
      <c r="E1568" s="77"/>
      <c r="F1568" s="77"/>
      <c r="G1568" s="80"/>
    </row>
    <row r="1569">
      <c r="A1569" s="77"/>
      <c r="B1569" s="77"/>
      <c r="C1569" s="77"/>
      <c r="D1569" s="77"/>
      <c r="E1569" s="77"/>
      <c r="F1569" s="77"/>
      <c r="G1569" s="80"/>
    </row>
    <row r="1570">
      <c r="A1570" s="77"/>
      <c r="B1570" s="77"/>
      <c r="C1570" s="77"/>
      <c r="D1570" s="77"/>
      <c r="E1570" s="77"/>
      <c r="F1570" s="77"/>
      <c r="G1570" s="80"/>
    </row>
    <row r="1571">
      <c r="A1571" s="77"/>
      <c r="B1571" s="77"/>
      <c r="C1571" s="77"/>
      <c r="D1571" s="77"/>
      <c r="E1571" s="77"/>
      <c r="F1571" s="77"/>
      <c r="G1571" s="80"/>
    </row>
    <row r="1572">
      <c r="A1572" s="77"/>
      <c r="B1572" s="77"/>
      <c r="C1572" s="77"/>
      <c r="D1572" s="77"/>
      <c r="E1572" s="77"/>
      <c r="F1572" s="77"/>
      <c r="G1572" s="80"/>
    </row>
    <row r="1573">
      <c r="A1573" s="77"/>
      <c r="B1573" s="77"/>
      <c r="C1573" s="77"/>
      <c r="D1573" s="77"/>
      <c r="E1573" s="77"/>
      <c r="F1573" s="77"/>
      <c r="G1573" s="80"/>
    </row>
    <row r="1574">
      <c r="A1574" s="77"/>
      <c r="B1574" s="77"/>
      <c r="C1574" s="77"/>
      <c r="D1574" s="77"/>
      <c r="E1574" s="77"/>
      <c r="F1574" s="77"/>
      <c r="G1574" s="80"/>
    </row>
    <row r="1575">
      <c r="A1575" s="77"/>
      <c r="B1575" s="77"/>
      <c r="C1575" s="77"/>
      <c r="D1575" s="77"/>
      <c r="E1575" s="77"/>
      <c r="F1575" s="77"/>
      <c r="G1575" s="80"/>
    </row>
    <row r="1576">
      <c r="A1576" s="77"/>
      <c r="B1576" s="77"/>
      <c r="C1576" s="77"/>
      <c r="D1576" s="77"/>
      <c r="E1576" s="77"/>
      <c r="F1576" s="77"/>
      <c r="G1576" s="80"/>
    </row>
    <row r="1577">
      <c r="A1577" s="77"/>
      <c r="B1577" s="77"/>
      <c r="C1577" s="77"/>
      <c r="D1577" s="77"/>
      <c r="E1577" s="77"/>
      <c r="F1577" s="77"/>
      <c r="G1577" s="80"/>
    </row>
    <row r="1578">
      <c r="A1578" s="77"/>
      <c r="B1578" s="77"/>
      <c r="C1578" s="77"/>
      <c r="D1578" s="77"/>
      <c r="E1578" s="77"/>
      <c r="F1578" s="77"/>
      <c r="G1578" s="80"/>
    </row>
    <row r="1579">
      <c r="A1579" s="77"/>
      <c r="B1579" s="77"/>
      <c r="C1579" s="77"/>
      <c r="D1579" s="77"/>
      <c r="E1579" s="77"/>
      <c r="F1579" s="77"/>
      <c r="G1579" s="80"/>
    </row>
    <row r="1580">
      <c r="A1580" s="77"/>
      <c r="B1580" s="77"/>
      <c r="C1580" s="77"/>
      <c r="D1580" s="77"/>
      <c r="E1580" s="77"/>
      <c r="F1580" s="77"/>
      <c r="G1580" s="80"/>
    </row>
    <row r="1581">
      <c r="A1581" s="77"/>
      <c r="B1581" s="77"/>
      <c r="C1581" s="77"/>
      <c r="D1581" s="77"/>
      <c r="E1581" s="77"/>
      <c r="F1581" s="77"/>
      <c r="G1581" s="80"/>
    </row>
    <row r="1582">
      <c r="A1582" s="77"/>
      <c r="B1582" s="77"/>
      <c r="C1582" s="77"/>
      <c r="D1582" s="77"/>
      <c r="E1582" s="77"/>
      <c r="F1582" s="77"/>
      <c r="G1582" s="80"/>
    </row>
    <row r="1583">
      <c r="A1583" s="77"/>
      <c r="B1583" s="77"/>
      <c r="C1583" s="77"/>
      <c r="D1583" s="77"/>
      <c r="E1583" s="77"/>
      <c r="F1583" s="77"/>
      <c r="G1583" s="80"/>
    </row>
    <row r="1584">
      <c r="A1584" s="77"/>
      <c r="B1584" s="77"/>
      <c r="C1584" s="77"/>
      <c r="D1584" s="77"/>
      <c r="E1584" s="77"/>
      <c r="F1584" s="77"/>
      <c r="G1584" s="80"/>
    </row>
    <row r="1585">
      <c r="A1585" s="77"/>
      <c r="B1585" s="77"/>
      <c r="C1585" s="77"/>
      <c r="D1585" s="77"/>
      <c r="E1585" s="77"/>
      <c r="F1585" s="77"/>
      <c r="G1585" s="80"/>
    </row>
    <row r="1586">
      <c r="A1586" s="77"/>
      <c r="B1586" s="77"/>
      <c r="C1586" s="77"/>
      <c r="D1586" s="77"/>
      <c r="E1586" s="77"/>
      <c r="F1586" s="77"/>
      <c r="G1586" s="80"/>
    </row>
    <row r="1587">
      <c r="A1587" s="77"/>
      <c r="B1587" s="77"/>
      <c r="C1587" s="77"/>
      <c r="D1587" s="77"/>
      <c r="E1587" s="77"/>
      <c r="F1587" s="77"/>
      <c r="G1587" s="80"/>
    </row>
    <row r="1588">
      <c r="A1588" s="77"/>
      <c r="B1588" s="77"/>
      <c r="C1588" s="77"/>
      <c r="D1588" s="77"/>
      <c r="E1588" s="77"/>
      <c r="F1588" s="77"/>
      <c r="G1588" s="80"/>
    </row>
    <row r="1589">
      <c r="A1589" s="77"/>
      <c r="B1589" s="77"/>
      <c r="C1589" s="77"/>
      <c r="D1589" s="77"/>
      <c r="E1589" s="77"/>
      <c r="F1589" s="77"/>
      <c r="G1589" s="80"/>
    </row>
    <row r="1590">
      <c r="A1590" s="77"/>
      <c r="B1590" s="77"/>
      <c r="C1590" s="77"/>
      <c r="D1590" s="77"/>
      <c r="E1590" s="77"/>
      <c r="F1590" s="77"/>
      <c r="G1590" s="80"/>
    </row>
    <row r="1591">
      <c r="A1591" s="77"/>
      <c r="B1591" s="77"/>
      <c r="C1591" s="77"/>
      <c r="D1591" s="77"/>
      <c r="E1591" s="77"/>
      <c r="F1591" s="77"/>
      <c r="G1591" s="80"/>
    </row>
    <row r="1592">
      <c r="A1592" s="77"/>
      <c r="B1592" s="77"/>
      <c r="C1592" s="77"/>
      <c r="D1592" s="77"/>
      <c r="E1592" s="77"/>
      <c r="F1592" s="77"/>
      <c r="G1592" s="80"/>
    </row>
    <row r="1593">
      <c r="A1593" s="77"/>
      <c r="B1593" s="77"/>
      <c r="C1593" s="77"/>
      <c r="D1593" s="77"/>
      <c r="E1593" s="77"/>
      <c r="F1593" s="77"/>
      <c r="G1593" s="80"/>
    </row>
    <row r="1594">
      <c r="A1594" s="77"/>
      <c r="B1594" s="77"/>
      <c r="C1594" s="77"/>
      <c r="D1594" s="77"/>
      <c r="E1594" s="77"/>
      <c r="F1594" s="77"/>
      <c r="G1594" s="80"/>
    </row>
    <row r="1595">
      <c r="A1595" s="77"/>
      <c r="B1595" s="77"/>
      <c r="C1595" s="77"/>
      <c r="D1595" s="77"/>
      <c r="E1595" s="77"/>
      <c r="F1595" s="77"/>
      <c r="G1595" s="80"/>
    </row>
    <row r="1596">
      <c r="A1596" s="77"/>
      <c r="B1596" s="77"/>
      <c r="C1596" s="77"/>
      <c r="D1596" s="77"/>
      <c r="E1596" s="77"/>
      <c r="F1596" s="77"/>
      <c r="G1596" s="80"/>
    </row>
    <row r="1597">
      <c r="A1597" s="77"/>
      <c r="B1597" s="77"/>
      <c r="C1597" s="77"/>
      <c r="D1597" s="77"/>
      <c r="E1597" s="77"/>
      <c r="F1597" s="77"/>
      <c r="G1597" s="80"/>
    </row>
    <row r="1598">
      <c r="A1598" s="77"/>
      <c r="B1598" s="77"/>
      <c r="C1598" s="77"/>
      <c r="D1598" s="77"/>
      <c r="E1598" s="77"/>
      <c r="F1598" s="77"/>
      <c r="G1598" s="80"/>
    </row>
    <row r="1599">
      <c r="A1599" s="77"/>
      <c r="B1599" s="77"/>
      <c r="C1599" s="77"/>
      <c r="D1599" s="77"/>
      <c r="E1599" s="77"/>
      <c r="F1599" s="77"/>
      <c r="G1599" s="80"/>
    </row>
    <row r="1600">
      <c r="A1600" s="77"/>
      <c r="B1600" s="77"/>
      <c r="C1600" s="77"/>
      <c r="D1600" s="77"/>
      <c r="E1600" s="77"/>
      <c r="F1600" s="77"/>
      <c r="G1600" s="80"/>
    </row>
    <row r="1601">
      <c r="A1601" s="77"/>
      <c r="B1601" s="77"/>
      <c r="C1601" s="77"/>
      <c r="D1601" s="77"/>
      <c r="E1601" s="77"/>
      <c r="F1601" s="77"/>
      <c r="G1601" s="80"/>
    </row>
    <row r="1602">
      <c r="A1602" s="77"/>
      <c r="B1602" s="77"/>
      <c r="C1602" s="77"/>
      <c r="D1602" s="77"/>
      <c r="E1602" s="77"/>
      <c r="F1602" s="77"/>
      <c r="G1602" s="80"/>
    </row>
    <row r="1603">
      <c r="A1603" s="77"/>
      <c r="B1603" s="77"/>
      <c r="C1603" s="77"/>
      <c r="D1603" s="77"/>
      <c r="E1603" s="77"/>
      <c r="F1603" s="77"/>
      <c r="G1603" s="80"/>
    </row>
    <row r="1604">
      <c r="A1604" s="77"/>
      <c r="B1604" s="77"/>
      <c r="C1604" s="77"/>
      <c r="D1604" s="77"/>
      <c r="E1604" s="77"/>
      <c r="F1604" s="77"/>
      <c r="G1604" s="80"/>
    </row>
    <row r="1605">
      <c r="A1605" s="77"/>
      <c r="B1605" s="77"/>
      <c r="C1605" s="77"/>
      <c r="D1605" s="77"/>
      <c r="E1605" s="77"/>
      <c r="F1605" s="77"/>
      <c r="G1605" s="80"/>
    </row>
    <row r="1606">
      <c r="A1606" s="77"/>
      <c r="B1606" s="77"/>
      <c r="C1606" s="77"/>
      <c r="D1606" s="77"/>
      <c r="E1606" s="77"/>
      <c r="F1606" s="77"/>
      <c r="G1606" s="80"/>
    </row>
    <row r="1607">
      <c r="A1607" s="77"/>
      <c r="B1607" s="77"/>
      <c r="C1607" s="77"/>
      <c r="D1607" s="77"/>
      <c r="E1607" s="77"/>
      <c r="F1607" s="77"/>
      <c r="G1607" s="80"/>
    </row>
    <row r="1608">
      <c r="A1608" s="77"/>
      <c r="B1608" s="77"/>
      <c r="C1608" s="77"/>
      <c r="D1608" s="77"/>
      <c r="E1608" s="77"/>
      <c r="F1608" s="77"/>
      <c r="G1608" s="80"/>
    </row>
    <row r="1609">
      <c r="A1609" s="77"/>
      <c r="B1609" s="77"/>
      <c r="C1609" s="77"/>
      <c r="D1609" s="77"/>
      <c r="E1609" s="77"/>
      <c r="F1609" s="77"/>
      <c r="G1609" s="80"/>
    </row>
    <row r="1610">
      <c r="A1610" s="77"/>
      <c r="B1610" s="77"/>
      <c r="C1610" s="77"/>
      <c r="D1610" s="77"/>
      <c r="E1610" s="77"/>
      <c r="F1610" s="77"/>
      <c r="G1610" s="80"/>
    </row>
    <row r="1611">
      <c r="A1611" s="77"/>
      <c r="B1611" s="77"/>
      <c r="C1611" s="77"/>
      <c r="D1611" s="77"/>
      <c r="E1611" s="77"/>
      <c r="F1611" s="77"/>
      <c r="G1611" s="80"/>
    </row>
    <row r="1612">
      <c r="A1612" s="77"/>
      <c r="B1612" s="77"/>
      <c r="C1612" s="77"/>
      <c r="D1612" s="77"/>
      <c r="E1612" s="77"/>
      <c r="F1612" s="77"/>
      <c r="G1612" s="80"/>
    </row>
    <row r="1613">
      <c r="A1613" s="77"/>
      <c r="B1613" s="77"/>
      <c r="C1613" s="77"/>
      <c r="D1613" s="77"/>
      <c r="E1613" s="77"/>
      <c r="F1613" s="77"/>
      <c r="G1613" s="80"/>
    </row>
    <row r="1614">
      <c r="A1614" s="77"/>
      <c r="B1614" s="77"/>
      <c r="C1614" s="77"/>
      <c r="D1614" s="77"/>
      <c r="E1614" s="77"/>
      <c r="F1614" s="77"/>
      <c r="G1614" s="80"/>
    </row>
    <row r="1615">
      <c r="A1615" s="77"/>
      <c r="B1615" s="77"/>
      <c r="C1615" s="77"/>
      <c r="D1615" s="77"/>
      <c r="E1615" s="77"/>
      <c r="F1615" s="77"/>
      <c r="G1615" s="80"/>
    </row>
    <row r="1616">
      <c r="A1616" s="77"/>
      <c r="B1616" s="77"/>
      <c r="C1616" s="77"/>
      <c r="D1616" s="77"/>
      <c r="E1616" s="77"/>
      <c r="F1616" s="77"/>
      <c r="G1616" s="80"/>
    </row>
    <row r="1617">
      <c r="A1617" s="77"/>
      <c r="B1617" s="77"/>
      <c r="C1617" s="77"/>
      <c r="D1617" s="77"/>
      <c r="E1617" s="77"/>
      <c r="F1617" s="77"/>
      <c r="G1617" s="80"/>
    </row>
    <row r="1618">
      <c r="A1618" s="77"/>
      <c r="B1618" s="77"/>
      <c r="C1618" s="77"/>
      <c r="D1618" s="77"/>
      <c r="E1618" s="77"/>
      <c r="F1618" s="77"/>
      <c r="G1618" s="80"/>
    </row>
    <row r="1619">
      <c r="A1619" s="77"/>
      <c r="B1619" s="77"/>
      <c r="C1619" s="77"/>
      <c r="D1619" s="77"/>
      <c r="E1619" s="77"/>
      <c r="F1619" s="77"/>
      <c r="G1619" s="80"/>
    </row>
    <row r="1620">
      <c r="A1620" s="77"/>
      <c r="B1620" s="77"/>
      <c r="C1620" s="77"/>
      <c r="D1620" s="77"/>
      <c r="E1620" s="77"/>
      <c r="F1620" s="77"/>
      <c r="G1620" s="80"/>
    </row>
    <row r="1621">
      <c r="A1621" s="77"/>
      <c r="B1621" s="77"/>
      <c r="C1621" s="77"/>
      <c r="D1621" s="77"/>
      <c r="E1621" s="77"/>
      <c r="F1621" s="77"/>
      <c r="G1621" s="80"/>
    </row>
    <row r="1622">
      <c r="A1622" s="77"/>
      <c r="B1622" s="77"/>
      <c r="C1622" s="77"/>
      <c r="D1622" s="77"/>
      <c r="E1622" s="77"/>
      <c r="F1622" s="77"/>
      <c r="G1622" s="80"/>
    </row>
    <row r="1623">
      <c r="A1623" s="77"/>
      <c r="B1623" s="77"/>
      <c r="C1623" s="77"/>
      <c r="D1623" s="77"/>
      <c r="E1623" s="77"/>
      <c r="F1623" s="77"/>
      <c r="G1623" s="80"/>
    </row>
    <row r="1624">
      <c r="A1624" s="77"/>
      <c r="B1624" s="77"/>
      <c r="C1624" s="77"/>
      <c r="D1624" s="77"/>
      <c r="E1624" s="77"/>
      <c r="F1624" s="77"/>
      <c r="G1624" s="80"/>
    </row>
    <row r="1625">
      <c r="A1625" s="77"/>
      <c r="B1625" s="77"/>
      <c r="C1625" s="77"/>
      <c r="D1625" s="77"/>
      <c r="E1625" s="77"/>
      <c r="F1625" s="77"/>
      <c r="G1625" s="80"/>
    </row>
    <row r="1626">
      <c r="A1626" s="77"/>
      <c r="B1626" s="77"/>
      <c r="C1626" s="77"/>
      <c r="D1626" s="77"/>
      <c r="E1626" s="77"/>
      <c r="F1626" s="77"/>
      <c r="G1626" s="80"/>
    </row>
    <row r="1627">
      <c r="A1627" s="77"/>
      <c r="B1627" s="77"/>
      <c r="C1627" s="77"/>
      <c r="D1627" s="77"/>
      <c r="E1627" s="77"/>
      <c r="F1627" s="77"/>
      <c r="G1627" s="80"/>
    </row>
    <row r="1628">
      <c r="A1628" s="77"/>
      <c r="B1628" s="77"/>
      <c r="C1628" s="77"/>
      <c r="D1628" s="77"/>
      <c r="E1628" s="77"/>
      <c r="F1628" s="77"/>
      <c r="G1628" s="80"/>
    </row>
    <row r="1629">
      <c r="A1629" s="77"/>
      <c r="B1629" s="77"/>
      <c r="C1629" s="77"/>
      <c r="D1629" s="77"/>
      <c r="E1629" s="77"/>
      <c r="F1629" s="77"/>
      <c r="G1629" s="80"/>
    </row>
    <row r="1630">
      <c r="A1630" s="77"/>
      <c r="B1630" s="77"/>
      <c r="C1630" s="77"/>
      <c r="D1630" s="77"/>
      <c r="E1630" s="77"/>
      <c r="F1630" s="77"/>
      <c r="G1630" s="80"/>
    </row>
    <row r="1631">
      <c r="A1631" s="77"/>
      <c r="B1631" s="77"/>
      <c r="C1631" s="77"/>
      <c r="D1631" s="77"/>
      <c r="E1631" s="77"/>
      <c r="F1631" s="77"/>
      <c r="G1631" s="80"/>
    </row>
    <row r="1632">
      <c r="A1632" s="77"/>
      <c r="B1632" s="77"/>
      <c r="C1632" s="77"/>
      <c r="D1632" s="77"/>
      <c r="E1632" s="77"/>
      <c r="F1632" s="77"/>
      <c r="G1632" s="80"/>
    </row>
    <row r="1633">
      <c r="A1633" s="77"/>
      <c r="B1633" s="77"/>
      <c r="C1633" s="77"/>
      <c r="D1633" s="77"/>
      <c r="E1633" s="77"/>
      <c r="F1633" s="77"/>
      <c r="G1633" s="80"/>
    </row>
    <row r="1634">
      <c r="A1634" s="77"/>
      <c r="B1634" s="77"/>
      <c r="C1634" s="77"/>
      <c r="D1634" s="77"/>
      <c r="E1634" s="77"/>
      <c r="F1634" s="77"/>
      <c r="G1634" s="80"/>
    </row>
    <row r="1635">
      <c r="A1635" s="77"/>
      <c r="B1635" s="77"/>
      <c r="C1635" s="77"/>
      <c r="D1635" s="77"/>
      <c r="E1635" s="77"/>
      <c r="F1635" s="77"/>
      <c r="G1635" s="80"/>
    </row>
    <row r="1636">
      <c r="A1636" s="77"/>
      <c r="B1636" s="77"/>
      <c r="C1636" s="77"/>
      <c r="D1636" s="77"/>
      <c r="E1636" s="77"/>
      <c r="F1636" s="77"/>
      <c r="G1636" s="80"/>
    </row>
    <row r="1637">
      <c r="A1637" s="77"/>
      <c r="B1637" s="77"/>
      <c r="C1637" s="77"/>
      <c r="D1637" s="77"/>
      <c r="E1637" s="77"/>
      <c r="F1637" s="77"/>
      <c r="G1637" s="80"/>
    </row>
    <row r="1638">
      <c r="A1638" s="77"/>
      <c r="B1638" s="77"/>
      <c r="C1638" s="77"/>
      <c r="D1638" s="77"/>
      <c r="E1638" s="77"/>
      <c r="F1638" s="77"/>
      <c r="G1638" s="80"/>
    </row>
    <row r="1639">
      <c r="A1639" s="77"/>
      <c r="B1639" s="77"/>
      <c r="C1639" s="77"/>
      <c r="D1639" s="77"/>
      <c r="E1639" s="77"/>
      <c r="F1639" s="77"/>
      <c r="G1639" s="80"/>
    </row>
    <row r="1640">
      <c r="A1640" s="77"/>
      <c r="B1640" s="77"/>
      <c r="C1640" s="77"/>
      <c r="D1640" s="77"/>
      <c r="E1640" s="77"/>
      <c r="F1640" s="77"/>
      <c r="G1640" s="80"/>
    </row>
    <row r="1641">
      <c r="A1641" s="77"/>
      <c r="B1641" s="77"/>
      <c r="C1641" s="77"/>
      <c r="D1641" s="77"/>
      <c r="E1641" s="77"/>
      <c r="F1641" s="77"/>
      <c r="G1641" s="80"/>
    </row>
    <row r="1642">
      <c r="A1642" s="77"/>
      <c r="B1642" s="77"/>
      <c r="C1642" s="77"/>
      <c r="D1642" s="77"/>
      <c r="E1642" s="77"/>
      <c r="F1642" s="77"/>
      <c r="G1642" s="80"/>
    </row>
    <row r="1643">
      <c r="A1643" s="77"/>
      <c r="B1643" s="77"/>
      <c r="C1643" s="77"/>
      <c r="D1643" s="77"/>
      <c r="E1643" s="77"/>
      <c r="F1643" s="77"/>
      <c r="G1643" s="80"/>
    </row>
    <row r="1644">
      <c r="A1644" s="77"/>
      <c r="B1644" s="77"/>
      <c r="C1644" s="77"/>
      <c r="D1644" s="77"/>
      <c r="E1644" s="77"/>
      <c r="F1644" s="77"/>
      <c r="G1644" s="80"/>
    </row>
    <row r="1645">
      <c r="A1645" s="77"/>
      <c r="B1645" s="77"/>
      <c r="C1645" s="77"/>
      <c r="D1645" s="77"/>
      <c r="E1645" s="77"/>
      <c r="F1645" s="77"/>
      <c r="G1645" s="80"/>
    </row>
    <row r="1646">
      <c r="A1646" s="77"/>
      <c r="B1646" s="77"/>
      <c r="C1646" s="77"/>
      <c r="D1646" s="77"/>
      <c r="E1646" s="77"/>
      <c r="F1646" s="77"/>
      <c r="G1646" s="80"/>
    </row>
    <row r="1647">
      <c r="A1647" s="77"/>
      <c r="B1647" s="77"/>
      <c r="C1647" s="77"/>
      <c r="D1647" s="77"/>
      <c r="E1647" s="77"/>
      <c r="F1647" s="77"/>
      <c r="G1647" s="80"/>
    </row>
    <row r="1648">
      <c r="A1648" s="77"/>
      <c r="B1648" s="77"/>
      <c r="C1648" s="77"/>
      <c r="D1648" s="77"/>
      <c r="E1648" s="77"/>
      <c r="F1648" s="77"/>
      <c r="G1648" s="80"/>
    </row>
    <row r="1649">
      <c r="A1649" s="77"/>
      <c r="B1649" s="77"/>
      <c r="C1649" s="77"/>
      <c r="D1649" s="77"/>
      <c r="E1649" s="77"/>
      <c r="F1649" s="77"/>
      <c r="G1649" s="80"/>
    </row>
    <row r="1650">
      <c r="A1650" s="77"/>
      <c r="B1650" s="77"/>
      <c r="C1650" s="77"/>
      <c r="D1650" s="77"/>
      <c r="E1650" s="77"/>
      <c r="F1650" s="77"/>
      <c r="G1650" s="80"/>
    </row>
    <row r="1651">
      <c r="A1651" s="77"/>
      <c r="B1651" s="77"/>
      <c r="C1651" s="77"/>
      <c r="D1651" s="77"/>
      <c r="E1651" s="77"/>
      <c r="F1651" s="77"/>
      <c r="G1651" s="80"/>
    </row>
    <row r="1652">
      <c r="A1652" s="77"/>
      <c r="B1652" s="77"/>
      <c r="C1652" s="77"/>
      <c r="D1652" s="77"/>
      <c r="E1652" s="77"/>
      <c r="F1652" s="77"/>
      <c r="G1652" s="80"/>
    </row>
    <row r="1653">
      <c r="A1653" s="77"/>
      <c r="B1653" s="77"/>
      <c r="C1653" s="77"/>
      <c r="D1653" s="77"/>
      <c r="E1653" s="77"/>
      <c r="F1653" s="77"/>
      <c r="G1653" s="80"/>
    </row>
    <row r="1654">
      <c r="A1654" s="77"/>
      <c r="B1654" s="77"/>
      <c r="C1654" s="77"/>
      <c r="D1654" s="77"/>
      <c r="E1654" s="77"/>
      <c r="F1654" s="77"/>
      <c r="G1654" s="80"/>
    </row>
    <row r="1655">
      <c r="A1655" s="77"/>
      <c r="B1655" s="77"/>
      <c r="C1655" s="77"/>
      <c r="D1655" s="77"/>
      <c r="E1655" s="77"/>
      <c r="F1655" s="77"/>
      <c r="G1655" s="80"/>
    </row>
    <row r="1656">
      <c r="A1656" s="77"/>
      <c r="B1656" s="77"/>
      <c r="C1656" s="77"/>
      <c r="D1656" s="77"/>
      <c r="E1656" s="77"/>
      <c r="F1656" s="77"/>
      <c r="G1656" s="80"/>
    </row>
    <row r="1657">
      <c r="A1657" s="77"/>
      <c r="B1657" s="77"/>
      <c r="C1657" s="77"/>
      <c r="D1657" s="77"/>
      <c r="E1657" s="77"/>
      <c r="F1657" s="77"/>
      <c r="G1657" s="80"/>
    </row>
    <row r="1658">
      <c r="A1658" s="77"/>
      <c r="B1658" s="77"/>
      <c r="C1658" s="77"/>
      <c r="D1658" s="77"/>
      <c r="E1658" s="77"/>
      <c r="F1658" s="77"/>
      <c r="G1658" s="80"/>
    </row>
    <row r="1659">
      <c r="A1659" s="77"/>
      <c r="B1659" s="77"/>
      <c r="C1659" s="77"/>
      <c r="D1659" s="77"/>
      <c r="E1659" s="77"/>
      <c r="F1659" s="77"/>
      <c r="G1659" s="80"/>
    </row>
    <row r="1660">
      <c r="A1660" s="77"/>
      <c r="B1660" s="77"/>
      <c r="C1660" s="77"/>
      <c r="D1660" s="77"/>
      <c r="E1660" s="77"/>
      <c r="F1660" s="77"/>
      <c r="G1660" s="80"/>
    </row>
    <row r="1661">
      <c r="A1661" s="77"/>
      <c r="B1661" s="77"/>
      <c r="C1661" s="77"/>
      <c r="D1661" s="77"/>
      <c r="E1661" s="77"/>
      <c r="F1661" s="77"/>
      <c r="G1661" s="80"/>
    </row>
    <row r="1662">
      <c r="A1662" s="77"/>
      <c r="B1662" s="77"/>
      <c r="C1662" s="77"/>
      <c r="D1662" s="77"/>
      <c r="E1662" s="77"/>
      <c r="F1662" s="77"/>
      <c r="G1662" s="80"/>
    </row>
    <row r="1663">
      <c r="A1663" s="77"/>
      <c r="B1663" s="77"/>
      <c r="C1663" s="77"/>
      <c r="D1663" s="77"/>
      <c r="E1663" s="77"/>
      <c r="F1663" s="77"/>
      <c r="G1663" s="80"/>
    </row>
    <row r="1664">
      <c r="A1664" s="77"/>
      <c r="B1664" s="77"/>
      <c r="C1664" s="77"/>
      <c r="D1664" s="77"/>
      <c r="E1664" s="77"/>
      <c r="F1664" s="77"/>
      <c r="G1664" s="80"/>
    </row>
    <row r="1665">
      <c r="A1665" s="77"/>
      <c r="B1665" s="77"/>
      <c r="C1665" s="77"/>
      <c r="D1665" s="77"/>
      <c r="E1665" s="77"/>
      <c r="F1665" s="77"/>
      <c r="G1665" s="80"/>
    </row>
    <row r="1666">
      <c r="A1666" s="77"/>
      <c r="B1666" s="77"/>
      <c r="C1666" s="77"/>
      <c r="D1666" s="77"/>
      <c r="E1666" s="77"/>
      <c r="F1666" s="77"/>
      <c r="G1666" s="80"/>
    </row>
    <row r="1667">
      <c r="A1667" s="77"/>
      <c r="B1667" s="77"/>
      <c r="C1667" s="77"/>
      <c r="D1667" s="77"/>
      <c r="E1667" s="77"/>
      <c r="F1667" s="77"/>
      <c r="G1667" s="80"/>
    </row>
    <row r="1668">
      <c r="A1668" s="77"/>
      <c r="B1668" s="77"/>
      <c r="C1668" s="77"/>
      <c r="D1668" s="77"/>
      <c r="E1668" s="77"/>
      <c r="F1668" s="77"/>
      <c r="G1668" s="80"/>
    </row>
    <row r="1669">
      <c r="A1669" s="77"/>
      <c r="B1669" s="77"/>
      <c r="C1669" s="77"/>
      <c r="D1669" s="77"/>
      <c r="E1669" s="77"/>
      <c r="F1669" s="77"/>
      <c r="G1669" s="80"/>
    </row>
    <row r="1670">
      <c r="A1670" s="77"/>
      <c r="B1670" s="77"/>
      <c r="C1670" s="77"/>
      <c r="D1670" s="77"/>
      <c r="E1670" s="77"/>
      <c r="F1670" s="77"/>
      <c r="G1670" s="80"/>
    </row>
    <row r="1671">
      <c r="A1671" s="77"/>
      <c r="B1671" s="77"/>
      <c r="C1671" s="77"/>
      <c r="D1671" s="77"/>
      <c r="E1671" s="77"/>
      <c r="F1671" s="77"/>
      <c r="G1671" s="80"/>
    </row>
    <row r="1672">
      <c r="A1672" s="77"/>
      <c r="B1672" s="77"/>
      <c r="C1672" s="77"/>
      <c r="D1672" s="77"/>
      <c r="E1672" s="77"/>
      <c r="F1672" s="77"/>
      <c r="G1672" s="80"/>
    </row>
    <row r="1673">
      <c r="A1673" s="77"/>
      <c r="B1673" s="77"/>
      <c r="C1673" s="77"/>
      <c r="D1673" s="77"/>
      <c r="E1673" s="77"/>
      <c r="F1673" s="77"/>
      <c r="G1673" s="80"/>
    </row>
    <row r="1674">
      <c r="A1674" s="77"/>
      <c r="B1674" s="77"/>
      <c r="C1674" s="77"/>
      <c r="D1674" s="77"/>
      <c r="E1674" s="77"/>
      <c r="F1674" s="77"/>
      <c r="G1674" s="80"/>
    </row>
    <row r="1675">
      <c r="A1675" s="77"/>
      <c r="B1675" s="77"/>
      <c r="C1675" s="77"/>
      <c r="D1675" s="77"/>
      <c r="E1675" s="77"/>
      <c r="F1675" s="77"/>
      <c r="G1675" s="80"/>
    </row>
    <row r="1676">
      <c r="A1676" s="77"/>
      <c r="B1676" s="77"/>
      <c r="C1676" s="77"/>
      <c r="D1676" s="77"/>
      <c r="E1676" s="77"/>
      <c r="F1676" s="77"/>
      <c r="G1676" s="80"/>
    </row>
    <row r="1677">
      <c r="A1677" s="77"/>
      <c r="B1677" s="77"/>
      <c r="C1677" s="77"/>
      <c r="D1677" s="77"/>
      <c r="E1677" s="77"/>
      <c r="F1677" s="77"/>
      <c r="G1677" s="80"/>
    </row>
    <row r="1678">
      <c r="A1678" s="77"/>
      <c r="B1678" s="77"/>
      <c r="C1678" s="77"/>
      <c r="D1678" s="77"/>
      <c r="E1678" s="77"/>
      <c r="F1678" s="77"/>
      <c r="G1678" s="80"/>
    </row>
    <row r="1679">
      <c r="A1679" s="77"/>
      <c r="B1679" s="77"/>
      <c r="C1679" s="77"/>
      <c r="D1679" s="77"/>
      <c r="E1679" s="77"/>
      <c r="F1679" s="77"/>
      <c r="G1679" s="80"/>
    </row>
    <row r="1680">
      <c r="A1680" s="77"/>
      <c r="B1680" s="77"/>
      <c r="C1680" s="77"/>
      <c r="D1680" s="77"/>
      <c r="E1680" s="77"/>
      <c r="F1680" s="77"/>
      <c r="G1680" s="80"/>
    </row>
    <row r="1681">
      <c r="A1681" s="77"/>
      <c r="B1681" s="77"/>
      <c r="C1681" s="77"/>
      <c r="D1681" s="77"/>
      <c r="E1681" s="77"/>
      <c r="F1681" s="77"/>
      <c r="G1681" s="80"/>
    </row>
    <row r="1682">
      <c r="A1682" s="77"/>
      <c r="B1682" s="77"/>
      <c r="C1682" s="77"/>
      <c r="D1682" s="77"/>
      <c r="E1682" s="77"/>
      <c r="F1682" s="77"/>
      <c r="G1682" s="80"/>
    </row>
    <row r="1683">
      <c r="A1683" s="77"/>
      <c r="B1683" s="77"/>
      <c r="C1683" s="77"/>
      <c r="D1683" s="77"/>
      <c r="E1683" s="77"/>
      <c r="F1683" s="77"/>
      <c r="G1683" s="80"/>
    </row>
    <row r="1684">
      <c r="A1684" s="77"/>
      <c r="B1684" s="77"/>
      <c r="C1684" s="77"/>
      <c r="D1684" s="77"/>
      <c r="E1684" s="77"/>
      <c r="F1684" s="77"/>
      <c r="G1684" s="80"/>
    </row>
    <row r="1685">
      <c r="A1685" s="77"/>
      <c r="B1685" s="77"/>
      <c r="C1685" s="77"/>
      <c r="D1685" s="77"/>
      <c r="E1685" s="77"/>
      <c r="F1685" s="77"/>
      <c r="G1685" s="80"/>
    </row>
    <row r="1686">
      <c r="A1686" s="77"/>
      <c r="B1686" s="77"/>
      <c r="C1686" s="77"/>
      <c r="D1686" s="77"/>
      <c r="E1686" s="77"/>
      <c r="F1686" s="77"/>
      <c r="G1686" s="80"/>
    </row>
    <row r="1687">
      <c r="A1687" s="77"/>
      <c r="B1687" s="77"/>
      <c r="C1687" s="77"/>
      <c r="D1687" s="77"/>
      <c r="E1687" s="77"/>
      <c r="F1687" s="77"/>
      <c r="G1687" s="80"/>
    </row>
    <row r="1688">
      <c r="A1688" s="77"/>
      <c r="B1688" s="77"/>
      <c r="C1688" s="77"/>
      <c r="D1688" s="77"/>
      <c r="E1688" s="77"/>
      <c r="F1688" s="77"/>
      <c r="G1688" s="80"/>
    </row>
    <row r="1689">
      <c r="A1689" s="77"/>
      <c r="B1689" s="77"/>
      <c r="C1689" s="77"/>
      <c r="D1689" s="77"/>
      <c r="E1689" s="77"/>
      <c r="F1689" s="77"/>
      <c r="G1689" s="80"/>
    </row>
    <row r="1690">
      <c r="A1690" s="77"/>
      <c r="B1690" s="77"/>
      <c r="C1690" s="77"/>
      <c r="D1690" s="77"/>
      <c r="E1690" s="77"/>
      <c r="F1690" s="77"/>
      <c r="G1690" s="80"/>
    </row>
    <row r="1691">
      <c r="A1691" s="77"/>
      <c r="B1691" s="77"/>
      <c r="C1691" s="77"/>
      <c r="D1691" s="77"/>
      <c r="E1691" s="77"/>
      <c r="F1691" s="77"/>
      <c r="G1691" s="80"/>
    </row>
    <row r="1692">
      <c r="A1692" s="77"/>
      <c r="B1692" s="77"/>
      <c r="C1692" s="77"/>
      <c r="D1692" s="77"/>
      <c r="E1692" s="77"/>
      <c r="F1692" s="77"/>
      <c r="G1692" s="80"/>
    </row>
    <row r="1693">
      <c r="A1693" s="77"/>
      <c r="B1693" s="77"/>
      <c r="C1693" s="77"/>
      <c r="D1693" s="77"/>
      <c r="E1693" s="77"/>
      <c r="F1693" s="77"/>
      <c r="G1693" s="80"/>
    </row>
    <row r="1694">
      <c r="A1694" s="77"/>
      <c r="B1694" s="77"/>
      <c r="C1694" s="77"/>
      <c r="D1694" s="77"/>
      <c r="E1694" s="77"/>
      <c r="F1694" s="77"/>
      <c r="G1694" s="80"/>
    </row>
    <row r="1695">
      <c r="A1695" s="77"/>
      <c r="B1695" s="77"/>
      <c r="C1695" s="77"/>
      <c r="D1695" s="77"/>
      <c r="E1695" s="77"/>
      <c r="F1695" s="77"/>
      <c r="G1695" s="80"/>
    </row>
    <row r="1696">
      <c r="A1696" s="77"/>
      <c r="B1696" s="77"/>
      <c r="C1696" s="77"/>
      <c r="D1696" s="77"/>
      <c r="E1696" s="77"/>
      <c r="F1696" s="77"/>
      <c r="G1696" s="80"/>
    </row>
    <row r="1697">
      <c r="A1697" s="77"/>
      <c r="B1697" s="77"/>
      <c r="C1697" s="77"/>
      <c r="D1697" s="77"/>
      <c r="E1697" s="77"/>
      <c r="F1697" s="77"/>
      <c r="G1697" s="80"/>
    </row>
    <row r="1698">
      <c r="A1698" s="77"/>
      <c r="B1698" s="77"/>
      <c r="C1698" s="77"/>
      <c r="D1698" s="77"/>
      <c r="E1698" s="77"/>
      <c r="F1698" s="77"/>
      <c r="G1698" s="80"/>
    </row>
    <row r="1699">
      <c r="A1699" s="77"/>
      <c r="B1699" s="77"/>
      <c r="C1699" s="77"/>
      <c r="D1699" s="77"/>
      <c r="E1699" s="77"/>
      <c r="F1699" s="77"/>
      <c r="G1699" s="80"/>
    </row>
    <row r="1700">
      <c r="A1700" s="77"/>
      <c r="B1700" s="77"/>
      <c r="C1700" s="77"/>
      <c r="D1700" s="77"/>
      <c r="E1700" s="77"/>
      <c r="F1700" s="77"/>
      <c r="G1700" s="80"/>
    </row>
    <row r="1701">
      <c r="A1701" s="77"/>
      <c r="B1701" s="77"/>
      <c r="C1701" s="77"/>
      <c r="D1701" s="77"/>
      <c r="E1701" s="77"/>
      <c r="F1701" s="77"/>
      <c r="G1701" s="80"/>
    </row>
    <row r="1702">
      <c r="A1702" s="77"/>
      <c r="B1702" s="77"/>
      <c r="C1702" s="77"/>
      <c r="D1702" s="77"/>
      <c r="E1702" s="77"/>
      <c r="F1702" s="77"/>
      <c r="G1702" s="80"/>
    </row>
    <row r="1703">
      <c r="A1703" s="77"/>
      <c r="B1703" s="77"/>
      <c r="C1703" s="77"/>
      <c r="D1703" s="77"/>
      <c r="E1703" s="77"/>
      <c r="F1703" s="77"/>
      <c r="G1703" s="80"/>
    </row>
    <row r="1704">
      <c r="A1704" s="77"/>
      <c r="B1704" s="77"/>
      <c r="C1704" s="77"/>
      <c r="D1704" s="77"/>
      <c r="E1704" s="77"/>
      <c r="F1704" s="77"/>
      <c r="G1704" s="80"/>
    </row>
    <row r="1705">
      <c r="A1705" s="77"/>
      <c r="B1705" s="77"/>
      <c r="C1705" s="77"/>
      <c r="D1705" s="77"/>
      <c r="E1705" s="77"/>
      <c r="F1705" s="77"/>
      <c r="G1705" s="80"/>
    </row>
    <row r="1706">
      <c r="A1706" s="77"/>
      <c r="B1706" s="77"/>
      <c r="C1706" s="77"/>
      <c r="D1706" s="77"/>
      <c r="E1706" s="77"/>
      <c r="F1706" s="77"/>
      <c r="G1706" s="80"/>
    </row>
    <row r="1707">
      <c r="A1707" s="77"/>
      <c r="B1707" s="77"/>
      <c r="C1707" s="77"/>
      <c r="D1707" s="77"/>
      <c r="E1707" s="77"/>
      <c r="F1707" s="77"/>
      <c r="G1707" s="80"/>
    </row>
    <row r="1708">
      <c r="A1708" s="77"/>
      <c r="B1708" s="77"/>
      <c r="C1708" s="77"/>
      <c r="D1708" s="77"/>
      <c r="E1708" s="77"/>
      <c r="F1708" s="77"/>
      <c r="G1708" s="80"/>
    </row>
    <row r="1709">
      <c r="A1709" s="77"/>
      <c r="B1709" s="77"/>
      <c r="C1709" s="77"/>
      <c r="D1709" s="77"/>
      <c r="E1709" s="77"/>
      <c r="F1709" s="77"/>
      <c r="G1709" s="80"/>
    </row>
    <row r="1710">
      <c r="A1710" s="77"/>
      <c r="B1710" s="77"/>
      <c r="C1710" s="77"/>
      <c r="D1710" s="77"/>
      <c r="E1710" s="77"/>
      <c r="F1710" s="77"/>
      <c r="G1710" s="80"/>
    </row>
    <row r="1711">
      <c r="A1711" s="77"/>
      <c r="B1711" s="77"/>
      <c r="C1711" s="77"/>
      <c r="D1711" s="77"/>
      <c r="E1711" s="77"/>
      <c r="F1711" s="77"/>
      <c r="G1711" s="80"/>
    </row>
    <row r="1712">
      <c r="A1712" s="77"/>
      <c r="B1712" s="77"/>
      <c r="C1712" s="77"/>
      <c r="D1712" s="77"/>
      <c r="E1712" s="77"/>
      <c r="F1712" s="77"/>
      <c r="G1712" s="80"/>
    </row>
    <row r="1713">
      <c r="A1713" s="77"/>
      <c r="B1713" s="77"/>
      <c r="C1713" s="77"/>
      <c r="D1713" s="77"/>
      <c r="E1713" s="77"/>
      <c r="F1713" s="77"/>
      <c r="G1713" s="80"/>
    </row>
    <row r="1714">
      <c r="A1714" s="77"/>
      <c r="B1714" s="77"/>
      <c r="C1714" s="77"/>
      <c r="D1714" s="77"/>
      <c r="E1714" s="77"/>
      <c r="F1714" s="77"/>
      <c r="G1714" s="80"/>
    </row>
    <row r="1715">
      <c r="A1715" s="77"/>
      <c r="B1715" s="77"/>
      <c r="C1715" s="77"/>
      <c r="D1715" s="77"/>
      <c r="E1715" s="77"/>
      <c r="F1715" s="77"/>
      <c r="G1715" s="80"/>
    </row>
    <row r="1716">
      <c r="A1716" s="77"/>
      <c r="B1716" s="77"/>
      <c r="C1716" s="77"/>
      <c r="D1716" s="77"/>
      <c r="E1716" s="77"/>
      <c r="F1716" s="77"/>
      <c r="G1716" s="80"/>
    </row>
    <row r="1717">
      <c r="A1717" s="77"/>
      <c r="B1717" s="77"/>
      <c r="C1717" s="77"/>
      <c r="D1717" s="77"/>
      <c r="E1717" s="77"/>
      <c r="F1717" s="77"/>
      <c r="G1717" s="80"/>
    </row>
    <row r="1718">
      <c r="A1718" s="77"/>
      <c r="B1718" s="77"/>
      <c r="C1718" s="77"/>
      <c r="D1718" s="77"/>
      <c r="E1718" s="77"/>
      <c r="F1718" s="77"/>
      <c r="G1718" s="80"/>
    </row>
    <row r="1719">
      <c r="A1719" s="77"/>
      <c r="B1719" s="77"/>
      <c r="C1719" s="77"/>
      <c r="D1719" s="77"/>
      <c r="E1719" s="77"/>
      <c r="F1719" s="77"/>
      <c r="G1719" s="80"/>
    </row>
    <row r="1720">
      <c r="A1720" s="77"/>
      <c r="B1720" s="77"/>
      <c r="C1720" s="77"/>
      <c r="D1720" s="77"/>
      <c r="E1720" s="77"/>
      <c r="F1720" s="77"/>
      <c r="G1720" s="80"/>
    </row>
    <row r="1721">
      <c r="A1721" s="77"/>
      <c r="B1721" s="77"/>
      <c r="C1721" s="77"/>
      <c r="D1721" s="77"/>
      <c r="E1721" s="77"/>
      <c r="F1721" s="77"/>
      <c r="G1721" s="80"/>
    </row>
    <row r="1722">
      <c r="A1722" s="77"/>
      <c r="B1722" s="77"/>
      <c r="C1722" s="77"/>
      <c r="D1722" s="77"/>
      <c r="E1722" s="77"/>
      <c r="F1722" s="77"/>
      <c r="G1722" s="80"/>
    </row>
    <row r="1723">
      <c r="A1723" s="77"/>
      <c r="B1723" s="77"/>
      <c r="C1723" s="77"/>
      <c r="D1723" s="77"/>
      <c r="E1723" s="77"/>
      <c r="F1723" s="77"/>
      <c r="G1723" s="80"/>
    </row>
    <row r="1724">
      <c r="A1724" s="77"/>
      <c r="B1724" s="77"/>
      <c r="C1724" s="77"/>
      <c r="D1724" s="77"/>
      <c r="E1724" s="77"/>
      <c r="F1724" s="77"/>
      <c r="G1724" s="80"/>
    </row>
    <row r="1725">
      <c r="A1725" s="77"/>
      <c r="B1725" s="77"/>
      <c r="C1725" s="77"/>
      <c r="D1725" s="77"/>
      <c r="E1725" s="77"/>
      <c r="F1725" s="77"/>
      <c r="G1725" s="80"/>
    </row>
    <row r="1726">
      <c r="A1726" s="77"/>
      <c r="B1726" s="77"/>
      <c r="C1726" s="77"/>
      <c r="D1726" s="77"/>
      <c r="E1726" s="77"/>
      <c r="F1726" s="77"/>
      <c r="G1726" s="80"/>
    </row>
    <row r="1727">
      <c r="A1727" s="77"/>
      <c r="B1727" s="77"/>
      <c r="C1727" s="77"/>
      <c r="D1727" s="77"/>
      <c r="E1727" s="77"/>
      <c r="F1727" s="77"/>
      <c r="G1727" s="80"/>
    </row>
    <row r="1728">
      <c r="A1728" s="77"/>
      <c r="B1728" s="77"/>
      <c r="C1728" s="77"/>
      <c r="D1728" s="77"/>
      <c r="E1728" s="77"/>
      <c r="F1728" s="77"/>
      <c r="G1728" s="80"/>
    </row>
    <row r="1729">
      <c r="A1729" s="77"/>
      <c r="B1729" s="77"/>
      <c r="C1729" s="77"/>
      <c r="D1729" s="77"/>
      <c r="E1729" s="77"/>
      <c r="F1729" s="77"/>
      <c r="G1729" s="80"/>
    </row>
    <row r="1730">
      <c r="A1730" s="77"/>
      <c r="B1730" s="77"/>
      <c r="C1730" s="77"/>
      <c r="D1730" s="77"/>
      <c r="E1730" s="77"/>
      <c r="F1730" s="77"/>
      <c r="G1730" s="80"/>
    </row>
    <row r="1731">
      <c r="A1731" s="77"/>
      <c r="B1731" s="77"/>
      <c r="C1731" s="77"/>
      <c r="D1731" s="77"/>
      <c r="E1731" s="77"/>
      <c r="F1731" s="77"/>
      <c r="G1731" s="80"/>
    </row>
    <row r="1732">
      <c r="A1732" s="77"/>
      <c r="B1732" s="77"/>
      <c r="C1732" s="77"/>
      <c r="D1732" s="77"/>
      <c r="E1732" s="77"/>
      <c r="F1732" s="77"/>
      <c r="G1732" s="80"/>
    </row>
    <row r="1733">
      <c r="A1733" s="77"/>
      <c r="B1733" s="77"/>
      <c r="C1733" s="77"/>
      <c r="D1733" s="77"/>
      <c r="E1733" s="77"/>
      <c r="F1733" s="77"/>
      <c r="G1733" s="80"/>
    </row>
    <row r="1734">
      <c r="A1734" s="77"/>
      <c r="B1734" s="77"/>
      <c r="C1734" s="77"/>
      <c r="D1734" s="77"/>
      <c r="E1734" s="77"/>
      <c r="F1734" s="77"/>
      <c r="G1734" s="80"/>
    </row>
    <row r="1735">
      <c r="A1735" s="77"/>
      <c r="B1735" s="77"/>
      <c r="C1735" s="77"/>
      <c r="D1735" s="77"/>
      <c r="E1735" s="77"/>
      <c r="F1735" s="77"/>
      <c r="G1735" s="80"/>
    </row>
    <row r="1736">
      <c r="A1736" s="77"/>
      <c r="B1736" s="77"/>
      <c r="C1736" s="77"/>
      <c r="D1736" s="77"/>
      <c r="E1736" s="77"/>
      <c r="F1736" s="77"/>
      <c r="G1736" s="80"/>
    </row>
    <row r="1737">
      <c r="A1737" s="77"/>
      <c r="B1737" s="77"/>
      <c r="C1737" s="77"/>
      <c r="D1737" s="77"/>
      <c r="E1737" s="77"/>
      <c r="F1737" s="77"/>
      <c r="G1737" s="80"/>
    </row>
    <row r="1738">
      <c r="A1738" s="77"/>
      <c r="B1738" s="77"/>
      <c r="C1738" s="77"/>
      <c r="D1738" s="77"/>
      <c r="E1738" s="77"/>
      <c r="F1738" s="77"/>
      <c r="G1738" s="80"/>
    </row>
    <row r="1739">
      <c r="A1739" s="77"/>
      <c r="B1739" s="77"/>
      <c r="C1739" s="77"/>
      <c r="D1739" s="77"/>
      <c r="E1739" s="77"/>
      <c r="F1739" s="77"/>
      <c r="G1739" s="80"/>
    </row>
    <row r="1740">
      <c r="A1740" s="77"/>
      <c r="B1740" s="77"/>
      <c r="C1740" s="77"/>
      <c r="D1740" s="77"/>
      <c r="E1740" s="77"/>
      <c r="F1740" s="77"/>
      <c r="G1740" s="80"/>
    </row>
    <row r="1741">
      <c r="A1741" s="77"/>
      <c r="B1741" s="77"/>
      <c r="C1741" s="77"/>
      <c r="D1741" s="77"/>
      <c r="E1741" s="77"/>
      <c r="F1741" s="77"/>
      <c r="G1741" s="80"/>
    </row>
    <row r="1742">
      <c r="A1742" s="77"/>
      <c r="B1742" s="77"/>
      <c r="C1742" s="77"/>
      <c r="D1742" s="77"/>
      <c r="E1742" s="77"/>
      <c r="F1742" s="77"/>
      <c r="G1742" s="80"/>
    </row>
    <row r="1743">
      <c r="A1743" s="77"/>
      <c r="B1743" s="77"/>
      <c r="C1743" s="77"/>
      <c r="D1743" s="77"/>
      <c r="E1743" s="77"/>
      <c r="F1743" s="77"/>
      <c r="G1743" s="80"/>
    </row>
    <row r="1744">
      <c r="A1744" s="77"/>
      <c r="B1744" s="77"/>
      <c r="C1744" s="77"/>
      <c r="D1744" s="77"/>
      <c r="E1744" s="77"/>
      <c r="F1744" s="77"/>
      <c r="G1744" s="80"/>
    </row>
    <row r="1745">
      <c r="A1745" s="77"/>
      <c r="B1745" s="77"/>
      <c r="C1745" s="77"/>
      <c r="D1745" s="77"/>
      <c r="E1745" s="77"/>
      <c r="F1745" s="77"/>
      <c r="G1745" s="80"/>
    </row>
    <row r="1746">
      <c r="A1746" s="77"/>
      <c r="B1746" s="77"/>
      <c r="C1746" s="77"/>
      <c r="D1746" s="77"/>
      <c r="E1746" s="77"/>
      <c r="F1746" s="77"/>
      <c r="G1746" s="80"/>
    </row>
    <row r="1747">
      <c r="A1747" s="77"/>
      <c r="B1747" s="77"/>
      <c r="C1747" s="77"/>
      <c r="D1747" s="77"/>
      <c r="E1747" s="77"/>
      <c r="F1747" s="77"/>
      <c r="G1747" s="80"/>
    </row>
    <row r="1748">
      <c r="A1748" s="77"/>
      <c r="B1748" s="77"/>
      <c r="C1748" s="77"/>
      <c r="D1748" s="77"/>
      <c r="E1748" s="77"/>
      <c r="F1748" s="77"/>
      <c r="G1748" s="80"/>
    </row>
    <row r="1749">
      <c r="A1749" s="77"/>
      <c r="B1749" s="77"/>
      <c r="C1749" s="77"/>
      <c r="D1749" s="77"/>
      <c r="E1749" s="77"/>
      <c r="F1749" s="77"/>
      <c r="G1749" s="80"/>
    </row>
    <row r="1750">
      <c r="A1750" s="77"/>
      <c r="B1750" s="77"/>
      <c r="C1750" s="77"/>
      <c r="D1750" s="77"/>
      <c r="E1750" s="77"/>
      <c r="F1750" s="77"/>
      <c r="G1750" s="80"/>
    </row>
    <row r="1751">
      <c r="A1751" s="77"/>
      <c r="B1751" s="77"/>
      <c r="C1751" s="77"/>
      <c r="D1751" s="77"/>
      <c r="E1751" s="77"/>
      <c r="F1751" s="77"/>
      <c r="G1751" s="80"/>
    </row>
    <row r="1752">
      <c r="A1752" s="77"/>
      <c r="B1752" s="77"/>
      <c r="C1752" s="77"/>
      <c r="D1752" s="77"/>
      <c r="E1752" s="77"/>
      <c r="F1752" s="77"/>
      <c r="G1752" s="80"/>
    </row>
    <row r="1753">
      <c r="A1753" s="77"/>
      <c r="B1753" s="77"/>
      <c r="C1753" s="77"/>
      <c r="D1753" s="77"/>
      <c r="E1753" s="77"/>
      <c r="F1753" s="77"/>
      <c r="G1753" s="80"/>
    </row>
    <row r="1754">
      <c r="A1754" s="77"/>
      <c r="B1754" s="77"/>
      <c r="C1754" s="77"/>
      <c r="D1754" s="77"/>
      <c r="E1754" s="77"/>
      <c r="F1754" s="77"/>
      <c r="G1754" s="80"/>
    </row>
    <row r="1755">
      <c r="A1755" s="77"/>
      <c r="B1755" s="77"/>
      <c r="C1755" s="77"/>
      <c r="D1755" s="77"/>
      <c r="E1755" s="77"/>
      <c r="F1755" s="77"/>
      <c r="G1755" s="80"/>
    </row>
    <row r="1756">
      <c r="A1756" s="77"/>
      <c r="B1756" s="77"/>
      <c r="C1756" s="77"/>
      <c r="D1756" s="77"/>
      <c r="E1756" s="77"/>
      <c r="F1756" s="77"/>
      <c r="G1756" s="80"/>
    </row>
    <row r="1757">
      <c r="A1757" s="77"/>
      <c r="B1757" s="77"/>
      <c r="C1757" s="77"/>
      <c r="D1757" s="77"/>
      <c r="E1757" s="77"/>
      <c r="F1757" s="77"/>
      <c r="G1757" s="80"/>
    </row>
    <row r="1758">
      <c r="A1758" s="77"/>
      <c r="B1758" s="77"/>
      <c r="C1758" s="77"/>
      <c r="D1758" s="77"/>
      <c r="E1758" s="77"/>
      <c r="F1758" s="77"/>
      <c r="G1758" s="80"/>
    </row>
    <row r="1759">
      <c r="A1759" s="77"/>
      <c r="B1759" s="77"/>
      <c r="C1759" s="77"/>
      <c r="D1759" s="77"/>
      <c r="E1759" s="77"/>
      <c r="F1759" s="77"/>
      <c r="G1759" s="80"/>
    </row>
    <row r="1760">
      <c r="A1760" s="77"/>
      <c r="B1760" s="77"/>
      <c r="C1760" s="77"/>
      <c r="D1760" s="77"/>
      <c r="E1760" s="77"/>
      <c r="F1760" s="77"/>
      <c r="G1760" s="80"/>
    </row>
    <row r="1761">
      <c r="A1761" s="77"/>
      <c r="B1761" s="77"/>
      <c r="C1761" s="77"/>
      <c r="D1761" s="77"/>
      <c r="E1761" s="77"/>
      <c r="F1761" s="77"/>
      <c r="G1761" s="80"/>
    </row>
    <row r="1762">
      <c r="A1762" s="77"/>
      <c r="B1762" s="77"/>
      <c r="C1762" s="77"/>
      <c r="D1762" s="77"/>
      <c r="E1762" s="77"/>
      <c r="F1762" s="77"/>
      <c r="G1762" s="80"/>
    </row>
    <row r="1763">
      <c r="A1763" s="77"/>
      <c r="B1763" s="77"/>
      <c r="C1763" s="77"/>
      <c r="D1763" s="77"/>
      <c r="E1763" s="77"/>
      <c r="F1763" s="77"/>
      <c r="G1763" s="80"/>
    </row>
    <row r="1764">
      <c r="A1764" s="77"/>
      <c r="B1764" s="77"/>
      <c r="C1764" s="77"/>
      <c r="D1764" s="77"/>
      <c r="E1764" s="77"/>
      <c r="F1764" s="77"/>
      <c r="G1764" s="80"/>
    </row>
    <row r="1765">
      <c r="A1765" s="77"/>
      <c r="B1765" s="77"/>
      <c r="C1765" s="77"/>
      <c r="D1765" s="77"/>
      <c r="E1765" s="77"/>
      <c r="F1765" s="77"/>
      <c r="G1765" s="80"/>
    </row>
    <row r="1766">
      <c r="A1766" s="77"/>
      <c r="B1766" s="77"/>
      <c r="C1766" s="77"/>
      <c r="D1766" s="77"/>
      <c r="E1766" s="77"/>
      <c r="F1766" s="77"/>
      <c r="G1766" s="80"/>
    </row>
    <row r="1767">
      <c r="A1767" s="77"/>
      <c r="B1767" s="77"/>
      <c r="C1767" s="77"/>
      <c r="D1767" s="77"/>
      <c r="E1767" s="77"/>
      <c r="F1767" s="77"/>
      <c r="G1767" s="80"/>
    </row>
    <row r="1768">
      <c r="A1768" s="77"/>
      <c r="B1768" s="77"/>
      <c r="C1768" s="77"/>
      <c r="D1768" s="77"/>
      <c r="E1768" s="77"/>
      <c r="F1768" s="77"/>
      <c r="G1768" s="80"/>
    </row>
    <row r="1769">
      <c r="A1769" s="77"/>
      <c r="B1769" s="77"/>
      <c r="C1769" s="77"/>
      <c r="D1769" s="77"/>
      <c r="E1769" s="77"/>
      <c r="F1769" s="77"/>
      <c r="G1769" s="80"/>
    </row>
    <row r="1770">
      <c r="A1770" s="77"/>
      <c r="B1770" s="77"/>
      <c r="C1770" s="77"/>
      <c r="D1770" s="77"/>
      <c r="E1770" s="77"/>
      <c r="F1770" s="77"/>
      <c r="G1770" s="80"/>
    </row>
    <row r="1771">
      <c r="A1771" s="77"/>
      <c r="B1771" s="77"/>
      <c r="C1771" s="77"/>
      <c r="D1771" s="77"/>
      <c r="E1771" s="77"/>
      <c r="F1771" s="77"/>
      <c r="G1771" s="80"/>
    </row>
    <row r="1772">
      <c r="A1772" s="77"/>
      <c r="B1772" s="77"/>
      <c r="C1772" s="77"/>
      <c r="D1772" s="77"/>
      <c r="E1772" s="77"/>
      <c r="F1772" s="77"/>
      <c r="G1772" s="80"/>
    </row>
    <row r="1773">
      <c r="A1773" s="77"/>
      <c r="B1773" s="77"/>
      <c r="C1773" s="77"/>
      <c r="D1773" s="77"/>
      <c r="E1773" s="77"/>
      <c r="F1773" s="77"/>
      <c r="G1773" s="80"/>
    </row>
    <row r="1774">
      <c r="A1774" s="77"/>
      <c r="B1774" s="77"/>
      <c r="C1774" s="77"/>
      <c r="D1774" s="77"/>
      <c r="E1774" s="77"/>
      <c r="F1774" s="77"/>
      <c r="G1774" s="80"/>
    </row>
    <row r="1775">
      <c r="A1775" s="77"/>
      <c r="B1775" s="77"/>
      <c r="C1775" s="77"/>
      <c r="D1775" s="77"/>
      <c r="E1775" s="77"/>
      <c r="F1775" s="77"/>
      <c r="G1775" s="80"/>
    </row>
    <row r="1776">
      <c r="A1776" s="77"/>
      <c r="B1776" s="77"/>
      <c r="C1776" s="77"/>
      <c r="D1776" s="77"/>
      <c r="E1776" s="77"/>
      <c r="F1776" s="77"/>
      <c r="G1776" s="80"/>
    </row>
    <row r="1777">
      <c r="A1777" s="77"/>
      <c r="B1777" s="77"/>
      <c r="C1777" s="77"/>
      <c r="D1777" s="77"/>
      <c r="E1777" s="77"/>
      <c r="F1777" s="77"/>
      <c r="G1777" s="80"/>
    </row>
    <row r="1778">
      <c r="A1778" s="77"/>
      <c r="B1778" s="77"/>
      <c r="C1778" s="77"/>
      <c r="D1778" s="77"/>
      <c r="E1778" s="77"/>
      <c r="F1778" s="77"/>
      <c r="G1778" s="80"/>
    </row>
    <row r="1779">
      <c r="A1779" s="77"/>
      <c r="B1779" s="77"/>
      <c r="C1779" s="77"/>
      <c r="D1779" s="77"/>
      <c r="E1779" s="77"/>
      <c r="F1779" s="77"/>
      <c r="G1779" s="80"/>
    </row>
    <row r="1780">
      <c r="A1780" s="77"/>
      <c r="B1780" s="77"/>
      <c r="C1780" s="77"/>
      <c r="D1780" s="77"/>
      <c r="E1780" s="77"/>
      <c r="F1780" s="77"/>
      <c r="G1780" s="80"/>
    </row>
    <row r="1781">
      <c r="A1781" s="77"/>
      <c r="B1781" s="77"/>
      <c r="C1781" s="77"/>
      <c r="D1781" s="77"/>
      <c r="E1781" s="77"/>
      <c r="F1781" s="77"/>
      <c r="G1781" s="80"/>
    </row>
    <row r="1782">
      <c r="A1782" s="77"/>
      <c r="B1782" s="77"/>
      <c r="C1782" s="77"/>
      <c r="D1782" s="77"/>
      <c r="E1782" s="77"/>
      <c r="F1782" s="77"/>
      <c r="G1782" s="80"/>
    </row>
    <row r="1783">
      <c r="A1783" s="77"/>
      <c r="B1783" s="77"/>
      <c r="C1783" s="77"/>
      <c r="D1783" s="77"/>
      <c r="E1783" s="77"/>
      <c r="F1783" s="77"/>
      <c r="G1783" s="80"/>
    </row>
    <row r="1784">
      <c r="A1784" s="77"/>
      <c r="B1784" s="77"/>
      <c r="C1784" s="77"/>
      <c r="D1784" s="77"/>
      <c r="E1784" s="77"/>
      <c r="F1784" s="77"/>
      <c r="G1784" s="80"/>
    </row>
    <row r="1785">
      <c r="A1785" s="77"/>
      <c r="B1785" s="77"/>
      <c r="C1785" s="77"/>
      <c r="D1785" s="77"/>
      <c r="E1785" s="77"/>
      <c r="F1785" s="77"/>
      <c r="G1785" s="80"/>
    </row>
    <row r="1786">
      <c r="A1786" s="77"/>
      <c r="B1786" s="77"/>
      <c r="C1786" s="77"/>
      <c r="D1786" s="77"/>
      <c r="E1786" s="77"/>
      <c r="F1786" s="77"/>
      <c r="G1786" s="80"/>
    </row>
    <row r="1787">
      <c r="A1787" s="77"/>
      <c r="B1787" s="77"/>
      <c r="C1787" s="77"/>
      <c r="D1787" s="77"/>
      <c r="E1787" s="77"/>
      <c r="F1787" s="77"/>
      <c r="G1787" s="80"/>
    </row>
    <row r="1788">
      <c r="A1788" s="77"/>
      <c r="B1788" s="77"/>
      <c r="C1788" s="77"/>
      <c r="D1788" s="77"/>
      <c r="E1788" s="77"/>
      <c r="F1788" s="77"/>
      <c r="G1788" s="80"/>
    </row>
    <row r="1789">
      <c r="A1789" s="77"/>
      <c r="B1789" s="77"/>
      <c r="C1789" s="77"/>
      <c r="D1789" s="77"/>
      <c r="E1789" s="77"/>
      <c r="F1789" s="77"/>
      <c r="G1789" s="80"/>
    </row>
    <row r="1790">
      <c r="A1790" s="77"/>
      <c r="B1790" s="77"/>
      <c r="C1790" s="77"/>
      <c r="D1790" s="77"/>
      <c r="E1790" s="77"/>
      <c r="F1790" s="77"/>
      <c r="G1790" s="80"/>
    </row>
    <row r="1791">
      <c r="A1791" s="77"/>
      <c r="B1791" s="77"/>
      <c r="C1791" s="77"/>
      <c r="D1791" s="77"/>
      <c r="E1791" s="77"/>
      <c r="F1791" s="77"/>
      <c r="G1791" s="80"/>
    </row>
    <row r="1792">
      <c r="A1792" s="77"/>
      <c r="B1792" s="77"/>
      <c r="C1792" s="77"/>
      <c r="D1792" s="77"/>
      <c r="E1792" s="77"/>
      <c r="F1792" s="77"/>
      <c r="G1792" s="80"/>
    </row>
    <row r="1793">
      <c r="A1793" s="77"/>
      <c r="B1793" s="77"/>
      <c r="C1793" s="77"/>
      <c r="D1793" s="77"/>
      <c r="E1793" s="77"/>
      <c r="F1793" s="77"/>
      <c r="G1793" s="80"/>
    </row>
    <row r="1794">
      <c r="A1794" s="77"/>
      <c r="B1794" s="77"/>
      <c r="C1794" s="77"/>
      <c r="D1794" s="77"/>
      <c r="E1794" s="77"/>
      <c r="F1794" s="77"/>
      <c r="G1794" s="80"/>
    </row>
    <row r="1795">
      <c r="A1795" s="77"/>
      <c r="B1795" s="77"/>
      <c r="C1795" s="77"/>
      <c r="D1795" s="77"/>
      <c r="E1795" s="77"/>
      <c r="F1795" s="77"/>
      <c r="G1795" s="80"/>
    </row>
    <row r="1796">
      <c r="A1796" s="77"/>
      <c r="B1796" s="77"/>
      <c r="C1796" s="77"/>
      <c r="D1796" s="77"/>
      <c r="E1796" s="77"/>
      <c r="F1796" s="77"/>
      <c r="G1796" s="80"/>
    </row>
    <row r="1797">
      <c r="A1797" s="77"/>
      <c r="B1797" s="77"/>
      <c r="C1797" s="77"/>
      <c r="D1797" s="77"/>
      <c r="E1797" s="77"/>
      <c r="F1797" s="77"/>
      <c r="G1797" s="80"/>
    </row>
    <row r="1798">
      <c r="A1798" s="77"/>
      <c r="B1798" s="77"/>
      <c r="C1798" s="77"/>
      <c r="D1798" s="77"/>
      <c r="E1798" s="77"/>
      <c r="F1798" s="77"/>
      <c r="G1798" s="80"/>
    </row>
    <row r="1799">
      <c r="A1799" s="77"/>
      <c r="B1799" s="77"/>
      <c r="C1799" s="77"/>
      <c r="D1799" s="77"/>
      <c r="E1799" s="77"/>
      <c r="F1799" s="77"/>
      <c r="G1799" s="80"/>
    </row>
    <row r="1800">
      <c r="A1800" s="77"/>
      <c r="B1800" s="77"/>
      <c r="C1800" s="77"/>
      <c r="D1800" s="77"/>
      <c r="E1800" s="77"/>
      <c r="F1800" s="77"/>
      <c r="G1800" s="80"/>
    </row>
    <row r="1801">
      <c r="A1801" s="77"/>
      <c r="B1801" s="77"/>
      <c r="C1801" s="77"/>
      <c r="D1801" s="77"/>
      <c r="E1801" s="77"/>
      <c r="F1801" s="77"/>
      <c r="G1801" s="80"/>
    </row>
    <row r="1802">
      <c r="A1802" s="77"/>
      <c r="B1802" s="77"/>
      <c r="C1802" s="77"/>
      <c r="D1802" s="77"/>
      <c r="E1802" s="77"/>
      <c r="F1802" s="77"/>
      <c r="G1802" s="80"/>
    </row>
    <row r="1803">
      <c r="A1803" s="77"/>
      <c r="B1803" s="77"/>
      <c r="C1803" s="77"/>
      <c r="D1803" s="77"/>
      <c r="E1803" s="77"/>
      <c r="F1803" s="77"/>
      <c r="G1803" s="80"/>
    </row>
    <row r="1804">
      <c r="A1804" s="77"/>
      <c r="B1804" s="77"/>
      <c r="C1804" s="77"/>
      <c r="D1804" s="77"/>
      <c r="E1804" s="77"/>
      <c r="F1804" s="77"/>
      <c r="G1804" s="80"/>
    </row>
    <row r="1805">
      <c r="A1805" s="77"/>
      <c r="B1805" s="77"/>
      <c r="C1805" s="77"/>
      <c r="D1805" s="77"/>
      <c r="E1805" s="77"/>
      <c r="F1805" s="77"/>
      <c r="G1805" s="80"/>
    </row>
    <row r="1806">
      <c r="A1806" s="77"/>
      <c r="B1806" s="77"/>
      <c r="C1806" s="77"/>
      <c r="D1806" s="77"/>
      <c r="E1806" s="77"/>
      <c r="F1806" s="77"/>
      <c r="G1806" s="80"/>
    </row>
    <row r="1807">
      <c r="A1807" s="77"/>
      <c r="B1807" s="77"/>
      <c r="C1807" s="77"/>
      <c r="D1807" s="77"/>
      <c r="E1807" s="77"/>
      <c r="F1807" s="77"/>
      <c r="G1807" s="80"/>
    </row>
    <row r="1808">
      <c r="A1808" s="77"/>
      <c r="B1808" s="77"/>
      <c r="C1808" s="77"/>
      <c r="D1808" s="77"/>
      <c r="E1808" s="77"/>
      <c r="F1808" s="77"/>
      <c r="G1808" s="80"/>
    </row>
    <row r="1809">
      <c r="A1809" s="77"/>
      <c r="B1809" s="77"/>
      <c r="C1809" s="77"/>
      <c r="D1809" s="77"/>
      <c r="E1809" s="77"/>
      <c r="F1809" s="77"/>
      <c r="G1809" s="80"/>
    </row>
    <row r="1810">
      <c r="A1810" s="77"/>
      <c r="B1810" s="77"/>
      <c r="C1810" s="77"/>
      <c r="D1810" s="77"/>
      <c r="E1810" s="77"/>
      <c r="F1810" s="77"/>
      <c r="G1810" s="80"/>
    </row>
    <row r="1811">
      <c r="A1811" s="77"/>
      <c r="B1811" s="77"/>
      <c r="C1811" s="77"/>
      <c r="D1811" s="77"/>
      <c r="E1811" s="77"/>
      <c r="F1811" s="77"/>
      <c r="G1811" s="80"/>
    </row>
    <row r="1812">
      <c r="A1812" s="77"/>
      <c r="B1812" s="77"/>
      <c r="C1812" s="77"/>
      <c r="D1812" s="77"/>
      <c r="E1812" s="77"/>
      <c r="F1812" s="77"/>
      <c r="G1812" s="80"/>
    </row>
    <row r="1813">
      <c r="A1813" s="77"/>
      <c r="B1813" s="77"/>
      <c r="C1813" s="77"/>
      <c r="D1813" s="77"/>
      <c r="E1813" s="77"/>
      <c r="F1813" s="77"/>
      <c r="G1813" s="80"/>
    </row>
    <row r="1814">
      <c r="A1814" s="77"/>
      <c r="B1814" s="77"/>
      <c r="C1814" s="77"/>
      <c r="D1814" s="77"/>
      <c r="E1814" s="77"/>
      <c r="F1814" s="77"/>
      <c r="G1814" s="80"/>
    </row>
    <row r="1815">
      <c r="A1815" s="77"/>
      <c r="B1815" s="77"/>
      <c r="C1815" s="77"/>
      <c r="D1815" s="77"/>
      <c r="E1815" s="77"/>
      <c r="F1815" s="77"/>
      <c r="G1815" s="80"/>
    </row>
    <row r="1816">
      <c r="A1816" s="77"/>
      <c r="B1816" s="77"/>
      <c r="C1816" s="77"/>
      <c r="D1816" s="77"/>
      <c r="E1816" s="77"/>
      <c r="F1816" s="77"/>
      <c r="G1816" s="80"/>
    </row>
    <row r="1817">
      <c r="A1817" s="77"/>
      <c r="B1817" s="77"/>
      <c r="C1817" s="77"/>
      <c r="D1817" s="77"/>
      <c r="E1817" s="77"/>
      <c r="F1817" s="77"/>
      <c r="G1817" s="80"/>
    </row>
    <row r="1818">
      <c r="A1818" s="77"/>
      <c r="B1818" s="77"/>
      <c r="C1818" s="77"/>
      <c r="D1818" s="77"/>
      <c r="E1818" s="77"/>
      <c r="F1818" s="77"/>
      <c r="G1818" s="80"/>
    </row>
    <row r="1819">
      <c r="A1819" s="77"/>
      <c r="B1819" s="77"/>
      <c r="C1819" s="77"/>
      <c r="D1819" s="77"/>
      <c r="E1819" s="77"/>
      <c r="F1819" s="77"/>
      <c r="G1819" s="80"/>
    </row>
    <row r="1820">
      <c r="A1820" s="77"/>
      <c r="B1820" s="77"/>
      <c r="C1820" s="77"/>
      <c r="D1820" s="77"/>
      <c r="E1820" s="77"/>
      <c r="F1820" s="77"/>
      <c r="G1820" s="80"/>
    </row>
    <row r="1821">
      <c r="A1821" s="77"/>
      <c r="B1821" s="77"/>
      <c r="C1821" s="77"/>
      <c r="D1821" s="77"/>
      <c r="E1821" s="77"/>
      <c r="F1821" s="77"/>
      <c r="G1821" s="80"/>
    </row>
    <row r="1822">
      <c r="A1822" s="77"/>
      <c r="B1822" s="77"/>
      <c r="C1822" s="77"/>
      <c r="D1822" s="77"/>
      <c r="E1822" s="77"/>
      <c r="F1822" s="77"/>
      <c r="G1822" s="80"/>
    </row>
    <row r="1823">
      <c r="A1823" s="77"/>
      <c r="B1823" s="77"/>
      <c r="C1823" s="77"/>
      <c r="D1823" s="77"/>
      <c r="E1823" s="77"/>
      <c r="F1823" s="77"/>
      <c r="G1823" s="80"/>
    </row>
    <row r="1824">
      <c r="A1824" s="77"/>
      <c r="B1824" s="77"/>
      <c r="C1824" s="77"/>
      <c r="D1824" s="77"/>
      <c r="E1824" s="77"/>
      <c r="F1824" s="77"/>
      <c r="G1824" s="80"/>
    </row>
    <row r="1825">
      <c r="A1825" s="77"/>
      <c r="B1825" s="77"/>
      <c r="C1825" s="77"/>
      <c r="D1825" s="77"/>
      <c r="E1825" s="77"/>
      <c r="F1825" s="77"/>
      <c r="G1825" s="80"/>
    </row>
    <row r="1826">
      <c r="A1826" s="77"/>
      <c r="B1826" s="77"/>
      <c r="C1826" s="77"/>
      <c r="D1826" s="77"/>
      <c r="E1826" s="77"/>
      <c r="F1826" s="77"/>
      <c r="G1826" s="80"/>
    </row>
    <row r="1827">
      <c r="A1827" s="77"/>
      <c r="B1827" s="77"/>
      <c r="C1827" s="77"/>
      <c r="D1827" s="77"/>
      <c r="E1827" s="77"/>
      <c r="F1827" s="77"/>
      <c r="G1827" s="80"/>
    </row>
    <row r="1828">
      <c r="A1828" s="77"/>
      <c r="B1828" s="77"/>
      <c r="C1828" s="77"/>
      <c r="D1828" s="77"/>
      <c r="E1828" s="77"/>
      <c r="F1828" s="77"/>
      <c r="G1828" s="80"/>
    </row>
    <row r="1829">
      <c r="A1829" s="77"/>
      <c r="B1829" s="77"/>
      <c r="C1829" s="77"/>
      <c r="D1829" s="77"/>
      <c r="E1829" s="77"/>
      <c r="F1829" s="77"/>
      <c r="G1829" s="80"/>
    </row>
    <row r="1830">
      <c r="A1830" s="77"/>
      <c r="B1830" s="77"/>
      <c r="C1830" s="77"/>
      <c r="D1830" s="77"/>
      <c r="E1830" s="77"/>
      <c r="F1830" s="77"/>
      <c r="G1830" s="80"/>
    </row>
    <row r="1831">
      <c r="A1831" s="77"/>
      <c r="B1831" s="77"/>
      <c r="C1831" s="77"/>
      <c r="D1831" s="77"/>
      <c r="E1831" s="77"/>
      <c r="F1831" s="77"/>
      <c r="G1831" s="80"/>
    </row>
    <row r="1832">
      <c r="A1832" s="77"/>
      <c r="B1832" s="77"/>
      <c r="C1832" s="77"/>
      <c r="D1832" s="77"/>
      <c r="E1832" s="77"/>
      <c r="F1832" s="77"/>
      <c r="G1832" s="80"/>
    </row>
    <row r="1833">
      <c r="A1833" s="77"/>
      <c r="B1833" s="77"/>
      <c r="C1833" s="77"/>
      <c r="D1833" s="77"/>
      <c r="E1833" s="77"/>
      <c r="F1833" s="77"/>
      <c r="G1833" s="80"/>
    </row>
    <row r="1834">
      <c r="A1834" s="77"/>
      <c r="B1834" s="77"/>
      <c r="C1834" s="77"/>
      <c r="D1834" s="77"/>
      <c r="E1834" s="77"/>
      <c r="F1834" s="77"/>
      <c r="G1834" s="80"/>
    </row>
    <row r="1835">
      <c r="A1835" s="77"/>
      <c r="B1835" s="77"/>
      <c r="C1835" s="77"/>
      <c r="D1835" s="77"/>
      <c r="E1835" s="77"/>
      <c r="F1835" s="77"/>
      <c r="G1835" s="80"/>
    </row>
    <row r="1836">
      <c r="A1836" s="77"/>
      <c r="B1836" s="77"/>
      <c r="C1836" s="77"/>
      <c r="D1836" s="77"/>
      <c r="E1836" s="77"/>
      <c r="F1836" s="77"/>
      <c r="G1836" s="80"/>
    </row>
    <row r="1837">
      <c r="A1837" s="77"/>
      <c r="B1837" s="77"/>
      <c r="C1837" s="77"/>
      <c r="D1837" s="77"/>
      <c r="E1837" s="77"/>
      <c r="F1837" s="77"/>
      <c r="G1837" s="80"/>
    </row>
    <row r="1838">
      <c r="A1838" s="77"/>
      <c r="B1838" s="77"/>
      <c r="C1838" s="77"/>
      <c r="D1838" s="77"/>
      <c r="E1838" s="77"/>
      <c r="F1838" s="77"/>
      <c r="G1838" s="80"/>
    </row>
    <row r="1839">
      <c r="A1839" s="77"/>
      <c r="B1839" s="77"/>
      <c r="C1839" s="77"/>
      <c r="D1839" s="77"/>
      <c r="E1839" s="77"/>
      <c r="F1839" s="77"/>
      <c r="G1839" s="80"/>
    </row>
    <row r="1840">
      <c r="A1840" s="77"/>
      <c r="B1840" s="77"/>
      <c r="C1840" s="77"/>
      <c r="D1840" s="77"/>
      <c r="E1840" s="77"/>
      <c r="F1840" s="77"/>
      <c r="G1840" s="80"/>
    </row>
    <row r="1841">
      <c r="A1841" s="77"/>
      <c r="B1841" s="77"/>
      <c r="C1841" s="77"/>
      <c r="D1841" s="77"/>
      <c r="E1841" s="77"/>
      <c r="F1841" s="77"/>
      <c r="G1841" s="80"/>
    </row>
    <row r="1842">
      <c r="A1842" s="77"/>
      <c r="B1842" s="77"/>
      <c r="C1842" s="77"/>
      <c r="D1842" s="77"/>
      <c r="E1842" s="77"/>
      <c r="F1842" s="77"/>
      <c r="G1842" s="80"/>
    </row>
    <row r="1843">
      <c r="A1843" s="77"/>
      <c r="B1843" s="77"/>
      <c r="C1843" s="77"/>
      <c r="D1843" s="77"/>
      <c r="E1843" s="77"/>
      <c r="F1843" s="77"/>
      <c r="G1843" s="80"/>
    </row>
    <row r="1844">
      <c r="A1844" s="77"/>
      <c r="B1844" s="77"/>
      <c r="C1844" s="77"/>
      <c r="D1844" s="77"/>
      <c r="E1844" s="77"/>
      <c r="F1844" s="77"/>
      <c r="G1844" s="80"/>
    </row>
    <row r="1845">
      <c r="A1845" s="77"/>
      <c r="B1845" s="77"/>
      <c r="C1845" s="77"/>
      <c r="D1845" s="77"/>
      <c r="E1845" s="77"/>
      <c r="F1845" s="77"/>
      <c r="G1845" s="80"/>
    </row>
    <row r="1846">
      <c r="A1846" s="77"/>
      <c r="B1846" s="77"/>
      <c r="C1846" s="77"/>
      <c r="D1846" s="77"/>
      <c r="E1846" s="77"/>
      <c r="F1846" s="77"/>
      <c r="G1846" s="80"/>
    </row>
    <row r="1847">
      <c r="A1847" s="77"/>
      <c r="B1847" s="77"/>
      <c r="C1847" s="77"/>
      <c r="D1847" s="77"/>
      <c r="E1847" s="77"/>
      <c r="F1847" s="77"/>
      <c r="G1847" s="80"/>
    </row>
    <row r="1848">
      <c r="A1848" s="77"/>
      <c r="B1848" s="77"/>
      <c r="C1848" s="77"/>
      <c r="D1848" s="77"/>
      <c r="E1848" s="77"/>
      <c r="F1848" s="77"/>
      <c r="G1848" s="80"/>
    </row>
    <row r="1849">
      <c r="A1849" s="77"/>
      <c r="B1849" s="77"/>
      <c r="C1849" s="77"/>
      <c r="D1849" s="77"/>
      <c r="E1849" s="77"/>
      <c r="F1849" s="77"/>
      <c r="G1849" s="80"/>
    </row>
    <row r="1850">
      <c r="A1850" s="77"/>
      <c r="B1850" s="77"/>
      <c r="C1850" s="77"/>
      <c r="D1850" s="77"/>
      <c r="E1850" s="77"/>
      <c r="F1850" s="77"/>
      <c r="G1850" s="80"/>
    </row>
    <row r="1851">
      <c r="A1851" s="77"/>
      <c r="B1851" s="77"/>
      <c r="C1851" s="77"/>
      <c r="D1851" s="77"/>
      <c r="E1851" s="77"/>
      <c r="F1851" s="77"/>
      <c r="G1851" s="80"/>
    </row>
    <row r="1852">
      <c r="A1852" s="77"/>
      <c r="B1852" s="77"/>
      <c r="C1852" s="77"/>
      <c r="D1852" s="77"/>
      <c r="E1852" s="77"/>
      <c r="F1852" s="77"/>
      <c r="G1852" s="80"/>
    </row>
    <row r="1853">
      <c r="A1853" s="77"/>
      <c r="B1853" s="77"/>
      <c r="C1853" s="77"/>
      <c r="D1853" s="77"/>
      <c r="E1853" s="77"/>
      <c r="F1853" s="77"/>
      <c r="G1853" s="80"/>
    </row>
    <row r="1854">
      <c r="A1854" s="77"/>
      <c r="B1854" s="77"/>
      <c r="C1854" s="77"/>
      <c r="D1854" s="77"/>
      <c r="E1854" s="77"/>
      <c r="F1854" s="77"/>
      <c r="G1854" s="80"/>
    </row>
    <row r="1855">
      <c r="A1855" s="77"/>
      <c r="B1855" s="77"/>
      <c r="C1855" s="77"/>
      <c r="D1855" s="77"/>
      <c r="E1855" s="77"/>
      <c r="F1855" s="77"/>
      <c r="G1855" s="80"/>
    </row>
    <row r="1856">
      <c r="A1856" s="77"/>
      <c r="B1856" s="77"/>
      <c r="C1856" s="77"/>
      <c r="D1856" s="77"/>
      <c r="E1856" s="77"/>
      <c r="F1856" s="77"/>
      <c r="G1856" s="80"/>
    </row>
    <row r="1857">
      <c r="A1857" s="77"/>
      <c r="B1857" s="77"/>
      <c r="C1857" s="77"/>
      <c r="D1857" s="77"/>
      <c r="E1857" s="77"/>
      <c r="F1857" s="77"/>
      <c r="G1857" s="80"/>
    </row>
    <row r="1858">
      <c r="A1858" s="77"/>
      <c r="B1858" s="77"/>
      <c r="C1858" s="77"/>
      <c r="D1858" s="77"/>
      <c r="E1858" s="77"/>
      <c r="F1858" s="77"/>
      <c r="G1858" s="80"/>
    </row>
    <row r="1859">
      <c r="A1859" s="77"/>
      <c r="B1859" s="77"/>
      <c r="C1859" s="77"/>
      <c r="D1859" s="77"/>
      <c r="E1859" s="77"/>
      <c r="F1859" s="77"/>
      <c r="G1859" s="80"/>
    </row>
    <row r="1860">
      <c r="A1860" s="77"/>
      <c r="B1860" s="77"/>
      <c r="C1860" s="77"/>
      <c r="D1860" s="77"/>
      <c r="E1860" s="77"/>
      <c r="F1860" s="77"/>
      <c r="G1860" s="80"/>
    </row>
    <row r="1861">
      <c r="A1861" s="77"/>
      <c r="B1861" s="77"/>
      <c r="C1861" s="77"/>
      <c r="D1861" s="77"/>
      <c r="E1861" s="77"/>
      <c r="F1861" s="77"/>
      <c r="G1861" s="80"/>
    </row>
    <row r="1862">
      <c r="A1862" s="77"/>
      <c r="B1862" s="77"/>
      <c r="C1862" s="77"/>
      <c r="D1862" s="77"/>
      <c r="E1862" s="77"/>
      <c r="F1862" s="77"/>
      <c r="G1862" s="80"/>
    </row>
    <row r="1863">
      <c r="A1863" s="77"/>
      <c r="B1863" s="77"/>
      <c r="C1863" s="77"/>
      <c r="D1863" s="77"/>
      <c r="E1863" s="77"/>
      <c r="F1863" s="77"/>
      <c r="G1863" s="80"/>
    </row>
    <row r="1864">
      <c r="A1864" s="77"/>
      <c r="B1864" s="77"/>
      <c r="C1864" s="77"/>
      <c r="D1864" s="77"/>
      <c r="E1864" s="77"/>
      <c r="F1864" s="77"/>
      <c r="G1864" s="80"/>
    </row>
    <row r="1865">
      <c r="A1865" s="77"/>
      <c r="B1865" s="77"/>
      <c r="C1865" s="77"/>
      <c r="D1865" s="77"/>
      <c r="E1865" s="77"/>
      <c r="F1865" s="77"/>
      <c r="G1865" s="80"/>
    </row>
    <row r="1866">
      <c r="A1866" s="77"/>
      <c r="B1866" s="77"/>
      <c r="C1866" s="77"/>
      <c r="D1866" s="77"/>
      <c r="E1866" s="77"/>
      <c r="F1866" s="77"/>
      <c r="G1866" s="80"/>
    </row>
    <row r="1867">
      <c r="A1867" s="77"/>
      <c r="B1867" s="77"/>
      <c r="C1867" s="77"/>
      <c r="D1867" s="77"/>
      <c r="E1867" s="77"/>
      <c r="F1867" s="77"/>
      <c r="G1867" s="80"/>
    </row>
    <row r="1868">
      <c r="A1868" s="77"/>
      <c r="B1868" s="77"/>
      <c r="C1868" s="77"/>
      <c r="D1868" s="77"/>
      <c r="E1868" s="77"/>
      <c r="F1868" s="77"/>
      <c r="G1868" s="80"/>
    </row>
    <row r="1869">
      <c r="A1869" s="77"/>
      <c r="B1869" s="77"/>
      <c r="C1869" s="77"/>
      <c r="D1869" s="77"/>
      <c r="E1869" s="77"/>
      <c r="F1869" s="77"/>
      <c r="G1869" s="80"/>
    </row>
    <row r="1870">
      <c r="A1870" s="77"/>
      <c r="B1870" s="77"/>
      <c r="C1870" s="77"/>
      <c r="D1870" s="77"/>
      <c r="E1870" s="77"/>
      <c r="F1870" s="77"/>
      <c r="G1870" s="80"/>
    </row>
    <row r="1871">
      <c r="A1871" s="77"/>
      <c r="B1871" s="77"/>
      <c r="C1871" s="77"/>
      <c r="D1871" s="77"/>
      <c r="E1871" s="77"/>
      <c r="F1871" s="77"/>
      <c r="G1871" s="80"/>
    </row>
    <row r="1872">
      <c r="A1872" s="77"/>
      <c r="B1872" s="77"/>
      <c r="C1872" s="77"/>
      <c r="D1872" s="77"/>
      <c r="E1872" s="77"/>
      <c r="F1872" s="77"/>
      <c r="G1872" s="80"/>
    </row>
    <row r="1873">
      <c r="A1873" s="77"/>
      <c r="B1873" s="77"/>
      <c r="C1873" s="77"/>
      <c r="D1873" s="77"/>
      <c r="E1873" s="77"/>
      <c r="F1873" s="77"/>
      <c r="G1873" s="80"/>
    </row>
    <row r="1874">
      <c r="A1874" s="77"/>
      <c r="B1874" s="77"/>
      <c r="C1874" s="77"/>
      <c r="D1874" s="77"/>
      <c r="E1874" s="77"/>
      <c r="F1874" s="77"/>
      <c r="G1874" s="80"/>
    </row>
    <row r="1875">
      <c r="A1875" s="77"/>
      <c r="B1875" s="77"/>
      <c r="C1875" s="77"/>
      <c r="D1875" s="77"/>
      <c r="E1875" s="77"/>
      <c r="F1875" s="77"/>
      <c r="G1875" s="80"/>
    </row>
    <row r="1876">
      <c r="A1876" s="77"/>
      <c r="B1876" s="77"/>
      <c r="C1876" s="77"/>
      <c r="D1876" s="77"/>
      <c r="E1876" s="77"/>
      <c r="F1876" s="77"/>
      <c r="G1876" s="80"/>
    </row>
    <row r="1877">
      <c r="A1877" s="77"/>
      <c r="B1877" s="77"/>
      <c r="C1877" s="77"/>
      <c r="D1877" s="77"/>
      <c r="E1877" s="77"/>
      <c r="F1877" s="77"/>
      <c r="G1877" s="80"/>
    </row>
    <row r="1878">
      <c r="A1878" s="77"/>
      <c r="B1878" s="77"/>
      <c r="C1878" s="77"/>
      <c r="D1878" s="77"/>
      <c r="E1878" s="77"/>
      <c r="F1878" s="77"/>
      <c r="G1878" s="80"/>
    </row>
    <row r="1879">
      <c r="A1879" s="77"/>
      <c r="B1879" s="77"/>
      <c r="C1879" s="77"/>
      <c r="D1879" s="77"/>
      <c r="E1879" s="77"/>
      <c r="F1879" s="77"/>
      <c r="G1879" s="80"/>
    </row>
    <row r="1880">
      <c r="A1880" s="77"/>
      <c r="B1880" s="77"/>
      <c r="C1880" s="77"/>
      <c r="D1880" s="77"/>
      <c r="E1880" s="77"/>
      <c r="F1880" s="77"/>
      <c r="G1880" s="80"/>
    </row>
    <row r="1881">
      <c r="A1881" s="77"/>
      <c r="B1881" s="77"/>
      <c r="C1881" s="77"/>
      <c r="D1881" s="77"/>
      <c r="E1881" s="77"/>
      <c r="F1881" s="77"/>
      <c r="G1881" s="80"/>
    </row>
    <row r="1882">
      <c r="A1882" s="77"/>
      <c r="B1882" s="77"/>
      <c r="C1882" s="77"/>
      <c r="D1882" s="77"/>
      <c r="E1882" s="77"/>
      <c r="F1882" s="77"/>
      <c r="G1882" s="80"/>
    </row>
    <row r="1883">
      <c r="A1883" s="77"/>
      <c r="B1883" s="77"/>
      <c r="C1883" s="77"/>
      <c r="D1883" s="77"/>
      <c r="E1883" s="77"/>
      <c r="F1883" s="77"/>
      <c r="G1883" s="80"/>
    </row>
    <row r="1884">
      <c r="A1884" s="77"/>
      <c r="B1884" s="77"/>
      <c r="C1884" s="77"/>
      <c r="D1884" s="77"/>
      <c r="E1884" s="77"/>
      <c r="F1884" s="77"/>
      <c r="G1884" s="80"/>
    </row>
    <row r="1885">
      <c r="A1885" s="77"/>
      <c r="B1885" s="77"/>
      <c r="C1885" s="77"/>
      <c r="D1885" s="77"/>
      <c r="E1885" s="77"/>
      <c r="F1885" s="77"/>
      <c r="G1885" s="80"/>
    </row>
    <row r="1886">
      <c r="A1886" s="77"/>
      <c r="B1886" s="77"/>
      <c r="C1886" s="77"/>
      <c r="D1886" s="77"/>
      <c r="E1886" s="77"/>
      <c r="F1886" s="77"/>
      <c r="G1886" s="80"/>
    </row>
    <row r="1887">
      <c r="A1887" s="77"/>
      <c r="B1887" s="77"/>
      <c r="C1887" s="77"/>
      <c r="D1887" s="77"/>
      <c r="E1887" s="77"/>
      <c r="F1887" s="77"/>
      <c r="G1887" s="80"/>
    </row>
    <row r="1888">
      <c r="A1888" s="77"/>
      <c r="B1888" s="77"/>
      <c r="C1888" s="77"/>
      <c r="D1888" s="77"/>
      <c r="E1888" s="77"/>
      <c r="F1888" s="77"/>
      <c r="G1888" s="80"/>
    </row>
    <row r="1889">
      <c r="A1889" s="77"/>
      <c r="B1889" s="77"/>
      <c r="C1889" s="77"/>
      <c r="D1889" s="77"/>
      <c r="E1889" s="77"/>
      <c r="F1889" s="77"/>
      <c r="G1889" s="80"/>
    </row>
    <row r="1890">
      <c r="A1890" s="77"/>
      <c r="B1890" s="77"/>
      <c r="C1890" s="77"/>
      <c r="D1890" s="77"/>
      <c r="E1890" s="77"/>
      <c r="F1890" s="77"/>
      <c r="G1890" s="80"/>
    </row>
    <row r="1891">
      <c r="A1891" s="77"/>
      <c r="B1891" s="77"/>
      <c r="C1891" s="77"/>
      <c r="D1891" s="77"/>
      <c r="E1891" s="77"/>
      <c r="F1891" s="77"/>
      <c r="G1891" s="80"/>
    </row>
    <row r="1892">
      <c r="A1892" s="77"/>
      <c r="B1892" s="77"/>
      <c r="C1892" s="77"/>
      <c r="D1892" s="77"/>
      <c r="E1892" s="77"/>
      <c r="F1892" s="77"/>
      <c r="G1892" s="80"/>
    </row>
    <row r="1893">
      <c r="A1893" s="77"/>
      <c r="B1893" s="77"/>
      <c r="C1893" s="77"/>
      <c r="D1893" s="77"/>
      <c r="E1893" s="77"/>
      <c r="F1893" s="77"/>
      <c r="G1893" s="80"/>
    </row>
    <row r="1894">
      <c r="A1894" s="77"/>
      <c r="B1894" s="77"/>
      <c r="C1894" s="77"/>
      <c r="D1894" s="77"/>
      <c r="E1894" s="77"/>
      <c r="F1894" s="77"/>
      <c r="G1894" s="80"/>
    </row>
    <row r="1895">
      <c r="A1895" s="77"/>
      <c r="B1895" s="77"/>
      <c r="C1895" s="77"/>
      <c r="D1895" s="77"/>
      <c r="E1895" s="77"/>
      <c r="F1895" s="77"/>
      <c r="G1895" s="80"/>
    </row>
    <row r="1896">
      <c r="A1896" s="77"/>
      <c r="B1896" s="77"/>
      <c r="C1896" s="77"/>
      <c r="D1896" s="77"/>
      <c r="E1896" s="77"/>
      <c r="F1896" s="77"/>
      <c r="G1896" s="80"/>
    </row>
    <row r="1897">
      <c r="A1897" s="77"/>
      <c r="B1897" s="77"/>
      <c r="C1897" s="77"/>
      <c r="D1897" s="77"/>
      <c r="E1897" s="77"/>
      <c r="F1897" s="77"/>
      <c r="G1897" s="80"/>
    </row>
    <row r="1898">
      <c r="A1898" s="77"/>
      <c r="B1898" s="77"/>
      <c r="C1898" s="77"/>
      <c r="D1898" s="77"/>
      <c r="E1898" s="77"/>
      <c r="F1898" s="77"/>
      <c r="G1898" s="80"/>
    </row>
    <row r="1899">
      <c r="A1899" s="77"/>
      <c r="B1899" s="77"/>
      <c r="C1899" s="77"/>
      <c r="D1899" s="77"/>
      <c r="E1899" s="77"/>
      <c r="F1899" s="77"/>
      <c r="G1899" s="80"/>
    </row>
    <row r="1900">
      <c r="A1900" s="77"/>
      <c r="B1900" s="77"/>
      <c r="C1900" s="77"/>
      <c r="D1900" s="77"/>
      <c r="E1900" s="77"/>
      <c r="F1900" s="77"/>
      <c r="G1900" s="80"/>
    </row>
    <row r="1901">
      <c r="A1901" s="77"/>
      <c r="B1901" s="77"/>
      <c r="C1901" s="77"/>
      <c r="D1901" s="77"/>
      <c r="E1901" s="77"/>
      <c r="F1901" s="77"/>
      <c r="G1901" s="80"/>
    </row>
    <row r="1902">
      <c r="A1902" s="77"/>
      <c r="B1902" s="77"/>
      <c r="C1902" s="77"/>
      <c r="D1902" s="77"/>
      <c r="E1902" s="77"/>
      <c r="F1902" s="77"/>
      <c r="G1902" s="80"/>
    </row>
    <row r="1903">
      <c r="A1903" s="77"/>
      <c r="B1903" s="77"/>
      <c r="C1903" s="77"/>
      <c r="D1903" s="77"/>
      <c r="E1903" s="77"/>
      <c r="F1903" s="77"/>
      <c r="G1903" s="80"/>
    </row>
    <row r="1904">
      <c r="A1904" s="77"/>
      <c r="B1904" s="77"/>
      <c r="C1904" s="77"/>
      <c r="D1904" s="77"/>
      <c r="E1904" s="77"/>
      <c r="F1904" s="77"/>
      <c r="G1904" s="80"/>
    </row>
    <row r="1905">
      <c r="A1905" s="77"/>
      <c r="B1905" s="77"/>
      <c r="C1905" s="77"/>
      <c r="D1905" s="77"/>
      <c r="E1905" s="77"/>
      <c r="F1905" s="77"/>
      <c r="G1905" s="80"/>
    </row>
    <row r="1906">
      <c r="A1906" s="77"/>
      <c r="B1906" s="77"/>
      <c r="C1906" s="77"/>
      <c r="D1906" s="77"/>
      <c r="E1906" s="77"/>
      <c r="F1906" s="77"/>
      <c r="G1906" s="80"/>
    </row>
    <row r="1907">
      <c r="A1907" s="77"/>
      <c r="B1907" s="77"/>
      <c r="C1907" s="77"/>
      <c r="D1907" s="77"/>
      <c r="E1907" s="77"/>
      <c r="F1907" s="77"/>
      <c r="G1907" s="80"/>
    </row>
    <row r="1908">
      <c r="A1908" s="77"/>
      <c r="B1908" s="77"/>
      <c r="C1908" s="77"/>
      <c r="D1908" s="77"/>
      <c r="E1908" s="77"/>
      <c r="F1908" s="77"/>
      <c r="G1908" s="80"/>
    </row>
    <row r="1909">
      <c r="A1909" s="77"/>
      <c r="B1909" s="77"/>
      <c r="C1909" s="77"/>
      <c r="D1909" s="77"/>
      <c r="E1909" s="77"/>
      <c r="F1909" s="77"/>
      <c r="G1909" s="80"/>
    </row>
    <row r="1910">
      <c r="A1910" s="77"/>
      <c r="B1910" s="77"/>
      <c r="C1910" s="77"/>
      <c r="D1910" s="77"/>
      <c r="E1910" s="77"/>
      <c r="F1910" s="77"/>
      <c r="G1910" s="80"/>
    </row>
    <row r="1911">
      <c r="A1911" s="77"/>
      <c r="B1911" s="77"/>
      <c r="C1911" s="77"/>
      <c r="D1911" s="77"/>
      <c r="E1911" s="77"/>
      <c r="F1911" s="77"/>
      <c r="G1911" s="80"/>
    </row>
    <row r="1912">
      <c r="A1912" s="77"/>
      <c r="B1912" s="77"/>
      <c r="C1912" s="77"/>
      <c r="D1912" s="77"/>
      <c r="E1912" s="77"/>
      <c r="F1912" s="77"/>
      <c r="G1912" s="80"/>
    </row>
    <row r="1913">
      <c r="A1913" s="77"/>
      <c r="B1913" s="77"/>
      <c r="C1913" s="77"/>
      <c r="D1913" s="77"/>
      <c r="E1913" s="77"/>
      <c r="F1913" s="77"/>
      <c r="G1913" s="80"/>
    </row>
    <row r="1914">
      <c r="A1914" s="77"/>
      <c r="B1914" s="77"/>
      <c r="C1914" s="77"/>
      <c r="D1914" s="77"/>
      <c r="E1914" s="77"/>
      <c r="F1914" s="77"/>
      <c r="G1914" s="80"/>
    </row>
    <row r="1915">
      <c r="A1915" s="77"/>
      <c r="B1915" s="77"/>
      <c r="C1915" s="77"/>
      <c r="D1915" s="77"/>
      <c r="E1915" s="77"/>
      <c r="F1915" s="77"/>
      <c r="G1915" s="80"/>
    </row>
    <row r="1916">
      <c r="A1916" s="77"/>
      <c r="B1916" s="77"/>
      <c r="C1916" s="77"/>
      <c r="D1916" s="77"/>
      <c r="E1916" s="77"/>
      <c r="F1916" s="77"/>
      <c r="G1916" s="80"/>
    </row>
    <row r="1917">
      <c r="A1917" s="77"/>
      <c r="B1917" s="77"/>
      <c r="C1917" s="77"/>
      <c r="D1917" s="77"/>
      <c r="E1917" s="77"/>
      <c r="F1917" s="77"/>
      <c r="G1917" s="80"/>
    </row>
    <row r="1918">
      <c r="A1918" s="77"/>
      <c r="B1918" s="77"/>
      <c r="C1918" s="77"/>
      <c r="D1918" s="77"/>
      <c r="E1918" s="77"/>
      <c r="F1918" s="77"/>
      <c r="G1918" s="80"/>
    </row>
    <row r="1919">
      <c r="A1919" s="77"/>
      <c r="B1919" s="77"/>
      <c r="C1919" s="77"/>
      <c r="D1919" s="77"/>
      <c r="E1919" s="77"/>
      <c r="F1919" s="77"/>
      <c r="G1919" s="80"/>
    </row>
    <row r="1920">
      <c r="A1920" s="77"/>
      <c r="B1920" s="77"/>
      <c r="C1920" s="77"/>
      <c r="D1920" s="77"/>
      <c r="E1920" s="77"/>
      <c r="F1920" s="77"/>
      <c r="G1920" s="80"/>
    </row>
    <row r="1921">
      <c r="A1921" s="77"/>
      <c r="B1921" s="77"/>
      <c r="C1921" s="77"/>
      <c r="D1921" s="77"/>
      <c r="E1921" s="77"/>
      <c r="F1921" s="77"/>
      <c r="G1921" s="80"/>
    </row>
    <row r="1922">
      <c r="A1922" s="77"/>
      <c r="B1922" s="77"/>
      <c r="C1922" s="77"/>
      <c r="D1922" s="77"/>
      <c r="E1922" s="77"/>
      <c r="F1922" s="77"/>
      <c r="G1922" s="80"/>
    </row>
    <row r="1923">
      <c r="A1923" s="77"/>
      <c r="B1923" s="77"/>
      <c r="C1923" s="77"/>
      <c r="D1923" s="77"/>
      <c r="E1923" s="77"/>
      <c r="F1923" s="77"/>
      <c r="G1923" s="80"/>
    </row>
    <row r="1924">
      <c r="A1924" s="77"/>
      <c r="B1924" s="77"/>
      <c r="C1924" s="77"/>
      <c r="D1924" s="77"/>
      <c r="E1924" s="77"/>
      <c r="F1924" s="77"/>
      <c r="G1924" s="80"/>
    </row>
    <row r="1925">
      <c r="A1925" s="77"/>
      <c r="B1925" s="77"/>
      <c r="C1925" s="77"/>
      <c r="D1925" s="77"/>
      <c r="E1925" s="77"/>
      <c r="F1925" s="77"/>
      <c r="G1925" s="80"/>
    </row>
    <row r="1926">
      <c r="A1926" s="77"/>
      <c r="B1926" s="77"/>
      <c r="C1926" s="77"/>
      <c r="D1926" s="77"/>
      <c r="E1926" s="77"/>
      <c r="F1926" s="77"/>
      <c r="G1926" s="80"/>
    </row>
    <row r="1927">
      <c r="A1927" s="77"/>
      <c r="B1927" s="77"/>
      <c r="C1927" s="77"/>
      <c r="D1927" s="77"/>
      <c r="E1927" s="77"/>
      <c r="F1927" s="77"/>
      <c r="G1927" s="80"/>
    </row>
    <row r="1928">
      <c r="A1928" s="77"/>
      <c r="B1928" s="77"/>
      <c r="C1928" s="77"/>
      <c r="D1928" s="77"/>
      <c r="E1928" s="77"/>
      <c r="F1928" s="77"/>
      <c r="G1928" s="80"/>
    </row>
    <row r="1929">
      <c r="A1929" s="77"/>
      <c r="B1929" s="77"/>
      <c r="C1929" s="77"/>
      <c r="D1929" s="77"/>
      <c r="E1929" s="77"/>
      <c r="F1929" s="77"/>
      <c r="G1929" s="80"/>
    </row>
    <row r="1930">
      <c r="A1930" s="77"/>
      <c r="B1930" s="77"/>
      <c r="C1930" s="77"/>
      <c r="D1930" s="77"/>
      <c r="E1930" s="77"/>
      <c r="F1930" s="77"/>
      <c r="G1930" s="80"/>
    </row>
    <row r="1931">
      <c r="A1931" s="77"/>
      <c r="B1931" s="77"/>
      <c r="C1931" s="77"/>
      <c r="D1931" s="77"/>
      <c r="E1931" s="77"/>
      <c r="F1931" s="77"/>
      <c r="G1931" s="80"/>
    </row>
    <row r="1932">
      <c r="A1932" s="77"/>
      <c r="B1932" s="77"/>
      <c r="C1932" s="77"/>
      <c r="D1932" s="77"/>
      <c r="E1932" s="77"/>
      <c r="F1932" s="77"/>
      <c r="G1932" s="80"/>
    </row>
    <row r="1933">
      <c r="A1933" s="77"/>
      <c r="B1933" s="77"/>
      <c r="C1933" s="77"/>
      <c r="D1933" s="77"/>
      <c r="E1933" s="77"/>
      <c r="F1933" s="77"/>
      <c r="G1933" s="80"/>
    </row>
    <row r="1934">
      <c r="A1934" s="77"/>
      <c r="B1934" s="77"/>
      <c r="C1934" s="77"/>
      <c r="D1934" s="77"/>
      <c r="E1934" s="77"/>
      <c r="F1934" s="77"/>
      <c r="G1934" s="80"/>
    </row>
    <row r="1935">
      <c r="A1935" s="77"/>
      <c r="B1935" s="77"/>
      <c r="C1935" s="77"/>
      <c r="D1935" s="77"/>
      <c r="E1935" s="77"/>
      <c r="F1935" s="77"/>
      <c r="G1935" s="80"/>
    </row>
    <row r="1936">
      <c r="A1936" s="77"/>
      <c r="B1936" s="77"/>
      <c r="C1936" s="77"/>
      <c r="D1936" s="77"/>
      <c r="E1936" s="77"/>
      <c r="F1936" s="77"/>
      <c r="G1936" s="80"/>
    </row>
    <row r="1937">
      <c r="A1937" s="77"/>
      <c r="B1937" s="77"/>
      <c r="C1937" s="77"/>
      <c r="D1937" s="77"/>
      <c r="E1937" s="77"/>
      <c r="F1937" s="77"/>
      <c r="G1937" s="80"/>
    </row>
    <row r="1938">
      <c r="A1938" s="77"/>
      <c r="B1938" s="77"/>
      <c r="C1938" s="77"/>
      <c r="D1938" s="77"/>
      <c r="E1938" s="77"/>
      <c r="F1938" s="77"/>
      <c r="G1938" s="80"/>
    </row>
    <row r="1939">
      <c r="A1939" s="77"/>
      <c r="B1939" s="77"/>
      <c r="C1939" s="77"/>
      <c r="D1939" s="77"/>
      <c r="E1939" s="77"/>
      <c r="F1939" s="77"/>
      <c r="G1939" s="80"/>
    </row>
    <row r="1940">
      <c r="A1940" s="77"/>
      <c r="B1940" s="77"/>
      <c r="C1940" s="77"/>
      <c r="D1940" s="77"/>
      <c r="E1940" s="77"/>
      <c r="F1940" s="77"/>
      <c r="G1940" s="80"/>
    </row>
    <row r="1941">
      <c r="A1941" s="77"/>
      <c r="B1941" s="77"/>
      <c r="C1941" s="77"/>
      <c r="D1941" s="77"/>
      <c r="E1941" s="77"/>
      <c r="F1941" s="77"/>
      <c r="G1941" s="80"/>
    </row>
    <row r="1942">
      <c r="A1942" s="77"/>
      <c r="B1942" s="77"/>
      <c r="C1942" s="77"/>
      <c r="D1942" s="77"/>
      <c r="E1942" s="77"/>
      <c r="F1942" s="77"/>
      <c r="G1942" s="80"/>
    </row>
    <row r="1943">
      <c r="A1943" s="77"/>
      <c r="B1943" s="77"/>
      <c r="C1943" s="77"/>
      <c r="D1943" s="77"/>
      <c r="E1943" s="77"/>
      <c r="F1943" s="77"/>
      <c r="G1943" s="80"/>
    </row>
    <row r="1944">
      <c r="A1944" s="77"/>
      <c r="B1944" s="77"/>
      <c r="C1944" s="77"/>
      <c r="D1944" s="77"/>
      <c r="E1944" s="77"/>
      <c r="F1944" s="77"/>
      <c r="G1944" s="80"/>
    </row>
    <row r="1945">
      <c r="A1945" s="77"/>
      <c r="B1945" s="77"/>
      <c r="C1945" s="77"/>
      <c r="D1945" s="77"/>
      <c r="E1945" s="77"/>
      <c r="F1945" s="77"/>
      <c r="G1945" s="80"/>
    </row>
    <row r="1946">
      <c r="A1946" s="77"/>
      <c r="B1946" s="77"/>
      <c r="C1946" s="77"/>
      <c r="D1946" s="77"/>
      <c r="E1946" s="77"/>
      <c r="F1946" s="77"/>
      <c r="G1946" s="80"/>
    </row>
    <row r="1947">
      <c r="A1947" s="77"/>
      <c r="B1947" s="77"/>
      <c r="C1947" s="77"/>
      <c r="D1947" s="77"/>
      <c r="E1947" s="77"/>
      <c r="F1947" s="77"/>
      <c r="G1947" s="80"/>
    </row>
    <row r="1948">
      <c r="A1948" s="77"/>
      <c r="B1948" s="77"/>
      <c r="C1948" s="77"/>
      <c r="D1948" s="77"/>
      <c r="E1948" s="77"/>
      <c r="F1948" s="77"/>
      <c r="G1948" s="80"/>
    </row>
    <row r="1949">
      <c r="A1949" s="77"/>
      <c r="B1949" s="77"/>
      <c r="C1949" s="77"/>
      <c r="D1949" s="77"/>
      <c r="E1949" s="77"/>
      <c r="F1949" s="77"/>
      <c r="G1949" s="80"/>
    </row>
    <row r="1950">
      <c r="A1950" s="77"/>
      <c r="B1950" s="77"/>
      <c r="C1950" s="77"/>
      <c r="D1950" s="77"/>
      <c r="E1950" s="77"/>
      <c r="F1950" s="77"/>
      <c r="G1950" s="80"/>
    </row>
    <row r="1951">
      <c r="A1951" s="77"/>
      <c r="B1951" s="77"/>
      <c r="C1951" s="77"/>
      <c r="D1951" s="77"/>
      <c r="E1951" s="77"/>
      <c r="F1951" s="77"/>
      <c r="G1951" s="80"/>
    </row>
    <row r="1952">
      <c r="A1952" s="77"/>
      <c r="B1952" s="77"/>
      <c r="C1952" s="77"/>
      <c r="D1952" s="77"/>
      <c r="E1952" s="77"/>
      <c r="F1952" s="77"/>
      <c r="G1952" s="80"/>
    </row>
    <row r="1953">
      <c r="A1953" s="77"/>
      <c r="B1953" s="77"/>
      <c r="C1953" s="77"/>
      <c r="D1953" s="77"/>
      <c r="E1953" s="77"/>
      <c r="F1953" s="77"/>
      <c r="G1953" s="80"/>
    </row>
    <row r="1954">
      <c r="A1954" s="77"/>
      <c r="B1954" s="77"/>
      <c r="C1954" s="77"/>
      <c r="D1954" s="77"/>
      <c r="E1954" s="77"/>
      <c r="F1954" s="77"/>
      <c r="G1954" s="80"/>
    </row>
    <row r="1955">
      <c r="A1955" s="77"/>
      <c r="B1955" s="77"/>
      <c r="C1955" s="77"/>
      <c r="D1955" s="77"/>
      <c r="E1955" s="77"/>
      <c r="F1955" s="77"/>
      <c r="G1955" s="80"/>
    </row>
    <row r="1956">
      <c r="A1956" s="77"/>
      <c r="B1956" s="77"/>
      <c r="C1956" s="77"/>
      <c r="D1956" s="77"/>
      <c r="E1956" s="77"/>
      <c r="F1956" s="77"/>
      <c r="G1956" s="80"/>
    </row>
    <row r="1957">
      <c r="A1957" s="77"/>
      <c r="B1957" s="77"/>
      <c r="C1957" s="77"/>
      <c r="D1957" s="77"/>
      <c r="E1957" s="77"/>
      <c r="F1957" s="77"/>
      <c r="G1957" s="80"/>
    </row>
    <row r="1958">
      <c r="A1958" s="77"/>
      <c r="B1958" s="77"/>
      <c r="C1958" s="77"/>
      <c r="D1958" s="77"/>
      <c r="E1958" s="77"/>
      <c r="F1958" s="77"/>
      <c r="G1958" s="80"/>
    </row>
    <row r="1959">
      <c r="A1959" s="77"/>
      <c r="B1959" s="77"/>
      <c r="C1959" s="77"/>
      <c r="D1959" s="77"/>
      <c r="E1959" s="77"/>
      <c r="F1959" s="77"/>
      <c r="G1959" s="80"/>
    </row>
    <row r="1960">
      <c r="A1960" s="77"/>
      <c r="B1960" s="77"/>
      <c r="C1960" s="77"/>
      <c r="D1960" s="77"/>
      <c r="E1960" s="77"/>
      <c r="F1960" s="77"/>
      <c r="G1960" s="80"/>
    </row>
    <row r="1961">
      <c r="A1961" s="77"/>
      <c r="B1961" s="77"/>
      <c r="C1961" s="77"/>
      <c r="D1961" s="77"/>
      <c r="E1961" s="77"/>
      <c r="F1961" s="77"/>
      <c r="G1961" s="80"/>
    </row>
    <row r="1962">
      <c r="A1962" s="77"/>
      <c r="B1962" s="77"/>
      <c r="C1962" s="77"/>
      <c r="D1962" s="77"/>
      <c r="E1962" s="77"/>
      <c r="F1962" s="77"/>
      <c r="G1962" s="80"/>
    </row>
    <row r="1963">
      <c r="A1963" s="77"/>
      <c r="B1963" s="77"/>
      <c r="C1963" s="77"/>
      <c r="D1963" s="77"/>
      <c r="E1963" s="77"/>
      <c r="F1963" s="77"/>
      <c r="G1963" s="80"/>
    </row>
    <row r="1964">
      <c r="A1964" s="77"/>
      <c r="B1964" s="77"/>
      <c r="C1964" s="77"/>
      <c r="D1964" s="77"/>
      <c r="E1964" s="77"/>
      <c r="F1964" s="77"/>
      <c r="G1964" s="80"/>
    </row>
    <row r="1965">
      <c r="A1965" s="77"/>
      <c r="B1965" s="77"/>
      <c r="C1965" s="77"/>
      <c r="D1965" s="77"/>
      <c r="E1965" s="77"/>
      <c r="F1965" s="77"/>
      <c r="G1965" s="80"/>
    </row>
    <row r="1966">
      <c r="A1966" s="77"/>
      <c r="B1966" s="77"/>
      <c r="C1966" s="77"/>
      <c r="D1966" s="77"/>
      <c r="E1966" s="77"/>
      <c r="F1966" s="77"/>
      <c r="G1966" s="80"/>
    </row>
    <row r="1967">
      <c r="A1967" s="77"/>
      <c r="B1967" s="77"/>
      <c r="C1967" s="77"/>
      <c r="D1967" s="77"/>
      <c r="E1967" s="77"/>
      <c r="F1967" s="77"/>
      <c r="G1967" s="80"/>
    </row>
    <row r="1968">
      <c r="A1968" s="77"/>
      <c r="B1968" s="77"/>
      <c r="C1968" s="77"/>
      <c r="D1968" s="77"/>
      <c r="E1968" s="77"/>
      <c r="F1968" s="77"/>
      <c r="G1968" s="80"/>
    </row>
    <row r="1969">
      <c r="A1969" s="77"/>
      <c r="B1969" s="77"/>
      <c r="C1969" s="77"/>
      <c r="D1969" s="77"/>
      <c r="E1969" s="77"/>
      <c r="F1969" s="77"/>
      <c r="G1969" s="80"/>
    </row>
    <row r="1970">
      <c r="A1970" s="77"/>
      <c r="B1970" s="77"/>
      <c r="C1970" s="77"/>
      <c r="D1970" s="77"/>
      <c r="E1970" s="77"/>
      <c r="F1970" s="77"/>
      <c r="G1970" s="80"/>
    </row>
    <row r="1971">
      <c r="A1971" s="77"/>
      <c r="B1971" s="77"/>
      <c r="C1971" s="77"/>
      <c r="D1971" s="77"/>
      <c r="E1971" s="77"/>
      <c r="F1971" s="77"/>
      <c r="G1971" s="80"/>
    </row>
    <row r="1972">
      <c r="A1972" s="77"/>
      <c r="B1972" s="77"/>
      <c r="C1972" s="77"/>
      <c r="D1972" s="77"/>
      <c r="E1972" s="77"/>
      <c r="F1972" s="77"/>
      <c r="G1972" s="80"/>
    </row>
    <row r="1973">
      <c r="A1973" s="77"/>
      <c r="B1973" s="77"/>
      <c r="C1973" s="77"/>
      <c r="D1973" s="77"/>
      <c r="E1973" s="77"/>
      <c r="F1973" s="77"/>
      <c r="G1973" s="80"/>
    </row>
    <row r="1974">
      <c r="A1974" s="77"/>
      <c r="B1974" s="77"/>
      <c r="C1974" s="77"/>
      <c r="D1974" s="77"/>
      <c r="E1974" s="77"/>
      <c r="F1974" s="77"/>
      <c r="G1974" s="80"/>
    </row>
    <row r="1975">
      <c r="A1975" s="77"/>
      <c r="B1975" s="77"/>
      <c r="C1975" s="77"/>
      <c r="D1975" s="77"/>
      <c r="E1975" s="77"/>
      <c r="F1975" s="77"/>
      <c r="G1975" s="80"/>
    </row>
    <row r="1976">
      <c r="A1976" s="77"/>
      <c r="B1976" s="77"/>
      <c r="C1976" s="77"/>
      <c r="D1976" s="77"/>
      <c r="E1976" s="77"/>
      <c r="F1976" s="77"/>
      <c r="G1976" s="80"/>
    </row>
    <row r="1977">
      <c r="A1977" s="77"/>
      <c r="B1977" s="77"/>
      <c r="C1977" s="77"/>
      <c r="D1977" s="77"/>
      <c r="E1977" s="77"/>
      <c r="F1977" s="77"/>
      <c r="G1977" s="80"/>
    </row>
    <row r="1978">
      <c r="A1978" s="77"/>
      <c r="B1978" s="77"/>
      <c r="C1978" s="77"/>
      <c r="D1978" s="77"/>
      <c r="E1978" s="77"/>
      <c r="F1978" s="77"/>
      <c r="G1978" s="80"/>
    </row>
    <row r="1979">
      <c r="A1979" s="77"/>
      <c r="B1979" s="77"/>
      <c r="C1979" s="77"/>
      <c r="D1979" s="77"/>
      <c r="E1979" s="77"/>
      <c r="F1979" s="77"/>
      <c r="G1979" s="80"/>
    </row>
    <row r="1980">
      <c r="A1980" s="77"/>
      <c r="B1980" s="77"/>
      <c r="C1980" s="77"/>
      <c r="D1980" s="77"/>
      <c r="E1980" s="77"/>
      <c r="F1980" s="77"/>
      <c r="G1980" s="80"/>
    </row>
    <row r="1981">
      <c r="A1981" s="77"/>
      <c r="B1981" s="77"/>
      <c r="C1981" s="77"/>
      <c r="D1981" s="77"/>
      <c r="E1981" s="77"/>
      <c r="F1981" s="77"/>
      <c r="G1981" s="80"/>
    </row>
    <row r="1982">
      <c r="A1982" s="77"/>
      <c r="B1982" s="77"/>
      <c r="C1982" s="77"/>
      <c r="D1982" s="77"/>
      <c r="E1982" s="77"/>
      <c r="F1982" s="77"/>
      <c r="G1982" s="80"/>
    </row>
    <row r="1983">
      <c r="A1983" s="77"/>
      <c r="B1983" s="77"/>
      <c r="C1983" s="77"/>
      <c r="D1983" s="77"/>
      <c r="E1983" s="77"/>
      <c r="F1983" s="77"/>
      <c r="G1983" s="80"/>
    </row>
    <row r="1984">
      <c r="A1984" s="77"/>
      <c r="B1984" s="77"/>
      <c r="C1984" s="77"/>
      <c r="D1984" s="77"/>
      <c r="E1984" s="77"/>
      <c r="F1984" s="77"/>
      <c r="G1984" s="80"/>
    </row>
    <row r="1985">
      <c r="A1985" s="77"/>
      <c r="B1985" s="77"/>
      <c r="C1985" s="77"/>
      <c r="D1985" s="77"/>
      <c r="E1985" s="77"/>
      <c r="F1985" s="77"/>
      <c r="G1985" s="80"/>
    </row>
    <row r="1986">
      <c r="A1986" s="77"/>
      <c r="B1986" s="77"/>
      <c r="C1986" s="77"/>
      <c r="D1986" s="77"/>
      <c r="E1986" s="77"/>
      <c r="F1986" s="77"/>
      <c r="G1986" s="80"/>
    </row>
    <row r="1987">
      <c r="A1987" s="77"/>
      <c r="B1987" s="77"/>
      <c r="C1987" s="77"/>
      <c r="D1987" s="77"/>
      <c r="E1987" s="77"/>
      <c r="F1987" s="77"/>
      <c r="G1987" s="80"/>
    </row>
    <row r="1988">
      <c r="A1988" s="77"/>
      <c r="B1988" s="77"/>
      <c r="C1988" s="77"/>
      <c r="D1988" s="77"/>
      <c r="E1988" s="77"/>
      <c r="F1988" s="77"/>
      <c r="G1988" s="80"/>
    </row>
    <row r="1989">
      <c r="A1989" s="77"/>
      <c r="B1989" s="77"/>
      <c r="C1989" s="77"/>
      <c r="D1989" s="77"/>
      <c r="E1989" s="77"/>
      <c r="F1989" s="77"/>
      <c r="G1989" s="80"/>
    </row>
    <row r="1990">
      <c r="A1990" s="77"/>
      <c r="B1990" s="77"/>
      <c r="C1990" s="77"/>
      <c r="D1990" s="77"/>
      <c r="E1990" s="77"/>
      <c r="F1990" s="77"/>
      <c r="G1990" s="80"/>
    </row>
    <row r="1991">
      <c r="A1991" s="77"/>
      <c r="B1991" s="77"/>
      <c r="C1991" s="77"/>
      <c r="D1991" s="77"/>
      <c r="E1991" s="77"/>
      <c r="F1991" s="77"/>
      <c r="G1991" s="80"/>
    </row>
    <row r="1992">
      <c r="A1992" s="77"/>
      <c r="B1992" s="77"/>
      <c r="C1992" s="77"/>
      <c r="D1992" s="77"/>
      <c r="E1992" s="77"/>
      <c r="F1992" s="77"/>
      <c r="G1992" s="80"/>
    </row>
    <row r="1993">
      <c r="A1993" s="77"/>
      <c r="B1993" s="77"/>
      <c r="C1993" s="77"/>
      <c r="D1993" s="77"/>
      <c r="E1993" s="77"/>
      <c r="F1993" s="77"/>
      <c r="G1993" s="80"/>
    </row>
    <row r="1994">
      <c r="A1994" s="77"/>
      <c r="B1994" s="77"/>
      <c r="C1994" s="77"/>
      <c r="D1994" s="77"/>
      <c r="E1994" s="77"/>
      <c r="F1994" s="77"/>
      <c r="G1994" s="80"/>
    </row>
    <row r="1995">
      <c r="A1995" s="77"/>
      <c r="B1995" s="77"/>
      <c r="C1995" s="77"/>
      <c r="D1995" s="77"/>
      <c r="E1995" s="77"/>
      <c r="F1995" s="77"/>
      <c r="G1995" s="80"/>
    </row>
    <row r="1996">
      <c r="A1996" s="77"/>
      <c r="B1996" s="77"/>
      <c r="C1996" s="77"/>
      <c r="D1996" s="77"/>
      <c r="E1996" s="77"/>
      <c r="F1996" s="77"/>
      <c r="G1996" s="80"/>
    </row>
    <row r="1997">
      <c r="A1997" s="77"/>
      <c r="B1997" s="77"/>
      <c r="C1997" s="77"/>
      <c r="D1997" s="77"/>
      <c r="E1997" s="77"/>
      <c r="F1997" s="77"/>
      <c r="G1997" s="80"/>
    </row>
    <row r="1998">
      <c r="A1998" s="77"/>
      <c r="B1998" s="77"/>
      <c r="C1998" s="77"/>
      <c r="D1998" s="77"/>
      <c r="E1998" s="77"/>
      <c r="F1998" s="77"/>
      <c r="G1998" s="80"/>
    </row>
    <row r="1999">
      <c r="A1999" s="77"/>
      <c r="B1999" s="77"/>
      <c r="C1999" s="77"/>
      <c r="D1999" s="77"/>
      <c r="E1999" s="77"/>
      <c r="F1999" s="77"/>
      <c r="G1999" s="80"/>
    </row>
    <row r="2000">
      <c r="A2000" s="77"/>
      <c r="B2000" s="77"/>
      <c r="C2000" s="77"/>
      <c r="D2000" s="77"/>
      <c r="E2000" s="77"/>
      <c r="F2000" s="77"/>
      <c r="G2000" s="80"/>
    </row>
    <row r="2001">
      <c r="A2001" s="77"/>
      <c r="B2001" s="77"/>
      <c r="C2001" s="77"/>
      <c r="D2001" s="77"/>
      <c r="E2001" s="77"/>
      <c r="F2001" s="77"/>
      <c r="G2001" s="80"/>
    </row>
    <row r="2002">
      <c r="A2002" s="77"/>
      <c r="B2002" s="77"/>
      <c r="C2002" s="77"/>
      <c r="D2002" s="77"/>
      <c r="E2002" s="77"/>
      <c r="F2002" s="77"/>
      <c r="G2002" s="80"/>
    </row>
    <row r="2003">
      <c r="A2003" s="77"/>
      <c r="B2003" s="77"/>
      <c r="C2003" s="77"/>
      <c r="D2003" s="77"/>
      <c r="E2003" s="77"/>
      <c r="F2003" s="77"/>
      <c r="G2003" s="80"/>
    </row>
    <row r="2004">
      <c r="A2004" s="77"/>
      <c r="B2004" s="77"/>
      <c r="C2004" s="77"/>
      <c r="D2004" s="77"/>
      <c r="E2004" s="77"/>
      <c r="F2004" s="77"/>
      <c r="G2004" s="80"/>
    </row>
    <row r="2005">
      <c r="A2005" s="77"/>
      <c r="B2005" s="77"/>
      <c r="C2005" s="77"/>
      <c r="D2005" s="77"/>
      <c r="E2005" s="77"/>
      <c r="F2005" s="77"/>
      <c r="G2005" s="80"/>
    </row>
    <row r="2006">
      <c r="A2006" s="77"/>
      <c r="B2006" s="77"/>
      <c r="C2006" s="77"/>
      <c r="D2006" s="77"/>
      <c r="E2006" s="77"/>
      <c r="F2006" s="77"/>
      <c r="G2006" s="80"/>
    </row>
    <row r="2007">
      <c r="A2007" s="77"/>
      <c r="B2007" s="77"/>
      <c r="C2007" s="77"/>
      <c r="D2007" s="77"/>
      <c r="E2007" s="77"/>
      <c r="F2007" s="77"/>
      <c r="G2007" s="80"/>
    </row>
    <row r="2008">
      <c r="A2008" s="77"/>
      <c r="B2008" s="77"/>
      <c r="C2008" s="77"/>
      <c r="D2008" s="77"/>
      <c r="E2008" s="77"/>
      <c r="F2008" s="77"/>
      <c r="G2008" s="80"/>
    </row>
    <row r="2009">
      <c r="A2009" s="77"/>
      <c r="B2009" s="77"/>
      <c r="C2009" s="77"/>
      <c r="D2009" s="77"/>
      <c r="E2009" s="77"/>
      <c r="F2009" s="77"/>
      <c r="G2009" s="80"/>
    </row>
    <row r="2010">
      <c r="A2010" s="77"/>
      <c r="B2010" s="77"/>
      <c r="C2010" s="77"/>
      <c r="D2010" s="77"/>
      <c r="E2010" s="77"/>
      <c r="F2010" s="77"/>
      <c r="G2010" s="80"/>
    </row>
    <row r="2011">
      <c r="A2011" s="77"/>
      <c r="B2011" s="77"/>
      <c r="C2011" s="77"/>
      <c r="D2011" s="77"/>
      <c r="E2011" s="77"/>
      <c r="F2011" s="77"/>
      <c r="G2011" s="80"/>
    </row>
    <row r="2012">
      <c r="A2012" s="77"/>
      <c r="B2012" s="77"/>
      <c r="C2012" s="77"/>
      <c r="D2012" s="77"/>
      <c r="E2012" s="77"/>
      <c r="F2012" s="77"/>
      <c r="G2012" s="80"/>
    </row>
    <row r="2013">
      <c r="A2013" s="77"/>
      <c r="B2013" s="77"/>
      <c r="C2013" s="77"/>
      <c r="D2013" s="77"/>
      <c r="E2013" s="77"/>
      <c r="F2013" s="77"/>
      <c r="G2013" s="80"/>
    </row>
    <row r="2014">
      <c r="A2014" s="77"/>
      <c r="B2014" s="77"/>
      <c r="C2014" s="77"/>
      <c r="D2014" s="77"/>
      <c r="E2014" s="77"/>
      <c r="F2014" s="77"/>
      <c r="G2014" s="80"/>
    </row>
    <row r="2015">
      <c r="A2015" s="77"/>
      <c r="B2015" s="77"/>
      <c r="C2015" s="77"/>
      <c r="D2015" s="77"/>
      <c r="E2015" s="77"/>
      <c r="F2015" s="77"/>
      <c r="G2015" s="80"/>
    </row>
    <row r="2016">
      <c r="A2016" s="77"/>
      <c r="B2016" s="77"/>
      <c r="C2016" s="77"/>
      <c r="D2016" s="77"/>
      <c r="E2016" s="77"/>
      <c r="F2016" s="77"/>
      <c r="G2016" s="80"/>
    </row>
    <row r="2017">
      <c r="A2017" s="77"/>
      <c r="B2017" s="77"/>
      <c r="C2017" s="77"/>
      <c r="D2017" s="77"/>
      <c r="E2017" s="77"/>
      <c r="F2017" s="77"/>
      <c r="G2017" s="80"/>
    </row>
    <row r="2018">
      <c r="A2018" s="77"/>
      <c r="B2018" s="77"/>
      <c r="C2018" s="77"/>
      <c r="D2018" s="77"/>
      <c r="E2018" s="77"/>
      <c r="F2018" s="77"/>
      <c r="G2018" s="80"/>
    </row>
    <row r="2019">
      <c r="A2019" s="77"/>
      <c r="B2019" s="77"/>
      <c r="C2019" s="77"/>
      <c r="D2019" s="77"/>
      <c r="E2019" s="77"/>
      <c r="F2019" s="77"/>
      <c r="G2019" s="80"/>
    </row>
    <row r="2020">
      <c r="A2020" s="77"/>
      <c r="B2020" s="77"/>
      <c r="C2020" s="77"/>
      <c r="D2020" s="77"/>
      <c r="E2020" s="77"/>
      <c r="F2020" s="77"/>
      <c r="G2020" s="80"/>
    </row>
    <row r="2021">
      <c r="A2021" s="77"/>
      <c r="B2021" s="77"/>
      <c r="C2021" s="77"/>
      <c r="D2021" s="77"/>
      <c r="E2021" s="77"/>
      <c r="F2021" s="77"/>
      <c r="G2021" s="80"/>
    </row>
    <row r="2022">
      <c r="A2022" s="77"/>
      <c r="B2022" s="77"/>
      <c r="C2022" s="77"/>
      <c r="D2022" s="77"/>
      <c r="E2022" s="77"/>
      <c r="F2022" s="77"/>
      <c r="G2022" s="80"/>
    </row>
    <row r="2023">
      <c r="A2023" s="77"/>
      <c r="B2023" s="77"/>
      <c r="C2023" s="77"/>
      <c r="D2023" s="77"/>
      <c r="E2023" s="77"/>
      <c r="F2023" s="77"/>
      <c r="G2023" s="80"/>
    </row>
    <row r="2024">
      <c r="A2024" s="77"/>
      <c r="B2024" s="77"/>
      <c r="C2024" s="77"/>
      <c r="D2024" s="77"/>
      <c r="E2024" s="77"/>
      <c r="F2024" s="77"/>
      <c r="G2024" s="80"/>
    </row>
    <row r="2025">
      <c r="A2025" s="77"/>
      <c r="B2025" s="77"/>
      <c r="C2025" s="77"/>
      <c r="D2025" s="77"/>
      <c r="E2025" s="77"/>
      <c r="F2025" s="77"/>
      <c r="G2025" s="80"/>
    </row>
    <row r="2026">
      <c r="A2026" s="77"/>
      <c r="B2026" s="77"/>
      <c r="C2026" s="77"/>
      <c r="D2026" s="77"/>
      <c r="E2026" s="77"/>
      <c r="F2026" s="77"/>
      <c r="G2026" s="80"/>
    </row>
    <row r="2027">
      <c r="A2027" s="77"/>
      <c r="B2027" s="77"/>
      <c r="C2027" s="77"/>
      <c r="D2027" s="77"/>
      <c r="E2027" s="77"/>
      <c r="F2027" s="77"/>
      <c r="G2027" s="80"/>
    </row>
    <row r="2028">
      <c r="A2028" s="77"/>
      <c r="B2028" s="77"/>
      <c r="C2028" s="77"/>
      <c r="D2028" s="77"/>
      <c r="E2028" s="77"/>
      <c r="F2028" s="77"/>
      <c r="G2028" s="80"/>
    </row>
    <row r="2029">
      <c r="A2029" s="77"/>
      <c r="B2029" s="77"/>
      <c r="C2029" s="77"/>
      <c r="D2029" s="77"/>
      <c r="E2029" s="77"/>
      <c r="F2029" s="77"/>
      <c r="G2029" s="80"/>
    </row>
    <row r="2030">
      <c r="A2030" s="77"/>
      <c r="B2030" s="77"/>
      <c r="C2030" s="77"/>
      <c r="D2030" s="77"/>
      <c r="E2030" s="77"/>
      <c r="F2030" s="77"/>
      <c r="G2030" s="80"/>
    </row>
    <row r="2031">
      <c r="A2031" s="77"/>
      <c r="B2031" s="77"/>
      <c r="C2031" s="77"/>
      <c r="D2031" s="77"/>
      <c r="E2031" s="77"/>
      <c r="F2031" s="77"/>
      <c r="G2031" s="80"/>
    </row>
    <row r="2032">
      <c r="A2032" s="77"/>
      <c r="B2032" s="77"/>
      <c r="C2032" s="77"/>
      <c r="D2032" s="77"/>
      <c r="E2032" s="77"/>
      <c r="F2032" s="77"/>
      <c r="G2032" s="80"/>
    </row>
    <row r="2033">
      <c r="A2033" s="77"/>
      <c r="B2033" s="77"/>
      <c r="C2033" s="77"/>
      <c r="D2033" s="77"/>
      <c r="E2033" s="77"/>
      <c r="F2033" s="77"/>
      <c r="G2033" s="80"/>
    </row>
    <row r="2034">
      <c r="A2034" s="77"/>
      <c r="B2034" s="77"/>
      <c r="C2034" s="77"/>
      <c r="D2034" s="77"/>
      <c r="E2034" s="77"/>
      <c r="F2034" s="77"/>
      <c r="G2034" s="80"/>
    </row>
    <row r="2035">
      <c r="A2035" s="77"/>
      <c r="B2035" s="77"/>
      <c r="C2035" s="77"/>
      <c r="D2035" s="77"/>
      <c r="E2035" s="77"/>
      <c r="F2035" s="77"/>
      <c r="G2035" s="80"/>
    </row>
    <row r="2036">
      <c r="A2036" s="77"/>
      <c r="B2036" s="77"/>
      <c r="C2036" s="77"/>
      <c r="D2036" s="77"/>
      <c r="E2036" s="77"/>
      <c r="F2036" s="77"/>
      <c r="G2036" s="80"/>
    </row>
    <row r="2037">
      <c r="A2037" s="77"/>
      <c r="B2037" s="77"/>
      <c r="C2037" s="77"/>
      <c r="D2037" s="77"/>
      <c r="E2037" s="77"/>
      <c r="F2037" s="77"/>
      <c r="G2037" s="80"/>
    </row>
    <row r="2038">
      <c r="A2038" s="77"/>
      <c r="B2038" s="77"/>
      <c r="C2038" s="77"/>
      <c r="D2038" s="77"/>
      <c r="E2038" s="77"/>
      <c r="F2038" s="77"/>
      <c r="G2038" s="80"/>
    </row>
    <row r="2039">
      <c r="A2039" s="77"/>
      <c r="B2039" s="77"/>
      <c r="C2039" s="77"/>
      <c r="D2039" s="77"/>
      <c r="E2039" s="77"/>
      <c r="F2039" s="77"/>
      <c r="G2039" s="80"/>
    </row>
    <row r="2040">
      <c r="A2040" s="77"/>
      <c r="B2040" s="77"/>
      <c r="C2040" s="77"/>
      <c r="D2040" s="77"/>
      <c r="E2040" s="77"/>
      <c r="F2040" s="77"/>
      <c r="G2040" s="80"/>
    </row>
    <row r="2041">
      <c r="A2041" s="77"/>
      <c r="B2041" s="77"/>
      <c r="C2041" s="77"/>
      <c r="D2041" s="77"/>
      <c r="E2041" s="77"/>
      <c r="F2041" s="77"/>
      <c r="G2041" s="80"/>
    </row>
    <row r="2042">
      <c r="A2042" s="77"/>
      <c r="B2042" s="77"/>
      <c r="C2042" s="77"/>
      <c r="D2042" s="77"/>
      <c r="E2042" s="77"/>
      <c r="F2042" s="77"/>
      <c r="G2042" s="80"/>
    </row>
    <row r="2043">
      <c r="A2043" s="77"/>
      <c r="B2043" s="77"/>
      <c r="C2043" s="77"/>
      <c r="D2043" s="77"/>
      <c r="E2043" s="77"/>
      <c r="F2043" s="77"/>
      <c r="G2043" s="80"/>
    </row>
    <row r="2044">
      <c r="A2044" s="77"/>
      <c r="B2044" s="77"/>
      <c r="C2044" s="77"/>
      <c r="D2044" s="77"/>
      <c r="E2044" s="77"/>
      <c r="F2044" s="77"/>
      <c r="G2044" s="80"/>
    </row>
    <row r="2045">
      <c r="A2045" s="77"/>
      <c r="B2045" s="77"/>
      <c r="C2045" s="77"/>
      <c r="D2045" s="77"/>
      <c r="E2045" s="77"/>
      <c r="F2045" s="77"/>
      <c r="G2045" s="80"/>
    </row>
    <row r="2046">
      <c r="A2046" s="77"/>
      <c r="B2046" s="77"/>
      <c r="C2046" s="77"/>
      <c r="D2046" s="77"/>
      <c r="E2046" s="77"/>
      <c r="F2046" s="77"/>
      <c r="G2046" s="80"/>
    </row>
    <row r="2047">
      <c r="A2047" s="77"/>
      <c r="B2047" s="77"/>
      <c r="C2047" s="77"/>
      <c r="D2047" s="77"/>
      <c r="E2047" s="77"/>
      <c r="F2047" s="77"/>
      <c r="G2047" s="80"/>
    </row>
    <row r="2048">
      <c r="A2048" s="77"/>
      <c r="B2048" s="77"/>
      <c r="C2048" s="77"/>
      <c r="D2048" s="77"/>
      <c r="E2048" s="77"/>
      <c r="F2048" s="77"/>
      <c r="G2048" s="80"/>
    </row>
    <row r="2049">
      <c r="A2049" s="77"/>
      <c r="B2049" s="77"/>
      <c r="C2049" s="77"/>
      <c r="D2049" s="77"/>
      <c r="E2049" s="77"/>
      <c r="F2049" s="77"/>
      <c r="G2049" s="80"/>
    </row>
    <row r="2050">
      <c r="A2050" s="77"/>
      <c r="B2050" s="77"/>
      <c r="C2050" s="77"/>
      <c r="D2050" s="77"/>
      <c r="E2050" s="77"/>
      <c r="F2050" s="77"/>
      <c r="G2050" s="80"/>
    </row>
    <row r="2051">
      <c r="A2051" s="77"/>
      <c r="B2051" s="77"/>
      <c r="C2051" s="77"/>
      <c r="D2051" s="77"/>
      <c r="E2051" s="77"/>
      <c r="F2051" s="77"/>
      <c r="G2051" s="80"/>
    </row>
    <row r="2052">
      <c r="A2052" s="77"/>
      <c r="B2052" s="77"/>
      <c r="C2052" s="77"/>
      <c r="D2052" s="77"/>
      <c r="E2052" s="77"/>
      <c r="F2052" s="77"/>
      <c r="G2052" s="80"/>
    </row>
    <row r="2053">
      <c r="A2053" s="77"/>
      <c r="B2053" s="77"/>
      <c r="C2053" s="77"/>
      <c r="D2053" s="77"/>
      <c r="E2053" s="77"/>
      <c r="F2053" s="77"/>
      <c r="G2053" s="80"/>
    </row>
    <row r="2054">
      <c r="A2054" s="77"/>
      <c r="B2054" s="77"/>
      <c r="C2054" s="77"/>
      <c r="D2054" s="77"/>
      <c r="E2054" s="77"/>
      <c r="F2054" s="77"/>
      <c r="G2054" s="80"/>
    </row>
    <row r="2055">
      <c r="A2055" s="77"/>
      <c r="B2055" s="77"/>
      <c r="C2055" s="77"/>
      <c r="D2055" s="77"/>
      <c r="E2055" s="77"/>
      <c r="F2055" s="77"/>
      <c r="G2055" s="80"/>
    </row>
    <row r="2056">
      <c r="A2056" s="77"/>
      <c r="B2056" s="77"/>
      <c r="C2056" s="77"/>
      <c r="D2056" s="77"/>
      <c r="E2056" s="77"/>
      <c r="F2056" s="77"/>
      <c r="G2056" s="80"/>
    </row>
    <row r="2057">
      <c r="A2057" s="77"/>
      <c r="B2057" s="77"/>
      <c r="C2057" s="77"/>
      <c r="D2057" s="77"/>
      <c r="E2057" s="77"/>
      <c r="F2057" s="77"/>
      <c r="G2057" s="80"/>
    </row>
    <row r="2058">
      <c r="A2058" s="77"/>
      <c r="B2058" s="77"/>
      <c r="C2058" s="77"/>
      <c r="D2058" s="77"/>
      <c r="E2058" s="77"/>
      <c r="F2058" s="77"/>
      <c r="G2058" s="80"/>
    </row>
    <row r="2059">
      <c r="A2059" s="77"/>
      <c r="B2059" s="77"/>
      <c r="C2059" s="77"/>
      <c r="D2059" s="77"/>
      <c r="E2059" s="77"/>
      <c r="F2059" s="77"/>
      <c r="G2059" s="80"/>
    </row>
    <row r="2060">
      <c r="A2060" s="77"/>
      <c r="B2060" s="77"/>
      <c r="C2060" s="77"/>
      <c r="D2060" s="77"/>
      <c r="E2060" s="77"/>
      <c r="F2060" s="77"/>
      <c r="G2060" s="80"/>
    </row>
    <row r="2061">
      <c r="A2061" s="77"/>
      <c r="B2061" s="77"/>
      <c r="C2061" s="77"/>
      <c r="D2061" s="77"/>
      <c r="E2061" s="77"/>
      <c r="F2061" s="77"/>
      <c r="G2061" s="80"/>
    </row>
    <row r="2062">
      <c r="A2062" s="77"/>
      <c r="B2062" s="77"/>
      <c r="C2062" s="77"/>
      <c r="D2062" s="77"/>
      <c r="E2062" s="77"/>
      <c r="F2062" s="77"/>
      <c r="G2062" s="80"/>
    </row>
    <row r="2063">
      <c r="A2063" s="77"/>
      <c r="B2063" s="77"/>
      <c r="C2063" s="77"/>
      <c r="D2063" s="77"/>
      <c r="E2063" s="77"/>
      <c r="F2063" s="77"/>
      <c r="G2063" s="80"/>
    </row>
    <row r="2064">
      <c r="A2064" s="77"/>
      <c r="B2064" s="77"/>
      <c r="C2064" s="77"/>
      <c r="D2064" s="77"/>
      <c r="E2064" s="77"/>
      <c r="F2064" s="77"/>
      <c r="G2064" s="80"/>
    </row>
    <row r="2065">
      <c r="A2065" s="77"/>
      <c r="B2065" s="77"/>
      <c r="C2065" s="77"/>
      <c r="D2065" s="77"/>
      <c r="E2065" s="77"/>
      <c r="F2065" s="77"/>
      <c r="G2065" s="80"/>
    </row>
    <row r="2066">
      <c r="A2066" s="77"/>
      <c r="B2066" s="77"/>
      <c r="C2066" s="77"/>
      <c r="D2066" s="77"/>
      <c r="E2066" s="77"/>
      <c r="F2066" s="77"/>
      <c r="G2066" s="80"/>
    </row>
    <row r="2067">
      <c r="A2067" s="77"/>
      <c r="B2067" s="77"/>
      <c r="C2067" s="77"/>
      <c r="D2067" s="77"/>
      <c r="E2067" s="77"/>
      <c r="F2067" s="77"/>
      <c r="G2067" s="80"/>
    </row>
    <row r="2068">
      <c r="A2068" s="77"/>
      <c r="B2068" s="77"/>
      <c r="C2068" s="77"/>
      <c r="D2068" s="77"/>
      <c r="E2068" s="77"/>
      <c r="F2068" s="77"/>
      <c r="G2068" s="80"/>
    </row>
    <row r="2069">
      <c r="A2069" s="77"/>
      <c r="B2069" s="77"/>
      <c r="C2069" s="77"/>
      <c r="D2069" s="77"/>
      <c r="E2069" s="77"/>
      <c r="F2069" s="77"/>
      <c r="G2069" s="80"/>
    </row>
    <row r="2070">
      <c r="A2070" s="77"/>
      <c r="B2070" s="77"/>
      <c r="C2070" s="77"/>
      <c r="D2070" s="77"/>
      <c r="E2070" s="77"/>
      <c r="F2070" s="77"/>
      <c r="G2070" s="80"/>
    </row>
    <row r="2071">
      <c r="A2071" s="77"/>
      <c r="B2071" s="77"/>
      <c r="C2071" s="77"/>
      <c r="D2071" s="77"/>
      <c r="E2071" s="77"/>
      <c r="F2071" s="77"/>
      <c r="G2071" s="80"/>
    </row>
    <row r="2072">
      <c r="A2072" s="77"/>
      <c r="B2072" s="77"/>
      <c r="C2072" s="77"/>
      <c r="D2072" s="77"/>
      <c r="E2072" s="77"/>
      <c r="F2072" s="77"/>
      <c r="G2072" s="80"/>
    </row>
    <row r="2073">
      <c r="A2073" s="77"/>
      <c r="B2073" s="77"/>
      <c r="C2073" s="77"/>
      <c r="D2073" s="77"/>
      <c r="E2073" s="77"/>
      <c r="F2073" s="77"/>
      <c r="G2073" s="80"/>
    </row>
    <row r="2074">
      <c r="A2074" s="77"/>
      <c r="B2074" s="77"/>
      <c r="C2074" s="77"/>
      <c r="D2074" s="77"/>
      <c r="E2074" s="77"/>
      <c r="F2074" s="77"/>
      <c r="G2074" s="80"/>
    </row>
    <row r="2075">
      <c r="A2075" s="77"/>
      <c r="B2075" s="77"/>
      <c r="C2075" s="77"/>
      <c r="D2075" s="77"/>
      <c r="E2075" s="77"/>
      <c r="F2075" s="77"/>
      <c r="G2075" s="80"/>
    </row>
    <row r="2076">
      <c r="A2076" s="77"/>
      <c r="B2076" s="77"/>
      <c r="C2076" s="77"/>
      <c r="D2076" s="77"/>
      <c r="E2076" s="77"/>
      <c r="F2076" s="77"/>
      <c r="G2076" s="80"/>
    </row>
    <row r="2077">
      <c r="A2077" s="77"/>
      <c r="B2077" s="77"/>
      <c r="C2077" s="77"/>
      <c r="D2077" s="77"/>
      <c r="E2077" s="77"/>
      <c r="F2077" s="77"/>
      <c r="G2077" s="80"/>
    </row>
    <row r="2078">
      <c r="A2078" s="77"/>
      <c r="B2078" s="77"/>
      <c r="C2078" s="77"/>
      <c r="D2078" s="77"/>
      <c r="E2078" s="77"/>
      <c r="F2078" s="77"/>
      <c r="G2078" s="80"/>
    </row>
    <row r="2079">
      <c r="A2079" s="77"/>
      <c r="B2079" s="77"/>
      <c r="C2079" s="77"/>
      <c r="D2079" s="77"/>
      <c r="E2079" s="77"/>
      <c r="F2079" s="77"/>
      <c r="G2079" s="80"/>
    </row>
    <row r="2080">
      <c r="A2080" s="77"/>
      <c r="B2080" s="77"/>
      <c r="C2080" s="77"/>
      <c r="D2080" s="77"/>
      <c r="E2080" s="77"/>
      <c r="F2080" s="77"/>
      <c r="G2080" s="80"/>
    </row>
    <row r="2081">
      <c r="A2081" s="77"/>
      <c r="B2081" s="77"/>
      <c r="C2081" s="77"/>
      <c r="D2081" s="77"/>
      <c r="E2081" s="77"/>
      <c r="F2081" s="77"/>
      <c r="G2081" s="80"/>
    </row>
    <row r="2082">
      <c r="A2082" s="77"/>
      <c r="B2082" s="77"/>
      <c r="C2082" s="77"/>
      <c r="D2082" s="77"/>
      <c r="E2082" s="77"/>
      <c r="F2082" s="77"/>
      <c r="G2082" s="80"/>
    </row>
    <row r="2083">
      <c r="A2083" s="77"/>
      <c r="B2083" s="77"/>
      <c r="C2083" s="77"/>
      <c r="D2083" s="77"/>
      <c r="E2083" s="77"/>
      <c r="F2083" s="77"/>
      <c r="G2083" s="80"/>
    </row>
    <row r="2084">
      <c r="A2084" s="77"/>
      <c r="B2084" s="77"/>
      <c r="C2084" s="77"/>
      <c r="D2084" s="77"/>
      <c r="E2084" s="77"/>
      <c r="F2084" s="77"/>
      <c r="G2084" s="80"/>
    </row>
    <row r="2085">
      <c r="A2085" s="77"/>
      <c r="B2085" s="77"/>
      <c r="C2085" s="77"/>
      <c r="D2085" s="77"/>
      <c r="E2085" s="77"/>
      <c r="F2085" s="77"/>
      <c r="G2085" s="80"/>
    </row>
    <row r="2086">
      <c r="A2086" s="77"/>
      <c r="B2086" s="77"/>
      <c r="C2086" s="77"/>
      <c r="D2086" s="77"/>
      <c r="E2086" s="77"/>
      <c r="F2086" s="77"/>
      <c r="G2086" s="80"/>
    </row>
    <row r="2087">
      <c r="A2087" s="77"/>
      <c r="B2087" s="77"/>
      <c r="C2087" s="77"/>
      <c r="D2087" s="77"/>
      <c r="E2087" s="77"/>
      <c r="F2087" s="77"/>
      <c r="G2087" s="80"/>
    </row>
    <row r="2088">
      <c r="A2088" s="77"/>
      <c r="B2088" s="77"/>
      <c r="C2088" s="77"/>
      <c r="D2088" s="77"/>
      <c r="E2088" s="77"/>
      <c r="F2088" s="77"/>
      <c r="G2088" s="80"/>
    </row>
    <row r="2089">
      <c r="A2089" s="77"/>
      <c r="B2089" s="77"/>
      <c r="C2089" s="77"/>
      <c r="D2089" s="77"/>
      <c r="E2089" s="77"/>
      <c r="F2089" s="77"/>
      <c r="G2089" s="80"/>
    </row>
    <row r="2090">
      <c r="A2090" s="77"/>
      <c r="B2090" s="77"/>
      <c r="C2090" s="77"/>
      <c r="D2090" s="77"/>
      <c r="E2090" s="77"/>
      <c r="F2090" s="77"/>
      <c r="G2090" s="80"/>
    </row>
    <row r="2091">
      <c r="A2091" s="77"/>
      <c r="B2091" s="77"/>
      <c r="C2091" s="77"/>
      <c r="D2091" s="77"/>
      <c r="E2091" s="77"/>
      <c r="F2091" s="77"/>
      <c r="G2091" s="80"/>
    </row>
    <row r="2092">
      <c r="A2092" s="77"/>
      <c r="B2092" s="77"/>
      <c r="C2092" s="77"/>
      <c r="D2092" s="77"/>
      <c r="E2092" s="77"/>
      <c r="F2092" s="77"/>
      <c r="G2092" s="80"/>
    </row>
    <row r="2093">
      <c r="A2093" s="77"/>
      <c r="B2093" s="77"/>
      <c r="C2093" s="77"/>
      <c r="D2093" s="77"/>
      <c r="E2093" s="77"/>
      <c r="F2093" s="77"/>
      <c r="G2093" s="80"/>
    </row>
    <row r="2094">
      <c r="A2094" s="77"/>
      <c r="B2094" s="77"/>
      <c r="C2094" s="77"/>
      <c r="D2094" s="77"/>
      <c r="E2094" s="77"/>
      <c r="F2094" s="77"/>
      <c r="G2094" s="80"/>
    </row>
    <row r="2095">
      <c r="A2095" s="77"/>
      <c r="B2095" s="77"/>
      <c r="C2095" s="77"/>
      <c r="D2095" s="77"/>
      <c r="E2095" s="77"/>
      <c r="F2095" s="77"/>
      <c r="G2095" s="80"/>
    </row>
    <row r="2096">
      <c r="A2096" s="77"/>
      <c r="B2096" s="77"/>
      <c r="C2096" s="77"/>
      <c r="D2096" s="77"/>
      <c r="E2096" s="77"/>
      <c r="F2096" s="77"/>
      <c r="G2096" s="80"/>
    </row>
    <row r="2097">
      <c r="A2097" s="77"/>
      <c r="B2097" s="77"/>
      <c r="C2097" s="77"/>
      <c r="D2097" s="77"/>
      <c r="E2097" s="77"/>
      <c r="F2097" s="77"/>
      <c r="G2097" s="80"/>
    </row>
    <row r="2098">
      <c r="A2098" s="77"/>
      <c r="B2098" s="77"/>
      <c r="C2098" s="77"/>
      <c r="D2098" s="77"/>
      <c r="E2098" s="77"/>
      <c r="F2098" s="77"/>
      <c r="G2098" s="80"/>
    </row>
    <row r="2099">
      <c r="A2099" s="77"/>
      <c r="B2099" s="77"/>
      <c r="C2099" s="77"/>
      <c r="D2099" s="77"/>
      <c r="E2099" s="77"/>
      <c r="F2099" s="77"/>
      <c r="G2099" s="80"/>
    </row>
    <row r="2100">
      <c r="A2100" s="77"/>
      <c r="B2100" s="77"/>
      <c r="C2100" s="77"/>
      <c r="D2100" s="77"/>
      <c r="E2100" s="77"/>
      <c r="F2100" s="77"/>
      <c r="G2100" s="80"/>
    </row>
    <row r="2101">
      <c r="A2101" s="77"/>
      <c r="B2101" s="77"/>
      <c r="C2101" s="77"/>
      <c r="D2101" s="77"/>
      <c r="E2101" s="77"/>
      <c r="F2101" s="77"/>
      <c r="G2101" s="80"/>
    </row>
    <row r="2102">
      <c r="A2102" s="77"/>
      <c r="B2102" s="77"/>
      <c r="C2102" s="77"/>
      <c r="D2102" s="77"/>
      <c r="E2102" s="77"/>
      <c r="F2102" s="77"/>
      <c r="G2102" s="80"/>
    </row>
    <row r="2103">
      <c r="A2103" s="77"/>
      <c r="B2103" s="77"/>
      <c r="C2103" s="77"/>
      <c r="D2103" s="77"/>
      <c r="E2103" s="77"/>
      <c r="F2103" s="77"/>
      <c r="G2103" s="80"/>
    </row>
    <row r="2104">
      <c r="A2104" s="77"/>
      <c r="B2104" s="77"/>
      <c r="C2104" s="77"/>
      <c r="D2104" s="77"/>
      <c r="E2104" s="77"/>
      <c r="F2104" s="77"/>
      <c r="G2104" s="80"/>
    </row>
    <row r="2105">
      <c r="A2105" s="77"/>
      <c r="B2105" s="77"/>
      <c r="C2105" s="77"/>
      <c r="D2105" s="77"/>
      <c r="E2105" s="77"/>
      <c r="F2105" s="77"/>
      <c r="G2105" s="80"/>
    </row>
    <row r="2106">
      <c r="A2106" s="77"/>
      <c r="B2106" s="77"/>
      <c r="C2106" s="77"/>
      <c r="D2106" s="77"/>
      <c r="E2106" s="77"/>
      <c r="F2106" s="77"/>
      <c r="G2106" s="80"/>
    </row>
    <row r="2107">
      <c r="A2107" s="77"/>
      <c r="B2107" s="77"/>
      <c r="C2107" s="77"/>
      <c r="D2107" s="77"/>
      <c r="E2107" s="77"/>
      <c r="F2107" s="77"/>
      <c r="G2107" s="80"/>
    </row>
    <row r="2108">
      <c r="A2108" s="77"/>
      <c r="B2108" s="77"/>
      <c r="C2108" s="77"/>
      <c r="D2108" s="77"/>
      <c r="E2108" s="77"/>
      <c r="F2108" s="77"/>
      <c r="G2108" s="80"/>
    </row>
    <row r="2109">
      <c r="A2109" s="77"/>
      <c r="B2109" s="77"/>
      <c r="C2109" s="77"/>
      <c r="D2109" s="77"/>
      <c r="E2109" s="77"/>
      <c r="F2109" s="77"/>
      <c r="G2109" s="80"/>
    </row>
    <row r="2110">
      <c r="A2110" s="77"/>
      <c r="B2110" s="77"/>
      <c r="C2110" s="77"/>
      <c r="D2110" s="77"/>
      <c r="E2110" s="77"/>
      <c r="F2110" s="77"/>
      <c r="G2110" s="80"/>
    </row>
    <row r="2111">
      <c r="A2111" s="77"/>
      <c r="B2111" s="77"/>
      <c r="C2111" s="77"/>
      <c r="D2111" s="77"/>
      <c r="E2111" s="77"/>
      <c r="F2111" s="77"/>
      <c r="G2111" s="80"/>
    </row>
    <row r="2112">
      <c r="A2112" s="77"/>
      <c r="B2112" s="77"/>
      <c r="C2112" s="77"/>
      <c r="D2112" s="77"/>
      <c r="E2112" s="77"/>
      <c r="F2112" s="77"/>
      <c r="G2112" s="80"/>
    </row>
    <row r="2113">
      <c r="A2113" s="77"/>
      <c r="B2113" s="77"/>
      <c r="C2113" s="77"/>
      <c r="D2113" s="77"/>
      <c r="E2113" s="77"/>
      <c r="F2113" s="77"/>
      <c r="G2113" s="80"/>
    </row>
    <row r="2114">
      <c r="A2114" s="77"/>
      <c r="B2114" s="77"/>
      <c r="C2114" s="77"/>
      <c r="D2114" s="77"/>
      <c r="E2114" s="77"/>
      <c r="F2114" s="77"/>
      <c r="G2114" s="80"/>
    </row>
    <row r="2115">
      <c r="A2115" s="77"/>
      <c r="B2115" s="77"/>
      <c r="C2115" s="77"/>
      <c r="D2115" s="77"/>
      <c r="E2115" s="77"/>
      <c r="F2115" s="77"/>
      <c r="G2115" s="80"/>
    </row>
    <row r="2116">
      <c r="A2116" s="77"/>
      <c r="B2116" s="77"/>
      <c r="C2116" s="77"/>
      <c r="D2116" s="77"/>
      <c r="E2116" s="77"/>
      <c r="F2116" s="77"/>
      <c r="G2116" s="80"/>
    </row>
    <row r="2117">
      <c r="A2117" s="77"/>
      <c r="B2117" s="77"/>
      <c r="C2117" s="77"/>
      <c r="D2117" s="77"/>
      <c r="E2117" s="77"/>
      <c r="F2117" s="77"/>
      <c r="G2117" s="80"/>
    </row>
    <row r="2118">
      <c r="A2118" s="77"/>
      <c r="B2118" s="77"/>
      <c r="C2118" s="77"/>
      <c r="D2118" s="77"/>
      <c r="E2118" s="77"/>
      <c r="F2118" s="77"/>
      <c r="G2118" s="80"/>
    </row>
    <row r="2119">
      <c r="A2119" s="77"/>
      <c r="B2119" s="77"/>
      <c r="C2119" s="77"/>
      <c r="D2119" s="77"/>
      <c r="E2119" s="77"/>
      <c r="F2119" s="77"/>
      <c r="G2119" s="80"/>
    </row>
    <row r="2120">
      <c r="A2120" s="77"/>
      <c r="B2120" s="77"/>
      <c r="C2120" s="77"/>
      <c r="D2120" s="77"/>
      <c r="E2120" s="77"/>
      <c r="F2120" s="77"/>
      <c r="G2120" s="80"/>
    </row>
    <row r="2121">
      <c r="A2121" s="77"/>
      <c r="B2121" s="77"/>
      <c r="C2121" s="77"/>
      <c r="D2121" s="77"/>
      <c r="E2121" s="77"/>
      <c r="F2121" s="77"/>
      <c r="G2121" s="80"/>
    </row>
    <row r="2122">
      <c r="A2122" s="77"/>
      <c r="B2122" s="77"/>
      <c r="C2122" s="77"/>
      <c r="D2122" s="77"/>
      <c r="E2122" s="77"/>
      <c r="F2122" s="77"/>
      <c r="G2122" s="80"/>
    </row>
    <row r="2123">
      <c r="A2123" s="77"/>
      <c r="B2123" s="77"/>
      <c r="C2123" s="77"/>
      <c r="D2123" s="77"/>
      <c r="E2123" s="77"/>
      <c r="F2123" s="77"/>
      <c r="G2123" s="80"/>
    </row>
    <row r="2124">
      <c r="A2124" s="77"/>
      <c r="B2124" s="77"/>
      <c r="C2124" s="77"/>
      <c r="D2124" s="77"/>
      <c r="E2124" s="77"/>
      <c r="F2124" s="77"/>
      <c r="G2124" s="80"/>
    </row>
    <row r="2125">
      <c r="A2125" s="77"/>
      <c r="B2125" s="77"/>
      <c r="C2125" s="77"/>
      <c r="D2125" s="77"/>
      <c r="E2125" s="77"/>
      <c r="F2125" s="77"/>
      <c r="G2125" s="80"/>
    </row>
    <row r="2126">
      <c r="A2126" s="77"/>
      <c r="B2126" s="77"/>
      <c r="C2126" s="77"/>
      <c r="D2126" s="77"/>
      <c r="E2126" s="77"/>
      <c r="F2126" s="77"/>
      <c r="G2126" s="80"/>
    </row>
    <row r="2127">
      <c r="A2127" s="77"/>
      <c r="B2127" s="77"/>
      <c r="C2127" s="77"/>
      <c r="D2127" s="77"/>
      <c r="E2127" s="77"/>
      <c r="F2127" s="77"/>
      <c r="G2127" s="80"/>
    </row>
    <row r="2128">
      <c r="A2128" s="77"/>
      <c r="B2128" s="77"/>
      <c r="C2128" s="77"/>
      <c r="D2128" s="77"/>
      <c r="E2128" s="77"/>
      <c r="F2128" s="77"/>
      <c r="G2128" s="80"/>
    </row>
    <row r="2129">
      <c r="A2129" s="77"/>
      <c r="B2129" s="77"/>
      <c r="C2129" s="77"/>
      <c r="D2129" s="77"/>
      <c r="E2129" s="77"/>
      <c r="F2129" s="77"/>
      <c r="G2129" s="80"/>
    </row>
    <row r="2130">
      <c r="A2130" s="77"/>
      <c r="B2130" s="77"/>
      <c r="C2130" s="77"/>
      <c r="D2130" s="77"/>
      <c r="E2130" s="77"/>
      <c r="F2130" s="77"/>
      <c r="G2130" s="80"/>
    </row>
    <row r="2131">
      <c r="A2131" s="77"/>
      <c r="B2131" s="77"/>
      <c r="C2131" s="77"/>
      <c r="D2131" s="77"/>
      <c r="E2131" s="77"/>
      <c r="F2131" s="77"/>
      <c r="G2131" s="80"/>
    </row>
    <row r="2132">
      <c r="A2132" s="77"/>
      <c r="B2132" s="77"/>
      <c r="C2132" s="77"/>
      <c r="D2132" s="77"/>
      <c r="E2132" s="77"/>
      <c r="F2132" s="77"/>
      <c r="G2132" s="80"/>
    </row>
    <row r="2133">
      <c r="A2133" s="77"/>
      <c r="B2133" s="77"/>
      <c r="C2133" s="77"/>
      <c r="D2133" s="77"/>
      <c r="E2133" s="77"/>
      <c r="F2133" s="77"/>
      <c r="G2133" s="80"/>
    </row>
    <row r="2134">
      <c r="A2134" s="77"/>
      <c r="B2134" s="77"/>
      <c r="C2134" s="77"/>
      <c r="D2134" s="77"/>
      <c r="E2134" s="77"/>
      <c r="F2134" s="77"/>
      <c r="G2134" s="80"/>
    </row>
    <row r="2135">
      <c r="A2135" s="77"/>
      <c r="B2135" s="77"/>
      <c r="C2135" s="77"/>
      <c r="D2135" s="77"/>
      <c r="E2135" s="77"/>
      <c r="F2135" s="77"/>
      <c r="G2135" s="80"/>
    </row>
    <row r="2136">
      <c r="A2136" s="77"/>
      <c r="B2136" s="77"/>
      <c r="C2136" s="77"/>
      <c r="D2136" s="77"/>
      <c r="E2136" s="77"/>
      <c r="F2136" s="77"/>
      <c r="G2136" s="80"/>
    </row>
    <row r="2137">
      <c r="A2137" s="77"/>
      <c r="B2137" s="77"/>
      <c r="C2137" s="77"/>
      <c r="D2137" s="77"/>
      <c r="E2137" s="77"/>
      <c r="F2137" s="77"/>
      <c r="G2137" s="80"/>
    </row>
    <row r="2138">
      <c r="A2138" s="77"/>
      <c r="B2138" s="77"/>
      <c r="C2138" s="77"/>
      <c r="D2138" s="77"/>
      <c r="E2138" s="77"/>
      <c r="F2138" s="77"/>
      <c r="G2138" s="80"/>
    </row>
    <row r="2139">
      <c r="A2139" s="77"/>
      <c r="B2139" s="77"/>
      <c r="C2139" s="77"/>
      <c r="D2139" s="77"/>
      <c r="E2139" s="77"/>
      <c r="F2139" s="77"/>
      <c r="G2139" s="80"/>
    </row>
    <row r="2140">
      <c r="A2140" s="77"/>
      <c r="B2140" s="77"/>
      <c r="C2140" s="77"/>
      <c r="D2140" s="77"/>
      <c r="E2140" s="77"/>
      <c r="F2140" s="77"/>
      <c r="G2140" s="80"/>
    </row>
    <row r="2141">
      <c r="A2141" s="77"/>
      <c r="B2141" s="77"/>
      <c r="C2141" s="77"/>
      <c r="D2141" s="77"/>
      <c r="E2141" s="77"/>
      <c r="F2141" s="77"/>
      <c r="G2141" s="80"/>
    </row>
    <row r="2142">
      <c r="A2142" s="77"/>
      <c r="B2142" s="77"/>
      <c r="C2142" s="77"/>
      <c r="D2142" s="77"/>
      <c r="E2142" s="77"/>
      <c r="F2142" s="77"/>
      <c r="G2142" s="80"/>
    </row>
    <row r="2143">
      <c r="A2143" s="77"/>
      <c r="B2143" s="77"/>
      <c r="C2143" s="77"/>
      <c r="D2143" s="77"/>
      <c r="E2143" s="77"/>
      <c r="F2143" s="77"/>
      <c r="G2143" s="80"/>
    </row>
    <row r="2144">
      <c r="A2144" s="77"/>
      <c r="B2144" s="77"/>
      <c r="C2144" s="77"/>
      <c r="D2144" s="77"/>
      <c r="E2144" s="77"/>
      <c r="F2144" s="77"/>
      <c r="G2144" s="80"/>
    </row>
    <row r="2145">
      <c r="A2145" s="77"/>
      <c r="B2145" s="77"/>
      <c r="C2145" s="77"/>
      <c r="D2145" s="77"/>
      <c r="E2145" s="77"/>
      <c r="F2145" s="77"/>
      <c r="G2145" s="80"/>
    </row>
    <row r="2146">
      <c r="A2146" s="77"/>
      <c r="B2146" s="77"/>
      <c r="C2146" s="77"/>
      <c r="D2146" s="77"/>
      <c r="E2146" s="77"/>
      <c r="F2146" s="77"/>
      <c r="G2146" s="80"/>
    </row>
    <row r="2147">
      <c r="A2147" s="77"/>
      <c r="B2147" s="77"/>
      <c r="C2147" s="77"/>
      <c r="D2147" s="77"/>
      <c r="E2147" s="77"/>
      <c r="F2147" s="77"/>
      <c r="G2147" s="80"/>
    </row>
    <row r="2148">
      <c r="A2148" s="77"/>
      <c r="B2148" s="77"/>
      <c r="C2148" s="77"/>
      <c r="D2148" s="77"/>
      <c r="E2148" s="77"/>
      <c r="F2148" s="77"/>
      <c r="G2148" s="80"/>
    </row>
    <row r="2149">
      <c r="A2149" s="77"/>
      <c r="B2149" s="77"/>
      <c r="C2149" s="77"/>
      <c r="D2149" s="77"/>
      <c r="E2149" s="77"/>
      <c r="F2149" s="77"/>
      <c r="G2149" s="80"/>
    </row>
    <row r="2150">
      <c r="A2150" s="77"/>
      <c r="B2150" s="77"/>
      <c r="C2150" s="77"/>
      <c r="D2150" s="77"/>
      <c r="E2150" s="77"/>
      <c r="F2150" s="77"/>
      <c r="G2150" s="80"/>
    </row>
    <row r="2151">
      <c r="A2151" s="77"/>
      <c r="B2151" s="77"/>
      <c r="C2151" s="77"/>
      <c r="D2151" s="77"/>
      <c r="E2151" s="77"/>
      <c r="F2151" s="77"/>
      <c r="G2151" s="80"/>
    </row>
    <row r="2152">
      <c r="A2152" s="77"/>
      <c r="B2152" s="77"/>
      <c r="C2152" s="77"/>
      <c r="D2152" s="77"/>
      <c r="E2152" s="77"/>
      <c r="F2152" s="77"/>
      <c r="G2152" s="80"/>
    </row>
    <row r="2153">
      <c r="A2153" s="77"/>
      <c r="B2153" s="77"/>
      <c r="C2153" s="77"/>
      <c r="D2153" s="77"/>
      <c r="E2153" s="77"/>
      <c r="F2153" s="77"/>
      <c r="G2153" s="80"/>
    </row>
    <row r="2154">
      <c r="A2154" s="77"/>
      <c r="B2154" s="77"/>
      <c r="C2154" s="77"/>
      <c r="D2154" s="77"/>
      <c r="E2154" s="77"/>
      <c r="F2154" s="77"/>
      <c r="G2154" s="80"/>
    </row>
    <row r="2155">
      <c r="A2155" s="77"/>
      <c r="B2155" s="77"/>
      <c r="C2155" s="77"/>
      <c r="D2155" s="77"/>
      <c r="E2155" s="77"/>
      <c r="F2155" s="77"/>
      <c r="G2155" s="80"/>
    </row>
    <row r="2156">
      <c r="A2156" s="77"/>
      <c r="B2156" s="77"/>
      <c r="C2156" s="77"/>
      <c r="D2156" s="77"/>
      <c r="E2156" s="77"/>
      <c r="F2156" s="77"/>
      <c r="G2156" s="80"/>
    </row>
    <row r="2157">
      <c r="A2157" s="77"/>
      <c r="B2157" s="77"/>
      <c r="C2157" s="77"/>
      <c r="D2157" s="77"/>
      <c r="E2157" s="77"/>
      <c r="F2157" s="77"/>
      <c r="G2157" s="80"/>
    </row>
    <row r="2158">
      <c r="A2158" s="77"/>
      <c r="B2158" s="77"/>
      <c r="C2158" s="77"/>
      <c r="D2158" s="77"/>
      <c r="E2158" s="77"/>
      <c r="F2158" s="77"/>
      <c r="G2158" s="80"/>
    </row>
    <row r="2159">
      <c r="A2159" s="77"/>
      <c r="B2159" s="77"/>
      <c r="C2159" s="77"/>
      <c r="D2159" s="77"/>
      <c r="E2159" s="77"/>
      <c r="F2159" s="77"/>
      <c r="G2159" s="80"/>
    </row>
    <row r="2160">
      <c r="A2160" s="77"/>
      <c r="B2160" s="77"/>
      <c r="C2160" s="77"/>
      <c r="D2160" s="77"/>
      <c r="E2160" s="77"/>
      <c r="F2160" s="77"/>
      <c r="G2160" s="80"/>
    </row>
    <row r="2161">
      <c r="A2161" s="77"/>
      <c r="B2161" s="77"/>
      <c r="C2161" s="77"/>
      <c r="D2161" s="77"/>
      <c r="E2161" s="77"/>
      <c r="F2161" s="77"/>
      <c r="G2161" s="80"/>
    </row>
    <row r="2162">
      <c r="A2162" s="77"/>
      <c r="B2162" s="77"/>
      <c r="C2162" s="77"/>
      <c r="D2162" s="77"/>
      <c r="E2162" s="77"/>
      <c r="F2162" s="77"/>
      <c r="G2162" s="80"/>
    </row>
    <row r="2163">
      <c r="A2163" s="77"/>
      <c r="B2163" s="77"/>
      <c r="C2163" s="77"/>
      <c r="D2163" s="77"/>
      <c r="E2163" s="77"/>
      <c r="F2163" s="77"/>
      <c r="G2163" s="80"/>
    </row>
    <row r="2164">
      <c r="A2164" s="77"/>
      <c r="B2164" s="77"/>
      <c r="C2164" s="77"/>
      <c r="D2164" s="77"/>
      <c r="E2164" s="77"/>
      <c r="F2164" s="77"/>
      <c r="G2164" s="80"/>
    </row>
    <row r="2165">
      <c r="A2165" s="77"/>
      <c r="B2165" s="77"/>
      <c r="C2165" s="77"/>
      <c r="D2165" s="77"/>
      <c r="E2165" s="77"/>
      <c r="F2165" s="77"/>
      <c r="G2165" s="80"/>
    </row>
    <row r="2166">
      <c r="A2166" s="77"/>
      <c r="B2166" s="77"/>
      <c r="C2166" s="77"/>
      <c r="D2166" s="77"/>
      <c r="E2166" s="77"/>
      <c r="F2166" s="77"/>
      <c r="G2166" s="80"/>
    </row>
    <row r="2167">
      <c r="A2167" s="77"/>
      <c r="B2167" s="77"/>
      <c r="C2167" s="77"/>
      <c r="D2167" s="77"/>
      <c r="E2167" s="77"/>
      <c r="F2167" s="77"/>
      <c r="G2167" s="80"/>
    </row>
    <row r="2168">
      <c r="A2168" s="77"/>
      <c r="B2168" s="77"/>
      <c r="C2168" s="77"/>
      <c r="D2168" s="77"/>
      <c r="E2168" s="77"/>
      <c r="F2168" s="77"/>
      <c r="G2168" s="80"/>
    </row>
    <row r="2169">
      <c r="A2169" s="77"/>
      <c r="B2169" s="77"/>
      <c r="C2169" s="77"/>
      <c r="D2169" s="77"/>
      <c r="E2169" s="77"/>
      <c r="F2169" s="77"/>
      <c r="G2169" s="80"/>
    </row>
    <row r="2170">
      <c r="A2170" s="77"/>
      <c r="B2170" s="77"/>
      <c r="C2170" s="77"/>
      <c r="D2170" s="77"/>
      <c r="E2170" s="77"/>
      <c r="F2170" s="77"/>
      <c r="G2170" s="80"/>
    </row>
    <row r="2171">
      <c r="A2171" s="77"/>
      <c r="B2171" s="77"/>
      <c r="C2171" s="77"/>
      <c r="D2171" s="77"/>
      <c r="E2171" s="77"/>
      <c r="F2171" s="77"/>
      <c r="G2171" s="80"/>
    </row>
    <row r="2172">
      <c r="A2172" s="77"/>
      <c r="B2172" s="77"/>
      <c r="C2172" s="77"/>
      <c r="D2172" s="77"/>
      <c r="E2172" s="77"/>
      <c r="F2172" s="77"/>
      <c r="G2172" s="80"/>
    </row>
    <row r="2173">
      <c r="A2173" s="77"/>
      <c r="B2173" s="77"/>
      <c r="C2173" s="77"/>
      <c r="D2173" s="77"/>
      <c r="E2173" s="77"/>
      <c r="F2173" s="77"/>
      <c r="G2173" s="80"/>
    </row>
    <row r="2174">
      <c r="A2174" s="77"/>
      <c r="B2174" s="77"/>
      <c r="C2174" s="77"/>
      <c r="D2174" s="77"/>
      <c r="E2174" s="77"/>
      <c r="F2174" s="77"/>
      <c r="G2174" s="80"/>
    </row>
    <row r="2175">
      <c r="A2175" s="77"/>
      <c r="B2175" s="77"/>
      <c r="C2175" s="77"/>
      <c r="D2175" s="77"/>
      <c r="E2175" s="77"/>
      <c r="F2175" s="77"/>
      <c r="G2175" s="80"/>
    </row>
    <row r="2176">
      <c r="A2176" s="77"/>
      <c r="B2176" s="77"/>
      <c r="C2176" s="77"/>
      <c r="D2176" s="77"/>
      <c r="E2176" s="77"/>
      <c r="F2176" s="77"/>
      <c r="G2176" s="80"/>
    </row>
    <row r="2177">
      <c r="A2177" s="77"/>
      <c r="B2177" s="77"/>
      <c r="C2177" s="77"/>
      <c r="D2177" s="77"/>
      <c r="E2177" s="77"/>
      <c r="F2177" s="77"/>
      <c r="G2177" s="80"/>
    </row>
    <row r="2178">
      <c r="A2178" s="77"/>
      <c r="B2178" s="77"/>
      <c r="C2178" s="77"/>
      <c r="D2178" s="77"/>
      <c r="E2178" s="77"/>
      <c r="F2178" s="77"/>
      <c r="G2178" s="80"/>
    </row>
    <row r="2179">
      <c r="A2179" s="77"/>
      <c r="B2179" s="77"/>
      <c r="C2179" s="77"/>
      <c r="D2179" s="77"/>
      <c r="E2179" s="77"/>
      <c r="F2179" s="77"/>
      <c r="G2179" s="80"/>
    </row>
    <row r="2180">
      <c r="A2180" s="77"/>
      <c r="B2180" s="77"/>
      <c r="C2180" s="77"/>
      <c r="D2180" s="77"/>
      <c r="E2180" s="77"/>
      <c r="F2180" s="77"/>
      <c r="G2180" s="80"/>
    </row>
    <row r="2181">
      <c r="A2181" s="77"/>
      <c r="B2181" s="77"/>
      <c r="C2181" s="77"/>
      <c r="D2181" s="77"/>
      <c r="E2181" s="77"/>
      <c r="F2181" s="77"/>
      <c r="G2181" s="80"/>
    </row>
    <row r="2182">
      <c r="A2182" s="77"/>
      <c r="B2182" s="77"/>
      <c r="C2182" s="77"/>
      <c r="D2182" s="77"/>
      <c r="E2182" s="77"/>
      <c r="F2182" s="77"/>
      <c r="G2182" s="80"/>
    </row>
    <row r="2183">
      <c r="A2183" s="77"/>
      <c r="B2183" s="77"/>
      <c r="C2183" s="77"/>
      <c r="D2183" s="77"/>
      <c r="E2183" s="77"/>
      <c r="F2183" s="77"/>
      <c r="G2183" s="80"/>
    </row>
    <row r="2184">
      <c r="A2184" s="77"/>
      <c r="B2184" s="77"/>
      <c r="C2184" s="77"/>
      <c r="D2184" s="77"/>
      <c r="E2184" s="77"/>
      <c r="F2184" s="77"/>
      <c r="G2184" s="80"/>
    </row>
    <row r="2185">
      <c r="A2185" s="77"/>
      <c r="B2185" s="77"/>
      <c r="C2185" s="77"/>
      <c r="D2185" s="77"/>
      <c r="E2185" s="77"/>
      <c r="F2185" s="77"/>
      <c r="G2185" s="80"/>
    </row>
    <row r="2186">
      <c r="A2186" s="77"/>
      <c r="B2186" s="77"/>
      <c r="C2186" s="77"/>
      <c r="D2186" s="77"/>
      <c r="E2186" s="77"/>
      <c r="F2186" s="77"/>
      <c r="G2186" s="80"/>
    </row>
    <row r="2187">
      <c r="A2187" s="77"/>
      <c r="B2187" s="77"/>
      <c r="C2187" s="77"/>
      <c r="D2187" s="77"/>
      <c r="E2187" s="77"/>
      <c r="F2187" s="77"/>
      <c r="G2187" s="80"/>
    </row>
    <row r="2188">
      <c r="A2188" s="77"/>
      <c r="B2188" s="77"/>
      <c r="C2188" s="77"/>
      <c r="D2188" s="77"/>
      <c r="E2188" s="77"/>
      <c r="F2188" s="77"/>
      <c r="G2188" s="80"/>
    </row>
    <row r="2189">
      <c r="A2189" s="77"/>
      <c r="B2189" s="77"/>
      <c r="C2189" s="77"/>
      <c r="D2189" s="77"/>
      <c r="E2189" s="77"/>
      <c r="F2189" s="77"/>
      <c r="G2189" s="80"/>
    </row>
    <row r="2190">
      <c r="A2190" s="77"/>
      <c r="B2190" s="77"/>
      <c r="C2190" s="77"/>
      <c r="D2190" s="77"/>
      <c r="E2190" s="77"/>
      <c r="F2190" s="77"/>
      <c r="G2190" s="80"/>
    </row>
    <row r="2191">
      <c r="A2191" s="77"/>
      <c r="B2191" s="77"/>
      <c r="C2191" s="77"/>
      <c r="D2191" s="77"/>
      <c r="E2191" s="77"/>
      <c r="F2191" s="77"/>
      <c r="G2191" s="80"/>
    </row>
    <row r="2192">
      <c r="A2192" s="77"/>
      <c r="B2192" s="77"/>
      <c r="C2192" s="77"/>
      <c r="D2192" s="77"/>
      <c r="E2192" s="77"/>
      <c r="F2192" s="77"/>
      <c r="G2192" s="80"/>
    </row>
    <row r="2193">
      <c r="A2193" s="77"/>
      <c r="B2193" s="77"/>
      <c r="C2193" s="77"/>
      <c r="D2193" s="77"/>
      <c r="E2193" s="77"/>
      <c r="F2193" s="77"/>
      <c r="G2193" s="80"/>
    </row>
    <row r="2194">
      <c r="A2194" s="77"/>
      <c r="B2194" s="77"/>
      <c r="C2194" s="77"/>
      <c r="D2194" s="77"/>
      <c r="E2194" s="77"/>
      <c r="F2194" s="77"/>
      <c r="G2194" s="80"/>
    </row>
    <row r="2195">
      <c r="A2195" s="77"/>
      <c r="B2195" s="77"/>
      <c r="C2195" s="77"/>
      <c r="D2195" s="77"/>
      <c r="E2195" s="77"/>
      <c r="F2195" s="77"/>
      <c r="G2195" s="80"/>
    </row>
    <row r="2196">
      <c r="A2196" s="77"/>
      <c r="B2196" s="77"/>
      <c r="C2196" s="77"/>
      <c r="D2196" s="77"/>
      <c r="E2196" s="77"/>
      <c r="F2196" s="77"/>
      <c r="G2196" s="80"/>
    </row>
    <row r="2197">
      <c r="A2197" s="77"/>
      <c r="B2197" s="77"/>
      <c r="C2197" s="77"/>
      <c r="D2197" s="77"/>
      <c r="E2197" s="77"/>
      <c r="F2197" s="77"/>
      <c r="G2197" s="80"/>
    </row>
    <row r="2198">
      <c r="A2198" s="77"/>
      <c r="B2198" s="77"/>
      <c r="C2198" s="77"/>
      <c r="D2198" s="77"/>
      <c r="E2198" s="77"/>
      <c r="F2198" s="77"/>
      <c r="G2198" s="80"/>
    </row>
    <row r="2199">
      <c r="A2199" s="77"/>
      <c r="B2199" s="77"/>
      <c r="C2199" s="77"/>
      <c r="D2199" s="77"/>
      <c r="E2199" s="77"/>
      <c r="F2199" s="77"/>
      <c r="G2199" s="80"/>
    </row>
    <row r="2200">
      <c r="A2200" s="77"/>
      <c r="B2200" s="77"/>
      <c r="C2200" s="77"/>
      <c r="D2200" s="77"/>
      <c r="E2200" s="77"/>
      <c r="F2200" s="77"/>
      <c r="G2200" s="80"/>
    </row>
    <row r="2201">
      <c r="A2201" s="77"/>
      <c r="B2201" s="77"/>
      <c r="C2201" s="77"/>
      <c r="D2201" s="77"/>
      <c r="E2201" s="77"/>
      <c r="F2201" s="77"/>
      <c r="G2201" s="80"/>
    </row>
    <row r="2202">
      <c r="A2202" s="77"/>
      <c r="B2202" s="77"/>
      <c r="C2202" s="77"/>
      <c r="D2202" s="77"/>
      <c r="E2202" s="77"/>
      <c r="F2202" s="77"/>
      <c r="G2202" s="80"/>
    </row>
    <row r="2203">
      <c r="A2203" s="77"/>
      <c r="B2203" s="77"/>
      <c r="C2203" s="77"/>
      <c r="D2203" s="77"/>
      <c r="E2203" s="77"/>
      <c r="F2203" s="77"/>
      <c r="G2203" s="80"/>
    </row>
    <row r="2204">
      <c r="A2204" s="77"/>
      <c r="B2204" s="77"/>
      <c r="C2204" s="77"/>
      <c r="D2204" s="77"/>
      <c r="E2204" s="77"/>
      <c r="F2204" s="77"/>
      <c r="G2204" s="80"/>
    </row>
    <row r="2205">
      <c r="A2205" s="77"/>
      <c r="B2205" s="77"/>
      <c r="C2205" s="77"/>
      <c r="D2205" s="77"/>
      <c r="E2205" s="77"/>
      <c r="F2205" s="77"/>
      <c r="G2205" s="80"/>
    </row>
    <row r="2206">
      <c r="A2206" s="77"/>
      <c r="B2206" s="77"/>
      <c r="C2206" s="77"/>
      <c r="D2206" s="77"/>
      <c r="E2206" s="77"/>
      <c r="F2206" s="77"/>
      <c r="G2206" s="80"/>
    </row>
    <row r="2207">
      <c r="A2207" s="77"/>
      <c r="B2207" s="77"/>
      <c r="C2207" s="77"/>
      <c r="D2207" s="77"/>
      <c r="E2207" s="77"/>
      <c r="F2207" s="77"/>
      <c r="G2207" s="80"/>
    </row>
    <row r="2208">
      <c r="A2208" s="77"/>
      <c r="B2208" s="77"/>
      <c r="C2208" s="77"/>
      <c r="D2208" s="77"/>
      <c r="E2208" s="77"/>
      <c r="F2208" s="77"/>
      <c r="G2208" s="80"/>
    </row>
    <row r="2209">
      <c r="A2209" s="77"/>
      <c r="B2209" s="77"/>
      <c r="C2209" s="77"/>
      <c r="D2209" s="77"/>
      <c r="E2209" s="77"/>
      <c r="F2209" s="77"/>
      <c r="G2209" s="80"/>
    </row>
    <row r="2210">
      <c r="A2210" s="77"/>
      <c r="B2210" s="77"/>
      <c r="C2210" s="77"/>
      <c r="D2210" s="77"/>
      <c r="E2210" s="77"/>
      <c r="F2210" s="77"/>
      <c r="G2210" s="80"/>
    </row>
    <row r="2211">
      <c r="A2211" s="77"/>
      <c r="B2211" s="77"/>
      <c r="C2211" s="77"/>
      <c r="D2211" s="77"/>
      <c r="E2211" s="77"/>
      <c r="F2211" s="77"/>
      <c r="G2211" s="80"/>
    </row>
    <row r="2212">
      <c r="A2212" s="77"/>
      <c r="B2212" s="77"/>
      <c r="C2212" s="77"/>
      <c r="D2212" s="77"/>
      <c r="E2212" s="77"/>
      <c r="F2212" s="77"/>
      <c r="G2212" s="80"/>
    </row>
    <row r="2213">
      <c r="A2213" s="77"/>
      <c r="B2213" s="77"/>
      <c r="C2213" s="77"/>
      <c r="D2213" s="77"/>
      <c r="E2213" s="77"/>
      <c r="F2213" s="77"/>
      <c r="G2213" s="80"/>
    </row>
    <row r="2214">
      <c r="A2214" s="77"/>
      <c r="B2214" s="77"/>
      <c r="C2214" s="77"/>
      <c r="D2214" s="77"/>
      <c r="E2214" s="77"/>
      <c r="F2214" s="77"/>
      <c r="G2214" s="80"/>
    </row>
    <row r="2215">
      <c r="A2215" s="77"/>
      <c r="B2215" s="77"/>
      <c r="C2215" s="77"/>
      <c r="D2215" s="77"/>
      <c r="E2215" s="77"/>
      <c r="F2215" s="77"/>
      <c r="G2215" s="80"/>
    </row>
    <row r="2216">
      <c r="A2216" s="77"/>
      <c r="B2216" s="77"/>
      <c r="C2216" s="77"/>
      <c r="D2216" s="77"/>
      <c r="E2216" s="77"/>
      <c r="F2216" s="77"/>
      <c r="G2216" s="80"/>
    </row>
    <row r="2217">
      <c r="A2217" s="77"/>
      <c r="B2217" s="77"/>
      <c r="C2217" s="77"/>
      <c r="D2217" s="77"/>
      <c r="E2217" s="77"/>
      <c r="F2217" s="77"/>
      <c r="G2217" s="80"/>
    </row>
    <row r="2218">
      <c r="A2218" s="77"/>
      <c r="B2218" s="77"/>
      <c r="C2218" s="77"/>
      <c r="D2218" s="77"/>
      <c r="E2218" s="77"/>
      <c r="F2218" s="77"/>
      <c r="G2218" s="80"/>
    </row>
    <row r="2219">
      <c r="A2219" s="77"/>
      <c r="B2219" s="77"/>
      <c r="C2219" s="77"/>
      <c r="D2219" s="77"/>
      <c r="E2219" s="77"/>
      <c r="F2219" s="77"/>
      <c r="G2219" s="80"/>
    </row>
    <row r="2220">
      <c r="A2220" s="77"/>
      <c r="B2220" s="77"/>
      <c r="C2220" s="77"/>
      <c r="D2220" s="77"/>
      <c r="E2220" s="77"/>
      <c r="F2220" s="77"/>
      <c r="G2220" s="80"/>
    </row>
    <row r="2221">
      <c r="A2221" s="77"/>
      <c r="B2221" s="77"/>
      <c r="C2221" s="77"/>
      <c r="D2221" s="77"/>
      <c r="E2221" s="77"/>
      <c r="F2221" s="77"/>
      <c r="G2221" s="80"/>
    </row>
    <row r="2222">
      <c r="A2222" s="77"/>
      <c r="B2222" s="77"/>
      <c r="C2222" s="77"/>
      <c r="D2222" s="77"/>
      <c r="E2222" s="77"/>
      <c r="F2222" s="77"/>
      <c r="G2222" s="80"/>
    </row>
    <row r="2223">
      <c r="A2223" s="77"/>
      <c r="B2223" s="77"/>
      <c r="C2223" s="77"/>
      <c r="D2223" s="77"/>
      <c r="E2223" s="77"/>
      <c r="F2223" s="77"/>
      <c r="G2223" s="80"/>
    </row>
    <row r="2224">
      <c r="A2224" s="77"/>
      <c r="B2224" s="77"/>
      <c r="C2224" s="77"/>
      <c r="D2224" s="77"/>
      <c r="E2224" s="77"/>
      <c r="F2224" s="77"/>
      <c r="G2224" s="80"/>
    </row>
    <row r="2225">
      <c r="A2225" s="77"/>
      <c r="B2225" s="77"/>
      <c r="C2225" s="77"/>
      <c r="D2225" s="77"/>
      <c r="E2225" s="77"/>
      <c r="F2225" s="77"/>
      <c r="G2225" s="80"/>
    </row>
    <row r="2226">
      <c r="A2226" s="77"/>
      <c r="B2226" s="77"/>
      <c r="C2226" s="77"/>
      <c r="D2226" s="77"/>
      <c r="E2226" s="77"/>
      <c r="F2226" s="77"/>
      <c r="G2226" s="80"/>
    </row>
    <row r="2227">
      <c r="A2227" s="77"/>
      <c r="B2227" s="77"/>
      <c r="C2227" s="77"/>
      <c r="D2227" s="77"/>
      <c r="E2227" s="77"/>
      <c r="F2227" s="77"/>
      <c r="G2227" s="80"/>
    </row>
    <row r="2228">
      <c r="A2228" s="77"/>
      <c r="B2228" s="77"/>
      <c r="C2228" s="77"/>
      <c r="D2228" s="77"/>
      <c r="E2228" s="77"/>
      <c r="F2228" s="77"/>
      <c r="G2228" s="80"/>
    </row>
    <row r="2229">
      <c r="A2229" s="77"/>
      <c r="B2229" s="77"/>
      <c r="C2229" s="77"/>
      <c r="D2229" s="77"/>
      <c r="E2229" s="77"/>
      <c r="F2229" s="77"/>
      <c r="G2229" s="80"/>
    </row>
    <row r="2230">
      <c r="A2230" s="77"/>
      <c r="B2230" s="77"/>
      <c r="C2230" s="77"/>
      <c r="D2230" s="77"/>
      <c r="E2230" s="77"/>
      <c r="F2230" s="77"/>
      <c r="G2230" s="80"/>
    </row>
    <row r="2231">
      <c r="A2231" s="77"/>
      <c r="B2231" s="77"/>
      <c r="C2231" s="77"/>
      <c r="D2231" s="77"/>
      <c r="E2231" s="77"/>
      <c r="F2231" s="77"/>
      <c r="G2231" s="80"/>
    </row>
    <row r="2232">
      <c r="A2232" s="77"/>
      <c r="B2232" s="77"/>
      <c r="C2232" s="77"/>
      <c r="D2232" s="77"/>
      <c r="E2232" s="77"/>
      <c r="F2232" s="77"/>
      <c r="G2232" s="80"/>
    </row>
    <row r="2233">
      <c r="A2233" s="77"/>
      <c r="B2233" s="77"/>
      <c r="C2233" s="77"/>
      <c r="D2233" s="77"/>
      <c r="E2233" s="77"/>
      <c r="F2233" s="77"/>
      <c r="G2233" s="80"/>
    </row>
    <row r="2234">
      <c r="A2234" s="77"/>
      <c r="B2234" s="77"/>
      <c r="C2234" s="77"/>
      <c r="D2234" s="77"/>
      <c r="E2234" s="77"/>
      <c r="F2234" s="77"/>
      <c r="G2234" s="80"/>
    </row>
    <row r="2235">
      <c r="A2235" s="77"/>
      <c r="B2235" s="77"/>
      <c r="C2235" s="77"/>
      <c r="D2235" s="77"/>
      <c r="E2235" s="77"/>
      <c r="F2235" s="77"/>
      <c r="G2235" s="80"/>
    </row>
    <row r="2236">
      <c r="A2236" s="77"/>
      <c r="B2236" s="77"/>
      <c r="C2236" s="77"/>
      <c r="D2236" s="77"/>
      <c r="E2236" s="77"/>
      <c r="F2236" s="77"/>
      <c r="G2236" s="80"/>
    </row>
    <row r="2237">
      <c r="A2237" s="77"/>
      <c r="B2237" s="77"/>
      <c r="C2237" s="77"/>
      <c r="D2237" s="77"/>
      <c r="E2237" s="77"/>
      <c r="F2237" s="77"/>
      <c r="G2237" s="80"/>
    </row>
    <row r="2238">
      <c r="A2238" s="77"/>
      <c r="B2238" s="77"/>
      <c r="C2238" s="77"/>
      <c r="D2238" s="77"/>
      <c r="E2238" s="77"/>
      <c r="F2238" s="77"/>
      <c r="G2238" s="80"/>
    </row>
    <row r="2239">
      <c r="A2239" s="77"/>
      <c r="B2239" s="77"/>
      <c r="C2239" s="77"/>
      <c r="D2239" s="77"/>
      <c r="E2239" s="77"/>
      <c r="F2239" s="77"/>
      <c r="G2239" s="80"/>
    </row>
    <row r="2240">
      <c r="A2240" s="77"/>
      <c r="B2240" s="77"/>
      <c r="C2240" s="77"/>
      <c r="D2240" s="77"/>
      <c r="E2240" s="77"/>
      <c r="F2240" s="77"/>
      <c r="G2240" s="80"/>
    </row>
    <row r="2241">
      <c r="A2241" s="77"/>
      <c r="B2241" s="77"/>
      <c r="C2241" s="77"/>
      <c r="D2241" s="77"/>
      <c r="E2241" s="77"/>
      <c r="F2241" s="77"/>
      <c r="G2241" s="80"/>
    </row>
    <row r="2242">
      <c r="A2242" s="77"/>
      <c r="B2242" s="77"/>
      <c r="C2242" s="77"/>
      <c r="D2242" s="77"/>
      <c r="E2242" s="77"/>
      <c r="F2242" s="77"/>
      <c r="G2242" s="80"/>
    </row>
    <row r="2243">
      <c r="A2243" s="77"/>
      <c r="B2243" s="77"/>
      <c r="C2243" s="77"/>
      <c r="D2243" s="77"/>
      <c r="E2243" s="77"/>
      <c r="F2243" s="77"/>
      <c r="G2243" s="80"/>
    </row>
    <row r="2244">
      <c r="A2244" s="77"/>
      <c r="B2244" s="77"/>
      <c r="C2244" s="77"/>
      <c r="D2244" s="77"/>
      <c r="E2244" s="77"/>
      <c r="F2244" s="77"/>
      <c r="G2244" s="80"/>
    </row>
    <row r="2245">
      <c r="A2245" s="77"/>
      <c r="B2245" s="77"/>
      <c r="C2245" s="77"/>
      <c r="D2245" s="77"/>
      <c r="E2245" s="77"/>
      <c r="F2245" s="77"/>
      <c r="G2245" s="80"/>
    </row>
    <row r="2246">
      <c r="A2246" s="77"/>
      <c r="B2246" s="77"/>
      <c r="C2246" s="77"/>
      <c r="D2246" s="77"/>
      <c r="E2246" s="77"/>
      <c r="F2246" s="77"/>
      <c r="G2246" s="80"/>
    </row>
    <row r="2247">
      <c r="A2247" s="77"/>
      <c r="B2247" s="77"/>
      <c r="C2247" s="77"/>
      <c r="D2247" s="77"/>
      <c r="E2247" s="77"/>
      <c r="F2247" s="77"/>
      <c r="G2247" s="80"/>
    </row>
    <row r="2248">
      <c r="A2248" s="77"/>
      <c r="B2248" s="77"/>
      <c r="C2248" s="77"/>
      <c r="D2248" s="77"/>
      <c r="E2248" s="77"/>
      <c r="F2248" s="77"/>
      <c r="G2248" s="80"/>
    </row>
    <row r="2249">
      <c r="A2249" s="77"/>
      <c r="B2249" s="77"/>
      <c r="C2249" s="77"/>
      <c r="D2249" s="77"/>
      <c r="E2249" s="77"/>
      <c r="F2249" s="77"/>
      <c r="G2249" s="80"/>
    </row>
    <row r="2250">
      <c r="A2250" s="77"/>
      <c r="B2250" s="77"/>
      <c r="C2250" s="77"/>
      <c r="D2250" s="77"/>
      <c r="E2250" s="77"/>
      <c r="F2250" s="77"/>
      <c r="G2250" s="80"/>
    </row>
    <row r="2251">
      <c r="A2251" s="77"/>
      <c r="B2251" s="77"/>
      <c r="C2251" s="77"/>
      <c r="D2251" s="77"/>
      <c r="E2251" s="77"/>
      <c r="F2251" s="77"/>
      <c r="G2251" s="80"/>
    </row>
    <row r="2252">
      <c r="A2252" s="77"/>
      <c r="B2252" s="77"/>
      <c r="C2252" s="77"/>
      <c r="D2252" s="77"/>
      <c r="E2252" s="77"/>
      <c r="F2252" s="77"/>
      <c r="G2252" s="80"/>
    </row>
    <row r="2253">
      <c r="A2253" s="77"/>
      <c r="B2253" s="77"/>
      <c r="C2253" s="77"/>
      <c r="D2253" s="77"/>
      <c r="E2253" s="77"/>
      <c r="F2253" s="77"/>
      <c r="G2253" s="80"/>
    </row>
    <row r="2254">
      <c r="A2254" s="77"/>
      <c r="B2254" s="77"/>
      <c r="C2254" s="77"/>
      <c r="D2254" s="77"/>
      <c r="E2254" s="77"/>
      <c r="F2254" s="77"/>
      <c r="G2254" s="80"/>
    </row>
    <row r="2255">
      <c r="A2255" s="77"/>
      <c r="B2255" s="77"/>
      <c r="C2255" s="77"/>
      <c r="D2255" s="77"/>
      <c r="E2255" s="77"/>
      <c r="F2255" s="77"/>
      <c r="G2255" s="80"/>
    </row>
    <row r="2256">
      <c r="A2256" s="77"/>
      <c r="B2256" s="77"/>
      <c r="C2256" s="77"/>
      <c r="D2256" s="77"/>
      <c r="E2256" s="77"/>
      <c r="F2256" s="77"/>
      <c r="G2256" s="80"/>
    </row>
    <row r="2257">
      <c r="A2257" s="77"/>
      <c r="B2257" s="77"/>
      <c r="C2257" s="77"/>
      <c r="D2257" s="77"/>
      <c r="E2257" s="77"/>
      <c r="F2257" s="77"/>
      <c r="G2257" s="80"/>
    </row>
    <row r="2258">
      <c r="A2258" s="77"/>
      <c r="B2258" s="77"/>
      <c r="C2258" s="77"/>
      <c r="D2258" s="77"/>
      <c r="E2258" s="77"/>
      <c r="F2258" s="77"/>
      <c r="G2258" s="80"/>
    </row>
    <row r="2259">
      <c r="A2259" s="77"/>
      <c r="B2259" s="77"/>
      <c r="C2259" s="77"/>
      <c r="D2259" s="77"/>
      <c r="E2259" s="77"/>
      <c r="F2259" s="77"/>
      <c r="G2259" s="80"/>
    </row>
    <row r="2260">
      <c r="A2260" s="77"/>
      <c r="B2260" s="77"/>
      <c r="C2260" s="77"/>
      <c r="D2260" s="77"/>
      <c r="E2260" s="77"/>
      <c r="F2260" s="77"/>
      <c r="G2260" s="80"/>
    </row>
    <row r="2261">
      <c r="A2261" s="77"/>
      <c r="B2261" s="77"/>
      <c r="C2261" s="77"/>
      <c r="D2261" s="77"/>
      <c r="E2261" s="77"/>
      <c r="F2261" s="77"/>
      <c r="G2261" s="80"/>
    </row>
    <row r="2262">
      <c r="A2262" s="77"/>
      <c r="B2262" s="77"/>
      <c r="C2262" s="77"/>
      <c r="D2262" s="77"/>
      <c r="E2262" s="77"/>
      <c r="F2262" s="77"/>
      <c r="G2262" s="80"/>
    </row>
    <row r="2263">
      <c r="A2263" s="77"/>
      <c r="B2263" s="77"/>
      <c r="C2263" s="77"/>
      <c r="D2263" s="77"/>
      <c r="E2263" s="77"/>
      <c r="F2263" s="77"/>
      <c r="G2263" s="80"/>
    </row>
    <row r="2264">
      <c r="A2264" s="77"/>
      <c r="B2264" s="77"/>
      <c r="C2264" s="77"/>
      <c r="D2264" s="77"/>
      <c r="E2264" s="77"/>
      <c r="F2264" s="77"/>
      <c r="G2264" s="80"/>
    </row>
    <row r="2265">
      <c r="A2265" s="77"/>
      <c r="B2265" s="77"/>
      <c r="C2265" s="77"/>
      <c r="D2265" s="77"/>
      <c r="E2265" s="77"/>
      <c r="F2265" s="77"/>
      <c r="G2265" s="80"/>
    </row>
    <row r="2266">
      <c r="A2266" s="77"/>
      <c r="B2266" s="77"/>
      <c r="C2266" s="77"/>
      <c r="D2266" s="77"/>
      <c r="E2266" s="77"/>
      <c r="F2266" s="77"/>
      <c r="G2266" s="80"/>
    </row>
    <row r="2267">
      <c r="A2267" s="77"/>
      <c r="B2267" s="77"/>
      <c r="C2267" s="77"/>
      <c r="D2267" s="77"/>
      <c r="E2267" s="77"/>
      <c r="F2267" s="77"/>
      <c r="G2267" s="80"/>
    </row>
    <row r="2268">
      <c r="A2268" s="77"/>
      <c r="B2268" s="77"/>
      <c r="C2268" s="77"/>
      <c r="D2268" s="77"/>
      <c r="E2268" s="77"/>
      <c r="F2268" s="77"/>
      <c r="G2268" s="80"/>
    </row>
    <row r="2269">
      <c r="A2269" s="77"/>
      <c r="B2269" s="77"/>
      <c r="C2269" s="77"/>
      <c r="D2269" s="77"/>
      <c r="E2269" s="77"/>
      <c r="F2269" s="77"/>
      <c r="G2269" s="80"/>
    </row>
    <row r="2270">
      <c r="A2270" s="77"/>
      <c r="B2270" s="77"/>
      <c r="C2270" s="77"/>
      <c r="D2270" s="77"/>
      <c r="E2270" s="77"/>
      <c r="F2270" s="77"/>
      <c r="G2270" s="80"/>
    </row>
    <row r="2271">
      <c r="A2271" s="77"/>
      <c r="B2271" s="77"/>
      <c r="C2271" s="77"/>
      <c r="D2271" s="77"/>
      <c r="E2271" s="77"/>
      <c r="F2271" s="77"/>
      <c r="G2271" s="80"/>
    </row>
    <row r="2272">
      <c r="A2272" s="77"/>
      <c r="B2272" s="77"/>
      <c r="C2272" s="77"/>
      <c r="D2272" s="77"/>
      <c r="E2272" s="77"/>
      <c r="F2272" s="77"/>
      <c r="G2272" s="80"/>
    </row>
    <row r="2273">
      <c r="A2273" s="77"/>
      <c r="B2273" s="77"/>
      <c r="C2273" s="77"/>
      <c r="D2273" s="77"/>
      <c r="E2273" s="77"/>
      <c r="F2273" s="77"/>
      <c r="G2273" s="80"/>
    </row>
    <row r="2274">
      <c r="A2274" s="77"/>
      <c r="B2274" s="77"/>
      <c r="C2274" s="77"/>
      <c r="D2274" s="77"/>
      <c r="E2274" s="77"/>
      <c r="F2274" s="77"/>
      <c r="G2274" s="80"/>
    </row>
    <row r="2275">
      <c r="A2275" s="77"/>
      <c r="B2275" s="77"/>
      <c r="C2275" s="77"/>
      <c r="D2275" s="77"/>
      <c r="E2275" s="77"/>
      <c r="F2275" s="77"/>
      <c r="G2275" s="80"/>
    </row>
    <row r="2276">
      <c r="A2276" s="77"/>
      <c r="B2276" s="77"/>
      <c r="C2276" s="77"/>
      <c r="D2276" s="77"/>
      <c r="E2276" s="77"/>
      <c r="F2276" s="77"/>
      <c r="G2276" s="80"/>
    </row>
    <row r="2277">
      <c r="A2277" s="77"/>
      <c r="B2277" s="77"/>
      <c r="C2277" s="77"/>
      <c r="D2277" s="77"/>
      <c r="E2277" s="77"/>
      <c r="F2277" s="77"/>
      <c r="G2277" s="80"/>
    </row>
    <row r="2278">
      <c r="A2278" s="77"/>
      <c r="B2278" s="77"/>
      <c r="C2278" s="77"/>
      <c r="D2278" s="77"/>
      <c r="E2278" s="77"/>
      <c r="F2278" s="77"/>
      <c r="G2278" s="80"/>
    </row>
    <row r="2279">
      <c r="A2279" s="77"/>
      <c r="B2279" s="77"/>
      <c r="C2279" s="77"/>
      <c r="D2279" s="77"/>
      <c r="E2279" s="77"/>
      <c r="F2279" s="77"/>
      <c r="G2279" s="80"/>
    </row>
    <row r="2280">
      <c r="A2280" s="77"/>
      <c r="B2280" s="77"/>
      <c r="C2280" s="77"/>
      <c r="D2280" s="77"/>
      <c r="E2280" s="77"/>
      <c r="F2280" s="77"/>
      <c r="G2280" s="80"/>
    </row>
    <row r="2281">
      <c r="A2281" s="77"/>
      <c r="B2281" s="77"/>
      <c r="C2281" s="77"/>
      <c r="D2281" s="77"/>
      <c r="E2281" s="77"/>
      <c r="F2281" s="77"/>
      <c r="G2281" s="80"/>
    </row>
    <row r="2282">
      <c r="A2282" s="77"/>
      <c r="B2282" s="77"/>
      <c r="C2282" s="77"/>
      <c r="D2282" s="77"/>
      <c r="E2282" s="77"/>
      <c r="F2282" s="77"/>
      <c r="G2282" s="80"/>
    </row>
    <row r="2283">
      <c r="A2283" s="77"/>
      <c r="B2283" s="77"/>
      <c r="C2283" s="77"/>
      <c r="D2283" s="77"/>
      <c r="E2283" s="77"/>
      <c r="F2283" s="77"/>
      <c r="G2283" s="80"/>
    </row>
    <row r="2284">
      <c r="A2284" s="77"/>
      <c r="B2284" s="77"/>
      <c r="C2284" s="77"/>
      <c r="D2284" s="77"/>
      <c r="E2284" s="77"/>
      <c r="F2284" s="77"/>
      <c r="G2284" s="80"/>
    </row>
    <row r="2285">
      <c r="A2285" s="77"/>
      <c r="B2285" s="77"/>
      <c r="C2285" s="77"/>
      <c r="D2285" s="77"/>
      <c r="E2285" s="77"/>
      <c r="F2285" s="77"/>
      <c r="G2285" s="80"/>
    </row>
    <row r="2286">
      <c r="A2286" s="77"/>
      <c r="B2286" s="77"/>
      <c r="C2286" s="77"/>
      <c r="D2286" s="77"/>
      <c r="E2286" s="77"/>
      <c r="F2286" s="77"/>
      <c r="G2286" s="80"/>
    </row>
    <row r="2287">
      <c r="A2287" s="77"/>
      <c r="B2287" s="77"/>
      <c r="C2287" s="77"/>
      <c r="D2287" s="77"/>
      <c r="E2287" s="77"/>
      <c r="F2287" s="77"/>
      <c r="G2287" s="80"/>
    </row>
    <row r="2288">
      <c r="A2288" s="77"/>
      <c r="B2288" s="77"/>
      <c r="C2288" s="77"/>
      <c r="D2288" s="77"/>
      <c r="E2288" s="77"/>
      <c r="F2288" s="77"/>
      <c r="G2288" s="80"/>
    </row>
    <row r="2289">
      <c r="A2289" s="77"/>
      <c r="B2289" s="77"/>
      <c r="C2289" s="77"/>
      <c r="D2289" s="77"/>
      <c r="E2289" s="77"/>
      <c r="F2289" s="77"/>
      <c r="G2289" s="80"/>
    </row>
    <row r="2290">
      <c r="A2290" s="77"/>
      <c r="B2290" s="77"/>
      <c r="C2290" s="77"/>
      <c r="D2290" s="77"/>
      <c r="E2290" s="77"/>
      <c r="F2290" s="77"/>
      <c r="G2290" s="80"/>
    </row>
    <row r="2291">
      <c r="A2291" s="77"/>
      <c r="B2291" s="77"/>
      <c r="C2291" s="77"/>
      <c r="D2291" s="77"/>
      <c r="E2291" s="77"/>
      <c r="F2291" s="77"/>
      <c r="G2291" s="80"/>
    </row>
    <row r="2292">
      <c r="A2292" s="77"/>
      <c r="B2292" s="77"/>
      <c r="C2292" s="77"/>
      <c r="D2292" s="77"/>
      <c r="E2292" s="77"/>
      <c r="F2292" s="77"/>
      <c r="G2292" s="80"/>
    </row>
    <row r="2293">
      <c r="A2293" s="77"/>
      <c r="B2293" s="77"/>
      <c r="C2293" s="77"/>
      <c r="D2293" s="77"/>
      <c r="E2293" s="77"/>
      <c r="F2293" s="77"/>
      <c r="G2293" s="80"/>
    </row>
    <row r="2294">
      <c r="A2294" s="77"/>
      <c r="B2294" s="77"/>
      <c r="C2294" s="77"/>
      <c r="D2294" s="77"/>
      <c r="E2294" s="77"/>
      <c r="F2294" s="77"/>
      <c r="G2294" s="80"/>
    </row>
    <row r="2295">
      <c r="A2295" s="77"/>
      <c r="B2295" s="77"/>
      <c r="C2295" s="77"/>
      <c r="D2295" s="77"/>
      <c r="E2295" s="77"/>
      <c r="F2295" s="77"/>
      <c r="G2295" s="80"/>
    </row>
    <row r="2296">
      <c r="A2296" s="77"/>
      <c r="B2296" s="77"/>
      <c r="C2296" s="77"/>
      <c r="D2296" s="77"/>
      <c r="E2296" s="77"/>
      <c r="F2296" s="77"/>
      <c r="G2296" s="80"/>
    </row>
    <row r="2297">
      <c r="A2297" s="77"/>
      <c r="B2297" s="77"/>
      <c r="C2297" s="77"/>
      <c r="D2297" s="77"/>
      <c r="E2297" s="77"/>
      <c r="F2297" s="77"/>
      <c r="G2297" s="80"/>
    </row>
    <row r="2298">
      <c r="A2298" s="77"/>
      <c r="B2298" s="77"/>
      <c r="C2298" s="77"/>
      <c r="D2298" s="77"/>
      <c r="E2298" s="77"/>
      <c r="F2298" s="77"/>
      <c r="G2298" s="80"/>
    </row>
    <row r="2299">
      <c r="A2299" s="77"/>
      <c r="B2299" s="77"/>
      <c r="C2299" s="77"/>
      <c r="D2299" s="77"/>
      <c r="E2299" s="77"/>
      <c r="F2299" s="77"/>
      <c r="G2299" s="80"/>
    </row>
    <row r="2300">
      <c r="A2300" s="77"/>
      <c r="B2300" s="77"/>
      <c r="C2300" s="77"/>
      <c r="D2300" s="77"/>
      <c r="E2300" s="77"/>
      <c r="F2300" s="77"/>
      <c r="G2300" s="80"/>
    </row>
    <row r="2301">
      <c r="A2301" s="77"/>
      <c r="B2301" s="77"/>
      <c r="C2301" s="77"/>
      <c r="D2301" s="77"/>
      <c r="E2301" s="77"/>
      <c r="F2301" s="77"/>
      <c r="G2301" s="80"/>
    </row>
    <row r="2302">
      <c r="A2302" s="77"/>
      <c r="B2302" s="77"/>
      <c r="C2302" s="77"/>
      <c r="D2302" s="77"/>
      <c r="E2302" s="77"/>
      <c r="F2302" s="77"/>
      <c r="G2302" s="80"/>
    </row>
    <row r="2303">
      <c r="A2303" s="77"/>
      <c r="B2303" s="77"/>
      <c r="C2303" s="77"/>
      <c r="D2303" s="77"/>
      <c r="E2303" s="77"/>
      <c r="F2303" s="77"/>
      <c r="G2303" s="80"/>
    </row>
    <row r="2304">
      <c r="A2304" s="77"/>
      <c r="B2304" s="77"/>
      <c r="C2304" s="77"/>
      <c r="D2304" s="77"/>
      <c r="E2304" s="77"/>
      <c r="F2304" s="77"/>
      <c r="G2304" s="80"/>
    </row>
    <row r="2305">
      <c r="A2305" s="77"/>
      <c r="B2305" s="77"/>
      <c r="C2305" s="77"/>
      <c r="D2305" s="77"/>
      <c r="E2305" s="77"/>
      <c r="F2305" s="77"/>
      <c r="G2305" s="80"/>
    </row>
    <row r="2306">
      <c r="A2306" s="77"/>
      <c r="B2306" s="77"/>
      <c r="C2306" s="77"/>
      <c r="D2306" s="77"/>
      <c r="E2306" s="77"/>
      <c r="F2306" s="77"/>
      <c r="G2306" s="80"/>
    </row>
    <row r="2307">
      <c r="A2307" s="77"/>
      <c r="B2307" s="77"/>
      <c r="C2307" s="77"/>
      <c r="D2307" s="77"/>
      <c r="E2307" s="77"/>
      <c r="F2307" s="77"/>
      <c r="G2307" s="80"/>
    </row>
    <row r="2308">
      <c r="A2308" s="77"/>
      <c r="B2308" s="77"/>
      <c r="C2308" s="77"/>
      <c r="D2308" s="77"/>
      <c r="E2308" s="77"/>
      <c r="F2308" s="77"/>
      <c r="G2308" s="80"/>
    </row>
    <row r="2309">
      <c r="A2309" s="77"/>
      <c r="B2309" s="77"/>
      <c r="C2309" s="77"/>
      <c r="D2309" s="77"/>
      <c r="E2309" s="77"/>
      <c r="F2309" s="77"/>
      <c r="G2309" s="80"/>
    </row>
    <row r="2310">
      <c r="A2310" s="77"/>
      <c r="B2310" s="77"/>
      <c r="C2310" s="77"/>
      <c r="D2310" s="77"/>
      <c r="E2310" s="77"/>
      <c r="F2310" s="77"/>
      <c r="G2310" s="80"/>
    </row>
    <row r="2311">
      <c r="A2311" s="77"/>
      <c r="B2311" s="77"/>
      <c r="C2311" s="77"/>
      <c r="D2311" s="77"/>
      <c r="E2311" s="77"/>
      <c r="F2311" s="77"/>
      <c r="G2311" s="80"/>
    </row>
    <row r="2312">
      <c r="A2312" s="77"/>
      <c r="B2312" s="77"/>
      <c r="C2312" s="77"/>
      <c r="D2312" s="77"/>
      <c r="E2312" s="77"/>
      <c r="F2312" s="77"/>
      <c r="G2312" s="80"/>
    </row>
    <row r="2313">
      <c r="A2313" s="77"/>
      <c r="B2313" s="77"/>
      <c r="C2313" s="77"/>
      <c r="D2313" s="77"/>
      <c r="E2313" s="77"/>
      <c r="F2313" s="77"/>
      <c r="G2313" s="80"/>
    </row>
    <row r="2314">
      <c r="A2314" s="77"/>
      <c r="B2314" s="77"/>
      <c r="C2314" s="77"/>
      <c r="D2314" s="77"/>
      <c r="E2314" s="77"/>
      <c r="F2314" s="77"/>
      <c r="G2314" s="80"/>
    </row>
    <row r="2315">
      <c r="A2315" s="77"/>
      <c r="B2315" s="77"/>
      <c r="C2315" s="77"/>
      <c r="D2315" s="77"/>
      <c r="E2315" s="77"/>
      <c r="F2315" s="77"/>
      <c r="G2315" s="80"/>
    </row>
    <row r="2316">
      <c r="A2316" s="77"/>
      <c r="B2316" s="77"/>
      <c r="C2316" s="77"/>
      <c r="D2316" s="77"/>
      <c r="E2316" s="77"/>
      <c r="F2316" s="77"/>
      <c r="G2316" s="80"/>
    </row>
    <row r="2317">
      <c r="A2317" s="77"/>
      <c r="B2317" s="77"/>
      <c r="C2317" s="77"/>
      <c r="D2317" s="77"/>
      <c r="E2317" s="77"/>
      <c r="F2317" s="77"/>
      <c r="G2317" s="80"/>
    </row>
    <row r="2318">
      <c r="A2318" s="77"/>
      <c r="B2318" s="77"/>
      <c r="C2318" s="77"/>
      <c r="D2318" s="77"/>
      <c r="E2318" s="77"/>
      <c r="F2318" s="77"/>
      <c r="G2318" s="80"/>
    </row>
    <row r="2319">
      <c r="A2319" s="77"/>
      <c r="B2319" s="77"/>
      <c r="C2319" s="77"/>
      <c r="D2319" s="77"/>
      <c r="E2319" s="77"/>
      <c r="F2319" s="77"/>
      <c r="G2319" s="80"/>
    </row>
    <row r="2320">
      <c r="A2320" s="77"/>
      <c r="B2320" s="77"/>
      <c r="C2320" s="77"/>
      <c r="D2320" s="77"/>
      <c r="E2320" s="77"/>
      <c r="F2320" s="77"/>
      <c r="G2320" s="80"/>
    </row>
    <row r="2321">
      <c r="A2321" s="77"/>
      <c r="B2321" s="77"/>
      <c r="C2321" s="77"/>
      <c r="D2321" s="77"/>
      <c r="E2321" s="77"/>
      <c r="F2321" s="77"/>
      <c r="G2321" s="80"/>
    </row>
    <row r="2322">
      <c r="A2322" s="77"/>
      <c r="B2322" s="77"/>
      <c r="C2322" s="77"/>
      <c r="D2322" s="77"/>
      <c r="E2322" s="77"/>
      <c r="F2322" s="77"/>
      <c r="G2322" s="80"/>
    </row>
    <row r="2323">
      <c r="A2323" s="77"/>
      <c r="B2323" s="77"/>
      <c r="C2323" s="77"/>
      <c r="D2323" s="77"/>
      <c r="E2323" s="77"/>
      <c r="F2323" s="77"/>
      <c r="G2323" s="80"/>
    </row>
    <row r="2324">
      <c r="A2324" s="77"/>
      <c r="B2324" s="77"/>
      <c r="C2324" s="77"/>
      <c r="D2324" s="77"/>
      <c r="E2324" s="77"/>
      <c r="F2324" s="77"/>
      <c r="G2324" s="80"/>
    </row>
    <row r="2325">
      <c r="A2325" s="77"/>
      <c r="B2325" s="77"/>
      <c r="C2325" s="77"/>
      <c r="D2325" s="77"/>
      <c r="E2325" s="77"/>
      <c r="F2325" s="77"/>
      <c r="G2325" s="80"/>
    </row>
    <row r="2326">
      <c r="A2326" s="77"/>
      <c r="B2326" s="77"/>
      <c r="C2326" s="77"/>
      <c r="D2326" s="77"/>
      <c r="E2326" s="77"/>
      <c r="F2326" s="77"/>
      <c r="G2326" s="80"/>
    </row>
    <row r="2327">
      <c r="A2327" s="77"/>
      <c r="B2327" s="77"/>
      <c r="C2327" s="77"/>
      <c r="D2327" s="77"/>
      <c r="E2327" s="77"/>
      <c r="F2327" s="77"/>
      <c r="G2327" s="80"/>
    </row>
    <row r="2328">
      <c r="A2328" s="77"/>
      <c r="B2328" s="77"/>
      <c r="C2328" s="77"/>
      <c r="D2328" s="77"/>
      <c r="E2328" s="77"/>
      <c r="F2328" s="77"/>
      <c r="G2328" s="80"/>
    </row>
    <row r="2329">
      <c r="A2329" s="77"/>
      <c r="B2329" s="77"/>
      <c r="C2329" s="77"/>
      <c r="D2329" s="77"/>
      <c r="E2329" s="77"/>
      <c r="F2329" s="77"/>
      <c r="G2329" s="80"/>
    </row>
    <row r="2330">
      <c r="A2330" s="77"/>
      <c r="B2330" s="77"/>
      <c r="C2330" s="77"/>
      <c r="D2330" s="77"/>
      <c r="E2330" s="77"/>
      <c r="F2330" s="77"/>
      <c r="G2330" s="80"/>
    </row>
    <row r="2331">
      <c r="A2331" s="77"/>
      <c r="B2331" s="77"/>
      <c r="C2331" s="77"/>
      <c r="D2331" s="77"/>
      <c r="E2331" s="77"/>
      <c r="F2331" s="77"/>
      <c r="G2331" s="80"/>
    </row>
    <row r="2332">
      <c r="A2332" s="77"/>
      <c r="B2332" s="77"/>
      <c r="C2332" s="77"/>
      <c r="D2332" s="77"/>
      <c r="E2332" s="77"/>
      <c r="F2332" s="77"/>
      <c r="G2332" s="80"/>
    </row>
    <row r="2333">
      <c r="A2333" s="77"/>
      <c r="B2333" s="77"/>
      <c r="C2333" s="77"/>
      <c r="D2333" s="77"/>
      <c r="E2333" s="77"/>
      <c r="F2333" s="77"/>
      <c r="G2333" s="80"/>
    </row>
    <row r="2334">
      <c r="A2334" s="77"/>
      <c r="B2334" s="77"/>
      <c r="C2334" s="77"/>
      <c r="D2334" s="77"/>
      <c r="E2334" s="77"/>
      <c r="F2334" s="77"/>
      <c r="G2334" s="80"/>
    </row>
    <row r="2335">
      <c r="A2335" s="77"/>
      <c r="B2335" s="77"/>
      <c r="C2335" s="77"/>
      <c r="D2335" s="77"/>
      <c r="E2335" s="77"/>
      <c r="F2335" s="77"/>
      <c r="G2335" s="80"/>
    </row>
    <row r="2336">
      <c r="A2336" s="77"/>
      <c r="B2336" s="77"/>
      <c r="C2336" s="77"/>
      <c r="D2336" s="77"/>
      <c r="E2336" s="77"/>
      <c r="F2336" s="77"/>
      <c r="G2336" s="80"/>
    </row>
    <row r="2337">
      <c r="A2337" s="77"/>
      <c r="B2337" s="77"/>
      <c r="C2337" s="77"/>
      <c r="D2337" s="77"/>
      <c r="E2337" s="77"/>
      <c r="F2337" s="77"/>
      <c r="G2337" s="80"/>
    </row>
    <row r="2338">
      <c r="A2338" s="77"/>
      <c r="B2338" s="77"/>
      <c r="C2338" s="77"/>
      <c r="D2338" s="77"/>
      <c r="E2338" s="77"/>
      <c r="F2338" s="77"/>
      <c r="G2338" s="80"/>
    </row>
    <row r="2339">
      <c r="A2339" s="77"/>
      <c r="B2339" s="77"/>
      <c r="C2339" s="77"/>
      <c r="D2339" s="77"/>
      <c r="E2339" s="77"/>
      <c r="F2339" s="77"/>
      <c r="G2339" s="80"/>
    </row>
    <row r="2340">
      <c r="A2340" s="77"/>
      <c r="B2340" s="77"/>
      <c r="C2340" s="77"/>
      <c r="D2340" s="77"/>
      <c r="E2340" s="77"/>
      <c r="F2340" s="77"/>
      <c r="G2340" s="80"/>
    </row>
    <row r="2341">
      <c r="A2341" s="77"/>
      <c r="B2341" s="77"/>
      <c r="C2341" s="77"/>
      <c r="D2341" s="77"/>
      <c r="E2341" s="77"/>
      <c r="F2341" s="77"/>
      <c r="G2341" s="80"/>
    </row>
    <row r="2342">
      <c r="A2342" s="77"/>
      <c r="B2342" s="77"/>
      <c r="C2342" s="77"/>
      <c r="D2342" s="77"/>
      <c r="E2342" s="77"/>
      <c r="F2342" s="77"/>
      <c r="G2342" s="80"/>
    </row>
    <row r="2343">
      <c r="A2343" s="77"/>
      <c r="B2343" s="77"/>
      <c r="C2343" s="77"/>
      <c r="D2343" s="77"/>
      <c r="E2343" s="77"/>
      <c r="F2343" s="77"/>
      <c r="G2343" s="80"/>
    </row>
    <row r="2344">
      <c r="A2344" s="77"/>
      <c r="B2344" s="77"/>
      <c r="C2344" s="77"/>
      <c r="D2344" s="77"/>
      <c r="E2344" s="77"/>
      <c r="F2344" s="77"/>
      <c r="G2344" s="80"/>
    </row>
    <row r="2345">
      <c r="A2345" s="77"/>
      <c r="B2345" s="77"/>
      <c r="C2345" s="77"/>
      <c r="D2345" s="77"/>
      <c r="E2345" s="77"/>
      <c r="F2345" s="77"/>
      <c r="G2345" s="80"/>
    </row>
    <row r="2346">
      <c r="A2346" s="77"/>
      <c r="B2346" s="77"/>
      <c r="C2346" s="77"/>
      <c r="D2346" s="77"/>
      <c r="E2346" s="77"/>
      <c r="F2346" s="77"/>
      <c r="G2346" s="80"/>
    </row>
    <row r="2347">
      <c r="A2347" s="77"/>
      <c r="B2347" s="77"/>
      <c r="C2347" s="77"/>
      <c r="D2347" s="77"/>
      <c r="E2347" s="77"/>
      <c r="F2347" s="77"/>
      <c r="G2347" s="80"/>
    </row>
    <row r="2348">
      <c r="A2348" s="77"/>
      <c r="B2348" s="77"/>
      <c r="C2348" s="77"/>
      <c r="D2348" s="77"/>
      <c r="E2348" s="77"/>
      <c r="F2348" s="77"/>
      <c r="G2348" s="80"/>
    </row>
    <row r="2349">
      <c r="A2349" s="77"/>
      <c r="B2349" s="77"/>
      <c r="C2349" s="77"/>
      <c r="D2349" s="77"/>
      <c r="E2349" s="77"/>
      <c r="F2349" s="77"/>
      <c r="G2349" s="80"/>
    </row>
    <row r="2350">
      <c r="A2350" s="77"/>
      <c r="B2350" s="77"/>
      <c r="C2350" s="77"/>
      <c r="D2350" s="77"/>
      <c r="E2350" s="77"/>
      <c r="F2350" s="77"/>
      <c r="G2350" s="80"/>
    </row>
    <row r="2351">
      <c r="A2351" s="77"/>
      <c r="B2351" s="77"/>
      <c r="C2351" s="77"/>
      <c r="D2351" s="77"/>
      <c r="E2351" s="77"/>
      <c r="F2351" s="77"/>
      <c r="G2351" s="80"/>
    </row>
    <row r="2352">
      <c r="A2352" s="77"/>
      <c r="B2352" s="77"/>
      <c r="C2352" s="77"/>
      <c r="D2352" s="77"/>
      <c r="E2352" s="77"/>
      <c r="F2352" s="77"/>
      <c r="G2352" s="80"/>
    </row>
    <row r="2353">
      <c r="A2353" s="77"/>
      <c r="B2353" s="77"/>
      <c r="C2353" s="77"/>
      <c r="D2353" s="77"/>
      <c r="E2353" s="77"/>
      <c r="F2353" s="77"/>
      <c r="G2353" s="80"/>
    </row>
    <row r="2354">
      <c r="A2354" s="77"/>
      <c r="B2354" s="77"/>
      <c r="C2354" s="77"/>
      <c r="D2354" s="77"/>
      <c r="E2354" s="77"/>
      <c r="F2354" s="77"/>
      <c r="G2354" s="80"/>
    </row>
    <row r="2355">
      <c r="A2355" s="77"/>
      <c r="B2355" s="77"/>
      <c r="C2355" s="77"/>
      <c r="D2355" s="77"/>
      <c r="E2355" s="77"/>
      <c r="F2355" s="77"/>
      <c r="G2355" s="80"/>
    </row>
    <row r="2356">
      <c r="A2356" s="77"/>
      <c r="B2356" s="77"/>
      <c r="C2356" s="77"/>
      <c r="D2356" s="77"/>
      <c r="E2356" s="77"/>
      <c r="F2356" s="77"/>
      <c r="G2356" s="80"/>
    </row>
    <row r="2357">
      <c r="A2357" s="77"/>
      <c r="B2357" s="77"/>
      <c r="C2357" s="77"/>
      <c r="D2357" s="77"/>
      <c r="E2357" s="77"/>
      <c r="F2357" s="77"/>
      <c r="G2357" s="80"/>
    </row>
    <row r="2358">
      <c r="A2358" s="77"/>
      <c r="B2358" s="77"/>
      <c r="C2358" s="77"/>
      <c r="D2358" s="77"/>
      <c r="E2358" s="77"/>
      <c r="F2358" s="77"/>
      <c r="G2358" s="80"/>
    </row>
    <row r="2359">
      <c r="A2359" s="77"/>
      <c r="B2359" s="77"/>
      <c r="C2359" s="77"/>
      <c r="D2359" s="77"/>
      <c r="E2359" s="77"/>
      <c r="F2359" s="77"/>
      <c r="G2359" s="80"/>
    </row>
    <row r="2360">
      <c r="A2360" s="77"/>
      <c r="B2360" s="77"/>
      <c r="C2360" s="77"/>
      <c r="D2360" s="77"/>
      <c r="E2360" s="77"/>
      <c r="F2360" s="77"/>
      <c r="G2360" s="80"/>
    </row>
    <row r="2361">
      <c r="A2361" s="77"/>
      <c r="B2361" s="77"/>
      <c r="C2361" s="77"/>
      <c r="D2361" s="77"/>
      <c r="E2361" s="77"/>
      <c r="F2361" s="77"/>
      <c r="G2361" s="80"/>
    </row>
    <row r="2362">
      <c r="A2362" s="77"/>
      <c r="B2362" s="77"/>
      <c r="C2362" s="77"/>
      <c r="D2362" s="77"/>
      <c r="E2362" s="77"/>
      <c r="F2362" s="77"/>
      <c r="G2362" s="80"/>
    </row>
    <row r="2363">
      <c r="A2363" s="77"/>
      <c r="B2363" s="77"/>
      <c r="C2363" s="77"/>
      <c r="D2363" s="77"/>
      <c r="E2363" s="77"/>
      <c r="F2363" s="77"/>
      <c r="G2363" s="80"/>
    </row>
    <row r="2364">
      <c r="A2364" s="77"/>
      <c r="B2364" s="77"/>
      <c r="C2364" s="77"/>
      <c r="D2364" s="77"/>
      <c r="E2364" s="77"/>
      <c r="F2364" s="77"/>
      <c r="G2364" s="80"/>
    </row>
    <row r="2365">
      <c r="A2365" s="77"/>
      <c r="B2365" s="77"/>
      <c r="C2365" s="77"/>
      <c r="D2365" s="77"/>
      <c r="E2365" s="77"/>
      <c r="F2365" s="77"/>
      <c r="G2365" s="80"/>
    </row>
    <row r="2366">
      <c r="A2366" s="77"/>
      <c r="B2366" s="77"/>
      <c r="C2366" s="77"/>
      <c r="D2366" s="77"/>
      <c r="E2366" s="77"/>
      <c r="F2366" s="77"/>
      <c r="G2366" s="80"/>
    </row>
    <row r="2367">
      <c r="A2367" s="77"/>
      <c r="B2367" s="77"/>
      <c r="C2367" s="77"/>
      <c r="D2367" s="77"/>
      <c r="E2367" s="77"/>
      <c r="F2367" s="77"/>
      <c r="G2367" s="80"/>
    </row>
    <row r="2368">
      <c r="A2368" s="77"/>
      <c r="B2368" s="77"/>
      <c r="C2368" s="77"/>
      <c r="D2368" s="77"/>
      <c r="E2368" s="77"/>
      <c r="F2368" s="77"/>
      <c r="G2368" s="80"/>
    </row>
    <row r="2369">
      <c r="A2369" s="77"/>
      <c r="B2369" s="77"/>
      <c r="C2369" s="77"/>
      <c r="D2369" s="77"/>
      <c r="E2369" s="77"/>
      <c r="F2369" s="77"/>
      <c r="G2369" s="80"/>
    </row>
    <row r="2370">
      <c r="A2370" s="77"/>
      <c r="B2370" s="77"/>
      <c r="C2370" s="77"/>
      <c r="D2370" s="77"/>
      <c r="E2370" s="77"/>
      <c r="F2370" s="77"/>
      <c r="G2370" s="80"/>
    </row>
    <row r="2371">
      <c r="A2371" s="77"/>
      <c r="B2371" s="77"/>
      <c r="C2371" s="77"/>
      <c r="D2371" s="77"/>
      <c r="E2371" s="77"/>
      <c r="F2371" s="77"/>
      <c r="G2371" s="80"/>
    </row>
    <row r="2372">
      <c r="A2372" s="77"/>
      <c r="B2372" s="77"/>
      <c r="C2372" s="77"/>
      <c r="D2372" s="77"/>
      <c r="E2372" s="77"/>
      <c r="F2372" s="77"/>
      <c r="G2372" s="80"/>
    </row>
    <row r="2373">
      <c r="A2373" s="77"/>
      <c r="B2373" s="77"/>
      <c r="C2373" s="77"/>
      <c r="D2373" s="77"/>
      <c r="E2373" s="77"/>
      <c r="F2373" s="77"/>
      <c r="G2373" s="80"/>
    </row>
    <row r="2374">
      <c r="A2374" s="77"/>
      <c r="B2374" s="77"/>
      <c r="C2374" s="77"/>
      <c r="D2374" s="77"/>
      <c r="E2374" s="77"/>
      <c r="F2374" s="77"/>
      <c r="G2374" s="80"/>
    </row>
    <row r="2375">
      <c r="A2375" s="77"/>
      <c r="B2375" s="77"/>
      <c r="C2375" s="77"/>
      <c r="D2375" s="77"/>
      <c r="E2375" s="77"/>
      <c r="F2375" s="77"/>
      <c r="G2375" s="80"/>
    </row>
    <row r="2376">
      <c r="A2376" s="77"/>
      <c r="B2376" s="77"/>
      <c r="C2376" s="77"/>
      <c r="D2376" s="77"/>
      <c r="E2376" s="77"/>
      <c r="F2376" s="77"/>
      <c r="G2376" s="80"/>
    </row>
    <row r="2377">
      <c r="A2377" s="77"/>
      <c r="B2377" s="77"/>
      <c r="C2377" s="77"/>
      <c r="D2377" s="77"/>
      <c r="E2377" s="77"/>
      <c r="F2377" s="77"/>
      <c r="G2377" s="80"/>
    </row>
    <row r="2378">
      <c r="A2378" s="77"/>
      <c r="B2378" s="77"/>
      <c r="C2378" s="77"/>
      <c r="D2378" s="77"/>
      <c r="E2378" s="77"/>
      <c r="F2378" s="77"/>
      <c r="G2378" s="80"/>
    </row>
    <row r="2379">
      <c r="A2379" s="77"/>
      <c r="B2379" s="77"/>
      <c r="C2379" s="77"/>
      <c r="D2379" s="77"/>
      <c r="E2379" s="77"/>
      <c r="F2379" s="77"/>
      <c r="G2379" s="80"/>
    </row>
    <row r="2380">
      <c r="A2380" s="77"/>
      <c r="B2380" s="77"/>
      <c r="C2380" s="77"/>
      <c r="D2380" s="77"/>
      <c r="E2380" s="77"/>
      <c r="F2380" s="77"/>
      <c r="G2380" s="80"/>
    </row>
    <row r="2381">
      <c r="A2381" s="77"/>
      <c r="B2381" s="77"/>
      <c r="C2381" s="77"/>
      <c r="D2381" s="77"/>
      <c r="E2381" s="77"/>
      <c r="F2381" s="77"/>
      <c r="G2381" s="80"/>
    </row>
    <row r="2382">
      <c r="A2382" s="77"/>
      <c r="B2382" s="77"/>
      <c r="C2382" s="77"/>
      <c r="D2382" s="77"/>
      <c r="E2382" s="77"/>
      <c r="F2382" s="77"/>
      <c r="G2382" s="80"/>
    </row>
    <row r="2383">
      <c r="A2383" s="77"/>
      <c r="B2383" s="77"/>
      <c r="C2383" s="77"/>
      <c r="D2383" s="77"/>
      <c r="E2383" s="77"/>
      <c r="F2383" s="77"/>
      <c r="G2383" s="80"/>
    </row>
    <row r="2384">
      <c r="A2384" s="77"/>
      <c r="B2384" s="77"/>
      <c r="C2384" s="77"/>
      <c r="D2384" s="77"/>
      <c r="E2384" s="77"/>
      <c r="F2384" s="77"/>
      <c r="G2384" s="80"/>
    </row>
    <row r="2385">
      <c r="A2385" s="77"/>
      <c r="B2385" s="77"/>
      <c r="C2385" s="77"/>
      <c r="D2385" s="77"/>
      <c r="E2385" s="77"/>
      <c r="F2385" s="77"/>
      <c r="G2385" s="80"/>
    </row>
    <row r="2386">
      <c r="A2386" s="77"/>
      <c r="B2386" s="77"/>
      <c r="C2386" s="77"/>
      <c r="D2386" s="77"/>
      <c r="E2386" s="77"/>
      <c r="F2386" s="77"/>
      <c r="G2386" s="80"/>
    </row>
    <row r="2387">
      <c r="A2387" s="77"/>
      <c r="B2387" s="77"/>
      <c r="C2387" s="77"/>
      <c r="D2387" s="77"/>
      <c r="E2387" s="77"/>
      <c r="F2387" s="77"/>
      <c r="G2387" s="80"/>
    </row>
    <row r="2388">
      <c r="A2388" s="77"/>
      <c r="B2388" s="77"/>
      <c r="C2388" s="77"/>
      <c r="D2388" s="77"/>
      <c r="E2388" s="77"/>
      <c r="F2388" s="77"/>
      <c r="G2388" s="80"/>
    </row>
    <row r="2389">
      <c r="A2389" s="77"/>
      <c r="B2389" s="77"/>
      <c r="C2389" s="77"/>
      <c r="D2389" s="77"/>
      <c r="E2389" s="77"/>
      <c r="F2389" s="77"/>
      <c r="G2389" s="80"/>
    </row>
    <row r="2390">
      <c r="A2390" s="77"/>
      <c r="B2390" s="77"/>
      <c r="C2390" s="77"/>
      <c r="D2390" s="77"/>
      <c r="E2390" s="77"/>
      <c r="F2390" s="77"/>
      <c r="G2390" s="80"/>
    </row>
    <row r="2391">
      <c r="A2391" s="77"/>
      <c r="B2391" s="77"/>
      <c r="C2391" s="77"/>
      <c r="D2391" s="77"/>
      <c r="E2391" s="77"/>
      <c r="F2391" s="77"/>
      <c r="G2391" s="80"/>
    </row>
    <row r="2392">
      <c r="A2392" s="77"/>
      <c r="B2392" s="77"/>
      <c r="C2392" s="77"/>
      <c r="D2392" s="77"/>
      <c r="E2392" s="77"/>
      <c r="F2392" s="77"/>
      <c r="G2392" s="80"/>
    </row>
    <row r="2393">
      <c r="A2393" s="77"/>
      <c r="B2393" s="77"/>
      <c r="C2393" s="77"/>
      <c r="D2393" s="77"/>
      <c r="E2393" s="77"/>
      <c r="F2393" s="77"/>
      <c r="G2393" s="80"/>
    </row>
    <row r="2394">
      <c r="A2394" s="77"/>
      <c r="B2394" s="77"/>
      <c r="C2394" s="77"/>
      <c r="D2394" s="77"/>
      <c r="E2394" s="77"/>
      <c r="F2394" s="77"/>
      <c r="G2394" s="80"/>
    </row>
    <row r="2395">
      <c r="A2395" s="77"/>
      <c r="B2395" s="77"/>
      <c r="C2395" s="77"/>
      <c r="D2395" s="77"/>
      <c r="E2395" s="77"/>
      <c r="F2395" s="77"/>
      <c r="G2395" s="80"/>
    </row>
    <row r="2396">
      <c r="A2396" s="77"/>
      <c r="B2396" s="77"/>
      <c r="C2396" s="77"/>
      <c r="D2396" s="77"/>
      <c r="E2396" s="77"/>
      <c r="F2396" s="77"/>
      <c r="G2396" s="80"/>
    </row>
    <row r="2397">
      <c r="A2397" s="77"/>
      <c r="B2397" s="77"/>
      <c r="C2397" s="77"/>
      <c r="D2397" s="77"/>
      <c r="E2397" s="77"/>
      <c r="F2397" s="77"/>
      <c r="G2397" s="80"/>
    </row>
    <row r="2398">
      <c r="A2398" s="77"/>
      <c r="B2398" s="77"/>
      <c r="C2398" s="77"/>
      <c r="D2398" s="77"/>
      <c r="E2398" s="77"/>
      <c r="F2398" s="77"/>
      <c r="G2398" s="80"/>
    </row>
    <row r="2399">
      <c r="A2399" s="77"/>
      <c r="B2399" s="77"/>
      <c r="C2399" s="77"/>
      <c r="D2399" s="77"/>
      <c r="E2399" s="77"/>
      <c r="F2399" s="77"/>
      <c r="G2399" s="80"/>
    </row>
    <row r="2400">
      <c r="A2400" s="77"/>
      <c r="B2400" s="77"/>
      <c r="C2400" s="77"/>
      <c r="D2400" s="77"/>
      <c r="E2400" s="77"/>
      <c r="F2400" s="77"/>
      <c r="G2400" s="80"/>
    </row>
    <row r="2401">
      <c r="A2401" s="77"/>
      <c r="B2401" s="77"/>
      <c r="C2401" s="77"/>
      <c r="D2401" s="77"/>
      <c r="E2401" s="77"/>
      <c r="F2401" s="77"/>
      <c r="G2401" s="80"/>
    </row>
    <row r="2402">
      <c r="A2402" s="77"/>
      <c r="B2402" s="77"/>
      <c r="C2402" s="77"/>
      <c r="D2402" s="77"/>
      <c r="E2402" s="77"/>
      <c r="F2402" s="77"/>
      <c r="G2402" s="80"/>
    </row>
    <row r="2403">
      <c r="A2403" s="77"/>
      <c r="B2403" s="77"/>
      <c r="C2403" s="77"/>
      <c r="D2403" s="77"/>
      <c r="E2403" s="77"/>
      <c r="F2403" s="77"/>
      <c r="G2403" s="80"/>
    </row>
    <row r="2404">
      <c r="A2404" s="77"/>
      <c r="B2404" s="77"/>
      <c r="C2404" s="77"/>
      <c r="D2404" s="77"/>
      <c r="E2404" s="77"/>
      <c r="F2404" s="77"/>
      <c r="G2404" s="80"/>
    </row>
    <row r="2405">
      <c r="A2405" s="77"/>
      <c r="B2405" s="77"/>
      <c r="C2405" s="77"/>
      <c r="D2405" s="77"/>
      <c r="E2405" s="77"/>
      <c r="F2405" s="77"/>
      <c r="G2405" s="80"/>
    </row>
    <row r="2406">
      <c r="A2406" s="77"/>
      <c r="B2406" s="77"/>
      <c r="C2406" s="77"/>
      <c r="D2406" s="77"/>
      <c r="E2406" s="77"/>
      <c r="F2406" s="77"/>
      <c r="G2406" s="80"/>
    </row>
    <row r="2407">
      <c r="A2407" s="77"/>
      <c r="B2407" s="77"/>
      <c r="C2407" s="77"/>
      <c r="D2407" s="77"/>
      <c r="E2407" s="77"/>
      <c r="F2407" s="77"/>
      <c r="G2407" s="80"/>
    </row>
    <row r="2408">
      <c r="A2408" s="77"/>
      <c r="B2408" s="77"/>
      <c r="C2408" s="77"/>
      <c r="D2408" s="77"/>
      <c r="E2408" s="77"/>
      <c r="F2408" s="77"/>
      <c r="G2408" s="80"/>
    </row>
    <row r="2409">
      <c r="A2409" s="77"/>
      <c r="B2409" s="77"/>
      <c r="C2409" s="77"/>
      <c r="D2409" s="77"/>
      <c r="E2409" s="77"/>
      <c r="F2409" s="77"/>
      <c r="G2409" s="80"/>
    </row>
    <row r="2410">
      <c r="A2410" s="77"/>
      <c r="B2410" s="77"/>
      <c r="C2410" s="77"/>
      <c r="D2410" s="77"/>
      <c r="E2410" s="77"/>
      <c r="F2410" s="77"/>
      <c r="G2410" s="80"/>
    </row>
    <row r="2411">
      <c r="A2411" s="77"/>
      <c r="B2411" s="77"/>
      <c r="C2411" s="77"/>
      <c r="D2411" s="77"/>
      <c r="E2411" s="77"/>
      <c r="F2411" s="77"/>
      <c r="G2411" s="80"/>
    </row>
    <row r="2412">
      <c r="A2412" s="77"/>
      <c r="B2412" s="77"/>
      <c r="C2412" s="77"/>
      <c r="D2412" s="77"/>
      <c r="E2412" s="77"/>
      <c r="F2412" s="77"/>
      <c r="G2412" s="80"/>
    </row>
    <row r="2413">
      <c r="A2413" s="77"/>
      <c r="B2413" s="77"/>
      <c r="C2413" s="77"/>
      <c r="D2413" s="77"/>
      <c r="E2413" s="77"/>
      <c r="F2413" s="77"/>
      <c r="G2413" s="80"/>
    </row>
    <row r="2414">
      <c r="A2414" s="77"/>
      <c r="B2414" s="77"/>
      <c r="C2414" s="77"/>
      <c r="D2414" s="77"/>
      <c r="E2414" s="77"/>
      <c r="F2414" s="77"/>
      <c r="G2414" s="80"/>
    </row>
    <row r="2415">
      <c r="A2415" s="77"/>
      <c r="B2415" s="77"/>
      <c r="C2415" s="77"/>
      <c r="D2415" s="77"/>
      <c r="E2415" s="77"/>
      <c r="F2415" s="77"/>
      <c r="G2415" s="80"/>
    </row>
    <row r="2416">
      <c r="A2416" s="77"/>
      <c r="B2416" s="77"/>
      <c r="C2416" s="77"/>
      <c r="D2416" s="77"/>
      <c r="E2416" s="77"/>
      <c r="F2416" s="77"/>
      <c r="G2416" s="80"/>
    </row>
    <row r="2417">
      <c r="A2417" s="77"/>
      <c r="B2417" s="77"/>
      <c r="C2417" s="77"/>
      <c r="D2417" s="77"/>
      <c r="E2417" s="77"/>
      <c r="F2417" s="77"/>
      <c r="G2417" s="80"/>
    </row>
    <row r="2418">
      <c r="A2418" s="77"/>
      <c r="B2418" s="77"/>
      <c r="C2418" s="77"/>
      <c r="D2418" s="77"/>
      <c r="E2418" s="77"/>
      <c r="F2418" s="77"/>
      <c r="G2418" s="80"/>
    </row>
    <row r="2419">
      <c r="A2419" s="77"/>
      <c r="B2419" s="77"/>
      <c r="C2419" s="77"/>
      <c r="D2419" s="77"/>
      <c r="E2419" s="77"/>
      <c r="F2419" s="77"/>
      <c r="G2419" s="80"/>
    </row>
    <row r="2420">
      <c r="A2420" s="77"/>
      <c r="B2420" s="77"/>
      <c r="C2420" s="77"/>
      <c r="D2420" s="77"/>
      <c r="E2420" s="77"/>
      <c r="F2420" s="77"/>
      <c r="G2420" s="80"/>
    </row>
    <row r="2421">
      <c r="A2421" s="77"/>
      <c r="B2421" s="77"/>
      <c r="C2421" s="77"/>
      <c r="D2421" s="77"/>
      <c r="E2421" s="77"/>
      <c r="F2421" s="77"/>
      <c r="G2421" s="80"/>
    </row>
    <row r="2422">
      <c r="A2422" s="77"/>
      <c r="B2422" s="77"/>
      <c r="C2422" s="77"/>
      <c r="D2422" s="77"/>
      <c r="E2422" s="77"/>
      <c r="F2422" s="77"/>
      <c r="G2422" s="80"/>
    </row>
    <row r="2423">
      <c r="A2423" s="77"/>
      <c r="B2423" s="77"/>
      <c r="C2423" s="77"/>
      <c r="D2423" s="77"/>
      <c r="E2423" s="77"/>
      <c r="F2423" s="77"/>
      <c r="G2423" s="80"/>
    </row>
    <row r="2424">
      <c r="A2424" s="77"/>
      <c r="B2424" s="77"/>
      <c r="C2424" s="77"/>
      <c r="D2424" s="77"/>
      <c r="E2424" s="77"/>
      <c r="F2424" s="77"/>
      <c r="G2424" s="80"/>
    </row>
    <row r="2425">
      <c r="A2425" s="77"/>
      <c r="B2425" s="77"/>
      <c r="C2425" s="77"/>
      <c r="D2425" s="77"/>
      <c r="E2425" s="77"/>
      <c r="F2425" s="77"/>
      <c r="G2425" s="80"/>
    </row>
    <row r="2426">
      <c r="A2426" s="77"/>
      <c r="B2426" s="77"/>
      <c r="C2426" s="77"/>
      <c r="D2426" s="77"/>
      <c r="E2426" s="77"/>
      <c r="F2426" s="77"/>
      <c r="G2426" s="80"/>
    </row>
    <row r="2427">
      <c r="A2427" s="77"/>
      <c r="B2427" s="77"/>
      <c r="C2427" s="77"/>
      <c r="D2427" s="77"/>
      <c r="E2427" s="77"/>
      <c r="F2427" s="77"/>
      <c r="G2427" s="80"/>
    </row>
    <row r="2428">
      <c r="A2428" s="77"/>
      <c r="B2428" s="77"/>
      <c r="C2428" s="77"/>
      <c r="D2428" s="77"/>
      <c r="E2428" s="77"/>
      <c r="F2428" s="77"/>
      <c r="G2428" s="80"/>
    </row>
    <row r="2429">
      <c r="A2429" s="77"/>
      <c r="B2429" s="77"/>
      <c r="C2429" s="77"/>
      <c r="D2429" s="77"/>
      <c r="E2429" s="77"/>
      <c r="F2429" s="77"/>
      <c r="G2429" s="80"/>
    </row>
    <row r="2430">
      <c r="A2430" s="77"/>
      <c r="B2430" s="77"/>
      <c r="C2430" s="77"/>
      <c r="D2430" s="77"/>
      <c r="E2430" s="77"/>
      <c r="F2430" s="77"/>
      <c r="G2430" s="80"/>
    </row>
    <row r="2431">
      <c r="A2431" s="77"/>
      <c r="B2431" s="77"/>
      <c r="C2431" s="77"/>
      <c r="D2431" s="77"/>
      <c r="E2431" s="77"/>
      <c r="F2431" s="77"/>
      <c r="G2431" s="80"/>
    </row>
    <row r="2432">
      <c r="A2432" s="77"/>
      <c r="B2432" s="77"/>
      <c r="C2432" s="77"/>
      <c r="D2432" s="77"/>
      <c r="E2432" s="77"/>
      <c r="F2432" s="77"/>
      <c r="G2432" s="80"/>
    </row>
    <row r="2433">
      <c r="A2433" s="77"/>
      <c r="B2433" s="77"/>
      <c r="C2433" s="77"/>
      <c r="D2433" s="77"/>
      <c r="E2433" s="77"/>
      <c r="F2433" s="77"/>
      <c r="G2433" s="80"/>
    </row>
    <row r="2434">
      <c r="A2434" s="77"/>
      <c r="B2434" s="77"/>
      <c r="C2434" s="77"/>
      <c r="D2434" s="77"/>
      <c r="E2434" s="77"/>
      <c r="F2434" s="77"/>
      <c r="G2434" s="80"/>
    </row>
    <row r="2435">
      <c r="A2435" s="77"/>
      <c r="B2435" s="77"/>
      <c r="C2435" s="77"/>
      <c r="D2435" s="77"/>
      <c r="E2435" s="77"/>
      <c r="F2435" s="77"/>
      <c r="G2435" s="80"/>
    </row>
    <row r="2436">
      <c r="A2436" s="77"/>
      <c r="B2436" s="77"/>
      <c r="C2436" s="77"/>
      <c r="D2436" s="77"/>
      <c r="E2436" s="77"/>
      <c r="F2436" s="77"/>
      <c r="G2436" s="80"/>
    </row>
    <row r="2437">
      <c r="A2437" s="77"/>
      <c r="B2437" s="77"/>
      <c r="C2437" s="77"/>
      <c r="D2437" s="77"/>
      <c r="E2437" s="77"/>
      <c r="F2437" s="77"/>
      <c r="G2437" s="80"/>
    </row>
    <row r="2438">
      <c r="A2438" s="77"/>
      <c r="B2438" s="77"/>
      <c r="C2438" s="77"/>
      <c r="D2438" s="77"/>
      <c r="E2438" s="77"/>
      <c r="F2438" s="77"/>
      <c r="G2438" s="80"/>
    </row>
    <row r="2439">
      <c r="A2439" s="77"/>
      <c r="B2439" s="77"/>
      <c r="C2439" s="77"/>
      <c r="D2439" s="77"/>
      <c r="E2439" s="77"/>
      <c r="F2439" s="77"/>
      <c r="G2439" s="80"/>
    </row>
    <row r="2440">
      <c r="A2440" s="77"/>
      <c r="B2440" s="77"/>
      <c r="C2440" s="77"/>
      <c r="D2440" s="77"/>
      <c r="E2440" s="77"/>
      <c r="F2440" s="77"/>
      <c r="G2440" s="80"/>
    </row>
    <row r="2441">
      <c r="A2441" s="77"/>
      <c r="B2441" s="77"/>
      <c r="C2441" s="77"/>
      <c r="D2441" s="77"/>
      <c r="E2441" s="77"/>
      <c r="F2441" s="77"/>
      <c r="G2441" s="80"/>
    </row>
    <row r="2442">
      <c r="A2442" s="77"/>
      <c r="B2442" s="77"/>
      <c r="C2442" s="77"/>
      <c r="D2442" s="77"/>
      <c r="E2442" s="77"/>
      <c r="F2442" s="77"/>
      <c r="G2442" s="80"/>
    </row>
    <row r="2443">
      <c r="A2443" s="77"/>
      <c r="B2443" s="77"/>
      <c r="C2443" s="77"/>
      <c r="D2443" s="77"/>
      <c r="E2443" s="77"/>
      <c r="F2443" s="77"/>
      <c r="G2443" s="80"/>
    </row>
    <row r="2444">
      <c r="A2444" s="77"/>
      <c r="B2444" s="77"/>
      <c r="C2444" s="77"/>
      <c r="D2444" s="77"/>
      <c r="E2444" s="77"/>
      <c r="F2444" s="77"/>
      <c r="G2444" s="80"/>
    </row>
    <row r="2445">
      <c r="A2445" s="77"/>
      <c r="B2445" s="77"/>
      <c r="C2445" s="77"/>
      <c r="D2445" s="77"/>
      <c r="E2445" s="77"/>
      <c r="F2445" s="77"/>
      <c r="G2445" s="80"/>
    </row>
    <row r="2446">
      <c r="A2446" s="77"/>
      <c r="B2446" s="77"/>
      <c r="C2446" s="77"/>
      <c r="D2446" s="77"/>
      <c r="E2446" s="77"/>
      <c r="F2446" s="77"/>
      <c r="G2446" s="80"/>
    </row>
    <row r="2447">
      <c r="A2447" s="77"/>
      <c r="B2447" s="77"/>
      <c r="C2447" s="77"/>
      <c r="D2447" s="77"/>
      <c r="E2447" s="77"/>
      <c r="F2447" s="77"/>
      <c r="G2447" s="80"/>
    </row>
    <row r="2448">
      <c r="A2448" s="77"/>
      <c r="B2448" s="77"/>
      <c r="C2448" s="77"/>
      <c r="D2448" s="77"/>
      <c r="E2448" s="77"/>
      <c r="F2448" s="77"/>
      <c r="G2448" s="80"/>
    </row>
    <row r="2449">
      <c r="A2449" s="77"/>
      <c r="B2449" s="77"/>
      <c r="C2449" s="77"/>
      <c r="D2449" s="77"/>
      <c r="E2449" s="77"/>
      <c r="F2449" s="77"/>
      <c r="G2449" s="80"/>
    </row>
    <row r="2450">
      <c r="A2450" s="77"/>
      <c r="B2450" s="77"/>
      <c r="C2450" s="77"/>
      <c r="D2450" s="77"/>
      <c r="E2450" s="77"/>
      <c r="F2450" s="77"/>
      <c r="G2450" s="80"/>
    </row>
    <row r="2451">
      <c r="A2451" s="77"/>
      <c r="B2451" s="77"/>
      <c r="C2451" s="77"/>
      <c r="D2451" s="77"/>
      <c r="E2451" s="77"/>
      <c r="F2451" s="77"/>
      <c r="G2451" s="80"/>
    </row>
    <row r="2452">
      <c r="A2452" s="77"/>
      <c r="B2452" s="77"/>
      <c r="C2452" s="77"/>
      <c r="D2452" s="77"/>
      <c r="E2452" s="77"/>
      <c r="F2452" s="77"/>
      <c r="G2452" s="80"/>
    </row>
    <row r="2453">
      <c r="A2453" s="77"/>
      <c r="B2453" s="77"/>
      <c r="C2453" s="77"/>
      <c r="D2453" s="77"/>
      <c r="E2453" s="77"/>
      <c r="F2453" s="77"/>
      <c r="G2453" s="80"/>
    </row>
    <row r="2454">
      <c r="A2454" s="77"/>
      <c r="B2454" s="77"/>
      <c r="C2454" s="77"/>
      <c r="D2454" s="77"/>
      <c r="E2454" s="77"/>
      <c r="F2454" s="77"/>
      <c r="G2454" s="80"/>
    </row>
    <row r="2455">
      <c r="A2455" s="77"/>
      <c r="B2455" s="77"/>
      <c r="C2455" s="77"/>
      <c r="D2455" s="77"/>
      <c r="E2455" s="77"/>
      <c r="F2455" s="77"/>
      <c r="G2455" s="80"/>
    </row>
    <row r="2456">
      <c r="A2456" s="77"/>
      <c r="B2456" s="77"/>
      <c r="C2456" s="77"/>
      <c r="D2456" s="77"/>
      <c r="E2456" s="77"/>
      <c r="F2456" s="77"/>
      <c r="G2456" s="80"/>
    </row>
    <row r="2457">
      <c r="A2457" s="77"/>
      <c r="B2457" s="77"/>
      <c r="C2457" s="77"/>
      <c r="D2457" s="77"/>
      <c r="E2457" s="77"/>
      <c r="F2457" s="77"/>
      <c r="G2457" s="80"/>
    </row>
    <row r="2458">
      <c r="A2458" s="77"/>
      <c r="B2458" s="77"/>
      <c r="C2458" s="77"/>
      <c r="D2458" s="77"/>
      <c r="E2458" s="77"/>
      <c r="F2458" s="77"/>
      <c r="G2458" s="80"/>
    </row>
    <row r="2459">
      <c r="A2459" s="77"/>
      <c r="B2459" s="77"/>
      <c r="C2459" s="77"/>
      <c r="D2459" s="77"/>
      <c r="E2459" s="77"/>
      <c r="F2459" s="77"/>
      <c r="G2459" s="80"/>
    </row>
    <row r="2460">
      <c r="A2460" s="77"/>
      <c r="B2460" s="77"/>
      <c r="C2460" s="77"/>
      <c r="D2460" s="77"/>
      <c r="E2460" s="77"/>
      <c r="F2460" s="77"/>
      <c r="G2460" s="80"/>
    </row>
    <row r="2461">
      <c r="A2461" s="77"/>
      <c r="B2461" s="77"/>
      <c r="C2461" s="77"/>
      <c r="D2461" s="77"/>
      <c r="E2461" s="77"/>
      <c r="F2461" s="77"/>
      <c r="G2461" s="80"/>
    </row>
    <row r="2462">
      <c r="A2462" s="77"/>
      <c r="B2462" s="77"/>
      <c r="C2462" s="77"/>
      <c r="D2462" s="77"/>
      <c r="E2462" s="77"/>
      <c r="F2462" s="77"/>
      <c r="G2462" s="80"/>
    </row>
    <row r="2463">
      <c r="A2463" s="77"/>
      <c r="B2463" s="77"/>
      <c r="C2463" s="77"/>
      <c r="D2463" s="77"/>
      <c r="E2463" s="77"/>
      <c r="F2463" s="77"/>
      <c r="G2463" s="80"/>
    </row>
    <row r="2464">
      <c r="A2464" s="77"/>
      <c r="B2464" s="77"/>
      <c r="C2464" s="77"/>
      <c r="D2464" s="77"/>
      <c r="E2464" s="77"/>
      <c r="F2464" s="77"/>
      <c r="G2464" s="80"/>
    </row>
    <row r="2465">
      <c r="A2465" s="77"/>
      <c r="B2465" s="77"/>
      <c r="C2465" s="77"/>
      <c r="D2465" s="77"/>
      <c r="E2465" s="77"/>
      <c r="F2465" s="77"/>
      <c r="G2465" s="80"/>
    </row>
    <row r="2466">
      <c r="A2466" s="77"/>
      <c r="B2466" s="77"/>
      <c r="C2466" s="77"/>
      <c r="D2466" s="77"/>
      <c r="E2466" s="77"/>
      <c r="F2466" s="77"/>
      <c r="G2466" s="80"/>
    </row>
    <row r="2467">
      <c r="A2467" s="77"/>
      <c r="B2467" s="77"/>
      <c r="C2467" s="77"/>
      <c r="D2467" s="77"/>
      <c r="E2467" s="77"/>
      <c r="F2467" s="77"/>
      <c r="G2467" s="80"/>
    </row>
    <row r="2468">
      <c r="A2468" s="77"/>
      <c r="B2468" s="77"/>
      <c r="C2468" s="77"/>
      <c r="D2468" s="77"/>
      <c r="E2468" s="77"/>
      <c r="F2468" s="77"/>
      <c r="G2468" s="80"/>
    </row>
    <row r="2469">
      <c r="A2469" s="77"/>
      <c r="B2469" s="77"/>
      <c r="C2469" s="77"/>
      <c r="D2469" s="77"/>
      <c r="E2469" s="77"/>
      <c r="F2469" s="77"/>
      <c r="G2469" s="80"/>
    </row>
    <row r="2470">
      <c r="A2470" s="77"/>
      <c r="B2470" s="77"/>
      <c r="C2470" s="77"/>
      <c r="D2470" s="77"/>
      <c r="E2470" s="77"/>
      <c r="F2470" s="77"/>
      <c r="G2470" s="80"/>
    </row>
    <row r="2471">
      <c r="A2471" s="77"/>
      <c r="B2471" s="77"/>
      <c r="C2471" s="77"/>
      <c r="D2471" s="77"/>
      <c r="E2471" s="77"/>
      <c r="F2471" s="77"/>
      <c r="G2471" s="80"/>
    </row>
    <row r="2472">
      <c r="A2472" s="77"/>
      <c r="B2472" s="77"/>
      <c r="C2472" s="77"/>
      <c r="D2472" s="77"/>
      <c r="E2472" s="77"/>
      <c r="F2472" s="77"/>
      <c r="G2472" s="80"/>
    </row>
    <row r="2473">
      <c r="A2473" s="77"/>
      <c r="B2473" s="77"/>
      <c r="C2473" s="77"/>
      <c r="D2473" s="77"/>
      <c r="E2473" s="77"/>
      <c r="F2473" s="77"/>
      <c r="G2473" s="80"/>
    </row>
    <row r="2474">
      <c r="A2474" s="77"/>
      <c r="B2474" s="77"/>
      <c r="C2474" s="77"/>
      <c r="D2474" s="77"/>
      <c r="E2474" s="77"/>
      <c r="F2474" s="77"/>
      <c r="G2474" s="80"/>
    </row>
    <row r="2475">
      <c r="A2475" s="77"/>
      <c r="B2475" s="77"/>
      <c r="C2475" s="77"/>
      <c r="D2475" s="77"/>
      <c r="E2475" s="77"/>
      <c r="F2475" s="77"/>
      <c r="G2475" s="80"/>
    </row>
    <row r="2476">
      <c r="A2476" s="77"/>
      <c r="B2476" s="77"/>
      <c r="C2476" s="77"/>
      <c r="D2476" s="77"/>
      <c r="E2476" s="77"/>
      <c r="F2476" s="77"/>
      <c r="G2476" s="80"/>
    </row>
    <row r="2477">
      <c r="A2477" s="77"/>
      <c r="B2477" s="77"/>
      <c r="C2477" s="77"/>
      <c r="D2477" s="77"/>
      <c r="E2477" s="77"/>
      <c r="F2477" s="77"/>
      <c r="G2477" s="80"/>
    </row>
    <row r="2478">
      <c r="A2478" s="77"/>
      <c r="B2478" s="77"/>
      <c r="C2478" s="77"/>
      <c r="D2478" s="77"/>
      <c r="E2478" s="77"/>
      <c r="F2478" s="77"/>
      <c r="G2478" s="80"/>
    </row>
    <row r="2479">
      <c r="A2479" s="77"/>
      <c r="B2479" s="77"/>
      <c r="C2479" s="77"/>
      <c r="D2479" s="77"/>
      <c r="E2479" s="77"/>
      <c r="F2479" s="77"/>
      <c r="G2479" s="80"/>
    </row>
    <row r="2480">
      <c r="A2480" s="77"/>
      <c r="B2480" s="77"/>
      <c r="C2480" s="77"/>
      <c r="D2480" s="77"/>
      <c r="E2480" s="77"/>
      <c r="F2480" s="77"/>
      <c r="G2480" s="80"/>
    </row>
    <row r="2481">
      <c r="A2481" s="77"/>
      <c r="B2481" s="77"/>
      <c r="C2481" s="77"/>
      <c r="D2481" s="77"/>
      <c r="E2481" s="77"/>
      <c r="F2481" s="77"/>
      <c r="G2481" s="80"/>
    </row>
    <row r="2482">
      <c r="A2482" s="77"/>
      <c r="B2482" s="77"/>
      <c r="C2482" s="77"/>
      <c r="D2482" s="77"/>
      <c r="E2482" s="77"/>
      <c r="F2482" s="77"/>
      <c r="G2482" s="80"/>
    </row>
    <row r="2483">
      <c r="A2483" s="77"/>
      <c r="B2483" s="77"/>
      <c r="C2483" s="77"/>
      <c r="D2483" s="77"/>
      <c r="E2483" s="77"/>
      <c r="F2483" s="77"/>
      <c r="G2483" s="80"/>
    </row>
    <row r="2484">
      <c r="A2484" s="77"/>
      <c r="B2484" s="77"/>
      <c r="C2484" s="77"/>
      <c r="D2484" s="77"/>
      <c r="E2484" s="77"/>
      <c r="F2484" s="77"/>
      <c r="G2484" s="80"/>
    </row>
    <row r="2485">
      <c r="A2485" s="77"/>
      <c r="B2485" s="77"/>
      <c r="C2485" s="77"/>
      <c r="D2485" s="77"/>
      <c r="E2485" s="77"/>
      <c r="F2485" s="77"/>
      <c r="G2485" s="80"/>
    </row>
    <row r="2486">
      <c r="A2486" s="77"/>
      <c r="B2486" s="77"/>
      <c r="C2486" s="77"/>
      <c r="D2486" s="77"/>
      <c r="E2486" s="77"/>
      <c r="F2486" s="77"/>
      <c r="G2486" s="80"/>
    </row>
    <row r="2487">
      <c r="A2487" s="77"/>
      <c r="B2487" s="77"/>
      <c r="C2487" s="77"/>
      <c r="D2487" s="77"/>
      <c r="E2487" s="77"/>
      <c r="F2487" s="77"/>
      <c r="G2487" s="80"/>
    </row>
    <row r="2488">
      <c r="A2488" s="77"/>
      <c r="B2488" s="77"/>
      <c r="C2488" s="77"/>
      <c r="D2488" s="77"/>
      <c r="E2488" s="77"/>
      <c r="F2488" s="77"/>
      <c r="G2488" s="80"/>
    </row>
    <row r="2489">
      <c r="A2489" s="77"/>
      <c r="B2489" s="77"/>
      <c r="C2489" s="77"/>
      <c r="D2489" s="77"/>
      <c r="E2489" s="77"/>
      <c r="F2489" s="77"/>
      <c r="G2489" s="80"/>
    </row>
    <row r="2490">
      <c r="A2490" s="77"/>
      <c r="B2490" s="77"/>
      <c r="C2490" s="77"/>
      <c r="D2490" s="77"/>
      <c r="E2490" s="77"/>
      <c r="F2490" s="77"/>
      <c r="G2490" s="80"/>
    </row>
    <row r="2491">
      <c r="A2491" s="77"/>
      <c r="B2491" s="77"/>
      <c r="C2491" s="77"/>
      <c r="D2491" s="77"/>
      <c r="E2491" s="77"/>
      <c r="F2491" s="77"/>
      <c r="G2491" s="80"/>
    </row>
    <row r="2492">
      <c r="A2492" s="77"/>
      <c r="B2492" s="77"/>
      <c r="C2492" s="77"/>
      <c r="D2492" s="77"/>
      <c r="E2492" s="77"/>
      <c r="F2492" s="77"/>
      <c r="G2492" s="80"/>
    </row>
    <row r="2493">
      <c r="A2493" s="77"/>
      <c r="B2493" s="77"/>
      <c r="C2493" s="77"/>
      <c r="D2493" s="77"/>
      <c r="E2493" s="77"/>
      <c r="F2493" s="77"/>
      <c r="G2493" s="80"/>
    </row>
    <row r="2494">
      <c r="A2494" s="77"/>
      <c r="B2494" s="77"/>
      <c r="C2494" s="77"/>
      <c r="D2494" s="77"/>
      <c r="E2494" s="77"/>
      <c r="F2494" s="77"/>
      <c r="G2494" s="80"/>
    </row>
    <row r="2495">
      <c r="A2495" s="77"/>
      <c r="B2495" s="77"/>
      <c r="C2495" s="77"/>
      <c r="D2495" s="77"/>
      <c r="E2495" s="77"/>
      <c r="F2495" s="77"/>
      <c r="G2495" s="80"/>
    </row>
    <row r="2496">
      <c r="A2496" s="77"/>
      <c r="B2496" s="77"/>
      <c r="C2496" s="77"/>
      <c r="D2496" s="77"/>
      <c r="E2496" s="77"/>
      <c r="F2496" s="77"/>
      <c r="G2496" s="80"/>
    </row>
    <row r="2497">
      <c r="A2497" s="77"/>
      <c r="B2497" s="77"/>
      <c r="C2497" s="77"/>
      <c r="D2497" s="77"/>
      <c r="E2497" s="77"/>
      <c r="F2497" s="77"/>
      <c r="G2497" s="80"/>
    </row>
    <row r="2498">
      <c r="A2498" s="77"/>
      <c r="B2498" s="77"/>
      <c r="C2498" s="77"/>
      <c r="D2498" s="77"/>
      <c r="E2498" s="77"/>
      <c r="F2498" s="77"/>
      <c r="G2498" s="80"/>
    </row>
    <row r="2499">
      <c r="A2499" s="77"/>
      <c r="B2499" s="77"/>
      <c r="C2499" s="77"/>
      <c r="D2499" s="77"/>
      <c r="E2499" s="77"/>
      <c r="F2499" s="77"/>
      <c r="G2499" s="80"/>
    </row>
    <row r="2500">
      <c r="A2500" s="77"/>
      <c r="B2500" s="77"/>
      <c r="C2500" s="77"/>
      <c r="D2500" s="77"/>
      <c r="E2500" s="77"/>
      <c r="F2500" s="77"/>
      <c r="G2500" s="80"/>
    </row>
    <row r="2501">
      <c r="A2501" s="77"/>
      <c r="B2501" s="77"/>
      <c r="C2501" s="77"/>
      <c r="D2501" s="77"/>
      <c r="E2501" s="77"/>
      <c r="F2501" s="77"/>
      <c r="G2501" s="80"/>
    </row>
    <row r="2502">
      <c r="A2502" s="77"/>
      <c r="B2502" s="77"/>
      <c r="C2502" s="77"/>
      <c r="D2502" s="77"/>
      <c r="E2502" s="77"/>
      <c r="F2502" s="77"/>
      <c r="G2502" s="80"/>
    </row>
    <row r="2503">
      <c r="A2503" s="77"/>
      <c r="B2503" s="77"/>
      <c r="C2503" s="77"/>
      <c r="D2503" s="77"/>
      <c r="E2503" s="77"/>
      <c r="F2503" s="77"/>
      <c r="G2503" s="80"/>
    </row>
    <row r="2504">
      <c r="A2504" s="77"/>
      <c r="B2504" s="77"/>
      <c r="C2504" s="77"/>
      <c r="D2504" s="77"/>
      <c r="E2504" s="77"/>
      <c r="F2504" s="77"/>
      <c r="G2504" s="80"/>
    </row>
    <row r="2505">
      <c r="A2505" s="77"/>
      <c r="B2505" s="77"/>
      <c r="C2505" s="77"/>
      <c r="D2505" s="77"/>
      <c r="E2505" s="77"/>
      <c r="F2505" s="77"/>
      <c r="G2505" s="80"/>
    </row>
    <row r="2506">
      <c r="A2506" s="77"/>
      <c r="B2506" s="77"/>
      <c r="C2506" s="77"/>
      <c r="D2506" s="77"/>
      <c r="E2506" s="77"/>
      <c r="F2506" s="77"/>
      <c r="G2506" s="80"/>
    </row>
    <row r="2507">
      <c r="A2507" s="77"/>
      <c r="B2507" s="77"/>
      <c r="C2507" s="77"/>
      <c r="D2507" s="77"/>
      <c r="E2507" s="77"/>
      <c r="F2507" s="77"/>
      <c r="G2507" s="80"/>
    </row>
    <row r="2508">
      <c r="A2508" s="77"/>
      <c r="B2508" s="77"/>
      <c r="C2508" s="77"/>
      <c r="D2508" s="77"/>
      <c r="E2508" s="77"/>
      <c r="F2508" s="77"/>
      <c r="G2508" s="80"/>
    </row>
    <row r="2509">
      <c r="A2509" s="77"/>
      <c r="B2509" s="77"/>
      <c r="C2509" s="77"/>
      <c r="D2509" s="77"/>
      <c r="E2509" s="77"/>
      <c r="F2509" s="77"/>
      <c r="G2509" s="80"/>
    </row>
    <row r="2510">
      <c r="A2510" s="77"/>
      <c r="B2510" s="77"/>
      <c r="C2510" s="77"/>
      <c r="D2510" s="77"/>
      <c r="E2510" s="77"/>
      <c r="F2510" s="77"/>
      <c r="G2510" s="80"/>
    </row>
    <row r="2511">
      <c r="A2511" s="77"/>
      <c r="B2511" s="77"/>
      <c r="C2511" s="77"/>
      <c r="D2511" s="77"/>
      <c r="E2511" s="77"/>
      <c r="F2511" s="77"/>
      <c r="G2511" s="80"/>
    </row>
    <row r="2512">
      <c r="A2512" s="77"/>
      <c r="B2512" s="77"/>
      <c r="C2512" s="77"/>
      <c r="D2512" s="77"/>
      <c r="E2512" s="77"/>
      <c r="F2512" s="77"/>
      <c r="G2512" s="80"/>
    </row>
    <row r="2513">
      <c r="A2513" s="77"/>
      <c r="B2513" s="77"/>
      <c r="C2513" s="77"/>
      <c r="D2513" s="77"/>
      <c r="E2513" s="77"/>
      <c r="F2513" s="77"/>
      <c r="G2513" s="80"/>
    </row>
    <row r="2514">
      <c r="A2514" s="77"/>
      <c r="B2514" s="77"/>
      <c r="C2514" s="77"/>
      <c r="D2514" s="77"/>
      <c r="E2514" s="77"/>
      <c r="F2514" s="77"/>
      <c r="G2514" s="80"/>
    </row>
    <row r="2515">
      <c r="A2515" s="77"/>
      <c r="B2515" s="77"/>
      <c r="C2515" s="77"/>
      <c r="D2515" s="77"/>
      <c r="E2515" s="77"/>
      <c r="F2515" s="77"/>
      <c r="G2515" s="80"/>
    </row>
    <row r="2516">
      <c r="A2516" s="77"/>
      <c r="B2516" s="77"/>
      <c r="C2516" s="77"/>
      <c r="D2516" s="77"/>
      <c r="E2516" s="77"/>
      <c r="F2516" s="77"/>
      <c r="G2516" s="80"/>
    </row>
    <row r="2517">
      <c r="A2517" s="77"/>
      <c r="B2517" s="77"/>
      <c r="C2517" s="77"/>
      <c r="D2517" s="77"/>
      <c r="E2517" s="77"/>
      <c r="F2517" s="77"/>
      <c r="G2517" s="80"/>
    </row>
    <row r="2518">
      <c r="A2518" s="77"/>
      <c r="B2518" s="77"/>
      <c r="C2518" s="77"/>
      <c r="D2518" s="77"/>
      <c r="E2518" s="77"/>
      <c r="F2518" s="77"/>
      <c r="G2518" s="80"/>
    </row>
    <row r="2519">
      <c r="A2519" s="77"/>
      <c r="B2519" s="77"/>
      <c r="C2519" s="77"/>
      <c r="D2519" s="77"/>
      <c r="E2519" s="77"/>
      <c r="F2519" s="77"/>
      <c r="G2519" s="80"/>
    </row>
    <row r="2520">
      <c r="A2520" s="77"/>
      <c r="B2520" s="77"/>
      <c r="C2520" s="77"/>
      <c r="D2520" s="77"/>
      <c r="E2520" s="77"/>
      <c r="F2520" s="77"/>
      <c r="G2520" s="80"/>
    </row>
    <row r="2521">
      <c r="A2521" s="77"/>
      <c r="B2521" s="77"/>
      <c r="C2521" s="77"/>
      <c r="D2521" s="77"/>
      <c r="E2521" s="77"/>
      <c r="F2521" s="77"/>
      <c r="G2521" s="80"/>
    </row>
    <row r="2522">
      <c r="A2522" s="77"/>
      <c r="B2522" s="77"/>
      <c r="C2522" s="77"/>
      <c r="D2522" s="77"/>
      <c r="E2522" s="77"/>
      <c r="F2522" s="77"/>
      <c r="G2522" s="80"/>
    </row>
    <row r="2523">
      <c r="A2523" s="77"/>
      <c r="B2523" s="77"/>
      <c r="C2523" s="77"/>
      <c r="D2523" s="77"/>
      <c r="E2523" s="77"/>
      <c r="F2523" s="77"/>
      <c r="G2523" s="80"/>
    </row>
    <row r="2524">
      <c r="A2524" s="77"/>
      <c r="B2524" s="77"/>
      <c r="C2524" s="77"/>
      <c r="D2524" s="77"/>
      <c r="E2524" s="77"/>
      <c r="F2524" s="77"/>
      <c r="G2524" s="80"/>
    </row>
    <row r="2525">
      <c r="A2525" s="77"/>
      <c r="B2525" s="77"/>
      <c r="C2525" s="77"/>
      <c r="D2525" s="77"/>
      <c r="E2525" s="77"/>
      <c r="F2525" s="77"/>
      <c r="G2525" s="80"/>
    </row>
    <row r="2526">
      <c r="A2526" s="77"/>
      <c r="B2526" s="77"/>
      <c r="C2526" s="77"/>
      <c r="D2526" s="77"/>
      <c r="E2526" s="77"/>
      <c r="F2526" s="77"/>
      <c r="G2526" s="80"/>
    </row>
    <row r="2527">
      <c r="A2527" s="77"/>
      <c r="B2527" s="77"/>
      <c r="C2527" s="77"/>
      <c r="D2527" s="77"/>
      <c r="E2527" s="77"/>
      <c r="F2527" s="77"/>
      <c r="G2527" s="80"/>
    </row>
    <row r="2528">
      <c r="A2528" s="77"/>
      <c r="B2528" s="77"/>
      <c r="C2528" s="77"/>
      <c r="D2528" s="77"/>
      <c r="E2528" s="77"/>
      <c r="F2528" s="77"/>
      <c r="G2528" s="80"/>
    </row>
    <row r="2529">
      <c r="A2529" s="77"/>
      <c r="B2529" s="77"/>
      <c r="C2529" s="77"/>
      <c r="D2529" s="77"/>
      <c r="E2529" s="77"/>
      <c r="F2529" s="77"/>
      <c r="G2529" s="80"/>
    </row>
    <row r="2530">
      <c r="A2530" s="77"/>
      <c r="B2530" s="77"/>
      <c r="C2530" s="77"/>
      <c r="D2530" s="77"/>
      <c r="E2530" s="77"/>
      <c r="F2530" s="77"/>
      <c r="G2530" s="80"/>
    </row>
    <row r="2531">
      <c r="A2531" s="77"/>
      <c r="B2531" s="77"/>
      <c r="C2531" s="77"/>
      <c r="D2531" s="77"/>
      <c r="E2531" s="77"/>
      <c r="F2531" s="77"/>
      <c r="G2531" s="80"/>
    </row>
    <row r="2532">
      <c r="A2532" s="77"/>
      <c r="B2532" s="77"/>
      <c r="C2532" s="77"/>
      <c r="D2532" s="77"/>
      <c r="E2532" s="77"/>
      <c r="F2532" s="77"/>
      <c r="G2532" s="80"/>
    </row>
    <row r="2533">
      <c r="A2533" s="77"/>
      <c r="B2533" s="77"/>
      <c r="C2533" s="77"/>
      <c r="D2533" s="77"/>
      <c r="E2533" s="77"/>
      <c r="F2533" s="77"/>
      <c r="G2533" s="80"/>
    </row>
    <row r="2534">
      <c r="A2534" s="77"/>
      <c r="B2534" s="77"/>
      <c r="C2534" s="77"/>
      <c r="D2534" s="77"/>
      <c r="E2534" s="77"/>
      <c r="F2534" s="77"/>
      <c r="G2534" s="80"/>
    </row>
    <row r="2535">
      <c r="A2535" s="77"/>
      <c r="B2535" s="77"/>
      <c r="C2535" s="77"/>
      <c r="D2535" s="77"/>
      <c r="E2535" s="77"/>
      <c r="F2535" s="77"/>
      <c r="G2535" s="80"/>
    </row>
    <row r="2536">
      <c r="A2536" s="77"/>
      <c r="B2536" s="77"/>
      <c r="C2536" s="77"/>
      <c r="D2536" s="77"/>
      <c r="E2536" s="77"/>
      <c r="F2536" s="77"/>
      <c r="G2536" s="80"/>
    </row>
    <row r="2537">
      <c r="A2537" s="77"/>
      <c r="B2537" s="77"/>
      <c r="C2537" s="77"/>
      <c r="D2537" s="77"/>
      <c r="E2537" s="77"/>
      <c r="F2537" s="77"/>
      <c r="G2537" s="80"/>
    </row>
    <row r="2538">
      <c r="A2538" s="77"/>
      <c r="B2538" s="77"/>
      <c r="C2538" s="77"/>
      <c r="D2538" s="77"/>
      <c r="E2538" s="77"/>
      <c r="F2538" s="77"/>
      <c r="G2538" s="80"/>
    </row>
    <row r="2539">
      <c r="A2539" s="77"/>
      <c r="B2539" s="77"/>
      <c r="C2539" s="77"/>
      <c r="D2539" s="77"/>
      <c r="E2539" s="77"/>
      <c r="F2539" s="77"/>
      <c r="G2539" s="80"/>
    </row>
    <row r="2540">
      <c r="A2540" s="77"/>
      <c r="B2540" s="77"/>
      <c r="C2540" s="77"/>
      <c r="D2540" s="77"/>
      <c r="E2540" s="77"/>
      <c r="F2540" s="77"/>
      <c r="G2540" s="80"/>
    </row>
    <row r="2541">
      <c r="A2541" s="77"/>
      <c r="B2541" s="77"/>
      <c r="C2541" s="77"/>
      <c r="D2541" s="77"/>
      <c r="E2541" s="77"/>
      <c r="F2541" s="77"/>
      <c r="G2541" s="80"/>
    </row>
    <row r="2542">
      <c r="A2542" s="77"/>
      <c r="B2542" s="77"/>
      <c r="C2542" s="77"/>
      <c r="D2542" s="77"/>
      <c r="E2542" s="77"/>
      <c r="F2542" s="77"/>
      <c r="G2542" s="80"/>
    </row>
    <row r="2543">
      <c r="A2543" s="77"/>
      <c r="B2543" s="77"/>
      <c r="C2543" s="77"/>
      <c r="D2543" s="77"/>
      <c r="E2543" s="77"/>
      <c r="F2543" s="77"/>
      <c r="G2543" s="80"/>
    </row>
    <row r="2544">
      <c r="A2544" s="77"/>
      <c r="B2544" s="77"/>
      <c r="C2544" s="77"/>
      <c r="D2544" s="77"/>
      <c r="E2544" s="77"/>
      <c r="F2544" s="77"/>
      <c r="G2544" s="80"/>
    </row>
    <row r="2545">
      <c r="A2545" s="77"/>
      <c r="B2545" s="77"/>
      <c r="C2545" s="77"/>
      <c r="D2545" s="77"/>
      <c r="E2545" s="77"/>
      <c r="F2545" s="77"/>
      <c r="G2545" s="80"/>
    </row>
    <row r="2546">
      <c r="A2546" s="77"/>
      <c r="B2546" s="77"/>
      <c r="C2546" s="77"/>
      <c r="D2546" s="77"/>
      <c r="E2546" s="77"/>
      <c r="F2546" s="77"/>
      <c r="G2546" s="80"/>
    </row>
    <row r="2547">
      <c r="A2547" s="77"/>
      <c r="B2547" s="77"/>
      <c r="C2547" s="77"/>
      <c r="D2547" s="77"/>
      <c r="E2547" s="77"/>
      <c r="F2547" s="77"/>
      <c r="G2547" s="80"/>
    </row>
    <row r="2548">
      <c r="A2548" s="77"/>
      <c r="B2548" s="77"/>
      <c r="C2548" s="77"/>
      <c r="D2548" s="77"/>
      <c r="E2548" s="77"/>
      <c r="F2548" s="77"/>
      <c r="G2548" s="80"/>
    </row>
    <row r="2549">
      <c r="A2549" s="77"/>
      <c r="B2549" s="77"/>
      <c r="C2549" s="77"/>
      <c r="D2549" s="77"/>
      <c r="E2549" s="77"/>
      <c r="F2549" s="77"/>
      <c r="G2549" s="80"/>
    </row>
    <row r="2550">
      <c r="A2550" s="77"/>
      <c r="B2550" s="77"/>
      <c r="C2550" s="77"/>
      <c r="D2550" s="77"/>
      <c r="E2550" s="77"/>
      <c r="F2550" s="77"/>
      <c r="G2550" s="80"/>
    </row>
    <row r="2551">
      <c r="A2551" s="77"/>
      <c r="B2551" s="77"/>
      <c r="C2551" s="77"/>
      <c r="D2551" s="77"/>
      <c r="E2551" s="77"/>
      <c r="F2551" s="77"/>
      <c r="G2551" s="80"/>
    </row>
    <row r="2552">
      <c r="A2552" s="77"/>
      <c r="B2552" s="77"/>
      <c r="C2552" s="77"/>
      <c r="D2552" s="77"/>
      <c r="E2552" s="77"/>
      <c r="F2552" s="77"/>
      <c r="G2552" s="80"/>
    </row>
    <row r="2553">
      <c r="A2553" s="77"/>
      <c r="B2553" s="77"/>
      <c r="C2553" s="77"/>
      <c r="D2553" s="77"/>
      <c r="E2553" s="77"/>
      <c r="F2553" s="77"/>
      <c r="G2553" s="80"/>
    </row>
    <row r="2554">
      <c r="A2554" s="77"/>
      <c r="B2554" s="77"/>
      <c r="C2554" s="77"/>
      <c r="D2554" s="77"/>
      <c r="E2554" s="77"/>
      <c r="F2554" s="77"/>
      <c r="G2554" s="80"/>
    </row>
    <row r="2555">
      <c r="A2555" s="77"/>
      <c r="B2555" s="77"/>
      <c r="C2555" s="77"/>
      <c r="D2555" s="77"/>
      <c r="E2555" s="77"/>
      <c r="F2555" s="77"/>
      <c r="G2555" s="80"/>
    </row>
    <row r="2556">
      <c r="A2556" s="77"/>
      <c r="B2556" s="77"/>
      <c r="C2556" s="77"/>
      <c r="D2556" s="77"/>
      <c r="E2556" s="77"/>
      <c r="F2556" s="77"/>
      <c r="G2556" s="80"/>
    </row>
    <row r="2557">
      <c r="A2557" s="77"/>
      <c r="B2557" s="77"/>
      <c r="C2557" s="77"/>
      <c r="D2557" s="77"/>
      <c r="E2557" s="77"/>
      <c r="F2557" s="77"/>
      <c r="G2557" s="80"/>
    </row>
    <row r="2558">
      <c r="A2558" s="77"/>
      <c r="B2558" s="77"/>
      <c r="C2558" s="77"/>
      <c r="D2558" s="77"/>
      <c r="E2558" s="77"/>
      <c r="F2558" s="77"/>
      <c r="G2558" s="80"/>
    </row>
    <row r="2559">
      <c r="A2559" s="77"/>
      <c r="B2559" s="77"/>
      <c r="C2559" s="77"/>
      <c r="D2559" s="77"/>
      <c r="E2559" s="77"/>
      <c r="F2559" s="77"/>
      <c r="G2559" s="80"/>
    </row>
    <row r="2560">
      <c r="A2560" s="77"/>
      <c r="B2560" s="77"/>
      <c r="C2560" s="77"/>
      <c r="D2560" s="77"/>
      <c r="E2560" s="77"/>
      <c r="F2560" s="77"/>
      <c r="G2560" s="80"/>
    </row>
    <row r="2561">
      <c r="A2561" s="77"/>
      <c r="B2561" s="77"/>
      <c r="C2561" s="77"/>
      <c r="D2561" s="77"/>
      <c r="E2561" s="77"/>
      <c r="F2561" s="77"/>
      <c r="G2561" s="80"/>
    </row>
    <row r="2562">
      <c r="A2562" s="77"/>
      <c r="B2562" s="77"/>
      <c r="C2562" s="77"/>
      <c r="D2562" s="77"/>
      <c r="E2562" s="77"/>
      <c r="F2562" s="77"/>
      <c r="G2562" s="80"/>
    </row>
    <row r="2563">
      <c r="A2563" s="77"/>
      <c r="B2563" s="77"/>
      <c r="C2563" s="77"/>
      <c r="D2563" s="77"/>
      <c r="E2563" s="77"/>
      <c r="F2563" s="77"/>
      <c r="G2563" s="80"/>
    </row>
    <row r="2564">
      <c r="A2564" s="77"/>
      <c r="B2564" s="77"/>
      <c r="C2564" s="77"/>
      <c r="D2564" s="77"/>
      <c r="E2564" s="77"/>
      <c r="F2564" s="77"/>
      <c r="G2564" s="80"/>
    </row>
    <row r="2565">
      <c r="A2565" s="77"/>
      <c r="B2565" s="77"/>
      <c r="C2565" s="77"/>
      <c r="D2565" s="77"/>
      <c r="E2565" s="77"/>
      <c r="F2565" s="77"/>
      <c r="G2565" s="80"/>
    </row>
    <row r="2566">
      <c r="A2566" s="77"/>
      <c r="B2566" s="77"/>
      <c r="C2566" s="77"/>
      <c r="D2566" s="77"/>
      <c r="E2566" s="77"/>
      <c r="F2566" s="77"/>
      <c r="G2566" s="80"/>
    </row>
    <row r="2567">
      <c r="A2567" s="77"/>
      <c r="B2567" s="77"/>
      <c r="C2567" s="77"/>
      <c r="D2567" s="77"/>
      <c r="E2567" s="77"/>
      <c r="F2567" s="77"/>
      <c r="G2567" s="80"/>
    </row>
    <row r="2568">
      <c r="A2568" s="77"/>
      <c r="B2568" s="77"/>
      <c r="C2568" s="77"/>
      <c r="D2568" s="77"/>
      <c r="E2568" s="77"/>
      <c r="F2568" s="77"/>
      <c r="G2568" s="80"/>
    </row>
    <row r="2569">
      <c r="A2569" s="77"/>
      <c r="B2569" s="77"/>
      <c r="C2569" s="77"/>
      <c r="D2569" s="77"/>
      <c r="E2569" s="77"/>
      <c r="F2569" s="77"/>
      <c r="G2569" s="80"/>
    </row>
    <row r="2570">
      <c r="A2570" s="77"/>
      <c r="B2570" s="77"/>
      <c r="C2570" s="77"/>
      <c r="D2570" s="77"/>
      <c r="E2570" s="77"/>
      <c r="F2570" s="77"/>
      <c r="G2570" s="80"/>
    </row>
    <row r="2571">
      <c r="A2571" s="77"/>
      <c r="B2571" s="77"/>
      <c r="C2571" s="77"/>
      <c r="D2571" s="77"/>
      <c r="E2571" s="77"/>
      <c r="F2571" s="77"/>
      <c r="G2571" s="80"/>
    </row>
    <row r="2572">
      <c r="A2572" s="77"/>
      <c r="B2572" s="77"/>
      <c r="C2572" s="77"/>
      <c r="D2572" s="77"/>
      <c r="E2572" s="77"/>
      <c r="F2572" s="77"/>
      <c r="G2572" s="80"/>
    </row>
    <row r="2573">
      <c r="A2573" s="77"/>
      <c r="B2573" s="77"/>
      <c r="C2573" s="77"/>
      <c r="D2573" s="77"/>
      <c r="E2573" s="77"/>
      <c r="F2573" s="77"/>
      <c r="G2573" s="80"/>
    </row>
    <row r="2574">
      <c r="A2574" s="77"/>
      <c r="B2574" s="77"/>
      <c r="C2574" s="77"/>
      <c r="D2574" s="77"/>
      <c r="E2574" s="77"/>
      <c r="F2574" s="77"/>
      <c r="G2574" s="80"/>
    </row>
    <row r="2575">
      <c r="A2575" s="77"/>
      <c r="B2575" s="77"/>
      <c r="C2575" s="77"/>
      <c r="D2575" s="77"/>
      <c r="E2575" s="77"/>
      <c r="F2575" s="77"/>
      <c r="G2575" s="80"/>
    </row>
    <row r="2576">
      <c r="A2576" s="77"/>
      <c r="B2576" s="77"/>
      <c r="C2576" s="77"/>
      <c r="D2576" s="77"/>
      <c r="E2576" s="77"/>
      <c r="F2576" s="77"/>
      <c r="G2576" s="80"/>
    </row>
    <row r="2577">
      <c r="A2577" s="77"/>
      <c r="B2577" s="77"/>
      <c r="C2577" s="77"/>
      <c r="D2577" s="77"/>
      <c r="E2577" s="77"/>
      <c r="F2577" s="77"/>
      <c r="G2577" s="80"/>
    </row>
    <row r="2578">
      <c r="A2578" s="77"/>
      <c r="B2578" s="77"/>
      <c r="C2578" s="77"/>
      <c r="D2578" s="77"/>
      <c r="E2578" s="77"/>
      <c r="F2578" s="77"/>
      <c r="G2578" s="80"/>
    </row>
    <row r="2579">
      <c r="A2579" s="77"/>
      <c r="B2579" s="77"/>
      <c r="C2579" s="77"/>
      <c r="D2579" s="77"/>
      <c r="E2579" s="77"/>
      <c r="F2579" s="77"/>
      <c r="G2579" s="80"/>
    </row>
    <row r="2580">
      <c r="A2580" s="77"/>
      <c r="B2580" s="77"/>
      <c r="C2580" s="77"/>
      <c r="D2580" s="77"/>
      <c r="E2580" s="77"/>
      <c r="F2580" s="77"/>
      <c r="G2580" s="80"/>
    </row>
    <row r="2581">
      <c r="A2581" s="77"/>
      <c r="B2581" s="77"/>
      <c r="C2581" s="77"/>
      <c r="D2581" s="77"/>
      <c r="E2581" s="77"/>
      <c r="F2581" s="77"/>
      <c r="G2581" s="80"/>
    </row>
    <row r="2582">
      <c r="A2582" s="77"/>
      <c r="B2582" s="77"/>
      <c r="C2582" s="77"/>
      <c r="D2582" s="77"/>
      <c r="E2582" s="77"/>
      <c r="F2582" s="77"/>
      <c r="G2582" s="80"/>
    </row>
    <row r="2583">
      <c r="A2583" s="77"/>
      <c r="B2583" s="77"/>
      <c r="C2583" s="77"/>
      <c r="D2583" s="77"/>
      <c r="E2583" s="77"/>
      <c r="F2583" s="77"/>
      <c r="G2583" s="80"/>
    </row>
    <row r="2584">
      <c r="A2584" s="77"/>
      <c r="B2584" s="77"/>
      <c r="C2584" s="77"/>
      <c r="D2584" s="77"/>
      <c r="E2584" s="77"/>
      <c r="F2584" s="77"/>
      <c r="G2584" s="80"/>
    </row>
    <row r="2585">
      <c r="A2585" s="77"/>
      <c r="B2585" s="77"/>
      <c r="C2585" s="77"/>
      <c r="D2585" s="77"/>
      <c r="E2585" s="77"/>
      <c r="F2585" s="77"/>
      <c r="G2585" s="80"/>
    </row>
    <row r="2586">
      <c r="A2586" s="77"/>
      <c r="B2586" s="77"/>
      <c r="C2586" s="77"/>
      <c r="D2586" s="77"/>
      <c r="E2586" s="77"/>
      <c r="F2586" s="77"/>
      <c r="G2586" s="80"/>
    </row>
    <row r="2587">
      <c r="A2587" s="77"/>
      <c r="B2587" s="77"/>
      <c r="C2587" s="77"/>
      <c r="D2587" s="77"/>
      <c r="E2587" s="77"/>
      <c r="F2587" s="77"/>
      <c r="G2587" s="80"/>
    </row>
    <row r="2588">
      <c r="A2588" s="77"/>
      <c r="B2588" s="77"/>
      <c r="C2588" s="77"/>
      <c r="D2588" s="77"/>
      <c r="E2588" s="77"/>
      <c r="F2588" s="77"/>
      <c r="G2588" s="80"/>
    </row>
    <row r="2589">
      <c r="A2589" s="77"/>
      <c r="B2589" s="77"/>
      <c r="C2589" s="77"/>
      <c r="D2589" s="77"/>
      <c r="E2589" s="77"/>
      <c r="F2589" s="77"/>
      <c r="G2589" s="80"/>
    </row>
    <row r="2590">
      <c r="A2590" s="77"/>
      <c r="B2590" s="77"/>
      <c r="C2590" s="77"/>
      <c r="D2590" s="77"/>
      <c r="E2590" s="77"/>
      <c r="F2590" s="77"/>
      <c r="G2590" s="80"/>
    </row>
    <row r="2591">
      <c r="A2591" s="77"/>
      <c r="B2591" s="77"/>
      <c r="C2591" s="77"/>
      <c r="D2591" s="77"/>
      <c r="E2591" s="77"/>
      <c r="F2591" s="77"/>
      <c r="G2591" s="80"/>
    </row>
    <row r="2592">
      <c r="A2592" s="77"/>
      <c r="B2592" s="77"/>
      <c r="C2592" s="77"/>
      <c r="D2592" s="77"/>
      <c r="E2592" s="77"/>
      <c r="F2592" s="77"/>
      <c r="G2592" s="80"/>
    </row>
    <row r="2593">
      <c r="A2593" s="77"/>
      <c r="B2593" s="77"/>
      <c r="C2593" s="77"/>
      <c r="D2593" s="77"/>
      <c r="E2593" s="77"/>
      <c r="F2593" s="77"/>
      <c r="G2593" s="80"/>
    </row>
    <row r="2594">
      <c r="A2594" s="77"/>
      <c r="B2594" s="77"/>
      <c r="C2594" s="77"/>
      <c r="D2594" s="77"/>
      <c r="E2594" s="77"/>
      <c r="F2594" s="77"/>
      <c r="G2594" s="80"/>
    </row>
    <row r="2595">
      <c r="A2595" s="77"/>
      <c r="B2595" s="77"/>
      <c r="C2595" s="77"/>
      <c r="D2595" s="77"/>
      <c r="E2595" s="77"/>
      <c r="F2595" s="77"/>
      <c r="G2595" s="80"/>
    </row>
    <row r="2596">
      <c r="A2596" s="77"/>
      <c r="B2596" s="77"/>
      <c r="C2596" s="77"/>
      <c r="D2596" s="77"/>
      <c r="E2596" s="77"/>
      <c r="F2596" s="77"/>
      <c r="G2596" s="80"/>
    </row>
    <row r="2597">
      <c r="A2597" s="77"/>
      <c r="B2597" s="77"/>
      <c r="C2597" s="77"/>
      <c r="D2597" s="77"/>
      <c r="E2597" s="77"/>
      <c r="F2597" s="77"/>
      <c r="G2597" s="80"/>
    </row>
    <row r="2598">
      <c r="A2598" s="77"/>
      <c r="B2598" s="77"/>
      <c r="C2598" s="77"/>
      <c r="D2598" s="77"/>
      <c r="E2598" s="77"/>
      <c r="F2598" s="77"/>
      <c r="G2598" s="80"/>
    </row>
    <row r="2599">
      <c r="A2599" s="77"/>
      <c r="B2599" s="77"/>
      <c r="C2599" s="77"/>
      <c r="D2599" s="77"/>
      <c r="E2599" s="77"/>
      <c r="F2599" s="77"/>
      <c r="G2599" s="80"/>
    </row>
    <row r="2600">
      <c r="A2600" s="77"/>
      <c r="B2600" s="77"/>
      <c r="C2600" s="77"/>
      <c r="D2600" s="77"/>
      <c r="E2600" s="77"/>
      <c r="F2600" s="77"/>
      <c r="G2600" s="80"/>
    </row>
    <row r="2601">
      <c r="A2601" s="77"/>
      <c r="B2601" s="77"/>
      <c r="C2601" s="77"/>
      <c r="D2601" s="77"/>
      <c r="E2601" s="77"/>
      <c r="F2601" s="77"/>
      <c r="G2601" s="80"/>
    </row>
    <row r="2602">
      <c r="A2602" s="77"/>
      <c r="B2602" s="77"/>
      <c r="C2602" s="77"/>
      <c r="D2602" s="77"/>
      <c r="E2602" s="77"/>
      <c r="F2602" s="77"/>
      <c r="G2602" s="80"/>
    </row>
    <row r="2603">
      <c r="A2603" s="77"/>
      <c r="B2603" s="77"/>
      <c r="C2603" s="77"/>
      <c r="D2603" s="77"/>
      <c r="E2603" s="77"/>
      <c r="F2603" s="77"/>
      <c r="G2603" s="80"/>
    </row>
    <row r="2604">
      <c r="A2604" s="77"/>
      <c r="B2604" s="77"/>
      <c r="C2604" s="77"/>
      <c r="D2604" s="77"/>
      <c r="E2604" s="77"/>
      <c r="F2604" s="77"/>
      <c r="G2604" s="80"/>
    </row>
    <row r="2605">
      <c r="A2605" s="77"/>
      <c r="B2605" s="77"/>
      <c r="C2605" s="77"/>
      <c r="D2605" s="77"/>
      <c r="E2605" s="77"/>
      <c r="F2605" s="77"/>
      <c r="G2605" s="80"/>
    </row>
    <row r="2606">
      <c r="A2606" s="77"/>
      <c r="B2606" s="77"/>
      <c r="C2606" s="77"/>
      <c r="D2606" s="77"/>
      <c r="E2606" s="77"/>
      <c r="F2606" s="77"/>
      <c r="G2606" s="80"/>
    </row>
    <row r="2607">
      <c r="A2607" s="77"/>
      <c r="B2607" s="77"/>
      <c r="C2607" s="77"/>
      <c r="D2607" s="77"/>
      <c r="E2607" s="77"/>
      <c r="F2607" s="77"/>
      <c r="G2607" s="80"/>
    </row>
    <row r="2608">
      <c r="A2608" s="77"/>
      <c r="B2608" s="77"/>
      <c r="C2608" s="77"/>
      <c r="D2608" s="77"/>
      <c r="E2608" s="77"/>
      <c r="F2608" s="77"/>
      <c r="G2608" s="80"/>
    </row>
    <row r="2609">
      <c r="A2609" s="77"/>
      <c r="B2609" s="77"/>
      <c r="C2609" s="77"/>
      <c r="D2609" s="77"/>
      <c r="E2609" s="77"/>
      <c r="F2609" s="77"/>
      <c r="G2609" s="80"/>
    </row>
    <row r="2610">
      <c r="A2610" s="77"/>
      <c r="B2610" s="77"/>
      <c r="C2610" s="77"/>
      <c r="D2610" s="77"/>
      <c r="E2610" s="77"/>
      <c r="F2610" s="77"/>
      <c r="G2610" s="80"/>
    </row>
    <row r="2611">
      <c r="A2611" s="77"/>
      <c r="B2611" s="77"/>
      <c r="C2611" s="77"/>
      <c r="D2611" s="77"/>
      <c r="E2611" s="77"/>
      <c r="F2611" s="77"/>
      <c r="G2611" s="80"/>
    </row>
    <row r="2612">
      <c r="A2612" s="77"/>
      <c r="B2612" s="77"/>
      <c r="C2612" s="77"/>
      <c r="D2612" s="77"/>
      <c r="E2612" s="77"/>
      <c r="F2612" s="77"/>
      <c r="G2612" s="80"/>
    </row>
    <row r="2613">
      <c r="A2613" s="77"/>
      <c r="B2613" s="77"/>
      <c r="C2613" s="77"/>
      <c r="D2613" s="77"/>
      <c r="E2613" s="77"/>
      <c r="F2613" s="77"/>
      <c r="G2613" s="80"/>
    </row>
    <row r="2614">
      <c r="A2614" s="77"/>
      <c r="B2614" s="77"/>
      <c r="C2614" s="77"/>
      <c r="D2614" s="77"/>
      <c r="E2614" s="77"/>
      <c r="F2614" s="77"/>
      <c r="G2614" s="80"/>
    </row>
    <row r="2615">
      <c r="A2615" s="77"/>
      <c r="B2615" s="77"/>
      <c r="C2615" s="77"/>
      <c r="D2615" s="77"/>
      <c r="E2615" s="77"/>
      <c r="F2615" s="77"/>
      <c r="G2615" s="80"/>
    </row>
    <row r="2616">
      <c r="A2616" s="77"/>
      <c r="B2616" s="77"/>
      <c r="C2616" s="77"/>
      <c r="D2616" s="77"/>
      <c r="E2616" s="77"/>
      <c r="F2616" s="77"/>
      <c r="G2616" s="80"/>
    </row>
    <row r="2617">
      <c r="A2617" s="77"/>
      <c r="B2617" s="77"/>
      <c r="C2617" s="77"/>
      <c r="D2617" s="77"/>
      <c r="E2617" s="77"/>
      <c r="F2617" s="77"/>
      <c r="G2617" s="80"/>
    </row>
    <row r="2618">
      <c r="A2618" s="77"/>
      <c r="B2618" s="77"/>
      <c r="C2618" s="77"/>
      <c r="D2618" s="77"/>
      <c r="E2618" s="77"/>
      <c r="F2618" s="77"/>
      <c r="G2618" s="80"/>
    </row>
    <row r="2619">
      <c r="A2619" s="77"/>
      <c r="B2619" s="77"/>
      <c r="C2619" s="77"/>
      <c r="D2619" s="77"/>
      <c r="E2619" s="77"/>
      <c r="F2619" s="77"/>
      <c r="G2619" s="80"/>
    </row>
    <row r="2620">
      <c r="A2620" s="77"/>
      <c r="B2620" s="77"/>
      <c r="C2620" s="77"/>
      <c r="D2620" s="77"/>
      <c r="E2620" s="77"/>
      <c r="F2620" s="77"/>
      <c r="G2620" s="80"/>
    </row>
    <row r="2621">
      <c r="A2621" s="77"/>
      <c r="B2621" s="77"/>
      <c r="C2621" s="77"/>
      <c r="D2621" s="77"/>
      <c r="E2621" s="77"/>
      <c r="F2621" s="77"/>
      <c r="G2621" s="80"/>
    </row>
    <row r="2622">
      <c r="A2622" s="77"/>
      <c r="B2622" s="77"/>
      <c r="C2622" s="77"/>
      <c r="D2622" s="77"/>
      <c r="E2622" s="77"/>
      <c r="F2622" s="77"/>
      <c r="G2622" s="80"/>
    </row>
    <row r="2623">
      <c r="A2623" s="77"/>
      <c r="B2623" s="77"/>
      <c r="C2623" s="77"/>
      <c r="D2623" s="77"/>
      <c r="E2623" s="77"/>
      <c r="F2623" s="77"/>
      <c r="G2623" s="80"/>
    </row>
    <row r="2624">
      <c r="A2624" s="77"/>
      <c r="B2624" s="77"/>
      <c r="C2624" s="77"/>
      <c r="D2624" s="77"/>
      <c r="E2624" s="77"/>
      <c r="F2624" s="77"/>
      <c r="G2624" s="80"/>
    </row>
    <row r="2625">
      <c r="A2625" s="77"/>
      <c r="B2625" s="77"/>
      <c r="C2625" s="77"/>
      <c r="D2625" s="77"/>
      <c r="E2625" s="77"/>
      <c r="F2625" s="77"/>
      <c r="G2625" s="80"/>
    </row>
    <row r="2626">
      <c r="A2626" s="77"/>
      <c r="B2626" s="77"/>
      <c r="C2626" s="77"/>
      <c r="D2626" s="77"/>
      <c r="E2626" s="77"/>
      <c r="F2626" s="77"/>
      <c r="G2626" s="80"/>
    </row>
    <row r="2627">
      <c r="A2627" s="77"/>
      <c r="B2627" s="77"/>
      <c r="C2627" s="77"/>
      <c r="D2627" s="77"/>
      <c r="E2627" s="77"/>
      <c r="F2627" s="77"/>
      <c r="G2627" s="80"/>
    </row>
    <row r="2628">
      <c r="A2628" s="77"/>
      <c r="B2628" s="77"/>
      <c r="C2628" s="77"/>
      <c r="D2628" s="77"/>
      <c r="E2628" s="77"/>
      <c r="F2628" s="77"/>
      <c r="G2628" s="80"/>
    </row>
    <row r="2629">
      <c r="A2629" s="77"/>
      <c r="B2629" s="77"/>
      <c r="C2629" s="77"/>
      <c r="D2629" s="77"/>
      <c r="E2629" s="77"/>
      <c r="F2629" s="77"/>
      <c r="G2629" s="80"/>
    </row>
    <row r="2630">
      <c r="A2630" s="77"/>
      <c r="B2630" s="77"/>
      <c r="C2630" s="77"/>
      <c r="D2630" s="77"/>
      <c r="E2630" s="77"/>
      <c r="F2630" s="77"/>
      <c r="G2630" s="80"/>
    </row>
    <row r="2631">
      <c r="A2631" s="77"/>
      <c r="B2631" s="77"/>
      <c r="C2631" s="77"/>
      <c r="D2631" s="77"/>
      <c r="E2631" s="77"/>
      <c r="F2631" s="77"/>
      <c r="G2631" s="80"/>
    </row>
    <row r="2632">
      <c r="A2632" s="77"/>
      <c r="B2632" s="77"/>
      <c r="C2632" s="77"/>
      <c r="D2632" s="77"/>
      <c r="E2632" s="77"/>
      <c r="F2632" s="77"/>
      <c r="G2632" s="80"/>
    </row>
    <row r="2633">
      <c r="A2633" s="77"/>
      <c r="B2633" s="77"/>
      <c r="C2633" s="77"/>
      <c r="D2633" s="77"/>
      <c r="E2633" s="77"/>
      <c r="F2633" s="77"/>
      <c r="G2633" s="80"/>
    </row>
    <row r="2634">
      <c r="A2634" s="77"/>
      <c r="B2634" s="77"/>
      <c r="C2634" s="77"/>
      <c r="D2634" s="77"/>
      <c r="E2634" s="77"/>
      <c r="F2634" s="77"/>
      <c r="G2634" s="80"/>
    </row>
    <row r="2635">
      <c r="A2635" s="77"/>
      <c r="B2635" s="77"/>
      <c r="C2635" s="77"/>
      <c r="D2635" s="77"/>
      <c r="E2635" s="77"/>
      <c r="F2635" s="77"/>
      <c r="G2635" s="80"/>
    </row>
    <row r="2636">
      <c r="A2636" s="77"/>
      <c r="B2636" s="77"/>
      <c r="C2636" s="77"/>
      <c r="D2636" s="77"/>
      <c r="E2636" s="77"/>
      <c r="F2636" s="77"/>
      <c r="G2636" s="80"/>
    </row>
    <row r="2637">
      <c r="A2637" s="77"/>
      <c r="B2637" s="77"/>
      <c r="C2637" s="77"/>
      <c r="D2637" s="77"/>
      <c r="E2637" s="77"/>
      <c r="F2637" s="77"/>
      <c r="G2637" s="80"/>
    </row>
    <row r="2638">
      <c r="A2638" s="77"/>
      <c r="B2638" s="77"/>
      <c r="C2638" s="77"/>
      <c r="D2638" s="77"/>
      <c r="E2638" s="77"/>
      <c r="F2638" s="77"/>
      <c r="G2638" s="80"/>
    </row>
    <row r="2639">
      <c r="A2639" s="77"/>
      <c r="B2639" s="77"/>
      <c r="C2639" s="77"/>
      <c r="D2639" s="77"/>
      <c r="E2639" s="77"/>
      <c r="F2639" s="77"/>
      <c r="G2639" s="80"/>
    </row>
    <row r="2640">
      <c r="A2640" s="77"/>
      <c r="B2640" s="77"/>
      <c r="C2640" s="77"/>
      <c r="D2640" s="77"/>
      <c r="E2640" s="77"/>
      <c r="F2640" s="77"/>
      <c r="G2640" s="80"/>
    </row>
    <row r="2641">
      <c r="A2641" s="77"/>
      <c r="B2641" s="77"/>
      <c r="C2641" s="77"/>
      <c r="D2641" s="77"/>
      <c r="E2641" s="77"/>
      <c r="F2641" s="77"/>
      <c r="G2641" s="80"/>
    </row>
    <row r="2642">
      <c r="A2642" s="77"/>
      <c r="B2642" s="77"/>
      <c r="C2642" s="77"/>
      <c r="D2642" s="77"/>
      <c r="E2642" s="77"/>
      <c r="F2642" s="77"/>
      <c r="G2642" s="80"/>
    </row>
    <row r="2643">
      <c r="A2643" s="77"/>
      <c r="B2643" s="77"/>
      <c r="C2643" s="77"/>
      <c r="D2643" s="77"/>
      <c r="E2643" s="77"/>
      <c r="F2643" s="77"/>
      <c r="G2643" s="80"/>
    </row>
    <row r="2644">
      <c r="A2644" s="77"/>
      <c r="B2644" s="77"/>
      <c r="C2644" s="77"/>
      <c r="D2644" s="77"/>
      <c r="E2644" s="77"/>
      <c r="F2644" s="77"/>
      <c r="G2644" s="80"/>
    </row>
    <row r="2645">
      <c r="A2645" s="77"/>
      <c r="B2645" s="77"/>
      <c r="C2645" s="77"/>
      <c r="D2645" s="77"/>
      <c r="E2645" s="77"/>
      <c r="F2645" s="77"/>
      <c r="G2645" s="80"/>
    </row>
    <row r="2646">
      <c r="A2646" s="77"/>
      <c r="B2646" s="77"/>
      <c r="C2646" s="77"/>
      <c r="D2646" s="77"/>
      <c r="E2646" s="77"/>
      <c r="F2646" s="77"/>
      <c r="G2646" s="80"/>
    </row>
    <row r="2647">
      <c r="A2647" s="77"/>
      <c r="B2647" s="77"/>
      <c r="C2647" s="77"/>
      <c r="D2647" s="77"/>
      <c r="E2647" s="77"/>
      <c r="F2647" s="77"/>
      <c r="G2647" s="80"/>
    </row>
    <row r="2648">
      <c r="A2648" s="77"/>
      <c r="B2648" s="77"/>
      <c r="C2648" s="77"/>
      <c r="D2648" s="77"/>
      <c r="E2648" s="77"/>
      <c r="F2648" s="77"/>
      <c r="G2648" s="80"/>
    </row>
    <row r="2649">
      <c r="A2649" s="77"/>
      <c r="B2649" s="77"/>
      <c r="C2649" s="77"/>
      <c r="D2649" s="77"/>
      <c r="E2649" s="77"/>
      <c r="F2649" s="77"/>
      <c r="G2649" s="80"/>
    </row>
    <row r="2650">
      <c r="A2650" s="77"/>
      <c r="B2650" s="77"/>
      <c r="C2650" s="77"/>
      <c r="D2650" s="77"/>
      <c r="E2650" s="77"/>
      <c r="F2650" s="77"/>
      <c r="G2650" s="80"/>
    </row>
    <row r="2651">
      <c r="A2651" s="77"/>
      <c r="B2651" s="77"/>
      <c r="C2651" s="77"/>
      <c r="D2651" s="77"/>
      <c r="E2651" s="77"/>
      <c r="F2651" s="77"/>
      <c r="G2651" s="80"/>
    </row>
    <row r="2652">
      <c r="A2652" s="77"/>
      <c r="B2652" s="77"/>
      <c r="C2652" s="77"/>
      <c r="D2652" s="77"/>
      <c r="E2652" s="77"/>
      <c r="F2652" s="77"/>
      <c r="G2652" s="80"/>
    </row>
    <row r="2653">
      <c r="A2653" s="77"/>
      <c r="B2653" s="77"/>
      <c r="C2653" s="77"/>
      <c r="D2653" s="77"/>
      <c r="E2653" s="77"/>
      <c r="F2653" s="77"/>
      <c r="G2653" s="80"/>
    </row>
    <row r="2654">
      <c r="A2654" s="77"/>
      <c r="B2654" s="77"/>
      <c r="C2654" s="77"/>
      <c r="D2654" s="77"/>
      <c r="E2654" s="77"/>
      <c r="F2654" s="77"/>
      <c r="G2654" s="80"/>
    </row>
    <row r="2655">
      <c r="A2655" s="77"/>
      <c r="B2655" s="77"/>
      <c r="C2655" s="77"/>
      <c r="D2655" s="77"/>
      <c r="E2655" s="77"/>
      <c r="F2655" s="77"/>
      <c r="G2655" s="80"/>
    </row>
    <row r="2656">
      <c r="A2656" s="77"/>
      <c r="B2656" s="77"/>
      <c r="C2656" s="77"/>
      <c r="D2656" s="77"/>
      <c r="E2656" s="77"/>
      <c r="F2656" s="77"/>
      <c r="G2656" s="80"/>
    </row>
    <row r="2657">
      <c r="A2657" s="77"/>
      <c r="B2657" s="77"/>
      <c r="C2657" s="77"/>
      <c r="D2657" s="77"/>
      <c r="E2657" s="77"/>
      <c r="F2657" s="77"/>
      <c r="G2657" s="80"/>
    </row>
    <row r="2658">
      <c r="A2658" s="77"/>
      <c r="B2658" s="77"/>
      <c r="C2658" s="77"/>
      <c r="D2658" s="77"/>
      <c r="E2658" s="77"/>
      <c r="F2658" s="77"/>
      <c r="G2658" s="80"/>
    </row>
    <row r="2659">
      <c r="A2659" s="77"/>
      <c r="B2659" s="77"/>
      <c r="C2659" s="77"/>
      <c r="D2659" s="77"/>
      <c r="E2659" s="77"/>
      <c r="F2659" s="77"/>
      <c r="G2659" s="80"/>
    </row>
    <row r="2660">
      <c r="A2660" s="77"/>
      <c r="B2660" s="77"/>
      <c r="C2660" s="77"/>
      <c r="D2660" s="77"/>
      <c r="E2660" s="77"/>
      <c r="F2660" s="77"/>
      <c r="G2660" s="80"/>
    </row>
    <row r="2661">
      <c r="A2661" s="77"/>
      <c r="B2661" s="77"/>
      <c r="C2661" s="77"/>
      <c r="D2661" s="77"/>
      <c r="E2661" s="77"/>
      <c r="F2661" s="77"/>
      <c r="G2661" s="80"/>
    </row>
    <row r="2662">
      <c r="A2662" s="77"/>
      <c r="B2662" s="77"/>
      <c r="C2662" s="77"/>
      <c r="D2662" s="77"/>
      <c r="E2662" s="77"/>
      <c r="F2662" s="77"/>
      <c r="G2662" s="80"/>
    </row>
    <row r="2663">
      <c r="A2663" s="77"/>
      <c r="B2663" s="77"/>
      <c r="C2663" s="77"/>
      <c r="D2663" s="77"/>
      <c r="E2663" s="77"/>
      <c r="F2663" s="77"/>
      <c r="G2663" s="80"/>
    </row>
    <row r="2664">
      <c r="A2664" s="77"/>
      <c r="B2664" s="77"/>
      <c r="C2664" s="77"/>
      <c r="D2664" s="77"/>
      <c r="E2664" s="77"/>
      <c r="F2664" s="77"/>
      <c r="G2664" s="80"/>
    </row>
    <row r="2665">
      <c r="A2665" s="77"/>
      <c r="B2665" s="77"/>
      <c r="C2665" s="77"/>
      <c r="D2665" s="77"/>
      <c r="E2665" s="77"/>
      <c r="F2665" s="77"/>
      <c r="G2665" s="80"/>
    </row>
    <row r="2666">
      <c r="A2666" s="77"/>
      <c r="B2666" s="77"/>
      <c r="C2666" s="77"/>
      <c r="D2666" s="77"/>
      <c r="E2666" s="77"/>
      <c r="F2666" s="77"/>
      <c r="G2666" s="80"/>
    </row>
    <row r="2667">
      <c r="A2667" s="77"/>
      <c r="B2667" s="77"/>
      <c r="C2667" s="77"/>
      <c r="D2667" s="77"/>
      <c r="E2667" s="77"/>
      <c r="F2667" s="77"/>
      <c r="G2667" s="80"/>
    </row>
    <row r="2668">
      <c r="A2668" s="77"/>
      <c r="B2668" s="77"/>
      <c r="C2668" s="77"/>
      <c r="D2668" s="77"/>
      <c r="E2668" s="77"/>
      <c r="F2668" s="77"/>
      <c r="G2668" s="80"/>
    </row>
    <row r="2669">
      <c r="A2669" s="77"/>
      <c r="B2669" s="77"/>
      <c r="C2669" s="77"/>
      <c r="D2669" s="77"/>
      <c r="E2669" s="77"/>
      <c r="F2669" s="77"/>
      <c r="G2669" s="80"/>
    </row>
    <row r="2670">
      <c r="A2670" s="77"/>
      <c r="B2670" s="77"/>
      <c r="C2670" s="77"/>
      <c r="D2670" s="77"/>
      <c r="E2670" s="77"/>
      <c r="F2670" s="77"/>
      <c r="G2670" s="80"/>
    </row>
    <row r="2671">
      <c r="A2671" s="77"/>
      <c r="B2671" s="77"/>
      <c r="C2671" s="77"/>
      <c r="D2671" s="77"/>
      <c r="E2671" s="77"/>
      <c r="F2671" s="77"/>
      <c r="G2671" s="80"/>
    </row>
    <row r="2672">
      <c r="A2672" s="77"/>
      <c r="B2672" s="77"/>
      <c r="C2672" s="77"/>
      <c r="D2672" s="77"/>
      <c r="E2672" s="77"/>
      <c r="F2672" s="77"/>
      <c r="G2672" s="80"/>
    </row>
    <row r="2673">
      <c r="A2673" s="77"/>
      <c r="B2673" s="77"/>
      <c r="C2673" s="77"/>
      <c r="D2673" s="77"/>
      <c r="E2673" s="77"/>
      <c r="F2673" s="77"/>
      <c r="G2673" s="80"/>
    </row>
    <row r="2674">
      <c r="A2674" s="77"/>
      <c r="B2674" s="77"/>
      <c r="C2674" s="77"/>
      <c r="D2674" s="77"/>
      <c r="E2674" s="77"/>
      <c r="F2674" s="77"/>
      <c r="G2674" s="80"/>
    </row>
    <row r="2675">
      <c r="A2675" s="77"/>
      <c r="B2675" s="77"/>
      <c r="C2675" s="77"/>
      <c r="D2675" s="77"/>
      <c r="E2675" s="77"/>
      <c r="F2675" s="77"/>
      <c r="G2675" s="80"/>
    </row>
    <row r="2676">
      <c r="A2676" s="77"/>
      <c r="B2676" s="77"/>
      <c r="C2676" s="77"/>
      <c r="D2676" s="77"/>
      <c r="E2676" s="77"/>
      <c r="F2676" s="77"/>
      <c r="G2676" s="80"/>
    </row>
    <row r="2677">
      <c r="A2677" s="77"/>
      <c r="B2677" s="77"/>
      <c r="C2677" s="77"/>
      <c r="D2677" s="77"/>
      <c r="E2677" s="77"/>
      <c r="F2677" s="77"/>
      <c r="G2677" s="80"/>
    </row>
    <row r="2678">
      <c r="A2678" s="77"/>
      <c r="B2678" s="77"/>
      <c r="C2678" s="77"/>
      <c r="D2678" s="77"/>
      <c r="E2678" s="77"/>
      <c r="F2678" s="77"/>
      <c r="G2678" s="80"/>
    </row>
    <row r="2679">
      <c r="A2679" s="77"/>
      <c r="B2679" s="77"/>
      <c r="C2679" s="77"/>
      <c r="D2679" s="77"/>
      <c r="E2679" s="77"/>
      <c r="F2679" s="77"/>
      <c r="G2679" s="80"/>
    </row>
    <row r="2680">
      <c r="A2680" s="77"/>
      <c r="B2680" s="77"/>
      <c r="C2680" s="77"/>
      <c r="D2680" s="77"/>
      <c r="E2680" s="77"/>
      <c r="F2680" s="77"/>
      <c r="G2680" s="80"/>
    </row>
    <row r="2681">
      <c r="A2681" s="77"/>
      <c r="B2681" s="77"/>
      <c r="C2681" s="77"/>
      <c r="D2681" s="77"/>
      <c r="E2681" s="77"/>
      <c r="F2681" s="77"/>
      <c r="G2681" s="80"/>
    </row>
    <row r="2682">
      <c r="A2682" s="77"/>
      <c r="B2682" s="77"/>
      <c r="C2682" s="77"/>
      <c r="D2682" s="77"/>
      <c r="E2682" s="77"/>
      <c r="F2682" s="77"/>
      <c r="G2682" s="80"/>
    </row>
    <row r="2683">
      <c r="A2683" s="77"/>
      <c r="B2683" s="77"/>
      <c r="C2683" s="77"/>
      <c r="D2683" s="77"/>
      <c r="E2683" s="77"/>
      <c r="F2683" s="77"/>
      <c r="G2683" s="80"/>
    </row>
    <row r="2684">
      <c r="A2684" s="77"/>
      <c r="B2684" s="77"/>
      <c r="C2684" s="77"/>
      <c r="D2684" s="77"/>
      <c r="E2684" s="77"/>
      <c r="F2684" s="77"/>
      <c r="G2684" s="80"/>
    </row>
    <row r="2685">
      <c r="A2685" s="77"/>
      <c r="B2685" s="77"/>
      <c r="C2685" s="77"/>
      <c r="D2685" s="77"/>
      <c r="E2685" s="77"/>
      <c r="F2685" s="77"/>
      <c r="G2685" s="80"/>
    </row>
    <row r="2686">
      <c r="A2686" s="77"/>
      <c r="B2686" s="77"/>
      <c r="C2686" s="77"/>
      <c r="D2686" s="77"/>
      <c r="E2686" s="77"/>
      <c r="F2686" s="77"/>
      <c r="G2686" s="80"/>
    </row>
    <row r="2687">
      <c r="A2687" s="77"/>
      <c r="B2687" s="77"/>
      <c r="C2687" s="77"/>
      <c r="D2687" s="77"/>
      <c r="E2687" s="77"/>
      <c r="F2687" s="77"/>
      <c r="G2687" s="80"/>
    </row>
    <row r="2688">
      <c r="A2688" s="77"/>
      <c r="B2688" s="77"/>
      <c r="C2688" s="77"/>
      <c r="D2688" s="77"/>
      <c r="E2688" s="77"/>
      <c r="F2688" s="77"/>
      <c r="G2688" s="80"/>
    </row>
    <row r="2689">
      <c r="A2689" s="77"/>
      <c r="B2689" s="77"/>
      <c r="C2689" s="77"/>
      <c r="D2689" s="77"/>
      <c r="E2689" s="77"/>
      <c r="F2689" s="77"/>
      <c r="G2689" s="80"/>
    </row>
    <row r="2690">
      <c r="A2690" s="77"/>
      <c r="B2690" s="77"/>
      <c r="C2690" s="77"/>
      <c r="D2690" s="77"/>
      <c r="E2690" s="77"/>
      <c r="F2690" s="77"/>
      <c r="G2690" s="80"/>
    </row>
    <row r="2691">
      <c r="A2691" s="77"/>
      <c r="B2691" s="77"/>
      <c r="C2691" s="77"/>
      <c r="D2691" s="77"/>
      <c r="E2691" s="77"/>
      <c r="F2691" s="77"/>
      <c r="G2691" s="80"/>
    </row>
    <row r="2692">
      <c r="A2692" s="77"/>
      <c r="B2692" s="77"/>
      <c r="C2692" s="77"/>
      <c r="D2692" s="77"/>
      <c r="E2692" s="77"/>
      <c r="F2692" s="77"/>
      <c r="G2692" s="80"/>
    </row>
    <row r="2693">
      <c r="A2693" s="77"/>
      <c r="B2693" s="77"/>
      <c r="C2693" s="77"/>
      <c r="D2693" s="77"/>
      <c r="E2693" s="77"/>
      <c r="F2693" s="77"/>
      <c r="G2693" s="80"/>
    </row>
    <row r="2694">
      <c r="A2694" s="77"/>
      <c r="B2694" s="77"/>
      <c r="C2694" s="77"/>
      <c r="D2694" s="77"/>
      <c r="E2694" s="77"/>
      <c r="F2694" s="77"/>
      <c r="G2694" s="80"/>
    </row>
    <row r="2695">
      <c r="A2695" s="77"/>
      <c r="B2695" s="77"/>
      <c r="C2695" s="77"/>
      <c r="D2695" s="77"/>
      <c r="E2695" s="77"/>
      <c r="F2695" s="77"/>
      <c r="G2695" s="80"/>
    </row>
    <row r="2696">
      <c r="A2696" s="77"/>
      <c r="B2696" s="77"/>
      <c r="C2696" s="77"/>
      <c r="D2696" s="77"/>
      <c r="E2696" s="77"/>
      <c r="F2696" s="77"/>
      <c r="G2696" s="80"/>
    </row>
    <row r="2697">
      <c r="A2697" s="77"/>
      <c r="B2697" s="77"/>
      <c r="C2697" s="77"/>
      <c r="D2697" s="77"/>
      <c r="E2697" s="77"/>
      <c r="F2697" s="77"/>
      <c r="G2697" s="80"/>
    </row>
    <row r="2698">
      <c r="A2698" s="77"/>
      <c r="B2698" s="77"/>
      <c r="C2698" s="77"/>
      <c r="D2698" s="77"/>
      <c r="E2698" s="77"/>
      <c r="F2698" s="77"/>
      <c r="G2698" s="80"/>
    </row>
    <row r="2699">
      <c r="A2699" s="77"/>
      <c r="B2699" s="77"/>
      <c r="C2699" s="77"/>
      <c r="D2699" s="77"/>
      <c r="E2699" s="77"/>
      <c r="F2699" s="77"/>
      <c r="G2699" s="80"/>
    </row>
    <row r="2700">
      <c r="A2700" s="77"/>
      <c r="B2700" s="77"/>
      <c r="C2700" s="77"/>
      <c r="D2700" s="77"/>
      <c r="E2700" s="77"/>
      <c r="F2700" s="77"/>
      <c r="G2700" s="80"/>
    </row>
    <row r="2701">
      <c r="A2701" s="77"/>
      <c r="B2701" s="77"/>
      <c r="C2701" s="77"/>
      <c r="D2701" s="77"/>
      <c r="E2701" s="77"/>
      <c r="F2701" s="77"/>
      <c r="G2701" s="80"/>
    </row>
    <row r="2702">
      <c r="A2702" s="77"/>
      <c r="B2702" s="77"/>
      <c r="C2702" s="77"/>
      <c r="D2702" s="77"/>
      <c r="E2702" s="77"/>
      <c r="F2702" s="77"/>
      <c r="G2702" s="80"/>
    </row>
    <row r="2703">
      <c r="A2703" s="77"/>
      <c r="B2703" s="77"/>
      <c r="C2703" s="77"/>
      <c r="D2703" s="77"/>
      <c r="E2703" s="77"/>
      <c r="F2703" s="77"/>
      <c r="G2703" s="80"/>
    </row>
    <row r="2704">
      <c r="A2704" s="77"/>
      <c r="B2704" s="77"/>
      <c r="C2704" s="77"/>
      <c r="D2704" s="77"/>
      <c r="E2704" s="77"/>
      <c r="F2704" s="77"/>
      <c r="G2704" s="80"/>
    </row>
    <row r="2705">
      <c r="A2705" s="77"/>
      <c r="B2705" s="77"/>
      <c r="C2705" s="77"/>
      <c r="D2705" s="77"/>
      <c r="E2705" s="77"/>
      <c r="F2705" s="77"/>
      <c r="G2705" s="80"/>
    </row>
    <row r="2706">
      <c r="A2706" s="77"/>
      <c r="B2706" s="77"/>
      <c r="C2706" s="77"/>
      <c r="D2706" s="77"/>
      <c r="E2706" s="77"/>
      <c r="F2706" s="77"/>
      <c r="G2706" s="80"/>
    </row>
    <row r="2707">
      <c r="A2707" s="77"/>
      <c r="B2707" s="77"/>
      <c r="C2707" s="77"/>
      <c r="D2707" s="77"/>
      <c r="E2707" s="77"/>
      <c r="F2707" s="77"/>
      <c r="G2707" s="80"/>
    </row>
    <row r="2708">
      <c r="A2708" s="77"/>
      <c r="B2708" s="77"/>
      <c r="C2708" s="77"/>
      <c r="D2708" s="77"/>
      <c r="E2708" s="77"/>
      <c r="F2708" s="77"/>
      <c r="G2708" s="80"/>
    </row>
    <row r="2709">
      <c r="A2709" s="77"/>
      <c r="B2709" s="77"/>
      <c r="C2709" s="77"/>
      <c r="D2709" s="77"/>
      <c r="E2709" s="77"/>
      <c r="F2709" s="77"/>
      <c r="G2709" s="80"/>
    </row>
    <row r="2710">
      <c r="A2710" s="77"/>
      <c r="B2710" s="77"/>
      <c r="C2710" s="77"/>
      <c r="D2710" s="77"/>
      <c r="E2710" s="77"/>
      <c r="F2710" s="77"/>
      <c r="G2710" s="80"/>
    </row>
    <row r="2711">
      <c r="A2711" s="77"/>
      <c r="B2711" s="77"/>
      <c r="C2711" s="77"/>
      <c r="D2711" s="77"/>
      <c r="E2711" s="77"/>
      <c r="F2711" s="77"/>
      <c r="G2711" s="80"/>
    </row>
    <row r="2712">
      <c r="A2712" s="77"/>
      <c r="B2712" s="77"/>
      <c r="C2712" s="77"/>
      <c r="D2712" s="77"/>
      <c r="E2712" s="77"/>
      <c r="F2712" s="77"/>
      <c r="G2712" s="80"/>
    </row>
    <row r="2713">
      <c r="A2713" s="77"/>
      <c r="B2713" s="77"/>
      <c r="C2713" s="77"/>
      <c r="D2713" s="77"/>
      <c r="E2713" s="77"/>
      <c r="F2713" s="77"/>
      <c r="G2713" s="80"/>
    </row>
    <row r="2714">
      <c r="A2714" s="77"/>
      <c r="B2714" s="77"/>
      <c r="C2714" s="77"/>
      <c r="D2714" s="77"/>
      <c r="E2714" s="77"/>
      <c r="F2714" s="77"/>
      <c r="G2714" s="80"/>
    </row>
    <row r="2715">
      <c r="A2715" s="77"/>
      <c r="B2715" s="77"/>
      <c r="C2715" s="77"/>
      <c r="D2715" s="77"/>
      <c r="E2715" s="77"/>
      <c r="F2715" s="77"/>
      <c r="G2715" s="80"/>
    </row>
    <row r="2716">
      <c r="A2716" s="77"/>
      <c r="B2716" s="77"/>
      <c r="C2716" s="77"/>
      <c r="D2716" s="77"/>
      <c r="E2716" s="77"/>
      <c r="F2716" s="77"/>
      <c r="G2716" s="80"/>
    </row>
    <row r="2717">
      <c r="A2717" s="77"/>
      <c r="B2717" s="77"/>
      <c r="C2717" s="77"/>
      <c r="D2717" s="77"/>
      <c r="E2717" s="77"/>
      <c r="F2717" s="77"/>
      <c r="G2717" s="80"/>
    </row>
    <row r="2718">
      <c r="A2718" s="77"/>
      <c r="B2718" s="77"/>
      <c r="C2718" s="77"/>
      <c r="D2718" s="77"/>
      <c r="E2718" s="77"/>
      <c r="F2718" s="77"/>
      <c r="G2718" s="80"/>
    </row>
    <row r="2719">
      <c r="A2719" s="77"/>
      <c r="B2719" s="77"/>
      <c r="C2719" s="77"/>
      <c r="D2719" s="77"/>
      <c r="E2719" s="77"/>
      <c r="F2719" s="77"/>
      <c r="G2719" s="80"/>
    </row>
    <row r="2720">
      <c r="A2720" s="77"/>
      <c r="B2720" s="77"/>
      <c r="C2720" s="77"/>
      <c r="D2720" s="77"/>
      <c r="E2720" s="77"/>
      <c r="F2720" s="77"/>
      <c r="G2720" s="80"/>
    </row>
    <row r="2721">
      <c r="A2721" s="77"/>
      <c r="B2721" s="77"/>
      <c r="C2721" s="77"/>
      <c r="D2721" s="77"/>
      <c r="E2721" s="77"/>
      <c r="F2721" s="77"/>
      <c r="G2721" s="80"/>
    </row>
    <row r="2722">
      <c r="A2722" s="77"/>
      <c r="B2722" s="77"/>
      <c r="C2722" s="77"/>
      <c r="D2722" s="77"/>
      <c r="E2722" s="77"/>
      <c r="F2722" s="77"/>
      <c r="G2722" s="80"/>
    </row>
    <row r="2723">
      <c r="A2723" s="77"/>
      <c r="B2723" s="77"/>
      <c r="C2723" s="77"/>
      <c r="D2723" s="77"/>
      <c r="E2723" s="77"/>
      <c r="F2723" s="77"/>
      <c r="G2723" s="80"/>
    </row>
    <row r="2724">
      <c r="A2724" s="77"/>
      <c r="B2724" s="77"/>
      <c r="C2724" s="77"/>
      <c r="D2724" s="77"/>
      <c r="E2724" s="77"/>
      <c r="F2724" s="77"/>
      <c r="G2724" s="80"/>
    </row>
    <row r="2725">
      <c r="A2725" s="77"/>
      <c r="B2725" s="77"/>
      <c r="C2725" s="77"/>
      <c r="D2725" s="77"/>
      <c r="E2725" s="77"/>
      <c r="F2725" s="77"/>
      <c r="G2725" s="80"/>
    </row>
    <row r="2726">
      <c r="A2726" s="77"/>
      <c r="B2726" s="77"/>
      <c r="C2726" s="77"/>
      <c r="D2726" s="77"/>
      <c r="E2726" s="77"/>
      <c r="F2726" s="77"/>
      <c r="G2726" s="80"/>
    </row>
    <row r="2727">
      <c r="A2727" s="77"/>
      <c r="B2727" s="77"/>
      <c r="C2727" s="77"/>
      <c r="D2727" s="77"/>
      <c r="E2727" s="77"/>
      <c r="F2727" s="77"/>
      <c r="G2727" s="80"/>
    </row>
    <row r="2728">
      <c r="A2728" s="77"/>
      <c r="B2728" s="77"/>
      <c r="C2728" s="77"/>
      <c r="D2728" s="77"/>
      <c r="E2728" s="77"/>
      <c r="F2728" s="77"/>
      <c r="G2728" s="80"/>
    </row>
    <row r="2729">
      <c r="A2729" s="77"/>
      <c r="B2729" s="77"/>
      <c r="C2729" s="77"/>
      <c r="D2729" s="77"/>
      <c r="E2729" s="77"/>
      <c r="F2729" s="77"/>
      <c r="G2729" s="80"/>
    </row>
    <row r="2730">
      <c r="A2730" s="77"/>
      <c r="B2730" s="77"/>
      <c r="C2730" s="77"/>
      <c r="D2730" s="77"/>
      <c r="E2730" s="77"/>
      <c r="F2730" s="77"/>
      <c r="G2730" s="80"/>
    </row>
    <row r="2731">
      <c r="A2731" s="77"/>
      <c r="B2731" s="77"/>
      <c r="C2731" s="77"/>
      <c r="D2731" s="77"/>
      <c r="E2731" s="77"/>
      <c r="F2731" s="77"/>
      <c r="G2731" s="80"/>
    </row>
    <row r="2732">
      <c r="A2732" s="77"/>
      <c r="B2732" s="77"/>
      <c r="C2732" s="77"/>
      <c r="D2732" s="77"/>
      <c r="E2732" s="77"/>
      <c r="F2732" s="77"/>
      <c r="G2732" s="80"/>
    </row>
    <row r="2733">
      <c r="A2733" s="77"/>
      <c r="B2733" s="77"/>
      <c r="C2733" s="77"/>
      <c r="D2733" s="77"/>
      <c r="E2733" s="77"/>
      <c r="F2733" s="77"/>
      <c r="G2733" s="80"/>
    </row>
    <row r="2734">
      <c r="A2734" s="77"/>
      <c r="B2734" s="77"/>
      <c r="C2734" s="77"/>
      <c r="D2734" s="77"/>
      <c r="E2734" s="77"/>
      <c r="F2734" s="77"/>
      <c r="G2734" s="80"/>
    </row>
    <row r="2735">
      <c r="A2735" s="77"/>
      <c r="B2735" s="77"/>
      <c r="C2735" s="77"/>
      <c r="D2735" s="77"/>
      <c r="E2735" s="77"/>
      <c r="F2735" s="77"/>
      <c r="G2735" s="80"/>
    </row>
    <row r="2736">
      <c r="A2736" s="77"/>
      <c r="B2736" s="77"/>
      <c r="C2736" s="77"/>
      <c r="D2736" s="77"/>
      <c r="E2736" s="77"/>
      <c r="F2736" s="77"/>
      <c r="G2736" s="80"/>
    </row>
    <row r="2737">
      <c r="A2737" s="77"/>
      <c r="B2737" s="77"/>
      <c r="C2737" s="77"/>
      <c r="D2737" s="77"/>
      <c r="E2737" s="77"/>
      <c r="F2737" s="77"/>
      <c r="G2737" s="80"/>
    </row>
    <row r="2738">
      <c r="A2738" s="77"/>
      <c r="B2738" s="77"/>
      <c r="C2738" s="77"/>
      <c r="D2738" s="77"/>
      <c r="E2738" s="77"/>
      <c r="F2738" s="77"/>
      <c r="G2738" s="80"/>
    </row>
    <row r="2739">
      <c r="A2739" s="77"/>
      <c r="B2739" s="77"/>
      <c r="C2739" s="77"/>
      <c r="D2739" s="77"/>
      <c r="E2739" s="77"/>
      <c r="F2739" s="77"/>
      <c r="G2739" s="80"/>
    </row>
    <row r="2740">
      <c r="A2740" s="77"/>
      <c r="B2740" s="77"/>
      <c r="C2740" s="77"/>
      <c r="D2740" s="77"/>
      <c r="E2740" s="77"/>
      <c r="F2740" s="77"/>
      <c r="G2740" s="80"/>
    </row>
    <row r="2741">
      <c r="A2741" s="77"/>
      <c r="B2741" s="77"/>
      <c r="C2741" s="77"/>
      <c r="D2741" s="77"/>
      <c r="E2741" s="77"/>
      <c r="F2741" s="77"/>
      <c r="G2741" s="80"/>
    </row>
    <row r="2742">
      <c r="A2742" s="77"/>
      <c r="B2742" s="77"/>
      <c r="C2742" s="77"/>
      <c r="D2742" s="77"/>
      <c r="E2742" s="77"/>
      <c r="F2742" s="77"/>
      <c r="G2742" s="80"/>
    </row>
    <row r="2743">
      <c r="A2743" s="77"/>
      <c r="B2743" s="77"/>
      <c r="C2743" s="77"/>
      <c r="D2743" s="77"/>
      <c r="E2743" s="77"/>
      <c r="F2743" s="77"/>
      <c r="G2743" s="80"/>
    </row>
    <row r="2744">
      <c r="A2744" s="77"/>
      <c r="B2744" s="77"/>
      <c r="C2744" s="77"/>
      <c r="D2744" s="77"/>
      <c r="E2744" s="77"/>
      <c r="F2744" s="77"/>
      <c r="G2744" s="80"/>
    </row>
    <row r="2745">
      <c r="A2745" s="77"/>
      <c r="B2745" s="77"/>
      <c r="C2745" s="77"/>
      <c r="D2745" s="77"/>
      <c r="E2745" s="77"/>
      <c r="F2745" s="77"/>
      <c r="G2745" s="80"/>
    </row>
    <row r="2746">
      <c r="A2746" s="77"/>
      <c r="B2746" s="77"/>
      <c r="C2746" s="77"/>
      <c r="D2746" s="77"/>
      <c r="E2746" s="77"/>
      <c r="F2746" s="77"/>
      <c r="G2746" s="80"/>
    </row>
    <row r="2747">
      <c r="A2747" s="77"/>
      <c r="B2747" s="77"/>
      <c r="C2747" s="77"/>
      <c r="D2747" s="77"/>
      <c r="E2747" s="77"/>
      <c r="F2747" s="77"/>
      <c r="G2747" s="80"/>
    </row>
    <row r="2748">
      <c r="A2748" s="77"/>
      <c r="B2748" s="77"/>
      <c r="C2748" s="77"/>
      <c r="D2748" s="77"/>
      <c r="E2748" s="77"/>
      <c r="F2748" s="77"/>
      <c r="G2748" s="80"/>
    </row>
    <row r="2749">
      <c r="A2749" s="77"/>
      <c r="B2749" s="77"/>
      <c r="C2749" s="77"/>
      <c r="D2749" s="77"/>
      <c r="E2749" s="77"/>
      <c r="F2749" s="77"/>
      <c r="G2749" s="80"/>
    </row>
    <row r="2750">
      <c r="A2750" s="77"/>
      <c r="B2750" s="77"/>
      <c r="C2750" s="77"/>
      <c r="D2750" s="77"/>
      <c r="E2750" s="77"/>
      <c r="F2750" s="77"/>
      <c r="G2750" s="80"/>
    </row>
    <row r="2751">
      <c r="A2751" s="77"/>
      <c r="B2751" s="77"/>
      <c r="C2751" s="77"/>
      <c r="D2751" s="77"/>
      <c r="E2751" s="77"/>
      <c r="F2751" s="77"/>
      <c r="G2751" s="80"/>
    </row>
    <row r="2752">
      <c r="A2752" s="77"/>
      <c r="B2752" s="77"/>
      <c r="C2752" s="77"/>
      <c r="D2752" s="77"/>
      <c r="E2752" s="77"/>
      <c r="F2752" s="77"/>
      <c r="G2752" s="80"/>
    </row>
    <row r="2753">
      <c r="A2753" s="77"/>
      <c r="B2753" s="77"/>
      <c r="C2753" s="77"/>
      <c r="D2753" s="77"/>
      <c r="E2753" s="77"/>
      <c r="F2753" s="77"/>
      <c r="G2753" s="80"/>
    </row>
    <row r="2754">
      <c r="A2754" s="77"/>
      <c r="B2754" s="77"/>
      <c r="C2754" s="77"/>
      <c r="D2754" s="77"/>
      <c r="E2754" s="77"/>
      <c r="F2754" s="77"/>
      <c r="G2754" s="80"/>
    </row>
    <row r="2755">
      <c r="A2755" s="77"/>
      <c r="B2755" s="77"/>
      <c r="C2755" s="77"/>
      <c r="D2755" s="77"/>
      <c r="E2755" s="77"/>
      <c r="F2755" s="77"/>
      <c r="G2755" s="80"/>
    </row>
    <row r="2756">
      <c r="A2756" s="77"/>
      <c r="B2756" s="77"/>
      <c r="C2756" s="77"/>
      <c r="D2756" s="77"/>
      <c r="E2756" s="77"/>
      <c r="F2756" s="77"/>
      <c r="G2756" s="80"/>
    </row>
    <row r="2757">
      <c r="A2757" s="77"/>
      <c r="B2757" s="77"/>
      <c r="C2757" s="77"/>
      <c r="D2757" s="77"/>
      <c r="E2757" s="77"/>
      <c r="F2757" s="77"/>
      <c r="G2757" s="80"/>
    </row>
    <row r="2758">
      <c r="A2758" s="77"/>
      <c r="B2758" s="77"/>
      <c r="C2758" s="77"/>
      <c r="D2758" s="77"/>
      <c r="E2758" s="77"/>
      <c r="F2758" s="77"/>
      <c r="G2758" s="80"/>
    </row>
    <row r="2759">
      <c r="A2759" s="77"/>
      <c r="B2759" s="77"/>
      <c r="C2759" s="77"/>
      <c r="D2759" s="77"/>
      <c r="E2759" s="77"/>
      <c r="F2759" s="77"/>
      <c r="G2759" s="80"/>
    </row>
    <row r="2760">
      <c r="A2760" s="77"/>
      <c r="B2760" s="77"/>
      <c r="C2760" s="77"/>
      <c r="D2760" s="77"/>
      <c r="E2760" s="77"/>
      <c r="F2760" s="77"/>
      <c r="G2760" s="80"/>
    </row>
    <row r="2761">
      <c r="A2761" s="77"/>
      <c r="B2761" s="77"/>
      <c r="C2761" s="77"/>
      <c r="D2761" s="77"/>
      <c r="E2761" s="77"/>
      <c r="F2761" s="77"/>
      <c r="G2761" s="80"/>
    </row>
    <row r="2762">
      <c r="A2762" s="77"/>
      <c r="B2762" s="77"/>
      <c r="C2762" s="77"/>
      <c r="D2762" s="77"/>
      <c r="E2762" s="77"/>
      <c r="F2762" s="77"/>
      <c r="G2762" s="80"/>
    </row>
    <row r="2763">
      <c r="A2763" s="77"/>
      <c r="B2763" s="77"/>
      <c r="C2763" s="77"/>
      <c r="D2763" s="77"/>
      <c r="E2763" s="77"/>
      <c r="F2763" s="77"/>
      <c r="G2763" s="80"/>
    </row>
    <row r="2764">
      <c r="A2764" s="77"/>
      <c r="B2764" s="77"/>
      <c r="C2764" s="77"/>
      <c r="D2764" s="77"/>
      <c r="E2764" s="77"/>
      <c r="F2764" s="77"/>
      <c r="G2764" s="80"/>
    </row>
    <row r="2765">
      <c r="A2765" s="77"/>
      <c r="B2765" s="77"/>
      <c r="C2765" s="77"/>
      <c r="D2765" s="77"/>
      <c r="E2765" s="77"/>
      <c r="F2765" s="77"/>
      <c r="G2765" s="80"/>
    </row>
    <row r="2766">
      <c r="A2766" s="77"/>
      <c r="B2766" s="77"/>
      <c r="C2766" s="77"/>
      <c r="D2766" s="77"/>
      <c r="E2766" s="77"/>
      <c r="F2766" s="77"/>
      <c r="G2766" s="80"/>
    </row>
    <row r="2767">
      <c r="A2767" s="77"/>
      <c r="B2767" s="77"/>
      <c r="C2767" s="77"/>
      <c r="D2767" s="77"/>
      <c r="E2767" s="77"/>
      <c r="F2767" s="77"/>
      <c r="G2767" s="80"/>
    </row>
    <row r="2768">
      <c r="A2768" s="77"/>
      <c r="B2768" s="77"/>
      <c r="C2768" s="77"/>
      <c r="D2768" s="77"/>
      <c r="E2768" s="77"/>
      <c r="F2768" s="77"/>
      <c r="G2768" s="80"/>
    </row>
    <row r="2769">
      <c r="A2769" s="77"/>
      <c r="B2769" s="77"/>
      <c r="C2769" s="77"/>
      <c r="D2769" s="77"/>
      <c r="E2769" s="77"/>
      <c r="F2769" s="77"/>
      <c r="G2769" s="80"/>
    </row>
    <row r="2770">
      <c r="A2770" s="77"/>
      <c r="B2770" s="77"/>
      <c r="C2770" s="77"/>
      <c r="D2770" s="77"/>
      <c r="E2770" s="77"/>
      <c r="F2770" s="77"/>
      <c r="G2770" s="80"/>
    </row>
    <row r="2771">
      <c r="A2771" s="77"/>
      <c r="B2771" s="77"/>
      <c r="C2771" s="77"/>
      <c r="D2771" s="77"/>
      <c r="E2771" s="77"/>
      <c r="F2771" s="77"/>
      <c r="G2771" s="80"/>
    </row>
    <row r="2772">
      <c r="A2772" s="77"/>
      <c r="B2772" s="77"/>
      <c r="C2772" s="77"/>
      <c r="D2772" s="77"/>
      <c r="E2772" s="77"/>
      <c r="F2772" s="77"/>
      <c r="G2772" s="80"/>
    </row>
    <row r="2773">
      <c r="A2773" s="77"/>
      <c r="B2773" s="77"/>
      <c r="C2773" s="77"/>
      <c r="D2773" s="77"/>
      <c r="E2773" s="77"/>
      <c r="F2773" s="77"/>
      <c r="G2773" s="80"/>
    </row>
    <row r="2774">
      <c r="A2774" s="77"/>
      <c r="B2774" s="77"/>
      <c r="C2774" s="77"/>
      <c r="D2774" s="77"/>
      <c r="E2774" s="77"/>
      <c r="F2774" s="77"/>
      <c r="G2774" s="80"/>
    </row>
    <row r="2775">
      <c r="A2775" s="77"/>
      <c r="B2775" s="77"/>
      <c r="C2775" s="77"/>
      <c r="D2775" s="77"/>
      <c r="E2775" s="77"/>
      <c r="F2775" s="77"/>
      <c r="G2775" s="80"/>
    </row>
    <row r="2776">
      <c r="A2776" s="77"/>
      <c r="B2776" s="77"/>
      <c r="C2776" s="77"/>
      <c r="D2776" s="77"/>
      <c r="E2776" s="77"/>
      <c r="F2776" s="77"/>
      <c r="G2776" s="80"/>
    </row>
    <row r="2777">
      <c r="A2777" s="77"/>
      <c r="B2777" s="77"/>
      <c r="C2777" s="77"/>
      <c r="D2777" s="77"/>
      <c r="E2777" s="77"/>
      <c r="F2777" s="77"/>
      <c r="G2777" s="80"/>
    </row>
    <row r="2778">
      <c r="A2778" s="77"/>
      <c r="B2778" s="77"/>
      <c r="C2778" s="77"/>
      <c r="D2778" s="77"/>
      <c r="E2778" s="77"/>
      <c r="F2778" s="77"/>
      <c r="G2778" s="80"/>
    </row>
    <row r="2779">
      <c r="A2779" s="77"/>
      <c r="B2779" s="77"/>
      <c r="C2779" s="77"/>
      <c r="D2779" s="77"/>
      <c r="E2779" s="77"/>
      <c r="F2779" s="77"/>
      <c r="G2779" s="80"/>
    </row>
    <row r="2780">
      <c r="A2780" s="77"/>
      <c r="B2780" s="77"/>
      <c r="C2780" s="77"/>
      <c r="D2780" s="77"/>
      <c r="E2780" s="77"/>
      <c r="F2780" s="77"/>
      <c r="G2780" s="80"/>
    </row>
    <row r="2781">
      <c r="A2781" s="77"/>
      <c r="B2781" s="77"/>
      <c r="C2781" s="77"/>
      <c r="D2781" s="77"/>
      <c r="E2781" s="77"/>
      <c r="F2781" s="77"/>
      <c r="G2781" s="80"/>
    </row>
    <row r="2782">
      <c r="A2782" s="77"/>
      <c r="B2782" s="77"/>
      <c r="C2782" s="77"/>
      <c r="D2782" s="77"/>
      <c r="E2782" s="77"/>
      <c r="F2782" s="77"/>
      <c r="G2782" s="80"/>
    </row>
    <row r="2783">
      <c r="A2783" s="77"/>
      <c r="B2783" s="77"/>
      <c r="C2783" s="77"/>
      <c r="D2783" s="77"/>
      <c r="E2783" s="77"/>
      <c r="F2783" s="77"/>
      <c r="G2783" s="80"/>
    </row>
    <row r="2784">
      <c r="A2784" s="77"/>
      <c r="B2784" s="77"/>
      <c r="C2784" s="77"/>
      <c r="D2784" s="77"/>
      <c r="E2784" s="77"/>
      <c r="F2784" s="77"/>
      <c r="G2784" s="80"/>
    </row>
    <row r="2785">
      <c r="A2785" s="77"/>
      <c r="B2785" s="77"/>
      <c r="C2785" s="77"/>
      <c r="D2785" s="77"/>
      <c r="E2785" s="77"/>
      <c r="F2785" s="77"/>
      <c r="G2785" s="80"/>
    </row>
    <row r="2786">
      <c r="A2786" s="77"/>
      <c r="B2786" s="77"/>
      <c r="C2786" s="77"/>
      <c r="D2786" s="77"/>
      <c r="E2786" s="77"/>
      <c r="F2786" s="77"/>
      <c r="G2786" s="80"/>
    </row>
    <row r="2787">
      <c r="A2787" s="77"/>
      <c r="B2787" s="77"/>
      <c r="C2787" s="77"/>
      <c r="D2787" s="77"/>
      <c r="E2787" s="77"/>
      <c r="F2787" s="77"/>
      <c r="G2787" s="80"/>
    </row>
    <row r="2788">
      <c r="A2788" s="77"/>
      <c r="B2788" s="77"/>
      <c r="C2788" s="77"/>
      <c r="D2788" s="77"/>
      <c r="E2788" s="77"/>
      <c r="F2788" s="77"/>
      <c r="G2788" s="80"/>
    </row>
    <row r="2789">
      <c r="A2789" s="77"/>
      <c r="B2789" s="77"/>
      <c r="C2789" s="77"/>
      <c r="D2789" s="77"/>
      <c r="E2789" s="77"/>
      <c r="F2789" s="77"/>
      <c r="G2789" s="80"/>
    </row>
    <row r="2790">
      <c r="A2790" s="77"/>
      <c r="B2790" s="77"/>
      <c r="C2790" s="77"/>
      <c r="D2790" s="77"/>
      <c r="E2790" s="77"/>
      <c r="F2790" s="77"/>
      <c r="G2790" s="80"/>
    </row>
    <row r="2791">
      <c r="A2791" s="77"/>
      <c r="B2791" s="77"/>
      <c r="C2791" s="77"/>
      <c r="D2791" s="77"/>
      <c r="E2791" s="77"/>
      <c r="F2791" s="77"/>
      <c r="G2791" s="80"/>
    </row>
    <row r="2792">
      <c r="A2792" s="77"/>
      <c r="B2792" s="77"/>
      <c r="C2792" s="77"/>
      <c r="D2792" s="77"/>
      <c r="E2792" s="77"/>
      <c r="F2792" s="77"/>
      <c r="G2792" s="80"/>
    </row>
    <row r="2793">
      <c r="A2793" s="77"/>
      <c r="B2793" s="77"/>
      <c r="C2793" s="77"/>
      <c r="D2793" s="77"/>
      <c r="E2793" s="77"/>
      <c r="F2793" s="77"/>
      <c r="G2793" s="80"/>
    </row>
    <row r="2794">
      <c r="A2794" s="77"/>
      <c r="B2794" s="77"/>
      <c r="C2794" s="77"/>
      <c r="D2794" s="77"/>
      <c r="E2794" s="77"/>
      <c r="F2794" s="77"/>
      <c r="G2794" s="80"/>
    </row>
    <row r="2795">
      <c r="A2795" s="77"/>
      <c r="B2795" s="77"/>
      <c r="C2795" s="77"/>
      <c r="D2795" s="77"/>
      <c r="E2795" s="77"/>
      <c r="F2795" s="77"/>
      <c r="G2795" s="80"/>
    </row>
    <row r="2796">
      <c r="A2796" s="77"/>
      <c r="B2796" s="77"/>
      <c r="C2796" s="77"/>
      <c r="D2796" s="77"/>
      <c r="E2796" s="77"/>
      <c r="F2796" s="77"/>
      <c r="G2796" s="80"/>
    </row>
    <row r="2797">
      <c r="A2797" s="77"/>
      <c r="B2797" s="77"/>
      <c r="C2797" s="77"/>
      <c r="D2797" s="77"/>
      <c r="E2797" s="77"/>
      <c r="F2797" s="77"/>
      <c r="G2797" s="80"/>
    </row>
    <row r="2798">
      <c r="A2798" s="77"/>
      <c r="B2798" s="77"/>
      <c r="C2798" s="77"/>
      <c r="D2798" s="77"/>
      <c r="E2798" s="77"/>
      <c r="F2798" s="77"/>
      <c r="G2798" s="80"/>
    </row>
    <row r="2799">
      <c r="A2799" s="77"/>
      <c r="B2799" s="77"/>
      <c r="C2799" s="77"/>
      <c r="D2799" s="77"/>
      <c r="E2799" s="77"/>
      <c r="F2799" s="77"/>
      <c r="G2799" s="80"/>
    </row>
    <row r="2800">
      <c r="A2800" s="77"/>
      <c r="B2800" s="77"/>
      <c r="C2800" s="77"/>
      <c r="D2800" s="77"/>
      <c r="E2800" s="77"/>
      <c r="F2800" s="77"/>
      <c r="G2800" s="80"/>
    </row>
    <row r="2801">
      <c r="A2801" s="77"/>
      <c r="B2801" s="77"/>
      <c r="C2801" s="77"/>
      <c r="D2801" s="77"/>
      <c r="E2801" s="77"/>
      <c r="F2801" s="77"/>
      <c r="G2801" s="80"/>
    </row>
    <row r="2802">
      <c r="A2802" s="77"/>
      <c r="B2802" s="77"/>
      <c r="C2802" s="77"/>
      <c r="D2802" s="77"/>
      <c r="E2802" s="77"/>
      <c r="F2802" s="77"/>
      <c r="G2802" s="80"/>
    </row>
    <row r="2803">
      <c r="A2803" s="77"/>
      <c r="B2803" s="77"/>
      <c r="C2803" s="77"/>
      <c r="D2803" s="77"/>
      <c r="E2803" s="77"/>
      <c r="F2803" s="77"/>
      <c r="G2803" s="80"/>
    </row>
    <row r="2804">
      <c r="A2804" s="77"/>
      <c r="B2804" s="77"/>
      <c r="C2804" s="77"/>
      <c r="D2804" s="77"/>
      <c r="E2804" s="77"/>
      <c r="F2804" s="77"/>
      <c r="G2804" s="80"/>
    </row>
    <row r="2805">
      <c r="A2805" s="77"/>
      <c r="B2805" s="77"/>
      <c r="C2805" s="77"/>
      <c r="D2805" s="77"/>
      <c r="E2805" s="77"/>
      <c r="F2805" s="77"/>
      <c r="G2805" s="80"/>
    </row>
    <row r="2806">
      <c r="A2806" s="77"/>
      <c r="B2806" s="77"/>
      <c r="C2806" s="77"/>
      <c r="D2806" s="77"/>
      <c r="E2806" s="77"/>
      <c r="F2806" s="77"/>
      <c r="G2806" s="80"/>
    </row>
    <row r="2807">
      <c r="A2807" s="77"/>
      <c r="B2807" s="77"/>
      <c r="C2807" s="77"/>
      <c r="D2807" s="77"/>
      <c r="E2807" s="77"/>
      <c r="F2807" s="77"/>
      <c r="G2807" s="80"/>
    </row>
    <row r="2808">
      <c r="A2808" s="77"/>
      <c r="B2808" s="77"/>
      <c r="C2808" s="77"/>
      <c r="D2808" s="77"/>
      <c r="E2808" s="77"/>
      <c r="F2808" s="77"/>
      <c r="G2808" s="80"/>
    </row>
    <row r="2809">
      <c r="A2809" s="77"/>
      <c r="B2809" s="77"/>
      <c r="C2809" s="77"/>
      <c r="D2809" s="77"/>
      <c r="E2809" s="77"/>
      <c r="F2809" s="77"/>
      <c r="G2809" s="80"/>
    </row>
    <row r="2810">
      <c r="A2810" s="77"/>
      <c r="B2810" s="77"/>
      <c r="C2810" s="77"/>
      <c r="D2810" s="77"/>
      <c r="E2810" s="77"/>
      <c r="F2810" s="77"/>
      <c r="G2810" s="80"/>
    </row>
    <row r="2811">
      <c r="A2811" s="77"/>
      <c r="B2811" s="77"/>
      <c r="C2811" s="77"/>
      <c r="D2811" s="77"/>
      <c r="E2811" s="77"/>
      <c r="F2811" s="77"/>
      <c r="G2811" s="80"/>
    </row>
    <row r="2812">
      <c r="A2812" s="77"/>
      <c r="B2812" s="77"/>
      <c r="C2812" s="77"/>
      <c r="D2812" s="77"/>
      <c r="E2812" s="77"/>
      <c r="F2812" s="77"/>
      <c r="G2812" s="80"/>
    </row>
    <row r="2813">
      <c r="A2813" s="77"/>
      <c r="B2813" s="77"/>
      <c r="C2813" s="77"/>
      <c r="D2813" s="77"/>
      <c r="E2813" s="77"/>
      <c r="F2813" s="77"/>
      <c r="G2813" s="80"/>
    </row>
    <row r="2814">
      <c r="A2814" s="77"/>
      <c r="B2814" s="77"/>
      <c r="C2814" s="77"/>
      <c r="D2814" s="77"/>
      <c r="E2814" s="77"/>
      <c r="F2814" s="77"/>
      <c r="G2814" s="80"/>
    </row>
    <row r="2815">
      <c r="A2815" s="77"/>
      <c r="B2815" s="77"/>
      <c r="C2815" s="77"/>
      <c r="D2815" s="77"/>
      <c r="E2815" s="77"/>
      <c r="F2815" s="77"/>
      <c r="G2815" s="80"/>
    </row>
    <row r="2816">
      <c r="A2816" s="77"/>
      <c r="B2816" s="77"/>
      <c r="C2816" s="77"/>
      <c r="D2816" s="77"/>
      <c r="E2816" s="77"/>
      <c r="F2816" s="77"/>
      <c r="G2816" s="80"/>
    </row>
    <row r="2817">
      <c r="A2817" s="77"/>
      <c r="B2817" s="77"/>
      <c r="C2817" s="77"/>
      <c r="D2817" s="77"/>
      <c r="E2817" s="77"/>
      <c r="F2817" s="77"/>
      <c r="G2817" s="80"/>
    </row>
    <row r="2818">
      <c r="A2818" s="77"/>
      <c r="B2818" s="77"/>
      <c r="C2818" s="77"/>
      <c r="D2818" s="77"/>
      <c r="E2818" s="77"/>
      <c r="F2818" s="77"/>
      <c r="G2818" s="80"/>
    </row>
    <row r="2819">
      <c r="A2819" s="77"/>
      <c r="B2819" s="77"/>
      <c r="C2819" s="77"/>
      <c r="D2819" s="77"/>
      <c r="E2819" s="77"/>
      <c r="F2819" s="77"/>
      <c r="G2819" s="80"/>
    </row>
    <row r="2820">
      <c r="A2820" s="77"/>
      <c r="B2820" s="77"/>
      <c r="C2820" s="77"/>
      <c r="D2820" s="77"/>
      <c r="E2820" s="77"/>
      <c r="F2820" s="77"/>
      <c r="G2820" s="80"/>
    </row>
    <row r="2821">
      <c r="A2821" s="77"/>
      <c r="B2821" s="77"/>
      <c r="C2821" s="77"/>
      <c r="D2821" s="77"/>
      <c r="E2821" s="77"/>
      <c r="F2821" s="77"/>
      <c r="G2821" s="80"/>
    </row>
    <row r="2822">
      <c r="A2822" s="77"/>
      <c r="B2822" s="77"/>
      <c r="C2822" s="77"/>
      <c r="D2822" s="77"/>
      <c r="E2822" s="77"/>
      <c r="F2822" s="77"/>
      <c r="G2822" s="80"/>
    </row>
    <row r="2823">
      <c r="A2823" s="77"/>
      <c r="B2823" s="77"/>
      <c r="C2823" s="77"/>
      <c r="D2823" s="77"/>
      <c r="E2823" s="77"/>
      <c r="F2823" s="77"/>
      <c r="G2823" s="80"/>
    </row>
    <row r="2824">
      <c r="A2824" s="77"/>
      <c r="B2824" s="77"/>
      <c r="C2824" s="77"/>
      <c r="D2824" s="77"/>
      <c r="E2824" s="77"/>
      <c r="F2824" s="77"/>
      <c r="G2824" s="80"/>
    </row>
    <row r="2825">
      <c r="A2825" s="77"/>
      <c r="B2825" s="77"/>
      <c r="C2825" s="77"/>
      <c r="D2825" s="77"/>
      <c r="E2825" s="77"/>
      <c r="F2825" s="77"/>
      <c r="G2825" s="80"/>
    </row>
    <row r="2826">
      <c r="A2826" s="77"/>
      <c r="B2826" s="77"/>
      <c r="C2826" s="77"/>
      <c r="D2826" s="77"/>
      <c r="E2826" s="77"/>
      <c r="F2826" s="77"/>
      <c r="G2826" s="80"/>
    </row>
    <row r="2827">
      <c r="A2827" s="77"/>
      <c r="B2827" s="77"/>
      <c r="C2827" s="77"/>
      <c r="D2827" s="77"/>
      <c r="E2827" s="77"/>
      <c r="F2827" s="77"/>
      <c r="G2827" s="80"/>
    </row>
    <row r="2828">
      <c r="A2828" s="77"/>
      <c r="B2828" s="77"/>
      <c r="C2828" s="77"/>
      <c r="D2828" s="77"/>
      <c r="E2828" s="77"/>
      <c r="F2828" s="77"/>
      <c r="G2828" s="80"/>
    </row>
    <row r="2829">
      <c r="A2829" s="77"/>
      <c r="B2829" s="77"/>
      <c r="C2829" s="77"/>
      <c r="D2829" s="77"/>
      <c r="E2829" s="77"/>
      <c r="F2829" s="77"/>
      <c r="G2829" s="80"/>
    </row>
    <row r="2830">
      <c r="A2830" s="77"/>
      <c r="B2830" s="77"/>
      <c r="C2830" s="77"/>
      <c r="D2830" s="77"/>
      <c r="E2830" s="77"/>
      <c r="F2830" s="77"/>
      <c r="G2830" s="80"/>
    </row>
    <row r="2831">
      <c r="A2831" s="77"/>
      <c r="B2831" s="77"/>
      <c r="C2831" s="77"/>
      <c r="D2831" s="77"/>
      <c r="E2831" s="77"/>
      <c r="F2831" s="77"/>
      <c r="G2831" s="80"/>
    </row>
    <row r="2832">
      <c r="A2832" s="77"/>
      <c r="B2832" s="77"/>
      <c r="C2832" s="77"/>
      <c r="D2832" s="77"/>
      <c r="E2832" s="77"/>
      <c r="F2832" s="77"/>
      <c r="G2832" s="80"/>
    </row>
    <row r="2833">
      <c r="A2833" s="77"/>
      <c r="B2833" s="77"/>
      <c r="C2833" s="77"/>
      <c r="D2833" s="77"/>
      <c r="E2833" s="77"/>
      <c r="F2833" s="77"/>
      <c r="G2833" s="80"/>
    </row>
    <row r="2834">
      <c r="A2834" s="77"/>
      <c r="B2834" s="77"/>
      <c r="C2834" s="77"/>
      <c r="D2834" s="77"/>
      <c r="E2834" s="77"/>
      <c r="F2834" s="77"/>
      <c r="G2834" s="80"/>
    </row>
    <row r="2835">
      <c r="A2835" s="77"/>
      <c r="B2835" s="77"/>
      <c r="C2835" s="77"/>
      <c r="D2835" s="77"/>
      <c r="E2835" s="77"/>
      <c r="F2835" s="77"/>
      <c r="G2835" s="80"/>
    </row>
    <row r="2836">
      <c r="A2836" s="77"/>
      <c r="B2836" s="77"/>
      <c r="C2836" s="77"/>
      <c r="D2836" s="77"/>
      <c r="E2836" s="77"/>
      <c r="F2836" s="77"/>
      <c r="G2836" s="80"/>
    </row>
    <row r="2837">
      <c r="A2837" s="77"/>
      <c r="B2837" s="77"/>
      <c r="C2837" s="77"/>
      <c r="D2837" s="77"/>
      <c r="E2837" s="77"/>
      <c r="F2837" s="77"/>
      <c r="G2837" s="80"/>
    </row>
    <row r="2838">
      <c r="A2838" s="77"/>
      <c r="B2838" s="77"/>
      <c r="C2838" s="77"/>
      <c r="D2838" s="77"/>
      <c r="E2838" s="77"/>
      <c r="F2838" s="77"/>
      <c r="G2838" s="80"/>
    </row>
    <row r="2839">
      <c r="A2839" s="77"/>
      <c r="B2839" s="77"/>
      <c r="C2839" s="77"/>
      <c r="D2839" s="77"/>
      <c r="E2839" s="77"/>
      <c r="F2839" s="77"/>
      <c r="G2839" s="80"/>
    </row>
    <row r="2840">
      <c r="A2840" s="77"/>
      <c r="B2840" s="77"/>
      <c r="C2840" s="77"/>
      <c r="D2840" s="77"/>
      <c r="E2840" s="77"/>
      <c r="F2840" s="77"/>
      <c r="G2840" s="80"/>
    </row>
    <row r="2841">
      <c r="A2841" s="77"/>
      <c r="B2841" s="77"/>
      <c r="C2841" s="77"/>
      <c r="D2841" s="77"/>
      <c r="E2841" s="77"/>
      <c r="F2841" s="77"/>
      <c r="G2841" s="80"/>
    </row>
    <row r="2842">
      <c r="A2842" s="77"/>
      <c r="B2842" s="77"/>
      <c r="C2842" s="77"/>
      <c r="D2842" s="77"/>
      <c r="E2842" s="77"/>
      <c r="F2842" s="77"/>
      <c r="G2842" s="80"/>
    </row>
    <row r="2843">
      <c r="A2843" s="77"/>
      <c r="B2843" s="77"/>
      <c r="C2843" s="77"/>
      <c r="D2843" s="77"/>
      <c r="E2843" s="77"/>
      <c r="F2843" s="77"/>
      <c r="G2843" s="80"/>
    </row>
    <row r="2844">
      <c r="A2844" s="77"/>
      <c r="B2844" s="77"/>
      <c r="C2844" s="77"/>
      <c r="D2844" s="77"/>
      <c r="E2844" s="77"/>
      <c r="F2844" s="77"/>
      <c r="G2844" s="80"/>
    </row>
    <row r="2845">
      <c r="A2845" s="77"/>
      <c r="B2845" s="77"/>
      <c r="C2845" s="77"/>
      <c r="D2845" s="77"/>
      <c r="E2845" s="77"/>
      <c r="F2845" s="77"/>
      <c r="G2845" s="80"/>
    </row>
    <row r="2846">
      <c r="A2846" s="77"/>
      <c r="B2846" s="77"/>
      <c r="C2846" s="77"/>
      <c r="D2846" s="77"/>
      <c r="E2846" s="77"/>
      <c r="F2846" s="77"/>
      <c r="G2846" s="80"/>
    </row>
    <row r="2847">
      <c r="A2847" s="77"/>
      <c r="B2847" s="77"/>
      <c r="C2847" s="77"/>
      <c r="D2847" s="77"/>
      <c r="E2847" s="77"/>
      <c r="F2847" s="77"/>
      <c r="G2847" s="80"/>
    </row>
    <row r="2848">
      <c r="A2848" s="77"/>
      <c r="B2848" s="77"/>
      <c r="C2848" s="77"/>
      <c r="D2848" s="77"/>
      <c r="E2848" s="77"/>
      <c r="F2848" s="77"/>
      <c r="G2848" s="80"/>
    </row>
    <row r="2849">
      <c r="A2849" s="77"/>
      <c r="B2849" s="77"/>
      <c r="C2849" s="77"/>
      <c r="D2849" s="77"/>
      <c r="E2849" s="77"/>
      <c r="F2849" s="77"/>
      <c r="G2849" s="80"/>
    </row>
    <row r="2850">
      <c r="A2850" s="77"/>
      <c r="B2850" s="77"/>
      <c r="C2850" s="77"/>
      <c r="D2850" s="77"/>
      <c r="E2850" s="77"/>
      <c r="F2850" s="77"/>
      <c r="G2850" s="80"/>
    </row>
    <row r="2851">
      <c r="A2851" s="77"/>
      <c r="B2851" s="77"/>
      <c r="C2851" s="77"/>
      <c r="D2851" s="77"/>
      <c r="E2851" s="77"/>
      <c r="F2851" s="77"/>
      <c r="G2851" s="80"/>
    </row>
    <row r="2852">
      <c r="A2852" s="77"/>
      <c r="B2852" s="77"/>
      <c r="C2852" s="77"/>
      <c r="D2852" s="77"/>
      <c r="E2852" s="77"/>
      <c r="F2852" s="77"/>
      <c r="G2852" s="80"/>
    </row>
    <row r="2853">
      <c r="A2853" s="77"/>
      <c r="B2853" s="77"/>
      <c r="C2853" s="77"/>
      <c r="D2853" s="77"/>
      <c r="E2853" s="77"/>
      <c r="F2853" s="77"/>
      <c r="G2853" s="80"/>
    </row>
    <row r="2854">
      <c r="A2854" s="77"/>
      <c r="B2854" s="77"/>
      <c r="C2854" s="77"/>
      <c r="D2854" s="77"/>
      <c r="E2854" s="77"/>
      <c r="F2854" s="77"/>
      <c r="G2854" s="80"/>
    </row>
    <row r="2855">
      <c r="A2855" s="77"/>
      <c r="B2855" s="77"/>
      <c r="C2855" s="77"/>
      <c r="D2855" s="77"/>
      <c r="E2855" s="77"/>
      <c r="F2855" s="77"/>
      <c r="G2855" s="80"/>
    </row>
    <row r="2856">
      <c r="A2856" s="77"/>
      <c r="B2856" s="77"/>
      <c r="C2856" s="77"/>
      <c r="D2856" s="77"/>
      <c r="E2856" s="77"/>
      <c r="F2856" s="77"/>
      <c r="G2856" s="80"/>
    </row>
    <row r="2857">
      <c r="A2857" s="77"/>
      <c r="B2857" s="77"/>
      <c r="C2857" s="77"/>
      <c r="D2857" s="77"/>
      <c r="E2857" s="77"/>
      <c r="F2857" s="77"/>
      <c r="G2857" s="80"/>
    </row>
    <row r="2858">
      <c r="A2858" s="77"/>
      <c r="B2858" s="77"/>
      <c r="C2858" s="77"/>
      <c r="D2858" s="77"/>
      <c r="E2858" s="77"/>
      <c r="F2858" s="77"/>
      <c r="G2858" s="80"/>
    </row>
    <row r="2859">
      <c r="A2859" s="77"/>
      <c r="B2859" s="77"/>
      <c r="C2859" s="77"/>
      <c r="D2859" s="77"/>
      <c r="E2859" s="77"/>
      <c r="F2859" s="77"/>
      <c r="G2859" s="80"/>
    </row>
    <row r="2860">
      <c r="A2860" s="77"/>
      <c r="B2860" s="77"/>
      <c r="C2860" s="77"/>
      <c r="D2860" s="77"/>
      <c r="E2860" s="77"/>
      <c r="F2860" s="77"/>
      <c r="G2860" s="80"/>
    </row>
    <row r="2861">
      <c r="A2861" s="77"/>
      <c r="B2861" s="77"/>
      <c r="C2861" s="77"/>
      <c r="D2861" s="77"/>
      <c r="E2861" s="77"/>
      <c r="F2861" s="77"/>
      <c r="G2861" s="80"/>
    </row>
    <row r="2862">
      <c r="A2862" s="77"/>
      <c r="B2862" s="77"/>
      <c r="C2862" s="77"/>
      <c r="D2862" s="77"/>
      <c r="E2862" s="77"/>
      <c r="F2862" s="77"/>
      <c r="G2862" s="80"/>
    </row>
    <row r="2863">
      <c r="A2863" s="77"/>
      <c r="B2863" s="77"/>
      <c r="C2863" s="77"/>
      <c r="D2863" s="77"/>
      <c r="E2863" s="77"/>
      <c r="F2863" s="77"/>
      <c r="G2863" s="80"/>
    </row>
    <row r="2864">
      <c r="A2864" s="77"/>
      <c r="B2864" s="77"/>
      <c r="C2864" s="77"/>
      <c r="D2864" s="77"/>
      <c r="E2864" s="77"/>
      <c r="F2864" s="77"/>
      <c r="G2864" s="80"/>
    </row>
    <row r="2865">
      <c r="A2865" s="77"/>
      <c r="B2865" s="77"/>
      <c r="C2865" s="77"/>
      <c r="D2865" s="77"/>
      <c r="E2865" s="77"/>
      <c r="F2865" s="77"/>
      <c r="G2865" s="80"/>
    </row>
    <row r="2866">
      <c r="A2866" s="77"/>
      <c r="B2866" s="77"/>
      <c r="C2866" s="77"/>
      <c r="D2866" s="77"/>
      <c r="E2866" s="77"/>
      <c r="F2866" s="77"/>
      <c r="G2866" s="80"/>
    </row>
    <row r="2867">
      <c r="A2867" s="77"/>
      <c r="B2867" s="77"/>
      <c r="C2867" s="77"/>
      <c r="D2867" s="77"/>
      <c r="E2867" s="77"/>
      <c r="F2867" s="77"/>
      <c r="G2867" s="80"/>
    </row>
    <row r="2868">
      <c r="A2868" s="77"/>
      <c r="B2868" s="77"/>
      <c r="C2868" s="77"/>
      <c r="D2868" s="77"/>
      <c r="E2868" s="77"/>
      <c r="F2868" s="77"/>
      <c r="G2868" s="80"/>
    </row>
    <row r="2869">
      <c r="A2869" s="77"/>
      <c r="B2869" s="77"/>
      <c r="C2869" s="77"/>
      <c r="D2869" s="77"/>
      <c r="E2869" s="77"/>
      <c r="F2869" s="77"/>
      <c r="G2869" s="80"/>
    </row>
    <row r="2870">
      <c r="A2870" s="77"/>
      <c r="B2870" s="77"/>
      <c r="C2870" s="77"/>
      <c r="D2870" s="77"/>
      <c r="E2870" s="77"/>
      <c r="F2870" s="77"/>
      <c r="G2870" s="80"/>
    </row>
    <row r="2871">
      <c r="A2871" s="77"/>
      <c r="B2871" s="77"/>
      <c r="C2871" s="77"/>
      <c r="D2871" s="77"/>
      <c r="E2871" s="77"/>
      <c r="F2871" s="77"/>
      <c r="G2871" s="80"/>
    </row>
    <row r="2872">
      <c r="A2872" s="77"/>
      <c r="B2872" s="77"/>
      <c r="C2872" s="77"/>
      <c r="D2872" s="77"/>
      <c r="E2872" s="77"/>
      <c r="F2872" s="77"/>
      <c r="G2872" s="80"/>
    </row>
    <row r="2873">
      <c r="A2873" s="77"/>
      <c r="B2873" s="77"/>
      <c r="C2873" s="77"/>
      <c r="D2873" s="77"/>
      <c r="E2873" s="77"/>
      <c r="F2873" s="77"/>
      <c r="G2873" s="80"/>
    </row>
    <row r="2874">
      <c r="A2874" s="77"/>
      <c r="B2874" s="77"/>
      <c r="C2874" s="77"/>
      <c r="D2874" s="77"/>
      <c r="E2874" s="77"/>
      <c r="F2874" s="77"/>
      <c r="G2874" s="80"/>
    </row>
    <row r="2875">
      <c r="A2875" s="77"/>
      <c r="B2875" s="77"/>
      <c r="C2875" s="77"/>
      <c r="D2875" s="77"/>
      <c r="E2875" s="77"/>
      <c r="F2875" s="77"/>
      <c r="G2875" s="80"/>
    </row>
    <row r="2876">
      <c r="A2876" s="77"/>
      <c r="B2876" s="77"/>
      <c r="C2876" s="77"/>
      <c r="D2876" s="77"/>
      <c r="E2876" s="77"/>
      <c r="F2876" s="77"/>
      <c r="G2876" s="80"/>
    </row>
    <row r="2877">
      <c r="A2877" s="77"/>
      <c r="B2877" s="77"/>
      <c r="C2877" s="77"/>
      <c r="D2877" s="77"/>
      <c r="E2877" s="77"/>
      <c r="F2877" s="77"/>
      <c r="G2877" s="80"/>
    </row>
    <row r="2878">
      <c r="A2878" s="77"/>
      <c r="B2878" s="77"/>
      <c r="C2878" s="77"/>
      <c r="D2878" s="77"/>
      <c r="E2878" s="77"/>
      <c r="F2878" s="77"/>
      <c r="G2878" s="80"/>
    </row>
    <row r="2879">
      <c r="A2879" s="77"/>
      <c r="B2879" s="77"/>
      <c r="C2879" s="77"/>
      <c r="D2879" s="77"/>
      <c r="E2879" s="77"/>
      <c r="F2879" s="77"/>
      <c r="G2879" s="80"/>
    </row>
    <row r="2880">
      <c r="A2880" s="77"/>
      <c r="B2880" s="77"/>
      <c r="C2880" s="77"/>
      <c r="D2880" s="77"/>
      <c r="E2880" s="77"/>
      <c r="F2880" s="77"/>
      <c r="G2880" s="80"/>
    </row>
    <row r="2881">
      <c r="A2881" s="77"/>
      <c r="B2881" s="77"/>
      <c r="C2881" s="77"/>
      <c r="D2881" s="77"/>
      <c r="E2881" s="77"/>
      <c r="F2881" s="77"/>
      <c r="G2881" s="80"/>
    </row>
    <row r="2882">
      <c r="A2882" s="77"/>
      <c r="B2882" s="77"/>
      <c r="C2882" s="77"/>
      <c r="D2882" s="77"/>
      <c r="E2882" s="77"/>
      <c r="F2882" s="77"/>
      <c r="G2882" s="80"/>
    </row>
    <row r="2883">
      <c r="A2883" s="77"/>
      <c r="B2883" s="77"/>
      <c r="C2883" s="77"/>
      <c r="D2883" s="77"/>
      <c r="E2883" s="77"/>
      <c r="F2883" s="77"/>
      <c r="G2883" s="80"/>
    </row>
    <row r="2884">
      <c r="A2884" s="77"/>
      <c r="B2884" s="77"/>
      <c r="C2884" s="77"/>
      <c r="D2884" s="77"/>
      <c r="E2884" s="77"/>
      <c r="F2884" s="77"/>
      <c r="G2884" s="80"/>
    </row>
    <row r="2885">
      <c r="A2885" s="77"/>
      <c r="B2885" s="77"/>
      <c r="C2885" s="77"/>
      <c r="D2885" s="77"/>
      <c r="E2885" s="77"/>
      <c r="F2885" s="77"/>
      <c r="G2885" s="80"/>
    </row>
    <row r="2886">
      <c r="A2886" s="77"/>
      <c r="B2886" s="77"/>
      <c r="C2886" s="77"/>
      <c r="D2886" s="77"/>
      <c r="E2886" s="77"/>
      <c r="F2886" s="77"/>
      <c r="G2886" s="80"/>
    </row>
    <row r="2887">
      <c r="A2887" s="77"/>
      <c r="B2887" s="77"/>
      <c r="C2887" s="77"/>
      <c r="D2887" s="77"/>
      <c r="E2887" s="77"/>
      <c r="F2887" s="77"/>
      <c r="G2887" s="80"/>
    </row>
    <row r="2888">
      <c r="A2888" s="77"/>
      <c r="B2888" s="77"/>
      <c r="C2888" s="77"/>
      <c r="D2888" s="77"/>
      <c r="E2888" s="77"/>
      <c r="F2888" s="77"/>
      <c r="G2888" s="80"/>
    </row>
    <row r="2889">
      <c r="A2889" s="77"/>
      <c r="B2889" s="77"/>
      <c r="C2889" s="77"/>
      <c r="D2889" s="77"/>
      <c r="E2889" s="77"/>
      <c r="F2889" s="77"/>
      <c r="G2889" s="80"/>
    </row>
    <row r="2890">
      <c r="A2890" s="77"/>
      <c r="B2890" s="77"/>
      <c r="C2890" s="77"/>
      <c r="D2890" s="77"/>
      <c r="E2890" s="77"/>
      <c r="F2890" s="77"/>
      <c r="G2890" s="80"/>
    </row>
    <row r="2891">
      <c r="A2891" s="77"/>
      <c r="B2891" s="77"/>
      <c r="C2891" s="77"/>
      <c r="D2891" s="77"/>
      <c r="E2891" s="77"/>
      <c r="F2891" s="77"/>
      <c r="G2891" s="80"/>
    </row>
    <row r="2892">
      <c r="A2892" s="77"/>
      <c r="B2892" s="77"/>
      <c r="C2892" s="77"/>
      <c r="D2892" s="77"/>
      <c r="E2892" s="77"/>
      <c r="F2892" s="77"/>
      <c r="G2892" s="80"/>
    </row>
    <row r="2893">
      <c r="A2893" s="77"/>
      <c r="B2893" s="77"/>
      <c r="C2893" s="77"/>
      <c r="D2893" s="77"/>
      <c r="E2893" s="77"/>
      <c r="F2893" s="77"/>
      <c r="G2893" s="80"/>
    </row>
    <row r="2894">
      <c r="A2894" s="77"/>
      <c r="B2894" s="77"/>
      <c r="C2894" s="77"/>
      <c r="D2894" s="77"/>
      <c r="E2894" s="77"/>
      <c r="F2894" s="77"/>
      <c r="G2894" s="80"/>
    </row>
    <row r="2895">
      <c r="A2895" s="77"/>
      <c r="B2895" s="77"/>
      <c r="C2895" s="77"/>
      <c r="D2895" s="77"/>
      <c r="E2895" s="77"/>
      <c r="F2895" s="77"/>
      <c r="G2895" s="80"/>
    </row>
    <row r="2896">
      <c r="A2896" s="77"/>
      <c r="B2896" s="77"/>
      <c r="C2896" s="77"/>
      <c r="D2896" s="77"/>
      <c r="E2896" s="77"/>
      <c r="F2896" s="77"/>
      <c r="G2896" s="80"/>
    </row>
    <row r="2897">
      <c r="A2897" s="77"/>
      <c r="B2897" s="77"/>
      <c r="C2897" s="77"/>
      <c r="D2897" s="77"/>
      <c r="E2897" s="77"/>
      <c r="F2897" s="77"/>
      <c r="G2897" s="80"/>
    </row>
    <row r="2898">
      <c r="A2898" s="77"/>
      <c r="B2898" s="77"/>
      <c r="C2898" s="77"/>
      <c r="D2898" s="77"/>
      <c r="E2898" s="77"/>
      <c r="F2898" s="77"/>
      <c r="G2898" s="80"/>
    </row>
    <row r="2899">
      <c r="A2899" s="77"/>
      <c r="B2899" s="77"/>
      <c r="C2899" s="77"/>
      <c r="D2899" s="77"/>
      <c r="E2899" s="77"/>
      <c r="F2899" s="77"/>
      <c r="G2899" s="80"/>
    </row>
    <row r="2900">
      <c r="A2900" s="77"/>
      <c r="B2900" s="77"/>
      <c r="C2900" s="77"/>
      <c r="D2900" s="77"/>
      <c r="E2900" s="77"/>
      <c r="F2900" s="77"/>
      <c r="G2900" s="80"/>
    </row>
    <row r="2901">
      <c r="A2901" s="77"/>
      <c r="B2901" s="77"/>
      <c r="C2901" s="77"/>
      <c r="D2901" s="77"/>
      <c r="E2901" s="77"/>
      <c r="F2901" s="77"/>
      <c r="G2901" s="80"/>
    </row>
    <row r="2902">
      <c r="A2902" s="77"/>
      <c r="B2902" s="77"/>
      <c r="C2902" s="77"/>
      <c r="D2902" s="77"/>
      <c r="E2902" s="77"/>
      <c r="F2902" s="77"/>
      <c r="G2902" s="80"/>
    </row>
    <row r="2903">
      <c r="A2903" s="77"/>
      <c r="B2903" s="77"/>
      <c r="C2903" s="77"/>
      <c r="D2903" s="77"/>
      <c r="E2903" s="77"/>
      <c r="F2903" s="77"/>
      <c r="G2903" s="80"/>
    </row>
    <row r="2904">
      <c r="A2904" s="77"/>
      <c r="B2904" s="77"/>
      <c r="C2904" s="77"/>
      <c r="D2904" s="77"/>
      <c r="E2904" s="77"/>
      <c r="F2904" s="77"/>
      <c r="G2904" s="80"/>
    </row>
    <row r="2905">
      <c r="A2905" s="77"/>
      <c r="B2905" s="77"/>
      <c r="C2905" s="77"/>
      <c r="D2905" s="77"/>
      <c r="E2905" s="77"/>
      <c r="F2905" s="77"/>
      <c r="G2905" s="80"/>
    </row>
    <row r="2906">
      <c r="A2906" s="77"/>
      <c r="B2906" s="77"/>
      <c r="C2906" s="77"/>
      <c r="D2906" s="77"/>
      <c r="E2906" s="77"/>
      <c r="F2906" s="77"/>
      <c r="G2906" s="80"/>
    </row>
    <row r="2907">
      <c r="A2907" s="77"/>
      <c r="B2907" s="77"/>
      <c r="C2907" s="77"/>
      <c r="D2907" s="77"/>
      <c r="E2907" s="77"/>
      <c r="F2907" s="77"/>
      <c r="G2907" s="80"/>
    </row>
    <row r="2908">
      <c r="A2908" s="77"/>
      <c r="B2908" s="77"/>
      <c r="C2908" s="77"/>
      <c r="D2908" s="77"/>
      <c r="E2908" s="77"/>
      <c r="F2908" s="77"/>
      <c r="G2908" s="80"/>
    </row>
    <row r="2909">
      <c r="A2909" s="77"/>
      <c r="B2909" s="77"/>
      <c r="C2909" s="77"/>
      <c r="D2909" s="77"/>
      <c r="E2909" s="77"/>
      <c r="F2909" s="77"/>
      <c r="G2909" s="80"/>
    </row>
    <row r="2910">
      <c r="A2910" s="77"/>
      <c r="B2910" s="77"/>
      <c r="C2910" s="77"/>
      <c r="D2910" s="77"/>
      <c r="E2910" s="77"/>
      <c r="F2910" s="77"/>
      <c r="G2910" s="80"/>
    </row>
    <row r="2911">
      <c r="A2911" s="77"/>
      <c r="B2911" s="77"/>
      <c r="C2911" s="77"/>
      <c r="D2911" s="77"/>
      <c r="E2911" s="77"/>
      <c r="F2911" s="77"/>
      <c r="G2911" s="80"/>
    </row>
    <row r="2912">
      <c r="A2912" s="77"/>
      <c r="B2912" s="77"/>
      <c r="C2912" s="77"/>
      <c r="D2912" s="77"/>
      <c r="E2912" s="77"/>
      <c r="F2912" s="77"/>
      <c r="G2912" s="80"/>
    </row>
    <row r="2913">
      <c r="A2913" s="77"/>
      <c r="B2913" s="77"/>
      <c r="C2913" s="77"/>
      <c r="D2913" s="77"/>
      <c r="E2913" s="77"/>
      <c r="F2913" s="77"/>
      <c r="G2913" s="80"/>
    </row>
    <row r="2914">
      <c r="A2914" s="77"/>
      <c r="B2914" s="77"/>
      <c r="C2914" s="77"/>
      <c r="D2914" s="77"/>
      <c r="E2914" s="77"/>
      <c r="F2914" s="77"/>
      <c r="G2914" s="80"/>
    </row>
    <row r="2915">
      <c r="A2915" s="77"/>
      <c r="B2915" s="77"/>
      <c r="C2915" s="77"/>
      <c r="D2915" s="77"/>
      <c r="E2915" s="77"/>
      <c r="F2915" s="77"/>
      <c r="G2915" s="80"/>
    </row>
    <row r="2916">
      <c r="A2916" s="77"/>
      <c r="B2916" s="77"/>
      <c r="C2916" s="77"/>
      <c r="D2916" s="77"/>
      <c r="E2916" s="77"/>
      <c r="F2916" s="77"/>
      <c r="G2916" s="80"/>
    </row>
    <row r="2917">
      <c r="A2917" s="77"/>
      <c r="B2917" s="77"/>
      <c r="C2917" s="77"/>
      <c r="D2917" s="77"/>
      <c r="E2917" s="77"/>
      <c r="F2917" s="77"/>
      <c r="G2917" s="80"/>
    </row>
    <row r="2918">
      <c r="A2918" s="77"/>
      <c r="B2918" s="77"/>
      <c r="C2918" s="77"/>
      <c r="D2918" s="77"/>
      <c r="E2918" s="77"/>
      <c r="F2918" s="77"/>
      <c r="G2918" s="80"/>
    </row>
    <row r="2919">
      <c r="A2919" s="77"/>
      <c r="B2919" s="77"/>
      <c r="C2919" s="77"/>
      <c r="D2919" s="77"/>
      <c r="E2919" s="77"/>
      <c r="F2919" s="77"/>
      <c r="G2919" s="80"/>
    </row>
    <row r="2920">
      <c r="A2920" s="77"/>
      <c r="B2920" s="77"/>
      <c r="C2920" s="77"/>
      <c r="D2920" s="77"/>
      <c r="E2920" s="77"/>
      <c r="F2920" s="77"/>
      <c r="G2920" s="80"/>
    </row>
    <row r="2921">
      <c r="A2921" s="77"/>
      <c r="B2921" s="77"/>
      <c r="C2921" s="77"/>
      <c r="D2921" s="77"/>
      <c r="E2921" s="77"/>
      <c r="F2921" s="77"/>
      <c r="G2921" s="80"/>
    </row>
    <row r="2922">
      <c r="A2922" s="77"/>
      <c r="B2922" s="77"/>
      <c r="C2922" s="77"/>
      <c r="D2922" s="77"/>
      <c r="E2922" s="77"/>
      <c r="F2922" s="77"/>
      <c r="G2922" s="80"/>
    </row>
    <row r="2923">
      <c r="A2923" s="77"/>
      <c r="B2923" s="77"/>
      <c r="C2923" s="77"/>
      <c r="D2923" s="77"/>
      <c r="E2923" s="77"/>
      <c r="F2923" s="77"/>
      <c r="G2923" s="80"/>
    </row>
    <row r="2924">
      <c r="A2924" s="77"/>
      <c r="B2924" s="77"/>
      <c r="C2924" s="77"/>
      <c r="D2924" s="77"/>
      <c r="E2924" s="77"/>
      <c r="F2924" s="77"/>
      <c r="G2924" s="80"/>
    </row>
    <row r="2925">
      <c r="A2925" s="77"/>
      <c r="B2925" s="77"/>
      <c r="C2925" s="77"/>
      <c r="D2925" s="77"/>
      <c r="E2925" s="77"/>
      <c r="F2925" s="77"/>
      <c r="G2925" s="80"/>
    </row>
    <row r="2926">
      <c r="A2926" s="77"/>
      <c r="B2926" s="77"/>
      <c r="C2926" s="77"/>
      <c r="D2926" s="77"/>
      <c r="E2926" s="77"/>
      <c r="F2926" s="77"/>
      <c r="G2926" s="80"/>
    </row>
    <row r="2927">
      <c r="A2927" s="77"/>
      <c r="B2927" s="77"/>
      <c r="C2927" s="77"/>
      <c r="D2927" s="77"/>
      <c r="E2927" s="77"/>
      <c r="F2927" s="77"/>
      <c r="G2927" s="80"/>
    </row>
    <row r="2928">
      <c r="A2928" s="77"/>
      <c r="B2928" s="77"/>
      <c r="C2928" s="77"/>
      <c r="D2928" s="77"/>
      <c r="E2928" s="77"/>
      <c r="F2928" s="77"/>
      <c r="G2928" s="80"/>
    </row>
    <row r="2929">
      <c r="A2929" s="77"/>
      <c r="B2929" s="77"/>
      <c r="C2929" s="77"/>
      <c r="D2929" s="77"/>
      <c r="E2929" s="77"/>
      <c r="F2929" s="77"/>
      <c r="G2929" s="80"/>
    </row>
    <row r="2930">
      <c r="A2930" s="77"/>
      <c r="B2930" s="77"/>
      <c r="C2930" s="77"/>
      <c r="D2930" s="77"/>
      <c r="E2930" s="77"/>
      <c r="F2930" s="77"/>
      <c r="G2930" s="80"/>
    </row>
    <row r="2931">
      <c r="A2931" s="77"/>
      <c r="B2931" s="77"/>
      <c r="C2931" s="77"/>
      <c r="D2931" s="77"/>
      <c r="E2931" s="77"/>
      <c r="F2931" s="77"/>
      <c r="G2931" s="80"/>
    </row>
    <row r="2932">
      <c r="A2932" s="77"/>
      <c r="B2932" s="77"/>
      <c r="C2932" s="77"/>
      <c r="D2932" s="77"/>
      <c r="E2932" s="77"/>
      <c r="F2932" s="77"/>
      <c r="G2932" s="80"/>
    </row>
    <row r="2933">
      <c r="A2933" s="77"/>
      <c r="B2933" s="77"/>
      <c r="C2933" s="77"/>
      <c r="D2933" s="77"/>
      <c r="E2933" s="77"/>
      <c r="F2933" s="77"/>
      <c r="G2933" s="80"/>
    </row>
    <row r="2934">
      <c r="A2934" s="77"/>
      <c r="B2934" s="77"/>
      <c r="C2934" s="77"/>
      <c r="D2934" s="77"/>
      <c r="E2934" s="77"/>
      <c r="F2934" s="77"/>
      <c r="G2934" s="80"/>
    </row>
    <row r="2935">
      <c r="A2935" s="77"/>
      <c r="B2935" s="77"/>
      <c r="C2935" s="77"/>
      <c r="D2935" s="77"/>
      <c r="E2935" s="77"/>
      <c r="F2935" s="77"/>
      <c r="G2935" s="80"/>
    </row>
    <row r="2936">
      <c r="A2936" s="77"/>
      <c r="B2936" s="77"/>
      <c r="C2936" s="77"/>
      <c r="D2936" s="77"/>
      <c r="E2936" s="77"/>
      <c r="F2936" s="77"/>
      <c r="G2936" s="80"/>
    </row>
    <row r="2937">
      <c r="A2937" s="77"/>
      <c r="B2937" s="77"/>
      <c r="C2937" s="77"/>
      <c r="D2937" s="77"/>
      <c r="E2937" s="77"/>
      <c r="F2937" s="77"/>
      <c r="G2937" s="80"/>
    </row>
    <row r="2938">
      <c r="A2938" s="77"/>
      <c r="B2938" s="77"/>
      <c r="C2938" s="77"/>
      <c r="D2938" s="77"/>
      <c r="E2938" s="77"/>
      <c r="F2938" s="77"/>
      <c r="G2938" s="80"/>
    </row>
    <row r="2939">
      <c r="A2939" s="77"/>
      <c r="B2939" s="77"/>
      <c r="C2939" s="77"/>
      <c r="D2939" s="77"/>
      <c r="E2939" s="77"/>
      <c r="F2939" s="77"/>
      <c r="G2939" s="80"/>
    </row>
    <row r="2940">
      <c r="A2940" s="77"/>
      <c r="B2940" s="77"/>
      <c r="C2940" s="77"/>
      <c r="D2940" s="77"/>
      <c r="E2940" s="77"/>
      <c r="F2940" s="77"/>
      <c r="G2940" s="80"/>
    </row>
    <row r="2941">
      <c r="A2941" s="77"/>
      <c r="B2941" s="77"/>
      <c r="C2941" s="77"/>
      <c r="D2941" s="77"/>
      <c r="E2941" s="77"/>
      <c r="F2941" s="77"/>
      <c r="G2941" s="80"/>
    </row>
    <row r="2942">
      <c r="A2942" s="77"/>
      <c r="B2942" s="77"/>
      <c r="C2942" s="77"/>
      <c r="D2942" s="77"/>
      <c r="E2942" s="77"/>
      <c r="F2942" s="77"/>
      <c r="G2942" s="80"/>
    </row>
    <row r="2943">
      <c r="A2943" s="77"/>
      <c r="B2943" s="77"/>
      <c r="C2943" s="77"/>
      <c r="D2943" s="77"/>
      <c r="E2943" s="77"/>
      <c r="F2943" s="77"/>
      <c r="G2943" s="80"/>
    </row>
    <row r="2944">
      <c r="A2944" s="77"/>
      <c r="B2944" s="77"/>
      <c r="C2944" s="77"/>
      <c r="D2944" s="77"/>
      <c r="E2944" s="77"/>
      <c r="F2944" s="77"/>
      <c r="G2944" s="80"/>
    </row>
    <row r="2945">
      <c r="A2945" s="77"/>
      <c r="B2945" s="77"/>
      <c r="C2945" s="77"/>
      <c r="D2945" s="77"/>
      <c r="E2945" s="77"/>
      <c r="F2945" s="77"/>
      <c r="G2945" s="80"/>
    </row>
    <row r="2946">
      <c r="A2946" s="77"/>
      <c r="B2946" s="77"/>
      <c r="C2946" s="77"/>
      <c r="D2946" s="77"/>
      <c r="E2946" s="77"/>
      <c r="F2946" s="77"/>
      <c r="G2946" s="80"/>
    </row>
    <row r="2947">
      <c r="A2947" s="77"/>
      <c r="B2947" s="77"/>
      <c r="C2947" s="77"/>
      <c r="D2947" s="77"/>
      <c r="E2947" s="77"/>
      <c r="F2947" s="77"/>
      <c r="G2947" s="80"/>
    </row>
    <row r="2948">
      <c r="A2948" s="77"/>
      <c r="B2948" s="77"/>
      <c r="C2948" s="77"/>
      <c r="D2948" s="77"/>
      <c r="E2948" s="77"/>
      <c r="F2948" s="77"/>
      <c r="G2948" s="80"/>
    </row>
    <row r="2949">
      <c r="A2949" s="77"/>
      <c r="B2949" s="77"/>
      <c r="C2949" s="77"/>
      <c r="D2949" s="77"/>
      <c r="E2949" s="77"/>
      <c r="F2949" s="77"/>
      <c r="G2949" s="80"/>
    </row>
    <row r="2950">
      <c r="A2950" s="77"/>
      <c r="B2950" s="77"/>
      <c r="C2950" s="77"/>
      <c r="D2950" s="77"/>
      <c r="E2950" s="77"/>
      <c r="F2950" s="77"/>
      <c r="G2950" s="80"/>
    </row>
    <row r="2951">
      <c r="A2951" s="77"/>
      <c r="B2951" s="77"/>
      <c r="C2951" s="77"/>
      <c r="D2951" s="77"/>
      <c r="E2951" s="77"/>
      <c r="F2951" s="77"/>
      <c r="G2951" s="80"/>
    </row>
    <row r="2952">
      <c r="A2952" s="77"/>
      <c r="B2952" s="77"/>
      <c r="C2952" s="77"/>
      <c r="D2952" s="77"/>
      <c r="E2952" s="77"/>
      <c r="F2952" s="77"/>
      <c r="G2952" s="80"/>
    </row>
    <row r="2953">
      <c r="A2953" s="77"/>
      <c r="B2953" s="77"/>
      <c r="C2953" s="77"/>
      <c r="D2953" s="77"/>
      <c r="E2953" s="77"/>
      <c r="F2953" s="77"/>
      <c r="G2953" s="80"/>
    </row>
    <row r="2954">
      <c r="A2954" s="77"/>
      <c r="B2954" s="77"/>
      <c r="C2954" s="77"/>
      <c r="D2954" s="77"/>
      <c r="E2954" s="77"/>
      <c r="F2954" s="77"/>
      <c r="G2954" s="80"/>
    </row>
    <row r="2955">
      <c r="A2955" s="77"/>
      <c r="B2955" s="77"/>
      <c r="C2955" s="77"/>
      <c r="D2955" s="77"/>
      <c r="E2955" s="77"/>
      <c r="F2955" s="77"/>
      <c r="G2955" s="80"/>
    </row>
    <row r="2956">
      <c r="A2956" s="77"/>
      <c r="B2956" s="77"/>
      <c r="C2956" s="77"/>
      <c r="D2956" s="77"/>
      <c r="E2956" s="77"/>
      <c r="F2956" s="77"/>
      <c r="G2956" s="80"/>
    </row>
    <row r="2957">
      <c r="A2957" s="77"/>
      <c r="B2957" s="77"/>
      <c r="C2957" s="77"/>
      <c r="D2957" s="77"/>
      <c r="E2957" s="77"/>
      <c r="F2957" s="77"/>
      <c r="G2957" s="80"/>
    </row>
    <row r="2958">
      <c r="A2958" s="77"/>
      <c r="B2958" s="77"/>
      <c r="C2958" s="77"/>
      <c r="D2958" s="77"/>
      <c r="E2958" s="77"/>
      <c r="F2958" s="77"/>
      <c r="G2958" s="80"/>
    </row>
    <row r="2959">
      <c r="A2959" s="77"/>
      <c r="B2959" s="77"/>
      <c r="C2959" s="77"/>
      <c r="D2959" s="77"/>
      <c r="E2959" s="77"/>
      <c r="F2959" s="77"/>
      <c r="G2959" s="80"/>
    </row>
    <row r="2960">
      <c r="A2960" s="77"/>
      <c r="B2960" s="77"/>
      <c r="C2960" s="77"/>
      <c r="D2960" s="77"/>
      <c r="E2960" s="77"/>
      <c r="F2960" s="77"/>
      <c r="G2960" s="80"/>
    </row>
    <row r="2961">
      <c r="A2961" s="77"/>
      <c r="B2961" s="77"/>
      <c r="C2961" s="77"/>
      <c r="D2961" s="77"/>
      <c r="E2961" s="77"/>
      <c r="F2961" s="77"/>
      <c r="G2961" s="80"/>
    </row>
    <row r="2962">
      <c r="A2962" s="77"/>
      <c r="B2962" s="77"/>
      <c r="C2962" s="77"/>
      <c r="D2962" s="77"/>
      <c r="E2962" s="77"/>
      <c r="F2962" s="77"/>
      <c r="G2962" s="80"/>
    </row>
    <row r="2963">
      <c r="A2963" s="77"/>
      <c r="B2963" s="77"/>
      <c r="C2963" s="77"/>
      <c r="D2963" s="77"/>
      <c r="E2963" s="77"/>
      <c r="F2963" s="77"/>
      <c r="G2963" s="80"/>
    </row>
    <row r="2964">
      <c r="A2964" s="77"/>
      <c r="B2964" s="77"/>
      <c r="C2964" s="77"/>
      <c r="D2964" s="77"/>
      <c r="E2964" s="77"/>
      <c r="F2964" s="77"/>
      <c r="G2964" s="80"/>
    </row>
    <row r="2965">
      <c r="A2965" s="77"/>
      <c r="B2965" s="77"/>
      <c r="C2965" s="77"/>
      <c r="D2965" s="77"/>
      <c r="E2965" s="77"/>
      <c r="F2965" s="77"/>
      <c r="G2965" s="80"/>
    </row>
    <row r="2966">
      <c r="A2966" s="77"/>
      <c r="B2966" s="77"/>
      <c r="C2966" s="77"/>
      <c r="D2966" s="77"/>
      <c r="E2966" s="77"/>
      <c r="F2966" s="77"/>
      <c r="G2966" s="80"/>
    </row>
    <row r="2967">
      <c r="A2967" s="77"/>
      <c r="B2967" s="77"/>
      <c r="C2967" s="77"/>
      <c r="D2967" s="77"/>
      <c r="E2967" s="77"/>
      <c r="F2967" s="77"/>
      <c r="G2967" s="80"/>
    </row>
    <row r="2968">
      <c r="A2968" s="77"/>
      <c r="B2968" s="77"/>
      <c r="C2968" s="77"/>
      <c r="D2968" s="77"/>
      <c r="E2968" s="77"/>
      <c r="F2968" s="77"/>
      <c r="G2968" s="80"/>
    </row>
    <row r="2969">
      <c r="A2969" s="77"/>
      <c r="B2969" s="77"/>
      <c r="C2969" s="77"/>
      <c r="D2969" s="77"/>
      <c r="E2969" s="77"/>
      <c r="F2969" s="77"/>
      <c r="G2969" s="80"/>
    </row>
    <row r="2970">
      <c r="A2970" s="77"/>
      <c r="B2970" s="77"/>
      <c r="C2970" s="77"/>
      <c r="D2970" s="77"/>
      <c r="E2970" s="77"/>
      <c r="F2970" s="77"/>
      <c r="G2970" s="80"/>
    </row>
    <row r="2971">
      <c r="A2971" s="77"/>
      <c r="B2971" s="77"/>
      <c r="C2971" s="77"/>
      <c r="D2971" s="77"/>
      <c r="E2971" s="77"/>
      <c r="F2971" s="77"/>
      <c r="G2971" s="80"/>
    </row>
    <row r="2972">
      <c r="A2972" s="77"/>
      <c r="B2972" s="77"/>
      <c r="C2972" s="77"/>
      <c r="D2972" s="77"/>
      <c r="E2972" s="77"/>
      <c r="F2972" s="77"/>
      <c r="G2972" s="80"/>
    </row>
    <row r="2973">
      <c r="A2973" s="77"/>
      <c r="B2973" s="77"/>
      <c r="C2973" s="77"/>
      <c r="D2973" s="77"/>
      <c r="E2973" s="77"/>
      <c r="F2973" s="77"/>
      <c r="G2973" s="80"/>
    </row>
    <row r="2974">
      <c r="A2974" s="77"/>
      <c r="B2974" s="77"/>
      <c r="C2974" s="77"/>
      <c r="D2974" s="77"/>
      <c r="E2974" s="77"/>
      <c r="F2974" s="77"/>
      <c r="G2974" s="80"/>
    </row>
    <row r="2975">
      <c r="A2975" s="77"/>
      <c r="B2975" s="77"/>
      <c r="C2975" s="77"/>
      <c r="D2975" s="77"/>
      <c r="E2975" s="77"/>
      <c r="F2975" s="77"/>
      <c r="G2975" s="80"/>
    </row>
    <row r="2976">
      <c r="A2976" s="77"/>
      <c r="B2976" s="77"/>
      <c r="C2976" s="77"/>
      <c r="D2976" s="77"/>
      <c r="E2976" s="77"/>
      <c r="F2976" s="77"/>
      <c r="G2976" s="80"/>
    </row>
    <row r="2977">
      <c r="A2977" s="77"/>
      <c r="B2977" s="77"/>
      <c r="C2977" s="77"/>
      <c r="D2977" s="77"/>
      <c r="E2977" s="77"/>
      <c r="F2977" s="77"/>
      <c r="G2977" s="80"/>
    </row>
    <row r="2978">
      <c r="A2978" s="77"/>
      <c r="B2978" s="77"/>
      <c r="C2978" s="77"/>
      <c r="D2978" s="77"/>
      <c r="E2978" s="77"/>
      <c r="F2978" s="77"/>
      <c r="G2978" s="80"/>
    </row>
    <row r="2979">
      <c r="A2979" s="77"/>
      <c r="B2979" s="77"/>
      <c r="C2979" s="77"/>
      <c r="D2979" s="77"/>
      <c r="E2979" s="77"/>
      <c r="F2979" s="77"/>
      <c r="G2979" s="80"/>
    </row>
    <row r="2980">
      <c r="A2980" s="77"/>
      <c r="B2980" s="77"/>
      <c r="C2980" s="77"/>
      <c r="D2980" s="77"/>
      <c r="E2980" s="77"/>
      <c r="F2980" s="77"/>
      <c r="G2980" s="80"/>
    </row>
    <row r="2981">
      <c r="A2981" s="77"/>
      <c r="B2981" s="77"/>
      <c r="C2981" s="77"/>
      <c r="D2981" s="77"/>
      <c r="E2981" s="77"/>
      <c r="F2981" s="77"/>
      <c r="G2981" s="80"/>
    </row>
    <row r="2982">
      <c r="A2982" s="77"/>
      <c r="B2982" s="77"/>
      <c r="C2982" s="77"/>
      <c r="D2982" s="77"/>
      <c r="E2982" s="77"/>
      <c r="F2982" s="77"/>
      <c r="G2982" s="80"/>
    </row>
    <row r="2983">
      <c r="A2983" s="77"/>
      <c r="B2983" s="77"/>
      <c r="C2983" s="77"/>
      <c r="D2983" s="77"/>
      <c r="E2983" s="77"/>
      <c r="F2983" s="77"/>
      <c r="G2983" s="80"/>
    </row>
    <row r="2984">
      <c r="A2984" s="77"/>
      <c r="B2984" s="77"/>
      <c r="C2984" s="77"/>
      <c r="D2984" s="77"/>
      <c r="E2984" s="77"/>
      <c r="F2984" s="77"/>
      <c r="G2984" s="80"/>
    </row>
    <row r="2985">
      <c r="A2985" s="77"/>
      <c r="B2985" s="77"/>
      <c r="C2985" s="77"/>
      <c r="D2985" s="77"/>
      <c r="E2985" s="77"/>
      <c r="F2985" s="77"/>
      <c r="G2985" s="80"/>
    </row>
    <row r="2986">
      <c r="A2986" s="77"/>
      <c r="B2986" s="77"/>
      <c r="C2986" s="77"/>
      <c r="D2986" s="77"/>
      <c r="E2986" s="77"/>
      <c r="F2986" s="77"/>
      <c r="G2986" s="80"/>
    </row>
    <row r="2987">
      <c r="A2987" s="77"/>
      <c r="B2987" s="77"/>
      <c r="C2987" s="77"/>
      <c r="D2987" s="77"/>
      <c r="E2987" s="77"/>
      <c r="F2987" s="77"/>
      <c r="G2987" s="80"/>
    </row>
    <row r="2988">
      <c r="A2988" s="77"/>
      <c r="B2988" s="77"/>
      <c r="C2988" s="77"/>
      <c r="D2988" s="77"/>
      <c r="E2988" s="77"/>
      <c r="F2988" s="77"/>
      <c r="G2988" s="80"/>
    </row>
    <row r="2989">
      <c r="A2989" s="77"/>
      <c r="B2989" s="77"/>
      <c r="C2989" s="77"/>
      <c r="D2989" s="77"/>
      <c r="E2989" s="77"/>
      <c r="F2989" s="77"/>
      <c r="G2989" s="80"/>
    </row>
    <row r="2990">
      <c r="A2990" s="77"/>
      <c r="B2990" s="77"/>
      <c r="C2990" s="77"/>
      <c r="D2990" s="77"/>
      <c r="E2990" s="77"/>
      <c r="F2990" s="77"/>
      <c r="G2990" s="80"/>
    </row>
    <row r="2991">
      <c r="A2991" s="77"/>
      <c r="B2991" s="77"/>
      <c r="C2991" s="77"/>
      <c r="D2991" s="77"/>
      <c r="E2991" s="77"/>
      <c r="F2991" s="77"/>
      <c r="G2991" s="80"/>
    </row>
    <row r="2992">
      <c r="A2992" s="77"/>
      <c r="B2992" s="77"/>
      <c r="C2992" s="77"/>
      <c r="D2992" s="77"/>
      <c r="E2992" s="77"/>
      <c r="F2992" s="77"/>
      <c r="G2992" s="80"/>
    </row>
    <row r="2993">
      <c r="A2993" s="77"/>
      <c r="B2993" s="77"/>
      <c r="C2993" s="77"/>
      <c r="D2993" s="77"/>
      <c r="E2993" s="77"/>
      <c r="F2993" s="77"/>
      <c r="G2993" s="80"/>
    </row>
    <row r="2994">
      <c r="A2994" s="77"/>
      <c r="B2994" s="77"/>
      <c r="C2994" s="77"/>
      <c r="D2994" s="77"/>
      <c r="E2994" s="77"/>
      <c r="F2994" s="77"/>
      <c r="G2994" s="80"/>
    </row>
    <row r="2995">
      <c r="A2995" s="77"/>
      <c r="B2995" s="77"/>
      <c r="C2995" s="77"/>
      <c r="D2995" s="77"/>
      <c r="E2995" s="77"/>
      <c r="F2995" s="77"/>
      <c r="G2995" s="80"/>
    </row>
    <row r="2996">
      <c r="A2996" s="77"/>
      <c r="B2996" s="77"/>
      <c r="C2996" s="77"/>
      <c r="D2996" s="77"/>
      <c r="E2996" s="77"/>
      <c r="F2996" s="77"/>
      <c r="G2996" s="80"/>
    </row>
    <row r="2997">
      <c r="A2997" s="77"/>
      <c r="B2997" s="77"/>
      <c r="C2997" s="77"/>
      <c r="D2997" s="77"/>
      <c r="E2997" s="77"/>
      <c r="F2997" s="77"/>
      <c r="G2997" s="80"/>
    </row>
    <row r="2998">
      <c r="A2998" s="77"/>
      <c r="B2998" s="77"/>
      <c r="C2998" s="77"/>
      <c r="D2998" s="77"/>
      <c r="E2998" s="77"/>
      <c r="F2998" s="77"/>
      <c r="G2998" s="80"/>
    </row>
    <row r="2999">
      <c r="A2999" s="77"/>
      <c r="B2999" s="77"/>
      <c r="C2999" s="77"/>
      <c r="D2999" s="77"/>
      <c r="E2999" s="77"/>
      <c r="F2999" s="77"/>
      <c r="G2999" s="80"/>
    </row>
    <row r="3000">
      <c r="A3000" s="77"/>
      <c r="B3000" s="77"/>
      <c r="C3000" s="77"/>
      <c r="D3000" s="77"/>
      <c r="E3000" s="77"/>
      <c r="F3000" s="77"/>
      <c r="G3000" s="80"/>
    </row>
    <row r="3001">
      <c r="A3001" s="77"/>
      <c r="B3001" s="77"/>
      <c r="C3001" s="77"/>
      <c r="D3001" s="77"/>
      <c r="E3001" s="77"/>
      <c r="F3001" s="77"/>
      <c r="G3001" s="80"/>
    </row>
    <row r="3002">
      <c r="A3002" s="77"/>
      <c r="B3002" s="77"/>
      <c r="C3002" s="77"/>
      <c r="D3002" s="77"/>
      <c r="E3002" s="77"/>
      <c r="F3002" s="77"/>
      <c r="G3002" s="80"/>
    </row>
    <row r="3003">
      <c r="A3003" s="77"/>
      <c r="B3003" s="77"/>
      <c r="C3003" s="77"/>
      <c r="D3003" s="77"/>
      <c r="E3003" s="77"/>
      <c r="F3003" s="77"/>
      <c r="G3003" s="80"/>
    </row>
    <row r="3004">
      <c r="A3004" s="77"/>
      <c r="B3004" s="77"/>
      <c r="C3004" s="77"/>
      <c r="D3004" s="77"/>
      <c r="E3004" s="77"/>
      <c r="F3004" s="77"/>
      <c r="G3004" s="80"/>
    </row>
    <row r="3005">
      <c r="A3005" s="77"/>
      <c r="B3005" s="77"/>
      <c r="C3005" s="77"/>
      <c r="D3005" s="77"/>
      <c r="E3005" s="77"/>
      <c r="F3005" s="77"/>
      <c r="G3005" s="80"/>
    </row>
    <row r="3006">
      <c r="A3006" s="77"/>
      <c r="B3006" s="77"/>
      <c r="C3006" s="77"/>
      <c r="D3006" s="77"/>
      <c r="E3006" s="77"/>
      <c r="F3006" s="77"/>
      <c r="G3006" s="80"/>
    </row>
    <row r="3007">
      <c r="A3007" s="77"/>
      <c r="B3007" s="77"/>
      <c r="C3007" s="77"/>
      <c r="D3007" s="77"/>
      <c r="E3007" s="77"/>
      <c r="F3007" s="77"/>
      <c r="G3007" s="80"/>
    </row>
    <row r="3008">
      <c r="A3008" s="77"/>
      <c r="B3008" s="77"/>
      <c r="C3008" s="77"/>
      <c r="D3008" s="77"/>
      <c r="E3008" s="77"/>
      <c r="F3008" s="77"/>
      <c r="G3008" s="80"/>
    </row>
    <row r="3009">
      <c r="A3009" s="77"/>
      <c r="B3009" s="77"/>
      <c r="C3009" s="77"/>
      <c r="D3009" s="77"/>
      <c r="E3009" s="77"/>
      <c r="F3009" s="77"/>
      <c r="G3009" s="80"/>
    </row>
    <row r="3010">
      <c r="A3010" s="77"/>
      <c r="B3010" s="77"/>
      <c r="C3010" s="77"/>
      <c r="D3010" s="77"/>
      <c r="E3010" s="77"/>
      <c r="F3010" s="77"/>
      <c r="G3010" s="80"/>
    </row>
    <row r="3011">
      <c r="A3011" s="77"/>
      <c r="B3011" s="77"/>
      <c r="C3011" s="77"/>
      <c r="D3011" s="77"/>
      <c r="E3011" s="77"/>
      <c r="F3011" s="77"/>
      <c r="G3011" s="80"/>
    </row>
    <row r="3012">
      <c r="A3012" s="77"/>
      <c r="B3012" s="77"/>
      <c r="C3012" s="77"/>
      <c r="D3012" s="77"/>
      <c r="E3012" s="77"/>
      <c r="F3012" s="77"/>
      <c r="G3012" s="80"/>
    </row>
    <row r="3013">
      <c r="A3013" s="77"/>
      <c r="B3013" s="77"/>
      <c r="C3013" s="77"/>
      <c r="D3013" s="77"/>
      <c r="E3013" s="77"/>
      <c r="F3013" s="77"/>
      <c r="G3013" s="80"/>
    </row>
    <row r="3014">
      <c r="A3014" s="77"/>
      <c r="B3014" s="77"/>
      <c r="C3014" s="77"/>
      <c r="D3014" s="77"/>
      <c r="E3014" s="77"/>
      <c r="F3014" s="77"/>
      <c r="G3014" s="80"/>
    </row>
    <row r="3015">
      <c r="A3015" s="77"/>
      <c r="B3015" s="77"/>
      <c r="C3015" s="77"/>
      <c r="D3015" s="77"/>
      <c r="E3015" s="77"/>
      <c r="F3015" s="77"/>
      <c r="G3015" s="80"/>
    </row>
    <row r="3016">
      <c r="A3016" s="77"/>
      <c r="B3016" s="77"/>
      <c r="C3016" s="77"/>
      <c r="D3016" s="77"/>
      <c r="E3016" s="77"/>
      <c r="F3016" s="77"/>
      <c r="G3016" s="80"/>
    </row>
    <row r="3017">
      <c r="A3017" s="77"/>
      <c r="B3017" s="77"/>
      <c r="C3017" s="77"/>
      <c r="D3017" s="77"/>
      <c r="E3017" s="77"/>
      <c r="F3017" s="77"/>
      <c r="G3017" s="80"/>
    </row>
    <row r="3018">
      <c r="A3018" s="77"/>
      <c r="B3018" s="77"/>
      <c r="C3018" s="77"/>
      <c r="D3018" s="77"/>
      <c r="E3018" s="77"/>
      <c r="F3018" s="77"/>
      <c r="G3018" s="80"/>
    </row>
    <row r="3019">
      <c r="A3019" s="77"/>
      <c r="B3019" s="77"/>
      <c r="C3019" s="77"/>
      <c r="D3019" s="77"/>
      <c r="E3019" s="77"/>
      <c r="F3019" s="77"/>
      <c r="G3019" s="80"/>
    </row>
    <row r="3020">
      <c r="A3020" s="77"/>
      <c r="B3020" s="77"/>
      <c r="C3020" s="77"/>
      <c r="D3020" s="77"/>
      <c r="E3020" s="77"/>
      <c r="F3020" s="77"/>
      <c r="G3020" s="80"/>
    </row>
    <row r="3021">
      <c r="A3021" s="77"/>
      <c r="B3021" s="77"/>
      <c r="C3021" s="77"/>
      <c r="D3021" s="77"/>
      <c r="E3021" s="77"/>
      <c r="F3021" s="77"/>
      <c r="G3021" s="80"/>
    </row>
    <row r="3022">
      <c r="A3022" s="77"/>
      <c r="B3022" s="77"/>
      <c r="C3022" s="77"/>
      <c r="D3022" s="77"/>
      <c r="E3022" s="77"/>
      <c r="F3022" s="77"/>
      <c r="G3022" s="80"/>
    </row>
    <row r="3023">
      <c r="A3023" s="77"/>
      <c r="B3023" s="77"/>
      <c r="C3023" s="77"/>
      <c r="D3023" s="77"/>
      <c r="E3023" s="77"/>
      <c r="F3023" s="77"/>
      <c r="G3023" s="80"/>
    </row>
    <row r="3024">
      <c r="A3024" s="77"/>
      <c r="B3024" s="77"/>
      <c r="C3024" s="77"/>
      <c r="D3024" s="77"/>
      <c r="E3024" s="77"/>
      <c r="F3024" s="77"/>
      <c r="G3024" s="80"/>
    </row>
    <row r="3025">
      <c r="A3025" s="77"/>
      <c r="B3025" s="77"/>
      <c r="C3025" s="77"/>
      <c r="D3025" s="77"/>
      <c r="E3025" s="77"/>
      <c r="F3025" s="77"/>
      <c r="G3025" s="80"/>
    </row>
    <row r="3026">
      <c r="A3026" s="77"/>
      <c r="B3026" s="77"/>
      <c r="C3026" s="77"/>
      <c r="D3026" s="77"/>
      <c r="E3026" s="77"/>
      <c r="F3026" s="77"/>
      <c r="G3026" s="80"/>
    </row>
    <row r="3027">
      <c r="A3027" s="77"/>
      <c r="B3027" s="77"/>
      <c r="C3027" s="77"/>
      <c r="D3027" s="77"/>
      <c r="E3027" s="77"/>
      <c r="F3027" s="77"/>
      <c r="G3027" s="80"/>
    </row>
    <row r="3028">
      <c r="A3028" s="77"/>
      <c r="B3028" s="77"/>
      <c r="C3028" s="77"/>
      <c r="D3028" s="77"/>
      <c r="E3028" s="77"/>
      <c r="F3028" s="77"/>
      <c r="G3028" s="80"/>
    </row>
    <row r="3029">
      <c r="A3029" s="77"/>
      <c r="B3029" s="77"/>
      <c r="C3029" s="77"/>
      <c r="D3029" s="77"/>
      <c r="E3029" s="77"/>
      <c r="F3029" s="77"/>
      <c r="G3029" s="80"/>
    </row>
    <row r="3030">
      <c r="A3030" s="77"/>
      <c r="B3030" s="77"/>
      <c r="C3030" s="77"/>
      <c r="D3030" s="77"/>
      <c r="E3030" s="77"/>
      <c r="F3030" s="77"/>
      <c r="G3030" s="80"/>
    </row>
    <row r="3031">
      <c r="A3031" s="77"/>
      <c r="B3031" s="77"/>
      <c r="C3031" s="77"/>
      <c r="D3031" s="77"/>
      <c r="E3031" s="77"/>
      <c r="F3031" s="77"/>
      <c r="G3031" s="80"/>
    </row>
    <row r="3032">
      <c r="A3032" s="77"/>
      <c r="B3032" s="77"/>
      <c r="C3032" s="77"/>
      <c r="D3032" s="77"/>
      <c r="E3032" s="77"/>
      <c r="F3032" s="77"/>
      <c r="G3032" s="80"/>
    </row>
    <row r="3033">
      <c r="A3033" s="77"/>
      <c r="B3033" s="77"/>
      <c r="C3033" s="77"/>
      <c r="D3033" s="77"/>
      <c r="E3033" s="77"/>
      <c r="F3033" s="77"/>
      <c r="G3033" s="80"/>
    </row>
    <row r="3034">
      <c r="A3034" s="77"/>
      <c r="B3034" s="77"/>
      <c r="C3034" s="77"/>
      <c r="D3034" s="77"/>
      <c r="E3034" s="77"/>
      <c r="F3034" s="77"/>
      <c r="G3034" s="80"/>
    </row>
    <row r="3035">
      <c r="A3035" s="77"/>
      <c r="B3035" s="77"/>
      <c r="C3035" s="77"/>
      <c r="D3035" s="77"/>
      <c r="E3035" s="77"/>
      <c r="F3035" s="77"/>
      <c r="G3035" s="80"/>
    </row>
    <row r="3036">
      <c r="A3036" s="77"/>
      <c r="B3036" s="77"/>
      <c r="C3036" s="77"/>
      <c r="D3036" s="77"/>
      <c r="E3036" s="77"/>
      <c r="F3036" s="77"/>
      <c r="G3036" s="80"/>
    </row>
    <row r="3037">
      <c r="A3037" s="77"/>
      <c r="B3037" s="77"/>
      <c r="C3037" s="77"/>
      <c r="D3037" s="77"/>
      <c r="E3037" s="77"/>
      <c r="F3037" s="77"/>
      <c r="G3037" s="80"/>
    </row>
    <row r="3038">
      <c r="A3038" s="77"/>
      <c r="B3038" s="77"/>
      <c r="C3038" s="77"/>
      <c r="D3038" s="77"/>
      <c r="E3038" s="77"/>
      <c r="F3038" s="77"/>
      <c r="G3038" s="80"/>
    </row>
    <row r="3039">
      <c r="A3039" s="77"/>
      <c r="B3039" s="77"/>
      <c r="C3039" s="77"/>
      <c r="D3039" s="77"/>
      <c r="E3039" s="77"/>
      <c r="F3039" s="77"/>
      <c r="G3039" s="80"/>
    </row>
    <row r="3040">
      <c r="A3040" s="77"/>
      <c r="B3040" s="77"/>
      <c r="C3040" s="77"/>
      <c r="D3040" s="77"/>
      <c r="E3040" s="77"/>
      <c r="F3040" s="77"/>
      <c r="G3040" s="80"/>
    </row>
    <row r="3041">
      <c r="A3041" s="77"/>
      <c r="B3041" s="77"/>
      <c r="C3041" s="77"/>
      <c r="D3041" s="77"/>
      <c r="E3041" s="77"/>
      <c r="F3041" s="77"/>
      <c r="G3041" s="80"/>
    </row>
    <row r="3042">
      <c r="A3042" s="77"/>
      <c r="B3042" s="77"/>
      <c r="C3042" s="77"/>
      <c r="D3042" s="77"/>
      <c r="E3042" s="77"/>
      <c r="F3042" s="77"/>
      <c r="G3042" s="80"/>
    </row>
    <row r="3043">
      <c r="A3043" s="77"/>
      <c r="B3043" s="77"/>
      <c r="C3043" s="77"/>
      <c r="D3043" s="77"/>
      <c r="E3043" s="77"/>
      <c r="F3043" s="77"/>
      <c r="G3043" s="80"/>
    </row>
    <row r="3044">
      <c r="A3044" s="77"/>
      <c r="B3044" s="77"/>
      <c r="C3044" s="77"/>
      <c r="D3044" s="77"/>
      <c r="E3044" s="77"/>
      <c r="F3044" s="77"/>
      <c r="G3044" s="80"/>
    </row>
    <row r="3045">
      <c r="A3045" s="77"/>
      <c r="B3045" s="77"/>
      <c r="C3045" s="77"/>
      <c r="D3045" s="77"/>
      <c r="E3045" s="77"/>
      <c r="F3045" s="77"/>
      <c r="G3045" s="80"/>
    </row>
    <row r="3046">
      <c r="A3046" s="77"/>
      <c r="B3046" s="77"/>
      <c r="C3046" s="77"/>
      <c r="D3046" s="77"/>
      <c r="E3046" s="77"/>
      <c r="F3046" s="77"/>
      <c r="G3046" s="80"/>
    </row>
    <row r="3047">
      <c r="A3047" s="77"/>
      <c r="B3047" s="77"/>
      <c r="C3047" s="77"/>
      <c r="D3047" s="77"/>
      <c r="E3047" s="77"/>
      <c r="F3047" s="77"/>
      <c r="G3047" s="80"/>
    </row>
    <row r="3048">
      <c r="A3048" s="77"/>
      <c r="B3048" s="77"/>
      <c r="C3048" s="77"/>
      <c r="D3048" s="77"/>
      <c r="E3048" s="77"/>
      <c r="F3048" s="77"/>
      <c r="G3048" s="80"/>
    </row>
    <row r="3049">
      <c r="A3049" s="77"/>
      <c r="B3049" s="77"/>
      <c r="C3049" s="77"/>
      <c r="D3049" s="77"/>
      <c r="E3049" s="77"/>
      <c r="F3049" s="77"/>
      <c r="G3049" s="80"/>
    </row>
    <row r="3050">
      <c r="A3050" s="77"/>
      <c r="B3050" s="77"/>
      <c r="C3050" s="77"/>
      <c r="D3050" s="77"/>
      <c r="E3050" s="77"/>
      <c r="F3050" s="77"/>
      <c r="G3050" s="80"/>
    </row>
    <row r="3051">
      <c r="A3051" s="77"/>
      <c r="B3051" s="77"/>
      <c r="C3051" s="77"/>
      <c r="D3051" s="77"/>
      <c r="E3051" s="77"/>
      <c r="F3051" s="77"/>
      <c r="G3051" s="80"/>
    </row>
    <row r="3052">
      <c r="A3052" s="77"/>
      <c r="B3052" s="77"/>
      <c r="C3052" s="77"/>
      <c r="D3052" s="77"/>
      <c r="E3052" s="77"/>
      <c r="F3052" s="77"/>
      <c r="G3052" s="80"/>
    </row>
    <row r="3053">
      <c r="A3053" s="77"/>
      <c r="B3053" s="77"/>
      <c r="C3053" s="77"/>
      <c r="D3053" s="77"/>
      <c r="E3053" s="77"/>
      <c r="F3053" s="77"/>
      <c r="G3053" s="80"/>
    </row>
    <row r="3054">
      <c r="A3054" s="77"/>
      <c r="B3054" s="77"/>
      <c r="C3054" s="77"/>
      <c r="D3054" s="77"/>
      <c r="E3054" s="77"/>
      <c r="F3054" s="77"/>
      <c r="G3054" s="80"/>
    </row>
    <row r="3055">
      <c r="A3055" s="77"/>
      <c r="B3055" s="77"/>
      <c r="C3055" s="77"/>
      <c r="D3055" s="77"/>
      <c r="E3055" s="77"/>
      <c r="F3055" s="77"/>
      <c r="G3055" s="80"/>
    </row>
    <row r="3056">
      <c r="A3056" s="77"/>
      <c r="B3056" s="77"/>
      <c r="C3056" s="77"/>
      <c r="D3056" s="77"/>
      <c r="E3056" s="77"/>
      <c r="F3056" s="77"/>
      <c r="G3056" s="80"/>
    </row>
    <row r="3057">
      <c r="A3057" s="77"/>
      <c r="B3057" s="77"/>
      <c r="C3057" s="77"/>
      <c r="D3057" s="77"/>
      <c r="E3057" s="77"/>
      <c r="F3057" s="77"/>
      <c r="G3057" s="80"/>
    </row>
    <row r="3058">
      <c r="A3058" s="77"/>
      <c r="B3058" s="77"/>
      <c r="C3058" s="77"/>
      <c r="D3058" s="77"/>
      <c r="E3058" s="77"/>
      <c r="F3058" s="77"/>
      <c r="G3058" s="80"/>
    </row>
    <row r="3059">
      <c r="A3059" s="77"/>
      <c r="B3059" s="77"/>
      <c r="C3059" s="77"/>
      <c r="D3059" s="77"/>
      <c r="E3059" s="77"/>
      <c r="F3059" s="77"/>
      <c r="G3059" s="80"/>
    </row>
    <row r="3060">
      <c r="A3060" s="77"/>
      <c r="B3060" s="77"/>
      <c r="C3060" s="77"/>
      <c r="D3060" s="77"/>
      <c r="E3060" s="77"/>
      <c r="F3060" s="77"/>
      <c r="G3060" s="80"/>
    </row>
    <row r="3061">
      <c r="A3061" s="77"/>
      <c r="B3061" s="77"/>
      <c r="C3061" s="77"/>
      <c r="D3061" s="77"/>
      <c r="E3061" s="77"/>
      <c r="F3061" s="77"/>
      <c r="G3061" s="80"/>
    </row>
    <row r="3062">
      <c r="A3062" s="77"/>
      <c r="B3062" s="77"/>
      <c r="C3062" s="77"/>
      <c r="D3062" s="77"/>
      <c r="E3062" s="77"/>
      <c r="F3062" s="77"/>
      <c r="G3062" s="80"/>
    </row>
    <row r="3063">
      <c r="A3063" s="77"/>
      <c r="B3063" s="77"/>
      <c r="C3063" s="77"/>
      <c r="D3063" s="77"/>
      <c r="E3063" s="77"/>
      <c r="F3063" s="77"/>
      <c r="G3063" s="80"/>
    </row>
    <row r="3064">
      <c r="A3064" s="77"/>
      <c r="B3064" s="77"/>
      <c r="C3064" s="77"/>
      <c r="D3064" s="77"/>
      <c r="E3064" s="77"/>
      <c r="F3064" s="77"/>
      <c r="G3064" s="80"/>
    </row>
    <row r="3065">
      <c r="A3065" s="77"/>
      <c r="B3065" s="77"/>
      <c r="C3065" s="77"/>
      <c r="D3065" s="77"/>
      <c r="E3065" s="77"/>
      <c r="F3065" s="77"/>
      <c r="G3065" s="80"/>
    </row>
    <row r="3066">
      <c r="A3066" s="77"/>
      <c r="B3066" s="77"/>
      <c r="C3066" s="77"/>
      <c r="D3066" s="77"/>
      <c r="E3066" s="77"/>
      <c r="F3066" s="77"/>
      <c r="G3066" s="80"/>
    </row>
    <row r="3067">
      <c r="A3067" s="77"/>
      <c r="B3067" s="77"/>
      <c r="C3067" s="77"/>
      <c r="D3067" s="77"/>
      <c r="E3067" s="77"/>
      <c r="F3067" s="77"/>
      <c r="G3067" s="80"/>
    </row>
    <row r="3068">
      <c r="A3068" s="77"/>
      <c r="B3068" s="77"/>
      <c r="C3068" s="77"/>
      <c r="D3068" s="77"/>
      <c r="E3068" s="77"/>
      <c r="F3068" s="77"/>
      <c r="G3068" s="80"/>
    </row>
    <row r="3069">
      <c r="A3069" s="77"/>
      <c r="B3069" s="77"/>
      <c r="C3069" s="77"/>
      <c r="D3069" s="77"/>
      <c r="E3069" s="77"/>
      <c r="F3069" s="77"/>
      <c r="G3069" s="80"/>
    </row>
    <row r="3070">
      <c r="A3070" s="77"/>
      <c r="B3070" s="77"/>
      <c r="C3070" s="77"/>
      <c r="D3070" s="77"/>
      <c r="E3070" s="77"/>
      <c r="F3070" s="77"/>
      <c r="G3070" s="80"/>
    </row>
    <row r="3071">
      <c r="A3071" s="77"/>
      <c r="B3071" s="77"/>
      <c r="C3071" s="77"/>
      <c r="D3071" s="77"/>
      <c r="E3071" s="77"/>
      <c r="F3071" s="77"/>
      <c r="G3071" s="80"/>
    </row>
    <row r="3072">
      <c r="A3072" s="77"/>
      <c r="B3072" s="77"/>
      <c r="C3072" s="77"/>
      <c r="D3072" s="77"/>
      <c r="E3072" s="77"/>
      <c r="F3072" s="77"/>
      <c r="G3072" s="80"/>
    </row>
    <row r="3073">
      <c r="A3073" s="77"/>
      <c r="B3073" s="77"/>
      <c r="C3073" s="77"/>
      <c r="D3073" s="77"/>
      <c r="E3073" s="77"/>
      <c r="F3073" s="77"/>
      <c r="G3073" s="80"/>
    </row>
    <row r="3074">
      <c r="A3074" s="77"/>
      <c r="B3074" s="77"/>
      <c r="C3074" s="77"/>
      <c r="D3074" s="77"/>
      <c r="E3074" s="77"/>
      <c r="F3074" s="77"/>
      <c r="G3074" s="80"/>
    </row>
    <row r="3075">
      <c r="A3075" s="77"/>
      <c r="B3075" s="77"/>
      <c r="C3075" s="77"/>
      <c r="D3075" s="77"/>
      <c r="E3075" s="77"/>
      <c r="F3075" s="77"/>
      <c r="G3075" s="80"/>
    </row>
    <row r="3076">
      <c r="A3076" s="77"/>
      <c r="B3076" s="77"/>
      <c r="C3076" s="77"/>
      <c r="D3076" s="77"/>
      <c r="E3076" s="77"/>
      <c r="F3076" s="77"/>
      <c r="G3076" s="80"/>
    </row>
    <row r="3077">
      <c r="A3077" s="77"/>
      <c r="B3077" s="77"/>
      <c r="C3077" s="77"/>
      <c r="D3077" s="77"/>
      <c r="E3077" s="77"/>
      <c r="F3077" s="77"/>
      <c r="G3077" s="80"/>
    </row>
    <row r="3078">
      <c r="A3078" s="77"/>
      <c r="B3078" s="77"/>
      <c r="C3078" s="77"/>
      <c r="D3078" s="77"/>
      <c r="E3078" s="77"/>
      <c r="F3078" s="77"/>
      <c r="G3078" s="80"/>
    </row>
    <row r="3079">
      <c r="A3079" s="77"/>
      <c r="B3079" s="77"/>
      <c r="C3079" s="77"/>
      <c r="D3079" s="77"/>
      <c r="E3079" s="77"/>
      <c r="F3079" s="77"/>
      <c r="G3079" s="80"/>
    </row>
    <row r="3080">
      <c r="A3080" s="77"/>
      <c r="B3080" s="77"/>
      <c r="C3080" s="77"/>
      <c r="D3080" s="77"/>
      <c r="E3080" s="77"/>
      <c r="F3080" s="77"/>
      <c r="G3080" s="80"/>
    </row>
    <row r="3081">
      <c r="A3081" s="77"/>
      <c r="B3081" s="77"/>
      <c r="C3081" s="77"/>
      <c r="D3081" s="77"/>
      <c r="E3081" s="77"/>
      <c r="F3081" s="77"/>
      <c r="G3081" s="80"/>
    </row>
    <row r="3082">
      <c r="A3082" s="77"/>
      <c r="B3082" s="77"/>
      <c r="C3082" s="77"/>
      <c r="D3082" s="77"/>
      <c r="E3082" s="77"/>
      <c r="F3082" s="77"/>
      <c r="G3082" s="80"/>
    </row>
    <row r="3083">
      <c r="A3083" s="77"/>
      <c r="B3083" s="77"/>
      <c r="C3083" s="77"/>
      <c r="D3083" s="77"/>
      <c r="E3083" s="77"/>
      <c r="F3083" s="77"/>
      <c r="G3083" s="80"/>
    </row>
    <row r="3084">
      <c r="A3084" s="77"/>
      <c r="B3084" s="77"/>
      <c r="C3084" s="77"/>
      <c r="D3084" s="77"/>
      <c r="E3084" s="77"/>
      <c r="F3084" s="77"/>
      <c r="G3084" s="80"/>
    </row>
    <row r="3085">
      <c r="A3085" s="77"/>
      <c r="B3085" s="77"/>
      <c r="C3085" s="77"/>
      <c r="D3085" s="77"/>
      <c r="E3085" s="77"/>
      <c r="F3085" s="77"/>
      <c r="G3085" s="80"/>
    </row>
    <row r="3086">
      <c r="A3086" s="77"/>
      <c r="B3086" s="77"/>
      <c r="C3086" s="77"/>
      <c r="D3086" s="77"/>
      <c r="E3086" s="77"/>
      <c r="F3086" s="77"/>
      <c r="G3086" s="80"/>
    </row>
    <row r="3087">
      <c r="A3087" s="77"/>
      <c r="B3087" s="77"/>
      <c r="C3087" s="77"/>
      <c r="D3087" s="77"/>
      <c r="E3087" s="77"/>
      <c r="F3087" s="77"/>
      <c r="G3087" s="80"/>
    </row>
    <row r="3088">
      <c r="A3088" s="77"/>
      <c r="B3088" s="77"/>
      <c r="C3088" s="77"/>
      <c r="D3088" s="77"/>
      <c r="E3088" s="77"/>
      <c r="F3088" s="77"/>
      <c r="G3088" s="80"/>
    </row>
    <row r="3089">
      <c r="A3089" s="77"/>
      <c r="B3089" s="77"/>
      <c r="C3089" s="77"/>
      <c r="D3089" s="77"/>
      <c r="E3089" s="77"/>
      <c r="F3089" s="77"/>
      <c r="G3089" s="80"/>
    </row>
    <row r="3090">
      <c r="A3090" s="77"/>
      <c r="B3090" s="77"/>
      <c r="C3090" s="77"/>
      <c r="D3090" s="77"/>
      <c r="E3090" s="77"/>
      <c r="F3090" s="77"/>
      <c r="G3090" s="80"/>
    </row>
    <row r="3091">
      <c r="A3091" s="77"/>
      <c r="B3091" s="77"/>
      <c r="C3091" s="77"/>
      <c r="D3091" s="77"/>
      <c r="E3091" s="77"/>
      <c r="F3091" s="77"/>
      <c r="G3091" s="80"/>
    </row>
    <row r="3092">
      <c r="A3092" s="77"/>
      <c r="B3092" s="77"/>
      <c r="C3092" s="77"/>
      <c r="D3092" s="77"/>
      <c r="E3092" s="77"/>
      <c r="F3092" s="77"/>
      <c r="G3092" s="80"/>
    </row>
    <row r="3093">
      <c r="A3093" s="77"/>
      <c r="B3093" s="77"/>
      <c r="C3093" s="77"/>
      <c r="D3093" s="77"/>
      <c r="E3093" s="77"/>
      <c r="F3093" s="77"/>
      <c r="G3093" s="80"/>
    </row>
    <row r="3094">
      <c r="A3094" s="77"/>
      <c r="B3094" s="77"/>
      <c r="C3094" s="77"/>
      <c r="D3094" s="77"/>
      <c r="E3094" s="77"/>
      <c r="F3094" s="77"/>
      <c r="G3094" s="80"/>
    </row>
    <row r="3095">
      <c r="A3095" s="77"/>
      <c r="B3095" s="77"/>
      <c r="C3095" s="77"/>
      <c r="D3095" s="77"/>
      <c r="E3095" s="77"/>
      <c r="F3095" s="77"/>
      <c r="G3095" s="80"/>
    </row>
    <row r="3096">
      <c r="A3096" s="77"/>
      <c r="B3096" s="77"/>
      <c r="C3096" s="77"/>
      <c r="D3096" s="77"/>
      <c r="E3096" s="77"/>
      <c r="F3096" s="77"/>
      <c r="G3096" s="80"/>
    </row>
    <row r="3097">
      <c r="A3097" s="77"/>
      <c r="B3097" s="77"/>
      <c r="C3097" s="77"/>
      <c r="D3097" s="77"/>
      <c r="E3097" s="77"/>
      <c r="F3097" s="77"/>
      <c r="G3097" s="80"/>
    </row>
    <row r="3098">
      <c r="A3098" s="77"/>
      <c r="B3098" s="77"/>
      <c r="C3098" s="77"/>
      <c r="D3098" s="77"/>
      <c r="E3098" s="77"/>
      <c r="F3098" s="77"/>
      <c r="G3098" s="80"/>
    </row>
    <row r="3099">
      <c r="A3099" s="77"/>
      <c r="B3099" s="77"/>
      <c r="C3099" s="77"/>
      <c r="D3099" s="77"/>
      <c r="E3099" s="77"/>
      <c r="F3099" s="77"/>
      <c r="G3099" s="80"/>
    </row>
    <row r="3100">
      <c r="A3100" s="77"/>
      <c r="B3100" s="77"/>
      <c r="C3100" s="77"/>
      <c r="D3100" s="77"/>
      <c r="E3100" s="77"/>
      <c r="F3100" s="77"/>
      <c r="G3100" s="80"/>
    </row>
    <row r="3101">
      <c r="A3101" s="77"/>
      <c r="B3101" s="77"/>
      <c r="C3101" s="77"/>
      <c r="D3101" s="77"/>
      <c r="E3101" s="77"/>
      <c r="F3101" s="77"/>
      <c r="G3101" s="80"/>
    </row>
    <row r="3102">
      <c r="A3102" s="77"/>
      <c r="B3102" s="77"/>
      <c r="C3102" s="77"/>
      <c r="D3102" s="77"/>
      <c r="E3102" s="77"/>
      <c r="F3102" s="77"/>
      <c r="G3102" s="80"/>
    </row>
    <row r="3103">
      <c r="A3103" s="77"/>
      <c r="B3103" s="77"/>
      <c r="C3103" s="77"/>
      <c r="D3103" s="77"/>
      <c r="E3103" s="77"/>
      <c r="F3103" s="77"/>
      <c r="G3103" s="80"/>
    </row>
    <row r="3104">
      <c r="A3104" s="77"/>
      <c r="B3104" s="77"/>
      <c r="C3104" s="77"/>
      <c r="D3104" s="77"/>
      <c r="E3104" s="77"/>
      <c r="F3104" s="77"/>
      <c r="G3104" s="80"/>
    </row>
    <row r="3105">
      <c r="A3105" s="77"/>
      <c r="B3105" s="77"/>
      <c r="C3105" s="77"/>
      <c r="D3105" s="77"/>
      <c r="E3105" s="77"/>
      <c r="F3105" s="77"/>
      <c r="G3105" s="80"/>
    </row>
    <row r="3106">
      <c r="A3106" s="77"/>
      <c r="B3106" s="77"/>
      <c r="C3106" s="77"/>
      <c r="D3106" s="77"/>
      <c r="E3106" s="77"/>
      <c r="F3106" s="77"/>
      <c r="G3106" s="80"/>
    </row>
    <row r="3107">
      <c r="A3107" s="77"/>
      <c r="B3107" s="77"/>
      <c r="C3107" s="77"/>
      <c r="D3107" s="77"/>
      <c r="E3107" s="77"/>
      <c r="F3107" s="77"/>
      <c r="G3107" s="80"/>
    </row>
    <row r="3108">
      <c r="A3108" s="77"/>
      <c r="B3108" s="77"/>
      <c r="C3108" s="77"/>
      <c r="D3108" s="77"/>
      <c r="E3108" s="77"/>
      <c r="F3108" s="77"/>
      <c r="G3108" s="80"/>
    </row>
    <row r="3109">
      <c r="A3109" s="77"/>
      <c r="B3109" s="77"/>
      <c r="C3109" s="77"/>
      <c r="D3109" s="77"/>
      <c r="E3109" s="77"/>
      <c r="F3109" s="77"/>
      <c r="G3109" s="80"/>
    </row>
    <row r="3110">
      <c r="A3110" s="77"/>
      <c r="B3110" s="77"/>
      <c r="C3110" s="77"/>
      <c r="D3110" s="77"/>
      <c r="E3110" s="77"/>
      <c r="F3110" s="77"/>
      <c r="G3110" s="80"/>
    </row>
    <row r="3111">
      <c r="A3111" s="77"/>
      <c r="B3111" s="77"/>
      <c r="C3111" s="77"/>
      <c r="D3111" s="77"/>
      <c r="E3111" s="77"/>
      <c r="F3111" s="77"/>
      <c r="G3111" s="80"/>
    </row>
    <row r="3112">
      <c r="A3112" s="77"/>
      <c r="B3112" s="77"/>
      <c r="C3112" s="77"/>
      <c r="D3112" s="77"/>
      <c r="E3112" s="77"/>
      <c r="F3112" s="77"/>
      <c r="G3112" s="80"/>
    </row>
    <row r="3113">
      <c r="A3113" s="77"/>
      <c r="B3113" s="77"/>
      <c r="C3113" s="77"/>
      <c r="D3113" s="77"/>
      <c r="E3113" s="77"/>
      <c r="F3113" s="77"/>
      <c r="G3113" s="80"/>
    </row>
    <row r="3114">
      <c r="A3114" s="77"/>
      <c r="B3114" s="77"/>
      <c r="C3114" s="77"/>
      <c r="D3114" s="77"/>
      <c r="E3114" s="77"/>
      <c r="F3114" s="77"/>
      <c r="G3114" s="80"/>
    </row>
    <row r="3115">
      <c r="A3115" s="77"/>
      <c r="B3115" s="77"/>
      <c r="C3115" s="77"/>
      <c r="D3115" s="77"/>
      <c r="E3115" s="77"/>
      <c r="F3115" s="77"/>
      <c r="G3115" s="80"/>
    </row>
    <row r="3116">
      <c r="A3116" s="77"/>
      <c r="B3116" s="77"/>
      <c r="C3116" s="77"/>
      <c r="D3116" s="77"/>
      <c r="E3116" s="77"/>
      <c r="F3116" s="77"/>
      <c r="G3116" s="80"/>
    </row>
    <row r="3117">
      <c r="A3117" s="77"/>
      <c r="B3117" s="77"/>
      <c r="C3117" s="77"/>
      <c r="D3117" s="77"/>
      <c r="E3117" s="77"/>
      <c r="F3117" s="77"/>
      <c r="G3117" s="80"/>
    </row>
    <row r="3118">
      <c r="A3118" s="77"/>
      <c r="B3118" s="77"/>
      <c r="C3118" s="77"/>
      <c r="D3118" s="77"/>
      <c r="E3118" s="77"/>
      <c r="F3118" s="77"/>
      <c r="G3118" s="80"/>
    </row>
    <row r="3119">
      <c r="A3119" s="77"/>
      <c r="B3119" s="77"/>
      <c r="C3119" s="77"/>
      <c r="D3119" s="77"/>
      <c r="E3119" s="77"/>
      <c r="F3119" s="77"/>
      <c r="G3119" s="80"/>
    </row>
    <row r="3120">
      <c r="A3120" s="77"/>
      <c r="B3120" s="77"/>
      <c r="C3120" s="77"/>
      <c r="D3120" s="77"/>
      <c r="E3120" s="77"/>
      <c r="F3120" s="77"/>
      <c r="G3120" s="80"/>
    </row>
    <row r="3121">
      <c r="A3121" s="77"/>
      <c r="B3121" s="77"/>
      <c r="C3121" s="77"/>
      <c r="D3121" s="77"/>
      <c r="E3121" s="77"/>
      <c r="F3121" s="77"/>
      <c r="G3121" s="80"/>
    </row>
    <row r="3122">
      <c r="A3122" s="77"/>
      <c r="B3122" s="77"/>
      <c r="C3122" s="77"/>
      <c r="D3122" s="77"/>
      <c r="E3122" s="77"/>
      <c r="F3122" s="77"/>
      <c r="G3122" s="80"/>
    </row>
    <row r="3123">
      <c r="A3123" s="77"/>
      <c r="B3123" s="77"/>
      <c r="C3123" s="77"/>
      <c r="D3123" s="77"/>
      <c r="E3123" s="77"/>
      <c r="F3123" s="77"/>
      <c r="G3123" s="80"/>
    </row>
    <row r="3124">
      <c r="A3124" s="77"/>
      <c r="B3124" s="77"/>
      <c r="C3124" s="77"/>
      <c r="D3124" s="77"/>
      <c r="E3124" s="77"/>
      <c r="F3124" s="77"/>
      <c r="G3124" s="80"/>
    </row>
    <row r="3125">
      <c r="A3125" s="77"/>
      <c r="B3125" s="77"/>
      <c r="C3125" s="77"/>
      <c r="D3125" s="77"/>
      <c r="E3125" s="77"/>
      <c r="F3125" s="77"/>
      <c r="G3125" s="80"/>
    </row>
    <row r="3126">
      <c r="A3126" s="77"/>
      <c r="B3126" s="77"/>
      <c r="C3126" s="77"/>
      <c r="D3126" s="77"/>
      <c r="E3126" s="77"/>
      <c r="F3126" s="77"/>
      <c r="G3126" s="80"/>
    </row>
    <row r="3127">
      <c r="A3127" s="77"/>
      <c r="B3127" s="77"/>
      <c r="C3127" s="77"/>
      <c r="D3127" s="77"/>
      <c r="E3127" s="77"/>
      <c r="F3127" s="77"/>
      <c r="G3127" s="80"/>
    </row>
    <row r="3128">
      <c r="A3128" s="77"/>
      <c r="B3128" s="77"/>
      <c r="C3128" s="77"/>
      <c r="D3128" s="77"/>
      <c r="E3128" s="77"/>
      <c r="F3128" s="77"/>
      <c r="G3128" s="80"/>
    </row>
    <row r="3129">
      <c r="A3129" s="77"/>
      <c r="B3129" s="77"/>
      <c r="C3129" s="77"/>
      <c r="D3129" s="77"/>
      <c r="E3129" s="77"/>
      <c r="F3129" s="77"/>
      <c r="G3129" s="80"/>
    </row>
    <row r="3130">
      <c r="A3130" s="77"/>
      <c r="B3130" s="77"/>
      <c r="C3130" s="77"/>
      <c r="D3130" s="77"/>
      <c r="E3130" s="77"/>
      <c r="F3130" s="77"/>
      <c r="G3130" s="80"/>
    </row>
    <row r="3131">
      <c r="A3131" s="77"/>
      <c r="B3131" s="77"/>
      <c r="C3131" s="77"/>
      <c r="D3131" s="77"/>
      <c r="E3131" s="77"/>
      <c r="F3131" s="77"/>
      <c r="G3131" s="80"/>
    </row>
    <row r="3132">
      <c r="A3132" s="77"/>
      <c r="B3132" s="77"/>
      <c r="C3132" s="77"/>
      <c r="D3132" s="77"/>
      <c r="E3132" s="77"/>
      <c r="F3132" s="77"/>
      <c r="G3132" s="80"/>
    </row>
    <row r="3133">
      <c r="A3133" s="77"/>
      <c r="B3133" s="77"/>
      <c r="C3133" s="77"/>
      <c r="D3133" s="77"/>
      <c r="E3133" s="77"/>
      <c r="F3133" s="77"/>
      <c r="G3133" s="80"/>
    </row>
    <row r="3134">
      <c r="A3134" s="77"/>
      <c r="B3134" s="77"/>
      <c r="C3134" s="77"/>
      <c r="D3134" s="77"/>
      <c r="E3134" s="77"/>
      <c r="F3134" s="77"/>
      <c r="G3134" s="80"/>
    </row>
    <row r="3135">
      <c r="A3135" s="77"/>
      <c r="B3135" s="77"/>
      <c r="C3135" s="77"/>
      <c r="D3135" s="77"/>
      <c r="E3135" s="77"/>
      <c r="F3135" s="77"/>
      <c r="G3135" s="80"/>
    </row>
    <row r="3136">
      <c r="A3136" s="77"/>
      <c r="B3136" s="77"/>
      <c r="C3136" s="77"/>
      <c r="D3136" s="77"/>
      <c r="E3136" s="77"/>
      <c r="F3136" s="77"/>
      <c r="G3136" s="80"/>
    </row>
    <row r="3137">
      <c r="A3137" s="77"/>
      <c r="B3137" s="77"/>
      <c r="C3137" s="77"/>
      <c r="D3137" s="77"/>
      <c r="E3137" s="77"/>
      <c r="F3137" s="77"/>
      <c r="G3137" s="80"/>
    </row>
    <row r="3138">
      <c r="A3138" s="77"/>
      <c r="B3138" s="77"/>
      <c r="C3138" s="77"/>
      <c r="D3138" s="77"/>
      <c r="E3138" s="77"/>
      <c r="F3138" s="77"/>
      <c r="G3138" s="80"/>
    </row>
    <row r="3139">
      <c r="A3139" s="77"/>
      <c r="B3139" s="77"/>
      <c r="C3139" s="77"/>
      <c r="D3139" s="77"/>
      <c r="E3139" s="77"/>
      <c r="F3139" s="77"/>
      <c r="G3139" s="80"/>
    </row>
    <row r="3140">
      <c r="A3140" s="77"/>
      <c r="B3140" s="77"/>
      <c r="C3140" s="77"/>
      <c r="D3140" s="77"/>
      <c r="E3140" s="77"/>
      <c r="F3140" s="77"/>
      <c r="G3140" s="80"/>
    </row>
    <row r="3141">
      <c r="A3141" s="77"/>
      <c r="B3141" s="77"/>
      <c r="C3141" s="77"/>
      <c r="D3141" s="77"/>
      <c r="E3141" s="77"/>
      <c r="F3141" s="77"/>
      <c r="G3141" s="80"/>
    </row>
    <row r="3142">
      <c r="A3142" s="77"/>
      <c r="B3142" s="77"/>
      <c r="C3142" s="77"/>
      <c r="D3142" s="77"/>
      <c r="E3142" s="77"/>
      <c r="F3142" s="77"/>
      <c r="G3142" s="80"/>
    </row>
    <row r="3143">
      <c r="A3143" s="77"/>
      <c r="B3143" s="77"/>
      <c r="C3143" s="77"/>
      <c r="D3143" s="77"/>
      <c r="E3143" s="77"/>
      <c r="F3143" s="77"/>
      <c r="G3143" s="80"/>
    </row>
    <row r="3144">
      <c r="A3144" s="77"/>
      <c r="B3144" s="77"/>
      <c r="C3144" s="77"/>
      <c r="D3144" s="77"/>
      <c r="E3144" s="77"/>
      <c r="F3144" s="77"/>
      <c r="G3144" s="80"/>
    </row>
    <row r="3145">
      <c r="A3145" s="77"/>
      <c r="B3145" s="77"/>
      <c r="C3145" s="77"/>
      <c r="D3145" s="77"/>
      <c r="E3145" s="77"/>
      <c r="F3145" s="77"/>
      <c r="G3145" s="80"/>
    </row>
    <row r="3146">
      <c r="A3146" s="77"/>
      <c r="B3146" s="77"/>
      <c r="C3146" s="77"/>
      <c r="D3146" s="77"/>
      <c r="E3146" s="77"/>
      <c r="F3146" s="77"/>
      <c r="G3146" s="80"/>
    </row>
    <row r="3147">
      <c r="A3147" s="77"/>
      <c r="B3147" s="77"/>
      <c r="C3147" s="77"/>
      <c r="D3147" s="77"/>
      <c r="E3147" s="77"/>
      <c r="F3147" s="77"/>
      <c r="G3147" s="80"/>
    </row>
    <row r="3148">
      <c r="A3148" s="77"/>
      <c r="B3148" s="77"/>
      <c r="C3148" s="77"/>
      <c r="D3148" s="77"/>
      <c r="E3148" s="77"/>
      <c r="F3148" s="77"/>
      <c r="G3148" s="80"/>
    </row>
    <row r="3149">
      <c r="A3149" s="77"/>
      <c r="B3149" s="77"/>
      <c r="C3149" s="77"/>
      <c r="D3149" s="77"/>
      <c r="E3149" s="77"/>
      <c r="F3149" s="77"/>
      <c r="G3149" s="80"/>
    </row>
    <row r="3150">
      <c r="A3150" s="77"/>
      <c r="B3150" s="77"/>
      <c r="C3150" s="77"/>
      <c r="D3150" s="77"/>
      <c r="E3150" s="77"/>
      <c r="F3150" s="77"/>
      <c r="G3150" s="80"/>
    </row>
    <row r="3151">
      <c r="A3151" s="77"/>
      <c r="B3151" s="77"/>
      <c r="C3151" s="77"/>
      <c r="D3151" s="77"/>
      <c r="E3151" s="77"/>
      <c r="F3151" s="77"/>
      <c r="G3151" s="80"/>
    </row>
    <row r="3152">
      <c r="A3152" s="77"/>
      <c r="B3152" s="77"/>
      <c r="C3152" s="77"/>
      <c r="D3152" s="77"/>
      <c r="E3152" s="77"/>
      <c r="F3152" s="77"/>
      <c r="G3152" s="80"/>
    </row>
    <row r="3153">
      <c r="A3153" s="77"/>
      <c r="B3153" s="77"/>
      <c r="C3153" s="77"/>
      <c r="D3153" s="77"/>
      <c r="E3153" s="77"/>
      <c r="F3153" s="77"/>
      <c r="G3153" s="80"/>
    </row>
    <row r="3154">
      <c r="A3154" s="77"/>
      <c r="B3154" s="77"/>
      <c r="C3154" s="77"/>
      <c r="D3154" s="77"/>
      <c r="E3154" s="77"/>
      <c r="F3154" s="77"/>
      <c r="G3154" s="80"/>
    </row>
    <row r="3155">
      <c r="A3155" s="77"/>
      <c r="B3155" s="77"/>
      <c r="C3155" s="77"/>
      <c r="D3155" s="77"/>
      <c r="E3155" s="77"/>
      <c r="F3155" s="77"/>
      <c r="G3155" s="80"/>
    </row>
    <row r="3156">
      <c r="A3156" s="77"/>
      <c r="B3156" s="77"/>
      <c r="C3156" s="77"/>
      <c r="D3156" s="77"/>
      <c r="E3156" s="77"/>
      <c r="F3156" s="77"/>
      <c r="G3156" s="80"/>
    </row>
    <row r="3157">
      <c r="A3157" s="77"/>
      <c r="B3157" s="77"/>
      <c r="C3157" s="77"/>
      <c r="D3157" s="77"/>
      <c r="E3157" s="77"/>
      <c r="F3157" s="77"/>
      <c r="G3157" s="80"/>
    </row>
    <row r="3158">
      <c r="A3158" s="77"/>
      <c r="B3158" s="77"/>
      <c r="C3158" s="77"/>
      <c r="D3158" s="77"/>
      <c r="E3158" s="77"/>
      <c r="F3158" s="77"/>
      <c r="G3158" s="80"/>
    </row>
    <row r="3159">
      <c r="A3159" s="77"/>
      <c r="B3159" s="77"/>
      <c r="C3159" s="77"/>
      <c r="D3159" s="77"/>
      <c r="E3159" s="77"/>
      <c r="F3159" s="77"/>
      <c r="G3159" s="80"/>
    </row>
    <row r="3160">
      <c r="A3160" s="77"/>
      <c r="B3160" s="77"/>
      <c r="C3160" s="77"/>
      <c r="D3160" s="77"/>
      <c r="E3160" s="77"/>
      <c r="F3160" s="77"/>
      <c r="G3160" s="80"/>
    </row>
    <row r="3161">
      <c r="A3161" s="77"/>
      <c r="B3161" s="77"/>
      <c r="C3161" s="77"/>
      <c r="D3161" s="77"/>
      <c r="E3161" s="77"/>
      <c r="F3161" s="77"/>
      <c r="G3161" s="80"/>
    </row>
    <row r="3162">
      <c r="A3162" s="77"/>
      <c r="B3162" s="77"/>
      <c r="C3162" s="77"/>
      <c r="D3162" s="77"/>
      <c r="E3162" s="77"/>
      <c r="F3162" s="77"/>
      <c r="G3162" s="80"/>
    </row>
    <row r="3163">
      <c r="A3163" s="77"/>
      <c r="B3163" s="77"/>
      <c r="C3163" s="77"/>
      <c r="D3163" s="77"/>
      <c r="E3163" s="77"/>
      <c r="F3163" s="77"/>
      <c r="G3163" s="80"/>
    </row>
    <row r="3164">
      <c r="A3164" s="77"/>
      <c r="B3164" s="77"/>
      <c r="C3164" s="77"/>
      <c r="D3164" s="77"/>
      <c r="E3164" s="77"/>
      <c r="F3164" s="77"/>
      <c r="G3164" s="80"/>
    </row>
    <row r="3165">
      <c r="A3165" s="77"/>
      <c r="B3165" s="77"/>
      <c r="C3165" s="77"/>
      <c r="D3165" s="77"/>
      <c r="E3165" s="77"/>
      <c r="F3165" s="77"/>
      <c r="G3165" s="80"/>
    </row>
    <row r="3166">
      <c r="A3166" s="77"/>
      <c r="B3166" s="77"/>
      <c r="C3166" s="77"/>
      <c r="D3166" s="77"/>
      <c r="E3166" s="77"/>
      <c r="F3166" s="77"/>
      <c r="G3166" s="80"/>
    </row>
    <row r="3167">
      <c r="A3167" s="77"/>
      <c r="B3167" s="77"/>
      <c r="C3167" s="77"/>
      <c r="D3167" s="77"/>
      <c r="E3167" s="77"/>
      <c r="F3167" s="77"/>
      <c r="G3167" s="80"/>
    </row>
    <row r="3168">
      <c r="A3168" s="77"/>
      <c r="B3168" s="77"/>
      <c r="C3168" s="77"/>
      <c r="D3168" s="77"/>
      <c r="E3168" s="77"/>
      <c r="F3168" s="77"/>
      <c r="G3168" s="80"/>
    </row>
    <row r="3169">
      <c r="A3169" s="77"/>
      <c r="B3169" s="77"/>
      <c r="C3169" s="77"/>
      <c r="D3169" s="77"/>
      <c r="E3169" s="77"/>
      <c r="F3169" s="77"/>
      <c r="G3169" s="80"/>
    </row>
    <row r="3170">
      <c r="A3170" s="77"/>
      <c r="B3170" s="77"/>
      <c r="C3170" s="77"/>
      <c r="D3170" s="77"/>
      <c r="E3170" s="77"/>
      <c r="F3170" s="77"/>
      <c r="G3170" s="80"/>
    </row>
    <row r="3171">
      <c r="A3171" s="77"/>
      <c r="B3171" s="77"/>
      <c r="C3171" s="77"/>
      <c r="D3171" s="77"/>
      <c r="E3171" s="77"/>
      <c r="F3171" s="77"/>
      <c r="G3171" s="80"/>
    </row>
    <row r="3172">
      <c r="A3172" s="77"/>
      <c r="B3172" s="77"/>
      <c r="C3172" s="77"/>
      <c r="D3172" s="77"/>
      <c r="E3172" s="77"/>
      <c r="F3172" s="77"/>
      <c r="G3172" s="80"/>
    </row>
    <row r="3173">
      <c r="A3173" s="77"/>
      <c r="B3173" s="77"/>
      <c r="C3173" s="77"/>
      <c r="D3173" s="77"/>
      <c r="E3173" s="77"/>
      <c r="F3173" s="77"/>
      <c r="G3173" s="80"/>
    </row>
    <row r="3174">
      <c r="A3174" s="77"/>
      <c r="B3174" s="77"/>
      <c r="C3174" s="77"/>
      <c r="D3174" s="77"/>
      <c r="E3174" s="77"/>
      <c r="F3174" s="77"/>
      <c r="G3174" s="80"/>
    </row>
    <row r="3175">
      <c r="A3175" s="77"/>
      <c r="B3175" s="77"/>
      <c r="C3175" s="77"/>
      <c r="D3175" s="77"/>
      <c r="E3175" s="77"/>
      <c r="F3175" s="77"/>
      <c r="G3175" s="80"/>
    </row>
    <row r="3176">
      <c r="A3176" s="77"/>
      <c r="B3176" s="77"/>
      <c r="C3176" s="77"/>
      <c r="D3176" s="77"/>
      <c r="E3176" s="77"/>
      <c r="F3176" s="77"/>
      <c r="G3176" s="80"/>
    </row>
    <row r="3177">
      <c r="A3177" s="77"/>
      <c r="B3177" s="77"/>
      <c r="C3177" s="77"/>
      <c r="D3177" s="77"/>
      <c r="E3177" s="77"/>
      <c r="F3177" s="77"/>
      <c r="G3177" s="80"/>
    </row>
    <row r="3178">
      <c r="A3178" s="77"/>
      <c r="B3178" s="77"/>
      <c r="C3178" s="77"/>
      <c r="D3178" s="77"/>
      <c r="E3178" s="77"/>
      <c r="F3178" s="77"/>
      <c r="G3178" s="80"/>
    </row>
    <row r="3179">
      <c r="A3179" s="77"/>
      <c r="B3179" s="77"/>
      <c r="C3179" s="77"/>
      <c r="D3179" s="77"/>
      <c r="E3179" s="77"/>
      <c r="F3179" s="77"/>
      <c r="G3179" s="80"/>
    </row>
    <row r="3180">
      <c r="A3180" s="77"/>
      <c r="B3180" s="77"/>
      <c r="C3180" s="77"/>
      <c r="D3180" s="77"/>
      <c r="E3180" s="77"/>
      <c r="F3180" s="77"/>
      <c r="G3180" s="80"/>
    </row>
    <row r="3181">
      <c r="A3181" s="77"/>
      <c r="B3181" s="77"/>
      <c r="C3181" s="77"/>
      <c r="D3181" s="77"/>
      <c r="E3181" s="77"/>
      <c r="F3181" s="77"/>
      <c r="G3181" s="80"/>
    </row>
    <row r="3182">
      <c r="A3182" s="77"/>
      <c r="B3182" s="77"/>
      <c r="C3182" s="77"/>
      <c r="D3182" s="77"/>
      <c r="E3182" s="77"/>
      <c r="F3182" s="77"/>
      <c r="G3182" s="80"/>
    </row>
    <row r="3183">
      <c r="A3183" s="77"/>
      <c r="B3183" s="77"/>
      <c r="C3183" s="77"/>
      <c r="D3183" s="77"/>
      <c r="E3183" s="77"/>
      <c r="F3183" s="77"/>
      <c r="G3183" s="80"/>
    </row>
    <row r="3184">
      <c r="A3184" s="77"/>
      <c r="B3184" s="77"/>
      <c r="C3184" s="77"/>
      <c r="D3184" s="77"/>
      <c r="E3184" s="77"/>
      <c r="F3184" s="77"/>
      <c r="G3184" s="80"/>
    </row>
    <row r="3185">
      <c r="A3185" s="77"/>
      <c r="B3185" s="77"/>
      <c r="C3185" s="77"/>
      <c r="D3185" s="77"/>
      <c r="E3185" s="77"/>
      <c r="F3185" s="77"/>
      <c r="G3185" s="80"/>
    </row>
    <row r="3186">
      <c r="A3186" s="77"/>
      <c r="B3186" s="77"/>
      <c r="C3186" s="77"/>
      <c r="D3186" s="77"/>
      <c r="E3186" s="77"/>
      <c r="F3186" s="77"/>
      <c r="G3186" s="80"/>
    </row>
    <row r="3187">
      <c r="A3187" s="77"/>
      <c r="B3187" s="77"/>
      <c r="C3187" s="77"/>
      <c r="D3187" s="77"/>
      <c r="E3187" s="77"/>
      <c r="F3187" s="77"/>
      <c r="G3187" s="80"/>
    </row>
    <row r="3188">
      <c r="A3188" s="77"/>
      <c r="B3188" s="77"/>
      <c r="C3188" s="77"/>
      <c r="D3188" s="77"/>
      <c r="E3188" s="77"/>
      <c r="F3188" s="77"/>
      <c r="G3188" s="80"/>
    </row>
    <row r="3189">
      <c r="A3189" s="77"/>
      <c r="B3189" s="77"/>
      <c r="C3189" s="77"/>
      <c r="D3189" s="77"/>
      <c r="E3189" s="77"/>
      <c r="F3189" s="77"/>
      <c r="G3189" s="80"/>
    </row>
    <row r="3190">
      <c r="A3190" s="77"/>
      <c r="B3190" s="77"/>
      <c r="C3190" s="77"/>
      <c r="D3190" s="77"/>
      <c r="E3190" s="77"/>
      <c r="F3190" s="77"/>
      <c r="G3190" s="80"/>
    </row>
    <row r="3191">
      <c r="A3191" s="77"/>
      <c r="B3191" s="77"/>
      <c r="C3191" s="77"/>
      <c r="D3191" s="77"/>
      <c r="E3191" s="77"/>
      <c r="F3191" s="77"/>
      <c r="G3191" s="80"/>
    </row>
    <row r="3192">
      <c r="A3192" s="77"/>
      <c r="B3192" s="77"/>
      <c r="C3192" s="77"/>
      <c r="D3192" s="77"/>
      <c r="E3192" s="77"/>
      <c r="F3192" s="77"/>
      <c r="G3192" s="80"/>
    </row>
    <row r="3193">
      <c r="A3193" s="77"/>
      <c r="B3193" s="77"/>
      <c r="C3193" s="77"/>
      <c r="D3193" s="77"/>
      <c r="E3193" s="77"/>
      <c r="F3193" s="77"/>
      <c r="G3193" s="80"/>
    </row>
    <row r="3194">
      <c r="A3194" s="77"/>
      <c r="B3194" s="77"/>
      <c r="C3194" s="77"/>
      <c r="D3194" s="77"/>
      <c r="E3194" s="77"/>
      <c r="F3194" s="77"/>
      <c r="G3194" s="80"/>
    </row>
    <row r="3195">
      <c r="A3195" s="77"/>
      <c r="B3195" s="77"/>
      <c r="C3195" s="77"/>
      <c r="D3195" s="77"/>
      <c r="E3195" s="77"/>
      <c r="F3195" s="77"/>
      <c r="G3195" s="80"/>
    </row>
    <row r="3196">
      <c r="A3196" s="77"/>
      <c r="B3196" s="77"/>
      <c r="C3196" s="77"/>
      <c r="D3196" s="77"/>
      <c r="E3196" s="77"/>
      <c r="F3196" s="77"/>
      <c r="G3196" s="80"/>
    </row>
    <row r="3197">
      <c r="A3197" s="77"/>
      <c r="B3197" s="77"/>
      <c r="C3197" s="77"/>
      <c r="D3197" s="77"/>
      <c r="E3197" s="77"/>
      <c r="F3197" s="77"/>
      <c r="G3197" s="80"/>
    </row>
    <row r="3198">
      <c r="A3198" s="77"/>
      <c r="B3198" s="77"/>
      <c r="C3198" s="77"/>
      <c r="D3198" s="77"/>
      <c r="E3198" s="77"/>
      <c r="F3198" s="77"/>
      <c r="G3198" s="80"/>
    </row>
    <row r="3199">
      <c r="A3199" s="77"/>
      <c r="B3199" s="77"/>
      <c r="C3199" s="77"/>
      <c r="D3199" s="77"/>
      <c r="E3199" s="77"/>
      <c r="F3199" s="77"/>
      <c r="G3199" s="80"/>
    </row>
    <row r="3200">
      <c r="A3200" s="77"/>
      <c r="B3200" s="77"/>
      <c r="C3200" s="77"/>
      <c r="D3200" s="77"/>
      <c r="E3200" s="77"/>
      <c r="F3200" s="77"/>
      <c r="G3200" s="80"/>
    </row>
    <row r="3201">
      <c r="A3201" s="77"/>
      <c r="B3201" s="77"/>
      <c r="C3201" s="77"/>
      <c r="D3201" s="77"/>
      <c r="E3201" s="77"/>
      <c r="F3201" s="77"/>
      <c r="G3201" s="80"/>
    </row>
    <row r="3202">
      <c r="A3202" s="77"/>
      <c r="B3202" s="77"/>
      <c r="C3202" s="77"/>
      <c r="D3202" s="77"/>
      <c r="E3202" s="77"/>
      <c r="F3202" s="77"/>
      <c r="G3202" s="80"/>
    </row>
    <row r="3203">
      <c r="A3203" s="77"/>
      <c r="B3203" s="77"/>
      <c r="C3203" s="77"/>
      <c r="D3203" s="77"/>
      <c r="E3203" s="77"/>
      <c r="F3203" s="77"/>
      <c r="G3203" s="80"/>
    </row>
    <row r="3204">
      <c r="A3204" s="77"/>
      <c r="B3204" s="77"/>
      <c r="C3204" s="77"/>
      <c r="D3204" s="77"/>
      <c r="E3204" s="77"/>
      <c r="F3204" s="77"/>
      <c r="G3204" s="80"/>
    </row>
    <row r="3205">
      <c r="A3205" s="77"/>
      <c r="B3205" s="77"/>
      <c r="C3205" s="77"/>
      <c r="D3205" s="77"/>
      <c r="E3205" s="77"/>
      <c r="F3205" s="77"/>
      <c r="G3205" s="80"/>
    </row>
    <row r="3206">
      <c r="A3206" s="77"/>
      <c r="B3206" s="77"/>
      <c r="C3206" s="77"/>
      <c r="D3206" s="77"/>
      <c r="E3206" s="77"/>
      <c r="F3206" s="77"/>
      <c r="G3206" s="80"/>
    </row>
    <row r="3207">
      <c r="A3207" s="77"/>
      <c r="B3207" s="77"/>
      <c r="C3207" s="77"/>
      <c r="D3207" s="77"/>
      <c r="E3207" s="77"/>
      <c r="F3207" s="77"/>
      <c r="G3207" s="80"/>
    </row>
    <row r="3208">
      <c r="A3208" s="77"/>
      <c r="B3208" s="77"/>
      <c r="C3208" s="77"/>
      <c r="D3208" s="77"/>
      <c r="E3208" s="77"/>
      <c r="F3208" s="77"/>
      <c r="G3208" s="80"/>
    </row>
    <row r="3209">
      <c r="A3209" s="77"/>
      <c r="B3209" s="77"/>
      <c r="C3209" s="77"/>
      <c r="D3209" s="77"/>
      <c r="E3209" s="77"/>
      <c r="F3209" s="77"/>
      <c r="G3209" s="80"/>
    </row>
    <row r="3210">
      <c r="A3210" s="77"/>
      <c r="B3210" s="77"/>
      <c r="C3210" s="77"/>
      <c r="D3210" s="77"/>
      <c r="E3210" s="77"/>
      <c r="F3210" s="77"/>
      <c r="G3210" s="80"/>
    </row>
    <row r="3211">
      <c r="A3211" s="77"/>
      <c r="B3211" s="77"/>
      <c r="C3211" s="77"/>
      <c r="D3211" s="77"/>
      <c r="E3211" s="77"/>
      <c r="F3211" s="77"/>
      <c r="G3211" s="80"/>
    </row>
    <row r="3212">
      <c r="A3212" s="77"/>
      <c r="B3212" s="77"/>
      <c r="C3212" s="77"/>
      <c r="D3212" s="77"/>
      <c r="E3212" s="77"/>
      <c r="F3212" s="77"/>
      <c r="G3212" s="80"/>
    </row>
    <row r="3213">
      <c r="A3213" s="77"/>
      <c r="B3213" s="77"/>
      <c r="C3213" s="77"/>
      <c r="D3213" s="77"/>
      <c r="E3213" s="77"/>
      <c r="F3213" s="77"/>
      <c r="G3213" s="80"/>
    </row>
    <row r="3214">
      <c r="A3214" s="77"/>
      <c r="B3214" s="77"/>
      <c r="C3214" s="77"/>
      <c r="D3214" s="77"/>
      <c r="E3214" s="77"/>
      <c r="F3214" s="77"/>
      <c r="G3214" s="80"/>
    </row>
    <row r="3215">
      <c r="A3215" s="77"/>
      <c r="B3215" s="77"/>
      <c r="C3215" s="77"/>
      <c r="D3215" s="77"/>
      <c r="E3215" s="77"/>
      <c r="F3215" s="77"/>
      <c r="G3215" s="80"/>
    </row>
    <row r="3216">
      <c r="A3216" s="77"/>
      <c r="B3216" s="77"/>
      <c r="C3216" s="77"/>
      <c r="D3216" s="77"/>
      <c r="E3216" s="77"/>
      <c r="F3216" s="77"/>
      <c r="G3216" s="80"/>
    </row>
    <row r="3217">
      <c r="A3217" s="77"/>
      <c r="B3217" s="77"/>
      <c r="C3217" s="77"/>
      <c r="D3217" s="77"/>
      <c r="E3217" s="77"/>
      <c r="F3217" s="77"/>
      <c r="G3217" s="80"/>
    </row>
    <row r="3218">
      <c r="A3218" s="77"/>
      <c r="B3218" s="77"/>
      <c r="C3218" s="77"/>
      <c r="D3218" s="77"/>
      <c r="E3218" s="77"/>
      <c r="F3218" s="77"/>
      <c r="G3218" s="80"/>
    </row>
    <row r="3219">
      <c r="A3219" s="77"/>
      <c r="B3219" s="77"/>
      <c r="C3219" s="77"/>
      <c r="D3219" s="77"/>
      <c r="E3219" s="77"/>
      <c r="F3219" s="77"/>
      <c r="G3219" s="80"/>
    </row>
    <row r="3220">
      <c r="A3220" s="77"/>
      <c r="B3220" s="77"/>
      <c r="C3220" s="77"/>
      <c r="D3220" s="77"/>
      <c r="E3220" s="77"/>
      <c r="F3220" s="77"/>
      <c r="G3220" s="80"/>
    </row>
    <row r="3221">
      <c r="A3221" s="77"/>
      <c r="B3221" s="77"/>
      <c r="C3221" s="77"/>
      <c r="D3221" s="77"/>
      <c r="E3221" s="77"/>
      <c r="F3221" s="77"/>
      <c r="G3221" s="80"/>
    </row>
    <row r="3222">
      <c r="A3222" s="77"/>
      <c r="B3222" s="77"/>
      <c r="C3222" s="77"/>
      <c r="D3222" s="77"/>
      <c r="E3222" s="77"/>
      <c r="F3222" s="77"/>
      <c r="G3222" s="80"/>
    </row>
    <row r="3223">
      <c r="A3223" s="77"/>
      <c r="B3223" s="77"/>
      <c r="C3223" s="77"/>
      <c r="D3223" s="77"/>
      <c r="E3223" s="77"/>
      <c r="F3223" s="77"/>
      <c r="G3223" s="80"/>
    </row>
    <row r="3224">
      <c r="A3224" s="77"/>
      <c r="B3224" s="77"/>
      <c r="C3224" s="77"/>
      <c r="D3224" s="77"/>
      <c r="E3224" s="77"/>
      <c r="F3224" s="77"/>
      <c r="G3224" s="80"/>
    </row>
    <row r="3225">
      <c r="A3225" s="77"/>
      <c r="B3225" s="77"/>
      <c r="C3225" s="77"/>
      <c r="D3225" s="77"/>
      <c r="E3225" s="77"/>
      <c r="F3225" s="77"/>
      <c r="G3225" s="80"/>
    </row>
    <row r="3226">
      <c r="A3226" s="77"/>
      <c r="B3226" s="77"/>
      <c r="C3226" s="77"/>
      <c r="D3226" s="77"/>
      <c r="E3226" s="77"/>
      <c r="F3226" s="77"/>
      <c r="G3226" s="80"/>
    </row>
    <row r="3227">
      <c r="A3227" s="77"/>
      <c r="B3227" s="77"/>
      <c r="C3227" s="77"/>
      <c r="D3227" s="77"/>
      <c r="E3227" s="77"/>
      <c r="F3227" s="77"/>
      <c r="G3227" s="80"/>
    </row>
    <row r="3228">
      <c r="A3228" s="77"/>
      <c r="B3228" s="77"/>
      <c r="C3228" s="77"/>
      <c r="D3228" s="77"/>
      <c r="E3228" s="77"/>
      <c r="F3228" s="77"/>
      <c r="G3228" s="80"/>
    </row>
    <row r="3229">
      <c r="A3229" s="77"/>
      <c r="B3229" s="77"/>
      <c r="C3229" s="77"/>
      <c r="D3229" s="77"/>
      <c r="E3229" s="77"/>
      <c r="F3229" s="77"/>
      <c r="G3229" s="80"/>
    </row>
    <row r="3230">
      <c r="A3230" s="77"/>
      <c r="B3230" s="77"/>
      <c r="C3230" s="77"/>
      <c r="D3230" s="77"/>
      <c r="E3230" s="77"/>
      <c r="F3230" s="77"/>
      <c r="G3230" s="80"/>
    </row>
    <row r="3231">
      <c r="A3231" s="77"/>
      <c r="B3231" s="77"/>
      <c r="C3231" s="77"/>
      <c r="D3231" s="77"/>
      <c r="E3231" s="77"/>
      <c r="F3231" s="77"/>
      <c r="G3231" s="80"/>
    </row>
    <row r="3232">
      <c r="A3232" s="77"/>
      <c r="B3232" s="77"/>
      <c r="C3232" s="77"/>
      <c r="D3232" s="77"/>
      <c r="E3232" s="77"/>
      <c r="F3232" s="77"/>
      <c r="G3232" s="80"/>
    </row>
    <row r="3233">
      <c r="A3233" s="77"/>
      <c r="B3233" s="77"/>
      <c r="C3233" s="77"/>
      <c r="D3233" s="77"/>
      <c r="E3233" s="77"/>
      <c r="F3233" s="77"/>
      <c r="G3233" s="80"/>
    </row>
    <row r="3234">
      <c r="A3234" s="77"/>
      <c r="B3234" s="77"/>
      <c r="C3234" s="77"/>
      <c r="D3234" s="77"/>
      <c r="E3234" s="77"/>
      <c r="F3234" s="77"/>
      <c r="G3234" s="80"/>
    </row>
    <row r="3235">
      <c r="A3235" s="77"/>
      <c r="B3235" s="77"/>
      <c r="C3235" s="77"/>
      <c r="D3235" s="77"/>
      <c r="E3235" s="77"/>
      <c r="F3235" s="77"/>
      <c r="G3235" s="80"/>
    </row>
    <row r="3236">
      <c r="A3236" s="77"/>
      <c r="B3236" s="77"/>
      <c r="C3236" s="77"/>
      <c r="D3236" s="77"/>
      <c r="E3236" s="77"/>
      <c r="F3236" s="77"/>
      <c r="G3236" s="80"/>
    </row>
    <row r="3237">
      <c r="A3237" s="77"/>
      <c r="B3237" s="77"/>
      <c r="C3237" s="77"/>
      <c r="D3237" s="77"/>
      <c r="E3237" s="77"/>
      <c r="F3237" s="77"/>
      <c r="G3237" s="80"/>
    </row>
    <row r="3238">
      <c r="A3238" s="77"/>
      <c r="B3238" s="77"/>
      <c r="C3238" s="77"/>
      <c r="D3238" s="77"/>
      <c r="E3238" s="77"/>
      <c r="F3238" s="77"/>
      <c r="G3238" s="80"/>
    </row>
    <row r="3239">
      <c r="A3239" s="77"/>
      <c r="B3239" s="77"/>
      <c r="C3239" s="77"/>
      <c r="D3239" s="77"/>
      <c r="E3239" s="77"/>
      <c r="F3239" s="77"/>
      <c r="G3239" s="80"/>
    </row>
    <row r="3240">
      <c r="A3240" s="77"/>
      <c r="B3240" s="77"/>
      <c r="C3240" s="77"/>
      <c r="D3240" s="77"/>
      <c r="E3240" s="77"/>
      <c r="F3240" s="77"/>
      <c r="G3240" s="80"/>
    </row>
    <row r="3241">
      <c r="A3241" s="77"/>
      <c r="B3241" s="77"/>
      <c r="C3241" s="77"/>
      <c r="D3241" s="77"/>
      <c r="E3241" s="77"/>
      <c r="F3241" s="77"/>
      <c r="G3241" s="80"/>
    </row>
    <row r="3242">
      <c r="A3242" s="77"/>
      <c r="B3242" s="77"/>
      <c r="C3242" s="77"/>
      <c r="D3242" s="77"/>
      <c r="E3242" s="77"/>
      <c r="F3242" s="77"/>
      <c r="G3242" s="80"/>
    </row>
    <row r="3243">
      <c r="A3243" s="77"/>
      <c r="B3243" s="77"/>
      <c r="C3243" s="77"/>
      <c r="D3243" s="77"/>
      <c r="E3243" s="77"/>
      <c r="F3243" s="77"/>
      <c r="G3243" s="80"/>
    </row>
    <row r="3244">
      <c r="A3244" s="77"/>
      <c r="B3244" s="77"/>
      <c r="C3244" s="77"/>
      <c r="D3244" s="77"/>
      <c r="E3244" s="77"/>
      <c r="F3244" s="77"/>
      <c r="G3244" s="80"/>
    </row>
    <row r="3245">
      <c r="A3245" s="77"/>
      <c r="B3245" s="77"/>
      <c r="C3245" s="77"/>
      <c r="D3245" s="77"/>
      <c r="E3245" s="77"/>
      <c r="F3245" s="77"/>
      <c r="G3245" s="80"/>
    </row>
    <row r="3246">
      <c r="A3246" s="77"/>
      <c r="B3246" s="77"/>
      <c r="C3246" s="77"/>
      <c r="D3246" s="77"/>
      <c r="E3246" s="77"/>
      <c r="F3246" s="77"/>
      <c r="G3246" s="80"/>
    </row>
    <row r="3247">
      <c r="A3247" s="77"/>
      <c r="B3247" s="77"/>
      <c r="C3247" s="77"/>
      <c r="D3247" s="77"/>
      <c r="E3247" s="77"/>
      <c r="F3247" s="77"/>
      <c r="G3247" s="80"/>
    </row>
    <row r="3248">
      <c r="A3248" s="77"/>
      <c r="B3248" s="77"/>
      <c r="C3248" s="77"/>
      <c r="D3248" s="77"/>
      <c r="E3248" s="77"/>
      <c r="F3248" s="77"/>
      <c r="G3248" s="80"/>
    </row>
    <row r="3249">
      <c r="A3249" s="77"/>
      <c r="B3249" s="77"/>
      <c r="C3249" s="77"/>
      <c r="D3249" s="77"/>
      <c r="E3249" s="77"/>
      <c r="F3249" s="77"/>
      <c r="G3249" s="80"/>
    </row>
    <row r="3250">
      <c r="A3250" s="77"/>
      <c r="B3250" s="77"/>
      <c r="C3250" s="77"/>
      <c r="D3250" s="77"/>
      <c r="E3250" s="77"/>
      <c r="F3250" s="77"/>
      <c r="G3250" s="80"/>
    </row>
    <row r="3251">
      <c r="A3251" s="77"/>
      <c r="B3251" s="77"/>
      <c r="C3251" s="77"/>
      <c r="D3251" s="77"/>
      <c r="E3251" s="77"/>
      <c r="F3251" s="77"/>
      <c r="G3251" s="80"/>
    </row>
    <row r="3252">
      <c r="A3252" s="77"/>
      <c r="B3252" s="77"/>
      <c r="C3252" s="77"/>
      <c r="D3252" s="77"/>
      <c r="E3252" s="77"/>
      <c r="F3252" s="77"/>
      <c r="G3252" s="80"/>
    </row>
    <row r="3253">
      <c r="A3253" s="77"/>
      <c r="B3253" s="77"/>
      <c r="C3253" s="77"/>
      <c r="D3253" s="77"/>
      <c r="E3253" s="77"/>
      <c r="F3253" s="77"/>
      <c r="G3253" s="80"/>
    </row>
    <row r="3254">
      <c r="A3254" s="77"/>
      <c r="B3254" s="77"/>
      <c r="C3254" s="77"/>
      <c r="D3254" s="77"/>
      <c r="E3254" s="77"/>
      <c r="F3254" s="77"/>
      <c r="G3254" s="80"/>
    </row>
    <row r="3255">
      <c r="A3255" s="77"/>
      <c r="B3255" s="77"/>
      <c r="C3255" s="77"/>
      <c r="D3255" s="77"/>
      <c r="E3255" s="77"/>
      <c r="F3255" s="77"/>
      <c r="G3255" s="80"/>
    </row>
    <row r="3256">
      <c r="A3256" s="77"/>
      <c r="B3256" s="77"/>
      <c r="C3256" s="77"/>
      <c r="D3256" s="77"/>
      <c r="E3256" s="77"/>
      <c r="F3256" s="77"/>
      <c r="G3256" s="80"/>
    </row>
    <row r="3257">
      <c r="A3257" s="77"/>
      <c r="B3257" s="77"/>
      <c r="C3257" s="77"/>
      <c r="D3257" s="77"/>
      <c r="E3257" s="77"/>
      <c r="F3257" s="77"/>
      <c r="G3257" s="80"/>
    </row>
    <row r="3258">
      <c r="A3258" s="77"/>
      <c r="B3258" s="77"/>
      <c r="C3258" s="77"/>
      <c r="D3258" s="77"/>
      <c r="E3258" s="77"/>
      <c r="F3258" s="77"/>
      <c r="G3258" s="80"/>
    </row>
    <row r="3259">
      <c r="A3259" s="77"/>
      <c r="B3259" s="77"/>
      <c r="C3259" s="77"/>
      <c r="D3259" s="77"/>
      <c r="E3259" s="77"/>
      <c r="F3259" s="77"/>
      <c r="G3259" s="80"/>
    </row>
    <row r="3260">
      <c r="A3260" s="77"/>
      <c r="B3260" s="77"/>
      <c r="C3260" s="77"/>
      <c r="D3260" s="77"/>
      <c r="E3260" s="77"/>
      <c r="F3260" s="77"/>
      <c r="G3260" s="80"/>
    </row>
    <row r="3261">
      <c r="A3261" s="77"/>
      <c r="B3261" s="77"/>
      <c r="C3261" s="77"/>
      <c r="D3261" s="77"/>
      <c r="E3261" s="77"/>
      <c r="F3261" s="77"/>
      <c r="G3261" s="80"/>
    </row>
    <row r="3262">
      <c r="A3262" s="77"/>
      <c r="B3262" s="77"/>
      <c r="C3262" s="77"/>
      <c r="D3262" s="77"/>
      <c r="E3262" s="77"/>
      <c r="F3262" s="77"/>
      <c r="G3262" s="80"/>
    </row>
    <row r="3263">
      <c r="A3263" s="77"/>
      <c r="B3263" s="77"/>
      <c r="C3263" s="77"/>
      <c r="D3263" s="77"/>
      <c r="E3263" s="77"/>
      <c r="F3263" s="77"/>
      <c r="G3263" s="80"/>
    </row>
    <row r="3264">
      <c r="A3264" s="77"/>
      <c r="B3264" s="77"/>
      <c r="C3264" s="77"/>
      <c r="D3264" s="77"/>
      <c r="E3264" s="77"/>
      <c r="F3264" s="77"/>
      <c r="G3264" s="80"/>
    </row>
    <row r="3265">
      <c r="A3265" s="77"/>
      <c r="B3265" s="77"/>
      <c r="C3265" s="77"/>
      <c r="D3265" s="77"/>
      <c r="E3265" s="77"/>
      <c r="F3265" s="77"/>
      <c r="G3265" s="80"/>
    </row>
    <row r="3266">
      <c r="A3266" s="77"/>
      <c r="B3266" s="77"/>
      <c r="C3266" s="77"/>
      <c r="D3266" s="77"/>
      <c r="E3266" s="77"/>
      <c r="F3266" s="77"/>
      <c r="G3266" s="80"/>
    </row>
    <row r="3267">
      <c r="A3267" s="77"/>
      <c r="B3267" s="77"/>
      <c r="C3267" s="77"/>
      <c r="D3267" s="77"/>
      <c r="E3267" s="77"/>
      <c r="F3267" s="77"/>
      <c r="G3267" s="80"/>
    </row>
    <row r="3268">
      <c r="A3268" s="77"/>
      <c r="B3268" s="77"/>
      <c r="C3268" s="77"/>
      <c r="D3268" s="77"/>
      <c r="E3268" s="77"/>
      <c r="F3268" s="77"/>
      <c r="G3268" s="80"/>
    </row>
    <row r="3269">
      <c r="A3269" s="77"/>
      <c r="B3269" s="77"/>
      <c r="C3269" s="77"/>
      <c r="D3269" s="77"/>
      <c r="E3269" s="77"/>
      <c r="F3269" s="77"/>
      <c r="G3269" s="80"/>
    </row>
    <row r="3270">
      <c r="A3270" s="77"/>
      <c r="B3270" s="77"/>
      <c r="C3270" s="77"/>
      <c r="D3270" s="77"/>
      <c r="E3270" s="77"/>
      <c r="F3270" s="77"/>
      <c r="G3270" s="80"/>
    </row>
    <row r="3271">
      <c r="A3271" s="77"/>
      <c r="B3271" s="77"/>
      <c r="C3271" s="77"/>
      <c r="D3271" s="77"/>
      <c r="E3271" s="77"/>
      <c r="F3271" s="77"/>
      <c r="G3271" s="80"/>
    </row>
    <row r="3272">
      <c r="A3272" s="77"/>
      <c r="B3272" s="77"/>
      <c r="C3272" s="77"/>
      <c r="D3272" s="77"/>
      <c r="E3272" s="77"/>
      <c r="F3272" s="77"/>
      <c r="G3272" s="80"/>
    </row>
    <row r="3273">
      <c r="A3273" s="77"/>
      <c r="B3273" s="77"/>
      <c r="C3273" s="77"/>
      <c r="D3273" s="77"/>
      <c r="E3273" s="77"/>
      <c r="F3273" s="77"/>
      <c r="G3273" s="80"/>
    </row>
    <row r="3274">
      <c r="A3274" s="77"/>
      <c r="B3274" s="77"/>
      <c r="C3274" s="77"/>
      <c r="D3274" s="77"/>
      <c r="E3274" s="77"/>
      <c r="F3274" s="77"/>
      <c r="G3274" s="80"/>
    </row>
    <row r="3275">
      <c r="A3275" s="77"/>
      <c r="B3275" s="77"/>
      <c r="C3275" s="77"/>
      <c r="D3275" s="77"/>
      <c r="E3275" s="77"/>
      <c r="F3275" s="77"/>
      <c r="G3275" s="80"/>
    </row>
    <row r="3276">
      <c r="A3276" s="77"/>
      <c r="B3276" s="77"/>
      <c r="C3276" s="77"/>
      <c r="D3276" s="77"/>
      <c r="E3276" s="77"/>
      <c r="F3276" s="77"/>
      <c r="G3276" s="80"/>
    </row>
    <row r="3277">
      <c r="A3277" s="77"/>
      <c r="B3277" s="77"/>
      <c r="C3277" s="77"/>
      <c r="D3277" s="77"/>
      <c r="E3277" s="77"/>
      <c r="F3277" s="77"/>
      <c r="G3277" s="80"/>
    </row>
    <row r="3278">
      <c r="A3278" s="77"/>
      <c r="B3278" s="77"/>
      <c r="C3278" s="77"/>
      <c r="D3278" s="77"/>
      <c r="E3278" s="77"/>
      <c r="F3278" s="77"/>
      <c r="G3278" s="80"/>
    </row>
    <row r="3279">
      <c r="A3279" s="77"/>
      <c r="B3279" s="77"/>
      <c r="C3279" s="77"/>
      <c r="D3279" s="77"/>
      <c r="E3279" s="77"/>
      <c r="F3279" s="77"/>
      <c r="G3279" s="80"/>
    </row>
    <row r="3280">
      <c r="A3280" s="77"/>
      <c r="B3280" s="77"/>
      <c r="C3280" s="77"/>
      <c r="D3280" s="77"/>
      <c r="E3280" s="77"/>
      <c r="F3280" s="77"/>
      <c r="G3280" s="80"/>
    </row>
    <row r="3281">
      <c r="A3281" s="77"/>
      <c r="B3281" s="77"/>
      <c r="C3281" s="77"/>
      <c r="D3281" s="77"/>
      <c r="E3281" s="77"/>
      <c r="F3281" s="77"/>
      <c r="G3281" s="80"/>
    </row>
    <row r="3282">
      <c r="A3282" s="77"/>
      <c r="B3282" s="77"/>
      <c r="C3282" s="77"/>
      <c r="D3282" s="77"/>
      <c r="E3282" s="77"/>
      <c r="F3282" s="77"/>
      <c r="G3282" s="80"/>
    </row>
    <row r="3283">
      <c r="A3283" s="77"/>
      <c r="B3283" s="77"/>
      <c r="C3283" s="77"/>
      <c r="D3283" s="77"/>
      <c r="E3283" s="77"/>
      <c r="F3283" s="77"/>
      <c r="G3283" s="80"/>
    </row>
    <row r="3284">
      <c r="A3284" s="77"/>
      <c r="B3284" s="77"/>
      <c r="C3284" s="77"/>
      <c r="D3284" s="77"/>
      <c r="E3284" s="77"/>
      <c r="F3284" s="77"/>
      <c r="G3284" s="80"/>
    </row>
    <row r="3285">
      <c r="A3285" s="77"/>
      <c r="B3285" s="77"/>
      <c r="C3285" s="77"/>
      <c r="D3285" s="77"/>
      <c r="E3285" s="77"/>
      <c r="F3285" s="77"/>
      <c r="G3285" s="80"/>
    </row>
    <row r="3286">
      <c r="A3286" s="77"/>
      <c r="B3286" s="77"/>
      <c r="C3286" s="77"/>
      <c r="D3286" s="77"/>
      <c r="E3286" s="77"/>
      <c r="F3286" s="77"/>
      <c r="G3286" s="80"/>
    </row>
    <row r="3287">
      <c r="A3287" s="77"/>
      <c r="B3287" s="77"/>
      <c r="C3287" s="77"/>
      <c r="D3287" s="77"/>
      <c r="E3287" s="77"/>
      <c r="F3287" s="77"/>
      <c r="G3287" s="80"/>
    </row>
    <row r="3288">
      <c r="A3288" s="77"/>
      <c r="B3288" s="77"/>
      <c r="C3288" s="77"/>
      <c r="D3288" s="77"/>
      <c r="E3288" s="77"/>
      <c r="F3288" s="77"/>
      <c r="G3288" s="80"/>
    </row>
    <row r="3289">
      <c r="A3289" s="77"/>
      <c r="B3289" s="77"/>
      <c r="C3289" s="77"/>
      <c r="D3289" s="77"/>
      <c r="E3289" s="77"/>
      <c r="F3289" s="77"/>
      <c r="G3289" s="80"/>
    </row>
    <row r="3290">
      <c r="A3290" s="77"/>
      <c r="B3290" s="77"/>
      <c r="C3290" s="77"/>
      <c r="D3290" s="81"/>
      <c r="E3290" s="81"/>
      <c r="F3290" s="77"/>
      <c r="G3290" s="80"/>
    </row>
    <row r="3291">
      <c r="A3291" s="77"/>
      <c r="B3291" s="77"/>
      <c r="C3291" s="77"/>
      <c r="D3291" s="81"/>
      <c r="E3291" s="81"/>
      <c r="F3291" s="77"/>
      <c r="G3291" s="80"/>
    </row>
    <row r="3292">
      <c r="A3292" s="77"/>
      <c r="B3292" s="77"/>
      <c r="C3292" s="77"/>
      <c r="D3292" s="81"/>
      <c r="E3292" s="81"/>
      <c r="F3292" s="77"/>
      <c r="G3292" s="80"/>
    </row>
    <row r="3293">
      <c r="A3293" s="77"/>
      <c r="B3293" s="77"/>
      <c r="C3293" s="77"/>
      <c r="D3293" s="81"/>
      <c r="E3293" s="81"/>
      <c r="F3293" s="77"/>
      <c r="G3293" s="80"/>
    </row>
    <row r="3294">
      <c r="A3294" s="77"/>
      <c r="B3294" s="77"/>
      <c r="C3294" s="77"/>
      <c r="D3294" s="81"/>
      <c r="E3294" s="81"/>
      <c r="F3294" s="77"/>
      <c r="G3294" s="80"/>
    </row>
    <row r="3295">
      <c r="A3295" s="77"/>
      <c r="B3295" s="77"/>
      <c r="C3295" s="77"/>
      <c r="D3295" s="81"/>
      <c r="E3295" s="81"/>
      <c r="F3295" s="77"/>
      <c r="G3295" s="80"/>
    </row>
    <row r="3296">
      <c r="A3296" s="77"/>
      <c r="B3296" s="77"/>
      <c r="C3296" s="77"/>
      <c r="D3296" s="81"/>
      <c r="E3296" s="81"/>
      <c r="F3296" s="77"/>
      <c r="G3296" s="80"/>
    </row>
    <row r="3297">
      <c r="A3297" s="77"/>
      <c r="B3297" s="77"/>
      <c r="C3297" s="77"/>
      <c r="D3297" s="81"/>
      <c r="E3297" s="81"/>
      <c r="F3297" s="77"/>
      <c r="G3297" s="80"/>
    </row>
    <row r="3298">
      <c r="A3298" s="77"/>
      <c r="B3298" s="77"/>
      <c r="C3298" s="77"/>
      <c r="D3298" s="81"/>
      <c r="E3298" s="81"/>
      <c r="F3298" s="77"/>
      <c r="G3298" s="80"/>
    </row>
    <row r="3299">
      <c r="A3299" s="77"/>
      <c r="B3299" s="77"/>
      <c r="C3299" s="77"/>
      <c r="D3299" s="81"/>
      <c r="E3299" s="81"/>
      <c r="F3299" s="77"/>
      <c r="G3299" s="80"/>
    </row>
    <row r="3300">
      <c r="A3300" s="81"/>
      <c r="B3300" s="81"/>
      <c r="C3300" s="81"/>
      <c r="D3300" s="81"/>
      <c r="E3300" s="81"/>
      <c r="F3300" s="81"/>
      <c r="G3300" s="81"/>
    </row>
    <row r="3301">
      <c r="A3301" s="81"/>
      <c r="B3301" s="81"/>
      <c r="C3301" s="81"/>
      <c r="D3301" s="81"/>
      <c r="E3301" s="81"/>
      <c r="F3301" s="81"/>
      <c r="G3301" s="81"/>
    </row>
    <row r="3302">
      <c r="A3302" s="81"/>
      <c r="B3302" s="81"/>
      <c r="C3302" s="81"/>
      <c r="D3302" s="81"/>
      <c r="E3302" s="81"/>
      <c r="F3302" s="81"/>
      <c r="G3302" s="81"/>
    </row>
    <row r="3303">
      <c r="A3303" s="81"/>
      <c r="B3303" s="81"/>
      <c r="C3303" s="81"/>
      <c r="D3303" s="81"/>
      <c r="E3303" s="81"/>
      <c r="F3303" s="81"/>
      <c r="G3303" s="81"/>
    </row>
    <row r="3304">
      <c r="A3304" s="81"/>
      <c r="B3304" s="81"/>
      <c r="C3304" s="81"/>
      <c r="D3304" s="81"/>
      <c r="E3304" s="81"/>
      <c r="F3304" s="81"/>
      <c r="G3304" s="81"/>
    </row>
    <row r="3305">
      <c r="A3305" s="81"/>
      <c r="B3305" s="81"/>
      <c r="C3305" s="81"/>
      <c r="D3305" s="81"/>
      <c r="E3305" s="81"/>
      <c r="F3305" s="81"/>
      <c r="G3305" s="81"/>
    </row>
    <row r="3306">
      <c r="A3306" s="81"/>
      <c r="B3306" s="81"/>
      <c r="C3306" s="81"/>
      <c r="D3306" s="81"/>
      <c r="E3306" s="81"/>
      <c r="F3306" s="81"/>
      <c r="G3306" s="81"/>
    </row>
    <row r="3307">
      <c r="A3307" s="81"/>
      <c r="B3307" s="81"/>
      <c r="C3307" s="81"/>
      <c r="D3307" s="81"/>
      <c r="E3307" s="81"/>
      <c r="F3307" s="81"/>
      <c r="G3307" s="81"/>
    </row>
    <row r="3308">
      <c r="A3308" s="81"/>
      <c r="B3308" s="81"/>
      <c r="C3308" s="81"/>
      <c r="D3308" s="81"/>
      <c r="E3308" s="81"/>
      <c r="F3308" s="81"/>
      <c r="G3308" s="81"/>
    </row>
    <row r="3309">
      <c r="A3309" s="81"/>
      <c r="B3309" s="81"/>
      <c r="C3309" s="81"/>
      <c r="D3309" s="81"/>
      <c r="E3309" s="81"/>
      <c r="F3309" s="81"/>
      <c r="G3309" s="81"/>
    </row>
  </sheetData>
  <hyperlinks>
    <hyperlink r:id="rId1" ref="H2"/>
    <hyperlink r:id="rId2" ref="I2"/>
    <hyperlink r:id="rId3" ref="J2"/>
    <hyperlink r:id="rId4" ref="H3"/>
    <hyperlink r:id="rId5" ref="I3"/>
    <hyperlink r:id="rId6" ref="J3"/>
    <hyperlink r:id="rId7" ref="H4"/>
    <hyperlink r:id="rId8" ref="I4"/>
    <hyperlink r:id="rId9" ref="J4"/>
    <hyperlink r:id="rId10" ref="H5"/>
    <hyperlink r:id="rId11" ref="I5"/>
    <hyperlink r:id="rId12" ref="J5"/>
    <hyperlink r:id="rId13" ref="H6"/>
    <hyperlink r:id="rId14" ref="I6"/>
    <hyperlink r:id="rId15" ref="J6"/>
    <hyperlink r:id="rId16" ref="H7"/>
    <hyperlink r:id="rId17" ref="I7"/>
    <hyperlink r:id="rId18" ref="J7"/>
    <hyperlink r:id="rId19" ref="H8"/>
    <hyperlink r:id="rId20" ref="I8"/>
    <hyperlink r:id="rId21" ref="J8"/>
    <hyperlink r:id="rId22" ref="H9"/>
    <hyperlink r:id="rId23" ref="I9"/>
    <hyperlink r:id="rId24" ref="J9"/>
    <hyperlink r:id="rId25" ref="H10"/>
    <hyperlink r:id="rId26" ref="I10"/>
    <hyperlink r:id="rId27" ref="J10"/>
    <hyperlink r:id="rId28" ref="H11"/>
    <hyperlink r:id="rId29" ref="I11"/>
    <hyperlink r:id="rId30" ref="J11"/>
    <hyperlink r:id="rId31" ref="H12"/>
    <hyperlink r:id="rId32" ref="I12"/>
    <hyperlink r:id="rId33" ref="J12"/>
    <hyperlink r:id="rId34" ref="H13"/>
    <hyperlink r:id="rId35" ref="I13"/>
    <hyperlink r:id="rId36" ref="J13"/>
    <hyperlink r:id="rId37" ref="H14"/>
    <hyperlink r:id="rId38" ref="I14"/>
    <hyperlink r:id="rId39" ref="J14"/>
    <hyperlink r:id="rId40" ref="H15"/>
    <hyperlink r:id="rId41" ref="I15"/>
    <hyperlink r:id="rId42" ref="J15"/>
    <hyperlink r:id="rId43" ref="H16"/>
    <hyperlink r:id="rId44" ref="I16"/>
    <hyperlink r:id="rId45" ref="J16"/>
    <hyperlink r:id="rId46" ref="H17"/>
    <hyperlink r:id="rId47" ref="I17"/>
    <hyperlink r:id="rId48" ref="J17"/>
    <hyperlink r:id="rId49" ref="H18"/>
    <hyperlink r:id="rId50" ref="I18"/>
    <hyperlink r:id="rId51" ref="J18"/>
    <hyperlink r:id="rId52" ref="H19"/>
    <hyperlink r:id="rId53" ref="I19"/>
    <hyperlink r:id="rId54" ref="J19"/>
    <hyperlink r:id="rId55" ref="H20"/>
    <hyperlink r:id="rId56" ref="I20"/>
    <hyperlink r:id="rId57" ref="J20"/>
    <hyperlink r:id="rId58" ref="H21"/>
    <hyperlink r:id="rId59" ref="I21"/>
    <hyperlink r:id="rId60" ref="J21"/>
    <hyperlink r:id="rId61" ref="H22"/>
    <hyperlink r:id="rId62" ref="I22"/>
    <hyperlink r:id="rId63" ref="J22"/>
    <hyperlink r:id="rId64" ref="H23"/>
    <hyperlink r:id="rId65" ref="I23"/>
    <hyperlink r:id="rId66" ref="J23"/>
    <hyperlink r:id="rId67" ref="H24"/>
    <hyperlink r:id="rId68" ref="I24"/>
    <hyperlink r:id="rId69" ref="J24"/>
    <hyperlink r:id="rId70" ref="H25"/>
    <hyperlink r:id="rId71" ref="I25"/>
    <hyperlink r:id="rId72" ref="J25"/>
    <hyperlink r:id="rId73" ref="H26"/>
    <hyperlink r:id="rId74" ref="I26"/>
    <hyperlink r:id="rId75" ref="J26"/>
    <hyperlink r:id="rId76" ref="H27"/>
    <hyperlink r:id="rId77" ref="I27"/>
    <hyperlink r:id="rId78" ref="J27"/>
    <hyperlink r:id="rId79" ref="H28"/>
    <hyperlink r:id="rId80" ref="I28"/>
    <hyperlink r:id="rId81" ref="J28"/>
    <hyperlink r:id="rId82" ref="H29"/>
    <hyperlink r:id="rId83" ref="I29"/>
    <hyperlink r:id="rId84" ref="J29"/>
    <hyperlink r:id="rId85" ref="H30"/>
    <hyperlink r:id="rId86" ref="I30"/>
    <hyperlink r:id="rId87" ref="J30"/>
    <hyperlink r:id="rId88" ref="H31"/>
    <hyperlink r:id="rId89" ref="I31"/>
    <hyperlink r:id="rId90" ref="J31"/>
    <hyperlink r:id="rId91" ref="H32"/>
    <hyperlink r:id="rId92" ref="I32"/>
    <hyperlink r:id="rId93" ref="J32"/>
    <hyperlink r:id="rId94" ref="H33"/>
    <hyperlink r:id="rId95" ref="I33"/>
    <hyperlink r:id="rId96" ref="J33"/>
    <hyperlink r:id="rId97" ref="H34"/>
    <hyperlink r:id="rId98" ref="I34"/>
    <hyperlink r:id="rId99" ref="J34"/>
    <hyperlink r:id="rId100" ref="H35"/>
    <hyperlink r:id="rId101" ref="I35"/>
    <hyperlink r:id="rId102" ref="J35"/>
    <hyperlink r:id="rId103" ref="H36"/>
    <hyperlink r:id="rId104" ref="I36"/>
    <hyperlink r:id="rId105" ref="J36"/>
    <hyperlink r:id="rId106" ref="H37"/>
    <hyperlink r:id="rId107" ref="I37"/>
    <hyperlink r:id="rId108" ref="J37"/>
    <hyperlink r:id="rId109" ref="H38"/>
    <hyperlink r:id="rId110" ref="I38"/>
    <hyperlink r:id="rId111" ref="J38"/>
    <hyperlink r:id="rId112" ref="H39"/>
    <hyperlink r:id="rId113" ref="I39"/>
    <hyperlink r:id="rId114" ref="J39"/>
    <hyperlink r:id="rId115" ref="H40"/>
    <hyperlink r:id="rId116" ref="I40"/>
    <hyperlink r:id="rId117" ref="J40"/>
    <hyperlink r:id="rId118" ref="H41"/>
    <hyperlink r:id="rId119" ref="I41"/>
    <hyperlink r:id="rId120" ref="J41"/>
    <hyperlink r:id="rId121" ref="H42"/>
    <hyperlink r:id="rId122" ref="I42"/>
    <hyperlink r:id="rId123" ref="J42"/>
    <hyperlink r:id="rId124" ref="H43"/>
    <hyperlink r:id="rId125" ref="I43"/>
    <hyperlink r:id="rId126" ref="J43"/>
    <hyperlink r:id="rId127" ref="H44"/>
    <hyperlink r:id="rId128" ref="I44"/>
    <hyperlink r:id="rId129" ref="J44"/>
    <hyperlink r:id="rId130" ref="H45"/>
    <hyperlink r:id="rId131" ref="I45"/>
    <hyperlink r:id="rId132" ref="J45"/>
    <hyperlink r:id="rId133" ref="H46"/>
    <hyperlink r:id="rId134" ref="I46"/>
    <hyperlink r:id="rId135" ref="J46"/>
    <hyperlink r:id="rId136" ref="H47"/>
    <hyperlink r:id="rId137" ref="I47"/>
    <hyperlink r:id="rId138" ref="J47"/>
    <hyperlink r:id="rId139" ref="H48"/>
    <hyperlink r:id="rId140" ref="I48"/>
    <hyperlink r:id="rId141" ref="J48"/>
    <hyperlink r:id="rId142" ref="H49"/>
    <hyperlink r:id="rId143" ref="I49"/>
    <hyperlink r:id="rId144" ref="J49"/>
    <hyperlink r:id="rId145" ref="H50"/>
    <hyperlink r:id="rId146" ref="I50"/>
    <hyperlink r:id="rId147" ref="J50"/>
    <hyperlink r:id="rId148" ref="H51"/>
    <hyperlink r:id="rId149" ref="I51"/>
    <hyperlink r:id="rId150" ref="J51"/>
    <hyperlink r:id="rId151" ref="H52"/>
    <hyperlink r:id="rId152" ref="I52"/>
    <hyperlink r:id="rId153" ref="J52"/>
    <hyperlink r:id="rId154" ref="H53"/>
    <hyperlink r:id="rId155" ref="I53"/>
    <hyperlink r:id="rId156" ref="J53"/>
    <hyperlink r:id="rId157" ref="H54"/>
    <hyperlink r:id="rId158" ref="I54"/>
    <hyperlink r:id="rId159" ref="J54"/>
    <hyperlink r:id="rId160" ref="H55"/>
    <hyperlink r:id="rId161" ref="I55"/>
    <hyperlink r:id="rId162" ref="J55"/>
    <hyperlink r:id="rId163" ref="H56"/>
    <hyperlink r:id="rId164" ref="I56"/>
    <hyperlink r:id="rId165" ref="J56"/>
    <hyperlink r:id="rId166" ref="H57"/>
    <hyperlink r:id="rId167" ref="I57"/>
    <hyperlink r:id="rId168" ref="J57"/>
    <hyperlink r:id="rId169" ref="H58"/>
    <hyperlink r:id="rId170" ref="I58"/>
    <hyperlink r:id="rId171" ref="J58"/>
    <hyperlink r:id="rId172" ref="H59"/>
    <hyperlink r:id="rId173" ref="I59"/>
    <hyperlink r:id="rId174" ref="J59"/>
    <hyperlink r:id="rId175" ref="H60"/>
    <hyperlink r:id="rId176" ref="I60"/>
    <hyperlink r:id="rId177" ref="J60"/>
    <hyperlink r:id="rId178" ref="H61"/>
    <hyperlink r:id="rId179" ref="I61"/>
    <hyperlink r:id="rId180" ref="J61"/>
    <hyperlink r:id="rId181" ref="H62"/>
    <hyperlink r:id="rId182" ref="I62"/>
    <hyperlink r:id="rId183" ref="J62"/>
    <hyperlink r:id="rId184" ref="H63"/>
    <hyperlink r:id="rId185" ref="I63"/>
    <hyperlink r:id="rId186" ref="J63"/>
    <hyperlink r:id="rId187" ref="H64"/>
    <hyperlink r:id="rId188" ref="I64"/>
    <hyperlink r:id="rId189" ref="J64"/>
    <hyperlink r:id="rId190" ref="H65"/>
    <hyperlink r:id="rId191" ref="I65"/>
    <hyperlink r:id="rId192" ref="J65"/>
    <hyperlink r:id="rId193" ref="H66"/>
    <hyperlink r:id="rId194" ref="I66"/>
    <hyperlink r:id="rId195" ref="J66"/>
    <hyperlink r:id="rId196" ref="H67"/>
    <hyperlink r:id="rId197" ref="I67"/>
    <hyperlink r:id="rId198" ref="J67"/>
    <hyperlink r:id="rId199" ref="H68"/>
    <hyperlink r:id="rId200" ref="I68"/>
    <hyperlink r:id="rId201" ref="J68"/>
    <hyperlink r:id="rId202" ref="H69"/>
    <hyperlink r:id="rId203" ref="I69"/>
    <hyperlink r:id="rId204" ref="J69"/>
    <hyperlink r:id="rId205" ref="H70"/>
    <hyperlink r:id="rId206" ref="I70"/>
    <hyperlink r:id="rId207" ref="J70"/>
    <hyperlink r:id="rId208" ref="H71"/>
    <hyperlink r:id="rId209" ref="I71"/>
    <hyperlink r:id="rId210" ref="J71"/>
    <hyperlink r:id="rId211" ref="H72"/>
    <hyperlink r:id="rId212" ref="I72"/>
    <hyperlink r:id="rId213" ref="J72"/>
    <hyperlink r:id="rId214" ref="H73"/>
    <hyperlink r:id="rId215" ref="I73"/>
    <hyperlink r:id="rId216" ref="J73"/>
    <hyperlink r:id="rId217" ref="H74"/>
    <hyperlink r:id="rId218" ref="I74"/>
    <hyperlink r:id="rId219" ref="J74"/>
    <hyperlink r:id="rId220" ref="H75"/>
    <hyperlink r:id="rId221" ref="I75"/>
    <hyperlink r:id="rId222" ref="J75"/>
    <hyperlink r:id="rId223" ref="H76"/>
    <hyperlink r:id="rId224" ref="I76"/>
    <hyperlink r:id="rId225" ref="J76"/>
    <hyperlink r:id="rId226" ref="H77"/>
    <hyperlink r:id="rId227" ref="I77"/>
    <hyperlink r:id="rId228" ref="J77"/>
    <hyperlink r:id="rId229" ref="H78"/>
    <hyperlink r:id="rId230" ref="I78"/>
    <hyperlink r:id="rId231" ref="J78"/>
    <hyperlink r:id="rId232" ref="H79"/>
    <hyperlink r:id="rId233" ref="I79"/>
    <hyperlink r:id="rId234" ref="J79"/>
    <hyperlink r:id="rId235" ref="H80"/>
    <hyperlink r:id="rId236" ref="I80"/>
    <hyperlink r:id="rId237" ref="J80"/>
    <hyperlink r:id="rId238" ref="H81"/>
    <hyperlink r:id="rId239" ref="I81"/>
    <hyperlink r:id="rId240" ref="J81"/>
    <hyperlink r:id="rId241" ref="H82"/>
    <hyperlink r:id="rId242" ref="I82"/>
    <hyperlink r:id="rId243" ref="J82"/>
    <hyperlink r:id="rId244" ref="H83"/>
    <hyperlink r:id="rId245" ref="I83"/>
    <hyperlink r:id="rId246" ref="J83"/>
    <hyperlink r:id="rId247" ref="H84"/>
    <hyperlink r:id="rId248" ref="I84"/>
    <hyperlink r:id="rId249" ref="J84"/>
    <hyperlink r:id="rId250" ref="H85"/>
    <hyperlink r:id="rId251" ref="I85"/>
    <hyperlink r:id="rId252" ref="J85"/>
    <hyperlink r:id="rId253" ref="H86"/>
    <hyperlink r:id="rId254" ref="I86"/>
    <hyperlink r:id="rId255" ref="J86"/>
    <hyperlink r:id="rId256" ref="H87"/>
    <hyperlink r:id="rId257" ref="I87"/>
    <hyperlink r:id="rId258" ref="J87"/>
    <hyperlink r:id="rId259" ref="H88"/>
    <hyperlink r:id="rId260" ref="I88"/>
    <hyperlink r:id="rId261" ref="J88"/>
    <hyperlink r:id="rId262" ref="H89"/>
    <hyperlink r:id="rId263" ref="I89"/>
    <hyperlink r:id="rId264" ref="J89"/>
    <hyperlink r:id="rId265" ref="H90"/>
    <hyperlink r:id="rId266" ref="I90"/>
    <hyperlink r:id="rId267" ref="J90"/>
    <hyperlink r:id="rId268" ref="H91"/>
    <hyperlink r:id="rId269" ref="I91"/>
    <hyperlink r:id="rId270" ref="J91"/>
    <hyperlink r:id="rId271" ref="H92"/>
    <hyperlink r:id="rId272" ref="I92"/>
    <hyperlink r:id="rId273" ref="J92"/>
    <hyperlink r:id="rId274" ref="H93"/>
    <hyperlink r:id="rId275" ref="I93"/>
    <hyperlink r:id="rId276" ref="J93"/>
    <hyperlink r:id="rId277" ref="H94"/>
    <hyperlink r:id="rId278" ref="I94"/>
    <hyperlink r:id="rId279" ref="J94"/>
    <hyperlink r:id="rId280" ref="H95"/>
    <hyperlink r:id="rId281" ref="I95"/>
    <hyperlink r:id="rId282" ref="J95"/>
    <hyperlink r:id="rId283" ref="H96"/>
    <hyperlink r:id="rId284" ref="I96"/>
    <hyperlink r:id="rId285" ref="J96"/>
    <hyperlink r:id="rId286" ref="H97"/>
    <hyperlink r:id="rId287" ref="I97"/>
    <hyperlink r:id="rId288" ref="J97"/>
    <hyperlink r:id="rId289" ref="H98"/>
    <hyperlink r:id="rId290" ref="I98"/>
    <hyperlink r:id="rId291" ref="J98"/>
    <hyperlink r:id="rId292" ref="H99"/>
    <hyperlink r:id="rId293" ref="I99"/>
    <hyperlink r:id="rId294" ref="J99"/>
    <hyperlink r:id="rId295" ref="H100"/>
    <hyperlink r:id="rId296" ref="I100"/>
    <hyperlink r:id="rId297" ref="J100"/>
    <hyperlink r:id="rId298" ref="H101"/>
    <hyperlink r:id="rId299" ref="I101"/>
    <hyperlink r:id="rId300" ref="J101"/>
    <hyperlink r:id="rId301" ref="H102"/>
    <hyperlink r:id="rId302" ref="I102"/>
    <hyperlink r:id="rId303" ref="J102"/>
    <hyperlink r:id="rId304" ref="H103"/>
    <hyperlink r:id="rId305" ref="I103"/>
    <hyperlink r:id="rId306" ref="J103"/>
    <hyperlink r:id="rId307" ref="H104"/>
    <hyperlink r:id="rId308" ref="I104"/>
    <hyperlink r:id="rId309" ref="J104"/>
    <hyperlink r:id="rId310" ref="H105"/>
    <hyperlink r:id="rId311" ref="I105"/>
    <hyperlink r:id="rId312" ref="J105"/>
    <hyperlink r:id="rId313" ref="H106"/>
    <hyperlink r:id="rId314" ref="I106"/>
    <hyperlink r:id="rId315" ref="J106"/>
    <hyperlink r:id="rId316" ref="H107"/>
    <hyperlink r:id="rId317" ref="I107"/>
    <hyperlink r:id="rId318" ref="J107"/>
    <hyperlink r:id="rId319" ref="H108"/>
    <hyperlink r:id="rId320" ref="I108"/>
    <hyperlink r:id="rId321" ref="J108"/>
    <hyperlink r:id="rId322" ref="H109"/>
    <hyperlink r:id="rId323" ref="I109"/>
    <hyperlink r:id="rId324" ref="J109"/>
    <hyperlink r:id="rId325" ref="H110"/>
    <hyperlink r:id="rId326" ref="I110"/>
    <hyperlink r:id="rId327" ref="J110"/>
    <hyperlink r:id="rId328" ref="H111"/>
    <hyperlink r:id="rId329" ref="I111"/>
    <hyperlink r:id="rId330" ref="J111"/>
    <hyperlink r:id="rId331" ref="H112"/>
    <hyperlink r:id="rId332" ref="I112"/>
    <hyperlink r:id="rId333" ref="J112"/>
    <hyperlink r:id="rId334" ref="H113"/>
    <hyperlink r:id="rId335" ref="I113"/>
    <hyperlink r:id="rId336" ref="J113"/>
    <hyperlink r:id="rId337" ref="H114"/>
    <hyperlink r:id="rId338" ref="I114"/>
    <hyperlink r:id="rId339" ref="J114"/>
    <hyperlink r:id="rId340" ref="H115"/>
    <hyperlink r:id="rId341" ref="I115"/>
    <hyperlink r:id="rId342" ref="J115"/>
    <hyperlink r:id="rId343" ref="H116"/>
    <hyperlink r:id="rId344" ref="I116"/>
    <hyperlink r:id="rId345" ref="J116"/>
    <hyperlink r:id="rId346" ref="H117"/>
    <hyperlink r:id="rId347" ref="I117"/>
    <hyperlink r:id="rId348" ref="J117"/>
    <hyperlink r:id="rId349" ref="H118"/>
    <hyperlink r:id="rId350" ref="I118"/>
    <hyperlink r:id="rId351" ref="J118"/>
    <hyperlink r:id="rId352" ref="H119"/>
    <hyperlink r:id="rId353" ref="I119"/>
    <hyperlink r:id="rId354" ref="J119"/>
    <hyperlink r:id="rId355" ref="H120"/>
    <hyperlink r:id="rId356" ref="I120"/>
    <hyperlink r:id="rId357" ref="J120"/>
    <hyperlink r:id="rId358" ref="H121"/>
    <hyperlink r:id="rId359" ref="I121"/>
    <hyperlink r:id="rId360" ref="J121"/>
    <hyperlink r:id="rId361" ref="H122"/>
    <hyperlink r:id="rId362" ref="I122"/>
    <hyperlink r:id="rId363" ref="J122"/>
    <hyperlink r:id="rId364" ref="H123"/>
    <hyperlink r:id="rId365" ref="I123"/>
    <hyperlink r:id="rId366" ref="J123"/>
    <hyperlink r:id="rId367" ref="H124"/>
    <hyperlink r:id="rId368" ref="I124"/>
    <hyperlink r:id="rId369" ref="J124"/>
    <hyperlink r:id="rId370" ref="H125"/>
    <hyperlink r:id="rId371" ref="I125"/>
    <hyperlink r:id="rId372" ref="J125"/>
    <hyperlink r:id="rId373" ref="H126"/>
    <hyperlink r:id="rId374" ref="I126"/>
    <hyperlink r:id="rId375" ref="J126"/>
    <hyperlink r:id="rId376" ref="H127"/>
    <hyperlink r:id="rId377" ref="I127"/>
    <hyperlink r:id="rId378" ref="J127"/>
    <hyperlink r:id="rId379" ref="H128"/>
    <hyperlink r:id="rId380" ref="I128"/>
    <hyperlink r:id="rId381" ref="J128"/>
    <hyperlink r:id="rId382" ref="H129"/>
    <hyperlink r:id="rId383" ref="I129"/>
    <hyperlink r:id="rId384" ref="J129"/>
    <hyperlink r:id="rId385" ref="H130"/>
    <hyperlink r:id="rId386" ref="I130"/>
    <hyperlink r:id="rId387" ref="J130"/>
    <hyperlink r:id="rId388" ref="H131"/>
    <hyperlink r:id="rId389" ref="I131"/>
    <hyperlink r:id="rId390" ref="J131"/>
    <hyperlink r:id="rId391" ref="H132"/>
    <hyperlink r:id="rId392" ref="I132"/>
    <hyperlink r:id="rId393" ref="J132"/>
    <hyperlink r:id="rId394" ref="H133"/>
    <hyperlink r:id="rId395" ref="I133"/>
    <hyperlink r:id="rId396" ref="J133"/>
    <hyperlink r:id="rId397" ref="H134"/>
    <hyperlink r:id="rId398" ref="I134"/>
    <hyperlink r:id="rId399" ref="J134"/>
    <hyperlink r:id="rId400" ref="H135"/>
    <hyperlink r:id="rId401" ref="I135"/>
    <hyperlink r:id="rId402" ref="J135"/>
    <hyperlink r:id="rId403" ref="H136"/>
    <hyperlink r:id="rId404" ref="I136"/>
    <hyperlink r:id="rId405" ref="J136"/>
    <hyperlink r:id="rId406" ref="H137"/>
    <hyperlink r:id="rId407" ref="I137"/>
    <hyperlink r:id="rId408" ref="J137"/>
    <hyperlink r:id="rId409" ref="H138"/>
    <hyperlink r:id="rId410" ref="I138"/>
    <hyperlink r:id="rId411" ref="J138"/>
    <hyperlink r:id="rId412" ref="H139"/>
    <hyperlink r:id="rId413" ref="I139"/>
    <hyperlink r:id="rId414" ref="J139"/>
    <hyperlink r:id="rId415" ref="H140"/>
    <hyperlink r:id="rId416" ref="I140"/>
    <hyperlink r:id="rId417" ref="J140"/>
    <hyperlink r:id="rId418" ref="H141"/>
    <hyperlink r:id="rId419" ref="I141"/>
    <hyperlink r:id="rId420" ref="J141"/>
    <hyperlink r:id="rId421" ref="H142"/>
    <hyperlink r:id="rId422" ref="I142"/>
    <hyperlink r:id="rId423" ref="J142"/>
    <hyperlink r:id="rId424" ref="H143"/>
    <hyperlink r:id="rId425" ref="I143"/>
    <hyperlink r:id="rId426" ref="J143"/>
    <hyperlink r:id="rId427" ref="H144"/>
    <hyperlink r:id="rId428" ref="I144"/>
    <hyperlink r:id="rId429" ref="J144"/>
    <hyperlink r:id="rId430" ref="H145"/>
    <hyperlink r:id="rId431" ref="I145"/>
    <hyperlink r:id="rId432" ref="J145"/>
    <hyperlink r:id="rId433" ref="H146"/>
    <hyperlink r:id="rId434" ref="I146"/>
    <hyperlink r:id="rId435" ref="J146"/>
    <hyperlink r:id="rId436" ref="H147"/>
    <hyperlink r:id="rId437" ref="I147"/>
    <hyperlink r:id="rId438" ref="J147"/>
    <hyperlink r:id="rId439" ref="H148"/>
    <hyperlink r:id="rId440" ref="I148"/>
    <hyperlink r:id="rId441" ref="J148"/>
    <hyperlink r:id="rId442" ref="H149"/>
    <hyperlink r:id="rId443" ref="I149"/>
    <hyperlink r:id="rId444" ref="J149"/>
    <hyperlink r:id="rId445" ref="H150"/>
    <hyperlink r:id="rId446" ref="I150"/>
    <hyperlink r:id="rId447" ref="J150"/>
    <hyperlink r:id="rId448" ref="H151"/>
    <hyperlink r:id="rId449" ref="I151"/>
    <hyperlink r:id="rId450" ref="J151"/>
    <hyperlink r:id="rId451" ref="H152"/>
    <hyperlink r:id="rId452" ref="I152"/>
    <hyperlink r:id="rId453" ref="J152"/>
    <hyperlink r:id="rId454" ref="H153"/>
    <hyperlink r:id="rId455" ref="I153"/>
    <hyperlink r:id="rId456" ref="J153"/>
    <hyperlink r:id="rId457" ref="H154"/>
    <hyperlink r:id="rId458" ref="I154"/>
    <hyperlink r:id="rId459" ref="J154"/>
    <hyperlink r:id="rId460" ref="H155"/>
    <hyperlink r:id="rId461" ref="I155"/>
    <hyperlink r:id="rId462" ref="J155"/>
    <hyperlink r:id="rId463" ref="H156"/>
    <hyperlink r:id="rId464" ref="I156"/>
    <hyperlink r:id="rId465" ref="J156"/>
    <hyperlink r:id="rId466" ref="H157"/>
    <hyperlink r:id="rId467" ref="I157"/>
    <hyperlink r:id="rId468" ref="J157"/>
    <hyperlink r:id="rId469" ref="H158"/>
    <hyperlink r:id="rId470" ref="I158"/>
    <hyperlink r:id="rId471" ref="J158"/>
    <hyperlink r:id="rId472" ref="H159"/>
    <hyperlink r:id="rId473" ref="I159"/>
    <hyperlink r:id="rId474" ref="J159"/>
    <hyperlink r:id="rId475" ref="H160"/>
    <hyperlink r:id="rId476" ref="I160"/>
    <hyperlink r:id="rId477" ref="J160"/>
    <hyperlink r:id="rId478" ref="H161"/>
    <hyperlink r:id="rId479" ref="I161"/>
    <hyperlink r:id="rId480" ref="J161"/>
    <hyperlink r:id="rId481" ref="H162"/>
    <hyperlink r:id="rId482" ref="I162"/>
    <hyperlink r:id="rId483" ref="J162"/>
    <hyperlink r:id="rId484" ref="H163"/>
    <hyperlink r:id="rId485" ref="I163"/>
    <hyperlink r:id="rId486" ref="J163"/>
    <hyperlink r:id="rId487" ref="H164"/>
    <hyperlink r:id="rId488" ref="I164"/>
    <hyperlink r:id="rId489" ref="J164"/>
    <hyperlink r:id="rId490" ref="H165"/>
    <hyperlink r:id="rId491" ref="I165"/>
    <hyperlink r:id="rId492" ref="J165"/>
    <hyperlink r:id="rId493" ref="H166"/>
    <hyperlink r:id="rId494" ref="I166"/>
    <hyperlink r:id="rId495" ref="J166"/>
    <hyperlink r:id="rId496" ref="H167"/>
    <hyperlink r:id="rId497" ref="I167"/>
    <hyperlink r:id="rId498" ref="J167"/>
    <hyperlink r:id="rId499" ref="H168"/>
    <hyperlink r:id="rId500" ref="I168"/>
    <hyperlink r:id="rId501" ref="J168"/>
    <hyperlink r:id="rId502" ref="H169"/>
    <hyperlink r:id="rId503" ref="I169"/>
    <hyperlink r:id="rId504" ref="J169"/>
    <hyperlink r:id="rId505" ref="H170"/>
    <hyperlink r:id="rId506" ref="I170"/>
    <hyperlink r:id="rId507" ref="J170"/>
    <hyperlink r:id="rId508" ref="H171"/>
    <hyperlink r:id="rId509" ref="I171"/>
    <hyperlink r:id="rId510" ref="J171"/>
    <hyperlink r:id="rId511" ref="H172"/>
    <hyperlink r:id="rId512" ref="I172"/>
    <hyperlink r:id="rId513" ref="J172"/>
    <hyperlink r:id="rId514" ref="H173"/>
    <hyperlink r:id="rId515" ref="I173"/>
    <hyperlink r:id="rId516" ref="J173"/>
    <hyperlink r:id="rId517" ref="H174"/>
    <hyperlink r:id="rId518" ref="I174"/>
    <hyperlink r:id="rId519" ref="J174"/>
    <hyperlink r:id="rId520" ref="H175"/>
    <hyperlink r:id="rId521" ref="I175"/>
    <hyperlink r:id="rId522" ref="J175"/>
    <hyperlink r:id="rId523" ref="H176"/>
    <hyperlink r:id="rId524" ref="I176"/>
    <hyperlink r:id="rId525" ref="J176"/>
    <hyperlink r:id="rId526" ref="H177"/>
    <hyperlink r:id="rId527" ref="I177"/>
    <hyperlink r:id="rId528" ref="J177"/>
    <hyperlink r:id="rId529" ref="H178"/>
    <hyperlink r:id="rId530" ref="I178"/>
    <hyperlink r:id="rId531" ref="J178"/>
    <hyperlink r:id="rId532" ref="H179"/>
    <hyperlink r:id="rId533" ref="I179"/>
    <hyperlink r:id="rId534" ref="J179"/>
    <hyperlink r:id="rId535" ref="H180"/>
    <hyperlink r:id="rId536" ref="I180"/>
    <hyperlink r:id="rId537" ref="J180"/>
    <hyperlink r:id="rId538" ref="H181"/>
    <hyperlink r:id="rId539" ref="I181"/>
    <hyperlink r:id="rId540" ref="J181"/>
    <hyperlink r:id="rId541" ref="H182"/>
    <hyperlink r:id="rId542" ref="I182"/>
    <hyperlink r:id="rId543" ref="J182"/>
    <hyperlink r:id="rId544" ref="H183"/>
    <hyperlink r:id="rId545" ref="I183"/>
    <hyperlink r:id="rId546" ref="J183"/>
    <hyperlink r:id="rId547" ref="H184"/>
    <hyperlink r:id="rId548" ref="I184"/>
    <hyperlink r:id="rId549" ref="J184"/>
    <hyperlink r:id="rId550" ref="H185"/>
    <hyperlink r:id="rId551" ref="I185"/>
    <hyperlink r:id="rId552" ref="J185"/>
    <hyperlink r:id="rId553" ref="H186"/>
    <hyperlink r:id="rId554" ref="I186"/>
    <hyperlink r:id="rId555" ref="J186"/>
    <hyperlink r:id="rId556" ref="H187"/>
    <hyperlink r:id="rId557" ref="I187"/>
    <hyperlink r:id="rId558" ref="J187"/>
    <hyperlink r:id="rId559" ref="H188"/>
    <hyperlink r:id="rId560" ref="I188"/>
    <hyperlink r:id="rId561" ref="J188"/>
    <hyperlink r:id="rId562" ref="H189"/>
    <hyperlink r:id="rId563" ref="I189"/>
    <hyperlink r:id="rId564" ref="J189"/>
    <hyperlink r:id="rId565" ref="H190"/>
    <hyperlink r:id="rId566" ref="I190"/>
    <hyperlink r:id="rId567" ref="J190"/>
    <hyperlink r:id="rId568" ref="H191"/>
    <hyperlink r:id="rId569" ref="I191"/>
    <hyperlink r:id="rId570" ref="J191"/>
    <hyperlink r:id="rId571" ref="H192"/>
    <hyperlink r:id="rId572" ref="I192"/>
    <hyperlink r:id="rId573" ref="J192"/>
    <hyperlink r:id="rId574" ref="H193"/>
    <hyperlink r:id="rId575" ref="I193"/>
    <hyperlink r:id="rId576" ref="J193"/>
    <hyperlink r:id="rId577" ref="H194"/>
    <hyperlink r:id="rId578" ref="I194"/>
    <hyperlink r:id="rId579" ref="J194"/>
    <hyperlink r:id="rId580" ref="H195"/>
    <hyperlink r:id="rId581" ref="I195"/>
    <hyperlink r:id="rId582" ref="J195"/>
    <hyperlink r:id="rId583" ref="H196"/>
    <hyperlink r:id="rId584" ref="I196"/>
    <hyperlink r:id="rId585" ref="J196"/>
    <hyperlink r:id="rId586" ref="H197"/>
    <hyperlink r:id="rId587" ref="I197"/>
    <hyperlink r:id="rId588" ref="J197"/>
    <hyperlink r:id="rId589" ref="H198"/>
    <hyperlink r:id="rId590" ref="I198"/>
    <hyperlink r:id="rId591" ref="J198"/>
    <hyperlink r:id="rId592" ref="H199"/>
    <hyperlink r:id="rId593" ref="I199"/>
    <hyperlink r:id="rId594" ref="J199"/>
    <hyperlink r:id="rId595" ref="H200"/>
    <hyperlink r:id="rId596" ref="I200"/>
    <hyperlink r:id="rId597" ref="J200"/>
    <hyperlink r:id="rId598" ref="H201"/>
    <hyperlink r:id="rId599" ref="I201"/>
    <hyperlink r:id="rId600" ref="J201"/>
    <hyperlink r:id="rId601" ref="H202"/>
    <hyperlink r:id="rId602" ref="I202"/>
    <hyperlink r:id="rId603" ref="J202"/>
    <hyperlink r:id="rId604" ref="H203"/>
    <hyperlink r:id="rId605" ref="I203"/>
    <hyperlink r:id="rId606" ref="J203"/>
    <hyperlink r:id="rId607" ref="H204"/>
    <hyperlink r:id="rId608" ref="I204"/>
    <hyperlink r:id="rId609" ref="J204"/>
    <hyperlink r:id="rId610" ref="H205"/>
    <hyperlink r:id="rId611" ref="I205"/>
    <hyperlink r:id="rId612" ref="J205"/>
    <hyperlink r:id="rId613" ref="H206"/>
    <hyperlink r:id="rId614" ref="I206"/>
    <hyperlink r:id="rId615" ref="J206"/>
    <hyperlink r:id="rId616" ref="H207"/>
    <hyperlink r:id="rId617" ref="I207"/>
    <hyperlink r:id="rId618" ref="J207"/>
    <hyperlink r:id="rId619" ref="H208"/>
    <hyperlink r:id="rId620" ref="I208"/>
    <hyperlink r:id="rId621" ref="J208"/>
    <hyperlink r:id="rId622" ref="H209"/>
    <hyperlink r:id="rId623" ref="I209"/>
    <hyperlink r:id="rId624" ref="J209"/>
    <hyperlink r:id="rId625" ref="H210"/>
    <hyperlink r:id="rId626" ref="I210"/>
    <hyperlink r:id="rId627" ref="J210"/>
    <hyperlink r:id="rId628" ref="H211"/>
    <hyperlink r:id="rId629" ref="I211"/>
    <hyperlink r:id="rId630" ref="J211"/>
    <hyperlink r:id="rId631" ref="H212"/>
    <hyperlink r:id="rId632" ref="I212"/>
    <hyperlink r:id="rId633" ref="J212"/>
    <hyperlink r:id="rId634" ref="H213"/>
    <hyperlink r:id="rId635" ref="I213"/>
    <hyperlink r:id="rId636" ref="J213"/>
    <hyperlink r:id="rId637" ref="H214"/>
    <hyperlink r:id="rId638" ref="I214"/>
    <hyperlink r:id="rId639" ref="J214"/>
    <hyperlink r:id="rId640" ref="H215"/>
    <hyperlink r:id="rId641" ref="I215"/>
    <hyperlink r:id="rId642" ref="J215"/>
    <hyperlink r:id="rId643" ref="H216"/>
    <hyperlink r:id="rId644" ref="I216"/>
    <hyperlink r:id="rId645" ref="J216"/>
    <hyperlink r:id="rId646" ref="H217"/>
    <hyperlink r:id="rId647" ref="I217"/>
    <hyperlink r:id="rId648" ref="J217"/>
    <hyperlink r:id="rId649" ref="H218"/>
    <hyperlink r:id="rId650" ref="I218"/>
    <hyperlink r:id="rId651" ref="J218"/>
    <hyperlink r:id="rId652" ref="H219"/>
    <hyperlink r:id="rId653" ref="I219"/>
    <hyperlink r:id="rId654" ref="J219"/>
    <hyperlink r:id="rId655" ref="H220"/>
    <hyperlink r:id="rId656" ref="I220"/>
    <hyperlink r:id="rId657" ref="J220"/>
    <hyperlink r:id="rId658" ref="H221"/>
    <hyperlink r:id="rId659" ref="I221"/>
    <hyperlink r:id="rId660" ref="J221"/>
    <hyperlink r:id="rId661" ref="H222"/>
    <hyperlink r:id="rId662" ref="I222"/>
    <hyperlink r:id="rId663" ref="J222"/>
    <hyperlink r:id="rId664" ref="H223"/>
    <hyperlink r:id="rId665" ref="I223"/>
    <hyperlink r:id="rId666" ref="J223"/>
    <hyperlink r:id="rId667" ref="H224"/>
    <hyperlink r:id="rId668" ref="I224"/>
    <hyperlink r:id="rId669" ref="J224"/>
    <hyperlink r:id="rId670" ref="H225"/>
    <hyperlink r:id="rId671" ref="I225"/>
    <hyperlink r:id="rId672" ref="J225"/>
    <hyperlink r:id="rId673" ref="H226"/>
    <hyperlink r:id="rId674" ref="I226"/>
    <hyperlink r:id="rId675" ref="J226"/>
    <hyperlink r:id="rId676" ref="H227"/>
    <hyperlink r:id="rId677" ref="I227"/>
    <hyperlink r:id="rId678" ref="J227"/>
    <hyperlink r:id="rId679" ref="H228"/>
    <hyperlink r:id="rId680" ref="I228"/>
    <hyperlink r:id="rId681" ref="J228"/>
    <hyperlink r:id="rId682" ref="H229"/>
    <hyperlink r:id="rId683" ref="I229"/>
    <hyperlink r:id="rId684" ref="J229"/>
    <hyperlink r:id="rId685" ref="H230"/>
    <hyperlink r:id="rId686" ref="I230"/>
    <hyperlink r:id="rId687" ref="J230"/>
    <hyperlink r:id="rId688" ref="H231"/>
    <hyperlink r:id="rId689" ref="I231"/>
    <hyperlink r:id="rId690" ref="J231"/>
    <hyperlink r:id="rId691" ref="H232"/>
    <hyperlink r:id="rId692" ref="I232"/>
    <hyperlink r:id="rId693" ref="J232"/>
    <hyperlink r:id="rId694" ref="H233"/>
    <hyperlink r:id="rId695" ref="I233"/>
    <hyperlink r:id="rId696" ref="J233"/>
    <hyperlink r:id="rId697" ref="H234"/>
    <hyperlink r:id="rId698" ref="I234"/>
    <hyperlink r:id="rId699" ref="J234"/>
    <hyperlink r:id="rId700" ref="H235"/>
    <hyperlink r:id="rId701" ref="I235"/>
    <hyperlink r:id="rId702" ref="J235"/>
    <hyperlink r:id="rId703" ref="H236"/>
    <hyperlink r:id="rId704" ref="I236"/>
    <hyperlink r:id="rId705" ref="J236"/>
    <hyperlink r:id="rId706" ref="H237"/>
    <hyperlink r:id="rId707" ref="I237"/>
    <hyperlink r:id="rId708" ref="J237"/>
    <hyperlink r:id="rId709" ref="H238"/>
    <hyperlink r:id="rId710" ref="I238"/>
    <hyperlink r:id="rId711" ref="J238"/>
    <hyperlink r:id="rId712" ref="H239"/>
    <hyperlink r:id="rId713" ref="I239"/>
    <hyperlink r:id="rId714" ref="J239"/>
    <hyperlink r:id="rId715" ref="H240"/>
    <hyperlink r:id="rId716" ref="I240"/>
    <hyperlink r:id="rId717" ref="J240"/>
    <hyperlink r:id="rId718" ref="H241"/>
    <hyperlink r:id="rId719" ref="I241"/>
    <hyperlink r:id="rId720" ref="J241"/>
    <hyperlink r:id="rId721" ref="H242"/>
    <hyperlink r:id="rId722" ref="I242"/>
    <hyperlink r:id="rId723" ref="J242"/>
    <hyperlink r:id="rId724" ref="H243"/>
    <hyperlink r:id="rId725" ref="I243"/>
    <hyperlink r:id="rId726" ref="J243"/>
    <hyperlink r:id="rId727" ref="H244"/>
    <hyperlink r:id="rId728" ref="I244"/>
    <hyperlink r:id="rId729" ref="J244"/>
    <hyperlink r:id="rId730" ref="H245"/>
    <hyperlink r:id="rId731" ref="I245"/>
    <hyperlink r:id="rId732" ref="J245"/>
    <hyperlink r:id="rId733" ref="H246"/>
    <hyperlink r:id="rId734" ref="I246"/>
    <hyperlink r:id="rId735" ref="J246"/>
    <hyperlink r:id="rId736" ref="H247"/>
    <hyperlink r:id="rId737" ref="I247"/>
    <hyperlink r:id="rId738" ref="J247"/>
    <hyperlink r:id="rId739" ref="H248"/>
    <hyperlink r:id="rId740" ref="I248"/>
    <hyperlink r:id="rId741" ref="J248"/>
    <hyperlink r:id="rId742" ref="H249"/>
    <hyperlink r:id="rId743" ref="I249"/>
    <hyperlink r:id="rId744" ref="J249"/>
    <hyperlink r:id="rId745" ref="H250"/>
    <hyperlink r:id="rId746" ref="I250"/>
    <hyperlink r:id="rId747" ref="J250"/>
    <hyperlink r:id="rId748" ref="H251"/>
    <hyperlink r:id="rId749" ref="I251"/>
    <hyperlink r:id="rId750" ref="J251"/>
    <hyperlink r:id="rId751" ref="H252"/>
    <hyperlink r:id="rId752" ref="I252"/>
    <hyperlink r:id="rId753" ref="J252"/>
    <hyperlink r:id="rId754" ref="H253"/>
    <hyperlink r:id="rId755" ref="I253"/>
    <hyperlink r:id="rId756" ref="J253"/>
    <hyperlink r:id="rId757" ref="H254"/>
    <hyperlink r:id="rId758" ref="I254"/>
    <hyperlink r:id="rId759" ref="J254"/>
    <hyperlink r:id="rId760" ref="H255"/>
    <hyperlink r:id="rId761" ref="I255"/>
    <hyperlink r:id="rId762" ref="J255"/>
    <hyperlink r:id="rId763" ref="H256"/>
    <hyperlink r:id="rId764" ref="I256"/>
    <hyperlink r:id="rId765" ref="J256"/>
    <hyperlink r:id="rId766" ref="H257"/>
    <hyperlink r:id="rId767" ref="I257"/>
    <hyperlink r:id="rId768" ref="J257"/>
    <hyperlink r:id="rId769" ref="H258"/>
    <hyperlink r:id="rId770" ref="I258"/>
    <hyperlink r:id="rId771" ref="J258"/>
    <hyperlink r:id="rId772" ref="H259"/>
    <hyperlink r:id="rId773" ref="I259"/>
    <hyperlink r:id="rId774" ref="J259"/>
    <hyperlink r:id="rId775" ref="H260"/>
    <hyperlink r:id="rId776" ref="I260"/>
    <hyperlink r:id="rId777" ref="J260"/>
    <hyperlink r:id="rId778" ref="H261"/>
    <hyperlink r:id="rId779" ref="I261"/>
    <hyperlink r:id="rId780" ref="J261"/>
    <hyperlink r:id="rId781" ref="H262"/>
    <hyperlink r:id="rId782" ref="I262"/>
    <hyperlink r:id="rId783" ref="J262"/>
    <hyperlink r:id="rId784" ref="H263"/>
    <hyperlink r:id="rId785" ref="I263"/>
    <hyperlink r:id="rId786" ref="J263"/>
    <hyperlink r:id="rId787" ref="H264"/>
    <hyperlink r:id="rId788" ref="I264"/>
    <hyperlink r:id="rId789" ref="J264"/>
    <hyperlink r:id="rId790" ref="H265"/>
    <hyperlink r:id="rId791" ref="I265"/>
    <hyperlink r:id="rId792" ref="J265"/>
    <hyperlink r:id="rId793" ref="H266"/>
    <hyperlink r:id="rId794" ref="I266"/>
    <hyperlink r:id="rId795" ref="J266"/>
    <hyperlink r:id="rId796" ref="H267"/>
    <hyperlink r:id="rId797" ref="I267"/>
    <hyperlink r:id="rId798" ref="J267"/>
    <hyperlink r:id="rId799" ref="H268"/>
    <hyperlink r:id="rId800" ref="I268"/>
    <hyperlink r:id="rId801" ref="J268"/>
    <hyperlink r:id="rId802" ref="H269"/>
    <hyperlink r:id="rId803" ref="I269"/>
    <hyperlink r:id="rId804" ref="J269"/>
    <hyperlink r:id="rId805" ref="H270"/>
    <hyperlink r:id="rId806" ref="I270"/>
    <hyperlink r:id="rId807" ref="J270"/>
    <hyperlink r:id="rId808" ref="H271"/>
    <hyperlink r:id="rId809" ref="I271"/>
    <hyperlink r:id="rId810" ref="J271"/>
    <hyperlink r:id="rId811" ref="H272"/>
    <hyperlink r:id="rId812" ref="I272"/>
    <hyperlink r:id="rId813" ref="J272"/>
    <hyperlink r:id="rId814" ref="H273"/>
    <hyperlink r:id="rId815" ref="I273"/>
    <hyperlink r:id="rId816" ref="J273"/>
    <hyperlink r:id="rId817" ref="H274"/>
    <hyperlink r:id="rId818" ref="I274"/>
    <hyperlink r:id="rId819" ref="J274"/>
    <hyperlink r:id="rId820" ref="H275"/>
    <hyperlink r:id="rId821" ref="I275"/>
    <hyperlink r:id="rId822" ref="J275"/>
    <hyperlink r:id="rId823" ref="H276"/>
    <hyperlink r:id="rId824" ref="I276"/>
    <hyperlink r:id="rId825" ref="J276"/>
    <hyperlink r:id="rId826" ref="H277"/>
    <hyperlink r:id="rId827" ref="I277"/>
    <hyperlink r:id="rId828" ref="J277"/>
    <hyperlink r:id="rId829" ref="H278"/>
    <hyperlink r:id="rId830" ref="I278"/>
    <hyperlink r:id="rId831" ref="J278"/>
    <hyperlink r:id="rId832" ref="H279"/>
    <hyperlink r:id="rId833" ref="I279"/>
    <hyperlink r:id="rId834" ref="J279"/>
    <hyperlink r:id="rId835" ref="H280"/>
    <hyperlink r:id="rId836" ref="I280"/>
    <hyperlink r:id="rId837" ref="J280"/>
    <hyperlink r:id="rId838" ref="H281"/>
    <hyperlink r:id="rId839" ref="I281"/>
    <hyperlink r:id="rId840" ref="J281"/>
    <hyperlink r:id="rId841" ref="H282"/>
    <hyperlink r:id="rId842" ref="I282"/>
    <hyperlink r:id="rId843" ref="J282"/>
    <hyperlink r:id="rId844" ref="H283"/>
    <hyperlink r:id="rId845" ref="I283"/>
    <hyperlink r:id="rId846" ref="J283"/>
    <hyperlink r:id="rId847" ref="H284"/>
    <hyperlink r:id="rId848" ref="I284"/>
    <hyperlink r:id="rId849" ref="J284"/>
    <hyperlink r:id="rId850" ref="H285"/>
    <hyperlink r:id="rId851" ref="I285"/>
    <hyperlink r:id="rId852" ref="J285"/>
    <hyperlink r:id="rId853" ref="H286"/>
    <hyperlink r:id="rId854" ref="I286"/>
    <hyperlink r:id="rId855" ref="J286"/>
    <hyperlink r:id="rId856" ref="H287"/>
    <hyperlink r:id="rId857" ref="I287"/>
    <hyperlink r:id="rId858" ref="J287"/>
    <hyperlink r:id="rId859" ref="H288"/>
    <hyperlink r:id="rId860" ref="I288"/>
    <hyperlink r:id="rId861" ref="J288"/>
  </hyperlinks>
  <drawing r:id="rId86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50.38"/>
    <col customWidth="1" min="6" max="6" width="46.38"/>
  </cols>
  <sheetData>
    <row r="1">
      <c r="A1" s="75" t="s">
        <v>60</v>
      </c>
      <c r="B1" s="75" t="s">
        <v>61</v>
      </c>
      <c r="C1" s="75" t="s">
        <v>918</v>
      </c>
      <c r="D1" s="75" t="s">
        <v>919</v>
      </c>
      <c r="E1" s="75" t="s">
        <v>920</v>
      </c>
      <c r="F1" s="75" t="s">
        <v>921</v>
      </c>
      <c r="G1" s="75" t="s">
        <v>922</v>
      </c>
      <c r="H1" s="76" t="s">
        <v>923</v>
      </c>
    </row>
    <row r="2">
      <c r="A2" s="75" t="s">
        <v>36</v>
      </c>
      <c r="B2" s="75" t="s">
        <v>924</v>
      </c>
      <c r="C2" s="75">
        <v>9.64</v>
      </c>
      <c r="D2" s="75">
        <v>1.0</v>
      </c>
      <c r="E2" s="75">
        <v>9.64</v>
      </c>
      <c r="F2" s="75" t="s">
        <v>925</v>
      </c>
      <c r="G2" s="82">
        <v>46110.0</v>
      </c>
      <c r="H2" s="76" t="s">
        <v>926</v>
      </c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75" t="s">
        <v>36</v>
      </c>
      <c r="B3" s="75" t="s">
        <v>924</v>
      </c>
      <c r="C3" s="75">
        <v>3.11</v>
      </c>
      <c r="D3" s="75">
        <v>2.0</v>
      </c>
      <c r="E3" s="75">
        <v>1.56</v>
      </c>
      <c r="F3" s="75" t="s">
        <v>925</v>
      </c>
      <c r="G3" s="82">
        <v>46110.0</v>
      </c>
      <c r="H3" s="76" t="s">
        <v>927</v>
      </c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>
      <c r="A4" s="75" t="s">
        <v>36</v>
      </c>
      <c r="B4" s="75" t="s">
        <v>924</v>
      </c>
      <c r="C4" s="75">
        <v>2.72</v>
      </c>
      <c r="D4" s="75">
        <v>0.0</v>
      </c>
      <c r="E4" s="75">
        <v>0.0</v>
      </c>
      <c r="F4" s="75" t="s">
        <v>925</v>
      </c>
      <c r="G4" s="82">
        <v>46110.0</v>
      </c>
      <c r="H4" s="76" t="s">
        <v>928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>
      <c r="A5" s="75" t="s">
        <v>31</v>
      </c>
      <c r="B5" s="75" t="s">
        <v>924</v>
      </c>
      <c r="C5" s="75">
        <v>4.46</v>
      </c>
      <c r="D5" s="75">
        <v>3.0</v>
      </c>
      <c r="E5" s="75">
        <v>1.49</v>
      </c>
      <c r="F5" s="75" t="s">
        <v>925</v>
      </c>
      <c r="G5" s="82">
        <v>46110.0</v>
      </c>
      <c r="H5" s="76" t="s">
        <v>929</v>
      </c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>
      <c r="A6" s="75" t="s">
        <v>31</v>
      </c>
      <c r="B6" s="75" t="s">
        <v>924</v>
      </c>
      <c r="C6" s="75">
        <v>15.43</v>
      </c>
      <c r="D6" s="75">
        <v>3.0</v>
      </c>
      <c r="E6" s="75">
        <v>5.14</v>
      </c>
      <c r="F6" s="75" t="s">
        <v>925</v>
      </c>
      <c r="G6" s="82">
        <v>46110.0</v>
      </c>
      <c r="H6" s="76" t="s">
        <v>930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>
      <c r="A7" s="75" t="s">
        <v>28</v>
      </c>
      <c r="B7" s="75" t="s">
        <v>924</v>
      </c>
      <c r="C7" s="75">
        <v>2.28</v>
      </c>
      <c r="D7" s="75">
        <v>1.0</v>
      </c>
      <c r="E7" s="75">
        <v>2.28</v>
      </c>
      <c r="F7" s="75" t="s">
        <v>925</v>
      </c>
      <c r="G7" s="82">
        <v>46110.0</v>
      </c>
      <c r="H7" s="76" t="s">
        <v>931</v>
      </c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>
      <c r="A8" s="75" t="s">
        <v>28</v>
      </c>
      <c r="B8" s="75" t="s">
        <v>924</v>
      </c>
      <c r="C8" s="75">
        <v>2.74</v>
      </c>
      <c r="D8" s="75">
        <v>1.0</v>
      </c>
      <c r="E8" s="75">
        <v>2.74</v>
      </c>
      <c r="F8" s="75" t="s">
        <v>925</v>
      </c>
      <c r="G8" s="82">
        <v>46110.0</v>
      </c>
      <c r="H8" s="76" t="s">
        <v>932</v>
      </c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75" t="s">
        <v>28</v>
      </c>
      <c r="B9" s="75" t="s">
        <v>924</v>
      </c>
      <c r="C9" s="75">
        <v>10.05</v>
      </c>
      <c r="D9" s="75">
        <v>1.0</v>
      </c>
      <c r="E9" s="75">
        <v>10.05</v>
      </c>
      <c r="F9" s="75" t="s">
        <v>925</v>
      </c>
      <c r="G9" s="82">
        <v>46110.0</v>
      </c>
      <c r="H9" s="76" t="s">
        <v>933</v>
      </c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>
      <c r="A10" s="75" t="s">
        <v>42</v>
      </c>
      <c r="B10" s="75" t="s">
        <v>924</v>
      </c>
      <c r="C10" s="75">
        <v>5.73</v>
      </c>
      <c r="D10" s="75">
        <v>2.0</v>
      </c>
      <c r="E10" s="75">
        <v>2.87</v>
      </c>
      <c r="F10" s="75" t="s">
        <v>925</v>
      </c>
      <c r="G10" s="82">
        <v>46110.0</v>
      </c>
      <c r="H10" s="76" t="s">
        <v>934</v>
      </c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75" t="s">
        <v>42</v>
      </c>
      <c r="B11" s="75" t="s">
        <v>924</v>
      </c>
      <c r="C11" s="75">
        <v>8.53</v>
      </c>
      <c r="D11" s="75">
        <v>0.0</v>
      </c>
      <c r="E11" s="75">
        <v>0.0</v>
      </c>
      <c r="F11" s="75" t="s">
        <v>925</v>
      </c>
      <c r="G11" s="82">
        <v>46110.0</v>
      </c>
      <c r="H11" s="76" t="s">
        <v>935</v>
      </c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75" t="s">
        <v>45</v>
      </c>
      <c r="B12" s="75" t="s">
        <v>924</v>
      </c>
      <c r="C12" s="75">
        <v>3.66</v>
      </c>
      <c r="D12" s="75">
        <v>0.0</v>
      </c>
      <c r="E12" s="75">
        <v>0.0</v>
      </c>
      <c r="F12" s="75" t="s">
        <v>925</v>
      </c>
      <c r="G12" s="82">
        <v>46110.0</v>
      </c>
      <c r="H12" s="76" t="s">
        <v>936</v>
      </c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75" t="s">
        <v>45</v>
      </c>
      <c r="B13" s="75" t="s">
        <v>924</v>
      </c>
      <c r="C13" s="75">
        <v>2.57</v>
      </c>
      <c r="D13" s="75">
        <v>1.0</v>
      </c>
      <c r="E13" s="75">
        <v>2.57</v>
      </c>
      <c r="F13" s="75" t="s">
        <v>925</v>
      </c>
      <c r="G13" s="82">
        <v>46110.0</v>
      </c>
      <c r="H13" s="76" t="s">
        <v>937</v>
      </c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75" t="s">
        <v>45</v>
      </c>
      <c r="B14" s="75" t="s">
        <v>924</v>
      </c>
      <c r="C14" s="75">
        <v>8.02</v>
      </c>
      <c r="D14" s="75">
        <v>3.0</v>
      </c>
      <c r="E14" s="75">
        <v>2.67</v>
      </c>
      <c r="F14" s="75" t="s">
        <v>925</v>
      </c>
      <c r="G14" s="82">
        <v>46110.0</v>
      </c>
      <c r="H14" s="76" t="s">
        <v>938</v>
      </c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75" t="s">
        <v>50</v>
      </c>
      <c r="B15" s="75" t="s">
        <v>924</v>
      </c>
      <c r="C15" s="75">
        <v>9.57</v>
      </c>
      <c r="D15" s="75">
        <v>2.0</v>
      </c>
      <c r="E15" s="75">
        <v>4.78</v>
      </c>
      <c r="F15" s="75" t="s">
        <v>925</v>
      </c>
      <c r="G15" s="82">
        <v>46110.0</v>
      </c>
      <c r="H15" s="76" t="s">
        <v>939</v>
      </c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75" t="s">
        <v>50</v>
      </c>
      <c r="B16" s="75" t="s">
        <v>924</v>
      </c>
      <c r="C16" s="75">
        <v>9.99</v>
      </c>
      <c r="D16" s="75">
        <v>5.0</v>
      </c>
      <c r="E16" s="75">
        <v>2.0</v>
      </c>
      <c r="F16" s="75" t="s">
        <v>925</v>
      </c>
      <c r="G16" s="82">
        <v>46110.0</v>
      </c>
      <c r="H16" s="76" t="s">
        <v>940</v>
      </c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75" t="s">
        <v>32</v>
      </c>
      <c r="B17" s="75" t="s">
        <v>924</v>
      </c>
      <c r="C17" s="75">
        <v>12.6</v>
      </c>
      <c r="D17" s="75">
        <v>4.0</v>
      </c>
      <c r="E17" s="75">
        <v>3.15</v>
      </c>
      <c r="F17" s="75" t="s">
        <v>925</v>
      </c>
      <c r="G17" s="82">
        <v>46110.0</v>
      </c>
      <c r="H17" s="76" t="s">
        <v>941</v>
      </c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75" t="s">
        <v>32</v>
      </c>
      <c r="B18" s="75" t="s">
        <v>924</v>
      </c>
      <c r="C18" s="75">
        <v>2.4</v>
      </c>
      <c r="D18" s="75">
        <v>2.0</v>
      </c>
      <c r="E18" s="75">
        <v>1.2</v>
      </c>
      <c r="F18" s="75" t="s">
        <v>925</v>
      </c>
      <c r="G18" s="82">
        <v>46110.0</v>
      </c>
      <c r="H18" s="76" t="s">
        <v>942</v>
      </c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75" t="s">
        <v>32</v>
      </c>
      <c r="B19" s="75" t="s">
        <v>924</v>
      </c>
      <c r="C19" s="75">
        <v>4.43</v>
      </c>
      <c r="D19" s="75">
        <v>2.0</v>
      </c>
      <c r="E19" s="75">
        <v>2.21</v>
      </c>
      <c r="F19" s="75" t="s">
        <v>925</v>
      </c>
      <c r="G19" s="82">
        <v>46110.0</v>
      </c>
      <c r="H19" s="76" t="s">
        <v>943</v>
      </c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75" t="s">
        <v>944</v>
      </c>
      <c r="B20" s="75" t="s">
        <v>924</v>
      </c>
      <c r="C20" s="75">
        <v>6.34</v>
      </c>
      <c r="D20" s="75">
        <v>0.0</v>
      </c>
      <c r="E20" s="75">
        <v>0.0</v>
      </c>
      <c r="F20" s="75" t="s">
        <v>925</v>
      </c>
      <c r="G20" s="82">
        <v>46110.0</v>
      </c>
      <c r="H20" s="76" t="s">
        <v>945</v>
      </c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75" t="s">
        <v>944</v>
      </c>
      <c r="B21" s="75" t="s">
        <v>924</v>
      </c>
      <c r="C21" s="75">
        <v>1.69</v>
      </c>
      <c r="D21" s="75">
        <v>0.0</v>
      </c>
      <c r="E21" s="75">
        <v>0.0</v>
      </c>
      <c r="F21" s="75" t="s">
        <v>925</v>
      </c>
      <c r="G21" s="82">
        <v>46110.0</v>
      </c>
      <c r="H21" s="76" t="s">
        <v>946</v>
      </c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75" t="s">
        <v>944</v>
      </c>
      <c r="B22" s="75" t="s">
        <v>924</v>
      </c>
      <c r="C22" s="75">
        <v>4.31</v>
      </c>
      <c r="D22" s="75">
        <v>1.0</v>
      </c>
      <c r="E22" s="75">
        <v>4.31</v>
      </c>
      <c r="F22" s="75" t="s">
        <v>925</v>
      </c>
      <c r="G22" s="82">
        <v>46110.0</v>
      </c>
      <c r="H22" s="76" t="s">
        <v>947</v>
      </c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75" t="s">
        <v>36</v>
      </c>
      <c r="B23" s="75" t="s">
        <v>924</v>
      </c>
      <c r="C23" s="75">
        <v>8.82</v>
      </c>
      <c r="D23" s="75">
        <v>1.0</v>
      </c>
      <c r="E23" s="75">
        <v>8.82</v>
      </c>
      <c r="F23" s="75" t="s">
        <v>948</v>
      </c>
      <c r="G23" s="82">
        <v>46110.0</v>
      </c>
      <c r="H23" s="76" t="s">
        <v>926</v>
      </c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75" t="s">
        <v>36</v>
      </c>
      <c r="B24" s="75" t="s">
        <v>924</v>
      </c>
      <c r="C24" s="75">
        <v>2.84</v>
      </c>
      <c r="D24" s="75">
        <v>0.0</v>
      </c>
      <c r="E24" s="75">
        <v>0.0</v>
      </c>
      <c r="F24" s="75" t="s">
        <v>948</v>
      </c>
      <c r="G24" s="82">
        <v>46110.0</v>
      </c>
      <c r="H24" s="76" t="s">
        <v>927</v>
      </c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A25" s="75" t="s">
        <v>36</v>
      </c>
      <c r="B25" s="75" t="s">
        <v>924</v>
      </c>
      <c r="C25" s="75">
        <v>2.17</v>
      </c>
      <c r="D25" s="75">
        <v>0.0</v>
      </c>
      <c r="E25" s="75">
        <v>0.0</v>
      </c>
      <c r="F25" s="75" t="s">
        <v>948</v>
      </c>
      <c r="G25" s="82">
        <v>46110.0</v>
      </c>
      <c r="H25" s="76" t="s">
        <v>928</v>
      </c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75" t="s">
        <v>31</v>
      </c>
      <c r="B26" s="75" t="s">
        <v>924</v>
      </c>
      <c r="C26" s="75">
        <v>3.51</v>
      </c>
      <c r="D26" s="75">
        <v>0.0</v>
      </c>
      <c r="E26" s="75">
        <v>0.0</v>
      </c>
      <c r="F26" s="75" t="s">
        <v>948</v>
      </c>
      <c r="G26" s="82">
        <v>46110.0</v>
      </c>
      <c r="H26" s="76" t="s">
        <v>929</v>
      </c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A27" s="75" t="s">
        <v>31</v>
      </c>
      <c r="B27" s="75" t="s">
        <v>924</v>
      </c>
      <c r="C27" s="75">
        <v>15.67</v>
      </c>
      <c r="D27" s="75">
        <v>11.0</v>
      </c>
      <c r="E27" s="75">
        <v>1.42</v>
      </c>
      <c r="F27" s="75" t="s">
        <v>948</v>
      </c>
      <c r="G27" s="82">
        <v>46110.0</v>
      </c>
      <c r="H27" s="76" t="s">
        <v>930</v>
      </c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A28" s="75" t="s">
        <v>28</v>
      </c>
      <c r="B28" s="75" t="s">
        <v>924</v>
      </c>
      <c r="C28" s="75">
        <v>2.07</v>
      </c>
      <c r="D28" s="75">
        <v>0.0</v>
      </c>
      <c r="E28" s="75">
        <v>0.0</v>
      </c>
      <c r="F28" s="75" t="s">
        <v>948</v>
      </c>
      <c r="G28" s="82">
        <v>46110.0</v>
      </c>
      <c r="H28" s="76" t="s">
        <v>931</v>
      </c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A29" s="75" t="s">
        <v>28</v>
      </c>
      <c r="B29" s="75" t="s">
        <v>924</v>
      </c>
      <c r="C29" s="75">
        <v>1.96</v>
      </c>
      <c r="D29" s="75">
        <v>0.0</v>
      </c>
      <c r="E29" s="75">
        <v>0.0</v>
      </c>
      <c r="F29" s="75" t="s">
        <v>948</v>
      </c>
      <c r="G29" s="82">
        <v>46110.0</v>
      </c>
      <c r="H29" s="76" t="s">
        <v>932</v>
      </c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A30" s="75" t="s">
        <v>28</v>
      </c>
      <c r="B30" s="75" t="s">
        <v>924</v>
      </c>
      <c r="C30" s="75">
        <v>8.51</v>
      </c>
      <c r="D30" s="75">
        <v>2.0</v>
      </c>
      <c r="E30" s="75">
        <v>4.26</v>
      </c>
      <c r="F30" s="75" t="s">
        <v>948</v>
      </c>
      <c r="G30" s="82">
        <v>46110.0</v>
      </c>
      <c r="H30" s="76" t="s">
        <v>933</v>
      </c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A31" s="75" t="s">
        <v>42</v>
      </c>
      <c r="B31" s="75" t="s">
        <v>924</v>
      </c>
      <c r="C31" s="75">
        <v>4.29</v>
      </c>
      <c r="D31" s="75">
        <v>0.0</v>
      </c>
      <c r="E31" s="75">
        <v>0.0</v>
      </c>
      <c r="F31" s="75" t="s">
        <v>948</v>
      </c>
      <c r="G31" s="82">
        <v>46110.0</v>
      </c>
      <c r="H31" s="76" t="s">
        <v>934</v>
      </c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A32" s="75" t="s">
        <v>42</v>
      </c>
      <c r="B32" s="75" t="s">
        <v>924</v>
      </c>
      <c r="C32" s="75">
        <v>7.48</v>
      </c>
      <c r="D32" s="75">
        <v>5.0</v>
      </c>
      <c r="E32" s="75">
        <v>1.5</v>
      </c>
      <c r="F32" s="75" t="s">
        <v>948</v>
      </c>
      <c r="G32" s="82">
        <v>46110.0</v>
      </c>
      <c r="H32" s="76" t="s">
        <v>935</v>
      </c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A33" s="75" t="s">
        <v>45</v>
      </c>
      <c r="B33" s="75" t="s">
        <v>924</v>
      </c>
      <c r="C33" s="75">
        <v>3.38</v>
      </c>
      <c r="D33" s="75">
        <v>0.0</v>
      </c>
      <c r="E33" s="75">
        <v>0.0</v>
      </c>
      <c r="F33" s="75" t="s">
        <v>948</v>
      </c>
      <c r="G33" s="82">
        <v>46110.0</v>
      </c>
      <c r="H33" s="76" t="s">
        <v>936</v>
      </c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75" t="s">
        <v>45</v>
      </c>
      <c r="B34" s="75" t="s">
        <v>924</v>
      </c>
      <c r="C34" s="75">
        <v>2.17</v>
      </c>
      <c r="D34" s="75">
        <v>0.0</v>
      </c>
      <c r="E34" s="75">
        <v>0.0</v>
      </c>
      <c r="F34" s="75" t="s">
        <v>948</v>
      </c>
      <c r="G34" s="82">
        <v>46110.0</v>
      </c>
      <c r="H34" s="76" t="s">
        <v>937</v>
      </c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A35" s="75" t="s">
        <v>45</v>
      </c>
      <c r="B35" s="75" t="s">
        <v>924</v>
      </c>
      <c r="C35" s="75">
        <v>6.6</v>
      </c>
      <c r="D35" s="75">
        <v>0.0</v>
      </c>
      <c r="E35" s="75">
        <v>0.0</v>
      </c>
      <c r="F35" s="75" t="s">
        <v>948</v>
      </c>
      <c r="G35" s="82">
        <v>46110.0</v>
      </c>
      <c r="H35" s="76" t="s">
        <v>938</v>
      </c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75" t="s">
        <v>50</v>
      </c>
      <c r="B36" s="75" t="s">
        <v>924</v>
      </c>
      <c r="C36" s="75">
        <v>4.93</v>
      </c>
      <c r="D36" s="75">
        <v>1.0</v>
      </c>
      <c r="E36" s="75">
        <v>4.93</v>
      </c>
      <c r="F36" s="75" t="s">
        <v>948</v>
      </c>
      <c r="G36" s="82">
        <v>46110.0</v>
      </c>
      <c r="H36" s="76" t="s">
        <v>939</v>
      </c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A37" s="75" t="s">
        <v>50</v>
      </c>
      <c r="B37" s="75" t="s">
        <v>924</v>
      </c>
      <c r="C37" s="75">
        <v>4.65</v>
      </c>
      <c r="D37" s="75">
        <v>0.0</v>
      </c>
      <c r="E37" s="75">
        <v>0.0</v>
      </c>
      <c r="F37" s="75" t="s">
        <v>948</v>
      </c>
      <c r="G37" s="82">
        <v>46110.0</v>
      </c>
      <c r="H37" s="76" t="s">
        <v>940</v>
      </c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75" t="s">
        <v>32</v>
      </c>
      <c r="B38" s="75" t="s">
        <v>924</v>
      </c>
      <c r="C38" s="75">
        <v>10.16</v>
      </c>
      <c r="D38" s="75">
        <v>0.0</v>
      </c>
      <c r="E38" s="75">
        <v>0.0</v>
      </c>
      <c r="F38" s="75" t="s">
        <v>948</v>
      </c>
      <c r="G38" s="82">
        <v>46110.0</v>
      </c>
      <c r="H38" s="76" t="s">
        <v>941</v>
      </c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75" t="s">
        <v>32</v>
      </c>
      <c r="B39" s="75" t="s">
        <v>924</v>
      </c>
      <c r="C39" s="75">
        <v>2.28</v>
      </c>
      <c r="D39" s="75">
        <v>0.0</v>
      </c>
      <c r="E39" s="75">
        <v>0.0</v>
      </c>
      <c r="F39" s="75" t="s">
        <v>948</v>
      </c>
      <c r="G39" s="82">
        <v>46110.0</v>
      </c>
      <c r="H39" s="76" t="s">
        <v>942</v>
      </c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75" t="s">
        <v>32</v>
      </c>
      <c r="B40" s="75" t="s">
        <v>924</v>
      </c>
      <c r="C40" s="75">
        <v>4.18</v>
      </c>
      <c r="D40" s="75">
        <v>5.0</v>
      </c>
      <c r="E40" s="75">
        <v>0.84</v>
      </c>
      <c r="F40" s="75" t="s">
        <v>948</v>
      </c>
      <c r="G40" s="82">
        <v>46110.0</v>
      </c>
      <c r="H40" s="76" t="s">
        <v>943</v>
      </c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75" t="s">
        <v>944</v>
      </c>
      <c r="B41" s="75" t="s">
        <v>924</v>
      </c>
      <c r="C41" s="75">
        <v>5.1</v>
      </c>
      <c r="D41" s="75">
        <v>0.0</v>
      </c>
      <c r="E41" s="75">
        <v>0.0</v>
      </c>
      <c r="F41" s="75" t="s">
        <v>948</v>
      </c>
      <c r="G41" s="82">
        <v>46110.0</v>
      </c>
      <c r="H41" s="76" t="s">
        <v>945</v>
      </c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A42" s="75" t="s">
        <v>944</v>
      </c>
      <c r="B42" s="75" t="s">
        <v>924</v>
      </c>
      <c r="C42" s="75">
        <v>1.63</v>
      </c>
      <c r="D42" s="75">
        <v>0.0</v>
      </c>
      <c r="E42" s="75">
        <v>0.0</v>
      </c>
      <c r="F42" s="75" t="s">
        <v>948</v>
      </c>
      <c r="G42" s="82">
        <v>46110.0</v>
      </c>
      <c r="H42" s="76" t="s">
        <v>946</v>
      </c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75" t="s">
        <v>944</v>
      </c>
      <c r="B43" s="75" t="s">
        <v>924</v>
      </c>
      <c r="C43" s="75">
        <v>3.27</v>
      </c>
      <c r="D43" s="75">
        <v>0.0</v>
      </c>
      <c r="E43" s="75">
        <v>0.0</v>
      </c>
      <c r="F43" s="75" t="s">
        <v>948</v>
      </c>
      <c r="G43" s="82">
        <v>46110.0</v>
      </c>
      <c r="H43" s="76" t="s">
        <v>947</v>
      </c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A44" s="75" t="s">
        <v>34</v>
      </c>
      <c r="B44" s="75" t="s">
        <v>949</v>
      </c>
      <c r="C44" s="75">
        <v>3.54</v>
      </c>
      <c r="D44" s="75">
        <v>0.0</v>
      </c>
      <c r="E44" s="75">
        <v>0.0</v>
      </c>
      <c r="F44" s="75" t="s">
        <v>950</v>
      </c>
      <c r="G44" s="82">
        <v>46110.0</v>
      </c>
      <c r="H44" s="76" t="s">
        <v>951</v>
      </c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75" t="s">
        <v>34</v>
      </c>
      <c r="B45" s="75" t="s">
        <v>949</v>
      </c>
      <c r="C45" s="75">
        <v>4.44</v>
      </c>
      <c r="D45" s="75">
        <v>0.0</v>
      </c>
      <c r="E45" s="75">
        <v>0.0</v>
      </c>
      <c r="F45" s="75" t="s">
        <v>950</v>
      </c>
      <c r="G45" s="82">
        <v>46110.0</v>
      </c>
      <c r="H45" s="76" t="s">
        <v>952</v>
      </c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A46" s="75" t="s">
        <v>34</v>
      </c>
      <c r="B46" s="75" t="s">
        <v>949</v>
      </c>
      <c r="C46" s="75">
        <v>6.47</v>
      </c>
      <c r="D46" s="75">
        <v>0.0</v>
      </c>
      <c r="E46" s="75">
        <v>0.0</v>
      </c>
      <c r="F46" s="75" t="s">
        <v>950</v>
      </c>
      <c r="G46" s="82">
        <v>46110.0</v>
      </c>
      <c r="H46" s="76" t="s">
        <v>953</v>
      </c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75" t="s">
        <v>40</v>
      </c>
      <c r="B47" s="75" t="s">
        <v>949</v>
      </c>
      <c r="C47" s="75">
        <v>2.65</v>
      </c>
      <c r="D47" s="75">
        <v>1.0</v>
      </c>
      <c r="E47" s="75">
        <v>2.65</v>
      </c>
      <c r="F47" s="75" t="s">
        <v>950</v>
      </c>
      <c r="G47" s="82">
        <v>46110.0</v>
      </c>
      <c r="H47" s="76" t="s">
        <v>954</v>
      </c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75" t="s">
        <v>40</v>
      </c>
      <c r="B48" s="75" t="s">
        <v>949</v>
      </c>
      <c r="C48" s="75">
        <v>2.26</v>
      </c>
      <c r="D48" s="75">
        <v>0.0</v>
      </c>
      <c r="E48" s="75">
        <v>0.0</v>
      </c>
      <c r="F48" s="75" t="s">
        <v>950</v>
      </c>
      <c r="G48" s="82">
        <v>46110.0</v>
      </c>
      <c r="H48" s="76" t="s">
        <v>955</v>
      </c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A49" s="75" t="s">
        <v>40</v>
      </c>
      <c r="B49" s="75" t="s">
        <v>949</v>
      </c>
      <c r="C49" s="75">
        <v>20.37</v>
      </c>
      <c r="D49" s="75">
        <v>0.0</v>
      </c>
      <c r="E49" s="75">
        <v>0.0</v>
      </c>
      <c r="F49" s="75" t="s">
        <v>950</v>
      </c>
      <c r="G49" s="82">
        <v>46110.0</v>
      </c>
      <c r="H49" s="76" t="s">
        <v>956</v>
      </c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75" t="s">
        <v>33</v>
      </c>
      <c r="B50" s="75" t="s">
        <v>949</v>
      </c>
      <c r="C50" s="75">
        <v>11.75</v>
      </c>
      <c r="D50" s="75">
        <v>0.0</v>
      </c>
      <c r="E50" s="75">
        <v>0.0</v>
      </c>
      <c r="F50" s="75" t="s">
        <v>950</v>
      </c>
      <c r="G50" s="82">
        <v>46110.0</v>
      </c>
      <c r="H50" s="76" t="s">
        <v>957</v>
      </c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A51" s="75" t="s">
        <v>33</v>
      </c>
      <c r="B51" s="75" t="s">
        <v>949</v>
      </c>
      <c r="C51" s="75">
        <v>1.51</v>
      </c>
      <c r="D51" s="75">
        <v>0.0</v>
      </c>
      <c r="E51" s="75">
        <v>0.0</v>
      </c>
      <c r="F51" s="75" t="s">
        <v>950</v>
      </c>
      <c r="G51" s="82">
        <v>46110.0</v>
      </c>
      <c r="H51" s="76" t="s">
        <v>958</v>
      </c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A52" s="75" t="s">
        <v>33</v>
      </c>
      <c r="B52" s="75" t="s">
        <v>949</v>
      </c>
      <c r="C52" s="75">
        <v>3.99</v>
      </c>
      <c r="D52" s="75">
        <v>0.0</v>
      </c>
      <c r="E52" s="75">
        <v>0.0</v>
      </c>
      <c r="F52" s="75" t="s">
        <v>950</v>
      </c>
      <c r="G52" s="82">
        <v>46110.0</v>
      </c>
      <c r="H52" s="76" t="s">
        <v>959</v>
      </c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>
      <c r="A53" s="75" t="s">
        <v>46</v>
      </c>
      <c r="B53" s="75" t="s">
        <v>949</v>
      </c>
      <c r="C53" s="75">
        <v>5.84</v>
      </c>
      <c r="D53" s="75">
        <v>0.0</v>
      </c>
      <c r="E53" s="75">
        <v>0.0</v>
      </c>
      <c r="F53" s="75" t="s">
        <v>950</v>
      </c>
      <c r="G53" s="82">
        <v>46110.0</v>
      </c>
      <c r="H53" s="76" t="s">
        <v>960</v>
      </c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>
      <c r="A54" s="75" t="s">
        <v>46</v>
      </c>
      <c r="B54" s="75" t="s">
        <v>949</v>
      </c>
      <c r="C54" s="75">
        <v>4.14</v>
      </c>
      <c r="D54" s="75">
        <v>0.0</v>
      </c>
      <c r="E54" s="75">
        <v>0.0</v>
      </c>
      <c r="F54" s="75" t="s">
        <v>950</v>
      </c>
      <c r="G54" s="82">
        <v>46110.0</v>
      </c>
      <c r="H54" s="76" t="s">
        <v>961</v>
      </c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>
      <c r="A55" s="75" t="s">
        <v>46</v>
      </c>
      <c r="B55" s="75" t="s">
        <v>949</v>
      </c>
      <c r="C55" s="75">
        <v>4.55</v>
      </c>
      <c r="D55" s="75">
        <v>0.0</v>
      </c>
      <c r="E55" s="75">
        <v>0.0</v>
      </c>
      <c r="F55" s="75" t="s">
        <v>950</v>
      </c>
      <c r="G55" s="82">
        <v>46110.0</v>
      </c>
      <c r="H55" s="76" t="s">
        <v>962</v>
      </c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A56" s="75" t="s">
        <v>43</v>
      </c>
      <c r="B56" s="75" t="s">
        <v>949</v>
      </c>
      <c r="C56" s="75">
        <v>3.31</v>
      </c>
      <c r="D56" s="75">
        <v>0.0</v>
      </c>
      <c r="E56" s="75">
        <v>0.0</v>
      </c>
      <c r="F56" s="75" t="s">
        <v>950</v>
      </c>
      <c r="G56" s="82">
        <v>46110.0</v>
      </c>
      <c r="H56" s="76" t="s">
        <v>963</v>
      </c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75" t="s">
        <v>43</v>
      </c>
      <c r="B57" s="75" t="s">
        <v>949</v>
      </c>
      <c r="C57" s="75">
        <v>1.37</v>
      </c>
      <c r="D57" s="75">
        <v>0.0</v>
      </c>
      <c r="E57" s="75">
        <v>0.0</v>
      </c>
      <c r="F57" s="75" t="s">
        <v>950</v>
      </c>
      <c r="G57" s="82">
        <v>46110.0</v>
      </c>
      <c r="H57" s="76" t="s">
        <v>964</v>
      </c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>
      <c r="A58" s="75" t="s">
        <v>43</v>
      </c>
      <c r="B58" s="75" t="s">
        <v>949</v>
      </c>
      <c r="C58" s="75">
        <v>7.96</v>
      </c>
      <c r="D58" s="75">
        <v>0.0</v>
      </c>
      <c r="E58" s="75">
        <v>0.0</v>
      </c>
      <c r="F58" s="75" t="s">
        <v>950</v>
      </c>
      <c r="G58" s="82">
        <v>46110.0</v>
      </c>
      <c r="H58" s="76" t="s">
        <v>965</v>
      </c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A59" s="75" t="s">
        <v>966</v>
      </c>
      <c r="B59" s="75" t="s">
        <v>949</v>
      </c>
      <c r="C59" s="75">
        <v>8.28</v>
      </c>
      <c r="D59" s="75">
        <v>1.0</v>
      </c>
      <c r="E59" s="75">
        <v>8.28</v>
      </c>
      <c r="F59" s="75" t="s">
        <v>950</v>
      </c>
      <c r="G59" s="82">
        <v>46110.0</v>
      </c>
      <c r="H59" s="76" t="s">
        <v>967</v>
      </c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75" t="s">
        <v>966</v>
      </c>
      <c r="B60" s="75" t="s">
        <v>949</v>
      </c>
      <c r="C60" s="75">
        <v>3.35</v>
      </c>
      <c r="D60" s="75">
        <v>0.0</v>
      </c>
      <c r="E60" s="75">
        <v>0.0</v>
      </c>
      <c r="F60" s="75" t="s">
        <v>950</v>
      </c>
      <c r="G60" s="82">
        <v>46110.0</v>
      </c>
      <c r="H60" s="76" t="s">
        <v>968</v>
      </c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>
      <c r="A61" s="75" t="s">
        <v>966</v>
      </c>
      <c r="B61" s="75" t="s">
        <v>949</v>
      </c>
      <c r="C61" s="75">
        <v>2.04</v>
      </c>
      <c r="D61" s="75">
        <v>0.0</v>
      </c>
      <c r="E61" s="75">
        <v>0.0</v>
      </c>
      <c r="F61" s="75" t="s">
        <v>950</v>
      </c>
      <c r="G61" s="82">
        <v>46110.0</v>
      </c>
      <c r="H61" s="76" t="s">
        <v>969</v>
      </c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75" t="s">
        <v>36</v>
      </c>
      <c r="B62" s="75" t="s">
        <v>949</v>
      </c>
      <c r="C62" s="75">
        <v>12.3</v>
      </c>
      <c r="D62" s="75">
        <v>1.0</v>
      </c>
      <c r="E62" s="75">
        <v>12.3</v>
      </c>
      <c r="F62" s="75" t="s">
        <v>950</v>
      </c>
      <c r="G62" s="82">
        <v>46110.0</v>
      </c>
      <c r="H62" s="76" t="s">
        <v>926</v>
      </c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>
      <c r="A63" s="75" t="s">
        <v>36</v>
      </c>
      <c r="B63" s="75" t="s">
        <v>949</v>
      </c>
      <c r="C63" s="75">
        <v>3.56</v>
      </c>
      <c r="D63" s="75">
        <v>1.0</v>
      </c>
      <c r="E63" s="75">
        <v>3.56</v>
      </c>
      <c r="F63" s="75" t="s">
        <v>950</v>
      </c>
      <c r="G63" s="82">
        <v>46110.0</v>
      </c>
      <c r="H63" s="76" t="s">
        <v>927</v>
      </c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>
      <c r="A64" s="75" t="s">
        <v>36</v>
      </c>
      <c r="B64" s="75" t="s">
        <v>949</v>
      </c>
      <c r="C64" s="75">
        <v>3.42</v>
      </c>
      <c r="D64" s="75">
        <v>1.0</v>
      </c>
      <c r="E64" s="75">
        <v>3.42</v>
      </c>
      <c r="F64" s="75" t="s">
        <v>950</v>
      </c>
      <c r="G64" s="82">
        <v>46110.0</v>
      </c>
      <c r="H64" s="76" t="s">
        <v>928</v>
      </c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>
      <c r="A65" s="75" t="s">
        <v>970</v>
      </c>
      <c r="B65" s="75" t="s">
        <v>949</v>
      </c>
      <c r="C65" s="75">
        <v>2.5</v>
      </c>
      <c r="D65" s="75">
        <v>0.0</v>
      </c>
      <c r="E65" s="75">
        <v>0.0</v>
      </c>
      <c r="F65" s="75" t="s">
        <v>950</v>
      </c>
      <c r="G65" s="82">
        <v>46110.0</v>
      </c>
      <c r="H65" s="76" t="s">
        <v>971</v>
      </c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>
      <c r="A66" s="75" t="s">
        <v>970</v>
      </c>
      <c r="B66" s="75" t="s">
        <v>949</v>
      </c>
      <c r="C66" s="75">
        <v>2.22</v>
      </c>
      <c r="D66" s="75">
        <v>0.0</v>
      </c>
      <c r="E66" s="75">
        <v>0.0</v>
      </c>
      <c r="F66" s="75" t="s">
        <v>950</v>
      </c>
      <c r="G66" s="82">
        <v>46110.0</v>
      </c>
      <c r="H66" s="76" t="s">
        <v>972</v>
      </c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>
      <c r="A67" s="75" t="s">
        <v>970</v>
      </c>
      <c r="B67" s="75" t="s">
        <v>949</v>
      </c>
      <c r="C67" s="75">
        <v>15.03</v>
      </c>
      <c r="D67" s="75">
        <v>2.0</v>
      </c>
      <c r="E67" s="75">
        <v>7.52</v>
      </c>
      <c r="F67" s="75" t="s">
        <v>950</v>
      </c>
      <c r="G67" s="82">
        <v>46110.0</v>
      </c>
      <c r="H67" s="76" t="s">
        <v>973</v>
      </c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>
      <c r="A68" s="75" t="s">
        <v>34</v>
      </c>
      <c r="B68" s="75" t="s">
        <v>949</v>
      </c>
      <c r="C68" s="75">
        <v>1.25</v>
      </c>
      <c r="D68" s="75">
        <v>1.0</v>
      </c>
      <c r="E68" s="75">
        <v>1.25</v>
      </c>
      <c r="F68" s="75" t="s">
        <v>974</v>
      </c>
      <c r="G68" s="82">
        <v>46110.0</v>
      </c>
      <c r="H68" s="76" t="s">
        <v>951</v>
      </c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>
      <c r="A69" s="75" t="s">
        <v>34</v>
      </c>
      <c r="B69" s="75" t="s">
        <v>949</v>
      </c>
      <c r="C69" s="75">
        <v>1.61</v>
      </c>
      <c r="D69" s="75">
        <v>0.0</v>
      </c>
      <c r="E69" s="75">
        <v>0.0</v>
      </c>
      <c r="F69" s="75" t="s">
        <v>974</v>
      </c>
      <c r="G69" s="82">
        <v>46110.0</v>
      </c>
      <c r="H69" s="76" t="s">
        <v>952</v>
      </c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>
      <c r="A70" s="75" t="s">
        <v>34</v>
      </c>
      <c r="B70" s="75" t="s">
        <v>949</v>
      </c>
      <c r="C70" s="75">
        <v>2.77</v>
      </c>
      <c r="D70" s="75">
        <v>0.0</v>
      </c>
      <c r="E70" s="75">
        <v>0.0</v>
      </c>
      <c r="F70" s="75" t="s">
        <v>974</v>
      </c>
      <c r="G70" s="82">
        <v>46110.0</v>
      </c>
      <c r="H70" s="76" t="s">
        <v>953</v>
      </c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>
      <c r="A71" s="75" t="s">
        <v>40</v>
      </c>
      <c r="B71" s="75" t="s">
        <v>949</v>
      </c>
      <c r="C71" s="75">
        <v>1.08</v>
      </c>
      <c r="D71" s="75">
        <v>0.0</v>
      </c>
      <c r="E71" s="75">
        <v>0.0</v>
      </c>
      <c r="F71" s="75" t="s">
        <v>974</v>
      </c>
      <c r="G71" s="82">
        <v>46110.0</v>
      </c>
      <c r="H71" s="76" t="s">
        <v>954</v>
      </c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75" t="s">
        <v>40</v>
      </c>
      <c r="B72" s="75" t="s">
        <v>949</v>
      </c>
      <c r="C72" s="75">
        <v>0.99</v>
      </c>
      <c r="D72" s="75">
        <v>0.0</v>
      </c>
      <c r="E72" s="75">
        <v>0.0</v>
      </c>
      <c r="F72" s="75" t="s">
        <v>974</v>
      </c>
      <c r="G72" s="82">
        <v>46110.0</v>
      </c>
      <c r="H72" s="76" t="s">
        <v>955</v>
      </c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>
      <c r="A73" s="75" t="s">
        <v>40</v>
      </c>
      <c r="B73" s="75" t="s">
        <v>949</v>
      </c>
      <c r="C73" s="75">
        <v>5.5</v>
      </c>
      <c r="D73" s="75">
        <v>0.0</v>
      </c>
      <c r="E73" s="75">
        <v>0.0</v>
      </c>
      <c r="F73" s="75" t="s">
        <v>974</v>
      </c>
      <c r="G73" s="82">
        <v>46110.0</v>
      </c>
      <c r="H73" s="76" t="s">
        <v>956</v>
      </c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>
      <c r="A74" s="75" t="s">
        <v>33</v>
      </c>
      <c r="B74" s="75" t="s">
        <v>949</v>
      </c>
      <c r="C74" s="75">
        <v>4.09</v>
      </c>
      <c r="D74" s="75">
        <v>0.0</v>
      </c>
      <c r="E74" s="75">
        <v>0.0</v>
      </c>
      <c r="F74" s="75" t="s">
        <v>974</v>
      </c>
      <c r="G74" s="82">
        <v>46110.0</v>
      </c>
      <c r="H74" s="76" t="s">
        <v>957</v>
      </c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>
      <c r="A75" s="75" t="s">
        <v>33</v>
      </c>
      <c r="B75" s="75" t="s">
        <v>949</v>
      </c>
      <c r="C75" s="75">
        <v>0.61</v>
      </c>
      <c r="D75" s="75">
        <v>0.0</v>
      </c>
      <c r="E75" s="75">
        <v>0.0</v>
      </c>
      <c r="F75" s="75" t="s">
        <v>974</v>
      </c>
      <c r="G75" s="82">
        <v>46110.0</v>
      </c>
      <c r="H75" s="76" t="s">
        <v>958</v>
      </c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>
      <c r="A76" s="75" t="s">
        <v>33</v>
      </c>
      <c r="B76" s="75" t="s">
        <v>949</v>
      </c>
      <c r="C76" s="75">
        <v>1.26</v>
      </c>
      <c r="D76" s="75">
        <v>0.0</v>
      </c>
      <c r="E76" s="75">
        <v>0.0</v>
      </c>
      <c r="F76" s="75" t="s">
        <v>974</v>
      </c>
      <c r="G76" s="82">
        <v>46110.0</v>
      </c>
      <c r="H76" s="76" t="s">
        <v>959</v>
      </c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>
      <c r="A77" s="75" t="s">
        <v>46</v>
      </c>
      <c r="B77" s="75" t="s">
        <v>949</v>
      </c>
      <c r="C77" s="75">
        <v>1.91</v>
      </c>
      <c r="D77" s="75">
        <v>0.0</v>
      </c>
      <c r="E77" s="75">
        <v>0.0</v>
      </c>
      <c r="F77" s="75" t="s">
        <v>974</v>
      </c>
      <c r="G77" s="82">
        <v>46110.0</v>
      </c>
      <c r="H77" s="76" t="s">
        <v>960</v>
      </c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>
      <c r="A78" s="75" t="s">
        <v>46</v>
      </c>
      <c r="B78" s="75" t="s">
        <v>949</v>
      </c>
      <c r="C78" s="75">
        <v>1.7</v>
      </c>
      <c r="D78" s="75">
        <v>0.0</v>
      </c>
      <c r="E78" s="75">
        <v>0.0</v>
      </c>
      <c r="F78" s="75" t="s">
        <v>974</v>
      </c>
      <c r="G78" s="82">
        <v>46110.0</v>
      </c>
      <c r="H78" s="76" t="s">
        <v>961</v>
      </c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>
      <c r="A79" s="75" t="s">
        <v>46</v>
      </c>
      <c r="B79" s="75" t="s">
        <v>949</v>
      </c>
      <c r="C79" s="75">
        <v>2.2</v>
      </c>
      <c r="D79" s="75">
        <v>0.0</v>
      </c>
      <c r="E79" s="75">
        <v>0.0</v>
      </c>
      <c r="F79" s="75" t="s">
        <v>974</v>
      </c>
      <c r="G79" s="82">
        <v>46110.0</v>
      </c>
      <c r="H79" s="76" t="s">
        <v>962</v>
      </c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>
      <c r="A80" s="75" t="s">
        <v>43</v>
      </c>
      <c r="B80" s="75" t="s">
        <v>949</v>
      </c>
      <c r="C80" s="75">
        <v>1.46</v>
      </c>
      <c r="D80" s="75">
        <v>0.0</v>
      </c>
      <c r="E80" s="75">
        <v>0.0</v>
      </c>
      <c r="F80" s="75" t="s">
        <v>974</v>
      </c>
      <c r="G80" s="82">
        <v>46110.0</v>
      </c>
      <c r="H80" s="76" t="s">
        <v>963</v>
      </c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>
      <c r="A81" s="75" t="s">
        <v>43</v>
      </c>
      <c r="B81" s="75" t="s">
        <v>949</v>
      </c>
      <c r="C81" s="75">
        <v>0.49</v>
      </c>
      <c r="D81" s="75">
        <v>0.0</v>
      </c>
      <c r="E81" s="75">
        <v>0.0</v>
      </c>
      <c r="F81" s="75" t="s">
        <v>974</v>
      </c>
      <c r="G81" s="82">
        <v>46110.0</v>
      </c>
      <c r="H81" s="76" t="s">
        <v>964</v>
      </c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>
      <c r="A82" s="75" t="s">
        <v>43</v>
      </c>
      <c r="B82" s="75" t="s">
        <v>949</v>
      </c>
      <c r="C82" s="75">
        <v>1.85</v>
      </c>
      <c r="D82" s="75">
        <v>0.0</v>
      </c>
      <c r="E82" s="75">
        <v>0.0</v>
      </c>
      <c r="F82" s="75" t="s">
        <v>974</v>
      </c>
      <c r="G82" s="82">
        <v>46110.0</v>
      </c>
      <c r="H82" s="76" t="s">
        <v>965</v>
      </c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>
      <c r="A83" s="75" t="s">
        <v>966</v>
      </c>
      <c r="B83" s="75" t="s">
        <v>949</v>
      </c>
      <c r="C83" s="75">
        <v>2.93</v>
      </c>
      <c r="D83" s="75">
        <v>0.0</v>
      </c>
      <c r="E83" s="75">
        <v>0.0</v>
      </c>
      <c r="F83" s="75" t="s">
        <v>974</v>
      </c>
      <c r="G83" s="82">
        <v>46110.0</v>
      </c>
      <c r="H83" s="76" t="s">
        <v>967</v>
      </c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>
      <c r="A84" s="75" t="s">
        <v>966</v>
      </c>
      <c r="B84" s="75" t="s">
        <v>949</v>
      </c>
      <c r="C84" s="75">
        <v>1.2</v>
      </c>
      <c r="D84" s="75">
        <v>0.0</v>
      </c>
      <c r="E84" s="75">
        <v>0.0</v>
      </c>
      <c r="F84" s="75" t="s">
        <v>974</v>
      </c>
      <c r="G84" s="82">
        <v>46110.0</v>
      </c>
      <c r="H84" s="76" t="s">
        <v>968</v>
      </c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>
      <c r="A85" s="75" t="s">
        <v>966</v>
      </c>
      <c r="B85" s="75" t="s">
        <v>949</v>
      </c>
      <c r="C85" s="75">
        <v>0.8</v>
      </c>
      <c r="D85" s="75">
        <v>0.0</v>
      </c>
      <c r="E85" s="75">
        <v>0.0</v>
      </c>
      <c r="F85" s="75" t="s">
        <v>974</v>
      </c>
      <c r="G85" s="82">
        <v>46110.0</v>
      </c>
      <c r="H85" s="76" t="s">
        <v>969</v>
      </c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>
      <c r="A86" s="75" t="s">
        <v>36</v>
      </c>
      <c r="B86" s="75" t="s">
        <v>949</v>
      </c>
      <c r="C86" s="75">
        <v>3.96</v>
      </c>
      <c r="D86" s="75">
        <v>0.0</v>
      </c>
      <c r="E86" s="75">
        <v>0.0</v>
      </c>
      <c r="F86" s="75" t="s">
        <v>974</v>
      </c>
      <c r="G86" s="82">
        <v>46110.0</v>
      </c>
      <c r="H86" s="76" t="s">
        <v>926</v>
      </c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>
      <c r="A87" s="75" t="s">
        <v>36</v>
      </c>
      <c r="B87" s="75" t="s">
        <v>949</v>
      </c>
      <c r="C87" s="75">
        <v>1.3</v>
      </c>
      <c r="D87" s="75">
        <v>0.0</v>
      </c>
      <c r="E87" s="75">
        <v>0.0</v>
      </c>
      <c r="F87" s="75" t="s">
        <v>974</v>
      </c>
      <c r="G87" s="82">
        <v>46110.0</v>
      </c>
      <c r="H87" s="76" t="s">
        <v>927</v>
      </c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>
      <c r="A88" s="75" t="s">
        <v>36</v>
      </c>
      <c r="B88" s="75" t="s">
        <v>949</v>
      </c>
      <c r="C88" s="75">
        <v>1.45</v>
      </c>
      <c r="D88" s="75">
        <v>1.0</v>
      </c>
      <c r="E88" s="75">
        <v>1.45</v>
      </c>
      <c r="F88" s="75" t="s">
        <v>974</v>
      </c>
      <c r="G88" s="82">
        <v>46110.0</v>
      </c>
      <c r="H88" s="76" t="s">
        <v>928</v>
      </c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>
      <c r="A89" s="75" t="s">
        <v>970</v>
      </c>
      <c r="B89" s="75" t="s">
        <v>949</v>
      </c>
      <c r="C89" s="75">
        <v>0.85</v>
      </c>
      <c r="D89" s="75">
        <v>0.0</v>
      </c>
      <c r="E89" s="75">
        <v>0.0</v>
      </c>
      <c r="F89" s="75" t="s">
        <v>974</v>
      </c>
      <c r="G89" s="82">
        <v>46110.0</v>
      </c>
      <c r="H89" s="76" t="s">
        <v>971</v>
      </c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>
      <c r="A90" s="75" t="s">
        <v>970</v>
      </c>
      <c r="B90" s="75" t="s">
        <v>949</v>
      </c>
      <c r="C90" s="75">
        <v>0.86</v>
      </c>
      <c r="D90" s="75">
        <v>0.0</v>
      </c>
      <c r="E90" s="75">
        <v>0.0</v>
      </c>
      <c r="F90" s="75" t="s">
        <v>974</v>
      </c>
      <c r="G90" s="82">
        <v>46110.0</v>
      </c>
      <c r="H90" s="76" t="s">
        <v>972</v>
      </c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>
      <c r="A91" s="75" t="s">
        <v>970</v>
      </c>
      <c r="B91" s="75" t="s">
        <v>949</v>
      </c>
      <c r="C91" s="75">
        <v>4.87</v>
      </c>
      <c r="D91" s="75">
        <v>0.0</v>
      </c>
      <c r="E91" s="75">
        <v>0.0</v>
      </c>
      <c r="F91" s="75" t="s">
        <v>974</v>
      </c>
      <c r="G91" s="82">
        <v>46110.0</v>
      </c>
      <c r="H91" s="76" t="s">
        <v>973</v>
      </c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>
      <c r="A92" s="75" t="s">
        <v>34</v>
      </c>
      <c r="B92" s="75" t="s">
        <v>949</v>
      </c>
      <c r="C92" s="75">
        <v>1.94</v>
      </c>
      <c r="D92" s="75">
        <v>0.0</v>
      </c>
      <c r="E92" s="75">
        <v>0.0</v>
      </c>
      <c r="F92" s="75" t="s">
        <v>975</v>
      </c>
      <c r="G92" s="82">
        <v>46110.0</v>
      </c>
      <c r="H92" s="76" t="s">
        <v>951</v>
      </c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>
      <c r="A93" s="75" t="s">
        <v>34</v>
      </c>
      <c r="B93" s="75" t="s">
        <v>949</v>
      </c>
      <c r="C93" s="75">
        <v>2.85</v>
      </c>
      <c r="D93" s="75">
        <v>0.0</v>
      </c>
      <c r="E93" s="75">
        <v>0.0</v>
      </c>
      <c r="F93" s="75" t="s">
        <v>975</v>
      </c>
      <c r="G93" s="82">
        <v>46110.0</v>
      </c>
      <c r="H93" s="76" t="s">
        <v>952</v>
      </c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>
      <c r="A94" s="75" t="s">
        <v>34</v>
      </c>
      <c r="B94" s="75" t="s">
        <v>949</v>
      </c>
      <c r="C94" s="75">
        <v>4.22</v>
      </c>
      <c r="D94" s="75">
        <v>0.0</v>
      </c>
      <c r="E94" s="75">
        <v>0.0</v>
      </c>
      <c r="F94" s="75" t="s">
        <v>975</v>
      </c>
      <c r="G94" s="82">
        <v>46110.0</v>
      </c>
      <c r="H94" s="76" t="s">
        <v>953</v>
      </c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>
      <c r="A95" s="75" t="s">
        <v>40</v>
      </c>
      <c r="B95" s="75" t="s">
        <v>949</v>
      </c>
      <c r="C95" s="75">
        <v>1.33</v>
      </c>
      <c r="D95" s="75">
        <v>0.0</v>
      </c>
      <c r="E95" s="75">
        <v>0.0</v>
      </c>
      <c r="F95" s="75" t="s">
        <v>975</v>
      </c>
      <c r="G95" s="82">
        <v>46110.0</v>
      </c>
      <c r="H95" s="76" t="s">
        <v>954</v>
      </c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>
      <c r="A96" s="75" t="s">
        <v>40</v>
      </c>
      <c r="B96" s="75" t="s">
        <v>949</v>
      </c>
      <c r="C96" s="75">
        <v>1.56</v>
      </c>
      <c r="D96" s="75">
        <v>0.0</v>
      </c>
      <c r="E96" s="75">
        <v>0.0</v>
      </c>
      <c r="F96" s="75" t="s">
        <v>975</v>
      </c>
      <c r="G96" s="82">
        <v>46110.0</v>
      </c>
      <c r="H96" s="76" t="s">
        <v>955</v>
      </c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>
      <c r="A97" s="75" t="s">
        <v>40</v>
      </c>
      <c r="B97" s="75" t="s">
        <v>949</v>
      </c>
      <c r="C97" s="75">
        <v>13.81</v>
      </c>
      <c r="D97" s="75">
        <v>1.0</v>
      </c>
      <c r="E97" s="75">
        <v>13.81</v>
      </c>
      <c r="F97" s="75" t="s">
        <v>975</v>
      </c>
      <c r="G97" s="82">
        <v>46110.0</v>
      </c>
      <c r="H97" s="76" t="s">
        <v>956</v>
      </c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>
      <c r="A98" s="75" t="s">
        <v>33</v>
      </c>
      <c r="B98" s="75" t="s">
        <v>949</v>
      </c>
      <c r="C98" s="75">
        <v>8.77</v>
      </c>
      <c r="D98" s="75">
        <v>0.0</v>
      </c>
      <c r="E98" s="75">
        <v>0.0</v>
      </c>
      <c r="F98" s="75" t="s">
        <v>975</v>
      </c>
      <c r="G98" s="82">
        <v>46110.0</v>
      </c>
      <c r="H98" s="76" t="s">
        <v>957</v>
      </c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>
      <c r="A99" s="75" t="s">
        <v>33</v>
      </c>
      <c r="B99" s="75" t="s">
        <v>949</v>
      </c>
      <c r="C99" s="75">
        <v>0.87</v>
      </c>
      <c r="D99" s="75">
        <v>0.0</v>
      </c>
      <c r="E99" s="75">
        <v>0.0</v>
      </c>
      <c r="F99" s="75" t="s">
        <v>975</v>
      </c>
      <c r="G99" s="82">
        <v>46110.0</v>
      </c>
      <c r="H99" s="76" t="s">
        <v>958</v>
      </c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>
      <c r="A100" s="75" t="s">
        <v>33</v>
      </c>
      <c r="B100" s="75" t="s">
        <v>949</v>
      </c>
      <c r="C100" s="75">
        <v>2.13</v>
      </c>
      <c r="D100" s="75">
        <v>0.0</v>
      </c>
      <c r="E100" s="75">
        <v>0.0</v>
      </c>
      <c r="F100" s="75" t="s">
        <v>975</v>
      </c>
      <c r="G100" s="82">
        <v>46110.0</v>
      </c>
      <c r="H100" s="76" t="s">
        <v>959</v>
      </c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>
      <c r="A101" s="75" t="s">
        <v>46</v>
      </c>
      <c r="B101" s="75" t="s">
        <v>949</v>
      </c>
      <c r="C101" s="75">
        <v>3.55</v>
      </c>
      <c r="D101" s="75">
        <v>0.0</v>
      </c>
      <c r="E101" s="75">
        <v>0.0</v>
      </c>
      <c r="F101" s="75" t="s">
        <v>975</v>
      </c>
      <c r="G101" s="82">
        <v>46110.0</v>
      </c>
      <c r="H101" s="76" t="s">
        <v>960</v>
      </c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>
      <c r="A102" s="75" t="s">
        <v>46</v>
      </c>
      <c r="B102" s="75" t="s">
        <v>949</v>
      </c>
      <c r="C102" s="75">
        <v>2.27</v>
      </c>
      <c r="D102" s="75">
        <v>0.0</v>
      </c>
      <c r="E102" s="75">
        <v>0.0</v>
      </c>
      <c r="F102" s="75" t="s">
        <v>975</v>
      </c>
      <c r="G102" s="82">
        <v>46110.0</v>
      </c>
      <c r="H102" s="76" t="s">
        <v>961</v>
      </c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>
      <c r="A103" s="75" t="s">
        <v>46</v>
      </c>
      <c r="B103" s="75" t="s">
        <v>949</v>
      </c>
      <c r="C103" s="75">
        <v>3.41</v>
      </c>
      <c r="D103" s="75">
        <v>0.0</v>
      </c>
      <c r="E103" s="75">
        <v>0.0</v>
      </c>
      <c r="F103" s="75" t="s">
        <v>975</v>
      </c>
      <c r="G103" s="82">
        <v>46110.0</v>
      </c>
      <c r="H103" s="76" t="s">
        <v>962</v>
      </c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>
      <c r="A104" s="75" t="s">
        <v>43</v>
      </c>
      <c r="B104" s="75" t="s">
        <v>949</v>
      </c>
      <c r="C104" s="75">
        <v>2.11</v>
      </c>
      <c r="D104" s="75">
        <v>0.0</v>
      </c>
      <c r="E104" s="75">
        <v>0.0</v>
      </c>
      <c r="F104" s="75" t="s">
        <v>975</v>
      </c>
      <c r="G104" s="82">
        <v>46110.0</v>
      </c>
      <c r="H104" s="76" t="s">
        <v>963</v>
      </c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>
      <c r="A105" s="75" t="s">
        <v>43</v>
      </c>
      <c r="B105" s="75" t="s">
        <v>949</v>
      </c>
      <c r="C105" s="75">
        <v>0.77</v>
      </c>
      <c r="D105" s="75">
        <v>0.0</v>
      </c>
      <c r="E105" s="75">
        <v>0.0</v>
      </c>
      <c r="F105" s="75" t="s">
        <v>975</v>
      </c>
      <c r="G105" s="82">
        <v>46110.0</v>
      </c>
      <c r="H105" s="76" t="s">
        <v>964</v>
      </c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>
      <c r="A106" s="75" t="s">
        <v>43</v>
      </c>
      <c r="B106" s="75" t="s">
        <v>949</v>
      </c>
      <c r="C106" s="75">
        <v>4.47</v>
      </c>
      <c r="D106" s="75">
        <v>0.0</v>
      </c>
      <c r="E106" s="75">
        <v>0.0</v>
      </c>
      <c r="F106" s="75" t="s">
        <v>975</v>
      </c>
      <c r="G106" s="82">
        <v>46110.0</v>
      </c>
      <c r="H106" s="76" t="s">
        <v>965</v>
      </c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>
      <c r="A107" s="75" t="s">
        <v>966</v>
      </c>
      <c r="B107" s="75" t="s">
        <v>949</v>
      </c>
      <c r="C107" s="75">
        <v>6.16</v>
      </c>
      <c r="D107" s="75">
        <v>1.0</v>
      </c>
      <c r="E107" s="75">
        <v>6.16</v>
      </c>
      <c r="F107" s="75" t="s">
        <v>975</v>
      </c>
      <c r="G107" s="82">
        <v>46110.0</v>
      </c>
      <c r="H107" s="76" t="s">
        <v>967</v>
      </c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>
      <c r="A108" s="75" t="s">
        <v>966</v>
      </c>
      <c r="B108" s="75" t="s">
        <v>949</v>
      </c>
      <c r="C108" s="75">
        <v>1.99</v>
      </c>
      <c r="D108" s="75">
        <v>0.0</v>
      </c>
      <c r="E108" s="75">
        <v>0.0</v>
      </c>
      <c r="F108" s="75" t="s">
        <v>975</v>
      </c>
      <c r="G108" s="82">
        <v>46110.0</v>
      </c>
      <c r="H108" s="76" t="s">
        <v>968</v>
      </c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>
      <c r="A109" s="75" t="s">
        <v>966</v>
      </c>
      <c r="B109" s="75" t="s">
        <v>949</v>
      </c>
      <c r="C109" s="75">
        <v>1.38</v>
      </c>
      <c r="D109" s="75">
        <v>0.0</v>
      </c>
      <c r="E109" s="75">
        <v>0.0</v>
      </c>
      <c r="F109" s="75" t="s">
        <v>975</v>
      </c>
      <c r="G109" s="82">
        <v>46110.0</v>
      </c>
      <c r="H109" s="76" t="s">
        <v>969</v>
      </c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>
      <c r="A110" s="75" t="s">
        <v>36</v>
      </c>
      <c r="B110" s="75" t="s">
        <v>949</v>
      </c>
      <c r="C110" s="75">
        <v>8.06</v>
      </c>
      <c r="D110" s="75">
        <v>1.0</v>
      </c>
      <c r="E110" s="75">
        <v>8.06</v>
      </c>
      <c r="F110" s="75" t="s">
        <v>975</v>
      </c>
      <c r="G110" s="82">
        <v>46110.0</v>
      </c>
      <c r="H110" s="76" t="s">
        <v>926</v>
      </c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>
      <c r="A111" s="75" t="s">
        <v>36</v>
      </c>
      <c r="B111" s="75" t="s">
        <v>949</v>
      </c>
      <c r="C111" s="75">
        <v>1.8</v>
      </c>
      <c r="D111" s="75">
        <v>0.0</v>
      </c>
      <c r="E111" s="75">
        <v>0.0</v>
      </c>
      <c r="F111" s="75" t="s">
        <v>975</v>
      </c>
      <c r="G111" s="82">
        <v>46110.0</v>
      </c>
      <c r="H111" s="76" t="s">
        <v>927</v>
      </c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>
      <c r="A112" s="75" t="s">
        <v>36</v>
      </c>
      <c r="B112" s="75" t="s">
        <v>949</v>
      </c>
      <c r="C112" s="75">
        <v>2.09</v>
      </c>
      <c r="D112" s="75">
        <v>0.0</v>
      </c>
      <c r="E112" s="75">
        <v>0.0</v>
      </c>
      <c r="F112" s="75" t="s">
        <v>975</v>
      </c>
      <c r="G112" s="82">
        <v>46110.0</v>
      </c>
      <c r="H112" s="76" t="s">
        <v>928</v>
      </c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>
      <c r="A113" s="75" t="s">
        <v>970</v>
      </c>
      <c r="B113" s="75" t="s">
        <v>949</v>
      </c>
      <c r="C113" s="75">
        <v>1.19</v>
      </c>
      <c r="D113" s="75">
        <v>0.0</v>
      </c>
      <c r="E113" s="75">
        <v>0.0</v>
      </c>
      <c r="F113" s="75" t="s">
        <v>975</v>
      </c>
      <c r="G113" s="82">
        <v>46110.0</v>
      </c>
      <c r="H113" s="76" t="s">
        <v>971</v>
      </c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>
      <c r="A114" s="75" t="s">
        <v>970</v>
      </c>
      <c r="B114" s="75" t="s">
        <v>949</v>
      </c>
      <c r="C114" s="75">
        <v>1.37</v>
      </c>
      <c r="D114" s="75">
        <v>0.0</v>
      </c>
      <c r="E114" s="75">
        <v>0.0</v>
      </c>
      <c r="F114" s="75" t="s">
        <v>975</v>
      </c>
      <c r="G114" s="82">
        <v>46110.0</v>
      </c>
      <c r="H114" s="76" t="s">
        <v>972</v>
      </c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>
      <c r="A115" s="75" t="s">
        <v>970</v>
      </c>
      <c r="B115" s="75" t="s">
        <v>949</v>
      </c>
      <c r="C115" s="75">
        <v>9.51</v>
      </c>
      <c r="D115" s="75">
        <v>0.0</v>
      </c>
      <c r="E115" s="75">
        <v>0.0</v>
      </c>
      <c r="F115" s="75" t="s">
        <v>975</v>
      </c>
      <c r="G115" s="82">
        <v>46110.0</v>
      </c>
      <c r="H115" s="76" t="s">
        <v>973</v>
      </c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>
      <c r="A116" s="75" t="s">
        <v>54</v>
      </c>
      <c r="B116" s="75" t="s">
        <v>976</v>
      </c>
      <c r="C116" s="75">
        <v>9.23</v>
      </c>
      <c r="D116" s="75">
        <v>0.0</v>
      </c>
      <c r="E116" s="75">
        <v>0.0</v>
      </c>
      <c r="F116" s="75" t="s">
        <v>950</v>
      </c>
      <c r="G116" s="82">
        <v>46110.0</v>
      </c>
      <c r="H116" s="76" t="s">
        <v>977</v>
      </c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>
      <c r="A117" s="75" t="s">
        <v>54</v>
      </c>
      <c r="B117" s="75" t="s">
        <v>976</v>
      </c>
      <c r="C117" s="75">
        <v>8.12</v>
      </c>
      <c r="D117" s="75">
        <v>0.0</v>
      </c>
      <c r="E117" s="75">
        <v>0.0</v>
      </c>
      <c r="F117" s="75" t="s">
        <v>950</v>
      </c>
      <c r="G117" s="82">
        <v>46110.0</v>
      </c>
      <c r="H117" s="76" t="s">
        <v>978</v>
      </c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>
      <c r="A118" s="75" t="s">
        <v>54</v>
      </c>
      <c r="B118" s="75" t="s">
        <v>976</v>
      </c>
      <c r="C118" s="75">
        <v>4.54</v>
      </c>
      <c r="D118" s="75">
        <v>0.0</v>
      </c>
      <c r="E118" s="75">
        <v>0.0</v>
      </c>
      <c r="F118" s="75" t="s">
        <v>950</v>
      </c>
      <c r="G118" s="82">
        <v>46110.0</v>
      </c>
      <c r="H118" s="76" t="s">
        <v>979</v>
      </c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>
      <c r="A119" s="75" t="s">
        <v>55</v>
      </c>
      <c r="B119" s="75" t="s">
        <v>976</v>
      </c>
      <c r="C119" s="75">
        <v>7.49</v>
      </c>
      <c r="D119" s="75">
        <v>0.0</v>
      </c>
      <c r="E119" s="75">
        <v>0.0</v>
      </c>
      <c r="F119" s="75" t="s">
        <v>950</v>
      </c>
      <c r="G119" s="82">
        <v>46110.0</v>
      </c>
      <c r="H119" s="76" t="s">
        <v>980</v>
      </c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>
      <c r="A120" s="75" t="s">
        <v>55</v>
      </c>
      <c r="B120" s="75" t="s">
        <v>976</v>
      </c>
      <c r="C120" s="75">
        <v>14.2</v>
      </c>
      <c r="D120" s="75">
        <v>0.0</v>
      </c>
      <c r="E120" s="75">
        <v>0.0</v>
      </c>
      <c r="F120" s="75" t="s">
        <v>950</v>
      </c>
      <c r="G120" s="82">
        <v>46110.0</v>
      </c>
      <c r="H120" s="76" t="s">
        <v>981</v>
      </c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>
      <c r="A121" s="75" t="s">
        <v>53</v>
      </c>
      <c r="B121" s="75" t="s">
        <v>976</v>
      </c>
      <c r="C121" s="75">
        <v>11.49</v>
      </c>
      <c r="D121" s="75">
        <v>0.0</v>
      </c>
      <c r="E121" s="75">
        <v>0.0</v>
      </c>
      <c r="F121" s="75" t="s">
        <v>950</v>
      </c>
      <c r="G121" s="82">
        <v>46110.0</v>
      </c>
      <c r="H121" s="76" t="s">
        <v>982</v>
      </c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>
      <c r="A122" s="75" t="s">
        <v>53</v>
      </c>
      <c r="B122" s="75" t="s">
        <v>976</v>
      </c>
      <c r="C122" s="75">
        <v>2.7</v>
      </c>
      <c r="D122" s="75">
        <v>0.0</v>
      </c>
      <c r="E122" s="75">
        <v>0.0</v>
      </c>
      <c r="F122" s="75" t="s">
        <v>950</v>
      </c>
      <c r="G122" s="82">
        <v>46110.0</v>
      </c>
      <c r="H122" s="76" t="s">
        <v>983</v>
      </c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>
      <c r="A123" s="75" t="s">
        <v>53</v>
      </c>
      <c r="B123" s="75" t="s">
        <v>976</v>
      </c>
      <c r="C123" s="75">
        <v>4.04</v>
      </c>
      <c r="D123" s="75">
        <v>0.0</v>
      </c>
      <c r="E123" s="75">
        <v>0.0</v>
      </c>
      <c r="F123" s="75" t="s">
        <v>950</v>
      </c>
      <c r="G123" s="82">
        <v>46110.0</v>
      </c>
      <c r="H123" s="76" t="s">
        <v>984</v>
      </c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>
      <c r="A124" s="75" t="s">
        <v>985</v>
      </c>
      <c r="B124" s="75" t="s">
        <v>976</v>
      </c>
      <c r="C124" s="75">
        <v>4.6</v>
      </c>
      <c r="D124" s="75">
        <v>0.0</v>
      </c>
      <c r="E124" s="75">
        <v>0.0</v>
      </c>
      <c r="F124" s="75" t="s">
        <v>950</v>
      </c>
      <c r="G124" s="82">
        <v>46110.0</v>
      </c>
      <c r="H124" s="76" t="s">
        <v>936</v>
      </c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>
      <c r="A125" s="75" t="s">
        <v>985</v>
      </c>
      <c r="B125" s="75" t="s">
        <v>976</v>
      </c>
      <c r="C125" s="75">
        <v>3.04</v>
      </c>
      <c r="D125" s="75">
        <v>0.0</v>
      </c>
      <c r="E125" s="75">
        <v>0.0</v>
      </c>
      <c r="F125" s="75" t="s">
        <v>950</v>
      </c>
      <c r="G125" s="82">
        <v>46110.0</v>
      </c>
      <c r="H125" s="76" t="s">
        <v>937</v>
      </c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>
      <c r="A126" s="75" t="s">
        <v>985</v>
      </c>
      <c r="B126" s="75" t="s">
        <v>976</v>
      </c>
      <c r="C126" s="75">
        <v>8.45</v>
      </c>
      <c r="D126" s="75">
        <v>1.0</v>
      </c>
      <c r="E126" s="75">
        <v>8.45</v>
      </c>
      <c r="F126" s="75" t="s">
        <v>950</v>
      </c>
      <c r="G126" s="82">
        <v>46110.0</v>
      </c>
      <c r="H126" s="76" t="s">
        <v>938</v>
      </c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>
      <c r="A127" s="75" t="s">
        <v>51</v>
      </c>
      <c r="B127" s="75" t="s">
        <v>976</v>
      </c>
      <c r="C127" s="75">
        <v>24.02</v>
      </c>
      <c r="D127" s="75">
        <v>2.0</v>
      </c>
      <c r="E127" s="75">
        <v>12.01</v>
      </c>
      <c r="F127" s="75" t="s">
        <v>950</v>
      </c>
      <c r="G127" s="82">
        <v>46110.0</v>
      </c>
      <c r="H127" s="76" t="s">
        <v>986</v>
      </c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>
      <c r="A128" s="75" t="s">
        <v>51</v>
      </c>
      <c r="B128" s="75" t="s">
        <v>976</v>
      </c>
      <c r="C128" s="75">
        <v>6.32</v>
      </c>
      <c r="D128" s="75">
        <v>0.0</v>
      </c>
      <c r="E128" s="75">
        <v>0.0</v>
      </c>
      <c r="F128" s="75" t="s">
        <v>950</v>
      </c>
      <c r="G128" s="82">
        <v>46110.0</v>
      </c>
      <c r="H128" s="76" t="s">
        <v>987</v>
      </c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>
      <c r="A129" s="75" t="s">
        <v>54</v>
      </c>
      <c r="B129" s="75" t="s">
        <v>976</v>
      </c>
      <c r="C129" s="75">
        <v>5.58</v>
      </c>
      <c r="D129" s="75">
        <v>0.0</v>
      </c>
      <c r="E129" s="75">
        <v>0.0</v>
      </c>
      <c r="F129" s="75" t="s">
        <v>974</v>
      </c>
      <c r="G129" s="82">
        <v>46110.0</v>
      </c>
      <c r="H129" s="76" t="s">
        <v>977</v>
      </c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>
      <c r="A130" s="75" t="s">
        <v>54</v>
      </c>
      <c r="B130" s="75" t="s">
        <v>976</v>
      </c>
      <c r="C130" s="75">
        <v>4.85</v>
      </c>
      <c r="D130" s="75">
        <v>0.0</v>
      </c>
      <c r="E130" s="75">
        <v>0.0</v>
      </c>
      <c r="F130" s="75" t="s">
        <v>974</v>
      </c>
      <c r="G130" s="82">
        <v>46110.0</v>
      </c>
      <c r="H130" s="76" t="s">
        <v>978</v>
      </c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>
      <c r="A131" s="75" t="s">
        <v>54</v>
      </c>
      <c r="B131" s="75" t="s">
        <v>976</v>
      </c>
      <c r="C131" s="75">
        <v>3.54</v>
      </c>
      <c r="D131" s="75">
        <v>0.0</v>
      </c>
      <c r="E131" s="75">
        <v>0.0</v>
      </c>
      <c r="F131" s="75" t="s">
        <v>974</v>
      </c>
      <c r="G131" s="82">
        <v>46110.0</v>
      </c>
      <c r="H131" s="76" t="s">
        <v>979</v>
      </c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>
      <c r="A132" s="75" t="s">
        <v>55</v>
      </c>
      <c r="B132" s="75" t="s">
        <v>976</v>
      </c>
      <c r="C132" s="75">
        <v>4.44</v>
      </c>
      <c r="D132" s="75">
        <v>0.0</v>
      </c>
      <c r="E132" s="75">
        <v>0.0</v>
      </c>
      <c r="F132" s="75" t="s">
        <v>974</v>
      </c>
      <c r="G132" s="82">
        <v>46110.0</v>
      </c>
      <c r="H132" s="76" t="s">
        <v>980</v>
      </c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>
      <c r="A133" s="75" t="s">
        <v>55</v>
      </c>
      <c r="B133" s="75" t="s">
        <v>976</v>
      </c>
      <c r="C133" s="75">
        <v>9.19</v>
      </c>
      <c r="D133" s="75">
        <v>0.0</v>
      </c>
      <c r="E133" s="75">
        <v>0.0</v>
      </c>
      <c r="F133" s="75" t="s">
        <v>974</v>
      </c>
      <c r="G133" s="82">
        <v>46110.0</v>
      </c>
      <c r="H133" s="76" t="s">
        <v>981</v>
      </c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>
      <c r="A134" s="75" t="s">
        <v>53</v>
      </c>
      <c r="B134" s="75" t="s">
        <v>976</v>
      </c>
      <c r="C134" s="75">
        <v>7.38</v>
      </c>
      <c r="D134" s="75">
        <v>0.0</v>
      </c>
      <c r="E134" s="75">
        <v>0.0</v>
      </c>
      <c r="F134" s="75" t="s">
        <v>974</v>
      </c>
      <c r="G134" s="82">
        <v>46110.0</v>
      </c>
      <c r="H134" s="76" t="s">
        <v>982</v>
      </c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>
      <c r="A135" s="75" t="s">
        <v>53</v>
      </c>
      <c r="B135" s="75" t="s">
        <v>976</v>
      </c>
      <c r="C135" s="75">
        <v>1.9</v>
      </c>
      <c r="D135" s="75">
        <v>0.0</v>
      </c>
      <c r="E135" s="75">
        <v>0.0</v>
      </c>
      <c r="F135" s="75" t="s">
        <v>974</v>
      </c>
      <c r="G135" s="82">
        <v>46110.0</v>
      </c>
      <c r="H135" s="76" t="s">
        <v>983</v>
      </c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>
      <c r="A136" s="75" t="s">
        <v>53</v>
      </c>
      <c r="B136" s="75" t="s">
        <v>976</v>
      </c>
      <c r="C136" s="75">
        <v>2.17</v>
      </c>
      <c r="D136" s="75">
        <v>0.0</v>
      </c>
      <c r="E136" s="75">
        <v>0.0</v>
      </c>
      <c r="F136" s="75" t="s">
        <v>974</v>
      </c>
      <c r="G136" s="82">
        <v>46110.0</v>
      </c>
      <c r="H136" s="76" t="s">
        <v>984</v>
      </c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>
      <c r="A137" s="75" t="s">
        <v>985</v>
      </c>
      <c r="B137" s="75" t="s">
        <v>976</v>
      </c>
      <c r="C137" s="75">
        <v>3.02</v>
      </c>
      <c r="D137" s="75">
        <v>0.0</v>
      </c>
      <c r="E137" s="75">
        <v>0.0</v>
      </c>
      <c r="F137" s="75" t="s">
        <v>974</v>
      </c>
      <c r="G137" s="82">
        <v>46110.0</v>
      </c>
      <c r="H137" s="76" t="s">
        <v>936</v>
      </c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>
      <c r="A138" s="75" t="s">
        <v>985</v>
      </c>
      <c r="B138" s="75" t="s">
        <v>976</v>
      </c>
      <c r="C138" s="75">
        <v>2.17</v>
      </c>
      <c r="D138" s="75">
        <v>0.0</v>
      </c>
      <c r="E138" s="75">
        <v>0.0</v>
      </c>
      <c r="F138" s="75" t="s">
        <v>974</v>
      </c>
      <c r="G138" s="82">
        <v>46110.0</v>
      </c>
      <c r="H138" s="76" t="s">
        <v>937</v>
      </c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>
      <c r="A139" s="75" t="s">
        <v>985</v>
      </c>
      <c r="B139" s="75" t="s">
        <v>976</v>
      </c>
      <c r="C139" s="75">
        <v>5.74</v>
      </c>
      <c r="D139" s="75">
        <v>0.0</v>
      </c>
      <c r="E139" s="75">
        <v>0.0</v>
      </c>
      <c r="F139" s="75" t="s">
        <v>974</v>
      </c>
      <c r="G139" s="82">
        <v>46110.0</v>
      </c>
      <c r="H139" s="76" t="s">
        <v>938</v>
      </c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>
      <c r="A140" s="75" t="s">
        <v>51</v>
      </c>
      <c r="B140" s="75" t="s">
        <v>976</v>
      </c>
      <c r="C140" s="75">
        <v>12.66</v>
      </c>
      <c r="D140" s="75">
        <v>0.0</v>
      </c>
      <c r="E140" s="75">
        <v>0.0</v>
      </c>
      <c r="F140" s="75" t="s">
        <v>974</v>
      </c>
      <c r="G140" s="82">
        <v>46110.0</v>
      </c>
      <c r="H140" s="76" t="s">
        <v>986</v>
      </c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>
      <c r="A141" s="75" t="s">
        <v>51</v>
      </c>
      <c r="B141" s="75" t="s">
        <v>976</v>
      </c>
      <c r="C141" s="75">
        <v>3.46</v>
      </c>
      <c r="D141" s="75">
        <v>0.0</v>
      </c>
      <c r="E141" s="75">
        <v>0.0</v>
      </c>
      <c r="F141" s="75" t="s">
        <v>974</v>
      </c>
      <c r="G141" s="82">
        <v>46110.0</v>
      </c>
      <c r="H141" s="76" t="s">
        <v>987</v>
      </c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>
      <c r="A142" s="75" t="s">
        <v>54</v>
      </c>
      <c r="B142" s="75" t="s">
        <v>976</v>
      </c>
      <c r="C142" s="75">
        <v>4.32</v>
      </c>
      <c r="D142" s="75">
        <v>1.0</v>
      </c>
      <c r="E142" s="75">
        <v>4.32</v>
      </c>
      <c r="F142" s="75" t="s">
        <v>975</v>
      </c>
      <c r="G142" s="82">
        <v>46110.0</v>
      </c>
      <c r="H142" s="76" t="s">
        <v>977</v>
      </c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>
      <c r="A143" s="75" t="s">
        <v>54</v>
      </c>
      <c r="B143" s="75" t="s">
        <v>976</v>
      </c>
      <c r="C143" s="75">
        <v>3.97</v>
      </c>
      <c r="D143" s="75">
        <v>0.0</v>
      </c>
      <c r="E143" s="75">
        <v>0.0</v>
      </c>
      <c r="F143" s="75" t="s">
        <v>975</v>
      </c>
      <c r="G143" s="82">
        <v>46110.0</v>
      </c>
      <c r="H143" s="76" t="s">
        <v>978</v>
      </c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>
      <c r="A144" s="75" t="s">
        <v>54</v>
      </c>
      <c r="B144" s="75" t="s">
        <v>976</v>
      </c>
      <c r="C144" s="75">
        <v>3.12</v>
      </c>
      <c r="D144" s="75">
        <v>0.0</v>
      </c>
      <c r="E144" s="75">
        <v>0.0</v>
      </c>
      <c r="F144" s="75" t="s">
        <v>975</v>
      </c>
      <c r="G144" s="82">
        <v>46110.0</v>
      </c>
      <c r="H144" s="76" t="s">
        <v>979</v>
      </c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>
      <c r="A145" s="75" t="s">
        <v>55</v>
      </c>
      <c r="B145" s="75" t="s">
        <v>976</v>
      </c>
      <c r="C145" s="75">
        <v>4.07</v>
      </c>
      <c r="D145" s="75">
        <v>0.0</v>
      </c>
      <c r="E145" s="75">
        <v>0.0</v>
      </c>
      <c r="F145" s="75" t="s">
        <v>975</v>
      </c>
      <c r="G145" s="82">
        <v>46110.0</v>
      </c>
      <c r="H145" s="76" t="s">
        <v>980</v>
      </c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>
      <c r="A146" s="75" t="s">
        <v>55</v>
      </c>
      <c r="B146" s="75" t="s">
        <v>976</v>
      </c>
      <c r="C146" s="75">
        <v>7.1</v>
      </c>
      <c r="D146" s="75">
        <v>0.0</v>
      </c>
      <c r="E146" s="75">
        <v>0.0</v>
      </c>
      <c r="F146" s="75" t="s">
        <v>975</v>
      </c>
      <c r="G146" s="82">
        <v>46110.0</v>
      </c>
      <c r="H146" s="76" t="s">
        <v>981</v>
      </c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>
      <c r="A147" s="75" t="s">
        <v>53</v>
      </c>
      <c r="B147" s="75" t="s">
        <v>976</v>
      </c>
      <c r="C147" s="75">
        <v>5.6</v>
      </c>
      <c r="D147" s="75">
        <v>0.0</v>
      </c>
      <c r="E147" s="75">
        <v>0.0</v>
      </c>
      <c r="F147" s="75" t="s">
        <v>975</v>
      </c>
      <c r="G147" s="82">
        <v>46110.0</v>
      </c>
      <c r="H147" s="76" t="s">
        <v>982</v>
      </c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>
      <c r="A148" s="75" t="s">
        <v>53</v>
      </c>
      <c r="B148" s="75" t="s">
        <v>976</v>
      </c>
      <c r="C148" s="75">
        <v>1.22</v>
      </c>
      <c r="D148" s="75">
        <v>0.0</v>
      </c>
      <c r="E148" s="75">
        <v>0.0</v>
      </c>
      <c r="F148" s="75" t="s">
        <v>975</v>
      </c>
      <c r="G148" s="82">
        <v>46110.0</v>
      </c>
      <c r="H148" s="76" t="s">
        <v>983</v>
      </c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>
      <c r="A149" s="75" t="s">
        <v>53</v>
      </c>
      <c r="B149" s="75" t="s">
        <v>976</v>
      </c>
      <c r="C149" s="75">
        <v>2.26</v>
      </c>
      <c r="D149" s="75">
        <v>0.0</v>
      </c>
      <c r="E149" s="75">
        <v>0.0</v>
      </c>
      <c r="F149" s="75" t="s">
        <v>975</v>
      </c>
      <c r="G149" s="82">
        <v>46110.0</v>
      </c>
      <c r="H149" s="76" t="s">
        <v>984</v>
      </c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>
      <c r="A150" s="75" t="s">
        <v>985</v>
      </c>
      <c r="B150" s="75" t="s">
        <v>976</v>
      </c>
      <c r="C150" s="75">
        <v>2.41</v>
      </c>
      <c r="D150" s="75">
        <v>0.0</v>
      </c>
      <c r="E150" s="75">
        <v>0.0</v>
      </c>
      <c r="F150" s="75" t="s">
        <v>975</v>
      </c>
      <c r="G150" s="82">
        <v>46110.0</v>
      </c>
      <c r="H150" s="76" t="s">
        <v>936</v>
      </c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>
      <c r="A151" s="75" t="s">
        <v>985</v>
      </c>
      <c r="B151" s="75" t="s">
        <v>976</v>
      </c>
      <c r="C151" s="75">
        <v>2.24</v>
      </c>
      <c r="D151" s="75">
        <v>0.0</v>
      </c>
      <c r="E151" s="75">
        <v>0.0</v>
      </c>
      <c r="F151" s="75" t="s">
        <v>975</v>
      </c>
      <c r="G151" s="82">
        <v>46110.0</v>
      </c>
      <c r="H151" s="76" t="s">
        <v>937</v>
      </c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>
      <c r="A152" s="75" t="s">
        <v>985</v>
      </c>
      <c r="B152" s="75" t="s">
        <v>976</v>
      </c>
      <c r="C152" s="75">
        <v>4.17</v>
      </c>
      <c r="D152" s="75">
        <v>0.0</v>
      </c>
      <c r="E152" s="75">
        <v>0.0</v>
      </c>
      <c r="F152" s="75" t="s">
        <v>975</v>
      </c>
      <c r="G152" s="82">
        <v>46110.0</v>
      </c>
      <c r="H152" s="76" t="s">
        <v>938</v>
      </c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>
      <c r="A153" s="75" t="s">
        <v>51</v>
      </c>
      <c r="B153" s="75" t="s">
        <v>976</v>
      </c>
      <c r="C153" s="75">
        <v>10.74</v>
      </c>
      <c r="D153" s="75">
        <v>0.0</v>
      </c>
      <c r="E153" s="75">
        <v>0.0</v>
      </c>
      <c r="F153" s="75" t="s">
        <v>975</v>
      </c>
      <c r="G153" s="82">
        <v>46110.0</v>
      </c>
      <c r="H153" s="76" t="s">
        <v>986</v>
      </c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>
      <c r="A154" s="75" t="s">
        <v>51</v>
      </c>
      <c r="B154" s="75" t="s">
        <v>976</v>
      </c>
      <c r="C154" s="75">
        <v>3.26</v>
      </c>
      <c r="D154" s="75">
        <v>0.0</v>
      </c>
      <c r="E154" s="75">
        <v>0.0</v>
      </c>
      <c r="F154" s="75" t="s">
        <v>975</v>
      </c>
      <c r="G154" s="82">
        <v>46110.0</v>
      </c>
      <c r="H154" s="76" t="s">
        <v>987</v>
      </c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>
      <c r="A155" s="75" t="s">
        <v>54</v>
      </c>
      <c r="B155" s="75" t="s">
        <v>988</v>
      </c>
      <c r="C155" s="75">
        <v>12.83</v>
      </c>
      <c r="D155" s="75">
        <v>0.0</v>
      </c>
      <c r="E155" s="75">
        <v>0.0</v>
      </c>
      <c r="F155" s="75" t="s">
        <v>925</v>
      </c>
      <c r="G155" s="82">
        <v>46110.0</v>
      </c>
      <c r="H155" s="76" t="s">
        <v>977</v>
      </c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>
      <c r="A156" s="75" t="s">
        <v>54</v>
      </c>
      <c r="B156" s="75" t="s">
        <v>988</v>
      </c>
      <c r="C156" s="75">
        <v>9.47</v>
      </c>
      <c r="D156" s="75">
        <v>0.0</v>
      </c>
      <c r="E156" s="75">
        <v>0.0</v>
      </c>
      <c r="F156" s="75" t="s">
        <v>925</v>
      </c>
      <c r="G156" s="82">
        <v>46110.0</v>
      </c>
      <c r="H156" s="76" t="s">
        <v>978</v>
      </c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>
      <c r="A157" s="75" t="s">
        <v>54</v>
      </c>
      <c r="B157" s="75" t="s">
        <v>988</v>
      </c>
      <c r="C157" s="75">
        <v>6.87</v>
      </c>
      <c r="D157" s="75">
        <v>0.0</v>
      </c>
      <c r="E157" s="75">
        <v>0.0</v>
      </c>
      <c r="F157" s="75" t="s">
        <v>925</v>
      </c>
      <c r="G157" s="82">
        <v>46110.0</v>
      </c>
      <c r="H157" s="76" t="s">
        <v>979</v>
      </c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>
      <c r="A158" s="75" t="s">
        <v>55</v>
      </c>
      <c r="B158" s="75" t="s">
        <v>988</v>
      </c>
      <c r="C158" s="75">
        <v>9.26</v>
      </c>
      <c r="D158" s="75">
        <v>0.0</v>
      </c>
      <c r="E158" s="75">
        <v>0.0</v>
      </c>
      <c r="F158" s="75" t="s">
        <v>925</v>
      </c>
      <c r="G158" s="82">
        <v>46110.0</v>
      </c>
      <c r="H158" s="76" t="s">
        <v>980</v>
      </c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>
      <c r="A159" s="75" t="s">
        <v>55</v>
      </c>
      <c r="B159" s="75" t="s">
        <v>988</v>
      </c>
      <c r="C159" s="75">
        <v>21.31</v>
      </c>
      <c r="D159" s="75">
        <v>0.0</v>
      </c>
      <c r="E159" s="75">
        <v>0.0</v>
      </c>
      <c r="F159" s="75" t="s">
        <v>925</v>
      </c>
      <c r="G159" s="82">
        <v>46110.0</v>
      </c>
      <c r="H159" s="76" t="s">
        <v>981</v>
      </c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>
      <c r="A160" s="75" t="s">
        <v>53</v>
      </c>
      <c r="B160" s="75" t="s">
        <v>988</v>
      </c>
      <c r="C160" s="75">
        <v>14.75</v>
      </c>
      <c r="D160" s="75">
        <v>1.0</v>
      </c>
      <c r="E160" s="75">
        <v>14.75</v>
      </c>
      <c r="F160" s="75" t="s">
        <v>925</v>
      </c>
      <c r="G160" s="82">
        <v>46110.0</v>
      </c>
      <c r="H160" s="76" t="s">
        <v>982</v>
      </c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>
      <c r="A161" s="75" t="s">
        <v>53</v>
      </c>
      <c r="B161" s="75" t="s">
        <v>988</v>
      </c>
      <c r="C161" s="75">
        <v>3.26</v>
      </c>
      <c r="D161" s="75">
        <v>0.0</v>
      </c>
      <c r="E161" s="75">
        <v>0.0</v>
      </c>
      <c r="F161" s="75" t="s">
        <v>925</v>
      </c>
      <c r="G161" s="82">
        <v>46110.0</v>
      </c>
      <c r="H161" s="76" t="s">
        <v>983</v>
      </c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>
      <c r="A162" s="75" t="s">
        <v>53</v>
      </c>
      <c r="B162" s="75" t="s">
        <v>988</v>
      </c>
      <c r="C162" s="75">
        <v>4.5</v>
      </c>
      <c r="D162" s="75">
        <v>0.0</v>
      </c>
      <c r="E162" s="75">
        <v>0.0</v>
      </c>
      <c r="F162" s="75" t="s">
        <v>925</v>
      </c>
      <c r="G162" s="82">
        <v>46110.0</v>
      </c>
      <c r="H162" s="76" t="s">
        <v>984</v>
      </c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>
      <c r="A163" s="75" t="s">
        <v>985</v>
      </c>
      <c r="B163" s="75" t="s">
        <v>988</v>
      </c>
      <c r="C163" s="75">
        <v>5.22</v>
      </c>
      <c r="D163" s="75">
        <v>0.0</v>
      </c>
      <c r="E163" s="75">
        <v>0.0</v>
      </c>
      <c r="F163" s="75" t="s">
        <v>925</v>
      </c>
      <c r="G163" s="82">
        <v>46110.0</v>
      </c>
      <c r="H163" s="76" t="s">
        <v>936</v>
      </c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>
      <c r="A164" s="75" t="s">
        <v>985</v>
      </c>
      <c r="B164" s="75" t="s">
        <v>988</v>
      </c>
      <c r="C164" s="75">
        <v>5.27</v>
      </c>
      <c r="D164" s="75">
        <v>0.0</v>
      </c>
      <c r="E164" s="75">
        <v>0.0</v>
      </c>
      <c r="F164" s="75" t="s">
        <v>925</v>
      </c>
      <c r="G164" s="82">
        <v>46110.0</v>
      </c>
      <c r="H164" s="76" t="s">
        <v>937</v>
      </c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>
      <c r="A165" s="75" t="s">
        <v>985</v>
      </c>
      <c r="B165" s="75" t="s">
        <v>988</v>
      </c>
      <c r="C165" s="75">
        <v>10.7</v>
      </c>
      <c r="D165" s="75">
        <v>0.0</v>
      </c>
      <c r="E165" s="75">
        <v>0.0</v>
      </c>
      <c r="F165" s="75" t="s">
        <v>925</v>
      </c>
      <c r="G165" s="82">
        <v>46110.0</v>
      </c>
      <c r="H165" s="76" t="s">
        <v>938</v>
      </c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>
      <c r="A166" s="75" t="s">
        <v>51</v>
      </c>
      <c r="B166" s="75" t="s">
        <v>988</v>
      </c>
      <c r="C166" s="75">
        <v>21.78</v>
      </c>
      <c r="D166" s="75">
        <v>0.0</v>
      </c>
      <c r="E166" s="75">
        <v>0.0</v>
      </c>
      <c r="F166" s="75" t="s">
        <v>925</v>
      </c>
      <c r="G166" s="82">
        <v>46110.0</v>
      </c>
      <c r="H166" s="76" t="s">
        <v>986</v>
      </c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>
      <c r="A167" s="75" t="s">
        <v>51</v>
      </c>
      <c r="B167" s="75" t="s">
        <v>988</v>
      </c>
      <c r="C167" s="75">
        <v>8.52</v>
      </c>
      <c r="D167" s="75">
        <v>0.0</v>
      </c>
      <c r="E167" s="75">
        <v>0.0</v>
      </c>
      <c r="F167" s="75" t="s">
        <v>925</v>
      </c>
      <c r="G167" s="82">
        <v>46110.0</v>
      </c>
      <c r="H167" s="76" t="s">
        <v>987</v>
      </c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>
      <c r="A168" s="75" t="s">
        <v>54</v>
      </c>
      <c r="B168" s="75" t="s">
        <v>988</v>
      </c>
      <c r="C168" s="75">
        <v>10.35</v>
      </c>
      <c r="D168" s="75">
        <v>0.0</v>
      </c>
      <c r="E168" s="75">
        <v>0.0</v>
      </c>
      <c r="F168" s="75" t="s">
        <v>948</v>
      </c>
      <c r="G168" s="82">
        <v>46110.0</v>
      </c>
      <c r="H168" s="76" t="s">
        <v>977</v>
      </c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>
      <c r="A169" s="75" t="s">
        <v>54</v>
      </c>
      <c r="B169" s="75" t="s">
        <v>988</v>
      </c>
      <c r="C169" s="75">
        <v>7.17</v>
      </c>
      <c r="D169" s="75">
        <v>0.0</v>
      </c>
      <c r="E169" s="75">
        <v>0.0</v>
      </c>
      <c r="F169" s="75" t="s">
        <v>948</v>
      </c>
      <c r="G169" s="82">
        <v>46110.0</v>
      </c>
      <c r="H169" s="76" t="s">
        <v>978</v>
      </c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>
      <c r="A170" s="75" t="s">
        <v>54</v>
      </c>
      <c r="B170" s="75" t="s">
        <v>988</v>
      </c>
      <c r="C170" s="75">
        <v>4.92</v>
      </c>
      <c r="D170" s="75">
        <v>0.0</v>
      </c>
      <c r="E170" s="75">
        <v>0.0</v>
      </c>
      <c r="F170" s="75" t="s">
        <v>948</v>
      </c>
      <c r="G170" s="82">
        <v>46110.0</v>
      </c>
      <c r="H170" s="76" t="s">
        <v>979</v>
      </c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>
      <c r="A171" s="75" t="s">
        <v>55</v>
      </c>
      <c r="B171" s="75" t="s">
        <v>988</v>
      </c>
      <c r="C171" s="75">
        <v>7.09</v>
      </c>
      <c r="D171" s="75">
        <v>0.0</v>
      </c>
      <c r="E171" s="75">
        <v>0.0</v>
      </c>
      <c r="F171" s="75" t="s">
        <v>948</v>
      </c>
      <c r="G171" s="82">
        <v>46110.0</v>
      </c>
      <c r="H171" s="76" t="s">
        <v>980</v>
      </c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>
      <c r="A172" s="75" t="s">
        <v>55</v>
      </c>
      <c r="B172" s="75" t="s">
        <v>988</v>
      </c>
      <c r="C172" s="75">
        <v>15.66</v>
      </c>
      <c r="D172" s="75">
        <v>0.0</v>
      </c>
      <c r="E172" s="75">
        <v>0.0</v>
      </c>
      <c r="F172" s="75" t="s">
        <v>948</v>
      </c>
      <c r="G172" s="82">
        <v>46110.0</v>
      </c>
      <c r="H172" s="76" t="s">
        <v>981</v>
      </c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>
      <c r="A173" s="75" t="s">
        <v>53</v>
      </c>
      <c r="B173" s="75" t="s">
        <v>988</v>
      </c>
      <c r="C173" s="75">
        <v>10.28</v>
      </c>
      <c r="D173" s="75">
        <v>0.0</v>
      </c>
      <c r="E173" s="75">
        <v>0.0</v>
      </c>
      <c r="F173" s="75" t="s">
        <v>948</v>
      </c>
      <c r="G173" s="82">
        <v>46110.0</v>
      </c>
      <c r="H173" s="76" t="s">
        <v>982</v>
      </c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>
      <c r="A174" s="75" t="s">
        <v>53</v>
      </c>
      <c r="B174" s="75" t="s">
        <v>988</v>
      </c>
      <c r="C174" s="75">
        <v>2.61</v>
      </c>
      <c r="D174" s="75">
        <v>0.0</v>
      </c>
      <c r="E174" s="75">
        <v>0.0</v>
      </c>
      <c r="F174" s="75" t="s">
        <v>948</v>
      </c>
      <c r="G174" s="82">
        <v>46110.0</v>
      </c>
      <c r="H174" s="76" t="s">
        <v>983</v>
      </c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>
      <c r="A175" s="75" t="s">
        <v>53</v>
      </c>
      <c r="B175" s="75" t="s">
        <v>988</v>
      </c>
      <c r="C175" s="75">
        <v>3.66</v>
      </c>
      <c r="D175" s="75">
        <v>0.0</v>
      </c>
      <c r="E175" s="75">
        <v>0.0</v>
      </c>
      <c r="F175" s="75" t="s">
        <v>948</v>
      </c>
      <c r="G175" s="82">
        <v>46110.0</v>
      </c>
      <c r="H175" s="76" t="s">
        <v>984</v>
      </c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>
      <c r="A176" s="75" t="s">
        <v>985</v>
      </c>
      <c r="B176" s="75" t="s">
        <v>988</v>
      </c>
      <c r="C176" s="75">
        <v>3.97</v>
      </c>
      <c r="D176" s="75">
        <v>0.0</v>
      </c>
      <c r="E176" s="75">
        <v>0.0</v>
      </c>
      <c r="F176" s="75" t="s">
        <v>948</v>
      </c>
      <c r="G176" s="82">
        <v>46110.0</v>
      </c>
      <c r="H176" s="76" t="s">
        <v>936</v>
      </c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>
      <c r="A177" s="75" t="s">
        <v>985</v>
      </c>
      <c r="B177" s="75" t="s">
        <v>988</v>
      </c>
      <c r="C177" s="75">
        <v>3.89</v>
      </c>
      <c r="D177" s="75">
        <v>0.0</v>
      </c>
      <c r="E177" s="75">
        <v>0.0</v>
      </c>
      <c r="F177" s="75" t="s">
        <v>948</v>
      </c>
      <c r="G177" s="82">
        <v>46110.0</v>
      </c>
      <c r="H177" s="76" t="s">
        <v>937</v>
      </c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>
      <c r="A178" s="75" t="s">
        <v>985</v>
      </c>
      <c r="B178" s="75" t="s">
        <v>988</v>
      </c>
      <c r="C178" s="75">
        <v>8.75</v>
      </c>
      <c r="D178" s="75">
        <v>0.0</v>
      </c>
      <c r="E178" s="75">
        <v>0.0</v>
      </c>
      <c r="F178" s="75" t="s">
        <v>948</v>
      </c>
      <c r="G178" s="82">
        <v>46110.0</v>
      </c>
      <c r="H178" s="76" t="s">
        <v>938</v>
      </c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>
      <c r="A179" s="75" t="s">
        <v>51</v>
      </c>
      <c r="B179" s="75" t="s">
        <v>988</v>
      </c>
      <c r="C179" s="75">
        <v>18.85</v>
      </c>
      <c r="D179" s="75">
        <v>0.0</v>
      </c>
      <c r="E179" s="75">
        <v>0.0</v>
      </c>
      <c r="F179" s="75" t="s">
        <v>948</v>
      </c>
      <c r="G179" s="82">
        <v>46110.0</v>
      </c>
      <c r="H179" s="76" t="s">
        <v>986</v>
      </c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>
      <c r="A180" s="75" t="s">
        <v>51</v>
      </c>
      <c r="B180" s="75" t="s">
        <v>988</v>
      </c>
      <c r="C180" s="75">
        <v>6.25</v>
      </c>
      <c r="D180" s="75">
        <v>0.0</v>
      </c>
      <c r="E180" s="75">
        <v>0.0</v>
      </c>
      <c r="F180" s="75" t="s">
        <v>948</v>
      </c>
      <c r="G180" s="82">
        <v>46110.0</v>
      </c>
      <c r="H180" s="76" t="s">
        <v>987</v>
      </c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>
      <c r="A181" s="75" t="s">
        <v>36</v>
      </c>
      <c r="B181" s="75" t="s">
        <v>989</v>
      </c>
      <c r="C181" s="75">
        <v>3.08</v>
      </c>
      <c r="D181" s="75">
        <v>0.0</v>
      </c>
      <c r="E181" s="75">
        <v>0.0</v>
      </c>
      <c r="F181" s="75" t="s">
        <v>990</v>
      </c>
      <c r="G181" s="82">
        <v>46110.0</v>
      </c>
      <c r="H181" s="76" t="s">
        <v>926</v>
      </c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>
      <c r="A182" s="75" t="s">
        <v>36</v>
      </c>
      <c r="B182" s="75" t="s">
        <v>989</v>
      </c>
      <c r="C182" s="75">
        <v>0.75</v>
      </c>
      <c r="D182" s="75">
        <v>0.0</v>
      </c>
      <c r="E182" s="75">
        <v>0.0</v>
      </c>
      <c r="F182" s="75" t="s">
        <v>990</v>
      </c>
      <c r="G182" s="82">
        <v>46110.0</v>
      </c>
      <c r="H182" s="76" t="s">
        <v>927</v>
      </c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>
      <c r="A183" s="75" t="s">
        <v>36</v>
      </c>
      <c r="B183" s="75" t="s">
        <v>989</v>
      </c>
      <c r="C183" s="75">
        <v>0.81</v>
      </c>
      <c r="D183" s="75">
        <v>0.0</v>
      </c>
      <c r="E183" s="75">
        <v>0.0</v>
      </c>
      <c r="F183" s="75" t="s">
        <v>990</v>
      </c>
      <c r="G183" s="82">
        <v>46110.0</v>
      </c>
      <c r="H183" s="76" t="s">
        <v>928</v>
      </c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>
      <c r="A184" s="75" t="s">
        <v>31</v>
      </c>
      <c r="B184" s="75" t="s">
        <v>989</v>
      </c>
      <c r="C184" s="75">
        <v>1.23</v>
      </c>
      <c r="D184" s="75">
        <v>0.0</v>
      </c>
      <c r="E184" s="75">
        <v>0.0</v>
      </c>
      <c r="F184" s="75" t="s">
        <v>990</v>
      </c>
      <c r="G184" s="82">
        <v>46110.0</v>
      </c>
      <c r="H184" s="76" t="s">
        <v>929</v>
      </c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>
      <c r="A185" s="75" t="s">
        <v>31</v>
      </c>
      <c r="B185" s="75" t="s">
        <v>989</v>
      </c>
      <c r="C185" s="75">
        <v>4.8</v>
      </c>
      <c r="D185" s="75">
        <v>0.0</v>
      </c>
      <c r="E185" s="75">
        <v>0.0</v>
      </c>
      <c r="F185" s="75" t="s">
        <v>990</v>
      </c>
      <c r="G185" s="82">
        <v>46110.0</v>
      </c>
      <c r="H185" s="76" t="s">
        <v>930</v>
      </c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>
      <c r="A186" s="75" t="s">
        <v>28</v>
      </c>
      <c r="B186" s="75" t="s">
        <v>989</v>
      </c>
      <c r="C186" s="75">
        <v>0.45</v>
      </c>
      <c r="D186" s="75">
        <v>0.0</v>
      </c>
      <c r="E186" s="75">
        <v>0.0</v>
      </c>
      <c r="F186" s="75" t="s">
        <v>990</v>
      </c>
      <c r="G186" s="82">
        <v>46110.0</v>
      </c>
      <c r="H186" s="76" t="s">
        <v>931</v>
      </c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>
      <c r="A187" s="75" t="s">
        <v>28</v>
      </c>
      <c r="B187" s="75" t="s">
        <v>989</v>
      </c>
      <c r="C187" s="75">
        <v>0.89</v>
      </c>
      <c r="D187" s="75">
        <v>0.0</v>
      </c>
      <c r="E187" s="75">
        <v>0.0</v>
      </c>
      <c r="F187" s="75" t="s">
        <v>990</v>
      </c>
      <c r="G187" s="82">
        <v>46110.0</v>
      </c>
      <c r="H187" s="76" t="s">
        <v>932</v>
      </c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>
      <c r="A188" s="75" t="s">
        <v>28</v>
      </c>
      <c r="B188" s="75" t="s">
        <v>989</v>
      </c>
      <c r="C188" s="75">
        <v>3.46</v>
      </c>
      <c r="D188" s="75">
        <v>0.0</v>
      </c>
      <c r="E188" s="75">
        <v>0.0</v>
      </c>
      <c r="F188" s="75" t="s">
        <v>990</v>
      </c>
      <c r="G188" s="82">
        <v>46110.0</v>
      </c>
      <c r="H188" s="76" t="s">
        <v>933</v>
      </c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>
      <c r="A189" s="75" t="s">
        <v>42</v>
      </c>
      <c r="B189" s="75" t="s">
        <v>989</v>
      </c>
      <c r="C189" s="75">
        <v>1.61</v>
      </c>
      <c r="D189" s="75">
        <v>0.0</v>
      </c>
      <c r="E189" s="75">
        <v>0.0</v>
      </c>
      <c r="F189" s="75" t="s">
        <v>990</v>
      </c>
      <c r="G189" s="82">
        <v>46110.0</v>
      </c>
      <c r="H189" s="76" t="s">
        <v>934</v>
      </c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>
      <c r="A190" s="75" t="s">
        <v>42</v>
      </c>
      <c r="B190" s="75" t="s">
        <v>989</v>
      </c>
      <c r="C190" s="75">
        <v>0.0</v>
      </c>
      <c r="D190" s="75">
        <v>0.0</v>
      </c>
      <c r="E190" s="75">
        <v>0.0</v>
      </c>
      <c r="F190" s="75" t="s">
        <v>990</v>
      </c>
      <c r="G190" s="82">
        <v>46110.0</v>
      </c>
      <c r="H190" s="76" t="s">
        <v>991</v>
      </c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>
      <c r="A191" s="75" t="s">
        <v>42</v>
      </c>
      <c r="B191" s="75" t="s">
        <v>989</v>
      </c>
      <c r="C191" s="75">
        <v>2.79</v>
      </c>
      <c r="D191" s="75">
        <v>0.0</v>
      </c>
      <c r="E191" s="75">
        <v>0.0</v>
      </c>
      <c r="F191" s="75" t="s">
        <v>990</v>
      </c>
      <c r="G191" s="82">
        <v>46110.0</v>
      </c>
      <c r="H191" s="76" t="s">
        <v>935</v>
      </c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>
      <c r="A192" s="75" t="s">
        <v>45</v>
      </c>
      <c r="B192" s="75" t="s">
        <v>989</v>
      </c>
      <c r="C192" s="75">
        <v>0.87</v>
      </c>
      <c r="D192" s="75">
        <v>0.0</v>
      </c>
      <c r="E192" s="75">
        <v>0.0</v>
      </c>
      <c r="F192" s="75" t="s">
        <v>990</v>
      </c>
      <c r="G192" s="82">
        <v>46110.0</v>
      </c>
      <c r="H192" s="76" t="s">
        <v>936</v>
      </c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>
      <c r="A193" s="75" t="s">
        <v>45</v>
      </c>
      <c r="B193" s="75" t="s">
        <v>989</v>
      </c>
      <c r="C193" s="75">
        <v>0.67</v>
      </c>
      <c r="D193" s="75">
        <v>0.0</v>
      </c>
      <c r="E193" s="75">
        <v>0.0</v>
      </c>
      <c r="F193" s="75" t="s">
        <v>990</v>
      </c>
      <c r="G193" s="82">
        <v>46110.0</v>
      </c>
      <c r="H193" s="76" t="s">
        <v>937</v>
      </c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>
      <c r="A194" s="75" t="s">
        <v>45</v>
      </c>
      <c r="B194" s="75" t="s">
        <v>989</v>
      </c>
      <c r="C194" s="75">
        <v>2.27</v>
      </c>
      <c r="D194" s="75">
        <v>0.0</v>
      </c>
      <c r="E194" s="75">
        <v>0.0</v>
      </c>
      <c r="F194" s="75" t="s">
        <v>990</v>
      </c>
      <c r="G194" s="82">
        <v>46110.0</v>
      </c>
      <c r="H194" s="76" t="s">
        <v>938</v>
      </c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>
      <c r="A195" s="75" t="s">
        <v>50</v>
      </c>
      <c r="B195" s="75" t="s">
        <v>989</v>
      </c>
      <c r="C195" s="75">
        <v>1.56</v>
      </c>
      <c r="D195" s="75">
        <v>0.0</v>
      </c>
      <c r="E195" s="75">
        <v>0.0</v>
      </c>
      <c r="F195" s="75" t="s">
        <v>990</v>
      </c>
      <c r="G195" s="82">
        <v>46110.0</v>
      </c>
      <c r="H195" s="76" t="s">
        <v>939</v>
      </c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>
      <c r="A196" s="75" t="s">
        <v>50</v>
      </c>
      <c r="B196" s="75" t="s">
        <v>989</v>
      </c>
      <c r="C196" s="75">
        <v>0.06</v>
      </c>
      <c r="D196" s="75">
        <v>0.0</v>
      </c>
      <c r="E196" s="75">
        <v>0.0</v>
      </c>
      <c r="F196" s="75" t="s">
        <v>990</v>
      </c>
      <c r="G196" s="82">
        <v>46110.0</v>
      </c>
      <c r="H196" s="76" t="s">
        <v>992</v>
      </c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>
      <c r="A197" s="75" t="s">
        <v>50</v>
      </c>
      <c r="B197" s="75" t="s">
        <v>989</v>
      </c>
      <c r="C197" s="75">
        <v>1.03</v>
      </c>
      <c r="D197" s="75">
        <v>0.0</v>
      </c>
      <c r="E197" s="75">
        <v>0.0</v>
      </c>
      <c r="F197" s="75" t="s">
        <v>990</v>
      </c>
      <c r="G197" s="82">
        <v>46110.0</v>
      </c>
      <c r="H197" s="76" t="s">
        <v>940</v>
      </c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>
      <c r="A198" s="75" t="s">
        <v>32</v>
      </c>
      <c r="B198" s="75" t="s">
        <v>989</v>
      </c>
      <c r="C198" s="75">
        <v>3.39</v>
      </c>
      <c r="D198" s="75">
        <v>0.0</v>
      </c>
      <c r="E198" s="75">
        <v>0.0</v>
      </c>
      <c r="F198" s="75" t="s">
        <v>990</v>
      </c>
      <c r="G198" s="82">
        <v>46110.0</v>
      </c>
      <c r="H198" s="76" t="s">
        <v>941</v>
      </c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>
      <c r="A199" s="75" t="s">
        <v>32</v>
      </c>
      <c r="B199" s="75" t="s">
        <v>989</v>
      </c>
      <c r="C199" s="75">
        <v>0.47</v>
      </c>
      <c r="D199" s="75">
        <v>0.0</v>
      </c>
      <c r="E199" s="75">
        <v>0.0</v>
      </c>
      <c r="F199" s="75" t="s">
        <v>990</v>
      </c>
      <c r="G199" s="82">
        <v>46110.0</v>
      </c>
      <c r="H199" s="76" t="s">
        <v>942</v>
      </c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>
      <c r="A200" s="75" t="s">
        <v>32</v>
      </c>
      <c r="B200" s="75" t="s">
        <v>989</v>
      </c>
      <c r="C200" s="75">
        <v>1.54</v>
      </c>
      <c r="D200" s="75">
        <v>0.0</v>
      </c>
      <c r="E200" s="75">
        <v>0.0</v>
      </c>
      <c r="F200" s="75" t="s">
        <v>990</v>
      </c>
      <c r="G200" s="82">
        <v>46110.0</v>
      </c>
      <c r="H200" s="76" t="s">
        <v>943</v>
      </c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>
      <c r="A201" s="75" t="s">
        <v>944</v>
      </c>
      <c r="B201" s="75" t="s">
        <v>989</v>
      </c>
      <c r="C201" s="75">
        <v>2.12</v>
      </c>
      <c r="D201" s="75">
        <v>0.0</v>
      </c>
      <c r="E201" s="75">
        <v>0.0</v>
      </c>
      <c r="F201" s="75" t="s">
        <v>990</v>
      </c>
      <c r="G201" s="82">
        <v>46110.0</v>
      </c>
      <c r="H201" s="76" t="s">
        <v>945</v>
      </c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>
      <c r="A202" s="75" t="s">
        <v>944</v>
      </c>
      <c r="B202" s="75" t="s">
        <v>989</v>
      </c>
      <c r="C202" s="75">
        <v>0.33</v>
      </c>
      <c r="D202" s="75">
        <v>0.0</v>
      </c>
      <c r="E202" s="75">
        <v>0.0</v>
      </c>
      <c r="F202" s="75" t="s">
        <v>990</v>
      </c>
      <c r="G202" s="82">
        <v>46110.0</v>
      </c>
      <c r="H202" s="76" t="s">
        <v>946</v>
      </c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>
      <c r="A203" s="75" t="s">
        <v>944</v>
      </c>
      <c r="B203" s="75" t="s">
        <v>989</v>
      </c>
      <c r="C203" s="75">
        <v>1.12</v>
      </c>
      <c r="D203" s="75">
        <v>0.0</v>
      </c>
      <c r="E203" s="75">
        <v>0.0</v>
      </c>
      <c r="F203" s="75" t="s">
        <v>990</v>
      </c>
      <c r="G203" s="82">
        <v>46110.0</v>
      </c>
      <c r="H203" s="76" t="s">
        <v>947</v>
      </c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>
      <c r="A204" s="75" t="s">
        <v>36</v>
      </c>
      <c r="B204" s="75" t="s">
        <v>989</v>
      </c>
      <c r="C204" s="75">
        <v>10.74</v>
      </c>
      <c r="D204" s="75">
        <v>0.0</v>
      </c>
      <c r="E204" s="75">
        <v>0.0</v>
      </c>
      <c r="F204" s="75" t="s">
        <v>993</v>
      </c>
      <c r="G204" s="82">
        <v>46110.0</v>
      </c>
      <c r="H204" s="76" t="s">
        <v>926</v>
      </c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>
      <c r="A205" s="75" t="s">
        <v>36</v>
      </c>
      <c r="B205" s="75" t="s">
        <v>989</v>
      </c>
      <c r="C205" s="75">
        <v>2.21</v>
      </c>
      <c r="D205" s="75">
        <v>0.0</v>
      </c>
      <c r="E205" s="75">
        <v>0.0</v>
      </c>
      <c r="F205" s="75" t="s">
        <v>993</v>
      </c>
      <c r="G205" s="82">
        <v>46110.0</v>
      </c>
      <c r="H205" s="76" t="s">
        <v>927</v>
      </c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>
      <c r="A206" s="75" t="s">
        <v>36</v>
      </c>
      <c r="B206" s="75" t="s">
        <v>989</v>
      </c>
      <c r="C206" s="75">
        <v>2.1</v>
      </c>
      <c r="D206" s="75">
        <v>0.0</v>
      </c>
      <c r="E206" s="75">
        <v>0.0</v>
      </c>
      <c r="F206" s="75" t="s">
        <v>993</v>
      </c>
      <c r="G206" s="82">
        <v>46110.0</v>
      </c>
      <c r="H206" s="76" t="s">
        <v>928</v>
      </c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>
      <c r="A207" s="75" t="s">
        <v>31</v>
      </c>
      <c r="B207" s="75" t="s">
        <v>989</v>
      </c>
      <c r="C207" s="75">
        <v>3.51</v>
      </c>
      <c r="D207" s="75">
        <v>0.0</v>
      </c>
      <c r="E207" s="75">
        <v>0.0</v>
      </c>
      <c r="F207" s="75" t="s">
        <v>993</v>
      </c>
      <c r="G207" s="82">
        <v>46110.0</v>
      </c>
      <c r="H207" s="76" t="s">
        <v>929</v>
      </c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>
      <c r="A208" s="75" t="s">
        <v>31</v>
      </c>
      <c r="B208" s="75" t="s">
        <v>989</v>
      </c>
      <c r="C208" s="75">
        <v>24.13</v>
      </c>
      <c r="D208" s="75">
        <v>2.0</v>
      </c>
      <c r="E208" s="75">
        <v>12.07</v>
      </c>
      <c r="F208" s="75" t="s">
        <v>993</v>
      </c>
      <c r="G208" s="82">
        <v>46110.0</v>
      </c>
      <c r="H208" s="76" t="s">
        <v>930</v>
      </c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>
      <c r="A209" s="75" t="s">
        <v>28</v>
      </c>
      <c r="B209" s="75" t="s">
        <v>989</v>
      </c>
      <c r="C209" s="75">
        <v>1.52</v>
      </c>
      <c r="D209" s="75">
        <v>0.0</v>
      </c>
      <c r="E209" s="75">
        <v>0.0</v>
      </c>
      <c r="F209" s="75" t="s">
        <v>993</v>
      </c>
      <c r="G209" s="82">
        <v>46110.0</v>
      </c>
      <c r="H209" s="76" t="s">
        <v>931</v>
      </c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>
      <c r="A210" s="75" t="s">
        <v>28</v>
      </c>
      <c r="B210" s="75" t="s">
        <v>989</v>
      </c>
      <c r="C210" s="75">
        <v>2.37</v>
      </c>
      <c r="D210" s="75">
        <v>0.0</v>
      </c>
      <c r="E210" s="75">
        <v>0.0</v>
      </c>
      <c r="F210" s="75" t="s">
        <v>993</v>
      </c>
      <c r="G210" s="82">
        <v>46110.0</v>
      </c>
      <c r="H210" s="76" t="s">
        <v>932</v>
      </c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>
      <c r="A211" s="75" t="s">
        <v>28</v>
      </c>
      <c r="B211" s="75" t="s">
        <v>989</v>
      </c>
      <c r="C211" s="75">
        <v>14.78</v>
      </c>
      <c r="D211" s="75">
        <v>0.0</v>
      </c>
      <c r="E211" s="75">
        <v>0.0</v>
      </c>
      <c r="F211" s="75" t="s">
        <v>993</v>
      </c>
      <c r="G211" s="82">
        <v>46110.0</v>
      </c>
      <c r="H211" s="76" t="s">
        <v>933</v>
      </c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>
      <c r="A212" s="75" t="s">
        <v>42</v>
      </c>
      <c r="B212" s="75" t="s">
        <v>989</v>
      </c>
      <c r="C212" s="75">
        <v>4.23</v>
      </c>
      <c r="D212" s="75">
        <v>0.0</v>
      </c>
      <c r="E212" s="75">
        <v>0.0</v>
      </c>
      <c r="F212" s="75" t="s">
        <v>993</v>
      </c>
      <c r="G212" s="82">
        <v>46110.0</v>
      </c>
      <c r="H212" s="76" t="s">
        <v>934</v>
      </c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>
      <c r="A213" s="75" t="s">
        <v>42</v>
      </c>
      <c r="B213" s="75" t="s">
        <v>989</v>
      </c>
      <c r="C213" s="75">
        <v>10.7</v>
      </c>
      <c r="D213" s="75">
        <v>0.0</v>
      </c>
      <c r="E213" s="75">
        <v>0.0</v>
      </c>
      <c r="F213" s="75" t="s">
        <v>993</v>
      </c>
      <c r="G213" s="82">
        <v>46110.0</v>
      </c>
      <c r="H213" s="76" t="s">
        <v>935</v>
      </c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>
      <c r="A214" s="75" t="s">
        <v>45</v>
      </c>
      <c r="B214" s="75" t="s">
        <v>989</v>
      </c>
      <c r="C214" s="75">
        <v>2.51</v>
      </c>
      <c r="D214" s="75">
        <v>0.0</v>
      </c>
      <c r="E214" s="75">
        <v>0.0</v>
      </c>
      <c r="F214" s="75" t="s">
        <v>993</v>
      </c>
      <c r="G214" s="82">
        <v>46110.0</v>
      </c>
      <c r="H214" s="76" t="s">
        <v>936</v>
      </c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>
      <c r="A215" s="75" t="s">
        <v>45</v>
      </c>
      <c r="B215" s="75" t="s">
        <v>989</v>
      </c>
      <c r="C215" s="75">
        <v>1.71</v>
      </c>
      <c r="D215" s="75">
        <v>0.0</v>
      </c>
      <c r="E215" s="75">
        <v>0.0</v>
      </c>
      <c r="F215" s="75" t="s">
        <v>993</v>
      </c>
      <c r="G215" s="82">
        <v>46110.0</v>
      </c>
      <c r="H215" s="76" t="s">
        <v>937</v>
      </c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>
      <c r="A216" s="75" t="s">
        <v>45</v>
      </c>
      <c r="B216" s="75" t="s">
        <v>989</v>
      </c>
      <c r="C216" s="75">
        <v>6.2</v>
      </c>
      <c r="D216" s="75">
        <v>0.0</v>
      </c>
      <c r="E216" s="75">
        <v>0.0</v>
      </c>
      <c r="F216" s="75" t="s">
        <v>993</v>
      </c>
      <c r="G216" s="82">
        <v>46110.0</v>
      </c>
      <c r="H216" s="76" t="s">
        <v>938</v>
      </c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>
      <c r="A217" s="75" t="s">
        <v>50</v>
      </c>
      <c r="B217" s="75" t="s">
        <v>989</v>
      </c>
      <c r="C217" s="75">
        <v>4.1</v>
      </c>
      <c r="D217" s="75">
        <v>0.0</v>
      </c>
      <c r="E217" s="75">
        <v>0.0</v>
      </c>
      <c r="F217" s="75" t="s">
        <v>993</v>
      </c>
      <c r="G217" s="82">
        <v>46110.0</v>
      </c>
      <c r="H217" s="76" t="s">
        <v>939</v>
      </c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>
      <c r="A218" s="75" t="s">
        <v>50</v>
      </c>
      <c r="B218" s="75" t="s">
        <v>989</v>
      </c>
      <c r="C218" s="75">
        <v>0.16</v>
      </c>
      <c r="D218" s="75">
        <v>1.0</v>
      </c>
      <c r="E218" s="75">
        <v>0.16</v>
      </c>
      <c r="F218" s="75" t="s">
        <v>993</v>
      </c>
      <c r="G218" s="82">
        <v>46110.0</v>
      </c>
      <c r="H218" s="76" t="s">
        <v>992</v>
      </c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>
      <c r="A219" s="75" t="s">
        <v>50</v>
      </c>
      <c r="B219" s="75" t="s">
        <v>989</v>
      </c>
      <c r="C219" s="75">
        <v>2.9</v>
      </c>
      <c r="D219" s="75">
        <v>0.0</v>
      </c>
      <c r="E219" s="75">
        <v>0.0</v>
      </c>
      <c r="F219" s="75" t="s">
        <v>993</v>
      </c>
      <c r="G219" s="82">
        <v>46110.0</v>
      </c>
      <c r="H219" s="76" t="s">
        <v>940</v>
      </c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>
      <c r="A220" s="75" t="s">
        <v>32</v>
      </c>
      <c r="B220" s="75" t="s">
        <v>989</v>
      </c>
      <c r="C220" s="75">
        <v>8.41</v>
      </c>
      <c r="D220" s="75">
        <v>2.0</v>
      </c>
      <c r="E220" s="75">
        <v>4.2</v>
      </c>
      <c r="F220" s="75" t="s">
        <v>993</v>
      </c>
      <c r="G220" s="82">
        <v>46110.0</v>
      </c>
      <c r="H220" s="76" t="s">
        <v>941</v>
      </c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>
      <c r="A221" s="75" t="s">
        <v>32</v>
      </c>
      <c r="B221" s="75" t="s">
        <v>989</v>
      </c>
      <c r="C221" s="75">
        <v>1.83</v>
      </c>
      <c r="D221" s="75">
        <v>0.0</v>
      </c>
      <c r="E221" s="75">
        <v>0.0</v>
      </c>
      <c r="F221" s="75" t="s">
        <v>993</v>
      </c>
      <c r="G221" s="82">
        <v>46110.0</v>
      </c>
      <c r="H221" s="76" t="s">
        <v>942</v>
      </c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>
      <c r="A222" s="75" t="s">
        <v>32</v>
      </c>
      <c r="B222" s="75" t="s">
        <v>989</v>
      </c>
      <c r="C222" s="75">
        <v>5.31</v>
      </c>
      <c r="D222" s="75">
        <v>1.0</v>
      </c>
      <c r="E222" s="75">
        <v>5.31</v>
      </c>
      <c r="F222" s="75" t="s">
        <v>993</v>
      </c>
      <c r="G222" s="82">
        <v>46110.0</v>
      </c>
      <c r="H222" s="76" t="s">
        <v>943</v>
      </c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>
      <c r="A223" s="75" t="s">
        <v>944</v>
      </c>
      <c r="B223" s="75" t="s">
        <v>989</v>
      </c>
      <c r="C223" s="75">
        <v>5.49</v>
      </c>
      <c r="D223" s="75">
        <v>0.0</v>
      </c>
      <c r="E223" s="75">
        <v>0.0</v>
      </c>
      <c r="F223" s="75" t="s">
        <v>993</v>
      </c>
      <c r="G223" s="82">
        <v>46110.0</v>
      </c>
      <c r="H223" s="76" t="s">
        <v>945</v>
      </c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>
      <c r="A224" s="75" t="s">
        <v>944</v>
      </c>
      <c r="B224" s="75" t="s">
        <v>989</v>
      </c>
      <c r="C224" s="75">
        <v>1.09</v>
      </c>
      <c r="D224" s="75">
        <v>0.0</v>
      </c>
      <c r="E224" s="75">
        <v>0.0</v>
      </c>
      <c r="F224" s="75" t="s">
        <v>993</v>
      </c>
      <c r="G224" s="82">
        <v>46110.0</v>
      </c>
      <c r="H224" s="76" t="s">
        <v>946</v>
      </c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>
      <c r="A225" s="75" t="s">
        <v>944</v>
      </c>
      <c r="B225" s="75" t="s">
        <v>989</v>
      </c>
      <c r="C225" s="75">
        <v>2.99</v>
      </c>
      <c r="D225" s="75">
        <v>0.0</v>
      </c>
      <c r="E225" s="75">
        <v>0.0</v>
      </c>
      <c r="F225" s="75" t="s">
        <v>993</v>
      </c>
      <c r="G225" s="82">
        <v>46110.0</v>
      </c>
      <c r="H225" s="76" t="s">
        <v>947</v>
      </c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>
      <c r="A226" s="75" t="s">
        <v>36</v>
      </c>
      <c r="B226" s="75" t="s">
        <v>989</v>
      </c>
      <c r="C226" s="75">
        <v>12.33</v>
      </c>
      <c r="D226" s="75">
        <v>0.0</v>
      </c>
      <c r="E226" s="75">
        <v>0.0</v>
      </c>
      <c r="F226" s="75" t="s">
        <v>994</v>
      </c>
      <c r="G226" s="82">
        <v>46110.0</v>
      </c>
      <c r="H226" s="76" t="s">
        <v>926</v>
      </c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>
      <c r="A227" s="75" t="s">
        <v>36</v>
      </c>
      <c r="B227" s="75" t="s">
        <v>989</v>
      </c>
      <c r="C227" s="75">
        <v>2.36</v>
      </c>
      <c r="D227" s="75">
        <v>0.0</v>
      </c>
      <c r="E227" s="75">
        <v>0.0</v>
      </c>
      <c r="F227" s="75" t="s">
        <v>994</v>
      </c>
      <c r="G227" s="82">
        <v>46110.0</v>
      </c>
      <c r="H227" s="76" t="s">
        <v>927</v>
      </c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>
      <c r="A228" s="75" t="s">
        <v>36</v>
      </c>
      <c r="B228" s="75" t="s">
        <v>989</v>
      </c>
      <c r="C228" s="75">
        <v>2.17</v>
      </c>
      <c r="D228" s="75">
        <v>0.0</v>
      </c>
      <c r="E228" s="75">
        <v>0.0</v>
      </c>
      <c r="F228" s="75" t="s">
        <v>994</v>
      </c>
      <c r="G228" s="82">
        <v>46110.0</v>
      </c>
      <c r="H228" s="76" t="s">
        <v>928</v>
      </c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>
      <c r="A229" s="75" t="s">
        <v>31</v>
      </c>
      <c r="B229" s="75" t="s">
        <v>989</v>
      </c>
      <c r="C229" s="75">
        <v>4.83</v>
      </c>
      <c r="D229" s="75">
        <v>0.0</v>
      </c>
      <c r="E229" s="75">
        <v>0.0</v>
      </c>
      <c r="F229" s="75" t="s">
        <v>994</v>
      </c>
      <c r="G229" s="82">
        <v>46110.0</v>
      </c>
      <c r="H229" s="76" t="s">
        <v>929</v>
      </c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>
      <c r="A230" s="75" t="s">
        <v>31</v>
      </c>
      <c r="B230" s="75" t="s">
        <v>989</v>
      </c>
      <c r="C230" s="75">
        <v>32.76</v>
      </c>
      <c r="D230" s="75">
        <v>4.0</v>
      </c>
      <c r="E230" s="75">
        <v>8.19</v>
      </c>
      <c r="F230" s="75" t="s">
        <v>994</v>
      </c>
      <c r="G230" s="82">
        <v>46110.0</v>
      </c>
      <c r="H230" s="76" t="s">
        <v>930</v>
      </c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>
      <c r="A231" s="75" t="s">
        <v>28</v>
      </c>
      <c r="B231" s="75" t="s">
        <v>989</v>
      </c>
      <c r="C231" s="75">
        <v>1.61</v>
      </c>
      <c r="D231" s="75">
        <v>0.0</v>
      </c>
      <c r="E231" s="75">
        <v>0.0</v>
      </c>
      <c r="F231" s="75" t="s">
        <v>994</v>
      </c>
      <c r="G231" s="82">
        <v>46110.0</v>
      </c>
      <c r="H231" s="76" t="s">
        <v>931</v>
      </c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>
      <c r="A232" s="75" t="s">
        <v>28</v>
      </c>
      <c r="B232" s="75" t="s">
        <v>989</v>
      </c>
      <c r="C232" s="75">
        <v>3.47</v>
      </c>
      <c r="D232" s="75">
        <v>0.0</v>
      </c>
      <c r="E232" s="75">
        <v>0.0</v>
      </c>
      <c r="F232" s="75" t="s">
        <v>994</v>
      </c>
      <c r="G232" s="82">
        <v>46110.0</v>
      </c>
      <c r="H232" s="76" t="s">
        <v>932</v>
      </c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>
      <c r="A233" s="75" t="s">
        <v>28</v>
      </c>
      <c r="B233" s="75" t="s">
        <v>989</v>
      </c>
      <c r="C233" s="75">
        <v>20.78</v>
      </c>
      <c r="D233" s="75">
        <v>0.0</v>
      </c>
      <c r="E233" s="75">
        <v>0.0</v>
      </c>
      <c r="F233" s="75" t="s">
        <v>994</v>
      </c>
      <c r="G233" s="82">
        <v>46110.0</v>
      </c>
      <c r="H233" s="76" t="s">
        <v>933</v>
      </c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>
      <c r="A234" s="75" t="s">
        <v>42</v>
      </c>
      <c r="B234" s="75" t="s">
        <v>989</v>
      </c>
      <c r="C234" s="75">
        <v>5.45</v>
      </c>
      <c r="D234" s="75">
        <v>0.0</v>
      </c>
      <c r="E234" s="75">
        <v>0.0</v>
      </c>
      <c r="F234" s="75" t="s">
        <v>994</v>
      </c>
      <c r="G234" s="82">
        <v>46110.0</v>
      </c>
      <c r="H234" s="76" t="s">
        <v>934</v>
      </c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>
      <c r="A235" s="75" t="s">
        <v>42</v>
      </c>
      <c r="B235" s="75" t="s">
        <v>989</v>
      </c>
      <c r="C235" s="75">
        <v>0.0</v>
      </c>
      <c r="D235" s="75">
        <v>0.0</v>
      </c>
      <c r="E235" s="75">
        <v>0.0</v>
      </c>
      <c r="F235" s="75" t="s">
        <v>994</v>
      </c>
      <c r="G235" s="82">
        <v>46110.0</v>
      </c>
      <c r="H235" s="76" t="s">
        <v>991</v>
      </c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>
      <c r="A236" s="75" t="s">
        <v>42</v>
      </c>
      <c r="B236" s="75" t="s">
        <v>989</v>
      </c>
      <c r="C236" s="75">
        <v>11.95</v>
      </c>
      <c r="D236" s="75">
        <v>0.0</v>
      </c>
      <c r="E236" s="75">
        <v>0.0</v>
      </c>
      <c r="F236" s="75" t="s">
        <v>994</v>
      </c>
      <c r="G236" s="82">
        <v>46110.0</v>
      </c>
      <c r="H236" s="76" t="s">
        <v>935</v>
      </c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>
      <c r="A237" s="75" t="s">
        <v>45</v>
      </c>
      <c r="B237" s="75" t="s">
        <v>989</v>
      </c>
      <c r="C237" s="75">
        <v>2.96</v>
      </c>
      <c r="D237" s="75">
        <v>0.0</v>
      </c>
      <c r="E237" s="75">
        <v>0.0</v>
      </c>
      <c r="F237" s="75" t="s">
        <v>994</v>
      </c>
      <c r="G237" s="82">
        <v>46110.0</v>
      </c>
      <c r="H237" s="76" t="s">
        <v>936</v>
      </c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>
      <c r="A238" s="75" t="s">
        <v>45</v>
      </c>
      <c r="B238" s="75" t="s">
        <v>989</v>
      </c>
      <c r="C238" s="75">
        <v>2.38</v>
      </c>
      <c r="D238" s="75">
        <v>0.0</v>
      </c>
      <c r="E238" s="75">
        <v>0.0</v>
      </c>
      <c r="F238" s="75" t="s">
        <v>994</v>
      </c>
      <c r="G238" s="82">
        <v>46110.0</v>
      </c>
      <c r="H238" s="76" t="s">
        <v>937</v>
      </c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>
      <c r="A239" s="75" t="s">
        <v>45</v>
      </c>
      <c r="B239" s="75" t="s">
        <v>989</v>
      </c>
      <c r="C239" s="75">
        <v>7.76</v>
      </c>
      <c r="D239" s="75">
        <v>0.0</v>
      </c>
      <c r="E239" s="75">
        <v>0.0</v>
      </c>
      <c r="F239" s="75" t="s">
        <v>994</v>
      </c>
      <c r="G239" s="82">
        <v>46110.0</v>
      </c>
      <c r="H239" s="76" t="s">
        <v>938</v>
      </c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>
      <c r="A240" s="75" t="s">
        <v>50</v>
      </c>
      <c r="B240" s="75" t="s">
        <v>989</v>
      </c>
      <c r="C240" s="75">
        <v>5.96</v>
      </c>
      <c r="D240" s="75">
        <v>0.0</v>
      </c>
      <c r="E240" s="75">
        <v>0.0</v>
      </c>
      <c r="F240" s="75" t="s">
        <v>994</v>
      </c>
      <c r="G240" s="82">
        <v>46110.0</v>
      </c>
      <c r="H240" s="76" t="s">
        <v>939</v>
      </c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>
      <c r="A241" s="75" t="s">
        <v>50</v>
      </c>
      <c r="B241" s="75" t="s">
        <v>989</v>
      </c>
      <c r="C241" s="75">
        <v>0.25</v>
      </c>
      <c r="D241" s="75">
        <v>0.0</v>
      </c>
      <c r="E241" s="75">
        <v>0.0</v>
      </c>
      <c r="F241" s="75" t="s">
        <v>994</v>
      </c>
      <c r="G241" s="82">
        <v>46110.0</v>
      </c>
      <c r="H241" s="76" t="s">
        <v>992</v>
      </c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>
      <c r="A242" s="75" t="s">
        <v>50</v>
      </c>
      <c r="B242" s="75" t="s">
        <v>989</v>
      </c>
      <c r="C242" s="75">
        <v>3.5</v>
      </c>
      <c r="D242" s="75">
        <v>0.0</v>
      </c>
      <c r="E242" s="75">
        <v>0.0</v>
      </c>
      <c r="F242" s="75" t="s">
        <v>994</v>
      </c>
      <c r="G242" s="82">
        <v>46110.0</v>
      </c>
      <c r="H242" s="76" t="s">
        <v>940</v>
      </c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>
      <c r="A243" s="75" t="s">
        <v>32</v>
      </c>
      <c r="B243" s="75" t="s">
        <v>989</v>
      </c>
      <c r="C243" s="75">
        <v>11.01</v>
      </c>
      <c r="D243" s="75">
        <v>0.0</v>
      </c>
      <c r="E243" s="75">
        <v>0.0</v>
      </c>
      <c r="F243" s="75" t="s">
        <v>994</v>
      </c>
      <c r="G243" s="82">
        <v>46110.0</v>
      </c>
      <c r="H243" s="76" t="s">
        <v>941</v>
      </c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>
      <c r="A244" s="75" t="s">
        <v>32</v>
      </c>
      <c r="B244" s="75" t="s">
        <v>989</v>
      </c>
      <c r="C244" s="75">
        <v>2.17</v>
      </c>
      <c r="D244" s="75">
        <v>0.0</v>
      </c>
      <c r="E244" s="75">
        <v>0.0</v>
      </c>
      <c r="F244" s="75" t="s">
        <v>994</v>
      </c>
      <c r="G244" s="82">
        <v>46110.0</v>
      </c>
      <c r="H244" s="76" t="s">
        <v>942</v>
      </c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>
      <c r="A245" s="75" t="s">
        <v>32</v>
      </c>
      <c r="B245" s="75" t="s">
        <v>989</v>
      </c>
      <c r="C245" s="75">
        <v>4.87</v>
      </c>
      <c r="D245" s="75">
        <v>0.0</v>
      </c>
      <c r="E245" s="75">
        <v>0.0</v>
      </c>
      <c r="F245" s="75" t="s">
        <v>994</v>
      </c>
      <c r="G245" s="82">
        <v>46110.0</v>
      </c>
      <c r="H245" s="76" t="s">
        <v>943</v>
      </c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>
      <c r="A246" s="75" t="s">
        <v>944</v>
      </c>
      <c r="B246" s="75" t="s">
        <v>989</v>
      </c>
      <c r="C246" s="75">
        <v>9.5</v>
      </c>
      <c r="D246" s="75">
        <v>0.0</v>
      </c>
      <c r="E246" s="75">
        <v>0.0</v>
      </c>
      <c r="F246" s="75" t="s">
        <v>994</v>
      </c>
      <c r="G246" s="82">
        <v>46110.0</v>
      </c>
      <c r="H246" s="76" t="s">
        <v>945</v>
      </c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>
      <c r="A247" s="75" t="s">
        <v>944</v>
      </c>
      <c r="B247" s="75" t="s">
        <v>989</v>
      </c>
      <c r="C247" s="75">
        <v>1.51</v>
      </c>
      <c r="D247" s="75">
        <v>0.0</v>
      </c>
      <c r="E247" s="75">
        <v>0.0</v>
      </c>
      <c r="F247" s="75" t="s">
        <v>994</v>
      </c>
      <c r="G247" s="82">
        <v>46110.0</v>
      </c>
      <c r="H247" s="76" t="s">
        <v>946</v>
      </c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>
      <c r="A248" s="75" t="s">
        <v>944</v>
      </c>
      <c r="B248" s="75" t="s">
        <v>989</v>
      </c>
      <c r="C248" s="75">
        <v>3.93</v>
      </c>
      <c r="D248" s="75">
        <v>1.0</v>
      </c>
      <c r="E248" s="75">
        <v>3.93</v>
      </c>
      <c r="F248" s="75" t="s">
        <v>994</v>
      </c>
      <c r="G248" s="82">
        <v>46110.0</v>
      </c>
      <c r="H248" s="76" t="s">
        <v>947</v>
      </c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>
      <c r="A249" s="75" t="s">
        <v>36</v>
      </c>
      <c r="B249" s="75" t="s">
        <v>989</v>
      </c>
      <c r="C249" s="75">
        <v>12.95</v>
      </c>
      <c r="D249" s="75">
        <v>0.0</v>
      </c>
      <c r="E249" s="75">
        <v>0.0</v>
      </c>
      <c r="F249" s="75" t="s">
        <v>995</v>
      </c>
      <c r="G249" s="82">
        <v>46110.0</v>
      </c>
      <c r="H249" s="76" t="s">
        <v>926</v>
      </c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>
      <c r="A250" s="75" t="s">
        <v>36</v>
      </c>
      <c r="B250" s="75" t="s">
        <v>989</v>
      </c>
      <c r="C250" s="75">
        <v>1.94</v>
      </c>
      <c r="D250" s="75">
        <v>1.0</v>
      </c>
      <c r="E250" s="75">
        <v>1.94</v>
      </c>
      <c r="F250" s="75" t="s">
        <v>995</v>
      </c>
      <c r="G250" s="82">
        <v>46110.0</v>
      </c>
      <c r="H250" s="76" t="s">
        <v>927</v>
      </c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>
      <c r="A251" s="75" t="s">
        <v>36</v>
      </c>
      <c r="B251" s="75" t="s">
        <v>989</v>
      </c>
      <c r="C251" s="75">
        <v>2.71</v>
      </c>
      <c r="D251" s="75">
        <v>0.0</v>
      </c>
      <c r="E251" s="75">
        <v>0.0</v>
      </c>
      <c r="F251" s="75" t="s">
        <v>995</v>
      </c>
      <c r="G251" s="82">
        <v>46110.0</v>
      </c>
      <c r="H251" s="76" t="s">
        <v>928</v>
      </c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>
      <c r="A252" s="75" t="s">
        <v>31</v>
      </c>
      <c r="B252" s="75" t="s">
        <v>989</v>
      </c>
      <c r="C252" s="75">
        <v>3.34</v>
      </c>
      <c r="D252" s="75">
        <v>0.0</v>
      </c>
      <c r="E252" s="75">
        <v>0.0</v>
      </c>
      <c r="F252" s="75" t="s">
        <v>995</v>
      </c>
      <c r="G252" s="82">
        <v>46110.0</v>
      </c>
      <c r="H252" s="76" t="s">
        <v>929</v>
      </c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>
      <c r="A253" s="75" t="s">
        <v>31</v>
      </c>
      <c r="B253" s="75" t="s">
        <v>989</v>
      </c>
      <c r="C253" s="75">
        <v>21.44</v>
      </c>
      <c r="D253" s="75">
        <v>2.0</v>
      </c>
      <c r="E253" s="75">
        <v>10.72</v>
      </c>
      <c r="F253" s="75" t="s">
        <v>995</v>
      </c>
      <c r="G253" s="82">
        <v>46110.0</v>
      </c>
      <c r="H253" s="76" t="s">
        <v>930</v>
      </c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>
      <c r="A254" s="75" t="s">
        <v>28</v>
      </c>
      <c r="B254" s="75" t="s">
        <v>989</v>
      </c>
      <c r="C254" s="75">
        <v>2.56</v>
      </c>
      <c r="D254" s="75">
        <v>0.0</v>
      </c>
      <c r="E254" s="75">
        <v>0.0</v>
      </c>
      <c r="F254" s="75" t="s">
        <v>995</v>
      </c>
      <c r="G254" s="82">
        <v>46110.0</v>
      </c>
      <c r="H254" s="76" t="s">
        <v>931</v>
      </c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>
      <c r="A255" s="75" t="s">
        <v>28</v>
      </c>
      <c r="B255" s="75" t="s">
        <v>989</v>
      </c>
      <c r="C255" s="75">
        <v>2.24</v>
      </c>
      <c r="D255" s="75">
        <v>0.0</v>
      </c>
      <c r="E255" s="75">
        <v>0.0</v>
      </c>
      <c r="F255" s="75" t="s">
        <v>995</v>
      </c>
      <c r="G255" s="82">
        <v>46110.0</v>
      </c>
      <c r="H255" s="76" t="s">
        <v>932</v>
      </c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>
      <c r="A256" s="75" t="s">
        <v>28</v>
      </c>
      <c r="B256" s="75" t="s">
        <v>989</v>
      </c>
      <c r="C256" s="75">
        <v>19.85</v>
      </c>
      <c r="D256" s="75">
        <v>3.0</v>
      </c>
      <c r="E256" s="75">
        <v>6.62</v>
      </c>
      <c r="F256" s="75" t="s">
        <v>995</v>
      </c>
      <c r="G256" s="82">
        <v>46110.0</v>
      </c>
      <c r="H256" s="76" t="s">
        <v>933</v>
      </c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>
      <c r="A257" s="75" t="s">
        <v>42</v>
      </c>
      <c r="B257" s="75" t="s">
        <v>989</v>
      </c>
      <c r="C257" s="75">
        <v>3.89</v>
      </c>
      <c r="D257" s="75">
        <v>0.0</v>
      </c>
      <c r="E257" s="75">
        <v>0.0</v>
      </c>
      <c r="F257" s="75" t="s">
        <v>995</v>
      </c>
      <c r="G257" s="82">
        <v>46110.0</v>
      </c>
      <c r="H257" s="76" t="s">
        <v>934</v>
      </c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>
      <c r="A258" s="75" t="s">
        <v>42</v>
      </c>
      <c r="B258" s="75" t="s">
        <v>989</v>
      </c>
      <c r="C258" s="75">
        <v>0.0</v>
      </c>
      <c r="D258" s="75">
        <v>0.0</v>
      </c>
      <c r="E258" s="75">
        <v>0.0</v>
      </c>
      <c r="F258" s="75" t="s">
        <v>995</v>
      </c>
      <c r="G258" s="82">
        <v>46110.0</v>
      </c>
      <c r="H258" s="76" t="s">
        <v>991</v>
      </c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>
      <c r="A259" s="75" t="s">
        <v>42</v>
      </c>
      <c r="B259" s="75" t="s">
        <v>989</v>
      </c>
      <c r="C259" s="75">
        <v>11.4</v>
      </c>
      <c r="D259" s="75">
        <v>0.0</v>
      </c>
      <c r="E259" s="75">
        <v>0.0</v>
      </c>
      <c r="F259" s="75" t="s">
        <v>995</v>
      </c>
      <c r="G259" s="82">
        <v>46110.0</v>
      </c>
      <c r="H259" s="76" t="s">
        <v>935</v>
      </c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>
      <c r="A260" s="75" t="s">
        <v>45</v>
      </c>
      <c r="B260" s="75" t="s">
        <v>989</v>
      </c>
      <c r="C260" s="75">
        <v>3.4</v>
      </c>
      <c r="D260" s="75">
        <v>0.0</v>
      </c>
      <c r="E260" s="75">
        <v>0.0</v>
      </c>
      <c r="F260" s="75" t="s">
        <v>995</v>
      </c>
      <c r="G260" s="82">
        <v>46110.0</v>
      </c>
      <c r="H260" s="76" t="s">
        <v>936</v>
      </c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>
      <c r="A261" s="75" t="s">
        <v>45</v>
      </c>
      <c r="B261" s="75" t="s">
        <v>989</v>
      </c>
      <c r="C261" s="75">
        <v>2.03</v>
      </c>
      <c r="D261" s="75">
        <v>0.0</v>
      </c>
      <c r="E261" s="75">
        <v>0.0</v>
      </c>
      <c r="F261" s="75" t="s">
        <v>995</v>
      </c>
      <c r="G261" s="82">
        <v>46110.0</v>
      </c>
      <c r="H261" s="76" t="s">
        <v>937</v>
      </c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>
      <c r="A262" s="75" t="s">
        <v>45</v>
      </c>
      <c r="B262" s="75" t="s">
        <v>989</v>
      </c>
      <c r="C262" s="75">
        <v>6.74</v>
      </c>
      <c r="D262" s="75">
        <v>0.0</v>
      </c>
      <c r="E262" s="75">
        <v>0.0</v>
      </c>
      <c r="F262" s="75" t="s">
        <v>995</v>
      </c>
      <c r="G262" s="82">
        <v>46110.0</v>
      </c>
      <c r="H262" s="76" t="s">
        <v>938</v>
      </c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>
      <c r="A263" s="75" t="s">
        <v>50</v>
      </c>
      <c r="B263" s="75" t="s">
        <v>989</v>
      </c>
      <c r="C263" s="75">
        <v>5.38</v>
      </c>
      <c r="D263" s="75">
        <v>0.0</v>
      </c>
      <c r="E263" s="75">
        <v>0.0</v>
      </c>
      <c r="F263" s="75" t="s">
        <v>995</v>
      </c>
      <c r="G263" s="82">
        <v>46110.0</v>
      </c>
      <c r="H263" s="76" t="s">
        <v>939</v>
      </c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>
      <c r="A264" s="75" t="s">
        <v>50</v>
      </c>
      <c r="B264" s="75" t="s">
        <v>989</v>
      </c>
      <c r="C264" s="75">
        <v>0.23</v>
      </c>
      <c r="D264" s="75">
        <v>0.0</v>
      </c>
      <c r="E264" s="75">
        <v>0.0</v>
      </c>
      <c r="F264" s="75" t="s">
        <v>995</v>
      </c>
      <c r="G264" s="82">
        <v>46110.0</v>
      </c>
      <c r="H264" s="76" t="s">
        <v>992</v>
      </c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>
      <c r="A265" s="75" t="s">
        <v>50</v>
      </c>
      <c r="B265" s="75" t="s">
        <v>989</v>
      </c>
      <c r="C265" s="75">
        <v>3.25</v>
      </c>
      <c r="D265" s="75">
        <v>0.0</v>
      </c>
      <c r="E265" s="75">
        <v>0.0</v>
      </c>
      <c r="F265" s="75" t="s">
        <v>995</v>
      </c>
      <c r="G265" s="82">
        <v>46110.0</v>
      </c>
      <c r="H265" s="76" t="s">
        <v>940</v>
      </c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>
      <c r="A266" s="75" t="s">
        <v>32</v>
      </c>
      <c r="B266" s="75" t="s">
        <v>989</v>
      </c>
      <c r="C266" s="75">
        <v>9.63</v>
      </c>
      <c r="D266" s="75">
        <v>1.0</v>
      </c>
      <c r="E266" s="75">
        <v>9.63</v>
      </c>
      <c r="F266" s="75" t="s">
        <v>995</v>
      </c>
      <c r="G266" s="82">
        <v>46110.0</v>
      </c>
      <c r="H266" s="76" t="s">
        <v>941</v>
      </c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>
      <c r="A267" s="75" t="s">
        <v>32</v>
      </c>
      <c r="B267" s="75" t="s">
        <v>989</v>
      </c>
      <c r="C267" s="75">
        <v>1.42</v>
      </c>
      <c r="D267" s="75">
        <v>0.0</v>
      </c>
      <c r="E267" s="75">
        <v>0.0</v>
      </c>
      <c r="F267" s="75" t="s">
        <v>995</v>
      </c>
      <c r="G267" s="82">
        <v>46110.0</v>
      </c>
      <c r="H267" s="76" t="s">
        <v>942</v>
      </c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>
      <c r="A268" s="75" t="s">
        <v>32</v>
      </c>
      <c r="B268" s="75" t="s">
        <v>989</v>
      </c>
      <c r="C268" s="75">
        <v>6.87</v>
      </c>
      <c r="D268" s="75">
        <v>2.0</v>
      </c>
      <c r="E268" s="75">
        <v>3.44</v>
      </c>
      <c r="F268" s="75" t="s">
        <v>995</v>
      </c>
      <c r="G268" s="82">
        <v>46110.0</v>
      </c>
      <c r="H268" s="76" t="s">
        <v>943</v>
      </c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>
      <c r="A269" s="75" t="s">
        <v>944</v>
      </c>
      <c r="B269" s="75" t="s">
        <v>989</v>
      </c>
      <c r="C269" s="75">
        <v>5.38</v>
      </c>
      <c r="D269" s="75">
        <v>0.0</v>
      </c>
      <c r="E269" s="75">
        <v>0.0</v>
      </c>
      <c r="F269" s="75" t="s">
        <v>995</v>
      </c>
      <c r="G269" s="82">
        <v>46110.0</v>
      </c>
      <c r="H269" s="76" t="s">
        <v>945</v>
      </c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>
      <c r="A270" s="75" t="s">
        <v>944</v>
      </c>
      <c r="B270" s="75" t="s">
        <v>989</v>
      </c>
      <c r="C270" s="75">
        <v>1.1</v>
      </c>
      <c r="D270" s="75">
        <v>0.0</v>
      </c>
      <c r="E270" s="75">
        <v>0.0</v>
      </c>
      <c r="F270" s="75" t="s">
        <v>995</v>
      </c>
      <c r="G270" s="82">
        <v>46110.0</v>
      </c>
      <c r="H270" s="76" t="s">
        <v>946</v>
      </c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>
      <c r="A271" s="75" t="s">
        <v>944</v>
      </c>
      <c r="B271" s="75" t="s">
        <v>989</v>
      </c>
      <c r="C271" s="75">
        <v>3.41</v>
      </c>
      <c r="D271" s="75">
        <v>0.0</v>
      </c>
      <c r="E271" s="75">
        <v>0.0</v>
      </c>
      <c r="F271" s="75" t="s">
        <v>995</v>
      </c>
      <c r="G271" s="82">
        <v>46110.0</v>
      </c>
      <c r="H271" s="76" t="s">
        <v>947</v>
      </c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>
      <c r="A272" s="75" t="s">
        <v>36</v>
      </c>
      <c r="B272" s="75" t="s">
        <v>989</v>
      </c>
      <c r="C272" s="75">
        <v>8.88</v>
      </c>
      <c r="D272" s="75">
        <v>1.0</v>
      </c>
      <c r="E272" s="75">
        <v>8.88</v>
      </c>
      <c r="F272" s="75" t="s">
        <v>996</v>
      </c>
      <c r="G272" s="82">
        <v>46110.0</v>
      </c>
      <c r="H272" s="76" t="s">
        <v>926</v>
      </c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>
      <c r="A273" s="75" t="s">
        <v>36</v>
      </c>
      <c r="B273" s="75" t="s">
        <v>989</v>
      </c>
      <c r="C273" s="75">
        <v>2.33</v>
      </c>
      <c r="D273" s="75">
        <v>0.0</v>
      </c>
      <c r="E273" s="75">
        <v>0.0</v>
      </c>
      <c r="F273" s="75" t="s">
        <v>996</v>
      </c>
      <c r="G273" s="82">
        <v>46110.0</v>
      </c>
      <c r="H273" s="76" t="s">
        <v>927</v>
      </c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>
      <c r="A274" s="75" t="s">
        <v>36</v>
      </c>
      <c r="B274" s="75" t="s">
        <v>989</v>
      </c>
      <c r="C274" s="75">
        <v>1.91</v>
      </c>
      <c r="D274" s="75">
        <v>0.0</v>
      </c>
      <c r="E274" s="75">
        <v>0.0</v>
      </c>
      <c r="F274" s="75" t="s">
        <v>996</v>
      </c>
      <c r="G274" s="82">
        <v>46110.0</v>
      </c>
      <c r="H274" s="76" t="s">
        <v>928</v>
      </c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>
      <c r="A275" s="75" t="s">
        <v>31</v>
      </c>
      <c r="B275" s="75" t="s">
        <v>989</v>
      </c>
      <c r="C275" s="75">
        <v>3.81</v>
      </c>
      <c r="D275" s="75">
        <v>0.0</v>
      </c>
      <c r="E275" s="75">
        <v>0.0</v>
      </c>
      <c r="F275" s="75" t="s">
        <v>996</v>
      </c>
      <c r="G275" s="82">
        <v>46110.0</v>
      </c>
      <c r="H275" s="76" t="s">
        <v>929</v>
      </c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>
      <c r="A276" s="75" t="s">
        <v>31</v>
      </c>
      <c r="B276" s="75" t="s">
        <v>989</v>
      </c>
      <c r="C276" s="75">
        <v>22.39</v>
      </c>
      <c r="D276" s="75">
        <v>4.0</v>
      </c>
      <c r="E276" s="75">
        <v>5.6</v>
      </c>
      <c r="F276" s="75" t="s">
        <v>996</v>
      </c>
      <c r="G276" s="82">
        <v>46110.0</v>
      </c>
      <c r="H276" s="76" t="s">
        <v>930</v>
      </c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>
      <c r="A277" s="75" t="s">
        <v>28</v>
      </c>
      <c r="B277" s="75" t="s">
        <v>989</v>
      </c>
      <c r="C277" s="75">
        <v>1.49</v>
      </c>
      <c r="D277" s="75">
        <v>0.0</v>
      </c>
      <c r="E277" s="75">
        <v>0.0</v>
      </c>
      <c r="F277" s="75" t="s">
        <v>996</v>
      </c>
      <c r="G277" s="82">
        <v>46110.0</v>
      </c>
      <c r="H277" s="76" t="s">
        <v>931</v>
      </c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>
      <c r="A278" s="75" t="s">
        <v>28</v>
      </c>
      <c r="B278" s="75" t="s">
        <v>989</v>
      </c>
      <c r="C278" s="75">
        <v>2.04</v>
      </c>
      <c r="D278" s="75">
        <v>0.0</v>
      </c>
      <c r="E278" s="75">
        <v>0.0</v>
      </c>
      <c r="F278" s="75" t="s">
        <v>996</v>
      </c>
      <c r="G278" s="82">
        <v>46110.0</v>
      </c>
      <c r="H278" s="76" t="s">
        <v>932</v>
      </c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>
      <c r="A279" s="75" t="s">
        <v>28</v>
      </c>
      <c r="B279" s="75" t="s">
        <v>989</v>
      </c>
      <c r="C279" s="75">
        <v>10.75</v>
      </c>
      <c r="D279" s="75">
        <v>1.0</v>
      </c>
      <c r="E279" s="75">
        <v>10.75</v>
      </c>
      <c r="F279" s="75" t="s">
        <v>996</v>
      </c>
      <c r="G279" s="82">
        <v>46110.0</v>
      </c>
      <c r="H279" s="76" t="s">
        <v>933</v>
      </c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>
      <c r="A280" s="75" t="s">
        <v>42</v>
      </c>
      <c r="B280" s="75" t="s">
        <v>989</v>
      </c>
      <c r="C280" s="75">
        <v>4.61</v>
      </c>
      <c r="D280" s="75">
        <v>0.0</v>
      </c>
      <c r="E280" s="75">
        <v>0.0</v>
      </c>
      <c r="F280" s="75" t="s">
        <v>996</v>
      </c>
      <c r="G280" s="82">
        <v>46110.0</v>
      </c>
      <c r="H280" s="76" t="s">
        <v>934</v>
      </c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>
      <c r="A281" s="75" t="s">
        <v>42</v>
      </c>
      <c r="B281" s="75" t="s">
        <v>989</v>
      </c>
      <c r="C281" s="75">
        <v>0.0</v>
      </c>
      <c r="D281" s="75">
        <v>0.0</v>
      </c>
      <c r="E281" s="75">
        <v>0.0</v>
      </c>
      <c r="F281" s="75" t="s">
        <v>996</v>
      </c>
      <c r="G281" s="82">
        <v>46110.0</v>
      </c>
      <c r="H281" s="76" t="s">
        <v>991</v>
      </c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>
      <c r="A282" s="75" t="s">
        <v>42</v>
      </c>
      <c r="B282" s="75" t="s">
        <v>989</v>
      </c>
      <c r="C282" s="75">
        <v>9.87</v>
      </c>
      <c r="D282" s="75">
        <v>0.0</v>
      </c>
      <c r="E282" s="75">
        <v>0.0</v>
      </c>
      <c r="F282" s="75" t="s">
        <v>996</v>
      </c>
      <c r="G282" s="82">
        <v>46110.0</v>
      </c>
      <c r="H282" s="76" t="s">
        <v>935</v>
      </c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>
      <c r="A283" s="75" t="s">
        <v>45</v>
      </c>
      <c r="B283" s="75" t="s">
        <v>989</v>
      </c>
      <c r="C283" s="75">
        <v>3.09</v>
      </c>
      <c r="D283" s="75">
        <v>0.0</v>
      </c>
      <c r="E283" s="75">
        <v>0.0</v>
      </c>
      <c r="F283" s="75" t="s">
        <v>996</v>
      </c>
      <c r="G283" s="82">
        <v>46110.0</v>
      </c>
      <c r="H283" s="76" t="s">
        <v>936</v>
      </c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>
      <c r="A284" s="75" t="s">
        <v>45</v>
      </c>
      <c r="B284" s="75" t="s">
        <v>989</v>
      </c>
      <c r="C284" s="75">
        <v>1.79</v>
      </c>
      <c r="D284" s="75">
        <v>0.0</v>
      </c>
      <c r="E284" s="75">
        <v>0.0</v>
      </c>
      <c r="F284" s="75" t="s">
        <v>996</v>
      </c>
      <c r="G284" s="82">
        <v>46110.0</v>
      </c>
      <c r="H284" s="76" t="s">
        <v>937</v>
      </c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>
      <c r="A285" s="75" t="s">
        <v>45</v>
      </c>
      <c r="B285" s="75" t="s">
        <v>989</v>
      </c>
      <c r="C285" s="75">
        <v>4.07</v>
      </c>
      <c r="D285" s="75">
        <v>0.0</v>
      </c>
      <c r="E285" s="75">
        <v>0.0</v>
      </c>
      <c r="F285" s="75" t="s">
        <v>996</v>
      </c>
      <c r="G285" s="82">
        <v>46110.0</v>
      </c>
      <c r="H285" s="76" t="s">
        <v>938</v>
      </c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>
      <c r="A286" s="75" t="s">
        <v>50</v>
      </c>
      <c r="B286" s="75" t="s">
        <v>989</v>
      </c>
      <c r="C286" s="75">
        <v>4.76</v>
      </c>
      <c r="D286" s="75">
        <v>0.0</v>
      </c>
      <c r="E286" s="75">
        <v>0.0</v>
      </c>
      <c r="F286" s="75" t="s">
        <v>996</v>
      </c>
      <c r="G286" s="82">
        <v>46110.0</v>
      </c>
      <c r="H286" s="76" t="s">
        <v>939</v>
      </c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>
      <c r="A287" s="75" t="s">
        <v>50</v>
      </c>
      <c r="B287" s="75" t="s">
        <v>989</v>
      </c>
      <c r="C287" s="75">
        <v>0.21</v>
      </c>
      <c r="D287" s="75">
        <v>0.0</v>
      </c>
      <c r="E287" s="75">
        <v>0.0</v>
      </c>
      <c r="F287" s="75" t="s">
        <v>996</v>
      </c>
      <c r="G287" s="82">
        <v>46110.0</v>
      </c>
      <c r="H287" s="76" t="s">
        <v>992</v>
      </c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>
      <c r="A288" s="75" t="s">
        <v>50</v>
      </c>
      <c r="B288" s="75" t="s">
        <v>989</v>
      </c>
      <c r="C288" s="75">
        <v>3.74</v>
      </c>
      <c r="D288" s="75">
        <v>0.0</v>
      </c>
      <c r="E288" s="75">
        <v>0.0</v>
      </c>
      <c r="F288" s="75" t="s">
        <v>996</v>
      </c>
      <c r="G288" s="82">
        <v>46110.0</v>
      </c>
      <c r="H288" s="76" t="s">
        <v>940</v>
      </c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>
      <c r="A289" s="75" t="s">
        <v>32</v>
      </c>
      <c r="B289" s="75" t="s">
        <v>989</v>
      </c>
      <c r="C289" s="75">
        <v>8.47</v>
      </c>
      <c r="D289" s="75">
        <v>2.0</v>
      </c>
      <c r="E289" s="75">
        <v>4.23</v>
      </c>
      <c r="F289" s="75" t="s">
        <v>996</v>
      </c>
      <c r="G289" s="82">
        <v>46110.0</v>
      </c>
      <c r="H289" s="76" t="s">
        <v>941</v>
      </c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>
      <c r="A290" s="75" t="s">
        <v>32</v>
      </c>
      <c r="B290" s="75" t="s">
        <v>989</v>
      </c>
      <c r="C290" s="75">
        <v>1.6</v>
      </c>
      <c r="D290" s="75">
        <v>0.0</v>
      </c>
      <c r="E290" s="75">
        <v>0.0</v>
      </c>
      <c r="F290" s="75" t="s">
        <v>996</v>
      </c>
      <c r="G290" s="82">
        <v>46110.0</v>
      </c>
      <c r="H290" s="76" t="s">
        <v>942</v>
      </c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>
      <c r="A291" s="75" t="s">
        <v>32</v>
      </c>
      <c r="B291" s="75" t="s">
        <v>989</v>
      </c>
      <c r="C291" s="75">
        <v>3.92</v>
      </c>
      <c r="D291" s="75">
        <v>1.0</v>
      </c>
      <c r="E291" s="75">
        <v>3.92</v>
      </c>
      <c r="F291" s="75" t="s">
        <v>996</v>
      </c>
      <c r="G291" s="82">
        <v>46110.0</v>
      </c>
      <c r="H291" s="76" t="s">
        <v>943</v>
      </c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>
      <c r="A292" s="75" t="s">
        <v>944</v>
      </c>
      <c r="B292" s="75" t="s">
        <v>989</v>
      </c>
      <c r="C292" s="75">
        <v>3.74</v>
      </c>
      <c r="D292" s="75">
        <v>0.0</v>
      </c>
      <c r="E292" s="75">
        <v>0.0</v>
      </c>
      <c r="F292" s="75" t="s">
        <v>996</v>
      </c>
      <c r="G292" s="82">
        <v>46110.0</v>
      </c>
      <c r="H292" s="76" t="s">
        <v>945</v>
      </c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>
      <c r="A293" s="75" t="s">
        <v>944</v>
      </c>
      <c r="B293" s="75" t="s">
        <v>989</v>
      </c>
      <c r="C293" s="75">
        <v>1.27</v>
      </c>
      <c r="D293" s="75">
        <v>0.0</v>
      </c>
      <c r="E293" s="75">
        <v>0.0</v>
      </c>
      <c r="F293" s="75" t="s">
        <v>996</v>
      </c>
      <c r="G293" s="82">
        <v>46110.0</v>
      </c>
      <c r="H293" s="76" t="s">
        <v>946</v>
      </c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>
      <c r="A294" s="75" t="s">
        <v>944</v>
      </c>
      <c r="B294" s="75" t="s">
        <v>989</v>
      </c>
      <c r="C294" s="75">
        <v>3.33</v>
      </c>
      <c r="D294" s="75">
        <v>0.0</v>
      </c>
      <c r="E294" s="75">
        <v>0.0</v>
      </c>
      <c r="F294" s="75" t="s">
        <v>996</v>
      </c>
      <c r="G294" s="82">
        <v>46110.0</v>
      </c>
      <c r="H294" s="76" t="s">
        <v>947</v>
      </c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>
      <c r="A295" s="75" t="s">
        <v>36</v>
      </c>
      <c r="B295" s="75" t="s">
        <v>989</v>
      </c>
      <c r="C295" s="75">
        <v>8.27</v>
      </c>
      <c r="D295" s="75">
        <v>0.0</v>
      </c>
      <c r="E295" s="75">
        <v>0.0</v>
      </c>
      <c r="F295" s="75" t="s">
        <v>997</v>
      </c>
      <c r="G295" s="82">
        <v>46110.0</v>
      </c>
      <c r="H295" s="76" t="s">
        <v>926</v>
      </c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>
      <c r="A296" s="75" t="s">
        <v>36</v>
      </c>
      <c r="B296" s="75" t="s">
        <v>989</v>
      </c>
      <c r="C296" s="75">
        <v>1.86</v>
      </c>
      <c r="D296" s="75">
        <v>0.0</v>
      </c>
      <c r="E296" s="75">
        <v>0.0</v>
      </c>
      <c r="F296" s="75" t="s">
        <v>997</v>
      </c>
      <c r="G296" s="82">
        <v>46110.0</v>
      </c>
      <c r="H296" s="76" t="s">
        <v>927</v>
      </c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>
      <c r="A297" s="75" t="s">
        <v>36</v>
      </c>
      <c r="B297" s="75" t="s">
        <v>989</v>
      </c>
      <c r="C297" s="75">
        <v>1.97</v>
      </c>
      <c r="D297" s="75">
        <v>0.0</v>
      </c>
      <c r="E297" s="75">
        <v>0.0</v>
      </c>
      <c r="F297" s="75" t="s">
        <v>997</v>
      </c>
      <c r="G297" s="82">
        <v>46110.0</v>
      </c>
      <c r="H297" s="76" t="s">
        <v>928</v>
      </c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>
      <c r="A298" s="75" t="s">
        <v>31</v>
      </c>
      <c r="B298" s="75" t="s">
        <v>989</v>
      </c>
      <c r="C298" s="75">
        <v>3.24</v>
      </c>
      <c r="D298" s="75">
        <v>0.0</v>
      </c>
      <c r="E298" s="75">
        <v>0.0</v>
      </c>
      <c r="F298" s="75" t="s">
        <v>997</v>
      </c>
      <c r="G298" s="82">
        <v>46110.0</v>
      </c>
      <c r="H298" s="76" t="s">
        <v>929</v>
      </c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>
      <c r="A299" s="75" t="s">
        <v>31</v>
      </c>
      <c r="B299" s="75" t="s">
        <v>989</v>
      </c>
      <c r="C299" s="75">
        <v>11.87</v>
      </c>
      <c r="D299" s="75">
        <v>1.0</v>
      </c>
      <c r="E299" s="75">
        <v>11.87</v>
      </c>
      <c r="F299" s="75" t="s">
        <v>997</v>
      </c>
      <c r="G299" s="82">
        <v>46110.0</v>
      </c>
      <c r="H299" s="76" t="s">
        <v>930</v>
      </c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>
      <c r="A300" s="75" t="s">
        <v>28</v>
      </c>
      <c r="B300" s="75" t="s">
        <v>989</v>
      </c>
      <c r="C300" s="75">
        <v>1.09</v>
      </c>
      <c r="D300" s="75">
        <v>0.0</v>
      </c>
      <c r="E300" s="75">
        <v>0.0</v>
      </c>
      <c r="F300" s="75" t="s">
        <v>997</v>
      </c>
      <c r="G300" s="82">
        <v>46110.0</v>
      </c>
      <c r="H300" s="76" t="s">
        <v>931</v>
      </c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>
      <c r="A301" s="75" t="s">
        <v>28</v>
      </c>
      <c r="B301" s="75" t="s">
        <v>989</v>
      </c>
      <c r="C301" s="75">
        <v>1.85</v>
      </c>
      <c r="D301" s="75">
        <v>0.0</v>
      </c>
      <c r="E301" s="75">
        <v>0.0</v>
      </c>
      <c r="F301" s="75" t="s">
        <v>997</v>
      </c>
      <c r="G301" s="82">
        <v>46110.0</v>
      </c>
      <c r="H301" s="76" t="s">
        <v>932</v>
      </c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>
      <c r="A302" s="75" t="s">
        <v>28</v>
      </c>
      <c r="B302" s="75" t="s">
        <v>989</v>
      </c>
      <c r="C302" s="75">
        <v>10.43</v>
      </c>
      <c r="D302" s="75">
        <v>0.0</v>
      </c>
      <c r="E302" s="75">
        <v>0.0</v>
      </c>
      <c r="F302" s="75" t="s">
        <v>997</v>
      </c>
      <c r="G302" s="82">
        <v>46110.0</v>
      </c>
      <c r="H302" s="76" t="s">
        <v>933</v>
      </c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>
      <c r="A303" s="75" t="s">
        <v>42</v>
      </c>
      <c r="B303" s="75" t="s">
        <v>989</v>
      </c>
      <c r="C303" s="75">
        <v>4.13</v>
      </c>
      <c r="D303" s="75">
        <v>0.0</v>
      </c>
      <c r="E303" s="75">
        <v>0.0</v>
      </c>
      <c r="F303" s="75" t="s">
        <v>997</v>
      </c>
      <c r="G303" s="82">
        <v>46110.0</v>
      </c>
      <c r="H303" s="76" t="s">
        <v>934</v>
      </c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>
      <c r="A304" s="75" t="s">
        <v>42</v>
      </c>
      <c r="B304" s="75" t="s">
        <v>989</v>
      </c>
      <c r="C304" s="75">
        <v>0.0</v>
      </c>
      <c r="D304" s="75">
        <v>0.0</v>
      </c>
      <c r="E304" s="75">
        <v>0.0</v>
      </c>
      <c r="F304" s="75" t="s">
        <v>997</v>
      </c>
      <c r="G304" s="82">
        <v>46110.0</v>
      </c>
      <c r="H304" s="76" t="s">
        <v>991</v>
      </c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>
      <c r="A305" s="75" t="s">
        <v>42</v>
      </c>
      <c r="B305" s="75" t="s">
        <v>989</v>
      </c>
      <c r="C305" s="75">
        <v>7.8</v>
      </c>
      <c r="D305" s="75">
        <v>0.0</v>
      </c>
      <c r="E305" s="75">
        <v>0.0</v>
      </c>
      <c r="F305" s="75" t="s">
        <v>997</v>
      </c>
      <c r="G305" s="82">
        <v>46110.0</v>
      </c>
      <c r="H305" s="76" t="s">
        <v>935</v>
      </c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>
      <c r="A306" s="75" t="s">
        <v>45</v>
      </c>
      <c r="B306" s="75" t="s">
        <v>989</v>
      </c>
      <c r="C306" s="75">
        <v>1.96</v>
      </c>
      <c r="D306" s="75">
        <v>0.0</v>
      </c>
      <c r="E306" s="75">
        <v>0.0</v>
      </c>
      <c r="F306" s="75" t="s">
        <v>997</v>
      </c>
      <c r="G306" s="82">
        <v>46110.0</v>
      </c>
      <c r="H306" s="76" t="s">
        <v>936</v>
      </c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>
      <c r="A307" s="75" t="s">
        <v>45</v>
      </c>
      <c r="B307" s="75" t="s">
        <v>989</v>
      </c>
      <c r="C307" s="75">
        <v>1.38</v>
      </c>
      <c r="D307" s="75">
        <v>0.0</v>
      </c>
      <c r="E307" s="75">
        <v>0.0</v>
      </c>
      <c r="F307" s="75" t="s">
        <v>997</v>
      </c>
      <c r="G307" s="82">
        <v>46110.0</v>
      </c>
      <c r="H307" s="76" t="s">
        <v>937</v>
      </c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>
      <c r="A308" s="75" t="s">
        <v>45</v>
      </c>
      <c r="B308" s="75" t="s">
        <v>989</v>
      </c>
      <c r="C308" s="75">
        <v>7.2</v>
      </c>
      <c r="D308" s="75">
        <v>0.0</v>
      </c>
      <c r="E308" s="75">
        <v>0.0</v>
      </c>
      <c r="F308" s="75" t="s">
        <v>997</v>
      </c>
      <c r="G308" s="82">
        <v>46110.0</v>
      </c>
      <c r="H308" s="76" t="s">
        <v>938</v>
      </c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>
      <c r="A309" s="75" t="s">
        <v>50</v>
      </c>
      <c r="B309" s="75" t="s">
        <v>989</v>
      </c>
      <c r="C309" s="75">
        <v>4.27</v>
      </c>
      <c r="D309" s="75">
        <v>2.0</v>
      </c>
      <c r="E309" s="75">
        <v>2.13</v>
      </c>
      <c r="F309" s="75" t="s">
        <v>997</v>
      </c>
      <c r="G309" s="82">
        <v>46110.0</v>
      </c>
      <c r="H309" s="76" t="s">
        <v>939</v>
      </c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>
      <c r="A310" s="75" t="s">
        <v>50</v>
      </c>
      <c r="B310" s="75" t="s">
        <v>989</v>
      </c>
      <c r="C310" s="75">
        <v>0.29</v>
      </c>
      <c r="D310" s="75">
        <v>0.0</v>
      </c>
      <c r="E310" s="75">
        <v>0.0</v>
      </c>
      <c r="F310" s="75" t="s">
        <v>997</v>
      </c>
      <c r="G310" s="82">
        <v>46110.0</v>
      </c>
      <c r="H310" s="76" t="s">
        <v>992</v>
      </c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>
      <c r="A311" s="75" t="s">
        <v>50</v>
      </c>
      <c r="B311" s="75" t="s">
        <v>989</v>
      </c>
      <c r="C311" s="75">
        <v>2.34</v>
      </c>
      <c r="D311" s="75">
        <v>0.0</v>
      </c>
      <c r="E311" s="75">
        <v>0.0</v>
      </c>
      <c r="F311" s="75" t="s">
        <v>997</v>
      </c>
      <c r="G311" s="82">
        <v>46110.0</v>
      </c>
      <c r="H311" s="76" t="s">
        <v>940</v>
      </c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>
      <c r="A312" s="75" t="s">
        <v>32</v>
      </c>
      <c r="B312" s="75" t="s">
        <v>989</v>
      </c>
      <c r="C312" s="75">
        <v>8.12</v>
      </c>
      <c r="D312" s="75">
        <v>0.0</v>
      </c>
      <c r="E312" s="75">
        <v>0.0</v>
      </c>
      <c r="F312" s="75" t="s">
        <v>997</v>
      </c>
      <c r="G312" s="82">
        <v>46110.0</v>
      </c>
      <c r="H312" s="76" t="s">
        <v>941</v>
      </c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>
      <c r="A313" s="75" t="s">
        <v>32</v>
      </c>
      <c r="B313" s="75" t="s">
        <v>989</v>
      </c>
      <c r="C313" s="75">
        <v>1.46</v>
      </c>
      <c r="D313" s="75">
        <v>0.0</v>
      </c>
      <c r="E313" s="75">
        <v>0.0</v>
      </c>
      <c r="F313" s="75" t="s">
        <v>997</v>
      </c>
      <c r="G313" s="82">
        <v>46110.0</v>
      </c>
      <c r="H313" s="76" t="s">
        <v>942</v>
      </c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>
      <c r="A314" s="75" t="s">
        <v>32</v>
      </c>
      <c r="B314" s="75" t="s">
        <v>989</v>
      </c>
      <c r="C314" s="75">
        <v>3.34</v>
      </c>
      <c r="D314" s="75">
        <v>0.0</v>
      </c>
      <c r="E314" s="75">
        <v>0.0</v>
      </c>
      <c r="F314" s="75" t="s">
        <v>997</v>
      </c>
      <c r="G314" s="82">
        <v>46110.0</v>
      </c>
      <c r="H314" s="76" t="s">
        <v>943</v>
      </c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>
      <c r="A315" s="75" t="s">
        <v>944</v>
      </c>
      <c r="B315" s="75" t="s">
        <v>989</v>
      </c>
      <c r="C315" s="75">
        <v>6.04</v>
      </c>
      <c r="D315" s="75">
        <v>0.0</v>
      </c>
      <c r="E315" s="75">
        <v>0.0</v>
      </c>
      <c r="F315" s="75" t="s">
        <v>997</v>
      </c>
      <c r="G315" s="82">
        <v>46110.0</v>
      </c>
      <c r="H315" s="76" t="s">
        <v>945</v>
      </c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>
      <c r="A316" s="75" t="s">
        <v>944</v>
      </c>
      <c r="B316" s="75" t="s">
        <v>989</v>
      </c>
      <c r="C316" s="75">
        <v>0.77</v>
      </c>
      <c r="D316" s="75">
        <v>0.0</v>
      </c>
      <c r="E316" s="75">
        <v>0.0</v>
      </c>
      <c r="F316" s="75" t="s">
        <v>997</v>
      </c>
      <c r="G316" s="82">
        <v>46110.0</v>
      </c>
      <c r="H316" s="76" t="s">
        <v>946</v>
      </c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>
      <c r="A317" s="75" t="s">
        <v>944</v>
      </c>
      <c r="B317" s="75" t="s">
        <v>989</v>
      </c>
      <c r="C317" s="75">
        <v>2.95</v>
      </c>
      <c r="D317" s="75">
        <v>0.0</v>
      </c>
      <c r="E317" s="75">
        <v>0.0</v>
      </c>
      <c r="F317" s="75" t="s">
        <v>997</v>
      </c>
      <c r="G317" s="82">
        <v>46110.0</v>
      </c>
      <c r="H317" s="76" t="s">
        <v>947</v>
      </c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>
      <c r="A318" s="75" t="s">
        <v>36</v>
      </c>
      <c r="B318" s="75" t="s">
        <v>989</v>
      </c>
      <c r="C318" s="75">
        <v>0.01</v>
      </c>
      <c r="D318" s="75">
        <v>0.0</v>
      </c>
      <c r="E318" s="75">
        <v>0.0</v>
      </c>
      <c r="F318" s="75" t="s">
        <v>998</v>
      </c>
      <c r="G318" s="82">
        <v>46110.0</v>
      </c>
      <c r="H318" s="76" t="s">
        <v>926</v>
      </c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>
      <c r="A319" s="75" t="s">
        <v>36</v>
      </c>
      <c r="B319" s="75" t="s">
        <v>989</v>
      </c>
      <c r="C319" s="75">
        <v>0.0</v>
      </c>
      <c r="D319" s="75">
        <v>0.0</v>
      </c>
      <c r="E319" s="75">
        <v>0.0</v>
      </c>
      <c r="F319" s="75" t="s">
        <v>998</v>
      </c>
      <c r="G319" s="82">
        <v>46110.0</v>
      </c>
      <c r="H319" s="76" t="s">
        <v>927</v>
      </c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>
      <c r="A320" s="75" t="s">
        <v>36</v>
      </c>
      <c r="B320" s="75" t="s">
        <v>989</v>
      </c>
      <c r="C320" s="75">
        <v>0.42</v>
      </c>
      <c r="D320" s="75">
        <v>0.0</v>
      </c>
      <c r="E320" s="75">
        <v>0.0</v>
      </c>
      <c r="F320" s="75" t="s">
        <v>998</v>
      </c>
      <c r="G320" s="82">
        <v>46110.0</v>
      </c>
      <c r="H320" s="76" t="s">
        <v>928</v>
      </c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>
      <c r="A321" s="75" t="s">
        <v>31</v>
      </c>
      <c r="B321" s="75" t="s">
        <v>989</v>
      </c>
      <c r="C321" s="75">
        <v>0.41</v>
      </c>
      <c r="D321" s="75">
        <v>0.0</v>
      </c>
      <c r="E321" s="75">
        <v>0.0</v>
      </c>
      <c r="F321" s="75" t="s">
        <v>998</v>
      </c>
      <c r="G321" s="82">
        <v>46110.0</v>
      </c>
      <c r="H321" s="76" t="s">
        <v>929</v>
      </c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>
      <c r="A322" s="75" t="s">
        <v>28</v>
      </c>
      <c r="B322" s="75" t="s">
        <v>989</v>
      </c>
      <c r="C322" s="75">
        <v>0.01</v>
      </c>
      <c r="D322" s="75">
        <v>0.0</v>
      </c>
      <c r="E322" s="75">
        <v>0.0</v>
      </c>
      <c r="F322" s="75" t="s">
        <v>998</v>
      </c>
      <c r="G322" s="82">
        <v>46110.0</v>
      </c>
      <c r="H322" s="76" t="s">
        <v>931</v>
      </c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>
      <c r="A323" s="75" t="s">
        <v>28</v>
      </c>
      <c r="B323" s="75" t="s">
        <v>989</v>
      </c>
      <c r="C323" s="75">
        <v>0.27</v>
      </c>
      <c r="D323" s="75">
        <v>0.0</v>
      </c>
      <c r="E323" s="75">
        <v>0.0</v>
      </c>
      <c r="F323" s="75" t="s">
        <v>998</v>
      </c>
      <c r="G323" s="82">
        <v>46110.0</v>
      </c>
      <c r="H323" s="76" t="s">
        <v>932</v>
      </c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>
      <c r="A324" s="75" t="s">
        <v>28</v>
      </c>
      <c r="B324" s="75" t="s">
        <v>989</v>
      </c>
      <c r="C324" s="75">
        <v>0.0</v>
      </c>
      <c r="D324" s="75">
        <v>0.0</v>
      </c>
      <c r="E324" s="75">
        <v>0.0</v>
      </c>
      <c r="F324" s="75" t="s">
        <v>998</v>
      </c>
      <c r="G324" s="82">
        <v>46110.0</v>
      </c>
      <c r="H324" s="76" t="s">
        <v>933</v>
      </c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>
      <c r="A325" s="75" t="s">
        <v>42</v>
      </c>
      <c r="B325" s="75" t="s">
        <v>989</v>
      </c>
      <c r="C325" s="75">
        <v>0.84</v>
      </c>
      <c r="D325" s="75">
        <v>0.0</v>
      </c>
      <c r="E325" s="75">
        <v>0.0</v>
      </c>
      <c r="F325" s="75" t="s">
        <v>998</v>
      </c>
      <c r="G325" s="82">
        <v>46110.0</v>
      </c>
      <c r="H325" s="76" t="s">
        <v>934</v>
      </c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>
      <c r="A326" s="75" t="s">
        <v>45</v>
      </c>
      <c r="B326" s="75" t="s">
        <v>989</v>
      </c>
      <c r="C326" s="75">
        <v>0.38</v>
      </c>
      <c r="D326" s="75">
        <v>0.0</v>
      </c>
      <c r="E326" s="75">
        <v>0.0</v>
      </c>
      <c r="F326" s="75" t="s">
        <v>998</v>
      </c>
      <c r="G326" s="82">
        <v>46110.0</v>
      </c>
      <c r="H326" s="76" t="s">
        <v>937</v>
      </c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>
      <c r="A327" s="75" t="s">
        <v>50</v>
      </c>
      <c r="B327" s="75" t="s">
        <v>989</v>
      </c>
      <c r="C327" s="75">
        <v>1.11</v>
      </c>
      <c r="D327" s="75">
        <v>0.0</v>
      </c>
      <c r="E327" s="75">
        <v>0.0</v>
      </c>
      <c r="F327" s="75" t="s">
        <v>998</v>
      </c>
      <c r="G327" s="82">
        <v>46110.0</v>
      </c>
      <c r="H327" s="76" t="s">
        <v>939</v>
      </c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>
      <c r="A328" s="75" t="s">
        <v>50</v>
      </c>
      <c r="B328" s="75" t="s">
        <v>989</v>
      </c>
      <c r="C328" s="75">
        <v>0.01</v>
      </c>
      <c r="D328" s="75">
        <v>0.0</v>
      </c>
      <c r="E328" s="75">
        <v>0.0</v>
      </c>
      <c r="F328" s="75" t="s">
        <v>998</v>
      </c>
      <c r="G328" s="82">
        <v>46110.0</v>
      </c>
      <c r="H328" s="76" t="s">
        <v>940</v>
      </c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>
      <c r="A329" s="75" t="s">
        <v>32</v>
      </c>
      <c r="B329" s="75" t="s">
        <v>989</v>
      </c>
      <c r="C329" s="75">
        <v>1.63</v>
      </c>
      <c r="D329" s="75">
        <v>0.0</v>
      </c>
      <c r="E329" s="75">
        <v>0.0</v>
      </c>
      <c r="F329" s="75" t="s">
        <v>998</v>
      </c>
      <c r="G329" s="82">
        <v>46110.0</v>
      </c>
      <c r="H329" s="76" t="s">
        <v>941</v>
      </c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>
      <c r="A330" s="75" t="s">
        <v>944</v>
      </c>
      <c r="B330" s="75" t="s">
        <v>989</v>
      </c>
      <c r="C330" s="75">
        <v>0.67</v>
      </c>
      <c r="D330" s="75">
        <v>0.0</v>
      </c>
      <c r="E330" s="75">
        <v>0.0</v>
      </c>
      <c r="F330" s="75" t="s">
        <v>998</v>
      </c>
      <c r="G330" s="82">
        <v>46110.0</v>
      </c>
      <c r="H330" s="76" t="s">
        <v>947</v>
      </c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>
      <c r="A331" s="75" t="s">
        <v>54</v>
      </c>
      <c r="B331" s="75" t="s">
        <v>999</v>
      </c>
      <c r="C331" s="75">
        <v>8.36</v>
      </c>
      <c r="D331" s="75">
        <v>0.0</v>
      </c>
      <c r="E331" s="75">
        <v>0.0</v>
      </c>
      <c r="F331" s="75" t="s">
        <v>925</v>
      </c>
      <c r="G331" s="82">
        <v>46110.0</v>
      </c>
      <c r="H331" s="76" t="s">
        <v>977</v>
      </c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>
      <c r="A332" s="75" t="s">
        <v>54</v>
      </c>
      <c r="B332" s="75" t="s">
        <v>999</v>
      </c>
      <c r="C332" s="75">
        <v>6.96</v>
      </c>
      <c r="D332" s="75">
        <v>0.0</v>
      </c>
      <c r="E332" s="75">
        <v>0.0</v>
      </c>
      <c r="F332" s="75" t="s">
        <v>925</v>
      </c>
      <c r="G332" s="82">
        <v>46110.0</v>
      </c>
      <c r="H332" s="76" t="s">
        <v>978</v>
      </c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>
      <c r="A333" s="75" t="s">
        <v>54</v>
      </c>
      <c r="B333" s="75" t="s">
        <v>999</v>
      </c>
      <c r="C333" s="75">
        <v>5.63</v>
      </c>
      <c r="D333" s="75">
        <v>1.0</v>
      </c>
      <c r="E333" s="75">
        <v>5.63</v>
      </c>
      <c r="F333" s="75" t="s">
        <v>925</v>
      </c>
      <c r="G333" s="82">
        <v>46110.0</v>
      </c>
      <c r="H333" s="76" t="s">
        <v>979</v>
      </c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>
      <c r="A334" s="75" t="s">
        <v>55</v>
      </c>
      <c r="B334" s="75" t="s">
        <v>999</v>
      </c>
      <c r="C334" s="75">
        <v>7.3</v>
      </c>
      <c r="D334" s="75">
        <v>0.0</v>
      </c>
      <c r="E334" s="75">
        <v>0.0</v>
      </c>
      <c r="F334" s="75" t="s">
        <v>925</v>
      </c>
      <c r="G334" s="82">
        <v>46110.0</v>
      </c>
      <c r="H334" s="76" t="s">
        <v>980</v>
      </c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>
      <c r="A335" s="75" t="s">
        <v>55</v>
      </c>
      <c r="B335" s="75" t="s">
        <v>999</v>
      </c>
      <c r="C335" s="75">
        <v>9.85</v>
      </c>
      <c r="D335" s="75">
        <v>0.0</v>
      </c>
      <c r="E335" s="75">
        <v>0.0</v>
      </c>
      <c r="F335" s="75" t="s">
        <v>925</v>
      </c>
      <c r="G335" s="82">
        <v>46110.0</v>
      </c>
      <c r="H335" s="76" t="s">
        <v>981</v>
      </c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>
      <c r="A336" s="75" t="s">
        <v>53</v>
      </c>
      <c r="B336" s="75" t="s">
        <v>999</v>
      </c>
      <c r="C336" s="75">
        <v>10.58</v>
      </c>
      <c r="D336" s="75">
        <v>0.0</v>
      </c>
      <c r="E336" s="75">
        <v>0.0</v>
      </c>
      <c r="F336" s="75" t="s">
        <v>925</v>
      </c>
      <c r="G336" s="82">
        <v>46110.0</v>
      </c>
      <c r="H336" s="76" t="s">
        <v>982</v>
      </c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>
      <c r="A337" s="75" t="s">
        <v>53</v>
      </c>
      <c r="B337" s="75" t="s">
        <v>999</v>
      </c>
      <c r="C337" s="75">
        <v>2.35</v>
      </c>
      <c r="D337" s="75">
        <v>0.0</v>
      </c>
      <c r="E337" s="75">
        <v>0.0</v>
      </c>
      <c r="F337" s="75" t="s">
        <v>925</v>
      </c>
      <c r="G337" s="82">
        <v>46110.0</v>
      </c>
      <c r="H337" s="76" t="s">
        <v>983</v>
      </c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>
      <c r="A338" s="75" t="s">
        <v>53</v>
      </c>
      <c r="B338" s="75" t="s">
        <v>999</v>
      </c>
      <c r="C338" s="75">
        <v>3.43</v>
      </c>
      <c r="D338" s="75">
        <v>0.0</v>
      </c>
      <c r="E338" s="75">
        <v>0.0</v>
      </c>
      <c r="F338" s="75" t="s">
        <v>925</v>
      </c>
      <c r="G338" s="82">
        <v>46110.0</v>
      </c>
      <c r="H338" s="76" t="s">
        <v>984</v>
      </c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>
      <c r="A339" s="75" t="s">
        <v>985</v>
      </c>
      <c r="B339" s="75" t="s">
        <v>999</v>
      </c>
      <c r="C339" s="75">
        <v>3.31</v>
      </c>
      <c r="D339" s="75">
        <v>0.0</v>
      </c>
      <c r="E339" s="75">
        <v>0.0</v>
      </c>
      <c r="F339" s="75" t="s">
        <v>925</v>
      </c>
      <c r="G339" s="82">
        <v>46110.0</v>
      </c>
      <c r="H339" s="76" t="s">
        <v>936</v>
      </c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>
      <c r="A340" s="75" t="s">
        <v>985</v>
      </c>
      <c r="B340" s="75" t="s">
        <v>999</v>
      </c>
      <c r="C340" s="75">
        <v>3.04</v>
      </c>
      <c r="D340" s="75">
        <v>0.0</v>
      </c>
      <c r="E340" s="75">
        <v>0.0</v>
      </c>
      <c r="F340" s="75" t="s">
        <v>925</v>
      </c>
      <c r="G340" s="82">
        <v>46110.0</v>
      </c>
      <c r="H340" s="76" t="s">
        <v>937</v>
      </c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>
      <c r="A341" s="75" t="s">
        <v>985</v>
      </c>
      <c r="B341" s="75" t="s">
        <v>999</v>
      </c>
      <c r="C341" s="75">
        <v>6.03</v>
      </c>
      <c r="D341" s="75">
        <v>1.0</v>
      </c>
      <c r="E341" s="75">
        <v>6.03</v>
      </c>
      <c r="F341" s="75" t="s">
        <v>925</v>
      </c>
      <c r="G341" s="82">
        <v>46110.0</v>
      </c>
      <c r="H341" s="76" t="s">
        <v>938</v>
      </c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>
      <c r="A342" s="75" t="s">
        <v>51</v>
      </c>
      <c r="B342" s="75" t="s">
        <v>999</v>
      </c>
      <c r="C342" s="75">
        <v>15.98</v>
      </c>
      <c r="D342" s="75">
        <v>0.0</v>
      </c>
      <c r="E342" s="75">
        <v>0.0</v>
      </c>
      <c r="F342" s="75" t="s">
        <v>925</v>
      </c>
      <c r="G342" s="82">
        <v>46110.0</v>
      </c>
      <c r="H342" s="76" t="s">
        <v>986</v>
      </c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>
      <c r="A343" s="75" t="s">
        <v>51</v>
      </c>
      <c r="B343" s="75" t="s">
        <v>999</v>
      </c>
      <c r="C343" s="75">
        <v>6.5</v>
      </c>
      <c r="D343" s="75">
        <v>0.0</v>
      </c>
      <c r="E343" s="75">
        <v>0.0</v>
      </c>
      <c r="F343" s="75" t="s">
        <v>925</v>
      </c>
      <c r="G343" s="82">
        <v>46110.0</v>
      </c>
      <c r="H343" s="76" t="s">
        <v>987</v>
      </c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>
      <c r="A344" s="75" t="s">
        <v>54</v>
      </c>
      <c r="B344" s="75" t="s">
        <v>999</v>
      </c>
      <c r="C344" s="75">
        <v>7.65</v>
      </c>
      <c r="D344" s="75">
        <v>0.0</v>
      </c>
      <c r="E344" s="75">
        <v>0.0</v>
      </c>
      <c r="F344" s="75" t="s">
        <v>948</v>
      </c>
      <c r="G344" s="82">
        <v>46110.0</v>
      </c>
      <c r="H344" s="76" t="s">
        <v>977</v>
      </c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>
      <c r="A345" s="75" t="s">
        <v>54</v>
      </c>
      <c r="B345" s="75" t="s">
        <v>999</v>
      </c>
      <c r="C345" s="75">
        <v>6.62</v>
      </c>
      <c r="D345" s="75">
        <v>0.0</v>
      </c>
      <c r="E345" s="75">
        <v>0.0</v>
      </c>
      <c r="F345" s="75" t="s">
        <v>948</v>
      </c>
      <c r="G345" s="82">
        <v>46110.0</v>
      </c>
      <c r="H345" s="76" t="s">
        <v>978</v>
      </c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>
      <c r="A346" s="75" t="s">
        <v>54</v>
      </c>
      <c r="B346" s="75" t="s">
        <v>999</v>
      </c>
      <c r="C346" s="75">
        <v>6.28</v>
      </c>
      <c r="D346" s="75">
        <v>0.0</v>
      </c>
      <c r="E346" s="75">
        <v>0.0</v>
      </c>
      <c r="F346" s="75" t="s">
        <v>948</v>
      </c>
      <c r="G346" s="82">
        <v>46110.0</v>
      </c>
      <c r="H346" s="76" t="s">
        <v>979</v>
      </c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>
      <c r="A347" s="75" t="s">
        <v>55</v>
      </c>
      <c r="B347" s="75" t="s">
        <v>999</v>
      </c>
      <c r="C347" s="75">
        <v>6.12</v>
      </c>
      <c r="D347" s="75">
        <v>0.0</v>
      </c>
      <c r="E347" s="75">
        <v>0.0</v>
      </c>
      <c r="F347" s="75" t="s">
        <v>948</v>
      </c>
      <c r="G347" s="82">
        <v>46110.0</v>
      </c>
      <c r="H347" s="76" t="s">
        <v>980</v>
      </c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>
      <c r="A348" s="75" t="s">
        <v>55</v>
      </c>
      <c r="B348" s="75" t="s">
        <v>999</v>
      </c>
      <c r="C348" s="75">
        <v>11.41</v>
      </c>
      <c r="D348" s="75">
        <v>0.0</v>
      </c>
      <c r="E348" s="75">
        <v>0.0</v>
      </c>
      <c r="F348" s="75" t="s">
        <v>948</v>
      </c>
      <c r="G348" s="82">
        <v>46110.0</v>
      </c>
      <c r="H348" s="76" t="s">
        <v>981</v>
      </c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>
      <c r="A349" s="75" t="s">
        <v>53</v>
      </c>
      <c r="B349" s="75" t="s">
        <v>999</v>
      </c>
      <c r="C349" s="75">
        <v>10.16</v>
      </c>
      <c r="D349" s="75">
        <v>1.0</v>
      </c>
      <c r="E349" s="75">
        <v>10.16</v>
      </c>
      <c r="F349" s="75" t="s">
        <v>948</v>
      </c>
      <c r="G349" s="82">
        <v>46110.0</v>
      </c>
      <c r="H349" s="76" t="s">
        <v>982</v>
      </c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>
      <c r="A350" s="75" t="s">
        <v>53</v>
      </c>
      <c r="B350" s="75" t="s">
        <v>999</v>
      </c>
      <c r="C350" s="75">
        <v>2.9</v>
      </c>
      <c r="D350" s="75">
        <v>0.0</v>
      </c>
      <c r="E350" s="75">
        <v>0.0</v>
      </c>
      <c r="F350" s="75" t="s">
        <v>948</v>
      </c>
      <c r="G350" s="82">
        <v>46110.0</v>
      </c>
      <c r="H350" s="76" t="s">
        <v>983</v>
      </c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>
      <c r="A351" s="75" t="s">
        <v>53</v>
      </c>
      <c r="B351" s="75" t="s">
        <v>999</v>
      </c>
      <c r="C351" s="75">
        <v>3.24</v>
      </c>
      <c r="D351" s="75">
        <v>0.0</v>
      </c>
      <c r="E351" s="75">
        <v>0.0</v>
      </c>
      <c r="F351" s="75" t="s">
        <v>948</v>
      </c>
      <c r="G351" s="82">
        <v>46110.0</v>
      </c>
      <c r="H351" s="76" t="s">
        <v>984</v>
      </c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>
      <c r="A352" s="75" t="s">
        <v>985</v>
      </c>
      <c r="B352" s="75" t="s">
        <v>999</v>
      </c>
      <c r="C352" s="75">
        <v>3.81</v>
      </c>
      <c r="D352" s="75">
        <v>0.0</v>
      </c>
      <c r="E352" s="75">
        <v>0.0</v>
      </c>
      <c r="F352" s="75" t="s">
        <v>948</v>
      </c>
      <c r="G352" s="82">
        <v>46110.0</v>
      </c>
      <c r="H352" s="76" t="s">
        <v>936</v>
      </c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>
      <c r="A353" s="75" t="s">
        <v>985</v>
      </c>
      <c r="B353" s="75" t="s">
        <v>999</v>
      </c>
      <c r="C353" s="75">
        <v>2.93</v>
      </c>
      <c r="D353" s="75">
        <v>0.0</v>
      </c>
      <c r="E353" s="75">
        <v>0.0</v>
      </c>
      <c r="F353" s="75" t="s">
        <v>948</v>
      </c>
      <c r="G353" s="82">
        <v>46110.0</v>
      </c>
      <c r="H353" s="76" t="s">
        <v>937</v>
      </c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>
      <c r="A354" s="75" t="s">
        <v>985</v>
      </c>
      <c r="B354" s="75" t="s">
        <v>999</v>
      </c>
      <c r="C354" s="75">
        <v>5.24</v>
      </c>
      <c r="D354" s="75">
        <v>0.0</v>
      </c>
      <c r="E354" s="75">
        <v>0.0</v>
      </c>
      <c r="F354" s="75" t="s">
        <v>948</v>
      </c>
      <c r="G354" s="82">
        <v>46110.0</v>
      </c>
      <c r="H354" s="76" t="s">
        <v>938</v>
      </c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>
      <c r="A355" s="75" t="s">
        <v>51</v>
      </c>
      <c r="B355" s="75" t="s">
        <v>999</v>
      </c>
      <c r="C355" s="75">
        <v>14.18</v>
      </c>
      <c r="D355" s="75">
        <v>0.0</v>
      </c>
      <c r="E355" s="75">
        <v>0.0</v>
      </c>
      <c r="F355" s="75" t="s">
        <v>948</v>
      </c>
      <c r="G355" s="82">
        <v>46110.0</v>
      </c>
      <c r="H355" s="76" t="s">
        <v>986</v>
      </c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>
      <c r="A356" s="75" t="s">
        <v>51</v>
      </c>
      <c r="B356" s="75" t="s">
        <v>999</v>
      </c>
      <c r="C356" s="75">
        <v>5.45</v>
      </c>
      <c r="D356" s="75">
        <v>0.0</v>
      </c>
      <c r="E356" s="75">
        <v>0.0</v>
      </c>
      <c r="F356" s="75" t="s">
        <v>948</v>
      </c>
      <c r="G356" s="82">
        <v>46110.0</v>
      </c>
      <c r="H356" s="76" t="s">
        <v>987</v>
      </c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>
      <c r="A357" s="75" t="s">
        <v>36</v>
      </c>
      <c r="B357" s="75" t="s">
        <v>1000</v>
      </c>
      <c r="C357" s="75">
        <v>6.9</v>
      </c>
      <c r="D357" s="75">
        <v>0.0</v>
      </c>
      <c r="E357" s="75">
        <v>0.0</v>
      </c>
      <c r="F357" s="75" t="s">
        <v>925</v>
      </c>
      <c r="G357" s="82">
        <v>46110.0</v>
      </c>
      <c r="H357" s="76" t="s">
        <v>926</v>
      </c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>
      <c r="A358" s="75" t="s">
        <v>36</v>
      </c>
      <c r="B358" s="75" t="s">
        <v>1000</v>
      </c>
      <c r="C358" s="75">
        <v>1.72</v>
      </c>
      <c r="D358" s="75">
        <v>0.0</v>
      </c>
      <c r="E358" s="75">
        <v>0.0</v>
      </c>
      <c r="F358" s="75" t="s">
        <v>925</v>
      </c>
      <c r="G358" s="82">
        <v>46110.0</v>
      </c>
      <c r="H358" s="76" t="s">
        <v>927</v>
      </c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>
      <c r="A359" s="75" t="s">
        <v>36</v>
      </c>
      <c r="B359" s="75" t="s">
        <v>1000</v>
      </c>
      <c r="C359" s="75">
        <v>1.95</v>
      </c>
      <c r="D359" s="75">
        <v>0.0</v>
      </c>
      <c r="E359" s="75">
        <v>0.0</v>
      </c>
      <c r="F359" s="75" t="s">
        <v>925</v>
      </c>
      <c r="G359" s="82">
        <v>46110.0</v>
      </c>
      <c r="H359" s="76" t="s">
        <v>928</v>
      </c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>
      <c r="A360" s="75" t="s">
        <v>31</v>
      </c>
      <c r="B360" s="75" t="s">
        <v>1000</v>
      </c>
      <c r="C360" s="75">
        <v>3.53</v>
      </c>
      <c r="D360" s="75">
        <v>1.0</v>
      </c>
      <c r="E360" s="75">
        <v>3.53</v>
      </c>
      <c r="F360" s="75" t="s">
        <v>925</v>
      </c>
      <c r="G360" s="82">
        <v>46110.0</v>
      </c>
      <c r="H360" s="76" t="s">
        <v>929</v>
      </c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>
      <c r="A361" s="75" t="s">
        <v>31</v>
      </c>
      <c r="B361" s="75" t="s">
        <v>1000</v>
      </c>
      <c r="C361" s="75">
        <v>10.06</v>
      </c>
      <c r="D361" s="75">
        <v>0.0</v>
      </c>
      <c r="E361" s="75">
        <v>0.0</v>
      </c>
      <c r="F361" s="75" t="s">
        <v>925</v>
      </c>
      <c r="G361" s="82">
        <v>46110.0</v>
      </c>
      <c r="H361" s="76" t="s">
        <v>930</v>
      </c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>
      <c r="A362" s="75" t="s">
        <v>28</v>
      </c>
      <c r="B362" s="75" t="s">
        <v>1000</v>
      </c>
      <c r="C362" s="75">
        <v>1.34</v>
      </c>
      <c r="D362" s="75">
        <v>1.0</v>
      </c>
      <c r="E362" s="75">
        <v>1.34</v>
      </c>
      <c r="F362" s="75" t="s">
        <v>925</v>
      </c>
      <c r="G362" s="82">
        <v>46110.0</v>
      </c>
      <c r="H362" s="76" t="s">
        <v>931</v>
      </c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>
      <c r="A363" s="75" t="s">
        <v>28</v>
      </c>
      <c r="B363" s="75" t="s">
        <v>1000</v>
      </c>
      <c r="C363" s="75">
        <v>1.79</v>
      </c>
      <c r="D363" s="75">
        <v>0.0</v>
      </c>
      <c r="E363" s="75">
        <v>0.0</v>
      </c>
      <c r="F363" s="75" t="s">
        <v>925</v>
      </c>
      <c r="G363" s="82">
        <v>46110.0</v>
      </c>
      <c r="H363" s="76" t="s">
        <v>932</v>
      </c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>
      <c r="A364" s="75" t="s">
        <v>28</v>
      </c>
      <c r="B364" s="75" t="s">
        <v>1000</v>
      </c>
      <c r="C364" s="75">
        <v>5.83</v>
      </c>
      <c r="D364" s="75">
        <v>0.0</v>
      </c>
      <c r="E364" s="75">
        <v>0.0</v>
      </c>
      <c r="F364" s="75" t="s">
        <v>925</v>
      </c>
      <c r="G364" s="82">
        <v>46110.0</v>
      </c>
      <c r="H364" s="76" t="s">
        <v>933</v>
      </c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>
      <c r="A365" s="75" t="s">
        <v>42</v>
      </c>
      <c r="B365" s="75" t="s">
        <v>1000</v>
      </c>
      <c r="C365" s="75">
        <v>3.7</v>
      </c>
      <c r="D365" s="75">
        <v>0.0</v>
      </c>
      <c r="E365" s="75">
        <v>0.0</v>
      </c>
      <c r="F365" s="75" t="s">
        <v>925</v>
      </c>
      <c r="G365" s="82">
        <v>46110.0</v>
      </c>
      <c r="H365" s="76" t="s">
        <v>934</v>
      </c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>
      <c r="A366" s="75" t="s">
        <v>42</v>
      </c>
      <c r="B366" s="75" t="s">
        <v>1000</v>
      </c>
      <c r="C366" s="75">
        <v>6.97</v>
      </c>
      <c r="D366" s="75">
        <v>1.0</v>
      </c>
      <c r="E366" s="75">
        <v>6.97</v>
      </c>
      <c r="F366" s="75" t="s">
        <v>925</v>
      </c>
      <c r="G366" s="82">
        <v>46110.0</v>
      </c>
      <c r="H366" s="76" t="s">
        <v>935</v>
      </c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>
      <c r="A367" s="75" t="s">
        <v>45</v>
      </c>
      <c r="B367" s="75" t="s">
        <v>1000</v>
      </c>
      <c r="C367" s="75">
        <v>1.93</v>
      </c>
      <c r="D367" s="75">
        <v>1.0</v>
      </c>
      <c r="E367" s="75">
        <v>1.93</v>
      </c>
      <c r="F367" s="75" t="s">
        <v>925</v>
      </c>
      <c r="G367" s="82">
        <v>46110.0</v>
      </c>
      <c r="H367" s="76" t="s">
        <v>936</v>
      </c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>
      <c r="A368" s="75" t="s">
        <v>45</v>
      </c>
      <c r="B368" s="75" t="s">
        <v>1000</v>
      </c>
      <c r="C368" s="75">
        <v>1.85</v>
      </c>
      <c r="D368" s="75">
        <v>1.0</v>
      </c>
      <c r="E368" s="75">
        <v>1.85</v>
      </c>
      <c r="F368" s="75" t="s">
        <v>925</v>
      </c>
      <c r="G368" s="82">
        <v>46110.0</v>
      </c>
      <c r="H368" s="76" t="s">
        <v>937</v>
      </c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>
      <c r="A369" s="75" t="s">
        <v>45</v>
      </c>
      <c r="B369" s="75" t="s">
        <v>1000</v>
      </c>
      <c r="C369" s="75">
        <v>4.84</v>
      </c>
      <c r="D369" s="75">
        <v>0.0</v>
      </c>
      <c r="E369" s="75">
        <v>0.0</v>
      </c>
      <c r="F369" s="75" t="s">
        <v>925</v>
      </c>
      <c r="G369" s="82">
        <v>46110.0</v>
      </c>
      <c r="H369" s="76" t="s">
        <v>938</v>
      </c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>
      <c r="A370" s="75" t="s">
        <v>50</v>
      </c>
      <c r="B370" s="75" t="s">
        <v>1000</v>
      </c>
      <c r="C370" s="75">
        <v>4.35</v>
      </c>
      <c r="D370" s="75">
        <v>0.0</v>
      </c>
      <c r="E370" s="75">
        <v>0.0</v>
      </c>
      <c r="F370" s="75" t="s">
        <v>925</v>
      </c>
      <c r="G370" s="82">
        <v>46110.0</v>
      </c>
      <c r="H370" s="76" t="s">
        <v>939</v>
      </c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>
      <c r="A371" s="75" t="s">
        <v>50</v>
      </c>
      <c r="B371" s="75" t="s">
        <v>1000</v>
      </c>
      <c r="C371" s="75">
        <v>3.14</v>
      </c>
      <c r="D371" s="75">
        <v>0.0</v>
      </c>
      <c r="E371" s="75">
        <v>0.0</v>
      </c>
      <c r="F371" s="75" t="s">
        <v>925</v>
      </c>
      <c r="G371" s="82">
        <v>46110.0</v>
      </c>
      <c r="H371" s="76" t="s">
        <v>940</v>
      </c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>
      <c r="A372" s="75" t="s">
        <v>32</v>
      </c>
      <c r="B372" s="75" t="s">
        <v>1000</v>
      </c>
      <c r="C372" s="75">
        <v>7.68</v>
      </c>
      <c r="D372" s="75">
        <v>1.0</v>
      </c>
      <c r="E372" s="75">
        <v>7.68</v>
      </c>
      <c r="F372" s="75" t="s">
        <v>925</v>
      </c>
      <c r="G372" s="82">
        <v>46110.0</v>
      </c>
      <c r="H372" s="76" t="s">
        <v>941</v>
      </c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>
      <c r="A373" s="75" t="s">
        <v>32</v>
      </c>
      <c r="B373" s="75" t="s">
        <v>1000</v>
      </c>
      <c r="C373" s="75">
        <v>1.35</v>
      </c>
      <c r="D373" s="75">
        <v>0.0</v>
      </c>
      <c r="E373" s="75">
        <v>0.0</v>
      </c>
      <c r="F373" s="75" t="s">
        <v>925</v>
      </c>
      <c r="G373" s="82">
        <v>46110.0</v>
      </c>
      <c r="H373" s="76" t="s">
        <v>942</v>
      </c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>
      <c r="A374" s="75" t="s">
        <v>32</v>
      </c>
      <c r="B374" s="75" t="s">
        <v>1000</v>
      </c>
      <c r="C374" s="75">
        <v>3.92</v>
      </c>
      <c r="D374" s="75">
        <v>1.0</v>
      </c>
      <c r="E374" s="75">
        <v>3.92</v>
      </c>
      <c r="F374" s="75" t="s">
        <v>925</v>
      </c>
      <c r="G374" s="82">
        <v>46110.0</v>
      </c>
      <c r="H374" s="76" t="s">
        <v>943</v>
      </c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>
      <c r="A375" s="75" t="s">
        <v>944</v>
      </c>
      <c r="B375" s="75" t="s">
        <v>1000</v>
      </c>
      <c r="C375" s="75">
        <v>4.63</v>
      </c>
      <c r="D375" s="75">
        <v>1.0</v>
      </c>
      <c r="E375" s="75">
        <v>4.63</v>
      </c>
      <c r="F375" s="75" t="s">
        <v>925</v>
      </c>
      <c r="G375" s="82">
        <v>46110.0</v>
      </c>
      <c r="H375" s="76" t="s">
        <v>945</v>
      </c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>
      <c r="A376" s="75" t="s">
        <v>944</v>
      </c>
      <c r="B376" s="75" t="s">
        <v>1000</v>
      </c>
      <c r="C376" s="75">
        <v>1.0</v>
      </c>
      <c r="D376" s="75">
        <v>0.0</v>
      </c>
      <c r="E376" s="75">
        <v>0.0</v>
      </c>
      <c r="F376" s="75" t="s">
        <v>925</v>
      </c>
      <c r="G376" s="82">
        <v>46110.0</v>
      </c>
      <c r="H376" s="76" t="s">
        <v>946</v>
      </c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>
      <c r="A377" s="75" t="s">
        <v>944</v>
      </c>
      <c r="B377" s="75" t="s">
        <v>1000</v>
      </c>
      <c r="C377" s="75">
        <v>2.66</v>
      </c>
      <c r="D377" s="75">
        <v>0.0</v>
      </c>
      <c r="E377" s="75">
        <v>0.0</v>
      </c>
      <c r="F377" s="75" t="s">
        <v>925</v>
      </c>
      <c r="G377" s="82">
        <v>46110.0</v>
      </c>
      <c r="H377" s="76" t="s">
        <v>947</v>
      </c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>
      <c r="A378" s="75" t="s">
        <v>36</v>
      </c>
      <c r="B378" s="75" t="s">
        <v>1000</v>
      </c>
      <c r="C378" s="75">
        <v>8.46</v>
      </c>
      <c r="D378" s="75">
        <v>1.0</v>
      </c>
      <c r="E378" s="75">
        <v>8.46</v>
      </c>
      <c r="F378" s="75" t="s">
        <v>948</v>
      </c>
      <c r="G378" s="82">
        <v>46110.0</v>
      </c>
      <c r="H378" s="76" t="s">
        <v>926</v>
      </c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>
      <c r="A379" s="75" t="s">
        <v>36</v>
      </c>
      <c r="B379" s="75" t="s">
        <v>1000</v>
      </c>
      <c r="C379" s="75">
        <v>2.19</v>
      </c>
      <c r="D379" s="75">
        <v>0.0</v>
      </c>
      <c r="E379" s="75">
        <v>0.0</v>
      </c>
      <c r="F379" s="75" t="s">
        <v>948</v>
      </c>
      <c r="G379" s="82">
        <v>46110.0</v>
      </c>
      <c r="H379" s="76" t="s">
        <v>927</v>
      </c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>
      <c r="A380" s="75" t="s">
        <v>36</v>
      </c>
      <c r="B380" s="75" t="s">
        <v>1000</v>
      </c>
      <c r="C380" s="75">
        <v>2.34</v>
      </c>
      <c r="D380" s="75">
        <v>0.0</v>
      </c>
      <c r="E380" s="75">
        <v>0.0</v>
      </c>
      <c r="F380" s="75" t="s">
        <v>948</v>
      </c>
      <c r="G380" s="82">
        <v>46110.0</v>
      </c>
      <c r="H380" s="76" t="s">
        <v>928</v>
      </c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>
      <c r="A381" s="75" t="s">
        <v>31</v>
      </c>
      <c r="B381" s="75" t="s">
        <v>1000</v>
      </c>
      <c r="C381" s="75">
        <v>3.43</v>
      </c>
      <c r="D381" s="75">
        <v>0.0</v>
      </c>
      <c r="E381" s="75">
        <v>0.0</v>
      </c>
      <c r="F381" s="75" t="s">
        <v>948</v>
      </c>
      <c r="G381" s="82">
        <v>46110.0</v>
      </c>
      <c r="H381" s="76" t="s">
        <v>929</v>
      </c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>
      <c r="A382" s="75" t="s">
        <v>31</v>
      </c>
      <c r="B382" s="75" t="s">
        <v>1000</v>
      </c>
      <c r="C382" s="75">
        <v>16.35</v>
      </c>
      <c r="D382" s="75">
        <v>1.0</v>
      </c>
      <c r="E382" s="75">
        <v>16.35</v>
      </c>
      <c r="F382" s="75" t="s">
        <v>948</v>
      </c>
      <c r="G382" s="82">
        <v>46110.0</v>
      </c>
      <c r="H382" s="76" t="s">
        <v>930</v>
      </c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>
      <c r="A383" s="75" t="s">
        <v>28</v>
      </c>
      <c r="B383" s="75" t="s">
        <v>1000</v>
      </c>
      <c r="C383" s="75">
        <v>1.73</v>
      </c>
      <c r="D383" s="75">
        <v>1.0</v>
      </c>
      <c r="E383" s="75">
        <v>1.73</v>
      </c>
      <c r="F383" s="75" t="s">
        <v>948</v>
      </c>
      <c r="G383" s="82">
        <v>46110.0</v>
      </c>
      <c r="H383" s="76" t="s">
        <v>931</v>
      </c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>
      <c r="A384" s="75" t="s">
        <v>28</v>
      </c>
      <c r="B384" s="75" t="s">
        <v>1000</v>
      </c>
      <c r="C384" s="75">
        <v>2.62</v>
      </c>
      <c r="D384" s="75">
        <v>0.0</v>
      </c>
      <c r="E384" s="75">
        <v>0.0</v>
      </c>
      <c r="F384" s="75" t="s">
        <v>948</v>
      </c>
      <c r="G384" s="82">
        <v>46110.0</v>
      </c>
      <c r="H384" s="76" t="s">
        <v>932</v>
      </c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>
      <c r="A385" s="75" t="s">
        <v>28</v>
      </c>
      <c r="B385" s="75" t="s">
        <v>1000</v>
      </c>
      <c r="C385" s="75">
        <v>9.31</v>
      </c>
      <c r="D385" s="75">
        <v>3.0</v>
      </c>
      <c r="E385" s="75">
        <v>3.1</v>
      </c>
      <c r="F385" s="75" t="s">
        <v>948</v>
      </c>
      <c r="G385" s="82">
        <v>46110.0</v>
      </c>
      <c r="H385" s="76" t="s">
        <v>933</v>
      </c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>
      <c r="A386" s="75" t="s">
        <v>42</v>
      </c>
      <c r="B386" s="75" t="s">
        <v>1000</v>
      </c>
      <c r="C386" s="75">
        <v>4.18</v>
      </c>
      <c r="D386" s="75">
        <v>0.0</v>
      </c>
      <c r="E386" s="75">
        <v>0.0</v>
      </c>
      <c r="F386" s="75" t="s">
        <v>948</v>
      </c>
      <c r="G386" s="82">
        <v>46110.0</v>
      </c>
      <c r="H386" s="76" t="s">
        <v>934</v>
      </c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>
      <c r="A387" s="75" t="s">
        <v>42</v>
      </c>
      <c r="B387" s="75" t="s">
        <v>1000</v>
      </c>
      <c r="C387" s="75">
        <v>7.32</v>
      </c>
      <c r="D387" s="75">
        <v>0.0</v>
      </c>
      <c r="E387" s="75">
        <v>0.0</v>
      </c>
      <c r="F387" s="75" t="s">
        <v>948</v>
      </c>
      <c r="G387" s="82">
        <v>46110.0</v>
      </c>
      <c r="H387" s="76" t="s">
        <v>935</v>
      </c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>
      <c r="A388" s="75" t="s">
        <v>45</v>
      </c>
      <c r="B388" s="75" t="s">
        <v>1000</v>
      </c>
      <c r="C388" s="75">
        <v>2.47</v>
      </c>
      <c r="D388" s="75">
        <v>0.0</v>
      </c>
      <c r="E388" s="75">
        <v>0.0</v>
      </c>
      <c r="F388" s="75" t="s">
        <v>948</v>
      </c>
      <c r="G388" s="82">
        <v>46110.0</v>
      </c>
      <c r="H388" s="76" t="s">
        <v>936</v>
      </c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>
      <c r="A389" s="75" t="s">
        <v>45</v>
      </c>
      <c r="B389" s="75" t="s">
        <v>1000</v>
      </c>
      <c r="C389" s="75">
        <v>2.09</v>
      </c>
      <c r="D389" s="75">
        <v>0.0</v>
      </c>
      <c r="E389" s="75">
        <v>0.0</v>
      </c>
      <c r="F389" s="75" t="s">
        <v>948</v>
      </c>
      <c r="G389" s="82">
        <v>46110.0</v>
      </c>
      <c r="H389" s="76" t="s">
        <v>937</v>
      </c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>
      <c r="A390" s="75" t="s">
        <v>45</v>
      </c>
      <c r="B390" s="75" t="s">
        <v>1000</v>
      </c>
      <c r="C390" s="75">
        <v>5.15</v>
      </c>
      <c r="D390" s="75">
        <v>1.0</v>
      </c>
      <c r="E390" s="75">
        <v>5.15</v>
      </c>
      <c r="F390" s="75" t="s">
        <v>948</v>
      </c>
      <c r="G390" s="82">
        <v>46110.0</v>
      </c>
      <c r="H390" s="76" t="s">
        <v>938</v>
      </c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>
      <c r="A391" s="75" t="s">
        <v>50</v>
      </c>
      <c r="B391" s="75" t="s">
        <v>1000</v>
      </c>
      <c r="C391" s="75">
        <v>3.99</v>
      </c>
      <c r="D391" s="75">
        <v>0.0</v>
      </c>
      <c r="E391" s="75">
        <v>0.0</v>
      </c>
      <c r="F391" s="75" t="s">
        <v>948</v>
      </c>
      <c r="G391" s="82">
        <v>46110.0</v>
      </c>
      <c r="H391" s="76" t="s">
        <v>939</v>
      </c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>
      <c r="A392" s="75" t="s">
        <v>50</v>
      </c>
      <c r="B392" s="75" t="s">
        <v>1000</v>
      </c>
      <c r="C392" s="75">
        <v>3.48</v>
      </c>
      <c r="D392" s="75">
        <v>0.0</v>
      </c>
      <c r="E392" s="75">
        <v>0.0</v>
      </c>
      <c r="F392" s="75" t="s">
        <v>948</v>
      </c>
      <c r="G392" s="82">
        <v>46110.0</v>
      </c>
      <c r="H392" s="76" t="s">
        <v>940</v>
      </c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>
      <c r="A393" s="75" t="s">
        <v>32</v>
      </c>
      <c r="B393" s="75" t="s">
        <v>1000</v>
      </c>
      <c r="C393" s="75">
        <v>8.52</v>
      </c>
      <c r="D393" s="75">
        <v>1.0</v>
      </c>
      <c r="E393" s="75">
        <v>8.52</v>
      </c>
      <c r="F393" s="75" t="s">
        <v>948</v>
      </c>
      <c r="G393" s="82">
        <v>46110.0</v>
      </c>
      <c r="H393" s="76" t="s">
        <v>941</v>
      </c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>
      <c r="A394" s="75" t="s">
        <v>32</v>
      </c>
      <c r="B394" s="75" t="s">
        <v>1000</v>
      </c>
      <c r="C394" s="75">
        <v>1.59</v>
      </c>
      <c r="D394" s="75">
        <v>0.0</v>
      </c>
      <c r="E394" s="75">
        <v>0.0</v>
      </c>
      <c r="F394" s="75" t="s">
        <v>948</v>
      </c>
      <c r="G394" s="82">
        <v>46110.0</v>
      </c>
      <c r="H394" s="76" t="s">
        <v>942</v>
      </c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>
      <c r="A395" s="75" t="s">
        <v>32</v>
      </c>
      <c r="B395" s="75" t="s">
        <v>1000</v>
      </c>
      <c r="C395" s="75">
        <v>5.46</v>
      </c>
      <c r="D395" s="75">
        <v>0.0</v>
      </c>
      <c r="E395" s="75">
        <v>0.0</v>
      </c>
      <c r="F395" s="75" t="s">
        <v>948</v>
      </c>
      <c r="G395" s="82">
        <v>46110.0</v>
      </c>
      <c r="H395" s="76" t="s">
        <v>943</v>
      </c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>
      <c r="A396" s="75" t="s">
        <v>944</v>
      </c>
      <c r="B396" s="75" t="s">
        <v>1000</v>
      </c>
      <c r="C396" s="75">
        <v>3.93</v>
      </c>
      <c r="D396" s="75">
        <v>0.0</v>
      </c>
      <c r="E396" s="75">
        <v>0.0</v>
      </c>
      <c r="F396" s="75" t="s">
        <v>948</v>
      </c>
      <c r="G396" s="82">
        <v>46110.0</v>
      </c>
      <c r="H396" s="76" t="s">
        <v>945</v>
      </c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>
      <c r="A397" s="75" t="s">
        <v>944</v>
      </c>
      <c r="B397" s="75" t="s">
        <v>1000</v>
      </c>
      <c r="C397" s="75">
        <v>1.47</v>
      </c>
      <c r="D397" s="75">
        <v>0.0</v>
      </c>
      <c r="E397" s="75">
        <v>0.0</v>
      </c>
      <c r="F397" s="75" t="s">
        <v>948</v>
      </c>
      <c r="G397" s="82">
        <v>46110.0</v>
      </c>
      <c r="H397" s="76" t="s">
        <v>946</v>
      </c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>
      <c r="A398" s="75" t="s">
        <v>944</v>
      </c>
      <c r="B398" s="75" t="s">
        <v>1000</v>
      </c>
      <c r="C398" s="75">
        <v>2.87</v>
      </c>
      <c r="D398" s="75">
        <v>0.0</v>
      </c>
      <c r="E398" s="75">
        <v>0.0</v>
      </c>
      <c r="F398" s="75" t="s">
        <v>948</v>
      </c>
      <c r="G398" s="82">
        <v>46110.0</v>
      </c>
      <c r="H398" s="76" t="s">
        <v>947</v>
      </c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>
      <c r="A399" s="75" t="s">
        <v>34</v>
      </c>
      <c r="B399" s="75" t="s">
        <v>1001</v>
      </c>
      <c r="C399" s="75">
        <v>1.94</v>
      </c>
      <c r="D399" s="75">
        <v>2.0</v>
      </c>
      <c r="E399" s="75">
        <v>0.97</v>
      </c>
      <c r="F399" s="75" t="s">
        <v>950</v>
      </c>
      <c r="G399" s="82">
        <v>46110.0</v>
      </c>
      <c r="H399" s="76" t="s">
        <v>951</v>
      </c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>
      <c r="A400" s="75" t="s">
        <v>34</v>
      </c>
      <c r="B400" s="75" t="s">
        <v>1001</v>
      </c>
      <c r="C400" s="75">
        <v>3.35</v>
      </c>
      <c r="D400" s="75">
        <v>0.0</v>
      </c>
      <c r="E400" s="75">
        <v>0.0</v>
      </c>
      <c r="F400" s="75" t="s">
        <v>950</v>
      </c>
      <c r="G400" s="82">
        <v>46110.0</v>
      </c>
      <c r="H400" s="76" t="s">
        <v>952</v>
      </c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>
      <c r="A401" s="75" t="s">
        <v>34</v>
      </c>
      <c r="B401" s="75" t="s">
        <v>1001</v>
      </c>
      <c r="C401" s="75">
        <v>3.64</v>
      </c>
      <c r="D401" s="75">
        <v>0.0</v>
      </c>
      <c r="E401" s="75">
        <v>0.0</v>
      </c>
      <c r="F401" s="75" t="s">
        <v>950</v>
      </c>
      <c r="G401" s="82">
        <v>46110.0</v>
      </c>
      <c r="H401" s="76" t="s">
        <v>953</v>
      </c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>
      <c r="A402" s="75" t="s">
        <v>40</v>
      </c>
      <c r="B402" s="75" t="s">
        <v>1001</v>
      </c>
      <c r="C402" s="75">
        <v>1.91</v>
      </c>
      <c r="D402" s="75">
        <v>0.0</v>
      </c>
      <c r="E402" s="75">
        <v>0.0</v>
      </c>
      <c r="F402" s="75" t="s">
        <v>950</v>
      </c>
      <c r="G402" s="82">
        <v>46110.0</v>
      </c>
      <c r="H402" s="76" t="s">
        <v>954</v>
      </c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>
      <c r="A403" s="75" t="s">
        <v>40</v>
      </c>
      <c r="B403" s="75" t="s">
        <v>1001</v>
      </c>
      <c r="C403" s="75">
        <v>1.9</v>
      </c>
      <c r="D403" s="75">
        <v>0.0</v>
      </c>
      <c r="E403" s="75">
        <v>0.0</v>
      </c>
      <c r="F403" s="75" t="s">
        <v>950</v>
      </c>
      <c r="G403" s="82">
        <v>46110.0</v>
      </c>
      <c r="H403" s="76" t="s">
        <v>955</v>
      </c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>
      <c r="A404" s="75" t="s">
        <v>40</v>
      </c>
      <c r="B404" s="75" t="s">
        <v>1001</v>
      </c>
      <c r="C404" s="75">
        <v>15.29</v>
      </c>
      <c r="D404" s="75">
        <v>0.0</v>
      </c>
      <c r="E404" s="75">
        <v>0.0</v>
      </c>
      <c r="F404" s="75" t="s">
        <v>950</v>
      </c>
      <c r="G404" s="82">
        <v>46110.0</v>
      </c>
      <c r="H404" s="76" t="s">
        <v>956</v>
      </c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>
      <c r="A405" s="75" t="s">
        <v>33</v>
      </c>
      <c r="B405" s="75" t="s">
        <v>1001</v>
      </c>
      <c r="C405" s="75">
        <v>8.98</v>
      </c>
      <c r="D405" s="75">
        <v>2.0</v>
      </c>
      <c r="E405" s="75">
        <v>4.49</v>
      </c>
      <c r="F405" s="75" t="s">
        <v>950</v>
      </c>
      <c r="G405" s="82">
        <v>46110.0</v>
      </c>
      <c r="H405" s="76" t="s">
        <v>957</v>
      </c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>
      <c r="A406" s="75" t="s">
        <v>33</v>
      </c>
      <c r="B406" s="75" t="s">
        <v>1001</v>
      </c>
      <c r="C406" s="75">
        <v>0.98</v>
      </c>
      <c r="D406" s="75">
        <v>1.0</v>
      </c>
      <c r="E406" s="75">
        <v>0.98</v>
      </c>
      <c r="F406" s="75" t="s">
        <v>950</v>
      </c>
      <c r="G406" s="82">
        <v>46110.0</v>
      </c>
      <c r="H406" s="76" t="s">
        <v>958</v>
      </c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>
      <c r="A407" s="75" t="s">
        <v>33</v>
      </c>
      <c r="B407" s="75" t="s">
        <v>1001</v>
      </c>
      <c r="C407" s="75">
        <v>3.46</v>
      </c>
      <c r="D407" s="75">
        <v>0.0</v>
      </c>
      <c r="E407" s="75">
        <v>0.0</v>
      </c>
      <c r="F407" s="75" t="s">
        <v>950</v>
      </c>
      <c r="G407" s="82">
        <v>46110.0</v>
      </c>
      <c r="H407" s="76" t="s">
        <v>959</v>
      </c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>
      <c r="A408" s="75" t="s">
        <v>46</v>
      </c>
      <c r="B408" s="75" t="s">
        <v>1001</v>
      </c>
      <c r="C408" s="75">
        <v>4.26</v>
      </c>
      <c r="D408" s="75">
        <v>0.0</v>
      </c>
      <c r="E408" s="75">
        <v>0.0</v>
      </c>
      <c r="F408" s="75" t="s">
        <v>950</v>
      </c>
      <c r="G408" s="82">
        <v>46110.0</v>
      </c>
      <c r="H408" s="76" t="s">
        <v>960</v>
      </c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>
      <c r="A409" s="75" t="s">
        <v>46</v>
      </c>
      <c r="B409" s="75" t="s">
        <v>1001</v>
      </c>
      <c r="C409" s="75">
        <v>2.95</v>
      </c>
      <c r="D409" s="75">
        <v>0.0</v>
      </c>
      <c r="E409" s="75">
        <v>0.0</v>
      </c>
      <c r="F409" s="75" t="s">
        <v>950</v>
      </c>
      <c r="G409" s="82">
        <v>46110.0</v>
      </c>
      <c r="H409" s="76" t="s">
        <v>961</v>
      </c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>
      <c r="A410" s="75" t="s">
        <v>46</v>
      </c>
      <c r="B410" s="75" t="s">
        <v>1001</v>
      </c>
      <c r="C410" s="75">
        <v>4.15</v>
      </c>
      <c r="D410" s="75">
        <v>0.0</v>
      </c>
      <c r="E410" s="75">
        <v>0.0</v>
      </c>
      <c r="F410" s="75" t="s">
        <v>950</v>
      </c>
      <c r="G410" s="82">
        <v>46110.0</v>
      </c>
      <c r="H410" s="76" t="s">
        <v>962</v>
      </c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>
      <c r="A411" s="75" t="s">
        <v>43</v>
      </c>
      <c r="B411" s="75" t="s">
        <v>1001</v>
      </c>
      <c r="C411" s="75">
        <v>2.71</v>
      </c>
      <c r="D411" s="75">
        <v>1.0</v>
      </c>
      <c r="E411" s="75">
        <v>2.71</v>
      </c>
      <c r="F411" s="75" t="s">
        <v>950</v>
      </c>
      <c r="G411" s="82">
        <v>46110.0</v>
      </c>
      <c r="H411" s="76" t="s">
        <v>963</v>
      </c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>
      <c r="A412" s="75" t="s">
        <v>43</v>
      </c>
      <c r="B412" s="75" t="s">
        <v>1001</v>
      </c>
      <c r="C412" s="75">
        <v>0.96</v>
      </c>
      <c r="D412" s="75">
        <v>0.0</v>
      </c>
      <c r="E412" s="75">
        <v>0.0</v>
      </c>
      <c r="F412" s="75" t="s">
        <v>950</v>
      </c>
      <c r="G412" s="82">
        <v>46110.0</v>
      </c>
      <c r="H412" s="76" t="s">
        <v>964</v>
      </c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>
      <c r="A413" s="75" t="s">
        <v>43</v>
      </c>
      <c r="B413" s="75" t="s">
        <v>1001</v>
      </c>
      <c r="C413" s="75">
        <v>6.71</v>
      </c>
      <c r="D413" s="75">
        <v>1.0</v>
      </c>
      <c r="E413" s="75">
        <v>6.71</v>
      </c>
      <c r="F413" s="75" t="s">
        <v>950</v>
      </c>
      <c r="G413" s="82">
        <v>46110.0</v>
      </c>
      <c r="H413" s="76" t="s">
        <v>965</v>
      </c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>
      <c r="A414" s="75" t="s">
        <v>966</v>
      </c>
      <c r="B414" s="75" t="s">
        <v>1001</v>
      </c>
      <c r="C414" s="75">
        <v>6.33</v>
      </c>
      <c r="D414" s="75">
        <v>0.0</v>
      </c>
      <c r="E414" s="75">
        <v>0.0</v>
      </c>
      <c r="F414" s="75" t="s">
        <v>950</v>
      </c>
      <c r="G414" s="82">
        <v>46110.0</v>
      </c>
      <c r="H414" s="76" t="s">
        <v>967</v>
      </c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>
      <c r="A415" s="75" t="s">
        <v>966</v>
      </c>
      <c r="B415" s="75" t="s">
        <v>1001</v>
      </c>
      <c r="C415" s="75">
        <v>2.43</v>
      </c>
      <c r="D415" s="75">
        <v>0.0</v>
      </c>
      <c r="E415" s="75">
        <v>0.0</v>
      </c>
      <c r="F415" s="75" t="s">
        <v>950</v>
      </c>
      <c r="G415" s="82">
        <v>46110.0</v>
      </c>
      <c r="H415" s="76" t="s">
        <v>968</v>
      </c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>
      <c r="A416" s="75" t="s">
        <v>966</v>
      </c>
      <c r="B416" s="75" t="s">
        <v>1001</v>
      </c>
      <c r="C416" s="75">
        <v>1.42</v>
      </c>
      <c r="D416" s="75">
        <v>0.0</v>
      </c>
      <c r="E416" s="75">
        <v>0.0</v>
      </c>
      <c r="F416" s="75" t="s">
        <v>950</v>
      </c>
      <c r="G416" s="82">
        <v>46110.0</v>
      </c>
      <c r="H416" s="76" t="s">
        <v>969</v>
      </c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>
      <c r="A417" s="75" t="s">
        <v>36</v>
      </c>
      <c r="B417" s="75" t="s">
        <v>1001</v>
      </c>
      <c r="C417" s="75">
        <v>8.16</v>
      </c>
      <c r="D417" s="75">
        <v>0.0</v>
      </c>
      <c r="E417" s="75">
        <v>0.0</v>
      </c>
      <c r="F417" s="75" t="s">
        <v>950</v>
      </c>
      <c r="G417" s="82">
        <v>46110.0</v>
      </c>
      <c r="H417" s="76" t="s">
        <v>926</v>
      </c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>
      <c r="A418" s="75" t="s">
        <v>36</v>
      </c>
      <c r="B418" s="75" t="s">
        <v>1001</v>
      </c>
      <c r="C418" s="75">
        <v>2.17</v>
      </c>
      <c r="D418" s="75">
        <v>0.0</v>
      </c>
      <c r="E418" s="75">
        <v>0.0</v>
      </c>
      <c r="F418" s="75" t="s">
        <v>950</v>
      </c>
      <c r="G418" s="82">
        <v>46110.0</v>
      </c>
      <c r="H418" s="76" t="s">
        <v>927</v>
      </c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>
      <c r="A419" s="75" t="s">
        <v>36</v>
      </c>
      <c r="B419" s="75" t="s">
        <v>1001</v>
      </c>
      <c r="C419" s="75">
        <v>2.08</v>
      </c>
      <c r="D419" s="75">
        <v>0.0</v>
      </c>
      <c r="E419" s="75">
        <v>0.0</v>
      </c>
      <c r="F419" s="75" t="s">
        <v>950</v>
      </c>
      <c r="G419" s="82">
        <v>46110.0</v>
      </c>
      <c r="H419" s="76" t="s">
        <v>928</v>
      </c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>
      <c r="A420" s="75" t="s">
        <v>970</v>
      </c>
      <c r="B420" s="75" t="s">
        <v>1001</v>
      </c>
      <c r="C420" s="75">
        <v>1.71</v>
      </c>
      <c r="D420" s="75">
        <v>0.0</v>
      </c>
      <c r="E420" s="75">
        <v>0.0</v>
      </c>
      <c r="F420" s="75" t="s">
        <v>950</v>
      </c>
      <c r="G420" s="82">
        <v>46110.0</v>
      </c>
      <c r="H420" s="76" t="s">
        <v>971</v>
      </c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>
      <c r="A421" s="75" t="s">
        <v>970</v>
      </c>
      <c r="B421" s="75" t="s">
        <v>1001</v>
      </c>
      <c r="C421" s="75">
        <v>1.87</v>
      </c>
      <c r="D421" s="75">
        <v>0.0</v>
      </c>
      <c r="E421" s="75">
        <v>0.0</v>
      </c>
      <c r="F421" s="75" t="s">
        <v>950</v>
      </c>
      <c r="G421" s="82">
        <v>46110.0</v>
      </c>
      <c r="H421" s="76" t="s">
        <v>972</v>
      </c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>
      <c r="A422" s="75" t="s">
        <v>970</v>
      </c>
      <c r="B422" s="75" t="s">
        <v>1001</v>
      </c>
      <c r="C422" s="75">
        <v>8.26</v>
      </c>
      <c r="D422" s="75">
        <v>2.0</v>
      </c>
      <c r="E422" s="75">
        <v>4.13</v>
      </c>
      <c r="F422" s="75" t="s">
        <v>950</v>
      </c>
      <c r="G422" s="82">
        <v>46110.0</v>
      </c>
      <c r="H422" s="76" t="s">
        <v>973</v>
      </c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>
      <c r="A423" s="75" t="s">
        <v>34</v>
      </c>
      <c r="B423" s="75" t="s">
        <v>1001</v>
      </c>
      <c r="C423" s="75">
        <v>0.89</v>
      </c>
      <c r="D423" s="75">
        <v>0.0</v>
      </c>
      <c r="E423" s="75">
        <v>0.0</v>
      </c>
      <c r="F423" s="75" t="s">
        <v>974</v>
      </c>
      <c r="G423" s="82">
        <v>46110.0</v>
      </c>
      <c r="H423" s="76" t="s">
        <v>951</v>
      </c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>
      <c r="A424" s="75" t="s">
        <v>34</v>
      </c>
      <c r="B424" s="75" t="s">
        <v>1001</v>
      </c>
      <c r="C424" s="75">
        <v>1.45</v>
      </c>
      <c r="D424" s="75">
        <v>0.0</v>
      </c>
      <c r="E424" s="75">
        <v>0.0</v>
      </c>
      <c r="F424" s="75" t="s">
        <v>974</v>
      </c>
      <c r="G424" s="82">
        <v>46110.0</v>
      </c>
      <c r="H424" s="76" t="s">
        <v>952</v>
      </c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>
      <c r="A425" s="75" t="s">
        <v>34</v>
      </c>
      <c r="B425" s="75" t="s">
        <v>1001</v>
      </c>
      <c r="C425" s="75">
        <v>1.59</v>
      </c>
      <c r="D425" s="75">
        <v>0.0</v>
      </c>
      <c r="E425" s="75">
        <v>0.0</v>
      </c>
      <c r="F425" s="75" t="s">
        <v>974</v>
      </c>
      <c r="G425" s="82">
        <v>46110.0</v>
      </c>
      <c r="H425" s="76" t="s">
        <v>953</v>
      </c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>
      <c r="A426" s="75" t="s">
        <v>40</v>
      </c>
      <c r="B426" s="75" t="s">
        <v>1001</v>
      </c>
      <c r="C426" s="75">
        <v>2.2</v>
      </c>
      <c r="D426" s="75">
        <v>0.0</v>
      </c>
      <c r="E426" s="75">
        <v>0.0</v>
      </c>
      <c r="F426" s="75" t="s">
        <v>974</v>
      </c>
      <c r="G426" s="82">
        <v>46110.0</v>
      </c>
      <c r="H426" s="76" t="s">
        <v>954</v>
      </c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>
      <c r="A427" s="75" t="s">
        <v>40</v>
      </c>
      <c r="B427" s="75" t="s">
        <v>1001</v>
      </c>
      <c r="C427" s="75">
        <v>2.12</v>
      </c>
      <c r="D427" s="75">
        <v>0.0</v>
      </c>
      <c r="E427" s="75">
        <v>0.0</v>
      </c>
      <c r="F427" s="75" t="s">
        <v>974</v>
      </c>
      <c r="G427" s="82">
        <v>46110.0</v>
      </c>
      <c r="H427" s="76" t="s">
        <v>955</v>
      </c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>
      <c r="A428" s="75" t="s">
        <v>40</v>
      </c>
      <c r="B428" s="75" t="s">
        <v>1001</v>
      </c>
      <c r="C428" s="75">
        <v>8.5</v>
      </c>
      <c r="D428" s="75">
        <v>0.0</v>
      </c>
      <c r="E428" s="75">
        <v>0.0</v>
      </c>
      <c r="F428" s="75" t="s">
        <v>974</v>
      </c>
      <c r="G428" s="82">
        <v>46110.0</v>
      </c>
      <c r="H428" s="76" t="s">
        <v>956</v>
      </c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>
      <c r="A429" s="75" t="s">
        <v>33</v>
      </c>
      <c r="B429" s="75" t="s">
        <v>1001</v>
      </c>
      <c r="C429" s="75">
        <v>2.64</v>
      </c>
      <c r="D429" s="75">
        <v>1.0</v>
      </c>
      <c r="E429" s="75">
        <v>2.64</v>
      </c>
      <c r="F429" s="75" t="s">
        <v>974</v>
      </c>
      <c r="G429" s="82">
        <v>46110.0</v>
      </c>
      <c r="H429" s="76" t="s">
        <v>957</v>
      </c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>
      <c r="A430" s="75" t="s">
        <v>33</v>
      </c>
      <c r="B430" s="75" t="s">
        <v>1001</v>
      </c>
      <c r="C430" s="75">
        <v>0.4</v>
      </c>
      <c r="D430" s="75">
        <v>0.0</v>
      </c>
      <c r="E430" s="75">
        <v>0.0</v>
      </c>
      <c r="F430" s="75" t="s">
        <v>974</v>
      </c>
      <c r="G430" s="82">
        <v>46110.0</v>
      </c>
      <c r="H430" s="76" t="s">
        <v>958</v>
      </c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>
      <c r="A431" s="75" t="s">
        <v>33</v>
      </c>
      <c r="B431" s="75" t="s">
        <v>1001</v>
      </c>
      <c r="C431" s="75">
        <v>1.29</v>
      </c>
      <c r="D431" s="75">
        <v>1.0</v>
      </c>
      <c r="E431" s="75">
        <v>1.29</v>
      </c>
      <c r="F431" s="75" t="s">
        <v>974</v>
      </c>
      <c r="G431" s="82">
        <v>46110.0</v>
      </c>
      <c r="H431" s="76" t="s">
        <v>959</v>
      </c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>
      <c r="A432" s="75" t="s">
        <v>46</v>
      </c>
      <c r="B432" s="75" t="s">
        <v>1001</v>
      </c>
      <c r="C432" s="75">
        <v>1.59</v>
      </c>
      <c r="D432" s="75">
        <v>0.0</v>
      </c>
      <c r="E432" s="75">
        <v>0.0</v>
      </c>
      <c r="F432" s="75" t="s">
        <v>974</v>
      </c>
      <c r="G432" s="82">
        <v>46110.0</v>
      </c>
      <c r="H432" s="76" t="s">
        <v>960</v>
      </c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>
      <c r="A433" s="75" t="s">
        <v>46</v>
      </c>
      <c r="B433" s="75" t="s">
        <v>1001</v>
      </c>
      <c r="C433" s="75">
        <v>1.2</v>
      </c>
      <c r="D433" s="75">
        <v>0.0</v>
      </c>
      <c r="E433" s="75">
        <v>0.0</v>
      </c>
      <c r="F433" s="75" t="s">
        <v>974</v>
      </c>
      <c r="G433" s="82">
        <v>46110.0</v>
      </c>
      <c r="H433" s="76" t="s">
        <v>961</v>
      </c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>
      <c r="A434" s="75" t="s">
        <v>46</v>
      </c>
      <c r="B434" s="75" t="s">
        <v>1001</v>
      </c>
      <c r="C434" s="75">
        <v>1.93</v>
      </c>
      <c r="D434" s="75">
        <v>1.0</v>
      </c>
      <c r="E434" s="75">
        <v>1.93</v>
      </c>
      <c r="F434" s="75" t="s">
        <v>974</v>
      </c>
      <c r="G434" s="82">
        <v>46110.0</v>
      </c>
      <c r="H434" s="76" t="s">
        <v>962</v>
      </c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>
      <c r="A435" s="75" t="s">
        <v>43</v>
      </c>
      <c r="B435" s="75" t="s">
        <v>1001</v>
      </c>
      <c r="C435" s="75">
        <v>1.09</v>
      </c>
      <c r="D435" s="75">
        <v>0.0</v>
      </c>
      <c r="E435" s="75">
        <v>0.0</v>
      </c>
      <c r="F435" s="75" t="s">
        <v>974</v>
      </c>
      <c r="G435" s="82">
        <v>46110.0</v>
      </c>
      <c r="H435" s="76" t="s">
        <v>963</v>
      </c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>
      <c r="A436" s="75" t="s">
        <v>43</v>
      </c>
      <c r="B436" s="75" t="s">
        <v>1001</v>
      </c>
      <c r="C436" s="75">
        <v>0.43</v>
      </c>
      <c r="D436" s="75">
        <v>0.0</v>
      </c>
      <c r="E436" s="75">
        <v>0.0</v>
      </c>
      <c r="F436" s="75" t="s">
        <v>974</v>
      </c>
      <c r="G436" s="82">
        <v>46110.0</v>
      </c>
      <c r="H436" s="76" t="s">
        <v>964</v>
      </c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>
      <c r="A437" s="75" t="s">
        <v>43</v>
      </c>
      <c r="B437" s="75" t="s">
        <v>1001</v>
      </c>
      <c r="C437" s="75">
        <v>2.38</v>
      </c>
      <c r="D437" s="75">
        <v>0.0</v>
      </c>
      <c r="E437" s="75">
        <v>0.0</v>
      </c>
      <c r="F437" s="75" t="s">
        <v>974</v>
      </c>
      <c r="G437" s="82">
        <v>46110.0</v>
      </c>
      <c r="H437" s="76" t="s">
        <v>965</v>
      </c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>
      <c r="A438" s="75" t="s">
        <v>966</v>
      </c>
      <c r="B438" s="75" t="s">
        <v>1001</v>
      </c>
      <c r="C438" s="75">
        <v>2.65</v>
      </c>
      <c r="D438" s="75">
        <v>0.0</v>
      </c>
      <c r="E438" s="75">
        <v>0.0</v>
      </c>
      <c r="F438" s="75" t="s">
        <v>974</v>
      </c>
      <c r="G438" s="82">
        <v>46110.0</v>
      </c>
      <c r="H438" s="76" t="s">
        <v>967</v>
      </c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>
      <c r="A439" s="75" t="s">
        <v>966</v>
      </c>
      <c r="B439" s="75" t="s">
        <v>1001</v>
      </c>
      <c r="C439" s="75">
        <v>1.16</v>
      </c>
      <c r="D439" s="75">
        <v>0.0</v>
      </c>
      <c r="E439" s="75">
        <v>0.0</v>
      </c>
      <c r="F439" s="75" t="s">
        <v>974</v>
      </c>
      <c r="G439" s="82">
        <v>46110.0</v>
      </c>
      <c r="H439" s="76" t="s">
        <v>968</v>
      </c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>
      <c r="A440" s="75" t="s">
        <v>966</v>
      </c>
      <c r="B440" s="75" t="s">
        <v>1001</v>
      </c>
      <c r="C440" s="75">
        <v>0.82</v>
      </c>
      <c r="D440" s="75">
        <v>0.0</v>
      </c>
      <c r="E440" s="75">
        <v>0.0</v>
      </c>
      <c r="F440" s="75" t="s">
        <v>974</v>
      </c>
      <c r="G440" s="82">
        <v>46110.0</v>
      </c>
      <c r="H440" s="76" t="s">
        <v>969</v>
      </c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>
      <c r="A441" s="75" t="s">
        <v>36</v>
      </c>
      <c r="B441" s="75" t="s">
        <v>1001</v>
      </c>
      <c r="C441" s="75">
        <v>3.53</v>
      </c>
      <c r="D441" s="75">
        <v>1.0</v>
      </c>
      <c r="E441" s="75">
        <v>3.53</v>
      </c>
      <c r="F441" s="75" t="s">
        <v>974</v>
      </c>
      <c r="G441" s="82">
        <v>46110.0</v>
      </c>
      <c r="H441" s="76" t="s">
        <v>926</v>
      </c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>
      <c r="A442" s="75" t="s">
        <v>36</v>
      </c>
      <c r="B442" s="75" t="s">
        <v>1001</v>
      </c>
      <c r="C442" s="75">
        <v>0.84</v>
      </c>
      <c r="D442" s="75">
        <v>0.0</v>
      </c>
      <c r="E442" s="75">
        <v>0.0</v>
      </c>
      <c r="F442" s="75" t="s">
        <v>974</v>
      </c>
      <c r="G442" s="82">
        <v>46110.0</v>
      </c>
      <c r="H442" s="76" t="s">
        <v>927</v>
      </c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>
      <c r="A443" s="75" t="s">
        <v>36</v>
      </c>
      <c r="B443" s="75" t="s">
        <v>1001</v>
      </c>
      <c r="C443" s="75">
        <v>1.08</v>
      </c>
      <c r="D443" s="75">
        <v>0.0</v>
      </c>
      <c r="E443" s="75">
        <v>0.0</v>
      </c>
      <c r="F443" s="75" t="s">
        <v>974</v>
      </c>
      <c r="G443" s="82">
        <v>46110.0</v>
      </c>
      <c r="H443" s="76" t="s">
        <v>928</v>
      </c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>
      <c r="A444" s="75" t="s">
        <v>970</v>
      </c>
      <c r="B444" s="75" t="s">
        <v>1001</v>
      </c>
      <c r="C444" s="75">
        <v>0.74</v>
      </c>
      <c r="D444" s="75">
        <v>1.0</v>
      </c>
      <c r="E444" s="75">
        <v>0.74</v>
      </c>
      <c r="F444" s="75" t="s">
        <v>974</v>
      </c>
      <c r="G444" s="82">
        <v>46110.0</v>
      </c>
      <c r="H444" s="76" t="s">
        <v>971</v>
      </c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>
      <c r="A445" s="75" t="s">
        <v>970</v>
      </c>
      <c r="B445" s="75" t="s">
        <v>1001</v>
      </c>
      <c r="C445" s="75">
        <v>0.94</v>
      </c>
      <c r="D445" s="75">
        <v>0.0</v>
      </c>
      <c r="E445" s="75">
        <v>0.0</v>
      </c>
      <c r="F445" s="75" t="s">
        <v>974</v>
      </c>
      <c r="G445" s="82">
        <v>46110.0</v>
      </c>
      <c r="H445" s="76" t="s">
        <v>972</v>
      </c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>
      <c r="A446" s="75" t="s">
        <v>970</v>
      </c>
      <c r="B446" s="75" t="s">
        <v>1001</v>
      </c>
      <c r="C446" s="75">
        <v>3.26</v>
      </c>
      <c r="D446" s="75">
        <v>2.0</v>
      </c>
      <c r="E446" s="75">
        <v>1.63</v>
      </c>
      <c r="F446" s="75" t="s">
        <v>974</v>
      </c>
      <c r="G446" s="82">
        <v>46110.0</v>
      </c>
      <c r="H446" s="76" t="s">
        <v>973</v>
      </c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>
      <c r="A447" s="75" t="s">
        <v>34</v>
      </c>
      <c r="B447" s="75" t="s">
        <v>1001</v>
      </c>
      <c r="C447" s="75">
        <v>2.08</v>
      </c>
      <c r="D447" s="75">
        <v>1.0</v>
      </c>
      <c r="E447" s="75">
        <v>2.08</v>
      </c>
      <c r="F447" s="75" t="s">
        <v>975</v>
      </c>
      <c r="G447" s="82">
        <v>46110.0</v>
      </c>
      <c r="H447" s="76" t="s">
        <v>951</v>
      </c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>
      <c r="A448" s="75" t="s">
        <v>34</v>
      </c>
      <c r="B448" s="75" t="s">
        <v>1001</v>
      </c>
      <c r="C448" s="75">
        <v>4.05</v>
      </c>
      <c r="D448" s="75">
        <v>0.0</v>
      </c>
      <c r="E448" s="75">
        <v>0.0</v>
      </c>
      <c r="F448" s="75" t="s">
        <v>975</v>
      </c>
      <c r="G448" s="82">
        <v>46110.0</v>
      </c>
      <c r="H448" s="76" t="s">
        <v>952</v>
      </c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>
      <c r="A449" s="75" t="s">
        <v>34</v>
      </c>
      <c r="B449" s="75" t="s">
        <v>1001</v>
      </c>
      <c r="C449" s="75">
        <v>4.49</v>
      </c>
      <c r="D449" s="75">
        <v>0.0</v>
      </c>
      <c r="E449" s="75">
        <v>0.0</v>
      </c>
      <c r="F449" s="75" t="s">
        <v>975</v>
      </c>
      <c r="G449" s="82">
        <v>46110.0</v>
      </c>
      <c r="H449" s="76" t="s">
        <v>953</v>
      </c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>
      <c r="A450" s="75" t="s">
        <v>40</v>
      </c>
      <c r="B450" s="75" t="s">
        <v>1001</v>
      </c>
      <c r="C450" s="75">
        <v>1.97</v>
      </c>
      <c r="D450" s="75">
        <v>0.0</v>
      </c>
      <c r="E450" s="75">
        <v>0.0</v>
      </c>
      <c r="F450" s="75" t="s">
        <v>975</v>
      </c>
      <c r="G450" s="82">
        <v>46110.0</v>
      </c>
      <c r="H450" s="76" t="s">
        <v>954</v>
      </c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>
      <c r="A451" s="75" t="s">
        <v>40</v>
      </c>
      <c r="B451" s="75" t="s">
        <v>1001</v>
      </c>
      <c r="C451" s="75">
        <v>2.31</v>
      </c>
      <c r="D451" s="75">
        <v>0.0</v>
      </c>
      <c r="E451" s="75">
        <v>0.0</v>
      </c>
      <c r="F451" s="75" t="s">
        <v>975</v>
      </c>
      <c r="G451" s="82">
        <v>46110.0</v>
      </c>
      <c r="H451" s="76" t="s">
        <v>955</v>
      </c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>
      <c r="A452" s="75" t="s">
        <v>40</v>
      </c>
      <c r="B452" s="75" t="s">
        <v>1001</v>
      </c>
      <c r="C452" s="75">
        <v>14.24</v>
      </c>
      <c r="D452" s="75">
        <v>0.0</v>
      </c>
      <c r="E452" s="75">
        <v>0.0</v>
      </c>
      <c r="F452" s="75" t="s">
        <v>975</v>
      </c>
      <c r="G452" s="82">
        <v>46110.0</v>
      </c>
      <c r="H452" s="76" t="s">
        <v>956</v>
      </c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>
      <c r="A453" s="75" t="s">
        <v>33</v>
      </c>
      <c r="B453" s="75" t="s">
        <v>1001</v>
      </c>
      <c r="C453" s="75">
        <v>7.11</v>
      </c>
      <c r="D453" s="75">
        <v>2.0</v>
      </c>
      <c r="E453" s="75">
        <v>3.55</v>
      </c>
      <c r="F453" s="75" t="s">
        <v>975</v>
      </c>
      <c r="G453" s="82">
        <v>46110.0</v>
      </c>
      <c r="H453" s="76" t="s">
        <v>957</v>
      </c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>
      <c r="A454" s="75" t="s">
        <v>33</v>
      </c>
      <c r="B454" s="75" t="s">
        <v>1001</v>
      </c>
      <c r="C454" s="75">
        <v>1.1</v>
      </c>
      <c r="D454" s="75">
        <v>1.0</v>
      </c>
      <c r="E454" s="75">
        <v>1.1</v>
      </c>
      <c r="F454" s="75" t="s">
        <v>975</v>
      </c>
      <c r="G454" s="82">
        <v>46110.0</v>
      </c>
      <c r="H454" s="76" t="s">
        <v>958</v>
      </c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>
      <c r="A455" s="75" t="s">
        <v>33</v>
      </c>
      <c r="B455" s="75" t="s">
        <v>1001</v>
      </c>
      <c r="C455" s="75">
        <v>3.31</v>
      </c>
      <c r="D455" s="75">
        <v>0.0</v>
      </c>
      <c r="E455" s="75">
        <v>0.0</v>
      </c>
      <c r="F455" s="75" t="s">
        <v>975</v>
      </c>
      <c r="G455" s="82">
        <v>46110.0</v>
      </c>
      <c r="H455" s="76" t="s">
        <v>959</v>
      </c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>
      <c r="A456" s="75" t="s">
        <v>46</v>
      </c>
      <c r="B456" s="75" t="s">
        <v>1001</v>
      </c>
      <c r="C456" s="75">
        <v>2.98</v>
      </c>
      <c r="D456" s="75">
        <v>0.0</v>
      </c>
      <c r="E456" s="75">
        <v>0.0</v>
      </c>
      <c r="F456" s="75" t="s">
        <v>975</v>
      </c>
      <c r="G456" s="82">
        <v>46110.0</v>
      </c>
      <c r="H456" s="76" t="s">
        <v>960</v>
      </c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>
      <c r="A457" s="75" t="s">
        <v>46</v>
      </c>
      <c r="B457" s="75" t="s">
        <v>1001</v>
      </c>
      <c r="C457" s="75">
        <v>3.07</v>
      </c>
      <c r="D457" s="75">
        <v>0.0</v>
      </c>
      <c r="E457" s="75">
        <v>0.0</v>
      </c>
      <c r="F457" s="75" t="s">
        <v>975</v>
      </c>
      <c r="G457" s="82">
        <v>46110.0</v>
      </c>
      <c r="H457" s="76" t="s">
        <v>961</v>
      </c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>
      <c r="A458" s="75" t="s">
        <v>46</v>
      </c>
      <c r="B458" s="75" t="s">
        <v>1001</v>
      </c>
      <c r="C458" s="75">
        <v>3.72</v>
      </c>
      <c r="D458" s="75">
        <v>0.0</v>
      </c>
      <c r="E458" s="75">
        <v>0.0</v>
      </c>
      <c r="F458" s="75" t="s">
        <v>975</v>
      </c>
      <c r="G458" s="82">
        <v>46110.0</v>
      </c>
      <c r="H458" s="76" t="s">
        <v>962</v>
      </c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>
      <c r="A459" s="75" t="s">
        <v>43</v>
      </c>
      <c r="B459" s="75" t="s">
        <v>1001</v>
      </c>
      <c r="C459" s="75">
        <v>3.0</v>
      </c>
      <c r="D459" s="75">
        <v>1.0</v>
      </c>
      <c r="E459" s="75">
        <v>3.0</v>
      </c>
      <c r="F459" s="75" t="s">
        <v>975</v>
      </c>
      <c r="G459" s="82">
        <v>46110.0</v>
      </c>
      <c r="H459" s="76" t="s">
        <v>963</v>
      </c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>
      <c r="A460" s="75" t="s">
        <v>43</v>
      </c>
      <c r="B460" s="75" t="s">
        <v>1001</v>
      </c>
      <c r="C460" s="75">
        <v>1.06</v>
      </c>
      <c r="D460" s="75">
        <v>0.0</v>
      </c>
      <c r="E460" s="75">
        <v>0.0</v>
      </c>
      <c r="F460" s="75" t="s">
        <v>975</v>
      </c>
      <c r="G460" s="82">
        <v>46110.0</v>
      </c>
      <c r="H460" s="76" t="s">
        <v>964</v>
      </c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>
      <c r="A461" s="75" t="s">
        <v>43</v>
      </c>
      <c r="B461" s="75" t="s">
        <v>1001</v>
      </c>
      <c r="C461" s="75">
        <v>5.99</v>
      </c>
      <c r="D461" s="75">
        <v>3.0</v>
      </c>
      <c r="E461" s="75">
        <v>2.0</v>
      </c>
      <c r="F461" s="75" t="s">
        <v>975</v>
      </c>
      <c r="G461" s="82">
        <v>46110.0</v>
      </c>
      <c r="H461" s="76" t="s">
        <v>965</v>
      </c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>
      <c r="A462" s="75" t="s">
        <v>966</v>
      </c>
      <c r="B462" s="75" t="s">
        <v>1001</v>
      </c>
      <c r="C462" s="75">
        <v>6.45</v>
      </c>
      <c r="D462" s="75">
        <v>0.0</v>
      </c>
      <c r="E462" s="75">
        <v>0.0</v>
      </c>
      <c r="F462" s="75" t="s">
        <v>975</v>
      </c>
      <c r="G462" s="82">
        <v>46110.0</v>
      </c>
      <c r="H462" s="76" t="s">
        <v>967</v>
      </c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>
      <c r="A463" s="75" t="s">
        <v>966</v>
      </c>
      <c r="B463" s="75" t="s">
        <v>1001</v>
      </c>
      <c r="C463" s="75">
        <v>2.45</v>
      </c>
      <c r="D463" s="75">
        <v>0.0</v>
      </c>
      <c r="E463" s="75">
        <v>0.0</v>
      </c>
      <c r="F463" s="75" t="s">
        <v>975</v>
      </c>
      <c r="G463" s="82">
        <v>46110.0</v>
      </c>
      <c r="H463" s="76" t="s">
        <v>968</v>
      </c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>
      <c r="A464" s="75" t="s">
        <v>966</v>
      </c>
      <c r="B464" s="75" t="s">
        <v>1001</v>
      </c>
      <c r="C464" s="75">
        <v>1.85</v>
      </c>
      <c r="D464" s="75">
        <v>2.0</v>
      </c>
      <c r="E464" s="75">
        <v>0.92</v>
      </c>
      <c r="F464" s="75" t="s">
        <v>975</v>
      </c>
      <c r="G464" s="82">
        <v>46110.0</v>
      </c>
      <c r="H464" s="76" t="s">
        <v>969</v>
      </c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>
      <c r="A465" s="75" t="s">
        <v>36</v>
      </c>
      <c r="B465" s="75" t="s">
        <v>1001</v>
      </c>
      <c r="C465" s="75">
        <v>8.98</v>
      </c>
      <c r="D465" s="75">
        <v>2.0</v>
      </c>
      <c r="E465" s="75">
        <v>4.49</v>
      </c>
      <c r="F465" s="75" t="s">
        <v>975</v>
      </c>
      <c r="G465" s="82">
        <v>46110.0</v>
      </c>
      <c r="H465" s="76" t="s">
        <v>926</v>
      </c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>
      <c r="A466" s="75" t="s">
        <v>36</v>
      </c>
      <c r="B466" s="75" t="s">
        <v>1001</v>
      </c>
      <c r="C466" s="75">
        <v>2.06</v>
      </c>
      <c r="D466" s="75">
        <v>0.0</v>
      </c>
      <c r="E466" s="75">
        <v>0.0</v>
      </c>
      <c r="F466" s="75" t="s">
        <v>975</v>
      </c>
      <c r="G466" s="82">
        <v>46110.0</v>
      </c>
      <c r="H466" s="76" t="s">
        <v>927</v>
      </c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>
      <c r="A467" s="75" t="s">
        <v>36</v>
      </c>
      <c r="B467" s="75" t="s">
        <v>1001</v>
      </c>
      <c r="C467" s="75">
        <v>2.46</v>
      </c>
      <c r="D467" s="75">
        <v>0.0</v>
      </c>
      <c r="E467" s="75">
        <v>0.0</v>
      </c>
      <c r="F467" s="75" t="s">
        <v>975</v>
      </c>
      <c r="G467" s="82">
        <v>46110.0</v>
      </c>
      <c r="H467" s="76" t="s">
        <v>928</v>
      </c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>
      <c r="A468" s="75" t="s">
        <v>970</v>
      </c>
      <c r="B468" s="75" t="s">
        <v>1001</v>
      </c>
      <c r="C468" s="75">
        <v>1.81</v>
      </c>
      <c r="D468" s="75">
        <v>1.0</v>
      </c>
      <c r="E468" s="75">
        <v>1.81</v>
      </c>
      <c r="F468" s="75" t="s">
        <v>975</v>
      </c>
      <c r="G468" s="82">
        <v>46110.0</v>
      </c>
      <c r="H468" s="76" t="s">
        <v>971</v>
      </c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>
      <c r="A469" s="75" t="s">
        <v>970</v>
      </c>
      <c r="B469" s="75" t="s">
        <v>1001</v>
      </c>
      <c r="C469" s="75">
        <v>1.9</v>
      </c>
      <c r="D469" s="75">
        <v>1.0</v>
      </c>
      <c r="E469" s="75">
        <v>1.9</v>
      </c>
      <c r="F469" s="75" t="s">
        <v>975</v>
      </c>
      <c r="G469" s="82">
        <v>46110.0</v>
      </c>
      <c r="H469" s="76" t="s">
        <v>972</v>
      </c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>
      <c r="A470" s="75" t="s">
        <v>970</v>
      </c>
      <c r="B470" s="75" t="s">
        <v>1001</v>
      </c>
      <c r="C470" s="75">
        <v>9.39</v>
      </c>
      <c r="D470" s="75">
        <v>1.0</v>
      </c>
      <c r="E470" s="75">
        <v>9.39</v>
      </c>
      <c r="F470" s="75" t="s">
        <v>975</v>
      </c>
      <c r="G470" s="82">
        <v>46110.0</v>
      </c>
      <c r="H470" s="76" t="s">
        <v>973</v>
      </c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>
      <c r="A471" s="75" t="s">
        <v>34</v>
      </c>
      <c r="B471" s="75" t="s">
        <v>1002</v>
      </c>
      <c r="C471" s="75">
        <v>1.39</v>
      </c>
      <c r="D471" s="75">
        <v>1.0</v>
      </c>
      <c r="E471" s="75">
        <v>1.39</v>
      </c>
      <c r="F471" s="75" t="s">
        <v>990</v>
      </c>
      <c r="G471" s="82">
        <v>46110.0</v>
      </c>
      <c r="H471" s="76" t="s">
        <v>951</v>
      </c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>
      <c r="A472" s="75" t="s">
        <v>34</v>
      </c>
      <c r="B472" s="75" t="s">
        <v>1002</v>
      </c>
      <c r="C472" s="75">
        <v>1.26</v>
      </c>
      <c r="D472" s="75">
        <v>0.0</v>
      </c>
      <c r="E472" s="75">
        <v>0.0</v>
      </c>
      <c r="F472" s="75" t="s">
        <v>990</v>
      </c>
      <c r="G472" s="82">
        <v>46110.0</v>
      </c>
      <c r="H472" s="76" t="s">
        <v>952</v>
      </c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>
      <c r="A473" s="75" t="s">
        <v>34</v>
      </c>
      <c r="B473" s="75" t="s">
        <v>1002</v>
      </c>
      <c r="C473" s="75">
        <v>2.18</v>
      </c>
      <c r="D473" s="75">
        <v>0.0</v>
      </c>
      <c r="E473" s="75">
        <v>0.0</v>
      </c>
      <c r="F473" s="75" t="s">
        <v>990</v>
      </c>
      <c r="G473" s="82">
        <v>46110.0</v>
      </c>
      <c r="H473" s="76" t="s">
        <v>953</v>
      </c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>
      <c r="A474" s="75" t="s">
        <v>40</v>
      </c>
      <c r="B474" s="75" t="s">
        <v>1002</v>
      </c>
      <c r="C474" s="75">
        <v>1.19</v>
      </c>
      <c r="D474" s="75">
        <v>0.0</v>
      </c>
      <c r="E474" s="75">
        <v>0.0</v>
      </c>
      <c r="F474" s="75" t="s">
        <v>990</v>
      </c>
      <c r="G474" s="82">
        <v>46110.0</v>
      </c>
      <c r="H474" s="76" t="s">
        <v>954</v>
      </c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>
      <c r="A475" s="75" t="s">
        <v>40</v>
      </c>
      <c r="B475" s="75" t="s">
        <v>1002</v>
      </c>
      <c r="C475" s="75">
        <v>0.54</v>
      </c>
      <c r="D475" s="75">
        <v>0.0</v>
      </c>
      <c r="E475" s="75">
        <v>0.0</v>
      </c>
      <c r="F475" s="75" t="s">
        <v>990</v>
      </c>
      <c r="G475" s="82">
        <v>46110.0</v>
      </c>
      <c r="H475" s="76" t="s">
        <v>955</v>
      </c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>
      <c r="A476" s="75" t="s">
        <v>40</v>
      </c>
      <c r="B476" s="75" t="s">
        <v>1002</v>
      </c>
      <c r="C476" s="75">
        <v>8.45</v>
      </c>
      <c r="D476" s="75">
        <v>0.0</v>
      </c>
      <c r="E476" s="75">
        <v>0.0</v>
      </c>
      <c r="F476" s="75" t="s">
        <v>990</v>
      </c>
      <c r="G476" s="82">
        <v>46110.0</v>
      </c>
      <c r="H476" s="76" t="s">
        <v>956</v>
      </c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>
      <c r="A477" s="75" t="s">
        <v>33</v>
      </c>
      <c r="B477" s="75" t="s">
        <v>1002</v>
      </c>
      <c r="C477" s="75">
        <v>4.62</v>
      </c>
      <c r="D477" s="75">
        <v>0.0</v>
      </c>
      <c r="E477" s="75">
        <v>0.0</v>
      </c>
      <c r="F477" s="75" t="s">
        <v>990</v>
      </c>
      <c r="G477" s="82">
        <v>46110.0</v>
      </c>
      <c r="H477" s="76" t="s">
        <v>957</v>
      </c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>
      <c r="A478" s="75" t="s">
        <v>33</v>
      </c>
      <c r="B478" s="75" t="s">
        <v>1002</v>
      </c>
      <c r="C478" s="75">
        <v>0.5</v>
      </c>
      <c r="D478" s="75">
        <v>1.0</v>
      </c>
      <c r="E478" s="75">
        <v>0.5</v>
      </c>
      <c r="F478" s="75" t="s">
        <v>990</v>
      </c>
      <c r="G478" s="82">
        <v>46110.0</v>
      </c>
      <c r="H478" s="76" t="s">
        <v>958</v>
      </c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>
      <c r="A479" s="75" t="s">
        <v>33</v>
      </c>
      <c r="B479" s="75" t="s">
        <v>1002</v>
      </c>
      <c r="C479" s="75">
        <v>1.3</v>
      </c>
      <c r="D479" s="75">
        <v>0.0</v>
      </c>
      <c r="E479" s="75">
        <v>0.0</v>
      </c>
      <c r="F479" s="75" t="s">
        <v>990</v>
      </c>
      <c r="G479" s="82">
        <v>46110.0</v>
      </c>
      <c r="H479" s="76" t="s">
        <v>959</v>
      </c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>
      <c r="A480" s="75" t="s">
        <v>46</v>
      </c>
      <c r="B480" s="75" t="s">
        <v>1002</v>
      </c>
      <c r="C480" s="75">
        <v>2.23</v>
      </c>
      <c r="D480" s="75">
        <v>0.0</v>
      </c>
      <c r="E480" s="75">
        <v>0.0</v>
      </c>
      <c r="F480" s="75" t="s">
        <v>990</v>
      </c>
      <c r="G480" s="82">
        <v>46110.0</v>
      </c>
      <c r="H480" s="76" t="s">
        <v>960</v>
      </c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>
      <c r="A481" s="75" t="s">
        <v>46</v>
      </c>
      <c r="B481" s="75" t="s">
        <v>1002</v>
      </c>
      <c r="C481" s="75">
        <v>1.84</v>
      </c>
      <c r="D481" s="75">
        <v>0.0</v>
      </c>
      <c r="E481" s="75">
        <v>0.0</v>
      </c>
      <c r="F481" s="75" t="s">
        <v>990</v>
      </c>
      <c r="G481" s="82">
        <v>46110.0</v>
      </c>
      <c r="H481" s="76" t="s">
        <v>961</v>
      </c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>
      <c r="A482" s="75" t="s">
        <v>46</v>
      </c>
      <c r="B482" s="75" t="s">
        <v>1002</v>
      </c>
      <c r="C482" s="75">
        <v>1.7</v>
      </c>
      <c r="D482" s="75">
        <v>0.0</v>
      </c>
      <c r="E482" s="75">
        <v>0.0</v>
      </c>
      <c r="F482" s="75" t="s">
        <v>990</v>
      </c>
      <c r="G482" s="82">
        <v>46110.0</v>
      </c>
      <c r="H482" s="76" t="s">
        <v>962</v>
      </c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>
      <c r="A483" s="75" t="s">
        <v>43</v>
      </c>
      <c r="B483" s="75" t="s">
        <v>1002</v>
      </c>
      <c r="C483" s="75">
        <v>1.29</v>
      </c>
      <c r="D483" s="75">
        <v>0.0</v>
      </c>
      <c r="E483" s="75">
        <v>0.0</v>
      </c>
      <c r="F483" s="75" t="s">
        <v>990</v>
      </c>
      <c r="G483" s="82">
        <v>46110.0</v>
      </c>
      <c r="H483" s="76" t="s">
        <v>963</v>
      </c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>
      <c r="A484" s="75" t="s">
        <v>43</v>
      </c>
      <c r="B484" s="75" t="s">
        <v>1002</v>
      </c>
      <c r="C484" s="75">
        <v>0.55</v>
      </c>
      <c r="D484" s="75">
        <v>0.0</v>
      </c>
      <c r="E484" s="75">
        <v>0.0</v>
      </c>
      <c r="F484" s="75" t="s">
        <v>990</v>
      </c>
      <c r="G484" s="82">
        <v>46110.0</v>
      </c>
      <c r="H484" s="76" t="s">
        <v>964</v>
      </c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>
      <c r="A485" s="75" t="s">
        <v>43</v>
      </c>
      <c r="B485" s="75" t="s">
        <v>1002</v>
      </c>
      <c r="C485" s="75">
        <v>3.91</v>
      </c>
      <c r="D485" s="75">
        <v>0.0</v>
      </c>
      <c r="E485" s="75">
        <v>0.0</v>
      </c>
      <c r="F485" s="75" t="s">
        <v>990</v>
      </c>
      <c r="G485" s="82">
        <v>46110.0</v>
      </c>
      <c r="H485" s="76" t="s">
        <v>965</v>
      </c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>
      <c r="A486" s="75" t="s">
        <v>966</v>
      </c>
      <c r="B486" s="75" t="s">
        <v>1002</v>
      </c>
      <c r="C486" s="75">
        <v>4.22</v>
      </c>
      <c r="D486" s="75">
        <v>0.0</v>
      </c>
      <c r="E486" s="75">
        <v>0.0</v>
      </c>
      <c r="F486" s="75" t="s">
        <v>990</v>
      </c>
      <c r="G486" s="82">
        <v>46110.0</v>
      </c>
      <c r="H486" s="76" t="s">
        <v>967</v>
      </c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>
      <c r="A487" s="75" t="s">
        <v>966</v>
      </c>
      <c r="B487" s="75" t="s">
        <v>1002</v>
      </c>
      <c r="C487" s="75">
        <v>1.12</v>
      </c>
      <c r="D487" s="75">
        <v>0.0</v>
      </c>
      <c r="E487" s="75">
        <v>0.0</v>
      </c>
      <c r="F487" s="75" t="s">
        <v>990</v>
      </c>
      <c r="G487" s="82">
        <v>46110.0</v>
      </c>
      <c r="H487" s="76" t="s">
        <v>968</v>
      </c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>
      <c r="A488" s="75" t="s">
        <v>966</v>
      </c>
      <c r="B488" s="75" t="s">
        <v>1002</v>
      </c>
      <c r="C488" s="75">
        <v>0.72</v>
      </c>
      <c r="D488" s="75">
        <v>0.0</v>
      </c>
      <c r="E488" s="75">
        <v>0.0</v>
      </c>
      <c r="F488" s="75" t="s">
        <v>990</v>
      </c>
      <c r="G488" s="82">
        <v>46110.0</v>
      </c>
      <c r="H488" s="76" t="s">
        <v>969</v>
      </c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>
      <c r="A489" s="75" t="s">
        <v>36</v>
      </c>
      <c r="B489" s="75" t="s">
        <v>1002</v>
      </c>
      <c r="C489" s="75">
        <v>4.89</v>
      </c>
      <c r="D489" s="75">
        <v>0.0</v>
      </c>
      <c r="E489" s="75">
        <v>0.0</v>
      </c>
      <c r="F489" s="75" t="s">
        <v>990</v>
      </c>
      <c r="G489" s="82">
        <v>46110.0</v>
      </c>
      <c r="H489" s="76" t="s">
        <v>926</v>
      </c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>
      <c r="A490" s="75" t="s">
        <v>36</v>
      </c>
      <c r="B490" s="75" t="s">
        <v>1002</v>
      </c>
      <c r="C490" s="75">
        <v>1.47</v>
      </c>
      <c r="D490" s="75">
        <v>0.0</v>
      </c>
      <c r="E490" s="75">
        <v>0.0</v>
      </c>
      <c r="F490" s="75" t="s">
        <v>990</v>
      </c>
      <c r="G490" s="82">
        <v>46110.0</v>
      </c>
      <c r="H490" s="76" t="s">
        <v>927</v>
      </c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>
      <c r="A491" s="75" t="s">
        <v>36</v>
      </c>
      <c r="B491" s="75" t="s">
        <v>1002</v>
      </c>
      <c r="C491" s="75">
        <v>1.31</v>
      </c>
      <c r="D491" s="75">
        <v>0.0</v>
      </c>
      <c r="E491" s="75">
        <v>0.0</v>
      </c>
      <c r="F491" s="75" t="s">
        <v>990</v>
      </c>
      <c r="G491" s="82">
        <v>46110.0</v>
      </c>
      <c r="H491" s="76" t="s">
        <v>928</v>
      </c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>
      <c r="A492" s="75" t="s">
        <v>970</v>
      </c>
      <c r="B492" s="75" t="s">
        <v>1002</v>
      </c>
      <c r="C492" s="75">
        <v>1.25</v>
      </c>
      <c r="D492" s="75">
        <v>0.0</v>
      </c>
      <c r="E492" s="75">
        <v>0.0</v>
      </c>
      <c r="F492" s="75" t="s">
        <v>990</v>
      </c>
      <c r="G492" s="82">
        <v>46110.0</v>
      </c>
      <c r="H492" s="76" t="s">
        <v>971</v>
      </c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>
      <c r="A493" s="75" t="s">
        <v>970</v>
      </c>
      <c r="B493" s="75" t="s">
        <v>1002</v>
      </c>
      <c r="C493" s="75">
        <v>0.79</v>
      </c>
      <c r="D493" s="75">
        <v>0.0</v>
      </c>
      <c r="E493" s="75">
        <v>0.0</v>
      </c>
      <c r="F493" s="75" t="s">
        <v>990</v>
      </c>
      <c r="G493" s="82">
        <v>46110.0</v>
      </c>
      <c r="H493" s="76" t="s">
        <v>972</v>
      </c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>
      <c r="A494" s="75" t="s">
        <v>970</v>
      </c>
      <c r="B494" s="75" t="s">
        <v>1002</v>
      </c>
      <c r="C494" s="75">
        <v>5.06</v>
      </c>
      <c r="D494" s="75">
        <v>4.0</v>
      </c>
      <c r="E494" s="75">
        <v>1.26</v>
      </c>
      <c r="F494" s="75" t="s">
        <v>990</v>
      </c>
      <c r="G494" s="82">
        <v>46110.0</v>
      </c>
      <c r="H494" s="76" t="s">
        <v>973</v>
      </c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>
      <c r="A495" s="75" t="s">
        <v>34</v>
      </c>
      <c r="B495" s="75" t="s">
        <v>1002</v>
      </c>
      <c r="C495" s="75">
        <v>2.57</v>
      </c>
      <c r="D495" s="75">
        <v>0.0</v>
      </c>
      <c r="E495" s="75">
        <v>0.0</v>
      </c>
      <c r="F495" s="75" t="s">
        <v>993</v>
      </c>
      <c r="G495" s="82">
        <v>46110.0</v>
      </c>
      <c r="H495" s="76" t="s">
        <v>951</v>
      </c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>
      <c r="A496" s="75" t="s">
        <v>34</v>
      </c>
      <c r="B496" s="75" t="s">
        <v>1002</v>
      </c>
      <c r="C496" s="75">
        <v>2.71</v>
      </c>
      <c r="D496" s="75">
        <v>0.0</v>
      </c>
      <c r="E496" s="75">
        <v>0.0</v>
      </c>
      <c r="F496" s="75" t="s">
        <v>993</v>
      </c>
      <c r="G496" s="82">
        <v>46110.0</v>
      </c>
      <c r="H496" s="76" t="s">
        <v>952</v>
      </c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>
      <c r="A497" s="75" t="s">
        <v>34</v>
      </c>
      <c r="B497" s="75" t="s">
        <v>1002</v>
      </c>
      <c r="C497" s="75">
        <v>4.03</v>
      </c>
      <c r="D497" s="75">
        <v>0.0</v>
      </c>
      <c r="E497" s="75">
        <v>0.0</v>
      </c>
      <c r="F497" s="75" t="s">
        <v>993</v>
      </c>
      <c r="G497" s="82">
        <v>46110.0</v>
      </c>
      <c r="H497" s="76" t="s">
        <v>953</v>
      </c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>
      <c r="A498" s="75" t="s">
        <v>40</v>
      </c>
      <c r="B498" s="75" t="s">
        <v>1002</v>
      </c>
      <c r="C498" s="75">
        <v>1.86</v>
      </c>
      <c r="D498" s="75">
        <v>0.0</v>
      </c>
      <c r="E498" s="75">
        <v>0.0</v>
      </c>
      <c r="F498" s="75" t="s">
        <v>993</v>
      </c>
      <c r="G498" s="82">
        <v>46110.0</v>
      </c>
      <c r="H498" s="76" t="s">
        <v>954</v>
      </c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>
      <c r="A499" s="75" t="s">
        <v>40</v>
      </c>
      <c r="B499" s="75" t="s">
        <v>1002</v>
      </c>
      <c r="C499" s="75">
        <v>1.76</v>
      </c>
      <c r="D499" s="75">
        <v>0.0</v>
      </c>
      <c r="E499" s="75">
        <v>0.0</v>
      </c>
      <c r="F499" s="75" t="s">
        <v>993</v>
      </c>
      <c r="G499" s="82">
        <v>46110.0</v>
      </c>
      <c r="H499" s="76" t="s">
        <v>955</v>
      </c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>
      <c r="A500" s="75" t="s">
        <v>40</v>
      </c>
      <c r="B500" s="75" t="s">
        <v>1002</v>
      </c>
      <c r="C500" s="75">
        <v>10.97</v>
      </c>
      <c r="D500" s="75">
        <v>1.0</v>
      </c>
      <c r="E500" s="75">
        <v>10.97</v>
      </c>
      <c r="F500" s="75" t="s">
        <v>993</v>
      </c>
      <c r="G500" s="82">
        <v>46110.0</v>
      </c>
      <c r="H500" s="76" t="s">
        <v>956</v>
      </c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>
      <c r="A501" s="75" t="s">
        <v>33</v>
      </c>
      <c r="B501" s="75" t="s">
        <v>1002</v>
      </c>
      <c r="C501" s="75">
        <v>7.44</v>
      </c>
      <c r="D501" s="75">
        <v>3.0</v>
      </c>
      <c r="E501" s="75">
        <v>2.48</v>
      </c>
      <c r="F501" s="75" t="s">
        <v>993</v>
      </c>
      <c r="G501" s="82">
        <v>46110.0</v>
      </c>
      <c r="H501" s="76" t="s">
        <v>957</v>
      </c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>
      <c r="A502" s="75" t="s">
        <v>33</v>
      </c>
      <c r="B502" s="75" t="s">
        <v>1002</v>
      </c>
      <c r="C502" s="75">
        <v>0.88</v>
      </c>
      <c r="D502" s="75">
        <v>0.0</v>
      </c>
      <c r="E502" s="75">
        <v>0.0</v>
      </c>
      <c r="F502" s="75" t="s">
        <v>993</v>
      </c>
      <c r="G502" s="82">
        <v>46110.0</v>
      </c>
      <c r="H502" s="76" t="s">
        <v>958</v>
      </c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>
      <c r="A503" s="75" t="s">
        <v>33</v>
      </c>
      <c r="B503" s="75" t="s">
        <v>1002</v>
      </c>
      <c r="C503" s="75">
        <v>2.36</v>
      </c>
      <c r="D503" s="75">
        <v>0.0</v>
      </c>
      <c r="E503" s="75">
        <v>0.0</v>
      </c>
      <c r="F503" s="75" t="s">
        <v>993</v>
      </c>
      <c r="G503" s="82">
        <v>46110.0</v>
      </c>
      <c r="H503" s="76" t="s">
        <v>959</v>
      </c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>
      <c r="A504" s="75" t="s">
        <v>46</v>
      </c>
      <c r="B504" s="75" t="s">
        <v>1002</v>
      </c>
      <c r="C504" s="75">
        <v>3.64</v>
      </c>
      <c r="D504" s="75">
        <v>0.0</v>
      </c>
      <c r="E504" s="75">
        <v>0.0</v>
      </c>
      <c r="F504" s="75" t="s">
        <v>993</v>
      </c>
      <c r="G504" s="82">
        <v>46110.0</v>
      </c>
      <c r="H504" s="76" t="s">
        <v>960</v>
      </c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>
      <c r="A505" s="75" t="s">
        <v>46</v>
      </c>
      <c r="B505" s="75" t="s">
        <v>1002</v>
      </c>
      <c r="C505" s="75">
        <v>2.8</v>
      </c>
      <c r="D505" s="75">
        <v>0.0</v>
      </c>
      <c r="E505" s="75">
        <v>0.0</v>
      </c>
      <c r="F505" s="75" t="s">
        <v>993</v>
      </c>
      <c r="G505" s="82">
        <v>46110.0</v>
      </c>
      <c r="H505" s="76" t="s">
        <v>961</v>
      </c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>
      <c r="A506" s="75" t="s">
        <v>46</v>
      </c>
      <c r="B506" s="75" t="s">
        <v>1002</v>
      </c>
      <c r="C506" s="75">
        <v>2.97</v>
      </c>
      <c r="D506" s="75">
        <v>2.0</v>
      </c>
      <c r="E506" s="75">
        <v>1.48</v>
      </c>
      <c r="F506" s="75" t="s">
        <v>993</v>
      </c>
      <c r="G506" s="82">
        <v>46110.0</v>
      </c>
      <c r="H506" s="76" t="s">
        <v>962</v>
      </c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>
      <c r="A507" s="75" t="s">
        <v>43</v>
      </c>
      <c r="B507" s="75" t="s">
        <v>1002</v>
      </c>
      <c r="C507" s="75">
        <v>2.77</v>
      </c>
      <c r="D507" s="75">
        <v>0.0</v>
      </c>
      <c r="E507" s="75">
        <v>0.0</v>
      </c>
      <c r="F507" s="75" t="s">
        <v>993</v>
      </c>
      <c r="G507" s="82">
        <v>46110.0</v>
      </c>
      <c r="H507" s="76" t="s">
        <v>963</v>
      </c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>
      <c r="A508" s="75" t="s">
        <v>43</v>
      </c>
      <c r="B508" s="75" t="s">
        <v>1002</v>
      </c>
      <c r="C508" s="75">
        <v>0.97</v>
      </c>
      <c r="D508" s="75">
        <v>0.0</v>
      </c>
      <c r="E508" s="75">
        <v>0.0</v>
      </c>
      <c r="F508" s="75" t="s">
        <v>993</v>
      </c>
      <c r="G508" s="82">
        <v>46110.0</v>
      </c>
      <c r="H508" s="76" t="s">
        <v>964</v>
      </c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>
      <c r="A509" s="75" t="s">
        <v>43</v>
      </c>
      <c r="B509" s="75" t="s">
        <v>1002</v>
      </c>
      <c r="C509" s="75">
        <v>4.95</v>
      </c>
      <c r="D509" s="75">
        <v>0.0</v>
      </c>
      <c r="E509" s="75">
        <v>0.0</v>
      </c>
      <c r="F509" s="75" t="s">
        <v>993</v>
      </c>
      <c r="G509" s="82">
        <v>46110.0</v>
      </c>
      <c r="H509" s="76" t="s">
        <v>965</v>
      </c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>
      <c r="A510" s="75" t="s">
        <v>966</v>
      </c>
      <c r="B510" s="75" t="s">
        <v>1002</v>
      </c>
      <c r="C510" s="75">
        <v>5.61</v>
      </c>
      <c r="D510" s="75">
        <v>0.0</v>
      </c>
      <c r="E510" s="75">
        <v>0.0</v>
      </c>
      <c r="F510" s="75" t="s">
        <v>993</v>
      </c>
      <c r="G510" s="82">
        <v>46110.0</v>
      </c>
      <c r="H510" s="76" t="s">
        <v>967</v>
      </c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>
      <c r="A511" s="75" t="s">
        <v>966</v>
      </c>
      <c r="B511" s="75" t="s">
        <v>1002</v>
      </c>
      <c r="C511" s="75">
        <v>1.95</v>
      </c>
      <c r="D511" s="75">
        <v>1.0</v>
      </c>
      <c r="E511" s="75">
        <v>1.95</v>
      </c>
      <c r="F511" s="75" t="s">
        <v>993</v>
      </c>
      <c r="G511" s="82">
        <v>46110.0</v>
      </c>
      <c r="H511" s="76" t="s">
        <v>968</v>
      </c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>
      <c r="A512" s="75" t="s">
        <v>966</v>
      </c>
      <c r="B512" s="75" t="s">
        <v>1002</v>
      </c>
      <c r="C512" s="75">
        <v>1.46</v>
      </c>
      <c r="D512" s="75">
        <v>0.0</v>
      </c>
      <c r="E512" s="75">
        <v>0.0</v>
      </c>
      <c r="F512" s="75" t="s">
        <v>993</v>
      </c>
      <c r="G512" s="82">
        <v>46110.0</v>
      </c>
      <c r="H512" s="76" t="s">
        <v>969</v>
      </c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>
      <c r="A513" s="75" t="s">
        <v>36</v>
      </c>
      <c r="B513" s="75" t="s">
        <v>1002</v>
      </c>
      <c r="C513" s="75">
        <v>7.94</v>
      </c>
      <c r="D513" s="75">
        <v>1.0</v>
      </c>
      <c r="E513" s="75">
        <v>7.94</v>
      </c>
      <c r="F513" s="75" t="s">
        <v>993</v>
      </c>
      <c r="G513" s="82">
        <v>46110.0</v>
      </c>
      <c r="H513" s="76" t="s">
        <v>926</v>
      </c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>
      <c r="A514" s="75" t="s">
        <v>36</v>
      </c>
      <c r="B514" s="75" t="s">
        <v>1002</v>
      </c>
      <c r="C514" s="75">
        <v>2.26</v>
      </c>
      <c r="D514" s="75">
        <v>0.0</v>
      </c>
      <c r="E514" s="75">
        <v>0.0</v>
      </c>
      <c r="F514" s="75" t="s">
        <v>993</v>
      </c>
      <c r="G514" s="82">
        <v>46110.0</v>
      </c>
      <c r="H514" s="76" t="s">
        <v>927</v>
      </c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>
      <c r="A515" s="75" t="s">
        <v>36</v>
      </c>
      <c r="B515" s="75" t="s">
        <v>1002</v>
      </c>
      <c r="C515" s="75">
        <v>2.46</v>
      </c>
      <c r="D515" s="75">
        <v>1.0</v>
      </c>
      <c r="E515" s="75">
        <v>2.46</v>
      </c>
      <c r="F515" s="75" t="s">
        <v>993</v>
      </c>
      <c r="G515" s="82">
        <v>46110.0</v>
      </c>
      <c r="H515" s="76" t="s">
        <v>928</v>
      </c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>
      <c r="A516" s="75" t="s">
        <v>970</v>
      </c>
      <c r="B516" s="75" t="s">
        <v>1002</v>
      </c>
      <c r="C516" s="75">
        <v>1.49</v>
      </c>
      <c r="D516" s="75">
        <v>1.0</v>
      </c>
      <c r="E516" s="75">
        <v>1.49</v>
      </c>
      <c r="F516" s="75" t="s">
        <v>993</v>
      </c>
      <c r="G516" s="82">
        <v>46110.0</v>
      </c>
      <c r="H516" s="76" t="s">
        <v>971</v>
      </c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>
      <c r="A517" s="75" t="s">
        <v>970</v>
      </c>
      <c r="B517" s="75" t="s">
        <v>1002</v>
      </c>
      <c r="C517" s="75">
        <v>1.7</v>
      </c>
      <c r="D517" s="75">
        <v>0.0</v>
      </c>
      <c r="E517" s="75">
        <v>0.0</v>
      </c>
      <c r="F517" s="75" t="s">
        <v>993</v>
      </c>
      <c r="G517" s="82">
        <v>46110.0</v>
      </c>
      <c r="H517" s="76" t="s">
        <v>972</v>
      </c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>
      <c r="A518" s="75" t="s">
        <v>970</v>
      </c>
      <c r="B518" s="75" t="s">
        <v>1002</v>
      </c>
      <c r="C518" s="75">
        <v>8.08</v>
      </c>
      <c r="D518" s="75">
        <v>1.0</v>
      </c>
      <c r="E518" s="75">
        <v>8.08</v>
      </c>
      <c r="F518" s="75" t="s">
        <v>993</v>
      </c>
      <c r="G518" s="82">
        <v>46110.0</v>
      </c>
      <c r="H518" s="76" t="s">
        <v>973</v>
      </c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>
      <c r="A519" s="75" t="s">
        <v>34</v>
      </c>
      <c r="B519" s="75" t="s">
        <v>1002</v>
      </c>
      <c r="C519" s="75">
        <v>2.64</v>
      </c>
      <c r="D519" s="75">
        <v>1.0</v>
      </c>
      <c r="E519" s="75">
        <v>2.64</v>
      </c>
      <c r="F519" s="75" t="s">
        <v>994</v>
      </c>
      <c r="G519" s="82">
        <v>46110.0</v>
      </c>
      <c r="H519" s="76" t="s">
        <v>951</v>
      </c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>
      <c r="A520" s="75" t="s">
        <v>34</v>
      </c>
      <c r="B520" s="75" t="s">
        <v>1002</v>
      </c>
      <c r="C520" s="75">
        <v>3.07</v>
      </c>
      <c r="D520" s="75">
        <v>0.0</v>
      </c>
      <c r="E520" s="75">
        <v>0.0</v>
      </c>
      <c r="F520" s="75" t="s">
        <v>994</v>
      </c>
      <c r="G520" s="82">
        <v>46110.0</v>
      </c>
      <c r="H520" s="76" t="s">
        <v>952</v>
      </c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>
      <c r="A521" s="75" t="s">
        <v>34</v>
      </c>
      <c r="B521" s="75" t="s">
        <v>1002</v>
      </c>
      <c r="C521" s="75">
        <v>3.84</v>
      </c>
      <c r="D521" s="75">
        <v>0.0</v>
      </c>
      <c r="E521" s="75">
        <v>0.0</v>
      </c>
      <c r="F521" s="75" t="s">
        <v>994</v>
      </c>
      <c r="G521" s="82">
        <v>46110.0</v>
      </c>
      <c r="H521" s="76" t="s">
        <v>953</v>
      </c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>
      <c r="A522" s="75" t="s">
        <v>40</v>
      </c>
      <c r="B522" s="75" t="s">
        <v>1002</v>
      </c>
      <c r="C522" s="75">
        <v>1.9</v>
      </c>
      <c r="D522" s="75">
        <v>0.0</v>
      </c>
      <c r="E522" s="75">
        <v>0.0</v>
      </c>
      <c r="F522" s="75" t="s">
        <v>994</v>
      </c>
      <c r="G522" s="82">
        <v>46110.0</v>
      </c>
      <c r="H522" s="76" t="s">
        <v>954</v>
      </c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>
      <c r="A523" s="75" t="s">
        <v>40</v>
      </c>
      <c r="B523" s="75" t="s">
        <v>1002</v>
      </c>
      <c r="C523" s="75">
        <v>1.6</v>
      </c>
      <c r="D523" s="75">
        <v>0.0</v>
      </c>
      <c r="E523" s="75">
        <v>0.0</v>
      </c>
      <c r="F523" s="75" t="s">
        <v>994</v>
      </c>
      <c r="G523" s="82">
        <v>46110.0</v>
      </c>
      <c r="H523" s="76" t="s">
        <v>955</v>
      </c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>
      <c r="A524" s="75" t="s">
        <v>40</v>
      </c>
      <c r="B524" s="75" t="s">
        <v>1002</v>
      </c>
      <c r="C524" s="75">
        <v>13.75</v>
      </c>
      <c r="D524" s="75">
        <v>2.0</v>
      </c>
      <c r="E524" s="75">
        <v>6.87</v>
      </c>
      <c r="F524" s="75" t="s">
        <v>994</v>
      </c>
      <c r="G524" s="82">
        <v>46110.0</v>
      </c>
      <c r="H524" s="76" t="s">
        <v>956</v>
      </c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>
      <c r="A525" s="75" t="s">
        <v>33</v>
      </c>
      <c r="B525" s="75" t="s">
        <v>1002</v>
      </c>
      <c r="C525" s="75">
        <v>6.47</v>
      </c>
      <c r="D525" s="75">
        <v>0.0</v>
      </c>
      <c r="E525" s="75">
        <v>0.0</v>
      </c>
      <c r="F525" s="75" t="s">
        <v>994</v>
      </c>
      <c r="G525" s="82">
        <v>46110.0</v>
      </c>
      <c r="H525" s="76" t="s">
        <v>957</v>
      </c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>
      <c r="A526" s="75" t="s">
        <v>33</v>
      </c>
      <c r="B526" s="75" t="s">
        <v>1002</v>
      </c>
      <c r="C526" s="75">
        <v>0.8</v>
      </c>
      <c r="D526" s="75">
        <v>0.0</v>
      </c>
      <c r="E526" s="75">
        <v>0.0</v>
      </c>
      <c r="F526" s="75" t="s">
        <v>994</v>
      </c>
      <c r="G526" s="82">
        <v>46110.0</v>
      </c>
      <c r="H526" s="76" t="s">
        <v>958</v>
      </c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>
      <c r="A527" s="75" t="s">
        <v>33</v>
      </c>
      <c r="B527" s="75" t="s">
        <v>1002</v>
      </c>
      <c r="C527" s="75">
        <v>2.8</v>
      </c>
      <c r="D527" s="75">
        <v>0.0</v>
      </c>
      <c r="E527" s="75">
        <v>0.0</v>
      </c>
      <c r="F527" s="75" t="s">
        <v>994</v>
      </c>
      <c r="G527" s="82">
        <v>46110.0</v>
      </c>
      <c r="H527" s="76" t="s">
        <v>959</v>
      </c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>
      <c r="A528" s="75" t="s">
        <v>46</v>
      </c>
      <c r="B528" s="75" t="s">
        <v>1002</v>
      </c>
      <c r="C528" s="75">
        <v>3.56</v>
      </c>
      <c r="D528" s="75">
        <v>0.0</v>
      </c>
      <c r="E528" s="75">
        <v>0.0</v>
      </c>
      <c r="F528" s="75" t="s">
        <v>994</v>
      </c>
      <c r="G528" s="82">
        <v>46110.0</v>
      </c>
      <c r="H528" s="76" t="s">
        <v>960</v>
      </c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>
      <c r="A529" s="75" t="s">
        <v>46</v>
      </c>
      <c r="B529" s="75" t="s">
        <v>1002</v>
      </c>
      <c r="C529" s="75">
        <v>3.28</v>
      </c>
      <c r="D529" s="75">
        <v>1.0</v>
      </c>
      <c r="E529" s="75">
        <v>3.28</v>
      </c>
      <c r="F529" s="75" t="s">
        <v>994</v>
      </c>
      <c r="G529" s="82">
        <v>46110.0</v>
      </c>
      <c r="H529" s="76" t="s">
        <v>961</v>
      </c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>
      <c r="A530" s="75" t="s">
        <v>46</v>
      </c>
      <c r="B530" s="75" t="s">
        <v>1002</v>
      </c>
      <c r="C530" s="75">
        <v>3.29</v>
      </c>
      <c r="D530" s="75">
        <v>0.0</v>
      </c>
      <c r="E530" s="75">
        <v>0.0</v>
      </c>
      <c r="F530" s="75" t="s">
        <v>994</v>
      </c>
      <c r="G530" s="82">
        <v>46110.0</v>
      </c>
      <c r="H530" s="76" t="s">
        <v>962</v>
      </c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>
      <c r="A531" s="75" t="s">
        <v>43</v>
      </c>
      <c r="B531" s="75" t="s">
        <v>1002</v>
      </c>
      <c r="C531" s="75">
        <v>2.32</v>
      </c>
      <c r="D531" s="75">
        <v>0.0</v>
      </c>
      <c r="E531" s="75">
        <v>0.0</v>
      </c>
      <c r="F531" s="75" t="s">
        <v>994</v>
      </c>
      <c r="G531" s="82">
        <v>46110.0</v>
      </c>
      <c r="H531" s="76" t="s">
        <v>963</v>
      </c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>
      <c r="A532" s="75" t="s">
        <v>43</v>
      </c>
      <c r="B532" s="75" t="s">
        <v>1002</v>
      </c>
      <c r="C532" s="75">
        <v>1.0</v>
      </c>
      <c r="D532" s="75">
        <v>0.0</v>
      </c>
      <c r="E532" s="75">
        <v>0.0</v>
      </c>
      <c r="F532" s="75" t="s">
        <v>994</v>
      </c>
      <c r="G532" s="82">
        <v>46110.0</v>
      </c>
      <c r="H532" s="76" t="s">
        <v>964</v>
      </c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>
      <c r="A533" s="75" t="s">
        <v>43</v>
      </c>
      <c r="B533" s="75" t="s">
        <v>1002</v>
      </c>
      <c r="C533" s="75">
        <v>5.3</v>
      </c>
      <c r="D533" s="75">
        <v>1.0</v>
      </c>
      <c r="E533" s="75">
        <v>5.3</v>
      </c>
      <c r="F533" s="75" t="s">
        <v>994</v>
      </c>
      <c r="G533" s="82">
        <v>46110.0</v>
      </c>
      <c r="H533" s="76" t="s">
        <v>965</v>
      </c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>
      <c r="A534" s="75" t="s">
        <v>966</v>
      </c>
      <c r="B534" s="75" t="s">
        <v>1002</v>
      </c>
      <c r="C534" s="75">
        <v>5.88</v>
      </c>
      <c r="D534" s="75">
        <v>0.0</v>
      </c>
      <c r="E534" s="75">
        <v>0.0</v>
      </c>
      <c r="F534" s="75" t="s">
        <v>994</v>
      </c>
      <c r="G534" s="82">
        <v>46110.0</v>
      </c>
      <c r="H534" s="76" t="s">
        <v>967</v>
      </c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>
      <c r="A535" s="75" t="s">
        <v>966</v>
      </c>
      <c r="B535" s="75" t="s">
        <v>1002</v>
      </c>
      <c r="C535" s="75">
        <v>2.34</v>
      </c>
      <c r="D535" s="75">
        <v>0.0</v>
      </c>
      <c r="E535" s="75">
        <v>0.0</v>
      </c>
      <c r="F535" s="75" t="s">
        <v>994</v>
      </c>
      <c r="G535" s="82">
        <v>46110.0</v>
      </c>
      <c r="H535" s="76" t="s">
        <v>968</v>
      </c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>
      <c r="A536" s="75" t="s">
        <v>966</v>
      </c>
      <c r="B536" s="75" t="s">
        <v>1002</v>
      </c>
      <c r="C536" s="75">
        <v>1.56</v>
      </c>
      <c r="D536" s="75">
        <v>0.0</v>
      </c>
      <c r="E536" s="75">
        <v>0.0</v>
      </c>
      <c r="F536" s="75" t="s">
        <v>994</v>
      </c>
      <c r="G536" s="82">
        <v>46110.0</v>
      </c>
      <c r="H536" s="76" t="s">
        <v>969</v>
      </c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>
      <c r="A537" s="75" t="s">
        <v>36</v>
      </c>
      <c r="B537" s="75" t="s">
        <v>1002</v>
      </c>
      <c r="C537" s="75">
        <v>7.65</v>
      </c>
      <c r="D537" s="75">
        <v>0.0</v>
      </c>
      <c r="E537" s="75">
        <v>0.0</v>
      </c>
      <c r="F537" s="75" t="s">
        <v>994</v>
      </c>
      <c r="G537" s="82">
        <v>46110.0</v>
      </c>
      <c r="H537" s="76" t="s">
        <v>926</v>
      </c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>
      <c r="A538" s="75" t="s">
        <v>36</v>
      </c>
      <c r="B538" s="75" t="s">
        <v>1002</v>
      </c>
      <c r="C538" s="75">
        <v>2.36</v>
      </c>
      <c r="D538" s="75">
        <v>0.0</v>
      </c>
      <c r="E538" s="75">
        <v>0.0</v>
      </c>
      <c r="F538" s="75" t="s">
        <v>994</v>
      </c>
      <c r="G538" s="82">
        <v>46110.0</v>
      </c>
      <c r="H538" s="76" t="s">
        <v>927</v>
      </c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>
      <c r="A539" s="75" t="s">
        <v>36</v>
      </c>
      <c r="B539" s="75" t="s">
        <v>1002</v>
      </c>
      <c r="C539" s="75">
        <v>2.14</v>
      </c>
      <c r="D539" s="75">
        <v>0.0</v>
      </c>
      <c r="E539" s="75">
        <v>0.0</v>
      </c>
      <c r="F539" s="75" t="s">
        <v>994</v>
      </c>
      <c r="G539" s="82">
        <v>46110.0</v>
      </c>
      <c r="H539" s="76" t="s">
        <v>928</v>
      </c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>
      <c r="A540" s="75" t="s">
        <v>970</v>
      </c>
      <c r="B540" s="75" t="s">
        <v>1002</v>
      </c>
      <c r="C540" s="75">
        <v>1.73</v>
      </c>
      <c r="D540" s="75">
        <v>0.0</v>
      </c>
      <c r="E540" s="75">
        <v>0.0</v>
      </c>
      <c r="F540" s="75" t="s">
        <v>994</v>
      </c>
      <c r="G540" s="82">
        <v>46110.0</v>
      </c>
      <c r="H540" s="76" t="s">
        <v>971</v>
      </c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>
      <c r="A541" s="75" t="s">
        <v>970</v>
      </c>
      <c r="B541" s="75" t="s">
        <v>1002</v>
      </c>
      <c r="C541" s="75">
        <v>1.46</v>
      </c>
      <c r="D541" s="75">
        <v>0.0</v>
      </c>
      <c r="E541" s="75">
        <v>0.0</v>
      </c>
      <c r="F541" s="75" t="s">
        <v>994</v>
      </c>
      <c r="G541" s="82">
        <v>46110.0</v>
      </c>
      <c r="H541" s="76" t="s">
        <v>972</v>
      </c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>
      <c r="A542" s="75" t="s">
        <v>970</v>
      </c>
      <c r="B542" s="75" t="s">
        <v>1002</v>
      </c>
      <c r="C542" s="75">
        <v>6.54</v>
      </c>
      <c r="D542" s="75">
        <v>1.0</v>
      </c>
      <c r="E542" s="75">
        <v>6.54</v>
      </c>
      <c r="F542" s="75" t="s">
        <v>994</v>
      </c>
      <c r="G542" s="82">
        <v>46110.0</v>
      </c>
      <c r="H542" s="76" t="s">
        <v>973</v>
      </c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>
      <c r="A543" s="75" t="s">
        <v>34</v>
      </c>
      <c r="B543" s="75" t="s">
        <v>1002</v>
      </c>
      <c r="C543" s="75">
        <v>2.07</v>
      </c>
      <c r="D543" s="75">
        <v>0.0</v>
      </c>
      <c r="E543" s="75">
        <v>0.0</v>
      </c>
      <c r="F543" s="75" t="s">
        <v>995</v>
      </c>
      <c r="G543" s="82">
        <v>46110.0</v>
      </c>
      <c r="H543" s="76" t="s">
        <v>951</v>
      </c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>
      <c r="A544" s="75" t="s">
        <v>34</v>
      </c>
      <c r="B544" s="75" t="s">
        <v>1002</v>
      </c>
      <c r="C544" s="75">
        <v>2.25</v>
      </c>
      <c r="D544" s="75">
        <v>0.0</v>
      </c>
      <c r="E544" s="75">
        <v>0.0</v>
      </c>
      <c r="F544" s="75" t="s">
        <v>995</v>
      </c>
      <c r="G544" s="82">
        <v>46110.0</v>
      </c>
      <c r="H544" s="76" t="s">
        <v>952</v>
      </c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>
      <c r="A545" s="75" t="s">
        <v>34</v>
      </c>
      <c r="B545" s="75" t="s">
        <v>1002</v>
      </c>
      <c r="C545" s="75">
        <v>2.74</v>
      </c>
      <c r="D545" s="75">
        <v>0.0</v>
      </c>
      <c r="E545" s="75">
        <v>0.0</v>
      </c>
      <c r="F545" s="75" t="s">
        <v>995</v>
      </c>
      <c r="G545" s="82">
        <v>46110.0</v>
      </c>
      <c r="H545" s="76" t="s">
        <v>953</v>
      </c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>
      <c r="A546" s="75" t="s">
        <v>40</v>
      </c>
      <c r="B546" s="75" t="s">
        <v>1002</v>
      </c>
      <c r="C546" s="75">
        <v>1.25</v>
      </c>
      <c r="D546" s="75">
        <v>0.0</v>
      </c>
      <c r="E546" s="75">
        <v>0.0</v>
      </c>
      <c r="F546" s="75" t="s">
        <v>995</v>
      </c>
      <c r="G546" s="82">
        <v>46110.0</v>
      </c>
      <c r="H546" s="76" t="s">
        <v>954</v>
      </c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>
      <c r="A547" s="75" t="s">
        <v>40</v>
      </c>
      <c r="B547" s="75" t="s">
        <v>1002</v>
      </c>
      <c r="C547" s="75">
        <v>1.32</v>
      </c>
      <c r="D547" s="75">
        <v>0.0</v>
      </c>
      <c r="E547" s="75">
        <v>0.0</v>
      </c>
      <c r="F547" s="75" t="s">
        <v>995</v>
      </c>
      <c r="G547" s="82">
        <v>46110.0</v>
      </c>
      <c r="H547" s="76" t="s">
        <v>955</v>
      </c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>
      <c r="A548" s="75" t="s">
        <v>40</v>
      </c>
      <c r="B548" s="75" t="s">
        <v>1002</v>
      </c>
      <c r="C548" s="75">
        <v>8.04</v>
      </c>
      <c r="D548" s="75">
        <v>0.0</v>
      </c>
      <c r="E548" s="75">
        <v>0.0</v>
      </c>
      <c r="F548" s="75" t="s">
        <v>995</v>
      </c>
      <c r="G548" s="82">
        <v>46110.0</v>
      </c>
      <c r="H548" s="76" t="s">
        <v>956</v>
      </c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>
      <c r="A549" s="75" t="s">
        <v>33</v>
      </c>
      <c r="B549" s="75" t="s">
        <v>1002</v>
      </c>
      <c r="C549" s="75">
        <v>4.45</v>
      </c>
      <c r="D549" s="75">
        <v>1.0</v>
      </c>
      <c r="E549" s="75">
        <v>4.45</v>
      </c>
      <c r="F549" s="75" t="s">
        <v>995</v>
      </c>
      <c r="G549" s="82">
        <v>46110.0</v>
      </c>
      <c r="H549" s="76" t="s">
        <v>957</v>
      </c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>
      <c r="A550" s="75" t="s">
        <v>33</v>
      </c>
      <c r="B550" s="75" t="s">
        <v>1002</v>
      </c>
      <c r="C550" s="75">
        <v>0.64</v>
      </c>
      <c r="D550" s="75">
        <v>0.0</v>
      </c>
      <c r="E550" s="75">
        <v>0.0</v>
      </c>
      <c r="F550" s="75" t="s">
        <v>995</v>
      </c>
      <c r="G550" s="82">
        <v>46110.0</v>
      </c>
      <c r="H550" s="76" t="s">
        <v>958</v>
      </c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>
      <c r="A551" s="75" t="s">
        <v>33</v>
      </c>
      <c r="B551" s="75" t="s">
        <v>1002</v>
      </c>
      <c r="C551" s="75">
        <v>1.87</v>
      </c>
      <c r="D551" s="75">
        <v>0.0</v>
      </c>
      <c r="E551" s="75">
        <v>0.0</v>
      </c>
      <c r="F551" s="75" t="s">
        <v>995</v>
      </c>
      <c r="G551" s="82">
        <v>46110.0</v>
      </c>
      <c r="H551" s="76" t="s">
        <v>959</v>
      </c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>
      <c r="A552" s="75" t="s">
        <v>46</v>
      </c>
      <c r="B552" s="75" t="s">
        <v>1002</v>
      </c>
      <c r="C552" s="75">
        <v>2.3</v>
      </c>
      <c r="D552" s="75">
        <v>0.0</v>
      </c>
      <c r="E552" s="75">
        <v>0.0</v>
      </c>
      <c r="F552" s="75" t="s">
        <v>995</v>
      </c>
      <c r="G552" s="82">
        <v>46110.0</v>
      </c>
      <c r="H552" s="76" t="s">
        <v>960</v>
      </c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>
      <c r="A553" s="75" t="s">
        <v>46</v>
      </c>
      <c r="B553" s="75" t="s">
        <v>1002</v>
      </c>
      <c r="C553" s="75">
        <v>2.19</v>
      </c>
      <c r="D553" s="75">
        <v>0.0</v>
      </c>
      <c r="E553" s="75">
        <v>0.0</v>
      </c>
      <c r="F553" s="75" t="s">
        <v>995</v>
      </c>
      <c r="G553" s="82">
        <v>46110.0</v>
      </c>
      <c r="H553" s="76" t="s">
        <v>961</v>
      </c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>
      <c r="A554" s="75" t="s">
        <v>46</v>
      </c>
      <c r="B554" s="75" t="s">
        <v>1002</v>
      </c>
      <c r="C554" s="75">
        <v>2.36</v>
      </c>
      <c r="D554" s="75">
        <v>0.0</v>
      </c>
      <c r="E554" s="75">
        <v>0.0</v>
      </c>
      <c r="F554" s="75" t="s">
        <v>995</v>
      </c>
      <c r="G554" s="82">
        <v>46110.0</v>
      </c>
      <c r="H554" s="76" t="s">
        <v>962</v>
      </c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>
      <c r="A555" s="75" t="s">
        <v>43</v>
      </c>
      <c r="B555" s="75" t="s">
        <v>1002</v>
      </c>
      <c r="C555" s="75">
        <v>2.04</v>
      </c>
      <c r="D555" s="75">
        <v>0.0</v>
      </c>
      <c r="E555" s="75">
        <v>0.0</v>
      </c>
      <c r="F555" s="75" t="s">
        <v>995</v>
      </c>
      <c r="G555" s="82">
        <v>46110.0</v>
      </c>
      <c r="H555" s="76" t="s">
        <v>963</v>
      </c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>
      <c r="A556" s="75" t="s">
        <v>43</v>
      </c>
      <c r="B556" s="75" t="s">
        <v>1002</v>
      </c>
      <c r="C556" s="75">
        <v>0.66</v>
      </c>
      <c r="D556" s="75">
        <v>0.0</v>
      </c>
      <c r="E556" s="75">
        <v>0.0</v>
      </c>
      <c r="F556" s="75" t="s">
        <v>995</v>
      </c>
      <c r="G556" s="82">
        <v>46110.0</v>
      </c>
      <c r="H556" s="76" t="s">
        <v>964</v>
      </c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>
      <c r="A557" s="75" t="s">
        <v>43</v>
      </c>
      <c r="B557" s="75" t="s">
        <v>1002</v>
      </c>
      <c r="C557" s="75">
        <v>2.92</v>
      </c>
      <c r="D557" s="75">
        <v>0.0</v>
      </c>
      <c r="E557" s="75">
        <v>0.0</v>
      </c>
      <c r="F557" s="75" t="s">
        <v>995</v>
      </c>
      <c r="G557" s="82">
        <v>46110.0</v>
      </c>
      <c r="H557" s="76" t="s">
        <v>965</v>
      </c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>
      <c r="A558" s="75" t="s">
        <v>966</v>
      </c>
      <c r="B558" s="75" t="s">
        <v>1002</v>
      </c>
      <c r="C558" s="75">
        <v>4.13</v>
      </c>
      <c r="D558" s="75">
        <v>0.0</v>
      </c>
      <c r="E558" s="75">
        <v>0.0</v>
      </c>
      <c r="F558" s="75" t="s">
        <v>995</v>
      </c>
      <c r="G558" s="82">
        <v>46110.0</v>
      </c>
      <c r="H558" s="76" t="s">
        <v>967</v>
      </c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>
      <c r="A559" s="75" t="s">
        <v>966</v>
      </c>
      <c r="B559" s="75" t="s">
        <v>1002</v>
      </c>
      <c r="C559" s="75">
        <v>1.45</v>
      </c>
      <c r="D559" s="75">
        <v>0.0</v>
      </c>
      <c r="E559" s="75">
        <v>0.0</v>
      </c>
      <c r="F559" s="75" t="s">
        <v>995</v>
      </c>
      <c r="G559" s="82">
        <v>46110.0</v>
      </c>
      <c r="H559" s="76" t="s">
        <v>968</v>
      </c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>
      <c r="A560" s="75" t="s">
        <v>966</v>
      </c>
      <c r="B560" s="75" t="s">
        <v>1002</v>
      </c>
      <c r="C560" s="75">
        <v>1.21</v>
      </c>
      <c r="D560" s="75">
        <v>0.0</v>
      </c>
      <c r="E560" s="75">
        <v>0.0</v>
      </c>
      <c r="F560" s="75" t="s">
        <v>995</v>
      </c>
      <c r="G560" s="82">
        <v>46110.0</v>
      </c>
      <c r="H560" s="76" t="s">
        <v>969</v>
      </c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>
      <c r="A561" s="75" t="s">
        <v>36</v>
      </c>
      <c r="B561" s="75" t="s">
        <v>1002</v>
      </c>
      <c r="C561" s="75">
        <v>5.63</v>
      </c>
      <c r="D561" s="75">
        <v>0.0</v>
      </c>
      <c r="E561" s="75">
        <v>0.0</v>
      </c>
      <c r="F561" s="75" t="s">
        <v>995</v>
      </c>
      <c r="G561" s="82">
        <v>46110.0</v>
      </c>
      <c r="H561" s="76" t="s">
        <v>926</v>
      </c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>
      <c r="A562" s="75" t="s">
        <v>36</v>
      </c>
      <c r="B562" s="75" t="s">
        <v>1002</v>
      </c>
      <c r="C562" s="75">
        <v>1.47</v>
      </c>
      <c r="D562" s="75">
        <v>0.0</v>
      </c>
      <c r="E562" s="75">
        <v>0.0</v>
      </c>
      <c r="F562" s="75" t="s">
        <v>995</v>
      </c>
      <c r="G562" s="82">
        <v>46110.0</v>
      </c>
      <c r="H562" s="76" t="s">
        <v>927</v>
      </c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>
      <c r="A563" s="75" t="s">
        <v>36</v>
      </c>
      <c r="B563" s="75" t="s">
        <v>1002</v>
      </c>
      <c r="C563" s="75">
        <v>1.55</v>
      </c>
      <c r="D563" s="75">
        <v>0.0</v>
      </c>
      <c r="E563" s="75">
        <v>0.0</v>
      </c>
      <c r="F563" s="75" t="s">
        <v>995</v>
      </c>
      <c r="G563" s="82">
        <v>46110.0</v>
      </c>
      <c r="H563" s="76" t="s">
        <v>928</v>
      </c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>
      <c r="A564" s="75" t="s">
        <v>970</v>
      </c>
      <c r="B564" s="75" t="s">
        <v>1002</v>
      </c>
      <c r="C564" s="75">
        <v>1.23</v>
      </c>
      <c r="D564" s="75">
        <v>1.0</v>
      </c>
      <c r="E564" s="75">
        <v>1.23</v>
      </c>
      <c r="F564" s="75" t="s">
        <v>995</v>
      </c>
      <c r="G564" s="82">
        <v>46110.0</v>
      </c>
      <c r="H564" s="76" t="s">
        <v>971</v>
      </c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>
      <c r="A565" s="75" t="s">
        <v>970</v>
      </c>
      <c r="B565" s="75" t="s">
        <v>1002</v>
      </c>
      <c r="C565" s="75">
        <v>1.18</v>
      </c>
      <c r="D565" s="75">
        <v>0.0</v>
      </c>
      <c r="E565" s="75">
        <v>0.0</v>
      </c>
      <c r="F565" s="75" t="s">
        <v>995</v>
      </c>
      <c r="G565" s="82">
        <v>46110.0</v>
      </c>
      <c r="H565" s="76" t="s">
        <v>972</v>
      </c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>
      <c r="A566" s="75" t="s">
        <v>970</v>
      </c>
      <c r="B566" s="75" t="s">
        <v>1002</v>
      </c>
      <c r="C566" s="75">
        <v>5.54</v>
      </c>
      <c r="D566" s="75">
        <v>0.0</v>
      </c>
      <c r="E566" s="75">
        <v>0.0</v>
      </c>
      <c r="F566" s="75" t="s">
        <v>995</v>
      </c>
      <c r="G566" s="82">
        <v>46110.0</v>
      </c>
      <c r="H566" s="76" t="s">
        <v>973</v>
      </c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>
      <c r="A567" s="75" t="s">
        <v>34</v>
      </c>
      <c r="B567" s="75" t="s">
        <v>1002</v>
      </c>
      <c r="C567" s="75">
        <v>2.17</v>
      </c>
      <c r="D567" s="75">
        <v>0.0</v>
      </c>
      <c r="E567" s="75">
        <v>0.0</v>
      </c>
      <c r="F567" s="75" t="s">
        <v>996</v>
      </c>
      <c r="G567" s="82">
        <v>46110.0</v>
      </c>
      <c r="H567" s="76" t="s">
        <v>951</v>
      </c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>
      <c r="A568" s="75" t="s">
        <v>34</v>
      </c>
      <c r="B568" s="75" t="s">
        <v>1002</v>
      </c>
      <c r="C568" s="75">
        <v>2.64</v>
      </c>
      <c r="D568" s="75">
        <v>1.0</v>
      </c>
      <c r="E568" s="75">
        <v>2.64</v>
      </c>
      <c r="F568" s="75" t="s">
        <v>996</v>
      </c>
      <c r="G568" s="82">
        <v>46110.0</v>
      </c>
      <c r="H568" s="76" t="s">
        <v>952</v>
      </c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>
      <c r="A569" s="75" t="s">
        <v>34</v>
      </c>
      <c r="B569" s="75" t="s">
        <v>1002</v>
      </c>
      <c r="C569" s="75">
        <v>4.19</v>
      </c>
      <c r="D569" s="75">
        <v>0.0</v>
      </c>
      <c r="E569" s="75">
        <v>0.0</v>
      </c>
      <c r="F569" s="75" t="s">
        <v>996</v>
      </c>
      <c r="G569" s="82">
        <v>46110.0</v>
      </c>
      <c r="H569" s="76" t="s">
        <v>953</v>
      </c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>
      <c r="A570" s="75" t="s">
        <v>40</v>
      </c>
      <c r="B570" s="75" t="s">
        <v>1002</v>
      </c>
      <c r="C570" s="75">
        <v>1.83</v>
      </c>
      <c r="D570" s="75">
        <v>0.0</v>
      </c>
      <c r="E570" s="75">
        <v>0.0</v>
      </c>
      <c r="F570" s="75" t="s">
        <v>996</v>
      </c>
      <c r="G570" s="82">
        <v>46110.0</v>
      </c>
      <c r="H570" s="76" t="s">
        <v>954</v>
      </c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>
      <c r="A571" s="75" t="s">
        <v>40</v>
      </c>
      <c r="B571" s="75" t="s">
        <v>1002</v>
      </c>
      <c r="C571" s="75">
        <v>1.5</v>
      </c>
      <c r="D571" s="75">
        <v>0.0</v>
      </c>
      <c r="E571" s="75">
        <v>0.0</v>
      </c>
      <c r="F571" s="75" t="s">
        <v>996</v>
      </c>
      <c r="G571" s="82">
        <v>46110.0</v>
      </c>
      <c r="H571" s="76" t="s">
        <v>955</v>
      </c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>
      <c r="A572" s="75" t="s">
        <v>40</v>
      </c>
      <c r="B572" s="75" t="s">
        <v>1002</v>
      </c>
      <c r="C572" s="75">
        <v>11.68</v>
      </c>
      <c r="D572" s="75">
        <v>1.0</v>
      </c>
      <c r="E572" s="75">
        <v>11.68</v>
      </c>
      <c r="F572" s="75" t="s">
        <v>996</v>
      </c>
      <c r="G572" s="82">
        <v>46110.0</v>
      </c>
      <c r="H572" s="76" t="s">
        <v>956</v>
      </c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>
      <c r="A573" s="75" t="s">
        <v>33</v>
      </c>
      <c r="B573" s="75" t="s">
        <v>1002</v>
      </c>
      <c r="C573" s="75">
        <v>6.95</v>
      </c>
      <c r="D573" s="75">
        <v>0.0</v>
      </c>
      <c r="E573" s="75">
        <v>0.0</v>
      </c>
      <c r="F573" s="75" t="s">
        <v>996</v>
      </c>
      <c r="G573" s="82">
        <v>46110.0</v>
      </c>
      <c r="H573" s="76" t="s">
        <v>957</v>
      </c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>
      <c r="A574" s="75" t="s">
        <v>33</v>
      </c>
      <c r="B574" s="75" t="s">
        <v>1002</v>
      </c>
      <c r="C574" s="75">
        <v>0.99</v>
      </c>
      <c r="D574" s="75">
        <v>0.0</v>
      </c>
      <c r="E574" s="75">
        <v>0.0</v>
      </c>
      <c r="F574" s="75" t="s">
        <v>996</v>
      </c>
      <c r="G574" s="82">
        <v>46110.0</v>
      </c>
      <c r="H574" s="76" t="s">
        <v>958</v>
      </c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>
      <c r="A575" s="75" t="s">
        <v>33</v>
      </c>
      <c r="B575" s="75" t="s">
        <v>1002</v>
      </c>
      <c r="C575" s="75">
        <v>2.42</v>
      </c>
      <c r="D575" s="75">
        <v>0.0</v>
      </c>
      <c r="E575" s="75">
        <v>0.0</v>
      </c>
      <c r="F575" s="75" t="s">
        <v>996</v>
      </c>
      <c r="G575" s="82">
        <v>46110.0</v>
      </c>
      <c r="H575" s="76" t="s">
        <v>959</v>
      </c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>
      <c r="A576" s="75" t="s">
        <v>46</v>
      </c>
      <c r="B576" s="75" t="s">
        <v>1002</v>
      </c>
      <c r="C576" s="75">
        <v>2.97</v>
      </c>
      <c r="D576" s="75">
        <v>0.0</v>
      </c>
      <c r="E576" s="75">
        <v>0.0</v>
      </c>
      <c r="F576" s="75" t="s">
        <v>996</v>
      </c>
      <c r="G576" s="82">
        <v>46110.0</v>
      </c>
      <c r="H576" s="76" t="s">
        <v>960</v>
      </c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>
      <c r="A577" s="75" t="s">
        <v>46</v>
      </c>
      <c r="B577" s="75" t="s">
        <v>1002</v>
      </c>
      <c r="C577" s="75">
        <v>3.32</v>
      </c>
      <c r="D577" s="75">
        <v>0.0</v>
      </c>
      <c r="E577" s="75">
        <v>0.0</v>
      </c>
      <c r="F577" s="75" t="s">
        <v>996</v>
      </c>
      <c r="G577" s="82">
        <v>46110.0</v>
      </c>
      <c r="H577" s="76" t="s">
        <v>961</v>
      </c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>
      <c r="A578" s="75" t="s">
        <v>46</v>
      </c>
      <c r="B578" s="75" t="s">
        <v>1002</v>
      </c>
      <c r="C578" s="75">
        <v>3.22</v>
      </c>
      <c r="D578" s="75">
        <v>0.0</v>
      </c>
      <c r="E578" s="75">
        <v>0.0</v>
      </c>
      <c r="F578" s="75" t="s">
        <v>996</v>
      </c>
      <c r="G578" s="82">
        <v>46110.0</v>
      </c>
      <c r="H578" s="76" t="s">
        <v>962</v>
      </c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>
      <c r="A579" s="75" t="s">
        <v>43</v>
      </c>
      <c r="B579" s="75" t="s">
        <v>1002</v>
      </c>
      <c r="C579" s="75">
        <v>3.01</v>
      </c>
      <c r="D579" s="75">
        <v>0.0</v>
      </c>
      <c r="E579" s="75">
        <v>0.0</v>
      </c>
      <c r="F579" s="75" t="s">
        <v>996</v>
      </c>
      <c r="G579" s="82">
        <v>46110.0</v>
      </c>
      <c r="H579" s="76" t="s">
        <v>963</v>
      </c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>
      <c r="A580" s="75" t="s">
        <v>43</v>
      </c>
      <c r="B580" s="75" t="s">
        <v>1002</v>
      </c>
      <c r="C580" s="75">
        <v>0.93</v>
      </c>
      <c r="D580" s="75">
        <v>0.0</v>
      </c>
      <c r="E580" s="75">
        <v>0.0</v>
      </c>
      <c r="F580" s="75" t="s">
        <v>996</v>
      </c>
      <c r="G580" s="82">
        <v>46110.0</v>
      </c>
      <c r="H580" s="76" t="s">
        <v>964</v>
      </c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>
      <c r="A581" s="75" t="s">
        <v>43</v>
      </c>
      <c r="B581" s="75" t="s">
        <v>1002</v>
      </c>
      <c r="C581" s="75">
        <v>4.18</v>
      </c>
      <c r="D581" s="75">
        <v>1.0</v>
      </c>
      <c r="E581" s="75">
        <v>4.18</v>
      </c>
      <c r="F581" s="75" t="s">
        <v>996</v>
      </c>
      <c r="G581" s="82">
        <v>46110.0</v>
      </c>
      <c r="H581" s="76" t="s">
        <v>965</v>
      </c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>
      <c r="A582" s="75" t="s">
        <v>966</v>
      </c>
      <c r="B582" s="75" t="s">
        <v>1002</v>
      </c>
      <c r="C582" s="75">
        <v>6.42</v>
      </c>
      <c r="D582" s="75">
        <v>0.0</v>
      </c>
      <c r="E582" s="75">
        <v>0.0</v>
      </c>
      <c r="F582" s="75" t="s">
        <v>996</v>
      </c>
      <c r="G582" s="82">
        <v>46110.0</v>
      </c>
      <c r="H582" s="76" t="s">
        <v>967</v>
      </c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>
      <c r="A583" s="75" t="s">
        <v>966</v>
      </c>
      <c r="B583" s="75" t="s">
        <v>1002</v>
      </c>
      <c r="C583" s="75">
        <v>2.3</v>
      </c>
      <c r="D583" s="75">
        <v>0.0</v>
      </c>
      <c r="E583" s="75">
        <v>0.0</v>
      </c>
      <c r="F583" s="75" t="s">
        <v>996</v>
      </c>
      <c r="G583" s="82">
        <v>46110.0</v>
      </c>
      <c r="H583" s="76" t="s">
        <v>968</v>
      </c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>
      <c r="A584" s="75" t="s">
        <v>966</v>
      </c>
      <c r="B584" s="75" t="s">
        <v>1002</v>
      </c>
      <c r="C584" s="75">
        <v>1.49</v>
      </c>
      <c r="D584" s="75">
        <v>0.0</v>
      </c>
      <c r="E584" s="75">
        <v>0.0</v>
      </c>
      <c r="F584" s="75" t="s">
        <v>996</v>
      </c>
      <c r="G584" s="82">
        <v>46110.0</v>
      </c>
      <c r="H584" s="76" t="s">
        <v>969</v>
      </c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>
      <c r="A585" s="75" t="s">
        <v>36</v>
      </c>
      <c r="B585" s="75" t="s">
        <v>1002</v>
      </c>
      <c r="C585" s="75">
        <v>8.06</v>
      </c>
      <c r="D585" s="75">
        <v>0.0</v>
      </c>
      <c r="E585" s="75">
        <v>0.0</v>
      </c>
      <c r="F585" s="75" t="s">
        <v>996</v>
      </c>
      <c r="G585" s="82">
        <v>46110.0</v>
      </c>
      <c r="H585" s="76" t="s">
        <v>926</v>
      </c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>
      <c r="A586" s="75" t="s">
        <v>36</v>
      </c>
      <c r="B586" s="75" t="s">
        <v>1002</v>
      </c>
      <c r="C586" s="75">
        <v>2.53</v>
      </c>
      <c r="D586" s="75">
        <v>0.0</v>
      </c>
      <c r="E586" s="75">
        <v>0.0</v>
      </c>
      <c r="F586" s="75" t="s">
        <v>996</v>
      </c>
      <c r="G586" s="82">
        <v>46110.0</v>
      </c>
      <c r="H586" s="76" t="s">
        <v>927</v>
      </c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>
      <c r="A587" s="75" t="s">
        <v>36</v>
      </c>
      <c r="B587" s="75" t="s">
        <v>1002</v>
      </c>
      <c r="C587" s="75">
        <v>2.47</v>
      </c>
      <c r="D587" s="75">
        <v>0.0</v>
      </c>
      <c r="E587" s="75">
        <v>0.0</v>
      </c>
      <c r="F587" s="75" t="s">
        <v>996</v>
      </c>
      <c r="G587" s="82">
        <v>46110.0</v>
      </c>
      <c r="H587" s="76" t="s">
        <v>928</v>
      </c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>
      <c r="A588" s="75" t="s">
        <v>970</v>
      </c>
      <c r="B588" s="75" t="s">
        <v>1002</v>
      </c>
      <c r="C588" s="75">
        <v>1.47</v>
      </c>
      <c r="D588" s="75">
        <v>0.0</v>
      </c>
      <c r="E588" s="75">
        <v>0.0</v>
      </c>
      <c r="F588" s="75" t="s">
        <v>996</v>
      </c>
      <c r="G588" s="82">
        <v>46110.0</v>
      </c>
      <c r="H588" s="76" t="s">
        <v>971</v>
      </c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>
      <c r="A589" s="75" t="s">
        <v>970</v>
      </c>
      <c r="B589" s="75" t="s">
        <v>1002</v>
      </c>
      <c r="C589" s="75">
        <v>1.57</v>
      </c>
      <c r="D589" s="75">
        <v>0.0</v>
      </c>
      <c r="E589" s="75">
        <v>0.0</v>
      </c>
      <c r="F589" s="75" t="s">
        <v>996</v>
      </c>
      <c r="G589" s="82">
        <v>46110.0</v>
      </c>
      <c r="H589" s="76" t="s">
        <v>972</v>
      </c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>
      <c r="A590" s="75" t="s">
        <v>970</v>
      </c>
      <c r="B590" s="75" t="s">
        <v>1002</v>
      </c>
      <c r="C590" s="75">
        <v>7.54</v>
      </c>
      <c r="D590" s="75">
        <v>0.0</v>
      </c>
      <c r="E590" s="75">
        <v>0.0</v>
      </c>
      <c r="F590" s="75" t="s">
        <v>996</v>
      </c>
      <c r="G590" s="82">
        <v>46110.0</v>
      </c>
      <c r="H590" s="76" t="s">
        <v>973</v>
      </c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>
      <c r="A591" s="75" t="s">
        <v>34</v>
      </c>
      <c r="B591" s="75" t="s">
        <v>1002</v>
      </c>
      <c r="C591" s="75">
        <v>2.25</v>
      </c>
      <c r="D591" s="75">
        <v>0.0</v>
      </c>
      <c r="E591" s="75">
        <v>0.0</v>
      </c>
      <c r="F591" s="75" t="s">
        <v>997</v>
      </c>
      <c r="G591" s="82">
        <v>46110.0</v>
      </c>
      <c r="H591" s="76" t="s">
        <v>951</v>
      </c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>
      <c r="A592" s="75" t="s">
        <v>34</v>
      </c>
      <c r="B592" s="75" t="s">
        <v>1002</v>
      </c>
      <c r="C592" s="75">
        <v>2.3</v>
      </c>
      <c r="D592" s="75">
        <v>0.0</v>
      </c>
      <c r="E592" s="75">
        <v>0.0</v>
      </c>
      <c r="F592" s="75" t="s">
        <v>997</v>
      </c>
      <c r="G592" s="82">
        <v>46110.0</v>
      </c>
      <c r="H592" s="76" t="s">
        <v>952</v>
      </c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>
      <c r="A593" s="75" t="s">
        <v>34</v>
      </c>
      <c r="B593" s="75" t="s">
        <v>1002</v>
      </c>
      <c r="C593" s="75">
        <v>2.98</v>
      </c>
      <c r="D593" s="75">
        <v>0.0</v>
      </c>
      <c r="E593" s="75">
        <v>0.0</v>
      </c>
      <c r="F593" s="75" t="s">
        <v>997</v>
      </c>
      <c r="G593" s="82">
        <v>46110.0</v>
      </c>
      <c r="H593" s="76" t="s">
        <v>953</v>
      </c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>
      <c r="A594" s="75" t="s">
        <v>40</v>
      </c>
      <c r="B594" s="75" t="s">
        <v>1002</v>
      </c>
      <c r="C594" s="75">
        <v>1.44</v>
      </c>
      <c r="D594" s="75">
        <v>0.0</v>
      </c>
      <c r="E594" s="75">
        <v>0.0</v>
      </c>
      <c r="F594" s="75" t="s">
        <v>997</v>
      </c>
      <c r="G594" s="82">
        <v>46110.0</v>
      </c>
      <c r="H594" s="76" t="s">
        <v>954</v>
      </c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>
      <c r="A595" s="75" t="s">
        <v>40</v>
      </c>
      <c r="B595" s="75" t="s">
        <v>1002</v>
      </c>
      <c r="C595" s="75">
        <v>1.53</v>
      </c>
      <c r="D595" s="75">
        <v>0.0</v>
      </c>
      <c r="E595" s="75">
        <v>0.0</v>
      </c>
      <c r="F595" s="75" t="s">
        <v>997</v>
      </c>
      <c r="G595" s="82">
        <v>46110.0</v>
      </c>
      <c r="H595" s="76" t="s">
        <v>955</v>
      </c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>
      <c r="A596" s="75" t="s">
        <v>40</v>
      </c>
      <c r="B596" s="75" t="s">
        <v>1002</v>
      </c>
      <c r="C596" s="75">
        <v>11.06</v>
      </c>
      <c r="D596" s="75">
        <v>0.0</v>
      </c>
      <c r="E596" s="75">
        <v>0.0</v>
      </c>
      <c r="F596" s="75" t="s">
        <v>997</v>
      </c>
      <c r="G596" s="82">
        <v>46110.0</v>
      </c>
      <c r="H596" s="76" t="s">
        <v>956</v>
      </c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>
      <c r="A597" s="75" t="s">
        <v>33</v>
      </c>
      <c r="B597" s="75" t="s">
        <v>1002</v>
      </c>
      <c r="C597" s="75">
        <v>4.78</v>
      </c>
      <c r="D597" s="75">
        <v>0.0</v>
      </c>
      <c r="E597" s="75">
        <v>0.0</v>
      </c>
      <c r="F597" s="75" t="s">
        <v>997</v>
      </c>
      <c r="G597" s="82">
        <v>46110.0</v>
      </c>
      <c r="H597" s="76" t="s">
        <v>957</v>
      </c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>
      <c r="A598" s="75" t="s">
        <v>33</v>
      </c>
      <c r="B598" s="75" t="s">
        <v>1002</v>
      </c>
      <c r="C598" s="75">
        <v>0.58</v>
      </c>
      <c r="D598" s="75">
        <v>0.0</v>
      </c>
      <c r="E598" s="75">
        <v>0.0</v>
      </c>
      <c r="F598" s="75" t="s">
        <v>997</v>
      </c>
      <c r="G598" s="82">
        <v>46110.0</v>
      </c>
      <c r="H598" s="76" t="s">
        <v>958</v>
      </c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>
      <c r="A599" s="75" t="s">
        <v>33</v>
      </c>
      <c r="B599" s="75" t="s">
        <v>1002</v>
      </c>
      <c r="C599" s="75">
        <v>2.15</v>
      </c>
      <c r="D599" s="75">
        <v>0.0</v>
      </c>
      <c r="E599" s="75">
        <v>0.0</v>
      </c>
      <c r="F599" s="75" t="s">
        <v>997</v>
      </c>
      <c r="G599" s="82">
        <v>46110.0</v>
      </c>
      <c r="H599" s="76" t="s">
        <v>959</v>
      </c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>
      <c r="A600" s="75" t="s">
        <v>46</v>
      </c>
      <c r="B600" s="75" t="s">
        <v>1002</v>
      </c>
      <c r="C600" s="75">
        <v>2.5</v>
      </c>
      <c r="D600" s="75">
        <v>0.0</v>
      </c>
      <c r="E600" s="75">
        <v>0.0</v>
      </c>
      <c r="F600" s="75" t="s">
        <v>997</v>
      </c>
      <c r="G600" s="82">
        <v>46110.0</v>
      </c>
      <c r="H600" s="76" t="s">
        <v>960</v>
      </c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>
      <c r="A601" s="75" t="s">
        <v>46</v>
      </c>
      <c r="B601" s="75" t="s">
        <v>1002</v>
      </c>
      <c r="C601" s="75">
        <v>2.09</v>
      </c>
      <c r="D601" s="75">
        <v>0.0</v>
      </c>
      <c r="E601" s="75">
        <v>0.0</v>
      </c>
      <c r="F601" s="75" t="s">
        <v>997</v>
      </c>
      <c r="G601" s="82">
        <v>46110.0</v>
      </c>
      <c r="H601" s="76" t="s">
        <v>961</v>
      </c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>
      <c r="A602" s="75" t="s">
        <v>46</v>
      </c>
      <c r="B602" s="75" t="s">
        <v>1002</v>
      </c>
      <c r="C602" s="75">
        <v>2.52</v>
      </c>
      <c r="D602" s="75">
        <v>0.0</v>
      </c>
      <c r="E602" s="75">
        <v>0.0</v>
      </c>
      <c r="F602" s="75" t="s">
        <v>997</v>
      </c>
      <c r="G602" s="82">
        <v>46110.0</v>
      </c>
      <c r="H602" s="76" t="s">
        <v>962</v>
      </c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>
      <c r="A603" s="75" t="s">
        <v>43</v>
      </c>
      <c r="B603" s="75" t="s">
        <v>1002</v>
      </c>
      <c r="C603" s="75">
        <v>2.47</v>
      </c>
      <c r="D603" s="75">
        <v>0.0</v>
      </c>
      <c r="E603" s="75">
        <v>0.0</v>
      </c>
      <c r="F603" s="75" t="s">
        <v>997</v>
      </c>
      <c r="G603" s="82">
        <v>46110.0</v>
      </c>
      <c r="H603" s="76" t="s">
        <v>963</v>
      </c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>
      <c r="A604" s="75" t="s">
        <v>43</v>
      </c>
      <c r="B604" s="75" t="s">
        <v>1002</v>
      </c>
      <c r="C604" s="75">
        <v>0.68</v>
      </c>
      <c r="D604" s="75">
        <v>0.0</v>
      </c>
      <c r="E604" s="75">
        <v>0.0</v>
      </c>
      <c r="F604" s="75" t="s">
        <v>997</v>
      </c>
      <c r="G604" s="82">
        <v>46110.0</v>
      </c>
      <c r="H604" s="76" t="s">
        <v>964</v>
      </c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>
      <c r="A605" s="75" t="s">
        <v>43</v>
      </c>
      <c r="B605" s="75" t="s">
        <v>1002</v>
      </c>
      <c r="C605" s="75">
        <v>2.93</v>
      </c>
      <c r="D605" s="75">
        <v>0.0</v>
      </c>
      <c r="E605" s="75">
        <v>0.0</v>
      </c>
      <c r="F605" s="75" t="s">
        <v>997</v>
      </c>
      <c r="G605" s="82">
        <v>46110.0</v>
      </c>
      <c r="H605" s="76" t="s">
        <v>965</v>
      </c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>
      <c r="A606" s="75" t="s">
        <v>966</v>
      </c>
      <c r="B606" s="75" t="s">
        <v>1002</v>
      </c>
      <c r="C606" s="75">
        <v>4.49</v>
      </c>
      <c r="D606" s="75">
        <v>1.0</v>
      </c>
      <c r="E606" s="75">
        <v>4.49</v>
      </c>
      <c r="F606" s="75" t="s">
        <v>997</v>
      </c>
      <c r="G606" s="82">
        <v>46110.0</v>
      </c>
      <c r="H606" s="76" t="s">
        <v>967</v>
      </c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>
      <c r="A607" s="75" t="s">
        <v>966</v>
      </c>
      <c r="B607" s="75" t="s">
        <v>1002</v>
      </c>
      <c r="C607" s="75">
        <v>1.95</v>
      </c>
      <c r="D607" s="75">
        <v>0.0</v>
      </c>
      <c r="E607" s="75">
        <v>0.0</v>
      </c>
      <c r="F607" s="75" t="s">
        <v>997</v>
      </c>
      <c r="G607" s="82">
        <v>46110.0</v>
      </c>
      <c r="H607" s="76" t="s">
        <v>968</v>
      </c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>
      <c r="A608" s="75" t="s">
        <v>966</v>
      </c>
      <c r="B608" s="75" t="s">
        <v>1002</v>
      </c>
      <c r="C608" s="75">
        <v>1.22</v>
      </c>
      <c r="D608" s="75">
        <v>0.0</v>
      </c>
      <c r="E608" s="75">
        <v>0.0</v>
      </c>
      <c r="F608" s="75" t="s">
        <v>997</v>
      </c>
      <c r="G608" s="82">
        <v>46110.0</v>
      </c>
      <c r="H608" s="76" t="s">
        <v>969</v>
      </c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>
      <c r="A609" s="75" t="s">
        <v>36</v>
      </c>
      <c r="B609" s="75" t="s">
        <v>1002</v>
      </c>
      <c r="C609" s="75">
        <v>5.42</v>
      </c>
      <c r="D609" s="75">
        <v>0.0</v>
      </c>
      <c r="E609" s="75">
        <v>0.0</v>
      </c>
      <c r="F609" s="75" t="s">
        <v>997</v>
      </c>
      <c r="G609" s="82">
        <v>46110.0</v>
      </c>
      <c r="H609" s="76" t="s">
        <v>926</v>
      </c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>
      <c r="A610" s="75" t="s">
        <v>36</v>
      </c>
      <c r="B610" s="75" t="s">
        <v>1002</v>
      </c>
      <c r="C610" s="75">
        <v>1.61</v>
      </c>
      <c r="D610" s="75">
        <v>0.0</v>
      </c>
      <c r="E610" s="75">
        <v>0.0</v>
      </c>
      <c r="F610" s="75" t="s">
        <v>997</v>
      </c>
      <c r="G610" s="82">
        <v>46110.0</v>
      </c>
      <c r="H610" s="76" t="s">
        <v>927</v>
      </c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>
      <c r="A611" s="75" t="s">
        <v>36</v>
      </c>
      <c r="B611" s="75" t="s">
        <v>1002</v>
      </c>
      <c r="C611" s="75">
        <v>1.81</v>
      </c>
      <c r="D611" s="75">
        <v>0.0</v>
      </c>
      <c r="E611" s="75">
        <v>0.0</v>
      </c>
      <c r="F611" s="75" t="s">
        <v>997</v>
      </c>
      <c r="G611" s="82">
        <v>46110.0</v>
      </c>
      <c r="H611" s="76" t="s">
        <v>928</v>
      </c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>
      <c r="A612" s="75" t="s">
        <v>970</v>
      </c>
      <c r="B612" s="75" t="s">
        <v>1002</v>
      </c>
      <c r="C612" s="75">
        <v>1.25</v>
      </c>
      <c r="D612" s="75">
        <v>0.0</v>
      </c>
      <c r="E612" s="75">
        <v>0.0</v>
      </c>
      <c r="F612" s="75" t="s">
        <v>997</v>
      </c>
      <c r="G612" s="82">
        <v>46110.0</v>
      </c>
      <c r="H612" s="76" t="s">
        <v>971</v>
      </c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>
      <c r="A613" s="75" t="s">
        <v>970</v>
      </c>
      <c r="B613" s="75" t="s">
        <v>1002</v>
      </c>
      <c r="C613" s="75">
        <v>1.17</v>
      </c>
      <c r="D613" s="75">
        <v>0.0</v>
      </c>
      <c r="E613" s="75">
        <v>0.0</v>
      </c>
      <c r="F613" s="75" t="s">
        <v>997</v>
      </c>
      <c r="G613" s="82">
        <v>46110.0</v>
      </c>
      <c r="H613" s="76" t="s">
        <v>972</v>
      </c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>
      <c r="A614" s="75" t="s">
        <v>970</v>
      </c>
      <c r="B614" s="75" t="s">
        <v>1002</v>
      </c>
      <c r="C614" s="75">
        <v>6.75</v>
      </c>
      <c r="D614" s="75">
        <v>0.0</v>
      </c>
      <c r="E614" s="75">
        <v>0.0</v>
      </c>
      <c r="F614" s="75" t="s">
        <v>997</v>
      </c>
      <c r="G614" s="82">
        <v>46110.0</v>
      </c>
      <c r="H614" s="76" t="s">
        <v>973</v>
      </c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>
      <c r="A615" s="75" t="s">
        <v>34</v>
      </c>
      <c r="B615" s="75" t="s">
        <v>1002</v>
      </c>
      <c r="C615" s="75">
        <v>0.99</v>
      </c>
      <c r="D615" s="75">
        <v>0.0</v>
      </c>
      <c r="E615" s="75">
        <v>0.0</v>
      </c>
      <c r="F615" s="75" t="s">
        <v>998</v>
      </c>
      <c r="G615" s="82">
        <v>46110.0</v>
      </c>
      <c r="H615" s="76" t="s">
        <v>952</v>
      </c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>
      <c r="A616" s="75" t="s">
        <v>40</v>
      </c>
      <c r="B616" s="75" t="s">
        <v>1002</v>
      </c>
      <c r="C616" s="75">
        <v>0.43</v>
      </c>
      <c r="D616" s="75">
        <v>0.0</v>
      </c>
      <c r="E616" s="75">
        <v>0.0</v>
      </c>
      <c r="F616" s="75" t="s">
        <v>998</v>
      </c>
      <c r="G616" s="82">
        <v>46110.0</v>
      </c>
      <c r="H616" s="76" t="s">
        <v>955</v>
      </c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>
      <c r="A617" s="75" t="s">
        <v>33</v>
      </c>
      <c r="B617" s="75" t="s">
        <v>1002</v>
      </c>
      <c r="C617" s="75">
        <v>0.0</v>
      </c>
      <c r="D617" s="75">
        <v>0.0</v>
      </c>
      <c r="E617" s="75">
        <v>0.0</v>
      </c>
      <c r="F617" s="75" t="s">
        <v>998</v>
      </c>
      <c r="G617" s="82">
        <v>46110.0</v>
      </c>
      <c r="H617" s="76" t="s">
        <v>958</v>
      </c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>
      <c r="A618" s="75" t="s">
        <v>33</v>
      </c>
      <c r="B618" s="75" t="s">
        <v>1002</v>
      </c>
      <c r="C618" s="75">
        <v>0.92</v>
      </c>
      <c r="D618" s="75">
        <v>0.0</v>
      </c>
      <c r="E618" s="75">
        <v>0.0</v>
      </c>
      <c r="F618" s="75" t="s">
        <v>998</v>
      </c>
      <c r="G618" s="82">
        <v>46110.0</v>
      </c>
      <c r="H618" s="76" t="s">
        <v>959</v>
      </c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>
      <c r="A619" s="75" t="s">
        <v>46</v>
      </c>
      <c r="B619" s="75" t="s">
        <v>1002</v>
      </c>
      <c r="C619" s="75">
        <v>0.0</v>
      </c>
      <c r="D619" s="75">
        <v>0.0</v>
      </c>
      <c r="E619" s="75">
        <v>0.0</v>
      </c>
      <c r="F619" s="75" t="s">
        <v>998</v>
      </c>
      <c r="G619" s="82">
        <v>46110.0</v>
      </c>
      <c r="H619" s="76" t="s">
        <v>961</v>
      </c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>
      <c r="A620" s="75" t="s">
        <v>46</v>
      </c>
      <c r="B620" s="75" t="s">
        <v>1002</v>
      </c>
      <c r="C620" s="75">
        <v>0.85</v>
      </c>
      <c r="D620" s="75">
        <v>0.0</v>
      </c>
      <c r="E620" s="75">
        <v>0.0</v>
      </c>
      <c r="F620" s="75" t="s">
        <v>998</v>
      </c>
      <c r="G620" s="82">
        <v>46110.0</v>
      </c>
      <c r="H620" s="76" t="s">
        <v>962</v>
      </c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>
      <c r="A621" s="75" t="s">
        <v>43</v>
      </c>
      <c r="B621" s="75" t="s">
        <v>1002</v>
      </c>
      <c r="C621" s="75">
        <v>0.24</v>
      </c>
      <c r="D621" s="75">
        <v>0.0</v>
      </c>
      <c r="E621" s="75">
        <v>0.0</v>
      </c>
      <c r="F621" s="75" t="s">
        <v>998</v>
      </c>
      <c r="G621" s="82">
        <v>46110.0</v>
      </c>
      <c r="H621" s="76" t="s">
        <v>963</v>
      </c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>
      <c r="A622" s="75" t="s">
        <v>966</v>
      </c>
      <c r="B622" s="75" t="s">
        <v>1002</v>
      </c>
      <c r="C622" s="75">
        <v>0.93</v>
      </c>
      <c r="D622" s="75">
        <v>0.0</v>
      </c>
      <c r="E622" s="75">
        <v>0.0</v>
      </c>
      <c r="F622" s="75" t="s">
        <v>998</v>
      </c>
      <c r="G622" s="82">
        <v>46110.0</v>
      </c>
      <c r="H622" s="76" t="s">
        <v>968</v>
      </c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>
      <c r="A623" s="75" t="s">
        <v>36</v>
      </c>
      <c r="B623" s="75" t="s">
        <v>1002</v>
      </c>
      <c r="C623" s="75">
        <v>0.0</v>
      </c>
      <c r="D623" s="75">
        <v>0.0</v>
      </c>
      <c r="E623" s="75">
        <v>0.0</v>
      </c>
      <c r="F623" s="75" t="s">
        <v>998</v>
      </c>
      <c r="G623" s="82">
        <v>46110.0</v>
      </c>
      <c r="H623" s="76" t="s">
        <v>927</v>
      </c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>
      <c r="A624" s="75" t="s">
        <v>36</v>
      </c>
      <c r="B624" s="75" t="s">
        <v>1002</v>
      </c>
      <c r="C624" s="75">
        <v>0.52</v>
      </c>
      <c r="D624" s="75">
        <v>0.0</v>
      </c>
      <c r="E624" s="75">
        <v>0.0</v>
      </c>
      <c r="F624" s="75" t="s">
        <v>998</v>
      </c>
      <c r="G624" s="82">
        <v>46110.0</v>
      </c>
      <c r="H624" s="76" t="s">
        <v>928</v>
      </c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>
      <c r="A625" s="75" t="s">
        <v>970</v>
      </c>
      <c r="B625" s="75" t="s">
        <v>1002</v>
      </c>
      <c r="C625" s="75">
        <v>0.0</v>
      </c>
      <c r="D625" s="75">
        <v>0.0</v>
      </c>
      <c r="E625" s="75">
        <v>0.0</v>
      </c>
      <c r="F625" s="75" t="s">
        <v>998</v>
      </c>
      <c r="G625" s="82">
        <v>46110.0</v>
      </c>
      <c r="H625" s="76" t="s">
        <v>971</v>
      </c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>
      <c r="A626" s="75" t="s">
        <v>970</v>
      </c>
      <c r="B626" s="75" t="s">
        <v>1002</v>
      </c>
      <c r="C626" s="75">
        <v>0.5</v>
      </c>
      <c r="D626" s="75">
        <v>0.0</v>
      </c>
      <c r="E626" s="75">
        <v>0.0</v>
      </c>
      <c r="F626" s="75" t="s">
        <v>998</v>
      </c>
      <c r="G626" s="82">
        <v>46110.0</v>
      </c>
      <c r="H626" s="76" t="s">
        <v>972</v>
      </c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>
      <c r="A627" s="75" t="s">
        <v>54</v>
      </c>
      <c r="B627" s="75" t="s">
        <v>1003</v>
      </c>
      <c r="C627" s="75">
        <v>3.94</v>
      </c>
      <c r="D627" s="75">
        <v>0.0</v>
      </c>
      <c r="E627" s="75">
        <v>0.0</v>
      </c>
      <c r="F627" s="75" t="s">
        <v>990</v>
      </c>
      <c r="G627" s="82">
        <v>46110.0</v>
      </c>
      <c r="H627" s="76" t="s">
        <v>977</v>
      </c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>
      <c r="A628" s="75" t="s">
        <v>54</v>
      </c>
      <c r="B628" s="75" t="s">
        <v>1003</v>
      </c>
      <c r="C628" s="75">
        <v>2.37</v>
      </c>
      <c r="D628" s="75">
        <v>0.0</v>
      </c>
      <c r="E628" s="75">
        <v>0.0</v>
      </c>
      <c r="F628" s="75" t="s">
        <v>990</v>
      </c>
      <c r="G628" s="82">
        <v>46110.0</v>
      </c>
      <c r="H628" s="76" t="s">
        <v>978</v>
      </c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>
      <c r="A629" s="75" t="s">
        <v>54</v>
      </c>
      <c r="B629" s="75" t="s">
        <v>1003</v>
      </c>
      <c r="C629" s="75">
        <v>2.05</v>
      </c>
      <c r="D629" s="75">
        <v>0.0</v>
      </c>
      <c r="E629" s="75">
        <v>0.0</v>
      </c>
      <c r="F629" s="75" t="s">
        <v>990</v>
      </c>
      <c r="G629" s="82">
        <v>46110.0</v>
      </c>
      <c r="H629" s="76" t="s">
        <v>979</v>
      </c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>
      <c r="A630" s="75" t="s">
        <v>55</v>
      </c>
      <c r="B630" s="75" t="s">
        <v>1003</v>
      </c>
      <c r="C630" s="75">
        <v>2.44</v>
      </c>
      <c r="D630" s="75">
        <v>0.0</v>
      </c>
      <c r="E630" s="75">
        <v>0.0</v>
      </c>
      <c r="F630" s="75" t="s">
        <v>990</v>
      </c>
      <c r="G630" s="82">
        <v>46110.0</v>
      </c>
      <c r="H630" s="76" t="s">
        <v>980</v>
      </c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>
      <c r="A631" s="75" t="s">
        <v>55</v>
      </c>
      <c r="B631" s="75" t="s">
        <v>1003</v>
      </c>
      <c r="C631" s="75">
        <v>5.92</v>
      </c>
      <c r="D631" s="75">
        <v>0.0</v>
      </c>
      <c r="E631" s="75">
        <v>0.0</v>
      </c>
      <c r="F631" s="75" t="s">
        <v>990</v>
      </c>
      <c r="G631" s="82">
        <v>46110.0</v>
      </c>
      <c r="H631" s="76" t="s">
        <v>981</v>
      </c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>
      <c r="A632" s="75" t="s">
        <v>53</v>
      </c>
      <c r="B632" s="75" t="s">
        <v>1003</v>
      </c>
      <c r="C632" s="75">
        <v>4.27</v>
      </c>
      <c r="D632" s="75">
        <v>0.0</v>
      </c>
      <c r="E632" s="75">
        <v>0.0</v>
      </c>
      <c r="F632" s="75" t="s">
        <v>990</v>
      </c>
      <c r="G632" s="82">
        <v>46110.0</v>
      </c>
      <c r="H632" s="76" t="s">
        <v>982</v>
      </c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>
      <c r="A633" s="75" t="s">
        <v>53</v>
      </c>
      <c r="B633" s="75" t="s">
        <v>1003</v>
      </c>
      <c r="C633" s="75">
        <v>1.04</v>
      </c>
      <c r="D633" s="75">
        <v>0.0</v>
      </c>
      <c r="E633" s="75">
        <v>0.0</v>
      </c>
      <c r="F633" s="75" t="s">
        <v>990</v>
      </c>
      <c r="G633" s="82">
        <v>46110.0</v>
      </c>
      <c r="H633" s="76" t="s">
        <v>983</v>
      </c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>
      <c r="A634" s="75" t="s">
        <v>53</v>
      </c>
      <c r="B634" s="75" t="s">
        <v>1003</v>
      </c>
      <c r="C634" s="75">
        <v>1.21</v>
      </c>
      <c r="D634" s="75">
        <v>0.0</v>
      </c>
      <c r="E634" s="75">
        <v>0.0</v>
      </c>
      <c r="F634" s="75" t="s">
        <v>990</v>
      </c>
      <c r="G634" s="82">
        <v>46110.0</v>
      </c>
      <c r="H634" s="76" t="s">
        <v>984</v>
      </c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>
      <c r="A635" s="75" t="s">
        <v>985</v>
      </c>
      <c r="B635" s="75" t="s">
        <v>1003</v>
      </c>
      <c r="C635" s="75">
        <v>1.99</v>
      </c>
      <c r="D635" s="75">
        <v>0.0</v>
      </c>
      <c r="E635" s="75">
        <v>0.0</v>
      </c>
      <c r="F635" s="75" t="s">
        <v>990</v>
      </c>
      <c r="G635" s="82">
        <v>46110.0</v>
      </c>
      <c r="H635" s="76" t="s">
        <v>936</v>
      </c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>
      <c r="A636" s="75" t="s">
        <v>985</v>
      </c>
      <c r="B636" s="75" t="s">
        <v>1003</v>
      </c>
      <c r="C636" s="75">
        <v>1.41</v>
      </c>
      <c r="D636" s="75">
        <v>0.0</v>
      </c>
      <c r="E636" s="75">
        <v>0.0</v>
      </c>
      <c r="F636" s="75" t="s">
        <v>990</v>
      </c>
      <c r="G636" s="82">
        <v>46110.0</v>
      </c>
      <c r="H636" s="76" t="s">
        <v>937</v>
      </c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>
      <c r="A637" s="75" t="s">
        <v>985</v>
      </c>
      <c r="B637" s="75" t="s">
        <v>1003</v>
      </c>
      <c r="C637" s="75">
        <v>2.63</v>
      </c>
      <c r="D637" s="75">
        <v>0.0</v>
      </c>
      <c r="E637" s="75">
        <v>0.0</v>
      </c>
      <c r="F637" s="75" t="s">
        <v>990</v>
      </c>
      <c r="G637" s="82">
        <v>46110.0</v>
      </c>
      <c r="H637" s="76" t="s">
        <v>938</v>
      </c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>
      <c r="A638" s="75" t="s">
        <v>51</v>
      </c>
      <c r="B638" s="75" t="s">
        <v>1003</v>
      </c>
      <c r="C638" s="75">
        <v>8.24</v>
      </c>
      <c r="D638" s="75">
        <v>0.0</v>
      </c>
      <c r="E638" s="75">
        <v>0.0</v>
      </c>
      <c r="F638" s="75" t="s">
        <v>990</v>
      </c>
      <c r="G638" s="82">
        <v>46110.0</v>
      </c>
      <c r="H638" s="76" t="s">
        <v>986</v>
      </c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>
      <c r="A639" s="75" t="s">
        <v>51</v>
      </c>
      <c r="B639" s="75" t="s">
        <v>1003</v>
      </c>
      <c r="C639" s="75">
        <v>1.96</v>
      </c>
      <c r="D639" s="75">
        <v>0.0</v>
      </c>
      <c r="E639" s="75">
        <v>0.0</v>
      </c>
      <c r="F639" s="75" t="s">
        <v>990</v>
      </c>
      <c r="G639" s="82">
        <v>46110.0</v>
      </c>
      <c r="H639" s="76" t="s">
        <v>987</v>
      </c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>
      <c r="A640" s="75" t="s">
        <v>54</v>
      </c>
      <c r="B640" s="75" t="s">
        <v>1003</v>
      </c>
      <c r="C640" s="75">
        <v>8.11</v>
      </c>
      <c r="D640" s="75">
        <v>0.0</v>
      </c>
      <c r="E640" s="75">
        <v>0.0</v>
      </c>
      <c r="F640" s="75" t="s">
        <v>993</v>
      </c>
      <c r="G640" s="82">
        <v>46110.0</v>
      </c>
      <c r="H640" s="76" t="s">
        <v>977</v>
      </c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>
      <c r="A641" s="75" t="s">
        <v>54</v>
      </c>
      <c r="B641" s="75" t="s">
        <v>1003</v>
      </c>
      <c r="C641" s="75">
        <v>4.58</v>
      </c>
      <c r="D641" s="75">
        <v>0.0</v>
      </c>
      <c r="E641" s="75">
        <v>0.0</v>
      </c>
      <c r="F641" s="75" t="s">
        <v>993</v>
      </c>
      <c r="G641" s="82">
        <v>46110.0</v>
      </c>
      <c r="H641" s="76" t="s">
        <v>978</v>
      </c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>
      <c r="A642" s="75" t="s">
        <v>54</v>
      </c>
      <c r="B642" s="75" t="s">
        <v>1003</v>
      </c>
      <c r="C642" s="75">
        <v>4.09</v>
      </c>
      <c r="D642" s="75">
        <v>0.0</v>
      </c>
      <c r="E642" s="75">
        <v>0.0</v>
      </c>
      <c r="F642" s="75" t="s">
        <v>993</v>
      </c>
      <c r="G642" s="82">
        <v>46110.0</v>
      </c>
      <c r="H642" s="76" t="s">
        <v>979</v>
      </c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>
      <c r="A643" s="75" t="s">
        <v>55</v>
      </c>
      <c r="B643" s="75" t="s">
        <v>1003</v>
      </c>
      <c r="C643" s="75">
        <v>4.14</v>
      </c>
      <c r="D643" s="75">
        <v>0.0</v>
      </c>
      <c r="E643" s="75">
        <v>0.0</v>
      </c>
      <c r="F643" s="75" t="s">
        <v>993</v>
      </c>
      <c r="G643" s="82">
        <v>46110.0</v>
      </c>
      <c r="H643" s="76" t="s">
        <v>980</v>
      </c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>
      <c r="A644" s="75" t="s">
        <v>55</v>
      </c>
      <c r="B644" s="75" t="s">
        <v>1003</v>
      </c>
      <c r="C644" s="75">
        <v>10.32</v>
      </c>
      <c r="D644" s="75">
        <v>0.0</v>
      </c>
      <c r="E644" s="75">
        <v>0.0</v>
      </c>
      <c r="F644" s="75" t="s">
        <v>993</v>
      </c>
      <c r="G644" s="82">
        <v>46110.0</v>
      </c>
      <c r="H644" s="76" t="s">
        <v>981</v>
      </c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>
      <c r="A645" s="75" t="s">
        <v>53</v>
      </c>
      <c r="B645" s="75" t="s">
        <v>1003</v>
      </c>
      <c r="C645" s="75">
        <v>8.73</v>
      </c>
      <c r="D645" s="75">
        <v>0.0</v>
      </c>
      <c r="E645" s="75">
        <v>0.0</v>
      </c>
      <c r="F645" s="75" t="s">
        <v>993</v>
      </c>
      <c r="G645" s="82">
        <v>46110.0</v>
      </c>
      <c r="H645" s="76" t="s">
        <v>982</v>
      </c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>
      <c r="A646" s="75" t="s">
        <v>53</v>
      </c>
      <c r="B646" s="75" t="s">
        <v>1003</v>
      </c>
      <c r="C646" s="75">
        <v>1.81</v>
      </c>
      <c r="D646" s="75">
        <v>0.0</v>
      </c>
      <c r="E646" s="75">
        <v>0.0</v>
      </c>
      <c r="F646" s="75" t="s">
        <v>993</v>
      </c>
      <c r="G646" s="82">
        <v>46110.0</v>
      </c>
      <c r="H646" s="76" t="s">
        <v>983</v>
      </c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>
      <c r="A647" s="75" t="s">
        <v>53</v>
      </c>
      <c r="B647" s="75" t="s">
        <v>1003</v>
      </c>
      <c r="C647" s="75">
        <v>1.87</v>
      </c>
      <c r="D647" s="75">
        <v>0.0</v>
      </c>
      <c r="E647" s="75">
        <v>0.0</v>
      </c>
      <c r="F647" s="75" t="s">
        <v>993</v>
      </c>
      <c r="G647" s="82">
        <v>46110.0</v>
      </c>
      <c r="H647" s="76" t="s">
        <v>984</v>
      </c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>
      <c r="A648" s="75" t="s">
        <v>985</v>
      </c>
      <c r="B648" s="75" t="s">
        <v>1003</v>
      </c>
      <c r="C648" s="75">
        <v>3.45</v>
      </c>
      <c r="D648" s="75">
        <v>0.0</v>
      </c>
      <c r="E648" s="75">
        <v>0.0</v>
      </c>
      <c r="F648" s="75" t="s">
        <v>993</v>
      </c>
      <c r="G648" s="82">
        <v>46110.0</v>
      </c>
      <c r="H648" s="76" t="s">
        <v>936</v>
      </c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>
      <c r="A649" s="75" t="s">
        <v>985</v>
      </c>
      <c r="B649" s="75" t="s">
        <v>1003</v>
      </c>
      <c r="C649" s="75">
        <v>2.21</v>
      </c>
      <c r="D649" s="75">
        <v>0.0</v>
      </c>
      <c r="E649" s="75">
        <v>0.0</v>
      </c>
      <c r="F649" s="75" t="s">
        <v>993</v>
      </c>
      <c r="G649" s="82">
        <v>46110.0</v>
      </c>
      <c r="H649" s="76" t="s">
        <v>937</v>
      </c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>
      <c r="A650" s="75" t="s">
        <v>985</v>
      </c>
      <c r="B650" s="75" t="s">
        <v>1003</v>
      </c>
      <c r="C650" s="75">
        <v>5.16</v>
      </c>
      <c r="D650" s="75">
        <v>0.0</v>
      </c>
      <c r="E650" s="75">
        <v>0.0</v>
      </c>
      <c r="F650" s="75" t="s">
        <v>993</v>
      </c>
      <c r="G650" s="82">
        <v>46110.0</v>
      </c>
      <c r="H650" s="76" t="s">
        <v>938</v>
      </c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>
      <c r="A651" s="75" t="s">
        <v>51</v>
      </c>
      <c r="B651" s="75" t="s">
        <v>1003</v>
      </c>
      <c r="C651" s="75">
        <v>18.11</v>
      </c>
      <c r="D651" s="75">
        <v>0.0</v>
      </c>
      <c r="E651" s="75">
        <v>0.0</v>
      </c>
      <c r="F651" s="75" t="s">
        <v>993</v>
      </c>
      <c r="G651" s="82">
        <v>46110.0</v>
      </c>
      <c r="H651" s="76" t="s">
        <v>986</v>
      </c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>
      <c r="A652" s="75" t="s">
        <v>51</v>
      </c>
      <c r="B652" s="75" t="s">
        <v>1003</v>
      </c>
      <c r="C652" s="75">
        <v>3.66</v>
      </c>
      <c r="D652" s="75">
        <v>0.0</v>
      </c>
      <c r="E652" s="75">
        <v>0.0</v>
      </c>
      <c r="F652" s="75" t="s">
        <v>993</v>
      </c>
      <c r="G652" s="82">
        <v>46110.0</v>
      </c>
      <c r="H652" s="76" t="s">
        <v>987</v>
      </c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>
      <c r="A653" s="75" t="s">
        <v>54</v>
      </c>
      <c r="B653" s="75" t="s">
        <v>1003</v>
      </c>
      <c r="C653" s="75">
        <v>14.11</v>
      </c>
      <c r="D653" s="75">
        <v>0.0</v>
      </c>
      <c r="E653" s="75">
        <v>0.0</v>
      </c>
      <c r="F653" s="75" t="s">
        <v>994</v>
      </c>
      <c r="G653" s="82">
        <v>46110.0</v>
      </c>
      <c r="H653" s="76" t="s">
        <v>977</v>
      </c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>
      <c r="A654" s="75" t="s">
        <v>54</v>
      </c>
      <c r="B654" s="75" t="s">
        <v>1003</v>
      </c>
      <c r="C654" s="75">
        <v>12.54</v>
      </c>
      <c r="D654" s="75">
        <v>0.0</v>
      </c>
      <c r="E654" s="75">
        <v>0.0</v>
      </c>
      <c r="F654" s="75" t="s">
        <v>994</v>
      </c>
      <c r="G654" s="82">
        <v>46110.0</v>
      </c>
      <c r="H654" s="76" t="s">
        <v>978</v>
      </c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>
      <c r="A655" s="75" t="s">
        <v>54</v>
      </c>
      <c r="B655" s="75" t="s">
        <v>1003</v>
      </c>
      <c r="C655" s="75">
        <v>11.96</v>
      </c>
      <c r="D655" s="75">
        <v>2.0</v>
      </c>
      <c r="E655" s="75">
        <v>5.98</v>
      </c>
      <c r="F655" s="75" t="s">
        <v>994</v>
      </c>
      <c r="G655" s="82">
        <v>46110.0</v>
      </c>
      <c r="H655" s="76" t="s">
        <v>979</v>
      </c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>
      <c r="A656" s="75" t="s">
        <v>55</v>
      </c>
      <c r="B656" s="75" t="s">
        <v>1003</v>
      </c>
      <c r="C656" s="75">
        <v>10.33</v>
      </c>
      <c r="D656" s="75">
        <v>0.0</v>
      </c>
      <c r="E656" s="75">
        <v>0.0</v>
      </c>
      <c r="F656" s="75" t="s">
        <v>994</v>
      </c>
      <c r="G656" s="82">
        <v>46110.0</v>
      </c>
      <c r="H656" s="76" t="s">
        <v>980</v>
      </c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>
      <c r="A657" s="75" t="s">
        <v>55</v>
      </c>
      <c r="B657" s="75" t="s">
        <v>1003</v>
      </c>
      <c r="C657" s="75">
        <v>18.31</v>
      </c>
      <c r="D657" s="75">
        <v>0.0</v>
      </c>
      <c r="E657" s="75">
        <v>0.0</v>
      </c>
      <c r="F657" s="75" t="s">
        <v>994</v>
      </c>
      <c r="G657" s="82">
        <v>46110.0</v>
      </c>
      <c r="H657" s="76" t="s">
        <v>981</v>
      </c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>
      <c r="A658" s="75" t="s">
        <v>53</v>
      </c>
      <c r="B658" s="75" t="s">
        <v>1003</v>
      </c>
      <c r="C658" s="75">
        <v>18.8</v>
      </c>
      <c r="D658" s="75">
        <v>0.0</v>
      </c>
      <c r="E658" s="75">
        <v>0.0</v>
      </c>
      <c r="F658" s="75" t="s">
        <v>994</v>
      </c>
      <c r="G658" s="82">
        <v>46110.0</v>
      </c>
      <c r="H658" s="76" t="s">
        <v>982</v>
      </c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>
      <c r="A659" s="75" t="s">
        <v>53</v>
      </c>
      <c r="B659" s="75" t="s">
        <v>1003</v>
      </c>
      <c r="C659" s="75">
        <v>6.65</v>
      </c>
      <c r="D659" s="75">
        <v>0.0</v>
      </c>
      <c r="E659" s="75">
        <v>0.0</v>
      </c>
      <c r="F659" s="75" t="s">
        <v>994</v>
      </c>
      <c r="G659" s="82">
        <v>46110.0</v>
      </c>
      <c r="H659" s="76" t="s">
        <v>983</v>
      </c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>
      <c r="A660" s="75" t="s">
        <v>53</v>
      </c>
      <c r="B660" s="75" t="s">
        <v>1003</v>
      </c>
      <c r="C660" s="75">
        <v>4.54</v>
      </c>
      <c r="D660" s="75">
        <v>0.0</v>
      </c>
      <c r="E660" s="75">
        <v>0.0</v>
      </c>
      <c r="F660" s="75" t="s">
        <v>994</v>
      </c>
      <c r="G660" s="82">
        <v>46110.0</v>
      </c>
      <c r="H660" s="76" t="s">
        <v>984</v>
      </c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>
      <c r="A661" s="75" t="s">
        <v>985</v>
      </c>
      <c r="B661" s="75" t="s">
        <v>1003</v>
      </c>
      <c r="C661" s="75">
        <v>12.45</v>
      </c>
      <c r="D661" s="75">
        <v>0.0</v>
      </c>
      <c r="E661" s="75">
        <v>0.0</v>
      </c>
      <c r="F661" s="75" t="s">
        <v>994</v>
      </c>
      <c r="G661" s="82">
        <v>46110.0</v>
      </c>
      <c r="H661" s="76" t="s">
        <v>936</v>
      </c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>
      <c r="A662" s="75" t="s">
        <v>985</v>
      </c>
      <c r="B662" s="75" t="s">
        <v>1003</v>
      </c>
      <c r="C662" s="75">
        <v>5.72</v>
      </c>
      <c r="D662" s="75">
        <v>0.0</v>
      </c>
      <c r="E662" s="75">
        <v>0.0</v>
      </c>
      <c r="F662" s="75" t="s">
        <v>994</v>
      </c>
      <c r="G662" s="82">
        <v>46110.0</v>
      </c>
      <c r="H662" s="76" t="s">
        <v>937</v>
      </c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>
      <c r="A663" s="75" t="s">
        <v>985</v>
      </c>
      <c r="B663" s="75" t="s">
        <v>1003</v>
      </c>
      <c r="C663" s="75">
        <v>12.42</v>
      </c>
      <c r="D663" s="75">
        <v>0.0</v>
      </c>
      <c r="E663" s="75">
        <v>0.0</v>
      </c>
      <c r="F663" s="75" t="s">
        <v>994</v>
      </c>
      <c r="G663" s="82">
        <v>46110.0</v>
      </c>
      <c r="H663" s="76" t="s">
        <v>938</v>
      </c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>
      <c r="A664" s="75" t="s">
        <v>51</v>
      </c>
      <c r="B664" s="75" t="s">
        <v>1003</v>
      </c>
      <c r="C664" s="75">
        <v>30.76</v>
      </c>
      <c r="D664" s="75">
        <v>0.0</v>
      </c>
      <c r="E664" s="75">
        <v>0.0</v>
      </c>
      <c r="F664" s="75" t="s">
        <v>994</v>
      </c>
      <c r="G664" s="82">
        <v>46110.0</v>
      </c>
      <c r="H664" s="76" t="s">
        <v>986</v>
      </c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>
      <c r="A665" s="75" t="s">
        <v>51</v>
      </c>
      <c r="B665" s="75" t="s">
        <v>1003</v>
      </c>
      <c r="C665" s="75">
        <v>8.77</v>
      </c>
      <c r="D665" s="75">
        <v>0.0</v>
      </c>
      <c r="E665" s="75">
        <v>0.0</v>
      </c>
      <c r="F665" s="75" t="s">
        <v>994</v>
      </c>
      <c r="G665" s="82">
        <v>46110.0</v>
      </c>
      <c r="H665" s="76" t="s">
        <v>987</v>
      </c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>
      <c r="A666" s="75" t="s">
        <v>54</v>
      </c>
      <c r="B666" s="75" t="s">
        <v>1003</v>
      </c>
      <c r="C666" s="75">
        <v>6.8</v>
      </c>
      <c r="D666" s="75">
        <v>0.0</v>
      </c>
      <c r="E666" s="75">
        <v>0.0</v>
      </c>
      <c r="F666" s="75" t="s">
        <v>995</v>
      </c>
      <c r="G666" s="82">
        <v>46110.0</v>
      </c>
      <c r="H666" s="76" t="s">
        <v>977</v>
      </c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>
      <c r="A667" s="75" t="s">
        <v>54</v>
      </c>
      <c r="B667" s="75" t="s">
        <v>1003</v>
      </c>
      <c r="C667" s="75">
        <v>5.29</v>
      </c>
      <c r="D667" s="75">
        <v>0.0</v>
      </c>
      <c r="E667" s="75">
        <v>0.0</v>
      </c>
      <c r="F667" s="75" t="s">
        <v>995</v>
      </c>
      <c r="G667" s="82">
        <v>46110.0</v>
      </c>
      <c r="H667" s="76" t="s">
        <v>978</v>
      </c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>
      <c r="A668" s="75" t="s">
        <v>54</v>
      </c>
      <c r="B668" s="75" t="s">
        <v>1003</v>
      </c>
      <c r="C668" s="75">
        <v>4.6</v>
      </c>
      <c r="D668" s="75">
        <v>0.0</v>
      </c>
      <c r="E668" s="75">
        <v>0.0</v>
      </c>
      <c r="F668" s="75" t="s">
        <v>995</v>
      </c>
      <c r="G668" s="82">
        <v>46110.0</v>
      </c>
      <c r="H668" s="76" t="s">
        <v>979</v>
      </c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>
      <c r="A669" s="75" t="s">
        <v>55</v>
      </c>
      <c r="B669" s="75" t="s">
        <v>1003</v>
      </c>
      <c r="C669" s="75">
        <v>5.14</v>
      </c>
      <c r="D669" s="75">
        <v>0.0</v>
      </c>
      <c r="E669" s="75">
        <v>0.0</v>
      </c>
      <c r="F669" s="75" t="s">
        <v>995</v>
      </c>
      <c r="G669" s="82">
        <v>46110.0</v>
      </c>
      <c r="H669" s="76" t="s">
        <v>980</v>
      </c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>
      <c r="A670" s="75" t="s">
        <v>55</v>
      </c>
      <c r="B670" s="75" t="s">
        <v>1003</v>
      </c>
      <c r="C670" s="75">
        <v>11.39</v>
      </c>
      <c r="D670" s="75">
        <v>0.0</v>
      </c>
      <c r="E670" s="75">
        <v>0.0</v>
      </c>
      <c r="F670" s="75" t="s">
        <v>995</v>
      </c>
      <c r="G670" s="82">
        <v>46110.0</v>
      </c>
      <c r="H670" s="76" t="s">
        <v>981</v>
      </c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>
      <c r="A671" s="75" t="s">
        <v>53</v>
      </c>
      <c r="B671" s="75" t="s">
        <v>1003</v>
      </c>
      <c r="C671" s="75">
        <v>8.85</v>
      </c>
      <c r="D671" s="75">
        <v>0.0</v>
      </c>
      <c r="E671" s="75">
        <v>0.0</v>
      </c>
      <c r="F671" s="75" t="s">
        <v>995</v>
      </c>
      <c r="G671" s="82">
        <v>46110.0</v>
      </c>
      <c r="H671" s="76" t="s">
        <v>982</v>
      </c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>
      <c r="A672" s="75" t="s">
        <v>53</v>
      </c>
      <c r="B672" s="75" t="s">
        <v>1003</v>
      </c>
      <c r="C672" s="75">
        <v>2.39</v>
      </c>
      <c r="D672" s="75">
        <v>0.0</v>
      </c>
      <c r="E672" s="75">
        <v>0.0</v>
      </c>
      <c r="F672" s="75" t="s">
        <v>995</v>
      </c>
      <c r="G672" s="82">
        <v>46110.0</v>
      </c>
      <c r="H672" s="76" t="s">
        <v>983</v>
      </c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>
      <c r="A673" s="75" t="s">
        <v>53</v>
      </c>
      <c r="B673" s="75" t="s">
        <v>1003</v>
      </c>
      <c r="C673" s="75">
        <v>2.09</v>
      </c>
      <c r="D673" s="75">
        <v>0.0</v>
      </c>
      <c r="E673" s="75">
        <v>0.0</v>
      </c>
      <c r="F673" s="75" t="s">
        <v>995</v>
      </c>
      <c r="G673" s="82">
        <v>46110.0</v>
      </c>
      <c r="H673" s="76" t="s">
        <v>984</v>
      </c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>
      <c r="A674" s="75" t="s">
        <v>985</v>
      </c>
      <c r="B674" s="75" t="s">
        <v>1003</v>
      </c>
      <c r="C674" s="75">
        <v>3.98</v>
      </c>
      <c r="D674" s="75">
        <v>0.0</v>
      </c>
      <c r="E674" s="75">
        <v>0.0</v>
      </c>
      <c r="F674" s="75" t="s">
        <v>995</v>
      </c>
      <c r="G674" s="82">
        <v>46110.0</v>
      </c>
      <c r="H674" s="76" t="s">
        <v>936</v>
      </c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>
      <c r="A675" s="75" t="s">
        <v>985</v>
      </c>
      <c r="B675" s="75" t="s">
        <v>1003</v>
      </c>
      <c r="C675" s="75">
        <v>2.49</v>
      </c>
      <c r="D675" s="75">
        <v>0.0</v>
      </c>
      <c r="E675" s="75">
        <v>0.0</v>
      </c>
      <c r="F675" s="75" t="s">
        <v>995</v>
      </c>
      <c r="G675" s="82">
        <v>46110.0</v>
      </c>
      <c r="H675" s="76" t="s">
        <v>937</v>
      </c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>
      <c r="A676" s="75" t="s">
        <v>985</v>
      </c>
      <c r="B676" s="75" t="s">
        <v>1003</v>
      </c>
      <c r="C676" s="75">
        <v>6.85</v>
      </c>
      <c r="D676" s="75">
        <v>0.0</v>
      </c>
      <c r="E676" s="75">
        <v>0.0</v>
      </c>
      <c r="F676" s="75" t="s">
        <v>995</v>
      </c>
      <c r="G676" s="82">
        <v>46110.0</v>
      </c>
      <c r="H676" s="76" t="s">
        <v>938</v>
      </c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>
      <c r="A677" s="75" t="s">
        <v>51</v>
      </c>
      <c r="B677" s="75" t="s">
        <v>1003</v>
      </c>
      <c r="C677" s="75">
        <v>16.14</v>
      </c>
      <c r="D677" s="75">
        <v>1.0</v>
      </c>
      <c r="E677" s="75">
        <v>16.14</v>
      </c>
      <c r="F677" s="75" t="s">
        <v>995</v>
      </c>
      <c r="G677" s="82">
        <v>46110.0</v>
      </c>
      <c r="H677" s="76" t="s">
        <v>986</v>
      </c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>
      <c r="A678" s="75" t="s">
        <v>51</v>
      </c>
      <c r="B678" s="75" t="s">
        <v>1003</v>
      </c>
      <c r="C678" s="75">
        <v>4.51</v>
      </c>
      <c r="D678" s="75">
        <v>0.0</v>
      </c>
      <c r="E678" s="75">
        <v>0.0</v>
      </c>
      <c r="F678" s="75" t="s">
        <v>995</v>
      </c>
      <c r="G678" s="82">
        <v>46110.0</v>
      </c>
      <c r="H678" s="76" t="s">
        <v>987</v>
      </c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>
      <c r="A679" s="75" t="s">
        <v>54</v>
      </c>
      <c r="B679" s="75" t="s">
        <v>1003</v>
      </c>
      <c r="C679" s="75">
        <v>6.6</v>
      </c>
      <c r="D679" s="75">
        <v>1.0</v>
      </c>
      <c r="E679" s="75">
        <v>6.6</v>
      </c>
      <c r="F679" s="75" t="s">
        <v>996</v>
      </c>
      <c r="G679" s="82">
        <v>46110.0</v>
      </c>
      <c r="H679" s="76" t="s">
        <v>977</v>
      </c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>
      <c r="A680" s="75" t="s">
        <v>54</v>
      </c>
      <c r="B680" s="75" t="s">
        <v>1003</v>
      </c>
      <c r="C680" s="75">
        <v>5.86</v>
      </c>
      <c r="D680" s="75">
        <v>0.0</v>
      </c>
      <c r="E680" s="75">
        <v>0.0</v>
      </c>
      <c r="F680" s="75" t="s">
        <v>996</v>
      </c>
      <c r="G680" s="82">
        <v>46110.0</v>
      </c>
      <c r="H680" s="76" t="s">
        <v>978</v>
      </c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>
      <c r="A681" s="75" t="s">
        <v>54</v>
      </c>
      <c r="B681" s="75" t="s">
        <v>1003</v>
      </c>
      <c r="C681" s="75">
        <v>4.14</v>
      </c>
      <c r="D681" s="75">
        <v>0.0</v>
      </c>
      <c r="E681" s="75">
        <v>0.0</v>
      </c>
      <c r="F681" s="75" t="s">
        <v>996</v>
      </c>
      <c r="G681" s="82">
        <v>46110.0</v>
      </c>
      <c r="H681" s="76" t="s">
        <v>979</v>
      </c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>
      <c r="A682" s="75" t="s">
        <v>55</v>
      </c>
      <c r="B682" s="75" t="s">
        <v>1003</v>
      </c>
      <c r="C682" s="75">
        <v>4.19</v>
      </c>
      <c r="D682" s="75">
        <v>0.0</v>
      </c>
      <c r="E682" s="75">
        <v>0.0</v>
      </c>
      <c r="F682" s="75" t="s">
        <v>996</v>
      </c>
      <c r="G682" s="82">
        <v>46110.0</v>
      </c>
      <c r="H682" s="76" t="s">
        <v>980</v>
      </c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>
      <c r="A683" s="75" t="s">
        <v>55</v>
      </c>
      <c r="B683" s="75" t="s">
        <v>1003</v>
      </c>
      <c r="C683" s="75">
        <v>10.79</v>
      </c>
      <c r="D683" s="75">
        <v>0.0</v>
      </c>
      <c r="E683" s="75">
        <v>0.0</v>
      </c>
      <c r="F683" s="75" t="s">
        <v>996</v>
      </c>
      <c r="G683" s="82">
        <v>46110.0</v>
      </c>
      <c r="H683" s="76" t="s">
        <v>981</v>
      </c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>
      <c r="A684" s="75" t="s">
        <v>53</v>
      </c>
      <c r="B684" s="75" t="s">
        <v>1003</v>
      </c>
      <c r="C684" s="75">
        <v>8.92</v>
      </c>
      <c r="D684" s="75">
        <v>0.0</v>
      </c>
      <c r="E684" s="75">
        <v>0.0</v>
      </c>
      <c r="F684" s="75" t="s">
        <v>996</v>
      </c>
      <c r="G684" s="82">
        <v>46110.0</v>
      </c>
      <c r="H684" s="76" t="s">
        <v>982</v>
      </c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>
      <c r="A685" s="75" t="s">
        <v>53</v>
      </c>
      <c r="B685" s="75" t="s">
        <v>1003</v>
      </c>
      <c r="C685" s="75">
        <v>1.85</v>
      </c>
      <c r="D685" s="75">
        <v>0.0</v>
      </c>
      <c r="E685" s="75">
        <v>0.0</v>
      </c>
      <c r="F685" s="75" t="s">
        <v>996</v>
      </c>
      <c r="G685" s="82">
        <v>46110.0</v>
      </c>
      <c r="H685" s="76" t="s">
        <v>983</v>
      </c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>
      <c r="A686" s="75" t="s">
        <v>53</v>
      </c>
      <c r="B686" s="75" t="s">
        <v>1003</v>
      </c>
      <c r="C686" s="75">
        <v>2.24</v>
      </c>
      <c r="D686" s="75">
        <v>0.0</v>
      </c>
      <c r="E686" s="75">
        <v>0.0</v>
      </c>
      <c r="F686" s="75" t="s">
        <v>996</v>
      </c>
      <c r="G686" s="82">
        <v>46110.0</v>
      </c>
      <c r="H686" s="76" t="s">
        <v>984</v>
      </c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>
      <c r="A687" s="75" t="s">
        <v>985</v>
      </c>
      <c r="B687" s="75" t="s">
        <v>1003</v>
      </c>
      <c r="C687" s="75">
        <v>3.18</v>
      </c>
      <c r="D687" s="75">
        <v>0.0</v>
      </c>
      <c r="E687" s="75">
        <v>0.0</v>
      </c>
      <c r="F687" s="75" t="s">
        <v>996</v>
      </c>
      <c r="G687" s="82">
        <v>46110.0</v>
      </c>
      <c r="H687" s="76" t="s">
        <v>936</v>
      </c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>
      <c r="A688" s="75" t="s">
        <v>985</v>
      </c>
      <c r="B688" s="75" t="s">
        <v>1003</v>
      </c>
      <c r="C688" s="75">
        <v>2.45</v>
      </c>
      <c r="D688" s="75">
        <v>0.0</v>
      </c>
      <c r="E688" s="75">
        <v>0.0</v>
      </c>
      <c r="F688" s="75" t="s">
        <v>996</v>
      </c>
      <c r="G688" s="82">
        <v>46110.0</v>
      </c>
      <c r="H688" s="76" t="s">
        <v>937</v>
      </c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>
      <c r="A689" s="75" t="s">
        <v>985</v>
      </c>
      <c r="B689" s="75" t="s">
        <v>1003</v>
      </c>
      <c r="C689" s="75">
        <v>5.49</v>
      </c>
      <c r="D689" s="75">
        <v>0.0</v>
      </c>
      <c r="E689" s="75">
        <v>0.0</v>
      </c>
      <c r="F689" s="75" t="s">
        <v>996</v>
      </c>
      <c r="G689" s="82">
        <v>46110.0</v>
      </c>
      <c r="H689" s="76" t="s">
        <v>938</v>
      </c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>
      <c r="A690" s="75" t="s">
        <v>51</v>
      </c>
      <c r="B690" s="75" t="s">
        <v>1003</v>
      </c>
      <c r="C690" s="75">
        <v>17.74</v>
      </c>
      <c r="D690" s="75">
        <v>1.0</v>
      </c>
      <c r="E690" s="75">
        <v>17.74</v>
      </c>
      <c r="F690" s="75" t="s">
        <v>996</v>
      </c>
      <c r="G690" s="82">
        <v>46110.0</v>
      </c>
      <c r="H690" s="76" t="s">
        <v>986</v>
      </c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>
      <c r="A691" s="75" t="s">
        <v>51</v>
      </c>
      <c r="B691" s="75" t="s">
        <v>1003</v>
      </c>
      <c r="C691" s="75">
        <v>3.93</v>
      </c>
      <c r="D691" s="75">
        <v>0.0</v>
      </c>
      <c r="E691" s="75">
        <v>0.0</v>
      </c>
      <c r="F691" s="75" t="s">
        <v>996</v>
      </c>
      <c r="G691" s="82">
        <v>46110.0</v>
      </c>
      <c r="H691" s="76" t="s">
        <v>987</v>
      </c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>
      <c r="A692" s="75" t="s">
        <v>54</v>
      </c>
      <c r="B692" s="75" t="s">
        <v>1003</v>
      </c>
      <c r="C692" s="75">
        <v>11.08</v>
      </c>
      <c r="D692" s="75">
        <v>0.0</v>
      </c>
      <c r="E692" s="75">
        <v>0.0</v>
      </c>
      <c r="F692" s="75" t="s">
        <v>997</v>
      </c>
      <c r="G692" s="82">
        <v>46110.0</v>
      </c>
      <c r="H692" s="76" t="s">
        <v>977</v>
      </c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>
      <c r="A693" s="75" t="s">
        <v>54</v>
      </c>
      <c r="B693" s="75" t="s">
        <v>1003</v>
      </c>
      <c r="C693" s="75">
        <v>7.1</v>
      </c>
      <c r="D693" s="75">
        <v>0.0</v>
      </c>
      <c r="E693" s="75">
        <v>0.0</v>
      </c>
      <c r="F693" s="75" t="s">
        <v>997</v>
      </c>
      <c r="G693" s="82">
        <v>46110.0</v>
      </c>
      <c r="H693" s="76" t="s">
        <v>978</v>
      </c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>
      <c r="A694" s="75" t="s">
        <v>54</v>
      </c>
      <c r="B694" s="75" t="s">
        <v>1003</v>
      </c>
      <c r="C694" s="75">
        <v>7.29</v>
      </c>
      <c r="D694" s="75">
        <v>0.0</v>
      </c>
      <c r="E694" s="75">
        <v>0.0</v>
      </c>
      <c r="F694" s="75" t="s">
        <v>997</v>
      </c>
      <c r="G694" s="82">
        <v>46110.0</v>
      </c>
      <c r="H694" s="76" t="s">
        <v>979</v>
      </c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>
      <c r="A695" s="75" t="s">
        <v>55</v>
      </c>
      <c r="B695" s="75" t="s">
        <v>1003</v>
      </c>
      <c r="C695" s="75">
        <v>6.28</v>
      </c>
      <c r="D695" s="75">
        <v>0.0</v>
      </c>
      <c r="E695" s="75">
        <v>0.0</v>
      </c>
      <c r="F695" s="75" t="s">
        <v>997</v>
      </c>
      <c r="G695" s="82">
        <v>46110.0</v>
      </c>
      <c r="H695" s="76" t="s">
        <v>980</v>
      </c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>
      <c r="A696" s="75" t="s">
        <v>55</v>
      </c>
      <c r="B696" s="75" t="s">
        <v>1003</v>
      </c>
      <c r="C696" s="75">
        <v>17.87</v>
      </c>
      <c r="D696" s="75">
        <v>0.0</v>
      </c>
      <c r="E696" s="75">
        <v>0.0</v>
      </c>
      <c r="F696" s="75" t="s">
        <v>997</v>
      </c>
      <c r="G696" s="82">
        <v>46110.0</v>
      </c>
      <c r="H696" s="76" t="s">
        <v>981</v>
      </c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>
      <c r="A697" s="75" t="s">
        <v>53</v>
      </c>
      <c r="B697" s="75" t="s">
        <v>1003</v>
      </c>
      <c r="C697" s="75">
        <v>14.68</v>
      </c>
      <c r="D697" s="75">
        <v>0.0</v>
      </c>
      <c r="E697" s="75">
        <v>0.0</v>
      </c>
      <c r="F697" s="75" t="s">
        <v>997</v>
      </c>
      <c r="G697" s="82">
        <v>46110.0</v>
      </c>
      <c r="H697" s="76" t="s">
        <v>982</v>
      </c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>
      <c r="A698" s="75" t="s">
        <v>53</v>
      </c>
      <c r="B698" s="75" t="s">
        <v>1003</v>
      </c>
      <c r="C698" s="75">
        <v>3.8</v>
      </c>
      <c r="D698" s="75">
        <v>0.0</v>
      </c>
      <c r="E698" s="75">
        <v>0.0</v>
      </c>
      <c r="F698" s="75" t="s">
        <v>997</v>
      </c>
      <c r="G698" s="82">
        <v>46110.0</v>
      </c>
      <c r="H698" s="76" t="s">
        <v>983</v>
      </c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>
      <c r="A699" s="75" t="s">
        <v>53</v>
      </c>
      <c r="B699" s="75" t="s">
        <v>1003</v>
      </c>
      <c r="C699" s="75">
        <v>3.73</v>
      </c>
      <c r="D699" s="75">
        <v>0.0</v>
      </c>
      <c r="E699" s="75">
        <v>0.0</v>
      </c>
      <c r="F699" s="75" t="s">
        <v>997</v>
      </c>
      <c r="G699" s="82">
        <v>46110.0</v>
      </c>
      <c r="H699" s="76" t="s">
        <v>984</v>
      </c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>
      <c r="A700" s="75" t="s">
        <v>985</v>
      </c>
      <c r="B700" s="75" t="s">
        <v>1003</v>
      </c>
      <c r="C700" s="75">
        <v>6.4</v>
      </c>
      <c r="D700" s="75">
        <v>0.0</v>
      </c>
      <c r="E700" s="75">
        <v>0.0</v>
      </c>
      <c r="F700" s="75" t="s">
        <v>997</v>
      </c>
      <c r="G700" s="82">
        <v>46110.0</v>
      </c>
      <c r="H700" s="76" t="s">
        <v>936</v>
      </c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>
      <c r="A701" s="75" t="s">
        <v>985</v>
      </c>
      <c r="B701" s="75" t="s">
        <v>1003</v>
      </c>
      <c r="C701" s="75">
        <v>3.65</v>
      </c>
      <c r="D701" s="75">
        <v>0.0</v>
      </c>
      <c r="E701" s="75">
        <v>0.0</v>
      </c>
      <c r="F701" s="75" t="s">
        <v>997</v>
      </c>
      <c r="G701" s="82">
        <v>46110.0</v>
      </c>
      <c r="H701" s="76" t="s">
        <v>937</v>
      </c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>
      <c r="A702" s="75" t="s">
        <v>985</v>
      </c>
      <c r="B702" s="75" t="s">
        <v>1003</v>
      </c>
      <c r="C702" s="75">
        <v>10.08</v>
      </c>
      <c r="D702" s="75">
        <v>0.0</v>
      </c>
      <c r="E702" s="75">
        <v>0.0</v>
      </c>
      <c r="F702" s="75" t="s">
        <v>997</v>
      </c>
      <c r="G702" s="82">
        <v>46110.0</v>
      </c>
      <c r="H702" s="76" t="s">
        <v>938</v>
      </c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>
      <c r="A703" s="75" t="s">
        <v>51</v>
      </c>
      <c r="B703" s="75" t="s">
        <v>1003</v>
      </c>
      <c r="C703" s="75">
        <v>30.84</v>
      </c>
      <c r="D703" s="75">
        <v>0.0</v>
      </c>
      <c r="E703" s="75">
        <v>0.0</v>
      </c>
      <c r="F703" s="75" t="s">
        <v>997</v>
      </c>
      <c r="G703" s="82">
        <v>46110.0</v>
      </c>
      <c r="H703" s="76" t="s">
        <v>986</v>
      </c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>
      <c r="A704" s="75" t="s">
        <v>51</v>
      </c>
      <c r="B704" s="75" t="s">
        <v>1003</v>
      </c>
      <c r="C704" s="75">
        <v>6.13</v>
      </c>
      <c r="D704" s="75">
        <v>0.0</v>
      </c>
      <c r="E704" s="75">
        <v>0.0</v>
      </c>
      <c r="F704" s="75" t="s">
        <v>997</v>
      </c>
      <c r="G704" s="82">
        <v>46110.0</v>
      </c>
      <c r="H704" s="76" t="s">
        <v>987</v>
      </c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>
      <c r="A705" s="75" t="s">
        <v>54</v>
      </c>
      <c r="B705" s="75" t="s">
        <v>1003</v>
      </c>
      <c r="C705" s="75">
        <v>0.01</v>
      </c>
      <c r="D705" s="75">
        <v>0.0</v>
      </c>
      <c r="E705" s="75">
        <v>0.0</v>
      </c>
      <c r="F705" s="75" t="s">
        <v>998</v>
      </c>
      <c r="G705" s="82">
        <v>46110.0</v>
      </c>
      <c r="H705" s="76" t="s">
        <v>978</v>
      </c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>
      <c r="A706" s="75" t="s">
        <v>54</v>
      </c>
      <c r="B706" s="75" t="s">
        <v>1003</v>
      </c>
      <c r="C706" s="75">
        <v>1.19</v>
      </c>
      <c r="D706" s="75">
        <v>0.0</v>
      </c>
      <c r="E706" s="75">
        <v>0.0</v>
      </c>
      <c r="F706" s="75" t="s">
        <v>998</v>
      </c>
      <c r="G706" s="82">
        <v>46110.0</v>
      </c>
      <c r="H706" s="76" t="s">
        <v>979</v>
      </c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>
      <c r="A707" s="75" t="s">
        <v>55</v>
      </c>
      <c r="B707" s="75" t="s">
        <v>1003</v>
      </c>
      <c r="C707" s="75">
        <v>1.55</v>
      </c>
      <c r="D707" s="75">
        <v>0.0</v>
      </c>
      <c r="E707" s="75">
        <v>0.0</v>
      </c>
      <c r="F707" s="75" t="s">
        <v>998</v>
      </c>
      <c r="G707" s="82">
        <v>46110.0</v>
      </c>
      <c r="H707" s="76" t="s">
        <v>980</v>
      </c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>
      <c r="A708" s="75" t="s">
        <v>53</v>
      </c>
      <c r="B708" s="75" t="s">
        <v>1003</v>
      </c>
      <c r="C708" s="75">
        <v>0.0</v>
      </c>
      <c r="D708" s="75">
        <v>0.0</v>
      </c>
      <c r="E708" s="75">
        <v>0.0</v>
      </c>
      <c r="F708" s="75" t="s">
        <v>998</v>
      </c>
      <c r="G708" s="82">
        <v>46110.0</v>
      </c>
      <c r="H708" s="76" t="s">
        <v>983</v>
      </c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>
      <c r="A709" s="75" t="s">
        <v>53</v>
      </c>
      <c r="B709" s="75" t="s">
        <v>1003</v>
      </c>
      <c r="C709" s="75">
        <v>0.57</v>
      </c>
      <c r="D709" s="75">
        <v>0.0</v>
      </c>
      <c r="E709" s="75">
        <v>0.0</v>
      </c>
      <c r="F709" s="75" t="s">
        <v>998</v>
      </c>
      <c r="G709" s="82">
        <v>46110.0</v>
      </c>
      <c r="H709" s="76" t="s">
        <v>984</v>
      </c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>
      <c r="A710" s="75" t="s">
        <v>985</v>
      </c>
      <c r="B710" s="75" t="s">
        <v>1003</v>
      </c>
      <c r="C710" s="75">
        <v>0.0</v>
      </c>
      <c r="D710" s="75">
        <v>0.0</v>
      </c>
      <c r="E710" s="75">
        <v>0.0</v>
      </c>
      <c r="F710" s="75" t="s">
        <v>998</v>
      </c>
      <c r="G710" s="82">
        <v>46110.0</v>
      </c>
      <c r="H710" s="76" t="s">
        <v>936</v>
      </c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>
      <c r="A711" s="75" t="s">
        <v>985</v>
      </c>
      <c r="B711" s="75" t="s">
        <v>1003</v>
      </c>
      <c r="C711" s="75">
        <v>0.72</v>
      </c>
      <c r="D711" s="75">
        <v>0.0</v>
      </c>
      <c r="E711" s="75">
        <v>0.0</v>
      </c>
      <c r="F711" s="75" t="s">
        <v>998</v>
      </c>
      <c r="G711" s="82">
        <v>46110.0</v>
      </c>
      <c r="H711" s="76" t="s">
        <v>937</v>
      </c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>
      <c r="A712" s="75" t="s">
        <v>51</v>
      </c>
      <c r="B712" s="75" t="s">
        <v>1003</v>
      </c>
      <c r="C712" s="75">
        <v>0.0</v>
      </c>
      <c r="D712" s="75">
        <v>0.0</v>
      </c>
      <c r="E712" s="75">
        <v>0.0</v>
      </c>
      <c r="F712" s="75" t="s">
        <v>998</v>
      </c>
      <c r="G712" s="82">
        <v>46110.0</v>
      </c>
      <c r="H712" s="76" t="s">
        <v>986</v>
      </c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>
      <c r="A713" s="75" t="s">
        <v>51</v>
      </c>
      <c r="B713" s="75" t="s">
        <v>1003</v>
      </c>
      <c r="C713" s="75">
        <v>0.9</v>
      </c>
      <c r="D713" s="75">
        <v>0.0</v>
      </c>
      <c r="E713" s="75">
        <v>0.0</v>
      </c>
      <c r="F713" s="75" t="s">
        <v>998</v>
      </c>
      <c r="G713" s="82">
        <v>46110.0</v>
      </c>
      <c r="H713" s="76" t="s">
        <v>987</v>
      </c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>
      <c r="A714" s="75" t="s">
        <v>34</v>
      </c>
      <c r="B714" s="75" t="s">
        <v>1004</v>
      </c>
      <c r="C714" s="75">
        <v>1.33</v>
      </c>
      <c r="D714" s="75">
        <v>0.0</v>
      </c>
      <c r="E714" s="75">
        <v>0.0</v>
      </c>
      <c r="F714" s="75" t="s">
        <v>990</v>
      </c>
      <c r="G714" s="82">
        <v>46110.0</v>
      </c>
      <c r="H714" s="76" t="s">
        <v>951</v>
      </c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>
      <c r="A715" s="75" t="s">
        <v>34</v>
      </c>
      <c r="B715" s="75" t="s">
        <v>1004</v>
      </c>
      <c r="C715" s="75">
        <v>2.2</v>
      </c>
      <c r="D715" s="75">
        <v>0.0</v>
      </c>
      <c r="E715" s="75">
        <v>0.0</v>
      </c>
      <c r="F715" s="75" t="s">
        <v>990</v>
      </c>
      <c r="G715" s="82">
        <v>46110.0</v>
      </c>
      <c r="H715" s="76" t="s">
        <v>952</v>
      </c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>
      <c r="A716" s="75" t="s">
        <v>34</v>
      </c>
      <c r="B716" s="75" t="s">
        <v>1004</v>
      </c>
      <c r="C716" s="75">
        <v>2.82</v>
      </c>
      <c r="D716" s="75">
        <v>2.0</v>
      </c>
      <c r="E716" s="75">
        <v>1.41</v>
      </c>
      <c r="F716" s="75" t="s">
        <v>990</v>
      </c>
      <c r="G716" s="82">
        <v>46110.0</v>
      </c>
      <c r="H716" s="76" t="s">
        <v>953</v>
      </c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>
      <c r="A717" s="75" t="s">
        <v>40</v>
      </c>
      <c r="B717" s="75" t="s">
        <v>1004</v>
      </c>
      <c r="C717" s="75">
        <v>1.04</v>
      </c>
      <c r="D717" s="75">
        <v>0.0</v>
      </c>
      <c r="E717" s="75">
        <v>0.0</v>
      </c>
      <c r="F717" s="75" t="s">
        <v>990</v>
      </c>
      <c r="G717" s="82">
        <v>46110.0</v>
      </c>
      <c r="H717" s="76" t="s">
        <v>954</v>
      </c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>
      <c r="A718" s="75" t="s">
        <v>40</v>
      </c>
      <c r="B718" s="75" t="s">
        <v>1004</v>
      </c>
      <c r="C718" s="75">
        <v>0.94</v>
      </c>
      <c r="D718" s="75">
        <v>0.0</v>
      </c>
      <c r="E718" s="75">
        <v>0.0</v>
      </c>
      <c r="F718" s="75" t="s">
        <v>990</v>
      </c>
      <c r="G718" s="82">
        <v>46110.0</v>
      </c>
      <c r="H718" s="76" t="s">
        <v>955</v>
      </c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>
      <c r="A719" s="75" t="s">
        <v>40</v>
      </c>
      <c r="B719" s="75" t="s">
        <v>1004</v>
      </c>
      <c r="C719" s="75">
        <v>8.38</v>
      </c>
      <c r="D719" s="75">
        <v>2.0</v>
      </c>
      <c r="E719" s="75">
        <v>4.19</v>
      </c>
      <c r="F719" s="75" t="s">
        <v>990</v>
      </c>
      <c r="G719" s="82">
        <v>46110.0</v>
      </c>
      <c r="H719" s="76" t="s">
        <v>956</v>
      </c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>
      <c r="A720" s="75" t="s">
        <v>33</v>
      </c>
      <c r="B720" s="75" t="s">
        <v>1004</v>
      </c>
      <c r="C720" s="75">
        <v>3.98</v>
      </c>
      <c r="D720" s="75">
        <v>5.0</v>
      </c>
      <c r="E720" s="75">
        <v>0.8</v>
      </c>
      <c r="F720" s="75" t="s">
        <v>990</v>
      </c>
      <c r="G720" s="82">
        <v>46110.0</v>
      </c>
      <c r="H720" s="76" t="s">
        <v>957</v>
      </c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>
      <c r="A721" s="75" t="s">
        <v>33</v>
      </c>
      <c r="B721" s="75" t="s">
        <v>1004</v>
      </c>
      <c r="C721" s="75">
        <v>0.72</v>
      </c>
      <c r="D721" s="75">
        <v>1.0</v>
      </c>
      <c r="E721" s="75">
        <v>0.72</v>
      </c>
      <c r="F721" s="75" t="s">
        <v>990</v>
      </c>
      <c r="G721" s="82">
        <v>46110.0</v>
      </c>
      <c r="H721" s="76" t="s">
        <v>958</v>
      </c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>
      <c r="A722" s="75" t="s">
        <v>33</v>
      </c>
      <c r="B722" s="75" t="s">
        <v>1004</v>
      </c>
      <c r="C722" s="75">
        <v>2.41</v>
      </c>
      <c r="D722" s="75">
        <v>1.0</v>
      </c>
      <c r="E722" s="75">
        <v>2.41</v>
      </c>
      <c r="F722" s="75" t="s">
        <v>990</v>
      </c>
      <c r="G722" s="82">
        <v>46110.0</v>
      </c>
      <c r="H722" s="76" t="s">
        <v>959</v>
      </c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>
      <c r="A723" s="75" t="s">
        <v>46</v>
      </c>
      <c r="B723" s="75" t="s">
        <v>1004</v>
      </c>
      <c r="C723" s="75">
        <v>2.32</v>
      </c>
      <c r="D723" s="75">
        <v>0.0</v>
      </c>
      <c r="E723" s="75">
        <v>0.0</v>
      </c>
      <c r="F723" s="75" t="s">
        <v>990</v>
      </c>
      <c r="G723" s="82">
        <v>46110.0</v>
      </c>
      <c r="H723" s="76" t="s">
        <v>960</v>
      </c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>
      <c r="A724" s="75" t="s">
        <v>46</v>
      </c>
      <c r="B724" s="75" t="s">
        <v>1004</v>
      </c>
      <c r="C724" s="75">
        <v>1.82</v>
      </c>
      <c r="D724" s="75">
        <v>0.0</v>
      </c>
      <c r="E724" s="75">
        <v>0.0</v>
      </c>
      <c r="F724" s="75" t="s">
        <v>990</v>
      </c>
      <c r="G724" s="82">
        <v>46110.0</v>
      </c>
      <c r="H724" s="76" t="s">
        <v>961</v>
      </c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>
      <c r="A725" s="75" t="s">
        <v>46</v>
      </c>
      <c r="B725" s="75" t="s">
        <v>1004</v>
      </c>
      <c r="C725" s="75">
        <v>1.75</v>
      </c>
      <c r="D725" s="75">
        <v>0.0</v>
      </c>
      <c r="E725" s="75">
        <v>0.0</v>
      </c>
      <c r="F725" s="75" t="s">
        <v>990</v>
      </c>
      <c r="G725" s="82">
        <v>46110.0</v>
      </c>
      <c r="H725" s="76" t="s">
        <v>962</v>
      </c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>
      <c r="A726" s="75" t="s">
        <v>43</v>
      </c>
      <c r="B726" s="75" t="s">
        <v>1004</v>
      </c>
      <c r="C726" s="75">
        <v>1.52</v>
      </c>
      <c r="D726" s="75">
        <v>0.0</v>
      </c>
      <c r="E726" s="75">
        <v>0.0</v>
      </c>
      <c r="F726" s="75" t="s">
        <v>990</v>
      </c>
      <c r="G726" s="82">
        <v>46110.0</v>
      </c>
      <c r="H726" s="76" t="s">
        <v>963</v>
      </c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>
      <c r="A727" s="75" t="s">
        <v>43</v>
      </c>
      <c r="B727" s="75" t="s">
        <v>1004</v>
      </c>
      <c r="C727" s="75">
        <v>0.64</v>
      </c>
      <c r="D727" s="75">
        <v>0.0</v>
      </c>
      <c r="E727" s="75">
        <v>0.0</v>
      </c>
      <c r="F727" s="75" t="s">
        <v>990</v>
      </c>
      <c r="G727" s="82">
        <v>46110.0</v>
      </c>
      <c r="H727" s="76" t="s">
        <v>964</v>
      </c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>
      <c r="A728" s="75" t="s">
        <v>43</v>
      </c>
      <c r="B728" s="75" t="s">
        <v>1004</v>
      </c>
      <c r="C728" s="75">
        <v>3.84</v>
      </c>
      <c r="D728" s="75">
        <v>0.0</v>
      </c>
      <c r="E728" s="75">
        <v>0.0</v>
      </c>
      <c r="F728" s="75" t="s">
        <v>990</v>
      </c>
      <c r="G728" s="82">
        <v>46110.0</v>
      </c>
      <c r="H728" s="76" t="s">
        <v>965</v>
      </c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>
      <c r="A729" s="75" t="s">
        <v>966</v>
      </c>
      <c r="B729" s="75" t="s">
        <v>1004</v>
      </c>
      <c r="C729" s="75">
        <v>3.2</v>
      </c>
      <c r="D729" s="75">
        <v>0.0</v>
      </c>
      <c r="E729" s="75">
        <v>0.0</v>
      </c>
      <c r="F729" s="75" t="s">
        <v>990</v>
      </c>
      <c r="G729" s="82">
        <v>46110.0</v>
      </c>
      <c r="H729" s="76" t="s">
        <v>967</v>
      </c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>
      <c r="A730" s="75" t="s">
        <v>966</v>
      </c>
      <c r="B730" s="75" t="s">
        <v>1004</v>
      </c>
      <c r="C730" s="75">
        <v>1.66</v>
      </c>
      <c r="D730" s="75">
        <v>0.0</v>
      </c>
      <c r="E730" s="75">
        <v>0.0</v>
      </c>
      <c r="F730" s="75" t="s">
        <v>990</v>
      </c>
      <c r="G730" s="82">
        <v>46110.0</v>
      </c>
      <c r="H730" s="76" t="s">
        <v>968</v>
      </c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>
      <c r="A731" s="75" t="s">
        <v>966</v>
      </c>
      <c r="B731" s="75" t="s">
        <v>1004</v>
      </c>
      <c r="C731" s="75">
        <v>0.78</v>
      </c>
      <c r="D731" s="75">
        <v>0.0</v>
      </c>
      <c r="E731" s="75">
        <v>0.0</v>
      </c>
      <c r="F731" s="75" t="s">
        <v>990</v>
      </c>
      <c r="G731" s="82">
        <v>46110.0</v>
      </c>
      <c r="H731" s="76" t="s">
        <v>969</v>
      </c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>
      <c r="A732" s="75" t="s">
        <v>36</v>
      </c>
      <c r="B732" s="75" t="s">
        <v>1004</v>
      </c>
      <c r="C732" s="75">
        <v>5.53</v>
      </c>
      <c r="D732" s="75">
        <v>0.0</v>
      </c>
      <c r="E732" s="75">
        <v>0.0</v>
      </c>
      <c r="F732" s="75" t="s">
        <v>990</v>
      </c>
      <c r="G732" s="82">
        <v>46110.0</v>
      </c>
      <c r="H732" s="76" t="s">
        <v>926</v>
      </c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>
      <c r="A733" s="75" t="s">
        <v>36</v>
      </c>
      <c r="B733" s="75" t="s">
        <v>1004</v>
      </c>
      <c r="C733" s="75">
        <v>1.31</v>
      </c>
      <c r="D733" s="75">
        <v>0.0</v>
      </c>
      <c r="E733" s="75">
        <v>0.0</v>
      </c>
      <c r="F733" s="75" t="s">
        <v>990</v>
      </c>
      <c r="G733" s="82">
        <v>46110.0</v>
      </c>
      <c r="H733" s="76" t="s">
        <v>927</v>
      </c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>
      <c r="A734" s="75" t="s">
        <v>36</v>
      </c>
      <c r="B734" s="75" t="s">
        <v>1004</v>
      </c>
      <c r="C734" s="75">
        <v>1.51</v>
      </c>
      <c r="D734" s="75">
        <v>0.0</v>
      </c>
      <c r="E734" s="75">
        <v>0.0</v>
      </c>
      <c r="F734" s="75" t="s">
        <v>990</v>
      </c>
      <c r="G734" s="82">
        <v>46110.0</v>
      </c>
      <c r="H734" s="76" t="s">
        <v>928</v>
      </c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>
      <c r="A735" s="75" t="s">
        <v>970</v>
      </c>
      <c r="B735" s="75" t="s">
        <v>1004</v>
      </c>
      <c r="C735" s="75">
        <v>1.03</v>
      </c>
      <c r="D735" s="75">
        <v>1.0</v>
      </c>
      <c r="E735" s="75">
        <v>1.03</v>
      </c>
      <c r="F735" s="75" t="s">
        <v>990</v>
      </c>
      <c r="G735" s="82">
        <v>46110.0</v>
      </c>
      <c r="H735" s="76" t="s">
        <v>971</v>
      </c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>
      <c r="A736" s="75" t="s">
        <v>970</v>
      </c>
      <c r="B736" s="75" t="s">
        <v>1004</v>
      </c>
      <c r="C736" s="75">
        <v>1.4</v>
      </c>
      <c r="D736" s="75">
        <v>1.0</v>
      </c>
      <c r="E736" s="75">
        <v>1.4</v>
      </c>
      <c r="F736" s="75" t="s">
        <v>990</v>
      </c>
      <c r="G736" s="82">
        <v>46110.0</v>
      </c>
      <c r="H736" s="76" t="s">
        <v>972</v>
      </c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>
      <c r="A737" s="75" t="s">
        <v>970</v>
      </c>
      <c r="B737" s="75" t="s">
        <v>1004</v>
      </c>
      <c r="C737" s="75">
        <v>5.65</v>
      </c>
      <c r="D737" s="75">
        <v>0.0</v>
      </c>
      <c r="E737" s="75">
        <v>0.0</v>
      </c>
      <c r="F737" s="75" t="s">
        <v>990</v>
      </c>
      <c r="G737" s="82">
        <v>46110.0</v>
      </c>
      <c r="H737" s="76" t="s">
        <v>973</v>
      </c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>
      <c r="A738" s="75" t="s">
        <v>34</v>
      </c>
      <c r="B738" s="75" t="s">
        <v>1004</v>
      </c>
      <c r="C738" s="75">
        <v>2.38</v>
      </c>
      <c r="D738" s="75">
        <v>3.0</v>
      </c>
      <c r="E738" s="75">
        <v>0.79</v>
      </c>
      <c r="F738" s="75" t="s">
        <v>993</v>
      </c>
      <c r="G738" s="82">
        <v>46110.0</v>
      </c>
      <c r="H738" s="76" t="s">
        <v>951</v>
      </c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>
      <c r="A739" s="75" t="s">
        <v>34</v>
      </c>
      <c r="B739" s="75" t="s">
        <v>1004</v>
      </c>
      <c r="C739" s="75">
        <v>2.55</v>
      </c>
      <c r="D739" s="75">
        <v>2.0</v>
      </c>
      <c r="E739" s="75">
        <v>1.28</v>
      </c>
      <c r="F739" s="75" t="s">
        <v>993</v>
      </c>
      <c r="G739" s="82">
        <v>46110.0</v>
      </c>
      <c r="H739" s="76" t="s">
        <v>952</v>
      </c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>
      <c r="A740" s="75" t="s">
        <v>34</v>
      </c>
      <c r="B740" s="75" t="s">
        <v>1004</v>
      </c>
      <c r="C740" s="75">
        <v>6.17</v>
      </c>
      <c r="D740" s="75">
        <v>0.0</v>
      </c>
      <c r="E740" s="75">
        <v>0.0</v>
      </c>
      <c r="F740" s="75" t="s">
        <v>993</v>
      </c>
      <c r="G740" s="82">
        <v>46110.0</v>
      </c>
      <c r="H740" s="76" t="s">
        <v>953</v>
      </c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>
      <c r="A741" s="75" t="s">
        <v>40</v>
      </c>
      <c r="B741" s="75" t="s">
        <v>1004</v>
      </c>
      <c r="C741" s="75">
        <v>0.88</v>
      </c>
      <c r="D741" s="75">
        <v>0.0</v>
      </c>
      <c r="E741" s="75">
        <v>0.0</v>
      </c>
      <c r="F741" s="75" t="s">
        <v>993</v>
      </c>
      <c r="G741" s="82">
        <v>46110.0</v>
      </c>
      <c r="H741" s="76" t="s">
        <v>954</v>
      </c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>
      <c r="A742" s="75" t="s">
        <v>40</v>
      </c>
      <c r="B742" s="75" t="s">
        <v>1004</v>
      </c>
      <c r="C742" s="75">
        <v>1.18</v>
      </c>
      <c r="D742" s="75">
        <v>0.0</v>
      </c>
      <c r="E742" s="75">
        <v>0.0</v>
      </c>
      <c r="F742" s="75" t="s">
        <v>993</v>
      </c>
      <c r="G742" s="82">
        <v>46110.0</v>
      </c>
      <c r="H742" s="76" t="s">
        <v>955</v>
      </c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>
      <c r="A743" s="75" t="s">
        <v>40</v>
      </c>
      <c r="B743" s="75" t="s">
        <v>1004</v>
      </c>
      <c r="C743" s="75">
        <v>7.07</v>
      </c>
      <c r="D743" s="75">
        <v>1.0</v>
      </c>
      <c r="E743" s="75">
        <v>7.07</v>
      </c>
      <c r="F743" s="75" t="s">
        <v>993</v>
      </c>
      <c r="G743" s="82">
        <v>46110.0</v>
      </c>
      <c r="H743" s="76" t="s">
        <v>956</v>
      </c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>
      <c r="A744" s="75" t="s">
        <v>33</v>
      </c>
      <c r="B744" s="75" t="s">
        <v>1004</v>
      </c>
      <c r="C744" s="75">
        <v>3.3</v>
      </c>
      <c r="D744" s="75">
        <v>0.0</v>
      </c>
      <c r="E744" s="75">
        <v>0.0</v>
      </c>
      <c r="F744" s="75" t="s">
        <v>993</v>
      </c>
      <c r="G744" s="82">
        <v>46110.0</v>
      </c>
      <c r="H744" s="76" t="s">
        <v>957</v>
      </c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>
      <c r="A745" s="75" t="s">
        <v>33</v>
      </c>
      <c r="B745" s="75" t="s">
        <v>1004</v>
      </c>
      <c r="C745" s="75">
        <v>0.52</v>
      </c>
      <c r="D745" s="75">
        <v>0.0</v>
      </c>
      <c r="E745" s="75">
        <v>0.0</v>
      </c>
      <c r="F745" s="75" t="s">
        <v>993</v>
      </c>
      <c r="G745" s="82">
        <v>46110.0</v>
      </c>
      <c r="H745" s="76" t="s">
        <v>958</v>
      </c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>
      <c r="A746" s="75" t="s">
        <v>33</v>
      </c>
      <c r="B746" s="75" t="s">
        <v>1004</v>
      </c>
      <c r="C746" s="75">
        <v>1.63</v>
      </c>
      <c r="D746" s="75">
        <v>1.0</v>
      </c>
      <c r="E746" s="75">
        <v>1.63</v>
      </c>
      <c r="F746" s="75" t="s">
        <v>993</v>
      </c>
      <c r="G746" s="82">
        <v>46110.0</v>
      </c>
      <c r="H746" s="76" t="s">
        <v>959</v>
      </c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>
      <c r="A747" s="75" t="s">
        <v>46</v>
      </c>
      <c r="B747" s="75" t="s">
        <v>1004</v>
      </c>
      <c r="C747" s="75">
        <v>1.21</v>
      </c>
      <c r="D747" s="75">
        <v>0.0</v>
      </c>
      <c r="E747" s="75">
        <v>0.0</v>
      </c>
      <c r="F747" s="75" t="s">
        <v>993</v>
      </c>
      <c r="G747" s="82">
        <v>46110.0</v>
      </c>
      <c r="H747" s="76" t="s">
        <v>960</v>
      </c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>
      <c r="A748" s="75" t="s">
        <v>46</v>
      </c>
      <c r="B748" s="75" t="s">
        <v>1004</v>
      </c>
      <c r="C748" s="75">
        <v>1.2</v>
      </c>
      <c r="D748" s="75">
        <v>0.0</v>
      </c>
      <c r="E748" s="75">
        <v>0.0</v>
      </c>
      <c r="F748" s="75" t="s">
        <v>993</v>
      </c>
      <c r="G748" s="82">
        <v>46110.0</v>
      </c>
      <c r="H748" s="76" t="s">
        <v>961</v>
      </c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>
      <c r="A749" s="75" t="s">
        <v>46</v>
      </c>
      <c r="B749" s="75" t="s">
        <v>1004</v>
      </c>
      <c r="C749" s="75">
        <v>1.69</v>
      </c>
      <c r="D749" s="75">
        <v>0.0</v>
      </c>
      <c r="E749" s="75">
        <v>0.0</v>
      </c>
      <c r="F749" s="75" t="s">
        <v>993</v>
      </c>
      <c r="G749" s="82">
        <v>46110.0</v>
      </c>
      <c r="H749" s="76" t="s">
        <v>962</v>
      </c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>
      <c r="A750" s="75" t="s">
        <v>43</v>
      </c>
      <c r="B750" s="75" t="s">
        <v>1004</v>
      </c>
      <c r="C750" s="75">
        <v>1.27</v>
      </c>
      <c r="D750" s="75">
        <v>0.0</v>
      </c>
      <c r="E750" s="75">
        <v>0.0</v>
      </c>
      <c r="F750" s="75" t="s">
        <v>993</v>
      </c>
      <c r="G750" s="82">
        <v>46110.0</v>
      </c>
      <c r="H750" s="76" t="s">
        <v>963</v>
      </c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>
      <c r="A751" s="75" t="s">
        <v>43</v>
      </c>
      <c r="B751" s="75" t="s">
        <v>1004</v>
      </c>
      <c r="C751" s="75">
        <v>0.43</v>
      </c>
      <c r="D751" s="75">
        <v>0.0</v>
      </c>
      <c r="E751" s="75">
        <v>0.0</v>
      </c>
      <c r="F751" s="75" t="s">
        <v>993</v>
      </c>
      <c r="G751" s="82">
        <v>46110.0</v>
      </c>
      <c r="H751" s="76" t="s">
        <v>964</v>
      </c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>
      <c r="A752" s="75" t="s">
        <v>43</v>
      </c>
      <c r="B752" s="75" t="s">
        <v>1004</v>
      </c>
      <c r="C752" s="75">
        <v>1.65</v>
      </c>
      <c r="D752" s="75">
        <v>0.0</v>
      </c>
      <c r="E752" s="75">
        <v>0.0</v>
      </c>
      <c r="F752" s="75" t="s">
        <v>993</v>
      </c>
      <c r="G752" s="82">
        <v>46110.0</v>
      </c>
      <c r="H752" s="76" t="s">
        <v>965</v>
      </c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>
      <c r="A753" s="75" t="s">
        <v>966</v>
      </c>
      <c r="B753" s="75" t="s">
        <v>1004</v>
      </c>
      <c r="C753" s="75">
        <v>3.07</v>
      </c>
      <c r="D753" s="75">
        <v>0.0</v>
      </c>
      <c r="E753" s="75">
        <v>0.0</v>
      </c>
      <c r="F753" s="75" t="s">
        <v>993</v>
      </c>
      <c r="G753" s="82">
        <v>46110.0</v>
      </c>
      <c r="H753" s="76" t="s">
        <v>967</v>
      </c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>
      <c r="A754" s="75" t="s">
        <v>966</v>
      </c>
      <c r="B754" s="75" t="s">
        <v>1004</v>
      </c>
      <c r="C754" s="75">
        <v>1.09</v>
      </c>
      <c r="D754" s="75">
        <v>0.0</v>
      </c>
      <c r="E754" s="75">
        <v>0.0</v>
      </c>
      <c r="F754" s="75" t="s">
        <v>993</v>
      </c>
      <c r="G754" s="82">
        <v>46110.0</v>
      </c>
      <c r="H754" s="76" t="s">
        <v>968</v>
      </c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>
      <c r="A755" s="75" t="s">
        <v>966</v>
      </c>
      <c r="B755" s="75" t="s">
        <v>1004</v>
      </c>
      <c r="C755" s="75">
        <v>0.76</v>
      </c>
      <c r="D755" s="75">
        <v>0.0</v>
      </c>
      <c r="E755" s="75">
        <v>0.0</v>
      </c>
      <c r="F755" s="75" t="s">
        <v>993</v>
      </c>
      <c r="G755" s="82">
        <v>46110.0</v>
      </c>
      <c r="H755" s="76" t="s">
        <v>969</v>
      </c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>
      <c r="A756" s="75" t="s">
        <v>36</v>
      </c>
      <c r="B756" s="75" t="s">
        <v>1004</v>
      </c>
      <c r="C756" s="75">
        <v>3.84</v>
      </c>
      <c r="D756" s="75">
        <v>0.0</v>
      </c>
      <c r="E756" s="75">
        <v>0.0</v>
      </c>
      <c r="F756" s="75" t="s">
        <v>993</v>
      </c>
      <c r="G756" s="82">
        <v>46110.0</v>
      </c>
      <c r="H756" s="76" t="s">
        <v>926</v>
      </c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>
      <c r="A757" s="75" t="s">
        <v>36</v>
      </c>
      <c r="B757" s="75" t="s">
        <v>1004</v>
      </c>
      <c r="C757" s="75">
        <v>0.82</v>
      </c>
      <c r="D757" s="75">
        <v>0.0</v>
      </c>
      <c r="E757" s="75">
        <v>0.0</v>
      </c>
      <c r="F757" s="75" t="s">
        <v>993</v>
      </c>
      <c r="G757" s="82">
        <v>46110.0</v>
      </c>
      <c r="H757" s="76" t="s">
        <v>927</v>
      </c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>
      <c r="A758" s="75" t="s">
        <v>36</v>
      </c>
      <c r="B758" s="75" t="s">
        <v>1004</v>
      </c>
      <c r="C758" s="75">
        <v>1.29</v>
      </c>
      <c r="D758" s="75">
        <v>1.0</v>
      </c>
      <c r="E758" s="75">
        <v>1.29</v>
      </c>
      <c r="F758" s="75" t="s">
        <v>993</v>
      </c>
      <c r="G758" s="82">
        <v>46110.0</v>
      </c>
      <c r="H758" s="76" t="s">
        <v>928</v>
      </c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>
      <c r="A759" s="75" t="s">
        <v>970</v>
      </c>
      <c r="B759" s="75" t="s">
        <v>1004</v>
      </c>
      <c r="C759" s="75">
        <v>0.98</v>
      </c>
      <c r="D759" s="75">
        <v>0.0</v>
      </c>
      <c r="E759" s="75">
        <v>0.0</v>
      </c>
      <c r="F759" s="75" t="s">
        <v>993</v>
      </c>
      <c r="G759" s="82">
        <v>46110.0</v>
      </c>
      <c r="H759" s="76" t="s">
        <v>971</v>
      </c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>
      <c r="A760" s="75" t="s">
        <v>970</v>
      </c>
      <c r="B760" s="75" t="s">
        <v>1004</v>
      </c>
      <c r="C760" s="75">
        <v>1.12</v>
      </c>
      <c r="D760" s="75">
        <v>0.0</v>
      </c>
      <c r="E760" s="75">
        <v>0.0</v>
      </c>
      <c r="F760" s="75" t="s">
        <v>993</v>
      </c>
      <c r="G760" s="82">
        <v>46110.0</v>
      </c>
      <c r="H760" s="76" t="s">
        <v>972</v>
      </c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>
      <c r="A761" s="75" t="s">
        <v>970</v>
      </c>
      <c r="B761" s="75" t="s">
        <v>1004</v>
      </c>
      <c r="C761" s="75">
        <v>4.25</v>
      </c>
      <c r="D761" s="75">
        <v>1.0</v>
      </c>
      <c r="E761" s="75">
        <v>4.25</v>
      </c>
      <c r="F761" s="75" t="s">
        <v>993</v>
      </c>
      <c r="G761" s="82">
        <v>46110.0</v>
      </c>
      <c r="H761" s="76" t="s">
        <v>973</v>
      </c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>
      <c r="A762" s="75" t="s">
        <v>34</v>
      </c>
      <c r="B762" s="75" t="s">
        <v>1004</v>
      </c>
      <c r="C762" s="75">
        <v>1.19</v>
      </c>
      <c r="D762" s="75">
        <v>1.0</v>
      </c>
      <c r="E762" s="75">
        <v>1.19</v>
      </c>
      <c r="F762" s="75" t="s">
        <v>994</v>
      </c>
      <c r="G762" s="82">
        <v>46110.0</v>
      </c>
      <c r="H762" s="76" t="s">
        <v>951</v>
      </c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>
      <c r="A763" s="75" t="s">
        <v>34</v>
      </c>
      <c r="B763" s="75" t="s">
        <v>1004</v>
      </c>
      <c r="C763" s="75">
        <v>1.6</v>
      </c>
      <c r="D763" s="75">
        <v>0.0</v>
      </c>
      <c r="E763" s="75">
        <v>0.0</v>
      </c>
      <c r="F763" s="75" t="s">
        <v>994</v>
      </c>
      <c r="G763" s="82">
        <v>46110.0</v>
      </c>
      <c r="H763" s="76" t="s">
        <v>952</v>
      </c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>
      <c r="A764" s="75" t="s">
        <v>34</v>
      </c>
      <c r="B764" s="75" t="s">
        <v>1004</v>
      </c>
      <c r="C764" s="75">
        <v>2.09</v>
      </c>
      <c r="D764" s="75">
        <v>0.0</v>
      </c>
      <c r="E764" s="75">
        <v>0.0</v>
      </c>
      <c r="F764" s="75" t="s">
        <v>994</v>
      </c>
      <c r="G764" s="82">
        <v>46110.0</v>
      </c>
      <c r="H764" s="76" t="s">
        <v>953</v>
      </c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>
      <c r="A765" s="75" t="s">
        <v>40</v>
      </c>
      <c r="B765" s="75" t="s">
        <v>1004</v>
      </c>
      <c r="C765" s="75">
        <v>0.91</v>
      </c>
      <c r="D765" s="75">
        <v>0.0</v>
      </c>
      <c r="E765" s="75">
        <v>0.0</v>
      </c>
      <c r="F765" s="75" t="s">
        <v>994</v>
      </c>
      <c r="G765" s="82">
        <v>46110.0</v>
      </c>
      <c r="H765" s="76" t="s">
        <v>954</v>
      </c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>
      <c r="A766" s="75" t="s">
        <v>40</v>
      </c>
      <c r="B766" s="75" t="s">
        <v>1004</v>
      </c>
      <c r="C766" s="75">
        <v>0.87</v>
      </c>
      <c r="D766" s="75">
        <v>0.0</v>
      </c>
      <c r="E766" s="75">
        <v>0.0</v>
      </c>
      <c r="F766" s="75" t="s">
        <v>994</v>
      </c>
      <c r="G766" s="82">
        <v>46110.0</v>
      </c>
      <c r="H766" s="76" t="s">
        <v>955</v>
      </c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>
      <c r="A767" s="75" t="s">
        <v>40</v>
      </c>
      <c r="B767" s="75" t="s">
        <v>1004</v>
      </c>
      <c r="C767" s="75">
        <v>7.29</v>
      </c>
      <c r="D767" s="75">
        <v>1.0</v>
      </c>
      <c r="E767" s="75">
        <v>7.29</v>
      </c>
      <c r="F767" s="75" t="s">
        <v>994</v>
      </c>
      <c r="G767" s="82">
        <v>46110.0</v>
      </c>
      <c r="H767" s="76" t="s">
        <v>956</v>
      </c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>
      <c r="A768" s="75" t="s">
        <v>33</v>
      </c>
      <c r="B768" s="75" t="s">
        <v>1004</v>
      </c>
      <c r="C768" s="75">
        <v>3.72</v>
      </c>
      <c r="D768" s="75">
        <v>1.0</v>
      </c>
      <c r="E768" s="75">
        <v>3.72</v>
      </c>
      <c r="F768" s="75" t="s">
        <v>994</v>
      </c>
      <c r="G768" s="82">
        <v>46110.0</v>
      </c>
      <c r="H768" s="76" t="s">
        <v>957</v>
      </c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>
      <c r="A769" s="75" t="s">
        <v>33</v>
      </c>
      <c r="B769" s="75" t="s">
        <v>1004</v>
      </c>
      <c r="C769" s="75">
        <v>0.49</v>
      </c>
      <c r="D769" s="75">
        <v>0.0</v>
      </c>
      <c r="E769" s="75">
        <v>0.0</v>
      </c>
      <c r="F769" s="75" t="s">
        <v>994</v>
      </c>
      <c r="G769" s="82">
        <v>46110.0</v>
      </c>
      <c r="H769" s="76" t="s">
        <v>958</v>
      </c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>
      <c r="A770" s="75" t="s">
        <v>33</v>
      </c>
      <c r="B770" s="75" t="s">
        <v>1004</v>
      </c>
      <c r="C770" s="75">
        <v>1.61</v>
      </c>
      <c r="D770" s="75">
        <v>1.0</v>
      </c>
      <c r="E770" s="75">
        <v>1.61</v>
      </c>
      <c r="F770" s="75" t="s">
        <v>994</v>
      </c>
      <c r="G770" s="82">
        <v>46110.0</v>
      </c>
      <c r="H770" s="76" t="s">
        <v>959</v>
      </c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>
      <c r="A771" s="75" t="s">
        <v>46</v>
      </c>
      <c r="B771" s="75" t="s">
        <v>1004</v>
      </c>
      <c r="C771" s="75">
        <v>1.73</v>
      </c>
      <c r="D771" s="75">
        <v>0.0</v>
      </c>
      <c r="E771" s="75">
        <v>0.0</v>
      </c>
      <c r="F771" s="75" t="s">
        <v>994</v>
      </c>
      <c r="G771" s="82">
        <v>46110.0</v>
      </c>
      <c r="H771" s="76" t="s">
        <v>960</v>
      </c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>
      <c r="A772" s="75" t="s">
        <v>46</v>
      </c>
      <c r="B772" s="75" t="s">
        <v>1004</v>
      </c>
      <c r="C772" s="75">
        <v>1.49</v>
      </c>
      <c r="D772" s="75">
        <v>0.0</v>
      </c>
      <c r="E772" s="75">
        <v>0.0</v>
      </c>
      <c r="F772" s="75" t="s">
        <v>994</v>
      </c>
      <c r="G772" s="82">
        <v>46110.0</v>
      </c>
      <c r="H772" s="76" t="s">
        <v>961</v>
      </c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>
      <c r="A773" s="75" t="s">
        <v>46</v>
      </c>
      <c r="B773" s="75" t="s">
        <v>1004</v>
      </c>
      <c r="C773" s="75">
        <v>1.78</v>
      </c>
      <c r="D773" s="75">
        <v>0.0</v>
      </c>
      <c r="E773" s="75">
        <v>0.0</v>
      </c>
      <c r="F773" s="75" t="s">
        <v>994</v>
      </c>
      <c r="G773" s="82">
        <v>46110.0</v>
      </c>
      <c r="H773" s="76" t="s">
        <v>962</v>
      </c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>
      <c r="A774" s="75" t="s">
        <v>43</v>
      </c>
      <c r="B774" s="75" t="s">
        <v>1004</v>
      </c>
      <c r="C774" s="75">
        <v>1.22</v>
      </c>
      <c r="D774" s="75">
        <v>0.0</v>
      </c>
      <c r="E774" s="75">
        <v>0.0</v>
      </c>
      <c r="F774" s="75" t="s">
        <v>994</v>
      </c>
      <c r="G774" s="82">
        <v>46110.0</v>
      </c>
      <c r="H774" s="76" t="s">
        <v>963</v>
      </c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>
      <c r="A775" s="75" t="s">
        <v>43</v>
      </c>
      <c r="B775" s="75" t="s">
        <v>1004</v>
      </c>
      <c r="C775" s="75">
        <v>0.39</v>
      </c>
      <c r="D775" s="75">
        <v>0.0</v>
      </c>
      <c r="E775" s="75">
        <v>0.0</v>
      </c>
      <c r="F775" s="75" t="s">
        <v>994</v>
      </c>
      <c r="G775" s="82">
        <v>46110.0</v>
      </c>
      <c r="H775" s="76" t="s">
        <v>964</v>
      </c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>
      <c r="A776" s="75" t="s">
        <v>43</v>
      </c>
      <c r="B776" s="75" t="s">
        <v>1004</v>
      </c>
      <c r="C776" s="75">
        <v>2.44</v>
      </c>
      <c r="D776" s="75">
        <v>0.0</v>
      </c>
      <c r="E776" s="75">
        <v>0.0</v>
      </c>
      <c r="F776" s="75" t="s">
        <v>994</v>
      </c>
      <c r="G776" s="82">
        <v>46110.0</v>
      </c>
      <c r="H776" s="76" t="s">
        <v>965</v>
      </c>
    </row>
    <row r="777">
      <c r="A777" s="75" t="s">
        <v>966</v>
      </c>
      <c r="B777" s="75" t="s">
        <v>1004</v>
      </c>
      <c r="C777" s="75">
        <v>2.34</v>
      </c>
      <c r="D777" s="75">
        <v>0.0</v>
      </c>
      <c r="E777" s="75">
        <v>0.0</v>
      </c>
      <c r="F777" s="75" t="s">
        <v>994</v>
      </c>
      <c r="G777" s="82">
        <v>46110.0</v>
      </c>
      <c r="H777" s="76" t="s">
        <v>967</v>
      </c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>
      <c r="A778" s="75" t="s">
        <v>966</v>
      </c>
      <c r="B778" s="75" t="s">
        <v>1004</v>
      </c>
      <c r="C778" s="75">
        <v>1.42</v>
      </c>
      <c r="D778" s="75">
        <v>0.0</v>
      </c>
      <c r="E778" s="75">
        <v>0.0</v>
      </c>
      <c r="F778" s="75" t="s">
        <v>994</v>
      </c>
      <c r="G778" s="82">
        <v>46110.0</v>
      </c>
      <c r="H778" s="76" t="s">
        <v>968</v>
      </c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>
      <c r="A779" s="75" t="s">
        <v>966</v>
      </c>
      <c r="B779" s="75" t="s">
        <v>1004</v>
      </c>
      <c r="C779" s="75">
        <v>0.6</v>
      </c>
      <c r="D779" s="75">
        <v>0.0</v>
      </c>
      <c r="E779" s="75">
        <v>0.0</v>
      </c>
      <c r="F779" s="75" t="s">
        <v>994</v>
      </c>
      <c r="G779" s="82">
        <v>46110.0</v>
      </c>
      <c r="H779" s="76" t="s">
        <v>969</v>
      </c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>
      <c r="A780" s="75" t="s">
        <v>36</v>
      </c>
      <c r="B780" s="75" t="s">
        <v>1004</v>
      </c>
      <c r="C780" s="75">
        <v>3.65</v>
      </c>
      <c r="D780" s="75">
        <v>0.0</v>
      </c>
      <c r="E780" s="75">
        <v>0.0</v>
      </c>
      <c r="F780" s="75" t="s">
        <v>994</v>
      </c>
      <c r="G780" s="82">
        <v>46110.0</v>
      </c>
      <c r="H780" s="76" t="s">
        <v>926</v>
      </c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>
      <c r="A781" s="75" t="s">
        <v>36</v>
      </c>
      <c r="B781" s="75" t="s">
        <v>1004</v>
      </c>
      <c r="C781" s="75">
        <v>1.0</v>
      </c>
      <c r="D781" s="75">
        <v>0.0</v>
      </c>
      <c r="E781" s="75">
        <v>0.0</v>
      </c>
      <c r="F781" s="75" t="s">
        <v>994</v>
      </c>
      <c r="G781" s="82">
        <v>46110.0</v>
      </c>
      <c r="H781" s="76" t="s">
        <v>927</v>
      </c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>
      <c r="A782" s="75" t="s">
        <v>36</v>
      </c>
      <c r="B782" s="75" t="s">
        <v>1004</v>
      </c>
      <c r="C782" s="75">
        <v>1.17</v>
      </c>
      <c r="D782" s="75">
        <v>0.0</v>
      </c>
      <c r="E782" s="75">
        <v>0.0</v>
      </c>
      <c r="F782" s="75" t="s">
        <v>994</v>
      </c>
      <c r="G782" s="82">
        <v>46110.0</v>
      </c>
      <c r="H782" s="76" t="s">
        <v>928</v>
      </c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>
      <c r="A783" s="75" t="s">
        <v>970</v>
      </c>
      <c r="B783" s="75" t="s">
        <v>1004</v>
      </c>
      <c r="C783" s="75">
        <v>2.47</v>
      </c>
      <c r="D783" s="75">
        <v>5.0</v>
      </c>
      <c r="E783" s="75">
        <v>0.49</v>
      </c>
      <c r="F783" s="75" t="s">
        <v>994</v>
      </c>
      <c r="G783" s="82">
        <v>46110.0</v>
      </c>
      <c r="H783" s="76" t="s">
        <v>971</v>
      </c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>
      <c r="A784" s="75" t="s">
        <v>970</v>
      </c>
      <c r="B784" s="75" t="s">
        <v>1004</v>
      </c>
      <c r="C784" s="75">
        <v>2.44</v>
      </c>
      <c r="D784" s="75">
        <v>4.0</v>
      </c>
      <c r="E784" s="75">
        <v>0.61</v>
      </c>
      <c r="F784" s="75" t="s">
        <v>994</v>
      </c>
      <c r="G784" s="82">
        <v>46110.0</v>
      </c>
      <c r="H784" s="76" t="s">
        <v>972</v>
      </c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>
      <c r="A785" s="75" t="s">
        <v>970</v>
      </c>
      <c r="B785" s="75" t="s">
        <v>1004</v>
      </c>
      <c r="C785" s="75">
        <v>13.35</v>
      </c>
      <c r="D785" s="75">
        <v>12.0</v>
      </c>
      <c r="E785" s="75">
        <v>1.11</v>
      </c>
      <c r="F785" s="75" t="s">
        <v>994</v>
      </c>
      <c r="G785" s="82">
        <v>46110.0</v>
      </c>
      <c r="H785" s="76" t="s">
        <v>973</v>
      </c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>
      <c r="A786" s="75" t="s">
        <v>34</v>
      </c>
      <c r="B786" s="75" t="s">
        <v>1004</v>
      </c>
      <c r="C786" s="75">
        <v>3.15</v>
      </c>
      <c r="D786" s="75">
        <v>0.0</v>
      </c>
      <c r="E786" s="75">
        <v>0.0</v>
      </c>
      <c r="F786" s="75" t="s">
        <v>1005</v>
      </c>
      <c r="G786" s="82">
        <v>46110.0</v>
      </c>
      <c r="H786" s="76" t="s">
        <v>951</v>
      </c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>
      <c r="A787" s="75" t="s">
        <v>34</v>
      </c>
      <c r="B787" s="75" t="s">
        <v>1004</v>
      </c>
      <c r="C787" s="75">
        <v>5.62</v>
      </c>
      <c r="D787" s="75">
        <v>1.0</v>
      </c>
      <c r="E787" s="75">
        <v>5.62</v>
      </c>
      <c r="F787" s="75" t="s">
        <v>1005</v>
      </c>
      <c r="G787" s="82">
        <v>46110.0</v>
      </c>
      <c r="H787" s="76" t="s">
        <v>952</v>
      </c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>
      <c r="A788" s="75" t="s">
        <v>34</v>
      </c>
      <c r="B788" s="75" t="s">
        <v>1004</v>
      </c>
      <c r="C788" s="75">
        <v>4.69</v>
      </c>
      <c r="D788" s="75">
        <v>2.0</v>
      </c>
      <c r="E788" s="75">
        <v>2.35</v>
      </c>
      <c r="F788" s="75" t="s">
        <v>1005</v>
      </c>
      <c r="G788" s="82">
        <v>46110.0</v>
      </c>
      <c r="H788" s="76" t="s">
        <v>953</v>
      </c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>
      <c r="A789" s="75" t="s">
        <v>40</v>
      </c>
      <c r="B789" s="75" t="s">
        <v>1004</v>
      </c>
      <c r="C789" s="75">
        <v>3.18</v>
      </c>
      <c r="D789" s="75">
        <v>1.0</v>
      </c>
      <c r="E789" s="75">
        <v>3.18</v>
      </c>
      <c r="F789" s="75" t="s">
        <v>1005</v>
      </c>
      <c r="G789" s="82">
        <v>46110.0</v>
      </c>
      <c r="H789" s="76" t="s">
        <v>954</v>
      </c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>
      <c r="A790" s="75" t="s">
        <v>40</v>
      </c>
      <c r="B790" s="75" t="s">
        <v>1004</v>
      </c>
      <c r="C790" s="75">
        <v>2.98</v>
      </c>
      <c r="D790" s="75">
        <v>0.0</v>
      </c>
      <c r="E790" s="75">
        <v>0.0</v>
      </c>
      <c r="F790" s="75" t="s">
        <v>1005</v>
      </c>
      <c r="G790" s="82">
        <v>46110.0</v>
      </c>
      <c r="H790" s="76" t="s">
        <v>955</v>
      </c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>
      <c r="A791" s="75" t="s">
        <v>40</v>
      </c>
      <c r="B791" s="75" t="s">
        <v>1004</v>
      </c>
      <c r="C791" s="75">
        <v>19.79</v>
      </c>
      <c r="D791" s="75">
        <v>3.0</v>
      </c>
      <c r="E791" s="75">
        <v>6.6</v>
      </c>
      <c r="F791" s="75" t="s">
        <v>1005</v>
      </c>
      <c r="G791" s="82">
        <v>46110.0</v>
      </c>
      <c r="H791" s="76" t="s">
        <v>956</v>
      </c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>
      <c r="A792" s="75" t="s">
        <v>33</v>
      </c>
      <c r="B792" s="75" t="s">
        <v>1004</v>
      </c>
      <c r="C792" s="75">
        <v>8.84</v>
      </c>
      <c r="D792" s="75">
        <v>4.0</v>
      </c>
      <c r="E792" s="75">
        <v>2.21</v>
      </c>
      <c r="F792" s="75" t="s">
        <v>1005</v>
      </c>
      <c r="G792" s="82">
        <v>46110.0</v>
      </c>
      <c r="H792" s="76" t="s">
        <v>957</v>
      </c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>
      <c r="A793" s="75" t="s">
        <v>33</v>
      </c>
      <c r="B793" s="75" t="s">
        <v>1004</v>
      </c>
      <c r="C793" s="75">
        <v>2.05</v>
      </c>
      <c r="D793" s="75">
        <v>1.0</v>
      </c>
      <c r="E793" s="75">
        <v>2.05</v>
      </c>
      <c r="F793" s="75" t="s">
        <v>1005</v>
      </c>
      <c r="G793" s="82">
        <v>46110.0</v>
      </c>
      <c r="H793" s="76" t="s">
        <v>958</v>
      </c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>
      <c r="A794" s="75" t="s">
        <v>33</v>
      </c>
      <c r="B794" s="75" t="s">
        <v>1004</v>
      </c>
      <c r="C794" s="75">
        <v>4.26</v>
      </c>
      <c r="D794" s="75">
        <v>3.0</v>
      </c>
      <c r="E794" s="75">
        <v>1.42</v>
      </c>
      <c r="F794" s="75" t="s">
        <v>1005</v>
      </c>
      <c r="G794" s="82">
        <v>46110.0</v>
      </c>
      <c r="H794" s="76" t="s">
        <v>959</v>
      </c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>
      <c r="A795" s="75" t="s">
        <v>46</v>
      </c>
      <c r="B795" s="75" t="s">
        <v>1004</v>
      </c>
      <c r="C795" s="75">
        <v>4.07</v>
      </c>
      <c r="D795" s="75">
        <v>1.0</v>
      </c>
      <c r="E795" s="75">
        <v>4.07</v>
      </c>
      <c r="F795" s="75" t="s">
        <v>1005</v>
      </c>
      <c r="G795" s="82">
        <v>46110.0</v>
      </c>
      <c r="H795" s="76" t="s">
        <v>960</v>
      </c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>
      <c r="A796" s="75" t="s">
        <v>46</v>
      </c>
      <c r="B796" s="75" t="s">
        <v>1004</v>
      </c>
      <c r="C796" s="75">
        <v>5.06</v>
      </c>
      <c r="D796" s="75">
        <v>0.0</v>
      </c>
      <c r="E796" s="75">
        <v>0.0</v>
      </c>
      <c r="F796" s="75" t="s">
        <v>1005</v>
      </c>
      <c r="G796" s="82">
        <v>46110.0</v>
      </c>
      <c r="H796" s="76" t="s">
        <v>961</v>
      </c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>
      <c r="A797" s="75" t="s">
        <v>46</v>
      </c>
      <c r="B797" s="75" t="s">
        <v>1004</v>
      </c>
      <c r="C797" s="75">
        <v>4.01</v>
      </c>
      <c r="D797" s="75">
        <v>0.0</v>
      </c>
      <c r="E797" s="75">
        <v>0.0</v>
      </c>
      <c r="F797" s="75" t="s">
        <v>1005</v>
      </c>
      <c r="G797" s="82">
        <v>46110.0</v>
      </c>
      <c r="H797" s="76" t="s">
        <v>962</v>
      </c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>
      <c r="A798" s="75" t="s">
        <v>43</v>
      </c>
      <c r="B798" s="75" t="s">
        <v>1004</v>
      </c>
      <c r="C798" s="75">
        <v>3.06</v>
      </c>
      <c r="D798" s="75">
        <v>1.0</v>
      </c>
      <c r="E798" s="75">
        <v>3.06</v>
      </c>
      <c r="F798" s="75" t="s">
        <v>1005</v>
      </c>
      <c r="G798" s="82">
        <v>46110.0</v>
      </c>
      <c r="H798" s="76" t="s">
        <v>963</v>
      </c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>
      <c r="A799" s="75" t="s">
        <v>43</v>
      </c>
      <c r="B799" s="75" t="s">
        <v>1004</v>
      </c>
      <c r="C799" s="75">
        <v>1.2</v>
      </c>
      <c r="D799" s="75">
        <v>0.0</v>
      </c>
      <c r="E799" s="75">
        <v>0.0</v>
      </c>
      <c r="F799" s="75" t="s">
        <v>1005</v>
      </c>
      <c r="G799" s="82">
        <v>46110.0</v>
      </c>
      <c r="H799" s="76" t="s">
        <v>964</v>
      </c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>
      <c r="A800" s="75" t="s">
        <v>43</v>
      </c>
      <c r="B800" s="75" t="s">
        <v>1004</v>
      </c>
      <c r="C800" s="75">
        <v>6.95</v>
      </c>
      <c r="D800" s="75">
        <v>3.0</v>
      </c>
      <c r="E800" s="75">
        <v>2.32</v>
      </c>
      <c r="F800" s="75" t="s">
        <v>1005</v>
      </c>
      <c r="G800" s="82">
        <v>46110.0</v>
      </c>
      <c r="H800" s="76" t="s">
        <v>965</v>
      </c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>
      <c r="A801" s="75" t="s">
        <v>966</v>
      </c>
      <c r="B801" s="75" t="s">
        <v>1004</v>
      </c>
      <c r="C801" s="75">
        <v>5.35</v>
      </c>
      <c r="D801" s="75">
        <v>0.0</v>
      </c>
      <c r="E801" s="75">
        <v>0.0</v>
      </c>
      <c r="F801" s="75" t="s">
        <v>1005</v>
      </c>
      <c r="G801" s="82">
        <v>46110.0</v>
      </c>
      <c r="H801" s="76" t="s">
        <v>967</v>
      </c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>
      <c r="A802" s="75" t="s">
        <v>966</v>
      </c>
      <c r="B802" s="75" t="s">
        <v>1004</v>
      </c>
      <c r="C802" s="75">
        <v>4.1</v>
      </c>
      <c r="D802" s="75">
        <v>0.0</v>
      </c>
      <c r="E802" s="75">
        <v>0.0</v>
      </c>
      <c r="F802" s="75" t="s">
        <v>1005</v>
      </c>
      <c r="G802" s="82">
        <v>46110.0</v>
      </c>
      <c r="H802" s="76" t="s">
        <v>968</v>
      </c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>
      <c r="A803" s="75" t="s">
        <v>966</v>
      </c>
      <c r="B803" s="75" t="s">
        <v>1004</v>
      </c>
      <c r="C803" s="75">
        <v>2.43</v>
      </c>
      <c r="D803" s="75">
        <v>1.0</v>
      </c>
      <c r="E803" s="75">
        <v>2.43</v>
      </c>
      <c r="F803" s="75" t="s">
        <v>1005</v>
      </c>
      <c r="G803" s="82">
        <v>46110.0</v>
      </c>
      <c r="H803" s="76" t="s">
        <v>969</v>
      </c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>
      <c r="A804" s="75" t="s">
        <v>36</v>
      </c>
      <c r="B804" s="75" t="s">
        <v>1004</v>
      </c>
      <c r="C804" s="75">
        <v>10.69</v>
      </c>
      <c r="D804" s="75">
        <v>1.0</v>
      </c>
      <c r="E804" s="75">
        <v>10.69</v>
      </c>
      <c r="F804" s="75" t="s">
        <v>1005</v>
      </c>
      <c r="G804" s="82">
        <v>46110.0</v>
      </c>
      <c r="H804" s="76" t="s">
        <v>926</v>
      </c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>
      <c r="A805" s="75" t="s">
        <v>36</v>
      </c>
      <c r="B805" s="75" t="s">
        <v>1004</v>
      </c>
      <c r="C805" s="75">
        <v>2.82</v>
      </c>
      <c r="D805" s="75">
        <v>0.0</v>
      </c>
      <c r="E805" s="75">
        <v>0.0</v>
      </c>
      <c r="F805" s="75" t="s">
        <v>1005</v>
      </c>
      <c r="G805" s="82">
        <v>46110.0</v>
      </c>
      <c r="H805" s="76" t="s">
        <v>927</v>
      </c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>
      <c r="A806" s="75" t="s">
        <v>36</v>
      </c>
      <c r="B806" s="75" t="s">
        <v>1004</v>
      </c>
      <c r="C806" s="75">
        <v>2.6</v>
      </c>
      <c r="D806" s="75">
        <v>0.0</v>
      </c>
      <c r="E806" s="75">
        <v>0.0</v>
      </c>
      <c r="F806" s="75" t="s">
        <v>1005</v>
      </c>
      <c r="G806" s="82">
        <v>46110.0</v>
      </c>
      <c r="H806" s="76" t="s">
        <v>928</v>
      </c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>
      <c r="A807" s="75" t="s">
        <v>970</v>
      </c>
      <c r="B807" s="75" t="s">
        <v>1004</v>
      </c>
      <c r="C807" s="75">
        <v>3.97</v>
      </c>
      <c r="D807" s="75">
        <v>2.0</v>
      </c>
      <c r="E807" s="75">
        <v>1.98</v>
      </c>
      <c r="F807" s="75" t="s">
        <v>1005</v>
      </c>
      <c r="G807" s="82">
        <v>46110.0</v>
      </c>
      <c r="H807" s="76" t="s">
        <v>971</v>
      </c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>
      <c r="A808" s="75" t="s">
        <v>970</v>
      </c>
      <c r="B808" s="75" t="s">
        <v>1004</v>
      </c>
      <c r="C808" s="75">
        <v>3.2</v>
      </c>
      <c r="D808" s="75">
        <v>0.0</v>
      </c>
      <c r="E808" s="75">
        <v>0.0</v>
      </c>
      <c r="F808" s="75" t="s">
        <v>1005</v>
      </c>
      <c r="G808" s="82">
        <v>46110.0</v>
      </c>
      <c r="H808" s="76" t="s">
        <v>972</v>
      </c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>
      <c r="A809" s="75" t="s">
        <v>970</v>
      </c>
      <c r="B809" s="75" t="s">
        <v>1004</v>
      </c>
      <c r="C809" s="75">
        <v>12.51</v>
      </c>
      <c r="D809" s="75">
        <v>6.0</v>
      </c>
      <c r="E809" s="75">
        <v>2.08</v>
      </c>
      <c r="F809" s="75" t="s">
        <v>1005</v>
      </c>
      <c r="G809" s="82">
        <v>46110.0</v>
      </c>
      <c r="H809" s="76" t="s">
        <v>973</v>
      </c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>
      <c r="A810" s="75" t="s">
        <v>34</v>
      </c>
      <c r="B810" s="75" t="s">
        <v>1004</v>
      </c>
      <c r="C810" s="75">
        <v>2.06</v>
      </c>
      <c r="D810" s="75">
        <v>0.0</v>
      </c>
      <c r="E810" s="75">
        <v>0.0</v>
      </c>
      <c r="F810" s="75" t="s">
        <v>996</v>
      </c>
      <c r="G810" s="82">
        <v>46110.0</v>
      </c>
      <c r="H810" s="76" t="s">
        <v>951</v>
      </c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>
      <c r="A811" s="75" t="s">
        <v>34</v>
      </c>
      <c r="B811" s="75" t="s">
        <v>1004</v>
      </c>
      <c r="C811" s="75">
        <v>2.96</v>
      </c>
      <c r="D811" s="75">
        <v>1.0</v>
      </c>
      <c r="E811" s="75">
        <v>2.96</v>
      </c>
      <c r="F811" s="75" t="s">
        <v>996</v>
      </c>
      <c r="G811" s="82">
        <v>46110.0</v>
      </c>
      <c r="H811" s="76" t="s">
        <v>952</v>
      </c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>
      <c r="A812" s="75" t="s">
        <v>34</v>
      </c>
      <c r="B812" s="75" t="s">
        <v>1004</v>
      </c>
      <c r="C812" s="75">
        <v>4.43</v>
      </c>
      <c r="D812" s="75">
        <v>0.0</v>
      </c>
      <c r="E812" s="75">
        <v>0.0</v>
      </c>
      <c r="F812" s="75" t="s">
        <v>996</v>
      </c>
      <c r="G812" s="82">
        <v>46110.0</v>
      </c>
      <c r="H812" s="76" t="s">
        <v>953</v>
      </c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>
      <c r="A813" s="75" t="s">
        <v>40</v>
      </c>
      <c r="B813" s="75" t="s">
        <v>1004</v>
      </c>
      <c r="C813" s="75">
        <v>1.63</v>
      </c>
      <c r="D813" s="75">
        <v>0.0</v>
      </c>
      <c r="E813" s="75">
        <v>0.0</v>
      </c>
      <c r="F813" s="75" t="s">
        <v>996</v>
      </c>
      <c r="G813" s="82">
        <v>46110.0</v>
      </c>
      <c r="H813" s="76" t="s">
        <v>954</v>
      </c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>
      <c r="A814" s="75" t="s">
        <v>40</v>
      </c>
      <c r="B814" s="75" t="s">
        <v>1004</v>
      </c>
      <c r="C814" s="75">
        <v>1.47</v>
      </c>
      <c r="D814" s="75">
        <v>0.0</v>
      </c>
      <c r="E814" s="75">
        <v>0.0</v>
      </c>
      <c r="F814" s="75" t="s">
        <v>996</v>
      </c>
      <c r="G814" s="82">
        <v>46110.0</v>
      </c>
      <c r="H814" s="76" t="s">
        <v>955</v>
      </c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>
      <c r="A815" s="75" t="s">
        <v>40</v>
      </c>
      <c r="B815" s="75" t="s">
        <v>1004</v>
      </c>
      <c r="C815" s="75">
        <v>14.93</v>
      </c>
      <c r="D815" s="75">
        <v>3.0</v>
      </c>
      <c r="E815" s="75">
        <v>4.98</v>
      </c>
      <c r="F815" s="75" t="s">
        <v>996</v>
      </c>
      <c r="G815" s="82">
        <v>46110.0</v>
      </c>
      <c r="H815" s="76" t="s">
        <v>956</v>
      </c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>
      <c r="A816" s="75" t="s">
        <v>33</v>
      </c>
      <c r="B816" s="75" t="s">
        <v>1004</v>
      </c>
      <c r="C816" s="75">
        <v>8.03</v>
      </c>
      <c r="D816" s="75">
        <v>4.0</v>
      </c>
      <c r="E816" s="75">
        <v>2.01</v>
      </c>
      <c r="F816" s="75" t="s">
        <v>996</v>
      </c>
      <c r="G816" s="82">
        <v>46110.0</v>
      </c>
      <c r="H816" s="76" t="s">
        <v>957</v>
      </c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>
      <c r="A817" s="75" t="s">
        <v>33</v>
      </c>
      <c r="B817" s="75" t="s">
        <v>1004</v>
      </c>
      <c r="C817" s="75">
        <v>1.08</v>
      </c>
      <c r="D817" s="75">
        <v>2.0</v>
      </c>
      <c r="E817" s="75">
        <v>0.54</v>
      </c>
      <c r="F817" s="75" t="s">
        <v>996</v>
      </c>
      <c r="G817" s="82">
        <v>46110.0</v>
      </c>
      <c r="H817" s="76" t="s">
        <v>958</v>
      </c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>
      <c r="A818" s="75" t="s">
        <v>33</v>
      </c>
      <c r="B818" s="75" t="s">
        <v>1004</v>
      </c>
      <c r="C818" s="75">
        <v>3.46</v>
      </c>
      <c r="D818" s="75">
        <v>2.0</v>
      </c>
      <c r="E818" s="75">
        <v>1.73</v>
      </c>
      <c r="F818" s="75" t="s">
        <v>996</v>
      </c>
      <c r="G818" s="82">
        <v>46110.0</v>
      </c>
      <c r="H818" s="76" t="s">
        <v>959</v>
      </c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>
      <c r="A819" s="75" t="s">
        <v>46</v>
      </c>
      <c r="B819" s="75" t="s">
        <v>1004</v>
      </c>
      <c r="C819" s="75">
        <v>3.4</v>
      </c>
      <c r="D819" s="75">
        <v>0.0</v>
      </c>
      <c r="E819" s="75">
        <v>0.0</v>
      </c>
      <c r="F819" s="75" t="s">
        <v>996</v>
      </c>
      <c r="G819" s="82">
        <v>46110.0</v>
      </c>
      <c r="H819" s="76" t="s">
        <v>960</v>
      </c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>
      <c r="A820" s="75" t="s">
        <v>46</v>
      </c>
      <c r="B820" s="75" t="s">
        <v>1004</v>
      </c>
      <c r="C820" s="75">
        <v>3.18</v>
      </c>
      <c r="D820" s="75">
        <v>0.0</v>
      </c>
      <c r="E820" s="75">
        <v>0.0</v>
      </c>
      <c r="F820" s="75" t="s">
        <v>996</v>
      </c>
      <c r="G820" s="82">
        <v>46110.0</v>
      </c>
      <c r="H820" s="76" t="s">
        <v>961</v>
      </c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>
      <c r="A821" s="75" t="s">
        <v>46</v>
      </c>
      <c r="B821" s="75" t="s">
        <v>1004</v>
      </c>
      <c r="C821" s="75">
        <v>3.73</v>
      </c>
      <c r="D821" s="75">
        <v>1.0</v>
      </c>
      <c r="E821" s="75">
        <v>3.73</v>
      </c>
      <c r="F821" s="75" t="s">
        <v>996</v>
      </c>
      <c r="G821" s="82">
        <v>46110.0</v>
      </c>
      <c r="H821" s="76" t="s">
        <v>962</v>
      </c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>
      <c r="A822" s="75" t="s">
        <v>43</v>
      </c>
      <c r="B822" s="75" t="s">
        <v>1004</v>
      </c>
      <c r="C822" s="75">
        <v>2.27</v>
      </c>
      <c r="D822" s="75">
        <v>0.0</v>
      </c>
      <c r="E822" s="75">
        <v>0.0</v>
      </c>
      <c r="F822" s="75" t="s">
        <v>996</v>
      </c>
      <c r="G822" s="82">
        <v>46110.0</v>
      </c>
      <c r="H822" s="76" t="s">
        <v>963</v>
      </c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>
      <c r="A823" s="75" t="s">
        <v>43</v>
      </c>
      <c r="B823" s="75" t="s">
        <v>1004</v>
      </c>
      <c r="C823" s="75">
        <v>1.04</v>
      </c>
      <c r="D823" s="75">
        <v>1.0</v>
      </c>
      <c r="E823" s="75">
        <v>1.04</v>
      </c>
      <c r="F823" s="75" t="s">
        <v>996</v>
      </c>
      <c r="G823" s="82">
        <v>46110.0</v>
      </c>
      <c r="H823" s="76" t="s">
        <v>964</v>
      </c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>
      <c r="A824" s="75" t="s">
        <v>43</v>
      </c>
      <c r="B824" s="75" t="s">
        <v>1004</v>
      </c>
      <c r="C824" s="75">
        <v>5.49</v>
      </c>
      <c r="D824" s="75">
        <v>0.0</v>
      </c>
      <c r="E824" s="75">
        <v>0.0</v>
      </c>
      <c r="F824" s="75" t="s">
        <v>996</v>
      </c>
      <c r="G824" s="82">
        <v>46110.0</v>
      </c>
      <c r="H824" s="76" t="s">
        <v>965</v>
      </c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>
      <c r="A825" s="75" t="s">
        <v>966</v>
      </c>
      <c r="B825" s="75" t="s">
        <v>1004</v>
      </c>
      <c r="C825" s="75">
        <v>5.59</v>
      </c>
      <c r="D825" s="75">
        <v>0.0</v>
      </c>
      <c r="E825" s="75">
        <v>0.0</v>
      </c>
      <c r="F825" s="75" t="s">
        <v>996</v>
      </c>
      <c r="G825" s="82">
        <v>46110.0</v>
      </c>
      <c r="H825" s="76" t="s">
        <v>967</v>
      </c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>
      <c r="A826" s="75" t="s">
        <v>966</v>
      </c>
      <c r="B826" s="75" t="s">
        <v>1004</v>
      </c>
      <c r="C826" s="75">
        <v>2.15</v>
      </c>
      <c r="D826" s="75">
        <v>0.0</v>
      </c>
      <c r="E826" s="75">
        <v>0.0</v>
      </c>
      <c r="F826" s="75" t="s">
        <v>996</v>
      </c>
      <c r="G826" s="82">
        <v>46110.0</v>
      </c>
      <c r="H826" s="76" t="s">
        <v>968</v>
      </c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>
      <c r="A827" s="75" t="s">
        <v>966</v>
      </c>
      <c r="B827" s="75" t="s">
        <v>1004</v>
      </c>
      <c r="C827" s="75">
        <v>1.36</v>
      </c>
      <c r="D827" s="75">
        <v>0.0</v>
      </c>
      <c r="E827" s="75">
        <v>0.0</v>
      </c>
      <c r="F827" s="75" t="s">
        <v>996</v>
      </c>
      <c r="G827" s="82">
        <v>46110.0</v>
      </c>
      <c r="H827" s="76" t="s">
        <v>969</v>
      </c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>
      <c r="A828" s="75" t="s">
        <v>36</v>
      </c>
      <c r="B828" s="75" t="s">
        <v>1004</v>
      </c>
      <c r="C828" s="75">
        <v>8.38</v>
      </c>
      <c r="D828" s="75">
        <v>2.0</v>
      </c>
      <c r="E828" s="75">
        <v>4.19</v>
      </c>
      <c r="F828" s="75" t="s">
        <v>996</v>
      </c>
      <c r="G828" s="82">
        <v>46110.0</v>
      </c>
      <c r="H828" s="76" t="s">
        <v>926</v>
      </c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>
      <c r="A829" s="75" t="s">
        <v>36</v>
      </c>
      <c r="B829" s="75" t="s">
        <v>1004</v>
      </c>
      <c r="C829" s="75">
        <v>2.18</v>
      </c>
      <c r="D829" s="75">
        <v>1.0</v>
      </c>
      <c r="E829" s="75">
        <v>2.18</v>
      </c>
      <c r="F829" s="75" t="s">
        <v>996</v>
      </c>
      <c r="G829" s="82">
        <v>46110.0</v>
      </c>
      <c r="H829" s="76" t="s">
        <v>927</v>
      </c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>
      <c r="A830" s="75" t="s">
        <v>36</v>
      </c>
      <c r="B830" s="75" t="s">
        <v>1004</v>
      </c>
      <c r="C830" s="75">
        <v>2.04</v>
      </c>
      <c r="D830" s="75">
        <v>0.0</v>
      </c>
      <c r="E830" s="75">
        <v>0.0</v>
      </c>
      <c r="F830" s="75" t="s">
        <v>996</v>
      </c>
      <c r="G830" s="82">
        <v>46110.0</v>
      </c>
      <c r="H830" s="76" t="s">
        <v>928</v>
      </c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>
      <c r="A831" s="75" t="s">
        <v>970</v>
      </c>
      <c r="B831" s="75" t="s">
        <v>1004</v>
      </c>
      <c r="C831" s="75">
        <v>1.83</v>
      </c>
      <c r="D831" s="75">
        <v>3.0</v>
      </c>
      <c r="E831" s="75">
        <v>0.61</v>
      </c>
      <c r="F831" s="75" t="s">
        <v>996</v>
      </c>
      <c r="G831" s="82">
        <v>46110.0</v>
      </c>
      <c r="H831" s="76" t="s">
        <v>971</v>
      </c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>
      <c r="A832" s="75" t="s">
        <v>970</v>
      </c>
      <c r="B832" s="75" t="s">
        <v>1004</v>
      </c>
      <c r="C832" s="75">
        <v>1.94</v>
      </c>
      <c r="D832" s="75">
        <v>0.0</v>
      </c>
      <c r="E832" s="75">
        <v>0.0</v>
      </c>
      <c r="F832" s="75" t="s">
        <v>996</v>
      </c>
      <c r="G832" s="82">
        <v>46110.0</v>
      </c>
      <c r="H832" s="76" t="s">
        <v>972</v>
      </c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>
      <c r="A833" s="75" t="s">
        <v>970</v>
      </c>
      <c r="B833" s="75" t="s">
        <v>1004</v>
      </c>
      <c r="C833" s="75">
        <v>9.12</v>
      </c>
      <c r="D833" s="75">
        <v>4.0</v>
      </c>
      <c r="E833" s="75">
        <v>2.28</v>
      </c>
      <c r="F833" s="75" t="s">
        <v>996</v>
      </c>
      <c r="G833" s="82">
        <v>46110.0</v>
      </c>
      <c r="H833" s="76" t="s">
        <v>973</v>
      </c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>
      <c r="A834" s="75" t="s">
        <v>34</v>
      </c>
      <c r="B834" s="75" t="s">
        <v>1004</v>
      </c>
      <c r="C834" s="75">
        <v>1.35</v>
      </c>
      <c r="D834" s="75">
        <v>0.0</v>
      </c>
      <c r="E834" s="75">
        <v>0.0</v>
      </c>
      <c r="F834" s="75" t="s">
        <v>997</v>
      </c>
      <c r="G834" s="82">
        <v>46110.0</v>
      </c>
      <c r="H834" s="76" t="s">
        <v>951</v>
      </c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>
      <c r="A835" s="75" t="s">
        <v>34</v>
      </c>
      <c r="B835" s="75" t="s">
        <v>1004</v>
      </c>
      <c r="C835" s="75">
        <v>2.0</v>
      </c>
      <c r="D835" s="75">
        <v>0.0</v>
      </c>
      <c r="E835" s="75">
        <v>0.0</v>
      </c>
      <c r="F835" s="75" t="s">
        <v>997</v>
      </c>
      <c r="G835" s="82">
        <v>46110.0</v>
      </c>
      <c r="H835" s="76" t="s">
        <v>952</v>
      </c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>
      <c r="A836" s="75" t="s">
        <v>34</v>
      </c>
      <c r="B836" s="75" t="s">
        <v>1004</v>
      </c>
      <c r="C836" s="75">
        <v>2.68</v>
      </c>
      <c r="D836" s="75">
        <v>1.0</v>
      </c>
      <c r="E836" s="75">
        <v>2.68</v>
      </c>
      <c r="F836" s="75" t="s">
        <v>997</v>
      </c>
      <c r="G836" s="82">
        <v>46110.0</v>
      </c>
      <c r="H836" s="76" t="s">
        <v>953</v>
      </c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>
      <c r="A837" s="75" t="s">
        <v>40</v>
      </c>
      <c r="B837" s="75" t="s">
        <v>1004</v>
      </c>
      <c r="C837" s="75">
        <v>1.25</v>
      </c>
      <c r="D837" s="75">
        <v>0.0</v>
      </c>
      <c r="E837" s="75">
        <v>0.0</v>
      </c>
      <c r="F837" s="75" t="s">
        <v>997</v>
      </c>
      <c r="G837" s="82">
        <v>46110.0</v>
      </c>
      <c r="H837" s="76" t="s">
        <v>954</v>
      </c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>
      <c r="A838" s="75" t="s">
        <v>40</v>
      </c>
      <c r="B838" s="75" t="s">
        <v>1004</v>
      </c>
      <c r="C838" s="75">
        <v>1.08</v>
      </c>
      <c r="D838" s="75">
        <v>0.0</v>
      </c>
      <c r="E838" s="75">
        <v>0.0</v>
      </c>
      <c r="F838" s="75" t="s">
        <v>997</v>
      </c>
      <c r="G838" s="82">
        <v>46110.0</v>
      </c>
      <c r="H838" s="76" t="s">
        <v>955</v>
      </c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>
      <c r="A839" s="75" t="s">
        <v>40</v>
      </c>
      <c r="B839" s="75" t="s">
        <v>1004</v>
      </c>
      <c r="C839" s="75">
        <v>9.91</v>
      </c>
      <c r="D839" s="75">
        <v>2.0</v>
      </c>
      <c r="E839" s="75">
        <v>4.96</v>
      </c>
      <c r="F839" s="75" t="s">
        <v>997</v>
      </c>
      <c r="G839" s="82">
        <v>46110.0</v>
      </c>
      <c r="H839" s="76" t="s">
        <v>956</v>
      </c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>
      <c r="A840" s="75" t="s">
        <v>33</v>
      </c>
      <c r="B840" s="75" t="s">
        <v>1004</v>
      </c>
      <c r="C840" s="75">
        <v>4.56</v>
      </c>
      <c r="D840" s="75">
        <v>0.0</v>
      </c>
      <c r="E840" s="75">
        <v>0.0</v>
      </c>
      <c r="F840" s="75" t="s">
        <v>997</v>
      </c>
      <c r="G840" s="82">
        <v>46110.0</v>
      </c>
      <c r="H840" s="76" t="s">
        <v>957</v>
      </c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>
      <c r="A841" s="75" t="s">
        <v>33</v>
      </c>
      <c r="B841" s="75" t="s">
        <v>1004</v>
      </c>
      <c r="C841" s="75">
        <v>0.55</v>
      </c>
      <c r="D841" s="75">
        <v>0.0</v>
      </c>
      <c r="E841" s="75">
        <v>0.0</v>
      </c>
      <c r="F841" s="75" t="s">
        <v>997</v>
      </c>
      <c r="G841" s="82">
        <v>46110.0</v>
      </c>
      <c r="H841" s="76" t="s">
        <v>958</v>
      </c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>
      <c r="A842" s="75" t="s">
        <v>33</v>
      </c>
      <c r="B842" s="75" t="s">
        <v>1004</v>
      </c>
      <c r="C842" s="75">
        <v>1.94</v>
      </c>
      <c r="D842" s="75">
        <v>0.0</v>
      </c>
      <c r="E842" s="75">
        <v>0.0</v>
      </c>
      <c r="F842" s="75" t="s">
        <v>997</v>
      </c>
      <c r="G842" s="82">
        <v>46110.0</v>
      </c>
      <c r="H842" s="76" t="s">
        <v>959</v>
      </c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>
      <c r="A843" s="75" t="s">
        <v>46</v>
      </c>
      <c r="B843" s="75" t="s">
        <v>1004</v>
      </c>
      <c r="C843" s="75">
        <v>2.18</v>
      </c>
      <c r="D843" s="75">
        <v>0.0</v>
      </c>
      <c r="E843" s="75">
        <v>0.0</v>
      </c>
      <c r="F843" s="75" t="s">
        <v>997</v>
      </c>
      <c r="G843" s="82">
        <v>46110.0</v>
      </c>
      <c r="H843" s="76" t="s">
        <v>960</v>
      </c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>
      <c r="A844" s="75" t="s">
        <v>46</v>
      </c>
      <c r="B844" s="75" t="s">
        <v>1004</v>
      </c>
      <c r="C844" s="75">
        <v>1.86</v>
      </c>
      <c r="D844" s="75">
        <v>1.0</v>
      </c>
      <c r="E844" s="75">
        <v>1.86</v>
      </c>
      <c r="F844" s="75" t="s">
        <v>997</v>
      </c>
      <c r="G844" s="82">
        <v>46110.0</v>
      </c>
      <c r="H844" s="76" t="s">
        <v>961</v>
      </c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>
      <c r="A845" s="75" t="s">
        <v>46</v>
      </c>
      <c r="B845" s="75" t="s">
        <v>1004</v>
      </c>
      <c r="C845" s="75">
        <v>2.2</v>
      </c>
      <c r="D845" s="75">
        <v>1.0</v>
      </c>
      <c r="E845" s="75">
        <v>2.2</v>
      </c>
      <c r="F845" s="75" t="s">
        <v>997</v>
      </c>
      <c r="G845" s="82">
        <v>46110.0</v>
      </c>
      <c r="H845" s="76" t="s">
        <v>962</v>
      </c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>
      <c r="A846" s="75" t="s">
        <v>43</v>
      </c>
      <c r="B846" s="75" t="s">
        <v>1004</v>
      </c>
      <c r="C846" s="75">
        <v>1.47</v>
      </c>
      <c r="D846" s="75">
        <v>0.0</v>
      </c>
      <c r="E846" s="75">
        <v>0.0</v>
      </c>
      <c r="F846" s="75" t="s">
        <v>997</v>
      </c>
      <c r="G846" s="82">
        <v>46110.0</v>
      </c>
      <c r="H846" s="76" t="s">
        <v>963</v>
      </c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>
      <c r="A847" s="75" t="s">
        <v>43</v>
      </c>
      <c r="B847" s="75" t="s">
        <v>1004</v>
      </c>
      <c r="C847" s="75">
        <v>0.73</v>
      </c>
      <c r="D847" s="75">
        <v>0.0</v>
      </c>
      <c r="E847" s="75">
        <v>0.0</v>
      </c>
      <c r="F847" s="75" t="s">
        <v>997</v>
      </c>
      <c r="G847" s="82">
        <v>46110.0</v>
      </c>
      <c r="H847" s="76" t="s">
        <v>964</v>
      </c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>
      <c r="A848" s="75" t="s">
        <v>43</v>
      </c>
      <c r="B848" s="75" t="s">
        <v>1004</v>
      </c>
      <c r="C848" s="75">
        <v>2.95</v>
      </c>
      <c r="D848" s="75">
        <v>0.0</v>
      </c>
      <c r="E848" s="75">
        <v>0.0</v>
      </c>
      <c r="F848" s="75" t="s">
        <v>997</v>
      </c>
      <c r="G848" s="82">
        <v>46110.0</v>
      </c>
      <c r="H848" s="76" t="s">
        <v>965</v>
      </c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>
      <c r="A849" s="75" t="s">
        <v>966</v>
      </c>
      <c r="B849" s="75" t="s">
        <v>1004</v>
      </c>
      <c r="C849" s="75">
        <v>9.49</v>
      </c>
      <c r="D849" s="75">
        <v>1.0</v>
      </c>
      <c r="E849" s="75">
        <v>9.49</v>
      </c>
      <c r="F849" s="75" t="s">
        <v>997</v>
      </c>
      <c r="G849" s="82">
        <v>46110.0</v>
      </c>
      <c r="H849" s="76" t="s">
        <v>967</v>
      </c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>
      <c r="A850" s="75" t="s">
        <v>966</v>
      </c>
      <c r="B850" s="75" t="s">
        <v>1004</v>
      </c>
      <c r="C850" s="75">
        <v>3.41</v>
      </c>
      <c r="D850" s="75">
        <v>0.0</v>
      </c>
      <c r="E850" s="75">
        <v>0.0</v>
      </c>
      <c r="F850" s="75" t="s">
        <v>997</v>
      </c>
      <c r="G850" s="82">
        <v>46110.0</v>
      </c>
      <c r="H850" s="76" t="s">
        <v>968</v>
      </c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>
      <c r="A851" s="75" t="s">
        <v>966</v>
      </c>
      <c r="B851" s="75" t="s">
        <v>1004</v>
      </c>
      <c r="C851" s="75">
        <v>2.15</v>
      </c>
      <c r="D851" s="75">
        <v>0.0</v>
      </c>
      <c r="E851" s="75">
        <v>0.0</v>
      </c>
      <c r="F851" s="75" t="s">
        <v>997</v>
      </c>
      <c r="G851" s="82">
        <v>46110.0</v>
      </c>
      <c r="H851" s="76" t="s">
        <v>969</v>
      </c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>
      <c r="A852" s="75" t="s">
        <v>36</v>
      </c>
      <c r="B852" s="75" t="s">
        <v>1004</v>
      </c>
      <c r="C852" s="75">
        <v>5.41</v>
      </c>
      <c r="D852" s="75">
        <v>1.0</v>
      </c>
      <c r="E852" s="75">
        <v>5.41</v>
      </c>
      <c r="F852" s="75" t="s">
        <v>997</v>
      </c>
      <c r="G852" s="82">
        <v>46110.0</v>
      </c>
      <c r="H852" s="76" t="s">
        <v>926</v>
      </c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>
      <c r="A853" s="75" t="s">
        <v>36</v>
      </c>
      <c r="B853" s="75" t="s">
        <v>1004</v>
      </c>
      <c r="C853" s="75">
        <v>1.23</v>
      </c>
      <c r="D853" s="75">
        <v>0.0</v>
      </c>
      <c r="E853" s="75">
        <v>0.0</v>
      </c>
      <c r="F853" s="75" t="s">
        <v>997</v>
      </c>
      <c r="G853" s="82">
        <v>46110.0</v>
      </c>
      <c r="H853" s="76" t="s">
        <v>927</v>
      </c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>
      <c r="A854" s="75" t="s">
        <v>36</v>
      </c>
      <c r="B854" s="75" t="s">
        <v>1004</v>
      </c>
      <c r="C854" s="75">
        <v>1.66</v>
      </c>
      <c r="D854" s="75">
        <v>1.0</v>
      </c>
      <c r="E854" s="75">
        <v>1.66</v>
      </c>
      <c r="F854" s="75" t="s">
        <v>997</v>
      </c>
      <c r="G854" s="82">
        <v>46110.0</v>
      </c>
      <c r="H854" s="76" t="s">
        <v>928</v>
      </c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>
      <c r="A855" s="75" t="s">
        <v>970</v>
      </c>
      <c r="B855" s="75" t="s">
        <v>1004</v>
      </c>
      <c r="C855" s="75">
        <v>1.17</v>
      </c>
      <c r="D855" s="75">
        <v>0.0</v>
      </c>
      <c r="E855" s="75">
        <v>0.0</v>
      </c>
      <c r="F855" s="75" t="s">
        <v>997</v>
      </c>
      <c r="G855" s="82">
        <v>46110.0</v>
      </c>
      <c r="H855" s="76" t="s">
        <v>971</v>
      </c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>
      <c r="A856" s="75" t="s">
        <v>970</v>
      </c>
      <c r="B856" s="75" t="s">
        <v>1004</v>
      </c>
      <c r="C856" s="75">
        <v>1.23</v>
      </c>
      <c r="D856" s="75">
        <v>1.0</v>
      </c>
      <c r="E856" s="75">
        <v>1.23</v>
      </c>
      <c r="F856" s="75" t="s">
        <v>997</v>
      </c>
      <c r="G856" s="82">
        <v>46110.0</v>
      </c>
      <c r="H856" s="76" t="s">
        <v>972</v>
      </c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>
      <c r="A857" s="75" t="s">
        <v>970</v>
      </c>
      <c r="B857" s="75" t="s">
        <v>1004</v>
      </c>
      <c r="C857" s="75">
        <v>6.47</v>
      </c>
      <c r="D857" s="75">
        <v>5.0</v>
      </c>
      <c r="E857" s="75">
        <v>1.29</v>
      </c>
      <c r="F857" s="75" t="s">
        <v>997</v>
      </c>
      <c r="G857" s="82">
        <v>46110.0</v>
      </c>
      <c r="H857" s="76" t="s">
        <v>973</v>
      </c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>
      <c r="A858" s="75" t="s">
        <v>34</v>
      </c>
      <c r="B858" s="75" t="s">
        <v>1004</v>
      </c>
      <c r="C858" s="75">
        <v>0.88</v>
      </c>
      <c r="D858" s="75">
        <v>0.0</v>
      </c>
      <c r="E858" s="75">
        <v>0.0</v>
      </c>
      <c r="F858" s="75" t="s">
        <v>998</v>
      </c>
      <c r="G858" s="82">
        <v>46110.0</v>
      </c>
      <c r="H858" s="76" t="s">
        <v>952</v>
      </c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>
      <c r="A859" s="75" t="s">
        <v>40</v>
      </c>
      <c r="B859" s="75" t="s">
        <v>1004</v>
      </c>
      <c r="C859" s="75">
        <v>0.42</v>
      </c>
      <c r="D859" s="75">
        <v>0.0</v>
      </c>
      <c r="E859" s="75">
        <v>0.0</v>
      </c>
      <c r="F859" s="75" t="s">
        <v>998</v>
      </c>
      <c r="G859" s="82">
        <v>46110.0</v>
      </c>
      <c r="H859" s="76" t="s">
        <v>955</v>
      </c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>
      <c r="A860" s="75" t="s">
        <v>33</v>
      </c>
      <c r="B860" s="75" t="s">
        <v>1004</v>
      </c>
      <c r="C860" s="75">
        <v>0.96</v>
      </c>
      <c r="D860" s="75">
        <v>0.0</v>
      </c>
      <c r="E860" s="75">
        <v>0.0</v>
      </c>
      <c r="F860" s="75" t="s">
        <v>998</v>
      </c>
      <c r="G860" s="82">
        <v>46110.0</v>
      </c>
      <c r="H860" s="76" t="s">
        <v>959</v>
      </c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>
      <c r="A861" s="75" t="s">
        <v>46</v>
      </c>
      <c r="B861" s="75" t="s">
        <v>1004</v>
      </c>
      <c r="C861" s="75">
        <v>1.0</v>
      </c>
      <c r="D861" s="75">
        <v>0.0</v>
      </c>
      <c r="E861" s="75">
        <v>0.0</v>
      </c>
      <c r="F861" s="75" t="s">
        <v>998</v>
      </c>
      <c r="G861" s="82">
        <v>46110.0</v>
      </c>
      <c r="H861" s="76" t="s">
        <v>962</v>
      </c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>
      <c r="A862" s="75" t="s">
        <v>43</v>
      </c>
      <c r="B862" s="75" t="s">
        <v>1004</v>
      </c>
      <c r="C862" s="75">
        <v>0.19</v>
      </c>
      <c r="D862" s="75">
        <v>0.0</v>
      </c>
      <c r="E862" s="75">
        <v>0.0</v>
      </c>
      <c r="F862" s="75" t="s">
        <v>998</v>
      </c>
      <c r="G862" s="82">
        <v>46110.0</v>
      </c>
      <c r="H862" s="76" t="s">
        <v>963</v>
      </c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>
      <c r="A863" s="75" t="s">
        <v>966</v>
      </c>
      <c r="B863" s="75" t="s">
        <v>1004</v>
      </c>
      <c r="C863" s="75">
        <v>0.58</v>
      </c>
      <c r="D863" s="75">
        <v>0.0</v>
      </c>
      <c r="E863" s="75">
        <v>0.0</v>
      </c>
      <c r="F863" s="75" t="s">
        <v>998</v>
      </c>
      <c r="G863" s="82">
        <v>46110.0</v>
      </c>
      <c r="H863" s="76" t="s">
        <v>968</v>
      </c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>
      <c r="A864" s="75" t="s">
        <v>966</v>
      </c>
      <c r="B864" s="75" t="s">
        <v>1004</v>
      </c>
      <c r="C864" s="75">
        <v>0.0</v>
      </c>
      <c r="D864" s="75">
        <v>0.0</v>
      </c>
      <c r="E864" s="75">
        <v>0.0</v>
      </c>
      <c r="F864" s="75" t="s">
        <v>998</v>
      </c>
      <c r="G864" s="82">
        <v>46110.0</v>
      </c>
      <c r="H864" s="76" t="s">
        <v>969</v>
      </c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>
      <c r="A865" s="75" t="s">
        <v>36</v>
      </c>
      <c r="B865" s="75" t="s">
        <v>1004</v>
      </c>
      <c r="C865" s="75">
        <v>0.49</v>
      </c>
      <c r="D865" s="75">
        <v>0.0</v>
      </c>
      <c r="E865" s="75">
        <v>0.0</v>
      </c>
      <c r="F865" s="75" t="s">
        <v>998</v>
      </c>
      <c r="G865" s="82">
        <v>46110.0</v>
      </c>
      <c r="H865" s="76" t="s">
        <v>928</v>
      </c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>
      <c r="A866" s="75" t="s">
        <v>970</v>
      </c>
      <c r="B866" s="75" t="s">
        <v>1004</v>
      </c>
      <c r="C866" s="75">
        <v>0.0</v>
      </c>
      <c r="D866" s="75">
        <v>0.0</v>
      </c>
      <c r="E866" s="75">
        <v>0.0</v>
      </c>
      <c r="F866" s="75" t="s">
        <v>998</v>
      </c>
      <c r="G866" s="82">
        <v>46110.0</v>
      </c>
      <c r="H866" s="76" t="s">
        <v>971</v>
      </c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>
      <c r="A867" s="75" t="s">
        <v>970</v>
      </c>
      <c r="B867" s="75" t="s">
        <v>1004</v>
      </c>
      <c r="C867" s="75">
        <v>0.58</v>
      </c>
      <c r="D867" s="75">
        <v>0.0</v>
      </c>
      <c r="E867" s="75">
        <v>0.0</v>
      </c>
      <c r="F867" s="75" t="s">
        <v>998</v>
      </c>
      <c r="G867" s="82">
        <v>46110.0</v>
      </c>
      <c r="H867" s="76" t="s">
        <v>972</v>
      </c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>
      <c r="A868" s="75" t="s">
        <v>36</v>
      </c>
      <c r="B868" s="75" t="s">
        <v>1006</v>
      </c>
      <c r="C868" s="75">
        <v>11.63</v>
      </c>
      <c r="D868" s="75">
        <v>1.0</v>
      </c>
      <c r="E868" s="75">
        <v>11.63</v>
      </c>
      <c r="F868" s="75" t="s">
        <v>990</v>
      </c>
      <c r="G868" s="82">
        <v>46110.0</v>
      </c>
      <c r="H868" s="76" t="s">
        <v>926</v>
      </c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>
      <c r="A869" s="75" t="s">
        <v>36</v>
      </c>
      <c r="B869" s="75" t="s">
        <v>1006</v>
      </c>
      <c r="C869" s="75">
        <v>2.71</v>
      </c>
      <c r="D869" s="75">
        <v>0.0</v>
      </c>
      <c r="E869" s="75">
        <v>0.0</v>
      </c>
      <c r="F869" s="75" t="s">
        <v>990</v>
      </c>
      <c r="G869" s="82">
        <v>46110.0</v>
      </c>
      <c r="H869" s="76" t="s">
        <v>927</v>
      </c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>
      <c r="A870" s="75" t="s">
        <v>36</v>
      </c>
      <c r="B870" s="75" t="s">
        <v>1006</v>
      </c>
      <c r="C870" s="75">
        <v>2.27</v>
      </c>
      <c r="D870" s="75">
        <v>0.0</v>
      </c>
      <c r="E870" s="75">
        <v>0.0</v>
      </c>
      <c r="F870" s="75" t="s">
        <v>990</v>
      </c>
      <c r="G870" s="82">
        <v>46110.0</v>
      </c>
      <c r="H870" s="76" t="s">
        <v>928</v>
      </c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>
      <c r="A871" s="75" t="s">
        <v>31</v>
      </c>
      <c r="B871" s="75" t="s">
        <v>1006</v>
      </c>
      <c r="C871" s="75">
        <v>3.95</v>
      </c>
      <c r="D871" s="75">
        <v>2.0</v>
      </c>
      <c r="E871" s="75">
        <v>1.98</v>
      </c>
      <c r="F871" s="75" t="s">
        <v>990</v>
      </c>
      <c r="G871" s="82">
        <v>46110.0</v>
      </c>
      <c r="H871" s="76" t="s">
        <v>929</v>
      </c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>
      <c r="A872" s="75" t="s">
        <v>31</v>
      </c>
      <c r="B872" s="75" t="s">
        <v>1006</v>
      </c>
      <c r="C872" s="75">
        <v>19.05</v>
      </c>
      <c r="D872" s="75">
        <v>5.0</v>
      </c>
      <c r="E872" s="75">
        <v>3.81</v>
      </c>
      <c r="F872" s="75" t="s">
        <v>990</v>
      </c>
      <c r="G872" s="82">
        <v>46110.0</v>
      </c>
      <c r="H872" s="76" t="s">
        <v>930</v>
      </c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>
      <c r="A873" s="75" t="s">
        <v>28</v>
      </c>
      <c r="B873" s="75" t="s">
        <v>1006</v>
      </c>
      <c r="C873" s="75">
        <v>1.64</v>
      </c>
      <c r="D873" s="75">
        <v>0.0</v>
      </c>
      <c r="E873" s="75">
        <v>0.0</v>
      </c>
      <c r="F873" s="75" t="s">
        <v>990</v>
      </c>
      <c r="G873" s="82">
        <v>46110.0</v>
      </c>
      <c r="H873" s="76" t="s">
        <v>931</v>
      </c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>
      <c r="A874" s="75" t="s">
        <v>28</v>
      </c>
      <c r="B874" s="75" t="s">
        <v>1006</v>
      </c>
      <c r="C874" s="75">
        <v>2.67</v>
      </c>
      <c r="D874" s="75">
        <v>0.0</v>
      </c>
      <c r="E874" s="75">
        <v>0.0</v>
      </c>
      <c r="F874" s="75" t="s">
        <v>990</v>
      </c>
      <c r="G874" s="82">
        <v>46110.0</v>
      </c>
      <c r="H874" s="76" t="s">
        <v>932</v>
      </c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>
      <c r="A875" s="75" t="s">
        <v>28</v>
      </c>
      <c r="B875" s="75" t="s">
        <v>1006</v>
      </c>
      <c r="C875" s="75">
        <v>14.11</v>
      </c>
      <c r="D875" s="75">
        <v>1.0</v>
      </c>
      <c r="E875" s="75">
        <v>14.11</v>
      </c>
      <c r="F875" s="75" t="s">
        <v>990</v>
      </c>
      <c r="G875" s="82">
        <v>46110.0</v>
      </c>
      <c r="H875" s="76" t="s">
        <v>933</v>
      </c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>
      <c r="A876" s="75" t="s">
        <v>42</v>
      </c>
      <c r="B876" s="75" t="s">
        <v>1006</v>
      </c>
      <c r="C876" s="75">
        <v>4.83</v>
      </c>
      <c r="D876" s="75">
        <v>0.0</v>
      </c>
      <c r="E876" s="75">
        <v>0.0</v>
      </c>
      <c r="F876" s="75" t="s">
        <v>990</v>
      </c>
      <c r="G876" s="82">
        <v>46110.0</v>
      </c>
      <c r="H876" s="76" t="s">
        <v>934</v>
      </c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>
      <c r="A877" s="75" t="s">
        <v>42</v>
      </c>
      <c r="B877" s="75" t="s">
        <v>1006</v>
      </c>
      <c r="C877" s="75">
        <v>11.56</v>
      </c>
      <c r="D877" s="75">
        <v>1.0</v>
      </c>
      <c r="E877" s="75">
        <v>11.56</v>
      </c>
      <c r="F877" s="75" t="s">
        <v>990</v>
      </c>
      <c r="G877" s="82">
        <v>46110.0</v>
      </c>
      <c r="H877" s="76" t="s">
        <v>935</v>
      </c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>
      <c r="A878" s="75" t="s">
        <v>45</v>
      </c>
      <c r="B878" s="75" t="s">
        <v>1006</v>
      </c>
      <c r="C878" s="75">
        <v>2.66</v>
      </c>
      <c r="D878" s="75">
        <v>0.0</v>
      </c>
      <c r="E878" s="75">
        <v>0.0</v>
      </c>
      <c r="F878" s="75" t="s">
        <v>990</v>
      </c>
      <c r="G878" s="82">
        <v>46110.0</v>
      </c>
      <c r="H878" s="76" t="s">
        <v>936</v>
      </c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>
      <c r="A879" s="75" t="s">
        <v>45</v>
      </c>
      <c r="B879" s="75" t="s">
        <v>1006</v>
      </c>
      <c r="C879" s="75">
        <v>2.5</v>
      </c>
      <c r="D879" s="75">
        <v>0.0</v>
      </c>
      <c r="E879" s="75">
        <v>0.0</v>
      </c>
      <c r="F879" s="75" t="s">
        <v>990</v>
      </c>
      <c r="G879" s="82">
        <v>46110.0</v>
      </c>
      <c r="H879" s="76" t="s">
        <v>937</v>
      </c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>
      <c r="A880" s="75" t="s">
        <v>45</v>
      </c>
      <c r="B880" s="75" t="s">
        <v>1006</v>
      </c>
      <c r="C880" s="75">
        <v>5.9</v>
      </c>
      <c r="D880" s="75">
        <v>0.0</v>
      </c>
      <c r="E880" s="75">
        <v>0.0</v>
      </c>
      <c r="F880" s="75" t="s">
        <v>990</v>
      </c>
      <c r="G880" s="82">
        <v>46110.0</v>
      </c>
      <c r="H880" s="76" t="s">
        <v>938</v>
      </c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>
      <c r="A881" s="75" t="s">
        <v>50</v>
      </c>
      <c r="B881" s="75" t="s">
        <v>1006</v>
      </c>
      <c r="C881" s="75">
        <v>5.65</v>
      </c>
      <c r="D881" s="75">
        <v>0.0</v>
      </c>
      <c r="E881" s="75">
        <v>0.0</v>
      </c>
      <c r="F881" s="75" t="s">
        <v>990</v>
      </c>
      <c r="G881" s="82">
        <v>46110.0</v>
      </c>
      <c r="H881" s="76" t="s">
        <v>939</v>
      </c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>
      <c r="A882" s="75" t="s">
        <v>50</v>
      </c>
      <c r="B882" s="75" t="s">
        <v>1006</v>
      </c>
      <c r="C882" s="75">
        <v>3.73</v>
      </c>
      <c r="D882" s="75">
        <v>0.0</v>
      </c>
      <c r="E882" s="75">
        <v>0.0</v>
      </c>
      <c r="F882" s="75" t="s">
        <v>990</v>
      </c>
      <c r="G882" s="82">
        <v>46110.0</v>
      </c>
      <c r="H882" s="76" t="s">
        <v>940</v>
      </c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>
      <c r="A883" s="75" t="s">
        <v>32</v>
      </c>
      <c r="B883" s="75" t="s">
        <v>1006</v>
      </c>
      <c r="C883" s="75">
        <v>12.33</v>
      </c>
      <c r="D883" s="75">
        <v>6.0</v>
      </c>
      <c r="E883" s="75">
        <v>2.05</v>
      </c>
      <c r="F883" s="75" t="s">
        <v>990</v>
      </c>
      <c r="G883" s="82">
        <v>46110.0</v>
      </c>
      <c r="H883" s="76" t="s">
        <v>941</v>
      </c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>
      <c r="A884" s="75" t="s">
        <v>32</v>
      </c>
      <c r="B884" s="75" t="s">
        <v>1006</v>
      </c>
      <c r="C884" s="75">
        <v>2.19</v>
      </c>
      <c r="D884" s="75">
        <v>2.0</v>
      </c>
      <c r="E884" s="75">
        <v>1.1</v>
      </c>
      <c r="F884" s="75" t="s">
        <v>990</v>
      </c>
      <c r="G884" s="82">
        <v>46110.0</v>
      </c>
      <c r="H884" s="76" t="s">
        <v>942</v>
      </c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>
      <c r="A885" s="75" t="s">
        <v>32</v>
      </c>
      <c r="B885" s="75" t="s">
        <v>1006</v>
      </c>
      <c r="C885" s="75">
        <v>7.07</v>
      </c>
      <c r="D885" s="75">
        <v>2.0</v>
      </c>
      <c r="E885" s="75">
        <v>3.53</v>
      </c>
      <c r="F885" s="75" t="s">
        <v>990</v>
      </c>
      <c r="G885" s="82">
        <v>46110.0</v>
      </c>
      <c r="H885" s="76" t="s">
        <v>943</v>
      </c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>
      <c r="A886" s="75" t="s">
        <v>944</v>
      </c>
      <c r="B886" s="75" t="s">
        <v>1006</v>
      </c>
      <c r="C886" s="75">
        <v>6.05</v>
      </c>
      <c r="D886" s="75">
        <v>0.0</v>
      </c>
      <c r="E886" s="75">
        <v>0.0</v>
      </c>
      <c r="F886" s="75" t="s">
        <v>990</v>
      </c>
      <c r="G886" s="82">
        <v>46110.0</v>
      </c>
      <c r="H886" s="76" t="s">
        <v>945</v>
      </c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>
      <c r="A887" s="75" t="s">
        <v>944</v>
      </c>
      <c r="B887" s="75" t="s">
        <v>1006</v>
      </c>
      <c r="C887" s="75">
        <v>1.29</v>
      </c>
      <c r="D887" s="75">
        <v>0.0</v>
      </c>
      <c r="E887" s="75">
        <v>0.0</v>
      </c>
      <c r="F887" s="75" t="s">
        <v>990</v>
      </c>
      <c r="G887" s="82">
        <v>46110.0</v>
      </c>
      <c r="H887" s="76" t="s">
        <v>946</v>
      </c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>
      <c r="A888" s="75" t="s">
        <v>944</v>
      </c>
      <c r="B888" s="75" t="s">
        <v>1006</v>
      </c>
      <c r="C888" s="75">
        <v>3.56</v>
      </c>
      <c r="D888" s="75">
        <v>0.0</v>
      </c>
      <c r="E888" s="75">
        <v>0.0</v>
      </c>
      <c r="F888" s="75" t="s">
        <v>990</v>
      </c>
      <c r="G888" s="82">
        <v>46110.0</v>
      </c>
      <c r="H888" s="76" t="s">
        <v>947</v>
      </c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>
      <c r="A889" s="75" t="s">
        <v>36</v>
      </c>
      <c r="B889" s="75" t="s">
        <v>1006</v>
      </c>
      <c r="C889" s="75">
        <v>10.16</v>
      </c>
      <c r="D889" s="75">
        <v>0.0</v>
      </c>
      <c r="E889" s="75">
        <v>0.0</v>
      </c>
      <c r="F889" s="75" t="s">
        <v>993</v>
      </c>
      <c r="G889" s="82">
        <v>46110.0</v>
      </c>
      <c r="H889" s="76" t="s">
        <v>926</v>
      </c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>
      <c r="A890" s="75" t="s">
        <v>36</v>
      </c>
      <c r="B890" s="75" t="s">
        <v>1006</v>
      </c>
      <c r="C890" s="75">
        <v>2.5</v>
      </c>
      <c r="D890" s="75">
        <v>0.0</v>
      </c>
      <c r="E890" s="75">
        <v>0.0</v>
      </c>
      <c r="F890" s="75" t="s">
        <v>993</v>
      </c>
      <c r="G890" s="82">
        <v>46110.0</v>
      </c>
      <c r="H890" s="76" t="s">
        <v>927</v>
      </c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>
      <c r="A891" s="75" t="s">
        <v>36</v>
      </c>
      <c r="B891" s="75" t="s">
        <v>1006</v>
      </c>
      <c r="C891" s="75">
        <v>2.38</v>
      </c>
      <c r="D891" s="75">
        <v>0.0</v>
      </c>
      <c r="E891" s="75">
        <v>0.0</v>
      </c>
      <c r="F891" s="75" t="s">
        <v>993</v>
      </c>
      <c r="G891" s="82">
        <v>46110.0</v>
      </c>
      <c r="H891" s="76" t="s">
        <v>928</v>
      </c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>
      <c r="A892" s="75" t="s">
        <v>31</v>
      </c>
      <c r="B892" s="75" t="s">
        <v>1006</v>
      </c>
      <c r="C892" s="75">
        <v>4.08</v>
      </c>
      <c r="D892" s="75">
        <v>1.0</v>
      </c>
      <c r="E892" s="75">
        <v>4.08</v>
      </c>
      <c r="F892" s="75" t="s">
        <v>993</v>
      </c>
      <c r="G892" s="82">
        <v>46110.0</v>
      </c>
      <c r="H892" s="76" t="s">
        <v>929</v>
      </c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>
      <c r="A893" s="75" t="s">
        <v>31</v>
      </c>
      <c r="B893" s="75" t="s">
        <v>1006</v>
      </c>
      <c r="C893" s="75">
        <v>19.83</v>
      </c>
      <c r="D893" s="75">
        <v>8.0</v>
      </c>
      <c r="E893" s="75">
        <v>2.48</v>
      </c>
      <c r="F893" s="75" t="s">
        <v>993</v>
      </c>
      <c r="G893" s="82">
        <v>46110.0</v>
      </c>
      <c r="H893" s="76" t="s">
        <v>930</v>
      </c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>
      <c r="A894" s="75" t="s">
        <v>28</v>
      </c>
      <c r="B894" s="75" t="s">
        <v>1006</v>
      </c>
      <c r="C894" s="75">
        <v>1.57</v>
      </c>
      <c r="D894" s="75">
        <v>1.0</v>
      </c>
      <c r="E894" s="75">
        <v>1.57</v>
      </c>
      <c r="F894" s="75" t="s">
        <v>993</v>
      </c>
      <c r="G894" s="82">
        <v>46110.0</v>
      </c>
      <c r="H894" s="76" t="s">
        <v>931</v>
      </c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>
      <c r="A895" s="75" t="s">
        <v>28</v>
      </c>
      <c r="B895" s="75" t="s">
        <v>1006</v>
      </c>
      <c r="C895" s="75">
        <v>2.59</v>
      </c>
      <c r="D895" s="75">
        <v>0.0</v>
      </c>
      <c r="E895" s="75">
        <v>0.0</v>
      </c>
      <c r="F895" s="75" t="s">
        <v>993</v>
      </c>
      <c r="G895" s="82">
        <v>46110.0</v>
      </c>
      <c r="H895" s="76" t="s">
        <v>932</v>
      </c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>
      <c r="A896" s="75" t="s">
        <v>28</v>
      </c>
      <c r="B896" s="75" t="s">
        <v>1006</v>
      </c>
      <c r="C896" s="75">
        <v>13.09</v>
      </c>
      <c r="D896" s="75">
        <v>2.0</v>
      </c>
      <c r="E896" s="75">
        <v>6.54</v>
      </c>
      <c r="F896" s="75" t="s">
        <v>993</v>
      </c>
      <c r="G896" s="82">
        <v>46110.0</v>
      </c>
      <c r="H896" s="76" t="s">
        <v>933</v>
      </c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>
      <c r="A897" s="75" t="s">
        <v>42</v>
      </c>
      <c r="B897" s="75" t="s">
        <v>1006</v>
      </c>
      <c r="C897" s="75">
        <v>4.9</v>
      </c>
      <c r="D897" s="75">
        <v>0.0</v>
      </c>
      <c r="E897" s="75">
        <v>0.0</v>
      </c>
      <c r="F897" s="75" t="s">
        <v>993</v>
      </c>
      <c r="G897" s="82">
        <v>46110.0</v>
      </c>
      <c r="H897" s="76" t="s">
        <v>934</v>
      </c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>
      <c r="A898" s="75" t="s">
        <v>42</v>
      </c>
      <c r="B898" s="75" t="s">
        <v>1006</v>
      </c>
      <c r="C898" s="75">
        <v>9.38</v>
      </c>
      <c r="D898" s="75">
        <v>2.0</v>
      </c>
      <c r="E898" s="75">
        <v>4.69</v>
      </c>
      <c r="F898" s="75" t="s">
        <v>993</v>
      </c>
      <c r="G898" s="82">
        <v>46110.0</v>
      </c>
      <c r="H898" s="76" t="s">
        <v>935</v>
      </c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>
      <c r="A899" s="75" t="s">
        <v>45</v>
      </c>
      <c r="B899" s="75" t="s">
        <v>1006</v>
      </c>
      <c r="C899" s="75">
        <v>2.71</v>
      </c>
      <c r="D899" s="75">
        <v>0.0</v>
      </c>
      <c r="E899" s="75">
        <v>0.0</v>
      </c>
      <c r="F899" s="75" t="s">
        <v>993</v>
      </c>
      <c r="G899" s="82">
        <v>46110.0</v>
      </c>
      <c r="H899" s="76" t="s">
        <v>936</v>
      </c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>
      <c r="A900" s="75" t="s">
        <v>45</v>
      </c>
      <c r="B900" s="75" t="s">
        <v>1006</v>
      </c>
      <c r="C900" s="75">
        <v>1.93</v>
      </c>
      <c r="D900" s="75">
        <v>0.0</v>
      </c>
      <c r="E900" s="75">
        <v>0.0</v>
      </c>
      <c r="F900" s="75" t="s">
        <v>993</v>
      </c>
      <c r="G900" s="82">
        <v>46110.0</v>
      </c>
      <c r="H900" s="76" t="s">
        <v>937</v>
      </c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>
      <c r="A901" s="75" t="s">
        <v>45</v>
      </c>
      <c r="B901" s="75" t="s">
        <v>1006</v>
      </c>
      <c r="C901" s="75">
        <v>5.1</v>
      </c>
      <c r="D901" s="75">
        <v>1.0</v>
      </c>
      <c r="E901" s="75">
        <v>5.1</v>
      </c>
      <c r="F901" s="75" t="s">
        <v>993</v>
      </c>
      <c r="G901" s="82">
        <v>46110.0</v>
      </c>
      <c r="H901" s="76" t="s">
        <v>938</v>
      </c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>
      <c r="A902" s="75" t="s">
        <v>50</v>
      </c>
      <c r="B902" s="75" t="s">
        <v>1006</v>
      </c>
      <c r="C902" s="75">
        <v>4.86</v>
      </c>
      <c r="D902" s="75">
        <v>1.0</v>
      </c>
      <c r="E902" s="75">
        <v>4.86</v>
      </c>
      <c r="F902" s="75" t="s">
        <v>993</v>
      </c>
      <c r="G902" s="82">
        <v>46110.0</v>
      </c>
      <c r="H902" s="76" t="s">
        <v>939</v>
      </c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>
      <c r="A903" s="75" t="s">
        <v>50</v>
      </c>
      <c r="B903" s="75" t="s">
        <v>1006</v>
      </c>
      <c r="C903" s="75">
        <v>3.67</v>
      </c>
      <c r="D903" s="75">
        <v>2.0</v>
      </c>
      <c r="E903" s="75">
        <v>1.84</v>
      </c>
      <c r="F903" s="75" t="s">
        <v>993</v>
      </c>
      <c r="G903" s="82">
        <v>46110.0</v>
      </c>
      <c r="H903" s="76" t="s">
        <v>940</v>
      </c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>
      <c r="A904" s="75" t="s">
        <v>32</v>
      </c>
      <c r="B904" s="75" t="s">
        <v>1006</v>
      </c>
      <c r="C904" s="75">
        <v>10.15</v>
      </c>
      <c r="D904" s="75">
        <v>1.0</v>
      </c>
      <c r="E904" s="75">
        <v>10.15</v>
      </c>
      <c r="F904" s="75" t="s">
        <v>993</v>
      </c>
      <c r="G904" s="82">
        <v>46110.0</v>
      </c>
      <c r="H904" s="76" t="s">
        <v>941</v>
      </c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>
      <c r="A905" s="75" t="s">
        <v>32</v>
      </c>
      <c r="B905" s="75" t="s">
        <v>1006</v>
      </c>
      <c r="C905" s="75">
        <v>2.07</v>
      </c>
      <c r="D905" s="75">
        <v>1.0</v>
      </c>
      <c r="E905" s="75">
        <v>2.07</v>
      </c>
      <c r="F905" s="75" t="s">
        <v>993</v>
      </c>
      <c r="G905" s="82">
        <v>46110.0</v>
      </c>
      <c r="H905" s="76" t="s">
        <v>942</v>
      </c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>
      <c r="A906" s="75" t="s">
        <v>32</v>
      </c>
      <c r="B906" s="75" t="s">
        <v>1006</v>
      </c>
      <c r="C906" s="75">
        <v>5.69</v>
      </c>
      <c r="D906" s="75">
        <v>6.0</v>
      </c>
      <c r="E906" s="75">
        <v>0.95</v>
      </c>
      <c r="F906" s="75" t="s">
        <v>993</v>
      </c>
      <c r="G906" s="82">
        <v>46110.0</v>
      </c>
      <c r="H906" s="76" t="s">
        <v>943</v>
      </c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>
      <c r="A907" s="75" t="s">
        <v>944</v>
      </c>
      <c r="B907" s="75" t="s">
        <v>1006</v>
      </c>
      <c r="C907" s="75">
        <v>5.23</v>
      </c>
      <c r="D907" s="75">
        <v>0.0</v>
      </c>
      <c r="E907" s="75">
        <v>0.0</v>
      </c>
      <c r="F907" s="75" t="s">
        <v>993</v>
      </c>
      <c r="G907" s="82">
        <v>46110.0</v>
      </c>
      <c r="H907" s="76" t="s">
        <v>945</v>
      </c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>
      <c r="A908" s="75" t="s">
        <v>944</v>
      </c>
      <c r="B908" s="75" t="s">
        <v>1006</v>
      </c>
      <c r="C908" s="75">
        <v>1.16</v>
      </c>
      <c r="D908" s="75">
        <v>0.0</v>
      </c>
      <c r="E908" s="75">
        <v>0.0</v>
      </c>
      <c r="F908" s="75" t="s">
        <v>993</v>
      </c>
      <c r="G908" s="82">
        <v>46110.0</v>
      </c>
      <c r="H908" s="76" t="s">
        <v>946</v>
      </c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>
      <c r="A909" s="75" t="s">
        <v>944</v>
      </c>
      <c r="B909" s="75" t="s">
        <v>1006</v>
      </c>
      <c r="C909" s="75">
        <v>3.23</v>
      </c>
      <c r="D909" s="75">
        <v>0.0</v>
      </c>
      <c r="E909" s="75">
        <v>0.0</v>
      </c>
      <c r="F909" s="75" t="s">
        <v>993</v>
      </c>
      <c r="G909" s="82">
        <v>46110.0</v>
      </c>
      <c r="H909" s="76" t="s">
        <v>947</v>
      </c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>
      <c r="A910" s="75" t="s">
        <v>36</v>
      </c>
      <c r="B910" s="75" t="s">
        <v>1006</v>
      </c>
      <c r="C910" s="75">
        <v>13.62</v>
      </c>
      <c r="D910" s="75">
        <v>2.0</v>
      </c>
      <c r="E910" s="75">
        <v>6.81</v>
      </c>
      <c r="F910" s="75" t="s">
        <v>994</v>
      </c>
      <c r="G910" s="82">
        <v>46110.0</v>
      </c>
      <c r="H910" s="76" t="s">
        <v>926</v>
      </c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>
      <c r="A911" s="75" t="s">
        <v>36</v>
      </c>
      <c r="B911" s="75" t="s">
        <v>1006</v>
      </c>
      <c r="C911" s="75">
        <v>2.43</v>
      </c>
      <c r="D911" s="75">
        <v>0.0</v>
      </c>
      <c r="E911" s="75">
        <v>0.0</v>
      </c>
      <c r="F911" s="75" t="s">
        <v>994</v>
      </c>
      <c r="G911" s="82">
        <v>46110.0</v>
      </c>
      <c r="H911" s="76" t="s">
        <v>927</v>
      </c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>
      <c r="A912" s="75" t="s">
        <v>36</v>
      </c>
      <c r="B912" s="75" t="s">
        <v>1006</v>
      </c>
      <c r="C912" s="75">
        <v>2.37</v>
      </c>
      <c r="D912" s="75">
        <v>0.0</v>
      </c>
      <c r="E912" s="75">
        <v>0.0</v>
      </c>
      <c r="F912" s="75" t="s">
        <v>994</v>
      </c>
      <c r="G912" s="82">
        <v>46110.0</v>
      </c>
      <c r="H912" s="76" t="s">
        <v>928</v>
      </c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>
      <c r="A913" s="75" t="s">
        <v>31</v>
      </c>
      <c r="B913" s="75" t="s">
        <v>1006</v>
      </c>
      <c r="C913" s="75">
        <v>1.73</v>
      </c>
      <c r="D913" s="75">
        <v>0.0</v>
      </c>
      <c r="E913" s="75">
        <v>0.0</v>
      </c>
      <c r="F913" s="75" t="s">
        <v>994</v>
      </c>
      <c r="G913" s="82">
        <v>46110.0</v>
      </c>
      <c r="H913" s="76" t="s">
        <v>929</v>
      </c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>
      <c r="A914" s="75" t="s">
        <v>31</v>
      </c>
      <c r="B914" s="75" t="s">
        <v>1006</v>
      </c>
      <c r="C914" s="75">
        <v>9.05</v>
      </c>
      <c r="D914" s="75">
        <v>8.0</v>
      </c>
      <c r="E914" s="75">
        <v>1.13</v>
      </c>
      <c r="F914" s="75" t="s">
        <v>994</v>
      </c>
      <c r="G914" s="82">
        <v>46110.0</v>
      </c>
      <c r="H914" s="76" t="s">
        <v>930</v>
      </c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>
      <c r="A915" s="75" t="s">
        <v>28</v>
      </c>
      <c r="B915" s="75" t="s">
        <v>1006</v>
      </c>
      <c r="C915" s="75">
        <v>0.61</v>
      </c>
      <c r="D915" s="75">
        <v>0.0</v>
      </c>
      <c r="E915" s="75">
        <v>0.0</v>
      </c>
      <c r="F915" s="75" t="s">
        <v>994</v>
      </c>
      <c r="G915" s="82">
        <v>46110.0</v>
      </c>
      <c r="H915" s="76" t="s">
        <v>931</v>
      </c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>
      <c r="A916" s="75" t="s">
        <v>28</v>
      </c>
      <c r="B916" s="75" t="s">
        <v>1006</v>
      </c>
      <c r="C916" s="75">
        <v>1.02</v>
      </c>
      <c r="D916" s="75">
        <v>0.0</v>
      </c>
      <c r="E916" s="75">
        <v>0.0</v>
      </c>
      <c r="F916" s="75" t="s">
        <v>994</v>
      </c>
      <c r="G916" s="82">
        <v>46110.0</v>
      </c>
      <c r="H916" s="76" t="s">
        <v>932</v>
      </c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>
      <c r="A917" s="75" t="s">
        <v>28</v>
      </c>
      <c r="B917" s="75" t="s">
        <v>1006</v>
      </c>
      <c r="C917" s="75">
        <v>6.99</v>
      </c>
      <c r="D917" s="75">
        <v>1.0</v>
      </c>
      <c r="E917" s="75">
        <v>6.99</v>
      </c>
      <c r="F917" s="75" t="s">
        <v>994</v>
      </c>
      <c r="G917" s="82">
        <v>46110.0</v>
      </c>
      <c r="H917" s="76" t="s">
        <v>933</v>
      </c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>
      <c r="A918" s="75" t="s">
        <v>42</v>
      </c>
      <c r="B918" s="75" t="s">
        <v>1006</v>
      </c>
      <c r="C918" s="75">
        <v>2.47</v>
      </c>
      <c r="D918" s="75">
        <v>0.0</v>
      </c>
      <c r="E918" s="75">
        <v>0.0</v>
      </c>
      <c r="F918" s="75" t="s">
        <v>994</v>
      </c>
      <c r="G918" s="82">
        <v>46110.0</v>
      </c>
      <c r="H918" s="76" t="s">
        <v>934</v>
      </c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>
      <c r="A919" s="75" t="s">
        <v>42</v>
      </c>
      <c r="B919" s="75" t="s">
        <v>1006</v>
      </c>
      <c r="C919" s="75">
        <v>4.47</v>
      </c>
      <c r="D919" s="75">
        <v>1.0</v>
      </c>
      <c r="E919" s="75">
        <v>4.47</v>
      </c>
      <c r="F919" s="75" t="s">
        <v>994</v>
      </c>
      <c r="G919" s="82">
        <v>46110.0</v>
      </c>
      <c r="H919" s="76" t="s">
        <v>935</v>
      </c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>
      <c r="A920" s="75" t="s">
        <v>45</v>
      </c>
      <c r="B920" s="75" t="s">
        <v>1006</v>
      </c>
      <c r="C920" s="75">
        <v>1.15</v>
      </c>
      <c r="D920" s="75">
        <v>1.0</v>
      </c>
      <c r="E920" s="75">
        <v>1.15</v>
      </c>
      <c r="F920" s="75" t="s">
        <v>994</v>
      </c>
      <c r="G920" s="82">
        <v>46110.0</v>
      </c>
      <c r="H920" s="76" t="s">
        <v>936</v>
      </c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>
      <c r="A921" s="75" t="s">
        <v>45</v>
      </c>
      <c r="B921" s="75" t="s">
        <v>1006</v>
      </c>
      <c r="C921" s="75">
        <v>1.07</v>
      </c>
      <c r="D921" s="75">
        <v>0.0</v>
      </c>
      <c r="E921" s="75">
        <v>0.0</v>
      </c>
      <c r="F921" s="75" t="s">
        <v>994</v>
      </c>
      <c r="G921" s="82">
        <v>46110.0</v>
      </c>
      <c r="H921" s="76" t="s">
        <v>937</v>
      </c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>
      <c r="A922" s="75" t="s">
        <v>45</v>
      </c>
      <c r="B922" s="75" t="s">
        <v>1006</v>
      </c>
      <c r="C922" s="75">
        <v>2.54</v>
      </c>
      <c r="D922" s="75">
        <v>0.0</v>
      </c>
      <c r="E922" s="75">
        <v>0.0</v>
      </c>
      <c r="F922" s="75" t="s">
        <v>994</v>
      </c>
      <c r="G922" s="82">
        <v>46110.0</v>
      </c>
      <c r="H922" s="76" t="s">
        <v>938</v>
      </c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>
      <c r="A923" s="75" t="s">
        <v>50</v>
      </c>
      <c r="B923" s="75" t="s">
        <v>1006</v>
      </c>
      <c r="C923" s="75">
        <v>3.85</v>
      </c>
      <c r="D923" s="75">
        <v>0.0</v>
      </c>
      <c r="E923" s="75">
        <v>0.0</v>
      </c>
      <c r="F923" s="75" t="s">
        <v>994</v>
      </c>
      <c r="G923" s="82">
        <v>46110.0</v>
      </c>
      <c r="H923" s="76" t="s">
        <v>939</v>
      </c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>
      <c r="A924" s="75" t="s">
        <v>50</v>
      </c>
      <c r="B924" s="75" t="s">
        <v>1006</v>
      </c>
      <c r="C924" s="75">
        <v>3.21</v>
      </c>
      <c r="D924" s="75">
        <v>1.0</v>
      </c>
      <c r="E924" s="75">
        <v>3.21</v>
      </c>
      <c r="F924" s="75" t="s">
        <v>994</v>
      </c>
      <c r="G924" s="82">
        <v>46110.0</v>
      </c>
      <c r="H924" s="76" t="s">
        <v>940</v>
      </c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>
      <c r="A925" s="75" t="s">
        <v>32</v>
      </c>
      <c r="B925" s="75" t="s">
        <v>1006</v>
      </c>
      <c r="C925" s="75">
        <v>5.78</v>
      </c>
      <c r="D925" s="75">
        <v>3.0</v>
      </c>
      <c r="E925" s="75">
        <v>1.93</v>
      </c>
      <c r="F925" s="75" t="s">
        <v>994</v>
      </c>
      <c r="G925" s="82">
        <v>46110.0</v>
      </c>
      <c r="H925" s="76" t="s">
        <v>941</v>
      </c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>
      <c r="A926" s="75" t="s">
        <v>32</v>
      </c>
      <c r="B926" s="75" t="s">
        <v>1006</v>
      </c>
      <c r="C926" s="75">
        <v>1.08</v>
      </c>
      <c r="D926" s="75">
        <v>1.0</v>
      </c>
      <c r="E926" s="75">
        <v>1.08</v>
      </c>
      <c r="F926" s="75" t="s">
        <v>994</v>
      </c>
      <c r="G926" s="82">
        <v>46110.0</v>
      </c>
      <c r="H926" s="76" t="s">
        <v>942</v>
      </c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>
      <c r="A927" s="75" t="s">
        <v>32</v>
      </c>
      <c r="B927" s="75" t="s">
        <v>1006</v>
      </c>
      <c r="C927" s="75">
        <v>2.58</v>
      </c>
      <c r="D927" s="75">
        <v>0.0</v>
      </c>
      <c r="E927" s="75">
        <v>0.0</v>
      </c>
      <c r="F927" s="75" t="s">
        <v>994</v>
      </c>
      <c r="G927" s="82">
        <v>46110.0</v>
      </c>
      <c r="H927" s="76" t="s">
        <v>943</v>
      </c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>
      <c r="A928" s="75" t="s">
        <v>944</v>
      </c>
      <c r="B928" s="75" t="s">
        <v>1006</v>
      </c>
      <c r="C928" s="75">
        <v>2.62</v>
      </c>
      <c r="D928" s="75">
        <v>0.0</v>
      </c>
      <c r="E928" s="75">
        <v>0.0</v>
      </c>
      <c r="F928" s="75" t="s">
        <v>994</v>
      </c>
      <c r="G928" s="82">
        <v>46110.0</v>
      </c>
      <c r="H928" s="76" t="s">
        <v>945</v>
      </c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>
      <c r="A929" s="75" t="s">
        <v>944</v>
      </c>
      <c r="B929" s="75" t="s">
        <v>1006</v>
      </c>
      <c r="C929" s="75">
        <v>0.59</v>
      </c>
      <c r="D929" s="75">
        <v>0.0</v>
      </c>
      <c r="E929" s="75">
        <v>0.0</v>
      </c>
      <c r="F929" s="75" t="s">
        <v>994</v>
      </c>
      <c r="G929" s="82">
        <v>46110.0</v>
      </c>
      <c r="H929" s="76" t="s">
        <v>946</v>
      </c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>
      <c r="A930" s="75" t="s">
        <v>944</v>
      </c>
      <c r="B930" s="75" t="s">
        <v>1006</v>
      </c>
      <c r="C930" s="75">
        <v>1.57</v>
      </c>
      <c r="D930" s="75">
        <v>0.0</v>
      </c>
      <c r="E930" s="75">
        <v>0.0</v>
      </c>
      <c r="F930" s="75" t="s">
        <v>994</v>
      </c>
      <c r="G930" s="82">
        <v>46110.0</v>
      </c>
      <c r="H930" s="76" t="s">
        <v>947</v>
      </c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>
      <c r="A931" s="75" t="s">
        <v>36</v>
      </c>
      <c r="B931" s="75" t="s">
        <v>1006</v>
      </c>
      <c r="C931" s="75">
        <v>12.17</v>
      </c>
      <c r="D931" s="75">
        <v>2.0</v>
      </c>
      <c r="E931" s="75">
        <v>6.08</v>
      </c>
      <c r="F931" s="75" t="s">
        <v>1005</v>
      </c>
      <c r="G931" s="82">
        <v>46110.0</v>
      </c>
      <c r="H931" s="76" t="s">
        <v>926</v>
      </c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>
      <c r="A932" s="75" t="s">
        <v>36</v>
      </c>
      <c r="B932" s="75" t="s">
        <v>1006</v>
      </c>
      <c r="C932" s="75">
        <v>3.7</v>
      </c>
      <c r="D932" s="75">
        <v>3.0</v>
      </c>
      <c r="E932" s="75">
        <v>1.23</v>
      </c>
      <c r="F932" s="75" t="s">
        <v>1005</v>
      </c>
      <c r="G932" s="82">
        <v>46110.0</v>
      </c>
      <c r="H932" s="76" t="s">
        <v>927</v>
      </c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>
      <c r="A933" s="75" t="s">
        <v>36</v>
      </c>
      <c r="B933" s="75" t="s">
        <v>1006</v>
      </c>
      <c r="C933" s="75">
        <v>4.11</v>
      </c>
      <c r="D933" s="75">
        <v>1.0</v>
      </c>
      <c r="E933" s="75">
        <v>4.11</v>
      </c>
      <c r="F933" s="75" t="s">
        <v>1005</v>
      </c>
      <c r="G933" s="82">
        <v>46110.0</v>
      </c>
      <c r="H933" s="76" t="s">
        <v>928</v>
      </c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>
      <c r="A934" s="75" t="s">
        <v>31</v>
      </c>
      <c r="B934" s="75" t="s">
        <v>1006</v>
      </c>
      <c r="C934" s="75">
        <v>5.34</v>
      </c>
      <c r="D934" s="75">
        <v>2.0</v>
      </c>
      <c r="E934" s="75">
        <v>2.67</v>
      </c>
      <c r="F934" s="75" t="s">
        <v>1005</v>
      </c>
      <c r="G934" s="82">
        <v>46110.0</v>
      </c>
      <c r="H934" s="76" t="s">
        <v>929</v>
      </c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>
      <c r="A935" s="75" t="s">
        <v>31</v>
      </c>
      <c r="B935" s="75" t="s">
        <v>1006</v>
      </c>
      <c r="C935" s="75">
        <v>18.9</v>
      </c>
      <c r="D935" s="75">
        <v>13.0</v>
      </c>
      <c r="E935" s="75">
        <v>1.45</v>
      </c>
      <c r="F935" s="75" t="s">
        <v>1005</v>
      </c>
      <c r="G935" s="82">
        <v>46110.0</v>
      </c>
      <c r="H935" s="76" t="s">
        <v>930</v>
      </c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>
      <c r="A936" s="75" t="s">
        <v>28</v>
      </c>
      <c r="B936" s="75" t="s">
        <v>1006</v>
      </c>
      <c r="C936" s="75">
        <v>2.43</v>
      </c>
      <c r="D936" s="75">
        <v>0.0</v>
      </c>
      <c r="E936" s="75">
        <v>0.0</v>
      </c>
      <c r="F936" s="75" t="s">
        <v>1005</v>
      </c>
      <c r="G936" s="82">
        <v>46110.0</v>
      </c>
      <c r="H936" s="76" t="s">
        <v>931</v>
      </c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>
      <c r="A937" s="75" t="s">
        <v>28</v>
      </c>
      <c r="B937" s="75" t="s">
        <v>1006</v>
      </c>
      <c r="C937" s="75">
        <v>4.12</v>
      </c>
      <c r="D937" s="75">
        <v>1.0</v>
      </c>
      <c r="E937" s="75">
        <v>4.12</v>
      </c>
      <c r="F937" s="75" t="s">
        <v>1005</v>
      </c>
      <c r="G937" s="82">
        <v>46110.0</v>
      </c>
      <c r="H937" s="76" t="s">
        <v>932</v>
      </c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>
      <c r="A938" s="75" t="s">
        <v>28</v>
      </c>
      <c r="B938" s="75" t="s">
        <v>1006</v>
      </c>
      <c r="C938" s="75">
        <v>17.35</v>
      </c>
      <c r="D938" s="75">
        <v>7.0</v>
      </c>
      <c r="E938" s="75">
        <v>2.48</v>
      </c>
      <c r="F938" s="75" t="s">
        <v>1005</v>
      </c>
      <c r="G938" s="82">
        <v>46110.0</v>
      </c>
      <c r="H938" s="76" t="s">
        <v>933</v>
      </c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>
      <c r="A939" s="75" t="s">
        <v>42</v>
      </c>
      <c r="B939" s="75" t="s">
        <v>1006</v>
      </c>
      <c r="C939" s="75">
        <v>8.41</v>
      </c>
      <c r="D939" s="75">
        <v>1.0</v>
      </c>
      <c r="E939" s="75">
        <v>8.41</v>
      </c>
      <c r="F939" s="75" t="s">
        <v>1005</v>
      </c>
      <c r="G939" s="82">
        <v>46110.0</v>
      </c>
      <c r="H939" s="76" t="s">
        <v>934</v>
      </c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>
      <c r="A940" s="75" t="s">
        <v>42</v>
      </c>
      <c r="B940" s="75" t="s">
        <v>1006</v>
      </c>
      <c r="C940" s="75">
        <v>12.81</v>
      </c>
      <c r="D940" s="75">
        <v>2.0</v>
      </c>
      <c r="E940" s="75">
        <v>6.4</v>
      </c>
      <c r="F940" s="75" t="s">
        <v>1005</v>
      </c>
      <c r="G940" s="82">
        <v>46110.0</v>
      </c>
      <c r="H940" s="76" t="s">
        <v>935</v>
      </c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>
      <c r="A941" s="75" t="s">
        <v>45</v>
      </c>
      <c r="B941" s="75" t="s">
        <v>1006</v>
      </c>
      <c r="C941" s="75">
        <v>3.87</v>
      </c>
      <c r="D941" s="75">
        <v>1.0</v>
      </c>
      <c r="E941" s="75">
        <v>3.87</v>
      </c>
      <c r="F941" s="75" t="s">
        <v>1005</v>
      </c>
      <c r="G941" s="82">
        <v>46110.0</v>
      </c>
      <c r="H941" s="76" t="s">
        <v>936</v>
      </c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>
      <c r="A942" s="75" t="s">
        <v>45</v>
      </c>
      <c r="B942" s="75" t="s">
        <v>1006</v>
      </c>
      <c r="C942" s="75">
        <v>3.86</v>
      </c>
      <c r="D942" s="75">
        <v>0.0</v>
      </c>
      <c r="E942" s="75">
        <v>0.0</v>
      </c>
      <c r="F942" s="75" t="s">
        <v>1005</v>
      </c>
      <c r="G942" s="82">
        <v>46110.0</v>
      </c>
      <c r="H942" s="76" t="s">
        <v>937</v>
      </c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>
      <c r="A943" s="75" t="s">
        <v>45</v>
      </c>
      <c r="B943" s="75" t="s">
        <v>1006</v>
      </c>
      <c r="C943" s="75">
        <v>7.1</v>
      </c>
      <c r="D943" s="75">
        <v>2.0</v>
      </c>
      <c r="E943" s="75">
        <v>3.55</v>
      </c>
      <c r="F943" s="75" t="s">
        <v>1005</v>
      </c>
      <c r="G943" s="82">
        <v>46110.0</v>
      </c>
      <c r="H943" s="76" t="s">
        <v>938</v>
      </c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>
      <c r="A944" s="75" t="s">
        <v>50</v>
      </c>
      <c r="B944" s="75" t="s">
        <v>1006</v>
      </c>
      <c r="C944" s="75">
        <v>7.91</v>
      </c>
      <c r="D944" s="75">
        <v>5.0</v>
      </c>
      <c r="E944" s="75">
        <v>1.58</v>
      </c>
      <c r="F944" s="75" t="s">
        <v>1005</v>
      </c>
      <c r="G944" s="82">
        <v>46110.0</v>
      </c>
      <c r="H944" s="76" t="s">
        <v>939</v>
      </c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>
      <c r="A945" s="75" t="s">
        <v>50</v>
      </c>
      <c r="B945" s="75" t="s">
        <v>1006</v>
      </c>
      <c r="C945" s="75">
        <v>5.37</v>
      </c>
      <c r="D945" s="75">
        <v>2.0</v>
      </c>
      <c r="E945" s="75">
        <v>2.69</v>
      </c>
      <c r="F945" s="75" t="s">
        <v>1005</v>
      </c>
      <c r="G945" s="82">
        <v>46110.0</v>
      </c>
      <c r="H945" s="76" t="s">
        <v>940</v>
      </c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>
      <c r="A946" s="75" t="s">
        <v>32</v>
      </c>
      <c r="B946" s="75" t="s">
        <v>1006</v>
      </c>
      <c r="C946" s="75">
        <v>18.66</v>
      </c>
      <c r="D946" s="75">
        <v>6.0</v>
      </c>
      <c r="E946" s="75">
        <v>3.11</v>
      </c>
      <c r="F946" s="75" t="s">
        <v>1005</v>
      </c>
      <c r="G946" s="82">
        <v>46110.0</v>
      </c>
      <c r="H946" s="76" t="s">
        <v>941</v>
      </c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>
      <c r="A947" s="75" t="s">
        <v>32</v>
      </c>
      <c r="B947" s="75" t="s">
        <v>1006</v>
      </c>
      <c r="C947" s="75">
        <v>3.66</v>
      </c>
      <c r="D947" s="75">
        <v>3.0</v>
      </c>
      <c r="E947" s="75">
        <v>1.22</v>
      </c>
      <c r="F947" s="75" t="s">
        <v>1005</v>
      </c>
      <c r="G947" s="82">
        <v>46110.0</v>
      </c>
      <c r="H947" s="76" t="s">
        <v>942</v>
      </c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>
      <c r="A948" s="75" t="s">
        <v>32</v>
      </c>
      <c r="B948" s="75" t="s">
        <v>1006</v>
      </c>
      <c r="C948" s="75">
        <v>5.87</v>
      </c>
      <c r="D948" s="75">
        <v>1.0</v>
      </c>
      <c r="E948" s="75">
        <v>5.87</v>
      </c>
      <c r="F948" s="75" t="s">
        <v>1005</v>
      </c>
      <c r="G948" s="82">
        <v>46110.0</v>
      </c>
      <c r="H948" s="76" t="s">
        <v>943</v>
      </c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>
      <c r="A949" s="75" t="s">
        <v>944</v>
      </c>
      <c r="B949" s="75" t="s">
        <v>1006</v>
      </c>
      <c r="C949" s="75">
        <v>6.18</v>
      </c>
      <c r="D949" s="75">
        <v>1.0</v>
      </c>
      <c r="E949" s="75">
        <v>6.18</v>
      </c>
      <c r="F949" s="75" t="s">
        <v>1005</v>
      </c>
      <c r="G949" s="82">
        <v>46110.0</v>
      </c>
      <c r="H949" s="76" t="s">
        <v>945</v>
      </c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>
      <c r="A950" s="75" t="s">
        <v>944</v>
      </c>
      <c r="B950" s="75" t="s">
        <v>1006</v>
      </c>
      <c r="C950" s="75">
        <v>2.27</v>
      </c>
      <c r="D950" s="75">
        <v>1.0</v>
      </c>
      <c r="E950" s="75">
        <v>2.27</v>
      </c>
      <c r="F950" s="75" t="s">
        <v>1005</v>
      </c>
      <c r="G950" s="82">
        <v>46110.0</v>
      </c>
      <c r="H950" s="76" t="s">
        <v>946</v>
      </c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>
      <c r="A951" s="75" t="s">
        <v>944</v>
      </c>
      <c r="B951" s="75" t="s">
        <v>1006</v>
      </c>
      <c r="C951" s="75">
        <v>5.67</v>
      </c>
      <c r="D951" s="75">
        <v>1.0</v>
      </c>
      <c r="E951" s="75">
        <v>5.67</v>
      </c>
      <c r="F951" s="75" t="s">
        <v>1005</v>
      </c>
      <c r="G951" s="82">
        <v>46110.0</v>
      </c>
      <c r="H951" s="76" t="s">
        <v>947</v>
      </c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>
      <c r="A952" s="75" t="s">
        <v>36</v>
      </c>
      <c r="B952" s="75" t="s">
        <v>1006</v>
      </c>
      <c r="C952" s="75">
        <v>25.62</v>
      </c>
      <c r="D952" s="75">
        <v>3.0</v>
      </c>
      <c r="E952" s="75">
        <v>8.54</v>
      </c>
      <c r="F952" s="75" t="s">
        <v>996</v>
      </c>
      <c r="G952" s="82">
        <v>46110.0</v>
      </c>
      <c r="H952" s="76" t="s">
        <v>926</v>
      </c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>
      <c r="A953" s="75" t="s">
        <v>36</v>
      </c>
      <c r="B953" s="75" t="s">
        <v>1006</v>
      </c>
      <c r="C953" s="75">
        <v>5.8</v>
      </c>
      <c r="D953" s="75">
        <v>0.0</v>
      </c>
      <c r="E953" s="75">
        <v>0.0</v>
      </c>
      <c r="F953" s="75" t="s">
        <v>996</v>
      </c>
      <c r="G953" s="82">
        <v>46110.0</v>
      </c>
      <c r="H953" s="76" t="s">
        <v>927</v>
      </c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>
      <c r="A954" s="75" t="s">
        <v>36</v>
      </c>
      <c r="B954" s="75" t="s">
        <v>1006</v>
      </c>
      <c r="C954" s="75">
        <v>6.01</v>
      </c>
      <c r="D954" s="75">
        <v>2.0</v>
      </c>
      <c r="E954" s="75">
        <v>3.0</v>
      </c>
      <c r="F954" s="75" t="s">
        <v>996</v>
      </c>
      <c r="G954" s="82">
        <v>46110.0</v>
      </c>
      <c r="H954" s="76" t="s">
        <v>928</v>
      </c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>
      <c r="A955" s="75" t="s">
        <v>31</v>
      </c>
      <c r="B955" s="75" t="s">
        <v>1006</v>
      </c>
      <c r="C955" s="75">
        <v>4.42</v>
      </c>
      <c r="D955" s="75">
        <v>2.0</v>
      </c>
      <c r="E955" s="75">
        <v>2.21</v>
      </c>
      <c r="F955" s="75" t="s">
        <v>996</v>
      </c>
      <c r="G955" s="82">
        <v>46110.0</v>
      </c>
      <c r="H955" s="76" t="s">
        <v>929</v>
      </c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>
      <c r="A956" s="75" t="s">
        <v>31</v>
      </c>
      <c r="B956" s="75" t="s">
        <v>1006</v>
      </c>
      <c r="C956" s="75">
        <v>20.94</v>
      </c>
      <c r="D956" s="75">
        <v>5.0</v>
      </c>
      <c r="E956" s="75">
        <v>4.19</v>
      </c>
      <c r="F956" s="75" t="s">
        <v>996</v>
      </c>
      <c r="G956" s="82">
        <v>46110.0</v>
      </c>
      <c r="H956" s="76" t="s">
        <v>930</v>
      </c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>
      <c r="A957" s="75" t="s">
        <v>28</v>
      </c>
      <c r="B957" s="75" t="s">
        <v>1006</v>
      </c>
      <c r="C957" s="75">
        <v>2.06</v>
      </c>
      <c r="D957" s="75">
        <v>0.0</v>
      </c>
      <c r="E957" s="75">
        <v>0.0</v>
      </c>
      <c r="F957" s="75" t="s">
        <v>996</v>
      </c>
      <c r="G957" s="82">
        <v>46110.0</v>
      </c>
      <c r="H957" s="76" t="s">
        <v>931</v>
      </c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>
      <c r="A958" s="75" t="s">
        <v>28</v>
      </c>
      <c r="B958" s="75" t="s">
        <v>1006</v>
      </c>
      <c r="C958" s="75">
        <v>2.59</v>
      </c>
      <c r="D958" s="75">
        <v>0.0</v>
      </c>
      <c r="E958" s="75">
        <v>0.0</v>
      </c>
      <c r="F958" s="75" t="s">
        <v>996</v>
      </c>
      <c r="G958" s="82">
        <v>46110.0</v>
      </c>
      <c r="H958" s="76" t="s">
        <v>932</v>
      </c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>
      <c r="A959" s="75" t="s">
        <v>28</v>
      </c>
      <c r="B959" s="75" t="s">
        <v>1006</v>
      </c>
      <c r="C959" s="75">
        <v>15.09</v>
      </c>
      <c r="D959" s="75">
        <v>0.0</v>
      </c>
      <c r="E959" s="75">
        <v>0.0</v>
      </c>
      <c r="F959" s="75" t="s">
        <v>996</v>
      </c>
      <c r="G959" s="82">
        <v>46110.0</v>
      </c>
      <c r="H959" s="76" t="s">
        <v>933</v>
      </c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>
      <c r="A960" s="75" t="s">
        <v>42</v>
      </c>
      <c r="B960" s="75" t="s">
        <v>1006</v>
      </c>
      <c r="C960" s="75">
        <v>5.64</v>
      </c>
      <c r="D960" s="75">
        <v>1.0</v>
      </c>
      <c r="E960" s="75">
        <v>5.64</v>
      </c>
      <c r="F960" s="75" t="s">
        <v>996</v>
      </c>
      <c r="G960" s="82">
        <v>46110.0</v>
      </c>
      <c r="H960" s="76" t="s">
        <v>934</v>
      </c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>
      <c r="A961" s="75" t="s">
        <v>42</v>
      </c>
      <c r="B961" s="75" t="s">
        <v>1006</v>
      </c>
      <c r="C961" s="75">
        <v>9.86</v>
      </c>
      <c r="D961" s="75">
        <v>2.0</v>
      </c>
      <c r="E961" s="75">
        <v>4.93</v>
      </c>
      <c r="F961" s="75" t="s">
        <v>996</v>
      </c>
      <c r="G961" s="82">
        <v>46110.0</v>
      </c>
      <c r="H961" s="76" t="s">
        <v>935</v>
      </c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>
      <c r="A962" s="75" t="s">
        <v>45</v>
      </c>
      <c r="B962" s="75" t="s">
        <v>1006</v>
      </c>
      <c r="C962" s="75">
        <v>3.44</v>
      </c>
      <c r="D962" s="75">
        <v>2.0</v>
      </c>
      <c r="E962" s="75">
        <v>1.72</v>
      </c>
      <c r="F962" s="75" t="s">
        <v>996</v>
      </c>
      <c r="G962" s="82">
        <v>46110.0</v>
      </c>
      <c r="H962" s="76" t="s">
        <v>936</v>
      </c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>
      <c r="A963" s="75" t="s">
        <v>45</v>
      </c>
      <c r="B963" s="75" t="s">
        <v>1006</v>
      </c>
      <c r="C963" s="75">
        <v>2.46</v>
      </c>
      <c r="D963" s="75">
        <v>0.0</v>
      </c>
      <c r="E963" s="75">
        <v>0.0</v>
      </c>
      <c r="F963" s="75" t="s">
        <v>996</v>
      </c>
      <c r="G963" s="82">
        <v>46110.0</v>
      </c>
      <c r="H963" s="76" t="s">
        <v>937</v>
      </c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>
      <c r="A964" s="75" t="s">
        <v>45</v>
      </c>
      <c r="B964" s="75" t="s">
        <v>1006</v>
      </c>
      <c r="C964" s="75">
        <v>5.69</v>
      </c>
      <c r="D964" s="75">
        <v>0.0</v>
      </c>
      <c r="E964" s="75">
        <v>0.0</v>
      </c>
      <c r="F964" s="75" t="s">
        <v>996</v>
      </c>
      <c r="G964" s="82">
        <v>46110.0</v>
      </c>
      <c r="H964" s="76" t="s">
        <v>938</v>
      </c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>
      <c r="A965" s="75" t="s">
        <v>50</v>
      </c>
      <c r="B965" s="75" t="s">
        <v>1006</v>
      </c>
      <c r="C965" s="75">
        <v>5.58</v>
      </c>
      <c r="D965" s="75">
        <v>0.0</v>
      </c>
      <c r="E965" s="75">
        <v>0.0</v>
      </c>
      <c r="F965" s="75" t="s">
        <v>996</v>
      </c>
      <c r="G965" s="82">
        <v>46110.0</v>
      </c>
      <c r="H965" s="76" t="s">
        <v>939</v>
      </c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>
      <c r="A966" s="75" t="s">
        <v>50</v>
      </c>
      <c r="B966" s="75" t="s">
        <v>1006</v>
      </c>
      <c r="C966" s="75">
        <v>4.76</v>
      </c>
      <c r="D966" s="75">
        <v>0.0</v>
      </c>
      <c r="E966" s="75">
        <v>0.0</v>
      </c>
      <c r="F966" s="75" t="s">
        <v>996</v>
      </c>
      <c r="G966" s="82">
        <v>46110.0</v>
      </c>
      <c r="H966" s="76" t="s">
        <v>940</v>
      </c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>
      <c r="A967" s="75" t="s">
        <v>32</v>
      </c>
      <c r="B967" s="75" t="s">
        <v>1006</v>
      </c>
      <c r="C967" s="75">
        <v>12.06</v>
      </c>
      <c r="D967" s="75">
        <v>3.0</v>
      </c>
      <c r="E967" s="75">
        <v>4.02</v>
      </c>
      <c r="F967" s="75" t="s">
        <v>996</v>
      </c>
      <c r="G967" s="82">
        <v>46110.0</v>
      </c>
      <c r="H967" s="76" t="s">
        <v>941</v>
      </c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>
      <c r="A968" s="75" t="s">
        <v>32</v>
      </c>
      <c r="B968" s="75" t="s">
        <v>1006</v>
      </c>
      <c r="C968" s="75">
        <v>2.58</v>
      </c>
      <c r="D968" s="75">
        <v>1.0</v>
      </c>
      <c r="E968" s="75">
        <v>2.58</v>
      </c>
      <c r="F968" s="75" t="s">
        <v>996</v>
      </c>
      <c r="G968" s="82">
        <v>46110.0</v>
      </c>
      <c r="H968" s="76" t="s">
        <v>942</v>
      </c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>
      <c r="A969" s="75" t="s">
        <v>32</v>
      </c>
      <c r="B969" s="75" t="s">
        <v>1006</v>
      </c>
      <c r="C969" s="75">
        <v>6.6</v>
      </c>
      <c r="D969" s="75">
        <v>5.0</v>
      </c>
      <c r="E969" s="75">
        <v>1.32</v>
      </c>
      <c r="F969" s="75" t="s">
        <v>996</v>
      </c>
      <c r="G969" s="82">
        <v>46110.0</v>
      </c>
      <c r="H969" s="76" t="s">
        <v>943</v>
      </c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>
      <c r="A970" s="75" t="s">
        <v>944</v>
      </c>
      <c r="B970" s="75" t="s">
        <v>1006</v>
      </c>
      <c r="C970" s="75">
        <v>5.44</v>
      </c>
      <c r="D970" s="75">
        <v>0.0</v>
      </c>
      <c r="E970" s="75">
        <v>0.0</v>
      </c>
      <c r="F970" s="75" t="s">
        <v>996</v>
      </c>
      <c r="G970" s="82">
        <v>46110.0</v>
      </c>
      <c r="H970" s="76" t="s">
        <v>945</v>
      </c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>
      <c r="A971" s="75" t="s">
        <v>944</v>
      </c>
      <c r="B971" s="75" t="s">
        <v>1006</v>
      </c>
      <c r="C971" s="75">
        <v>1.56</v>
      </c>
      <c r="D971" s="75">
        <v>0.0</v>
      </c>
      <c r="E971" s="75">
        <v>0.0</v>
      </c>
      <c r="F971" s="75" t="s">
        <v>996</v>
      </c>
      <c r="G971" s="82">
        <v>46110.0</v>
      </c>
      <c r="H971" s="76" t="s">
        <v>946</v>
      </c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>
      <c r="A972" s="75" t="s">
        <v>944</v>
      </c>
      <c r="B972" s="75" t="s">
        <v>1006</v>
      </c>
      <c r="C972" s="75">
        <v>3.91</v>
      </c>
      <c r="D972" s="75">
        <v>1.0</v>
      </c>
      <c r="E972" s="75">
        <v>3.91</v>
      </c>
      <c r="F972" s="75" t="s">
        <v>996</v>
      </c>
      <c r="G972" s="82">
        <v>46110.0</v>
      </c>
      <c r="H972" s="76" t="s">
        <v>947</v>
      </c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>
      <c r="A973" s="75" t="s">
        <v>36</v>
      </c>
      <c r="B973" s="75" t="s">
        <v>1006</v>
      </c>
      <c r="C973" s="75">
        <v>12.82</v>
      </c>
      <c r="D973" s="75">
        <v>3.0</v>
      </c>
      <c r="E973" s="75">
        <v>4.27</v>
      </c>
      <c r="F973" s="75" t="s">
        <v>997</v>
      </c>
      <c r="G973" s="82">
        <v>46110.0</v>
      </c>
      <c r="H973" s="76" t="s">
        <v>926</v>
      </c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>
      <c r="A974" s="75" t="s">
        <v>36</v>
      </c>
      <c r="B974" s="75" t="s">
        <v>1006</v>
      </c>
      <c r="C974" s="75">
        <v>3.67</v>
      </c>
      <c r="D974" s="75">
        <v>1.0</v>
      </c>
      <c r="E974" s="75">
        <v>3.67</v>
      </c>
      <c r="F974" s="75" t="s">
        <v>997</v>
      </c>
      <c r="G974" s="82">
        <v>46110.0</v>
      </c>
      <c r="H974" s="76" t="s">
        <v>927</v>
      </c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>
      <c r="A975" s="75" t="s">
        <v>36</v>
      </c>
      <c r="B975" s="75" t="s">
        <v>1006</v>
      </c>
      <c r="C975" s="75">
        <v>3.68</v>
      </c>
      <c r="D975" s="75">
        <v>1.0</v>
      </c>
      <c r="E975" s="75">
        <v>3.68</v>
      </c>
      <c r="F975" s="75" t="s">
        <v>997</v>
      </c>
      <c r="G975" s="82">
        <v>46110.0</v>
      </c>
      <c r="H975" s="76" t="s">
        <v>928</v>
      </c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>
      <c r="A976" s="75" t="s">
        <v>31</v>
      </c>
      <c r="B976" s="75" t="s">
        <v>1006</v>
      </c>
      <c r="C976" s="75">
        <v>6.05</v>
      </c>
      <c r="D976" s="75">
        <v>0.0</v>
      </c>
      <c r="E976" s="75">
        <v>0.0</v>
      </c>
      <c r="F976" s="75" t="s">
        <v>997</v>
      </c>
      <c r="G976" s="82">
        <v>46110.0</v>
      </c>
      <c r="H976" s="76" t="s">
        <v>929</v>
      </c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>
      <c r="A977" s="75" t="s">
        <v>31</v>
      </c>
      <c r="B977" s="75" t="s">
        <v>1006</v>
      </c>
      <c r="C977" s="75">
        <v>26.82</v>
      </c>
      <c r="D977" s="75">
        <v>11.0</v>
      </c>
      <c r="E977" s="75">
        <v>2.44</v>
      </c>
      <c r="F977" s="75" t="s">
        <v>997</v>
      </c>
      <c r="G977" s="82">
        <v>46110.0</v>
      </c>
      <c r="H977" s="76" t="s">
        <v>930</v>
      </c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>
      <c r="A978" s="75" t="s">
        <v>28</v>
      </c>
      <c r="B978" s="75" t="s">
        <v>1006</v>
      </c>
      <c r="C978" s="75">
        <v>2.57</v>
      </c>
      <c r="D978" s="75">
        <v>1.0</v>
      </c>
      <c r="E978" s="75">
        <v>2.57</v>
      </c>
      <c r="F978" s="75" t="s">
        <v>997</v>
      </c>
      <c r="G978" s="82">
        <v>46110.0</v>
      </c>
      <c r="H978" s="76" t="s">
        <v>931</v>
      </c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>
      <c r="A979" s="75" t="s">
        <v>28</v>
      </c>
      <c r="B979" s="75" t="s">
        <v>1006</v>
      </c>
      <c r="C979" s="75">
        <v>2.7</v>
      </c>
      <c r="D979" s="75">
        <v>0.0</v>
      </c>
      <c r="E979" s="75">
        <v>0.0</v>
      </c>
      <c r="F979" s="75" t="s">
        <v>997</v>
      </c>
      <c r="G979" s="82">
        <v>46110.0</v>
      </c>
      <c r="H979" s="76" t="s">
        <v>932</v>
      </c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>
      <c r="A980" s="75" t="s">
        <v>28</v>
      </c>
      <c r="B980" s="75" t="s">
        <v>1006</v>
      </c>
      <c r="C980" s="75">
        <v>16.63</v>
      </c>
      <c r="D980" s="75">
        <v>2.0</v>
      </c>
      <c r="E980" s="75">
        <v>8.31</v>
      </c>
      <c r="F980" s="75" t="s">
        <v>997</v>
      </c>
      <c r="G980" s="82">
        <v>46110.0</v>
      </c>
      <c r="H980" s="76" t="s">
        <v>933</v>
      </c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>
      <c r="A981" s="75" t="s">
        <v>42</v>
      </c>
      <c r="B981" s="75" t="s">
        <v>1006</v>
      </c>
      <c r="C981" s="75">
        <v>7.13</v>
      </c>
      <c r="D981" s="75">
        <v>0.0</v>
      </c>
      <c r="E981" s="75">
        <v>0.0</v>
      </c>
      <c r="F981" s="75" t="s">
        <v>997</v>
      </c>
      <c r="G981" s="82">
        <v>46110.0</v>
      </c>
      <c r="H981" s="76" t="s">
        <v>934</v>
      </c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>
      <c r="A982" s="75" t="s">
        <v>42</v>
      </c>
      <c r="B982" s="75" t="s">
        <v>1006</v>
      </c>
      <c r="C982" s="75">
        <v>13.77</v>
      </c>
      <c r="D982" s="75">
        <v>3.0</v>
      </c>
      <c r="E982" s="75">
        <v>4.59</v>
      </c>
      <c r="F982" s="75" t="s">
        <v>997</v>
      </c>
      <c r="G982" s="82">
        <v>46110.0</v>
      </c>
      <c r="H982" s="76" t="s">
        <v>935</v>
      </c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>
      <c r="A983" s="75" t="s">
        <v>45</v>
      </c>
      <c r="B983" s="75" t="s">
        <v>1006</v>
      </c>
      <c r="C983" s="75">
        <v>3.86</v>
      </c>
      <c r="D983" s="75">
        <v>2.0</v>
      </c>
      <c r="E983" s="75">
        <v>1.93</v>
      </c>
      <c r="F983" s="75" t="s">
        <v>997</v>
      </c>
      <c r="G983" s="82">
        <v>46110.0</v>
      </c>
      <c r="H983" s="76" t="s">
        <v>936</v>
      </c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>
      <c r="A984" s="75" t="s">
        <v>45</v>
      </c>
      <c r="B984" s="75" t="s">
        <v>1006</v>
      </c>
      <c r="C984" s="75">
        <v>3.19</v>
      </c>
      <c r="D984" s="75">
        <v>0.0</v>
      </c>
      <c r="E984" s="75">
        <v>0.0</v>
      </c>
      <c r="F984" s="75" t="s">
        <v>997</v>
      </c>
      <c r="G984" s="82">
        <v>46110.0</v>
      </c>
      <c r="H984" s="76" t="s">
        <v>937</v>
      </c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>
      <c r="A985" s="75" t="s">
        <v>45</v>
      </c>
      <c r="B985" s="75" t="s">
        <v>1006</v>
      </c>
      <c r="C985" s="75">
        <v>8.55</v>
      </c>
      <c r="D985" s="75">
        <v>1.0</v>
      </c>
      <c r="E985" s="75">
        <v>8.55</v>
      </c>
      <c r="F985" s="75" t="s">
        <v>997</v>
      </c>
      <c r="G985" s="82">
        <v>46110.0</v>
      </c>
      <c r="H985" s="76" t="s">
        <v>938</v>
      </c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>
      <c r="A986" s="75" t="s">
        <v>50</v>
      </c>
      <c r="B986" s="75" t="s">
        <v>1006</v>
      </c>
      <c r="C986" s="75">
        <v>6.86</v>
      </c>
      <c r="D986" s="75">
        <v>0.0</v>
      </c>
      <c r="E986" s="75">
        <v>0.0</v>
      </c>
      <c r="F986" s="75" t="s">
        <v>997</v>
      </c>
      <c r="G986" s="82">
        <v>46110.0</v>
      </c>
      <c r="H986" s="76" t="s">
        <v>939</v>
      </c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>
      <c r="A987" s="75" t="s">
        <v>50</v>
      </c>
      <c r="B987" s="75" t="s">
        <v>1006</v>
      </c>
      <c r="C987" s="75">
        <v>5.29</v>
      </c>
      <c r="D987" s="75">
        <v>1.0</v>
      </c>
      <c r="E987" s="75">
        <v>5.29</v>
      </c>
      <c r="F987" s="75" t="s">
        <v>997</v>
      </c>
      <c r="G987" s="82">
        <v>46110.0</v>
      </c>
      <c r="H987" s="76" t="s">
        <v>940</v>
      </c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>
      <c r="A988" s="75" t="s">
        <v>32</v>
      </c>
      <c r="B988" s="75" t="s">
        <v>1006</v>
      </c>
      <c r="C988" s="75">
        <v>15.1</v>
      </c>
      <c r="D988" s="75">
        <v>6.0</v>
      </c>
      <c r="E988" s="75">
        <v>2.52</v>
      </c>
      <c r="F988" s="75" t="s">
        <v>997</v>
      </c>
      <c r="G988" s="82">
        <v>46110.0</v>
      </c>
      <c r="H988" s="76" t="s">
        <v>941</v>
      </c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>
      <c r="A989" s="75" t="s">
        <v>32</v>
      </c>
      <c r="B989" s="75" t="s">
        <v>1006</v>
      </c>
      <c r="C989" s="75">
        <v>2.74</v>
      </c>
      <c r="D989" s="75">
        <v>1.0</v>
      </c>
      <c r="E989" s="75">
        <v>2.74</v>
      </c>
      <c r="F989" s="75" t="s">
        <v>997</v>
      </c>
      <c r="G989" s="82">
        <v>46110.0</v>
      </c>
      <c r="H989" s="76" t="s">
        <v>942</v>
      </c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>
      <c r="A990" s="75" t="s">
        <v>32</v>
      </c>
      <c r="B990" s="75" t="s">
        <v>1006</v>
      </c>
      <c r="C990" s="75">
        <v>8.7</v>
      </c>
      <c r="D990" s="75">
        <v>8.0</v>
      </c>
      <c r="E990" s="75">
        <v>1.09</v>
      </c>
      <c r="F990" s="75" t="s">
        <v>997</v>
      </c>
      <c r="G990" s="82">
        <v>46110.0</v>
      </c>
      <c r="H990" s="76" t="s">
        <v>943</v>
      </c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>
      <c r="A991" s="75" t="s">
        <v>944</v>
      </c>
      <c r="B991" s="75" t="s">
        <v>1006</v>
      </c>
      <c r="C991" s="75">
        <v>6.78</v>
      </c>
      <c r="D991" s="75">
        <v>0.0</v>
      </c>
      <c r="E991" s="75">
        <v>0.0</v>
      </c>
      <c r="F991" s="75" t="s">
        <v>997</v>
      </c>
      <c r="G991" s="82">
        <v>46110.0</v>
      </c>
      <c r="H991" s="76" t="s">
        <v>945</v>
      </c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>
      <c r="A992" s="75" t="s">
        <v>944</v>
      </c>
      <c r="B992" s="75" t="s">
        <v>1006</v>
      </c>
      <c r="C992" s="75">
        <v>2.04</v>
      </c>
      <c r="D992" s="75">
        <v>1.0</v>
      </c>
      <c r="E992" s="75">
        <v>2.04</v>
      </c>
      <c r="F992" s="75" t="s">
        <v>997</v>
      </c>
      <c r="G992" s="82">
        <v>46110.0</v>
      </c>
      <c r="H992" s="76" t="s">
        <v>946</v>
      </c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>
      <c r="A993" s="75" t="s">
        <v>944</v>
      </c>
      <c r="B993" s="75" t="s">
        <v>1006</v>
      </c>
      <c r="C993" s="75">
        <v>5.23</v>
      </c>
      <c r="D993" s="75">
        <v>0.0</v>
      </c>
      <c r="E993" s="75">
        <v>0.0</v>
      </c>
      <c r="F993" s="75" t="s">
        <v>997</v>
      </c>
      <c r="G993" s="82">
        <v>46110.0</v>
      </c>
      <c r="H993" s="76" t="s">
        <v>947</v>
      </c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>
      <c r="A994" s="75" t="s">
        <v>36</v>
      </c>
      <c r="B994" s="75" t="s">
        <v>1006</v>
      </c>
      <c r="C994" s="75">
        <v>0.0</v>
      </c>
      <c r="D994" s="75">
        <v>0.0</v>
      </c>
      <c r="E994" s="75">
        <v>0.0</v>
      </c>
      <c r="F994" s="75" t="s">
        <v>998</v>
      </c>
      <c r="G994" s="82">
        <v>46110.0</v>
      </c>
      <c r="H994" s="76" t="s">
        <v>926</v>
      </c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>
      <c r="A995" s="75" t="s">
        <v>36</v>
      </c>
      <c r="B995" s="75" t="s">
        <v>1006</v>
      </c>
      <c r="C995" s="75">
        <v>0.72</v>
      </c>
      <c r="D995" s="75">
        <v>0.0</v>
      </c>
      <c r="E995" s="75">
        <v>0.0</v>
      </c>
      <c r="F995" s="75" t="s">
        <v>998</v>
      </c>
      <c r="G995" s="82">
        <v>46110.0</v>
      </c>
      <c r="H995" s="76" t="s">
        <v>928</v>
      </c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>
      <c r="A996" s="75" t="s">
        <v>31</v>
      </c>
      <c r="B996" s="75" t="s">
        <v>1006</v>
      </c>
      <c r="C996" s="75">
        <v>1.13</v>
      </c>
      <c r="D996" s="75">
        <v>0.0</v>
      </c>
      <c r="E996" s="75">
        <v>0.0</v>
      </c>
      <c r="F996" s="75" t="s">
        <v>998</v>
      </c>
      <c r="G996" s="82">
        <v>46110.0</v>
      </c>
      <c r="H996" s="76" t="s">
        <v>929</v>
      </c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>
      <c r="A997" s="75" t="s">
        <v>31</v>
      </c>
      <c r="B997" s="75" t="s">
        <v>1006</v>
      </c>
      <c r="C997" s="75">
        <v>0.0</v>
      </c>
      <c r="D997" s="75">
        <v>0.0</v>
      </c>
      <c r="E997" s="75">
        <v>0.0</v>
      </c>
      <c r="F997" s="75" t="s">
        <v>998</v>
      </c>
      <c r="G997" s="82">
        <v>46110.0</v>
      </c>
      <c r="H997" s="76" t="s">
        <v>930</v>
      </c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>
      <c r="A998" s="75" t="s">
        <v>28</v>
      </c>
      <c r="B998" s="75" t="s">
        <v>1006</v>
      </c>
      <c r="C998" s="75">
        <v>0.54</v>
      </c>
      <c r="D998" s="75">
        <v>0.0</v>
      </c>
      <c r="E998" s="75">
        <v>0.0</v>
      </c>
      <c r="F998" s="75" t="s">
        <v>998</v>
      </c>
      <c r="G998" s="82">
        <v>46110.0</v>
      </c>
      <c r="H998" s="76" t="s">
        <v>932</v>
      </c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>
      <c r="A999" s="75" t="s">
        <v>42</v>
      </c>
      <c r="B999" s="75" t="s">
        <v>1006</v>
      </c>
      <c r="C999" s="75">
        <v>0.95</v>
      </c>
      <c r="D999" s="75">
        <v>0.0</v>
      </c>
      <c r="E999" s="75">
        <v>0.0</v>
      </c>
      <c r="F999" s="75" t="s">
        <v>998</v>
      </c>
      <c r="G999" s="82">
        <v>46110.0</v>
      </c>
      <c r="H999" s="76" t="s">
        <v>934</v>
      </c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>
      <c r="A1000" s="75" t="s">
        <v>45</v>
      </c>
      <c r="B1000" s="75" t="s">
        <v>1006</v>
      </c>
      <c r="C1000" s="75">
        <v>0.0</v>
      </c>
      <c r="D1000" s="75">
        <v>0.0</v>
      </c>
      <c r="E1000" s="75">
        <v>0.0</v>
      </c>
      <c r="F1000" s="75" t="s">
        <v>998</v>
      </c>
      <c r="G1000" s="82">
        <v>46110.0</v>
      </c>
      <c r="H1000" s="76" t="s">
        <v>936</v>
      </c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>
      <c r="A1001" s="75" t="s">
        <v>45</v>
      </c>
      <c r="B1001" s="75" t="s">
        <v>1006</v>
      </c>
      <c r="C1001" s="75">
        <v>0.69</v>
      </c>
      <c r="D1001" s="75">
        <v>0.0</v>
      </c>
      <c r="E1001" s="75">
        <v>0.0</v>
      </c>
      <c r="F1001" s="75" t="s">
        <v>998</v>
      </c>
      <c r="G1001" s="82">
        <v>46110.0</v>
      </c>
      <c r="H1001" s="76" t="s">
        <v>937</v>
      </c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  <row r="1002">
      <c r="A1002" s="75" t="s">
        <v>50</v>
      </c>
      <c r="B1002" s="75" t="s">
        <v>1006</v>
      </c>
      <c r="C1002" s="75">
        <v>1.68</v>
      </c>
      <c r="D1002" s="75">
        <v>0.0</v>
      </c>
      <c r="E1002" s="75">
        <v>0.0</v>
      </c>
      <c r="F1002" s="75" t="s">
        <v>998</v>
      </c>
      <c r="G1002" s="82">
        <v>46110.0</v>
      </c>
      <c r="H1002" s="76" t="s">
        <v>939</v>
      </c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</row>
    <row r="1003">
      <c r="A1003" s="75" t="s">
        <v>50</v>
      </c>
      <c r="B1003" s="75" t="s">
        <v>1006</v>
      </c>
      <c r="C1003" s="75">
        <v>0.0</v>
      </c>
      <c r="D1003" s="75">
        <v>0.0</v>
      </c>
      <c r="E1003" s="75">
        <v>0.0</v>
      </c>
      <c r="F1003" s="75" t="s">
        <v>998</v>
      </c>
      <c r="G1003" s="82">
        <v>46110.0</v>
      </c>
      <c r="H1003" s="76" t="s">
        <v>940</v>
      </c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</row>
    <row r="1004">
      <c r="A1004" s="75" t="s">
        <v>32</v>
      </c>
      <c r="B1004" s="75" t="s">
        <v>1006</v>
      </c>
      <c r="C1004" s="75">
        <v>3.62</v>
      </c>
      <c r="D1004" s="75">
        <v>2.0</v>
      </c>
      <c r="E1004" s="75">
        <v>1.81</v>
      </c>
      <c r="F1004" s="75" t="s">
        <v>998</v>
      </c>
      <c r="G1004" s="82">
        <v>46110.0</v>
      </c>
      <c r="H1004" s="76" t="s">
        <v>941</v>
      </c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</row>
    <row r="1005">
      <c r="A1005" s="75" t="s">
        <v>32</v>
      </c>
      <c r="B1005" s="75" t="s">
        <v>1006</v>
      </c>
      <c r="C1005" s="75">
        <v>0.01</v>
      </c>
      <c r="D1005" s="75">
        <v>0.0</v>
      </c>
      <c r="E1005" s="75">
        <v>0.0</v>
      </c>
      <c r="F1005" s="75" t="s">
        <v>998</v>
      </c>
      <c r="G1005" s="82">
        <v>46110.0</v>
      </c>
      <c r="H1005" s="76" t="s">
        <v>942</v>
      </c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</row>
    <row r="1006">
      <c r="A1006" s="75" t="s">
        <v>32</v>
      </c>
      <c r="B1006" s="75" t="s">
        <v>1006</v>
      </c>
      <c r="C1006" s="75">
        <v>0.0</v>
      </c>
      <c r="D1006" s="75">
        <v>0.0</v>
      </c>
      <c r="E1006" s="75">
        <v>0.0</v>
      </c>
      <c r="F1006" s="75" t="s">
        <v>998</v>
      </c>
      <c r="G1006" s="82">
        <v>46110.0</v>
      </c>
      <c r="H1006" s="76" t="s">
        <v>943</v>
      </c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</row>
    <row r="1007">
      <c r="A1007" s="75" t="s">
        <v>944</v>
      </c>
      <c r="B1007" s="75" t="s">
        <v>1006</v>
      </c>
      <c r="C1007" s="75">
        <v>0.01</v>
      </c>
      <c r="D1007" s="75">
        <v>0.0</v>
      </c>
      <c r="E1007" s="75">
        <v>0.0</v>
      </c>
      <c r="F1007" s="75" t="s">
        <v>998</v>
      </c>
      <c r="G1007" s="82">
        <v>46110.0</v>
      </c>
      <c r="H1007" s="76" t="s">
        <v>946</v>
      </c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</row>
    <row r="1008">
      <c r="A1008" s="75" t="s">
        <v>944</v>
      </c>
      <c r="B1008" s="75" t="s">
        <v>1006</v>
      </c>
      <c r="C1008" s="75">
        <v>1.45</v>
      </c>
      <c r="D1008" s="75">
        <v>1.0</v>
      </c>
      <c r="E1008" s="75">
        <v>1.45</v>
      </c>
      <c r="F1008" s="75" t="s">
        <v>998</v>
      </c>
      <c r="G1008" s="82">
        <v>46110.0</v>
      </c>
      <c r="H1008" s="76" t="s">
        <v>947</v>
      </c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</row>
    <row r="1009">
      <c r="A1009" s="75" t="s">
        <v>54</v>
      </c>
      <c r="B1009" s="75" t="s">
        <v>1007</v>
      </c>
      <c r="C1009" s="75">
        <v>11.83</v>
      </c>
      <c r="D1009" s="75">
        <v>0.0</v>
      </c>
      <c r="E1009" s="75">
        <v>0.0</v>
      </c>
      <c r="F1009" s="75" t="s">
        <v>990</v>
      </c>
      <c r="G1009" s="82">
        <v>46110.0</v>
      </c>
      <c r="H1009" s="76" t="s">
        <v>977</v>
      </c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</row>
    <row r="1010">
      <c r="A1010" s="75" t="s">
        <v>54</v>
      </c>
      <c r="B1010" s="75" t="s">
        <v>1007</v>
      </c>
      <c r="C1010" s="75">
        <v>8.25</v>
      </c>
      <c r="D1010" s="75">
        <v>0.0</v>
      </c>
      <c r="E1010" s="75">
        <v>0.0</v>
      </c>
      <c r="F1010" s="75" t="s">
        <v>990</v>
      </c>
      <c r="G1010" s="82">
        <v>46110.0</v>
      </c>
      <c r="H1010" s="76" t="s">
        <v>978</v>
      </c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</row>
    <row r="1011">
      <c r="A1011" s="75" t="s">
        <v>54</v>
      </c>
      <c r="B1011" s="75" t="s">
        <v>1007</v>
      </c>
      <c r="C1011" s="75">
        <v>6.96</v>
      </c>
      <c r="D1011" s="75">
        <v>0.0</v>
      </c>
      <c r="E1011" s="75">
        <v>0.0</v>
      </c>
      <c r="F1011" s="75" t="s">
        <v>990</v>
      </c>
      <c r="G1011" s="82">
        <v>46110.0</v>
      </c>
      <c r="H1011" s="76" t="s">
        <v>979</v>
      </c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</row>
    <row r="1012">
      <c r="A1012" s="75" t="s">
        <v>55</v>
      </c>
      <c r="B1012" s="75" t="s">
        <v>1007</v>
      </c>
      <c r="C1012" s="75">
        <v>8.1</v>
      </c>
      <c r="D1012" s="75">
        <v>0.0</v>
      </c>
      <c r="E1012" s="75">
        <v>0.0</v>
      </c>
      <c r="F1012" s="75" t="s">
        <v>990</v>
      </c>
      <c r="G1012" s="82">
        <v>46110.0</v>
      </c>
      <c r="H1012" s="76" t="s">
        <v>980</v>
      </c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</row>
    <row r="1013">
      <c r="A1013" s="75" t="s">
        <v>55</v>
      </c>
      <c r="B1013" s="75" t="s">
        <v>1007</v>
      </c>
      <c r="C1013" s="75">
        <v>13.74</v>
      </c>
      <c r="D1013" s="75">
        <v>0.0</v>
      </c>
      <c r="E1013" s="75">
        <v>0.0</v>
      </c>
      <c r="F1013" s="75" t="s">
        <v>990</v>
      </c>
      <c r="G1013" s="82">
        <v>46110.0</v>
      </c>
      <c r="H1013" s="76" t="s">
        <v>981</v>
      </c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</row>
    <row r="1014">
      <c r="A1014" s="75" t="s">
        <v>53</v>
      </c>
      <c r="B1014" s="75" t="s">
        <v>1007</v>
      </c>
      <c r="C1014" s="75">
        <v>17.48</v>
      </c>
      <c r="D1014" s="75">
        <v>2.0</v>
      </c>
      <c r="E1014" s="75">
        <v>8.74</v>
      </c>
      <c r="F1014" s="75" t="s">
        <v>990</v>
      </c>
      <c r="G1014" s="82">
        <v>46110.0</v>
      </c>
      <c r="H1014" s="76" t="s">
        <v>982</v>
      </c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</row>
    <row r="1015">
      <c r="A1015" s="75" t="s">
        <v>53</v>
      </c>
      <c r="B1015" s="75" t="s">
        <v>1007</v>
      </c>
      <c r="C1015" s="75">
        <v>4.54</v>
      </c>
      <c r="D1015" s="75">
        <v>0.0</v>
      </c>
      <c r="E1015" s="75">
        <v>0.0</v>
      </c>
      <c r="F1015" s="75" t="s">
        <v>990</v>
      </c>
      <c r="G1015" s="82">
        <v>46110.0</v>
      </c>
      <c r="H1015" s="76" t="s">
        <v>983</v>
      </c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</row>
    <row r="1016">
      <c r="A1016" s="75" t="s">
        <v>53</v>
      </c>
      <c r="B1016" s="75" t="s">
        <v>1007</v>
      </c>
      <c r="C1016" s="75">
        <v>4.6</v>
      </c>
      <c r="D1016" s="75">
        <v>0.0</v>
      </c>
      <c r="E1016" s="75">
        <v>0.0</v>
      </c>
      <c r="F1016" s="75" t="s">
        <v>990</v>
      </c>
      <c r="G1016" s="82">
        <v>46110.0</v>
      </c>
      <c r="H1016" s="76" t="s">
        <v>984</v>
      </c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</row>
    <row r="1017">
      <c r="A1017" s="75" t="s">
        <v>985</v>
      </c>
      <c r="B1017" s="75" t="s">
        <v>1007</v>
      </c>
      <c r="C1017" s="75">
        <v>5.25</v>
      </c>
      <c r="D1017" s="75">
        <v>0.0</v>
      </c>
      <c r="E1017" s="75">
        <v>0.0</v>
      </c>
      <c r="F1017" s="75" t="s">
        <v>990</v>
      </c>
      <c r="G1017" s="82">
        <v>46110.0</v>
      </c>
      <c r="H1017" s="76" t="s">
        <v>936</v>
      </c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</row>
    <row r="1018">
      <c r="A1018" s="75" t="s">
        <v>985</v>
      </c>
      <c r="B1018" s="75" t="s">
        <v>1007</v>
      </c>
      <c r="C1018" s="75">
        <v>3.55</v>
      </c>
      <c r="D1018" s="75">
        <v>0.0</v>
      </c>
      <c r="E1018" s="75">
        <v>0.0</v>
      </c>
      <c r="F1018" s="75" t="s">
        <v>990</v>
      </c>
      <c r="G1018" s="82">
        <v>46110.0</v>
      </c>
      <c r="H1018" s="76" t="s">
        <v>937</v>
      </c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</row>
    <row r="1019">
      <c r="A1019" s="75" t="s">
        <v>985</v>
      </c>
      <c r="B1019" s="75" t="s">
        <v>1007</v>
      </c>
      <c r="C1019" s="75">
        <v>7.6</v>
      </c>
      <c r="D1019" s="75">
        <v>0.0</v>
      </c>
      <c r="E1019" s="75">
        <v>0.0</v>
      </c>
      <c r="F1019" s="75" t="s">
        <v>990</v>
      </c>
      <c r="G1019" s="82">
        <v>46110.0</v>
      </c>
      <c r="H1019" s="76" t="s">
        <v>938</v>
      </c>
      <c r="I1019" s="8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  <c r="X1019" s="83"/>
      <c r="Y1019" s="83"/>
      <c r="Z1019" s="83"/>
    </row>
    <row r="1020">
      <c r="A1020" s="75" t="s">
        <v>51</v>
      </c>
      <c r="B1020" s="75" t="s">
        <v>1007</v>
      </c>
      <c r="C1020" s="75">
        <v>15.58</v>
      </c>
      <c r="D1020" s="75">
        <v>0.0</v>
      </c>
      <c r="E1020" s="75">
        <v>0.0</v>
      </c>
      <c r="F1020" s="75" t="s">
        <v>990</v>
      </c>
      <c r="G1020" s="82">
        <v>46110.0</v>
      </c>
      <c r="H1020" s="76" t="s">
        <v>986</v>
      </c>
      <c r="I1020" s="8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  <c r="X1020" s="83"/>
      <c r="Y1020" s="83"/>
      <c r="Z1020" s="83"/>
    </row>
    <row r="1021">
      <c r="A1021" s="75" t="s">
        <v>51</v>
      </c>
      <c r="B1021" s="75" t="s">
        <v>1007</v>
      </c>
      <c r="C1021" s="75">
        <v>6.55</v>
      </c>
      <c r="D1021" s="75">
        <v>0.0</v>
      </c>
      <c r="E1021" s="75">
        <v>0.0</v>
      </c>
      <c r="F1021" s="75" t="s">
        <v>990</v>
      </c>
      <c r="G1021" s="82">
        <v>46110.0</v>
      </c>
      <c r="H1021" s="76" t="s">
        <v>987</v>
      </c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  <c r="Z1021" s="83"/>
    </row>
    <row r="1022">
      <c r="A1022" s="75" t="s">
        <v>54</v>
      </c>
      <c r="B1022" s="75" t="s">
        <v>1007</v>
      </c>
      <c r="C1022" s="75">
        <v>12.56</v>
      </c>
      <c r="D1022" s="75">
        <v>2.0</v>
      </c>
      <c r="E1022" s="75">
        <v>6.28</v>
      </c>
      <c r="F1022" s="75" t="s">
        <v>993</v>
      </c>
      <c r="G1022" s="82">
        <v>46110.0</v>
      </c>
      <c r="H1022" s="76" t="s">
        <v>977</v>
      </c>
      <c r="I1022" s="8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  <c r="X1022" s="83"/>
      <c r="Y1022" s="83"/>
      <c r="Z1022" s="83"/>
    </row>
    <row r="1023">
      <c r="A1023" s="75" t="s">
        <v>54</v>
      </c>
      <c r="B1023" s="75" t="s">
        <v>1007</v>
      </c>
      <c r="C1023" s="75">
        <v>10.46</v>
      </c>
      <c r="D1023" s="75">
        <v>0.0</v>
      </c>
      <c r="E1023" s="75">
        <v>0.0</v>
      </c>
      <c r="F1023" s="75" t="s">
        <v>993</v>
      </c>
      <c r="G1023" s="82">
        <v>46110.0</v>
      </c>
      <c r="H1023" s="76" t="s">
        <v>978</v>
      </c>
      <c r="I1023" s="8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  <c r="X1023" s="83"/>
      <c r="Y1023" s="83"/>
      <c r="Z1023" s="83"/>
    </row>
    <row r="1024">
      <c r="A1024" s="75" t="s">
        <v>54</v>
      </c>
      <c r="B1024" s="75" t="s">
        <v>1007</v>
      </c>
      <c r="C1024" s="75">
        <v>9.57</v>
      </c>
      <c r="D1024" s="75">
        <v>1.0</v>
      </c>
      <c r="E1024" s="75">
        <v>9.57</v>
      </c>
      <c r="F1024" s="75" t="s">
        <v>993</v>
      </c>
      <c r="G1024" s="82">
        <v>46110.0</v>
      </c>
      <c r="H1024" s="76" t="s">
        <v>979</v>
      </c>
      <c r="I1024" s="83"/>
      <c r="J1024" s="83"/>
      <c r="K1024" s="83"/>
      <c r="L1024" s="83"/>
      <c r="M1024" s="83"/>
      <c r="N1024" s="83"/>
      <c r="O1024" s="83"/>
      <c r="P1024" s="83"/>
      <c r="Q1024" s="83"/>
      <c r="R1024" s="83"/>
      <c r="S1024" s="83"/>
      <c r="T1024" s="83"/>
      <c r="U1024" s="83"/>
      <c r="V1024" s="83"/>
      <c r="W1024" s="83"/>
      <c r="X1024" s="83"/>
      <c r="Y1024" s="83"/>
      <c r="Z1024" s="83"/>
    </row>
    <row r="1025">
      <c r="A1025" s="75" t="s">
        <v>55</v>
      </c>
      <c r="B1025" s="75" t="s">
        <v>1007</v>
      </c>
      <c r="C1025" s="75">
        <v>8.99</v>
      </c>
      <c r="D1025" s="75">
        <v>0.0</v>
      </c>
      <c r="E1025" s="75">
        <v>0.0</v>
      </c>
      <c r="F1025" s="75" t="s">
        <v>993</v>
      </c>
      <c r="G1025" s="82">
        <v>46110.0</v>
      </c>
      <c r="H1025" s="76" t="s">
        <v>980</v>
      </c>
      <c r="I1025" s="83"/>
      <c r="J1025" s="83"/>
      <c r="K1025" s="83"/>
      <c r="L1025" s="83"/>
      <c r="M1025" s="83"/>
      <c r="N1025" s="83"/>
      <c r="O1025" s="83"/>
      <c r="P1025" s="83"/>
      <c r="Q1025" s="83"/>
      <c r="R1025" s="83"/>
      <c r="S1025" s="83"/>
      <c r="T1025" s="83"/>
      <c r="U1025" s="83"/>
      <c r="V1025" s="83"/>
      <c r="W1025" s="83"/>
      <c r="X1025" s="83"/>
      <c r="Y1025" s="83"/>
      <c r="Z1025" s="83"/>
    </row>
    <row r="1026">
      <c r="A1026" s="75" t="s">
        <v>55</v>
      </c>
      <c r="B1026" s="75" t="s">
        <v>1007</v>
      </c>
      <c r="C1026" s="75">
        <v>14.9</v>
      </c>
      <c r="D1026" s="75">
        <v>1.0</v>
      </c>
      <c r="E1026" s="75">
        <v>14.9</v>
      </c>
      <c r="F1026" s="75" t="s">
        <v>993</v>
      </c>
      <c r="G1026" s="82">
        <v>46110.0</v>
      </c>
      <c r="H1026" s="76" t="s">
        <v>981</v>
      </c>
      <c r="I1026" s="83"/>
      <c r="J1026" s="83"/>
      <c r="K1026" s="83"/>
      <c r="L1026" s="83"/>
      <c r="M1026" s="83"/>
      <c r="N1026" s="83"/>
      <c r="O1026" s="83"/>
      <c r="P1026" s="83"/>
      <c r="Q1026" s="83"/>
      <c r="R1026" s="83"/>
      <c r="S1026" s="83"/>
      <c r="T1026" s="83"/>
      <c r="U1026" s="83"/>
      <c r="V1026" s="83"/>
      <c r="W1026" s="83"/>
      <c r="X1026" s="83"/>
      <c r="Y1026" s="83"/>
      <c r="Z1026" s="83"/>
    </row>
    <row r="1027">
      <c r="A1027" s="75" t="s">
        <v>53</v>
      </c>
      <c r="B1027" s="75" t="s">
        <v>1007</v>
      </c>
      <c r="C1027" s="75">
        <v>13.03</v>
      </c>
      <c r="D1027" s="75">
        <v>0.0</v>
      </c>
      <c r="E1027" s="75">
        <v>0.0</v>
      </c>
      <c r="F1027" s="75" t="s">
        <v>993</v>
      </c>
      <c r="G1027" s="82">
        <v>46110.0</v>
      </c>
      <c r="H1027" s="76" t="s">
        <v>982</v>
      </c>
      <c r="I1027" s="83"/>
      <c r="J1027" s="83"/>
      <c r="K1027" s="83"/>
      <c r="L1027" s="83"/>
      <c r="M1027" s="83"/>
      <c r="N1027" s="83"/>
      <c r="O1027" s="83"/>
      <c r="P1027" s="83"/>
      <c r="Q1027" s="83"/>
      <c r="R1027" s="83"/>
      <c r="S1027" s="83"/>
      <c r="T1027" s="83"/>
      <c r="U1027" s="83"/>
      <c r="V1027" s="83"/>
      <c r="W1027" s="83"/>
      <c r="X1027" s="83"/>
      <c r="Y1027" s="83"/>
      <c r="Z1027" s="83"/>
    </row>
    <row r="1028">
      <c r="A1028" s="75" t="s">
        <v>53</v>
      </c>
      <c r="B1028" s="75" t="s">
        <v>1007</v>
      </c>
      <c r="C1028" s="75">
        <v>4.83</v>
      </c>
      <c r="D1028" s="75">
        <v>0.0</v>
      </c>
      <c r="E1028" s="75">
        <v>0.0</v>
      </c>
      <c r="F1028" s="75" t="s">
        <v>993</v>
      </c>
      <c r="G1028" s="82">
        <v>46110.0</v>
      </c>
      <c r="H1028" s="76" t="s">
        <v>983</v>
      </c>
      <c r="I1028" s="83"/>
      <c r="J1028" s="83"/>
      <c r="K1028" s="83"/>
      <c r="L1028" s="83"/>
      <c r="M1028" s="83"/>
      <c r="N1028" s="83"/>
      <c r="O1028" s="83"/>
      <c r="P1028" s="83"/>
      <c r="Q1028" s="83"/>
      <c r="R1028" s="83"/>
      <c r="S1028" s="83"/>
      <c r="T1028" s="83"/>
      <c r="U1028" s="83"/>
      <c r="V1028" s="83"/>
      <c r="W1028" s="83"/>
      <c r="X1028" s="83"/>
      <c r="Y1028" s="83"/>
      <c r="Z1028" s="83"/>
    </row>
    <row r="1029">
      <c r="A1029" s="75" t="s">
        <v>53</v>
      </c>
      <c r="B1029" s="75" t="s">
        <v>1007</v>
      </c>
      <c r="C1029" s="75">
        <v>3.61</v>
      </c>
      <c r="D1029" s="75">
        <v>0.0</v>
      </c>
      <c r="E1029" s="75">
        <v>0.0</v>
      </c>
      <c r="F1029" s="75" t="s">
        <v>993</v>
      </c>
      <c r="G1029" s="82">
        <v>46110.0</v>
      </c>
      <c r="H1029" s="76" t="s">
        <v>984</v>
      </c>
      <c r="I1029" s="83"/>
      <c r="J1029" s="83"/>
      <c r="K1029" s="83"/>
      <c r="L1029" s="83"/>
      <c r="M1029" s="83"/>
      <c r="N1029" s="83"/>
      <c r="O1029" s="83"/>
      <c r="P1029" s="83"/>
      <c r="Q1029" s="83"/>
      <c r="R1029" s="83"/>
      <c r="S1029" s="83"/>
      <c r="T1029" s="83"/>
      <c r="U1029" s="83"/>
      <c r="V1029" s="83"/>
      <c r="W1029" s="83"/>
      <c r="X1029" s="83"/>
      <c r="Y1029" s="83"/>
      <c r="Z1029" s="83"/>
    </row>
    <row r="1030">
      <c r="A1030" s="75" t="s">
        <v>985</v>
      </c>
      <c r="B1030" s="75" t="s">
        <v>1007</v>
      </c>
      <c r="C1030" s="75">
        <v>7.51</v>
      </c>
      <c r="D1030" s="75">
        <v>0.0</v>
      </c>
      <c r="E1030" s="75">
        <v>0.0</v>
      </c>
      <c r="F1030" s="75" t="s">
        <v>993</v>
      </c>
      <c r="G1030" s="82">
        <v>46110.0</v>
      </c>
      <c r="H1030" s="76" t="s">
        <v>936</v>
      </c>
      <c r="I1030" s="83"/>
      <c r="J1030" s="83"/>
      <c r="K1030" s="83"/>
      <c r="L1030" s="83"/>
      <c r="M1030" s="83"/>
      <c r="N1030" s="83"/>
      <c r="O1030" s="83"/>
      <c r="P1030" s="83"/>
      <c r="Q1030" s="83"/>
      <c r="R1030" s="83"/>
      <c r="S1030" s="83"/>
      <c r="T1030" s="83"/>
      <c r="U1030" s="83"/>
      <c r="V1030" s="83"/>
      <c r="W1030" s="83"/>
      <c r="X1030" s="83"/>
      <c r="Y1030" s="83"/>
      <c r="Z1030" s="83"/>
    </row>
    <row r="1031">
      <c r="A1031" s="75" t="s">
        <v>985</v>
      </c>
      <c r="B1031" s="75" t="s">
        <v>1007</v>
      </c>
      <c r="C1031" s="75">
        <v>3.88</v>
      </c>
      <c r="D1031" s="75">
        <v>0.0</v>
      </c>
      <c r="E1031" s="75">
        <v>0.0</v>
      </c>
      <c r="F1031" s="75" t="s">
        <v>993</v>
      </c>
      <c r="G1031" s="82">
        <v>46110.0</v>
      </c>
      <c r="H1031" s="76" t="s">
        <v>937</v>
      </c>
      <c r="I1031" s="83"/>
      <c r="J1031" s="83"/>
      <c r="K1031" s="83"/>
      <c r="L1031" s="83"/>
      <c r="M1031" s="83"/>
      <c r="N1031" s="83"/>
      <c r="O1031" s="83"/>
      <c r="P1031" s="83"/>
      <c r="Q1031" s="83"/>
      <c r="R1031" s="83"/>
      <c r="S1031" s="83"/>
      <c r="T1031" s="83"/>
      <c r="U1031" s="83"/>
      <c r="V1031" s="83"/>
      <c r="W1031" s="83"/>
      <c r="X1031" s="83"/>
      <c r="Y1031" s="83"/>
      <c r="Z1031" s="83"/>
    </row>
    <row r="1032">
      <c r="A1032" s="75" t="s">
        <v>985</v>
      </c>
      <c r="B1032" s="75" t="s">
        <v>1007</v>
      </c>
      <c r="C1032" s="75">
        <v>8.78</v>
      </c>
      <c r="D1032" s="75">
        <v>0.0</v>
      </c>
      <c r="E1032" s="75">
        <v>0.0</v>
      </c>
      <c r="F1032" s="75" t="s">
        <v>993</v>
      </c>
      <c r="G1032" s="82">
        <v>46110.0</v>
      </c>
      <c r="H1032" s="76" t="s">
        <v>938</v>
      </c>
      <c r="I1032" s="83"/>
      <c r="J1032" s="83"/>
      <c r="K1032" s="83"/>
      <c r="L1032" s="83"/>
      <c r="M1032" s="83"/>
      <c r="N1032" s="83"/>
      <c r="O1032" s="83"/>
      <c r="P1032" s="83"/>
      <c r="Q1032" s="83"/>
      <c r="R1032" s="83"/>
      <c r="S1032" s="83"/>
      <c r="T1032" s="83"/>
      <c r="U1032" s="83"/>
      <c r="V1032" s="83"/>
      <c r="W1032" s="83"/>
      <c r="X1032" s="83"/>
      <c r="Y1032" s="83"/>
      <c r="Z1032" s="83"/>
    </row>
    <row r="1033">
      <c r="A1033" s="75" t="s">
        <v>51</v>
      </c>
      <c r="B1033" s="75" t="s">
        <v>1007</v>
      </c>
      <c r="C1033" s="75">
        <v>16.03</v>
      </c>
      <c r="D1033" s="75">
        <v>0.0</v>
      </c>
      <c r="E1033" s="75">
        <v>0.0</v>
      </c>
      <c r="F1033" s="75" t="s">
        <v>993</v>
      </c>
      <c r="G1033" s="82">
        <v>46110.0</v>
      </c>
      <c r="H1033" s="76" t="s">
        <v>986</v>
      </c>
      <c r="I1033" s="83"/>
      <c r="J1033" s="83"/>
      <c r="K1033" s="83"/>
      <c r="L1033" s="83"/>
      <c r="M1033" s="83"/>
      <c r="N1033" s="83"/>
      <c r="O1033" s="83"/>
      <c r="P1033" s="83"/>
      <c r="Q1033" s="83"/>
      <c r="R1033" s="83"/>
      <c r="S1033" s="83"/>
      <c r="T1033" s="83"/>
      <c r="U1033" s="83"/>
      <c r="V1033" s="83"/>
      <c r="W1033" s="83"/>
      <c r="X1033" s="83"/>
      <c r="Y1033" s="83"/>
      <c r="Z1033" s="83"/>
    </row>
    <row r="1034">
      <c r="A1034" s="75" t="s">
        <v>51</v>
      </c>
      <c r="B1034" s="75" t="s">
        <v>1007</v>
      </c>
      <c r="C1034" s="75">
        <v>7.37</v>
      </c>
      <c r="D1034" s="75">
        <v>0.0</v>
      </c>
      <c r="E1034" s="75">
        <v>0.0</v>
      </c>
      <c r="F1034" s="75" t="s">
        <v>993</v>
      </c>
      <c r="G1034" s="82">
        <v>46110.0</v>
      </c>
      <c r="H1034" s="76" t="s">
        <v>987</v>
      </c>
      <c r="I1034" s="83"/>
      <c r="J1034" s="83"/>
      <c r="K1034" s="83"/>
      <c r="L1034" s="83"/>
      <c r="M1034" s="83"/>
      <c r="N1034" s="83"/>
      <c r="O1034" s="83"/>
      <c r="P1034" s="83"/>
      <c r="Q1034" s="83"/>
      <c r="R1034" s="83"/>
      <c r="S1034" s="83"/>
      <c r="T1034" s="83"/>
      <c r="U1034" s="83"/>
      <c r="V1034" s="83"/>
      <c r="W1034" s="83"/>
      <c r="X1034" s="83"/>
      <c r="Y1034" s="83"/>
      <c r="Z1034" s="83"/>
    </row>
    <row r="1035">
      <c r="A1035" s="75" t="s">
        <v>54</v>
      </c>
      <c r="B1035" s="75" t="s">
        <v>1007</v>
      </c>
      <c r="C1035" s="75">
        <v>10.27</v>
      </c>
      <c r="D1035" s="75">
        <v>0.0</v>
      </c>
      <c r="E1035" s="75">
        <v>0.0</v>
      </c>
      <c r="F1035" s="75" t="s">
        <v>994</v>
      </c>
      <c r="G1035" s="82">
        <v>46110.0</v>
      </c>
      <c r="H1035" s="76" t="s">
        <v>977</v>
      </c>
      <c r="I1035" s="83"/>
      <c r="J1035" s="83"/>
      <c r="K1035" s="83"/>
      <c r="L1035" s="83"/>
      <c r="M1035" s="83"/>
      <c r="N1035" s="83"/>
      <c r="O1035" s="83"/>
      <c r="P1035" s="83"/>
      <c r="Q1035" s="83"/>
      <c r="R1035" s="83"/>
      <c r="S1035" s="83"/>
      <c r="T1035" s="83"/>
      <c r="U1035" s="83"/>
      <c r="V1035" s="83"/>
      <c r="W1035" s="83"/>
      <c r="X1035" s="83"/>
      <c r="Y1035" s="83"/>
      <c r="Z1035" s="83"/>
    </row>
    <row r="1036">
      <c r="A1036" s="75" t="s">
        <v>54</v>
      </c>
      <c r="B1036" s="75" t="s">
        <v>1007</v>
      </c>
      <c r="C1036" s="75">
        <v>7.19</v>
      </c>
      <c r="D1036" s="75">
        <v>0.0</v>
      </c>
      <c r="E1036" s="75">
        <v>0.0</v>
      </c>
      <c r="F1036" s="75" t="s">
        <v>994</v>
      </c>
      <c r="G1036" s="82">
        <v>46110.0</v>
      </c>
      <c r="H1036" s="76" t="s">
        <v>978</v>
      </c>
      <c r="I1036" s="83"/>
      <c r="J1036" s="83"/>
      <c r="K1036" s="83"/>
      <c r="L1036" s="83"/>
      <c r="M1036" s="83"/>
      <c r="N1036" s="83"/>
      <c r="O1036" s="83"/>
      <c r="P1036" s="83"/>
      <c r="Q1036" s="83"/>
      <c r="R1036" s="83"/>
      <c r="S1036" s="83"/>
      <c r="T1036" s="83"/>
      <c r="U1036" s="83"/>
      <c r="V1036" s="83"/>
      <c r="W1036" s="83"/>
      <c r="X1036" s="83"/>
      <c r="Y1036" s="83"/>
      <c r="Z1036" s="83"/>
    </row>
    <row r="1037">
      <c r="A1037" s="75" t="s">
        <v>54</v>
      </c>
      <c r="B1037" s="75" t="s">
        <v>1007</v>
      </c>
      <c r="C1037" s="75">
        <v>6.55</v>
      </c>
      <c r="D1037" s="75">
        <v>1.0</v>
      </c>
      <c r="E1037" s="75">
        <v>6.55</v>
      </c>
      <c r="F1037" s="75" t="s">
        <v>994</v>
      </c>
      <c r="G1037" s="82">
        <v>46110.0</v>
      </c>
      <c r="H1037" s="76" t="s">
        <v>979</v>
      </c>
      <c r="I1037" s="83"/>
      <c r="J1037" s="83"/>
      <c r="K1037" s="83"/>
      <c r="L1037" s="83"/>
      <c r="M1037" s="83"/>
      <c r="N1037" s="83"/>
      <c r="O1037" s="83"/>
      <c r="P1037" s="83"/>
      <c r="Q1037" s="83"/>
      <c r="R1037" s="83"/>
      <c r="S1037" s="83"/>
      <c r="T1037" s="83"/>
      <c r="U1037" s="83"/>
      <c r="V1037" s="83"/>
      <c r="W1037" s="83"/>
      <c r="X1037" s="83"/>
      <c r="Y1037" s="83"/>
      <c r="Z1037" s="83"/>
    </row>
    <row r="1038">
      <c r="A1038" s="75" t="s">
        <v>55</v>
      </c>
      <c r="B1038" s="75" t="s">
        <v>1007</v>
      </c>
      <c r="C1038" s="75">
        <v>7.56</v>
      </c>
      <c r="D1038" s="75">
        <v>0.0</v>
      </c>
      <c r="E1038" s="75">
        <v>0.0</v>
      </c>
      <c r="F1038" s="75" t="s">
        <v>994</v>
      </c>
      <c r="G1038" s="82">
        <v>46110.0</v>
      </c>
      <c r="H1038" s="76" t="s">
        <v>980</v>
      </c>
      <c r="I1038" s="83"/>
      <c r="J1038" s="83"/>
      <c r="K1038" s="83"/>
      <c r="L1038" s="83"/>
      <c r="M1038" s="83"/>
      <c r="N1038" s="83"/>
      <c r="O1038" s="83"/>
      <c r="P1038" s="83"/>
      <c r="Q1038" s="83"/>
      <c r="R1038" s="83"/>
      <c r="S1038" s="83"/>
      <c r="T1038" s="83"/>
      <c r="U1038" s="83"/>
      <c r="V1038" s="83"/>
      <c r="W1038" s="83"/>
      <c r="X1038" s="83"/>
      <c r="Y1038" s="83"/>
      <c r="Z1038" s="83"/>
    </row>
    <row r="1039">
      <c r="A1039" s="75" t="s">
        <v>55</v>
      </c>
      <c r="B1039" s="75" t="s">
        <v>1007</v>
      </c>
      <c r="C1039" s="75">
        <v>10.61</v>
      </c>
      <c r="D1039" s="75">
        <v>0.0</v>
      </c>
      <c r="E1039" s="75">
        <v>0.0</v>
      </c>
      <c r="F1039" s="75" t="s">
        <v>994</v>
      </c>
      <c r="G1039" s="82">
        <v>46110.0</v>
      </c>
      <c r="H1039" s="76" t="s">
        <v>981</v>
      </c>
      <c r="I1039" s="83"/>
      <c r="J1039" s="83"/>
      <c r="K1039" s="83"/>
      <c r="L1039" s="83"/>
      <c r="M1039" s="83"/>
      <c r="N1039" s="83"/>
      <c r="O1039" s="83"/>
      <c r="P1039" s="83"/>
      <c r="Q1039" s="83"/>
      <c r="R1039" s="83"/>
      <c r="S1039" s="83"/>
      <c r="T1039" s="83"/>
      <c r="U1039" s="83"/>
      <c r="V1039" s="83"/>
      <c r="W1039" s="83"/>
      <c r="X1039" s="83"/>
      <c r="Y1039" s="83"/>
      <c r="Z1039" s="83"/>
    </row>
    <row r="1040">
      <c r="A1040" s="75" t="s">
        <v>53</v>
      </c>
      <c r="B1040" s="75" t="s">
        <v>1007</v>
      </c>
      <c r="C1040" s="75">
        <v>10.14</v>
      </c>
      <c r="D1040" s="75">
        <v>1.0</v>
      </c>
      <c r="E1040" s="75">
        <v>10.14</v>
      </c>
      <c r="F1040" s="75" t="s">
        <v>994</v>
      </c>
      <c r="G1040" s="82">
        <v>46110.0</v>
      </c>
      <c r="H1040" s="76" t="s">
        <v>982</v>
      </c>
      <c r="I1040" s="83"/>
      <c r="J1040" s="83"/>
      <c r="K1040" s="83"/>
      <c r="L1040" s="83"/>
      <c r="M1040" s="83"/>
      <c r="N1040" s="83"/>
      <c r="O1040" s="83"/>
      <c r="P1040" s="83"/>
      <c r="Q1040" s="83"/>
      <c r="R1040" s="83"/>
      <c r="S1040" s="83"/>
      <c r="T1040" s="83"/>
      <c r="U1040" s="83"/>
      <c r="V1040" s="83"/>
      <c r="W1040" s="83"/>
      <c r="X1040" s="83"/>
      <c r="Y1040" s="83"/>
      <c r="Z1040" s="83"/>
    </row>
    <row r="1041">
      <c r="A1041" s="75" t="s">
        <v>53</v>
      </c>
      <c r="B1041" s="75" t="s">
        <v>1007</v>
      </c>
      <c r="C1041" s="75">
        <v>3.53</v>
      </c>
      <c r="D1041" s="75">
        <v>0.0</v>
      </c>
      <c r="E1041" s="75">
        <v>0.0</v>
      </c>
      <c r="F1041" s="75" t="s">
        <v>994</v>
      </c>
      <c r="G1041" s="82">
        <v>46110.0</v>
      </c>
      <c r="H1041" s="76" t="s">
        <v>983</v>
      </c>
      <c r="I1041" s="83"/>
      <c r="J1041" s="83"/>
      <c r="K1041" s="83"/>
      <c r="L1041" s="83"/>
      <c r="M1041" s="83"/>
      <c r="N1041" s="83"/>
      <c r="O1041" s="83"/>
      <c r="P1041" s="83"/>
      <c r="Q1041" s="83"/>
      <c r="R1041" s="83"/>
      <c r="S1041" s="83"/>
      <c r="T1041" s="83"/>
      <c r="U1041" s="83"/>
      <c r="V1041" s="83"/>
      <c r="W1041" s="83"/>
      <c r="X1041" s="83"/>
      <c r="Y1041" s="83"/>
      <c r="Z1041" s="83"/>
    </row>
    <row r="1042">
      <c r="A1042" s="75" t="s">
        <v>53</v>
      </c>
      <c r="B1042" s="75" t="s">
        <v>1007</v>
      </c>
      <c r="C1042" s="75">
        <v>3.16</v>
      </c>
      <c r="D1042" s="75">
        <v>0.0</v>
      </c>
      <c r="E1042" s="75">
        <v>0.0</v>
      </c>
      <c r="F1042" s="75" t="s">
        <v>994</v>
      </c>
      <c r="G1042" s="82">
        <v>46110.0</v>
      </c>
      <c r="H1042" s="76" t="s">
        <v>984</v>
      </c>
      <c r="I1042" s="83"/>
      <c r="J1042" s="83"/>
      <c r="K1042" s="83"/>
      <c r="L1042" s="83"/>
      <c r="M1042" s="83"/>
      <c r="N1042" s="83"/>
      <c r="O1042" s="83"/>
      <c r="P1042" s="83"/>
      <c r="Q1042" s="83"/>
      <c r="R1042" s="83"/>
      <c r="S1042" s="83"/>
      <c r="T1042" s="83"/>
      <c r="U1042" s="83"/>
      <c r="V1042" s="83"/>
      <c r="W1042" s="83"/>
      <c r="X1042" s="83"/>
      <c r="Y1042" s="83"/>
      <c r="Z1042" s="83"/>
    </row>
    <row r="1043">
      <c r="A1043" s="75" t="s">
        <v>985</v>
      </c>
      <c r="B1043" s="75" t="s">
        <v>1007</v>
      </c>
      <c r="C1043" s="75">
        <v>4.5</v>
      </c>
      <c r="D1043" s="75">
        <v>0.0</v>
      </c>
      <c r="E1043" s="75">
        <v>0.0</v>
      </c>
      <c r="F1043" s="75" t="s">
        <v>994</v>
      </c>
      <c r="G1043" s="82">
        <v>46110.0</v>
      </c>
      <c r="H1043" s="76" t="s">
        <v>936</v>
      </c>
      <c r="I1043" s="83"/>
      <c r="J1043" s="83"/>
      <c r="K1043" s="83"/>
      <c r="L1043" s="83"/>
      <c r="M1043" s="83"/>
      <c r="N1043" s="83"/>
      <c r="O1043" s="83"/>
      <c r="P1043" s="83"/>
      <c r="Q1043" s="83"/>
      <c r="R1043" s="83"/>
      <c r="S1043" s="83"/>
      <c r="T1043" s="83"/>
      <c r="U1043" s="83"/>
      <c r="V1043" s="83"/>
      <c r="W1043" s="83"/>
      <c r="X1043" s="83"/>
      <c r="Y1043" s="83"/>
      <c r="Z1043" s="83"/>
    </row>
    <row r="1044">
      <c r="A1044" s="75" t="s">
        <v>985</v>
      </c>
      <c r="B1044" s="75" t="s">
        <v>1007</v>
      </c>
      <c r="C1044" s="75">
        <v>3.05</v>
      </c>
      <c r="D1044" s="75">
        <v>0.0</v>
      </c>
      <c r="E1044" s="75">
        <v>0.0</v>
      </c>
      <c r="F1044" s="75" t="s">
        <v>994</v>
      </c>
      <c r="G1044" s="82">
        <v>46110.0</v>
      </c>
      <c r="H1044" s="76" t="s">
        <v>937</v>
      </c>
      <c r="I1044" s="83"/>
      <c r="J1044" s="83"/>
      <c r="K1044" s="83"/>
      <c r="L1044" s="83"/>
      <c r="M1044" s="83"/>
      <c r="N1044" s="83"/>
      <c r="O1044" s="83"/>
      <c r="P1044" s="83"/>
      <c r="Q1044" s="83"/>
      <c r="R1044" s="83"/>
      <c r="S1044" s="83"/>
      <c r="T1044" s="83"/>
      <c r="U1044" s="83"/>
      <c r="V1044" s="83"/>
      <c r="W1044" s="83"/>
      <c r="X1044" s="83"/>
      <c r="Y1044" s="83"/>
      <c r="Z1044" s="83"/>
    </row>
    <row r="1045">
      <c r="A1045" s="75" t="s">
        <v>985</v>
      </c>
      <c r="B1045" s="75" t="s">
        <v>1007</v>
      </c>
      <c r="C1045" s="75">
        <v>6.98</v>
      </c>
      <c r="D1045" s="75">
        <v>0.0</v>
      </c>
      <c r="E1045" s="75">
        <v>0.0</v>
      </c>
      <c r="F1045" s="75" t="s">
        <v>994</v>
      </c>
      <c r="G1045" s="82">
        <v>46110.0</v>
      </c>
      <c r="H1045" s="76" t="s">
        <v>938</v>
      </c>
      <c r="I1045" s="83"/>
      <c r="J1045" s="83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83"/>
      <c r="V1045" s="83"/>
      <c r="W1045" s="83"/>
      <c r="X1045" s="83"/>
      <c r="Y1045" s="83"/>
      <c r="Z1045" s="83"/>
    </row>
    <row r="1046">
      <c r="A1046" s="75" t="s">
        <v>51</v>
      </c>
      <c r="B1046" s="75" t="s">
        <v>1007</v>
      </c>
      <c r="C1046" s="75">
        <v>14.51</v>
      </c>
      <c r="D1046" s="75">
        <v>0.0</v>
      </c>
      <c r="E1046" s="75">
        <v>0.0</v>
      </c>
      <c r="F1046" s="75" t="s">
        <v>994</v>
      </c>
      <c r="G1046" s="82">
        <v>46110.0</v>
      </c>
      <c r="H1046" s="76" t="s">
        <v>986</v>
      </c>
      <c r="I1046" s="83"/>
      <c r="J1046" s="83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83"/>
      <c r="V1046" s="83"/>
      <c r="W1046" s="83"/>
      <c r="X1046" s="83"/>
      <c r="Y1046" s="83"/>
      <c r="Z1046" s="83"/>
    </row>
    <row r="1047">
      <c r="A1047" s="75" t="s">
        <v>51</v>
      </c>
      <c r="B1047" s="75" t="s">
        <v>1007</v>
      </c>
      <c r="C1047" s="75">
        <v>5.74</v>
      </c>
      <c r="D1047" s="75">
        <v>0.0</v>
      </c>
      <c r="E1047" s="75">
        <v>0.0</v>
      </c>
      <c r="F1047" s="75" t="s">
        <v>994</v>
      </c>
      <c r="G1047" s="82">
        <v>46110.0</v>
      </c>
      <c r="H1047" s="76" t="s">
        <v>987</v>
      </c>
      <c r="I1047" s="83"/>
      <c r="J1047" s="83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83"/>
      <c r="V1047" s="83"/>
      <c r="W1047" s="83"/>
      <c r="X1047" s="83"/>
      <c r="Y1047" s="83"/>
      <c r="Z1047" s="83"/>
    </row>
    <row r="1048">
      <c r="A1048" s="75" t="s">
        <v>54</v>
      </c>
      <c r="B1048" s="75" t="s">
        <v>1007</v>
      </c>
      <c r="C1048" s="75">
        <v>8.21</v>
      </c>
      <c r="D1048" s="75">
        <v>0.0</v>
      </c>
      <c r="E1048" s="75">
        <v>0.0</v>
      </c>
      <c r="F1048" s="75" t="s">
        <v>995</v>
      </c>
      <c r="G1048" s="82">
        <v>46110.0</v>
      </c>
      <c r="H1048" s="76" t="s">
        <v>977</v>
      </c>
      <c r="I1048" s="83"/>
      <c r="J1048" s="83"/>
      <c r="K1048" s="83"/>
      <c r="L1048" s="83"/>
      <c r="M1048" s="83"/>
      <c r="N1048" s="83"/>
      <c r="O1048" s="83"/>
      <c r="P1048" s="83"/>
      <c r="Q1048" s="83"/>
      <c r="R1048" s="83"/>
      <c r="S1048" s="83"/>
      <c r="T1048" s="83"/>
      <c r="U1048" s="83"/>
      <c r="V1048" s="83"/>
      <c r="W1048" s="83"/>
      <c r="X1048" s="83"/>
      <c r="Y1048" s="83"/>
      <c r="Z1048" s="83"/>
    </row>
    <row r="1049">
      <c r="A1049" s="75" t="s">
        <v>54</v>
      </c>
      <c r="B1049" s="75" t="s">
        <v>1007</v>
      </c>
      <c r="C1049" s="75">
        <v>8.42</v>
      </c>
      <c r="D1049" s="75">
        <v>1.0</v>
      </c>
      <c r="E1049" s="75">
        <v>8.42</v>
      </c>
      <c r="F1049" s="75" t="s">
        <v>995</v>
      </c>
      <c r="G1049" s="82">
        <v>46110.0</v>
      </c>
      <c r="H1049" s="76" t="s">
        <v>978</v>
      </c>
      <c r="I1049" s="83"/>
      <c r="J1049" s="83"/>
      <c r="K1049" s="83"/>
      <c r="L1049" s="83"/>
      <c r="M1049" s="83"/>
      <c r="N1049" s="83"/>
      <c r="O1049" s="83"/>
      <c r="P1049" s="83"/>
      <c r="Q1049" s="83"/>
      <c r="R1049" s="83"/>
      <c r="S1049" s="83"/>
      <c r="T1049" s="83"/>
      <c r="U1049" s="83"/>
      <c r="V1049" s="83"/>
      <c r="W1049" s="83"/>
      <c r="X1049" s="83"/>
      <c r="Y1049" s="83"/>
      <c r="Z1049" s="83"/>
    </row>
    <row r="1050">
      <c r="A1050" s="75" t="s">
        <v>54</v>
      </c>
      <c r="B1050" s="75" t="s">
        <v>1007</v>
      </c>
      <c r="C1050" s="75">
        <v>6.33</v>
      </c>
      <c r="D1050" s="75">
        <v>0.0</v>
      </c>
      <c r="E1050" s="75">
        <v>0.0</v>
      </c>
      <c r="F1050" s="75" t="s">
        <v>995</v>
      </c>
      <c r="G1050" s="82">
        <v>46110.0</v>
      </c>
      <c r="H1050" s="76" t="s">
        <v>979</v>
      </c>
      <c r="I1050" s="83"/>
      <c r="J1050" s="83"/>
      <c r="K1050" s="83"/>
      <c r="L1050" s="83"/>
      <c r="M1050" s="83"/>
      <c r="N1050" s="83"/>
      <c r="O1050" s="83"/>
      <c r="P1050" s="83"/>
      <c r="Q1050" s="83"/>
      <c r="R1050" s="83"/>
      <c r="S1050" s="83"/>
      <c r="T1050" s="83"/>
      <c r="U1050" s="83"/>
      <c r="V1050" s="83"/>
      <c r="W1050" s="83"/>
      <c r="X1050" s="83"/>
      <c r="Y1050" s="83"/>
      <c r="Z1050" s="83"/>
    </row>
    <row r="1051">
      <c r="A1051" s="75" t="s">
        <v>55</v>
      </c>
      <c r="B1051" s="75" t="s">
        <v>1007</v>
      </c>
      <c r="C1051" s="75">
        <v>7.8</v>
      </c>
      <c r="D1051" s="75">
        <v>0.0</v>
      </c>
      <c r="E1051" s="75">
        <v>0.0</v>
      </c>
      <c r="F1051" s="75" t="s">
        <v>995</v>
      </c>
      <c r="G1051" s="82">
        <v>46110.0</v>
      </c>
      <c r="H1051" s="76" t="s">
        <v>980</v>
      </c>
      <c r="I1051" s="83"/>
      <c r="J1051" s="83"/>
      <c r="K1051" s="83"/>
      <c r="L1051" s="83"/>
      <c r="M1051" s="83"/>
      <c r="N1051" s="83"/>
      <c r="O1051" s="83"/>
      <c r="P1051" s="83"/>
      <c r="Q1051" s="83"/>
      <c r="R1051" s="83"/>
      <c r="S1051" s="83"/>
      <c r="T1051" s="83"/>
      <c r="U1051" s="83"/>
      <c r="V1051" s="83"/>
      <c r="W1051" s="83"/>
      <c r="X1051" s="83"/>
      <c r="Y1051" s="83"/>
      <c r="Z1051" s="83"/>
    </row>
    <row r="1052">
      <c r="A1052" s="75" t="s">
        <v>55</v>
      </c>
      <c r="B1052" s="75" t="s">
        <v>1007</v>
      </c>
      <c r="C1052" s="75">
        <v>11.13</v>
      </c>
      <c r="D1052" s="75">
        <v>0.0</v>
      </c>
      <c r="E1052" s="75">
        <v>0.0</v>
      </c>
      <c r="F1052" s="75" t="s">
        <v>995</v>
      </c>
      <c r="G1052" s="82">
        <v>46110.0</v>
      </c>
      <c r="H1052" s="76" t="s">
        <v>981</v>
      </c>
      <c r="I1052" s="83"/>
      <c r="J1052" s="83"/>
      <c r="K1052" s="83"/>
      <c r="L1052" s="83"/>
      <c r="M1052" s="83"/>
      <c r="N1052" s="83"/>
      <c r="O1052" s="83"/>
      <c r="P1052" s="83"/>
      <c r="Q1052" s="83"/>
      <c r="R1052" s="83"/>
      <c r="S1052" s="83"/>
      <c r="T1052" s="83"/>
      <c r="U1052" s="83"/>
      <c r="V1052" s="83"/>
      <c r="W1052" s="83"/>
      <c r="X1052" s="83"/>
      <c r="Y1052" s="83"/>
      <c r="Z1052" s="83"/>
    </row>
    <row r="1053">
      <c r="A1053" s="75" t="s">
        <v>53</v>
      </c>
      <c r="B1053" s="75" t="s">
        <v>1007</v>
      </c>
      <c r="C1053" s="75">
        <v>9.83</v>
      </c>
      <c r="D1053" s="75">
        <v>1.0</v>
      </c>
      <c r="E1053" s="75">
        <v>9.83</v>
      </c>
      <c r="F1053" s="75" t="s">
        <v>995</v>
      </c>
      <c r="G1053" s="82">
        <v>46110.0</v>
      </c>
      <c r="H1053" s="76" t="s">
        <v>982</v>
      </c>
      <c r="I1053" s="83"/>
      <c r="J1053" s="83"/>
      <c r="K1053" s="83"/>
      <c r="L1053" s="83"/>
      <c r="M1053" s="83"/>
      <c r="N1053" s="83"/>
      <c r="O1053" s="83"/>
      <c r="P1053" s="83"/>
      <c r="Q1053" s="83"/>
      <c r="R1053" s="83"/>
      <c r="S1053" s="83"/>
      <c r="T1053" s="83"/>
      <c r="U1053" s="83"/>
      <c r="V1053" s="83"/>
      <c r="W1053" s="83"/>
      <c r="X1053" s="83"/>
      <c r="Y1053" s="83"/>
      <c r="Z1053" s="83"/>
    </row>
    <row r="1054">
      <c r="A1054" s="75" t="s">
        <v>53</v>
      </c>
      <c r="B1054" s="75" t="s">
        <v>1007</v>
      </c>
      <c r="C1054" s="75">
        <v>3.49</v>
      </c>
      <c r="D1054" s="75">
        <v>0.0</v>
      </c>
      <c r="E1054" s="75">
        <v>0.0</v>
      </c>
      <c r="F1054" s="75" t="s">
        <v>995</v>
      </c>
      <c r="G1054" s="82">
        <v>46110.0</v>
      </c>
      <c r="H1054" s="76" t="s">
        <v>983</v>
      </c>
      <c r="I1054" s="83"/>
      <c r="J1054" s="83"/>
      <c r="K1054" s="83"/>
      <c r="L1054" s="83"/>
      <c r="M1054" s="83"/>
      <c r="N1054" s="83"/>
      <c r="O1054" s="83"/>
      <c r="P1054" s="83"/>
      <c r="Q1054" s="83"/>
      <c r="R1054" s="83"/>
      <c r="S1054" s="83"/>
      <c r="T1054" s="83"/>
      <c r="U1054" s="83"/>
      <c r="V1054" s="83"/>
      <c r="W1054" s="83"/>
      <c r="X1054" s="83"/>
      <c r="Y1054" s="83"/>
      <c r="Z1054" s="83"/>
    </row>
    <row r="1055">
      <c r="A1055" s="75" t="s">
        <v>53</v>
      </c>
      <c r="B1055" s="75" t="s">
        <v>1007</v>
      </c>
      <c r="C1055" s="75">
        <v>3.36</v>
      </c>
      <c r="D1055" s="75">
        <v>0.0</v>
      </c>
      <c r="E1055" s="75">
        <v>0.0</v>
      </c>
      <c r="F1055" s="75" t="s">
        <v>995</v>
      </c>
      <c r="G1055" s="82">
        <v>46110.0</v>
      </c>
      <c r="H1055" s="76" t="s">
        <v>984</v>
      </c>
      <c r="I1055" s="83"/>
      <c r="J1055" s="83"/>
      <c r="K1055" s="83"/>
      <c r="L1055" s="83"/>
      <c r="M1055" s="83"/>
      <c r="N1055" s="83"/>
      <c r="O1055" s="83"/>
      <c r="P1055" s="83"/>
      <c r="Q1055" s="83"/>
      <c r="R1055" s="83"/>
      <c r="S1055" s="83"/>
      <c r="T1055" s="83"/>
      <c r="U1055" s="83"/>
      <c r="V1055" s="83"/>
      <c r="W1055" s="83"/>
      <c r="X1055" s="83"/>
      <c r="Y1055" s="83"/>
      <c r="Z1055" s="83"/>
    </row>
    <row r="1056">
      <c r="A1056" s="75" t="s">
        <v>985</v>
      </c>
      <c r="B1056" s="75" t="s">
        <v>1007</v>
      </c>
      <c r="C1056" s="75">
        <v>4.39</v>
      </c>
      <c r="D1056" s="75">
        <v>0.0</v>
      </c>
      <c r="E1056" s="75">
        <v>0.0</v>
      </c>
      <c r="F1056" s="75" t="s">
        <v>995</v>
      </c>
      <c r="G1056" s="82">
        <v>46110.0</v>
      </c>
      <c r="H1056" s="76" t="s">
        <v>936</v>
      </c>
      <c r="I1056" s="83"/>
      <c r="J1056" s="83"/>
      <c r="K1056" s="83"/>
      <c r="L1056" s="83"/>
      <c r="M1056" s="83"/>
      <c r="N1056" s="83"/>
      <c r="O1056" s="83"/>
      <c r="P1056" s="83"/>
      <c r="Q1056" s="83"/>
      <c r="R1056" s="83"/>
      <c r="S1056" s="83"/>
      <c r="T1056" s="83"/>
      <c r="U1056" s="83"/>
      <c r="V1056" s="83"/>
      <c r="W1056" s="83"/>
      <c r="X1056" s="83"/>
      <c r="Y1056" s="83"/>
      <c r="Z1056" s="83"/>
    </row>
    <row r="1057">
      <c r="A1057" s="75" t="s">
        <v>985</v>
      </c>
      <c r="B1057" s="75" t="s">
        <v>1007</v>
      </c>
      <c r="C1057" s="75">
        <v>3.57</v>
      </c>
      <c r="D1057" s="75">
        <v>0.0</v>
      </c>
      <c r="E1057" s="75">
        <v>0.0</v>
      </c>
      <c r="F1057" s="75" t="s">
        <v>995</v>
      </c>
      <c r="G1057" s="82">
        <v>46110.0</v>
      </c>
      <c r="H1057" s="76" t="s">
        <v>937</v>
      </c>
      <c r="I1057" s="83"/>
      <c r="J1057" s="83"/>
      <c r="K1057" s="83"/>
      <c r="L1057" s="83"/>
      <c r="M1057" s="83"/>
      <c r="N1057" s="83"/>
      <c r="O1057" s="83"/>
      <c r="P1057" s="83"/>
      <c r="Q1057" s="83"/>
      <c r="R1057" s="83"/>
      <c r="S1057" s="83"/>
      <c r="T1057" s="83"/>
      <c r="U1057" s="83"/>
      <c r="V1057" s="83"/>
      <c r="W1057" s="83"/>
      <c r="X1057" s="83"/>
      <c r="Y1057" s="83"/>
      <c r="Z1057" s="83"/>
    </row>
    <row r="1058">
      <c r="A1058" s="75" t="s">
        <v>985</v>
      </c>
      <c r="B1058" s="75" t="s">
        <v>1007</v>
      </c>
      <c r="C1058" s="75">
        <v>7.37</v>
      </c>
      <c r="D1058" s="75">
        <v>0.0</v>
      </c>
      <c r="E1058" s="75">
        <v>0.0</v>
      </c>
      <c r="F1058" s="75" t="s">
        <v>995</v>
      </c>
      <c r="G1058" s="82">
        <v>46110.0</v>
      </c>
      <c r="H1058" s="76" t="s">
        <v>938</v>
      </c>
      <c r="I1058" s="83"/>
      <c r="J1058" s="83"/>
      <c r="K1058" s="83"/>
      <c r="L1058" s="83"/>
      <c r="M1058" s="83"/>
      <c r="N1058" s="83"/>
      <c r="O1058" s="83"/>
      <c r="P1058" s="83"/>
      <c r="Q1058" s="83"/>
      <c r="R1058" s="83"/>
      <c r="S1058" s="83"/>
      <c r="T1058" s="83"/>
      <c r="U1058" s="83"/>
      <c r="V1058" s="83"/>
      <c r="W1058" s="83"/>
      <c r="X1058" s="83"/>
      <c r="Y1058" s="83"/>
      <c r="Z1058" s="83"/>
    </row>
    <row r="1059">
      <c r="A1059" s="75" t="s">
        <v>51</v>
      </c>
      <c r="B1059" s="75" t="s">
        <v>1007</v>
      </c>
      <c r="C1059" s="75">
        <v>14.93</v>
      </c>
      <c r="D1059" s="75">
        <v>1.0</v>
      </c>
      <c r="E1059" s="75">
        <v>14.93</v>
      </c>
      <c r="F1059" s="75" t="s">
        <v>995</v>
      </c>
      <c r="G1059" s="82">
        <v>46110.0</v>
      </c>
      <c r="H1059" s="76" t="s">
        <v>986</v>
      </c>
      <c r="I1059" s="83"/>
      <c r="J1059" s="83"/>
      <c r="K1059" s="83"/>
      <c r="L1059" s="83"/>
      <c r="M1059" s="83"/>
      <c r="N1059" s="83"/>
      <c r="O1059" s="83"/>
      <c r="P1059" s="83"/>
      <c r="Q1059" s="83"/>
      <c r="R1059" s="83"/>
      <c r="S1059" s="83"/>
      <c r="T1059" s="83"/>
      <c r="U1059" s="83"/>
      <c r="V1059" s="83"/>
      <c r="W1059" s="83"/>
      <c r="X1059" s="83"/>
      <c r="Y1059" s="83"/>
      <c r="Z1059" s="83"/>
    </row>
    <row r="1060">
      <c r="A1060" s="75" t="s">
        <v>51</v>
      </c>
      <c r="B1060" s="75" t="s">
        <v>1007</v>
      </c>
      <c r="C1060" s="75">
        <v>6.42</v>
      </c>
      <c r="D1060" s="75">
        <v>0.0</v>
      </c>
      <c r="E1060" s="75">
        <v>0.0</v>
      </c>
      <c r="F1060" s="75" t="s">
        <v>995</v>
      </c>
      <c r="G1060" s="82">
        <v>46110.0</v>
      </c>
      <c r="H1060" s="76" t="s">
        <v>987</v>
      </c>
      <c r="I1060" s="83"/>
      <c r="J1060" s="83"/>
      <c r="K1060" s="83"/>
      <c r="L1060" s="83"/>
      <c r="M1060" s="83"/>
      <c r="N1060" s="83"/>
      <c r="O1060" s="83"/>
      <c r="P1060" s="83"/>
      <c r="Q1060" s="83"/>
      <c r="R1060" s="83"/>
      <c r="S1060" s="83"/>
      <c r="T1060" s="83"/>
      <c r="U1060" s="83"/>
      <c r="V1060" s="83"/>
      <c r="W1060" s="83"/>
      <c r="X1060" s="83"/>
      <c r="Y1060" s="83"/>
      <c r="Z1060" s="83"/>
    </row>
    <row r="1061">
      <c r="A1061" s="75" t="s">
        <v>54</v>
      </c>
      <c r="B1061" s="75" t="s">
        <v>1007</v>
      </c>
      <c r="C1061" s="75">
        <v>12.03</v>
      </c>
      <c r="D1061" s="75">
        <v>0.0</v>
      </c>
      <c r="E1061" s="75">
        <v>0.0</v>
      </c>
      <c r="F1061" s="75" t="s">
        <v>996</v>
      </c>
      <c r="G1061" s="82">
        <v>46110.0</v>
      </c>
      <c r="H1061" s="76" t="s">
        <v>977</v>
      </c>
      <c r="I1061" s="83"/>
      <c r="J1061" s="83"/>
      <c r="K1061" s="83"/>
      <c r="L1061" s="83"/>
      <c r="M1061" s="83"/>
      <c r="N1061" s="83"/>
      <c r="O1061" s="83"/>
      <c r="P1061" s="83"/>
      <c r="Q1061" s="83"/>
      <c r="R1061" s="83"/>
      <c r="S1061" s="83"/>
      <c r="T1061" s="83"/>
      <c r="U1061" s="83"/>
      <c r="V1061" s="83"/>
      <c r="W1061" s="83"/>
      <c r="X1061" s="83"/>
      <c r="Y1061" s="83"/>
      <c r="Z1061" s="83"/>
    </row>
    <row r="1062">
      <c r="A1062" s="75" t="s">
        <v>54</v>
      </c>
      <c r="B1062" s="75" t="s">
        <v>1007</v>
      </c>
      <c r="C1062" s="75">
        <v>7.99</v>
      </c>
      <c r="D1062" s="75">
        <v>0.0</v>
      </c>
      <c r="E1062" s="75">
        <v>0.0</v>
      </c>
      <c r="F1062" s="75" t="s">
        <v>996</v>
      </c>
      <c r="G1062" s="82">
        <v>46110.0</v>
      </c>
      <c r="H1062" s="76" t="s">
        <v>978</v>
      </c>
      <c r="I1062" s="83"/>
      <c r="J1062" s="83"/>
      <c r="K1062" s="83"/>
      <c r="L1062" s="83"/>
      <c r="M1062" s="83"/>
      <c r="N1062" s="83"/>
      <c r="O1062" s="83"/>
      <c r="P1062" s="83"/>
      <c r="Q1062" s="83"/>
      <c r="R1062" s="83"/>
      <c r="S1062" s="83"/>
      <c r="T1062" s="83"/>
      <c r="U1062" s="83"/>
      <c r="V1062" s="83"/>
      <c r="W1062" s="83"/>
      <c r="X1062" s="83"/>
      <c r="Y1062" s="83"/>
      <c r="Z1062" s="83"/>
    </row>
    <row r="1063">
      <c r="A1063" s="75" t="s">
        <v>54</v>
      </c>
      <c r="B1063" s="75" t="s">
        <v>1007</v>
      </c>
      <c r="C1063" s="75">
        <v>6.84</v>
      </c>
      <c r="D1063" s="75">
        <v>1.0</v>
      </c>
      <c r="E1063" s="75">
        <v>6.84</v>
      </c>
      <c r="F1063" s="75" t="s">
        <v>996</v>
      </c>
      <c r="G1063" s="82">
        <v>46110.0</v>
      </c>
      <c r="H1063" s="76" t="s">
        <v>979</v>
      </c>
      <c r="I1063" s="83"/>
      <c r="J1063" s="83"/>
      <c r="K1063" s="83"/>
      <c r="L1063" s="83"/>
      <c r="M1063" s="83"/>
      <c r="N1063" s="83"/>
      <c r="O1063" s="83"/>
      <c r="P1063" s="83"/>
      <c r="Q1063" s="83"/>
      <c r="R1063" s="83"/>
      <c r="S1063" s="83"/>
      <c r="T1063" s="83"/>
      <c r="U1063" s="83"/>
      <c r="V1063" s="83"/>
      <c r="W1063" s="83"/>
      <c r="X1063" s="83"/>
      <c r="Y1063" s="83"/>
      <c r="Z1063" s="83"/>
    </row>
    <row r="1064">
      <c r="A1064" s="75" t="s">
        <v>55</v>
      </c>
      <c r="B1064" s="75" t="s">
        <v>1007</v>
      </c>
      <c r="C1064" s="75">
        <v>7.56</v>
      </c>
      <c r="D1064" s="75">
        <v>0.0</v>
      </c>
      <c r="E1064" s="75">
        <v>0.0</v>
      </c>
      <c r="F1064" s="75" t="s">
        <v>996</v>
      </c>
      <c r="G1064" s="82">
        <v>46110.0</v>
      </c>
      <c r="H1064" s="76" t="s">
        <v>980</v>
      </c>
      <c r="I1064" s="83"/>
      <c r="J1064" s="83"/>
      <c r="K1064" s="83"/>
      <c r="L1064" s="83"/>
      <c r="M1064" s="83"/>
      <c r="N1064" s="83"/>
      <c r="O1064" s="83"/>
      <c r="P1064" s="83"/>
      <c r="Q1064" s="83"/>
      <c r="R1064" s="83"/>
      <c r="S1064" s="83"/>
      <c r="T1064" s="83"/>
      <c r="U1064" s="83"/>
      <c r="V1064" s="83"/>
      <c r="W1064" s="83"/>
      <c r="X1064" s="83"/>
      <c r="Y1064" s="83"/>
      <c r="Z1064" s="83"/>
    </row>
    <row r="1065">
      <c r="A1065" s="75" t="s">
        <v>55</v>
      </c>
      <c r="B1065" s="75" t="s">
        <v>1007</v>
      </c>
      <c r="C1065" s="75">
        <v>12.0</v>
      </c>
      <c r="D1065" s="75">
        <v>0.0</v>
      </c>
      <c r="E1065" s="75">
        <v>0.0</v>
      </c>
      <c r="F1065" s="75" t="s">
        <v>996</v>
      </c>
      <c r="G1065" s="82">
        <v>46110.0</v>
      </c>
      <c r="H1065" s="76" t="s">
        <v>981</v>
      </c>
      <c r="I1065" s="83"/>
      <c r="J1065" s="83"/>
      <c r="K1065" s="83"/>
      <c r="L1065" s="83"/>
      <c r="M1065" s="83"/>
      <c r="N1065" s="83"/>
      <c r="O1065" s="83"/>
      <c r="P1065" s="83"/>
      <c r="Q1065" s="83"/>
      <c r="R1065" s="83"/>
      <c r="S1065" s="83"/>
      <c r="T1065" s="83"/>
      <c r="U1065" s="83"/>
      <c r="V1065" s="83"/>
      <c r="W1065" s="83"/>
      <c r="X1065" s="83"/>
      <c r="Y1065" s="83"/>
      <c r="Z1065" s="83"/>
    </row>
    <row r="1066">
      <c r="A1066" s="75" t="s">
        <v>53</v>
      </c>
      <c r="B1066" s="75" t="s">
        <v>1007</v>
      </c>
      <c r="C1066" s="75">
        <v>10.84</v>
      </c>
      <c r="D1066" s="75">
        <v>0.0</v>
      </c>
      <c r="E1066" s="75">
        <v>0.0</v>
      </c>
      <c r="F1066" s="75" t="s">
        <v>996</v>
      </c>
      <c r="G1066" s="82">
        <v>46110.0</v>
      </c>
      <c r="H1066" s="76" t="s">
        <v>982</v>
      </c>
      <c r="I1066" s="83"/>
      <c r="J1066" s="83"/>
      <c r="K1066" s="83"/>
      <c r="L1066" s="83"/>
      <c r="M1066" s="83"/>
      <c r="N1066" s="83"/>
      <c r="O1066" s="83"/>
      <c r="P1066" s="83"/>
      <c r="Q1066" s="83"/>
      <c r="R1066" s="83"/>
      <c r="S1066" s="83"/>
      <c r="T1066" s="83"/>
      <c r="U1066" s="83"/>
      <c r="V1066" s="83"/>
      <c r="W1066" s="83"/>
      <c r="X1066" s="83"/>
      <c r="Y1066" s="83"/>
      <c r="Z1066" s="83"/>
    </row>
    <row r="1067">
      <c r="A1067" s="75" t="s">
        <v>53</v>
      </c>
      <c r="B1067" s="75" t="s">
        <v>1007</v>
      </c>
      <c r="C1067" s="75">
        <v>3.32</v>
      </c>
      <c r="D1067" s="75">
        <v>0.0</v>
      </c>
      <c r="E1067" s="75">
        <v>0.0</v>
      </c>
      <c r="F1067" s="75" t="s">
        <v>996</v>
      </c>
      <c r="G1067" s="82">
        <v>46110.0</v>
      </c>
      <c r="H1067" s="76" t="s">
        <v>983</v>
      </c>
      <c r="I1067" s="83"/>
      <c r="J1067" s="83"/>
      <c r="K1067" s="83"/>
      <c r="L1067" s="83"/>
      <c r="M1067" s="83"/>
      <c r="N1067" s="83"/>
      <c r="O1067" s="83"/>
      <c r="P1067" s="83"/>
      <c r="Q1067" s="83"/>
      <c r="R1067" s="83"/>
      <c r="S1067" s="83"/>
      <c r="T1067" s="83"/>
      <c r="U1067" s="83"/>
      <c r="V1067" s="83"/>
      <c r="W1067" s="83"/>
      <c r="X1067" s="83"/>
      <c r="Y1067" s="83"/>
      <c r="Z1067" s="83"/>
    </row>
    <row r="1068">
      <c r="A1068" s="75" t="s">
        <v>53</v>
      </c>
      <c r="B1068" s="75" t="s">
        <v>1007</v>
      </c>
      <c r="C1068" s="75">
        <v>3.93</v>
      </c>
      <c r="D1068" s="75">
        <v>0.0</v>
      </c>
      <c r="E1068" s="75">
        <v>0.0</v>
      </c>
      <c r="F1068" s="75" t="s">
        <v>996</v>
      </c>
      <c r="G1068" s="82">
        <v>46110.0</v>
      </c>
      <c r="H1068" s="76" t="s">
        <v>984</v>
      </c>
      <c r="I1068" s="83"/>
      <c r="J1068" s="83"/>
      <c r="K1068" s="83"/>
      <c r="L1068" s="83"/>
      <c r="M1068" s="83"/>
      <c r="N1068" s="83"/>
      <c r="O1068" s="83"/>
      <c r="P1068" s="83"/>
      <c r="Q1068" s="83"/>
      <c r="R1068" s="83"/>
      <c r="S1068" s="83"/>
      <c r="T1068" s="83"/>
      <c r="U1068" s="83"/>
      <c r="V1068" s="83"/>
      <c r="W1068" s="83"/>
      <c r="X1068" s="83"/>
      <c r="Y1068" s="83"/>
      <c r="Z1068" s="83"/>
    </row>
    <row r="1069">
      <c r="A1069" s="75" t="s">
        <v>985</v>
      </c>
      <c r="B1069" s="75" t="s">
        <v>1007</v>
      </c>
      <c r="C1069" s="75">
        <v>4.9</v>
      </c>
      <c r="D1069" s="75">
        <v>0.0</v>
      </c>
      <c r="E1069" s="75">
        <v>0.0</v>
      </c>
      <c r="F1069" s="75" t="s">
        <v>996</v>
      </c>
      <c r="G1069" s="82">
        <v>46110.0</v>
      </c>
      <c r="H1069" s="76" t="s">
        <v>936</v>
      </c>
      <c r="I1069" s="83"/>
      <c r="J1069" s="83"/>
      <c r="K1069" s="83"/>
      <c r="L1069" s="83"/>
      <c r="M1069" s="83"/>
      <c r="N1069" s="83"/>
      <c r="O1069" s="83"/>
      <c r="P1069" s="83"/>
      <c r="Q1069" s="83"/>
      <c r="R1069" s="83"/>
      <c r="S1069" s="83"/>
      <c r="T1069" s="83"/>
      <c r="U1069" s="83"/>
      <c r="V1069" s="83"/>
      <c r="W1069" s="83"/>
      <c r="X1069" s="83"/>
      <c r="Y1069" s="83"/>
      <c r="Z1069" s="83"/>
    </row>
    <row r="1070">
      <c r="A1070" s="75" t="s">
        <v>985</v>
      </c>
      <c r="B1070" s="75" t="s">
        <v>1007</v>
      </c>
      <c r="C1070" s="75">
        <v>3.29</v>
      </c>
      <c r="D1070" s="75">
        <v>0.0</v>
      </c>
      <c r="E1070" s="75">
        <v>0.0</v>
      </c>
      <c r="F1070" s="75" t="s">
        <v>996</v>
      </c>
      <c r="G1070" s="82">
        <v>46110.0</v>
      </c>
      <c r="H1070" s="76" t="s">
        <v>937</v>
      </c>
      <c r="I1070" s="83"/>
      <c r="J1070" s="83"/>
      <c r="K1070" s="83"/>
      <c r="L1070" s="83"/>
      <c r="M1070" s="83"/>
      <c r="N1070" s="83"/>
      <c r="O1070" s="83"/>
      <c r="P1070" s="83"/>
      <c r="Q1070" s="83"/>
      <c r="R1070" s="83"/>
      <c r="S1070" s="83"/>
      <c r="T1070" s="83"/>
      <c r="U1070" s="83"/>
      <c r="V1070" s="83"/>
      <c r="W1070" s="83"/>
      <c r="X1070" s="83"/>
      <c r="Y1070" s="83"/>
      <c r="Z1070" s="83"/>
    </row>
    <row r="1071">
      <c r="A1071" s="75" t="s">
        <v>985</v>
      </c>
      <c r="B1071" s="75" t="s">
        <v>1007</v>
      </c>
      <c r="C1071" s="75">
        <v>7.67</v>
      </c>
      <c r="D1071" s="75">
        <v>0.0</v>
      </c>
      <c r="E1071" s="75">
        <v>0.0</v>
      </c>
      <c r="F1071" s="75" t="s">
        <v>996</v>
      </c>
      <c r="G1071" s="82">
        <v>46110.0</v>
      </c>
      <c r="H1071" s="76" t="s">
        <v>938</v>
      </c>
      <c r="I1071" s="83"/>
      <c r="J1071" s="83"/>
      <c r="K1071" s="83"/>
      <c r="L1071" s="83"/>
      <c r="M1071" s="83"/>
      <c r="N1071" s="83"/>
      <c r="O1071" s="83"/>
      <c r="P1071" s="83"/>
      <c r="Q1071" s="83"/>
      <c r="R1071" s="83"/>
      <c r="S1071" s="83"/>
      <c r="T1071" s="83"/>
      <c r="U1071" s="83"/>
      <c r="V1071" s="83"/>
      <c r="W1071" s="83"/>
      <c r="X1071" s="83"/>
      <c r="Y1071" s="83"/>
      <c r="Z1071" s="83"/>
    </row>
    <row r="1072">
      <c r="A1072" s="75" t="s">
        <v>51</v>
      </c>
      <c r="B1072" s="75" t="s">
        <v>1007</v>
      </c>
      <c r="C1072" s="75">
        <v>16.43</v>
      </c>
      <c r="D1072" s="75">
        <v>0.0</v>
      </c>
      <c r="E1072" s="75">
        <v>0.0</v>
      </c>
      <c r="F1072" s="75" t="s">
        <v>996</v>
      </c>
      <c r="G1072" s="82">
        <v>46110.0</v>
      </c>
      <c r="H1072" s="76" t="s">
        <v>986</v>
      </c>
      <c r="I1072" s="83"/>
      <c r="J1072" s="83"/>
      <c r="K1072" s="83"/>
      <c r="L1072" s="83"/>
      <c r="M1072" s="83"/>
      <c r="N1072" s="83"/>
      <c r="O1072" s="83"/>
      <c r="P1072" s="83"/>
      <c r="Q1072" s="83"/>
      <c r="R1072" s="83"/>
      <c r="S1072" s="83"/>
      <c r="T1072" s="83"/>
      <c r="U1072" s="83"/>
      <c r="V1072" s="83"/>
      <c r="W1072" s="83"/>
      <c r="X1072" s="83"/>
      <c r="Y1072" s="83"/>
      <c r="Z1072" s="83"/>
    </row>
    <row r="1073">
      <c r="A1073" s="75" t="s">
        <v>51</v>
      </c>
      <c r="B1073" s="75" t="s">
        <v>1007</v>
      </c>
      <c r="C1073" s="75">
        <v>6.22</v>
      </c>
      <c r="D1073" s="75">
        <v>1.0</v>
      </c>
      <c r="E1073" s="75">
        <v>6.22</v>
      </c>
      <c r="F1073" s="75" t="s">
        <v>996</v>
      </c>
      <c r="G1073" s="82">
        <v>46110.0</v>
      </c>
      <c r="H1073" s="76" t="s">
        <v>987</v>
      </c>
      <c r="I1073" s="83"/>
      <c r="J1073" s="83"/>
      <c r="K1073" s="83"/>
      <c r="L1073" s="83"/>
      <c r="M1073" s="83"/>
      <c r="N1073" s="83"/>
      <c r="O1073" s="83"/>
      <c r="P1073" s="83"/>
      <c r="Q1073" s="83"/>
      <c r="R1073" s="83"/>
      <c r="S1073" s="83"/>
      <c r="T1073" s="83"/>
      <c r="U1073" s="83"/>
      <c r="V1073" s="83"/>
      <c r="W1073" s="83"/>
      <c r="X1073" s="83"/>
      <c r="Y1073" s="83"/>
      <c r="Z1073" s="83"/>
    </row>
    <row r="1074">
      <c r="A1074" s="75" t="s">
        <v>54</v>
      </c>
      <c r="B1074" s="75" t="s">
        <v>1007</v>
      </c>
      <c r="C1074" s="75">
        <v>7.98</v>
      </c>
      <c r="D1074" s="75">
        <v>0.0</v>
      </c>
      <c r="E1074" s="75">
        <v>0.0</v>
      </c>
      <c r="F1074" s="75" t="s">
        <v>997</v>
      </c>
      <c r="G1074" s="82">
        <v>46110.0</v>
      </c>
      <c r="H1074" s="76" t="s">
        <v>977</v>
      </c>
      <c r="I1074" s="83"/>
      <c r="J1074" s="83"/>
      <c r="K1074" s="83"/>
      <c r="L1074" s="83"/>
      <c r="M1074" s="83"/>
      <c r="N1074" s="83"/>
      <c r="O1074" s="83"/>
      <c r="P1074" s="83"/>
      <c r="Q1074" s="83"/>
      <c r="R1074" s="83"/>
      <c r="S1074" s="83"/>
      <c r="T1074" s="83"/>
      <c r="U1074" s="83"/>
      <c r="V1074" s="83"/>
      <c r="W1074" s="83"/>
      <c r="X1074" s="83"/>
      <c r="Y1074" s="83"/>
      <c r="Z1074" s="83"/>
    </row>
    <row r="1075">
      <c r="A1075" s="75" t="s">
        <v>54</v>
      </c>
      <c r="B1075" s="75" t="s">
        <v>1007</v>
      </c>
      <c r="C1075" s="75">
        <v>7.31</v>
      </c>
      <c r="D1075" s="75">
        <v>0.0</v>
      </c>
      <c r="E1075" s="75">
        <v>0.0</v>
      </c>
      <c r="F1075" s="75" t="s">
        <v>997</v>
      </c>
      <c r="G1075" s="82">
        <v>46110.0</v>
      </c>
      <c r="H1075" s="76" t="s">
        <v>978</v>
      </c>
      <c r="I1075" s="83"/>
      <c r="J1075" s="83"/>
      <c r="K1075" s="83"/>
      <c r="L1075" s="83"/>
      <c r="M1075" s="83"/>
      <c r="N1075" s="83"/>
      <c r="O1075" s="83"/>
      <c r="P1075" s="83"/>
      <c r="Q1075" s="83"/>
      <c r="R1075" s="83"/>
      <c r="S1075" s="83"/>
      <c r="T1075" s="83"/>
      <c r="U1075" s="83"/>
      <c r="V1075" s="83"/>
      <c r="W1075" s="83"/>
      <c r="X1075" s="83"/>
      <c r="Y1075" s="83"/>
      <c r="Z1075" s="83"/>
    </row>
    <row r="1076">
      <c r="A1076" s="75" t="s">
        <v>54</v>
      </c>
      <c r="B1076" s="75" t="s">
        <v>1007</v>
      </c>
      <c r="C1076" s="75">
        <v>6.66</v>
      </c>
      <c r="D1076" s="75">
        <v>0.0</v>
      </c>
      <c r="E1076" s="75">
        <v>0.0</v>
      </c>
      <c r="F1076" s="75" t="s">
        <v>997</v>
      </c>
      <c r="G1076" s="82">
        <v>46110.0</v>
      </c>
      <c r="H1076" s="76" t="s">
        <v>979</v>
      </c>
      <c r="I1076" s="83"/>
      <c r="J1076" s="83"/>
      <c r="K1076" s="83"/>
      <c r="L1076" s="83"/>
      <c r="M1076" s="83"/>
      <c r="N1076" s="83"/>
      <c r="O1076" s="83"/>
      <c r="P1076" s="83"/>
      <c r="Q1076" s="83"/>
      <c r="R1076" s="83"/>
      <c r="S1076" s="83"/>
      <c r="T1076" s="83"/>
      <c r="U1076" s="83"/>
      <c r="V1076" s="83"/>
      <c r="W1076" s="83"/>
      <c r="X1076" s="83"/>
      <c r="Y1076" s="83"/>
      <c r="Z1076" s="83"/>
    </row>
    <row r="1077">
      <c r="A1077" s="75" t="s">
        <v>55</v>
      </c>
      <c r="B1077" s="75" t="s">
        <v>1007</v>
      </c>
      <c r="C1077" s="75">
        <v>6.65</v>
      </c>
      <c r="D1077" s="75">
        <v>0.0</v>
      </c>
      <c r="E1077" s="75">
        <v>0.0</v>
      </c>
      <c r="F1077" s="75" t="s">
        <v>997</v>
      </c>
      <c r="G1077" s="82">
        <v>46110.0</v>
      </c>
      <c r="H1077" s="76" t="s">
        <v>980</v>
      </c>
      <c r="I1077" s="83"/>
      <c r="J1077" s="83"/>
      <c r="K1077" s="83"/>
      <c r="L1077" s="83"/>
      <c r="M1077" s="83"/>
      <c r="N1077" s="83"/>
      <c r="O1077" s="83"/>
      <c r="P1077" s="83"/>
      <c r="Q1077" s="83"/>
      <c r="R1077" s="83"/>
      <c r="S1077" s="83"/>
      <c r="T1077" s="83"/>
      <c r="U1077" s="83"/>
      <c r="V1077" s="83"/>
      <c r="W1077" s="83"/>
      <c r="X1077" s="83"/>
      <c r="Y1077" s="83"/>
      <c r="Z1077" s="83"/>
    </row>
    <row r="1078">
      <c r="A1078" s="75" t="s">
        <v>55</v>
      </c>
      <c r="B1078" s="75" t="s">
        <v>1007</v>
      </c>
      <c r="C1078" s="75">
        <v>9.99</v>
      </c>
      <c r="D1078" s="75">
        <v>0.0</v>
      </c>
      <c r="E1078" s="75">
        <v>0.0</v>
      </c>
      <c r="F1078" s="75" t="s">
        <v>997</v>
      </c>
      <c r="G1078" s="82">
        <v>46110.0</v>
      </c>
      <c r="H1078" s="76" t="s">
        <v>981</v>
      </c>
      <c r="I1078" s="83"/>
      <c r="J1078" s="83"/>
      <c r="K1078" s="83"/>
      <c r="L1078" s="83"/>
      <c r="M1078" s="83"/>
      <c r="N1078" s="83"/>
      <c r="O1078" s="83"/>
      <c r="P1078" s="83"/>
      <c r="Q1078" s="83"/>
      <c r="R1078" s="83"/>
      <c r="S1078" s="83"/>
      <c r="T1078" s="83"/>
      <c r="U1078" s="83"/>
      <c r="V1078" s="83"/>
      <c r="W1078" s="83"/>
      <c r="X1078" s="83"/>
      <c r="Y1078" s="83"/>
      <c r="Z1078" s="83"/>
    </row>
    <row r="1079">
      <c r="A1079" s="75" t="s">
        <v>53</v>
      </c>
      <c r="B1079" s="75" t="s">
        <v>1007</v>
      </c>
      <c r="C1079" s="75">
        <v>8.27</v>
      </c>
      <c r="D1079" s="75">
        <v>0.0</v>
      </c>
      <c r="E1079" s="75">
        <v>0.0</v>
      </c>
      <c r="F1079" s="75" t="s">
        <v>997</v>
      </c>
      <c r="G1079" s="82">
        <v>46110.0</v>
      </c>
      <c r="H1079" s="76" t="s">
        <v>982</v>
      </c>
      <c r="I1079" s="83"/>
      <c r="J1079" s="83"/>
      <c r="K1079" s="83"/>
      <c r="L1079" s="83"/>
      <c r="M1079" s="83"/>
      <c r="N1079" s="83"/>
      <c r="O1079" s="83"/>
      <c r="P1079" s="83"/>
      <c r="Q1079" s="83"/>
      <c r="R1079" s="83"/>
      <c r="S1079" s="83"/>
      <c r="T1079" s="83"/>
      <c r="U1079" s="83"/>
      <c r="V1079" s="83"/>
      <c r="W1079" s="83"/>
      <c r="X1079" s="83"/>
      <c r="Y1079" s="83"/>
      <c r="Z1079" s="83"/>
    </row>
    <row r="1080">
      <c r="A1080" s="75" t="s">
        <v>53</v>
      </c>
      <c r="B1080" s="75" t="s">
        <v>1007</v>
      </c>
      <c r="C1080" s="75">
        <v>2.93</v>
      </c>
      <c r="D1080" s="75">
        <v>0.0</v>
      </c>
      <c r="E1080" s="75">
        <v>0.0</v>
      </c>
      <c r="F1080" s="75" t="s">
        <v>997</v>
      </c>
      <c r="G1080" s="82">
        <v>46110.0</v>
      </c>
      <c r="H1080" s="76" t="s">
        <v>983</v>
      </c>
      <c r="I1080" s="83"/>
      <c r="J1080" s="83"/>
      <c r="K1080" s="83"/>
      <c r="L1080" s="83"/>
      <c r="M1080" s="83"/>
      <c r="N1080" s="83"/>
      <c r="O1080" s="83"/>
      <c r="P1080" s="83"/>
      <c r="Q1080" s="83"/>
      <c r="R1080" s="83"/>
      <c r="S1080" s="83"/>
      <c r="T1080" s="83"/>
      <c r="U1080" s="83"/>
      <c r="V1080" s="83"/>
      <c r="W1080" s="83"/>
      <c r="X1080" s="83"/>
      <c r="Y1080" s="83"/>
      <c r="Z1080" s="83"/>
    </row>
    <row r="1081">
      <c r="A1081" s="75" t="s">
        <v>53</v>
      </c>
      <c r="B1081" s="75" t="s">
        <v>1007</v>
      </c>
      <c r="C1081" s="75">
        <v>2.98</v>
      </c>
      <c r="D1081" s="75">
        <v>0.0</v>
      </c>
      <c r="E1081" s="75">
        <v>0.0</v>
      </c>
      <c r="F1081" s="75" t="s">
        <v>997</v>
      </c>
      <c r="G1081" s="82">
        <v>46110.0</v>
      </c>
      <c r="H1081" s="76" t="s">
        <v>984</v>
      </c>
      <c r="I1081" s="83"/>
      <c r="J1081" s="83"/>
      <c r="K1081" s="83"/>
      <c r="L1081" s="83"/>
      <c r="M1081" s="83"/>
      <c r="N1081" s="83"/>
      <c r="O1081" s="83"/>
      <c r="P1081" s="83"/>
      <c r="Q1081" s="83"/>
      <c r="R1081" s="83"/>
      <c r="S1081" s="83"/>
      <c r="T1081" s="83"/>
      <c r="U1081" s="83"/>
      <c r="V1081" s="83"/>
      <c r="W1081" s="83"/>
      <c r="X1081" s="83"/>
      <c r="Y1081" s="83"/>
      <c r="Z1081" s="83"/>
    </row>
    <row r="1082">
      <c r="A1082" s="75" t="s">
        <v>985</v>
      </c>
      <c r="B1082" s="75" t="s">
        <v>1007</v>
      </c>
      <c r="C1082" s="75">
        <v>4.41</v>
      </c>
      <c r="D1082" s="75">
        <v>0.0</v>
      </c>
      <c r="E1082" s="75">
        <v>0.0</v>
      </c>
      <c r="F1082" s="75" t="s">
        <v>997</v>
      </c>
      <c r="G1082" s="82">
        <v>46110.0</v>
      </c>
      <c r="H1082" s="76" t="s">
        <v>936</v>
      </c>
      <c r="I1082" s="83"/>
      <c r="J1082" s="83"/>
      <c r="K1082" s="83"/>
      <c r="L1082" s="83"/>
      <c r="M1082" s="83"/>
      <c r="N1082" s="83"/>
      <c r="O1082" s="83"/>
      <c r="P1082" s="83"/>
      <c r="Q1082" s="83"/>
      <c r="R1082" s="83"/>
      <c r="S1082" s="83"/>
      <c r="T1082" s="83"/>
      <c r="U1082" s="83"/>
      <c r="V1082" s="83"/>
      <c r="W1082" s="83"/>
      <c r="X1082" s="83"/>
      <c r="Y1082" s="83"/>
      <c r="Z1082" s="83"/>
    </row>
    <row r="1083">
      <c r="A1083" s="75" t="s">
        <v>985</v>
      </c>
      <c r="B1083" s="75" t="s">
        <v>1007</v>
      </c>
      <c r="C1083" s="75">
        <v>2.83</v>
      </c>
      <c r="D1083" s="75">
        <v>1.0</v>
      </c>
      <c r="E1083" s="75">
        <v>2.83</v>
      </c>
      <c r="F1083" s="75" t="s">
        <v>997</v>
      </c>
      <c r="G1083" s="82">
        <v>46110.0</v>
      </c>
      <c r="H1083" s="76" t="s">
        <v>937</v>
      </c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  <c r="X1083" s="83"/>
      <c r="Y1083" s="83"/>
      <c r="Z1083" s="83"/>
    </row>
    <row r="1084">
      <c r="A1084" s="75" t="s">
        <v>985</v>
      </c>
      <c r="B1084" s="75" t="s">
        <v>1007</v>
      </c>
      <c r="C1084" s="75">
        <v>6.88</v>
      </c>
      <c r="D1084" s="75">
        <v>0.0</v>
      </c>
      <c r="E1084" s="75">
        <v>0.0</v>
      </c>
      <c r="F1084" s="75" t="s">
        <v>997</v>
      </c>
      <c r="G1084" s="82">
        <v>46110.0</v>
      </c>
      <c r="H1084" s="76" t="s">
        <v>938</v>
      </c>
      <c r="I1084" s="83"/>
      <c r="J1084" s="83"/>
      <c r="K1084" s="83"/>
      <c r="L1084" s="83"/>
      <c r="M1084" s="83"/>
      <c r="N1084" s="83"/>
      <c r="O1084" s="83"/>
      <c r="P1084" s="83"/>
      <c r="Q1084" s="83"/>
      <c r="R1084" s="83"/>
      <c r="S1084" s="83"/>
      <c r="T1084" s="83"/>
      <c r="U1084" s="83"/>
      <c r="V1084" s="83"/>
      <c r="W1084" s="83"/>
      <c r="X1084" s="83"/>
      <c r="Y1084" s="83"/>
      <c r="Z1084" s="83"/>
    </row>
    <row r="1085">
      <c r="A1085" s="75" t="s">
        <v>51</v>
      </c>
      <c r="B1085" s="75" t="s">
        <v>1007</v>
      </c>
      <c r="C1085" s="75">
        <v>14.41</v>
      </c>
      <c r="D1085" s="75">
        <v>0.0</v>
      </c>
      <c r="E1085" s="75">
        <v>0.0</v>
      </c>
      <c r="F1085" s="75" t="s">
        <v>997</v>
      </c>
      <c r="G1085" s="82">
        <v>46110.0</v>
      </c>
      <c r="H1085" s="76" t="s">
        <v>986</v>
      </c>
      <c r="I1085" s="83"/>
      <c r="J1085" s="83"/>
      <c r="K1085" s="83"/>
      <c r="L1085" s="83"/>
      <c r="M1085" s="83"/>
      <c r="N1085" s="83"/>
      <c r="O1085" s="83"/>
      <c r="P1085" s="83"/>
      <c r="Q1085" s="83"/>
      <c r="R1085" s="83"/>
      <c r="S1085" s="83"/>
      <c r="T1085" s="83"/>
      <c r="U1085" s="83"/>
      <c r="V1085" s="83"/>
      <c r="W1085" s="83"/>
      <c r="X1085" s="83"/>
      <c r="Y1085" s="83"/>
      <c r="Z1085" s="83"/>
    </row>
    <row r="1086">
      <c r="A1086" s="75" t="s">
        <v>51</v>
      </c>
      <c r="B1086" s="75" t="s">
        <v>1007</v>
      </c>
      <c r="C1086" s="75">
        <v>5.92</v>
      </c>
      <c r="D1086" s="75">
        <v>0.0</v>
      </c>
      <c r="E1086" s="75">
        <v>0.0</v>
      </c>
      <c r="F1086" s="75" t="s">
        <v>997</v>
      </c>
      <c r="G1086" s="82">
        <v>46110.0</v>
      </c>
      <c r="H1086" s="76" t="s">
        <v>987</v>
      </c>
      <c r="I1086" s="83"/>
      <c r="J1086" s="83"/>
      <c r="K1086" s="83"/>
      <c r="L1086" s="83"/>
      <c r="M1086" s="83"/>
      <c r="N1086" s="83"/>
      <c r="O1086" s="83"/>
      <c r="P1086" s="83"/>
      <c r="Q1086" s="83"/>
      <c r="R1086" s="83"/>
      <c r="S1086" s="83"/>
      <c r="T1086" s="83"/>
      <c r="U1086" s="83"/>
      <c r="V1086" s="83"/>
      <c r="W1086" s="83"/>
      <c r="X1086" s="83"/>
      <c r="Y1086" s="83"/>
      <c r="Z1086" s="83"/>
    </row>
    <row r="1087">
      <c r="A1087" s="75" t="s">
        <v>55</v>
      </c>
      <c r="B1087" s="75" t="s">
        <v>1007</v>
      </c>
      <c r="C1087" s="75">
        <v>2.0</v>
      </c>
      <c r="D1087" s="75">
        <v>0.0</v>
      </c>
      <c r="E1087" s="75">
        <v>0.0</v>
      </c>
      <c r="F1087" s="75" t="s">
        <v>998</v>
      </c>
      <c r="G1087" s="82">
        <v>46110.0</v>
      </c>
      <c r="H1087" s="76" t="s">
        <v>980</v>
      </c>
      <c r="I1087" s="83"/>
      <c r="J1087" s="83"/>
      <c r="K1087" s="83"/>
      <c r="L1087" s="83"/>
      <c r="M1087" s="83"/>
      <c r="N1087" s="83"/>
      <c r="O1087" s="83"/>
      <c r="P1087" s="83"/>
      <c r="Q1087" s="83"/>
      <c r="R1087" s="83"/>
      <c r="S1087" s="83"/>
      <c r="T1087" s="83"/>
      <c r="U1087" s="83"/>
      <c r="V1087" s="83"/>
      <c r="W1087" s="83"/>
      <c r="X1087" s="83"/>
      <c r="Y1087" s="83"/>
      <c r="Z1087" s="83"/>
    </row>
    <row r="1088">
      <c r="A1088" s="75" t="s">
        <v>53</v>
      </c>
      <c r="B1088" s="75" t="s">
        <v>1007</v>
      </c>
      <c r="C1088" s="75">
        <v>0.0</v>
      </c>
      <c r="D1088" s="75">
        <v>0.0</v>
      </c>
      <c r="E1088" s="75">
        <v>0.0</v>
      </c>
      <c r="F1088" s="75" t="s">
        <v>998</v>
      </c>
      <c r="G1088" s="82">
        <v>46110.0</v>
      </c>
      <c r="H1088" s="76" t="s">
        <v>982</v>
      </c>
      <c r="I1088" s="83"/>
      <c r="J1088" s="83"/>
      <c r="K1088" s="83"/>
      <c r="L1088" s="83"/>
      <c r="M1088" s="83"/>
      <c r="N1088" s="83"/>
      <c r="O1088" s="83"/>
      <c r="P1088" s="83"/>
      <c r="Q1088" s="83"/>
      <c r="R1088" s="83"/>
      <c r="S1088" s="83"/>
      <c r="T1088" s="83"/>
      <c r="U1088" s="83"/>
      <c r="V1088" s="83"/>
      <c r="W1088" s="83"/>
      <c r="X1088" s="83"/>
      <c r="Y1088" s="83"/>
      <c r="Z1088" s="83"/>
    </row>
    <row r="1089">
      <c r="A1089" s="75" t="s">
        <v>53</v>
      </c>
      <c r="B1089" s="75" t="s">
        <v>1007</v>
      </c>
      <c r="C1089" s="75">
        <v>0.87</v>
      </c>
      <c r="D1089" s="75">
        <v>0.0</v>
      </c>
      <c r="E1089" s="75">
        <v>0.0</v>
      </c>
      <c r="F1089" s="75" t="s">
        <v>998</v>
      </c>
      <c r="G1089" s="82">
        <v>46110.0</v>
      </c>
      <c r="H1089" s="76" t="s">
        <v>984</v>
      </c>
      <c r="I1089" s="83"/>
      <c r="J1089" s="83"/>
      <c r="K1089" s="83"/>
      <c r="L1089" s="83"/>
      <c r="M1089" s="83"/>
      <c r="N1089" s="83"/>
      <c r="O1089" s="83"/>
      <c r="P1089" s="83"/>
      <c r="Q1089" s="83"/>
      <c r="R1089" s="83"/>
      <c r="S1089" s="83"/>
      <c r="T1089" s="83"/>
      <c r="U1089" s="83"/>
      <c r="V1089" s="83"/>
      <c r="W1089" s="83"/>
      <c r="X1089" s="83"/>
      <c r="Y1089" s="83"/>
      <c r="Z1089" s="83"/>
    </row>
    <row r="1090">
      <c r="A1090" s="75" t="s">
        <v>985</v>
      </c>
      <c r="B1090" s="75" t="s">
        <v>1007</v>
      </c>
      <c r="C1090" s="75">
        <v>0.0</v>
      </c>
      <c r="D1090" s="75">
        <v>0.0</v>
      </c>
      <c r="E1090" s="75">
        <v>0.0</v>
      </c>
      <c r="F1090" s="75" t="s">
        <v>998</v>
      </c>
      <c r="G1090" s="82">
        <v>46110.0</v>
      </c>
      <c r="H1090" s="76" t="s">
        <v>936</v>
      </c>
      <c r="I1090" s="83"/>
      <c r="J1090" s="83"/>
      <c r="K1090" s="83"/>
      <c r="L1090" s="83"/>
      <c r="M1090" s="83"/>
      <c r="N1090" s="83"/>
      <c r="O1090" s="83"/>
      <c r="P1090" s="83"/>
      <c r="Q1090" s="83"/>
      <c r="R1090" s="83"/>
      <c r="S1090" s="83"/>
      <c r="T1090" s="83"/>
      <c r="U1090" s="83"/>
      <c r="V1090" s="83"/>
      <c r="W1090" s="83"/>
      <c r="X1090" s="83"/>
      <c r="Y1090" s="83"/>
      <c r="Z1090" s="83"/>
    </row>
    <row r="1091">
      <c r="A1091" s="75" t="s">
        <v>985</v>
      </c>
      <c r="B1091" s="75" t="s">
        <v>1007</v>
      </c>
      <c r="C1091" s="75">
        <v>0.7</v>
      </c>
      <c r="D1091" s="75">
        <v>0.0</v>
      </c>
      <c r="E1091" s="75">
        <v>0.0</v>
      </c>
      <c r="F1091" s="75" t="s">
        <v>998</v>
      </c>
      <c r="G1091" s="82">
        <v>46110.0</v>
      </c>
      <c r="H1091" s="76" t="s">
        <v>937</v>
      </c>
      <c r="I1091" s="83"/>
      <c r="J1091" s="83"/>
      <c r="K1091" s="83"/>
      <c r="L1091" s="83"/>
      <c r="M1091" s="83"/>
      <c r="N1091" s="83"/>
      <c r="O1091" s="83"/>
      <c r="P1091" s="83"/>
      <c r="Q1091" s="83"/>
      <c r="R1091" s="83"/>
      <c r="S1091" s="83"/>
      <c r="T1091" s="83"/>
      <c r="U1091" s="83"/>
      <c r="V1091" s="83"/>
      <c r="W1091" s="83"/>
      <c r="X1091" s="83"/>
      <c r="Y1091" s="83"/>
      <c r="Z1091" s="83"/>
    </row>
    <row r="1092">
      <c r="A1092" s="75" t="s">
        <v>51</v>
      </c>
      <c r="B1092" s="75" t="s">
        <v>1007</v>
      </c>
      <c r="C1092" s="75">
        <v>1.1</v>
      </c>
      <c r="D1092" s="75">
        <v>0.0</v>
      </c>
      <c r="E1092" s="75">
        <v>0.0</v>
      </c>
      <c r="F1092" s="75" t="s">
        <v>998</v>
      </c>
      <c r="G1092" s="82">
        <v>46110.0</v>
      </c>
      <c r="H1092" s="76" t="s">
        <v>987</v>
      </c>
      <c r="I1092" s="83"/>
      <c r="J1092" s="83"/>
      <c r="K1092" s="83"/>
      <c r="L1092" s="83"/>
      <c r="M1092" s="83"/>
      <c r="N1092" s="83"/>
      <c r="O1092" s="83"/>
      <c r="P1092" s="83"/>
      <c r="Q1092" s="83"/>
      <c r="R1092" s="83"/>
      <c r="S1092" s="83"/>
      <c r="T1092" s="83"/>
      <c r="U1092" s="83"/>
      <c r="V1092" s="83"/>
      <c r="W1092" s="83"/>
      <c r="X1092" s="83"/>
      <c r="Y1092" s="83"/>
      <c r="Z1092" s="83"/>
    </row>
    <row r="1093">
      <c r="A1093" s="75" t="s">
        <v>54</v>
      </c>
      <c r="B1093" s="75" t="s">
        <v>1007</v>
      </c>
      <c r="C1093" s="75">
        <v>0.0</v>
      </c>
      <c r="D1093" s="75">
        <v>0.0</v>
      </c>
      <c r="E1093" s="75">
        <v>0.0</v>
      </c>
      <c r="F1093" s="75" t="s">
        <v>998</v>
      </c>
      <c r="G1093" s="82">
        <v>46110.0</v>
      </c>
      <c r="H1093" s="76" t="s">
        <v>977</v>
      </c>
      <c r="I1093" s="83"/>
      <c r="J1093" s="83"/>
      <c r="K1093" s="83"/>
      <c r="L1093" s="83"/>
      <c r="M1093" s="83"/>
      <c r="N1093" s="83"/>
      <c r="O1093" s="83"/>
      <c r="P1093" s="83"/>
      <c r="Q1093" s="83"/>
      <c r="R1093" s="83"/>
      <c r="S1093" s="83"/>
      <c r="T1093" s="83"/>
      <c r="U1093" s="83"/>
      <c r="V1093" s="83"/>
      <c r="W1093" s="83"/>
      <c r="X1093" s="83"/>
      <c r="Y1093" s="83"/>
      <c r="Z1093" s="83"/>
    </row>
    <row r="1094">
      <c r="A1094" s="75" t="s">
        <v>54</v>
      </c>
      <c r="B1094" s="75" t="s">
        <v>1007</v>
      </c>
      <c r="C1094" s="75">
        <v>0.01</v>
      </c>
      <c r="D1094" s="75">
        <v>0.0</v>
      </c>
      <c r="E1094" s="75">
        <v>0.0</v>
      </c>
      <c r="F1094" s="75" t="s">
        <v>998</v>
      </c>
      <c r="G1094" s="82">
        <v>46110.0</v>
      </c>
      <c r="H1094" s="76" t="s">
        <v>978</v>
      </c>
      <c r="I1094" s="83"/>
      <c r="J1094" s="83"/>
      <c r="K1094" s="83"/>
      <c r="L1094" s="83"/>
      <c r="M1094" s="83"/>
      <c r="N1094" s="83"/>
      <c r="O1094" s="83"/>
      <c r="P1094" s="83"/>
      <c r="Q1094" s="83"/>
      <c r="R1094" s="83"/>
      <c r="S1094" s="83"/>
      <c r="T1094" s="83"/>
      <c r="U1094" s="83"/>
      <c r="V1094" s="83"/>
      <c r="W1094" s="83"/>
      <c r="X1094" s="83"/>
      <c r="Y1094" s="83"/>
      <c r="Z1094" s="83"/>
    </row>
    <row r="1095">
      <c r="A1095" s="75" t="s">
        <v>54</v>
      </c>
      <c r="B1095" s="75" t="s">
        <v>1007</v>
      </c>
      <c r="C1095" s="75">
        <v>1.66</v>
      </c>
      <c r="D1095" s="75">
        <v>0.0</v>
      </c>
      <c r="E1095" s="75">
        <v>0.0</v>
      </c>
      <c r="F1095" s="75" t="s">
        <v>998</v>
      </c>
      <c r="G1095" s="82">
        <v>46110.0</v>
      </c>
      <c r="H1095" s="76" t="s">
        <v>979</v>
      </c>
      <c r="I1095" s="83"/>
      <c r="J1095" s="83"/>
      <c r="K1095" s="83"/>
      <c r="L1095" s="83"/>
      <c r="M1095" s="83"/>
      <c r="N1095" s="83"/>
      <c r="O1095" s="83"/>
      <c r="P1095" s="83"/>
      <c r="Q1095" s="83"/>
      <c r="R1095" s="83"/>
      <c r="S1095" s="83"/>
      <c r="T1095" s="83"/>
      <c r="U1095" s="83"/>
      <c r="V1095" s="83"/>
      <c r="W1095" s="83"/>
      <c r="X1095" s="83"/>
      <c r="Y1095" s="83"/>
      <c r="Z1095" s="83"/>
    </row>
    <row r="1096">
      <c r="A1096" s="75" t="s">
        <v>34</v>
      </c>
      <c r="B1096" s="75" t="s">
        <v>1008</v>
      </c>
      <c r="C1096" s="75">
        <v>3.7</v>
      </c>
      <c r="D1096" s="75">
        <v>0.0</v>
      </c>
      <c r="E1096" s="75">
        <v>0.0</v>
      </c>
      <c r="F1096" s="75" t="s">
        <v>925</v>
      </c>
      <c r="G1096" s="82">
        <v>46110.0</v>
      </c>
      <c r="H1096" s="76" t="s">
        <v>951</v>
      </c>
      <c r="I1096" s="83"/>
      <c r="J1096" s="83"/>
      <c r="K1096" s="83"/>
      <c r="L1096" s="83"/>
      <c r="M1096" s="83"/>
      <c r="N1096" s="83"/>
      <c r="O1096" s="83"/>
      <c r="P1096" s="83"/>
      <c r="Q1096" s="83"/>
      <c r="R1096" s="83"/>
      <c r="S1096" s="83"/>
      <c r="T1096" s="83"/>
      <c r="U1096" s="83"/>
      <c r="V1096" s="83"/>
      <c r="W1096" s="83"/>
      <c r="X1096" s="83"/>
      <c r="Y1096" s="83"/>
      <c r="Z1096" s="83"/>
    </row>
    <row r="1097">
      <c r="A1097" s="75" t="s">
        <v>34</v>
      </c>
      <c r="B1097" s="75" t="s">
        <v>1008</v>
      </c>
      <c r="C1097" s="75">
        <v>5.72</v>
      </c>
      <c r="D1097" s="75">
        <v>0.0</v>
      </c>
      <c r="E1097" s="75">
        <v>0.0</v>
      </c>
      <c r="F1097" s="75" t="s">
        <v>925</v>
      </c>
      <c r="G1097" s="82">
        <v>46110.0</v>
      </c>
      <c r="H1097" s="76" t="s">
        <v>952</v>
      </c>
      <c r="I1097" s="83"/>
      <c r="J1097" s="83"/>
      <c r="K1097" s="83"/>
      <c r="L1097" s="83"/>
      <c r="M1097" s="83"/>
      <c r="N1097" s="83"/>
      <c r="O1097" s="83"/>
      <c r="P1097" s="83"/>
      <c r="Q1097" s="83"/>
      <c r="R1097" s="83"/>
      <c r="S1097" s="83"/>
      <c r="T1097" s="83"/>
      <c r="U1097" s="83"/>
      <c r="V1097" s="83"/>
      <c r="W1097" s="83"/>
      <c r="X1097" s="83"/>
      <c r="Y1097" s="83"/>
      <c r="Z1097" s="83"/>
    </row>
    <row r="1098">
      <c r="A1098" s="75" t="s">
        <v>34</v>
      </c>
      <c r="B1098" s="75" t="s">
        <v>1008</v>
      </c>
      <c r="C1098" s="75">
        <v>5.39</v>
      </c>
      <c r="D1098" s="75">
        <v>1.0</v>
      </c>
      <c r="E1098" s="75">
        <v>5.39</v>
      </c>
      <c r="F1098" s="75" t="s">
        <v>925</v>
      </c>
      <c r="G1098" s="82">
        <v>46110.0</v>
      </c>
      <c r="H1098" s="76" t="s">
        <v>953</v>
      </c>
      <c r="I1098" s="83"/>
      <c r="J1098" s="83"/>
      <c r="K1098" s="83"/>
      <c r="L1098" s="83"/>
      <c r="M1098" s="83"/>
      <c r="N1098" s="83"/>
      <c r="O1098" s="83"/>
      <c r="P1098" s="83"/>
      <c r="Q1098" s="83"/>
      <c r="R1098" s="83"/>
      <c r="S1098" s="83"/>
      <c r="T1098" s="83"/>
      <c r="U1098" s="83"/>
      <c r="V1098" s="83"/>
      <c r="W1098" s="83"/>
      <c r="X1098" s="83"/>
      <c r="Y1098" s="83"/>
      <c r="Z1098" s="83"/>
    </row>
    <row r="1099">
      <c r="A1099" s="75" t="s">
        <v>40</v>
      </c>
      <c r="B1099" s="75" t="s">
        <v>1008</v>
      </c>
      <c r="C1099" s="75">
        <v>3.26</v>
      </c>
      <c r="D1099" s="75">
        <v>0.0</v>
      </c>
      <c r="E1099" s="75">
        <v>0.0</v>
      </c>
      <c r="F1099" s="75" t="s">
        <v>925</v>
      </c>
      <c r="G1099" s="82">
        <v>46110.0</v>
      </c>
      <c r="H1099" s="76" t="s">
        <v>954</v>
      </c>
      <c r="I1099" s="83"/>
      <c r="J1099" s="83"/>
      <c r="K1099" s="83"/>
      <c r="L1099" s="83"/>
      <c r="M1099" s="83"/>
      <c r="N1099" s="83"/>
      <c r="O1099" s="83"/>
      <c r="P1099" s="83"/>
      <c r="Q1099" s="83"/>
      <c r="R1099" s="83"/>
      <c r="S1099" s="83"/>
      <c r="T1099" s="83"/>
      <c r="U1099" s="83"/>
      <c r="V1099" s="83"/>
      <c r="W1099" s="83"/>
      <c r="X1099" s="83"/>
      <c r="Y1099" s="83"/>
      <c r="Z1099" s="83"/>
    </row>
    <row r="1100">
      <c r="A1100" s="75" t="s">
        <v>40</v>
      </c>
      <c r="B1100" s="75" t="s">
        <v>1008</v>
      </c>
      <c r="C1100" s="75">
        <v>3.28</v>
      </c>
      <c r="D1100" s="75">
        <v>1.0</v>
      </c>
      <c r="E1100" s="75">
        <v>3.28</v>
      </c>
      <c r="F1100" s="75" t="s">
        <v>925</v>
      </c>
      <c r="G1100" s="82">
        <v>46110.0</v>
      </c>
      <c r="H1100" s="76" t="s">
        <v>955</v>
      </c>
      <c r="I1100" s="83"/>
      <c r="J1100" s="83"/>
      <c r="K1100" s="83"/>
      <c r="L1100" s="83"/>
      <c r="M1100" s="83"/>
      <c r="N1100" s="83"/>
      <c r="O1100" s="83"/>
      <c r="P1100" s="83"/>
      <c r="Q1100" s="83"/>
      <c r="R1100" s="83"/>
      <c r="S1100" s="83"/>
      <c r="T1100" s="83"/>
      <c r="U1100" s="83"/>
      <c r="V1100" s="83"/>
      <c r="W1100" s="83"/>
      <c r="X1100" s="83"/>
      <c r="Y1100" s="83"/>
      <c r="Z1100" s="83"/>
    </row>
    <row r="1101">
      <c r="A1101" s="75" t="s">
        <v>40</v>
      </c>
      <c r="B1101" s="75" t="s">
        <v>1008</v>
      </c>
      <c r="C1101" s="75">
        <v>16.27</v>
      </c>
      <c r="D1101" s="75">
        <v>0.0</v>
      </c>
      <c r="E1101" s="75">
        <v>0.0</v>
      </c>
      <c r="F1101" s="75" t="s">
        <v>925</v>
      </c>
      <c r="G1101" s="82">
        <v>46110.0</v>
      </c>
      <c r="H1101" s="76" t="s">
        <v>956</v>
      </c>
      <c r="I1101" s="83"/>
      <c r="J1101" s="83"/>
      <c r="K1101" s="83"/>
      <c r="L1101" s="83"/>
      <c r="M1101" s="83"/>
      <c r="N1101" s="83"/>
      <c r="O1101" s="83"/>
      <c r="P1101" s="83"/>
      <c r="Q1101" s="83"/>
      <c r="R1101" s="83"/>
      <c r="S1101" s="83"/>
      <c r="T1101" s="83"/>
      <c r="U1101" s="83"/>
      <c r="V1101" s="83"/>
      <c r="W1101" s="83"/>
      <c r="X1101" s="83"/>
      <c r="Y1101" s="83"/>
      <c r="Z1101" s="83"/>
    </row>
    <row r="1102">
      <c r="A1102" s="75" t="s">
        <v>33</v>
      </c>
      <c r="B1102" s="75" t="s">
        <v>1008</v>
      </c>
      <c r="C1102" s="75">
        <v>9.03</v>
      </c>
      <c r="D1102" s="75">
        <v>3.0</v>
      </c>
      <c r="E1102" s="75">
        <v>3.01</v>
      </c>
      <c r="F1102" s="75" t="s">
        <v>925</v>
      </c>
      <c r="G1102" s="82">
        <v>46110.0</v>
      </c>
      <c r="H1102" s="76" t="s">
        <v>957</v>
      </c>
      <c r="I1102" s="83"/>
      <c r="J1102" s="83"/>
      <c r="K1102" s="83"/>
      <c r="L1102" s="83"/>
      <c r="M1102" s="83"/>
      <c r="N1102" s="83"/>
      <c r="O1102" s="83"/>
      <c r="P1102" s="83"/>
      <c r="Q1102" s="83"/>
      <c r="R1102" s="83"/>
      <c r="S1102" s="83"/>
      <c r="T1102" s="83"/>
      <c r="U1102" s="83"/>
      <c r="V1102" s="83"/>
      <c r="W1102" s="83"/>
      <c r="X1102" s="83"/>
      <c r="Y1102" s="83"/>
      <c r="Z1102" s="83"/>
    </row>
    <row r="1103">
      <c r="A1103" s="75" t="s">
        <v>33</v>
      </c>
      <c r="B1103" s="75" t="s">
        <v>1008</v>
      </c>
      <c r="C1103" s="75">
        <v>1.62</v>
      </c>
      <c r="D1103" s="75">
        <v>1.0</v>
      </c>
      <c r="E1103" s="75">
        <v>1.62</v>
      </c>
      <c r="F1103" s="75" t="s">
        <v>925</v>
      </c>
      <c r="G1103" s="82">
        <v>46110.0</v>
      </c>
      <c r="H1103" s="76" t="s">
        <v>958</v>
      </c>
      <c r="I1103" s="83"/>
      <c r="J1103" s="83"/>
      <c r="K1103" s="83"/>
      <c r="L1103" s="83"/>
      <c r="M1103" s="83"/>
      <c r="N1103" s="83"/>
      <c r="O1103" s="83"/>
      <c r="P1103" s="83"/>
      <c r="Q1103" s="83"/>
      <c r="R1103" s="83"/>
      <c r="S1103" s="83"/>
      <c r="T1103" s="83"/>
      <c r="U1103" s="83"/>
      <c r="V1103" s="83"/>
      <c r="W1103" s="83"/>
      <c r="X1103" s="83"/>
      <c r="Y1103" s="83"/>
      <c r="Z1103" s="83"/>
    </row>
    <row r="1104">
      <c r="A1104" s="75" t="s">
        <v>33</v>
      </c>
      <c r="B1104" s="75" t="s">
        <v>1008</v>
      </c>
      <c r="C1104" s="75">
        <v>5.25</v>
      </c>
      <c r="D1104" s="75">
        <v>0.0</v>
      </c>
      <c r="E1104" s="75">
        <v>0.0</v>
      </c>
      <c r="F1104" s="75" t="s">
        <v>925</v>
      </c>
      <c r="G1104" s="82">
        <v>46110.0</v>
      </c>
      <c r="H1104" s="76" t="s">
        <v>959</v>
      </c>
      <c r="I1104" s="83"/>
      <c r="J1104" s="83"/>
      <c r="K1104" s="83"/>
      <c r="L1104" s="83"/>
      <c r="M1104" s="83"/>
      <c r="N1104" s="83"/>
      <c r="O1104" s="83"/>
      <c r="P1104" s="83"/>
      <c r="Q1104" s="83"/>
      <c r="R1104" s="83"/>
      <c r="S1104" s="83"/>
      <c r="T1104" s="83"/>
      <c r="U1104" s="83"/>
      <c r="V1104" s="83"/>
      <c r="W1104" s="83"/>
      <c r="X1104" s="83"/>
      <c r="Y1104" s="83"/>
      <c r="Z1104" s="83"/>
    </row>
    <row r="1105">
      <c r="A1105" s="75" t="s">
        <v>46</v>
      </c>
      <c r="B1105" s="75" t="s">
        <v>1008</v>
      </c>
      <c r="C1105" s="75">
        <v>4.2</v>
      </c>
      <c r="D1105" s="75">
        <v>1.0</v>
      </c>
      <c r="E1105" s="75">
        <v>4.2</v>
      </c>
      <c r="F1105" s="75" t="s">
        <v>925</v>
      </c>
      <c r="G1105" s="82">
        <v>46110.0</v>
      </c>
      <c r="H1105" s="76" t="s">
        <v>960</v>
      </c>
      <c r="I1105" s="83"/>
      <c r="J1105" s="83"/>
      <c r="K1105" s="83"/>
      <c r="L1105" s="83"/>
      <c r="M1105" s="83"/>
      <c r="N1105" s="83"/>
      <c r="O1105" s="83"/>
      <c r="P1105" s="83"/>
      <c r="Q1105" s="83"/>
      <c r="R1105" s="83"/>
      <c r="S1105" s="83"/>
      <c r="T1105" s="83"/>
      <c r="U1105" s="83"/>
      <c r="V1105" s="83"/>
      <c r="W1105" s="83"/>
      <c r="X1105" s="83"/>
      <c r="Y1105" s="83"/>
      <c r="Z1105" s="83"/>
    </row>
    <row r="1106">
      <c r="A1106" s="75" t="s">
        <v>46</v>
      </c>
      <c r="B1106" s="75" t="s">
        <v>1008</v>
      </c>
      <c r="C1106" s="75">
        <v>4.93</v>
      </c>
      <c r="D1106" s="75">
        <v>0.0</v>
      </c>
      <c r="E1106" s="75">
        <v>0.0</v>
      </c>
      <c r="F1106" s="75" t="s">
        <v>925</v>
      </c>
      <c r="G1106" s="82">
        <v>46110.0</v>
      </c>
      <c r="H1106" s="76" t="s">
        <v>961</v>
      </c>
      <c r="I1106" s="83"/>
      <c r="J1106" s="83"/>
      <c r="K1106" s="83"/>
      <c r="L1106" s="83"/>
      <c r="M1106" s="83"/>
      <c r="N1106" s="83"/>
      <c r="O1106" s="83"/>
      <c r="P1106" s="83"/>
      <c r="Q1106" s="83"/>
      <c r="R1106" s="83"/>
      <c r="S1106" s="83"/>
      <c r="T1106" s="83"/>
      <c r="U1106" s="83"/>
      <c r="V1106" s="83"/>
      <c r="W1106" s="83"/>
      <c r="X1106" s="83"/>
      <c r="Y1106" s="83"/>
      <c r="Z1106" s="83"/>
    </row>
    <row r="1107">
      <c r="A1107" s="75" t="s">
        <v>46</v>
      </c>
      <c r="B1107" s="75" t="s">
        <v>1008</v>
      </c>
      <c r="C1107" s="75">
        <v>6.09</v>
      </c>
      <c r="D1107" s="75">
        <v>0.0</v>
      </c>
      <c r="E1107" s="75">
        <v>0.0</v>
      </c>
      <c r="F1107" s="75" t="s">
        <v>925</v>
      </c>
      <c r="G1107" s="82">
        <v>46110.0</v>
      </c>
      <c r="H1107" s="76" t="s">
        <v>962</v>
      </c>
      <c r="I1107" s="83"/>
      <c r="J1107" s="83"/>
      <c r="K1107" s="83"/>
      <c r="L1107" s="83"/>
      <c r="M1107" s="83"/>
      <c r="N1107" s="83"/>
      <c r="O1107" s="83"/>
      <c r="P1107" s="83"/>
      <c r="Q1107" s="83"/>
      <c r="R1107" s="83"/>
      <c r="S1107" s="83"/>
      <c r="T1107" s="83"/>
      <c r="U1107" s="83"/>
      <c r="V1107" s="83"/>
      <c r="W1107" s="83"/>
      <c r="X1107" s="83"/>
      <c r="Y1107" s="83"/>
      <c r="Z1107" s="83"/>
    </row>
    <row r="1108">
      <c r="A1108" s="75" t="s">
        <v>43</v>
      </c>
      <c r="B1108" s="75" t="s">
        <v>1008</v>
      </c>
      <c r="C1108" s="75">
        <v>3.75</v>
      </c>
      <c r="D1108" s="75">
        <v>0.0</v>
      </c>
      <c r="E1108" s="75">
        <v>0.0</v>
      </c>
      <c r="F1108" s="75" t="s">
        <v>925</v>
      </c>
      <c r="G1108" s="82">
        <v>46110.0</v>
      </c>
      <c r="H1108" s="76" t="s">
        <v>963</v>
      </c>
      <c r="I1108" s="83"/>
      <c r="J1108" s="83"/>
      <c r="K1108" s="83"/>
      <c r="L1108" s="83"/>
      <c r="M1108" s="83"/>
      <c r="N1108" s="83"/>
      <c r="O1108" s="83"/>
      <c r="P1108" s="83"/>
      <c r="Q1108" s="83"/>
      <c r="R1108" s="83"/>
      <c r="S1108" s="83"/>
      <c r="T1108" s="83"/>
      <c r="U1108" s="83"/>
      <c r="V1108" s="83"/>
      <c r="W1108" s="83"/>
      <c r="X1108" s="83"/>
      <c r="Y1108" s="83"/>
      <c r="Z1108" s="83"/>
    </row>
    <row r="1109">
      <c r="A1109" s="75" t="s">
        <v>43</v>
      </c>
      <c r="B1109" s="75" t="s">
        <v>1008</v>
      </c>
      <c r="C1109" s="75">
        <v>1.71</v>
      </c>
      <c r="D1109" s="75">
        <v>0.0</v>
      </c>
      <c r="E1109" s="75">
        <v>0.0</v>
      </c>
      <c r="F1109" s="75" t="s">
        <v>925</v>
      </c>
      <c r="G1109" s="82">
        <v>46110.0</v>
      </c>
      <c r="H1109" s="76" t="s">
        <v>964</v>
      </c>
      <c r="I1109" s="83"/>
      <c r="J1109" s="83"/>
      <c r="K1109" s="83"/>
      <c r="L1109" s="83"/>
      <c r="M1109" s="83"/>
      <c r="N1109" s="83"/>
      <c r="O1109" s="83"/>
      <c r="P1109" s="83"/>
      <c r="Q1109" s="83"/>
      <c r="R1109" s="83"/>
      <c r="S1109" s="83"/>
      <c r="T1109" s="83"/>
      <c r="U1109" s="83"/>
      <c r="V1109" s="83"/>
      <c r="W1109" s="83"/>
      <c r="X1109" s="83"/>
      <c r="Y1109" s="83"/>
      <c r="Z1109" s="83"/>
    </row>
    <row r="1110">
      <c r="A1110" s="75" t="s">
        <v>43</v>
      </c>
      <c r="B1110" s="75" t="s">
        <v>1008</v>
      </c>
      <c r="C1110" s="75">
        <v>7.11</v>
      </c>
      <c r="D1110" s="75">
        <v>0.0</v>
      </c>
      <c r="E1110" s="75">
        <v>0.0</v>
      </c>
      <c r="F1110" s="75" t="s">
        <v>925</v>
      </c>
      <c r="G1110" s="82">
        <v>46110.0</v>
      </c>
      <c r="H1110" s="76" t="s">
        <v>965</v>
      </c>
      <c r="I1110" s="83"/>
      <c r="J1110" s="83"/>
      <c r="K1110" s="83"/>
      <c r="L1110" s="83"/>
      <c r="M1110" s="83"/>
      <c r="N1110" s="83"/>
      <c r="O1110" s="83"/>
      <c r="P1110" s="83"/>
      <c r="Q1110" s="83"/>
      <c r="R1110" s="83"/>
      <c r="S1110" s="83"/>
      <c r="T1110" s="83"/>
      <c r="U1110" s="83"/>
      <c r="V1110" s="83"/>
      <c r="W1110" s="83"/>
      <c r="X1110" s="83"/>
      <c r="Y1110" s="83"/>
      <c r="Z1110" s="83"/>
    </row>
    <row r="1111">
      <c r="A1111" s="75" t="s">
        <v>966</v>
      </c>
      <c r="B1111" s="75" t="s">
        <v>1008</v>
      </c>
      <c r="C1111" s="75">
        <v>7.77</v>
      </c>
      <c r="D1111" s="75">
        <v>1.0</v>
      </c>
      <c r="E1111" s="75">
        <v>7.77</v>
      </c>
      <c r="F1111" s="75" t="s">
        <v>925</v>
      </c>
      <c r="G1111" s="82">
        <v>46110.0</v>
      </c>
      <c r="H1111" s="76" t="s">
        <v>967</v>
      </c>
      <c r="I1111" s="83"/>
      <c r="J1111" s="83"/>
      <c r="K1111" s="83"/>
      <c r="L1111" s="83"/>
      <c r="M1111" s="83"/>
      <c r="N1111" s="83"/>
      <c r="O1111" s="83"/>
      <c r="P1111" s="83"/>
      <c r="Q1111" s="83"/>
      <c r="R1111" s="83"/>
      <c r="S1111" s="83"/>
      <c r="T1111" s="83"/>
      <c r="U1111" s="83"/>
      <c r="V1111" s="83"/>
      <c r="W1111" s="83"/>
      <c r="X1111" s="83"/>
      <c r="Y1111" s="83"/>
      <c r="Z1111" s="83"/>
    </row>
    <row r="1112">
      <c r="A1112" s="75" t="s">
        <v>966</v>
      </c>
      <c r="B1112" s="75" t="s">
        <v>1008</v>
      </c>
      <c r="C1112" s="75">
        <v>4.15</v>
      </c>
      <c r="D1112" s="75">
        <v>0.0</v>
      </c>
      <c r="E1112" s="75">
        <v>0.0</v>
      </c>
      <c r="F1112" s="75" t="s">
        <v>925</v>
      </c>
      <c r="G1112" s="82">
        <v>46110.0</v>
      </c>
      <c r="H1112" s="76" t="s">
        <v>968</v>
      </c>
      <c r="I1112" s="83"/>
      <c r="J1112" s="83"/>
      <c r="K1112" s="83"/>
      <c r="L1112" s="83"/>
      <c r="M1112" s="83"/>
      <c r="N1112" s="83"/>
      <c r="O1112" s="83"/>
      <c r="P1112" s="83"/>
      <c r="Q1112" s="83"/>
      <c r="R1112" s="83"/>
      <c r="S1112" s="83"/>
      <c r="T1112" s="83"/>
      <c r="U1112" s="83"/>
      <c r="V1112" s="83"/>
      <c r="W1112" s="83"/>
      <c r="X1112" s="83"/>
      <c r="Y1112" s="83"/>
      <c r="Z1112" s="83"/>
    </row>
    <row r="1113">
      <c r="A1113" s="75" t="s">
        <v>966</v>
      </c>
      <c r="B1113" s="75" t="s">
        <v>1008</v>
      </c>
      <c r="C1113" s="75">
        <v>2.18</v>
      </c>
      <c r="D1113" s="75">
        <v>0.0</v>
      </c>
      <c r="E1113" s="75">
        <v>0.0</v>
      </c>
      <c r="F1113" s="75" t="s">
        <v>925</v>
      </c>
      <c r="G1113" s="82">
        <v>46110.0</v>
      </c>
      <c r="H1113" s="76" t="s">
        <v>969</v>
      </c>
      <c r="I1113" s="83"/>
      <c r="J1113" s="83"/>
      <c r="K1113" s="83"/>
      <c r="L1113" s="83"/>
      <c r="M1113" s="83"/>
      <c r="N1113" s="83"/>
      <c r="O1113" s="83"/>
      <c r="P1113" s="83"/>
      <c r="Q1113" s="83"/>
      <c r="R1113" s="83"/>
      <c r="S1113" s="83"/>
      <c r="T1113" s="83"/>
      <c r="U1113" s="83"/>
      <c r="V1113" s="83"/>
      <c r="W1113" s="83"/>
      <c r="X1113" s="83"/>
      <c r="Y1113" s="83"/>
      <c r="Z1113" s="83"/>
    </row>
    <row r="1114">
      <c r="A1114" s="75" t="s">
        <v>36</v>
      </c>
      <c r="B1114" s="75" t="s">
        <v>1008</v>
      </c>
      <c r="C1114" s="75">
        <v>10.08</v>
      </c>
      <c r="D1114" s="75">
        <v>2.0</v>
      </c>
      <c r="E1114" s="75">
        <v>5.04</v>
      </c>
      <c r="F1114" s="75" t="s">
        <v>925</v>
      </c>
      <c r="G1114" s="82">
        <v>46110.0</v>
      </c>
      <c r="H1114" s="76" t="s">
        <v>926</v>
      </c>
      <c r="I1114" s="83"/>
      <c r="J1114" s="83"/>
      <c r="K1114" s="83"/>
      <c r="L1114" s="83"/>
      <c r="M1114" s="83"/>
      <c r="N1114" s="83"/>
      <c r="O1114" s="83"/>
      <c r="P1114" s="83"/>
      <c r="Q1114" s="83"/>
      <c r="R1114" s="83"/>
      <c r="S1114" s="83"/>
      <c r="T1114" s="83"/>
      <c r="U1114" s="83"/>
      <c r="V1114" s="83"/>
      <c r="W1114" s="83"/>
      <c r="X1114" s="83"/>
      <c r="Y1114" s="83"/>
      <c r="Z1114" s="83"/>
    </row>
    <row r="1115">
      <c r="A1115" s="75" t="s">
        <v>36</v>
      </c>
      <c r="B1115" s="75" t="s">
        <v>1008</v>
      </c>
      <c r="C1115" s="75">
        <v>3.48</v>
      </c>
      <c r="D1115" s="75">
        <v>0.0</v>
      </c>
      <c r="E1115" s="75">
        <v>0.0</v>
      </c>
      <c r="F1115" s="75" t="s">
        <v>925</v>
      </c>
      <c r="G1115" s="82">
        <v>46110.0</v>
      </c>
      <c r="H1115" s="76" t="s">
        <v>927</v>
      </c>
      <c r="I1115" s="83"/>
      <c r="J1115" s="83"/>
      <c r="K1115" s="83"/>
      <c r="L1115" s="83"/>
      <c r="M1115" s="83"/>
      <c r="N1115" s="83"/>
      <c r="O1115" s="83"/>
      <c r="P1115" s="83"/>
      <c r="Q1115" s="83"/>
      <c r="R1115" s="83"/>
      <c r="S1115" s="83"/>
      <c r="T1115" s="83"/>
      <c r="U1115" s="83"/>
      <c r="V1115" s="83"/>
      <c r="W1115" s="83"/>
      <c r="X1115" s="83"/>
      <c r="Y1115" s="83"/>
      <c r="Z1115" s="83"/>
    </row>
    <row r="1116">
      <c r="A1116" s="75" t="s">
        <v>36</v>
      </c>
      <c r="B1116" s="75" t="s">
        <v>1008</v>
      </c>
      <c r="C1116" s="75">
        <v>3.81</v>
      </c>
      <c r="D1116" s="75">
        <v>0.0</v>
      </c>
      <c r="E1116" s="75">
        <v>0.0</v>
      </c>
      <c r="F1116" s="75" t="s">
        <v>925</v>
      </c>
      <c r="G1116" s="82">
        <v>46110.0</v>
      </c>
      <c r="H1116" s="76" t="s">
        <v>928</v>
      </c>
      <c r="I1116" s="83"/>
      <c r="J1116" s="83"/>
      <c r="K1116" s="83"/>
      <c r="L1116" s="83"/>
      <c r="M1116" s="83"/>
      <c r="N1116" s="83"/>
      <c r="O1116" s="83"/>
      <c r="P1116" s="83"/>
      <c r="Q1116" s="83"/>
      <c r="R1116" s="83"/>
      <c r="S1116" s="83"/>
      <c r="T1116" s="83"/>
      <c r="U1116" s="83"/>
      <c r="V1116" s="83"/>
      <c r="W1116" s="83"/>
      <c r="X1116" s="83"/>
      <c r="Y1116" s="83"/>
      <c r="Z1116" s="83"/>
    </row>
    <row r="1117">
      <c r="A1117" s="75" t="s">
        <v>970</v>
      </c>
      <c r="B1117" s="75" t="s">
        <v>1008</v>
      </c>
      <c r="C1117" s="75">
        <v>2.89</v>
      </c>
      <c r="D1117" s="75">
        <v>2.0</v>
      </c>
      <c r="E1117" s="75">
        <v>1.44</v>
      </c>
      <c r="F1117" s="75" t="s">
        <v>925</v>
      </c>
      <c r="G1117" s="82">
        <v>46110.0</v>
      </c>
      <c r="H1117" s="76" t="s">
        <v>971</v>
      </c>
      <c r="I1117" s="83"/>
      <c r="J1117" s="83"/>
      <c r="K1117" s="83"/>
      <c r="L1117" s="83"/>
      <c r="M1117" s="83"/>
      <c r="N1117" s="83"/>
      <c r="O1117" s="83"/>
      <c r="P1117" s="83"/>
      <c r="Q1117" s="83"/>
      <c r="R1117" s="83"/>
      <c r="S1117" s="83"/>
      <c r="T1117" s="83"/>
      <c r="U1117" s="83"/>
      <c r="V1117" s="83"/>
      <c r="W1117" s="83"/>
      <c r="X1117" s="83"/>
      <c r="Y1117" s="83"/>
      <c r="Z1117" s="83"/>
    </row>
    <row r="1118">
      <c r="A1118" s="75" t="s">
        <v>970</v>
      </c>
      <c r="B1118" s="75" t="s">
        <v>1008</v>
      </c>
      <c r="C1118" s="75">
        <v>3.25</v>
      </c>
      <c r="D1118" s="75">
        <v>0.0</v>
      </c>
      <c r="E1118" s="75">
        <v>0.0</v>
      </c>
      <c r="F1118" s="75" t="s">
        <v>925</v>
      </c>
      <c r="G1118" s="82">
        <v>46110.0</v>
      </c>
      <c r="H1118" s="76" t="s">
        <v>972</v>
      </c>
      <c r="I1118" s="83"/>
      <c r="J1118" s="83"/>
      <c r="K1118" s="83"/>
      <c r="L1118" s="83"/>
      <c r="M1118" s="83"/>
      <c r="N1118" s="83"/>
      <c r="O1118" s="83"/>
      <c r="P1118" s="83"/>
      <c r="Q1118" s="83"/>
      <c r="R1118" s="83"/>
      <c r="S1118" s="83"/>
      <c r="T1118" s="83"/>
      <c r="U1118" s="83"/>
      <c r="V1118" s="83"/>
      <c r="W1118" s="83"/>
      <c r="X1118" s="83"/>
      <c r="Y1118" s="83"/>
      <c r="Z1118" s="83"/>
    </row>
    <row r="1119">
      <c r="A1119" s="75" t="s">
        <v>970</v>
      </c>
      <c r="B1119" s="75" t="s">
        <v>1008</v>
      </c>
      <c r="C1119" s="75">
        <v>9.6</v>
      </c>
      <c r="D1119" s="75">
        <v>5.0</v>
      </c>
      <c r="E1119" s="75">
        <v>1.92</v>
      </c>
      <c r="F1119" s="75" t="s">
        <v>925</v>
      </c>
      <c r="G1119" s="82">
        <v>46110.0</v>
      </c>
      <c r="H1119" s="76" t="s">
        <v>973</v>
      </c>
      <c r="I1119" s="83"/>
      <c r="J1119" s="83"/>
      <c r="K1119" s="83"/>
      <c r="L1119" s="83"/>
      <c r="M1119" s="83"/>
      <c r="N1119" s="83"/>
      <c r="O1119" s="83"/>
      <c r="P1119" s="83"/>
      <c r="Q1119" s="83"/>
      <c r="R1119" s="83"/>
      <c r="S1119" s="83"/>
      <c r="T1119" s="83"/>
      <c r="U1119" s="83"/>
      <c r="V1119" s="83"/>
      <c r="W1119" s="83"/>
      <c r="X1119" s="83"/>
      <c r="Y1119" s="83"/>
      <c r="Z1119" s="83"/>
    </row>
    <row r="1120">
      <c r="A1120" s="75" t="s">
        <v>34</v>
      </c>
      <c r="B1120" s="75" t="s">
        <v>1008</v>
      </c>
      <c r="C1120" s="75">
        <v>2.72</v>
      </c>
      <c r="D1120" s="75">
        <v>0.0</v>
      </c>
      <c r="E1120" s="75">
        <v>0.0</v>
      </c>
      <c r="F1120" s="75" t="s">
        <v>948</v>
      </c>
      <c r="G1120" s="82">
        <v>46110.0</v>
      </c>
      <c r="H1120" s="76" t="s">
        <v>951</v>
      </c>
      <c r="I1120" s="83"/>
      <c r="J1120" s="83"/>
      <c r="K1120" s="83"/>
      <c r="L1120" s="83"/>
      <c r="M1120" s="83"/>
      <c r="N1120" s="83"/>
      <c r="O1120" s="83"/>
      <c r="P1120" s="83"/>
      <c r="Q1120" s="83"/>
      <c r="R1120" s="83"/>
      <c r="S1120" s="83"/>
      <c r="T1120" s="83"/>
      <c r="U1120" s="83"/>
      <c r="V1120" s="83"/>
      <c r="W1120" s="83"/>
      <c r="X1120" s="83"/>
      <c r="Y1120" s="83"/>
      <c r="Z1120" s="83"/>
    </row>
    <row r="1121">
      <c r="A1121" s="75" t="s">
        <v>34</v>
      </c>
      <c r="B1121" s="75" t="s">
        <v>1008</v>
      </c>
      <c r="C1121" s="75">
        <v>3.62</v>
      </c>
      <c r="D1121" s="75">
        <v>0.0</v>
      </c>
      <c r="E1121" s="75">
        <v>0.0</v>
      </c>
      <c r="F1121" s="75" t="s">
        <v>948</v>
      </c>
      <c r="G1121" s="82">
        <v>46110.0</v>
      </c>
      <c r="H1121" s="76" t="s">
        <v>952</v>
      </c>
      <c r="I1121" s="83"/>
      <c r="J1121" s="83"/>
      <c r="K1121" s="83"/>
      <c r="L1121" s="83"/>
      <c r="M1121" s="83"/>
      <c r="N1121" s="83"/>
      <c r="O1121" s="83"/>
      <c r="P1121" s="83"/>
      <c r="Q1121" s="83"/>
      <c r="R1121" s="83"/>
      <c r="S1121" s="83"/>
      <c r="T1121" s="83"/>
      <c r="U1121" s="83"/>
      <c r="V1121" s="83"/>
      <c r="W1121" s="83"/>
      <c r="X1121" s="83"/>
      <c r="Y1121" s="83"/>
      <c r="Z1121" s="83"/>
    </row>
    <row r="1122">
      <c r="A1122" s="75" t="s">
        <v>34</v>
      </c>
      <c r="B1122" s="75" t="s">
        <v>1008</v>
      </c>
      <c r="C1122" s="75">
        <v>3.76</v>
      </c>
      <c r="D1122" s="75">
        <v>1.0</v>
      </c>
      <c r="E1122" s="75">
        <v>3.76</v>
      </c>
      <c r="F1122" s="75" t="s">
        <v>948</v>
      </c>
      <c r="G1122" s="82">
        <v>46110.0</v>
      </c>
      <c r="H1122" s="76" t="s">
        <v>953</v>
      </c>
      <c r="I1122" s="83"/>
      <c r="J1122" s="83"/>
      <c r="K1122" s="83"/>
      <c r="L1122" s="83"/>
      <c r="M1122" s="83"/>
      <c r="N1122" s="83"/>
      <c r="O1122" s="83"/>
      <c r="P1122" s="83"/>
      <c r="Q1122" s="83"/>
      <c r="R1122" s="83"/>
      <c r="S1122" s="83"/>
      <c r="T1122" s="83"/>
      <c r="U1122" s="83"/>
      <c r="V1122" s="83"/>
      <c r="W1122" s="83"/>
      <c r="X1122" s="83"/>
      <c r="Y1122" s="83"/>
      <c r="Z1122" s="83"/>
    </row>
    <row r="1123">
      <c r="A1123" s="75" t="s">
        <v>40</v>
      </c>
      <c r="B1123" s="75" t="s">
        <v>1008</v>
      </c>
      <c r="C1123" s="75">
        <v>2.05</v>
      </c>
      <c r="D1123" s="75">
        <v>0.0</v>
      </c>
      <c r="E1123" s="75">
        <v>0.0</v>
      </c>
      <c r="F1123" s="75" t="s">
        <v>948</v>
      </c>
      <c r="G1123" s="82">
        <v>46110.0</v>
      </c>
      <c r="H1123" s="76" t="s">
        <v>954</v>
      </c>
      <c r="I1123" s="83"/>
      <c r="J1123" s="83"/>
      <c r="K1123" s="83"/>
      <c r="L1123" s="83"/>
      <c r="M1123" s="83"/>
      <c r="N1123" s="83"/>
      <c r="O1123" s="83"/>
      <c r="P1123" s="83"/>
      <c r="Q1123" s="83"/>
      <c r="R1123" s="83"/>
      <c r="S1123" s="83"/>
      <c r="T1123" s="83"/>
      <c r="U1123" s="83"/>
      <c r="V1123" s="83"/>
      <c r="W1123" s="83"/>
      <c r="X1123" s="83"/>
      <c r="Y1123" s="83"/>
      <c r="Z1123" s="83"/>
    </row>
    <row r="1124">
      <c r="A1124" s="75" t="s">
        <v>40</v>
      </c>
      <c r="B1124" s="75" t="s">
        <v>1008</v>
      </c>
      <c r="C1124" s="75">
        <v>1.91</v>
      </c>
      <c r="D1124" s="75">
        <v>0.0</v>
      </c>
      <c r="E1124" s="75">
        <v>0.0</v>
      </c>
      <c r="F1124" s="75" t="s">
        <v>948</v>
      </c>
      <c r="G1124" s="82">
        <v>46110.0</v>
      </c>
      <c r="H1124" s="76" t="s">
        <v>955</v>
      </c>
      <c r="I1124" s="83"/>
      <c r="J1124" s="83"/>
      <c r="K1124" s="83"/>
      <c r="L1124" s="83"/>
      <c r="M1124" s="83"/>
      <c r="N1124" s="83"/>
      <c r="O1124" s="83"/>
      <c r="P1124" s="83"/>
      <c r="Q1124" s="83"/>
      <c r="R1124" s="83"/>
      <c r="S1124" s="83"/>
      <c r="T1124" s="83"/>
      <c r="U1124" s="83"/>
      <c r="V1124" s="83"/>
      <c r="W1124" s="83"/>
      <c r="X1124" s="83"/>
      <c r="Y1124" s="83"/>
      <c r="Z1124" s="83"/>
    </row>
    <row r="1125">
      <c r="A1125" s="75" t="s">
        <v>40</v>
      </c>
      <c r="B1125" s="75" t="s">
        <v>1008</v>
      </c>
      <c r="C1125" s="75">
        <v>13.51</v>
      </c>
      <c r="D1125" s="75">
        <v>1.0</v>
      </c>
      <c r="E1125" s="75">
        <v>13.51</v>
      </c>
      <c r="F1125" s="75" t="s">
        <v>948</v>
      </c>
      <c r="G1125" s="82">
        <v>46110.0</v>
      </c>
      <c r="H1125" s="76" t="s">
        <v>956</v>
      </c>
      <c r="I1125" s="83"/>
      <c r="J1125" s="83"/>
      <c r="K1125" s="83"/>
      <c r="L1125" s="83"/>
      <c r="M1125" s="83"/>
      <c r="N1125" s="83"/>
      <c r="O1125" s="83"/>
      <c r="P1125" s="83"/>
      <c r="Q1125" s="83"/>
      <c r="R1125" s="83"/>
      <c r="S1125" s="83"/>
      <c r="T1125" s="83"/>
      <c r="U1125" s="83"/>
      <c r="V1125" s="83"/>
      <c r="W1125" s="83"/>
      <c r="X1125" s="83"/>
      <c r="Y1125" s="83"/>
      <c r="Z1125" s="83"/>
    </row>
    <row r="1126">
      <c r="A1126" s="75" t="s">
        <v>33</v>
      </c>
      <c r="B1126" s="75" t="s">
        <v>1008</v>
      </c>
      <c r="C1126" s="75">
        <v>5.5</v>
      </c>
      <c r="D1126" s="75">
        <v>0.0</v>
      </c>
      <c r="E1126" s="75">
        <v>0.0</v>
      </c>
      <c r="F1126" s="75" t="s">
        <v>948</v>
      </c>
      <c r="G1126" s="82">
        <v>46110.0</v>
      </c>
      <c r="H1126" s="76" t="s">
        <v>957</v>
      </c>
      <c r="I1126" s="83"/>
      <c r="J1126" s="83"/>
      <c r="K1126" s="83"/>
      <c r="L1126" s="83"/>
      <c r="M1126" s="83"/>
      <c r="N1126" s="83"/>
      <c r="O1126" s="83"/>
      <c r="P1126" s="83"/>
      <c r="Q1126" s="83"/>
      <c r="R1126" s="83"/>
      <c r="S1126" s="83"/>
      <c r="T1126" s="83"/>
      <c r="U1126" s="83"/>
      <c r="V1126" s="83"/>
      <c r="W1126" s="83"/>
      <c r="X1126" s="83"/>
      <c r="Y1126" s="83"/>
      <c r="Z1126" s="83"/>
    </row>
    <row r="1127">
      <c r="A1127" s="75" t="s">
        <v>33</v>
      </c>
      <c r="B1127" s="75" t="s">
        <v>1008</v>
      </c>
      <c r="C1127" s="75">
        <v>1.22</v>
      </c>
      <c r="D1127" s="75">
        <v>0.0</v>
      </c>
      <c r="E1127" s="75">
        <v>0.0</v>
      </c>
      <c r="F1127" s="75" t="s">
        <v>948</v>
      </c>
      <c r="G1127" s="82">
        <v>46110.0</v>
      </c>
      <c r="H1127" s="76" t="s">
        <v>958</v>
      </c>
      <c r="I1127" s="83"/>
      <c r="J1127" s="83"/>
      <c r="K1127" s="83"/>
      <c r="L1127" s="83"/>
      <c r="M1127" s="83"/>
      <c r="N1127" s="83"/>
      <c r="O1127" s="83"/>
      <c r="P1127" s="83"/>
      <c r="Q1127" s="83"/>
      <c r="R1127" s="83"/>
      <c r="S1127" s="83"/>
      <c r="T1127" s="83"/>
      <c r="U1127" s="83"/>
      <c r="V1127" s="83"/>
      <c r="W1127" s="83"/>
      <c r="X1127" s="83"/>
      <c r="Y1127" s="83"/>
      <c r="Z1127" s="83"/>
    </row>
    <row r="1128">
      <c r="A1128" s="75" t="s">
        <v>33</v>
      </c>
      <c r="B1128" s="75" t="s">
        <v>1008</v>
      </c>
      <c r="C1128" s="75">
        <v>3.49</v>
      </c>
      <c r="D1128" s="75">
        <v>2.0</v>
      </c>
      <c r="E1128" s="75">
        <v>1.75</v>
      </c>
      <c r="F1128" s="75" t="s">
        <v>948</v>
      </c>
      <c r="G1128" s="82">
        <v>46110.0</v>
      </c>
      <c r="H1128" s="76" t="s">
        <v>959</v>
      </c>
      <c r="I1128" s="83"/>
      <c r="J1128" s="83"/>
      <c r="K1128" s="83"/>
      <c r="L1128" s="83"/>
      <c r="M1128" s="83"/>
      <c r="N1128" s="83"/>
      <c r="O1128" s="83"/>
      <c r="P1128" s="83"/>
      <c r="Q1128" s="83"/>
      <c r="R1128" s="83"/>
      <c r="S1128" s="83"/>
      <c r="T1128" s="83"/>
      <c r="U1128" s="83"/>
      <c r="V1128" s="83"/>
      <c r="W1128" s="83"/>
      <c r="X1128" s="83"/>
      <c r="Y1128" s="83"/>
      <c r="Z1128" s="83"/>
    </row>
    <row r="1129">
      <c r="A1129" s="75" t="s">
        <v>46</v>
      </c>
      <c r="B1129" s="75" t="s">
        <v>1008</v>
      </c>
      <c r="C1129" s="75">
        <v>2.25</v>
      </c>
      <c r="D1129" s="75">
        <v>1.0</v>
      </c>
      <c r="E1129" s="75">
        <v>2.25</v>
      </c>
      <c r="F1129" s="75" t="s">
        <v>948</v>
      </c>
      <c r="G1129" s="82">
        <v>46110.0</v>
      </c>
      <c r="H1129" s="76" t="s">
        <v>960</v>
      </c>
      <c r="I1129" s="83"/>
      <c r="J1129" s="83"/>
      <c r="K1129" s="83"/>
      <c r="L1129" s="83"/>
      <c r="M1129" s="83"/>
      <c r="N1129" s="83"/>
      <c r="O1129" s="83"/>
      <c r="P1129" s="83"/>
      <c r="Q1129" s="83"/>
      <c r="R1129" s="83"/>
      <c r="S1129" s="83"/>
      <c r="T1129" s="83"/>
      <c r="U1129" s="83"/>
      <c r="V1129" s="83"/>
      <c r="W1129" s="83"/>
      <c r="X1129" s="83"/>
      <c r="Y1129" s="83"/>
      <c r="Z1129" s="83"/>
    </row>
    <row r="1130">
      <c r="A1130" s="75" t="s">
        <v>46</v>
      </c>
      <c r="B1130" s="75" t="s">
        <v>1008</v>
      </c>
      <c r="C1130" s="75">
        <v>3.82</v>
      </c>
      <c r="D1130" s="75">
        <v>1.0</v>
      </c>
      <c r="E1130" s="75">
        <v>3.82</v>
      </c>
      <c r="F1130" s="75" t="s">
        <v>948</v>
      </c>
      <c r="G1130" s="82">
        <v>46110.0</v>
      </c>
      <c r="H1130" s="76" t="s">
        <v>961</v>
      </c>
      <c r="I1130" s="83"/>
      <c r="J1130" s="83"/>
      <c r="K1130" s="83"/>
      <c r="L1130" s="83"/>
      <c r="M1130" s="83"/>
      <c r="N1130" s="83"/>
      <c r="O1130" s="83"/>
      <c r="P1130" s="83"/>
      <c r="Q1130" s="83"/>
      <c r="R1130" s="83"/>
      <c r="S1130" s="83"/>
      <c r="T1130" s="83"/>
      <c r="U1130" s="83"/>
      <c r="V1130" s="83"/>
      <c r="W1130" s="83"/>
      <c r="X1130" s="83"/>
      <c r="Y1130" s="83"/>
      <c r="Z1130" s="83"/>
    </row>
    <row r="1131">
      <c r="A1131" s="75" t="s">
        <v>46</v>
      </c>
      <c r="B1131" s="75" t="s">
        <v>1008</v>
      </c>
      <c r="C1131" s="75">
        <v>4.16</v>
      </c>
      <c r="D1131" s="75">
        <v>0.0</v>
      </c>
      <c r="E1131" s="75">
        <v>0.0</v>
      </c>
      <c r="F1131" s="75" t="s">
        <v>948</v>
      </c>
      <c r="G1131" s="82">
        <v>46110.0</v>
      </c>
      <c r="H1131" s="76" t="s">
        <v>962</v>
      </c>
      <c r="I1131" s="83"/>
      <c r="J1131" s="83"/>
      <c r="K1131" s="83"/>
      <c r="L1131" s="83"/>
      <c r="M1131" s="83"/>
      <c r="N1131" s="83"/>
      <c r="O1131" s="83"/>
      <c r="P1131" s="83"/>
      <c r="Q1131" s="83"/>
      <c r="R1131" s="83"/>
      <c r="S1131" s="83"/>
      <c r="T1131" s="83"/>
      <c r="U1131" s="83"/>
      <c r="V1131" s="83"/>
      <c r="W1131" s="83"/>
      <c r="X1131" s="83"/>
      <c r="Y1131" s="83"/>
      <c r="Z1131" s="83"/>
    </row>
    <row r="1132">
      <c r="A1132" s="75" t="s">
        <v>43</v>
      </c>
      <c r="B1132" s="75" t="s">
        <v>1008</v>
      </c>
      <c r="C1132" s="75">
        <v>6.69</v>
      </c>
      <c r="D1132" s="75">
        <v>0.0</v>
      </c>
      <c r="E1132" s="75">
        <v>0.0</v>
      </c>
      <c r="F1132" s="75" t="s">
        <v>948</v>
      </c>
      <c r="G1132" s="82">
        <v>46110.0</v>
      </c>
      <c r="H1132" s="76" t="s">
        <v>963</v>
      </c>
      <c r="I1132" s="83"/>
      <c r="J1132" s="83"/>
      <c r="K1132" s="83"/>
      <c r="L1132" s="83"/>
      <c r="M1132" s="83"/>
      <c r="N1132" s="83"/>
      <c r="O1132" s="83"/>
      <c r="P1132" s="83"/>
      <c r="Q1132" s="83"/>
      <c r="R1132" s="83"/>
      <c r="S1132" s="83"/>
      <c r="T1132" s="83"/>
      <c r="U1132" s="83"/>
      <c r="V1132" s="83"/>
      <c r="W1132" s="83"/>
      <c r="X1132" s="83"/>
      <c r="Y1132" s="83"/>
      <c r="Z1132" s="83"/>
    </row>
    <row r="1133">
      <c r="A1133" s="75" t="s">
        <v>43</v>
      </c>
      <c r="B1133" s="75" t="s">
        <v>1008</v>
      </c>
      <c r="C1133" s="75">
        <v>2.51</v>
      </c>
      <c r="D1133" s="75">
        <v>1.0</v>
      </c>
      <c r="E1133" s="75">
        <v>2.51</v>
      </c>
      <c r="F1133" s="75" t="s">
        <v>948</v>
      </c>
      <c r="G1133" s="82">
        <v>46110.0</v>
      </c>
      <c r="H1133" s="76" t="s">
        <v>964</v>
      </c>
      <c r="I1133" s="83"/>
      <c r="J1133" s="83"/>
      <c r="K1133" s="83"/>
      <c r="L1133" s="83"/>
      <c r="M1133" s="83"/>
      <c r="N1133" s="83"/>
      <c r="O1133" s="83"/>
      <c r="P1133" s="83"/>
      <c r="Q1133" s="83"/>
      <c r="R1133" s="83"/>
      <c r="S1133" s="83"/>
      <c r="T1133" s="83"/>
      <c r="U1133" s="83"/>
      <c r="V1133" s="83"/>
      <c r="W1133" s="83"/>
      <c r="X1133" s="83"/>
      <c r="Y1133" s="83"/>
      <c r="Z1133" s="83"/>
    </row>
    <row r="1134">
      <c r="A1134" s="75" t="s">
        <v>43</v>
      </c>
      <c r="B1134" s="75" t="s">
        <v>1008</v>
      </c>
      <c r="C1134" s="75">
        <v>12.09</v>
      </c>
      <c r="D1134" s="75">
        <v>2.0</v>
      </c>
      <c r="E1134" s="75">
        <v>6.04</v>
      </c>
      <c r="F1134" s="75" t="s">
        <v>948</v>
      </c>
      <c r="G1134" s="82">
        <v>46110.0</v>
      </c>
      <c r="H1134" s="76" t="s">
        <v>965</v>
      </c>
      <c r="I1134" s="83"/>
      <c r="J1134" s="83"/>
      <c r="K1134" s="83"/>
      <c r="L1134" s="83"/>
      <c r="M1134" s="83"/>
      <c r="N1134" s="83"/>
      <c r="O1134" s="83"/>
      <c r="P1134" s="83"/>
      <c r="Q1134" s="83"/>
      <c r="R1134" s="83"/>
      <c r="S1134" s="83"/>
      <c r="T1134" s="83"/>
      <c r="U1134" s="83"/>
      <c r="V1134" s="83"/>
      <c r="W1134" s="83"/>
      <c r="X1134" s="83"/>
      <c r="Y1134" s="83"/>
      <c r="Z1134" s="83"/>
    </row>
    <row r="1135">
      <c r="A1135" s="75" t="s">
        <v>966</v>
      </c>
      <c r="B1135" s="75" t="s">
        <v>1008</v>
      </c>
      <c r="C1135" s="75">
        <v>5.99</v>
      </c>
      <c r="D1135" s="75">
        <v>1.0</v>
      </c>
      <c r="E1135" s="75">
        <v>5.99</v>
      </c>
      <c r="F1135" s="75" t="s">
        <v>948</v>
      </c>
      <c r="G1135" s="82">
        <v>46110.0</v>
      </c>
      <c r="H1135" s="76" t="s">
        <v>967</v>
      </c>
      <c r="I1135" s="83"/>
      <c r="J1135" s="83"/>
      <c r="K1135" s="83"/>
      <c r="L1135" s="83"/>
      <c r="M1135" s="83"/>
      <c r="N1135" s="83"/>
      <c r="O1135" s="83"/>
      <c r="P1135" s="83"/>
      <c r="Q1135" s="83"/>
      <c r="R1135" s="83"/>
      <c r="S1135" s="83"/>
      <c r="T1135" s="83"/>
      <c r="U1135" s="83"/>
      <c r="V1135" s="83"/>
      <c r="W1135" s="83"/>
      <c r="X1135" s="83"/>
      <c r="Y1135" s="83"/>
      <c r="Z1135" s="83"/>
    </row>
    <row r="1136">
      <c r="A1136" s="75" t="s">
        <v>966</v>
      </c>
      <c r="B1136" s="75" t="s">
        <v>1008</v>
      </c>
      <c r="C1136" s="75">
        <v>3.22</v>
      </c>
      <c r="D1136" s="75">
        <v>0.0</v>
      </c>
      <c r="E1136" s="75">
        <v>0.0</v>
      </c>
      <c r="F1136" s="75" t="s">
        <v>948</v>
      </c>
      <c r="G1136" s="82">
        <v>46110.0</v>
      </c>
      <c r="H1136" s="76" t="s">
        <v>968</v>
      </c>
      <c r="I1136" s="83"/>
      <c r="J1136" s="83"/>
      <c r="K1136" s="83"/>
      <c r="L1136" s="83"/>
      <c r="M1136" s="83"/>
      <c r="N1136" s="83"/>
      <c r="O1136" s="83"/>
      <c r="P1136" s="83"/>
      <c r="Q1136" s="83"/>
      <c r="R1136" s="83"/>
      <c r="S1136" s="83"/>
      <c r="T1136" s="83"/>
      <c r="U1136" s="83"/>
      <c r="V1136" s="83"/>
      <c r="W1136" s="83"/>
      <c r="X1136" s="83"/>
      <c r="Y1136" s="83"/>
      <c r="Z1136" s="83"/>
    </row>
    <row r="1137">
      <c r="A1137" s="75" t="s">
        <v>966</v>
      </c>
      <c r="B1137" s="75" t="s">
        <v>1008</v>
      </c>
      <c r="C1137" s="75">
        <v>1.76</v>
      </c>
      <c r="D1137" s="75">
        <v>0.0</v>
      </c>
      <c r="E1137" s="75">
        <v>0.0</v>
      </c>
      <c r="F1137" s="75" t="s">
        <v>948</v>
      </c>
      <c r="G1137" s="82">
        <v>46110.0</v>
      </c>
      <c r="H1137" s="76" t="s">
        <v>969</v>
      </c>
      <c r="I1137" s="83"/>
      <c r="J1137" s="83"/>
      <c r="K1137" s="83"/>
      <c r="L1137" s="83"/>
      <c r="M1137" s="83"/>
      <c r="N1137" s="83"/>
      <c r="O1137" s="83"/>
      <c r="P1137" s="83"/>
      <c r="Q1137" s="83"/>
      <c r="R1137" s="83"/>
      <c r="S1137" s="83"/>
      <c r="T1137" s="83"/>
      <c r="U1137" s="83"/>
      <c r="V1137" s="83"/>
      <c r="W1137" s="83"/>
      <c r="X1137" s="83"/>
      <c r="Y1137" s="83"/>
      <c r="Z1137" s="83"/>
    </row>
    <row r="1138">
      <c r="A1138" s="75" t="s">
        <v>36</v>
      </c>
      <c r="B1138" s="75" t="s">
        <v>1008</v>
      </c>
      <c r="C1138" s="75">
        <v>7.4</v>
      </c>
      <c r="D1138" s="75">
        <v>2.0</v>
      </c>
      <c r="E1138" s="75">
        <v>3.7</v>
      </c>
      <c r="F1138" s="75" t="s">
        <v>948</v>
      </c>
      <c r="G1138" s="82">
        <v>46110.0</v>
      </c>
      <c r="H1138" s="76" t="s">
        <v>926</v>
      </c>
      <c r="I1138" s="83"/>
      <c r="J1138" s="83"/>
      <c r="K1138" s="83"/>
      <c r="L1138" s="83"/>
      <c r="M1138" s="83"/>
      <c r="N1138" s="83"/>
      <c r="O1138" s="83"/>
      <c r="P1138" s="83"/>
      <c r="Q1138" s="83"/>
      <c r="R1138" s="83"/>
      <c r="S1138" s="83"/>
      <c r="T1138" s="83"/>
      <c r="U1138" s="83"/>
      <c r="V1138" s="83"/>
      <c r="W1138" s="83"/>
      <c r="X1138" s="83"/>
      <c r="Y1138" s="83"/>
      <c r="Z1138" s="83"/>
    </row>
    <row r="1139">
      <c r="A1139" s="75" t="s">
        <v>36</v>
      </c>
      <c r="B1139" s="75" t="s">
        <v>1008</v>
      </c>
      <c r="C1139" s="75">
        <v>2.41</v>
      </c>
      <c r="D1139" s="75">
        <v>0.0</v>
      </c>
      <c r="E1139" s="75">
        <v>0.0</v>
      </c>
      <c r="F1139" s="75" t="s">
        <v>948</v>
      </c>
      <c r="G1139" s="82">
        <v>46110.0</v>
      </c>
      <c r="H1139" s="76" t="s">
        <v>927</v>
      </c>
      <c r="I1139" s="83"/>
      <c r="J1139" s="83"/>
      <c r="K1139" s="83"/>
      <c r="L1139" s="83"/>
      <c r="M1139" s="83"/>
      <c r="N1139" s="83"/>
      <c r="O1139" s="83"/>
      <c r="P1139" s="83"/>
      <c r="Q1139" s="83"/>
      <c r="R1139" s="83"/>
      <c r="S1139" s="83"/>
      <c r="T1139" s="83"/>
      <c r="U1139" s="83"/>
      <c r="V1139" s="83"/>
      <c r="W1139" s="83"/>
      <c r="X1139" s="83"/>
      <c r="Y1139" s="83"/>
      <c r="Z1139" s="83"/>
    </row>
    <row r="1140">
      <c r="A1140" s="75" t="s">
        <v>36</v>
      </c>
      <c r="B1140" s="75" t="s">
        <v>1008</v>
      </c>
      <c r="C1140" s="75">
        <v>2.58</v>
      </c>
      <c r="D1140" s="75">
        <v>0.0</v>
      </c>
      <c r="E1140" s="75">
        <v>0.0</v>
      </c>
      <c r="F1140" s="75" t="s">
        <v>948</v>
      </c>
      <c r="G1140" s="82">
        <v>46110.0</v>
      </c>
      <c r="H1140" s="76" t="s">
        <v>928</v>
      </c>
      <c r="I1140" s="83"/>
      <c r="J1140" s="83"/>
      <c r="K1140" s="83"/>
      <c r="L1140" s="83"/>
      <c r="M1140" s="83"/>
      <c r="N1140" s="83"/>
      <c r="O1140" s="83"/>
      <c r="P1140" s="83"/>
      <c r="Q1140" s="83"/>
      <c r="R1140" s="83"/>
      <c r="S1140" s="83"/>
      <c r="T1140" s="83"/>
      <c r="U1140" s="83"/>
      <c r="V1140" s="83"/>
      <c r="W1140" s="83"/>
      <c r="X1140" s="83"/>
      <c r="Y1140" s="83"/>
      <c r="Z1140" s="83"/>
    </row>
    <row r="1141">
      <c r="A1141" s="75" t="s">
        <v>970</v>
      </c>
      <c r="B1141" s="75" t="s">
        <v>1008</v>
      </c>
      <c r="C1141" s="75">
        <v>1.93</v>
      </c>
      <c r="D1141" s="75">
        <v>3.0</v>
      </c>
      <c r="E1141" s="75">
        <v>0.64</v>
      </c>
      <c r="F1141" s="75" t="s">
        <v>948</v>
      </c>
      <c r="G1141" s="82">
        <v>46110.0</v>
      </c>
      <c r="H1141" s="76" t="s">
        <v>971</v>
      </c>
      <c r="I1141" s="83"/>
      <c r="J1141" s="83"/>
      <c r="K1141" s="83"/>
      <c r="L1141" s="83"/>
      <c r="M1141" s="83"/>
      <c r="N1141" s="83"/>
      <c r="O1141" s="83"/>
      <c r="P1141" s="83"/>
      <c r="Q1141" s="83"/>
      <c r="R1141" s="83"/>
      <c r="S1141" s="83"/>
      <c r="T1141" s="83"/>
      <c r="U1141" s="83"/>
      <c r="V1141" s="83"/>
      <c r="W1141" s="83"/>
      <c r="X1141" s="83"/>
      <c r="Y1141" s="83"/>
      <c r="Z1141" s="83"/>
    </row>
    <row r="1142">
      <c r="A1142" s="75" t="s">
        <v>970</v>
      </c>
      <c r="B1142" s="75" t="s">
        <v>1008</v>
      </c>
      <c r="C1142" s="75">
        <v>2.49</v>
      </c>
      <c r="D1142" s="75">
        <v>0.0</v>
      </c>
      <c r="E1142" s="75">
        <v>0.0</v>
      </c>
      <c r="F1142" s="75" t="s">
        <v>948</v>
      </c>
      <c r="G1142" s="82">
        <v>46110.0</v>
      </c>
      <c r="H1142" s="76" t="s">
        <v>972</v>
      </c>
      <c r="I1142" s="83"/>
      <c r="J1142" s="83"/>
      <c r="K1142" s="83"/>
      <c r="L1142" s="83"/>
      <c r="M1142" s="83"/>
      <c r="N1142" s="83"/>
      <c r="O1142" s="83"/>
      <c r="P1142" s="83"/>
      <c r="Q1142" s="83"/>
      <c r="R1142" s="83"/>
      <c r="S1142" s="83"/>
      <c r="T1142" s="83"/>
      <c r="U1142" s="83"/>
      <c r="V1142" s="83"/>
      <c r="W1142" s="83"/>
      <c r="X1142" s="83"/>
      <c r="Y1142" s="83"/>
      <c r="Z1142" s="83"/>
    </row>
    <row r="1143">
      <c r="A1143" s="75" t="s">
        <v>970</v>
      </c>
      <c r="B1143" s="75" t="s">
        <v>1008</v>
      </c>
      <c r="C1143" s="75">
        <v>5.58</v>
      </c>
      <c r="D1143" s="75">
        <v>2.0</v>
      </c>
      <c r="E1143" s="75">
        <v>2.79</v>
      </c>
      <c r="F1143" s="75" t="s">
        <v>948</v>
      </c>
      <c r="G1143" s="82">
        <v>46110.0</v>
      </c>
      <c r="H1143" s="76" t="s">
        <v>973</v>
      </c>
      <c r="I1143" s="83"/>
      <c r="J1143" s="83"/>
      <c r="K1143" s="83"/>
      <c r="L1143" s="83"/>
      <c r="M1143" s="83"/>
      <c r="N1143" s="83"/>
      <c r="O1143" s="83"/>
      <c r="P1143" s="83"/>
      <c r="Q1143" s="83"/>
      <c r="R1143" s="83"/>
      <c r="S1143" s="83"/>
      <c r="T1143" s="83"/>
      <c r="U1143" s="83"/>
      <c r="V1143" s="83"/>
      <c r="W1143" s="83"/>
      <c r="X1143" s="83"/>
      <c r="Y1143" s="83"/>
      <c r="Z1143" s="83"/>
    </row>
    <row r="1144">
      <c r="A1144" s="75" t="s">
        <v>36</v>
      </c>
      <c r="B1144" s="75" t="s">
        <v>1009</v>
      </c>
      <c r="C1144" s="75">
        <v>14.67</v>
      </c>
      <c r="D1144" s="75">
        <v>0.0</v>
      </c>
      <c r="E1144" s="75">
        <v>0.0</v>
      </c>
      <c r="F1144" s="75" t="s">
        <v>950</v>
      </c>
      <c r="G1144" s="82">
        <v>46110.0</v>
      </c>
      <c r="H1144" s="76" t="s">
        <v>926</v>
      </c>
      <c r="I1144" s="83"/>
      <c r="J1144" s="83"/>
      <c r="K1144" s="83"/>
      <c r="L1144" s="83"/>
      <c r="M1144" s="83"/>
      <c r="N1144" s="83"/>
      <c r="O1144" s="83"/>
      <c r="P1144" s="83"/>
      <c r="Q1144" s="83"/>
      <c r="R1144" s="83"/>
      <c r="S1144" s="83"/>
      <c r="T1144" s="83"/>
      <c r="U1144" s="83"/>
      <c r="V1144" s="83"/>
      <c r="W1144" s="83"/>
      <c r="X1144" s="83"/>
      <c r="Y1144" s="83"/>
      <c r="Z1144" s="83"/>
    </row>
    <row r="1145">
      <c r="A1145" s="75" t="s">
        <v>36</v>
      </c>
      <c r="B1145" s="75" t="s">
        <v>1009</v>
      </c>
      <c r="C1145" s="75">
        <v>2.63</v>
      </c>
      <c r="D1145" s="75">
        <v>1.0</v>
      </c>
      <c r="E1145" s="75">
        <v>2.63</v>
      </c>
      <c r="F1145" s="75" t="s">
        <v>950</v>
      </c>
      <c r="G1145" s="82">
        <v>46110.0</v>
      </c>
      <c r="H1145" s="76" t="s">
        <v>927</v>
      </c>
      <c r="I1145" s="83"/>
      <c r="J1145" s="83"/>
      <c r="K1145" s="83"/>
      <c r="L1145" s="83"/>
      <c r="M1145" s="83"/>
      <c r="N1145" s="83"/>
      <c r="O1145" s="83"/>
      <c r="P1145" s="83"/>
      <c r="Q1145" s="83"/>
      <c r="R1145" s="83"/>
      <c r="S1145" s="83"/>
      <c r="T1145" s="83"/>
      <c r="U1145" s="83"/>
      <c r="V1145" s="83"/>
      <c r="W1145" s="83"/>
      <c r="X1145" s="83"/>
      <c r="Y1145" s="83"/>
      <c r="Z1145" s="83"/>
    </row>
    <row r="1146">
      <c r="A1146" s="75" t="s">
        <v>36</v>
      </c>
      <c r="B1146" s="75" t="s">
        <v>1009</v>
      </c>
      <c r="C1146" s="75">
        <v>2.47</v>
      </c>
      <c r="D1146" s="75">
        <v>1.0</v>
      </c>
      <c r="E1146" s="75">
        <v>2.47</v>
      </c>
      <c r="F1146" s="75" t="s">
        <v>950</v>
      </c>
      <c r="G1146" s="82">
        <v>46110.0</v>
      </c>
      <c r="H1146" s="76" t="s">
        <v>928</v>
      </c>
      <c r="I1146" s="83"/>
      <c r="J1146" s="83"/>
      <c r="K1146" s="83"/>
      <c r="L1146" s="83"/>
      <c r="M1146" s="83"/>
      <c r="N1146" s="83"/>
      <c r="O1146" s="83"/>
      <c r="P1146" s="83"/>
      <c r="Q1146" s="83"/>
      <c r="R1146" s="83"/>
      <c r="S1146" s="83"/>
      <c r="T1146" s="83"/>
      <c r="U1146" s="83"/>
      <c r="V1146" s="83"/>
      <c r="W1146" s="83"/>
      <c r="X1146" s="83"/>
      <c r="Y1146" s="83"/>
      <c r="Z1146" s="83"/>
    </row>
    <row r="1147">
      <c r="A1147" s="75" t="s">
        <v>31</v>
      </c>
      <c r="B1147" s="75" t="s">
        <v>1009</v>
      </c>
      <c r="C1147" s="75">
        <v>4.22</v>
      </c>
      <c r="D1147" s="75">
        <v>0.0</v>
      </c>
      <c r="E1147" s="75">
        <v>0.0</v>
      </c>
      <c r="F1147" s="75" t="s">
        <v>950</v>
      </c>
      <c r="G1147" s="82">
        <v>46110.0</v>
      </c>
      <c r="H1147" s="76" t="s">
        <v>929</v>
      </c>
      <c r="I1147" s="83"/>
      <c r="J1147" s="83"/>
      <c r="K1147" s="83"/>
      <c r="L1147" s="83"/>
      <c r="M1147" s="83"/>
      <c r="N1147" s="83"/>
      <c r="O1147" s="83"/>
      <c r="P1147" s="83"/>
      <c r="Q1147" s="83"/>
      <c r="R1147" s="83"/>
      <c r="S1147" s="83"/>
      <c r="T1147" s="83"/>
      <c r="U1147" s="83"/>
      <c r="V1147" s="83"/>
      <c r="W1147" s="83"/>
      <c r="X1147" s="83"/>
      <c r="Y1147" s="83"/>
      <c r="Z1147" s="83"/>
    </row>
    <row r="1148">
      <c r="A1148" s="75" t="s">
        <v>31</v>
      </c>
      <c r="B1148" s="75" t="s">
        <v>1009</v>
      </c>
      <c r="C1148" s="75">
        <v>36.99</v>
      </c>
      <c r="D1148" s="75">
        <v>2.0</v>
      </c>
      <c r="E1148" s="75">
        <v>18.49</v>
      </c>
      <c r="F1148" s="75" t="s">
        <v>950</v>
      </c>
      <c r="G1148" s="82">
        <v>46110.0</v>
      </c>
      <c r="H1148" s="76" t="s">
        <v>930</v>
      </c>
      <c r="I1148" s="83"/>
      <c r="J1148" s="83"/>
      <c r="K1148" s="83"/>
      <c r="L1148" s="83"/>
      <c r="M1148" s="83"/>
      <c r="N1148" s="83"/>
      <c r="O1148" s="83"/>
      <c r="P1148" s="83"/>
      <c r="Q1148" s="83"/>
      <c r="R1148" s="83"/>
      <c r="S1148" s="83"/>
      <c r="T1148" s="83"/>
      <c r="U1148" s="83"/>
      <c r="V1148" s="83"/>
      <c r="W1148" s="83"/>
      <c r="X1148" s="83"/>
      <c r="Y1148" s="83"/>
      <c r="Z1148" s="83"/>
    </row>
    <row r="1149">
      <c r="A1149" s="75" t="s">
        <v>28</v>
      </c>
      <c r="B1149" s="75" t="s">
        <v>1009</v>
      </c>
      <c r="C1149" s="75">
        <v>2.23</v>
      </c>
      <c r="D1149" s="75">
        <v>0.0</v>
      </c>
      <c r="E1149" s="75">
        <v>0.0</v>
      </c>
      <c r="F1149" s="75" t="s">
        <v>950</v>
      </c>
      <c r="G1149" s="82">
        <v>46110.0</v>
      </c>
      <c r="H1149" s="76" t="s">
        <v>931</v>
      </c>
      <c r="I1149" s="83"/>
      <c r="J1149" s="83"/>
      <c r="K1149" s="83"/>
      <c r="L1149" s="83"/>
      <c r="M1149" s="83"/>
      <c r="N1149" s="83"/>
      <c r="O1149" s="83"/>
      <c r="P1149" s="83"/>
      <c r="Q1149" s="83"/>
      <c r="R1149" s="83"/>
      <c r="S1149" s="83"/>
      <c r="T1149" s="83"/>
      <c r="U1149" s="83"/>
      <c r="V1149" s="83"/>
      <c r="W1149" s="83"/>
      <c r="X1149" s="83"/>
      <c r="Y1149" s="83"/>
      <c r="Z1149" s="83"/>
    </row>
    <row r="1150">
      <c r="A1150" s="75" t="s">
        <v>28</v>
      </c>
      <c r="B1150" s="75" t="s">
        <v>1009</v>
      </c>
      <c r="C1150" s="75">
        <v>2.14</v>
      </c>
      <c r="D1150" s="75">
        <v>1.0</v>
      </c>
      <c r="E1150" s="75">
        <v>2.14</v>
      </c>
      <c r="F1150" s="75" t="s">
        <v>950</v>
      </c>
      <c r="G1150" s="82">
        <v>46110.0</v>
      </c>
      <c r="H1150" s="76" t="s">
        <v>932</v>
      </c>
      <c r="I1150" s="83"/>
      <c r="J1150" s="83"/>
      <c r="K1150" s="83"/>
      <c r="L1150" s="83"/>
      <c r="M1150" s="83"/>
      <c r="N1150" s="83"/>
      <c r="O1150" s="83"/>
      <c r="P1150" s="83"/>
      <c r="Q1150" s="83"/>
      <c r="R1150" s="83"/>
      <c r="S1150" s="83"/>
      <c r="T1150" s="83"/>
      <c r="U1150" s="83"/>
      <c r="V1150" s="83"/>
      <c r="W1150" s="83"/>
      <c r="X1150" s="83"/>
      <c r="Y1150" s="83"/>
      <c r="Z1150" s="83"/>
    </row>
    <row r="1151">
      <c r="A1151" s="75" t="s">
        <v>28</v>
      </c>
      <c r="B1151" s="75" t="s">
        <v>1009</v>
      </c>
      <c r="C1151" s="75">
        <v>13.61</v>
      </c>
      <c r="D1151" s="75">
        <v>1.0</v>
      </c>
      <c r="E1151" s="75">
        <v>13.61</v>
      </c>
      <c r="F1151" s="75" t="s">
        <v>950</v>
      </c>
      <c r="G1151" s="82">
        <v>46110.0</v>
      </c>
      <c r="H1151" s="76" t="s">
        <v>933</v>
      </c>
      <c r="I1151" s="83"/>
      <c r="J1151" s="83"/>
      <c r="K1151" s="83"/>
      <c r="L1151" s="83"/>
      <c r="M1151" s="83"/>
      <c r="N1151" s="83"/>
      <c r="O1151" s="83"/>
      <c r="P1151" s="83"/>
      <c r="Q1151" s="83"/>
      <c r="R1151" s="83"/>
      <c r="S1151" s="83"/>
      <c r="T1151" s="83"/>
      <c r="U1151" s="83"/>
      <c r="V1151" s="83"/>
      <c r="W1151" s="83"/>
      <c r="X1151" s="83"/>
      <c r="Y1151" s="83"/>
      <c r="Z1151" s="83"/>
    </row>
    <row r="1152">
      <c r="A1152" s="75" t="s">
        <v>42</v>
      </c>
      <c r="B1152" s="75" t="s">
        <v>1009</v>
      </c>
      <c r="C1152" s="75">
        <v>4.76</v>
      </c>
      <c r="D1152" s="75">
        <v>0.0</v>
      </c>
      <c r="E1152" s="75">
        <v>0.0</v>
      </c>
      <c r="F1152" s="75" t="s">
        <v>950</v>
      </c>
      <c r="G1152" s="82">
        <v>46110.0</v>
      </c>
      <c r="H1152" s="76" t="s">
        <v>934</v>
      </c>
      <c r="I1152" s="83"/>
      <c r="J1152" s="83"/>
      <c r="K1152" s="83"/>
      <c r="L1152" s="83"/>
      <c r="M1152" s="83"/>
      <c r="N1152" s="83"/>
      <c r="O1152" s="83"/>
      <c r="P1152" s="83"/>
      <c r="Q1152" s="83"/>
      <c r="R1152" s="83"/>
      <c r="S1152" s="83"/>
      <c r="T1152" s="83"/>
      <c r="U1152" s="83"/>
      <c r="V1152" s="83"/>
      <c r="W1152" s="83"/>
      <c r="X1152" s="83"/>
      <c r="Y1152" s="83"/>
      <c r="Z1152" s="83"/>
    </row>
    <row r="1153">
      <c r="A1153" s="75" t="s">
        <v>42</v>
      </c>
      <c r="B1153" s="75" t="s">
        <v>1009</v>
      </c>
      <c r="C1153" s="75">
        <v>19.0</v>
      </c>
      <c r="D1153" s="75">
        <v>1.0</v>
      </c>
      <c r="E1153" s="75">
        <v>19.0</v>
      </c>
      <c r="F1153" s="75" t="s">
        <v>950</v>
      </c>
      <c r="G1153" s="82">
        <v>46110.0</v>
      </c>
      <c r="H1153" s="76" t="s">
        <v>935</v>
      </c>
      <c r="I1153" s="83"/>
      <c r="J1153" s="83"/>
      <c r="K1153" s="83"/>
      <c r="L1153" s="83"/>
      <c r="M1153" s="83"/>
      <c r="N1153" s="83"/>
      <c r="O1153" s="83"/>
      <c r="P1153" s="83"/>
      <c r="Q1153" s="83"/>
      <c r="R1153" s="83"/>
      <c r="S1153" s="83"/>
      <c r="T1153" s="83"/>
      <c r="U1153" s="83"/>
      <c r="V1153" s="83"/>
      <c r="W1153" s="83"/>
      <c r="X1153" s="83"/>
      <c r="Y1153" s="83"/>
      <c r="Z1153" s="83"/>
    </row>
    <row r="1154">
      <c r="A1154" s="75" t="s">
        <v>45</v>
      </c>
      <c r="B1154" s="75" t="s">
        <v>1009</v>
      </c>
      <c r="C1154" s="75">
        <v>3.71</v>
      </c>
      <c r="D1154" s="75">
        <v>0.0</v>
      </c>
      <c r="E1154" s="75">
        <v>0.0</v>
      </c>
      <c r="F1154" s="75" t="s">
        <v>950</v>
      </c>
      <c r="G1154" s="82">
        <v>46110.0</v>
      </c>
      <c r="H1154" s="76" t="s">
        <v>936</v>
      </c>
      <c r="I1154" s="83"/>
      <c r="J1154" s="83"/>
      <c r="K1154" s="83"/>
      <c r="L1154" s="83"/>
      <c r="M1154" s="83"/>
      <c r="N1154" s="83"/>
      <c r="O1154" s="83"/>
      <c r="P1154" s="83"/>
      <c r="Q1154" s="83"/>
      <c r="R1154" s="83"/>
      <c r="S1154" s="83"/>
      <c r="T1154" s="83"/>
      <c r="U1154" s="83"/>
      <c r="V1154" s="83"/>
      <c r="W1154" s="83"/>
      <c r="X1154" s="83"/>
      <c r="Y1154" s="83"/>
      <c r="Z1154" s="83"/>
    </row>
    <row r="1155">
      <c r="A1155" s="75" t="s">
        <v>45</v>
      </c>
      <c r="B1155" s="75" t="s">
        <v>1009</v>
      </c>
      <c r="C1155" s="75">
        <v>2.22</v>
      </c>
      <c r="D1155" s="75">
        <v>0.0</v>
      </c>
      <c r="E1155" s="75">
        <v>0.0</v>
      </c>
      <c r="F1155" s="75" t="s">
        <v>950</v>
      </c>
      <c r="G1155" s="82">
        <v>46110.0</v>
      </c>
      <c r="H1155" s="76" t="s">
        <v>937</v>
      </c>
      <c r="I1155" s="83"/>
      <c r="J1155" s="83"/>
      <c r="K1155" s="83"/>
      <c r="L1155" s="83"/>
      <c r="M1155" s="83"/>
      <c r="N1155" s="83"/>
      <c r="O1155" s="83"/>
      <c r="P1155" s="83"/>
      <c r="Q1155" s="83"/>
      <c r="R1155" s="83"/>
      <c r="S1155" s="83"/>
      <c r="T1155" s="83"/>
      <c r="U1155" s="83"/>
      <c r="V1155" s="83"/>
      <c r="W1155" s="83"/>
      <c r="X1155" s="83"/>
      <c r="Y1155" s="83"/>
      <c r="Z1155" s="83"/>
    </row>
    <row r="1156">
      <c r="A1156" s="75" t="s">
        <v>45</v>
      </c>
      <c r="B1156" s="75" t="s">
        <v>1009</v>
      </c>
      <c r="C1156" s="75">
        <v>9.66</v>
      </c>
      <c r="D1156" s="75">
        <v>0.0</v>
      </c>
      <c r="E1156" s="75">
        <v>0.0</v>
      </c>
      <c r="F1156" s="75" t="s">
        <v>950</v>
      </c>
      <c r="G1156" s="82">
        <v>46110.0</v>
      </c>
      <c r="H1156" s="76" t="s">
        <v>938</v>
      </c>
      <c r="I1156" s="83"/>
      <c r="J1156" s="83"/>
      <c r="K1156" s="83"/>
      <c r="L1156" s="83"/>
      <c r="M1156" s="83"/>
      <c r="N1156" s="83"/>
      <c r="O1156" s="83"/>
      <c r="P1156" s="83"/>
      <c r="Q1156" s="83"/>
      <c r="R1156" s="83"/>
      <c r="S1156" s="83"/>
      <c r="T1156" s="83"/>
      <c r="U1156" s="83"/>
      <c r="V1156" s="83"/>
      <c r="W1156" s="83"/>
      <c r="X1156" s="83"/>
      <c r="Y1156" s="83"/>
      <c r="Z1156" s="83"/>
    </row>
    <row r="1157">
      <c r="A1157" s="75" t="s">
        <v>50</v>
      </c>
      <c r="B1157" s="75" t="s">
        <v>1009</v>
      </c>
      <c r="C1157" s="75">
        <v>4.75</v>
      </c>
      <c r="D1157" s="75">
        <v>0.0</v>
      </c>
      <c r="E1157" s="75">
        <v>0.0</v>
      </c>
      <c r="F1157" s="75" t="s">
        <v>950</v>
      </c>
      <c r="G1157" s="82">
        <v>46110.0</v>
      </c>
      <c r="H1157" s="76" t="s">
        <v>939</v>
      </c>
      <c r="I1157" s="83"/>
      <c r="J1157" s="83"/>
      <c r="K1157" s="83"/>
      <c r="L1157" s="83"/>
      <c r="M1157" s="83"/>
      <c r="N1157" s="83"/>
      <c r="O1157" s="83"/>
      <c r="P1157" s="83"/>
      <c r="Q1157" s="83"/>
      <c r="R1157" s="83"/>
      <c r="S1157" s="83"/>
      <c r="T1157" s="83"/>
      <c r="U1157" s="83"/>
      <c r="V1157" s="83"/>
      <c r="W1157" s="83"/>
      <c r="X1157" s="83"/>
      <c r="Y1157" s="83"/>
      <c r="Z1157" s="83"/>
    </row>
    <row r="1158">
      <c r="A1158" s="75" t="s">
        <v>50</v>
      </c>
      <c r="B1158" s="75" t="s">
        <v>1009</v>
      </c>
      <c r="C1158" s="75">
        <v>0.12</v>
      </c>
      <c r="D1158" s="75">
        <v>0.0</v>
      </c>
      <c r="E1158" s="75">
        <v>0.0</v>
      </c>
      <c r="F1158" s="75" t="s">
        <v>950</v>
      </c>
      <c r="G1158" s="82">
        <v>46110.0</v>
      </c>
      <c r="H1158" s="76" t="s">
        <v>992</v>
      </c>
      <c r="I1158" s="83"/>
      <c r="J1158" s="83"/>
      <c r="K1158" s="83"/>
      <c r="L1158" s="83"/>
      <c r="M1158" s="83"/>
      <c r="N1158" s="83"/>
      <c r="O1158" s="83"/>
      <c r="P1158" s="83"/>
      <c r="Q1158" s="83"/>
      <c r="R1158" s="83"/>
      <c r="S1158" s="83"/>
      <c r="T1158" s="83"/>
      <c r="U1158" s="83"/>
      <c r="V1158" s="83"/>
      <c r="W1158" s="83"/>
      <c r="X1158" s="83"/>
      <c r="Y1158" s="83"/>
      <c r="Z1158" s="83"/>
    </row>
    <row r="1159">
      <c r="A1159" s="75" t="s">
        <v>50</v>
      </c>
      <c r="B1159" s="75" t="s">
        <v>1009</v>
      </c>
      <c r="C1159" s="75">
        <v>4.75</v>
      </c>
      <c r="D1159" s="75">
        <v>0.0</v>
      </c>
      <c r="E1159" s="75">
        <v>0.0</v>
      </c>
      <c r="F1159" s="75" t="s">
        <v>950</v>
      </c>
      <c r="G1159" s="82">
        <v>46110.0</v>
      </c>
      <c r="H1159" s="76" t="s">
        <v>940</v>
      </c>
      <c r="I1159" s="83"/>
      <c r="J1159" s="83"/>
      <c r="K1159" s="83"/>
      <c r="L1159" s="83"/>
      <c r="M1159" s="83"/>
      <c r="N1159" s="83"/>
      <c r="O1159" s="83"/>
      <c r="P1159" s="83"/>
      <c r="Q1159" s="83"/>
      <c r="R1159" s="83"/>
      <c r="S1159" s="83"/>
      <c r="T1159" s="83"/>
      <c r="U1159" s="83"/>
      <c r="V1159" s="83"/>
      <c r="W1159" s="83"/>
      <c r="X1159" s="83"/>
      <c r="Y1159" s="83"/>
      <c r="Z1159" s="83"/>
    </row>
    <row r="1160">
      <c r="A1160" s="75" t="s">
        <v>32</v>
      </c>
      <c r="B1160" s="75" t="s">
        <v>1009</v>
      </c>
      <c r="C1160" s="75">
        <v>10.25</v>
      </c>
      <c r="D1160" s="75">
        <v>0.0</v>
      </c>
      <c r="E1160" s="75">
        <v>0.0</v>
      </c>
      <c r="F1160" s="75" t="s">
        <v>950</v>
      </c>
      <c r="G1160" s="82">
        <v>46110.0</v>
      </c>
      <c r="H1160" s="76" t="s">
        <v>941</v>
      </c>
      <c r="I1160" s="83"/>
      <c r="J1160" s="83"/>
      <c r="K1160" s="83"/>
      <c r="L1160" s="83"/>
      <c r="M1160" s="83"/>
      <c r="N1160" s="83"/>
      <c r="O1160" s="83"/>
      <c r="P1160" s="83"/>
      <c r="Q1160" s="83"/>
      <c r="R1160" s="83"/>
      <c r="S1160" s="83"/>
      <c r="T1160" s="83"/>
      <c r="U1160" s="83"/>
      <c r="V1160" s="83"/>
      <c r="W1160" s="83"/>
      <c r="X1160" s="83"/>
      <c r="Y1160" s="83"/>
      <c r="Z1160" s="83"/>
    </row>
    <row r="1161">
      <c r="A1161" s="75" t="s">
        <v>32</v>
      </c>
      <c r="B1161" s="75" t="s">
        <v>1009</v>
      </c>
      <c r="C1161" s="75">
        <v>2.06</v>
      </c>
      <c r="D1161" s="75">
        <v>1.0</v>
      </c>
      <c r="E1161" s="75">
        <v>2.06</v>
      </c>
      <c r="F1161" s="75" t="s">
        <v>950</v>
      </c>
      <c r="G1161" s="82">
        <v>46110.0</v>
      </c>
      <c r="H1161" s="76" t="s">
        <v>942</v>
      </c>
      <c r="I1161" s="83"/>
      <c r="J1161" s="83"/>
      <c r="K1161" s="83"/>
      <c r="L1161" s="83"/>
      <c r="M1161" s="83"/>
      <c r="N1161" s="83"/>
      <c r="O1161" s="83"/>
      <c r="P1161" s="83"/>
      <c r="Q1161" s="83"/>
      <c r="R1161" s="83"/>
      <c r="S1161" s="83"/>
      <c r="T1161" s="83"/>
      <c r="U1161" s="83"/>
      <c r="V1161" s="83"/>
      <c r="W1161" s="83"/>
      <c r="X1161" s="83"/>
      <c r="Y1161" s="83"/>
      <c r="Z1161" s="83"/>
    </row>
    <row r="1162">
      <c r="A1162" s="75" t="s">
        <v>32</v>
      </c>
      <c r="B1162" s="75" t="s">
        <v>1009</v>
      </c>
      <c r="C1162" s="75">
        <v>10.8</v>
      </c>
      <c r="D1162" s="75">
        <v>1.0</v>
      </c>
      <c r="E1162" s="75">
        <v>10.8</v>
      </c>
      <c r="F1162" s="75" t="s">
        <v>950</v>
      </c>
      <c r="G1162" s="82">
        <v>46110.0</v>
      </c>
      <c r="H1162" s="76" t="s">
        <v>943</v>
      </c>
      <c r="I1162" s="83"/>
      <c r="J1162" s="83"/>
      <c r="K1162" s="83"/>
      <c r="L1162" s="83"/>
      <c r="M1162" s="83"/>
      <c r="N1162" s="83"/>
      <c r="O1162" s="83"/>
      <c r="P1162" s="83"/>
      <c r="Q1162" s="83"/>
      <c r="R1162" s="83"/>
      <c r="S1162" s="83"/>
      <c r="T1162" s="83"/>
      <c r="U1162" s="83"/>
      <c r="V1162" s="83"/>
      <c r="W1162" s="83"/>
      <c r="X1162" s="83"/>
      <c r="Y1162" s="83"/>
      <c r="Z1162" s="83"/>
    </row>
    <row r="1163">
      <c r="A1163" s="75" t="s">
        <v>944</v>
      </c>
      <c r="B1163" s="75" t="s">
        <v>1009</v>
      </c>
      <c r="C1163" s="75">
        <v>10.71</v>
      </c>
      <c r="D1163" s="75">
        <v>1.0</v>
      </c>
      <c r="E1163" s="75">
        <v>10.71</v>
      </c>
      <c r="F1163" s="75" t="s">
        <v>950</v>
      </c>
      <c r="G1163" s="82">
        <v>46110.0</v>
      </c>
      <c r="H1163" s="76" t="s">
        <v>945</v>
      </c>
      <c r="I1163" s="83"/>
      <c r="J1163" s="83"/>
      <c r="K1163" s="83"/>
      <c r="L1163" s="83"/>
      <c r="M1163" s="83"/>
      <c r="N1163" s="83"/>
      <c r="O1163" s="83"/>
      <c r="P1163" s="83"/>
      <c r="Q1163" s="83"/>
      <c r="R1163" s="83"/>
      <c r="S1163" s="83"/>
      <c r="T1163" s="83"/>
      <c r="U1163" s="83"/>
      <c r="V1163" s="83"/>
      <c r="W1163" s="83"/>
      <c r="X1163" s="83"/>
      <c r="Y1163" s="83"/>
      <c r="Z1163" s="83"/>
    </row>
    <row r="1164">
      <c r="A1164" s="75" t="s">
        <v>944</v>
      </c>
      <c r="B1164" s="75" t="s">
        <v>1009</v>
      </c>
      <c r="C1164" s="75">
        <v>1.77</v>
      </c>
      <c r="D1164" s="75">
        <v>0.0</v>
      </c>
      <c r="E1164" s="75">
        <v>0.0</v>
      </c>
      <c r="F1164" s="75" t="s">
        <v>950</v>
      </c>
      <c r="G1164" s="82">
        <v>46110.0</v>
      </c>
      <c r="H1164" s="76" t="s">
        <v>946</v>
      </c>
      <c r="I1164" s="83"/>
      <c r="J1164" s="83"/>
      <c r="K1164" s="83"/>
      <c r="L1164" s="83"/>
      <c r="M1164" s="83"/>
      <c r="N1164" s="83"/>
      <c r="O1164" s="83"/>
      <c r="P1164" s="83"/>
      <c r="Q1164" s="83"/>
      <c r="R1164" s="83"/>
      <c r="S1164" s="83"/>
      <c r="T1164" s="83"/>
      <c r="U1164" s="83"/>
      <c r="V1164" s="83"/>
      <c r="W1164" s="83"/>
      <c r="X1164" s="83"/>
      <c r="Y1164" s="83"/>
      <c r="Z1164" s="83"/>
    </row>
    <row r="1165">
      <c r="A1165" s="75" t="s">
        <v>944</v>
      </c>
      <c r="B1165" s="75" t="s">
        <v>1009</v>
      </c>
      <c r="C1165" s="75">
        <v>3.8</v>
      </c>
      <c r="D1165" s="75">
        <v>0.0</v>
      </c>
      <c r="E1165" s="75">
        <v>0.0</v>
      </c>
      <c r="F1165" s="75" t="s">
        <v>950</v>
      </c>
      <c r="G1165" s="82">
        <v>46110.0</v>
      </c>
      <c r="H1165" s="76" t="s">
        <v>947</v>
      </c>
      <c r="I1165" s="83"/>
      <c r="J1165" s="83"/>
      <c r="K1165" s="83"/>
      <c r="L1165" s="83"/>
      <c r="M1165" s="83"/>
      <c r="N1165" s="83"/>
      <c r="O1165" s="83"/>
      <c r="P1165" s="83"/>
      <c r="Q1165" s="83"/>
      <c r="R1165" s="83"/>
      <c r="S1165" s="83"/>
      <c r="T1165" s="83"/>
      <c r="U1165" s="83"/>
      <c r="V1165" s="83"/>
      <c r="W1165" s="83"/>
      <c r="X1165" s="83"/>
      <c r="Y1165" s="83"/>
      <c r="Z1165" s="83"/>
    </row>
    <row r="1166">
      <c r="A1166" s="75" t="s">
        <v>36</v>
      </c>
      <c r="B1166" s="75" t="s">
        <v>1009</v>
      </c>
      <c r="C1166" s="75">
        <v>9.42</v>
      </c>
      <c r="D1166" s="75">
        <v>0.0</v>
      </c>
      <c r="E1166" s="75">
        <v>0.0</v>
      </c>
      <c r="F1166" s="75" t="s">
        <v>974</v>
      </c>
      <c r="G1166" s="82">
        <v>46110.0</v>
      </c>
      <c r="H1166" s="76" t="s">
        <v>926</v>
      </c>
      <c r="I1166" s="83"/>
      <c r="J1166" s="83"/>
      <c r="K1166" s="83"/>
      <c r="L1166" s="83"/>
      <c r="M1166" s="83"/>
      <c r="N1166" s="83"/>
      <c r="O1166" s="83"/>
      <c r="P1166" s="83"/>
      <c r="Q1166" s="83"/>
      <c r="R1166" s="83"/>
      <c r="S1166" s="83"/>
      <c r="T1166" s="83"/>
      <c r="U1166" s="83"/>
      <c r="V1166" s="83"/>
      <c r="W1166" s="83"/>
      <c r="X1166" s="83"/>
      <c r="Y1166" s="83"/>
      <c r="Z1166" s="83"/>
    </row>
    <row r="1167">
      <c r="A1167" s="75" t="s">
        <v>36</v>
      </c>
      <c r="B1167" s="75" t="s">
        <v>1009</v>
      </c>
      <c r="C1167" s="75">
        <v>1.31</v>
      </c>
      <c r="D1167" s="75">
        <v>0.0</v>
      </c>
      <c r="E1167" s="75">
        <v>0.0</v>
      </c>
      <c r="F1167" s="75" t="s">
        <v>974</v>
      </c>
      <c r="G1167" s="82">
        <v>46110.0</v>
      </c>
      <c r="H1167" s="76" t="s">
        <v>927</v>
      </c>
      <c r="I1167" s="83"/>
      <c r="J1167" s="83"/>
      <c r="K1167" s="83"/>
      <c r="L1167" s="83"/>
      <c r="M1167" s="83"/>
      <c r="N1167" s="83"/>
      <c r="O1167" s="83"/>
      <c r="P1167" s="83"/>
      <c r="Q1167" s="83"/>
      <c r="R1167" s="83"/>
      <c r="S1167" s="83"/>
      <c r="T1167" s="83"/>
      <c r="U1167" s="83"/>
      <c r="V1167" s="83"/>
      <c r="W1167" s="83"/>
      <c r="X1167" s="83"/>
      <c r="Y1167" s="83"/>
      <c r="Z1167" s="83"/>
    </row>
    <row r="1168">
      <c r="A1168" s="75" t="s">
        <v>36</v>
      </c>
      <c r="B1168" s="75" t="s">
        <v>1009</v>
      </c>
      <c r="C1168" s="75">
        <v>1.43</v>
      </c>
      <c r="D1168" s="75">
        <v>0.0</v>
      </c>
      <c r="E1168" s="75">
        <v>0.0</v>
      </c>
      <c r="F1168" s="75" t="s">
        <v>974</v>
      </c>
      <c r="G1168" s="82">
        <v>46110.0</v>
      </c>
      <c r="H1168" s="76" t="s">
        <v>928</v>
      </c>
      <c r="I1168" s="83"/>
      <c r="J1168" s="83"/>
      <c r="K1168" s="83"/>
      <c r="L1168" s="83"/>
      <c r="M1168" s="83"/>
      <c r="N1168" s="83"/>
      <c r="O1168" s="83"/>
      <c r="P1168" s="83"/>
      <c r="Q1168" s="83"/>
      <c r="R1168" s="83"/>
      <c r="S1168" s="83"/>
      <c r="T1168" s="83"/>
      <c r="U1168" s="83"/>
      <c r="V1168" s="83"/>
      <c r="W1168" s="83"/>
      <c r="X1168" s="83"/>
      <c r="Y1168" s="83"/>
      <c r="Z1168" s="83"/>
    </row>
    <row r="1169">
      <c r="A1169" s="75" t="s">
        <v>31</v>
      </c>
      <c r="B1169" s="75" t="s">
        <v>1009</v>
      </c>
      <c r="C1169" s="75">
        <v>2.89</v>
      </c>
      <c r="D1169" s="75">
        <v>0.0</v>
      </c>
      <c r="E1169" s="75">
        <v>0.0</v>
      </c>
      <c r="F1169" s="75" t="s">
        <v>974</v>
      </c>
      <c r="G1169" s="82">
        <v>46110.0</v>
      </c>
      <c r="H1169" s="76" t="s">
        <v>929</v>
      </c>
      <c r="I1169" s="83"/>
      <c r="J1169" s="83"/>
      <c r="K1169" s="83"/>
      <c r="L1169" s="83"/>
      <c r="M1169" s="83"/>
      <c r="N1169" s="83"/>
      <c r="O1169" s="83"/>
      <c r="P1169" s="83"/>
      <c r="Q1169" s="83"/>
      <c r="R1169" s="83"/>
      <c r="S1169" s="83"/>
      <c r="T1169" s="83"/>
      <c r="U1169" s="83"/>
      <c r="V1169" s="83"/>
      <c r="W1169" s="83"/>
      <c r="X1169" s="83"/>
      <c r="Y1169" s="83"/>
      <c r="Z1169" s="83"/>
    </row>
    <row r="1170">
      <c r="A1170" s="75" t="s">
        <v>31</v>
      </c>
      <c r="B1170" s="75" t="s">
        <v>1009</v>
      </c>
      <c r="C1170" s="75">
        <v>18.97</v>
      </c>
      <c r="D1170" s="75">
        <v>0.0</v>
      </c>
      <c r="E1170" s="75">
        <v>0.0</v>
      </c>
      <c r="F1170" s="75" t="s">
        <v>974</v>
      </c>
      <c r="G1170" s="82">
        <v>46110.0</v>
      </c>
      <c r="H1170" s="76" t="s">
        <v>930</v>
      </c>
      <c r="I1170" s="83"/>
      <c r="J1170" s="83"/>
      <c r="K1170" s="83"/>
      <c r="L1170" s="83"/>
      <c r="M1170" s="83"/>
      <c r="N1170" s="83"/>
      <c r="O1170" s="83"/>
      <c r="P1170" s="83"/>
      <c r="Q1170" s="83"/>
      <c r="R1170" s="83"/>
      <c r="S1170" s="83"/>
      <c r="T1170" s="83"/>
      <c r="U1170" s="83"/>
      <c r="V1170" s="83"/>
      <c r="W1170" s="83"/>
      <c r="X1170" s="83"/>
      <c r="Y1170" s="83"/>
      <c r="Z1170" s="83"/>
    </row>
    <row r="1171">
      <c r="A1171" s="75" t="s">
        <v>28</v>
      </c>
      <c r="B1171" s="75" t="s">
        <v>1009</v>
      </c>
      <c r="C1171" s="75">
        <v>1.09</v>
      </c>
      <c r="D1171" s="75">
        <v>0.0</v>
      </c>
      <c r="E1171" s="75">
        <v>0.0</v>
      </c>
      <c r="F1171" s="75" t="s">
        <v>974</v>
      </c>
      <c r="G1171" s="82">
        <v>46110.0</v>
      </c>
      <c r="H1171" s="76" t="s">
        <v>931</v>
      </c>
      <c r="I1171" s="83"/>
      <c r="J1171" s="83"/>
      <c r="K1171" s="83"/>
      <c r="L1171" s="83"/>
      <c r="M1171" s="83"/>
      <c r="N1171" s="83"/>
      <c r="O1171" s="83"/>
      <c r="P1171" s="83"/>
      <c r="Q1171" s="83"/>
      <c r="R1171" s="83"/>
      <c r="S1171" s="83"/>
      <c r="T1171" s="83"/>
      <c r="U1171" s="83"/>
      <c r="V1171" s="83"/>
      <c r="W1171" s="83"/>
      <c r="X1171" s="83"/>
      <c r="Y1171" s="83"/>
      <c r="Z1171" s="83"/>
    </row>
    <row r="1172">
      <c r="A1172" s="75" t="s">
        <v>28</v>
      </c>
      <c r="B1172" s="75" t="s">
        <v>1009</v>
      </c>
      <c r="C1172" s="75">
        <v>1.32</v>
      </c>
      <c r="D1172" s="75">
        <v>0.0</v>
      </c>
      <c r="E1172" s="75">
        <v>0.0</v>
      </c>
      <c r="F1172" s="75" t="s">
        <v>974</v>
      </c>
      <c r="G1172" s="82">
        <v>46110.0</v>
      </c>
      <c r="H1172" s="76" t="s">
        <v>932</v>
      </c>
      <c r="I1172" s="83"/>
      <c r="J1172" s="83"/>
      <c r="K1172" s="83"/>
      <c r="L1172" s="83"/>
      <c r="M1172" s="83"/>
      <c r="N1172" s="83"/>
      <c r="O1172" s="83"/>
      <c r="P1172" s="83"/>
      <c r="Q1172" s="83"/>
      <c r="R1172" s="83"/>
      <c r="S1172" s="83"/>
      <c r="T1172" s="83"/>
      <c r="U1172" s="83"/>
      <c r="V1172" s="83"/>
      <c r="W1172" s="83"/>
      <c r="X1172" s="83"/>
      <c r="Y1172" s="83"/>
      <c r="Z1172" s="83"/>
    </row>
    <row r="1173">
      <c r="A1173" s="75" t="s">
        <v>28</v>
      </c>
      <c r="B1173" s="75" t="s">
        <v>1009</v>
      </c>
      <c r="C1173" s="75">
        <v>9.36</v>
      </c>
      <c r="D1173" s="75">
        <v>0.0</v>
      </c>
      <c r="E1173" s="75">
        <v>0.0</v>
      </c>
      <c r="F1173" s="75" t="s">
        <v>974</v>
      </c>
      <c r="G1173" s="82">
        <v>46110.0</v>
      </c>
      <c r="H1173" s="76" t="s">
        <v>933</v>
      </c>
      <c r="I1173" s="83"/>
      <c r="J1173" s="83"/>
      <c r="K1173" s="83"/>
      <c r="L1173" s="83"/>
      <c r="M1173" s="83"/>
      <c r="N1173" s="83"/>
      <c r="O1173" s="83"/>
      <c r="P1173" s="83"/>
      <c r="Q1173" s="83"/>
      <c r="R1173" s="83"/>
      <c r="S1173" s="83"/>
      <c r="T1173" s="83"/>
      <c r="U1173" s="83"/>
      <c r="V1173" s="83"/>
      <c r="W1173" s="83"/>
      <c r="X1173" s="83"/>
      <c r="Y1173" s="83"/>
      <c r="Z1173" s="83"/>
    </row>
    <row r="1174">
      <c r="A1174" s="75" t="s">
        <v>42</v>
      </c>
      <c r="B1174" s="75" t="s">
        <v>1009</v>
      </c>
      <c r="C1174" s="75">
        <v>2.76</v>
      </c>
      <c r="D1174" s="75">
        <v>0.0</v>
      </c>
      <c r="E1174" s="75">
        <v>0.0</v>
      </c>
      <c r="F1174" s="75" t="s">
        <v>974</v>
      </c>
      <c r="G1174" s="82">
        <v>46110.0</v>
      </c>
      <c r="H1174" s="76" t="s">
        <v>934</v>
      </c>
      <c r="I1174" s="83"/>
      <c r="J1174" s="83"/>
      <c r="K1174" s="83"/>
      <c r="L1174" s="83"/>
      <c r="M1174" s="83"/>
      <c r="N1174" s="83"/>
      <c r="O1174" s="83"/>
      <c r="P1174" s="83"/>
      <c r="Q1174" s="83"/>
      <c r="R1174" s="83"/>
      <c r="S1174" s="83"/>
      <c r="T1174" s="83"/>
      <c r="U1174" s="83"/>
      <c r="V1174" s="83"/>
      <c r="W1174" s="83"/>
      <c r="X1174" s="83"/>
      <c r="Y1174" s="83"/>
      <c r="Z1174" s="83"/>
    </row>
    <row r="1175">
      <c r="A1175" s="75" t="s">
        <v>42</v>
      </c>
      <c r="B1175" s="75" t="s">
        <v>1009</v>
      </c>
      <c r="C1175" s="75">
        <v>8.62</v>
      </c>
      <c r="D1175" s="75">
        <v>1.0</v>
      </c>
      <c r="E1175" s="75">
        <v>8.62</v>
      </c>
      <c r="F1175" s="75" t="s">
        <v>974</v>
      </c>
      <c r="G1175" s="82">
        <v>46110.0</v>
      </c>
      <c r="H1175" s="76" t="s">
        <v>935</v>
      </c>
      <c r="I1175" s="83"/>
      <c r="J1175" s="83"/>
      <c r="K1175" s="83"/>
      <c r="L1175" s="83"/>
      <c r="M1175" s="83"/>
      <c r="N1175" s="83"/>
      <c r="O1175" s="83"/>
      <c r="P1175" s="83"/>
      <c r="Q1175" s="83"/>
      <c r="R1175" s="83"/>
      <c r="S1175" s="83"/>
      <c r="T1175" s="83"/>
      <c r="U1175" s="83"/>
      <c r="V1175" s="83"/>
      <c r="W1175" s="83"/>
      <c r="X1175" s="83"/>
      <c r="Y1175" s="83"/>
      <c r="Z1175" s="83"/>
    </row>
    <row r="1176">
      <c r="A1176" s="75" t="s">
        <v>45</v>
      </c>
      <c r="B1176" s="75" t="s">
        <v>1009</v>
      </c>
      <c r="C1176" s="75">
        <v>1.93</v>
      </c>
      <c r="D1176" s="75">
        <v>0.0</v>
      </c>
      <c r="E1176" s="75">
        <v>0.0</v>
      </c>
      <c r="F1176" s="75" t="s">
        <v>974</v>
      </c>
      <c r="G1176" s="82">
        <v>46110.0</v>
      </c>
      <c r="H1176" s="76" t="s">
        <v>936</v>
      </c>
      <c r="I1176" s="83"/>
      <c r="J1176" s="83"/>
      <c r="K1176" s="83"/>
      <c r="L1176" s="83"/>
      <c r="M1176" s="83"/>
      <c r="N1176" s="83"/>
      <c r="O1176" s="83"/>
      <c r="P1176" s="83"/>
      <c r="Q1176" s="83"/>
      <c r="R1176" s="83"/>
      <c r="S1176" s="83"/>
      <c r="T1176" s="83"/>
      <c r="U1176" s="83"/>
      <c r="V1176" s="83"/>
      <c r="W1176" s="83"/>
      <c r="X1176" s="83"/>
      <c r="Y1176" s="83"/>
      <c r="Z1176" s="83"/>
    </row>
    <row r="1177">
      <c r="A1177" s="75" t="s">
        <v>45</v>
      </c>
      <c r="B1177" s="75" t="s">
        <v>1009</v>
      </c>
      <c r="C1177" s="75">
        <v>1.21</v>
      </c>
      <c r="D1177" s="75">
        <v>0.0</v>
      </c>
      <c r="E1177" s="75">
        <v>0.0</v>
      </c>
      <c r="F1177" s="75" t="s">
        <v>974</v>
      </c>
      <c r="G1177" s="82">
        <v>46110.0</v>
      </c>
      <c r="H1177" s="76" t="s">
        <v>937</v>
      </c>
      <c r="I1177" s="83"/>
      <c r="J1177" s="83"/>
      <c r="K1177" s="83"/>
      <c r="L1177" s="83"/>
      <c r="M1177" s="83"/>
      <c r="N1177" s="83"/>
      <c r="O1177" s="83"/>
      <c r="P1177" s="83"/>
      <c r="Q1177" s="83"/>
      <c r="R1177" s="83"/>
      <c r="S1177" s="83"/>
      <c r="T1177" s="83"/>
      <c r="U1177" s="83"/>
      <c r="V1177" s="83"/>
      <c r="W1177" s="83"/>
      <c r="X1177" s="83"/>
      <c r="Y1177" s="83"/>
      <c r="Z1177" s="83"/>
    </row>
    <row r="1178">
      <c r="A1178" s="75" t="s">
        <v>45</v>
      </c>
      <c r="B1178" s="75" t="s">
        <v>1009</v>
      </c>
      <c r="C1178" s="75">
        <v>4.1</v>
      </c>
      <c r="D1178" s="75">
        <v>0.0</v>
      </c>
      <c r="E1178" s="75">
        <v>0.0</v>
      </c>
      <c r="F1178" s="75" t="s">
        <v>974</v>
      </c>
      <c r="G1178" s="82">
        <v>46110.0</v>
      </c>
      <c r="H1178" s="76" t="s">
        <v>938</v>
      </c>
      <c r="I1178" s="83"/>
      <c r="J1178" s="83"/>
      <c r="K1178" s="83"/>
      <c r="L1178" s="83"/>
      <c r="M1178" s="83"/>
      <c r="N1178" s="83"/>
      <c r="O1178" s="83"/>
      <c r="P1178" s="83"/>
      <c r="Q1178" s="83"/>
      <c r="R1178" s="83"/>
      <c r="S1178" s="83"/>
      <c r="T1178" s="83"/>
      <c r="U1178" s="83"/>
      <c r="V1178" s="83"/>
      <c r="W1178" s="83"/>
      <c r="X1178" s="83"/>
      <c r="Y1178" s="83"/>
      <c r="Z1178" s="83"/>
    </row>
    <row r="1179">
      <c r="A1179" s="75" t="s">
        <v>50</v>
      </c>
      <c r="B1179" s="75" t="s">
        <v>1009</v>
      </c>
      <c r="C1179" s="75">
        <v>3.54</v>
      </c>
      <c r="D1179" s="75">
        <v>1.0</v>
      </c>
      <c r="E1179" s="75">
        <v>3.54</v>
      </c>
      <c r="F1179" s="75" t="s">
        <v>974</v>
      </c>
      <c r="G1179" s="82">
        <v>46110.0</v>
      </c>
      <c r="H1179" s="76" t="s">
        <v>939</v>
      </c>
      <c r="I1179" s="83"/>
      <c r="J1179" s="83"/>
      <c r="K1179" s="83"/>
      <c r="L1179" s="83"/>
      <c r="M1179" s="83"/>
      <c r="N1179" s="83"/>
      <c r="O1179" s="83"/>
      <c r="P1179" s="83"/>
      <c r="Q1179" s="83"/>
      <c r="R1179" s="83"/>
      <c r="S1179" s="83"/>
      <c r="T1179" s="83"/>
      <c r="U1179" s="83"/>
      <c r="V1179" s="83"/>
      <c r="W1179" s="83"/>
      <c r="X1179" s="83"/>
      <c r="Y1179" s="83"/>
      <c r="Z1179" s="83"/>
    </row>
    <row r="1180">
      <c r="A1180" s="75" t="s">
        <v>50</v>
      </c>
      <c r="B1180" s="75" t="s">
        <v>1009</v>
      </c>
      <c r="C1180" s="75">
        <v>0.07</v>
      </c>
      <c r="D1180" s="75">
        <v>0.0</v>
      </c>
      <c r="E1180" s="75">
        <v>0.0</v>
      </c>
      <c r="F1180" s="75" t="s">
        <v>974</v>
      </c>
      <c r="G1180" s="82">
        <v>46110.0</v>
      </c>
      <c r="H1180" s="76" t="s">
        <v>992</v>
      </c>
      <c r="I1180" s="83"/>
      <c r="J1180" s="83"/>
      <c r="K1180" s="83"/>
      <c r="L1180" s="83"/>
      <c r="M1180" s="83"/>
      <c r="N1180" s="83"/>
      <c r="O1180" s="83"/>
      <c r="P1180" s="83"/>
      <c r="Q1180" s="83"/>
      <c r="R1180" s="83"/>
      <c r="S1180" s="83"/>
      <c r="T1180" s="83"/>
      <c r="U1180" s="83"/>
      <c r="V1180" s="83"/>
      <c r="W1180" s="83"/>
      <c r="X1180" s="83"/>
      <c r="Y1180" s="83"/>
      <c r="Z1180" s="83"/>
    </row>
    <row r="1181">
      <c r="A1181" s="75" t="s">
        <v>50</v>
      </c>
      <c r="B1181" s="75" t="s">
        <v>1009</v>
      </c>
      <c r="C1181" s="75">
        <v>2.78</v>
      </c>
      <c r="D1181" s="75">
        <v>0.0</v>
      </c>
      <c r="E1181" s="75">
        <v>0.0</v>
      </c>
      <c r="F1181" s="75" t="s">
        <v>974</v>
      </c>
      <c r="G1181" s="82">
        <v>46110.0</v>
      </c>
      <c r="H1181" s="76" t="s">
        <v>940</v>
      </c>
      <c r="I1181" s="83"/>
      <c r="J1181" s="83"/>
      <c r="K1181" s="83"/>
      <c r="L1181" s="83"/>
      <c r="M1181" s="83"/>
      <c r="N1181" s="83"/>
      <c r="O1181" s="83"/>
      <c r="P1181" s="83"/>
      <c r="Q1181" s="83"/>
      <c r="R1181" s="83"/>
      <c r="S1181" s="83"/>
      <c r="T1181" s="83"/>
      <c r="U1181" s="83"/>
      <c r="V1181" s="83"/>
      <c r="W1181" s="83"/>
      <c r="X1181" s="83"/>
      <c r="Y1181" s="83"/>
      <c r="Z1181" s="83"/>
    </row>
    <row r="1182">
      <c r="A1182" s="75" t="s">
        <v>32</v>
      </c>
      <c r="B1182" s="75" t="s">
        <v>1009</v>
      </c>
      <c r="C1182" s="75">
        <v>5.41</v>
      </c>
      <c r="D1182" s="75">
        <v>2.0</v>
      </c>
      <c r="E1182" s="75">
        <v>2.7</v>
      </c>
      <c r="F1182" s="75" t="s">
        <v>974</v>
      </c>
      <c r="G1182" s="82">
        <v>46110.0</v>
      </c>
      <c r="H1182" s="76" t="s">
        <v>941</v>
      </c>
      <c r="I1182" s="83"/>
      <c r="J1182" s="83"/>
      <c r="K1182" s="83"/>
      <c r="L1182" s="83"/>
      <c r="M1182" s="83"/>
      <c r="N1182" s="83"/>
      <c r="O1182" s="83"/>
      <c r="P1182" s="83"/>
      <c r="Q1182" s="83"/>
      <c r="R1182" s="83"/>
      <c r="S1182" s="83"/>
      <c r="T1182" s="83"/>
      <c r="U1182" s="83"/>
      <c r="V1182" s="83"/>
      <c r="W1182" s="83"/>
      <c r="X1182" s="83"/>
      <c r="Y1182" s="83"/>
      <c r="Z1182" s="83"/>
    </row>
    <row r="1183">
      <c r="A1183" s="75" t="s">
        <v>32</v>
      </c>
      <c r="B1183" s="75" t="s">
        <v>1009</v>
      </c>
      <c r="C1183" s="75">
        <v>1.09</v>
      </c>
      <c r="D1183" s="75">
        <v>0.0</v>
      </c>
      <c r="E1183" s="75">
        <v>0.0</v>
      </c>
      <c r="F1183" s="75" t="s">
        <v>974</v>
      </c>
      <c r="G1183" s="82">
        <v>46110.0</v>
      </c>
      <c r="H1183" s="76" t="s">
        <v>942</v>
      </c>
      <c r="I1183" s="83"/>
      <c r="J1183" s="83"/>
      <c r="K1183" s="83"/>
      <c r="L1183" s="83"/>
      <c r="M1183" s="83"/>
      <c r="N1183" s="83"/>
      <c r="O1183" s="83"/>
      <c r="P1183" s="83"/>
      <c r="Q1183" s="83"/>
      <c r="R1183" s="83"/>
      <c r="S1183" s="83"/>
      <c r="T1183" s="83"/>
      <c r="U1183" s="83"/>
      <c r="V1183" s="83"/>
      <c r="W1183" s="83"/>
      <c r="X1183" s="83"/>
      <c r="Y1183" s="83"/>
      <c r="Z1183" s="83"/>
    </row>
    <row r="1184">
      <c r="A1184" s="75" t="s">
        <v>32</v>
      </c>
      <c r="B1184" s="75" t="s">
        <v>1009</v>
      </c>
      <c r="C1184" s="75">
        <v>4.22</v>
      </c>
      <c r="D1184" s="75">
        <v>0.0</v>
      </c>
      <c r="E1184" s="75">
        <v>0.0</v>
      </c>
      <c r="F1184" s="75" t="s">
        <v>974</v>
      </c>
      <c r="G1184" s="82">
        <v>46110.0</v>
      </c>
      <c r="H1184" s="76" t="s">
        <v>943</v>
      </c>
      <c r="I1184" s="83"/>
      <c r="J1184" s="83"/>
      <c r="K1184" s="83"/>
      <c r="L1184" s="83"/>
      <c r="M1184" s="83"/>
      <c r="N1184" s="83"/>
      <c r="O1184" s="83"/>
      <c r="P1184" s="83"/>
      <c r="Q1184" s="83"/>
      <c r="R1184" s="83"/>
      <c r="S1184" s="83"/>
      <c r="T1184" s="83"/>
      <c r="U1184" s="83"/>
      <c r="V1184" s="83"/>
      <c r="W1184" s="83"/>
      <c r="X1184" s="83"/>
      <c r="Y1184" s="83"/>
      <c r="Z1184" s="83"/>
    </row>
    <row r="1185">
      <c r="A1185" s="75" t="s">
        <v>944</v>
      </c>
      <c r="B1185" s="75" t="s">
        <v>1009</v>
      </c>
      <c r="C1185" s="75">
        <v>3.65</v>
      </c>
      <c r="D1185" s="75">
        <v>0.0</v>
      </c>
      <c r="E1185" s="75">
        <v>0.0</v>
      </c>
      <c r="F1185" s="75" t="s">
        <v>974</v>
      </c>
      <c r="G1185" s="82">
        <v>46110.0</v>
      </c>
      <c r="H1185" s="76" t="s">
        <v>945</v>
      </c>
      <c r="I1185" s="83"/>
      <c r="J1185" s="83"/>
      <c r="K1185" s="83"/>
      <c r="L1185" s="83"/>
      <c r="M1185" s="83"/>
      <c r="N1185" s="83"/>
      <c r="O1185" s="83"/>
      <c r="P1185" s="83"/>
      <c r="Q1185" s="83"/>
      <c r="R1185" s="83"/>
      <c r="S1185" s="83"/>
      <c r="T1185" s="83"/>
      <c r="U1185" s="83"/>
      <c r="V1185" s="83"/>
      <c r="W1185" s="83"/>
      <c r="X1185" s="83"/>
      <c r="Y1185" s="83"/>
      <c r="Z1185" s="83"/>
    </row>
    <row r="1186">
      <c r="A1186" s="75" t="s">
        <v>944</v>
      </c>
      <c r="B1186" s="75" t="s">
        <v>1009</v>
      </c>
      <c r="C1186" s="75">
        <v>0.83</v>
      </c>
      <c r="D1186" s="75">
        <v>0.0</v>
      </c>
      <c r="E1186" s="75">
        <v>0.0</v>
      </c>
      <c r="F1186" s="75" t="s">
        <v>974</v>
      </c>
      <c r="G1186" s="82">
        <v>46110.0</v>
      </c>
      <c r="H1186" s="76" t="s">
        <v>946</v>
      </c>
      <c r="I1186" s="83"/>
      <c r="J1186" s="83"/>
      <c r="K1186" s="83"/>
      <c r="L1186" s="83"/>
      <c r="M1186" s="83"/>
      <c r="N1186" s="83"/>
      <c r="O1186" s="83"/>
      <c r="P1186" s="83"/>
      <c r="Q1186" s="83"/>
      <c r="R1186" s="83"/>
      <c r="S1186" s="83"/>
      <c r="T1186" s="83"/>
      <c r="U1186" s="83"/>
      <c r="V1186" s="83"/>
      <c r="W1186" s="83"/>
      <c r="X1186" s="83"/>
      <c r="Y1186" s="83"/>
      <c r="Z1186" s="83"/>
    </row>
    <row r="1187">
      <c r="A1187" s="75" t="s">
        <v>944</v>
      </c>
      <c r="B1187" s="75" t="s">
        <v>1009</v>
      </c>
      <c r="C1187" s="75">
        <v>2.64</v>
      </c>
      <c r="D1187" s="75">
        <v>0.0</v>
      </c>
      <c r="E1187" s="75">
        <v>0.0</v>
      </c>
      <c r="F1187" s="75" t="s">
        <v>974</v>
      </c>
      <c r="G1187" s="82">
        <v>46110.0</v>
      </c>
      <c r="H1187" s="76" t="s">
        <v>947</v>
      </c>
      <c r="I1187" s="83"/>
      <c r="J1187" s="83"/>
      <c r="K1187" s="83"/>
      <c r="L1187" s="83"/>
      <c r="M1187" s="83"/>
      <c r="N1187" s="83"/>
      <c r="O1187" s="83"/>
      <c r="P1187" s="83"/>
      <c r="Q1187" s="83"/>
      <c r="R1187" s="83"/>
      <c r="S1187" s="83"/>
      <c r="T1187" s="83"/>
      <c r="U1187" s="83"/>
      <c r="V1187" s="83"/>
      <c r="W1187" s="83"/>
      <c r="X1187" s="83"/>
      <c r="Y1187" s="83"/>
      <c r="Z1187" s="83"/>
    </row>
    <row r="1188">
      <c r="A1188" s="75" t="s">
        <v>36</v>
      </c>
      <c r="B1188" s="75" t="s">
        <v>1009</v>
      </c>
      <c r="C1188" s="75">
        <v>11.49</v>
      </c>
      <c r="D1188" s="75">
        <v>1.0</v>
      </c>
      <c r="E1188" s="75">
        <v>11.49</v>
      </c>
      <c r="F1188" s="75" t="s">
        <v>975</v>
      </c>
      <c r="G1188" s="82">
        <v>46110.0</v>
      </c>
      <c r="H1188" s="76" t="s">
        <v>926</v>
      </c>
      <c r="I1188" s="83"/>
      <c r="J1188" s="83"/>
      <c r="K1188" s="83"/>
      <c r="L1188" s="83"/>
      <c r="M1188" s="83"/>
      <c r="N1188" s="83"/>
      <c r="O1188" s="83"/>
      <c r="P1188" s="83"/>
      <c r="Q1188" s="83"/>
      <c r="R1188" s="83"/>
      <c r="S1188" s="83"/>
      <c r="T1188" s="83"/>
      <c r="U1188" s="83"/>
      <c r="V1188" s="83"/>
      <c r="W1188" s="83"/>
      <c r="X1188" s="83"/>
      <c r="Y1188" s="83"/>
      <c r="Z1188" s="83"/>
    </row>
    <row r="1189">
      <c r="A1189" s="75" t="s">
        <v>36</v>
      </c>
      <c r="B1189" s="75" t="s">
        <v>1009</v>
      </c>
      <c r="C1189" s="75">
        <v>2.08</v>
      </c>
      <c r="D1189" s="75">
        <v>0.0</v>
      </c>
      <c r="E1189" s="75">
        <v>0.0</v>
      </c>
      <c r="F1189" s="75" t="s">
        <v>975</v>
      </c>
      <c r="G1189" s="82">
        <v>46110.0</v>
      </c>
      <c r="H1189" s="76" t="s">
        <v>927</v>
      </c>
      <c r="I1189" s="83"/>
      <c r="J1189" s="83"/>
      <c r="K1189" s="83"/>
      <c r="L1189" s="83"/>
      <c r="M1189" s="83"/>
      <c r="N1189" s="83"/>
      <c r="O1189" s="83"/>
      <c r="P1189" s="83"/>
      <c r="Q1189" s="83"/>
      <c r="R1189" s="83"/>
      <c r="S1189" s="83"/>
      <c r="T1189" s="83"/>
      <c r="U1189" s="83"/>
      <c r="V1189" s="83"/>
      <c r="W1189" s="83"/>
      <c r="X1189" s="83"/>
      <c r="Y1189" s="83"/>
      <c r="Z1189" s="83"/>
    </row>
    <row r="1190">
      <c r="A1190" s="75" t="s">
        <v>36</v>
      </c>
      <c r="B1190" s="75" t="s">
        <v>1009</v>
      </c>
      <c r="C1190" s="75">
        <v>1.96</v>
      </c>
      <c r="D1190" s="75">
        <v>0.0</v>
      </c>
      <c r="E1190" s="75">
        <v>0.0</v>
      </c>
      <c r="F1190" s="75" t="s">
        <v>975</v>
      </c>
      <c r="G1190" s="82">
        <v>46110.0</v>
      </c>
      <c r="H1190" s="76" t="s">
        <v>928</v>
      </c>
      <c r="I1190" s="83"/>
      <c r="J1190" s="83"/>
      <c r="K1190" s="83"/>
      <c r="L1190" s="83"/>
      <c r="M1190" s="83"/>
      <c r="N1190" s="83"/>
      <c r="O1190" s="83"/>
      <c r="P1190" s="83"/>
      <c r="Q1190" s="83"/>
      <c r="R1190" s="83"/>
      <c r="S1190" s="83"/>
      <c r="T1190" s="83"/>
      <c r="U1190" s="83"/>
      <c r="V1190" s="83"/>
      <c r="W1190" s="83"/>
      <c r="X1190" s="83"/>
      <c r="Y1190" s="83"/>
      <c r="Z1190" s="83"/>
    </row>
    <row r="1191">
      <c r="A1191" s="75" t="s">
        <v>31</v>
      </c>
      <c r="B1191" s="75" t="s">
        <v>1009</v>
      </c>
      <c r="C1191" s="75">
        <v>2.86</v>
      </c>
      <c r="D1191" s="75">
        <v>0.0</v>
      </c>
      <c r="E1191" s="75">
        <v>0.0</v>
      </c>
      <c r="F1191" s="75" t="s">
        <v>975</v>
      </c>
      <c r="G1191" s="82">
        <v>46110.0</v>
      </c>
      <c r="H1191" s="76" t="s">
        <v>929</v>
      </c>
      <c r="I1191" s="83"/>
      <c r="J1191" s="83"/>
      <c r="K1191" s="83"/>
      <c r="L1191" s="83"/>
      <c r="M1191" s="83"/>
      <c r="N1191" s="83"/>
      <c r="O1191" s="83"/>
      <c r="P1191" s="83"/>
      <c r="Q1191" s="83"/>
      <c r="R1191" s="83"/>
      <c r="S1191" s="83"/>
      <c r="T1191" s="83"/>
      <c r="U1191" s="83"/>
      <c r="V1191" s="83"/>
      <c r="W1191" s="83"/>
      <c r="X1191" s="83"/>
      <c r="Y1191" s="83"/>
      <c r="Z1191" s="83"/>
    </row>
    <row r="1192">
      <c r="A1192" s="75" t="s">
        <v>31</v>
      </c>
      <c r="B1192" s="75" t="s">
        <v>1009</v>
      </c>
      <c r="C1192" s="75">
        <v>22.37</v>
      </c>
      <c r="D1192" s="75">
        <v>1.0</v>
      </c>
      <c r="E1192" s="75">
        <v>22.37</v>
      </c>
      <c r="F1192" s="75" t="s">
        <v>975</v>
      </c>
      <c r="G1192" s="82">
        <v>46110.0</v>
      </c>
      <c r="H1192" s="76" t="s">
        <v>930</v>
      </c>
      <c r="I1192" s="83"/>
      <c r="J1192" s="83"/>
      <c r="K1192" s="83"/>
      <c r="L1192" s="83"/>
      <c r="M1192" s="83"/>
      <c r="N1192" s="83"/>
      <c r="O1192" s="83"/>
      <c r="P1192" s="83"/>
      <c r="Q1192" s="83"/>
      <c r="R1192" s="83"/>
      <c r="S1192" s="83"/>
      <c r="T1192" s="83"/>
      <c r="U1192" s="83"/>
      <c r="V1192" s="83"/>
      <c r="W1192" s="83"/>
      <c r="X1192" s="83"/>
      <c r="Y1192" s="83"/>
      <c r="Z1192" s="83"/>
    </row>
    <row r="1193">
      <c r="A1193" s="75" t="s">
        <v>28</v>
      </c>
      <c r="B1193" s="75" t="s">
        <v>1009</v>
      </c>
      <c r="C1193" s="75">
        <v>1.19</v>
      </c>
      <c r="D1193" s="75">
        <v>0.0</v>
      </c>
      <c r="E1193" s="75">
        <v>0.0</v>
      </c>
      <c r="F1193" s="75" t="s">
        <v>975</v>
      </c>
      <c r="G1193" s="82">
        <v>46110.0</v>
      </c>
      <c r="H1193" s="76" t="s">
        <v>931</v>
      </c>
      <c r="I1193" s="83"/>
      <c r="J1193" s="83"/>
      <c r="K1193" s="83"/>
      <c r="L1193" s="83"/>
      <c r="M1193" s="83"/>
      <c r="N1193" s="83"/>
      <c r="O1193" s="83"/>
      <c r="P1193" s="83"/>
      <c r="Q1193" s="83"/>
      <c r="R1193" s="83"/>
      <c r="S1193" s="83"/>
      <c r="T1193" s="83"/>
      <c r="U1193" s="83"/>
      <c r="V1193" s="83"/>
      <c r="W1193" s="83"/>
      <c r="X1193" s="83"/>
      <c r="Y1193" s="83"/>
      <c r="Z1193" s="83"/>
    </row>
    <row r="1194">
      <c r="A1194" s="75" t="s">
        <v>28</v>
      </c>
      <c r="B1194" s="75" t="s">
        <v>1009</v>
      </c>
      <c r="C1194" s="75">
        <v>1.52</v>
      </c>
      <c r="D1194" s="75">
        <v>0.0</v>
      </c>
      <c r="E1194" s="75">
        <v>0.0</v>
      </c>
      <c r="F1194" s="75" t="s">
        <v>975</v>
      </c>
      <c r="G1194" s="82">
        <v>46110.0</v>
      </c>
      <c r="H1194" s="76" t="s">
        <v>932</v>
      </c>
      <c r="I1194" s="83"/>
      <c r="J1194" s="83"/>
      <c r="K1194" s="83"/>
      <c r="L1194" s="83"/>
      <c r="M1194" s="83"/>
      <c r="N1194" s="83"/>
      <c r="O1194" s="83"/>
      <c r="P1194" s="83"/>
      <c r="Q1194" s="83"/>
      <c r="R1194" s="83"/>
      <c r="S1194" s="83"/>
      <c r="T1194" s="83"/>
      <c r="U1194" s="83"/>
      <c r="V1194" s="83"/>
      <c r="W1194" s="83"/>
      <c r="X1194" s="83"/>
      <c r="Y1194" s="83"/>
      <c r="Z1194" s="83"/>
    </row>
    <row r="1195">
      <c r="A1195" s="75" t="s">
        <v>28</v>
      </c>
      <c r="B1195" s="75" t="s">
        <v>1009</v>
      </c>
      <c r="C1195" s="75">
        <v>11.8</v>
      </c>
      <c r="D1195" s="75">
        <v>0.0</v>
      </c>
      <c r="E1195" s="75">
        <v>0.0</v>
      </c>
      <c r="F1195" s="75" t="s">
        <v>975</v>
      </c>
      <c r="G1195" s="82">
        <v>46110.0</v>
      </c>
      <c r="H1195" s="76" t="s">
        <v>933</v>
      </c>
      <c r="I1195" s="83"/>
      <c r="J1195" s="83"/>
      <c r="K1195" s="83"/>
      <c r="L1195" s="83"/>
      <c r="M1195" s="83"/>
      <c r="N1195" s="83"/>
      <c r="O1195" s="83"/>
      <c r="P1195" s="83"/>
      <c r="Q1195" s="83"/>
      <c r="R1195" s="83"/>
      <c r="S1195" s="83"/>
      <c r="T1195" s="83"/>
      <c r="U1195" s="83"/>
      <c r="V1195" s="83"/>
      <c r="W1195" s="83"/>
      <c r="X1195" s="83"/>
      <c r="Y1195" s="83"/>
      <c r="Z1195" s="83"/>
    </row>
    <row r="1196">
      <c r="A1196" s="75" t="s">
        <v>42</v>
      </c>
      <c r="B1196" s="75" t="s">
        <v>1009</v>
      </c>
      <c r="C1196" s="75">
        <v>3.26</v>
      </c>
      <c r="D1196" s="75">
        <v>1.0</v>
      </c>
      <c r="E1196" s="75">
        <v>3.26</v>
      </c>
      <c r="F1196" s="75" t="s">
        <v>975</v>
      </c>
      <c r="G1196" s="82">
        <v>46110.0</v>
      </c>
      <c r="H1196" s="76" t="s">
        <v>934</v>
      </c>
      <c r="I1196" s="83"/>
      <c r="J1196" s="83"/>
      <c r="K1196" s="83"/>
      <c r="L1196" s="83"/>
      <c r="M1196" s="83"/>
      <c r="N1196" s="83"/>
      <c r="O1196" s="83"/>
      <c r="P1196" s="83"/>
      <c r="Q1196" s="83"/>
      <c r="R1196" s="83"/>
      <c r="S1196" s="83"/>
      <c r="T1196" s="83"/>
      <c r="U1196" s="83"/>
      <c r="V1196" s="83"/>
      <c r="W1196" s="83"/>
      <c r="X1196" s="83"/>
      <c r="Y1196" s="83"/>
      <c r="Z1196" s="83"/>
    </row>
    <row r="1197">
      <c r="A1197" s="75" t="s">
        <v>42</v>
      </c>
      <c r="B1197" s="75" t="s">
        <v>1009</v>
      </c>
      <c r="C1197" s="75">
        <v>9.04</v>
      </c>
      <c r="D1197" s="75">
        <v>2.0</v>
      </c>
      <c r="E1197" s="75">
        <v>4.52</v>
      </c>
      <c r="F1197" s="75" t="s">
        <v>975</v>
      </c>
      <c r="G1197" s="82">
        <v>46110.0</v>
      </c>
      <c r="H1197" s="76" t="s">
        <v>935</v>
      </c>
      <c r="I1197" s="83"/>
      <c r="J1197" s="83"/>
      <c r="K1197" s="83"/>
      <c r="L1197" s="83"/>
      <c r="M1197" s="83"/>
      <c r="N1197" s="83"/>
      <c r="O1197" s="83"/>
      <c r="P1197" s="83"/>
      <c r="Q1197" s="83"/>
      <c r="R1197" s="83"/>
      <c r="S1197" s="83"/>
      <c r="T1197" s="83"/>
      <c r="U1197" s="83"/>
      <c r="V1197" s="83"/>
      <c r="W1197" s="83"/>
      <c r="X1197" s="83"/>
      <c r="Y1197" s="83"/>
      <c r="Z1197" s="83"/>
    </row>
    <row r="1198">
      <c r="A1198" s="75" t="s">
        <v>45</v>
      </c>
      <c r="B1198" s="75" t="s">
        <v>1009</v>
      </c>
      <c r="C1198" s="75">
        <v>2.03</v>
      </c>
      <c r="D1198" s="75">
        <v>0.0</v>
      </c>
      <c r="E1198" s="75">
        <v>0.0</v>
      </c>
      <c r="F1198" s="75" t="s">
        <v>975</v>
      </c>
      <c r="G1198" s="82">
        <v>46110.0</v>
      </c>
      <c r="H1198" s="76" t="s">
        <v>936</v>
      </c>
      <c r="I1198" s="83"/>
      <c r="J1198" s="83"/>
      <c r="K1198" s="83"/>
      <c r="L1198" s="83"/>
      <c r="M1198" s="83"/>
      <c r="N1198" s="83"/>
      <c r="O1198" s="83"/>
      <c r="P1198" s="83"/>
      <c r="Q1198" s="83"/>
      <c r="R1198" s="83"/>
      <c r="S1198" s="83"/>
      <c r="T1198" s="83"/>
      <c r="U1198" s="83"/>
      <c r="V1198" s="83"/>
      <c r="W1198" s="83"/>
      <c r="X1198" s="83"/>
      <c r="Y1198" s="83"/>
      <c r="Z1198" s="83"/>
    </row>
    <row r="1199">
      <c r="A1199" s="75" t="s">
        <v>45</v>
      </c>
      <c r="B1199" s="75" t="s">
        <v>1009</v>
      </c>
      <c r="C1199" s="75">
        <v>1.78</v>
      </c>
      <c r="D1199" s="75">
        <v>0.0</v>
      </c>
      <c r="E1199" s="75">
        <v>0.0</v>
      </c>
      <c r="F1199" s="75" t="s">
        <v>975</v>
      </c>
      <c r="G1199" s="82">
        <v>46110.0</v>
      </c>
      <c r="H1199" s="76" t="s">
        <v>937</v>
      </c>
      <c r="I1199" s="83"/>
      <c r="J1199" s="83"/>
      <c r="K1199" s="83"/>
      <c r="L1199" s="83"/>
      <c r="M1199" s="83"/>
      <c r="N1199" s="83"/>
      <c r="O1199" s="83"/>
      <c r="P1199" s="83"/>
      <c r="Q1199" s="83"/>
      <c r="R1199" s="83"/>
      <c r="S1199" s="83"/>
      <c r="T1199" s="83"/>
      <c r="U1199" s="83"/>
      <c r="V1199" s="83"/>
      <c r="W1199" s="83"/>
      <c r="X1199" s="83"/>
      <c r="Y1199" s="83"/>
      <c r="Z1199" s="83"/>
    </row>
    <row r="1200">
      <c r="A1200" s="75" t="s">
        <v>45</v>
      </c>
      <c r="B1200" s="75" t="s">
        <v>1009</v>
      </c>
      <c r="C1200" s="75">
        <v>6.35</v>
      </c>
      <c r="D1200" s="75">
        <v>0.0</v>
      </c>
      <c r="E1200" s="75">
        <v>0.0</v>
      </c>
      <c r="F1200" s="75" t="s">
        <v>975</v>
      </c>
      <c r="G1200" s="82">
        <v>46110.0</v>
      </c>
      <c r="H1200" s="76" t="s">
        <v>938</v>
      </c>
      <c r="I1200" s="83"/>
      <c r="J1200" s="83"/>
      <c r="K1200" s="83"/>
      <c r="L1200" s="83"/>
      <c r="M1200" s="83"/>
      <c r="N1200" s="83"/>
      <c r="O1200" s="83"/>
      <c r="P1200" s="83"/>
      <c r="Q1200" s="83"/>
      <c r="R1200" s="83"/>
      <c r="S1200" s="83"/>
      <c r="T1200" s="83"/>
      <c r="U1200" s="83"/>
      <c r="V1200" s="83"/>
      <c r="W1200" s="83"/>
      <c r="X1200" s="83"/>
      <c r="Y1200" s="83"/>
      <c r="Z1200" s="83"/>
    </row>
    <row r="1201">
      <c r="A1201" s="75" t="s">
        <v>50</v>
      </c>
      <c r="B1201" s="75" t="s">
        <v>1009</v>
      </c>
      <c r="C1201" s="75">
        <v>3.19</v>
      </c>
      <c r="D1201" s="75">
        <v>1.0</v>
      </c>
      <c r="E1201" s="75">
        <v>3.19</v>
      </c>
      <c r="F1201" s="75" t="s">
        <v>975</v>
      </c>
      <c r="G1201" s="82">
        <v>46110.0</v>
      </c>
      <c r="H1201" s="76" t="s">
        <v>939</v>
      </c>
      <c r="I1201" s="83"/>
      <c r="J1201" s="83"/>
      <c r="K1201" s="83"/>
      <c r="L1201" s="83"/>
      <c r="M1201" s="83"/>
      <c r="N1201" s="83"/>
      <c r="O1201" s="83"/>
      <c r="P1201" s="83"/>
      <c r="Q1201" s="83"/>
      <c r="R1201" s="83"/>
      <c r="S1201" s="83"/>
      <c r="T1201" s="83"/>
      <c r="U1201" s="83"/>
      <c r="V1201" s="83"/>
      <c r="W1201" s="83"/>
      <c r="X1201" s="83"/>
      <c r="Y1201" s="83"/>
      <c r="Z1201" s="83"/>
    </row>
    <row r="1202">
      <c r="A1202" s="75" t="s">
        <v>50</v>
      </c>
      <c r="B1202" s="75" t="s">
        <v>1009</v>
      </c>
      <c r="C1202" s="75">
        <v>0.05</v>
      </c>
      <c r="D1202" s="75">
        <v>0.0</v>
      </c>
      <c r="E1202" s="75">
        <v>0.0</v>
      </c>
      <c r="F1202" s="75" t="s">
        <v>975</v>
      </c>
      <c r="G1202" s="82">
        <v>46110.0</v>
      </c>
      <c r="H1202" s="76" t="s">
        <v>992</v>
      </c>
      <c r="I1202" s="83"/>
      <c r="J1202" s="83"/>
      <c r="K1202" s="83"/>
      <c r="L1202" s="83"/>
      <c r="M1202" s="83"/>
      <c r="N1202" s="83"/>
      <c r="O1202" s="83"/>
      <c r="P1202" s="83"/>
      <c r="Q1202" s="83"/>
      <c r="R1202" s="83"/>
      <c r="S1202" s="83"/>
      <c r="T1202" s="83"/>
      <c r="U1202" s="83"/>
      <c r="V1202" s="83"/>
      <c r="W1202" s="83"/>
      <c r="X1202" s="83"/>
      <c r="Y1202" s="83"/>
      <c r="Z1202" s="83"/>
    </row>
    <row r="1203">
      <c r="A1203" s="75" t="s">
        <v>50</v>
      </c>
      <c r="B1203" s="75" t="s">
        <v>1009</v>
      </c>
      <c r="C1203" s="75">
        <v>3.06</v>
      </c>
      <c r="D1203" s="75">
        <v>0.0</v>
      </c>
      <c r="E1203" s="75">
        <v>0.0</v>
      </c>
      <c r="F1203" s="75" t="s">
        <v>975</v>
      </c>
      <c r="G1203" s="82">
        <v>46110.0</v>
      </c>
      <c r="H1203" s="76" t="s">
        <v>940</v>
      </c>
      <c r="I1203" s="83"/>
      <c r="J1203" s="83"/>
      <c r="K1203" s="83"/>
      <c r="L1203" s="83"/>
      <c r="M1203" s="83"/>
      <c r="N1203" s="83"/>
      <c r="O1203" s="83"/>
      <c r="P1203" s="83"/>
      <c r="Q1203" s="83"/>
      <c r="R1203" s="83"/>
      <c r="S1203" s="83"/>
      <c r="T1203" s="83"/>
      <c r="U1203" s="83"/>
      <c r="V1203" s="83"/>
      <c r="W1203" s="83"/>
      <c r="X1203" s="83"/>
      <c r="Y1203" s="83"/>
      <c r="Z1203" s="83"/>
    </row>
    <row r="1204">
      <c r="A1204" s="75" t="s">
        <v>32</v>
      </c>
      <c r="B1204" s="75" t="s">
        <v>1009</v>
      </c>
      <c r="C1204" s="75">
        <v>6.34</v>
      </c>
      <c r="D1204" s="75">
        <v>0.0</v>
      </c>
      <c r="E1204" s="75">
        <v>0.0</v>
      </c>
      <c r="F1204" s="75" t="s">
        <v>975</v>
      </c>
      <c r="G1204" s="82">
        <v>46110.0</v>
      </c>
      <c r="H1204" s="76" t="s">
        <v>941</v>
      </c>
      <c r="I1204" s="83"/>
      <c r="J1204" s="83"/>
      <c r="K1204" s="83"/>
      <c r="L1204" s="83"/>
      <c r="M1204" s="83"/>
      <c r="N1204" s="83"/>
      <c r="O1204" s="83"/>
      <c r="P1204" s="83"/>
      <c r="Q1204" s="83"/>
      <c r="R1204" s="83"/>
      <c r="S1204" s="83"/>
      <c r="T1204" s="83"/>
      <c r="U1204" s="83"/>
      <c r="V1204" s="83"/>
      <c r="W1204" s="83"/>
      <c r="X1204" s="83"/>
      <c r="Y1204" s="83"/>
      <c r="Z1204" s="83"/>
    </row>
    <row r="1205">
      <c r="A1205" s="75" t="s">
        <v>32</v>
      </c>
      <c r="B1205" s="75" t="s">
        <v>1009</v>
      </c>
      <c r="C1205" s="75">
        <v>1.59</v>
      </c>
      <c r="D1205" s="75">
        <v>0.0</v>
      </c>
      <c r="E1205" s="75">
        <v>0.0</v>
      </c>
      <c r="F1205" s="75" t="s">
        <v>975</v>
      </c>
      <c r="G1205" s="82">
        <v>46110.0</v>
      </c>
      <c r="H1205" s="76" t="s">
        <v>942</v>
      </c>
      <c r="I1205" s="83"/>
      <c r="J1205" s="83"/>
      <c r="K1205" s="83"/>
      <c r="L1205" s="83"/>
      <c r="M1205" s="83"/>
      <c r="N1205" s="83"/>
      <c r="O1205" s="83"/>
      <c r="P1205" s="83"/>
      <c r="Q1205" s="83"/>
      <c r="R1205" s="83"/>
      <c r="S1205" s="83"/>
      <c r="T1205" s="83"/>
      <c r="U1205" s="83"/>
      <c r="V1205" s="83"/>
      <c r="W1205" s="83"/>
      <c r="X1205" s="83"/>
      <c r="Y1205" s="83"/>
      <c r="Z1205" s="83"/>
    </row>
    <row r="1206">
      <c r="A1206" s="75" t="s">
        <v>32</v>
      </c>
      <c r="B1206" s="75" t="s">
        <v>1009</v>
      </c>
      <c r="C1206" s="75">
        <v>5.56</v>
      </c>
      <c r="D1206" s="75">
        <v>0.0</v>
      </c>
      <c r="E1206" s="75">
        <v>0.0</v>
      </c>
      <c r="F1206" s="75" t="s">
        <v>975</v>
      </c>
      <c r="G1206" s="82">
        <v>46110.0</v>
      </c>
      <c r="H1206" s="76" t="s">
        <v>943</v>
      </c>
      <c r="I1206" s="83"/>
      <c r="J1206" s="83"/>
      <c r="K1206" s="83"/>
      <c r="L1206" s="83"/>
      <c r="M1206" s="83"/>
      <c r="N1206" s="83"/>
      <c r="O1206" s="83"/>
      <c r="P1206" s="83"/>
      <c r="Q1206" s="83"/>
      <c r="R1206" s="83"/>
      <c r="S1206" s="83"/>
      <c r="T1206" s="83"/>
      <c r="U1206" s="83"/>
      <c r="V1206" s="83"/>
      <c r="W1206" s="83"/>
      <c r="X1206" s="83"/>
      <c r="Y1206" s="83"/>
      <c r="Z1206" s="83"/>
    </row>
    <row r="1207">
      <c r="A1207" s="75" t="s">
        <v>944</v>
      </c>
      <c r="B1207" s="75" t="s">
        <v>1009</v>
      </c>
      <c r="C1207" s="75">
        <v>4.65</v>
      </c>
      <c r="D1207" s="75">
        <v>0.0</v>
      </c>
      <c r="E1207" s="75">
        <v>0.0</v>
      </c>
      <c r="F1207" s="75" t="s">
        <v>975</v>
      </c>
      <c r="G1207" s="82">
        <v>46110.0</v>
      </c>
      <c r="H1207" s="76" t="s">
        <v>945</v>
      </c>
      <c r="I1207" s="83"/>
      <c r="J1207" s="83"/>
      <c r="K1207" s="83"/>
      <c r="L1207" s="83"/>
      <c r="M1207" s="83"/>
      <c r="N1207" s="83"/>
      <c r="O1207" s="83"/>
      <c r="P1207" s="83"/>
      <c r="Q1207" s="83"/>
      <c r="R1207" s="83"/>
      <c r="S1207" s="83"/>
      <c r="T1207" s="83"/>
      <c r="U1207" s="83"/>
      <c r="V1207" s="83"/>
      <c r="W1207" s="83"/>
      <c r="X1207" s="83"/>
      <c r="Y1207" s="83"/>
      <c r="Z1207" s="83"/>
    </row>
    <row r="1208">
      <c r="A1208" s="75" t="s">
        <v>944</v>
      </c>
      <c r="B1208" s="75" t="s">
        <v>1009</v>
      </c>
      <c r="C1208" s="75">
        <v>1.35</v>
      </c>
      <c r="D1208" s="75">
        <v>0.0</v>
      </c>
      <c r="E1208" s="75">
        <v>0.0</v>
      </c>
      <c r="F1208" s="75" t="s">
        <v>975</v>
      </c>
      <c r="G1208" s="82">
        <v>46110.0</v>
      </c>
      <c r="H1208" s="76" t="s">
        <v>946</v>
      </c>
      <c r="I1208" s="83"/>
      <c r="J1208" s="83"/>
      <c r="K1208" s="83"/>
      <c r="L1208" s="83"/>
      <c r="M1208" s="83"/>
      <c r="N1208" s="83"/>
      <c r="O1208" s="83"/>
      <c r="P1208" s="83"/>
      <c r="Q1208" s="83"/>
      <c r="R1208" s="83"/>
      <c r="S1208" s="83"/>
      <c r="T1208" s="83"/>
      <c r="U1208" s="83"/>
      <c r="V1208" s="83"/>
      <c r="W1208" s="83"/>
      <c r="X1208" s="83"/>
      <c r="Y1208" s="83"/>
      <c r="Z1208" s="83"/>
    </row>
    <row r="1209">
      <c r="A1209" s="75" t="s">
        <v>944</v>
      </c>
      <c r="B1209" s="75" t="s">
        <v>1009</v>
      </c>
      <c r="C1209" s="75">
        <v>2.47</v>
      </c>
      <c r="D1209" s="75">
        <v>0.0</v>
      </c>
      <c r="E1209" s="75">
        <v>0.0</v>
      </c>
      <c r="F1209" s="75" t="s">
        <v>975</v>
      </c>
      <c r="G1209" s="82">
        <v>46110.0</v>
      </c>
      <c r="H1209" s="76" t="s">
        <v>947</v>
      </c>
      <c r="I1209" s="83"/>
      <c r="J1209" s="83"/>
      <c r="K1209" s="83"/>
      <c r="L1209" s="83"/>
      <c r="M1209" s="83"/>
      <c r="N1209" s="83"/>
      <c r="O1209" s="83"/>
      <c r="P1209" s="83"/>
      <c r="Q1209" s="83"/>
      <c r="R1209" s="83"/>
      <c r="S1209" s="83"/>
      <c r="T1209" s="83"/>
      <c r="U1209" s="83"/>
      <c r="V1209" s="83"/>
      <c r="W1209" s="83"/>
      <c r="X1209" s="83"/>
      <c r="Y1209" s="83"/>
      <c r="Z1209" s="83"/>
    </row>
    <row r="1210">
      <c r="A1210" s="75" t="s">
        <v>34</v>
      </c>
      <c r="B1210" s="75" t="s">
        <v>1010</v>
      </c>
      <c r="C1210" s="75">
        <v>1.63</v>
      </c>
      <c r="D1210" s="75">
        <v>0.0</v>
      </c>
      <c r="E1210" s="75">
        <v>0.0</v>
      </c>
      <c r="F1210" s="75" t="s">
        <v>925</v>
      </c>
      <c r="G1210" s="82">
        <v>46110.0</v>
      </c>
      <c r="H1210" s="76" t="s">
        <v>951</v>
      </c>
      <c r="I1210" s="83"/>
      <c r="J1210" s="83"/>
      <c r="K1210" s="83"/>
      <c r="L1210" s="83"/>
      <c r="M1210" s="83"/>
      <c r="N1210" s="83"/>
      <c r="O1210" s="83"/>
      <c r="P1210" s="83"/>
      <c r="Q1210" s="83"/>
      <c r="R1210" s="83"/>
      <c r="S1210" s="83"/>
      <c r="T1210" s="83"/>
      <c r="U1210" s="83"/>
      <c r="V1210" s="83"/>
      <c r="W1210" s="83"/>
      <c r="X1210" s="83"/>
      <c r="Y1210" s="83"/>
      <c r="Z1210" s="83"/>
    </row>
    <row r="1211">
      <c r="A1211" s="75" t="s">
        <v>34</v>
      </c>
      <c r="B1211" s="75" t="s">
        <v>1010</v>
      </c>
      <c r="C1211" s="75">
        <v>1.79</v>
      </c>
      <c r="D1211" s="75">
        <v>0.0</v>
      </c>
      <c r="E1211" s="75">
        <v>0.0</v>
      </c>
      <c r="F1211" s="75" t="s">
        <v>925</v>
      </c>
      <c r="G1211" s="82">
        <v>46110.0</v>
      </c>
      <c r="H1211" s="76" t="s">
        <v>952</v>
      </c>
      <c r="I1211" s="83"/>
      <c r="J1211" s="83"/>
      <c r="K1211" s="83"/>
      <c r="L1211" s="83"/>
      <c r="M1211" s="83"/>
      <c r="N1211" s="83"/>
      <c r="O1211" s="83"/>
      <c r="P1211" s="83"/>
      <c r="Q1211" s="83"/>
      <c r="R1211" s="83"/>
      <c r="S1211" s="83"/>
      <c r="T1211" s="83"/>
      <c r="U1211" s="83"/>
      <c r="V1211" s="83"/>
      <c r="W1211" s="83"/>
      <c r="X1211" s="83"/>
      <c r="Y1211" s="83"/>
      <c r="Z1211" s="83"/>
    </row>
    <row r="1212">
      <c r="A1212" s="75" t="s">
        <v>34</v>
      </c>
      <c r="B1212" s="75" t="s">
        <v>1010</v>
      </c>
      <c r="C1212" s="75">
        <v>2.32</v>
      </c>
      <c r="D1212" s="75">
        <v>0.0</v>
      </c>
      <c r="E1212" s="75">
        <v>0.0</v>
      </c>
      <c r="F1212" s="75" t="s">
        <v>925</v>
      </c>
      <c r="G1212" s="82">
        <v>46110.0</v>
      </c>
      <c r="H1212" s="76" t="s">
        <v>953</v>
      </c>
      <c r="I1212" s="83"/>
      <c r="J1212" s="83"/>
      <c r="K1212" s="83"/>
      <c r="L1212" s="83"/>
      <c r="M1212" s="83"/>
      <c r="N1212" s="83"/>
      <c r="O1212" s="83"/>
      <c r="P1212" s="83"/>
      <c r="Q1212" s="83"/>
      <c r="R1212" s="83"/>
      <c r="S1212" s="83"/>
      <c r="T1212" s="83"/>
      <c r="U1212" s="83"/>
      <c r="V1212" s="83"/>
      <c r="W1212" s="83"/>
      <c r="X1212" s="83"/>
      <c r="Y1212" s="83"/>
      <c r="Z1212" s="83"/>
    </row>
    <row r="1213">
      <c r="A1213" s="75" t="s">
        <v>40</v>
      </c>
      <c r="B1213" s="75" t="s">
        <v>1010</v>
      </c>
      <c r="C1213" s="75">
        <v>0.89</v>
      </c>
      <c r="D1213" s="75">
        <v>0.0</v>
      </c>
      <c r="E1213" s="75">
        <v>0.0</v>
      </c>
      <c r="F1213" s="75" t="s">
        <v>925</v>
      </c>
      <c r="G1213" s="82">
        <v>46110.0</v>
      </c>
      <c r="H1213" s="76" t="s">
        <v>954</v>
      </c>
      <c r="I1213" s="83"/>
      <c r="J1213" s="83"/>
      <c r="K1213" s="83"/>
      <c r="L1213" s="83"/>
      <c r="M1213" s="83"/>
      <c r="N1213" s="83"/>
      <c r="O1213" s="83"/>
      <c r="P1213" s="83"/>
      <c r="Q1213" s="83"/>
      <c r="R1213" s="83"/>
      <c r="S1213" s="83"/>
      <c r="T1213" s="83"/>
      <c r="U1213" s="83"/>
      <c r="V1213" s="83"/>
      <c r="W1213" s="83"/>
      <c r="X1213" s="83"/>
      <c r="Y1213" s="83"/>
      <c r="Z1213" s="83"/>
    </row>
    <row r="1214">
      <c r="A1214" s="75" t="s">
        <v>40</v>
      </c>
      <c r="B1214" s="75" t="s">
        <v>1010</v>
      </c>
      <c r="C1214" s="75">
        <v>0.94</v>
      </c>
      <c r="D1214" s="75">
        <v>0.0</v>
      </c>
      <c r="E1214" s="75">
        <v>0.0</v>
      </c>
      <c r="F1214" s="75" t="s">
        <v>925</v>
      </c>
      <c r="G1214" s="82">
        <v>46110.0</v>
      </c>
      <c r="H1214" s="76" t="s">
        <v>955</v>
      </c>
      <c r="I1214" s="83"/>
      <c r="J1214" s="83"/>
      <c r="K1214" s="83"/>
      <c r="L1214" s="83"/>
      <c r="M1214" s="83"/>
      <c r="N1214" s="83"/>
      <c r="O1214" s="83"/>
      <c r="P1214" s="83"/>
      <c r="Q1214" s="83"/>
      <c r="R1214" s="83"/>
      <c r="S1214" s="83"/>
      <c r="T1214" s="83"/>
      <c r="U1214" s="83"/>
      <c r="V1214" s="83"/>
      <c r="W1214" s="83"/>
      <c r="X1214" s="83"/>
      <c r="Y1214" s="83"/>
      <c r="Z1214" s="83"/>
    </row>
    <row r="1215">
      <c r="A1215" s="75" t="s">
        <v>40</v>
      </c>
      <c r="B1215" s="75" t="s">
        <v>1010</v>
      </c>
      <c r="C1215" s="75">
        <v>5.78</v>
      </c>
      <c r="D1215" s="75">
        <v>0.0</v>
      </c>
      <c r="E1215" s="75">
        <v>0.0</v>
      </c>
      <c r="F1215" s="75" t="s">
        <v>925</v>
      </c>
      <c r="G1215" s="82">
        <v>46110.0</v>
      </c>
      <c r="H1215" s="76" t="s">
        <v>956</v>
      </c>
      <c r="I1215" s="83"/>
      <c r="J1215" s="83"/>
      <c r="K1215" s="83"/>
      <c r="L1215" s="83"/>
      <c r="M1215" s="83"/>
      <c r="N1215" s="83"/>
      <c r="O1215" s="83"/>
      <c r="P1215" s="83"/>
      <c r="Q1215" s="83"/>
      <c r="R1215" s="83"/>
      <c r="S1215" s="83"/>
      <c r="T1215" s="83"/>
      <c r="U1215" s="83"/>
      <c r="V1215" s="83"/>
      <c r="W1215" s="83"/>
      <c r="X1215" s="83"/>
      <c r="Y1215" s="83"/>
      <c r="Z1215" s="83"/>
    </row>
    <row r="1216">
      <c r="A1216" s="75" t="s">
        <v>33</v>
      </c>
      <c r="B1216" s="75" t="s">
        <v>1010</v>
      </c>
      <c r="C1216" s="75">
        <v>4.06</v>
      </c>
      <c r="D1216" s="75">
        <v>0.0</v>
      </c>
      <c r="E1216" s="75">
        <v>0.0</v>
      </c>
      <c r="F1216" s="75" t="s">
        <v>925</v>
      </c>
      <c r="G1216" s="82">
        <v>46110.0</v>
      </c>
      <c r="H1216" s="76" t="s">
        <v>957</v>
      </c>
      <c r="I1216" s="83"/>
      <c r="J1216" s="83"/>
      <c r="K1216" s="83"/>
      <c r="L1216" s="83"/>
      <c r="M1216" s="83"/>
      <c r="N1216" s="83"/>
      <c r="O1216" s="83"/>
      <c r="P1216" s="83"/>
      <c r="Q1216" s="83"/>
      <c r="R1216" s="83"/>
      <c r="S1216" s="83"/>
      <c r="T1216" s="83"/>
      <c r="U1216" s="83"/>
      <c r="V1216" s="83"/>
      <c r="W1216" s="83"/>
      <c r="X1216" s="83"/>
      <c r="Y1216" s="83"/>
      <c r="Z1216" s="83"/>
    </row>
    <row r="1217">
      <c r="A1217" s="75" t="s">
        <v>33</v>
      </c>
      <c r="B1217" s="75" t="s">
        <v>1010</v>
      </c>
      <c r="C1217" s="75">
        <v>0.5</v>
      </c>
      <c r="D1217" s="75">
        <v>0.0</v>
      </c>
      <c r="E1217" s="75">
        <v>0.0</v>
      </c>
      <c r="F1217" s="75" t="s">
        <v>925</v>
      </c>
      <c r="G1217" s="82">
        <v>46110.0</v>
      </c>
      <c r="H1217" s="76" t="s">
        <v>958</v>
      </c>
      <c r="I1217" s="83"/>
      <c r="J1217" s="83"/>
      <c r="K1217" s="83"/>
      <c r="L1217" s="83"/>
      <c r="M1217" s="83"/>
      <c r="N1217" s="83"/>
      <c r="O1217" s="83"/>
      <c r="P1217" s="83"/>
      <c r="Q1217" s="83"/>
      <c r="R1217" s="83"/>
      <c r="S1217" s="83"/>
      <c r="T1217" s="83"/>
      <c r="U1217" s="83"/>
      <c r="V1217" s="83"/>
      <c r="W1217" s="83"/>
      <c r="X1217" s="83"/>
      <c r="Y1217" s="83"/>
      <c r="Z1217" s="83"/>
    </row>
    <row r="1218">
      <c r="A1218" s="75" t="s">
        <v>33</v>
      </c>
      <c r="B1218" s="75" t="s">
        <v>1010</v>
      </c>
      <c r="C1218" s="75">
        <v>1.79</v>
      </c>
      <c r="D1218" s="75">
        <v>0.0</v>
      </c>
      <c r="E1218" s="75">
        <v>0.0</v>
      </c>
      <c r="F1218" s="75" t="s">
        <v>925</v>
      </c>
      <c r="G1218" s="82">
        <v>46110.0</v>
      </c>
      <c r="H1218" s="76" t="s">
        <v>959</v>
      </c>
      <c r="I1218" s="83"/>
      <c r="J1218" s="83"/>
      <c r="K1218" s="83"/>
      <c r="L1218" s="83"/>
      <c r="M1218" s="83"/>
      <c r="N1218" s="83"/>
      <c r="O1218" s="83"/>
      <c r="P1218" s="83"/>
      <c r="Q1218" s="83"/>
      <c r="R1218" s="83"/>
      <c r="S1218" s="83"/>
      <c r="T1218" s="83"/>
      <c r="U1218" s="83"/>
      <c r="V1218" s="83"/>
      <c r="W1218" s="83"/>
      <c r="X1218" s="83"/>
      <c r="Y1218" s="83"/>
      <c r="Z1218" s="83"/>
    </row>
    <row r="1219">
      <c r="A1219" s="75" t="s">
        <v>46</v>
      </c>
      <c r="B1219" s="75" t="s">
        <v>1010</v>
      </c>
      <c r="C1219" s="75">
        <v>1.93</v>
      </c>
      <c r="D1219" s="75">
        <v>0.0</v>
      </c>
      <c r="E1219" s="75">
        <v>0.0</v>
      </c>
      <c r="F1219" s="75" t="s">
        <v>925</v>
      </c>
      <c r="G1219" s="82">
        <v>46110.0</v>
      </c>
      <c r="H1219" s="76" t="s">
        <v>960</v>
      </c>
      <c r="I1219" s="83"/>
      <c r="J1219" s="83"/>
      <c r="K1219" s="83"/>
      <c r="L1219" s="83"/>
      <c r="M1219" s="83"/>
      <c r="N1219" s="83"/>
      <c r="O1219" s="83"/>
      <c r="P1219" s="83"/>
      <c r="Q1219" s="83"/>
      <c r="R1219" s="83"/>
      <c r="S1219" s="83"/>
      <c r="T1219" s="83"/>
      <c r="U1219" s="83"/>
      <c r="V1219" s="83"/>
      <c r="W1219" s="83"/>
      <c r="X1219" s="83"/>
      <c r="Y1219" s="83"/>
      <c r="Z1219" s="83"/>
    </row>
    <row r="1220">
      <c r="A1220" s="75" t="s">
        <v>46</v>
      </c>
      <c r="B1220" s="75" t="s">
        <v>1010</v>
      </c>
      <c r="C1220" s="75">
        <v>2.02</v>
      </c>
      <c r="D1220" s="75">
        <v>0.0</v>
      </c>
      <c r="E1220" s="75">
        <v>0.0</v>
      </c>
      <c r="F1220" s="75" t="s">
        <v>925</v>
      </c>
      <c r="G1220" s="82">
        <v>46110.0</v>
      </c>
      <c r="H1220" s="76" t="s">
        <v>961</v>
      </c>
      <c r="I1220" s="83"/>
      <c r="J1220" s="83"/>
      <c r="K1220" s="83"/>
      <c r="L1220" s="83"/>
      <c r="M1220" s="83"/>
      <c r="N1220" s="83"/>
      <c r="O1220" s="83"/>
      <c r="P1220" s="83"/>
      <c r="Q1220" s="83"/>
      <c r="R1220" s="83"/>
      <c r="S1220" s="83"/>
      <c r="T1220" s="83"/>
      <c r="U1220" s="83"/>
      <c r="V1220" s="83"/>
      <c r="W1220" s="83"/>
      <c r="X1220" s="83"/>
      <c r="Y1220" s="83"/>
      <c r="Z1220" s="83"/>
    </row>
    <row r="1221">
      <c r="A1221" s="75" t="s">
        <v>46</v>
      </c>
      <c r="B1221" s="75" t="s">
        <v>1010</v>
      </c>
      <c r="C1221" s="75">
        <v>2.04</v>
      </c>
      <c r="D1221" s="75">
        <v>1.0</v>
      </c>
      <c r="E1221" s="75">
        <v>2.04</v>
      </c>
      <c r="F1221" s="75" t="s">
        <v>925</v>
      </c>
      <c r="G1221" s="82">
        <v>46110.0</v>
      </c>
      <c r="H1221" s="76" t="s">
        <v>962</v>
      </c>
      <c r="I1221" s="83"/>
      <c r="J1221" s="83"/>
      <c r="K1221" s="83"/>
      <c r="L1221" s="83"/>
      <c r="M1221" s="83"/>
      <c r="N1221" s="83"/>
      <c r="O1221" s="83"/>
      <c r="P1221" s="83"/>
      <c r="Q1221" s="83"/>
      <c r="R1221" s="83"/>
      <c r="S1221" s="83"/>
      <c r="T1221" s="83"/>
      <c r="U1221" s="83"/>
      <c r="V1221" s="83"/>
      <c r="W1221" s="83"/>
      <c r="X1221" s="83"/>
      <c r="Y1221" s="83"/>
      <c r="Z1221" s="83"/>
    </row>
    <row r="1222">
      <c r="A1222" s="75" t="s">
        <v>43</v>
      </c>
      <c r="B1222" s="75" t="s">
        <v>1010</v>
      </c>
      <c r="C1222" s="75">
        <v>1.42</v>
      </c>
      <c r="D1222" s="75">
        <v>0.0</v>
      </c>
      <c r="E1222" s="75">
        <v>0.0</v>
      </c>
      <c r="F1222" s="75" t="s">
        <v>925</v>
      </c>
      <c r="G1222" s="82">
        <v>46110.0</v>
      </c>
      <c r="H1222" s="76" t="s">
        <v>963</v>
      </c>
      <c r="I1222" s="83"/>
      <c r="J1222" s="83"/>
      <c r="K1222" s="83"/>
      <c r="L1222" s="83"/>
      <c r="M1222" s="83"/>
      <c r="N1222" s="83"/>
      <c r="O1222" s="83"/>
      <c r="P1222" s="83"/>
      <c r="Q1222" s="83"/>
      <c r="R1222" s="83"/>
      <c r="S1222" s="83"/>
      <c r="T1222" s="83"/>
      <c r="U1222" s="83"/>
      <c r="V1222" s="83"/>
      <c r="W1222" s="83"/>
      <c r="X1222" s="83"/>
      <c r="Y1222" s="83"/>
      <c r="Z1222" s="83"/>
    </row>
    <row r="1223">
      <c r="A1223" s="75" t="s">
        <v>43</v>
      </c>
      <c r="B1223" s="75" t="s">
        <v>1010</v>
      </c>
      <c r="C1223" s="75">
        <v>0.69</v>
      </c>
      <c r="D1223" s="75">
        <v>0.0</v>
      </c>
      <c r="E1223" s="75">
        <v>0.0</v>
      </c>
      <c r="F1223" s="75" t="s">
        <v>925</v>
      </c>
      <c r="G1223" s="82">
        <v>46110.0</v>
      </c>
      <c r="H1223" s="76" t="s">
        <v>964</v>
      </c>
      <c r="I1223" s="83"/>
      <c r="J1223" s="83"/>
      <c r="K1223" s="83"/>
      <c r="L1223" s="83"/>
      <c r="M1223" s="83"/>
      <c r="N1223" s="83"/>
      <c r="O1223" s="83"/>
      <c r="P1223" s="83"/>
      <c r="Q1223" s="83"/>
      <c r="R1223" s="83"/>
      <c r="S1223" s="83"/>
      <c r="T1223" s="83"/>
      <c r="U1223" s="83"/>
      <c r="V1223" s="83"/>
      <c r="W1223" s="83"/>
      <c r="X1223" s="83"/>
      <c r="Y1223" s="83"/>
      <c r="Z1223" s="83"/>
    </row>
    <row r="1224">
      <c r="A1224" s="75" t="s">
        <v>43</v>
      </c>
      <c r="B1224" s="75" t="s">
        <v>1010</v>
      </c>
      <c r="C1224" s="75">
        <v>2.64</v>
      </c>
      <c r="D1224" s="75">
        <v>0.0</v>
      </c>
      <c r="E1224" s="75">
        <v>0.0</v>
      </c>
      <c r="F1224" s="75" t="s">
        <v>925</v>
      </c>
      <c r="G1224" s="82">
        <v>46110.0</v>
      </c>
      <c r="H1224" s="76" t="s">
        <v>965</v>
      </c>
      <c r="I1224" s="83"/>
      <c r="J1224" s="83"/>
      <c r="K1224" s="83"/>
      <c r="L1224" s="83"/>
      <c r="M1224" s="83"/>
      <c r="N1224" s="83"/>
      <c r="O1224" s="83"/>
      <c r="P1224" s="83"/>
      <c r="Q1224" s="83"/>
      <c r="R1224" s="83"/>
      <c r="S1224" s="83"/>
      <c r="T1224" s="83"/>
      <c r="U1224" s="83"/>
      <c r="V1224" s="83"/>
      <c r="W1224" s="83"/>
      <c r="X1224" s="83"/>
      <c r="Y1224" s="83"/>
      <c r="Z1224" s="83"/>
    </row>
    <row r="1225">
      <c r="A1225" s="75" t="s">
        <v>966</v>
      </c>
      <c r="B1225" s="75" t="s">
        <v>1010</v>
      </c>
      <c r="C1225" s="75">
        <v>3.72</v>
      </c>
      <c r="D1225" s="75">
        <v>0.0</v>
      </c>
      <c r="E1225" s="75">
        <v>0.0</v>
      </c>
      <c r="F1225" s="75" t="s">
        <v>925</v>
      </c>
      <c r="G1225" s="82">
        <v>46110.0</v>
      </c>
      <c r="H1225" s="76" t="s">
        <v>967</v>
      </c>
      <c r="I1225" s="83"/>
      <c r="J1225" s="83"/>
      <c r="K1225" s="83"/>
      <c r="L1225" s="83"/>
      <c r="M1225" s="83"/>
      <c r="N1225" s="83"/>
      <c r="O1225" s="83"/>
      <c r="P1225" s="83"/>
      <c r="Q1225" s="83"/>
      <c r="R1225" s="83"/>
      <c r="S1225" s="83"/>
      <c r="T1225" s="83"/>
      <c r="U1225" s="83"/>
      <c r="V1225" s="83"/>
      <c r="W1225" s="83"/>
      <c r="X1225" s="83"/>
      <c r="Y1225" s="83"/>
      <c r="Z1225" s="83"/>
    </row>
    <row r="1226">
      <c r="A1226" s="75" t="s">
        <v>966</v>
      </c>
      <c r="B1226" s="75" t="s">
        <v>1010</v>
      </c>
      <c r="C1226" s="75">
        <v>1.68</v>
      </c>
      <c r="D1226" s="75">
        <v>0.0</v>
      </c>
      <c r="E1226" s="75">
        <v>0.0</v>
      </c>
      <c r="F1226" s="75" t="s">
        <v>925</v>
      </c>
      <c r="G1226" s="82">
        <v>46110.0</v>
      </c>
      <c r="H1226" s="76" t="s">
        <v>968</v>
      </c>
      <c r="I1226" s="83"/>
      <c r="J1226" s="83"/>
      <c r="K1226" s="83"/>
      <c r="L1226" s="83"/>
      <c r="M1226" s="83"/>
      <c r="N1226" s="83"/>
      <c r="O1226" s="83"/>
      <c r="P1226" s="83"/>
      <c r="Q1226" s="83"/>
      <c r="R1226" s="83"/>
      <c r="S1226" s="83"/>
      <c r="T1226" s="83"/>
      <c r="U1226" s="83"/>
      <c r="V1226" s="83"/>
      <c r="W1226" s="83"/>
      <c r="X1226" s="83"/>
      <c r="Y1226" s="83"/>
      <c r="Z1226" s="83"/>
    </row>
    <row r="1227">
      <c r="A1227" s="75" t="s">
        <v>966</v>
      </c>
      <c r="B1227" s="75" t="s">
        <v>1010</v>
      </c>
      <c r="C1227" s="75">
        <v>0.95</v>
      </c>
      <c r="D1227" s="75">
        <v>0.0</v>
      </c>
      <c r="E1227" s="75">
        <v>0.0</v>
      </c>
      <c r="F1227" s="75" t="s">
        <v>925</v>
      </c>
      <c r="G1227" s="82">
        <v>46110.0</v>
      </c>
      <c r="H1227" s="76" t="s">
        <v>969</v>
      </c>
      <c r="I1227" s="83"/>
      <c r="J1227" s="83"/>
      <c r="K1227" s="83"/>
      <c r="L1227" s="83"/>
      <c r="M1227" s="83"/>
      <c r="N1227" s="83"/>
      <c r="O1227" s="83"/>
      <c r="P1227" s="83"/>
      <c r="Q1227" s="83"/>
      <c r="R1227" s="83"/>
      <c r="S1227" s="83"/>
      <c r="T1227" s="83"/>
      <c r="U1227" s="83"/>
      <c r="V1227" s="83"/>
      <c r="W1227" s="83"/>
      <c r="X1227" s="83"/>
      <c r="Y1227" s="83"/>
      <c r="Z1227" s="83"/>
    </row>
    <row r="1228">
      <c r="A1228" s="75" t="s">
        <v>36</v>
      </c>
      <c r="B1228" s="75" t="s">
        <v>1010</v>
      </c>
      <c r="C1228" s="75">
        <v>4.99</v>
      </c>
      <c r="D1228" s="75">
        <v>0.0</v>
      </c>
      <c r="E1228" s="75">
        <v>0.0</v>
      </c>
      <c r="F1228" s="75" t="s">
        <v>925</v>
      </c>
      <c r="G1228" s="82">
        <v>46110.0</v>
      </c>
      <c r="H1228" s="76" t="s">
        <v>926</v>
      </c>
      <c r="I1228" s="83"/>
      <c r="J1228" s="83"/>
      <c r="K1228" s="83"/>
      <c r="L1228" s="83"/>
      <c r="M1228" s="83"/>
      <c r="N1228" s="83"/>
      <c r="O1228" s="83"/>
      <c r="P1228" s="83"/>
      <c r="Q1228" s="83"/>
      <c r="R1228" s="83"/>
      <c r="S1228" s="83"/>
      <c r="T1228" s="83"/>
      <c r="U1228" s="83"/>
      <c r="V1228" s="83"/>
      <c r="W1228" s="83"/>
      <c r="X1228" s="83"/>
      <c r="Y1228" s="83"/>
      <c r="Z1228" s="83"/>
    </row>
    <row r="1229">
      <c r="A1229" s="75" t="s">
        <v>36</v>
      </c>
      <c r="B1229" s="75" t="s">
        <v>1010</v>
      </c>
      <c r="C1229" s="75">
        <v>1.29</v>
      </c>
      <c r="D1229" s="75">
        <v>0.0</v>
      </c>
      <c r="E1229" s="75">
        <v>0.0</v>
      </c>
      <c r="F1229" s="75" t="s">
        <v>925</v>
      </c>
      <c r="G1229" s="82">
        <v>46110.0</v>
      </c>
      <c r="H1229" s="76" t="s">
        <v>927</v>
      </c>
      <c r="I1229" s="83"/>
      <c r="J1229" s="83"/>
      <c r="K1229" s="83"/>
      <c r="L1229" s="83"/>
      <c r="M1229" s="83"/>
      <c r="N1229" s="83"/>
      <c r="O1229" s="83"/>
      <c r="P1229" s="83"/>
      <c r="Q1229" s="83"/>
      <c r="R1229" s="83"/>
      <c r="S1229" s="83"/>
      <c r="T1229" s="83"/>
      <c r="U1229" s="83"/>
      <c r="V1229" s="83"/>
      <c r="W1229" s="83"/>
      <c r="X1229" s="83"/>
      <c r="Y1229" s="83"/>
      <c r="Z1229" s="83"/>
    </row>
    <row r="1230">
      <c r="A1230" s="75" t="s">
        <v>36</v>
      </c>
      <c r="B1230" s="75" t="s">
        <v>1010</v>
      </c>
      <c r="C1230" s="75">
        <v>1.54</v>
      </c>
      <c r="D1230" s="75">
        <v>0.0</v>
      </c>
      <c r="E1230" s="75">
        <v>0.0</v>
      </c>
      <c r="F1230" s="75" t="s">
        <v>925</v>
      </c>
      <c r="G1230" s="82">
        <v>46110.0</v>
      </c>
      <c r="H1230" s="76" t="s">
        <v>928</v>
      </c>
      <c r="I1230" s="83"/>
      <c r="J1230" s="83"/>
      <c r="K1230" s="83"/>
      <c r="L1230" s="83"/>
      <c r="M1230" s="83"/>
      <c r="N1230" s="83"/>
      <c r="O1230" s="83"/>
      <c r="P1230" s="83"/>
      <c r="Q1230" s="83"/>
      <c r="R1230" s="83"/>
      <c r="S1230" s="83"/>
      <c r="T1230" s="83"/>
      <c r="U1230" s="83"/>
      <c r="V1230" s="83"/>
      <c r="W1230" s="83"/>
      <c r="X1230" s="83"/>
      <c r="Y1230" s="83"/>
      <c r="Z1230" s="83"/>
    </row>
    <row r="1231">
      <c r="A1231" s="75" t="s">
        <v>970</v>
      </c>
      <c r="B1231" s="75" t="s">
        <v>1010</v>
      </c>
      <c r="C1231" s="75">
        <v>0.9</v>
      </c>
      <c r="D1231" s="75">
        <v>0.0</v>
      </c>
      <c r="E1231" s="75">
        <v>0.0</v>
      </c>
      <c r="F1231" s="75" t="s">
        <v>925</v>
      </c>
      <c r="G1231" s="82">
        <v>46110.0</v>
      </c>
      <c r="H1231" s="76" t="s">
        <v>971</v>
      </c>
      <c r="I1231" s="83"/>
      <c r="J1231" s="83"/>
      <c r="K1231" s="83"/>
      <c r="L1231" s="83"/>
      <c r="M1231" s="83"/>
      <c r="N1231" s="83"/>
      <c r="O1231" s="83"/>
      <c r="P1231" s="83"/>
      <c r="Q1231" s="83"/>
      <c r="R1231" s="83"/>
      <c r="S1231" s="83"/>
      <c r="T1231" s="83"/>
      <c r="U1231" s="83"/>
      <c r="V1231" s="83"/>
      <c r="W1231" s="83"/>
      <c r="X1231" s="83"/>
      <c r="Y1231" s="83"/>
      <c r="Z1231" s="83"/>
    </row>
    <row r="1232">
      <c r="A1232" s="75" t="s">
        <v>970</v>
      </c>
      <c r="B1232" s="75" t="s">
        <v>1010</v>
      </c>
      <c r="C1232" s="75">
        <v>1.0</v>
      </c>
      <c r="D1232" s="75">
        <v>0.0</v>
      </c>
      <c r="E1232" s="75">
        <v>0.0</v>
      </c>
      <c r="F1232" s="75" t="s">
        <v>925</v>
      </c>
      <c r="G1232" s="82">
        <v>46110.0</v>
      </c>
      <c r="H1232" s="76" t="s">
        <v>972</v>
      </c>
      <c r="I1232" s="83"/>
      <c r="J1232" s="83"/>
      <c r="K1232" s="83"/>
      <c r="L1232" s="83"/>
      <c r="M1232" s="83"/>
      <c r="N1232" s="83"/>
      <c r="O1232" s="83"/>
      <c r="P1232" s="83"/>
      <c r="Q1232" s="83"/>
      <c r="R1232" s="83"/>
      <c r="S1232" s="83"/>
      <c r="T1232" s="83"/>
      <c r="U1232" s="83"/>
      <c r="V1232" s="83"/>
      <c r="W1232" s="83"/>
      <c r="X1232" s="83"/>
      <c r="Y1232" s="83"/>
      <c r="Z1232" s="83"/>
    </row>
    <row r="1233">
      <c r="A1233" s="75" t="s">
        <v>970</v>
      </c>
      <c r="B1233" s="75" t="s">
        <v>1010</v>
      </c>
      <c r="C1233" s="75">
        <v>4.79</v>
      </c>
      <c r="D1233" s="75">
        <v>0.0</v>
      </c>
      <c r="E1233" s="75">
        <v>0.0</v>
      </c>
      <c r="F1233" s="75" t="s">
        <v>925</v>
      </c>
      <c r="G1233" s="82">
        <v>46110.0</v>
      </c>
      <c r="H1233" s="76" t="s">
        <v>973</v>
      </c>
      <c r="I1233" s="83"/>
      <c r="J1233" s="83"/>
      <c r="K1233" s="83"/>
      <c r="L1233" s="83"/>
      <c r="M1233" s="83"/>
      <c r="N1233" s="83"/>
      <c r="O1233" s="83"/>
      <c r="P1233" s="83"/>
      <c r="Q1233" s="83"/>
      <c r="R1233" s="83"/>
      <c r="S1233" s="83"/>
      <c r="T1233" s="83"/>
      <c r="U1233" s="83"/>
      <c r="V1233" s="83"/>
      <c r="W1233" s="83"/>
      <c r="X1233" s="83"/>
      <c r="Y1233" s="83"/>
      <c r="Z1233" s="83"/>
    </row>
    <row r="1234">
      <c r="A1234" s="75" t="s">
        <v>34</v>
      </c>
      <c r="B1234" s="75" t="s">
        <v>1010</v>
      </c>
      <c r="C1234" s="75">
        <v>1.43</v>
      </c>
      <c r="D1234" s="75">
        <v>0.0</v>
      </c>
      <c r="E1234" s="75">
        <v>0.0</v>
      </c>
      <c r="F1234" s="75" t="s">
        <v>948</v>
      </c>
      <c r="G1234" s="82">
        <v>46110.0</v>
      </c>
      <c r="H1234" s="76" t="s">
        <v>951</v>
      </c>
      <c r="I1234" s="83"/>
      <c r="J1234" s="83"/>
      <c r="K1234" s="83"/>
      <c r="L1234" s="83"/>
      <c r="M1234" s="83"/>
      <c r="N1234" s="83"/>
      <c r="O1234" s="83"/>
      <c r="P1234" s="83"/>
      <c r="Q1234" s="83"/>
      <c r="R1234" s="83"/>
      <c r="S1234" s="83"/>
      <c r="T1234" s="83"/>
      <c r="U1234" s="83"/>
      <c r="V1234" s="83"/>
      <c r="W1234" s="83"/>
      <c r="X1234" s="83"/>
      <c r="Y1234" s="83"/>
      <c r="Z1234" s="83"/>
    </row>
    <row r="1235">
      <c r="A1235" s="75" t="s">
        <v>34</v>
      </c>
      <c r="B1235" s="75" t="s">
        <v>1010</v>
      </c>
      <c r="C1235" s="75">
        <v>1.66</v>
      </c>
      <c r="D1235" s="75">
        <v>0.0</v>
      </c>
      <c r="E1235" s="75">
        <v>0.0</v>
      </c>
      <c r="F1235" s="75" t="s">
        <v>948</v>
      </c>
      <c r="G1235" s="82">
        <v>46110.0</v>
      </c>
      <c r="H1235" s="76" t="s">
        <v>952</v>
      </c>
      <c r="I1235" s="83"/>
      <c r="J1235" s="83"/>
      <c r="K1235" s="83"/>
      <c r="L1235" s="83"/>
      <c r="M1235" s="83"/>
      <c r="N1235" s="83"/>
      <c r="O1235" s="83"/>
      <c r="P1235" s="83"/>
      <c r="Q1235" s="83"/>
      <c r="R1235" s="83"/>
      <c r="S1235" s="83"/>
      <c r="T1235" s="83"/>
      <c r="U1235" s="83"/>
      <c r="V1235" s="83"/>
      <c r="W1235" s="83"/>
      <c r="X1235" s="83"/>
      <c r="Y1235" s="83"/>
      <c r="Z1235" s="83"/>
    </row>
    <row r="1236">
      <c r="A1236" s="75" t="s">
        <v>34</v>
      </c>
      <c r="B1236" s="75" t="s">
        <v>1010</v>
      </c>
      <c r="C1236" s="75">
        <v>3.6</v>
      </c>
      <c r="D1236" s="75">
        <v>1.0</v>
      </c>
      <c r="E1236" s="75">
        <v>3.6</v>
      </c>
      <c r="F1236" s="75" t="s">
        <v>948</v>
      </c>
      <c r="G1236" s="82">
        <v>46110.0</v>
      </c>
      <c r="H1236" s="76" t="s">
        <v>953</v>
      </c>
      <c r="I1236" s="83"/>
      <c r="J1236" s="83"/>
      <c r="K1236" s="83"/>
      <c r="L1236" s="83"/>
      <c r="M1236" s="83"/>
      <c r="N1236" s="83"/>
      <c r="O1236" s="83"/>
      <c r="P1236" s="83"/>
      <c r="Q1236" s="83"/>
      <c r="R1236" s="83"/>
      <c r="S1236" s="83"/>
      <c r="T1236" s="83"/>
      <c r="U1236" s="83"/>
      <c r="V1236" s="83"/>
      <c r="W1236" s="83"/>
      <c r="X1236" s="83"/>
      <c r="Y1236" s="83"/>
      <c r="Z1236" s="83"/>
    </row>
    <row r="1237">
      <c r="A1237" s="75" t="s">
        <v>40</v>
      </c>
      <c r="B1237" s="75" t="s">
        <v>1010</v>
      </c>
      <c r="C1237" s="75">
        <v>0.94</v>
      </c>
      <c r="D1237" s="75">
        <v>0.0</v>
      </c>
      <c r="E1237" s="75">
        <v>0.0</v>
      </c>
      <c r="F1237" s="75" t="s">
        <v>948</v>
      </c>
      <c r="G1237" s="82">
        <v>46110.0</v>
      </c>
      <c r="H1237" s="76" t="s">
        <v>954</v>
      </c>
      <c r="I1237" s="83"/>
      <c r="J1237" s="83"/>
      <c r="K1237" s="83"/>
      <c r="L1237" s="83"/>
      <c r="M1237" s="83"/>
      <c r="N1237" s="83"/>
      <c r="O1237" s="83"/>
      <c r="P1237" s="83"/>
      <c r="Q1237" s="83"/>
      <c r="R1237" s="83"/>
      <c r="S1237" s="83"/>
      <c r="T1237" s="83"/>
      <c r="U1237" s="83"/>
      <c r="V1237" s="83"/>
      <c r="W1237" s="83"/>
      <c r="X1237" s="83"/>
      <c r="Y1237" s="83"/>
      <c r="Z1237" s="83"/>
    </row>
    <row r="1238">
      <c r="A1238" s="75" t="s">
        <v>40</v>
      </c>
      <c r="B1238" s="75" t="s">
        <v>1010</v>
      </c>
      <c r="C1238" s="75">
        <v>1.14</v>
      </c>
      <c r="D1238" s="75">
        <v>0.0</v>
      </c>
      <c r="E1238" s="75">
        <v>0.0</v>
      </c>
      <c r="F1238" s="75" t="s">
        <v>948</v>
      </c>
      <c r="G1238" s="82">
        <v>46110.0</v>
      </c>
      <c r="H1238" s="76" t="s">
        <v>955</v>
      </c>
      <c r="I1238" s="83"/>
      <c r="J1238" s="83"/>
      <c r="K1238" s="83"/>
      <c r="L1238" s="83"/>
      <c r="M1238" s="83"/>
      <c r="N1238" s="83"/>
      <c r="O1238" s="83"/>
      <c r="P1238" s="83"/>
      <c r="Q1238" s="83"/>
      <c r="R1238" s="83"/>
      <c r="S1238" s="83"/>
      <c r="T1238" s="83"/>
      <c r="U1238" s="83"/>
      <c r="V1238" s="83"/>
      <c r="W1238" s="83"/>
      <c r="X1238" s="83"/>
      <c r="Y1238" s="83"/>
      <c r="Z1238" s="83"/>
    </row>
    <row r="1239">
      <c r="A1239" s="75" t="s">
        <v>40</v>
      </c>
      <c r="B1239" s="75" t="s">
        <v>1010</v>
      </c>
      <c r="C1239" s="75">
        <v>10.65</v>
      </c>
      <c r="D1239" s="75">
        <v>3.0</v>
      </c>
      <c r="E1239" s="75">
        <v>3.55</v>
      </c>
      <c r="F1239" s="75" t="s">
        <v>948</v>
      </c>
      <c r="G1239" s="82">
        <v>46110.0</v>
      </c>
      <c r="H1239" s="76" t="s">
        <v>956</v>
      </c>
      <c r="I1239" s="83"/>
      <c r="J1239" s="83"/>
      <c r="K1239" s="83"/>
      <c r="L1239" s="83"/>
      <c r="M1239" s="83"/>
      <c r="N1239" s="83"/>
      <c r="O1239" s="83"/>
      <c r="P1239" s="83"/>
      <c r="Q1239" s="83"/>
      <c r="R1239" s="83"/>
      <c r="S1239" s="83"/>
      <c r="T1239" s="83"/>
      <c r="U1239" s="83"/>
      <c r="V1239" s="83"/>
      <c r="W1239" s="83"/>
      <c r="X1239" s="83"/>
      <c r="Y1239" s="83"/>
      <c r="Z1239" s="83"/>
    </row>
    <row r="1240">
      <c r="A1240" s="75" t="s">
        <v>33</v>
      </c>
      <c r="B1240" s="75" t="s">
        <v>1010</v>
      </c>
      <c r="C1240" s="75">
        <v>5.87</v>
      </c>
      <c r="D1240" s="75">
        <v>0.0</v>
      </c>
      <c r="E1240" s="75">
        <v>0.0</v>
      </c>
      <c r="F1240" s="75" t="s">
        <v>948</v>
      </c>
      <c r="G1240" s="82">
        <v>46110.0</v>
      </c>
      <c r="H1240" s="76" t="s">
        <v>957</v>
      </c>
      <c r="I1240" s="83"/>
      <c r="J1240" s="83"/>
      <c r="K1240" s="83"/>
      <c r="L1240" s="83"/>
      <c r="M1240" s="83"/>
      <c r="N1240" s="83"/>
      <c r="O1240" s="83"/>
      <c r="P1240" s="83"/>
      <c r="Q1240" s="83"/>
      <c r="R1240" s="83"/>
      <c r="S1240" s="83"/>
      <c r="T1240" s="83"/>
      <c r="U1240" s="83"/>
      <c r="V1240" s="83"/>
      <c r="W1240" s="83"/>
      <c r="X1240" s="83"/>
      <c r="Y1240" s="83"/>
      <c r="Z1240" s="83"/>
    </row>
    <row r="1241">
      <c r="A1241" s="75" t="s">
        <v>33</v>
      </c>
      <c r="B1241" s="75" t="s">
        <v>1010</v>
      </c>
      <c r="C1241" s="75">
        <v>0.49</v>
      </c>
      <c r="D1241" s="75">
        <v>0.0</v>
      </c>
      <c r="E1241" s="75">
        <v>0.0</v>
      </c>
      <c r="F1241" s="75" t="s">
        <v>948</v>
      </c>
      <c r="G1241" s="82">
        <v>46110.0</v>
      </c>
      <c r="H1241" s="76" t="s">
        <v>958</v>
      </c>
      <c r="I1241" s="83"/>
      <c r="J1241" s="83"/>
      <c r="K1241" s="83"/>
      <c r="L1241" s="83"/>
      <c r="M1241" s="83"/>
      <c r="N1241" s="83"/>
      <c r="O1241" s="83"/>
      <c r="P1241" s="83"/>
      <c r="Q1241" s="83"/>
      <c r="R1241" s="83"/>
      <c r="S1241" s="83"/>
      <c r="T1241" s="83"/>
      <c r="U1241" s="83"/>
      <c r="V1241" s="83"/>
      <c r="W1241" s="83"/>
      <c r="X1241" s="83"/>
      <c r="Y1241" s="83"/>
      <c r="Z1241" s="83"/>
    </row>
    <row r="1242">
      <c r="A1242" s="75" t="s">
        <v>33</v>
      </c>
      <c r="B1242" s="75" t="s">
        <v>1010</v>
      </c>
      <c r="C1242" s="75">
        <v>1.59</v>
      </c>
      <c r="D1242" s="75">
        <v>0.0</v>
      </c>
      <c r="E1242" s="75">
        <v>0.0</v>
      </c>
      <c r="F1242" s="75" t="s">
        <v>948</v>
      </c>
      <c r="G1242" s="82">
        <v>46110.0</v>
      </c>
      <c r="H1242" s="76" t="s">
        <v>959</v>
      </c>
      <c r="I1242" s="83"/>
      <c r="J1242" s="83"/>
      <c r="K1242" s="83"/>
      <c r="L1242" s="83"/>
      <c r="M1242" s="83"/>
      <c r="N1242" s="83"/>
      <c r="O1242" s="83"/>
      <c r="P1242" s="83"/>
      <c r="Q1242" s="83"/>
      <c r="R1242" s="83"/>
      <c r="S1242" s="83"/>
      <c r="T1242" s="83"/>
      <c r="U1242" s="83"/>
      <c r="V1242" s="83"/>
      <c r="W1242" s="83"/>
      <c r="X1242" s="83"/>
      <c r="Y1242" s="83"/>
      <c r="Z1242" s="83"/>
    </row>
    <row r="1243">
      <c r="A1243" s="75" t="s">
        <v>46</v>
      </c>
      <c r="B1243" s="75" t="s">
        <v>1010</v>
      </c>
      <c r="C1243" s="75">
        <v>3.21</v>
      </c>
      <c r="D1243" s="75">
        <v>1.0</v>
      </c>
      <c r="E1243" s="75">
        <v>3.21</v>
      </c>
      <c r="F1243" s="75" t="s">
        <v>948</v>
      </c>
      <c r="G1243" s="82">
        <v>46110.0</v>
      </c>
      <c r="H1243" s="76" t="s">
        <v>960</v>
      </c>
      <c r="I1243" s="83"/>
      <c r="J1243" s="83"/>
      <c r="K1243" s="83"/>
      <c r="L1243" s="83"/>
      <c r="M1243" s="83"/>
      <c r="N1243" s="83"/>
      <c r="O1243" s="83"/>
      <c r="P1243" s="83"/>
      <c r="Q1243" s="83"/>
      <c r="R1243" s="83"/>
      <c r="S1243" s="83"/>
      <c r="T1243" s="83"/>
      <c r="U1243" s="83"/>
      <c r="V1243" s="83"/>
      <c r="W1243" s="83"/>
      <c r="X1243" s="83"/>
      <c r="Y1243" s="83"/>
      <c r="Z1243" s="83"/>
    </row>
    <row r="1244">
      <c r="A1244" s="75" t="s">
        <v>46</v>
      </c>
      <c r="B1244" s="75" t="s">
        <v>1010</v>
      </c>
      <c r="C1244" s="75">
        <v>1.99</v>
      </c>
      <c r="D1244" s="75">
        <v>0.0</v>
      </c>
      <c r="E1244" s="75">
        <v>0.0</v>
      </c>
      <c r="F1244" s="75" t="s">
        <v>948</v>
      </c>
      <c r="G1244" s="82">
        <v>46110.0</v>
      </c>
      <c r="H1244" s="76" t="s">
        <v>961</v>
      </c>
      <c r="I1244" s="83"/>
      <c r="J1244" s="83"/>
      <c r="K1244" s="83"/>
      <c r="L1244" s="83"/>
      <c r="M1244" s="83"/>
      <c r="N1244" s="83"/>
      <c r="O1244" s="83"/>
      <c r="P1244" s="83"/>
      <c r="Q1244" s="83"/>
      <c r="R1244" s="83"/>
      <c r="S1244" s="83"/>
      <c r="T1244" s="83"/>
      <c r="U1244" s="83"/>
      <c r="V1244" s="83"/>
      <c r="W1244" s="83"/>
      <c r="X1244" s="83"/>
      <c r="Y1244" s="83"/>
      <c r="Z1244" s="83"/>
    </row>
    <row r="1245">
      <c r="A1245" s="75" t="s">
        <v>46</v>
      </c>
      <c r="B1245" s="75" t="s">
        <v>1010</v>
      </c>
      <c r="C1245" s="75">
        <v>2.17</v>
      </c>
      <c r="D1245" s="75">
        <v>0.0</v>
      </c>
      <c r="E1245" s="75">
        <v>0.0</v>
      </c>
      <c r="F1245" s="75" t="s">
        <v>948</v>
      </c>
      <c r="G1245" s="82">
        <v>46110.0</v>
      </c>
      <c r="H1245" s="76" t="s">
        <v>962</v>
      </c>
      <c r="I1245" s="83"/>
      <c r="J1245" s="83"/>
      <c r="K1245" s="83"/>
      <c r="L1245" s="83"/>
      <c r="M1245" s="83"/>
      <c r="N1245" s="83"/>
      <c r="O1245" s="83"/>
      <c r="P1245" s="83"/>
      <c r="Q1245" s="83"/>
      <c r="R1245" s="83"/>
      <c r="S1245" s="83"/>
      <c r="T1245" s="83"/>
      <c r="U1245" s="83"/>
      <c r="V1245" s="83"/>
      <c r="W1245" s="83"/>
      <c r="X1245" s="83"/>
      <c r="Y1245" s="83"/>
      <c r="Z1245" s="83"/>
    </row>
    <row r="1246">
      <c r="A1246" s="75" t="s">
        <v>43</v>
      </c>
      <c r="B1246" s="75" t="s">
        <v>1010</v>
      </c>
      <c r="C1246" s="75">
        <v>1.44</v>
      </c>
      <c r="D1246" s="75">
        <v>0.0</v>
      </c>
      <c r="E1246" s="75">
        <v>0.0</v>
      </c>
      <c r="F1246" s="75" t="s">
        <v>948</v>
      </c>
      <c r="G1246" s="82">
        <v>46110.0</v>
      </c>
      <c r="H1246" s="76" t="s">
        <v>963</v>
      </c>
      <c r="I1246" s="83"/>
      <c r="J1246" s="83"/>
      <c r="K1246" s="83"/>
      <c r="L1246" s="83"/>
      <c r="M1246" s="83"/>
      <c r="N1246" s="83"/>
      <c r="O1246" s="83"/>
      <c r="P1246" s="83"/>
      <c r="Q1246" s="83"/>
      <c r="R1246" s="83"/>
      <c r="S1246" s="83"/>
      <c r="T1246" s="83"/>
      <c r="U1246" s="83"/>
      <c r="V1246" s="83"/>
      <c r="W1246" s="83"/>
      <c r="X1246" s="83"/>
      <c r="Y1246" s="83"/>
      <c r="Z1246" s="83"/>
    </row>
    <row r="1247">
      <c r="A1247" s="75" t="s">
        <v>43</v>
      </c>
      <c r="B1247" s="75" t="s">
        <v>1010</v>
      </c>
      <c r="C1247" s="75">
        <v>0.64</v>
      </c>
      <c r="D1247" s="75">
        <v>0.0</v>
      </c>
      <c r="E1247" s="75">
        <v>0.0</v>
      </c>
      <c r="F1247" s="75" t="s">
        <v>948</v>
      </c>
      <c r="G1247" s="82">
        <v>46110.0</v>
      </c>
      <c r="H1247" s="76" t="s">
        <v>964</v>
      </c>
      <c r="I1247" s="83"/>
      <c r="J1247" s="83"/>
      <c r="K1247" s="83"/>
      <c r="L1247" s="83"/>
      <c r="M1247" s="83"/>
      <c r="N1247" s="83"/>
      <c r="O1247" s="83"/>
      <c r="P1247" s="83"/>
      <c r="Q1247" s="83"/>
      <c r="R1247" s="83"/>
      <c r="S1247" s="83"/>
      <c r="T1247" s="83"/>
      <c r="U1247" s="83"/>
      <c r="V1247" s="83"/>
      <c r="W1247" s="83"/>
      <c r="X1247" s="83"/>
      <c r="Y1247" s="83"/>
      <c r="Z1247" s="83"/>
    </row>
    <row r="1248">
      <c r="A1248" s="75" t="s">
        <v>43</v>
      </c>
      <c r="B1248" s="75" t="s">
        <v>1010</v>
      </c>
      <c r="C1248" s="75">
        <v>3.36</v>
      </c>
      <c r="D1248" s="75">
        <v>0.0</v>
      </c>
      <c r="E1248" s="75">
        <v>0.0</v>
      </c>
      <c r="F1248" s="75" t="s">
        <v>948</v>
      </c>
      <c r="G1248" s="82">
        <v>46110.0</v>
      </c>
      <c r="H1248" s="76" t="s">
        <v>965</v>
      </c>
      <c r="I1248" s="83"/>
      <c r="J1248" s="83"/>
      <c r="K1248" s="83"/>
      <c r="L1248" s="83"/>
      <c r="M1248" s="83"/>
      <c r="N1248" s="83"/>
      <c r="O1248" s="83"/>
      <c r="P1248" s="83"/>
      <c r="Q1248" s="83"/>
      <c r="R1248" s="83"/>
      <c r="S1248" s="83"/>
      <c r="T1248" s="83"/>
      <c r="U1248" s="83"/>
      <c r="V1248" s="83"/>
      <c r="W1248" s="83"/>
      <c r="X1248" s="83"/>
      <c r="Y1248" s="83"/>
      <c r="Z1248" s="83"/>
    </row>
    <row r="1249">
      <c r="A1249" s="75" t="s">
        <v>966</v>
      </c>
      <c r="B1249" s="75" t="s">
        <v>1010</v>
      </c>
      <c r="C1249" s="75">
        <v>4.12</v>
      </c>
      <c r="D1249" s="75">
        <v>0.0</v>
      </c>
      <c r="E1249" s="75">
        <v>0.0</v>
      </c>
      <c r="F1249" s="75" t="s">
        <v>948</v>
      </c>
      <c r="G1249" s="82">
        <v>46110.0</v>
      </c>
      <c r="H1249" s="76" t="s">
        <v>967</v>
      </c>
      <c r="I1249" s="83"/>
      <c r="J1249" s="83"/>
      <c r="K1249" s="83"/>
      <c r="L1249" s="83"/>
      <c r="M1249" s="83"/>
      <c r="N1249" s="83"/>
      <c r="O1249" s="83"/>
      <c r="P1249" s="83"/>
      <c r="Q1249" s="83"/>
      <c r="R1249" s="83"/>
      <c r="S1249" s="83"/>
      <c r="T1249" s="83"/>
      <c r="U1249" s="83"/>
      <c r="V1249" s="83"/>
      <c r="W1249" s="83"/>
      <c r="X1249" s="83"/>
      <c r="Y1249" s="83"/>
      <c r="Z1249" s="83"/>
    </row>
    <row r="1250">
      <c r="A1250" s="75" t="s">
        <v>966</v>
      </c>
      <c r="B1250" s="75" t="s">
        <v>1010</v>
      </c>
      <c r="C1250" s="75">
        <v>1.88</v>
      </c>
      <c r="D1250" s="75">
        <v>0.0</v>
      </c>
      <c r="E1250" s="75">
        <v>0.0</v>
      </c>
      <c r="F1250" s="75" t="s">
        <v>948</v>
      </c>
      <c r="G1250" s="82">
        <v>46110.0</v>
      </c>
      <c r="H1250" s="76" t="s">
        <v>968</v>
      </c>
      <c r="I1250" s="83"/>
      <c r="J1250" s="83"/>
      <c r="K1250" s="83"/>
      <c r="L1250" s="83"/>
      <c r="M1250" s="83"/>
      <c r="N1250" s="83"/>
      <c r="O1250" s="83"/>
      <c r="P1250" s="83"/>
      <c r="Q1250" s="83"/>
      <c r="R1250" s="83"/>
      <c r="S1250" s="83"/>
      <c r="T1250" s="83"/>
      <c r="U1250" s="83"/>
      <c r="V1250" s="83"/>
      <c r="W1250" s="83"/>
      <c r="X1250" s="83"/>
      <c r="Y1250" s="83"/>
      <c r="Z1250" s="83"/>
    </row>
    <row r="1251">
      <c r="A1251" s="75" t="s">
        <v>966</v>
      </c>
      <c r="B1251" s="75" t="s">
        <v>1010</v>
      </c>
      <c r="C1251" s="75">
        <v>0.79</v>
      </c>
      <c r="D1251" s="75">
        <v>0.0</v>
      </c>
      <c r="E1251" s="75">
        <v>0.0</v>
      </c>
      <c r="F1251" s="75" t="s">
        <v>948</v>
      </c>
      <c r="G1251" s="82">
        <v>46110.0</v>
      </c>
      <c r="H1251" s="76" t="s">
        <v>969</v>
      </c>
      <c r="I1251" s="83"/>
      <c r="J1251" s="83"/>
      <c r="K1251" s="83"/>
      <c r="L1251" s="83"/>
      <c r="M1251" s="83"/>
      <c r="N1251" s="83"/>
      <c r="O1251" s="83"/>
      <c r="P1251" s="83"/>
      <c r="Q1251" s="83"/>
      <c r="R1251" s="83"/>
      <c r="S1251" s="83"/>
      <c r="T1251" s="83"/>
      <c r="U1251" s="83"/>
      <c r="V1251" s="83"/>
      <c r="W1251" s="83"/>
      <c r="X1251" s="83"/>
      <c r="Y1251" s="83"/>
      <c r="Z1251" s="83"/>
    </row>
    <row r="1252">
      <c r="A1252" s="75" t="s">
        <v>36</v>
      </c>
      <c r="B1252" s="75" t="s">
        <v>1010</v>
      </c>
      <c r="C1252" s="75">
        <v>7.03</v>
      </c>
      <c r="D1252" s="75">
        <v>0.0</v>
      </c>
      <c r="E1252" s="75">
        <v>0.0</v>
      </c>
      <c r="F1252" s="75" t="s">
        <v>948</v>
      </c>
      <c r="G1252" s="82">
        <v>46110.0</v>
      </c>
      <c r="H1252" s="76" t="s">
        <v>926</v>
      </c>
      <c r="I1252" s="83"/>
      <c r="J1252" s="83"/>
      <c r="K1252" s="83"/>
      <c r="L1252" s="83"/>
      <c r="M1252" s="83"/>
      <c r="N1252" s="83"/>
      <c r="O1252" s="83"/>
      <c r="P1252" s="83"/>
      <c r="Q1252" s="83"/>
      <c r="R1252" s="83"/>
      <c r="S1252" s="83"/>
      <c r="T1252" s="83"/>
      <c r="U1252" s="83"/>
      <c r="V1252" s="83"/>
      <c r="W1252" s="83"/>
      <c r="X1252" s="83"/>
      <c r="Y1252" s="83"/>
      <c r="Z1252" s="83"/>
    </row>
    <row r="1253">
      <c r="A1253" s="75" t="s">
        <v>36</v>
      </c>
      <c r="B1253" s="75" t="s">
        <v>1010</v>
      </c>
      <c r="C1253" s="75">
        <v>1.38</v>
      </c>
      <c r="D1253" s="75">
        <v>0.0</v>
      </c>
      <c r="E1253" s="75">
        <v>0.0</v>
      </c>
      <c r="F1253" s="75" t="s">
        <v>948</v>
      </c>
      <c r="G1253" s="82">
        <v>46110.0</v>
      </c>
      <c r="H1253" s="76" t="s">
        <v>927</v>
      </c>
      <c r="I1253" s="83"/>
      <c r="J1253" s="83"/>
      <c r="K1253" s="83"/>
      <c r="L1253" s="83"/>
      <c r="M1253" s="83"/>
      <c r="N1253" s="83"/>
      <c r="O1253" s="83"/>
      <c r="P1253" s="83"/>
      <c r="Q1253" s="83"/>
      <c r="R1253" s="83"/>
      <c r="S1253" s="83"/>
      <c r="T1253" s="83"/>
      <c r="U1253" s="83"/>
      <c r="V1253" s="83"/>
      <c r="W1253" s="83"/>
      <c r="X1253" s="83"/>
      <c r="Y1253" s="83"/>
      <c r="Z1253" s="83"/>
    </row>
    <row r="1254">
      <c r="A1254" s="75" t="s">
        <v>36</v>
      </c>
      <c r="B1254" s="75" t="s">
        <v>1010</v>
      </c>
      <c r="C1254" s="75">
        <v>1.3</v>
      </c>
      <c r="D1254" s="75">
        <v>0.0</v>
      </c>
      <c r="E1254" s="75">
        <v>0.0</v>
      </c>
      <c r="F1254" s="75" t="s">
        <v>948</v>
      </c>
      <c r="G1254" s="82">
        <v>46110.0</v>
      </c>
      <c r="H1254" s="76" t="s">
        <v>928</v>
      </c>
      <c r="I1254" s="83"/>
      <c r="J1254" s="83"/>
      <c r="K1254" s="83"/>
      <c r="L1254" s="83"/>
      <c r="M1254" s="83"/>
      <c r="N1254" s="83"/>
      <c r="O1254" s="83"/>
      <c r="P1254" s="83"/>
      <c r="Q1254" s="83"/>
      <c r="R1254" s="83"/>
      <c r="S1254" s="83"/>
      <c r="T1254" s="83"/>
      <c r="U1254" s="83"/>
      <c r="V1254" s="83"/>
      <c r="W1254" s="83"/>
      <c r="X1254" s="83"/>
      <c r="Y1254" s="83"/>
      <c r="Z1254" s="83"/>
    </row>
    <row r="1255">
      <c r="A1255" s="75" t="s">
        <v>970</v>
      </c>
      <c r="B1255" s="75" t="s">
        <v>1010</v>
      </c>
      <c r="C1255" s="75">
        <v>0.76</v>
      </c>
      <c r="D1255" s="75">
        <v>0.0</v>
      </c>
      <c r="E1255" s="75">
        <v>0.0</v>
      </c>
      <c r="F1255" s="75" t="s">
        <v>948</v>
      </c>
      <c r="G1255" s="82">
        <v>46110.0</v>
      </c>
      <c r="H1255" s="76" t="s">
        <v>971</v>
      </c>
      <c r="I1255" s="83"/>
      <c r="J1255" s="83"/>
      <c r="K1255" s="83"/>
      <c r="L1255" s="83"/>
      <c r="M1255" s="83"/>
      <c r="N1255" s="83"/>
      <c r="O1255" s="83"/>
      <c r="P1255" s="83"/>
      <c r="Q1255" s="83"/>
      <c r="R1255" s="83"/>
      <c r="S1255" s="83"/>
      <c r="T1255" s="83"/>
      <c r="U1255" s="83"/>
      <c r="V1255" s="83"/>
      <c r="W1255" s="83"/>
      <c r="X1255" s="83"/>
      <c r="Y1255" s="83"/>
      <c r="Z1255" s="83"/>
    </row>
    <row r="1256">
      <c r="A1256" s="75" t="s">
        <v>970</v>
      </c>
      <c r="B1256" s="75" t="s">
        <v>1010</v>
      </c>
      <c r="C1256" s="75">
        <v>1.06</v>
      </c>
      <c r="D1256" s="75">
        <v>0.0</v>
      </c>
      <c r="E1256" s="75">
        <v>0.0</v>
      </c>
      <c r="F1256" s="75" t="s">
        <v>948</v>
      </c>
      <c r="G1256" s="82">
        <v>46110.0</v>
      </c>
      <c r="H1256" s="76" t="s">
        <v>972</v>
      </c>
      <c r="I1256" s="83"/>
      <c r="J1256" s="83"/>
      <c r="K1256" s="83"/>
      <c r="L1256" s="83"/>
      <c r="M1256" s="83"/>
      <c r="N1256" s="83"/>
      <c r="O1256" s="83"/>
      <c r="P1256" s="83"/>
      <c r="Q1256" s="83"/>
      <c r="R1256" s="83"/>
      <c r="S1256" s="83"/>
      <c r="T1256" s="83"/>
      <c r="U1256" s="83"/>
      <c r="V1256" s="83"/>
      <c r="W1256" s="83"/>
      <c r="X1256" s="83"/>
      <c r="Y1256" s="83"/>
      <c r="Z1256" s="83"/>
    </row>
    <row r="1257">
      <c r="A1257" s="75" t="s">
        <v>970</v>
      </c>
      <c r="B1257" s="75" t="s">
        <v>1010</v>
      </c>
      <c r="C1257" s="75">
        <v>8.01</v>
      </c>
      <c r="D1257" s="75">
        <v>1.0</v>
      </c>
      <c r="E1257" s="75">
        <v>8.01</v>
      </c>
      <c r="F1257" s="75" t="s">
        <v>948</v>
      </c>
      <c r="G1257" s="82">
        <v>46110.0</v>
      </c>
      <c r="H1257" s="76" t="s">
        <v>973</v>
      </c>
      <c r="I1257" s="83"/>
      <c r="J1257" s="83"/>
      <c r="K1257" s="83"/>
      <c r="L1257" s="83"/>
      <c r="M1257" s="83"/>
      <c r="N1257" s="83"/>
      <c r="O1257" s="83"/>
      <c r="P1257" s="83"/>
      <c r="Q1257" s="83"/>
      <c r="R1257" s="83"/>
      <c r="S1257" s="83"/>
      <c r="T1257" s="83"/>
      <c r="U1257" s="83"/>
      <c r="V1257" s="83"/>
      <c r="W1257" s="83"/>
      <c r="X1257" s="83"/>
      <c r="Y1257" s="83"/>
      <c r="Z1257" s="83"/>
    </row>
    <row r="1258">
      <c r="A1258" s="75" t="s">
        <v>36</v>
      </c>
      <c r="B1258" s="75" t="s">
        <v>1011</v>
      </c>
      <c r="C1258" s="75">
        <v>22.72</v>
      </c>
      <c r="D1258" s="75">
        <v>3.0</v>
      </c>
      <c r="E1258" s="75">
        <v>7.57</v>
      </c>
      <c r="F1258" s="75" t="s">
        <v>950</v>
      </c>
      <c r="G1258" s="82">
        <v>46110.0</v>
      </c>
      <c r="H1258" s="76" t="s">
        <v>926</v>
      </c>
      <c r="I1258" s="83"/>
      <c r="J1258" s="83"/>
      <c r="K1258" s="83"/>
      <c r="L1258" s="83"/>
      <c r="M1258" s="83"/>
      <c r="N1258" s="83"/>
      <c r="O1258" s="83"/>
      <c r="P1258" s="83"/>
      <c r="Q1258" s="83"/>
      <c r="R1258" s="83"/>
      <c r="S1258" s="83"/>
      <c r="T1258" s="83"/>
      <c r="U1258" s="83"/>
      <c r="V1258" s="83"/>
      <c r="W1258" s="83"/>
      <c r="X1258" s="83"/>
      <c r="Y1258" s="83"/>
      <c r="Z1258" s="83"/>
    </row>
    <row r="1259">
      <c r="A1259" s="75" t="s">
        <v>36</v>
      </c>
      <c r="B1259" s="75" t="s">
        <v>1011</v>
      </c>
      <c r="C1259" s="75">
        <v>5.31</v>
      </c>
      <c r="D1259" s="75">
        <v>1.0</v>
      </c>
      <c r="E1259" s="75">
        <v>5.31</v>
      </c>
      <c r="F1259" s="75" t="s">
        <v>950</v>
      </c>
      <c r="G1259" s="82">
        <v>46110.0</v>
      </c>
      <c r="H1259" s="76" t="s">
        <v>927</v>
      </c>
      <c r="I1259" s="83"/>
      <c r="J1259" s="83"/>
      <c r="K1259" s="83"/>
      <c r="L1259" s="83"/>
      <c r="M1259" s="83"/>
      <c r="N1259" s="83"/>
      <c r="O1259" s="83"/>
      <c r="P1259" s="83"/>
      <c r="Q1259" s="83"/>
      <c r="R1259" s="83"/>
      <c r="S1259" s="83"/>
      <c r="T1259" s="83"/>
      <c r="U1259" s="83"/>
      <c r="V1259" s="83"/>
      <c r="W1259" s="83"/>
      <c r="X1259" s="83"/>
      <c r="Y1259" s="83"/>
      <c r="Z1259" s="83"/>
    </row>
    <row r="1260">
      <c r="A1260" s="75" t="s">
        <v>36</v>
      </c>
      <c r="B1260" s="75" t="s">
        <v>1011</v>
      </c>
      <c r="C1260" s="75">
        <v>5.2</v>
      </c>
      <c r="D1260" s="75">
        <v>2.0</v>
      </c>
      <c r="E1260" s="75">
        <v>2.6</v>
      </c>
      <c r="F1260" s="75" t="s">
        <v>950</v>
      </c>
      <c r="G1260" s="82">
        <v>46110.0</v>
      </c>
      <c r="H1260" s="76" t="s">
        <v>928</v>
      </c>
      <c r="I1260" s="83"/>
      <c r="J1260" s="83"/>
      <c r="K1260" s="83"/>
      <c r="L1260" s="83"/>
      <c r="M1260" s="83"/>
      <c r="N1260" s="83"/>
      <c r="O1260" s="83"/>
      <c r="P1260" s="83"/>
      <c r="Q1260" s="83"/>
      <c r="R1260" s="83"/>
      <c r="S1260" s="83"/>
      <c r="T1260" s="83"/>
      <c r="U1260" s="83"/>
      <c r="V1260" s="83"/>
      <c r="W1260" s="83"/>
      <c r="X1260" s="83"/>
      <c r="Y1260" s="83"/>
      <c r="Z1260" s="83"/>
    </row>
    <row r="1261">
      <c r="A1261" s="75" t="s">
        <v>31</v>
      </c>
      <c r="B1261" s="75" t="s">
        <v>1011</v>
      </c>
      <c r="C1261" s="75">
        <v>4.34</v>
      </c>
      <c r="D1261" s="75">
        <v>3.0</v>
      </c>
      <c r="E1261" s="75">
        <v>1.45</v>
      </c>
      <c r="F1261" s="75" t="s">
        <v>950</v>
      </c>
      <c r="G1261" s="82">
        <v>46110.0</v>
      </c>
      <c r="H1261" s="76" t="s">
        <v>929</v>
      </c>
      <c r="I1261" s="83"/>
      <c r="J1261" s="83"/>
      <c r="K1261" s="83"/>
      <c r="L1261" s="83"/>
      <c r="M1261" s="83"/>
      <c r="N1261" s="83"/>
      <c r="O1261" s="83"/>
      <c r="P1261" s="83"/>
      <c r="Q1261" s="83"/>
      <c r="R1261" s="83"/>
      <c r="S1261" s="83"/>
      <c r="T1261" s="83"/>
      <c r="U1261" s="83"/>
      <c r="V1261" s="83"/>
      <c r="W1261" s="83"/>
      <c r="X1261" s="83"/>
      <c r="Y1261" s="83"/>
      <c r="Z1261" s="83"/>
    </row>
    <row r="1262">
      <c r="A1262" s="75" t="s">
        <v>31</v>
      </c>
      <c r="B1262" s="75" t="s">
        <v>1011</v>
      </c>
      <c r="C1262" s="75">
        <v>20.27</v>
      </c>
      <c r="D1262" s="75">
        <v>10.0</v>
      </c>
      <c r="E1262" s="75">
        <v>2.03</v>
      </c>
      <c r="F1262" s="75" t="s">
        <v>950</v>
      </c>
      <c r="G1262" s="82">
        <v>46110.0</v>
      </c>
      <c r="H1262" s="76" t="s">
        <v>930</v>
      </c>
      <c r="I1262" s="83"/>
      <c r="J1262" s="83"/>
      <c r="K1262" s="83"/>
      <c r="L1262" s="83"/>
      <c r="M1262" s="83"/>
      <c r="N1262" s="83"/>
      <c r="O1262" s="83"/>
      <c r="P1262" s="83"/>
      <c r="Q1262" s="83"/>
      <c r="R1262" s="83"/>
      <c r="S1262" s="83"/>
      <c r="T1262" s="83"/>
      <c r="U1262" s="83"/>
      <c r="V1262" s="83"/>
      <c r="W1262" s="83"/>
      <c r="X1262" s="83"/>
      <c r="Y1262" s="83"/>
      <c r="Z1262" s="83"/>
    </row>
    <row r="1263">
      <c r="A1263" s="75" t="s">
        <v>28</v>
      </c>
      <c r="B1263" s="75" t="s">
        <v>1011</v>
      </c>
      <c r="C1263" s="75">
        <v>2.24</v>
      </c>
      <c r="D1263" s="75">
        <v>0.0</v>
      </c>
      <c r="E1263" s="75">
        <v>0.0</v>
      </c>
      <c r="F1263" s="75" t="s">
        <v>950</v>
      </c>
      <c r="G1263" s="82">
        <v>46110.0</v>
      </c>
      <c r="H1263" s="76" t="s">
        <v>931</v>
      </c>
      <c r="I1263" s="83"/>
      <c r="J1263" s="83"/>
      <c r="K1263" s="83"/>
      <c r="L1263" s="83"/>
      <c r="M1263" s="83"/>
      <c r="N1263" s="83"/>
      <c r="O1263" s="83"/>
      <c r="P1263" s="83"/>
      <c r="Q1263" s="83"/>
      <c r="R1263" s="83"/>
      <c r="S1263" s="83"/>
      <c r="T1263" s="83"/>
      <c r="U1263" s="83"/>
      <c r="V1263" s="83"/>
      <c r="W1263" s="83"/>
      <c r="X1263" s="83"/>
      <c r="Y1263" s="83"/>
      <c r="Z1263" s="83"/>
    </row>
    <row r="1264">
      <c r="A1264" s="75" t="s">
        <v>28</v>
      </c>
      <c r="B1264" s="75" t="s">
        <v>1011</v>
      </c>
      <c r="C1264" s="75">
        <v>2.16</v>
      </c>
      <c r="D1264" s="75">
        <v>1.0</v>
      </c>
      <c r="E1264" s="75">
        <v>2.16</v>
      </c>
      <c r="F1264" s="75" t="s">
        <v>950</v>
      </c>
      <c r="G1264" s="82">
        <v>46110.0</v>
      </c>
      <c r="H1264" s="76" t="s">
        <v>932</v>
      </c>
      <c r="I1264" s="83"/>
      <c r="J1264" s="83"/>
      <c r="K1264" s="83"/>
      <c r="L1264" s="83"/>
      <c r="M1264" s="83"/>
      <c r="N1264" s="83"/>
      <c r="O1264" s="83"/>
      <c r="P1264" s="83"/>
      <c r="Q1264" s="83"/>
      <c r="R1264" s="83"/>
      <c r="S1264" s="83"/>
      <c r="T1264" s="83"/>
      <c r="U1264" s="83"/>
      <c r="V1264" s="83"/>
      <c r="W1264" s="83"/>
      <c r="X1264" s="83"/>
      <c r="Y1264" s="83"/>
      <c r="Z1264" s="83"/>
    </row>
    <row r="1265">
      <c r="A1265" s="75" t="s">
        <v>28</v>
      </c>
      <c r="B1265" s="75" t="s">
        <v>1011</v>
      </c>
      <c r="C1265" s="75">
        <v>11.52</v>
      </c>
      <c r="D1265" s="75">
        <v>0.0</v>
      </c>
      <c r="E1265" s="75">
        <v>0.0</v>
      </c>
      <c r="F1265" s="75" t="s">
        <v>950</v>
      </c>
      <c r="G1265" s="82">
        <v>46110.0</v>
      </c>
      <c r="H1265" s="76" t="s">
        <v>933</v>
      </c>
      <c r="I1265" s="83"/>
      <c r="J1265" s="83"/>
      <c r="K1265" s="83"/>
      <c r="L1265" s="83"/>
      <c r="M1265" s="83"/>
      <c r="N1265" s="83"/>
      <c r="O1265" s="83"/>
      <c r="P1265" s="83"/>
      <c r="Q1265" s="83"/>
      <c r="R1265" s="83"/>
      <c r="S1265" s="83"/>
      <c r="T1265" s="83"/>
      <c r="U1265" s="83"/>
      <c r="V1265" s="83"/>
      <c r="W1265" s="83"/>
      <c r="X1265" s="83"/>
      <c r="Y1265" s="83"/>
      <c r="Z1265" s="83"/>
    </row>
    <row r="1266">
      <c r="A1266" s="75" t="s">
        <v>42</v>
      </c>
      <c r="B1266" s="75" t="s">
        <v>1011</v>
      </c>
      <c r="C1266" s="75">
        <v>5.98</v>
      </c>
      <c r="D1266" s="75">
        <v>1.0</v>
      </c>
      <c r="E1266" s="75">
        <v>5.98</v>
      </c>
      <c r="F1266" s="75" t="s">
        <v>950</v>
      </c>
      <c r="G1266" s="82">
        <v>46110.0</v>
      </c>
      <c r="H1266" s="76" t="s">
        <v>934</v>
      </c>
      <c r="I1266" s="83"/>
      <c r="J1266" s="83"/>
      <c r="K1266" s="83"/>
      <c r="L1266" s="83"/>
      <c r="M1266" s="83"/>
      <c r="N1266" s="83"/>
      <c r="O1266" s="83"/>
      <c r="P1266" s="83"/>
      <c r="Q1266" s="83"/>
      <c r="R1266" s="83"/>
      <c r="S1266" s="83"/>
      <c r="T1266" s="83"/>
      <c r="U1266" s="83"/>
      <c r="V1266" s="83"/>
      <c r="W1266" s="83"/>
      <c r="X1266" s="83"/>
      <c r="Y1266" s="83"/>
      <c r="Z1266" s="83"/>
    </row>
    <row r="1267">
      <c r="A1267" s="75" t="s">
        <v>42</v>
      </c>
      <c r="B1267" s="75" t="s">
        <v>1011</v>
      </c>
      <c r="C1267" s="75">
        <v>9.5</v>
      </c>
      <c r="D1267" s="75">
        <v>3.0</v>
      </c>
      <c r="E1267" s="75">
        <v>3.17</v>
      </c>
      <c r="F1267" s="75" t="s">
        <v>950</v>
      </c>
      <c r="G1267" s="82">
        <v>46110.0</v>
      </c>
      <c r="H1267" s="76" t="s">
        <v>935</v>
      </c>
      <c r="I1267" s="83"/>
      <c r="J1267" s="83"/>
      <c r="K1267" s="83"/>
      <c r="L1267" s="83"/>
      <c r="M1267" s="83"/>
      <c r="N1267" s="83"/>
      <c r="O1267" s="83"/>
      <c r="P1267" s="83"/>
      <c r="Q1267" s="83"/>
      <c r="R1267" s="83"/>
      <c r="S1267" s="83"/>
      <c r="T1267" s="83"/>
      <c r="U1267" s="83"/>
      <c r="V1267" s="83"/>
      <c r="W1267" s="83"/>
      <c r="X1267" s="83"/>
      <c r="Y1267" s="83"/>
      <c r="Z1267" s="83"/>
    </row>
    <row r="1268">
      <c r="A1268" s="75" t="s">
        <v>45</v>
      </c>
      <c r="B1268" s="75" t="s">
        <v>1011</v>
      </c>
      <c r="C1268" s="75">
        <v>4.32</v>
      </c>
      <c r="D1268" s="75">
        <v>1.0</v>
      </c>
      <c r="E1268" s="75">
        <v>4.32</v>
      </c>
      <c r="F1268" s="75" t="s">
        <v>950</v>
      </c>
      <c r="G1268" s="82">
        <v>46110.0</v>
      </c>
      <c r="H1268" s="76" t="s">
        <v>936</v>
      </c>
      <c r="I1268" s="83"/>
      <c r="J1268" s="83"/>
      <c r="K1268" s="83"/>
      <c r="L1268" s="83"/>
      <c r="M1268" s="83"/>
      <c r="N1268" s="83"/>
      <c r="O1268" s="83"/>
      <c r="P1268" s="83"/>
      <c r="Q1268" s="83"/>
      <c r="R1268" s="83"/>
      <c r="S1268" s="83"/>
      <c r="T1268" s="83"/>
      <c r="U1268" s="83"/>
      <c r="V1268" s="83"/>
      <c r="W1268" s="83"/>
      <c r="X1268" s="83"/>
      <c r="Y1268" s="83"/>
      <c r="Z1268" s="83"/>
    </row>
    <row r="1269">
      <c r="A1269" s="75" t="s">
        <v>45</v>
      </c>
      <c r="B1269" s="75" t="s">
        <v>1011</v>
      </c>
      <c r="C1269" s="75">
        <v>2.13</v>
      </c>
      <c r="D1269" s="75">
        <v>0.0</v>
      </c>
      <c r="E1269" s="75">
        <v>0.0</v>
      </c>
      <c r="F1269" s="75" t="s">
        <v>950</v>
      </c>
      <c r="G1269" s="82">
        <v>46110.0</v>
      </c>
      <c r="H1269" s="76" t="s">
        <v>937</v>
      </c>
      <c r="I1269" s="83"/>
      <c r="J1269" s="83"/>
      <c r="K1269" s="83"/>
      <c r="L1269" s="83"/>
      <c r="M1269" s="83"/>
      <c r="N1269" s="83"/>
      <c r="O1269" s="83"/>
      <c r="P1269" s="83"/>
      <c r="Q1269" s="83"/>
      <c r="R1269" s="83"/>
      <c r="S1269" s="83"/>
      <c r="T1269" s="83"/>
      <c r="U1269" s="83"/>
      <c r="V1269" s="83"/>
      <c r="W1269" s="83"/>
      <c r="X1269" s="83"/>
      <c r="Y1269" s="83"/>
      <c r="Z1269" s="83"/>
    </row>
    <row r="1270">
      <c r="A1270" s="75" t="s">
        <v>45</v>
      </c>
      <c r="B1270" s="75" t="s">
        <v>1011</v>
      </c>
      <c r="C1270" s="75">
        <v>6.63</v>
      </c>
      <c r="D1270" s="75">
        <v>1.0</v>
      </c>
      <c r="E1270" s="75">
        <v>6.63</v>
      </c>
      <c r="F1270" s="75" t="s">
        <v>950</v>
      </c>
      <c r="G1270" s="82">
        <v>46110.0</v>
      </c>
      <c r="H1270" s="76" t="s">
        <v>938</v>
      </c>
      <c r="I1270" s="83"/>
      <c r="J1270" s="83"/>
      <c r="K1270" s="83"/>
      <c r="L1270" s="83"/>
      <c r="M1270" s="83"/>
      <c r="N1270" s="83"/>
      <c r="O1270" s="83"/>
      <c r="P1270" s="83"/>
      <c r="Q1270" s="83"/>
      <c r="R1270" s="83"/>
      <c r="S1270" s="83"/>
      <c r="T1270" s="83"/>
      <c r="U1270" s="83"/>
      <c r="V1270" s="83"/>
      <c r="W1270" s="83"/>
      <c r="X1270" s="83"/>
      <c r="Y1270" s="83"/>
      <c r="Z1270" s="83"/>
    </row>
    <row r="1271">
      <c r="A1271" s="75" t="s">
        <v>50</v>
      </c>
      <c r="B1271" s="75" t="s">
        <v>1011</v>
      </c>
      <c r="C1271" s="75">
        <v>5.29</v>
      </c>
      <c r="D1271" s="75">
        <v>2.0</v>
      </c>
      <c r="E1271" s="75">
        <v>2.65</v>
      </c>
      <c r="F1271" s="75" t="s">
        <v>950</v>
      </c>
      <c r="G1271" s="82">
        <v>46110.0</v>
      </c>
      <c r="H1271" s="76" t="s">
        <v>939</v>
      </c>
      <c r="I1271" s="83"/>
      <c r="J1271" s="83"/>
      <c r="K1271" s="83"/>
      <c r="L1271" s="83"/>
      <c r="M1271" s="83"/>
      <c r="N1271" s="83"/>
      <c r="O1271" s="83"/>
      <c r="P1271" s="83"/>
      <c r="Q1271" s="83"/>
      <c r="R1271" s="83"/>
      <c r="S1271" s="83"/>
      <c r="T1271" s="83"/>
      <c r="U1271" s="83"/>
      <c r="V1271" s="83"/>
      <c r="W1271" s="83"/>
      <c r="X1271" s="83"/>
      <c r="Y1271" s="83"/>
      <c r="Z1271" s="83"/>
    </row>
    <row r="1272">
      <c r="A1272" s="75" t="s">
        <v>50</v>
      </c>
      <c r="B1272" s="75" t="s">
        <v>1011</v>
      </c>
      <c r="C1272" s="75">
        <v>5.16</v>
      </c>
      <c r="D1272" s="75">
        <v>0.0</v>
      </c>
      <c r="E1272" s="75">
        <v>0.0</v>
      </c>
      <c r="F1272" s="75" t="s">
        <v>950</v>
      </c>
      <c r="G1272" s="82">
        <v>46110.0</v>
      </c>
      <c r="H1272" s="76" t="s">
        <v>940</v>
      </c>
      <c r="I1272" s="83"/>
      <c r="J1272" s="83"/>
      <c r="K1272" s="83"/>
      <c r="L1272" s="83"/>
      <c r="M1272" s="83"/>
      <c r="N1272" s="83"/>
      <c r="O1272" s="83"/>
      <c r="P1272" s="83"/>
      <c r="Q1272" s="83"/>
      <c r="R1272" s="83"/>
      <c r="S1272" s="83"/>
      <c r="T1272" s="83"/>
      <c r="U1272" s="83"/>
      <c r="V1272" s="83"/>
      <c r="W1272" s="83"/>
      <c r="X1272" s="83"/>
      <c r="Y1272" s="83"/>
      <c r="Z1272" s="83"/>
    </row>
    <row r="1273">
      <c r="A1273" s="75" t="s">
        <v>32</v>
      </c>
      <c r="B1273" s="75" t="s">
        <v>1011</v>
      </c>
      <c r="C1273" s="75">
        <v>13.22</v>
      </c>
      <c r="D1273" s="75">
        <v>4.0</v>
      </c>
      <c r="E1273" s="75">
        <v>3.3</v>
      </c>
      <c r="F1273" s="75" t="s">
        <v>950</v>
      </c>
      <c r="G1273" s="82">
        <v>46110.0</v>
      </c>
      <c r="H1273" s="76" t="s">
        <v>941</v>
      </c>
      <c r="I1273" s="83"/>
      <c r="J1273" s="83"/>
      <c r="K1273" s="83"/>
      <c r="L1273" s="83"/>
      <c r="M1273" s="83"/>
      <c r="N1273" s="83"/>
      <c r="O1273" s="83"/>
      <c r="P1273" s="83"/>
      <c r="Q1273" s="83"/>
      <c r="R1273" s="83"/>
      <c r="S1273" s="83"/>
      <c r="T1273" s="83"/>
      <c r="U1273" s="83"/>
      <c r="V1273" s="83"/>
      <c r="W1273" s="83"/>
      <c r="X1273" s="83"/>
      <c r="Y1273" s="83"/>
      <c r="Z1273" s="83"/>
    </row>
    <row r="1274">
      <c r="A1274" s="75" t="s">
        <v>32</v>
      </c>
      <c r="B1274" s="75" t="s">
        <v>1011</v>
      </c>
      <c r="C1274" s="75">
        <v>2.52</v>
      </c>
      <c r="D1274" s="75">
        <v>5.0</v>
      </c>
      <c r="E1274" s="75">
        <v>0.5</v>
      </c>
      <c r="F1274" s="75" t="s">
        <v>950</v>
      </c>
      <c r="G1274" s="82">
        <v>46110.0</v>
      </c>
      <c r="H1274" s="76" t="s">
        <v>942</v>
      </c>
      <c r="I1274" s="83"/>
      <c r="J1274" s="83"/>
      <c r="K1274" s="83"/>
      <c r="L1274" s="83"/>
      <c r="M1274" s="83"/>
      <c r="N1274" s="83"/>
      <c r="O1274" s="83"/>
      <c r="P1274" s="83"/>
      <c r="Q1274" s="83"/>
      <c r="R1274" s="83"/>
      <c r="S1274" s="83"/>
      <c r="T1274" s="83"/>
      <c r="U1274" s="83"/>
      <c r="V1274" s="83"/>
      <c r="W1274" s="83"/>
      <c r="X1274" s="83"/>
      <c r="Y1274" s="83"/>
      <c r="Z1274" s="83"/>
    </row>
    <row r="1275">
      <c r="A1275" s="75" t="s">
        <v>32</v>
      </c>
      <c r="B1275" s="75" t="s">
        <v>1011</v>
      </c>
      <c r="C1275" s="75">
        <v>4.27</v>
      </c>
      <c r="D1275" s="75">
        <v>4.0</v>
      </c>
      <c r="E1275" s="75">
        <v>1.07</v>
      </c>
      <c r="F1275" s="75" t="s">
        <v>950</v>
      </c>
      <c r="G1275" s="82">
        <v>46110.0</v>
      </c>
      <c r="H1275" s="76" t="s">
        <v>943</v>
      </c>
      <c r="I1275" s="83"/>
      <c r="J1275" s="83"/>
      <c r="K1275" s="83"/>
      <c r="L1275" s="83"/>
      <c r="M1275" s="83"/>
      <c r="N1275" s="83"/>
      <c r="O1275" s="83"/>
      <c r="P1275" s="83"/>
      <c r="Q1275" s="83"/>
      <c r="R1275" s="83"/>
      <c r="S1275" s="83"/>
      <c r="T1275" s="83"/>
      <c r="U1275" s="83"/>
      <c r="V1275" s="83"/>
      <c r="W1275" s="83"/>
      <c r="X1275" s="83"/>
      <c r="Y1275" s="83"/>
      <c r="Z1275" s="83"/>
    </row>
    <row r="1276">
      <c r="A1276" s="75" t="s">
        <v>944</v>
      </c>
      <c r="B1276" s="75" t="s">
        <v>1011</v>
      </c>
      <c r="C1276" s="75">
        <v>5.8</v>
      </c>
      <c r="D1276" s="75">
        <v>2.0</v>
      </c>
      <c r="E1276" s="75">
        <v>2.9</v>
      </c>
      <c r="F1276" s="75" t="s">
        <v>950</v>
      </c>
      <c r="G1276" s="82">
        <v>46110.0</v>
      </c>
      <c r="H1276" s="76" t="s">
        <v>945</v>
      </c>
      <c r="I1276" s="83"/>
      <c r="J1276" s="83"/>
      <c r="K1276" s="83"/>
      <c r="L1276" s="83"/>
      <c r="M1276" s="83"/>
      <c r="N1276" s="83"/>
      <c r="O1276" s="83"/>
      <c r="P1276" s="83"/>
      <c r="Q1276" s="83"/>
      <c r="R1276" s="83"/>
      <c r="S1276" s="83"/>
      <c r="T1276" s="83"/>
      <c r="U1276" s="83"/>
      <c r="V1276" s="83"/>
      <c r="W1276" s="83"/>
      <c r="X1276" s="83"/>
      <c r="Y1276" s="83"/>
      <c r="Z1276" s="83"/>
    </row>
    <row r="1277">
      <c r="A1277" s="75" t="s">
        <v>944</v>
      </c>
      <c r="B1277" s="75" t="s">
        <v>1011</v>
      </c>
      <c r="C1277" s="75">
        <v>1.86</v>
      </c>
      <c r="D1277" s="75">
        <v>0.0</v>
      </c>
      <c r="E1277" s="75">
        <v>0.0</v>
      </c>
      <c r="F1277" s="75" t="s">
        <v>950</v>
      </c>
      <c r="G1277" s="82">
        <v>46110.0</v>
      </c>
      <c r="H1277" s="76" t="s">
        <v>946</v>
      </c>
      <c r="I1277" s="83"/>
      <c r="J1277" s="83"/>
      <c r="K1277" s="83"/>
      <c r="L1277" s="83"/>
      <c r="M1277" s="83"/>
      <c r="N1277" s="83"/>
      <c r="O1277" s="83"/>
      <c r="P1277" s="83"/>
      <c r="Q1277" s="83"/>
      <c r="R1277" s="83"/>
      <c r="S1277" s="83"/>
      <c r="T1277" s="83"/>
      <c r="U1277" s="83"/>
      <c r="V1277" s="83"/>
      <c r="W1277" s="83"/>
      <c r="X1277" s="83"/>
      <c r="Y1277" s="83"/>
      <c r="Z1277" s="83"/>
    </row>
    <row r="1278">
      <c r="A1278" s="75" t="s">
        <v>944</v>
      </c>
      <c r="B1278" s="75" t="s">
        <v>1011</v>
      </c>
      <c r="C1278" s="75">
        <v>4.26</v>
      </c>
      <c r="D1278" s="75">
        <v>1.0</v>
      </c>
      <c r="E1278" s="75">
        <v>4.26</v>
      </c>
      <c r="F1278" s="75" t="s">
        <v>950</v>
      </c>
      <c r="G1278" s="82">
        <v>46110.0</v>
      </c>
      <c r="H1278" s="76" t="s">
        <v>947</v>
      </c>
      <c r="I1278" s="83"/>
      <c r="J1278" s="83"/>
      <c r="K1278" s="83"/>
      <c r="L1278" s="83"/>
      <c r="M1278" s="83"/>
      <c r="N1278" s="83"/>
      <c r="O1278" s="83"/>
      <c r="P1278" s="83"/>
      <c r="Q1278" s="83"/>
      <c r="R1278" s="83"/>
      <c r="S1278" s="83"/>
      <c r="T1278" s="83"/>
      <c r="U1278" s="83"/>
      <c r="V1278" s="83"/>
      <c r="W1278" s="83"/>
      <c r="X1278" s="83"/>
      <c r="Y1278" s="83"/>
      <c r="Z1278" s="83"/>
    </row>
    <row r="1279">
      <c r="A1279" s="75" t="s">
        <v>36</v>
      </c>
      <c r="B1279" s="75" t="s">
        <v>1011</v>
      </c>
      <c r="C1279" s="75">
        <v>4.65</v>
      </c>
      <c r="D1279" s="75">
        <v>0.0</v>
      </c>
      <c r="E1279" s="75">
        <v>0.0</v>
      </c>
      <c r="F1279" s="75" t="s">
        <v>974</v>
      </c>
      <c r="G1279" s="82">
        <v>46110.0</v>
      </c>
      <c r="H1279" s="76" t="s">
        <v>926</v>
      </c>
      <c r="I1279" s="83"/>
      <c r="J1279" s="83"/>
      <c r="K1279" s="83"/>
      <c r="L1279" s="83"/>
      <c r="M1279" s="83"/>
      <c r="N1279" s="83"/>
      <c r="O1279" s="83"/>
      <c r="P1279" s="83"/>
      <c r="Q1279" s="83"/>
      <c r="R1279" s="83"/>
      <c r="S1279" s="83"/>
      <c r="T1279" s="83"/>
      <c r="U1279" s="83"/>
      <c r="V1279" s="83"/>
      <c r="W1279" s="83"/>
      <c r="X1279" s="83"/>
      <c r="Y1279" s="83"/>
      <c r="Z1279" s="83"/>
    </row>
    <row r="1280">
      <c r="A1280" s="75" t="s">
        <v>36</v>
      </c>
      <c r="B1280" s="75" t="s">
        <v>1011</v>
      </c>
      <c r="C1280" s="75">
        <v>1.36</v>
      </c>
      <c r="D1280" s="75">
        <v>1.0</v>
      </c>
      <c r="E1280" s="75">
        <v>1.36</v>
      </c>
      <c r="F1280" s="75" t="s">
        <v>974</v>
      </c>
      <c r="G1280" s="82">
        <v>46110.0</v>
      </c>
      <c r="H1280" s="76" t="s">
        <v>927</v>
      </c>
      <c r="I1280" s="83"/>
      <c r="J1280" s="83"/>
      <c r="K1280" s="83"/>
      <c r="L1280" s="83"/>
      <c r="M1280" s="83"/>
      <c r="N1280" s="83"/>
      <c r="O1280" s="83"/>
      <c r="P1280" s="83"/>
      <c r="Q1280" s="83"/>
      <c r="R1280" s="83"/>
      <c r="S1280" s="83"/>
      <c r="T1280" s="83"/>
      <c r="U1280" s="83"/>
      <c r="V1280" s="83"/>
      <c r="W1280" s="83"/>
      <c r="X1280" s="83"/>
      <c r="Y1280" s="83"/>
      <c r="Z1280" s="83"/>
    </row>
    <row r="1281">
      <c r="A1281" s="75" t="s">
        <v>36</v>
      </c>
      <c r="B1281" s="75" t="s">
        <v>1011</v>
      </c>
      <c r="C1281" s="75">
        <v>1.33</v>
      </c>
      <c r="D1281" s="75">
        <v>0.0</v>
      </c>
      <c r="E1281" s="75">
        <v>0.0</v>
      </c>
      <c r="F1281" s="75" t="s">
        <v>974</v>
      </c>
      <c r="G1281" s="82">
        <v>46110.0</v>
      </c>
      <c r="H1281" s="76" t="s">
        <v>928</v>
      </c>
      <c r="I1281" s="83"/>
      <c r="J1281" s="83"/>
      <c r="K1281" s="83"/>
      <c r="L1281" s="83"/>
      <c r="M1281" s="83"/>
      <c r="N1281" s="83"/>
      <c r="O1281" s="83"/>
      <c r="P1281" s="83"/>
      <c r="Q1281" s="83"/>
      <c r="R1281" s="83"/>
      <c r="S1281" s="83"/>
      <c r="T1281" s="83"/>
      <c r="U1281" s="83"/>
      <c r="V1281" s="83"/>
      <c r="W1281" s="83"/>
      <c r="X1281" s="83"/>
      <c r="Y1281" s="83"/>
      <c r="Z1281" s="83"/>
    </row>
    <row r="1282">
      <c r="A1282" s="75" t="s">
        <v>31</v>
      </c>
      <c r="B1282" s="75" t="s">
        <v>1011</v>
      </c>
      <c r="C1282" s="75">
        <v>2.12</v>
      </c>
      <c r="D1282" s="75">
        <v>0.0</v>
      </c>
      <c r="E1282" s="75">
        <v>0.0</v>
      </c>
      <c r="F1282" s="75" t="s">
        <v>974</v>
      </c>
      <c r="G1282" s="82">
        <v>46110.0</v>
      </c>
      <c r="H1282" s="76" t="s">
        <v>929</v>
      </c>
      <c r="I1282" s="83"/>
      <c r="J1282" s="83"/>
      <c r="K1282" s="83"/>
      <c r="L1282" s="83"/>
      <c r="M1282" s="83"/>
      <c r="N1282" s="83"/>
      <c r="O1282" s="83"/>
      <c r="P1282" s="83"/>
      <c r="Q1282" s="83"/>
      <c r="R1282" s="83"/>
      <c r="S1282" s="83"/>
      <c r="T1282" s="83"/>
      <c r="U1282" s="83"/>
      <c r="V1282" s="83"/>
      <c r="W1282" s="83"/>
      <c r="X1282" s="83"/>
      <c r="Y1282" s="83"/>
      <c r="Z1282" s="83"/>
    </row>
    <row r="1283">
      <c r="A1283" s="75" t="s">
        <v>31</v>
      </c>
      <c r="B1283" s="75" t="s">
        <v>1011</v>
      </c>
      <c r="C1283" s="75">
        <v>8.34</v>
      </c>
      <c r="D1283" s="75">
        <v>3.0</v>
      </c>
      <c r="E1283" s="75">
        <v>2.78</v>
      </c>
      <c r="F1283" s="75" t="s">
        <v>974</v>
      </c>
      <c r="G1283" s="82">
        <v>46110.0</v>
      </c>
      <c r="H1283" s="76" t="s">
        <v>930</v>
      </c>
      <c r="I1283" s="83"/>
      <c r="J1283" s="83"/>
      <c r="K1283" s="83"/>
      <c r="L1283" s="83"/>
      <c r="M1283" s="83"/>
      <c r="N1283" s="83"/>
      <c r="O1283" s="83"/>
      <c r="P1283" s="83"/>
      <c r="Q1283" s="83"/>
      <c r="R1283" s="83"/>
      <c r="S1283" s="83"/>
      <c r="T1283" s="83"/>
      <c r="U1283" s="83"/>
      <c r="V1283" s="83"/>
      <c r="W1283" s="83"/>
      <c r="X1283" s="83"/>
      <c r="Y1283" s="83"/>
      <c r="Z1283" s="83"/>
    </row>
    <row r="1284">
      <c r="A1284" s="75" t="s">
        <v>28</v>
      </c>
      <c r="B1284" s="75" t="s">
        <v>1011</v>
      </c>
      <c r="C1284" s="75">
        <v>1.04</v>
      </c>
      <c r="D1284" s="75">
        <v>0.0</v>
      </c>
      <c r="E1284" s="75">
        <v>0.0</v>
      </c>
      <c r="F1284" s="75" t="s">
        <v>974</v>
      </c>
      <c r="G1284" s="82">
        <v>46110.0</v>
      </c>
      <c r="H1284" s="76" t="s">
        <v>931</v>
      </c>
      <c r="I1284" s="83"/>
      <c r="J1284" s="83"/>
      <c r="K1284" s="83"/>
      <c r="L1284" s="83"/>
      <c r="M1284" s="83"/>
      <c r="N1284" s="83"/>
      <c r="O1284" s="83"/>
      <c r="P1284" s="83"/>
      <c r="Q1284" s="83"/>
      <c r="R1284" s="83"/>
      <c r="S1284" s="83"/>
      <c r="T1284" s="83"/>
      <c r="U1284" s="83"/>
      <c r="V1284" s="83"/>
      <c r="W1284" s="83"/>
      <c r="X1284" s="83"/>
      <c r="Y1284" s="83"/>
      <c r="Z1284" s="83"/>
    </row>
    <row r="1285">
      <c r="A1285" s="75" t="s">
        <v>28</v>
      </c>
      <c r="B1285" s="75" t="s">
        <v>1011</v>
      </c>
      <c r="C1285" s="75">
        <v>1.06</v>
      </c>
      <c r="D1285" s="75">
        <v>0.0</v>
      </c>
      <c r="E1285" s="75">
        <v>0.0</v>
      </c>
      <c r="F1285" s="75" t="s">
        <v>974</v>
      </c>
      <c r="G1285" s="82">
        <v>46110.0</v>
      </c>
      <c r="H1285" s="76" t="s">
        <v>932</v>
      </c>
      <c r="I1285" s="83"/>
      <c r="J1285" s="83"/>
      <c r="K1285" s="83"/>
      <c r="L1285" s="83"/>
      <c r="M1285" s="83"/>
      <c r="N1285" s="83"/>
      <c r="O1285" s="83"/>
      <c r="P1285" s="83"/>
      <c r="Q1285" s="83"/>
      <c r="R1285" s="83"/>
      <c r="S1285" s="83"/>
      <c r="T1285" s="83"/>
      <c r="U1285" s="83"/>
      <c r="V1285" s="83"/>
      <c r="W1285" s="83"/>
      <c r="X1285" s="83"/>
      <c r="Y1285" s="83"/>
      <c r="Z1285" s="83"/>
    </row>
    <row r="1286">
      <c r="A1286" s="75" t="s">
        <v>28</v>
      </c>
      <c r="B1286" s="75" t="s">
        <v>1011</v>
      </c>
      <c r="C1286" s="75">
        <v>4.09</v>
      </c>
      <c r="D1286" s="75">
        <v>0.0</v>
      </c>
      <c r="E1286" s="75">
        <v>0.0</v>
      </c>
      <c r="F1286" s="75" t="s">
        <v>974</v>
      </c>
      <c r="G1286" s="82">
        <v>46110.0</v>
      </c>
      <c r="H1286" s="76" t="s">
        <v>933</v>
      </c>
      <c r="I1286" s="83"/>
      <c r="J1286" s="83"/>
      <c r="K1286" s="83"/>
      <c r="L1286" s="83"/>
      <c r="M1286" s="83"/>
      <c r="N1286" s="83"/>
      <c r="O1286" s="83"/>
      <c r="P1286" s="83"/>
      <c r="Q1286" s="83"/>
      <c r="R1286" s="83"/>
      <c r="S1286" s="83"/>
      <c r="T1286" s="83"/>
      <c r="U1286" s="83"/>
      <c r="V1286" s="83"/>
      <c r="W1286" s="83"/>
      <c r="X1286" s="83"/>
      <c r="Y1286" s="83"/>
      <c r="Z1286" s="83"/>
    </row>
    <row r="1287">
      <c r="A1287" s="75" t="s">
        <v>42</v>
      </c>
      <c r="B1287" s="75" t="s">
        <v>1011</v>
      </c>
      <c r="C1287" s="75">
        <v>4.36</v>
      </c>
      <c r="D1287" s="75">
        <v>1.0</v>
      </c>
      <c r="E1287" s="75">
        <v>4.36</v>
      </c>
      <c r="F1287" s="75" t="s">
        <v>974</v>
      </c>
      <c r="G1287" s="82">
        <v>46110.0</v>
      </c>
      <c r="H1287" s="76" t="s">
        <v>934</v>
      </c>
      <c r="I1287" s="83"/>
      <c r="J1287" s="83"/>
      <c r="K1287" s="83"/>
      <c r="L1287" s="83"/>
      <c r="M1287" s="83"/>
      <c r="N1287" s="83"/>
      <c r="O1287" s="83"/>
      <c r="P1287" s="83"/>
      <c r="Q1287" s="83"/>
      <c r="R1287" s="83"/>
      <c r="S1287" s="83"/>
      <c r="T1287" s="83"/>
      <c r="U1287" s="83"/>
      <c r="V1287" s="83"/>
      <c r="W1287" s="83"/>
      <c r="X1287" s="83"/>
      <c r="Y1287" s="83"/>
      <c r="Z1287" s="83"/>
    </row>
    <row r="1288">
      <c r="A1288" s="75" t="s">
        <v>42</v>
      </c>
      <c r="B1288" s="75" t="s">
        <v>1011</v>
      </c>
      <c r="C1288" s="75">
        <v>7.81</v>
      </c>
      <c r="D1288" s="75">
        <v>5.0</v>
      </c>
      <c r="E1288" s="75">
        <v>1.56</v>
      </c>
      <c r="F1288" s="75" t="s">
        <v>974</v>
      </c>
      <c r="G1288" s="82">
        <v>46110.0</v>
      </c>
      <c r="H1288" s="76" t="s">
        <v>935</v>
      </c>
      <c r="I1288" s="83"/>
      <c r="J1288" s="83"/>
      <c r="K1288" s="83"/>
      <c r="L1288" s="83"/>
      <c r="M1288" s="83"/>
      <c r="N1288" s="83"/>
      <c r="O1288" s="83"/>
      <c r="P1288" s="83"/>
      <c r="Q1288" s="83"/>
      <c r="R1288" s="83"/>
      <c r="S1288" s="83"/>
      <c r="T1288" s="83"/>
      <c r="U1288" s="83"/>
      <c r="V1288" s="83"/>
      <c r="W1288" s="83"/>
      <c r="X1288" s="83"/>
      <c r="Y1288" s="83"/>
      <c r="Z1288" s="83"/>
    </row>
    <row r="1289">
      <c r="A1289" s="75" t="s">
        <v>45</v>
      </c>
      <c r="B1289" s="75" t="s">
        <v>1011</v>
      </c>
      <c r="C1289" s="75">
        <v>1.97</v>
      </c>
      <c r="D1289" s="75">
        <v>0.0</v>
      </c>
      <c r="E1289" s="75">
        <v>0.0</v>
      </c>
      <c r="F1289" s="75" t="s">
        <v>974</v>
      </c>
      <c r="G1289" s="82">
        <v>46110.0</v>
      </c>
      <c r="H1289" s="76" t="s">
        <v>936</v>
      </c>
      <c r="I1289" s="83"/>
      <c r="J1289" s="83"/>
      <c r="K1289" s="83"/>
      <c r="L1289" s="83"/>
      <c r="M1289" s="83"/>
      <c r="N1289" s="83"/>
      <c r="O1289" s="83"/>
      <c r="P1289" s="83"/>
      <c r="Q1289" s="83"/>
      <c r="R1289" s="83"/>
      <c r="S1289" s="83"/>
      <c r="T1289" s="83"/>
      <c r="U1289" s="83"/>
      <c r="V1289" s="83"/>
      <c r="W1289" s="83"/>
      <c r="X1289" s="83"/>
      <c r="Y1289" s="83"/>
      <c r="Z1289" s="83"/>
    </row>
    <row r="1290">
      <c r="A1290" s="75" t="s">
        <v>45</v>
      </c>
      <c r="B1290" s="75" t="s">
        <v>1011</v>
      </c>
      <c r="C1290" s="75">
        <v>1.05</v>
      </c>
      <c r="D1290" s="75">
        <v>0.0</v>
      </c>
      <c r="E1290" s="75">
        <v>0.0</v>
      </c>
      <c r="F1290" s="75" t="s">
        <v>974</v>
      </c>
      <c r="G1290" s="82">
        <v>46110.0</v>
      </c>
      <c r="H1290" s="76" t="s">
        <v>937</v>
      </c>
      <c r="I1290" s="83"/>
      <c r="J1290" s="83"/>
      <c r="K1290" s="83"/>
      <c r="L1290" s="83"/>
      <c r="M1290" s="83"/>
      <c r="N1290" s="83"/>
      <c r="O1290" s="83"/>
      <c r="P1290" s="83"/>
      <c r="Q1290" s="83"/>
      <c r="R1290" s="83"/>
      <c r="S1290" s="83"/>
      <c r="T1290" s="83"/>
      <c r="U1290" s="83"/>
      <c r="V1290" s="83"/>
      <c r="W1290" s="83"/>
      <c r="X1290" s="83"/>
      <c r="Y1290" s="83"/>
      <c r="Z1290" s="83"/>
    </row>
    <row r="1291">
      <c r="A1291" s="75" t="s">
        <v>45</v>
      </c>
      <c r="B1291" s="75" t="s">
        <v>1011</v>
      </c>
      <c r="C1291" s="75">
        <v>2.54</v>
      </c>
      <c r="D1291" s="75">
        <v>1.0</v>
      </c>
      <c r="E1291" s="75">
        <v>2.54</v>
      </c>
      <c r="F1291" s="75" t="s">
        <v>974</v>
      </c>
      <c r="G1291" s="82">
        <v>46110.0</v>
      </c>
      <c r="H1291" s="76" t="s">
        <v>938</v>
      </c>
      <c r="I1291" s="83"/>
      <c r="J1291" s="83"/>
      <c r="K1291" s="83"/>
      <c r="L1291" s="83"/>
      <c r="M1291" s="83"/>
      <c r="N1291" s="83"/>
      <c r="O1291" s="83"/>
      <c r="P1291" s="83"/>
      <c r="Q1291" s="83"/>
      <c r="R1291" s="83"/>
      <c r="S1291" s="83"/>
      <c r="T1291" s="83"/>
      <c r="U1291" s="83"/>
      <c r="V1291" s="83"/>
      <c r="W1291" s="83"/>
      <c r="X1291" s="83"/>
      <c r="Y1291" s="83"/>
      <c r="Z1291" s="83"/>
    </row>
    <row r="1292">
      <c r="A1292" s="75" t="s">
        <v>50</v>
      </c>
      <c r="B1292" s="75" t="s">
        <v>1011</v>
      </c>
      <c r="C1292" s="75">
        <v>2.96</v>
      </c>
      <c r="D1292" s="75">
        <v>1.0</v>
      </c>
      <c r="E1292" s="75">
        <v>2.96</v>
      </c>
      <c r="F1292" s="75" t="s">
        <v>974</v>
      </c>
      <c r="G1292" s="82">
        <v>46110.0</v>
      </c>
      <c r="H1292" s="76" t="s">
        <v>939</v>
      </c>
      <c r="I1292" s="83"/>
      <c r="J1292" s="83"/>
      <c r="K1292" s="83"/>
      <c r="L1292" s="83"/>
      <c r="M1292" s="83"/>
      <c r="N1292" s="83"/>
      <c r="O1292" s="83"/>
      <c r="P1292" s="83"/>
      <c r="Q1292" s="83"/>
      <c r="R1292" s="83"/>
      <c r="S1292" s="83"/>
      <c r="T1292" s="83"/>
      <c r="U1292" s="83"/>
      <c r="V1292" s="83"/>
      <c r="W1292" s="83"/>
      <c r="X1292" s="83"/>
      <c r="Y1292" s="83"/>
      <c r="Z1292" s="83"/>
    </row>
    <row r="1293">
      <c r="A1293" s="75" t="s">
        <v>50</v>
      </c>
      <c r="B1293" s="75" t="s">
        <v>1011</v>
      </c>
      <c r="C1293" s="75">
        <v>2.57</v>
      </c>
      <c r="D1293" s="75">
        <v>0.0</v>
      </c>
      <c r="E1293" s="75">
        <v>0.0</v>
      </c>
      <c r="F1293" s="75" t="s">
        <v>974</v>
      </c>
      <c r="G1293" s="82">
        <v>46110.0</v>
      </c>
      <c r="H1293" s="76" t="s">
        <v>940</v>
      </c>
      <c r="I1293" s="83"/>
      <c r="J1293" s="83"/>
      <c r="K1293" s="83"/>
      <c r="L1293" s="83"/>
      <c r="M1293" s="83"/>
      <c r="N1293" s="83"/>
      <c r="O1293" s="83"/>
      <c r="P1293" s="83"/>
      <c r="Q1293" s="83"/>
      <c r="R1293" s="83"/>
      <c r="S1293" s="83"/>
      <c r="T1293" s="83"/>
      <c r="U1293" s="83"/>
      <c r="V1293" s="83"/>
      <c r="W1293" s="83"/>
      <c r="X1293" s="83"/>
      <c r="Y1293" s="83"/>
      <c r="Z1293" s="83"/>
    </row>
    <row r="1294">
      <c r="A1294" s="75" t="s">
        <v>32</v>
      </c>
      <c r="B1294" s="75" t="s">
        <v>1011</v>
      </c>
      <c r="C1294" s="75">
        <v>9.17</v>
      </c>
      <c r="D1294" s="75">
        <v>1.0</v>
      </c>
      <c r="E1294" s="75">
        <v>9.17</v>
      </c>
      <c r="F1294" s="75" t="s">
        <v>974</v>
      </c>
      <c r="G1294" s="82">
        <v>46110.0</v>
      </c>
      <c r="H1294" s="76" t="s">
        <v>941</v>
      </c>
      <c r="I1294" s="83"/>
      <c r="J1294" s="83"/>
      <c r="K1294" s="83"/>
      <c r="L1294" s="83"/>
      <c r="M1294" s="83"/>
      <c r="N1294" s="83"/>
      <c r="O1294" s="83"/>
      <c r="P1294" s="83"/>
      <c r="Q1294" s="83"/>
      <c r="R1294" s="83"/>
      <c r="S1294" s="83"/>
      <c r="T1294" s="83"/>
      <c r="U1294" s="83"/>
      <c r="V1294" s="83"/>
      <c r="W1294" s="83"/>
      <c r="X1294" s="83"/>
      <c r="Y1294" s="83"/>
      <c r="Z1294" s="83"/>
    </row>
    <row r="1295">
      <c r="A1295" s="75" t="s">
        <v>32</v>
      </c>
      <c r="B1295" s="75" t="s">
        <v>1011</v>
      </c>
      <c r="C1295" s="75">
        <v>1.87</v>
      </c>
      <c r="D1295" s="75">
        <v>4.0</v>
      </c>
      <c r="E1295" s="75">
        <v>0.47</v>
      </c>
      <c r="F1295" s="75" t="s">
        <v>974</v>
      </c>
      <c r="G1295" s="82">
        <v>46110.0</v>
      </c>
      <c r="H1295" s="76" t="s">
        <v>942</v>
      </c>
      <c r="I1295" s="83"/>
      <c r="J1295" s="83"/>
      <c r="K1295" s="83"/>
      <c r="L1295" s="83"/>
      <c r="M1295" s="83"/>
      <c r="N1295" s="83"/>
      <c r="O1295" s="83"/>
      <c r="P1295" s="83"/>
      <c r="Q1295" s="83"/>
      <c r="R1295" s="83"/>
      <c r="S1295" s="83"/>
      <c r="T1295" s="83"/>
      <c r="U1295" s="83"/>
      <c r="V1295" s="83"/>
      <c r="W1295" s="83"/>
      <c r="X1295" s="83"/>
      <c r="Y1295" s="83"/>
      <c r="Z1295" s="83"/>
    </row>
    <row r="1296">
      <c r="A1296" s="75" t="s">
        <v>32</v>
      </c>
      <c r="B1296" s="75" t="s">
        <v>1011</v>
      </c>
      <c r="C1296" s="75">
        <v>3.22</v>
      </c>
      <c r="D1296" s="75">
        <v>1.0</v>
      </c>
      <c r="E1296" s="75">
        <v>3.22</v>
      </c>
      <c r="F1296" s="75" t="s">
        <v>974</v>
      </c>
      <c r="G1296" s="82">
        <v>46110.0</v>
      </c>
      <c r="H1296" s="76" t="s">
        <v>943</v>
      </c>
      <c r="I1296" s="83"/>
      <c r="J1296" s="83"/>
      <c r="K1296" s="83"/>
      <c r="L1296" s="83"/>
      <c r="M1296" s="83"/>
      <c r="N1296" s="83"/>
      <c r="O1296" s="83"/>
      <c r="P1296" s="83"/>
      <c r="Q1296" s="83"/>
      <c r="R1296" s="83"/>
      <c r="S1296" s="83"/>
      <c r="T1296" s="83"/>
      <c r="U1296" s="83"/>
      <c r="V1296" s="83"/>
      <c r="W1296" s="83"/>
      <c r="X1296" s="83"/>
      <c r="Y1296" s="83"/>
      <c r="Z1296" s="83"/>
    </row>
    <row r="1297">
      <c r="A1297" s="75" t="s">
        <v>944</v>
      </c>
      <c r="B1297" s="75" t="s">
        <v>1011</v>
      </c>
      <c r="C1297" s="75">
        <v>2.09</v>
      </c>
      <c r="D1297" s="75">
        <v>0.0</v>
      </c>
      <c r="E1297" s="75">
        <v>0.0</v>
      </c>
      <c r="F1297" s="75" t="s">
        <v>974</v>
      </c>
      <c r="G1297" s="82">
        <v>46110.0</v>
      </c>
      <c r="H1297" s="76" t="s">
        <v>945</v>
      </c>
      <c r="I1297" s="83"/>
      <c r="J1297" s="83"/>
      <c r="K1297" s="83"/>
      <c r="L1297" s="83"/>
      <c r="M1297" s="83"/>
      <c r="N1297" s="83"/>
      <c r="O1297" s="83"/>
      <c r="P1297" s="83"/>
      <c r="Q1297" s="83"/>
      <c r="R1297" s="83"/>
      <c r="S1297" s="83"/>
      <c r="T1297" s="83"/>
      <c r="U1297" s="83"/>
      <c r="V1297" s="83"/>
      <c r="W1297" s="83"/>
      <c r="X1297" s="83"/>
      <c r="Y1297" s="83"/>
      <c r="Z1297" s="83"/>
    </row>
    <row r="1298">
      <c r="A1298" s="75" t="s">
        <v>944</v>
      </c>
      <c r="B1298" s="75" t="s">
        <v>1011</v>
      </c>
      <c r="C1298" s="75">
        <v>0.8</v>
      </c>
      <c r="D1298" s="75">
        <v>0.0</v>
      </c>
      <c r="E1298" s="75">
        <v>0.0</v>
      </c>
      <c r="F1298" s="75" t="s">
        <v>974</v>
      </c>
      <c r="G1298" s="82">
        <v>46110.0</v>
      </c>
      <c r="H1298" s="76" t="s">
        <v>946</v>
      </c>
      <c r="I1298" s="83"/>
      <c r="J1298" s="83"/>
      <c r="K1298" s="83"/>
      <c r="L1298" s="83"/>
      <c r="M1298" s="83"/>
      <c r="N1298" s="83"/>
      <c r="O1298" s="83"/>
      <c r="P1298" s="83"/>
      <c r="Q1298" s="83"/>
      <c r="R1298" s="83"/>
      <c r="S1298" s="83"/>
      <c r="T1298" s="83"/>
      <c r="U1298" s="83"/>
      <c r="V1298" s="83"/>
      <c r="W1298" s="83"/>
      <c r="X1298" s="83"/>
      <c r="Y1298" s="83"/>
      <c r="Z1298" s="83"/>
    </row>
    <row r="1299">
      <c r="A1299" s="75" t="s">
        <v>944</v>
      </c>
      <c r="B1299" s="75" t="s">
        <v>1011</v>
      </c>
      <c r="C1299" s="75">
        <v>1.91</v>
      </c>
      <c r="D1299" s="75">
        <v>0.0</v>
      </c>
      <c r="E1299" s="75">
        <v>0.0</v>
      </c>
      <c r="F1299" s="75" t="s">
        <v>974</v>
      </c>
      <c r="G1299" s="82">
        <v>46110.0</v>
      </c>
      <c r="H1299" s="76" t="s">
        <v>947</v>
      </c>
      <c r="I1299" s="83"/>
      <c r="J1299" s="83"/>
      <c r="K1299" s="83"/>
      <c r="L1299" s="83"/>
      <c r="M1299" s="83"/>
      <c r="N1299" s="83"/>
      <c r="O1299" s="83"/>
      <c r="P1299" s="83"/>
      <c r="Q1299" s="83"/>
      <c r="R1299" s="83"/>
      <c r="S1299" s="83"/>
      <c r="T1299" s="83"/>
      <c r="U1299" s="83"/>
      <c r="V1299" s="83"/>
      <c r="W1299" s="83"/>
      <c r="X1299" s="83"/>
      <c r="Y1299" s="83"/>
      <c r="Z1299" s="83"/>
    </row>
    <row r="1300">
      <c r="A1300" s="75" t="s">
        <v>36</v>
      </c>
      <c r="B1300" s="75" t="s">
        <v>1011</v>
      </c>
      <c r="C1300" s="75">
        <v>9.34</v>
      </c>
      <c r="D1300" s="75">
        <v>2.0</v>
      </c>
      <c r="E1300" s="75">
        <v>4.67</v>
      </c>
      <c r="F1300" s="75" t="s">
        <v>975</v>
      </c>
      <c r="G1300" s="82">
        <v>46110.0</v>
      </c>
      <c r="H1300" s="76" t="s">
        <v>926</v>
      </c>
      <c r="I1300" s="83"/>
      <c r="J1300" s="83"/>
      <c r="K1300" s="83"/>
      <c r="L1300" s="83"/>
      <c r="M1300" s="83"/>
      <c r="N1300" s="83"/>
      <c r="O1300" s="83"/>
      <c r="P1300" s="83"/>
      <c r="Q1300" s="83"/>
      <c r="R1300" s="83"/>
      <c r="S1300" s="83"/>
      <c r="T1300" s="83"/>
      <c r="U1300" s="83"/>
      <c r="V1300" s="83"/>
      <c r="W1300" s="83"/>
      <c r="X1300" s="83"/>
      <c r="Y1300" s="83"/>
      <c r="Z1300" s="83"/>
    </row>
    <row r="1301">
      <c r="A1301" s="75" t="s">
        <v>36</v>
      </c>
      <c r="B1301" s="75" t="s">
        <v>1011</v>
      </c>
      <c r="C1301" s="75">
        <v>2.53</v>
      </c>
      <c r="D1301" s="75">
        <v>0.0</v>
      </c>
      <c r="E1301" s="75">
        <v>0.0</v>
      </c>
      <c r="F1301" s="75" t="s">
        <v>975</v>
      </c>
      <c r="G1301" s="82">
        <v>46110.0</v>
      </c>
      <c r="H1301" s="76" t="s">
        <v>927</v>
      </c>
      <c r="I1301" s="83"/>
      <c r="J1301" s="83"/>
      <c r="K1301" s="83"/>
      <c r="L1301" s="83"/>
      <c r="M1301" s="83"/>
      <c r="N1301" s="83"/>
      <c r="O1301" s="83"/>
      <c r="P1301" s="83"/>
      <c r="Q1301" s="83"/>
      <c r="R1301" s="83"/>
      <c r="S1301" s="83"/>
      <c r="T1301" s="83"/>
      <c r="U1301" s="83"/>
      <c r="V1301" s="83"/>
      <c r="W1301" s="83"/>
      <c r="X1301" s="83"/>
      <c r="Y1301" s="83"/>
      <c r="Z1301" s="83"/>
    </row>
    <row r="1302">
      <c r="A1302" s="75" t="s">
        <v>36</v>
      </c>
      <c r="B1302" s="75" t="s">
        <v>1011</v>
      </c>
      <c r="C1302" s="75">
        <v>2.71</v>
      </c>
      <c r="D1302" s="75">
        <v>0.0</v>
      </c>
      <c r="E1302" s="75">
        <v>0.0</v>
      </c>
      <c r="F1302" s="75" t="s">
        <v>975</v>
      </c>
      <c r="G1302" s="82">
        <v>46110.0</v>
      </c>
      <c r="H1302" s="76" t="s">
        <v>928</v>
      </c>
      <c r="I1302" s="83"/>
      <c r="J1302" s="83"/>
      <c r="K1302" s="83"/>
      <c r="L1302" s="83"/>
      <c r="M1302" s="83"/>
      <c r="N1302" s="83"/>
      <c r="O1302" s="83"/>
      <c r="P1302" s="83"/>
      <c r="Q1302" s="83"/>
      <c r="R1302" s="83"/>
      <c r="S1302" s="83"/>
      <c r="T1302" s="83"/>
      <c r="U1302" s="83"/>
      <c r="V1302" s="83"/>
      <c r="W1302" s="83"/>
      <c r="X1302" s="83"/>
      <c r="Y1302" s="83"/>
      <c r="Z1302" s="83"/>
    </row>
    <row r="1303">
      <c r="A1303" s="75" t="s">
        <v>31</v>
      </c>
      <c r="B1303" s="75" t="s">
        <v>1011</v>
      </c>
      <c r="C1303" s="75">
        <v>3.58</v>
      </c>
      <c r="D1303" s="75">
        <v>4.0</v>
      </c>
      <c r="E1303" s="75">
        <v>0.9</v>
      </c>
      <c r="F1303" s="75" t="s">
        <v>975</v>
      </c>
      <c r="G1303" s="82">
        <v>46110.0</v>
      </c>
      <c r="H1303" s="76" t="s">
        <v>929</v>
      </c>
      <c r="I1303" s="83"/>
      <c r="J1303" s="83"/>
      <c r="K1303" s="83"/>
      <c r="L1303" s="83"/>
      <c r="M1303" s="83"/>
      <c r="N1303" s="83"/>
      <c r="O1303" s="83"/>
      <c r="P1303" s="83"/>
      <c r="Q1303" s="83"/>
      <c r="R1303" s="83"/>
      <c r="S1303" s="83"/>
      <c r="T1303" s="83"/>
      <c r="U1303" s="83"/>
      <c r="V1303" s="83"/>
      <c r="W1303" s="83"/>
      <c r="X1303" s="83"/>
      <c r="Y1303" s="83"/>
      <c r="Z1303" s="83"/>
    </row>
    <row r="1304">
      <c r="A1304" s="75" t="s">
        <v>31</v>
      </c>
      <c r="B1304" s="75" t="s">
        <v>1011</v>
      </c>
      <c r="C1304" s="75">
        <v>17.62</v>
      </c>
      <c r="D1304" s="75">
        <v>9.0</v>
      </c>
      <c r="E1304" s="75">
        <v>1.96</v>
      </c>
      <c r="F1304" s="75" t="s">
        <v>975</v>
      </c>
      <c r="G1304" s="82">
        <v>46110.0</v>
      </c>
      <c r="H1304" s="76" t="s">
        <v>930</v>
      </c>
      <c r="I1304" s="83"/>
      <c r="J1304" s="83"/>
      <c r="K1304" s="83"/>
      <c r="L1304" s="83"/>
      <c r="M1304" s="83"/>
      <c r="N1304" s="83"/>
      <c r="O1304" s="83"/>
      <c r="P1304" s="83"/>
      <c r="Q1304" s="83"/>
      <c r="R1304" s="83"/>
      <c r="S1304" s="83"/>
      <c r="T1304" s="83"/>
      <c r="U1304" s="83"/>
      <c r="V1304" s="83"/>
      <c r="W1304" s="83"/>
      <c r="X1304" s="83"/>
      <c r="Y1304" s="83"/>
      <c r="Z1304" s="83"/>
    </row>
    <row r="1305">
      <c r="A1305" s="75" t="s">
        <v>28</v>
      </c>
      <c r="B1305" s="75" t="s">
        <v>1011</v>
      </c>
      <c r="C1305" s="75">
        <v>4.53</v>
      </c>
      <c r="D1305" s="75">
        <v>2.0</v>
      </c>
      <c r="E1305" s="75">
        <v>2.26</v>
      </c>
      <c r="F1305" s="75" t="s">
        <v>975</v>
      </c>
      <c r="G1305" s="82">
        <v>46110.0</v>
      </c>
      <c r="H1305" s="76" t="s">
        <v>931</v>
      </c>
      <c r="I1305" s="83"/>
      <c r="J1305" s="83"/>
      <c r="K1305" s="83"/>
      <c r="L1305" s="83"/>
      <c r="M1305" s="83"/>
      <c r="N1305" s="83"/>
      <c r="O1305" s="83"/>
      <c r="P1305" s="83"/>
      <c r="Q1305" s="83"/>
      <c r="R1305" s="83"/>
      <c r="S1305" s="83"/>
      <c r="T1305" s="83"/>
      <c r="U1305" s="83"/>
      <c r="V1305" s="83"/>
      <c r="W1305" s="83"/>
      <c r="X1305" s="83"/>
      <c r="Y1305" s="83"/>
      <c r="Z1305" s="83"/>
    </row>
    <row r="1306">
      <c r="A1306" s="75" t="s">
        <v>28</v>
      </c>
      <c r="B1306" s="75" t="s">
        <v>1011</v>
      </c>
      <c r="C1306" s="75">
        <v>4.55</v>
      </c>
      <c r="D1306" s="75">
        <v>1.0</v>
      </c>
      <c r="E1306" s="75">
        <v>4.55</v>
      </c>
      <c r="F1306" s="75" t="s">
        <v>975</v>
      </c>
      <c r="G1306" s="82">
        <v>46110.0</v>
      </c>
      <c r="H1306" s="76" t="s">
        <v>932</v>
      </c>
      <c r="I1306" s="83"/>
      <c r="J1306" s="83"/>
      <c r="K1306" s="83"/>
      <c r="L1306" s="83"/>
      <c r="M1306" s="83"/>
      <c r="N1306" s="83"/>
      <c r="O1306" s="83"/>
      <c r="P1306" s="83"/>
      <c r="Q1306" s="83"/>
      <c r="R1306" s="83"/>
      <c r="S1306" s="83"/>
      <c r="T1306" s="83"/>
      <c r="U1306" s="83"/>
      <c r="V1306" s="83"/>
      <c r="W1306" s="83"/>
      <c r="X1306" s="83"/>
      <c r="Y1306" s="83"/>
      <c r="Z1306" s="83"/>
    </row>
    <row r="1307">
      <c r="A1307" s="75" t="s">
        <v>28</v>
      </c>
      <c r="B1307" s="75" t="s">
        <v>1011</v>
      </c>
      <c r="C1307" s="75">
        <v>18.92</v>
      </c>
      <c r="D1307" s="75">
        <v>4.0</v>
      </c>
      <c r="E1307" s="75">
        <v>4.73</v>
      </c>
      <c r="F1307" s="75" t="s">
        <v>975</v>
      </c>
      <c r="G1307" s="82">
        <v>46110.0</v>
      </c>
      <c r="H1307" s="76" t="s">
        <v>933</v>
      </c>
      <c r="I1307" s="83"/>
      <c r="J1307" s="83"/>
      <c r="K1307" s="83"/>
      <c r="L1307" s="83"/>
      <c r="M1307" s="83"/>
      <c r="N1307" s="83"/>
      <c r="O1307" s="83"/>
      <c r="P1307" s="83"/>
      <c r="Q1307" s="83"/>
      <c r="R1307" s="83"/>
      <c r="S1307" s="83"/>
      <c r="T1307" s="83"/>
      <c r="U1307" s="83"/>
      <c r="V1307" s="83"/>
      <c r="W1307" s="83"/>
      <c r="X1307" s="83"/>
      <c r="Y1307" s="83"/>
      <c r="Z1307" s="83"/>
    </row>
    <row r="1308">
      <c r="A1308" s="75" t="s">
        <v>42</v>
      </c>
      <c r="B1308" s="75" t="s">
        <v>1011</v>
      </c>
      <c r="C1308" s="75">
        <v>4.85</v>
      </c>
      <c r="D1308" s="75">
        <v>0.0</v>
      </c>
      <c r="E1308" s="75">
        <v>0.0</v>
      </c>
      <c r="F1308" s="75" t="s">
        <v>975</v>
      </c>
      <c r="G1308" s="82">
        <v>46110.0</v>
      </c>
      <c r="H1308" s="76" t="s">
        <v>934</v>
      </c>
      <c r="I1308" s="83"/>
      <c r="J1308" s="83"/>
      <c r="K1308" s="83"/>
      <c r="L1308" s="83"/>
      <c r="M1308" s="83"/>
      <c r="N1308" s="83"/>
      <c r="O1308" s="83"/>
      <c r="P1308" s="83"/>
      <c r="Q1308" s="83"/>
      <c r="R1308" s="83"/>
      <c r="S1308" s="83"/>
      <c r="T1308" s="83"/>
      <c r="U1308" s="83"/>
      <c r="V1308" s="83"/>
      <c r="W1308" s="83"/>
      <c r="X1308" s="83"/>
      <c r="Y1308" s="83"/>
      <c r="Z1308" s="83"/>
    </row>
    <row r="1309">
      <c r="A1309" s="75" t="s">
        <v>42</v>
      </c>
      <c r="B1309" s="75" t="s">
        <v>1011</v>
      </c>
      <c r="C1309" s="75">
        <v>7.85</v>
      </c>
      <c r="D1309" s="75">
        <v>2.0</v>
      </c>
      <c r="E1309" s="75">
        <v>3.92</v>
      </c>
      <c r="F1309" s="75" t="s">
        <v>975</v>
      </c>
      <c r="G1309" s="82">
        <v>46110.0</v>
      </c>
      <c r="H1309" s="76" t="s">
        <v>935</v>
      </c>
      <c r="I1309" s="83"/>
      <c r="J1309" s="83"/>
      <c r="K1309" s="83"/>
      <c r="L1309" s="83"/>
      <c r="M1309" s="83"/>
      <c r="N1309" s="83"/>
      <c r="O1309" s="83"/>
      <c r="P1309" s="83"/>
      <c r="Q1309" s="83"/>
      <c r="R1309" s="83"/>
      <c r="S1309" s="83"/>
      <c r="T1309" s="83"/>
      <c r="U1309" s="83"/>
      <c r="V1309" s="83"/>
      <c r="W1309" s="83"/>
      <c r="X1309" s="83"/>
      <c r="Y1309" s="83"/>
      <c r="Z1309" s="83"/>
    </row>
    <row r="1310">
      <c r="A1310" s="75" t="s">
        <v>45</v>
      </c>
      <c r="B1310" s="75" t="s">
        <v>1011</v>
      </c>
      <c r="C1310" s="75">
        <v>3.7</v>
      </c>
      <c r="D1310" s="75">
        <v>1.0</v>
      </c>
      <c r="E1310" s="75">
        <v>3.7</v>
      </c>
      <c r="F1310" s="75" t="s">
        <v>975</v>
      </c>
      <c r="G1310" s="82">
        <v>46110.0</v>
      </c>
      <c r="H1310" s="76" t="s">
        <v>936</v>
      </c>
      <c r="I1310" s="83"/>
      <c r="J1310" s="83"/>
      <c r="K1310" s="83"/>
      <c r="L1310" s="83"/>
      <c r="M1310" s="83"/>
      <c r="N1310" s="83"/>
      <c r="O1310" s="83"/>
      <c r="P1310" s="83"/>
      <c r="Q1310" s="83"/>
      <c r="R1310" s="83"/>
      <c r="S1310" s="83"/>
      <c r="T1310" s="83"/>
      <c r="U1310" s="83"/>
      <c r="V1310" s="83"/>
      <c r="W1310" s="83"/>
      <c r="X1310" s="83"/>
      <c r="Y1310" s="83"/>
      <c r="Z1310" s="83"/>
    </row>
    <row r="1311">
      <c r="A1311" s="75" t="s">
        <v>45</v>
      </c>
      <c r="B1311" s="75" t="s">
        <v>1011</v>
      </c>
      <c r="C1311" s="75">
        <v>2.02</v>
      </c>
      <c r="D1311" s="75">
        <v>0.0</v>
      </c>
      <c r="E1311" s="75">
        <v>0.0</v>
      </c>
      <c r="F1311" s="75" t="s">
        <v>975</v>
      </c>
      <c r="G1311" s="82">
        <v>46110.0</v>
      </c>
      <c r="H1311" s="76" t="s">
        <v>937</v>
      </c>
      <c r="I1311" s="83"/>
      <c r="J1311" s="83"/>
      <c r="K1311" s="83"/>
      <c r="L1311" s="83"/>
      <c r="M1311" s="83"/>
      <c r="N1311" s="83"/>
      <c r="O1311" s="83"/>
      <c r="P1311" s="83"/>
      <c r="Q1311" s="83"/>
      <c r="R1311" s="83"/>
      <c r="S1311" s="83"/>
      <c r="T1311" s="83"/>
      <c r="U1311" s="83"/>
      <c r="V1311" s="83"/>
      <c r="W1311" s="83"/>
      <c r="X1311" s="83"/>
      <c r="Y1311" s="83"/>
      <c r="Z1311" s="83"/>
    </row>
    <row r="1312">
      <c r="A1312" s="75" t="s">
        <v>45</v>
      </c>
      <c r="B1312" s="75" t="s">
        <v>1011</v>
      </c>
      <c r="C1312" s="75">
        <v>5.92</v>
      </c>
      <c r="D1312" s="75">
        <v>0.0</v>
      </c>
      <c r="E1312" s="75">
        <v>0.0</v>
      </c>
      <c r="F1312" s="75" t="s">
        <v>975</v>
      </c>
      <c r="G1312" s="82">
        <v>46110.0</v>
      </c>
      <c r="H1312" s="76" t="s">
        <v>938</v>
      </c>
      <c r="I1312" s="83"/>
      <c r="J1312" s="83"/>
      <c r="K1312" s="83"/>
      <c r="L1312" s="83"/>
      <c r="M1312" s="83"/>
      <c r="N1312" s="83"/>
      <c r="O1312" s="83"/>
      <c r="P1312" s="83"/>
      <c r="Q1312" s="83"/>
      <c r="R1312" s="83"/>
      <c r="S1312" s="83"/>
      <c r="T1312" s="83"/>
      <c r="U1312" s="83"/>
      <c r="V1312" s="83"/>
      <c r="W1312" s="83"/>
      <c r="X1312" s="83"/>
      <c r="Y1312" s="83"/>
      <c r="Z1312" s="83"/>
    </row>
    <row r="1313">
      <c r="A1313" s="75" t="s">
        <v>50</v>
      </c>
      <c r="B1313" s="75" t="s">
        <v>1011</v>
      </c>
      <c r="C1313" s="75">
        <v>5.23</v>
      </c>
      <c r="D1313" s="75">
        <v>2.0</v>
      </c>
      <c r="E1313" s="75">
        <v>2.61</v>
      </c>
      <c r="F1313" s="75" t="s">
        <v>975</v>
      </c>
      <c r="G1313" s="82">
        <v>46110.0</v>
      </c>
      <c r="H1313" s="76" t="s">
        <v>939</v>
      </c>
      <c r="I1313" s="83"/>
      <c r="J1313" s="83"/>
      <c r="K1313" s="83"/>
      <c r="L1313" s="83"/>
      <c r="M1313" s="83"/>
      <c r="N1313" s="83"/>
      <c r="O1313" s="83"/>
      <c r="P1313" s="83"/>
      <c r="Q1313" s="83"/>
      <c r="R1313" s="83"/>
      <c r="S1313" s="83"/>
      <c r="T1313" s="83"/>
      <c r="U1313" s="83"/>
      <c r="V1313" s="83"/>
      <c r="W1313" s="83"/>
      <c r="X1313" s="83"/>
      <c r="Y1313" s="83"/>
      <c r="Z1313" s="83"/>
    </row>
    <row r="1314">
      <c r="A1314" s="75" t="s">
        <v>50</v>
      </c>
      <c r="B1314" s="75" t="s">
        <v>1011</v>
      </c>
      <c r="C1314" s="75">
        <v>5.03</v>
      </c>
      <c r="D1314" s="75">
        <v>1.0</v>
      </c>
      <c r="E1314" s="75">
        <v>5.03</v>
      </c>
      <c r="F1314" s="75" t="s">
        <v>975</v>
      </c>
      <c r="G1314" s="82">
        <v>46110.0</v>
      </c>
      <c r="H1314" s="76" t="s">
        <v>940</v>
      </c>
      <c r="I1314" s="83"/>
      <c r="J1314" s="83"/>
      <c r="K1314" s="83"/>
      <c r="L1314" s="83"/>
      <c r="M1314" s="83"/>
      <c r="N1314" s="83"/>
      <c r="O1314" s="83"/>
      <c r="P1314" s="83"/>
      <c r="Q1314" s="83"/>
      <c r="R1314" s="83"/>
      <c r="S1314" s="83"/>
      <c r="T1314" s="83"/>
      <c r="U1314" s="83"/>
      <c r="V1314" s="83"/>
      <c r="W1314" s="83"/>
      <c r="X1314" s="83"/>
      <c r="Y1314" s="83"/>
      <c r="Z1314" s="83"/>
    </row>
    <row r="1315">
      <c r="A1315" s="75" t="s">
        <v>32</v>
      </c>
      <c r="B1315" s="75" t="s">
        <v>1011</v>
      </c>
      <c r="C1315" s="75">
        <v>10.43</v>
      </c>
      <c r="D1315" s="75">
        <v>6.0</v>
      </c>
      <c r="E1315" s="75">
        <v>1.74</v>
      </c>
      <c r="F1315" s="75" t="s">
        <v>975</v>
      </c>
      <c r="G1315" s="82">
        <v>46110.0</v>
      </c>
      <c r="H1315" s="76" t="s">
        <v>941</v>
      </c>
      <c r="I1315" s="83"/>
      <c r="J1315" s="83"/>
      <c r="K1315" s="83"/>
      <c r="L1315" s="83"/>
      <c r="M1315" s="83"/>
      <c r="N1315" s="83"/>
      <c r="O1315" s="83"/>
      <c r="P1315" s="83"/>
      <c r="Q1315" s="83"/>
      <c r="R1315" s="83"/>
      <c r="S1315" s="83"/>
      <c r="T1315" s="83"/>
      <c r="U1315" s="83"/>
      <c r="V1315" s="83"/>
      <c r="W1315" s="83"/>
      <c r="X1315" s="83"/>
      <c r="Y1315" s="83"/>
      <c r="Z1315" s="83"/>
    </row>
    <row r="1316">
      <c r="A1316" s="75" t="s">
        <v>32</v>
      </c>
      <c r="B1316" s="75" t="s">
        <v>1011</v>
      </c>
      <c r="C1316" s="75">
        <v>2.14</v>
      </c>
      <c r="D1316" s="75">
        <v>2.0</v>
      </c>
      <c r="E1316" s="75">
        <v>1.07</v>
      </c>
      <c r="F1316" s="75" t="s">
        <v>975</v>
      </c>
      <c r="G1316" s="82">
        <v>46110.0</v>
      </c>
      <c r="H1316" s="76" t="s">
        <v>942</v>
      </c>
      <c r="I1316" s="83"/>
      <c r="J1316" s="83"/>
      <c r="K1316" s="83"/>
      <c r="L1316" s="83"/>
      <c r="M1316" s="83"/>
      <c r="N1316" s="83"/>
      <c r="O1316" s="83"/>
      <c r="P1316" s="83"/>
      <c r="Q1316" s="83"/>
      <c r="R1316" s="83"/>
      <c r="S1316" s="83"/>
      <c r="T1316" s="83"/>
      <c r="U1316" s="83"/>
      <c r="V1316" s="83"/>
      <c r="W1316" s="83"/>
      <c r="X1316" s="83"/>
      <c r="Y1316" s="83"/>
      <c r="Z1316" s="83"/>
    </row>
    <row r="1317">
      <c r="A1317" s="75" t="s">
        <v>32</v>
      </c>
      <c r="B1317" s="75" t="s">
        <v>1011</v>
      </c>
      <c r="C1317" s="75">
        <v>4.08</v>
      </c>
      <c r="D1317" s="75">
        <v>2.0</v>
      </c>
      <c r="E1317" s="75">
        <v>2.04</v>
      </c>
      <c r="F1317" s="75" t="s">
        <v>975</v>
      </c>
      <c r="G1317" s="82">
        <v>46110.0</v>
      </c>
      <c r="H1317" s="76" t="s">
        <v>943</v>
      </c>
      <c r="I1317" s="83"/>
      <c r="J1317" s="83"/>
      <c r="K1317" s="83"/>
      <c r="L1317" s="83"/>
      <c r="M1317" s="83"/>
      <c r="N1317" s="83"/>
      <c r="O1317" s="83"/>
      <c r="P1317" s="83"/>
      <c r="Q1317" s="83"/>
      <c r="R1317" s="83"/>
      <c r="S1317" s="83"/>
      <c r="T1317" s="83"/>
      <c r="U1317" s="83"/>
      <c r="V1317" s="83"/>
      <c r="W1317" s="83"/>
      <c r="X1317" s="83"/>
      <c r="Y1317" s="83"/>
      <c r="Z1317" s="83"/>
    </row>
    <row r="1318">
      <c r="A1318" s="75" t="s">
        <v>944</v>
      </c>
      <c r="B1318" s="75" t="s">
        <v>1011</v>
      </c>
      <c r="C1318" s="75">
        <v>4.86</v>
      </c>
      <c r="D1318" s="75">
        <v>0.0</v>
      </c>
      <c r="E1318" s="75">
        <v>0.0</v>
      </c>
      <c r="F1318" s="75" t="s">
        <v>975</v>
      </c>
      <c r="G1318" s="82">
        <v>46110.0</v>
      </c>
      <c r="H1318" s="76" t="s">
        <v>945</v>
      </c>
      <c r="I1318" s="83"/>
      <c r="J1318" s="83"/>
      <c r="K1318" s="83"/>
      <c r="L1318" s="83"/>
      <c r="M1318" s="83"/>
      <c r="N1318" s="83"/>
      <c r="O1318" s="83"/>
      <c r="P1318" s="83"/>
      <c r="Q1318" s="83"/>
      <c r="R1318" s="83"/>
      <c r="S1318" s="83"/>
      <c r="T1318" s="83"/>
      <c r="U1318" s="83"/>
      <c r="V1318" s="83"/>
      <c r="W1318" s="83"/>
      <c r="X1318" s="83"/>
      <c r="Y1318" s="83"/>
      <c r="Z1318" s="83"/>
    </row>
    <row r="1319">
      <c r="A1319" s="75" t="s">
        <v>944</v>
      </c>
      <c r="B1319" s="75" t="s">
        <v>1011</v>
      </c>
      <c r="C1319" s="75">
        <v>1.46</v>
      </c>
      <c r="D1319" s="75">
        <v>0.0</v>
      </c>
      <c r="E1319" s="75">
        <v>0.0</v>
      </c>
      <c r="F1319" s="75" t="s">
        <v>975</v>
      </c>
      <c r="G1319" s="82">
        <v>46110.0</v>
      </c>
      <c r="H1319" s="76" t="s">
        <v>946</v>
      </c>
      <c r="I1319" s="83"/>
      <c r="J1319" s="83"/>
      <c r="K1319" s="83"/>
      <c r="L1319" s="83"/>
      <c r="M1319" s="83"/>
      <c r="N1319" s="83"/>
      <c r="O1319" s="83"/>
      <c r="P1319" s="83"/>
      <c r="Q1319" s="83"/>
      <c r="R1319" s="83"/>
      <c r="S1319" s="83"/>
      <c r="T1319" s="83"/>
      <c r="U1319" s="83"/>
      <c r="V1319" s="83"/>
      <c r="W1319" s="83"/>
      <c r="X1319" s="83"/>
      <c r="Y1319" s="83"/>
      <c r="Z1319" s="83"/>
    </row>
    <row r="1320">
      <c r="A1320" s="75" t="s">
        <v>944</v>
      </c>
      <c r="B1320" s="75" t="s">
        <v>1011</v>
      </c>
      <c r="C1320" s="75">
        <v>3.17</v>
      </c>
      <c r="D1320" s="75">
        <v>1.0</v>
      </c>
      <c r="E1320" s="75">
        <v>3.17</v>
      </c>
      <c r="F1320" s="75" t="s">
        <v>975</v>
      </c>
      <c r="G1320" s="82">
        <v>46110.0</v>
      </c>
      <c r="H1320" s="76" t="s">
        <v>947</v>
      </c>
      <c r="I1320" s="83"/>
      <c r="J1320" s="83"/>
      <c r="K1320" s="83"/>
      <c r="L1320" s="83"/>
      <c r="M1320" s="83"/>
      <c r="N1320" s="83"/>
      <c r="O1320" s="83"/>
      <c r="P1320" s="83"/>
      <c r="Q1320" s="83"/>
      <c r="R1320" s="83"/>
      <c r="S1320" s="83"/>
      <c r="T1320" s="83"/>
      <c r="U1320" s="83"/>
      <c r="V1320" s="83"/>
      <c r="W1320" s="83"/>
      <c r="X1320" s="83"/>
      <c r="Y1320" s="83"/>
      <c r="Z1320" s="83"/>
    </row>
    <row r="1321">
      <c r="A1321" s="75" t="s">
        <v>36</v>
      </c>
      <c r="B1321" s="75" t="s">
        <v>924</v>
      </c>
      <c r="C1321" s="75">
        <v>64.92</v>
      </c>
      <c r="D1321" s="75">
        <v>5.0</v>
      </c>
      <c r="E1321" s="75">
        <v>12.98</v>
      </c>
      <c r="F1321" s="75" t="s">
        <v>925</v>
      </c>
      <c r="G1321" s="82">
        <v>46111.0</v>
      </c>
      <c r="H1321" s="76" t="s">
        <v>926</v>
      </c>
      <c r="I1321" s="83"/>
      <c r="J1321" s="83"/>
      <c r="K1321" s="83"/>
      <c r="L1321" s="83"/>
      <c r="M1321" s="83"/>
      <c r="N1321" s="83"/>
      <c r="O1321" s="83"/>
      <c r="P1321" s="83"/>
      <c r="Q1321" s="83"/>
      <c r="R1321" s="83"/>
      <c r="S1321" s="83"/>
      <c r="T1321" s="83"/>
      <c r="U1321" s="83"/>
      <c r="V1321" s="83"/>
      <c r="W1321" s="83"/>
      <c r="X1321" s="83"/>
      <c r="Y1321" s="83"/>
      <c r="Z1321" s="83"/>
    </row>
    <row r="1322">
      <c r="A1322" s="75" t="s">
        <v>36</v>
      </c>
      <c r="B1322" s="75" t="s">
        <v>924</v>
      </c>
      <c r="C1322" s="75">
        <v>10.39</v>
      </c>
      <c r="D1322" s="75">
        <v>2.0</v>
      </c>
      <c r="E1322" s="75">
        <v>5.2</v>
      </c>
      <c r="F1322" s="75" t="s">
        <v>925</v>
      </c>
      <c r="G1322" s="82">
        <v>46111.0</v>
      </c>
      <c r="H1322" s="76" t="s">
        <v>927</v>
      </c>
      <c r="I1322" s="83"/>
      <c r="J1322" s="83"/>
      <c r="K1322" s="83"/>
      <c r="L1322" s="83"/>
      <c r="M1322" s="83"/>
      <c r="N1322" s="83"/>
      <c r="O1322" s="83"/>
      <c r="P1322" s="83"/>
      <c r="Q1322" s="83"/>
      <c r="R1322" s="83"/>
      <c r="S1322" s="83"/>
      <c r="T1322" s="83"/>
      <c r="U1322" s="83"/>
      <c r="V1322" s="83"/>
      <c r="W1322" s="83"/>
      <c r="X1322" s="83"/>
      <c r="Y1322" s="83"/>
      <c r="Z1322" s="83"/>
    </row>
    <row r="1323">
      <c r="A1323" s="75" t="s">
        <v>36</v>
      </c>
      <c r="B1323" s="75" t="s">
        <v>924</v>
      </c>
      <c r="C1323" s="75">
        <v>15.63</v>
      </c>
      <c r="D1323" s="75">
        <v>4.0</v>
      </c>
      <c r="E1323" s="75">
        <v>3.91</v>
      </c>
      <c r="F1323" s="75" t="s">
        <v>925</v>
      </c>
      <c r="G1323" s="82">
        <v>46111.0</v>
      </c>
      <c r="H1323" s="76" t="s">
        <v>928</v>
      </c>
      <c r="I1323" s="83"/>
      <c r="J1323" s="83"/>
      <c r="K1323" s="83"/>
      <c r="L1323" s="83"/>
      <c r="M1323" s="83"/>
      <c r="N1323" s="83"/>
      <c r="O1323" s="83"/>
      <c r="P1323" s="83"/>
      <c r="Q1323" s="83"/>
      <c r="R1323" s="83"/>
      <c r="S1323" s="83"/>
      <c r="T1323" s="83"/>
      <c r="U1323" s="83"/>
      <c r="V1323" s="83"/>
      <c r="W1323" s="83"/>
      <c r="X1323" s="83"/>
      <c r="Y1323" s="83"/>
      <c r="Z1323" s="83"/>
    </row>
    <row r="1324">
      <c r="A1324" s="75" t="s">
        <v>31</v>
      </c>
      <c r="B1324" s="75" t="s">
        <v>924</v>
      </c>
      <c r="C1324" s="75">
        <v>177.08</v>
      </c>
      <c r="D1324" s="75">
        <v>86.0</v>
      </c>
      <c r="E1324" s="75">
        <v>2.06</v>
      </c>
      <c r="F1324" s="75" t="s">
        <v>925</v>
      </c>
      <c r="G1324" s="82">
        <v>46111.0</v>
      </c>
      <c r="H1324" s="76" t="s">
        <v>929</v>
      </c>
      <c r="I1324" s="83"/>
      <c r="J1324" s="83"/>
      <c r="K1324" s="83"/>
      <c r="L1324" s="83"/>
      <c r="M1324" s="83"/>
      <c r="N1324" s="83"/>
      <c r="O1324" s="83"/>
      <c r="P1324" s="83"/>
      <c r="Q1324" s="83"/>
      <c r="R1324" s="83"/>
      <c r="S1324" s="83"/>
      <c r="T1324" s="83"/>
      <c r="U1324" s="83"/>
      <c r="V1324" s="83"/>
      <c r="W1324" s="83"/>
      <c r="X1324" s="83"/>
      <c r="Y1324" s="83"/>
      <c r="Z1324" s="83"/>
    </row>
    <row r="1325">
      <c r="A1325" s="75" t="s">
        <v>31</v>
      </c>
      <c r="B1325" s="75" t="s">
        <v>924</v>
      </c>
      <c r="C1325" s="75">
        <v>485.69</v>
      </c>
      <c r="D1325" s="75">
        <v>283.0</v>
      </c>
      <c r="E1325" s="75">
        <v>1.72</v>
      </c>
      <c r="F1325" s="75" t="s">
        <v>925</v>
      </c>
      <c r="G1325" s="82">
        <v>46111.0</v>
      </c>
      <c r="H1325" s="76" t="s">
        <v>930</v>
      </c>
      <c r="I1325" s="83"/>
      <c r="J1325" s="83"/>
      <c r="K1325" s="83"/>
      <c r="L1325" s="83"/>
      <c r="M1325" s="83"/>
      <c r="N1325" s="83"/>
      <c r="O1325" s="83"/>
      <c r="P1325" s="83"/>
      <c r="Q1325" s="83"/>
      <c r="R1325" s="83"/>
      <c r="S1325" s="83"/>
      <c r="T1325" s="83"/>
      <c r="U1325" s="83"/>
      <c r="V1325" s="83"/>
      <c r="W1325" s="83"/>
      <c r="X1325" s="83"/>
      <c r="Y1325" s="83"/>
      <c r="Z1325" s="83"/>
    </row>
    <row r="1326">
      <c r="A1326" s="75" t="s">
        <v>28</v>
      </c>
      <c r="B1326" s="75" t="s">
        <v>924</v>
      </c>
      <c r="C1326" s="75">
        <v>32.58</v>
      </c>
      <c r="D1326" s="75">
        <v>6.0</v>
      </c>
      <c r="E1326" s="75">
        <v>5.43</v>
      </c>
      <c r="F1326" s="75" t="s">
        <v>925</v>
      </c>
      <c r="G1326" s="82">
        <v>46111.0</v>
      </c>
      <c r="H1326" s="76" t="s">
        <v>931</v>
      </c>
      <c r="I1326" s="83"/>
      <c r="J1326" s="83"/>
      <c r="K1326" s="83"/>
      <c r="L1326" s="83"/>
      <c r="M1326" s="83"/>
      <c r="N1326" s="83"/>
      <c r="O1326" s="83"/>
      <c r="P1326" s="83"/>
      <c r="Q1326" s="83"/>
      <c r="R1326" s="83"/>
      <c r="S1326" s="83"/>
      <c r="T1326" s="83"/>
      <c r="U1326" s="83"/>
      <c r="V1326" s="83"/>
      <c r="W1326" s="83"/>
      <c r="X1326" s="83"/>
      <c r="Y1326" s="83"/>
      <c r="Z1326" s="83"/>
    </row>
    <row r="1327">
      <c r="A1327" s="75" t="s">
        <v>28</v>
      </c>
      <c r="B1327" s="75" t="s">
        <v>924</v>
      </c>
      <c r="C1327" s="75">
        <v>9.79</v>
      </c>
      <c r="D1327" s="75">
        <v>1.0</v>
      </c>
      <c r="E1327" s="75">
        <v>9.79</v>
      </c>
      <c r="F1327" s="75" t="s">
        <v>925</v>
      </c>
      <c r="G1327" s="82">
        <v>46111.0</v>
      </c>
      <c r="H1327" s="76" t="s">
        <v>932</v>
      </c>
      <c r="I1327" s="83"/>
      <c r="J1327" s="83"/>
      <c r="K1327" s="83"/>
      <c r="L1327" s="83"/>
      <c r="M1327" s="83"/>
      <c r="N1327" s="83"/>
      <c r="O1327" s="83"/>
      <c r="P1327" s="83"/>
      <c r="Q1327" s="83"/>
      <c r="R1327" s="83"/>
      <c r="S1327" s="83"/>
      <c r="T1327" s="83"/>
      <c r="U1327" s="83"/>
      <c r="V1327" s="83"/>
      <c r="W1327" s="83"/>
      <c r="X1327" s="83"/>
      <c r="Y1327" s="83"/>
      <c r="Z1327" s="83"/>
    </row>
    <row r="1328">
      <c r="A1328" s="75" t="s">
        <v>28</v>
      </c>
      <c r="B1328" s="75" t="s">
        <v>924</v>
      </c>
      <c r="C1328" s="75">
        <v>77.96</v>
      </c>
      <c r="D1328" s="75">
        <v>4.0</v>
      </c>
      <c r="E1328" s="75">
        <v>19.49</v>
      </c>
      <c r="F1328" s="75" t="s">
        <v>925</v>
      </c>
      <c r="G1328" s="82">
        <v>46111.0</v>
      </c>
      <c r="H1328" s="76" t="s">
        <v>933</v>
      </c>
      <c r="I1328" s="83"/>
      <c r="J1328" s="83"/>
      <c r="K1328" s="83"/>
      <c r="L1328" s="83"/>
      <c r="M1328" s="83"/>
      <c r="N1328" s="83"/>
      <c r="O1328" s="83"/>
      <c r="P1328" s="83"/>
      <c r="Q1328" s="83"/>
      <c r="R1328" s="83"/>
      <c r="S1328" s="83"/>
      <c r="T1328" s="83"/>
      <c r="U1328" s="83"/>
      <c r="V1328" s="83"/>
      <c r="W1328" s="83"/>
      <c r="X1328" s="83"/>
      <c r="Y1328" s="83"/>
      <c r="Z1328" s="83"/>
    </row>
    <row r="1329">
      <c r="A1329" s="75" t="s">
        <v>42</v>
      </c>
      <c r="B1329" s="75" t="s">
        <v>924</v>
      </c>
      <c r="C1329" s="75">
        <v>19.51</v>
      </c>
      <c r="D1329" s="75">
        <v>4.0</v>
      </c>
      <c r="E1329" s="75">
        <v>4.88</v>
      </c>
      <c r="F1329" s="75" t="s">
        <v>925</v>
      </c>
      <c r="G1329" s="82">
        <v>46111.0</v>
      </c>
      <c r="H1329" s="76" t="s">
        <v>934</v>
      </c>
      <c r="I1329" s="83"/>
      <c r="J1329" s="83"/>
      <c r="K1329" s="83"/>
      <c r="L1329" s="83"/>
      <c r="M1329" s="83"/>
      <c r="N1329" s="83"/>
      <c r="O1329" s="83"/>
      <c r="P1329" s="83"/>
      <c r="Q1329" s="83"/>
      <c r="R1329" s="83"/>
      <c r="S1329" s="83"/>
      <c r="T1329" s="83"/>
      <c r="U1329" s="83"/>
      <c r="V1329" s="83"/>
      <c r="W1329" s="83"/>
      <c r="X1329" s="83"/>
      <c r="Y1329" s="83"/>
      <c r="Z1329" s="83"/>
    </row>
    <row r="1330">
      <c r="A1330" s="75" t="s">
        <v>42</v>
      </c>
      <c r="B1330" s="75" t="s">
        <v>924</v>
      </c>
      <c r="C1330" s="75">
        <v>8.31</v>
      </c>
      <c r="D1330" s="75">
        <v>1.0</v>
      </c>
      <c r="E1330" s="75">
        <v>8.31</v>
      </c>
      <c r="F1330" s="75" t="s">
        <v>925</v>
      </c>
      <c r="G1330" s="82">
        <v>46111.0</v>
      </c>
      <c r="H1330" s="76" t="s">
        <v>991</v>
      </c>
      <c r="I1330" s="83"/>
      <c r="J1330" s="83"/>
      <c r="K1330" s="83"/>
      <c r="L1330" s="83"/>
      <c r="M1330" s="83"/>
      <c r="N1330" s="83"/>
      <c r="O1330" s="83"/>
      <c r="P1330" s="83"/>
      <c r="Q1330" s="83"/>
      <c r="R1330" s="83"/>
      <c r="S1330" s="83"/>
      <c r="T1330" s="83"/>
      <c r="U1330" s="83"/>
      <c r="V1330" s="83"/>
      <c r="W1330" s="83"/>
      <c r="X1330" s="83"/>
      <c r="Y1330" s="83"/>
      <c r="Z1330" s="83"/>
    </row>
    <row r="1331">
      <c r="A1331" s="75" t="s">
        <v>42</v>
      </c>
      <c r="B1331" s="75" t="s">
        <v>924</v>
      </c>
      <c r="C1331" s="75">
        <v>21.57</v>
      </c>
      <c r="D1331" s="75">
        <v>2.0</v>
      </c>
      <c r="E1331" s="75">
        <v>10.79</v>
      </c>
      <c r="F1331" s="75" t="s">
        <v>925</v>
      </c>
      <c r="G1331" s="82">
        <v>46111.0</v>
      </c>
      <c r="H1331" s="76" t="s">
        <v>935</v>
      </c>
      <c r="I1331" s="83"/>
      <c r="J1331" s="83"/>
      <c r="K1331" s="83"/>
      <c r="L1331" s="83"/>
      <c r="M1331" s="83"/>
      <c r="N1331" s="83"/>
      <c r="O1331" s="83"/>
      <c r="P1331" s="83"/>
      <c r="Q1331" s="83"/>
      <c r="R1331" s="83"/>
      <c r="S1331" s="83"/>
      <c r="T1331" s="83"/>
      <c r="U1331" s="83"/>
      <c r="V1331" s="83"/>
      <c r="W1331" s="83"/>
      <c r="X1331" s="83"/>
      <c r="Y1331" s="83"/>
      <c r="Z1331" s="83"/>
    </row>
    <row r="1332">
      <c r="A1332" s="75" t="s">
        <v>45</v>
      </c>
      <c r="B1332" s="75" t="s">
        <v>924</v>
      </c>
      <c r="C1332" s="75">
        <v>8.56</v>
      </c>
      <c r="D1332" s="75">
        <v>1.0</v>
      </c>
      <c r="E1332" s="75">
        <v>8.56</v>
      </c>
      <c r="F1332" s="75" t="s">
        <v>925</v>
      </c>
      <c r="G1332" s="82">
        <v>46111.0</v>
      </c>
      <c r="H1332" s="76" t="s">
        <v>936</v>
      </c>
      <c r="I1332" s="83"/>
      <c r="J1332" s="83"/>
      <c r="K1332" s="83"/>
      <c r="L1332" s="83"/>
      <c r="M1332" s="83"/>
      <c r="N1332" s="83"/>
      <c r="O1332" s="83"/>
      <c r="P1332" s="83"/>
      <c r="Q1332" s="83"/>
      <c r="R1332" s="83"/>
      <c r="S1332" s="83"/>
      <c r="T1332" s="83"/>
      <c r="U1332" s="83"/>
      <c r="V1332" s="83"/>
      <c r="W1332" s="83"/>
      <c r="X1332" s="83"/>
      <c r="Y1332" s="83"/>
      <c r="Z1332" s="83"/>
    </row>
    <row r="1333">
      <c r="A1333" s="75" t="s">
        <v>45</v>
      </c>
      <c r="B1333" s="75" t="s">
        <v>924</v>
      </c>
      <c r="C1333" s="75">
        <v>14.32</v>
      </c>
      <c r="D1333" s="75">
        <v>2.0</v>
      </c>
      <c r="E1333" s="75">
        <v>7.16</v>
      </c>
      <c r="F1333" s="75" t="s">
        <v>925</v>
      </c>
      <c r="G1333" s="82">
        <v>46111.0</v>
      </c>
      <c r="H1333" s="76" t="s">
        <v>937</v>
      </c>
      <c r="I1333" s="83"/>
      <c r="J1333" s="83"/>
      <c r="K1333" s="83"/>
      <c r="L1333" s="83"/>
      <c r="M1333" s="83"/>
      <c r="N1333" s="83"/>
      <c r="O1333" s="83"/>
      <c r="P1333" s="83"/>
      <c r="Q1333" s="83"/>
      <c r="R1333" s="83"/>
      <c r="S1333" s="83"/>
      <c r="T1333" s="83"/>
      <c r="U1333" s="83"/>
      <c r="V1333" s="83"/>
      <c r="W1333" s="83"/>
      <c r="X1333" s="83"/>
      <c r="Y1333" s="83"/>
      <c r="Z1333" s="83"/>
    </row>
    <row r="1334">
      <c r="A1334" s="75" t="s">
        <v>45</v>
      </c>
      <c r="B1334" s="75" t="s">
        <v>924</v>
      </c>
      <c r="C1334" s="75">
        <v>24.69</v>
      </c>
      <c r="D1334" s="75">
        <v>4.0</v>
      </c>
      <c r="E1334" s="75">
        <v>6.17</v>
      </c>
      <c r="F1334" s="75" t="s">
        <v>925</v>
      </c>
      <c r="G1334" s="82">
        <v>46111.0</v>
      </c>
      <c r="H1334" s="76" t="s">
        <v>938</v>
      </c>
      <c r="I1334" s="83"/>
      <c r="J1334" s="83"/>
      <c r="K1334" s="83"/>
      <c r="L1334" s="83"/>
      <c r="M1334" s="83"/>
      <c r="N1334" s="83"/>
      <c r="O1334" s="83"/>
      <c r="P1334" s="83"/>
      <c r="Q1334" s="83"/>
      <c r="R1334" s="83"/>
      <c r="S1334" s="83"/>
      <c r="T1334" s="83"/>
      <c r="U1334" s="83"/>
      <c r="V1334" s="83"/>
      <c r="W1334" s="83"/>
      <c r="X1334" s="83"/>
      <c r="Y1334" s="83"/>
      <c r="Z1334" s="83"/>
    </row>
    <row r="1335">
      <c r="A1335" s="75" t="s">
        <v>50</v>
      </c>
      <c r="B1335" s="75" t="s">
        <v>924</v>
      </c>
      <c r="C1335" s="75">
        <v>25.26</v>
      </c>
      <c r="D1335" s="75">
        <v>3.0</v>
      </c>
      <c r="E1335" s="75">
        <v>8.42</v>
      </c>
      <c r="F1335" s="75" t="s">
        <v>925</v>
      </c>
      <c r="G1335" s="82">
        <v>46111.0</v>
      </c>
      <c r="H1335" s="76" t="s">
        <v>939</v>
      </c>
      <c r="I1335" s="83"/>
      <c r="J1335" s="83"/>
      <c r="K1335" s="83"/>
      <c r="L1335" s="83"/>
      <c r="M1335" s="83"/>
      <c r="N1335" s="83"/>
      <c r="O1335" s="83"/>
      <c r="P1335" s="83"/>
      <c r="Q1335" s="83"/>
      <c r="R1335" s="83"/>
      <c r="S1335" s="83"/>
      <c r="T1335" s="83"/>
      <c r="U1335" s="83"/>
      <c r="V1335" s="83"/>
      <c r="W1335" s="83"/>
      <c r="X1335" s="83"/>
      <c r="Y1335" s="83"/>
      <c r="Z1335" s="83"/>
    </row>
    <row r="1336">
      <c r="A1336" s="75" t="s">
        <v>50</v>
      </c>
      <c r="B1336" s="75" t="s">
        <v>924</v>
      </c>
      <c r="C1336" s="75">
        <v>0.0</v>
      </c>
      <c r="D1336" s="75">
        <v>0.0</v>
      </c>
      <c r="E1336" s="75">
        <v>0.0</v>
      </c>
      <c r="F1336" s="75" t="s">
        <v>925</v>
      </c>
      <c r="G1336" s="82">
        <v>46111.0</v>
      </c>
      <c r="H1336" s="76" t="s">
        <v>992</v>
      </c>
      <c r="I1336" s="83"/>
      <c r="J1336" s="83"/>
      <c r="K1336" s="83"/>
      <c r="L1336" s="83"/>
      <c r="M1336" s="83"/>
      <c r="N1336" s="83"/>
      <c r="O1336" s="83"/>
      <c r="P1336" s="83"/>
      <c r="Q1336" s="83"/>
      <c r="R1336" s="83"/>
      <c r="S1336" s="83"/>
      <c r="T1336" s="83"/>
      <c r="U1336" s="83"/>
      <c r="V1336" s="83"/>
      <c r="W1336" s="83"/>
      <c r="X1336" s="83"/>
      <c r="Y1336" s="83"/>
      <c r="Z1336" s="83"/>
    </row>
    <row r="1337">
      <c r="A1337" s="75" t="s">
        <v>50</v>
      </c>
      <c r="B1337" s="75" t="s">
        <v>924</v>
      </c>
      <c r="C1337" s="75">
        <v>10.51</v>
      </c>
      <c r="D1337" s="75">
        <v>0.0</v>
      </c>
      <c r="E1337" s="75">
        <v>0.0</v>
      </c>
      <c r="F1337" s="75" t="s">
        <v>925</v>
      </c>
      <c r="G1337" s="82">
        <v>46111.0</v>
      </c>
      <c r="H1337" s="76" t="s">
        <v>940</v>
      </c>
      <c r="I1337" s="83"/>
      <c r="J1337" s="83"/>
      <c r="K1337" s="83"/>
      <c r="L1337" s="83"/>
      <c r="M1337" s="83"/>
      <c r="N1337" s="83"/>
      <c r="O1337" s="83"/>
      <c r="P1337" s="83"/>
      <c r="Q1337" s="83"/>
      <c r="R1337" s="83"/>
      <c r="S1337" s="83"/>
      <c r="T1337" s="83"/>
      <c r="U1337" s="83"/>
      <c r="V1337" s="83"/>
      <c r="W1337" s="83"/>
      <c r="X1337" s="83"/>
      <c r="Y1337" s="83"/>
      <c r="Z1337" s="83"/>
    </row>
    <row r="1338">
      <c r="A1338" s="75" t="s">
        <v>32</v>
      </c>
      <c r="B1338" s="75" t="s">
        <v>924</v>
      </c>
      <c r="C1338" s="75">
        <v>436.23</v>
      </c>
      <c r="D1338" s="75">
        <v>163.0</v>
      </c>
      <c r="E1338" s="75">
        <v>2.68</v>
      </c>
      <c r="F1338" s="75" t="s">
        <v>925</v>
      </c>
      <c r="G1338" s="82">
        <v>46111.0</v>
      </c>
      <c r="H1338" s="76" t="s">
        <v>941</v>
      </c>
      <c r="I1338" s="83"/>
      <c r="J1338" s="83"/>
      <c r="K1338" s="83"/>
      <c r="L1338" s="83"/>
      <c r="M1338" s="83"/>
      <c r="N1338" s="83"/>
      <c r="O1338" s="83"/>
      <c r="P1338" s="83"/>
      <c r="Q1338" s="83"/>
      <c r="R1338" s="83"/>
      <c r="S1338" s="83"/>
      <c r="T1338" s="83"/>
      <c r="U1338" s="83"/>
      <c r="V1338" s="83"/>
      <c r="W1338" s="83"/>
      <c r="X1338" s="83"/>
      <c r="Y1338" s="83"/>
      <c r="Z1338" s="83"/>
    </row>
    <row r="1339">
      <c r="A1339" s="75" t="s">
        <v>32</v>
      </c>
      <c r="B1339" s="75" t="s">
        <v>924</v>
      </c>
      <c r="C1339" s="75">
        <v>47.07</v>
      </c>
      <c r="D1339" s="75">
        <v>27.0</v>
      </c>
      <c r="E1339" s="75">
        <v>1.74</v>
      </c>
      <c r="F1339" s="75" t="s">
        <v>925</v>
      </c>
      <c r="G1339" s="82">
        <v>46111.0</v>
      </c>
      <c r="H1339" s="76" t="s">
        <v>942</v>
      </c>
      <c r="I1339" s="83"/>
      <c r="J1339" s="83"/>
      <c r="K1339" s="83"/>
      <c r="L1339" s="83"/>
      <c r="M1339" s="83"/>
      <c r="N1339" s="83"/>
      <c r="O1339" s="83"/>
      <c r="P1339" s="83"/>
      <c r="Q1339" s="83"/>
      <c r="R1339" s="83"/>
      <c r="S1339" s="83"/>
      <c r="T1339" s="83"/>
      <c r="U1339" s="83"/>
      <c r="V1339" s="83"/>
      <c r="W1339" s="83"/>
      <c r="X1339" s="83"/>
      <c r="Y1339" s="83"/>
      <c r="Z1339" s="83"/>
    </row>
    <row r="1340">
      <c r="A1340" s="75" t="s">
        <v>32</v>
      </c>
      <c r="B1340" s="75" t="s">
        <v>924</v>
      </c>
      <c r="C1340" s="75">
        <v>53.83</v>
      </c>
      <c r="D1340" s="75">
        <v>22.0</v>
      </c>
      <c r="E1340" s="75">
        <v>2.45</v>
      </c>
      <c r="F1340" s="75" t="s">
        <v>925</v>
      </c>
      <c r="G1340" s="82">
        <v>46111.0</v>
      </c>
      <c r="H1340" s="76" t="s">
        <v>943</v>
      </c>
      <c r="I1340" s="83"/>
      <c r="J1340" s="83"/>
      <c r="K1340" s="83"/>
      <c r="L1340" s="83"/>
      <c r="M1340" s="83"/>
      <c r="N1340" s="83"/>
      <c r="O1340" s="83"/>
      <c r="P1340" s="83"/>
      <c r="Q1340" s="83"/>
      <c r="R1340" s="83"/>
      <c r="S1340" s="83"/>
      <c r="T1340" s="83"/>
      <c r="U1340" s="83"/>
      <c r="V1340" s="83"/>
      <c r="W1340" s="83"/>
      <c r="X1340" s="83"/>
      <c r="Y1340" s="83"/>
      <c r="Z1340" s="83"/>
    </row>
    <row r="1341">
      <c r="A1341" s="75" t="s">
        <v>944</v>
      </c>
      <c r="B1341" s="75" t="s">
        <v>924</v>
      </c>
      <c r="C1341" s="75">
        <v>33.31</v>
      </c>
      <c r="D1341" s="75">
        <v>5.0</v>
      </c>
      <c r="E1341" s="75">
        <v>6.66</v>
      </c>
      <c r="F1341" s="75" t="s">
        <v>925</v>
      </c>
      <c r="G1341" s="82">
        <v>46111.0</v>
      </c>
      <c r="H1341" s="76" t="s">
        <v>945</v>
      </c>
      <c r="I1341" s="83"/>
      <c r="J1341" s="83"/>
      <c r="K1341" s="83"/>
      <c r="L1341" s="83"/>
      <c r="M1341" s="83"/>
      <c r="N1341" s="83"/>
      <c r="O1341" s="83"/>
      <c r="P1341" s="83"/>
      <c r="Q1341" s="83"/>
      <c r="R1341" s="83"/>
      <c r="S1341" s="83"/>
      <c r="T1341" s="83"/>
      <c r="U1341" s="83"/>
      <c r="V1341" s="83"/>
      <c r="W1341" s="83"/>
      <c r="X1341" s="83"/>
      <c r="Y1341" s="83"/>
      <c r="Z1341" s="83"/>
    </row>
    <row r="1342">
      <c r="A1342" s="75" t="s">
        <v>944</v>
      </c>
      <c r="B1342" s="75" t="s">
        <v>924</v>
      </c>
      <c r="C1342" s="75">
        <v>12.71</v>
      </c>
      <c r="D1342" s="75">
        <v>1.0</v>
      </c>
      <c r="E1342" s="75">
        <v>12.71</v>
      </c>
      <c r="F1342" s="75" t="s">
        <v>925</v>
      </c>
      <c r="G1342" s="82">
        <v>46111.0</v>
      </c>
      <c r="H1342" s="76" t="s">
        <v>946</v>
      </c>
      <c r="I1342" s="83"/>
      <c r="J1342" s="83"/>
      <c r="K1342" s="83"/>
      <c r="L1342" s="83"/>
      <c r="M1342" s="83"/>
      <c r="N1342" s="83"/>
      <c r="O1342" s="83"/>
      <c r="P1342" s="83"/>
      <c r="Q1342" s="83"/>
      <c r="R1342" s="83"/>
      <c r="S1342" s="83"/>
      <c r="T1342" s="83"/>
      <c r="U1342" s="83"/>
      <c r="V1342" s="83"/>
      <c r="W1342" s="83"/>
      <c r="X1342" s="83"/>
      <c r="Y1342" s="83"/>
      <c r="Z1342" s="83"/>
    </row>
    <row r="1343">
      <c r="A1343" s="75" t="s">
        <v>944</v>
      </c>
      <c r="B1343" s="75" t="s">
        <v>924</v>
      </c>
      <c r="C1343" s="75">
        <v>60.02</v>
      </c>
      <c r="D1343" s="75">
        <v>14.0</v>
      </c>
      <c r="E1343" s="75">
        <v>4.29</v>
      </c>
      <c r="F1343" s="75" t="s">
        <v>925</v>
      </c>
      <c r="G1343" s="82">
        <v>46111.0</v>
      </c>
      <c r="H1343" s="76" t="s">
        <v>947</v>
      </c>
      <c r="I1343" s="83"/>
      <c r="J1343" s="83"/>
      <c r="K1343" s="83"/>
      <c r="L1343" s="83"/>
      <c r="M1343" s="83"/>
      <c r="N1343" s="83"/>
      <c r="O1343" s="83"/>
      <c r="P1343" s="83"/>
      <c r="Q1343" s="83"/>
      <c r="R1343" s="83"/>
      <c r="S1343" s="83"/>
      <c r="T1343" s="83"/>
      <c r="U1343" s="83"/>
      <c r="V1343" s="83"/>
      <c r="W1343" s="83"/>
      <c r="X1343" s="83"/>
      <c r="Y1343" s="83"/>
      <c r="Z1343" s="83"/>
    </row>
    <row r="1344">
      <c r="A1344" s="75" t="s">
        <v>26</v>
      </c>
      <c r="B1344" s="75" t="s">
        <v>924</v>
      </c>
      <c r="C1344" s="75">
        <v>2.11</v>
      </c>
      <c r="D1344" s="75">
        <v>0.0</v>
      </c>
      <c r="E1344" s="75">
        <v>0.0</v>
      </c>
      <c r="F1344" s="75" t="s">
        <v>925</v>
      </c>
      <c r="G1344" s="82">
        <v>46111.0</v>
      </c>
      <c r="H1344" s="76" t="s">
        <v>1012</v>
      </c>
      <c r="I1344" s="83"/>
      <c r="J1344" s="83"/>
      <c r="K1344" s="83"/>
      <c r="L1344" s="83"/>
      <c r="M1344" s="83"/>
      <c r="N1344" s="83"/>
      <c r="O1344" s="83"/>
      <c r="P1344" s="83"/>
      <c r="Q1344" s="83"/>
      <c r="R1344" s="83"/>
      <c r="S1344" s="83"/>
      <c r="T1344" s="83"/>
      <c r="U1344" s="83"/>
      <c r="V1344" s="83"/>
      <c r="W1344" s="83"/>
      <c r="X1344" s="83"/>
      <c r="Y1344" s="83"/>
      <c r="Z1344" s="83"/>
    </row>
    <row r="1345">
      <c r="A1345" s="75" t="s">
        <v>26</v>
      </c>
      <c r="B1345" s="75" t="s">
        <v>924</v>
      </c>
      <c r="C1345" s="75">
        <v>2.48</v>
      </c>
      <c r="D1345" s="75">
        <v>0.0</v>
      </c>
      <c r="E1345" s="75">
        <v>0.0</v>
      </c>
      <c r="F1345" s="75" t="s">
        <v>925</v>
      </c>
      <c r="G1345" s="82">
        <v>46111.0</v>
      </c>
      <c r="H1345" s="76" t="s">
        <v>1013</v>
      </c>
      <c r="I1345" s="83"/>
      <c r="J1345" s="83"/>
      <c r="K1345" s="83"/>
      <c r="L1345" s="83"/>
      <c r="M1345" s="83"/>
      <c r="N1345" s="83"/>
      <c r="O1345" s="83"/>
      <c r="P1345" s="83"/>
      <c r="Q1345" s="83"/>
      <c r="R1345" s="83"/>
      <c r="S1345" s="83"/>
      <c r="T1345" s="83"/>
      <c r="U1345" s="83"/>
      <c r="V1345" s="83"/>
      <c r="W1345" s="83"/>
      <c r="X1345" s="83"/>
      <c r="Y1345" s="83"/>
      <c r="Z1345" s="83"/>
    </row>
    <row r="1346">
      <c r="A1346" s="75" t="s">
        <v>26</v>
      </c>
      <c r="B1346" s="75" t="s">
        <v>924</v>
      </c>
      <c r="C1346" s="75">
        <v>3.09</v>
      </c>
      <c r="D1346" s="75">
        <v>0.0</v>
      </c>
      <c r="E1346" s="75">
        <v>0.0</v>
      </c>
      <c r="F1346" s="75" t="s">
        <v>925</v>
      </c>
      <c r="G1346" s="82">
        <v>46111.0</v>
      </c>
      <c r="H1346" s="76" t="s">
        <v>1014</v>
      </c>
      <c r="I1346" s="83"/>
      <c r="J1346" s="83"/>
      <c r="K1346" s="83"/>
      <c r="L1346" s="83"/>
      <c r="M1346" s="83"/>
      <c r="N1346" s="83"/>
      <c r="O1346" s="83"/>
      <c r="P1346" s="83"/>
      <c r="Q1346" s="83"/>
      <c r="R1346" s="83"/>
      <c r="S1346" s="83"/>
      <c r="T1346" s="83"/>
      <c r="U1346" s="83"/>
      <c r="V1346" s="83"/>
      <c r="W1346" s="83"/>
      <c r="X1346" s="83"/>
      <c r="Y1346" s="83"/>
      <c r="Z1346" s="83"/>
    </row>
    <row r="1347">
      <c r="A1347" s="75" t="s">
        <v>36</v>
      </c>
      <c r="B1347" s="75" t="s">
        <v>924</v>
      </c>
      <c r="C1347" s="75">
        <v>147.53</v>
      </c>
      <c r="D1347" s="75">
        <v>10.0</v>
      </c>
      <c r="E1347" s="75">
        <v>14.75</v>
      </c>
      <c r="F1347" s="75" t="s">
        <v>948</v>
      </c>
      <c r="G1347" s="82">
        <v>46111.0</v>
      </c>
      <c r="H1347" s="76" t="s">
        <v>926</v>
      </c>
      <c r="I1347" s="83"/>
      <c r="J1347" s="83"/>
      <c r="K1347" s="83"/>
      <c r="L1347" s="83"/>
      <c r="M1347" s="83"/>
      <c r="N1347" s="83"/>
      <c r="O1347" s="83"/>
      <c r="P1347" s="83"/>
      <c r="Q1347" s="83"/>
      <c r="R1347" s="83"/>
      <c r="S1347" s="83"/>
      <c r="T1347" s="83"/>
      <c r="U1347" s="83"/>
      <c r="V1347" s="83"/>
      <c r="W1347" s="83"/>
      <c r="X1347" s="83"/>
      <c r="Y1347" s="83"/>
      <c r="Z1347" s="83"/>
    </row>
    <row r="1348">
      <c r="A1348" s="75" t="s">
        <v>36</v>
      </c>
      <c r="B1348" s="75" t="s">
        <v>924</v>
      </c>
      <c r="C1348" s="75">
        <v>15.76</v>
      </c>
      <c r="D1348" s="75">
        <v>0.0</v>
      </c>
      <c r="E1348" s="75">
        <v>0.0</v>
      </c>
      <c r="F1348" s="75" t="s">
        <v>948</v>
      </c>
      <c r="G1348" s="82">
        <v>46111.0</v>
      </c>
      <c r="H1348" s="76" t="s">
        <v>927</v>
      </c>
      <c r="I1348" s="83"/>
      <c r="J1348" s="83"/>
      <c r="K1348" s="83"/>
      <c r="L1348" s="83"/>
      <c r="M1348" s="83"/>
      <c r="N1348" s="83"/>
      <c r="O1348" s="83"/>
      <c r="P1348" s="83"/>
      <c r="Q1348" s="83"/>
      <c r="R1348" s="83"/>
      <c r="S1348" s="83"/>
      <c r="T1348" s="83"/>
      <c r="U1348" s="83"/>
      <c r="V1348" s="83"/>
      <c r="W1348" s="83"/>
      <c r="X1348" s="83"/>
      <c r="Y1348" s="83"/>
      <c r="Z1348" s="83"/>
    </row>
    <row r="1349">
      <c r="A1349" s="75" t="s">
        <v>36</v>
      </c>
      <c r="B1349" s="75" t="s">
        <v>924</v>
      </c>
      <c r="C1349" s="75">
        <v>23.64</v>
      </c>
      <c r="D1349" s="75">
        <v>2.0</v>
      </c>
      <c r="E1349" s="75">
        <v>11.82</v>
      </c>
      <c r="F1349" s="75" t="s">
        <v>948</v>
      </c>
      <c r="G1349" s="82">
        <v>46111.0</v>
      </c>
      <c r="H1349" s="76" t="s">
        <v>928</v>
      </c>
      <c r="I1349" s="83"/>
      <c r="J1349" s="83"/>
      <c r="K1349" s="83"/>
      <c r="L1349" s="83"/>
      <c r="M1349" s="83"/>
      <c r="N1349" s="83"/>
      <c r="O1349" s="83"/>
      <c r="P1349" s="83"/>
      <c r="Q1349" s="83"/>
      <c r="R1349" s="83"/>
      <c r="S1349" s="83"/>
      <c r="T1349" s="83"/>
      <c r="U1349" s="83"/>
      <c r="V1349" s="83"/>
      <c r="W1349" s="83"/>
      <c r="X1349" s="83"/>
      <c r="Y1349" s="83"/>
      <c r="Z1349" s="83"/>
    </row>
    <row r="1350">
      <c r="A1350" s="75" t="s">
        <v>31</v>
      </c>
      <c r="B1350" s="75" t="s">
        <v>924</v>
      </c>
      <c r="C1350" s="75">
        <v>82.62</v>
      </c>
      <c r="D1350" s="75">
        <v>35.0</v>
      </c>
      <c r="E1350" s="75">
        <v>2.36</v>
      </c>
      <c r="F1350" s="75" t="s">
        <v>948</v>
      </c>
      <c r="G1350" s="82">
        <v>46111.0</v>
      </c>
      <c r="H1350" s="76" t="s">
        <v>929</v>
      </c>
      <c r="I1350" s="83"/>
      <c r="J1350" s="83"/>
      <c r="K1350" s="83"/>
      <c r="L1350" s="83"/>
      <c r="M1350" s="83"/>
      <c r="N1350" s="83"/>
      <c r="O1350" s="83"/>
      <c r="P1350" s="83"/>
      <c r="Q1350" s="83"/>
      <c r="R1350" s="83"/>
      <c r="S1350" s="83"/>
      <c r="T1350" s="83"/>
      <c r="U1350" s="83"/>
      <c r="V1350" s="83"/>
      <c r="W1350" s="83"/>
      <c r="X1350" s="83"/>
      <c r="Y1350" s="83"/>
      <c r="Z1350" s="83"/>
    </row>
    <row r="1351">
      <c r="A1351" s="75" t="s">
        <v>31</v>
      </c>
      <c r="B1351" s="75" t="s">
        <v>924</v>
      </c>
      <c r="C1351" s="75">
        <v>255.22</v>
      </c>
      <c r="D1351" s="75">
        <v>109.0</v>
      </c>
      <c r="E1351" s="75">
        <v>2.34</v>
      </c>
      <c r="F1351" s="75" t="s">
        <v>948</v>
      </c>
      <c r="G1351" s="82">
        <v>46111.0</v>
      </c>
      <c r="H1351" s="76" t="s">
        <v>930</v>
      </c>
      <c r="I1351" s="83"/>
      <c r="J1351" s="83"/>
      <c r="K1351" s="83"/>
      <c r="L1351" s="83"/>
      <c r="M1351" s="83"/>
      <c r="N1351" s="83"/>
      <c r="O1351" s="83"/>
      <c r="P1351" s="83"/>
      <c r="Q1351" s="83"/>
      <c r="R1351" s="83"/>
      <c r="S1351" s="83"/>
      <c r="T1351" s="83"/>
      <c r="U1351" s="83"/>
      <c r="V1351" s="83"/>
      <c r="W1351" s="83"/>
      <c r="X1351" s="83"/>
      <c r="Y1351" s="83"/>
      <c r="Z1351" s="83"/>
    </row>
    <row r="1352">
      <c r="A1352" s="75" t="s">
        <v>28</v>
      </c>
      <c r="B1352" s="75" t="s">
        <v>924</v>
      </c>
      <c r="C1352" s="75">
        <v>15.78</v>
      </c>
      <c r="D1352" s="75">
        <v>1.0</v>
      </c>
      <c r="E1352" s="75">
        <v>15.78</v>
      </c>
      <c r="F1352" s="75" t="s">
        <v>948</v>
      </c>
      <c r="G1352" s="82">
        <v>46111.0</v>
      </c>
      <c r="H1352" s="76" t="s">
        <v>931</v>
      </c>
      <c r="I1352" s="83"/>
      <c r="J1352" s="83"/>
      <c r="K1352" s="83"/>
      <c r="L1352" s="83"/>
      <c r="M1352" s="83"/>
      <c r="N1352" s="83"/>
      <c r="O1352" s="83"/>
      <c r="P1352" s="83"/>
      <c r="Q1352" s="83"/>
      <c r="R1352" s="83"/>
      <c r="S1352" s="83"/>
      <c r="T1352" s="83"/>
      <c r="U1352" s="83"/>
      <c r="V1352" s="83"/>
      <c r="W1352" s="83"/>
      <c r="X1352" s="83"/>
      <c r="Y1352" s="83"/>
      <c r="Z1352" s="83"/>
    </row>
    <row r="1353">
      <c r="A1353" s="75" t="s">
        <v>28</v>
      </c>
      <c r="B1353" s="75" t="s">
        <v>924</v>
      </c>
      <c r="C1353" s="75">
        <v>4.59</v>
      </c>
      <c r="D1353" s="75">
        <v>0.0</v>
      </c>
      <c r="E1353" s="75">
        <v>0.0</v>
      </c>
      <c r="F1353" s="75" t="s">
        <v>948</v>
      </c>
      <c r="G1353" s="82">
        <v>46111.0</v>
      </c>
      <c r="H1353" s="76" t="s">
        <v>932</v>
      </c>
      <c r="I1353" s="83"/>
      <c r="J1353" s="83"/>
      <c r="K1353" s="83"/>
      <c r="L1353" s="83"/>
      <c r="M1353" s="83"/>
      <c r="N1353" s="83"/>
      <c r="O1353" s="83"/>
      <c r="P1353" s="83"/>
      <c r="Q1353" s="83"/>
      <c r="R1353" s="83"/>
      <c r="S1353" s="83"/>
      <c r="T1353" s="83"/>
      <c r="U1353" s="83"/>
      <c r="V1353" s="83"/>
      <c r="W1353" s="83"/>
      <c r="X1353" s="83"/>
      <c r="Y1353" s="83"/>
      <c r="Z1353" s="83"/>
    </row>
    <row r="1354">
      <c r="A1354" s="75" t="s">
        <v>28</v>
      </c>
      <c r="B1354" s="75" t="s">
        <v>924</v>
      </c>
      <c r="C1354" s="75">
        <v>58.97</v>
      </c>
      <c r="D1354" s="75">
        <v>7.0</v>
      </c>
      <c r="E1354" s="75">
        <v>8.42</v>
      </c>
      <c r="F1354" s="75" t="s">
        <v>948</v>
      </c>
      <c r="G1354" s="82">
        <v>46111.0</v>
      </c>
      <c r="H1354" s="76" t="s">
        <v>933</v>
      </c>
      <c r="I1354" s="83"/>
      <c r="J1354" s="83"/>
      <c r="K1354" s="83"/>
      <c r="L1354" s="83"/>
      <c r="M1354" s="83"/>
      <c r="N1354" s="83"/>
      <c r="O1354" s="83"/>
      <c r="P1354" s="83"/>
      <c r="Q1354" s="83"/>
      <c r="R1354" s="83"/>
      <c r="S1354" s="83"/>
      <c r="T1354" s="83"/>
      <c r="U1354" s="83"/>
      <c r="V1354" s="83"/>
      <c r="W1354" s="83"/>
      <c r="X1354" s="83"/>
      <c r="Y1354" s="83"/>
      <c r="Z1354" s="83"/>
    </row>
    <row r="1355">
      <c r="A1355" s="75" t="s">
        <v>42</v>
      </c>
      <c r="B1355" s="75" t="s">
        <v>924</v>
      </c>
      <c r="C1355" s="75">
        <v>6.52</v>
      </c>
      <c r="D1355" s="75">
        <v>0.0</v>
      </c>
      <c r="E1355" s="75">
        <v>0.0</v>
      </c>
      <c r="F1355" s="75" t="s">
        <v>948</v>
      </c>
      <c r="G1355" s="82">
        <v>46111.0</v>
      </c>
      <c r="H1355" s="76" t="s">
        <v>934</v>
      </c>
      <c r="I1355" s="83"/>
      <c r="J1355" s="83"/>
      <c r="K1355" s="83"/>
      <c r="L1355" s="83"/>
      <c r="M1355" s="83"/>
      <c r="N1355" s="83"/>
      <c r="O1355" s="83"/>
      <c r="P1355" s="83"/>
      <c r="Q1355" s="83"/>
      <c r="R1355" s="83"/>
      <c r="S1355" s="83"/>
      <c r="T1355" s="83"/>
      <c r="U1355" s="83"/>
      <c r="V1355" s="83"/>
      <c r="W1355" s="83"/>
      <c r="X1355" s="83"/>
      <c r="Y1355" s="83"/>
      <c r="Z1355" s="83"/>
    </row>
    <row r="1356">
      <c r="A1356" s="75" t="s">
        <v>42</v>
      </c>
      <c r="B1356" s="75" t="s">
        <v>924</v>
      </c>
      <c r="C1356" s="75">
        <v>1.23</v>
      </c>
      <c r="D1356" s="75">
        <v>0.0</v>
      </c>
      <c r="E1356" s="75">
        <v>0.0</v>
      </c>
      <c r="F1356" s="75" t="s">
        <v>948</v>
      </c>
      <c r="G1356" s="82">
        <v>46111.0</v>
      </c>
      <c r="H1356" s="76" t="s">
        <v>991</v>
      </c>
      <c r="I1356" s="83"/>
      <c r="J1356" s="83"/>
      <c r="K1356" s="83"/>
      <c r="L1356" s="83"/>
      <c r="M1356" s="83"/>
      <c r="N1356" s="83"/>
      <c r="O1356" s="83"/>
      <c r="P1356" s="83"/>
      <c r="Q1356" s="83"/>
      <c r="R1356" s="83"/>
      <c r="S1356" s="83"/>
      <c r="T1356" s="83"/>
      <c r="U1356" s="83"/>
      <c r="V1356" s="83"/>
      <c r="W1356" s="83"/>
      <c r="X1356" s="83"/>
      <c r="Y1356" s="83"/>
      <c r="Z1356" s="83"/>
    </row>
    <row r="1357">
      <c r="A1357" s="75" t="s">
        <v>42</v>
      </c>
      <c r="B1357" s="75" t="s">
        <v>924</v>
      </c>
      <c r="C1357" s="75">
        <v>22.23</v>
      </c>
      <c r="D1357" s="75">
        <v>3.0</v>
      </c>
      <c r="E1357" s="75">
        <v>7.41</v>
      </c>
      <c r="F1357" s="75" t="s">
        <v>948</v>
      </c>
      <c r="G1357" s="82">
        <v>46111.0</v>
      </c>
      <c r="H1357" s="76" t="s">
        <v>935</v>
      </c>
      <c r="I1357" s="83"/>
      <c r="J1357" s="83"/>
      <c r="K1357" s="83"/>
      <c r="L1357" s="83"/>
      <c r="M1357" s="83"/>
      <c r="N1357" s="83"/>
      <c r="O1357" s="83"/>
      <c r="P1357" s="83"/>
      <c r="Q1357" s="83"/>
      <c r="R1357" s="83"/>
      <c r="S1357" s="83"/>
      <c r="T1357" s="83"/>
      <c r="U1357" s="83"/>
      <c r="V1357" s="83"/>
      <c r="W1357" s="83"/>
      <c r="X1357" s="83"/>
      <c r="Y1357" s="83"/>
      <c r="Z1357" s="83"/>
    </row>
    <row r="1358">
      <c r="A1358" s="75" t="s">
        <v>45</v>
      </c>
      <c r="B1358" s="75" t="s">
        <v>924</v>
      </c>
      <c r="C1358" s="75">
        <v>34.04</v>
      </c>
      <c r="D1358" s="75">
        <v>1.0</v>
      </c>
      <c r="E1358" s="75">
        <v>34.04</v>
      </c>
      <c r="F1358" s="75" t="s">
        <v>948</v>
      </c>
      <c r="G1358" s="82">
        <v>46111.0</v>
      </c>
      <c r="H1358" s="76" t="s">
        <v>936</v>
      </c>
      <c r="I1358" s="83"/>
      <c r="J1358" s="83"/>
      <c r="K1358" s="83"/>
      <c r="L1358" s="83"/>
      <c r="M1358" s="83"/>
      <c r="N1358" s="83"/>
      <c r="O1358" s="83"/>
      <c r="P1358" s="83"/>
      <c r="Q1358" s="83"/>
      <c r="R1358" s="83"/>
      <c r="S1358" s="83"/>
      <c r="T1358" s="83"/>
      <c r="U1358" s="83"/>
      <c r="V1358" s="83"/>
      <c r="W1358" s="83"/>
      <c r="X1358" s="83"/>
      <c r="Y1358" s="83"/>
      <c r="Z1358" s="83"/>
    </row>
    <row r="1359">
      <c r="A1359" s="75" t="s">
        <v>45</v>
      </c>
      <c r="B1359" s="75" t="s">
        <v>924</v>
      </c>
      <c r="C1359" s="75">
        <v>92.1</v>
      </c>
      <c r="D1359" s="75">
        <v>4.0</v>
      </c>
      <c r="E1359" s="75">
        <v>23.03</v>
      </c>
      <c r="F1359" s="75" t="s">
        <v>948</v>
      </c>
      <c r="G1359" s="82">
        <v>46111.0</v>
      </c>
      <c r="H1359" s="76" t="s">
        <v>937</v>
      </c>
      <c r="I1359" s="83"/>
      <c r="J1359" s="83"/>
      <c r="K1359" s="83"/>
      <c r="L1359" s="83"/>
      <c r="M1359" s="83"/>
      <c r="N1359" s="83"/>
      <c r="O1359" s="83"/>
      <c r="P1359" s="83"/>
      <c r="Q1359" s="83"/>
      <c r="R1359" s="83"/>
      <c r="S1359" s="83"/>
      <c r="T1359" s="83"/>
      <c r="U1359" s="83"/>
      <c r="V1359" s="83"/>
      <c r="W1359" s="83"/>
      <c r="X1359" s="83"/>
      <c r="Y1359" s="83"/>
      <c r="Z1359" s="83"/>
    </row>
    <row r="1360">
      <c r="A1360" s="75" t="s">
        <v>45</v>
      </c>
      <c r="B1360" s="75" t="s">
        <v>924</v>
      </c>
      <c r="C1360" s="75">
        <v>50.66</v>
      </c>
      <c r="D1360" s="75">
        <v>3.0</v>
      </c>
      <c r="E1360" s="75">
        <v>16.89</v>
      </c>
      <c r="F1360" s="75" t="s">
        <v>948</v>
      </c>
      <c r="G1360" s="82">
        <v>46111.0</v>
      </c>
      <c r="H1360" s="76" t="s">
        <v>938</v>
      </c>
      <c r="I1360" s="83"/>
      <c r="J1360" s="83"/>
      <c r="K1360" s="83"/>
      <c r="L1360" s="83"/>
      <c r="M1360" s="83"/>
      <c r="N1360" s="83"/>
      <c r="O1360" s="83"/>
      <c r="P1360" s="83"/>
      <c r="Q1360" s="83"/>
      <c r="R1360" s="83"/>
      <c r="S1360" s="83"/>
      <c r="T1360" s="83"/>
      <c r="U1360" s="83"/>
      <c r="V1360" s="83"/>
      <c r="W1360" s="83"/>
      <c r="X1360" s="83"/>
      <c r="Y1360" s="83"/>
      <c r="Z1360" s="83"/>
    </row>
    <row r="1361">
      <c r="A1361" s="75" t="s">
        <v>50</v>
      </c>
      <c r="B1361" s="75" t="s">
        <v>924</v>
      </c>
      <c r="C1361" s="75">
        <v>32.88</v>
      </c>
      <c r="D1361" s="75">
        <v>3.0</v>
      </c>
      <c r="E1361" s="75">
        <v>10.96</v>
      </c>
      <c r="F1361" s="75" t="s">
        <v>948</v>
      </c>
      <c r="G1361" s="82">
        <v>46111.0</v>
      </c>
      <c r="H1361" s="76" t="s">
        <v>939</v>
      </c>
      <c r="I1361" s="83"/>
      <c r="J1361" s="83"/>
      <c r="K1361" s="83"/>
      <c r="L1361" s="83"/>
      <c r="M1361" s="83"/>
      <c r="N1361" s="83"/>
      <c r="O1361" s="83"/>
      <c r="P1361" s="83"/>
      <c r="Q1361" s="83"/>
      <c r="R1361" s="83"/>
      <c r="S1361" s="83"/>
      <c r="T1361" s="83"/>
      <c r="U1361" s="83"/>
      <c r="V1361" s="83"/>
      <c r="W1361" s="83"/>
      <c r="X1361" s="83"/>
      <c r="Y1361" s="83"/>
      <c r="Z1361" s="83"/>
    </row>
    <row r="1362">
      <c r="A1362" s="75" t="s">
        <v>50</v>
      </c>
      <c r="B1362" s="75" t="s">
        <v>924</v>
      </c>
      <c r="C1362" s="75">
        <v>0.0</v>
      </c>
      <c r="D1362" s="75">
        <v>0.0</v>
      </c>
      <c r="E1362" s="75">
        <v>0.0</v>
      </c>
      <c r="F1362" s="75" t="s">
        <v>948</v>
      </c>
      <c r="G1362" s="82">
        <v>46111.0</v>
      </c>
      <c r="H1362" s="76" t="s">
        <v>992</v>
      </c>
      <c r="I1362" s="83"/>
      <c r="J1362" s="83"/>
      <c r="K1362" s="83"/>
      <c r="L1362" s="83"/>
      <c r="M1362" s="83"/>
      <c r="N1362" s="83"/>
      <c r="O1362" s="83"/>
      <c r="P1362" s="83"/>
      <c r="Q1362" s="83"/>
      <c r="R1362" s="83"/>
      <c r="S1362" s="83"/>
      <c r="T1362" s="83"/>
      <c r="U1362" s="83"/>
      <c r="V1362" s="83"/>
      <c r="W1362" s="83"/>
      <c r="X1362" s="83"/>
      <c r="Y1362" s="83"/>
      <c r="Z1362" s="83"/>
    </row>
    <row r="1363">
      <c r="A1363" s="75" t="s">
        <v>50</v>
      </c>
      <c r="B1363" s="75" t="s">
        <v>924</v>
      </c>
      <c r="C1363" s="75">
        <v>17.52</v>
      </c>
      <c r="D1363" s="75">
        <v>1.0</v>
      </c>
      <c r="E1363" s="75">
        <v>17.52</v>
      </c>
      <c r="F1363" s="75" t="s">
        <v>948</v>
      </c>
      <c r="G1363" s="82">
        <v>46111.0</v>
      </c>
      <c r="H1363" s="76" t="s">
        <v>940</v>
      </c>
      <c r="I1363" s="83"/>
      <c r="J1363" s="83"/>
      <c r="K1363" s="83"/>
      <c r="L1363" s="83"/>
      <c r="M1363" s="83"/>
      <c r="N1363" s="83"/>
      <c r="O1363" s="83"/>
      <c r="P1363" s="83"/>
      <c r="Q1363" s="83"/>
      <c r="R1363" s="83"/>
      <c r="S1363" s="83"/>
      <c r="T1363" s="83"/>
      <c r="U1363" s="83"/>
      <c r="V1363" s="83"/>
      <c r="W1363" s="83"/>
      <c r="X1363" s="83"/>
      <c r="Y1363" s="83"/>
      <c r="Z1363" s="83"/>
    </row>
    <row r="1364">
      <c r="A1364" s="75" t="s">
        <v>32</v>
      </c>
      <c r="B1364" s="75" t="s">
        <v>924</v>
      </c>
      <c r="C1364" s="75">
        <v>215.37</v>
      </c>
      <c r="D1364" s="75">
        <v>60.0</v>
      </c>
      <c r="E1364" s="75">
        <v>3.59</v>
      </c>
      <c r="F1364" s="75" t="s">
        <v>948</v>
      </c>
      <c r="G1364" s="82">
        <v>46111.0</v>
      </c>
      <c r="H1364" s="76" t="s">
        <v>941</v>
      </c>
      <c r="I1364" s="83"/>
      <c r="J1364" s="83"/>
      <c r="K1364" s="83"/>
      <c r="L1364" s="83"/>
      <c r="M1364" s="83"/>
      <c r="N1364" s="83"/>
      <c r="O1364" s="83"/>
      <c r="P1364" s="83"/>
      <c r="Q1364" s="83"/>
      <c r="R1364" s="83"/>
      <c r="S1364" s="83"/>
      <c r="T1364" s="83"/>
      <c r="U1364" s="83"/>
      <c r="V1364" s="83"/>
      <c r="W1364" s="83"/>
      <c r="X1364" s="83"/>
      <c r="Y1364" s="83"/>
      <c r="Z1364" s="83"/>
    </row>
    <row r="1365">
      <c r="A1365" s="75" t="s">
        <v>32</v>
      </c>
      <c r="B1365" s="75" t="s">
        <v>924</v>
      </c>
      <c r="C1365" s="75">
        <v>70.86</v>
      </c>
      <c r="D1365" s="75">
        <v>27.0</v>
      </c>
      <c r="E1365" s="75">
        <v>2.62</v>
      </c>
      <c r="F1365" s="75" t="s">
        <v>948</v>
      </c>
      <c r="G1365" s="82">
        <v>46111.0</v>
      </c>
      <c r="H1365" s="76" t="s">
        <v>942</v>
      </c>
      <c r="I1365" s="83"/>
      <c r="J1365" s="83"/>
      <c r="K1365" s="83"/>
      <c r="L1365" s="83"/>
      <c r="M1365" s="83"/>
      <c r="N1365" s="83"/>
      <c r="O1365" s="83"/>
      <c r="P1365" s="83"/>
      <c r="Q1365" s="83"/>
      <c r="R1365" s="83"/>
      <c r="S1365" s="83"/>
      <c r="T1365" s="83"/>
      <c r="U1365" s="83"/>
      <c r="V1365" s="83"/>
      <c r="W1365" s="83"/>
      <c r="X1365" s="83"/>
      <c r="Y1365" s="83"/>
      <c r="Z1365" s="83"/>
    </row>
    <row r="1366">
      <c r="A1366" s="75" t="s">
        <v>32</v>
      </c>
      <c r="B1366" s="75" t="s">
        <v>924</v>
      </c>
      <c r="C1366" s="75">
        <v>47.77</v>
      </c>
      <c r="D1366" s="75">
        <v>12.0</v>
      </c>
      <c r="E1366" s="75">
        <v>3.98</v>
      </c>
      <c r="F1366" s="75" t="s">
        <v>948</v>
      </c>
      <c r="G1366" s="82">
        <v>46111.0</v>
      </c>
      <c r="H1366" s="76" t="s">
        <v>943</v>
      </c>
      <c r="I1366" s="83"/>
      <c r="J1366" s="83"/>
      <c r="K1366" s="83"/>
      <c r="L1366" s="83"/>
      <c r="M1366" s="83"/>
      <c r="N1366" s="83"/>
      <c r="O1366" s="83"/>
      <c r="P1366" s="83"/>
      <c r="Q1366" s="83"/>
      <c r="R1366" s="83"/>
      <c r="S1366" s="83"/>
      <c r="T1366" s="83"/>
      <c r="U1366" s="83"/>
      <c r="V1366" s="83"/>
      <c r="W1366" s="83"/>
      <c r="X1366" s="83"/>
      <c r="Y1366" s="83"/>
      <c r="Z1366" s="83"/>
    </row>
    <row r="1367">
      <c r="A1367" s="75" t="s">
        <v>944</v>
      </c>
      <c r="B1367" s="75" t="s">
        <v>924</v>
      </c>
      <c r="C1367" s="75">
        <v>58.26</v>
      </c>
      <c r="D1367" s="75">
        <v>4.0</v>
      </c>
      <c r="E1367" s="75">
        <v>14.56</v>
      </c>
      <c r="F1367" s="75" t="s">
        <v>948</v>
      </c>
      <c r="G1367" s="82">
        <v>46111.0</v>
      </c>
      <c r="H1367" s="76" t="s">
        <v>945</v>
      </c>
      <c r="I1367" s="83"/>
      <c r="J1367" s="83"/>
      <c r="K1367" s="83"/>
      <c r="L1367" s="83"/>
      <c r="M1367" s="83"/>
      <c r="N1367" s="83"/>
      <c r="O1367" s="83"/>
      <c r="P1367" s="83"/>
      <c r="Q1367" s="83"/>
      <c r="R1367" s="83"/>
      <c r="S1367" s="83"/>
      <c r="T1367" s="83"/>
      <c r="U1367" s="83"/>
      <c r="V1367" s="83"/>
      <c r="W1367" s="83"/>
      <c r="X1367" s="83"/>
      <c r="Y1367" s="83"/>
      <c r="Z1367" s="83"/>
    </row>
    <row r="1368">
      <c r="A1368" s="75" t="s">
        <v>944</v>
      </c>
      <c r="B1368" s="75" t="s">
        <v>924</v>
      </c>
      <c r="C1368" s="75">
        <v>34.71</v>
      </c>
      <c r="D1368" s="75">
        <v>3.0</v>
      </c>
      <c r="E1368" s="75">
        <v>11.57</v>
      </c>
      <c r="F1368" s="75" t="s">
        <v>948</v>
      </c>
      <c r="G1368" s="82">
        <v>46111.0</v>
      </c>
      <c r="H1368" s="76" t="s">
        <v>946</v>
      </c>
      <c r="I1368" s="83"/>
      <c r="J1368" s="83"/>
      <c r="K1368" s="83"/>
      <c r="L1368" s="83"/>
      <c r="M1368" s="83"/>
      <c r="N1368" s="83"/>
      <c r="O1368" s="83"/>
      <c r="P1368" s="83"/>
      <c r="Q1368" s="83"/>
      <c r="R1368" s="83"/>
      <c r="S1368" s="83"/>
      <c r="T1368" s="83"/>
      <c r="U1368" s="83"/>
      <c r="V1368" s="83"/>
      <c r="W1368" s="83"/>
      <c r="X1368" s="83"/>
      <c r="Y1368" s="83"/>
      <c r="Z1368" s="83"/>
    </row>
    <row r="1369">
      <c r="A1369" s="75" t="s">
        <v>944</v>
      </c>
      <c r="B1369" s="75" t="s">
        <v>924</v>
      </c>
      <c r="C1369" s="75">
        <v>51.6</v>
      </c>
      <c r="D1369" s="75">
        <v>3.0</v>
      </c>
      <c r="E1369" s="75">
        <v>17.2</v>
      </c>
      <c r="F1369" s="75" t="s">
        <v>948</v>
      </c>
      <c r="G1369" s="82">
        <v>46111.0</v>
      </c>
      <c r="H1369" s="76" t="s">
        <v>947</v>
      </c>
      <c r="I1369" s="83"/>
      <c r="J1369" s="83"/>
      <c r="K1369" s="83"/>
      <c r="L1369" s="83"/>
      <c r="M1369" s="83"/>
      <c r="N1369" s="83"/>
      <c r="O1369" s="83"/>
      <c r="P1369" s="83"/>
      <c r="Q1369" s="83"/>
      <c r="R1369" s="83"/>
      <c r="S1369" s="83"/>
      <c r="T1369" s="83"/>
      <c r="U1369" s="83"/>
      <c r="V1369" s="83"/>
      <c r="W1369" s="83"/>
      <c r="X1369" s="83"/>
      <c r="Y1369" s="83"/>
      <c r="Z1369" s="83"/>
    </row>
    <row r="1370">
      <c r="A1370" s="75" t="s">
        <v>26</v>
      </c>
      <c r="B1370" s="75" t="s">
        <v>924</v>
      </c>
      <c r="C1370" s="75">
        <v>0.91</v>
      </c>
      <c r="D1370" s="75">
        <v>0.0</v>
      </c>
      <c r="E1370" s="75">
        <v>0.0</v>
      </c>
      <c r="F1370" s="75" t="s">
        <v>948</v>
      </c>
      <c r="G1370" s="82">
        <v>46111.0</v>
      </c>
      <c r="H1370" s="76" t="s">
        <v>1012</v>
      </c>
      <c r="I1370" s="83"/>
      <c r="J1370" s="83"/>
      <c r="K1370" s="83"/>
      <c r="L1370" s="83"/>
      <c r="M1370" s="83"/>
      <c r="N1370" s="83"/>
      <c r="O1370" s="83"/>
      <c r="P1370" s="83"/>
      <c r="Q1370" s="83"/>
      <c r="R1370" s="83"/>
      <c r="S1370" s="83"/>
      <c r="T1370" s="83"/>
      <c r="U1370" s="83"/>
      <c r="V1370" s="83"/>
      <c r="W1370" s="83"/>
      <c r="X1370" s="83"/>
      <c r="Y1370" s="83"/>
      <c r="Z1370" s="83"/>
    </row>
    <row r="1371">
      <c r="A1371" s="75" t="s">
        <v>26</v>
      </c>
      <c r="B1371" s="75" t="s">
        <v>924</v>
      </c>
      <c r="C1371" s="75">
        <v>1.03</v>
      </c>
      <c r="D1371" s="75">
        <v>1.0</v>
      </c>
      <c r="E1371" s="75">
        <v>1.03</v>
      </c>
      <c r="F1371" s="75" t="s">
        <v>948</v>
      </c>
      <c r="G1371" s="82">
        <v>46111.0</v>
      </c>
      <c r="H1371" s="76" t="s">
        <v>1013</v>
      </c>
      <c r="I1371" s="83"/>
      <c r="J1371" s="83"/>
      <c r="K1371" s="83"/>
      <c r="L1371" s="83"/>
      <c r="M1371" s="83"/>
      <c r="N1371" s="83"/>
      <c r="O1371" s="83"/>
      <c r="P1371" s="83"/>
      <c r="Q1371" s="83"/>
      <c r="R1371" s="83"/>
      <c r="S1371" s="83"/>
      <c r="T1371" s="83"/>
      <c r="U1371" s="83"/>
      <c r="V1371" s="83"/>
      <c r="W1371" s="83"/>
      <c r="X1371" s="83"/>
      <c r="Y1371" s="83"/>
      <c r="Z1371" s="83"/>
    </row>
    <row r="1372">
      <c r="A1372" s="75" t="s">
        <v>26</v>
      </c>
      <c r="B1372" s="75" t="s">
        <v>924</v>
      </c>
      <c r="C1372" s="75">
        <v>1.35</v>
      </c>
      <c r="D1372" s="75">
        <v>1.0</v>
      </c>
      <c r="E1372" s="75">
        <v>1.35</v>
      </c>
      <c r="F1372" s="75" t="s">
        <v>948</v>
      </c>
      <c r="G1372" s="82">
        <v>46111.0</v>
      </c>
      <c r="H1372" s="76" t="s">
        <v>1014</v>
      </c>
      <c r="I1372" s="83"/>
      <c r="J1372" s="83"/>
      <c r="K1372" s="83"/>
      <c r="L1372" s="83"/>
      <c r="M1372" s="83"/>
      <c r="N1372" s="83"/>
      <c r="O1372" s="83"/>
      <c r="P1372" s="83"/>
      <c r="Q1372" s="83"/>
      <c r="R1372" s="83"/>
      <c r="S1372" s="83"/>
      <c r="T1372" s="83"/>
      <c r="U1372" s="83"/>
      <c r="V1372" s="83"/>
      <c r="W1372" s="83"/>
      <c r="X1372" s="83"/>
      <c r="Y1372" s="83"/>
      <c r="Z1372" s="83"/>
    </row>
    <row r="1373">
      <c r="A1373" s="75" t="s">
        <v>54</v>
      </c>
      <c r="B1373" s="75" t="s">
        <v>999</v>
      </c>
      <c r="C1373" s="75">
        <v>23.45</v>
      </c>
      <c r="D1373" s="75">
        <v>1.0</v>
      </c>
      <c r="E1373" s="75">
        <v>23.45</v>
      </c>
      <c r="F1373" s="75" t="s">
        <v>925</v>
      </c>
      <c r="G1373" s="82">
        <v>46111.0</v>
      </c>
      <c r="H1373" s="76" t="s">
        <v>977</v>
      </c>
      <c r="I1373" s="83"/>
      <c r="J1373" s="83"/>
      <c r="K1373" s="83"/>
      <c r="L1373" s="83"/>
      <c r="M1373" s="83"/>
      <c r="N1373" s="83"/>
      <c r="O1373" s="83"/>
      <c r="P1373" s="83"/>
      <c r="Q1373" s="83"/>
      <c r="R1373" s="83"/>
      <c r="S1373" s="83"/>
      <c r="T1373" s="83"/>
      <c r="U1373" s="83"/>
      <c r="V1373" s="83"/>
      <c r="W1373" s="83"/>
      <c r="X1373" s="83"/>
      <c r="Y1373" s="83"/>
      <c r="Z1373" s="83"/>
    </row>
    <row r="1374">
      <c r="A1374" s="75" t="s">
        <v>54</v>
      </c>
      <c r="B1374" s="75" t="s">
        <v>999</v>
      </c>
      <c r="C1374" s="75">
        <v>24.08</v>
      </c>
      <c r="D1374" s="75">
        <v>0.0</v>
      </c>
      <c r="E1374" s="75">
        <v>0.0</v>
      </c>
      <c r="F1374" s="75" t="s">
        <v>925</v>
      </c>
      <c r="G1374" s="82">
        <v>46111.0</v>
      </c>
      <c r="H1374" s="76" t="s">
        <v>978</v>
      </c>
      <c r="I1374" s="83"/>
      <c r="J1374" s="83"/>
      <c r="K1374" s="83"/>
      <c r="L1374" s="83"/>
      <c r="M1374" s="83"/>
      <c r="N1374" s="83"/>
      <c r="O1374" s="83"/>
      <c r="P1374" s="83"/>
      <c r="Q1374" s="83"/>
      <c r="R1374" s="83"/>
      <c r="S1374" s="83"/>
      <c r="T1374" s="83"/>
      <c r="U1374" s="83"/>
      <c r="V1374" s="83"/>
      <c r="W1374" s="83"/>
      <c r="X1374" s="83"/>
      <c r="Y1374" s="83"/>
      <c r="Z1374" s="83"/>
    </row>
    <row r="1375">
      <c r="A1375" s="75" t="s">
        <v>54</v>
      </c>
      <c r="B1375" s="75" t="s">
        <v>999</v>
      </c>
      <c r="C1375" s="75">
        <v>20.02</v>
      </c>
      <c r="D1375" s="75">
        <v>0.0</v>
      </c>
      <c r="E1375" s="75">
        <v>0.0</v>
      </c>
      <c r="F1375" s="75" t="s">
        <v>925</v>
      </c>
      <c r="G1375" s="82">
        <v>46111.0</v>
      </c>
      <c r="H1375" s="76" t="s">
        <v>979</v>
      </c>
      <c r="I1375" s="83"/>
      <c r="J1375" s="83"/>
      <c r="K1375" s="83"/>
      <c r="L1375" s="83"/>
      <c r="M1375" s="83"/>
      <c r="N1375" s="83"/>
      <c r="O1375" s="83"/>
      <c r="P1375" s="83"/>
      <c r="Q1375" s="83"/>
      <c r="R1375" s="83"/>
      <c r="S1375" s="83"/>
      <c r="T1375" s="83"/>
      <c r="U1375" s="83"/>
      <c r="V1375" s="83"/>
      <c r="W1375" s="83"/>
      <c r="X1375" s="83"/>
      <c r="Y1375" s="83"/>
      <c r="Z1375" s="83"/>
    </row>
    <row r="1376">
      <c r="A1376" s="75" t="s">
        <v>55</v>
      </c>
      <c r="B1376" s="75" t="s">
        <v>999</v>
      </c>
      <c r="C1376" s="75">
        <v>19.97</v>
      </c>
      <c r="D1376" s="75">
        <v>1.0</v>
      </c>
      <c r="E1376" s="75">
        <v>19.97</v>
      </c>
      <c r="F1376" s="75" t="s">
        <v>925</v>
      </c>
      <c r="G1376" s="82">
        <v>46111.0</v>
      </c>
      <c r="H1376" s="76" t="s">
        <v>980</v>
      </c>
      <c r="I1376" s="83"/>
      <c r="J1376" s="83"/>
      <c r="K1376" s="83"/>
      <c r="L1376" s="83"/>
      <c r="M1376" s="83"/>
      <c r="N1376" s="83"/>
      <c r="O1376" s="83"/>
      <c r="P1376" s="83"/>
      <c r="Q1376" s="83"/>
      <c r="R1376" s="83"/>
      <c r="S1376" s="83"/>
      <c r="T1376" s="83"/>
      <c r="U1376" s="83"/>
      <c r="V1376" s="83"/>
      <c r="W1376" s="83"/>
      <c r="X1376" s="83"/>
      <c r="Y1376" s="83"/>
      <c r="Z1376" s="83"/>
    </row>
    <row r="1377">
      <c r="A1377" s="75" t="s">
        <v>55</v>
      </c>
      <c r="B1377" s="75" t="s">
        <v>999</v>
      </c>
      <c r="C1377" s="75">
        <v>26.64</v>
      </c>
      <c r="D1377" s="75">
        <v>0.0</v>
      </c>
      <c r="E1377" s="75">
        <v>0.0</v>
      </c>
      <c r="F1377" s="75" t="s">
        <v>925</v>
      </c>
      <c r="G1377" s="82">
        <v>46111.0</v>
      </c>
      <c r="H1377" s="76" t="s">
        <v>981</v>
      </c>
      <c r="I1377" s="83"/>
      <c r="J1377" s="83"/>
      <c r="K1377" s="83"/>
      <c r="L1377" s="83"/>
      <c r="M1377" s="83"/>
      <c r="N1377" s="83"/>
      <c r="O1377" s="83"/>
      <c r="P1377" s="83"/>
      <c r="Q1377" s="83"/>
      <c r="R1377" s="83"/>
      <c r="S1377" s="83"/>
      <c r="T1377" s="83"/>
      <c r="U1377" s="83"/>
      <c r="V1377" s="83"/>
      <c r="W1377" s="83"/>
      <c r="X1377" s="83"/>
      <c r="Y1377" s="83"/>
      <c r="Z1377" s="83"/>
    </row>
    <row r="1378">
      <c r="A1378" s="75" t="s">
        <v>53</v>
      </c>
      <c r="B1378" s="75" t="s">
        <v>999</v>
      </c>
      <c r="C1378" s="75">
        <v>73.46</v>
      </c>
      <c r="D1378" s="75">
        <v>0.0</v>
      </c>
      <c r="E1378" s="75">
        <v>0.0</v>
      </c>
      <c r="F1378" s="75" t="s">
        <v>925</v>
      </c>
      <c r="G1378" s="82">
        <v>46111.0</v>
      </c>
      <c r="H1378" s="76" t="s">
        <v>982</v>
      </c>
      <c r="I1378" s="83"/>
      <c r="J1378" s="83"/>
      <c r="K1378" s="83"/>
      <c r="L1378" s="83"/>
      <c r="M1378" s="83"/>
      <c r="N1378" s="83"/>
      <c r="O1378" s="83"/>
      <c r="P1378" s="83"/>
      <c r="Q1378" s="83"/>
      <c r="R1378" s="83"/>
      <c r="S1378" s="83"/>
      <c r="T1378" s="83"/>
      <c r="U1378" s="83"/>
      <c r="V1378" s="83"/>
      <c r="W1378" s="83"/>
      <c r="X1378" s="83"/>
      <c r="Y1378" s="83"/>
      <c r="Z1378" s="83"/>
    </row>
    <row r="1379">
      <c r="A1379" s="75" t="s">
        <v>53</v>
      </c>
      <c r="B1379" s="75" t="s">
        <v>999</v>
      </c>
      <c r="C1379" s="75">
        <v>27.13</v>
      </c>
      <c r="D1379" s="75">
        <v>0.0</v>
      </c>
      <c r="E1379" s="75">
        <v>0.0</v>
      </c>
      <c r="F1379" s="75" t="s">
        <v>925</v>
      </c>
      <c r="G1379" s="82">
        <v>46111.0</v>
      </c>
      <c r="H1379" s="76" t="s">
        <v>983</v>
      </c>
      <c r="I1379" s="83"/>
      <c r="J1379" s="83"/>
      <c r="K1379" s="83"/>
      <c r="L1379" s="83"/>
      <c r="M1379" s="83"/>
      <c r="N1379" s="83"/>
      <c r="O1379" s="83"/>
      <c r="P1379" s="83"/>
      <c r="Q1379" s="83"/>
      <c r="R1379" s="83"/>
      <c r="S1379" s="83"/>
      <c r="T1379" s="83"/>
      <c r="U1379" s="83"/>
      <c r="V1379" s="83"/>
      <c r="W1379" s="83"/>
      <c r="X1379" s="83"/>
      <c r="Y1379" s="83"/>
      <c r="Z1379" s="83"/>
    </row>
    <row r="1380">
      <c r="A1380" s="75" t="s">
        <v>53</v>
      </c>
      <c r="B1380" s="75" t="s">
        <v>999</v>
      </c>
      <c r="C1380" s="75">
        <v>7.68</v>
      </c>
      <c r="D1380" s="75">
        <v>0.0</v>
      </c>
      <c r="E1380" s="75">
        <v>0.0</v>
      </c>
      <c r="F1380" s="75" t="s">
        <v>925</v>
      </c>
      <c r="G1380" s="82">
        <v>46111.0</v>
      </c>
      <c r="H1380" s="76" t="s">
        <v>984</v>
      </c>
      <c r="I1380" s="83"/>
      <c r="J1380" s="83"/>
      <c r="K1380" s="83"/>
      <c r="L1380" s="83"/>
      <c r="M1380" s="83"/>
      <c r="N1380" s="83"/>
      <c r="O1380" s="83"/>
      <c r="P1380" s="83"/>
      <c r="Q1380" s="83"/>
      <c r="R1380" s="83"/>
      <c r="S1380" s="83"/>
      <c r="T1380" s="83"/>
      <c r="U1380" s="83"/>
      <c r="V1380" s="83"/>
      <c r="W1380" s="83"/>
      <c r="X1380" s="83"/>
      <c r="Y1380" s="83"/>
      <c r="Z1380" s="83"/>
    </row>
    <row r="1381">
      <c r="A1381" s="75" t="s">
        <v>985</v>
      </c>
      <c r="B1381" s="75" t="s">
        <v>999</v>
      </c>
      <c r="C1381" s="75">
        <v>20.51</v>
      </c>
      <c r="D1381" s="75">
        <v>1.0</v>
      </c>
      <c r="E1381" s="75">
        <v>20.51</v>
      </c>
      <c r="F1381" s="75" t="s">
        <v>925</v>
      </c>
      <c r="G1381" s="82">
        <v>46111.0</v>
      </c>
      <c r="H1381" s="76" t="s">
        <v>936</v>
      </c>
      <c r="I1381" s="83"/>
      <c r="J1381" s="83"/>
      <c r="K1381" s="83"/>
      <c r="L1381" s="83"/>
      <c r="M1381" s="83"/>
      <c r="N1381" s="83"/>
      <c r="O1381" s="83"/>
      <c r="P1381" s="83"/>
      <c r="Q1381" s="83"/>
      <c r="R1381" s="83"/>
      <c r="S1381" s="83"/>
      <c r="T1381" s="83"/>
      <c r="U1381" s="83"/>
      <c r="V1381" s="83"/>
      <c r="W1381" s="83"/>
      <c r="X1381" s="83"/>
      <c r="Y1381" s="83"/>
      <c r="Z1381" s="83"/>
    </row>
    <row r="1382">
      <c r="A1382" s="75" t="s">
        <v>985</v>
      </c>
      <c r="B1382" s="75" t="s">
        <v>999</v>
      </c>
      <c r="C1382" s="75">
        <v>24.2</v>
      </c>
      <c r="D1382" s="75">
        <v>3.0</v>
      </c>
      <c r="E1382" s="75">
        <v>8.07</v>
      </c>
      <c r="F1382" s="75" t="s">
        <v>925</v>
      </c>
      <c r="G1382" s="82">
        <v>46111.0</v>
      </c>
      <c r="H1382" s="76" t="s">
        <v>937</v>
      </c>
      <c r="I1382" s="83"/>
      <c r="J1382" s="83"/>
      <c r="K1382" s="83"/>
      <c r="L1382" s="83"/>
      <c r="M1382" s="83"/>
      <c r="N1382" s="83"/>
      <c r="O1382" s="83"/>
      <c r="P1382" s="83"/>
      <c r="Q1382" s="83"/>
      <c r="R1382" s="83"/>
      <c r="S1382" s="83"/>
      <c r="T1382" s="83"/>
      <c r="U1382" s="83"/>
      <c r="V1382" s="83"/>
      <c r="W1382" s="83"/>
      <c r="X1382" s="83"/>
      <c r="Y1382" s="83"/>
      <c r="Z1382" s="83"/>
    </row>
    <row r="1383">
      <c r="A1383" s="75" t="s">
        <v>985</v>
      </c>
      <c r="B1383" s="75" t="s">
        <v>999</v>
      </c>
      <c r="C1383" s="75">
        <v>22.6</v>
      </c>
      <c r="D1383" s="75">
        <v>0.0</v>
      </c>
      <c r="E1383" s="75">
        <v>0.0</v>
      </c>
      <c r="F1383" s="75" t="s">
        <v>925</v>
      </c>
      <c r="G1383" s="82">
        <v>46111.0</v>
      </c>
      <c r="H1383" s="76" t="s">
        <v>938</v>
      </c>
      <c r="I1383" s="83"/>
      <c r="J1383" s="83"/>
      <c r="K1383" s="83"/>
      <c r="L1383" s="83"/>
      <c r="M1383" s="83"/>
      <c r="N1383" s="83"/>
      <c r="O1383" s="83"/>
      <c r="P1383" s="83"/>
      <c r="Q1383" s="83"/>
      <c r="R1383" s="83"/>
      <c r="S1383" s="83"/>
      <c r="T1383" s="83"/>
      <c r="U1383" s="83"/>
      <c r="V1383" s="83"/>
      <c r="W1383" s="83"/>
      <c r="X1383" s="83"/>
      <c r="Y1383" s="83"/>
      <c r="Z1383" s="83"/>
    </row>
    <row r="1384">
      <c r="A1384" s="75" t="s">
        <v>51</v>
      </c>
      <c r="B1384" s="75" t="s">
        <v>999</v>
      </c>
      <c r="C1384" s="75">
        <v>144.72</v>
      </c>
      <c r="D1384" s="75">
        <v>0.0</v>
      </c>
      <c r="E1384" s="75">
        <v>0.0</v>
      </c>
      <c r="F1384" s="75" t="s">
        <v>925</v>
      </c>
      <c r="G1384" s="82">
        <v>46111.0</v>
      </c>
      <c r="H1384" s="76" t="s">
        <v>986</v>
      </c>
      <c r="I1384" s="83"/>
      <c r="J1384" s="83"/>
      <c r="K1384" s="83"/>
      <c r="L1384" s="83"/>
      <c r="M1384" s="83"/>
      <c r="N1384" s="83"/>
      <c r="O1384" s="83"/>
      <c r="P1384" s="83"/>
      <c r="Q1384" s="83"/>
      <c r="R1384" s="83"/>
      <c r="S1384" s="83"/>
      <c r="T1384" s="83"/>
      <c r="U1384" s="83"/>
      <c r="V1384" s="83"/>
      <c r="W1384" s="83"/>
      <c r="X1384" s="83"/>
      <c r="Y1384" s="83"/>
      <c r="Z1384" s="83"/>
    </row>
    <row r="1385">
      <c r="A1385" s="75" t="s">
        <v>51</v>
      </c>
      <c r="B1385" s="75" t="s">
        <v>999</v>
      </c>
      <c r="C1385" s="75">
        <v>74.75</v>
      </c>
      <c r="D1385" s="75">
        <v>2.0</v>
      </c>
      <c r="E1385" s="75">
        <v>37.37</v>
      </c>
      <c r="F1385" s="75" t="s">
        <v>925</v>
      </c>
      <c r="G1385" s="82">
        <v>46111.0</v>
      </c>
      <c r="H1385" s="76" t="s">
        <v>987</v>
      </c>
      <c r="I1385" s="83"/>
      <c r="J1385" s="83"/>
      <c r="K1385" s="83"/>
      <c r="L1385" s="83"/>
      <c r="M1385" s="83"/>
      <c r="N1385" s="83"/>
      <c r="O1385" s="83"/>
      <c r="P1385" s="83"/>
      <c r="Q1385" s="83"/>
      <c r="R1385" s="83"/>
      <c r="S1385" s="83"/>
      <c r="T1385" s="83"/>
      <c r="U1385" s="83"/>
      <c r="V1385" s="83"/>
      <c r="W1385" s="83"/>
      <c r="X1385" s="83"/>
      <c r="Y1385" s="83"/>
      <c r="Z1385" s="83"/>
    </row>
    <row r="1386">
      <c r="A1386" s="75" t="s">
        <v>54</v>
      </c>
      <c r="B1386" s="75" t="s">
        <v>999</v>
      </c>
      <c r="C1386" s="75">
        <v>44.36</v>
      </c>
      <c r="D1386" s="75">
        <v>0.0</v>
      </c>
      <c r="E1386" s="75">
        <v>0.0</v>
      </c>
      <c r="F1386" s="75" t="s">
        <v>948</v>
      </c>
      <c r="G1386" s="82">
        <v>46111.0</v>
      </c>
      <c r="H1386" s="76" t="s">
        <v>977</v>
      </c>
      <c r="I1386" s="83"/>
      <c r="J1386" s="83"/>
      <c r="K1386" s="83"/>
      <c r="L1386" s="83"/>
      <c r="M1386" s="83"/>
      <c r="N1386" s="83"/>
      <c r="O1386" s="83"/>
      <c r="P1386" s="83"/>
      <c r="Q1386" s="83"/>
      <c r="R1386" s="83"/>
      <c r="S1386" s="83"/>
      <c r="T1386" s="83"/>
      <c r="U1386" s="83"/>
      <c r="V1386" s="83"/>
      <c r="W1386" s="83"/>
      <c r="X1386" s="83"/>
      <c r="Y1386" s="83"/>
      <c r="Z1386" s="83"/>
    </row>
    <row r="1387">
      <c r="A1387" s="75" t="s">
        <v>54</v>
      </c>
      <c r="B1387" s="75" t="s">
        <v>999</v>
      </c>
      <c r="C1387" s="75">
        <v>56.51</v>
      </c>
      <c r="D1387" s="75">
        <v>0.0</v>
      </c>
      <c r="E1387" s="75">
        <v>0.0</v>
      </c>
      <c r="F1387" s="75" t="s">
        <v>948</v>
      </c>
      <c r="G1387" s="82">
        <v>46111.0</v>
      </c>
      <c r="H1387" s="76" t="s">
        <v>978</v>
      </c>
      <c r="I1387" s="83"/>
      <c r="J1387" s="83"/>
      <c r="K1387" s="83"/>
      <c r="L1387" s="83"/>
      <c r="M1387" s="83"/>
      <c r="N1387" s="83"/>
      <c r="O1387" s="83"/>
      <c r="P1387" s="83"/>
      <c r="Q1387" s="83"/>
      <c r="R1387" s="83"/>
      <c r="S1387" s="83"/>
      <c r="T1387" s="83"/>
      <c r="U1387" s="83"/>
      <c r="V1387" s="83"/>
      <c r="W1387" s="83"/>
      <c r="X1387" s="83"/>
      <c r="Y1387" s="83"/>
      <c r="Z1387" s="83"/>
    </row>
    <row r="1388">
      <c r="A1388" s="75" t="s">
        <v>54</v>
      </c>
      <c r="B1388" s="75" t="s">
        <v>999</v>
      </c>
      <c r="C1388" s="75">
        <v>20.49</v>
      </c>
      <c r="D1388" s="75">
        <v>0.0</v>
      </c>
      <c r="E1388" s="75">
        <v>0.0</v>
      </c>
      <c r="F1388" s="75" t="s">
        <v>948</v>
      </c>
      <c r="G1388" s="82">
        <v>46111.0</v>
      </c>
      <c r="H1388" s="76" t="s">
        <v>979</v>
      </c>
      <c r="I1388" s="83"/>
      <c r="J1388" s="83"/>
      <c r="K1388" s="83"/>
      <c r="L1388" s="83"/>
      <c r="M1388" s="83"/>
      <c r="N1388" s="83"/>
      <c r="O1388" s="83"/>
      <c r="P1388" s="83"/>
      <c r="Q1388" s="83"/>
      <c r="R1388" s="83"/>
      <c r="S1388" s="83"/>
      <c r="T1388" s="83"/>
      <c r="U1388" s="83"/>
      <c r="V1388" s="83"/>
      <c r="W1388" s="83"/>
      <c r="X1388" s="83"/>
      <c r="Y1388" s="83"/>
      <c r="Z1388" s="83"/>
    </row>
    <row r="1389">
      <c r="A1389" s="75" t="s">
        <v>55</v>
      </c>
      <c r="B1389" s="75" t="s">
        <v>999</v>
      </c>
      <c r="C1389" s="75">
        <v>28.63</v>
      </c>
      <c r="D1389" s="75">
        <v>4.0</v>
      </c>
      <c r="E1389" s="75">
        <v>7.16</v>
      </c>
      <c r="F1389" s="75" t="s">
        <v>948</v>
      </c>
      <c r="G1389" s="82">
        <v>46111.0</v>
      </c>
      <c r="H1389" s="76" t="s">
        <v>980</v>
      </c>
      <c r="I1389" s="83"/>
      <c r="J1389" s="83"/>
      <c r="K1389" s="83"/>
      <c r="L1389" s="83"/>
      <c r="M1389" s="83"/>
      <c r="N1389" s="83"/>
      <c r="O1389" s="83"/>
      <c r="P1389" s="83"/>
      <c r="Q1389" s="83"/>
      <c r="R1389" s="83"/>
      <c r="S1389" s="83"/>
      <c r="T1389" s="83"/>
      <c r="U1389" s="83"/>
      <c r="V1389" s="83"/>
      <c r="W1389" s="83"/>
      <c r="X1389" s="83"/>
      <c r="Y1389" s="83"/>
      <c r="Z1389" s="83"/>
    </row>
    <row r="1390">
      <c r="A1390" s="75" t="s">
        <v>55</v>
      </c>
      <c r="B1390" s="75" t="s">
        <v>999</v>
      </c>
      <c r="C1390" s="75">
        <v>74.98</v>
      </c>
      <c r="D1390" s="75">
        <v>0.0</v>
      </c>
      <c r="E1390" s="75">
        <v>0.0</v>
      </c>
      <c r="F1390" s="75" t="s">
        <v>948</v>
      </c>
      <c r="G1390" s="82">
        <v>46111.0</v>
      </c>
      <c r="H1390" s="76" t="s">
        <v>981</v>
      </c>
      <c r="I1390" s="83"/>
      <c r="J1390" s="83"/>
      <c r="K1390" s="83"/>
      <c r="L1390" s="83"/>
      <c r="M1390" s="83"/>
      <c r="N1390" s="83"/>
      <c r="O1390" s="83"/>
      <c r="P1390" s="83"/>
      <c r="Q1390" s="83"/>
      <c r="R1390" s="83"/>
      <c r="S1390" s="83"/>
      <c r="T1390" s="83"/>
      <c r="U1390" s="83"/>
      <c r="V1390" s="83"/>
      <c r="W1390" s="83"/>
      <c r="X1390" s="83"/>
      <c r="Y1390" s="83"/>
      <c r="Z1390" s="83"/>
    </row>
    <row r="1391">
      <c r="A1391" s="75" t="s">
        <v>53</v>
      </c>
      <c r="B1391" s="75" t="s">
        <v>999</v>
      </c>
      <c r="C1391" s="75">
        <v>51.15</v>
      </c>
      <c r="D1391" s="75">
        <v>0.0</v>
      </c>
      <c r="E1391" s="75">
        <v>0.0</v>
      </c>
      <c r="F1391" s="75" t="s">
        <v>948</v>
      </c>
      <c r="G1391" s="82">
        <v>46111.0</v>
      </c>
      <c r="H1391" s="76" t="s">
        <v>982</v>
      </c>
      <c r="I1391" s="83"/>
      <c r="J1391" s="83"/>
      <c r="K1391" s="83"/>
      <c r="L1391" s="83"/>
      <c r="M1391" s="83"/>
      <c r="N1391" s="83"/>
      <c r="O1391" s="83"/>
      <c r="P1391" s="83"/>
      <c r="Q1391" s="83"/>
      <c r="R1391" s="83"/>
      <c r="S1391" s="83"/>
      <c r="T1391" s="83"/>
      <c r="U1391" s="83"/>
      <c r="V1391" s="83"/>
      <c r="W1391" s="83"/>
      <c r="X1391" s="83"/>
      <c r="Y1391" s="83"/>
      <c r="Z1391" s="83"/>
    </row>
    <row r="1392">
      <c r="A1392" s="75" t="s">
        <v>53</v>
      </c>
      <c r="B1392" s="75" t="s">
        <v>999</v>
      </c>
      <c r="C1392" s="75">
        <v>11.21</v>
      </c>
      <c r="D1392" s="75">
        <v>0.0</v>
      </c>
      <c r="E1392" s="75">
        <v>0.0</v>
      </c>
      <c r="F1392" s="75" t="s">
        <v>948</v>
      </c>
      <c r="G1392" s="82">
        <v>46111.0</v>
      </c>
      <c r="H1392" s="76" t="s">
        <v>983</v>
      </c>
      <c r="I1392" s="83"/>
      <c r="J1392" s="83"/>
      <c r="K1392" s="83"/>
      <c r="L1392" s="83"/>
      <c r="M1392" s="83"/>
      <c r="N1392" s="83"/>
      <c r="O1392" s="83"/>
      <c r="P1392" s="83"/>
      <c r="Q1392" s="83"/>
      <c r="R1392" s="83"/>
      <c r="S1392" s="83"/>
      <c r="T1392" s="83"/>
      <c r="U1392" s="83"/>
      <c r="V1392" s="83"/>
      <c r="W1392" s="83"/>
      <c r="X1392" s="83"/>
      <c r="Y1392" s="83"/>
      <c r="Z1392" s="83"/>
    </row>
    <row r="1393">
      <c r="A1393" s="75" t="s">
        <v>53</v>
      </c>
      <c r="B1393" s="75" t="s">
        <v>999</v>
      </c>
      <c r="C1393" s="75">
        <v>6.83</v>
      </c>
      <c r="D1393" s="75">
        <v>0.0</v>
      </c>
      <c r="E1393" s="75">
        <v>0.0</v>
      </c>
      <c r="F1393" s="75" t="s">
        <v>948</v>
      </c>
      <c r="G1393" s="82">
        <v>46111.0</v>
      </c>
      <c r="H1393" s="76" t="s">
        <v>984</v>
      </c>
      <c r="I1393" s="83"/>
      <c r="J1393" s="83"/>
      <c r="K1393" s="83"/>
      <c r="L1393" s="83"/>
      <c r="M1393" s="83"/>
      <c r="N1393" s="83"/>
      <c r="O1393" s="83"/>
      <c r="P1393" s="83"/>
      <c r="Q1393" s="83"/>
      <c r="R1393" s="83"/>
      <c r="S1393" s="83"/>
      <c r="T1393" s="83"/>
      <c r="U1393" s="83"/>
      <c r="V1393" s="83"/>
      <c r="W1393" s="83"/>
      <c r="X1393" s="83"/>
      <c r="Y1393" s="83"/>
      <c r="Z1393" s="83"/>
    </row>
    <row r="1394">
      <c r="A1394" s="75" t="s">
        <v>985</v>
      </c>
      <c r="B1394" s="75" t="s">
        <v>999</v>
      </c>
      <c r="C1394" s="75">
        <v>7.85</v>
      </c>
      <c r="D1394" s="75">
        <v>0.0</v>
      </c>
      <c r="E1394" s="75">
        <v>0.0</v>
      </c>
      <c r="F1394" s="75" t="s">
        <v>948</v>
      </c>
      <c r="G1394" s="82">
        <v>46111.0</v>
      </c>
      <c r="H1394" s="76" t="s">
        <v>936</v>
      </c>
      <c r="I1394" s="83"/>
      <c r="J1394" s="83"/>
      <c r="K1394" s="83"/>
      <c r="L1394" s="83"/>
      <c r="M1394" s="83"/>
      <c r="N1394" s="83"/>
      <c r="O1394" s="83"/>
      <c r="P1394" s="83"/>
      <c r="Q1394" s="83"/>
      <c r="R1394" s="83"/>
      <c r="S1394" s="83"/>
      <c r="T1394" s="83"/>
      <c r="U1394" s="83"/>
      <c r="V1394" s="83"/>
      <c r="W1394" s="83"/>
      <c r="X1394" s="83"/>
      <c r="Y1394" s="83"/>
      <c r="Z1394" s="83"/>
    </row>
    <row r="1395">
      <c r="A1395" s="75" t="s">
        <v>985</v>
      </c>
      <c r="B1395" s="75" t="s">
        <v>999</v>
      </c>
      <c r="C1395" s="75">
        <v>13.11</v>
      </c>
      <c r="D1395" s="75">
        <v>0.0</v>
      </c>
      <c r="E1395" s="75">
        <v>0.0</v>
      </c>
      <c r="F1395" s="75" t="s">
        <v>948</v>
      </c>
      <c r="G1395" s="82">
        <v>46111.0</v>
      </c>
      <c r="H1395" s="76" t="s">
        <v>937</v>
      </c>
      <c r="I1395" s="83"/>
      <c r="J1395" s="83"/>
      <c r="K1395" s="83"/>
      <c r="L1395" s="83"/>
      <c r="M1395" s="83"/>
      <c r="N1395" s="83"/>
      <c r="O1395" s="83"/>
      <c r="P1395" s="83"/>
      <c r="Q1395" s="83"/>
      <c r="R1395" s="83"/>
      <c r="S1395" s="83"/>
      <c r="T1395" s="83"/>
      <c r="U1395" s="83"/>
      <c r="V1395" s="83"/>
      <c r="W1395" s="83"/>
      <c r="X1395" s="83"/>
      <c r="Y1395" s="83"/>
      <c r="Z1395" s="83"/>
    </row>
    <row r="1396">
      <c r="A1396" s="75" t="s">
        <v>985</v>
      </c>
      <c r="B1396" s="75" t="s">
        <v>999</v>
      </c>
      <c r="C1396" s="75">
        <v>16.91</v>
      </c>
      <c r="D1396" s="75">
        <v>0.0</v>
      </c>
      <c r="E1396" s="75">
        <v>0.0</v>
      </c>
      <c r="F1396" s="75" t="s">
        <v>948</v>
      </c>
      <c r="G1396" s="82">
        <v>46111.0</v>
      </c>
      <c r="H1396" s="76" t="s">
        <v>938</v>
      </c>
      <c r="I1396" s="83"/>
      <c r="J1396" s="83"/>
      <c r="K1396" s="83"/>
      <c r="L1396" s="83"/>
      <c r="M1396" s="83"/>
      <c r="N1396" s="83"/>
      <c r="O1396" s="83"/>
      <c r="P1396" s="83"/>
      <c r="Q1396" s="83"/>
      <c r="R1396" s="83"/>
      <c r="S1396" s="83"/>
      <c r="T1396" s="83"/>
      <c r="U1396" s="83"/>
      <c r="V1396" s="83"/>
      <c r="W1396" s="83"/>
      <c r="X1396" s="83"/>
      <c r="Y1396" s="83"/>
      <c r="Z1396" s="83"/>
    </row>
    <row r="1397">
      <c r="A1397" s="75" t="s">
        <v>51</v>
      </c>
      <c r="B1397" s="75" t="s">
        <v>999</v>
      </c>
      <c r="C1397" s="75">
        <v>46.9</v>
      </c>
      <c r="D1397" s="75">
        <v>0.0</v>
      </c>
      <c r="E1397" s="75">
        <v>0.0</v>
      </c>
      <c r="F1397" s="75" t="s">
        <v>948</v>
      </c>
      <c r="G1397" s="82">
        <v>46111.0</v>
      </c>
      <c r="H1397" s="76" t="s">
        <v>986</v>
      </c>
      <c r="I1397" s="83"/>
      <c r="J1397" s="83"/>
      <c r="K1397" s="83"/>
      <c r="L1397" s="83"/>
      <c r="M1397" s="83"/>
      <c r="N1397" s="83"/>
      <c r="O1397" s="83"/>
      <c r="P1397" s="83"/>
      <c r="Q1397" s="83"/>
      <c r="R1397" s="83"/>
      <c r="S1397" s="83"/>
      <c r="T1397" s="83"/>
      <c r="U1397" s="83"/>
      <c r="V1397" s="83"/>
      <c r="W1397" s="83"/>
      <c r="X1397" s="83"/>
      <c r="Y1397" s="83"/>
      <c r="Z1397" s="83"/>
    </row>
    <row r="1398">
      <c r="A1398" s="75" t="s">
        <v>51</v>
      </c>
      <c r="B1398" s="75" t="s">
        <v>999</v>
      </c>
      <c r="C1398" s="75">
        <v>17.22</v>
      </c>
      <c r="D1398" s="75">
        <v>0.0</v>
      </c>
      <c r="E1398" s="75">
        <v>0.0</v>
      </c>
      <c r="F1398" s="75" t="s">
        <v>948</v>
      </c>
      <c r="G1398" s="82">
        <v>46111.0</v>
      </c>
      <c r="H1398" s="76" t="s">
        <v>987</v>
      </c>
      <c r="I1398" s="83"/>
      <c r="J1398" s="83"/>
      <c r="K1398" s="83"/>
      <c r="L1398" s="83"/>
      <c r="M1398" s="83"/>
      <c r="N1398" s="83"/>
      <c r="O1398" s="83"/>
      <c r="P1398" s="83"/>
      <c r="Q1398" s="83"/>
      <c r="R1398" s="83"/>
      <c r="S1398" s="83"/>
      <c r="T1398" s="83"/>
      <c r="U1398" s="83"/>
      <c r="V1398" s="83"/>
      <c r="W1398" s="83"/>
      <c r="X1398" s="83"/>
      <c r="Y1398" s="83"/>
      <c r="Z1398" s="83"/>
    </row>
    <row r="1399">
      <c r="A1399" s="75" t="s">
        <v>34</v>
      </c>
      <c r="B1399" s="75" t="s">
        <v>1001</v>
      </c>
      <c r="C1399" s="75">
        <v>9.17</v>
      </c>
      <c r="D1399" s="75">
        <v>0.0</v>
      </c>
      <c r="E1399" s="75">
        <v>0.0</v>
      </c>
      <c r="F1399" s="75" t="s">
        <v>950</v>
      </c>
      <c r="G1399" s="82">
        <v>46111.0</v>
      </c>
      <c r="H1399" s="76" t="s">
        <v>951</v>
      </c>
      <c r="I1399" s="83"/>
      <c r="J1399" s="83"/>
      <c r="K1399" s="83"/>
      <c r="L1399" s="83"/>
      <c r="M1399" s="83"/>
      <c r="N1399" s="83"/>
      <c r="O1399" s="83"/>
      <c r="P1399" s="83"/>
      <c r="Q1399" s="83"/>
      <c r="R1399" s="83"/>
      <c r="S1399" s="83"/>
      <c r="T1399" s="83"/>
      <c r="U1399" s="83"/>
      <c r="V1399" s="83"/>
      <c r="W1399" s="83"/>
      <c r="X1399" s="83"/>
      <c r="Y1399" s="83"/>
      <c r="Z1399" s="83"/>
    </row>
    <row r="1400">
      <c r="A1400" s="75" t="s">
        <v>34</v>
      </c>
      <c r="B1400" s="75" t="s">
        <v>1001</v>
      </c>
      <c r="C1400" s="75">
        <v>11.57</v>
      </c>
      <c r="D1400" s="75">
        <v>1.0</v>
      </c>
      <c r="E1400" s="75">
        <v>11.57</v>
      </c>
      <c r="F1400" s="75" t="s">
        <v>950</v>
      </c>
      <c r="G1400" s="82">
        <v>46111.0</v>
      </c>
      <c r="H1400" s="76" t="s">
        <v>952</v>
      </c>
      <c r="I1400" s="83"/>
      <c r="J1400" s="83"/>
      <c r="K1400" s="83"/>
      <c r="L1400" s="83"/>
      <c r="M1400" s="83"/>
      <c r="N1400" s="83"/>
      <c r="O1400" s="83"/>
      <c r="P1400" s="83"/>
      <c r="Q1400" s="83"/>
      <c r="R1400" s="83"/>
      <c r="S1400" s="83"/>
      <c r="T1400" s="83"/>
      <c r="U1400" s="83"/>
      <c r="V1400" s="83"/>
      <c r="W1400" s="83"/>
      <c r="X1400" s="83"/>
      <c r="Y1400" s="83"/>
      <c r="Z1400" s="83"/>
    </row>
    <row r="1401">
      <c r="A1401" s="75" t="s">
        <v>34</v>
      </c>
      <c r="B1401" s="75" t="s">
        <v>1001</v>
      </c>
      <c r="C1401" s="75">
        <v>30.25</v>
      </c>
      <c r="D1401" s="75">
        <v>0.0</v>
      </c>
      <c r="E1401" s="75">
        <v>0.0</v>
      </c>
      <c r="F1401" s="75" t="s">
        <v>950</v>
      </c>
      <c r="G1401" s="82">
        <v>46111.0</v>
      </c>
      <c r="H1401" s="76" t="s">
        <v>953</v>
      </c>
      <c r="I1401" s="83"/>
      <c r="J1401" s="83"/>
      <c r="K1401" s="83"/>
      <c r="L1401" s="83"/>
      <c r="M1401" s="83"/>
      <c r="N1401" s="83"/>
      <c r="O1401" s="83"/>
      <c r="P1401" s="83"/>
      <c r="Q1401" s="83"/>
      <c r="R1401" s="83"/>
      <c r="S1401" s="83"/>
      <c r="T1401" s="83"/>
      <c r="U1401" s="83"/>
      <c r="V1401" s="83"/>
      <c r="W1401" s="83"/>
      <c r="X1401" s="83"/>
      <c r="Y1401" s="83"/>
      <c r="Z1401" s="83"/>
    </row>
    <row r="1402">
      <c r="A1402" s="75" t="s">
        <v>40</v>
      </c>
      <c r="B1402" s="75" t="s">
        <v>1001</v>
      </c>
      <c r="C1402" s="75">
        <v>4.1</v>
      </c>
      <c r="D1402" s="75">
        <v>1.0</v>
      </c>
      <c r="E1402" s="75">
        <v>4.1</v>
      </c>
      <c r="F1402" s="75" t="s">
        <v>950</v>
      </c>
      <c r="G1402" s="82">
        <v>46111.0</v>
      </c>
      <c r="H1402" s="76" t="s">
        <v>954</v>
      </c>
      <c r="I1402" s="83"/>
      <c r="J1402" s="83"/>
      <c r="K1402" s="83"/>
      <c r="L1402" s="83"/>
      <c r="M1402" s="83"/>
      <c r="N1402" s="83"/>
      <c r="O1402" s="83"/>
      <c r="P1402" s="83"/>
      <c r="Q1402" s="83"/>
      <c r="R1402" s="83"/>
      <c r="S1402" s="83"/>
      <c r="T1402" s="83"/>
      <c r="U1402" s="83"/>
      <c r="V1402" s="83"/>
      <c r="W1402" s="83"/>
      <c r="X1402" s="83"/>
      <c r="Y1402" s="83"/>
      <c r="Z1402" s="83"/>
    </row>
    <row r="1403">
      <c r="A1403" s="75" t="s">
        <v>40</v>
      </c>
      <c r="B1403" s="75" t="s">
        <v>1001</v>
      </c>
      <c r="C1403" s="75">
        <v>4.49</v>
      </c>
      <c r="D1403" s="75">
        <v>0.0</v>
      </c>
      <c r="E1403" s="75">
        <v>0.0</v>
      </c>
      <c r="F1403" s="75" t="s">
        <v>950</v>
      </c>
      <c r="G1403" s="82">
        <v>46111.0</v>
      </c>
      <c r="H1403" s="76" t="s">
        <v>955</v>
      </c>
      <c r="I1403" s="83"/>
      <c r="J1403" s="83"/>
      <c r="K1403" s="83"/>
      <c r="L1403" s="83"/>
      <c r="M1403" s="83"/>
      <c r="N1403" s="83"/>
      <c r="O1403" s="83"/>
      <c r="P1403" s="83"/>
      <c r="Q1403" s="83"/>
      <c r="R1403" s="83"/>
      <c r="S1403" s="83"/>
      <c r="T1403" s="83"/>
      <c r="U1403" s="83"/>
      <c r="V1403" s="83"/>
      <c r="W1403" s="83"/>
      <c r="X1403" s="83"/>
      <c r="Y1403" s="83"/>
      <c r="Z1403" s="83"/>
    </row>
    <row r="1404">
      <c r="A1404" s="75" t="s">
        <v>40</v>
      </c>
      <c r="B1404" s="75" t="s">
        <v>1001</v>
      </c>
      <c r="C1404" s="75">
        <v>122.11</v>
      </c>
      <c r="D1404" s="75">
        <v>3.0</v>
      </c>
      <c r="E1404" s="75">
        <v>40.7</v>
      </c>
      <c r="F1404" s="75" t="s">
        <v>950</v>
      </c>
      <c r="G1404" s="82">
        <v>46111.0</v>
      </c>
      <c r="H1404" s="76" t="s">
        <v>956</v>
      </c>
      <c r="I1404" s="83"/>
      <c r="J1404" s="83"/>
      <c r="K1404" s="83"/>
      <c r="L1404" s="83"/>
      <c r="M1404" s="83"/>
      <c r="N1404" s="83"/>
      <c r="O1404" s="83"/>
      <c r="P1404" s="83"/>
      <c r="Q1404" s="83"/>
      <c r="R1404" s="83"/>
      <c r="S1404" s="83"/>
      <c r="T1404" s="83"/>
      <c r="U1404" s="83"/>
      <c r="V1404" s="83"/>
      <c r="W1404" s="83"/>
      <c r="X1404" s="83"/>
      <c r="Y1404" s="83"/>
      <c r="Z1404" s="83"/>
    </row>
    <row r="1405">
      <c r="A1405" s="75" t="s">
        <v>33</v>
      </c>
      <c r="B1405" s="75" t="s">
        <v>1001</v>
      </c>
      <c r="C1405" s="75">
        <v>18.33</v>
      </c>
      <c r="D1405" s="75">
        <v>12.0</v>
      </c>
      <c r="E1405" s="75">
        <v>1.53</v>
      </c>
      <c r="F1405" s="75" t="s">
        <v>950</v>
      </c>
      <c r="G1405" s="82">
        <v>46111.0</v>
      </c>
      <c r="H1405" s="76" t="s">
        <v>957</v>
      </c>
      <c r="I1405" s="83"/>
      <c r="J1405" s="83"/>
      <c r="K1405" s="83"/>
      <c r="L1405" s="83"/>
      <c r="M1405" s="83"/>
      <c r="N1405" s="83"/>
      <c r="O1405" s="83"/>
      <c r="P1405" s="83"/>
      <c r="Q1405" s="83"/>
      <c r="R1405" s="83"/>
      <c r="S1405" s="83"/>
      <c r="T1405" s="83"/>
      <c r="U1405" s="83"/>
      <c r="V1405" s="83"/>
      <c r="W1405" s="83"/>
      <c r="X1405" s="83"/>
      <c r="Y1405" s="83"/>
      <c r="Z1405" s="83"/>
    </row>
    <row r="1406">
      <c r="A1406" s="75" t="s">
        <v>33</v>
      </c>
      <c r="B1406" s="75" t="s">
        <v>1001</v>
      </c>
      <c r="C1406" s="75">
        <v>3.9</v>
      </c>
      <c r="D1406" s="75">
        <v>0.0</v>
      </c>
      <c r="E1406" s="75">
        <v>0.0</v>
      </c>
      <c r="F1406" s="75" t="s">
        <v>950</v>
      </c>
      <c r="G1406" s="82">
        <v>46111.0</v>
      </c>
      <c r="H1406" s="76" t="s">
        <v>958</v>
      </c>
      <c r="I1406" s="83"/>
      <c r="J1406" s="83"/>
      <c r="K1406" s="83"/>
      <c r="L1406" s="83"/>
      <c r="M1406" s="83"/>
      <c r="N1406" s="83"/>
      <c r="O1406" s="83"/>
      <c r="P1406" s="83"/>
      <c r="Q1406" s="83"/>
      <c r="R1406" s="83"/>
      <c r="S1406" s="83"/>
      <c r="T1406" s="83"/>
      <c r="U1406" s="83"/>
      <c r="V1406" s="83"/>
      <c r="W1406" s="83"/>
      <c r="X1406" s="83"/>
      <c r="Y1406" s="83"/>
      <c r="Z1406" s="83"/>
    </row>
    <row r="1407">
      <c r="A1407" s="75" t="s">
        <v>33</v>
      </c>
      <c r="B1407" s="75" t="s">
        <v>1001</v>
      </c>
      <c r="C1407" s="75">
        <v>10.4</v>
      </c>
      <c r="D1407" s="75">
        <v>0.0</v>
      </c>
      <c r="E1407" s="75">
        <v>0.0</v>
      </c>
      <c r="F1407" s="75" t="s">
        <v>950</v>
      </c>
      <c r="G1407" s="82">
        <v>46111.0</v>
      </c>
      <c r="H1407" s="76" t="s">
        <v>959</v>
      </c>
      <c r="I1407" s="83"/>
      <c r="J1407" s="83"/>
      <c r="K1407" s="83"/>
      <c r="L1407" s="83"/>
      <c r="M1407" s="83"/>
      <c r="N1407" s="83"/>
      <c r="O1407" s="83"/>
      <c r="P1407" s="83"/>
      <c r="Q1407" s="83"/>
      <c r="R1407" s="83"/>
      <c r="S1407" s="83"/>
      <c r="T1407" s="83"/>
      <c r="U1407" s="83"/>
      <c r="V1407" s="83"/>
      <c r="W1407" s="83"/>
      <c r="X1407" s="83"/>
      <c r="Y1407" s="83"/>
      <c r="Z1407" s="83"/>
    </row>
    <row r="1408">
      <c r="A1408" s="75" t="s">
        <v>46</v>
      </c>
      <c r="B1408" s="75" t="s">
        <v>1001</v>
      </c>
      <c r="C1408" s="75">
        <v>8.72</v>
      </c>
      <c r="D1408" s="75">
        <v>0.0</v>
      </c>
      <c r="E1408" s="75">
        <v>0.0</v>
      </c>
      <c r="F1408" s="75" t="s">
        <v>950</v>
      </c>
      <c r="G1408" s="82">
        <v>46111.0</v>
      </c>
      <c r="H1408" s="76" t="s">
        <v>960</v>
      </c>
      <c r="I1408" s="83"/>
      <c r="J1408" s="83"/>
      <c r="K1408" s="83"/>
      <c r="L1408" s="83"/>
      <c r="M1408" s="83"/>
      <c r="N1408" s="83"/>
      <c r="O1408" s="83"/>
      <c r="P1408" s="83"/>
      <c r="Q1408" s="83"/>
      <c r="R1408" s="83"/>
      <c r="S1408" s="83"/>
      <c r="T1408" s="83"/>
      <c r="U1408" s="83"/>
      <c r="V1408" s="83"/>
      <c r="W1408" s="83"/>
      <c r="X1408" s="83"/>
      <c r="Y1408" s="83"/>
      <c r="Z1408" s="83"/>
    </row>
    <row r="1409">
      <c r="A1409" s="75" t="s">
        <v>46</v>
      </c>
      <c r="B1409" s="75" t="s">
        <v>1001</v>
      </c>
      <c r="C1409" s="75">
        <v>2.33</v>
      </c>
      <c r="D1409" s="75">
        <v>0.0</v>
      </c>
      <c r="E1409" s="75">
        <v>0.0</v>
      </c>
      <c r="F1409" s="75" t="s">
        <v>950</v>
      </c>
      <c r="G1409" s="82">
        <v>46111.0</v>
      </c>
      <c r="H1409" s="76" t="s">
        <v>961</v>
      </c>
      <c r="I1409" s="83"/>
      <c r="J1409" s="83"/>
      <c r="K1409" s="83"/>
      <c r="L1409" s="83"/>
      <c r="M1409" s="83"/>
      <c r="N1409" s="83"/>
      <c r="O1409" s="83"/>
      <c r="P1409" s="83"/>
      <c r="Q1409" s="83"/>
      <c r="R1409" s="83"/>
      <c r="S1409" s="83"/>
      <c r="T1409" s="83"/>
      <c r="U1409" s="83"/>
      <c r="V1409" s="83"/>
      <c r="W1409" s="83"/>
      <c r="X1409" s="83"/>
      <c r="Y1409" s="83"/>
      <c r="Z1409" s="83"/>
    </row>
    <row r="1410">
      <c r="A1410" s="75" t="s">
        <v>46</v>
      </c>
      <c r="B1410" s="75" t="s">
        <v>1001</v>
      </c>
      <c r="C1410" s="75">
        <v>8.29</v>
      </c>
      <c r="D1410" s="75">
        <v>0.0</v>
      </c>
      <c r="E1410" s="75">
        <v>0.0</v>
      </c>
      <c r="F1410" s="75" t="s">
        <v>950</v>
      </c>
      <c r="G1410" s="82">
        <v>46111.0</v>
      </c>
      <c r="H1410" s="76" t="s">
        <v>962</v>
      </c>
      <c r="I1410" s="83"/>
      <c r="J1410" s="83"/>
      <c r="K1410" s="83"/>
      <c r="L1410" s="83"/>
      <c r="M1410" s="83"/>
      <c r="N1410" s="83"/>
      <c r="O1410" s="83"/>
      <c r="P1410" s="83"/>
      <c r="Q1410" s="83"/>
      <c r="R1410" s="83"/>
      <c r="S1410" s="83"/>
      <c r="T1410" s="83"/>
      <c r="U1410" s="83"/>
      <c r="V1410" s="83"/>
      <c r="W1410" s="83"/>
      <c r="X1410" s="83"/>
      <c r="Y1410" s="83"/>
      <c r="Z1410" s="83"/>
    </row>
    <row r="1411">
      <c r="A1411" s="75" t="s">
        <v>43</v>
      </c>
      <c r="B1411" s="75" t="s">
        <v>1001</v>
      </c>
      <c r="C1411" s="75">
        <v>74.47</v>
      </c>
      <c r="D1411" s="75">
        <v>2.0</v>
      </c>
      <c r="E1411" s="75">
        <v>37.23</v>
      </c>
      <c r="F1411" s="75" t="s">
        <v>950</v>
      </c>
      <c r="G1411" s="82">
        <v>46111.0</v>
      </c>
      <c r="H1411" s="76" t="s">
        <v>963</v>
      </c>
      <c r="I1411" s="83"/>
      <c r="J1411" s="83"/>
      <c r="K1411" s="83"/>
      <c r="L1411" s="83"/>
      <c r="M1411" s="83"/>
      <c r="N1411" s="83"/>
      <c r="O1411" s="83"/>
      <c r="P1411" s="83"/>
      <c r="Q1411" s="83"/>
      <c r="R1411" s="83"/>
      <c r="S1411" s="83"/>
      <c r="T1411" s="83"/>
      <c r="U1411" s="83"/>
      <c r="V1411" s="83"/>
      <c r="W1411" s="83"/>
      <c r="X1411" s="83"/>
      <c r="Y1411" s="83"/>
      <c r="Z1411" s="83"/>
    </row>
    <row r="1412">
      <c r="A1412" s="75" t="s">
        <v>43</v>
      </c>
      <c r="B1412" s="75" t="s">
        <v>1001</v>
      </c>
      <c r="C1412" s="75">
        <v>11.84</v>
      </c>
      <c r="D1412" s="75">
        <v>2.0</v>
      </c>
      <c r="E1412" s="75">
        <v>5.92</v>
      </c>
      <c r="F1412" s="75" t="s">
        <v>950</v>
      </c>
      <c r="G1412" s="82">
        <v>46111.0</v>
      </c>
      <c r="H1412" s="76" t="s">
        <v>964</v>
      </c>
      <c r="I1412" s="83"/>
      <c r="J1412" s="83"/>
      <c r="K1412" s="83"/>
      <c r="L1412" s="83"/>
      <c r="M1412" s="83"/>
      <c r="N1412" s="83"/>
      <c r="O1412" s="83"/>
      <c r="P1412" s="83"/>
      <c r="Q1412" s="83"/>
      <c r="R1412" s="83"/>
      <c r="S1412" s="83"/>
      <c r="T1412" s="83"/>
      <c r="U1412" s="83"/>
      <c r="V1412" s="83"/>
      <c r="W1412" s="83"/>
      <c r="X1412" s="83"/>
      <c r="Y1412" s="83"/>
      <c r="Z1412" s="83"/>
    </row>
    <row r="1413">
      <c r="A1413" s="75" t="s">
        <v>43</v>
      </c>
      <c r="B1413" s="75" t="s">
        <v>1001</v>
      </c>
      <c r="C1413" s="75">
        <v>56.09</v>
      </c>
      <c r="D1413" s="75">
        <v>3.0</v>
      </c>
      <c r="E1413" s="75">
        <v>18.7</v>
      </c>
      <c r="F1413" s="75" t="s">
        <v>950</v>
      </c>
      <c r="G1413" s="82">
        <v>46111.0</v>
      </c>
      <c r="H1413" s="76" t="s">
        <v>965</v>
      </c>
      <c r="I1413" s="83"/>
      <c r="J1413" s="83"/>
      <c r="K1413" s="83"/>
      <c r="L1413" s="83"/>
      <c r="M1413" s="83"/>
      <c r="N1413" s="83"/>
      <c r="O1413" s="83"/>
      <c r="P1413" s="83"/>
      <c r="Q1413" s="83"/>
      <c r="R1413" s="83"/>
      <c r="S1413" s="83"/>
      <c r="T1413" s="83"/>
      <c r="U1413" s="83"/>
      <c r="V1413" s="83"/>
      <c r="W1413" s="83"/>
      <c r="X1413" s="83"/>
      <c r="Y1413" s="83"/>
      <c r="Z1413" s="83"/>
    </row>
    <row r="1414">
      <c r="A1414" s="75" t="s">
        <v>966</v>
      </c>
      <c r="B1414" s="75" t="s">
        <v>1001</v>
      </c>
      <c r="C1414" s="75">
        <v>12.65</v>
      </c>
      <c r="D1414" s="75">
        <v>1.0</v>
      </c>
      <c r="E1414" s="75">
        <v>12.65</v>
      </c>
      <c r="F1414" s="75" t="s">
        <v>950</v>
      </c>
      <c r="G1414" s="82">
        <v>46111.0</v>
      </c>
      <c r="H1414" s="76" t="s">
        <v>967</v>
      </c>
      <c r="I1414" s="83"/>
      <c r="J1414" s="83"/>
      <c r="K1414" s="83"/>
      <c r="L1414" s="83"/>
      <c r="M1414" s="83"/>
      <c r="N1414" s="83"/>
      <c r="O1414" s="83"/>
      <c r="P1414" s="83"/>
      <c r="Q1414" s="83"/>
      <c r="R1414" s="83"/>
      <c r="S1414" s="83"/>
      <c r="T1414" s="83"/>
      <c r="U1414" s="83"/>
      <c r="V1414" s="83"/>
      <c r="W1414" s="83"/>
      <c r="X1414" s="83"/>
      <c r="Y1414" s="83"/>
      <c r="Z1414" s="83"/>
    </row>
    <row r="1415">
      <c r="A1415" s="75" t="s">
        <v>966</v>
      </c>
      <c r="B1415" s="75" t="s">
        <v>1001</v>
      </c>
      <c r="C1415" s="75">
        <v>5.3</v>
      </c>
      <c r="D1415" s="75">
        <v>0.0</v>
      </c>
      <c r="E1415" s="75">
        <v>0.0</v>
      </c>
      <c r="F1415" s="75" t="s">
        <v>950</v>
      </c>
      <c r="G1415" s="82">
        <v>46111.0</v>
      </c>
      <c r="H1415" s="76" t="s">
        <v>968</v>
      </c>
      <c r="I1415" s="83"/>
      <c r="J1415" s="83"/>
      <c r="K1415" s="83"/>
      <c r="L1415" s="83"/>
      <c r="M1415" s="83"/>
      <c r="N1415" s="83"/>
      <c r="O1415" s="83"/>
      <c r="P1415" s="83"/>
      <c r="Q1415" s="83"/>
      <c r="R1415" s="83"/>
      <c r="S1415" s="83"/>
      <c r="T1415" s="83"/>
      <c r="U1415" s="83"/>
      <c r="V1415" s="83"/>
      <c r="W1415" s="83"/>
      <c r="X1415" s="83"/>
      <c r="Y1415" s="83"/>
      <c r="Z1415" s="83"/>
    </row>
    <row r="1416">
      <c r="A1416" s="75" t="s">
        <v>966</v>
      </c>
      <c r="B1416" s="75" t="s">
        <v>1001</v>
      </c>
      <c r="C1416" s="75">
        <v>3.83</v>
      </c>
      <c r="D1416" s="75">
        <v>0.0</v>
      </c>
      <c r="E1416" s="75">
        <v>0.0</v>
      </c>
      <c r="F1416" s="75" t="s">
        <v>950</v>
      </c>
      <c r="G1416" s="82">
        <v>46111.0</v>
      </c>
      <c r="H1416" s="76" t="s">
        <v>969</v>
      </c>
      <c r="I1416" s="83"/>
      <c r="J1416" s="83"/>
      <c r="K1416" s="83"/>
      <c r="L1416" s="83"/>
      <c r="M1416" s="83"/>
      <c r="N1416" s="83"/>
      <c r="O1416" s="83"/>
      <c r="P1416" s="83"/>
      <c r="Q1416" s="83"/>
      <c r="R1416" s="83"/>
      <c r="S1416" s="83"/>
      <c r="T1416" s="83"/>
      <c r="U1416" s="83"/>
      <c r="V1416" s="83"/>
      <c r="W1416" s="83"/>
      <c r="X1416" s="83"/>
      <c r="Y1416" s="83"/>
      <c r="Z1416" s="83"/>
    </row>
    <row r="1417">
      <c r="A1417" s="75" t="s">
        <v>36</v>
      </c>
      <c r="B1417" s="75" t="s">
        <v>1001</v>
      </c>
      <c r="C1417" s="75">
        <v>19.78</v>
      </c>
      <c r="D1417" s="75">
        <v>1.0</v>
      </c>
      <c r="E1417" s="75">
        <v>19.78</v>
      </c>
      <c r="F1417" s="75" t="s">
        <v>950</v>
      </c>
      <c r="G1417" s="82">
        <v>46111.0</v>
      </c>
      <c r="H1417" s="76" t="s">
        <v>926</v>
      </c>
      <c r="I1417" s="83"/>
      <c r="J1417" s="83"/>
      <c r="K1417" s="83"/>
      <c r="L1417" s="83"/>
      <c r="M1417" s="83"/>
      <c r="N1417" s="83"/>
      <c r="O1417" s="83"/>
      <c r="P1417" s="83"/>
      <c r="Q1417" s="83"/>
      <c r="R1417" s="83"/>
      <c r="S1417" s="83"/>
      <c r="T1417" s="83"/>
      <c r="U1417" s="83"/>
      <c r="V1417" s="83"/>
      <c r="W1417" s="83"/>
      <c r="X1417" s="83"/>
      <c r="Y1417" s="83"/>
      <c r="Z1417" s="83"/>
    </row>
    <row r="1418">
      <c r="A1418" s="75" t="s">
        <v>36</v>
      </c>
      <c r="B1418" s="75" t="s">
        <v>1001</v>
      </c>
      <c r="C1418" s="75">
        <v>4.77</v>
      </c>
      <c r="D1418" s="75">
        <v>0.0</v>
      </c>
      <c r="E1418" s="75">
        <v>0.0</v>
      </c>
      <c r="F1418" s="75" t="s">
        <v>950</v>
      </c>
      <c r="G1418" s="82">
        <v>46111.0</v>
      </c>
      <c r="H1418" s="76" t="s">
        <v>927</v>
      </c>
      <c r="I1418" s="83"/>
      <c r="J1418" s="83"/>
      <c r="K1418" s="83"/>
      <c r="L1418" s="83"/>
      <c r="M1418" s="83"/>
      <c r="N1418" s="83"/>
      <c r="O1418" s="83"/>
      <c r="P1418" s="83"/>
      <c r="Q1418" s="83"/>
      <c r="R1418" s="83"/>
      <c r="S1418" s="83"/>
      <c r="T1418" s="83"/>
      <c r="U1418" s="83"/>
      <c r="V1418" s="83"/>
      <c r="W1418" s="83"/>
      <c r="X1418" s="83"/>
      <c r="Y1418" s="83"/>
      <c r="Z1418" s="83"/>
    </row>
    <row r="1419">
      <c r="A1419" s="75" t="s">
        <v>36</v>
      </c>
      <c r="B1419" s="75" t="s">
        <v>1001</v>
      </c>
      <c r="C1419" s="75">
        <v>5.82</v>
      </c>
      <c r="D1419" s="75">
        <v>0.0</v>
      </c>
      <c r="E1419" s="75">
        <v>0.0</v>
      </c>
      <c r="F1419" s="75" t="s">
        <v>950</v>
      </c>
      <c r="G1419" s="82">
        <v>46111.0</v>
      </c>
      <c r="H1419" s="76" t="s">
        <v>928</v>
      </c>
      <c r="I1419" s="83"/>
      <c r="J1419" s="83"/>
      <c r="K1419" s="83"/>
      <c r="L1419" s="83"/>
      <c r="M1419" s="83"/>
      <c r="N1419" s="83"/>
      <c r="O1419" s="83"/>
      <c r="P1419" s="83"/>
      <c r="Q1419" s="83"/>
      <c r="R1419" s="83"/>
      <c r="S1419" s="83"/>
      <c r="T1419" s="83"/>
      <c r="U1419" s="83"/>
      <c r="V1419" s="83"/>
      <c r="W1419" s="83"/>
      <c r="X1419" s="83"/>
      <c r="Y1419" s="83"/>
      <c r="Z1419" s="83"/>
    </row>
    <row r="1420">
      <c r="A1420" s="75" t="s">
        <v>970</v>
      </c>
      <c r="B1420" s="75" t="s">
        <v>1001</v>
      </c>
      <c r="C1420" s="75">
        <v>11.52</v>
      </c>
      <c r="D1420" s="75">
        <v>5.0</v>
      </c>
      <c r="E1420" s="75">
        <v>2.3</v>
      </c>
      <c r="F1420" s="75" t="s">
        <v>950</v>
      </c>
      <c r="G1420" s="82">
        <v>46111.0</v>
      </c>
      <c r="H1420" s="76" t="s">
        <v>971</v>
      </c>
      <c r="I1420" s="83"/>
      <c r="J1420" s="83"/>
      <c r="K1420" s="83"/>
      <c r="L1420" s="83"/>
      <c r="M1420" s="83"/>
      <c r="N1420" s="83"/>
      <c r="O1420" s="83"/>
      <c r="P1420" s="83"/>
      <c r="Q1420" s="83"/>
      <c r="R1420" s="83"/>
      <c r="S1420" s="83"/>
      <c r="T1420" s="83"/>
      <c r="U1420" s="83"/>
      <c r="V1420" s="83"/>
      <c r="W1420" s="83"/>
      <c r="X1420" s="83"/>
      <c r="Y1420" s="83"/>
      <c r="Z1420" s="83"/>
    </row>
    <row r="1421">
      <c r="A1421" s="75" t="s">
        <v>970</v>
      </c>
      <c r="B1421" s="75" t="s">
        <v>1001</v>
      </c>
      <c r="C1421" s="75">
        <v>5.08</v>
      </c>
      <c r="D1421" s="75">
        <v>1.0</v>
      </c>
      <c r="E1421" s="75">
        <v>5.08</v>
      </c>
      <c r="F1421" s="75" t="s">
        <v>950</v>
      </c>
      <c r="G1421" s="82">
        <v>46111.0</v>
      </c>
      <c r="H1421" s="76" t="s">
        <v>972</v>
      </c>
      <c r="I1421" s="83"/>
      <c r="J1421" s="83"/>
      <c r="K1421" s="83"/>
      <c r="L1421" s="83"/>
      <c r="M1421" s="83"/>
      <c r="N1421" s="83"/>
      <c r="O1421" s="83"/>
      <c r="P1421" s="83"/>
      <c r="Q1421" s="83"/>
      <c r="R1421" s="83"/>
      <c r="S1421" s="83"/>
      <c r="T1421" s="83"/>
      <c r="U1421" s="83"/>
      <c r="V1421" s="83"/>
      <c r="W1421" s="83"/>
      <c r="X1421" s="83"/>
      <c r="Y1421" s="83"/>
      <c r="Z1421" s="83"/>
    </row>
    <row r="1422">
      <c r="A1422" s="75" t="s">
        <v>970</v>
      </c>
      <c r="B1422" s="75" t="s">
        <v>1001</v>
      </c>
      <c r="C1422" s="75">
        <v>24.0</v>
      </c>
      <c r="D1422" s="75">
        <v>4.0</v>
      </c>
      <c r="E1422" s="75">
        <v>6.0</v>
      </c>
      <c r="F1422" s="75" t="s">
        <v>950</v>
      </c>
      <c r="G1422" s="82">
        <v>46111.0</v>
      </c>
      <c r="H1422" s="76" t="s">
        <v>973</v>
      </c>
      <c r="I1422" s="83"/>
      <c r="J1422" s="83"/>
      <c r="K1422" s="83"/>
      <c r="L1422" s="83"/>
      <c r="M1422" s="83"/>
      <c r="N1422" s="83"/>
      <c r="O1422" s="83"/>
      <c r="P1422" s="83"/>
      <c r="Q1422" s="83"/>
      <c r="R1422" s="83"/>
      <c r="S1422" s="83"/>
      <c r="T1422" s="83"/>
      <c r="U1422" s="83"/>
      <c r="V1422" s="83"/>
      <c r="W1422" s="83"/>
      <c r="X1422" s="83"/>
      <c r="Y1422" s="83"/>
      <c r="Z1422" s="83"/>
    </row>
    <row r="1423">
      <c r="A1423" s="75" t="s">
        <v>29</v>
      </c>
      <c r="B1423" s="75" t="s">
        <v>1001</v>
      </c>
      <c r="C1423" s="75">
        <v>0.85</v>
      </c>
      <c r="D1423" s="75">
        <v>0.0</v>
      </c>
      <c r="E1423" s="75">
        <v>0.0</v>
      </c>
      <c r="F1423" s="75" t="s">
        <v>950</v>
      </c>
      <c r="G1423" s="82">
        <v>46111.0</v>
      </c>
      <c r="H1423" s="76" t="s">
        <v>971</v>
      </c>
      <c r="I1423" s="83"/>
      <c r="J1423" s="83"/>
      <c r="K1423" s="83"/>
      <c r="L1423" s="83"/>
      <c r="M1423" s="83"/>
      <c r="N1423" s="83"/>
      <c r="O1423" s="83"/>
      <c r="P1423" s="83"/>
      <c r="Q1423" s="83"/>
      <c r="R1423" s="83"/>
      <c r="S1423" s="83"/>
      <c r="T1423" s="83"/>
      <c r="U1423" s="83"/>
      <c r="V1423" s="83"/>
      <c r="W1423" s="83"/>
      <c r="X1423" s="83"/>
      <c r="Y1423" s="83"/>
      <c r="Z1423" s="83"/>
    </row>
    <row r="1424">
      <c r="A1424" s="75" t="s">
        <v>29</v>
      </c>
      <c r="B1424" s="75" t="s">
        <v>1001</v>
      </c>
      <c r="C1424" s="75">
        <v>0.11</v>
      </c>
      <c r="D1424" s="75">
        <v>0.0</v>
      </c>
      <c r="E1424" s="75">
        <v>0.0</v>
      </c>
      <c r="F1424" s="75" t="s">
        <v>950</v>
      </c>
      <c r="G1424" s="82">
        <v>46111.0</v>
      </c>
      <c r="H1424" s="76" t="s">
        <v>972</v>
      </c>
      <c r="I1424" s="83"/>
      <c r="J1424" s="83"/>
      <c r="K1424" s="83"/>
      <c r="L1424" s="83"/>
      <c r="M1424" s="83"/>
      <c r="N1424" s="83"/>
      <c r="O1424" s="83"/>
      <c r="P1424" s="83"/>
      <c r="Q1424" s="83"/>
      <c r="R1424" s="83"/>
      <c r="S1424" s="83"/>
      <c r="T1424" s="83"/>
      <c r="U1424" s="83"/>
      <c r="V1424" s="83"/>
      <c r="W1424" s="83"/>
      <c r="X1424" s="83"/>
      <c r="Y1424" s="83"/>
      <c r="Z1424" s="83"/>
    </row>
    <row r="1425">
      <c r="A1425" s="75" t="s">
        <v>29</v>
      </c>
      <c r="B1425" s="75" t="s">
        <v>1001</v>
      </c>
      <c r="C1425" s="75">
        <v>0.39</v>
      </c>
      <c r="D1425" s="75">
        <v>0.0</v>
      </c>
      <c r="E1425" s="75">
        <v>0.0</v>
      </c>
      <c r="F1425" s="75" t="s">
        <v>950</v>
      </c>
      <c r="G1425" s="82">
        <v>46111.0</v>
      </c>
      <c r="H1425" s="76" t="s">
        <v>973</v>
      </c>
      <c r="I1425" s="83"/>
      <c r="J1425" s="83"/>
      <c r="K1425" s="83"/>
      <c r="L1425" s="83"/>
      <c r="M1425" s="83"/>
      <c r="N1425" s="83"/>
      <c r="O1425" s="83"/>
      <c r="P1425" s="83"/>
      <c r="Q1425" s="83"/>
      <c r="R1425" s="83"/>
      <c r="S1425" s="83"/>
      <c r="T1425" s="83"/>
      <c r="U1425" s="83"/>
      <c r="V1425" s="83"/>
      <c r="W1425" s="83"/>
      <c r="X1425" s="83"/>
      <c r="Y1425" s="83"/>
      <c r="Z1425" s="83"/>
    </row>
    <row r="1426">
      <c r="A1426" s="75" t="s">
        <v>34</v>
      </c>
      <c r="B1426" s="75" t="s">
        <v>1001</v>
      </c>
      <c r="C1426" s="75">
        <v>39.5</v>
      </c>
      <c r="D1426" s="75">
        <v>1.0</v>
      </c>
      <c r="E1426" s="75">
        <v>39.5</v>
      </c>
      <c r="F1426" s="75" t="s">
        <v>974</v>
      </c>
      <c r="G1426" s="82">
        <v>46111.0</v>
      </c>
      <c r="H1426" s="76" t="s">
        <v>951</v>
      </c>
      <c r="I1426" s="83"/>
      <c r="J1426" s="83"/>
      <c r="K1426" s="83"/>
      <c r="L1426" s="83"/>
      <c r="M1426" s="83"/>
      <c r="N1426" s="83"/>
      <c r="O1426" s="83"/>
      <c r="P1426" s="83"/>
      <c r="Q1426" s="83"/>
      <c r="R1426" s="83"/>
      <c r="S1426" s="83"/>
      <c r="T1426" s="83"/>
      <c r="U1426" s="83"/>
      <c r="V1426" s="83"/>
      <c r="W1426" s="83"/>
      <c r="X1426" s="83"/>
      <c r="Y1426" s="83"/>
      <c r="Z1426" s="83"/>
    </row>
    <row r="1427">
      <c r="A1427" s="75" t="s">
        <v>34</v>
      </c>
      <c r="B1427" s="75" t="s">
        <v>1001</v>
      </c>
      <c r="C1427" s="75">
        <v>26.74</v>
      </c>
      <c r="D1427" s="75">
        <v>2.0</v>
      </c>
      <c r="E1427" s="75">
        <v>13.37</v>
      </c>
      <c r="F1427" s="75" t="s">
        <v>974</v>
      </c>
      <c r="G1427" s="82">
        <v>46111.0</v>
      </c>
      <c r="H1427" s="76" t="s">
        <v>952</v>
      </c>
      <c r="I1427" s="83"/>
      <c r="J1427" s="83"/>
      <c r="K1427" s="83"/>
      <c r="L1427" s="83"/>
      <c r="M1427" s="83"/>
      <c r="N1427" s="83"/>
      <c r="O1427" s="83"/>
      <c r="P1427" s="83"/>
      <c r="Q1427" s="83"/>
      <c r="R1427" s="83"/>
      <c r="S1427" s="83"/>
      <c r="T1427" s="83"/>
      <c r="U1427" s="83"/>
      <c r="V1427" s="83"/>
      <c r="W1427" s="83"/>
      <c r="X1427" s="83"/>
      <c r="Y1427" s="83"/>
      <c r="Z1427" s="83"/>
    </row>
    <row r="1428">
      <c r="A1428" s="75" t="s">
        <v>34</v>
      </c>
      <c r="B1428" s="75" t="s">
        <v>1001</v>
      </c>
      <c r="C1428" s="75">
        <v>37.48</v>
      </c>
      <c r="D1428" s="75">
        <v>0.0</v>
      </c>
      <c r="E1428" s="75">
        <v>0.0</v>
      </c>
      <c r="F1428" s="75" t="s">
        <v>974</v>
      </c>
      <c r="G1428" s="82">
        <v>46111.0</v>
      </c>
      <c r="H1428" s="76" t="s">
        <v>953</v>
      </c>
      <c r="I1428" s="83"/>
      <c r="J1428" s="83"/>
      <c r="K1428" s="83"/>
      <c r="L1428" s="83"/>
      <c r="M1428" s="83"/>
      <c r="N1428" s="83"/>
      <c r="O1428" s="83"/>
      <c r="P1428" s="83"/>
      <c r="Q1428" s="83"/>
      <c r="R1428" s="83"/>
      <c r="S1428" s="83"/>
      <c r="T1428" s="83"/>
      <c r="U1428" s="83"/>
      <c r="V1428" s="83"/>
      <c r="W1428" s="83"/>
      <c r="X1428" s="83"/>
      <c r="Y1428" s="83"/>
      <c r="Z1428" s="83"/>
    </row>
    <row r="1429">
      <c r="A1429" s="75" t="s">
        <v>40</v>
      </c>
      <c r="B1429" s="75" t="s">
        <v>1001</v>
      </c>
      <c r="C1429" s="75">
        <v>3.19</v>
      </c>
      <c r="D1429" s="75">
        <v>0.0</v>
      </c>
      <c r="E1429" s="75">
        <v>0.0</v>
      </c>
      <c r="F1429" s="75" t="s">
        <v>974</v>
      </c>
      <c r="G1429" s="82">
        <v>46111.0</v>
      </c>
      <c r="H1429" s="76" t="s">
        <v>954</v>
      </c>
      <c r="I1429" s="83"/>
      <c r="J1429" s="83"/>
      <c r="K1429" s="83"/>
      <c r="L1429" s="83"/>
      <c r="M1429" s="83"/>
      <c r="N1429" s="83"/>
      <c r="O1429" s="83"/>
      <c r="P1429" s="83"/>
      <c r="Q1429" s="83"/>
      <c r="R1429" s="83"/>
      <c r="S1429" s="83"/>
      <c r="T1429" s="83"/>
      <c r="U1429" s="83"/>
      <c r="V1429" s="83"/>
      <c r="W1429" s="83"/>
      <c r="X1429" s="83"/>
      <c r="Y1429" s="83"/>
      <c r="Z1429" s="83"/>
    </row>
    <row r="1430">
      <c r="A1430" s="75" t="s">
        <v>40</v>
      </c>
      <c r="B1430" s="75" t="s">
        <v>1001</v>
      </c>
      <c r="C1430" s="75">
        <v>2.41</v>
      </c>
      <c r="D1430" s="75">
        <v>0.0</v>
      </c>
      <c r="E1430" s="75">
        <v>0.0</v>
      </c>
      <c r="F1430" s="75" t="s">
        <v>974</v>
      </c>
      <c r="G1430" s="82">
        <v>46111.0</v>
      </c>
      <c r="H1430" s="76" t="s">
        <v>955</v>
      </c>
      <c r="I1430" s="83"/>
      <c r="J1430" s="83"/>
      <c r="K1430" s="83"/>
      <c r="L1430" s="83"/>
      <c r="M1430" s="83"/>
      <c r="N1430" s="83"/>
      <c r="O1430" s="83"/>
      <c r="P1430" s="83"/>
      <c r="Q1430" s="83"/>
      <c r="R1430" s="83"/>
      <c r="S1430" s="83"/>
      <c r="T1430" s="83"/>
      <c r="U1430" s="83"/>
      <c r="V1430" s="83"/>
      <c r="W1430" s="83"/>
      <c r="X1430" s="83"/>
      <c r="Y1430" s="83"/>
      <c r="Z1430" s="83"/>
    </row>
    <row r="1431">
      <c r="A1431" s="75" t="s">
        <v>40</v>
      </c>
      <c r="B1431" s="75" t="s">
        <v>1001</v>
      </c>
      <c r="C1431" s="75">
        <v>57.1</v>
      </c>
      <c r="D1431" s="75">
        <v>1.0</v>
      </c>
      <c r="E1431" s="75">
        <v>57.1</v>
      </c>
      <c r="F1431" s="75" t="s">
        <v>974</v>
      </c>
      <c r="G1431" s="82">
        <v>46111.0</v>
      </c>
      <c r="H1431" s="76" t="s">
        <v>956</v>
      </c>
      <c r="I1431" s="83"/>
      <c r="J1431" s="83"/>
      <c r="K1431" s="83"/>
      <c r="L1431" s="83"/>
      <c r="M1431" s="83"/>
      <c r="N1431" s="83"/>
      <c r="O1431" s="83"/>
      <c r="P1431" s="83"/>
      <c r="Q1431" s="83"/>
      <c r="R1431" s="83"/>
      <c r="S1431" s="83"/>
      <c r="T1431" s="83"/>
      <c r="U1431" s="83"/>
      <c r="V1431" s="83"/>
      <c r="W1431" s="83"/>
      <c r="X1431" s="83"/>
      <c r="Y1431" s="83"/>
      <c r="Z1431" s="83"/>
    </row>
    <row r="1432">
      <c r="A1432" s="75" t="s">
        <v>33</v>
      </c>
      <c r="B1432" s="75" t="s">
        <v>1001</v>
      </c>
      <c r="C1432" s="75">
        <v>9.03</v>
      </c>
      <c r="D1432" s="75">
        <v>3.0</v>
      </c>
      <c r="E1432" s="75">
        <v>3.01</v>
      </c>
      <c r="F1432" s="75" t="s">
        <v>974</v>
      </c>
      <c r="G1432" s="82">
        <v>46111.0</v>
      </c>
      <c r="H1432" s="76" t="s">
        <v>957</v>
      </c>
      <c r="I1432" s="83"/>
      <c r="J1432" s="83"/>
      <c r="K1432" s="83"/>
      <c r="L1432" s="83"/>
      <c r="M1432" s="83"/>
      <c r="N1432" s="83"/>
      <c r="O1432" s="83"/>
      <c r="P1432" s="83"/>
      <c r="Q1432" s="83"/>
      <c r="R1432" s="83"/>
      <c r="S1432" s="83"/>
      <c r="T1432" s="83"/>
      <c r="U1432" s="83"/>
      <c r="V1432" s="83"/>
      <c r="W1432" s="83"/>
      <c r="X1432" s="83"/>
      <c r="Y1432" s="83"/>
      <c r="Z1432" s="83"/>
    </row>
    <row r="1433">
      <c r="A1433" s="75" t="s">
        <v>33</v>
      </c>
      <c r="B1433" s="75" t="s">
        <v>1001</v>
      </c>
      <c r="C1433" s="75">
        <v>2.72</v>
      </c>
      <c r="D1433" s="75">
        <v>2.0</v>
      </c>
      <c r="E1433" s="75">
        <v>1.36</v>
      </c>
      <c r="F1433" s="75" t="s">
        <v>974</v>
      </c>
      <c r="G1433" s="82">
        <v>46111.0</v>
      </c>
      <c r="H1433" s="76" t="s">
        <v>958</v>
      </c>
      <c r="I1433" s="83"/>
      <c r="J1433" s="83"/>
      <c r="K1433" s="83"/>
      <c r="L1433" s="83"/>
      <c r="M1433" s="83"/>
      <c r="N1433" s="83"/>
      <c r="O1433" s="83"/>
      <c r="P1433" s="83"/>
      <c r="Q1433" s="83"/>
      <c r="R1433" s="83"/>
      <c r="S1433" s="83"/>
      <c r="T1433" s="83"/>
      <c r="U1433" s="83"/>
      <c r="V1433" s="83"/>
      <c r="W1433" s="83"/>
      <c r="X1433" s="83"/>
      <c r="Y1433" s="83"/>
      <c r="Z1433" s="83"/>
    </row>
    <row r="1434">
      <c r="A1434" s="75" t="s">
        <v>33</v>
      </c>
      <c r="B1434" s="75" t="s">
        <v>1001</v>
      </c>
      <c r="C1434" s="75">
        <v>9.2</v>
      </c>
      <c r="D1434" s="75">
        <v>2.0</v>
      </c>
      <c r="E1434" s="75">
        <v>4.6</v>
      </c>
      <c r="F1434" s="75" t="s">
        <v>974</v>
      </c>
      <c r="G1434" s="82">
        <v>46111.0</v>
      </c>
      <c r="H1434" s="76" t="s">
        <v>959</v>
      </c>
      <c r="I1434" s="83"/>
      <c r="J1434" s="83"/>
      <c r="K1434" s="83"/>
      <c r="L1434" s="83"/>
      <c r="M1434" s="83"/>
      <c r="N1434" s="83"/>
      <c r="O1434" s="83"/>
      <c r="P1434" s="83"/>
      <c r="Q1434" s="83"/>
      <c r="R1434" s="83"/>
      <c r="S1434" s="83"/>
      <c r="T1434" s="83"/>
      <c r="U1434" s="83"/>
      <c r="V1434" s="83"/>
      <c r="W1434" s="83"/>
      <c r="X1434" s="83"/>
      <c r="Y1434" s="83"/>
      <c r="Z1434" s="83"/>
    </row>
    <row r="1435">
      <c r="A1435" s="75" t="s">
        <v>46</v>
      </c>
      <c r="B1435" s="75" t="s">
        <v>1001</v>
      </c>
      <c r="C1435" s="75">
        <v>6.32</v>
      </c>
      <c r="D1435" s="75">
        <v>0.0</v>
      </c>
      <c r="E1435" s="75">
        <v>0.0</v>
      </c>
      <c r="F1435" s="75" t="s">
        <v>974</v>
      </c>
      <c r="G1435" s="82">
        <v>46111.0</v>
      </c>
      <c r="H1435" s="76" t="s">
        <v>960</v>
      </c>
      <c r="I1435" s="83"/>
      <c r="J1435" s="83"/>
      <c r="K1435" s="83"/>
      <c r="L1435" s="83"/>
      <c r="M1435" s="83"/>
      <c r="N1435" s="83"/>
      <c r="O1435" s="83"/>
      <c r="P1435" s="83"/>
      <c r="Q1435" s="83"/>
      <c r="R1435" s="83"/>
      <c r="S1435" s="83"/>
      <c r="T1435" s="83"/>
      <c r="U1435" s="83"/>
      <c r="V1435" s="83"/>
      <c r="W1435" s="83"/>
      <c r="X1435" s="83"/>
      <c r="Y1435" s="83"/>
      <c r="Z1435" s="83"/>
    </row>
    <row r="1436">
      <c r="A1436" s="75" t="s">
        <v>46</v>
      </c>
      <c r="B1436" s="75" t="s">
        <v>1001</v>
      </c>
      <c r="C1436" s="75">
        <v>1.86</v>
      </c>
      <c r="D1436" s="75">
        <v>0.0</v>
      </c>
      <c r="E1436" s="75">
        <v>0.0</v>
      </c>
      <c r="F1436" s="75" t="s">
        <v>974</v>
      </c>
      <c r="G1436" s="82">
        <v>46111.0</v>
      </c>
      <c r="H1436" s="76" t="s">
        <v>961</v>
      </c>
      <c r="I1436" s="83"/>
      <c r="J1436" s="83"/>
      <c r="K1436" s="83"/>
      <c r="L1436" s="83"/>
      <c r="M1436" s="83"/>
      <c r="N1436" s="83"/>
      <c r="O1436" s="83"/>
      <c r="P1436" s="83"/>
      <c r="Q1436" s="83"/>
      <c r="R1436" s="83"/>
      <c r="S1436" s="83"/>
      <c r="T1436" s="83"/>
      <c r="U1436" s="83"/>
      <c r="V1436" s="83"/>
      <c r="W1436" s="83"/>
      <c r="X1436" s="83"/>
      <c r="Y1436" s="83"/>
      <c r="Z1436" s="83"/>
    </row>
    <row r="1437">
      <c r="A1437" s="75" t="s">
        <v>46</v>
      </c>
      <c r="B1437" s="75" t="s">
        <v>1001</v>
      </c>
      <c r="C1437" s="75">
        <v>7.12</v>
      </c>
      <c r="D1437" s="75">
        <v>0.0</v>
      </c>
      <c r="E1437" s="75">
        <v>0.0</v>
      </c>
      <c r="F1437" s="75" t="s">
        <v>974</v>
      </c>
      <c r="G1437" s="82">
        <v>46111.0</v>
      </c>
      <c r="H1437" s="76" t="s">
        <v>962</v>
      </c>
      <c r="I1437" s="83"/>
      <c r="J1437" s="83"/>
      <c r="K1437" s="83"/>
      <c r="L1437" s="83"/>
      <c r="M1437" s="83"/>
      <c r="N1437" s="83"/>
      <c r="O1437" s="83"/>
      <c r="P1437" s="83"/>
      <c r="Q1437" s="83"/>
      <c r="R1437" s="83"/>
      <c r="S1437" s="83"/>
      <c r="T1437" s="83"/>
      <c r="U1437" s="83"/>
      <c r="V1437" s="83"/>
      <c r="W1437" s="83"/>
      <c r="X1437" s="83"/>
      <c r="Y1437" s="83"/>
      <c r="Z1437" s="83"/>
    </row>
    <row r="1438">
      <c r="A1438" s="75" t="s">
        <v>43</v>
      </c>
      <c r="B1438" s="75" t="s">
        <v>1001</v>
      </c>
      <c r="C1438" s="75">
        <v>38.7</v>
      </c>
      <c r="D1438" s="75">
        <v>1.0</v>
      </c>
      <c r="E1438" s="75">
        <v>38.7</v>
      </c>
      <c r="F1438" s="75" t="s">
        <v>974</v>
      </c>
      <c r="G1438" s="82">
        <v>46111.0</v>
      </c>
      <c r="H1438" s="76" t="s">
        <v>963</v>
      </c>
      <c r="I1438" s="83"/>
      <c r="J1438" s="83"/>
      <c r="K1438" s="83"/>
      <c r="L1438" s="83"/>
      <c r="M1438" s="83"/>
      <c r="N1438" s="83"/>
      <c r="O1438" s="83"/>
      <c r="P1438" s="83"/>
      <c r="Q1438" s="83"/>
      <c r="R1438" s="83"/>
      <c r="S1438" s="83"/>
      <c r="T1438" s="83"/>
      <c r="U1438" s="83"/>
      <c r="V1438" s="83"/>
      <c r="W1438" s="83"/>
      <c r="X1438" s="83"/>
      <c r="Y1438" s="83"/>
      <c r="Z1438" s="83"/>
    </row>
    <row r="1439">
      <c r="A1439" s="75" t="s">
        <v>43</v>
      </c>
      <c r="B1439" s="75" t="s">
        <v>1001</v>
      </c>
      <c r="C1439" s="75">
        <v>4.02</v>
      </c>
      <c r="D1439" s="75">
        <v>0.0</v>
      </c>
      <c r="E1439" s="75">
        <v>0.0</v>
      </c>
      <c r="F1439" s="75" t="s">
        <v>974</v>
      </c>
      <c r="G1439" s="82">
        <v>46111.0</v>
      </c>
      <c r="H1439" s="76" t="s">
        <v>964</v>
      </c>
      <c r="I1439" s="83"/>
      <c r="J1439" s="83"/>
      <c r="K1439" s="83"/>
      <c r="L1439" s="83"/>
      <c r="M1439" s="83"/>
      <c r="N1439" s="83"/>
      <c r="O1439" s="83"/>
      <c r="P1439" s="83"/>
      <c r="Q1439" s="83"/>
      <c r="R1439" s="83"/>
      <c r="S1439" s="83"/>
      <c r="T1439" s="83"/>
      <c r="U1439" s="83"/>
      <c r="V1439" s="83"/>
      <c r="W1439" s="83"/>
      <c r="X1439" s="83"/>
      <c r="Y1439" s="83"/>
      <c r="Z1439" s="83"/>
    </row>
    <row r="1440">
      <c r="A1440" s="75" t="s">
        <v>43</v>
      </c>
      <c r="B1440" s="75" t="s">
        <v>1001</v>
      </c>
      <c r="C1440" s="75">
        <v>24.2</v>
      </c>
      <c r="D1440" s="75">
        <v>1.0</v>
      </c>
      <c r="E1440" s="75">
        <v>24.2</v>
      </c>
      <c r="F1440" s="75" t="s">
        <v>974</v>
      </c>
      <c r="G1440" s="82">
        <v>46111.0</v>
      </c>
      <c r="H1440" s="76" t="s">
        <v>965</v>
      </c>
      <c r="I1440" s="83"/>
      <c r="J1440" s="83"/>
      <c r="K1440" s="83"/>
      <c r="L1440" s="83"/>
      <c r="M1440" s="83"/>
      <c r="N1440" s="83"/>
      <c r="O1440" s="83"/>
      <c r="P1440" s="83"/>
      <c r="Q1440" s="83"/>
      <c r="R1440" s="83"/>
      <c r="S1440" s="83"/>
      <c r="T1440" s="83"/>
      <c r="U1440" s="83"/>
      <c r="V1440" s="83"/>
      <c r="W1440" s="83"/>
      <c r="X1440" s="83"/>
      <c r="Y1440" s="83"/>
      <c r="Z1440" s="83"/>
    </row>
    <row r="1441">
      <c r="A1441" s="75" t="s">
        <v>966</v>
      </c>
      <c r="B1441" s="75" t="s">
        <v>1001</v>
      </c>
      <c r="C1441" s="75">
        <v>15.25</v>
      </c>
      <c r="D1441" s="75">
        <v>0.0</v>
      </c>
      <c r="E1441" s="75">
        <v>0.0</v>
      </c>
      <c r="F1441" s="75" t="s">
        <v>974</v>
      </c>
      <c r="G1441" s="82">
        <v>46111.0</v>
      </c>
      <c r="H1441" s="76" t="s">
        <v>967</v>
      </c>
      <c r="I1441" s="83"/>
      <c r="J1441" s="83"/>
      <c r="K1441" s="83"/>
      <c r="L1441" s="83"/>
      <c r="M1441" s="83"/>
      <c r="N1441" s="83"/>
      <c r="O1441" s="83"/>
      <c r="P1441" s="83"/>
      <c r="Q1441" s="83"/>
      <c r="R1441" s="83"/>
      <c r="S1441" s="83"/>
      <c r="T1441" s="83"/>
      <c r="U1441" s="83"/>
      <c r="V1441" s="83"/>
      <c r="W1441" s="83"/>
      <c r="X1441" s="83"/>
      <c r="Y1441" s="83"/>
      <c r="Z1441" s="83"/>
    </row>
    <row r="1442">
      <c r="A1442" s="75" t="s">
        <v>966</v>
      </c>
      <c r="B1442" s="75" t="s">
        <v>1001</v>
      </c>
      <c r="C1442" s="75">
        <v>8.22</v>
      </c>
      <c r="D1442" s="75">
        <v>0.0</v>
      </c>
      <c r="E1442" s="75">
        <v>0.0</v>
      </c>
      <c r="F1442" s="75" t="s">
        <v>974</v>
      </c>
      <c r="G1442" s="82">
        <v>46111.0</v>
      </c>
      <c r="H1442" s="76" t="s">
        <v>968</v>
      </c>
      <c r="I1442" s="83"/>
      <c r="J1442" s="83"/>
      <c r="K1442" s="83"/>
      <c r="L1442" s="83"/>
      <c r="M1442" s="83"/>
      <c r="N1442" s="83"/>
      <c r="O1442" s="83"/>
      <c r="P1442" s="83"/>
      <c r="Q1442" s="83"/>
      <c r="R1442" s="83"/>
      <c r="S1442" s="83"/>
      <c r="T1442" s="83"/>
      <c r="U1442" s="83"/>
      <c r="V1442" s="83"/>
      <c r="W1442" s="83"/>
      <c r="X1442" s="83"/>
      <c r="Y1442" s="83"/>
      <c r="Z1442" s="83"/>
    </row>
    <row r="1443">
      <c r="A1443" s="75" t="s">
        <v>966</v>
      </c>
      <c r="B1443" s="75" t="s">
        <v>1001</v>
      </c>
      <c r="C1443" s="75">
        <v>3.85</v>
      </c>
      <c r="D1443" s="75">
        <v>1.0</v>
      </c>
      <c r="E1443" s="75">
        <v>3.85</v>
      </c>
      <c r="F1443" s="75" t="s">
        <v>974</v>
      </c>
      <c r="G1443" s="82">
        <v>46111.0</v>
      </c>
      <c r="H1443" s="76" t="s">
        <v>969</v>
      </c>
      <c r="I1443" s="83"/>
      <c r="J1443" s="83"/>
      <c r="K1443" s="83"/>
      <c r="L1443" s="83"/>
      <c r="M1443" s="83"/>
      <c r="N1443" s="83"/>
      <c r="O1443" s="83"/>
      <c r="P1443" s="83"/>
      <c r="Q1443" s="83"/>
      <c r="R1443" s="83"/>
      <c r="S1443" s="83"/>
      <c r="T1443" s="83"/>
      <c r="U1443" s="83"/>
      <c r="V1443" s="83"/>
      <c r="W1443" s="83"/>
      <c r="X1443" s="83"/>
      <c r="Y1443" s="83"/>
      <c r="Z1443" s="83"/>
    </row>
    <row r="1444">
      <c r="A1444" s="75" t="s">
        <v>36</v>
      </c>
      <c r="B1444" s="75" t="s">
        <v>1001</v>
      </c>
      <c r="C1444" s="75">
        <v>112.33</v>
      </c>
      <c r="D1444" s="75">
        <v>0.0</v>
      </c>
      <c r="E1444" s="75">
        <v>0.0</v>
      </c>
      <c r="F1444" s="75" t="s">
        <v>974</v>
      </c>
      <c r="G1444" s="82">
        <v>46111.0</v>
      </c>
      <c r="H1444" s="76" t="s">
        <v>926</v>
      </c>
      <c r="I1444" s="83"/>
      <c r="J1444" s="83"/>
      <c r="K1444" s="83"/>
      <c r="L1444" s="83"/>
      <c r="M1444" s="83"/>
      <c r="N1444" s="83"/>
      <c r="O1444" s="83"/>
      <c r="P1444" s="83"/>
      <c r="Q1444" s="83"/>
      <c r="R1444" s="83"/>
      <c r="S1444" s="83"/>
      <c r="T1444" s="83"/>
      <c r="U1444" s="83"/>
      <c r="V1444" s="83"/>
      <c r="W1444" s="83"/>
      <c r="X1444" s="83"/>
      <c r="Y1444" s="83"/>
      <c r="Z1444" s="83"/>
    </row>
    <row r="1445">
      <c r="A1445" s="75" t="s">
        <v>36</v>
      </c>
      <c r="B1445" s="75" t="s">
        <v>1001</v>
      </c>
      <c r="C1445" s="75">
        <v>3.61</v>
      </c>
      <c r="D1445" s="75">
        <v>0.0</v>
      </c>
      <c r="E1445" s="75">
        <v>0.0</v>
      </c>
      <c r="F1445" s="75" t="s">
        <v>974</v>
      </c>
      <c r="G1445" s="82">
        <v>46111.0</v>
      </c>
      <c r="H1445" s="76" t="s">
        <v>927</v>
      </c>
      <c r="I1445" s="83"/>
      <c r="J1445" s="83"/>
      <c r="K1445" s="83"/>
      <c r="L1445" s="83"/>
      <c r="M1445" s="83"/>
      <c r="N1445" s="83"/>
      <c r="O1445" s="83"/>
      <c r="P1445" s="83"/>
      <c r="Q1445" s="83"/>
      <c r="R1445" s="83"/>
      <c r="S1445" s="83"/>
      <c r="T1445" s="83"/>
      <c r="U1445" s="83"/>
      <c r="V1445" s="83"/>
      <c r="W1445" s="83"/>
      <c r="X1445" s="83"/>
      <c r="Y1445" s="83"/>
      <c r="Z1445" s="83"/>
    </row>
    <row r="1446">
      <c r="A1446" s="75" t="s">
        <v>36</v>
      </c>
      <c r="B1446" s="75" t="s">
        <v>1001</v>
      </c>
      <c r="C1446" s="75">
        <v>6.76</v>
      </c>
      <c r="D1446" s="75">
        <v>0.0</v>
      </c>
      <c r="E1446" s="75">
        <v>0.0</v>
      </c>
      <c r="F1446" s="75" t="s">
        <v>974</v>
      </c>
      <c r="G1446" s="82">
        <v>46111.0</v>
      </c>
      <c r="H1446" s="76" t="s">
        <v>928</v>
      </c>
      <c r="I1446" s="83"/>
      <c r="J1446" s="83"/>
      <c r="K1446" s="83"/>
      <c r="L1446" s="83"/>
      <c r="M1446" s="83"/>
      <c r="N1446" s="83"/>
      <c r="O1446" s="83"/>
      <c r="P1446" s="83"/>
      <c r="Q1446" s="83"/>
      <c r="R1446" s="83"/>
      <c r="S1446" s="83"/>
      <c r="T1446" s="83"/>
      <c r="U1446" s="83"/>
      <c r="V1446" s="83"/>
      <c r="W1446" s="83"/>
      <c r="X1446" s="83"/>
      <c r="Y1446" s="83"/>
      <c r="Z1446" s="83"/>
    </row>
    <row r="1447">
      <c r="A1447" s="75" t="s">
        <v>970</v>
      </c>
      <c r="B1447" s="75" t="s">
        <v>1001</v>
      </c>
      <c r="C1447" s="75">
        <v>8.19</v>
      </c>
      <c r="D1447" s="75">
        <v>6.0</v>
      </c>
      <c r="E1447" s="75">
        <v>1.37</v>
      </c>
      <c r="F1447" s="75" t="s">
        <v>974</v>
      </c>
      <c r="G1447" s="82">
        <v>46111.0</v>
      </c>
      <c r="H1447" s="76" t="s">
        <v>971</v>
      </c>
      <c r="I1447" s="83"/>
      <c r="J1447" s="83"/>
      <c r="K1447" s="83"/>
      <c r="L1447" s="83"/>
      <c r="M1447" s="83"/>
      <c r="N1447" s="83"/>
      <c r="O1447" s="83"/>
      <c r="P1447" s="83"/>
      <c r="Q1447" s="83"/>
      <c r="R1447" s="83"/>
      <c r="S1447" s="83"/>
      <c r="T1447" s="83"/>
      <c r="U1447" s="83"/>
      <c r="V1447" s="83"/>
      <c r="W1447" s="83"/>
      <c r="X1447" s="83"/>
      <c r="Y1447" s="83"/>
      <c r="Z1447" s="83"/>
    </row>
    <row r="1448">
      <c r="A1448" s="75" t="s">
        <v>970</v>
      </c>
      <c r="B1448" s="75" t="s">
        <v>1001</v>
      </c>
      <c r="C1448" s="75">
        <v>5.34</v>
      </c>
      <c r="D1448" s="75">
        <v>1.0</v>
      </c>
      <c r="E1448" s="75">
        <v>5.34</v>
      </c>
      <c r="F1448" s="75" t="s">
        <v>974</v>
      </c>
      <c r="G1448" s="82">
        <v>46111.0</v>
      </c>
      <c r="H1448" s="76" t="s">
        <v>972</v>
      </c>
      <c r="I1448" s="83"/>
      <c r="J1448" s="83"/>
      <c r="K1448" s="83"/>
      <c r="L1448" s="83"/>
      <c r="M1448" s="83"/>
      <c r="N1448" s="83"/>
      <c r="O1448" s="83"/>
      <c r="P1448" s="83"/>
      <c r="Q1448" s="83"/>
      <c r="R1448" s="83"/>
      <c r="S1448" s="83"/>
      <c r="T1448" s="83"/>
      <c r="U1448" s="83"/>
      <c r="V1448" s="83"/>
      <c r="W1448" s="83"/>
      <c r="X1448" s="83"/>
      <c r="Y1448" s="83"/>
      <c r="Z1448" s="83"/>
    </row>
    <row r="1449">
      <c r="A1449" s="75" t="s">
        <v>970</v>
      </c>
      <c r="B1449" s="75" t="s">
        <v>1001</v>
      </c>
      <c r="C1449" s="75">
        <v>19.42</v>
      </c>
      <c r="D1449" s="75">
        <v>2.0</v>
      </c>
      <c r="E1449" s="75">
        <v>9.71</v>
      </c>
      <c r="F1449" s="75" t="s">
        <v>974</v>
      </c>
      <c r="G1449" s="82">
        <v>46111.0</v>
      </c>
      <c r="H1449" s="76" t="s">
        <v>973</v>
      </c>
      <c r="I1449" s="83"/>
      <c r="J1449" s="83"/>
      <c r="K1449" s="83"/>
      <c r="L1449" s="83"/>
      <c r="M1449" s="83"/>
      <c r="N1449" s="83"/>
      <c r="O1449" s="83"/>
      <c r="P1449" s="83"/>
      <c r="Q1449" s="83"/>
      <c r="R1449" s="83"/>
      <c r="S1449" s="83"/>
      <c r="T1449" s="83"/>
      <c r="U1449" s="83"/>
      <c r="V1449" s="83"/>
      <c r="W1449" s="83"/>
      <c r="X1449" s="83"/>
      <c r="Y1449" s="83"/>
      <c r="Z1449" s="83"/>
    </row>
    <row r="1450">
      <c r="A1450" s="75" t="s">
        <v>29</v>
      </c>
      <c r="B1450" s="75" t="s">
        <v>1001</v>
      </c>
      <c r="C1450" s="75">
        <v>0.38</v>
      </c>
      <c r="D1450" s="75">
        <v>0.0</v>
      </c>
      <c r="E1450" s="75">
        <v>0.0</v>
      </c>
      <c r="F1450" s="75" t="s">
        <v>974</v>
      </c>
      <c r="G1450" s="82">
        <v>46111.0</v>
      </c>
      <c r="H1450" s="76" t="s">
        <v>971</v>
      </c>
      <c r="I1450" s="83"/>
      <c r="J1450" s="83"/>
      <c r="K1450" s="83"/>
      <c r="L1450" s="83"/>
      <c r="M1450" s="83"/>
      <c r="N1450" s="83"/>
      <c r="O1450" s="83"/>
      <c r="P1450" s="83"/>
      <c r="Q1450" s="83"/>
      <c r="R1450" s="83"/>
      <c r="S1450" s="83"/>
      <c r="T1450" s="83"/>
      <c r="U1450" s="83"/>
      <c r="V1450" s="83"/>
      <c r="W1450" s="83"/>
      <c r="X1450" s="83"/>
      <c r="Y1450" s="83"/>
      <c r="Z1450" s="83"/>
    </row>
    <row r="1451">
      <c r="A1451" s="75" t="s">
        <v>29</v>
      </c>
      <c r="B1451" s="75" t="s">
        <v>1001</v>
      </c>
      <c r="C1451" s="75">
        <v>0.03</v>
      </c>
      <c r="D1451" s="75">
        <v>0.0</v>
      </c>
      <c r="E1451" s="75">
        <v>0.0</v>
      </c>
      <c r="F1451" s="75" t="s">
        <v>974</v>
      </c>
      <c r="G1451" s="82">
        <v>46111.0</v>
      </c>
      <c r="H1451" s="76" t="s">
        <v>972</v>
      </c>
      <c r="I1451" s="83"/>
      <c r="J1451" s="83"/>
      <c r="K1451" s="83"/>
      <c r="L1451" s="83"/>
      <c r="M1451" s="83"/>
      <c r="N1451" s="83"/>
      <c r="O1451" s="83"/>
      <c r="P1451" s="83"/>
      <c r="Q1451" s="83"/>
      <c r="R1451" s="83"/>
      <c r="S1451" s="83"/>
      <c r="T1451" s="83"/>
      <c r="U1451" s="83"/>
      <c r="V1451" s="83"/>
      <c r="W1451" s="83"/>
      <c r="X1451" s="83"/>
      <c r="Y1451" s="83"/>
      <c r="Z1451" s="83"/>
    </row>
    <row r="1452">
      <c r="A1452" s="75" t="s">
        <v>29</v>
      </c>
      <c r="B1452" s="75" t="s">
        <v>1001</v>
      </c>
      <c r="C1452" s="75">
        <v>0.33</v>
      </c>
      <c r="D1452" s="75">
        <v>0.0</v>
      </c>
      <c r="E1452" s="75">
        <v>0.0</v>
      </c>
      <c r="F1452" s="75" t="s">
        <v>974</v>
      </c>
      <c r="G1452" s="82">
        <v>46111.0</v>
      </c>
      <c r="H1452" s="76" t="s">
        <v>973</v>
      </c>
      <c r="I1452" s="83"/>
      <c r="J1452" s="83"/>
      <c r="K1452" s="83"/>
      <c r="L1452" s="83"/>
      <c r="M1452" s="83"/>
      <c r="N1452" s="83"/>
      <c r="O1452" s="83"/>
      <c r="P1452" s="83"/>
      <c r="Q1452" s="83"/>
      <c r="R1452" s="83"/>
      <c r="S1452" s="83"/>
      <c r="T1452" s="83"/>
      <c r="U1452" s="83"/>
      <c r="V1452" s="83"/>
      <c r="W1452" s="83"/>
      <c r="X1452" s="83"/>
      <c r="Y1452" s="83"/>
      <c r="Z1452" s="83"/>
    </row>
    <row r="1453">
      <c r="A1453" s="75" t="s">
        <v>34</v>
      </c>
      <c r="B1453" s="75" t="s">
        <v>1001</v>
      </c>
      <c r="C1453" s="75">
        <v>30.25</v>
      </c>
      <c r="D1453" s="75">
        <v>1.0</v>
      </c>
      <c r="E1453" s="75">
        <v>30.25</v>
      </c>
      <c r="F1453" s="75" t="s">
        <v>975</v>
      </c>
      <c r="G1453" s="82">
        <v>46111.0</v>
      </c>
      <c r="H1453" s="76" t="s">
        <v>951</v>
      </c>
      <c r="I1453" s="83"/>
      <c r="J1453" s="83"/>
      <c r="K1453" s="83"/>
      <c r="L1453" s="83"/>
      <c r="M1453" s="83"/>
      <c r="N1453" s="83"/>
      <c r="O1453" s="83"/>
      <c r="P1453" s="83"/>
      <c r="Q1453" s="83"/>
      <c r="R1453" s="83"/>
      <c r="S1453" s="83"/>
      <c r="T1453" s="83"/>
      <c r="U1453" s="83"/>
      <c r="V1453" s="83"/>
      <c r="W1453" s="83"/>
      <c r="X1453" s="83"/>
      <c r="Y1453" s="83"/>
      <c r="Z1453" s="83"/>
    </row>
    <row r="1454">
      <c r="A1454" s="75" t="s">
        <v>34</v>
      </c>
      <c r="B1454" s="75" t="s">
        <v>1001</v>
      </c>
      <c r="C1454" s="75">
        <v>24.76</v>
      </c>
      <c r="D1454" s="75">
        <v>3.0</v>
      </c>
      <c r="E1454" s="75">
        <v>8.25</v>
      </c>
      <c r="F1454" s="75" t="s">
        <v>975</v>
      </c>
      <c r="G1454" s="82">
        <v>46111.0</v>
      </c>
      <c r="H1454" s="76" t="s">
        <v>952</v>
      </c>
      <c r="I1454" s="83"/>
      <c r="J1454" s="83"/>
      <c r="K1454" s="83"/>
      <c r="L1454" s="83"/>
      <c r="M1454" s="83"/>
      <c r="N1454" s="83"/>
      <c r="O1454" s="83"/>
      <c r="P1454" s="83"/>
      <c r="Q1454" s="83"/>
      <c r="R1454" s="83"/>
      <c r="S1454" s="83"/>
      <c r="T1454" s="83"/>
      <c r="U1454" s="83"/>
      <c r="V1454" s="83"/>
      <c r="W1454" s="83"/>
      <c r="X1454" s="83"/>
      <c r="Y1454" s="83"/>
      <c r="Z1454" s="83"/>
    </row>
    <row r="1455">
      <c r="A1455" s="75" t="s">
        <v>34</v>
      </c>
      <c r="B1455" s="75" t="s">
        <v>1001</v>
      </c>
      <c r="C1455" s="75">
        <v>78.88</v>
      </c>
      <c r="D1455" s="75">
        <v>1.0</v>
      </c>
      <c r="E1455" s="75">
        <v>78.88</v>
      </c>
      <c r="F1455" s="75" t="s">
        <v>975</v>
      </c>
      <c r="G1455" s="82">
        <v>46111.0</v>
      </c>
      <c r="H1455" s="76" t="s">
        <v>953</v>
      </c>
      <c r="I1455" s="83"/>
      <c r="J1455" s="83"/>
      <c r="K1455" s="83"/>
      <c r="L1455" s="83"/>
      <c r="M1455" s="83"/>
      <c r="N1455" s="83"/>
      <c r="O1455" s="83"/>
      <c r="P1455" s="83"/>
      <c r="Q1455" s="83"/>
      <c r="R1455" s="83"/>
      <c r="S1455" s="83"/>
      <c r="T1455" s="83"/>
      <c r="U1455" s="83"/>
      <c r="V1455" s="83"/>
      <c r="W1455" s="83"/>
      <c r="X1455" s="83"/>
      <c r="Y1455" s="83"/>
      <c r="Z1455" s="83"/>
    </row>
    <row r="1456">
      <c r="A1456" s="75" t="s">
        <v>40</v>
      </c>
      <c r="B1456" s="75" t="s">
        <v>1001</v>
      </c>
      <c r="C1456" s="75">
        <v>2.2</v>
      </c>
      <c r="D1456" s="75">
        <v>0.0</v>
      </c>
      <c r="E1456" s="75">
        <v>0.0</v>
      </c>
      <c r="F1456" s="75" t="s">
        <v>975</v>
      </c>
      <c r="G1456" s="82">
        <v>46111.0</v>
      </c>
      <c r="H1456" s="76" t="s">
        <v>954</v>
      </c>
      <c r="I1456" s="83"/>
      <c r="J1456" s="83"/>
      <c r="K1456" s="83"/>
      <c r="L1456" s="83"/>
      <c r="M1456" s="83"/>
      <c r="N1456" s="83"/>
      <c r="O1456" s="83"/>
      <c r="P1456" s="83"/>
      <c r="Q1456" s="83"/>
      <c r="R1456" s="83"/>
      <c r="S1456" s="83"/>
      <c r="T1456" s="83"/>
      <c r="U1456" s="83"/>
      <c r="V1456" s="83"/>
      <c r="W1456" s="83"/>
      <c r="X1456" s="83"/>
      <c r="Y1456" s="83"/>
      <c r="Z1456" s="83"/>
    </row>
    <row r="1457">
      <c r="A1457" s="75" t="s">
        <v>40</v>
      </c>
      <c r="B1457" s="75" t="s">
        <v>1001</v>
      </c>
      <c r="C1457" s="75">
        <v>3.59</v>
      </c>
      <c r="D1457" s="75">
        <v>0.0</v>
      </c>
      <c r="E1457" s="75">
        <v>0.0</v>
      </c>
      <c r="F1457" s="75" t="s">
        <v>975</v>
      </c>
      <c r="G1457" s="82">
        <v>46111.0</v>
      </c>
      <c r="H1457" s="76" t="s">
        <v>955</v>
      </c>
      <c r="I1457" s="83"/>
      <c r="J1457" s="83"/>
      <c r="K1457" s="83"/>
      <c r="L1457" s="83"/>
      <c r="M1457" s="83"/>
      <c r="N1457" s="83"/>
      <c r="O1457" s="83"/>
      <c r="P1457" s="83"/>
      <c r="Q1457" s="83"/>
      <c r="R1457" s="83"/>
      <c r="S1457" s="83"/>
      <c r="T1457" s="83"/>
      <c r="U1457" s="83"/>
      <c r="V1457" s="83"/>
      <c r="W1457" s="83"/>
      <c r="X1457" s="83"/>
      <c r="Y1457" s="83"/>
      <c r="Z1457" s="83"/>
    </row>
    <row r="1458">
      <c r="A1458" s="75" t="s">
        <v>40</v>
      </c>
      <c r="B1458" s="75" t="s">
        <v>1001</v>
      </c>
      <c r="C1458" s="75">
        <v>54.43</v>
      </c>
      <c r="D1458" s="75">
        <v>1.0</v>
      </c>
      <c r="E1458" s="75">
        <v>54.43</v>
      </c>
      <c r="F1458" s="75" t="s">
        <v>975</v>
      </c>
      <c r="G1458" s="82">
        <v>46111.0</v>
      </c>
      <c r="H1458" s="76" t="s">
        <v>956</v>
      </c>
      <c r="I1458" s="83"/>
      <c r="J1458" s="83"/>
      <c r="K1458" s="83"/>
      <c r="L1458" s="83"/>
      <c r="M1458" s="83"/>
      <c r="N1458" s="83"/>
      <c r="O1458" s="83"/>
      <c r="P1458" s="83"/>
      <c r="Q1458" s="83"/>
      <c r="R1458" s="83"/>
      <c r="S1458" s="83"/>
      <c r="T1458" s="83"/>
      <c r="U1458" s="83"/>
      <c r="V1458" s="83"/>
      <c r="W1458" s="83"/>
      <c r="X1458" s="83"/>
      <c r="Y1458" s="83"/>
      <c r="Z1458" s="83"/>
    </row>
    <row r="1459">
      <c r="A1459" s="75" t="s">
        <v>33</v>
      </c>
      <c r="B1459" s="75" t="s">
        <v>1001</v>
      </c>
      <c r="C1459" s="75">
        <v>16.0</v>
      </c>
      <c r="D1459" s="75">
        <v>10.0</v>
      </c>
      <c r="E1459" s="75">
        <v>1.6</v>
      </c>
      <c r="F1459" s="75" t="s">
        <v>975</v>
      </c>
      <c r="G1459" s="82">
        <v>46111.0</v>
      </c>
      <c r="H1459" s="76" t="s">
        <v>957</v>
      </c>
      <c r="I1459" s="83"/>
      <c r="J1459" s="83"/>
      <c r="K1459" s="83"/>
      <c r="L1459" s="83"/>
      <c r="M1459" s="83"/>
      <c r="N1459" s="83"/>
      <c r="O1459" s="83"/>
      <c r="P1459" s="83"/>
      <c r="Q1459" s="83"/>
      <c r="R1459" s="83"/>
      <c r="S1459" s="83"/>
      <c r="T1459" s="83"/>
      <c r="U1459" s="83"/>
      <c r="V1459" s="83"/>
      <c r="W1459" s="83"/>
      <c r="X1459" s="83"/>
      <c r="Y1459" s="83"/>
      <c r="Z1459" s="83"/>
    </row>
    <row r="1460">
      <c r="A1460" s="75" t="s">
        <v>33</v>
      </c>
      <c r="B1460" s="75" t="s">
        <v>1001</v>
      </c>
      <c r="C1460" s="75">
        <v>10.27</v>
      </c>
      <c r="D1460" s="75">
        <v>5.0</v>
      </c>
      <c r="E1460" s="75">
        <v>2.05</v>
      </c>
      <c r="F1460" s="75" t="s">
        <v>975</v>
      </c>
      <c r="G1460" s="82">
        <v>46111.0</v>
      </c>
      <c r="H1460" s="76" t="s">
        <v>958</v>
      </c>
      <c r="I1460" s="83"/>
      <c r="J1460" s="83"/>
      <c r="K1460" s="83"/>
      <c r="L1460" s="83"/>
      <c r="M1460" s="83"/>
      <c r="N1460" s="83"/>
      <c r="O1460" s="83"/>
      <c r="P1460" s="83"/>
      <c r="Q1460" s="83"/>
      <c r="R1460" s="83"/>
      <c r="S1460" s="83"/>
      <c r="T1460" s="83"/>
      <c r="U1460" s="83"/>
      <c r="V1460" s="83"/>
      <c r="W1460" s="83"/>
      <c r="X1460" s="83"/>
      <c r="Y1460" s="83"/>
      <c r="Z1460" s="83"/>
    </row>
    <row r="1461">
      <c r="A1461" s="75" t="s">
        <v>33</v>
      </c>
      <c r="B1461" s="75" t="s">
        <v>1001</v>
      </c>
      <c r="C1461" s="75">
        <v>14.03</v>
      </c>
      <c r="D1461" s="75">
        <v>1.0</v>
      </c>
      <c r="E1461" s="75">
        <v>14.03</v>
      </c>
      <c r="F1461" s="75" t="s">
        <v>975</v>
      </c>
      <c r="G1461" s="82">
        <v>46111.0</v>
      </c>
      <c r="H1461" s="76" t="s">
        <v>959</v>
      </c>
      <c r="I1461" s="83"/>
      <c r="J1461" s="83"/>
      <c r="K1461" s="83"/>
      <c r="L1461" s="83"/>
      <c r="M1461" s="83"/>
      <c r="N1461" s="83"/>
      <c r="O1461" s="83"/>
      <c r="P1461" s="83"/>
      <c r="Q1461" s="83"/>
      <c r="R1461" s="83"/>
      <c r="S1461" s="83"/>
      <c r="T1461" s="83"/>
      <c r="U1461" s="83"/>
      <c r="V1461" s="83"/>
      <c r="W1461" s="83"/>
      <c r="X1461" s="83"/>
      <c r="Y1461" s="83"/>
      <c r="Z1461" s="83"/>
    </row>
    <row r="1462">
      <c r="A1462" s="75" t="s">
        <v>46</v>
      </c>
      <c r="B1462" s="75" t="s">
        <v>1001</v>
      </c>
      <c r="C1462" s="75">
        <v>5.19</v>
      </c>
      <c r="D1462" s="75">
        <v>0.0</v>
      </c>
      <c r="E1462" s="75">
        <v>0.0</v>
      </c>
      <c r="F1462" s="75" t="s">
        <v>975</v>
      </c>
      <c r="G1462" s="82">
        <v>46111.0</v>
      </c>
      <c r="H1462" s="76" t="s">
        <v>960</v>
      </c>
      <c r="I1462" s="83"/>
      <c r="J1462" s="83"/>
      <c r="K1462" s="83"/>
      <c r="L1462" s="83"/>
      <c r="M1462" s="83"/>
      <c r="N1462" s="83"/>
      <c r="O1462" s="83"/>
      <c r="P1462" s="83"/>
      <c r="Q1462" s="83"/>
      <c r="R1462" s="83"/>
      <c r="S1462" s="83"/>
      <c r="T1462" s="83"/>
      <c r="U1462" s="83"/>
      <c r="V1462" s="83"/>
      <c r="W1462" s="83"/>
      <c r="X1462" s="83"/>
      <c r="Y1462" s="83"/>
      <c r="Z1462" s="83"/>
    </row>
    <row r="1463">
      <c r="A1463" s="75" t="s">
        <v>46</v>
      </c>
      <c r="B1463" s="75" t="s">
        <v>1001</v>
      </c>
      <c r="C1463" s="75">
        <v>4.04</v>
      </c>
      <c r="D1463" s="75">
        <v>0.0</v>
      </c>
      <c r="E1463" s="75">
        <v>0.0</v>
      </c>
      <c r="F1463" s="75" t="s">
        <v>975</v>
      </c>
      <c r="G1463" s="82">
        <v>46111.0</v>
      </c>
      <c r="H1463" s="76" t="s">
        <v>961</v>
      </c>
      <c r="I1463" s="83"/>
      <c r="J1463" s="83"/>
      <c r="K1463" s="83"/>
      <c r="L1463" s="83"/>
      <c r="M1463" s="83"/>
      <c r="N1463" s="83"/>
      <c r="O1463" s="83"/>
      <c r="P1463" s="83"/>
      <c r="Q1463" s="83"/>
      <c r="R1463" s="83"/>
      <c r="S1463" s="83"/>
      <c r="T1463" s="83"/>
      <c r="U1463" s="83"/>
      <c r="V1463" s="83"/>
      <c r="W1463" s="83"/>
      <c r="X1463" s="83"/>
      <c r="Y1463" s="83"/>
      <c r="Z1463" s="83"/>
    </row>
    <row r="1464">
      <c r="A1464" s="75" t="s">
        <v>46</v>
      </c>
      <c r="B1464" s="75" t="s">
        <v>1001</v>
      </c>
      <c r="C1464" s="75">
        <v>10.66</v>
      </c>
      <c r="D1464" s="75">
        <v>0.0</v>
      </c>
      <c r="E1464" s="75">
        <v>0.0</v>
      </c>
      <c r="F1464" s="75" t="s">
        <v>975</v>
      </c>
      <c r="G1464" s="82">
        <v>46111.0</v>
      </c>
      <c r="H1464" s="76" t="s">
        <v>962</v>
      </c>
      <c r="I1464" s="83"/>
      <c r="J1464" s="83"/>
      <c r="K1464" s="83"/>
      <c r="L1464" s="83"/>
      <c r="M1464" s="83"/>
      <c r="N1464" s="83"/>
      <c r="O1464" s="83"/>
      <c r="P1464" s="83"/>
      <c r="Q1464" s="83"/>
      <c r="R1464" s="83"/>
      <c r="S1464" s="83"/>
      <c r="T1464" s="83"/>
      <c r="U1464" s="83"/>
      <c r="V1464" s="83"/>
      <c r="W1464" s="83"/>
      <c r="X1464" s="83"/>
      <c r="Y1464" s="83"/>
      <c r="Z1464" s="83"/>
    </row>
    <row r="1465">
      <c r="A1465" s="75" t="s">
        <v>43</v>
      </c>
      <c r="B1465" s="75" t="s">
        <v>1001</v>
      </c>
      <c r="C1465" s="75">
        <v>8.97</v>
      </c>
      <c r="D1465" s="75">
        <v>0.0</v>
      </c>
      <c r="E1465" s="75">
        <v>0.0</v>
      </c>
      <c r="F1465" s="75" t="s">
        <v>975</v>
      </c>
      <c r="G1465" s="82">
        <v>46111.0</v>
      </c>
      <c r="H1465" s="76" t="s">
        <v>963</v>
      </c>
      <c r="I1465" s="83"/>
      <c r="J1465" s="83"/>
      <c r="K1465" s="83"/>
      <c r="L1465" s="83"/>
      <c r="M1465" s="83"/>
      <c r="N1465" s="83"/>
      <c r="O1465" s="83"/>
      <c r="P1465" s="83"/>
      <c r="Q1465" s="83"/>
      <c r="R1465" s="83"/>
      <c r="S1465" s="83"/>
      <c r="T1465" s="83"/>
      <c r="U1465" s="83"/>
      <c r="V1465" s="83"/>
      <c r="W1465" s="83"/>
      <c r="X1465" s="83"/>
      <c r="Y1465" s="83"/>
      <c r="Z1465" s="83"/>
    </row>
    <row r="1466">
      <c r="A1466" s="75" t="s">
        <v>43</v>
      </c>
      <c r="B1466" s="75" t="s">
        <v>1001</v>
      </c>
      <c r="C1466" s="75">
        <v>4.81</v>
      </c>
      <c r="D1466" s="75">
        <v>0.0</v>
      </c>
      <c r="E1466" s="75">
        <v>0.0</v>
      </c>
      <c r="F1466" s="75" t="s">
        <v>975</v>
      </c>
      <c r="G1466" s="82">
        <v>46111.0</v>
      </c>
      <c r="H1466" s="76" t="s">
        <v>964</v>
      </c>
      <c r="I1466" s="83"/>
      <c r="J1466" s="83"/>
      <c r="K1466" s="83"/>
      <c r="L1466" s="83"/>
      <c r="M1466" s="83"/>
      <c r="N1466" s="83"/>
      <c r="O1466" s="83"/>
      <c r="P1466" s="83"/>
      <c r="Q1466" s="83"/>
      <c r="R1466" s="83"/>
      <c r="S1466" s="83"/>
      <c r="T1466" s="83"/>
      <c r="U1466" s="83"/>
      <c r="V1466" s="83"/>
      <c r="W1466" s="83"/>
      <c r="X1466" s="83"/>
      <c r="Y1466" s="83"/>
      <c r="Z1466" s="83"/>
    </row>
    <row r="1467">
      <c r="A1467" s="75" t="s">
        <v>43</v>
      </c>
      <c r="B1467" s="75" t="s">
        <v>1001</v>
      </c>
      <c r="C1467" s="75">
        <v>27.16</v>
      </c>
      <c r="D1467" s="75">
        <v>3.0</v>
      </c>
      <c r="E1467" s="75">
        <v>9.05</v>
      </c>
      <c r="F1467" s="75" t="s">
        <v>975</v>
      </c>
      <c r="G1467" s="82">
        <v>46111.0</v>
      </c>
      <c r="H1467" s="76" t="s">
        <v>965</v>
      </c>
      <c r="I1467" s="83"/>
      <c r="J1467" s="83"/>
      <c r="K1467" s="83"/>
      <c r="L1467" s="83"/>
      <c r="M1467" s="83"/>
      <c r="N1467" s="83"/>
      <c r="O1467" s="83"/>
      <c r="P1467" s="83"/>
      <c r="Q1467" s="83"/>
      <c r="R1467" s="83"/>
      <c r="S1467" s="83"/>
      <c r="T1467" s="83"/>
      <c r="U1467" s="83"/>
      <c r="V1467" s="83"/>
      <c r="W1467" s="83"/>
      <c r="X1467" s="83"/>
      <c r="Y1467" s="83"/>
      <c r="Z1467" s="83"/>
    </row>
    <row r="1468">
      <c r="A1468" s="75" t="s">
        <v>966</v>
      </c>
      <c r="B1468" s="75" t="s">
        <v>1001</v>
      </c>
      <c r="C1468" s="75">
        <v>45.46</v>
      </c>
      <c r="D1468" s="75">
        <v>0.0</v>
      </c>
      <c r="E1468" s="75">
        <v>0.0</v>
      </c>
      <c r="F1468" s="75" t="s">
        <v>975</v>
      </c>
      <c r="G1468" s="82">
        <v>46111.0</v>
      </c>
      <c r="H1468" s="76" t="s">
        <v>967</v>
      </c>
      <c r="I1468" s="83"/>
      <c r="J1468" s="83"/>
      <c r="K1468" s="83"/>
      <c r="L1468" s="83"/>
      <c r="M1468" s="83"/>
      <c r="N1468" s="83"/>
      <c r="O1468" s="83"/>
      <c r="P1468" s="83"/>
      <c r="Q1468" s="83"/>
      <c r="R1468" s="83"/>
      <c r="S1468" s="83"/>
      <c r="T1468" s="83"/>
      <c r="U1468" s="83"/>
      <c r="V1468" s="83"/>
      <c r="W1468" s="83"/>
      <c r="X1468" s="83"/>
      <c r="Y1468" s="83"/>
      <c r="Z1468" s="83"/>
    </row>
    <row r="1469">
      <c r="A1469" s="75" t="s">
        <v>966</v>
      </c>
      <c r="B1469" s="75" t="s">
        <v>1001</v>
      </c>
      <c r="C1469" s="75">
        <v>23.37</v>
      </c>
      <c r="D1469" s="75">
        <v>0.0</v>
      </c>
      <c r="E1469" s="75">
        <v>0.0</v>
      </c>
      <c r="F1469" s="75" t="s">
        <v>975</v>
      </c>
      <c r="G1469" s="82">
        <v>46111.0</v>
      </c>
      <c r="H1469" s="76" t="s">
        <v>968</v>
      </c>
      <c r="I1469" s="83"/>
      <c r="J1469" s="83"/>
      <c r="K1469" s="83"/>
      <c r="L1469" s="83"/>
      <c r="M1469" s="83"/>
      <c r="N1469" s="83"/>
      <c r="O1469" s="83"/>
      <c r="P1469" s="83"/>
      <c r="Q1469" s="83"/>
      <c r="R1469" s="83"/>
      <c r="S1469" s="83"/>
      <c r="T1469" s="83"/>
      <c r="U1469" s="83"/>
      <c r="V1469" s="83"/>
      <c r="W1469" s="83"/>
      <c r="X1469" s="83"/>
      <c r="Y1469" s="83"/>
      <c r="Z1469" s="83"/>
    </row>
    <row r="1470">
      <c r="A1470" s="75" t="s">
        <v>966</v>
      </c>
      <c r="B1470" s="75" t="s">
        <v>1001</v>
      </c>
      <c r="C1470" s="75">
        <v>51.92</v>
      </c>
      <c r="D1470" s="75">
        <v>1.0</v>
      </c>
      <c r="E1470" s="75">
        <v>51.92</v>
      </c>
      <c r="F1470" s="75" t="s">
        <v>975</v>
      </c>
      <c r="G1470" s="82">
        <v>46111.0</v>
      </c>
      <c r="H1470" s="76" t="s">
        <v>969</v>
      </c>
      <c r="I1470" s="83"/>
      <c r="J1470" s="83"/>
      <c r="K1470" s="83"/>
      <c r="L1470" s="83"/>
      <c r="M1470" s="83"/>
      <c r="N1470" s="83"/>
      <c r="O1470" s="83"/>
      <c r="P1470" s="83"/>
      <c r="Q1470" s="83"/>
      <c r="R1470" s="83"/>
      <c r="S1470" s="83"/>
      <c r="T1470" s="83"/>
      <c r="U1470" s="83"/>
      <c r="V1470" s="83"/>
      <c r="W1470" s="83"/>
      <c r="X1470" s="83"/>
      <c r="Y1470" s="83"/>
      <c r="Z1470" s="83"/>
    </row>
    <row r="1471">
      <c r="A1471" s="75" t="s">
        <v>36</v>
      </c>
      <c r="B1471" s="75" t="s">
        <v>1001</v>
      </c>
      <c r="C1471" s="75">
        <v>53.46</v>
      </c>
      <c r="D1471" s="75">
        <v>0.0</v>
      </c>
      <c r="E1471" s="75">
        <v>0.0</v>
      </c>
      <c r="F1471" s="75" t="s">
        <v>975</v>
      </c>
      <c r="G1471" s="82">
        <v>46111.0</v>
      </c>
      <c r="H1471" s="76" t="s">
        <v>926</v>
      </c>
      <c r="I1471" s="83"/>
      <c r="J1471" s="83"/>
      <c r="K1471" s="83"/>
      <c r="L1471" s="83"/>
      <c r="M1471" s="83"/>
      <c r="N1471" s="83"/>
      <c r="O1471" s="83"/>
      <c r="P1471" s="83"/>
      <c r="Q1471" s="83"/>
      <c r="R1471" s="83"/>
      <c r="S1471" s="83"/>
      <c r="T1471" s="83"/>
      <c r="U1471" s="83"/>
      <c r="V1471" s="83"/>
      <c r="W1471" s="83"/>
      <c r="X1471" s="83"/>
      <c r="Y1471" s="83"/>
      <c r="Z1471" s="83"/>
    </row>
    <row r="1472">
      <c r="A1472" s="75" t="s">
        <v>36</v>
      </c>
      <c r="B1472" s="75" t="s">
        <v>1001</v>
      </c>
      <c r="C1472" s="75">
        <v>6.98</v>
      </c>
      <c r="D1472" s="75">
        <v>0.0</v>
      </c>
      <c r="E1472" s="75">
        <v>0.0</v>
      </c>
      <c r="F1472" s="75" t="s">
        <v>975</v>
      </c>
      <c r="G1472" s="82">
        <v>46111.0</v>
      </c>
      <c r="H1472" s="76" t="s">
        <v>927</v>
      </c>
      <c r="I1472" s="83"/>
      <c r="J1472" s="83"/>
      <c r="K1472" s="83"/>
      <c r="L1472" s="83"/>
      <c r="M1472" s="83"/>
      <c r="N1472" s="83"/>
      <c r="O1472" s="83"/>
      <c r="P1472" s="83"/>
      <c r="Q1472" s="83"/>
      <c r="R1472" s="83"/>
      <c r="S1472" s="83"/>
      <c r="T1472" s="83"/>
      <c r="U1472" s="83"/>
      <c r="V1472" s="83"/>
      <c r="W1472" s="83"/>
      <c r="X1472" s="83"/>
      <c r="Y1472" s="83"/>
      <c r="Z1472" s="83"/>
    </row>
    <row r="1473">
      <c r="A1473" s="75" t="s">
        <v>36</v>
      </c>
      <c r="B1473" s="75" t="s">
        <v>1001</v>
      </c>
      <c r="C1473" s="75">
        <v>9.24</v>
      </c>
      <c r="D1473" s="75">
        <v>0.0</v>
      </c>
      <c r="E1473" s="75">
        <v>0.0</v>
      </c>
      <c r="F1473" s="75" t="s">
        <v>975</v>
      </c>
      <c r="G1473" s="82">
        <v>46111.0</v>
      </c>
      <c r="H1473" s="76" t="s">
        <v>928</v>
      </c>
      <c r="I1473" s="83"/>
      <c r="J1473" s="83"/>
      <c r="K1473" s="83"/>
      <c r="L1473" s="83"/>
      <c r="M1473" s="83"/>
      <c r="N1473" s="83"/>
      <c r="O1473" s="83"/>
      <c r="P1473" s="83"/>
      <c r="Q1473" s="83"/>
      <c r="R1473" s="83"/>
      <c r="S1473" s="83"/>
      <c r="T1473" s="83"/>
      <c r="U1473" s="83"/>
      <c r="V1473" s="83"/>
      <c r="W1473" s="83"/>
      <c r="X1473" s="83"/>
      <c r="Y1473" s="83"/>
      <c r="Z1473" s="83"/>
    </row>
    <row r="1474">
      <c r="A1474" s="75" t="s">
        <v>970</v>
      </c>
      <c r="B1474" s="75" t="s">
        <v>1001</v>
      </c>
      <c r="C1474" s="75">
        <v>41.56</v>
      </c>
      <c r="D1474" s="75">
        <v>11.0</v>
      </c>
      <c r="E1474" s="75">
        <v>3.78</v>
      </c>
      <c r="F1474" s="75" t="s">
        <v>975</v>
      </c>
      <c r="G1474" s="82">
        <v>46111.0</v>
      </c>
      <c r="H1474" s="76" t="s">
        <v>971</v>
      </c>
      <c r="I1474" s="83"/>
      <c r="J1474" s="83"/>
      <c r="K1474" s="83"/>
      <c r="L1474" s="83"/>
      <c r="M1474" s="83"/>
      <c r="N1474" s="83"/>
      <c r="O1474" s="83"/>
      <c r="P1474" s="83"/>
      <c r="Q1474" s="83"/>
      <c r="R1474" s="83"/>
      <c r="S1474" s="83"/>
      <c r="T1474" s="83"/>
      <c r="U1474" s="83"/>
      <c r="V1474" s="83"/>
      <c r="W1474" s="83"/>
      <c r="X1474" s="83"/>
      <c r="Y1474" s="83"/>
      <c r="Z1474" s="83"/>
    </row>
    <row r="1475">
      <c r="A1475" s="75" t="s">
        <v>970</v>
      </c>
      <c r="B1475" s="75" t="s">
        <v>1001</v>
      </c>
      <c r="C1475" s="75">
        <v>7.34</v>
      </c>
      <c r="D1475" s="75">
        <v>2.0</v>
      </c>
      <c r="E1475" s="75">
        <v>3.67</v>
      </c>
      <c r="F1475" s="75" t="s">
        <v>975</v>
      </c>
      <c r="G1475" s="82">
        <v>46111.0</v>
      </c>
      <c r="H1475" s="76" t="s">
        <v>972</v>
      </c>
      <c r="I1475" s="83"/>
      <c r="J1475" s="83"/>
      <c r="K1475" s="83"/>
      <c r="L1475" s="83"/>
      <c r="M1475" s="83"/>
      <c r="N1475" s="83"/>
      <c r="O1475" s="83"/>
      <c r="P1475" s="83"/>
      <c r="Q1475" s="83"/>
      <c r="R1475" s="83"/>
      <c r="S1475" s="83"/>
      <c r="T1475" s="83"/>
      <c r="U1475" s="83"/>
      <c r="V1475" s="83"/>
      <c r="W1475" s="83"/>
      <c r="X1475" s="83"/>
      <c r="Y1475" s="83"/>
      <c r="Z1475" s="83"/>
    </row>
    <row r="1476">
      <c r="A1476" s="75" t="s">
        <v>970</v>
      </c>
      <c r="B1476" s="75" t="s">
        <v>1001</v>
      </c>
      <c r="C1476" s="75">
        <v>33.19</v>
      </c>
      <c r="D1476" s="75">
        <v>20.0</v>
      </c>
      <c r="E1476" s="75">
        <v>1.66</v>
      </c>
      <c r="F1476" s="75" t="s">
        <v>975</v>
      </c>
      <c r="G1476" s="82">
        <v>46111.0</v>
      </c>
      <c r="H1476" s="76" t="s">
        <v>973</v>
      </c>
      <c r="I1476" s="83"/>
      <c r="J1476" s="83"/>
      <c r="K1476" s="83"/>
      <c r="L1476" s="83"/>
      <c r="M1476" s="83"/>
      <c r="N1476" s="83"/>
      <c r="O1476" s="83"/>
      <c r="P1476" s="83"/>
      <c r="Q1476" s="83"/>
      <c r="R1476" s="83"/>
      <c r="S1476" s="83"/>
      <c r="T1476" s="83"/>
      <c r="U1476" s="83"/>
      <c r="V1476" s="83"/>
      <c r="W1476" s="83"/>
      <c r="X1476" s="83"/>
      <c r="Y1476" s="83"/>
      <c r="Z1476" s="83"/>
    </row>
    <row r="1477">
      <c r="A1477" s="75" t="s">
        <v>29</v>
      </c>
      <c r="B1477" s="75" t="s">
        <v>1001</v>
      </c>
      <c r="C1477" s="75">
        <v>6.34</v>
      </c>
      <c r="D1477" s="75">
        <v>0.0</v>
      </c>
      <c r="E1477" s="75">
        <v>0.0</v>
      </c>
      <c r="F1477" s="75" t="s">
        <v>975</v>
      </c>
      <c r="G1477" s="82">
        <v>46111.0</v>
      </c>
      <c r="H1477" s="76" t="s">
        <v>971</v>
      </c>
      <c r="I1477" s="83"/>
      <c r="J1477" s="83"/>
      <c r="K1477" s="83"/>
      <c r="L1477" s="83"/>
      <c r="M1477" s="83"/>
      <c r="N1477" s="83"/>
      <c r="O1477" s="83"/>
      <c r="P1477" s="83"/>
      <c r="Q1477" s="83"/>
      <c r="R1477" s="83"/>
      <c r="S1477" s="83"/>
      <c r="T1477" s="83"/>
      <c r="U1477" s="83"/>
      <c r="V1477" s="83"/>
      <c r="W1477" s="83"/>
      <c r="X1477" s="83"/>
      <c r="Y1477" s="83"/>
      <c r="Z1477" s="83"/>
    </row>
    <row r="1478">
      <c r="A1478" s="75" t="s">
        <v>29</v>
      </c>
      <c r="B1478" s="75" t="s">
        <v>1001</v>
      </c>
      <c r="C1478" s="75">
        <v>0.29</v>
      </c>
      <c r="D1478" s="75">
        <v>1.0</v>
      </c>
      <c r="E1478" s="75">
        <v>0.29</v>
      </c>
      <c r="F1478" s="75" t="s">
        <v>975</v>
      </c>
      <c r="G1478" s="82">
        <v>46111.0</v>
      </c>
      <c r="H1478" s="76" t="s">
        <v>972</v>
      </c>
      <c r="I1478" s="83"/>
      <c r="J1478" s="83"/>
      <c r="K1478" s="83"/>
      <c r="L1478" s="83"/>
      <c r="M1478" s="83"/>
      <c r="N1478" s="83"/>
      <c r="O1478" s="83"/>
      <c r="P1478" s="83"/>
      <c r="Q1478" s="83"/>
      <c r="R1478" s="83"/>
      <c r="S1478" s="83"/>
      <c r="T1478" s="83"/>
      <c r="U1478" s="83"/>
      <c r="V1478" s="83"/>
      <c r="W1478" s="83"/>
      <c r="X1478" s="83"/>
      <c r="Y1478" s="83"/>
      <c r="Z1478" s="83"/>
    </row>
    <row r="1479">
      <c r="A1479" s="75" t="s">
        <v>29</v>
      </c>
      <c r="B1479" s="75" t="s">
        <v>1001</v>
      </c>
      <c r="C1479" s="75">
        <v>2.29</v>
      </c>
      <c r="D1479" s="75">
        <v>0.0</v>
      </c>
      <c r="E1479" s="75">
        <v>0.0</v>
      </c>
      <c r="F1479" s="75" t="s">
        <v>975</v>
      </c>
      <c r="G1479" s="82">
        <v>46111.0</v>
      </c>
      <c r="H1479" s="76" t="s">
        <v>973</v>
      </c>
      <c r="I1479" s="83"/>
      <c r="J1479" s="83"/>
      <c r="K1479" s="83"/>
      <c r="L1479" s="83"/>
      <c r="M1479" s="83"/>
      <c r="N1479" s="83"/>
      <c r="O1479" s="83"/>
      <c r="P1479" s="83"/>
      <c r="Q1479" s="83"/>
      <c r="R1479" s="83"/>
      <c r="S1479" s="83"/>
      <c r="T1479" s="83"/>
      <c r="U1479" s="83"/>
      <c r="V1479" s="83"/>
      <c r="W1479" s="83"/>
      <c r="X1479" s="83"/>
      <c r="Y1479" s="83"/>
      <c r="Z1479" s="83"/>
    </row>
    <row r="1480">
      <c r="A1480" s="75" t="s">
        <v>34</v>
      </c>
      <c r="B1480" s="75" t="s">
        <v>1004</v>
      </c>
      <c r="C1480" s="75">
        <v>3.26</v>
      </c>
      <c r="D1480" s="75">
        <v>0.0</v>
      </c>
      <c r="E1480" s="75">
        <v>0.0</v>
      </c>
      <c r="F1480" s="75" t="s">
        <v>990</v>
      </c>
      <c r="G1480" s="82">
        <v>46111.0</v>
      </c>
      <c r="H1480" s="76" t="s">
        <v>951</v>
      </c>
      <c r="I1480" s="83"/>
      <c r="J1480" s="83"/>
      <c r="K1480" s="83"/>
      <c r="L1480" s="83"/>
      <c r="M1480" s="83"/>
      <c r="N1480" s="83"/>
      <c r="O1480" s="83"/>
      <c r="P1480" s="83"/>
      <c r="Q1480" s="83"/>
      <c r="R1480" s="83"/>
      <c r="S1480" s="83"/>
      <c r="T1480" s="83"/>
      <c r="U1480" s="83"/>
      <c r="V1480" s="83"/>
      <c r="W1480" s="83"/>
      <c r="X1480" s="83"/>
      <c r="Y1480" s="83"/>
      <c r="Z1480" s="83"/>
    </row>
    <row r="1481">
      <c r="A1481" s="75" t="s">
        <v>34</v>
      </c>
      <c r="B1481" s="75" t="s">
        <v>1004</v>
      </c>
      <c r="C1481" s="75">
        <v>6.08</v>
      </c>
      <c r="D1481" s="75">
        <v>0.0</v>
      </c>
      <c r="E1481" s="75">
        <v>0.0</v>
      </c>
      <c r="F1481" s="75" t="s">
        <v>990</v>
      </c>
      <c r="G1481" s="82">
        <v>46111.0</v>
      </c>
      <c r="H1481" s="76" t="s">
        <v>952</v>
      </c>
      <c r="I1481" s="83"/>
      <c r="J1481" s="83"/>
      <c r="K1481" s="83"/>
      <c r="L1481" s="83"/>
      <c r="M1481" s="83"/>
      <c r="N1481" s="83"/>
      <c r="O1481" s="83"/>
      <c r="P1481" s="83"/>
      <c r="Q1481" s="83"/>
      <c r="R1481" s="83"/>
      <c r="S1481" s="83"/>
      <c r="T1481" s="83"/>
      <c r="U1481" s="83"/>
      <c r="V1481" s="83"/>
      <c r="W1481" s="83"/>
      <c r="X1481" s="83"/>
      <c r="Y1481" s="83"/>
      <c r="Z1481" s="83"/>
    </row>
    <row r="1482">
      <c r="A1482" s="75" t="s">
        <v>34</v>
      </c>
      <c r="B1482" s="75" t="s">
        <v>1004</v>
      </c>
      <c r="C1482" s="75">
        <v>12.08</v>
      </c>
      <c r="D1482" s="75">
        <v>0.0</v>
      </c>
      <c r="E1482" s="75">
        <v>0.0</v>
      </c>
      <c r="F1482" s="75" t="s">
        <v>990</v>
      </c>
      <c r="G1482" s="82">
        <v>46111.0</v>
      </c>
      <c r="H1482" s="76" t="s">
        <v>953</v>
      </c>
      <c r="I1482" s="83"/>
      <c r="J1482" s="83"/>
      <c r="K1482" s="83"/>
      <c r="L1482" s="83"/>
      <c r="M1482" s="83"/>
      <c r="N1482" s="83"/>
      <c r="O1482" s="83"/>
      <c r="P1482" s="83"/>
      <c r="Q1482" s="83"/>
      <c r="R1482" s="83"/>
      <c r="S1482" s="83"/>
      <c r="T1482" s="83"/>
      <c r="U1482" s="83"/>
      <c r="V1482" s="83"/>
      <c r="W1482" s="83"/>
      <c r="X1482" s="83"/>
      <c r="Y1482" s="83"/>
      <c r="Z1482" s="83"/>
    </row>
    <row r="1483">
      <c r="A1483" s="75" t="s">
        <v>40</v>
      </c>
      <c r="B1483" s="75" t="s">
        <v>1004</v>
      </c>
      <c r="C1483" s="75">
        <v>1.29</v>
      </c>
      <c r="D1483" s="75">
        <v>0.0</v>
      </c>
      <c r="E1483" s="75">
        <v>0.0</v>
      </c>
      <c r="F1483" s="75" t="s">
        <v>990</v>
      </c>
      <c r="G1483" s="82">
        <v>46111.0</v>
      </c>
      <c r="H1483" s="76" t="s">
        <v>954</v>
      </c>
      <c r="I1483" s="83"/>
      <c r="J1483" s="83"/>
      <c r="K1483" s="83"/>
      <c r="L1483" s="83"/>
      <c r="M1483" s="83"/>
      <c r="N1483" s="83"/>
      <c r="O1483" s="83"/>
      <c r="P1483" s="83"/>
      <c r="Q1483" s="83"/>
      <c r="R1483" s="83"/>
      <c r="S1483" s="83"/>
      <c r="T1483" s="83"/>
      <c r="U1483" s="83"/>
      <c r="V1483" s="83"/>
      <c r="W1483" s="83"/>
      <c r="X1483" s="83"/>
      <c r="Y1483" s="83"/>
      <c r="Z1483" s="83"/>
    </row>
    <row r="1484">
      <c r="A1484" s="75" t="s">
        <v>40</v>
      </c>
      <c r="B1484" s="75" t="s">
        <v>1004</v>
      </c>
      <c r="C1484" s="75">
        <v>1.18</v>
      </c>
      <c r="D1484" s="75">
        <v>0.0</v>
      </c>
      <c r="E1484" s="75">
        <v>0.0</v>
      </c>
      <c r="F1484" s="75" t="s">
        <v>990</v>
      </c>
      <c r="G1484" s="82">
        <v>46111.0</v>
      </c>
      <c r="H1484" s="76" t="s">
        <v>955</v>
      </c>
      <c r="I1484" s="83"/>
      <c r="J1484" s="83"/>
      <c r="K1484" s="83"/>
      <c r="L1484" s="83"/>
      <c r="M1484" s="83"/>
      <c r="N1484" s="83"/>
      <c r="O1484" s="83"/>
      <c r="P1484" s="83"/>
      <c r="Q1484" s="83"/>
      <c r="R1484" s="83"/>
      <c r="S1484" s="83"/>
      <c r="T1484" s="83"/>
      <c r="U1484" s="83"/>
      <c r="V1484" s="83"/>
      <c r="W1484" s="83"/>
      <c r="X1484" s="83"/>
      <c r="Y1484" s="83"/>
      <c r="Z1484" s="83"/>
    </row>
    <row r="1485">
      <c r="A1485" s="75" t="s">
        <v>40</v>
      </c>
      <c r="B1485" s="75" t="s">
        <v>1004</v>
      </c>
      <c r="C1485" s="75">
        <v>14.49</v>
      </c>
      <c r="D1485" s="75">
        <v>1.0</v>
      </c>
      <c r="E1485" s="75">
        <v>14.49</v>
      </c>
      <c r="F1485" s="75" t="s">
        <v>990</v>
      </c>
      <c r="G1485" s="82">
        <v>46111.0</v>
      </c>
      <c r="H1485" s="76" t="s">
        <v>956</v>
      </c>
      <c r="I1485" s="83"/>
      <c r="J1485" s="83"/>
      <c r="K1485" s="83"/>
      <c r="L1485" s="83"/>
      <c r="M1485" s="83"/>
      <c r="N1485" s="83"/>
      <c r="O1485" s="83"/>
      <c r="P1485" s="83"/>
      <c r="Q1485" s="83"/>
      <c r="R1485" s="83"/>
      <c r="S1485" s="83"/>
      <c r="T1485" s="83"/>
      <c r="U1485" s="83"/>
      <c r="V1485" s="83"/>
      <c r="W1485" s="83"/>
      <c r="X1485" s="83"/>
      <c r="Y1485" s="83"/>
      <c r="Z1485" s="83"/>
    </row>
    <row r="1486">
      <c r="A1486" s="75" t="s">
        <v>33</v>
      </c>
      <c r="B1486" s="75" t="s">
        <v>1004</v>
      </c>
      <c r="C1486" s="75">
        <v>7.57</v>
      </c>
      <c r="D1486" s="75">
        <v>7.0</v>
      </c>
      <c r="E1486" s="75">
        <v>1.08</v>
      </c>
      <c r="F1486" s="75" t="s">
        <v>990</v>
      </c>
      <c r="G1486" s="82">
        <v>46111.0</v>
      </c>
      <c r="H1486" s="76" t="s">
        <v>957</v>
      </c>
      <c r="I1486" s="83"/>
      <c r="J1486" s="83"/>
      <c r="K1486" s="83"/>
      <c r="L1486" s="83"/>
      <c r="M1486" s="83"/>
      <c r="N1486" s="83"/>
      <c r="O1486" s="83"/>
      <c r="P1486" s="83"/>
      <c r="Q1486" s="83"/>
      <c r="R1486" s="83"/>
      <c r="S1486" s="83"/>
      <c r="T1486" s="83"/>
      <c r="U1486" s="83"/>
      <c r="V1486" s="83"/>
      <c r="W1486" s="83"/>
      <c r="X1486" s="83"/>
      <c r="Y1486" s="83"/>
      <c r="Z1486" s="83"/>
    </row>
    <row r="1487">
      <c r="A1487" s="75" t="s">
        <v>33</v>
      </c>
      <c r="B1487" s="75" t="s">
        <v>1004</v>
      </c>
      <c r="C1487" s="75">
        <v>1.29</v>
      </c>
      <c r="D1487" s="75">
        <v>1.0</v>
      </c>
      <c r="E1487" s="75">
        <v>1.29</v>
      </c>
      <c r="F1487" s="75" t="s">
        <v>990</v>
      </c>
      <c r="G1487" s="82">
        <v>46111.0</v>
      </c>
      <c r="H1487" s="76" t="s">
        <v>958</v>
      </c>
      <c r="I1487" s="83"/>
      <c r="J1487" s="83"/>
      <c r="K1487" s="83"/>
      <c r="L1487" s="83"/>
      <c r="M1487" s="83"/>
      <c r="N1487" s="83"/>
      <c r="O1487" s="83"/>
      <c r="P1487" s="83"/>
      <c r="Q1487" s="83"/>
      <c r="R1487" s="83"/>
      <c r="S1487" s="83"/>
      <c r="T1487" s="83"/>
      <c r="U1487" s="83"/>
      <c r="V1487" s="83"/>
      <c r="W1487" s="83"/>
      <c r="X1487" s="83"/>
      <c r="Y1487" s="83"/>
      <c r="Z1487" s="83"/>
    </row>
    <row r="1488">
      <c r="A1488" s="75" t="s">
        <v>33</v>
      </c>
      <c r="B1488" s="75" t="s">
        <v>1004</v>
      </c>
      <c r="C1488" s="75">
        <v>5.03</v>
      </c>
      <c r="D1488" s="75">
        <v>0.0</v>
      </c>
      <c r="E1488" s="75">
        <v>0.0</v>
      </c>
      <c r="F1488" s="75" t="s">
        <v>990</v>
      </c>
      <c r="G1488" s="82">
        <v>46111.0</v>
      </c>
      <c r="H1488" s="76" t="s">
        <v>959</v>
      </c>
      <c r="I1488" s="83"/>
      <c r="J1488" s="83"/>
      <c r="K1488" s="83"/>
      <c r="L1488" s="83"/>
      <c r="M1488" s="83"/>
      <c r="N1488" s="83"/>
      <c r="O1488" s="83"/>
      <c r="P1488" s="83"/>
      <c r="Q1488" s="83"/>
      <c r="R1488" s="83"/>
      <c r="S1488" s="83"/>
      <c r="T1488" s="83"/>
      <c r="U1488" s="83"/>
      <c r="V1488" s="83"/>
      <c r="W1488" s="83"/>
      <c r="X1488" s="83"/>
      <c r="Y1488" s="83"/>
      <c r="Z1488" s="83"/>
    </row>
    <row r="1489">
      <c r="A1489" s="75" t="s">
        <v>46</v>
      </c>
      <c r="B1489" s="75" t="s">
        <v>1004</v>
      </c>
      <c r="C1489" s="75">
        <v>6.07</v>
      </c>
      <c r="D1489" s="75">
        <v>1.0</v>
      </c>
      <c r="E1489" s="75">
        <v>6.07</v>
      </c>
      <c r="F1489" s="75" t="s">
        <v>990</v>
      </c>
      <c r="G1489" s="82">
        <v>46111.0</v>
      </c>
      <c r="H1489" s="76" t="s">
        <v>960</v>
      </c>
      <c r="I1489" s="83"/>
      <c r="J1489" s="83"/>
      <c r="K1489" s="83"/>
      <c r="L1489" s="83"/>
      <c r="M1489" s="83"/>
      <c r="N1489" s="83"/>
      <c r="O1489" s="83"/>
      <c r="P1489" s="83"/>
      <c r="Q1489" s="83"/>
      <c r="R1489" s="83"/>
      <c r="S1489" s="83"/>
      <c r="T1489" s="83"/>
      <c r="U1489" s="83"/>
      <c r="V1489" s="83"/>
      <c r="W1489" s="83"/>
      <c r="X1489" s="83"/>
      <c r="Y1489" s="83"/>
      <c r="Z1489" s="83"/>
    </row>
    <row r="1490">
      <c r="A1490" s="75" t="s">
        <v>46</v>
      </c>
      <c r="B1490" s="75" t="s">
        <v>1004</v>
      </c>
      <c r="C1490" s="75">
        <v>1.37</v>
      </c>
      <c r="D1490" s="75">
        <v>1.0</v>
      </c>
      <c r="E1490" s="75">
        <v>1.37</v>
      </c>
      <c r="F1490" s="75" t="s">
        <v>990</v>
      </c>
      <c r="G1490" s="82">
        <v>46111.0</v>
      </c>
      <c r="H1490" s="76" t="s">
        <v>961</v>
      </c>
      <c r="I1490" s="83"/>
      <c r="J1490" s="83"/>
      <c r="K1490" s="83"/>
      <c r="L1490" s="83"/>
      <c r="M1490" s="83"/>
      <c r="N1490" s="83"/>
      <c r="O1490" s="83"/>
      <c r="P1490" s="83"/>
      <c r="Q1490" s="83"/>
      <c r="R1490" s="83"/>
      <c r="S1490" s="83"/>
      <c r="T1490" s="83"/>
      <c r="U1490" s="83"/>
      <c r="V1490" s="83"/>
      <c r="W1490" s="83"/>
      <c r="X1490" s="83"/>
      <c r="Y1490" s="83"/>
      <c r="Z1490" s="83"/>
    </row>
    <row r="1491">
      <c r="A1491" s="75" t="s">
        <v>46</v>
      </c>
      <c r="B1491" s="75" t="s">
        <v>1004</v>
      </c>
      <c r="C1491" s="75">
        <v>2.51</v>
      </c>
      <c r="D1491" s="75">
        <v>0.0</v>
      </c>
      <c r="E1491" s="75">
        <v>0.0</v>
      </c>
      <c r="F1491" s="75" t="s">
        <v>990</v>
      </c>
      <c r="G1491" s="82">
        <v>46111.0</v>
      </c>
      <c r="H1491" s="76" t="s">
        <v>962</v>
      </c>
      <c r="I1491" s="83"/>
      <c r="J1491" s="83"/>
      <c r="K1491" s="83"/>
      <c r="L1491" s="83"/>
      <c r="M1491" s="83"/>
      <c r="N1491" s="83"/>
      <c r="O1491" s="83"/>
      <c r="P1491" s="83"/>
      <c r="Q1491" s="83"/>
      <c r="R1491" s="83"/>
      <c r="S1491" s="83"/>
      <c r="T1491" s="83"/>
      <c r="U1491" s="83"/>
      <c r="V1491" s="83"/>
      <c r="W1491" s="83"/>
      <c r="X1491" s="83"/>
      <c r="Y1491" s="83"/>
      <c r="Z1491" s="83"/>
    </row>
    <row r="1492">
      <c r="A1492" s="75" t="s">
        <v>43</v>
      </c>
      <c r="B1492" s="75" t="s">
        <v>1004</v>
      </c>
      <c r="C1492" s="75">
        <v>3.67</v>
      </c>
      <c r="D1492" s="75">
        <v>0.0</v>
      </c>
      <c r="E1492" s="75">
        <v>0.0</v>
      </c>
      <c r="F1492" s="75" t="s">
        <v>990</v>
      </c>
      <c r="G1492" s="82">
        <v>46111.0</v>
      </c>
      <c r="H1492" s="76" t="s">
        <v>963</v>
      </c>
      <c r="I1492" s="83"/>
      <c r="J1492" s="83"/>
      <c r="K1492" s="83"/>
      <c r="L1492" s="83"/>
      <c r="M1492" s="83"/>
      <c r="N1492" s="83"/>
      <c r="O1492" s="83"/>
      <c r="P1492" s="83"/>
      <c r="Q1492" s="83"/>
      <c r="R1492" s="83"/>
      <c r="S1492" s="83"/>
      <c r="T1492" s="83"/>
      <c r="U1492" s="83"/>
      <c r="V1492" s="83"/>
      <c r="W1492" s="83"/>
      <c r="X1492" s="83"/>
      <c r="Y1492" s="83"/>
      <c r="Z1492" s="83"/>
    </row>
    <row r="1493">
      <c r="A1493" s="75" t="s">
        <v>43</v>
      </c>
      <c r="B1493" s="75" t="s">
        <v>1004</v>
      </c>
      <c r="C1493" s="75">
        <v>1.54</v>
      </c>
      <c r="D1493" s="75">
        <v>0.0</v>
      </c>
      <c r="E1493" s="75">
        <v>0.0</v>
      </c>
      <c r="F1493" s="75" t="s">
        <v>990</v>
      </c>
      <c r="G1493" s="82">
        <v>46111.0</v>
      </c>
      <c r="H1493" s="76" t="s">
        <v>964</v>
      </c>
      <c r="I1493" s="83"/>
      <c r="J1493" s="83"/>
      <c r="K1493" s="83"/>
      <c r="L1493" s="83"/>
      <c r="M1493" s="83"/>
      <c r="N1493" s="83"/>
      <c r="O1493" s="83"/>
      <c r="P1493" s="83"/>
      <c r="Q1493" s="83"/>
      <c r="R1493" s="83"/>
      <c r="S1493" s="83"/>
      <c r="T1493" s="83"/>
      <c r="U1493" s="83"/>
      <c r="V1493" s="83"/>
      <c r="W1493" s="83"/>
      <c r="X1493" s="83"/>
      <c r="Y1493" s="83"/>
      <c r="Z1493" s="83"/>
    </row>
    <row r="1494">
      <c r="A1494" s="75" t="s">
        <v>43</v>
      </c>
      <c r="B1494" s="75" t="s">
        <v>1004</v>
      </c>
      <c r="C1494" s="75">
        <v>9.78</v>
      </c>
      <c r="D1494" s="75">
        <v>0.0</v>
      </c>
      <c r="E1494" s="75">
        <v>0.0</v>
      </c>
      <c r="F1494" s="75" t="s">
        <v>990</v>
      </c>
      <c r="G1494" s="82">
        <v>46111.0</v>
      </c>
      <c r="H1494" s="76" t="s">
        <v>965</v>
      </c>
      <c r="I1494" s="83"/>
      <c r="J1494" s="83"/>
      <c r="K1494" s="83"/>
      <c r="L1494" s="83"/>
      <c r="M1494" s="83"/>
      <c r="N1494" s="83"/>
      <c r="O1494" s="83"/>
      <c r="P1494" s="83"/>
      <c r="Q1494" s="83"/>
      <c r="R1494" s="83"/>
      <c r="S1494" s="83"/>
      <c r="T1494" s="83"/>
      <c r="U1494" s="83"/>
      <c r="V1494" s="83"/>
      <c r="W1494" s="83"/>
      <c r="X1494" s="83"/>
      <c r="Y1494" s="83"/>
      <c r="Z1494" s="83"/>
    </row>
    <row r="1495">
      <c r="A1495" s="75" t="s">
        <v>966</v>
      </c>
      <c r="B1495" s="75" t="s">
        <v>1004</v>
      </c>
      <c r="C1495" s="75">
        <v>4.88</v>
      </c>
      <c r="D1495" s="75">
        <v>0.0</v>
      </c>
      <c r="E1495" s="75">
        <v>0.0</v>
      </c>
      <c r="F1495" s="75" t="s">
        <v>990</v>
      </c>
      <c r="G1495" s="82">
        <v>46111.0</v>
      </c>
      <c r="H1495" s="76" t="s">
        <v>967</v>
      </c>
      <c r="I1495" s="83"/>
      <c r="J1495" s="83"/>
      <c r="K1495" s="83"/>
      <c r="L1495" s="83"/>
      <c r="M1495" s="83"/>
      <c r="N1495" s="83"/>
      <c r="O1495" s="83"/>
      <c r="P1495" s="83"/>
      <c r="Q1495" s="83"/>
      <c r="R1495" s="83"/>
      <c r="S1495" s="83"/>
      <c r="T1495" s="83"/>
      <c r="U1495" s="83"/>
      <c r="V1495" s="83"/>
      <c r="W1495" s="83"/>
      <c r="X1495" s="83"/>
      <c r="Y1495" s="83"/>
      <c r="Z1495" s="83"/>
    </row>
    <row r="1496">
      <c r="A1496" s="75" t="s">
        <v>966</v>
      </c>
      <c r="B1496" s="75" t="s">
        <v>1004</v>
      </c>
      <c r="C1496" s="75">
        <v>3.23</v>
      </c>
      <c r="D1496" s="75">
        <v>0.0</v>
      </c>
      <c r="E1496" s="75">
        <v>0.0</v>
      </c>
      <c r="F1496" s="75" t="s">
        <v>990</v>
      </c>
      <c r="G1496" s="82">
        <v>46111.0</v>
      </c>
      <c r="H1496" s="76" t="s">
        <v>968</v>
      </c>
      <c r="I1496" s="83"/>
      <c r="J1496" s="83"/>
      <c r="K1496" s="83"/>
      <c r="L1496" s="83"/>
      <c r="M1496" s="83"/>
      <c r="N1496" s="83"/>
      <c r="O1496" s="83"/>
      <c r="P1496" s="83"/>
      <c r="Q1496" s="83"/>
      <c r="R1496" s="83"/>
      <c r="S1496" s="83"/>
      <c r="T1496" s="83"/>
      <c r="U1496" s="83"/>
      <c r="V1496" s="83"/>
      <c r="W1496" s="83"/>
      <c r="X1496" s="83"/>
      <c r="Y1496" s="83"/>
      <c r="Z1496" s="83"/>
    </row>
    <row r="1497">
      <c r="A1497" s="75" t="s">
        <v>966</v>
      </c>
      <c r="B1497" s="75" t="s">
        <v>1004</v>
      </c>
      <c r="C1497" s="75">
        <v>2.27</v>
      </c>
      <c r="D1497" s="75">
        <v>0.0</v>
      </c>
      <c r="E1497" s="75">
        <v>0.0</v>
      </c>
      <c r="F1497" s="75" t="s">
        <v>990</v>
      </c>
      <c r="G1497" s="82">
        <v>46111.0</v>
      </c>
      <c r="H1497" s="76" t="s">
        <v>969</v>
      </c>
      <c r="I1497" s="83"/>
      <c r="J1497" s="83"/>
      <c r="K1497" s="83"/>
      <c r="L1497" s="83"/>
      <c r="M1497" s="83"/>
      <c r="N1497" s="83"/>
      <c r="O1497" s="83"/>
      <c r="P1497" s="83"/>
      <c r="Q1497" s="83"/>
      <c r="R1497" s="83"/>
      <c r="S1497" s="83"/>
      <c r="T1497" s="83"/>
      <c r="U1497" s="83"/>
      <c r="V1497" s="83"/>
      <c r="W1497" s="83"/>
      <c r="X1497" s="83"/>
      <c r="Y1497" s="83"/>
      <c r="Z1497" s="83"/>
    </row>
    <row r="1498">
      <c r="A1498" s="75" t="s">
        <v>36</v>
      </c>
      <c r="B1498" s="75" t="s">
        <v>1004</v>
      </c>
      <c r="C1498" s="75">
        <v>42.21</v>
      </c>
      <c r="D1498" s="75">
        <v>0.0</v>
      </c>
      <c r="E1498" s="75">
        <v>0.0</v>
      </c>
      <c r="F1498" s="75" t="s">
        <v>990</v>
      </c>
      <c r="G1498" s="82">
        <v>46111.0</v>
      </c>
      <c r="H1498" s="76" t="s">
        <v>926</v>
      </c>
      <c r="I1498" s="83"/>
      <c r="J1498" s="83"/>
      <c r="K1498" s="83"/>
      <c r="L1498" s="83"/>
      <c r="M1498" s="83"/>
      <c r="N1498" s="83"/>
      <c r="O1498" s="83"/>
      <c r="P1498" s="83"/>
      <c r="Q1498" s="83"/>
      <c r="R1498" s="83"/>
      <c r="S1498" s="83"/>
      <c r="T1498" s="83"/>
      <c r="U1498" s="83"/>
      <c r="V1498" s="83"/>
      <c r="W1498" s="83"/>
      <c r="X1498" s="83"/>
      <c r="Y1498" s="83"/>
      <c r="Z1498" s="83"/>
    </row>
    <row r="1499">
      <c r="A1499" s="75" t="s">
        <v>36</v>
      </c>
      <c r="B1499" s="75" t="s">
        <v>1004</v>
      </c>
      <c r="C1499" s="75">
        <v>10.64</v>
      </c>
      <c r="D1499" s="75">
        <v>0.0</v>
      </c>
      <c r="E1499" s="75">
        <v>0.0</v>
      </c>
      <c r="F1499" s="75" t="s">
        <v>990</v>
      </c>
      <c r="G1499" s="82">
        <v>46111.0</v>
      </c>
      <c r="H1499" s="76" t="s">
        <v>927</v>
      </c>
      <c r="I1499" s="83"/>
      <c r="J1499" s="83"/>
      <c r="K1499" s="83"/>
      <c r="L1499" s="83"/>
      <c r="M1499" s="83"/>
      <c r="N1499" s="83"/>
      <c r="O1499" s="83"/>
      <c r="P1499" s="83"/>
      <c r="Q1499" s="83"/>
      <c r="R1499" s="83"/>
      <c r="S1499" s="83"/>
      <c r="T1499" s="83"/>
      <c r="U1499" s="83"/>
      <c r="V1499" s="83"/>
      <c r="W1499" s="83"/>
      <c r="X1499" s="83"/>
      <c r="Y1499" s="83"/>
      <c r="Z1499" s="83"/>
    </row>
    <row r="1500">
      <c r="A1500" s="75" t="s">
        <v>36</v>
      </c>
      <c r="B1500" s="75" t="s">
        <v>1004</v>
      </c>
      <c r="C1500" s="75">
        <v>12.13</v>
      </c>
      <c r="D1500" s="75">
        <v>0.0</v>
      </c>
      <c r="E1500" s="75">
        <v>0.0</v>
      </c>
      <c r="F1500" s="75" t="s">
        <v>990</v>
      </c>
      <c r="G1500" s="82">
        <v>46111.0</v>
      </c>
      <c r="H1500" s="76" t="s">
        <v>928</v>
      </c>
      <c r="I1500" s="83"/>
      <c r="J1500" s="83"/>
      <c r="K1500" s="83"/>
      <c r="L1500" s="83"/>
      <c r="M1500" s="83"/>
      <c r="N1500" s="83"/>
      <c r="O1500" s="83"/>
      <c r="P1500" s="83"/>
      <c r="Q1500" s="83"/>
      <c r="R1500" s="83"/>
      <c r="S1500" s="83"/>
      <c r="T1500" s="83"/>
      <c r="U1500" s="83"/>
      <c r="V1500" s="83"/>
      <c r="W1500" s="83"/>
      <c r="X1500" s="83"/>
      <c r="Y1500" s="83"/>
      <c r="Z1500" s="83"/>
    </row>
    <row r="1501">
      <c r="A1501" s="75" t="s">
        <v>970</v>
      </c>
      <c r="B1501" s="75" t="s">
        <v>1004</v>
      </c>
      <c r="C1501" s="75">
        <v>4.8</v>
      </c>
      <c r="D1501" s="75">
        <v>3.0</v>
      </c>
      <c r="E1501" s="75">
        <v>1.6</v>
      </c>
      <c r="F1501" s="75" t="s">
        <v>990</v>
      </c>
      <c r="G1501" s="82">
        <v>46111.0</v>
      </c>
      <c r="H1501" s="76" t="s">
        <v>971</v>
      </c>
      <c r="I1501" s="83"/>
      <c r="J1501" s="83"/>
      <c r="K1501" s="83"/>
      <c r="L1501" s="83"/>
      <c r="M1501" s="83"/>
      <c r="N1501" s="83"/>
      <c r="O1501" s="83"/>
      <c r="P1501" s="83"/>
      <c r="Q1501" s="83"/>
      <c r="R1501" s="83"/>
      <c r="S1501" s="83"/>
      <c r="T1501" s="83"/>
      <c r="U1501" s="83"/>
      <c r="V1501" s="83"/>
      <c r="W1501" s="83"/>
      <c r="X1501" s="83"/>
      <c r="Y1501" s="83"/>
      <c r="Z1501" s="83"/>
    </row>
    <row r="1502">
      <c r="A1502" s="75" t="s">
        <v>970</v>
      </c>
      <c r="B1502" s="75" t="s">
        <v>1004</v>
      </c>
      <c r="C1502" s="75">
        <v>2.85</v>
      </c>
      <c r="D1502" s="75">
        <v>0.0</v>
      </c>
      <c r="E1502" s="75">
        <v>0.0</v>
      </c>
      <c r="F1502" s="75" t="s">
        <v>990</v>
      </c>
      <c r="G1502" s="82">
        <v>46111.0</v>
      </c>
      <c r="H1502" s="76" t="s">
        <v>972</v>
      </c>
      <c r="I1502" s="83"/>
      <c r="J1502" s="83"/>
      <c r="K1502" s="83"/>
      <c r="L1502" s="83"/>
      <c r="M1502" s="83"/>
      <c r="N1502" s="83"/>
      <c r="O1502" s="83"/>
      <c r="P1502" s="83"/>
      <c r="Q1502" s="83"/>
      <c r="R1502" s="83"/>
      <c r="S1502" s="83"/>
      <c r="T1502" s="83"/>
      <c r="U1502" s="83"/>
      <c r="V1502" s="83"/>
      <c r="W1502" s="83"/>
      <c r="X1502" s="83"/>
      <c r="Y1502" s="83"/>
      <c r="Z1502" s="83"/>
    </row>
    <row r="1503">
      <c r="A1503" s="75" t="s">
        <v>970</v>
      </c>
      <c r="B1503" s="75" t="s">
        <v>1004</v>
      </c>
      <c r="C1503" s="75">
        <v>7.41</v>
      </c>
      <c r="D1503" s="75">
        <v>8.0</v>
      </c>
      <c r="E1503" s="75">
        <v>0.93</v>
      </c>
      <c r="F1503" s="75" t="s">
        <v>990</v>
      </c>
      <c r="G1503" s="82">
        <v>46111.0</v>
      </c>
      <c r="H1503" s="76" t="s">
        <v>973</v>
      </c>
      <c r="I1503" s="83"/>
      <c r="J1503" s="83"/>
      <c r="K1503" s="83"/>
      <c r="L1503" s="83"/>
      <c r="M1503" s="83"/>
      <c r="N1503" s="83"/>
      <c r="O1503" s="83"/>
      <c r="P1503" s="83"/>
      <c r="Q1503" s="83"/>
      <c r="R1503" s="83"/>
      <c r="S1503" s="83"/>
      <c r="T1503" s="83"/>
      <c r="U1503" s="83"/>
      <c r="V1503" s="83"/>
      <c r="W1503" s="83"/>
      <c r="X1503" s="83"/>
      <c r="Y1503" s="83"/>
      <c r="Z1503" s="83"/>
    </row>
    <row r="1504">
      <c r="A1504" s="75" t="s">
        <v>29</v>
      </c>
      <c r="B1504" s="75" t="s">
        <v>1004</v>
      </c>
      <c r="C1504" s="75">
        <v>0.4</v>
      </c>
      <c r="D1504" s="75">
        <v>0.0</v>
      </c>
      <c r="E1504" s="75">
        <v>0.0</v>
      </c>
      <c r="F1504" s="75" t="s">
        <v>990</v>
      </c>
      <c r="G1504" s="82">
        <v>46111.0</v>
      </c>
      <c r="H1504" s="76" t="s">
        <v>971</v>
      </c>
      <c r="I1504" s="83"/>
      <c r="J1504" s="83"/>
      <c r="K1504" s="83"/>
      <c r="L1504" s="83"/>
      <c r="M1504" s="83"/>
      <c r="N1504" s="83"/>
      <c r="O1504" s="83"/>
      <c r="P1504" s="83"/>
      <c r="Q1504" s="83"/>
      <c r="R1504" s="83"/>
      <c r="S1504" s="83"/>
      <c r="T1504" s="83"/>
      <c r="U1504" s="83"/>
      <c r="V1504" s="83"/>
      <c r="W1504" s="83"/>
      <c r="X1504" s="83"/>
      <c r="Y1504" s="83"/>
      <c r="Z1504" s="83"/>
    </row>
    <row r="1505">
      <c r="A1505" s="75" t="s">
        <v>29</v>
      </c>
      <c r="B1505" s="75" t="s">
        <v>1004</v>
      </c>
      <c r="C1505" s="75">
        <v>0.06</v>
      </c>
      <c r="D1505" s="75">
        <v>0.0</v>
      </c>
      <c r="E1505" s="75">
        <v>0.0</v>
      </c>
      <c r="F1505" s="75" t="s">
        <v>990</v>
      </c>
      <c r="G1505" s="82">
        <v>46111.0</v>
      </c>
      <c r="H1505" s="76" t="s">
        <v>972</v>
      </c>
      <c r="I1505" s="83"/>
      <c r="J1505" s="83"/>
      <c r="K1505" s="83"/>
      <c r="L1505" s="83"/>
      <c r="M1505" s="83"/>
      <c r="N1505" s="83"/>
      <c r="O1505" s="83"/>
      <c r="P1505" s="83"/>
      <c r="Q1505" s="83"/>
      <c r="R1505" s="83"/>
      <c r="S1505" s="83"/>
      <c r="T1505" s="83"/>
      <c r="U1505" s="83"/>
      <c r="V1505" s="83"/>
      <c r="W1505" s="83"/>
      <c r="X1505" s="83"/>
      <c r="Y1505" s="83"/>
      <c r="Z1505" s="83"/>
    </row>
    <row r="1506">
      <c r="A1506" s="75" t="s">
        <v>29</v>
      </c>
      <c r="B1506" s="75" t="s">
        <v>1004</v>
      </c>
      <c r="C1506" s="75">
        <v>1.05</v>
      </c>
      <c r="D1506" s="75">
        <v>1.0</v>
      </c>
      <c r="E1506" s="75">
        <v>1.05</v>
      </c>
      <c r="F1506" s="75" t="s">
        <v>990</v>
      </c>
      <c r="G1506" s="82">
        <v>46111.0</v>
      </c>
      <c r="H1506" s="76" t="s">
        <v>973</v>
      </c>
      <c r="I1506" s="83"/>
      <c r="J1506" s="83"/>
      <c r="K1506" s="83"/>
      <c r="L1506" s="83"/>
      <c r="M1506" s="83"/>
      <c r="N1506" s="83"/>
      <c r="O1506" s="83"/>
      <c r="P1506" s="83"/>
      <c r="Q1506" s="83"/>
      <c r="R1506" s="83"/>
      <c r="S1506" s="83"/>
      <c r="T1506" s="83"/>
      <c r="U1506" s="83"/>
      <c r="V1506" s="83"/>
      <c r="W1506" s="83"/>
      <c r="X1506" s="83"/>
      <c r="Y1506" s="83"/>
      <c r="Z1506" s="83"/>
    </row>
    <row r="1507">
      <c r="A1507" s="75" t="s">
        <v>34</v>
      </c>
      <c r="B1507" s="75" t="s">
        <v>1004</v>
      </c>
      <c r="C1507" s="75">
        <v>14.1</v>
      </c>
      <c r="D1507" s="75">
        <v>0.0</v>
      </c>
      <c r="E1507" s="75">
        <v>0.0</v>
      </c>
      <c r="F1507" s="75" t="s">
        <v>993</v>
      </c>
      <c r="G1507" s="82">
        <v>46111.0</v>
      </c>
      <c r="H1507" s="76" t="s">
        <v>951</v>
      </c>
      <c r="I1507" s="83"/>
      <c r="J1507" s="83"/>
      <c r="K1507" s="83"/>
      <c r="L1507" s="83"/>
      <c r="M1507" s="83"/>
      <c r="N1507" s="83"/>
      <c r="O1507" s="83"/>
      <c r="P1507" s="83"/>
      <c r="Q1507" s="83"/>
      <c r="R1507" s="83"/>
      <c r="S1507" s="83"/>
      <c r="T1507" s="83"/>
      <c r="U1507" s="83"/>
      <c r="V1507" s="83"/>
      <c r="W1507" s="83"/>
      <c r="X1507" s="83"/>
      <c r="Y1507" s="83"/>
      <c r="Z1507" s="83"/>
    </row>
    <row r="1508">
      <c r="A1508" s="75" t="s">
        <v>34</v>
      </c>
      <c r="B1508" s="75" t="s">
        <v>1004</v>
      </c>
      <c r="C1508" s="75">
        <v>11.14</v>
      </c>
      <c r="D1508" s="75">
        <v>3.0</v>
      </c>
      <c r="E1508" s="75">
        <v>3.71</v>
      </c>
      <c r="F1508" s="75" t="s">
        <v>993</v>
      </c>
      <c r="G1508" s="82">
        <v>46111.0</v>
      </c>
      <c r="H1508" s="76" t="s">
        <v>952</v>
      </c>
      <c r="I1508" s="83"/>
      <c r="J1508" s="83"/>
      <c r="K1508" s="83"/>
      <c r="L1508" s="83"/>
      <c r="M1508" s="83"/>
      <c r="N1508" s="83"/>
      <c r="O1508" s="83"/>
      <c r="P1508" s="83"/>
      <c r="Q1508" s="83"/>
      <c r="R1508" s="83"/>
      <c r="S1508" s="83"/>
      <c r="T1508" s="83"/>
      <c r="U1508" s="83"/>
      <c r="V1508" s="83"/>
      <c r="W1508" s="83"/>
      <c r="X1508" s="83"/>
      <c r="Y1508" s="83"/>
      <c r="Z1508" s="83"/>
    </row>
    <row r="1509">
      <c r="A1509" s="75" t="s">
        <v>34</v>
      </c>
      <c r="B1509" s="75" t="s">
        <v>1004</v>
      </c>
      <c r="C1509" s="75">
        <v>59.52</v>
      </c>
      <c r="D1509" s="75">
        <v>4.0</v>
      </c>
      <c r="E1509" s="75">
        <v>14.88</v>
      </c>
      <c r="F1509" s="75" t="s">
        <v>993</v>
      </c>
      <c r="G1509" s="82">
        <v>46111.0</v>
      </c>
      <c r="H1509" s="76" t="s">
        <v>953</v>
      </c>
      <c r="I1509" s="83"/>
      <c r="J1509" s="83"/>
      <c r="K1509" s="83"/>
      <c r="L1509" s="83"/>
      <c r="M1509" s="83"/>
      <c r="N1509" s="83"/>
      <c r="O1509" s="83"/>
      <c r="P1509" s="83"/>
      <c r="Q1509" s="83"/>
      <c r="R1509" s="83"/>
      <c r="S1509" s="83"/>
      <c r="T1509" s="83"/>
      <c r="U1509" s="83"/>
      <c r="V1509" s="83"/>
      <c r="W1509" s="83"/>
      <c r="X1509" s="83"/>
      <c r="Y1509" s="83"/>
      <c r="Z1509" s="83"/>
    </row>
    <row r="1510">
      <c r="A1510" s="75" t="s">
        <v>40</v>
      </c>
      <c r="B1510" s="75" t="s">
        <v>1004</v>
      </c>
      <c r="C1510" s="75">
        <v>2.26</v>
      </c>
      <c r="D1510" s="75">
        <v>0.0</v>
      </c>
      <c r="E1510" s="75">
        <v>0.0</v>
      </c>
      <c r="F1510" s="75" t="s">
        <v>993</v>
      </c>
      <c r="G1510" s="82">
        <v>46111.0</v>
      </c>
      <c r="H1510" s="76" t="s">
        <v>954</v>
      </c>
      <c r="I1510" s="83"/>
      <c r="J1510" s="83"/>
      <c r="K1510" s="83"/>
      <c r="L1510" s="83"/>
      <c r="M1510" s="83"/>
      <c r="N1510" s="83"/>
      <c r="O1510" s="83"/>
      <c r="P1510" s="83"/>
      <c r="Q1510" s="83"/>
      <c r="R1510" s="83"/>
      <c r="S1510" s="83"/>
      <c r="T1510" s="83"/>
      <c r="U1510" s="83"/>
      <c r="V1510" s="83"/>
      <c r="W1510" s="83"/>
      <c r="X1510" s="83"/>
      <c r="Y1510" s="83"/>
      <c r="Z1510" s="83"/>
    </row>
    <row r="1511">
      <c r="A1511" s="75" t="s">
        <v>40</v>
      </c>
      <c r="B1511" s="75" t="s">
        <v>1004</v>
      </c>
      <c r="C1511" s="75">
        <v>2.13</v>
      </c>
      <c r="D1511" s="75">
        <v>0.0</v>
      </c>
      <c r="E1511" s="75">
        <v>0.0</v>
      </c>
      <c r="F1511" s="75" t="s">
        <v>993</v>
      </c>
      <c r="G1511" s="82">
        <v>46111.0</v>
      </c>
      <c r="H1511" s="76" t="s">
        <v>955</v>
      </c>
      <c r="I1511" s="83"/>
      <c r="J1511" s="83"/>
      <c r="K1511" s="83"/>
      <c r="L1511" s="83"/>
      <c r="M1511" s="83"/>
      <c r="N1511" s="83"/>
      <c r="O1511" s="83"/>
      <c r="P1511" s="83"/>
      <c r="Q1511" s="83"/>
      <c r="R1511" s="83"/>
      <c r="S1511" s="83"/>
      <c r="T1511" s="83"/>
      <c r="U1511" s="83"/>
      <c r="V1511" s="83"/>
      <c r="W1511" s="83"/>
      <c r="X1511" s="83"/>
      <c r="Y1511" s="83"/>
      <c r="Z1511" s="83"/>
    </row>
    <row r="1512">
      <c r="A1512" s="75" t="s">
        <v>40</v>
      </c>
      <c r="B1512" s="75" t="s">
        <v>1004</v>
      </c>
      <c r="C1512" s="75">
        <v>38.54</v>
      </c>
      <c r="D1512" s="75">
        <v>2.0</v>
      </c>
      <c r="E1512" s="75">
        <v>19.27</v>
      </c>
      <c r="F1512" s="75" t="s">
        <v>993</v>
      </c>
      <c r="G1512" s="82">
        <v>46111.0</v>
      </c>
      <c r="H1512" s="76" t="s">
        <v>956</v>
      </c>
      <c r="I1512" s="83"/>
      <c r="J1512" s="83"/>
      <c r="K1512" s="83"/>
      <c r="L1512" s="83"/>
      <c r="M1512" s="83"/>
      <c r="N1512" s="83"/>
      <c r="O1512" s="83"/>
      <c r="P1512" s="83"/>
      <c r="Q1512" s="83"/>
      <c r="R1512" s="83"/>
      <c r="S1512" s="83"/>
      <c r="T1512" s="83"/>
      <c r="U1512" s="83"/>
      <c r="V1512" s="83"/>
      <c r="W1512" s="83"/>
      <c r="X1512" s="83"/>
      <c r="Y1512" s="83"/>
      <c r="Z1512" s="83"/>
    </row>
    <row r="1513">
      <c r="A1513" s="75" t="s">
        <v>33</v>
      </c>
      <c r="B1513" s="75" t="s">
        <v>1004</v>
      </c>
      <c r="C1513" s="75">
        <v>17.83</v>
      </c>
      <c r="D1513" s="75">
        <v>21.0</v>
      </c>
      <c r="E1513" s="75">
        <v>0.85</v>
      </c>
      <c r="F1513" s="75" t="s">
        <v>993</v>
      </c>
      <c r="G1513" s="82">
        <v>46111.0</v>
      </c>
      <c r="H1513" s="76" t="s">
        <v>957</v>
      </c>
      <c r="I1513" s="83"/>
      <c r="J1513" s="83"/>
      <c r="K1513" s="83"/>
      <c r="L1513" s="83"/>
      <c r="M1513" s="83"/>
      <c r="N1513" s="83"/>
      <c r="O1513" s="83"/>
      <c r="P1513" s="83"/>
      <c r="Q1513" s="83"/>
      <c r="R1513" s="83"/>
      <c r="S1513" s="83"/>
      <c r="T1513" s="83"/>
      <c r="U1513" s="83"/>
      <c r="V1513" s="83"/>
      <c r="W1513" s="83"/>
      <c r="X1513" s="83"/>
      <c r="Y1513" s="83"/>
      <c r="Z1513" s="83"/>
    </row>
    <row r="1514">
      <c r="A1514" s="75" t="s">
        <v>33</v>
      </c>
      <c r="B1514" s="75" t="s">
        <v>1004</v>
      </c>
      <c r="C1514" s="75">
        <v>2.2</v>
      </c>
      <c r="D1514" s="75">
        <v>4.0</v>
      </c>
      <c r="E1514" s="75">
        <v>0.55</v>
      </c>
      <c r="F1514" s="75" t="s">
        <v>993</v>
      </c>
      <c r="G1514" s="82">
        <v>46111.0</v>
      </c>
      <c r="H1514" s="76" t="s">
        <v>958</v>
      </c>
      <c r="I1514" s="83"/>
      <c r="J1514" s="83"/>
      <c r="K1514" s="83"/>
      <c r="L1514" s="83"/>
      <c r="M1514" s="83"/>
      <c r="N1514" s="83"/>
      <c r="O1514" s="83"/>
      <c r="P1514" s="83"/>
      <c r="Q1514" s="83"/>
      <c r="R1514" s="83"/>
      <c r="S1514" s="83"/>
      <c r="T1514" s="83"/>
      <c r="U1514" s="83"/>
      <c r="V1514" s="83"/>
      <c r="W1514" s="83"/>
      <c r="X1514" s="83"/>
      <c r="Y1514" s="83"/>
      <c r="Z1514" s="83"/>
    </row>
    <row r="1515">
      <c r="A1515" s="75" t="s">
        <v>33</v>
      </c>
      <c r="B1515" s="75" t="s">
        <v>1004</v>
      </c>
      <c r="C1515" s="75">
        <v>6.81</v>
      </c>
      <c r="D1515" s="75">
        <v>3.0</v>
      </c>
      <c r="E1515" s="75">
        <v>2.27</v>
      </c>
      <c r="F1515" s="75" t="s">
        <v>993</v>
      </c>
      <c r="G1515" s="82">
        <v>46111.0</v>
      </c>
      <c r="H1515" s="76" t="s">
        <v>959</v>
      </c>
      <c r="I1515" s="83"/>
      <c r="J1515" s="83"/>
      <c r="K1515" s="83"/>
      <c r="L1515" s="83"/>
      <c r="M1515" s="83"/>
      <c r="N1515" s="83"/>
      <c r="O1515" s="83"/>
      <c r="P1515" s="83"/>
      <c r="Q1515" s="83"/>
      <c r="R1515" s="83"/>
      <c r="S1515" s="83"/>
      <c r="T1515" s="83"/>
      <c r="U1515" s="83"/>
      <c r="V1515" s="83"/>
      <c r="W1515" s="83"/>
      <c r="X1515" s="83"/>
      <c r="Y1515" s="83"/>
      <c r="Z1515" s="83"/>
    </row>
    <row r="1516">
      <c r="A1516" s="75" t="s">
        <v>46</v>
      </c>
      <c r="B1516" s="75" t="s">
        <v>1004</v>
      </c>
      <c r="C1516" s="75">
        <v>8.75</v>
      </c>
      <c r="D1516" s="75">
        <v>0.0</v>
      </c>
      <c r="E1516" s="75">
        <v>0.0</v>
      </c>
      <c r="F1516" s="75" t="s">
        <v>993</v>
      </c>
      <c r="G1516" s="82">
        <v>46111.0</v>
      </c>
      <c r="H1516" s="76" t="s">
        <v>960</v>
      </c>
      <c r="I1516" s="83"/>
      <c r="J1516" s="83"/>
      <c r="K1516" s="83"/>
      <c r="L1516" s="83"/>
      <c r="M1516" s="83"/>
      <c r="N1516" s="83"/>
      <c r="O1516" s="83"/>
      <c r="P1516" s="83"/>
      <c r="Q1516" s="83"/>
      <c r="R1516" s="83"/>
      <c r="S1516" s="83"/>
      <c r="T1516" s="83"/>
      <c r="U1516" s="83"/>
      <c r="V1516" s="83"/>
      <c r="W1516" s="83"/>
      <c r="X1516" s="83"/>
      <c r="Y1516" s="83"/>
      <c r="Z1516" s="83"/>
    </row>
    <row r="1517">
      <c r="A1517" s="75" t="s">
        <v>46</v>
      </c>
      <c r="B1517" s="75" t="s">
        <v>1004</v>
      </c>
      <c r="C1517" s="75">
        <v>3.46</v>
      </c>
      <c r="D1517" s="75">
        <v>0.0</v>
      </c>
      <c r="E1517" s="75">
        <v>0.0</v>
      </c>
      <c r="F1517" s="75" t="s">
        <v>993</v>
      </c>
      <c r="G1517" s="82">
        <v>46111.0</v>
      </c>
      <c r="H1517" s="76" t="s">
        <v>961</v>
      </c>
      <c r="I1517" s="83"/>
      <c r="J1517" s="83"/>
      <c r="K1517" s="83"/>
      <c r="L1517" s="83"/>
      <c r="M1517" s="83"/>
      <c r="N1517" s="83"/>
      <c r="O1517" s="83"/>
      <c r="P1517" s="83"/>
      <c r="Q1517" s="83"/>
      <c r="R1517" s="83"/>
      <c r="S1517" s="83"/>
      <c r="T1517" s="83"/>
      <c r="U1517" s="83"/>
      <c r="V1517" s="83"/>
      <c r="W1517" s="83"/>
      <c r="X1517" s="83"/>
      <c r="Y1517" s="83"/>
      <c r="Z1517" s="83"/>
    </row>
    <row r="1518">
      <c r="A1518" s="75" t="s">
        <v>46</v>
      </c>
      <c r="B1518" s="75" t="s">
        <v>1004</v>
      </c>
      <c r="C1518" s="75">
        <v>13.35</v>
      </c>
      <c r="D1518" s="75">
        <v>0.0</v>
      </c>
      <c r="E1518" s="75">
        <v>0.0</v>
      </c>
      <c r="F1518" s="75" t="s">
        <v>993</v>
      </c>
      <c r="G1518" s="82">
        <v>46111.0</v>
      </c>
      <c r="H1518" s="76" t="s">
        <v>962</v>
      </c>
      <c r="I1518" s="83"/>
      <c r="J1518" s="83"/>
      <c r="K1518" s="83"/>
      <c r="L1518" s="83"/>
      <c r="M1518" s="83"/>
      <c r="N1518" s="83"/>
      <c r="O1518" s="83"/>
      <c r="P1518" s="83"/>
      <c r="Q1518" s="83"/>
      <c r="R1518" s="83"/>
      <c r="S1518" s="83"/>
      <c r="T1518" s="83"/>
      <c r="U1518" s="83"/>
      <c r="V1518" s="83"/>
      <c r="W1518" s="83"/>
      <c r="X1518" s="83"/>
      <c r="Y1518" s="83"/>
      <c r="Z1518" s="83"/>
    </row>
    <row r="1519">
      <c r="A1519" s="75" t="s">
        <v>43</v>
      </c>
      <c r="B1519" s="75" t="s">
        <v>1004</v>
      </c>
      <c r="C1519" s="75">
        <v>8.22</v>
      </c>
      <c r="D1519" s="75">
        <v>1.0</v>
      </c>
      <c r="E1519" s="75">
        <v>8.22</v>
      </c>
      <c r="F1519" s="75" t="s">
        <v>993</v>
      </c>
      <c r="G1519" s="82">
        <v>46111.0</v>
      </c>
      <c r="H1519" s="76" t="s">
        <v>963</v>
      </c>
      <c r="I1519" s="83"/>
      <c r="J1519" s="83"/>
      <c r="K1519" s="83"/>
      <c r="L1519" s="83"/>
      <c r="M1519" s="83"/>
      <c r="N1519" s="83"/>
      <c r="O1519" s="83"/>
      <c r="P1519" s="83"/>
      <c r="Q1519" s="83"/>
      <c r="R1519" s="83"/>
      <c r="S1519" s="83"/>
      <c r="T1519" s="83"/>
      <c r="U1519" s="83"/>
      <c r="V1519" s="83"/>
      <c r="W1519" s="83"/>
      <c r="X1519" s="83"/>
      <c r="Y1519" s="83"/>
      <c r="Z1519" s="83"/>
    </row>
    <row r="1520">
      <c r="A1520" s="75" t="s">
        <v>43</v>
      </c>
      <c r="B1520" s="75" t="s">
        <v>1004</v>
      </c>
      <c r="C1520" s="75">
        <v>2.7</v>
      </c>
      <c r="D1520" s="75">
        <v>0.0</v>
      </c>
      <c r="E1520" s="75">
        <v>0.0</v>
      </c>
      <c r="F1520" s="75" t="s">
        <v>993</v>
      </c>
      <c r="G1520" s="82">
        <v>46111.0</v>
      </c>
      <c r="H1520" s="76" t="s">
        <v>964</v>
      </c>
      <c r="I1520" s="83"/>
      <c r="J1520" s="83"/>
      <c r="K1520" s="83"/>
      <c r="L1520" s="83"/>
      <c r="M1520" s="83"/>
      <c r="N1520" s="83"/>
      <c r="O1520" s="83"/>
      <c r="P1520" s="83"/>
      <c r="Q1520" s="83"/>
      <c r="R1520" s="83"/>
      <c r="S1520" s="83"/>
      <c r="T1520" s="83"/>
      <c r="U1520" s="83"/>
      <c r="V1520" s="83"/>
      <c r="W1520" s="83"/>
      <c r="X1520" s="83"/>
      <c r="Y1520" s="83"/>
      <c r="Z1520" s="83"/>
    </row>
    <row r="1521">
      <c r="A1521" s="75" t="s">
        <v>43</v>
      </c>
      <c r="B1521" s="75" t="s">
        <v>1004</v>
      </c>
      <c r="C1521" s="75">
        <v>13.43</v>
      </c>
      <c r="D1521" s="75">
        <v>2.0</v>
      </c>
      <c r="E1521" s="75">
        <v>6.71</v>
      </c>
      <c r="F1521" s="75" t="s">
        <v>993</v>
      </c>
      <c r="G1521" s="82">
        <v>46111.0</v>
      </c>
      <c r="H1521" s="76" t="s">
        <v>965</v>
      </c>
      <c r="I1521" s="83"/>
      <c r="J1521" s="83"/>
      <c r="K1521" s="83"/>
      <c r="L1521" s="83"/>
      <c r="M1521" s="83"/>
      <c r="N1521" s="83"/>
      <c r="O1521" s="83"/>
      <c r="P1521" s="83"/>
      <c r="Q1521" s="83"/>
      <c r="R1521" s="83"/>
      <c r="S1521" s="83"/>
      <c r="T1521" s="83"/>
      <c r="U1521" s="83"/>
      <c r="V1521" s="83"/>
      <c r="W1521" s="83"/>
      <c r="X1521" s="83"/>
      <c r="Y1521" s="83"/>
      <c r="Z1521" s="83"/>
    </row>
    <row r="1522">
      <c r="A1522" s="75" t="s">
        <v>966</v>
      </c>
      <c r="B1522" s="75" t="s">
        <v>1004</v>
      </c>
      <c r="C1522" s="75">
        <v>8.54</v>
      </c>
      <c r="D1522" s="75">
        <v>1.0</v>
      </c>
      <c r="E1522" s="75">
        <v>8.54</v>
      </c>
      <c r="F1522" s="75" t="s">
        <v>993</v>
      </c>
      <c r="G1522" s="82">
        <v>46111.0</v>
      </c>
      <c r="H1522" s="76" t="s">
        <v>967</v>
      </c>
      <c r="I1522" s="83"/>
      <c r="J1522" s="83"/>
      <c r="K1522" s="83"/>
      <c r="L1522" s="83"/>
      <c r="M1522" s="83"/>
      <c r="N1522" s="83"/>
      <c r="O1522" s="83"/>
      <c r="P1522" s="83"/>
      <c r="Q1522" s="83"/>
      <c r="R1522" s="83"/>
      <c r="S1522" s="83"/>
      <c r="T1522" s="83"/>
      <c r="U1522" s="83"/>
      <c r="V1522" s="83"/>
      <c r="W1522" s="83"/>
      <c r="X1522" s="83"/>
      <c r="Y1522" s="83"/>
      <c r="Z1522" s="83"/>
    </row>
    <row r="1523">
      <c r="A1523" s="75" t="s">
        <v>966</v>
      </c>
      <c r="B1523" s="75" t="s">
        <v>1004</v>
      </c>
      <c r="C1523" s="75">
        <v>4.61</v>
      </c>
      <c r="D1523" s="75">
        <v>0.0</v>
      </c>
      <c r="E1523" s="75">
        <v>0.0</v>
      </c>
      <c r="F1523" s="75" t="s">
        <v>993</v>
      </c>
      <c r="G1523" s="82">
        <v>46111.0</v>
      </c>
      <c r="H1523" s="76" t="s">
        <v>968</v>
      </c>
      <c r="I1523" s="83"/>
      <c r="J1523" s="83"/>
      <c r="K1523" s="83"/>
      <c r="L1523" s="83"/>
      <c r="M1523" s="83"/>
      <c r="N1523" s="83"/>
      <c r="O1523" s="83"/>
      <c r="P1523" s="83"/>
      <c r="Q1523" s="83"/>
      <c r="R1523" s="83"/>
      <c r="S1523" s="83"/>
      <c r="T1523" s="83"/>
      <c r="U1523" s="83"/>
      <c r="V1523" s="83"/>
      <c r="W1523" s="83"/>
      <c r="X1523" s="83"/>
      <c r="Y1523" s="83"/>
      <c r="Z1523" s="83"/>
    </row>
    <row r="1524">
      <c r="A1524" s="75" t="s">
        <v>966</v>
      </c>
      <c r="B1524" s="75" t="s">
        <v>1004</v>
      </c>
      <c r="C1524" s="75">
        <v>4.48</v>
      </c>
      <c r="D1524" s="75">
        <v>1.0</v>
      </c>
      <c r="E1524" s="75">
        <v>4.48</v>
      </c>
      <c r="F1524" s="75" t="s">
        <v>993</v>
      </c>
      <c r="G1524" s="82">
        <v>46111.0</v>
      </c>
      <c r="H1524" s="76" t="s">
        <v>969</v>
      </c>
      <c r="I1524" s="83"/>
      <c r="J1524" s="83"/>
      <c r="K1524" s="83"/>
      <c r="L1524" s="83"/>
      <c r="M1524" s="83"/>
      <c r="N1524" s="83"/>
      <c r="O1524" s="83"/>
      <c r="P1524" s="83"/>
      <c r="Q1524" s="83"/>
      <c r="R1524" s="83"/>
      <c r="S1524" s="83"/>
      <c r="T1524" s="83"/>
      <c r="U1524" s="83"/>
      <c r="V1524" s="83"/>
      <c r="W1524" s="83"/>
      <c r="X1524" s="83"/>
      <c r="Y1524" s="83"/>
      <c r="Z1524" s="83"/>
    </row>
    <row r="1525">
      <c r="A1525" s="75" t="s">
        <v>36</v>
      </c>
      <c r="B1525" s="75" t="s">
        <v>1004</v>
      </c>
      <c r="C1525" s="75">
        <v>26.81</v>
      </c>
      <c r="D1525" s="75">
        <v>2.0</v>
      </c>
      <c r="E1525" s="75">
        <v>13.4</v>
      </c>
      <c r="F1525" s="75" t="s">
        <v>993</v>
      </c>
      <c r="G1525" s="82">
        <v>46111.0</v>
      </c>
      <c r="H1525" s="76" t="s">
        <v>926</v>
      </c>
      <c r="I1525" s="83"/>
      <c r="J1525" s="83"/>
      <c r="K1525" s="83"/>
      <c r="L1525" s="83"/>
      <c r="M1525" s="83"/>
      <c r="N1525" s="83"/>
      <c r="O1525" s="83"/>
      <c r="P1525" s="83"/>
      <c r="Q1525" s="83"/>
      <c r="R1525" s="83"/>
      <c r="S1525" s="83"/>
      <c r="T1525" s="83"/>
      <c r="U1525" s="83"/>
      <c r="V1525" s="83"/>
      <c r="W1525" s="83"/>
      <c r="X1525" s="83"/>
      <c r="Y1525" s="83"/>
      <c r="Z1525" s="83"/>
    </row>
    <row r="1526">
      <c r="A1526" s="75" t="s">
        <v>36</v>
      </c>
      <c r="B1526" s="75" t="s">
        <v>1004</v>
      </c>
      <c r="C1526" s="75">
        <v>3.1</v>
      </c>
      <c r="D1526" s="75">
        <v>0.0</v>
      </c>
      <c r="E1526" s="75">
        <v>0.0</v>
      </c>
      <c r="F1526" s="75" t="s">
        <v>993</v>
      </c>
      <c r="G1526" s="82">
        <v>46111.0</v>
      </c>
      <c r="H1526" s="76" t="s">
        <v>927</v>
      </c>
      <c r="I1526" s="83"/>
      <c r="J1526" s="83"/>
      <c r="K1526" s="83"/>
      <c r="L1526" s="83"/>
      <c r="M1526" s="83"/>
      <c r="N1526" s="83"/>
      <c r="O1526" s="83"/>
      <c r="P1526" s="83"/>
      <c r="Q1526" s="83"/>
      <c r="R1526" s="83"/>
      <c r="S1526" s="83"/>
      <c r="T1526" s="83"/>
      <c r="U1526" s="83"/>
      <c r="V1526" s="83"/>
      <c r="W1526" s="83"/>
      <c r="X1526" s="83"/>
      <c r="Y1526" s="83"/>
      <c r="Z1526" s="83"/>
    </row>
    <row r="1527">
      <c r="A1527" s="75" t="s">
        <v>36</v>
      </c>
      <c r="B1527" s="75" t="s">
        <v>1004</v>
      </c>
      <c r="C1527" s="75">
        <v>3.49</v>
      </c>
      <c r="D1527" s="75">
        <v>0.0</v>
      </c>
      <c r="E1527" s="75">
        <v>0.0</v>
      </c>
      <c r="F1527" s="75" t="s">
        <v>993</v>
      </c>
      <c r="G1527" s="82">
        <v>46111.0</v>
      </c>
      <c r="H1527" s="76" t="s">
        <v>928</v>
      </c>
      <c r="I1527" s="83"/>
      <c r="J1527" s="83"/>
      <c r="K1527" s="83"/>
      <c r="L1527" s="83"/>
      <c r="M1527" s="83"/>
      <c r="N1527" s="83"/>
      <c r="O1527" s="83"/>
      <c r="P1527" s="83"/>
      <c r="Q1527" s="83"/>
      <c r="R1527" s="83"/>
      <c r="S1527" s="83"/>
      <c r="T1527" s="83"/>
      <c r="U1527" s="83"/>
      <c r="V1527" s="83"/>
      <c r="W1527" s="83"/>
      <c r="X1527" s="83"/>
      <c r="Y1527" s="83"/>
      <c r="Z1527" s="83"/>
    </row>
    <row r="1528">
      <c r="A1528" s="75" t="s">
        <v>970</v>
      </c>
      <c r="B1528" s="75" t="s">
        <v>1004</v>
      </c>
      <c r="C1528" s="75">
        <v>37.96</v>
      </c>
      <c r="D1528" s="75">
        <v>16.0</v>
      </c>
      <c r="E1528" s="75">
        <v>2.37</v>
      </c>
      <c r="F1528" s="75" t="s">
        <v>993</v>
      </c>
      <c r="G1528" s="82">
        <v>46111.0</v>
      </c>
      <c r="H1528" s="76" t="s">
        <v>971</v>
      </c>
      <c r="I1528" s="83"/>
      <c r="J1528" s="83"/>
      <c r="K1528" s="83"/>
      <c r="L1528" s="83"/>
      <c r="M1528" s="83"/>
      <c r="N1528" s="83"/>
      <c r="O1528" s="83"/>
      <c r="P1528" s="83"/>
      <c r="Q1528" s="83"/>
      <c r="R1528" s="83"/>
      <c r="S1528" s="83"/>
      <c r="T1528" s="83"/>
      <c r="U1528" s="83"/>
      <c r="V1528" s="83"/>
      <c r="W1528" s="83"/>
      <c r="X1528" s="83"/>
      <c r="Y1528" s="83"/>
      <c r="Z1528" s="83"/>
    </row>
    <row r="1529">
      <c r="A1529" s="75" t="s">
        <v>970</v>
      </c>
      <c r="B1529" s="75" t="s">
        <v>1004</v>
      </c>
      <c r="C1529" s="75">
        <v>2.87</v>
      </c>
      <c r="D1529" s="75">
        <v>1.0</v>
      </c>
      <c r="E1529" s="75">
        <v>2.87</v>
      </c>
      <c r="F1529" s="75" t="s">
        <v>993</v>
      </c>
      <c r="G1529" s="82">
        <v>46111.0</v>
      </c>
      <c r="H1529" s="76" t="s">
        <v>972</v>
      </c>
      <c r="I1529" s="83"/>
      <c r="J1529" s="83"/>
      <c r="K1529" s="83"/>
      <c r="L1529" s="83"/>
      <c r="M1529" s="83"/>
      <c r="N1529" s="83"/>
      <c r="O1529" s="83"/>
      <c r="P1529" s="83"/>
      <c r="Q1529" s="83"/>
      <c r="R1529" s="83"/>
      <c r="S1529" s="83"/>
      <c r="T1529" s="83"/>
      <c r="U1529" s="83"/>
      <c r="V1529" s="83"/>
      <c r="W1529" s="83"/>
      <c r="X1529" s="83"/>
      <c r="Y1529" s="83"/>
      <c r="Z1529" s="83"/>
    </row>
    <row r="1530">
      <c r="A1530" s="75" t="s">
        <v>970</v>
      </c>
      <c r="B1530" s="75" t="s">
        <v>1004</v>
      </c>
      <c r="C1530" s="75">
        <v>31.94</v>
      </c>
      <c r="D1530" s="75">
        <v>15.0</v>
      </c>
      <c r="E1530" s="75">
        <v>2.13</v>
      </c>
      <c r="F1530" s="75" t="s">
        <v>993</v>
      </c>
      <c r="G1530" s="82">
        <v>46111.0</v>
      </c>
      <c r="H1530" s="76" t="s">
        <v>973</v>
      </c>
      <c r="I1530" s="83"/>
      <c r="J1530" s="83"/>
      <c r="K1530" s="83"/>
      <c r="L1530" s="83"/>
      <c r="M1530" s="83"/>
      <c r="N1530" s="83"/>
      <c r="O1530" s="83"/>
      <c r="P1530" s="83"/>
      <c r="Q1530" s="83"/>
      <c r="R1530" s="83"/>
      <c r="S1530" s="83"/>
      <c r="T1530" s="83"/>
      <c r="U1530" s="83"/>
      <c r="V1530" s="83"/>
      <c r="W1530" s="83"/>
      <c r="X1530" s="83"/>
      <c r="Y1530" s="83"/>
      <c r="Z1530" s="83"/>
    </row>
    <row r="1531">
      <c r="A1531" s="75" t="s">
        <v>29</v>
      </c>
      <c r="B1531" s="75" t="s">
        <v>1004</v>
      </c>
      <c r="C1531" s="75">
        <v>4.53</v>
      </c>
      <c r="D1531" s="75">
        <v>4.0</v>
      </c>
      <c r="E1531" s="75">
        <v>1.13</v>
      </c>
      <c r="F1531" s="75" t="s">
        <v>993</v>
      </c>
      <c r="G1531" s="82">
        <v>46111.0</v>
      </c>
      <c r="H1531" s="76" t="s">
        <v>971</v>
      </c>
      <c r="I1531" s="83"/>
      <c r="J1531" s="83"/>
      <c r="K1531" s="83"/>
      <c r="L1531" s="83"/>
      <c r="M1531" s="83"/>
      <c r="N1531" s="83"/>
      <c r="O1531" s="83"/>
      <c r="P1531" s="83"/>
      <c r="Q1531" s="83"/>
      <c r="R1531" s="83"/>
      <c r="S1531" s="83"/>
      <c r="T1531" s="83"/>
      <c r="U1531" s="83"/>
      <c r="V1531" s="83"/>
      <c r="W1531" s="83"/>
      <c r="X1531" s="83"/>
      <c r="Y1531" s="83"/>
      <c r="Z1531" s="83"/>
    </row>
    <row r="1532">
      <c r="A1532" s="75" t="s">
        <v>29</v>
      </c>
      <c r="B1532" s="75" t="s">
        <v>1004</v>
      </c>
      <c r="C1532" s="75">
        <v>0.35</v>
      </c>
      <c r="D1532" s="75">
        <v>0.0</v>
      </c>
      <c r="E1532" s="75">
        <v>0.0</v>
      </c>
      <c r="F1532" s="75" t="s">
        <v>993</v>
      </c>
      <c r="G1532" s="82">
        <v>46111.0</v>
      </c>
      <c r="H1532" s="76" t="s">
        <v>972</v>
      </c>
      <c r="I1532" s="83"/>
      <c r="J1532" s="83"/>
      <c r="K1532" s="83"/>
      <c r="L1532" s="83"/>
      <c r="M1532" s="83"/>
      <c r="N1532" s="83"/>
      <c r="O1532" s="83"/>
      <c r="P1532" s="83"/>
      <c r="Q1532" s="83"/>
      <c r="R1532" s="83"/>
      <c r="S1532" s="83"/>
      <c r="T1532" s="83"/>
      <c r="U1532" s="83"/>
      <c r="V1532" s="83"/>
      <c r="W1532" s="83"/>
      <c r="X1532" s="83"/>
      <c r="Y1532" s="83"/>
      <c r="Z1532" s="83"/>
    </row>
    <row r="1533">
      <c r="A1533" s="75" t="s">
        <v>29</v>
      </c>
      <c r="B1533" s="75" t="s">
        <v>1004</v>
      </c>
      <c r="C1533" s="75">
        <v>2.93</v>
      </c>
      <c r="D1533" s="75">
        <v>8.0</v>
      </c>
      <c r="E1533" s="75">
        <v>0.37</v>
      </c>
      <c r="F1533" s="75" t="s">
        <v>993</v>
      </c>
      <c r="G1533" s="82">
        <v>46111.0</v>
      </c>
      <c r="H1533" s="76" t="s">
        <v>973</v>
      </c>
      <c r="I1533" s="83"/>
      <c r="J1533" s="83"/>
      <c r="K1533" s="83"/>
      <c r="L1533" s="83"/>
      <c r="M1533" s="83"/>
      <c r="N1533" s="83"/>
      <c r="O1533" s="83"/>
      <c r="P1533" s="83"/>
      <c r="Q1533" s="83"/>
      <c r="R1533" s="83"/>
      <c r="S1533" s="83"/>
      <c r="T1533" s="83"/>
      <c r="U1533" s="83"/>
      <c r="V1533" s="83"/>
      <c r="W1533" s="83"/>
      <c r="X1533" s="83"/>
      <c r="Y1533" s="83"/>
      <c r="Z1533" s="83"/>
    </row>
    <row r="1534">
      <c r="A1534" s="75" t="s">
        <v>34</v>
      </c>
      <c r="B1534" s="75" t="s">
        <v>1004</v>
      </c>
      <c r="C1534" s="75">
        <v>8.97</v>
      </c>
      <c r="D1534" s="75">
        <v>0.0</v>
      </c>
      <c r="E1534" s="75">
        <v>0.0</v>
      </c>
      <c r="F1534" s="75" t="s">
        <v>994</v>
      </c>
      <c r="G1534" s="82">
        <v>46111.0</v>
      </c>
      <c r="H1534" s="76" t="s">
        <v>951</v>
      </c>
      <c r="I1534" s="83"/>
      <c r="J1534" s="83"/>
      <c r="K1534" s="83"/>
      <c r="L1534" s="83"/>
      <c r="M1534" s="83"/>
      <c r="N1534" s="83"/>
      <c r="O1534" s="83"/>
      <c r="P1534" s="83"/>
      <c r="Q1534" s="83"/>
      <c r="R1534" s="83"/>
      <c r="S1534" s="83"/>
      <c r="T1534" s="83"/>
      <c r="U1534" s="83"/>
      <c r="V1534" s="83"/>
      <c r="W1534" s="83"/>
      <c r="X1534" s="83"/>
      <c r="Y1534" s="83"/>
      <c r="Z1534" s="83"/>
    </row>
    <row r="1535">
      <c r="A1535" s="75" t="s">
        <v>34</v>
      </c>
      <c r="B1535" s="75" t="s">
        <v>1004</v>
      </c>
      <c r="C1535" s="75">
        <v>5.7</v>
      </c>
      <c r="D1535" s="75">
        <v>0.0</v>
      </c>
      <c r="E1535" s="75">
        <v>0.0</v>
      </c>
      <c r="F1535" s="75" t="s">
        <v>994</v>
      </c>
      <c r="G1535" s="82">
        <v>46111.0</v>
      </c>
      <c r="H1535" s="76" t="s">
        <v>952</v>
      </c>
      <c r="I1535" s="83"/>
      <c r="J1535" s="83"/>
      <c r="K1535" s="83"/>
      <c r="L1535" s="83"/>
      <c r="M1535" s="83"/>
      <c r="N1535" s="83"/>
      <c r="O1535" s="83"/>
      <c r="P1535" s="83"/>
      <c r="Q1535" s="83"/>
      <c r="R1535" s="83"/>
      <c r="S1535" s="83"/>
      <c r="T1535" s="83"/>
      <c r="U1535" s="83"/>
      <c r="V1535" s="83"/>
      <c r="W1535" s="83"/>
      <c r="X1535" s="83"/>
      <c r="Y1535" s="83"/>
      <c r="Z1535" s="83"/>
    </row>
    <row r="1536">
      <c r="A1536" s="75" t="s">
        <v>34</v>
      </c>
      <c r="B1536" s="75" t="s">
        <v>1004</v>
      </c>
      <c r="C1536" s="75">
        <v>22.14</v>
      </c>
      <c r="D1536" s="75">
        <v>1.0</v>
      </c>
      <c r="E1536" s="75">
        <v>22.14</v>
      </c>
      <c r="F1536" s="75" t="s">
        <v>994</v>
      </c>
      <c r="G1536" s="82">
        <v>46111.0</v>
      </c>
      <c r="H1536" s="76" t="s">
        <v>953</v>
      </c>
      <c r="I1536" s="83"/>
      <c r="J1536" s="83"/>
      <c r="K1536" s="83"/>
      <c r="L1536" s="83"/>
      <c r="M1536" s="83"/>
      <c r="N1536" s="83"/>
      <c r="O1536" s="83"/>
      <c r="P1536" s="83"/>
      <c r="Q1536" s="83"/>
      <c r="R1536" s="83"/>
      <c r="S1536" s="83"/>
      <c r="T1536" s="83"/>
      <c r="U1536" s="83"/>
      <c r="V1536" s="83"/>
      <c r="W1536" s="83"/>
      <c r="X1536" s="83"/>
      <c r="Y1536" s="83"/>
      <c r="Z1536" s="83"/>
    </row>
    <row r="1537">
      <c r="A1537" s="75" t="s">
        <v>40</v>
      </c>
      <c r="B1537" s="75" t="s">
        <v>1004</v>
      </c>
      <c r="C1537" s="75">
        <v>1.05</v>
      </c>
      <c r="D1537" s="75">
        <v>0.0</v>
      </c>
      <c r="E1537" s="75">
        <v>0.0</v>
      </c>
      <c r="F1537" s="75" t="s">
        <v>994</v>
      </c>
      <c r="G1537" s="82">
        <v>46111.0</v>
      </c>
      <c r="H1537" s="76" t="s">
        <v>954</v>
      </c>
      <c r="I1537" s="83"/>
      <c r="J1537" s="83"/>
      <c r="K1537" s="83"/>
      <c r="L1537" s="83"/>
      <c r="M1537" s="83"/>
      <c r="N1537" s="83"/>
      <c r="O1537" s="83"/>
      <c r="P1537" s="83"/>
      <c r="Q1537" s="83"/>
      <c r="R1537" s="83"/>
      <c r="S1537" s="83"/>
      <c r="T1537" s="83"/>
      <c r="U1537" s="83"/>
      <c r="V1537" s="83"/>
      <c r="W1537" s="83"/>
      <c r="X1537" s="83"/>
      <c r="Y1537" s="83"/>
      <c r="Z1537" s="83"/>
    </row>
    <row r="1538">
      <c r="A1538" s="75" t="s">
        <v>40</v>
      </c>
      <c r="B1538" s="75" t="s">
        <v>1004</v>
      </c>
      <c r="C1538" s="75">
        <v>1.29</v>
      </c>
      <c r="D1538" s="75">
        <v>0.0</v>
      </c>
      <c r="E1538" s="75">
        <v>0.0</v>
      </c>
      <c r="F1538" s="75" t="s">
        <v>994</v>
      </c>
      <c r="G1538" s="82">
        <v>46111.0</v>
      </c>
      <c r="H1538" s="76" t="s">
        <v>955</v>
      </c>
      <c r="I1538" s="83"/>
      <c r="J1538" s="83"/>
      <c r="K1538" s="83"/>
      <c r="L1538" s="83"/>
      <c r="M1538" s="83"/>
      <c r="N1538" s="83"/>
      <c r="O1538" s="83"/>
      <c r="P1538" s="83"/>
      <c r="Q1538" s="83"/>
      <c r="R1538" s="83"/>
      <c r="S1538" s="83"/>
      <c r="T1538" s="83"/>
      <c r="U1538" s="83"/>
      <c r="V1538" s="83"/>
      <c r="W1538" s="83"/>
      <c r="X1538" s="83"/>
      <c r="Y1538" s="83"/>
      <c r="Z1538" s="83"/>
    </row>
    <row r="1539">
      <c r="A1539" s="75" t="s">
        <v>40</v>
      </c>
      <c r="B1539" s="75" t="s">
        <v>1004</v>
      </c>
      <c r="C1539" s="75">
        <v>18.13</v>
      </c>
      <c r="D1539" s="75">
        <v>2.0</v>
      </c>
      <c r="E1539" s="75">
        <v>9.07</v>
      </c>
      <c r="F1539" s="75" t="s">
        <v>994</v>
      </c>
      <c r="G1539" s="82">
        <v>46111.0</v>
      </c>
      <c r="H1539" s="76" t="s">
        <v>956</v>
      </c>
      <c r="I1539" s="83"/>
      <c r="J1539" s="83"/>
      <c r="K1539" s="83"/>
      <c r="L1539" s="83"/>
      <c r="M1539" s="83"/>
      <c r="N1539" s="83"/>
      <c r="O1539" s="83"/>
      <c r="P1539" s="83"/>
      <c r="Q1539" s="83"/>
      <c r="R1539" s="83"/>
      <c r="S1539" s="83"/>
      <c r="T1539" s="83"/>
      <c r="U1539" s="83"/>
      <c r="V1539" s="83"/>
      <c r="W1539" s="83"/>
      <c r="X1539" s="83"/>
      <c r="Y1539" s="83"/>
      <c r="Z1539" s="83"/>
    </row>
    <row r="1540">
      <c r="A1540" s="75" t="s">
        <v>33</v>
      </c>
      <c r="B1540" s="75" t="s">
        <v>1004</v>
      </c>
      <c r="C1540" s="75">
        <v>8.76</v>
      </c>
      <c r="D1540" s="75">
        <v>7.0</v>
      </c>
      <c r="E1540" s="75">
        <v>1.25</v>
      </c>
      <c r="F1540" s="75" t="s">
        <v>994</v>
      </c>
      <c r="G1540" s="82">
        <v>46111.0</v>
      </c>
      <c r="H1540" s="76" t="s">
        <v>957</v>
      </c>
      <c r="I1540" s="83"/>
      <c r="J1540" s="83"/>
      <c r="K1540" s="83"/>
      <c r="L1540" s="83"/>
      <c r="M1540" s="83"/>
      <c r="N1540" s="83"/>
      <c r="O1540" s="83"/>
      <c r="P1540" s="83"/>
      <c r="Q1540" s="83"/>
      <c r="R1540" s="83"/>
      <c r="S1540" s="83"/>
      <c r="T1540" s="83"/>
      <c r="U1540" s="83"/>
      <c r="V1540" s="83"/>
      <c r="W1540" s="83"/>
      <c r="X1540" s="83"/>
      <c r="Y1540" s="83"/>
      <c r="Z1540" s="83"/>
    </row>
    <row r="1541">
      <c r="A1541" s="75" t="s">
        <v>33</v>
      </c>
      <c r="B1541" s="75" t="s">
        <v>1004</v>
      </c>
      <c r="C1541" s="75">
        <v>2.7</v>
      </c>
      <c r="D1541" s="75">
        <v>2.0</v>
      </c>
      <c r="E1541" s="75">
        <v>1.35</v>
      </c>
      <c r="F1541" s="75" t="s">
        <v>994</v>
      </c>
      <c r="G1541" s="82">
        <v>46111.0</v>
      </c>
      <c r="H1541" s="76" t="s">
        <v>958</v>
      </c>
      <c r="I1541" s="83"/>
      <c r="J1541" s="83"/>
      <c r="K1541" s="83"/>
      <c r="L1541" s="83"/>
      <c r="M1541" s="83"/>
      <c r="N1541" s="83"/>
      <c r="O1541" s="83"/>
      <c r="P1541" s="83"/>
      <c r="Q1541" s="83"/>
      <c r="R1541" s="83"/>
      <c r="S1541" s="83"/>
      <c r="T1541" s="83"/>
      <c r="U1541" s="83"/>
      <c r="V1541" s="83"/>
      <c r="W1541" s="83"/>
      <c r="X1541" s="83"/>
      <c r="Y1541" s="83"/>
      <c r="Z1541" s="83"/>
    </row>
    <row r="1542">
      <c r="A1542" s="75" t="s">
        <v>33</v>
      </c>
      <c r="B1542" s="75" t="s">
        <v>1004</v>
      </c>
      <c r="C1542" s="75">
        <v>5.44</v>
      </c>
      <c r="D1542" s="75">
        <v>1.0</v>
      </c>
      <c r="E1542" s="75">
        <v>5.44</v>
      </c>
      <c r="F1542" s="75" t="s">
        <v>994</v>
      </c>
      <c r="G1542" s="82">
        <v>46111.0</v>
      </c>
      <c r="H1542" s="76" t="s">
        <v>959</v>
      </c>
      <c r="I1542" s="83"/>
      <c r="J1542" s="83"/>
      <c r="K1542" s="83"/>
      <c r="L1542" s="83"/>
      <c r="M1542" s="83"/>
      <c r="N1542" s="83"/>
      <c r="O1542" s="83"/>
      <c r="P1542" s="83"/>
      <c r="Q1542" s="83"/>
      <c r="R1542" s="83"/>
      <c r="S1542" s="83"/>
      <c r="T1542" s="83"/>
      <c r="U1542" s="83"/>
      <c r="V1542" s="83"/>
      <c r="W1542" s="83"/>
      <c r="X1542" s="83"/>
      <c r="Y1542" s="83"/>
      <c r="Z1542" s="83"/>
    </row>
    <row r="1543">
      <c r="A1543" s="75" t="s">
        <v>46</v>
      </c>
      <c r="B1543" s="75" t="s">
        <v>1004</v>
      </c>
      <c r="C1543" s="75">
        <v>4.42</v>
      </c>
      <c r="D1543" s="75">
        <v>0.0</v>
      </c>
      <c r="E1543" s="75">
        <v>0.0</v>
      </c>
      <c r="F1543" s="75" t="s">
        <v>994</v>
      </c>
      <c r="G1543" s="82">
        <v>46111.0</v>
      </c>
      <c r="H1543" s="76" t="s">
        <v>960</v>
      </c>
      <c r="I1543" s="83"/>
      <c r="J1543" s="83"/>
      <c r="K1543" s="83"/>
      <c r="L1543" s="83"/>
      <c r="M1543" s="83"/>
      <c r="N1543" s="83"/>
      <c r="O1543" s="83"/>
      <c r="P1543" s="83"/>
      <c r="Q1543" s="83"/>
      <c r="R1543" s="83"/>
      <c r="S1543" s="83"/>
      <c r="T1543" s="83"/>
      <c r="U1543" s="83"/>
      <c r="V1543" s="83"/>
      <c r="W1543" s="83"/>
      <c r="X1543" s="83"/>
      <c r="Y1543" s="83"/>
      <c r="Z1543" s="83"/>
    </row>
    <row r="1544">
      <c r="A1544" s="75" t="s">
        <v>46</v>
      </c>
      <c r="B1544" s="75" t="s">
        <v>1004</v>
      </c>
      <c r="C1544" s="75">
        <v>1.39</v>
      </c>
      <c r="D1544" s="75">
        <v>0.0</v>
      </c>
      <c r="E1544" s="75">
        <v>0.0</v>
      </c>
      <c r="F1544" s="75" t="s">
        <v>994</v>
      </c>
      <c r="G1544" s="82">
        <v>46111.0</v>
      </c>
      <c r="H1544" s="76" t="s">
        <v>961</v>
      </c>
      <c r="I1544" s="83"/>
      <c r="J1544" s="83"/>
      <c r="K1544" s="83"/>
      <c r="L1544" s="83"/>
      <c r="M1544" s="83"/>
      <c r="N1544" s="83"/>
      <c r="O1544" s="83"/>
      <c r="P1544" s="83"/>
      <c r="Q1544" s="83"/>
      <c r="R1544" s="83"/>
      <c r="S1544" s="83"/>
      <c r="T1544" s="83"/>
      <c r="U1544" s="83"/>
      <c r="V1544" s="83"/>
      <c r="W1544" s="83"/>
      <c r="X1544" s="83"/>
      <c r="Y1544" s="83"/>
      <c r="Z1544" s="83"/>
    </row>
    <row r="1545">
      <c r="A1545" s="75" t="s">
        <v>46</v>
      </c>
      <c r="B1545" s="75" t="s">
        <v>1004</v>
      </c>
      <c r="C1545" s="75">
        <v>4.98</v>
      </c>
      <c r="D1545" s="75">
        <v>0.0</v>
      </c>
      <c r="E1545" s="75">
        <v>0.0</v>
      </c>
      <c r="F1545" s="75" t="s">
        <v>994</v>
      </c>
      <c r="G1545" s="82">
        <v>46111.0</v>
      </c>
      <c r="H1545" s="76" t="s">
        <v>962</v>
      </c>
      <c r="I1545" s="83"/>
      <c r="J1545" s="83"/>
      <c r="K1545" s="83"/>
      <c r="L1545" s="83"/>
      <c r="M1545" s="83"/>
      <c r="N1545" s="83"/>
      <c r="O1545" s="83"/>
      <c r="P1545" s="83"/>
      <c r="Q1545" s="83"/>
      <c r="R1545" s="83"/>
      <c r="S1545" s="83"/>
      <c r="T1545" s="83"/>
      <c r="U1545" s="83"/>
      <c r="V1545" s="83"/>
      <c r="W1545" s="83"/>
      <c r="X1545" s="83"/>
      <c r="Y1545" s="83"/>
      <c r="Z1545" s="83"/>
    </row>
    <row r="1546">
      <c r="A1546" s="75" t="s">
        <v>43</v>
      </c>
      <c r="B1546" s="75" t="s">
        <v>1004</v>
      </c>
      <c r="C1546" s="75">
        <v>6.53</v>
      </c>
      <c r="D1546" s="75">
        <v>0.0</v>
      </c>
      <c r="E1546" s="75">
        <v>0.0</v>
      </c>
      <c r="F1546" s="75" t="s">
        <v>994</v>
      </c>
      <c r="G1546" s="82">
        <v>46111.0</v>
      </c>
      <c r="H1546" s="76" t="s">
        <v>963</v>
      </c>
      <c r="I1546" s="83"/>
      <c r="J1546" s="83"/>
      <c r="K1546" s="83"/>
      <c r="L1546" s="83"/>
      <c r="M1546" s="83"/>
      <c r="N1546" s="83"/>
      <c r="O1546" s="83"/>
      <c r="P1546" s="83"/>
      <c r="Q1546" s="83"/>
      <c r="R1546" s="83"/>
      <c r="S1546" s="83"/>
      <c r="T1546" s="83"/>
      <c r="U1546" s="83"/>
      <c r="V1546" s="83"/>
      <c r="W1546" s="83"/>
      <c r="X1546" s="83"/>
      <c r="Y1546" s="83"/>
      <c r="Z1546" s="83"/>
    </row>
    <row r="1547">
      <c r="A1547" s="75" t="s">
        <v>43</v>
      </c>
      <c r="B1547" s="75" t="s">
        <v>1004</v>
      </c>
      <c r="C1547" s="75">
        <v>1.49</v>
      </c>
      <c r="D1547" s="75">
        <v>0.0</v>
      </c>
      <c r="E1547" s="75">
        <v>0.0</v>
      </c>
      <c r="F1547" s="75" t="s">
        <v>994</v>
      </c>
      <c r="G1547" s="82">
        <v>46111.0</v>
      </c>
      <c r="H1547" s="76" t="s">
        <v>964</v>
      </c>
      <c r="I1547" s="83"/>
      <c r="J1547" s="83"/>
      <c r="K1547" s="83"/>
      <c r="L1547" s="83"/>
      <c r="M1547" s="83"/>
      <c r="N1547" s="83"/>
      <c r="O1547" s="83"/>
      <c r="P1547" s="83"/>
      <c r="Q1547" s="83"/>
      <c r="R1547" s="83"/>
      <c r="S1547" s="83"/>
      <c r="T1547" s="83"/>
      <c r="U1547" s="83"/>
      <c r="V1547" s="83"/>
      <c r="W1547" s="83"/>
      <c r="X1547" s="83"/>
      <c r="Y1547" s="83"/>
      <c r="Z1547" s="83"/>
    </row>
    <row r="1548">
      <c r="A1548" s="75" t="s">
        <v>43</v>
      </c>
      <c r="B1548" s="75" t="s">
        <v>1004</v>
      </c>
      <c r="C1548" s="75">
        <v>15.29</v>
      </c>
      <c r="D1548" s="75">
        <v>1.0</v>
      </c>
      <c r="E1548" s="75">
        <v>15.29</v>
      </c>
      <c r="F1548" s="75" t="s">
        <v>994</v>
      </c>
      <c r="G1548" s="82">
        <v>46111.0</v>
      </c>
      <c r="H1548" s="76" t="s">
        <v>965</v>
      </c>
      <c r="I1548" s="83"/>
      <c r="J1548" s="83"/>
      <c r="K1548" s="83"/>
      <c r="L1548" s="83"/>
      <c r="M1548" s="83"/>
      <c r="N1548" s="83"/>
      <c r="O1548" s="83"/>
      <c r="P1548" s="83"/>
      <c r="Q1548" s="83"/>
      <c r="R1548" s="83"/>
      <c r="S1548" s="83"/>
      <c r="T1548" s="83"/>
      <c r="U1548" s="83"/>
      <c r="V1548" s="83"/>
      <c r="W1548" s="83"/>
      <c r="X1548" s="83"/>
      <c r="Y1548" s="83"/>
      <c r="Z1548" s="83"/>
    </row>
    <row r="1549">
      <c r="A1549" s="75" t="s">
        <v>966</v>
      </c>
      <c r="B1549" s="75" t="s">
        <v>1004</v>
      </c>
      <c r="C1549" s="75">
        <v>7.23</v>
      </c>
      <c r="D1549" s="75">
        <v>0.0</v>
      </c>
      <c r="E1549" s="75">
        <v>0.0</v>
      </c>
      <c r="F1549" s="75" t="s">
        <v>994</v>
      </c>
      <c r="G1549" s="82">
        <v>46111.0</v>
      </c>
      <c r="H1549" s="76" t="s">
        <v>967</v>
      </c>
      <c r="I1549" s="83"/>
      <c r="J1549" s="83"/>
      <c r="K1549" s="83"/>
      <c r="L1549" s="83"/>
      <c r="M1549" s="83"/>
      <c r="N1549" s="83"/>
      <c r="O1549" s="83"/>
      <c r="P1549" s="83"/>
      <c r="Q1549" s="83"/>
      <c r="R1549" s="83"/>
      <c r="S1549" s="83"/>
      <c r="T1549" s="83"/>
      <c r="U1549" s="83"/>
      <c r="V1549" s="83"/>
      <c r="W1549" s="83"/>
      <c r="X1549" s="83"/>
      <c r="Y1549" s="83"/>
      <c r="Z1549" s="83"/>
    </row>
    <row r="1550">
      <c r="A1550" s="75" t="s">
        <v>966</v>
      </c>
      <c r="B1550" s="75" t="s">
        <v>1004</v>
      </c>
      <c r="C1550" s="75">
        <v>5.02</v>
      </c>
      <c r="D1550" s="75">
        <v>0.0</v>
      </c>
      <c r="E1550" s="75">
        <v>0.0</v>
      </c>
      <c r="F1550" s="75" t="s">
        <v>994</v>
      </c>
      <c r="G1550" s="82">
        <v>46111.0</v>
      </c>
      <c r="H1550" s="76" t="s">
        <v>968</v>
      </c>
      <c r="I1550" s="83"/>
      <c r="J1550" s="83"/>
      <c r="K1550" s="83"/>
      <c r="L1550" s="83"/>
      <c r="M1550" s="83"/>
      <c r="N1550" s="83"/>
      <c r="O1550" s="83"/>
      <c r="P1550" s="83"/>
      <c r="Q1550" s="83"/>
      <c r="R1550" s="83"/>
      <c r="S1550" s="83"/>
      <c r="T1550" s="83"/>
      <c r="U1550" s="83"/>
      <c r="V1550" s="83"/>
      <c r="W1550" s="83"/>
      <c r="X1550" s="83"/>
      <c r="Y1550" s="83"/>
      <c r="Z1550" s="83"/>
    </row>
    <row r="1551">
      <c r="A1551" s="75" t="s">
        <v>966</v>
      </c>
      <c r="B1551" s="75" t="s">
        <v>1004</v>
      </c>
      <c r="C1551" s="75">
        <v>3.71</v>
      </c>
      <c r="D1551" s="75">
        <v>0.0</v>
      </c>
      <c r="E1551" s="75">
        <v>0.0</v>
      </c>
      <c r="F1551" s="75" t="s">
        <v>994</v>
      </c>
      <c r="G1551" s="82">
        <v>46111.0</v>
      </c>
      <c r="H1551" s="76" t="s">
        <v>969</v>
      </c>
    </row>
    <row r="1552">
      <c r="A1552" s="75" t="s">
        <v>36</v>
      </c>
      <c r="B1552" s="75" t="s">
        <v>1004</v>
      </c>
      <c r="C1552" s="75">
        <v>48.26</v>
      </c>
      <c r="D1552" s="75">
        <v>3.0</v>
      </c>
      <c r="E1552" s="75">
        <v>16.09</v>
      </c>
      <c r="F1552" s="75" t="s">
        <v>994</v>
      </c>
      <c r="G1552" s="82">
        <v>46111.0</v>
      </c>
      <c r="H1552" s="76" t="s">
        <v>926</v>
      </c>
      <c r="I1552" s="83"/>
      <c r="J1552" s="83"/>
      <c r="K1552" s="83"/>
      <c r="L1552" s="83"/>
      <c r="M1552" s="83"/>
      <c r="N1552" s="83"/>
      <c r="O1552" s="83"/>
      <c r="P1552" s="83"/>
      <c r="Q1552" s="83"/>
      <c r="R1552" s="83"/>
      <c r="S1552" s="83"/>
      <c r="T1552" s="83"/>
      <c r="U1552" s="83"/>
      <c r="V1552" s="83"/>
      <c r="W1552" s="83"/>
      <c r="X1552" s="83"/>
      <c r="Y1552" s="83"/>
      <c r="Z1552" s="83"/>
    </row>
    <row r="1553">
      <c r="A1553" s="75" t="s">
        <v>36</v>
      </c>
      <c r="B1553" s="75" t="s">
        <v>1004</v>
      </c>
      <c r="C1553" s="75">
        <v>2.04</v>
      </c>
      <c r="D1553" s="75">
        <v>0.0</v>
      </c>
      <c r="E1553" s="75">
        <v>0.0</v>
      </c>
      <c r="F1553" s="75" t="s">
        <v>994</v>
      </c>
      <c r="G1553" s="82">
        <v>46111.0</v>
      </c>
      <c r="H1553" s="76" t="s">
        <v>927</v>
      </c>
      <c r="I1553" s="83"/>
      <c r="J1553" s="83"/>
      <c r="K1553" s="83"/>
      <c r="L1553" s="83"/>
      <c r="M1553" s="83"/>
      <c r="N1553" s="83"/>
      <c r="O1553" s="83"/>
      <c r="P1553" s="83"/>
      <c r="Q1553" s="83"/>
      <c r="R1553" s="83"/>
      <c r="S1553" s="83"/>
      <c r="T1553" s="83"/>
      <c r="U1553" s="83"/>
      <c r="V1553" s="83"/>
      <c r="W1553" s="83"/>
      <c r="X1553" s="83"/>
      <c r="Y1553" s="83"/>
      <c r="Z1553" s="83"/>
    </row>
    <row r="1554">
      <c r="A1554" s="75" t="s">
        <v>36</v>
      </c>
      <c r="B1554" s="75" t="s">
        <v>1004</v>
      </c>
      <c r="C1554" s="75">
        <v>7.94</v>
      </c>
      <c r="D1554" s="75">
        <v>0.0</v>
      </c>
      <c r="E1554" s="75">
        <v>0.0</v>
      </c>
      <c r="F1554" s="75" t="s">
        <v>994</v>
      </c>
      <c r="G1554" s="82">
        <v>46111.0</v>
      </c>
      <c r="H1554" s="76" t="s">
        <v>928</v>
      </c>
      <c r="I1554" s="83"/>
      <c r="J1554" s="83"/>
      <c r="K1554" s="83"/>
      <c r="L1554" s="83"/>
      <c r="M1554" s="83"/>
      <c r="N1554" s="83"/>
      <c r="O1554" s="83"/>
      <c r="P1554" s="83"/>
      <c r="Q1554" s="83"/>
      <c r="R1554" s="83"/>
      <c r="S1554" s="83"/>
      <c r="T1554" s="83"/>
      <c r="U1554" s="83"/>
      <c r="V1554" s="83"/>
      <c r="W1554" s="83"/>
      <c r="X1554" s="83"/>
      <c r="Y1554" s="83"/>
      <c r="Z1554" s="83"/>
    </row>
    <row r="1555">
      <c r="A1555" s="75" t="s">
        <v>970</v>
      </c>
      <c r="B1555" s="75" t="s">
        <v>1004</v>
      </c>
      <c r="C1555" s="75">
        <v>22.58</v>
      </c>
      <c r="D1555" s="75">
        <v>12.0</v>
      </c>
      <c r="E1555" s="75">
        <v>1.88</v>
      </c>
      <c r="F1555" s="75" t="s">
        <v>994</v>
      </c>
      <c r="G1555" s="82">
        <v>46111.0</v>
      </c>
      <c r="H1555" s="76" t="s">
        <v>971</v>
      </c>
      <c r="I1555" s="83"/>
      <c r="J1555" s="83"/>
      <c r="K1555" s="83"/>
      <c r="L1555" s="83"/>
      <c r="M1555" s="83"/>
      <c r="N1555" s="83"/>
      <c r="O1555" s="83"/>
      <c r="P1555" s="83"/>
      <c r="Q1555" s="83"/>
      <c r="R1555" s="83"/>
      <c r="S1555" s="83"/>
      <c r="T1555" s="83"/>
      <c r="U1555" s="83"/>
      <c r="V1555" s="83"/>
      <c r="W1555" s="83"/>
      <c r="X1555" s="83"/>
      <c r="Y1555" s="83"/>
      <c r="Z1555" s="83"/>
    </row>
    <row r="1556">
      <c r="A1556" s="75" t="s">
        <v>970</v>
      </c>
      <c r="B1556" s="75" t="s">
        <v>1004</v>
      </c>
      <c r="C1556" s="75">
        <v>2.29</v>
      </c>
      <c r="D1556" s="75">
        <v>0.0</v>
      </c>
      <c r="E1556" s="75">
        <v>0.0</v>
      </c>
      <c r="F1556" s="75" t="s">
        <v>994</v>
      </c>
      <c r="G1556" s="82">
        <v>46111.0</v>
      </c>
      <c r="H1556" s="76" t="s">
        <v>972</v>
      </c>
      <c r="I1556" s="83"/>
      <c r="J1556" s="83"/>
      <c r="K1556" s="83"/>
      <c r="L1556" s="83"/>
      <c r="M1556" s="83"/>
      <c r="N1556" s="83"/>
      <c r="O1556" s="83"/>
      <c r="P1556" s="83"/>
      <c r="Q1556" s="83"/>
      <c r="R1556" s="83"/>
      <c r="S1556" s="83"/>
      <c r="T1556" s="83"/>
      <c r="U1556" s="83"/>
      <c r="V1556" s="83"/>
      <c r="W1556" s="83"/>
      <c r="X1556" s="83"/>
      <c r="Y1556" s="83"/>
      <c r="Z1556" s="83"/>
    </row>
    <row r="1557">
      <c r="A1557" s="75" t="s">
        <v>970</v>
      </c>
      <c r="B1557" s="75" t="s">
        <v>1004</v>
      </c>
      <c r="C1557" s="75">
        <v>20.42</v>
      </c>
      <c r="D1557" s="75">
        <v>12.0</v>
      </c>
      <c r="E1557" s="75">
        <v>1.7</v>
      </c>
      <c r="F1557" s="75" t="s">
        <v>994</v>
      </c>
      <c r="G1557" s="82">
        <v>46111.0</v>
      </c>
      <c r="H1557" s="76" t="s">
        <v>973</v>
      </c>
      <c r="I1557" s="83"/>
      <c r="J1557" s="83"/>
      <c r="K1557" s="83"/>
      <c r="L1557" s="83"/>
      <c r="M1557" s="83"/>
      <c r="N1557" s="83"/>
      <c r="O1557" s="83"/>
      <c r="P1557" s="83"/>
      <c r="Q1557" s="83"/>
      <c r="R1557" s="83"/>
      <c r="S1557" s="83"/>
      <c r="T1557" s="83"/>
      <c r="U1557" s="83"/>
      <c r="V1557" s="83"/>
      <c r="W1557" s="83"/>
      <c r="X1557" s="83"/>
      <c r="Y1557" s="83"/>
      <c r="Z1557" s="83"/>
    </row>
    <row r="1558">
      <c r="A1558" s="75" t="s">
        <v>29</v>
      </c>
      <c r="B1558" s="75" t="s">
        <v>1004</v>
      </c>
      <c r="C1558" s="75">
        <v>4.03</v>
      </c>
      <c r="D1558" s="75">
        <v>1.0</v>
      </c>
      <c r="E1558" s="75">
        <v>4.03</v>
      </c>
      <c r="F1558" s="75" t="s">
        <v>994</v>
      </c>
      <c r="G1558" s="82">
        <v>46111.0</v>
      </c>
      <c r="H1558" s="76" t="s">
        <v>971</v>
      </c>
      <c r="I1558" s="83"/>
      <c r="J1558" s="83"/>
      <c r="K1558" s="83"/>
      <c r="L1558" s="83"/>
      <c r="M1558" s="83"/>
      <c r="N1558" s="83"/>
      <c r="O1558" s="83"/>
      <c r="P1558" s="83"/>
      <c r="Q1558" s="83"/>
      <c r="R1558" s="83"/>
      <c r="S1558" s="83"/>
      <c r="T1558" s="83"/>
      <c r="U1558" s="83"/>
      <c r="V1558" s="83"/>
      <c r="W1558" s="83"/>
      <c r="X1558" s="83"/>
      <c r="Y1558" s="83"/>
      <c r="Z1558" s="83"/>
    </row>
    <row r="1559">
      <c r="A1559" s="75" t="s">
        <v>29</v>
      </c>
      <c r="B1559" s="75" t="s">
        <v>1004</v>
      </c>
      <c r="C1559" s="75">
        <v>0.08</v>
      </c>
      <c r="D1559" s="75">
        <v>0.0</v>
      </c>
      <c r="E1559" s="75">
        <v>0.0</v>
      </c>
      <c r="F1559" s="75" t="s">
        <v>994</v>
      </c>
      <c r="G1559" s="82">
        <v>46111.0</v>
      </c>
      <c r="H1559" s="76" t="s">
        <v>972</v>
      </c>
      <c r="I1559" s="83"/>
      <c r="J1559" s="83"/>
      <c r="K1559" s="83"/>
      <c r="L1559" s="83"/>
      <c r="M1559" s="83"/>
      <c r="N1559" s="83"/>
      <c r="O1559" s="83"/>
      <c r="P1559" s="83"/>
      <c r="Q1559" s="83"/>
      <c r="R1559" s="83"/>
      <c r="S1559" s="83"/>
      <c r="T1559" s="83"/>
      <c r="U1559" s="83"/>
      <c r="V1559" s="83"/>
      <c r="W1559" s="83"/>
      <c r="X1559" s="83"/>
      <c r="Y1559" s="83"/>
      <c r="Z1559" s="83"/>
    </row>
    <row r="1560">
      <c r="A1560" s="75" t="s">
        <v>29</v>
      </c>
      <c r="B1560" s="75" t="s">
        <v>1004</v>
      </c>
      <c r="C1560" s="75">
        <v>1.3</v>
      </c>
      <c r="D1560" s="75">
        <v>1.0</v>
      </c>
      <c r="E1560" s="75">
        <v>1.3</v>
      </c>
      <c r="F1560" s="75" t="s">
        <v>994</v>
      </c>
      <c r="G1560" s="82">
        <v>46111.0</v>
      </c>
      <c r="H1560" s="76" t="s">
        <v>973</v>
      </c>
      <c r="I1560" s="83"/>
      <c r="J1560" s="83"/>
      <c r="K1560" s="83"/>
      <c r="L1560" s="83"/>
      <c r="M1560" s="83"/>
      <c r="N1560" s="83"/>
      <c r="O1560" s="83"/>
      <c r="P1560" s="83"/>
      <c r="Q1560" s="83"/>
      <c r="R1560" s="83"/>
      <c r="S1560" s="83"/>
      <c r="T1560" s="83"/>
      <c r="U1560" s="83"/>
      <c r="V1560" s="83"/>
      <c r="W1560" s="83"/>
      <c r="X1560" s="83"/>
      <c r="Y1560" s="83"/>
      <c r="Z1560" s="83"/>
    </row>
    <row r="1561">
      <c r="A1561" s="75" t="s">
        <v>34</v>
      </c>
      <c r="B1561" s="75" t="s">
        <v>1004</v>
      </c>
      <c r="C1561" s="75">
        <v>87.74</v>
      </c>
      <c r="D1561" s="75">
        <v>9.0</v>
      </c>
      <c r="E1561" s="75">
        <v>9.75</v>
      </c>
      <c r="F1561" s="75" t="s">
        <v>1005</v>
      </c>
      <c r="G1561" s="82">
        <v>46111.0</v>
      </c>
      <c r="H1561" s="76" t="s">
        <v>951</v>
      </c>
      <c r="I1561" s="83"/>
      <c r="J1561" s="83"/>
      <c r="K1561" s="83"/>
      <c r="L1561" s="83"/>
      <c r="M1561" s="83"/>
      <c r="N1561" s="83"/>
      <c r="O1561" s="83"/>
      <c r="P1561" s="83"/>
      <c r="Q1561" s="83"/>
      <c r="R1561" s="83"/>
      <c r="S1561" s="83"/>
      <c r="T1561" s="83"/>
      <c r="U1561" s="83"/>
      <c r="V1561" s="83"/>
      <c r="W1561" s="83"/>
      <c r="X1561" s="83"/>
      <c r="Y1561" s="83"/>
      <c r="Z1561" s="83"/>
    </row>
    <row r="1562">
      <c r="A1562" s="75" t="s">
        <v>34</v>
      </c>
      <c r="B1562" s="75" t="s">
        <v>1004</v>
      </c>
      <c r="C1562" s="75">
        <v>69.97</v>
      </c>
      <c r="D1562" s="75">
        <v>17.0</v>
      </c>
      <c r="E1562" s="75">
        <v>4.12</v>
      </c>
      <c r="F1562" s="75" t="s">
        <v>1005</v>
      </c>
      <c r="G1562" s="82">
        <v>46111.0</v>
      </c>
      <c r="H1562" s="76" t="s">
        <v>952</v>
      </c>
      <c r="I1562" s="83"/>
      <c r="J1562" s="83"/>
      <c r="K1562" s="83"/>
      <c r="L1562" s="83"/>
      <c r="M1562" s="83"/>
      <c r="N1562" s="83"/>
      <c r="O1562" s="83"/>
      <c r="P1562" s="83"/>
      <c r="Q1562" s="83"/>
      <c r="R1562" s="83"/>
      <c r="S1562" s="83"/>
      <c r="T1562" s="83"/>
      <c r="U1562" s="83"/>
      <c r="V1562" s="83"/>
      <c r="W1562" s="83"/>
      <c r="X1562" s="83"/>
      <c r="Y1562" s="83"/>
      <c r="Z1562" s="83"/>
    </row>
    <row r="1563">
      <c r="A1563" s="75" t="s">
        <v>34</v>
      </c>
      <c r="B1563" s="75" t="s">
        <v>1004</v>
      </c>
      <c r="C1563" s="75">
        <v>91.19</v>
      </c>
      <c r="D1563" s="75">
        <v>16.0</v>
      </c>
      <c r="E1563" s="75">
        <v>5.7</v>
      </c>
      <c r="F1563" s="75" t="s">
        <v>1005</v>
      </c>
      <c r="G1563" s="82">
        <v>46111.0</v>
      </c>
      <c r="H1563" s="76" t="s">
        <v>953</v>
      </c>
      <c r="I1563" s="83"/>
      <c r="J1563" s="83"/>
      <c r="K1563" s="83"/>
      <c r="L1563" s="83"/>
      <c r="M1563" s="83"/>
      <c r="N1563" s="83"/>
      <c r="O1563" s="83"/>
      <c r="P1563" s="83"/>
      <c r="Q1563" s="83"/>
      <c r="R1563" s="83"/>
      <c r="S1563" s="83"/>
      <c r="T1563" s="83"/>
      <c r="U1563" s="83"/>
      <c r="V1563" s="83"/>
      <c r="W1563" s="83"/>
      <c r="X1563" s="83"/>
      <c r="Y1563" s="83"/>
      <c r="Z1563" s="83"/>
    </row>
    <row r="1564">
      <c r="A1564" s="75" t="s">
        <v>40</v>
      </c>
      <c r="B1564" s="75" t="s">
        <v>1004</v>
      </c>
      <c r="C1564" s="75">
        <v>10.9</v>
      </c>
      <c r="D1564" s="75">
        <v>2.0</v>
      </c>
      <c r="E1564" s="75">
        <v>5.45</v>
      </c>
      <c r="F1564" s="75" t="s">
        <v>1005</v>
      </c>
      <c r="G1564" s="82">
        <v>46111.0</v>
      </c>
      <c r="H1564" s="76" t="s">
        <v>954</v>
      </c>
      <c r="I1564" s="83"/>
      <c r="J1564" s="83"/>
      <c r="K1564" s="83"/>
      <c r="L1564" s="83"/>
      <c r="M1564" s="83"/>
      <c r="N1564" s="83"/>
      <c r="O1564" s="83"/>
      <c r="P1564" s="83"/>
      <c r="Q1564" s="83"/>
      <c r="R1564" s="83"/>
      <c r="S1564" s="83"/>
      <c r="T1564" s="83"/>
      <c r="U1564" s="83"/>
      <c r="V1564" s="83"/>
      <c r="W1564" s="83"/>
      <c r="X1564" s="83"/>
      <c r="Y1564" s="83"/>
      <c r="Z1564" s="83"/>
    </row>
    <row r="1565">
      <c r="A1565" s="75" t="s">
        <v>40</v>
      </c>
      <c r="B1565" s="75" t="s">
        <v>1004</v>
      </c>
      <c r="C1565" s="75">
        <v>5.45</v>
      </c>
      <c r="D1565" s="75">
        <v>1.0</v>
      </c>
      <c r="E1565" s="75">
        <v>5.45</v>
      </c>
      <c r="F1565" s="75" t="s">
        <v>1005</v>
      </c>
      <c r="G1565" s="82">
        <v>46111.0</v>
      </c>
      <c r="H1565" s="76" t="s">
        <v>955</v>
      </c>
      <c r="I1565" s="83"/>
      <c r="J1565" s="83"/>
      <c r="K1565" s="83"/>
      <c r="L1565" s="83"/>
      <c r="M1565" s="83"/>
      <c r="N1565" s="83"/>
      <c r="O1565" s="83"/>
      <c r="P1565" s="83"/>
      <c r="Q1565" s="83"/>
      <c r="R1565" s="83"/>
      <c r="S1565" s="83"/>
      <c r="T1565" s="83"/>
      <c r="U1565" s="83"/>
      <c r="V1565" s="83"/>
      <c r="W1565" s="83"/>
      <c r="X1565" s="83"/>
      <c r="Y1565" s="83"/>
      <c r="Z1565" s="83"/>
    </row>
    <row r="1566">
      <c r="A1566" s="75" t="s">
        <v>40</v>
      </c>
      <c r="B1566" s="75" t="s">
        <v>1004</v>
      </c>
      <c r="C1566" s="75">
        <v>117.8</v>
      </c>
      <c r="D1566" s="75">
        <v>31.0</v>
      </c>
      <c r="E1566" s="75">
        <v>3.8</v>
      </c>
      <c r="F1566" s="75" t="s">
        <v>1005</v>
      </c>
      <c r="G1566" s="82">
        <v>46111.0</v>
      </c>
      <c r="H1566" s="76" t="s">
        <v>956</v>
      </c>
      <c r="I1566" s="83"/>
      <c r="J1566" s="83"/>
      <c r="K1566" s="83"/>
      <c r="L1566" s="83"/>
      <c r="M1566" s="83"/>
      <c r="N1566" s="83"/>
      <c r="O1566" s="83"/>
      <c r="P1566" s="83"/>
      <c r="Q1566" s="83"/>
      <c r="R1566" s="83"/>
      <c r="S1566" s="83"/>
      <c r="T1566" s="83"/>
      <c r="U1566" s="83"/>
      <c r="V1566" s="83"/>
      <c r="W1566" s="83"/>
      <c r="X1566" s="83"/>
      <c r="Y1566" s="83"/>
      <c r="Z1566" s="83"/>
    </row>
    <row r="1567">
      <c r="A1567" s="75" t="s">
        <v>33</v>
      </c>
      <c r="B1567" s="75" t="s">
        <v>1004</v>
      </c>
      <c r="C1567" s="75">
        <v>44.06</v>
      </c>
      <c r="D1567" s="75">
        <v>27.0</v>
      </c>
      <c r="E1567" s="75">
        <v>1.63</v>
      </c>
      <c r="F1567" s="75" t="s">
        <v>1005</v>
      </c>
      <c r="G1567" s="82">
        <v>46111.0</v>
      </c>
      <c r="H1567" s="76" t="s">
        <v>957</v>
      </c>
      <c r="I1567" s="83"/>
      <c r="J1567" s="83"/>
      <c r="K1567" s="83"/>
      <c r="L1567" s="83"/>
      <c r="M1567" s="83"/>
      <c r="N1567" s="83"/>
      <c r="O1567" s="83"/>
      <c r="P1567" s="83"/>
      <c r="Q1567" s="83"/>
      <c r="R1567" s="83"/>
      <c r="S1567" s="83"/>
      <c r="T1567" s="83"/>
      <c r="U1567" s="83"/>
      <c r="V1567" s="83"/>
      <c r="W1567" s="83"/>
      <c r="X1567" s="83"/>
      <c r="Y1567" s="83"/>
      <c r="Z1567" s="83"/>
    </row>
    <row r="1568">
      <c r="A1568" s="75" t="s">
        <v>33</v>
      </c>
      <c r="B1568" s="75" t="s">
        <v>1004</v>
      </c>
      <c r="C1568" s="75">
        <v>12.37</v>
      </c>
      <c r="D1568" s="75">
        <v>8.0</v>
      </c>
      <c r="E1568" s="75">
        <v>1.55</v>
      </c>
      <c r="F1568" s="75" t="s">
        <v>1005</v>
      </c>
      <c r="G1568" s="82">
        <v>46111.0</v>
      </c>
      <c r="H1568" s="76" t="s">
        <v>958</v>
      </c>
      <c r="I1568" s="83"/>
      <c r="J1568" s="83"/>
      <c r="K1568" s="83"/>
      <c r="L1568" s="83"/>
      <c r="M1568" s="83"/>
      <c r="N1568" s="83"/>
      <c r="O1568" s="83"/>
      <c r="P1568" s="83"/>
      <c r="Q1568" s="83"/>
      <c r="R1568" s="83"/>
      <c r="S1568" s="83"/>
      <c r="T1568" s="83"/>
      <c r="U1568" s="83"/>
      <c r="V1568" s="83"/>
      <c r="W1568" s="83"/>
      <c r="X1568" s="83"/>
      <c r="Y1568" s="83"/>
      <c r="Z1568" s="83"/>
    </row>
    <row r="1569">
      <c r="A1569" s="75" t="s">
        <v>33</v>
      </c>
      <c r="B1569" s="75" t="s">
        <v>1004</v>
      </c>
      <c r="C1569" s="75">
        <v>24.48</v>
      </c>
      <c r="D1569" s="75">
        <v>14.0</v>
      </c>
      <c r="E1569" s="75">
        <v>1.75</v>
      </c>
      <c r="F1569" s="75" t="s">
        <v>1005</v>
      </c>
      <c r="G1569" s="82">
        <v>46111.0</v>
      </c>
      <c r="H1569" s="76" t="s">
        <v>959</v>
      </c>
      <c r="I1569" s="83"/>
      <c r="J1569" s="83"/>
      <c r="K1569" s="83"/>
      <c r="L1569" s="83"/>
      <c r="M1569" s="83"/>
      <c r="N1569" s="83"/>
      <c r="O1569" s="83"/>
      <c r="P1569" s="83"/>
      <c r="Q1569" s="83"/>
      <c r="R1569" s="83"/>
      <c r="S1569" s="83"/>
      <c r="T1569" s="83"/>
      <c r="U1569" s="83"/>
      <c r="V1569" s="83"/>
      <c r="W1569" s="83"/>
      <c r="X1569" s="83"/>
      <c r="Y1569" s="83"/>
      <c r="Z1569" s="83"/>
    </row>
    <row r="1570">
      <c r="A1570" s="75" t="s">
        <v>46</v>
      </c>
      <c r="B1570" s="75" t="s">
        <v>1004</v>
      </c>
      <c r="C1570" s="75">
        <v>21.46</v>
      </c>
      <c r="D1570" s="75">
        <v>12.0</v>
      </c>
      <c r="E1570" s="75">
        <v>1.79</v>
      </c>
      <c r="F1570" s="75" t="s">
        <v>1005</v>
      </c>
      <c r="G1570" s="82">
        <v>46111.0</v>
      </c>
      <c r="H1570" s="76" t="s">
        <v>960</v>
      </c>
      <c r="I1570" s="83"/>
      <c r="J1570" s="83"/>
      <c r="K1570" s="83"/>
      <c r="L1570" s="83"/>
      <c r="M1570" s="83"/>
      <c r="N1570" s="83"/>
      <c r="O1570" s="83"/>
      <c r="P1570" s="83"/>
      <c r="Q1570" s="83"/>
      <c r="R1570" s="83"/>
      <c r="S1570" s="83"/>
      <c r="T1570" s="83"/>
      <c r="U1570" s="83"/>
      <c r="V1570" s="83"/>
      <c r="W1570" s="83"/>
      <c r="X1570" s="83"/>
      <c r="Y1570" s="83"/>
      <c r="Z1570" s="83"/>
    </row>
    <row r="1571">
      <c r="A1571" s="75" t="s">
        <v>46</v>
      </c>
      <c r="B1571" s="75" t="s">
        <v>1004</v>
      </c>
      <c r="C1571" s="75">
        <v>18.98</v>
      </c>
      <c r="D1571" s="75">
        <v>6.0</v>
      </c>
      <c r="E1571" s="75">
        <v>3.16</v>
      </c>
      <c r="F1571" s="75" t="s">
        <v>1005</v>
      </c>
      <c r="G1571" s="82">
        <v>46111.0</v>
      </c>
      <c r="H1571" s="76" t="s">
        <v>961</v>
      </c>
      <c r="I1571" s="83"/>
      <c r="J1571" s="83"/>
      <c r="K1571" s="83"/>
      <c r="L1571" s="83"/>
      <c r="M1571" s="83"/>
      <c r="N1571" s="83"/>
      <c r="O1571" s="83"/>
      <c r="P1571" s="83"/>
      <c r="Q1571" s="83"/>
      <c r="R1571" s="83"/>
      <c r="S1571" s="83"/>
      <c r="T1571" s="83"/>
      <c r="U1571" s="83"/>
      <c r="V1571" s="83"/>
      <c r="W1571" s="83"/>
      <c r="X1571" s="83"/>
      <c r="Y1571" s="83"/>
      <c r="Z1571" s="83"/>
    </row>
    <row r="1572">
      <c r="A1572" s="75" t="s">
        <v>46</v>
      </c>
      <c r="B1572" s="75" t="s">
        <v>1004</v>
      </c>
      <c r="C1572" s="75">
        <v>42.47</v>
      </c>
      <c r="D1572" s="75">
        <v>9.0</v>
      </c>
      <c r="E1572" s="75">
        <v>4.72</v>
      </c>
      <c r="F1572" s="75" t="s">
        <v>1005</v>
      </c>
      <c r="G1572" s="82">
        <v>46111.0</v>
      </c>
      <c r="H1572" s="76" t="s">
        <v>962</v>
      </c>
      <c r="I1572" s="83"/>
      <c r="J1572" s="83"/>
      <c r="K1572" s="83"/>
      <c r="L1572" s="83"/>
      <c r="M1572" s="83"/>
      <c r="N1572" s="83"/>
      <c r="O1572" s="83"/>
      <c r="P1572" s="83"/>
      <c r="Q1572" s="83"/>
      <c r="R1572" s="83"/>
      <c r="S1572" s="83"/>
      <c r="T1572" s="83"/>
      <c r="U1572" s="83"/>
      <c r="V1572" s="83"/>
      <c r="W1572" s="83"/>
      <c r="X1572" s="83"/>
      <c r="Y1572" s="83"/>
      <c r="Z1572" s="83"/>
    </row>
    <row r="1573">
      <c r="A1573" s="75" t="s">
        <v>43</v>
      </c>
      <c r="B1573" s="75" t="s">
        <v>1004</v>
      </c>
      <c r="C1573" s="75">
        <v>20.15</v>
      </c>
      <c r="D1573" s="75">
        <v>4.0</v>
      </c>
      <c r="E1573" s="75">
        <v>5.04</v>
      </c>
      <c r="F1573" s="75" t="s">
        <v>1005</v>
      </c>
      <c r="G1573" s="82">
        <v>46111.0</v>
      </c>
      <c r="H1573" s="76" t="s">
        <v>963</v>
      </c>
      <c r="I1573" s="83"/>
      <c r="J1573" s="83"/>
      <c r="K1573" s="83"/>
      <c r="L1573" s="83"/>
      <c r="M1573" s="83"/>
      <c r="N1573" s="83"/>
      <c r="O1573" s="83"/>
      <c r="P1573" s="83"/>
      <c r="Q1573" s="83"/>
      <c r="R1573" s="83"/>
      <c r="S1573" s="83"/>
      <c r="T1573" s="83"/>
      <c r="U1573" s="83"/>
      <c r="V1573" s="83"/>
      <c r="W1573" s="83"/>
      <c r="X1573" s="83"/>
      <c r="Y1573" s="83"/>
      <c r="Z1573" s="83"/>
    </row>
    <row r="1574">
      <c r="A1574" s="75" t="s">
        <v>43</v>
      </c>
      <c r="B1574" s="75" t="s">
        <v>1004</v>
      </c>
      <c r="C1574" s="75">
        <v>15.77</v>
      </c>
      <c r="D1574" s="75">
        <v>2.0</v>
      </c>
      <c r="E1574" s="75">
        <v>7.88</v>
      </c>
      <c r="F1574" s="75" t="s">
        <v>1005</v>
      </c>
      <c r="G1574" s="82">
        <v>46111.0</v>
      </c>
      <c r="H1574" s="76" t="s">
        <v>964</v>
      </c>
      <c r="I1574" s="83"/>
      <c r="J1574" s="83"/>
      <c r="K1574" s="83"/>
      <c r="L1574" s="83"/>
      <c r="M1574" s="83"/>
      <c r="N1574" s="83"/>
      <c r="O1574" s="83"/>
      <c r="P1574" s="83"/>
      <c r="Q1574" s="83"/>
      <c r="R1574" s="83"/>
      <c r="S1574" s="83"/>
      <c r="T1574" s="83"/>
      <c r="U1574" s="83"/>
      <c r="V1574" s="83"/>
      <c r="W1574" s="83"/>
      <c r="X1574" s="83"/>
      <c r="Y1574" s="83"/>
      <c r="Z1574" s="83"/>
    </row>
    <row r="1575">
      <c r="A1575" s="75" t="s">
        <v>43</v>
      </c>
      <c r="B1575" s="75" t="s">
        <v>1004</v>
      </c>
      <c r="C1575" s="75">
        <v>47.26</v>
      </c>
      <c r="D1575" s="75">
        <v>9.0</v>
      </c>
      <c r="E1575" s="75">
        <v>5.25</v>
      </c>
      <c r="F1575" s="75" t="s">
        <v>1005</v>
      </c>
      <c r="G1575" s="82">
        <v>46111.0</v>
      </c>
      <c r="H1575" s="76" t="s">
        <v>965</v>
      </c>
      <c r="I1575" s="83"/>
      <c r="J1575" s="83"/>
      <c r="K1575" s="83"/>
      <c r="L1575" s="83"/>
      <c r="M1575" s="83"/>
      <c r="N1575" s="83"/>
      <c r="O1575" s="83"/>
      <c r="P1575" s="83"/>
      <c r="Q1575" s="83"/>
      <c r="R1575" s="83"/>
      <c r="S1575" s="83"/>
      <c r="T1575" s="83"/>
      <c r="U1575" s="83"/>
      <c r="V1575" s="83"/>
      <c r="W1575" s="83"/>
      <c r="X1575" s="83"/>
      <c r="Y1575" s="83"/>
      <c r="Z1575" s="83"/>
    </row>
    <row r="1576">
      <c r="A1576" s="75" t="s">
        <v>966</v>
      </c>
      <c r="B1576" s="75" t="s">
        <v>1004</v>
      </c>
      <c r="C1576" s="75">
        <v>57.8</v>
      </c>
      <c r="D1576" s="75">
        <v>18.0</v>
      </c>
      <c r="E1576" s="75">
        <v>3.21</v>
      </c>
      <c r="F1576" s="75" t="s">
        <v>1005</v>
      </c>
      <c r="G1576" s="82">
        <v>46111.0</v>
      </c>
      <c r="H1576" s="76" t="s">
        <v>967</v>
      </c>
      <c r="I1576" s="83"/>
      <c r="J1576" s="83"/>
      <c r="K1576" s="83"/>
      <c r="L1576" s="83"/>
      <c r="M1576" s="83"/>
      <c r="N1576" s="83"/>
      <c r="O1576" s="83"/>
      <c r="P1576" s="83"/>
      <c r="Q1576" s="83"/>
      <c r="R1576" s="83"/>
      <c r="S1576" s="83"/>
      <c r="T1576" s="83"/>
      <c r="U1576" s="83"/>
      <c r="V1576" s="83"/>
      <c r="W1576" s="83"/>
      <c r="X1576" s="83"/>
      <c r="Y1576" s="83"/>
      <c r="Z1576" s="83"/>
    </row>
    <row r="1577">
      <c r="A1577" s="75" t="s">
        <v>966</v>
      </c>
      <c r="B1577" s="75" t="s">
        <v>1004</v>
      </c>
      <c r="C1577" s="75">
        <v>17.47</v>
      </c>
      <c r="D1577" s="75">
        <v>4.0</v>
      </c>
      <c r="E1577" s="75">
        <v>4.37</v>
      </c>
      <c r="F1577" s="75" t="s">
        <v>1005</v>
      </c>
      <c r="G1577" s="82">
        <v>46111.0</v>
      </c>
      <c r="H1577" s="76" t="s">
        <v>968</v>
      </c>
      <c r="I1577" s="83"/>
      <c r="J1577" s="83"/>
      <c r="K1577" s="83"/>
      <c r="L1577" s="83"/>
      <c r="M1577" s="83"/>
      <c r="N1577" s="83"/>
      <c r="O1577" s="83"/>
      <c r="P1577" s="83"/>
      <c r="Q1577" s="83"/>
      <c r="R1577" s="83"/>
      <c r="S1577" s="83"/>
      <c r="T1577" s="83"/>
      <c r="U1577" s="83"/>
      <c r="V1577" s="83"/>
      <c r="W1577" s="83"/>
      <c r="X1577" s="83"/>
      <c r="Y1577" s="83"/>
      <c r="Z1577" s="83"/>
    </row>
    <row r="1578">
      <c r="A1578" s="75" t="s">
        <v>966</v>
      </c>
      <c r="B1578" s="75" t="s">
        <v>1004</v>
      </c>
      <c r="C1578" s="75">
        <v>49.65</v>
      </c>
      <c r="D1578" s="75">
        <v>18.0</v>
      </c>
      <c r="E1578" s="75">
        <v>2.76</v>
      </c>
      <c r="F1578" s="75" t="s">
        <v>1005</v>
      </c>
      <c r="G1578" s="82">
        <v>46111.0</v>
      </c>
      <c r="H1578" s="76" t="s">
        <v>969</v>
      </c>
      <c r="I1578" s="83"/>
      <c r="J1578" s="83"/>
      <c r="K1578" s="83"/>
      <c r="L1578" s="83"/>
      <c r="M1578" s="83"/>
      <c r="N1578" s="83"/>
      <c r="O1578" s="83"/>
      <c r="P1578" s="83"/>
      <c r="Q1578" s="83"/>
      <c r="R1578" s="83"/>
      <c r="S1578" s="83"/>
      <c r="T1578" s="83"/>
      <c r="U1578" s="83"/>
      <c r="V1578" s="83"/>
      <c r="W1578" s="83"/>
      <c r="X1578" s="83"/>
      <c r="Y1578" s="83"/>
      <c r="Z1578" s="83"/>
    </row>
    <row r="1579">
      <c r="A1579" s="75" t="s">
        <v>36</v>
      </c>
      <c r="B1579" s="75" t="s">
        <v>1004</v>
      </c>
      <c r="C1579" s="75">
        <v>73.25</v>
      </c>
      <c r="D1579" s="75">
        <v>25.0</v>
      </c>
      <c r="E1579" s="75">
        <v>2.93</v>
      </c>
      <c r="F1579" s="75" t="s">
        <v>1005</v>
      </c>
      <c r="G1579" s="82">
        <v>46111.0</v>
      </c>
      <c r="H1579" s="76" t="s">
        <v>926</v>
      </c>
      <c r="I1579" s="83"/>
      <c r="J1579" s="83"/>
      <c r="K1579" s="83"/>
      <c r="L1579" s="83"/>
      <c r="M1579" s="83"/>
      <c r="N1579" s="83"/>
      <c r="O1579" s="83"/>
      <c r="P1579" s="83"/>
      <c r="Q1579" s="83"/>
      <c r="R1579" s="83"/>
      <c r="S1579" s="83"/>
      <c r="T1579" s="83"/>
      <c r="U1579" s="83"/>
      <c r="V1579" s="83"/>
      <c r="W1579" s="83"/>
      <c r="X1579" s="83"/>
      <c r="Y1579" s="83"/>
      <c r="Z1579" s="83"/>
    </row>
    <row r="1580">
      <c r="A1580" s="75" t="s">
        <v>36</v>
      </c>
      <c r="B1580" s="75" t="s">
        <v>1004</v>
      </c>
      <c r="C1580" s="75">
        <v>10.65</v>
      </c>
      <c r="D1580" s="75">
        <v>2.0</v>
      </c>
      <c r="E1580" s="75">
        <v>5.33</v>
      </c>
      <c r="F1580" s="75" t="s">
        <v>1005</v>
      </c>
      <c r="G1580" s="82">
        <v>46111.0</v>
      </c>
      <c r="H1580" s="76" t="s">
        <v>927</v>
      </c>
      <c r="I1580" s="83"/>
      <c r="J1580" s="83"/>
      <c r="K1580" s="83"/>
      <c r="L1580" s="83"/>
      <c r="M1580" s="83"/>
      <c r="N1580" s="83"/>
      <c r="O1580" s="83"/>
      <c r="P1580" s="83"/>
      <c r="Q1580" s="83"/>
      <c r="R1580" s="83"/>
      <c r="S1580" s="83"/>
      <c r="T1580" s="83"/>
      <c r="U1580" s="83"/>
      <c r="V1580" s="83"/>
      <c r="W1580" s="83"/>
      <c r="X1580" s="83"/>
      <c r="Y1580" s="83"/>
      <c r="Z1580" s="83"/>
    </row>
    <row r="1581">
      <c r="A1581" s="75" t="s">
        <v>36</v>
      </c>
      <c r="B1581" s="75" t="s">
        <v>1004</v>
      </c>
      <c r="C1581" s="75">
        <v>15.55</v>
      </c>
      <c r="D1581" s="75">
        <v>2.0</v>
      </c>
      <c r="E1581" s="75">
        <v>7.77</v>
      </c>
      <c r="F1581" s="75" t="s">
        <v>1005</v>
      </c>
      <c r="G1581" s="82">
        <v>46111.0</v>
      </c>
      <c r="H1581" s="76" t="s">
        <v>928</v>
      </c>
      <c r="I1581" s="83"/>
      <c r="J1581" s="83"/>
      <c r="K1581" s="83"/>
      <c r="L1581" s="83"/>
      <c r="M1581" s="83"/>
      <c r="N1581" s="83"/>
      <c r="O1581" s="83"/>
      <c r="P1581" s="83"/>
      <c r="Q1581" s="83"/>
      <c r="R1581" s="83"/>
      <c r="S1581" s="83"/>
      <c r="T1581" s="83"/>
      <c r="U1581" s="83"/>
      <c r="V1581" s="83"/>
      <c r="W1581" s="83"/>
      <c r="X1581" s="83"/>
      <c r="Y1581" s="83"/>
      <c r="Z1581" s="83"/>
    </row>
    <row r="1582">
      <c r="A1582" s="75" t="s">
        <v>970</v>
      </c>
      <c r="B1582" s="75" t="s">
        <v>1004</v>
      </c>
      <c r="C1582" s="75">
        <v>159.01</v>
      </c>
      <c r="D1582" s="75">
        <v>76.0</v>
      </c>
      <c r="E1582" s="75">
        <v>2.09</v>
      </c>
      <c r="F1582" s="75" t="s">
        <v>1005</v>
      </c>
      <c r="G1582" s="82">
        <v>46111.0</v>
      </c>
      <c r="H1582" s="76" t="s">
        <v>971</v>
      </c>
      <c r="I1582" s="83"/>
      <c r="J1582" s="83"/>
      <c r="K1582" s="83"/>
      <c r="L1582" s="83"/>
      <c r="M1582" s="83"/>
      <c r="N1582" s="83"/>
      <c r="O1582" s="83"/>
      <c r="P1582" s="83"/>
      <c r="Q1582" s="83"/>
      <c r="R1582" s="83"/>
      <c r="S1582" s="83"/>
      <c r="T1582" s="83"/>
      <c r="U1582" s="83"/>
      <c r="V1582" s="83"/>
      <c r="W1582" s="83"/>
      <c r="X1582" s="83"/>
      <c r="Y1582" s="83"/>
      <c r="Z1582" s="83"/>
    </row>
    <row r="1583">
      <c r="A1583" s="75" t="s">
        <v>970</v>
      </c>
      <c r="B1583" s="75" t="s">
        <v>1004</v>
      </c>
      <c r="C1583" s="75">
        <v>21.6</v>
      </c>
      <c r="D1583" s="75">
        <v>12.0</v>
      </c>
      <c r="E1583" s="75">
        <v>1.8</v>
      </c>
      <c r="F1583" s="75" t="s">
        <v>1005</v>
      </c>
      <c r="G1583" s="82">
        <v>46111.0</v>
      </c>
      <c r="H1583" s="76" t="s">
        <v>972</v>
      </c>
      <c r="I1583" s="83"/>
      <c r="J1583" s="83"/>
      <c r="K1583" s="83"/>
      <c r="L1583" s="83"/>
      <c r="M1583" s="83"/>
      <c r="N1583" s="83"/>
      <c r="O1583" s="83"/>
      <c r="P1583" s="83"/>
      <c r="Q1583" s="83"/>
      <c r="R1583" s="83"/>
      <c r="S1583" s="83"/>
      <c r="T1583" s="83"/>
      <c r="U1583" s="83"/>
      <c r="V1583" s="83"/>
      <c r="W1583" s="83"/>
      <c r="X1583" s="83"/>
      <c r="Y1583" s="83"/>
      <c r="Z1583" s="83"/>
    </row>
    <row r="1584">
      <c r="A1584" s="75" t="s">
        <v>970</v>
      </c>
      <c r="B1584" s="75" t="s">
        <v>1004</v>
      </c>
      <c r="C1584" s="75">
        <v>115.08</v>
      </c>
      <c r="D1584" s="75">
        <v>80.0</v>
      </c>
      <c r="E1584" s="75">
        <v>1.44</v>
      </c>
      <c r="F1584" s="75" t="s">
        <v>1005</v>
      </c>
      <c r="G1584" s="82">
        <v>46111.0</v>
      </c>
      <c r="H1584" s="76" t="s">
        <v>973</v>
      </c>
      <c r="I1584" s="83"/>
      <c r="J1584" s="83"/>
      <c r="K1584" s="83"/>
      <c r="L1584" s="83"/>
      <c r="M1584" s="83"/>
      <c r="N1584" s="83"/>
      <c r="O1584" s="83"/>
      <c r="P1584" s="83"/>
      <c r="Q1584" s="83"/>
      <c r="R1584" s="83"/>
      <c r="S1584" s="83"/>
      <c r="T1584" s="83"/>
      <c r="U1584" s="83"/>
      <c r="V1584" s="83"/>
      <c r="W1584" s="83"/>
      <c r="X1584" s="83"/>
      <c r="Y1584" s="83"/>
      <c r="Z1584" s="83"/>
    </row>
    <row r="1585">
      <c r="A1585" s="75" t="s">
        <v>29</v>
      </c>
      <c r="B1585" s="75" t="s">
        <v>1004</v>
      </c>
      <c r="C1585" s="75">
        <v>9.8</v>
      </c>
      <c r="D1585" s="75">
        <v>9.0</v>
      </c>
      <c r="E1585" s="75">
        <v>1.09</v>
      </c>
      <c r="F1585" s="75" t="s">
        <v>1005</v>
      </c>
      <c r="G1585" s="82">
        <v>46111.0</v>
      </c>
      <c r="H1585" s="76" t="s">
        <v>1015</v>
      </c>
      <c r="I1585" s="83"/>
      <c r="J1585" s="83"/>
      <c r="K1585" s="83"/>
      <c r="L1585" s="83"/>
      <c r="M1585" s="83"/>
      <c r="N1585" s="83"/>
      <c r="O1585" s="83"/>
      <c r="P1585" s="83"/>
      <c r="Q1585" s="83"/>
      <c r="R1585" s="83"/>
      <c r="S1585" s="83"/>
      <c r="T1585" s="83"/>
      <c r="U1585" s="83"/>
      <c r="V1585" s="83"/>
      <c r="W1585" s="83"/>
      <c r="X1585" s="83"/>
      <c r="Y1585" s="83"/>
      <c r="Z1585" s="83"/>
    </row>
    <row r="1586">
      <c r="A1586" s="75" t="s">
        <v>29</v>
      </c>
      <c r="B1586" s="75" t="s">
        <v>1004</v>
      </c>
      <c r="C1586" s="75">
        <v>2.92</v>
      </c>
      <c r="D1586" s="75">
        <v>2.0</v>
      </c>
      <c r="E1586" s="75">
        <v>1.46</v>
      </c>
      <c r="F1586" s="75" t="s">
        <v>1005</v>
      </c>
      <c r="G1586" s="82">
        <v>46111.0</v>
      </c>
      <c r="H1586" s="76" t="s">
        <v>1016</v>
      </c>
      <c r="I1586" s="83"/>
      <c r="J1586" s="83"/>
      <c r="K1586" s="83"/>
      <c r="L1586" s="83"/>
      <c r="M1586" s="83"/>
      <c r="N1586" s="83"/>
      <c r="O1586" s="83"/>
      <c r="P1586" s="83"/>
      <c r="Q1586" s="83"/>
      <c r="R1586" s="83"/>
      <c r="S1586" s="83"/>
      <c r="T1586" s="83"/>
      <c r="U1586" s="83"/>
      <c r="V1586" s="83"/>
      <c r="W1586" s="83"/>
      <c r="X1586" s="83"/>
      <c r="Y1586" s="83"/>
      <c r="Z1586" s="83"/>
    </row>
    <row r="1587">
      <c r="A1587" s="75" t="s">
        <v>29</v>
      </c>
      <c r="B1587" s="75" t="s">
        <v>1004</v>
      </c>
      <c r="C1587" s="75">
        <v>2.84</v>
      </c>
      <c r="D1587" s="75">
        <v>3.0</v>
      </c>
      <c r="E1587" s="75">
        <v>0.95</v>
      </c>
      <c r="F1587" s="75" t="s">
        <v>1005</v>
      </c>
      <c r="G1587" s="82">
        <v>46111.0</v>
      </c>
      <c r="H1587" s="76" t="s">
        <v>1017</v>
      </c>
      <c r="I1587" s="83"/>
      <c r="J1587" s="83"/>
      <c r="K1587" s="83"/>
      <c r="L1587" s="83"/>
      <c r="M1587" s="83"/>
      <c r="N1587" s="83"/>
      <c r="O1587" s="83"/>
      <c r="P1587" s="83"/>
      <c r="Q1587" s="83"/>
      <c r="R1587" s="83"/>
      <c r="S1587" s="83"/>
      <c r="T1587" s="83"/>
      <c r="U1587" s="83"/>
      <c r="V1587" s="83"/>
      <c r="W1587" s="83"/>
      <c r="X1587" s="83"/>
      <c r="Y1587" s="83"/>
      <c r="Z1587" s="83"/>
    </row>
    <row r="1588">
      <c r="A1588" s="75" t="s">
        <v>34</v>
      </c>
      <c r="B1588" s="75" t="s">
        <v>1004</v>
      </c>
      <c r="C1588" s="75">
        <v>8.13</v>
      </c>
      <c r="D1588" s="75">
        <v>0.0</v>
      </c>
      <c r="E1588" s="75">
        <v>0.0</v>
      </c>
      <c r="F1588" s="75" t="s">
        <v>996</v>
      </c>
      <c r="G1588" s="82">
        <v>46111.0</v>
      </c>
      <c r="H1588" s="76" t="s">
        <v>951</v>
      </c>
      <c r="I1588" s="83"/>
      <c r="J1588" s="83"/>
      <c r="K1588" s="83"/>
      <c r="L1588" s="83"/>
      <c r="M1588" s="83"/>
      <c r="N1588" s="83"/>
      <c r="O1588" s="83"/>
      <c r="P1588" s="83"/>
      <c r="Q1588" s="83"/>
      <c r="R1588" s="83"/>
      <c r="S1588" s="83"/>
      <c r="T1588" s="83"/>
      <c r="U1588" s="83"/>
      <c r="V1588" s="83"/>
      <c r="W1588" s="83"/>
      <c r="X1588" s="83"/>
      <c r="Y1588" s="83"/>
      <c r="Z1588" s="83"/>
    </row>
    <row r="1589">
      <c r="A1589" s="75" t="s">
        <v>34</v>
      </c>
      <c r="B1589" s="75" t="s">
        <v>1004</v>
      </c>
      <c r="C1589" s="75">
        <v>6.93</v>
      </c>
      <c r="D1589" s="75">
        <v>0.0</v>
      </c>
      <c r="E1589" s="75">
        <v>0.0</v>
      </c>
      <c r="F1589" s="75" t="s">
        <v>996</v>
      </c>
      <c r="G1589" s="82">
        <v>46111.0</v>
      </c>
      <c r="H1589" s="76" t="s">
        <v>952</v>
      </c>
      <c r="I1589" s="83"/>
      <c r="J1589" s="83"/>
      <c r="K1589" s="83"/>
      <c r="L1589" s="83"/>
      <c r="M1589" s="83"/>
      <c r="N1589" s="83"/>
      <c r="O1589" s="83"/>
      <c r="P1589" s="83"/>
      <c r="Q1589" s="83"/>
      <c r="R1589" s="83"/>
      <c r="S1589" s="83"/>
      <c r="T1589" s="83"/>
      <c r="U1589" s="83"/>
      <c r="V1589" s="83"/>
      <c r="W1589" s="83"/>
      <c r="X1589" s="83"/>
      <c r="Y1589" s="83"/>
      <c r="Z1589" s="83"/>
    </row>
    <row r="1590">
      <c r="A1590" s="75" t="s">
        <v>34</v>
      </c>
      <c r="B1590" s="75" t="s">
        <v>1004</v>
      </c>
      <c r="C1590" s="75">
        <v>17.0</v>
      </c>
      <c r="D1590" s="75">
        <v>1.0</v>
      </c>
      <c r="E1590" s="75">
        <v>17.0</v>
      </c>
      <c r="F1590" s="75" t="s">
        <v>996</v>
      </c>
      <c r="G1590" s="82">
        <v>46111.0</v>
      </c>
      <c r="H1590" s="76" t="s">
        <v>953</v>
      </c>
      <c r="I1590" s="83"/>
      <c r="J1590" s="83"/>
      <c r="K1590" s="83"/>
      <c r="L1590" s="83"/>
      <c r="M1590" s="83"/>
      <c r="N1590" s="83"/>
      <c r="O1590" s="83"/>
      <c r="P1590" s="83"/>
      <c r="Q1590" s="83"/>
      <c r="R1590" s="83"/>
      <c r="S1590" s="83"/>
      <c r="T1590" s="83"/>
      <c r="U1590" s="83"/>
      <c r="V1590" s="83"/>
      <c r="W1590" s="83"/>
      <c r="X1590" s="83"/>
      <c r="Y1590" s="83"/>
      <c r="Z1590" s="83"/>
    </row>
    <row r="1591">
      <c r="A1591" s="75" t="s">
        <v>40</v>
      </c>
      <c r="B1591" s="75" t="s">
        <v>1004</v>
      </c>
      <c r="C1591" s="75">
        <v>3.06</v>
      </c>
      <c r="D1591" s="75">
        <v>0.0</v>
      </c>
      <c r="E1591" s="75">
        <v>0.0</v>
      </c>
      <c r="F1591" s="75" t="s">
        <v>996</v>
      </c>
      <c r="G1591" s="82">
        <v>46111.0</v>
      </c>
      <c r="H1591" s="76" t="s">
        <v>954</v>
      </c>
      <c r="I1591" s="83"/>
      <c r="J1591" s="83"/>
      <c r="K1591" s="83"/>
      <c r="L1591" s="83"/>
      <c r="M1591" s="83"/>
      <c r="N1591" s="83"/>
      <c r="O1591" s="83"/>
      <c r="P1591" s="83"/>
      <c r="Q1591" s="83"/>
      <c r="R1591" s="83"/>
      <c r="S1591" s="83"/>
      <c r="T1591" s="83"/>
      <c r="U1591" s="83"/>
      <c r="V1591" s="83"/>
      <c r="W1591" s="83"/>
      <c r="X1591" s="83"/>
      <c r="Y1591" s="83"/>
      <c r="Z1591" s="83"/>
    </row>
    <row r="1592">
      <c r="A1592" s="75" t="s">
        <v>40</v>
      </c>
      <c r="B1592" s="75" t="s">
        <v>1004</v>
      </c>
      <c r="C1592" s="75">
        <v>1.31</v>
      </c>
      <c r="D1592" s="75">
        <v>0.0</v>
      </c>
      <c r="E1592" s="75">
        <v>0.0</v>
      </c>
      <c r="F1592" s="75" t="s">
        <v>996</v>
      </c>
      <c r="G1592" s="82">
        <v>46111.0</v>
      </c>
      <c r="H1592" s="76" t="s">
        <v>955</v>
      </c>
      <c r="I1592" s="83"/>
      <c r="J1592" s="83"/>
      <c r="K1592" s="83"/>
      <c r="L1592" s="83"/>
      <c r="M1592" s="83"/>
      <c r="N1592" s="83"/>
      <c r="O1592" s="83"/>
      <c r="P1592" s="83"/>
      <c r="Q1592" s="83"/>
      <c r="R1592" s="83"/>
      <c r="S1592" s="83"/>
      <c r="T1592" s="83"/>
      <c r="U1592" s="83"/>
      <c r="V1592" s="83"/>
      <c r="W1592" s="83"/>
      <c r="X1592" s="83"/>
      <c r="Y1592" s="83"/>
      <c r="Z1592" s="83"/>
    </row>
    <row r="1593">
      <c r="A1593" s="75" t="s">
        <v>40</v>
      </c>
      <c r="B1593" s="75" t="s">
        <v>1004</v>
      </c>
      <c r="C1593" s="75">
        <v>50.83</v>
      </c>
      <c r="D1593" s="75">
        <v>2.0</v>
      </c>
      <c r="E1593" s="75">
        <v>25.42</v>
      </c>
      <c r="F1593" s="75" t="s">
        <v>996</v>
      </c>
      <c r="G1593" s="82">
        <v>46111.0</v>
      </c>
      <c r="H1593" s="76" t="s">
        <v>956</v>
      </c>
      <c r="I1593" s="83"/>
      <c r="J1593" s="83"/>
      <c r="K1593" s="83"/>
      <c r="L1593" s="83"/>
      <c r="M1593" s="83"/>
      <c r="N1593" s="83"/>
      <c r="O1593" s="83"/>
      <c r="P1593" s="83"/>
      <c r="Q1593" s="83"/>
      <c r="R1593" s="83"/>
      <c r="S1593" s="83"/>
      <c r="T1593" s="83"/>
      <c r="U1593" s="83"/>
      <c r="V1593" s="83"/>
      <c r="W1593" s="83"/>
      <c r="X1593" s="83"/>
      <c r="Y1593" s="83"/>
      <c r="Z1593" s="83"/>
    </row>
    <row r="1594">
      <c r="A1594" s="75" t="s">
        <v>33</v>
      </c>
      <c r="B1594" s="75" t="s">
        <v>1004</v>
      </c>
      <c r="C1594" s="75">
        <v>17.34</v>
      </c>
      <c r="D1594" s="75">
        <v>23.0</v>
      </c>
      <c r="E1594" s="75">
        <v>0.75</v>
      </c>
      <c r="F1594" s="75" t="s">
        <v>996</v>
      </c>
      <c r="G1594" s="82">
        <v>46111.0</v>
      </c>
      <c r="H1594" s="76" t="s">
        <v>957</v>
      </c>
      <c r="I1594" s="83"/>
      <c r="J1594" s="83"/>
      <c r="K1594" s="83"/>
      <c r="L1594" s="83"/>
      <c r="M1594" s="83"/>
      <c r="N1594" s="83"/>
      <c r="O1594" s="83"/>
      <c r="P1594" s="83"/>
      <c r="Q1594" s="83"/>
      <c r="R1594" s="83"/>
      <c r="S1594" s="83"/>
      <c r="T1594" s="83"/>
      <c r="U1594" s="83"/>
      <c r="V1594" s="83"/>
      <c r="W1594" s="83"/>
      <c r="X1594" s="83"/>
      <c r="Y1594" s="83"/>
      <c r="Z1594" s="83"/>
    </row>
    <row r="1595">
      <c r="A1595" s="75" t="s">
        <v>33</v>
      </c>
      <c r="B1595" s="75" t="s">
        <v>1004</v>
      </c>
      <c r="C1595" s="75">
        <v>2.63</v>
      </c>
      <c r="D1595" s="75">
        <v>3.0</v>
      </c>
      <c r="E1595" s="75">
        <v>0.88</v>
      </c>
      <c r="F1595" s="75" t="s">
        <v>996</v>
      </c>
      <c r="G1595" s="82">
        <v>46111.0</v>
      </c>
      <c r="H1595" s="76" t="s">
        <v>958</v>
      </c>
      <c r="I1595" s="83"/>
      <c r="J1595" s="83"/>
      <c r="K1595" s="83"/>
      <c r="L1595" s="83"/>
      <c r="M1595" s="83"/>
      <c r="N1595" s="83"/>
      <c r="O1595" s="83"/>
      <c r="P1595" s="83"/>
      <c r="Q1595" s="83"/>
      <c r="R1595" s="83"/>
      <c r="S1595" s="83"/>
      <c r="T1595" s="83"/>
      <c r="U1595" s="83"/>
      <c r="V1595" s="83"/>
      <c r="W1595" s="83"/>
      <c r="X1595" s="83"/>
      <c r="Y1595" s="83"/>
      <c r="Z1595" s="83"/>
    </row>
    <row r="1596">
      <c r="A1596" s="75" t="s">
        <v>33</v>
      </c>
      <c r="B1596" s="75" t="s">
        <v>1004</v>
      </c>
      <c r="C1596" s="75">
        <v>8.26</v>
      </c>
      <c r="D1596" s="75">
        <v>8.0</v>
      </c>
      <c r="E1596" s="75">
        <v>1.03</v>
      </c>
      <c r="F1596" s="75" t="s">
        <v>996</v>
      </c>
      <c r="G1596" s="82">
        <v>46111.0</v>
      </c>
      <c r="H1596" s="76" t="s">
        <v>959</v>
      </c>
      <c r="I1596" s="83"/>
      <c r="J1596" s="83"/>
      <c r="K1596" s="83"/>
      <c r="L1596" s="83"/>
      <c r="M1596" s="83"/>
      <c r="N1596" s="83"/>
      <c r="O1596" s="83"/>
      <c r="P1596" s="83"/>
      <c r="Q1596" s="83"/>
      <c r="R1596" s="83"/>
      <c r="S1596" s="83"/>
      <c r="T1596" s="83"/>
      <c r="U1596" s="83"/>
      <c r="V1596" s="83"/>
      <c r="W1596" s="83"/>
      <c r="X1596" s="83"/>
      <c r="Y1596" s="83"/>
      <c r="Z1596" s="83"/>
    </row>
    <row r="1597">
      <c r="A1597" s="75" t="s">
        <v>46</v>
      </c>
      <c r="B1597" s="75" t="s">
        <v>1004</v>
      </c>
      <c r="C1597" s="75">
        <v>7.23</v>
      </c>
      <c r="D1597" s="75">
        <v>1.0</v>
      </c>
      <c r="E1597" s="75">
        <v>7.23</v>
      </c>
      <c r="F1597" s="75" t="s">
        <v>996</v>
      </c>
      <c r="G1597" s="82">
        <v>46111.0</v>
      </c>
      <c r="H1597" s="76" t="s">
        <v>960</v>
      </c>
      <c r="I1597" s="83"/>
      <c r="J1597" s="83"/>
      <c r="K1597" s="83"/>
      <c r="L1597" s="83"/>
      <c r="M1597" s="83"/>
      <c r="N1597" s="83"/>
      <c r="O1597" s="83"/>
      <c r="P1597" s="83"/>
      <c r="Q1597" s="83"/>
      <c r="R1597" s="83"/>
      <c r="S1597" s="83"/>
      <c r="T1597" s="83"/>
      <c r="U1597" s="83"/>
      <c r="V1597" s="83"/>
      <c r="W1597" s="83"/>
      <c r="X1597" s="83"/>
      <c r="Y1597" s="83"/>
      <c r="Z1597" s="83"/>
    </row>
    <row r="1598">
      <c r="A1598" s="75" t="s">
        <v>46</v>
      </c>
      <c r="B1598" s="75" t="s">
        <v>1004</v>
      </c>
      <c r="C1598" s="75">
        <v>1.94</v>
      </c>
      <c r="D1598" s="75">
        <v>0.0</v>
      </c>
      <c r="E1598" s="75">
        <v>0.0</v>
      </c>
      <c r="F1598" s="75" t="s">
        <v>996</v>
      </c>
      <c r="G1598" s="82">
        <v>46111.0</v>
      </c>
      <c r="H1598" s="76" t="s">
        <v>961</v>
      </c>
      <c r="I1598" s="83"/>
      <c r="J1598" s="83"/>
      <c r="K1598" s="83"/>
      <c r="L1598" s="83"/>
      <c r="M1598" s="83"/>
      <c r="N1598" s="83"/>
      <c r="O1598" s="83"/>
      <c r="P1598" s="83"/>
      <c r="Q1598" s="83"/>
      <c r="R1598" s="83"/>
      <c r="S1598" s="83"/>
      <c r="T1598" s="83"/>
      <c r="U1598" s="83"/>
      <c r="V1598" s="83"/>
      <c r="W1598" s="83"/>
      <c r="X1598" s="83"/>
      <c r="Y1598" s="83"/>
      <c r="Z1598" s="83"/>
    </row>
    <row r="1599">
      <c r="A1599" s="75" t="s">
        <v>46</v>
      </c>
      <c r="B1599" s="75" t="s">
        <v>1004</v>
      </c>
      <c r="C1599" s="75">
        <v>4.97</v>
      </c>
      <c r="D1599" s="75">
        <v>0.0</v>
      </c>
      <c r="E1599" s="75">
        <v>0.0</v>
      </c>
      <c r="F1599" s="75" t="s">
        <v>996</v>
      </c>
      <c r="G1599" s="82">
        <v>46111.0</v>
      </c>
      <c r="H1599" s="76" t="s">
        <v>962</v>
      </c>
      <c r="I1599" s="83"/>
      <c r="J1599" s="83"/>
      <c r="K1599" s="83"/>
      <c r="L1599" s="83"/>
      <c r="M1599" s="83"/>
      <c r="N1599" s="83"/>
      <c r="O1599" s="83"/>
      <c r="P1599" s="83"/>
      <c r="Q1599" s="83"/>
      <c r="R1599" s="83"/>
      <c r="S1599" s="83"/>
      <c r="T1599" s="83"/>
      <c r="U1599" s="83"/>
      <c r="V1599" s="83"/>
      <c r="W1599" s="83"/>
      <c r="X1599" s="83"/>
      <c r="Y1599" s="83"/>
      <c r="Z1599" s="83"/>
    </row>
    <row r="1600">
      <c r="A1600" s="75" t="s">
        <v>43</v>
      </c>
      <c r="B1600" s="75" t="s">
        <v>1004</v>
      </c>
      <c r="C1600" s="75">
        <v>15.7</v>
      </c>
      <c r="D1600" s="75">
        <v>1.0</v>
      </c>
      <c r="E1600" s="75">
        <v>15.7</v>
      </c>
      <c r="F1600" s="75" t="s">
        <v>996</v>
      </c>
      <c r="G1600" s="82">
        <v>46111.0</v>
      </c>
      <c r="H1600" s="76" t="s">
        <v>963</v>
      </c>
      <c r="I1600" s="83"/>
      <c r="J1600" s="83"/>
      <c r="K1600" s="83"/>
      <c r="L1600" s="83"/>
      <c r="M1600" s="83"/>
      <c r="N1600" s="83"/>
      <c r="O1600" s="83"/>
      <c r="P1600" s="83"/>
      <c r="Q1600" s="83"/>
      <c r="R1600" s="83"/>
      <c r="S1600" s="83"/>
      <c r="T1600" s="83"/>
      <c r="U1600" s="83"/>
      <c r="V1600" s="83"/>
      <c r="W1600" s="83"/>
      <c r="X1600" s="83"/>
      <c r="Y1600" s="83"/>
      <c r="Z1600" s="83"/>
    </row>
    <row r="1601">
      <c r="A1601" s="75" t="s">
        <v>43</v>
      </c>
      <c r="B1601" s="75" t="s">
        <v>1004</v>
      </c>
      <c r="C1601" s="75">
        <v>3.69</v>
      </c>
      <c r="D1601" s="75">
        <v>0.0</v>
      </c>
      <c r="E1601" s="75">
        <v>0.0</v>
      </c>
      <c r="F1601" s="75" t="s">
        <v>996</v>
      </c>
      <c r="G1601" s="82">
        <v>46111.0</v>
      </c>
      <c r="H1601" s="76" t="s">
        <v>964</v>
      </c>
      <c r="I1601" s="83"/>
      <c r="J1601" s="83"/>
      <c r="K1601" s="83"/>
      <c r="L1601" s="83"/>
      <c r="M1601" s="83"/>
      <c r="N1601" s="83"/>
      <c r="O1601" s="83"/>
      <c r="P1601" s="83"/>
      <c r="Q1601" s="83"/>
      <c r="R1601" s="83"/>
      <c r="S1601" s="83"/>
      <c r="T1601" s="83"/>
      <c r="U1601" s="83"/>
      <c r="V1601" s="83"/>
      <c r="W1601" s="83"/>
      <c r="X1601" s="83"/>
      <c r="Y1601" s="83"/>
      <c r="Z1601" s="83"/>
    </row>
    <row r="1602">
      <c r="A1602" s="75" t="s">
        <v>43</v>
      </c>
      <c r="B1602" s="75" t="s">
        <v>1004</v>
      </c>
      <c r="C1602" s="75">
        <v>12.41</v>
      </c>
      <c r="D1602" s="75">
        <v>1.0</v>
      </c>
      <c r="E1602" s="75">
        <v>12.41</v>
      </c>
      <c r="F1602" s="75" t="s">
        <v>996</v>
      </c>
      <c r="G1602" s="82">
        <v>46111.0</v>
      </c>
      <c r="H1602" s="76" t="s">
        <v>965</v>
      </c>
      <c r="I1602" s="83"/>
      <c r="J1602" s="83"/>
      <c r="K1602" s="83"/>
      <c r="L1602" s="83"/>
      <c r="M1602" s="83"/>
      <c r="N1602" s="83"/>
      <c r="O1602" s="83"/>
      <c r="P1602" s="83"/>
      <c r="Q1602" s="83"/>
      <c r="R1602" s="83"/>
      <c r="S1602" s="83"/>
      <c r="T1602" s="83"/>
      <c r="U1602" s="83"/>
      <c r="V1602" s="83"/>
      <c r="W1602" s="83"/>
      <c r="X1602" s="83"/>
      <c r="Y1602" s="83"/>
      <c r="Z1602" s="83"/>
    </row>
    <row r="1603">
      <c r="A1603" s="75" t="s">
        <v>966</v>
      </c>
      <c r="B1603" s="75" t="s">
        <v>1004</v>
      </c>
      <c r="C1603" s="75">
        <v>10.58</v>
      </c>
      <c r="D1603" s="75">
        <v>0.0</v>
      </c>
      <c r="E1603" s="75">
        <v>0.0</v>
      </c>
      <c r="F1603" s="75" t="s">
        <v>996</v>
      </c>
      <c r="G1603" s="82">
        <v>46111.0</v>
      </c>
      <c r="H1603" s="76" t="s">
        <v>967</v>
      </c>
      <c r="I1603" s="83"/>
      <c r="J1603" s="83"/>
      <c r="K1603" s="83"/>
      <c r="L1603" s="83"/>
      <c r="M1603" s="83"/>
      <c r="N1603" s="83"/>
      <c r="O1603" s="83"/>
      <c r="P1603" s="83"/>
      <c r="Q1603" s="83"/>
      <c r="R1603" s="83"/>
      <c r="S1603" s="83"/>
      <c r="T1603" s="83"/>
      <c r="U1603" s="83"/>
      <c r="V1603" s="83"/>
      <c r="W1603" s="83"/>
      <c r="X1603" s="83"/>
      <c r="Y1603" s="83"/>
      <c r="Z1603" s="83"/>
    </row>
    <row r="1604">
      <c r="A1604" s="75" t="s">
        <v>966</v>
      </c>
      <c r="B1604" s="75" t="s">
        <v>1004</v>
      </c>
      <c r="C1604" s="75">
        <v>4.36</v>
      </c>
      <c r="D1604" s="75">
        <v>0.0</v>
      </c>
      <c r="E1604" s="75">
        <v>0.0</v>
      </c>
      <c r="F1604" s="75" t="s">
        <v>996</v>
      </c>
      <c r="G1604" s="82">
        <v>46111.0</v>
      </c>
      <c r="H1604" s="76" t="s">
        <v>968</v>
      </c>
      <c r="I1604" s="83"/>
      <c r="J1604" s="83"/>
      <c r="K1604" s="83"/>
      <c r="L1604" s="83"/>
      <c r="M1604" s="83"/>
      <c r="N1604" s="83"/>
      <c r="O1604" s="83"/>
      <c r="P1604" s="83"/>
      <c r="Q1604" s="83"/>
      <c r="R1604" s="83"/>
      <c r="S1604" s="83"/>
      <c r="T1604" s="83"/>
      <c r="U1604" s="83"/>
      <c r="V1604" s="83"/>
      <c r="W1604" s="83"/>
      <c r="X1604" s="83"/>
      <c r="Y1604" s="83"/>
      <c r="Z1604" s="83"/>
    </row>
    <row r="1605">
      <c r="A1605" s="75" t="s">
        <v>966</v>
      </c>
      <c r="B1605" s="75" t="s">
        <v>1004</v>
      </c>
      <c r="C1605" s="75">
        <v>5.55</v>
      </c>
      <c r="D1605" s="75">
        <v>0.0</v>
      </c>
      <c r="E1605" s="75">
        <v>0.0</v>
      </c>
      <c r="F1605" s="75" t="s">
        <v>996</v>
      </c>
      <c r="G1605" s="82">
        <v>46111.0</v>
      </c>
      <c r="H1605" s="76" t="s">
        <v>969</v>
      </c>
      <c r="I1605" s="83"/>
      <c r="J1605" s="83"/>
      <c r="K1605" s="83"/>
      <c r="L1605" s="83"/>
      <c r="M1605" s="83"/>
      <c r="N1605" s="83"/>
      <c r="O1605" s="83"/>
      <c r="P1605" s="83"/>
      <c r="Q1605" s="83"/>
      <c r="R1605" s="83"/>
      <c r="S1605" s="83"/>
      <c r="T1605" s="83"/>
      <c r="U1605" s="83"/>
      <c r="V1605" s="83"/>
      <c r="W1605" s="83"/>
      <c r="X1605" s="83"/>
      <c r="Y1605" s="83"/>
      <c r="Z1605" s="83"/>
    </row>
    <row r="1606">
      <c r="A1606" s="75" t="s">
        <v>36</v>
      </c>
      <c r="B1606" s="75" t="s">
        <v>1004</v>
      </c>
      <c r="C1606" s="75">
        <v>27.47</v>
      </c>
      <c r="D1606" s="75">
        <v>1.0</v>
      </c>
      <c r="E1606" s="75">
        <v>27.47</v>
      </c>
      <c r="F1606" s="75" t="s">
        <v>996</v>
      </c>
      <c r="G1606" s="82">
        <v>46111.0</v>
      </c>
      <c r="H1606" s="76" t="s">
        <v>926</v>
      </c>
      <c r="I1606" s="83"/>
      <c r="J1606" s="83"/>
      <c r="K1606" s="83"/>
      <c r="L1606" s="83"/>
      <c r="M1606" s="83"/>
      <c r="N1606" s="83"/>
      <c r="O1606" s="83"/>
      <c r="P1606" s="83"/>
      <c r="Q1606" s="83"/>
      <c r="R1606" s="83"/>
      <c r="S1606" s="83"/>
      <c r="T1606" s="83"/>
      <c r="U1606" s="83"/>
      <c r="V1606" s="83"/>
      <c r="W1606" s="83"/>
      <c r="X1606" s="83"/>
      <c r="Y1606" s="83"/>
      <c r="Z1606" s="83"/>
    </row>
    <row r="1607">
      <c r="A1607" s="75" t="s">
        <v>36</v>
      </c>
      <c r="B1607" s="75" t="s">
        <v>1004</v>
      </c>
      <c r="C1607" s="75">
        <v>3.44</v>
      </c>
      <c r="D1607" s="75">
        <v>0.0</v>
      </c>
      <c r="E1607" s="75">
        <v>0.0</v>
      </c>
      <c r="F1607" s="75" t="s">
        <v>996</v>
      </c>
      <c r="G1607" s="82">
        <v>46111.0</v>
      </c>
      <c r="H1607" s="76" t="s">
        <v>927</v>
      </c>
      <c r="I1607" s="83"/>
      <c r="J1607" s="83"/>
      <c r="K1607" s="83"/>
      <c r="L1607" s="83"/>
      <c r="M1607" s="83"/>
      <c r="N1607" s="83"/>
      <c r="O1607" s="83"/>
      <c r="P1607" s="83"/>
      <c r="Q1607" s="83"/>
      <c r="R1607" s="83"/>
      <c r="S1607" s="83"/>
      <c r="T1607" s="83"/>
      <c r="U1607" s="83"/>
      <c r="V1607" s="83"/>
      <c r="W1607" s="83"/>
      <c r="X1607" s="83"/>
      <c r="Y1607" s="83"/>
      <c r="Z1607" s="83"/>
    </row>
    <row r="1608">
      <c r="A1608" s="75" t="s">
        <v>36</v>
      </c>
      <c r="B1608" s="75" t="s">
        <v>1004</v>
      </c>
      <c r="C1608" s="75">
        <v>4.08</v>
      </c>
      <c r="D1608" s="75">
        <v>0.0</v>
      </c>
      <c r="E1608" s="75">
        <v>0.0</v>
      </c>
      <c r="F1608" s="75" t="s">
        <v>996</v>
      </c>
      <c r="G1608" s="82">
        <v>46111.0</v>
      </c>
      <c r="H1608" s="76" t="s">
        <v>928</v>
      </c>
      <c r="I1608" s="83"/>
      <c r="J1608" s="83"/>
      <c r="K1608" s="83"/>
      <c r="L1608" s="83"/>
      <c r="M1608" s="83"/>
      <c r="N1608" s="83"/>
      <c r="O1608" s="83"/>
      <c r="P1608" s="83"/>
      <c r="Q1608" s="83"/>
      <c r="R1608" s="83"/>
      <c r="S1608" s="83"/>
      <c r="T1608" s="83"/>
      <c r="U1608" s="83"/>
      <c r="V1608" s="83"/>
      <c r="W1608" s="83"/>
      <c r="X1608" s="83"/>
      <c r="Y1608" s="83"/>
      <c r="Z1608" s="83"/>
    </row>
    <row r="1609">
      <c r="A1609" s="75" t="s">
        <v>970</v>
      </c>
      <c r="B1609" s="75" t="s">
        <v>1004</v>
      </c>
      <c r="C1609" s="75">
        <v>8.77</v>
      </c>
      <c r="D1609" s="75">
        <v>6.0</v>
      </c>
      <c r="E1609" s="75">
        <v>1.46</v>
      </c>
      <c r="F1609" s="75" t="s">
        <v>996</v>
      </c>
      <c r="G1609" s="82">
        <v>46111.0</v>
      </c>
      <c r="H1609" s="76" t="s">
        <v>971</v>
      </c>
      <c r="I1609" s="83"/>
      <c r="J1609" s="83"/>
      <c r="K1609" s="83"/>
      <c r="L1609" s="83"/>
      <c r="M1609" s="83"/>
      <c r="N1609" s="83"/>
      <c r="O1609" s="83"/>
      <c r="P1609" s="83"/>
      <c r="Q1609" s="83"/>
      <c r="R1609" s="83"/>
      <c r="S1609" s="83"/>
      <c r="T1609" s="83"/>
      <c r="U1609" s="83"/>
      <c r="V1609" s="83"/>
      <c r="W1609" s="83"/>
      <c r="X1609" s="83"/>
      <c r="Y1609" s="83"/>
      <c r="Z1609" s="83"/>
    </row>
    <row r="1610">
      <c r="A1610" s="75" t="s">
        <v>970</v>
      </c>
      <c r="B1610" s="75" t="s">
        <v>1004</v>
      </c>
      <c r="C1610" s="75">
        <v>3.4</v>
      </c>
      <c r="D1610" s="75">
        <v>2.0</v>
      </c>
      <c r="E1610" s="75">
        <v>1.7</v>
      </c>
      <c r="F1610" s="75" t="s">
        <v>996</v>
      </c>
      <c r="G1610" s="82">
        <v>46111.0</v>
      </c>
      <c r="H1610" s="76" t="s">
        <v>972</v>
      </c>
      <c r="I1610" s="83"/>
      <c r="J1610" s="83"/>
      <c r="K1610" s="83"/>
      <c r="L1610" s="83"/>
      <c r="M1610" s="83"/>
      <c r="N1610" s="83"/>
      <c r="O1610" s="83"/>
      <c r="P1610" s="83"/>
      <c r="Q1610" s="83"/>
      <c r="R1610" s="83"/>
      <c r="S1610" s="83"/>
      <c r="T1610" s="83"/>
      <c r="U1610" s="83"/>
      <c r="V1610" s="83"/>
      <c r="W1610" s="83"/>
      <c r="X1610" s="83"/>
      <c r="Y1610" s="83"/>
      <c r="Z1610" s="83"/>
    </row>
    <row r="1611">
      <c r="A1611" s="75" t="s">
        <v>970</v>
      </c>
      <c r="B1611" s="75" t="s">
        <v>1004</v>
      </c>
      <c r="C1611" s="75">
        <v>16.84</v>
      </c>
      <c r="D1611" s="75">
        <v>9.0</v>
      </c>
      <c r="E1611" s="75">
        <v>1.87</v>
      </c>
      <c r="F1611" s="75" t="s">
        <v>996</v>
      </c>
      <c r="G1611" s="82">
        <v>46111.0</v>
      </c>
      <c r="H1611" s="76" t="s">
        <v>973</v>
      </c>
      <c r="I1611" s="83"/>
      <c r="J1611" s="83"/>
      <c r="K1611" s="83"/>
      <c r="L1611" s="83"/>
      <c r="M1611" s="83"/>
      <c r="N1611" s="83"/>
      <c r="O1611" s="83"/>
      <c r="P1611" s="83"/>
      <c r="Q1611" s="83"/>
      <c r="R1611" s="83"/>
      <c r="S1611" s="83"/>
      <c r="T1611" s="83"/>
      <c r="U1611" s="83"/>
      <c r="V1611" s="83"/>
      <c r="W1611" s="83"/>
      <c r="X1611" s="83"/>
      <c r="Y1611" s="83"/>
      <c r="Z1611" s="83"/>
    </row>
    <row r="1612">
      <c r="A1612" s="75" t="s">
        <v>29</v>
      </c>
      <c r="B1612" s="75" t="s">
        <v>1004</v>
      </c>
      <c r="C1612" s="75">
        <v>0.75</v>
      </c>
      <c r="D1612" s="75">
        <v>1.0</v>
      </c>
      <c r="E1612" s="75">
        <v>0.75</v>
      </c>
      <c r="F1612" s="75" t="s">
        <v>996</v>
      </c>
      <c r="G1612" s="82">
        <v>46111.0</v>
      </c>
      <c r="H1612" s="76" t="s">
        <v>971</v>
      </c>
      <c r="I1612" s="83"/>
      <c r="J1612" s="83"/>
      <c r="K1612" s="83"/>
      <c r="L1612" s="83"/>
      <c r="M1612" s="83"/>
      <c r="N1612" s="83"/>
      <c r="O1612" s="83"/>
      <c r="P1612" s="83"/>
      <c r="Q1612" s="83"/>
      <c r="R1612" s="83"/>
      <c r="S1612" s="83"/>
      <c r="T1612" s="83"/>
      <c r="U1612" s="83"/>
      <c r="V1612" s="83"/>
      <c r="W1612" s="83"/>
      <c r="X1612" s="83"/>
      <c r="Y1612" s="83"/>
      <c r="Z1612" s="83"/>
    </row>
    <row r="1613">
      <c r="A1613" s="75" t="s">
        <v>29</v>
      </c>
      <c r="B1613" s="75" t="s">
        <v>1004</v>
      </c>
      <c r="C1613" s="75">
        <v>0.13</v>
      </c>
      <c r="D1613" s="75">
        <v>0.0</v>
      </c>
      <c r="E1613" s="75">
        <v>0.0</v>
      </c>
      <c r="F1613" s="75" t="s">
        <v>996</v>
      </c>
      <c r="G1613" s="82">
        <v>46111.0</v>
      </c>
      <c r="H1613" s="76" t="s">
        <v>972</v>
      </c>
      <c r="I1613" s="83"/>
      <c r="J1613" s="83"/>
      <c r="K1613" s="83"/>
      <c r="L1613" s="83"/>
      <c r="M1613" s="83"/>
      <c r="N1613" s="83"/>
      <c r="O1613" s="83"/>
      <c r="P1613" s="83"/>
      <c r="Q1613" s="83"/>
      <c r="R1613" s="83"/>
      <c r="S1613" s="83"/>
      <c r="T1613" s="83"/>
      <c r="U1613" s="83"/>
      <c r="V1613" s="83"/>
      <c r="W1613" s="83"/>
      <c r="X1613" s="83"/>
      <c r="Y1613" s="83"/>
      <c r="Z1613" s="83"/>
    </row>
    <row r="1614">
      <c r="A1614" s="75" t="s">
        <v>29</v>
      </c>
      <c r="B1614" s="75" t="s">
        <v>1004</v>
      </c>
      <c r="C1614" s="75">
        <v>0.85</v>
      </c>
      <c r="D1614" s="75">
        <v>1.0</v>
      </c>
      <c r="E1614" s="75">
        <v>0.85</v>
      </c>
      <c r="F1614" s="75" t="s">
        <v>996</v>
      </c>
      <c r="G1614" s="82">
        <v>46111.0</v>
      </c>
      <c r="H1614" s="76" t="s">
        <v>973</v>
      </c>
      <c r="I1614" s="83"/>
      <c r="J1614" s="83"/>
      <c r="K1614" s="83"/>
      <c r="L1614" s="83"/>
      <c r="M1614" s="83"/>
      <c r="N1614" s="83"/>
      <c r="O1614" s="83"/>
      <c r="P1614" s="83"/>
      <c r="Q1614" s="83"/>
      <c r="R1614" s="83"/>
      <c r="S1614" s="83"/>
      <c r="T1614" s="83"/>
      <c r="U1614" s="83"/>
      <c r="V1614" s="83"/>
      <c r="W1614" s="83"/>
      <c r="X1614" s="83"/>
      <c r="Y1614" s="83"/>
      <c r="Z1614" s="83"/>
    </row>
    <row r="1615">
      <c r="A1615" s="75" t="s">
        <v>34</v>
      </c>
      <c r="B1615" s="75" t="s">
        <v>1004</v>
      </c>
      <c r="C1615" s="75">
        <v>16.9</v>
      </c>
      <c r="D1615" s="75">
        <v>1.0</v>
      </c>
      <c r="E1615" s="75">
        <v>16.9</v>
      </c>
      <c r="F1615" s="75" t="s">
        <v>997</v>
      </c>
      <c r="G1615" s="82">
        <v>46111.0</v>
      </c>
      <c r="H1615" s="76" t="s">
        <v>951</v>
      </c>
      <c r="I1615" s="83"/>
      <c r="J1615" s="83"/>
      <c r="K1615" s="83"/>
      <c r="L1615" s="83"/>
      <c r="M1615" s="83"/>
      <c r="N1615" s="83"/>
      <c r="O1615" s="83"/>
      <c r="P1615" s="83"/>
      <c r="Q1615" s="83"/>
      <c r="R1615" s="83"/>
      <c r="S1615" s="83"/>
      <c r="T1615" s="83"/>
      <c r="U1615" s="83"/>
      <c r="V1615" s="83"/>
      <c r="W1615" s="83"/>
      <c r="X1615" s="83"/>
      <c r="Y1615" s="83"/>
      <c r="Z1615" s="83"/>
    </row>
    <row r="1616">
      <c r="A1616" s="75" t="s">
        <v>34</v>
      </c>
      <c r="B1616" s="75" t="s">
        <v>1004</v>
      </c>
      <c r="C1616" s="75">
        <v>8.86</v>
      </c>
      <c r="D1616" s="75">
        <v>0.0</v>
      </c>
      <c r="E1616" s="75">
        <v>0.0</v>
      </c>
      <c r="F1616" s="75" t="s">
        <v>997</v>
      </c>
      <c r="G1616" s="82">
        <v>46111.0</v>
      </c>
      <c r="H1616" s="76" t="s">
        <v>952</v>
      </c>
      <c r="I1616" s="83"/>
      <c r="J1616" s="83"/>
      <c r="K1616" s="83"/>
      <c r="L1616" s="83"/>
      <c r="M1616" s="83"/>
      <c r="N1616" s="83"/>
      <c r="O1616" s="83"/>
      <c r="P1616" s="83"/>
      <c r="Q1616" s="83"/>
      <c r="R1616" s="83"/>
      <c r="S1616" s="83"/>
      <c r="T1616" s="83"/>
      <c r="U1616" s="83"/>
      <c r="V1616" s="83"/>
      <c r="W1616" s="83"/>
      <c r="X1616" s="83"/>
      <c r="Y1616" s="83"/>
      <c r="Z1616" s="83"/>
    </row>
    <row r="1617">
      <c r="A1617" s="75" t="s">
        <v>34</v>
      </c>
      <c r="B1617" s="75" t="s">
        <v>1004</v>
      </c>
      <c r="C1617" s="75">
        <v>40.4</v>
      </c>
      <c r="D1617" s="75">
        <v>5.0</v>
      </c>
      <c r="E1617" s="75">
        <v>8.08</v>
      </c>
      <c r="F1617" s="75" t="s">
        <v>997</v>
      </c>
      <c r="G1617" s="82">
        <v>46111.0</v>
      </c>
      <c r="H1617" s="76" t="s">
        <v>953</v>
      </c>
      <c r="I1617" s="83"/>
      <c r="J1617" s="83"/>
      <c r="K1617" s="83"/>
      <c r="L1617" s="83"/>
      <c r="M1617" s="83"/>
      <c r="N1617" s="83"/>
      <c r="O1617" s="83"/>
      <c r="P1617" s="83"/>
      <c r="Q1617" s="83"/>
      <c r="R1617" s="83"/>
      <c r="S1617" s="83"/>
      <c r="T1617" s="83"/>
      <c r="U1617" s="83"/>
      <c r="V1617" s="83"/>
      <c r="W1617" s="83"/>
      <c r="X1617" s="83"/>
      <c r="Y1617" s="83"/>
      <c r="Z1617" s="83"/>
    </row>
    <row r="1618">
      <c r="A1618" s="75" t="s">
        <v>40</v>
      </c>
      <c r="B1618" s="75" t="s">
        <v>1004</v>
      </c>
      <c r="C1618" s="75">
        <v>3.61</v>
      </c>
      <c r="D1618" s="75">
        <v>1.0</v>
      </c>
      <c r="E1618" s="75">
        <v>3.61</v>
      </c>
      <c r="F1618" s="75" t="s">
        <v>997</v>
      </c>
      <c r="G1618" s="82">
        <v>46111.0</v>
      </c>
      <c r="H1618" s="76" t="s">
        <v>954</v>
      </c>
      <c r="I1618" s="83"/>
      <c r="J1618" s="83"/>
      <c r="K1618" s="83"/>
      <c r="L1618" s="83"/>
      <c r="M1618" s="83"/>
      <c r="N1618" s="83"/>
      <c r="O1618" s="83"/>
      <c r="P1618" s="83"/>
      <c r="Q1618" s="83"/>
      <c r="R1618" s="83"/>
      <c r="S1618" s="83"/>
      <c r="T1618" s="83"/>
      <c r="U1618" s="83"/>
      <c r="V1618" s="83"/>
      <c r="W1618" s="83"/>
      <c r="X1618" s="83"/>
      <c r="Y1618" s="83"/>
      <c r="Z1618" s="83"/>
    </row>
    <row r="1619">
      <c r="A1619" s="75" t="s">
        <v>40</v>
      </c>
      <c r="B1619" s="75" t="s">
        <v>1004</v>
      </c>
      <c r="C1619" s="75">
        <v>2.11</v>
      </c>
      <c r="D1619" s="75">
        <v>0.0</v>
      </c>
      <c r="E1619" s="75">
        <v>0.0</v>
      </c>
      <c r="F1619" s="75" t="s">
        <v>997</v>
      </c>
      <c r="G1619" s="82">
        <v>46111.0</v>
      </c>
      <c r="H1619" s="76" t="s">
        <v>955</v>
      </c>
      <c r="I1619" s="83"/>
      <c r="J1619" s="83"/>
      <c r="K1619" s="83"/>
      <c r="L1619" s="83"/>
      <c r="M1619" s="83"/>
      <c r="N1619" s="83"/>
      <c r="O1619" s="83"/>
      <c r="P1619" s="83"/>
      <c r="Q1619" s="83"/>
      <c r="R1619" s="83"/>
      <c r="S1619" s="83"/>
      <c r="T1619" s="83"/>
      <c r="U1619" s="83"/>
      <c r="V1619" s="83"/>
      <c r="W1619" s="83"/>
      <c r="X1619" s="83"/>
      <c r="Y1619" s="83"/>
      <c r="Z1619" s="83"/>
    </row>
    <row r="1620">
      <c r="A1620" s="75" t="s">
        <v>40</v>
      </c>
      <c r="B1620" s="75" t="s">
        <v>1004</v>
      </c>
      <c r="C1620" s="75">
        <v>28.37</v>
      </c>
      <c r="D1620" s="75">
        <v>1.0</v>
      </c>
      <c r="E1620" s="75">
        <v>28.37</v>
      </c>
      <c r="F1620" s="75" t="s">
        <v>997</v>
      </c>
      <c r="G1620" s="82">
        <v>46111.0</v>
      </c>
      <c r="H1620" s="76" t="s">
        <v>956</v>
      </c>
      <c r="I1620" s="83"/>
      <c r="J1620" s="83"/>
      <c r="K1620" s="83"/>
      <c r="L1620" s="83"/>
      <c r="M1620" s="83"/>
      <c r="N1620" s="83"/>
      <c r="O1620" s="83"/>
      <c r="P1620" s="83"/>
      <c r="Q1620" s="83"/>
      <c r="R1620" s="83"/>
      <c r="S1620" s="83"/>
      <c r="T1620" s="83"/>
      <c r="U1620" s="83"/>
      <c r="V1620" s="83"/>
      <c r="W1620" s="83"/>
      <c r="X1620" s="83"/>
      <c r="Y1620" s="83"/>
      <c r="Z1620" s="83"/>
    </row>
    <row r="1621">
      <c r="A1621" s="75" t="s">
        <v>33</v>
      </c>
      <c r="B1621" s="75" t="s">
        <v>1004</v>
      </c>
      <c r="C1621" s="75">
        <v>19.56</v>
      </c>
      <c r="D1621" s="75">
        <v>30.0</v>
      </c>
      <c r="E1621" s="75">
        <v>0.65</v>
      </c>
      <c r="F1621" s="75" t="s">
        <v>997</v>
      </c>
      <c r="G1621" s="82">
        <v>46111.0</v>
      </c>
      <c r="H1621" s="76" t="s">
        <v>957</v>
      </c>
      <c r="I1621" s="83"/>
      <c r="J1621" s="83"/>
      <c r="K1621" s="83"/>
      <c r="L1621" s="83"/>
      <c r="M1621" s="83"/>
      <c r="N1621" s="83"/>
      <c r="O1621" s="83"/>
      <c r="P1621" s="83"/>
      <c r="Q1621" s="83"/>
      <c r="R1621" s="83"/>
      <c r="S1621" s="83"/>
      <c r="T1621" s="83"/>
      <c r="U1621" s="83"/>
      <c r="V1621" s="83"/>
      <c r="W1621" s="83"/>
      <c r="X1621" s="83"/>
      <c r="Y1621" s="83"/>
      <c r="Z1621" s="83"/>
    </row>
    <row r="1622">
      <c r="A1622" s="75" t="s">
        <v>33</v>
      </c>
      <c r="B1622" s="75" t="s">
        <v>1004</v>
      </c>
      <c r="C1622" s="75">
        <v>2.95</v>
      </c>
      <c r="D1622" s="75">
        <v>3.0</v>
      </c>
      <c r="E1622" s="75">
        <v>0.98</v>
      </c>
      <c r="F1622" s="75" t="s">
        <v>997</v>
      </c>
      <c r="G1622" s="82">
        <v>46111.0</v>
      </c>
      <c r="H1622" s="76" t="s">
        <v>958</v>
      </c>
      <c r="I1622" s="83"/>
      <c r="J1622" s="83"/>
      <c r="K1622" s="83"/>
      <c r="L1622" s="83"/>
      <c r="M1622" s="83"/>
      <c r="N1622" s="83"/>
      <c r="O1622" s="83"/>
      <c r="P1622" s="83"/>
      <c r="Q1622" s="83"/>
      <c r="R1622" s="83"/>
      <c r="S1622" s="83"/>
      <c r="T1622" s="83"/>
      <c r="U1622" s="83"/>
      <c r="V1622" s="83"/>
      <c r="W1622" s="83"/>
      <c r="X1622" s="83"/>
      <c r="Y1622" s="83"/>
      <c r="Z1622" s="83"/>
    </row>
    <row r="1623">
      <c r="A1623" s="75" t="s">
        <v>33</v>
      </c>
      <c r="B1623" s="75" t="s">
        <v>1004</v>
      </c>
      <c r="C1623" s="75">
        <v>8.18</v>
      </c>
      <c r="D1623" s="75">
        <v>4.0</v>
      </c>
      <c r="E1623" s="75">
        <v>2.04</v>
      </c>
      <c r="F1623" s="75" t="s">
        <v>997</v>
      </c>
      <c r="G1623" s="82">
        <v>46111.0</v>
      </c>
      <c r="H1623" s="76" t="s">
        <v>959</v>
      </c>
      <c r="I1623" s="83"/>
      <c r="J1623" s="83"/>
      <c r="K1623" s="83"/>
      <c r="L1623" s="83"/>
      <c r="M1623" s="83"/>
      <c r="N1623" s="83"/>
      <c r="O1623" s="83"/>
      <c r="P1623" s="83"/>
      <c r="Q1623" s="83"/>
      <c r="R1623" s="83"/>
      <c r="S1623" s="83"/>
      <c r="T1623" s="83"/>
      <c r="U1623" s="83"/>
      <c r="V1623" s="83"/>
      <c r="W1623" s="83"/>
      <c r="X1623" s="83"/>
      <c r="Y1623" s="83"/>
      <c r="Z1623" s="83"/>
    </row>
    <row r="1624">
      <c r="A1624" s="75" t="s">
        <v>46</v>
      </c>
      <c r="B1624" s="75" t="s">
        <v>1004</v>
      </c>
      <c r="C1624" s="75">
        <v>20.76</v>
      </c>
      <c r="D1624" s="75">
        <v>1.0</v>
      </c>
      <c r="E1624" s="75">
        <v>20.76</v>
      </c>
      <c r="F1624" s="75" t="s">
        <v>997</v>
      </c>
      <c r="G1624" s="82">
        <v>46111.0</v>
      </c>
      <c r="H1624" s="76" t="s">
        <v>960</v>
      </c>
      <c r="I1624" s="83"/>
      <c r="J1624" s="83"/>
      <c r="K1624" s="83"/>
      <c r="L1624" s="83"/>
      <c r="M1624" s="83"/>
      <c r="N1624" s="83"/>
      <c r="O1624" s="83"/>
      <c r="P1624" s="83"/>
      <c r="Q1624" s="83"/>
      <c r="R1624" s="83"/>
      <c r="S1624" s="83"/>
      <c r="T1624" s="83"/>
      <c r="U1624" s="83"/>
      <c r="V1624" s="83"/>
      <c r="W1624" s="83"/>
      <c r="X1624" s="83"/>
      <c r="Y1624" s="83"/>
      <c r="Z1624" s="83"/>
    </row>
    <row r="1625">
      <c r="A1625" s="75" t="s">
        <v>46</v>
      </c>
      <c r="B1625" s="75" t="s">
        <v>1004</v>
      </c>
      <c r="C1625" s="75">
        <v>4.04</v>
      </c>
      <c r="D1625" s="75">
        <v>0.0</v>
      </c>
      <c r="E1625" s="75">
        <v>0.0</v>
      </c>
      <c r="F1625" s="75" t="s">
        <v>997</v>
      </c>
      <c r="G1625" s="82">
        <v>46111.0</v>
      </c>
      <c r="H1625" s="76" t="s">
        <v>961</v>
      </c>
      <c r="I1625" s="83"/>
      <c r="J1625" s="83"/>
      <c r="K1625" s="83"/>
      <c r="L1625" s="83"/>
      <c r="M1625" s="83"/>
      <c r="N1625" s="83"/>
      <c r="O1625" s="83"/>
      <c r="P1625" s="83"/>
      <c r="Q1625" s="83"/>
      <c r="R1625" s="83"/>
      <c r="S1625" s="83"/>
      <c r="T1625" s="83"/>
      <c r="U1625" s="83"/>
      <c r="V1625" s="83"/>
      <c r="W1625" s="83"/>
      <c r="X1625" s="83"/>
      <c r="Y1625" s="83"/>
      <c r="Z1625" s="83"/>
    </row>
    <row r="1626">
      <c r="A1626" s="75" t="s">
        <v>46</v>
      </c>
      <c r="B1626" s="75" t="s">
        <v>1004</v>
      </c>
      <c r="C1626" s="75">
        <v>19.36</v>
      </c>
      <c r="D1626" s="75">
        <v>0.0</v>
      </c>
      <c r="E1626" s="75">
        <v>0.0</v>
      </c>
      <c r="F1626" s="75" t="s">
        <v>997</v>
      </c>
      <c r="G1626" s="82">
        <v>46111.0</v>
      </c>
      <c r="H1626" s="76" t="s">
        <v>962</v>
      </c>
      <c r="I1626" s="83"/>
      <c r="J1626" s="83"/>
      <c r="K1626" s="83"/>
      <c r="L1626" s="83"/>
      <c r="M1626" s="83"/>
      <c r="N1626" s="83"/>
      <c r="O1626" s="83"/>
      <c r="P1626" s="83"/>
      <c r="Q1626" s="83"/>
      <c r="R1626" s="83"/>
      <c r="S1626" s="83"/>
      <c r="T1626" s="83"/>
      <c r="U1626" s="83"/>
      <c r="V1626" s="83"/>
      <c r="W1626" s="83"/>
      <c r="X1626" s="83"/>
      <c r="Y1626" s="83"/>
      <c r="Z1626" s="83"/>
    </row>
    <row r="1627">
      <c r="A1627" s="75" t="s">
        <v>43</v>
      </c>
      <c r="B1627" s="75" t="s">
        <v>1004</v>
      </c>
      <c r="C1627" s="75">
        <v>27.3</v>
      </c>
      <c r="D1627" s="75">
        <v>0.0</v>
      </c>
      <c r="E1627" s="75">
        <v>0.0</v>
      </c>
      <c r="F1627" s="75" t="s">
        <v>997</v>
      </c>
      <c r="G1627" s="82">
        <v>46111.0</v>
      </c>
      <c r="H1627" s="76" t="s">
        <v>963</v>
      </c>
      <c r="I1627" s="83"/>
      <c r="J1627" s="83"/>
      <c r="K1627" s="83"/>
      <c r="L1627" s="83"/>
      <c r="M1627" s="83"/>
      <c r="N1627" s="83"/>
      <c r="O1627" s="83"/>
      <c r="P1627" s="83"/>
      <c r="Q1627" s="83"/>
      <c r="R1627" s="83"/>
      <c r="S1627" s="83"/>
      <c r="T1627" s="83"/>
      <c r="U1627" s="83"/>
      <c r="V1627" s="83"/>
      <c r="W1627" s="83"/>
      <c r="X1627" s="83"/>
      <c r="Y1627" s="83"/>
      <c r="Z1627" s="83"/>
    </row>
    <row r="1628">
      <c r="A1628" s="75" t="s">
        <v>43</v>
      </c>
      <c r="B1628" s="75" t="s">
        <v>1004</v>
      </c>
      <c r="C1628" s="75">
        <v>3.68</v>
      </c>
      <c r="D1628" s="75">
        <v>1.0</v>
      </c>
      <c r="E1628" s="75">
        <v>3.68</v>
      </c>
      <c r="F1628" s="75" t="s">
        <v>997</v>
      </c>
      <c r="G1628" s="82">
        <v>46111.0</v>
      </c>
      <c r="H1628" s="76" t="s">
        <v>964</v>
      </c>
      <c r="I1628" s="83"/>
      <c r="J1628" s="83"/>
      <c r="K1628" s="83"/>
      <c r="L1628" s="83"/>
      <c r="M1628" s="83"/>
      <c r="N1628" s="83"/>
      <c r="O1628" s="83"/>
      <c r="P1628" s="83"/>
      <c r="Q1628" s="83"/>
      <c r="R1628" s="83"/>
      <c r="S1628" s="83"/>
      <c r="T1628" s="83"/>
      <c r="U1628" s="83"/>
      <c r="V1628" s="83"/>
      <c r="W1628" s="83"/>
      <c r="X1628" s="83"/>
      <c r="Y1628" s="83"/>
      <c r="Z1628" s="83"/>
    </row>
    <row r="1629">
      <c r="A1629" s="75" t="s">
        <v>43</v>
      </c>
      <c r="B1629" s="75" t="s">
        <v>1004</v>
      </c>
      <c r="C1629" s="75">
        <v>29.74</v>
      </c>
      <c r="D1629" s="75">
        <v>6.0</v>
      </c>
      <c r="E1629" s="75">
        <v>4.96</v>
      </c>
      <c r="F1629" s="75" t="s">
        <v>997</v>
      </c>
      <c r="G1629" s="82">
        <v>46111.0</v>
      </c>
      <c r="H1629" s="76" t="s">
        <v>965</v>
      </c>
      <c r="I1629" s="83"/>
      <c r="J1629" s="83"/>
      <c r="K1629" s="83"/>
      <c r="L1629" s="83"/>
      <c r="M1629" s="83"/>
      <c r="N1629" s="83"/>
      <c r="O1629" s="83"/>
      <c r="P1629" s="83"/>
      <c r="Q1629" s="83"/>
      <c r="R1629" s="83"/>
      <c r="S1629" s="83"/>
      <c r="T1629" s="83"/>
      <c r="U1629" s="83"/>
      <c r="V1629" s="83"/>
      <c r="W1629" s="83"/>
      <c r="X1629" s="83"/>
      <c r="Y1629" s="83"/>
      <c r="Z1629" s="83"/>
    </row>
    <row r="1630">
      <c r="A1630" s="75" t="s">
        <v>966</v>
      </c>
      <c r="B1630" s="75" t="s">
        <v>1004</v>
      </c>
      <c r="C1630" s="75">
        <v>76.9</v>
      </c>
      <c r="D1630" s="75">
        <v>16.0</v>
      </c>
      <c r="E1630" s="75">
        <v>4.81</v>
      </c>
      <c r="F1630" s="75" t="s">
        <v>997</v>
      </c>
      <c r="G1630" s="82">
        <v>46111.0</v>
      </c>
      <c r="H1630" s="76" t="s">
        <v>967</v>
      </c>
      <c r="I1630" s="83"/>
      <c r="J1630" s="83"/>
      <c r="K1630" s="83"/>
      <c r="L1630" s="83"/>
      <c r="M1630" s="83"/>
      <c r="N1630" s="83"/>
      <c r="O1630" s="83"/>
      <c r="P1630" s="83"/>
      <c r="Q1630" s="83"/>
      <c r="R1630" s="83"/>
      <c r="S1630" s="83"/>
      <c r="T1630" s="83"/>
      <c r="U1630" s="83"/>
      <c r="V1630" s="83"/>
      <c r="W1630" s="83"/>
      <c r="X1630" s="83"/>
      <c r="Y1630" s="83"/>
      <c r="Z1630" s="83"/>
    </row>
    <row r="1631">
      <c r="A1631" s="75" t="s">
        <v>966</v>
      </c>
      <c r="B1631" s="75" t="s">
        <v>1004</v>
      </c>
      <c r="C1631" s="75">
        <v>21.85</v>
      </c>
      <c r="D1631" s="75">
        <v>1.0</v>
      </c>
      <c r="E1631" s="75">
        <v>21.85</v>
      </c>
      <c r="F1631" s="75" t="s">
        <v>997</v>
      </c>
      <c r="G1631" s="82">
        <v>46111.0</v>
      </c>
      <c r="H1631" s="76" t="s">
        <v>968</v>
      </c>
      <c r="I1631" s="83"/>
      <c r="J1631" s="83"/>
      <c r="K1631" s="83"/>
      <c r="L1631" s="83"/>
      <c r="M1631" s="83"/>
      <c r="N1631" s="83"/>
      <c r="O1631" s="83"/>
      <c r="P1631" s="83"/>
      <c r="Q1631" s="83"/>
      <c r="R1631" s="83"/>
      <c r="S1631" s="83"/>
      <c r="T1631" s="83"/>
      <c r="U1631" s="83"/>
      <c r="V1631" s="83"/>
      <c r="W1631" s="83"/>
      <c r="X1631" s="83"/>
      <c r="Y1631" s="83"/>
      <c r="Z1631" s="83"/>
    </row>
    <row r="1632">
      <c r="A1632" s="75" t="s">
        <v>966</v>
      </c>
      <c r="B1632" s="75" t="s">
        <v>1004</v>
      </c>
      <c r="C1632" s="75">
        <v>25.5</v>
      </c>
      <c r="D1632" s="75">
        <v>3.0</v>
      </c>
      <c r="E1632" s="75">
        <v>8.5</v>
      </c>
      <c r="F1632" s="75" t="s">
        <v>997</v>
      </c>
      <c r="G1632" s="82">
        <v>46111.0</v>
      </c>
      <c r="H1632" s="76" t="s">
        <v>969</v>
      </c>
      <c r="I1632" s="83"/>
      <c r="J1632" s="83"/>
      <c r="K1632" s="83"/>
      <c r="L1632" s="83"/>
      <c r="M1632" s="83"/>
      <c r="N1632" s="83"/>
      <c r="O1632" s="83"/>
      <c r="P1632" s="83"/>
      <c r="Q1632" s="83"/>
      <c r="R1632" s="83"/>
      <c r="S1632" s="83"/>
      <c r="T1632" s="83"/>
      <c r="U1632" s="83"/>
      <c r="V1632" s="83"/>
      <c r="W1632" s="83"/>
      <c r="X1632" s="83"/>
      <c r="Y1632" s="83"/>
      <c r="Z1632" s="83"/>
    </row>
    <row r="1633">
      <c r="A1633" s="75" t="s">
        <v>36</v>
      </c>
      <c r="B1633" s="75" t="s">
        <v>1004</v>
      </c>
      <c r="C1633" s="75">
        <v>19.82</v>
      </c>
      <c r="D1633" s="75">
        <v>2.0</v>
      </c>
      <c r="E1633" s="75">
        <v>9.91</v>
      </c>
      <c r="F1633" s="75" t="s">
        <v>997</v>
      </c>
      <c r="G1633" s="82">
        <v>46111.0</v>
      </c>
      <c r="H1633" s="76" t="s">
        <v>926</v>
      </c>
      <c r="I1633" s="83"/>
      <c r="J1633" s="83"/>
      <c r="K1633" s="83"/>
      <c r="L1633" s="83"/>
      <c r="M1633" s="83"/>
      <c r="N1633" s="83"/>
      <c r="O1633" s="83"/>
      <c r="P1633" s="83"/>
      <c r="Q1633" s="83"/>
      <c r="R1633" s="83"/>
      <c r="S1633" s="83"/>
      <c r="T1633" s="83"/>
      <c r="U1633" s="83"/>
      <c r="V1633" s="83"/>
      <c r="W1633" s="83"/>
      <c r="X1633" s="83"/>
      <c r="Y1633" s="83"/>
      <c r="Z1633" s="83"/>
    </row>
    <row r="1634">
      <c r="A1634" s="75" t="s">
        <v>36</v>
      </c>
      <c r="B1634" s="75" t="s">
        <v>1004</v>
      </c>
      <c r="C1634" s="75">
        <v>3.01</v>
      </c>
      <c r="D1634" s="75">
        <v>0.0</v>
      </c>
      <c r="E1634" s="75">
        <v>0.0</v>
      </c>
      <c r="F1634" s="75" t="s">
        <v>997</v>
      </c>
      <c r="G1634" s="82">
        <v>46111.0</v>
      </c>
      <c r="H1634" s="76" t="s">
        <v>927</v>
      </c>
      <c r="I1634" s="83"/>
      <c r="J1634" s="83"/>
      <c r="K1634" s="83"/>
      <c r="L1634" s="83"/>
      <c r="M1634" s="83"/>
      <c r="N1634" s="83"/>
      <c r="O1634" s="83"/>
      <c r="P1634" s="83"/>
      <c r="Q1634" s="83"/>
      <c r="R1634" s="83"/>
      <c r="S1634" s="83"/>
      <c r="T1634" s="83"/>
      <c r="U1634" s="83"/>
      <c r="V1634" s="83"/>
      <c r="W1634" s="83"/>
      <c r="X1634" s="83"/>
      <c r="Y1634" s="83"/>
      <c r="Z1634" s="83"/>
    </row>
    <row r="1635">
      <c r="A1635" s="75" t="s">
        <v>36</v>
      </c>
      <c r="B1635" s="75" t="s">
        <v>1004</v>
      </c>
      <c r="C1635" s="75">
        <v>4.25</v>
      </c>
      <c r="D1635" s="75">
        <v>0.0</v>
      </c>
      <c r="E1635" s="75">
        <v>0.0</v>
      </c>
      <c r="F1635" s="75" t="s">
        <v>997</v>
      </c>
      <c r="G1635" s="82">
        <v>46111.0</v>
      </c>
      <c r="H1635" s="76" t="s">
        <v>928</v>
      </c>
      <c r="I1635" s="83"/>
      <c r="J1635" s="83"/>
      <c r="K1635" s="83"/>
      <c r="L1635" s="83"/>
      <c r="M1635" s="83"/>
      <c r="N1635" s="83"/>
      <c r="O1635" s="83"/>
      <c r="P1635" s="83"/>
      <c r="Q1635" s="83"/>
      <c r="R1635" s="83"/>
      <c r="S1635" s="83"/>
      <c r="T1635" s="83"/>
      <c r="U1635" s="83"/>
      <c r="V1635" s="83"/>
      <c r="W1635" s="83"/>
      <c r="X1635" s="83"/>
      <c r="Y1635" s="83"/>
      <c r="Z1635" s="83"/>
    </row>
    <row r="1636">
      <c r="A1636" s="75" t="s">
        <v>970</v>
      </c>
      <c r="B1636" s="75" t="s">
        <v>1004</v>
      </c>
      <c r="C1636" s="75">
        <v>17.45</v>
      </c>
      <c r="D1636" s="75">
        <v>9.0</v>
      </c>
      <c r="E1636" s="75">
        <v>1.94</v>
      </c>
      <c r="F1636" s="75" t="s">
        <v>997</v>
      </c>
      <c r="G1636" s="82">
        <v>46111.0</v>
      </c>
      <c r="H1636" s="76" t="s">
        <v>971</v>
      </c>
      <c r="I1636" s="83"/>
      <c r="J1636" s="83"/>
      <c r="K1636" s="83"/>
      <c r="L1636" s="83"/>
      <c r="M1636" s="83"/>
      <c r="N1636" s="83"/>
      <c r="O1636" s="83"/>
      <c r="P1636" s="83"/>
      <c r="Q1636" s="83"/>
      <c r="R1636" s="83"/>
      <c r="S1636" s="83"/>
      <c r="T1636" s="83"/>
      <c r="U1636" s="83"/>
      <c r="V1636" s="83"/>
      <c r="W1636" s="83"/>
      <c r="X1636" s="83"/>
      <c r="Y1636" s="83"/>
      <c r="Z1636" s="83"/>
    </row>
    <row r="1637">
      <c r="A1637" s="75" t="s">
        <v>970</v>
      </c>
      <c r="B1637" s="75" t="s">
        <v>1004</v>
      </c>
      <c r="C1637" s="75">
        <v>3.94</v>
      </c>
      <c r="D1637" s="75">
        <v>1.0</v>
      </c>
      <c r="E1637" s="75">
        <v>3.94</v>
      </c>
      <c r="F1637" s="75" t="s">
        <v>997</v>
      </c>
      <c r="G1637" s="82">
        <v>46111.0</v>
      </c>
      <c r="H1637" s="76" t="s">
        <v>972</v>
      </c>
      <c r="I1637" s="83"/>
      <c r="J1637" s="83"/>
      <c r="K1637" s="83"/>
      <c r="L1637" s="83"/>
      <c r="M1637" s="83"/>
      <c r="N1637" s="83"/>
      <c r="O1637" s="83"/>
      <c r="P1637" s="83"/>
      <c r="Q1637" s="83"/>
      <c r="R1637" s="83"/>
      <c r="S1637" s="83"/>
      <c r="T1637" s="83"/>
      <c r="U1637" s="83"/>
      <c r="V1637" s="83"/>
      <c r="W1637" s="83"/>
      <c r="X1637" s="83"/>
      <c r="Y1637" s="83"/>
      <c r="Z1637" s="83"/>
    </row>
    <row r="1638">
      <c r="A1638" s="75" t="s">
        <v>970</v>
      </c>
      <c r="B1638" s="75" t="s">
        <v>1004</v>
      </c>
      <c r="C1638" s="75">
        <v>25.83</v>
      </c>
      <c r="D1638" s="75">
        <v>18.0</v>
      </c>
      <c r="E1638" s="75">
        <v>1.44</v>
      </c>
      <c r="F1638" s="75" t="s">
        <v>997</v>
      </c>
      <c r="G1638" s="82">
        <v>46111.0</v>
      </c>
      <c r="H1638" s="76" t="s">
        <v>973</v>
      </c>
      <c r="I1638" s="83"/>
      <c r="J1638" s="83"/>
      <c r="K1638" s="83"/>
      <c r="L1638" s="83"/>
      <c r="M1638" s="83"/>
      <c r="N1638" s="83"/>
      <c r="O1638" s="83"/>
      <c r="P1638" s="83"/>
      <c r="Q1638" s="83"/>
      <c r="R1638" s="83"/>
      <c r="S1638" s="83"/>
      <c r="T1638" s="83"/>
      <c r="U1638" s="83"/>
      <c r="V1638" s="83"/>
      <c r="W1638" s="83"/>
      <c r="X1638" s="83"/>
      <c r="Y1638" s="83"/>
      <c r="Z1638" s="83"/>
    </row>
    <row r="1639">
      <c r="A1639" s="75" t="s">
        <v>29</v>
      </c>
      <c r="B1639" s="75" t="s">
        <v>1004</v>
      </c>
      <c r="C1639" s="75">
        <v>0.69</v>
      </c>
      <c r="D1639" s="75">
        <v>0.0</v>
      </c>
      <c r="E1639" s="75">
        <v>0.0</v>
      </c>
      <c r="F1639" s="75" t="s">
        <v>997</v>
      </c>
      <c r="G1639" s="82">
        <v>46111.0</v>
      </c>
      <c r="H1639" s="76" t="s">
        <v>971</v>
      </c>
      <c r="I1639" s="83"/>
      <c r="J1639" s="83"/>
      <c r="K1639" s="83"/>
      <c r="L1639" s="83"/>
      <c r="M1639" s="83"/>
      <c r="N1639" s="83"/>
      <c r="O1639" s="83"/>
      <c r="P1639" s="83"/>
      <c r="Q1639" s="83"/>
      <c r="R1639" s="83"/>
      <c r="S1639" s="83"/>
      <c r="T1639" s="83"/>
      <c r="U1639" s="83"/>
      <c r="V1639" s="83"/>
      <c r="W1639" s="83"/>
      <c r="X1639" s="83"/>
      <c r="Y1639" s="83"/>
      <c r="Z1639" s="83"/>
    </row>
    <row r="1640">
      <c r="A1640" s="75" t="s">
        <v>29</v>
      </c>
      <c r="B1640" s="75" t="s">
        <v>1004</v>
      </c>
      <c r="C1640" s="75">
        <v>0.15</v>
      </c>
      <c r="D1640" s="75">
        <v>0.0</v>
      </c>
      <c r="E1640" s="75">
        <v>0.0</v>
      </c>
      <c r="F1640" s="75" t="s">
        <v>997</v>
      </c>
      <c r="G1640" s="82">
        <v>46111.0</v>
      </c>
      <c r="H1640" s="76" t="s">
        <v>972</v>
      </c>
      <c r="I1640" s="83"/>
      <c r="J1640" s="83"/>
      <c r="K1640" s="83"/>
      <c r="L1640" s="83"/>
      <c r="M1640" s="83"/>
      <c r="N1640" s="83"/>
      <c r="O1640" s="83"/>
      <c r="P1640" s="83"/>
      <c r="Q1640" s="83"/>
      <c r="R1640" s="83"/>
      <c r="S1640" s="83"/>
      <c r="T1640" s="83"/>
      <c r="U1640" s="83"/>
      <c r="V1640" s="83"/>
      <c r="W1640" s="83"/>
      <c r="X1640" s="83"/>
      <c r="Y1640" s="83"/>
      <c r="Z1640" s="83"/>
    </row>
    <row r="1641">
      <c r="A1641" s="75" t="s">
        <v>29</v>
      </c>
      <c r="B1641" s="75" t="s">
        <v>1004</v>
      </c>
      <c r="C1641" s="75">
        <v>1.4</v>
      </c>
      <c r="D1641" s="75">
        <v>0.0</v>
      </c>
      <c r="E1641" s="75">
        <v>0.0</v>
      </c>
      <c r="F1641" s="75" t="s">
        <v>997</v>
      </c>
      <c r="G1641" s="82">
        <v>46111.0</v>
      </c>
      <c r="H1641" s="76" t="s">
        <v>973</v>
      </c>
      <c r="I1641" s="83"/>
      <c r="J1641" s="83"/>
      <c r="K1641" s="83"/>
      <c r="L1641" s="83"/>
      <c r="M1641" s="83"/>
      <c r="N1641" s="83"/>
      <c r="O1641" s="83"/>
      <c r="P1641" s="83"/>
      <c r="Q1641" s="83"/>
      <c r="R1641" s="83"/>
      <c r="S1641" s="83"/>
      <c r="T1641" s="83"/>
      <c r="U1641" s="83"/>
      <c r="V1641" s="83"/>
      <c r="W1641" s="83"/>
      <c r="X1641" s="83"/>
      <c r="Y1641" s="83"/>
      <c r="Z1641" s="83"/>
    </row>
    <row r="1642">
      <c r="A1642" s="75" t="s">
        <v>34</v>
      </c>
      <c r="B1642" s="75" t="s">
        <v>1004</v>
      </c>
      <c r="C1642" s="75">
        <v>0.06</v>
      </c>
      <c r="D1642" s="75">
        <v>0.0</v>
      </c>
      <c r="E1642" s="75">
        <v>0.0</v>
      </c>
      <c r="F1642" s="75" t="s">
        <v>998</v>
      </c>
      <c r="G1642" s="82">
        <v>46111.0</v>
      </c>
      <c r="H1642" s="76" t="s">
        <v>951</v>
      </c>
      <c r="I1642" s="83"/>
      <c r="J1642" s="83"/>
      <c r="K1642" s="83"/>
      <c r="L1642" s="83"/>
      <c r="M1642" s="83"/>
      <c r="N1642" s="83"/>
      <c r="O1642" s="83"/>
      <c r="P1642" s="83"/>
      <c r="Q1642" s="83"/>
      <c r="R1642" s="83"/>
      <c r="S1642" s="83"/>
      <c r="T1642" s="83"/>
      <c r="U1642" s="83"/>
      <c r="V1642" s="83"/>
      <c r="W1642" s="83"/>
      <c r="X1642" s="83"/>
      <c r="Y1642" s="83"/>
      <c r="Z1642" s="83"/>
    </row>
    <row r="1643">
      <c r="A1643" s="75" t="s">
        <v>34</v>
      </c>
      <c r="B1643" s="75" t="s">
        <v>1004</v>
      </c>
      <c r="C1643" s="75">
        <v>2.35</v>
      </c>
      <c r="D1643" s="75">
        <v>0.0</v>
      </c>
      <c r="E1643" s="75">
        <v>0.0</v>
      </c>
      <c r="F1643" s="75" t="s">
        <v>998</v>
      </c>
      <c r="G1643" s="82">
        <v>46111.0</v>
      </c>
      <c r="H1643" s="76" t="s">
        <v>952</v>
      </c>
      <c r="I1643" s="83"/>
      <c r="J1643" s="83"/>
      <c r="K1643" s="83"/>
      <c r="L1643" s="83"/>
      <c r="M1643" s="83"/>
      <c r="N1643" s="83"/>
      <c r="O1643" s="83"/>
      <c r="P1643" s="83"/>
      <c r="Q1643" s="83"/>
      <c r="R1643" s="83"/>
      <c r="S1643" s="83"/>
      <c r="T1643" s="83"/>
      <c r="U1643" s="83"/>
      <c r="V1643" s="83"/>
      <c r="W1643" s="83"/>
      <c r="X1643" s="83"/>
      <c r="Y1643" s="83"/>
      <c r="Z1643" s="83"/>
    </row>
    <row r="1644">
      <c r="A1644" s="75" t="s">
        <v>34</v>
      </c>
      <c r="B1644" s="75" t="s">
        <v>1004</v>
      </c>
      <c r="C1644" s="75">
        <v>0.02</v>
      </c>
      <c r="D1644" s="75">
        <v>0.0</v>
      </c>
      <c r="E1644" s="75">
        <v>0.0</v>
      </c>
      <c r="F1644" s="75" t="s">
        <v>998</v>
      </c>
      <c r="G1644" s="82">
        <v>46111.0</v>
      </c>
      <c r="H1644" s="76" t="s">
        <v>953</v>
      </c>
      <c r="I1644" s="83"/>
      <c r="J1644" s="83"/>
      <c r="K1644" s="83"/>
      <c r="L1644" s="83"/>
      <c r="M1644" s="83"/>
      <c r="N1644" s="83"/>
      <c r="O1644" s="83"/>
      <c r="P1644" s="83"/>
      <c r="Q1644" s="83"/>
      <c r="R1644" s="83"/>
      <c r="S1644" s="83"/>
      <c r="T1644" s="83"/>
      <c r="U1644" s="83"/>
      <c r="V1644" s="83"/>
      <c r="W1644" s="83"/>
      <c r="X1644" s="83"/>
      <c r="Y1644" s="83"/>
      <c r="Z1644" s="83"/>
    </row>
    <row r="1645">
      <c r="A1645" s="75" t="s">
        <v>40</v>
      </c>
      <c r="B1645" s="75" t="s">
        <v>1004</v>
      </c>
      <c r="C1645" s="75">
        <v>0.2</v>
      </c>
      <c r="D1645" s="75">
        <v>0.0</v>
      </c>
      <c r="E1645" s="75">
        <v>0.0</v>
      </c>
      <c r="F1645" s="75" t="s">
        <v>998</v>
      </c>
      <c r="G1645" s="82">
        <v>46111.0</v>
      </c>
      <c r="H1645" s="76" t="s">
        <v>954</v>
      </c>
      <c r="I1645" s="83"/>
      <c r="J1645" s="83"/>
      <c r="K1645" s="83"/>
      <c r="L1645" s="83"/>
      <c r="M1645" s="83"/>
      <c r="N1645" s="83"/>
      <c r="O1645" s="83"/>
      <c r="P1645" s="83"/>
      <c r="Q1645" s="83"/>
      <c r="R1645" s="83"/>
      <c r="S1645" s="83"/>
      <c r="T1645" s="83"/>
      <c r="U1645" s="83"/>
      <c r="V1645" s="83"/>
      <c r="W1645" s="83"/>
      <c r="X1645" s="83"/>
      <c r="Y1645" s="83"/>
      <c r="Z1645" s="83"/>
    </row>
    <row r="1646">
      <c r="A1646" s="75" t="s">
        <v>40</v>
      </c>
      <c r="B1646" s="75" t="s">
        <v>1004</v>
      </c>
      <c r="C1646" s="75">
        <v>0.71</v>
      </c>
      <c r="D1646" s="75">
        <v>0.0</v>
      </c>
      <c r="E1646" s="75">
        <v>0.0</v>
      </c>
      <c r="F1646" s="75" t="s">
        <v>998</v>
      </c>
      <c r="G1646" s="82">
        <v>46111.0</v>
      </c>
      <c r="H1646" s="76" t="s">
        <v>955</v>
      </c>
      <c r="I1646" s="83"/>
      <c r="J1646" s="83"/>
      <c r="K1646" s="83"/>
      <c r="L1646" s="83"/>
      <c r="M1646" s="83"/>
      <c r="N1646" s="83"/>
      <c r="O1646" s="83"/>
      <c r="P1646" s="83"/>
      <c r="Q1646" s="83"/>
      <c r="R1646" s="83"/>
      <c r="S1646" s="83"/>
      <c r="T1646" s="83"/>
      <c r="U1646" s="83"/>
      <c r="V1646" s="83"/>
      <c r="W1646" s="83"/>
      <c r="X1646" s="83"/>
      <c r="Y1646" s="83"/>
      <c r="Z1646" s="83"/>
    </row>
    <row r="1647">
      <c r="A1647" s="75" t="s">
        <v>40</v>
      </c>
      <c r="B1647" s="75" t="s">
        <v>1004</v>
      </c>
      <c r="C1647" s="75">
        <v>0.03</v>
      </c>
      <c r="D1647" s="75">
        <v>0.0</v>
      </c>
      <c r="E1647" s="75">
        <v>0.0</v>
      </c>
      <c r="F1647" s="75" t="s">
        <v>998</v>
      </c>
      <c r="G1647" s="82">
        <v>46111.0</v>
      </c>
      <c r="H1647" s="76" t="s">
        <v>956</v>
      </c>
      <c r="I1647" s="83"/>
      <c r="J1647" s="83"/>
      <c r="K1647" s="83"/>
      <c r="L1647" s="83"/>
      <c r="M1647" s="83"/>
      <c r="N1647" s="83"/>
      <c r="O1647" s="83"/>
      <c r="P1647" s="83"/>
      <c r="Q1647" s="83"/>
      <c r="R1647" s="83"/>
      <c r="S1647" s="83"/>
      <c r="T1647" s="83"/>
      <c r="U1647" s="83"/>
      <c r="V1647" s="83"/>
      <c r="W1647" s="83"/>
      <c r="X1647" s="83"/>
      <c r="Y1647" s="83"/>
      <c r="Z1647" s="83"/>
    </row>
    <row r="1648">
      <c r="A1648" s="75" t="s">
        <v>33</v>
      </c>
      <c r="B1648" s="75" t="s">
        <v>1004</v>
      </c>
      <c r="C1648" s="75">
        <v>0.04</v>
      </c>
      <c r="D1648" s="75">
        <v>0.0</v>
      </c>
      <c r="E1648" s="75">
        <v>0.0</v>
      </c>
      <c r="F1648" s="75" t="s">
        <v>998</v>
      </c>
      <c r="G1648" s="82">
        <v>46111.0</v>
      </c>
      <c r="H1648" s="76" t="s">
        <v>957</v>
      </c>
      <c r="I1648" s="83"/>
      <c r="J1648" s="83"/>
      <c r="K1648" s="83"/>
      <c r="L1648" s="83"/>
      <c r="M1648" s="83"/>
      <c r="N1648" s="83"/>
      <c r="O1648" s="83"/>
      <c r="P1648" s="83"/>
      <c r="Q1648" s="83"/>
      <c r="R1648" s="83"/>
      <c r="S1648" s="83"/>
      <c r="T1648" s="83"/>
      <c r="U1648" s="83"/>
      <c r="V1648" s="83"/>
      <c r="W1648" s="83"/>
      <c r="X1648" s="83"/>
      <c r="Y1648" s="83"/>
      <c r="Z1648" s="83"/>
    </row>
    <row r="1649">
      <c r="A1649" s="75" t="s">
        <v>33</v>
      </c>
      <c r="B1649" s="75" t="s">
        <v>1004</v>
      </c>
      <c r="C1649" s="75">
        <v>0.12</v>
      </c>
      <c r="D1649" s="75">
        <v>0.0</v>
      </c>
      <c r="E1649" s="75">
        <v>0.0</v>
      </c>
      <c r="F1649" s="75" t="s">
        <v>998</v>
      </c>
      <c r="G1649" s="82">
        <v>46111.0</v>
      </c>
      <c r="H1649" s="76" t="s">
        <v>958</v>
      </c>
      <c r="I1649" s="83"/>
      <c r="J1649" s="83"/>
      <c r="K1649" s="83"/>
      <c r="L1649" s="83"/>
      <c r="M1649" s="83"/>
      <c r="N1649" s="83"/>
      <c r="O1649" s="83"/>
      <c r="P1649" s="83"/>
      <c r="Q1649" s="83"/>
      <c r="R1649" s="83"/>
      <c r="S1649" s="83"/>
      <c r="T1649" s="83"/>
      <c r="U1649" s="83"/>
      <c r="V1649" s="83"/>
      <c r="W1649" s="83"/>
      <c r="X1649" s="83"/>
      <c r="Y1649" s="83"/>
      <c r="Z1649" s="83"/>
    </row>
    <row r="1650">
      <c r="A1650" s="75" t="s">
        <v>33</v>
      </c>
      <c r="B1650" s="75" t="s">
        <v>1004</v>
      </c>
      <c r="C1650" s="75">
        <v>2.46</v>
      </c>
      <c r="D1650" s="75">
        <v>2.0</v>
      </c>
      <c r="E1650" s="75">
        <v>1.23</v>
      </c>
      <c r="F1650" s="75" t="s">
        <v>998</v>
      </c>
      <c r="G1650" s="82">
        <v>46111.0</v>
      </c>
      <c r="H1650" s="76" t="s">
        <v>959</v>
      </c>
      <c r="I1650" s="83"/>
      <c r="J1650" s="83"/>
      <c r="K1650" s="83"/>
      <c r="L1650" s="83"/>
      <c r="M1650" s="83"/>
      <c r="N1650" s="83"/>
      <c r="O1650" s="83"/>
      <c r="P1650" s="83"/>
      <c r="Q1650" s="83"/>
      <c r="R1650" s="83"/>
      <c r="S1650" s="83"/>
      <c r="T1650" s="83"/>
      <c r="U1650" s="83"/>
      <c r="V1650" s="83"/>
      <c r="W1650" s="83"/>
      <c r="X1650" s="83"/>
      <c r="Y1650" s="83"/>
      <c r="Z1650" s="83"/>
    </row>
    <row r="1651">
      <c r="A1651" s="75" t="s">
        <v>46</v>
      </c>
      <c r="B1651" s="75" t="s">
        <v>1004</v>
      </c>
      <c r="C1651" s="75">
        <v>0.04</v>
      </c>
      <c r="D1651" s="75">
        <v>0.0</v>
      </c>
      <c r="E1651" s="75">
        <v>0.0</v>
      </c>
      <c r="F1651" s="75" t="s">
        <v>998</v>
      </c>
      <c r="G1651" s="82">
        <v>46111.0</v>
      </c>
      <c r="H1651" s="76" t="s">
        <v>960</v>
      </c>
      <c r="I1651" s="83"/>
      <c r="J1651" s="83"/>
      <c r="K1651" s="83"/>
      <c r="L1651" s="83"/>
      <c r="M1651" s="83"/>
      <c r="N1651" s="83"/>
      <c r="O1651" s="83"/>
      <c r="P1651" s="83"/>
      <c r="Q1651" s="83"/>
      <c r="R1651" s="83"/>
      <c r="S1651" s="83"/>
      <c r="T1651" s="83"/>
      <c r="U1651" s="83"/>
      <c r="V1651" s="83"/>
      <c r="W1651" s="83"/>
      <c r="X1651" s="83"/>
      <c r="Y1651" s="83"/>
      <c r="Z1651" s="83"/>
    </row>
    <row r="1652">
      <c r="A1652" s="75" t="s">
        <v>46</v>
      </c>
      <c r="B1652" s="75" t="s">
        <v>1004</v>
      </c>
      <c r="C1652" s="75">
        <v>0.09</v>
      </c>
      <c r="D1652" s="75">
        <v>0.0</v>
      </c>
      <c r="E1652" s="75">
        <v>0.0</v>
      </c>
      <c r="F1652" s="75" t="s">
        <v>998</v>
      </c>
      <c r="G1652" s="82">
        <v>46111.0</v>
      </c>
      <c r="H1652" s="76" t="s">
        <v>961</v>
      </c>
      <c r="I1652" s="83"/>
      <c r="J1652" s="83"/>
      <c r="K1652" s="83"/>
      <c r="L1652" s="83"/>
      <c r="M1652" s="83"/>
      <c r="N1652" s="83"/>
      <c r="O1652" s="83"/>
      <c r="P1652" s="83"/>
      <c r="Q1652" s="83"/>
      <c r="R1652" s="83"/>
      <c r="S1652" s="83"/>
      <c r="T1652" s="83"/>
      <c r="U1652" s="83"/>
      <c r="V1652" s="83"/>
      <c r="W1652" s="83"/>
      <c r="X1652" s="83"/>
      <c r="Y1652" s="83"/>
      <c r="Z1652" s="83"/>
    </row>
    <row r="1653">
      <c r="A1653" s="75" t="s">
        <v>46</v>
      </c>
      <c r="B1653" s="75" t="s">
        <v>1004</v>
      </c>
      <c r="C1653" s="75">
        <v>1.83</v>
      </c>
      <c r="D1653" s="75">
        <v>0.0</v>
      </c>
      <c r="E1653" s="75">
        <v>0.0</v>
      </c>
      <c r="F1653" s="75" t="s">
        <v>998</v>
      </c>
      <c r="G1653" s="82">
        <v>46111.0</v>
      </c>
      <c r="H1653" s="76" t="s">
        <v>962</v>
      </c>
      <c r="I1653" s="83"/>
      <c r="J1653" s="83"/>
      <c r="K1653" s="83"/>
      <c r="L1653" s="83"/>
      <c r="M1653" s="83"/>
      <c r="N1653" s="83"/>
      <c r="O1653" s="83"/>
      <c r="P1653" s="83"/>
      <c r="Q1653" s="83"/>
      <c r="R1653" s="83"/>
      <c r="S1653" s="83"/>
      <c r="T1653" s="83"/>
      <c r="U1653" s="83"/>
      <c r="V1653" s="83"/>
      <c r="W1653" s="83"/>
      <c r="X1653" s="83"/>
      <c r="Y1653" s="83"/>
      <c r="Z1653" s="83"/>
    </row>
    <row r="1654">
      <c r="A1654" s="75" t="s">
        <v>43</v>
      </c>
      <c r="B1654" s="75" t="s">
        <v>1004</v>
      </c>
      <c r="C1654" s="75">
        <v>0.55</v>
      </c>
      <c r="D1654" s="75">
        <v>0.0</v>
      </c>
      <c r="E1654" s="75">
        <v>0.0</v>
      </c>
      <c r="F1654" s="75" t="s">
        <v>998</v>
      </c>
      <c r="G1654" s="82">
        <v>46111.0</v>
      </c>
      <c r="H1654" s="76" t="s">
        <v>963</v>
      </c>
      <c r="I1654" s="83"/>
      <c r="J1654" s="83"/>
      <c r="K1654" s="83"/>
      <c r="L1654" s="83"/>
      <c r="M1654" s="83"/>
      <c r="N1654" s="83"/>
      <c r="O1654" s="83"/>
      <c r="P1654" s="83"/>
      <c r="Q1654" s="83"/>
      <c r="R1654" s="83"/>
      <c r="S1654" s="83"/>
      <c r="T1654" s="83"/>
      <c r="U1654" s="83"/>
      <c r="V1654" s="83"/>
      <c r="W1654" s="83"/>
      <c r="X1654" s="83"/>
      <c r="Y1654" s="83"/>
      <c r="Z1654" s="83"/>
    </row>
    <row r="1655">
      <c r="A1655" s="75" t="s">
        <v>43</v>
      </c>
      <c r="B1655" s="75" t="s">
        <v>1004</v>
      </c>
      <c r="C1655" s="75">
        <v>0.03</v>
      </c>
      <c r="D1655" s="75">
        <v>0.0</v>
      </c>
      <c r="E1655" s="75">
        <v>0.0</v>
      </c>
      <c r="F1655" s="75" t="s">
        <v>998</v>
      </c>
      <c r="G1655" s="82">
        <v>46111.0</v>
      </c>
      <c r="H1655" s="76" t="s">
        <v>964</v>
      </c>
      <c r="I1655" s="83"/>
      <c r="J1655" s="83"/>
      <c r="K1655" s="83"/>
      <c r="L1655" s="83"/>
      <c r="M1655" s="83"/>
      <c r="N1655" s="83"/>
      <c r="O1655" s="83"/>
      <c r="P1655" s="83"/>
      <c r="Q1655" s="83"/>
      <c r="R1655" s="83"/>
      <c r="S1655" s="83"/>
      <c r="T1655" s="83"/>
      <c r="U1655" s="83"/>
      <c r="V1655" s="83"/>
      <c r="W1655" s="83"/>
      <c r="X1655" s="83"/>
      <c r="Y1655" s="83"/>
      <c r="Z1655" s="83"/>
    </row>
    <row r="1656">
      <c r="A1656" s="75" t="s">
        <v>43</v>
      </c>
      <c r="B1656" s="75" t="s">
        <v>1004</v>
      </c>
      <c r="C1656" s="75">
        <v>0.07</v>
      </c>
      <c r="D1656" s="75">
        <v>0.0</v>
      </c>
      <c r="E1656" s="75">
        <v>0.0</v>
      </c>
      <c r="F1656" s="75" t="s">
        <v>998</v>
      </c>
      <c r="G1656" s="82">
        <v>46111.0</v>
      </c>
      <c r="H1656" s="76" t="s">
        <v>965</v>
      </c>
      <c r="I1656" s="83"/>
      <c r="J1656" s="83"/>
      <c r="K1656" s="83"/>
      <c r="L1656" s="83"/>
      <c r="M1656" s="83"/>
      <c r="N1656" s="83"/>
      <c r="O1656" s="83"/>
      <c r="P1656" s="83"/>
      <c r="Q1656" s="83"/>
      <c r="R1656" s="83"/>
      <c r="S1656" s="83"/>
      <c r="T1656" s="83"/>
      <c r="U1656" s="83"/>
      <c r="V1656" s="83"/>
      <c r="W1656" s="83"/>
      <c r="X1656" s="83"/>
      <c r="Y1656" s="83"/>
      <c r="Z1656" s="83"/>
    </row>
    <row r="1657">
      <c r="A1657" s="75" t="s">
        <v>966</v>
      </c>
      <c r="B1657" s="75" t="s">
        <v>1004</v>
      </c>
      <c r="C1657" s="75">
        <v>0.01</v>
      </c>
      <c r="D1657" s="75">
        <v>0.0</v>
      </c>
      <c r="E1657" s="75">
        <v>0.0</v>
      </c>
      <c r="F1657" s="75" t="s">
        <v>998</v>
      </c>
      <c r="G1657" s="82">
        <v>46111.0</v>
      </c>
      <c r="H1657" s="76" t="s">
        <v>967</v>
      </c>
      <c r="I1657" s="83"/>
      <c r="J1657" s="83"/>
      <c r="K1657" s="83"/>
      <c r="L1657" s="83"/>
      <c r="M1657" s="83"/>
      <c r="N1657" s="83"/>
      <c r="O1657" s="83"/>
      <c r="P1657" s="83"/>
      <c r="Q1657" s="83"/>
      <c r="R1657" s="83"/>
      <c r="S1657" s="83"/>
      <c r="T1657" s="83"/>
      <c r="U1657" s="83"/>
      <c r="V1657" s="83"/>
      <c r="W1657" s="83"/>
      <c r="X1657" s="83"/>
      <c r="Y1657" s="83"/>
      <c r="Z1657" s="83"/>
    </row>
    <row r="1658">
      <c r="A1658" s="75" t="s">
        <v>966</v>
      </c>
      <c r="B1658" s="75" t="s">
        <v>1004</v>
      </c>
      <c r="C1658" s="75">
        <v>1.34</v>
      </c>
      <c r="D1658" s="75">
        <v>0.0</v>
      </c>
      <c r="E1658" s="75">
        <v>0.0</v>
      </c>
      <c r="F1658" s="75" t="s">
        <v>998</v>
      </c>
      <c r="G1658" s="82">
        <v>46111.0</v>
      </c>
      <c r="H1658" s="76" t="s">
        <v>968</v>
      </c>
      <c r="I1658" s="83"/>
      <c r="J1658" s="83"/>
      <c r="K1658" s="83"/>
      <c r="L1658" s="83"/>
      <c r="M1658" s="83"/>
      <c r="N1658" s="83"/>
      <c r="O1658" s="83"/>
      <c r="P1658" s="83"/>
      <c r="Q1658" s="83"/>
      <c r="R1658" s="83"/>
      <c r="S1658" s="83"/>
      <c r="T1658" s="83"/>
      <c r="U1658" s="83"/>
      <c r="V1658" s="83"/>
      <c r="W1658" s="83"/>
      <c r="X1658" s="83"/>
      <c r="Y1658" s="83"/>
      <c r="Z1658" s="83"/>
    </row>
    <row r="1659">
      <c r="A1659" s="75" t="s">
        <v>966</v>
      </c>
      <c r="B1659" s="75" t="s">
        <v>1004</v>
      </c>
      <c r="C1659" s="75">
        <v>0.06</v>
      </c>
      <c r="D1659" s="75">
        <v>0.0</v>
      </c>
      <c r="E1659" s="75">
        <v>0.0</v>
      </c>
      <c r="F1659" s="75" t="s">
        <v>998</v>
      </c>
      <c r="G1659" s="82">
        <v>46111.0</v>
      </c>
      <c r="H1659" s="76" t="s">
        <v>969</v>
      </c>
      <c r="I1659" s="83"/>
      <c r="J1659" s="83"/>
      <c r="K1659" s="83"/>
      <c r="L1659" s="83"/>
      <c r="M1659" s="83"/>
      <c r="N1659" s="83"/>
      <c r="O1659" s="83"/>
      <c r="P1659" s="83"/>
      <c r="Q1659" s="83"/>
      <c r="R1659" s="83"/>
      <c r="S1659" s="83"/>
      <c r="T1659" s="83"/>
      <c r="U1659" s="83"/>
      <c r="V1659" s="83"/>
      <c r="W1659" s="83"/>
      <c r="X1659" s="83"/>
      <c r="Y1659" s="83"/>
      <c r="Z1659" s="83"/>
    </row>
    <row r="1660">
      <c r="A1660" s="75" t="s">
        <v>36</v>
      </c>
      <c r="B1660" s="75" t="s">
        <v>1004</v>
      </c>
      <c r="C1660" s="75">
        <v>0.07</v>
      </c>
      <c r="D1660" s="75">
        <v>0.0</v>
      </c>
      <c r="E1660" s="75">
        <v>0.0</v>
      </c>
      <c r="F1660" s="75" t="s">
        <v>998</v>
      </c>
      <c r="G1660" s="82">
        <v>46111.0</v>
      </c>
      <c r="H1660" s="76" t="s">
        <v>926</v>
      </c>
      <c r="I1660" s="83"/>
      <c r="J1660" s="83"/>
      <c r="K1660" s="83"/>
      <c r="L1660" s="83"/>
      <c r="M1660" s="83"/>
      <c r="N1660" s="83"/>
      <c r="O1660" s="83"/>
      <c r="P1660" s="83"/>
      <c r="Q1660" s="83"/>
      <c r="R1660" s="83"/>
      <c r="S1660" s="83"/>
      <c r="T1660" s="83"/>
      <c r="U1660" s="83"/>
      <c r="V1660" s="83"/>
      <c r="W1660" s="83"/>
      <c r="X1660" s="83"/>
      <c r="Y1660" s="83"/>
      <c r="Z1660" s="83"/>
    </row>
    <row r="1661">
      <c r="A1661" s="75" t="s">
        <v>36</v>
      </c>
      <c r="B1661" s="75" t="s">
        <v>1004</v>
      </c>
      <c r="C1661" s="75">
        <v>0.11</v>
      </c>
      <c r="D1661" s="75">
        <v>0.0</v>
      </c>
      <c r="E1661" s="75">
        <v>0.0</v>
      </c>
      <c r="F1661" s="75" t="s">
        <v>998</v>
      </c>
      <c r="G1661" s="82">
        <v>46111.0</v>
      </c>
      <c r="H1661" s="76" t="s">
        <v>927</v>
      </c>
      <c r="I1661" s="83"/>
      <c r="J1661" s="83"/>
      <c r="K1661" s="83"/>
      <c r="L1661" s="83"/>
      <c r="M1661" s="83"/>
      <c r="N1661" s="83"/>
      <c r="O1661" s="83"/>
      <c r="P1661" s="83"/>
      <c r="Q1661" s="83"/>
      <c r="R1661" s="83"/>
      <c r="S1661" s="83"/>
      <c r="T1661" s="83"/>
      <c r="U1661" s="83"/>
      <c r="V1661" s="83"/>
      <c r="W1661" s="83"/>
      <c r="X1661" s="83"/>
      <c r="Y1661" s="83"/>
      <c r="Z1661" s="83"/>
    </row>
    <row r="1662">
      <c r="A1662" s="75" t="s">
        <v>36</v>
      </c>
      <c r="B1662" s="75" t="s">
        <v>1004</v>
      </c>
      <c r="C1662" s="75">
        <v>1.39</v>
      </c>
      <c r="D1662" s="75">
        <v>0.0</v>
      </c>
      <c r="E1662" s="75">
        <v>0.0</v>
      </c>
      <c r="F1662" s="75" t="s">
        <v>998</v>
      </c>
      <c r="G1662" s="82">
        <v>46111.0</v>
      </c>
      <c r="H1662" s="76" t="s">
        <v>928</v>
      </c>
      <c r="I1662" s="83"/>
      <c r="J1662" s="83"/>
      <c r="K1662" s="83"/>
      <c r="L1662" s="83"/>
      <c r="M1662" s="83"/>
      <c r="N1662" s="83"/>
      <c r="O1662" s="83"/>
      <c r="P1662" s="83"/>
      <c r="Q1662" s="83"/>
      <c r="R1662" s="83"/>
      <c r="S1662" s="83"/>
      <c r="T1662" s="83"/>
      <c r="U1662" s="83"/>
      <c r="V1662" s="83"/>
      <c r="W1662" s="83"/>
      <c r="X1662" s="83"/>
      <c r="Y1662" s="83"/>
      <c r="Z1662" s="83"/>
    </row>
    <row r="1663">
      <c r="A1663" s="75" t="s">
        <v>970</v>
      </c>
      <c r="B1663" s="75" t="s">
        <v>1004</v>
      </c>
      <c r="C1663" s="75">
        <v>0.07</v>
      </c>
      <c r="D1663" s="75">
        <v>0.0</v>
      </c>
      <c r="E1663" s="75">
        <v>0.0</v>
      </c>
      <c r="F1663" s="75" t="s">
        <v>998</v>
      </c>
      <c r="G1663" s="82">
        <v>46111.0</v>
      </c>
      <c r="H1663" s="76" t="s">
        <v>971</v>
      </c>
      <c r="I1663" s="83"/>
      <c r="J1663" s="83"/>
      <c r="K1663" s="83"/>
      <c r="L1663" s="83"/>
      <c r="M1663" s="83"/>
      <c r="N1663" s="83"/>
      <c r="O1663" s="83"/>
      <c r="P1663" s="83"/>
      <c r="Q1663" s="83"/>
      <c r="R1663" s="83"/>
      <c r="S1663" s="83"/>
      <c r="T1663" s="83"/>
      <c r="U1663" s="83"/>
      <c r="V1663" s="83"/>
      <c r="W1663" s="83"/>
      <c r="X1663" s="83"/>
      <c r="Y1663" s="83"/>
      <c r="Z1663" s="83"/>
    </row>
    <row r="1664">
      <c r="A1664" s="75" t="s">
        <v>970</v>
      </c>
      <c r="B1664" s="75" t="s">
        <v>1004</v>
      </c>
      <c r="C1664" s="75">
        <v>1.79</v>
      </c>
      <c r="D1664" s="75">
        <v>0.0</v>
      </c>
      <c r="E1664" s="75">
        <v>0.0</v>
      </c>
      <c r="F1664" s="75" t="s">
        <v>998</v>
      </c>
      <c r="G1664" s="82">
        <v>46111.0</v>
      </c>
      <c r="H1664" s="76" t="s">
        <v>972</v>
      </c>
      <c r="I1664" s="83"/>
      <c r="J1664" s="83"/>
      <c r="K1664" s="83"/>
      <c r="L1664" s="83"/>
      <c r="M1664" s="83"/>
      <c r="N1664" s="83"/>
      <c r="O1664" s="83"/>
      <c r="P1664" s="83"/>
      <c r="Q1664" s="83"/>
      <c r="R1664" s="83"/>
      <c r="S1664" s="83"/>
      <c r="T1664" s="83"/>
      <c r="U1664" s="83"/>
      <c r="V1664" s="83"/>
      <c r="W1664" s="83"/>
      <c r="X1664" s="83"/>
      <c r="Y1664" s="83"/>
      <c r="Z1664" s="83"/>
    </row>
    <row r="1665">
      <c r="A1665" s="75" t="s">
        <v>970</v>
      </c>
      <c r="B1665" s="75" t="s">
        <v>1004</v>
      </c>
      <c r="C1665" s="75">
        <v>0.16</v>
      </c>
      <c r="D1665" s="75">
        <v>0.0</v>
      </c>
      <c r="E1665" s="75">
        <v>0.0</v>
      </c>
      <c r="F1665" s="75" t="s">
        <v>998</v>
      </c>
      <c r="G1665" s="82">
        <v>46111.0</v>
      </c>
      <c r="H1665" s="76" t="s">
        <v>973</v>
      </c>
      <c r="I1665" s="83"/>
      <c r="J1665" s="83"/>
      <c r="K1665" s="83"/>
      <c r="L1665" s="83"/>
      <c r="M1665" s="83"/>
      <c r="N1665" s="83"/>
      <c r="O1665" s="83"/>
      <c r="P1665" s="83"/>
      <c r="Q1665" s="83"/>
      <c r="R1665" s="83"/>
      <c r="S1665" s="83"/>
      <c r="T1665" s="83"/>
      <c r="U1665" s="83"/>
      <c r="V1665" s="83"/>
      <c r="W1665" s="83"/>
      <c r="X1665" s="83"/>
      <c r="Y1665" s="83"/>
      <c r="Z1665" s="83"/>
    </row>
    <row r="1666">
      <c r="A1666" s="75" t="s">
        <v>29</v>
      </c>
      <c r="B1666" s="75" t="s">
        <v>1004</v>
      </c>
      <c r="C1666" s="75">
        <v>0.01</v>
      </c>
      <c r="D1666" s="75">
        <v>0.0</v>
      </c>
      <c r="E1666" s="75">
        <v>0.0</v>
      </c>
      <c r="F1666" s="75" t="s">
        <v>998</v>
      </c>
      <c r="G1666" s="82">
        <v>46111.0</v>
      </c>
      <c r="H1666" s="76" t="s">
        <v>971</v>
      </c>
      <c r="I1666" s="83"/>
      <c r="J1666" s="83"/>
      <c r="K1666" s="83"/>
      <c r="L1666" s="83"/>
      <c r="M1666" s="83"/>
      <c r="N1666" s="83"/>
      <c r="O1666" s="83"/>
      <c r="P1666" s="83"/>
      <c r="Q1666" s="83"/>
      <c r="R1666" s="83"/>
      <c r="S1666" s="83"/>
      <c r="T1666" s="83"/>
      <c r="U1666" s="83"/>
      <c r="V1666" s="83"/>
      <c r="W1666" s="83"/>
      <c r="X1666" s="83"/>
      <c r="Y1666" s="83"/>
      <c r="Z1666" s="83"/>
    </row>
    <row r="1667">
      <c r="A1667" s="75" t="s">
        <v>29</v>
      </c>
      <c r="B1667" s="75" t="s">
        <v>1004</v>
      </c>
      <c r="C1667" s="75">
        <v>0.01</v>
      </c>
      <c r="D1667" s="75">
        <v>0.0</v>
      </c>
      <c r="E1667" s="75">
        <v>0.0</v>
      </c>
      <c r="F1667" s="75" t="s">
        <v>998</v>
      </c>
      <c r="G1667" s="82">
        <v>46111.0</v>
      </c>
      <c r="H1667" s="76" t="s">
        <v>972</v>
      </c>
      <c r="I1667" s="83"/>
      <c r="J1667" s="83"/>
      <c r="K1667" s="83"/>
      <c r="L1667" s="83"/>
      <c r="M1667" s="83"/>
      <c r="N1667" s="83"/>
      <c r="O1667" s="83"/>
      <c r="P1667" s="83"/>
      <c r="Q1667" s="83"/>
      <c r="R1667" s="83"/>
      <c r="S1667" s="83"/>
      <c r="T1667" s="83"/>
      <c r="U1667" s="83"/>
      <c r="V1667" s="83"/>
      <c r="W1667" s="83"/>
      <c r="X1667" s="83"/>
      <c r="Y1667" s="83"/>
      <c r="Z1667" s="83"/>
    </row>
    <row r="1668">
      <c r="A1668" s="75" t="s">
        <v>29</v>
      </c>
      <c r="B1668" s="75" t="s">
        <v>1004</v>
      </c>
      <c r="C1668" s="75">
        <v>0.01</v>
      </c>
      <c r="D1668" s="75">
        <v>0.0</v>
      </c>
      <c r="E1668" s="75">
        <v>0.0</v>
      </c>
      <c r="F1668" s="75" t="s">
        <v>998</v>
      </c>
      <c r="G1668" s="82">
        <v>46111.0</v>
      </c>
      <c r="H1668" s="76" t="s">
        <v>973</v>
      </c>
      <c r="I1668" s="83"/>
      <c r="J1668" s="83"/>
      <c r="K1668" s="83"/>
      <c r="L1668" s="83"/>
      <c r="M1668" s="83"/>
      <c r="N1668" s="83"/>
      <c r="O1668" s="83"/>
      <c r="P1668" s="83"/>
      <c r="Q1668" s="83"/>
      <c r="R1668" s="83"/>
      <c r="S1668" s="83"/>
      <c r="T1668" s="83"/>
      <c r="U1668" s="83"/>
      <c r="V1668" s="83"/>
      <c r="W1668" s="83"/>
      <c r="X1668" s="83"/>
      <c r="Y1668" s="83"/>
      <c r="Z1668" s="83"/>
    </row>
    <row r="1669">
      <c r="A1669" s="75" t="s">
        <v>36</v>
      </c>
      <c r="B1669" s="75" t="s">
        <v>1006</v>
      </c>
      <c r="C1669" s="75">
        <v>10.57</v>
      </c>
      <c r="D1669" s="75">
        <v>0.0</v>
      </c>
      <c r="E1669" s="75">
        <v>0.0</v>
      </c>
      <c r="F1669" s="75" t="s">
        <v>990</v>
      </c>
      <c r="G1669" s="82">
        <v>46111.0</v>
      </c>
      <c r="H1669" s="76" t="s">
        <v>926</v>
      </c>
      <c r="I1669" s="83"/>
      <c r="J1669" s="83"/>
      <c r="K1669" s="83"/>
      <c r="L1669" s="83"/>
      <c r="M1669" s="83"/>
      <c r="N1669" s="83"/>
      <c r="O1669" s="83"/>
      <c r="P1669" s="83"/>
      <c r="Q1669" s="83"/>
      <c r="R1669" s="83"/>
      <c r="S1669" s="83"/>
      <c r="T1669" s="83"/>
      <c r="U1669" s="83"/>
      <c r="V1669" s="83"/>
      <c r="W1669" s="83"/>
      <c r="X1669" s="83"/>
      <c r="Y1669" s="83"/>
      <c r="Z1669" s="83"/>
    </row>
    <row r="1670">
      <c r="A1670" s="75" t="s">
        <v>36</v>
      </c>
      <c r="B1670" s="75" t="s">
        <v>1006</v>
      </c>
      <c r="C1670" s="75">
        <v>2.13</v>
      </c>
      <c r="D1670" s="75">
        <v>1.0</v>
      </c>
      <c r="E1670" s="75">
        <v>2.13</v>
      </c>
      <c r="F1670" s="75" t="s">
        <v>990</v>
      </c>
      <c r="G1670" s="82">
        <v>46111.0</v>
      </c>
      <c r="H1670" s="76" t="s">
        <v>927</v>
      </c>
      <c r="I1670" s="83"/>
      <c r="J1670" s="83"/>
      <c r="K1670" s="83"/>
      <c r="L1670" s="83"/>
      <c r="M1670" s="83"/>
      <c r="N1670" s="83"/>
      <c r="O1670" s="83"/>
      <c r="P1670" s="83"/>
      <c r="Q1670" s="83"/>
      <c r="R1670" s="83"/>
      <c r="S1670" s="83"/>
      <c r="T1670" s="83"/>
      <c r="U1670" s="83"/>
      <c r="V1670" s="83"/>
      <c r="W1670" s="83"/>
      <c r="X1670" s="83"/>
      <c r="Y1670" s="83"/>
      <c r="Z1670" s="83"/>
    </row>
    <row r="1671">
      <c r="A1671" s="75" t="s">
        <v>36</v>
      </c>
      <c r="B1671" s="75" t="s">
        <v>1006</v>
      </c>
      <c r="C1671" s="75">
        <v>2.33</v>
      </c>
      <c r="D1671" s="75">
        <v>0.0</v>
      </c>
      <c r="E1671" s="75">
        <v>0.0</v>
      </c>
      <c r="F1671" s="75" t="s">
        <v>990</v>
      </c>
      <c r="G1671" s="82">
        <v>46111.0</v>
      </c>
      <c r="H1671" s="76" t="s">
        <v>928</v>
      </c>
      <c r="I1671" s="83"/>
      <c r="J1671" s="83"/>
      <c r="K1671" s="83"/>
      <c r="L1671" s="83"/>
      <c r="M1671" s="83"/>
      <c r="N1671" s="83"/>
      <c r="O1671" s="83"/>
      <c r="P1671" s="83"/>
      <c r="Q1671" s="83"/>
      <c r="R1671" s="83"/>
      <c r="S1671" s="83"/>
      <c r="T1671" s="83"/>
      <c r="U1671" s="83"/>
      <c r="V1671" s="83"/>
      <c r="W1671" s="83"/>
      <c r="X1671" s="83"/>
      <c r="Y1671" s="83"/>
      <c r="Z1671" s="83"/>
    </row>
    <row r="1672">
      <c r="A1672" s="75" t="s">
        <v>31</v>
      </c>
      <c r="B1672" s="75" t="s">
        <v>1006</v>
      </c>
      <c r="C1672" s="75">
        <v>31.76</v>
      </c>
      <c r="D1672" s="75">
        <v>15.0</v>
      </c>
      <c r="E1672" s="75">
        <v>2.12</v>
      </c>
      <c r="F1672" s="75" t="s">
        <v>990</v>
      </c>
      <c r="G1672" s="82">
        <v>46111.0</v>
      </c>
      <c r="H1672" s="76" t="s">
        <v>929</v>
      </c>
      <c r="I1672" s="83"/>
      <c r="J1672" s="83"/>
      <c r="K1672" s="83"/>
      <c r="L1672" s="83"/>
      <c r="M1672" s="83"/>
      <c r="N1672" s="83"/>
      <c r="O1672" s="83"/>
      <c r="P1672" s="83"/>
      <c r="Q1672" s="83"/>
      <c r="R1672" s="83"/>
      <c r="S1672" s="83"/>
      <c r="T1672" s="83"/>
      <c r="U1672" s="83"/>
      <c r="V1672" s="83"/>
      <c r="W1672" s="83"/>
      <c r="X1672" s="83"/>
      <c r="Y1672" s="83"/>
      <c r="Z1672" s="83"/>
    </row>
    <row r="1673">
      <c r="A1673" s="75" t="s">
        <v>31</v>
      </c>
      <c r="B1673" s="75" t="s">
        <v>1006</v>
      </c>
      <c r="C1673" s="75">
        <v>70.89</v>
      </c>
      <c r="D1673" s="75">
        <v>36.0</v>
      </c>
      <c r="E1673" s="75">
        <v>1.97</v>
      </c>
      <c r="F1673" s="75" t="s">
        <v>990</v>
      </c>
      <c r="G1673" s="82">
        <v>46111.0</v>
      </c>
      <c r="H1673" s="76" t="s">
        <v>930</v>
      </c>
      <c r="I1673" s="83"/>
      <c r="J1673" s="83"/>
      <c r="K1673" s="83"/>
      <c r="L1673" s="83"/>
      <c r="M1673" s="83"/>
      <c r="N1673" s="83"/>
      <c r="O1673" s="83"/>
      <c r="P1673" s="83"/>
      <c r="Q1673" s="83"/>
      <c r="R1673" s="83"/>
      <c r="S1673" s="83"/>
      <c r="T1673" s="83"/>
      <c r="U1673" s="83"/>
      <c r="V1673" s="83"/>
      <c r="W1673" s="83"/>
      <c r="X1673" s="83"/>
      <c r="Y1673" s="83"/>
      <c r="Z1673" s="83"/>
    </row>
    <row r="1674">
      <c r="A1674" s="75" t="s">
        <v>28</v>
      </c>
      <c r="B1674" s="75" t="s">
        <v>1006</v>
      </c>
      <c r="C1674" s="75">
        <v>3.41</v>
      </c>
      <c r="D1674" s="75">
        <v>0.0</v>
      </c>
      <c r="E1674" s="75">
        <v>0.0</v>
      </c>
      <c r="F1674" s="75" t="s">
        <v>990</v>
      </c>
      <c r="G1674" s="82">
        <v>46111.0</v>
      </c>
      <c r="H1674" s="76" t="s">
        <v>931</v>
      </c>
      <c r="I1674" s="83"/>
      <c r="J1674" s="83"/>
      <c r="K1674" s="83"/>
      <c r="L1674" s="83"/>
      <c r="M1674" s="83"/>
      <c r="N1674" s="83"/>
      <c r="O1674" s="83"/>
      <c r="P1674" s="83"/>
      <c r="Q1674" s="83"/>
      <c r="R1674" s="83"/>
      <c r="S1674" s="83"/>
      <c r="T1674" s="83"/>
      <c r="U1674" s="83"/>
      <c r="V1674" s="83"/>
      <c r="W1674" s="83"/>
      <c r="X1674" s="83"/>
      <c r="Y1674" s="83"/>
      <c r="Z1674" s="83"/>
    </row>
    <row r="1675">
      <c r="A1675" s="75" t="s">
        <v>28</v>
      </c>
      <c r="B1675" s="75" t="s">
        <v>1006</v>
      </c>
      <c r="C1675" s="75">
        <v>1.59</v>
      </c>
      <c r="D1675" s="75">
        <v>1.0</v>
      </c>
      <c r="E1675" s="75">
        <v>1.59</v>
      </c>
      <c r="F1675" s="75" t="s">
        <v>990</v>
      </c>
      <c r="G1675" s="82">
        <v>46111.0</v>
      </c>
      <c r="H1675" s="76" t="s">
        <v>932</v>
      </c>
      <c r="I1675" s="83"/>
      <c r="J1675" s="83"/>
      <c r="K1675" s="83"/>
      <c r="L1675" s="83"/>
      <c r="M1675" s="83"/>
      <c r="N1675" s="83"/>
      <c r="O1675" s="83"/>
      <c r="P1675" s="83"/>
      <c r="Q1675" s="83"/>
      <c r="R1675" s="83"/>
      <c r="S1675" s="83"/>
      <c r="T1675" s="83"/>
      <c r="U1675" s="83"/>
      <c r="V1675" s="83"/>
      <c r="W1675" s="83"/>
      <c r="X1675" s="83"/>
      <c r="Y1675" s="83"/>
      <c r="Z1675" s="83"/>
    </row>
    <row r="1676">
      <c r="A1676" s="75" t="s">
        <v>28</v>
      </c>
      <c r="B1676" s="75" t="s">
        <v>1006</v>
      </c>
      <c r="C1676" s="75">
        <v>17.27</v>
      </c>
      <c r="D1676" s="75">
        <v>0.0</v>
      </c>
      <c r="E1676" s="75">
        <v>0.0</v>
      </c>
      <c r="F1676" s="75" t="s">
        <v>990</v>
      </c>
      <c r="G1676" s="82">
        <v>46111.0</v>
      </c>
      <c r="H1676" s="76" t="s">
        <v>933</v>
      </c>
      <c r="I1676" s="83"/>
      <c r="J1676" s="83"/>
      <c r="K1676" s="83"/>
      <c r="L1676" s="83"/>
      <c r="M1676" s="83"/>
      <c r="N1676" s="83"/>
      <c r="O1676" s="83"/>
      <c r="P1676" s="83"/>
      <c r="Q1676" s="83"/>
      <c r="R1676" s="83"/>
      <c r="S1676" s="83"/>
      <c r="T1676" s="83"/>
      <c r="U1676" s="83"/>
      <c r="V1676" s="83"/>
      <c r="W1676" s="83"/>
      <c r="X1676" s="83"/>
      <c r="Y1676" s="83"/>
      <c r="Z1676" s="83"/>
    </row>
    <row r="1677">
      <c r="A1677" s="75" t="s">
        <v>42</v>
      </c>
      <c r="B1677" s="75" t="s">
        <v>1006</v>
      </c>
      <c r="C1677" s="75">
        <v>1.23</v>
      </c>
      <c r="D1677" s="75">
        <v>0.0</v>
      </c>
      <c r="E1677" s="75">
        <v>0.0</v>
      </c>
      <c r="F1677" s="75" t="s">
        <v>990</v>
      </c>
      <c r="G1677" s="82">
        <v>46111.0</v>
      </c>
      <c r="H1677" s="76" t="s">
        <v>934</v>
      </c>
      <c r="I1677" s="83"/>
      <c r="J1677" s="83"/>
      <c r="K1677" s="83"/>
      <c r="L1677" s="83"/>
      <c r="M1677" s="83"/>
      <c r="N1677" s="83"/>
      <c r="O1677" s="83"/>
      <c r="P1677" s="83"/>
      <c r="Q1677" s="83"/>
      <c r="R1677" s="83"/>
      <c r="S1677" s="83"/>
      <c r="T1677" s="83"/>
      <c r="U1677" s="83"/>
      <c r="V1677" s="83"/>
      <c r="W1677" s="83"/>
      <c r="X1677" s="83"/>
      <c r="Y1677" s="83"/>
      <c r="Z1677" s="83"/>
    </row>
    <row r="1678">
      <c r="A1678" s="75" t="s">
        <v>42</v>
      </c>
      <c r="B1678" s="75" t="s">
        <v>1006</v>
      </c>
      <c r="C1678" s="75">
        <v>0.55</v>
      </c>
      <c r="D1678" s="75">
        <v>0.0</v>
      </c>
      <c r="E1678" s="75">
        <v>0.0</v>
      </c>
      <c r="F1678" s="75" t="s">
        <v>990</v>
      </c>
      <c r="G1678" s="82">
        <v>46111.0</v>
      </c>
      <c r="H1678" s="76" t="s">
        <v>991</v>
      </c>
      <c r="I1678" s="83"/>
      <c r="J1678" s="83"/>
      <c r="K1678" s="83"/>
      <c r="L1678" s="83"/>
      <c r="M1678" s="83"/>
      <c r="N1678" s="83"/>
      <c r="O1678" s="83"/>
      <c r="P1678" s="83"/>
      <c r="Q1678" s="83"/>
      <c r="R1678" s="83"/>
      <c r="S1678" s="83"/>
      <c r="T1678" s="83"/>
      <c r="U1678" s="83"/>
      <c r="V1678" s="83"/>
      <c r="W1678" s="83"/>
      <c r="X1678" s="83"/>
      <c r="Y1678" s="83"/>
      <c r="Z1678" s="83"/>
    </row>
    <row r="1679">
      <c r="A1679" s="75" t="s">
        <v>42</v>
      </c>
      <c r="B1679" s="75" t="s">
        <v>1006</v>
      </c>
      <c r="C1679" s="75">
        <v>7.52</v>
      </c>
      <c r="D1679" s="75">
        <v>0.0</v>
      </c>
      <c r="E1679" s="75">
        <v>0.0</v>
      </c>
      <c r="F1679" s="75" t="s">
        <v>990</v>
      </c>
      <c r="G1679" s="82">
        <v>46111.0</v>
      </c>
      <c r="H1679" s="76" t="s">
        <v>935</v>
      </c>
      <c r="I1679" s="83"/>
      <c r="J1679" s="83"/>
      <c r="K1679" s="83"/>
      <c r="L1679" s="83"/>
      <c r="M1679" s="83"/>
      <c r="N1679" s="83"/>
      <c r="O1679" s="83"/>
      <c r="P1679" s="83"/>
      <c r="Q1679" s="83"/>
      <c r="R1679" s="83"/>
      <c r="S1679" s="83"/>
      <c r="T1679" s="83"/>
      <c r="U1679" s="83"/>
      <c r="V1679" s="83"/>
      <c r="W1679" s="83"/>
      <c r="X1679" s="83"/>
      <c r="Y1679" s="83"/>
      <c r="Z1679" s="83"/>
    </row>
    <row r="1680">
      <c r="A1680" s="75" t="s">
        <v>45</v>
      </c>
      <c r="B1680" s="75" t="s">
        <v>1006</v>
      </c>
      <c r="C1680" s="75">
        <v>2.78</v>
      </c>
      <c r="D1680" s="75">
        <v>0.0</v>
      </c>
      <c r="E1680" s="75">
        <v>0.0</v>
      </c>
      <c r="F1680" s="75" t="s">
        <v>990</v>
      </c>
      <c r="G1680" s="82">
        <v>46111.0</v>
      </c>
      <c r="H1680" s="76" t="s">
        <v>936</v>
      </c>
      <c r="I1680" s="83"/>
      <c r="J1680" s="83"/>
      <c r="K1680" s="83"/>
      <c r="L1680" s="83"/>
      <c r="M1680" s="83"/>
      <c r="N1680" s="83"/>
      <c r="O1680" s="83"/>
      <c r="P1680" s="83"/>
      <c r="Q1680" s="83"/>
      <c r="R1680" s="83"/>
      <c r="S1680" s="83"/>
      <c r="T1680" s="83"/>
      <c r="U1680" s="83"/>
      <c r="V1680" s="83"/>
      <c r="W1680" s="83"/>
      <c r="X1680" s="83"/>
      <c r="Y1680" s="83"/>
      <c r="Z1680" s="83"/>
    </row>
    <row r="1681">
      <c r="A1681" s="75" t="s">
        <v>45</v>
      </c>
      <c r="B1681" s="75" t="s">
        <v>1006</v>
      </c>
      <c r="C1681" s="75">
        <v>19.52</v>
      </c>
      <c r="D1681" s="75">
        <v>0.0</v>
      </c>
      <c r="E1681" s="75">
        <v>0.0</v>
      </c>
      <c r="F1681" s="75" t="s">
        <v>990</v>
      </c>
      <c r="G1681" s="82">
        <v>46111.0</v>
      </c>
      <c r="H1681" s="76" t="s">
        <v>937</v>
      </c>
      <c r="I1681" s="83"/>
      <c r="J1681" s="83"/>
      <c r="K1681" s="83"/>
      <c r="L1681" s="83"/>
      <c r="M1681" s="83"/>
      <c r="N1681" s="83"/>
      <c r="O1681" s="83"/>
      <c r="P1681" s="83"/>
      <c r="Q1681" s="83"/>
      <c r="R1681" s="83"/>
      <c r="S1681" s="83"/>
      <c r="T1681" s="83"/>
      <c r="U1681" s="83"/>
      <c r="V1681" s="83"/>
      <c r="W1681" s="83"/>
      <c r="X1681" s="83"/>
      <c r="Y1681" s="83"/>
      <c r="Z1681" s="83"/>
    </row>
    <row r="1682">
      <c r="A1682" s="75" t="s">
        <v>45</v>
      </c>
      <c r="B1682" s="75" t="s">
        <v>1006</v>
      </c>
      <c r="C1682" s="75">
        <v>3.88</v>
      </c>
      <c r="D1682" s="75">
        <v>0.0</v>
      </c>
      <c r="E1682" s="75">
        <v>0.0</v>
      </c>
      <c r="F1682" s="75" t="s">
        <v>990</v>
      </c>
      <c r="G1682" s="82">
        <v>46111.0</v>
      </c>
      <c r="H1682" s="76" t="s">
        <v>938</v>
      </c>
      <c r="I1682" s="83"/>
      <c r="J1682" s="83"/>
      <c r="K1682" s="83"/>
      <c r="L1682" s="83"/>
      <c r="M1682" s="83"/>
      <c r="N1682" s="83"/>
      <c r="O1682" s="83"/>
      <c r="P1682" s="83"/>
      <c r="Q1682" s="83"/>
      <c r="R1682" s="83"/>
      <c r="S1682" s="83"/>
      <c r="T1682" s="83"/>
      <c r="U1682" s="83"/>
      <c r="V1682" s="83"/>
      <c r="W1682" s="83"/>
      <c r="X1682" s="83"/>
      <c r="Y1682" s="83"/>
      <c r="Z1682" s="83"/>
    </row>
    <row r="1683">
      <c r="A1683" s="75" t="s">
        <v>50</v>
      </c>
      <c r="B1683" s="75" t="s">
        <v>1006</v>
      </c>
      <c r="C1683" s="75">
        <v>4.5</v>
      </c>
      <c r="D1683" s="75">
        <v>1.0</v>
      </c>
      <c r="E1683" s="75">
        <v>4.5</v>
      </c>
      <c r="F1683" s="75" t="s">
        <v>990</v>
      </c>
      <c r="G1683" s="82">
        <v>46111.0</v>
      </c>
      <c r="H1683" s="76" t="s">
        <v>939</v>
      </c>
      <c r="I1683" s="83"/>
      <c r="J1683" s="83"/>
      <c r="K1683" s="83"/>
      <c r="L1683" s="83"/>
      <c r="M1683" s="83"/>
      <c r="N1683" s="83"/>
      <c r="O1683" s="83"/>
      <c r="P1683" s="83"/>
      <c r="Q1683" s="83"/>
      <c r="R1683" s="83"/>
      <c r="S1683" s="83"/>
      <c r="T1683" s="83"/>
      <c r="U1683" s="83"/>
      <c r="V1683" s="83"/>
      <c r="W1683" s="83"/>
      <c r="X1683" s="83"/>
      <c r="Y1683" s="83"/>
      <c r="Z1683" s="83"/>
    </row>
    <row r="1684">
      <c r="A1684" s="75" t="s">
        <v>50</v>
      </c>
      <c r="B1684" s="75" t="s">
        <v>1006</v>
      </c>
      <c r="C1684" s="75">
        <v>1.76</v>
      </c>
      <c r="D1684" s="75">
        <v>0.0</v>
      </c>
      <c r="E1684" s="75">
        <v>0.0</v>
      </c>
      <c r="F1684" s="75" t="s">
        <v>990</v>
      </c>
      <c r="G1684" s="82">
        <v>46111.0</v>
      </c>
      <c r="H1684" s="76" t="s">
        <v>940</v>
      </c>
      <c r="I1684" s="83"/>
      <c r="J1684" s="83"/>
      <c r="K1684" s="83"/>
      <c r="L1684" s="83"/>
      <c r="M1684" s="83"/>
      <c r="N1684" s="83"/>
      <c r="O1684" s="83"/>
      <c r="P1684" s="83"/>
      <c r="Q1684" s="83"/>
      <c r="R1684" s="83"/>
      <c r="S1684" s="83"/>
      <c r="T1684" s="83"/>
      <c r="U1684" s="83"/>
      <c r="V1684" s="83"/>
      <c r="W1684" s="83"/>
      <c r="X1684" s="83"/>
      <c r="Y1684" s="83"/>
      <c r="Z1684" s="83"/>
    </row>
    <row r="1685">
      <c r="A1685" s="75" t="s">
        <v>32</v>
      </c>
      <c r="B1685" s="75" t="s">
        <v>1006</v>
      </c>
      <c r="C1685" s="75">
        <v>73.05</v>
      </c>
      <c r="D1685" s="75">
        <v>34.0</v>
      </c>
      <c r="E1685" s="75">
        <v>2.15</v>
      </c>
      <c r="F1685" s="75" t="s">
        <v>990</v>
      </c>
      <c r="G1685" s="82">
        <v>46111.0</v>
      </c>
      <c r="H1685" s="76" t="s">
        <v>941</v>
      </c>
      <c r="I1685" s="83"/>
      <c r="J1685" s="83"/>
      <c r="K1685" s="83"/>
      <c r="L1685" s="83"/>
      <c r="M1685" s="83"/>
      <c r="N1685" s="83"/>
      <c r="O1685" s="83"/>
      <c r="P1685" s="83"/>
      <c r="Q1685" s="83"/>
      <c r="R1685" s="83"/>
      <c r="S1685" s="83"/>
      <c r="T1685" s="83"/>
      <c r="U1685" s="83"/>
      <c r="V1685" s="83"/>
      <c r="W1685" s="83"/>
      <c r="X1685" s="83"/>
      <c r="Y1685" s="83"/>
      <c r="Z1685" s="83"/>
    </row>
    <row r="1686">
      <c r="A1686" s="75" t="s">
        <v>32</v>
      </c>
      <c r="B1686" s="75" t="s">
        <v>1006</v>
      </c>
      <c r="C1686" s="75">
        <v>39.23</v>
      </c>
      <c r="D1686" s="75">
        <v>11.0</v>
      </c>
      <c r="E1686" s="75">
        <v>3.57</v>
      </c>
      <c r="F1686" s="75" t="s">
        <v>990</v>
      </c>
      <c r="G1686" s="82">
        <v>46111.0</v>
      </c>
      <c r="H1686" s="76" t="s">
        <v>942</v>
      </c>
      <c r="I1686" s="83"/>
      <c r="J1686" s="83"/>
      <c r="K1686" s="83"/>
      <c r="L1686" s="83"/>
      <c r="M1686" s="83"/>
      <c r="N1686" s="83"/>
      <c r="O1686" s="83"/>
      <c r="P1686" s="83"/>
      <c r="Q1686" s="83"/>
      <c r="R1686" s="83"/>
      <c r="S1686" s="83"/>
      <c r="T1686" s="83"/>
      <c r="U1686" s="83"/>
      <c r="V1686" s="83"/>
      <c r="W1686" s="83"/>
      <c r="X1686" s="83"/>
      <c r="Y1686" s="83"/>
      <c r="Z1686" s="83"/>
    </row>
    <row r="1687">
      <c r="A1687" s="75" t="s">
        <v>32</v>
      </c>
      <c r="B1687" s="75" t="s">
        <v>1006</v>
      </c>
      <c r="C1687" s="75">
        <v>8.64</v>
      </c>
      <c r="D1687" s="75">
        <v>5.0</v>
      </c>
      <c r="E1687" s="75">
        <v>1.73</v>
      </c>
      <c r="F1687" s="75" t="s">
        <v>990</v>
      </c>
      <c r="G1687" s="82">
        <v>46111.0</v>
      </c>
      <c r="H1687" s="76" t="s">
        <v>943</v>
      </c>
      <c r="I1687" s="83"/>
      <c r="J1687" s="83"/>
      <c r="K1687" s="83"/>
      <c r="L1687" s="83"/>
      <c r="M1687" s="83"/>
      <c r="N1687" s="83"/>
      <c r="O1687" s="83"/>
      <c r="P1687" s="83"/>
      <c r="Q1687" s="83"/>
      <c r="R1687" s="83"/>
      <c r="S1687" s="83"/>
      <c r="T1687" s="83"/>
      <c r="U1687" s="83"/>
      <c r="V1687" s="83"/>
      <c r="W1687" s="83"/>
      <c r="X1687" s="83"/>
      <c r="Y1687" s="83"/>
      <c r="Z1687" s="83"/>
    </row>
    <row r="1688">
      <c r="A1688" s="75" t="s">
        <v>944</v>
      </c>
      <c r="B1688" s="75" t="s">
        <v>1006</v>
      </c>
      <c r="C1688" s="75">
        <v>4.45</v>
      </c>
      <c r="D1688" s="75">
        <v>0.0</v>
      </c>
      <c r="E1688" s="75">
        <v>0.0</v>
      </c>
      <c r="F1688" s="75" t="s">
        <v>990</v>
      </c>
      <c r="G1688" s="82">
        <v>46111.0</v>
      </c>
      <c r="H1688" s="76" t="s">
        <v>945</v>
      </c>
      <c r="I1688" s="83"/>
      <c r="J1688" s="83"/>
      <c r="K1688" s="83"/>
      <c r="L1688" s="83"/>
      <c r="M1688" s="83"/>
      <c r="N1688" s="83"/>
      <c r="O1688" s="83"/>
      <c r="P1688" s="83"/>
      <c r="Q1688" s="83"/>
      <c r="R1688" s="83"/>
      <c r="S1688" s="83"/>
      <c r="T1688" s="83"/>
      <c r="U1688" s="83"/>
      <c r="V1688" s="83"/>
      <c r="W1688" s="83"/>
      <c r="X1688" s="83"/>
      <c r="Y1688" s="83"/>
      <c r="Z1688" s="83"/>
    </row>
    <row r="1689">
      <c r="A1689" s="75" t="s">
        <v>944</v>
      </c>
      <c r="B1689" s="75" t="s">
        <v>1006</v>
      </c>
      <c r="C1689" s="75">
        <v>1.42</v>
      </c>
      <c r="D1689" s="75">
        <v>0.0</v>
      </c>
      <c r="E1689" s="75">
        <v>0.0</v>
      </c>
      <c r="F1689" s="75" t="s">
        <v>990</v>
      </c>
      <c r="G1689" s="82">
        <v>46111.0</v>
      </c>
      <c r="H1689" s="76" t="s">
        <v>946</v>
      </c>
      <c r="I1689" s="83"/>
      <c r="J1689" s="83"/>
      <c r="K1689" s="83"/>
      <c r="L1689" s="83"/>
      <c r="M1689" s="83"/>
      <c r="N1689" s="83"/>
      <c r="O1689" s="83"/>
      <c r="P1689" s="83"/>
      <c r="Q1689" s="83"/>
      <c r="R1689" s="83"/>
      <c r="S1689" s="83"/>
      <c r="T1689" s="83"/>
      <c r="U1689" s="83"/>
      <c r="V1689" s="83"/>
      <c r="W1689" s="83"/>
      <c r="X1689" s="83"/>
      <c r="Y1689" s="83"/>
      <c r="Z1689" s="83"/>
    </row>
    <row r="1690">
      <c r="A1690" s="75" t="s">
        <v>944</v>
      </c>
      <c r="B1690" s="75" t="s">
        <v>1006</v>
      </c>
      <c r="C1690" s="75">
        <v>2.87</v>
      </c>
      <c r="D1690" s="75">
        <v>0.0</v>
      </c>
      <c r="E1690" s="75">
        <v>0.0</v>
      </c>
      <c r="F1690" s="75" t="s">
        <v>990</v>
      </c>
      <c r="G1690" s="82">
        <v>46111.0</v>
      </c>
      <c r="H1690" s="76" t="s">
        <v>947</v>
      </c>
      <c r="I1690" s="83"/>
      <c r="J1690" s="83"/>
      <c r="K1690" s="83"/>
      <c r="L1690" s="83"/>
      <c r="M1690" s="83"/>
      <c r="N1690" s="83"/>
      <c r="O1690" s="83"/>
      <c r="P1690" s="83"/>
      <c r="Q1690" s="83"/>
      <c r="R1690" s="83"/>
      <c r="S1690" s="83"/>
      <c r="T1690" s="83"/>
      <c r="U1690" s="83"/>
      <c r="V1690" s="83"/>
      <c r="W1690" s="83"/>
      <c r="X1690" s="83"/>
      <c r="Y1690" s="83"/>
      <c r="Z1690" s="83"/>
    </row>
    <row r="1691">
      <c r="A1691" s="75" t="s">
        <v>26</v>
      </c>
      <c r="B1691" s="75" t="s">
        <v>1006</v>
      </c>
      <c r="C1691" s="75">
        <v>0.33</v>
      </c>
      <c r="D1691" s="75">
        <v>0.0</v>
      </c>
      <c r="E1691" s="75">
        <v>0.0</v>
      </c>
      <c r="F1691" s="75" t="s">
        <v>990</v>
      </c>
      <c r="G1691" s="82">
        <v>46111.0</v>
      </c>
      <c r="H1691" s="76" t="s">
        <v>1012</v>
      </c>
      <c r="I1691" s="83"/>
      <c r="J1691" s="83"/>
      <c r="K1691" s="83"/>
      <c r="L1691" s="83"/>
      <c r="M1691" s="83"/>
      <c r="N1691" s="83"/>
      <c r="O1691" s="83"/>
      <c r="P1691" s="83"/>
      <c r="Q1691" s="83"/>
      <c r="R1691" s="83"/>
      <c r="S1691" s="83"/>
      <c r="T1691" s="83"/>
      <c r="U1691" s="83"/>
      <c r="V1691" s="83"/>
      <c r="W1691" s="83"/>
      <c r="X1691" s="83"/>
      <c r="Y1691" s="83"/>
      <c r="Z1691" s="83"/>
    </row>
    <row r="1692">
      <c r="A1692" s="75" t="s">
        <v>26</v>
      </c>
      <c r="B1692" s="75" t="s">
        <v>1006</v>
      </c>
      <c r="C1692" s="75">
        <v>0.68</v>
      </c>
      <c r="D1692" s="75">
        <v>0.0</v>
      </c>
      <c r="E1692" s="75">
        <v>0.0</v>
      </c>
      <c r="F1692" s="75" t="s">
        <v>990</v>
      </c>
      <c r="G1692" s="82">
        <v>46111.0</v>
      </c>
      <c r="H1692" s="76" t="s">
        <v>1013</v>
      </c>
      <c r="I1692" s="83"/>
      <c r="J1692" s="83"/>
      <c r="K1692" s="83"/>
      <c r="L1692" s="83"/>
      <c r="M1692" s="83"/>
      <c r="N1692" s="83"/>
      <c r="O1692" s="83"/>
      <c r="P1692" s="83"/>
      <c r="Q1692" s="83"/>
      <c r="R1692" s="83"/>
      <c r="S1692" s="83"/>
      <c r="T1692" s="83"/>
      <c r="U1692" s="83"/>
      <c r="V1692" s="83"/>
      <c r="W1692" s="83"/>
      <c r="X1692" s="83"/>
      <c r="Y1692" s="83"/>
      <c r="Z1692" s="83"/>
    </row>
    <row r="1693">
      <c r="A1693" s="75" t="s">
        <v>26</v>
      </c>
      <c r="B1693" s="75" t="s">
        <v>1006</v>
      </c>
      <c r="C1693" s="75">
        <v>0.51</v>
      </c>
      <c r="D1693" s="75">
        <v>0.0</v>
      </c>
      <c r="E1693" s="75">
        <v>0.0</v>
      </c>
      <c r="F1693" s="75" t="s">
        <v>990</v>
      </c>
      <c r="G1693" s="82">
        <v>46111.0</v>
      </c>
      <c r="H1693" s="76" t="s">
        <v>1014</v>
      </c>
      <c r="I1693" s="83"/>
      <c r="J1693" s="83"/>
      <c r="K1693" s="83"/>
      <c r="L1693" s="83"/>
      <c r="M1693" s="83"/>
      <c r="N1693" s="83"/>
      <c r="O1693" s="83"/>
      <c r="P1693" s="83"/>
      <c r="Q1693" s="83"/>
      <c r="R1693" s="83"/>
      <c r="S1693" s="83"/>
      <c r="T1693" s="83"/>
      <c r="U1693" s="83"/>
      <c r="V1693" s="83"/>
      <c r="W1693" s="83"/>
      <c r="X1693" s="83"/>
      <c r="Y1693" s="83"/>
      <c r="Z1693" s="83"/>
    </row>
    <row r="1694">
      <c r="A1694" s="75" t="s">
        <v>36</v>
      </c>
      <c r="B1694" s="75" t="s">
        <v>1006</v>
      </c>
      <c r="C1694" s="75">
        <v>8.86</v>
      </c>
      <c r="D1694" s="75">
        <v>0.0</v>
      </c>
      <c r="E1694" s="75">
        <v>0.0</v>
      </c>
      <c r="F1694" s="75" t="s">
        <v>993</v>
      </c>
      <c r="G1694" s="82">
        <v>46111.0</v>
      </c>
      <c r="H1694" s="76" t="s">
        <v>926</v>
      </c>
      <c r="I1694" s="83"/>
      <c r="J1694" s="83"/>
      <c r="K1694" s="83"/>
      <c r="L1694" s="83"/>
      <c r="M1694" s="83"/>
      <c r="N1694" s="83"/>
      <c r="O1694" s="83"/>
      <c r="P1694" s="83"/>
      <c r="Q1694" s="83"/>
      <c r="R1694" s="83"/>
      <c r="S1694" s="83"/>
      <c r="T1694" s="83"/>
      <c r="U1694" s="83"/>
      <c r="V1694" s="83"/>
      <c r="W1694" s="83"/>
      <c r="X1694" s="83"/>
      <c r="Y1694" s="83"/>
      <c r="Z1694" s="83"/>
    </row>
    <row r="1695">
      <c r="A1695" s="75" t="s">
        <v>36</v>
      </c>
      <c r="B1695" s="75" t="s">
        <v>1006</v>
      </c>
      <c r="C1695" s="75">
        <v>1.34</v>
      </c>
      <c r="D1695" s="75">
        <v>0.0</v>
      </c>
      <c r="E1695" s="75">
        <v>0.0</v>
      </c>
      <c r="F1695" s="75" t="s">
        <v>993</v>
      </c>
      <c r="G1695" s="82">
        <v>46111.0</v>
      </c>
      <c r="H1695" s="76" t="s">
        <v>927</v>
      </c>
      <c r="I1695" s="83"/>
      <c r="J1695" s="83"/>
      <c r="K1695" s="83"/>
      <c r="L1695" s="83"/>
      <c r="M1695" s="83"/>
      <c r="N1695" s="83"/>
      <c r="O1695" s="83"/>
      <c r="P1695" s="83"/>
      <c r="Q1695" s="83"/>
      <c r="R1695" s="83"/>
      <c r="S1695" s="83"/>
      <c r="T1695" s="83"/>
      <c r="U1695" s="83"/>
      <c r="V1695" s="83"/>
      <c r="W1695" s="83"/>
      <c r="X1695" s="83"/>
      <c r="Y1695" s="83"/>
      <c r="Z1695" s="83"/>
    </row>
    <row r="1696">
      <c r="A1696" s="75" t="s">
        <v>36</v>
      </c>
      <c r="B1696" s="75" t="s">
        <v>1006</v>
      </c>
      <c r="C1696" s="75">
        <v>2.39</v>
      </c>
      <c r="D1696" s="75">
        <v>0.0</v>
      </c>
      <c r="E1696" s="75">
        <v>0.0</v>
      </c>
      <c r="F1696" s="75" t="s">
        <v>993</v>
      </c>
      <c r="G1696" s="82">
        <v>46111.0</v>
      </c>
      <c r="H1696" s="76" t="s">
        <v>928</v>
      </c>
      <c r="I1696" s="83"/>
      <c r="J1696" s="83"/>
      <c r="K1696" s="83"/>
      <c r="L1696" s="83"/>
      <c r="M1696" s="83"/>
      <c r="N1696" s="83"/>
      <c r="O1696" s="83"/>
      <c r="P1696" s="83"/>
      <c r="Q1696" s="83"/>
      <c r="R1696" s="83"/>
      <c r="S1696" s="83"/>
      <c r="T1696" s="83"/>
      <c r="U1696" s="83"/>
      <c r="V1696" s="83"/>
      <c r="W1696" s="83"/>
      <c r="X1696" s="83"/>
      <c r="Y1696" s="83"/>
      <c r="Z1696" s="83"/>
    </row>
    <row r="1697">
      <c r="A1697" s="75" t="s">
        <v>31</v>
      </c>
      <c r="B1697" s="75" t="s">
        <v>1006</v>
      </c>
      <c r="C1697" s="75">
        <v>12.05</v>
      </c>
      <c r="D1697" s="75">
        <v>5.0</v>
      </c>
      <c r="E1697" s="75">
        <v>2.41</v>
      </c>
      <c r="F1697" s="75" t="s">
        <v>993</v>
      </c>
      <c r="G1697" s="82">
        <v>46111.0</v>
      </c>
      <c r="H1697" s="76" t="s">
        <v>929</v>
      </c>
      <c r="I1697" s="83"/>
      <c r="J1697" s="83"/>
      <c r="K1697" s="83"/>
      <c r="L1697" s="83"/>
      <c r="M1697" s="83"/>
      <c r="N1697" s="83"/>
      <c r="O1697" s="83"/>
      <c r="P1697" s="83"/>
      <c r="Q1697" s="83"/>
      <c r="R1697" s="83"/>
      <c r="S1697" s="83"/>
      <c r="T1697" s="83"/>
      <c r="U1697" s="83"/>
      <c r="V1697" s="83"/>
      <c r="W1697" s="83"/>
      <c r="X1697" s="83"/>
      <c r="Y1697" s="83"/>
      <c r="Z1697" s="83"/>
    </row>
    <row r="1698">
      <c r="A1698" s="75" t="s">
        <v>31</v>
      </c>
      <c r="B1698" s="75" t="s">
        <v>1006</v>
      </c>
      <c r="C1698" s="75">
        <v>67.75</v>
      </c>
      <c r="D1698" s="75">
        <v>56.0</v>
      </c>
      <c r="E1698" s="75">
        <v>1.21</v>
      </c>
      <c r="F1698" s="75" t="s">
        <v>993</v>
      </c>
      <c r="G1698" s="82">
        <v>46111.0</v>
      </c>
      <c r="H1698" s="76" t="s">
        <v>930</v>
      </c>
      <c r="I1698" s="83"/>
      <c r="J1698" s="83"/>
      <c r="K1698" s="83"/>
      <c r="L1698" s="83"/>
      <c r="M1698" s="83"/>
      <c r="N1698" s="83"/>
      <c r="O1698" s="83"/>
      <c r="P1698" s="83"/>
      <c r="Q1698" s="83"/>
      <c r="R1698" s="83"/>
      <c r="S1698" s="83"/>
      <c r="T1698" s="83"/>
      <c r="U1698" s="83"/>
      <c r="V1698" s="83"/>
      <c r="W1698" s="83"/>
      <c r="X1698" s="83"/>
      <c r="Y1698" s="83"/>
      <c r="Z1698" s="83"/>
    </row>
    <row r="1699">
      <c r="A1699" s="75" t="s">
        <v>28</v>
      </c>
      <c r="B1699" s="75" t="s">
        <v>1006</v>
      </c>
      <c r="C1699" s="75">
        <v>4.34</v>
      </c>
      <c r="D1699" s="75">
        <v>0.0</v>
      </c>
      <c r="E1699" s="75">
        <v>0.0</v>
      </c>
      <c r="F1699" s="75" t="s">
        <v>993</v>
      </c>
      <c r="G1699" s="82">
        <v>46111.0</v>
      </c>
      <c r="H1699" s="76" t="s">
        <v>931</v>
      </c>
      <c r="I1699" s="83"/>
      <c r="J1699" s="83"/>
      <c r="K1699" s="83"/>
      <c r="L1699" s="83"/>
      <c r="M1699" s="83"/>
      <c r="N1699" s="83"/>
      <c r="O1699" s="83"/>
      <c r="P1699" s="83"/>
      <c r="Q1699" s="83"/>
      <c r="R1699" s="83"/>
      <c r="S1699" s="83"/>
      <c r="T1699" s="83"/>
      <c r="U1699" s="83"/>
      <c r="V1699" s="83"/>
      <c r="W1699" s="83"/>
      <c r="X1699" s="83"/>
      <c r="Y1699" s="83"/>
      <c r="Z1699" s="83"/>
    </row>
    <row r="1700">
      <c r="A1700" s="75" t="s">
        <v>28</v>
      </c>
      <c r="B1700" s="75" t="s">
        <v>1006</v>
      </c>
      <c r="C1700" s="75">
        <v>1.29</v>
      </c>
      <c r="D1700" s="75">
        <v>0.0</v>
      </c>
      <c r="E1700" s="75">
        <v>0.0</v>
      </c>
      <c r="F1700" s="75" t="s">
        <v>993</v>
      </c>
      <c r="G1700" s="82">
        <v>46111.0</v>
      </c>
      <c r="H1700" s="76" t="s">
        <v>932</v>
      </c>
      <c r="I1700" s="83"/>
      <c r="J1700" s="83"/>
      <c r="K1700" s="83"/>
      <c r="L1700" s="83"/>
      <c r="M1700" s="83"/>
      <c r="N1700" s="83"/>
      <c r="O1700" s="83"/>
      <c r="P1700" s="83"/>
      <c r="Q1700" s="83"/>
      <c r="R1700" s="83"/>
      <c r="S1700" s="83"/>
      <c r="T1700" s="83"/>
      <c r="U1700" s="83"/>
      <c r="V1700" s="83"/>
      <c r="W1700" s="83"/>
      <c r="X1700" s="83"/>
      <c r="Y1700" s="83"/>
      <c r="Z1700" s="83"/>
    </row>
    <row r="1701">
      <c r="A1701" s="75" t="s">
        <v>28</v>
      </c>
      <c r="B1701" s="75" t="s">
        <v>1006</v>
      </c>
      <c r="C1701" s="75">
        <v>38.39</v>
      </c>
      <c r="D1701" s="75">
        <v>7.0</v>
      </c>
      <c r="E1701" s="75">
        <v>5.48</v>
      </c>
      <c r="F1701" s="75" t="s">
        <v>993</v>
      </c>
      <c r="G1701" s="82">
        <v>46111.0</v>
      </c>
      <c r="H1701" s="76" t="s">
        <v>933</v>
      </c>
      <c r="I1701" s="83"/>
      <c r="J1701" s="83"/>
      <c r="K1701" s="83"/>
      <c r="L1701" s="83"/>
      <c r="M1701" s="83"/>
      <c r="N1701" s="83"/>
      <c r="O1701" s="83"/>
      <c r="P1701" s="83"/>
      <c r="Q1701" s="83"/>
      <c r="R1701" s="83"/>
      <c r="S1701" s="83"/>
      <c r="T1701" s="83"/>
      <c r="U1701" s="83"/>
      <c r="V1701" s="83"/>
      <c r="W1701" s="83"/>
      <c r="X1701" s="83"/>
      <c r="Y1701" s="83"/>
      <c r="Z1701" s="83"/>
    </row>
    <row r="1702">
      <c r="A1702" s="75" t="s">
        <v>42</v>
      </c>
      <c r="B1702" s="75" t="s">
        <v>1006</v>
      </c>
      <c r="C1702" s="75">
        <v>1.04</v>
      </c>
      <c r="D1702" s="75">
        <v>0.0</v>
      </c>
      <c r="E1702" s="75">
        <v>0.0</v>
      </c>
      <c r="F1702" s="75" t="s">
        <v>993</v>
      </c>
      <c r="G1702" s="82">
        <v>46111.0</v>
      </c>
      <c r="H1702" s="76" t="s">
        <v>934</v>
      </c>
      <c r="I1702" s="83"/>
      <c r="J1702" s="83"/>
      <c r="K1702" s="83"/>
      <c r="L1702" s="83"/>
      <c r="M1702" s="83"/>
      <c r="N1702" s="83"/>
      <c r="O1702" s="83"/>
      <c r="P1702" s="83"/>
      <c r="Q1702" s="83"/>
      <c r="R1702" s="83"/>
      <c r="S1702" s="83"/>
      <c r="T1702" s="83"/>
      <c r="U1702" s="83"/>
      <c r="V1702" s="83"/>
      <c r="W1702" s="83"/>
      <c r="X1702" s="83"/>
      <c r="Y1702" s="83"/>
      <c r="Z1702" s="83"/>
    </row>
    <row r="1703">
      <c r="A1703" s="75" t="s">
        <v>42</v>
      </c>
      <c r="B1703" s="75" t="s">
        <v>1006</v>
      </c>
      <c r="C1703" s="75">
        <v>0.39</v>
      </c>
      <c r="D1703" s="75">
        <v>0.0</v>
      </c>
      <c r="E1703" s="75">
        <v>0.0</v>
      </c>
      <c r="F1703" s="75" t="s">
        <v>993</v>
      </c>
      <c r="G1703" s="82">
        <v>46111.0</v>
      </c>
      <c r="H1703" s="76" t="s">
        <v>991</v>
      </c>
      <c r="I1703" s="83"/>
      <c r="J1703" s="83"/>
      <c r="K1703" s="83"/>
      <c r="L1703" s="83"/>
      <c r="M1703" s="83"/>
      <c r="N1703" s="83"/>
      <c r="O1703" s="83"/>
      <c r="P1703" s="83"/>
      <c r="Q1703" s="83"/>
      <c r="R1703" s="83"/>
      <c r="S1703" s="83"/>
      <c r="T1703" s="83"/>
      <c r="U1703" s="83"/>
      <c r="V1703" s="83"/>
      <c r="W1703" s="83"/>
      <c r="X1703" s="83"/>
      <c r="Y1703" s="83"/>
      <c r="Z1703" s="83"/>
    </row>
    <row r="1704">
      <c r="A1704" s="75" t="s">
        <v>42</v>
      </c>
      <c r="B1704" s="75" t="s">
        <v>1006</v>
      </c>
      <c r="C1704" s="75">
        <v>6.38</v>
      </c>
      <c r="D1704" s="75">
        <v>0.0</v>
      </c>
      <c r="E1704" s="75">
        <v>0.0</v>
      </c>
      <c r="F1704" s="75" t="s">
        <v>993</v>
      </c>
      <c r="G1704" s="82">
        <v>46111.0</v>
      </c>
      <c r="H1704" s="76" t="s">
        <v>935</v>
      </c>
      <c r="I1704" s="83"/>
      <c r="J1704" s="83"/>
      <c r="K1704" s="83"/>
      <c r="L1704" s="83"/>
      <c r="M1704" s="83"/>
      <c r="N1704" s="83"/>
      <c r="O1704" s="83"/>
      <c r="P1704" s="83"/>
      <c r="Q1704" s="83"/>
      <c r="R1704" s="83"/>
      <c r="S1704" s="83"/>
      <c r="T1704" s="83"/>
      <c r="U1704" s="83"/>
      <c r="V1704" s="83"/>
      <c r="W1704" s="83"/>
      <c r="X1704" s="83"/>
      <c r="Y1704" s="83"/>
      <c r="Z1704" s="83"/>
    </row>
    <row r="1705">
      <c r="A1705" s="75" t="s">
        <v>45</v>
      </c>
      <c r="B1705" s="75" t="s">
        <v>1006</v>
      </c>
      <c r="C1705" s="75">
        <v>3.04</v>
      </c>
      <c r="D1705" s="75">
        <v>0.0</v>
      </c>
      <c r="E1705" s="75">
        <v>0.0</v>
      </c>
      <c r="F1705" s="75" t="s">
        <v>993</v>
      </c>
      <c r="G1705" s="82">
        <v>46111.0</v>
      </c>
      <c r="H1705" s="76" t="s">
        <v>936</v>
      </c>
      <c r="I1705" s="83"/>
      <c r="J1705" s="83"/>
      <c r="K1705" s="83"/>
      <c r="L1705" s="83"/>
      <c r="M1705" s="83"/>
      <c r="N1705" s="83"/>
      <c r="O1705" s="83"/>
      <c r="P1705" s="83"/>
      <c r="Q1705" s="83"/>
      <c r="R1705" s="83"/>
      <c r="S1705" s="83"/>
      <c r="T1705" s="83"/>
      <c r="U1705" s="83"/>
      <c r="V1705" s="83"/>
      <c r="W1705" s="83"/>
      <c r="X1705" s="83"/>
      <c r="Y1705" s="83"/>
      <c r="Z1705" s="83"/>
    </row>
    <row r="1706">
      <c r="A1706" s="75" t="s">
        <v>45</v>
      </c>
      <c r="B1706" s="75" t="s">
        <v>1006</v>
      </c>
      <c r="C1706" s="75">
        <v>6.67</v>
      </c>
      <c r="D1706" s="75">
        <v>1.0</v>
      </c>
      <c r="E1706" s="75">
        <v>6.67</v>
      </c>
      <c r="F1706" s="75" t="s">
        <v>993</v>
      </c>
      <c r="G1706" s="82">
        <v>46111.0</v>
      </c>
      <c r="H1706" s="76" t="s">
        <v>937</v>
      </c>
      <c r="I1706" s="83"/>
      <c r="J1706" s="83"/>
      <c r="K1706" s="83"/>
      <c r="L1706" s="83"/>
      <c r="M1706" s="83"/>
      <c r="N1706" s="83"/>
      <c r="O1706" s="83"/>
      <c r="P1706" s="83"/>
      <c r="Q1706" s="83"/>
      <c r="R1706" s="83"/>
      <c r="S1706" s="83"/>
      <c r="T1706" s="83"/>
      <c r="U1706" s="83"/>
      <c r="V1706" s="83"/>
      <c r="W1706" s="83"/>
      <c r="X1706" s="83"/>
      <c r="Y1706" s="83"/>
      <c r="Z1706" s="83"/>
    </row>
    <row r="1707">
      <c r="A1707" s="75" t="s">
        <v>45</v>
      </c>
      <c r="B1707" s="75" t="s">
        <v>1006</v>
      </c>
      <c r="C1707" s="75">
        <v>3.89</v>
      </c>
      <c r="D1707" s="75">
        <v>0.0</v>
      </c>
      <c r="E1707" s="75">
        <v>0.0</v>
      </c>
      <c r="F1707" s="75" t="s">
        <v>993</v>
      </c>
      <c r="G1707" s="82">
        <v>46111.0</v>
      </c>
      <c r="H1707" s="76" t="s">
        <v>938</v>
      </c>
      <c r="I1707" s="83"/>
      <c r="J1707" s="83"/>
      <c r="K1707" s="83"/>
      <c r="L1707" s="83"/>
      <c r="M1707" s="83"/>
      <c r="N1707" s="83"/>
      <c r="O1707" s="83"/>
      <c r="P1707" s="83"/>
      <c r="Q1707" s="83"/>
      <c r="R1707" s="83"/>
      <c r="S1707" s="83"/>
      <c r="T1707" s="83"/>
      <c r="U1707" s="83"/>
      <c r="V1707" s="83"/>
      <c r="W1707" s="83"/>
      <c r="X1707" s="83"/>
      <c r="Y1707" s="83"/>
      <c r="Z1707" s="83"/>
    </row>
    <row r="1708">
      <c r="A1708" s="75" t="s">
        <v>50</v>
      </c>
      <c r="B1708" s="75" t="s">
        <v>1006</v>
      </c>
      <c r="C1708" s="75">
        <v>3.66</v>
      </c>
      <c r="D1708" s="75">
        <v>0.0</v>
      </c>
      <c r="E1708" s="75">
        <v>0.0</v>
      </c>
      <c r="F1708" s="75" t="s">
        <v>993</v>
      </c>
      <c r="G1708" s="82">
        <v>46111.0</v>
      </c>
      <c r="H1708" s="76" t="s">
        <v>939</v>
      </c>
      <c r="I1708" s="83"/>
      <c r="J1708" s="83"/>
      <c r="K1708" s="83"/>
      <c r="L1708" s="83"/>
      <c r="M1708" s="83"/>
      <c r="N1708" s="83"/>
      <c r="O1708" s="83"/>
      <c r="P1708" s="83"/>
      <c r="Q1708" s="83"/>
      <c r="R1708" s="83"/>
      <c r="S1708" s="83"/>
      <c r="T1708" s="83"/>
      <c r="U1708" s="83"/>
      <c r="V1708" s="83"/>
      <c r="W1708" s="83"/>
      <c r="X1708" s="83"/>
      <c r="Y1708" s="83"/>
      <c r="Z1708" s="83"/>
    </row>
    <row r="1709">
      <c r="A1709" s="75" t="s">
        <v>50</v>
      </c>
      <c r="B1709" s="75" t="s">
        <v>1006</v>
      </c>
      <c r="C1709" s="75">
        <v>1.93</v>
      </c>
      <c r="D1709" s="75">
        <v>0.0</v>
      </c>
      <c r="E1709" s="75">
        <v>0.0</v>
      </c>
      <c r="F1709" s="75" t="s">
        <v>993</v>
      </c>
      <c r="G1709" s="82">
        <v>46111.0</v>
      </c>
      <c r="H1709" s="76" t="s">
        <v>940</v>
      </c>
      <c r="I1709" s="83"/>
      <c r="J1709" s="83"/>
      <c r="K1709" s="83"/>
      <c r="L1709" s="83"/>
      <c r="M1709" s="83"/>
      <c r="N1709" s="83"/>
      <c r="O1709" s="83"/>
      <c r="P1709" s="83"/>
      <c r="Q1709" s="83"/>
      <c r="R1709" s="83"/>
      <c r="S1709" s="83"/>
      <c r="T1709" s="83"/>
      <c r="U1709" s="83"/>
      <c r="V1709" s="83"/>
      <c r="W1709" s="83"/>
      <c r="X1709" s="83"/>
      <c r="Y1709" s="83"/>
      <c r="Z1709" s="83"/>
    </row>
    <row r="1710">
      <c r="A1710" s="75" t="s">
        <v>32</v>
      </c>
      <c r="B1710" s="75" t="s">
        <v>1006</v>
      </c>
      <c r="C1710" s="75">
        <v>33.61</v>
      </c>
      <c r="D1710" s="75">
        <v>10.0</v>
      </c>
      <c r="E1710" s="75">
        <v>3.36</v>
      </c>
      <c r="F1710" s="75" t="s">
        <v>993</v>
      </c>
      <c r="G1710" s="82">
        <v>46111.0</v>
      </c>
      <c r="H1710" s="76" t="s">
        <v>941</v>
      </c>
      <c r="I1710" s="83"/>
      <c r="J1710" s="83"/>
      <c r="K1710" s="83"/>
      <c r="L1710" s="83"/>
      <c r="M1710" s="83"/>
      <c r="N1710" s="83"/>
      <c r="O1710" s="83"/>
      <c r="P1710" s="83"/>
      <c r="Q1710" s="83"/>
      <c r="R1710" s="83"/>
      <c r="S1710" s="83"/>
      <c r="T1710" s="83"/>
      <c r="U1710" s="83"/>
      <c r="V1710" s="83"/>
      <c r="W1710" s="83"/>
      <c r="X1710" s="83"/>
      <c r="Y1710" s="83"/>
      <c r="Z1710" s="83"/>
    </row>
    <row r="1711">
      <c r="A1711" s="75" t="s">
        <v>32</v>
      </c>
      <c r="B1711" s="75" t="s">
        <v>1006</v>
      </c>
      <c r="C1711" s="75">
        <v>5.19</v>
      </c>
      <c r="D1711" s="75">
        <v>0.0</v>
      </c>
      <c r="E1711" s="75">
        <v>0.0</v>
      </c>
      <c r="F1711" s="75" t="s">
        <v>993</v>
      </c>
      <c r="G1711" s="82">
        <v>46111.0</v>
      </c>
      <c r="H1711" s="76" t="s">
        <v>942</v>
      </c>
      <c r="I1711" s="83"/>
      <c r="J1711" s="83"/>
      <c r="K1711" s="83"/>
      <c r="L1711" s="83"/>
      <c r="M1711" s="83"/>
      <c r="N1711" s="83"/>
      <c r="O1711" s="83"/>
      <c r="P1711" s="83"/>
      <c r="Q1711" s="83"/>
      <c r="R1711" s="83"/>
      <c r="S1711" s="83"/>
      <c r="T1711" s="83"/>
      <c r="U1711" s="83"/>
      <c r="V1711" s="83"/>
      <c r="W1711" s="83"/>
      <c r="X1711" s="83"/>
      <c r="Y1711" s="83"/>
      <c r="Z1711" s="83"/>
    </row>
    <row r="1712">
      <c r="A1712" s="75" t="s">
        <v>32</v>
      </c>
      <c r="B1712" s="75" t="s">
        <v>1006</v>
      </c>
      <c r="C1712" s="75">
        <v>9.29</v>
      </c>
      <c r="D1712" s="75">
        <v>4.0</v>
      </c>
      <c r="E1712" s="75">
        <v>2.32</v>
      </c>
      <c r="F1712" s="75" t="s">
        <v>993</v>
      </c>
      <c r="G1712" s="82">
        <v>46111.0</v>
      </c>
      <c r="H1712" s="76" t="s">
        <v>943</v>
      </c>
      <c r="I1712" s="83"/>
      <c r="J1712" s="83"/>
      <c r="K1712" s="83"/>
      <c r="L1712" s="83"/>
      <c r="M1712" s="83"/>
      <c r="N1712" s="83"/>
      <c r="O1712" s="83"/>
      <c r="P1712" s="83"/>
      <c r="Q1712" s="83"/>
      <c r="R1712" s="83"/>
      <c r="S1712" s="83"/>
      <c r="T1712" s="83"/>
      <c r="U1712" s="83"/>
      <c r="V1712" s="83"/>
      <c r="W1712" s="83"/>
      <c r="X1712" s="83"/>
      <c r="Y1712" s="83"/>
      <c r="Z1712" s="83"/>
    </row>
    <row r="1713">
      <c r="A1713" s="75" t="s">
        <v>944</v>
      </c>
      <c r="B1713" s="75" t="s">
        <v>1006</v>
      </c>
      <c r="C1713" s="75">
        <v>19.28</v>
      </c>
      <c r="D1713" s="75">
        <v>0.0</v>
      </c>
      <c r="E1713" s="75">
        <v>0.0</v>
      </c>
      <c r="F1713" s="75" t="s">
        <v>993</v>
      </c>
      <c r="G1713" s="82">
        <v>46111.0</v>
      </c>
      <c r="H1713" s="76" t="s">
        <v>945</v>
      </c>
      <c r="I1713" s="83"/>
      <c r="J1713" s="83"/>
      <c r="K1713" s="83"/>
      <c r="L1713" s="83"/>
      <c r="M1713" s="83"/>
      <c r="N1713" s="83"/>
      <c r="O1713" s="83"/>
      <c r="P1713" s="83"/>
      <c r="Q1713" s="83"/>
      <c r="R1713" s="83"/>
      <c r="S1713" s="83"/>
      <c r="T1713" s="83"/>
      <c r="U1713" s="83"/>
      <c r="V1713" s="83"/>
      <c r="W1713" s="83"/>
      <c r="X1713" s="83"/>
      <c r="Y1713" s="83"/>
      <c r="Z1713" s="83"/>
    </row>
    <row r="1714">
      <c r="A1714" s="75" t="s">
        <v>944</v>
      </c>
      <c r="B1714" s="75" t="s">
        <v>1006</v>
      </c>
      <c r="C1714" s="75">
        <v>9.4</v>
      </c>
      <c r="D1714" s="75">
        <v>0.0</v>
      </c>
      <c r="E1714" s="75">
        <v>0.0</v>
      </c>
      <c r="F1714" s="75" t="s">
        <v>993</v>
      </c>
      <c r="G1714" s="82">
        <v>46111.0</v>
      </c>
      <c r="H1714" s="76" t="s">
        <v>946</v>
      </c>
      <c r="I1714" s="83"/>
      <c r="J1714" s="83"/>
      <c r="K1714" s="83"/>
      <c r="L1714" s="83"/>
      <c r="M1714" s="83"/>
      <c r="N1714" s="83"/>
      <c r="O1714" s="83"/>
      <c r="P1714" s="83"/>
      <c r="Q1714" s="83"/>
      <c r="R1714" s="83"/>
      <c r="S1714" s="83"/>
      <c r="T1714" s="83"/>
      <c r="U1714" s="83"/>
      <c r="V1714" s="83"/>
      <c r="W1714" s="83"/>
      <c r="X1714" s="83"/>
      <c r="Y1714" s="83"/>
      <c r="Z1714" s="83"/>
    </row>
    <row r="1715">
      <c r="A1715" s="75" t="s">
        <v>944</v>
      </c>
      <c r="B1715" s="75" t="s">
        <v>1006</v>
      </c>
      <c r="C1715" s="75">
        <v>21.99</v>
      </c>
      <c r="D1715" s="75">
        <v>1.0</v>
      </c>
      <c r="E1715" s="75">
        <v>21.99</v>
      </c>
      <c r="F1715" s="75" t="s">
        <v>993</v>
      </c>
      <c r="G1715" s="82">
        <v>46111.0</v>
      </c>
      <c r="H1715" s="76" t="s">
        <v>947</v>
      </c>
      <c r="I1715" s="83"/>
      <c r="J1715" s="83"/>
      <c r="K1715" s="83"/>
      <c r="L1715" s="83"/>
      <c r="M1715" s="83"/>
      <c r="N1715" s="83"/>
      <c r="O1715" s="83"/>
      <c r="P1715" s="83"/>
      <c r="Q1715" s="83"/>
      <c r="R1715" s="83"/>
      <c r="S1715" s="83"/>
      <c r="T1715" s="83"/>
      <c r="U1715" s="83"/>
      <c r="V1715" s="83"/>
      <c r="W1715" s="83"/>
      <c r="X1715" s="83"/>
      <c r="Y1715" s="83"/>
      <c r="Z1715" s="83"/>
    </row>
    <row r="1716">
      <c r="A1716" s="75" t="s">
        <v>26</v>
      </c>
      <c r="B1716" s="75" t="s">
        <v>1006</v>
      </c>
      <c r="C1716" s="75">
        <v>0.23</v>
      </c>
      <c r="D1716" s="75">
        <v>0.0</v>
      </c>
      <c r="E1716" s="75">
        <v>0.0</v>
      </c>
      <c r="F1716" s="75" t="s">
        <v>993</v>
      </c>
      <c r="G1716" s="82">
        <v>46111.0</v>
      </c>
      <c r="H1716" s="76" t="s">
        <v>1012</v>
      </c>
      <c r="I1716" s="83"/>
      <c r="J1716" s="83"/>
      <c r="K1716" s="83"/>
      <c r="L1716" s="83"/>
      <c r="M1716" s="83"/>
      <c r="N1716" s="83"/>
      <c r="O1716" s="83"/>
      <c r="P1716" s="83"/>
      <c r="Q1716" s="83"/>
      <c r="R1716" s="83"/>
      <c r="S1716" s="83"/>
      <c r="T1716" s="83"/>
      <c r="U1716" s="83"/>
      <c r="V1716" s="83"/>
      <c r="W1716" s="83"/>
      <c r="X1716" s="83"/>
      <c r="Y1716" s="83"/>
      <c r="Z1716" s="83"/>
    </row>
    <row r="1717">
      <c r="A1717" s="75" t="s">
        <v>26</v>
      </c>
      <c r="B1717" s="75" t="s">
        <v>1006</v>
      </c>
      <c r="C1717" s="75">
        <v>1.45</v>
      </c>
      <c r="D1717" s="75">
        <v>0.0</v>
      </c>
      <c r="E1717" s="75">
        <v>0.0</v>
      </c>
      <c r="F1717" s="75" t="s">
        <v>993</v>
      </c>
      <c r="G1717" s="82">
        <v>46111.0</v>
      </c>
      <c r="H1717" s="76" t="s">
        <v>1013</v>
      </c>
      <c r="I1717" s="83"/>
      <c r="J1717" s="83"/>
      <c r="K1717" s="83"/>
      <c r="L1717" s="83"/>
      <c r="M1717" s="83"/>
      <c r="N1717" s="83"/>
      <c r="O1717" s="83"/>
      <c r="P1717" s="83"/>
      <c r="Q1717" s="83"/>
      <c r="R1717" s="83"/>
      <c r="S1717" s="83"/>
      <c r="T1717" s="83"/>
      <c r="U1717" s="83"/>
      <c r="V1717" s="83"/>
      <c r="W1717" s="83"/>
      <c r="X1717" s="83"/>
      <c r="Y1717" s="83"/>
      <c r="Z1717" s="83"/>
    </row>
    <row r="1718">
      <c r="A1718" s="75" t="s">
        <v>26</v>
      </c>
      <c r="B1718" s="75" t="s">
        <v>1006</v>
      </c>
      <c r="C1718" s="75">
        <v>0.46</v>
      </c>
      <c r="D1718" s="75">
        <v>0.0</v>
      </c>
      <c r="E1718" s="75">
        <v>0.0</v>
      </c>
      <c r="F1718" s="75" t="s">
        <v>993</v>
      </c>
      <c r="G1718" s="82">
        <v>46111.0</v>
      </c>
      <c r="H1718" s="76" t="s">
        <v>1014</v>
      </c>
      <c r="I1718" s="83"/>
      <c r="J1718" s="83"/>
      <c r="K1718" s="83"/>
      <c r="L1718" s="83"/>
      <c r="M1718" s="83"/>
      <c r="N1718" s="83"/>
      <c r="O1718" s="83"/>
      <c r="P1718" s="83"/>
      <c r="Q1718" s="83"/>
      <c r="R1718" s="83"/>
      <c r="S1718" s="83"/>
      <c r="T1718" s="83"/>
      <c r="U1718" s="83"/>
      <c r="V1718" s="83"/>
      <c r="W1718" s="83"/>
      <c r="X1718" s="83"/>
      <c r="Y1718" s="83"/>
      <c r="Z1718" s="83"/>
    </row>
    <row r="1719">
      <c r="A1719" s="75" t="s">
        <v>36</v>
      </c>
      <c r="B1719" s="75" t="s">
        <v>1006</v>
      </c>
      <c r="C1719" s="75">
        <v>6.34</v>
      </c>
      <c r="D1719" s="75">
        <v>0.0</v>
      </c>
      <c r="E1719" s="75">
        <v>0.0</v>
      </c>
      <c r="F1719" s="75" t="s">
        <v>994</v>
      </c>
      <c r="G1719" s="82">
        <v>46111.0</v>
      </c>
      <c r="H1719" s="76" t="s">
        <v>926</v>
      </c>
      <c r="I1719" s="83"/>
      <c r="J1719" s="83"/>
      <c r="K1719" s="83"/>
      <c r="L1719" s="83"/>
      <c r="M1719" s="83"/>
      <c r="N1719" s="83"/>
      <c r="O1719" s="83"/>
      <c r="P1719" s="83"/>
      <c r="Q1719" s="83"/>
      <c r="R1719" s="83"/>
      <c r="S1719" s="83"/>
      <c r="T1719" s="83"/>
      <c r="U1719" s="83"/>
      <c r="V1719" s="83"/>
      <c r="W1719" s="83"/>
      <c r="X1719" s="83"/>
      <c r="Y1719" s="83"/>
      <c r="Z1719" s="83"/>
    </row>
    <row r="1720">
      <c r="A1720" s="75" t="s">
        <v>36</v>
      </c>
      <c r="B1720" s="75" t="s">
        <v>1006</v>
      </c>
      <c r="C1720" s="75">
        <v>0.85</v>
      </c>
      <c r="D1720" s="75">
        <v>0.0</v>
      </c>
      <c r="E1720" s="75">
        <v>0.0</v>
      </c>
      <c r="F1720" s="75" t="s">
        <v>994</v>
      </c>
      <c r="G1720" s="82">
        <v>46111.0</v>
      </c>
      <c r="H1720" s="76" t="s">
        <v>927</v>
      </c>
      <c r="I1720" s="83"/>
      <c r="J1720" s="83"/>
      <c r="K1720" s="83"/>
      <c r="L1720" s="83"/>
      <c r="M1720" s="83"/>
      <c r="N1720" s="83"/>
      <c r="O1720" s="83"/>
      <c r="P1720" s="83"/>
      <c r="Q1720" s="83"/>
      <c r="R1720" s="83"/>
      <c r="S1720" s="83"/>
      <c r="T1720" s="83"/>
      <c r="U1720" s="83"/>
      <c r="V1720" s="83"/>
      <c r="W1720" s="83"/>
      <c r="X1720" s="83"/>
      <c r="Y1720" s="83"/>
      <c r="Z1720" s="83"/>
    </row>
    <row r="1721">
      <c r="A1721" s="75" t="s">
        <v>36</v>
      </c>
      <c r="B1721" s="75" t="s">
        <v>1006</v>
      </c>
      <c r="C1721" s="75">
        <v>1.41</v>
      </c>
      <c r="D1721" s="75">
        <v>0.0</v>
      </c>
      <c r="E1721" s="75">
        <v>0.0</v>
      </c>
      <c r="F1721" s="75" t="s">
        <v>994</v>
      </c>
      <c r="G1721" s="82">
        <v>46111.0</v>
      </c>
      <c r="H1721" s="76" t="s">
        <v>928</v>
      </c>
      <c r="I1721" s="83"/>
      <c r="J1721" s="83"/>
      <c r="K1721" s="83"/>
      <c r="L1721" s="83"/>
      <c r="M1721" s="83"/>
      <c r="N1721" s="83"/>
      <c r="O1721" s="83"/>
      <c r="P1721" s="83"/>
      <c r="Q1721" s="83"/>
      <c r="R1721" s="83"/>
      <c r="S1721" s="83"/>
      <c r="T1721" s="83"/>
      <c r="U1721" s="83"/>
      <c r="V1721" s="83"/>
      <c r="W1721" s="83"/>
      <c r="X1721" s="83"/>
      <c r="Y1721" s="83"/>
      <c r="Z1721" s="83"/>
    </row>
    <row r="1722">
      <c r="A1722" s="75" t="s">
        <v>31</v>
      </c>
      <c r="B1722" s="75" t="s">
        <v>1006</v>
      </c>
      <c r="C1722" s="75">
        <v>11.15</v>
      </c>
      <c r="D1722" s="75">
        <v>6.0</v>
      </c>
      <c r="E1722" s="75">
        <v>1.86</v>
      </c>
      <c r="F1722" s="75" t="s">
        <v>994</v>
      </c>
      <c r="G1722" s="82">
        <v>46111.0</v>
      </c>
      <c r="H1722" s="76" t="s">
        <v>929</v>
      </c>
      <c r="I1722" s="83"/>
      <c r="J1722" s="83"/>
      <c r="K1722" s="83"/>
      <c r="L1722" s="83"/>
      <c r="M1722" s="83"/>
      <c r="N1722" s="83"/>
      <c r="O1722" s="83"/>
      <c r="P1722" s="83"/>
      <c r="Q1722" s="83"/>
      <c r="R1722" s="83"/>
      <c r="S1722" s="83"/>
      <c r="T1722" s="83"/>
      <c r="U1722" s="83"/>
      <c r="V1722" s="83"/>
      <c r="W1722" s="83"/>
      <c r="X1722" s="83"/>
      <c r="Y1722" s="83"/>
      <c r="Z1722" s="83"/>
    </row>
    <row r="1723">
      <c r="A1723" s="75" t="s">
        <v>31</v>
      </c>
      <c r="B1723" s="75" t="s">
        <v>1006</v>
      </c>
      <c r="C1723" s="75">
        <v>39.99</v>
      </c>
      <c r="D1723" s="75">
        <v>23.0</v>
      </c>
      <c r="E1723" s="75">
        <v>1.74</v>
      </c>
      <c r="F1723" s="75" t="s">
        <v>994</v>
      </c>
      <c r="G1723" s="82">
        <v>46111.0</v>
      </c>
      <c r="H1723" s="76" t="s">
        <v>930</v>
      </c>
      <c r="I1723" s="83"/>
      <c r="J1723" s="83"/>
      <c r="K1723" s="83"/>
      <c r="L1723" s="83"/>
      <c r="M1723" s="83"/>
      <c r="N1723" s="83"/>
      <c r="O1723" s="83"/>
      <c r="P1723" s="83"/>
      <c r="Q1723" s="83"/>
      <c r="R1723" s="83"/>
      <c r="S1723" s="83"/>
      <c r="T1723" s="83"/>
      <c r="U1723" s="83"/>
      <c r="V1723" s="83"/>
      <c r="W1723" s="83"/>
      <c r="X1723" s="83"/>
      <c r="Y1723" s="83"/>
      <c r="Z1723" s="83"/>
    </row>
    <row r="1724">
      <c r="A1724" s="75" t="s">
        <v>28</v>
      </c>
      <c r="B1724" s="75" t="s">
        <v>1006</v>
      </c>
      <c r="C1724" s="75">
        <v>12.02</v>
      </c>
      <c r="D1724" s="75">
        <v>0.0</v>
      </c>
      <c r="E1724" s="75">
        <v>0.0</v>
      </c>
      <c r="F1724" s="75" t="s">
        <v>994</v>
      </c>
      <c r="G1724" s="82">
        <v>46111.0</v>
      </c>
      <c r="H1724" s="76" t="s">
        <v>931</v>
      </c>
      <c r="I1724" s="83"/>
      <c r="J1724" s="83"/>
      <c r="K1724" s="83"/>
      <c r="L1724" s="83"/>
      <c r="M1724" s="83"/>
      <c r="N1724" s="83"/>
      <c r="O1724" s="83"/>
      <c r="P1724" s="83"/>
      <c r="Q1724" s="83"/>
      <c r="R1724" s="83"/>
      <c r="S1724" s="83"/>
      <c r="T1724" s="83"/>
      <c r="U1724" s="83"/>
      <c r="V1724" s="83"/>
      <c r="W1724" s="83"/>
      <c r="X1724" s="83"/>
      <c r="Y1724" s="83"/>
      <c r="Z1724" s="83"/>
    </row>
    <row r="1725">
      <c r="A1725" s="75" t="s">
        <v>28</v>
      </c>
      <c r="B1725" s="75" t="s">
        <v>1006</v>
      </c>
      <c r="C1725" s="75">
        <v>0.79</v>
      </c>
      <c r="D1725" s="75">
        <v>0.0</v>
      </c>
      <c r="E1725" s="75">
        <v>0.0</v>
      </c>
      <c r="F1725" s="75" t="s">
        <v>994</v>
      </c>
      <c r="G1725" s="82">
        <v>46111.0</v>
      </c>
      <c r="H1725" s="76" t="s">
        <v>932</v>
      </c>
      <c r="I1725" s="83"/>
      <c r="J1725" s="83"/>
      <c r="K1725" s="83"/>
      <c r="L1725" s="83"/>
      <c r="M1725" s="83"/>
      <c r="N1725" s="83"/>
      <c r="O1725" s="83"/>
      <c r="P1725" s="83"/>
      <c r="Q1725" s="83"/>
      <c r="R1725" s="83"/>
      <c r="S1725" s="83"/>
      <c r="T1725" s="83"/>
      <c r="U1725" s="83"/>
      <c r="V1725" s="83"/>
      <c r="W1725" s="83"/>
      <c r="X1725" s="83"/>
      <c r="Y1725" s="83"/>
      <c r="Z1725" s="83"/>
    </row>
    <row r="1726">
      <c r="A1726" s="75" t="s">
        <v>28</v>
      </c>
      <c r="B1726" s="75" t="s">
        <v>1006</v>
      </c>
      <c r="C1726" s="75">
        <v>72.07</v>
      </c>
      <c r="D1726" s="75">
        <v>5.0</v>
      </c>
      <c r="E1726" s="75">
        <v>14.41</v>
      </c>
      <c r="F1726" s="75" t="s">
        <v>994</v>
      </c>
      <c r="G1726" s="82">
        <v>46111.0</v>
      </c>
      <c r="H1726" s="76" t="s">
        <v>933</v>
      </c>
      <c r="I1726" s="83"/>
      <c r="J1726" s="83"/>
      <c r="K1726" s="83"/>
      <c r="L1726" s="83"/>
      <c r="M1726" s="83"/>
      <c r="N1726" s="83"/>
      <c r="O1726" s="83"/>
      <c r="P1726" s="83"/>
      <c r="Q1726" s="83"/>
      <c r="R1726" s="83"/>
      <c r="S1726" s="83"/>
      <c r="T1726" s="83"/>
      <c r="U1726" s="83"/>
      <c r="V1726" s="83"/>
      <c r="W1726" s="83"/>
      <c r="X1726" s="83"/>
      <c r="Y1726" s="83"/>
      <c r="Z1726" s="83"/>
    </row>
    <row r="1727">
      <c r="A1727" s="75" t="s">
        <v>42</v>
      </c>
      <c r="B1727" s="75" t="s">
        <v>1006</v>
      </c>
      <c r="C1727" s="75">
        <v>0.76</v>
      </c>
      <c r="D1727" s="75">
        <v>0.0</v>
      </c>
      <c r="E1727" s="75">
        <v>0.0</v>
      </c>
      <c r="F1727" s="75" t="s">
        <v>994</v>
      </c>
      <c r="G1727" s="82">
        <v>46111.0</v>
      </c>
      <c r="H1727" s="76" t="s">
        <v>934</v>
      </c>
      <c r="I1727" s="83"/>
      <c r="J1727" s="83"/>
      <c r="K1727" s="83"/>
      <c r="L1727" s="83"/>
      <c r="M1727" s="83"/>
      <c r="N1727" s="83"/>
      <c r="O1727" s="83"/>
      <c r="P1727" s="83"/>
      <c r="Q1727" s="83"/>
      <c r="R1727" s="83"/>
      <c r="S1727" s="83"/>
      <c r="T1727" s="83"/>
      <c r="U1727" s="83"/>
      <c r="V1727" s="83"/>
      <c r="W1727" s="83"/>
      <c r="X1727" s="83"/>
      <c r="Y1727" s="83"/>
      <c r="Z1727" s="83"/>
    </row>
    <row r="1728">
      <c r="A1728" s="75" t="s">
        <v>42</v>
      </c>
      <c r="B1728" s="75" t="s">
        <v>1006</v>
      </c>
      <c r="C1728" s="75">
        <v>0.17</v>
      </c>
      <c r="D1728" s="75">
        <v>0.0</v>
      </c>
      <c r="E1728" s="75">
        <v>0.0</v>
      </c>
      <c r="F1728" s="75" t="s">
        <v>994</v>
      </c>
      <c r="G1728" s="82">
        <v>46111.0</v>
      </c>
      <c r="H1728" s="76" t="s">
        <v>991</v>
      </c>
      <c r="I1728" s="83"/>
      <c r="J1728" s="83"/>
      <c r="K1728" s="83"/>
      <c r="L1728" s="83"/>
      <c r="M1728" s="83"/>
      <c r="N1728" s="83"/>
      <c r="O1728" s="83"/>
      <c r="P1728" s="83"/>
      <c r="Q1728" s="83"/>
      <c r="R1728" s="83"/>
      <c r="S1728" s="83"/>
      <c r="T1728" s="83"/>
      <c r="U1728" s="83"/>
      <c r="V1728" s="83"/>
      <c r="W1728" s="83"/>
      <c r="X1728" s="83"/>
      <c r="Y1728" s="83"/>
      <c r="Z1728" s="83"/>
    </row>
    <row r="1729">
      <c r="A1729" s="75" t="s">
        <v>42</v>
      </c>
      <c r="B1729" s="75" t="s">
        <v>1006</v>
      </c>
      <c r="C1729" s="75">
        <v>4.08</v>
      </c>
      <c r="D1729" s="75">
        <v>0.0</v>
      </c>
      <c r="E1729" s="75">
        <v>0.0</v>
      </c>
      <c r="F1729" s="75" t="s">
        <v>994</v>
      </c>
      <c r="G1729" s="82">
        <v>46111.0</v>
      </c>
      <c r="H1729" s="76" t="s">
        <v>935</v>
      </c>
      <c r="I1729" s="83"/>
      <c r="J1729" s="83"/>
      <c r="K1729" s="83"/>
      <c r="L1729" s="83"/>
      <c r="M1729" s="83"/>
      <c r="N1729" s="83"/>
      <c r="O1729" s="83"/>
      <c r="P1729" s="83"/>
      <c r="Q1729" s="83"/>
      <c r="R1729" s="83"/>
      <c r="S1729" s="83"/>
      <c r="T1729" s="83"/>
      <c r="U1729" s="83"/>
      <c r="V1729" s="83"/>
      <c r="W1729" s="83"/>
      <c r="X1729" s="83"/>
      <c r="Y1729" s="83"/>
      <c r="Z1729" s="83"/>
    </row>
    <row r="1730">
      <c r="A1730" s="75" t="s">
        <v>45</v>
      </c>
      <c r="B1730" s="75" t="s">
        <v>1006</v>
      </c>
      <c r="C1730" s="75">
        <v>0.65</v>
      </c>
      <c r="D1730" s="75">
        <v>1.0</v>
      </c>
      <c r="E1730" s="75">
        <v>0.65</v>
      </c>
      <c r="F1730" s="75" t="s">
        <v>994</v>
      </c>
      <c r="G1730" s="82">
        <v>46111.0</v>
      </c>
      <c r="H1730" s="76" t="s">
        <v>936</v>
      </c>
      <c r="I1730" s="83"/>
      <c r="J1730" s="83"/>
      <c r="K1730" s="83"/>
      <c r="L1730" s="83"/>
      <c r="M1730" s="83"/>
      <c r="N1730" s="83"/>
      <c r="O1730" s="83"/>
      <c r="P1730" s="83"/>
      <c r="Q1730" s="83"/>
      <c r="R1730" s="83"/>
      <c r="S1730" s="83"/>
      <c r="T1730" s="83"/>
      <c r="U1730" s="83"/>
      <c r="V1730" s="83"/>
      <c r="W1730" s="83"/>
      <c r="X1730" s="83"/>
      <c r="Y1730" s="83"/>
      <c r="Z1730" s="83"/>
    </row>
    <row r="1731">
      <c r="A1731" s="75" t="s">
        <v>45</v>
      </c>
      <c r="B1731" s="75" t="s">
        <v>1006</v>
      </c>
      <c r="C1731" s="75">
        <v>0.78</v>
      </c>
      <c r="D1731" s="75">
        <v>0.0</v>
      </c>
      <c r="E1731" s="75">
        <v>0.0</v>
      </c>
      <c r="F1731" s="75" t="s">
        <v>994</v>
      </c>
      <c r="G1731" s="82">
        <v>46111.0</v>
      </c>
      <c r="H1731" s="76" t="s">
        <v>937</v>
      </c>
      <c r="I1731" s="83"/>
      <c r="J1731" s="83"/>
      <c r="K1731" s="83"/>
      <c r="L1731" s="83"/>
      <c r="M1731" s="83"/>
      <c r="N1731" s="83"/>
      <c r="O1731" s="83"/>
      <c r="P1731" s="83"/>
      <c r="Q1731" s="83"/>
      <c r="R1731" s="83"/>
      <c r="S1731" s="83"/>
      <c r="T1731" s="83"/>
      <c r="U1731" s="83"/>
      <c r="V1731" s="83"/>
      <c r="W1731" s="83"/>
      <c r="X1731" s="83"/>
      <c r="Y1731" s="83"/>
      <c r="Z1731" s="83"/>
    </row>
    <row r="1732">
      <c r="A1732" s="75" t="s">
        <v>45</v>
      </c>
      <c r="B1732" s="75" t="s">
        <v>1006</v>
      </c>
      <c r="C1732" s="75">
        <v>1.5</v>
      </c>
      <c r="D1732" s="75">
        <v>0.0</v>
      </c>
      <c r="E1732" s="75">
        <v>0.0</v>
      </c>
      <c r="F1732" s="75" t="s">
        <v>994</v>
      </c>
      <c r="G1732" s="82">
        <v>46111.0</v>
      </c>
      <c r="H1732" s="76" t="s">
        <v>938</v>
      </c>
      <c r="I1732" s="83"/>
      <c r="J1732" s="83"/>
      <c r="K1732" s="83"/>
      <c r="L1732" s="83"/>
      <c r="M1732" s="83"/>
      <c r="N1732" s="83"/>
      <c r="O1732" s="83"/>
      <c r="P1732" s="83"/>
      <c r="Q1732" s="83"/>
      <c r="R1732" s="83"/>
      <c r="S1732" s="83"/>
      <c r="T1732" s="83"/>
      <c r="U1732" s="83"/>
      <c r="V1732" s="83"/>
      <c r="W1732" s="83"/>
      <c r="X1732" s="83"/>
      <c r="Y1732" s="83"/>
      <c r="Z1732" s="83"/>
    </row>
    <row r="1733">
      <c r="A1733" s="75" t="s">
        <v>50</v>
      </c>
      <c r="B1733" s="75" t="s">
        <v>1006</v>
      </c>
      <c r="C1733" s="75">
        <v>1.87</v>
      </c>
      <c r="D1733" s="75">
        <v>0.0</v>
      </c>
      <c r="E1733" s="75">
        <v>0.0</v>
      </c>
      <c r="F1733" s="75" t="s">
        <v>994</v>
      </c>
      <c r="G1733" s="82">
        <v>46111.0</v>
      </c>
      <c r="H1733" s="76" t="s">
        <v>939</v>
      </c>
      <c r="I1733" s="83"/>
      <c r="J1733" s="83"/>
      <c r="K1733" s="83"/>
      <c r="L1733" s="83"/>
      <c r="M1733" s="83"/>
      <c r="N1733" s="83"/>
      <c r="O1733" s="83"/>
      <c r="P1733" s="83"/>
      <c r="Q1733" s="83"/>
      <c r="R1733" s="83"/>
      <c r="S1733" s="83"/>
      <c r="T1733" s="83"/>
      <c r="U1733" s="83"/>
      <c r="V1733" s="83"/>
      <c r="W1733" s="83"/>
      <c r="X1733" s="83"/>
      <c r="Y1733" s="83"/>
      <c r="Z1733" s="83"/>
    </row>
    <row r="1734">
      <c r="A1734" s="75" t="s">
        <v>50</v>
      </c>
      <c r="B1734" s="75" t="s">
        <v>1006</v>
      </c>
      <c r="C1734" s="75">
        <v>0.72</v>
      </c>
      <c r="D1734" s="75">
        <v>0.0</v>
      </c>
      <c r="E1734" s="75">
        <v>0.0</v>
      </c>
      <c r="F1734" s="75" t="s">
        <v>994</v>
      </c>
      <c r="G1734" s="82">
        <v>46111.0</v>
      </c>
      <c r="H1734" s="76" t="s">
        <v>940</v>
      </c>
      <c r="I1734" s="83"/>
      <c r="J1734" s="83"/>
      <c r="K1734" s="83"/>
      <c r="L1734" s="83"/>
      <c r="M1734" s="83"/>
      <c r="N1734" s="83"/>
      <c r="O1734" s="83"/>
      <c r="P1734" s="83"/>
      <c r="Q1734" s="83"/>
      <c r="R1734" s="83"/>
      <c r="S1734" s="83"/>
      <c r="T1734" s="83"/>
      <c r="U1734" s="83"/>
      <c r="V1734" s="83"/>
      <c r="W1734" s="83"/>
      <c r="X1734" s="83"/>
      <c r="Y1734" s="83"/>
      <c r="Z1734" s="83"/>
    </row>
    <row r="1735">
      <c r="A1735" s="75" t="s">
        <v>32</v>
      </c>
      <c r="B1735" s="75" t="s">
        <v>1006</v>
      </c>
      <c r="C1735" s="75">
        <v>9.44</v>
      </c>
      <c r="D1735" s="75">
        <v>3.0</v>
      </c>
      <c r="E1735" s="75">
        <v>3.15</v>
      </c>
      <c r="F1735" s="75" t="s">
        <v>994</v>
      </c>
      <c r="G1735" s="82">
        <v>46111.0</v>
      </c>
      <c r="H1735" s="76" t="s">
        <v>941</v>
      </c>
      <c r="I1735" s="83"/>
      <c r="J1735" s="83"/>
      <c r="K1735" s="83"/>
      <c r="L1735" s="83"/>
      <c r="M1735" s="83"/>
      <c r="N1735" s="83"/>
      <c r="O1735" s="83"/>
      <c r="P1735" s="83"/>
      <c r="Q1735" s="83"/>
      <c r="R1735" s="83"/>
      <c r="S1735" s="83"/>
      <c r="T1735" s="83"/>
      <c r="U1735" s="83"/>
      <c r="V1735" s="83"/>
      <c r="W1735" s="83"/>
      <c r="X1735" s="83"/>
      <c r="Y1735" s="83"/>
      <c r="Z1735" s="83"/>
    </row>
    <row r="1736">
      <c r="A1736" s="75" t="s">
        <v>32</v>
      </c>
      <c r="B1736" s="75" t="s">
        <v>1006</v>
      </c>
      <c r="C1736" s="75">
        <v>1.55</v>
      </c>
      <c r="D1736" s="75">
        <v>1.0</v>
      </c>
      <c r="E1736" s="75">
        <v>1.55</v>
      </c>
      <c r="F1736" s="75" t="s">
        <v>994</v>
      </c>
      <c r="G1736" s="82">
        <v>46111.0</v>
      </c>
      <c r="H1736" s="76" t="s">
        <v>942</v>
      </c>
      <c r="I1736" s="83"/>
      <c r="J1736" s="83"/>
      <c r="K1736" s="83"/>
      <c r="L1736" s="83"/>
      <c r="M1736" s="83"/>
      <c r="N1736" s="83"/>
      <c r="O1736" s="83"/>
      <c r="P1736" s="83"/>
      <c r="Q1736" s="83"/>
      <c r="R1736" s="83"/>
      <c r="S1736" s="83"/>
      <c r="T1736" s="83"/>
      <c r="U1736" s="83"/>
      <c r="V1736" s="83"/>
      <c r="W1736" s="83"/>
      <c r="X1736" s="83"/>
      <c r="Y1736" s="83"/>
      <c r="Z1736" s="83"/>
    </row>
    <row r="1737">
      <c r="A1737" s="75" t="s">
        <v>32</v>
      </c>
      <c r="B1737" s="75" t="s">
        <v>1006</v>
      </c>
      <c r="C1737" s="75">
        <v>3.26</v>
      </c>
      <c r="D1737" s="75">
        <v>2.0</v>
      </c>
      <c r="E1737" s="75">
        <v>1.63</v>
      </c>
      <c r="F1737" s="75" t="s">
        <v>994</v>
      </c>
      <c r="G1737" s="82">
        <v>46111.0</v>
      </c>
      <c r="H1737" s="76" t="s">
        <v>943</v>
      </c>
      <c r="I1737" s="83"/>
      <c r="J1737" s="83"/>
      <c r="K1737" s="83"/>
      <c r="L1737" s="83"/>
      <c r="M1737" s="83"/>
      <c r="N1737" s="83"/>
      <c r="O1737" s="83"/>
      <c r="P1737" s="83"/>
      <c r="Q1737" s="83"/>
      <c r="R1737" s="83"/>
      <c r="S1737" s="83"/>
      <c r="T1737" s="83"/>
      <c r="U1737" s="83"/>
      <c r="V1737" s="83"/>
      <c r="W1737" s="83"/>
      <c r="X1737" s="83"/>
      <c r="Y1737" s="83"/>
      <c r="Z1737" s="83"/>
    </row>
    <row r="1738">
      <c r="A1738" s="75" t="s">
        <v>944</v>
      </c>
      <c r="B1738" s="75" t="s">
        <v>1006</v>
      </c>
      <c r="C1738" s="75">
        <v>3.95</v>
      </c>
      <c r="D1738" s="75">
        <v>1.0</v>
      </c>
      <c r="E1738" s="75">
        <v>3.95</v>
      </c>
      <c r="F1738" s="75" t="s">
        <v>994</v>
      </c>
      <c r="G1738" s="82">
        <v>46111.0</v>
      </c>
      <c r="H1738" s="76" t="s">
        <v>945</v>
      </c>
      <c r="I1738" s="83"/>
      <c r="J1738" s="83"/>
      <c r="K1738" s="83"/>
      <c r="L1738" s="83"/>
      <c r="M1738" s="83"/>
      <c r="N1738" s="83"/>
      <c r="O1738" s="83"/>
      <c r="P1738" s="83"/>
      <c r="Q1738" s="83"/>
      <c r="R1738" s="83"/>
      <c r="S1738" s="83"/>
      <c r="T1738" s="83"/>
      <c r="U1738" s="83"/>
      <c r="V1738" s="83"/>
      <c r="W1738" s="83"/>
      <c r="X1738" s="83"/>
      <c r="Y1738" s="83"/>
      <c r="Z1738" s="83"/>
    </row>
    <row r="1739">
      <c r="A1739" s="75" t="s">
        <v>944</v>
      </c>
      <c r="B1739" s="75" t="s">
        <v>1006</v>
      </c>
      <c r="C1739" s="75">
        <v>1.03</v>
      </c>
      <c r="D1739" s="75">
        <v>0.0</v>
      </c>
      <c r="E1739" s="75">
        <v>0.0</v>
      </c>
      <c r="F1739" s="75" t="s">
        <v>994</v>
      </c>
      <c r="G1739" s="82">
        <v>46111.0</v>
      </c>
      <c r="H1739" s="76" t="s">
        <v>946</v>
      </c>
      <c r="I1739" s="83"/>
      <c r="J1739" s="83"/>
      <c r="K1739" s="83"/>
      <c r="L1739" s="83"/>
      <c r="M1739" s="83"/>
      <c r="N1739" s="83"/>
      <c r="O1739" s="83"/>
      <c r="P1739" s="83"/>
      <c r="Q1739" s="83"/>
      <c r="R1739" s="83"/>
      <c r="S1739" s="83"/>
      <c r="T1739" s="83"/>
      <c r="U1739" s="83"/>
      <c r="V1739" s="83"/>
      <c r="W1739" s="83"/>
      <c r="X1739" s="83"/>
      <c r="Y1739" s="83"/>
      <c r="Z1739" s="83"/>
    </row>
    <row r="1740">
      <c r="A1740" s="75" t="s">
        <v>944</v>
      </c>
      <c r="B1740" s="75" t="s">
        <v>1006</v>
      </c>
      <c r="C1740" s="75">
        <v>1.24</v>
      </c>
      <c r="D1740" s="75">
        <v>0.0</v>
      </c>
      <c r="E1740" s="75">
        <v>0.0</v>
      </c>
      <c r="F1740" s="75" t="s">
        <v>994</v>
      </c>
      <c r="G1740" s="82">
        <v>46111.0</v>
      </c>
      <c r="H1740" s="76" t="s">
        <v>947</v>
      </c>
      <c r="I1740" s="83"/>
      <c r="J1740" s="83"/>
      <c r="K1740" s="83"/>
      <c r="L1740" s="83"/>
      <c r="M1740" s="83"/>
      <c r="N1740" s="83"/>
      <c r="O1740" s="83"/>
      <c r="P1740" s="83"/>
      <c r="Q1740" s="83"/>
      <c r="R1740" s="83"/>
      <c r="S1740" s="83"/>
      <c r="T1740" s="83"/>
      <c r="U1740" s="83"/>
      <c r="V1740" s="83"/>
      <c r="W1740" s="83"/>
      <c r="X1740" s="83"/>
      <c r="Y1740" s="83"/>
      <c r="Z1740" s="83"/>
    </row>
    <row r="1741">
      <c r="A1741" s="75" t="s">
        <v>26</v>
      </c>
      <c r="B1741" s="75" t="s">
        <v>1006</v>
      </c>
      <c r="C1741" s="75">
        <v>0.05</v>
      </c>
      <c r="D1741" s="75">
        <v>0.0</v>
      </c>
      <c r="E1741" s="75">
        <v>0.0</v>
      </c>
      <c r="F1741" s="75" t="s">
        <v>994</v>
      </c>
      <c r="G1741" s="82">
        <v>46111.0</v>
      </c>
      <c r="H1741" s="76" t="s">
        <v>1012</v>
      </c>
      <c r="I1741" s="83"/>
      <c r="J1741" s="83"/>
      <c r="K1741" s="83"/>
      <c r="L1741" s="83"/>
      <c r="M1741" s="83"/>
      <c r="N1741" s="83"/>
      <c r="O1741" s="83"/>
      <c r="P1741" s="83"/>
      <c r="Q1741" s="83"/>
      <c r="R1741" s="83"/>
      <c r="S1741" s="83"/>
      <c r="T1741" s="83"/>
      <c r="U1741" s="83"/>
      <c r="V1741" s="83"/>
      <c r="W1741" s="83"/>
      <c r="X1741" s="83"/>
      <c r="Y1741" s="83"/>
      <c r="Z1741" s="83"/>
    </row>
    <row r="1742">
      <c r="A1742" s="75" t="s">
        <v>26</v>
      </c>
      <c r="B1742" s="75" t="s">
        <v>1006</v>
      </c>
      <c r="C1742" s="75">
        <v>0.09</v>
      </c>
      <c r="D1742" s="75">
        <v>0.0</v>
      </c>
      <c r="E1742" s="75">
        <v>0.0</v>
      </c>
      <c r="F1742" s="75" t="s">
        <v>994</v>
      </c>
      <c r="G1742" s="82">
        <v>46111.0</v>
      </c>
      <c r="H1742" s="76" t="s">
        <v>1013</v>
      </c>
      <c r="I1742" s="83"/>
      <c r="J1742" s="83"/>
      <c r="K1742" s="83"/>
      <c r="L1742" s="83"/>
      <c r="M1742" s="83"/>
      <c r="N1742" s="83"/>
      <c r="O1742" s="83"/>
      <c r="P1742" s="83"/>
      <c r="Q1742" s="83"/>
      <c r="R1742" s="83"/>
      <c r="S1742" s="83"/>
      <c r="T1742" s="83"/>
      <c r="U1742" s="83"/>
      <c r="V1742" s="83"/>
      <c r="W1742" s="83"/>
      <c r="X1742" s="83"/>
      <c r="Y1742" s="83"/>
      <c r="Z1742" s="83"/>
    </row>
    <row r="1743">
      <c r="A1743" s="75" t="s">
        <v>26</v>
      </c>
      <c r="B1743" s="75" t="s">
        <v>1006</v>
      </c>
      <c r="C1743" s="75">
        <v>0.12</v>
      </c>
      <c r="D1743" s="75">
        <v>0.0</v>
      </c>
      <c r="E1743" s="75">
        <v>0.0</v>
      </c>
      <c r="F1743" s="75" t="s">
        <v>994</v>
      </c>
      <c r="G1743" s="82">
        <v>46111.0</v>
      </c>
      <c r="H1743" s="76" t="s">
        <v>1014</v>
      </c>
      <c r="I1743" s="83"/>
      <c r="J1743" s="83"/>
      <c r="K1743" s="83"/>
      <c r="L1743" s="83"/>
      <c r="M1743" s="83"/>
      <c r="N1743" s="83"/>
      <c r="O1743" s="83"/>
      <c r="P1743" s="83"/>
      <c r="Q1743" s="83"/>
      <c r="R1743" s="83"/>
      <c r="S1743" s="83"/>
      <c r="T1743" s="83"/>
      <c r="U1743" s="83"/>
      <c r="V1743" s="83"/>
      <c r="W1743" s="83"/>
      <c r="X1743" s="83"/>
      <c r="Y1743" s="83"/>
      <c r="Z1743" s="83"/>
    </row>
    <row r="1744">
      <c r="A1744" s="75" t="s">
        <v>36</v>
      </c>
      <c r="B1744" s="75" t="s">
        <v>1006</v>
      </c>
      <c r="C1744" s="75">
        <v>48.88</v>
      </c>
      <c r="D1744" s="75">
        <v>14.0</v>
      </c>
      <c r="E1744" s="75">
        <v>3.49</v>
      </c>
      <c r="F1744" s="75" t="s">
        <v>1005</v>
      </c>
      <c r="G1744" s="82">
        <v>46111.0</v>
      </c>
      <c r="H1744" s="76" t="s">
        <v>926</v>
      </c>
      <c r="I1744" s="83"/>
      <c r="J1744" s="83"/>
      <c r="K1744" s="83"/>
      <c r="L1744" s="83"/>
      <c r="M1744" s="83"/>
      <c r="N1744" s="83"/>
      <c r="O1744" s="83"/>
      <c r="P1744" s="83"/>
      <c r="Q1744" s="83"/>
      <c r="R1744" s="83"/>
      <c r="S1744" s="83"/>
      <c r="T1744" s="83"/>
      <c r="U1744" s="83"/>
      <c r="V1744" s="83"/>
      <c r="W1744" s="83"/>
      <c r="X1744" s="83"/>
      <c r="Y1744" s="83"/>
      <c r="Z1744" s="83"/>
    </row>
    <row r="1745">
      <c r="A1745" s="75" t="s">
        <v>36</v>
      </c>
      <c r="B1745" s="75" t="s">
        <v>1006</v>
      </c>
      <c r="C1745" s="75">
        <v>6.73</v>
      </c>
      <c r="D1745" s="75">
        <v>2.0</v>
      </c>
      <c r="E1745" s="75">
        <v>3.36</v>
      </c>
      <c r="F1745" s="75" t="s">
        <v>1005</v>
      </c>
      <c r="G1745" s="82">
        <v>46111.0</v>
      </c>
      <c r="H1745" s="76" t="s">
        <v>927</v>
      </c>
      <c r="I1745" s="83"/>
      <c r="J1745" s="83"/>
      <c r="K1745" s="83"/>
      <c r="L1745" s="83"/>
      <c r="M1745" s="83"/>
      <c r="N1745" s="83"/>
      <c r="O1745" s="83"/>
      <c r="P1745" s="83"/>
      <c r="Q1745" s="83"/>
      <c r="R1745" s="83"/>
      <c r="S1745" s="83"/>
      <c r="T1745" s="83"/>
      <c r="U1745" s="83"/>
      <c r="V1745" s="83"/>
      <c r="W1745" s="83"/>
      <c r="X1745" s="83"/>
      <c r="Y1745" s="83"/>
      <c r="Z1745" s="83"/>
    </row>
    <row r="1746">
      <c r="A1746" s="75" t="s">
        <v>36</v>
      </c>
      <c r="B1746" s="75" t="s">
        <v>1006</v>
      </c>
      <c r="C1746" s="75">
        <v>17.3</v>
      </c>
      <c r="D1746" s="75">
        <v>7.0</v>
      </c>
      <c r="E1746" s="75">
        <v>2.47</v>
      </c>
      <c r="F1746" s="75" t="s">
        <v>1005</v>
      </c>
      <c r="G1746" s="82">
        <v>46111.0</v>
      </c>
      <c r="H1746" s="76" t="s">
        <v>928</v>
      </c>
      <c r="I1746" s="83"/>
      <c r="J1746" s="83"/>
      <c r="K1746" s="83"/>
      <c r="L1746" s="83"/>
      <c r="M1746" s="83"/>
      <c r="N1746" s="83"/>
      <c r="O1746" s="83"/>
      <c r="P1746" s="83"/>
      <c r="Q1746" s="83"/>
      <c r="R1746" s="83"/>
      <c r="S1746" s="83"/>
      <c r="T1746" s="83"/>
      <c r="U1746" s="83"/>
      <c r="V1746" s="83"/>
      <c r="W1746" s="83"/>
      <c r="X1746" s="83"/>
      <c r="Y1746" s="83"/>
      <c r="Z1746" s="83"/>
    </row>
    <row r="1747">
      <c r="A1747" s="75" t="s">
        <v>31</v>
      </c>
      <c r="B1747" s="75" t="s">
        <v>1006</v>
      </c>
      <c r="C1747" s="75">
        <v>88.16</v>
      </c>
      <c r="D1747" s="75">
        <v>56.0</v>
      </c>
      <c r="E1747" s="75">
        <v>1.57</v>
      </c>
      <c r="F1747" s="75" t="s">
        <v>1005</v>
      </c>
      <c r="G1747" s="82">
        <v>46111.0</v>
      </c>
      <c r="H1747" s="76" t="s">
        <v>929</v>
      </c>
      <c r="I1747" s="83"/>
      <c r="J1747" s="83"/>
      <c r="K1747" s="83"/>
      <c r="L1747" s="83"/>
      <c r="M1747" s="83"/>
      <c r="N1747" s="83"/>
      <c r="O1747" s="83"/>
      <c r="P1747" s="83"/>
      <c r="Q1747" s="83"/>
      <c r="R1747" s="83"/>
      <c r="S1747" s="83"/>
      <c r="T1747" s="83"/>
      <c r="U1747" s="83"/>
      <c r="V1747" s="83"/>
      <c r="W1747" s="83"/>
      <c r="X1747" s="83"/>
      <c r="Y1747" s="83"/>
      <c r="Z1747" s="83"/>
    </row>
    <row r="1748">
      <c r="A1748" s="75" t="s">
        <v>31</v>
      </c>
      <c r="B1748" s="75" t="s">
        <v>1006</v>
      </c>
      <c r="C1748" s="75">
        <v>154.55</v>
      </c>
      <c r="D1748" s="75">
        <v>114.0</v>
      </c>
      <c r="E1748" s="75">
        <v>1.36</v>
      </c>
      <c r="F1748" s="75" t="s">
        <v>1005</v>
      </c>
      <c r="G1748" s="82">
        <v>46111.0</v>
      </c>
      <c r="H1748" s="76" t="s">
        <v>930</v>
      </c>
      <c r="I1748" s="83"/>
      <c r="J1748" s="83"/>
      <c r="K1748" s="83"/>
      <c r="L1748" s="83"/>
      <c r="M1748" s="83"/>
      <c r="N1748" s="83"/>
      <c r="O1748" s="83"/>
      <c r="P1748" s="83"/>
      <c r="Q1748" s="83"/>
      <c r="R1748" s="83"/>
      <c r="S1748" s="83"/>
      <c r="T1748" s="83"/>
      <c r="U1748" s="83"/>
      <c r="V1748" s="83"/>
      <c r="W1748" s="83"/>
      <c r="X1748" s="83"/>
      <c r="Y1748" s="83"/>
      <c r="Z1748" s="83"/>
    </row>
    <row r="1749">
      <c r="A1749" s="75" t="s">
        <v>28</v>
      </c>
      <c r="B1749" s="75" t="s">
        <v>1006</v>
      </c>
      <c r="C1749" s="75">
        <v>11.25</v>
      </c>
      <c r="D1749" s="75">
        <v>3.0</v>
      </c>
      <c r="E1749" s="75">
        <v>3.75</v>
      </c>
      <c r="F1749" s="75" t="s">
        <v>1005</v>
      </c>
      <c r="G1749" s="82">
        <v>46111.0</v>
      </c>
      <c r="H1749" s="76" t="s">
        <v>931</v>
      </c>
      <c r="I1749" s="83"/>
      <c r="J1749" s="83"/>
      <c r="K1749" s="83"/>
      <c r="L1749" s="83"/>
      <c r="M1749" s="83"/>
      <c r="N1749" s="83"/>
      <c r="O1749" s="83"/>
      <c r="P1749" s="83"/>
      <c r="Q1749" s="83"/>
      <c r="R1749" s="83"/>
      <c r="S1749" s="83"/>
      <c r="T1749" s="83"/>
      <c r="U1749" s="83"/>
      <c r="V1749" s="83"/>
      <c r="W1749" s="83"/>
      <c r="X1749" s="83"/>
      <c r="Y1749" s="83"/>
      <c r="Z1749" s="83"/>
    </row>
    <row r="1750">
      <c r="A1750" s="75" t="s">
        <v>28</v>
      </c>
      <c r="B1750" s="75" t="s">
        <v>1006</v>
      </c>
      <c r="C1750" s="75">
        <v>5.5</v>
      </c>
      <c r="D1750" s="75">
        <v>1.0</v>
      </c>
      <c r="E1750" s="75">
        <v>5.5</v>
      </c>
      <c r="F1750" s="75" t="s">
        <v>1005</v>
      </c>
      <c r="G1750" s="82">
        <v>46111.0</v>
      </c>
      <c r="H1750" s="76" t="s">
        <v>932</v>
      </c>
      <c r="I1750" s="83"/>
      <c r="J1750" s="83"/>
      <c r="K1750" s="83"/>
      <c r="L1750" s="83"/>
      <c r="M1750" s="83"/>
      <c r="N1750" s="83"/>
      <c r="O1750" s="83"/>
      <c r="P1750" s="83"/>
      <c r="Q1750" s="83"/>
      <c r="R1750" s="83"/>
      <c r="S1750" s="83"/>
      <c r="T1750" s="83"/>
      <c r="U1750" s="83"/>
      <c r="V1750" s="83"/>
      <c r="W1750" s="83"/>
      <c r="X1750" s="83"/>
      <c r="Y1750" s="83"/>
      <c r="Z1750" s="83"/>
    </row>
    <row r="1751">
      <c r="A1751" s="75" t="s">
        <v>28</v>
      </c>
      <c r="B1751" s="75" t="s">
        <v>1006</v>
      </c>
      <c r="C1751" s="75">
        <v>71.38</v>
      </c>
      <c r="D1751" s="75">
        <v>21.0</v>
      </c>
      <c r="E1751" s="75">
        <v>3.4</v>
      </c>
      <c r="F1751" s="75" t="s">
        <v>1005</v>
      </c>
      <c r="G1751" s="82">
        <v>46111.0</v>
      </c>
      <c r="H1751" s="76" t="s">
        <v>933</v>
      </c>
      <c r="I1751" s="83"/>
      <c r="J1751" s="83"/>
      <c r="K1751" s="83"/>
      <c r="L1751" s="83"/>
      <c r="M1751" s="83"/>
      <c r="N1751" s="83"/>
      <c r="O1751" s="83"/>
      <c r="P1751" s="83"/>
      <c r="Q1751" s="83"/>
      <c r="R1751" s="83"/>
      <c r="S1751" s="83"/>
      <c r="T1751" s="83"/>
      <c r="U1751" s="83"/>
      <c r="V1751" s="83"/>
      <c r="W1751" s="83"/>
      <c r="X1751" s="83"/>
      <c r="Y1751" s="83"/>
      <c r="Z1751" s="83"/>
    </row>
    <row r="1752">
      <c r="A1752" s="75" t="s">
        <v>42</v>
      </c>
      <c r="B1752" s="75" t="s">
        <v>1006</v>
      </c>
      <c r="C1752" s="75">
        <v>4.29</v>
      </c>
      <c r="D1752" s="75">
        <v>1.0</v>
      </c>
      <c r="E1752" s="75">
        <v>4.29</v>
      </c>
      <c r="F1752" s="75" t="s">
        <v>1005</v>
      </c>
      <c r="G1752" s="82">
        <v>46111.0</v>
      </c>
      <c r="H1752" s="76" t="s">
        <v>934</v>
      </c>
      <c r="I1752" s="83"/>
      <c r="J1752" s="83"/>
      <c r="K1752" s="83"/>
      <c r="L1752" s="83"/>
      <c r="M1752" s="83"/>
      <c r="N1752" s="83"/>
      <c r="O1752" s="83"/>
      <c r="P1752" s="83"/>
      <c r="Q1752" s="83"/>
      <c r="R1752" s="83"/>
      <c r="S1752" s="83"/>
      <c r="T1752" s="83"/>
      <c r="U1752" s="83"/>
      <c r="V1752" s="83"/>
      <c r="W1752" s="83"/>
      <c r="X1752" s="83"/>
      <c r="Y1752" s="83"/>
      <c r="Z1752" s="83"/>
    </row>
    <row r="1753">
      <c r="A1753" s="75" t="s">
        <v>42</v>
      </c>
      <c r="B1753" s="75" t="s">
        <v>1006</v>
      </c>
      <c r="C1753" s="75">
        <v>3.67</v>
      </c>
      <c r="D1753" s="75">
        <v>3.0</v>
      </c>
      <c r="E1753" s="75">
        <v>1.22</v>
      </c>
      <c r="F1753" s="75" t="s">
        <v>1005</v>
      </c>
      <c r="G1753" s="82">
        <v>46111.0</v>
      </c>
      <c r="H1753" s="76" t="s">
        <v>991</v>
      </c>
      <c r="I1753" s="83"/>
      <c r="J1753" s="83"/>
      <c r="K1753" s="83"/>
      <c r="L1753" s="83"/>
      <c r="M1753" s="83"/>
      <c r="N1753" s="83"/>
      <c r="O1753" s="83"/>
      <c r="P1753" s="83"/>
      <c r="Q1753" s="83"/>
      <c r="R1753" s="83"/>
      <c r="S1753" s="83"/>
      <c r="T1753" s="83"/>
      <c r="U1753" s="83"/>
      <c r="V1753" s="83"/>
      <c r="W1753" s="83"/>
      <c r="X1753" s="83"/>
      <c r="Y1753" s="83"/>
      <c r="Z1753" s="83"/>
    </row>
    <row r="1754">
      <c r="A1754" s="75" t="s">
        <v>42</v>
      </c>
      <c r="B1754" s="75" t="s">
        <v>1006</v>
      </c>
      <c r="C1754" s="75">
        <v>25.9</v>
      </c>
      <c r="D1754" s="75">
        <v>2.0</v>
      </c>
      <c r="E1754" s="75">
        <v>12.95</v>
      </c>
      <c r="F1754" s="75" t="s">
        <v>1005</v>
      </c>
      <c r="G1754" s="82">
        <v>46111.0</v>
      </c>
      <c r="H1754" s="76" t="s">
        <v>935</v>
      </c>
      <c r="I1754" s="83"/>
      <c r="J1754" s="83"/>
      <c r="K1754" s="83"/>
      <c r="L1754" s="83"/>
      <c r="M1754" s="83"/>
      <c r="N1754" s="83"/>
      <c r="O1754" s="83"/>
      <c r="P1754" s="83"/>
      <c r="Q1754" s="83"/>
      <c r="R1754" s="83"/>
      <c r="S1754" s="83"/>
      <c r="T1754" s="83"/>
      <c r="U1754" s="83"/>
      <c r="V1754" s="83"/>
      <c r="W1754" s="83"/>
      <c r="X1754" s="83"/>
      <c r="Y1754" s="83"/>
      <c r="Z1754" s="83"/>
    </row>
    <row r="1755">
      <c r="A1755" s="75" t="s">
        <v>45</v>
      </c>
      <c r="B1755" s="75" t="s">
        <v>1006</v>
      </c>
      <c r="C1755" s="75">
        <v>9.36</v>
      </c>
      <c r="D1755" s="75">
        <v>1.0</v>
      </c>
      <c r="E1755" s="75">
        <v>9.36</v>
      </c>
      <c r="F1755" s="75" t="s">
        <v>1005</v>
      </c>
      <c r="G1755" s="82">
        <v>46111.0</v>
      </c>
      <c r="H1755" s="76" t="s">
        <v>936</v>
      </c>
      <c r="I1755" s="83"/>
      <c r="J1755" s="83"/>
      <c r="K1755" s="83"/>
      <c r="L1755" s="83"/>
      <c r="M1755" s="83"/>
      <c r="N1755" s="83"/>
      <c r="O1755" s="83"/>
      <c r="P1755" s="83"/>
      <c r="Q1755" s="83"/>
      <c r="R1755" s="83"/>
      <c r="S1755" s="83"/>
      <c r="T1755" s="83"/>
      <c r="U1755" s="83"/>
      <c r="V1755" s="83"/>
      <c r="W1755" s="83"/>
      <c r="X1755" s="83"/>
      <c r="Y1755" s="83"/>
      <c r="Z1755" s="83"/>
    </row>
    <row r="1756">
      <c r="A1756" s="75" t="s">
        <v>45</v>
      </c>
      <c r="B1756" s="75" t="s">
        <v>1006</v>
      </c>
      <c r="C1756" s="75">
        <v>10.95</v>
      </c>
      <c r="D1756" s="75">
        <v>3.0</v>
      </c>
      <c r="E1756" s="75">
        <v>3.65</v>
      </c>
      <c r="F1756" s="75" t="s">
        <v>1005</v>
      </c>
      <c r="G1756" s="82">
        <v>46111.0</v>
      </c>
      <c r="H1756" s="76" t="s">
        <v>937</v>
      </c>
      <c r="I1756" s="83"/>
      <c r="J1756" s="83"/>
      <c r="K1756" s="83"/>
      <c r="L1756" s="83"/>
      <c r="M1756" s="83"/>
      <c r="N1756" s="83"/>
      <c r="O1756" s="83"/>
      <c r="P1756" s="83"/>
      <c r="Q1756" s="83"/>
      <c r="R1756" s="83"/>
      <c r="S1756" s="83"/>
      <c r="T1756" s="83"/>
      <c r="U1756" s="83"/>
      <c r="V1756" s="83"/>
      <c r="W1756" s="83"/>
      <c r="X1756" s="83"/>
      <c r="Y1756" s="83"/>
      <c r="Z1756" s="83"/>
    </row>
    <row r="1757">
      <c r="A1757" s="75" t="s">
        <v>45</v>
      </c>
      <c r="B1757" s="75" t="s">
        <v>1006</v>
      </c>
      <c r="C1757" s="75">
        <v>21.16</v>
      </c>
      <c r="D1757" s="75">
        <v>4.0</v>
      </c>
      <c r="E1757" s="75">
        <v>5.29</v>
      </c>
      <c r="F1757" s="75" t="s">
        <v>1005</v>
      </c>
      <c r="G1757" s="82">
        <v>46111.0</v>
      </c>
      <c r="H1757" s="76" t="s">
        <v>938</v>
      </c>
      <c r="I1757" s="83"/>
      <c r="J1757" s="83"/>
      <c r="K1757" s="83"/>
      <c r="L1757" s="83"/>
      <c r="M1757" s="83"/>
      <c r="N1757" s="83"/>
      <c r="O1757" s="83"/>
      <c r="P1757" s="83"/>
      <c r="Q1757" s="83"/>
      <c r="R1757" s="83"/>
      <c r="S1757" s="83"/>
      <c r="T1757" s="83"/>
      <c r="U1757" s="83"/>
      <c r="V1757" s="83"/>
      <c r="W1757" s="83"/>
      <c r="X1757" s="83"/>
      <c r="Y1757" s="83"/>
      <c r="Z1757" s="83"/>
    </row>
    <row r="1758">
      <c r="A1758" s="75" t="s">
        <v>50</v>
      </c>
      <c r="B1758" s="75" t="s">
        <v>1006</v>
      </c>
      <c r="C1758" s="75">
        <v>26.43</v>
      </c>
      <c r="D1758" s="75">
        <v>8.0</v>
      </c>
      <c r="E1758" s="75">
        <v>3.3</v>
      </c>
      <c r="F1758" s="75" t="s">
        <v>1005</v>
      </c>
      <c r="G1758" s="82">
        <v>46111.0</v>
      </c>
      <c r="H1758" s="76" t="s">
        <v>939</v>
      </c>
      <c r="I1758" s="83"/>
      <c r="J1758" s="83"/>
      <c r="K1758" s="83"/>
      <c r="L1758" s="83"/>
      <c r="M1758" s="83"/>
      <c r="N1758" s="83"/>
      <c r="O1758" s="83"/>
      <c r="P1758" s="83"/>
      <c r="Q1758" s="83"/>
      <c r="R1758" s="83"/>
      <c r="S1758" s="83"/>
      <c r="T1758" s="83"/>
      <c r="U1758" s="83"/>
      <c r="V1758" s="83"/>
      <c r="W1758" s="83"/>
      <c r="X1758" s="83"/>
      <c r="Y1758" s="83"/>
      <c r="Z1758" s="83"/>
    </row>
    <row r="1759">
      <c r="A1759" s="75" t="s">
        <v>50</v>
      </c>
      <c r="B1759" s="75" t="s">
        <v>1006</v>
      </c>
      <c r="C1759" s="75">
        <v>7.48</v>
      </c>
      <c r="D1759" s="75">
        <v>2.0</v>
      </c>
      <c r="E1759" s="75">
        <v>3.74</v>
      </c>
      <c r="F1759" s="75" t="s">
        <v>1005</v>
      </c>
      <c r="G1759" s="82">
        <v>46111.0</v>
      </c>
      <c r="H1759" s="76" t="s">
        <v>940</v>
      </c>
      <c r="I1759" s="83"/>
      <c r="J1759" s="83"/>
      <c r="K1759" s="83"/>
      <c r="L1759" s="83"/>
      <c r="M1759" s="83"/>
      <c r="N1759" s="83"/>
      <c r="O1759" s="83"/>
      <c r="P1759" s="83"/>
      <c r="Q1759" s="83"/>
      <c r="R1759" s="83"/>
      <c r="S1759" s="83"/>
      <c r="T1759" s="83"/>
      <c r="U1759" s="83"/>
      <c r="V1759" s="83"/>
      <c r="W1759" s="83"/>
      <c r="X1759" s="83"/>
      <c r="Y1759" s="83"/>
      <c r="Z1759" s="83"/>
    </row>
    <row r="1760">
      <c r="A1760" s="75" t="s">
        <v>32</v>
      </c>
      <c r="B1760" s="75" t="s">
        <v>1006</v>
      </c>
      <c r="C1760" s="75">
        <v>138.68</v>
      </c>
      <c r="D1760" s="75">
        <v>59.0</v>
      </c>
      <c r="E1760" s="75">
        <v>2.35</v>
      </c>
      <c r="F1760" s="75" t="s">
        <v>1005</v>
      </c>
      <c r="G1760" s="82">
        <v>46111.0</v>
      </c>
      <c r="H1760" s="76" t="s">
        <v>941</v>
      </c>
      <c r="I1760" s="83"/>
      <c r="J1760" s="83"/>
      <c r="K1760" s="83"/>
      <c r="L1760" s="83"/>
      <c r="M1760" s="83"/>
      <c r="N1760" s="83"/>
      <c r="O1760" s="83"/>
      <c r="P1760" s="83"/>
      <c r="Q1760" s="83"/>
      <c r="R1760" s="83"/>
      <c r="S1760" s="83"/>
      <c r="T1760" s="83"/>
      <c r="U1760" s="83"/>
      <c r="V1760" s="83"/>
      <c r="W1760" s="83"/>
      <c r="X1760" s="83"/>
      <c r="Y1760" s="83"/>
      <c r="Z1760" s="83"/>
    </row>
    <row r="1761">
      <c r="A1761" s="75" t="s">
        <v>32</v>
      </c>
      <c r="B1761" s="75" t="s">
        <v>1006</v>
      </c>
      <c r="C1761" s="75">
        <v>15.12</v>
      </c>
      <c r="D1761" s="75">
        <v>12.0</v>
      </c>
      <c r="E1761" s="75">
        <v>1.26</v>
      </c>
      <c r="F1761" s="75" t="s">
        <v>1005</v>
      </c>
      <c r="G1761" s="82">
        <v>46111.0</v>
      </c>
      <c r="H1761" s="76" t="s">
        <v>942</v>
      </c>
      <c r="I1761" s="83"/>
      <c r="J1761" s="83"/>
      <c r="K1761" s="83"/>
      <c r="L1761" s="83"/>
      <c r="M1761" s="83"/>
      <c r="N1761" s="83"/>
      <c r="O1761" s="83"/>
      <c r="P1761" s="83"/>
      <c r="Q1761" s="83"/>
      <c r="R1761" s="83"/>
      <c r="S1761" s="83"/>
      <c r="T1761" s="83"/>
      <c r="U1761" s="83"/>
      <c r="V1761" s="83"/>
      <c r="W1761" s="83"/>
      <c r="X1761" s="83"/>
      <c r="Y1761" s="83"/>
      <c r="Z1761" s="83"/>
    </row>
    <row r="1762">
      <c r="A1762" s="75" t="s">
        <v>32</v>
      </c>
      <c r="B1762" s="75" t="s">
        <v>1006</v>
      </c>
      <c r="C1762" s="75">
        <v>40.16</v>
      </c>
      <c r="D1762" s="75">
        <v>22.0</v>
      </c>
      <c r="E1762" s="75">
        <v>1.83</v>
      </c>
      <c r="F1762" s="75" t="s">
        <v>1005</v>
      </c>
      <c r="G1762" s="82">
        <v>46111.0</v>
      </c>
      <c r="H1762" s="76" t="s">
        <v>943</v>
      </c>
      <c r="I1762" s="83"/>
      <c r="J1762" s="83"/>
      <c r="K1762" s="83"/>
      <c r="L1762" s="83"/>
      <c r="M1762" s="83"/>
      <c r="N1762" s="83"/>
      <c r="O1762" s="83"/>
      <c r="P1762" s="83"/>
      <c r="Q1762" s="83"/>
      <c r="R1762" s="83"/>
      <c r="S1762" s="83"/>
      <c r="T1762" s="83"/>
      <c r="U1762" s="83"/>
      <c r="V1762" s="83"/>
      <c r="W1762" s="83"/>
      <c r="X1762" s="83"/>
      <c r="Y1762" s="83"/>
      <c r="Z1762" s="83"/>
    </row>
    <row r="1763">
      <c r="A1763" s="75" t="s">
        <v>944</v>
      </c>
      <c r="B1763" s="75" t="s">
        <v>1006</v>
      </c>
      <c r="C1763" s="75">
        <v>19.01</v>
      </c>
      <c r="D1763" s="75">
        <v>6.0</v>
      </c>
      <c r="E1763" s="75">
        <v>3.17</v>
      </c>
      <c r="F1763" s="75" t="s">
        <v>1005</v>
      </c>
      <c r="G1763" s="82">
        <v>46111.0</v>
      </c>
      <c r="H1763" s="76" t="s">
        <v>945</v>
      </c>
      <c r="I1763" s="83"/>
      <c r="J1763" s="83"/>
      <c r="K1763" s="83"/>
      <c r="L1763" s="83"/>
      <c r="M1763" s="83"/>
      <c r="N1763" s="83"/>
      <c r="O1763" s="83"/>
      <c r="P1763" s="83"/>
      <c r="Q1763" s="83"/>
      <c r="R1763" s="83"/>
      <c r="S1763" s="83"/>
      <c r="T1763" s="83"/>
      <c r="U1763" s="83"/>
      <c r="V1763" s="83"/>
      <c r="W1763" s="83"/>
      <c r="X1763" s="83"/>
      <c r="Y1763" s="83"/>
      <c r="Z1763" s="83"/>
    </row>
    <row r="1764">
      <c r="A1764" s="75" t="s">
        <v>944</v>
      </c>
      <c r="B1764" s="75" t="s">
        <v>1006</v>
      </c>
      <c r="C1764" s="75">
        <v>12.28</v>
      </c>
      <c r="D1764" s="75">
        <v>2.0</v>
      </c>
      <c r="E1764" s="75">
        <v>6.14</v>
      </c>
      <c r="F1764" s="75" t="s">
        <v>1005</v>
      </c>
      <c r="G1764" s="82">
        <v>46111.0</v>
      </c>
      <c r="H1764" s="76" t="s">
        <v>946</v>
      </c>
      <c r="I1764" s="83"/>
      <c r="J1764" s="83"/>
      <c r="K1764" s="83"/>
      <c r="L1764" s="83"/>
      <c r="M1764" s="83"/>
      <c r="N1764" s="83"/>
      <c r="O1764" s="83"/>
      <c r="P1764" s="83"/>
      <c r="Q1764" s="83"/>
      <c r="R1764" s="83"/>
      <c r="S1764" s="83"/>
      <c r="T1764" s="83"/>
      <c r="U1764" s="83"/>
      <c r="V1764" s="83"/>
      <c r="W1764" s="83"/>
      <c r="X1764" s="83"/>
      <c r="Y1764" s="83"/>
      <c r="Z1764" s="83"/>
    </row>
    <row r="1765">
      <c r="A1765" s="75" t="s">
        <v>944</v>
      </c>
      <c r="B1765" s="75" t="s">
        <v>1006</v>
      </c>
      <c r="C1765" s="75">
        <v>12.46</v>
      </c>
      <c r="D1765" s="75">
        <v>5.0</v>
      </c>
      <c r="E1765" s="75">
        <v>2.49</v>
      </c>
      <c r="F1765" s="75" t="s">
        <v>1005</v>
      </c>
      <c r="G1765" s="82">
        <v>46111.0</v>
      </c>
      <c r="H1765" s="76" t="s">
        <v>947</v>
      </c>
      <c r="I1765" s="83"/>
      <c r="J1765" s="83"/>
      <c r="K1765" s="83"/>
      <c r="L1765" s="83"/>
      <c r="M1765" s="83"/>
      <c r="N1765" s="83"/>
      <c r="O1765" s="83"/>
      <c r="P1765" s="83"/>
      <c r="Q1765" s="83"/>
      <c r="R1765" s="83"/>
      <c r="S1765" s="83"/>
      <c r="T1765" s="83"/>
      <c r="U1765" s="83"/>
      <c r="V1765" s="83"/>
      <c r="W1765" s="83"/>
      <c r="X1765" s="83"/>
      <c r="Y1765" s="83"/>
      <c r="Z1765" s="83"/>
    </row>
    <row r="1766">
      <c r="A1766" s="75" t="s">
        <v>26</v>
      </c>
      <c r="B1766" s="75" t="s">
        <v>1006</v>
      </c>
      <c r="C1766" s="75">
        <v>2.25</v>
      </c>
      <c r="D1766" s="75">
        <v>1.0</v>
      </c>
      <c r="E1766" s="75">
        <v>2.25</v>
      </c>
      <c r="F1766" s="75" t="s">
        <v>1005</v>
      </c>
      <c r="G1766" s="82">
        <v>46111.0</v>
      </c>
      <c r="H1766" s="76" t="s">
        <v>1012</v>
      </c>
      <c r="I1766" s="83"/>
      <c r="J1766" s="83"/>
      <c r="K1766" s="83"/>
      <c r="L1766" s="83"/>
      <c r="M1766" s="83"/>
      <c r="N1766" s="83"/>
      <c r="O1766" s="83"/>
      <c r="P1766" s="83"/>
      <c r="Q1766" s="83"/>
      <c r="R1766" s="83"/>
      <c r="S1766" s="83"/>
      <c r="T1766" s="83"/>
      <c r="U1766" s="83"/>
      <c r="V1766" s="83"/>
      <c r="W1766" s="83"/>
      <c r="X1766" s="83"/>
      <c r="Y1766" s="83"/>
      <c r="Z1766" s="83"/>
    </row>
    <row r="1767">
      <c r="A1767" s="75" t="s">
        <v>26</v>
      </c>
      <c r="B1767" s="75" t="s">
        <v>1006</v>
      </c>
      <c r="C1767" s="75">
        <v>12.94</v>
      </c>
      <c r="D1767" s="75">
        <v>4.0</v>
      </c>
      <c r="E1767" s="75">
        <v>3.24</v>
      </c>
      <c r="F1767" s="75" t="s">
        <v>1005</v>
      </c>
      <c r="G1767" s="82">
        <v>46111.0</v>
      </c>
      <c r="H1767" s="76" t="s">
        <v>1013</v>
      </c>
      <c r="I1767" s="83"/>
      <c r="J1767" s="83"/>
      <c r="K1767" s="83"/>
      <c r="L1767" s="83"/>
      <c r="M1767" s="83"/>
      <c r="N1767" s="83"/>
      <c r="O1767" s="83"/>
      <c r="P1767" s="83"/>
      <c r="Q1767" s="83"/>
      <c r="R1767" s="83"/>
      <c r="S1767" s="83"/>
      <c r="T1767" s="83"/>
      <c r="U1767" s="83"/>
      <c r="V1767" s="83"/>
      <c r="W1767" s="83"/>
      <c r="X1767" s="83"/>
      <c r="Y1767" s="83"/>
      <c r="Z1767" s="83"/>
    </row>
    <row r="1768">
      <c r="A1768" s="75" t="s">
        <v>26</v>
      </c>
      <c r="B1768" s="75" t="s">
        <v>1006</v>
      </c>
      <c r="C1768" s="75">
        <v>4.82</v>
      </c>
      <c r="D1768" s="75">
        <v>1.0</v>
      </c>
      <c r="E1768" s="75">
        <v>4.82</v>
      </c>
      <c r="F1768" s="75" t="s">
        <v>1005</v>
      </c>
      <c r="G1768" s="82">
        <v>46111.0</v>
      </c>
      <c r="H1768" s="76" t="s">
        <v>1014</v>
      </c>
      <c r="I1768" s="83"/>
      <c r="J1768" s="83"/>
      <c r="K1768" s="83"/>
      <c r="L1768" s="83"/>
      <c r="M1768" s="83"/>
      <c r="N1768" s="83"/>
      <c r="O1768" s="83"/>
      <c r="P1768" s="83"/>
      <c r="Q1768" s="83"/>
      <c r="R1768" s="83"/>
      <c r="S1768" s="83"/>
      <c r="T1768" s="83"/>
      <c r="U1768" s="83"/>
      <c r="V1768" s="83"/>
      <c r="W1768" s="83"/>
      <c r="X1768" s="83"/>
      <c r="Y1768" s="83"/>
      <c r="Z1768" s="83"/>
    </row>
    <row r="1769">
      <c r="A1769" s="75" t="s">
        <v>36</v>
      </c>
      <c r="B1769" s="75" t="s">
        <v>1006</v>
      </c>
      <c r="C1769" s="75">
        <v>49.69</v>
      </c>
      <c r="D1769" s="75">
        <v>6.0</v>
      </c>
      <c r="E1769" s="75">
        <v>8.28</v>
      </c>
      <c r="F1769" s="75" t="s">
        <v>996</v>
      </c>
      <c r="G1769" s="82">
        <v>46111.0</v>
      </c>
      <c r="H1769" s="76" t="s">
        <v>926</v>
      </c>
      <c r="I1769" s="83"/>
      <c r="J1769" s="83"/>
      <c r="K1769" s="83"/>
      <c r="L1769" s="83"/>
      <c r="M1769" s="83"/>
      <c r="N1769" s="83"/>
      <c r="O1769" s="83"/>
      <c r="P1769" s="83"/>
      <c r="Q1769" s="83"/>
      <c r="R1769" s="83"/>
      <c r="S1769" s="83"/>
      <c r="T1769" s="83"/>
      <c r="U1769" s="83"/>
      <c r="V1769" s="83"/>
      <c r="W1769" s="83"/>
      <c r="X1769" s="83"/>
      <c r="Y1769" s="83"/>
      <c r="Z1769" s="83"/>
    </row>
    <row r="1770">
      <c r="A1770" s="75" t="s">
        <v>36</v>
      </c>
      <c r="B1770" s="75" t="s">
        <v>1006</v>
      </c>
      <c r="C1770" s="75">
        <v>3.97</v>
      </c>
      <c r="D1770" s="75">
        <v>0.0</v>
      </c>
      <c r="E1770" s="75">
        <v>0.0</v>
      </c>
      <c r="F1770" s="75" t="s">
        <v>996</v>
      </c>
      <c r="G1770" s="82">
        <v>46111.0</v>
      </c>
      <c r="H1770" s="76" t="s">
        <v>927</v>
      </c>
      <c r="I1770" s="83"/>
      <c r="J1770" s="83"/>
      <c r="K1770" s="83"/>
      <c r="L1770" s="83"/>
      <c r="M1770" s="83"/>
      <c r="N1770" s="83"/>
      <c r="O1770" s="83"/>
      <c r="P1770" s="83"/>
      <c r="Q1770" s="83"/>
      <c r="R1770" s="83"/>
      <c r="S1770" s="83"/>
      <c r="T1770" s="83"/>
      <c r="U1770" s="83"/>
      <c r="V1770" s="83"/>
      <c r="W1770" s="83"/>
      <c r="X1770" s="83"/>
      <c r="Y1770" s="83"/>
      <c r="Z1770" s="83"/>
    </row>
    <row r="1771">
      <c r="A1771" s="75" t="s">
        <v>36</v>
      </c>
      <c r="B1771" s="75" t="s">
        <v>1006</v>
      </c>
      <c r="C1771" s="75">
        <v>10.48</v>
      </c>
      <c r="D1771" s="75">
        <v>0.0</v>
      </c>
      <c r="E1771" s="75">
        <v>0.0</v>
      </c>
      <c r="F1771" s="75" t="s">
        <v>996</v>
      </c>
      <c r="G1771" s="82">
        <v>46111.0</v>
      </c>
      <c r="H1771" s="76" t="s">
        <v>928</v>
      </c>
      <c r="I1771" s="83"/>
      <c r="J1771" s="83"/>
      <c r="K1771" s="83"/>
      <c r="L1771" s="83"/>
      <c r="M1771" s="83"/>
      <c r="N1771" s="83"/>
      <c r="O1771" s="83"/>
      <c r="P1771" s="83"/>
      <c r="Q1771" s="83"/>
      <c r="R1771" s="83"/>
      <c r="S1771" s="83"/>
      <c r="T1771" s="83"/>
      <c r="U1771" s="83"/>
      <c r="V1771" s="83"/>
      <c r="W1771" s="83"/>
      <c r="X1771" s="83"/>
      <c r="Y1771" s="83"/>
      <c r="Z1771" s="83"/>
    </row>
    <row r="1772">
      <c r="A1772" s="75" t="s">
        <v>31</v>
      </c>
      <c r="B1772" s="75" t="s">
        <v>1006</v>
      </c>
      <c r="C1772" s="75">
        <v>42.47</v>
      </c>
      <c r="D1772" s="75">
        <v>28.0</v>
      </c>
      <c r="E1772" s="75">
        <v>1.52</v>
      </c>
      <c r="F1772" s="75" t="s">
        <v>996</v>
      </c>
      <c r="G1772" s="82">
        <v>46111.0</v>
      </c>
      <c r="H1772" s="76" t="s">
        <v>929</v>
      </c>
      <c r="I1772" s="83"/>
      <c r="J1772" s="83"/>
      <c r="K1772" s="83"/>
      <c r="L1772" s="83"/>
      <c r="M1772" s="83"/>
      <c r="N1772" s="83"/>
      <c r="O1772" s="83"/>
      <c r="P1772" s="83"/>
      <c r="Q1772" s="83"/>
      <c r="R1772" s="83"/>
      <c r="S1772" s="83"/>
      <c r="T1772" s="83"/>
      <c r="U1772" s="83"/>
      <c r="V1772" s="83"/>
      <c r="W1772" s="83"/>
      <c r="X1772" s="83"/>
      <c r="Y1772" s="83"/>
      <c r="Z1772" s="83"/>
    </row>
    <row r="1773">
      <c r="A1773" s="75" t="s">
        <v>31</v>
      </c>
      <c r="B1773" s="75" t="s">
        <v>1006</v>
      </c>
      <c r="C1773" s="75">
        <v>197.64</v>
      </c>
      <c r="D1773" s="75">
        <v>96.0</v>
      </c>
      <c r="E1773" s="75">
        <v>2.06</v>
      </c>
      <c r="F1773" s="75" t="s">
        <v>996</v>
      </c>
      <c r="G1773" s="82">
        <v>46111.0</v>
      </c>
      <c r="H1773" s="76" t="s">
        <v>930</v>
      </c>
      <c r="I1773" s="83"/>
      <c r="J1773" s="83"/>
      <c r="K1773" s="83"/>
      <c r="L1773" s="83"/>
      <c r="M1773" s="83"/>
      <c r="N1773" s="83"/>
      <c r="O1773" s="83"/>
      <c r="P1773" s="83"/>
      <c r="Q1773" s="83"/>
      <c r="R1773" s="83"/>
      <c r="S1773" s="83"/>
      <c r="T1773" s="83"/>
      <c r="U1773" s="83"/>
      <c r="V1773" s="83"/>
      <c r="W1773" s="83"/>
      <c r="X1773" s="83"/>
      <c r="Y1773" s="83"/>
      <c r="Z1773" s="83"/>
    </row>
    <row r="1774">
      <c r="A1774" s="75" t="s">
        <v>28</v>
      </c>
      <c r="B1774" s="75" t="s">
        <v>1006</v>
      </c>
      <c r="C1774" s="75">
        <v>10.22</v>
      </c>
      <c r="D1774" s="75">
        <v>0.0</v>
      </c>
      <c r="E1774" s="75">
        <v>0.0</v>
      </c>
      <c r="F1774" s="75" t="s">
        <v>996</v>
      </c>
      <c r="G1774" s="82">
        <v>46111.0</v>
      </c>
      <c r="H1774" s="76" t="s">
        <v>931</v>
      </c>
      <c r="I1774" s="83"/>
      <c r="J1774" s="83"/>
      <c r="K1774" s="83"/>
      <c r="L1774" s="83"/>
      <c r="M1774" s="83"/>
      <c r="N1774" s="83"/>
      <c r="O1774" s="83"/>
      <c r="P1774" s="83"/>
      <c r="Q1774" s="83"/>
      <c r="R1774" s="83"/>
      <c r="S1774" s="83"/>
      <c r="T1774" s="83"/>
      <c r="U1774" s="83"/>
      <c r="V1774" s="83"/>
      <c r="W1774" s="83"/>
      <c r="X1774" s="83"/>
      <c r="Y1774" s="83"/>
      <c r="Z1774" s="83"/>
    </row>
    <row r="1775">
      <c r="A1775" s="75" t="s">
        <v>28</v>
      </c>
      <c r="B1775" s="75" t="s">
        <v>1006</v>
      </c>
      <c r="C1775" s="75">
        <v>3.27</v>
      </c>
      <c r="D1775" s="75">
        <v>0.0</v>
      </c>
      <c r="E1775" s="75">
        <v>0.0</v>
      </c>
      <c r="F1775" s="75" t="s">
        <v>996</v>
      </c>
      <c r="G1775" s="82">
        <v>46111.0</v>
      </c>
      <c r="H1775" s="76" t="s">
        <v>932</v>
      </c>
      <c r="I1775" s="83"/>
      <c r="J1775" s="83"/>
      <c r="K1775" s="83"/>
      <c r="L1775" s="83"/>
      <c r="M1775" s="83"/>
      <c r="N1775" s="83"/>
      <c r="O1775" s="83"/>
      <c r="P1775" s="83"/>
      <c r="Q1775" s="83"/>
      <c r="R1775" s="83"/>
      <c r="S1775" s="83"/>
      <c r="T1775" s="83"/>
      <c r="U1775" s="83"/>
      <c r="V1775" s="83"/>
      <c r="W1775" s="83"/>
      <c r="X1775" s="83"/>
      <c r="Y1775" s="83"/>
      <c r="Z1775" s="83"/>
    </row>
    <row r="1776">
      <c r="A1776" s="75" t="s">
        <v>28</v>
      </c>
      <c r="B1776" s="75" t="s">
        <v>1006</v>
      </c>
      <c r="C1776" s="75">
        <v>79.47</v>
      </c>
      <c r="D1776" s="75">
        <v>9.0</v>
      </c>
      <c r="E1776" s="75">
        <v>8.83</v>
      </c>
      <c r="F1776" s="75" t="s">
        <v>996</v>
      </c>
      <c r="G1776" s="82">
        <v>46111.0</v>
      </c>
      <c r="H1776" s="76" t="s">
        <v>933</v>
      </c>
      <c r="I1776" s="83"/>
      <c r="J1776" s="83"/>
      <c r="K1776" s="83"/>
      <c r="L1776" s="83"/>
      <c r="M1776" s="83"/>
      <c r="N1776" s="83"/>
      <c r="O1776" s="83"/>
      <c r="P1776" s="83"/>
      <c r="Q1776" s="83"/>
      <c r="R1776" s="83"/>
      <c r="S1776" s="83"/>
      <c r="T1776" s="83"/>
      <c r="U1776" s="83"/>
      <c r="V1776" s="83"/>
      <c r="W1776" s="83"/>
      <c r="X1776" s="83"/>
      <c r="Y1776" s="83"/>
      <c r="Z1776" s="83"/>
    </row>
    <row r="1777">
      <c r="A1777" s="75" t="s">
        <v>42</v>
      </c>
      <c r="B1777" s="75" t="s">
        <v>1006</v>
      </c>
      <c r="C1777" s="75">
        <v>1.53</v>
      </c>
      <c r="D1777" s="75">
        <v>0.0</v>
      </c>
      <c r="E1777" s="75">
        <v>0.0</v>
      </c>
      <c r="F1777" s="75" t="s">
        <v>996</v>
      </c>
      <c r="G1777" s="82">
        <v>46111.0</v>
      </c>
      <c r="H1777" s="76" t="s">
        <v>934</v>
      </c>
      <c r="I1777" s="83"/>
      <c r="J1777" s="83"/>
      <c r="K1777" s="83"/>
      <c r="L1777" s="83"/>
      <c r="M1777" s="83"/>
      <c r="N1777" s="83"/>
      <c r="O1777" s="83"/>
      <c r="P1777" s="83"/>
      <c r="Q1777" s="83"/>
      <c r="R1777" s="83"/>
      <c r="S1777" s="83"/>
      <c r="T1777" s="83"/>
      <c r="U1777" s="83"/>
      <c r="V1777" s="83"/>
      <c r="W1777" s="83"/>
      <c r="X1777" s="83"/>
      <c r="Y1777" s="83"/>
      <c r="Z1777" s="83"/>
    </row>
    <row r="1778">
      <c r="A1778" s="75" t="s">
        <v>42</v>
      </c>
      <c r="B1778" s="75" t="s">
        <v>1006</v>
      </c>
      <c r="C1778" s="75">
        <v>0.53</v>
      </c>
      <c r="D1778" s="75">
        <v>0.0</v>
      </c>
      <c r="E1778" s="75">
        <v>0.0</v>
      </c>
      <c r="F1778" s="75" t="s">
        <v>996</v>
      </c>
      <c r="G1778" s="82">
        <v>46111.0</v>
      </c>
      <c r="H1778" s="76" t="s">
        <v>991</v>
      </c>
      <c r="I1778" s="83"/>
      <c r="J1778" s="83"/>
      <c r="K1778" s="83"/>
      <c r="L1778" s="83"/>
      <c r="M1778" s="83"/>
      <c r="N1778" s="83"/>
      <c r="O1778" s="83"/>
      <c r="P1778" s="83"/>
      <c r="Q1778" s="83"/>
      <c r="R1778" s="83"/>
      <c r="S1778" s="83"/>
      <c r="T1778" s="83"/>
      <c r="U1778" s="83"/>
      <c r="V1778" s="83"/>
      <c r="W1778" s="83"/>
      <c r="X1778" s="83"/>
      <c r="Y1778" s="83"/>
      <c r="Z1778" s="83"/>
    </row>
    <row r="1779">
      <c r="A1779" s="75" t="s">
        <v>42</v>
      </c>
      <c r="B1779" s="75" t="s">
        <v>1006</v>
      </c>
      <c r="C1779" s="75">
        <v>47.26</v>
      </c>
      <c r="D1779" s="75">
        <v>1.0</v>
      </c>
      <c r="E1779" s="75">
        <v>47.26</v>
      </c>
      <c r="F1779" s="75" t="s">
        <v>996</v>
      </c>
      <c r="G1779" s="82">
        <v>46111.0</v>
      </c>
      <c r="H1779" s="76" t="s">
        <v>935</v>
      </c>
      <c r="I1779" s="83"/>
      <c r="J1779" s="83"/>
      <c r="K1779" s="83"/>
      <c r="L1779" s="83"/>
      <c r="M1779" s="83"/>
      <c r="N1779" s="83"/>
      <c r="O1779" s="83"/>
      <c r="P1779" s="83"/>
      <c r="Q1779" s="83"/>
      <c r="R1779" s="83"/>
      <c r="S1779" s="83"/>
      <c r="T1779" s="83"/>
      <c r="U1779" s="83"/>
      <c r="V1779" s="83"/>
      <c r="W1779" s="83"/>
      <c r="X1779" s="83"/>
      <c r="Y1779" s="83"/>
      <c r="Z1779" s="83"/>
    </row>
    <row r="1780">
      <c r="A1780" s="75" t="s">
        <v>45</v>
      </c>
      <c r="B1780" s="75" t="s">
        <v>1006</v>
      </c>
      <c r="C1780" s="75">
        <v>27.61</v>
      </c>
      <c r="D1780" s="75">
        <v>2.0</v>
      </c>
      <c r="E1780" s="75">
        <v>13.8</v>
      </c>
      <c r="F1780" s="75" t="s">
        <v>996</v>
      </c>
      <c r="G1780" s="82">
        <v>46111.0</v>
      </c>
      <c r="H1780" s="76" t="s">
        <v>936</v>
      </c>
      <c r="I1780" s="83"/>
      <c r="J1780" s="83"/>
      <c r="K1780" s="83"/>
      <c r="L1780" s="83"/>
      <c r="M1780" s="83"/>
      <c r="N1780" s="83"/>
      <c r="O1780" s="83"/>
      <c r="P1780" s="83"/>
      <c r="Q1780" s="83"/>
      <c r="R1780" s="83"/>
      <c r="S1780" s="83"/>
      <c r="T1780" s="83"/>
      <c r="U1780" s="83"/>
      <c r="V1780" s="83"/>
      <c r="W1780" s="83"/>
      <c r="X1780" s="83"/>
      <c r="Y1780" s="83"/>
      <c r="Z1780" s="83"/>
    </row>
    <row r="1781">
      <c r="A1781" s="75" t="s">
        <v>45</v>
      </c>
      <c r="B1781" s="75" t="s">
        <v>1006</v>
      </c>
      <c r="C1781" s="75">
        <v>8.48</v>
      </c>
      <c r="D1781" s="75">
        <v>0.0</v>
      </c>
      <c r="E1781" s="75">
        <v>0.0</v>
      </c>
      <c r="F1781" s="75" t="s">
        <v>996</v>
      </c>
      <c r="G1781" s="82">
        <v>46111.0</v>
      </c>
      <c r="H1781" s="76" t="s">
        <v>937</v>
      </c>
      <c r="I1781" s="83"/>
      <c r="J1781" s="83"/>
      <c r="K1781" s="83"/>
      <c r="L1781" s="83"/>
      <c r="M1781" s="83"/>
      <c r="N1781" s="83"/>
      <c r="O1781" s="83"/>
      <c r="P1781" s="83"/>
      <c r="Q1781" s="83"/>
      <c r="R1781" s="83"/>
      <c r="S1781" s="83"/>
      <c r="T1781" s="83"/>
      <c r="U1781" s="83"/>
      <c r="V1781" s="83"/>
      <c r="W1781" s="83"/>
      <c r="X1781" s="83"/>
      <c r="Y1781" s="83"/>
      <c r="Z1781" s="83"/>
    </row>
    <row r="1782">
      <c r="A1782" s="75" t="s">
        <v>45</v>
      </c>
      <c r="B1782" s="75" t="s">
        <v>1006</v>
      </c>
      <c r="C1782" s="75">
        <v>23.74</v>
      </c>
      <c r="D1782" s="75">
        <v>2.0</v>
      </c>
      <c r="E1782" s="75">
        <v>11.87</v>
      </c>
      <c r="F1782" s="75" t="s">
        <v>996</v>
      </c>
      <c r="G1782" s="82">
        <v>46111.0</v>
      </c>
      <c r="H1782" s="76" t="s">
        <v>938</v>
      </c>
      <c r="I1782" s="83"/>
      <c r="J1782" s="83"/>
      <c r="K1782" s="83"/>
      <c r="L1782" s="83"/>
      <c r="M1782" s="83"/>
      <c r="N1782" s="83"/>
      <c r="O1782" s="83"/>
      <c r="P1782" s="83"/>
      <c r="Q1782" s="83"/>
      <c r="R1782" s="83"/>
      <c r="S1782" s="83"/>
      <c r="T1782" s="83"/>
      <c r="U1782" s="83"/>
      <c r="V1782" s="83"/>
      <c r="W1782" s="83"/>
      <c r="X1782" s="83"/>
      <c r="Y1782" s="83"/>
      <c r="Z1782" s="83"/>
    </row>
    <row r="1783">
      <c r="A1783" s="75" t="s">
        <v>50</v>
      </c>
      <c r="B1783" s="75" t="s">
        <v>1006</v>
      </c>
      <c r="C1783" s="75">
        <v>7.49</v>
      </c>
      <c r="D1783" s="75">
        <v>0.0</v>
      </c>
      <c r="E1783" s="75">
        <v>0.0</v>
      </c>
      <c r="F1783" s="75" t="s">
        <v>996</v>
      </c>
      <c r="G1783" s="82">
        <v>46111.0</v>
      </c>
      <c r="H1783" s="76" t="s">
        <v>939</v>
      </c>
      <c r="I1783" s="83"/>
      <c r="J1783" s="83"/>
      <c r="K1783" s="83"/>
      <c r="L1783" s="83"/>
      <c r="M1783" s="83"/>
      <c r="N1783" s="83"/>
      <c r="O1783" s="83"/>
      <c r="P1783" s="83"/>
      <c r="Q1783" s="83"/>
      <c r="R1783" s="83"/>
      <c r="S1783" s="83"/>
      <c r="T1783" s="83"/>
      <c r="U1783" s="83"/>
      <c r="V1783" s="83"/>
      <c r="W1783" s="83"/>
      <c r="X1783" s="83"/>
      <c r="Y1783" s="83"/>
      <c r="Z1783" s="83"/>
    </row>
    <row r="1784">
      <c r="A1784" s="75" t="s">
        <v>50</v>
      </c>
      <c r="B1784" s="75" t="s">
        <v>1006</v>
      </c>
      <c r="C1784" s="75">
        <v>4.4</v>
      </c>
      <c r="D1784" s="75">
        <v>1.0</v>
      </c>
      <c r="E1784" s="75">
        <v>4.4</v>
      </c>
      <c r="F1784" s="75" t="s">
        <v>996</v>
      </c>
      <c r="G1784" s="82">
        <v>46111.0</v>
      </c>
      <c r="H1784" s="76" t="s">
        <v>940</v>
      </c>
      <c r="I1784" s="83"/>
      <c r="J1784" s="83"/>
      <c r="K1784" s="83"/>
      <c r="L1784" s="83"/>
      <c r="M1784" s="83"/>
      <c r="N1784" s="83"/>
      <c r="O1784" s="83"/>
      <c r="P1784" s="83"/>
      <c r="Q1784" s="83"/>
      <c r="R1784" s="83"/>
      <c r="S1784" s="83"/>
      <c r="T1784" s="83"/>
      <c r="U1784" s="83"/>
      <c r="V1784" s="83"/>
      <c r="W1784" s="83"/>
      <c r="X1784" s="83"/>
      <c r="Y1784" s="83"/>
      <c r="Z1784" s="83"/>
    </row>
    <row r="1785">
      <c r="A1785" s="75" t="s">
        <v>32</v>
      </c>
      <c r="B1785" s="75" t="s">
        <v>1006</v>
      </c>
      <c r="C1785" s="75">
        <v>62.7</v>
      </c>
      <c r="D1785" s="75">
        <v>25.0</v>
      </c>
      <c r="E1785" s="75">
        <v>2.51</v>
      </c>
      <c r="F1785" s="75" t="s">
        <v>996</v>
      </c>
      <c r="G1785" s="82">
        <v>46111.0</v>
      </c>
      <c r="H1785" s="76" t="s">
        <v>941</v>
      </c>
      <c r="I1785" s="83"/>
      <c r="J1785" s="83"/>
      <c r="K1785" s="83"/>
      <c r="L1785" s="83"/>
      <c r="M1785" s="83"/>
      <c r="N1785" s="83"/>
      <c r="O1785" s="83"/>
      <c r="P1785" s="83"/>
      <c r="Q1785" s="83"/>
      <c r="R1785" s="83"/>
      <c r="S1785" s="83"/>
      <c r="T1785" s="83"/>
      <c r="U1785" s="83"/>
      <c r="V1785" s="83"/>
      <c r="W1785" s="83"/>
      <c r="X1785" s="83"/>
      <c r="Y1785" s="83"/>
      <c r="Z1785" s="83"/>
    </row>
    <row r="1786">
      <c r="A1786" s="75" t="s">
        <v>32</v>
      </c>
      <c r="B1786" s="75" t="s">
        <v>1006</v>
      </c>
      <c r="C1786" s="75">
        <v>60.5</v>
      </c>
      <c r="D1786" s="75">
        <v>41.0</v>
      </c>
      <c r="E1786" s="75">
        <v>1.48</v>
      </c>
      <c r="F1786" s="75" t="s">
        <v>996</v>
      </c>
      <c r="G1786" s="82">
        <v>46111.0</v>
      </c>
      <c r="H1786" s="76" t="s">
        <v>942</v>
      </c>
      <c r="I1786" s="83"/>
      <c r="J1786" s="83"/>
      <c r="K1786" s="83"/>
      <c r="L1786" s="83"/>
      <c r="M1786" s="83"/>
      <c r="N1786" s="83"/>
      <c r="O1786" s="83"/>
      <c r="P1786" s="83"/>
      <c r="Q1786" s="83"/>
      <c r="R1786" s="83"/>
      <c r="S1786" s="83"/>
      <c r="T1786" s="83"/>
      <c r="U1786" s="83"/>
      <c r="V1786" s="83"/>
      <c r="W1786" s="83"/>
      <c r="X1786" s="83"/>
      <c r="Y1786" s="83"/>
      <c r="Z1786" s="83"/>
    </row>
    <row r="1787">
      <c r="A1787" s="75" t="s">
        <v>32</v>
      </c>
      <c r="B1787" s="75" t="s">
        <v>1006</v>
      </c>
      <c r="C1787" s="75">
        <v>57.93</v>
      </c>
      <c r="D1787" s="75">
        <v>120.0</v>
      </c>
      <c r="E1787" s="75">
        <v>0.48</v>
      </c>
      <c r="F1787" s="75" t="s">
        <v>996</v>
      </c>
      <c r="G1787" s="82">
        <v>46111.0</v>
      </c>
      <c r="H1787" s="76" t="s">
        <v>943</v>
      </c>
      <c r="I1787" s="83"/>
      <c r="J1787" s="83"/>
      <c r="K1787" s="83"/>
      <c r="L1787" s="83"/>
      <c r="M1787" s="83"/>
      <c r="N1787" s="83"/>
      <c r="O1787" s="83"/>
      <c r="P1787" s="83"/>
      <c r="Q1787" s="83"/>
      <c r="R1787" s="83"/>
      <c r="S1787" s="83"/>
      <c r="T1787" s="83"/>
      <c r="U1787" s="83"/>
      <c r="V1787" s="83"/>
      <c r="W1787" s="83"/>
      <c r="X1787" s="83"/>
      <c r="Y1787" s="83"/>
      <c r="Z1787" s="83"/>
    </row>
    <row r="1788">
      <c r="A1788" s="75" t="s">
        <v>944</v>
      </c>
      <c r="B1788" s="75" t="s">
        <v>1006</v>
      </c>
      <c r="C1788" s="75">
        <v>59.92</v>
      </c>
      <c r="D1788" s="75">
        <v>3.0</v>
      </c>
      <c r="E1788" s="75">
        <v>19.97</v>
      </c>
      <c r="F1788" s="75" t="s">
        <v>996</v>
      </c>
      <c r="G1788" s="82">
        <v>46111.0</v>
      </c>
      <c r="H1788" s="76" t="s">
        <v>945</v>
      </c>
      <c r="I1788" s="83"/>
      <c r="J1788" s="83"/>
      <c r="K1788" s="83"/>
      <c r="L1788" s="83"/>
      <c r="M1788" s="83"/>
      <c r="N1788" s="83"/>
      <c r="O1788" s="83"/>
      <c r="P1788" s="83"/>
      <c r="Q1788" s="83"/>
      <c r="R1788" s="83"/>
      <c r="S1788" s="83"/>
      <c r="T1788" s="83"/>
      <c r="U1788" s="83"/>
      <c r="V1788" s="83"/>
      <c r="W1788" s="83"/>
      <c r="X1788" s="83"/>
      <c r="Y1788" s="83"/>
      <c r="Z1788" s="83"/>
    </row>
    <row r="1789">
      <c r="A1789" s="75" t="s">
        <v>944</v>
      </c>
      <c r="B1789" s="75" t="s">
        <v>1006</v>
      </c>
      <c r="C1789" s="75">
        <v>4.96</v>
      </c>
      <c r="D1789" s="75">
        <v>1.0</v>
      </c>
      <c r="E1789" s="75">
        <v>4.96</v>
      </c>
      <c r="F1789" s="75" t="s">
        <v>996</v>
      </c>
      <c r="G1789" s="82">
        <v>46111.0</v>
      </c>
      <c r="H1789" s="76" t="s">
        <v>946</v>
      </c>
      <c r="I1789" s="83"/>
      <c r="J1789" s="83"/>
      <c r="K1789" s="83"/>
      <c r="L1789" s="83"/>
      <c r="M1789" s="83"/>
      <c r="N1789" s="83"/>
      <c r="O1789" s="83"/>
      <c r="P1789" s="83"/>
      <c r="Q1789" s="83"/>
      <c r="R1789" s="83"/>
      <c r="S1789" s="83"/>
      <c r="T1789" s="83"/>
      <c r="U1789" s="83"/>
      <c r="V1789" s="83"/>
      <c r="W1789" s="83"/>
      <c r="X1789" s="83"/>
      <c r="Y1789" s="83"/>
      <c r="Z1789" s="83"/>
    </row>
    <row r="1790">
      <c r="A1790" s="75" t="s">
        <v>944</v>
      </c>
      <c r="B1790" s="75" t="s">
        <v>1006</v>
      </c>
      <c r="C1790" s="75">
        <v>10.89</v>
      </c>
      <c r="D1790" s="75">
        <v>0.0</v>
      </c>
      <c r="E1790" s="75">
        <v>0.0</v>
      </c>
      <c r="F1790" s="75" t="s">
        <v>996</v>
      </c>
      <c r="G1790" s="82">
        <v>46111.0</v>
      </c>
      <c r="H1790" s="76" t="s">
        <v>947</v>
      </c>
      <c r="I1790" s="83"/>
      <c r="J1790" s="83"/>
      <c r="K1790" s="83"/>
      <c r="L1790" s="83"/>
      <c r="M1790" s="83"/>
      <c r="N1790" s="83"/>
      <c r="O1790" s="83"/>
      <c r="P1790" s="83"/>
      <c r="Q1790" s="83"/>
      <c r="R1790" s="83"/>
      <c r="S1790" s="83"/>
      <c r="T1790" s="83"/>
      <c r="U1790" s="83"/>
      <c r="V1790" s="83"/>
      <c r="W1790" s="83"/>
      <c r="X1790" s="83"/>
      <c r="Y1790" s="83"/>
      <c r="Z1790" s="83"/>
    </row>
    <row r="1791">
      <c r="A1791" s="75" t="s">
        <v>26</v>
      </c>
      <c r="B1791" s="75" t="s">
        <v>1006</v>
      </c>
      <c r="C1791" s="75">
        <v>1.31</v>
      </c>
      <c r="D1791" s="75">
        <v>0.0</v>
      </c>
      <c r="E1791" s="75">
        <v>0.0</v>
      </c>
      <c r="F1791" s="75" t="s">
        <v>996</v>
      </c>
      <c r="G1791" s="82">
        <v>46111.0</v>
      </c>
      <c r="H1791" s="76" t="s">
        <v>1012</v>
      </c>
      <c r="I1791" s="83"/>
      <c r="J1791" s="83"/>
      <c r="K1791" s="83"/>
      <c r="L1791" s="83"/>
      <c r="M1791" s="83"/>
      <c r="N1791" s="83"/>
      <c r="O1791" s="83"/>
      <c r="P1791" s="83"/>
      <c r="Q1791" s="83"/>
      <c r="R1791" s="83"/>
      <c r="S1791" s="83"/>
      <c r="T1791" s="83"/>
      <c r="U1791" s="83"/>
      <c r="V1791" s="83"/>
      <c r="W1791" s="83"/>
      <c r="X1791" s="83"/>
      <c r="Y1791" s="83"/>
      <c r="Z1791" s="83"/>
    </row>
    <row r="1792">
      <c r="A1792" s="75" t="s">
        <v>26</v>
      </c>
      <c r="B1792" s="75" t="s">
        <v>1006</v>
      </c>
      <c r="C1792" s="75">
        <v>19.82</v>
      </c>
      <c r="D1792" s="75">
        <v>0.0</v>
      </c>
      <c r="E1792" s="75">
        <v>0.0</v>
      </c>
      <c r="F1792" s="75" t="s">
        <v>996</v>
      </c>
      <c r="G1792" s="82">
        <v>46111.0</v>
      </c>
      <c r="H1792" s="76" t="s">
        <v>1013</v>
      </c>
      <c r="I1792" s="83"/>
      <c r="J1792" s="83"/>
      <c r="K1792" s="83"/>
      <c r="L1792" s="83"/>
      <c r="M1792" s="83"/>
      <c r="N1792" s="83"/>
      <c r="O1792" s="83"/>
      <c r="P1792" s="83"/>
      <c r="Q1792" s="83"/>
      <c r="R1792" s="83"/>
      <c r="S1792" s="83"/>
      <c r="T1792" s="83"/>
      <c r="U1792" s="83"/>
      <c r="V1792" s="83"/>
      <c r="W1792" s="83"/>
      <c r="X1792" s="83"/>
      <c r="Y1792" s="83"/>
      <c r="Z1792" s="83"/>
    </row>
    <row r="1793">
      <c r="A1793" s="75" t="s">
        <v>26</v>
      </c>
      <c r="B1793" s="75" t="s">
        <v>1006</v>
      </c>
      <c r="C1793" s="75">
        <v>1.73</v>
      </c>
      <c r="D1793" s="75">
        <v>0.0</v>
      </c>
      <c r="E1793" s="75">
        <v>0.0</v>
      </c>
      <c r="F1793" s="75" t="s">
        <v>996</v>
      </c>
      <c r="G1793" s="82">
        <v>46111.0</v>
      </c>
      <c r="H1793" s="76" t="s">
        <v>1014</v>
      </c>
      <c r="I1793" s="83"/>
      <c r="J1793" s="83"/>
      <c r="K1793" s="83"/>
      <c r="L1793" s="83"/>
      <c r="M1793" s="83"/>
      <c r="N1793" s="83"/>
      <c r="O1793" s="83"/>
      <c r="P1793" s="83"/>
      <c r="Q1793" s="83"/>
      <c r="R1793" s="83"/>
      <c r="S1793" s="83"/>
      <c r="T1793" s="83"/>
      <c r="U1793" s="83"/>
      <c r="V1793" s="83"/>
      <c r="W1793" s="83"/>
      <c r="X1793" s="83"/>
      <c r="Y1793" s="83"/>
      <c r="Z1793" s="83"/>
    </row>
    <row r="1794">
      <c r="A1794" s="75" t="s">
        <v>36</v>
      </c>
      <c r="B1794" s="75" t="s">
        <v>1006</v>
      </c>
      <c r="C1794" s="75">
        <v>41.32</v>
      </c>
      <c r="D1794" s="75">
        <v>3.0</v>
      </c>
      <c r="E1794" s="75">
        <v>13.77</v>
      </c>
      <c r="F1794" s="75" t="s">
        <v>997</v>
      </c>
      <c r="G1794" s="82">
        <v>46111.0</v>
      </c>
      <c r="H1794" s="76" t="s">
        <v>926</v>
      </c>
      <c r="I1794" s="83"/>
      <c r="J1794" s="83"/>
      <c r="K1794" s="83"/>
      <c r="L1794" s="83"/>
      <c r="M1794" s="83"/>
      <c r="N1794" s="83"/>
      <c r="O1794" s="83"/>
      <c r="P1794" s="83"/>
      <c r="Q1794" s="83"/>
      <c r="R1794" s="83"/>
      <c r="S1794" s="83"/>
      <c r="T1794" s="83"/>
      <c r="U1794" s="83"/>
      <c r="V1794" s="83"/>
      <c r="W1794" s="83"/>
      <c r="X1794" s="83"/>
      <c r="Y1794" s="83"/>
      <c r="Z1794" s="83"/>
    </row>
    <row r="1795">
      <c r="A1795" s="75" t="s">
        <v>36</v>
      </c>
      <c r="B1795" s="75" t="s">
        <v>1006</v>
      </c>
      <c r="C1795" s="75">
        <v>3.49</v>
      </c>
      <c r="D1795" s="75">
        <v>0.0</v>
      </c>
      <c r="E1795" s="75">
        <v>0.0</v>
      </c>
      <c r="F1795" s="75" t="s">
        <v>997</v>
      </c>
      <c r="G1795" s="82">
        <v>46111.0</v>
      </c>
      <c r="H1795" s="76" t="s">
        <v>927</v>
      </c>
      <c r="I1795" s="83"/>
      <c r="J1795" s="83"/>
      <c r="K1795" s="83"/>
      <c r="L1795" s="83"/>
      <c r="M1795" s="83"/>
      <c r="N1795" s="83"/>
      <c r="O1795" s="83"/>
      <c r="P1795" s="83"/>
      <c r="Q1795" s="83"/>
      <c r="R1795" s="83"/>
      <c r="S1795" s="83"/>
      <c r="T1795" s="83"/>
      <c r="U1795" s="83"/>
      <c r="V1795" s="83"/>
      <c r="W1795" s="83"/>
      <c r="X1795" s="83"/>
      <c r="Y1795" s="83"/>
      <c r="Z1795" s="83"/>
    </row>
    <row r="1796">
      <c r="A1796" s="75" t="s">
        <v>36</v>
      </c>
      <c r="B1796" s="75" t="s">
        <v>1006</v>
      </c>
      <c r="C1796" s="75">
        <v>5.32</v>
      </c>
      <c r="D1796" s="75">
        <v>0.0</v>
      </c>
      <c r="E1796" s="75">
        <v>0.0</v>
      </c>
      <c r="F1796" s="75" t="s">
        <v>997</v>
      </c>
      <c r="G1796" s="82">
        <v>46111.0</v>
      </c>
      <c r="H1796" s="76" t="s">
        <v>928</v>
      </c>
      <c r="I1796" s="83"/>
      <c r="J1796" s="83"/>
      <c r="K1796" s="83"/>
      <c r="L1796" s="83"/>
      <c r="M1796" s="83"/>
      <c r="N1796" s="83"/>
      <c r="O1796" s="83"/>
      <c r="P1796" s="83"/>
      <c r="Q1796" s="83"/>
      <c r="R1796" s="83"/>
      <c r="S1796" s="83"/>
      <c r="T1796" s="83"/>
      <c r="U1796" s="83"/>
      <c r="V1796" s="83"/>
      <c r="W1796" s="83"/>
      <c r="X1796" s="83"/>
      <c r="Y1796" s="83"/>
      <c r="Z1796" s="83"/>
    </row>
    <row r="1797">
      <c r="A1797" s="75" t="s">
        <v>31</v>
      </c>
      <c r="B1797" s="75" t="s">
        <v>1006</v>
      </c>
      <c r="C1797" s="75">
        <v>110.03</v>
      </c>
      <c r="D1797" s="75">
        <v>60.0</v>
      </c>
      <c r="E1797" s="75">
        <v>1.83</v>
      </c>
      <c r="F1797" s="75" t="s">
        <v>997</v>
      </c>
      <c r="G1797" s="82">
        <v>46111.0</v>
      </c>
      <c r="H1797" s="76" t="s">
        <v>929</v>
      </c>
      <c r="I1797" s="83"/>
      <c r="J1797" s="83"/>
      <c r="K1797" s="83"/>
      <c r="L1797" s="83"/>
      <c r="M1797" s="83"/>
      <c r="N1797" s="83"/>
      <c r="O1797" s="83"/>
      <c r="P1797" s="83"/>
      <c r="Q1797" s="83"/>
      <c r="R1797" s="83"/>
      <c r="S1797" s="83"/>
      <c r="T1797" s="83"/>
      <c r="U1797" s="83"/>
      <c r="V1797" s="83"/>
      <c r="W1797" s="83"/>
      <c r="X1797" s="83"/>
      <c r="Y1797" s="83"/>
      <c r="Z1797" s="83"/>
    </row>
    <row r="1798">
      <c r="A1798" s="75" t="s">
        <v>31</v>
      </c>
      <c r="B1798" s="75" t="s">
        <v>1006</v>
      </c>
      <c r="C1798" s="75">
        <v>262.05</v>
      </c>
      <c r="D1798" s="75">
        <v>128.0</v>
      </c>
      <c r="E1798" s="75">
        <v>2.05</v>
      </c>
      <c r="F1798" s="75" t="s">
        <v>997</v>
      </c>
      <c r="G1798" s="82">
        <v>46111.0</v>
      </c>
      <c r="H1798" s="76" t="s">
        <v>930</v>
      </c>
      <c r="I1798" s="83"/>
      <c r="J1798" s="83"/>
      <c r="K1798" s="83"/>
      <c r="L1798" s="83"/>
      <c r="M1798" s="83"/>
      <c r="N1798" s="83"/>
      <c r="O1798" s="83"/>
      <c r="P1798" s="83"/>
      <c r="Q1798" s="83"/>
      <c r="R1798" s="83"/>
      <c r="S1798" s="83"/>
      <c r="T1798" s="83"/>
      <c r="U1798" s="83"/>
      <c r="V1798" s="83"/>
      <c r="W1798" s="83"/>
      <c r="X1798" s="83"/>
      <c r="Y1798" s="83"/>
      <c r="Z1798" s="83"/>
    </row>
    <row r="1799">
      <c r="A1799" s="75" t="s">
        <v>28</v>
      </c>
      <c r="B1799" s="75" t="s">
        <v>1006</v>
      </c>
      <c r="C1799" s="75">
        <v>7.46</v>
      </c>
      <c r="D1799" s="75">
        <v>0.0</v>
      </c>
      <c r="E1799" s="75">
        <v>0.0</v>
      </c>
      <c r="F1799" s="75" t="s">
        <v>997</v>
      </c>
      <c r="G1799" s="82">
        <v>46111.0</v>
      </c>
      <c r="H1799" s="76" t="s">
        <v>931</v>
      </c>
      <c r="I1799" s="83"/>
      <c r="J1799" s="83"/>
      <c r="K1799" s="83"/>
      <c r="L1799" s="83"/>
      <c r="M1799" s="83"/>
      <c r="N1799" s="83"/>
      <c r="O1799" s="83"/>
      <c r="P1799" s="83"/>
      <c r="Q1799" s="83"/>
      <c r="R1799" s="83"/>
      <c r="S1799" s="83"/>
      <c r="T1799" s="83"/>
      <c r="U1799" s="83"/>
      <c r="V1799" s="83"/>
      <c r="W1799" s="83"/>
      <c r="X1799" s="83"/>
      <c r="Y1799" s="83"/>
      <c r="Z1799" s="83"/>
    </row>
    <row r="1800">
      <c r="A1800" s="75" t="s">
        <v>28</v>
      </c>
      <c r="B1800" s="75" t="s">
        <v>1006</v>
      </c>
      <c r="C1800" s="75">
        <v>2.02</v>
      </c>
      <c r="D1800" s="75">
        <v>0.0</v>
      </c>
      <c r="E1800" s="75">
        <v>0.0</v>
      </c>
      <c r="F1800" s="75" t="s">
        <v>997</v>
      </c>
      <c r="G1800" s="82">
        <v>46111.0</v>
      </c>
      <c r="H1800" s="76" t="s">
        <v>932</v>
      </c>
      <c r="I1800" s="83"/>
      <c r="J1800" s="83"/>
      <c r="K1800" s="83"/>
      <c r="L1800" s="83"/>
      <c r="M1800" s="83"/>
      <c r="N1800" s="83"/>
      <c r="O1800" s="83"/>
      <c r="P1800" s="83"/>
      <c r="Q1800" s="83"/>
      <c r="R1800" s="83"/>
      <c r="S1800" s="83"/>
      <c r="T1800" s="83"/>
      <c r="U1800" s="83"/>
      <c r="V1800" s="83"/>
      <c r="W1800" s="83"/>
      <c r="X1800" s="83"/>
      <c r="Y1800" s="83"/>
      <c r="Z1800" s="83"/>
    </row>
    <row r="1801">
      <c r="A1801" s="75" t="s">
        <v>28</v>
      </c>
      <c r="B1801" s="75" t="s">
        <v>1006</v>
      </c>
      <c r="C1801" s="75">
        <v>45.97</v>
      </c>
      <c r="D1801" s="75">
        <v>6.0</v>
      </c>
      <c r="E1801" s="75">
        <v>7.66</v>
      </c>
      <c r="F1801" s="75" t="s">
        <v>997</v>
      </c>
      <c r="G1801" s="82">
        <v>46111.0</v>
      </c>
      <c r="H1801" s="76" t="s">
        <v>933</v>
      </c>
      <c r="I1801" s="83"/>
      <c r="J1801" s="83"/>
      <c r="K1801" s="83"/>
      <c r="L1801" s="83"/>
      <c r="M1801" s="83"/>
      <c r="N1801" s="83"/>
      <c r="O1801" s="83"/>
      <c r="P1801" s="83"/>
      <c r="Q1801" s="83"/>
      <c r="R1801" s="83"/>
      <c r="S1801" s="83"/>
      <c r="T1801" s="83"/>
      <c r="U1801" s="83"/>
      <c r="V1801" s="83"/>
      <c r="W1801" s="83"/>
      <c r="X1801" s="83"/>
      <c r="Y1801" s="83"/>
      <c r="Z1801" s="83"/>
    </row>
    <row r="1802">
      <c r="A1802" s="75" t="s">
        <v>42</v>
      </c>
      <c r="B1802" s="75" t="s">
        <v>1006</v>
      </c>
      <c r="C1802" s="75">
        <v>1.54</v>
      </c>
      <c r="D1802" s="75">
        <v>0.0</v>
      </c>
      <c r="E1802" s="75">
        <v>0.0</v>
      </c>
      <c r="F1802" s="75" t="s">
        <v>997</v>
      </c>
      <c r="G1802" s="82">
        <v>46111.0</v>
      </c>
      <c r="H1802" s="76" t="s">
        <v>934</v>
      </c>
      <c r="I1802" s="83"/>
      <c r="J1802" s="83"/>
      <c r="K1802" s="83"/>
      <c r="L1802" s="83"/>
      <c r="M1802" s="83"/>
      <c r="N1802" s="83"/>
      <c r="O1802" s="83"/>
      <c r="P1802" s="83"/>
      <c r="Q1802" s="83"/>
      <c r="R1802" s="83"/>
      <c r="S1802" s="83"/>
      <c r="T1802" s="83"/>
      <c r="U1802" s="83"/>
      <c r="V1802" s="83"/>
      <c r="W1802" s="83"/>
      <c r="X1802" s="83"/>
      <c r="Y1802" s="83"/>
      <c r="Z1802" s="83"/>
    </row>
    <row r="1803">
      <c r="A1803" s="75" t="s">
        <v>42</v>
      </c>
      <c r="B1803" s="75" t="s">
        <v>1006</v>
      </c>
      <c r="C1803" s="75">
        <v>1.01</v>
      </c>
      <c r="D1803" s="75">
        <v>0.0</v>
      </c>
      <c r="E1803" s="75">
        <v>0.0</v>
      </c>
      <c r="F1803" s="75" t="s">
        <v>997</v>
      </c>
      <c r="G1803" s="82">
        <v>46111.0</v>
      </c>
      <c r="H1803" s="76" t="s">
        <v>991</v>
      </c>
      <c r="I1803" s="83"/>
      <c r="J1803" s="83"/>
      <c r="K1803" s="83"/>
      <c r="L1803" s="83"/>
      <c r="M1803" s="83"/>
      <c r="N1803" s="83"/>
      <c r="O1803" s="83"/>
      <c r="P1803" s="83"/>
      <c r="Q1803" s="83"/>
      <c r="R1803" s="83"/>
      <c r="S1803" s="83"/>
      <c r="T1803" s="83"/>
      <c r="U1803" s="83"/>
      <c r="V1803" s="83"/>
      <c r="W1803" s="83"/>
      <c r="X1803" s="83"/>
      <c r="Y1803" s="83"/>
      <c r="Z1803" s="83"/>
    </row>
    <row r="1804">
      <c r="A1804" s="75" t="s">
        <v>42</v>
      </c>
      <c r="B1804" s="75" t="s">
        <v>1006</v>
      </c>
      <c r="C1804" s="75">
        <v>12.53</v>
      </c>
      <c r="D1804" s="75">
        <v>3.0</v>
      </c>
      <c r="E1804" s="75">
        <v>4.18</v>
      </c>
      <c r="F1804" s="75" t="s">
        <v>997</v>
      </c>
      <c r="G1804" s="82">
        <v>46111.0</v>
      </c>
      <c r="H1804" s="76" t="s">
        <v>935</v>
      </c>
      <c r="I1804" s="83"/>
      <c r="J1804" s="83"/>
      <c r="K1804" s="83"/>
      <c r="L1804" s="83"/>
      <c r="M1804" s="83"/>
      <c r="N1804" s="83"/>
      <c r="O1804" s="83"/>
      <c r="P1804" s="83"/>
      <c r="Q1804" s="83"/>
      <c r="R1804" s="83"/>
      <c r="S1804" s="83"/>
      <c r="T1804" s="83"/>
      <c r="U1804" s="83"/>
      <c r="V1804" s="83"/>
      <c r="W1804" s="83"/>
      <c r="X1804" s="83"/>
      <c r="Y1804" s="83"/>
      <c r="Z1804" s="83"/>
    </row>
    <row r="1805">
      <c r="A1805" s="75" t="s">
        <v>45</v>
      </c>
      <c r="B1805" s="75" t="s">
        <v>1006</v>
      </c>
      <c r="C1805" s="75">
        <v>8.78</v>
      </c>
      <c r="D1805" s="75">
        <v>0.0</v>
      </c>
      <c r="E1805" s="75">
        <v>0.0</v>
      </c>
      <c r="F1805" s="75" t="s">
        <v>997</v>
      </c>
      <c r="G1805" s="82">
        <v>46111.0</v>
      </c>
      <c r="H1805" s="76" t="s">
        <v>936</v>
      </c>
      <c r="I1805" s="83"/>
      <c r="J1805" s="83"/>
      <c r="K1805" s="83"/>
      <c r="L1805" s="83"/>
      <c r="M1805" s="83"/>
      <c r="N1805" s="83"/>
      <c r="O1805" s="83"/>
      <c r="P1805" s="83"/>
      <c r="Q1805" s="83"/>
      <c r="R1805" s="83"/>
      <c r="S1805" s="83"/>
      <c r="T1805" s="83"/>
      <c r="U1805" s="83"/>
      <c r="V1805" s="83"/>
      <c r="W1805" s="83"/>
      <c r="X1805" s="83"/>
      <c r="Y1805" s="83"/>
      <c r="Z1805" s="83"/>
    </row>
    <row r="1806">
      <c r="A1806" s="75" t="s">
        <v>45</v>
      </c>
      <c r="B1806" s="75" t="s">
        <v>1006</v>
      </c>
      <c r="C1806" s="75">
        <v>7.2</v>
      </c>
      <c r="D1806" s="75">
        <v>0.0</v>
      </c>
      <c r="E1806" s="75">
        <v>0.0</v>
      </c>
      <c r="F1806" s="75" t="s">
        <v>997</v>
      </c>
      <c r="G1806" s="82">
        <v>46111.0</v>
      </c>
      <c r="H1806" s="76" t="s">
        <v>937</v>
      </c>
      <c r="I1806" s="83"/>
      <c r="J1806" s="83"/>
      <c r="K1806" s="83"/>
      <c r="L1806" s="83"/>
      <c r="M1806" s="83"/>
      <c r="N1806" s="83"/>
      <c r="O1806" s="83"/>
      <c r="P1806" s="83"/>
      <c r="Q1806" s="83"/>
      <c r="R1806" s="83"/>
      <c r="S1806" s="83"/>
      <c r="T1806" s="83"/>
      <c r="U1806" s="83"/>
      <c r="V1806" s="83"/>
      <c r="W1806" s="83"/>
      <c r="X1806" s="83"/>
      <c r="Y1806" s="83"/>
      <c r="Z1806" s="83"/>
    </row>
    <row r="1807">
      <c r="A1807" s="75" t="s">
        <v>45</v>
      </c>
      <c r="B1807" s="75" t="s">
        <v>1006</v>
      </c>
      <c r="C1807" s="75">
        <v>18.11</v>
      </c>
      <c r="D1807" s="75">
        <v>1.0</v>
      </c>
      <c r="E1807" s="75">
        <v>18.11</v>
      </c>
      <c r="F1807" s="75" t="s">
        <v>997</v>
      </c>
      <c r="G1807" s="82">
        <v>46111.0</v>
      </c>
      <c r="H1807" s="76" t="s">
        <v>938</v>
      </c>
      <c r="I1807" s="83"/>
      <c r="J1807" s="83"/>
      <c r="K1807" s="83"/>
      <c r="L1807" s="83"/>
      <c r="M1807" s="83"/>
      <c r="N1807" s="83"/>
      <c r="O1807" s="83"/>
      <c r="P1807" s="83"/>
      <c r="Q1807" s="83"/>
      <c r="R1807" s="83"/>
      <c r="S1807" s="83"/>
      <c r="T1807" s="83"/>
      <c r="U1807" s="83"/>
      <c r="V1807" s="83"/>
      <c r="W1807" s="83"/>
      <c r="X1807" s="83"/>
      <c r="Y1807" s="83"/>
      <c r="Z1807" s="83"/>
    </row>
    <row r="1808">
      <c r="A1808" s="75" t="s">
        <v>50</v>
      </c>
      <c r="B1808" s="75" t="s">
        <v>1006</v>
      </c>
      <c r="C1808" s="75">
        <v>5.32</v>
      </c>
      <c r="D1808" s="75">
        <v>0.0</v>
      </c>
      <c r="E1808" s="75">
        <v>0.0</v>
      </c>
      <c r="F1808" s="75" t="s">
        <v>997</v>
      </c>
      <c r="G1808" s="82">
        <v>46111.0</v>
      </c>
      <c r="H1808" s="76" t="s">
        <v>939</v>
      </c>
      <c r="I1808" s="83"/>
      <c r="J1808" s="83"/>
      <c r="K1808" s="83"/>
      <c r="L1808" s="83"/>
      <c r="M1808" s="83"/>
      <c r="N1808" s="83"/>
      <c r="O1808" s="83"/>
      <c r="P1808" s="83"/>
      <c r="Q1808" s="83"/>
      <c r="R1808" s="83"/>
      <c r="S1808" s="83"/>
      <c r="T1808" s="83"/>
      <c r="U1808" s="83"/>
      <c r="V1808" s="83"/>
      <c r="W1808" s="83"/>
      <c r="X1808" s="83"/>
      <c r="Y1808" s="83"/>
      <c r="Z1808" s="83"/>
    </row>
    <row r="1809">
      <c r="A1809" s="75" t="s">
        <v>50</v>
      </c>
      <c r="B1809" s="75" t="s">
        <v>1006</v>
      </c>
      <c r="C1809" s="75">
        <v>2.67</v>
      </c>
      <c r="D1809" s="75">
        <v>0.0</v>
      </c>
      <c r="E1809" s="75">
        <v>0.0</v>
      </c>
      <c r="F1809" s="75" t="s">
        <v>997</v>
      </c>
      <c r="G1809" s="82">
        <v>46111.0</v>
      </c>
      <c r="H1809" s="76" t="s">
        <v>940</v>
      </c>
      <c r="I1809" s="83"/>
      <c r="J1809" s="83"/>
      <c r="K1809" s="83"/>
      <c r="L1809" s="83"/>
      <c r="M1809" s="83"/>
      <c r="N1809" s="83"/>
      <c r="O1809" s="83"/>
      <c r="P1809" s="83"/>
      <c r="Q1809" s="83"/>
      <c r="R1809" s="83"/>
      <c r="S1809" s="83"/>
      <c r="T1809" s="83"/>
      <c r="U1809" s="83"/>
      <c r="V1809" s="83"/>
      <c r="W1809" s="83"/>
      <c r="X1809" s="83"/>
      <c r="Y1809" s="83"/>
      <c r="Z1809" s="83"/>
    </row>
    <row r="1810">
      <c r="A1810" s="75" t="s">
        <v>32</v>
      </c>
      <c r="B1810" s="75" t="s">
        <v>1006</v>
      </c>
      <c r="C1810" s="75">
        <v>63.0</v>
      </c>
      <c r="D1810" s="75">
        <v>21.0</v>
      </c>
      <c r="E1810" s="75">
        <v>3.0</v>
      </c>
      <c r="F1810" s="75" t="s">
        <v>997</v>
      </c>
      <c r="G1810" s="82">
        <v>46111.0</v>
      </c>
      <c r="H1810" s="76" t="s">
        <v>941</v>
      </c>
      <c r="I1810" s="83"/>
      <c r="J1810" s="83"/>
      <c r="K1810" s="83"/>
      <c r="L1810" s="83"/>
      <c r="M1810" s="83"/>
      <c r="N1810" s="83"/>
      <c r="O1810" s="83"/>
      <c r="P1810" s="83"/>
      <c r="Q1810" s="83"/>
      <c r="R1810" s="83"/>
      <c r="S1810" s="83"/>
      <c r="T1810" s="83"/>
      <c r="U1810" s="83"/>
      <c r="V1810" s="83"/>
      <c r="W1810" s="83"/>
      <c r="X1810" s="83"/>
      <c r="Y1810" s="83"/>
      <c r="Z1810" s="83"/>
    </row>
    <row r="1811">
      <c r="A1811" s="75" t="s">
        <v>32</v>
      </c>
      <c r="B1811" s="75" t="s">
        <v>1006</v>
      </c>
      <c r="C1811" s="75">
        <v>11.72</v>
      </c>
      <c r="D1811" s="75">
        <v>8.0</v>
      </c>
      <c r="E1811" s="75">
        <v>1.46</v>
      </c>
      <c r="F1811" s="75" t="s">
        <v>997</v>
      </c>
      <c r="G1811" s="82">
        <v>46111.0</v>
      </c>
      <c r="H1811" s="76" t="s">
        <v>942</v>
      </c>
      <c r="I1811" s="83"/>
      <c r="J1811" s="83"/>
      <c r="K1811" s="83"/>
      <c r="L1811" s="83"/>
      <c r="M1811" s="83"/>
      <c r="N1811" s="83"/>
      <c r="O1811" s="83"/>
      <c r="P1811" s="83"/>
      <c r="Q1811" s="83"/>
      <c r="R1811" s="83"/>
      <c r="S1811" s="83"/>
      <c r="T1811" s="83"/>
      <c r="U1811" s="83"/>
      <c r="V1811" s="83"/>
      <c r="W1811" s="83"/>
      <c r="X1811" s="83"/>
      <c r="Y1811" s="83"/>
      <c r="Z1811" s="83"/>
    </row>
    <row r="1812">
      <c r="A1812" s="75" t="s">
        <v>32</v>
      </c>
      <c r="B1812" s="75" t="s">
        <v>1006</v>
      </c>
      <c r="C1812" s="75">
        <v>38.16</v>
      </c>
      <c r="D1812" s="75">
        <v>32.0</v>
      </c>
      <c r="E1812" s="75">
        <v>1.19</v>
      </c>
      <c r="F1812" s="75" t="s">
        <v>997</v>
      </c>
      <c r="G1812" s="82">
        <v>46111.0</v>
      </c>
      <c r="H1812" s="76" t="s">
        <v>943</v>
      </c>
      <c r="I1812" s="83"/>
      <c r="J1812" s="83"/>
      <c r="K1812" s="83"/>
      <c r="L1812" s="83"/>
      <c r="M1812" s="83"/>
      <c r="N1812" s="83"/>
      <c r="O1812" s="83"/>
      <c r="P1812" s="83"/>
      <c r="Q1812" s="83"/>
      <c r="R1812" s="83"/>
      <c r="S1812" s="83"/>
      <c r="T1812" s="83"/>
      <c r="U1812" s="83"/>
      <c r="V1812" s="83"/>
      <c r="W1812" s="83"/>
      <c r="X1812" s="83"/>
      <c r="Y1812" s="83"/>
      <c r="Z1812" s="83"/>
    </row>
    <row r="1813">
      <c r="A1813" s="75" t="s">
        <v>944</v>
      </c>
      <c r="B1813" s="75" t="s">
        <v>1006</v>
      </c>
      <c r="C1813" s="75">
        <v>18.61</v>
      </c>
      <c r="D1813" s="75">
        <v>2.0</v>
      </c>
      <c r="E1813" s="75">
        <v>9.31</v>
      </c>
      <c r="F1813" s="75" t="s">
        <v>997</v>
      </c>
      <c r="G1813" s="82">
        <v>46111.0</v>
      </c>
      <c r="H1813" s="76" t="s">
        <v>945</v>
      </c>
      <c r="I1813" s="83"/>
      <c r="J1813" s="83"/>
      <c r="K1813" s="83"/>
      <c r="L1813" s="83"/>
      <c r="M1813" s="83"/>
      <c r="N1813" s="83"/>
      <c r="O1813" s="83"/>
      <c r="P1813" s="83"/>
      <c r="Q1813" s="83"/>
      <c r="R1813" s="83"/>
      <c r="S1813" s="83"/>
      <c r="T1813" s="83"/>
      <c r="U1813" s="83"/>
      <c r="V1813" s="83"/>
      <c r="W1813" s="83"/>
      <c r="X1813" s="83"/>
      <c r="Y1813" s="83"/>
      <c r="Z1813" s="83"/>
    </row>
    <row r="1814">
      <c r="A1814" s="75" t="s">
        <v>944</v>
      </c>
      <c r="B1814" s="75" t="s">
        <v>1006</v>
      </c>
      <c r="C1814" s="75">
        <v>3.18</v>
      </c>
      <c r="D1814" s="75">
        <v>0.0</v>
      </c>
      <c r="E1814" s="75">
        <v>0.0</v>
      </c>
      <c r="F1814" s="75" t="s">
        <v>997</v>
      </c>
      <c r="G1814" s="82">
        <v>46111.0</v>
      </c>
      <c r="H1814" s="76" t="s">
        <v>946</v>
      </c>
      <c r="I1814" s="83"/>
      <c r="J1814" s="83"/>
      <c r="K1814" s="83"/>
      <c r="L1814" s="83"/>
      <c r="M1814" s="83"/>
      <c r="N1814" s="83"/>
      <c r="O1814" s="83"/>
      <c r="P1814" s="83"/>
      <c r="Q1814" s="83"/>
      <c r="R1814" s="83"/>
      <c r="S1814" s="83"/>
      <c r="T1814" s="83"/>
      <c r="U1814" s="83"/>
      <c r="V1814" s="83"/>
      <c r="W1814" s="83"/>
      <c r="X1814" s="83"/>
      <c r="Y1814" s="83"/>
      <c r="Z1814" s="83"/>
    </row>
    <row r="1815">
      <c r="A1815" s="75" t="s">
        <v>944</v>
      </c>
      <c r="B1815" s="75" t="s">
        <v>1006</v>
      </c>
      <c r="C1815" s="75">
        <v>7.27</v>
      </c>
      <c r="D1815" s="75">
        <v>1.0</v>
      </c>
      <c r="E1815" s="75">
        <v>7.27</v>
      </c>
      <c r="F1815" s="75" t="s">
        <v>997</v>
      </c>
      <c r="G1815" s="82">
        <v>46111.0</v>
      </c>
      <c r="H1815" s="76" t="s">
        <v>947</v>
      </c>
      <c r="I1815" s="83"/>
      <c r="J1815" s="83"/>
      <c r="K1815" s="83"/>
      <c r="L1815" s="83"/>
      <c r="M1815" s="83"/>
      <c r="N1815" s="83"/>
      <c r="O1815" s="83"/>
      <c r="P1815" s="83"/>
      <c r="Q1815" s="83"/>
      <c r="R1815" s="83"/>
      <c r="S1815" s="83"/>
      <c r="T1815" s="83"/>
      <c r="U1815" s="83"/>
      <c r="V1815" s="83"/>
      <c r="W1815" s="83"/>
      <c r="X1815" s="83"/>
      <c r="Y1815" s="83"/>
      <c r="Z1815" s="83"/>
    </row>
    <row r="1816">
      <c r="A1816" s="75" t="s">
        <v>26</v>
      </c>
      <c r="B1816" s="75" t="s">
        <v>1006</v>
      </c>
      <c r="C1816" s="75">
        <v>0.64</v>
      </c>
      <c r="D1816" s="75">
        <v>0.0</v>
      </c>
      <c r="E1816" s="75">
        <v>0.0</v>
      </c>
      <c r="F1816" s="75" t="s">
        <v>997</v>
      </c>
      <c r="G1816" s="82">
        <v>46111.0</v>
      </c>
      <c r="H1816" s="76" t="s">
        <v>1012</v>
      </c>
      <c r="I1816" s="83"/>
      <c r="J1816" s="83"/>
      <c r="K1816" s="83"/>
      <c r="L1816" s="83"/>
      <c r="M1816" s="83"/>
      <c r="N1816" s="83"/>
      <c r="O1816" s="83"/>
      <c r="P1816" s="83"/>
      <c r="Q1816" s="83"/>
      <c r="R1816" s="83"/>
      <c r="S1816" s="83"/>
      <c r="T1816" s="83"/>
      <c r="U1816" s="83"/>
      <c r="V1816" s="83"/>
      <c r="W1816" s="83"/>
      <c r="X1816" s="83"/>
      <c r="Y1816" s="83"/>
      <c r="Z1816" s="83"/>
    </row>
    <row r="1817">
      <c r="A1817" s="75" t="s">
        <v>26</v>
      </c>
      <c r="B1817" s="75" t="s">
        <v>1006</v>
      </c>
      <c r="C1817" s="75">
        <v>3.62</v>
      </c>
      <c r="D1817" s="75">
        <v>1.0</v>
      </c>
      <c r="E1817" s="75">
        <v>3.62</v>
      </c>
      <c r="F1817" s="75" t="s">
        <v>997</v>
      </c>
      <c r="G1817" s="82">
        <v>46111.0</v>
      </c>
      <c r="H1817" s="76" t="s">
        <v>1013</v>
      </c>
      <c r="I1817" s="83"/>
      <c r="J1817" s="83"/>
      <c r="K1817" s="83"/>
      <c r="L1817" s="83"/>
      <c r="M1817" s="83"/>
      <c r="N1817" s="83"/>
      <c r="O1817" s="83"/>
      <c r="P1817" s="83"/>
      <c r="Q1817" s="83"/>
      <c r="R1817" s="83"/>
      <c r="S1817" s="83"/>
      <c r="T1817" s="83"/>
      <c r="U1817" s="83"/>
      <c r="V1817" s="83"/>
      <c r="W1817" s="83"/>
      <c r="X1817" s="83"/>
      <c r="Y1817" s="83"/>
      <c r="Z1817" s="83"/>
    </row>
    <row r="1818">
      <c r="A1818" s="75" t="s">
        <v>26</v>
      </c>
      <c r="B1818" s="75" t="s">
        <v>1006</v>
      </c>
      <c r="C1818" s="75">
        <v>1.61</v>
      </c>
      <c r="D1818" s="75">
        <v>0.0</v>
      </c>
      <c r="E1818" s="75">
        <v>0.0</v>
      </c>
      <c r="F1818" s="75" t="s">
        <v>997</v>
      </c>
      <c r="G1818" s="82">
        <v>46111.0</v>
      </c>
      <c r="H1818" s="76" t="s">
        <v>1014</v>
      </c>
      <c r="I1818" s="83"/>
      <c r="J1818" s="83"/>
      <c r="K1818" s="83"/>
      <c r="L1818" s="83"/>
      <c r="M1818" s="83"/>
      <c r="N1818" s="83"/>
      <c r="O1818" s="83"/>
      <c r="P1818" s="83"/>
      <c r="Q1818" s="83"/>
      <c r="R1818" s="83"/>
      <c r="S1818" s="83"/>
      <c r="T1818" s="83"/>
      <c r="U1818" s="83"/>
      <c r="V1818" s="83"/>
      <c r="W1818" s="83"/>
      <c r="X1818" s="83"/>
      <c r="Y1818" s="83"/>
      <c r="Z1818" s="83"/>
    </row>
    <row r="1819">
      <c r="A1819" s="75" t="s">
        <v>36</v>
      </c>
      <c r="B1819" s="75" t="s">
        <v>1006</v>
      </c>
      <c r="C1819" s="75">
        <v>0.1</v>
      </c>
      <c r="D1819" s="75">
        <v>0.0</v>
      </c>
      <c r="E1819" s="75">
        <v>0.0</v>
      </c>
      <c r="F1819" s="75" t="s">
        <v>998</v>
      </c>
      <c r="G1819" s="82">
        <v>46111.0</v>
      </c>
      <c r="H1819" s="76" t="s">
        <v>926</v>
      </c>
      <c r="I1819" s="83"/>
      <c r="J1819" s="83"/>
      <c r="K1819" s="83"/>
      <c r="L1819" s="83"/>
      <c r="M1819" s="83"/>
      <c r="N1819" s="83"/>
      <c r="O1819" s="83"/>
      <c r="P1819" s="83"/>
      <c r="Q1819" s="83"/>
      <c r="R1819" s="83"/>
      <c r="S1819" s="83"/>
      <c r="T1819" s="83"/>
      <c r="U1819" s="83"/>
      <c r="V1819" s="83"/>
      <c r="W1819" s="83"/>
      <c r="X1819" s="83"/>
      <c r="Y1819" s="83"/>
      <c r="Z1819" s="83"/>
    </row>
    <row r="1820">
      <c r="A1820" s="75" t="s">
        <v>36</v>
      </c>
      <c r="B1820" s="75" t="s">
        <v>1006</v>
      </c>
      <c r="C1820" s="75">
        <v>0.17</v>
      </c>
      <c r="D1820" s="75">
        <v>0.0</v>
      </c>
      <c r="E1820" s="75">
        <v>0.0</v>
      </c>
      <c r="F1820" s="75" t="s">
        <v>998</v>
      </c>
      <c r="G1820" s="82">
        <v>46111.0</v>
      </c>
      <c r="H1820" s="76" t="s">
        <v>927</v>
      </c>
      <c r="I1820" s="83"/>
      <c r="J1820" s="83"/>
      <c r="K1820" s="83"/>
      <c r="L1820" s="83"/>
      <c r="M1820" s="83"/>
      <c r="N1820" s="83"/>
      <c r="O1820" s="83"/>
      <c r="P1820" s="83"/>
      <c r="Q1820" s="83"/>
      <c r="R1820" s="83"/>
      <c r="S1820" s="83"/>
      <c r="T1820" s="83"/>
      <c r="U1820" s="83"/>
      <c r="V1820" s="83"/>
      <c r="W1820" s="83"/>
      <c r="X1820" s="83"/>
      <c r="Y1820" s="83"/>
      <c r="Z1820" s="83"/>
    </row>
    <row r="1821">
      <c r="A1821" s="75" t="s">
        <v>36</v>
      </c>
      <c r="B1821" s="75" t="s">
        <v>1006</v>
      </c>
      <c r="C1821" s="75">
        <v>0.99</v>
      </c>
      <c r="D1821" s="75">
        <v>0.0</v>
      </c>
      <c r="E1821" s="75">
        <v>0.0</v>
      </c>
      <c r="F1821" s="75" t="s">
        <v>998</v>
      </c>
      <c r="G1821" s="82">
        <v>46111.0</v>
      </c>
      <c r="H1821" s="76" t="s">
        <v>928</v>
      </c>
      <c r="I1821" s="83"/>
      <c r="J1821" s="83"/>
      <c r="K1821" s="83"/>
      <c r="L1821" s="83"/>
      <c r="M1821" s="83"/>
      <c r="N1821" s="83"/>
      <c r="O1821" s="83"/>
      <c r="P1821" s="83"/>
      <c r="Q1821" s="83"/>
      <c r="R1821" s="83"/>
      <c r="S1821" s="83"/>
      <c r="T1821" s="83"/>
      <c r="U1821" s="83"/>
      <c r="V1821" s="83"/>
      <c r="W1821" s="83"/>
      <c r="X1821" s="83"/>
      <c r="Y1821" s="83"/>
      <c r="Z1821" s="83"/>
    </row>
    <row r="1822">
      <c r="A1822" s="75" t="s">
        <v>31</v>
      </c>
      <c r="B1822" s="75" t="s">
        <v>1006</v>
      </c>
      <c r="C1822" s="75">
        <v>1.8</v>
      </c>
      <c r="D1822" s="75">
        <v>0.0</v>
      </c>
      <c r="E1822" s="75">
        <v>0.0</v>
      </c>
      <c r="F1822" s="75" t="s">
        <v>998</v>
      </c>
      <c r="G1822" s="82">
        <v>46111.0</v>
      </c>
      <c r="H1822" s="76" t="s">
        <v>929</v>
      </c>
      <c r="I1822" s="83"/>
      <c r="J1822" s="83"/>
      <c r="K1822" s="83"/>
      <c r="L1822" s="83"/>
      <c r="M1822" s="83"/>
      <c r="N1822" s="83"/>
      <c r="O1822" s="83"/>
      <c r="P1822" s="83"/>
      <c r="Q1822" s="83"/>
      <c r="R1822" s="83"/>
      <c r="S1822" s="83"/>
      <c r="T1822" s="83"/>
      <c r="U1822" s="83"/>
      <c r="V1822" s="83"/>
      <c r="W1822" s="83"/>
      <c r="X1822" s="83"/>
      <c r="Y1822" s="83"/>
      <c r="Z1822" s="83"/>
    </row>
    <row r="1823">
      <c r="A1823" s="75" t="s">
        <v>31</v>
      </c>
      <c r="B1823" s="75" t="s">
        <v>1006</v>
      </c>
      <c r="C1823" s="75">
        <v>0.0</v>
      </c>
      <c r="D1823" s="75">
        <v>0.0</v>
      </c>
      <c r="E1823" s="75">
        <v>0.0</v>
      </c>
      <c r="F1823" s="75" t="s">
        <v>998</v>
      </c>
      <c r="G1823" s="82">
        <v>46111.0</v>
      </c>
      <c r="H1823" s="76" t="s">
        <v>930</v>
      </c>
      <c r="I1823" s="83"/>
      <c r="J1823" s="83"/>
      <c r="K1823" s="83"/>
      <c r="L1823" s="83"/>
      <c r="M1823" s="83"/>
      <c r="N1823" s="83"/>
      <c r="O1823" s="83"/>
      <c r="P1823" s="83"/>
      <c r="Q1823" s="83"/>
      <c r="R1823" s="83"/>
      <c r="S1823" s="83"/>
      <c r="T1823" s="83"/>
      <c r="U1823" s="83"/>
      <c r="V1823" s="83"/>
      <c r="W1823" s="83"/>
      <c r="X1823" s="83"/>
      <c r="Y1823" s="83"/>
      <c r="Z1823" s="83"/>
    </row>
    <row r="1824">
      <c r="A1824" s="75" t="s">
        <v>28</v>
      </c>
      <c r="B1824" s="75" t="s">
        <v>1006</v>
      </c>
      <c r="C1824" s="75">
        <v>0.04</v>
      </c>
      <c r="D1824" s="75">
        <v>0.0</v>
      </c>
      <c r="E1824" s="75">
        <v>0.0</v>
      </c>
      <c r="F1824" s="75" t="s">
        <v>998</v>
      </c>
      <c r="G1824" s="82">
        <v>46111.0</v>
      </c>
      <c r="H1824" s="76" t="s">
        <v>931</v>
      </c>
      <c r="I1824" s="83"/>
      <c r="J1824" s="83"/>
      <c r="K1824" s="83"/>
      <c r="L1824" s="83"/>
      <c r="M1824" s="83"/>
      <c r="N1824" s="83"/>
      <c r="O1824" s="83"/>
      <c r="P1824" s="83"/>
      <c r="Q1824" s="83"/>
      <c r="R1824" s="83"/>
      <c r="S1824" s="83"/>
      <c r="T1824" s="83"/>
      <c r="U1824" s="83"/>
      <c r="V1824" s="83"/>
      <c r="W1824" s="83"/>
      <c r="X1824" s="83"/>
      <c r="Y1824" s="83"/>
      <c r="Z1824" s="83"/>
    </row>
    <row r="1825">
      <c r="A1825" s="75" t="s">
        <v>28</v>
      </c>
      <c r="B1825" s="75" t="s">
        <v>1006</v>
      </c>
      <c r="C1825" s="75">
        <v>0.53</v>
      </c>
      <c r="D1825" s="75">
        <v>0.0</v>
      </c>
      <c r="E1825" s="75">
        <v>0.0</v>
      </c>
      <c r="F1825" s="75" t="s">
        <v>998</v>
      </c>
      <c r="G1825" s="82">
        <v>46111.0</v>
      </c>
      <c r="H1825" s="76" t="s">
        <v>932</v>
      </c>
      <c r="I1825" s="83"/>
      <c r="J1825" s="83"/>
      <c r="K1825" s="83"/>
      <c r="L1825" s="83"/>
      <c r="M1825" s="83"/>
      <c r="N1825" s="83"/>
      <c r="O1825" s="83"/>
      <c r="P1825" s="83"/>
      <c r="Q1825" s="83"/>
      <c r="R1825" s="83"/>
      <c r="S1825" s="83"/>
      <c r="T1825" s="83"/>
      <c r="U1825" s="83"/>
      <c r="V1825" s="83"/>
      <c r="W1825" s="83"/>
      <c r="X1825" s="83"/>
      <c r="Y1825" s="83"/>
      <c r="Z1825" s="83"/>
    </row>
    <row r="1826">
      <c r="A1826" s="75" t="s">
        <v>28</v>
      </c>
      <c r="B1826" s="75" t="s">
        <v>1006</v>
      </c>
      <c r="C1826" s="75">
        <v>0.09</v>
      </c>
      <c r="D1826" s="75">
        <v>0.0</v>
      </c>
      <c r="E1826" s="75">
        <v>0.0</v>
      </c>
      <c r="F1826" s="75" t="s">
        <v>998</v>
      </c>
      <c r="G1826" s="82">
        <v>46111.0</v>
      </c>
      <c r="H1826" s="76" t="s">
        <v>933</v>
      </c>
      <c r="I1826" s="83"/>
      <c r="J1826" s="83"/>
      <c r="K1826" s="83"/>
      <c r="L1826" s="83"/>
      <c r="M1826" s="83"/>
      <c r="N1826" s="83"/>
      <c r="O1826" s="83"/>
      <c r="P1826" s="83"/>
      <c r="Q1826" s="83"/>
      <c r="R1826" s="83"/>
      <c r="S1826" s="83"/>
      <c r="T1826" s="83"/>
      <c r="U1826" s="83"/>
      <c r="V1826" s="83"/>
      <c r="W1826" s="83"/>
      <c r="X1826" s="83"/>
      <c r="Y1826" s="83"/>
      <c r="Z1826" s="83"/>
    </row>
    <row r="1827">
      <c r="A1827" s="75" t="s">
        <v>42</v>
      </c>
      <c r="B1827" s="75" t="s">
        <v>1006</v>
      </c>
      <c r="C1827" s="75">
        <v>0.48</v>
      </c>
      <c r="D1827" s="75">
        <v>0.0</v>
      </c>
      <c r="E1827" s="75">
        <v>0.0</v>
      </c>
      <c r="F1827" s="75" t="s">
        <v>998</v>
      </c>
      <c r="G1827" s="82">
        <v>46111.0</v>
      </c>
      <c r="H1827" s="76" t="s">
        <v>934</v>
      </c>
      <c r="I1827" s="83"/>
      <c r="J1827" s="83"/>
      <c r="K1827" s="83"/>
      <c r="L1827" s="83"/>
      <c r="M1827" s="83"/>
      <c r="N1827" s="83"/>
      <c r="O1827" s="83"/>
      <c r="P1827" s="83"/>
      <c r="Q1827" s="83"/>
      <c r="R1827" s="83"/>
      <c r="S1827" s="83"/>
      <c r="T1827" s="83"/>
      <c r="U1827" s="83"/>
      <c r="V1827" s="83"/>
      <c r="W1827" s="83"/>
      <c r="X1827" s="83"/>
      <c r="Y1827" s="83"/>
      <c r="Z1827" s="83"/>
    </row>
    <row r="1828">
      <c r="A1828" s="75" t="s">
        <v>42</v>
      </c>
      <c r="B1828" s="75" t="s">
        <v>1006</v>
      </c>
      <c r="C1828" s="75">
        <v>0.36</v>
      </c>
      <c r="D1828" s="75">
        <v>0.0</v>
      </c>
      <c r="E1828" s="75">
        <v>0.0</v>
      </c>
      <c r="F1828" s="75" t="s">
        <v>998</v>
      </c>
      <c r="G1828" s="82">
        <v>46111.0</v>
      </c>
      <c r="H1828" s="76" t="s">
        <v>991</v>
      </c>
      <c r="I1828" s="83"/>
      <c r="J1828" s="83"/>
      <c r="K1828" s="83"/>
      <c r="L1828" s="83"/>
      <c r="M1828" s="83"/>
      <c r="N1828" s="83"/>
      <c r="O1828" s="83"/>
      <c r="P1828" s="83"/>
      <c r="Q1828" s="83"/>
      <c r="R1828" s="83"/>
      <c r="S1828" s="83"/>
      <c r="T1828" s="83"/>
      <c r="U1828" s="83"/>
      <c r="V1828" s="83"/>
      <c r="W1828" s="83"/>
      <c r="X1828" s="83"/>
      <c r="Y1828" s="83"/>
      <c r="Z1828" s="83"/>
    </row>
    <row r="1829">
      <c r="A1829" s="75" t="s">
        <v>45</v>
      </c>
      <c r="B1829" s="75" t="s">
        <v>1006</v>
      </c>
      <c r="C1829" s="75">
        <v>0.09</v>
      </c>
      <c r="D1829" s="75">
        <v>0.0</v>
      </c>
      <c r="E1829" s="75">
        <v>0.0</v>
      </c>
      <c r="F1829" s="75" t="s">
        <v>998</v>
      </c>
      <c r="G1829" s="82">
        <v>46111.0</v>
      </c>
      <c r="H1829" s="76" t="s">
        <v>936</v>
      </c>
      <c r="I1829" s="83"/>
      <c r="J1829" s="83"/>
      <c r="K1829" s="83"/>
      <c r="L1829" s="83"/>
      <c r="M1829" s="83"/>
      <c r="N1829" s="83"/>
      <c r="O1829" s="83"/>
      <c r="P1829" s="83"/>
      <c r="Q1829" s="83"/>
      <c r="R1829" s="83"/>
      <c r="S1829" s="83"/>
      <c r="T1829" s="83"/>
      <c r="U1829" s="83"/>
      <c r="V1829" s="83"/>
      <c r="W1829" s="83"/>
      <c r="X1829" s="83"/>
      <c r="Y1829" s="83"/>
      <c r="Z1829" s="83"/>
    </row>
    <row r="1830">
      <c r="A1830" s="75" t="s">
        <v>45</v>
      </c>
      <c r="B1830" s="75" t="s">
        <v>1006</v>
      </c>
      <c r="C1830" s="75">
        <v>0.78</v>
      </c>
      <c r="D1830" s="75">
        <v>0.0</v>
      </c>
      <c r="E1830" s="75">
        <v>0.0</v>
      </c>
      <c r="F1830" s="75" t="s">
        <v>998</v>
      </c>
      <c r="G1830" s="82">
        <v>46111.0</v>
      </c>
      <c r="H1830" s="76" t="s">
        <v>937</v>
      </c>
      <c r="I1830" s="83"/>
      <c r="J1830" s="83"/>
      <c r="K1830" s="83"/>
      <c r="L1830" s="83"/>
      <c r="M1830" s="83"/>
      <c r="N1830" s="83"/>
      <c r="O1830" s="83"/>
      <c r="P1830" s="83"/>
      <c r="Q1830" s="83"/>
      <c r="R1830" s="83"/>
      <c r="S1830" s="83"/>
      <c r="T1830" s="83"/>
      <c r="U1830" s="83"/>
      <c r="V1830" s="83"/>
      <c r="W1830" s="83"/>
      <c r="X1830" s="83"/>
      <c r="Y1830" s="83"/>
      <c r="Z1830" s="83"/>
    </row>
    <row r="1831">
      <c r="A1831" s="75" t="s">
        <v>45</v>
      </c>
      <c r="B1831" s="75" t="s">
        <v>1006</v>
      </c>
      <c r="C1831" s="75">
        <v>0.08</v>
      </c>
      <c r="D1831" s="75">
        <v>0.0</v>
      </c>
      <c r="E1831" s="75">
        <v>0.0</v>
      </c>
      <c r="F1831" s="75" t="s">
        <v>998</v>
      </c>
      <c r="G1831" s="82">
        <v>46111.0</v>
      </c>
      <c r="H1831" s="76" t="s">
        <v>938</v>
      </c>
      <c r="I1831" s="83"/>
      <c r="J1831" s="83"/>
      <c r="K1831" s="83"/>
      <c r="L1831" s="83"/>
      <c r="M1831" s="83"/>
      <c r="N1831" s="83"/>
      <c r="O1831" s="83"/>
      <c r="P1831" s="83"/>
      <c r="Q1831" s="83"/>
      <c r="R1831" s="83"/>
      <c r="S1831" s="83"/>
      <c r="T1831" s="83"/>
      <c r="U1831" s="83"/>
      <c r="V1831" s="83"/>
      <c r="W1831" s="83"/>
      <c r="X1831" s="83"/>
      <c r="Y1831" s="83"/>
      <c r="Z1831" s="83"/>
    </row>
    <row r="1832">
      <c r="A1832" s="75" t="s">
        <v>50</v>
      </c>
      <c r="B1832" s="75" t="s">
        <v>1006</v>
      </c>
      <c r="C1832" s="75">
        <v>2.3</v>
      </c>
      <c r="D1832" s="75">
        <v>0.0</v>
      </c>
      <c r="E1832" s="75">
        <v>0.0</v>
      </c>
      <c r="F1832" s="75" t="s">
        <v>998</v>
      </c>
      <c r="G1832" s="82">
        <v>46111.0</v>
      </c>
      <c r="H1832" s="76" t="s">
        <v>939</v>
      </c>
      <c r="I1832" s="83"/>
      <c r="J1832" s="83"/>
      <c r="K1832" s="83"/>
      <c r="L1832" s="83"/>
      <c r="M1832" s="83"/>
      <c r="N1832" s="83"/>
      <c r="O1832" s="83"/>
      <c r="P1832" s="83"/>
      <c r="Q1832" s="83"/>
      <c r="R1832" s="83"/>
      <c r="S1832" s="83"/>
      <c r="T1832" s="83"/>
      <c r="U1832" s="83"/>
      <c r="V1832" s="83"/>
      <c r="W1832" s="83"/>
      <c r="X1832" s="83"/>
      <c r="Y1832" s="83"/>
      <c r="Z1832" s="83"/>
    </row>
    <row r="1833">
      <c r="A1833" s="75" t="s">
        <v>50</v>
      </c>
      <c r="B1833" s="75" t="s">
        <v>1006</v>
      </c>
      <c r="C1833" s="75">
        <v>0.02</v>
      </c>
      <c r="D1833" s="75">
        <v>0.0</v>
      </c>
      <c r="E1833" s="75">
        <v>0.0</v>
      </c>
      <c r="F1833" s="75" t="s">
        <v>998</v>
      </c>
      <c r="G1833" s="82">
        <v>46111.0</v>
      </c>
      <c r="H1833" s="76" t="s">
        <v>940</v>
      </c>
      <c r="I1833" s="83"/>
      <c r="J1833" s="83"/>
      <c r="K1833" s="83"/>
      <c r="L1833" s="83"/>
      <c r="M1833" s="83"/>
      <c r="N1833" s="83"/>
      <c r="O1833" s="83"/>
      <c r="P1833" s="83"/>
      <c r="Q1833" s="83"/>
      <c r="R1833" s="83"/>
      <c r="S1833" s="83"/>
      <c r="T1833" s="83"/>
      <c r="U1833" s="83"/>
      <c r="V1833" s="83"/>
      <c r="W1833" s="83"/>
      <c r="X1833" s="83"/>
      <c r="Y1833" s="83"/>
      <c r="Z1833" s="83"/>
    </row>
    <row r="1834">
      <c r="A1834" s="75" t="s">
        <v>32</v>
      </c>
      <c r="B1834" s="75" t="s">
        <v>1006</v>
      </c>
      <c r="C1834" s="75">
        <v>3.24</v>
      </c>
      <c r="D1834" s="75">
        <v>1.0</v>
      </c>
      <c r="E1834" s="75">
        <v>3.24</v>
      </c>
      <c r="F1834" s="75" t="s">
        <v>998</v>
      </c>
      <c r="G1834" s="82">
        <v>46111.0</v>
      </c>
      <c r="H1834" s="76" t="s">
        <v>941</v>
      </c>
      <c r="I1834" s="83"/>
      <c r="J1834" s="83"/>
      <c r="K1834" s="83"/>
      <c r="L1834" s="83"/>
      <c r="M1834" s="83"/>
      <c r="N1834" s="83"/>
      <c r="O1834" s="83"/>
      <c r="P1834" s="83"/>
      <c r="Q1834" s="83"/>
      <c r="R1834" s="83"/>
      <c r="S1834" s="83"/>
      <c r="T1834" s="83"/>
      <c r="U1834" s="83"/>
      <c r="V1834" s="83"/>
      <c r="W1834" s="83"/>
      <c r="X1834" s="83"/>
      <c r="Y1834" s="83"/>
      <c r="Z1834" s="83"/>
    </row>
    <row r="1835">
      <c r="A1835" s="75" t="s">
        <v>32</v>
      </c>
      <c r="B1835" s="75" t="s">
        <v>1006</v>
      </c>
      <c r="C1835" s="75">
        <v>0.02</v>
      </c>
      <c r="D1835" s="75">
        <v>0.0</v>
      </c>
      <c r="E1835" s="75">
        <v>0.0</v>
      </c>
      <c r="F1835" s="75" t="s">
        <v>998</v>
      </c>
      <c r="G1835" s="82">
        <v>46111.0</v>
      </c>
      <c r="H1835" s="76" t="s">
        <v>942</v>
      </c>
      <c r="I1835" s="83"/>
      <c r="J1835" s="83"/>
      <c r="K1835" s="83"/>
      <c r="L1835" s="83"/>
      <c r="M1835" s="83"/>
      <c r="N1835" s="83"/>
      <c r="O1835" s="83"/>
      <c r="P1835" s="83"/>
      <c r="Q1835" s="83"/>
      <c r="R1835" s="83"/>
      <c r="S1835" s="83"/>
      <c r="T1835" s="83"/>
      <c r="U1835" s="83"/>
      <c r="V1835" s="83"/>
      <c r="W1835" s="83"/>
      <c r="X1835" s="83"/>
      <c r="Y1835" s="83"/>
      <c r="Z1835" s="83"/>
    </row>
    <row r="1836">
      <c r="A1836" s="75" t="s">
        <v>32</v>
      </c>
      <c r="B1836" s="75" t="s">
        <v>1006</v>
      </c>
      <c r="C1836" s="75">
        <v>0.09</v>
      </c>
      <c r="D1836" s="75">
        <v>0.0</v>
      </c>
      <c r="E1836" s="75">
        <v>0.0</v>
      </c>
      <c r="F1836" s="75" t="s">
        <v>998</v>
      </c>
      <c r="G1836" s="82">
        <v>46111.0</v>
      </c>
      <c r="H1836" s="76" t="s">
        <v>943</v>
      </c>
      <c r="I1836" s="83"/>
      <c r="J1836" s="83"/>
      <c r="K1836" s="83"/>
      <c r="L1836" s="83"/>
      <c r="M1836" s="83"/>
      <c r="N1836" s="83"/>
      <c r="O1836" s="83"/>
      <c r="P1836" s="83"/>
      <c r="Q1836" s="83"/>
      <c r="R1836" s="83"/>
      <c r="S1836" s="83"/>
      <c r="T1836" s="83"/>
      <c r="U1836" s="83"/>
      <c r="V1836" s="83"/>
      <c r="W1836" s="83"/>
      <c r="X1836" s="83"/>
      <c r="Y1836" s="83"/>
      <c r="Z1836" s="83"/>
    </row>
    <row r="1837">
      <c r="A1837" s="75" t="s">
        <v>944</v>
      </c>
      <c r="B1837" s="75" t="s">
        <v>1006</v>
      </c>
      <c r="C1837" s="75">
        <v>0.01</v>
      </c>
      <c r="D1837" s="75">
        <v>0.0</v>
      </c>
      <c r="E1837" s="75">
        <v>0.0</v>
      </c>
      <c r="F1837" s="75" t="s">
        <v>998</v>
      </c>
      <c r="G1837" s="82">
        <v>46111.0</v>
      </c>
      <c r="H1837" s="76" t="s">
        <v>945</v>
      </c>
      <c r="I1837" s="83"/>
      <c r="J1837" s="83"/>
      <c r="K1837" s="83"/>
      <c r="L1837" s="83"/>
      <c r="M1837" s="83"/>
      <c r="N1837" s="83"/>
      <c r="O1837" s="83"/>
      <c r="P1837" s="83"/>
      <c r="Q1837" s="83"/>
      <c r="R1837" s="83"/>
      <c r="S1837" s="83"/>
      <c r="T1837" s="83"/>
      <c r="U1837" s="83"/>
      <c r="V1837" s="83"/>
      <c r="W1837" s="83"/>
      <c r="X1837" s="83"/>
      <c r="Y1837" s="83"/>
      <c r="Z1837" s="83"/>
    </row>
    <row r="1838">
      <c r="A1838" s="75" t="s">
        <v>944</v>
      </c>
      <c r="B1838" s="75" t="s">
        <v>1006</v>
      </c>
      <c r="C1838" s="75">
        <v>0.02</v>
      </c>
      <c r="D1838" s="75">
        <v>0.0</v>
      </c>
      <c r="E1838" s="75">
        <v>0.0</v>
      </c>
      <c r="F1838" s="75" t="s">
        <v>998</v>
      </c>
      <c r="G1838" s="82">
        <v>46111.0</v>
      </c>
      <c r="H1838" s="76" t="s">
        <v>946</v>
      </c>
      <c r="I1838" s="83"/>
      <c r="J1838" s="83"/>
      <c r="K1838" s="83"/>
      <c r="L1838" s="83"/>
      <c r="M1838" s="83"/>
      <c r="N1838" s="83"/>
      <c r="O1838" s="83"/>
      <c r="P1838" s="83"/>
      <c r="Q1838" s="83"/>
      <c r="R1838" s="83"/>
      <c r="S1838" s="83"/>
      <c r="T1838" s="83"/>
      <c r="U1838" s="83"/>
      <c r="V1838" s="83"/>
      <c r="W1838" s="83"/>
      <c r="X1838" s="83"/>
      <c r="Y1838" s="83"/>
      <c r="Z1838" s="83"/>
    </row>
    <row r="1839">
      <c r="A1839" s="75" t="s">
        <v>944</v>
      </c>
      <c r="B1839" s="75" t="s">
        <v>1006</v>
      </c>
      <c r="C1839" s="75">
        <v>1.09</v>
      </c>
      <c r="D1839" s="75">
        <v>0.0</v>
      </c>
      <c r="E1839" s="75">
        <v>0.0</v>
      </c>
      <c r="F1839" s="75" t="s">
        <v>998</v>
      </c>
      <c r="G1839" s="82">
        <v>46111.0</v>
      </c>
      <c r="H1839" s="76" t="s">
        <v>947</v>
      </c>
      <c r="I1839" s="83"/>
      <c r="J1839" s="83"/>
      <c r="K1839" s="83"/>
      <c r="L1839" s="83"/>
      <c r="M1839" s="83"/>
      <c r="N1839" s="83"/>
      <c r="O1839" s="83"/>
      <c r="P1839" s="83"/>
      <c r="Q1839" s="83"/>
      <c r="R1839" s="83"/>
      <c r="S1839" s="83"/>
      <c r="T1839" s="83"/>
      <c r="U1839" s="83"/>
      <c r="V1839" s="83"/>
      <c r="W1839" s="83"/>
      <c r="X1839" s="83"/>
      <c r="Y1839" s="83"/>
      <c r="Z1839" s="83"/>
    </row>
    <row r="1840">
      <c r="A1840" s="75" t="s">
        <v>26</v>
      </c>
      <c r="B1840" s="75" t="s">
        <v>1006</v>
      </c>
      <c r="C1840" s="75">
        <v>0.02</v>
      </c>
      <c r="D1840" s="75">
        <v>0.0</v>
      </c>
      <c r="E1840" s="75">
        <v>0.0</v>
      </c>
      <c r="F1840" s="75" t="s">
        <v>998</v>
      </c>
      <c r="G1840" s="82">
        <v>46111.0</v>
      </c>
      <c r="H1840" s="76" t="s">
        <v>1012</v>
      </c>
      <c r="I1840" s="83"/>
      <c r="J1840" s="83"/>
      <c r="K1840" s="83"/>
      <c r="L1840" s="83"/>
      <c r="M1840" s="83"/>
      <c r="N1840" s="83"/>
      <c r="O1840" s="83"/>
      <c r="P1840" s="83"/>
      <c r="Q1840" s="83"/>
      <c r="R1840" s="83"/>
      <c r="S1840" s="83"/>
      <c r="T1840" s="83"/>
      <c r="U1840" s="83"/>
      <c r="V1840" s="83"/>
      <c r="W1840" s="83"/>
      <c r="X1840" s="83"/>
      <c r="Y1840" s="83"/>
      <c r="Z1840" s="83"/>
    </row>
    <row r="1841">
      <c r="A1841" s="75" t="s">
        <v>26</v>
      </c>
      <c r="B1841" s="75" t="s">
        <v>1006</v>
      </c>
      <c r="C1841" s="75">
        <v>0.01</v>
      </c>
      <c r="D1841" s="75">
        <v>0.0</v>
      </c>
      <c r="E1841" s="75">
        <v>0.0</v>
      </c>
      <c r="F1841" s="75" t="s">
        <v>998</v>
      </c>
      <c r="G1841" s="82">
        <v>46111.0</v>
      </c>
      <c r="H1841" s="76" t="s">
        <v>1013</v>
      </c>
      <c r="I1841" s="83"/>
      <c r="J1841" s="83"/>
      <c r="K1841" s="83"/>
      <c r="L1841" s="83"/>
      <c r="M1841" s="83"/>
      <c r="N1841" s="83"/>
      <c r="O1841" s="83"/>
      <c r="P1841" s="83"/>
      <c r="Q1841" s="83"/>
      <c r="R1841" s="83"/>
      <c r="S1841" s="83"/>
      <c r="T1841" s="83"/>
      <c r="U1841" s="83"/>
      <c r="V1841" s="83"/>
      <c r="W1841" s="83"/>
      <c r="X1841" s="83"/>
      <c r="Y1841" s="83"/>
      <c r="Z1841" s="83"/>
    </row>
    <row r="1842">
      <c r="A1842" s="75" t="s">
        <v>26</v>
      </c>
      <c r="B1842" s="75" t="s">
        <v>1006</v>
      </c>
      <c r="C1842" s="75">
        <v>0.13</v>
      </c>
      <c r="D1842" s="75">
        <v>0.0</v>
      </c>
      <c r="E1842" s="75">
        <v>0.0</v>
      </c>
      <c r="F1842" s="75" t="s">
        <v>998</v>
      </c>
      <c r="G1842" s="82">
        <v>46111.0</v>
      </c>
      <c r="H1842" s="76" t="s">
        <v>1014</v>
      </c>
      <c r="I1842" s="83"/>
      <c r="J1842" s="83"/>
      <c r="K1842" s="83"/>
      <c r="L1842" s="83"/>
      <c r="M1842" s="83"/>
      <c r="N1842" s="83"/>
      <c r="O1842" s="83"/>
      <c r="P1842" s="83"/>
      <c r="Q1842" s="83"/>
      <c r="R1842" s="83"/>
      <c r="S1842" s="83"/>
      <c r="T1842" s="83"/>
      <c r="U1842" s="83"/>
      <c r="V1842" s="83"/>
      <c r="W1842" s="83"/>
      <c r="X1842" s="83"/>
      <c r="Y1842" s="83"/>
      <c r="Z1842" s="83"/>
    </row>
    <row r="1843">
      <c r="A1843" s="75" t="s">
        <v>54</v>
      </c>
      <c r="B1843" s="75" t="s">
        <v>1007</v>
      </c>
      <c r="C1843" s="75">
        <v>11.07</v>
      </c>
      <c r="D1843" s="75">
        <v>0.0</v>
      </c>
      <c r="E1843" s="75">
        <v>0.0</v>
      </c>
      <c r="F1843" s="75" t="s">
        <v>990</v>
      </c>
      <c r="G1843" s="82">
        <v>46111.0</v>
      </c>
      <c r="H1843" s="76" t="s">
        <v>977</v>
      </c>
      <c r="I1843" s="83"/>
      <c r="J1843" s="83"/>
      <c r="K1843" s="83"/>
      <c r="L1843" s="83"/>
      <c r="M1843" s="83"/>
      <c r="N1843" s="83"/>
      <c r="O1843" s="83"/>
      <c r="P1843" s="83"/>
      <c r="Q1843" s="83"/>
      <c r="R1843" s="83"/>
      <c r="S1843" s="83"/>
      <c r="T1843" s="83"/>
      <c r="U1843" s="83"/>
      <c r="V1843" s="83"/>
      <c r="W1843" s="83"/>
      <c r="X1843" s="83"/>
      <c r="Y1843" s="83"/>
      <c r="Z1843" s="83"/>
    </row>
    <row r="1844">
      <c r="A1844" s="75" t="s">
        <v>54</v>
      </c>
      <c r="B1844" s="75" t="s">
        <v>1007</v>
      </c>
      <c r="C1844" s="75">
        <v>11.74</v>
      </c>
      <c r="D1844" s="75">
        <v>0.0</v>
      </c>
      <c r="E1844" s="75">
        <v>0.0</v>
      </c>
      <c r="F1844" s="75" t="s">
        <v>990</v>
      </c>
      <c r="G1844" s="82">
        <v>46111.0</v>
      </c>
      <c r="H1844" s="76" t="s">
        <v>978</v>
      </c>
      <c r="I1844" s="83"/>
      <c r="J1844" s="83"/>
      <c r="K1844" s="83"/>
      <c r="L1844" s="83"/>
      <c r="M1844" s="83"/>
      <c r="N1844" s="83"/>
      <c r="O1844" s="83"/>
      <c r="P1844" s="83"/>
      <c r="Q1844" s="83"/>
      <c r="R1844" s="83"/>
      <c r="S1844" s="83"/>
      <c r="T1844" s="83"/>
      <c r="U1844" s="83"/>
      <c r="V1844" s="83"/>
      <c r="W1844" s="83"/>
      <c r="X1844" s="83"/>
      <c r="Y1844" s="83"/>
      <c r="Z1844" s="83"/>
    </row>
    <row r="1845">
      <c r="A1845" s="75" t="s">
        <v>54</v>
      </c>
      <c r="B1845" s="75" t="s">
        <v>1007</v>
      </c>
      <c r="C1845" s="75">
        <v>3.3</v>
      </c>
      <c r="D1845" s="75">
        <v>0.0</v>
      </c>
      <c r="E1845" s="75">
        <v>0.0</v>
      </c>
      <c r="F1845" s="75" t="s">
        <v>990</v>
      </c>
      <c r="G1845" s="82">
        <v>46111.0</v>
      </c>
      <c r="H1845" s="76" t="s">
        <v>979</v>
      </c>
      <c r="I1845" s="83"/>
      <c r="J1845" s="83"/>
      <c r="K1845" s="83"/>
      <c r="L1845" s="83"/>
      <c r="M1845" s="83"/>
      <c r="N1845" s="83"/>
      <c r="O1845" s="83"/>
      <c r="P1845" s="83"/>
      <c r="Q1845" s="83"/>
      <c r="R1845" s="83"/>
      <c r="S1845" s="83"/>
      <c r="T1845" s="83"/>
      <c r="U1845" s="83"/>
      <c r="V1845" s="83"/>
      <c r="W1845" s="83"/>
      <c r="X1845" s="83"/>
      <c r="Y1845" s="83"/>
      <c r="Z1845" s="83"/>
    </row>
    <row r="1846">
      <c r="A1846" s="75" t="s">
        <v>55</v>
      </c>
      <c r="B1846" s="75" t="s">
        <v>1007</v>
      </c>
      <c r="C1846" s="75">
        <v>3.74</v>
      </c>
      <c r="D1846" s="75">
        <v>0.0</v>
      </c>
      <c r="E1846" s="75">
        <v>0.0</v>
      </c>
      <c r="F1846" s="75" t="s">
        <v>990</v>
      </c>
      <c r="G1846" s="82">
        <v>46111.0</v>
      </c>
      <c r="H1846" s="76" t="s">
        <v>980</v>
      </c>
      <c r="I1846" s="83"/>
      <c r="J1846" s="83"/>
      <c r="K1846" s="83"/>
      <c r="L1846" s="83"/>
      <c r="M1846" s="83"/>
      <c r="N1846" s="83"/>
      <c r="O1846" s="83"/>
      <c r="P1846" s="83"/>
      <c r="Q1846" s="83"/>
      <c r="R1846" s="83"/>
      <c r="S1846" s="83"/>
      <c r="T1846" s="83"/>
      <c r="U1846" s="83"/>
      <c r="V1846" s="83"/>
      <c r="W1846" s="83"/>
      <c r="X1846" s="83"/>
      <c r="Y1846" s="83"/>
      <c r="Z1846" s="83"/>
    </row>
    <row r="1847">
      <c r="A1847" s="75" t="s">
        <v>55</v>
      </c>
      <c r="B1847" s="75" t="s">
        <v>1007</v>
      </c>
      <c r="C1847" s="75">
        <v>4.09</v>
      </c>
      <c r="D1847" s="75">
        <v>0.0</v>
      </c>
      <c r="E1847" s="75">
        <v>0.0</v>
      </c>
      <c r="F1847" s="75" t="s">
        <v>990</v>
      </c>
      <c r="G1847" s="82">
        <v>46111.0</v>
      </c>
      <c r="H1847" s="76" t="s">
        <v>981</v>
      </c>
      <c r="I1847" s="83"/>
      <c r="J1847" s="83"/>
      <c r="K1847" s="83"/>
      <c r="L1847" s="83"/>
      <c r="M1847" s="83"/>
      <c r="N1847" s="83"/>
      <c r="O1847" s="83"/>
      <c r="P1847" s="83"/>
      <c r="Q1847" s="83"/>
      <c r="R1847" s="83"/>
      <c r="S1847" s="83"/>
      <c r="T1847" s="83"/>
      <c r="U1847" s="83"/>
      <c r="V1847" s="83"/>
      <c r="W1847" s="83"/>
      <c r="X1847" s="83"/>
      <c r="Y1847" s="83"/>
      <c r="Z1847" s="83"/>
    </row>
    <row r="1848">
      <c r="A1848" s="75" t="s">
        <v>53</v>
      </c>
      <c r="B1848" s="75" t="s">
        <v>1007</v>
      </c>
      <c r="C1848" s="75">
        <v>19.35</v>
      </c>
      <c r="D1848" s="75">
        <v>0.0</v>
      </c>
      <c r="E1848" s="75">
        <v>0.0</v>
      </c>
      <c r="F1848" s="75" t="s">
        <v>990</v>
      </c>
      <c r="G1848" s="82">
        <v>46111.0</v>
      </c>
      <c r="H1848" s="76" t="s">
        <v>982</v>
      </c>
      <c r="I1848" s="83"/>
      <c r="J1848" s="83"/>
      <c r="K1848" s="83"/>
      <c r="L1848" s="83"/>
      <c r="M1848" s="83"/>
      <c r="N1848" s="83"/>
      <c r="O1848" s="83"/>
      <c r="P1848" s="83"/>
      <c r="Q1848" s="83"/>
      <c r="R1848" s="83"/>
      <c r="S1848" s="83"/>
      <c r="T1848" s="83"/>
      <c r="U1848" s="83"/>
      <c r="V1848" s="83"/>
      <c r="W1848" s="83"/>
      <c r="X1848" s="83"/>
      <c r="Y1848" s="83"/>
      <c r="Z1848" s="83"/>
    </row>
    <row r="1849">
      <c r="A1849" s="75" t="s">
        <v>53</v>
      </c>
      <c r="B1849" s="75" t="s">
        <v>1007</v>
      </c>
      <c r="C1849" s="75">
        <v>5.73</v>
      </c>
      <c r="D1849" s="75">
        <v>0.0</v>
      </c>
      <c r="E1849" s="75">
        <v>0.0</v>
      </c>
      <c r="F1849" s="75" t="s">
        <v>990</v>
      </c>
      <c r="G1849" s="82">
        <v>46111.0</v>
      </c>
      <c r="H1849" s="76" t="s">
        <v>983</v>
      </c>
      <c r="I1849" s="83"/>
      <c r="J1849" s="83"/>
      <c r="K1849" s="83"/>
      <c r="L1849" s="83"/>
      <c r="M1849" s="83"/>
      <c r="N1849" s="83"/>
      <c r="O1849" s="83"/>
      <c r="P1849" s="83"/>
      <c r="Q1849" s="83"/>
      <c r="R1849" s="83"/>
      <c r="S1849" s="83"/>
      <c r="T1849" s="83"/>
      <c r="U1849" s="83"/>
      <c r="V1849" s="83"/>
      <c r="W1849" s="83"/>
      <c r="X1849" s="83"/>
      <c r="Y1849" s="83"/>
      <c r="Z1849" s="83"/>
    </row>
    <row r="1850">
      <c r="A1850" s="75" t="s">
        <v>53</v>
      </c>
      <c r="B1850" s="75" t="s">
        <v>1007</v>
      </c>
      <c r="C1850" s="75">
        <v>1.43</v>
      </c>
      <c r="D1850" s="75">
        <v>0.0</v>
      </c>
      <c r="E1850" s="75">
        <v>0.0</v>
      </c>
      <c r="F1850" s="75" t="s">
        <v>990</v>
      </c>
      <c r="G1850" s="82">
        <v>46111.0</v>
      </c>
      <c r="H1850" s="76" t="s">
        <v>984</v>
      </c>
      <c r="I1850" s="83"/>
      <c r="J1850" s="83"/>
      <c r="K1850" s="83"/>
      <c r="L1850" s="83"/>
      <c r="M1850" s="83"/>
      <c r="N1850" s="83"/>
      <c r="O1850" s="83"/>
      <c r="P1850" s="83"/>
      <c r="Q1850" s="83"/>
      <c r="R1850" s="83"/>
      <c r="S1850" s="83"/>
      <c r="T1850" s="83"/>
      <c r="U1850" s="83"/>
      <c r="V1850" s="83"/>
      <c r="W1850" s="83"/>
      <c r="X1850" s="83"/>
      <c r="Y1850" s="83"/>
      <c r="Z1850" s="83"/>
    </row>
    <row r="1851">
      <c r="A1851" s="75" t="s">
        <v>985</v>
      </c>
      <c r="B1851" s="75" t="s">
        <v>1007</v>
      </c>
      <c r="C1851" s="75">
        <v>3.45</v>
      </c>
      <c r="D1851" s="75">
        <v>0.0</v>
      </c>
      <c r="E1851" s="75">
        <v>0.0</v>
      </c>
      <c r="F1851" s="75" t="s">
        <v>990</v>
      </c>
      <c r="G1851" s="82">
        <v>46111.0</v>
      </c>
      <c r="H1851" s="76" t="s">
        <v>936</v>
      </c>
      <c r="I1851" s="83"/>
      <c r="J1851" s="83"/>
      <c r="K1851" s="83"/>
      <c r="L1851" s="83"/>
      <c r="M1851" s="83"/>
      <c r="N1851" s="83"/>
      <c r="O1851" s="83"/>
      <c r="P1851" s="83"/>
      <c r="Q1851" s="83"/>
      <c r="R1851" s="83"/>
      <c r="S1851" s="83"/>
      <c r="T1851" s="83"/>
      <c r="U1851" s="83"/>
      <c r="V1851" s="83"/>
      <c r="W1851" s="83"/>
      <c r="X1851" s="83"/>
      <c r="Y1851" s="83"/>
      <c r="Z1851" s="83"/>
    </row>
    <row r="1852">
      <c r="A1852" s="75" t="s">
        <v>985</v>
      </c>
      <c r="B1852" s="75" t="s">
        <v>1007</v>
      </c>
      <c r="C1852" s="75">
        <v>1.8</v>
      </c>
      <c r="D1852" s="75">
        <v>0.0</v>
      </c>
      <c r="E1852" s="75">
        <v>0.0</v>
      </c>
      <c r="F1852" s="75" t="s">
        <v>990</v>
      </c>
      <c r="G1852" s="82">
        <v>46111.0</v>
      </c>
      <c r="H1852" s="76" t="s">
        <v>937</v>
      </c>
      <c r="I1852" s="83"/>
      <c r="J1852" s="83"/>
      <c r="K1852" s="83"/>
      <c r="L1852" s="83"/>
      <c r="M1852" s="83"/>
      <c r="N1852" s="83"/>
      <c r="O1852" s="83"/>
      <c r="P1852" s="83"/>
      <c r="Q1852" s="83"/>
      <c r="R1852" s="83"/>
      <c r="S1852" s="83"/>
      <c r="T1852" s="83"/>
      <c r="U1852" s="83"/>
      <c r="V1852" s="83"/>
      <c r="W1852" s="83"/>
      <c r="X1852" s="83"/>
      <c r="Y1852" s="83"/>
      <c r="Z1852" s="83"/>
    </row>
    <row r="1853">
      <c r="A1853" s="75" t="s">
        <v>985</v>
      </c>
      <c r="B1853" s="75" t="s">
        <v>1007</v>
      </c>
      <c r="C1853" s="75">
        <v>2.42</v>
      </c>
      <c r="D1853" s="75">
        <v>0.0</v>
      </c>
      <c r="E1853" s="75">
        <v>0.0</v>
      </c>
      <c r="F1853" s="75" t="s">
        <v>990</v>
      </c>
      <c r="G1853" s="82">
        <v>46111.0</v>
      </c>
      <c r="H1853" s="76" t="s">
        <v>938</v>
      </c>
      <c r="I1853" s="83"/>
      <c r="J1853" s="83"/>
      <c r="K1853" s="83"/>
      <c r="L1853" s="83"/>
      <c r="M1853" s="83"/>
      <c r="N1853" s="83"/>
      <c r="O1853" s="83"/>
      <c r="P1853" s="83"/>
      <c r="Q1853" s="83"/>
      <c r="R1853" s="83"/>
      <c r="S1853" s="83"/>
      <c r="T1853" s="83"/>
      <c r="U1853" s="83"/>
      <c r="V1853" s="83"/>
      <c r="W1853" s="83"/>
      <c r="X1853" s="83"/>
      <c r="Y1853" s="83"/>
      <c r="Z1853" s="83"/>
    </row>
    <row r="1854">
      <c r="A1854" s="75" t="s">
        <v>51</v>
      </c>
      <c r="B1854" s="75" t="s">
        <v>1007</v>
      </c>
      <c r="C1854" s="75">
        <v>4.48</v>
      </c>
      <c r="D1854" s="75">
        <v>0.0</v>
      </c>
      <c r="E1854" s="75">
        <v>0.0</v>
      </c>
      <c r="F1854" s="75" t="s">
        <v>990</v>
      </c>
      <c r="G1854" s="82">
        <v>46111.0</v>
      </c>
      <c r="H1854" s="76" t="s">
        <v>986</v>
      </c>
      <c r="I1854" s="83"/>
      <c r="J1854" s="83"/>
      <c r="K1854" s="83"/>
      <c r="L1854" s="83"/>
      <c r="M1854" s="83"/>
      <c r="N1854" s="83"/>
      <c r="O1854" s="83"/>
      <c r="P1854" s="83"/>
      <c r="Q1854" s="83"/>
      <c r="R1854" s="83"/>
      <c r="S1854" s="83"/>
      <c r="T1854" s="83"/>
      <c r="U1854" s="83"/>
      <c r="V1854" s="83"/>
      <c r="W1854" s="83"/>
      <c r="X1854" s="83"/>
      <c r="Y1854" s="83"/>
      <c r="Z1854" s="83"/>
    </row>
    <row r="1855">
      <c r="A1855" s="75" t="s">
        <v>51</v>
      </c>
      <c r="B1855" s="75" t="s">
        <v>1007</v>
      </c>
      <c r="C1855" s="75">
        <v>3.0</v>
      </c>
      <c r="D1855" s="75">
        <v>0.0</v>
      </c>
      <c r="E1855" s="75">
        <v>0.0</v>
      </c>
      <c r="F1855" s="75" t="s">
        <v>990</v>
      </c>
      <c r="G1855" s="82">
        <v>46111.0</v>
      </c>
      <c r="H1855" s="76" t="s">
        <v>987</v>
      </c>
      <c r="I1855" s="83"/>
      <c r="J1855" s="83"/>
      <c r="K1855" s="83"/>
      <c r="L1855" s="83"/>
      <c r="M1855" s="83"/>
      <c r="N1855" s="83"/>
      <c r="O1855" s="83"/>
      <c r="P1855" s="83"/>
      <c r="Q1855" s="83"/>
      <c r="R1855" s="83"/>
      <c r="S1855" s="83"/>
      <c r="T1855" s="83"/>
      <c r="U1855" s="83"/>
      <c r="V1855" s="83"/>
      <c r="W1855" s="83"/>
      <c r="X1855" s="83"/>
      <c r="Y1855" s="83"/>
      <c r="Z1855" s="83"/>
    </row>
    <row r="1856">
      <c r="A1856" s="75" t="s">
        <v>54</v>
      </c>
      <c r="B1856" s="75" t="s">
        <v>1007</v>
      </c>
      <c r="C1856" s="75">
        <v>16.81</v>
      </c>
      <c r="D1856" s="75">
        <v>0.0</v>
      </c>
      <c r="E1856" s="75">
        <v>0.0</v>
      </c>
      <c r="F1856" s="75" t="s">
        <v>993</v>
      </c>
      <c r="G1856" s="82">
        <v>46111.0</v>
      </c>
      <c r="H1856" s="76" t="s">
        <v>977</v>
      </c>
      <c r="I1856" s="83"/>
      <c r="J1856" s="83"/>
      <c r="K1856" s="83"/>
      <c r="L1856" s="83"/>
      <c r="M1856" s="83"/>
      <c r="N1856" s="83"/>
      <c r="O1856" s="83"/>
      <c r="P1856" s="83"/>
      <c r="Q1856" s="83"/>
      <c r="R1856" s="83"/>
      <c r="S1856" s="83"/>
      <c r="T1856" s="83"/>
      <c r="U1856" s="83"/>
      <c r="V1856" s="83"/>
      <c r="W1856" s="83"/>
      <c r="X1856" s="83"/>
      <c r="Y1856" s="83"/>
      <c r="Z1856" s="83"/>
    </row>
    <row r="1857">
      <c r="A1857" s="75" t="s">
        <v>54</v>
      </c>
      <c r="B1857" s="75" t="s">
        <v>1007</v>
      </c>
      <c r="C1857" s="75">
        <v>27.43</v>
      </c>
      <c r="D1857" s="75">
        <v>1.0</v>
      </c>
      <c r="E1857" s="75">
        <v>27.43</v>
      </c>
      <c r="F1857" s="75" t="s">
        <v>993</v>
      </c>
      <c r="G1857" s="82">
        <v>46111.0</v>
      </c>
      <c r="H1857" s="76" t="s">
        <v>978</v>
      </c>
      <c r="I1857" s="83"/>
      <c r="J1857" s="83"/>
      <c r="K1857" s="83"/>
      <c r="L1857" s="83"/>
      <c r="M1857" s="83"/>
      <c r="N1857" s="83"/>
      <c r="O1857" s="83"/>
      <c r="P1857" s="83"/>
      <c r="Q1857" s="83"/>
      <c r="R1857" s="83"/>
      <c r="S1857" s="83"/>
      <c r="T1857" s="83"/>
      <c r="U1857" s="83"/>
      <c r="V1857" s="83"/>
      <c r="W1857" s="83"/>
      <c r="X1857" s="83"/>
      <c r="Y1857" s="83"/>
      <c r="Z1857" s="83"/>
    </row>
    <row r="1858">
      <c r="A1858" s="75" t="s">
        <v>54</v>
      </c>
      <c r="B1858" s="75" t="s">
        <v>1007</v>
      </c>
      <c r="C1858" s="75">
        <v>3.66</v>
      </c>
      <c r="D1858" s="75">
        <v>0.0</v>
      </c>
      <c r="E1858" s="75">
        <v>0.0</v>
      </c>
      <c r="F1858" s="75" t="s">
        <v>993</v>
      </c>
      <c r="G1858" s="82">
        <v>46111.0</v>
      </c>
      <c r="H1858" s="76" t="s">
        <v>979</v>
      </c>
      <c r="I1858" s="83"/>
      <c r="J1858" s="83"/>
      <c r="K1858" s="83"/>
      <c r="L1858" s="83"/>
      <c r="M1858" s="83"/>
      <c r="N1858" s="83"/>
      <c r="O1858" s="83"/>
      <c r="P1858" s="83"/>
      <c r="Q1858" s="83"/>
      <c r="R1858" s="83"/>
      <c r="S1858" s="83"/>
      <c r="T1858" s="83"/>
      <c r="U1858" s="83"/>
      <c r="V1858" s="83"/>
      <c r="W1858" s="83"/>
      <c r="X1858" s="83"/>
      <c r="Y1858" s="83"/>
      <c r="Z1858" s="83"/>
    </row>
    <row r="1859">
      <c r="A1859" s="75" t="s">
        <v>55</v>
      </c>
      <c r="B1859" s="75" t="s">
        <v>1007</v>
      </c>
      <c r="C1859" s="75">
        <v>3.03</v>
      </c>
      <c r="D1859" s="75">
        <v>0.0</v>
      </c>
      <c r="E1859" s="75">
        <v>0.0</v>
      </c>
      <c r="F1859" s="75" t="s">
        <v>993</v>
      </c>
      <c r="G1859" s="82">
        <v>46111.0</v>
      </c>
      <c r="H1859" s="76" t="s">
        <v>980</v>
      </c>
      <c r="I1859" s="83"/>
      <c r="J1859" s="83"/>
      <c r="K1859" s="83"/>
      <c r="L1859" s="83"/>
      <c r="M1859" s="83"/>
      <c r="N1859" s="83"/>
      <c r="O1859" s="83"/>
      <c r="P1859" s="83"/>
      <c r="Q1859" s="83"/>
      <c r="R1859" s="83"/>
      <c r="S1859" s="83"/>
      <c r="T1859" s="83"/>
      <c r="U1859" s="83"/>
      <c r="V1859" s="83"/>
      <c r="W1859" s="83"/>
      <c r="X1859" s="83"/>
      <c r="Y1859" s="83"/>
      <c r="Z1859" s="83"/>
    </row>
    <row r="1860">
      <c r="A1860" s="75" t="s">
        <v>55</v>
      </c>
      <c r="B1860" s="75" t="s">
        <v>1007</v>
      </c>
      <c r="C1860" s="75">
        <v>7.86</v>
      </c>
      <c r="D1860" s="75">
        <v>0.0</v>
      </c>
      <c r="E1860" s="75">
        <v>0.0</v>
      </c>
      <c r="F1860" s="75" t="s">
        <v>993</v>
      </c>
      <c r="G1860" s="82">
        <v>46111.0</v>
      </c>
      <c r="H1860" s="76" t="s">
        <v>981</v>
      </c>
      <c r="I1860" s="83"/>
      <c r="J1860" s="83"/>
      <c r="K1860" s="83"/>
      <c r="L1860" s="83"/>
      <c r="M1860" s="83"/>
      <c r="N1860" s="83"/>
      <c r="O1860" s="83"/>
      <c r="P1860" s="83"/>
      <c r="Q1860" s="83"/>
      <c r="R1860" s="83"/>
      <c r="S1860" s="83"/>
      <c r="T1860" s="83"/>
      <c r="U1860" s="83"/>
      <c r="V1860" s="83"/>
      <c r="W1860" s="83"/>
      <c r="X1860" s="83"/>
      <c r="Y1860" s="83"/>
      <c r="Z1860" s="83"/>
    </row>
    <row r="1861">
      <c r="A1861" s="75" t="s">
        <v>53</v>
      </c>
      <c r="B1861" s="75" t="s">
        <v>1007</v>
      </c>
      <c r="C1861" s="75">
        <v>4.07</v>
      </c>
      <c r="D1861" s="75">
        <v>0.0</v>
      </c>
      <c r="E1861" s="75">
        <v>0.0</v>
      </c>
      <c r="F1861" s="75" t="s">
        <v>993</v>
      </c>
      <c r="G1861" s="82">
        <v>46111.0</v>
      </c>
      <c r="H1861" s="76" t="s">
        <v>982</v>
      </c>
      <c r="I1861" s="83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83"/>
      <c r="V1861" s="83"/>
      <c r="W1861" s="83"/>
      <c r="X1861" s="83"/>
      <c r="Y1861" s="83"/>
      <c r="Z1861" s="83"/>
    </row>
    <row r="1862">
      <c r="A1862" s="75" t="s">
        <v>53</v>
      </c>
      <c r="B1862" s="75" t="s">
        <v>1007</v>
      </c>
      <c r="C1862" s="75">
        <v>2.88</v>
      </c>
      <c r="D1862" s="75">
        <v>0.0</v>
      </c>
      <c r="E1862" s="75">
        <v>0.0</v>
      </c>
      <c r="F1862" s="75" t="s">
        <v>993</v>
      </c>
      <c r="G1862" s="82">
        <v>46111.0</v>
      </c>
      <c r="H1862" s="76" t="s">
        <v>983</v>
      </c>
      <c r="I1862" s="83"/>
      <c r="J1862" s="83"/>
      <c r="K1862" s="83"/>
      <c r="L1862" s="83"/>
      <c r="M1862" s="83"/>
      <c r="N1862" s="83"/>
      <c r="O1862" s="83"/>
      <c r="P1862" s="83"/>
      <c r="Q1862" s="83"/>
      <c r="R1862" s="83"/>
      <c r="S1862" s="83"/>
      <c r="T1862" s="83"/>
      <c r="U1862" s="83"/>
      <c r="V1862" s="83"/>
      <c r="W1862" s="83"/>
      <c r="X1862" s="83"/>
      <c r="Y1862" s="83"/>
      <c r="Z1862" s="83"/>
    </row>
    <row r="1863">
      <c r="A1863" s="75" t="s">
        <v>53</v>
      </c>
      <c r="B1863" s="75" t="s">
        <v>1007</v>
      </c>
      <c r="C1863" s="75">
        <v>1.17</v>
      </c>
      <c r="D1863" s="75">
        <v>0.0</v>
      </c>
      <c r="E1863" s="75">
        <v>0.0</v>
      </c>
      <c r="F1863" s="75" t="s">
        <v>993</v>
      </c>
      <c r="G1863" s="82">
        <v>46111.0</v>
      </c>
      <c r="H1863" s="76" t="s">
        <v>984</v>
      </c>
      <c r="I1863" s="83"/>
      <c r="J1863" s="83"/>
      <c r="K1863" s="83"/>
      <c r="L1863" s="83"/>
      <c r="M1863" s="83"/>
      <c r="N1863" s="83"/>
      <c r="O1863" s="83"/>
      <c r="P1863" s="83"/>
      <c r="Q1863" s="83"/>
      <c r="R1863" s="83"/>
      <c r="S1863" s="83"/>
      <c r="T1863" s="83"/>
      <c r="U1863" s="83"/>
      <c r="V1863" s="83"/>
      <c r="W1863" s="83"/>
      <c r="X1863" s="83"/>
      <c r="Y1863" s="83"/>
      <c r="Z1863" s="83"/>
    </row>
    <row r="1864">
      <c r="A1864" s="75" t="s">
        <v>985</v>
      </c>
      <c r="B1864" s="75" t="s">
        <v>1007</v>
      </c>
      <c r="C1864" s="75">
        <v>1.32</v>
      </c>
      <c r="D1864" s="75">
        <v>0.0</v>
      </c>
      <c r="E1864" s="75">
        <v>0.0</v>
      </c>
      <c r="F1864" s="75" t="s">
        <v>993</v>
      </c>
      <c r="G1864" s="82">
        <v>46111.0</v>
      </c>
      <c r="H1864" s="76" t="s">
        <v>936</v>
      </c>
      <c r="I1864" s="83"/>
      <c r="J1864" s="83"/>
      <c r="K1864" s="83"/>
      <c r="L1864" s="83"/>
      <c r="M1864" s="83"/>
      <c r="N1864" s="83"/>
      <c r="O1864" s="83"/>
      <c r="P1864" s="83"/>
      <c r="Q1864" s="83"/>
      <c r="R1864" s="83"/>
      <c r="S1864" s="83"/>
      <c r="T1864" s="83"/>
      <c r="U1864" s="83"/>
      <c r="V1864" s="83"/>
      <c r="W1864" s="83"/>
      <c r="X1864" s="83"/>
      <c r="Y1864" s="83"/>
      <c r="Z1864" s="83"/>
    </row>
    <row r="1865">
      <c r="A1865" s="75" t="s">
        <v>985</v>
      </c>
      <c r="B1865" s="75" t="s">
        <v>1007</v>
      </c>
      <c r="C1865" s="75">
        <v>1.48</v>
      </c>
      <c r="D1865" s="75">
        <v>0.0</v>
      </c>
      <c r="E1865" s="75">
        <v>0.0</v>
      </c>
      <c r="F1865" s="75" t="s">
        <v>993</v>
      </c>
      <c r="G1865" s="82">
        <v>46111.0</v>
      </c>
      <c r="H1865" s="76" t="s">
        <v>937</v>
      </c>
      <c r="I1865" s="83"/>
      <c r="J1865" s="83"/>
      <c r="K1865" s="83"/>
      <c r="L1865" s="83"/>
      <c r="M1865" s="83"/>
      <c r="N1865" s="83"/>
      <c r="O1865" s="83"/>
      <c r="P1865" s="83"/>
      <c r="Q1865" s="83"/>
      <c r="R1865" s="83"/>
      <c r="S1865" s="83"/>
      <c r="T1865" s="83"/>
      <c r="U1865" s="83"/>
      <c r="V1865" s="83"/>
      <c r="W1865" s="83"/>
      <c r="X1865" s="83"/>
      <c r="Y1865" s="83"/>
      <c r="Z1865" s="83"/>
    </row>
    <row r="1866">
      <c r="A1866" s="75" t="s">
        <v>985</v>
      </c>
      <c r="B1866" s="75" t="s">
        <v>1007</v>
      </c>
      <c r="C1866" s="75">
        <v>3.49</v>
      </c>
      <c r="D1866" s="75">
        <v>0.0</v>
      </c>
      <c r="E1866" s="75">
        <v>0.0</v>
      </c>
      <c r="F1866" s="75" t="s">
        <v>993</v>
      </c>
      <c r="G1866" s="82">
        <v>46111.0</v>
      </c>
      <c r="H1866" s="76" t="s">
        <v>938</v>
      </c>
      <c r="I1866" s="83"/>
      <c r="J1866" s="83"/>
      <c r="K1866" s="83"/>
      <c r="L1866" s="83"/>
      <c r="M1866" s="83"/>
      <c r="N1866" s="83"/>
      <c r="O1866" s="83"/>
      <c r="P1866" s="83"/>
      <c r="Q1866" s="83"/>
      <c r="R1866" s="83"/>
      <c r="S1866" s="83"/>
      <c r="T1866" s="83"/>
      <c r="U1866" s="83"/>
      <c r="V1866" s="83"/>
      <c r="W1866" s="83"/>
      <c r="X1866" s="83"/>
      <c r="Y1866" s="83"/>
      <c r="Z1866" s="83"/>
    </row>
    <row r="1867">
      <c r="A1867" s="75" t="s">
        <v>51</v>
      </c>
      <c r="B1867" s="75" t="s">
        <v>1007</v>
      </c>
      <c r="C1867" s="75">
        <v>4.98</v>
      </c>
      <c r="D1867" s="75">
        <v>0.0</v>
      </c>
      <c r="E1867" s="75">
        <v>0.0</v>
      </c>
      <c r="F1867" s="75" t="s">
        <v>993</v>
      </c>
      <c r="G1867" s="82">
        <v>46111.0</v>
      </c>
      <c r="H1867" s="76" t="s">
        <v>986</v>
      </c>
      <c r="I1867" s="83"/>
      <c r="J1867" s="83"/>
      <c r="K1867" s="83"/>
      <c r="L1867" s="83"/>
      <c r="M1867" s="83"/>
      <c r="N1867" s="83"/>
      <c r="O1867" s="83"/>
      <c r="P1867" s="83"/>
      <c r="Q1867" s="83"/>
      <c r="R1867" s="83"/>
      <c r="S1867" s="83"/>
      <c r="T1867" s="83"/>
      <c r="U1867" s="83"/>
      <c r="V1867" s="83"/>
      <c r="W1867" s="83"/>
      <c r="X1867" s="83"/>
      <c r="Y1867" s="83"/>
      <c r="Z1867" s="83"/>
    </row>
    <row r="1868">
      <c r="A1868" s="75" t="s">
        <v>51</v>
      </c>
      <c r="B1868" s="75" t="s">
        <v>1007</v>
      </c>
      <c r="C1868" s="75">
        <v>2.24</v>
      </c>
      <c r="D1868" s="75">
        <v>0.0</v>
      </c>
      <c r="E1868" s="75">
        <v>0.0</v>
      </c>
      <c r="F1868" s="75" t="s">
        <v>993</v>
      </c>
      <c r="G1868" s="82">
        <v>46111.0</v>
      </c>
      <c r="H1868" s="76" t="s">
        <v>987</v>
      </c>
      <c r="I1868" s="83"/>
      <c r="J1868" s="83"/>
      <c r="K1868" s="83"/>
      <c r="L1868" s="83"/>
      <c r="M1868" s="83"/>
      <c r="N1868" s="83"/>
      <c r="O1868" s="83"/>
      <c r="P1868" s="83"/>
      <c r="Q1868" s="83"/>
      <c r="R1868" s="83"/>
      <c r="S1868" s="83"/>
      <c r="T1868" s="83"/>
      <c r="U1868" s="83"/>
      <c r="V1868" s="83"/>
      <c r="W1868" s="83"/>
      <c r="X1868" s="83"/>
      <c r="Y1868" s="83"/>
      <c r="Z1868" s="83"/>
    </row>
    <row r="1869">
      <c r="A1869" s="75" t="s">
        <v>54</v>
      </c>
      <c r="B1869" s="75" t="s">
        <v>1007</v>
      </c>
      <c r="C1869" s="75">
        <v>3.39</v>
      </c>
      <c r="D1869" s="75">
        <v>0.0</v>
      </c>
      <c r="E1869" s="75">
        <v>0.0</v>
      </c>
      <c r="F1869" s="75" t="s">
        <v>994</v>
      </c>
      <c r="G1869" s="82">
        <v>46111.0</v>
      </c>
      <c r="H1869" s="76" t="s">
        <v>977</v>
      </c>
      <c r="I1869" s="83"/>
      <c r="J1869" s="83"/>
      <c r="K1869" s="83"/>
      <c r="L1869" s="83"/>
      <c r="M1869" s="83"/>
      <c r="N1869" s="83"/>
      <c r="O1869" s="83"/>
      <c r="P1869" s="83"/>
      <c r="Q1869" s="83"/>
      <c r="R1869" s="83"/>
      <c r="S1869" s="83"/>
      <c r="T1869" s="83"/>
      <c r="U1869" s="83"/>
      <c r="V1869" s="83"/>
      <c r="W1869" s="83"/>
      <c r="X1869" s="83"/>
      <c r="Y1869" s="83"/>
      <c r="Z1869" s="83"/>
    </row>
    <row r="1870">
      <c r="A1870" s="75" t="s">
        <v>54</v>
      </c>
      <c r="B1870" s="75" t="s">
        <v>1007</v>
      </c>
      <c r="C1870" s="75">
        <v>5.71</v>
      </c>
      <c r="D1870" s="75">
        <v>0.0</v>
      </c>
      <c r="E1870" s="75">
        <v>0.0</v>
      </c>
      <c r="F1870" s="75" t="s">
        <v>994</v>
      </c>
      <c r="G1870" s="82">
        <v>46111.0</v>
      </c>
      <c r="H1870" s="76" t="s">
        <v>978</v>
      </c>
      <c r="I1870" s="83"/>
      <c r="J1870" s="83"/>
      <c r="K1870" s="83"/>
      <c r="L1870" s="83"/>
      <c r="M1870" s="83"/>
      <c r="N1870" s="83"/>
      <c r="O1870" s="83"/>
      <c r="P1870" s="83"/>
      <c r="Q1870" s="83"/>
      <c r="R1870" s="83"/>
      <c r="S1870" s="83"/>
      <c r="T1870" s="83"/>
      <c r="U1870" s="83"/>
      <c r="V1870" s="83"/>
      <c r="W1870" s="83"/>
      <c r="X1870" s="83"/>
      <c r="Y1870" s="83"/>
      <c r="Z1870" s="83"/>
    </row>
    <row r="1871">
      <c r="A1871" s="75" t="s">
        <v>54</v>
      </c>
      <c r="B1871" s="75" t="s">
        <v>1007</v>
      </c>
      <c r="C1871" s="75">
        <v>2.38</v>
      </c>
      <c r="D1871" s="75">
        <v>0.0</v>
      </c>
      <c r="E1871" s="75">
        <v>0.0</v>
      </c>
      <c r="F1871" s="75" t="s">
        <v>994</v>
      </c>
      <c r="G1871" s="82">
        <v>46111.0</v>
      </c>
      <c r="H1871" s="76" t="s">
        <v>979</v>
      </c>
      <c r="I1871" s="83"/>
      <c r="J1871" s="83"/>
      <c r="K1871" s="83"/>
      <c r="L1871" s="83"/>
      <c r="M1871" s="83"/>
      <c r="N1871" s="83"/>
      <c r="O1871" s="83"/>
      <c r="P1871" s="83"/>
      <c r="Q1871" s="83"/>
      <c r="R1871" s="83"/>
      <c r="S1871" s="83"/>
      <c r="T1871" s="83"/>
      <c r="U1871" s="83"/>
      <c r="V1871" s="83"/>
      <c r="W1871" s="83"/>
      <c r="X1871" s="83"/>
      <c r="Y1871" s="83"/>
      <c r="Z1871" s="83"/>
    </row>
    <row r="1872">
      <c r="A1872" s="75" t="s">
        <v>55</v>
      </c>
      <c r="B1872" s="75" t="s">
        <v>1007</v>
      </c>
      <c r="C1872" s="75">
        <v>2.87</v>
      </c>
      <c r="D1872" s="75">
        <v>0.0</v>
      </c>
      <c r="E1872" s="75">
        <v>0.0</v>
      </c>
      <c r="F1872" s="75" t="s">
        <v>994</v>
      </c>
      <c r="G1872" s="82">
        <v>46111.0</v>
      </c>
      <c r="H1872" s="76" t="s">
        <v>980</v>
      </c>
      <c r="I1872" s="83"/>
      <c r="J1872" s="83"/>
      <c r="K1872" s="83"/>
      <c r="L1872" s="83"/>
      <c r="M1872" s="83"/>
      <c r="N1872" s="83"/>
      <c r="O1872" s="83"/>
      <c r="P1872" s="83"/>
      <c r="Q1872" s="83"/>
      <c r="R1872" s="83"/>
      <c r="S1872" s="83"/>
      <c r="T1872" s="83"/>
      <c r="U1872" s="83"/>
      <c r="V1872" s="83"/>
      <c r="W1872" s="83"/>
      <c r="X1872" s="83"/>
      <c r="Y1872" s="83"/>
      <c r="Z1872" s="83"/>
    </row>
    <row r="1873">
      <c r="A1873" s="75" t="s">
        <v>55</v>
      </c>
      <c r="B1873" s="75" t="s">
        <v>1007</v>
      </c>
      <c r="C1873" s="75">
        <v>2.67</v>
      </c>
      <c r="D1873" s="75">
        <v>0.0</v>
      </c>
      <c r="E1873" s="75">
        <v>0.0</v>
      </c>
      <c r="F1873" s="75" t="s">
        <v>994</v>
      </c>
      <c r="G1873" s="82">
        <v>46111.0</v>
      </c>
      <c r="H1873" s="76" t="s">
        <v>981</v>
      </c>
      <c r="I1873" s="83"/>
      <c r="J1873" s="83"/>
      <c r="K1873" s="83"/>
      <c r="L1873" s="83"/>
      <c r="M1873" s="83"/>
      <c r="N1873" s="83"/>
      <c r="O1873" s="83"/>
      <c r="P1873" s="83"/>
      <c r="Q1873" s="83"/>
      <c r="R1873" s="83"/>
      <c r="S1873" s="83"/>
      <c r="T1873" s="83"/>
      <c r="U1873" s="83"/>
      <c r="V1873" s="83"/>
      <c r="W1873" s="83"/>
      <c r="X1873" s="83"/>
      <c r="Y1873" s="83"/>
      <c r="Z1873" s="83"/>
    </row>
    <row r="1874">
      <c r="A1874" s="75" t="s">
        <v>53</v>
      </c>
      <c r="B1874" s="75" t="s">
        <v>1007</v>
      </c>
      <c r="C1874" s="75">
        <v>2.78</v>
      </c>
      <c r="D1874" s="75">
        <v>0.0</v>
      </c>
      <c r="E1874" s="75">
        <v>0.0</v>
      </c>
      <c r="F1874" s="75" t="s">
        <v>994</v>
      </c>
      <c r="G1874" s="82">
        <v>46111.0</v>
      </c>
      <c r="H1874" s="76" t="s">
        <v>982</v>
      </c>
      <c r="I1874" s="83"/>
      <c r="J1874" s="83"/>
      <c r="K1874" s="83"/>
      <c r="L1874" s="83"/>
      <c r="M1874" s="83"/>
      <c r="N1874" s="83"/>
      <c r="O1874" s="83"/>
      <c r="P1874" s="83"/>
      <c r="Q1874" s="83"/>
      <c r="R1874" s="83"/>
      <c r="S1874" s="83"/>
      <c r="T1874" s="83"/>
      <c r="U1874" s="83"/>
      <c r="V1874" s="83"/>
      <c r="W1874" s="83"/>
      <c r="X1874" s="83"/>
      <c r="Y1874" s="83"/>
      <c r="Z1874" s="83"/>
    </row>
    <row r="1875">
      <c r="A1875" s="75" t="s">
        <v>53</v>
      </c>
      <c r="B1875" s="75" t="s">
        <v>1007</v>
      </c>
      <c r="C1875" s="75">
        <v>1.67</v>
      </c>
      <c r="D1875" s="75">
        <v>0.0</v>
      </c>
      <c r="E1875" s="75">
        <v>0.0</v>
      </c>
      <c r="F1875" s="75" t="s">
        <v>994</v>
      </c>
      <c r="G1875" s="82">
        <v>46111.0</v>
      </c>
      <c r="H1875" s="76" t="s">
        <v>983</v>
      </c>
      <c r="I1875" s="83"/>
      <c r="J1875" s="83"/>
      <c r="K1875" s="83"/>
      <c r="L1875" s="83"/>
      <c r="M1875" s="83"/>
      <c r="N1875" s="83"/>
      <c r="O1875" s="83"/>
      <c r="P1875" s="83"/>
      <c r="Q1875" s="83"/>
      <c r="R1875" s="83"/>
      <c r="S1875" s="83"/>
      <c r="T1875" s="83"/>
      <c r="U1875" s="83"/>
      <c r="V1875" s="83"/>
      <c r="W1875" s="83"/>
      <c r="X1875" s="83"/>
      <c r="Y1875" s="83"/>
      <c r="Z1875" s="83"/>
    </row>
    <row r="1876">
      <c r="A1876" s="75" t="s">
        <v>53</v>
      </c>
      <c r="B1876" s="75" t="s">
        <v>1007</v>
      </c>
      <c r="C1876" s="75">
        <v>1.12</v>
      </c>
      <c r="D1876" s="75">
        <v>0.0</v>
      </c>
      <c r="E1876" s="75">
        <v>0.0</v>
      </c>
      <c r="F1876" s="75" t="s">
        <v>994</v>
      </c>
      <c r="G1876" s="82">
        <v>46111.0</v>
      </c>
      <c r="H1876" s="76" t="s">
        <v>984</v>
      </c>
      <c r="I1876" s="83"/>
      <c r="J1876" s="83"/>
      <c r="K1876" s="83"/>
      <c r="L1876" s="83"/>
      <c r="M1876" s="83"/>
      <c r="N1876" s="83"/>
      <c r="O1876" s="83"/>
      <c r="P1876" s="83"/>
      <c r="Q1876" s="83"/>
      <c r="R1876" s="83"/>
      <c r="S1876" s="83"/>
      <c r="T1876" s="83"/>
      <c r="U1876" s="83"/>
      <c r="V1876" s="83"/>
      <c r="W1876" s="83"/>
      <c r="X1876" s="83"/>
      <c r="Y1876" s="83"/>
      <c r="Z1876" s="83"/>
    </row>
    <row r="1877">
      <c r="A1877" s="75" t="s">
        <v>985</v>
      </c>
      <c r="B1877" s="75" t="s">
        <v>1007</v>
      </c>
      <c r="C1877" s="75">
        <v>0.73</v>
      </c>
      <c r="D1877" s="75">
        <v>0.0</v>
      </c>
      <c r="E1877" s="75">
        <v>0.0</v>
      </c>
      <c r="F1877" s="75" t="s">
        <v>994</v>
      </c>
      <c r="G1877" s="82">
        <v>46111.0</v>
      </c>
      <c r="H1877" s="76" t="s">
        <v>936</v>
      </c>
      <c r="I1877" s="83"/>
      <c r="J1877" s="83"/>
      <c r="K1877" s="83"/>
      <c r="L1877" s="83"/>
      <c r="M1877" s="83"/>
      <c r="N1877" s="83"/>
      <c r="O1877" s="83"/>
      <c r="P1877" s="83"/>
      <c r="Q1877" s="83"/>
      <c r="R1877" s="83"/>
      <c r="S1877" s="83"/>
      <c r="T1877" s="83"/>
      <c r="U1877" s="83"/>
      <c r="V1877" s="83"/>
      <c r="W1877" s="83"/>
      <c r="X1877" s="83"/>
      <c r="Y1877" s="83"/>
      <c r="Z1877" s="83"/>
    </row>
    <row r="1878">
      <c r="A1878" s="75" t="s">
        <v>985</v>
      </c>
      <c r="B1878" s="75" t="s">
        <v>1007</v>
      </c>
      <c r="C1878" s="75">
        <v>1.2</v>
      </c>
      <c r="D1878" s="75">
        <v>0.0</v>
      </c>
      <c r="E1878" s="75">
        <v>0.0</v>
      </c>
      <c r="F1878" s="75" t="s">
        <v>994</v>
      </c>
      <c r="G1878" s="82">
        <v>46111.0</v>
      </c>
      <c r="H1878" s="76" t="s">
        <v>937</v>
      </c>
      <c r="I1878" s="83"/>
      <c r="J1878" s="83"/>
      <c r="K1878" s="83"/>
      <c r="L1878" s="83"/>
      <c r="M1878" s="83"/>
      <c r="N1878" s="83"/>
      <c r="O1878" s="83"/>
      <c r="P1878" s="83"/>
      <c r="Q1878" s="83"/>
      <c r="R1878" s="83"/>
      <c r="S1878" s="83"/>
      <c r="T1878" s="83"/>
      <c r="U1878" s="83"/>
      <c r="V1878" s="83"/>
      <c r="W1878" s="83"/>
      <c r="X1878" s="83"/>
      <c r="Y1878" s="83"/>
      <c r="Z1878" s="83"/>
    </row>
    <row r="1879">
      <c r="A1879" s="75" t="s">
        <v>985</v>
      </c>
      <c r="B1879" s="75" t="s">
        <v>1007</v>
      </c>
      <c r="C1879" s="75">
        <v>1.73</v>
      </c>
      <c r="D1879" s="75">
        <v>0.0</v>
      </c>
      <c r="E1879" s="75">
        <v>0.0</v>
      </c>
      <c r="F1879" s="75" t="s">
        <v>994</v>
      </c>
      <c r="G1879" s="82">
        <v>46111.0</v>
      </c>
      <c r="H1879" s="76" t="s">
        <v>938</v>
      </c>
      <c r="I1879" s="83"/>
      <c r="J1879" s="83"/>
      <c r="K1879" s="83"/>
      <c r="L1879" s="83"/>
      <c r="M1879" s="83"/>
      <c r="N1879" s="83"/>
      <c r="O1879" s="83"/>
      <c r="P1879" s="83"/>
      <c r="Q1879" s="83"/>
      <c r="R1879" s="83"/>
      <c r="S1879" s="83"/>
      <c r="T1879" s="83"/>
      <c r="U1879" s="83"/>
      <c r="V1879" s="83"/>
      <c r="W1879" s="83"/>
      <c r="X1879" s="83"/>
      <c r="Y1879" s="83"/>
      <c r="Z1879" s="83"/>
    </row>
    <row r="1880">
      <c r="A1880" s="75" t="s">
        <v>51</v>
      </c>
      <c r="B1880" s="75" t="s">
        <v>1007</v>
      </c>
      <c r="C1880" s="75">
        <v>4.49</v>
      </c>
      <c r="D1880" s="75">
        <v>0.0</v>
      </c>
      <c r="E1880" s="75">
        <v>0.0</v>
      </c>
      <c r="F1880" s="75" t="s">
        <v>994</v>
      </c>
      <c r="G1880" s="82">
        <v>46111.0</v>
      </c>
      <c r="H1880" s="76" t="s">
        <v>986</v>
      </c>
      <c r="I1880" s="83"/>
      <c r="J1880" s="83"/>
      <c r="K1880" s="83"/>
      <c r="L1880" s="83"/>
      <c r="M1880" s="83"/>
      <c r="N1880" s="83"/>
      <c r="O1880" s="83"/>
      <c r="P1880" s="83"/>
      <c r="Q1880" s="83"/>
      <c r="R1880" s="83"/>
      <c r="S1880" s="83"/>
      <c r="T1880" s="83"/>
      <c r="U1880" s="83"/>
      <c r="V1880" s="83"/>
      <c r="W1880" s="83"/>
      <c r="X1880" s="83"/>
      <c r="Y1880" s="83"/>
      <c r="Z1880" s="83"/>
    </row>
    <row r="1881">
      <c r="A1881" s="75" t="s">
        <v>51</v>
      </c>
      <c r="B1881" s="75" t="s">
        <v>1007</v>
      </c>
      <c r="C1881" s="75">
        <v>2.76</v>
      </c>
      <c r="D1881" s="75">
        <v>0.0</v>
      </c>
      <c r="E1881" s="75">
        <v>0.0</v>
      </c>
      <c r="F1881" s="75" t="s">
        <v>994</v>
      </c>
      <c r="G1881" s="82">
        <v>46111.0</v>
      </c>
      <c r="H1881" s="76" t="s">
        <v>987</v>
      </c>
      <c r="I1881" s="83"/>
      <c r="J1881" s="83"/>
      <c r="K1881" s="83"/>
      <c r="L1881" s="83"/>
      <c r="M1881" s="83"/>
      <c r="N1881" s="83"/>
      <c r="O1881" s="83"/>
      <c r="P1881" s="83"/>
      <c r="Q1881" s="83"/>
      <c r="R1881" s="83"/>
      <c r="S1881" s="83"/>
      <c r="T1881" s="83"/>
      <c r="U1881" s="83"/>
      <c r="V1881" s="83"/>
      <c r="W1881" s="83"/>
      <c r="X1881" s="83"/>
      <c r="Y1881" s="83"/>
      <c r="Z1881" s="83"/>
    </row>
    <row r="1882">
      <c r="A1882" s="75" t="s">
        <v>54</v>
      </c>
      <c r="B1882" s="75" t="s">
        <v>1007</v>
      </c>
      <c r="C1882" s="75">
        <v>5.71</v>
      </c>
      <c r="D1882" s="75">
        <v>1.0</v>
      </c>
      <c r="E1882" s="75">
        <v>5.71</v>
      </c>
      <c r="F1882" s="75" t="s">
        <v>995</v>
      </c>
      <c r="G1882" s="82">
        <v>46111.0</v>
      </c>
      <c r="H1882" s="76" t="s">
        <v>977</v>
      </c>
      <c r="I1882" s="83"/>
      <c r="J1882" s="83"/>
      <c r="K1882" s="83"/>
      <c r="L1882" s="83"/>
      <c r="M1882" s="83"/>
      <c r="N1882" s="83"/>
      <c r="O1882" s="83"/>
      <c r="P1882" s="83"/>
      <c r="Q1882" s="83"/>
      <c r="R1882" s="83"/>
      <c r="S1882" s="83"/>
      <c r="T1882" s="83"/>
      <c r="U1882" s="83"/>
      <c r="V1882" s="83"/>
      <c r="W1882" s="83"/>
      <c r="X1882" s="83"/>
      <c r="Y1882" s="83"/>
      <c r="Z1882" s="83"/>
    </row>
    <row r="1883">
      <c r="A1883" s="75" t="s">
        <v>54</v>
      </c>
      <c r="B1883" s="75" t="s">
        <v>1007</v>
      </c>
      <c r="C1883" s="75">
        <v>10.02</v>
      </c>
      <c r="D1883" s="75">
        <v>2.0</v>
      </c>
      <c r="E1883" s="75">
        <v>5.01</v>
      </c>
      <c r="F1883" s="75" t="s">
        <v>995</v>
      </c>
      <c r="G1883" s="82">
        <v>46111.0</v>
      </c>
      <c r="H1883" s="76" t="s">
        <v>978</v>
      </c>
      <c r="I1883" s="83"/>
      <c r="J1883" s="83"/>
      <c r="K1883" s="83"/>
      <c r="L1883" s="83"/>
      <c r="M1883" s="83"/>
      <c r="N1883" s="83"/>
      <c r="O1883" s="83"/>
      <c r="P1883" s="83"/>
      <c r="Q1883" s="83"/>
      <c r="R1883" s="83"/>
      <c r="S1883" s="83"/>
      <c r="T1883" s="83"/>
      <c r="U1883" s="83"/>
      <c r="V1883" s="83"/>
      <c r="W1883" s="83"/>
      <c r="X1883" s="83"/>
      <c r="Y1883" s="83"/>
      <c r="Z1883" s="83"/>
    </row>
    <row r="1884">
      <c r="A1884" s="75" t="s">
        <v>54</v>
      </c>
      <c r="B1884" s="75" t="s">
        <v>1007</v>
      </c>
      <c r="C1884" s="75">
        <v>4.33</v>
      </c>
      <c r="D1884" s="75">
        <v>3.0</v>
      </c>
      <c r="E1884" s="75">
        <v>1.44</v>
      </c>
      <c r="F1884" s="75" t="s">
        <v>995</v>
      </c>
      <c r="G1884" s="82">
        <v>46111.0</v>
      </c>
      <c r="H1884" s="76" t="s">
        <v>979</v>
      </c>
      <c r="I1884" s="83"/>
      <c r="J1884" s="83"/>
      <c r="K1884" s="83"/>
      <c r="L1884" s="83"/>
      <c r="M1884" s="83"/>
      <c r="N1884" s="83"/>
      <c r="O1884" s="83"/>
      <c r="P1884" s="83"/>
      <c r="Q1884" s="83"/>
      <c r="R1884" s="83"/>
      <c r="S1884" s="83"/>
      <c r="T1884" s="83"/>
      <c r="U1884" s="83"/>
      <c r="V1884" s="83"/>
      <c r="W1884" s="83"/>
      <c r="X1884" s="83"/>
      <c r="Y1884" s="83"/>
      <c r="Z1884" s="83"/>
    </row>
    <row r="1885">
      <c r="A1885" s="75" t="s">
        <v>55</v>
      </c>
      <c r="B1885" s="75" t="s">
        <v>1007</v>
      </c>
      <c r="C1885" s="75">
        <v>5.34</v>
      </c>
      <c r="D1885" s="75">
        <v>0.0</v>
      </c>
      <c r="E1885" s="75">
        <v>0.0</v>
      </c>
      <c r="F1885" s="75" t="s">
        <v>995</v>
      </c>
      <c r="G1885" s="82">
        <v>46111.0</v>
      </c>
      <c r="H1885" s="76" t="s">
        <v>980</v>
      </c>
      <c r="I1885" s="83"/>
      <c r="J1885" s="83"/>
      <c r="K1885" s="83"/>
      <c r="L1885" s="83"/>
      <c r="M1885" s="83"/>
      <c r="N1885" s="83"/>
      <c r="O1885" s="83"/>
      <c r="P1885" s="83"/>
      <c r="Q1885" s="83"/>
      <c r="R1885" s="83"/>
      <c r="S1885" s="83"/>
      <c r="T1885" s="83"/>
      <c r="U1885" s="83"/>
      <c r="V1885" s="83"/>
      <c r="W1885" s="83"/>
      <c r="X1885" s="83"/>
      <c r="Y1885" s="83"/>
      <c r="Z1885" s="83"/>
    </row>
    <row r="1886">
      <c r="A1886" s="75" t="s">
        <v>55</v>
      </c>
      <c r="B1886" s="75" t="s">
        <v>1007</v>
      </c>
      <c r="C1886" s="75">
        <v>4.96</v>
      </c>
      <c r="D1886" s="75">
        <v>0.0</v>
      </c>
      <c r="E1886" s="75">
        <v>0.0</v>
      </c>
      <c r="F1886" s="75" t="s">
        <v>995</v>
      </c>
      <c r="G1886" s="82">
        <v>46111.0</v>
      </c>
      <c r="H1886" s="76" t="s">
        <v>981</v>
      </c>
      <c r="I1886" s="83"/>
      <c r="J1886" s="83"/>
      <c r="K1886" s="83"/>
      <c r="L1886" s="83"/>
      <c r="M1886" s="83"/>
      <c r="N1886" s="83"/>
      <c r="O1886" s="83"/>
      <c r="P1886" s="83"/>
      <c r="Q1886" s="83"/>
      <c r="R1886" s="83"/>
      <c r="S1886" s="83"/>
      <c r="T1886" s="83"/>
      <c r="U1886" s="83"/>
      <c r="V1886" s="83"/>
      <c r="W1886" s="83"/>
      <c r="X1886" s="83"/>
      <c r="Y1886" s="83"/>
      <c r="Z1886" s="83"/>
    </row>
    <row r="1887">
      <c r="A1887" s="75" t="s">
        <v>53</v>
      </c>
      <c r="B1887" s="75" t="s">
        <v>1007</v>
      </c>
      <c r="C1887" s="75">
        <v>4.27</v>
      </c>
      <c r="D1887" s="75">
        <v>1.0</v>
      </c>
      <c r="E1887" s="75">
        <v>4.27</v>
      </c>
      <c r="F1887" s="75" t="s">
        <v>995</v>
      </c>
      <c r="G1887" s="82">
        <v>46111.0</v>
      </c>
      <c r="H1887" s="76" t="s">
        <v>982</v>
      </c>
      <c r="I1887" s="83"/>
      <c r="J1887" s="83"/>
      <c r="K1887" s="83"/>
      <c r="L1887" s="83"/>
      <c r="M1887" s="83"/>
      <c r="N1887" s="83"/>
      <c r="O1887" s="83"/>
      <c r="P1887" s="83"/>
      <c r="Q1887" s="83"/>
      <c r="R1887" s="83"/>
      <c r="S1887" s="83"/>
      <c r="T1887" s="83"/>
      <c r="U1887" s="83"/>
      <c r="V1887" s="83"/>
      <c r="W1887" s="83"/>
      <c r="X1887" s="83"/>
      <c r="Y1887" s="83"/>
      <c r="Z1887" s="83"/>
    </row>
    <row r="1888">
      <c r="A1888" s="75" t="s">
        <v>53</v>
      </c>
      <c r="B1888" s="75" t="s">
        <v>1007</v>
      </c>
      <c r="C1888" s="75">
        <v>2.65</v>
      </c>
      <c r="D1888" s="75">
        <v>1.0</v>
      </c>
      <c r="E1888" s="75">
        <v>2.65</v>
      </c>
      <c r="F1888" s="75" t="s">
        <v>995</v>
      </c>
      <c r="G1888" s="82">
        <v>46111.0</v>
      </c>
      <c r="H1888" s="76" t="s">
        <v>983</v>
      </c>
      <c r="I1888" s="83"/>
      <c r="J1888" s="83"/>
      <c r="K1888" s="83"/>
      <c r="L1888" s="83"/>
      <c r="M1888" s="83"/>
      <c r="N1888" s="83"/>
      <c r="O1888" s="83"/>
      <c r="P1888" s="83"/>
      <c r="Q1888" s="83"/>
      <c r="R1888" s="83"/>
      <c r="S1888" s="83"/>
      <c r="T1888" s="83"/>
      <c r="U1888" s="83"/>
      <c r="V1888" s="83"/>
      <c r="W1888" s="83"/>
      <c r="X1888" s="83"/>
      <c r="Y1888" s="83"/>
      <c r="Z1888" s="83"/>
    </row>
    <row r="1889">
      <c r="A1889" s="75" t="s">
        <v>53</v>
      </c>
      <c r="B1889" s="75" t="s">
        <v>1007</v>
      </c>
      <c r="C1889" s="75">
        <v>2.1</v>
      </c>
      <c r="D1889" s="75">
        <v>1.0</v>
      </c>
      <c r="E1889" s="75">
        <v>2.1</v>
      </c>
      <c r="F1889" s="75" t="s">
        <v>995</v>
      </c>
      <c r="G1889" s="82">
        <v>46111.0</v>
      </c>
      <c r="H1889" s="76" t="s">
        <v>984</v>
      </c>
      <c r="I1889" s="83"/>
      <c r="J1889" s="83"/>
      <c r="K1889" s="83"/>
      <c r="L1889" s="83"/>
      <c r="M1889" s="83"/>
      <c r="N1889" s="83"/>
      <c r="O1889" s="83"/>
      <c r="P1889" s="83"/>
      <c r="Q1889" s="83"/>
      <c r="R1889" s="83"/>
      <c r="S1889" s="83"/>
      <c r="T1889" s="83"/>
      <c r="U1889" s="83"/>
      <c r="V1889" s="83"/>
      <c r="W1889" s="83"/>
      <c r="X1889" s="83"/>
      <c r="Y1889" s="83"/>
      <c r="Z1889" s="83"/>
    </row>
    <row r="1890">
      <c r="A1890" s="75" t="s">
        <v>985</v>
      </c>
      <c r="B1890" s="75" t="s">
        <v>1007</v>
      </c>
      <c r="C1890" s="75">
        <v>1.95</v>
      </c>
      <c r="D1890" s="75">
        <v>1.0</v>
      </c>
      <c r="E1890" s="75">
        <v>1.95</v>
      </c>
      <c r="F1890" s="75" t="s">
        <v>995</v>
      </c>
      <c r="G1890" s="82">
        <v>46111.0</v>
      </c>
      <c r="H1890" s="76" t="s">
        <v>936</v>
      </c>
      <c r="I1890" s="83"/>
      <c r="J1890" s="83"/>
      <c r="K1890" s="83"/>
      <c r="L1890" s="83"/>
      <c r="M1890" s="83"/>
      <c r="N1890" s="83"/>
      <c r="O1890" s="83"/>
      <c r="P1890" s="83"/>
      <c r="Q1890" s="83"/>
      <c r="R1890" s="83"/>
      <c r="S1890" s="83"/>
      <c r="T1890" s="83"/>
      <c r="U1890" s="83"/>
      <c r="V1890" s="83"/>
      <c r="W1890" s="83"/>
      <c r="X1890" s="83"/>
      <c r="Y1890" s="83"/>
      <c r="Z1890" s="83"/>
    </row>
    <row r="1891">
      <c r="A1891" s="75" t="s">
        <v>985</v>
      </c>
      <c r="B1891" s="75" t="s">
        <v>1007</v>
      </c>
      <c r="C1891" s="75">
        <v>3.95</v>
      </c>
      <c r="D1891" s="75">
        <v>2.0</v>
      </c>
      <c r="E1891" s="75">
        <v>1.97</v>
      </c>
      <c r="F1891" s="75" t="s">
        <v>995</v>
      </c>
      <c r="G1891" s="82">
        <v>46111.0</v>
      </c>
      <c r="H1891" s="76" t="s">
        <v>937</v>
      </c>
      <c r="I1891" s="83"/>
      <c r="J1891" s="83"/>
      <c r="K1891" s="83"/>
      <c r="L1891" s="83"/>
      <c r="M1891" s="83"/>
      <c r="N1891" s="83"/>
      <c r="O1891" s="83"/>
      <c r="P1891" s="83"/>
      <c r="Q1891" s="83"/>
      <c r="R1891" s="83"/>
      <c r="S1891" s="83"/>
      <c r="T1891" s="83"/>
      <c r="U1891" s="83"/>
      <c r="V1891" s="83"/>
      <c r="W1891" s="83"/>
      <c r="X1891" s="83"/>
      <c r="Y1891" s="83"/>
      <c r="Z1891" s="83"/>
    </row>
    <row r="1892">
      <c r="A1892" s="75" t="s">
        <v>985</v>
      </c>
      <c r="B1892" s="75" t="s">
        <v>1007</v>
      </c>
      <c r="C1892" s="75">
        <v>4.03</v>
      </c>
      <c r="D1892" s="75">
        <v>1.0</v>
      </c>
      <c r="E1892" s="75">
        <v>4.03</v>
      </c>
      <c r="F1892" s="75" t="s">
        <v>995</v>
      </c>
      <c r="G1892" s="82">
        <v>46111.0</v>
      </c>
      <c r="H1892" s="76" t="s">
        <v>938</v>
      </c>
      <c r="I1892" s="83"/>
      <c r="J1892" s="83"/>
      <c r="K1892" s="83"/>
      <c r="L1892" s="83"/>
      <c r="M1892" s="83"/>
      <c r="N1892" s="83"/>
      <c r="O1892" s="83"/>
      <c r="P1892" s="83"/>
      <c r="Q1892" s="83"/>
      <c r="R1892" s="83"/>
      <c r="S1892" s="83"/>
      <c r="T1892" s="83"/>
      <c r="U1892" s="83"/>
      <c r="V1892" s="83"/>
      <c r="W1892" s="83"/>
      <c r="X1892" s="83"/>
      <c r="Y1892" s="83"/>
      <c r="Z1892" s="83"/>
    </row>
    <row r="1893">
      <c r="A1893" s="75" t="s">
        <v>51</v>
      </c>
      <c r="B1893" s="75" t="s">
        <v>1007</v>
      </c>
      <c r="C1893" s="75">
        <v>6.72</v>
      </c>
      <c r="D1893" s="75">
        <v>2.0</v>
      </c>
      <c r="E1893" s="75">
        <v>3.36</v>
      </c>
      <c r="F1893" s="75" t="s">
        <v>995</v>
      </c>
      <c r="G1893" s="82">
        <v>46111.0</v>
      </c>
      <c r="H1893" s="76" t="s">
        <v>986</v>
      </c>
      <c r="I1893" s="83"/>
      <c r="J1893" s="83"/>
      <c r="K1893" s="83"/>
      <c r="L1893" s="83"/>
      <c r="M1893" s="83"/>
      <c r="N1893" s="83"/>
      <c r="O1893" s="83"/>
      <c r="P1893" s="83"/>
      <c r="Q1893" s="83"/>
      <c r="R1893" s="83"/>
      <c r="S1893" s="83"/>
      <c r="T1893" s="83"/>
      <c r="U1893" s="83"/>
      <c r="V1893" s="83"/>
      <c r="W1893" s="83"/>
      <c r="X1893" s="83"/>
      <c r="Y1893" s="83"/>
      <c r="Z1893" s="83"/>
    </row>
    <row r="1894">
      <c r="A1894" s="75" t="s">
        <v>51</v>
      </c>
      <c r="B1894" s="75" t="s">
        <v>1007</v>
      </c>
      <c r="C1894" s="75">
        <v>4.66</v>
      </c>
      <c r="D1894" s="75">
        <v>0.0</v>
      </c>
      <c r="E1894" s="75">
        <v>0.0</v>
      </c>
      <c r="F1894" s="75" t="s">
        <v>995</v>
      </c>
      <c r="G1894" s="82">
        <v>46111.0</v>
      </c>
      <c r="H1894" s="76" t="s">
        <v>987</v>
      </c>
      <c r="I1894" s="83"/>
      <c r="J1894" s="83"/>
      <c r="K1894" s="83"/>
      <c r="L1894" s="83"/>
      <c r="M1894" s="83"/>
      <c r="N1894" s="83"/>
      <c r="O1894" s="83"/>
      <c r="P1894" s="83"/>
      <c r="Q1894" s="83"/>
      <c r="R1894" s="83"/>
      <c r="S1894" s="83"/>
      <c r="T1894" s="83"/>
      <c r="U1894" s="83"/>
      <c r="V1894" s="83"/>
      <c r="W1894" s="83"/>
      <c r="X1894" s="83"/>
      <c r="Y1894" s="83"/>
      <c r="Z1894" s="83"/>
    </row>
    <row r="1895">
      <c r="A1895" s="75" t="s">
        <v>54</v>
      </c>
      <c r="B1895" s="75" t="s">
        <v>1007</v>
      </c>
      <c r="C1895" s="75">
        <v>3.74</v>
      </c>
      <c r="D1895" s="75">
        <v>0.0</v>
      </c>
      <c r="E1895" s="75">
        <v>0.0</v>
      </c>
      <c r="F1895" s="75" t="s">
        <v>996</v>
      </c>
      <c r="G1895" s="82">
        <v>46111.0</v>
      </c>
      <c r="H1895" s="76" t="s">
        <v>977</v>
      </c>
      <c r="I1895" s="83"/>
      <c r="J1895" s="83"/>
      <c r="K1895" s="83"/>
      <c r="L1895" s="83"/>
      <c r="M1895" s="83"/>
      <c r="N1895" s="83"/>
      <c r="O1895" s="83"/>
      <c r="P1895" s="83"/>
      <c r="Q1895" s="83"/>
      <c r="R1895" s="83"/>
      <c r="S1895" s="83"/>
      <c r="T1895" s="83"/>
      <c r="U1895" s="83"/>
      <c r="V1895" s="83"/>
      <c r="W1895" s="83"/>
      <c r="X1895" s="83"/>
      <c r="Y1895" s="83"/>
      <c r="Z1895" s="83"/>
    </row>
    <row r="1896">
      <c r="A1896" s="75" t="s">
        <v>54</v>
      </c>
      <c r="B1896" s="75" t="s">
        <v>1007</v>
      </c>
      <c r="C1896" s="75">
        <v>2.37</v>
      </c>
      <c r="D1896" s="75">
        <v>0.0</v>
      </c>
      <c r="E1896" s="75">
        <v>0.0</v>
      </c>
      <c r="F1896" s="75" t="s">
        <v>996</v>
      </c>
      <c r="G1896" s="82">
        <v>46111.0</v>
      </c>
      <c r="H1896" s="76" t="s">
        <v>978</v>
      </c>
      <c r="I1896" s="83"/>
      <c r="J1896" s="83"/>
      <c r="K1896" s="83"/>
      <c r="L1896" s="83"/>
      <c r="M1896" s="83"/>
      <c r="N1896" s="83"/>
      <c r="O1896" s="83"/>
      <c r="P1896" s="83"/>
      <c r="Q1896" s="83"/>
      <c r="R1896" s="83"/>
      <c r="S1896" s="83"/>
      <c r="T1896" s="83"/>
      <c r="U1896" s="83"/>
      <c r="V1896" s="83"/>
      <c r="W1896" s="83"/>
      <c r="X1896" s="83"/>
      <c r="Y1896" s="83"/>
      <c r="Z1896" s="83"/>
    </row>
    <row r="1897">
      <c r="A1897" s="75" t="s">
        <v>54</v>
      </c>
      <c r="B1897" s="75" t="s">
        <v>1007</v>
      </c>
      <c r="C1897" s="75">
        <v>2.96</v>
      </c>
      <c r="D1897" s="75">
        <v>0.0</v>
      </c>
      <c r="E1897" s="75">
        <v>0.0</v>
      </c>
      <c r="F1897" s="75" t="s">
        <v>996</v>
      </c>
      <c r="G1897" s="82">
        <v>46111.0</v>
      </c>
      <c r="H1897" s="76" t="s">
        <v>979</v>
      </c>
      <c r="I1897" s="83"/>
      <c r="J1897" s="83"/>
      <c r="K1897" s="83"/>
      <c r="L1897" s="83"/>
      <c r="M1897" s="83"/>
      <c r="N1897" s="83"/>
      <c r="O1897" s="83"/>
      <c r="P1897" s="83"/>
      <c r="Q1897" s="83"/>
      <c r="R1897" s="83"/>
      <c r="S1897" s="83"/>
      <c r="T1897" s="83"/>
      <c r="U1897" s="83"/>
      <c r="V1897" s="83"/>
      <c r="W1897" s="83"/>
      <c r="X1897" s="83"/>
      <c r="Y1897" s="83"/>
      <c r="Z1897" s="83"/>
    </row>
    <row r="1898">
      <c r="A1898" s="75" t="s">
        <v>55</v>
      </c>
      <c r="B1898" s="75" t="s">
        <v>1007</v>
      </c>
      <c r="C1898" s="75">
        <v>4.27</v>
      </c>
      <c r="D1898" s="75">
        <v>0.0</v>
      </c>
      <c r="E1898" s="75">
        <v>0.0</v>
      </c>
      <c r="F1898" s="75" t="s">
        <v>996</v>
      </c>
      <c r="G1898" s="82">
        <v>46111.0</v>
      </c>
      <c r="H1898" s="76" t="s">
        <v>980</v>
      </c>
      <c r="I1898" s="83"/>
      <c r="J1898" s="83"/>
      <c r="K1898" s="83"/>
      <c r="L1898" s="83"/>
      <c r="M1898" s="83"/>
      <c r="N1898" s="83"/>
      <c r="O1898" s="83"/>
      <c r="P1898" s="83"/>
      <c r="Q1898" s="83"/>
      <c r="R1898" s="83"/>
      <c r="S1898" s="83"/>
      <c r="T1898" s="83"/>
      <c r="U1898" s="83"/>
      <c r="V1898" s="83"/>
      <c r="W1898" s="83"/>
      <c r="X1898" s="83"/>
      <c r="Y1898" s="83"/>
      <c r="Z1898" s="83"/>
    </row>
    <row r="1899">
      <c r="A1899" s="75" t="s">
        <v>55</v>
      </c>
      <c r="B1899" s="75" t="s">
        <v>1007</v>
      </c>
      <c r="C1899" s="75">
        <v>8.1</v>
      </c>
      <c r="D1899" s="75">
        <v>0.0</v>
      </c>
      <c r="E1899" s="75">
        <v>0.0</v>
      </c>
      <c r="F1899" s="75" t="s">
        <v>996</v>
      </c>
      <c r="G1899" s="82">
        <v>46111.0</v>
      </c>
      <c r="H1899" s="76" t="s">
        <v>981</v>
      </c>
      <c r="I1899" s="83"/>
      <c r="J1899" s="83"/>
      <c r="K1899" s="83"/>
      <c r="L1899" s="83"/>
      <c r="M1899" s="83"/>
      <c r="N1899" s="83"/>
      <c r="O1899" s="83"/>
      <c r="P1899" s="83"/>
      <c r="Q1899" s="83"/>
      <c r="R1899" s="83"/>
      <c r="S1899" s="83"/>
      <c r="T1899" s="83"/>
      <c r="U1899" s="83"/>
      <c r="V1899" s="83"/>
      <c r="W1899" s="83"/>
      <c r="X1899" s="83"/>
      <c r="Y1899" s="83"/>
      <c r="Z1899" s="83"/>
    </row>
    <row r="1900">
      <c r="A1900" s="75" t="s">
        <v>53</v>
      </c>
      <c r="B1900" s="75" t="s">
        <v>1007</v>
      </c>
      <c r="C1900" s="75">
        <v>3.21</v>
      </c>
      <c r="D1900" s="75">
        <v>0.0</v>
      </c>
      <c r="E1900" s="75">
        <v>0.0</v>
      </c>
      <c r="F1900" s="75" t="s">
        <v>996</v>
      </c>
      <c r="G1900" s="82">
        <v>46111.0</v>
      </c>
      <c r="H1900" s="76" t="s">
        <v>982</v>
      </c>
      <c r="I1900" s="83"/>
      <c r="J1900" s="83"/>
      <c r="K1900" s="83"/>
      <c r="L1900" s="83"/>
      <c r="M1900" s="83"/>
      <c r="N1900" s="83"/>
      <c r="O1900" s="83"/>
      <c r="P1900" s="83"/>
      <c r="Q1900" s="83"/>
      <c r="R1900" s="83"/>
      <c r="S1900" s="83"/>
      <c r="T1900" s="83"/>
      <c r="U1900" s="83"/>
      <c r="V1900" s="83"/>
      <c r="W1900" s="83"/>
      <c r="X1900" s="83"/>
      <c r="Y1900" s="83"/>
      <c r="Z1900" s="83"/>
    </row>
    <row r="1901">
      <c r="A1901" s="75" t="s">
        <v>53</v>
      </c>
      <c r="B1901" s="75" t="s">
        <v>1007</v>
      </c>
      <c r="C1901" s="75">
        <v>1.44</v>
      </c>
      <c r="D1901" s="75">
        <v>0.0</v>
      </c>
      <c r="E1901" s="75">
        <v>0.0</v>
      </c>
      <c r="F1901" s="75" t="s">
        <v>996</v>
      </c>
      <c r="G1901" s="82">
        <v>46111.0</v>
      </c>
      <c r="H1901" s="76" t="s">
        <v>983</v>
      </c>
      <c r="I1901" s="83"/>
      <c r="J1901" s="83"/>
      <c r="K1901" s="83"/>
      <c r="L1901" s="83"/>
      <c r="M1901" s="83"/>
      <c r="N1901" s="83"/>
      <c r="O1901" s="83"/>
      <c r="P1901" s="83"/>
      <c r="Q1901" s="83"/>
      <c r="R1901" s="83"/>
      <c r="S1901" s="83"/>
      <c r="T1901" s="83"/>
      <c r="U1901" s="83"/>
      <c r="V1901" s="83"/>
      <c r="W1901" s="83"/>
      <c r="X1901" s="83"/>
      <c r="Y1901" s="83"/>
      <c r="Z1901" s="83"/>
    </row>
    <row r="1902">
      <c r="A1902" s="75" t="s">
        <v>53</v>
      </c>
      <c r="B1902" s="75" t="s">
        <v>1007</v>
      </c>
      <c r="C1902" s="75">
        <v>1.37</v>
      </c>
      <c r="D1902" s="75">
        <v>0.0</v>
      </c>
      <c r="E1902" s="75">
        <v>0.0</v>
      </c>
      <c r="F1902" s="75" t="s">
        <v>996</v>
      </c>
      <c r="G1902" s="82">
        <v>46111.0</v>
      </c>
      <c r="H1902" s="76" t="s">
        <v>984</v>
      </c>
      <c r="I1902" s="83"/>
      <c r="J1902" s="83"/>
      <c r="K1902" s="83"/>
      <c r="L1902" s="83"/>
      <c r="M1902" s="83"/>
      <c r="N1902" s="83"/>
      <c r="O1902" s="83"/>
      <c r="P1902" s="83"/>
      <c r="Q1902" s="83"/>
      <c r="R1902" s="83"/>
      <c r="S1902" s="83"/>
      <c r="T1902" s="83"/>
      <c r="U1902" s="83"/>
      <c r="V1902" s="83"/>
      <c r="W1902" s="83"/>
      <c r="X1902" s="83"/>
      <c r="Y1902" s="83"/>
      <c r="Z1902" s="83"/>
    </row>
    <row r="1903">
      <c r="A1903" s="75" t="s">
        <v>985</v>
      </c>
      <c r="B1903" s="75" t="s">
        <v>1007</v>
      </c>
      <c r="C1903" s="75">
        <v>1.06</v>
      </c>
      <c r="D1903" s="75">
        <v>0.0</v>
      </c>
      <c r="E1903" s="75">
        <v>0.0</v>
      </c>
      <c r="F1903" s="75" t="s">
        <v>996</v>
      </c>
      <c r="G1903" s="82">
        <v>46111.0</v>
      </c>
      <c r="H1903" s="76" t="s">
        <v>936</v>
      </c>
      <c r="I1903" s="83"/>
      <c r="J1903" s="83"/>
      <c r="K1903" s="83"/>
      <c r="L1903" s="83"/>
      <c r="M1903" s="83"/>
      <c r="N1903" s="83"/>
      <c r="O1903" s="83"/>
      <c r="P1903" s="83"/>
      <c r="Q1903" s="83"/>
      <c r="R1903" s="83"/>
      <c r="S1903" s="83"/>
      <c r="T1903" s="83"/>
      <c r="U1903" s="83"/>
      <c r="V1903" s="83"/>
      <c r="W1903" s="83"/>
      <c r="X1903" s="83"/>
      <c r="Y1903" s="83"/>
      <c r="Z1903" s="83"/>
    </row>
    <row r="1904">
      <c r="A1904" s="75" t="s">
        <v>985</v>
      </c>
      <c r="B1904" s="75" t="s">
        <v>1007</v>
      </c>
      <c r="C1904" s="75">
        <v>2.99</v>
      </c>
      <c r="D1904" s="75">
        <v>0.0</v>
      </c>
      <c r="E1904" s="75">
        <v>0.0</v>
      </c>
      <c r="F1904" s="75" t="s">
        <v>996</v>
      </c>
      <c r="G1904" s="82">
        <v>46111.0</v>
      </c>
      <c r="H1904" s="76" t="s">
        <v>937</v>
      </c>
      <c r="I1904" s="83"/>
      <c r="J1904" s="83"/>
      <c r="K1904" s="83"/>
      <c r="L1904" s="83"/>
      <c r="M1904" s="83"/>
      <c r="N1904" s="83"/>
      <c r="O1904" s="83"/>
      <c r="P1904" s="83"/>
      <c r="Q1904" s="83"/>
      <c r="R1904" s="83"/>
      <c r="S1904" s="83"/>
      <c r="T1904" s="83"/>
      <c r="U1904" s="83"/>
      <c r="V1904" s="83"/>
      <c r="W1904" s="83"/>
      <c r="X1904" s="83"/>
      <c r="Y1904" s="83"/>
      <c r="Z1904" s="83"/>
    </row>
    <row r="1905">
      <c r="A1905" s="75" t="s">
        <v>985</v>
      </c>
      <c r="B1905" s="75" t="s">
        <v>1007</v>
      </c>
      <c r="C1905" s="75">
        <v>1.92</v>
      </c>
      <c r="D1905" s="75">
        <v>0.0</v>
      </c>
      <c r="E1905" s="75">
        <v>0.0</v>
      </c>
      <c r="F1905" s="75" t="s">
        <v>996</v>
      </c>
      <c r="G1905" s="82">
        <v>46111.0</v>
      </c>
      <c r="H1905" s="76" t="s">
        <v>938</v>
      </c>
      <c r="I1905" s="83"/>
      <c r="J1905" s="83"/>
      <c r="K1905" s="83"/>
      <c r="L1905" s="83"/>
      <c r="M1905" s="83"/>
      <c r="N1905" s="83"/>
      <c r="O1905" s="83"/>
      <c r="P1905" s="83"/>
      <c r="Q1905" s="83"/>
      <c r="R1905" s="83"/>
      <c r="S1905" s="83"/>
      <c r="T1905" s="83"/>
      <c r="U1905" s="83"/>
      <c r="V1905" s="83"/>
      <c r="W1905" s="83"/>
      <c r="X1905" s="83"/>
      <c r="Y1905" s="83"/>
      <c r="Z1905" s="83"/>
    </row>
    <row r="1906">
      <c r="A1906" s="75" t="s">
        <v>51</v>
      </c>
      <c r="B1906" s="75" t="s">
        <v>1007</v>
      </c>
      <c r="C1906" s="75">
        <v>4.34</v>
      </c>
      <c r="D1906" s="75">
        <v>0.0</v>
      </c>
      <c r="E1906" s="75">
        <v>0.0</v>
      </c>
      <c r="F1906" s="75" t="s">
        <v>996</v>
      </c>
      <c r="G1906" s="82">
        <v>46111.0</v>
      </c>
      <c r="H1906" s="76" t="s">
        <v>986</v>
      </c>
      <c r="I1906" s="83"/>
      <c r="J1906" s="83"/>
      <c r="K1906" s="83"/>
      <c r="L1906" s="83"/>
      <c r="M1906" s="83"/>
      <c r="N1906" s="83"/>
      <c r="O1906" s="83"/>
      <c r="P1906" s="83"/>
      <c r="Q1906" s="83"/>
      <c r="R1906" s="83"/>
      <c r="S1906" s="83"/>
      <c r="T1906" s="83"/>
      <c r="U1906" s="83"/>
      <c r="V1906" s="83"/>
      <c r="W1906" s="83"/>
      <c r="X1906" s="83"/>
      <c r="Y1906" s="83"/>
      <c r="Z1906" s="83"/>
    </row>
    <row r="1907">
      <c r="A1907" s="75" t="s">
        <v>51</v>
      </c>
      <c r="B1907" s="75" t="s">
        <v>1007</v>
      </c>
      <c r="C1907" s="75">
        <v>2.59</v>
      </c>
      <c r="D1907" s="75">
        <v>0.0</v>
      </c>
      <c r="E1907" s="75">
        <v>0.0</v>
      </c>
      <c r="F1907" s="75" t="s">
        <v>996</v>
      </c>
      <c r="G1907" s="82">
        <v>46111.0</v>
      </c>
      <c r="H1907" s="76" t="s">
        <v>987</v>
      </c>
      <c r="I1907" s="83"/>
      <c r="J1907" s="83"/>
      <c r="K1907" s="83"/>
      <c r="L1907" s="83"/>
      <c r="M1907" s="83"/>
      <c r="N1907" s="83"/>
      <c r="O1907" s="83"/>
      <c r="P1907" s="83"/>
      <c r="Q1907" s="83"/>
      <c r="R1907" s="83"/>
      <c r="S1907" s="83"/>
      <c r="T1907" s="83"/>
      <c r="U1907" s="83"/>
      <c r="V1907" s="83"/>
      <c r="W1907" s="83"/>
      <c r="X1907" s="83"/>
      <c r="Y1907" s="83"/>
      <c r="Z1907" s="83"/>
    </row>
    <row r="1908">
      <c r="A1908" s="75" t="s">
        <v>54</v>
      </c>
      <c r="B1908" s="75" t="s">
        <v>1007</v>
      </c>
      <c r="C1908" s="75">
        <v>3.08</v>
      </c>
      <c r="D1908" s="75">
        <v>2.0</v>
      </c>
      <c r="E1908" s="75">
        <v>1.54</v>
      </c>
      <c r="F1908" s="75" t="s">
        <v>997</v>
      </c>
      <c r="G1908" s="82">
        <v>46111.0</v>
      </c>
      <c r="H1908" s="76" t="s">
        <v>977</v>
      </c>
      <c r="I1908" s="83"/>
      <c r="J1908" s="83"/>
      <c r="K1908" s="83"/>
      <c r="L1908" s="83"/>
      <c r="M1908" s="83"/>
      <c r="N1908" s="83"/>
      <c r="O1908" s="83"/>
      <c r="P1908" s="83"/>
      <c r="Q1908" s="83"/>
      <c r="R1908" s="83"/>
      <c r="S1908" s="83"/>
      <c r="T1908" s="83"/>
      <c r="U1908" s="83"/>
      <c r="V1908" s="83"/>
      <c r="W1908" s="83"/>
      <c r="X1908" s="83"/>
      <c r="Y1908" s="83"/>
      <c r="Z1908" s="83"/>
    </row>
    <row r="1909">
      <c r="A1909" s="75" t="s">
        <v>54</v>
      </c>
      <c r="B1909" s="75" t="s">
        <v>1007</v>
      </c>
      <c r="C1909" s="75">
        <v>4.66</v>
      </c>
      <c r="D1909" s="75">
        <v>1.0</v>
      </c>
      <c r="E1909" s="75">
        <v>4.66</v>
      </c>
      <c r="F1909" s="75" t="s">
        <v>997</v>
      </c>
      <c r="G1909" s="82">
        <v>46111.0</v>
      </c>
      <c r="H1909" s="76" t="s">
        <v>978</v>
      </c>
      <c r="I1909" s="83"/>
      <c r="J1909" s="83"/>
      <c r="K1909" s="83"/>
      <c r="L1909" s="83"/>
      <c r="M1909" s="83"/>
      <c r="N1909" s="83"/>
      <c r="O1909" s="83"/>
      <c r="P1909" s="83"/>
      <c r="Q1909" s="83"/>
      <c r="R1909" s="83"/>
      <c r="S1909" s="83"/>
      <c r="T1909" s="83"/>
      <c r="U1909" s="83"/>
      <c r="V1909" s="83"/>
      <c r="W1909" s="83"/>
      <c r="X1909" s="83"/>
      <c r="Y1909" s="83"/>
      <c r="Z1909" s="83"/>
    </row>
    <row r="1910">
      <c r="A1910" s="75" t="s">
        <v>54</v>
      </c>
      <c r="B1910" s="75" t="s">
        <v>1007</v>
      </c>
      <c r="C1910" s="75">
        <v>3.47</v>
      </c>
      <c r="D1910" s="75">
        <v>1.0</v>
      </c>
      <c r="E1910" s="75">
        <v>3.47</v>
      </c>
      <c r="F1910" s="75" t="s">
        <v>997</v>
      </c>
      <c r="G1910" s="82">
        <v>46111.0</v>
      </c>
      <c r="H1910" s="76" t="s">
        <v>979</v>
      </c>
      <c r="I1910" s="83"/>
      <c r="J1910" s="83"/>
      <c r="K1910" s="83"/>
      <c r="L1910" s="83"/>
      <c r="M1910" s="83"/>
      <c r="N1910" s="83"/>
      <c r="O1910" s="83"/>
      <c r="P1910" s="83"/>
      <c r="Q1910" s="83"/>
      <c r="R1910" s="83"/>
      <c r="S1910" s="83"/>
      <c r="T1910" s="83"/>
      <c r="U1910" s="83"/>
      <c r="V1910" s="83"/>
      <c r="W1910" s="83"/>
      <c r="X1910" s="83"/>
      <c r="Y1910" s="83"/>
      <c r="Z1910" s="83"/>
    </row>
    <row r="1911">
      <c r="A1911" s="75" t="s">
        <v>55</v>
      </c>
      <c r="B1911" s="75" t="s">
        <v>1007</v>
      </c>
      <c r="C1911" s="75">
        <v>3.33</v>
      </c>
      <c r="D1911" s="75">
        <v>0.0</v>
      </c>
      <c r="E1911" s="75">
        <v>0.0</v>
      </c>
      <c r="F1911" s="75" t="s">
        <v>997</v>
      </c>
      <c r="G1911" s="82">
        <v>46111.0</v>
      </c>
      <c r="H1911" s="76" t="s">
        <v>980</v>
      </c>
      <c r="I1911" s="83"/>
      <c r="J1911" s="83"/>
      <c r="K1911" s="83"/>
      <c r="L1911" s="83"/>
      <c r="M1911" s="83"/>
      <c r="N1911" s="83"/>
      <c r="O1911" s="83"/>
      <c r="P1911" s="83"/>
      <c r="Q1911" s="83"/>
      <c r="R1911" s="83"/>
      <c r="S1911" s="83"/>
      <c r="T1911" s="83"/>
      <c r="U1911" s="83"/>
      <c r="V1911" s="83"/>
      <c r="W1911" s="83"/>
      <c r="X1911" s="83"/>
      <c r="Y1911" s="83"/>
      <c r="Z1911" s="83"/>
    </row>
    <row r="1912">
      <c r="A1912" s="75" t="s">
        <v>55</v>
      </c>
      <c r="B1912" s="75" t="s">
        <v>1007</v>
      </c>
      <c r="C1912" s="75">
        <v>16.06</v>
      </c>
      <c r="D1912" s="75">
        <v>0.0</v>
      </c>
      <c r="E1912" s="75">
        <v>0.0</v>
      </c>
      <c r="F1912" s="75" t="s">
        <v>997</v>
      </c>
      <c r="G1912" s="82">
        <v>46111.0</v>
      </c>
      <c r="H1912" s="76" t="s">
        <v>981</v>
      </c>
      <c r="I1912" s="83"/>
      <c r="J1912" s="83"/>
      <c r="K1912" s="83"/>
      <c r="L1912" s="83"/>
      <c r="M1912" s="83"/>
      <c r="N1912" s="83"/>
      <c r="O1912" s="83"/>
      <c r="P1912" s="83"/>
      <c r="Q1912" s="83"/>
      <c r="R1912" s="83"/>
      <c r="S1912" s="83"/>
      <c r="T1912" s="83"/>
      <c r="U1912" s="83"/>
      <c r="V1912" s="83"/>
      <c r="W1912" s="83"/>
      <c r="X1912" s="83"/>
      <c r="Y1912" s="83"/>
      <c r="Z1912" s="83"/>
    </row>
    <row r="1913">
      <c r="A1913" s="75" t="s">
        <v>53</v>
      </c>
      <c r="B1913" s="75" t="s">
        <v>1007</v>
      </c>
      <c r="C1913" s="75">
        <v>3.06</v>
      </c>
      <c r="D1913" s="75">
        <v>0.0</v>
      </c>
      <c r="E1913" s="75">
        <v>0.0</v>
      </c>
      <c r="F1913" s="75" t="s">
        <v>997</v>
      </c>
      <c r="G1913" s="82">
        <v>46111.0</v>
      </c>
      <c r="H1913" s="76" t="s">
        <v>982</v>
      </c>
      <c r="I1913" s="83"/>
      <c r="J1913" s="83"/>
      <c r="K1913" s="83"/>
      <c r="L1913" s="83"/>
      <c r="M1913" s="83"/>
      <c r="N1913" s="83"/>
      <c r="O1913" s="83"/>
      <c r="P1913" s="83"/>
      <c r="Q1913" s="83"/>
      <c r="R1913" s="83"/>
      <c r="S1913" s="83"/>
      <c r="T1913" s="83"/>
      <c r="U1913" s="83"/>
      <c r="V1913" s="83"/>
      <c r="W1913" s="83"/>
      <c r="X1913" s="83"/>
      <c r="Y1913" s="83"/>
      <c r="Z1913" s="83"/>
    </row>
    <row r="1914">
      <c r="A1914" s="75" t="s">
        <v>53</v>
      </c>
      <c r="B1914" s="75" t="s">
        <v>1007</v>
      </c>
      <c r="C1914" s="75">
        <v>1.24</v>
      </c>
      <c r="D1914" s="75">
        <v>0.0</v>
      </c>
      <c r="E1914" s="75">
        <v>0.0</v>
      </c>
      <c r="F1914" s="75" t="s">
        <v>997</v>
      </c>
      <c r="G1914" s="82">
        <v>46111.0</v>
      </c>
      <c r="H1914" s="76" t="s">
        <v>983</v>
      </c>
      <c r="I1914" s="83"/>
      <c r="J1914" s="83"/>
      <c r="K1914" s="83"/>
      <c r="L1914" s="83"/>
      <c r="M1914" s="83"/>
      <c r="N1914" s="83"/>
      <c r="O1914" s="83"/>
      <c r="P1914" s="83"/>
      <c r="Q1914" s="83"/>
      <c r="R1914" s="83"/>
      <c r="S1914" s="83"/>
      <c r="T1914" s="83"/>
      <c r="U1914" s="83"/>
      <c r="V1914" s="83"/>
      <c r="W1914" s="83"/>
      <c r="X1914" s="83"/>
      <c r="Y1914" s="83"/>
      <c r="Z1914" s="83"/>
    </row>
    <row r="1915">
      <c r="A1915" s="75" t="s">
        <v>53</v>
      </c>
      <c r="B1915" s="75" t="s">
        <v>1007</v>
      </c>
      <c r="C1915" s="75">
        <v>1.08</v>
      </c>
      <c r="D1915" s="75">
        <v>0.0</v>
      </c>
      <c r="E1915" s="75">
        <v>0.0</v>
      </c>
      <c r="F1915" s="75" t="s">
        <v>997</v>
      </c>
      <c r="G1915" s="82">
        <v>46111.0</v>
      </c>
      <c r="H1915" s="76" t="s">
        <v>984</v>
      </c>
      <c r="I1915" s="83"/>
      <c r="J1915" s="83"/>
      <c r="K1915" s="83"/>
      <c r="L1915" s="83"/>
      <c r="M1915" s="83"/>
      <c r="N1915" s="83"/>
      <c r="O1915" s="83"/>
      <c r="P1915" s="83"/>
      <c r="Q1915" s="83"/>
      <c r="R1915" s="83"/>
      <c r="S1915" s="83"/>
      <c r="T1915" s="83"/>
      <c r="U1915" s="83"/>
      <c r="V1915" s="83"/>
      <c r="W1915" s="83"/>
      <c r="X1915" s="83"/>
      <c r="Y1915" s="83"/>
      <c r="Z1915" s="83"/>
    </row>
    <row r="1916">
      <c r="A1916" s="75" t="s">
        <v>985</v>
      </c>
      <c r="B1916" s="75" t="s">
        <v>1007</v>
      </c>
      <c r="C1916" s="75">
        <v>0.9</v>
      </c>
      <c r="D1916" s="75">
        <v>0.0</v>
      </c>
      <c r="E1916" s="75">
        <v>0.0</v>
      </c>
      <c r="F1916" s="75" t="s">
        <v>997</v>
      </c>
      <c r="G1916" s="82">
        <v>46111.0</v>
      </c>
      <c r="H1916" s="76" t="s">
        <v>936</v>
      </c>
      <c r="I1916" s="83"/>
      <c r="J1916" s="83"/>
      <c r="K1916" s="83"/>
      <c r="L1916" s="83"/>
      <c r="M1916" s="83"/>
      <c r="N1916" s="83"/>
      <c r="O1916" s="83"/>
      <c r="P1916" s="83"/>
      <c r="Q1916" s="83"/>
      <c r="R1916" s="83"/>
      <c r="S1916" s="83"/>
      <c r="T1916" s="83"/>
      <c r="U1916" s="83"/>
      <c r="V1916" s="83"/>
      <c r="W1916" s="83"/>
      <c r="X1916" s="83"/>
      <c r="Y1916" s="83"/>
      <c r="Z1916" s="83"/>
    </row>
    <row r="1917">
      <c r="A1917" s="75" t="s">
        <v>985</v>
      </c>
      <c r="B1917" s="75" t="s">
        <v>1007</v>
      </c>
      <c r="C1917" s="75">
        <v>1.4</v>
      </c>
      <c r="D1917" s="75">
        <v>0.0</v>
      </c>
      <c r="E1917" s="75">
        <v>0.0</v>
      </c>
      <c r="F1917" s="75" t="s">
        <v>997</v>
      </c>
      <c r="G1917" s="82">
        <v>46111.0</v>
      </c>
      <c r="H1917" s="76" t="s">
        <v>937</v>
      </c>
      <c r="I1917" s="83"/>
      <c r="J1917" s="83"/>
      <c r="K1917" s="83"/>
      <c r="L1917" s="83"/>
      <c r="M1917" s="83"/>
      <c r="N1917" s="83"/>
      <c r="O1917" s="83"/>
      <c r="P1917" s="83"/>
      <c r="Q1917" s="83"/>
      <c r="R1917" s="83"/>
      <c r="S1917" s="83"/>
      <c r="T1917" s="83"/>
      <c r="U1917" s="83"/>
      <c r="V1917" s="83"/>
      <c r="W1917" s="83"/>
      <c r="X1917" s="83"/>
      <c r="Y1917" s="83"/>
      <c r="Z1917" s="83"/>
    </row>
    <row r="1918">
      <c r="A1918" s="75" t="s">
        <v>985</v>
      </c>
      <c r="B1918" s="75" t="s">
        <v>1007</v>
      </c>
      <c r="C1918" s="75">
        <v>2.0</v>
      </c>
      <c r="D1918" s="75">
        <v>0.0</v>
      </c>
      <c r="E1918" s="75">
        <v>0.0</v>
      </c>
      <c r="F1918" s="75" t="s">
        <v>997</v>
      </c>
      <c r="G1918" s="82">
        <v>46111.0</v>
      </c>
      <c r="H1918" s="76" t="s">
        <v>938</v>
      </c>
      <c r="I1918" s="83"/>
      <c r="J1918" s="83"/>
      <c r="K1918" s="83"/>
      <c r="L1918" s="83"/>
      <c r="M1918" s="83"/>
      <c r="N1918" s="83"/>
      <c r="O1918" s="83"/>
      <c r="P1918" s="83"/>
      <c r="Q1918" s="83"/>
      <c r="R1918" s="83"/>
      <c r="S1918" s="83"/>
      <c r="T1918" s="83"/>
      <c r="U1918" s="83"/>
      <c r="V1918" s="83"/>
      <c r="W1918" s="83"/>
      <c r="X1918" s="83"/>
      <c r="Y1918" s="83"/>
      <c r="Z1918" s="83"/>
    </row>
    <row r="1919">
      <c r="A1919" s="75" t="s">
        <v>51</v>
      </c>
      <c r="B1919" s="75" t="s">
        <v>1007</v>
      </c>
      <c r="C1919" s="75">
        <v>5.7</v>
      </c>
      <c r="D1919" s="75">
        <v>1.0</v>
      </c>
      <c r="E1919" s="75">
        <v>5.7</v>
      </c>
      <c r="F1919" s="75" t="s">
        <v>997</v>
      </c>
      <c r="G1919" s="82">
        <v>46111.0</v>
      </c>
      <c r="H1919" s="76" t="s">
        <v>986</v>
      </c>
      <c r="I1919" s="83"/>
      <c r="J1919" s="83"/>
      <c r="K1919" s="83"/>
      <c r="L1919" s="83"/>
      <c r="M1919" s="83"/>
      <c r="N1919" s="83"/>
      <c r="O1919" s="83"/>
      <c r="P1919" s="83"/>
      <c r="Q1919" s="83"/>
      <c r="R1919" s="83"/>
      <c r="S1919" s="83"/>
      <c r="T1919" s="83"/>
      <c r="U1919" s="83"/>
      <c r="V1919" s="83"/>
      <c r="W1919" s="83"/>
      <c r="X1919" s="83"/>
      <c r="Y1919" s="83"/>
      <c r="Z1919" s="83"/>
    </row>
    <row r="1920">
      <c r="A1920" s="75" t="s">
        <v>51</v>
      </c>
      <c r="B1920" s="75" t="s">
        <v>1007</v>
      </c>
      <c r="C1920" s="75">
        <v>2.32</v>
      </c>
      <c r="D1920" s="75">
        <v>0.0</v>
      </c>
      <c r="E1920" s="75">
        <v>0.0</v>
      </c>
      <c r="F1920" s="75" t="s">
        <v>997</v>
      </c>
      <c r="G1920" s="82">
        <v>46111.0</v>
      </c>
      <c r="H1920" s="76" t="s">
        <v>987</v>
      </c>
      <c r="I1920" s="83"/>
      <c r="J1920" s="83"/>
      <c r="K1920" s="83"/>
      <c r="L1920" s="83"/>
      <c r="M1920" s="83"/>
      <c r="N1920" s="83"/>
      <c r="O1920" s="83"/>
      <c r="P1920" s="83"/>
      <c r="Q1920" s="83"/>
      <c r="R1920" s="83"/>
      <c r="S1920" s="83"/>
      <c r="T1920" s="83"/>
      <c r="U1920" s="83"/>
      <c r="V1920" s="83"/>
      <c r="W1920" s="83"/>
      <c r="X1920" s="83"/>
      <c r="Y1920" s="83"/>
      <c r="Z1920" s="83"/>
    </row>
    <row r="1921">
      <c r="A1921" s="75" t="s">
        <v>55</v>
      </c>
      <c r="B1921" s="75" t="s">
        <v>1007</v>
      </c>
      <c r="C1921" s="75">
        <v>1.65</v>
      </c>
      <c r="D1921" s="75">
        <v>0.0</v>
      </c>
      <c r="E1921" s="75">
        <v>0.0</v>
      </c>
      <c r="F1921" s="75" t="s">
        <v>998</v>
      </c>
      <c r="G1921" s="82">
        <v>46111.0</v>
      </c>
      <c r="H1921" s="76" t="s">
        <v>980</v>
      </c>
      <c r="I1921" s="83"/>
      <c r="J1921" s="83"/>
      <c r="K1921" s="83"/>
      <c r="L1921" s="83"/>
      <c r="M1921" s="83"/>
      <c r="N1921" s="83"/>
      <c r="O1921" s="83"/>
      <c r="P1921" s="83"/>
      <c r="Q1921" s="83"/>
      <c r="R1921" s="83"/>
      <c r="S1921" s="83"/>
      <c r="T1921" s="83"/>
      <c r="U1921" s="83"/>
      <c r="V1921" s="83"/>
      <c r="W1921" s="83"/>
      <c r="X1921" s="83"/>
      <c r="Y1921" s="83"/>
      <c r="Z1921" s="83"/>
    </row>
    <row r="1922">
      <c r="A1922" s="75" t="s">
        <v>55</v>
      </c>
      <c r="B1922" s="75" t="s">
        <v>1007</v>
      </c>
      <c r="C1922" s="75">
        <v>0.04</v>
      </c>
      <c r="D1922" s="75">
        <v>0.0</v>
      </c>
      <c r="E1922" s="75">
        <v>0.0</v>
      </c>
      <c r="F1922" s="75" t="s">
        <v>998</v>
      </c>
      <c r="G1922" s="82">
        <v>46111.0</v>
      </c>
      <c r="H1922" s="76" t="s">
        <v>981</v>
      </c>
      <c r="I1922" s="83"/>
      <c r="J1922" s="83"/>
      <c r="K1922" s="83"/>
      <c r="L1922" s="83"/>
      <c r="M1922" s="83"/>
      <c r="N1922" s="83"/>
      <c r="O1922" s="83"/>
      <c r="P1922" s="83"/>
      <c r="Q1922" s="83"/>
      <c r="R1922" s="83"/>
      <c r="S1922" s="83"/>
      <c r="T1922" s="83"/>
      <c r="U1922" s="83"/>
      <c r="V1922" s="83"/>
      <c r="W1922" s="83"/>
      <c r="X1922" s="83"/>
      <c r="Y1922" s="83"/>
      <c r="Z1922" s="83"/>
    </row>
    <row r="1923">
      <c r="A1923" s="75" t="s">
        <v>53</v>
      </c>
      <c r="B1923" s="75" t="s">
        <v>1007</v>
      </c>
      <c r="C1923" s="75">
        <v>0.01</v>
      </c>
      <c r="D1923" s="75">
        <v>0.0</v>
      </c>
      <c r="E1923" s="75">
        <v>0.0</v>
      </c>
      <c r="F1923" s="75" t="s">
        <v>998</v>
      </c>
      <c r="G1923" s="82">
        <v>46111.0</v>
      </c>
      <c r="H1923" s="76" t="s">
        <v>982</v>
      </c>
      <c r="I1923" s="83"/>
      <c r="J1923" s="83"/>
      <c r="K1923" s="83"/>
      <c r="L1923" s="83"/>
      <c r="M1923" s="83"/>
      <c r="N1923" s="83"/>
      <c r="O1923" s="83"/>
      <c r="P1923" s="83"/>
      <c r="Q1923" s="83"/>
      <c r="R1923" s="83"/>
      <c r="S1923" s="83"/>
      <c r="T1923" s="83"/>
      <c r="U1923" s="83"/>
      <c r="V1923" s="83"/>
      <c r="W1923" s="83"/>
      <c r="X1923" s="83"/>
      <c r="Y1923" s="83"/>
      <c r="Z1923" s="83"/>
    </row>
    <row r="1924">
      <c r="A1924" s="75" t="s">
        <v>53</v>
      </c>
      <c r="B1924" s="75" t="s">
        <v>1007</v>
      </c>
      <c r="C1924" s="75">
        <v>0.02</v>
      </c>
      <c r="D1924" s="75">
        <v>0.0</v>
      </c>
      <c r="E1924" s="75">
        <v>0.0</v>
      </c>
      <c r="F1924" s="75" t="s">
        <v>998</v>
      </c>
      <c r="G1924" s="82">
        <v>46111.0</v>
      </c>
      <c r="H1924" s="76" t="s">
        <v>983</v>
      </c>
      <c r="I1924" s="83"/>
      <c r="J1924" s="83"/>
      <c r="K1924" s="83"/>
      <c r="L1924" s="83"/>
      <c r="M1924" s="83"/>
      <c r="N1924" s="83"/>
      <c r="O1924" s="83"/>
      <c r="P1924" s="83"/>
      <c r="Q1924" s="83"/>
      <c r="R1924" s="83"/>
      <c r="S1924" s="83"/>
      <c r="T1924" s="83"/>
      <c r="U1924" s="83"/>
      <c r="V1924" s="83"/>
      <c r="W1924" s="83"/>
      <c r="X1924" s="83"/>
      <c r="Y1924" s="83"/>
      <c r="Z1924" s="83"/>
    </row>
    <row r="1925">
      <c r="A1925" s="75" t="s">
        <v>53</v>
      </c>
      <c r="B1925" s="75" t="s">
        <v>1007</v>
      </c>
      <c r="C1925" s="75">
        <v>0.73</v>
      </c>
      <c r="D1925" s="75">
        <v>0.0</v>
      </c>
      <c r="E1925" s="75">
        <v>0.0</v>
      </c>
      <c r="F1925" s="75" t="s">
        <v>998</v>
      </c>
      <c r="G1925" s="82">
        <v>46111.0</v>
      </c>
      <c r="H1925" s="76" t="s">
        <v>984</v>
      </c>
      <c r="I1925" s="83"/>
      <c r="J1925" s="83"/>
      <c r="K1925" s="83"/>
      <c r="L1925" s="83"/>
      <c r="M1925" s="83"/>
      <c r="N1925" s="83"/>
      <c r="O1925" s="83"/>
      <c r="P1925" s="83"/>
      <c r="Q1925" s="83"/>
      <c r="R1925" s="83"/>
      <c r="S1925" s="83"/>
      <c r="T1925" s="83"/>
      <c r="U1925" s="83"/>
      <c r="V1925" s="83"/>
      <c r="W1925" s="83"/>
      <c r="X1925" s="83"/>
      <c r="Y1925" s="83"/>
      <c r="Z1925" s="83"/>
    </row>
    <row r="1926">
      <c r="A1926" s="75" t="s">
        <v>985</v>
      </c>
      <c r="B1926" s="75" t="s">
        <v>1007</v>
      </c>
      <c r="C1926" s="75">
        <v>0.03</v>
      </c>
      <c r="D1926" s="75">
        <v>0.0</v>
      </c>
      <c r="E1926" s="75">
        <v>0.0</v>
      </c>
      <c r="F1926" s="75" t="s">
        <v>998</v>
      </c>
      <c r="G1926" s="82">
        <v>46111.0</v>
      </c>
      <c r="H1926" s="76" t="s">
        <v>936</v>
      </c>
      <c r="I1926" s="83"/>
      <c r="J1926" s="83"/>
      <c r="K1926" s="83"/>
      <c r="L1926" s="83"/>
      <c r="M1926" s="83"/>
      <c r="N1926" s="83"/>
      <c r="O1926" s="83"/>
      <c r="P1926" s="83"/>
      <c r="Q1926" s="83"/>
      <c r="R1926" s="83"/>
      <c r="S1926" s="83"/>
      <c r="T1926" s="83"/>
      <c r="U1926" s="83"/>
      <c r="V1926" s="83"/>
      <c r="W1926" s="83"/>
      <c r="X1926" s="83"/>
      <c r="Y1926" s="83"/>
      <c r="Z1926" s="83"/>
    </row>
    <row r="1927">
      <c r="A1927" s="75" t="s">
        <v>985</v>
      </c>
      <c r="B1927" s="75" t="s">
        <v>1007</v>
      </c>
      <c r="C1927" s="75">
        <v>0.61</v>
      </c>
      <c r="D1927" s="75">
        <v>0.0</v>
      </c>
      <c r="E1927" s="75">
        <v>0.0</v>
      </c>
      <c r="F1927" s="75" t="s">
        <v>998</v>
      </c>
      <c r="G1927" s="82">
        <v>46111.0</v>
      </c>
      <c r="H1927" s="76" t="s">
        <v>937</v>
      </c>
      <c r="I1927" s="83"/>
      <c r="J1927" s="83"/>
      <c r="K1927" s="83"/>
      <c r="L1927" s="83"/>
      <c r="M1927" s="83"/>
      <c r="N1927" s="83"/>
      <c r="O1927" s="83"/>
      <c r="P1927" s="83"/>
      <c r="Q1927" s="83"/>
      <c r="R1927" s="83"/>
      <c r="S1927" s="83"/>
      <c r="T1927" s="83"/>
      <c r="U1927" s="83"/>
      <c r="V1927" s="83"/>
      <c r="W1927" s="83"/>
      <c r="X1927" s="83"/>
      <c r="Y1927" s="83"/>
      <c r="Z1927" s="83"/>
    </row>
    <row r="1928">
      <c r="A1928" s="75" t="s">
        <v>985</v>
      </c>
      <c r="B1928" s="75" t="s">
        <v>1007</v>
      </c>
      <c r="C1928" s="75">
        <v>0.02</v>
      </c>
      <c r="D1928" s="75">
        <v>0.0</v>
      </c>
      <c r="E1928" s="75">
        <v>0.0</v>
      </c>
      <c r="F1928" s="75" t="s">
        <v>998</v>
      </c>
      <c r="G1928" s="82">
        <v>46111.0</v>
      </c>
      <c r="H1928" s="76" t="s">
        <v>938</v>
      </c>
      <c r="I1928" s="83"/>
      <c r="J1928" s="83"/>
      <c r="K1928" s="83"/>
      <c r="L1928" s="83"/>
      <c r="M1928" s="83"/>
      <c r="N1928" s="83"/>
      <c r="O1928" s="83"/>
      <c r="P1928" s="83"/>
      <c r="Q1928" s="83"/>
      <c r="R1928" s="83"/>
      <c r="S1928" s="83"/>
      <c r="T1928" s="83"/>
      <c r="U1928" s="83"/>
      <c r="V1928" s="83"/>
      <c r="W1928" s="83"/>
      <c r="X1928" s="83"/>
      <c r="Y1928" s="83"/>
      <c r="Z1928" s="83"/>
    </row>
    <row r="1929">
      <c r="A1929" s="75" t="s">
        <v>51</v>
      </c>
      <c r="B1929" s="75" t="s">
        <v>1007</v>
      </c>
      <c r="C1929" s="75">
        <v>0.02</v>
      </c>
      <c r="D1929" s="75">
        <v>0.0</v>
      </c>
      <c r="E1929" s="75">
        <v>0.0</v>
      </c>
      <c r="F1929" s="75" t="s">
        <v>998</v>
      </c>
      <c r="G1929" s="82">
        <v>46111.0</v>
      </c>
      <c r="H1929" s="76" t="s">
        <v>986</v>
      </c>
      <c r="I1929" s="83"/>
      <c r="J1929" s="83"/>
      <c r="K1929" s="83"/>
      <c r="L1929" s="83"/>
      <c r="M1929" s="83"/>
      <c r="N1929" s="83"/>
      <c r="O1929" s="83"/>
      <c r="P1929" s="83"/>
      <c r="Q1929" s="83"/>
      <c r="R1929" s="83"/>
      <c r="S1929" s="83"/>
      <c r="T1929" s="83"/>
      <c r="U1929" s="83"/>
      <c r="V1929" s="83"/>
      <c r="W1929" s="83"/>
      <c r="X1929" s="83"/>
      <c r="Y1929" s="83"/>
      <c r="Z1929" s="83"/>
    </row>
    <row r="1930">
      <c r="A1930" s="75" t="s">
        <v>51</v>
      </c>
      <c r="B1930" s="75" t="s">
        <v>1007</v>
      </c>
      <c r="C1930" s="75">
        <v>0.85</v>
      </c>
      <c r="D1930" s="75">
        <v>0.0</v>
      </c>
      <c r="E1930" s="75">
        <v>0.0</v>
      </c>
      <c r="F1930" s="75" t="s">
        <v>998</v>
      </c>
      <c r="G1930" s="82">
        <v>46111.0</v>
      </c>
      <c r="H1930" s="76" t="s">
        <v>987</v>
      </c>
      <c r="I1930" s="83"/>
      <c r="J1930" s="83"/>
      <c r="K1930" s="83"/>
      <c r="L1930" s="83"/>
      <c r="M1930" s="83"/>
      <c r="N1930" s="83"/>
      <c r="O1930" s="83"/>
      <c r="P1930" s="83"/>
      <c r="Q1930" s="83"/>
      <c r="R1930" s="83"/>
      <c r="S1930" s="83"/>
      <c r="T1930" s="83"/>
      <c r="U1930" s="83"/>
      <c r="V1930" s="83"/>
      <c r="W1930" s="83"/>
      <c r="X1930" s="83"/>
      <c r="Y1930" s="83"/>
      <c r="Z1930" s="83"/>
    </row>
    <row r="1931">
      <c r="A1931" s="75" t="s">
        <v>54</v>
      </c>
      <c r="B1931" s="75" t="s">
        <v>1007</v>
      </c>
      <c r="C1931" s="75">
        <v>0.05</v>
      </c>
      <c r="D1931" s="75">
        <v>0.0</v>
      </c>
      <c r="E1931" s="75">
        <v>0.0</v>
      </c>
      <c r="F1931" s="75" t="s">
        <v>998</v>
      </c>
      <c r="G1931" s="82">
        <v>46111.0</v>
      </c>
      <c r="H1931" s="76" t="s">
        <v>977</v>
      </c>
      <c r="I1931" s="83"/>
      <c r="J1931" s="83"/>
      <c r="K1931" s="83"/>
      <c r="L1931" s="83"/>
      <c r="M1931" s="83"/>
      <c r="N1931" s="83"/>
      <c r="O1931" s="83"/>
      <c r="P1931" s="83"/>
      <c r="Q1931" s="83"/>
      <c r="R1931" s="83"/>
      <c r="S1931" s="83"/>
      <c r="T1931" s="83"/>
      <c r="U1931" s="83"/>
      <c r="V1931" s="83"/>
      <c r="W1931" s="83"/>
      <c r="X1931" s="83"/>
      <c r="Y1931" s="83"/>
      <c r="Z1931" s="83"/>
    </row>
    <row r="1932">
      <c r="A1932" s="75" t="s">
        <v>54</v>
      </c>
      <c r="B1932" s="75" t="s">
        <v>1007</v>
      </c>
      <c r="C1932" s="75">
        <v>0.03</v>
      </c>
      <c r="D1932" s="75">
        <v>0.0</v>
      </c>
      <c r="E1932" s="75">
        <v>0.0</v>
      </c>
      <c r="F1932" s="75" t="s">
        <v>998</v>
      </c>
      <c r="G1932" s="82">
        <v>46111.0</v>
      </c>
      <c r="H1932" s="76" t="s">
        <v>978</v>
      </c>
      <c r="I1932" s="83"/>
      <c r="J1932" s="83"/>
      <c r="K1932" s="83"/>
      <c r="L1932" s="83"/>
      <c r="M1932" s="83"/>
      <c r="N1932" s="83"/>
      <c r="O1932" s="83"/>
      <c r="P1932" s="83"/>
      <c r="Q1932" s="83"/>
      <c r="R1932" s="83"/>
      <c r="S1932" s="83"/>
      <c r="T1932" s="83"/>
      <c r="U1932" s="83"/>
      <c r="V1932" s="83"/>
      <c r="W1932" s="83"/>
      <c r="X1932" s="83"/>
      <c r="Y1932" s="83"/>
      <c r="Z1932" s="83"/>
    </row>
    <row r="1933">
      <c r="A1933" s="75" t="s">
        <v>54</v>
      </c>
      <c r="B1933" s="75" t="s">
        <v>1007</v>
      </c>
      <c r="C1933" s="75">
        <v>1.03</v>
      </c>
      <c r="D1933" s="75">
        <v>0.0</v>
      </c>
      <c r="E1933" s="75">
        <v>0.0</v>
      </c>
      <c r="F1933" s="75" t="s">
        <v>998</v>
      </c>
      <c r="G1933" s="82">
        <v>46111.0</v>
      </c>
      <c r="H1933" s="76" t="s">
        <v>979</v>
      </c>
      <c r="I1933" s="83"/>
      <c r="J1933" s="83"/>
      <c r="K1933" s="83"/>
      <c r="L1933" s="83"/>
      <c r="M1933" s="83"/>
      <c r="N1933" s="83"/>
      <c r="O1933" s="83"/>
      <c r="P1933" s="83"/>
      <c r="Q1933" s="83"/>
      <c r="R1933" s="83"/>
      <c r="S1933" s="83"/>
      <c r="T1933" s="83"/>
      <c r="U1933" s="83"/>
      <c r="V1933" s="83"/>
      <c r="W1933" s="83"/>
      <c r="X1933" s="83"/>
      <c r="Y1933" s="83"/>
      <c r="Z1933" s="83"/>
    </row>
    <row r="1934">
      <c r="A1934" s="75" t="s">
        <v>34</v>
      </c>
      <c r="B1934" s="75" t="s">
        <v>1008</v>
      </c>
      <c r="C1934" s="75">
        <v>29.96</v>
      </c>
      <c r="D1934" s="75">
        <v>1.0</v>
      </c>
      <c r="E1934" s="75">
        <v>29.96</v>
      </c>
      <c r="F1934" s="75" t="s">
        <v>925</v>
      </c>
      <c r="G1934" s="82">
        <v>46111.0</v>
      </c>
      <c r="H1934" s="76" t="s">
        <v>951</v>
      </c>
      <c r="I1934" s="83"/>
      <c r="J1934" s="83"/>
      <c r="K1934" s="83"/>
      <c r="L1934" s="83"/>
      <c r="M1934" s="83"/>
      <c r="N1934" s="83"/>
      <c r="O1934" s="83"/>
      <c r="P1934" s="83"/>
      <c r="Q1934" s="83"/>
      <c r="R1934" s="83"/>
      <c r="S1934" s="83"/>
      <c r="T1934" s="83"/>
      <c r="U1934" s="83"/>
      <c r="V1934" s="83"/>
      <c r="W1934" s="83"/>
      <c r="X1934" s="83"/>
      <c r="Y1934" s="83"/>
      <c r="Z1934" s="83"/>
    </row>
    <row r="1935">
      <c r="A1935" s="75" t="s">
        <v>34</v>
      </c>
      <c r="B1935" s="75" t="s">
        <v>1008</v>
      </c>
      <c r="C1935" s="75">
        <v>26.34</v>
      </c>
      <c r="D1935" s="75">
        <v>2.0</v>
      </c>
      <c r="E1935" s="75">
        <v>13.17</v>
      </c>
      <c r="F1935" s="75" t="s">
        <v>925</v>
      </c>
      <c r="G1935" s="82">
        <v>46111.0</v>
      </c>
      <c r="H1935" s="76" t="s">
        <v>952</v>
      </c>
      <c r="I1935" s="83"/>
      <c r="J1935" s="83"/>
      <c r="K1935" s="83"/>
      <c r="L1935" s="83"/>
      <c r="M1935" s="83"/>
      <c r="N1935" s="83"/>
      <c r="O1935" s="83"/>
      <c r="P1935" s="83"/>
      <c r="Q1935" s="83"/>
      <c r="R1935" s="83"/>
      <c r="S1935" s="83"/>
      <c r="T1935" s="83"/>
      <c r="U1935" s="83"/>
      <c r="V1935" s="83"/>
      <c r="W1935" s="83"/>
      <c r="X1935" s="83"/>
      <c r="Y1935" s="83"/>
      <c r="Z1935" s="83"/>
    </row>
    <row r="1936">
      <c r="A1936" s="75" t="s">
        <v>34</v>
      </c>
      <c r="B1936" s="75" t="s">
        <v>1008</v>
      </c>
      <c r="C1936" s="75">
        <v>112.08</v>
      </c>
      <c r="D1936" s="75">
        <v>2.0</v>
      </c>
      <c r="E1936" s="75">
        <v>56.04</v>
      </c>
      <c r="F1936" s="75" t="s">
        <v>925</v>
      </c>
      <c r="G1936" s="82">
        <v>46111.0</v>
      </c>
      <c r="H1936" s="76" t="s">
        <v>953</v>
      </c>
      <c r="I1936" s="83"/>
      <c r="J1936" s="83"/>
      <c r="K1936" s="83"/>
      <c r="L1936" s="83"/>
      <c r="M1936" s="83"/>
      <c r="N1936" s="83"/>
      <c r="O1936" s="83"/>
      <c r="P1936" s="83"/>
      <c r="Q1936" s="83"/>
      <c r="R1936" s="83"/>
      <c r="S1936" s="83"/>
      <c r="T1936" s="83"/>
      <c r="U1936" s="83"/>
      <c r="V1936" s="83"/>
      <c r="W1936" s="83"/>
      <c r="X1936" s="83"/>
      <c r="Y1936" s="83"/>
      <c r="Z1936" s="83"/>
    </row>
    <row r="1937">
      <c r="A1937" s="75" t="s">
        <v>40</v>
      </c>
      <c r="B1937" s="75" t="s">
        <v>1008</v>
      </c>
      <c r="C1937" s="75">
        <v>3.47</v>
      </c>
      <c r="D1937" s="75">
        <v>0.0</v>
      </c>
      <c r="E1937" s="75">
        <v>0.0</v>
      </c>
      <c r="F1937" s="75" t="s">
        <v>925</v>
      </c>
      <c r="G1937" s="82">
        <v>46111.0</v>
      </c>
      <c r="H1937" s="76" t="s">
        <v>954</v>
      </c>
      <c r="I1937" s="83"/>
      <c r="J1937" s="83"/>
      <c r="K1937" s="83"/>
      <c r="L1937" s="83"/>
      <c r="M1937" s="83"/>
      <c r="N1937" s="83"/>
      <c r="O1937" s="83"/>
      <c r="P1937" s="83"/>
      <c r="Q1937" s="83"/>
      <c r="R1937" s="83"/>
      <c r="S1937" s="83"/>
      <c r="T1937" s="83"/>
      <c r="U1937" s="83"/>
      <c r="V1937" s="83"/>
      <c r="W1937" s="83"/>
      <c r="X1937" s="83"/>
      <c r="Y1937" s="83"/>
      <c r="Z1937" s="83"/>
    </row>
    <row r="1938">
      <c r="A1938" s="75" t="s">
        <v>40</v>
      </c>
      <c r="B1938" s="75" t="s">
        <v>1008</v>
      </c>
      <c r="C1938" s="75">
        <v>4.23</v>
      </c>
      <c r="D1938" s="75">
        <v>0.0</v>
      </c>
      <c r="E1938" s="75">
        <v>0.0</v>
      </c>
      <c r="F1938" s="75" t="s">
        <v>925</v>
      </c>
      <c r="G1938" s="82">
        <v>46111.0</v>
      </c>
      <c r="H1938" s="76" t="s">
        <v>955</v>
      </c>
      <c r="I1938" s="83"/>
      <c r="J1938" s="83"/>
      <c r="K1938" s="83"/>
      <c r="L1938" s="83"/>
      <c r="M1938" s="83"/>
      <c r="N1938" s="83"/>
      <c r="O1938" s="83"/>
      <c r="P1938" s="83"/>
      <c r="Q1938" s="83"/>
      <c r="R1938" s="83"/>
      <c r="S1938" s="83"/>
      <c r="T1938" s="83"/>
      <c r="U1938" s="83"/>
      <c r="V1938" s="83"/>
      <c r="W1938" s="83"/>
      <c r="X1938" s="83"/>
      <c r="Y1938" s="83"/>
      <c r="Z1938" s="83"/>
    </row>
    <row r="1939">
      <c r="A1939" s="75" t="s">
        <v>40</v>
      </c>
      <c r="B1939" s="75" t="s">
        <v>1008</v>
      </c>
      <c r="C1939" s="75">
        <v>27.47</v>
      </c>
      <c r="D1939" s="75">
        <v>1.0</v>
      </c>
      <c r="E1939" s="75">
        <v>27.47</v>
      </c>
      <c r="F1939" s="75" t="s">
        <v>925</v>
      </c>
      <c r="G1939" s="82">
        <v>46111.0</v>
      </c>
      <c r="H1939" s="76" t="s">
        <v>956</v>
      </c>
      <c r="I1939" s="83"/>
      <c r="J1939" s="83"/>
      <c r="K1939" s="83"/>
      <c r="L1939" s="83"/>
      <c r="M1939" s="83"/>
      <c r="N1939" s="83"/>
      <c r="O1939" s="83"/>
      <c r="P1939" s="83"/>
      <c r="Q1939" s="83"/>
      <c r="R1939" s="83"/>
      <c r="S1939" s="83"/>
      <c r="T1939" s="83"/>
      <c r="U1939" s="83"/>
      <c r="V1939" s="83"/>
      <c r="W1939" s="83"/>
      <c r="X1939" s="83"/>
      <c r="Y1939" s="83"/>
      <c r="Z1939" s="83"/>
    </row>
    <row r="1940">
      <c r="A1940" s="75" t="s">
        <v>33</v>
      </c>
      <c r="B1940" s="75" t="s">
        <v>1008</v>
      </c>
      <c r="C1940" s="75">
        <v>34.06</v>
      </c>
      <c r="D1940" s="75">
        <v>8.0</v>
      </c>
      <c r="E1940" s="75">
        <v>4.26</v>
      </c>
      <c r="F1940" s="75" t="s">
        <v>925</v>
      </c>
      <c r="G1940" s="82">
        <v>46111.0</v>
      </c>
      <c r="H1940" s="76" t="s">
        <v>957</v>
      </c>
      <c r="I1940" s="83"/>
      <c r="J1940" s="83"/>
      <c r="K1940" s="83"/>
      <c r="L1940" s="83"/>
      <c r="M1940" s="83"/>
      <c r="N1940" s="83"/>
      <c r="O1940" s="83"/>
      <c r="P1940" s="83"/>
      <c r="Q1940" s="83"/>
      <c r="R1940" s="83"/>
      <c r="S1940" s="83"/>
      <c r="T1940" s="83"/>
      <c r="U1940" s="83"/>
      <c r="V1940" s="83"/>
      <c r="W1940" s="83"/>
      <c r="X1940" s="83"/>
      <c r="Y1940" s="83"/>
      <c r="Z1940" s="83"/>
    </row>
    <row r="1941">
      <c r="A1941" s="75" t="s">
        <v>33</v>
      </c>
      <c r="B1941" s="75" t="s">
        <v>1008</v>
      </c>
      <c r="C1941" s="75">
        <v>9.86</v>
      </c>
      <c r="D1941" s="75">
        <v>2.0</v>
      </c>
      <c r="E1941" s="75">
        <v>4.93</v>
      </c>
      <c r="F1941" s="75" t="s">
        <v>925</v>
      </c>
      <c r="G1941" s="82">
        <v>46111.0</v>
      </c>
      <c r="H1941" s="76" t="s">
        <v>958</v>
      </c>
      <c r="I1941" s="83"/>
      <c r="J1941" s="83"/>
      <c r="K1941" s="83"/>
      <c r="L1941" s="83"/>
      <c r="M1941" s="83"/>
      <c r="N1941" s="83"/>
      <c r="O1941" s="83"/>
      <c r="P1941" s="83"/>
      <c r="Q1941" s="83"/>
      <c r="R1941" s="83"/>
      <c r="S1941" s="83"/>
      <c r="T1941" s="83"/>
      <c r="U1941" s="83"/>
      <c r="V1941" s="83"/>
      <c r="W1941" s="83"/>
      <c r="X1941" s="83"/>
      <c r="Y1941" s="83"/>
      <c r="Z1941" s="83"/>
    </row>
    <row r="1942">
      <c r="A1942" s="75" t="s">
        <v>33</v>
      </c>
      <c r="B1942" s="75" t="s">
        <v>1008</v>
      </c>
      <c r="C1942" s="75">
        <v>59.35</v>
      </c>
      <c r="D1942" s="75">
        <v>19.0</v>
      </c>
      <c r="E1942" s="75">
        <v>3.12</v>
      </c>
      <c r="F1942" s="75" t="s">
        <v>925</v>
      </c>
      <c r="G1942" s="82">
        <v>46111.0</v>
      </c>
      <c r="H1942" s="76" t="s">
        <v>959</v>
      </c>
      <c r="I1942" s="83"/>
      <c r="J1942" s="83"/>
      <c r="K1942" s="83"/>
      <c r="L1942" s="83"/>
      <c r="M1942" s="83"/>
      <c r="N1942" s="83"/>
      <c r="O1942" s="83"/>
      <c r="P1942" s="83"/>
      <c r="Q1942" s="83"/>
      <c r="R1942" s="83"/>
      <c r="S1942" s="83"/>
      <c r="T1942" s="83"/>
      <c r="U1942" s="83"/>
      <c r="V1942" s="83"/>
      <c r="W1942" s="83"/>
      <c r="X1942" s="83"/>
      <c r="Y1942" s="83"/>
      <c r="Z1942" s="83"/>
    </row>
    <row r="1943">
      <c r="A1943" s="75" t="s">
        <v>46</v>
      </c>
      <c r="B1943" s="75" t="s">
        <v>1008</v>
      </c>
      <c r="C1943" s="75">
        <v>11.96</v>
      </c>
      <c r="D1943" s="75">
        <v>0.0</v>
      </c>
      <c r="E1943" s="75">
        <v>0.0</v>
      </c>
      <c r="F1943" s="75" t="s">
        <v>925</v>
      </c>
      <c r="G1943" s="82">
        <v>46111.0</v>
      </c>
      <c r="H1943" s="76" t="s">
        <v>960</v>
      </c>
      <c r="I1943" s="83"/>
      <c r="J1943" s="83"/>
      <c r="K1943" s="83"/>
      <c r="L1943" s="83"/>
      <c r="M1943" s="83"/>
      <c r="N1943" s="83"/>
      <c r="O1943" s="83"/>
      <c r="P1943" s="83"/>
      <c r="Q1943" s="83"/>
      <c r="R1943" s="83"/>
      <c r="S1943" s="83"/>
      <c r="T1943" s="83"/>
      <c r="U1943" s="83"/>
      <c r="V1943" s="83"/>
      <c r="W1943" s="83"/>
      <c r="X1943" s="83"/>
      <c r="Y1943" s="83"/>
      <c r="Z1943" s="83"/>
    </row>
    <row r="1944">
      <c r="A1944" s="75" t="s">
        <v>46</v>
      </c>
      <c r="B1944" s="75" t="s">
        <v>1008</v>
      </c>
      <c r="C1944" s="75">
        <v>7.38</v>
      </c>
      <c r="D1944" s="75">
        <v>0.0</v>
      </c>
      <c r="E1944" s="75">
        <v>0.0</v>
      </c>
      <c r="F1944" s="75" t="s">
        <v>925</v>
      </c>
      <c r="G1944" s="82">
        <v>46111.0</v>
      </c>
      <c r="H1944" s="76" t="s">
        <v>961</v>
      </c>
      <c r="I1944" s="83"/>
      <c r="J1944" s="83"/>
      <c r="K1944" s="83"/>
      <c r="L1944" s="83"/>
      <c r="M1944" s="83"/>
      <c r="N1944" s="83"/>
      <c r="O1944" s="83"/>
      <c r="P1944" s="83"/>
      <c r="Q1944" s="83"/>
      <c r="R1944" s="83"/>
      <c r="S1944" s="83"/>
      <c r="T1944" s="83"/>
      <c r="U1944" s="83"/>
      <c r="V1944" s="83"/>
      <c r="W1944" s="83"/>
      <c r="X1944" s="83"/>
      <c r="Y1944" s="83"/>
      <c r="Z1944" s="83"/>
    </row>
    <row r="1945">
      <c r="A1945" s="75" t="s">
        <v>46</v>
      </c>
      <c r="B1945" s="75" t="s">
        <v>1008</v>
      </c>
      <c r="C1945" s="75">
        <v>48.71</v>
      </c>
      <c r="D1945" s="75">
        <v>1.0</v>
      </c>
      <c r="E1945" s="75">
        <v>48.71</v>
      </c>
      <c r="F1945" s="75" t="s">
        <v>925</v>
      </c>
      <c r="G1945" s="82">
        <v>46111.0</v>
      </c>
      <c r="H1945" s="76" t="s">
        <v>962</v>
      </c>
      <c r="I1945" s="83"/>
      <c r="J1945" s="83"/>
      <c r="K1945" s="83"/>
      <c r="L1945" s="83"/>
      <c r="M1945" s="83"/>
      <c r="N1945" s="83"/>
      <c r="O1945" s="83"/>
      <c r="P1945" s="83"/>
      <c r="Q1945" s="83"/>
      <c r="R1945" s="83"/>
      <c r="S1945" s="83"/>
      <c r="T1945" s="83"/>
      <c r="U1945" s="83"/>
      <c r="V1945" s="83"/>
      <c r="W1945" s="83"/>
      <c r="X1945" s="83"/>
      <c r="Y1945" s="83"/>
      <c r="Z1945" s="83"/>
    </row>
    <row r="1946">
      <c r="A1946" s="75" t="s">
        <v>43</v>
      </c>
      <c r="B1946" s="75" t="s">
        <v>1008</v>
      </c>
      <c r="C1946" s="75">
        <v>137.9</v>
      </c>
      <c r="D1946" s="75">
        <v>15.0</v>
      </c>
      <c r="E1946" s="75">
        <v>9.19</v>
      </c>
      <c r="F1946" s="75" t="s">
        <v>925</v>
      </c>
      <c r="G1946" s="82">
        <v>46111.0</v>
      </c>
      <c r="H1946" s="76" t="s">
        <v>963</v>
      </c>
      <c r="I1946" s="83"/>
      <c r="J1946" s="83"/>
      <c r="K1946" s="83"/>
      <c r="L1946" s="83"/>
      <c r="M1946" s="83"/>
      <c r="N1946" s="83"/>
      <c r="O1946" s="83"/>
      <c r="P1946" s="83"/>
      <c r="Q1946" s="83"/>
      <c r="R1946" s="83"/>
      <c r="S1946" s="83"/>
      <c r="T1946" s="83"/>
      <c r="U1946" s="83"/>
      <c r="V1946" s="83"/>
      <c r="W1946" s="83"/>
      <c r="X1946" s="83"/>
      <c r="Y1946" s="83"/>
      <c r="Z1946" s="83"/>
    </row>
    <row r="1947">
      <c r="A1947" s="75" t="s">
        <v>43</v>
      </c>
      <c r="B1947" s="75" t="s">
        <v>1008</v>
      </c>
      <c r="C1947" s="75">
        <v>5.07</v>
      </c>
      <c r="D1947" s="75">
        <v>0.0</v>
      </c>
      <c r="E1947" s="75">
        <v>0.0</v>
      </c>
      <c r="F1947" s="75" t="s">
        <v>925</v>
      </c>
      <c r="G1947" s="82">
        <v>46111.0</v>
      </c>
      <c r="H1947" s="76" t="s">
        <v>964</v>
      </c>
      <c r="I1947" s="83"/>
      <c r="J1947" s="83"/>
      <c r="K1947" s="83"/>
      <c r="L1947" s="83"/>
      <c r="M1947" s="83"/>
      <c r="N1947" s="83"/>
      <c r="O1947" s="83"/>
      <c r="P1947" s="83"/>
      <c r="Q1947" s="83"/>
      <c r="R1947" s="83"/>
      <c r="S1947" s="83"/>
      <c r="T1947" s="83"/>
      <c r="U1947" s="83"/>
      <c r="V1947" s="83"/>
      <c r="W1947" s="83"/>
      <c r="X1947" s="83"/>
      <c r="Y1947" s="83"/>
      <c r="Z1947" s="83"/>
    </row>
    <row r="1948">
      <c r="A1948" s="75" t="s">
        <v>43</v>
      </c>
      <c r="B1948" s="75" t="s">
        <v>1008</v>
      </c>
      <c r="C1948" s="75">
        <v>69.27</v>
      </c>
      <c r="D1948" s="75">
        <v>5.0</v>
      </c>
      <c r="E1948" s="75">
        <v>13.85</v>
      </c>
      <c r="F1948" s="75" t="s">
        <v>925</v>
      </c>
      <c r="G1948" s="82">
        <v>46111.0</v>
      </c>
      <c r="H1948" s="76" t="s">
        <v>965</v>
      </c>
      <c r="I1948" s="83"/>
      <c r="J1948" s="83"/>
      <c r="K1948" s="83"/>
      <c r="L1948" s="83"/>
      <c r="M1948" s="83"/>
      <c r="N1948" s="83"/>
      <c r="O1948" s="83"/>
      <c r="P1948" s="83"/>
      <c r="Q1948" s="83"/>
      <c r="R1948" s="83"/>
      <c r="S1948" s="83"/>
      <c r="T1948" s="83"/>
      <c r="U1948" s="83"/>
      <c r="V1948" s="83"/>
      <c r="W1948" s="83"/>
      <c r="X1948" s="83"/>
      <c r="Y1948" s="83"/>
      <c r="Z1948" s="83"/>
    </row>
    <row r="1949">
      <c r="A1949" s="75" t="s">
        <v>966</v>
      </c>
      <c r="B1949" s="75" t="s">
        <v>1008</v>
      </c>
      <c r="C1949" s="75">
        <v>25.41</v>
      </c>
      <c r="D1949" s="75">
        <v>2.0</v>
      </c>
      <c r="E1949" s="75">
        <v>12.71</v>
      </c>
      <c r="F1949" s="75" t="s">
        <v>925</v>
      </c>
      <c r="G1949" s="82">
        <v>46111.0</v>
      </c>
      <c r="H1949" s="76" t="s">
        <v>967</v>
      </c>
      <c r="I1949" s="83"/>
      <c r="J1949" s="83"/>
      <c r="K1949" s="83"/>
      <c r="L1949" s="83"/>
      <c r="M1949" s="83"/>
      <c r="N1949" s="83"/>
      <c r="O1949" s="83"/>
      <c r="P1949" s="83"/>
      <c r="Q1949" s="83"/>
      <c r="R1949" s="83"/>
      <c r="S1949" s="83"/>
      <c r="T1949" s="83"/>
      <c r="U1949" s="83"/>
      <c r="V1949" s="83"/>
      <c r="W1949" s="83"/>
      <c r="X1949" s="83"/>
      <c r="Y1949" s="83"/>
      <c r="Z1949" s="83"/>
    </row>
    <row r="1950">
      <c r="A1950" s="75" t="s">
        <v>966</v>
      </c>
      <c r="B1950" s="75" t="s">
        <v>1008</v>
      </c>
      <c r="C1950" s="75">
        <v>11.45</v>
      </c>
      <c r="D1950" s="75">
        <v>2.0</v>
      </c>
      <c r="E1950" s="75">
        <v>5.73</v>
      </c>
      <c r="F1950" s="75" t="s">
        <v>925</v>
      </c>
      <c r="G1950" s="82">
        <v>46111.0</v>
      </c>
      <c r="H1950" s="76" t="s">
        <v>968</v>
      </c>
      <c r="I1950" s="83"/>
      <c r="J1950" s="83"/>
      <c r="K1950" s="83"/>
      <c r="L1950" s="83"/>
      <c r="M1950" s="83"/>
      <c r="N1950" s="83"/>
      <c r="O1950" s="83"/>
      <c r="P1950" s="83"/>
      <c r="Q1950" s="83"/>
      <c r="R1950" s="83"/>
      <c r="S1950" s="83"/>
      <c r="T1950" s="83"/>
      <c r="U1950" s="83"/>
      <c r="V1950" s="83"/>
      <c r="W1950" s="83"/>
      <c r="X1950" s="83"/>
      <c r="Y1950" s="83"/>
      <c r="Z1950" s="83"/>
    </row>
    <row r="1951">
      <c r="A1951" s="75" t="s">
        <v>966</v>
      </c>
      <c r="B1951" s="75" t="s">
        <v>1008</v>
      </c>
      <c r="C1951" s="75">
        <v>10.91</v>
      </c>
      <c r="D1951" s="75">
        <v>1.0</v>
      </c>
      <c r="E1951" s="75">
        <v>10.91</v>
      </c>
      <c r="F1951" s="75" t="s">
        <v>925</v>
      </c>
      <c r="G1951" s="82">
        <v>46111.0</v>
      </c>
      <c r="H1951" s="76" t="s">
        <v>969</v>
      </c>
      <c r="I1951" s="83"/>
      <c r="J1951" s="83"/>
      <c r="K1951" s="83"/>
      <c r="L1951" s="83"/>
      <c r="M1951" s="83"/>
      <c r="N1951" s="83"/>
      <c r="O1951" s="83"/>
      <c r="P1951" s="83"/>
      <c r="Q1951" s="83"/>
      <c r="R1951" s="83"/>
      <c r="S1951" s="83"/>
      <c r="T1951" s="83"/>
      <c r="U1951" s="83"/>
      <c r="V1951" s="83"/>
      <c r="W1951" s="83"/>
      <c r="X1951" s="83"/>
      <c r="Y1951" s="83"/>
      <c r="Z1951" s="83"/>
    </row>
    <row r="1952">
      <c r="A1952" s="75" t="s">
        <v>36</v>
      </c>
      <c r="B1952" s="75" t="s">
        <v>1008</v>
      </c>
      <c r="C1952" s="75">
        <v>51.58</v>
      </c>
      <c r="D1952" s="75">
        <v>4.0</v>
      </c>
      <c r="E1952" s="75">
        <v>12.89</v>
      </c>
      <c r="F1952" s="75" t="s">
        <v>925</v>
      </c>
      <c r="G1952" s="82">
        <v>46111.0</v>
      </c>
      <c r="H1952" s="76" t="s">
        <v>926</v>
      </c>
      <c r="I1952" s="83"/>
      <c r="J1952" s="83"/>
      <c r="K1952" s="83"/>
      <c r="L1952" s="83"/>
      <c r="M1952" s="83"/>
      <c r="N1952" s="83"/>
      <c r="O1952" s="83"/>
      <c r="P1952" s="83"/>
      <c r="Q1952" s="83"/>
      <c r="R1952" s="83"/>
      <c r="S1952" s="83"/>
      <c r="T1952" s="83"/>
      <c r="U1952" s="83"/>
      <c r="V1952" s="83"/>
      <c r="W1952" s="83"/>
      <c r="X1952" s="83"/>
      <c r="Y1952" s="83"/>
      <c r="Z1952" s="83"/>
    </row>
    <row r="1953">
      <c r="A1953" s="75" t="s">
        <v>36</v>
      </c>
      <c r="B1953" s="75" t="s">
        <v>1008</v>
      </c>
      <c r="C1953" s="75">
        <v>4.6</v>
      </c>
      <c r="D1953" s="75">
        <v>1.0</v>
      </c>
      <c r="E1953" s="75">
        <v>4.6</v>
      </c>
      <c r="F1953" s="75" t="s">
        <v>925</v>
      </c>
      <c r="G1953" s="82">
        <v>46111.0</v>
      </c>
      <c r="H1953" s="76" t="s">
        <v>927</v>
      </c>
      <c r="I1953" s="83"/>
      <c r="J1953" s="83"/>
      <c r="K1953" s="83"/>
      <c r="L1953" s="83"/>
      <c r="M1953" s="83"/>
      <c r="N1953" s="83"/>
      <c r="O1953" s="83"/>
      <c r="P1953" s="83"/>
      <c r="Q1953" s="83"/>
      <c r="R1953" s="83"/>
      <c r="S1953" s="83"/>
      <c r="T1953" s="83"/>
      <c r="U1953" s="83"/>
      <c r="V1953" s="83"/>
      <c r="W1953" s="83"/>
      <c r="X1953" s="83"/>
      <c r="Y1953" s="83"/>
      <c r="Z1953" s="83"/>
    </row>
    <row r="1954">
      <c r="A1954" s="75" t="s">
        <v>36</v>
      </c>
      <c r="B1954" s="75" t="s">
        <v>1008</v>
      </c>
      <c r="C1954" s="75">
        <v>13.13</v>
      </c>
      <c r="D1954" s="75">
        <v>0.0</v>
      </c>
      <c r="E1954" s="75">
        <v>0.0</v>
      </c>
      <c r="F1954" s="75" t="s">
        <v>925</v>
      </c>
      <c r="G1954" s="82">
        <v>46111.0</v>
      </c>
      <c r="H1954" s="76" t="s">
        <v>928</v>
      </c>
      <c r="I1954" s="83"/>
      <c r="J1954" s="83"/>
      <c r="K1954" s="83"/>
      <c r="L1954" s="83"/>
      <c r="M1954" s="83"/>
      <c r="N1954" s="83"/>
      <c r="O1954" s="83"/>
      <c r="P1954" s="83"/>
      <c r="Q1954" s="83"/>
      <c r="R1954" s="83"/>
      <c r="S1954" s="83"/>
      <c r="T1954" s="83"/>
      <c r="U1954" s="83"/>
      <c r="V1954" s="83"/>
      <c r="W1954" s="83"/>
      <c r="X1954" s="83"/>
      <c r="Y1954" s="83"/>
      <c r="Z1954" s="83"/>
    </row>
    <row r="1955">
      <c r="A1955" s="75" t="s">
        <v>970</v>
      </c>
      <c r="B1955" s="75" t="s">
        <v>1008</v>
      </c>
      <c r="C1955" s="75">
        <v>15.99</v>
      </c>
      <c r="D1955" s="75">
        <v>9.0</v>
      </c>
      <c r="E1955" s="75">
        <v>1.78</v>
      </c>
      <c r="F1955" s="75" t="s">
        <v>925</v>
      </c>
      <c r="G1955" s="82">
        <v>46111.0</v>
      </c>
      <c r="H1955" s="76" t="s">
        <v>971</v>
      </c>
      <c r="I1955" s="83"/>
      <c r="J1955" s="83"/>
      <c r="K1955" s="83"/>
      <c r="L1955" s="83"/>
      <c r="M1955" s="83"/>
      <c r="N1955" s="83"/>
      <c r="O1955" s="83"/>
      <c r="P1955" s="83"/>
      <c r="Q1955" s="83"/>
      <c r="R1955" s="83"/>
      <c r="S1955" s="83"/>
      <c r="T1955" s="83"/>
      <c r="U1955" s="83"/>
      <c r="V1955" s="83"/>
      <c r="W1955" s="83"/>
      <c r="X1955" s="83"/>
      <c r="Y1955" s="83"/>
      <c r="Z1955" s="83"/>
    </row>
    <row r="1956">
      <c r="A1956" s="75" t="s">
        <v>970</v>
      </c>
      <c r="B1956" s="75" t="s">
        <v>1008</v>
      </c>
      <c r="C1956" s="75">
        <v>10.81</v>
      </c>
      <c r="D1956" s="75">
        <v>3.0</v>
      </c>
      <c r="E1956" s="75">
        <v>3.6</v>
      </c>
      <c r="F1956" s="75" t="s">
        <v>925</v>
      </c>
      <c r="G1956" s="82">
        <v>46111.0</v>
      </c>
      <c r="H1956" s="76" t="s">
        <v>972</v>
      </c>
      <c r="I1956" s="83"/>
      <c r="J1956" s="83"/>
      <c r="K1956" s="83"/>
      <c r="L1956" s="83"/>
      <c r="M1956" s="83"/>
      <c r="N1956" s="83"/>
      <c r="O1956" s="83"/>
      <c r="P1956" s="83"/>
      <c r="Q1956" s="83"/>
      <c r="R1956" s="83"/>
      <c r="S1956" s="83"/>
      <c r="T1956" s="83"/>
      <c r="U1956" s="83"/>
      <c r="V1956" s="83"/>
      <c r="W1956" s="83"/>
      <c r="X1956" s="83"/>
      <c r="Y1956" s="83"/>
      <c r="Z1956" s="83"/>
    </row>
    <row r="1957">
      <c r="A1957" s="75" t="s">
        <v>970</v>
      </c>
      <c r="B1957" s="75" t="s">
        <v>1008</v>
      </c>
      <c r="C1957" s="75">
        <v>16.28</v>
      </c>
      <c r="D1957" s="75">
        <v>7.0</v>
      </c>
      <c r="E1957" s="75">
        <v>2.33</v>
      </c>
      <c r="F1957" s="75" t="s">
        <v>925</v>
      </c>
      <c r="G1957" s="82">
        <v>46111.0</v>
      </c>
      <c r="H1957" s="76" t="s">
        <v>973</v>
      </c>
      <c r="I1957" s="83"/>
      <c r="J1957" s="83"/>
      <c r="K1957" s="83"/>
      <c r="L1957" s="83"/>
      <c r="M1957" s="83"/>
      <c r="N1957" s="83"/>
      <c r="O1957" s="83"/>
      <c r="P1957" s="83"/>
      <c r="Q1957" s="83"/>
      <c r="R1957" s="83"/>
      <c r="S1957" s="83"/>
      <c r="T1957" s="83"/>
      <c r="U1957" s="83"/>
      <c r="V1957" s="83"/>
      <c r="W1957" s="83"/>
      <c r="X1957" s="83"/>
      <c r="Y1957" s="83"/>
      <c r="Z1957" s="83"/>
    </row>
    <row r="1958">
      <c r="A1958" s="75" t="s">
        <v>29</v>
      </c>
      <c r="B1958" s="75" t="s">
        <v>1008</v>
      </c>
      <c r="C1958" s="75">
        <v>2.69</v>
      </c>
      <c r="D1958" s="75">
        <v>1.0</v>
      </c>
      <c r="E1958" s="75">
        <v>2.69</v>
      </c>
      <c r="F1958" s="75" t="s">
        <v>925</v>
      </c>
      <c r="G1958" s="82">
        <v>46111.0</v>
      </c>
      <c r="H1958" s="76" t="s">
        <v>971</v>
      </c>
      <c r="I1958" s="83"/>
      <c r="J1958" s="83"/>
      <c r="K1958" s="83"/>
      <c r="L1958" s="83"/>
      <c r="M1958" s="83"/>
      <c r="N1958" s="83"/>
      <c r="O1958" s="83"/>
      <c r="P1958" s="83"/>
      <c r="Q1958" s="83"/>
      <c r="R1958" s="83"/>
      <c r="S1958" s="83"/>
      <c r="T1958" s="83"/>
      <c r="U1958" s="83"/>
      <c r="V1958" s="83"/>
      <c r="W1958" s="83"/>
      <c r="X1958" s="83"/>
      <c r="Y1958" s="83"/>
      <c r="Z1958" s="83"/>
    </row>
    <row r="1959">
      <c r="A1959" s="75" t="s">
        <v>29</v>
      </c>
      <c r="B1959" s="75" t="s">
        <v>1008</v>
      </c>
      <c r="C1959" s="75">
        <v>0.2</v>
      </c>
      <c r="D1959" s="75">
        <v>0.0</v>
      </c>
      <c r="E1959" s="75">
        <v>0.0</v>
      </c>
      <c r="F1959" s="75" t="s">
        <v>925</v>
      </c>
      <c r="G1959" s="82">
        <v>46111.0</v>
      </c>
      <c r="H1959" s="76" t="s">
        <v>972</v>
      </c>
      <c r="I1959" s="83"/>
      <c r="J1959" s="83"/>
      <c r="K1959" s="83"/>
      <c r="L1959" s="83"/>
      <c r="M1959" s="83"/>
      <c r="N1959" s="83"/>
      <c r="O1959" s="83"/>
      <c r="P1959" s="83"/>
      <c r="Q1959" s="83"/>
      <c r="R1959" s="83"/>
      <c r="S1959" s="83"/>
      <c r="T1959" s="83"/>
      <c r="U1959" s="83"/>
      <c r="V1959" s="83"/>
      <c r="W1959" s="83"/>
      <c r="X1959" s="83"/>
      <c r="Y1959" s="83"/>
      <c r="Z1959" s="83"/>
    </row>
    <row r="1960">
      <c r="A1960" s="75" t="s">
        <v>29</v>
      </c>
      <c r="B1960" s="75" t="s">
        <v>1008</v>
      </c>
      <c r="C1960" s="75">
        <v>0.66</v>
      </c>
      <c r="D1960" s="75">
        <v>0.0</v>
      </c>
      <c r="E1960" s="75">
        <v>0.0</v>
      </c>
      <c r="F1960" s="75" t="s">
        <v>925</v>
      </c>
      <c r="G1960" s="82">
        <v>46111.0</v>
      </c>
      <c r="H1960" s="76" t="s">
        <v>973</v>
      </c>
      <c r="I1960" s="83"/>
      <c r="J1960" s="83"/>
      <c r="K1960" s="83"/>
      <c r="L1960" s="83"/>
      <c r="M1960" s="83"/>
      <c r="N1960" s="83"/>
      <c r="O1960" s="83"/>
      <c r="P1960" s="83"/>
      <c r="Q1960" s="83"/>
      <c r="R1960" s="83"/>
      <c r="S1960" s="83"/>
      <c r="T1960" s="83"/>
      <c r="U1960" s="83"/>
      <c r="V1960" s="83"/>
      <c r="W1960" s="83"/>
      <c r="X1960" s="83"/>
      <c r="Y1960" s="83"/>
      <c r="Z1960" s="83"/>
    </row>
    <row r="1961">
      <c r="A1961" s="75" t="s">
        <v>34</v>
      </c>
      <c r="B1961" s="75" t="s">
        <v>1008</v>
      </c>
      <c r="C1961" s="75">
        <v>18.98</v>
      </c>
      <c r="D1961" s="75">
        <v>1.0</v>
      </c>
      <c r="E1961" s="75">
        <v>18.98</v>
      </c>
      <c r="F1961" s="75" t="s">
        <v>948</v>
      </c>
      <c r="G1961" s="82">
        <v>46111.0</v>
      </c>
      <c r="H1961" s="76" t="s">
        <v>951</v>
      </c>
      <c r="I1961" s="83"/>
      <c r="J1961" s="83"/>
      <c r="K1961" s="83"/>
      <c r="L1961" s="83"/>
      <c r="M1961" s="83"/>
      <c r="N1961" s="83"/>
      <c r="O1961" s="83"/>
      <c r="P1961" s="83"/>
      <c r="Q1961" s="83"/>
      <c r="R1961" s="83"/>
      <c r="S1961" s="83"/>
      <c r="T1961" s="83"/>
      <c r="U1961" s="83"/>
      <c r="V1961" s="83"/>
      <c r="W1961" s="83"/>
      <c r="X1961" s="83"/>
      <c r="Y1961" s="83"/>
      <c r="Z1961" s="83"/>
    </row>
    <row r="1962">
      <c r="A1962" s="75" t="s">
        <v>34</v>
      </c>
      <c r="B1962" s="75" t="s">
        <v>1008</v>
      </c>
      <c r="C1962" s="75">
        <v>15.58</v>
      </c>
      <c r="D1962" s="75">
        <v>0.0</v>
      </c>
      <c r="E1962" s="75">
        <v>0.0</v>
      </c>
      <c r="F1962" s="75" t="s">
        <v>948</v>
      </c>
      <c r="G1962" s="82">
        <v>46111.0</v>
      </c>
      <c r="H1962" s="76" t="s">
        <v>952</v>
      </c>
      <c r="I1962" s="83"/>
      <c r="J1962" s="83"/>
      <c r="K1962" s="83"/>
      <c r="L1962" s="83"/>
      <c r="M1962" s="83"/>
      <c r="N1962" s="83"/>
      <c r="O1962" s="83"/>
      <c r="P1962" s="83"/>
      <c r="Q1962" s="83"/>
      <c r="R1962" s="83"/>
      <c r="S1962" s="83"/>
      <c r="T1962" s="83"/>
      <c r="U1962" s="83"/>
      <c r="V1962" s="83"/>
      <c r="W1962" s="83"/>
      <c r="X1962" s="83"/>
      <c r="Y1962" s="83"/>
      <c r="Z1962" s="83"/>
    </row>
    <row r="1963">
      <c r="A1963" s="75" t="s">
        <v>34</v>
      </c>
      <c r="B1963" s="75" t="s">
        <v>1008</v>
      </c>
      <c r="C1963" s="75">
        <v>57.8</v>
      </c>
      <c r="D1963" s="75">
        <v>3.0</v>
      </c>
      <c r="E1963" s="75">
        <v>19.27</v>
      </c>
      <c r="F1963" s="75" t="s">
        <v>948</v>
      </c>
      <c r="G1963" s="82">
        <v>46111.0</v>
      </c>
      <c r="H1963" s="76" t="s">
        <v>953</v>
      </c>
      <c r="I1963" s="83"/>
      <c r="J1963" s="83"/>
      <c r="K1963" s="83"/>
      <c r="L1963" s="83"/>
      <c r="M1963" s="83"/>
      <c r="N1963" s="83"/>
      <c r="O1963" s="83"/>
      <c r="P1963" s="83"/>
      <c r="Q1963" s="83"/>
      <c r="R1963" s="83"/>
      <c r="S1963" s="83"/>
      <c r="T1963" s="83"/>
      <c r="U1963" s="83"/>
      <c r="V1963" s="83"/>
      <c r="W1963" s="83"/>
      <c r="X1963" s="83"/>
      <c r="Y1963" s="83"/>
      <c r="Z1963" s="83"/>
    </row>
    <row r="1964">
      <c r="A1964" s="75" t="s">
        <v>40</v>
      </c>
      <c r="B1964" s="75" t="s">
        <v>1008</v>
      </c>
      <c r="C1964" s="75">
        <v>3.82</v>
      </c>
      <c r="D1964" s="75">
        <v>1.0</v>
      </c>
      <c r="E1964" s="75">
        <v>3.82</v>
      </c>
      <c r="F1964" s="75" t="s">
        <v>948</v>
      </c>
      <c r="G1964" s="82">
        <v>46111.0</v>
      </c>
      <c r="H1964" s="76" t="s">
        <v>954</v>
      </c>
      <c r="I1964" s="83"/>
      <c r="J1964" s="83"/>
      <c r="K1964" s="83"/>
      <c r="L1964" s="83"/>
      <c r="M1964" s="83"/>
      <c r="N1964" s="83"/>
      <c r="O1964" s="83"/>
      <c r="P1964" s="83"/>
      <c r="Q1964" s="83"/>
      <c r="R1964" s="83"/>
      <c r="S1964" s="83"/>
      <c r="T1964" s="83"/>
      <c r="U1964" s="83"/>
      <c r="V1964" s="83"/>
      <c r="W1964" s="83"/>
      <c r="X1964" s="83"/>
      <c r="Y1964" s="83"/>
      <c r="Z1964" s="83"/>
    </row>
    <row r="1965">
      <c r="A1965" s="75" t="s">
        <v>40</v>
      </c>
      <c r="B1965" s="75" t="s">
        <v>1008</v>
      </c>
      <c r="C1965" s="75">
        <v>3.78</v>
      </c>
      <c r="D1965" s="75">
        <v>0.0</v>
      </c>
      <c r="E1965" s="75">
        <v>0.0</v>
      </c>
      <c r="F1965" s="75" t="s">
        <v>948</v>
      </c>
      <c r="G1965" s="82">
        <v>46111.0</v>
      </c>
      <c r="H1965" s="76" t="s">
        <v>955</v>
      </c>
      <c r="I1965" s="83"/>
      <c r="J1965" s="83"/>
      <c r="K1965" s="83"/>
      <c r="L1965" s="83"/>
      <c r="M1965" s="83"/>
      <c r="N1965" s="83"/>
      <c r="O1965" s="83"/>
      <c r="P1965" s="83"/>
      <c r="Q1965" s="83"/>
      <c r="R1965" s="83"/>
      <c r="S1965" s="83"/>
      <c r="T1965" s="83"/>
      <c r="U1965" s="83"/>
      <c r="V1965" s="83"/>
      <c r="W1965" s="83"/>
      <c r="X1965" s="83"/>
      <c r="Y1965" s="83"/>
      <c r="Z1965" s="83"/>
    </row>
    <row r="1966">
      <c r="A1966" s="75" t="s">
        <v>40</v>
      </c>
      <c r="B1966" s="75" t="s">
        <v>1008</v>
      </c>
      <c r="C1966" s="75">
        <v>129.45</v>
      </c>
      <c r="D1966" s="75">
        <v>4.0</v>
      </c>
      <c r="E1966" s="75">
        <v>32.36</v>
      </c>
      <c r="F1966" s="75" t="s">
        <v>948</v>
      </c>
      <c r="G1966" s="82">
        <v>46111.0</v>
      </c>
      <c r="H1966" s="76" t="s">
        <v>956</v>
      </c>
      <c r="I1966" s="83"/>
      <c r="J1966" s="83"/>
      <c r="K1966" s="83"/>
      <c r="L1966" s="83"/>
      <c r="M1966" s="83"/>
      <c r="N1966" s="83"/>
      <c r="O1966" s="83"/>
      <c r="P1966" s="83"/>
      <c r="Q1966" s="83"/>
      <c r="R1966" s="83"/>
      <c r="S1966" s="83"/>
      <c r="T1966" s="83"/>
      <c r="U1966" s="83"/>
      <c r="V1966" s="83"/>
      <c r="W1966" s="83"/>
      <c r="X1966" s="83"/>
      <c r="Y1966" s="83"/>
      <c r="Z1966" s="83"/>
    </row>
    <row r="1967">
      <c r="A1967" s="75" t="s">
        <v>33</v>
      </c>
      <c r="B1967" s="75" t="s">
        <v>1008</v>
      </c>
      <c r="C1967" s="75">
        <v>16.4</v>
      </c>
      <c r="D1967" s="75">
        <v>13.0</v>
      </c>
      <c r="E1967" s="75">
        <v>1.26</v>
      </c>
      <c r="F1967" s="75" t="s">
        <v>948</v>
      </c>
      <c r="G1967" s="82">
        <v>46111.0</v>
      </c>
      <c r="H1967" s="76" t="s">
        <v>957</v>
      </c>
      <c r="I1967" s="83"/>
      <c r="J1967" s="83"/>
      <c r="K1967" s="83"/>
      <c r="L1967" s="83"/>
      <c r="M1967" s="83"/>
      <c r="N1967" s="83"/>
      <c r="O1967" s="83"/>
      <c r="P1967" s="83"/>
      <c r="Q1967" s="83"/>
      <c r="R1967" s="83"/>
      <c r="S1967" s="83"/>
      <c r="T1967" s="83"/>
      <c r="U1967" s="83"/>
      <c r="V1967" s="83"/>
      <c r="W1967" s="83"/>
      <c r="X1967" s="83"/>
      <c r="Y1967" s="83"/>
      <c r="Z1967" s="83"/>
    </row>
    <row r="1968">
      <c r="A1968" s="75" t="s">
        <v>33</v>
      </c>
      <c r="B1968" s="75" t="s">
        <v>1008</v>
      </c>
      <c r="C1968" s="75">
        <v>3.12</v>
      </c>
      <c r="D1968" s="75">
        <v>1.0</v>
      </c>
      <c r="E1968" s="75">
        <v>3.12</v>
      </c>
      <c r="F1968" s="75" t="s">
        <v>948</v>
      </c>
      <c r="G1968" s="82">
        <v>46111.0</v>
      </c>
      <c r="H1968" s="76" t="s">
        <v>958</v>
      </c>
      <c r="I1968" s="83"/>
      <c r="J1968" s="83"/>
      <c r="K1968" s="83"/>
      <c r="L1968" s="83"/>
      <c r="M1968" s="83"/>
      <c r="N1968" s="83"/>
      <c r="O1968" s="83"/>
      <c r="P1968" s="83"/>
      <c r="Q1968" s="83"/>
      <c r="R1968" s="83"/>
      <c r="S1968" s="83"/>
      <c r="T1968" s="83"/>
      <c r="U1968" s="83"/>
      <c r="V1968" s="83"/>
      <c r="W1968" s="83"/>
      <c r="X1968" s="83"/>
      <c r="Y1968" s="83"/>
      <c r="Z1968" s="83"/>
    </row>
    <row r="1969">
      <c r="A1969" s="75" t="s">
        <v>33</v>
      </c>
      <c r="B1969" s="75" t="s">
        <v>1008</v>
      </c>
      <c r="C1969" s="75">
        <v>16.19</v>
      </c>
      <c r="D1969" s="75">
        <v>1.0</v>
      </c>
      <c r="E1969" s="75">
        <v>16.19</v>
      </c>
      <c r="F1969" s="75" t="s">
        <v>948</v>
      </c>
      <c r="G1969" s="82">
        <v>46111.0</v>
      </c>
      <c r="H1969" s="76" t="s">
        <v>959</v>
      </c>
      <c r="I1969" s="83"/>
      <c r="J1969" s="83"/>
      <c r="K1969" s="83"/>
      <c r="L1969" s="83"/>
      <c r="M1969" s="83"/>
      <c r="N1969" s="83"/>
      <c r="O1969" s="83"/>
      <c r="P1969" s="83"/>
      <c r="Q1969" s="83"/>
      <c r="R1969" s="83"/>
      <c r="S1969" s="83"/>
      <c r="T1969" s="83"/>
      <c r="U1969" s="83"/>
      <c r="V1969" s="83"/>
      <c r="W1969" s="83"/>
      <c r="X1969" s="83"/>
      <c r="Y1969" s="83"/>
      <c r="Z1969" s="83"/>
    </row>
    <row r="1970">
      <c r="A1970" s="75" t="s">
        <v>46</v>
      </c>
      <c r="B1970" s="75" t="s">
        <v>1008</v>
      </c>
      <c r="C1970" s="75">
        <v>9.14</v>
      </c>
      <c r="D1970" s="75">
        <v>0.0</v>
      </c>
      <c r="E1970" s="75">
        <v>0.0</v>
      </c>
      <c r="F1970" s="75" t="s">
        <v>948</v>
      </c>
      <c r="G1970" s="82">
        <v>46111.0</v>
      </c>
      <c r="H1970" s="76" t="s">
        <v>960</v>
      </c>
      <c r="I1970" s="83"/>
      <c r="J1970" s="83"/>
      <c r="K1970" s="83"/>
      <c r="L1970" s="83"/>
      <c r="M1970" s="83"/>
      <c r="N1970" s="83"/>
      <c r="O1970" s="83"/>
      <c r="P1970" s="83"/>
      <c r="Q1970" s="83"/>
      <c r="R1970" s="83"/>
      <c r="S1970" s="83"/>
      <c r="T1970" s="83"/>
      <c r="U1970" s="83"/>
      <c r="V1970" s="83"/>
      <c r="W1970" s="83"/>
      <c r="X1970" s="83"/>
      <c r="Y1970" s="83"/>
      <c r="Z1970" s="83"/>
    </row>
    <row r="1971">
      <c r="A1971" s="75" t="s">
        <v>46</v>
      </c>
      <c r="B1971" s="75" t="s">
        <v>1008</v>
      </c>
      <c r="C1971" s="75">
        <v>11.45</v>
      </c>
      <c r="D1971" s="75">
        <v>0.0</v>
      </c>
      <c r="E1971" s="75">
        <v>0.0</v>
      </c>
      <c r="F1971" s="75" t="s">
        <v>948</v>
      </c>
      <c r="G1971" s="82">
        <v>46111.0</v>
      </c>
      <c r="H1971" s="76" t="s">
        <v>961</v>
      </c>
      <c r="I1971" s="83"/>
      <c r="J1971" s="83"/>
      <c r="K1971" s="83"/>
      <c r="L1971" s="83"/>
      <c r="M1971" s="83"/>
      <c r="N1971" s="83"/>
      <c r="O1971" s="83"/>
      <c r="P1971" s="83"/>
      <c r="Q1971" s="83"/>
      <c r="R1971" s="83"/>
      <c r="S1971" s="83"/>
      <c r="T1971" s="83"/>
      <c r="U1971" s="83"/>
      <c r="V1971" s="83"/>
      <c r="W1971" s="83"/>
      <c r="X1971" s="83"/>
      <c r="Y1971" s="83"/>
      <c r="Z1971" s="83"/>
    </row>
    <row r="1972">
      <c r="A1972" s="75" t="s">
        <v>46</v>
      </c>
      <c r="B1972" s="75" t="s">
        <v>1008</v>
      </c>
      <c r="C1972" s="75">
        <v>43.17</v>
      </c>
      <c r="D1972" s="75">
        <v>1.0</v>
      </c>
      <c r="E1972" s="75">
        <v>43.17</v>
      </c>
      <c r="F1972" s="75" t="s">
        <v>948</v>
      </c>
      <c r="G1972" s="82">
        <v>46111.0</v>
      </c>
      <c r="H1972" s="76" t="s">
        <v>962</v>
      </c>
      <c r="I1972" s="83"/>
      <c r="J1972" s="83"/>
      <c r="K1972" s="83"/>
      <c r="L1972" s="83"/>
      <c r="M1972" s="83"/>
      <c r="N1972" s="83"/>
      <c r="O1972" s="83"/>
      <c r="P1972" s="83"/>
      <c r="Q1972" s="83"/>
      <c r="R1972" s="83"/>
      <c r="S1972" s="83"/>
      <c r="T1972" s="83"/>
      <c r="U1972" s="83"/>
      <c r="V1972" s="83"/>
      <c r="W1972" s="83"/>
      <c r="X1972" s="83"/>
      <c r="Y1972" s="83"/>
      <c r="Z1972" s="83"/>
    </row>
    <row r="1973">
      <c r="A1973" s="75" t="s">
        <v>43</v>
      </c>
      <c r="B1973" s="75" t="s">
        <v>1008</v>
      </c>
      <c r="C1973" s="75">
        <v>99.68</v>
      </c>
      <c r="D1973" s="75">
        <v>0.0</v>
      </c>
      <c r="E1973" s="75">
        <v>0.0</v>
      </c>
      <c r="F1973" s="75" t="s">
        <v>948</v>
      </c>
      <c r="G1973" s="82">
        <v>46111.0</v>
      </c>
      <c r="H1973" s="76" t="s">
        <v>963</v>
      </c>
      <c r="I1973" s="83"/>
      <c r="J1973" s="83"/>
      <c r="K1973" s="83"/>
      <c r="L1973" s="83"/>
      <c r="M1973" s="83"/>
      <c r="N1973" s="83"/>
      <c r="O1973" s="83"/>
      <c r="P1973" s="83"/>
      <c r="Q1973" s="83"/>
      <c r="R1973" s="83"/>
      <c r="S1973" s="83"/>
      <c r="T1973" s="83"/>
      <c r="U1973" s="83"/>
      <c r="V1973" s="83"/>
      <c r="W1973" s="83"/>
      <c r="X1973" s="83"/>
      <c r="Y1973" s="83"/>
      <c r="Z1973" s="83"/>
    </row>
    <row r="1974">
      <c r="A1974" s="75" t="s">
        <v>43</v>
      </c>
      <c r="B1974" s="75" t="s">
        <v>1008</v>
      </c>
      <c r="C1974" s="75">
        <v>5.76</v>
      </c>
      <c r="D1974" s="75">
        <v>1.0</v>
      </c>
      <c r="E1974" s="75">
        <v>5.76</v>
      </c>
      <c r="F1974" s="75" t="s">
        <v>948</v>
      </c>
      <c r="G1974" s="82">
        <v>46111.0</v>
      </c>
      <c r="H1974" s="76" t="s">
        <v>964</v>
      </c>
      <c r="I1974" s="83"/>
      <c r="J1974" s="83"/>
      <c r="K1974" s="83"/>
      <c r="L1974" s="83"/>
      <c r="M1974" s="83"/>
      <c r="N1974" s="83"/>
      <c r="O1974" s="83"/>
      <c r="P1974" s="83"/>
      <c r="Q1974" s="83"/>
      <c r="R1974" s="83"/>
      <c r="S1974" s="83"/>
      <c r="T1974" s="83"/>
      <c r="U1974" s="83"/>
      <c r="V1974" s="83"/>
      <c r="W1974" s="83"/>
      <c r="X1974" s="83"/>
      <c r="Y1974" s="83"/>
      <c r="Z1974" s="83"/>
    </row>
    <row r="1975">
      <c r="A1975" s="75" t="s">
        <v>43</v>
      </c>
      <c r="B1975" s="75" t="s">
        <v>1008</v>
      </c>
      <c r="C1975" s="75">
        <v>82.64</v>
      </c>
      <c r="D1975" s="75">
        <v>3.0</v>
      </c>
      <c r="E1975" s="75">
        <v>27.55</v>
      </c>
      <c r="F1975" s="75" t="s">
        <v>948</v>
      </c>
      <c r="G1975" s="82">
        <v>46111.0</v>
      </c>
      <c r="H1975" s="76" t="s">
        <v>965</v>
      </c>
      <c r="I1975" s="83"/>
      <c r="J1975" s="83"/>
      <c r="K1975" s="83"/>
      <c r="L1975" s="83"/>
      <c r="M1975" s="83"/>
      <c r="N1975" s="83"/>
      <c r="O1975" s="83"/>
      <c r="P1975" s="83"/>
      <c r="Q1975" s="83"/>
      <c r="R1975" s="83"/>
      <c r="S1975" s="83"/>
      <c r="T1975" s="83"/>
      <c r="U1975" s="83"/>
      <c r="V1975" s="83"/>
      <c r="W1975" s="83"/>
      <c r="X1975" s="83"/>
      <c r="Y1975" s="83"/>
      <c r="Z1975" s="83"/>
    </row>
    <row r="1976">
      <c r="A1976" s="75" t="s">
        <v>966</v>
      </c>
      <c r="B1976" s="75" t="s">
        <v>1008</v>
      </c>
      <c r="C1976" s="75">
        <v>89.97</v>
      </c>
      <c r="D1976" s="75">
        <v>15.0</v>
      </c>
      <c r="E1976" s="75">
        <v>6.0</v>
      </c>
      <c r="F1976" s="75" t="s">
        <v>948</v>
      </c>
      <c r="G1976" s="82">
        <v>46111.0</v>
      </c>
      <c r="H1976" s="76" t="s">
        <v>967</v>
      </c>
      <c r="I1976" s="83"/>
      <c r="J1976" s="83"/>
      <c r="K1976" s="83"/>
      <c r="L1976" s="83"/>
      <c r="M1976" s="83"/>
      <c r="N1976" s="83"/>
      <c r="O1976" s="83"/>
      <c r="P1976" s="83"/>
      <c r="Q1976" s="83"/>
      <c r="R1976" s="83"/>
      <c r="S1976" s="83"/>
      <c r="T1976" s="83"/>
      <c r="U1976" s="83"/>
      <c r="V1976" s="83"/>
      <c r="W1976" s="83"/>
      <c r="X1976" s="83"/>
      <c r="Y1976" s="83"/>
      <c r="Z1976" s="83"/>
    </row>
    <row r="1977">
      <c r="A1977" s="75" t="s">
        <v>966</v>
      </c>
      <c r="B1977" s="75" t="s">
        <v>1008</v>
      </c>
      <c r="C1977" s="75">
        <v>52.8</v>
      </c>
      <c r="D1977" s="75">
        <v>2.0</v>
      </c>
      <c r="E1977" s="75">
        <v>26.4</v>
      </c>
      <c r="F1977" s="75" t="s">
        <v>948</v>
      </c>
      <c r="G1977" s="82">
        <v>46111.0</v>
      </c>
      <c r="H1977" s="76" t="s">
        <v>968</v>
      </c>
      <c r="I1977" s="83"/>
      <c r="J1977" s="83"/>
      <c r="K1977" s="83"/>
      <c r="L1977" s="83"/>
      <c r="M1977" s="83"/>
      <c r="N1977" s="83"/>
      <c r="O1977" s="83"/>
      <c r="P1977" s="83"/>
      <c r="Q1977" s="83"/>
      <c r="R1977" s="83"/>
      <c r="S1977" s="83"/>
      <c r="T1977" s="83"/>
      <c r="U1977" s="83"/>
      <c r="V1977" s="83"/>
      <c r="W1977" s="83"/>
      <c r="X1977" s="83"/>
      <c r="Y1977" s="83"/>
      <c r="Z1977" s="83"/>
    </row>
    <row r="1978">
      <c r="A1978" s="75" t="s">
        <v>966</v>
      </c>
      <c r="B1978" s="75" t="s">
        <v>1008</v>
      </c>
      <c r="C1978" s="75">
        <v>17.81</v>
      </c>
      <c r="D1978" s="75">
        <v>0.0</v>
      </c>
      <c r="E1978" s="75">
        <v>0.0</v>
      </c>
      <c r="F1978" s="75" t="s">
        <v>948</v>
      </c>
      <c r="G1978" s="82">
        <v>46111.0</v>
      </c>
      <c r="H1978" s="76" t="s">
        <v>969</v>
      </c>
      <c r="I1978" s="83"/>
      <c r="J1978" s="83"/>
      <c r="K1978" s="83"/>
      <c r="L1978" s="83"/>
      <c r="M1978" s="83"/>
      <c r="N1978" s="83"/>
      <c r="O1978" s="83"/>
      <c r="P1978" s="83"/>
      <c r="Q1978" s="83"/>
      <c r="R1978" s="83"/>
      <c r="S1978" s="83"/>
      <c r="T1978" s="83"/>
      <c r="U1978" s="83"/>
      <c r="V1978" s="83"/>
      <c r="W1978" s="83"/>
      <c r="X1978" s="83"/>
      <c r="Y1978" s="83"/>
      <c r="Z1978" s="83"/>
    </row>
    <row r="1979">
      <c r="A1979" s="75" t="s">
        <v>36</v>
      </c>
      <c r="B1979" s="75" t="s">
        <v>1008</v>
      </c>
      <c r="C1979" s="75">
        <v>40.61</v>
      </c>
      <c r="D1979" s="75">
        <v>2.0</v>
      </c>
      <c r="E1979" s="75">
        <v>20.31</v>
      </c>
      <c r="F1979" s="75" t="s">
        <v>948</v>
      </c>
      <c r="G1979" s="82">
        <v>46111.0</v>
      </c>
      <c r="H1979" s="76" t="s">
        <v>926</v>
      </c>
      <c r="I1979" s="83"/>
      <c r="J1979" s="83"/>
      <c r="K1979" s="83"/>
      <c r="L1979" s="83"/>
      <c r="M1979" s="83"/>
      <c r="N1979" s="83"/>
      <c r="O1979" s="83"/>
      <c r="P1979" s="83"/>
      <c r="Q1979" s="83"/>
      <c r="R1979" s="83"/>
      <c r="S1979" s="83"/>
      <c r="T1979" s="83"/>
      <c r="U1979" s="83"/>
      <c r="V1979" s="83"/>
      <c r="W1979" s="83"/>
      <c r="X1979" s="83"/>
      <c r="Y1979" s="83"/>
      <c r="Z1979" s="83"/>
    </row>
    <row r="1980">
      <c r="A1980" s="75" t="s">
        <v>36</v>
      </c>
      <c r="B1980" s="75" t="s">
        <v>1008</v>
      </c>
      <c r="C1980" s="75">
        <v>13.73</v>
      </c>
      <c r="D1980" s="75">
        <v>0.0</v>
      </c>
      <c r="E1980" s="75">
        <v>0.0</v>
      </c>
      <c r="F1980" s="75" t="s">
        <v>948</v>
      </c>
      <c r="G1980" s="82">
        <v>46111.0</v>
      </c>
      <c r="H1980" s="76" t="s">
        <v>927</v>
      </c>
      <c r="I1980" s="83"/>
      <c r="J1980" s="83"/>
      <c r="K1980" s="83"/>
      <c r="L1980" s="83"/>
      <c r="M1980" s="83"/>
      <c r="N1980" s="83"/>
      <c r="O1980" s="83"/>
      <c r="P1980" s="83"/>
      <c r="Q1980" s="83"/>
      <c r="R1980" s="83"/>
      <c r="S1980" s="83"/>
      <c r="T1980" s="83"/>
      <c r="U1980" s="83"/>
      <c r="V1980" s="83"/>
      <c r="W1980" s="83"/>
      <c r="X1980" s="83"/>
      <c r="Y1980" s="83"/>
      <c r="Z1980" s="83"/>
    </row>
    <row r="1981">
      <c r="A1981" s="75" t="s">
        <v>36</v>
      </c>
      <c r="B1981" s="75" t="s">
        <v>1008</v>
      </c>
      <c r="C1981" s="75">
        <v>10.72</v>
      </c>
      <c r="D1981" s="75">
        <v>0.0</v>
      </c>
      <c r="E1981" s="75">
        <v>0.0</v>
      </c>
      <c r="F1981" s="75" t="s">
        <v>948</v>
      </c>
      <c r="G1981" s="82">
        <v>46111.0</v>
      </c>
      <c r="H1981" s="76" t="s">
        <v>928</v>
      </c>
      <c r="I1981" s="83"/>
      <c r="J1981" s="83"/>
      <c r="K1981" s="83"/>
      <c r="L1981" s="83"/>
      <c r="M1981" s="83"/>
      <c r="N1981" s="83"/>
      <c r="O1981" s="83"/>
      <c r="P1981" s="83"/>
      <c r="Q1981" s="83"/>
      <c r="R1981" s="83"/>
      <c r="S1981" s="83"/>
      <c r="T1981" s="83"/>
      <c r="U1981" s="83"/>
      <c r="V1981" s="83"/>
      <c r="W1981" s="83"/>
      <c r="X1981" s="83"/>
      <c r="Y1981" s="83"/>
      <c r="Z1981" s="83"/>
    </row>
    <row r="1982">
      <c r="A1982" s="75" t="s">
        <v>970</v>
      </c>
      <c r="B1982" s="75" t="s">
        <v>1008</v>
      </c>
      <c r="C1982" s="75">
        <v>49.05</v>
      </c>
      <c r="D1982" s="75">
        <v>31.0</v>
      </c>
      <c r="E1982" s="75">
        <v>1.58</v>
      </c>
      <c r="F1982" s="75" t="s">
        <v>948</v>
      </c>
      <c r="G1982" s="82">
        <v>46111.0</v>
      </c>
      <c r="H1982" s="76" t="s">
        <v>971</v>
      </c>
      <c r="I1982" s="83"/>
      <c r="J1982" s="83"/>
      <c r="K1982" s="83"/>
      <c r="L1982" s="83"/>
      <c r="M1982" s="83"/>
      <c r="N1982" s="83"/>
      <c r="O1982" s="83"/>
      <c r="P1982" s="83"/>
      <c r="Q1982" s="83"/>
      <c r="R1982" s="83"/>
      <c r="S1982" s="83"/>
      <c r="T1982" s="83"/>
      <c r="U1982" s="83"/>
      <c r="V1982" s="83"/>
      <c r="W1982" s="83"/>
      <c r="X1982" s="83"/>
      <c r="Y1982" s="83"/>
      <c r="Z1982" s="83"/>
    </row>
    <row r="1983">
      <c r="A1983" s="75" t="s">
        <v>970</v>
      </c>
      <c r="B1983" s="75" t="s">
        <v>1008</v>
      </c>
      <c r="C1983" s="75">
        <v>9.79</v>
      </c>
      <c r="D1983" s="75">
        <v>2.0</v>
      </c>
      <c r="E1983" s="75">
        <v>4.89</v>
      </c>
      <c r="F1983" s="75" t="s">
        <v>948</v>
      </c>
      <c r="G1983" s="82">
        <v>46111.0</v>
      </c>
      <c r="H1983" s="76" t="s">
        <v>972</v>
      </c>
      <c r="I1983" s="83"/>
      <c r="J1983" s="83"/>
      <c r="K1983" s="83"/>
      <c r="L1983" s="83"/>
      <c r="M1983" s="83"/>
      <c r="N1983" s="83"/>
      <c r="O1983" s="83"/>
      <c r="P1983" s="83"/>
      <c r="Q1983" s="83"/>
      <c r="R1983" s="83"/>
      <c r="S1983" s="83"/>
      <c r="T1983" s="83"/>
      <c r="U1983" s="83"/>
      <c r="V1983" s="83"/>
      <c r="W1983" s="83"/>
      <c r="X1983" s="83"/>
      <c r="Y1983" s="83"/>
      <c r="Z1983" s="83"/>
    </row>
    <row r="1984">
      <c r="A1984" s="75" t="s">
        <v>970</v>
      </c>
      <c r="B1984" s="75" t="s">
        <v>1008</v>
      </c>
      <c r="C1984" s="75">
        <v>45.55</v>
      </c>
      <c r="D1984" s="75">
        <v>10.0</v>
      </c>
      <c r="E1984" s="75">
        <v>4.56</v>
      </c>
      <c r="F1984" s="75" t="s">
        <v>948</v>
      </c>
      <c r="G1984" s="82">
        <v>46111.0</v>
      </c>
      <c r="H1984" s="76" t="s">
        <v>973</v>
      </c>
      <c r="I1984" s="83"/>
      <c r="J1984" s="83"/>
      <c r="K1984" s="83"/>
      <c r="L1984" s="83"/>
      <c r="M1984" s="83"/>
      <c r="N1984" s="83"/>
      <c r="O1984" s="83"/>
      <c r="P1984" s="83"/>
      <c r="Q1984" s="83"/>
      <c r="R1984" s="83"/>
      <c r="S1984" s="83"/>
      <c r="T1984" s="83"/>
      <c r="U1984" s="83"/>
      <c r="V1984" s="83"/>
      <c r="W1984" s="83"/>
      <c r="X1984" s="83"/>
      <c r="Y1984" s="83"/>
      <c r="Z1984" s="83"/>
    </row>
    <row r="1985">
      <c r="A1985" s="75" t="s">
        <v>29</v>
      </c>
      <c r="B1985" s="75" t="s">
        <v>1008</v>
      </c>
      <c r="C1985" s="75">
        <v>0.97</v>
      </c>
      <c r="D1985" s="75">
        <v>0.0</v>
      </c>
      <c r="E1985" s="75">
        <v>0.0</v>
      </c>
      <c r="F1985" s="75" t="s">
        <v>948</v>
      </c>
      <c r="G1985" s="82">
        <v>46111.0</v>
      </c>
      <c r="H1985" s="76" t="s">
        <v>971</v>
      </c>
      <c r="I1985" s="83"/>
      <c r="J1985" s="83"/>
      <c r="K1985" s="83"/>
      <c r="L1985" s="83"/>
      <c r="M1985" s="83"/>
      <c r="N1985" s="83"/>
      <c r="O1985" s="83"/>
      <c r="P1985" s="83"/>
      <c r="Q1985" s="83"/>
      <c r="R1985" s="83"/>
      <c r="S1985" s="83"/>
      <c r="T1985" s="83"/>
      <c r="U1985" s="83"/>
      <c r="V1985" s="83"/>
      <c r="W1985" s="83"/>
      <c r="X1985" s="83"/>
      <c r="Y1985" s="83"/>
      <c r="Z1985" s="83"/>
    </row>
    <row r="1986">
      <c r="A1986" s="75" t="s">
        <v>29</v>
      </c>
      <c r="B1986" s="75" t="s">
        <v>1008</v>
      </c>
      <c r="C1986" s="75">
        <v>0.15</v>
      </c>
      <c r="D1986" s="75">
        <v>0.0</v>
      </c>
      <c r="E1986" s="75">
        <v>0.0</v>
      </c>
      <c r="F1986" s="75" t="s">
        <v>948</v>
      </c>
      <c r="G1986" s="82">
        <v>46111.0</v>
      </c>
      <c r="H1986" s="76" t="s">
        <v>972</v>
      </c>
      <c r="I1986" s="83"/>
      <c r="J1986" s="83"/>
      <c r="K1986" s="83"/>
      <c r="L1986" s="83"/>
      <c r="M1986" s="83"/>
      <c r="N1986" s="83"/>
      <c r="O1986" s="83"/>
      <c r="P1986" s="83"/>
      <c r="Q1986" s="83"/>
      <c r="R1986" s="83"/>
      <c r="S1986" s="83"/>
      <c r="T1986" s="83"/>
      <c r="U1986" s="83"/>
      <c r="V1986" s="83"/>
      <c r="W1986" s="83"/>
      <c r="X1986" s="83"/>
      <c r="Y1986" s="83"/>
      <c r="Z1986" s="83"/>
    </row>
    <row r="1987">
      <c r="A1987" s="75" t="s">
        <v>29</v>
      </c>
      <c r="B1987" s="75" t="s">
        <v>1008</v>
      </c>
      <c r="C1987" s="75">
        <v>4.85</v>
      </c>
      <c r="D1987" s="75">
        <v>7.0</v>
      </c>
      <c r="E1987" s="75">
        <v>0.69</v>
      </c>
      <c r="F1987" s="75" t="s">
        <v>948</v>
      </c>
      <c r="G1987" s="82">
        <v>46111.0</v>
      </c>
      <c r="H1987" s="76" t="s">
        <v>973</v>
      </c>
      <c r="I1987" s="83"/>
      <c r="J1987" s="83"/>
      <c r="K1987" s="83"/>
      <c r="L1987" s="83"/>
      <c r="M1987" s="83"/>
      <c r="N1987" s="83"/>
      <c r="O1987" s="83"/>
      <c r="P1987" s="83"/>
      <c r="Q1987" s="83"/>
      <c r="R1987" s="83"/>
      <c r="S1987" s="83"/>
      <c r="T1987" s="83"/>
      <c r="U1987" s="83"/>
      <c r="V1987" s="83"/>
      <c r="W1987" s="83"/>
      <c r="X1987" s="83"/>
      <c r="Y1987" s="83"/>
      <c r="Z1987" s="83"/>
    </row>
    <row r="1988">
      <c r="A1988" s="75" t="s">
        <v>36</v>
      </c>
      <c r="B1988" s="75" t="s">
        <v>1011</v>
      </c>
      <c r="C1988" s="75">
        <v>119.09</v>
      </c>
      <c r="D1988" s="75">
        <v>11.0</v>
      </c>
      <c r="E1988" s="75">
        <v>10.83</v>
      </c>
      <c r="F1988" s="75" t="s">
        <v>950</v>
      </c>
      <c r="G1988" s="82">
        <v>46111.0</v>
      </c>
      <c r="H1988" s="76" t="s">
        <v>926</v>
      </c>
      <c r="I1988" s="83"/>
      <c r="J1988" s="83"/>
      <c r="K1988" s="83"/>
      <c r="L1988" s="83"/>
      <c r="M1988" s="83"/>
      <c r="N1988" s="83"/>
      <c r="O1988" s="83"/>
      <c r="P1988" s="83"/>
      <c r="Q1988" s="83"/>
      <c r="R1988" s="83"/>
      <c r="S1988" s="83"/>
      <c r="T1988" s="83"/>
      <c r="U1988" s="83"/>
      <c r="V1988" s="83"/>
      <c r="W1988" s="83"/>
      <c r="X1988" s="83"/>
      <c r="Y1988" s="83"/>
      <c r="Z1988" s="83"/>
    </row>
    <row r="1989">
      <c r="A1989" s="75" t="s">
        <v>36</v>
      </c>
      <c r="B1989" s="75" t="s">
        <v>1011</v>
      </c>
      <c r="C1989" s="75">
        <v>5.16</v>
      </c>
      <c r="D1989" s="75">
        <v>2.0</v>
      </c>
      <c r="E1989" s="75">
        <v>2.58</v>
      </c>
      <c r="F1989" s="75" t="s">
        <v>950</v>
      </c>
      <c r="G1989" s="82">
        <v>46111.0</v>
      </c>
      <c r="H1989" s="76" t="s">
        <v>927</v>
      </c>
      <c r="I1989" s="83"/>
      <c r="J1989" s="83"/>
      <c r="K1989" s="83"/>
      <c r="L1989" s="83"/>
      <c r="M1989" s="83"/>
      <c r="N1989" s="83"/>
      <c r="O1989" s="83"/>
      <c r="P1989" s="83"/>
      <c r="Q1989" s="83"/>
      <c r="R1989" s="83"/>
      <c r="S1989" s="83"/>
      <c r="T1989" s="83"/>
      <c r="U1989" s="83"/>
      <c r="V1989" s="83"/>
      <c r="W1989" s="83"/>
      <c r="X1989" s="83"/>
      <c r="Y1989" s="83"/>
      <c r="Z1989" s="83"/>
    </row>
    <row r="1990">
      <c r="A1990" s="75" t="s">
        <v>36</v>
      </c>
      <c r="B1990" s="75" t="s">
        <v>1011</v>
      </c>
      <c r="C1990" s="75">
        <v>18.98</v>
      </c>
      <c r="D1990" s="75">
        <v>1.0</v>
      </c>
      <c r="E1990" s="75">
        <v>18.98</v>
      </c>
      <c r="F1990" s="75" t="s">
        <v>950</v>
      </c>
      <c r="G1990" s="82">
        <v>46111.0</v>
      </c>
      <c r="H1990" s="76" t="s">
        <v>928</v>
      </c>
      <c r="I1990" s="83"/>
      <c r="J1990" s="83"/>
      <c r="K1990" s="83"/>
      <c r="L1990" s="83"/>
      <c r="M1990" s="83"/>
      <c r="N1990" s="83"/>
      <c r="O1990" s="83"/>
      <c r="P1990" s="83"/>
      <c r="Q1990" s="83"/>
      <c r="R1990" s="83"/>
      <c r="S1990" s="83"/>
      <c r="T1990" s="83"/>
      <c r="U1990" s="83"/>
      <c r="V1990" s="83"/>
      <c r="W1990" s="83"/>
      <c r="X1990" s="83"/>
      <c r="Y1990" s="83"/>
      <c r="Z1990" s="83"/>
    </row>
    <row r="1991">
      <c r="A1991" s="75" t="s">
        <v>31</v>
      </c>
      <c r="B1991" s="75" t="s">
        <v>1011</v>
      </c>
      <c r="C1991" s="75">
        <v>51.39</v>
      </c>
      <c r="D1991" s="75">
        <v>17.0</v>
      </c>
      <c r="E1991" s="75">
        <v>3.02</v>
      </c>
      <c r="F1991" s="75" t="s">
        <v>950</v>
      </c>
      <c r="G1991" s="82">
        <v>46111.0</v>
      </c>
      <c r="H1991" s="76" t="s">
        <v>929</v>
      </c>
      <c r="I1991" s="83"/>
      <c r="J1991" s="83"/>
      <c r="K1991" s="83"/>
      <c r="L1991" s="83"/>
      <c r="M1991" s="83"/>
      <c r="N1991" s="83"/>
      <c r="O1991" s="83"/>
      <c r="P1991" s="83"/>
      <c r="Q1991" s="83"/>
      <c r="R1991" s="83"/>
      <c r="S1991" s="83"/>
      <c r="T1991" s="83"/>
      <c r="U1991" s="83"/>
      <c r="V1991" s="83"/>
      <c r="W1991" s="83"/>
      <c r="X1991" s="83"/>
      <c r="Y1991" s="83"/>
      <c r="Z1991" s="83"/>
    </row>
    <row r="1992">
      <c r="A1992" s="75" t="s">
        <v>31</v>
      </c>
      <c r="B1992" s="75" t="s">
        <v>1011</v>
      </c>
      <c r="C1992" s="75">
        <v>126.76</v>
      </c>
      <c r="D1992" s="75">
        <v>48.0</v>
      </c>
      <c r="E1992" s="75">
        <v>2.64</v>
      </c>
      <c r="F1992" s="75" t="s">
        <v>950</v>
      </c>
      <c r="G1992" s="82">
        <v>46111.0</v>
      </c>
      <c r="H1992" s="76" t="s">
        <v>930</v>
      </c>
      <c r="I1992" s="83"/>
      <c r="J1992" s="83"/>
      <c r="K1992" s="83"/>
      <c r="L1992" s="83"/>
      <c r="M1992" s="83"/>
      <c r="N1992" s="83"/>
      <c r="O1992" s="83"/>
      <c r="P1992" s="83"/>
      <c r="Q1992" s="83"/>
      <c r="R1992" s="83"/>
      <c r="S1992" s="83"/>
      <c r="T1992" s="83"/>
      <c r="U1992" s="83"/>
      <c r="V1992" s="83"/>
      <c r="W1992" s="83"/>
      <c r="X1992" s="83"/>
      <c r="Y1992" s="83"/>
      <c r="Z1992" s="83"/>
    </row>
    <row r="1993">
      <c r="A1993" s="75" t="s">
        <v>28</v>
      </c>
      <c r="B1993" s="75" t="s">
        <v>1011</v>
      </c>
      <c r="C1993" s="75">
        <v>11.11</v>
      </c>
      <c r="D1993" s="75">
        <v>1.0</v>
      </c>
      <c r="E1993" s="75">
        <v>11.11</v>
      </c>
      <c r="F1993" s="75" t="s">
        <v>950</v>
      </c>
      <c r="G1993" s="82">
        <v>46111.0</v>
      </c>
      <c r="H1993" s="76" t="s">
        <v>931</v>
      </c>
      <c r="I1993" s="83"/>
      <c r="J1993" s="83"/>
      <c r="K1993" s="83"/>
      <c r="L1993" s="83"/>
      <c r="M1993" s="83"/>
      <c r="N1993" s="83"/>
      <c r="O1993" s="83"/>
      <c r="P1993" s="83"/>
      <c r="Q1993" s="83"/>
      <c r="R1993" s="83"/>
      <c r="S1993" s="83"/>
      <c r="T1993" s="83"/>
      <c r="U1993" s="83"/>
      <c r="V1993" s="83"/>
      <c r="W1993" s="83"/>
      <c r="X1993" s="83"/>
      <c r="Y1993" s="83"/>
      <c r="Z1993" s="83"/>
    </row>
    <row r="1994">
      <c r="A1994" s="75" t="s">
        <v>28</v>
      </c>
      <c r="B1994" s="75" t="s">
        <v>1011</v>
      </c>
      <c r="C1994" s="75">
        <v>3.79</v>
      </c>
      <c r="D1994" s="75">
        <v>0.0</v>
      </c>
      <c r="E1994" s="75">
        <v>0.0</v>
      </c>
      <c r="F1994" s="75" t="s">
        <v>950</v>
      </c>
      <c r="G1994" s="82">
        <v>46111.0</v>
      </c>
      <c r="H1994" s="76" t="s">
        <v>932</v>
      </c>
      <c r="I1994" s="83"/>
      <c r="J1994" s="83"/>
      <c r="K1994" s="83"/>
      <c r="L1994" s="83"/>
      <c r="M1994" s="83"/>
      <c r="N1994" s="83"/>
      <c r="O1994" s="83"/>
      <c r="P1994" s="83"/>
      <c r="Q1994" s="83"/>
      <c r="R1994" s="83"/>
      <c r="S1994" s="83"/>
      <c r="T1994" s="83"/>
      <c r="U1994" s="83"/>
      <c r="V1994" s="83"/>
      <c r="W1994" s="83"/>
      <c r="X1994" s="83"/>
      <c r="Y1994" s="83"/>
      <c r="Z1994" s="83"/>
    </row>
    <row r="1995">
      <c r="A1995" s="75" t="s">
        <v>28</v>
      </c>
      <c r="B1995" s="75" t="s">
        <v>1011</v>
      </c>
      <c r="C1995" s="75">
        <v>27.51</v>
      </c>
      <c r="D1995" s="75">
        <v>2.0</v>
      </c>
      <c r="E1995" s="75">
        <v>13.76</v>
      </c>
      <c r="F1995" s="75" t="s">
        <v>950</v>
      </c>
      <c r="G1995" s="82">
        <v>46111.0</v>
      </c>
      <c r="H1995" s="76" t="s">
        <v>933</v>
      </c>
      <c r="I1995" s="83"/>
      <c r="J1995" s="83"/>
      <c r="K1995" s="83"/>
      <c r="L1995" s="83"/>
      <c r="M1995" s="83"/>
      <c r="N1995" s="83"/>
      <c r="O1995" s="83"/>
      <c r="P1995" s="83"/>
      <c r="Q1995" s="83"/>
      <c r="R1995" s="83"/>
      <c r="S1995" s="83"/>
      <c r="T1995" s="83"/>
      <c r="U1995" s="83"/>
      <c r="V1995" s="83"/>
      <c r="W1995" s="83"/>
      <c r="X1995" s="83"/>
      <c r="Y1995" s="83"/>
      <c r="Z1995" s="83"/>
    </row>
    <row r="1996">
      <c r="A1996" s="75" t="s">
        <v>42</v>
      </c>
      <c r="B1996" s="75" t="s">
        <v>1011</v>
      </c>
      <c r="C1996" s="75">
        <v>7.17</v>
      </c>
      <c r="D1996" s="75">
        <v>1.0</v>
      </c>
      <c r="E1996" s="75">
        <v>7.17</v>
      </c>
      <c r="F1996" s="75" t="s">
        <v>950</v>
      </c>
      <c r="G1996" s="82">
        <v>46111.0</v>
      </c>
      <c r="H1996" s="76" t="s">
        <v>934</v>
      </c>
      <c r="I1996" s="83"/>
      <c r="J1996" s="83"/>
      <c r="K1996" s="83"/>
      <c r="L1996" s="83"/>
      <c r="M1996" s="83"/>
      <c r="N1996" s="83"/>
      <c r="O1996" s="83"/>
      <c r="P1996" s="83"/>
      <c r="Q1996" s="83"/>
      <c r="R1996" s="83"/>
      <c r="S1996" s="83"/>
      <c r="T1996" s="83"/>
      <c r="U1996" s="83"/>
      <c r="V1996" s="83"/>
      <c r="W1996" s="83"/>
      <c r="X1996" s="83"/>
      <c r="Y1996" s="83"/>
      <c r="Z1996" s="83"/>
    </row>
    <row r="1997">
      <c r="A1997" s="75" t="s">
        <v>42</v>
      </c>
      <c r="B1997" s="75" t="s">
        <v>1011</v>
      </c>
      <c r="C1997" s="75">
        <v>0.56</v>
      </c>
      <c r="D1997" s="75">
        <v>0.0</v>
      </c>
      <c r="E1997" s="75">
        <v>0.0</v>
      </c>
      <c r="F1997" s="75" t="s">
        <v>950</v>
      </c>
      <c r="G1997" s="82">
        <v>46111.0</v>
      </c>
      <c r="H1997" s="76" t="s">
        <v>991</v>
      </c>
      <c r="I1997" s="83"/>
      <c r="J1997" s="83"/>
      <c r="K1997" s="83"/>
      <c r="L1997" s="83"/>
      <c r="M1997" s="83"/>
      <c r="N1997" s="83"/>
      <c r="O1997" s="83"/>
      <c r="P1997" s="83"/>
      <c r="Q1997" s="83"/>
      <c r="R1997" s="83"/>
      <c r="S1997" s="83"/>
      <c r="T1997" s="83"/>
      <c r="U1997" s="83"/>
      <c r="V1997" s="83"/>
      <c r="W1997" s="83"/>
      <c r="X1997" s="83"/>
      <c r="Y1997" s="83"/>
      <c r="Z1997" s="83"/>
    </row>
    <row r="1998">
      <c r="A1998" s="75" t="s">
        <v>42</v>
      </c>
      <c r="B1998" s="75" t="s">
        <v>1011</v>
      </c>
      <c r="C1998" s="75">
        <v>11.01</v>
      </c>
      <c r="D1998" s="75">
        <v>0.0</v>
      </c>
      <c r="E1998" s="75">
        <v>0.0</v>
      </c>
      <c r="F1998" s="75" t="s">
        <v>950</v>
      </c>
      <c r="G1998" s="82">
        <v>46111.0</v>
      </c>
      <c r="H1998" s="76" t="s">
        <v>935</v>
      </c>
      <c r="I1998" s="83"/>
      <c r="J1998" s="83"/>
      <c r="K1998" s="83"/>
      <c r="L1998" s="83"/>
      <c r="M1998" s="83"/>
      <c r="N1998" s="83"/>
      <c r="O1998" s="83"/>
      <c r="P1998" s="83"/>
      <c r="Q1998" s="83"/>
      <c r="R1998" s="83"/>
      <c r="S1998" s="83"/>
      <c r="T1998" s="83"/>
      <c r="U1998" s="83"/>
      <c r="V1998" s="83"/>
      <c r="W1998" s="83"/>
      <c r="X1998" s="83"/>
      <c r="Y1998" s="83"/>
      <c r="Z1998" s="83"/>
    </row>
    <row r="1999">
      <c r="A1999" s="75" t="s">
        <v>45</v>
      </c>
      <c r="B1999" s="75" t="s">
        <v>1011</v>
      </c>
      <c r="C1999" s="75">
        <v>20.56</v>
      </c>
      <c r="D1999" s="75">
        <v>2.0</v>
      </c>
      <c r="E1999" s="75">
        <v>10.28</v>
      </c>
      <c r="F1999" s="75" t="s">
        <v>950</v>
      </c>
      <c r="G1999" s="82">
        <v>46111.0</v>
      </c>
      <c r="H1999" s="76" t="s">
        <v>936</v>
      </c>
      <c r="I1999" s="83"/>
      <c r="J1999" s="83"/>
      <c r="K1999" s="83"/>
      <c r="L1999" s="83"/>
      <c r="M1999" s="83"/>
      <c r="N1999" s="83"/>
      <c r="O1999" s="83"/>
      <c r="P1999" s="83"/>
      <c r="Q1999" s="83"/>
      <c r="R1999" s="83"/>
      <c r="S1999" s="83"/>
      <c r="T1999" s="83"/>
      <c r="U1999" s="83"/>
      <c r="V1999" s="83"/>
      <c r="W1999" s="83"/>
      <c r="X1999" s="83"/>
      <c r="Y1999" s="83"/>
      <c r="Z1999" s="83"/>
    </row>
    <row r="2000">
      <c r="A2000" s="75" t="s">
        <v>45</v>
      </c>
      <c r="B2000" s="75" t="s">
        <v>1011</v>
      </c>
      <c r="C2000" s="75">
        <v>51.44</v>
      </c>
      <c r="D2000" s="75">
        <v>2.0</v>
      </c>
      <c r="E2000" s="75">
        <v>25.72</v>
      </c>
      <c r="F2000" s="75" t="s">
        <v>950</v>
      </c>
      <c r="G2000" s="82">
        <v>46111.0</v>
      </c>
      <c r="H2000" s="76" t="s">
        <v>937</v>
      </c>
      <c r="I2000" s="83"/>
      <c r="J2000" s="83"/>
      <c r="K2000" s="83"/>
      <c r="L2000" s="83"/>
      <c r="M2000" s="83"/>
      <c r="N2000" s="83"/>
      <c r="O2000" s="83"/>
      <c r="P2000" s="83"/>
      <c r="Q2000" s="83"/>
      <c r="R2000" s="83"/>
      <c r="S2000" s="83"/>
      <c r="T2000" s="83"/>
      <c r="U2000" s="83"/>
      <c r="V2000" s="83"/>
      <c r="W2000" s="83"/>
      <c r="X2000" s="83"/>
      <c r="Y2000" s="83"/>
      <c r="Z2000" s="83"/>
    </row>
    <row r="2001">
      <c r="A2001" s="75" t="s">
        <v>45</v>
      </c>
      <c r="B2001" s="75" t="s">
        <v>1011</v>
      </c>
      <c r="C2001" s="75">
        <v>20.9</v>
      </c>
      <c r="D2001" s="75">
        <v>0.0</v>
      </c>
      <c r="E2001" s="75">
        <v>0.0</v>
      </c>
      <c r="F2001" s="75" t="s">
        <v>950</v>
      </c>
      <c r="G2001" s="82">
        <v>46111.0</v>
      </c>
      <c r="H2001" s="76" t="s">
        <v>938</v>
      </c>
      <c r="I2001" s="83"/>
      <c r="J2001" s="83"/>
      <c r="K2001" s="83"/>
      <c r="L2001" s="83"/>
      <c r="M2001" s="83"/>
      <c r="N2001" s="83"/>
      <c r="O2001" s="83"/>
      <c r="P2001" s="83"/>
      <c r="Q2001" s="83"/>
      <c r="R2001" s="83"/>
      <c r="S2001" s="83"/>
      <c r="T2001" s="83"/>
      <c r="U2001" s="83"/>
      <c r="V2001" s="83"/>
      <c r="W2001" s="83"/>
      <c r="X2001" s="83"/>
      <c r="Y2001" s="83"/>
      <c r="Z2001" s="83"/>
    </row>
    <row r="2002">
      <c r="A2002" s="75" t="s">
        <v>50</v>
      </c>
      <c r="B2002" s="75" t="s">
        <v>1011</v>
      </c>
      <c r="C2002" s="75">
        <v>11.0</v>
      </c>
      <c r="D2002" s="75">
        <v>0.0</v>
      </c>
      <c r="E2002" s="75">
        <v>0.0</v>
      </c>
      <c r="F2002" s="75" t="s">
        <v>950</v>
      </c>
      <c r="G2002" s="82">
        <v>46111.0</v>
      </c>
      <c r="H2002" s="76" t="s">
        <v>939</v>
      </c>
      <c r="I2002" s="83"/>
      <c r="J2002" s="83"/>
      <c r="K2002" s="83"/>
      <c r="L2002" s="83"/>
      <c r="M2002" s="83"/>
      <c r="N2002" s="83"/>
      <c r="O2002" s="83"/>
      <c r="P2002" s="83"/>
      <c r="Q2002" s="83"/>
      <c r="R2002" s="83"/>
      <c r="S2002" s="83"/>
      <c r="T2002" s="83"/>
      <c r="U2002" s="83"/>
      <c r="V2002" s="83"/>
      <c r="W2002" s="83"/>
      <c r="X2002" s="83"/>
      <c r="Y2002" s="83"/>
      <c r="Z2002" s="83"/>
    </row>
    <row r="2003">
      <c r="A2003" s="75" t="s">
        <v>50</v>
      </c>
      <c r="B2003" s="75" t="s">
        <v>1011</v>
      </c>
      <c r="C2003" s="75">
        <v>8.34</v>
      </c>
      <c r="D2003" s="75">
        <v>0.0</v>
      </c>
      <c r="E2003" s="75">
        <v>0.0</v>
      </c>
      <c r="F2003" s="75" t="s">
        <v>950</v>
      </c>
      <c r="G2003" s="82">
        <v>46111.0</v>
      </c>
      <c r="H2003" s="76" t="s">
        <v>940</v>
      </c>
      <c r="I2003" s="83"/>
      <c r="J2003" s="83"/>
      <c r="K2003" s="83"/>
      <c r="L2003" s="83"/>
      <c r="M2003" s="83"/>
      <c r="N2003" s="83"/>
      <c r="O2003" s="83"/>
      <c r="P2003" s="83"/>
      <c r="Q2003" s="83"/>
      <c r="R2003" s="83"/>
      <c r="S2003" s="83"/>
      <c r="T2003" s="83"/>
      <c r="U2003" s="83"/>
      <c r="V2003" s="83"/>
      <c r="W2003" s="83"/>
      <c r="X2003" s="83"/>
      <c r="Y2003" s="83"/>
      <c r="Z2003" s="83"/>
    </row>
    <row r="2004">
      <c r="A2004" s="75" t="s">
        <v>32</v>
      </c>
      <c r="B2004" s="75" t="s">
        <v>1011</v>
      </c>
      <c r="C2004" s="75">
        <v>50.79</v>
      </c>
      <c r="D2004" s="75">
        <v>18.0</v>
      </c>
      <c r="E2004" s="75">
        <v>2.82</v>
      </c>
      <c r="F2004" s="75" t="s">
        <v>950</v>
      </c>
      <c r="G2004" s="82">
        <v>46111.0</v>
      </c>
      <c r="H2004" s="76" t="s">
        <v>941</v>
      </c>
      <c r="I2004" s="83"/>
      <c r="J2004" s="83"/>
      <c r="K2004" s="83"/>
      <c r="L2004" s="83"/>
      <c r="M2004" s="83"/>
      <c r="N2004" s="83"/>
      <c r="O2004" s="83"/>
      <c r="P2004" s="83"/>
      <c r="Q2004" s="83"/>
      <c r="R2004" s="83"/>
      <c r="S2004" s="83"/>
      <c r="T2004" s="83"/>
      <c r="U2004" s="83"/>
      <c r="V2004" s="83"/>
      <c r="W2004" s="83"/>
      <c r="X2004" s="83"/>
      <c r="Y2004" s="83"/>
      <c r="Z2004" s="83"/>
    </row>
    <row r="2005">
      <c r="A2005" s="75" t="s">
        <v>32</v>
      </c>
      <c r="B2005" s="75" t="s">
        <v>1011</v>
      </c>
      <c r="C2005" s="75">
        <v>5.49</v>
      </c>
      <c r="D2005" s="75">
        <v>1.0</v>
      </c>
      <c r="E2005" s="75">
        <v>5.49</v>
      </c>
      <c r="F2005" s="75" t="s">
        <v>950</v>
      </c>
      <c r="G2005" s="82">
        <v>46111.0</v>
      </c>
      <c r="H2005" s="76" t="s">
        <v>942</v>
      </c>
      <c r="I2005" s="83"/>
      <c r="J2005" s="83"/>
      <c r="K2005" s="83"/>
      <c r="L2005" s="83"/>
      <c r="M2005" s="83"/>
      <c r="N2005" s="83"/>
      <c r="O2005" s="83"/>
      <c r="P2005" s="83"/>
      <c r="Q2005" s="83"/>
      <c r="R2005" s="83"/>
      <c r="S2005" s="83"/>
      <c r="T2005" s="83"/>
      <c r="U2005" s="83"/>
      <c r="V2005" s="83"/>
      <c r="W2005" s="83"/>
      <c r="X2005" s="83"/>
      <c r="Y2005" s="83"/>
      <c r="Z2005" s="83"/>
    </row>
    <row r="2006">
      <c r="A2006" s="75" t="s">
        <v>32</v>
      </c>
      <c r="B2006" s="75" t="s">
        <v>1011</v>
      </c>
      <c r="C2006" s="75">
        <v>12.76</v>
      </c>
      <c r="D2006" s="75">
        <v>6.0</v>
      </c>
      <c r="E2006" s="75">
        <v>2.13</v>
      </c>
      <c r="F2006" s="75" t="s">
        <v>950</v>
      </c>
      <c r="G2006" s="82">
        <v>46111.0</v>
      </c>
      <c r="H2006" s="76" t="s">
        <v>943</v>
      </c>
      <c r="I2006" s="83"/>
      <c r="J2006" s="83"/>
      <c r="K2006" s="83"/>
      <c r="L2006" s="83"/>
      <c r="M2006" s="83"/>
      <c r="N2006" s="83"/>
      <c r="O2006" s="83"/>
      <c r="P2006" s="83"/>
      <c r="Q2006" s="83"/>
      <c r="R2006" s="83"/>
      <c r="S2006" s="83"/>
      <c r="T2006" s="83"/>
      <c r="U2006" s="83"/>
      <c r="V2006" s="83"/>
      <c r="W2006" s="83"/>
      <c r="X2006" s="83"/>
      <c r="Y2006" s="83"/>
      <c r="Z2006" s="83"/>
    </row>
    <row r="2007">
      <c r="A2007" s="75" t="s">
        <v>944</v>
      </c>
      <c r="B2007" s="75" t="s">
        <v>1011</v>
      </c>
      <c r="C2007" s="75">
        <v>12.08</v>
      </c>
      <c r="D2007" s="75">
        <v>2.0</v>
      </c>
      <c r="E2007" s="75">
        <v>6.04</v>
      </c>
      <c r="F2007" s="75" t="s">
        <v>950</v>
      </c>
      <c r="G2007" s="82">
        <v>46111.0</v>
      </c>
      <c r="H2007" s="76" t="s">
        <v>945</v>
      </c>
      <c r="I2007" s="83"/>
      <c r="J2007" s="83"/>
      <c r="K2007" s="83"/>
      <c r="L2007" s="83"/>
      <c r="M2007" s="83"/>
      <c r="N2007" s="83"/>
      <c r="O2007" s="83"/>
      <c r="P2007" s="83"/>
      <c r="Q2007" s="83"/>
      <c r="R2007" s="83"/>
      <c r="S2007" s="83"/>
      <c r="T2007" s="83"/>
      <c r="U2007" s="83"/>
      <c r="V2007" s="83"/>
      <c r="W2007" s="83"/>
      <c r="X2007" s="83"/>
      <c r="Y2007" s="83"/>
      <c r="Z2007" s="83"/>
    </row>
    <row r="2008">
      <c r="A2008" s="75" t="s">
        <v>944</v>
      </c>
      <c r="B2008" s="75" t="s">
        <v>1011</v>
      </c>
      <c r="C2008" s="75">
        <v>4.19</v>
      </c>
      <c r="D2008" s="75">
        <v>2.0</v>
      </c>
      <c r="E2008" s="75">
        <v>2.1</v>
      </c>
      <c r="F2008" s="75" t="s">
        <v>950</v>
      </c>
      <c r="G2008" s="82">
        <v>46111.0</v>
      </c>
      <c r="H2008" s="76" t="s">
        <v>946</v>
      </c>
      <c r="I2008" s="83"/>
      <c r="J2008" s="83"/>
      <c r="K2008" s="83"/>
      <c r="L2008" s="83"/>
      <c r="M2008" s="83"/>
      <c r="N2008" s="83"/>
      <c r="O2008" s="83"/>
      <c r="P2008" s="83"/>
      <c r="Q2008" s="83"/>
      <c r="R2008" s="83"/>
      <c r="S2008" s="83"/>
      <c r="T2008" s="83"/>
      <c r="U2008" s="83"/>
      <c r="V2008" s="83"/>
      <c r="W2008" s="83"/>
      <c r="X2008" s="83"/>
      <c r="Y2008" s="83"/>
      <c r="Z2008" s="83"/>
    </row>
    <row r="2009">
      <c r="A2009" s="75" t="s">
        <v>944</v>
      </c>
      <c r="B2009" s="75" t="s">
        <v>1011</v>
      </c>
      <c r="C2009" s="75">
        <v>11.47</v>
      </c>
      <c r="D2009" s="75">
        <v>1.0</v>
      </c>
      <c r="E2009" s="75">
        <v>11.47</v>
      </c>
      <c r="F2009" s="75" t="s">
        <v>950</v>
      </c>
      <c r="G2009" s="82">
        <v>46111.0</v>
      </c>
      <c r="H2009" s="76" t="s">
        <v>947</v>
      </c>
      <c r="I2009" s="83"/>
      <c r="J2009" s="83"/>
      <c r="K2009" s="83"/>
      <c r="L2009" s="83"/>
      <c r="M2009" s="83"/>
      <c r="N2009" s="83"/>
      <c r="O2009" s="83"/>
      <c r="P2009" s="83"/>
      <c r="Q2009" s="83"/>
      <c r="R2009" s="83"/>
      <c r="S2009" s="83"/>
      <c r="T2009" s="83"/>
      <c r="U2009" s="83"/>
      <c r="V2009" s="83"/>
      <c r="W2009" s="83"/>
      <c r="X2009" s="83"/>
      <c r="Y2009" s="83"/>
      <c r="Z2009" s="83"/>
    </row>
    <row r="2010">
      <c r="A2010" s="75" t="s">
        <v>26</v>
      </c>
      <c r="B2010" s="75" t="s">
        <v>1011</v>
      </c>
      <c r="C2010" s="75">
        <v>0.08</v>
      </c>
      <c r="D2010" s="75">
        <v>0.0</v>
      </c>
      <c r="E2010" s="75">
        <v>0.0</v>
      </c>
      <c r="F2010" s="75" t="s">
        <v>950</v>
      </c>
      <c r="G2010" s="82">
        <v>46111.0</v>
      </c>
      <c r="H2010" s="76" t="s">
        <v>1012</v>
      </c>
      <c r="I2010" s="83"/>
      <c r="J2010" s="83"/>
      <c r="K2010" s="83"/>
      <c r="L2010" s="83"/>
      <c r="M2010" s="83"/>
      <c r="N2010" s="83"/>
      <c r="O2010" s="83"/>
      <c r="P2010" s="83"/>
      <c r="Q2010" s="83"/>
      <c r="R2010" s="83"/>
      <c r="S2010" s="83"/>
      <c r="T2010" s="83"/>
      <c r="U2010" s="83"/>
      <c r="V2010" s="83"/>
      <c r="W2010" s="83"/>
      <c r="X2010" s="83"/>
      <c r="Y2010" s="83"/>
      <c r="Z2010" s="83"/>
    </row>
    <row r="2011">
      <c r="A2011" s="75" t="s">
        <v>26</v>
      </c>
      <c r="B2011" s="75" t="s">
        <v>1011</v>
      </c>
      <c r="C2011" s="75">
        <v>1.71</v>
      </c>
      <c r="D2011" s="75">
        <v>0.0</v>
      </c>
      <c r="E2011" s="75">
        <v>0.0</v>
      </c>
      <c r="F2011" s="75" t="s">
        <v>950</v>
      </c>
      <c r="G2011" s="82">
        <v>46111.0</v>
      </c>
      <c r="H2011" s="76" t="s">
        <v>1013</v>
      </c>
      <c r="I2011" s="83"/>
      <c r="J2011" s="83"/>
      <c r="K2011" s="83"/>
      <c r="L2011" s="83"/>
      <c r="M2011" s="83"/>
      <c r="N2011" s="83"/>
      <c r="O2011" s="83"/>
      <c r="P2011" s="83"/>
      <c r="Q2011" s="83"/>
      <c r="R2011" s="83"/>
      <c r="S2011" s="83"/>
      <c r="T2011" s="83"/>
      <c r="U2011" s="83"/>
      <c r="V2011" s="83"/>
      <c r="W2011" s="83"/>
      <c r="X2011" s="83"/>
      <c r="Y2011" s="83"/>
      <c r="Z2011" s="83"/>
    </row>
    <row r="2012">
      <c r="A2012" s="75" t="s">
        <v>26</v>
      </c>
      <c r="B2012" s="75" t="s">
        <v>1011</v>
      </c>
      <c r="C2012" s="75">
        <v>0.28</v>
      </c>
      <c r="D2012" s="75">
        <v>0.0</v>
      </c>
      <c r="E2012" s="75">
        <v>0.0</v>
      </c>
      <c r="F2012" s="75" t="s">
        <v>950</v>
      </c>
      <c r="G2012" s="82">
        <v>46111.0</v>
      </c>
      <c r="H2012" s="76" t="s">
        <v>1014</v>
      </c>
      <c r="I2012" s="83"/>
      <c r="J2012" s="83"/>
      <c r="K2012" s="83"/>
      <c r="L2012" s="83"/>
      <c r="M2012" s="83"/>
      <c r="N2012" s="83"/>
      <c r="O2012" s="83"/>
      <c r="P2012" s="83"/>
      <c r="Q2012" s="83"/>
      <c r="R2012" s="83"/>
      <c r="S2012" s="83"/>
      <c r="T2012" s="83"/>
      <c r="U2012" s="83"/>
      <c r="V2012" s="83"/>
      <c r="W2012" s="83"/>
      <c r="X2012" s="83"/>
      <c r="Y2012" s="83"/>
      <c r="Z2012" s="83"/>
    </row>
    <row r="2013">
      <c r="A2013" s="75" t="s">
        <v>36</v>
      </c>
      <c r="B2013" s="75" t="s">
        <v>1011</v>
      </c>
      <c r="C2013" s="75">
        <v>91.79</v>
      </c>
      <c r="D2013" s="75">
        <v>4.0</v>
      </c>
      <c r="E2013" s="75">
        <v>22.95</v>
      </c>
      <c r="F2013" s="75" t="s">
        <v>974</v>
      </c>
      <c r="G2013" s="82">
        <v>46111.0</v>
      </c>
      <c r="H2013" s="76" t="s">
        <v>926</v>
      </c>
      <c r="I2013" s="83"/>
      <c r="J2013" s="83"/>
      <c r="K2013" s="83"/>
      <c r="L2013" s="83"/>
      <c r="M2013" s="83"/>
      <c r="N2013" s="83"/>
      <c r="O2013" s="83"/>
      <c r="P2013" s="83"/>
      <c r="Q2013" s="83"/>
      <c r="R2013" s="83"/>
      <c r="S2013" s="83"/>
      <c r="T2013" s="83"/>
      <c r="U2013" s="83"/>
      <c r="V2013" s="83"/>
      <c r="W2013" s="83"/>
      <c r="X2013" s="83"/>
      <c r="Y2013" s="83"/>
      <c r="Z2013" s="83"/>
    </row>
    <row r="2014">
      <c r="A2014" s="75" t="s">
        <v>36</v>
      </c>
      <c r="B2014" s="75" t="s">
        <v>1011</v>
      </c>
      <c r="C2014" s="75">
        <v>5.95</v>
      </c>
      <c r="D2014" s="75">
        <v>0.0</v>
      </c>
      <c r="E2014" s="75">
        <v>0.0</v>
      </c>
      <c r="F2014" s="75" t="s">
        <v>974</v>
      </c>
      <c r="G2014" s="82">
        <v>46111.0</v>
      </c>
      <c r="H2014" s="76" t="s">
        <v>927</v>
      </c>
      <c r="I2014" s="83"/>
      <c r="J2014" s="83"/>
      <c r="K2014" s="83"/>
      <c r="L2014" s="83"/>
      <c r="M2014" s="83"/>
      <c r="N2014" s="83"/>
      <c r="O2014" s="83"/>
      <c r="P2014" s="83"/>
      <c r="Q2014" s="83"/>
      <c r="R2014" s="83"/>
      <c r="S2014" s="83"/>
      <c r="T2014" s="83"/>
      <c r="U2014" s="83"/>
      <c r="V2014" s="83"/>
      <c r="W2014" s="83"/>
      <c r="X2014" s="83"/>
      <c r="Y2014" s="83"/>
      <c r="Z2014" s="83"/>
    </row>
    <row r="2015">
      <c r="A2015" s="75" t="s">
        <v>36</v>
      </c>
      <c r="B2015" s="75" t="s">
        <v>1011</v>
      </c>
      <c r="C2015" s="75">
        <v>11.21</v>
      </c>
      <c r="D2015" s="75">
        <v>2.0</v>
      </c>
      <c r="E2015" s="75">
        <v>5.61</v>
      </c>
      <c r="F2015" s="75" t="s">
        <v>974</v>
      </c>
      <c r="G2015" s="82">
        <v>46111.0</v>
      </c>
      <c r="H2015" s="76" t="s">
        <v>928</v>
      </c>
      <c r="I2015" s="83"/>
      <c r="J2015" s="83"/>
      <c r="K2015" s="83"/>
      <c r="L2015" s="83"/>
      <c r="M2015" s="83"/>
      <c r="N2015" s="83"/>
      <c r="O2015" s="83"/>
      <c r="P2015" s="83"/>
      <c r="Q2015" s="83"/>
      <c r="R2015" s="83"/>
      <c r="S2015" s="83"/>
      <c r="T2015" s="83"/>
      <c r="U2015" s="83"/>
      <c r="V2015" s="83"/>
      <c r="W2015" s="83"/>
      <c r="X2015" s="83"/>
      <c r="Y2015" s="83"/>
      <c r="Z2015" s="83"/>
    </row>
    <row r="2016">
      <c r="A2016" s="75" t="s">
        <v>31</v>
      </c>
      <c r="B2016" s="75" t="s">
        <v>1011</v>
      </c>
      <c r="C2016" s="75">
        <v>25.25</v>
      </c>
      <c r="D2016" s="75">
        <v>11.0</v>
      </c>
      <c r="E2016" s="75">
        <v>2.3</v>
      </c>
      <c r="F2016" s="75" t="s">
        <v>974</v>
      </c>
      <c r="G2016" s="82">
        <v>46111.0</v>
      </c>
      <c r="H2016" s="76" t="s">
        <v>929</v>
      </c>
      <c r="I2016" s="83"/>
      <c r="J2016" s="83"/>
      <c r="K2016" s="83"/>
      <c r="L2016" s="83"/>
      <c r="M2016" s="83"/>
      <c r="N2016" s="83"/>
      <c r="O2016" s="83"/>
      <c r="P2016" s="83"/>
      <c r="Q2016" s="83"/>
      <c r="R2016" s="83"/>
      <c r="S2016" s="83"/>
      <c r="T2016" s="83"/>
      <c r="U2016" s="83"/>
      <c r="V2016" s="83"/>
      <c r="W2016" s="83"/>
      <c r="X2016" s="83"/>
      <c r="Y2016" s="83"/>
      <c r="Z2016" s="83"/>
    </row>
    <row r="2017">
      <c r="A2017" s="75" t="s">
        <v>31</v>
      </c>
      <c r="B2017" s="75" t="s">
        <v>1011</v>
      </c>
      <c r="C2017" s="75">
        <v>119.32</v>
      </c>
      <c r="D2017" s="75">
        <v>39.0</v>
      </c>
      <c r="E2017" s="75">
        <v>3.06</v>
      </c>
      <c r="F2017" s="75" t="s">
        <v>974</v>
      </c>
      <c r="G2017" s="82">
        <v>46111.0</v>
      </c>
      <c r="H2017" s="76" t="s">
        <v>930</v>
      </c>
      <c r="I2017" s="83"/>
      <c r="J2017" s="83"/>
      <c r="K2017" s="83"/>
      <c r="L2017" s="83"/>
      <c r="M2017" s="83"/>
      <c r="N2017" s="83"/>
      <c r="O2017" s="83"/>
      <c r="P2017" s="83"/>
      <c r="Q2017" s="83"/>
      <c r="R2017" s="83"/>
      <c r="S2017" s="83"/>
      <c r="T2017" s="83"/>
      <c r="U2017" s="83"/>
      <c r="V2017" s="83"/>
      <c r="W2017" s="83"/>
      <c r="X2017" s="83"/>
      <c r="Y2017" s="83"/>
      <c r="Z2017" s="83"/>
    </row>
    <row r="2018">
      <c r="A2018" s="75" t="s">
        <v>28</v>
      </c>
      <c r="B2018" s="75" t="s">
        <v>1011</v>
      </c>
      <c r="C2018" s="75">
        <v>6.84</v>
      </c>
      <c r="D2018" s="75">
        <v>0.0</v>
      </c>
      <c r="E2018" s="75">
        <v>0.0</v>
      </c>
      <c r="F2018" s="75" t="s">
        <v>974</v>
      </c>
      <c r="G2018" s="82">
        <v>46111.0</v>
      </c>
      <c r="H2018" s="76" t="s">
        <v>931</v>
      </c>
      <c r="I2018" s="83"/>
      <c r="J2018" s="83"/>
      <c r="K2018" s="83"/>
      <c r="L2018" s="83"/>
      <c r="M2018" s="83"/>
      <c r="N2018" s="83"/>
      <c r="O2018" s="83"/>
      <c r="P2018" s="83"/>
      <c r="Q2018" s="83"/>
      <c r="R2018" s="83"/>
      <c r="S2018" s="83"/>
      <c r="T2018" s="83"/>
      <c r="U2018" s="83"/>
      <c r="V2018" s="83"/>
      <c r="W2018" s="83"/>
      <c r="X2018" s="83"/>
      <c r="Y2018" s="83"/>
      <c r="Z2018" s="83"/>
    </row>
    <row r="2019">
      <c r="A2019" s="75" t="s">
        <v>28</v>
      </c>
      <c r="B2019" s="75" t="s">
        <v>1011</v>
      </c>
      <c r="C2019" s="75">
        <v>2.88</v>
      </c>
      <c r="D2019" s="75">
        <v>1.0</v>
      </c>
      <c r="E2019" s="75">
        <v>2.88</v>
      </c>
      <c r="F2019" s="75" t="s">
        <v>974</v>
      </c>
      <c r="G2019" s="82">
        <v>46111.0</v>
      </c>
      <c r="H2019" s="76" t="s">
        <v>932</v>
      </c>
      <c r="I2019" s="83"/>
      <c r="J2019" s="83"/>
      <c r="K2019" s="83"/>
      <c r="L2019" s="83"/>
      <c r="M2019" s="83"/>
      <c r="N2019" s="83"/>
      <c r="O2019" s="83"/>
      <c r="P2019" s="83"/>
      <c r="Q2019" s="83"/>
      <c r="R2019" s="83"/>
      <c r="S2019" s="83"/>
      <c r="T2019" s="83"/>
      <c r="U2019" s="83"/>
      <c r="V2019" s="83"/>
      <c r="W2019" s="83"/>
      <c r="X2019" s="83"/>
      <c r="Y2019" s="83"/>
      <c r="Z2019" s="83"/>
    </row>
    <row r="2020">
      <c r="A2020" s="75" t="s">
        <v>28</v>
      </c>
      <c r="B2020" s="75" t="s">
        <v>1011</v>
      </c>
      <c r="C2020" s="75">
        <v>50.81</v>
      </c>
      <c r="D2020" s="75">
        <v>4.0</v>
      </c>
      <c r="E2020" s="75">
        <v>12.7</v>
      </c>
      <c r="F2020" s="75" t="s">
        <v>974</v>
      </c>
      <c r="G2020" s="82">
        <v>46111.0</v>
      </c>
      <c r="H2020" s="76" t="s">
        <v>933</v>
      </c>
      <c r="I2020" s="83"/>
      <c r="J2020" s="83"/>
      <c r="K2020" s="83"/>
      <c r="L2020" s="83"/>
      <c r="M2020" s="83"/>
      <c r="N2020" s="83"/>
      <c r="O2020" s="83"/>
      <c r="P2020" s="83"/>
      <c r="Q2020" s="83"/>
      <c r="R2020" s="83"/>
      <c r="S2020" s="83"/>
      <c r="T2020" s="83"/>
      <c r="U2020" s="83"/>
      <c r="V2020" s="83"/>
      <c r="W2020" s="83"/>
      <c r="X2020" s="83"/>
      <c r="Y2020" s="83"/>
      <c r="Z2020" s="83"/>
    </row>
    <row r="2021">
      <c r="A2021" s="75" t="s">
        <v>42</v>
      </c>
      <c r="B2021" s="75" t="s">
        <v>1011</v>
      </c>
      <c r="C2021" s="75">
        <v>5.14</v>
      </c>
      <c r="D2021" s="75">
        <v>0.0</v>
      </c>
      <c r="E2021" s="75">
        <v>0.0</v>
      </c>
      <c r="F2021" s="75" t="s">
        <v>974</v>
      </c>
      <c r="G2021" s="82">
        <v>46111.0</v>
      </c>
      <c r="H2021" s="76" t="s">
        <v>934</v>
      </c>
      <c r="I2021" s="83"/>
      <c r="J2021" s="83"/>
      <c r="K2021" s="83"/>
      <c r="L2021" s="83"/>
      <c r="M2021" s="83"/>
      <c r="N2021" s="83"/>
      <c r="O2021" s="83"/>
      <c r="P2021" s="83"/>
      <c r="Q2021" s="83"/>
      <c r="R2021" s="83"/>
      <c r="S2021" s="83"/>
      <c r="T2021" s="83"/>
      <c r="U2021" s="83"/>
      <c r="V2021" s="83"/>
      <c r="W2021" s="83"/>
      <c r="X2021" s="83"/>
      <c r="Y2021" s="83"/>
      <c r="Z2021" s="83"/>
    </row>
    <row r="2022">
      <c r="A2022" s="75" t="s">
        <v>42</v>
      </c>
      <c r="B2022" s="75" t="s">
        <v>1011</v>
      </c>
      <c r="C2022" s="75">
        <v>0.84</v>
      </c>
      <c r="D2022" s="75">
        <v>0.0</v>
      </c>
      <c r="E2022" s="75">
        <v>0.0</v>
      </c>
      <c r="F2022" s="75" t="s">
        <v>974</v>
      </c>
      <c r="G2022" s="82">
        <v>46111.0</v>
      </c>
      <c r="H2022" s="76" t="s">
        <v>991</v>
      </c>
      <c r="I2022" s="83"/>
      <c r="J2022" s="83"/>
      <c r="K2022" s="83"/>
      <c r="L2022" s="83"/>
      <c r="M2022" s="83"/>
      <c r="N2022" s="83"/>
      <c r="O2022" s="83"/>
      <c r="P2022" s="83"/>
      <c r="Q2022" s="83"/>
      <c r="R2022" s="83"/>
      <c r="S2022" s="83"/>
      <c r="T2022" s="83"/>
      <c r="U2022" s="83"/>
      <c r="V2022" s="83"/>
      <c r="W2022" s="83"/>
      <c r="X2022" s="83"/>
      <c r="Y2022" s="83"/>
      <c r="Z2022" s="83"/>
    </row>
    <row r="2023">
      <c r="A2023" s="75" t="s">
        <v>42</v>
      </c>
      <c r="B2023" s="75" t="s">
        <v>1011</v>
      </c>
      <c r="C2023" s="75">
        <v>50.16</v>
      </c>
      <c r="D2023" s="75">
        <v>5.0</v>
      </c>
      <c r="E2023" s="75">
        <v>10.03</v>
      </c>
      <c r="F2023" s="75" t="s">
        <v>974</v>
      </c>
      <c r="G2023" s="82">
        <v>46111.0</v>
      </c>
      <c r="H2023" s="76" t="s">
        <v>935</v>
      </c>
      <c r="I2023" s="83"/>
      <c r="J2023" s="83"/>
      <c r="K2023" s="83"/>
      <c r="L2023" s="83"/>
      <c r="M2023" s="83"/>
      <c r="N2023" s="83"/>
      <c r="O2023" s="83"/>
      <c r="P2023" s="83"/>
      <c r="Q2023" s="83"/>
      <c r="R2023" s="83"/>
      <c r="S2023" s="83"/>
      <c r="T2023" s="83"/>
      <c r="U2023" s="83"/>
      <c r="V2023" s="83"/>
      <c r="W2023" s="83"/>
      <c r="X2023" s="83"/>
      <c r="Y2023" s="83"/>
      <c r="Z2023" s="83"/>
    </row>
    <row r="2024">
      <c r="A2024" s="75" t="s">
        <v>45</v>
      </c>
      <c r="B2024" s="75" t="s">
        <v>1011</v>
      </c>
      <c r="C2024" s="75">
        <v>44.45</v>
      </c>
      <c r="D2024" s="75">
        <v>3.0</v>
      </c>
      <c r="E2024" s="75">
        <v>14.82</v>
      </c>
      <c r="F2024" s="75" t="s">
        <v>974</v>
      </c>
      <c r="G2024" s="82">
        <v>46111.0</v>
      </c>
      <c r="H2024" s="76" t="s">
        <v>936</v>
      </c>
      <c r="I2024" s="83"/>
      <c r="J2024" s="83"/>
      <c r="K2024" s="83"/>
      <c r="L2024" s="83"/>
      <c r="M2024" s="83"/>
      <c r="N2024" s="83"/>
      <c r="O2024" s="83"/>
      <c r="P2024" s="83"/>
      <c r="Q2024" s="83"/>
      <c r="R2024" s="83"/>
      <c r="S2024" s="83"/>
      <c r="T2024" s="83"/>
      <c r="U2024" s="83"/>
      <c r="V2024" s="83"/>
      <c r="W2024" s="83"/>
      <c r="X2024" s="83"/>
      <c r="Y2024" s="83"/>
      <c r="Z2024" s="83"/>
    </row>
    <row r="2025">
      <c r="A2025" s="75" t="s">
        <v>45</v>
      </c>
      <c r="B2025" s="75" t="s">
        <v>1011</v>
      </c>
      <c r="C2025" s="75">
        <v>6.62</v>
      </c>
      <c r="D2025" s="75">
        <v>0.0</v>
      </c>
      <c r="E2025" s="75">
        <v>0.0</v>
      </c>
      <c r="F2025" s="75" t="s">
        <v>974</v>
      </c>
      <c r="G2025" s="82">
        <v>46111.0</v>
      </c>
      <c r="H2025" s="76" t="s">
        <v>937</v>
      </c>
      <c r="I2025" s="83"/>
      <c r="J2025" s="83"/>
      <c r="K2025" s="83"/>
      <c r="L2025" s="83"/>
      <c r="M2025" s="83"/>
      <c r="N2025" s="83"/>
      <c r="O2025" s="83"/>
      <c r="P2025" s="83"/>
      <c r="Q2025" s="83"/>
      <c r="R2025" s="83"/>
      <c r="S2025" s="83"/>
      <c r="T2025" s="83"/>
      <c r="U2025" s="83"/>
      <c r="V2025" s="83"/>
      <c r="W2025" s="83"/>
      <c r="X2025" s="83"/>
      <c r="Y2025" s="83"/>
      <c r="Z2025" s="83"/>
    </row>
    <row r="2026">
      <c r="A2026" s="75" t="s">
        <v>45</v>
      </c>
      <c r="B2026" s="75" t="s">
        <v>1011</v>
      </c>
      <c r="C2026" s="75">
        <v>32.43</v>
      </c>
      <c r="D2026" s="75">
        <v>2.0</v>
      </c>
      <c r="E2026" s="75">
        <v>16.21</v>
      </c>
      <c r="F2026" s="75" t="s">
        <v>974</v>
      </c>
      <c r="G2026" s="82">
        <v>46111.0</v>
      </c>
      <c r="H2026" s="76" t="s">
        <v>938</v>
      </c>
      <c r="I2026" s="83"/>
      <c r="J2026" s="83"/>
      <c r="K2026" s="83"/>
      <c r="L2026" s="83"/>
      <c r="M2026" s="83"/>
      <c r="N2026" s="83"/>
      <c r="O2026" s="83"/>
      <c r="P2026" s="83"/>
      <c r="Q2026" s="83"/>
      <c r="R2026" s="83"/>
      <c r="S2026" s="83"/>
      <c r="T2026" s="83"/>
      <c r="U2026" s="83"/>
      <c r="V2026" s="83"/>
      <c r="W2026" s="83"/>
      <c r="X2026" s="83"/>
      <c r="Y2026" s="83"/>
      <c r="Z2026" s="83"/>
    </row>
    <row r="2027">
      <c r="A2027" s="75" t="s">
        <v>50</v>
      </c>
      <c r="B2027" s="75" t="s">
        <v>1011</v>
      </c>
      <c r="C2027" s="75">
        <v>12.37</v>
      </c>
      <c r="D2027" s="75">
        <v>0.0</v>
      </c>
      <c r="E2027" s="75">
        <v>0.0</v>
      </c>
      <c r="F2027" s="75" t="s">
        <v>974</v>
      </c>
      <c r="G2027" s="82">
        <v>46111.0</v>
      </c>
      <c r="H2027" s="76" t="s">
        <v>939</v>
      </c>
      <c r="I2027" s="83"/>
      <c r="J2027" s="83"/>
      <c r="K2027" s="83"/>
      <c r="L2027" s="83"/>
      <c r="M2027" s="83"/>
      <c r="N2027" s="83"/>
      <c r="O2027" s="83"/>
      <c r="P2027" s="83"/>
      <c r="Q2027" s="83"/>
      <c r="R2027" s="83"/>
      <c r="S2027" s="83"/>
      <c r="T2027" s="83"/>
      <c r="U2027" s="83"/>
      <c r="V2027" s="83"/>
      <c r="W2027" s="83"/>
      <c r="X2027" s="83"/>
      <c r="Y2027" s="83"/>
      <c r="Z2027" s="83"/>
    </row>
    <row r="2028">
      <c r="A2028" s="75" t="s">
        <v>50</v>
      </c>
      <c r="B2028" s="75" t="s">
        <v>1011</v>
      </c>
      <c r="C2028" s="75">
        <v>7.17</v>
      </c>
      <c r="D2028" s="75">
        <v>1.0</v>
      </c>
      <c r="E2028" s="75">
        <v>7.17</v>
      </c>
      <c r="F2028" s="75" t="s">
        <v>974</v>
      </c>
      <c r="G2028" s="82">
        <v>46111.0</v>
      </c>
      <c r="H2028" s="76" t="s">
        <v>940</v>
      </c>
      <c r="I2028" s="83"/>
      <c r="J2028" s="83"/>
      <c r="K2028" s="83"/>
      <c r="L2028" s="83"/>
      <c r="M2028" s="83"/>
      <c r="N2028" s="83"/>
      <c r="O2028" s="83"/>
      <c r="P2028" s="83"/>
      <c r="Q2028" s="83"/>
      <c r="R2028" s="83"/>
      <c r="S2028" s="83"/>
      <c r="T2028" s="83"/>
      <c r="U2028" s="83"/>
      <c r="V2028" s="83"/>
      <c r="W2028" s="83"/>
      <c r="X2028" s="83"/>
      <c r="Y2028" s="83"/>
      <c r="Z2028" s="83"/>
    </row>
    <row r="2029">
      <c r="A2029" s="75" t="s">
        <v>32</v>
      </c>
      <c r="B2029" s="75" t="s">
        <v>1011</v>
      </c>
      <c r="C2029" s="75">
        <v>72.29</v>
      </c>
      <c r="D2029" s="75">
        <v>18.0</v>
      </c>
      <c r="E2029" s="75">
        <v>4.02</v>
      </c>
      <c r="F2029" s="75" t="s">
        <v>974</v>
      </c>
      <c r="G2029" s="82">
        <v>46111.0</v>
      </c>
      <c r="H2029" s="76" t="s">
        <v>941</v>
      </c>
      <c r="I2029" s="83"/>
      <c r="J2029" s="83"/>
      <c r="K2029" s="83"/>
      <c r="L2029" s="83"/>
      <c r="M2029" s="83"/>
      <c r="N2029" s="83"/>
      <c r="O2029" s="83"/>
      <c r="P2029" s="83"/>
      <c r="Q2029" s="83"/>
      <c r="R2029" s="83"/>
      <c r="S2029" s="83"/>
      <c r="T2029" s="83"/>
      <c r="U2029" s="83"/>
      <c r="V2029" s="83"/>
      <c r="W2029" s="83"/>
      <c r="X2029" s="83"/>
      <c r="Y2029" s="83"/>
      <c r="Z2029" s="83"/>
    </row>
    <row r="2030">
      <c r="A2030" s="75" t="s">
        <v>32</v>
      </c>
      <c r="B2030" s="75" t="s">
        <v>1011</v>
      </c>
      <c r="C2030" s="75">
        <v>5.5</v>
      </c>
      <c r="D2030" s="75">
        <v>3.0</v>
      </c>
      <c r="E2030" s="75">
        <v>1.83</v>
      </c>
      <c r="F2030" s="75" t="s">
        <v>974</v>
      </c>
      <c r="G2030" s="82">
        <v>46111.0</v>
      </c>
      <c r="H2030" s="76" t="s">
        <v>942</v>
      </c>
      <c r="I2030" s="83"/>
      <c r="J2030" s="83"/>
      <c r="K2030" s="83"/>
      <c r="L2030" s="83"/>
      <c r="M2030" s="83"/>
      <c r="N2030" s="83"/>
      <c r="O2030" s="83"/>
      <c r="P2030" s="83"/>
      <c r="Q2030" s="83"/>
      <c r="R2030" s="83"/>
      <c r="S2030" s="83"/>
      <c r="T2030" s="83"/>
      <c r="U2030" s="83"/>
      <c r="V2030" s="83"/>
      <c r="W2030" s="83"/>
      <c r="X2030" s="83"/>
      <c r="Y2030" s="83"/>
      <c r="Z2030" s="83"/>
    </row>
    <row r="2031">
      <c r="A2031" s="75" t="s">
        <v>32</v>
      </c>
      <c r="B2031" s="75" t="s">
        <v>1011</v>
      </c>
      <c r="C2031" s="75">
        <v>15.23</v>
      </c>
      <c r="D2031" s="75">
        <v>5.0</v>
      </c>
      <c r="E2031" s="75">
        <v>3.05</v>
      </c>
      <c r="F2031" s="75" t="s">
        <v>974</v>
      </c>
      <c r="G2031" s="82">
        <v>46111.0</v>
      </c>
      <c r="H2031" s="76" t="s">
        <v>943</v>
      </c>
      <c r="I2031" s="83"/>
      <c r="J2031" s="83"/>
      <c r="K2031" s="83"/>
      <c r="L2031" s="83"/>
      <c r="M2031" s="83"/>
      <c r="N2031" s="83"/>
      <c r="O2031" s="83"/>
      <c r="P2031" s="83"/>
      <c r="Q2031" s="83"/>
      <c r="R2031" s="83"/>
      <c r="S2031" s="83"/>
      <c r="T2031" s="83"/>
      <c r="U2031" s="83"/>
      <c r="V2031" s="83"/>
      <c r="W2031" s="83"/>
      <c r="X2031" s="83"/>
      <c r="Y2031" s="83"/>
      <c r="Z2031" s="83"/>
    </row>
    <row r="2032">
      <c r="A2032" s="75" t="s">
        <v>944</v>
      </c>
      <c r="B2032" s="75" t="s">
        <v>1011</v>
      </c>
      <c r="C2032" s="75">
        <v>13.29</v>
      </c>
      <c r="D2032" s="75">
        <v>1.0</v>
      </c>
      <c r="E2032" s="75">
        <v>13.29</v>
      </c>
      <c r="F2032" s="75" t="s">
        <v>974</v>
      </c>
      <c r="G2032" s="82">
        <v>46111.0</v>
      </c>
      <c r="H2032" s="76" t="s">
        <v>945</v>
      </c>
      <c r="I2032" s="83"/>
      <c r="J2032" s="83"/>
      <c r="K2032" s="83"/>
      <c r="L2032" s="83"/>
      <c r="M2032" s="83"/>
      <c r="N2032" s="83"/>
      <c r="O2032" s="83"/>
      <c r="P2032" s="83"/>
      <c r="Q2032" s="83"/>
      <c r="R2032" s="83"/>
      <c r="S2032" s="83"/>
      <c r="T2032" s="83"/>
      <c r="U2032" s="83"/>
      <c r="V2032" s="83"/>
      <c r="W2032" s="83"/>
      <c r="X2032" s="83"/>
      <c r="Y2032" s="83"/>
      <c r="Z2032" s="83"/>
    </row>
    <row r="2033">
      <c r="A2033" s="75" t="s">
        <v>944</v>
      </c>
      <c r="B2033" s="75" t="s">
        <v>1011</v>
      </c>
      <c r="C2033" s="75">
        <v>4.75</v>
      </c>
      <c r="D2033" s="75">
        <v>0.0</v>
      </c>
      <c r="E2033" s="75">
        <v>0.0</v>
      </c>
      <c r="F2033" s="75" t="s">
        <v>974</v>
      </c>
      <c r="G2033" s="82">
        <v>46111.0</v>
      </c>
      <c r="H2033" s="76" t="s">
        <v>946</v>
      </c>
      <c r="I2033" s="83"/>
      <c r="J2033" s="83"/>
      <c r="K2033" s="83"/>
      <c r="L2033" s="83"/>
      <c r="M2033" s="83"/>
      <c r="N2033" s="83"/>
      <c r="O2033" s="83"/>
      <c r="P2033" s="83"/>
      <c r="Q2033" s="83"/>
      <c r="R2033" s="83"/>
      <c r="S2033" s="83"/>
      <c r="T2033" s="83"/>
      <c r="U2033" s="83"/>
      <c r="V2033" s="83"/>
      <c r="W2033" s="83"/>
      <c r="X2033" s="83"/>
      <c r="Y2033" s="83"/>
      <c r="Z2033" s="83"/>
    </row>
    <row r="2034">
      <c r="A2034" s="75" t="s">
        <v>944</v>
      </c>
      <c r="B2034" s="75" t="s">
        <v>1011</v>
      </c>
      <c r="C2034" s="75">
        <v>6.68</v>
      </c>
      <c r="D2034" s="75">
        <v>0.0</v>
      </c>
      <c r="E2034" s="75">
        <v>0.0</v>
      </c>
      <c r="F2034" s="75" t="s">
        <v>974</v>
      </c>
      <c r="G2034" s="82">
        <v>46111.0</v>
      </c>
      <c r="H2034" s="76" t="s">
        <v>947</v>
      </c>
      <c r="I2034" s="83"/>
      <c r="J2034" s="83"/>
      <c r="K2034" s="83"/>
      <c r="L2034" s="83"/>
      <c r="M2034" s="83"/>
      <c r="N2034" s="83"/>
      <c r="O2034" s="83"/>
      <c r="P2034" s="83"/>
      <c r="Q2034" s="83"/>
      <c r="R2034" s="83"/>
      <c r="S2034" s="83"/>
      <c r="T2034" s="83"/>
      <c r="U2034" s="83"/>
      <c r="V2034" s="83"/>
      <c r="W2034" s="83"/>
      <c r="X2034" s="83"/>
      <c r="Y2034" s="83"/>
      <c r="Z2034" s="83"/>
    </row>
    <row r="2035">
      <c r="A2035" s="75" t="s">
        <v>26</v>
      </c>
      <c r="B2035" s="75" t="s">
        <v>1011</v>
      </c>
      <c r="C2035" s="75">
        <v>0.16</v>
      </c>
      <c r="D2035" s="75">
        <v>0.0</v>
      </c>
      <c r="E2035" s="75">
        <v>0.0</v>
      </c>
      <c r="F2035" s="75" t="s">
        <v>974</v>
      </c>
      <c r="G2035" s="82">
        <v>46111.0</v>
      </c>
      <c r="H2035" s="76" t="s">
        <v>1012</v>
      </c>
      <c r="I2035" s="83"/>
      <c r="J2035" s="83"/>
      <c r="K2035" s="83"/>
      <c r="L2035" s="83"/>
      <c r="M2035" s="83"/>
      <c r="N2035" s="83"/>
      <c r="O2035" s="83"/>
      <c r="P2035" s="83"/>
      <c r="Q2035" s="83"/>
      <c r="R2035" s="83"/>
      <c r="S2035" s="83"/>
      <c r="T2035" s="83"/>
      <c r="U2035" s="83"/>
      <c r="V2035" s="83"/>
      <c r="W2035" s="83"/>
      <c r="X2035" s="83"/>
      <c r="Y2035" s="83"/>
      <c r="Z2035" s="83"/>
    </row>
    <row r="2036">
      <c r="A2036" s="75" t="s">
        <v>26</v>
      </c>
      <c r="B2036" s="75" t="s">
        <v>1011</v>
      </c>
      <c r="C2036" s="75">
        <v>0.4</v>
      </c>
      <c r="D2036" s="75">
        <v>0.0</v>
      </c>
      <c r="E2036" s="75">
        <v>0.0</v>
      </c>
      <c r="F2036" s="75" t="s">
        <v>974</v>
      </c>
      <c r="G2036" s="82">
        <v>46111.0</v>
      </c>
      <c r="H2036" s="76" t="s">
        <v>1013</v>
      </c>
      <c r="I2036" s="83"/>
      <c r="J2036" s="83"/>
      <c r="K2036" s="83"/>
      <c r="L2036" s="83"/>
      <c r="M2036" s="83"/>
      <c r="N2036" s="83"/>
      <c r="O2036" s="83"/>
      <c r="P2036" s="83"/>
      <c r="Q2036" s="83"/>
      <c r="R2036" s="83"/>
      <c r="S2036" s="83"/>
      <c r="T2036" s="83"/>
      <c r="U2036" s="83"/>
      <c r="V2036" s="83"/>
      <c r="W2036" s="83"/>
      <c r="X2036" s="83"/>
      <c r="Y2036" s="83"/>
      <c r="Z2036" s="83"/>
    </row>
    <row r="2037">
      <c r="A2037" s="75" t="s">
        <v>26</v>
      </c>
      <c r="B2037" s="75" t="s">
        <v>1011</v>
      </c>
      <c r="C2037" s="75">
        <v>0.74</v>
      </c>
      <c r="D2037" s="75">
        <v>0.0</v>
      </c>
      <c r="E2037" s="75">
        <v>0.0</v>
      </c>
      <c r="F2037" s="75" t="s">
        <v>974</v>
      </c>
      <c r="G2037" s="82">
        <v>46111.0</v>
      </c>
      <c r="H2037" s="76" t="s">
        <v>1014</v>
      </c>
      <c r="I2037" s="83"/>
      <c r="J2037" s="83"/>
      <c r="K2037" s="83"/>
      <c r="L2037" s="83"/>
      <c r="M2037" s="83"/>
      <c r="N2037" s="83"/>
      <c r="O2037" s="83"/>
      <c r="P2037" s="83"/>
      <c r="Q2037" s="83"/>
      <c r="R2037" s="83"/>
      <c r="S2037" s="83"/>
      <c r="T2037" s="83"/>
      <c r="U2037" s="83"/>
      <c r="V2037" s="83"/>
      <c r="W2037" s="83"/>
      <c r="X2037" s="83"/>
      <c r="Y2037" s="83"/>
      <c r="Z2037" s="83"/>
    </row>
    <row r="2038">
      <c r="A2038" s="75" t="s">
        <v>36</v>
      </c>
      <c r="B2038" s="75" t="s">
        <v>1011</v>
      </c>
      <c r="C2038" s="75">
        <v>90.89</v>
      </c>
      <c r="D2038" s="75">
        <v>30.0</v>
      </c>
      <c r="E2038" s="75">
        <v>3.03</v>
      </c>
      <c r="F2038" s="75" t="s">
        <v>975</v>
      </c>
      <c r="G2038" s="82">
        <v>46111.0</v>
      </c>
      <c r="H2038" s="76" t="s">
        <v>926</v>
      </c>
      <c r="I2038" s="83"/>
      <c r="J2038" s="83"/>
      <c r="K2038" s="83"/>
      <c r="L2038" s="83"/>
      <c r="M2038" s="83"/>
      <c r="N2038" s="83"/>
      <c r="O2038" s="83"/>
      <c r="P2038" s="83"/>
      <c r="Q2038" s="83"/>
      <c r="R2038" s="83"/>
      <c r="S2038" s="83"/>
      <c r="T2038" s="83"/>
      <c r="U2038" s="83"/>
      <c r="V2038" s="83"/>
      <c r="W2038" s="83"/>
      <c r="X2038" s="83"/>
      <c r="Y2038" s="83"/>
      <c r="Z2038" s="83"/>
    </row>
    <row r="2039">
      <c r="A2039" s="75" t="s">
        <v>36</v>
      </c>
      <c r="B2039" s="75" t="s">
        <v>1011</v>
      </c>
      <c r="C2039" s="75">
        <v>9.5</v>
      </c>
      <c r="D2039" s="75">
        <v>0.0</v>
      </c>
      <c r="E2039" s="75">
        <v>0.0</v>
      </c>
      <c r="F2039" s="75" t="s">
        <v>975</v>
      </c>
      <c r="G2039" s="82">
        <v>46111.0</v>
      </c>
      <c r="H2039" s="76" t="s">
        <v>927</v>
      </c>
      <c r="I2039" s="83"/>
      <c r="J2039" s="83"/>
      <c r="K2039" s="83"/>
      <c r="L2039" s="83"/>
      <c r="M2039" s="83"/>
      <c r="N2039" s="83"/>
      <c r="O2039" s="83"/>
      <c r="P2039" s="83"/>
      <c r="Q2039" s="83"/>
      <c r="R2039" s="83"/>
      <c r="S2039" s="83"/>
      <c r="T2039" s="83"/>
      <c r="U2039" s="83"/>
      <c r="V2039" s="83"/>
      <c r="W2039" s="83"/>
      <c r="X2039" s="83"/>
      <c r="Y2039" s="83"/>
      <c r="Z2039" s="83"/>
    </row>
    <row r="2040">
      <c r="A2040" s="75" t="s">
        <v>36</v>
      </c>
      <c r="B2040" s="75" t="s">
        <v>1011</v>
      </c>
      <c r="C2040" s="75">
        <v>8.7</v>
      </c>
      <c r="D2040" s="75">
        <v>0.0</v>
      </c>
      <c r="E2040" s="75">
        <v>0.0</v>
      </c>
      <c r="F2040" s="75" t="s">
        <v>975</v>
      </c>
      <c r="G2040" s="82">
        <v>46111.0</v>
      </c>
      <c r="H2040" s="76" t="s">
        <v>928</v>
      </c>
      <c r="I2040" s="83"/>
      <c r="J2040" s="83"/>
      <c r="K2040" s="83"/>
      <c r="L2040" s="83"/>
      <c r="M2040" s="83"/>
      <c r="N2040" s="83"/>
      <c r="O2040" s="83"/>
      <c r="P2040" s="83"/>
      <c r="Q2040" s="83"/>
      <c r="R2040" s="83"/>
      <c r="S2040" s="83"/>
      <c r="T2040" s="83"/>
      <c r="U2040" s="83"/>
      <c r="V2040" s="83"/>
      <c r="W2040" s="83"/>
      <c r="X2040" s="83"/>
      <c r="Y2040" s="83"/>
      <c r="Z2040" s="83"/>
    </row>
    <row r="2041">
      <c r="A2041" s="75" t="s">
        <v>31</v>
      </c>
      <c r="B2041" s="75" t="s">
        <v>1011</v>
      </c>
      <c r="C2041" s="75">
        <v>83.26</v>
      </c>
      <c r="D2041" s="75">
        <v>28.0</v>
      </c>
      <c r="E2041" s="75">
        <v>2.97</v>
      </c>
      <c r="F2041" s="75" t="s">
        <v>975</v>
      </c>
      <c r="G2041" s="82">
        <v>46111.0</v>
      </c>
      <c r="H2041" s="76" t="s">
        <v>929</v>
      </c>
      <c r="I2041" s="83"/>
      <c r="J2041" s="83"/>
      <c r="K2041" s="83"/>
      <c r="L2041" s="83"/>
      <c r="M2041" s="83"/>
      <c r="N2041" s="83"/>
      <c r="O2041" s="83"/>
      <c r="P2041" s="83"/>
      <c r="Q2041" s="83"/>
      <c r="R2041" s="83"/>
      <c r="S2041" s="83"/>
      <c r="T2041" s="83"/>
      <c r="U2041" s="83"/>
      <c r="V2041" s="83"/>
      <c r="W2041" s="83"/>
      <c r="X2041" s="83"/>
      <c r="Y2041" s="83"/>
      <c r="Z2041" s="83"/>
    </row>
    <row r="2042">
      <c r="A2042" s="75" t="s">
        <v>31</v>
      </c>
      <c r="B2042" s="75" t="s">
        <v>1011</v>
      </c>
      <c r="C2042" s="75">
        <v>354.95</v>
      </c>
      <c r="D2042" s="75">
        <v>142.0</v>
      </c>
      <c r="E2042" s="75">
        <v>2.5</v>
      </c>
      <c r="F2042" s="75" t="s">
        <v>975</v>
      </c>
      <c r="G2042" s="82">
        <v>46111.0</v>
      </c>
      <c r="H2042" s="76" t="s">
        <v>930</v>
      </c>
      <c r="I2042" s="83"/>
      <c r="J2042" s="83"/>
      <c r="K2042" s="83"/>
      <c r="L2042" s="83"/>
      <c r="M2042" s="83"/>
      <c r="N2042" s="83"/>
      <c r="O2042" s="83"/>
      <c r="P2042" s="83"/>
      <c r="Q2042" s="83"/>
      <c r="R2042" s="83"/>
      <c r="S2042" s="83"/>
      <c r="T2042" s="83"/>
      <c r="U2042" s="83"/>
      <c r="V2042" s="83"/>
      <c r="W2042" s="83"/>
      <c r="X2042" s="83"/>
      <c r="Y2042" s="83"/>
      <c r="Z2042" s="83"/>
    </row>
    <row r="2043">
      <c r="A2043" s="75" t="s">
        <v>28</v>
      </c>
      <c r="B2043" s="75" t="s">
        <v>1011</v>
      </c>
      <c r="C2043" s="75">
        <v>47.29</v>
      </c>
      <c r="D2043" s="75">
        <v>10.0</v>
      </c>
      <c r="E2043" s="75">
        <v>4.73</v>
      </c>
      <c r="F2043" s="75" t="s">
        <v>975</v>
      </c>
      <c r="G2043" s="82">
        <v>46111.0</v>
      </c>
      <c r="H2043" s="76" t="s">
        <v>931</v>
      </c>
      <c r="I2043" s="83"/>
      <c r="J2043" s="83"/>
      <c r="K2043" s="83"/>
      <c r="L2043" s="83"/>
      <c r="M2043" s="83"/>
      <c r="N2043" s="83"/>
      <c r="O2043" s="83"/>
      <c r="P2043" s="83"/>
      <c r="Q2043" s="83"/>
      <c r="R2043" s="83"/>
      <c r="S2043" s="83"/>
      <c r="T2043" s="83"/>
      <c r="U2043" s="83"/>
      <c r="V2043" s="83"/>
      <c r="W2043" s="83"/>
      <c r="X2043" s="83"/>
      <c r="Y2043" s="83"/>
      <c r="Z2043" s="83"/>
    </row>
    <row r="2044">
      <c r="A2044" s="75" t="s">
        <v>28</v>
      </c>
      <c r="B2044" s="75" t="s">
        <v>1011</v>
      </c>
      <c r="C2044" s="75">
        <v>10.46</v>
      </c>
      <c r="D2044" s="75">
        <v>4.0</v>
      </c>
      <c r="E2044" s="75">
        <v>2.62</v>
      </c>
      <c r="F2044" s="75" t="s">
        <v>975</v>
      </c>
      <c r="G2044" s="82">
        <v>46111.0</v>
      </c>
      <c r="H2044" s="76" t="s">
        <v>932</v>
      </c>
      <c r="I2044" s="83"/>
      <c r="J2044" s="83"/>
      <c r="K2044" s="83"/>
      <c r="L2044" s="83"/>
      <c r="M2044" s="83"/>
      <c r="N2044" s="83"/>
      <c r="O2044" s="83"/>
      <c r="P2044" s="83"/>
      <c r="Q2044" s="83"/>
      <c r="R2044" s="83"/>
      <c r="S2044" s="83"/>
      <c r="T2044" s="83"/>
      <c r="U2044" s="83"/>
      <c r="V2044" s="83"/>
      <c r="W2044" s="83"/>
      <c r="X2044" s="83"/>
      <c r="Y2044" s="83"/>
      <c r="Z2044" s="83"/>
    </row>
    <row r="2045">
      <c r="A2045" s="75" t="s">
        <v>28</v>
      </c>
      <c r="B2045" s="75" t="s">
        <v>1011</v>
      </c>
      <c r="C2045" s="75">
        <v>68.96</v>
      </c>
      <c r="D2045" s="75">
        <v>10.0</v>
      </c>
      <c r="E2045" s="75">
        <v>6.9</v>
      </c>
      <c r="F2045" s="75" t="s">
        <v>975</v>
      </c>
      <c r="G2045" s="82">
        <v>46111.0</v>
      </c>
      <c r="H2045" s="76" t="s">
        <v>933</v>
      </c>
      <c r="I2045" s="83"/>
      <c r="J2045" s="83"/>
      <c r="K2045" s="83"/>
      <c r="L2045" s="83"/>
      <c r="M2045" s="83"/>
      <c r="N2045" s="83"/>
      <c r="O2045" s="83"/>
      <c r="P2045" s="83"/>
      <c r="Q2045" s="83"/>
      <c r="R2045" s="83"/>
      <c r="S2045" s="83"/>
      <c r="T2045" s="83"/>
      <c r="U2045" s="83"/>
      <c r="V2045" s="83"/>
      <c r="W2045" s="83"/>
      <c r="X2045" s="83"/>
      <c r="Y2045" s="83"/>
      <c r="Z2045" s="83"/>
    </row>
    <row r="2046">
      <c r="A2046" s="75" t="s">
        <v>42</v>
      </c>
      <c r="B2046" s="75" t="s">
        <v>1011</v>
      </c>
      <c r="C2046" s="75">
        <v>7.06</v>
      </c>
      <c r="D2046" s="75">
        <v>1.0</v>
      </c>
      <c r="E2046" s="75">
        <v>7.06</v>
      </c>
      <c r="F2046" s="75" t="s">
        <v>975</v>
      </c>
      <c r="G2046" s="82">
        <v>46111.0</v>
      </c>
      <c r="H2046" s="76" t="s">
        <v>934</v>
      </c>
      <c r="I2046" s="83"/>
      <c r="J2046" s="83"/>
      <c r="K2046" s="83"/>
      <c r="L2046" s="83"/>
      <c r="M2046" s="83"/>
      <c r="N2046" s="83"/>
      <c r="O2046" s="83"/>
      <c r="P2046" s="83"/>
      <c r="Q2046" s="83"/>
      <c r="R2046" s="83"/>
      <c r="S2046" s="83"/>
      <c r="T2046" s="83"/>
      <c r="U2046" s="83"/>
      <c r="V2046" s="83"/>
      <c r="W2046" s="83"/>
      <c r="X2046" s="83"/>
      <c r="Y2046" s="83"/>
      <c r="Z2046" s="83"/>
    </row>
    <row r="2047">
      <c r="A2047" s="75" t="s">
        <v>42</v>
      </c>
      <c r="B2047" s="75" t="s">
        <v>1011</v>
      </c>
      <c r="C2047" s="75">
        <v>1.12</v>
      </c>
      <c r="D2047" s="75">
        <v>1.0</v>
      </c>
      <c r="E2047" s="75">
        <v>1.12</v>
      </c>
      <c r="F2047" s="75" t="s">
        <v>975</v>
      </c>
      <c r="G2047" s="82">
        <v>46111.0</v>
      </c>
      <c r="H2047" s="76" t="s">
        <v>991</v>
      </c>
      <c r="I2047" s="83"/>
      <c r="J2047" s="83"/>
      <c r="K2047" s="83"/>
      <c r="L2047" s="83"/>
      <c r="M2047" s="83"/>
      <c r="N2047" s="83"/>
      <c r="O2047" s="83"/>
      <c r="P2047" s="83"/>
      <c r="Q2047" s="83"/>
      <c r="R2047" s="83"/>
      <c r="S2047" s="83"/>
      <c r="T2047" s="83"/>
      <c r="U2047" s="83"/>
      <c r="V2047" s="83"/>
      <c r="W2047" s="83"/>
      <c r="X2047" s="83"/>
      <c r="Y2047" s="83"/>
      <c r="Z2047" s="83"/>
    </row>
    <row r="2048">
      <c r="A2048" s="75" t="s">
        <v>42</v>
      </c>
      <c r="B2048" s="75" t="s">
        <v>1011</v>
      </c>
      <c r="C2048" s="75">
        <v>23.37</v>
      </c>
      <c r="D2048" s="75">
        <v>5.0</v>
      </c>
      <c r="E2048" s="75">
        <v>4.67</v>
      </c>
      <c r="F2048" s="75" t="s">
        <v>975</v>
      </c>
      <c r="G2048" s="82">
        <v>46111.0</v>
      </c>
      <c r="H2048" s="76" t="s">
        <v>935</v>
      </c>
      <c r="I2048" s="83"/>
      <c r="J2048" s="83"/>
      <c r="K2048" s="83"/>
      <c r="L2048" s="83"/>
      <c r="M2048" s="83"/>
      <c r="N2048" s="83"/>
      <c r="O2048" s="83"/>
      <c r="P2048" s="83"/>
      <c r="Q2048" s="83"/>
      <c r="R2048" s="83"/>
      <c r="S2048" s="83"/>
      <c r="T2048" s="83"/>
      <c r="U2048" s="83"/>
      <c r="V2048" s="83"/>
      <c r="W2048" s="83"/>
      <c r="X2048" s="83"/>
      <c r="Y2048" s="83"/>
      <c r="Z2048" s="83"/>
    </row>
    <row r="2049">
      <c r="A2049" s="75" t="s">
        <v>45</v>
      </c>
      <c r="B2049" s="75" t="s">
        <v>1011</v>
      </c>
      <c r="C2049" s="75">
        <v>19.53</v>
      </c>
      <c r="D2049" s="75">
        <v>3.0</v>
      </c>
      <c r="E2049" s="75">
        <v>6.51</v>
      </c>
      <c r="F2049" s="75" t="s">
        <v>975</v>
      </c>
      <c r="G2049" s="82">
        <v>46111.0</v>
      </c>
      <c r="H2049" s="76" t="s">
        <v>936</v>
      </c>
      <c r="I2049" s="83"/>
      <c r="J2049" s="83"/>
      <c r="K2049" s="83"/>
      <c r="L2049" s="83"/>
      <c r="M2049" s="83"/>
      <c r="N2049" s="83"/>
      <c r="O2049" s="83"/>
      <c r="P2049" s="83"/>
      <c r="Q2049" s="83"/>
      <c r="R2049" s="83"/>
      <c r="S2049" s="83"/>
      <c r="T2049" s="83"/>
      <c r="U2049" s="83"/>
      <c r="V2049" s="83"/>
      <c r="W2049" s="83"/>
      <c r="X2049" s="83"/>
      <c r="Y2049" s="83"/>
      <c r="Z2049" s="83"/>
    </row>
    <row r="2050">
      <c r="A2050" s="75" t="s">
        <v>45</v>
      </c>
      <c r="B2050" s="75" t="s">
        <v>1011</v>
      </c>
      <c r="C2050" s="75">
        <v>12.08</v>
      </c>
      <c r="D2050" s="75">
        <v>2.0</v>
      </c>
      <c r="E2050" s="75">
        <v>6.04</v>
      </c>
      <c r="F2050" s="75" t="s">
        <v>975</v>
      </c>
      <c r="G2050" s="82">
        <v>46111.0</v>
      </c>
      <c r="H2050" s="76" t="s">
        <v>937</v>
      </c>
      <c r="I2050" s="83"/>
      <c r="J2050" s="83"/>
      <c r="K2050" s="83"/>
      <c r="L2050" s="83"/>
      <c r="M2050" s="83"/>
      <c r="N2050" s="83"/>
      <c r="O2050" s="83"/>
      <c r="P2050" s="83"/>
      <c r="Q2050" s="83"/>
      <c r="R2050" s="83"/>
      <c r="S2050" s="83"/>
      <c r="T2050" s="83"/>
      <c r="U2050" s="83"/>
      <c r="V2050" s="83"/>
      <c r="W2050" s="83"/>
      <c r="X2050" s="83"/>
      <c r="Y2050" s="83"/>
      <c r="Z2050" s="83"/>
    </row>
    <row r="2051">
      <c r="A2051" s="75" t="s">
        <v>45</v>
      </c>
      <c r="B2051" s="75" t="s">
        <v>1011</v>
      </c>
      <c r="C2051" s="75">
        <v>24.67</v>
      </c>
      <c r="D2051" s="75">
        <v>5.0</v>
      </c>
      <c r="E2051" s="75">
        <v>4.93</v>
      </c>
      <c r="F2051" s="75" t="s">
        <v>975</v>
      </c>
      <c r="G2051" s="82">
        <v>46111.0</v>
      </c>
      <c r="H2051" s="76" t="s">
        <v>938</v>
      </c>
      <c r="I2051" s="83"/>
      <c r="J2051" s="83"/>
      <c r="K2051" s="83"/>
      <c r="L2051" s="83"/>
      <c r="M2051" s="83"/>
      <c r="N2051" s="83"/>
      <c r="O2051" s="83"/>
      <c r="P2051" s="83"/>
      <c r="Q2051" s="83"/>
      <c r="R2051" s="83"/>
      <c r="S2051" s="83"/>
      <c r="T2051" s="83"/>
      <c r="U2051" s="83"/>
      <c r="V2051" s="83"/>
      <c r="W2051" s="83"/>
      <c r="X2051" s="83"/>
      <c r="Y2051" s="83"/>
      <c r="Z2051" s="83"/>
    </row>
    <row r="2052">
      <c r="A2052" s="75" t="s">
        <v>50</v>
      </c>
      <c r="B2052" s="75" t="s">
        <v>1011</v>
      </c>
      <c r="C2052" s="75">
        <v>13.54</v>
      </c>
      <c r="D2052" s="75">
        <v>0.0</v>
      </c>
      <c r="E2052" s="75">
        <v>0.0</v>
      </c>
      <c r="F2052" s="75" t="s">
        <v>975</v>
      </c>
      <c r="G2052" s="82">
        <v>46111.0</v>
      </c>
      <c r="H2052" s="76" t="s">
        <v>939</v>
      </c>
      <c r="I2052" s="83"/>
      <c r="J2052" s="83"/>
      <c r="K2052" s="83"/>
      <c r="L2052" s="83"/>
      <c r="M2052" s="83"/>
      <c r="N2052" s="83"/>
      <c r="O2052" s="83"/>
      <c r="P2052" s="83"/>
      <c r="Q2052" s="83"/>
      <c r="R2052" s="83"/>
      <c r="S2052" s="83"/>
      <c r="T2052" s="83"/>
      <c r="U2052" s="83"/>
      <c r="V2052" s="83"/>
      <c r="W2052" s="83"/>
      <c r="X2052" s="83"/>
      <c r="Y2052" s="83"/>
      <c r="Z2052" s="83"/>
    </row>
    <row r="2053">
      <c r="A2053" s="75" t="s">
        <v>50</v>
      </c>
      <c r="B2053" s="75" t="s">
        <v>1011</v>
      </c>
      <c r="C2053" s="75">
        <v>0.0</v>
      </c>
      <c r="D2053" s="75">
        <v>0.0</v>
      </c>
      <c r="E2053" s="75">
        <v>0.0</v>
      </c>
      <c r="F2053" s="75" t="s">
        <v>975</v>
      </c>
      <c r="G2053" s="82">
        <v>46111.0</v>
      </c>
      <c r="H2053" s="76" t="s">
        <v>992</v>
      </c>
      <c r="I2053" s="83"/>
      <c r="J2053" s="83"/>
      <c r="K2053" s="83"/>
      <c r="L2053" s="83"/>
      <c r="M2053" s="83"/>
      <c r="N2053" s="83"/>
      <c r="O2053" s="83"/>
      <c r="P2053" s="83"/>
      <c r="Q2053" s="83"/>
      <c r="R2053" s="83"/>
      <c r="S2053" s="83"/>
      <c r="T2053" s="83"/>
      <c r="U2053" s="83"/>
      <c r="V2053" s="83"/>
      <c r="W2053" s="83"/>
      <c r="X2053" s="83"/>
      <c r="Y2053" s="83"/>
      <c r="Z2053" s="83"/>
    </row>
    <row r="2054">
      <c r="A2054" s="75" t="s">
        <v>50</v>
      </c>
      <c r="B2054" s="75" t="s">
        <v>1011</v>
      </c>
      <c r="C2054" s="75">
        <v>10.47</v>
      </c>
      <c r="D2054" s="75">
        <v>5.0</v>
      </c>
      <c r="E2054" s="75">
        <v>2.09</v>
      </c>
      <c r="F2054" s="75" t="s">
        <v>975</v>
      </c>
      <c r="G2054" s="82">
        <v>46111.0</v>
      </c>
      <c r="H2054" s="76" t="s">
        <v>940</v>
      </c>
      <c r="I2054" s="83"/>
      <c r="J2054" s="83"/>
      <c r="K2054" s="83"/>
      <c r="L2054" s="83"/>
      <c r="M2054" s="83"/>
      <c r="N2054" s="83"/>
      <c r="O2054" s="83"/>
      <c r="P2054" s="83"/>
      <c r="Q2054" s="83"/>
      <c r="R2054" s="83"/>
      <c r="S2054" s="83"/>
      <c r="T2054" s="83"/>
      <c r="U2054" s="83"/>
      <c r="V2054" s="83"/>
      <c r="W2054" s="83"/>
      <c r="X2054" s="83"/>
      <c r="Y2054" s="83"/>
      <c r="Z2054" s="83"/>
    </row>
    <row r="2055">
      <c r="A2055" s="75" t="s">
        <v>32</v>
      </c>
      <c r="B2055" s="75" t="s">
        <v>1011</v>
      </c>
      <c r="C2055" s="75">
        <v>111.91</v>
      </c>
      <c r="D2055" s="75">
        <v>31.0</v>
      </c>
      <c r="E2055" s="75">
        <v>3.61</v>
      </c>
      <c r="F2055" s="75" t="s">
        <v>975</v>
      </c>
      <c r="G2055" s="82">
        <v>46111.0</v>
      </c>
      <c r="H2055" s="76" t="s">
        <v>941</v>
      </c>
      <c r="I2055" s="83"/>
      <c r="J2055" s="83"/>
      <c r="K2055" s="83"/>
      <c r="L2055" s="83"/>
      <c r="M2055" s="83"/>
      <c r="N2055" s="83"/>
      <c r="O2055" s="83"/>
      <c r="P2055" s="83"/>
      <c r="Q2055" s="83"/>
      <c r="R2055" s="83"/>
      <c r="S2055" s="83"/>
      <c r="T2055" s="83"/>
      <c r="U2055" s="83"/>
      <c r="V2055" s="83"/>
      <c r="W2055" s="83"/>
      <c r="X2055" s="83"/>
      <c r="Y2055" s="83"/>
      <c r="Z2055" s="83"/>
    </row>
    <row r="2056">
      <c r="A2056" s="75" t="s">
        <v>32</v>
      </c>
      <c r="B2056" s="75" t="s">
        <v>1011</v>
      </c>
      <c r="C2056" s="75">
        <v>11.49</v>
      </c>
      <c r="D2056" s="75">
        <v>6.0</v>
      </c>
      <c r="E2056" s="75">
        <v>1.91</v>
      </c>
      <c r="F2056" s="75" t="s">
        <v>975</v>
      </c>
      <c r="G2056" s="82">
        <v>46111.0</v>
      </c>
      <c r="H2056" s="76" t="s">
        <v>942</v>
      </c>
      <c r="I2056" s="83"/>
      <c r="J2056" s="83"/>
      <c r="K2056" s="83"/>
      <c r="L2056" s="83"/>
      <c r="M2056" s="83"/>
      <c r="N2056" s="83"/>
      <c r="O2056" s="83"/>
      <c r="P2056" s="83"/>
      <c r="Q2056" s="83"/>
      <c r="R2056" s="83"/>
      <c r="S2056" s="83"/>
      <c r="T2056" s="83"/>
      <c r="U2056" s="83"/>
      <c r="V2056" s="83"/>
      <c r="W2056" s="83"/>
      <c r="X2056" s="83"/>
      <c r="Y2056" s="83"/>
      <c r="Z2056" s="83"/>
    </row>
    <row r="2057">
      <c r="A2057" s="75" t="s">
        <v>32</v>
      </c>
      <c r="B2057" s="75" t="s">
        <v>1011</v>
      </c>
      <c r="C2057" s="75">
        <v>42.22</v>
      </c>
      <c r="D2057" s="75">
        <v>18.0</v>
      </c>
      <c r="E2057" s="75">
        <v>2.35</v>
      </c>
      <c r="F2057" s="75" t="s">
        <v>975</v>
      </c>
      <c r="G2057" s="82">
        <v>46111.0</v>
      </c>
      <c r="H2057" s="76" t="s">
        <v>943</v>
      </c>
      <c r="I2057" s="83"/>
      <c r="J2057" s="83"/>
      <c r="K2057" s="83"/>
      <c r="L2057" s="83"/>
      <c r="M2057" s="83"/>
      <c r="N2057" s="83"/>
      <c r="O2057" s="83"/>
      <c r="P2057" s="83"/>
      <c r="Q2057" s="83"/>
      <c r="R2057" s="83"/>
      <c r="S2057" s="83"/>
      <c r="T2057" s="83"/>
      <c r="U2057" s="83"/>
      <c r="V2057" s="83"/>
      <c r="W2057" s="83"/>
      <c r="X2057" s="83"/>
      <c r="Y2057" s="83"/>
      <c r="Z2057" s="83"/>
    </row>
    <row r="2058">
      <c r="A2058" s="75" t="s">
        <v>944</v>
      </c>
      <c r="B2058" s="75" t="s">
        <v>1011</v>
      </c>
      <c r="C2058" s="75">
        <v>86.43</v>
      </c>
      <c r="D2058" s="75">
        <v>23.0</v>
      </c>
      <c r="E2058" s="75">
        <v>3.76</v>
      </c>
      <c r="F2058" s="75" t="s">
        <v>975</v>
      </c>
      <c r="G2058" s="82">
        <v>46111.0</v>
      </c>
      <c r="H2058" s="76" t="s">
        <v>945</v>
      </c>
      <c r="I2058" s="83"/>
      <c r="J2058" s="83"/>
      <c r="K2058" s="83"/>
      <c r="L2058" s="83"/>
      <c r="M2058" s="83"/>
      <c r="N2058" s="83"/>
      <c r="O2058" s="83"/>
      <c r="P2058" s="83"/>
      <c r="Q2058" s="83"/>
      <c r="R2058" s="83"/>
      <c r="S2058" s="83"/>
      <c r="T2058" s="83"/>
      <c r="U2058" s="83"/>
      <c r="V2058" s="83"/>
      <c r="W2058" s="83"/>
      <c r="X2058" s="83"/>
      <c r="Y2058" s="83"/>
      <c r="Z2058" s="83"/>
    </row>
    <row r="2059">
      <c r="A2059" s="75" t="s">
        <v>944</v>
      </c>
      <c r="B2059" s="75" t="s">
        <v>1011</v>
      </c>
      <c r="C2059" s="75">
        <v>28.66</v>
      </c>
      <c r="D2059" s="75">
        <v>7.0</v>
      </c>
      <c r="E2059" s="75">
        <v>4.09</v>
      </c>
      <c r="F2059" s="75" t="s">
        <v>975</v>
      </c>
      <c r="G2059" s="82">
        <v>46111.0</v>
      </c>
      <c r="H2059" s="76" t="s">
        <v>946</v>
      </c>
      <c r="I2059" s="83"/>
      <c r="J2059" s="83"/>
      <c r="K2059" s="83"/>
      <c r="L2059" s="83"/>
      <c r="M2059" s="83"/>
      <c r="N2059" s="83"/>
      <c r="O2059" s="83"/>
      <c r="P2059" s="83"/>
      <c r="Q2059" s="83"/>
      <c r="R2059" s="83"/>
      <c r="S2059" s="83"/>
      <c r="T2059" s="83"/>
      <c r="U2059" s="83"/>
      <c r="V2059" s="83"/>
      <c r="W2059" s="83"/>
      <c r="X2059" s="83"/>
      <c r="Y2059" s="83"/>
      <c r="Z2059" s="83"/>
    </row>
    <row r="2060">
      <c r="A2060" s="75" t="s">
        <v>944</v>
      </c>
      <c r="B2060" s="75" t="s">
        <v>1011</v>
      </c>
      <c r="C2060" s="75">
        <v>18.09</v>
      </c>
      <c r="D2060" s="75">
        <v>3.0</v>
      </c>
      <c r="E2060" s="75">
        <v>6.03</v>
      </c>
      <c r="F2060" s="75" t="s">
        <v>975</v>
      </c>
      <c r="G2060" s="82">
        <v>46111.0</v>
      </c>
      <c r="H2060" s="76" t="s">
        <v>947</v>
      </c>
      <c r="I2060" s="83"/>
      <c r="J2060" s="83"/>
      <c r="K2060" s="83"/>
      <c r="L2060" s="83"/>
      <c r="M2060" s="83"/>
      <c r="N2060" s="83"/>
      <c r="O2060" s="83"/>
      <c r="P2060" s="83"/>
      <c r="Q2060" s="83"/>
      <c r="R2060" s="83"/>
      <c r="S2060" s="83"/>
      <c r="T2060" s="83"/>
      <c r="U2060" s="83"/>
      <c r="V2060" s="83"/>
      <c r="W2060" s="83"/>
      <c r="X2060" s="83"/>
      <c r="Y2060" s="83"/>
      <c r="Z2060" s="83"/>
    </row>
    <row r="2061">
      <c r="A2061" s="75" t="s">
        <v>26</v>
      </c>
      <c r="B2061" s="75" t="s">
        <v>1011</v>
      </c>
      <c r="C2061" s="75">
        <v>0.23</v>
      </c>
      <c r="D2061" s="75">
        <v>0.0</v>
      </c>
      <c r="E2061" s="75">
        <v>0.0</v>
      </c>
      <c r="F2061" s="75" t="s">
        <v>975</v>
      </c>
      <c r="G2061" s="82">
        <v>46111.0</v>
      </c>
      <c r="H2061" s="76" t="s">
        <v>1012</v>
      </c>
      <c r="I2061" s="83"/>
      <c r="J2061" s="83"/>
      <c r="K2061" s="83"/>
      <c r="L2061" s="83"/>
      <c r="M2061" s="83"/>
      <c r="N2061" s="83"/>
      <c r="O2061" s="83"/>
      <c r="P2061" s="83"/>
      <c r="Q2061" s="83"/>
      <c r="R2061" s="83"/>
      <c r="S2061" s="83"/>
      <c r="T2061" s="83"/>
      <c r="U2061" s="83"/>
      <c r="V2061" s="83"/>
      <c r="W2061" s="83"/>
      <c r="X2061" s="83"/>
      <c r="Y2061" s="83"/>
      <c r="Z2061" s="83"/>
    </row>
    <row r="2062">
      <c r="A2062" s="75" t="s">
        <v>26</v>
      </c>
      <c r="B2062" s="75" t="s">
        <v>1011</v>
      </c>
      <c r="C2062" s="75">
        <v>1.08</v>
      </c>
      <c r="D2062" s="75">
        <v>0.0</v>
      </c>
      <c r="E2062" s="75">
        <v>0.0</v>
      </c>
      <c r="F2062" s="75" t="s">
        <v>975</v>
      </c>
      <c r="G2062" s="82">
        <v>46111.0</v>
      </c>
      <c r="H2062" s="76" t="s">
        <v>1013</v>
      </c>
      <c r="I2062" s="83"/>
      <c r="J2062" s="83"/>
      <c r="K2062" s="83"/>
      <c r="L2062" s="83"/>
      <c r="M2062" s="83"/>
      <c r="N2062" s="83"/>
      <c r="O2062" s="83"/>
      <c r="P2062" s="83"/>
      <c r="Q2062" s="83"/>
      <c r="R2062" s="83"/>
      <c r="S2062" s="83"/>
      <c r="T2062" s="83"/>
      <c r="U2062" s="83"/>
      <c r="V2062" s="83"/>
      <c r="W2062" s="83"/>
      <c r="X2062" s="83"/>
      <c r="Y2062" s="83"/>
      <c r="Z2062" s="83"/>
    </row>
    <row r="2063">
      <c r="A2063" s="75" t="s">
        <v>26</v>
      </c>
      <c r="B2063" s="75" t="s">
        <v>1011</v>
      </c>
      <c r="C2063" s="75">
        <v>0.62</v>
      </c>
      <c r="D2063" s="75">
        <v>0.0</v>
      </c>
      <c r="E2063" s="75">
        <v>0.0</v>
      </c>
      <c r="F2063" s="75" t="s">
        <v>975</v>
      </c>
      <c r="G2063" s="82">
        <v>46111.0</v>
      </c>
      <c r="H2063" s="76" t="s">
        <v>1014</v>
      </c>
      <c r="I2063" s="83"/>
      <c r="J2063" s="83"/>
      <c r="K2063" s="83"/>
      <c r="L2063" s="83"/>
      <c r="M2063" s="83"/>
      <c r="N2063" s="83"/>
      <c r="O2063" s="83"/>
      <c r="P2063" s="83"/>
      <c r="Q2063" s="83"/>
      <c r="R2063" s="83"/>
      <c r="S2063" s="83"/>
      <c r="T2063" s="83"/>
      <c r="U2063" s="83"/>
      <c r="V2063" s="83"/>
      <c r="W2063" s="83"/>
      <c r="X2063" s="83"/>
      <c r="Y2063" s="83"/>
      <c r="Z2063" s="83"/>
    </row>
    <row r="2064">
      <c r="A2064" s="75" t="s">
        <v>36</v>
      </c>
      <c r="B2064" s="75" t="s">
        <v>924</v>
      </c>
      <c r="C2064" s="75">
        <v>46.82</v>
      </c>
      <c r="D2064" s="75">
        <v>4.0</v>
      </c>
      <c r="E2064" s="75">
        <v>11.71</v>
      </c>
      <c r="F2064" s="75" t="s">
        <v>925</v>
      </c>
      <c r="G2064" s="82">
        <v>46112.0</v>
      </c>
      <c r="H2064" s="76" t="s">
        <v>926</v>
      </c>
      <c r="I2064" s="83"/>
      <c r="J2064" s="83"/>
      <c r="K2064" s="83"/>
      <c r="L2064" s="83"/>
      <c r="M2064" s="83"/>
      <c r="N2064" s="83"/>
      <c r="O2064" s="83"/>
      <c r="P2064" s="83"/>
      <c r="Q2064" s="83"/>
      <c r="R2064" s="83"/>
      <c r="S2064" s="83"/>
      <c r="T2064" s="83"/>
      <c r="U2064" s="83"/>
      <c r="V2064" s="83"/>
      <c r="W2064" s="83"/>
      <c r="X2064" s="83"/>
      <c r="Y2064" s="83"/>
      <c r="Z2064" s="83"/>
    </row>
    <row r="2065">
      <c r="A2065" s="75" t="s">
        <v>36</v>
      </c>
      <c r="B2065" s="75" t="s">
        <v>924</v>
      </c>
      <c r="C2065" s="75">
        <v>15.0</v>
      </c>
      <c r="D2065" s="75">
        <v>0.0</v>
      </c>
      <c r="E2065" s="75">
        <v>0.0</v>
      </c>
      <c r="F2065" s="75" t="s">
        <v>925</v>
      </c>
      <c r="G2065" s="82">
        <v>46112.0</v>
      </c>
      <c r="H2065" s="76" t="s">
        <v>927</v>
      </c>
      <c r="I2065" s="83"/>
      <c r="J2065" s="83"/>
      <c r="K2065" s="83"/>
      <c r="L2065" s="83"/>
      <c r="M2065" s="83"/>
      <c r="N2065" s="83"/>
      <c r="O2065" s="83"/>
      <c r="P2065" s="83"/>
      <c r="Q2065" s="83"/>
      <c r="R2065" s="83"/>
      <c r="S2065" s="83"/>
      <c r="T2065" s="83"/>
      <c r="U2065" s="83"/>
      <c r="V2065" s="83"/>
      <c r="W2065" s="83"/>
      <c r="X2065" s="83"/>
      <c r="Y2065" s="83"/>
      <c r="Z2065" s="83"/>
    </row>
    <row r="2066">
      <c r="A2066" s="75" t="s">
        <v>36</v>
      </c>
      <c r="B2066" s="75" t="s">
        <v>924</v>
      </c>
      <c r="C2066" s="75">
        <v>12.38</v>
      </c>
      <c r="D2066" s="75">
        <v>1.0</v>
      </c>
      <c r="E2066" s="75">
        <v>12.38</v>
      </c>
      <c r="F2066" s="75" t="s">
        <v>925</v>
      </c>
      <c r="G2066" s="82">
        <v>46112.0</v>
      </c>
      <c r="H2066" s="76" t="s">
        <v>928</v>
      </c>
      <c r="I2066" s="83"/>
      <c r="J2066" s="83"/>
      <c r="K2066" s="83"/>
      <c r="L2066" s="83"/>
      <c r="M2066" s="83"/>
      <c r="N2066" s="83"/>
      <c r="O2066" s="83"/>
      <c r="P2066" s="83"/>
      <c r="Q2066" s="83"/>
      <c r="R2066" s="83"/>
      <c r="S2066" s="83"/>
      <c r="T2066" s="83"/>
      <c r="U2066" s="83"/>
      <c r="V2066" s="83"/>
      <c r="W2066" s="83"/>
      <c r="X2066" s="83"/>
      <c r="Y2066" s="83"/>
      <c r="Z2066" s="83"/>
    </row>
    <row r="2067">
      <c r="A2067" s="75" t="s">
        <v>31</v>
      </c>
      <c r="B2067" s="75" t="s">
        <v>924</v>
      </c>
      <c r="C2067" s="75">
        <v>492.75</v>
      </c>
      <c r="D2067" s="75">
        <v>161.0</v>
      </c>
      <c r="E2067" s="75">
        <v>3.06</v>
      </c>
      <c r="F2067" s="75" t="s">
        <v>925</v>
      </c>
      <c r="G2067" s="82">
        <v>46112.0</v>
      </c>
      <c r="H2067" s="76" t="s">
        <v>929</v>
      </c>
      <c r="I2067" s="83"/>
      <c r="J2067" s="83"/>
      <c r="K2067" s="83"/>
      <c r="L2067" s="83"/>
      <c r="M2067" s="83"/>
      <c r="N2067" s="83"/>
      <c r="O2067" s="83"/>
      <c r="P2067" s="83"/>
      <c r="Q2067" s="83"/>
      <c r="R2067" s="83"/>
      <c r="S2067" s="83"/>
      <c r="T2067" s="83"/>
      <c r="U2067" s="83"/>
      <c r="V2067" s="83"/>
      <c r="W2067" s="83"/>
      <c r="X2067" s="83"/>
      <c r="Y2067" s="83"/>
      <c r="Z2067" s="83"/>
    </row>
    <row r="2068">
      <c r="A2068" s="75" t="s">
        <v>31</v>
      </c>
      <c r="B2068" s="75" t="s">
        <v>924</v>
      </c>
      <c r="C2068" s="75">
        <v>799.05</v>
      </c>
      <c r="D2068" s="75">
        <v>274.0</v>
      </c>
      <c r="E2068" s="75">
        <v>2.92</v>
      </c>
      <c r="F2068" s="75" t="s">
        <v>925</v>
      </c>
      <c r="G2068" s="82">
        <v>46112.0</v>
      </c>
      <c r="H2068" s="76" t="s">
        <v>930</v>
      </c>
      <c r="I2068" s="83"/>
      <c r="J2068" s="83"/>
      <c r="K2068" s="83"/>
      <c r="L2068" s="83"/>
      <c r="M2068" s="83"/>
      <c r="N2068" s="83"/>
      <c r="O2068" s="83"/>
      <c r="P2068" s="83"/>
      <c r="Q2068" s="83"/>
      <c r="R2068" s="83"/>
      <c r="S2068" s="83"/>
      <c r="T2068" s="83"/>
      <c r="U2068" s="83"/>
      <c r="V2068" s="83"/>
      <c r="W2068" s="83"/>
      <c r="X2068" s="83"/>
      <c r="Y2068" s="83"/>
      <c r="Z2068" s="83"/>
    </row>
    <row r="2069">
      <c r="A2069" s="75" t="s">
        <v>28</v>
      </c>
      <c r="B2069" s="75" t="s">
        <v>924</v>
      </c>
      <c r="C2069" s="75">
        <v>26.51</v>
      </c>
      <c r="D2069" s="75">
        <v>0.0</v>
      </c>
      <c r="E2069" s="75">
        <v>0.0</v>
      </c>
      <c r="F2069" s="75" t="s">
        <v>925</v>
      </c>
      <c r="G2069" s="82">
        <v>46112.0</v>
      </c>
      <c r="H2069" s="76" t="s">
        <v>931</v>
      </c>
      <c r="I2069" s="83"/>
      <c r="J2069" s="83"/>
      <c r="K2069" s="83"/>
      <c r="L2069" s="83"/>
      <c r="M2069" s="83"/>
      <c r="N2069" s="83"/>
      <c r="O2069" s="83"/>
      <c r="P2069" s="83"/>
      <c r="Q2069" s="83"/>
      <c r="R2069" s="83"/>
      <c r="S2069" s="83"/>
      <c r="T2069" s="83"/>
      <c r="U2069" s="83"/>
      <c r="V2069" s="83"/>
      <c r="W2069" s="83"/>
      <c r="X2069" s="83"/>
      <c r="Y2069" s="83"/>
      <c r="Z2069" s="83"/>
    </row>
    <row r="2070">
      <c r="A2070" s="75" t="s">
        <v>28</v>
      </c>
      <c r="B2070" s="75" t="s">
        <v>924</v>
      </c>
      <c r="C2070" s="75">
        <v>5.0</v>
      </c>
      <c r="D2070" s="75">
        <v>1.0</v>
      </c>
      <c r="E2070" s="75">
        <v>5.0</v>
      </c>
      <c r="F2070" s="75" t="s">
        <v>925</v>
      </c>
      <c r="G2070" s="82">
        <v>46112.0</v>
      </c>
      <c r="H2070" s="76" t="s">
        <v>932</v>
      </c>
      <c r="I2070" s="83"/>
      <c r="J2070" s="83"/>
      <c r="K2070" s="83"/>
      <c r="L2070" s="83"/>
      <c r="M2070" s="83"/>
      <c r="N2070" s="83"/>
      <c r="O2070" s="83"/>
      <c r="P2070" s="83"/>
      <c r="Q2070" s="83"/>
      <c r="R2070" s="83"/>
      <c r="S2070" s="83"/>
      <c r="T2070" s="83"/>
      <c r="U2070" s="83"/>
      <c r="V2070" s="83"/>
      <c r="W2070" s="83"/>
      <c r="X2070" s="83"/>
      <c r="Y2070" s="83"/>
      <c r="Z2070" s="83"/>
    </row>
    <row r="2071">
      <c r="A2071" s="75" t="s">
        <v>28</v>
      </c>
      <c r="B2071" s="75" t="s">
        <v>924</v>
      </c>
      <c r="C2071" s="75">
        <v>70.42</v>
      </c>
      <c r="D2071" s="75">
        <v>5.0</v>
      </c>
      <c r="E2071" s="75">
        <v>14.08</v>
      </c>
      <c r="F2071" s="75" t="s">
        <v>925</v>
      </c>
      <c r="G2071" s="82">
        <v>46112.0</v>
      </c>
      <c r="H2071" s="76" t="s">
        <v>933</v>
      </c>
      <c r="I2071" s="83"/>
      <c r="J2071" s="83"/>
      <c r="K2071" s="83"/>
      <c r="L2071" s="83"/>
      <c r="M2071" s="83"/>
      <c r="N2071" s="83"/>
      <c r="O2071" s="83"/>
      <c r="P2071" s="83"/>
      <c r="Q2071" s="83"/>
      <c r="R2071" s="83"/>
      <c r="S2071" s="83"/>
      <c r="T2071" s="83"/>
      <c r="U2071" s="83"/>
      <c r="V2071" s="83"/>
      <c r="W2071" s="83"/>
      <c r="X2071" s="83"/>
      <c r="Y2071" s="83"/>
      <c r="Z2071" s="83"/>
    </row>
    <row r="2072">
      <c r="A2072" s="75" t="s">
        <v>42</v>
      </c>
      <c r="B2072" s="75" t="s">
        <v>924</v>
      </c>
      <c r="C2072" s="75">
        <v>5.46</v>
      </c>
      <c r="D2072" s="75">
        <v>2.0</v>
      </c>
      <c r="E2072" s="75">
        <v>2.73</v>
      </c>
      <c r="F2072" s="75" t="s">
        <v>925</v>
      </c>
      <c r="G2072" s="82">
        <v>46112.0</v>
      </c>
      <c r="H2072" s="76" t="s">
        <v>991</v>
      </c>
      <c r="I2072" s="83"/>
      <c r="J2072" s="83"/>
      <c r="K2072" s="83"/>
      <c r="L2072" s="83"/>
      <c r="M2072" s="83"/>
      <c r="N2072" s="83"/>
      <c r="O2072" s="83"/>
      <c r="P2072" s="83"/>
      <c r="Q2072" s="83"/>
      <c r="R2072" s="83"/>
      <c r="S2072" s="83"/>
      <c r="T2072" s="83"/>
      <c r="U2072" s="83"/>
      <c r="V2072" s="83"/>
      <c r="W2072" s="83"/>
      <c r="X2072" s="83"/>
      <c r="Y2072" s="83"/>
      <c r="Z2072" s="83"/>
    </row>
    <row r="2073">
      <c r="A2073" s="75" t="s">
        <v>42</v>
      </c>
      <c r="B2073" s="75" t="s">
        <v>924</v>
      </c>
      <c r="C2073" s="75">
        <v>16.83</v>
      </c>
      <c r="D2073" s="75">
        <v>0.0</v>
      </c>
      <c r="E2073" s="75">
        <v>0.0</v>
      </c>
      <c r="F2073" s="75" t="s">
        <v>925</v>
      </c>
      <c r="G2073" s="82">
        <v>46112.0</v>
      </c>
      <c r="H2073" s="76" t="s">
        <v>935</v>
      </c>
      <c r="I2073" s="83"/>
      <c r="J2073" s="83"/>
      <c r="K2073" s="83"/>
      <c r="L2073" s="83"/>
      <c r="M2073" s="83"/>
      <c r="N2073" s="83"/>
      <c r="O2073" s="83"/>
      <c r="P2073" s="83"/>
      <c r="Q2073" s="83"/>
      <c r="R2073" s="83"/>
      <c r="S2073" s="83"/>
      <c r="T2073" s="83"/>
      <c r="U2073" s="83"/>
      <c r="V2073" s="83"/>
      <c r="W2073" s="83"/>
      <c r="X2073" s="83"/>
      <c r="Y2073" s="83"/>
      <c r="Z2073" s="83"/>
    </row>
    <row r="2074">
      <c r="A2074" s="75" t="s">
        <v>45</v>
      </c>
      <c r="B2074" s="75" t="s">
        <v>924</v>
      </c>
      <c r="C2074" s="75">
        <v>6.47</v>
      </c>
      <c r="D2074" s="75">
        <v>1.0</v>
      </c>
      <c r="E2074" s="75">
        <v>6.47</v>
      </c>
      <c r="F2074" s="75" t="s">
        <v>925</v>
      </c>
      <c r="G2074" s="82">
        <v>46112.0</v>
      </c>
      <c r="H2074" s="76" t="s">
        <v>936</v>
      </c>
      <c r="I2074" s="83"/>
      <c r="J2074" s="83"/>
      <c r="K2074" s="83"/>
      <c r="L2074" s="83"/>
      <c r="M2074" s="83"/>
      <c r="N2074" s="83"/>
      <c r="O2074" s="83"/>
      <c r="P2074" s="83"/>
      <c r="Q2074" s="83"/>
      <c r="R2074" s="83"/>
      <c r="S2074" s="83"/>
      <c r="T2074" s="83"/>
      <c r="U2074" s="83"/>
      <c r="V2074" s="83"/>
      <c r="W2074" s="83"/>
      <c r="X2074" s="83"/>
      <c r="Y2074" s="83"/>
      <c r="Z2074" s="83"/>
    </row>
    <row r="2075">
      <c r="A2075" s="75" t="s">
        <v>45</v>
      </c>
      <c r="B2075" s="75" t="s">
        <v>924</v>
      </c>
      <c r="C2075" s="75">
        <v>7.26</v>
      </c>
      <c r="D2075" s="75">
        <v>1.0</v>
      </c>
      <c r="E2075" s="75">
        <v>7.26</v>
      </c>
      <c r="F2075" s="75" t="s">
        <v>925</v>
      </c>
      <c r="G2075" s="82">
        <v>46112.0</v>
      </c>
      <c r="H2075" s="76" t="s">
        <v>937</v>
      </c>
      <c r="I2075" s="83"/>
      <c r="J2075" s="83"/>
      <c r="K2075" s="83"/>
      <c r="L2075" s="83"/>
      <c r="M2075" s="83"/>
      <c r="N2075" s="83"/>
      <c r="O2075" s="83"/>
      <c r="P2075" s="83"/>
      <c r="Q2075" s="83"/>
      <c r="R2075" s="83"/>
      <c r="S2075" s="83"/>
      <c r="T2075" s="83"/>
      <c r="U2075" s="83"/>
      <c r="V2075" s="83"/>
      <c r="W2075" s="83"/>
      <c r="X2075" s="83"/>
      <c r="Y2075" s="83"/>
      <c r="Z2075" s="83"/>
    </row>
    <row r="2076">
      <c r="A2076" s="75" t="s">
        <v>45</v>
      </c>
      <c r="B2076" s="75" t="s">
        <v>924</v>
      </c>
      <c r="C2076" s="75">
        <v>19.65</v>
      </c>
      <c r="D2076" s="75">
        <v>0.0</v>
      </c>
      <c r="E2076" s="75">
        <v>0.0</v>
      </c>
      <c r="F2076" s="75" t="s">
        <v>925</v>
      </c>
      <c r="G2076" s="82">
        <v>46112.0</v>
      </c>
      <c r="H2076" s="76" t="s">
        <v>938</v>
      </c>
      <c r="I2076" s="83"/>
      <c r="J2076" s="83"/>
      <c r="K2076" s="83"/>
      <c r="L2076" s="83"/>
      <c r="M2076" s="83"/>
      <c r="N2076" s="83"/>
      <c r="O2076" s="83"/>
      <c r="P2076" s="83"/>
      <c r="Q2076" s="83"/>
      <c r="R2076" s="83"/>
      <c r="S2076" s="83"/>
      <c r="T2076" s="83"/>
      <c r="U2076" s="83"/>
      <c r="V2076" s="83"/>
      <c r="W2076" s="83"/>
      <c r="X2076" s="83"/>
      <c r="Y2076" s="83"/>
      <c r="Z2076" s="83"/>
    </row>
    <row r="2077">
      <c r="A2077" s="75" t="s">
        <v>50</v>
      </c>
      <c r="B2077" s="75" t="s">
        <v>924</v>
      </c>
      <c r="C2077" s="75">
        <v>28.75</v>
      </c>
      <c r="D2077" s="75">
        <v>0.0</v>
      </c>
      <c r="E2077" s="75">
        <v>0.0</v>
      </c>
      <c r="F2077" s="75" t="s">
        <v>925</v>
      </c>
      <c r="G2077" s="82">
        <v>46112.0</v>
      </c>
      <c r="H2077" s="76" t="s">
        <v>939</v>
      </c>
      <c r="I2077" s="83"/>
      <c r="J2077" s="83"/>
      <c r="K2077" s="83"/>
      <c r="L2077" s="83"/>
      <c r="M2077" s="83"/>
      <c r="N2077" s="83"/>
      <c r="O2077" s="83"/>
      <c r="P2077" s="83"/>
      <c r="Q2077" s="83"/>
      <c r="R2077" s="83"/>
      <c r="S2077" s="83"/>
      <c r="T2077" s="83"/>
      <c r="U2077" s="83"/>
      <c r="V2077" s="83"/>
      <c r="W2077" s="83"/>
      <c r="X2077" s="83"/>
      <c r="Y2077" s="83"/>
      <c r="Z2077" s="83"/>
    </row>
    <row r="2078">
      <c r="A2078" s="75" t="s">
        <v>50</v>
      </c>
      <c r="B2078" s="75" t="s">
        <v>924</v>
      </c>
      <c r="C2078" s="75">
        <v>10.45</v>
      </c>
      <c r="D2078" s="75">
        <v>0.0</v>
      </c>
      <c r="E2078" s="75">
        <v>0.0</v>
      </c>
      <c r="F2078" s="75" t="s">
        <v>925</v>
      </c>
      <c r="G2078" s="82">
        <v>46112.0</v>
      </c>
      <c r="H2078" s="76" t="s">
        <v>940</v>
      </c>
      <c r="I2078" s="83"/>
      <c r="J2078" s="83"/>
      <c r="K2078" s="83"/>
      <c r="L2078" s="83"/>
      <c r="M2078" s="83"/>
      <c r="N2078" s="83"/>
      <c r="O2078" s="83"/>
      <c r="P2078" s="83"/>
      <c r="Q2078" s="83"/>
      <c r="R2078" s="83"/>
      <c r="S2078" s="83"/>
      <c r="T2078" s="83"/>
      <c r="U2078" s="83"/>
      <c r="V2078" s="83"/>
      <c r="W2078" s="83"/>
      <c r="X2078" s="83"/>
      <c r="Y2078" s="83"/>
      <c r="Z2078" s="83"/>
    </row>
    <row r="2079">
      <c r="A2079" s="75" t="s">
        <v>32</v>
      </c>
      <c r="B2079" s="75" t="s">
        <v>924</v>
      </c>
      <c r="C2079" s="75">
        <v>259.15</v>
      </c>
      <c r="D2079" s="75">
        <v>49.0</v>
      </c>
      <c r="E2079" s="75">
        <v>5.29</v>
      </c>
      <c r="F2079" s="75" t="s">
        <v>925</v>
      </c>
      <c r="G2079" s="82">
        <v>46112.0</v>
      </c>
      <c r="H2079" s="76" t="s">
        <v>941</v>
      </c>
      <c r="I2079" s="83"/>
      <c r="J2079" s="83"/>
      <c r="K2079" s="83"/>
      <c r="L2079" s="83"/>
      <c r="M2079" s="83"/>
      <c r="N2079" s="83"/>
      <c r="O2079" s="83"/>
      <c r="P2079" s="83"/>
      <c r="Q2079" s="83"/>
      <c r="R2079" s="83"/>
      <c r="S2079" s="83"/>
      <c r="T2079" s="83"/>
      <c r="U2079" s="83"/>
      <c r="V2079" s="83"/>
      <c r="W2079" s="83"/>
      <c r="X2079" s="83"/>
      <c r="Y2079" s="83"/>
      <c r="Z2079" s="83"/>
    </row>
    <row r="2080">
      <c r="A2080" s="75" t="s">
        <v>32</v>
      </c>
      <c r="B2080" s="75" t="s">
        <v>924</v>
      </c>
      <c r="C2080" s="75">
        <v>59.05</v>
      </c>
      <c r="D2080" s="75">
        <v>13.0</v>
      </c>
      <c r="E2080" s="75">
        <v>4.54</v>
      </c>
      <c r="F2080" s="75" t="s">
        <v>925</v>
      </c>
      <c r="G2080" s="82">
        <v>46112.0</v>
      </c>
      <c r="H2080" s="76" t="s">
        <v>942</v>
      </c>
      <c r="I2080" s="83"/>
      <c r="J2080" s="83"/>
      <c r="K2080" s="83"/>
      <c r="L2080" s="83"/>
      <c r="M2080" s="83"/>
      <c r="N2080" s="83"/>
      <c r="O2080" s="83"/>
      <c r="P2080" s="83"/>
      <c r="Q2080" s="83"/>
      <c r="R2080" s="83"/>
      <c r="S2080" s="83"/>
      <c r="T2080" s="83"/>
      <c r="U2080" s="83"/>
      <c r="V2080" s="83"/>
      <c r="W2080" s="83"/>
      <c r="X2080" s="83"/>
      <c r="Y2080" s="83"/>
      <c r="Z2080" s="83"/>
    </row>
    <row r="2081">
      <c r="A2081" s="75" t="s">
        <v>32</v>
      </c>
      <c r="B2081" s="75" t="s">
        <v>924</v>
      </c>
      <c r="C2081" s="75">
        <v>41.24</v>
      </c>
      <c r="D2081" s="75">
        <v>14.0</v>
      </c>
      <c r="E2081" s="75">
        <v>2.95</v>
      </c>
      <c r="F2081" s="75" t="s">
        <v>925</v>
      </c>
      <c r="G2081" s="82">
        <v>46112.0</v>
      </c>
      <c r="H2081" s="76" t="s">
        <v>943</v>
      </c>
      <c r="I2081" s="83"/>
      <c r="J2081" s="83"/>
      <c r="K2081" s="83"/>
      <c r="L2081" s="83"/>
      <c r="M2081" s="83"/>
      <c r="N2081" s="83"/>
      <c r="O2081" s="83"/>
      <c r="P2081" s="83"/>
      <c r="Q2081" s="83"/>
      <c r="R2081" s="83"/>
      <c r="S2081" s="83"/>
      <c r="T2081" s="83"/>
      <c r="U2081" s="83"/>
      <c r="V2081" s="83"/>
      <c r="W2081" s="83"/>
      <c r="X2081" s="83"/>
      <c r="Y2081" s="83"/>
      <c r="Z2081" s="83"/>
    </row>
    <row r="2082">
      <c r="A2082" s="75" t="s">
        <v>944</v>
      </c>
      <c r="B2082" s="75" t="s">
        <v>924</v>
      </c>
      <c r="C2082" s="75">
        <v>84.13</v>
      </c>
      <c r="D2082" s="75">
        <v>4.0</v>
      </c>
      <c r="E2082" s="75">
        <v>21.03</v>
      </c>
      <c r="F2082" s="75" t="s">
        <v>925</v>
      </c>
      <c r="G2082" s="82">
        <v>46112.0</v>
      </c>
      <c r="H2082" s="76" t="s">
        <v>945</v>
      </c>
      <c r="I2082" s="83"/>
      <c r="J2082" s="83"/>
      <c r="K2082" s="83"/>
      <c r="L2082" s="83"/>
      <c r="M2082" s="83"/>
      <c r="N2082" s="83"/>
      <c r="O2082" s="83"/>
      <c r="P2082" s="83"/>
      <c r="Q2082" s="83"/>
      <c r="R2082" s="83"/>
      <c r="S2082" s="83"/>
      <c r="T2082" s="83"/>
      <c r="U2082" s="83"/>
      <c r="V2082" s="83"/>
      <c r="W2082" s="83"/>
      <c r="X2082" s="83"/>
      <c r="Y2082" s="83"/>
      <c r="Z2082" s="83"/>
    </row>
    <row r="2083">
      <c r="A2083" s="75" t="s">
        <v>944</v>
      </c>
      <c r="B2083" s="75" t="s">
        <v>924</v>
      </c>
      <c r="C2083" s="75">
        <v>11.77</v>
      </c>
      <c r="D2083" s="75">
        <v>0.0</v>
      </c>
      <c r="E2083" s="75">
        <v>0.0</v>
      </c>
      <c r="F2083" s="75" t="s">
        <v>925</v>
      </c>
      <c r="G2083" s="82">
        <v>46112.0</v>
      </c>
      <c r="H2083" s="76" t="s">
        <v>946</v>
      </c>
      <c r="I2083" s="83"/>
      <c r="J2083" s="83"/>
      <c r="K2083" s="83"/>
      <c r="L2083" s="83"/>
      <c r="M2083" s="83"/>
      <c r="N2083" s="83"/>
      <c r="O2083" s="83"/>
      <c r="P2083" s="83"/>
      <c r="Q2083" s="83"/>
      <c r="R2083" s="83"/>
      <c r="S2083" s="83"/>
      <c r="T2083" s="83"/>
      <c r="U2083" s="83"/>
      <c r="V2083" s="83"/>
      <c r="W2083" s="83"/>
      <c r="X2083" s="83"/>
      <c r="Y2083" s="83"/>
      <c r="Z2083" s="83"/>
    </row>
    <row r="2084">
      <c r="A2084" s="75" t="s">
        <v>944</v>
      </c>
      <c r="B2084" s="75" t="s">
        <v>924</v>
      </c>
      <c r="C2084" s="75">
        <v>31.83</v>
      </c>
      <c r="D2084" s="75">
        <v>2.0</v>
      </c>
      <c r="E2084" s="75">
        <v>15.92</v>
      </c>
      <c r="F2084" s="75" t="s">
        <v>925</v>
      </c>
      <c r="G2084" s="82">
        <v>46112.0</v>
      </c>
      <c r="H2084" s="76" t="s">
        <v>947</v>
      </c>
      <c r="I2084" s="83"/>
      <c r="J2084" s="83"/>
      <c r="K2084" s="83"/>
      <c r="L2084" s="83"/>
      <c r="M2084" s="83"/>
      <c r="N2084" s="83"/>
      <c r="O2084" s="83"/>
      <c r="P2084" s="83"/>
      <c r="Q2084" s="83"/>
      <c r="R2084" s="83"/>
      <c r="S2084" s="83"/>
      <c r="T2084" s="83"/>
      <c r="U2084" s="83"/>
      <c r="V2084" s="83"/>
      <c r="W2084" s="83"/>
      <c r="X2084" s="83"/>
      <c r="Y2084" s="83"/>
      <c r="Z2084" s="83"/>
    </row>
    <row r="2085">
      <c r="A2085" s="75" t="s">
        <v>26</v>
      </c>
      <c r="B2085" s="75" t="s">
        <v>924</v>
      </c>
      <c r="C2085" s="75">
        <v>10.81</v>
      </c>
      <c r="D2085" s="75">
        <v>0.0</v>
      </c>
      <c r="E2085" s="75">
        <v>0.0</v>
      </c>
      <c r="F2085" s="75" t="s">
        <v>925</v>
      </c>
      <c r="G2085" s="82">
        <v>46112.0</v>
      </c>
      <c r="H2085" s="76" t="s">
        <v>1012</v>
      </c>
      <c r="I2085" s="83"/>
      <c r="J2085" s="83"/>
      <c r="K2085" s="83"/>
      <c r="L2085" s="83"/>
      <c r="M2085" s="83"/>
      <c r="N2085" s="83"/>
      <c r="O2085" s="83"/>
      <c r="P2085" s="83"/>
      <c r="Q2085" s="83"/>
      <c r="R2085" s="83"/>
      <c r="S2085" s="83"/>
      <c r="T2085" s="83"/>
      <c r="U2085" s="83"/>
      <c r="V2085" s="83"/>
      <c r="W2085" s="83"/>
      <c r="X2085" s="83"/>
      <c r="Y2085" s="83"/>
      <c r="Z2085" s="83"/>
    </row>
    <row r="2086">
      <c r="A2086" s="75" t="s">
        <v>26</v>
      </c>
      <c r="B2086" s="75" t="s">
        <v>924</v>
      </c>
      <c r="C2086" s="75">
        <v>9.78</v>
      </c>
      <c r="D2086" s="75">
        <v>0.0</v>
      </c>
      <c r="E2086" s="75">
        <v>0.0</v>
      </c>
      <c r="F2086" s="75" t="s">
        <v>925</v>
      </c>
      <c r="G2086" s="82">
        <v>46112.0</v>
      </c>
      <c r="H2086" s="76" t="s">
        <v>1013</v>
      </c>
      <c r="I2086" s="83"/>
      <c r="J2086" s="83"/>
      <c r="K2086" s="83"/>
      <c r="L2086" s="83"/>
      <c r="M2086" s="83"/>
      <c r="N2086" s="83"/>
      <c r="O2086" s="83"/>
      <c r="P2086" s="83"/>
      <c r="Q2086" s="83"/>
      <c r="R2086" s="83"/>
      <c r="S2086" s="83"/>
      <c r="T2086" s="83"/>
      <c r="U2086" s="83"/>
      <c r="V2086" s="83"/>
      <c r="W2086" s="83"/>
      <c r="X2086" s="83"/>
      <c r="Y2086" s="83"/>
      <c r="Z2086" s="83"/>
    </row>
    <row r="2087">
      <c r="A2087" s="75" t="s">
        <v>26</v>
      </c>
      <c r="B2087" s="75" t="s">
        <v>924</v>
      </c>
      <c r="C2087" s="75">
        <v>16.21</v>
      </c>
      <c r="D2087" s="75">
        <v>1.0</v>
      </c>
      <c r="E2087" s="75">
        <v>16.21</v>
      </c>
      <c r="F2087" s="75" t="s">
        <v>925</v>
      </c>
      <c r="G2087" s="82">
        <v>46112.0</v>
      </c>
      <c r="H2087" s="76" t="s">
        <v>1014</v>
      </c>
      <c r="I2087" s="83"/>
      <c r="J2087" s="83"/>
      <c r="K2087" s="83"/>
      <c r="L2087" s="83"/>
      <c r="M2087" s="83"/>
      <c r="N2087" s="83"/>
      <c r="O2087" s="83"/>
      <c r="P2087" s="83"/>
      <c r="Q2087" s="83"/>
      <c r="R2087" s="83"/>
      <c r="S2087" s="83"/>
      <c r="T2087" s="83"/>
      <c r="U2087" s="83"/>
      <c r="V2087" s="83"/>
      <c r="W2087" s="83"/>
      <c r="X2087" s="83"/>
      <c r="Y2087" s="83"/>
      <c r="Z2087" s="83"/>
    </row>
    <row r="2088">
      <c r="A2088" s="75" t="s">
        <v>36</v>
      </c>
      <c r="B2088" s="75" t="s">
        <v>924</v>
      </c>
      <c r="C2088" s="75">
        <v>26.53</v>
      </c>
      <c r="D2088" s="75">
        <v>1.0</v>
      </c>
      <c r="E2088" s="75">
        <v>26.53</v>
      </c>
      <c r="F2088" s="75" t="s">
        <v>948</v>
      </c>
      <c r="G2088" s="82">
        <v>46112.0</v>
      </c>
      <c r="H2088" s="76" t="s">
        <v>926</v>
      </c>
      <c r="I2088" s="83"/>
      <c r="J2088" s="83"/>
      <c r="K2088" s="83"/>
      <c r="L2088" s="83"/>
      <c r="M2088" s="83"/>
      <c r="N2088" s="83"/>
      <c r="O2088" s="83"/>
      <c r="P2088" s="83"/>
      <c r="Q2088" s="83"/>
      <c r="R2088" s="83"/>
      <c r="S2088" s="83"/>
      <c r="T2088" s="83"/>
      <c r="U2088" s="83"/>
      <c r="V2088" s="83"/>
      <c r="W2088" s="83"/>
      <c r="X2088" s="83"/>
      <c r="Y2088" s="83"/>
      <c r="Z2088" s="83"/>
    </row>
    <row r="2089">
      <c r="A2089" s="75" t="s">
        <v>36</v>
      </c>
      <c r="B2089" s="75" t="s">
        <v>924</v>
      </c>
      <c r="C2089" s="75">
        <v>11.06</v>
      </c>
      <c r="D2089" s="75">
        <v>0.0</v>
      </c>
      <c r="E2089" s="75">
        <v>0.0</v>
      </c>
      <c r="F2089" s="75" t="s">
        <v>948</v>
      </c>
      <c r="G2089" s="82">
        <v>46112.0</v>
      </c>
      <c r="H2089" s="76" t="s">
        <v>927</v>
      </c>
      <c r="I2089" s="83"/>
      <c r="J2089" s="83"/>
      <c r="K2089" s="83"/>
      <c r="L2089" s="83"/>
      <c r="M2089" s="83"/>
      <c r="N2089" s="83"/>
      <c r="O2089" s="83"/>
      <c r="P2089" s="83"/>
      <c r="Q2089" s="83"/>
      <c r="R2089" s="83"/>
      <c r="S2089" s="83"/>
      <c r="T2089" s="83"/>
      <c r="U2089" s="83"/>
      <c r="V2089" s="83"/>
      <c r="W2089" s="83"/>
      <c r="X2089" s="83"/>
      <c r="Y2089" s="83"/>
      <c r="Z2089" s="83"/>
    </row>
    <row r="2090">
      <c r="A2090" s="75" t="s">
        <v>36</v>
      </c>
      <c r="B2090" s="75" t="s">
        <v>924</v>
      </c>
      <c r="C2090" s="75">
        <v>6.89</v>
      </c>
      <c r="D2090" s="75">
        <v>3.0</v>
      </c>
      <c r="E2090" s="75">
        <v>2.3</v>
      </c>
      <c r="F2090" s="75" t="s">
        <v>948</v>
      </c>
      <c r="G2090" s="82">
        <v>46112.0</v>
      </c>
      <c r="H2090" s="76" t="s">
        <v>928</v>
      </c>
      <c r="I2090" s="83"/>
      <c r="J2090" s="83"/>
      <c r="K2090" s="83"/>
      <c r="L2090" s="83"/>
      <c r="M2090" s="83"/>
      <c r="N2090" s="83"/>
      <c r="O2090" s="83"/>
      <c r="P2090" s="83"/>
      <c r="Q2090" s="83"/>
      <c r="R2090" s="83"/>
      <c r="S2090" s="83"/>
      <c r="T2090" s="83"/>
      <c r="U2090" s="83"/>
      <c r="V2090" s="83"/>
      <c r="W2090" s="83"/>
      <c r="X2090" s="83"/>
      <c r="Y2090" s="83"/>
      <c r="Z2090" s="83"/>
    </row>
    <row r="2091">
      <c r="A2091" s="75" t="s">
        <v>31</v>
      </c>
      <c r="B2091" s="75" t="s">
        <v>924</v>
      </c>
      <c r="C2091" s="75">
        <v>125.91</v>
      </c>
      <c r="D2091" s="75">
        <v>37.0</v>
      </c>
      <c r="E2091" s="75">
        <v>3.4</v>
      </c>
      <c r="F2091" s="75" t="s">
        <v>948</v>
      </c>
      <c r="G2091" s="82">
        <v>46112.0</v>
      </c>
      <c r="H2091" s="76" t="s">
        <v>929</v>
      </c>
      <c r="I2091" s="83"/>
      <c r="J2091" s="83"/>
      <c r="K2091" s="83"/>
      <c r="L2091" s="83"/>
      <c r="M2091" s="83"/>
      <c r="N2091" s="83"/>
      <c r="O2091" s="83"/>
      <c r="P2091" s="83"/>
      <c r="Q2091" s="83"/>
      <c r="R2091" s="83"/>
      <c r="S2091" s="83"/>
      <c r="T2091" s="83"/>
      <c r="U2091" s="83"/>
      <c r="V2091" s="83"/>
      <c r="W2091" s="83"/>
      <c r="X2091" s="83"/>
      <c r="Y2091" s="83"/>
      <c r="Z2091" s="83"/>
    </row>
    <row r="2092">
      <c r="A2092" s="75" t="s">
        <v>31</v>
      </c>
      <c r="B2092" s="75" t="s">
        <v>924</v>
      </c>
      <c r="C2092" s="75">
        <v>269.2</v>
      </c>
      <c r="D2092" s="75">
        <v>78.0</v>
      </c>
      <c r="E2092" s="75">
        <v>3.45</v>
      </c>
      <c r="F2092" s="75" t="s">
        <v>948</v>
      </c>
      <c r="G2092" s="82">
        <v>46112.0</v>
      </c>
      <c r="H2092" s="76" t="s">
        <v>930</v>
      </c>
      <c r="I2092" s="83"/>
      <c r="J2092" s="83"/>
      <c r="K2092" s="83"/>
      <c r="L2092" s="83"/>
      <c r="M2092" s="83"/>
      <c r="N2092" s="83"/>
      <c r="O2092" s="83"/>
      <c r="P2092" s="83"/>
      <c r="Q2092" s="83"/>
      <c r="R2092" s="83"/>
      <c r="S2092" s="83"/>
      <c r="T2092" s="83"/>
      <c r="U2092" s="83"/>
      <c r="V2092" s="83"/>
      <c r="W2092" s="83"/>
      <c r="X2092" s="83"/>
      <c r="Y2092" s="83"/>
      <c r="Z2092" s="83"/>
    </row>
    <row r="2093">
      <c r="A2093" s="75" t="s">
        <v>28</v>
      </c>
      <c r="B2093" s="75" t="s">
        <v>924</v>
      </c>
      <c r="C2093" s="75">
        <v>17.72</v>
      </c>
      <c r="D2093" s="75">
        <v>0.0</v>
      </c>
      <c r="E2093" s="75">
        <v>0.0</v>
      </c>
      <c r="F2093" s="75" t="s">
        <v>948</v>
      </c>
      <c r="G2093" s="82">
        <v>46112.0</v>
      </c>
      <c r="H2093" s="76" t="s">
        <v>931</v>
      </c>
      <c r="I2093" s="83"/>
      <c r="J2093" s="83"/>
      <c r="K2093" s="83"/>
      <c r="L2093" s="83"/>
      <c r="M2093" s="83"/>
      <c r="N2093" s="83"/>
      <c r="O2093" s="83"/>
      <c r="P2093" s="83"/>
      <c r="Q2093" s="83"/>
      <c r="R2093" s="83"/>
      <c r="S2093" s="83"/>
      <c r="T2093" s="83"/>
      <c r="U2093" s="83"/>
      <c r="V2093" s="83"/>
      <c r="W2093" s="83"/>
      <c r="X2093" s="83"/>
      <c r="Y2093" s="83"/>
      <c r="Z2093" s="83"/>
    </row>
    <row r="2094">
      <c r="A2094" s="75" t="s">
        <v>28</v>
      </c>
      <c r="B2094" s="75" t="s">
        <v>924</v>
      </c>
      <c r="C2094" s="75">
        <v>1.62</v>
      </c>
      <c r="D2094" s="75">
        <v>1.0</v>
      </c>
      <c r="E2094" s="75">
        <v>1.62</v>
      </c>
      <c r="F2094" s="75" t="s">
        <v>948</v>
      </c>
      <c r="G2094" s="82">
        <v>46112.0</v>
      </c>
      <c r="H2094" s="76" t="s">
        <v>932</v>
      </c>
      <c r="I2094" s="83"/>
      <c r="J2094" s="83"/>
      <c r="K2094" s="83"/>
      <c r="L2094" s="83"/>
      <c r="M2094" s="83"/>
      <c r="N2094" s="83"/>
      <c r="O2094" s="83"/>
      <c r="P2094" s="83"/>
      <c r="Q2094" s="83"/>
      <c r="R2094" s="83"/>
      <c r="S2094" s="83"/>
      <c r="T2094" s="83"/>
      <c r="U2094" s="83"/>
      <c r="V2094" s="83"/>
      <c r="W2094" s="83"/>
      <c r="X2094" s="83"/>
      <c r="Y2094" s="83"/>
      <c r="Z2094" s="83"/>
    </row>
    <row r="2095">
      <c r="A2095" s="75" t="s">
        <v>28</v>
      </c>
      <c r="B2095" s="75" t="s">
        <v>924</v>
      </c>
      <c r="C2095" s="75">
        <v>30.69</v>
      </c>
      <c r="D2095" s="75">
        <v>0.0</v>
      </c>
      <c r="E2095" s="75">
        <v>0.0</v>
      </c>
      <c r="F2095" s="75" t="s">
        <v>948</v>
      </c>
      <c r="G2095" s="82">
        <v>46112.0</v>
      </c>
      <c r="H2095" s="76" t="s">
        <v>933</v>
      </c>
      <c r="I2095" s="83"/>
      <c r="J2095" s="83"/>
      <c r="K2095" s="83"/>
      <c r="L2095" s="83"/>
      <c r="M2095" s="83"/>
      <c r="N2095" s="83"/>
      <c r="O2095" s="83"/>
      <c r="P2095" s="83"/>
      <c r="Q2095" s="83"/>
      <c r="R2095" s="83"/>
      <c r="S2095" s="83"/>
      <c r="T2095" s="83"/>
      <c r="U2095" s="83"/>
      <c r="V2095" s="83"/>
      <c r="W2095" s="83"/>
      <c r="X2095" s="83"/>
      <c r="Y2095" s="83"/>
      <c r="Z2095" s="83"/>
    </row>
    <row r="2096">
      <c r="A2096" s="75" t="s">
        <v>42</v>
      </c>
      <c r="B2096" s="75" t="s">
        <v>924</v>
      </c>
      <c r="C2096" s="75">
        <v>1.78</v>
      </c>
      <c r="D2096" s="75">
        <v>0.0</v>
      </c>
      <c r="E2096" s="75">
        <v>0.0</v>
      </c>
      <c r="F2096" s="75" t="s">
        <v>948</v>
      </c>
      <c r="G2096" s="82">
        <v>46112.0</v>
      </c>
      <c r="H2096" s="76" t="s">
        <v>991</v>
      </c>
      <c r="I2096" s="83"/>
      <c r="J2096" s="83"/>
      <c r="K2096" s="83"/>
      <c r="L2096" s="83"/>
      <c r="M2096" s="83"/>
      <c r="N2096" s="83"/>
      <c r="O2096" s="83"/>
      <c r="P2096" s="83"/>
      <c r="Q2096" s="83"/>
      <c r="R2096" s="83"/>
      <c r="S2096" s="83"/>
      <c r="T2096" s="83"/>
      <c r="U2096" s="83"/>
      <c r="V2096" s="83"/>
      <c r="W2096" s="83"/>
      <c r="X2096" s="83"/>
      <c r="Y2096" s="83"/>
      <c r="Z2096" s="83"/>
    </row>
    <row r="2097">
      <c r="A2097" s="75" t="s">
        <v>42</v>
      </c>
      <c r="B2097" s="75" t="s">
        <v>924</v>
      </c>
      <c r="C2097" s="75">
        <v>5.93</v>
      </c>
      <c r="D2097" s="75">
        <v>0.0</v>
      </c>
      <c r="E2097" s="75">
        <v>0.0</v>
      </c>
      <c r="F2097" s="75" t="s">
        <v>948</v>
      </c>
      <c r="G2097" s="82">
        <v>46112.0</v>
      </c>
      <c r="H2097" s="76" t="s">
        <v>935</v>
      </c>
      <c r="I2097" s="83"/>
      <c r="J2097" s="83"/>
      <c r="K2097" s="83"/>
      <c r="L2097" s="83"/>
      <c r="M2097" s="83"/>
      <c r="N2097" s="83"/>
      <c r="O2097" s="83"/>
      <c r="P2097" s="83"/>
      <c r="Q2097" s="83"/>
      <c r="R2097" s="83"/>
      <c r="S2097" s="83"/>
      <c r="T2097" s="83"/>
      <c r="U2097" s="83"/>
      <c r="V2097" s="83"/>
      <c r="W2097" s="83"/>
      <c r="X2097" s="83"/>
      <c r="Y2097" s="83"/>
      <c r="Z2097" s="83"/>
    </row>
    <row r="2098">
      <c r="A2098" s="75" t="s">
        <v>45</v>
      </c>
      <c r="B2098" s="75" t="s">
        <v>924</v>
      </c>
      <c r="C2098" s="75">
        <v>5.67</v>
      </c>
      <c r="D2098" s="75">
        <v>0.0</v>
      </c>
      <c r="E2098" s="75">
        <v>0.0</v>
      </c>
      <c r="F2098" s="75" t="s">
        <v>948</v>
      </c>
      <c r="G2098" s="82">
        <v>46112.0</v>
      </c>
      <c r="H2098" s="76" t="s">
        <v>936</v>
      </c>
      <c r="I2098" s="83"/>
      <c r="J2098" s="83"/>
      <c r="K2098" s="83"/>
      <c r="L2098" s="83"/>
      <c r="M2098" s="83"/>
      <c r="N2098" s="83"/>
      <c r="O2098" s="83"/>
      <c r="P2098" s="83"/>
      <c r="Q2098" s="83"/>
      <c r="R2098" s="83"/>
      <c r="S2098" s="83"/>
      <c r="T2098" s="83"/>
      <c r="U2098" s="83"/>
      <c r="V2098" s="83"/>
      <c r="W2098" s="83"/>
      <c r="X2098" s="83"/>
      <c r="Y2098" s="83"/>
      <c r="Z2098" s="83"/>
    </row>
    <row r="2099">
      <c r="A2099" s="75" t="s">
        <v>45</v>
      </c>
      <c r="B2099" s="75" t="s">
        <v>924</v>
      </c>
      <c r="C2099" s="75">
        <v>5.8</v>
      </c>
      <c r="D2099" s="75">
        <v>0.0</v>
      </c>
      <c r="E2099" s="75">
        <v>0.0</v>
      </c>
      <c r="F2099" s="75" t="s">
        <v>948</v>
      </c>
      <c r="G2099" s="82">
        <v>46112.0</v>
      </c>
      <c r="H2099" s="76" t="s">
        <v>937</v>
      </c>
      <c r="I2099" s="83"/>
      <c r="J2099" s="83"/>
      <c r="K2099" s="83"/>
      <c r="L2099" s="83"/>
      <c r="M2099" s="83"/>
      <c r="N2099" s="83"/>
      <c r="O2099" s="83"/>
      <c r="P2099" s="83"/>
      <c r="Q2099" s="83"/>
      <c r="R2099" s="83"/>
      <c r="S2099" s="83"/>
      <c r="T2099" s="83"/>
      <c r="U2099" s="83"/>
      <c r="V2099" s="83"/>
      <c r="W2099" s="83"/>
      <c r="X2099" s="83"/>
      <c r="Y2099" s="83"/>
      <c r="Z2099" s="83"/>
    </row>
    <row r="2100">
      <c r="A2100" s="75" t="s">
        <v>45</v>
      </c>
      <c r="B2100" s="75" t="s">
        <v>924</v>
      </c>
      <c r="C2100" s="75">
        <v>12.84</v>
      </c>
      <c r="D2100" s="75">
        <v>0.0</v>
      </c>
      <c r="E2100" s="75">
        <v>0.0</v>
      </c>
      <c r="F2100" s="75" t="s">
        <v>948</v>
      </c>
      <c r="G2100" s="82">
        <v>46112.0</v>
      </c>
      <c r="H2100" s="76" t="s">
        <v>938</v>
      </c>
      <c r="I2100" s="83"/>
      <c r="J2100" s="83"/>
      <c r="K2100" s="83"/>
      <c r="L2100" s="83"/>
      <c r="M2100" s="83"/>
      <c r="N2100" s="83"/>
      <c r="O2100" s="83"/>
      <c r="P2100" s="83"/>
      <c r="Q2100" s="83"/>
      <c r="R2100" s="83"/>
      <c r="S2100" s="83"/>
      <c r="T2100" s="83"/>
      <c r="U2100" s="83"/>
      <c r="V2100" s="83"/>
      <c r="W2100" s="83"/>
      <c r="X2100" s="83"/>
      <c r="Y2100" s="83"/>
      <c r="Z2100" s="83"/>
    </row>
    <row r="2101">
      <c r="A2101" s="75" t="s">
        <v>50</v>
      </c>
      <c r="B2101" s="75" t="s">
        <v>924</v>
      </c>
      <c r="C2101" s="75">
        <v>19.58</v>
      </c>
      <c r="D2101" s="75">
        <v>1.0</v>
      </c>
      <c r="E2101" s="75">
        <v>19.58</v>
      </c>
      <c r="F2101" s="75" t="s">
        <v>948</v>
      </c>
      <c r="G2101" s="82">
        <v>46112.0</v>
      </c>
      <c r="H2101" s="76" t="s">
        <v>939</v>
      </c>
      <c r="I2101" s="83"/>
      <c r="J2101" s="83"/>
      <c r="K2101" s="83"/>
      <c r="L2101" s="83"/>
      <c r="M2101" s="83"/>
      <c r="N2101" s="83"/>
      <c r="O2101" s="83"/>
      <c r="P2101" s="83"/>
      <c r="Q2101" s="83"/>
      <c r="R2101" s="83"/>
      <c r="S2101" s="83"/>
      <c r="T2101" s="83"/>
      <c r="U2101" s="83"/>
      <c r="V2101" s="83"/>
      <c r="W2101" s="83"/>
      <c r="X2101" s="83"/>
      <c r="Y2101" s="83"/>
      <c r="Z2101" s="83"/>
    </row>
    <row r="2102">
      <c r="A2102" s="75" t="s">
        <v>50</v>
      </c>
      <c r="B2102" s="75" t="s">
        <v>924</v>
      </c>
      <c r="C2102" s="75">
        <v>7.03</v>
      </c>
      <c r="D2102" s="75">
        <v>0.0</v>
      </c>
      <c r="E2102" s="75">
        <v>0.0</v>
      </c>
      <c r="F2102" s="75" t="s">
        <v>948</v>
      </c>
      <c r="G2102" s="82">
        <v>46112.0</v>
      </c>
      <c r="H2102" s="76" t="s">
        <v>940</v>
      </c>
      <c r="I2102" s="83"/>
      <c r="J2102" s="83"/>
      <c r="K2102" s="83"/>
      <c r="L2102" s="83"/>
      <c r="M2102" s="83"/>
      <c r="N2102" s="83"/>
      <c r="O2102" s="83"/>
      <c r="P2102" s="83"/>
      <c r="Q2102" s="83"/>
      <c r="R2102" s="83"/>
      <c r="S2102" s="83"/>
      <c r="T2102" s="83"/>
      <c r="U2102" s="83"/>
      <c r="V2102" s="83"/>
      <c r="W2102" s="83"/>
      <c r="X2102" s="83"/>
      <c r="Y2102" s="83"/>
      <c r="Z2102" s="83"/>
    </row>
    <row r="2103">
      <c r="A2103" s="75" t="s">
        <v>32</v>
      </c>
      <c r="B2103" s="75" t="s">
        <v>924</v>
      </c>
      <c r="C2103" s="75">
        <v>268.47</v>
      </c>
      <c r="D2103" s="75">
        <v>52.0</v>
      </c>
      <c r="E2103" s="75">
        <v>5.16</v>
      </c>
      <c r="F2103" s="75" t="s">
        <v>948</v>
      </c>
      <c r="G2103" s="82">
        <v>46112.0</v>
      </c>
      <c r="H2103" s="76" t="s">
        <v>941</v>
      </c>
      <c r="I2103" s="83"/>
      <c r="J2103" s="83"/>
      <c r="K2103" s="83"/>
      <c r="L2103" s="83"/>
      <c r="M2103" s="83"/>
      <c r="N2103" s="83"/>
      <c r="O2103" s="83"/>
      <c r="P2103" s="83"/>
      <c r="Q2103" s="83"/>
      <c r="R2103" s="83"/>
      <c r="S2103" s="83"/>
      <c r="T2103" s="83"/>
      <c r="U2103" s="83"/>
      <c r="V2103" s="83"/>
      <c r="W2103" s="83"/>
      <c r="X2103" s="83"/>
      <c r="Y2103" s="83"/>
      <c r="Z2103" s="83"/>
    </row>
    <row r="2104">
      <c r="A2104" s="75" t="s">
        <v>32</v>
      </c>
      <c r="B2104" s="75" t="s">
        <v>924</v>
      </c>
      <c r="C2104" s="75">
        <v>32.29</v>
      </c>
      <c r="D2104" s="75">
        <v>9.0</v>
      </c>
      <c r="E2104" s="75">
        <v>3.59</v>
      </c>
      <c r="F2104" s="75" t="s">
        <v>948</v>
      </c>
      <c r="G2104" s="82">
        <v>46112.0</v>
      </c>
      <c r="H2104" s="76" t="s">
        <v>942</v>
      </c>
      <c r="I2104" s="83"/>
      <c r="J2104" s="83"/>
      <c r="K2104" s="83"/>
      <c r="L2104" s="83"/>
      <c r="M2104" s="83"/>
      <c r="N2104" s="83"/>
      <c r="O2104" s="83"/>
      <c r="P2104" s="83"/>
      <c r="Q2104" s="83"/>
      <c r="R2104" s="83"/>
      <c r="S2104" s="83"/>
      <c r="T2104" s="83"/>
      <c r="U2104" s="83"/>
      <c r="V2104" s="83"/>
      <c r="W2104" s="83"/>
      <c r="X2104" s="83"/>
      <c r="Y2104" s="83"/>
      <c r="Z2104" s="83"/>
    </row>
    <row r="2105">
      <c r="A2105" s="75" t="s">
        <v>32</v>
      </c>
      <c r="B2105" s="75" t="s">
        <v>924</v>
      </c>
      <c r="C2105" s="75">
        <v>12.23</v>
      </c>
      <c r="D2105" s="75">
        <v>2.0</v>
      </c>
      <c r="E2105" s="75">
        <v>6.12</v>
      </c>
      <c r="F2105" s="75" t="s">
        <v>948</v>
      </c>
      <c r="G2105" s="82">
        <v>46112.0</v>
      </c>
      <c r="H2105" s="76" t="s">
        <v>943</v>
      </c>
      <c r="I2105" s="83"/>
      <c r="J2105" s="83"/>
      <c r="K2105" s="83"/>
      <c r="L2105" s="83"/>
      <c r="M2105" s="83"/>
      <c r="N2105" s="83"/>
      <c r="O2105" s="83"/>
      <c r="P2105" s="83"/>
      <c r="Q2105" s="83"/>
      <c r="R2105" s="83"/>
      <c r="S2105" s="83"/>
      <c r="T2105" s="83"/>
      <c r="U2105" s="83"/>
      <c r="V2105" s="83"/>
      <c r="W2105" s="83"/>
      <c r="X2105" s="83"/>
      <c r="Y2105" s="83"/>
      <c r="Z2105" s="83"/>
    </row>
    <row r="2106">
      <c r="A2106" s="75" t="s">
        <v>944</v>
      </c>
      <c r="B2106" s="75" t="s">
        <v>924</v>
      </c>
      <c r="C2106" s="75">
        <v>16.77</v>
      </c>
      <c r="D2106" s="75">
        <v>0.0</v>
      </c>
      <c r="E2106" s="75">
        <v>0.0</v>
      </c>
      <c r="F2106" s="75" t="s">
        <v>948</v>
      </c>
      <c r="G2106" s="82">
        <v>46112.0</v>
      </c>
      <c r="H2106" s="76" t="s">
        <v>945</v>
      </c>
      <c r="I2106" s="83"/>
      <c r="J2106" s="83"/>
      <c r="K2106" s="83"/>
      <c r="L2106" s="83"/>
      <c r="M2106" s="83"/>
      <c r="N2106" s="83"/>
      <c r="O2106" s="83"/>
      <c r="P2106" s="83"/>
      <c r="Q2106" s="83"/>
      <c r="R2106" s="83"/>
      <c r="S2106" s="83"/>
      <c r="T2106" s="83"/>
      <c r="U2106" s="83"/>
      <c r="V2106" s="83"/>
      <c r="W2106" s="83"/>
      <c r="X2106" s="83"/>
      <c r="Y2106" s="83"/>
      <c r="Z2106" s="83"/>
    </row>
    <row r="2107">
      <c r="A2107" s="75" t="s">
        <v>944</v>
      </c>
      <c r="B2107" s="75" t="s">
        <v>924</v>
      </c>
      <c r="C2107" s="75">
        <v>7.32</v>
      </c>
      <c r="D2107" s="75">
        <v>1.0</v>
      </c>
      <c r="E2107" s="75">
        <v>7.32</v>
      </c>
      <c r="F2107" s="75" t="s">
        <v>948</v>
      </c>
      <c r="G2107" s="82">
        <v>46112.0</v>
      </c>
      <c r="H2107" s="76" t="s">
        <v>946</v>
      </c>
      <c r="I2107" s="83"/>
      <c r="J2107" s="83"/>
      <c r="K2107" s="83"/>
      <c r="L2107" s="83"/>
      <c r="M2107" s="83"/>
      <c r="N2107" s="83"/>
      <c r="O2107" s="83"/>
      <c r="P2107" s="83"/>
      <c r="Q2107" s="83"/>
      <c r="R2107" s="83"/>
      <c r="S2107" s="83"/>
      <c r="T2107" s="83"/>
      <c r="U2107" s="83"/>
      <c r="V2107" s="83"/>
      <c r="W2107" s="83"/>
      <c r="X2107" s="83"/>
      <c r="Y2107" s="83"/>
      <c r="Z2107" s="83"/>
    </row>
    <row r="2108">
      <c r="A2108" s="75" t="s">
        <v>944</v>
      </c>
      <c r="B2108" s="75" t="s">
        <v>924</v>
      </c>
      <c r="C2108" s="75">
        <v>7.02</v>
      </c>
      <c r="D2108" s="75">
        <v>0.0</v>
      </c>
      <c r="E2108" s="75">
        <v>0.0</v>
      </c>
      <c r="F2108" s="75" t="s">
        <v>948</v>
      </c>
      <c r="G2108" s="82">
        <v>46112.0</v>
      </c>
      <c r="H2108" s="76" t="s">
        <v>947</v>
      </c>
      <c r="I2108" s="83"/>
      <c r="J2108" s="83"/>
      <c r="K2108" s="83"/>
      <c r="L2108" s="83"/>
      <c r="M2108" s="83"/>
      <c r="N2108" s="83"/>
      <c r="O2108" s="83"/>
      <c r="P2108" s="83"/>
      <c r="Q2108" s="83"/>
      <c r="R2108" s="83"/>
      <c r="S2108" s="83"/>
      <c r="T2108" s="83"/>
      <c r="U2108" s="83"/>
      <c r="V2108" s="83"/>
      <c r="W2108" s="83"/>
      <c r="X2108" s="83"/>
      <c r="Y2108" s="83"/>
      <c r="Z2108" s="83"/>
    </row>
    <row r="2109">
      <c r="A2109" s="75" t="s">
        <v>26</v>
      </c>
      <c r="B2109" s="75" t="s">
        <v>924</v>
      </c>
      <c r="C2109" s="75">
        <v>5.07</v>
      </c>
      <c r="D2109" s="75">
        <v>0.0</v>
      </c>
      <c r="E2109" s="75">
        <v>0.0</v>
      </c>
      <c r="F2109" s="75" t="s">
        <v>948</v>
      </c>
      <c r="G2109" s="82">
        <v>46112.0</v>
      </c>
      <c r="H2109" s="76" t="s">
        <v>1012</v>
      </c>
      <c r="I2109" s="83"/>
      <c r="J2109" s="83"/>
      <c r="K2109" s="83"/>
      <c r="L2109" s="83"/>
      <c r="M2109" s="83"/>
      <c r="N2109" s="83"/>
      <c r="O2109" s="83"/>
      <c r="P2109" s="83"/>
      <c r="Q2109" s="83"/>
      <c r="R2109" s="83"/>
      <c r="S2109" s="83"/>
      <c r="T2109" s="83"/>
      <c r="U2109" s="83"/>
      <c r="V2109" s="83"/>
      <c r="W2109" s="83"/>
      <c r="X2109" s="83"/>
      <c r="Y2109" s="83"/>
      <c r="Z2109" s="83"/>
    </row>
    <row r="2110">
      <c r="A2110" s="75" t="s">
        <v>26</v>
      </c>
      <c r="B2110" s="75" t="s">
        <v>924</v>
      </c>
      <c r="C2110" s="75">
        <v>4.59</v>
      </c>
      <c r="D2110" s="75">
        <v>0.0</v>
      </c>
      <c r="E2110" s="75">
        <v>0.0</v>
      </c>
      <c r="F2110" s="75" t="s">
        <v>948</v>
      </c>
      <c r="G2110" s="82">
        <v>46112.0</v>
      </c>
      <c r="H2110" s="76" t="s">
        <v>1013</v>
      </c>
      <c r="I2110" s="83"/>
      <c r="J2110" s="83"/>
      <c r="K2110" s="83"/>
      <c r="L2110" s="83"/>
      <c r="M2110" s="83"/>
      <c r="N2110" s="83"/>
      <c r="O2110" s="83"/>
      <c r="P2110" s="83"/>
      <c r="Q2110" s="83"/>
      <c r="R2110" s="83"/>
      <c r="S2110" s="83"/>
      <c r="T2110" s="83"/>
      <c r="U2110" s="83"/>
      <c r="V2110" s="83"/>
      <c r="W2110" s="83"/>
      <c r="X2110" s="83"/>
      <c r="Y2110" s="83"/>
      <c r="Z2110" s="83"/>
    </row>
    <row r="2111">
      <c r="A2111" s="75" t="s">
        <v>26</v>
      </c>
      <c r="B2111" s="75" t="s">
        <v>924</v>
      </c>
      <c r="C2111" s="75">
        <v>4.97</v>
      </c>
      <c r="D2111" s="75">
        <v>1.0</v>
      </c>
      <c r="E2111" s="75">
        <v>4.97</v>
      </c>
      <c r="F2111" s="75" t="s">
        <v>948</v>
      </c>
      <c r="G2111" s="82">
        <v>46112.0</v>
      </c>
      <c r="H2111" s="76" t="s">
        <v>1014</v>
      </c>
      <c r="I2111" s="83"/>
      <c r="J2111" s="83"/>
      <c r="K2111" s="83"/>
      <c r="L2111" s="83"/>
      <c r="M2111" s="83"/>
      <c r="N2111" s="83"/>
      <c r="O2111" s="83"/>
      <c r="P2111" s="83"/>
      <c r="Q2111" s="83"/>
      <c r="R2111" s="83"/>
      <c r="S2111" s="83"/>
      <c r="T2111" s="83"/>
      <c r="U2111" s="83"/>
      <c r="V2111" s="83"/>
      <c r="W2111" s="83"/>
      <c r="X2111" s="83"/>
      <c r="Y2111" s="83"/>
      <c r="Z2111" s="83"/>
    </row>
    <row r="2112">
      <c r="A2112" s="75" t="s">
        <v>54</v>
      </c>
      <c r="B2112" s="75" t="s">
        <v>999</v>
      </c>
      <c r="C2112" s="75">
        <v>21.17</v>
      </c>
      <c r="D2112" s="75">
        <v>2.0</v>
      </c>
      <c r="E2112" s="75">
        <v>10.58</v>
      </c>
      <c r="F2112" s="75" t="s">
        <v>925</v>
      </c>
      <c r="G2112" s="82">
        <v>46112.0</v>
      </c>
      <c r="H2112" s="76" t="s">
        <v>977</v>
      </c>
      <c r="I2112" s="83"/>
      <c r="J2112" s="83"/>
      <c r="K2112" s="83"/>
      <c r="L2112" s="83"/>
      <c r="M2112" s="83"/>
      <c r="N2112" s="83"/>
      <c r="O2112" s="83"/>
      <c r="P2112" s="83"/>
      <c r="Q2112" s="83"/>
      <c r="R2112" s="83"/>
      <c r="S2112" s="83"/>
      <c r="T2112" s="83"/>
      <c r="U2112" s="83"/>
      <c r="V2112" s="83"/>
      <c r="W2112" s="83"/>
      <c r="X2112" s="83"/>
      <c r="Y2112" s="83"/>
      <c r="Z2112" s="83"/>
    </row>
    <row r="2113">
      <c r="A2113" s="75" t="s">
        <v>54</v>
      </c>
      <c r="B2113" s="75" t="s">
        <v>999</v>
      </c>
      <c r="C2113" s="75">
        <v>41.75</v>
      </c>
      <c r="D2113" s="75">
        <v>0.0</v>
      </c>
      <c r="E2113" s="75">
        <v>0.0</v>
      </c>
      <c r="F2113" s="75" t="s">
        <v>925</v>
      </c>
      <c r="G2113" s="82">
        <v>46112.0</v>
      </c>
      <c r="H2113" s="76" t="s">
        <v>978</v>
      </c>
      <c r="I2113" s="83"/>
      <c r="J2113" s="83"/>
      <c r="K2113" s="83"/>
      <c r="L2113" s="83"/>
      <c r="M2113" s="83"/>
      <c r="N2113" s="83"/>
      <c r="O2113" s="83"/>
      <c r="P2113" s="83"/>
      <c r="Q2113" s="83"/>
      <c r="R2113" s="83"/>
      <c r="S2113" s="83"/>
      <c r="T2113" s="83"/>
      <c r="U2113" s="83"/>
      <c r="V2113" s="83"/>
      <c r="W2113" s="83"/>
      <c r="X2113" s="83"/>
      <c r="Y2113" s="83"/>
      <c r="Z2113" s="83"/>
    </row>
    <row r="2114">
      <c r="A2114" s="75" t="s">
        <v>54</v>
      </c>
      <c r="B2114" s="75" t="s">
        <v>999</v>
      </c>
      <c r="C2114" s="75">
        <v>9.0</v>
      </c>
      <c r="D2114" s="75">
        <v>0.0</v>
      </c>
      <c r="E2114" s="75">
        <v>0.0</v>
      </c>
      <c r="F2114" s="75" t="s">
        <v>925</v>
      </c>
      <c r="G2114" s="82">
        <v>46112.0</v>
      </c>
      <c r="H2114" s="76" t="s">
        <v>979</v>
      </c>
      <c r="I2114" s="83"/>
      <c r="J2114" s="83"/>
      <c r="K2114" s="83"/>
      <c r="L2114" s="83"/>
      <c r="M2114" s="83"/>
      <c r="N2114" s="83"/>
      <c r="O2114" s="83"/>
      <c r="P2114" s="83"/>
      <c r="Q2114" s="83"/>
      <c r="R2114" s="83"/>
      <c r="S2114" s="83"/>
      <c r="T2114" s="83"/>
      <c r="U2114" s="83"/>
      <c r="V2114" s="83"/>
      <c r="W2114" s="83"/>
      <c r="X2114" s="83"/>
      <c r="Y2114" s="83"/>
      <c r="Z2114" s="83"/>
    </row>
    <row r="2115">
      <c r="A2115" s="75" t="s">
        <v>55</v>
      </c>
      <c r="B2115" s="75" t="s">
        <v>999</v>
      </c>
      <c r="C2115" s="75">
        <v>10.07</v>
      </c>
      <c r="D2115" s="75">
        <v>0.0</v>
      </c>
      <c r="E2115" s="75">
        <v>0.0</v>
      </c>
      <c r="F2115" s="75" t="s">
        <v>925</v>
      </c>
      <c r="G2115" s="82">
        <v>46112.0</v>
      </c>
      <c r="H2115" s="76" t="s">
        <v>980</v>
      </c>
      <c r="I2115" s="83"/>
      <c r="J2115" s="83"/>
      <c r="K2115" s="83"/>
      <c r="L2115" s="83"/>
      <c r="M2115" s="83"/>
      <c r="N2115" s="83"/>
      <c r="O2115" s="83"/>
      <c r="P2115" s="83"/>
      <c r="Q2115" s="83"/>
      <c r="R2115" s="83"/>
      <c r="S2115" s="83"/>
      <c r="T2115" s="83"/>
      <c r="U2115" s="83"/>
      <c r="V2115" s="83"/>
      <c r="W2115" s="83"/>
      <c r="X2115" s="83"/>
      <c r="Y2115" s="83"/>
      <c r="Z2115" s="83"/>
    </row>
    <row r="2116">
      <c r="A2116" s="75" t="s">
        <v>55</v>
      </c>
      <c r="B2116" s="75" t="s">
        <v>999</v>
      </c>
      <c r="C2116" s="75">
        <v>13.44</v>
      </c>
      <c r="D2116" s="75">
        <v>1.0</v>
      </c>
      <c r="E2116" s="75">
        <v>13.44</v>
      </c>
      <c r="F2116" s="75" t="s">
        <v>925</v>
      </c>
      <c r="G2116" s="82">
        <v>46112.0</v>
      </c>
      <c r="H2116" s="76" t="s">
        <v>981</v>
      </c>
      <c r="I2116" s="83"/>
      <c r="J2116" s="83"/>
      <c r="K2116" s="83"/>
      <c r="L2116" s="83"/>
      <c r="M2116" s="83"/>
      <c r="N2116" s="83"/>
      <c r="O2116" s="83"/>
      <c r="P2116" s="83"/>
      <c r="Q2116" s="83"/>
      <c r="R2116" s="83"/>
      <c r="S2116" s="83"/>
      <c r="T2116" s="83"/>
      <c r="U2116" s="83"/>
      <c r="V2116" s="83"/>
      <c r="W2116" s="83"/>
      <c r="X2116" s="83"/>
      <c r="Y2116" s="83"/>
      <c r="Z2116" s="83"/>
    </row>
    <row r="2117">
      <c r="A2117" s="75" t="s">
        <v>53</v>
      </c>
      <c r="B2117" s="75" t="s">
        <v>999</v>
      </c>
      <c r="C2117" s="75">
        <v>71.89</v>
      </c>
      <c r="D2117" s="75">
        <v>2.0</v>
      </c>
      <c r="E2117" s="75">
        <v>35.94</v>
      </c>
      <c r="F2117" s="75" t="s">
        <v>925</v>
      </c>
      <c r="G2117" s="82">
        <v>46112.0</v>
      </c>
      <c r="H2117" s="76" t="s">
        <v>982</v>
      </c>
      <c r="I2117" s="83"/>
      <c r="J2117" s="83"/>
      <c r="K2117" s="83"/>
      <c r="L2117" s="83"/>
      <c r="M2117" s="83"/>
      <c r="N2117" s="83"/>
      <c r="O2117" s="83"/>
      <c r="P2117" s="83"/>
      <c r="Q2117" s="83"/>
      <c r="R2117" s="83"/>
      <c r="S2117" s="83"/>
      <c r="T2117" s="83"/>
      <c r="U2117" s="83"/>
      <c r="V2117" s="83"/>
      <c r="W2117" s="83"/>
      <c r="X2117" s="83"/>
      <c r="Y2117" s="83"/>
      <c r="Z2117" s="83"/>
    </row>
    <row r="2118">
      <c r="A2118" s="75" t="s">
        <v>53</v>
      </c>
      <c r="B2118" s="75" t="s">
        <v>999</v>
      </c>
      <c r="C2118" s="75">
        <v>15.88</v>
      </c>
      <c r="D2118" s="75">
        <v>1.0</v>
      </c>
      <c r="E2118" s="75">
        <v>15.88</v>
      </c>
      <c r="F2118" s="75" t="s">
        <v>925</v>
      </c>
      <c r="G2118" s="82">
        <v>46112.0</v>
      </c>
      <c r="H2118" s="76" t="s">
        <v>983</v>
      </c>
      <c r="I2118" s="83"/>
      <c r="J2118" s="83"/>
      <c r="K2118" s="83"/>
      <c r="L2118" s="83"/>
      <c r="M2118" s="83"/>
      <c r="N2118" s="83"/>
      <c r="O2118" s="83"/>
      <c r="P2118" s="83"/>
      <c r="Q2118" s="83"/>
      <c r="R2118" s="83"/>
      <c r="S2118" s="83"/>
      <c r="T2118" s="83"/>
      <c r="U2118" s="83"/>
      <c r="V2118" s="83"/>
      <c r="W2118" s="83"/>
      <c r="X2118" s="83"/>
      <c r="Y2118" s="83"/>
      <c r="Z2118" s="83"/>
    </row>
    <row r="2119">
      <c r="A2119" s="75" t="s">
        <v>53</v>
      </c>
      <c r="B2119" s="75" t="s">
        <v>999</v>
      </c>
      <c r="C2119" s="75">
        <v>2.68</v>
      </c>
      <c r="D2119" s="75">
        <v>0.0</v>
      </c>
      <c r="E2119" s="75">
        <v>0.0</v>
      </c>
      <c r="F2119" s="75" t="s">
        <v>925</v>
      </c>
      <c r="G2119" s="82">
        <v>46112.0</v>
      </c>
      <c r="H2119" s="76" t="s">
        <v>984</v>
      </c>
      <c r="I2119" s="83"/>
      <c r="J2119" s="83"/>
      <c r="K2119" s="83"/>
      <c r="L2119" s="83"/>
      <c r="M2119" s="83"/>
      <c r="N2119" s="83"/>
      <c r="O2119" s="83"/>
      <c r="P2119" s="83"/>
      <c r="Q2119" s="83"/>
      <c r="R2119" s="83"/>
      <c r="S2119" s="83"/>
      <c r="T2119" s="83"/>
      <c r="U2119" s="83"/>
      <c r="V2119" s="83"/>
      <c r="W2119" s="83"/>
      <c r="X2119" s="83"/>
      <c r="Y2119" s="83"/>
      <c r="Z2119" s="83"/>
    </row>
    <row r="2120">
      <c r="A2120" s="75" t="s">
        <v>985</v>
      </c>
      <c r="B2120" s="75" t="s">
        <v>999</v>
      </c>
      <c r="C2120" s="75">
        <v>4.45</v>
      </c>
      <c r="D2120" s="75">
        <v>0.0</v>
      </c>
      <c r="E2120" s="75">
        <v>0.0</v>
      </c>
      <c r="F2120" s="75" t="s">
        <v>925</v>
      </c>
      <c r="G2120" s="82">
        <v>46112.0</v>
      </c>
      <c r="H2120" s="76" t="s">
        <v>936</v>
      </c>
      <c r="I2120" s="83"/>
      <c r="J2120" s="83"/>
      <c r="K2120" s="83"/>
      <c r="L2120" s="83"/>
      <c r="M2120" s="83"/>
      <c r="N2120" s="83"/>
      <c r="O2120" s="83"/>
      <c r="P2120" s="83"/>
      <c r="Q2120" s="83"/>
      <c r="R2120" s="83"/>
      <c r="S2120" s="83"/>
      <c r="T2120" s="83"/>
      <c r="U2120" s="83"/>
      <c r="V2120" s="83"/>
      <c r="W2120" s="83"/>
      <c r="X2120" s="83"/>
      <c r="Y2120" s="83"/>
      <c r="Z2120" s="83"/>
    </row>
    <row r="2121">
      <c r="A2121" s="75" t="s">
        <v>985</v>
      </c>
      <c r="B2121" s="75" t="s">
        <v>999</v>
      </c>
      <c r="C2121" s="75">
        <v>3.57</v>
      </c>
      <c r="D2121" s="75">
        <v>0.0</v>
      </c>
      <c r="E2121" s="75">
        <v>0.0</v>
      </c>
      <c r="F2121" s="75" t="s">
        <v>925</v>
      </c>
      <c r="G2121" s="82">
        <v>46112.0</v>
      </c>
      <c r="H2121" s="76" t="s">
        <v>937</v>
      </c>
      <c r="I2121" s="83"/>
      <c r="J2121" s="83"/>
      <c r="K2121" s="83"/>
      <c r="L2121" s="83"/>
      <c r="M2121" s="83"/>
      <c r="N2121" s="83"/>
      <c r="O2121" s="83"/>
      <c r="P2121" s="83"/>
      <c r="Q2121" s="83"/>
      <c r="R2121" s="83"/>
      <c r="S2121" s="83"/>
      <c r="T2121" s="83"/>
      <c r="U2121" s="83"/>
      <c r="V2121" s="83"/>
      <c r="W2121" s="83"/>
      <c r="X2121" s="83"/>
      <c r="Y2121" s="83"/>
      <c r="Z2121" s="83"/>
    </row>
    <row r="2122">
      <c r="A2122" s="75" t="s">
        <v>985</v>
      </c>
      <c r="B2122" s="75" t="s">
        <v>999</v>
      </c>
      <c r="C2122" s="75">
        <v>12.44</v>
      </c>
      <c r="D2122" s="75">
        <v>0.0</v>
      </c>
      <c r="E2122" s="75">
        <v>0.0</v>
      </c>
      <c r="F2122" s="75" t="s">
        <v>925</v>
      </c>
      <c r="G2122" s="82">
        <v>46112.0</v>
      </c>
      <c r="H2122" s="76" t="s">
        <v>938</v>
      </c>
      <c r="I2122" s="83"/>
      <c r="J2122" s="83"/>
      <c r="K2122" s="83"/>
      <c r="L2122" s="83"/>
      <c r="M2122" s="83"/>
      <c r="N2122" s="83"/>
      <c r="O2122" s="83"/>
      <c r="P2122" s="83"/>
      <c r="Q2122" s="83"/>
      <c r="R2122" s="83"/>
      <c r="S2122" s="83"/>
      <c r="T2122" s="83"/>
      <c r="U2122" s="83"/>
      <c r="V2122" s="83"/>
      <c r="W2122" s="83"/>
      <c r="X2122" s="83"/>
      <c r="Y2122" s="83"/>
      <c r="Z2122" s="83"/>
    </row>
    <row r="2123">
      <c r="A2123" s="75" t="s">
        <v>51</v>
      </c>
      <c r="B2123" s="75" t="s">
        <v>999</v>
      </c>
      <c r="C2123" s="75">
        <v>49.81</v>
      </c>
      <c r="D2123" s="75">
        <v>2.0</v>
      </c>
      <c r="E2123" s="75">
        <v>24.9</v>
      </c>
      <c r="F2123" s="75" t="s">
        <v>925</v>
      </c>
      <c r="G2123" s="82">
        <v>46112.0</v>
      </c>
      <c r="H2123" s="76" t="s">
        <v>986</v>
      </c>
      <c r="I2123" s="83"/>
      <c r="J2123" s="83"/>
      <c r="K2123" s="83"/>
      <c r="L2123" s="83"/>
      <c r="M2123" s="83"/>
      <c r="N2123" s="83"/>
      <c r="O2123" s="83"/>
      <c r="P2123" s="83"/>
      <c r="Q2123" s="83"/>
      <c r="R2123" s="83"/>
      <c r="S2123" s="83"/>
      <c r="T2123" s="83"/>
      <c r="U2123" s="83"/>
      <c r="V2123" s="83"/>
      <c r="W2123" s="83"/>
      <c r="X2123" s="83"/>
      <c r="Y2123" s="83"/>
      <c r="Z2123" s="83"/>
    </row>
    <row r="2124">
      <c r="A2124" s="75" t="s">
        <v>51</v>
      </c>
      <c r="B2124" s="75" t="s">
        <v>999</v>
      </c>
      <c r="C2124" s="75">
        <v>11.69</v>
      </c>
      <c r="D2124" s="75">
        <v>0.0</v>
      </c>
      <c r="E2124" s="75">
        <v>0.0</v>
      </c>
      <c r="F2124" s="75" t="s">
        <v>925</v>
      </c>
      <c r="G2124" s="82">
        <v>46112.0</v>
      </c>
      <c r="H2124" s="76" t="s">
        <v>987</v>
      </c>
      <c r="I2124" s="83"/>
      <c r="J2124" s="83"/>
      <c r="K2124" s="83"/>
      <c r="L2124" s="83"/>
      <c r="M2124" s="83"/>
      <c r="N2124" s="83"/>
      <c r="O2124" s="83"/>
      <c r="P2124" s="83"/>
      <c r="Q2124" s="83"/>
      <c r="R2124" s="83"/>
      <c r="S2124" s="83"/>
      <c r="T2124" s="83"/>
      <c r="U2124" s="83"/>
      <c r="V2124" s="83"/>
      <c r="W2124" s="83"/>
      <c r="X2124" s="83"/>
      <c r="Y2124" s="83"/>
      <c r="Z2124" s="83"/>
    </row>
    <row r="2125">
      <c r="A2125" s="75" t="s">
        <v>54</v>
      </c>
      <c r="B2125" s="75" t="s">
        <v>999</v>
      </c>
      <c r="C2125" s="75">
        <v>38.03</v>
      </c>
      <c r="D2125" s="75">
        <v>1.0</v>
      </c>
      <c r="E2125" s="75">
        <v>38.03</v>
      </c>
      <c r="F2125" s="75" t="s">
        <v>948</v>
      </c>
      <c r="G2125" s="82">
        <v>46112.0</v>
      </c>
      <c r="H2125" s="76" t="s">
        <v>977</v>
      </c>
      <c r="I2125" s="83"/>
      <c r="J2125" s="83"/>
      <c r="K2125" s="83"/>
      <c r="L2125" s="83"/>
      <c r="M2125" s="83"/>
      <c r="N2125" s="83"/>
      <c r="O2125" s="83"/>
      <c r="P2125" s="83"/>
      <c r="Q2125" s="83"/>
      <c r="R2125" s="83"/>
      <c r="S2125" s="83"/>
      <c r="T2125" s="83"/>
      <c r="U2125" s="83"/>
      <c r="V2125" s="83"/>
      <c r="W2125" s="83"/>
      <c r="X2125" s="83"/>
      <c r="Y2125" s="83"/>
      <c r="Z2125" s="83"/>
    </row>
    <row r="2126">
      <c r="A2126" s="75" t="s">
        <v>54</v>
      </c>
      <c r="B2126" s="75" t="s">
        <v>999</v>
      </c>
      <c r="C2126" s="75">
        <v>86.23</v>
      </c>
      <c r="D2126" s="75">
        <v>1.0</v>
      </c>
      <c r="E2126" s="75">
        <v>86.23</v>
      </c>
      <c r="F2126" s="75" t="s">
        <v>948</v>
      </c>
      <c r="G2126" s="82">
        <v>46112.0</v>
      </c>
      <c r="H2126" s="76" t="s">
        <v>978</v>
      </c>
      <c r="I2126" s="83"/>
      <c r="J2126" s="83"/>
      <c r="K2126" s="83"/>
      <c r="L2126" s="83"/>
      <c r="M2126" s="83"/>
      <c r="N2126" s="83"/>
      <c r="O2126" s="83"/>
      <c r="P2126" s="83"/>
      <c r="Q2126" s="83"/>
      <c r="R2126" s="83"/>
      <c r="S2126" s="83"/>
      <c r="T2126" s="83"/>
      <c r="U2126" s="83"/>
      <c r="V2126" s="83"/>
      <c r="W2126" s="83"/>
      <c r="X2126" s="83"/>
      <c r="Y2126" s="83"/>
      <c r="Z2126" s="83"/>
    </row>
    <row r="2127">
      <c r="A2127" s="75" t="s">
        <v>54</v>
      </c>
      <c r="B2127" s="75" t="s">
        <v>999</v>
      </c>
      <c r="C2127" s="75">
        <v>11.91</v>
      </c>
      <c r="D2127" s="75">
        <v>0.0</v>
      </c>
      <c r="E2127" s="75">
        <v>0.0</v>
      </c>
      <c r="F2127" s="75" t="s">
        <v>948</v>
      </c>
      <c r="G2127" s="82">
        <v>46112.0</v>
      </c>
      <c r="H2127" s="76" t="s">
        <v>979</v>
      </c>
      <c r="I2127" s="83"/>
      <c r="J2127" s="83"/>
      <c r="K2127" s="83"/>
      <c r="L2127" s="83"/>
      <c r="M2127" s="83"/>
      <c r="N2127" s="83"/>
      <c r="O2127" s="83"/>
      <c r="P2127" s="83"/>
      <c r="Q2127" s="83"/>
      <c r="R2127" s="83"/>
      <c r="S2127" s="83"/>
      <c r="T2127" s="83"/>
      <c r="U2127" s="83"/>
      <c r="V2127" s="83"/>
      <c r="W2127" s="83"/>
      <c r="X2127" s="83"/>
      <c r="Y2127" s="83"/>
      <c r="Z2127" s="83"/>
    </row>
    <row r="2128">
      <c r="A2128" s="75" t="s">
        <v>55</v>
      </c>
      <c r="B2128" s="75" t="s">
        <v>999</v>
      </c>
      <c r="C2128" s="75">
        <v>9.57</v>
      </c>
      <c r="D2128" s="75">
        <v>0.0</v>
      </c>
      <c r="E2128" s="75">
        <v>0.0</v>
      </c>
      <c r="F2128" s="75" t="s">
        <v>948</v>
      </c>
      <c r="G2128" s="82">
        <v>46112.0</v>
      </c>
      <c r="H2128" s="76" t="s">
        <v>980</v>
      </c>
      <c r="I2128" s="83"/>
      <c r="J2128" s="83"/>
      <c r="K2128" s="83"/>
      <c r="L2128" s="83"/>
      <c r="M2128" s="83"/>
      <c r="N2128" s="83"/>
      <c r="O2128" s="83"/>
      <c r="P2128" s="83"/>
      <c r="Q2128" s="83"/>
      <c r="R2128" s="83"/>
      <c r="S2128" s="83"/>
      <c r="T2128" s="83"/>
      <c r="U2128" s="83"/>
      <c r="V2128" s="83"/>
      <c r="W2128" s="83"/>
      <c r="X2128" s="83"/>
      <c r="Y2128" s="83"/>
      <c r="Z2128" s="83"/>
    </row>
    <row r="2129">
      <c r="A2129" s="75" t="s">
        <v>55</v>
      </c>
      <c r="B2129" s="75" t="s">
        <v>999</v>
      </c>
      <c r="C2129" s="75">
        <v>24.64</v>
      </c>
      <c r="D2129" s="75">
        <v>0.0</v>
      </c>
      <c r="E2129" s="75">
        <v>0.0</v>
      </c>
      <c r="F2129" s="75" t="s">
        <v>948</v>
      </c>
      <c r="G2129" s="82">
        <v>46112.0</v>
      </c>
      <c r="H2129" s="76" t="s">
        <v>981</v>
      </c>
      <c r="I2129" s="83"/>
      <c r="J2129" s="83"/>
      <c r="K2129" s="83"/>
      <c r="L2129" s="83"/>
      <c r="M2129" s="83"/>
      <c r="N2129" s="83"/>
      <c r="O2129" s="83"/>
      <c r="P2129" s="83"/>
      <c r="Q2129" s="83"/>
      <c r="R2129" s="83"/>
      <c r="S2129" s="83"/>
      <c r="T2129" s="83"/>
      <c r="U2129" s="83"/>
      <c r="V2129" s="83"/>
      <c r="W2129" s="83"/>
      <c r="X2129" s="83"/>
      <c r="Y2129" s="83"/>
      <c r="Z2129" s="83"/>
    </row>
    <row r="2130">
      <c r="A2130" s="75" t="s">
        <v>53</v>
      </c>
      <c r="B2130" s="75" t="s">
        <v>999</v>
      </c>
      <c r="C2130" s="75">
        <v>54.65</v>
      </c>
      <c r="D2130" s="75">
        <v>1.0</v>
      </c>
      <c r="E2130" s="75">
        <v>54.65</v>
      </c>
      <c r="F2130" s="75" t="s">
        <v>948</v>
      </c>
      <c r="G2130" s="82">
        <v>46112.0</v>
      </c>
      <c r="H2130" s="76" t="s">
        <v>982</v>
      </c>
      <c r="I2130" s="83"/>
      <c r="J2130" s="83"/>
      <c r="K2130" s="83"/>
      <c r="L2130" s="83"/>
      <c r="M2130" s="83"/>
      <c r="N2130" s="83"/>
      <c r="O2130" s="83"/>
      <c r="P2130" s="83"/>
      <c r="Q2130" s="83"/>
      <c r="R2130" s="83"/>
      <c r="S2130" s="83"/>
      <c r="T2130" s="83"/>
      <c r="U2130" s="83"/>
      <c r="V2130" s="83"/>
      <c r="W2130" s="83"/>
      <c r="X2130" s="83"/>
      <c r="Y2130" s="83"/>
      <c r="Z2130" s="83"/>
    </row>
    <row r="2131">
      <c r="A2131" s="75" t="s">
        <v>53</v>
      </c>
      <c r="B2131" s="75" t="s">
        <v>999</v>
      </c>
      <c r="C2131" s="75">
        <v>12.11</v>
      </c>
      <c r="D2131" s="75">
        <v>1.0</v>
      </c>
      <c r="E2131" s="75">
        <v>12.11</v>
      </c>
      <c r="F2131" s="75" t="s">
        <v>948</v>
      </c>
      <c r="G2131" s="82">
        <v>46112.0</v>
      </c>
      <c r="H2131" s="76" t="s">
        <v>983</v>
      </c>
      <c r="I2131" s="83"/>
      <c r="J2131" s="83"/>
      <c r="K2131" s="83"/>
      <c r="L2131" s="83"/>
      <c r="M2131" s="83"/>
      <c r="N2131" s="83"/>
      <c r="O2131" s="83"/>
      <c r="P2131" s="83"/>
      <c r="Q2131" s="83"/>
      <c r="R2131" s="83"/>
      <c r="S2131" s="83"/>
      <c r="T2131" s="83"/>
      <c r="U2131" s="83"/>
      <c r="V2131" s="83"/>
      <c r="W2131" s="83"/>
      <c r="X2131" s="83"/>
      <c r="Y2131" s="83"/>
      <c r="Z2131" s="83"/>
    </row>
    <row r="2132">
      <c r="A2132" s="75" t="s">
        <v>53</v>
      </c>
      <c r="B2132" s="75" t="s">
        <v>999</v>
      </c>
      <c r="C2132" s="75">
        <v>3.69</v>
      </c>
      <c r="D2132" s="75">
        <v>0.0</v>
      </c>
      <c r="E2132" s="75">
        <v>0.0</v>
      </c>
      <c r="F2132" s="75" t="s">
        <v>948</v>
      </c>
      <c r="G2132" s="82">
        <v>46112.0</v>
      </c>
      <c r="H2132" s="76" t="s">
        <v>984</v>
      </c>
      <c r="I2132" s="83"/>
      <c r="J2132" s="83"/>
      <c r="K2132" s="83"/>
      <c r="L2132" s="83"/>
      <c r="M2132" s="83"/>
      <c r="N2132" s="83"/>
      <c r="O2132" s="83"/>
      <c r="P2132" s="83"/>
      <c r="Q2132" s="83"/>
      <c r="R2132" s="83"/>
      <c r="S2132" s="83"/>
      <c r="T2132" s="83"/>
      <c r="U2132" s="83"/>
      <c r="V2132" s="83"/>
      <c r="W2132" s="83"/>
      <c r="X2132" s="83"/>
      <c r="Y2132" s="83"/>
      <c r="Z2132" s="83"/>
    </row>
    <row r="2133">
      <c r="A2133" s="75" t="s">
        <v>985</v>
      </c>
      <c r="B2133" s="75" t="s">
        <v>999</v>
      </c>
      <c r="C2133" s="75">
        <v>5.26</v>
      </c>
      <c r="D2133" s="75">
        <v>0.0</v>
      </c>
      <c r="E2133" s="75">
        <v>0.0</v>
      </c>
      <c r="F2133" s="75" t="s">
        <v>948</v>
      </c>
      <c r="G2133" s="82">
        <v>46112.0</v>
      </c>
      <c r="H2133" s="76" t="s">
        <v>936</v>
      </c>
      <c r="I2133" s="83"/>
      <c r="J2133" s="83"/>
      <c r="K2133" s="83"/>
      <c r="L2133" s="83"/>
      <c r="M2133" s="83"/>
      <c r="N2133" s="83"/>
      <c r="O2133" s="83"/>
      <c r="P2133" s="83"/>
      <c r="Q2133" s="83"/>
      <c r="R2133" s="83"/>
      <c r="S2133" s="83"/>
      <c r="T2133" s="83"/>
      <c r="U2133" s="83"/>
      <c r="V2133" s="83"/>
      <c r="W2133" s="83"/>
      <c r="X2133" s="83"/>
      <c r="Y2133" s="83"/>
      <c r="Z2133" s="83"/>
    </row>
    <row r="2134">
      <c r="A2134" s="75" t="s">
        <v>985</v>
      </c>
      <c r="B2134" s="75" t="s">
        <v>999</v>
      </c>
      <c r="C2134" s="75">
        <v>2.76</v>
      </c>
      <c r="D2134" s="75">
        <v>0.0</v>
      </c>
      <c r="E2134" s="75">
        <v>0.0</v>
      </c>
      <c r="F2134" s="75" t="s">
        <v>948</v>
      </c>
      <c r="G2134" s="82">
        <v>46112.0</v>
      </c>
      <c r="H2134" s="76" t="s">
        <v>937</v>
      </c>
      <c r="I2134" s="83"/>
      <c r="J2134" s="83"/>
      <c r="K2134" s="83"/>
      <c r="L2134" s="83"/>
      <c r="M2134" s="83"/>
      <c r="N2134" s="83"/>
      <c r="O2134" s="83"/>
      <c r="P2134" s="83"/>
      <c r="Q2134" s="83"/>
      <c r="R2134" s="83"/>
      <c r="S2134" s="83"/>
      <c r="T2134" s="83"/>
      <c r="U2134" s="83"/>
      <c r="V2134" s="83"/>
      <c r="W2134" s="83"/>
      <c r="X2134" s="83"/>
      <c r="Y2134" s="83"/>
      <c r="Z2134" s="83"/>
    </row>
    <row r="2135">
      <c r="A2135" s="75" t="s">
        <v>985</v>
      </c>
      <c r="B2135" s="75" t="s">
        <v>999</v>
      </c>
      <c r="C2135" s="75">
        <v>12.14</v>
      </c>
      <c r="D2135" s="75">
        <v>2.0</v>
      </c>
      <c r="E2135" s="75">
        <v>6.07</v>
      </c>
      <c r="F2135" s="75" t="s">
        <v>948</v>
      </c>
      <c r="G2135" s="82">
        <v>46112.0</v>
      </c>
      <c r="H2135" s="76" t="s">
        <v>938</v>
      </c>
      <c r="I2135" s="83"/>
      <c r="J2135" s="83"/>
      <c r="K2135" s="83"/>
      <c r="L2135" s="83"/>
      <c r="M2135" s="83"/>
      <c r="N2135" s="83"/>
      <c r="O2135" s="83"/>
      <c r="P2135" s="83"/>
      <c r="Q2135" s="83"/>
      <c r="R2135" s="83"/>
      <c r="S2135" s="83"/>
      <c r="T2135" s="83"/>
      <c r="U2135" s="83"/>
      <c r="V2135" s="83"/>
      <c r="W2135" s="83"/>
      <c r="X2135" s="83"/>
      <c r="Y2135" s="83"/>
      <c r="Z2135" s="83"/>
    </row>
    <row r="2136">
      <c r="A2136" s="75" t="s">
        <v>51</v>
      </c>
      <c r="B2136" s="75" t="s">
        <v>999</v>
      </c>
      <c r="C2136" s="75">
        <v>26.24</v>
      </c>
      <c r="D2136" s="75">
        <v>1.0</v>
      </c>
      <c r="E2136" s="75">
        <v>26.24</v>
      </c>
      <c r="F2136" s="75" t="s">
        <v>948</v>
      </c>
      <c r="G2136" s="82">
        <v>46112.0</v>
      </c>
      <c r="H2136" s="76" t="s">
        <v>986</v>
      </c>
      <c r="I2136" s="83"/>
      <c r="J2136" s="83"/>
      <c r="K2136" s="83"/>
      <c r="L2136" s="83"/>
      <c r="M2136" s="83"/>
      <c r="N2136" s="83"/>
      <c r="O2136" s="83"/>
      <c r="P2136" s="83"/>
      <c r="Q2136" s="83"/>
      <c r="R2136" s="83"/>
      <c r="S2136" s="83"/>
      <c r="T2136" s="83"/>
      <c r="U2136" s="83"/>
      <c r="V2136" s="83"/>
      <c r="W2136" s="83"/>
      <c r="X2136" s="83"/>
      <c r="Y2136" s="83"/>
      <c r="Z2136" s="83"/>
    </row>
    <row r="2137">
      <c r="A2137" s="75" t="s">
        <v>51</v>
      </c>
      <c r="B2137" s="75" t="s">
        <v>999</v>
      </c>
      <c r="C2137" s="75">
        <v>6.32</v>
      </c>
      <c r="D2137" s="75">
        <v>0.0</v>
      </c>
      <c r="E2137" s="75">
        <v>0.0</v>
      </c>
      <c r="F2137" s="75" t="s">
        <v>948</v>
      </c>
      <c r="G2137" s="82">
        <v>46112.0</v>
      </c>
      <c r="H2137" s="76" t="s">
        <v>987</v>
      </c>
      <c r="I2137" s="83"/>
      <c r="J2137" s="83"/>
      <c r="K2137" s="83"/>
      <c r="L2137" s="83"/>
      <c r="M2137" s="83"/>
      <c r="N2137" s="83"/>
      <c r="O2137" s="83"/>
      <c r="P2137" s="83"/>
      <c r="Q2137" s="83"/>
      <c r="R2137" s="83"/>
      <c r="S2137" s="83"/>
      <c r="T2137" s="83"/>
      <c r="U2137" s="83"/>
      <c r="V2137" s="83"/>
      <c r="W2137" s="83"/>
      <c r="X2137" s="83"/>
      <c r="Y2137" s="83"/>
      <c r="Z2137" s="83"/>
    </row>
    <row r="2138">
      <c r="A2138" s="75" t="s">
        <v>54</v>
      </c>
      <c r="B2138" s="75" t="s">
        <v>1018</v>
      </c>
      <c r="C2138" s="75">
        <v>10.82</v>
      </c>
      <c r="D2138" s="75">
        <v>0.0</v>
      </c>
      <c r="E2138" s="75">
        <v>0.0</v>
      </c>
      <c r="F2138" s="75" t="s">
        <v>950</v>
      </c>
      <c r="G2138" s="82">
        <v>46112.0</v>
      </c>
      <c r="H2138" s="76" t="s">
        <v>977</v>
      </c>
      <c r="I2138" s="83"/>
      <c r="J2138" s="83"/>
      <c r="K2138" s="83"/>
      <c r="L2138" s="83"/>
      <c r="M2138" s="83"/>
      <c r="N2138" s="83"/>
      <c r="O2138" s="83"/>
      <c r="P2138" s="83"/>
      <c r="Q2138" s="83"/>
      <c r="R2138" s="83"/>
      <c r="S2138" s="83"/>
      <c r="T2138" s="83"/>
      <c r="U2138" s="83"/>
      <c r="V2138" s="83"/>
      <c r="W2138" s="83"/>
      <c r="X2138" s="83"/>
      <c r="Y2138" s="83"/>
      <c r="Z2138" s="83"/>
    </row>
    <row r="2139">
      <c r="A2139" s="75" t="s">
        <v>54</v>
      </c>
      <c r="B2139" s="75" t="s">
        <v>1018</v>
      </c>
      <c r="C2139" s="75">
        <v>7.49</v>
      </c>
      <c r="D2139" s="75">
        <v>0.0</v>
      </c>
      <c r="E2139" s="75">
        <v>0.0</v>
      </c>
      <c r="F2139" s="75" t="s">
        <v>950</v>
      </c>
      <c r="G2139" s="82">
        <v>46112.0</v>
      </c>
      <c r="H2139" s="76" t="s">
        <v>978</v>
      </c>
      <c r="I2139" s="83"/>
      <c r="J2139" s="83"/>
      <c r="K2139" s="83"/>
      <c r="L2139" s="83"/>
      <c r="M2139" s="83"/>
      <c r="N2139" s="83"/>
      <c r="O2139" s="83"/>
      <c r="P2139" s="83"/>
      <c r="Q2139" s="83"/>
      <c r="R2139" s="83"/>
      <c r="S2139" s="83"/>
      <c r="T2139" s="83"/>
      <c r="U2139" s="83"/>
      <c r="V2139" s="83"/>
      <c r="W2139" s="83"/>
      <c r="X2139" s="83"/>
      <c r="Y2139" s="83"/>
      <c r="Z2139" s="83"/>
    </row>
    <row r="2140">
      <c r="A2140" s="75" t="s">
        <v>54</v>
      </c>
      <c r="B2140" s="75" t="s">
        <v>1018</v>
      </c>
      <c r="C2140" s="75">
        <v>6.47</v>
      </c>
      <c r="D2140" s="75">
        <v>0.0</v>
      </c>
      <c r="E2140" s="75">
        <v>0.0</v>
      </c>
      <c r="F2140" s="75" t="s">
        <v>950</v>
      </c>
      <c r="G2140" s="82">
        <v>46112.0</v>
      </c>
      <c r="H2140" s="76" t="s">
        <v>979</v>
      </c>
      <c r="I2140" s="83"/>
      <c r="J2140" s="83"/>
      <c r="K2140" s="83"/>
      <c r="L2140" s="83"/>
      <c r="M2140" s="83"/>
      <c r="N2140" s="83"/>
      <c r="O2140" s="83"/>
      <c r="P2140" s="83"/>
      <c r="Q2140" s="83"/>
      <c r="R2140" s="83"/>
      <c r="S2140" s="83"/>
      <c r="T2140" s="83"/>
      <c r="U2140" s="83"/>
      <c r="V2140" s="83"/>
      <c r="W2140" s="83"/>
      <c r="X2140" s="83"/>
      <c r="Y2140" s="83"/>
      <c r="Z2140" s="83"/>
    </row>
    <row r="2141">
      <c r="A2141" s="75" t="s">
        <v>55</v>
      </c>
      <c r="B2141" s="75" t="s">
        <v>1018</v>
      </c>
      <c r="C2141" s="75">
        <v>8.32</v>
      </c>
      <c r="D2141" s="75">
        <v>0.0</v>
      </c>
      <c r="E2141" s="75">
        <v>0.0</v>
      </c>
      <c r="F2141" s="75" t="s">
        <v>950</v>
      </c>
      <c r="G2141" s="82">
        <v>46112.0</v>
      </c>
      <c r="H2141" s="76" t="s">
        <v>980</v>
      </c>
      <c r="I2141" s="83"/>
      <c r="J2141" s="83"/>
      <c r="K2141" s="83"/>
      <c r="L2141" s="83"/>
      <c r="M2141" s="83"/>
      <c r="N2141" s="83"/>
      <c r="O2141" s="83"/>
      <c r="P2141" s="83"/>
      <c r="Q2141" s="83"/>
      <c r="R2141" s="83"/>
      <c r="S2141" s="83"/>
      <c r="T2141" s="83"/>
      <c r="U2141" s="83"/>
      <c r="V2141" s="83"/>
      <c r="W2141" s="83"/>
      <c r="X2141" s="83"/>
      <c r="Y2141" s="83"/>
      <c r="Z2141" s="83"/>
    </row>
    <row r="2142">
      <c r="A2142" s="75" t="s">
        <v>55</v>
      </c>
      <c r="B2142" s="75" t="s">
        <v>1018</v>
      </c>
      <c r="C2142" s="75">
        <v>19.19</v>
      </c>
      <c r="D2142" s="75">
        <v>1.0</v>
      </c>
      <c r="E2142" s="75">
        <v>19.19</v>
      </c>
      <c r="F2142" s="75" t="s">
        <v>950</v>
      </c>
      <c r="G2142" s="82">
        <v>46112.0</v>
      </c>
      <c r="H2142" s="76" t="s">
        <v>981</v>
      </c>
      <c r="I2142" s="83"/>
      <c r="J2142" s="83"/>
      <c r="K2142" s="83"/>
      <c r="L2142" s="83"/>
      <c r="M2142" s="83"/>
      <c r="N2142" s="83"/>
      <c r="O2142" s="83"/>
      <c r="P2142" s="83"/>
      <c r="Q2142" s="83"/>
      <c r="R2142" s="83"/>
      <c r="S2142" s="83"/>
      <c r="T2142" s="83"/>
      <c r="U2142" s="83"/>
      <c r="V2142" s="83"/>
      <c r="W2142" s="83"/>
      <c r="X2142" s="83"/>
      <c r="Y2142" s="83"/>
      <c r="Z2142" s="83"/>
    </row>
    <row r="2143">
      <c r="A2143" s="75" t="s">
        <v>53</v>
      </c>
      <c r="B2143" s="75" t="s">
        <v>1018</v>
      </c>
      <c r="C2143" s="75">
        <v>12.0</v>
      </c>
      <c r="D2143" s="75">
        <v>0.0</v>
      </c>
      <c r="E2143" s="75">
        <v>0.0</v>
      </c>
      <c r="F2143" s="75" t="s">
        <v>950</v>
      </c>
      <c r="G2143" s="82">
        <v>46112.0</v>
      </c>
      <c r="H2143" s="76" t="s">
        <v>982</v>
      </c>
      <c r="I2143" s="83"/>
      <c r="J2143" s="83"/>
      <c r="K2143" s="83"/>
      <c r="L2143" s="83"/>
      <c r="M2143" s="83"/>
      <c r="N2143" s="83"/>
      <c r="O2143" s="83"/>
      <c r="P2143" s="83"/>
      <c r="Q2143" s="83"/>
      <c r="R2143" s="83"/>
      <c r="S2143" s="83"/>
      <c r="T2143" s="83"/>
      <c r="U2143" s="83"/>
      <c r="V2143" s="83"/>
      <c r="W2143" s="83"/>
      <c r="X2143" s="83"/>
      <c r="Y2143" s="83"/>
      <c r="Z2143" s="83"/>
    </row>
    <row r="2144">
      <c r="A2144" s="75" t="s">
        <v>53</v>
      </c>
      <c r="B2144" s="75" t="s">
        <v>1018</v>
      </c>
      <c r="C2144" s="75">
        <v>2.85</v>
      </c>
      <c r="D2144" s="75">
        <v>0.0</v>
      </c>
      <c r="E2144" s="75">
        <v>0.0</v>
      </c>
      <c r="F2144" s="75" t="s">
        <v>950</v>
      </c>
      <c r="G2144" s="82">
        <v>46112.0</v>
      </c>
      <c r="H2144" s="76" t="s">
        <v>983</v>
      </c>
      <c r="I2144" s="83"/>
      <c r="J2144" s="83"/>
      <c r="K2144" s="83"/>
      <c r="L2144" s="83"/>
      <c r="M2144" s="83"/>
      <c r="N2144" s="83"/>
      <c r="O2144" s="83"/>
      <c r="P2144" s="83"/>
      <c r="Q2144" s="83"/>
      <c r="R2144" s="83"/>
      <c r="S2144" s="83"/>
      <c r="T2144" s="83"/>
      <c r="U2144" s="83"/>
      <c r="V2144" s="83"/>
      <c r="W2144" s="83"/>
      <c r="X2144" s="83"/>
      <c r="Y2144" s="83"/>
      <c r="Z2144" s="83"/>
    </row>
    <row r="2145">
      <c r="A2145" s="75" t="s">
        <v>53</v>
      </c>
      <c r="B2145" s="75" t="s">
        <v>1018</v>
      </c>
      <c r="C2145" s="75">
        <v>3.25</v>
      </c>
      <c r="D2145" s="75">
        <v>0.0</v>
      </c>
      <c r="E2145" s="75">
        <v>0.0</v>
      </c>
      <c r="F2145" s="75" t="s">
        <v>950</v>
      </c>
      <c r="G2145" s="82">
        <v>46112.0</v>
      </c>
      <c r="H2145" s="76" t="s">
        <v>984</v>
      </c>
      <c r="I2145" s="83"/>
      <c r="J2145" s="83"/>
      <c r="K2145" s="83"/>
      <c r="L2145" s="83"/>
      <c r="M2145" s="83"/>
      <c r="N2145" s="83"/>
      <c r="O2145" s="83"/>
      <c r="P2145" s="83"/>
      <c r="Q2145" s="83"/>
      <c r="R2145" s="83"/>
      <c r="S2145" s="83"/>
      <c r="T2145" s="83"/>
      <c r="U2145" s="83"/>
      <c r="V2145" s="83"/>
      <c r="W2145" s="83"/>
      <c r="X2145" s="83"/>
      <c r="Y2145" s="83"/>
      <c r="Z2145" s="83"/>
    </row>
    <row r="2146">
      <c r="A2146" s="75" t="s">
        <v>985</v>
      </c>
      <c r="B2146" s="75" t="s">
        <v>1018</v>
      </c>
      <c r="C2146" s="75">
        <v>2.97</v>
      </c>
      <c r="D2146" s="75">
        <v>0.0</v>
      </c>
      <c r="E2146" s="75">
        <v>0.0</v>
      </c>
      <c r="F2146" s="75" t="s">
        <v>950</v>
      </c>
      <c r="G2146" s="82">
        <v>46112.0</v>
      </c>
      <c r="H2146" s="76" t="s">
        <v>936</v>
      </c>
      <c r="I2146" s="83"/>
      <c r="J2146" s="83"/>
      <c r="K2146" s="83"/>
      <c r="L2146" s="83"/>
      <c r="M2146" s="83"/>
      <c r="N2146" s="83"/>
      <c r="O2146" s="83"/>
      <c r="P2146" s="83"/>
      <c r="Q2146" s="83"/>
      <c r="R2146" s="83"/>
      <c r="S2146" s="83"/>
      <c r="T2146" s="83"/>
      <c r="U2146" s="83"/>
      <c r="V2146" s="83"/>
      <c r="W2146" s="83"/>
      <c r="X2146" s="83"/>
      <c r="Y2146" s="83"/>
      <c r="Z2146" s="83"/>
    </row>
    <row r="2147">
      <c r="A2147" s="75" t="s">
        <v>985</v>
      </c>
      <c r="B2147" s="75" t="s">
        <v>1018</v>
      </c>
      <c r="C2147" s="75">
        <v>3.16</v>
      </c>
      <c r="D2147" s="75">
        <v>0.0</v>
      </c>
      <c r="E2147" s="75">
        <v>0.0</v>
      </c>
      <c r="F2147" s="75" t="s">
        <v>950</v>
      </c>
      <c r="G2147" s="82">
        <v>46112.0</v>
      </c>
      <c r="H2147" s="76" t="s">
        <v>937</v>
      </c>
      <c r="I2147" s="83"/>
      <c r="J2147" s="83"/>
      <c r="K2147" s="83"/>
      <c r="L2147" s="83"/>
      <c r="M2147" s="83"/>
      <c r="N2147" s="83"/>
      <c r="O2147" s="83"/>
      <c r="P2147" s="83"/>
      <c r="Q2147" s="83"/>
      <c r="R2147" s="83"/>
      <c r="S2147" s="83"/>
      <c r="T2147" s="83"/>
      <c r="U2147" s="83"/>
      <c r="V2147" s="83"/>
      <c r="W2147" s="83"/>
      <c r="X2147" s="83"/>
      <c r="Y2147" s="83"/>
      <c r="Z2147" s="83"/>
    </row>
    <row r="2148">
      <c r="A2148" s="75" t="s">
        <v>985</v>
      </c>
      <c r="B2148" s="75" t="s">
        <v>1018</v>
      </c>
      <c r="C2148" s="75">
        <v>5.9</v>
      </c>
      <c r="D2148" s="75">
        <v>0.0</v>
      </c>
      <c r="E2148" s="75">
        <v>0.0</v>
      </c>
      <c r="F2148" s="75" t="s">
        <v>950</v>
      </c>
      <c r="G2148" s="82">
        <v>46112.0</v>
      </c>
      <c r="H2148" s="76" t="s">
        <v>938</v>
      </c>
      <c r="I2148" s="83"/>
      <c r="J2148" s="83"/>
      <c r="K2148" s="83"/>
      <c r="L2148" s="83"/>
      <c r="M2148" s="83"/>
      <c r="N2148" s="83"/>
      <c r="O2148" s="83"/>
      <c r="P2148" s="83"/>
      <c r="Q2148" s="83"/>
      <c r="R2148" s="83"/>
      <c r="S2148" s="83"/>
      <c r="T2148" s="83"/>
      <c r="U2148" s="83"/>
      <c r="V2148" s="83"/>
      <c r="W2148" s="83"/>
      <c r="X2148" s="83"/>
      <c r="Y2148" s="83"/>
      <c r="Z2148" s="83"/>
    </row>
    <row r="2149">
      <c r="A2149" s="75" t="s">
        <v>51</v>
      </c>
      <c r="B2149" s="75" t="s">
        <v>1018</v>
      </c>
      <c r="C2149" s="75">
        <v>17.34</v>
      </c>
      <c r="D2149" s="75">
        <v>2.0</v>
      </c>
      <c r="E2149" s="75">
        <v>8.67</v>
      </c>
      <c r="F2149" s="75" t="s">
        <v>950</v>
      </c>
      <c r="G2149" s="82">
        <v>46112.0</v>
      </c>
      <c r="H2149" s="76" t="s">
        <v>986</v>
      </c>
      <c r="I2149" s="83"/>
      <c r="J2149" s="83"/>
      <c r="K2149" s="83"/>
      <c r="L2149" s="83"/>
      <c r="M2149" s="83"/>
      <c r="N2149" s="83"/>
      <c r="O2149" s="83"/>
      <c r="P2149" s="83"/>
      <c r="Q2149" s="83"/>
      <c r="R2149" s="83"/>
      <c r="S2149" s="83"/>
      <c r="T2149" s="83"/>
      <c r="U2149" s="83"/>
      <c r="V2149" s="83"/>
      <c r="W2149" s="83"/>
      <c r="X2149" s="83"/>
      <c r="Y2149" s="83"/>
      <c r="Z2149" s="83"/>
    </row>
    <row r="2150">
      <c r="A2150" s="75" t="s">
        <v>51</v>
      </c>
      <c r="B2150" s="75" t="s">
        <v>1018</v>
      </c>
      <c r="C2150" s="75">
        <v>4.82</v>
      </c>
      <c r="D2150" s="75">
        <v>0.0</v>
      </c>
      <c r="E2150" s="75">
        <v>0.0</v>
      </c>
      <c r="F2150" s="75" t="s">
        <v>950</v>
      </c>
      <c r="G2150" s="82">
        <v>46112.0</v>
      </c>
      <c r="H2150" s="76" t="s">
        <v>987</v>
      </c>
      <c r="I2150" s="83"/>
      <c r="J2150" s="83"/>
      <c r="K2150" s="83"/>
      <c r="L2150" s="83"/>
      <c r="M2150" s="83"/>
      <c r="N2150" s="83"/>
      <c r="O2150" s="83"/>
      <c r="P2150" s="83"/>
      <c r="Q2150" s="83"/>
      <c r="R2150" s="83"/>
      <c r="S2150" s="83"/>
      <c r="T2150" s="83"/>
      <c r="U2150" s="83"/>
      <c r="V2150" s="83"/>
      <c r="W2150" s="83"/>
      <c r="X2150" s="83"/>
      <c r="Y2150" s="83"/>
      <c r="Z2150" s="83"/>
    </row>
    <row r="2151">
      <c r="A2151" s="75" t="s">
        <v>54</v>
      </c>
      <c r="B2151" s="75" t="s">
        <v>1018</v>
      </c>
      <c r="C2151" s="75">
        <v>10.38</v>
      </c>
      <c r="D2151" s="75">
        <v>1.0</v>
      </c>
      <c r="E2151" s="75">
        <v>10.38</v>
      </c>
      <c r="F2151" s="75" t="s">
        <v>974</v>
      </c>
      <c r="G2151" s="82">
        <v>46112.0</v>
      </c>
      <c r="H2151" s="76" t="s">
        <v>977</v>
      </c>
      <c r="I2151" s="83"/>
      <c r="J2151" s="83"/>
      <c r="K2151" s="83"/>
      <c r="L2151" s="83"/>
      <c r="M2151" s="83"/>
      <c r="N2151" s="83"/>
      <c r="O2151" s="83"/>
      <c r="P2151" s="83"/>
      <c r="Q2151" s="83"/>
      <c r="R2151" s="83"/>
      <c r="S2151" s="83"/>
      <c r="T2151" s="83"/>
      <c r="U2151" s="83"/>
      <c r="V2151" s="83"/>
      <c r="W2151" s="83"/>
      <c r="X2151" s="83"/>
      <c r="Y2151" s="83"/>
      <c r="Z2151" s="83"/>
    </row>
    <row r="2152">
      <c r="A2152" s="75" t="s">
        <v>54</v>
      </c>
      <c r="B2152" s="75" t="s">
        <v>1018</v>
      </c>
      <c r="C2152" s="75">
        <v>78.51</v>
      </c>
      <c r="D2152" s="75">
        <v>0.0</v>
      </c>
      <c r="E2152" s="75">
        <v>0.0</v>
      </c>
      <c r="F2152" s="75" t="s">
        <v>974</v>
      </c>
      <c r="G2152" s="82">
        <v>46112.0</v>
      </c>
      <c r="H2152" s="76" t="s">
        <v>978</v>
      </c>
      <c r="I2152" s="83"/>
      <c r="J2152" s="83"/>
      <c r="K2152" s="83"/>
      <c r="L2152" s="83"/>
      <c r="M2152" s="83"/>
      <c r="N2152" s="83"/>
      <c r="O2152" s="83"/>
      <c r="P2152" s="83"/>
      <c r="Q2152" s="83"/>
      <c r="R2152" s="83"/>
      <c r="S2152" s="83"/>
      <c r="T2152" s="83"/>
      <c r="U2152" s="83"/>
      <c r="V2152" s="83"/>
      <c r="W2152" s="83"/>
      <c r="X2152" s="83"/>
      <c r="Y2152" s="83"/>
      <c r="Z2152" s="83"/>
    </row>
    <row r="2153">
      <c r="A2153" s="75" t="s">
        <v>54</v>
      </c>
      <c r="B2153" s="75" t="s">
        <v>1018</v>
      </c>
      <c r="C2153" s="75">
        <v>20.11</v>
      </c>
      <c r="D2153" s="75">
        <v>1.0</v>
      </c>
      <c r="E2153" s="75">
        <v>20.11</v>
      </c>
      <c r="F2153" s="75" t="s">
        <v>974</v>
      </c>
      <c r="G2153" s="82">
        <v>46112.0</v>
      </c>
      <c r="H2153" s="76" t="s">
        <v>979</v>
      </c>
      <c r="I2153" s="83"/>
      <c r="J2153" s="83"/>
      <c r="K2153" s="83"/>
      <c r="L2153" s="83"/>
      <c r="M2153" s="83"/>
      <c r="N2153" s="83"/>
      <c r="O2153" s="83"/>
      <c r="P2153" s="83"/>
      <c r="Q2153" s="83"/>
      <c r="R2153" s="83"/>
      <c r="S2153" s="83"/>
      <c r="T2153" s="83"/>
      <c r="U2153" s="83"/>
      <c r="V2153" s="83"/>
      <c r="W2153" s="83"/>
      <c r="X2153" s="83"/>
      <c r="Y2153" s="83"/>
      <c r="Z2153" s="83"/>
    </row>
    <row r="2154">
      <c r="A2154" s="75" t="s">
        <v>55</v>
      </c>
      <c r="B2154" s="75" t="s">
        <v>1018</v>
      </c>
      <c r="C2154" s="75">
        <v>9.79</v>
      </c>
      <c r="D2154" s="75">
        <v>1.0</v>
      </c>
      <c r="E2154" s="75">
        <v>9.79</v>
      </c>
      <c r="F2154" s="75" t="s">
        <v>974</v>
      </c>
      <c r="G2154" s="82">
        <v>46112.0</v>
      </c>
      <c r="H2154" s="76" t="s">
        <v>980</v>
      </c>
      <c r="I2154" s="83"/>
      <c r="J2154" s="83"/>
      <c r="K2154" s="83"/>
      <c r="L2154" s="83"/>
      <c r="M2154" s="83"/>
      <c r="N2154" s="83"/>
      <c r="O2154" s="83"/>
      <c r="P2154" s="83"/>
      <c r="Q2154" s="83"/>
      <c r="R2154" s="83"/>
      <c r="S2154" s="83"/>
      <c r="T2154" s="83"/>
      <c r="U2154" s="83"/>
      <c r="V2154" s="83"/>
      <c r="W2154" s="83"/>
      <c r="X2154" s="83"/>
      <c r="Y2154" s="83"/>
      <c r="Z2154" s="83"/>
    </row>
    <row r="2155">
      <c r="A2155" s="75" t="s">
        <v>55</v>
      </c>
      <c r="B2155" s="75" t="s">
        <v>1018</v>
      </c>
      <c r="C2155" s="75">
        <v>11.06</v>
      </c>
      <c r="D2155" s="75">
        <v>1.0</v>
      </c>
      <c r="E2155" s="75">
        <v>11.06</v>
      </c>
      <c r="F2155" s="75" t="s">
        <v>974</v>
      </c>
      <c r="G2155" s="82">
        <v>46112.0</v>
      </c>
      <c r="H2155" s="76" t="s">
        <v>981</v>
      </c>
      <c r="I2155" s="83"/>
      <c r="J2155" s="83"/>
      <c r="K2155" s="83"/>
      <c r="L2155" s="83"/>
      <c r="M2155" s="83"/>
      <c r="N2155" s="83"/>
      <c r="O2155" s="83"/>
      <c r="P2155" s="83"/>
      <c r="Q2155" s="83"/>
      <c r="R2155" s="83"/>
      <c r="S2155" s="83"/>
      <c r="T2155" s="83"/>
      <c r="U2155" s="83"/>
      <c r="V2155" s="83"/>
      <c r="W2155" s="83"/>
      <c r="X2155" s="83"/>
      <c r="Y2155" s="83"/>
      <c r="Z2155" s="83"/>
    </row>
    <row r="2156">
      <c r="A2156" s="75" t="s">
        <v>53</v>
      </c>
      <c r="B2156" s="75" t="s">
        <v>1018</v>
      </c>
      <c r="C2156" s="75">
        <v>39.63</v>
      </c>
      <c r="D2156" s="75">
        <v>2.0</v>
      </c>
      <c r="E2156" s="75">
        <v>19.81</v>
      </c>
      <c r="F2156" s="75" t="s">
        <v>974</v>
      </c>
      <c r="G2156" s="82">
        <v>46112.0</v>
      </c>
      <c r="H2156" s="76" t="s">
        <v>982</v>
      </c>
      <c r="I2156" s="83"/>
      <c r="J2156" s="83"/>
      <c r="K2156" s="83"/>
      <c r="L2156" s="83"/>
      <c r="M2156" s="83"/>
      <c r="N2156" s="83"/>
      <c r="O2156" s="83"/>
      <c r="P2156" s="83"/>
      <c r="Q2156" s="83"/>
      <c r="R2156" s="83"/>
      <c r="S2156" s="83"/>
      <c r="T2156" s="83"/>
      <c r="U2156" s="83"/>
      <c r="V2156" s="83"/>
      <c r="W2156" s="83"/>
      <c r="X2156" s="83"/>
      <c r="Y2156" s="83"/>
      <c r="Z2156" s="83"/>
    </row>
    <row r="2157">
      <c r="A2157" s="75" t="s">
        <v>53</v>
      </c>
      <c r="B2157" s="75" t="s">
        <v>1018</v>
      </c>
      <c r="C2157" s="75">
        <v>12.15</v>
      </c>
      <c r="D2157" s="75">
        <v>0.0</v>
      </c>
      <c r="E2157" s="75">
        <v>0.0</v>
      </c>
      <c r="F2157" s="75" t="s">
        <v>974</v>
      </c>
      <c r="G2157" s="82">
        <v>46112.0</v>
      </c>
      <c r="H2157" s="76" t="s">
        <v>983</v>
      </c>
      <c r="I2157" s="83"/>
      <c r="J2157" s="83"/>
      <c r="K2157" s="83"/>
      <c r="L2157" s="83"/>
      <c r="M2157" s="83"/>
      <c r="N2157" s="83"/>
      <c r="O2157" s="83"/>
      <c r="P2157" s="83"/>
      <c r="Q2157" s="83"/>
      <c r="R2157" s="83"/>
      <c r="S2157" s="83"/>
      <c r="T2157" s="83"/>
      <c r="U2157" s="83"/>
      <c r="V2157" s="83"/>
      <c r="W2157" s="83"/>
      <c r="X2157" s="83"/>
      <c r="Y2157" s="83"/>
      <c r="Z2157" s="83"/>
    </row>
    <row r="2158">
      <c r="A2158" s="75" t="s">
        <v>53</v>
      </c>
      <c r="B2158" s="75" t="s">
        <v>1018</v>
      </c>
      <c r="C2158" s="75">
        <v>4.7</v>
      </c>
      <c r="D2158" s="75">
        <v>1.0</v>
      </c>
      <c r="E2158" s="75">
        <v>4.7</v>
      </c>
      <c r="F2158" s="75" t="s">
        <v>974</v>
      </c>
      <c r="G2158" s="82">
        <v>46112.0</v>
      </c>
      <c r="H2158" s="76" t="s">
        <v>984</v>
      </c>
      <c r="I2158" s="83"/>
      <c r="J2158" s="83"/>
      <c r="K2158" s="83"/>
      <c r="L2158" s="83"/>
      <c r="M2158" s="83"/>
      <c r="N2158" s="83"/>
      <c r="O2158" s="83"/>
      <c r="P2158" s="83"/>
      <c r="Q2158" s="83"/>
      <c r="R2158" s="83"/>
      <c r="S2158" s="83"/>
      <c r="T2158" s="83"/>
      <c r="U2158" s="83"/>
      <c r="V2158" s="83"/>
      <c r="W2158" s="83"/>
      <c r="X2158" s="83"/>
      <c r="Y2158" s="83"/>
      <c r="Z2158" s="83"/>
    </row>
    <row r="2159">
      <c r="A2159" s="75" t="s">
        <v>985</v>
      </c>
      <c r="B2159" s="75" t="s">
        <v>1018</v>
      </c>
      <c r="C2159" s="75">
        <v>3.6</v>
      </c>
      <c r="D2159" s="75">
        <v>0.0</v>
      </c>
      <c r="E2159" s="75">
        <v>0.0</v>
      </c>
      <c r="F2159" s="75" t="s">
        <v>974</v>
      </c>
      <c r="G2159" s="82">
        <v>46112.0</v>
      </c>
      <c r="H2159" s="76" t="s">
        <v>936</v>
      </c>
      <c r="I2159" s="83"/>
      <c r="J2159" s="83"/>
      <c r="K2159" s="83"/>
      <c r="L2159" s="83"/>
      <c r="M2159" s="83"/>
      <c r="N2159" s="83"/>
      <c r="O2159" s="83"/>
      <c r="P2159" s="83"/>
      <c r="Q2159" s="83"/>
      <c r="R2159" s="83"/>
      <c r="S2159" s="83"/>
      <c r="T2159" s="83"/>
      <c r="U2159" s="83"/>
      <c r="V2159" s="83"/>
      <c r="W2159" s="83"/>
      <c r="X2159" s="83"/>
      <c r="Y2159" s="83"/>
      <c r="Z2159" s="83"/>
    </row>
    <row r="2160">
      <c r="A2160" s="75" t="s">
        <v>985</v>
      </c>
      <c r="B2160" s="75" t="s">
        <v>1018</v>
      </c>
      <c r="C2160" s="75">
        <v>3.08</v>
      </c>
      <c r="D2160" s="75">
        <v>0.0</v>
      </c>
      <c r="E2160" s="75">
        <v>0.0</v>
      </c>
      <c r="F2160" s="75" t="s">
        <v>974</v>
      </c>
      <c r="G2160" s="82">
        <v>46112.0</v>
      </c>
      <c r="H2160" s="76" t="s">
        <v>937</v>
      </c>
      <c r="I2160" s="83"/>
      <c r="J2160" s="83"/>
      <c r="K2160" s="83"/>
      <c r="L2160" s="83"/>
      <c r="M2160" s="83"/>
      <c r="N2160" s="83"/>
      <c r="O2160" s="83"/>
      <c r="P2160" s="83"/>
      <c r="Q2160" s="83"/>
      <c r="R2160" s="83"/>
      <c r="S2160" s="83"/>
      <c r="T2160" s="83"/>
      <c r="U2160" s="83"/>
      <c r="V2160" s="83"/>
      <c r="W2160" s="83"/>
      <c r="X2160" s="83"/>
      <c r="Y2160" s="83"/>
      <c r="Z2160" s="83"/>
    </row>
    <row r="2161">
      <c r="A2161" s="75" t="s">
        <v>985</v>
      </c>
      <c r="B2161" s="75" t="s">
        <v>1018</v>
      </c>
      <c r="C2161" s="75">
        <v>10.42</v>
      </c>
      <c r="D2161" s="75">
        <v>0.0</v>
      </c>
      <c r="E2161" s="75">
        <v>0.0</v>
      </c>
      <c r="F2161" s="75" t="s">
        <v>974</v>
      </c>
      <c r="G2161" s="82">
        <v>46112.0</v>
      </c>
      <c r="H2161" s="76" t="s">
        <v>938</v>
      </c>
      <c r="I2161" s="83"/>
      <c r="J2161" s="83"/>
      <c r="K2161" s="83"/>
      <c r="L2161" s="83"/>
      <c r="M2161" s="83"/>
      <c r="N2161" s="83"/>
      <c r="O2161" s="83"/>
      <c r="P2161" s="83"/>
      <c r="Q2161" s="83"/>
      <c r="R2161" s="83"/>
      <c r="S2161" s="83"/>
      <c r="T2161" s="83"/>
      <c r="U2161" s="83"/>
      <c r="V2161" s="83"/>
      <c r="W2161" s="83"/>
      <c r="X2161" s="83"/>
      <c r="Y2161" s="83"/>
      <c r="Z2161" s="83"/>
    </row>
    <row r="2162">
      <c r="A2162" s="75" t="s">
        <v>51</v>
      </c>
      <c r="B2162" s="75" t="s">
        <v>1018</v>
      </c>
      <c r="C2162" s="75">
        <v>24.28</v>
      </c>
      <c r="D2162" s="75">
        <v>0.0</v>
      </c>
      <c r="E2162" s="75">
        <v>0.0</v>
      </c>
      <c r="F2162" s="75" t="s">
        <v>974</v>
      </c>
      <c r="G2162" s="82">
        <v>46112.0</v>
      </c>
      <c r="H2162" s="76" t="s">
        <v>986</v>
      </c>
      <c r="I2162" s="83"/>
      <c r="J2162" s="83"/>
      <c r="K2162" s="83"/>
      <c r="L2162" s="83"/>
      <c r="M2162" s="83"/>
      <c r="N2162" s="83"/>
      <c r="O2162" s="83"/>
      <c r="P2162" s="83"/>
      <c r="Q2162" s="83"/>
      <c r="R2162" s="83"/>
      <c r="S2162" s="83"/>
      <c r="T2162" s="83"/>
      <c r="U2162" s="83"/>
      <c r="V2162" s="83"/>
      <c r="W2162" s="83"/>
      <c r="X2162" s="83"/>
      <c r="Y2162" s="83"/>
      <c r="Z2162" s="83"/>
    </row>
    <row r="2163">
      <c r="A2163" s="75" t="s">
        <v>51</v>
      </c>
      <c r="B2163" s="75" t="s">
        <v>1018</v>
      </c>
      <c r="C2163" s="75">
        <v>4.63</v>
      </c>
      <c r="D2163" s="75">
        <v>0.0</v>
      </c>
      <c r="E2163" s="75">
        <v>0.0</v>
      </c>
      <c r="F2163" s="75" t="s">
        <v>974</v>
      </c>
      <c r="G2163" s="82">
        <v>46112.0</v>
      </c>
      <c r="H2163" s="76" t="s">
        <v>987</v>
      </c>
      <c r="I2163" s="83"/>
      <c r="J2163" s="83"/>
      <c r="K2163" s="83"/>
      <c r="L2163" s="83"/>
      <c r="M2163" s="83"/>
      <c r="N2163" s="83"/>
      <c r="O2163" s="83"/>
      <c r="P2163" s="83"/>
      <c r="Q2163" s="83"/>
      <c r="R2163" s="83"/>
      <c r="S2163" s="83"/>
      <c r="T2163" s="83"/>
      <c r="U2163" s="83"/>
      <c r="V2163" s="83"/>
      <c r="W2163" s="83"/>
      <c r="X2163" s="83"/>
      <c r="Y2163" s="83"/>
      <c r="Z2163" s="83"/>
    </row>
    <row r="2164">
      <c r="A2164" s="75" t="s">
        <v>54</v>
      </c>
      <c r="B2164" s="75" t="s">
        <v>1018</v>
      </c>
      <c r="C2164" s="75">
        <v>11.27</v>
      </c>
      <c r="D2164" s="75">
        <v>1.0</v>
      </c>
      <c r="E2164" s="75">
        <v>11.27</v>
      </c>
      <c r="F2164" s="75" t="s">
        <v>975</v>
      </c>
      <c r="G2164" s="82">
        <v>46112.0</v>
      </c>
      <c r="H2164" s="76" t="s">
        <v>977</v>
      </c>
      <c r="I2164" s="83"/>
      <c r="J2164" s="83"/>
      <c r="K2164" s="83"/>
      <c r="L2164" s="83"/>
      <c r="M2164" s="83"/>
      <c r="N2164" s="83"/>
      <c r="O2164" s="83"/>
      <c r="P2164" s="83"/>
      <c r="Q2164" s="83"/>
      <c r="R2164" s="83"/>
      <c r="S2164" s="83"/>
      <c r="T2164" s="83"/>
      <c r="U2164" s="83"/>
      <c r="V2164" s="83"/>
      <c r="W2164" s="83"/>
      <c r="X2164" s="83"/>
      <c r="Y2164" s="83"/>
      <c r="Z2164" s="83"/>
    </row>
    <row r="2165">
      <c r="A2165" s="75" t="s">
        <v>54</v>
      </c>
      <c r="B2165" s="75" t="s">
        <v>1018</v>
      </c>
      <c r="C2165" s="75">
        <v>28.6</v>
      </c>
      <c r="D2165" s="75">
        <v>0.0</v>
      </c>
      <c r="E2165" s="75">
        <v>0.0</v>
      </c>
      <c r="F2165" s="75" t="s">
        <v>975</v>
      </c>
      <c r="G2165" s="82">
        <v>46112.0</v>
      </c>
      <c r="H2165" s="76" t="s">
        <v>978</v>
      </c>
      <c r="I2165" s="83"/>
      <c r="J2165" s="83"/>
      <c r="K2165" s="83"/>
      <c r="L2165" s="83"/>
      <c r="M2165" s="83"/>
      <c r="N2165" s="83"/>
      <c r="O2165" s="83"/>
      <c r="P2165" s="83"/>
      <c r="Q2165" s="83"/>
      <c r="R2165" s="83"/>
      <c r="S2165" s="83"/>
      <c r="T2165" s="83"/>
      <c r="U2165" s="83"/>
      <c r="V2165" s="83"/>
      <c r="W2165" s="83"/>
      <c r="X2165" s="83"/>
      <c r="Y2165" s="83"/>
      <c r="Z2165" s="83"/>
    </row>
    <row r="2166">
      <c r="A2166" s="75" t="s">
        <v>54</v>
      </c>
      <c r="B2166" s="75" t="s">
        <v>1018</v>
      </c>
      <c r="C2166" s="75">
        <v>11.09</v>
      </c>
      <c r="D2166" s="75">
        <v>0.0</v>
      </c>
      <c r="E2166" s="75">
        <v>0.0</v>
      </c>
      <c r="F2166" s="75" t="s">
        <v>975</v>
      </c>
      <c r="G2166" s="82">
        <v>46112.0</v>
      </c>
      <c r="H2166" s="76" t="s">
        <v>979</v>
      </c>
      <c r="I2166" s="83"/>
      <c r="J2166" s="83"/>
      <c r="K2166" s="83"/>
      <c r="L2166" s="83"/>
      <c r="M2166" s="83"/>
      <c r="N2166" s="83"/>
      <c r="O2166" s="83"/>
      <c r="P2166" s="83"/>
      <c r="Q2166" s="83"/>
      <c r="R2166" s="83"/>
      <c r="S2166" s="83"/>
      <c r="T2166" s="83"/>
      <c r="U2166" s="83"/>
      <c r="V2166" s="83"/>
      <c r="W2166" s="83"/>
      <c r="X2166" s="83"/>
      <c r="Y2166" s="83"/>
      <c r="Z2166" s="83"/>
    </row>
    <row r="2167">
      <c r="A2167" s="75" t="s">
        <v>55</v>
      </c>
      <c r="B2167" s="75" t="s">
        <v>1018</v>
      </c>
      <c r="C2167" s="75">
        <v>8.14</v>
      </c>
      <c r="D2167" s="75">
        <v>0.0</v>
      </c>
      <c r="E2167" s="75">
        <v>0.0</v>
      </c>
      <c r="F2167" s="75" t="s">
        <v>975</v>
      </c>
      <c r="G2167" s="82">
        <v>46112.0</v>
      </c>
      <c r="H2167" s="76" t="s">
        <v>980</v>
      </c>
      <c r="I2167" s="83"/>
      <c r="J2167" s="83"/>
      <c r="K2167" s="83"/>
      <c r="L2167" s="83"/>
      <c r="M2167" s="83"/>
      <c r="N2167" s="83"/>
      <c r="O2167" s="83"/>
      <c r="P2167" s="83"/>
      <c r="Q2167" s="83"/>
      <c r="R2167" s="83"/>
      <c r="S2167" s="83"/>
      <c r="T2167" s="83"/>
      <c r="U2167" s="83"/>
      <c r="V2167" s="83"/>
      <c r="W2167" s="83"/>
      <c r="X2167" s="83"/>
      <c r="Y2167" s="83"/>
      <c r="Z2167" s="83"/>
    </row>
    <row r="2168">
      <c r="A2168" s="75" t="s">
        <v>55</v>
      </c>
      <c r="B2168" s="75" t="s">
        <v>1018</v>
      </c>
      <c r="C2168" s="75">
        <v>13.02</v>
      </c>
      <c r="D2168" s="75">
        <v>0.0</v>
      </c>
      <c r="E2168" s="75">
        <v>0.0</v>
      </c>
      <c r="F2168" s="75" t="s">
        <v>975</v>
      </c>
      <c r="G2168" s="82">
        <v>46112.0</v>
      </c>
      <c r="H2168" s="76" t="s">
        <v>981</v>
      </c>
      <c r="I2168" s="83"/>
      <c r="J2168" s="83"/>
      <c r="K2168" s="83"/>
      <c r="L2168" s="83"/>
      <c r="M2168" s="83"/>
      <c r="N2168" s="83"/>
      <c r="O2168" s="83"/>
      <c r="P2168" s="83"/>
      <c r="Q2168" s="83"/>
      <c r="R2168" s="83"/>
      <c r="S2168" s="83"/>
      <c r="T2168" s="83"/>
      <c r="U2168" s="83"/>
      <c r="V2168" s="83"/>
      <c r="W2168" s="83"/>
      <c r="X2168" s="83"/>
      <c r="Y2168" s="83"/>
      <c r="Z2168" s="83"/>
    </row>
    <row r="2169">
      <c r="A2169" s="75" t="s">
        <v>53</v>
      </c>
      <c r="B2169" s="75" t="s">
        <v>1018</v>
      </c>
      <c r="C2169" s="75">
        <v>17.32</v>
      </c>
      <c r="D2169" s="75">
        <v>3.0</v>
      </c>
      <c r="E2169" s="75">
        <v>5.77</v>
      </c>
      <c r="F2169" s="75" t="s">
        <v>975</v>
      </c>
      <c r="G2169" s="82">
        <v>46112.0</v>
      </c>
      <c r="H2169" s="76" t="s">
        <v>982</v>
      </c>
      <c r="I2169" s="83"/>
      <c r="J2169" s="83"/>
      <c r="K2169" s="83"/>
      <c r="L2169" s="83"/>
      <c r="M2169" s="83"/>
      <c r="N2169" s="83"/>
      <c r="O2169" s="83"/>
      <c r="P2169" s="83"/>
      <c r="Q2169" s="83"/>
      <c r="R2169" s="83"/>
      <c r="S2169" s="83"/>
      <c r="T2169" s="83"/>
      <c r="U2169" s="83"/>
      <c r="V2169" s="83"/>
      <c r="W2169" s="83"/>
      <c r="X2169" s="83"/>
      <c r="Y2169" s="83"/>
      <c r="Z2169" s="83"/>
    </row>
    <row r="2170">
      <c r="A2170" s="75" t="s">
        <v>53</v>
      </c>
      <c r="B2170" s="75" t="s">
        <v>1018</v>
      </c>
      <c r="C2170" s="75">
        <v>3.57</v>
      </c>
      <c r="D2170" s="75">
        <v>0.0</v>
      </c>
      <c r="E2170" s="75">
        <v>0.0</v>
      </c>
      <c r="F2170" s="75" t="s">
        <v>975</v>
      </c>
      <c r="G2170" s="82">
        <v>46112.0</v>
      </c>
      <c r="H2170" s="76" t="s">
        <v>983</v>
      </c>
      <c r="I2170" s="83"/>
      <c r="J2170" s="83"/>
      <c r="K2170" s="83"/>
      <c r="L2170" s="83"/>
      <c r="M2170" s="83"/>
      <c r="N2170" s="83"/>
      <c r="O2170" s="83"/>
      <c r="P2170" s="83"/>
      <c r="Q2170" s="83"/>
      <c r="R2170" s="83"/>
      <c r="S2170" s="83"/>
      <c r="T2170" s="83"/>
      <c r="U2170" s="83"/>
      <c r="V2170" s="83"/>
      <c r="W2170" s="83"/>
      <c r="X2170" s="83"/>
      <c r="Y2170" s="83"/>
      <c r="Z2170" s="83"/>
    </row>
    <row r="2171">
      <c r="A2171" s="75" t="s">
        <v>53</v>
      </c>
      <c r="B2171" s="75" t="s">
        <v>1018</v>
      </c>
      <c r="C2171" s="75">
        <v>2.72</v>
      </c>
      <c r="D2171" s="75">
        <v>0.0</v>
      </c>
      <c r="E2171" s="75">
        <v>0.0</v>
      </c>
      <c r="F2171" s="75" t="s">
        <v>975</v>
      </c>
      <c r="G2171" s="82">
        <v>46112.0</v>
      </c>
      <c r="H2171" s="76" t="s">
        <v>984</v>
      </c>
      <c r="I2171" s="83"/>
      <c r="J2171" s="83"/>
      <c r="K2171" s="83"/>
      <c r="L2171" s="83"/>
      <c r="M2171" s="83"/>
      <c r="N2171" s="83"/>
      <c r="O2171" s="83"/>
      <c r="P2171" s="83"/>
      <c r="Q2171" s="83"/>
      <c r="R2171" s="83"/>
      <c r="S2171" s="83"/>
      <c r="T2171" s="83"/>
      <c r="U2171" s="83"/>
      <c r="V2171" s="83"/>
      <c r="W2171" s="83"/>
      <c r="X2171" s="83"/>
      <c r="Y2171" s="83"/>
      <c r="Z2171" s="83"/>
    </row>
    <row r="2172">
      <c r="A2172" s="75" t="s">
        <v>985</v>
      </c>
      <c r="B2172" s="75" t="s">
        <v>1018</v>
      </c>
      <c r="C2172" s="75">
        <v>3.58</v>
      </c>
      <c r="D2172" s="75">
        <v>0.0</v>
      </c>
      <c r="E2172" s="75">
        <v>0.0</v>
      </c>
      <c r="F2172" s="75" t="s">
        <v>975</v>
      </c>
      <c r="G2172" s="82">
        <v>46112.0</v>
      </c>
      <c r="H2172" s="76" t="s">
        <v>936</v>
      </c>
      <c r="I2172" s="83"/>
      <c r="J2172" s="83"/>
      <c r="K2172" s="83"/>
      <c r="L2172" s="83"/>
      <c r="M2172" s="83"/>
      <c r="N2172" s="83"/>
      <c r="O2172" s="83"/>
      <c r="P2172" s="83"/>
      <c r="Q2172" s="83"/>
      <c r="R2172" s="83"/>
      <c r="S2172" s="83"/>
      <c r="T2172" s="83"/>
      <c r="U2172" s="83"/>
      <c r="V2172" s="83"/>
      <c r="W2172" s="83"/>
      <c r="X2172" s="83"/>
      <c r="Y2172" s="83"/>
      <c r="Z2172" s="83"/>
    </row>
    <row r="2173">
      <c r="A2173" s="75" t="s">
        <v>985</v>
      </c>
      <c r="B2173" s="75" t="s">
        <v>1018</v>
      </c>
      <c r="C2173" s="75">
        <v>2.74</v>
      </c>
      <c r="D2173" s="75">
        <v>0.0</v>
      </c>
      <c r="E2173" s="75">
        <v>0.0</v>
      </c>
      <c r="F2173" s="75" t="s">
        <v>975</v>
      </c>
      <c r="G2173" s="82">
        <v>46112.0</v>
      </c>
      <c r="H2173" s="76" t="s">
        <v>937</v>
      </c>
      <c r="I2173" s="83"/>
      <c r="J2173" s="83"/>
      <c r="K2173" s="83"/>
      <c r="L2173" s="83"/>
      <c r="M2173" s="83"/>
      <c r="N2173" s="83"/>
      <c r="O2173" s="83"/>
      <c r="P2173" s="83"/>
      <c r="Q2173" s="83"/>
      <c r="R2173" s="83"/>
      <c r="S2173" s="83"/>
      <c r="T2173" s="83"/>
      <c r="U2173" s="83"/>
      <c r="V2173" s="83"/>
      <c r="W2173" s="83"/>
      <c r="X2173" s="83"/>
      <c r="Y2173" s="83"/>
      <c r="Z2173" s="83"/>
    </row>
    <row r="2174">
      <c r="A2174" s="75" t="s">
        <v>985</v>
      </c>
      <c r="B2174" s="75" t="s">
        <v>1018</v>
      </c>
      <c r="C2174" s="75">
        <v>7.79</v>
      </c>
      <c r="D2174" s="75">
        <v>1.0</v>
      </c>
      <c r="E2174" s="75">
        <v>7.79</v>
      </c>
      <c r="F2174" s="75" t="s">
        <v>975</v>
      </c>
      <c r="G2174" s="82">
        <v>46112.0</v>
      </c>
      <c r="H2174" s="76" t="s">
        <v>938</v>
      </c>
      <c r="I2174" s="83"/>
      <c r="J2174" s="83"/>
      <c r="K2174" s="83"/>
      <c r="L2174" s="83"/>
      <c r="M2174" s="83"/>
      <c r="N2174" s="83"/>
      <c r="O2174" s="83"/>
      <c r="P2174" s="83"/>
      <c r="Q2174" s="83"/>
      <c r="R2174" s="83"/>
      <c r="S2174" s="83"/>
      <c r="T2174" s="83"/>
      <c r="U2174" s="83"/>
      <c r="V2174" s="83"/>
      <c r="W2174" s="83"/>
      <c r="X2174" s="83"/>
      <c r="Y2174" s="83"/>
      <c r="Z2174" s="83"/>
    </row>
    <row r="2175">
      <c r="A2175" s="75" t="s">
        <v>51</v>
      </c>
      <c r="B2175" s="75" t="s">
        <v>1018</v>
      </c>
      <c r="C2175" s="75">
        <v>20.43</v>
      </c>
      <c r="D2175" s="75">
        <v>0.0</v>
      </c>
      <c r="E2175" s="75">
        <v>0.0</v>
      </c>
      <c r="F2175" s="75" t="s">
        <v>975</v>
      </c>
      <c r="G2175" s="82">
        <v>46112.0</v>
      </c>
      <c r="H2175" s="76" t="s">
        <v>986</v>
      </c>
      <c r="I2175" s="83"/>
      <c r="J2175" s="83"/>
      <c r="K2175" s="83"/>
      <c r="L2175" s="83"/>
      <c r="M2175" s="83"/>
      <c r="N2175" s="83"/>
      <c r="O2175" s="83"/>
      <c r="P2175" s="83"/>
      <c r="Q2175" s="83"/>
      <c r="R2175" s="83"/>
      <c r="S2175" s="83"/>
      <c r="T2175" s="83"/>
      <c r="U2175" s="83"/>
      <c r="V2175" s="83"/>
      <c r="W2175" s="83"/>
      <c r="X2175" s="83"/>
      <c r="Y2175" s="83"/>
      <c r="Z2175" s="83"/>
    </row>
    <row r="2176">
      <c r="A2176" s="75" t="s">
        <v>51</v>
      </c>
      <c r="B2176" s="75" t="s">
        <v>1018</v>
      </c>
      <c r="C2176" s="75">
        <v>5.23</v>
      </c>
      <c r="D2176" s="75">
        <v>0.0</v>
      </c>
      <c r="E2176" s="75">
        <v>0.0</v>
      </c>
      <c r="F2176" s="75" t="s">
        <v>975</v>
      </c>
      <c r="G2176" s="82">
        <v>46112.0</v>
      </c>
      <c r="H2176" s="76" t="s">
        <v>987</v>
      </c>
      <c r="I2176" s="83"/>
      <c r="J2176" s="83"/>
      <c r="K2176" s="83"/>
      <c r="L2176" s="83"/>
      <c r="M2176" s="83"/>
      <c r="N2176" s="83"/>
      <c r="O2176" s="83"/>
      <c r="P2176" s="83"/>
      <c r="Q2176" s="83"/>
      <c r="R2176" s="83"/>
      <c r="S2176" s="83"/>
      <c r="T2176" s="83"/>
      <c r="U2176" s="83"/>
      <c r="V2176" s="83"/>
      <c r="W2176" s="83"/>
      <c r="X2176" s="83"/>
      <c r="Y2176" s="83"/>
      <c r="Z2176" s="83"/>
    </row>
    <row r="2177">
      <c r="A2177" s="75" t="s">
        <v>34</v>
      </c>
      <c r="B2177" s="75" t="s">
        <v>1001</v>
      </c>
      <c r="C2177" s="75">
        <v>8.42</v>
      </c>
      <c r="D2177" s="75">
        <v>0.0</v>
      </c>
      <c r="E2177" s="75">
        <v>0.0</v>
      </c>
      <c r="F2177" s="75" t="s">
        <v>950</v>
      </c>
      <c r="G2177" s="82">
        <v>46112.0</v>
      </c>
      <c r="H2177" s="76" t="s">
        <v>951</v>
      </c>
      <c r="I2177" s="83"/>
      <c r="J2177" s="83"/>
      <c r="K2177" s="83"/>
      <c r="L2177" s="83"/>
      <c r="M2177" s="83"/>
      <c r="N2177" s="83"/>
      <c r="O2177" s="83"/>
      <c r="P2177" s="83"/>
      <c r="Q2177" s="83"/>
      <c r="R2177" s="83"/>
      <c r="S2177" s="83"/>
      <c r="T2177" s="83"/>
      <c r="U2177" s="83"/>
      <c r="V2177" s="83"/>
      <c r="W2177" s="83"/>
      <c r="X2177" s="83"/>
      <c r="Y2177" s="83"/>
      <c r="Z2177" s="83"/>
    </row>
    <row r="2178">
      <c r="A2178" s="75" t="s">
        <v>34</v>
      </c>
      <c r="B2178" s="75" t="s">
        <v>1001</v>
      </c>
      <c r="C2178" s="75">
        <v>6.03</v>
      </c>
      <c r="D2178" s="75">
        <v>0.0</v>
      </c>
      <c r="E2178" s="75">
        <v>0.0</v>
      </c>
      <c r="F2178" s="75" t="s">
        <v>950</v>
      </c>
      <c r="G2178" s="82">
        <v>46112.0</v>
      </c>
      <c r="H2178" s="76" t="s">
        <v>952</v>
      </c>
      <c r="I2178" s="83"/>
      <c r="J2178" s="83"/>
      <c r="K2178" s="83"/>
      <c r="L2178" s="83"/>
      <c r="M2178" s="83"/>
      <c r="N2178" s="83"/>
      <c r="O2178" s="83"/>
      <c r="P2178" s="83"/>
      <c r="Q2178" s="83"/>
      <c r="R2178" s="83"/>
      <c r="S2178" s="83"/>
      <c r="T2178" s="83"/>
      <c r="U2178" s="83"/>
      <c r="V2178" s="83"/>
      <c r="W2178" s="83"/>
      <c r="X2178" s="83"/>
      <c r="Y2178" s="83"/>
      <c r="Z2178" s="83"/>
    </row>
    <row r="2179">
      <c r="A2179" s="75" t="s">
        <v>34</v>
      </c>
      <c r="B2179" s="75" t="s">
        <v>1001</v>
      </c>
      <c r="C2179" s="75">
        <v>45.7</v>
      </c>
      <c r="D2179" s="75">
        <v>0.0</v>
      </c>
      <c r="E2179" s="75">
        <v>0.0</v>
      </c>
      <c r="F2179" s="75" t="s">
        <v>950</v>
      </c>
      <c r="G2179" s="82">
        <v>46112.0</v>
      </c>
      <c r="H2179" s="76" t="s">
        <v>953</v>
      </c>
      <c r="I2179" s="83"/>
      <c r="J2179" s="83"/>
      <c r="K2179" s="83"/>
      <c r="L2179" s="83"/>
      <c r="M2179" s="83"/>
      <c r="N2179" s="83"/>
      <c r="O2179" s="83"/>
      <c r="P2179" s="83"/>
      <c r="Q2179" s="83"/>
      <c r="R2179" s="83"/>
      <c r="S2179" s="83"/>
      <c r="T2179" s="83"/>
      <c r="U2179" s="83"/>
      <c r="V2179" s="83"/>
      <c r="W2179" s="83"/>
      <c r="X2179" s="83"/>
      <c r="Y2179" s="83"/>
      <c r="Z2179" s="83"/>
    </row>
    <row r="2180">
      <c r="A2180" s="75" t="s">
        <v>40</v>
      </c>
      <c r="B2180" s="75" t="s">
        <v>1001</v>
      </c>
      <c r="C2180" s="75">
        <v>2.08</v>
      </c>
      <c r="D2180" s="75">
        <v>0.0</v>
      </c>
      <c r="E2180" s="75">
        <v>0.0</v>
      </c>
      <c r="F2180" s="75" t="s">
        <v>950</v>
      </c>
      <c r="G2180" s="82">
        <v>46112.0</v>
      </c>
      <c r="H2180" s="76" t="s">
        <v>954</v>
      </c>
      <c r="I2180" s="83"/>
      <c r="J2180" s="83"/>
      <c r="K2180" s="83"/>
      <c r="L2180" s="83"/>
      <c r="M2180" s="83"/>
      <c r="N2180" s="83"/>
      <c r="O2180" s="83"/>
      <c r="P2180" s="83"/>
      <c r="Q2180" s="83"/>
      <c r="R2180" s="83"/>
      <c r="S2180" s="83"/>
      <c r="T2180" s="83"/>
      <c r="U2180" s="83"/>
      <c r="V2180" s="83"/>
      <c r="W2180" s="83"/>
      <c r="X2180" s="83"/>
      <c r="Y2180" s="83"/>
      <c r="Z2180" s="83"/>
    </row>
    <row r="2181">
      <c r="A2181" s="75" t="s">
        <v>40</v>
      </c>
      <c r="B2181" s="75" t="s">
        <v>1001</v>
      </c>
      <c r="C2181" s="75">
        <v>0.42</v>
      </c>
      <c r="D2181" s="75">
        <v>0.0</v>
      </c>
      <c r="E2181" s="75">
        <v>0.0</v>
      </c>
      <c r="F2181" s="75" t="s">
        <v>950</v>
      </c>
      <c r="G2181" s="82">
        <v>46112.0</v>
      </c>
      <c r="H2181" s="76" t="s">
        <v>955</v>
      </c>
      <c r="I2181" s="83"/>
      <c r="J2181" s="83"/>
      <c r="K2181" s="83"/>
      <c r="L2181" s="83"/>
      <c r="M2181" s="83"/>
      <c r="N2181" s="83"/>
      <c r="O2181" s="83"/>
      <c r="P2181" s="83"/>
      <c r="Q2181" s="83"/>
      <c r="R2181" s="83"/>
      <c r="S2181" s="83"/>
      <c r="T2181" s="83"/>
      <c r="U2181" s="83"/>
      <c r="V2181" s="83"/>
      <c r="W2181" s="83"/>
      <c r="X2181" s="83"/>
      <c r="Y2181" s="83"/>
      <c r="Z2181" s="83"/>
    </row>
    <row r="2182">
      <c r="A2182" s="75" t="s">
        <v>40</v>
      </c>
      <c r="B2182" s="75" t="s">
        <v>1001</v>
      </c>
      <c r="C2182" s="75">
        <v>51.74</v>
      </c>
      <c r="D2182" s="75">
        <v>3.0</v>
      </c>
      <c r="E2182" s="75">
        <v>17.25</v>
      </c>
      <c r="F2182" s="75" t="s">
        <v>950</v>
      </c>
      <c r="G2182" s="82">
        <v>46112.0</v>
      </c>
      <c r="H2182" s="76" t="s">
        <v>956</v>
      </c>
      <c r="I2182" s="83"/>
      <c r="J2182" s="83"/>
      <c r="K2182" s="83"/>
      <c r="L2182" s="83"/>
      <c r="M2182" s="83"/>
      <c r="N2182" s="83"/>
      <c r="O2182" s="83"/>
      <c r="P2182" s="83"/>
      <c r="Q2182" s="83"/>
      <c r="R2182" s="83"/>
      <c r="S2182" s="83"/>
      <c r="T2182" s="83"/>
      <c r="U2182" s="83"/>
      <c r="V2182" s="83"/>
      <c r="W2182" s="83"/>
      <c r="X2182" s="83"/>
      <c r="Y2182" s="83"/>
      <c r="Z2182" s="83"/>
    </row>
    <row r="2183">
      <c r="A2183" s="75" t="s">
        <v>33</v>
      </c>
      <c r="B2183" s="75" t="s">
        <v>1001</v>
      </c>
      <c r="C2183" s="75">
        <v>12.22</v>
      </c>
      <c r="D2183" s="75">
        <v>19.0</v>
      </c>
      <c r="E2183" s="75">
        <v>0.64</v>
      </c>
      <c r="F2183" s="75" t="s">
        <v>950</v>
      </c>
      <c r="G2183" s="82">
        <v>46112.0</v>
      </c>
      <c r="H2183" s="76" t="s">
        <v>957</v>
      </c>
      <c r="I2183" s="83"/>
      <c r="J2183" s="83"/>
      <c r="K2183" s="83"/>
      <c r="L2183" s="83"/>
      <c r="M2183" s="83"/>
      <c r="N2183" s="83"/>
      <c r="O2183" s="83"/>
      <c r="P2183" s="83"/>
      <c r="Q2183" s="83"/>
      <c r="R2183" s="83"/>
      <c r="S2183" s="83"/>
      <c r="T2183" s="83"/>
      <c r="U2183" s="83"/>
      <c r="V2183" s="83"/>
      <c r="W2183" s="83"/>
      <c r="X2183" s="83"/>
      <c r="Y2183" s="83"/>
      <c r="Z2183" s="83"/>
    </row>
    <row r="2184">
      <c r="A2184" s="75" t="s">
        <v>33</v>
      </c>
      <c r="B2184" s="75" t="s">
        <v>1001</v>
      </c>
      <c r="C2184" s="75">
        <v>2.67</v>
      </c>
      <c r="D2184" s="75">
        <v>1.0</v>
      </c>
      <c r="E2184" s="75">
        <v>2.67</v>
      </c>
      <c r="F2184" s="75" t="s">
        <v>950</v>
      </c>
      <c r="G2184" s="82">
        <v>46112.0</v>
      </c>
      <c r="H2184" s="76" t="s">
        <v>958</v>
      </c>
      <c r="I2184" s="83"/>
      <c r="J2184" s="83"/>
      <c r="K2184" s="83"/>
      <c r="L2184" s="83"/>
      <c r="M2184" s="83"/>
      <c r="N2184" s="83"/>
      <c r="O2184" s="83"/>
      <c r="P2184" s="83"/>
      <c r="Q2184" s="83"/>
      <c r="R2184" s="83"/>
      <c r="S2184" s="83"/>
      <c r="T2184" s="83"/>
      <c r="U2184" s="83"/>
      <c r="V2184" s="83"/>
      <c r="W2184" s="83"/>
      <c r="X2184" s="83"/>
      <c r="Y2184" s="83"/>
      <c r="Z2184" s="83"/>
    </row>
    <row r="2185">
      <c r="A2185" s="75" t="s">
        <v>33</v>
      </c>
      <c r="B2185" s="75" t="s">
        <v>1001</v>
      </c>
      <c r="C2185" s="75">
        <v>2.61</v>
      </c>
      <c r="D2185" s="75">
        <v>1.0</v>
      </c>
      <c r="E2185" s="75">
        <v>2.61</v>
      </c>
      <c r="F2185" s="75" t="s">
        <v>950</v>
      </c>
      <c r="G2185" s="82">
        <v>46112.0</v>
      </c>
      <c r="H2185" s="76" t="s">
        <v>959</v>
      </c>
      <c r="I2185" s="83"/>
      <c r="J2185" s="83"/>
      <c r="K2185" s="83"/>
      <c r="L2185" s="83"/>
      <c r="M2185" s="83"/>
      <c r="N2185" s="83"/>
      <c r="O2185" s="83"/>
      <c r="P2185" s="83"/>
      <c r="Q2185" s="83"/>
      <c r="R2185" s="83"/>
      <c r="S2185" s="83"/>
      <c r="T2185" s="83"/>
      <c r="U2185" s="83"/>
      <c r="V2185" s="83"/>
      <c r="W2185" s="83"/>
      <c r="X2185" s="83"/>
      <c r="Y2185" s="83"/>
      <c r="Z2185" s="83"/>
    </row>
    <row r="2186">
      <c r="A2186" s="75" t="s">
        <v>46</v>
      </c>
      <c r="B2186" s="75" t="s">
        <v>1001</v>
      </c>
      <c r="C2186" s="75">
        <v>11.07</v>
      </c>
      <c r="D2186" s="75">
        <v>0.0</v>
      </c>
      <c r="E2186" s="75">
        <v>0.0</v>
      </c>
      <c r="F2186" s="75" t="s">
        <v>950</v>
      </c>
      <c r="G2186" s="82">
        <v>46112.0</v>
      </c>
      <c r="H2186" s="76" t="s">
        <v>960</v>
      </c>
      <c r="I2186" s="83"/>
      <c r="J2186" s="83"/>
      <c r="K2186" s="83"/>
      <c r="L2186" s="83"/>
      <c r="M2186" s="83"/>
      <c r="N2186" s="83"/>
      <c r="O2186" s="83"/>
      <c r="P2186" s="83"/>
      <c r="Q2186" s="83"/>
      <c r="R2186" s="83"/>
      <c r="S2186" s="83"/>
      <c r="T2186" s="83"/>
      <c r="U2186" s="83"/>
      <c r="V2186" s="83"/>
      <c r="W2186" s="83"/>
      <c r="X2186" s="83"/>
      <c r="Y2186" s="83"/>
      <c r="Z2186" s="83"/>
    </row>
    <row r="2187">
      <c r="A2187" s="75" t="s">
        <v>46</v>
      </c>
      <c r="B2187" s="75" t="s">
        <v>1001</v>
      </c>
      <c r="C2187" s="75">
        <v>1.41</v>
      </c>
      <c r="D2187" s="75">
        <v>0.0</v>
      </c>
      <c r="E2187" s="75">
        <v>0.0</v>
      </c>
      <c r="F2187" s="75" t="s">
        <v>950</v>
      </c>
      <c r="G2187" s="82">
        <v>46112.0</v>
      </c>
      <c r="H2187" s="76" t="s">
        <v>961</v>
      </c>
      <c r="I2187" s="83"/>
      <c r="J2187" s="83"/>
      <c r="K2187" s="83"/>
      <c r="L2187" s="83"/>
      <c r="M2187" s="83"/>
      <c r="N2187" s="83"/>
      <c r="O2187" s="83"/>
      <c r="P2187" s="83"/>
      <c r="Q2187" s="83"/>
      <c r="R2187" s="83"/>
      <c r="S2187" s="83"/>
      <c r="T2187" s="83"/>
      <c r="U2187" s="83"/>
      <c r="V2187" s="83"/>
      <c r="W2187" s="83"/>
      <c r="X2187" s="83"/>
      <c r="Y2187" s="83"/>
      <c r="Z2187" s="83"/>
    </row>
    <row r="2188">
      <c r="A2188" s="75" t="s">
        <v>46</v>
      </c>
      <c r="B2188" s="75" t="s">
        <v>1001</v>
      </c>
      <c r="C2188" s="75">
        <v>1.62</v>
      </c>
      <c r="D2188" s="75">
        <v>0.0</v>
      </c>
      <c r="E2188" s="75">
        <v>0.0</v>
      </c>
      <c r="F2188" s="75" t="s">
        <v>950</v>
      </c>
      <c r="G2188" s="82">
        <v>46112.0</v>
      </c>
      <c r="H2188" s="76" t="s">
        <v>962</v>
      </c>
      <c r="I2188" s="83"/>
      <c r="J2188" s="83"/>
      <c r="K2188" s="83"/>
      <c r="L2188" s="83"/>
      <c r="M2188" s="83"/>
      <c r="N2188" s="83"/>
      <c r="O2188" s="83"/>
      <c r="P2188" s="83"/>
      <c r="Q2188" s="83"/>
      <c r="R2188" s="83"/>
      <c r="S2188" s="83"/>
      <c r="T2188" s="83"/>
      <c r="U2188" s="83"/>
      <c r="V2188" s="83"/>
      <c r="W2188" s="83"/>
      <c r="X2188" s="83"/>
      <c r="Y2188" s="83"/>
      <c r="Z2188" s="83"/>
    </row>
    <row r="2189">
      <c r="A2189" s="75" t="s">
        <v>43</v>
      </c>
      <c r="B2189" s="75" t="s">
        <v>1001</v>
      </c>
      <c r="C2189" s="75">
        <v>4.45</v>
      </c>
      <c r="D2189" s="75">
        <v>0.0</v>
      </c>
      <c r="E2189" s="75">
        <v>0.0</v>
      </c>
      <c r="F2189" s="75" t="s">
        <v>950</v>
      </c>
      <c r="G2189" s="82">
        <v>46112.0</v>
      </c>
      <c r="H2189" s="76" t="s">
        <v>963</v>
      </c>
      <c r="I2189" s="83"/>
      <c r="J2189" s="83"/>
      <c r="K2189" s="83"/>
      <c r="L2189" s="83"/>
      <c r="M2189" s="83"/>
      <c r="N2189" s="83"/>
      <c r="O2189" s="83"/>
      <c r="P2189" s="83"/>
      <c r="Q2189" s="83"/>
      <c r="R2189" s="83"/>
      <c r="S2189" s="83"/>
      <c r="T2189" s="83"/>
      <c r="U2189" s="83"/>
      <c r="V2189" s="83"/>
      <c r="W2189" s="83"/>
      <c r="X2189" s="83"/>
      <c r="Y2189" s="83"/>
      <c r="Z2189" s="83"/>
    </row>
    <row r="2190">
      <c r="A2190" s="75" t="s">
        <v>43</v>
      </c>
      <c r="B2190" s="75" t="s">
        <v>1001</v>
      </c>
      <c r="C2190" s="75">
        <v>6.79</v>
      </c>
      <c r="D2190" s="75">
        <v>1.0</v>
      </c>
      <c r="E2190" s="75">
        <v>6.79</v>
      </c>
      <c r="F2190" s="75" t="s">
        <v>950</v>
      </c>
      <c r="G2190" s="82">
        <v>46112.0</v>
      </c>
      <c r="H2190" s="76" t="s">
        <v>964</v>
      </c>
      <c r="I2190" s="83"/>
      <c r="J2190" s="83"/>
      <c r="K2190" s="83"/>
      <c r="L2190" s="83"/>
      <c r="M2190" s="83"/>
      <c r="N2190" s="83"/>
      <c r="O2190" s="83"/>
      <c r="P2190" s="83"/>
      <c r="Q2190" s="83"/>
      <c r="R2190" s="83"/>
      <c r="S2190" s="83"/>
      <c r="T2190" s="83"/>
      <c r="U2190" s="83"/>
      <c r="V2190" s="83"/>
      <c r="W2190" s="83"/>
      <c r="X2190" s="83"/>
      <c r="Y2190" s="83"/>
      <c r="Z2190" s="83"/>
    </row>
    <row r="2191">
      <c r="A2191" s="75" t="s">
        <v>43</v>
      </c>
      <c r="B2191" s="75" t="s">
        <v>1001</v>
      </c>
      <c r="C2191" s="75">
        <v>15.23</v>
      </c>
      <c r="D2191" s="75">
        <v>1.0</v>
      </c>
      <c r="E2191" s="75">
        <v>15.23</v>
      </c>
      <c r="F2191" s="75" t="s">
        <v>950</v>
      </c>
      <c r="G2191" s="82">
        <v>46112.0</v>
      </c>
      <c r="H2191" s="76" t="s">
        <v>965</v>
      </c>
      <c r="I2191" s="83"/>
      <c r="J2191" s="83"/>
      <c r="K2191" s="83"/>
      <c r="L2191" s="83"/>
      <c r="M2191" s="83"/>
      <c r="N2191" s="83"/>
      <c r="O2191" s="83"/>
      <c r="P2191" s="83"/>
      <c r="Q2191" s="83"/>
      <c r="R2191" s="83"/>
      <c r="S2191" s="83"/>
      <c r="T2191" s="83"/>
      <c r="U2191" s="83"/>
      <c r="V2191" s="83"/>
      <c r="W2191" s="83"/>
      <c r="X2191" s="83"/>
      <c r="Y2191" s="83"/>
      <c r="Z2191" s="83"/>
    </row>
    <row r="2192">
      <c r="A2192" s="75" t="s">
        <v>966</v>
      </c>
      <c r="B2192" s="75" t="s">
        <v>1001</v>
      </c>
      <c r="C2192" s="75">
        <v>5.13</v>
      </c>
      <c r="D2192" s="75">
        <v>1.0</v>
      </c>
      <c r="E2192" s="75">
        <v>5.13</v>
      </c>
      <c r="F2192" s="75" t="s">
        <v>950</v>
      </c>
      <c r="G2192" s="82">
        <v>46112.0</v>
      </c>
      <c r="H2192" s="76" t="s">
        <v>967</v>
      </c>
      <c r="I2192" s="83"/>
      <c r="J2192" s="83"/>
      <c r="K2192" s="83"/>
      <c r="L2192" s="83"/>
      <c r="M2192" s="83"/>
      <c r="N2192" s="83"/>
      <c r="O2192" s="83"/>
      <c r="P2192" s="83"/>
      <c r="Q2192" s="83"/>
      <c r="R2192" s="83"/>
      <c r="S2192" s="83"/>
      <c r="T2192" s="83"/>
      <c r="U2192" s="83"/>
      <c r="V2192" s="83"/>
      <c r="W2192" s="83"/>
      <c r="X2192" s="83"/>
      <c r="Y2192" s="83"/>
      <c r="Z2192" s="83"/>
    </row>
    <row r="2193">
      <c r="A2193" s="75" t="s">
        <v>966</v>
      </c>
      <c r="B2193" s="75" t="s">
        <v>1001</v>
      </c>
      <c r="C2193" s="75">
        <v>1.27</v>
      </c>
      <c r="D2193" s="75">
        <v>0.0</v>
      </c>
      <c r="E2193" s="75">
        <v>0.0</v>
      </c>
      <c r="F2193" s="75" t="s">
        <v>950</v>
      </c>
      <c r="G2193" s="82">
        <v>46112.0</v>
      </c>
      <c r="H2193" s="76" t="s">
        <v>968</v>
      </c>
      <c r="I2193" s="83"/>
      <c r="J2193" s="83"/>
      <c r="K2193" s="83"/>
      <c r="L2193" s="83"/>
      <c r="M2193" s="83"/>
      <c r="N2193" s="83"/>
      <c r="O2193" s="83"/>
      <c r="P2193" s="83"/>
      <c r="Q2193" s="83"/>
      <c r="R2193" s="83"/>
      <c r="S2193" s="83"/>
      <c r="T2193" s="83"/>
      <c r="U2193" s="83"/>
      <c r="V2193" s="83"/>
      <c r="W2193" s="83"/>
      <c r="X2193" s="83"/>
      <c r="Y2193" s="83"/>
      <c r="Z2193" s="83"/>
    </row>
    <row r="2194">
      <c r="A2194" s="75" t="s">
        <v>966</v>
      </c>
      <c r="B2194" s="75" t="s">
        <v>1001</v>
      </c>
      <c r="C2194" s="75">
        <v>2.99</v>
      </c>
      <c r="D2194" s="75">
        <v>0.0</v>
      </c>
      <c r="E2194" s="75">
        <v>0.0</v>
      </c>
      <c r="F2194" s="75" t="s">
        <v>950</v>
      </c>
      <c r="G2194" s="82">
        <v>46112.0</v>
      </c>
      <c r="H2194" s="76" t="s">
        <v>969</v>
      </c>
      <c r="I2194" s="83"/>
      <c r="J2194" s="83"/>
      <c r="K2194" s="83"/>
      <c r="L2194" s="83"/>
      <c r="M2194" s="83"/>
      <c r="N2194" s="83"/>
      <c r="O2194" s="83"/>
      <c r="P2194" s="83"/>
      <c r="Q2194" s="83"/>
      <c r="R2194" s="83"/>
      <c r="S2194" s="83"/>
      <c r="T2194" s="83"/>
      <c r="U2194" s="83"/>
      <c r="V2194" s="83"/>
      <c r="W2194" s="83"/>
      <c r="X2194" s="83"/>
      <c r="Y2194" s="83"/>
      <c r="Z2194" s="83"/>
    </row>
    <row r="2195">
      <c r="A2195" s="75" t="s">
        <v>36</v>
      </c>
      <c r="B2195" s="75" t="s">
        <v>1001</v>
      </c>
      <c r="C2195" s="75">
        <v>4.41</v>
      </c>
      <c r="D2195" s="75">
        <v>0.0</v>
      </c>
      <c r="E2195" s="75">
        <v>0.0</v>
      </c>
      <c r="F2195" s="75" t="s">
        <v>950</v>
      </c>
      <c r="G2195" s="82">
        <v>46112.0</v>
      </c>
      <c r="H2195" s="76" t="s">
        <v>926</v>
      </c>
      <c r="I2195" s="83"/>
      <c r="J2195" s="83"/>
      <c r="K2195" s="83"/>
      <c r="L2195" s="83"/>
      <c r="M2195" s="83"/>
      <c r="N2195" s="83"/>
      <c r="O2195" s="83"/>
      <c r="P2195" s="83"/>
      <c r="Q2195" s="83"/>
      <c r="R2195" s="83"/>
      <c r="S2195" s="83"/>
      <c r="T2195" s="83"/>
      <c r="U2195" s="83"/>
      <c r="V2195" s="83"/>
      <c r="W2195" s="83"/>
      <c r="X2195" s="83"/>
      <c r="Y2195" s="83"/>
      <c r="Z2195" s="83"/>
    </row>
    <row r="2196">
      <c r="A2196" s="75" t="s">
        <v>36</v>
      </c>
      <c r="B2196" s="75" t="s">
        <v>1001</v>
      </c>
      <c r="C2196" s="75">
        <v>2.41</v>
      </c>
      <c r="D2196" s="75">
        <v>0.0</v>
      </c>
      <c r="E2196" s="75">
        <v>0.0</v>
      </c>
      <c r="F2196" s="75" t="s">
        <v>950</v>
      </c>
      <c r="G2196" s="82">
        <v>46112.0</v>
      </c>
      <c r="H2196" s="76" t="s">
        <v>927</v>
      </c>
      <c r="I2196" s="83"/>
      <c r="J2196" s="83"/>
      <c r="K2196" s="83"/>
      <c r="L2196" s="83"/>
      <c r="M2196" s="83"/>
      <c r="N2196" s="83"/>
      <c r="O2196" s="83"/>
      <c r="P2196" s="83"/>
      <c r="Q2196" s="83"/>
      <c r="R2196" s="83"/>
      <c r="S2196" s="83"/>
      <c r="T2196" s="83"/>
      <c r="U2196" s="83"/>
      <c r="V2196" s="83"/>
      <c r="W2196" s="83"/>
      <c r="X2196" s="83"/>
      <c r="Y2196" s="83"/>
      <c r="Z2196" s="83"/>
    </row>
    <row r="2197">
      <c r="A2197" s="75" t="s">
        <v>36</v>
      </c>
      <c r="B2197" s="75" t="s">
        <v>1001</v>
      </c>
      <c r="C2197" s="75">
        <v>1.34</v>
      </c>
      <c r="D2197" s="75">
        <v>0.0</v>
      </c>
      <c r="E2197" s="75">
        <v>0.0</v>
      </c>
      <c r="F2197" s="75" t="s">
        <v>950</v>
      </c>
      <c r="G2197" s="82">
        <v>46112.0</v>
      </c>
      <c r="H2197" s="76" t="s">
        <v>928</v>
      </c>
      <c r="I2197" s="83"/>
      <c r="J2197" s="83"/>
      <c r="K2197" s="83"/>
      <c r="L2197" s="83"/>
      <c r="M2197" s="83"/>
      <c r="N2197" s="83"/>
      <c r="O2197" s="83"/>
      <c r="P2197" s="83"/>
      <c r="Q2197" s="83"/>
      <c r="R2197" s="83"/>
      <c r="S2197" s="83"/>
      <c r="T2197" s="83"/>
      <c r="U2197" s="83"/>
      <c r="V2197" s="83"/>
      <c r="W2197" s="83"/>
      <c r="X2197" s="83"/>
      <c r="Y2197" s="83"/>
      <c r="Z2197" s="83"/>
    </row>
    <row r="2198">
      <c r="A2198" s="75" t="s">
        <v>970</v>
      </c>
      <c r="B2198" s="75" t="s">
        <v>1001</v>
      </c>
      <c r="C2198" s="75">
        <v>11.13</v>
      </c>
      <c r="D2198" s="75">
        <v>7.0</v>
      </c>
      <c r="E2198" s="75">
        <v>1.59</v>
      </c>
      <c r="F2198" s="75" t="s">
        <v>950</v>
      </c>
      <c r="G2198" s="82">
        <v>46112.0</v>
      </c>
      <c r="H2198" s="76" t="s">
        <v>971</v>
      </c>
      <c r="I2198" s="83"/>
      <c r="J2198" s="83"/>
      <c r="K2198" s="83"/>
      <c r="L2198" s="83"/>
      <c r="M2198" s="83"/>
      <c r="N2198" s="83"/>
      <c r="O2198" s="83"/>
      <c r="P2198" s="83"/>
      <c r="Q2198" s="83"/>
      <c r="R2198" s="83"/>
      <c r="S2198" s="83"/>
      <c r="T2198" s="83"/>
      <c r="U2198" s="83"/>
      <c r="V2198" s="83"/>
      <c r="W2198" s="83"/>
      <c r="X2198" s="83"/>
      <c r="Y2198" s="83"/>
      <c r="Z2198" s="83"/>
    </row>
    <row r="2199">
      <c r="A2199" s="75" t="s">
        <v>970</v>
      </c>
      <c r="B2199" s="75" t="s">
        <v>1001</v>
      </c>
      <c r="C2199" s="75">
        <v>0.75</v>
      </c>
      <c r="D2199" s="75">
        <v>1.0</v>
      </c>
      <c r="E2199" s="75">
        <v>0.75</v>
      </c>
      <c r="F2199" s="75" t="s">
        <v>950</v>
      </c>
      <c r="G2199" s="82">
        <v>46112.0</v>
      </c>
      <c r="H2199" s="76" t="s">
        <v>972</v>
      </c>
      <c r="I2199" s="83"/>
      <c r="J2199" s="83"/>
      <c r="K2199" s="83"/>
      <c r="L2199" s="83"/>
      <c r="M2199" s="83"/>
      <c r="N2199" s="83"/>
      <c r="O2199" s="83"/>
      <c r="P2199" s="83"/>
      <c r="Q2199" s="83"/>
      <c r="R2199" s="83"/>
      <c r="S2199" s="83"/>
      <c r="T2199" s="83"/>
      <c r="U2199" s="83"/>
      <c r="V2199" s="83"/>
      <c r="W2199" s="83"/>
      <c r="X2199" s="83"/>
      <c r="Y2199" s="83"/>
      <c r="Z2199" s="83"/>
    </row>
    <row r="2200">
      <c r="A2200" s="75" t="s">
        <v>970</v>
      </c>
      <c r="B2200" s="75" t="s">
        <v>1001</v>
      </c>
      <c r="C2200" s="75">
        <v>13.07</v>
      </c>
      <c r="D2200" s="75">
        <v>4.0</v>
      </c>
      <c r="E2200" s="75">
        <v>3.27</v>
      </c>
      <c r="F2200" s="75" t="s">
        <v>950</v>
      </c>
      <c r="G2200" s="82">
        <v>46112.0</v>
      </c>
      <c r="H2200" s="76" t="s">
        <v>973</v>
      </c>
      <c r="I2200" s="83"/>
      <c r="J2200" s="83"/>
      <c r="K2200" s="83"/>
      <c r="L2200" s="83"/>
      <c r="M2200" s="83"/>
      <c r="N2200" s="83"/>
      <c r="O2200" s="83"/>
      <c r="P2200" s="83"/>
      <c r="Q2200" s="83"/>
      <c r="R2200" s="83"/>
      <c r="S2200" s="83"/>
      <c r="T2200" s="83"/>
      <c r="U2200" s="83"/>
      <c r="V2200" s="83"/>
      <c r="W2200" s="83"/>
      <c r="X2200" s="83"/>
      <c r="Y2200" s="83"/>
      <c r="Z2200" s="83"/>
    </row>
    <row r="2201">
      <c r="A2201" s="75" t="s">
        <v>29</v>
      </c>
      <c r="B2201" s="75" t="s">
        <v>1001</v>
      </c>
      <c r="C2201" s="75">
        <v>11.27</v>
      </c>
      <c r="D2201" s="75">
        <v>10.0</v>
      </c>
      <c r="E2201" s="75">
        <v>1.13</v>
      </c>
      <c r="F2201" s="75" t="s">
        <v>950</v>
      </c>
      <c r="G2201" s="82">
        <v>46112.0</v>
      </c>
      <c r="H2201" s="76" t="s">
        <v>971</v>
      </c>
      <c r="I2201" s="83"/>
      <c r="J2201" s="83"/>
      <c r="K2201" s="83"/>
      <c r="L2201" s="83"/>
      <c r="M2201" s="83"/>
      <c r="N2201" s="83"/>
      <c r="O2201" s="83"/>
      <c r="P2201" s="83"/>
      <c r="Q2201" s="83"/>
      <c r="R2201" s="83"/>
      <c r="S2201" s="83"/>
      <c r="T2201" s="83"/>
      <c r="U2201" s="83"/>
      <c r="V2201" s="83"/>
      <c r="W2201" s="83"/>
      <c r="X2201" s="83"/>
      <c r="Y2201" s="83"/>
      <c r="Z2201" s="83"/>
    </row>
    <row r="2202">
      <c r="A2202" s="75" t="s">
        <v>29</v>
      </c>
      <c r="B2202" s="75" t="s">
        <v>1001</v>
      </c>
      <c r="C2202" s="75">
        <v>0.93</v>
      </c>
      <c r="D2202" s="75">
        <v>1.0</v>
      </c>
      <c r="E2202" s="75">
        <v>0.93</v>
      </c>
      <c r="F2202" s="75" t="s">
        <v>950</v>
      </c>
      <c r="G2202" s="82">
        <v>46112.0</v>
      </c>
      <c r="H2202" s="76" t="s">
        <v>972</v>
      </c>
      <c r="I2202" s="83"/>
      <c r="J2202" s="83"/>
      <c r="K2202" s="83"/>
      <c r="L2202" s="83"/>
      <c r="M2202" s="83"/>
      <c r="N2202" s="83"/>
      <c r="O2202" s="83"/>
      <c r="P2202" s="83"/>
      <c r="Q2202" s="83"/>
      <c r="R2202" s="83"/>
      <c r="S2202" s="83"/>
      <c r="T2202" s="83"/>
      <c r="U2202" s="83"/>
      <c r="V2202" s="83"/>
      <c r="W2202" s="83"/>
      <c r="X2202" s="83"/>
      <c r="Y2202" s="83"/>
      <c r="Z2202" s="83"/>
    </row>
    <row r="2203">
      <c r="A2203" s="75" t="s">
        <v>29</v>
      </c>
      <c r="B2203" s="75" t="s">
        <v>1001</v>
      </c>
      <c r="C2203" s="75">
        <v>5.19</v>
      </c>
      <c r="D2203" s="75">
        <v>2.0</v>
      </c>
      <c r="E2203" s="75">
        <v>2.6</v>
      </c>
      <c r="F2203" s="75" t="s">
        <v>950</v>
      </c>
      <c r="G2203" s="82">
        <v>46112.0</v>
      </c>
      <c r="H2203" s="76" t="s">
        <v>973</v>
      </c>
      <c r="I2203" s="83"/>
      <c r="J2203" s="83"/>
      <c r="K2203" s="83"/>
      <c r="L2203" s="83"/>
      <c r="M2203" s="83"/>
      <c r="N2203" s="83"/>
      <c r="O2203" s="83"/>
      <c r="P2203" s="83"/>
      <c r="Q2203" s="83"/>
      <c r="R2203" s="83"/>
      <c r="S2203" s="83"/>
      <c r="T2203" s="83"/>
      <c r="U2203" s="83"/>
      <c r="V2203" s="83"/>
      <c r="W2203" s="83"/>
      <c r="X2203" s="83"/>
      <c r="Y2203" s="83"/>
      <c r="Z2203" s="83"/>
    </row>
    <row r="2204">
      <c r="A2204" s="75" t="s">
        <v>34</v>
      </c>
      <c r="B2204" s="75" t="s">
        <v>1001</v>
      </c>
      <c r="C2204" s="75">
        <v>6.55</v>
      </c>
      <c r="D2204" s="75">
        <v>0.0</v>
      </c>
      <c r="E2204" s="75">
        <v>0.0</v>
      </c>
      <c r="F2204" s="75" t="s">
        <v>974</v>
      </c>
      <c r="G2204" s="82">
        <v>46112.0</v>
      </c>
      <c r="H2204" s="76" t="s">
        <v>951</v>
      </c>
      <c r="I2204" s="83"/>
      <c r="J2204" s="83"/>
      <c r="K2204" s="83"/>
      <c r="L2204" s="83"/>
      <c r="M2204" s="83"/>
      <c r="N2204" s="83"/>
      <c r="O2204" s="83"/>
      <c r="P2204" s="83"/>
      <c r="Q2204" s="83"/>
      <c r="R2204" s="83"/>
      <c r="S2204" s="83"/>
      <c r="T2204" s="83"/>
      <c r="U2204" s="83"/>
      <c r="V2204" s="83"/>
      <c r="W2204" s="83"/>
      <c r="X2204" s="83"/>
      <c r="Y2204" s="83"/>
      <c r="Z2204" s="83"/>
    </row>
    <row r="2205">
      <c r="A2205" s="75" t="s">
        <v>34</v>
      </c>
      <c r="B2205" s="75" t="s">
        <v>1001</v>
      </c>
      <c r="C2205" s="75">
        <v>30.17</v>
      </c>
      <c r="D2205" s="75">
        <v>0.0</v>
      </c>
      <c r="E2205" s="75">
        <v>0.0</v>
      </c>
      <c r="F2205" s="75" t="s">
        <v>974</v>
      </c>
      <c r="G2205" s="82">
        <v>46112.0</v>
      </c>
      <c r="H2205" s="76" t="s">
        <v>952</v>
      </c>
      <c r="I2205" s="83"/>
      <c r="J2205" s="83"/>
      <c r="K2205" s="83"/>
      <c r="L2205" s="83"/>
      <c r="M2205" s="83"/>
      <c r="N2205" s="83"/>
      <c r="O2205" s="83"/>
      <c r="P2205" s="83"/>
      <c r="Q2205" s="83"/>
      <c r="R2205" s="83"/>
      <c r="S2205" s="83"/>
      <c r="T2205" s="83"/>
      <c r="U2205" s="83"/>
      <c r="V2205" s="83"/>
      <c r="W2205" s="83"/>
      <c r="X2205" s="83"/>
      <c r="Y2205" s="83"/>
      <c r="Z2205" s="83"/>
    </row>
    <row r="2206">
      <c r="A2206" s="75" t="s">
        <v>34</v>
      </c>
      <c r="B2206" s="75" t="s">
        <v>1001</v>
      </c>
      <c r="C2206" s="75">
        <v>26.42</v>
      </c>
      <c r="D2206" s="75">
        <v>1.0</v>
      </c>
      <c r="E2206" s="75">
        <v>26.42</v>
      </c>
      <c r="F2206" s="75" t="s">
        <v>974</v>
      </c>
      <c r="G2206" s="82">
        <v>46112.0</v>
      </c>
      <c r="H2206" s="76" t="s">
        <v>953</v>
      </c>
      <c r="I2206" s="83"/>
      <c r="J2206" s="83"/>
      <c r="K2206" s="83"/>
      <c r="L2206" s="83"/>
      <c r="M2206" s="83"/>
      <c r="N2206" s="83"/>
      <c r="O2206" s="83"/>
      <c r="P2206" s="83"/>
      <c r="Q2206" s="83"/>
      <c r="R2206" s="83"/>
      <c r="S2206" s="83"/>
      <c r="T2206" s="83"/>
      <c r="U2206" s="83"/>
      <c r="V2206" s="83"/>
      <c r="W2206" s="83"/>
      <c r="X2206" s="83"/>
      <c r="Y2206" s="83"/>
      <c r="Z2206" s="83"/>
    </row>
    <row r="2207">
      <c r="A2207" s="75" t="s">
        <v>40</v>
      </c>
      <c r="B2207" s="75" t="s">
        <v>1001</v>
      </c>
      <c r="C2207" s="75">
        <v>0.81</v>
      </c>
      <c r="D2207" s="75">
        <v>0.0</v>
      </c>
      <c r="E2207" s="75">
        <v>0.0</v>
      </c>
      <c r="F2207" s="75" t="s">
        <v>974</v>
      </c>
      <c r="G2207" s="82">
        <v>46112.0</v>
      </c>
      <c r="H2207" s="76" t="s">
        <v>954</v>
      </c>
      <c r="I2207" s="83"/>
      <c r="J2207" s="83"/>
      <c r="K2207" s="83"/>
      <c r="L2207" s="83"/>
      <c r="M2207" s="83"/>
      <c r="N2207" s="83"/>
      <c r="O2207" s="83"/>
      <c r="P2207" s="83"/>
      <c r="Q2207" s="83"/>
      <c r="R2207" s="83"/>
      <c r="S2207" s="83"/>
      <c r="T2207" s="83"/>
      <c r="U2207" s="83"/>
      <c r="V2207" s="83"/>
      <c r="W2207" s="83"/>
      <c r="X2207" s="83"/>
      <c r="Y2207" s="83"/>
      <c r="Z2207" s="83"/>
    </row>
    <row r="2208">
      <c r="A2208" s="75" t="s">
        <v>40</v>
      </c>
      <c r="B2208" s="75" t="s">
        <v>1001</v>
      </c>
      <c r="C2208" s="75">
        <v>0.18</v>
      </c>
      <c r="D2208" s="75">
        <v>0.0</v>
      </c>
      <c r="E2208" s="75">
        <v>0.0</v>
      </c>
      <c r="F2208" s="75" t="s">
        <v>974</v>
      </c>
      <c r="G2208" s="82">
        <v>46112.0</v>
      </c>
      <c r="H2208" s="76" t="s">
        <v>955</v>
      </c>
      <c r="I2208" s="83"/>
      <c r="J2208" s="83"/>
      <c r="K2208" s="83"/>
      <c r="L2208" s="83"/>
      <c r="M2208" s="83"/>
      <c r="N2208" s="83"/>
      <c r="O2208" s="83"/>
      <c r="P2208" s="83"/>
      <c r="Q2208" s="83"/>
      <c r="R2208" s="83"/>
      <c r="S2208" s="83"/>
      <c r="T2208" s="83"/>
      <c r="U2208" s="83"/>
      <c r="V2208" s="83"/>
      <c r="W2208" s="83"/>
      <c r="X2208" s="83"/>
      <c r="Y2208" s="83"/>
      <c r="Z2208" s="83"/>
    </row>
    <row r="2209">
      <c r="A2209" s="75" t="s">
        <v>40</v>
      </c>
      <c r="B2209" s="75" t="s">
        <v>1001</v>
      </c>
      <c r="C2209" s="75">
        <v>5.35</v>
      </c>
      <c r="D2209" s="75">
        <v>1.0</v>
      </c>
      <c r="E2209" s="75">
        <v>5.35</v>
      </c>
      <c r="F2209" s="75" t="s">
        <v>974</v>
      </c>
      <c r="G2209" s="82">
        <v>46112.0</v>
      </c>
      <c r="H2209" s="76" t="s">
        <v>956</v>
      </c>
      <c r="I2209" s="83"/>
      <c r="J2209" s="83"/>
      <c r="K2209" s="83"/>
      <c r="L2209" s="83"/>
      <c r="M2209" s="83"/>
      <c r="N2209" s="83"/>
      <c r="O2209" s="83"/>
      <c r="P2209" s="83"/>
      <c r="Q2209" s="83"/>
      <c r="R2209" s="83"/>
      <c r="S2209" s="83"/>
      <c r="T2209" s="83"/>
      <c r="U2209" s="83"/>
      <c r="V2209" s="83"/>
      <c r="W2209" s="83"/>
      <c r="X2209" s="83"/>
      <c r="Y2209" s="83"/>
      <c r="Z2209" s="83"/>
    </row>
    <row r="2210">
      <c r="A2210" s="75" t="s">
        <v>33</v>
      </c>
      <c r="B2210" s="75" t="s">
        <v>1001</v>
      </c>
      <c r="C2210" s="75">
        <v>1.87</v>
      </c>
      <c r="D2210" s="75">
        <v>4.0</v>
      </c>
      <c r="E2210" s="75">
        <v>0.47</v>
      </c>
      <c r="F2210" s="75" t="s">
        <v>974</v>
      </c>
      <c r="G2210" s="82">
        <v>46112.0</v>
      </c>
      <c r="H2210" s="76" t="s">
        <v>957</v>
      </c>
      <c r="I2210" s="83"/>
      <c r="J2210" s="83"/>
      <c r="K2210" s="83"/>
      <c r="L2210" s="83"/>
      <c r="M2210" s="83"/>
      <c r="N2210" s="83"/>
      <c r="O2210" s="83"/>
      <c r="P2210" s="83"/>
      <c r="Q2210" s="83"/>
      <c r="R2210" s="83"/>
      <c r="S2210" s="83"/>
      <c r="T2210" s="83"/>
      <c r="U2210" s="83"/>
      <c r="V2210" s="83"/>
      <c r="W2210" s="83"/>
      <c r="X2210" s="83"/>
      <c r="Y2210" s="83"/>
      <c r="Z2210" s="83"/>
    </row>
    <row r="2211">
      <c r="A2211" s="75" t="s">
        <v>33</v>
      </c>
      <c r="B2211" s="75" t="s">
        <v>1001</v>
      </c>
      <c r="C2211" s="75">
        <v>0.8</v>
      </c>
      <c r="D2211" s="75">
        <v>0.0</v>
      </c>
      <c r="E2211" s="75">
        <v>0.0</v>
      </c>
      <c r="F2211" s="75" t="s">
        <v>974</v>
      </c>
      <c r="G2211" s="82">
        <v>46112.0</v>
      </c>
      <c r="H2211" s="76" t="s">
        <v>958</v>
      </c>
      <c r="I2211" s="83"/>
      <c r="J2211" s="83"/>
      <c r="K2211" s="83"/>
      <c r="L2211" s="83"/>
      <c r="M2211" s="83"/>
      <c r="N2211" s="83"/>
      <c r="O2211" s="83"/>
      <c r="P2211" s="83"/>
      <c r="Q2211" s="83"/>
      <c r="R2211" s="83"/>
      <c r="S2211" s="83"/>
      <c r="T2211" s="83"/>
      <c r="U2211" s="83"/>
      <c r="V2211" s="83"/>
      <c r="W2211" s="83"/>
      <c r="X2211" s="83"/>
      <c r="Y2211" s="83"/>
      <c r="Z2211" s="83"/>
    </row>
    <row r="2212">
      <c r="A2212" s="75" t="s">
        <v>33</v>
      </c>
      <c r="B2212" s="75" t="s">
        <v>1001</v>
      </c>
      <c r="C2212" s="75">
        <v>0.94</v>
      </c>
      <c r="D2212" s="75">
        <v>0.0</v>
      </c>
      <c r="E2212" s="75">
        <v>0.0</v>
      </c>
      <c r="F2212" s="75" t="s">
        <v>974</v>
      </c>
      <c r="G2212" s="82">
        <v>46112.0</v>
      </c>
      <c r="H2212" s="76" t="s">
        <v>959</v>
      </c>
      <c r="I2212" s="83"/>
      <c r="J2212" s="83"/>
      <c r="K2212" s="83"/>
      <c r="L2212" s="83"/>
      <c r="M2212" s="83"/>
      <c r="N2212" s="83"/>
      <c r="O2212" s="83"/>
      <c r="P2212" s="83"/>
      <c r="Q2212" s="83"/>
      <c r="R2212" s="83"/>
      <c r="S2212" s="83"/>
      <c r="T2212" s="83"/>
      <c r="U2212" s="83"/>
      <c r="V2212" s="83"/>
      <c r="W2212" s="83"/>
      <c r="X2212" s="83"/>
      <c r="Y2212" s="83"/>
      <c r="Z2212" s="83"/>
    </row>
    <row r="2213">
      <c r="A2213" s="75" t="s">
        <v>46</v>
      </c>
      <c r="B2213" s="75" t="s">
        <v>1001</v>
      </c>
      <c r="C2213" s="75">
        <v>6.23</v>
      </c>
      <c r="D2213" s="75">
        <v>0.0</v>
      </c>
      <c r="E2213" s="75">
        <v>0.0</v>
      </c>
      <c r="F2213" s="75" t="s">
        <v>974</v>
      </c>
      <c r="G2213" s="82">
        <v>46112.0</v>
      </c>
      <c r="H2213" s="76" t="s">
        <v>960</v>
      </c>
      <c r="I2213" s="83"/>
      <c r="J2213" s="83"/>
      <c r="K2213" s="83"/>
      <c r="L2213" s="83"/>
      <c r="M2213" s="83"/>
      <c r="N2213" s="83"/>
      <c r="O2213" s="83"/>
      <c r="P2213" s="83"/>
      <c r="Q2213" s="83"/>
      <c r="R2213" s="83"/>
      <c r="S2213" s="83"/>
      <c r="T2213" s="83"/>
      <c r="U2213" s="83"/>
      <c r="V2213" s="83"/>
      <c r="W2213" s="83"/>
      <c r="X2213" s="83"/>
      <c r="Y2213" s="83"/>
      <c r="Z2213" s="83"/>
    </row>
    <row r="2214">
      <c r="A2214" s="75" t="s">
        <v>46</v>
      </c>
      <c r="B2214" s="75" t="s">
        <v>1001</v>
      </c>
      <c r="C2214" s="75">
        <v>0.34</v>
      </c>
      <c r="D2214" s="75">
        <v>0.0</v>
      </c>
      <c r="E2214" s="75">
        <v>0.0</v>
      </c>
      <c r="F2214" s="75" t="s">
        <v>974</v>
      </c>
      <c r="G2214" s="82">
        <v>46112.0</v>
      </c>
      <c r="H2214" s="76" t="s">
        <v>961</v>
      </c>
      <c r="I2214" s="83"/>
      <c r="J2214" s="83"/>
      <c r="K2214" s="83"/>
      <c r="L2214" s="83"/>
      <c r="M2214" s="83"/>
      <c r="N2214" s="83"/>
      <c r="O2214" s="83"/>
      <c r="P2214" s="83"/>
      <c r="Q2214" s="83"/>
      <c r="R2214" s="83"/>
      <c r="S2214" s="83"/>
      <c r="T2214" s="83"/>
      <c r="U2214" s="83"/>
      <c r="V2214" s="83"/>
      <c r="W2214" s="83"/>
      <c r="X2214" s="83"/>
      <c r="Y2214" s="83"/>
      <c r="Z2214" s="83"/>
    </row>
    <row r="2215">
      <c r="A2215" s="75" t="s">
        <v>46</v>
      </c>
      <c r="B2215" s="75" t="s">
        <v>1001</v>
      </c>
      <c r="C2215" s="75">
        <v>0.82</v>
      </c>
      <c r="D2215" s="75">
        <v>0.0</v>
      </c>
      <c r="E2215" s="75">
        <v>0.0</v>
      </c>
      <c r="F2215" s="75" t="s">
        <v>974</v>
      </c>
      <c r="G2215" s="82">
        <v>46112.0</v>
      </c>
      <c r="H2215" s="76" t="s">
        <v>962</v>
      </c>
      <c r="I2215" s="83"/>
      <c r="J2215" s="83"/>
      <c r="K2215" s="83"/>
      <c r="L2215" s="83"/>
      <c r="M2215" s="83"/>
      <c r="N2215" s="83"/>
      <c r="O2215" s="83"/>
      <c r="P2215" s="83"/>
      <c r="Q2215" s="83"/>
      <c r="R2215" s="83"/>
      <c r="S2215" s="83"/>
      <c r="T2215" s="83"/>
      <c r="U2215" s="83"/>
      <c r="V2215" s="83"/>
      <c r="W2215" s="83"/>
      <c r="X2215" s="83"/>
      <c r="Y2215" s="83"/>
      <c r="Z2215" s="83"/>
    </row>
    <row r="2216">
      <c r="A2216" s="75" t="s">
        <v>43</v>
      </c>
      <c r="B2216" s="75" t="s">
        <v>1001</v>
      </c>
      <c r="C2216" s="75">
        <v>1.49</v>
      </c>
      <c r="D2216" s="75">
        <v>0.0</v>
      </c>
      <c r="E2216" s="75">
        <v>0.0</v>
      </c>
      <c r="F2216" s="75" t="s">
        <v>974</v>
      </c>
      <c r="G2216" s="82">
        <v>46112.0</v>
      </c>
      <c r="H2216" s="76" t="s">
        <v>963</v>
      </c>
      <c r="I2216" s="83"/>
      <c r="J2216" s="83"/>
      <c r="K2216" s="83"/>
      <c r="L2216" s="83"/>
      <c r="M2216" s="83"/>
      <c r="N2216" s="83"/>
      <c r="O2216" s="83"/>
      <c r="P2216" s="83"/>
      <c r="Q2216" s="83"/>
      <c r="R2216" s="83"/>
      <c r="S2216" s="83"/>
      <c r="T2216" s="83"/>
      <c r="U2216" s="83"/>
      <c r="V2216" s="83"/>
      <c r="W2216" s="83"/>
      <c r="X2216" s="83"/>
      <c r="Y2216" s="83"/>
      <c r="Z2216" s="83"/>
    </row>
    <row r="2217">
      <c r="A2217" s="75" t="s">
        <v>43</v>
      </c>
      <c r="B2217" s="75" t="s">
        <v>1001</v>
      </c>
      <c r="C2217" s="75">
        <v>0.85</v>
      </c>
      <c r="D2217" s="75">
        <v>0.0</v>
      </c>
      <c r="E2217" s="75">
        <v>0.0</v>
      </c>
      <c r="F2217" s="75" t="s">
        <v>974</v>
      </c>
      <c r="G2217" s="82">
        <v>46112.0</v>
      </c>
      <c r="H2217" s="76" t="s">
        <v>964</v>
      </c>
      <c r="I2217" s="83"/>
      <c r="J2217" s="83"/>
      <c r="K2217" s="83"/>
      <c r="L2217" s="83"/>
      <c r="M2217" s="83"/>
      <c r="N2217" s="83"/>
      <c r="O2217" s="83"/>
      <c r="P2217" s="83"/>
      <c r="Q2217" s="83"/>
      <c r="R2217" s="83"/>
      <c r="S2217" s="83"/>
      <c r="T2217" s="83"/>
      <c r="U2217" s="83"/>
      <c r="V2217" s="83"/>
      <c r="W2217" s="83"/>
      <c r="X2217" s="83"/>
      <c r="Y2217" s="83"/>
      <c r="Z2217" s="83"/>
    </row>
    <row r="2218">
      <c r="A2218" s="75" t="s">
        <v>43</v>
      </c>
      <c r="B2218" s="75" t="s">
        <v>1001</v>
      </c>
      <c r="C2218" s="75">
        <v>2.98</v>
      </c>
      <c r="D2218" s="75">
        <v>0.0</v>
      </c>
      <c r="E2218" s="75">
        <v>0.0</v>
      </c>
      <c r="F2218" s="75" t="s">
        <v>974</v>
      </c>
      <c r="G2218" s="82">
        <v>46112.0</v>
      </c>
      <c r="H2218" s="76" t="s">
        <v>965</v>
      </c>
      <c r="I2218" s="83"/>
      <c r="J2218" s="83"/>
      <c r="K2218" s="83"/>
      <c r="L2218" s="83"/>
      <c r="M2218" s="83"/>
      <c r="N2218" s="83"/>
      <c r="O2218" s="83"/>
      <c r="P2218" s="83"/>
      <c r="Q2218" s="83"/>
      <c r="R2218" s="83"/>
      <c r="S2218" s="83"/>
      <c r="T2218" s="83"/>
      <c r="U2218" s="83"/>
      <c r="V2218" s="83"/>
      <c r="W2218" s="83"/>
      <c r="X2218" s="83"/>
      <c r="Y2218" s="83"/>
      <c r="Z2218" s="83"/>
    </row>
    <row r="2219">
      <c r="A2219" s="75" t="s">
        <v>966</v>
      </c>
      <c r="B2219" s="75" t="s">
        <v>1001</v>
      </c>
      <c r="C2219" s="75">
        <v>1.32</v>
      </c>
      <c r="D2219" s="75">
        <v>0.0</v>
      </c>
      <c r="E2219" s="75">
        <v>0.0</v>
      </c>
      <c r="F2219" s="75" t="s">
        <v>974</v>
      </c>
      <c r="G2219" s="82">
        <v>46112.0</v>
      </c>
      <c r="H2219" s="76" t="s">
        <v>967</v>
      </c>
      <c r="I2219" s="83"/>
      <c r="J2219" s="83"/>
      <c r="K2219" s="83"/>
      <c r="L2219" s="83"/>
      <c r="M2219" s="83"/>
      <c r="N2219" s="83"/>
      <c r="O2219" s="83"/>
      <c r="P2219" s="83"/>
      <c r="Q2219" s="83"/>
      <c r="R2219" s="83"/>
      <c r="S2219" s="83"/>
      <c r="T2219" s="83"/>
      <c r="U2219" s="83"/>
      <c r="V2219" s="83"/>
      <c r="W2219" s="83"/>
      <c r="X2219" s="83"/>
      <c r="Y2219" s="83"/>
      <c r="Z2219" s="83"/>
    </row>
    <row r="2220">
      <c r="A2220" s="75" t="s">
        <v>966</v>
      </c>
      <c r="B2220" s="75" t="s">
        <v>1001</v>
      </c>
      <c r="C2220" s="75">
        <v>0.93</v>
      </c>
      <c r="D2220" s="75">
        <v>0.0</v>
      </c>
      <c r="E2220" s="75">
        <v>0.0</v>
      </c>
      <c r="F2220" s="75" t="s">
        <v>974</v>
      </c>
      <c r="G2220" s="82">
        <v>46112.0</v>
      </c>
      <c r="H2220" s="76" t="s">
        <v>968</v>
      </c>
      <c r="I2220" s="83"/>
      <c r="J2220" s="83"/>
      <c r="K2220" s="83"/>
      <c r="L2220" s="83"/>
      <c r="M2220" s="83"/>
      <c r="N2220" s="83"/>
      <c r="O2220" s="83"/>
      <c r="P2220" s="83"/>
      <c r="Q2220" s="83"/>
      <c r="R2220" s="83"/>
      <c r="S2220" s="83"/>
      <c r="T2220" s="83"/>
      <c r="U2220" s="83"/>
      <c r="V2220" s="83"/>
      <c r="W2220" s="83"/>
      <c r="X2220" s="83"/>
      <c r="Y2220" s="83"/>
      <c r="Z2220" s="83"/>
    </row>
    <row r="2221">
      <c r="A2221" s="75" t="s">
        <v>966</v>
      </c>
      <c r="B2221" s="75" t="s">
        <v>1001</v>
      </c>
      <c r="C2221" s="75">
        <v>1.59</v>
      </c>
      <c r="D2221" s="75">
        <v>0.0</v>
      </c>
      <c r="E2221" s="75">
        <v>0.0</v>
      </c>
      <c r="F2221" s="75" t="s">
        <v>974</v>
      </c>
      <c r="G2221" s="82">
        <v>46112.0</v>
      </c>
      <c r="H2221" s="76" t="s">
        <v>969</v>
      </c>
      <c r="I2221" s="83"/>
      <c r="J2221" s="83"/>
      <c r="K2221" s="83"/>
      <c r="L2221" s="83"/>
      <c r="M2221" s="83"/>
      <c r="N2221" s="83"/>
      <c r="O2221" s="83"/>
      <c r="P2221" s="83"/>
      <c r="Q2221" s="83"/>
      <c r="R2221" s="83"/>
      <c r="S2221" s="83"/>
      <c r="T2221" s="83"/>
      <c r="U2221" s="83"/>
      <c r="V2221" s="83"/>
      <c r="W2221" s="83"/>
      <c r="X2221" s="83"/>
      <c r="Y2221" s="83"/>
      <c r="Z2221" s="83"/>
    </row>
    <row r="2222">
      <c r="A2222" s="75" t="s">
        <v>36</v>
      </c>
      <c r="B2222" s="75" t="s">
        <v>1001</v>
      </c>
      <c r="C2222" s="75">
        <v>1.72</v>
      </c>
      <c r="D2222" s="75">
        <v>0.0</v>
      </c>
      <c r="E2222" s="75">
        <v>0.0</v>
      </c>
      <c r="F2222" s="75" t="s">
        <v>974</v>
      </c>
      <c r="G2222" s="82">
        <v>46112.0</v>
      </c>
      <c r="H2222" s="76" t="s">
        <v>926</v>
      </c>
      <c r="I2222" s="83"/>
      <c r="J2222" s="83"/>
      <c r="K2222" s="83"/>
      <c r="L2222" s="83"/>
      <c r="M2222" s="83"/>
      <c r="N2222" s="83"/>
      <c r="O2222" s="83"/>
      <c r="P2222" s="83"/>
      <c r="Q2222" s="83"/>
      <c r="R2222" s="83"/>
      <c r="S2222" s="83"/>
      <c r="T2222" s="83"/>
      <c r="U2222" s="83"/>
      <c r="V2222" s="83"/>
      <c r="W2222" s="83"/>
      <c r="X2222" s="83"/>
      <c r="Y2222" s="83"/>
      <c r="Z2222" s="83"/>
    </row>
    <row r="2223">
      <c r="A2223" s="75" t="s">
        <v>36</v>
      </c>
      <c r="B2223" s="75" t="s">
        <v>1001</v>
      </c>
      <c r="C2223" s="75">
        <v>0.92</v>
      </c>
      <c r="D2223" s="75">
        <v>0.0</v>
      </c>
      <c r="E2223" s="75">
        <v>0.0</v>
      </c>
      <c r="F2223" s="75" t="s">
        <v>974</v>
      </c>
      <c r="G2223" s="82">
        <v>46112.0</v>
      </c>
      <c r="H2223" s="76" t="s">
        <v>927</v>
      </c>
      <c r="I2223" s="83"/>
      <c r="J2223" s="83"/>
      <c r="K2223" s="83"/>
      <c r="L2223" s="83"/>
      <c r="M2223" s="83"/>
      <c r="N2223" s="83"/>
      <c r="O2223" s="83"/>
      <c r="P2223" s="83"/>
      <c r="Q2223" s="83"/>
      <c r="R2223" s="83"/>
      <c r="S2223" s="83"/>
      <c r="T2223" s="83"/>
      <c r="U2223" s="83"/>
      <c r="V2223" s="83"/>
      <c r="W2223" s="83"/>
      <c r="X2223" s="83"/>
      <c r="Y2223" s="83"/>
      <c r="Z2223" s="83"/>
    </row>
    <row r="2224">
      <c r="A2224" s="75" t="s">
        <v>36</v>
      </c>
      <c r="B2224" s="75" t="s">
        <v>1001</v>
      </c>
      <c r="C2224" s="75">
        <v>1.01</v>
      </c>
      <c r="D2224" s="75">
        <v>0.0</v>
      </c>
      <c r="E2224" s="75">
        <v>0.0</v>
      </c>
      <c r="F2224" s="75" t="s">
        <v>974</v>
      </c>
      <c r="G2224" s="82">
        <v>46112.0</v>
      </c>
      <c r="H2224" s="76" t="s">
        <v>928</v>
      </c>
      <c r="I2224" s="83"/>
      <c r="J2224" s="83"/>
      <c r="K2224" s="83"/>
      <c r="L2224" s="83"/>
      <c r="M2224" s="83"/>
      <c r="N2224" s="83"/>
      <c r="O2224" s="83"/>
      <c r="P2224" s="83"/>
      <c r="Q2224" s="83"/>
      <c r="R2224" s="83"/>
      <c r="S2224" s="83"/>
      <c r="T2224" s="83"/>
      <c r="U2224" s="83"/>
      <c r="V2224" s="83"/>
      <c r="W2224" s="83"/>
      <c r="X2224" s="83"/>
      <c r="Y2224" s="83"/>
      <c r="Z2224" s="83"/>
    </row>
    <row r="2225">
      <c r="A2225" s="75" t="s">
        <v>970</v>
      </c>
      <c r="B2225" s="75" t="s">
        <v>1001</v>
      </c>
      <c r="C2225" s="75">
        <v>3.52</v>
      </c>
      <c r="D2225" s="75">
        <v>2.0</v>
      </c>
      <c r="E2225" s="75">
        <v>1.76</v>
      </c>
      <c r="F2225" s="75" t="s">
        <v>974</v>
      </c>
      <c r="G2225" s="82">
        <v>46112.0</v>
      </c>
      <c r="H2225" s="76" t="s">
        <v>971</v>
      </c>
      <c r="I2225" s="83"/>
      <c r="J2225" s="83"/>
      <c r="K2225" s="83"/>
      <c r="L2225" s="83"/>
      <c r="M2225" s="83"/>
      <c r="N2225" s="83"/>
      <c r="O2225" s="83"/>
      <c r="P2225" s="83"/>
      <c r="Q2225" s="83"/>
      <c r="R2225" s="83"/>
      <c r="S2225" s="83"/>
      <c r="T2225" s="83"/>
      <c r="U2225" s="83"/>
      <c r="V2225" s="83"/>
      <c r="W2225" s="83"/>
      <c r="X2225" s="83"/>
      <c r="Y2225" s="83"/>
      <c r="Z2225" s="83"/>
    </row>
    <row r="2226">
      <c r="A2226" s="75" t="s">
        <v>970</v>
      </c>
      <c r="B2226" s="75" t="s">
        <v>1001</v>
      </c>
      <c r="C2226" s="75">
        <v>0.46</v>
      </c>
      <c r="D2226" s="75">
        <v>0.0</v>
      </c>
      <c r="E2226" s="75">
        <v>0.0</v>
      </c>
      <c r="F2226" s="75" t="s">
        <v>974</v>
      </c>
      <c r="G2226" s="82">
        <v>46112.0</v>
      </c>
      <c r="H2226" s="76" t="s">
        <v>972</v>
      </c>
      <c r="I2226" s="83"/>
      <c r="J2226" s="83"/>
      <c r="K2226" s="83"/>
      <c r="L2226" s="83"/>
      <c r="M2226" s="83"/>
      <c r="N2226" s="83"/>
      <c r="O2226" s="83"/>
      <c r="P2226" s="83"/>
      <c r="Q2226" s="83"/>
      <c r="R2226" s="83"/>
      <c r="S2226" s="83"/>
      <c r="T2226" s="83"/>
      <c r="U2226" s="83"/>
      <c r="V2226" s="83"/>
      <c r="W2226" s="83"/>
      <c r="X2226" s="83"/>
      <c r="Y2226" s="83"/>
      <c r="Z2226" s="83"/>
    </row>
    <row r="2227">
      <c r="A2227" s="75" t="s">
        <v>970</v>
      </c>
      <c r="B2227" s="75" t="s">
        <v>1001</v>
      </c>
      <c r="C2227" s="75">
        <v>1.9</v>
      </c>
      <c r="D2227" s="75">
        <v>1.0</v>
      </c>
      <c r="E2227" s="75">
        <v>1.9</v>
      </c>
      <c r="F2227" s="75" t="s">
        <v>974</v>
      </c>
      <c r="G2227" s="82">
        <v>46112.0</v>
      </c>
      <c r="H2227" s="76" t="s">
        <v>973</v>
      </c>
      <c r="I2227" s="83"/>
      <c r="J2227" s="83"/>
      <c r="K2227" s="83"/>
      <c r="L2227" s="83"/>
      <c r="M2227" s="83"/>
      <c r="N2227" s="83"/>
      <c r="O2227" s="83"/>
      <c r="P2227" s="83"/>
      <c r="Q2227" s="83"/>
      <c r="R2227" s="83"/>
      <c r="S2227" s="83"/>
      <c r="T2227" s="83"/>
      <c r="U2227" s="83"/>
      <c r="V2227" s="83"/>
      <c r="W2227" s="83"/>
      <c r="X2227" s="83"/>
      <c r="Y2227" s="83"/>
      <c r="Z2227" s="83"/>
    </row>
    <row r="2228">
      <c r="A2228" s="75" t="s">
        <v>29</v>
      </c>
      <c r="B2228" s="75" t="s">
        <v>1001</v>
      </c>
      <c r="C2228" s="75">
        <v>4.49</v>
      </c>
      <c r="D2228" s="75">
        <v>2.0</v>
      </c>
      <c r="E2228" s="75">
        <v>2.25</v>
      </c>
      <c r="F2228" s="75" t="s">
        <v>974</v>
      </c>
      <c r="G2228" s="82">
        <v>46112.0</v>
      </c>
      <c r="H2228" s="76" t="s">
        <v>971</v>
      </c>
      <c r="I2228" s="83"/>
      <c r="J2228" s="83"/>
      <c r="K2228" s="83"/>
      <c r="L2228" s="83"/>
      <c r="M2228" s="83"/>
      <c r="N2228" s="83"/>
      <c r="O2228" s="83"/>
      <c r="P2228" s="83"/>
      <c r="Q2228" s="83"/>
      <c r="R2228" s="83"/>
      <c r="S2228" s="83"/>
      <c r="T2228" s="83"/>
      <c r="U2228" s="83"/>
      <c r="V2228" s="83"/>
      <c r="W2228" s="83"/>
      <c r="X2228" s="83"/>
      <c r="Y2228" s="83"/>
      <c r="Z2228" s="83"/>
    </row>
    <row r="2229">
      <c r="A2229" s="75" t="s">
        <v>29</v>
      </c>
      <c r="B2229" s="75" t="s">
        <v>1001</v>
      </c>
      <c r="C2229" s="75">
        <v>0.35</v>
      </c>
      <c r="D2229" s="75">
        <v>0.0</v>
      </c>
      <c r="E2229" s="75">
        <v>0.0</v>
      </c>
      <c r="F2229" s="75" t="s">
        <v>974</v>
      </c>
      <c r="G2229" s="82">
        <v>46112.0</v>
      </c>
      <c r="H2229" s="76" t="s">
        <v>972</v>
      </c>
      <c r="I2229" s="83"/>
      <c r="J2229" s="83"/>
      <c r="K2229" s="83"/>
      <c r="L2229" s="83"/>
      <c r="M2229" s="83"/>
      <c r="N2229" s="83"/>
      <c r="O2229" s="83"/>
      <c r="P2229" s="83"/>
      <c r="Q2229" s="83"/>
      <c r="R2229" s="83"/>
      <c r="S2229" s="83"/>
      <c r="T2229" s="83"/>
      <c r="U2229" s="83"/>
      <c r="V2229" s="83"/>
      <c r="W2229" s="83"/>
      <c r="X2229" s="83"/>
      <c r="Y2229" s="83"/>
      <c r="Z2229" s="83"/>
    </row>
    <row r="2230">
      <c r="A2230" s="75" t="s">
        <v>29</v>
      </c>
      <c r="B2230" s="75" t="s">
        <v>1001</v>
      </c>
      <c r="C2230" s="75">
        <v>1.77</v>
      </c>
      <c r="D2230" s="75">
        <v>0.0</v>
      </c>
      <c r="E2230" s="75">
        <v>0.0</v>
      </c>
      <c r="F2230" s="75" t="s">
        <v>974</v>
      </c>
      <c r="G2230" s="82">
        <v>46112.0</v>
      </c>
      <c r="H2230" s="76" t="s">
        <v>973</v>
      </c>
      <c r="I2230" s="83"/>
      <c r="J2230" s="83"/>
      <c r="K2230" s="83"/>
      <c r="L2230" s="83"/>
      <c r="M2230" s="83"/>
      <c r="N2230" s="83"/>
      <c r="O2230" s="83"/>
      <c r="P2230" s="83"/>
      <c r="Q2230" s="83"/>
      <c r="R2230" s="83"/>
      <c r="S2230" s="83"/>
      <c r="T2230" s="83"/>
      <c r="U2230" s="83"/>
      <c r="V2230" s="83"/>
      <c r="W2230" s="83"/>
      <c r="X2230" s="83"/>
      <c r="Y2230" s="83"/>
      <c r="Z2230" s="83"/>
    </row>
    <row r="2231">
      <c r="A2231" s="75" t="s">
        <v>34</v>
      </c>
      <c r="B2231" s="75" t="s">
        <v>1001</v>
      </c>
      <c r="C2231" s="75">
        <v>107.3</v>
      </c>
      <c r="D2231" s="75">
        <v>0.0</v>
      </c>
      <c r="E2231" s="75">
        <v>0.0</v>
      </c>
      <c r="F2231" s="75" t="s">
        <v>975</v>
      </c>
      <c r="G2231" s="82">
        <v>46112.0</v>
      </c>
      <c r="H2231" s="76" t="s">
        <v>951</v>
      </c>
      <c r="I2231" s="83"/>
      <c r="J2231" s="83"/>
      <c r="K2231" s="83"/>
      <c r="L2231" s="83"/>
      <c r="M2231" s="83"/>
      <c r="N2231" s="83"/>
      <c r="O2231" s="83"/>
      <c r="P2231" s="83"/>
      <c r="Q2231" s="83"/>
      <c r="R2231" s="83"/>
      <c r="S2231" s="83"/>
      <c r="T2231" s="83"/>
      <c r="U2231" s="83"/>
      <c r="V2231" s="83"/>
      <c r="W2231" s="83"/>
      <c r="X2231" s="83"/>
      <c r="Y2231" s="83"/>
      <c r="Z2231" s="83"/>
    </row>
    <row r="2232">
      <c r="A2232" s="75" t="s">
        <v>34</v>
      </c>
      <c r="B2232" s="75" t="s">
        <v>1001</v>
      </c>
      <c r="C2232" s="75">
        <v>114.54</v>
      </c>
      <c r="D2232" s="75">
        <v>0.0</v>
      </c>
      <c r="E2232" s="75">
        <v>0.0</v>
      </c>
      <c r="F2232" s="75" t="s">
        <v>975</v>
      </c>
      <c r="G2232" s="82">
        <v>46112.0</v>
      </c>
      <c r="H2232" s="76" t="s">
        <v>952</v>
      </c>
      <c r="I2232" s="83"/>
      <c r="J2232" s="83"/>
      <c r="K2232" s="83"/>
      <c r="L2232" s="83"/>
      <c r="M2232" s="83"/>
      <c r="N2232" s="83"/>
      <c r="O2232" s="83"/>
      <c r="P2232" s="83"/>
      <c r="Q2232" s="83"/>
      <c r="R2232" s="83"/>
      <c r="S2232" s="83"/>
      <c r="T2232" s="83"/>
      <c r="U2232" s="83"/>
      <c r="V2232" s="83"/>
      <c r="W2232" s="83"/>
      <c r="X2232" s="83"/>
      <c r="Y2232" s="83"/>
      <c r="Z2232" s="83"/>
    </row>
    <row r="2233">
      <c r="A2233" s="75" t="s">
        <v>34</v>
      </c>
      <c r="B2233" s="75" t="s">
        <v>1001</v>
      </c>
      <c r="C2233" s="75">
        <v>395.73</v>
      </c>
      <c r="D2233" s="75">
        <v>3.0</v>
      </c>
      <c r="E2233" s="75">
        <v>131.91</v>
      </c>
      <c r="F2233" s="75" t="s">
        <v>975</v>
      </c>
      <c r="G2233" s="82">
        <v>46112.0</v>
      </c>
      <c r="H2233" s="76" t="s">
        <v>953</v>
      </c>
      <c r="I2233" s="83"/>
      <c r="J2233" s="83"/>
      <c r="K2233" s="83"/>
      <c r="L2233" s="83"/>
      <c r="M2233" s="83"/>
      <c r="N2233" s="83"/>
      <c r="O2233" s="83"/>
      <c r="P2233" s="83"/>
      <c r="Q2233" s="83"/>
      <c r="R2233" s="83"/>
      <c r="S2233" s="83"/>
      <c r="T2233" s="83"/>
      <c r="U2233" s="83"/>
      <c r="V2233" s="83"/>
      <c r="W2233" s="83"/>
      <c r="X2233" s="83"/>
      <c r="Y2233" s="83"/>
      <c r="Z2233" s="83"/>
    </row>
    <row r="2234">
      <c r="A2234" s="75" t="s">
        <v>40</v>
      </c>
      <c r="B2234" s="75" t="s">
        <v>1001</v>
      </c>
      <c r="C2234" s="75">
        <v>5.0</v>
      </c>
      <c r="D2234" s="75">
        <v>0.0</v>
      </c>
      <c r="E2234" s="75">
        <v>0.0</v>
      </c>
      <c r="F2234" s="75" t="s">
        <v>975</v>
      </c>
      <c r="G2234" s="82">
        <v>46112.0</v>
      </c>
      <c r="H2234" s="76" t="s">
        <v>954</v>
      </c>
      <c r="I2234" s="83"/>
      <c r="J2234" s="83"/>
      <c r="K2234" s="83"/>
      <c r="L2234" s="83"/>
      <c r="M2234" s="83"/>
      <c r="N2234" s="83"/>
      <c r="O2234" s="83"/>
      <c r="P2234" s="83"/>
      <c r="Q2234" s="83"/>
      <c r="R2234" s="83"/>
      <c r="S2234" s="83"/>
      <c r="T2234" s="83"/>
      <c r="U2234" s="83"/>
      <c r="V2234" s="83"/>
      <c r="W2234" s="83"/>
      <c r="X2234" s="83"/>
      <c r="Y2234" s="83"/>
      <c r="Z2234" s="83"/>
    </row>
    <row r="2235">
      <c r="A2235" s="75" t="s">
        <v>40</v>
      </c>
      <c r="B2235" s="75" t="s">
        <v>1001</v>
      </c>
      <c r="C2235" s="75">
        <v>1.85</v>
      </c>
      <c r="D2235" s="75">
        <v>0.0</v>
      </c>
      <c r="E2235" s="75">
        <v>0.0</v>
      </c>
      <c r="F2235" s="75" t="s">
        <v>975</v>
      </c>
      <c r="G2235" s="82">
        <v>46112.0</v>
      </c>
      <c r="H2235" s="76" t="s">
        <v>955</v>
      </c>
      <c r="I2235" s="83"/>
      <c r="J2235" s="83"/>
      <c r="K2235" s="83"/>
      <c r="L2235" s="83"/>
      <c r="M2235" s="83"/>
      <c r="N2235" s="83"/>
      <c r="O2235" s="83"/>
      <c r="P2235" s="83"/>
      <c r="Q2235" s="83"/>
      <c r="R2235" s="83"/>
      <c r="S2235" s="83"/>
      <c r="T2235" s="83"/>
      <c r="U2235" s="83"/>
      <c r="V2235" s="83"/>
      <c r="W2235" s="83"/>
      <c r="X2235" s="83"/>
      <c r="Y2235" s="83"/>
      <c r="Z2235" s="83"/>
    </row>
    <row r="2236">
      <c r="A2236" s="75" t="s">
        <v>40</v>
      </c>
      <c r="B2236" s="75" t="s">
        <v>1001</v>
      </c>
      <c r="C2236" s="75">
        <v>79.08</v>
      </c>
      <c r="D2236" s="75">
        <v>1.0</v>
      </c>
      <c r="E2236" s="75">
        <v>79.08</v>
      </c>
      <c r="F2236" s="75" t="s">
        <v>975</v>
      </c>
      <c r="G2236" s="82">
        <v>46112.0</v>
      </c>
      <c r="H2236" s="76" t="s">
        <v>956</v>
      </c>
      <c r="I2236" s="83"/>
      <c r="J2236" s="83"/>
      <c r="K2236" s="83"/>
      <c r="L2236" s="83"/>
      <c r="M2236" s="83"/>
      <c r="N2236" s="83"/>
      <c r="O2236" s="83"/>
      <c r="P2236" s="83"/>
      <c r="Q2236" s="83"/>
      <c r="R2236" s="83"/>
      <c r="S2236" s="83"/>
      <c r="T2236" s="83"/>
      <c r="U2236" s="83"/>
      <c r="V2236" s="83"/>
      <c r="W2236" s="83"/>
      <c r="X2236" s="83"/>
      <c r="Y2236" s="83"/>
      <c r="Z2236" s="83"/>
    </row>
    <row r="2237">
      <c r="A2237" s="75" t="s">
        <v>33</v>
      </c>
      <c r="B2237" s="75" t="s">
        <v>1001</v>
      </c>
      <c r="C2237" s="75">
        <v>18.23</v>
      </c>
      <c r="D2237" s="75">
        <v>14.0</v>
      </c>
      <c r="E2237" s="75">
        <v>1.3</v>
      </c>
      <c r="F2237" s="75" t="s">
        <v>975</v>
      </c>
      <c r="G2237" s="82">
        <v>46112.0</v>
      </c>
      <c r="H2237" s="76" t="s">
        <v>957</v>
      </c>
      <c r="I2237" s="83"/>
      <c r="J2237" s="83"/>
      <c r="K2237" s="83"/>
      <c r="L2237" s="83"/>
      <c r="M2237" s="83"/>
      <c r="N2237" s="83"/>
      <c r="O2237" s="83"/>
      <c r="P2237" s="83"/>
      <c r="Q2237" s="83"/>
      <c r="R2237" s="83"/>
      <c r="S2237" s="83"/>
      <c r="T2237" s="83"/>
      <c r="U2237" s="83"/>
      <c r="V2237" s="83"/>
      <c r="W2237" s="83"/>
      <c r="X2237" s="83"/>
      <c r="Y2237" s="83"/>
      <c r="Z2237" s="83"/>
    </row>
    <row r="2238">
      <c r="A2238" s="75" t="s">
        <v>33</v>
      </c>
      <c r="B2238" s="75" t="s">
        <v>1001</v>
      </c>
      <c r="C2238" s="75">
        <v>6.32</v>
      </c>
      <c r="D2238" s="75">
        <v>0.0</v>
      </c>
      <c r="E2238" s="75">
        <v>0.0</v>
      </c>
      <c r="F2238" s="75" t="s">
        <v>975</v>
      </c>
      <c r="G2238" s="82">
        <v>46112.0</v>
      </c>
      <c r="H2238" s="76" t="s">
        <v>958</v>
      </c>
      <c r="I2238" s="83"/>
      <c r="J2238" s="83"/>
      <c r="K2238" s="83"/>
      <c r="L2238" s="83"/>
      <c r="M2238" s="83"/>
      <c r="N2238" s="83"/>
      <c r="O2238" s="83"/>
      <c r="P2238" s="83"/>
      <c r="Q2238" s="83"/>
      <c r="R2238" s="83"/>
      <c r="S2238" s="83"/>
      <c r="T2238" s="83"/>
      <c r="U2238" s="83"/>
      <c r="V2238" s="83"/>
      <c r="W2238" s="83"/>
      <c r="X2238" s="83"/>
      <c r="Y2238" s="83"/>
      <c r="Z2238" s="83"/>
    </row>
    <row r="2239">
      <c r="A2239" s="75" t="s">
        <v>33</v>
      </c>
      <c r="B2239" s="75" t="s">
        <v>1001</v>
      </c>
      <c r="C2239" s="75">
        <v>7.73</v>
      </c>
      <c r="D2239" s="75">
        <v>2.0</v>
      </c>
      <c r="E2239" s="75">
        <v>3.86</v>
      </c>
      <c r="F2239" s="75" t="s">
        <v>975</v>
      </c>
      <c r="G2239" s="82">
        <v>46112.0</v>
      </c>
      <c r="H2239" s="76" t="s">
        <v>959</v>
      </c>
      <c r="I2239" s="83"/>
      <c r="J2239" s="83"/>
      <c r="K2239" s="83"/>
      <c r="L2239" s="83"/>
      <c r="M2239" s="83"/>
      <c r="N2239" s="83"/>
      <c r="O2239" s="83"/>
      <c r="P2239" s="83"/>
      <c r="Q2239" s="83"/>
      <c r="R2239" s="83"/>
      <c r="S2239" s="83"/>
      <c r="T2239" s="83"/>
      <c r="U2239" s="83"/>
      <c r="V2239" s="83"/>
      <c r="W2239" s="83"/>
      <c r="X2239" s="83"/>
      <c r="Y2239" s="83"/>
      <c r="Z2239" s="83"/>
    </row>
    <row r="2240">
      <c r="A2240" s="75" t="s">
        <v>46</v>
      </c>
      <c r="B2240" s="75" t="s">
        <v>1001</v>
      </c>
      <c r="C2240" s="75">
        <v>14.48</v>
      </c>
      <c r="D2240" s="75">
        <v>0.0</v>
      </c>
      <c r="E2240" s="75">
        <v>0.0</v>
      </c>
      <c r="F2240" s="75" t="s">
        <v>975</v>
      </c>
      <c r="G2240" s="82">
        <v>46112.0</v>
      </c>
      <c r="H2240" s="76" t="s">
        <v>960</v>
      </c>
      <c r="I2240" s="83"/>
      <c r="J2240" s="83"/>
      <c r="K2240" s="83"/>
      <c r="L2240" s="83"/>
      <c r="M2240" s="83"/>
      <c r="N2240" s="83"/>
      <c r="O2240" s="83"/>
      <c r="P2240" s="83"/>
      <c r="Q2240" s="83"/>
      <c r="R2240" s="83"/>
      <c r="S2240" s="83"/>
      <c r="T2240" s="83"/>
      <c r="U2240" s="83"/>
      <c r="V2240" s="83"/>
      <c r="W2240" s="83"/>
      <c r="X2240" s="83"/>
      <c r="Y2240" s="83"/>
      <c r="Z2240" s="83"/>
    </row>
    <row r="2241">
      <c r="A2241" s="75" t="s">
        <v>46</v>
      </c>
      <c r="B2241" s="75" t="s">
        <v>1001</v>
      </c>
      <c r="C2241" s="75">
        <v>4.61</v>
      </c>
      <c r="D2241" s="75">
        <v>1.0</v>
      </c>
      <c r="E2241" s="75">
        <v>4.61</v>
      </c>
      <c r="F2241" s="75" t="s">
        <v>975</v>
      </c>
      <c r="G2241" s="82">
        <v>46112.0</v>
      </c>
      <c r="H2241" s="76" t="s">
        <v>961</v>
      </c>
      <c r="I2241" s="83"/>
      <c r="J2241" s="83"/>
      <c r="K2241" s="83"/>
      <c r="L2241" s="83"/>
      <c r="M2241" s="83"/>
      <c r="N2241" s="83"/>
      <c r="O2241" s="83"/>
      <c r="P2241" s="83"/>
      <c r="Q2241" s="83"/>
      <c r="R2241" s="83"/>
      <c r="S2241" s="83"/>
      <c r="T2241" s="83"/>
      <c r="U2241" s="83"/>
      <c r="V2241" s="83"/>
      <c r="W2241" s="83"/>
      <c r="X2241" s="83"/>
      <c r="Y2241" s="83"/>
      <c r="Z2241" s="83"/>
    </row>
    <row r="2242">
      <c r="A2242" s="75" t="s">
        <v>46</v>
      </c>
      <c r="B2242" s="75" t="s">
        <v>1001</v>
      </c>
      <c r="C2242" s="75">
        <v>6.42</v>
      </c>
      <c r="D2242" s="75">
        <v>0.0</v>
      </c>
      <c r="E2242" s="75">
        <v>0.0</v>
      </c>
      <c r="F2242" s="75" t="s">
        <v>975</v>
      </c>
      <c r="G2242" s="82">
        <v>46112.0</v>
      </c>
      <c r="H2242" s="76" t="s">
        <v>962</v>
      </c>
      <c r="I2242" s="83"/>
      <c r="J2242" s="83"/>
      <c r="K2242" s="83"/>
      <c r="L2242" s="83"/>
      <c r="M2242" s="83"/>
      <c r="N2242" s="83"/>
      <c r="O2242" s="83"/>
      <c r="P2242" s="83"/>
      <c r="Q2242" s="83"/>
      <c r="R2242" s="83"/>
      <c r="S2242" s="83"/>
      <c r="T2242" s="83"/>
      <c r="U2242" s="83"/>
      <c r="V2242" s="83"/>
      <c r="W2242" s="83"/>
      <c r="X2242" s="83"/>
      <c r="Y2242" s="83"/>
      <c r="Z2242" s="83"/>
    </row>
    <row r="2243">
      <c r="A2243" s="75" t="s">
        <v>43</v>
      </c>
      <c r="B2243" s="75" t="s">
        <v>1001</v>
      </c>
      <c r="C2243" s="75">
        <v>5.69</v>
      </c>
      <c r="D2243" s="75">
        <v>0.0</v>
      </c>
      <c r="E2243" s="75">
        <v>0.0</v>
      </c>
      <c r="F2243" s="75" t="s">
        <v>975</v>
      </c>
      <c r="G2243" s="82">
        <v>46112.0</v>
      </c>
      <c r="H2243" s="76" t="s">
        <v>963</v>
      </c>
      <c r="I2243" s="83"/>
      <c r="J2243" s="83"/>
      <c r="K2243" s="83"/>
      <c r="L2243" s="83"/>
      <c r="M2243" s="83"/>
      <c r="N2243" s="83"/>
      <c r="O2243" s="83"/>
      <c r="P2243" s="83"/>
      <c r="Q2243" s="83"/>
      <c r="R2243" s="83"/>
      <c r="S2243" s="83"/>
      <c r="T2243" s="83"/>
      <c r="U2243" s="83"/>
      <c r="V2243" s="83"/>
      <c r="W2243" s="83"/>
      <c r="X2243" s="83"/>
      <c r="Y2243" s="83"/>
      <c r="Z2243" s="83"/>
    </row>
    <row r="2244">
      <c r="A2244" s="75" t="s">
        <v>43</v>
      </c>
      <c r="B2244" s="75" t="s">
        <v>1001</v>
      </c>
      <c r="C2244" s="75">
        <v>5.55</v>
      </c>
      <c r="D2244" s="75">
        <v>2.0</v>
      </c>
      <c r="E2244" s="75">
        <v>2.78</v>
      </c>
      <c r="F2244" s="75" t="s">
        <v>975</v>
      </c>
      <c r="G2244" s="82">
        <v>46112.0</v>
      </c>
      <c r="H2244" s="76" t="s">
        <v>964</v>
      </c>
      <c r="I2244" s="83"/>
      <c r="J2244" s="83"/>
      <c r="K2244" s="83"/>
      <c r="L2244" s="83"/>
      <c r="M2244" s="83"/>
      <c r="N2244" s="83"/>
      <c r="O2244" s="83"/>
      <c r="P2244" s="83"/>
      <c r="Q2244" s="83"/>
      <c r="R2244" s="83"/>
      <c r="S2244" s="83"/>
      <c r="T2244" s="83"/>
      <c r="U2244" s="83"/>
      <c r="V2244" s="83"/>
      <c r="W2244" s="83"/>
      <c r="X2244" s="83"/>
      <c r="Y2244" s="83"/>
      <c r="Z2244" s="83"/>
    </row>
    <row r="2245">
      <c r="A2245" s="75" t="s">
        <v>43</v>
      </c>
      <c r="B2245" s="75" t="s">
        <v>1001</v>
      </c>
      <c r="C2245" s="75">
        <v>59.03</v>
      </c>
      <c r="D2245" s="75">
        <v>1.0</v>
      </c>
      <c r="E2245" s="75">
        <v>59.03</v>
      </c>
      <c r="F2245" s="75" t="s">
        <v>975</v>
      </c>
      <c r="G2245" s="82">
        <v>46112.0</v>
      </c>
      <c r="H2245" s="76" t="s">
        <v>965</v>
      </c>
      <c r="I2245" s="83"/>
      <c r="J2245" s="83"/>
      <c r="K2245" s="83"/>
      <c r="L2245" s="83"/>
      <c r="M2245" s="83"/>
      <c r="N2245" s="83"/>
      <c r="O2245" s="83"/>
      <c r="P2245" s="83"/>
      <c r="Q2245" s="83"/>
      <c r="R2245" s="83"/>
      <c r="S2245" s="83"/>
      <c r="T2245" s="83"/>
      <c r="U2245" s="83"/>
      <c r="V2245" s="83"/>
      <c r="W2245" s="83"/>
      <c r="X2245" s="83"/>
      <c r="Y2245" s="83"/>
      <c r="Z2245" s="83"/>
    </row>
    <row r="2246">
      <c r="A2246" s="75" t="s">
        <v>966</v>
      </c>
      <c r="B2246" s="75" t="s">
        <v>1001</v>
      </c>
      <c r="C2246" s="75">
        <v>39.32</v>
      </c>
      <c r="D2246" s="75">
        <v>0.0</v>
      </c>
      <c r="E2246" s="75">
        <v>0.0</v>
      </c>
      <c r="F2246" s="75" t="s">
        <v>975</v>
      </c>
      <c r="G2246" s="82">
        <v>46112.0</v>
      </c>
      <c r="H2246" s="76" t="s">
        <v>967</v>
      </c>
      <c r="I2246" s="83"/>
      <c r="J2246" s="83"/>
      <c r="K2246" s="83"/>
      <c r="L2246" s="83"/>
      <c r="M2246" s="83"/>
      <c r="N2246" s="83"/>
      <c r="O2246" s="83"/>
      <c r="P2246" s="83"/>
      <c r="Q2246" s="83"/>
      <c r="R2246" s="83"/>
      <c r="S2246" s="83"/>
      <c r="T2246" s="83"/>
      <c r="U2246" s="83"/>
      <c r="V2246" s="83"/>
      <c r="W2246" s="83"/>
      <c r="X2246" s="83"/>
      <c r="Y2246" s="83"/>
      <c r="Z2246" s="83"/>
    </row>
    <row r="2247">
      <c r="A2247" s="75" t="s">
        <v>966</v>
      </c>
      <c r="B2247" s="75" t="s">
        <v>1001</v>
      </c>
      <c r="C2247" s="75">
        <v>6.65</v>
      </c>
      <c r="D2247" s="75">
        <v>0.0</v>
      </c>
      <c r="E2247" s="75">
        <v>0.0</v>
      </c>
      <c r="F2247" s="75" t="s">
        <v>975</v>
      </c>
      <c r="G2247" s="82">
        <v>46112.0</v>
      </c>
      <c r="H2247" s="76" t="s">
        <v>968</v>
      </c>
      <c r="I2247" s="83"/>
      <c r="J2247" s="83"/>
      <c r="K2247" s="83"/>
      <c r="L2247" s="83"/>
      <c r="M2247" s="83"/>
      <c r="N2247" s="83"/>
      <c r="O2247" s="83"/>
      <c r="P2247" s="83"/>
      <c r="Q2247" s="83"/>
      <c r="R2247" s="83"/>
      <c r="S2247" s="83"/>
      <c r="T2247" s="83"/>
      <c r="U2247" s="83"/>
      <c r="V2247" s="83"/>
      <c r="W2247" s="83"/>
      <c r="X2247" s="83"/>
      <c r="Y2247" s="83"/>
      <c r="Z2247" s="83"/>
    </row>
    <row r="2248">
      <c r="A2248" s="75" t="s">
        <v>966</v>
      </c>
      <c r="B2248" s="75" t="s">
        <v>1001</v>
      </c>
      <c r="C2248" s="75">
        <v>56.54</v>
      </c>
      <c r="D2248" s="75">
        <v>0.0</v>
      </c>
      <c r="E2248" s="75">
        <v>0.0</v>
      </c>
      <c r="F2248" s="75" t="s">
        <v>975</v>
      </c>
      <c r="G2248" s="82">
        <v>46112.0</v>
      </c>
      <c r="H2248" s="76" t="s">
        <v>969</v>
      </c>
      <c r="I2248" s="83"/>
      <c r="J2248" s="83"/>
      <c r="K2248" s="83"/>
      <c r="L2248" s="83"/>
      <c r="M2248" s="83"/>
      <c r="N2248" s="83"/>
      <c r="O2248" s="83"/>
      <c r="P2248" s="83"/>
      <c r="Q2248" s="83"/>
      <c r="R2248" s="83"/>
      <c r="S2248" s="83"/>
      <c r="T2248" s="83"/>
      <c r="U2248" s="83"/>
      <c r="V2248" s="83"/>
      <c r="W2248" s="83"/>
      <c r="X2248" s="83"/>
      <c r="Y2248" s="83"/>
      <c r="Z2248" s="83"/>
    </row>
    <row r="2249">
      <c r="A2249" s="75" t="s">
        <v>36</v>
      </c>
      <c r="B2249" s="75" t="s">
        <v>1001</v>
      </c>
      <c r="C2249" s="75">
        <v>19.46</v>
      </c>
      <c r="D2249" s="75">
        <v>3.0</v>
      </c>
      <c r="E2249" s="75">
        <v>6.49</v>
      </c>
      <c r="F2249" s="75" t="s">
        <v>975</v>
      </c>
      <c r="G2249" s="82">
        <v>46112.0</v>
      </c>
      <c r="H2249" s="76" t="s">
        <v>926</v>
      </c>
      <c r="I2249" s="83"/>
      <c r="J2249" s="83"/>
      <c r="K2249" s="83"/>
      <c r="L2249" s="83"/>
      <c r="M2249" s="83"/>
      <c r="N2249" s="83"/>
      <c r="O2249" s="83"/>
      <c r="P2249" s="83"/>
      <c r="Q2249" s="83"/>
      <c r="R2249" s="83"/>
      <c r="S2249" s="83"/>
      <c r="T2249" s="83"/>
      <c r="U2249" s="83"/>
      <c r="V2249" s="83"/>
      <c r="W2249" s="83"/>
      <c r="X2249" s="83"/>
      <c r="Y2249" s="83"/>
      <c r="Z2249" s="83"/>
    </row>
    <row r="2250">
      <c r="A2250" s="75" t="s">
        <v>36</v>
      </c>
      <c r="B2250" s="75" t="s">
        <v>1001</v>
      </c>
      <c r="C2250" s="75">
        <v>8.72</v>
      </c>
      <c r="D2250" s="75">
        <v>0.0</v>
      </c>
      <c r="E2250" s="75">
        <v>0.0</v>
      </c>
      <c r="F2250" s="75" t="s">
        <v>975</v>
      </c>
      <c r="G2250" s="82">
        <v>46112.0</v>
      </c>
      <c r="H2250" s="76" t="s">
        <v>927</v>
      </c>
      <c r="I2250" s="83"/>
      <c r="J2250" s="83"/>
      <c r="K2250" s="83"/>
      <c r="L2250" s="83"/>
      <c r="M2250" s="83"/>
      <c r="N2250" s="83"/>
      <c r="O2250" s="83"/>
      <c r="P2250" s="83"/>
      <c r="Q2250" s="83"/>
      <c r="R2250" s="83"/>
      <c r="S2250" s="83"/>
      <c r="T2250" s="83"/>
      <c r="U2250" s="83"/>
      <c r="V2250" s="83"/>
      <c r="W2250" s="83"/>
      <c r="X2250" s="83"/>
      <c r="Y2250" s="83"/>
      <c r="Z2250" s="83"/>
    </row>
    <row r="2251">
      <c r="A2251" s="75" t="s">
        <v>36</v>
      </c>
      <c r="B2251" s="75" t="s">
        <v>1001</v>
      </c>
      <c r="C2251" s="75">
        <v>6.67</v>
      </c>
      <c r="D2251" s="75">
        <v>0.0</v>
      </c>
      <c r="E2251" s="75">
        <v>0.0</v>
      </c>
      <c r="F2251" s="75" t="s">
        <v>975</v>
      </c>
      <c r="G2251" s="82">
        <v>46112.0</v>
      </c>
      <c r="H2251" s="76" t="s">
        <v>928</v>
      </c>
      <c r="I2251" s="83"/>
      <c r="J2251" s="83"/>
      <c r="K2251" s="83"/>
      <c r="L2251" s="83"/>
      <c r="M2251" s="83"/>
      <c r="N2251" s="83"/>
      <c r="O2251" s="83"/>
      <c r="P2251" s="83"/>
      <c r="Q2251" s="83"/>
      <c r="R2251" s="83"/>
      <c r="S2251" s="83"/>
      <c r="T2251" s="83"/>
      <c r="U2251" s="83"/>
      <c r="V2251" s="83"/>
      <c r="W2251" s="83"/>
      <c r="X2251" s="83"/>
      <c r="Y2251" s="83"/>
      <c r="Z2251" s="83"/>
    </row>
    <row r="2252">
      <c r="A2252" s="75" t="s">
        <v>970</v>
      </c>
      <c r="B2252" s="75" t="s">
        <v>1001</v>
      </c>
      <c r="C2252" s="75">
        <v>85.91</v>
      </c>
      <c r="D2252" s="75">
        <v>27.0</v>
      </c>
      <c r="E2252" s="75">
        <v>3.18</v>
      </c>
      <c r="F2252" s="75" t="s">
        <v>975</v>
      </c>
      <c r="G2252" s="82">
        <v>46112.0</v>
      </c>
      <c r="H2252" s="76" t="s">
        <v>971</v>
      </c>
      <c r="I2252" s="83"/>
      <c r="J2252" s="83"/>
      <c r="K2252" s="83"/>
      <c r="L2252" s="83"/>
      <c r="M2252" s="83"/>
      <c r="N2252" s="83"/>
      <c r="O2252" s="83"/>
      <c r="P2252" s="83"/>
      <c r="Q2252" s="83"/>
      <c r="R2252" s="83"/>
      <c r="S2252" s="83"/>
      <c r="T2252" s="83"/>
      <c r="U2252" s="83"/>
      <c r="V2252" s="83"/>
      <c r="W2252" s="83"/>
      <c r="X2252" s="83"/>
      <c r="Y2252" s="83"/>
      <c r="Z2252" s="83"/>
    </row>
    <row r="2253">
      <c r="A2253" s="75" t="s">
        <v>970</v>
      </c>
      <c r="B2253" s="75" t="s">
        <v>1001</v>
      </c>
      <c r="C2253" s="75">
        <v>2.94</v>
      </c>
      <c r="D2253" s="75">
        <v>2.0</v>
      </c>
      <c r="E2253" s="75">
        <v>1.47</v>
      </c>
      <c r="F2253" s="75" t="s">
        <v>975</v>
      </c>
      <c r="G2253" s="82">
        <v>46112.0</v>
      </c>
      <c r="H2253" s="76" t="s">
        <v>972</v>
      </c>
      <c r="I2253" s="83"/>
      <c r="J2253" s="83"/>
      <c r="K2253" s="83"/>
      <c r="L2253" s="83"/>
      <c r="M2253" s="83"/>
      <c r="N2253" s="83"/>
      <c r="O2253" s="83"/>
      <c r="P2253" s="83"/>
      <c r="Q2253" s="83"/>
      <c r="R2253" s="83"/>
      <c r="S2253" s="83"/>
      <c r="T2253" s="83"/>
      <c r="U2253" s="83"/>
      <c r="V2253" s="83"/>
      <c r="W2253" s="83"/>
      <c r="X2253" s="83"/>
      <c r="Y2253" s="83"/>
      <c r="Z2253" s="83"/>
    </row>
    <row r="2254">
      <c r="A2254" s="75" t="s">
        <v>970</v>
      </c>
      <c r="B2254" s="75" t="s">
        <v>1001</v>
      </c>
      <c r="C2254" s="75">
        <v>44.11</v>
      </c>
      <c r="D2254" s="75">
        <v>19.0</v>
      </c>
      <c r="E2254" s="75">
        <v>2.32</v>
      </c>
      <c r="F2254" s="75" t="s">
        <v>975</v>
      </c>
      <c r="G2254" s="82">
        <v>46112.0</v>
      </c>
      <c r="H2254" s="76" t="s">
        <v>973</v>
      </c>
      <c r="I2254" s="83"/>
      <c r="J2254" s="83"/>
      <c r="K2254" s="83"/>
      <c r="L2254" s="83"/>
      <c r="M2254" s="83"/>
      <c r="N2254" s="83"/>
      <c r="O2254" s="83"/>
      <c r="P2254" s="83"/>
      <c r="Q2254" s="83"/>
      <c r="R2254" s="83"/>
      <c r="S2254" s="83"/>
      <c r="T2254" s="83"/>
      <c r="U2254" s="83"/>
      <c r="V2254" s="83"/>
      <c r="W2254" s="83"/>
      <c r="X2254" s="83"/>
      <c r="Y2254" s="83"/>
      <c r="Z2254" s="83"/>
    </row>
    <row r="2255">
      <c r="A2255" s="75" t="s">
        <v>29</v>
      </c>
      <c r="B2255" s="75" t="s">
        <v>1001</v>
      </c>
      <c r="C2255" s="75">
        <v>39.08</v>
      </c>
      <c r="D2255" s="75">
        <v>12.0</v>
      </c>
      <c r="E2255" s="75">
        <v>3.26</v>
      </c>
      <c r="F2255" s="75" t="s">
        <v>975</v>
      </c>
      <c r="G2255" s="82">
        <v>46112.0</v>
      </c>
      <c r="H2255" s="76" t="s">
        <v>971</v>
      </c>
      <c r="I2255" s="83"/>
      <c r="J2255" s="83"/>
      <c r="K2255" s="83"/>
      <c r="L2255" s="83"/>
      <c r="M2255" s="83"/>
      <c r="N2255" s="83"/>
      <c r="O2255" s="83"/>
      <c r="P2255" s="83"/>
      <c r="Q2255" s="83"/>
      <c r="R2255" s="83"/>
      <c r="S2255" s="83"/>
      <c r="T2255" s="83"/>
      <c r="U2255" s="83"/>
      <c r="V2255" s="83"/>
      <c r="W2255" s="83"/>
      <c r="X2255" s="83"/>
      <c r="Y2255" s="83"/>
      <c r="Z2255" s="83"/>
    </row>
    <row r="2256">
      <c r="A2256" s="75" t="s">
        <v>29</v>
      </c>
      <c r="B2256" s="75" t="s">
        <v>1001</v>
      </c>
      <c r="C2256" s="75">
        <v>1.8</v>
      </c>
      <c r="D2256" s="75">
        <v>0.0</v>
      </c>
      <c r="E2256" s="75">
        <v>0.0</v>
      </c>
      <c r="F2256" s="75" t="s">
        <v>975</v>
      </c>
      <c r="G2256" s="82">
        <v>46112.0</v>
      </c>
      <c r="H2256" s="76" t="s">
        <v>972</v>
      </c>
      <c r="I2256" s="83"/>
      <c r="J2256" s="83"/>
      <c r="K2256" s="83"/>
      <c r="L2256" s="83"/>
      <c r="M2256" s="83"/>
      <c r="N2256" s="83"/>
      <c r="O2256" s="83"/>
      <c r="P2256" s="83"/>
      <c r="Q2256" s="83"/>
      <c r="R2256" s="83"/>
      <c r="S2256" s="83"/>
      <c r="T2256" s="83"/>
      <c r="U2256" s="83"/>
      <c r="V2256" s="83"/>
      <c r="W2256" s="83"/>
      <c r="X2256" s="83"/>
      <c r="Y2256" s="83"/>
      <c r="Z2256" s="83"/>
    </row>
    <row r="2257">
      <c r="A2257" s="75" t="s">
        <v>29</v>
      </c>
      <c r="B2257" s="75" t="s">
        <v>1001</v>
      </c>
      <c r="C2257" s="75">
        <v>18.06</v>
      </c>
      <c r="D2257" s="75">
        <v>7.0</v>
      </c>
      <c r="E2257" s="75">
        <v>2.58</v>
      </c>
      <c r="F2257" s="75" t="s">
        <v>975</v>
      </c>
      <c r="G2257" s="82">
        <v>46112.0</v>
      </c>
      <c r="H2257" s="76" t="s">
        <v>973</v>
      </c>
      <c r="I2257" s="83"/>
      <c r="J2257" s="83"/>
      <c r="K2257" s="83"/>
      <c r="L2257" s="83"/>
      <c r="M2257" s="83"/>
      <c r="N2257" s="83"/>
      <c r="O2257" s="83"/>
      <c r="P2257" s="83"/>
      <c r="Q2257" s="83"/>
      <c r="R2257" s="83"/>
      <c r="S2257" s="83"/>
      <c r="T2257" s="83"/>
      <c r="U2257" s="83"/>
      <c r="V2257" s="83"/>
      <c r="W2257" s="83"/>
      <c r="X2257" s="83"/>
      <c r="Y2257" s="83"/>
      <c r="Z2257" s="83"/>
    </row>
    <row r="2258">
      <c r="A2258" s="75" t="s">
        <v>34</v>
      </c>
      <c r="B2258" s="75" t="s">
        <v>1004</v>
      </c>
      <c r="C2258" s="75">
        <v>0.95</v>
      </c>
      <c r="D2258" s="75">
        <v>0.0</v>
      </c>
      <c r="E2258" s="75">
        <v>0.0</v>
      </c>
      <c r="F2258" s="75" t="s">
        <v>990</v>
      </c>
      <c r="G2258" s="82">
        <v>46112.0</v>
      </c>
      <c r="H2258" s="76" t="s">
        <v>951</v>
      </c>
      <c r="I2258" s="83"/>
      <c r="J2258" s="83"/>
      <c r="K2258" s="83"/>
      <c r="L2258" s="83"/>
      <c r="M2258" s="83"/>
      <c r="N2258" s="83"/>
      <c r="O2258" s="83"/>
      <c r="P2258" s="83"/>
      <c r="Q2258" s="83"/>
      <c r="R2258" s="83"/>
      <c r="S2258" s="83"/>
      <c r="T2258" s="83"/>
      <c r="U2258" s="83"/>
      <c r="V2258" s="83"/>
      <c r="W2258" s="83"/>
      <c r="X2258" s="83"/>
      <c r="Y2258" s="83"/>
      <c r="Z2258" s="83"/>
    </row>
    <row r="2259">
      <c r="A2259" s="75" t="s">
        <v>34</v>
      </c>
      <c r="B2259" s="75" t="s">
        <v>1004</v>
      </c>
      <c r="C2259" s="75">
        <v>2.71</v>
      </c>
      <c r="D2259" s="75">
        <v>0.0</v>
      </c>
      <c r="E2259" s="75">
        <v>0.0</v>
      </c>
      <c r="F2259" s="75" t="s">
        <v>990</v>
      </c>
      <c r="G2259" s="82">
        <v>46112.0</v>
      </c>
      <c r="H2259" s="76" t="s">
        <v>952</v>
      </c>
      <c r="I2259" s="83"/>
      <c r="J2259" s="83"/>
      <c r="K2259" s="83"/>
      <c r="L2259" s="83"/>
      <c r="M2259" s="83"/>
      <c r="N2259" s="83"/>
      <c r="O2259" s="83"/>
      <c r="P2259" s="83"/>
      <c r="Q2259" s="83"/>
      <c r="R2259" s="83"/>
      <c r="S2259" s="83"/>
      <c r="T2259" s="83"/>
      <c r="U2259" s="83"/>
      <c r="V2259" s="83"/>
      <c r="W2259" s="83"/>
      <c r="X2259" s="83"/>
      <c r="Y2259" s="83"/>
      <c r="Z2259" s="83"/>
    </row>
    <row r="2260">
      <c r="A2260" s="75" t="s">
        <v>34</v>
      </c>
      <c r="B2260" s="75" t="s">
        <v>1004</v>
      </c>
      <c r="C2260" s="75">
        <v>12.94</v>
      </c>
      <c r="D2260" s="75">
        <v>1.0</v>
      </c>
      <c r="E2260" s="75">
        <v>12.94</v>
      </c>
      <c r="F2260" s="75" t="s">
        <v>990</v>
      </c>
      <c r="G2260" s="82">
        <v>46112.0</v>
      </c>
      <c r="H2260" s="76" t="s">
        <v>953</v>
      </c>
      <c r="I2260" s="83"/>
      <c r="J2260" s="83"/>
      <c r="K2260" s="83"/>
      <c r="L2260" s="83"/>
      <c r="M2260" s="83"/>
      <c r="N2260" s="83"/>
      <c r="O2260" s="83"/>
      <c r="P2260" s="83"/>
      <c r="Q2260" s="83"/>
      <c r="R2260" s="83"/>
      <c r="S2260" s="83"/>
      <c r="T2260" s="83"/>
      <c r="U2260" s="83"/>
      <c r="V2260" s="83"/>
      <c r="W2260" s="83"/>
      <c r="X2260" s="83"/>
      <c r="Y2260" s="83"/>
      <c r="Z2260" s="83"/>
    </row>
    <row r="2261">
      <c r="A2261" s="75" t="s">
        <v>40</v>
      </c>
      <c r="B2261" s="75" t="s">
        <v>1004</v>
      </c>
      <c r="C2261" s="75">
        <v>1.26</v>
      </c>
      <c r="D2261" s="75">
        <v>0.0</v>
      </c>
      <c r="E2261" s="75">
        <v>0.0</v>
      </c>
      <c r="F2261" s="75" t="s">
        <v>990</v>
      </c>
      <c r="G2261" s="82">
        <v>46112.0</v>
      </c>
      <c r="H2261" s="76" t="s">
        <v>954</v>
      </c>
      <c r="I2261" s="83"/>
      <c r="J2261" s="83"/>
      <c r="K2261" s="83"/>
      <c r="L2261" s="83"/>
      <c r="M2261" s="83"/>
      <c r="N2261" s="83"/>
      <c r="O2261" s="83"/>
      <c r="P2261" s="83"/>
      <c r="Q2261" s="83"/>
      <c r="R2261" s="83"/>
      <c r="S2261" s="83"/>
      <c r="T2261" s="83"/>
      <c r="U2261" s="83"/>
      <c r="V2261" s="83"/>
      <c r="W2261" s="83"/>
      <c r="X2261" s="83"/>
      <c r="Y2261" s="83"/>
      <c r="Z2261" s="83"/>
    </row>
    <row r="2262">
      <c r="A2262" s="75" t="s">
        <v>40</v>
      </c>
      <c r="B2262" s="75" t="s">
        <v>1004</v>
      </c>
      <c r="C2262" s="75">
        <v>0.41</v>
      </c>
      <c r="D2262" s="75">
        <v>1.0</v>
      </c>
      <c r="E2262" s="75">
        <v>0.41</v>
      </c>
      <c r="F2262" s="75" t="s">
        <v>990</v>
      </c>
      <c r="G2262" s="82">
        <v>46112.0</v>
      </c>
      <c r="H2262" s="76" t="s">
        <v>955</v>
      </c>
      <c r="I2262" s="83"/>
      <c r="J2262" s="83"/>
      <c r="K2262" s="83"/>
      <c r="L2262" s="83"/>
      <c r="M2262" s="83"/>
      <c r="N2262" s="83"/>
      <c r="O2262" s="83"/>
      <c r="P2262" s="83"/>
      <c r="Q2262" s="83"/>
      <c r="R2262" s="83"/>
      <c r="S2262" s="83"/>
      <c r="T2262" s="83"/>
      <c r="U2262" s="83"/>
      <c r="V2262" s="83"/>
      <c r="W2262" s="83"/>
      <c r="X2262" s="83"/>
      <c r="Y2262" s="83"/>
      <c r="Z2262" s="83"/>
    </row>
    <row r="2263">
      <c r="A2263" s="75" t="s">
        <v>40</v>
      </c>
      <c r="B2263" s="75" t="s">
        <v>1004</v>
      </c>
      <c r="C2263" s="75">
        <v>19.04</v>
      </c>
      <c r="D2263" s="75">
        <v>0.0</v>
      </c>
      <c r="E2263" s="75">
        <v>0.0</v>
      </c>
      <c r="F2263" s="75" t="s">
        <v>990</v>
      </c>
      <c r="G2263" s="82">
        <v>46112.0</v>
      </c>
      <c r="H2263" s="76" t="s">
        <v>956</v>
      </c>
      <c r="I2263" s="83"/>
      <c r="J2263" s="83"/>
      <c r="K2263" s="83"/>
      <c r="L2263" s="83"/>
      <c r="M2263" s="83"/>
      <c r="N2263" s="83"/>
      <c r="O2263" s="83"/>
      <c r="P2263" s="83"/>
      <c r="Q2263" s="83"/>
      <c r="R2263" s="83"/>
      <c r="S2263" s="83"/>
      <c r="T2263" s="83"/>
      <c r="U2263" s="83"/>
      <c r="V2263" s="83"/>
      <c r="W2263" s="83"/>
      <c r="X2263" s="83"/>
      <c r="Y2263" s="83"/>
      <c r="Z2263" s="83"/>
    </row>
    <row r="2264">
      <c r="A2264" s="75" t="s">
        <v>33</v>
      </c>
      <c r="B2264" s="75" t="s">
        <v>1004</v>
      </c>
      <c r="C2264" s="75">
        <v>8.1</v>
      </c>
      <c r="D2264" s="75">
        <v>8.0</v>
      </c>
      <c r="E2264" s="75">
        <v>1.01</v>
      </c>
      <c r="F2264" s="75" t="s">
        <v>990</v>
      </c>
      <c r="G2264" s="82">
        <v>46112.0</v>
      </c>
      <c r="H2264" s="76" t="s">
        <v>957</v>
      </c>
      <c r="I2264" s="83"/>
      <c r="J2264" s="83"/>
      <c r="K2264" s="83"/>
      <c r="L2264" s="83"/>
      <c r="M2264" s="83"/>
      <c r="N2264" s="83"/>
      <c r="O2264" s="83"/>
      <c r="P2264" s="83"/>
      <c r="Q2264" s="83"/>
      <c r="R2264" s="83"/>
      <c r="S2264" s="83"/>
      <c r="T2264" s="83"/>
      <c r="U2264" s="83"/>
      <c r="V2264" s="83"/>
      <c r="W2264" s="83"/>
      <c r="X2264" s="83"/>
      <c r="Y2264" s="83"/>
      <c r="Z2264" s="83"/>
    </row>
    <row r="2265">
      <c r="A2265" s="75" t="s">
        <v>33</v>
      </c>
      <c r="B2265" s="75" t="s">
        <v>1004</v>
      </c>
      <c r="C2265" s="75">
        <v>0.68</v>
      </c>
      <c r="D2265" s="75">
        <v>2.0</v>
      </c>
      <c r="E2265" s="75">
        <v>0.34</v>
      </c>
      <c r="F2265" s="75" t="s">
        <v>990</v>
      </c>
      <c r="G2265" s="82">
        <v>46112.0</v>
      </c>
      <c r="H2265" s="76" t="s">
        <v>958</v>
      </c>
      <c r="I2265" s="83"/>
      <c r="J2265" s="83"/>
      <c r="K2265" s="83"/>
      <c r="L2265" s="83"/>
      <c r="M2265" s="83"/>
      <c r="N2265" s="83"/>
      <c r="O2265" s="83"/>
      <c r="P2265" s="83"/>
      <c r="Q2265" s="83"/>
      <c r="R2265" s="83"/>
      <c r="S2265" s="83"/>
      <c r="T2265" s="83"/>
      <c r="U2265" s="83"/>
      <c r="V2265" s="83"/>
      <c r="W2265" s="83"/>
      <c r="X2265" s="83"/>
      <c r="Y2265" s="83"/>
      <c r="Z2265" s="83"/>
    </row>
    <row r="2266">
      <c r="A2266" s="75" t="s">
        <v>33</v>
      </c>
      <c r="B2266" s="75" t="s">
        <v>1004</v>
      </c>
      <c r="C2266" s="75">
        <v>1.37</v>
      </c>
      <c r="D2266" s="75">
        <v>2.0</v>
      </c>
      <c r="E2266" s="75">
        <v>0.68</v>
      </c>
      <c r="F2266" s="75" t="s">
        <v>990</v>
      </c>
      <c r="G2266" s="82">
        <v>46112.0</v>
      </c>
      <c r="H2266" s="76" t="s">
        <v>959</v>
      </c>
      <c r="I2266" s="83"/>
      <c r="J2266" s="83"/>
      <c r="K2266" s="83"/>
      <c r="L2266" s="83"/>
      <c r="M2266" s="83"/>
      <c r="N2266" s="83"/>
      <c r="O2266" s="83"/>
      <c r="P2266" s="83"/>
      <c r="Q2266" s="83"/>
      <c r="R2266" s="83"/>
      <c r="S2266" s="83"/>
      <c r="T2266" s="83"/>
      <c r="U2266" s="83"/>
      <c r="V2266" s="83"/>
      <c r="W2266" s="83"/>
      <c r="X2266" s="83"/>
      <c r="Y2266" s="83"/>
      <c r="Z2266" s="83"/>
    </row>
    <row r="2267">
      <c r="A2267" s="75" t="s">
        <v>46</v>
      </c>
      <c r="B2267" s="75" t="s">
        <v>1004</v>
      </c>
      <c r="C2267" s="75">
        <v>11.09</v>
      </c>
      <c r="D2267" s="75">
        <v>0.0</v>
      </c>
      <c r="E2267" s="75">
        <v>0.0</v>
      </c>
      <c r="F2267" s="75" t="s">
        <v>990</v>
      </c>
      <c r="G2267" s="82">
        <v>46112.0</v>
      </c>
      <c r="H2267" s="76" t="s">
        <v>960</v>
      </c>
      <c r="I2267" s="83"/>
      <c r="J2267" s="83"/>
      <c r="K2267" s="83"/>
      <c r="L2267" s="83"/>
      <c r="M2267" s="83"/>
      <c r="N2267" s="83"/>
      <c r="O2267" s="83"/>
      <c r="P2267" s="83"/>
      <c r="Q2267" s="83"/>
      <c r="R2267" s="83"/>
      <c r="S2267" s="83"/>
      <c r="T2267" s="83"/>
      <c r="U2267" s="83"/>
      <c r="V2267" s="83"/>
      <c r="W2267" s="83"/>
      <c r="X2267" s="83"/>
      <c r="Y2267" s="83"/>
      <c r="Z2267" s="83"/>
    </row>
    <row r="2268">
      <c r="A2268" s="75" t="s">
        <v>46</v>
      </c>
      <c r="B2268" s="75" t="s">
        <v>1004</v>
      </c>
      <c r="C2268" s="75">
        <v>0.34</v>
      </c>
      <c r="D2268" s="75">
        <v>0.0</v>
      </c>
      <c r="E2268" s="75">
        <v>0.0</v>
      </c>
      <c r="F2268" s="75" t="s">
        <v>990</v>
      </c>
      <c r="G2268" s="82">
        <v>46112.0</v>
      </c>
      <c r="H2268" s="76" t="s">
        <v>961</v>
      </c>
      <c r="I2268" s="83"/>
      <c r="J2268" s="83"/>
      <c r="K2268" s="83"/>
      <c r="L2268" s="83"/>
      <c r="M2268" s="83"/>
      <c r="N2268" s="83"/>
      <c r="O2268" s="83"/>
      <c r="P2268" s="83"/>
      <c r="Q2268" s="83"/>
      <c r="R2268" s="83"/>
      <c r="S2268" s="83"/>
      <c r="T2268" s="83"/>
      <c r="U2268" s="83"/>
      <c r="V2268" s="83"/>
      <c r="W2268" s="83"/>
      <c r="X2268" s="83"/>
      <c r="Y2268" s="83"/>
      <c r="Z2268" s="83"/>
    </row>
    <row r="2269">
      <c r="A2269" s="75" t="s">
        <v>46</v>
      </c>
      <c r="B2269" s="75" t="s">
        <v>1004</v>
      </c>
      <c r="C2269" s="75">
        <v>1.25</v>
      </c>
      <c r="D2269" s="75">
        <v>0.0</v>
      </c>
      <c r="E2269" s="75">
        <v>0.0</v>
      </c>
      <c r="F2269" s="75" t="s">
        <v>990</v>
      </c>
      <c r="G2269" s="82">
        <v>46112.0</v>
      </c>
      <c r="H2269" s="76" t="s">
        <v>962</v>
      </c>
      <c r="I2269" s="83"/>
      <c r="J2269" s="83"/>
      <c r="K2269" s="83"/>
      <c r="L2269" s="83"/>
      <c r="M2269" s="83"/>
      <c r="N2269" s="83"/>
      <c r="O2269" s="83"/>
      <c r="P2269" s="83"/>
      <c r="Q2269" s="83"/>
      <c r="R2269" s="83"/>
      <c r="S2269" s="83"/>
      <c r="T2269" s="83"/>
      <c r="U2269" s="83"/>
      <c r="V2269" s="83"/>
      <c r="W2269" s="83"/>
      <c r="X2269" s="83"/>
      <c r="Y2269" s="83"/>
      <c r="Z2269" s="83"/>
    </row>
    <row r="2270">
      <c r="A2270" s="75" t="s">
        <v>43</v>
      </c>
      <c r="B2270" s="75" t="s">
        <v>1004</v>
      </c>
      <c r="C2270" s="75">
        <v>2.92</v>
      </c>
      <c r="D2270" s="75">
        <v>0.0</v>
      </c>
      <c r="E2270" s="75">
        <v>0.0</v>
      </c>
      <c r="F2270" s="75" t="s">
        <v>990</v>
      </c>
      <c r="G2270" s="82">
        <v>46112.0</v>
      </c>
      <c r="H2270" s="76" t="s">
        <v>963</v>
      </c>
      <c r="I2270" s="83"/>
      <c r="J2270" s="83"/>
      <c r="K2270" s="83"/>
      <c r="L2270" s="83"/>
      <c r="M2270" s="83"/>
      <c r="N2270" s="83"/>
      <c r="O2270" s="83"/>
      <c r="P2270" s="83"/>
      <c r="Q2270" s="83"/>
      <c r="R2270" s="83"/>
      <c r="S2270" s="83"/>
      <c r="T2270" s="83"/>
      <c r="U2270" s="83"/>
      <c r="V2270" s="83"/>
      <c r="W2270" s="83"/>
      <c r="X2270" s="83"/>
      <c r="Y2270" s="83"/>
      <c r="Z2270" s="83"/>
    </row>
    <row r="2271">
      <c r="A2271" s="75" t="s">
        <v>43</v>
      </c>
      <c r="B2271" s="75" t="s">
        <v>1004</v>
      </c>
      <c r="C2271" s="75">
        <v>1.95</v>
      </c>
      <c r="D2271" s="75">
        <v>0.0</v>
      </c>
      <c r="E2271" s="75">
        <v>0.0</v>
      </c>
      <c r="F2271" s="75" t="s">
        <v>990</v>
      </c>
      <c r="G2271" s="82">
        <v>46112.0</v>
      </c>
      <c r="H2271" s="76" t="s">
        <v>964</v>
      </c>
      <c r="I2271" s="83"/>
      <c r="J2271" s="83"/>
      <c r="K2271" s="83"/>
      <c r="L2271" s="83"/>
      <c r="M2271" s="83"/>
      <c r="N2271" s="83"/>
      <c r="O2271" s="83"/>
      <c r="P2271" s="83"/>
      <c r="Q2271" s="83"/>
      <c r="R2271" s="83"/>
      <c r="S2271" s="83"/>
      <c r="T2271" s="83"/>
      <c r="U2271" s="83"/>
      <c r="V2271" s="83"/>
      <c r="W2271" s="83"/>
      <c r="X2271" s="83"/>
      <c r="Y2271" s="83"/>
      <c r="Z2271" s="83"/>
    </row>
    <row r="2272">
      <c r="A2272" s="75" t="s">
        <v>43</v>
      </c>
      <c r="B2272" s="75" t="s">
        <v>1004</v>
      </c>
      <c r="C2272" s="75">
        <v>12.76</v>
      </c>
      <c r="D2272" s="75">
        <v>2.0</v>
      </c>
      <c r="E2272" s="75">
        <v>6.38</v>
      </c>
      <c r="F2272" s="75" t="s">
        <v>990</v>
      </c>
      <c r="G2272" s="82">
        <v>46112.0</v>
      </c>
      <c r="H2272" s="76" t="s">
        <v>965</v>
      </c>
      <c r="I2272" s="83"/>
      <c r="J2272" s="83"/>
      <c r="K2272" s="83"/>
      <c r="L2272" s="83"/>
      <c r="M2272" s="83"/>
      <c r="N2272" s="83"/>
      <c r="O2272" s="83"/>
      <c r="P2272" s="83"/>
      <c r="Q2272" s="83"/>
      <c r="R2272" s="83"/>
      <c r="S2272" s="83"/>
      <c r="T2272" s="83"/>
      <c r="U2272" s="83"/>
      <c r="V2272" s="83"/>
      <c r="W2272" s="83"/>
      <c r="X2272" s="83"/>
      <c r="Y2272" s="83"/>
      <c r="Z2272" s="83"/>
    </row>
    <row r="2273">
      <c r="A2273" s="75" t="s">
        <v>966</v>
      </c>
      <c r="B2273" s="75" t="s">
        <v>1004</v>
      </c>
      <c r="C2273" s="75">
        <v>2.88</v>
      </c>
      <c r="D2273" s="75">
        <v>0.0</v>
      </c>
      <c r="E2273" s="75">
        <v>0.0</v>
      </c>
      <c r="F2273" s="75" t="s">
        <v>990</v>
      </c>
      <c r="G2273" s="82">
        <v>46112.0</v>
      </c>
      <c r="H2273" s="76" t="s">
        <v>967</v>
      </c>
      <c r="I2273" s="83"/>
      <c r="J2273" s="83"/>
      <c r="K2273" s="83"/>
      <c r="L2273" s="83"/>
      <c r="M2273" s="83"/>
      <c r="N2273" s="83"/>
      <c r="O2273" s="83"/>
      <c r="P2273" s="83"/>
      <c r="Q2273" s="83"/>
      <c r="R2273" s="83"/>
      <c r="S2273" s="83"/>
      <c r="T2273" s="83"/>
      <c r="U2273" s="83"/>
      <c r="V2273" s="83"/>
      <c r="W2273" s="83"/>
      <c r="X2273" s="83"/>
      <c r="Y2273" s="83"/>
      <c r="Z2273" s="83"/>
    </row>
    <row r="2274">
      <c r="A2274" s="75" t="s">
        <v>966</v>
      </c>
      <c r="B2274" s="75" t="s">
        <v>1004</v>
      </c>
      <c r="C2274" s="75">
        <v>0.82</v>
      </c>
      <c r="D2274" s="75">
        <v>0.0</v>
      </c>
      <c r="E2274" s="75">
        <v>0.0</v>
      </c>
      <c r="F2274" s="75" t="s">
        <v>990</v>
      </c>
      <c r="G2274" s="82">
        <v>46112.0</v>
      </c>
      <c r="H2274" s="76" t="s">
        <v>968</v>
      </c>
      <c r="I2274" s="83"/>
      <c r="J2274" s="83"/>
      <c r="K2274" s="83"/>
      <c r="L2274" s="83"/>
      <c r="M2274" s="83"/>
      <c r="N2274" s="83"/>
      <c r="O2274" s="83"/>
      <c r="P2274" s="83"/>
      <c r="Q2274" s="83"/>
      <c r="R2274" s="83"/>
      <c r="S2274" s="83"/>
      <c r="T2274" s="83"/>
      <c r="U2274" s="83"/>
      <c r="V2274" s="83"/>
      <c r="W2274" s="83"/>
      <c r="X2274" s="83"/>
      <c r="Y2274" s="83"/>
      <c r="Z2274" s="83"/>
    </row>
    <row r="2275">
      <c r="A2275" s="75" t="s">
        <v>966</v>
      </c>
      <c r="B2275" s="75" t="s">
        <v>1004</v>
      </c>
      <c r="C2275" s="75">
        <v>0.75</v>
      </c>
      <c r="D2275" s="75">
        <v>0.0</v>
      </c>
      <c r="E2275" s="75">
        <v>0.0</v>
      </c>
      <c r="F2275" s="75" t="s">
        <v>990</v>
      </c>
      <c r="G2275" s="82">
        <v>46112.0</v>
      </c>
      <c r="H2275" s="76" t="s">
        <v>969</v>
      </c>
      <c r="I2275" s="83"/>
      <c r="J2275" s="83"/>
      <c r="K2275" s="83"/>
      <c r="L2275" s="83"/>
      <c r="M2275" s="83"/>
      <c r="N2275" s="83"/>
      <c r="O2275" s="83"/>
      <c r="P2275" s="83"/>
      <c r="Q2275" s="83"/>
      <c r="R2275" s="83"/>
      <c r="S2275" s="83"/>
      <c r="T2275" s="83"/>
      <c r="U2275" s="83"/>
      <c r="V2275" s="83"/>
      <c r="W2275" s="83"/>
      <c r="X2275" s="83"/>
      <c r="Y2275" s="83"/>
      <c r="Z2275" s="83"/>
    </row>
    <row r="2276">
      <c r="A2276" s="75" t="s">
        <v>36</v>
      </c>
      <c r="B2276" s="75" t="s">
        <v>1004</v>
      </c>
      <c r="C2276" s="75">
        <v>1.1</v>
      </c>
      <c r="D2276" s="75">
        <v>0.0</v>
      </c>
      <c r="E2276" s="75">
        <v>0.0</v>
      </c>
      <c r="F2276" s="75" t="s">
        <v>990</v>
      </c>
      <c r="G2276" s="82">
        <v>46112.0</v>
      </c>
      <c r="H2276" s="76" t="s">
        <v>926</v>
      </c>
      <c r="I2276" s="83"/>
      <c r="J2276" s="83"/>
      <c r="K2276" s="83"/>
      <c r="L2276" s="83"/>
      <c r="M2276" s="83"/>
      <c r="N2276" s="83"/>
      <c r="O2276" s="83"/>
      <c r="P2276" s="83"/>
      <c r="Q2276" s="83"/>
      <c r="R2276" s="83"/>
      <c r="S2276" s="83"/>
      <c r="T2276" s="83"/>
      <c r="U2276" s="83"/>
      <c r="V2276" s="83"/>
      <c r="W2276" s="83"/>
      <c r="X2276" s="83"/>
      <c r="Y2276" s="83"/>
      <c r="Z2276" s="83"/>
    </row>
    <row r="2277">
      <c r="A2277" s="75" t="s">
        <v>36</v>
      </c>
      <c r="B2277" s="75" t="s">
        <v>1004</v>
      </c>
      <c r="C2277" s="75">
        <v>0.62</v>
      </c>
      <c r="D2277" s="75">
        <v>0.0</v>
      </c>
      <c r="E2277" s="75">
        <v>0.0</v>
      </c>
      <c r="F2277" s="75" t="s">
        <v>990</v>
      </c>
      <c r="G2277" s="82">
        <v>46112.0</v>
      </c>
      <c r="H2277" s="76" t="s">
        <v>927</v>
      </c>
      <c r="I2277" s="83"/>
      <c r="J2277" s="83"/>
      <c r="K2277" s="83"/>
      <c r="L2277" s="83"/>
      <c r="M2277" s="83"/>
      <c r="N2277" s="83"/>
      <c r="O2277" s="83"/>
      <c r="P2277" s="83"/>
      <c r="Q2277" s="83"/>
      <c r="R2277" s="83"/>
      <c r="S2277" s="83"/>
      <c r="T2277" s="83"/>
      <c r="U2277" s="83"/>
      <c r="V2277" s="83"/>
      <c r="W2277" s="83"/>
      <c r="X2277" s="83"/>
      <c r="Y2277" s="83"/>
      <c r="Z2277" s="83"/>
    </row>
    <row r="2278">
      <c r="A2278" s="75" t="s">
        <v>36</v>
      </c>
      <c r="B2278" s="75" t="s">
        <v>1004</v>
      </c>
      <c r="C2278" s="75">
        <v>0.71</v>
      </c>
      <c r="D2278" s="75">
        <v>0.0</v>
      </c>
      <c r="E2278" s="75">
        <v>0.0</v>
      </c>
      <c r="F2278" s="75" t="s">
        <v>990</v>
      </c>
      <c r="G2278" s="82">
        <v>46112.0</v>
      </c>
      <c r="H2278" s="76" t="s">
        <v>928</v>
      </c>
      <c r="I2278" s="83"/>
      <c r="J2278" s="83"/>
      <c r="K2278" s="83"/>
      <c r="L2278" s="83"/>
      <c r="M2278" s="83"/>
      <c r="N2278" s="83"/>
      <c r="O2278" s="83"/>
      <c r="P2278" s="83"/>
      <c r="Q2278" s="83"/>
      <c r="R2278" s="83"/>
      <c r="S2278" s="83"/>
      <c r="T2278" s="83"/>
      <c r="U2278" s="83"/>
      <c r="V2278" s="83"/>
      <c r="W2278" s="83"/>
      <c r="X2278" s="83"/>
      <c r="Y2278" s="83"/>
      <c r="Z2278" s="83"/>
    </row>
    <row r="2279">
      <c r="A2279" s="75" t="s">
        <v>970</v>
      </c>
      <c r="B2279" s="75" t="s">
        <v>1004</v>
      </c>
      <c r="C2279" s="75">
        <v>1.31</v>
      </c>
      <c r="D2279" s="75">
        <v>0.0</v>
      </c>
      <c r="E2279" s="75">
        <v>0.0</v>
      </c>
      <c r="F2279" s="75" t="s">
        <v>990</v>
      </c>
      <c r="G2279" s="82">
        <v>46112.0</v>
      </c>
      <c r="H2279" s="76" t="s">
        <v>971</v>
      </c>
      <c r="I2279" s="83"/>
      <c r="J2279" s="83"/>
      <c r="K2279" s="83"/>
      <c r="L2279" s="83"/>
      <c r="M2279" s="83"/>
      <c r="N2279" s="83"/>
      <c r="O2279" s="83"/>
      <c r="P2279" s="83"/>
      <c r="Q2279" s="83"/>
      <c r="R2279" s="83"/>
      <c r="S2279" s="83"/>
      <c r="T2279" s="83"/>
      <c r="U2279" s="83"/>
      <c r="V2279" s="83"/>
      <c r="W2279" s="83"/>
      <c r="X2279" s="83"/>
      <c r="Y2279" s="83"/>
      <c r="Z2279" s="83"/>
    </row>
    <row r="2280">
      <c r="A2280" s="75" t="s">
        <v>970</v>
      </c>
      <c r="B2280" s="75" t="s">
        <v>1004</v>
      </c>
      <c r="C2280" s="75">
        <v>0.24</v>
      </c>
      <c r="D2280" s="75">
        <v>0.0</v>
      </c>
      <c r="E2280" s="75">
        <v>0.0</v>
      </c>
      <c r="F2280" s="75" t="s">
        <v>990</v>
      </c>
      <c r="G2280" s="82">
        <v>46112.0</v>
      </c>
      <c r="H2280" s="76" t="s">
        <v>972</v>
      </c>
      <c r="I2280" s="83"/>
      <c r="J2280" s="83"/>
      <c r="K2280" s="83"/>
      <c r="L2280" s="83"/>
      <c r="M2280" s="83"/>
      <c r="N2280" s="83"/>
      <c r="O2280" s="83"/>
      <c r="P2280" s="83"/>
      <c r="Q2280" s="83"/>
      <c r="R2280" s="83"/>
      <c r="S2280" s="83"/>
      <c r="T2280" s="83"/>
      <c r="U2280" s="83"/>
      <c r="V2280" s="83"/>
      <c r="W2280" s="83"/>
      <c r="X2280" s="83"/>
      <c r="Y2280" s="83"/>
      <c r="Z2280" s="83"/>
    </row>
    <row r="2281">
      <c r="A2281" s="75" t="s">
        <v>970</v>
      </c>
      <c r="B2281" s="75" t="s">
        <v>1004</v>
      </c>
      <c r="C2281" s="75">
        <v>1.82</v>
      </c>
      <c r="D2281" s="75">
        <v>0.0</v>
      </c>
      <c r="E2281" s="75">
        <v>0.0</v>
      </c>
      <c r="F2281" s="75" t="s">
        <v>990</v>
      </c>
      <c r="G2281" s="82">
        <v>46112.0</v>
      </c>
      <c r="H2281" s="76" t="s">
        <v>973</v>
      </c>
      <c r="I2281" s="83"/>
      <c r="J2281" s="83"/>
      <c r="K2281" s="83"/>
      <c r="L2281" s="83"/>
      <c r="M2281" s="83"/>
      <c r="N2281" s="83"/>
      <c r="O2281" s="83"/>
      <c r="P2281" s="83"/>
      <c r="Q2281" s="83"/>
      <c r="R2281" s="83"/>
      <c r="S2281" s="83"/>
      <c r="T2281" s="83"/>
      <c r="U2281" s="83"/>
      <c r="V2281" s="83"/>
      <c r="W2281" s="83"/>
      <c r="X2281" s="83"/>
      <c r="Y2281" s="83"/>
      <c r="Z2281" s="83"/>
    </row>
    <row r="2282">
      <c r="A2282" s="75" t="s">
        <v>29</v>
      </c>
      <c r="B2282" s="75" t="s">
        <v>1004</v>
      </c>
      <c r="C2282" s="75">
        <v>2.6</v>
      </c>
      <c r="D2282" s="75">
        <v>4.0</v>
      </c>
      <c r="E2282" s="75">
        <v>0.65</v>
      </c>
      <c r="F2282" s="75" t="s">
        <v>990</v>
      </c>
      <c r="G2282" s="82">
        <v>46112.0</v>
      </c>
      <c r="H2282" s="76" t="s">
        <v>971</v>
      </c>
      <c r="I2282" s="83"/>
      <c r="J2282" s="83"/>
      <c r="K2282" s="83"/>
      <c r="L2282" s="83"/>
      <c r="M2282" s="83"/>
      <c r="N2282" s="83"/>
      <c r="O2282" s="83"/>
      <c r="P2282" s="83"/>
      <c r="Q2282" s="83"/>
      <c r="R2282" s="83"/>
      <c r="S2282" s="83"/>
      <c r="T2282" s="83"/>
      <c r="U2282" s="83"/>
      <c r="V2282" s="83"/>
      <c r="W2282" s="83"/>
      <c r="X2282" s="83"/>
      <c r="Y2282" s="83"/>
      <c r="Z2282" s="83"/>
    </row>
    <row r="2283">
      <c r="A2283" s="75" t="s">
        <v>29</v>
      </c>
      <c r="B2283" s="75" t="s">
        <v>1004</v>
      </c>
      <c r="C2283" s="75">
        <v>0.97</v>
      </c>
      <c r="D2283" s="75">
        <v>1.0</v>
      </c>
      <c r="E2283" s="75">
        <v>0.97</v>
      </c>
      <c r="F2283" s="75" t="s">
        <v>990</v>
      </c>
      <c r="G2283" s="82">
        <v>46112.0</v>
      </c>
      <c r="H2283" s="76" t="s">
        <v>972</v>
      </c>
      <c r="I2283" s="83"/>
      <c r="J2283" s="83"/>
      <c r="K2283" s="83"/>
      <c r="L2283" s="83"/>
      <c r="M2283" s="83"/>
      <c r="N2283" s="83"/>
      <c r="O2283" s="83"/>
      <c r="P2283" s="83"/>
      <c r="Q2283" s="83"/>
      <c r="R2283" s="83"/>
      <c r="S2283" s="83"/>
      <c r="T2283" s="83"/>
      <c r="U2283" s="83"/>
      <c r="V2283" s="83"/>
      <c r="W2283" s="83"/>
      <c r="X2283" s="83"/>
      <c r="Y2283" s="83"/>
      <c r="Z2283" s="83"/>
    </row>
    <row r="2284">
      <c r="A2284" s="75" t="s">
        <v>29</v>
      </c>
      <c r="B2284" s="75" t="s">
        <v>1004</v>
      </c>
      <c r="C2284" s="75">
        <v>6.79</v>
      </c>
      <c r="D2284" s="75">
        <v>7.0</v>
      </c>
      <c r="E2284" s="75">
        <v>0.97</v>
      </c>
      <c r="F2284" s="75" t="s">
        <v>990</v>
      </c>
      <c r="G2284" s="82">
        <v>46112.0</v>
      </c>
      <c r="H2284" s="76" t="s">
        <v>973</v>
      </c>
      <c r="I2284" s="83"/>
      <c r="J2284" s="83"/>
      <c r="K2284" s="83"/>
      <c r="L2284" s="83"/>
      <c r="M2284" s="83"/>
      <c r="N2284" s="83"/>
      <c r="O2284" s="83"/>
      <c r="P2284" s="83"/>
      <c r="Q2284" s="83"/>
      <c r="R2284" s="83"/>
      <c r="S2284" s="83"/>
      <c r="T2284" s="83"/>
      <c r="U2284" s="83"/>
      <c r="V2284" s="83"/>
      <c r="W2284" s="83"/>
      <c r="X2284" s="83"/>
      <c r="Y2284" s="83"/>
      <c r="Z2284" s="83"/>
    </row>
    <row r="2285">
      <c r="A2285" s="75" t="s">
        <v>34</v>
      </c>
      <c r="B2285" s="75" t="s">
        <v>1004</v>
      </c>
      <c r="C2285" s="75">
        <v>3.77</v>
      </c>
      <c r="D2285" s="75">
        <v>0.0</v>
      </c>
      <c r="E2285" s="75">
        <v>0.0</v>
      </c>
      <c r="F2285" s="75" t="s">
        <v>993</v>
      </c>
      <c r="G2285" s="82">
        <v>46112.0</v>
      </c>
      <c r="H2285" s="76" t="s">
        <v>951</v>
      </c>
      <c r="I2285" s="83"/>
      <c r="J2285" s="83"/>
      <c r="K2285" s="83"/>
      <c r="L2285" s="83"/>
      <c r="M2285" s="83"/>
      <c r="N2285" s="83"/>
      <c r="O2285" s="83"/>
      <c r="P2285" s="83"/>
      <c r="Q2285" s="83"/>
      <c r="R2285" s="83"/>
      <c r="S2285" s="83"/>
      <c r="T2285" s="83"/>
      <c r="U2285" s="83"/>
      <c r="V2285" s="83"/>
      <c r="W2285" s="83"/>
      <c r="X2285" s="83"/>
      <c r="Y2285" s="83"/>
      <c r="Z2285" s="83"/>
    </row>
    <row r="2286">
      <c r="A2286" s="75" t="s">
        <v>34</v>
      </c>
      <c r="B2286" s="75" t="s">
        <v>1004</v>
      </c>
      <c r="C2286" s="75">
        <v>4.24</v>
      </c>
      <c r="D2286" s="75">
        <v>0.0</v>
      </c>
      <c r="E2286" s="75">
        <v>0.0</v>
      </c>
      <c r="F2286" s="75" t="s">
        <v>993</v>
      </c>
      <c r="G2286" s="82">
        <v>46112.0</v>
      </c>
      <c r="H2286" s="76" t="s">
        <v>952</v>
      </c>
      <c r="I2286" s="83"/>
      <c r="J2286" s="83"/>
      <c r="K2286" s="83"/>
      <c r="L2286" s="83"/>
      <c r="M2286" s="83"/>
      <c r="N2286" s="83"/>
      <c r="O2286" s="83"/>
      <c r="P2286" s="83"/>
      <c r="Q2286" s="83"/>
      <c r="R2286" s="83"/>
      <c r="S2286" s="83"/>
      <c r="T2286" s="83"/>
      <c r="U2286" s="83"/>
      <c r="V2286" s="83"/>
      <c r="W2286" s="83"/>
      <c r="X2286" s="83"/>
      <c r="Y2286" s="83"/>
      <c r="Z2286" s="83"/>
    </row>
    <row r="2287">
      <c r="A2287" s="75" t="s">
        <v>34</v>
      </c>
      <c r="B2287" s="75" t="s">
        <v>1004</v>
      </c>
      <c r="C2287" s="75">
        <v>48.1</v>
      </c>
      <c r="D2287" s="75">
        <v>1.0</v>
      </c>
      <c r="E2287" s="75">
        <v>48.1</v>
      </c>
      <c r="F2287" s="75" t="s">
        <v>993</v>
      </c>
      <c r="G2287" s="82">
        <v>46112.0</v>
      </c>
      <c r="H2287" s="76" t="s">
        <v>953</v>
      </c>
      <c r="I2287" s="83"/>
      <c r="J2287" s="83"/>
      <c r="K2287" s="83"/>
      <c r="L2287" s="83"/>
      <c r="M2287" s="83"/>
      <c r="N2287" s="83"/>
      <c r="O2287" s="83"/>
      <c r="P2287" s="83"/>
      <c r="Q2287" s="83"/>
      <c r="R2287" s="83"/>
      <c r="S2287" s="83"/>
      <c r="T2287" s="83"/>
      <c r="U2287" s="83"/>
      <c r="V2287" s="83"/>
      <c r="W2287" s="83"/>
      <c r="X2287" s="83"/>
      <c r="Y2287" s="83"/>
      <c r="Z2287" s="83"/>
    </row>
    <row r="2288">
      <c r="A2288" s="75" t="s">
        <v>40</v>
      </c>
      <c r="B2288" s="75" t="s">
        <v>1004</v>
      </c>
      <c r="C2288" s="75">
        <v>7.41</v>
      </c>
      <c r="D2288" s="75">
        <v>0.0</v>
      </c>
      <c r="E2288" s="75">
        <v>0.0</v>
      </c>
      <c r="F2288" s="75" t="s">
        <v>993</v>
      </c>
      <c r="G2288" s="82">
        <v>46112.0</v>
      </c>
      <c r="H2288" s="76" t="s">
        <v>954</v>
      </c>
      <c r="I2288" s="83"/>
      <c r="J2288" s="83"/>
      <c r="K2288" s="83"/>
      <c r="L2288" s="83"/>
      <c r="M2288" s="83"/>
      <c r="N2288" s="83"/>
      <c r="O2288" s="83"/>
      <c r="P2288" s="83"/>
      <c r="Q2288" s="83"/>
      <c r="R2288" s="83"/>
      <c r="S2288" s="83"/>
      <c r="T2288" s="83"/>
      <c r="U2288" s="83"/>
      <c r="V2288" s="83"/>
      <c r="W2288" s="83"/>
      <c r="X2288" s="83"/>
      <c r="Y2288" s="83"/>
      <c r="Z2288" s="83"/>
    </row>
    <row r="2289">
      <c r="A2289" s="75" t="s">
        <v>40</v>
      </c>
      <c r="B2289" s="75" t="s">
        <v>1004</v>
      </c>
      <c r="C2289" s="75">
        <v>3.18</v>
      </c>
      <c r="D2289" s="75">
        <v>0.0</v>
      </c>
      <c r="E2289" s="75">
        <v>0.0</v>
      </c>
      <c r="F2289" s="75" t="s">
        <v>993</v>
      </c>
      <c r="G2289" s="82">
        <v>46112.0</v>
      </c>
      <c r="H2289" s="76" t="s">
        <v>955</v>
      </c>
      <c r="I2289" s="83"/>
      <c r="J2289" s="83"/>
      <c r="K2289" s="83"/>
      <c r="L2289" s="83"/>
      <c r="M2289" s="83"/>
      <c r="N2289" s="83"/>
      <c r="O2289" s="83"/>
      <c r="P2289" s="83"/>
      <c r="Q2289" s="83"/>
      <c r="R2289" s="83"/>
      <c r="S2289" s="83"/>
      <c r="T2289" s="83"/>
      <c r="U2289" s="83"/>
      <c r="V2289" s="83"/>
      <c r="W2289" s="83"/>
      <c r="X2289" s="83"/>
      <c r="Y2289" s="83"/>
      <c r="Z2289" s="83"/>
    </row>
    <row r="2290">
      <c r="A2290" s="75" t="s">
        <v>40</v>
      </c>
      <c r="B2290" s="75" t="s">
        <v>1004</v>
      </c>
      <c r="C2290" s="75">
        <v>42.26</v>
      </c>
      <c r="D2290" s="75">
        <v>0.0</v>
      </c>
      <c r="E2290" s="75">
        <v>0.0</v>
      </c>
      <c r="F2290" s="75" t="s">
        <v>993</v>
      </c>
      <c r="G2290" s="82">
        <v>46112.0</v>
      </c>
      <c r="H2290" s="76" t="s">
        <v>956</v>
      </c>
      <c r="I2290" s="83"/>
      <c r="J2290" s="83"/>
      <c r="K2290" s="83"/>
      <c r="L2290" s="83"/>
      <c r="M2290" s="83"/>
      <c r="N2290" s="83"/>
      <c r="O2290" s="83"/>
      <c r="P2290" s="83"/>
      <c r="Q2290" s="83"/>
      <c r="R2290" s="83"/>
      <c r="S2290" s="83"/>
      <c r="T2290" s="83"/>
      <c r="U2290" s="83"/>
      <c r="V2290" s="83"/>
      <c r="W2290" s="83"/>
      <c r="X2290" s="83"/>
      <c r="Y2290" s="83"/>
      <c r="Z2290" s="83"/>
    </row>
    <row r="2291">
      <c r="A2291" s="75" t="s">
        <v>33</v>
      </c>
      <c r="B2291" s="75" t="s">
        <v>1004</v>
      </c>
      <c r="C2291" s="75">
        <v>65.65</v>
      </c>
      <c r="D2291" s="75">
        <v>122.0</v>
      </c>
      <c r="E2291" s="75">
        <v>0.54</v>
      </c>
      <c r="F2291" s="75" t="s">
        <v>993</v>
      </c>
      <c r="G2291" s="82">
        <v>46112.0</v>
      </c>
      <c r="H2291" s="76" t="s">
        <v>957</v>
      </c>
      <c r="I2291" s="83"/>
      <c r="J2291" s="83"/>
      <c r="K2291" s="83"/>
      <c r="L2291" s="83"/>
      <c r="M2291" s="83"/>
      <c r="N2291" s="83"/>
      <c r="O2291" s="83"/>
      <c r="P2291" s="83"/>
      <c r="Q2291" s="83"/>
      <c r="R2291" s="83"/>
      <c r="S2291" s="83"/>
      <c r="T2291" s="83"/>
      <c r="U2291" s="83"/>
      <c r="V2291" s="83"/>
      <c r="W2291" s="83"/>
      <c r="X2291" s="83"/>
      <c r="Y2291" s="83"/>
      <c r="Z2291" s="83"/>
    </row>
    <row r="2292">
      <c r="A2292" s="75" t="s">
        <v>33</v>
      </c>
      <c r="B2292" s="75" t="s">
        <v>1004</v>
      </c>
      <c r="C2292" s="75">
        <v>3.43</v>
      </c>
      <c r="D2292" s="75">
        <v>14.0</v>
      </c>
      <c r="E2292" s="75">
        <v>0.24</v>
      </c>
      <c r="F2292" s="75" t="s">
        <v>993</v>
      </c>
      <c r="G2292" s="82">
        <v>46112.0</v>
      </c>
      <c r="H2292" s="76" t="s">
        <v>958</v>
      </c>
      <c r="I2292" s="83"/>
      <c r="J2292" s="83"/>
      <c r="K2292" s="83"/>
      <c r="L2292" s="83"/>
      <c r="M2292" s="83"/>
      <c r="N2292" s="83"/>
      <c r="O2292" s="83"/>
      <c r="P2292" s="83"/>
      <c r="Q2292" s="83"/>
      <c r="R2292" s="83"/>
      <c r="S2292" s="83"/>
      <c r="T2292" s="83"/>
      <c r="U2292" s="83"/>
      <c r="V2292" s="83"/>
      <c r="W2292" s="83"/>
      <c r="X2292" s="83"/>
      <c r="Y2292" s="83"/>
      <c r="Z2292" s="83"/>
    </row>
    <row r="2293">
      <c r="A2293" s="75" t="s">
        <v>33</v>
      </c>
      <c r="B2293" s="75" t="s">
        <v>1004</v>
      </c>
      <c r="C2293" s="75">
        <v>6.83</v>
      </c>
      <c r="D2293" s="75">
        <v>16.0</v>
      </c>
      <c r="E2293" s="75">
        <v>0.43</v>
      </c>
      <c r="F2293" s="75" t="s">
        <v>993</v>
      </c>
      <c r="G2293" s="82">
        <v>46112.0</v>
      </c>
      <c r="H2293" s="76" t="s">
        <v>959</v>
      </c>
      <c r="I2293" s="83"/>
      <c r="J2293" s="83"/>
      <c r="K2293" s="83"/>
      <c r="L2293" s="83"/>
      <c r="M2293" s="83"/>
      <c r="N2293" s="83"/>
      <c r="O2293" s="83"/>
      <c r="P2293" s="83"/>
      <c r="Q2293" s="83"/>
      <c r="R2293" s="83"/>
      <c r="S2293" s="83"/>
      <c r="T2293" s="83"/>
      <c r="U2293" s="83"/>
      <c r="V2293" s="83"/>
      <c r="W2293" s="83"/>
      <c r="X2293" s="83"/>
      <c r="Y2293" s="83"/>
      <c r="Z2293" s="83"/>
    </row>
    <row r="2294">
      <c r="A2294" s="75" t="s">
        <v>46</v>
      </c>
      <c r="B2294" s="75" t="s">
        <v>1004</v>
      </c>
      <c r="C2294" s="75">
        <v>49.2</v>
      </c>
      <c r="D2294" s="75">
        <v>2.0</v>
      </c>
      <c r="E2294" s="75">
        <v>24.6</v>
      </c>
      <c r="F2294" s="75" t="s">
        <v>993</v>
      </c>
      <c r="G2294" s="82">
        <v>46112.0</v>
      </c>
      <c r="H2294" s="76" t="s">
        <v>960</v>
      </c>
      <c r="I2294" s="83"/>
      <c r="J2294" s="83"/>
      <c r="K2294" s="83"/>
      <c r="L2294" s="83"/>
      <c r="M2294" s="83"/>
      <c r="N2294" s="83"/>
      <c r="O2294" s="83"/>
      <c r="P2294" s="83"/>
      <c r="Q2294" s="83"/>
      <c r="R2294" s="83"/>
      <c r="S2294" s="83"/>
      <c r="T2294" s="83"/>
      <c r="U2294" s="83"/>
      <c r="V2294" s="83"/>
      <c r="W2294" s="83"/>
      <c r="X2294" s="83"/>
      <c r="Y2294" s="83"/>
      <c r="Z2294" s="83"/>
    </row>
    <row r="2295">
      <c r="A2295" s="75" t="s">
        <v>46</v>
      </c>
      <c r="B2295" s="75" t="s">
        <v>1004</v>
      </c>
      <c r="C2295" s="75">
        <v>1.86</v>
      </c>
      <c r="D2295" s="75">
        <v>0.0</v>
      </c>
      <c r="E2295" s="75">
        <v>0.0</v>
      </c>
      <c r="F2295" s="75" t="s">
        <v>993</v>
      </c>
      <c r="G2295" s="82">
        <v>46112.0</v>
      </c>
      <c r="H2295" s="76" t="s">
        <v>961</v>
      </c>
      <c r="I2295" s="83"/>
      <c r="J2295" s="83"/>
      <c r="K2295" s="83"/>
      <c r="L2295" s="83"/>
      <c r="M2295" s="83"/>
      <c r="N2295" s="83"/>
      <c r="O2295" s="83"/>
      <c r="P2295" s="83"/>
      <c r="Q2295" s="83"/>
      <c r="R2295" s="83"/>
      <c r="S2295" s="83"/>
      <c r="T2295" s="83"/>
      <c r="U2295" s="83"/>
      <c r="V2295" s="83"/>
      <c r="W2295" s="83"/>
      <c r="X2295" s="83"/>
      <c r="Y2295" s="83"/>
      <c r="Z2295" s="83"/>
    </row>
    <row r="2296">
      <c r="A2296" s="75" t="s">
        <v>46</v>
      </c>
      <c r="B2296" s="75" t="s">
        <v>1004</v>
      </c>
      <c r="C2296" s="75">
        <v>8.26</v>
      </c>
      <c r="D2296" s="75">
        <v>0.0</v>
      </c>
      <c r="E2296" s="75">
        <v>0.0</v>
      </c>
      <c r="F2296" s="75" t="s">
        <v>993</v>
      </c>
      <c r="G2296" s="82">
        <v>46112.0</v>
      </c>
      <c r="H2296" s="76" t="s">
        <v>962</v>
      </c>
      <c r="I2296" s="83"/>
      <c r="J2296" s="83"/>
      <c r="K2296" s="83"/>
      <c r="L2296" s="83"/>
      <c r="M2296" s="83"/>
      <c r="N2296" s="83"/>
      <c r="O2296" s="83"/>
      <c r="P2296" s="83"/>
      <c r="Q2296" s="83"/>
      <c r="R2296" s="83"/>
      <c r="S2296" s="83"/>
      <c r="T2296" s="83"/>
      <c r="U2296" s="83"/>
      <c r="V2296" s="83"/>
      <c r="W2296" s="83"/>
      <c r="X2296" s="83"/>
      <c r="Y2296" s="83"/>
      <c r="Z2296" s="83"/>
    </row>
    <row r="2297">
      <c r="A2297" s="75" t="s">
        <v>43</v>
      </c>
      <c r="B2297" s="75" t="s">
        <v>1004</v>
      </c>
      <c r="C2297" s="75">
        <v>1.08</v>
      </c>
      <c r="D2297" s="75">
        <v>0.0</v>
      </c>
      <c r="E2297" s="75">
        <v>0.0</v>
      </c>
      <c r="F2297" s="75" t="s">
        <v>993</v>
      </c>
      <c r="G2297" s="82">
        <v>46112.0</v>
      </c>
      <c r="H2297" s="76" t="s">
        <v>963</v>
      </c>
      <c r="I2297" s="83"/>
      <c r="J2297" s="83"/>
      <c r="K2297" s="83"/>
      <c r="L2297" s="83"/>
      <c r="M2297" s="83"/>
      <c r="N2297" s="83"/>
      <c r="O2297" s="83"/>
      <c r="P2297" s="83"/>
      <c r="Q2297" s="83"/>
      <c r="R2297" s="83"/>
      <c r="S2297" s="83"/>
      <c r="T2297" s="83"/>
      <c r="U2297" s="83"/>
      <c r="V2297" s="83"/>
      <c r="W2297" s="83"/>
      <c r="X2297" s="83"/>
      <c r="Y2297" s="83"/>
      <c r="Z2297" s="83"/>
    </row>
    <row r="2298">
      <c r="A2298" s="75" t="s">
        <v>43</v>
      </c>
      <c r="B2298" s="75" t="s">
        <v>1004</v>
      </c>
      <c r="C2298" s="75">
        <v>0.74</v>
      </c>
      <c r="D2298" s="75">
        <v>0.0</v>
      </c>
      <c r="E2298" s="75">
        <v>0.0</v>
      </c>
      <c r="F2298" s="75" t="s">
        <v>993</v>
      </c>
      <c r="G2298" s="82">
        <v>46112.0</v>
      </c>
      <c r="H2298" s="76" t="s">
        <v>964</v>
      </c>
      <c r="I2298" s="83"/>
      <c r="J2298" s="83"/>
      <c r="K2298" s="83"/>
      <c r="L2298" s="83"/>
      <c r="M2298" s="83"/>
      <c r="N2298" s="83"/>
      <c r="O2298" s="83"/>
      <c r="P2298" s="83"/>
      <c r="Q2298" s="83"/>
      <c r="R2298" s="83"/>
      <c r="S2298" s="83"/>
      <c r="T2298" s="83"/>
      <c r="U2298" s="83"/>
      <c r="V2298" s="83"/>
      <c r="W2298" s="83"/>
      <c r="X2298" s="83"/>
      <c r="Y2298" s="83"/>
      <c r="Z2298" s="83"/>
    </row>
    <row r="2299">
      <c r="A2299" s="75" t="s">
        <v>43</v>
      </c>
      <c r="B2299" s="75" t="s">
        <v>1004</v>
      </c>
      <c r="C2299" s="75">
        <v>7.03</v>
      </c>
      <c r="D2299" s="75">
        <v>1.0</v>
      </c>
      <c r="E2299" s="75">
        <v>7.03</v>
      </c>
      <c r="F2299" s="75" t="s">
        <v>993</v>
      </c>
      <c r="G2299" s="82">
        <v>46112.0</v>
      </c>
      <c r="H2299" s="76" t="s">
        <v>965</v>
      </c>
      <c r="I2299" s="83"/>
      <c r="J2299" s="83"/>
      <c r="K2299" s="83"/>
      <c r="L2299" s="83"/>
      <c r="M2299" s="83"/>
      <c r="N2299" s="83"/>
      <c r="O2299" s="83"/>
      <c r="P2299" s="83"/>
      <c r="Q2299" s="83"/>
      <c r="R2299" s="83"/>
      <c r="S2299" s="83"/>
      <c r="T2299" s="83"/>
      <c r="U2299" s="83"/>
      <c r="V2299" s="83"/>
      <c r="W2299" s="83"/>
      <c r="X2299" s="83"/>
      <c r="Y2299" s="83"/>
      <c r="Z2299" s="83"/>
    </row>
    <row r="2300">
      <c r="A2300" s="75" t="s">
        <v>966</v>
      </c>
      <c r="B2300" s="75" t="s">
        <v>1004</v>
      </c>
      <c r="C2300" s="75">
        <v>5.25</v>
      </c>
      <c r="D2300" s="75">
        <v>0.0</v>
      </c>
      <c r="E2300" s="75">
        <v>0.0</v>
      </c>
      <c r="F2300" s="75" t="s">
        <v>993</v>
      </c>
      <c r="G2300" s="82">
        <v>46112.0</v>
      </c>
      <c r="H2300" s="76" t="s">
        <v>967</v>
      </c>
      <c r="I2300" s="83"/>
      <c r="J2300" s="83"/>
      <c r="K2300" s="83"/>
      <c r="L2300" s="83"/>
      <c r="M2300" s="83"/>
      <c r="N2300" s="83"/>
      <c r="O2300" s="83"/>
      <c r="P2300" s="83"/>
      <c r="Q2300" s="83"/>
      <c r="R2300" s="83"/>
      <c r="S2300" s="83"/>
      <c r="T2300" s="83"/>
      <c r="U2300" s="83"/>
      <c r="V2300" s="83"/>
      <c r="W2300" s="83"/>
      <c r="X2300" s="83"/>
      <c r="Y2300" s="83"/>
      <c r="Z2300" s="83"/>
    </row>
    <row r="2301">
      <c r="A2301" s="75" t="s">
        <v>966</v>
      </c>
      <c r="B2301" s="75" t="s">
        <v>1004</v>
      </c>
      <c r="C2301" s="75">
        <v>3.39</v>
      </c>
      <c r="D2301" s="75">
        <v>0.0</v>
      </c>
      <c r="E2301" s="75">
        <v>0.0</v>
      </c>
      <c r="F2301" s="75" t="s">
        <v>993</v>
      </c>
      <c r="G2301" s="82">
        <v>46112.0</v>
      </c>
      <c r="H2301" s="76" t="s">
        <v>968</v>
      </c>
      <c r="I2301" s="83"/>
      <c r="J2301" s="83"/>
      <c r="K2301" s="83"/>
      <c r="L2301" s="83"/>
      <c r="M2301" s="83"/>
      <c r="N2301" s="83"/>
      <c r="O2301" s="83"/>
      <c r="P2301" s="83"/>
      <c r="Q2301" s="83"/>
      <c r="R2301" s="83"/>
      <c r="S2301" s="83"/>
      <c r="T2301" s="83"/>
      <c r="U2301" s="83"/>
      <c r="V2301" s="83"/>
      <c r="W2301" s="83"/>
      <c r="X2301" s="83"/>
      <c r="Y2301" s="83"/>
      <c r="Z2301" s="83"/>
    </row>
    <row r="2302">
      <c r="A2302" s="75" t="s">
        <v>966</v>
      </c>
      <c r="B2302" s="75" t="s">
        <v>1004</v>
      </c>
      <c r="C2302" s="75">
        <v>2.08</v>
      </c>
      <c r="D2302" s="75">
        <v>0.0</v>
      </c>
      <c r="E2302" s="75">
        <v>0.0</v>
      </c>
      <c r="F2302" s="75" t="s">
        <v>993</v>
      </c>
      <c r="G2302" s="82">
        <v>46112.0</v>
      </c>
      <c r="H2302" s="76" t="s">
        <v>969</v>
      </c>
      <c r="I2302" s="83"/>
      <c r="J2302" s="83"/>
      <c r="K2302" s="83"/>
      <c r="L2302" s="83"/>
      <c r="M2302" s="83"/>
      <c r="N2302" s="83"/>
      <c r="O2302" s="83"/>
      <c r="P2302" s="83"/>
      <c r="Q2302" s="83"/>
      <c r="R2302" s="83"/>
      <c r="S2302" s="83"/>
      <c r="T2302" s="83"/>
      <c r="U2302" s="83"/>
      <c r="V2302" s="83"/>
      <c r="W2302" s="83"/>
      <c r="X2302" s="83"/>
      <c r="Y2302" s="83"/>
      <c r="Z2302" s="83"/>
    </row>
    <row r="2303">
      <c r="A2303" s="75" t="s">
        <v>36</v>
      </c>
      <c r="B2303" s="75" t="s">
        <v>1004</v>
      </c>
      <c r="C2303" s="75">
        <v>2.0</v>
      </c>
      <c r="D2303" s="75">
        <v>1.0</v>
      </c>
      <c r="E2303" s="75">
        <v>2.0</v>
      </c>
      <c r="F2303" s="75" t="s">
        <v>993</v>
      </c>
      <c r="G2303" s="82">
        <v>46112.0</v>
      </c>
      <c r="H2303" s="76" t="s">
        <v>926</v>
      </c>
      <c r="I2303" s="83"/>
      <c r="J2303" s="83"/>
      <c r="K2303" s="83"/>
      <c r="L2303" s="83"/>
      <c r="M2303" s="83"/>
      <c r="N2303" s="83"/>
      <c r="O2303" s="83"/>
      <c r="P2303" s="83"/>
      <c r="Q2303" s="83"/>
      <c r="R2303" s="83"/>
      <c r="S2303" s="83"/>
      <c r="T2303" s="83"/>
      <c r="U2303" s="83"/>
      <c r="V2303" s="83"/>
      <c r="W2303" s="83"/>
      <c r="X2303" s="83"/>
      <c r="Y2303" s="83"/>
      <c r="Z2303" s="83"/>
    </row>
    <row r="2304">
      <c r="A2304" s="75" t="s">
        <v>36</v>
      </c>
      <c r="B2304" s="75" t="s">
        <v>1004</v>
      </c>
      <c r="C2304" s="75">
        <v>1.58</v>
      </c>
      <c r="D2304" s="75">
        <v>0.0</v>
      </c>
      <c r="E2304" s="75">
        <v>0.0</v>
      </c>
      <c r="F2304" s="75" t="s">
        <v>993</v>
      </c>
      <c r="G2304" s="82">
        <v>46112.0</v>
      </c>
      <c r="H2304" s="76" t="s">
        <v>927</v>
      </c>
      <c r="I2304" s="83"/>
      <c r="J2304" s="83"/>
      <c r="K2304" s="83"/>
      <c r="L2304" s="83"/>
      <c r="M2304" s="83"/>
      <c r="N2304" s="83"/>
      <c r="O2304" s="83"/>
      <c r="P2304" s="83"/>
      <c r="Q2304" s="83"/>
      <c r="R2304" s="83"/>
      <c r="S2304" s="83"/>
      <c r="T2304" s="83"/>
      <c r="U2304" s="83"/>
      <c r="V2304" s="83"/>
      <c r="W2304" s="83"/>
      <c r="X2304" s="83"/>
      <c r="Y2304" s="83"/>
      <c r="Z2304" s="83"/>
    </row>
    <row r="2305">
      <c r="A2305" s="75" t="s">
        <v>36</v>
      </c>
      <c r="B2305" s="75" t="s">
        <v>1004</v>
      </c>
      <c r="C2305" s="75">
        <v>3.85</v>
      </c>
      <c r="D2305" s="75">
        <v>0.0</v>
      </c>
      <c r="E2305" s="75">
        <v>0.0</v>
      </c>
      <c r="F2305" s="75" t="s">
        <v>993</v>
      </c>
      <c r="G2305" s="82">
        <v>46112.0</v>
      </c>
      <c r="H2305" s="76" t="s">
        <v>928</v>
      </c>
      <c r="I2305" s="83"/>
      <c r="J2305" s="83"/>
      <c r="K2305" s="83"/>
      <c r="L2305" s="83"/>
      <c r="M2305" s="83"/>
      <c r="N2305" s="83"/>
      <c r="O2305" s="83"/>
      <c r="P2305" s="83"/>
      <c r="Q2305" s="83"/>
      <c r="R2305" s="83"/>
      <c r="S2305" s="83"/>
      <c r="T2305" s="83"/>
      <c r="U2305" s="83"/>
      <c r="V2305" s="83"/>
      <c r="W2305" s="83"/>
      <c r="X2305" s="83"/>
      <c r="Y2305" s="83"/>
      <c r="Z2305" s="83"/>
    </row>
    <row r="2306">
      <c r="A2306" s="75" t="s">
        <v>970</v>
      </c>
      <c r="B2306" s="75" t="s">
        <v>1004</v>
      </c>
      <c r="C2306" s="75">
        <v>8.03</v>
      </c>
      <c r="D2306" s="75">
        <v>10.0</v>
      </c>
      <c r="E2306" s="75">
        <v>0.8</v>
      </c>
      <c r="F2306" s="75" t="s">
        <v>993</v>
      </c>
      <c r="G2306" s="82">
        <v>46112.0</v>
      </c>
      <c r="H2306" s="76" t="s">
        <v>971</v>
      </c>
      <c r="I2306" s="83"/>
      <c r="J2306" s="83"/>
      <c r="K2306" s="83"/>
      <c r="L2306" s="83"/>
      <c r="M2306" s="83"/>
      <c r="N2306" s="83"/>
      <c r="O2306" s="83"/>
      <c r="P2306" s="83"/>
      <c r="Q2306" s="83"/>
      <c r="R2306" s="83"/>
      <c r="S2306" s="83"/>
      <c r="T2306" s="83"/>
      <c r="U2306" s="83"/>
      <c r="V2306" s="83"/>
      <c r="W2306" s="83"/>
      <c r="X2306" s="83"/>
      <c r="Y2306" s="83"/>
      <c r="Z2306" s="83"/>
    </row>
    <row r="2307">
      <c r="A2307" s="75" t="s">
        <v>970</v>
      </c>
      <c r="B2307" s="75" t="s">
        <v>1004</v>
      </c>
      <c r="C2307" s="75">
        <v>2.71</v>
      </c>
      <c r="D2307" s="75">
        <v>6.0</v>
      </c>
      <c r="E2307" s="75">
        <v>0.45</v>
      </c>
      <c r="F2307" s="75" t="s">
        <v>993</v>
      </c>
      <c r="G2307" s="82">
        <v>46112.0</v>
      </c>
      <c r="H2307" s="76" t="s">
        <v>972</v>
      </c>
      <c r="I2307" s="83"/>
      <c r="J2307" s="83"/>
      <c r="K2307" s="83"/>
      <c r="L2307" s="83"/>
      <c r="M2307" s="83"/>
      <c r="N2307" s="83"/>
      <c r="O2307" s="83"/>
      <c r="P2307" s="83"/>
      <c r="Q2307" s="83"/>
      <c r="R2307" s="83"/>
      <c r="S2307" s="83"/>
      <c r="T2307" s="83"/>
      <c r="U2307" s="83"/>
      <c r="V2307" s="83"/>
      <c r="W2307" s="83"/>
      <c r="X2307" s="83"/>
      <c r="Y2307" s="83"/>
      <c r="Z2307" s="83"/>
    </row>
    <row r="2308">
      <c r="A2308" s="75" t="s">
        <v>970</v>
      </c>
      <c r="B2308" s="75" t="s">
        <v>1004</v>
      </c>
      <c r="C2308" s="75">
        <v>8.48</v>
      </c>
      <c r="D2308" s="75">
        <v>12.0</v>
      </c>
      <c r="E2308" s="75">
        <v>0.71</v>
      </c>
      <c r="F2308" s="75" t="s">
        <v>993</v>
      </c>
      <c r="G2308" s="82">
        <v>46112.0</v>
      </c>
      <c r="H2308" s="76" t="s">
        <v>973</v>
      </c>
      <c r="I2308" s="83"/>
      <c r="J2308" s="83"/>
      <c r="K2308" s="83"/>
      <c r="L2308" s="83"/>
      <c r="M2308" s="83"/>
      <c r="N2308" s="83"/>
      <c r="O2308" s="83"/>
      <c r="P2308" s="83"/>
      <c r="Q2308" s="83"/>
      <c r="R2308" s="83"/>
      <c r="S2308" s="83"/>
      <c r="T2308" s="83"/>
      <c r="U2308" s="83"/>
      <c r="V2308" s="83"/>
      <c r="W2308" s="83"/>
      <c r="X2308" s="83"/>
      <c r="Y2308" s="83"/>
      <c r="Z2308" s="83"/>
    </row>
    <row r="2309">
      <c r="A2309" s="75" t="s">
        <v>29</v>
      </c>
      <c r="B2309" s="75" t="s">
        <v>1004</v>
      </c>
      <c r="C2309" s="75">
        <v>14.86</v>
      </c>
      <c r="D2309" s="75">
        <v>34.0</v>
      </c>
      <c r="E2309" s="75">
        <v>0.44</v>
      </c>
      <c r="F2309" s="75" t="s">
        <v>993</v>
      </c>
      <c r="G2309" s="82">
        <v>46112.0</v>
      </c>
      <c r="H2309" s="76" t="s">
        <v>971</v>
      </c>
      <c r="I2309" s="83"/>
      <c r="J2309" s="83"/>
      <c r="K2309" s="83"/>
      <c r="L2309" s="83"/>
      <c r="M2309" s="83"/>
      <c r="N2309" s="83"/>
      <c r="O2309" s="83"/>
      <c r="P2309" s="83"/>
      <c r="Q2309" s="83"/>
      <c r="R2309" s="83"/>
      <c r="S2309" s="83"/>
      <c r="T2309" s="83"/>
      <c r="U2309" s="83"/>
      <c r="V2309" s="83"/>
      <c r="W2309" s="83"/>
      <c r="X2309" s="83"/>
      <c r="Y2309" s="83"/>
      <c r="Z2309" s="83"/>
    </row>
    <row r="2310">
      <c r="A2310" s="75" t="s">
        <v>29</v>
      </c>
      <c r="B2310" s="75" t="s">
        <v>1004</v>
      </c>
      <c r="C2310" s="75">
        <v>12.26</v>
      </c>
      <c r="D2310" s="75">
        <v>30.0</v>
      </c>
      <c r="E2310" s="75">
        <v>0.41</v>
      </c>
      <c r="F2310" s="75" t="s">
        <v>993</v>
      </c>
      <c r="G2310" s="82">
        <v>46112.0</v>
      </c>
      <c r="H2310" s="76" t="s">
        <v>972</v>
      </c>
      <c r="I2310" s="83"/>
      <c r="J2310" s="83"/>
      <c r="K2310" s="83"/>
      <c r="L2310" s="83"/>
      <c r="M2310" s="83"/>
      <c r="N2310" s="83"/>
      <c r="O2310" s="83"/>
      <c r="P2310" s="83"/>
      <c r="Q2310" s="83"/>
      <c r="R2310" s="83"/>
      <c r="S2310" s="83"/>
      <c r="T2310" s="83"/>
      <c r="U2310" s="83"/>
      <c r="V2310" s="83"/>
      <c r="W2310" s="83"/>
      <c r="X2310" s="83"/>
      <c r="Y2310" s="83"/>
      <c r="Z2310" s="83"/>
    </row>
    <row r="2311">
      <c r="A2311" s="75" t="s">
        <v>29</v>
      </c>
      <c r="B2311" s="75" t="s">
        <v>1004</v>
      </c>
      <c r="C2311" s="75">
        <v>27.61</v>
      </c>
      <c r="D2311" s="75">
        <v>41.0</v>
      </c>
      <c r="E2311" s="75">
        <v>0.67</v>
      </c>
      <c r="F2311" s="75" t="s">
        <v>993</v>
      </c>
      <c r="G2311" s="82">
        <v>46112.0</v>
      </c>
      <c r="H2311" s="76" t="s">
        <v>973</v>
      </c>
      <c r="I2311" s="83"/>
      <c r="J2311" s="83"/>
      <c r="K2311" s="83"/>
      <c r="L2311" s="83"/>
      <c r="M2311" s="83"/>
      <c r="N2311" s="83"/>
      <c r="O2311" s="83"/>
      <c r="P2311" s="83"/>
      <c r="Q2311" s="83"/>
      <c r="R2311" s="83"/>
      <c r="S2311" s="83"/>
      <c r="T2311" s="83"/>
      <c r="U2311" s="83"/>
      <c r="V2311" s="83"/>
      <c r="W2311" s="83"/>
      <c r="X2311" s="83"/>
      <c r="Y2311" s="83"/>
      <c r="Z2311" s="83"/>
    </row>
    <row r="2312">
      <c r="A2312" s="75" t="s">
        <v>34</v>
      </c>
      <c r="B2312" s="75" t="s">
        <v>1004</v>
      </c>
      <c r="C2312" s="75">
        <v>3.52</v>
      </c>
      <c r="D2312" s="75">
        <v>0.0</v>
      </c>
      <c r="E2312" s="75">
        <v>0.0</v>
      </c>
      <c r="F2312" s="75" t="s">
        <v>994</v>
      </c>
      <c r="G2312" s="82">
        <v>46112.0</v>
      </c>
      <c r="H2312" s="76" t="s">
        <v>951</v>
      </c>
      <c r="I2312" s="83"/>
      <c r="J2312" s="83"/>
      <c r="K2312" s="83"/>
      <c r="L2312" s="83"/>
      <c r="M2312" s="83"/>
      <c r="N2312" s="83"/>
      <c r="O2312" s="83"/>
      <c r="P2312" s="83"/>
      <c r="Q2312" s="83"/>
      <c r="R2312" s="83"/>
      <c r="S2312" s="83"/>
      <c r="T2312" s="83"/>
      <c r="U2312" s="83"/>
      <c r="V2312" s="83"/>
      <c r="W2312" s="83"/>
      <c r="X2312" s="83"/>
      <c r="Y2312" s="83"/>
      <c r="Z2312" s="83"/>
    </row>
    <row r="2313">
      <c r="A2313" s="75" t="s">
        <v>34</v>
      </c>
      <c r="B2313" s="75" t="s">
        <v>1004</v>
      </c>
      <c r="C2313" s="75">
        <v>3.33</v>
      </c>
      <c r="D2313" s="75">
        <v>0.0</v>
      </c>
      <c r="E2313" s="75">
        <v>0.0</v>
      </c>
      <c r="F2313" s="75" t="s">
        <v>994</v>
      </c>
      <c r="G2313" s="82">
        <v>46112.0</v>
      </c>
      <c r="H2313" s="76" t="s">
        <v>952</v>
      </c>
      <c r="I2313" s="83"/>
      <c r="J2313" s="83"/>
      <c r="K2313" s="83"/>
      <c r="L2313" s="83"/>
      <c r="M2313" s="83"/>
      <c r="N2313" s="83"/>
      <c r="O2313" s="83"/>
      <c r="P2313" s="83"/>
      <c r="Q2313" s="83"/>
      <c r="R2313" s="83"/>
      <c r="S2313" s="83"/>
      <c r="T2313" s="83"/>
      <c r="U2313" s="83"/>
      <c r="V2313" s="83"/>
      <c r="W2313" s="83"/>
      <c r="X2313" s="83"/>
      <c r="Y2313" s="83"/>
      <c r="Z2313" s="83"/>
    </row>
    <row r="2314">
      <c r="A2314" s="75" t="s">
        <v>34</v>
      </c>
      <c r="B2314" s="75" t="s">
        <v>1004</v>
      </c>
      <c r="C2314" s="75">
        <v>31.0</v>
      </c>
      <c r="D2314" s="75">
        <v>0.0</v>
      </c>
      <c r="E2314" s="75">
        <v>0.0</v>
      </c>
      <c r="F2314" s="75" t="s">
        <v>994</v>
      </c>
      <c r="G2314" s="82">
        <v>46112.0</v>
      </c>
      <c r="H2314" s="76" t="s">
        <v>953</v>
      </c>
      <c r="I2314" s="83"/>
      <c r="J2314" s="83"/>
      <c r="K2314" s="83"/>
      <c r="L2314" s="83"/>
      <c r="M2314" s="83"/>
      <c r="N2314" s="83"/>
      <c r="O2314" s="83"/>
      <c r="P2314" s="83"/>
      <c r="Q2314" s="83"/>
      <c r="R2314" s="83"/>
      <c r="S2314" s="83"/>
      <c r="T2314" s="83"/>
      <c r="U2314" s="83"/>
      <c r="V2314" s="83"/>
      <c r="W2314" s="83"/>
      <c r="X2314" s="83"/>
      <c r="Y2314" s="83"/>
      <c r="Z2314" s="83"/>
    </row>
    <row r="2315">
      <c r="A2315" s="75" t="s">
        <v>40</v>
      </c>
      <c r="B2315" s="75" t="s">
        <v>1004</v>
      </c>
      <c r="C2315" s="75">
        <v>0.6</v>
      </c>
      <c r="D2315" s="75">
        <v>0.0</v>
      </c>
      <c r="E2315" s="75">
        <v>0.0</v>
      </c>
      <c r="F2315" s="75" t="s">
        <v>994</v>
      </c>
      <c r="G2315" s="82">
        <v>46112.0</v>
      </c>
      <c r="H2315" s="76" t="s">
        <v>954</v>
      </c>
      <c r="I2315" s="83"/>
      <c r="J2315" s="83"/>
      <c r="K2315" s="83"/>
      <c r="L2315" s="83"/>
      <c r="M2315" s="83"/>
      <c r="N2315" s="83"/>
      <c r="O2315" s="83"/>
      <c r="P2315" s="83"/>
      <c r="Q2315" s="83"/>
      <c r="R2315" s="83"/>
      <c r="S2315" s="83"/>
      <c r="T2315" s="83"/>
      <c r="U2315" s="83"/>
      <c r="V2315" s="83"/>
      <c r="W2315" s="83"/>
      <c r="X2315" s="83"/>
      <c r="Y2315" s="83"/>
      <c r="Z2315" s="83"/>
    </row>
    <row r="2316">
      <c r="A2316" s="75" t="s">
        <v>40</v>
      </c>
      <c r="B2316" s="75" t="s">
        <v>1004</v>
      </c>
      <c r="C2316" s="75">
        <v>0.23</v>
      </c>
      <c r="D2316" s="75">
        <v>0.0</v>
      </c>
      <c r="E2316" s="75">
        <v>0.0</v>
      </c>
      <c r="F2316" s="75" t="s">
        <v>994</v>
      </c>
      <c r="G2316" s="82">
        <v>46112.0</v>
      </c>
      <c r="H2316" s="76" t="s">
        <v>955</v>
      </c>
      <c r="I2316" s="83"/>
      <c r="J2316" s="83"/>
      <c r="K2316" s="83"/>
      <c r="L2316" s="83"/>
      <c r="M2316" s="83"/>
      <c r="N2316" s="83"/>
      <c r="O2316" s="83"/>
      <c r="P2316" s="83"/>
      <c r="Q2316" s="83"/>
      <c r="R2316" s="83"/>
      <c r="S2316" s="83"/>
      <c r="T2316" s="83"/>
      <c r="U2316" s="83"/>
      <c r="V2316" s="83"/>
      <c r="W2316" s="83"/>
      <c r="X2316" s="83"/>
      <c r="Y2316" s="83"/>
      <c r="Z2316" s="83"/>
    </row>
    <row r="2317">
      <c r="A2317" s="75" t="s">
        <v>40</v>
      </c>
      <c r="B2317" s="75" t="s">
        <v>1004</v>
      </c>
      <c r="C2317" s="75">
        <v>3.04</v>
      </c>
      <c r="D2317" s="75">
        <v>0.0</v>
      </c>
      <c r="E2317" s="75">
        <v>0.0</v>
      </c>
      <c r="F2317" s="75" t="s">
        <v>994</v>
      </c>
      <c r="G2317" s="82">
        <v>46112.0</v>
      </c>
      <c r="H2317" s="76" t="s">
        <v>956</v>
      </c>
      <c r="I2317" s="83"/>
      <c r="J2317" s="83"/>
      <c r="K2317" s="83"/>
      <c r="L2317" s="83"/>
      <c r="M2317" s="83"/>
      <c r="N2317" s="83"/>
      <c r="O2317" s="83"/>
      <c r="P2317" s="83"/>
      <c r="Q2317" s="83"/>
      <c r="R2317" s="83"/>
      <c r="S2317" s="83"/>
      <c r="T2317" s="83"/>
      <c r="U2317" s="83"/>
      <c r="V2317" s="83"/>
      <c r="W2317" s="83"/>
      <c r="X2317" s="83"/>
      <c r="Y2317" s="83"/>
      <c r="Z2317" s="83"/>
    </row>
    <row r="2318">
      <c r="A2318" s="75" t="s">
        <v>33</v>
      </c>
      <c r="B2318" s="75" t="s">
        <v>1004</v>
      </c>
      <c r="C2318" s="75">
        <v>2.51</v>
      </c>
      <c r="D2318" s="75">
        <v>2.0</v>
      </c>
      <c r="E2318" s="75">
        <v>1.25</v>
      </c>
      <c r="F2318" s="75" t="s">
        <v>994</v>
      </c>
      <c r="G2318" s="82">
        <v>46112.0</v>
      </c>
      <c r="H2318" s="76" t="s">
        <v>957</v>
      </c>
      <c r="I2318" s="83"/>
      <c r="J2318" s="83"/>
      <c r="K2318" s="83"/>
      <c r="L2318" s="83"/>
      <c r="M2318" s="83"/>
      <c r="N2318" s="83"/>
      <c r="O2318" s="83"/>
      <c r="P2318" s="83"/>
      <c r="Q2318" s="83"/>
      <c r="R2318" s="83"/>
      <c r="S2318" s="83"/>
      <c r="T2318" s="83"/>
      <c r="U2318" s="83"/>
      <c r="V2318" s="83"/>
      <c r="W2318" s="83"/>
      <c r="X2318" s="83"/>
      <c r="Y2318" s="83"/>
      <c r="Z2318" s="83"/>
    </row>
    <row r="2319">
      <c r="A2319" s="75" t="s">
        <v>33</v>
      </c>
      <c r="B2319" s="75" t="s">
        <v>1004</v>
      </c>
      <c r="C2319" s="75">
        <v>0.76</v>
      </c>
      <c r="D2319" s="75">
        <v>0.0</v>
      </c>
      <c r="E2319" s="75">
        <v>0.0</v>
      </c>
      <c r="F2319" s="75" t="s">
        <v>994</v>
      </c>
      <c r="G2319" s="82">
        <v>46112.0</v>
      </c>
      <c r="H2319" s="76" t="s">
        <v>958</v>
      </c>
      <c r="I2319" s="83"/>
      <c r="J2319" s="83"/>
      <c r="K2319" s="83"/>
      <c r="L2319" s="83"/>
      <c r="M2319" s="83"/>
      <c r="N2319" s="83"/>
      <c r="O2319" s="83"/>
      <c r="P2319" s="83"/>
      <c r="Q2319" s="83"/>
      <c r="R2319" s="83"/>
      <c r="S2319" s="83"/>
      <c r="T2319" s="83"/>
      <c r="U2319" s="83"/>
      <c r="V2319" s="83"/>
      <c r="W2319" s="83"/>
      <c r="X2319" s="83"/>
      <c r="Y2319" s="83"/>
      <c r="Z2319" s="83"/>
    </row>
    <row r="2320">
      <c r="A2320" s="75" t="s">
        <v>33</v>
      </c>
      <c r="B2320" s="75" t="s">
        <v>1004</v>
      </c>
      <c r="C2320" s="75">
        <v>1.4</v>
      </c>
      <c r="D2320" s="75">
        <v>0.0</v>
      </c>
      <c r="E2320" s="75">
        <v>0.0</v>
      </c>
      <c r="F2320" s="75" t="s">
        <v>994</v>
      </c>
      <c r="G2320" s="82">
        <v>46112.0</v>
      </c>
      <c r="H2320" s="76" t="s">
        <v>959</v>
      </c>
      <c r="I2320" s="83"/>
      <c r="J2320" s="83"/>
      <c r="K2320" s="83"/>
      <c r="L2320" s="83"/>
      <c r="M2320" s="83"/>
      <c r="N2320" s="83"/>
      <c r="O2320" s="83"/>
      <c r="P2320" s="83"/>
      <c r="Q2320" s="83"/>
      <c r="R2320" s="83"/>
      <c r="S2320" s="83"/>
      <c r="T2320" s="83"/>
      <c r="U2320" s="83"/>
      <c r="V2320" s="83"/>
      <c r="W2320" s="83"/>
      <c r="X2320" s="83"/>
      <c r="Y2320" s="83"/>
      <c r="Z2320" s="83"/>
    </row>
    <row r="2321">
      <c r="A2321" s="75" t="s">
        <v>46</v>
      </c>
      <c r="B2321" s="75" t="s">
        <v>1004</v>
      </c>
      <c r="C2321" s="75">
        <v>11.72</v>
      </c>
      <c r="D2321" s="75">
        <v>0.0</v>
      </c>
      <c r="E2321" s="75">
        <v>0.0</v>
      </c>
      <c r="F2321" s="75" t="s">
        <v>994</v>
      </c>
      <c r="G2321" s="82">
        <v>46112.0</v>
      </c>
      <c r="H2321" s="76" t="s">
        <v>960</v>
      </c>
      <c r="I2321" s="83"/>
      <c r="J2321" s="83"/>
      <c r="K2321" s="83"/>
      <c r="L2321" s="83"/>
      <c r="M2321" s="83"/>
      <c r="N2321" s="83"/>
      <c r="O2321" s="83"/>
      <c r="P2321" s="83"/>
      <c r="Q2321" s="83"/>
      <c r="R2321" s="83"/>
      <c r="S2321" s="83"/>
      <c r="T2321" s="83"/>
      <c r="U2321" s="83"/>
      <c r="V2321" s="83"/>
      <c r="W2321" s="83"/>
      <c r="X2321" s="83"/>
      <c r="Y2321" s="83"/>
      <c r="Z2321" s="83"/>
    </row>
    <row r="2322">
      <c r="A2322" s="75" t="s">
        <v>46</v>
      </c>
      <c r="B2322" s="75" t="s">
        <v>1004</v>
      </c>
      <c r="C2322" s="75">
        <v>1.88</v>
      </c>
      <c r="D2322" s="75">
        <v>0.0</v>
      </c>
      <c r="E2322" s="75">
        <v>0.0</v>
      </c>
      <c r="F2322" s="75" t="s">
        <v>994</v>
      </c>
      <c r="G2322" s="82">
        <v>46112.0</v>
      </c>
      <c r="H2322" s="76" t="s">
        <v>961</v>
      </c>
      <c r="I2322" s="83"/>
      <c r="J2322" s="83"/>
      <c r="K2322" s="83"/>
      <c r="L2322" s="83"/>
      <c r="M2322" s="83"/>
      <c r="N2322" s="83"/>
      <c r="O2322" s="83"/>
      <c r="P2322" s="83"/>
      <c r="Q2322" s="83"/>
      <c r="R2322" s="83"/>
      <c r="S2322" s="83"/>
      <c r="T2322" s="83"/>
      <c r="U2322" s="83"/>
      <c r="V2322" s="83"/>
      <c r="W2322" s="83"/>
      <c r="X2322" s="83"/>
      <c r="Y2322" s="83"/>
      <c r="Z2322" s="83"/>
    </row>
    <row r="2323">
      <c r="A2323" s="75" t="s">
        <v>46</v>
      </c>
      <c r="B2323" s="75" t="s">
        <v>1004</v>
      </c>
      <c r="C2323" s="75">
        <v>7.38</v>
      </c>
      <c r="D2323" s="75">
        <v>0.0</v>
      </c>
      <c r="E2323" s="75">
        <v>0.0</v>
      </c>
      <c r="F2323" s="75" t="s">
        <v>994</v>
      </c>
      <c r="G2323" s="82">
        <v>46112.0</v>
      </c>
      <c r="H2323" s="76" t="s">
        <v>962</v>
      </c>
      <c r="I2323" s="83"/>
      <c r="J2323" s="83"/>
      <c r="K2323" s="83"/>
      <c r="L2323" s="83"/>
      <c r="M2323" s="83"/>
      <c r="N2323" s="83"/>
      <c r="O2323" s="83"/>
      <c r="P2323" s="83"/>
      <c r="Q2323" s="83"/>
      <c r="R2323" s="83"/>
      <c r="S2323" s="83"/>
      <c r="T2323" s="83"/>
      <c r="U2323" s="83"/>
      <c r="V2323" s="83"/>
      <c r="W2323" s="83"/>
      <c r="X2323" s="83"/>
      <c r="Y2323" s="83"/>
      <c r="Z2323" s="83"/>
    </row>
    <row r="2324">
      <c r="A2324" s="75" t="s">
        <v>43</v>
      </c>
      <c r="B2324" s="75" t="s">
        <v>1004</v>
      </c>
      <c r="C2324" s="75">
        <v>0.77</v>
      </c>
      <c r="D2324" s="75">
        <v>0.0</v>
      </c>
      <c r="E2324" s="75">
        <v>0.0</v>
      </c>
      <c r="F2324" s="75" t="s">
        <v>994</v>
      </c>
      <c r="G2324" s="82">
        <v>46112.0</v>
      </c>
      <c r="H2324" s="76" t="s">
        <v>963</v>
      </c>
      <c r="I2324" s="83"/>
      <c r="J2324" s="83"/>
      <c r="K2324" s="83"/>
      <c r="L2324" s="83"/>
      <c r="M2324" s="83"/>
      <c r="N2324" s="83"/>
      <c r="O2324" s="83"/>
      <c r="P2324" s="83"/>
      <c r="Q2324" s="83"/>
      <c r="R2324" s="83"/>
      <c r="S2324" s="83"/>
      <c r="T2324" s="83"/>
      <c r="U2324" s="83"/>
      <c r="V2324" s="83"/>
      <c r="W2324" s="83"/>
      <c r="X2324" s="83"/>
      <c r="Y2324" s="83"/>
      <c r="Z2324" s="83"/>
    </row>
    <row r="2325">
      <c r="A2325" s="75" t="s">
        <v>43</v>
      </c>
      <c r="B2325" s="75" t="s">
        <v>1004</v>
      </c>
      <c r="C2325" s="75">
        <v>0.6</v>
      </c>
      <c r="D2325" s="75">
        <v>0.0</v>
      </c>
      <c r="E2325" s="75">
        <v>0.0</v>
      </c>
      <c r="F2325" s="75" t="s">
        <v>994</v>
      </c>
      <c r="G2325" s="82">
        <v>46112.0</v>
      </c>
      <c r="H2325" s="76" t="s">
        <v>964</v>
      </c>
      <c r="I2325" s="83"/>
      <c r="J2325" s="83"/>
      <c r="K2325" s="83"/>
      <c r="L2325" s="83"/>
      <c r="M2325" s="83"/>
      <c r="N2325" s="83"/>
      <c r="O2325" s="83"/>
      <c r="P2325" s="83"/>
      <c r="Q2325" s="83"/>
      <c r="R2325" s="83"/>
      <c r="S2325" s="83"/>
      <c r="T2325" s="83"/>
      <c r="U2325" s="83"/>
      <c r="V2325" s="83"/>
      <c r="W2325" s="83"/>
      <c r="X2325" s="83"/>
      <c r="Y2325" s="83"/>
      <c r="Z2325" s="83"/>
    </row>
    <row r="2326">
      <c r="A2326" s="75" t="s">
        <v>43</v>
      </c>
      <c r="B2326" s="75" t="s">
        <v>1004</v>
      </c>
      <c r="C2326" s="75">
        <v>2.51</v>
      </c>
      <c r="D2326" s="75">
        <v>0.0</v>
      </c>
      <c r="E2326" s="75">
        <v>0.0</v>
      </c>
      <c r="F2326" s="75" t="s">
        <v>994</v>
      </c>
      <c r="G2326" s="82">
        <v>46112.0</v>
      </c>
      <c r="H2326" s="76" t="s">
        <v>965</v>
      </c>
    </row>
    <row r="2327">
      <c r="A2327" s="75" t="s">
        <v>966</v>
      </c>
      <c r="B2327" s="75" t="s">
        <v>1004</v>
      </c>
      <c r="C2327" s="75">
        <v>1.73</v>
      </c>
      <c r="D2327" s="75">
        <v>0.0</v>
      </c>
      <c r="E2327" s="75">
        <v>0.0</v>
      </c>
      <c r="F2327" s="75" t="s">
        <v>994</v>
      </c>
      <c r="G2327" s="82">
        <v>46112.0</v>
      </c>
      <c r="H2327" s="76" t="s">
        <v>967</v>
      </c>
      <c r="I2327" s="83"/>
      <c r="J2327" s="83"/>
      <c r="K2327" s="83"/>
      <c r="L2327" s="83"/>
      <c r="M2327" s="83"/>
      <c r="N2327" s="83"/>
      <c r="O2327" s="83"/>
      <c r="P2327" s="83"/>
      <c r="Q2327" s="83"/>
      <c r="R2327" s="83"/>
      <c r="S2327" s="83"/>
      <c r="T2327" s="83"/>
      <c r="U2327" s="83"/>
      <c r="V2327" s="83"/>
      <c r="W2327" s="83"/>
      <c r="X2327" s="83"/>
      <c r="Y2327" s="83"/>
      <c r="Z2327" s="83"/>
    </row>
    <row r="2328">
      <c r="A2328" s="75" t="s">
        <v>966</v>
      </c>
      <c r="B2328" s="75" t="s">
        <v>1004</v>
      </c>
      <c r="C2328" s="75">
        <v>1.39</v>
      </c>
      <c r="D2328" s="75">
        <v>0.0</v>
      </c>
      <c r="E2328" s="75">
        <v>0.0</v>
      </c>
      <c r="F2328" s="75" t="s">
        <v>994</v>
      </c>
      <c r="G2328" s="82">
        <v>46112.0</v>
      </c>
      <c r="H2328" s="76" t="s">
        <v>968</v>
      </c>
      <c r="I2328" s="83"/>
      <c r="J2328" s="83"/>
      <c r="K2328" s="83"/>
      <c r="L2328" s="83"/>
      <c r="M2328" s="83"/>
      <c r="N2328" s="83"/>
      <c r="O2328" s="83"/>
      <c r="P2328" s="83"/>
      <c r="Q2328" s="83"/>
      <c r="R2328" s="83"/>
      <c r="S2328" s="83"/>
      <c r="T2328" s="83"/>
      <c r="U2328" s="83"/>
      <c r="V2328" s="83"/>
      <c r="W2328" s="83"/>
      <c r="X2328" s="83"/>
      <c r="Y2328" s="83"/>
      <c r="Z2328" s="83"/>
    </row>
    <row r="2329">
      <c r="A2329" s="75" t="s">
        <v>966</v>
      </c>
      <c r="B2329" s="75" t="s">
        <v>1004</v>
      </c>
      <c r="C2329" s="75">
        <v>1.29</v>
      </c>
      <c r="D2329" s="75">
        <v>0.0</v>
      </c>
      <c r="E2329" s="75">
        <v>0.0</v>
      </c>
      <c r="F2329" s="75" t="s">
        <v>994</v>
      </c>
      <c r="G2329" s="82">
        <v>46112.0</v>
      </c>
      <c r="H2329" s="76" t="s">
        <v>969</v>
      </c>
      <c r="I2329" s="83"/>
      <c r="J2329" s="83"/>
      <c r="K2329" s="83"/>
      <c r="L2329" s="83"/>
      <c r="M2329" s="83"/>
      <c r="N2329" s="83"/>
      <c r="O2329" s="83"/>
      <c r="P2329" s="83"/>
      <c r="Q2329" s="83"/>
      <c r="R2329" s="83"/>
      <c r="S2329" s="83"/>
      <c r="T2329" s="83"/>
      <c r="U2329" s="83"/>
      <c r="V2329" s="83"/>
      <c r="W2329" s="83"/>
      <c r="X2329" s="83"/>
      <c r="Y2329" s="83"/>
      <c r="Z2329" s="83"/>
    </row>
    <row r="2330">
      <c r="A2330" s="75" t="s">
        <v>36</v>
      </c>
      <c r="B2330" s="75" t="s">
        <v>1004</v>
      </c>
      <c r="C2330" s="75">
        <v>1.93</v>
      </c>
      <c r="D2330" s="75">
        <v>0.0</v>
      </c>
      <c r="E2330" s="75">
        <v>0.0</v>
      </c>
      <c r="F2330" s="75" t="s">
        <v>994</v>
      </c>
      <c r="G2330" s="82">
        <v>46112.0</v>
      </c>
      <c r="H2330" s="76" t="s">
        <v>926</v>
      </c>
      <c r="I2330" s="83"/>
      <c r="J2330" s="83"/>
      <c r="K2330" s="83"/>
      <c r="L2330" s="83"/>
      <c r="M2330" s="83"/>
      <c r="N2330" s="83"/>
      <c r="O2330" s="83"/>
      <c r="P2330" s="83"/>
      <c r="Q2330" s="83"/>
      <c r="R2330" s="83"/>
      <c r="S2330" s="83"/>
      <c r="T2330" s="83"/>
      <c r="U2330" s="83"/>
      <c r="V2330" s="83"/>
      <c r="W2330" s="83"/>
      <c r="X2330" s="83"/>
      <c r="Y2330" s="83"/>
      <c r="Z2330" s="83"/>
    </row>
    <row r="2331">
      <c r="A2331" s="75" t="s">
        <v>36</v>
      </c>
      <c r="B2331" s="75" t="s">
        <v>1004</v>
      </c>
      <c r="C2331" s="75">
        <v>0.69</v>
      </c>
      <c r="D2331" s="75">
        <v>0.0</v>
      </c>
      <c r="E2331" s="75">
        <v>0.0</v>
      </c>
      <c r="F2331" s="75" t="s">
        <v>994</v>
      </c>
      <c r="G2331" s="82">
        <v>46112.0</v>
      </c>
      <c r="H2331" s="76" t="s">
        <v>927</v>
      </c>
      <c r="I2331" s="83"/>
      <c r="J2331" s="83"/>
      <c r="K2331" s="83"/>
      <c r="L2331" s="83"/>
      <c r="M2331" s="83"/>
      <c r="N2331" s="83"/>
      <c r="O2331" s="83"/>
      <c r="P2331" s="83"/>
      <c r="Q2331" s="83"/>
      <c r="R2331" s="83"/>
      <c r="S2331" s="83"/>
      <c r="T2331" s="83"/>
      <c r="U2331" s="83"/>
      <c r="V2331" s="83"/>
      <c r="W2331" s="83"/>
      <c r="X2331" s="83"/>
      <c r="Y2331" s="83"/>
      <c r="Z2331" s="83"/>
    </row>
    <row r="2332">
      <c r="A2332" s="75" t="s">
        <v>36</v>
      </c>
      <c r="B2332" s="75" t="s">
        <v>1004</v>
      </c>
      <c r="C2332" s="75">
        <v>1.05</v>
      </c>
      <c r="D2332" s="75">
        <v>0.0</v>
      </c>
      <c r="E2332" s="75">
        <v>0.0</v>
      </c>
      <c r="F2332" s="75" t="s">
        <v>994</v>
      </c>
      <c r="G2332" s="82">
        <v>46112.0</v>
      </c>
      <c r="H2332" s="76" t="s">
        <v>928</v>
      </c>
      <c r="I2332" s="83"/>
      <c r="J2332" s="83"/>
      <c r="K2332" s="83"/>
      <c r="L2332" s="83"/>
      <c r="M2332" s="83"/>
      <c r="N2332" s="83"/>
      <c r="O2332" s="83"/>
      <c r="P2332" s="83"/>
      <c r="Q2332" s="83"/>
      <c r="R2332" s="83"/>
      <c r="S2332" s="83"/>
      <c r="T2332" s="83"/>
      <c r="U2332" s="83"/>
      <c r="V2332" s="83"/>
      <c r="W2332" s="83"/>
      <c r="X2332" s="83"/>
      <c r="Y2332" s="83"/>
      <c r="Z2332" s="83"/>
    </row>
    <row r="2333">
      <c r="A2333" s="75" t="s">
        <v>970</v>
      </c>
      <c r="B2333" s="75" t="s">
        <v>1004</v>
      </c>
      <c r="C2333" s="75">
        <v>4.25</v>
      </c>
      <c r="D2333" s="75">
        <v>4.0</v>
      </c>
      <c r="E2333" s="75">
        <v>1.06</v>
      </c>
      <c r="F2333" s="75" t="s">
        <v>994</v>
      </c>
      <c r="G2333" s="82">
        <v>46112.0</v>
      </c>
      <c r="H2333" s="76" t="s">
        <v>971</v>
      </c>
      <c r="I2333" s="83"/>
      <c r="J2333" s="83"/>
      <c r="K2333" s="83"/>
      <c r="L2333" s="83"/>
      <c r="M2333" s="83"/>
      <c r="N2333" s="83"/>
      <c r="O2333" s="83"/>
      <c r="P2333" s="83"/>
      <c r="Q2333" s="83"/>
      <c r="R2333" s="83"/>
      <c r="S2333" s="83"/>
      <c r="T2333" s="83"/>
      <c r="U2333" s="83"/>
      <c r="V2333" s="83"/>
      <c r="W2333" s="83"/>
      <c r="X2333" s="83"/>
      <c r="Y2333" s="83"/>
      <c r="Z2333" s="83"/>
    </row>
    <row r="2334">
      <c r="A2334" s="75" t="s">
        <v>970</v>
      </c>
      <c r="B2334" s="75" t="s">
        <v>1004</v>
      </c>
      <c r="C2334" s="75">
        <v>0.91</v>
      </c>
      <c r="D2334" s="75">
        <v>2.0</v>
      </c>
      <c r="E2334" s="75">
        <v>0.46</v>
      </c>
      <c r="F2334" s="75" t="s">
        <v>994</v>
      </c>
      <c r="G2334" s="82">
        <v>46112.0</v>
      </c>
      <c r="H2334" s="76" t="s">
        <v>972</v>
      </c>
      <c r="I2334" s="83"/>
      <c r="J2334" s="83"/>
      <c r="K2334" s="83"/>
      <c r="L2334" s="83"/>
      <c r="M2334" s="83"/>
      <c r="N2334" s="83"/>
      <c r="O2334" s="83"/>
      <c r="P2334" s="83"/>
      <c r="Q2334" s="83"/>
      <c r="R2334" s="83"/>
      <c r="S2334" s="83"/>
      <c r="T2334" s="83"/>
      <c r="U2334" s="83"/>
      <c r="V2334" s="83"/>
      <c r="W2334" s="83"/>
      <c r="X2334" s="83"/>
      <c r="Y2334" s="83"/>
      <c r="Z2334" s="83"/>
    </row>
    <row r="2335">
      <c r="A2335" s="75" t="s">
        <v>970</v>
      </c>
      <c r="B2335" s="75" t="s">
        <v>1004</v>
      </c>
      <c r="C2335" s="75">
        <v>3.49</v>
      </c>
      <c r="D2335" s="75">
        <v>3.0</v>
      </c>
      <c r="E2335" s="75">
        <v>1.16</v>
      </c>
      <c r="F2335" s="75" t="s">
        <v>994</v>
      </c>
      <c r="G2335" s="82">
        <v>46112.0</v>
      </c>
      <c r="H2335" s="76" t="s">
        <v>973</v>
      </c>
      <c r="I2335" s="83"/>
      <c r="J2335" s="83"/>
      <c r="K2335" s="83"/>
      <c r="L2335" s="83"/>
      <c r="M2335" s="83"/>
      <c r="N2335" s="83"/>
      <c r="O2335" s="83"/>
      <c r="P2335" s="83"/>
      <c r="Q2335" s="83"/>
      <c r="R2335" s="83"/>
      <c r="S2335" s="83"/>
      <c r="T2335" s="83"/>
      <c r="U2335" s="83"/>
      <c r="V2335" s="83"/>
      <c r="W2335" s="83"/>
      <c r="X2335" s="83"/>
      <c r="Y2335" s="83"/>
      <c r="Z2335" s="83"/>
    </row>
    <row r="2336">
      <c r="A2336" s="75" t="s">
        <v>29</v>
      </c>
      <c r="B2336" s="75" t="s">
        <v>1004</v>
      </c>
      <c r="C2336" s="75">
        <v>3.2</v>
      </c>
      <c r="D2336" s="75">
        <v>1.0</v>
      </c>
      <c r="E2336" s="75">
        <v>3.2</v>
      </c>
      <c r="F2336" s="75" t="s">
        <v>994</v>
      </c>
      <c r="G2336" s="82">
        <v>46112.0</v>
      </c>
      <c r="H2336" s="76" t="s">
        <v>971</v>
      </c>
      <c r="I2336" s="83"/>
      <c r="J2336" s="83"/>
      <c r="K2336" s="83"/>
      <c r="L2336" s="83"/>
      <c r="M2336" s="83"/>
      <c r="N2336" s="83"/>
      <c r="O2336" s="83"/>
      <c r="P2336" s="83"/>
      <c r="Q2336" s="83"/>
      <c r="R2336" s="83"/>
      <c r="S2336" s="83"/>
      <c r="T2336" s="83"/>
      <c r="U2336" s="83"/>
      <c r="V2336" s="83"/>
      <c r="W2336" s="83"/>
      <c r="X2336" s="83"/>
      <c r="Y2336" s="83"/>
      <c r="Z2336" s="83"/>
    </row>
    <row r="2337">
      <c r="A2337" s="75" t="s">
        <v>29</v>
      </c>
      <c r="B2337" s="75" t="s">
        <v>1004</v>
      </c>
      <c r="C2337" s="75">
        <v>0.46</v>
      </c>
      <c r="D2337" s="75">
        <v>0.0</v>
      </c>
      <c r="E2337" s="75">
        <v>0.0</v>
      </c>
      <c r="F2337" s="75" t="s">
        <v>994</v>
      </c>
      <c r="G2337" s="82">
        <v>46112.0</v>
      </c>
      <c r="H2337" s="76" t="s">
        <v>972</v>
      </c>
      <c r="I2337" s="83"/>
      <c r="J2337" s="83"/>
      <c r="K2337" s="83"/>
      <c r="L2337" s="83"/>
      <c r="M2337" s="83"/>
      <c r="N2337" s="83"/>
      <c r="O2337" s="83"/>
      <c r="P2337" s="83"/>
      <c r="Q2337" s="83"/>
      <c r="R2337" s="83"/>
      <c r="S2337" s="83"/>
      <c r="T2337" s="83"/>
      <c r="U2337" s="83"/>
      <c r="V2337" s="83"/>
      <c r="W2337" s="83"/>
      <c r="X2337" s="83"/>
      <c r="Y2337" s="83"/>
      <c r="Z2337" s="83"/>
    </row>
    <row r="2338">
      <c r="A2338" s="75" t="s">
        <v>29</v>
      </c>
      <c r="B2338" s="75" t="s">
        <v>1004</v>
      </c>
      <c r="C2338" s="75">
        <v>2.45</v>
      </c>
      <c r="D2338" s="75">
        <v>0.0</v>
      </c>
      <c r="E2338" s="75">
        <v>0.0</v>
      </c>
      <c r="F2338" s="75" t="s">
        <v>994</v>
      </c>
      <c r="G2338" s="82">
        <v>46112.0</v>
      </c>
      <c r="H2338" s="76" t="s">
        <v>973</v>
      </c>
      <c r="I2338" s="83"/>
      <c r="J2338" s="83"/>
      <c r="K2338" s="83"/>
      <c r="L2338" s="83"/>
      <c r="M2338" s="83"/>
      <c r="N2338" s="83"/>
      <c r="O2338" s="83"/>
      <c r="P2338" s="83"/>
      <c r="Q2338" s="83"/>
      <c r="R2338" s="83"/>
      <c r="S2338" s="83"/>
      <c r="T2338" s="83"/>
      <c r="U2338" s="83"/>
      <c r="V2338" s="83"/>
      <c r="W2338" s="83"/>
      <c r="X2338" s="83"/>
      <c r="Y2338" s="83"/>
      <c r="Z2338" s="83"/>
    </row>
    <row r="2339">
      <c r="A2339" s="75" t="s">
        <v>34</v>
      </c>
      <c r="B2339" s="75" t="s">
        <v>1004</v>
      </c>
      <c r="C2339" s="75">
        <v>48.08</v>
      </c>
      <c r="D2339" s="75">
        <v>4.0</v>
      </c>
      <c r="E2339" s="75">
        <v>12.02</v>
      </c>
      <c r="F2339" s="75" t="s">
        <v>1005</v>
      </c>
      <c r="G2339" s="82">
        <v>46112.0</v>
      </c>
      <c r="H2339" s="76" t="s">
        <v>951</v>
      </c>
      <c r="I2339" s="83"/>
      <c r="J2339" s="83"/>
      <c r="K2339" s="83"/>
      <c r="L2339" s="83"/>
      <c r="M2339" s="83"/>
      <c r="N2339" s="83"/>
      <c r="O2339" s="83"/>
      <c r="P2339" s="83"/>
      <c r="Q2339" s="83"/>
      <c r="R2339" s="83"/>
      <c r="S2339" s="83"/>
      <c r="T2339" s="83"/>
      <c r="U2339" s="83"/>
      <c r="V2339" s="83"/>
      <c r="W2339" s="83"/>
      <c r="X2339" s="83"/>
      <c r="Y2339" s="83"/>
      <c r="Z2339" s="83"/>
    </row>
    <row r="2340">
      <c r="A2340" s="75" t="s">
        <v>34</v>
      </c>
      <c r="B2340" s="75" t="s">
        <v>1004</v>
      </c>
      <c r="C2340" s="75">
        <v>121.14</v>
      </c>
      <c r="D2340" s="75">
        <v>27.0</v>
      </c>
      <c r="E2340" s="75">
        <v>4.49</v>
      </c>
      <c r="F2340" s="75" t="s">
        <v>1005</v>
      </c>
      <c r="G2340" s="82">
        <v>46112.0</v>
      </c>
      <c r="H2340" s="76" t="s">
        <v>952</v>
      </c>
      <c r="I2340" s="83"/>
      <c r="J2340" s="83"/>
      <c r="K2340" s="83"/>
      <c r="L2340" s="83"/>
      <c r="M2340" s="83"/>
      <c r="N2340" s="83"/>
      <c r="O2340" s="83"/>
      <c r="P2340" s="83"/>
      <c r="Q2340" s="83"/>
      <c r="R2340" s="83"/>
      <c r="S2340" s="83"/>
      <c r="T2340" s="83"/>
      <c r="U2340" s="83"/>
      <c r="V2340" s="83"/>
      <c r="W2340" s="83"/>
      <c r="X2340" s="83"/>
      <c r="Y2340" s="83"/>
      <c r="Z2340" s="83"/>
    </row>
    <row r="2341">
      <c r="A2341" s="75" t="s">
        <v>34</v>
      </c>
      <c r="B2341" s="75" t="s">
        <v>1004</v>
      </c>
      <c r="C2341" s="75">
        <v>170.73</v>
      </c>
      <c r="D2341" s="75">
        <v>22.0</v>
      </c>
      <c r="E2341" s="75">
        <v>7.76</v>
      </c>
      <c r="F2341" s="75" t="s">
        <v>1005</v>
      </c>
      <c r="G2341" s="82">
        <v>46112.0</v>
      </c>
      <c r="H2341" s="76" t="s">
        <v>953</v>
      </c>
      <c r="I2341" s="83"/>
      <c r="J2341" s="83"/>
      <c r="K2341" s="83"/>
      <c r="L2341" s="83"/>
      <c r="M2341" s="83"/>
      <c r="N2341" s="83"/>
      <c r="O2341" s="83"/>
      <c r="P2341" s="83"/>
      <c r="Q2341" s="83"/>
      <c r="R2341" s="83"/>
      <c r="S2341" s="83"/>
      <c r="T2341" s="83"/>
      <c r="U2341" s="83"/>
      <c r="V2341" s="83"/>
      <c r="W2341" s="83"/>
      <c r="X2341" s="83"/>
      <c r="Y2341" s="83"/>
      <c r="Z2341" s="83"/>
    </row>
    <row r="2342">
      <c r="A2342" s="75" t="s">
        <v>40</v>
      </c>
      <c r="B2342" s="75" t="s">
        <v>1004</v>
      </c>
      <c r="C2342" s="75">
        <v>17.74</v>
      </c>
      <c r="D2342" s="75">
        <v>5.0</v>
      </c>
      <c r="E2342" s="75">
        <v>3.55</v>
      </c>
      <c r="F2342" s="75" t="s">
        <v>1005</v>
      </c>
      <c r="G2342" s="82">
        <v>46112.0</v>
      </c>
      <c r="H2342" s="76" t="s">
        <v>954</v>
      </c>
      <c r="I2342" s="83"/>
      <c r="J2342" s="83"/>
      <c r="K2342" s="83"/>
      <c r="L2342" s="83"/>
      <c r="M2342" s="83"/>
      <c r="N2342" s="83"/>
      <c r="O2342" s="83"/>
      <c r="P2342" s="83"/>
      <c r="Q2342" s="83"/>
      <c r="R2342" s="83"/>
      <c r="S2342" s="83"/>
      <c r="T2342" s="83"/>
      <c r="U2342" s="83"/>
      <c r="V2342" s="83"/>
      <c r="W2342" s="83"/>
      <c r="X2342" s="83"/>
      <c r="Y2342" s="83"/>
      <c r="Z2342" s="83"/>
    </row>
    <row r="2343">
      <c r="A2343" s="75" t="s">
        <v>40</v>
      </c>
      <c r="B2343" s="75" t="s">
        <v>1004</v>
      </c>
      <c r="C2343" s="75">
        <v>4.17</v>
      </c>
      <c r="D2343" s="75">
        <v>2.0</v>
      </c>
      <c r="E2343" s="75">
        <v>2.08</v>
      </c>
      <c r="F2343" s="75" t="s">
        <v>1005</v>
      </c>
      <c r="G2343" s="82">
        <v>46112.0</v>
      </c>
      <c r="H2343" s="76" t="s">
        <v>955</v>
      </c>
      <c r="I2343" s="83"/>
      <c r="J2343" s="83"/>
      <c r="K2343" s="83"/>
      <c r="L2343" s="83"/>
      <c r="M2343" s="83"/>
      <c r="N2343" s="83"/>
      <c r="O2343" s="83"/>
      <c r="P2343" s="83"/>
      <c r="Q2343" s="83"/>
      <c r="R2343" s="83"/>
      <c r="S2343" s="83"/>
      <c r="T2343" s="83"/>
      <c r="U2343" s="83"/>
      <c r="V2343" s="83"/>
      <c r="W2343" s="83"/>
      <c r="X2343" s="83"/>
      <c r="Y2343" s="83"/>
      <c r="Z2343" s="83"/>
    </row>
    <row r="2344">
      <c r="A2344" s="75" t="s">
        <v>40</v>
      </c>
      <c r="B2344" s="75" t="s">
        <v>1004</v>
      </c>
      <c r="C2344" s="75">
        <v>345.92</v>
      </c>
      <c r="D2344" s="75">
        <v>92.0</v>
      </c>
      <c r="E2344" s="75">
        <v>3.76</v>
      </c>
      <c r="F2344" s="75" t="s">
        <v>1005</v>
      </c>
      <c r="G2344" s="82">
        <v>46112.0</v>
      </c>
      <c r="H2344" s="76" t="s">
        <v>956</v>
      </c>
      <c r="I2344" s="83"/>
      <c r="J2344" s="83"/>
      <c r="K2344" s="83"/>
      <c r="L2344" s="83"/>
      <c r="M2344" s="83"/>
      <c r="N2344" s="83"/>
      <c r="O2344" s="83"/>
      <c r="P2344" s="83"/>
      <c r="Q2344" s="83"/>
      <c r="R2344" s="83"/>
      <c r="S2344" s="83"/>
      <c r="T2344" s="83"/>
      <c r="U2344" s="83"/>
      <c r="V2344" s="83"/>
      <c r="W2344" s="83"/>
      <c r="X2344" s="83"/>
      <c r="Y2344" s="83"/>
      <c r="Z2344" s="83"/>
    </row>
    <row r="2345">
      <c r="A2345" s="75" t="s">
        <v>33</v>
      </c>
      <c r="B2345" s="75" t="s">
        <v>1004</v>
      </c>
      <c r="C2345" s="75">
        <v>92.79</v>
      </c>
      <c r="D2345" s="75">
        <v>94.0</v>
      </c>
      <c r="E2345" s="75">
        <v>0.99</v>
      </c>
      <c r="F2345" s="75" t="s">
        <v>1005</v>
      </c>
      <c r="G2345" s="82">
        <v>46112.0</v>
      </c>
      <c r="H2345" s="76" t="s">
        <v>957</v>
      </c>
      <c r="I2345" s="83"/>
      <c r="J2345" s="83"/>
      <c r="K2345" s="83"/>
      <c r="L2345" s="83"/>
      <c r="M2345" s="83"/>
      <c r="N2345" s="83"/>
      <c r="O2345" s="83"/>
      <c r="P2345" s="83"/>
      <c r="Q2345" s="83"/>
      <c r="R2345" s="83"/>
      <c r="S2345" s="83"/>
      <c r="T2345" s="83"/>
      <c r="U2345" s="83"/>
      <c r="V2345" s="83"/>
      <c r="W2345" s="83"/>
      <c r="X2345" s="83"/>
      <c r="Y2345" s="83"/>
      <c r="Z2345" s="83"/>
    </row>
    <row r="2346">
      <c r="A2346" s="75" t="s">
        <v>33</v>
      </c>
      <c r="B2346" s="75" t="s">
        <v>1004</v>
      </c>
      <c r="C2346" s="75">
        <v>14.96</v>
      </c>
      <c r="D2346" s="75">
        <v>4.0</v>
      </c>
      <c r="E2346" s="75">
        <v>3.74</v>
      </c>
      <c r="F2346" s="75" t="s">
        <v>1005</v>
      </c>
      <c r="G2346" s="82">
        <v>46112.0</v>
      </c>
      <c r="H2346" s="76" t="s">
        <v>958</v>
      </c>
      <c r="I2346" s="83"/>
      <c r="J2346" s="83"/>
      <c r="K2346" s="83"/>
      <c r="L2346" s="83"/>
      <c r="M2346" s="83"/>
      <c r="N2346" s="83"/>
      <c r="O2346" s="83"/>
      <c r="P2346" s="83"/>
      <c r="Q2346" s="83"/>
      <c r="R2346" s="83"/>
      <c r="S2346" s="83"/>
      <c r="T2346" s="83"/>
      <c r="U2346" s="83"/>
      <c r="V2346" s="83"/>
      <c r="W2346" s="83"/>
      <c r="X2346" s="83"/>
      <c r="Y2346" s="83"/>
      <c r="Z2346" s="83"/>
    </row>
    <row r="2347">
      <c r="A2347" s="75" t="s">
        <v>33</v>
      </c>
      <c r="B2347" s="75" t="s">
        <v>1004</v>
      </c>
      <c r="C2347" s="75">
        <v>34.18</v>
      </c>
      <c r="D2347" s="75">
        <v>9.0</v>
      </c>
      <c r="E2347" s="75">
        <v>3.8</v>
      </c>
      <c r="F2347" s="75" t="s">
        <v>1005</v>
      </c>
      <c r="G2347" s="82">
        <v>46112.0</v>
      </c>
      <c r="H2347" s="76" t="s">
        <v>959</v>
      </c>
      <c r="I2347" s="83"/>
      <c r="J2347" s="83"/>
      <c r="K2347" s="83"/>
      <c r="L2347" s="83"/>
      <c r="M2347" s="83"/>
      <c r="N2347" s="83"/>
      <c r="O2347" s="83"/>
      <c r="P2347" s="83"/>
      <c r="Q2347" s="83"/>
      <c r="R2347" s="83"/>
      <c r="S2347" s="83"/>
      <c r="T2347" s="83"/>
      <c r="U2347" s="83"/>
      <c r="V2347" s="83"/>
      <c r="W2347" s="83"/>
      <c r="X2347" s="83"/>
      <c r="Y2347" s="83"/>
      <c r="Z2347" s="83"/>
    </row>
    <row r="2348">
      <c r="A2348" s="75" t="s">
        <v>46</v>
      </c>
      <c r="B2348" s="75" t="s">
        <v>1004</v>
      </c>
      <c r="C2348" s="75">
        <v>29.85</v>
      </c>
      <c r="D2348" s="75">
        <v>6.0</v>
      </c>
      <c r="E2348" s="75">
        <v>4.98</v>
      </c>
      <c r="F2348" s="75" t="s">
        <v>1005</v>
      </c>
      <c r="G2348" s="82">
        <v>46112.0</v>
      </c>
      <c r="H2348" s="76" t="s">
        <v>960</v>
      </c>
      <c r="I2348" s="83"/>
      <c r="J2348" s="83"/>
      <c r="K2348" s="83"/>
      <c r="L2348" s="83"/>
      <c r="M2348" s="83"/>
      <c r="N2348" s="83"/>
      <c r="O2348" s="83"/>
      <c r="P2348" s="83"/>
      <c r="Q2348" s="83"/>
      <c r="R2348" s="83"/>
      <c r="S2348" s="83"/>
      <c r="T2348" s="83"/>
      <c r="U2348" s="83"/>
      <c r="V2348" s="83"/>
      <c r="W2348" s="83"/>
      <c r="X2348" s="83"/>
      <c r="Y2348" s="83"/>
      <c r="Z2348" s="83"/>
    </row>
    <row r="2349">
      <c r="A2349" s="75" t="s">
        <v>46</v>
      </c>
      <c r="B2349" s="75" t="s">
        <v>1004</v>
      </c>
      <c r="C2349" s="75">
        <v>17.56</v>
      </c>
      <c r="D2349" s="75">
        <v>3.0</v>
      </c>
      <c r="E2349" s="75">
        <v>5.85</v>
      </c>
      <c r="F2349" s="75" t="s">
        <v>1005</v>
      </c>
      <c r="G2349" s="82">
        <v>46112.0</v>
      </c>
      <c r="H2349" s="76" t="s">
        <v>961</v>
      </c>
      <c r="I2349" s="83"/>
      <c r="J2349" s="83"/>
      <c r="K2349" s="83"/>
      <c r="L2349" s="83"/>
      <c r="M2349" s="83"/>
      <c r="N2349" s="83"/>
      <c r="O2349" s="83"/>
      <c r="P2349" s="83"/>
      <c r="Q2349" s="83"/>
      <c r="R2349" s="83"/>
      <c r="S2349" s="83"/>
      <c r="T2349" s="83"/>
      <c r="U2349" s="83"/>
      <c r="V2349" s="83"/>
      <c r="W2349" s="83"/>
      <c r="X2349" s="83"/>
      <c r="Y2349" s="83"/>
      <c r="Z2349" s="83"/>
    </row>
    <row r="2350">
      <c r="A2350" s="75" t="s">
        <v>46</v>
      </c>
      <c r="B2350" s="75" t="s">
        <v>1004</v>
      </c>
      <c r="C2350" s="75">
        <v>50.01</v>
      </c>
      <c r="D2350" s="75">
        <v>9.0</v>
      </c>
      <c r="E2350" s="75">
        <v>5.56</v>
      </c>
      <c r="F2350" s="75" t="s">
        <v>1005</v>
      </c>
      <c r="G2350" s="82">
        <v>46112.0</v>
      </c>
      <c r="H2350" s="76" t="s">
        <v>962</v>
      </c>
      <c r="I2350" s="83"/>
      <c r="J2350" s="83"/>
      <c r="K2350" s="83"/>
      <c r="L2350" s="83"/>
      <c r="M2350" s="83"/>
      <c r="N2350" s="83"/>
      <c r="O2350" s="83"/>
      <c r="P2350" s="83"/>
      <c r="Q2350" s="83"/>
      <c r="R2350" s="83"/>
      <c r="S2350" s="83"/>
      <c r="T2350" s="83"/>
      <c r="U2350" s="83"/>
      <c r="V2350" s="83"/>
      <c r="W2350" s="83"/>
      <c r="X2350" s="83"/>
      <c r="Y2350" s="83"/>
      <c r="Z2350" s="83"/>
    </row>
    <row r="2351">
      <c r="A2351" s="75" t="s">
        <v>43</v>
      </c>
      <c r="B2351" s="75" t="s">
        <v>1004</v>
      </c>
      <c r="C2351" s="75">
        <v>22.11</v>
      </c>
      <c r="D2351" s="75">
        <v>7.0</v>
      </c>
      <c r="E2351" s="75">
        <v>3.16</v>
      </c>
      <c r="F2351" s="75" t="s">
        <v>1005</v>
      </c>
      <c r="G2351" s="82">
        <v>46112.0</v>
      </c>
      <c r="H2351" s="76" t="s">
        <v>963</v>
      </c>
      <c r="I2351" s="83"/>
      <c r="J2351" s="83"/>
      <c r="K2351" s="83"/>
      <c r="L2351" s="83"/>
      <c r="M2351" s="83"/>
      <c r="N2351" s="83"/>
      <c r="O2351" s="83"/>
      <c r="P2351" s="83"/>
      <c r="Q2351" s="83"/>
      <c r="R2351" s="83"/>
      <c r="S2351" s="83"/>
      <c r="T2351" s="83"/>
      <c r="U2351" s="83"/>
      <c r="V2351" s="83"/>
      <c r="W2351" s="83"/>
      <c r="X2351" s="83"/>
      <c r="Y2351" s="83"/>
      <c r="Z2351" s="83"/>
    </row>
    <row r="2352">
      <c r="A2352" s="75" t="s">
        <v>43</v>
      </c>
      <c r="B2352" s="75" t="s">
        <v>1004</v>
      </c>
      <c r="C2352" s="75">
        <v>10.74</v>
      </c>
      <c r="D2352" s="75">
        <v>3.0</v>
      </c>
      <c r="E2352" s="75">
        <v>3.58</v>
      </c>
      <c r="F2352" s="75" t="s">
        <v>1005</v>
      </c>
      <c r="G2352" s="82">
        <v>46112.0</v>
      </c>
      <c r="H2352" s="76" t="s">
        <v>964</v>
      </c>
      <c r="I2352" s="83"/>
      <c r="J2352" s="83"/>
      <c r="K2352" s="83"/>
      <c r="L2352" s="83"/>
      <c r="M2352" s="83"/>
      <c r="N2352" s="83"/>
      <c r="O2352" s="83"/>
      <c r="P2352" s="83"/>
      <c r="Q2352" s="83"/>
      <c r="R2352" s="83"/>
      <c r="S2352" s="83"/>
      <c r="T2352" s="83"/>
      <c r="U2352" s="83"/>
      <c r="V2352" s="83"/>
      <c r="W2352" s="83"/>
      <c r="X2352" s="83"/>
      <c r="Y2352" s="83"/>
      <c r="Z2352" s="83"/>
    </row>
    <row r="2353">
      <c r="A2353" s="75" t="s">
        <v>43</v>
      </c>
      <c r="B2353" s="75" t="s">
        <v>1004</v>
      </c>
      <c r="C2353" s="75">
        <v>45.54</v>
      </c>
      <c r="D2353" s="75">
        <v>9.0</v>
      </c>
      <c r="E2353" s="75">
        <v>5.06</v>
      </c>
      <c r="F2353" s="75" t="s">
        <v>1005</v>
      </c>
      <c r="G2353" s="82">
        <v>46112.0</v>
      </c>
      <c r="H2353" s="76" t="s">
        <v>965</v>
      </c>
      <c r="I2353" s="83"/>
      <c r="J2353" s="83"/>
      <c r="K2353" s="83"/>
      <c r="L2353" s="83"/>
      <c r="M2353" s="83"/>
      <c r="N2353" s="83"/>
      <c r="O2353" s="83"/>
      <c r="P2353" s="83"/>
      <c r="Q2353" s="83"/>
      <c r="R2353" s="83"/>
      <c r="S2353" s="83"/>
      <c r="T2353" s="83"/>
      <c r="U2353" s="83"/>
      <c r="V2353" s="83"/>
      <c r="W2353" s="83"/>
      <c r="X2353" s="83"/>
      <c r="Y2353" s="83"/>
      <c r="Z2353" s="83"/>
    </row>
    <row r="2354">
      <c r="A2354" s="75" t="s">
        <v>966</v>
      </c>
      <c r="B2354" s="75" t="s">
        <v>1004</v>
      </c>
      <c r="C2354" s="75">
        <v>347.4</v>
      </c>
      <c r="D2354" s="75">
        <v>72.0</v>
      </c>
      <c r="E2354" s="75">
        <v>4.82</v>
      </c>
      <c r="F2354" s="75" t="s">
        <v>1005</v>
      </c>
      <c r="G2354" s="82">
        <v>46112.0</v>
      </c>
      <c r="H2354" s="76" t="s">
        <v>967</v>
      </c>
      <c r="I2354" s="83"/>
      <c r="J2354" s="83"/>
      <c r="K2354" s="83"/>
      <c r="L2354" s="83"/>
      <c r="M2354" s="83"/>
      <c r="N2354" s="83"/>
      <c r="O2354" s="83"/>
      <c r="P2354" s="83"/>
      <c r="Q2354" s="83"/>
      <c r="R2354" s="83"/>
      <c r="S2354" s="83"/>
      <c r="T2354" s="83"/>
      <c r="U2354" s="83"/>
      <c r="V2354" s="83"/>
      <c r="W2354" s="83"/>
      <c r="X2354" s="83"/>
      <c r="Y2354" s="83"/>
      <c r="Z2354" s="83"/>
    </row>
    <row r="2355">
      <c r="A2355" s="75" t="s">
        <v>966</v>
      </c>
      <c r="B2355" s="75" t="s">
        <v>1004</v>
      </c>
      <c r="C2355" s="75">
        <v>8.75</v>
      </c>
      <c r="D2355" s="75">
        <v>1.0</v>
      </c>
      <c r="E2355" s="75">
        <v>8.75</v>
      </c>
      <c r="F2355" s="75" t="s">
        <v>1005</v>
      </c>
      <c r="G2355" s="82">
        <v>46112.0</v>
      </c>
      <c r="H2355" s="76" t="s">
        <v>968</v>
      </c>
      <c r="I2355" s="83"/>
      <c r="J2355" s="83"/>
      <c r="K2355" s="83"/>
      <c r="L2355" s="83"/>
      <c r="M2355" s="83"/>
      <c r="N2355" s="83"/>
      <c r="O2355" s="83"/>
      <c r="P2355" s="83"/>
      <c r="Q2355" s="83"/>
      <c r="R2355" s="83"/>
      <c r="S2355" s="83"/>
      <c r="T2355" s="83"/>
      <c r="U2355" s="83"/>
      <c r="V2355" s="83"/>
      <c r="W2355" s="83"/>
      <c r="X2355" s="83"/>
      <c r="Y2355" s="83"/>
      <c r="Z2355" s="83"/>
    </row>
    <row r="2356">
      <c r="A2356" s="75" t="s">
        <v>966</v>
      </c>
      <c r="B2356" s="75" t="s">
        <v>1004</v>
      </c>
      <c r="C2356" s="75">
        <v>115.3</v>
      </c>
      <c r="D2356" s="75">
        <v>30.0</v>
      </c>
      <c r="E2356" s="75">
        <v>3.84</v>
      </c>
      <c r="F2356" s="75" t="s">
        <v>1005</v>
      </c>
      <c r="G2356" s="82">
        <v>46112.0</v>
      </c>
      <c r="H2356" s="76" t="s">
        <v>969</v>
      </c>
      <c r="I2356" s="83"/>
      <c r="J2356" s="83"/>
      <c r="K2356" s="83"/>
      <c r="L2356" s="83"/>
      <c r="M2356" s="83"/>
      <c r="N2356" s="83"/>
      <c r="O2356" s="83"/>
      <c r="P2356" s="83"/>
      <c r="Q2356" s="83"/>
      <c r="R2356" s="83"/>
      <c r="S2356" s="83"/>
      <c r="T2356" s="83"/>
      <c r="U2356" s="83"/>
      <c r="V2356" s="83"/>
      <c r="W2356" s="83"/>
      <c r="X2356" s="83"/>
      <c r="Y2356" s="83"/>
      <c r="Z2356" s="83"/>
    </row>
    <row r="2357">
      <c r="A2357" s="75" t="s">
        <v>36</v>
      </c>
      <c r="B2357" s="75" t="s">
        <v>1004</v>
      </c>
      <c r="C2357" s="75">
        <v>165.85</v>
      </c>
      <c r="D2357" s="75">
        <v>45.0</v>
      </c>
      <c r="E2357" s="75">
        <v>3.69</v>
      </c>
      <c r="F2357" s="75" t="s">
        <v>1005</v>
      </c>
      <c r="G2357" s="82">
        <v>46112.0</v>
      </c>
      <c r="H2357" s="76" t="s">
        <v>926</v>
      </c>
      <c r="I2357" s="83"/>
      <c r="J2357" s="83"/>
      <c r="K2357" s="83"/>
      <c r="L2357" s="83"/>
      <c r="M2357" s="83"/>
      <c r="N2357" s="83"/>
      <c r="O2357" s="83"/>
      <c r="P2357" s="83"/>
      <c r="Q2357" s="83"/>
      <c r="R2357" s="83"/>
      <c r="S2357" s="83"/>
      <c r="T2357" s="83"/>
      <c r="U2357" s="83"/>
      <c r="V2357" s="83"/>
      <c r="W2357" s="83"/>
      <c r="X2357" s="83"/>
      <c r="Y2357" s="83"/>
      <c r="Z2357" s="83"/>
    </row>
    <row r="2358">
      <c r="A2358" s="75" t="s">
        <v>36</v>
      </c>
      <c r="B2358" s="75" t="s">
        <v>1004</v>
      </c>
      <c r="C2358" s="75">
        <v>11.06</v>
      </c>
      <c r="D2358" s="75">
        <v>1.0</v>
      </c>
      <c r="E2358" s="75">
        <v>11.06</v>
      </c>
      <c r="F2358" s="75" t="s">
        <v>1005</v>
      </c>
      <c r="G2358" s="82">
        <v>46112.0</v>
      </c>
      <c r="H2358" s="76" t="s">
        <v>927</v>
      </c>
      <c r="I2358" s="83"/>
      <c r="J2358" s="83"/>
      <c r="K2358" s="83"/>
      <c r="L2358" s="83"/>
      <c r="M2358" s="83"/>
      <c r="N2358" s="83"/>
      <c r="O2358" s="83"/>
      <c r="P2358" s="83"/>
      <c r="Q2358" s="83"/>
      <c r="R2358" s="83"/>
      <c r="S2358" s="83"/>
      <c r="T2358" s="83"/>
      <c r="U2358" s="83"/>
      <c r="V2358" s="83"/>
      <c r="W2358" s="83"/>
      <c r="X2358" s="83"/>
      <c r="Y2358" s="83"/>
      <c r="Z2358" s="83"/>
    </row>
    <row r="2359">
      <c r="A2359" s="75" t="s">
        <v>36</v>
      </c>
      <c r="B2359" s="75" t="s">
        <v>1004</v>
      </c>
      <c r="C2359" s="75">
        <v>12.24</v>
      </c>
      <c r="D2359" s="75">
        <v>4.0</v>
      </c>
      <c r="E2359" s="75">
        <v>3.06</v>
      </c>
      <c r="F2359" s="75" t="s">
        <v>1005</v>
      </c>
      <c r="G2359" s="82">
        <v>46112.0</v>
      </c>
      <c r="H2359" s="76" t="s">
        <v>928</v>
      </c>
      <c r="I2359" s="83"/>
      <c r="J2359" s="83"/>
      <c r="K2359" s="83"/>
      <c r="L2359" s="83"/>
      <c r="M2359" s="83"/>
      <c r="N2359" s="83"/>
      <c r="O2359" s="83"/>
      <c r="P2359" s="83"/>
      <c r="Q2359" s="83"/>
      <c r="R2359" s="83"/>
      <c r="S2359" s="83"/>
      <c r="T2359" s="83"/>
      <c r="U2359" s="83"/>
      <c r="V2359" s="83"/>
      <c r="W2359" s="83"/>
      <c r="X2359" s="83"/>
      <c r="Y2359" s="83"/>
      <c r="Z2359" s="83"/>
    </row>
    <row r="2360">
      <c r="A2360" s="75" t="s">
        <v>970</v>
      </c>
      <c r="B2360" s="75" t="s">
        <v>1004</v>
      </c>
      <c r="C2360" s="75">
        <v>221.67</v>
      </c>
      <c r="D2360" s="75">
        <v>74.0</v>
      </c>
      <c r="E2360" s="75">
        <v>3.0</v>
      </c>
      <c r="F2360" s="75" t="s">
        <v>1005</v>
      </c>
      <c r="G2360" s="82">
        <v>46112.0</v>
      </c>
      <c r="H2360" s="76" t="s">
        <v>971</v>
      </c>
      <c r="I2360" s="83"/>
      <c r="J2360" s="83"/>
      <c r="K2360" s="83"/>
      <c r="L2360" s="83"/>
      <c r="M2360" s="83"/>
      <c r="N2360" s="83"/>
      <c r="O2360" s="83"/>
      <c r="P2360" s="83"/>
      <c r="Q2360" s="83"/>
      <c r="R2360" s="83"/>
      <c r="S2360" s="83"/>
      <c r="T2360" s="83"/>
      <c r="U2360" s="83"/>
      <c r="V2360" s="83"/>
      <c r="W2360" s="83"/>
      <c r="X2360" s="83"/>
      <c r="Y2360" s="83"/>
      <c r="Z2360" s="83"/>
    </row>
    <row r="2361">
      <c r="A2361" s="75" t="s">
        <v>970</v>
      </c>
      <c r="B2361" s="75" t="s">
        <v>1004</v>
      </c>
      <c r="C2361" s="75">
        <v>10.82</v>
      </c>
      <c r="D2361" s="75">
        <v>7.0</v>
      </c>
      <c r="E2361" s="75">
        <v>1.55</v>
      </c>
      <c r="F2361" s="75" t="s">
        <v>1005</v>
      </c>
      <c r="G2361" s="82">
        <v>46112.0</v>
      </c>
      <c r="H2361" s="76" t="s">
        <v>972</v>
      </c>
      <c r="I2361" s="83"/>
      <c r="J2361" s="83"/>
      <c r="K2361" s="83"/>
      <c r="L2361" s="83"/>
      <c r="M2361" s="83"/>
      <c r="N2361" s="83"/>
      <c r="O2361" s="83"/>
      <c r="P2361" s="83"/>
      <c r="Q2361" s="83"/>
      <c r="R2361" s="83"/>
      <c r="S2361" s="83"/>
      <c r="T2361" s="83"/>
      <c r="U2361" s="83"/>
      <c r="V2361" s="83"/>
      <c r="W2361" s="83"/>
      <c r="X2361" s="83"/>
      <c r="Y2361" s="83"/>
      <c r="Z2361" s="83"/>
    </row>
    <row r="2362">
      <c r="A2362" s="75" t="s">
        <v>970</v>
      </c>
      <c r="B2362" s="75" t="s">
        <v>1004</v>
      </c>
      <c r="C2362" s="75">
        <v>469.27</v>
      </c>
      <c r="D2362" s="75">
        <v>155.0</v>
      </c>
      <c r="E2362" s="75">
        <v>3.03</v>
      </c>
      <c r="F2362" s="75" t="s">
        <v>1005</v>
      </c>
      <c r="G2362" s="82">
        <v>46112.0</v>
      </c>
      <c r="H2362" s="76" t="s">
        <v>973</v>
      </c>
      <c r="I2362" s="83"/>
      <c r="J2362" s="83"/>
      <c r="K2362" s="83"/>
      <c r="L2362" s="83"/>
      <c r="M2362" s="83"/>
      <c r="N2362" s="83"/>
      <c r="O2362" s="83"/>
      <c r="P2362" s="83"/>
      <c r="Q2362" s="83"/>
      <c r="R2362" s="83"/>
      <c r="S2362" s="83"/>
      <c r="T2362" s="83"/>
      <c r="U2362" s="83"/>
      <c r="V2362" s="83"/>
      <c r="W2362" s="83"/>
      <c r="X2362" s="83"/>
      <c r="Y2362" s="83"/>
      <c r="Z2362" s="83"/>
    </row>
    <row r="2363">
      <c r="A2363" s="75" t="s">
        <v>29</v>
      </c>
      <c r="B2363" s="75" t="s">
        <v>1004</v>
      </c>
      <c r="C2363" s="75">
        <v>181.47</v>
      </c>
      <c r="D2363" s="75">
        <v>54.0</v>
      </c>
      <c r="E2363" s="75">
        <v>3.36</v>
      </c>
      <c r="F2363" s="75" t="s">
        <v>1005</v>
      </c>
      <c r="G2363" s="82">
        <v>46112.0</v>
      </c>
      <c r="H2363" s="76" t="s">
        <v>1015</v>
      </c>
      <c r="I2363" s="83"/>
      <c r="J2363" s="83"/>
      <c r="K2363" s="83"/>
      <c r="L2363" s="83"/>
      <c r="M2363" s="83"/>
      <c r="N2363" s="83"/>
      <c r="O2363" s="83"/>
      <c r="P2363" s="83"/>
      <c r="Q2363" s="83"/>
      <c r="R2363" s="83"/>
      <c r="S2363" s="83"/>
      <c r="T2363" s="83"/>
      <c r="U2363" s="83"/>
      <c r="V2363" s="83"/>
      <c r="W2363" s="83"/>
      <c r="X2363" s="83"/>
      <c r="Y2363" s="83"/>
      <c r="Z2363" s="83"/>
    </row>
    <row r="2364">
      <c r="A2364" s="75" t="s">
        <v>29</v>
      </c>
      <c r="B2364" s="75" t="s">
        <v>1004</v>
      </c>
      <c r="C2364" s="75">
        <v>23.25</v>
      </c>
      <c r="D2364" s="75">
        <v>5.0</v>
      </c>
      <c r="E2364" s="75">
        <v>4.65</v>
      </c>
      <c r="F2364" s="75" t="s">
        <v>1005</v>
      </c>
      <c r="G2364" s="82">
        <v>46112.0</v>
      </c>
      <c r="H2364" s="76" t="s">
        <v>1016</v>
      </c>
      <c r="I2364" s="83"/>
      <c r="J2364" s="83"/>
      <c r="K2364" s="83"/>
      <c r="L2364" s="83"/>
      <c r="M2364" s="83"/>
      <c r="N2364" s="83"/>
      <c r="O2364" s="83"/>
      <c r="P2364" s="83"/>
      <c r="Q2364" s="83"/>
      <c r="R2364" s="83"/>
      <c r="S2364" s="83"/>
      <c r="T2364" s="83"/>
      <c r="U2364" s="83"/>
      <c r="V2364" s="83"/>
      <c r="W2364" s="83"/>
      <c r="X2364" s="83"/>
      <c r="Y2364" s="83"/>
      <c r="Z2364" s="83"/>
    </row>
    <row r="2365">
      <c r="A2365" s="75" t="s">
        <v>29</v>
      </c>
      <c r="B2365" s="75" t="s">
        <v>1004</v>
      </c>
      <c r="C2365" s="75">
        <v>11.73</v>
      </c>
      <c r="D2365" s="75">
        <v>3.0</v>
      </c>
      <c r="E2365" s="75">
        <v>3.91</v>
      </c>
      <c r="F2365" s="75" t="s">
        <v>1005</v>
      </c>
      <c r="G2365" s="82">
        <v>46112.0</v>
      </c>
      <c r="H2365" s="76" t="s">
        <v>1017</v>
      </c>
      <c r="I2365" s="83"/>
      <c r="J2365" s="83"/>
      <c r="K2365" s="83"/>
      <c r="L2365" s="83"/>
      <c r="M2365" s="83"/>
      <c r="N2365" s="83"/>
      <c r="O2365" s="83"/>
      <c r="P2365" s="83"/>
      <c r="Q2365" s="83"/>
      <c r="R2365" s="83"/>
      <c r="S2365" s="83"/>
      <c r="T2365" s="83"/>
      <c r="U2365" s="83"/>
      <c r="V2365" s="83"/>
      <c r="W2365" s="83"/>
      <c r="X2365" s="83"/>
      <c r="Y2365" s="83"/>
      <c r="Z2365" s="83"/>
    </row>
    <row r="2366">
      <c r="A2366" s="75" t="s">
        <v>34</v>
      </c>
      <c r="B2366" s="75" t="s">
        <v>1004</v>
      </c>
      <c r="C2366" s="75">
        <v>1.74</v>
      </c>
      <c r="D2366" s="75">
        <v>0.0</v>
      </c>
      <c r="E2366" s="75">
        <v>0.0</v>
      </c>
      <c r="F2366" s="75" t="s">
        <v>996</v>
      </c>
      <c r="G2366" s="82">
        <v>46112.0</v>
      </c>
      <c r="H2366" s="76" t="s">
        <v>951</v>
      </c>
      <c r="I2366" s="83"/>
      <c r="J2366" s="83"/>
      <c r="K2366" s="83"/>
      <c r="L2366" s="83"/>
      <c r="M2366" s="83"/>
      <c r="N2366" s="83"/>
      <c r="O2366" s="83"/>
      <c r="P2366" s="83"/>
      <c r="Q2366" s="83"/>
      <c r="R2366" s="83"/>
      <c r="S2366" s="83"/>
      <c r="T2366" s="83"/>
      <c r="U2366" s="83"/>
      <c r="V2366" s="83"/>
      <c r="W2366" s="83"/>
      <c r="X2366" s="83"/>
      <c r="Y2366" s="83"/>
      <c r="Z2366" s="83"/>
    </row>
    <row r="2367">
      <c r="A2367" s="75" t="s">
        <v>34</v>
      </c>
      <c r="B2367" s="75" t="s">
        <v>1004</v>
      </c>
      <c r="C2367" s="75">
        <v>4.17</v>
      </c>
      <c r="D2367" s="75">
        <v>0.0</v>
      </c>
      <c r="E2367" s="75">
        <v>0.0</v>
      </c>
      <c r="F2367" s="75" t="s">
        <v>996</v>
      </c>
      <c r="G2367" s="82">
        <v>46112.0</v>
      </c>
      <c r="H2367" s="76" t="s">
        <v>952</v>
      </c>
      <c r="I2367" s="83"/>
      <c r="J2367" s="83"/>
      <c r="K2367" s="83"/>
      <c r="L2367" s="83"/>
      <c r="M2367" s="83"/>
      <c r="N2367" s="83"/>
      <c r="O2367" s="83"/>
      <c r="P2367" s="83"/>
      <c r="Q2367" s="83"/>
      <c r="R2367" s="83"/>
      <c r="S2367" s="83"/>
      <c r="T2367" s="83"/>
      <c r="U2367" s="83"/>
      <c r="V2367" s="83"/>
      <c r="W2367" s="83"/>
      <c r="X2367" s="83"/>
      <c r="Y2367" s="83"/>
      <c r="Z2367" s="83"/>
    </row>
    <row r="2368">
      <c r="A2368" s="75" t="s">
        <v>34</v>
      </c>
      <c r="B2368" s="75" t="s">
        <v>1004</v>
      </c>
      <c r="C2368" s="75">
        <v>14.78</v>
      </c>
      <c r="D2368" s="75">
        <v>0.0</v>
      </c>
      <c r="E2368" s="75">
        <v>0.0</v>
      </c>
      <c r="F2368" s="75" t="s">
        <v>996</v>
      </c>
      <c r="G2368" s="82">
        <v>46112.0</v>
      </c>
      <c r="H2368" s="76" t="s">
        <v>953</v>
      </c>
      <c r="I2368" s="83"/>
      <c r="J2368" s="83"/>
      <c r="K2368" s="83"/>
      <c r="L2368" s="83"/>
      <c r="M2368" s="83"/>
      <c r="N2368" s="83"/>
      <c r="O2368" s="83"/>
      <c r="P2368" s="83"/>
      <c r="Q2368" s="83"/>
      <c r="R2368" s="83"/>
      <c r="S2368" s="83"/>
      <c r="T2368" s="83"/>
      <c r="U2368" s="83"/>
      <c r="V2368" s="83"/>
      <c r="W2368" s="83"/>
      <c r="X2368" s="83"/>
      <c r="Y2368" s="83"/>
      <c r="Z2368" s="83"/>
    </row>
    <row r="2369">
      <c r="A2369" s="75" t="s">
        <v>40</v>
      </c>
      <c r="B2369" s="75" t="s">
        <v>1004</v>
      </c>
      <c r="C2369" s="75">
        <v>1.37</v>
      </c>
      <c r="D2369" s="75">
        <v>1.0</v>
      </c>
      <c r="E2369" s="75">
        <v>1.37</v>
      </c>
      <c r="F2369" s="75" t="s">
        <v>996</v>
      </c>
      <c r="G2369" s="82">
        <v>46112.0</v>
      </c>
      <c r="H2369" s="76" t="s">
        <v>954</v>
      </c>
      <c r="I2369" s="83"/>
      <c r="J2369" s="83"/>
      <c r="K2369" s="83"/>
      <c r="L2369" s="83"/>
      <c r="M2369" s="83"/>
      <c r="N2369" s="83"/>
      <c r="O2369" s="83"/>
      <c r="P2369" s="83"/>
      <c r="Q2369" s="83"/>
      <c r="R2369" s="83"/>
      <c r="S2369" s="83"/>
      <c r="T2369" s="83"/>
      <c r="U2369" s="83"/>
      <c r="V2369" s="83"/>
      <c r="W2369" s="83"/>
      <c r="X2369" s="83"/>
      <c r="Y2369" s="83"/>
      <c r="Z2369" s="83"/>
    </row>
    <row r="2370">
      <c r="A2370" s="75" t="s">
        <v>40</v>
      </c>
      <c r="B2370" s="75" t="s">
        <v>1004</v>
      </c>
      <c r="C2370" s="75">
        <v>0.27</v>
      </c>
      <c r="D2370" s="75">
        <v>0.0</v>
      </c>
      <c r="E2370" s="75">
        <v>0.0</v>
      </c>
      <c r="F2370" s="75" t="s">
        <v>996</v>
      </c>
      <c r="G2370" s="82">
        <v>46112.0</v>
      </c>
      <c r="H2370" s="76" t="s">
        <v>955</v>
      </c>
      <c r="I2370" s="83"/>
      <c r="J2370" s="83"/>
      <c r="K2370" s="83"/>
      <c r="L2370" s="83"/>
      <c r="M2370" s="83"/>
      <c r="N2370" s="83"/>
      <c r="O2370" s="83"/>
      <c r="P2370" s="83"/>
      <c r="Q2370" s="83"/>
      <c r="R2370" s="83"/>
      <c r="S2370" s="83"/>
      <c r="T2370" s="83"/>
      <c r="U2370" s="83"/>
      <c r="V2370" s="83"/>
      <c r="W2370" s="83"/>
      <c r="X2370" s="83"/>
      <c r="Y2370" s="83"/>
      <c r="Z2370" s="83"/>
    </row>
    <row r="2371">
      <c r="A2371" s="75" t="s">
        <v>40</v>
      </c>
      <c r="B2371" s="75" t="s">
        <v>1004</v>
      </c>
      <c r="C2371" s="75">
        <v>18.8</v>
      </c>
      <c r="D2371" s="75">
        <v>1.0</v>
      </c>
      <c r="E2371" s="75">
        <v>18.8</v>
      </c>
      <c r="F2371" s="75" t="s">
        <v>996</v>
      </c>
      <c r="G2371" s="82">
        <v>46112.0</v>
      </c>
      <c r="H2371" s="76" t="s">
        <v>956</v>
      </c>
      <c r="I2371" s="83"/>
      <c r="J2371" s="83"/>
      <c r="K2371" s="83"/>
      <c r="L2371" s="83"/>
      <c r="M2371" s="83"/>
      <c r="N2371" s="83"/>
      <c r="O2371" s="83"/>
      <c r="P2371" s="83"/>
      <c r="Q2371" s="83"/>
      <c r="R2371" s="83"/>
      <c r="S2371" s="83"/>
      <c r="T2371" s="83"/>
      <c r="U2371" s="83"/>
      <c r="V2371" s="83"/>
      <c r="W2371" s="83"/>
      <c r="X2371" s="83"/>
      <c r="Y2371" s="83"/>
      <c r="Z2371" s="83"/>
    </row>
    <row r="2372">
      <c r="A2372" s="75" t="s">
        <v>33</v>
      </c>
      <c r="B2372" s="75" t="s">
        <v>1004</v>
      </c>
      <c r="C2372" s="75">
        <v>26.01</v>
      </c>
      <c r="D2372" s="75">
        <v>31.0</v>
      </c>
      <c r="E2372" s="75">
        <v>0.84</v>
      </c>
      <c r="F2372" s="75" t="s">
        <v>996</v>
      </c>
      <c r="G2372" s="82">
        <v>46112.0</v>
      </c>
      <c r="H2372" s="76" t="s">
        <v>957</v>
      </c>
      <c r="I2372" s="83"/>
      <c r="J2372" s="83"/>
      <c r="K2372" s="83"/>
      <c r="L2372" s="83"/>
      <c r="M2372" s="83"/>
      <c r="N2372" s="83"/>
      <c r="O2372" s="83"/>
      <c r="P2372" s="83"/>
      <c r="Q2372" s="83"/>
      <c r="R2372" s="83"/>
      <c r="S2372" s="83"/>
      <c r="T2372" s="83"/>
      <c r="U2372" s="83"/>
      <c r="V2372" s="83"/>
      <c r="W2372" s="83"/>
      <c r="X2372" s="83"/>
      <c r="Y2372" s="83"/>
      <c r="Z2372" s="83"/>
    </row>
    <row r="2373">
      <c r="A2373" s="75" t="s">
        <v>33</v>
      </c>
      <c r="B2373" s="75" t="s">
        <v>1004</v>
      </c>
      <c r="C2373" s="75">
        <v>2.17</v>
      </c>
      <c r="D2373" s="75">
        <v>1.0</v>
      </c>
      <c r="E2373" s="75">
        <v>2.17</v>
      </c>
      <c r="F2373" s="75" t="s">
        <v>996</v>
      </c>
      <c r="G2373" s="82">
        <v>46112.0</v>
      </c>
      <c r="H2373" s="76" t="s">
        <v>958</v>
      </c>
      <c r="I2373" s="83"/>
      <c r="J2373" s="83"/>
      <c r="K2373" s="83"/>
      <c r="L2373" s="83"/>
      <c r="M2373" s="83"/>
      <c r="N2373" s="83"/>
      <c r="O2373" s="83"/>
      <c r="P2373" s="83"/>
      <c r="Q2373" s="83"/>
      <c r="R2373" s="83"/>
      <c r="S2373" s="83"/>
      <c r="T2373" s="83"/>
      <c r="U2373" s="83"/>
      <c r="V2373" s="83"/>
      <c r="W2373" s="83"/>
      <c r="X2373" s="83"/>
      <c r="Y2373" s="83"/>
      <c r="Z2373" s="83"/>
    </row>
    <row r="2374">
      <c r="A2374" s="75" t="s">
        <v>33</v>
      </c>
      <c r="B2374" s="75" t="s">
        <v>1004</v>
      </c>
      <c r="C2374" s="75">
        <v>4.23</v>
      </c>
      <c r="D2374" s="75">
        <v>11.0</v>
      </c>
      <c r="E2374" s="75">
        <v>0.38</v>
      </c>
      <c r="F2374" s="75" t="s">
        <v>996</v>
      </c>
      <c r="G2374" s="82">
        <v>46112.0</v>
      </c>
      <c r="H2374" s="76" t="s">
        <v>959</v>
      </c>
      <c r="I2374" s="83"/>
      <c r="J2374" s="83"/>
      <c r="K2374" s="83"/>
      <c r="L2374" s="83"/>
      <c r="M2374" s="83"/>
      <c r="N2374" s="83"/>
      <c r="O2374" s="83"/>
      <c r="P2374" s="83"/>
      <c r="Q2374" s="83"/>
      <c r="R2374" s="83"/>
      <c r="S2374" s="83"/>
      <c r="T2374" s="83"/>
      <c r="U2374" s="83"/>
      <c r="V2374" s="83"/>
      <c r="W2374" s="83"/>
      <c r="X2374" s="83"/>
      <c r="Y2374" s="83"/>
      <c r="Z2374" s="83"/>
    </row>
    <row r="2375">
      <c r="A2375" s="75" t="s">
        <v>46</v>
      </c>
      <c r="B2375" s="75" t="s">
        <v>1004</v>
      </c>
      <c r="C2375" s="75">
        <v>8.95</v>
      </c>
      <c r="D2375" s="75">
        <v>0.0</v>
      </c>
      <c r="E2375" s="75">
        <v>0.0</v>
      </c>
      <c r="F2375" s="75" t="s">
        <v>996</v>
      </c>
      <c r="G2375" s="82">
        <v>46112.0</v>
      </c>
      <c r="H2375" s="76" t="s">
        <v>960</v>
      </c>
      <c r="I2375" s="83"/>
      <c r="J2375" s="83"/>
      <c r="K2375" s="83"/>
      <c r="L2375" s="83"/>
      <c r="M2375" s="83"/>
      <c r="N2375" s="83"/>
      <c r="O2375" s="83"/>
      <c r="P2375" s="83"/>
      <c r="Q2375" s="83"/>
      <c r="R2375" s="83"/>
      <c r="S2375" s="83"/>
      <c r="T2375" s="83"/>
      <c r="U2375" s="83"/>
      <c r="V2375" s="83"/>
      <c r="W2375" s="83"/>
      <c r="X2375" s="83"/>
      <c r="Y2375" s="83"/>
      <c r="Z2375" s="83"/>
    </row>
    <row r="2376">
      <c r="A2376" s="75" t="s">
        <v>46</v>
      </c>
      <c r="B2376" s="75" t="s">
        <v>1004</v>
      </c>
      <c r="C2376" s="75">
        <v>1.54</v>
      </c>
      <c r="D2376" s="75">
        <v>0.0</v>
      </c>
      <c r="E2376" s="75">
        <v>0.0</v>
      </c>
      <c r="F2376" s="75" t="s">
        <v>996</v>
      </c>
      <c r="G2376" s="82">
        <v>46112.0</v>
      </c>
      <c r="H2376" s="76" t="s">
        <v>961</v>
      </c>
      <c r="I2376" s="83"/>
      <c r="J2376" s="83"/>
      <c r="K2376" s="83"/>
      <c r="L2376" s="83"/>
      <c r="M2376" s="83"/>
      <c r="N2376" s="83"/>
      <c r="O2376" s="83"/>
      <c r="P2376" s="83"/>
      <c r="Q2376" s="83"/>
      <c r="R2376" s="83"/>
      <c r="S2376" s="83"/>
      <c r="T2376" s="83"/>
      <c r="U2376" s="83"/>
      <c r="V2376" s="83"/>
      <c r="W2376" s="83"/>
      <c r="X2376" s="83"/>
      <c r="Y2376" s="83"/>
      <c r="Z2376" s="83"/>
    </row>
    <row r="2377">
      <c r="A2377" s="75" t="s">
        <v>46</v>
      </c>
      <c r="B2377" s="75" t="s">
        <v>1004</v>
      </c>
      <c r="C2377" s="75">
        <v>4.36</v>
      </c>
      <c r="D2377" s="75">
        <v>0.0</v>
      </c>
      <c r="E2377" s="75">
        <v>0.0</v>
      </c>
      <c r="F2377" s="75" t="s">
        <v>996</v>
      </c>
      <c r="G2377" s="82">
        <v>46112.0</v>
      </c>
      <c r="H2377" s="76" t="s">
        <v>962</v>
      </c>
      <c r="I2377" s="83"/>
      <c r="J2377" s="83"/>
      <c r="K2377" s="83"/>
      <c r="L2377" s="83"/>
      <c r="M2377" s="83"/>
      <c r="N2377" s="83"/>
      <c r="O2377" s="83"/>
      <c r="P2377" s="83"/>
      <c r="Q2377" s="83"/>
      <c r="R2377" s="83"/>
      <c r="S2377" s="83"/>
      <c r="T2377" s="83"/>
      <c r="U2377" s="83"/>
      <c r="V2377" s="83"/>
      <c r="W2377" s="83"/>
      <c r="X2377" s="83"/>
      <c r="Y2377" s="83"/>
      <c r="Z2377" s="83"/>
    </row>
    <row r="2378">
      <c r="A2378" s="75" t="s">
        <v>43</v>
      </c>
      <c r="B2378" s="75" t="s">
        <v>1004</v>
      </c>
      <c r="C2378" s="75">
        <v>1.27</v>
      </c>
      <c r="D2378" s="75">
        <v>0.0</v>
      </c>
      <c r="E2378" s="75">
        <v>0.0</v>
      </c>
      <c r="F2378" s="75" t="s">
        <v>996</v>
      </c>
      <c r="G2378" s="82">
        <v>46112.0</v>
      </c>
      <c r="H2378" s="76" t="s">
        <v>963</v>
      </c>
      <c r="I2378" s="83"/>
      <c r="J2378" s="83"/>
      <c r="K2378" s="83"/>
      <c r="L2378" s="83"/>
      <c r="M2378" s="83"/>
      <c r="N2378" s="83"/>
      <c r="O2378" s="83"/>
      <c r="P2378" s="83"/>
      <c r="Q2378" s="83"/>
      <c r="R2378" s="83"/>
      <c r="S2378" s="83"/>
      <c r="T2378" s="83"/>
      <c r="U2378" s="83"/>
      <c r="V2378" s="83"/>
      <c r="W2378" s="83"/>
      <c r="X2378" s="83"/>
      <c r="Y2378" s="83"/>
      <c r="Z2378" s="83"/>
    </row>
    <row r="2379">
      <c r="A2379" s="75" t="s">
        <v>43</v>
      </c>
      <c r="B2379" s="75" t="s">
        <v>1004</v>
      </c>
      <c r="C2379" s="75">
        <v>1.13</v>
      </c>
      <c r="D2379" s="75">
        <v>0.0</v>
      </c>
      <c r="E2379" s="75">
        <v>0.0</v>
      </c>
      <c r="F2379" s="75" t="s">
        <v>996</v>
      </c>
      <c r="G2379" s="82">
        <v>46112.0</v>
      </c>
      <c r="H2379" s="76" t="s">
        <v>964</v>
      </c>
      <c r="I2379" s="83"/>
      <c r="J2379" s="83"/>
      <c r="K2379" s="83"/>
      <c r="L2379" s="83"/>
      <c r="M2379" s="83"/>
      <c r="N2379" s="83"/>
      <c r="O2379" s="83"/>
      <c r="P2379" s="83"/>
      <c r="Q2379" s="83"/>
      <c r="R2379" s="83"/>
      <c r="S2379" s="83"/>
      <c r="T2379" s="83"/>
      <c r="U2379" s="83"/>
      <c r="V2379" s="83"/>
      <c r="W2379" s="83"/>
      <c r="X2379" s="83"/>
      <c r="Y2379" s="83"/>
      <c r="Z2379" s="83"/>
    </row>
    <row r="2380">
      <c r="A2380" s="75" t="s">
        <v>43</v>
      </c>
      <c r="B2380" s="75" t="s">
        <v>1004</v>
      </c>
      <c r="C2380" s="75">
        <v>3.98</v>
      </c>
      <c r="D2380" s="75">
        <v>1.0</v>
      </c>
      <c r="E2380" s="75">
        <v>3.98</v>
      </c>
      <c r="F2380" s="75" t="s">
        <v>996</v>
      </c>
      <c r="G2380" s="82">
        <v>46112.0</v>
      </c>
      <c r="H2380" s="76" t="s">
        <v>965</v>
      </c>
      <c r="I2380" s="83"/>
      <c r="J2380" s="83"/>
      <c r="K2380" s="83"/>
      <c r="L2380" s="83"/>
      <c r="M2380" s="83"/>
      <c r="N2380" s="83"/>
      <c r="O2380" s="83"/>
      <c r="P2380" s="83"/>
      <c r="Q2380" s="83"/>
      <c r="R2380" s="83"/>
      <c r="S2380" s="83"/>
      <c r="T2380" s="83"/>
      <c r="U2380" s="83"/>
      <c r="V2380" s="83"/>
      <c r="W2380" s="83"/>
      <c r="X2380" s="83"/>
      <c r="Y2380" s="83"/>
      <c r="Z2380" s="83"/>
    </row>
    <row r="2381">
      <c r="A2381" s="75" t="s">
        <v>966</v>
      </c>
      <c r="B2381" s="75" t="s">
        <v>1004</v>
      </c>
      <c r="C2381" s="75">
        <v>4.45</v>
      </c>
      <c r="D2381" s="75">
        <v>1.0</v>
      </c>
      <c r="E2381" s="75">
        <v>4.45</v>
      </c>
      <c r="F2381" s="75" t="s">
        <v>996</v>
      </c>
      <c r="G2381" s="82">
        <v>46112.0</v>
      </c>
      <c r="H2381" s="76" t="s">
        <v>967</v>
      </c>
      <c r="I2381" s="83"/>
      <c r="J2381" s="83"/>
      <c r="K2381" s="83"/>
      <c r="L2381" s="83"/>
      <c r="M2381" s="83"/>
      <c r="N2381" s="83"/>
      <c r="O2381" s="83"/>
      <c r="P2381" s="83"/>
      <c r="Q2381" s="83"/>
      <c r="R2381" s="83"/>
      <c r="S2381" s="83"/>
      <c r="T2381" s="83"/>
      <c r="U2381" s="83"/>
      <c r="V2381" s="83"/>
      <c r="W2381" s="83"/>
      <c r="X2381" s="83"/>
      <c r="Y2381" s="83"/>
      <c r="Z2381" s="83"/>
    </row>
    <row r="2382">
      <c r="A2382" s="75" t="s">
        <v>966</v>
      </c>
      <c r="B2382" s="75" t="s">
        <v>1004</v>
      </c>
      <c r="C2382" s="75">
        <v>1.89</v>
      </c>
      <c r="D2382" s="75">
        <v>1.0</v>
      </c>
      <c r="E2382" s="75">
        <v>1.89</v>
      </c>
      <c r="F2382" s="75" t="s">
        <v>996</v>
      </c>
      <c r="G2382" s="82">
        <v>46112.0</v>
      </c>
      <c r="H2382" s="76" t="s">
        <v>968</v>
      </c>
      <c r="I2382" s="83"/>
      <c r="J2382" s="83"/>
      <c r="K2382" s="83"/>
      <c r="L2382" s="83"/>
      <c r="M2382" s="83"/>
      <c r="N2382" s="83"/>
      <c r="O2382" s="83"/>
      <c r="P2382" s="83"/>
      <c r="Q2382" s="83"/>
      <c r="R2382" s="83"/>
      <c r="S2382" s="83"/>
      <c r="T2382" s="83"/>
      <c r="U2382" s="83"/>
      <c r="V2382" s="83"/>
      <c r="W2382" s="83"/>
      <c r="X2382" s="83"/>
      <c r="Y2382" s="83"/>
      <c r="Z2382" s="83"/>
    </row>
    <row r="2383">
      <c r="A2383" s="75" t="s">
        <v>966</v>
      </c>
      <c r="B2383" s="75" t="s">
        <v>1004</v>
      </c>
      <c r="C2383" s="75">
        <v>1.73</v>
      </c>
      <c r="D2383" s="75">
        <v>0.0</v>
      </c>
      <c r="E2383" s="75">
        <v>0.0</v>
      </c>
      <c r="F2383" s="75" t="s">
        <v>996</v>
      </c>
      <c r="G2383" s="82">
        <v>46112.0</v>
      </c>
      <c r="H2383" s="76" t="s">
        <v>969</v>
      </c>
      <c r="I2383" s="83"/>
      <c r="J2383" s="83"/>
      <c r="K2383" s="83"/>
      <c r="L2383" s="83"/>
      <c r="M2383" s="83"/>
      <c r="N2383" s="83"/>
      <c r="O2383" s="83"/>
      <c r="P2383" s="83"/>
      <c r="Q2383" s="83"/>
      <c r="R2383" s="83"/>
      <c r="S2383" s="83"/>
      <c r="T2383" s="83"/>
      <c r="U2383" s="83"/>
      <c r="V2383" s="83"/>
      <c r="W2383" s="83"/>
      <c r="X2383" s="83"/>
      <c r="Y2383" s="83"/>
      <c r="Z2383" s="83"/>
    </row>
    <row r="2384">
      <c r="A2384" s="75" t="s">
        <v>36</v>
      </c>
      <c r="B2384" s="75" t="s">
        <v>1004</v>
      </c>
      <c r="C2384" s="75">
        <v>2.7</v>
      </c>
      <c r="D2384" s="75">
        <v>1.0</v>
      </c>
      <c r="E2384" s="75">
        <v>2.7</v>
      </c>
      <c r="F2384" s="75" t="s">
        <v>996</v>
      </c>
      <c r="G2384" s="82">
        <v>46112.0</v>
      </c>
      <c r="H2384" s="76" t="s">
        <v>926</v>
      </c>
      <c r="I2384" s="83"/>
      <c r="J2384" s="83"/>
      <c r="K2384" s="83"/>
      <c r="L2384" s="83"/>
      <c r="M2384" s="83"/>
      <c r="N2384" s="83"/>
      <c r="O2384" s="83"/>
      <c r="P2384" s="83"/>
      <c r="Q2384" s="83"/>
      <c r="R2384" s="83"/>
      <c r="S2384" s="83"/>
      <c r="T2384" s="83"/>
      <c r="U2384" s="83"/>
      <c r="V2384" s="83"/>
      <c r="W2384" s="83"/>
      <c r="X2384" s="83"/>
      <c r="Y2384" s="83"/>
      <c r="Z2384" s="83"/>
    </row>
    <row r="2385">
      <c r="A2385" s="75" t="s">
        <v>36</v>
      </c>
      <c r="B2385" s="75" t="s">
        <v>1004</v>
      </c>
      <c r="C2385" s="75">
        <v>1.86</v>
      </c>
      <c r="D2385" s="75">
        <v>0.0</v>
      </c>
      <c r="E2385" s="75">
        <v>0.0</v>
      </c>
      <c r="F2385" s="75" t="s">
        <v>996</v>
      </c>
      <c r="G2385" s="82">
        <v>46112.0</v>
      </c>
      <c r="H2385" s="76" t="s">
        <v>927</v>
      </c>
      <c r="I2385" s="83"/>
      <c r="J2385" s="83"/>
      <c r="K2385" s="83"/>
      <c r="L2385" s="83"/>
      <c r="M2385" s="83"/>
      <c r="N2385" s="83"/>
      <c r="O2385" s="83"/>
      <c r="P2385" s="83"/>
      <c r="Q2385" s="83"/>
      <c r="R2385" s="83"/>
      <c r="S2385" s="83"/>
      <c r="T2385" s="83"/>
      <c r="U2385" s="83"/>
      <c r="V2385" s="83"/>
      <c r="W2385" s="83"/>
      <c r="X2385" s="83"/>
      <c r="Y2385" s="83"/>
      <c r="Z2385" s="83"/>
    </row>
    <row r="2386">
      <c r="A2386" s="75" t="s">
        <v>36</v>
      </c>
      <c r="B2386" s="75" t="s">
        <v>1004</v>
      </c>
      <c r="C2386" s="75">
        <v>1.86</v>
      </c>
      <c r="D2386" s="75">
        <v>0.0</v>
      </c>
      <c r="E2386" s="75">
        <v>0.0</v>
      </c>
      <c r="F2386" s="75" t="s">
        <v>996</v>
      </c>
      <c r="G2386" s="82">
        <v>46112.0</v>
      </c>
      <c r="H2386" s="76" t="s">
        <v>928</v>
      </c>
      <c r="I2386" s="83"/>
      <c r="J2386" s="83"/>
      <c r="K2386" s="83"/>
      <c r="L2386" s="83"/>
      <c r="M2386" s="83"/>
      <c r="N2386" s="83"/>
      <c r="O2386" s="83"/>
      <c r="P2386" s="83"/>
      <c r="Q2386" s="83"/>
      <c r="R2386" s="83"/>
      <c r="S2386" s="83"/>
      <c r="T2386" s="83"/>
      <c r="U2386" s="83"/>
      <c r="V2386" s="83"/>
      <c r="W2386" s="83"/>
      <c r="X2386" s="83"/>
      <c r="Y2386" s="83"/>
      <c r="Z2386" s="83"/>
    </row>
    <row r="2387">
      <c r="A2387" s="75" t="s">
        <v>970</v>
      </c>
      <c r="B2387" s="75" t="s">
        <v>1004</v>
      </c>
      <c r="C2387" s="75">
        <v>3.6</v>
      </c>
      <c r="D2387" s="75">
        <v>2.0</v>
      </c>
      <c r="E2387" s="75">
        <v>1.8</v>
      </c>
      <c r="F2387" s="75" t="s">
        <v>996</v>
      </c>
      <c r="G2387" s="82">
        <v>46112.0</v>
      </c>
      <c r="H2387" s="76" t="s">
        <v>971</v>
      </c>
      <c r="I2387" s="83"/>
      <c r="J2387" s="83"/>
      <c r="K2387" s="83"/>
      <c r="L2387" s="83"/>
      <c r="M2387" s="83"/>
      <c r="N2387" s="83"/>
      <c r="O2387" s="83"/>
      <c r="P2387" s="83"/>
      <c r="Q2387" s="83"/>
      <c r="R2387" s="83"/>
      <c r="S2387" s="83"/>
      <c r="T2387" s="83"/>
      <c r="U2387" s="83"/>
      <c r="V2387" s="83"/>
      <c r="W2387" s="83"/>
      <c r="X2387" s="83"/>
      <c r="Y2387" s="83"/>
      <c r="Z2387" s="83"/>
    </row>
    <row r="2388">
      <c r="A2388" s="75" t="s">
        <v>970</v>
      </c>
      <c r="B2388" s="75" t="s">
        <v>1004</v>
      </c>
      <c r="C2388" s="75">
        <v>0.85</v>
      </c>
      <c r="D2388" s="75">
        <v>0.0</v>
      </c>
      <c r="E2388" s="75">
        <v>0.0</v>
      </c>
      <c r="F2388" s="75" t="s">
        <v>996</v>
      </c>
      <c r="G2388" s="82">
        <v>46112.0</v>
      </c>
      <c r="H2388" s="76" t="s">
        <v>972</v>
      </c>
      <c r="I2388" s="83"/>
      <c r="J2388" s="83"/>
      <c r="K2388" s="83"/>
      <c r="L2388" s="83"/>
      <c r="M2388" s="83"/>
      <c r="N2388" s="83"/>
      <c r="O2388" s="83"/>
      <c r="P2388" s="83"/>
      <c r="Q2388" s="83"/>
      <c r="R2388" s="83"/>
      <c r="S2388" s="83"/>
      <c r="T2388" s="83"/>
      <c r="U2388" s="83"/>
      <c r="V2388" s="83"/>
      <c r="W2388" s="83"/>
      <c r="X2388" s="83"/>
      <c r="Y2388" s="83"/>
      <c r="Z2388" s="83"/>
    </row>
    <row r="2389">
      <c r="A2389" s="75" t="s">
        <v>970</v>
      </c>
      <c r="B2389" s="75" t="s">
        <v>1004</v>
      </c>
      <c r="C2389" s="75">
        <v>4.56</v>
      </c>
      <c r="D2389" s="75">
        <v>4.0</v>
      </c>
      <c r="E2389" s="75">
        <v>1.14</v>
      </c>
      <c r="F2389" s="75" t="s">
        <v>996</v>
      </c>
      <c r="G2389" s="82">
        <v>46112.0</v>
      </c>
      <c r="H2389" s="76" t="s">
        <v>973</v>
      </c>
      <c r="I2389" s="83"/>
      <c r="J2389" s="83"/>
      <c r="K2389" s="83"/>
      <c r="L2389" s="83"/>
      <c r="M2389" s="83"/>
      <c r="N2389" s="83"/>
      <c r="O2389" s="83"/>
      <c r="P2389" s="83"/>
      <c r="Q2389" s="83"/>
      <c r="R2389" s="83"/>
      <c r="S2389" s="83"/>
      <c r="T2389" s="83"/>
      <c r="U2389" s="83"/>
      <c r="V2389" s="83"/>
      <c r="W2389" s="83"/>
      <c r="X2389" s="83"/>
      <c r="Y2389" s="83"/>
      <c r="Z2389" s="83"/>
    </row>
    <row r="2390">
      <c r="A2390" s="75" t="s">
        <v>29</v>
      </c>
      <c r="B2390" s="75" t="s">
        <v>1004</v>
      </c>
      <c r="C2390" s="75">
        <v>3.09</v>
      </c>
      <c r="D2390" s="75">
        <v>1.0</v>
      </c>
      <c r="E2390" s="75">
        <v>3.09</v>
      </c>
      <c r="F2390" s="75" t="s">
        <v>996</v>
      </c>
      <c r="G2390" s="82">
        <v>46112.0</v>
      </c>
      <c r="H2390" s="76" t="s">
        <v>971</v>
      </c>
      <c r="I2390" s="83"/>
      <c r="J2390" s="83"/>
      <c r="K2390" s="83"/>
      <c r="L2390" s="83"/>
      <c r="M2390" s="83"/>
      <c r="N2390" s="83"/>
      <c r="O2390" s="83"/>
      <c r="P2390" s="83"/>
      <c r="Q2390" s="83"/>
      <c r="R2390" s="83"/>
      <c r="S2390" s="83"/>
      <c r="T2390" s="83"/>
      <c r="U2390" s="83"/>
      <c r="V2390" s="83"/>
      <c r="W2390" s="83"/>
      <c r="X2390" s="83"/>
      <c r="Y2390" s="83"/>
      <c r="Z2390" s="83"/>
    </row>
    <row r="2391">
      <c r="A2391" s="75" t="s">
        <v>29</v>
      </c>
      <c r="B2391" s="75" t="s">
        <v>1004</v>
      </c>
      <c r="C2391" s="75">
        <v>0.96</v>
      </c>
      <c r="D2391" s="75">
        <v>1.0</v>
      </c>
      <c r="E2391" s="75">
        <v>0.96</v>
      </c>
      <c r="F2391" s="75" t="s">
        <v>996</v>
      </c>
      <c r="G2391" s="82">
        <v>46112.0</v>
      </c>
      <c r="H2391" s="76" t="s">
        <v>972</v>
      </c>
      <c r="I2391" s="83"/>
      <c r="J2391" s="83"/>
      <c r="K2391" s="83"/>
      <c r="L2391" s="83"/>
      <c r="M2391" s="83"/>
      <c r="N2391" s="83"/>
      <c r="O2391" s="83"/>
      <c r="P2391" s="83"/>
      <c r="Q2391" s="83"/>
      <c r="R2391" s="83"/>
      <c r="S2391" s="83"/>
      <c r="T2391" s="83"/>
      <c r="U2391" s="83"/>
      <c r="V2391" s="83"/>
      <c r="W2391" s="83"/>
      <c r="X2391" s="83"/>
      <c r="Y2391" s="83"/>
      <c r="Z2391" s="83"/>
    </row>
    <row r="2392">
      <c r="A2392" s="75" t="s">
        <v>29</v>
      </c>
      <c r="B2392" s="75" t="s">
        <v>1004</v>
      </c>
      <c r="C2392" s="75">
        <v>4.25</v>
      </c>
      <c r="D2392" s="75">
        <v>3.0</v>
      </c>
      <c r="E2392" s="75">
        <v>1.42</v>
      </c>
      <c r="F2392" s="75" t="s">
        <v>996</v>
      </c>
      <c r="G2392" s="82">
        <v>46112.0</v>
      </c>
      <c r="H2392" s="76" t="s">
        <v>973</v>
      </c>
      <c r="I2392" s="83"/>
      <c r="J2392" s="83"/>
      <c r="K2392" s="83"/>
      <c r="L2392" s="83"/>
      <c r="M2392" s="83"/>
      <c r="N2392" s="83"/>
      <c r="O2392" s="83"/>
      <c r="P2392" s="83"/>
      <c r="Q2392" s="83"/>
      <c r="R2392" s="83"/>
      <c r="S2392" s="83"/>
      <c r="T2392" s="83"/>
      <c r="U2392" s="83"/>
      <c r="V2392" s="83"/>
      <c r="W2392" s="83"/>
      <c r="X2392" s="83"/>
      <c r="Y2392" s="83"/>
      <c r="Z2392" s="83"/>
    </row>
    <row r="2393">
      <c r="A2393" s="75" t="s">
        <v>34</v>
      </c>
      <c r="B2393" s="75" t="s">
        <v>1004</v>
      </c>
      <c r="C2393" s="75">
        <v>5.08</v>
      </c>
      <c r="D2393" s="75">
        <v>0.0</v>
      </c>
      <c r="E2393" s="75">
        <v>0.0</v>
      </c>
      <c r="F2393" s="75" t="s">
        <v>997</v>
      </c>
      <c r="G2393" s="82">
        <v>46112.0</v>
      </c>
      <c r="H2393" s="76" t="s">
        <v>951</v>
      </c>
      <c r="I2393" s="83"/>
      <c r="J2393" s="83"/>
      <c r="K2393" s="83"/>
      <c r="L2393" s="83"/>
      <c r="M2393" s="83"/>
      <c r="N2393" s="83"/>
      <c r="O2393" s="83"/>
      <c r="P2393" s="83"/>
      <c r="Q2393" s="83"/>
      <c r="R2393" s="83"/>
      <c r="S2393" s="83"/>
      <c r="T2393" s="83"/>
      <c r="U2393" s="83"/>
      <c r="V2393" s="83"/>
      <c r="W2393" s="83"/>
      <c r="X2393" s="83"/>
      <c r="Y2393" s="83"/>
      <c r="Z2393" s="83"/>
    </row>
    <row r="2394">
      <c r="A2394" s="75" t="s">
        <v>34</v>
      </c>
      <c r="B2394" s="75" t="s">
        <v>1004</v>
      </c>
      <c r="C2394" s="75">
        <v>5.06</v>
      </c>
      <c r="D2394" s="75">
        <v>0.0</v>
      </c>
      <c r="E2394" s="75">
        <v>0.0</v>
      </c>
      <c r="F2394" s="75" t="s">
        <v>997</v>
      </c>
      <c r="G2394" s="82">
        <v>46112.0</v>
      </c>
      <c r="H2394" s="76" t="s">
        <v>952</v>
      </c>
      <c r="I2394" s="83"/>
      <c r="J2394" s="83"/>
      <c r="K2394" s="83"/>
      <c r="L2394" s="83"/>
      <c r="M2394" s="83"/>
      <c r="N2394" s="83"/>
      <c r="O2394" s="83"/>
      <c r="P2394" s="83"/>
      <c r="Q2394" s="83"/>
      <c r="R2394" s="83"/>
      <c r="S2394" s="83"/>
      <c r="T2394" s="83"/>
      <c r="U2394" s="83"/>
      <c r="V2394" s="83"/>
      <c r="W2394" s="83"/>
      <c r="X2394" s="83"/>
      <c r="Y2394" s="83"/>
      <c r="Z2394" s="83"/>
    </row>
    <row r="2395">
      <c r="A2395" s="75" t="s">
        <v>34</v>
      </c>
      <c r="B2395" s="75" t="s">
        <v>1004</v>
      </c>
      <c r="C2395" s="75">
        <v>23.24</v>
      </c>
      <c r="D2395" s="75">
        <v>2.0</v>
      </c>
      <c r="E2395" s="75">
        <v>11.62</v>
      </c>
      <c r="F2395" s="75" t="s">
        <v>997</v>
      </c>
      <c r="G2395" s="82">
        <v>46112.0</v>
      </c>
      <c r="H2395" s="76" t="s">
        <v>953</v>
      </c>
      <c r="I2395" s="83"/>
      <c r="J2395" s="83"/>
      <c r="K2395" s="83"/>
      <c r="L2395" s="83"/>
      <c r="M2395" s="83"/>
      <c r="N2395" s="83"/>
      <c r="O2395" s="83"/>
      <c r="P2395" s="83"/>
      <c r="Q2395" s="83"/>
      <c r="R2395" s="83"/>
      <c r="S2395" s="83"/>
      <c r="T2395" s="83"/>
      <c r="U2395" s="83"/>
      <c r="V2395" s="83"/>
      <c r="W2395" s="83"/>
      <c r="X2395" s="83"/>
      <c r="Y2395" s="83"/>
      <c r="Z2395" s="83"/>
    </row>
    <row r="2396">
      <c r="A2396" s="75" t="s">
        <v>40</v>
      </c>
      <c r="B2396" s="75" t="s">
        <v>1004</v>
      </c>
      <c r="C2396" s="75">
        <v>2.36</v>
      </c>
      <c r="D2396" s="75">
        <v>0.0</v>
      </c>
      <c r="E2396" s="75">
        <v>0.0</v>
      </c>
      <c r="F2396" s="75" t="s">
        <v>997</v>
      </c>
      <c r="G2396" s="82">
        <v>46112.0</v>
      </c>
      <c r="H2396" s="76" t="s">
        <v>954</v>
      </c>
      <c r="I2396" s="83"/>
      <c r="J2396" s="83"/>
      <c r="K2396" s="83"/>
      <c r="L2396" s="83"/>
      <c r="M2396" s="83"/>
      <c r="N2396" s="83"/>
      <c r="O2396" s="83"/>
      <c r="P2396" s="83"/>
      <c r="Q2396" s="83"/>
      <c r="R2396" s="83"/>
      <c r="S2396" s="83"/>
      <c r="T2396" s="83"/>
      <c r="U2396" s="83"/>
      <c r="V2396" s="83"/>
      <c r="W2396" s="83"/>
      <c r="X2396" s="83"/>
      <c r="Y2396" s="83"/>
      <c r="Z2396" s="83"/>
    </row>
    <row r="2397">
      <c r="A2397" s="75" t="s">
        <v>40</v>
      </c>
      <c r="B2397" s="75" t="s">
        <v>1004</v>
      </c>
      <c r="C2397" s="75">
        <v>0.46</v>
      </c>
      <c r="D2397" s="75">
        <v>0.0</v>
      </c>
      <c r="E2397" s="75">
        <v>0.0</v>
      </c>
      <c r="F2397" s="75" t="s">
        <v>997</v>
      </c>
      <c r="G2397" s="82">
        <v>46112.0</v>
      </c>
      <c r="H2397" s="76" t="s">
        <v>955</v>
      </c>
      <c r="I2397" s="83"/>
      <c r="J2397" s="83"/>
      <c r="K2397" s="83"/>
      <c r="L2397" s="83"/>
      <c r="M2397" s="83"/>
      <c r="N2397" s="83"/>
      <c r="O2397" s="83"/>
      <c r="P2397" s="83"/>
      <c r="Q2397" s="83"/>
      <c r="R2397" s="83"/>
      <c r="S2397" s="83"/>
      <c r="T2397" s="83"/>
      <c r="U2397" s="83"/>
      <c r="V2397" s="83"/>
      <c r="W2397" s="83"/>
      <c r="X2397" s="83"/>
      <c r="Y2397" s="83"/>
      <c r="Z2397" s="83"/>
    </row>
    <row r="2398">
      <c r="A2398" s="75" t="s">
        <v>40</v>
      </c>
      <c r="B2398" s="75" t="s">
        <v>1004</v>
      </c>
      <c r="C2398" s="75">
        <v>30.02</v>
      </c>
      <c r="D2398" s="75">
        <v>2.0</v>
      </c>
      <c r="E2398" s="75">
        <v>15.01</v>
      </c>
      <c r="F2398" s="75" t="s">
        <v>997</v>
      </c>
      <c r="G2398" s="82">
        <v>46112.0</v>
      </c>
      <c r="H2398" s="76" t="s">
        <v>956</v>
      </c>
      <c r="I2398" s="83"/>
      <c r="J2398" s="83"/>
      <c r="K2398" s="83"/>
      <c r="L2398" s="83"/>
      <c r="M2398" s="83"/>
      <c r="N2398" s="83"/>
      <c r="O2398" s="83"/>
      <c r="P2398" s="83"/>
      <c r="Q2398" s="83"/>
      <c r="R2398" s="83"/>
      <c r="S2398" s="83"/>
      <c r="T2398" s="83"/>
      <c r="U2398" s="83"/>
      <c r="V2398" s="83"/>
      <c r="W2398" s="83"/>
      <c r="X2398" s="83"/>
      <c r="Y2398" s="83"/>
      <c r="Z2398" s="83"/>
    </row>
    <row r="2399">
      <c r="A2399" s="75" t="s">
        <v>33</v>
      </c>
      <c r="B2399" s="75" t="s">
        <v>1004</v>
      </c>
      <c r="C2399" s="75">
        <v>34.64</v>
      </c>
      <c r="D2399" s="75">
        <v>65.0</v>
      </c>
      <c r="E2399" s="75">
        <v>0.53</v>
      </c>
      <c r="F2399" s="75" t="s">
        <v>997</v>
      </c>
      <c r="G2399" s="82">
        <v>46112.0</v>
      </c>
      <c r="H2399" s="76" t="s">
        <v>957</v>
      </c>
      <c r="I2399" s="83"/>
      <c r="J2399" s="83"/>
      <c r="K2399" s="83"/>
      <c r="L2399" s="83"/>
      <c r="M2399" s="83"/>
      <c r="N2399" s="83"/>
      <c r="O2399" s="83"/>
      <c r="P2399" s="83"/>
      <c r="Q2399" s="83"/>
      <c r="R2399" s="83"/>
      <c r="S2399" s="83"/>
      <c r="T2399" s="83"/>
      <c r="U2399" s="83"/>
      <c r="V2399" s="83"/>
      <c r="W2399" s="83"/>
      <c r="X2399" s="83"/>
      <c r="Y2399" s="83"/>
      <c r="Z2399" s="83"/>
    </row>
    <row r="2400">
      <c r="A2400" s="75" t="s">
        <v>33</v>
      </c>
      <c r="B2400" s="75" t="s">
        <v>1004</v>
      </c>
      <c r="C2400" s="75">
        <v>2.8</v>
      </c>
      <c r="D2400" s="75">
        <v>5.0</v>
      </c>
      <c r="E2400" s="75">
        <v>0.56</v>
      </c>
      <c r="F2400" s="75" t="s">
        <v>997</v>
      </c>
      <c r="G2400" s="82">
        <v>46112.0</v>
      </c>
      <c r="H2400" s="76" t="s">
        <v>958</v>
      </c>
      <c r="I2400" s="83"/>
      <c r="J2400" s="83"/>
      <c r="K2400" s="83"/>
      <c r="L2400" s="83"/>
      <c r="M2400" s="83"/>
      <c r="N2400" s="83"/>
      <c r="O2400" s="83"/>
      <c r="P2400" s="83"/>
      <c r="Q2400" s="83"/>
      <c r="R2400" s="83"/>
      <c r="S2400" s="83"/>
      <c r="T2400" s="83"/>
      <c r="U2400" s="83"/>
      <c r="V2400" s="83"/>
      <c r="W2400" s="83"/>
      <c r="X2400" s="83"/>
      <c r="Y2400" s="83"/>
      <c r="Z2400" s="83"/>
    </row>
    <row r="2401">
      <c r="A2401" s="75" t="s">
        <v>33</v>
      </c>
      <c r="B2401" s="75" t="s">
        <v>1004</v>
      </c>
      <c r="C2401" s="75">
        <v>6.42</v>
      </c>
      <c r="D2401" s="75">
        <v>10.0</v>
      </c>
      <c r="E2401" s="75">
        <v>0.64</v>
      </c>
      <c r="F2401" s="75" t="s">
        <v>997</v>
      </c>
      <c r="G2401" s="82">
        <v>46112.0</v>
      </c>
      <c r="H2401" s="76" t="s">
        <v>959</v>
      </c>
      <c r="I2401" s="83"/>
      <c r="J2401" s="83"/>
      <c r="K2401" s="83"/>
      <c r="L2401" s="83"/>
      <c r="M2401" s="83"/>
      <c r="N2401" s="83"/>
      <c r="O2401" s="83"/>
      <c r="P2401" s="83"/>
      <c r="Q2401" s="83"/>
      <c r="R2401" s="83"/>
      <c r="S2401" s="83"/>
      <c r="T2401" s="83"/>
      <c r="U2401" s="83"/>
      <c r="V2401" s="83"/>
      <c r="W2401" s="83"/>
      <c r="X2401" s="83"/>
      <c r="Y2401" s="83"/>
      <c r="Z2401" s="83"/>
    </row>
    <row r="2402">
      <c r="A2402" s="75" t="s">
        <v>46</v>
      </c>
      <c r="B2402" s="75" t="s">
        <v>1004</v>
      </c>
      <c r="C2402" s="75">
        <v>31.79</v>
      </c>
      <c r="D2402" s="75">
        <v>0.0</v>
      </c>
      <c r="E2402" s="75">
        <v>0.0</v>
      </c>
      <c r="F2402" s="75" t="s">
        <v>997</v>
      </c>
      <c r="G2402" s="82">
        <v>46112.0</v>
      </c>
      <c r="H2402" s="76" t="s">
        <v>960</v>
      </c>
      <c r="I2402" s="83"/>
      <c r="J2402" s="83"/>
      <c r="K2402" s="83"/>
      <c r="L2402" s="83"/>
      <c r="M2402" s="83"/>
      <c r="N2402" s="83"/>
      <c r="O2402" s="83"/>
      <c r="P2402" s="83"/>
      <c r="Q2402" s="83"/>
      <c r="R2402" s="83"/>
      <c r="S2402" s="83"/>
      <c r="T2402" s="83"/>
      <c r="U2402" s="83"/>
      <c r="V2402" s="83"/>
      <c r="W2402" s="83"/>
      <c r="X2402" s="83"/>
      <c r="Y2402" s="83"/>
      <c r="Z2402" s="83"/>
    </row>
    <row r="2403">
      <c r="A2403" s="75" t="s">
        <v>46</v>
      </c>
      <c r="B2403" s="75" t="s">
        <v>1004</v>
      </c>
      <c r="C2403" s="75">
        <v>2.41</v>
      </c>
      <c r="D2403" s="75">
        <v>0.0</v>
      </c>
      <c r="E2403" s="75">
        <v>0.0</v>
      </c>
      <c r="F2403" s="75" t="s">
        <v>997</v>
      </c>
      <c r="G2403" s="82">
        <v>46112.0</v>
      </c>
      <c r="H2403" s="76" t="s">
        <v>961</v>
      </c>
      <c r="I2403" s="83"/>
      <c r="J2403" s="83"/>
      <c r="K2403" s="83"/>
      <c r="L2403" s="83"/>
      <c r="M2403" s="83"/>
      <c r="N2403" s="83"/>
      <c r="O2403" s="83"/>
      <c r="P2403" s="83"/>
      <c r="Q2403" s="83"/>
      <c r="R2403" s="83"/>
      <c r="S2403" s="83"/>
      <c r="T2403" s="83"/>
      <c r="U2403" s="83"/>
      <c r="V2403" s="83"/>
      <c r="W2403" s="83"/>
      <c r="X2403" s="83"/>
      <c r="Y2403" s="83"/>
      <c r="Z2403" s="83"/>
    </row>
    <row r="2404">
      <c r="A2404" s="75" t="s">
        <v>46</v>
      </c>
      <c r="B2404" s="75" t="s">
        <v>1004</v>
      </c>
      <c r="C2404" s="75">
        <v>8.38</v>
      </c>
      <c r="D2404" s="75">
        <v>1.0</v>
      </c>
      <c r="E2404" s="75">
        <v>8.38</v>
      </c>
      <c r="F2404" s="75" t="s">
        <v>997</v>
      </c>
      <c r="G2404" s="82">
        <v>46112.0</v>
      </c>
      <c r="H2404" s="76" t="s">
        <v>962</v>
      </c>
      <c r="I2404" s="83"/>
      <c r="J2404" s="83"/>
      <c r="K2404" s="83"/>
      <c r="L2404" s="83"/>
      <c r="M2404" s="83"/>
      <c r="N2404" s="83"/>
      <c r="O2404" s="83"/>
      <c r="P2404" s="83"/>
      <c r="Q2404" s="83"/>
      <c r="R2404" s="83"/>
      <c r="S2404" s="83"/>
      <c r="T2404" s="83"/>
      <c r="U2404" s="83"/>
      <c r="V2404" s="83"/>
      <c r="W2404" s="83"/>
      <c r="X2404" s="83"/>
      <c r="Y2404" s="83"/>
      <c r="Z2404" s="83"/>
    </row>
    <row r="2405">
      <c r="A2405" s="75" t="s">
        <v>43</v>
      </c>
      <c r="B2405" s="75" t="s">
        <v>1004</v>
      </c>
      <c r="C2405" s="75">
        <v>1.46</v>
      </c>
      <c r="D2405" s="75">
        <v>0.0</v>
      </c>
      <c r="E2405" s="75">
        <v>0.0</v>
      </c>
      <c r="F2405" s="75" t="s">
        <v>997</v>
      </c>
      <c r="G2405" s="82">
        <v>46112.0</v>
      </c>
      <c r="H2405" s="76" t="s">
        <v>963</v>
      </c>
      <c r="I2405" s="83"/>
      <c r="J2405" s="83"/>
      <c r="K2405" s="83"/>
      <c r="L2405" s="83"/>
      <c r="M2405" s="83"/>
      <c r="N2405" s="83"/>
      <c r="O2405" s="83"/>
      <c r="P2405" s="83"/>
      <c r="Q2405" s="83"/>
      <c r="R2405" s="83"/>
      <c r="S2405" s="83"/>
      <c r="T2405" s="83"/>
      <c r="U2405" s="83"/>
      <c r="V2405" s="83"/>
      <c r="W2405" s="83"/>
      <c r="X2405" s="83"/>
      <c r="Y2405" s="83"/>
      <c r="Z2405" s="83"/>
    </row>
    <row r="2406">
      <c r="A2406" s="75" t="s">
        <v>43</v>
      </c>
      <c r="B2406" s="75" t="s">
        <v>1004</v>
      </c>
      <c r="C2406" s="75">
        <v>1.26</v>
      </c>
      <c r="D2406" s="75">
        <v>0.0</v>
      </c>
      <c r="E2406" s="75">
        <v>0.0</v>
      </c>
      <c r="F2406" s="75" t="s">
        <v>997</v>
      </c>
      <c r="G2406" s="82">
        <v>46112.0</v>
      </c>
      <c r="H2406" s="76" t="s">
        <v>964</v>
      </c>
      <c r="I2406" s="83"/>
      <c r="J2406" s="83"/>
      <c r="K2406" s="83"/>
      <c r="L2406" s="83"/>
      <c r="M2406" s="83"/>
      <c r="N2406" s="83"/>
      <c r="O2406" s="83"/>
      <c r="P2406" s="83"/>
      <c r="Q2406" s="83"/>
      <c r="R2406" s="83"/>
      <c r="S2406" s="83"/>
      <c r="T2406" s="83"/>
      <c r="U2406" s="83"/>
      <c r="V2406" s="83"/>
      <c r="W2406" s="83"/>
      <c r="X2406" s="83"/>
      <c r="Y2406" s="83"/>
      <c r="Z2406" s="83"/>
    </row>
    <row r="2407">
      <c r="A2407" s="75" t="s">
        <v>43</v>
      </c>
      <c r="B2407" s="75" t="s">
        <v>1004</v>
      </c>
      <c r="C2407" s="75">
        <v>6.75</v>
      </c>
      <c r="D2407" s="75">
        <v>0.0</v>
      </c>
      <c r="E2407" s="75">
        <v>0.0</v>
      </c>
      <c r="F2407" s="75" t="s">
        <v>997</v>
      </c>
      <c r="G2407" s="82">
        <v>46112.0</v>
      </c>
      <c r="H2407" s="76" t="s">
        <v>965</v>
      </c>
      <c r="I2407" s="83"/>
      <c r="J2407" s="83"/>
      <c r="K2407" s="83"/>
      <c r="L2407" s="83"/>
      <c r="M2407" s="83"/>
      <c r="N2407" s="83"/>
      <c r="O2407" s="83"/>
      <c r="P2407" s="83"/>
      <c r="Q2407" s="83"/>
      <c r="R2407" s="83"/>
      <c r="S2407" s="83"/>
      <c r="T2407" s="83"/>
      <c r="U2407" s="83"/>
      <c r="V2407" s="83"/>
      <c r="W2407" s="83"/>
      <c r="X2407" s="83"/>
      <c r="Y2407" s="83"/>
      <c r="Z2407" s="83"/>
    </row>
    <row r="2408">
      <c r="A2408" s="75" t="s">
        <v>966</v>
      </c>
      <c r="B2408" s="75" t="s">
        <v>1004</v>
      </c>
      <c r="C2408" s="75">
        <v>6.59</v>
      </c>
      <c r="D2408" s="75">
        <v>1.0</v>
      </c>
      <c r="E2408" s="75">
        <v>6.59</v>
      </c>
      <c r="F2408" s="75" t="s">
        <v>997</v>
      </c>
      <c r="G2408" s="82">
        <v>46112.0</v>
      </c>
      <c r="H2408" s="76" t="s">
        <v>967</v>
      </c>
      <c r="I2408" s="83"/>
      <c r="J2408" s="83"/>
      <c r="K2408" s="83"/>
      <c r="L2408" s="83"/>
      <c r="M2408" s="83"/>
      <c r="N2408" s="83"/>
      <c r="O2408" s="83"/>
      <c r="P2408" s="83"/>
      <c r="Q2408" s="83"/>
      <c r="R2408" s="83"/>
      <c r="S2408" s="83"/>
      <c r="T2408" s="83"/>
      <c r="U2408" s="83"/>
      <c r="V2408" s="83"/>
      <c r="W2408" s="83"/>
      <c r="X2408" s="83"/>
      <c r="Y2408" s="83"/>
      <c r="Z2408" s="83"/>
    </row>
    <row r="2409">
      <c r="A2409" s="75" t="s">
        <v>966</v>
      </c>
      <c r="B2409" s="75" t="s">
        <v>1004</v>
      </c>
      <c r="C2409" s="75">
        <v>2.67</v>
      </c>
      <c r="D2409" s="75">
        <v>1.0</v>
      </c>
      <c r="E2409" s="75">
        <v>2.67</v>
      </c>
      <c r="F2409" s="75" t="s">
        <v>997</v>
      </c>
      <c r="G2409" s="82">
        <v>46112.0</v>
      </c>
      <c r="H2409" s="76" t="s">
        <v>968</v>
      </c>
      <c r="I2409" s="83"/>
      <c r="J2409" s="83"/>
      <c r="K2409" s="83"/>
      <c r="L2409" s="83"/>
      <c r="M2409" s="83"/>
      <c r="N2409" s="83"/>
      <c r="O2409" s="83"/>
      <c r="P2409" s="83"/>
      <c r="Q2409" s="83"/>
      <c r="R2409" s="83"/>
      <c r="S2409" s="83"/>
      <c r="T2409" s="83"/>
      <c r="U2409" s="83"/>
      <c r="V2409" s="83"/>
      <c r="W2409" s="83"/>
      <c r="X2409" s="83"/>
      <c r="Y2409" s="83"/>
      <c r="Z2409" s="83"/>
    </row>
    <row r="2410">
      <c r="A2410" s="75" t="s">
        <v>966</v>
      </c>
      <c r="B2410" s="75" t="s">
        <v>1004</v>
      </c>
      <c r="C2410" s="75">
        <v>22.46</v>
      </c>
      <c r="D2410" s="75">
        <v>0.0</v>
      </c>
      <c r="E2410" s="75">
        <v>0.0</v>
      </c>
      <c r="F2410" s="75" t="s">
        <v>997</v>
      </c>
      <c r="G2410" s="82">
        <v>46112.0</v>
      </c>
      <c r="H2410" s="76" t="s">
        <v>969</v>
      </c>
      <c r="I2410" s="83"/>
      <c r="J2410" s="83"/>
      <c r="K2410" s="83"/>
      <c r="L2410" s="83"/>
      <c r="M2410" s="83"/>
      <c r="N2410" s="83"/>
      <c r="O2410" s="83"/>
      <c r="P2410" s="83"/>
      <c r="Q2410" s="83"/>
      <c r="R2410" s="83"/>
      <c r="S2410" s="83"/>
      <c r="T2410" s="83"/>
      <c r="U2410" s="83"/>
      <c r="V2410" s="83"/>
      <c r="W2410" s="83"/>
      <c r="X2410" s="83"/>
      <c r="Y2410" s="83"/>
      <c r="Z2410" s="83"/>
    </row>
    <row r="2411">
      <c r="A2411" s="75" t="s">
        <v>36</v>
      </c>
      <c r="B2411" s="75" t="s">
        <v>1004</v>
      </c>
      <c r="C2411" s="75">
        <v>2.2</v>
      </c>
      <c r="D2411" s="75">
        <v>0.0</v>
      </c>
      <c r="E2411" s="75">
        <v>0.0</v>
      </c>
      <c r="F2411" s="75" t="s">
        <v>997</v>
      </c>
      <c r="G2411" s="82">
        <v>46112.0</v>
      </c>
      <c r="H2411" s="76" t="s">
        <v>926</v>
      </c>
      <c r="I2411" s="83"/>
      <c r="J2411" s="83"/>
      <c r="K2411" s="83"/>
      <c r="L2411" s="83"/>
      <c r="M2411" s="83"/>
      <c r="N2411" s="83"/>
      <c r="O2411" s="83"/>
      <c r="P2411" s="83"/>
      <c r="Q2411" s="83"/>
      <c r="R2411" s="83"/>
      <c r="S2411" s="83"/>
      <c r="T2411" s="83"/>
      <c r="U2411" s="83"/>
      <c r="V2411" s="83"/>
      <c r="W2411" s="83"/>
      <c r="X2411" s="83"/>
      <c r="Y2411" s="83"/>
      <c r="Z2411" s="83"/>
    </row>
    <row r="2412">
      <c r="A2412" s="75" t="s">
        <v>36</v>
      </c>
      <c r="B2412" s="75" t="s">
        <v>1004</v>
      </c>
      <c r="C2412" s="75">
        <v>1.17</v>
      </c>
      <c r="D2412" s="75">
        <v>0.0</v>
      </c>
      <c r="E2412" s="75">
        <v>0.0</v>
      </c>
      <c r="F2412" s="75" t="s">
        <v>997</v>
      </c>
      <c r="G2412" s="82">
        <v>46112.0</v>
      </c>
      <c r="H2412" s="76" t="s">
        <v>927</v>
      </c>
      <c r="I2412" s="83"/>
      <c r="J2412" s="83"/>
      <c r="K2412" s="83"/>
      <c r="L2412" s="83"/>
      <c r="M2412" s="83"/>
      <c r="N2412" s="83"/>
      <c r="O2412" s="83"/>
      <c r="P2412" s="83"/>
      <c r="Q2412" s="83"/>
      <c r="R2412" s="83"/>
      <c r="S2412" s="83"/>
      <c r="T2412" s="83"/>
      <c r="U2412" s="83"/>
      <c r="V2412" s="83"/>
      <c r="W2412" s="83"/>
      <c r="X2412" s="83"/>
      <c r="Y2412" s="83"/>
      <c r="Z2412" s="83"/>
    </row>
    <row r="2413">
      <c r="A2413" s="75" t="s">
        <v>36</v>
      </c>
      <c r="B2413" s="75" t="s">
        <v>1004</v>
      </c>
      <c r="C2413" s="75">
        <v>1.06</v>
      </c>
      <c r="D2413" s="75">
        <v>0.0</v>
      </c>
      <c r="E2413" s="75">
        <v>0.0</v>
      </c>
      <c r="F2413" s="75" t="s">
        <v>997</v>
      </c>
      <c r="G2413" s="82">
        <v>46112.0</v>
      </c>
      <c r="H2413" s="76" t="s">
        <v>928</v>
      </c>
      <c r="I2413" s="83"/>
      <c r="J2413" s="83"/>
      <c r="K2413" s="83"/>
      <c r="L2413" s="83"/>
      <c r="M2413" s="83"/>
      <c r="N2413" s="83"/>
      <c r="O2413" s="83"/>
      <c r="P2413" s="83"/>
      <c r="Q2413" s="83"/>
      <c r="R2413" s="83"/>
      <c r="S2413" s="83"/>
      <c r="T2413" s="83"/>
      <c r="U2413" s="83"/>
      <c r="V2413" s="83"/>
      <c r="W2413" s="83"/>
      <c r="X2413" s="83"/>
      <c r="Y2413" s="83"/>
      <c r="Z2413" s="83"/>
    </row>
    <row r="2414">
      <c r="A2414" s="75" t="s">
        <v>970</v>
      </c>
      <c r="B2414" s="75" t="s">
        <v>1004</v>
      </c>
      <c r="C2414" s="75">
        <v>6.03</v>
      </c>
      <c r="D2414" s="75">
        <v>7.0</v>
      </c>
      <c r="E2414" s="75">
        <v>0.86</v>
      </c>
      <c r="F2414" s="75" t="s">
        <v>997</v>
      </c>
      <c r="G2414" s="82">
        <v>46112.0</v>
      </c>
      <c r="H2414" s="76" t="s">
        <v>971</v>
      </c>
      <c r="I2414" s="83"/>
      <c r="J2414" s="83"/>
      <c r="K2414" s="83"/>
      <c r="L2414" s="83"/>
      <c r="M2414" s="83"/>
      <c r="N2414" s="83"/>
      <c r="O2414" s="83"/>
      <c r="P2414" s="83"/>
      <c r="Q2414" s="83"/>
      <c r="R2414" s="83"/>
      <c r="S2414" s="83"/>
      <c r="T2414" s="83"/>
      <c r="U2414" s="83"/>
      <c r="V2414" s="83"/>
      <c r="W2414" s="83"/>
      <c r="X2414" s="83"/>
      <c r="Y2414" s="83"/>
      <c r="Z2414" s="83"/>
    </row>
    <row r="2415">
      <c r="A2415" s="75" t="s">
        <v>970</v>
      </c>
      <c r="B2415" s="75" t="s">
        <v>1004</v>
      </c>
      <c r="C2415" s="75">
        <v>1.43</v>
      </c>
      <c r="D2415" s="75">
        <v>1.0</v>
      </c>
      <c r="E2415" s="75">
        <v>1.43</v>
      </c>
      <c r="F2415" s="75" t="s">
        <v>997</v>
      </c>
      <c r="G2415" s="82">
        <v>46112.0</v>
      </c>
      <c r="H2415" s="76" t="s">
        <v>972</v>
      </c>
      <c r="I2415" s="83"/>
      <c r="J2415" s="83"/>
      <c r="K2415" s="83"/>
      <c r="L2415" s="83"/>
      <c r="M2415" s="83"/>
      <c r="N2415" s="83"/>
      <c r="O2415" s="83"/>
      <c r="P2415" s="83"/>
      <c r="Q2415" s="83"/>
      <c r="R2415" s="83"/>
      <c r="S2415" s="83"/>
      <c r="T2415" s="83"/>
      <c r="U2415" s="83"/>
      <c r="V2415" s="83"/>
      <c r="W2415" s="83"/>
      <c r="X2415" s="83"/>
      <c r="Y2415" s="83"/>
      <c r="Z2415" s="83"/>
    </row>
    <row r="2416">
      <c r="A2416" s="75" t="s">
        <v>970</v>
      </c>
      <c r="B2416" s="75" t="s">
        <v>1004</v>
      </c>
      <c r="C2416" s="75">
        <v>11.64</v>
      </c>
      <c r="D2416" s="75">
        <v>12.0</v>
      </c>
      <c r="E2416" s="75">
        <v>0.97</v>
      </c>
      <c r="F2416" s="75" t="s">
        <v>997</v>
      </c>
      <c r="G2416" s="82">
        <v>46112.0</v>
      </c>
      <c r="H2416" s="76" t="s">
        <v>973</v>
      </c>
      <c r="I2416" s="83"/>
      <c r="J2416" s="83"/>
      <c r="K2416" s="83"/>
      <c r="L2416" s="83"/>
      <c r="M2416" s="83"/>
      <c r="N2416" s="83"/>
      <c r="O2416" s="83"/>
      <c r="P2416" s="83"/>
      <c r="Q2416" s="83"/>
      <c r="R2416" s="83"/>
      <c r="S2416" s="83"/>
      <c r="T2416" s="83"/>
      <c r="U2416" s="83"/>
      <c r="V2416" s="83"/>
      <c r="W2416" s="83"/>
      <c r="X2416" s="83"/>
      <c r="Y2416" s="83"/>
      <c r="Z2416" s="83"/>
    </row>
    <row r="2417">
      <c r="A2417" s="75" t="s">
        <v>29</v>
      </c>
      <c r="B2417" s="75" t="s">
        <v>1004</v>
      </c>
      <c r="C2417" s="75">
        <v>4.02</v>
      </c>
      <c r="D2417" s="75">
        <v>5.0</v>
      </c>
      <c r="E2417" s="75">
        <v>0.8</v>
      </c>
      <c r="F2417" s="75" t="s">
        <v>997</v>
      </c>
      <c r="G2417" s="82">
        <v>46112.0</v>
      </c>
      <c r="H2417" s="76" t="s">
        <v>971</v>
      </c>
      <c r="I2417" s="83"/>
      <c r="J2417" s="83"/>
      <c r="K2417" s="83"/>
      <c r="L2417" s="83"/>
      <c r="M2417" s="83"/>
      <c r="N2417" s="83"/>
      <c r="O2417" s="83"/>
      <c r="P2417" s="83"/>
      <c r="Q2417" s="83"/>
      <c r="R2417" s="83"/>
      <c r="S2417" s="83"/>
      <c r="T2417" s="83"/>
      <c r="U2417" s="83"/>
      <c r="V2417" s="83"/>
      <c r="W2417" s="83"/>
      <c r="X2417" s="83"/>
      <c r="Y2417" s="83"/>
      <c r="Z2417" s="83"/>
    </row>
    <row r="2418">
      <c r="A2418" s="75" t="s">
        <v>29</v>
      </c>
      <c r="B2418" s="75" t="s">
        <v>1004</v>
      </c>
      <c r="C2418" s="75">
        <v>1.32</v>
      </c>
      <c r="D2418" s="75">
        <v>3.0</v>
      </c>
      <c r="E2418" s="75">
        <v>0.44</v>
      </c>
      <c r="F2418" s="75" t="s">
        <v>997</v>
      </c>
      <c r="G2418" s="82">
        <v>46112.0</v>
      </c>
      <c r="H2418" s="76" t="s">
        <v>972</v>
      </c>
      <c r="I2418" s="83"/>
      <c r="J2418" s="83"/>
      <c r="K2418" s="83"/>
      <c r="L2418" s="83"/>
      <c r="M2418" s="83"/>
      <c r="N2418" s="83"/>
      <c r="O2418" s="83"/>
      <c r="P2418" s="83"/>
      <c r="Q2418" s="83"/>
      <c r="R2418" s="83"/>
      <c r="S2418" s="83"/>
      <c r="T2418" s="83"/>
      <c r="U2418" s="83"/>
      <c r="V2418" s="83"/>
      <c r="W2418" s="83"/>
      <c r="X2418" s="83"/>
      <c r="Y2418" s="83"/>
      <c r="Z2418" s="83"/>
    </row>
    <row r="2419">
      <c r="A2419" s="75" t="s">
        <v>29</v>
      </c>
      <c r="B2419" s="75" t="s">
        <v>1004</v>
      </c>
      <c r="C2419" s="75">
        <v>7.48</v>
      </c>
      <c r="D2419" s="75">
        <v>11.0</v>
      </c>
      <c r="E2419" s="75">
        <v>0.68</v>
      </c>
      <c r="F2419" s="75" t="s">
        <v>997</v>
      </c>
      <c r="G2419" s="82">
        <v>46112.0</v>
      </c>
      <c r="H2419" s="76" t="s">
        <v>973</v>
      </c>
      <c r="I2419" s="83"/>
      <c r="J2419" s="83"/>
      <c r="K2419" s="83"/>
      <c r="L2419" s="83"/>
      <c r="M2419" s="83"/>
      <c r="N2419" s="83"/>
      <c r="O2419" s="83"/>
      <c r="P2419" s="83"/>
      <c r="Q2419" s="83"/>
      <c r="R2419" s="83"/>
      <c r="S2419" s="83"/>
      <c r="T2419" s="83"/>
      <c r="U2419" s="83"/>
      <c r="V2419" s="83"/>
      <c r="W2419" s="83"/>
      <c r="X2419" s="83"/>
      <c r="Y2419" s="83"/>
      <c r="Z2419" s="83"/>
    </row>
    <row r="2420">
      <c r="A2420" s="75" t="s">
        <v>34</v>
      </c>
      <c r="B2420" s="75" t="s">
        <v>1004</v>
      </c>
      <c r="C2420" s="75">
        <v>0.04</v>
      </c>
      <c r="D2420" s="75">
        <v>0.0</v>
      </c>
      <c r="E2420" s="75">
        <v>0.0</v>
      </c>
      <c r="F2420" s="75" t="s">
        <v>998</v>
      </c>
      <c r="G2420" s="82">
        <v>46112.0</v>
      </c>
      <c r="H2420" s="76" t="s">
        <v>951</v>
      </c>
      <c r="I2420" s="83"/>
      <c r="J2420" s="83"/>
      <c r="K2420" s="83"/>
      <c r="L2420" s="83"/>
      <c r="M2420" s="83"/>
      <c r="N2420" s="83"/>
      <c r="O2420" s="83"/>
      <c r="P2420" s="83"/>
      <c r="Q2420" s="83"/>
      <c r="R2420" s="83"/>
      <c r="S2420" s="83"/>
      <c r="T2420" s="83"/>
      <c r="U2420" s="83"/>
      <c r="V2420" s="83"/>
      <c r="W2420" s="83"/>
      <c r="X2420" s="83"/>
      <c r="Y2420" s="83"/>
      <c r="Z2420" s="83"/>
    </row>
    <row r="2421">
      <c r="A2421" s="75" t="s">
        <v>34</v>
      </c>
      <c r="B2421" s="75" t="s">
        <v>1004</v>
      </c>
      <c r="C2421" s="75">
        <v>0.33</v>
      </c>
      <c r="D2421" s="75">
        <v>0.0</v>
      </c>
      <c r="E2421" s="75">
        <v>0.0</v>
      </c>
      <c r="F2421" s="75" t="s">
        <v>998</v>
      </c>
      <c r="G2421" s="82">
        <v>46112.0</v>
      </c>
      <c r="H2421" s="76" t="s">
        <v>952</v>
      </c>
      <c r="I2421" s="83"/>
      <c r="J2421" s="83"/>
      <c r="K2421" s="83"/>
      <c r="L2421" s="83"/>
      <c r="M2421" s="83"/>
      <c r="N2421" s="83"/>
      <c r="O2421" s="83"/>
      <c r="P2421" s="83"/>
      <c r="Q2421" s="83"/>
      <c r="R2421" s="83"/>
      <c r="S2421" s="83"/>
      <c r="T2421" s="83"/>
      <c r="U2421" s="83"/>
      <c r="V2421" s="83"/>
      <c r="W2421" s="83"/>
      <c r="X2421" s="83"/>
      <c r="Y2421" s="83"/>
      <c r="Z2421" s="83"/>
    </row>
    <row r="2422">
      <c r="A2422" s="75" t="s">
        <v>34</v>
      </c>
      <c r="B2422" s="75" t="s">
        <v>1004</v>
      </c>
      <c r="C2422" s="75">
        <v>0.01</v>
      </c>
      <c r="D2422" s="75">
        <v>0.0</v>
      </c>
      <c r="E2422" s="75">
        <v>0.0</v>
      </c>
      <c r="F2422" s="75" t="s">
        <v>998</v>
      </c>
      <c r="G2422" s="82">
        <v>46112.0</v>
      </c>
      <c r="H2422" s="76" t="s">
        <v>953</v>
      </c>
      <c r="I2422" s="83"/>
      <c r="J2422" s="83"/>
      <c r="K2422" s="83"/>
      <c r="L2422" s="83"/>
      <c r="M2422" s="83"/>
      <c r="N2422" s="83"/>
      <c r="O2422" s="83"/>
      <c r="P2422" s="83"/>
      <c r="Q2422" s="83"/>
      <c r="R2422" s="83"/>
      <c r="S2422" s="83"/>
      <c r="T2422" s="83"/>
      <c r="U2422" s="83"/>
      <c r="V2422" s="83"/>
      <c r="W2422" s="83"/>
      <c r="X2422" s="83"/>
      <c r="Y2422" s="83"/>
      <c r="Z2422" s="83"/>
    </row>
    <row r="2423">
      <c r="A2423" s="75" t="s">
        <v>40</v>
      </c>
      <c r="B2423" s="75" t="s">
        <v>1004</v>
      </c>
      <c r="C2423" s="75">
        <v>0.25</v>
      </c>
      <c r="D2423" s="75">
        <v>0.0</v>
      </c>
      <c r="E2423" s="75">
        <v>0.0</v>
      </c>
      <c r="F2423" s="75" t="s">
        <v>998</v>
      </c>
      <c r="G2423" s="82">
        <v>46112.0</v>
      </c>
      <c r="H2423" s="76" t="s">
        <v>954</v>
      </c>
      <c r="I2423" s="83"/>
      <c r="J2423" s="83"/>
      <c r="K2423" s="83"/>
      <c r="L2423" s="83"/>
      <c r="M2423" s="83"/>
      <c r="N2423" s="83"/>
      <c r="O2423" s="83"/>
      <c r="P2423" s="83"/>
      <c r="Q2423" s="83"/>
      <c r="R2423" s="83"/>
      <c r="S2423" s="83"/>
      <c r="T2423" s="83"/>
      <c r="U2423" s="83"/>
      <c r="V2423" s="83"/>
      <c r="W2423" s="83"/>
      <c r="X2423" s="83"/>
      <c r="Y2423" s="83"/>
      <c r="Z2423" s="83"/>
    </row>
    <row r="2424">
      <c r="A2424" s="75" t="s">
        <v>40</v>
      </c>
      <c r="B2424" s="75" t="s">
        <v>1004</v>
      </c>
      <c r="C2424" s="75">
        <v>0.05</v>
      </c>
      <c r="D2424" s="75">
        <v>0.0</v>
      </c>
      <c r="E2424" s="75">
        <v>0.0</v>
      </c>
      <c r="F2424" s="75" t="s">
        <v>998</v>
      </c>
      <c r="G2424" s="82">
        <v>46112.0</v>
      </c>
      <c r="H2424" s="76" t="s">
        <v>955</v>
      </c>
      <c r="I2424" s="83"/>
      <c r="J2424" s="83"/>
      <c r="K2424" s="83"/>
      <c r="L2424" s="83"/>
      <c r="M2424" s="83"/>
      <c r="N2424" s="83"/>
      <c r="O2424" s="83"/>
      <c r="P2424" s="83"/>
      <c r="Q2424" s="83"/>
      <c r="R2424" s="83"/>
      <c r="S2424" s="83"/>
      <c r="T2424" s="83"/>
      <c r="U2424" s="83"/>
      <c r="V2424" s="83"/>
      <c r="W2424" s="83"/>
      <c r="X2424" s="83"/>
      <c r="Y2424" s="83"/>
      <c r="Z2424" s="83"/>
    </row>
    <row r="2425">
      <c r="A2425" s="75" t="s">
        <v>40</v>
      </c>
      <c r="B2425" s="75" t="s">
        <v>1004</v>
      </c>
      <c r="C2425" s="75">
        <v>0.01</v>
      </c>
      <c r="D2425" s="75">
        <v>0.0</v>
      </c>
      <c r="E2425" s="75">
        <v>0.0</v>
      </c>
      <c r="F2425" s="75" t="s">
        <v>998</v>
      </c>
      <c r="G2425" s="82">
        <v>46112.0</v>
      </c>
      <c r="H2425" s="76" t="s">
        <v>956</v>
      </c>
      <c r="I2425" s="83"/>
      <c r="J2425" s="83"/>
      <c r="K2425" s="83"/>
      <c r="L2425" s="83"/>
      <c r="M2425" s="83"/>
      <c r="N2425" s="83"/>
      <c r="O2425" s="83"/>
      <c r="P2425" s="83"/>
      <c r="Q2425" s="83"/>
      <c r="R2425" s="83"/>
      <c r="S2425" s="83"/>
      <c r="T2425" s="83"/>
      <c r="U2425" s="83"/>
      <c r="V2425" s="83"/>
      <c r="W2425" s="83"/>
      <c r="X2425" s="83"/>
      <c r="Y2425" s="83"/>
      <c r="Z2425" s="83"/>
    </row>
    <row r="2426">
      <c r="A2426" s="75" t="s">
        <v>33</v>
      </c>
      <c r="B2426" s="75" t="s">
        <v>1004</v>
      </c>
      <c r="C2426" s="75">
        <v>0.04</v>
      </c>
      <c r="D2426" s="75">
        <v>0.0</v>
      </c>
      <c r="E2426" s="75">
        <v>0.0</v>
      </c>
      <c r="F2426" s="75" t="s">
        <v>998</v>
      </c>
      <c r="G2426" s="82">
        <v>46112.0</v>
      </c>
      <c r="H2426" s="76" t="s">
        <v>957</v>
      </c>
      <c r="I2426" s="83"/>
      <c r="J2426" s="83"/>
      <c r="K2426" s="83"/>
      <c r="L2426" s="83"/>
      <c r="M2426" s="83"/>
      <c r="N2426" s="83"/>
      <c r="O2426" s="83"/>
      <c r="P2426" s="83"/>
      <c r="Q2426" s="83"/>
      <c r="R2426" s="83"/>
      <c r="S2426" s="83"/>
      <c r="T2426" s="83"/>
      <c r="U2426" s="83"/>
      <c r="V2426" s="83"/>
      <c r="W2426" s="83"/>
      <c r="X2426" s="83"/>
      <c r="Y2426" s="83"/>
      <c r="Z2426" s="83"/>
    </row>
    <row r="2427">
      <c r="A2427" s="75" t="s">
        <v>33</v>
      </c>
      <c r="B2427" s="75" t="s">
        <v>1004</v>
      </c>
      <c r="C2427" s="75">
        <v>0.19</v>
      </c>
      <c r="D2427" s="75">
        <v>0.0</v>
      </c>
      <c r="E2427" s="75">
        <v>0.0</v>
      </c>
      <c r="F2427" s="75" t="s">
        <v>998</v>
      </c>
      <c r="G2427" s="82">
        <v>46112.0</v>
      </c>
      <c r="H2427" s="76" t="s">
        <v>958</v>
      </c>
      <c r="I2427" s="83"/>
      <c r="J2427" s="83"/>
      <c r="K2427" s="83"/>
      <c r="L2427" s="83"/>
      <c r="M2427" s="83"/>
      <c r="N2427" s="83"/>
      <c r="O2427" s="83"/>
      <c r="P2427" s="83"/>
      <c r="Q2427" s="83"/>
      <c r="R2427" s="83"/>
      <c r="S2427" s="83"/>
      <c r="T2427" s="83"/>
      <c r="U2427" s="83"/>
      <c r="V2427" s="83"/>
      <c r="W2427" s="83"/>
      <c r="X2427" s="83"/>
      <c r="Y2427" s="83"/>
      <c r="Z2427" s="83"/>
    </row>
    <row r="2428">
      <c r="A2428" s="75" t="s">
        <v>33</v>
      </c>
      <c r="B2428" s="75" t="s">
        <v>1004</v>
      </c>
      <c r="C2428" s="75">
        <v>0.32</v>
      </c>
      <c r="D2428" s="75">
        <v>1.0</v>
      </c>
      <c r="E2428" s="75">
        <v>0.32</v>
      </c>
      <c r="F2428" s="75" t="s">
        <v>998</v>
      </c>
      <c r="G2428" s="82">
        <v>46112.0</v>
      </c>
      <c r="H2428" s="76" t="s">
        <v>959</v>
      </c>
      <c r="I2428" s="83"/>
      <c r="J2428" s="83"/>
      <c r="K2428" s="83"/>
      <c r="L2428" s="83"/>
      <c r="M2428" s="83"/>
      <c r="N2428" s="83"/>
      <c r="O2428" s="83"/>
      <c r="P2428" s="83"/>
      <c r="Q2428" s="83"/>
      <c r="R2428" s="83"/>
      <c r="S2428" s="83"/>
      <c r="T2428" s="83"/>
      <c r="U2428" s="83"/>
      <c r="V2428" s="83"/>
      <c r="W2428" s="83"/>
      <c r="X2428" s="83"/>
      <c r="Y2428" s="83"/>
      <c r="Z2428" s="83"/>
    </row>
    <row r="2429">
      <c r="A2429" s="75" t="s">
        <v>46</v>
      </c>
      <c r="B2429" s="75" t="s">
        <v>1004</v>
      </c>
      <c r="C2429" s="75">
        <v>0.01</v>
      </c>
      <c r="D2429" s="75">
        <v>0.0</v>
      </c>
      <c r="E2429" s="75">
        <v>0.0</v>
      </c>
      <c r="F2429" s="75" t="s">
        <v>998</v>
      </c>
      <c r="G2429" s="82">
        <v>46112.0</v>
      </c>
      <c r="H2429" s="76" t="s">
        <v>960</v>
      </c>
      <c r="I2429" s="83"/>
      <c r="J2429" s="83"/>
      <c r="K2429" s="83"/>
      <c r="L2429" s="83"/>
      <c r="M2429" s="83"/>
      <c r="N2429" s="83"/>
      <c r="O2429" s="83"/>
      <c r="P2429" s="83"/>
      <c r="Q2429" s="83"/>
      <c r="R2429" s="83"/>
      <c r="S2429" s="83"/>
      <c r="T2429" s="83"/>
      <c r="U2429" s="83"/>
      <c r="V2429" s="83"/>
      <c r="W2429" s="83"/>
      <c r="X2429" s="83"/>
      <c r="Y2429" s="83"/>
      <c r="Z2429" s="83"/>
    </row>
    <row r="2430">
      <c r="A2430" s="75" t="s">
        <v>46</v>
      </c>
      <c r="B2430" s="75" t="s">
        <v>1004</v>
      </c>
      <c r="C2430" s="75">
        <v>0.07</v>
      </c>
      <c r="D2430" s="75">
        <v>0.0</v>
      </c>
      <c r="E2430" s="75">
        <v>0.0</v>
      </c>
      <c r="F2430" s="75" t="s">
        <v>998</v>
      </c>
      <c r="G2430" s="82">
        <v>46112.0</v>
      </c>
      <c r="H2430" s="76" t="s">
        <v>961</v>
      </c>
      <c r="I2430" s="83"/>
      <c r="J2430" s="83"/>
      <c r="K2430" s="83"/>
      <c r="L2430" s="83"/>
      <c r="M2430" s="83"/>
      <c r="N2430" s="83"/>
      <c r="O2430" s="83"/>
      <c r="P2430" s="83"/>
      <c r="Q2430" s="83"/>
      <c r="R2430" s="83"/>
      <c r="S2430" s="83"/>
      <c r="T2430" s="83"/>
      <c r="U2430" s="83"/>
      <c r="V2430" s="83"/>
      <c r="W2430" s="83"/>
      <c r="X2430" s="83"/>
      <c r="Y2430" s="83"/>
      <c r="Z2430" s="83"/>
    </row>
    <row r="2431">
      <c r="A2431" s="75" t="s">
        <v>46</v>
      </c>
      <c r="B2431" s="75" t="s">
        <v>1004</v>
      </c>
      <c r="C2431" s="75">
        <v>0.14</v>
      </c>
      <c r="D2431" s="75">
        <v>0.0</v>
      </c>
      <c r="E2431" s="75">
        <v>0.0</v>
      </c>
      <c r="F2431" s="75" t="s">
        <v>998</v>
      </c>
      <c r="G2431" s="82">
        <v>46112.0</v>
      </c>
      <c r="H2431" s="76" t="s">
        <v>962</v>
      </c>
      <c r="I2431" s="83"/>
      <c r="J2431" s="83"/>
      <c r="K2431" s="83"/>
      <c r="L2431" s="83"/>
      <c r="M2431" s="83"/>
      <c r="N2431" s="83"/>
      <c r="O2431" s="83"/>
      <c r="P2431" s="83"/>
      <c r="Q2431" s="83"/>
      <c r="R2431" s="83"/>
      <c r="S2431" s="83"/>
      <c r="T2431" s="83"/>
      <c r="U2431" s="83"/>
      <c r="V2431" s="83"/>
      <c r="W2431" s="83"/>
      <c r="X2431" s="83"/>
      <c r="Y2431" s="83"/>
      <c r="Z2431" s="83"/>
    </row>
    <row r="2432">
      <c r="A2432" s="75" t="s">
        <v>43</v>
      </c>
      <c r="B2432" s="75" t="s">
        <v>1004</v>
      </c>
      <c r="C2432" s="75">
        <v>0.06</v>
      </c>
      <c r="D2432" s="75">
        <v>0.0</v>
      </c>
      <c r="E2432" s="75">
        <v>0.0</v>
      </c>
      <c r="F2432" s="75" t="s">
        <v>998</v>
      </c>
      <c r="G2432" s="82">
        <v>46112.0</v>
      </c>
      <c r="H2432" s="76" t="s">
        <v>963</v>
      </c>
      <c r="I2432" s="83"/>
      <c r="J2432" s="83"/>
      <c r="K2432" s="83"/>
      <c r="L2432" s="83"/>
      <c r="M2432" s="83"/>
      <c r="N2432" s="83"/>
      <c r="O2432" s="83"/>
      <c r="P2432" s="83"/>
      <c r="Q2432" s="83"/>
      <c r="R2432" s="83"/>
      <c r="S2432" s="83"/>
      <c r="T2432" s="83"/>
      <c r="U2432" s="83"/>
      <c r="V2432" s="83"/>
      <c r="W2432" s="83"/>
      <c r="X2432" s="83"/>
      <c r="Y2432" s="83"/>
      <c r="Z2432" s="83"/>
    </row>
    <row r="2433">
      <c r="A2433" s="75" t="s">
        <v>43</v>
      </c>
      <c r="B2433" s="75" t="s">
        <v>1004</v>
      </c>
      <c r="C2433" s="75">
        <v>0.02</v>
      </c>
      <c r="D2433" s="75">
        <v>0.0</v>
      </c>
      <c r="E2433" s="75">
        <v>0.0</v>
      </c>
      <c r="F2433" s="75" t="s">
        <v>998</v>
      </c>
      <c r="G2433" s="82">
        <v>46112.0</v>
      </c>
      <c r="H2433" s="76" t="s">
        <v>964</v>
      </c>
      <c r="I2433" s="83"/>
      <c r="J2433" s="83"/>
      <c r="K2433" s="83"/>
      <c r="L2433" s="83"/>
      <c r="M2433" s="83"/>
      <c r="N2433" s="83"/>
      <c r="O2433" s="83"/>
      <c r="P2433" s="83"/>
      <c r="Q2433" s="83"/>
      <c r="R2433" s="83"/>
      <c r="S2433" s="83"/>
      <c r="T2433" s="83"/>
      <c r="U2433" s="83"/>
      <c r="V2433" s="83"/>
      <c r="W2433" s="83"/>
      <c r="X2433" s="83"/>
      <c r="Y2433" s="83"/>
      <c r="Z2433" s="83"/>
    </row>
    <row r="2434">
      <c r="A2434" s="75" t="s">
        <v>43</v>
      </c>
      <c r="B2434" s="75" t="s">
        <v>1004</v>
      </c>
      <c r="C2434" s="75">
        <v>0.02</v>
      </c>
      <c r="D2434" s="75">
        <v>0.0</v>
      </c>
      <c r="E2434" s="75">
        <v>0.0</v>
      </c>
      <c r="F2434" s="75" t="s">
        <v>998</v>
      </c>
      <c r="G2434" s="82">
        <v>46112.0</v>
      </c>
      <c r="H2434" s="76" t="s">
        <v>965</v>
      </c>
      <c r="I2434" s="83"/>
      <c r="J2434" s="83"/>
      <c r="K2434" s="83"/>
      <c r="L2434" s="83"/>
      <c r="M2434" s="83"/>
      <c r="N2434" s="83"/>
      <c r="O2434" s="83"/>
      <c r="P2434" s="83"/>
      <c r="Q2434" s="83"/>
      <c r="R2434" s="83"/>
      <c r="S2434" s="83"/>
      <c r="T2434" s="83"/>
      <c r="U2434" s="83"/>
      <c r="V2434" s="83"/>
      <c r="W2434" s="83"/>
      <c r="X2434" s="83"/>
      <c r="Y2434" s="83"/>
      <c r="Z2434" s="83"/>
    </row>
    <row r="2435">
      <c r="A2435" s="75" t="s">
        <v>966</v>
      </c>
      <c r="B2435" s="75" t="s">
        <v>1004</v>
      </c>
      <c r="C2435" s="75">
        <v>0.01</v>
      </c>
      <c r="D2435" s="75">
        <v>0.0</v>
      </c>
      <c r="E2435" s="75">
        <v>0.0</v>
      </c>
      <c r="F2435" s="75" t="s">
        <v>998</v>
      </c>
      <c r="G2435" s="82">
        <v>46112.0</v>
      </c>
      <c r="H2435" s="76" t="s">
        <v>967</v>
      </c>
      <c r="I2435" s="83"/>
      <c r="J2435" s="83"/>
      <c r="K2435" s="83"/>
      <c r="L2435" s="83"/>
      <c r="M2435" s="83"/>
      <c r="N2435" s="83"/>
      <c r="O2435" s="83"/>
      <c r="P2435" s="83"/>
      <c r="Q2435" s="83"/>
      <c r="R2435" s="83"/>
      <c r="S2435" s="83"/>
      <c r="T2435" s="83"/>
      <c r="U2435" s="83"/>
      <c r="V2435" s="83"/>
      <c r="W2435" s="83"/>
      <c r="X2435" s="83"/>
      <c r="Y2435" s="83"/>
      <c r="Z2435" s="83"/>
    </row>
    <row r="2436">
      <c r="A2436" s="75" t="s">
        <v>966</v>
      </c>
      <c r="B2436" s="75" t="s">
        <v>1004</v>
      </c>
      <c r="C2436" s="75">
        <v>0.15</v>
      </c>
      <c r="D2436" s="75">
        <v>0.0</v>
      </c>
      <c r="E2436" s="75">
        <v>0.0</v>
      </c>
      <c r="F2436" s="75" t="s">
        <v>998</v>
      </c>
      <c r="G2436" s="82">
        <v>46112.0</v>
      </c>
      <c r="H2436" s="76" t="s">
        <v>968</v>
      </c>
      <c r="I2436" s="83"/>
      <c r="J2436" s="83"/>
      <c r="K2436" s="83"/>
      <c r="L2436" s="83"/>
      <c r="M2436" s="83"/>
      <c r="N2436" s="83"/>
      <c r="O2436" s="83"/>
      <c r="P2436" s="83"/>
      <c r="Q2436" s="83"/>
      <c r="R2436" s="83"/>
      <c r="S2436" s="83"/>
      <c r="T2436" s="83"/>
      <c r="U2436" s="83"/>
      <c r="V2436" s="83"/>
      <c r="W2436" s="83"/>
      <c r="X2436" s="83"/>
      <c r="Y2436" s="83"/>
      <c r="Z2436" s="83"/>
    </row>
    <row r="2437">
      <c r="A2437" s="75" t="s">
        <v>966</v>
      </c>
      <c r="B2437" s="75" t="s">
        <v>1004</v>
      </c>
      <c r="C2437" s="75">
        <v>0.03</v>
      </c>
      <c r="D2437" s="75">
        <v>0.0</v>
      </c>
      <c r="E2437" s="75">
        <v>0.0</v>
      </c>
      <c r="F2437" s="75" t="s">
        <v>998</v>
      </c>
      <c r="G2437" s="82">
        <v>46112.0</v>
      </c>
      <c r="H2437" s="76" t="s">
        <v>969</v>
      </c>
      <c r="I2437" s="83"/>
      <c r="J2437" s="83"/>
      <c r="K2437" s="83"/>
      <c r="L2437" s="83"/>
      <c r="M2437" s="83"/>
      <c r="N2437" s="83"/>
      <c r="O2437" s="83"/>
      <c r="P2437" s="83"/>
      <c r="Q2437" s="83"/>
      <c r="R2437" s="83"/>
      <c r="S2437" s="83"/>
      <c r="T2437" s="83"/>
      <c r="U2437" s="83"/>
      <c r="V2437" s="83"/>
      <c r="W2437" s="83"/>
      <c r="X2437" s="83"/>
      <c r="Y2437" s="83"/>
      <c r="Z2437" s="83"/>
    </row>
    <row r="2438">
      <c r="A2438" s="75" t="s">
        <v>36</v>
      </c>
      <c r="B2438" s="75" t="s">
        <v>1004</v>
      </c>
      <c r="C2438" s="75">
        <v>0.04</v>
      </c>
      <c r="D2438" s="75">
        <v>0.0</v>
      </c>
      <c r="E2438" s="75">
        <v>0.0</v>
      </c>
      <c r="F2438" s="75" t="s">
        <v>998</v>
      </c>
      <c r="G2438" s="82">
        <v>46112.0</v>
      </c>
      <c r="H2438" s="76" t="s">
        <v>926</v>
      </c>
      <c r="I2438" s="83"/>
      <c r="J2438" s="83"/>
      <c r="K2438" s="83"/>
      <c r="L2438" s="83"/>
      <c r="M2438" s="83"/>
      <c r="N2438" s="83"/>
      <c r="O2438" s="83"/>
      <c r="P2438" s="83"/>
      <c r="Q2438" s="83"/>
      <c r="R2438" s="83"/>
      <c r="S2438" s="83"/>
      <c r="T2438" s="83"/>
      <c r="U2438" s="83"/>
      <c r="V2438" s="83"/>
      <c r="W2438" s="83"/>
      <c r="X2438" s="83"/>
      <c r="Y2438" s="83"/>
      <c r="Z2438" s="83"/>
    </row>
    <row r="2439">
      <c r="A2439" s="75" t="s">
        <v>36</v>
      </c>
      <c r="B2439" s="75" t="s">
        <v>1004</v>
      </c>
      <c r="C2439" s="75">
        <v>0.04</v>
      </c>
      <c r="D2439" s="75">
        <v>0.0</v>
      </c>
      <c r="E2439" s="75">
        <v>0.0</v>
      </c>
      <c r="F2439" s="75" t="s">
        <v>998</v>
      </c>
      <c r="G2439" s="82">
        <v>46112.0</v>
      </c>
      <c r="H2439" s="76" t="s">
        <v>927</v>
      </c>
      <c r="I2439" s="83"/>
      <c r="J2439" s="83"/>
      <c r="K2439" s="83"/>
      <c r="L2439" s="83"/>
      <c r="M2439" s="83"/>
      <c r="N2439" s="83"/>
      <c r="O2439" s="83"/>
      <c r="P2439" s="83"/>
      <c r="Q2439" s="83"/>
      <c r="R2439" s="83"/>
      <c r="S2439" s="83"/>
      <c r="T2439" s="83"/>
      <c r="U2439" s="83"/>
      <c r="V2439" s="83"/>
      <c r="W2439" s="83"/>
      <c r="X2439" s="83"/>
      <c r="Y2439" s="83"/>
      <c r="Z2439" s="83"/>
    </row>
    <row r="2440">
      <c r="A2440" s="75" t="s">
        <v>36</v>
      </c>
      <c r="B2440" s="75" t="s">
        <v>1004</v>
      </c>
      <c r="C2440" s="75">
        <v>0.31</v>
      </c>
      <c r="D2440" s="75">
        <v>0.0</v>
      </c>
      <c r="E2440" s="75">
        <v>0.0</v>
      </c>
      <c r="F2440" s="75" t="s">
        <v>998</v>
      </c>
      <c r="G2440" s="82">
        <v>46112.0</v>
      </c>
      <c r="H2440" s="76" t="s">
        <v>928</v>
      </c>
      <c r="I2440" s="83"/>
      <c r="J2440" s="83"/>
      <c r="K2440" s="83"/>
      <c r="L2440" s="83"/>
      <c r="M2440" s="83"/>
      <c r="N2440" s="83"/>
      <c r="O2440" s="83"/>
      <c r="P2440" s="83"/>
      <c r="Q2440" s="83"/>
      <c r="R2440" s="83"/>
      <c r="S2440" s="83"/>
      <c r="T2440" s="83"/>
      <c r="U2440" s="83"/>
      <c r="V2440" s="83"/>
      <c r="W2440" s="83"/>
      <c r="X2440" s="83"/>
      <c r="Y2440" s="83"/>
      <c r="Z2440" s="83"/>
    </row>
    <row r="2441">
      <c r="A2441" s="75" t="s">
        <v>970</v>
      </c>
      <c r="B2441" s="75" t="s">
        <v>1004</v>
      </c>
      <c r="C2441" s="75">
        <v>0.03</v>
      </c>
      <c r="D2441" s="75">
        <v>0.0</v>
      </c>
      <c r="E2441" s="75">
        <v>0.0</v>
      </c>
      <c r="F2441" s="75" t="s">
        <v>998</v>
      </c>
      <c r="G2441" s="82">
        <v>46112.0</v>
      </c>
      <c r="H2441" s="76" t="s">
        <v>971</v>
      </c>
      <c r="I2441" s="83"/>
      <c r="J2441" s="83"/>
      <c r="K2441" s="83"/>
      <c r="L2441" s="83"/>
      <c r="M2441" s="83"/>
      <c r="N2441" s="83"/>
      <c r="O2441" s="83"/>
      <c r="P2441" s="83"/>
      <c r="Q2441" s="83"/>
      <c r="R2441" s="83"/>
      <c r="S2441" s="83"/>
      <c r="T2441" s="83"/>
      <c r="U2441" s="83"/>
      <c r="V2441" s="83"/>
      <c r="W2441" s="83"/>
      <c r="X2441" s="83"/>
      <c r="Y2441" s="83"/>
      <c r="Z2441" s="83"/>
    </row>
    <row r="2442">
      <c r="A2442" s="75" t="s">
        <v>970</v>
      </c>
      <c r="B2442" s="75" t="s">
        <v>1004</v>
      </c>
      <c r="C2442" s="75">
        <v>0.17</v>
      </c>
      <c r="D2442" s="75">
        <v>0.0</v>
      </c>
      <c r="E2442" s="75">
        <v>0.0</v>
      </c>
      <c r="F2442" s="75" t="s">
        <v>998</v>
      </c>
      <c r="G2442" s="82">
        <v>46112.0</v>
      </c>
      <c r="H2442" s="76" t="s">
        <v>972</v>
      </c>
      <c r="I2442" s="83"/>
      <c r="J2442" s="83"/>
      <c r="K2442" s="83"/>
      <c r="L2442" s="83"/>
      <c r="M2442" s="83"/>
      <c r="N2442" s="83"/>
      <c r="O2442" s="83"/>
      <c r="P2442" s="83"/>
      <c r="Q2442" s="83"/>
      <c r="R2442" s="83"/>
      <c r="S2442" s="83"/>
      <c r="T2442" s="83"/>
      <c r="U2442" s="83"/>
      <c r="V2442" s="83"/>
      <c r="W2442" s="83"/>
      <c r="X2442" s="83"/>
      <c r="Y2442" s="83"/>
      <c r="Z2442" s="83"/>
    </row>
    <row r="2443">
      <c r="A2443" s="75" t="s">
        <v>970</v>
      </c>
      <c r="B2443" s="75" t="s">
        <v>1004</v>
      </c>
      <c r="C2443" s="75">
        <v>0.07</v>
      </c>
      <c r="D2443" s="75">
        <v>0.0</v>
      </c>
      <c r="E2443" s="75">
        <v>0.0</v>
      </c>
      <c r="F2443" s="75" t="s">
        <v>998</v>
      </c>
      <c r="G2443" s="82">
        <v>46112.0</v>
      </c>
      <c r="H2443" s="76" t="s">
        <v>973</v>
      </c>
      <c r="I2443" s="83"/>
      <c r="J2443" s="83"/>
      <c r="K2443" s="83"/>
      <c r="L2443" s="83"/>
      <c r="M2443" s="83"/>
      <c r="N2443" s="83"/>
      <c r="O2443" s="83"/>
      <c r="P2443" s="83"/>
      <c r="Q2443" s="83"/>
      <c r="R2443" s="83"/>
      <c r="S2443" s="83"/>
      <c r="T2443" s="83"/>
      <c r="U2443" s="83"/>
      <c r="V2443" s="83"/>
      <c r="W2443" s="83"/>
      <c r="X2443" s="83"/>
      <c r="Y2443" s="83"/>
      <c r="Z2443" s="83"/>
    </row>
    <row r="2444">
      <c r="A2444" s="75" t="s">
        <v>29</v>
      </c>
      <c r="B2444" s="75" t="s">
        <v>1004</v>
      </c>
      <c r="C2444" s="75">
        <v>0.02</v>
      </c>
      <c r="D2444" s="75">
        <v>0.0</v>
      </c>
      <c r="E2444" s="75">
        <v>0.0</v>
      </c>
      <c r="F2444" s="75" t="s">
        <v>998</v>
      </c>
      <c r="G2444" s="82">
        <v>46112.0</v>
      </c>
      <c r="H2444" s="76" t="s">
        <v>971</v>
      </c>
      <c r="I2444" s="83"/>
      <c r="J2444" s="83"/>
      <c r="K2444" s="83"/>
      <c r="L2444" s="83"/>
      <c r="M2444" s="83"/>
      <c r="N2444" s="83"/>
      <c r="O2444" s="83"/>
      <c r="P2444" s="83"/>
      <c r="Q2444" s="83"/>
      <c r="R2444" s="83"/>
      <c r="S2444" s="83"/>
      <c r="T2444" s="83"/>
      <c r="U2444" s="83"/>
      <c r="V2444" s="83"/>
      <c r="W2444" s="83"/>
      <c r="X2444" s="83"/>
      <c r="Y2444" s="83"/>
      <c r="Z2444" s="83"/>
    </row>
    <row r="2445">
      <c r="A2445" s="75" t="s">
        <v>29</v>
      </c>
      <c r="B2445" s="75" t="s">
        <v>1004</v>
      </c>
      <c r="C2445" s="75">
        <v>0.18</v>
      </c>
      <c r="D2445" s="75">
        <v>0.0</v>
      </c>
      <c r="E2445" s="75">
        <v>0.0</v>
      </c>
      <c r="F2445" s="75" t="s">
        <v>998</v>
      </c>
      <c r="G2445" s="82">
        <v>46112.0</v>
      </c>
      <c r="H2445" s="76" t="s">
        <v>972</v>
      </c>
      <c r="I2445" s="83"/>
      <c r="J2445" s="83"/>
      <c r="K2445" s="83"/>
      <c r="L2445" s="83"/>
      <c r="M2445" s="83"/>
      <c r="N2445" s="83"/>
      <c r="O2445" s="83"/>
      <c r="P2445" s="83"/>
      <c r="Q2445" s="83"/>
      <c r="R2445" s="83"/>
      <c r="S2445" s="83"/>
      <c r="T2445" s="83"/>
      <c r="U2445" s="83"/>
      <c r="V2445" s="83"/>
      <c r="W2445" s="83"/>
      <c r="X2445" s="83"/>
      <c r="Y2445" s="83"/>
      <c r="Z2445" s="83"/>
    </row>
    <row r="2446">
      <c r="A2446" s="75" t="s">
        <v>29</v>
      </c>
      <c r="B2446" s="75" t="s">
        <v>1004</v>
      </c>
      <c r="C2446" s="75">
        <v>0.13</v>
      </c>
      <c r="D2446" s="75">
        <v>0.0</v>
      </c>
      <c r="E2446" s="75">
        <v>0.0</v>
      </c>
      <c r="F2446" s="75" t="s">
        <v>998</v>
      </c>
      <c r="G2446" s="82">
        <v>46112.0</v>
      </c>
      <c r="H2446" s="76" t="s">
        <v>973</v>
      </c>
      <c r="I2446" s="83"/>
      <c r="J2446" s="83"/>
      <c r="K2446" s="83"/>
      <c r="L2446" s="83"/>
      <c r="M2446" s="83"/>
      <c r="N2446" s="83"/>
      <c r="O2446" s="83"/>
      <c r="P2446" s="83"/>
      <c r="Q2446" s="83"/>
      <c r="R2446" s="83"/>
      <c r="S2446" s="83"/>
      <c r="T2446" s="83"/>
      <c r="U2446" s="83"/>
      <c r="V2446" s="83"/>
      <c r="W2446" s="83"/>
      <c r="X2446" s="83"/>
      <c r="Y2446" s="83"/>
      <c r="Z2446" s="83"/>
    </row>
    <row r="2447">
      <c r="A2447" s="75" t="s">
        <v>36</v>
      </c>
      <c r="B2447" s="75" t="s">
        <v>1006</v>
      </c>
      <c r="C2447" s="75">
        <v>1.92</v>
      </c>
      <c r="D2447" s="75">
        <v>0.0</v>
      </c>
      <c r="E2447" s="75">
        <v>0.0</v>
      </c>
      <c r="F2447" s="75" t="s">
        <v>990</v>
      </c>
      <c r="G2447" s="82">
        <v>46112.0</v>
      </c>
      <c r="H2447" s="76" t="s">
        <v>926</v>
      </c>
      <c r="I2447" s="83"/>
      <c r="J2447" s="83"/>
      <c r="K2447" s="83"/>
      <c r="L2447" s="83"/>
      <c r="M2447" s="83"/>
      <c r="N2447" s="83"/>
      <c r="O2447" s="83"/>
      <c r="P2447" s="83"/>
      <c r="Q2447" s="83"/>
      <c r="R2447" s="83"/>
      <c r="S2447" s="83"/>
      <c r="T2447" s="83"/>
      <c r="U2447" s="83"/>
      <c r="V2447" s="83"/>
      <c r="W2447" s="83"/>
      <c r="X2447" s="83"/>
      <c r="Y2447" s="83"/>
      <c r="Z2447" s="83"/>
    </row>
    <row r="2448">
      <c r="A2448" s="75" t="s">
        <v>36</v>
      </c>
      <c r="B2448" s="75" t="s">
        <v>1006</v>
      </c>
      <c r="C2448" s="75">
        <v>1.18</v>
      </c>
      <c r="D2448" s="75">
        <v>0.0</v>
      </c>
      <c r="E2448" s="75">
        <v>0.0</v>
      </c>
      <c r="F2448" s="75" t="s">
        <v>990</v>
      </c>
      <c r="G2448" s="82">
        <v>46112.0</v>
      </c>
      <c r="H2448" s="76" t="s">
        <v>927</v>
      </c>
      <c r="I2448" s="83"/>
      <c r="J2448" s="83"/>
      <c r="K2448" s="83"/>
      <c r="L2448" s="83"/>
      <c r="M2448" s="83"/>
      <c r="N2448" s="83"/>
      <c r="O2448" s="83"/>
      <c r="P2448" s="83"/>
      <c r="Q2448" s="83"/>
      <c r="R2448" s="83"/>
      <c r="S2448" s="83"/>
      <c r="T2448" s="83"/>
      <c r="U2448" s="83"/>
      <c r="V2448" s="83"/>
      <c r="W2448" s="83"/>
      <c r="X2448" s="83"/>
      <c r="Y2448" s="83"/>
      <c r="Z2448" s="83"/>
    </row>
    <row r="2449">
      <c r="A2449" s="75" t="s">
        <v>36</v>
      </c>
      <c r="B2449" s="75" t="s">
        <v>1006</v>
      </c>
      <c r="C2449" s="75">
        <v>0.79</v>
      </c>
      <c r="D2449" s="75">
        <v>1.0</v>
      </c>
      <c r="E2449" s="75">
        <v>0.79</v>
      </c>
      <c r="F2449" s="75" t="s">
        <v>990</v>
      </c>
      <c r="G2449" s="82">
        <v>46112.0</v>
      </c>
      <c r="H2449" s="76" t="s">
        <v>928</v>
      </c>
      <c r="I2449" s="83"/>
      <c r="J2449" s="83"/>
      <c r="K2449" s="83"/>
      <c r="L2449" s="83"/>
      <c r="M2449" s="83"/>
      <c r="N2449" s="83"/>
      <c r="O2449" s="83"/>
      <c r="P2449" s="83"/>
      <c r="Q2449" s="83"/>
      <c r="R2449" s="83"/>
      <c r="S2449" s="83"/>
      <c r="T2449" s="83"/>
      <c r="U2449" s="83"/>
      <c r="V2449" s="83"/>
      <c r="W2449" s="83"/>
      <c r="X2449" s="83"/>
      <c r="Y2449" s="83"/>
      <c r="Z2449" s="83"/>
    </row>
    <row r="2450">
      <c r="A2450" s="75" t="s">
        <v>31</v>
      </c>
      <c r="B2450" s="75" t="s">
        <v>1006</v>
      </c>
      <c r="C2450" s="75">
        <v>5.64</v>
      </c>
      <c r="D2450" s="75">
        <v>4.0</v>
      </c>
      <c r="E2450" s="75">
        <v>1.41</v>
      </c>
      <c r="F2450" s="75" t="s">
        <v>990</v>
      </c>
      <c r="G2450" s="82">
        <v>46112.0</v>
      </c>
      <c r="H2450" s="76" t="s">
        <v>929</v>
      </c>
      <c r="I2450" s="83"/>
      <c r="J2450" s="83"/>
      <c r="K2450" s="83"/>
      <c r="L2450" s="83"/>
      <c r="M2450" s="83"/>
      <c r="N2450" s="83"/>
      <c r="O2450" s="83"/>
      <c r="P2450" s="83"/>
      <c r="Q2450" s="83"/>
      <c r="R2450" s="83"/>
      <c r="S2450" s="83"/>
      <c r="T2450" s="83"/>
      <c r="U2450" s="83"/>
      <c r="V2450" s="83"/>
      <c r="W2450" s="83"/>
      <c r="X2450" s="83"/>
      <c r="Y2450" s="83"/>
      <c r="Z2450" s="83"/>
    </row>
    <row r="2451">
      <c r="A2451" s="75" t="s">
        <v>31</v>
      </c>
      <c r="B2451" s="75" t="s">
        <v>1006</v>
      </c>
      <c r="C2451" s="75">
        <v>21.48</v>
      </c>
      <c r="D2451" s="75">
        <v>27.0</v>
      </c>
      <c r="E2451" s="75">
        <v>0.8</v>
      </c>
      <c r="F2451" s="75" t="s">
        <v>990</v>
      </c>
      <c r="G2451" s="82">
        <v>46112.0</v>
      </c>
      <c r="H2451" s="76" t="s">
        <v>930</v>
      </c>
      <c r="I2451" s="83"/>
      <c r="J2451" s="83"/>
      <c r="K2451" s="83"/>
      <c r="L2451" s="83"/>
      <c r="M2451" s="83"/>
      <c r="N2451" s="83"/>
      <c r="O2451" s="83"/>
      <c r="P2451" s="83"/>
      <c r="Q2451" s="83"/>
      <c r="R2451" s="83"/>
      <c r="S2451" s="83"/>
      <c r="T2451" s="83"/>
      <c r="U2451" s="83"/>
      <c r="V2451" s="83"/>
      <c r="W2451" s="83"/>
      <c r="X2451" s="83"/>
      <c r="Y2451" s="83"/>
      <c r="Z2451" s="83"/>
    </row>
    <row r="2452">
      <c r="A2452" s="75" t="s">
        <v>28</v>
      </c>
      <c r="B2452" s="75" t="s">
        <v>1006</v>
      </c>
      <c r="C2452" s="75">
        <v>2.18</v>
      </c>
      <c r="D2452" s="75">
        <v>1.0</v>
      </c>
      <c r="E2452" s="75">
        <v>2.18</v>
      </c>
      <c r="F2452" s="75" t="s">
        <v>990</v>
      </c>
      <c r="G2452" s="82">
        <v>46112.0</v>
      </c>
      <c r="H2452" s="76" t="s">
        <v>931</v>
      </c>
      <c r="I2452" s="83"/>
      <c r="J2452" s="83"/>
      <c r="K2452" s="83"/>
      <c r="L2452" s="83"/>
      <c r="M2452" s="83"/>
      <c r="N2452" s="83"/>
      <c r="O2452" s="83"/>
      <c r="P2452" s="83"/>
      <c r="Q2452" s="83"/>
      <c r="R2452" s="83"/>
      <c r="S2452" s="83"/>
      <c r="T2452" s="83"/>
      <c r="U2452" s="83"/>
      <c r="V2452" s="83"/>
      <c r="W2452" s="83"/>
      <c r="X2452" s="83"/>
      <c r="Y2452" s="83"/>
      <c r="Z2452" s="83"/>
    </row>
    <row r="2453">
      <c r="A2453" s="75" t="s">
        <v>28</v>
      </c>
      <c r="B2453" s="75" t="s">
        <v>1006</v>
      </c>
      <c r="C2453" s="75">
        <v>2.29</v>
      </c>
      <c r="D2453" s="75">
        <v>0.0</v>
      </c>
      <c r="E2453" s="75">
        <v>0.0</v>
      </c>
      <c r="F2453" s="75" t="s">
        <v>990</v>
      </c>
      <c r="G2453" s="82">
        <v>46112.0</v>
      </c>
      <c r="H2453" s="76" t="s">
        <v>932</v>
      </c>
      <c r="I2453" s="83"/>
      <c r="J2453" s="83"/>
      <c r="K2453" s="83"/>
      <c r="L2453" s="83"/>
      <c r="M2453" s="83"/>
      <c r="N2453" s="83"/>
      <c r="O2453" s="83"/>
      <c r="P2453" s="83"/>
      <c r="Q2453" s="83"/>
      <c r="R2453" s="83"/>
      <c r="S2453" s="83"/>
      <c r="T2453" s="83"/>
      <c r="U2453" s="83"/>
      <c r="V2453" s="83"/>
      <c r="W2453" s="83"/>
      <c r="X2453" s="83"/>
      <c r="Y2453" s="83"/>
      <c r="Z2453" s="83"/>
    </row>
    <row r="2454">
      <c r="A2454" s="75" t="s">
        <v>28</v>
      </c>
      <c r="B2454" s="75" t="s">
        <v>1006</v>
      </c>
      <c r="C2454" s="75">
        <v>35.39</v>
      </c>
      <c r="D2454" s="75">
        <v>0.0</v>
      </c>
      <c r="E2454" s="75">
        <v>0.0</v>
      </c>
      <c r="F2454" s="75" t="s">
        <v>990</v>
      </c>
      <c r="G2454" s="82">
        <v>46112.0</v>
      </c>
      <c r="H2454" s="76" t="s">
        <v>933</v>
      </c>
      <c r="I2454" s="83"/>
      <c r="J2454" s="83"/>
      <c r="K2454" s="83"/>
      <c r="L2454" s="83"/>
      <c r="M2454" s="83"/>
      <c r="N2454" s="83"/>
      <c r="O2454" s="83"/>
      <c r="P2454" s="83"/>
      <c r="Q2454" s="83"/>
      <c r="R2454" s="83"/>
      <c r="S2454" s="83"/>
      <c r="T2454" s="83"/>
      <c r="U2454" s="83"/>
      <c r="V2454" s="83"/>
      <c r="W2454" s="83"/>
      <c r="X2454" s="83"/>
      <c r="Y2454" s="83"/>
      <c r="Z2454" s="83"/>
    </row>
    <row r="2455">
      <c r="A2455" s="75" t="s">
        <v>42</v>
      </c>
      <c r="B2455" s="75" t="s">
        <v>1006</v>
      </c>
      <c r="C2455" s="75">
        <v>0.44</v>
      </c>
      <c r="D2455" s="75">
        <v>0.0</v>
      </c>
      <c r="E2455" s="75">
        <v>0.0</v>
      </c>
      <c r="F2455" s="75" t="s">
        <v>990</v>
      </c>
      <c r="G2455" s="82">
        <v>46112.0</v>
      </c>
      <c r="H2455" s="76" t="s">
        <v>991</v>
      </c>
      <c r="I2455" s="83"/>
      <c r="J2455" s="83"/>
      <c r="K2455" s="83"/>
      <c r="L2455" s="83"/>
      <c r="M2455" s="83"/>
      <c r="N2455" s="83"/>
      <c r="O2455" s="83"/>
      <c r="P2455" s="83"/>
      <c r="Q2455" s="83"/>
      <c r="R2455" s="83"/>
      <c r="S2455" s="83"/>
      <c r="T2455" s="83"/>
      <c r="U2455" s="83"/>
      <c r="V2455" s="83"/>
      <c r="W2455" s="83"/>
      <c r="X2455" s="83"/>
      <c r="Y2455" s="83"/>
      <c r="Z2455" s="83"/>
    </row>
    <row r="2456">
      <c r="A2456" s="75" t="s">
        <v>42</v>
      </c>
      <c r="B2456" s="75" t="s">
        <v>1006</v>
      </c>
      <c r="C2456" s="75">
        <v>9.81</v>
      </c>
      <c r="D2456" s="75">
        <v>0.0</v>
      </c>
      <c r="E2456" s="75">
        <v>0.0</v>
      </c>
      <c r="F2456" s="75" t="s">
        <v>990</v>
      </c>
      <c r="G2456" s="82">
        <v>46112.0</v>
      </c>
      <c r="H2456" s="76" t="s">
        <v>935</v>
      </c>
      <c r="I2456" s="83"/>
      <c r="J2456" s="83"/>
      <c r="K2456" s="83"/>
      <c r="L2456" s="83"/>
      <c r="M2456" s="83"/>
      <c r="N2456" s="83"/>
      <c r="O2456" s="83"/>
      <c r="P2456" s="83"/>
      <c r="Q2456" s="83"/>
      <c r="R2456" s="83"/>
      <c r="S2456" s="83"/>
      <c r="T2456" s="83"/>
      <c r="U2456" s="83"/>
      <c r="V2456" s="83"/>
      <c r="W2456" s="83"/>
      <c r="X2456" s="83"/>
      <c r="Y2456" s="83"/>
      <c r="Z2456" s="83"/>
    </row>
    <row r="2457">
      <c r="A2457" s="75" t="s">
        <v>45</v>
      </c>
      <c r="B2457" s="75" t="s">
        <v>1006</v>
      </c>
      <c r="C2457" s="75">
        <v>1.21</v>
      </c>
      <c r="D2457" s="75">
        <v>1.0</v>
      </c>
      <c r="E2457" s="75">
        <v>1.21</v>
      </c>
      <c r="F2457" s="75" t="s">
        <v>990</v>
      </c>
      <c r="G2457" s="82">
        <v>46112.0</v>
      </c>
      <c r="H2457" s="76" t="s">
        <v>936</v>
      </c>
      <c r="I2457" s="83"/>
      <c r="J2457" s="83"/>
      <c r="K2457" s="83"/>
      <c r="L2457" s="83"/>
      <c r="M2457" s="83"/>
      <c r="N2457" s="83"/>
      <c r="O2457" s="83"/>
      <c r="P2457" s="83"/>
      <c r="Q2457" s="83"/>
      <c r="R2457" s="83"/>
      <c r="S2457" s="83"/>
      <c r="T2457" s="83"/>
      <c r="U2457" s="83"/>
      <c r="V2457" s="83"/>
      <c r="W2457" s="83"/>
      <c r="X2457" s="83"/>
      <c r="Y2457" s="83"/>
      <c r="Z2457" s="83"/>
    </row>
    <row r="2458">
      <c r="A2458" s="75" t="s">
        <v>45</v>
      </c>
      <c r="B2458" s="75" t="s">
        <v>1006</v>
      </c>
      <c r="C2458" s="75">
        <v>1.0</v>
      </c>
      <c r="D2458" s="75">
        <v>0.0</v>
      </c>
      <c r="E2458" s="75">
        <v>0.0</v>
      </c>
      <c r="F2458" s="75" t="s">
        <v>990</v>
      </c>
      <c r="G2458" s="82">
        <v>46112.0</v>
      </c>
      <c r="H2458" s="76" t="s">
        <v>937</v>
      </c>
      <c r="I2458" s="83"/>
      <c r="J2458" s="83"/>
      <c r="K2458" s="83"/>
      <c r="L2458" s="83"/>
      <c r="M2458" s="83"/>
      <c r="N2458" s="83"/>
      <c r="O2458" s="83"/>
      <c r="P2458" s="83"/>
      <c r="Q2458" s="83"/>
      <c r="R2458" s="83"/>
      <c r="S2458" s="83"/>
      <c r="T2458" s="83"/>
      <c r="U2458" s="83"/>
      <c r="V2458" s="83"/>
      <c r="W2458" s="83"/>
      <c r="X2458" s="83"/>
      <c r="Y2458" s="83"/>
      <c r="Z2458" s="83"/>
    </row>
    <row r="2459">
      <c r="A2459" s="75" t="s">
        <v>45</v>
      </c>
      <c r="B2459" s="75" t="s">
        <v>1006</v>
      </c>
      <c r="C2459" s="75">
        <v>2.2</v>
      </c>
      <c r="D2459" s="75">
        <v>0.0</v>
      </c>
      <c r="E2459" s="75">
        <v>0.0</v>
      </c>
      <c r="F2459" s="75" t="s">
        <v>990</v>
      </c>
      <c r="G2459" s="82">
        <v>46112.0</v>
      </c>
      <c r="H2459" s="76" t="s">
        <v>938</v>
      </c>
      <c r="I2459" s="83"/>
      <c r="J2459" s="83"/>
      <c r="K2459" s="83"/>
      <c r="L2459" s="83"/>
      <c r="M2459" s="83"/>
      <c r="N2459" s="83"/>
      <c r="O2459" s="83"/>
      <c r="P2459" s="83"/>
      <c r="Q2459" s="83"/>
      <c r="R2459" s="83"/>
      <c r="S2459" s="83"/>
      <c r="T2459" s="83"/>
      <c r="U2459" s="83"/>
      <c r="V2459" s="83"/>
      <c r="W2459" s="83"/>
      <c r="X2459" s="83"/>
      <c r="Y2459" s="83"/>
      <c r="Z2459" s="83"/>
    </row>
    <row r="2460">
      <c r="A2460" s="75" t="s">
        <v>50</v>
      </c>
      <c r="B2460" s="75" t="s">
        <v>1006</v>
      </c>
      <c r="C2460" s="75">
        <v>6.69</v>
      </c>
      <c r="D2460" s="75">
        <v>1.0</v>
      </c>
      <c r="E2460" s="75">
        <v>6.69</v>
      </c>
      <c r="F2460" s="75" t="s">
        <v>990</v>
      </c>
      <c r="G2460" s="82">
        <v>46112.0</v>
      </c>
      <c r="H2460" s="76" t="s">
        <v>939</v>
      </c>
      <c r="I2460" s="83"/>
      <c r="J2460" s="83"/>
      <c r="K2460" s="83"/>
      <c r="L2460" s="83"/>
      <c r="M2460" s="83"/>
      <c r="N2460" s="83"/>
      <c r="O2460" s="83"/>
      <c r="P2460" s="83"/>
      <c r="Q2460" s="83"/>
      <c r="R2460" s="83"/>
      <c r="S2460" s="83"/>
      <c r="T2460" s="83"/>
      <c r="U2460" s="83"/>
      <c r="V2460" s="83"/>
      <c r="W2460" s="83"/>
      <c r="X2460" s="83"/>
      <c r="Y2460" s="83"/>
      <c r="Z2460" s="83"/>
    </row>
    <row r="2461">
      <c r="A2461" s="75" t="s">
        <v>50</v>
      </c>
      <c r="B2461" s="75" t="s">
        <v>1006</v>
      </c>
      <c r="C2461" s="75">
        <v>3.78</v>
      </c>
      <c r="D2461" s="75">
        <v>0.0</v>
      </c>
      <c r="E2461" s="75">
        <v>0.0</v>
      </c>
      <c r="F2461" s="75" t="s">
        <v>990</v>
      </c>
      <c r="G2461" s="82">
        <v>46112.0</v>
      </c>
      <c r="H2461" s="76" t="s">
        <v>940</v>
      </c>
      <c r="I2461" s="83"/>
      <c r="J2461" s="83"/>
      <c r="K2461" s="83"/>
      <c r="L2461" s="83"/>
      <c r="M2461" s="83"/>
      <c r="N2461" s="83"/>
      <c r="O2461" s="83"/>
      <c r="P2461" s="83"/>
      <c r="Q2461" s="83"/>
      <c r="R2461" s="83"/>
      <c r="S2461" s="83"/>
      <c r="T2461" s="83"/>
      <c r="U2461" s="83"/>
      <c r="V2461" s="83"/>
      <c r="W2461" s="83"/>
      <c r="X2461" s="83"/>
      <c r="Y2461" s="83"/>
      <c r="Z2461" s="83"/>
    </row>
    <row r="2462">
      <c r="A2462" s="75" t="s">
        <v>32</v>
      </c>
      <c r="B2462" s="75" t="s">
        <v>1006</v>
      </c>
      <c r="C2462" s="75">
        <v>3.85</v>
      </c>
      <c r="D2462" s="75">
        <v>1.0</v>
      </c>
      <c r="E2462" s="75">
        <v>3.85</v>
      </c>
      <c r="F2462" s="75" t="s">
        <v>990</v>
      </c>
      <c r="G2462" s="82">
        <v>46112.0</v>
      </c>
      <c r="H2462" s="76" t="s">
        <v>941</v>
      </c>
      <c r="I2462" s="83"/>
      <c r="J2462" s="83"/>
      <c r="K2462" s="83"/>
      <c r="L2462" s="83"/>
      <c r="M2462" s="83"/>
      <c r="N2462" s="83"/>
      <c r="O2462" s="83"/>
      <c r="P2462" s="83"/>
      <c r="Q2462" s="83"/>
      <c r="R2462" s="83"/>
      <c r="S2462" s="83"/>
      <c r="T2462" s="83"/>
      <c r="U2462" s="83"/>
      <c r="V2462" s="83"/>
      <c r="W2462" s="83"/>
      <c r="X2462" s="83"/>
      <c r="Y2462" s="83"/>
      <c r="Z2462" s="83"/>
    </row>
    <row r="2463">
      <c r="A2463" s="75" t="s">
        <v>32</v>
      </c>
      <c r="B2463" s="75" t="s">
        <v>1006</v>
      </c>
      <c r="C2463" s="75">
        <v>1.24</v>
      </c>
      <c r="D2463" s="75">
        <v>0.0</v>
      </c>
      <c r="E2463" s="75">
        <v>0.0</v>
      </c>
      <c r="F2463" s="75" t="s">
        <v>990</v>
      </c>
      <c r="G2463" s="82">
        <v>46112.0</v>
      </c>
      <c r="H2463" s="76" t="s">
        <v>942</v>
      </c>
      <c r="I2463" s="83"/>
      <c r="J2463" s="83"/>
      <c r="K2463" s="83"/>
      <c r="L2463" s="83"/>
      <c r="M2463" s="83"/>
      <c r="N2463" s="83"/>
      <c r="O2463" s="83"/>
      <c r="P2463" s="83"/>
      <c r="Q2463" s="83"/>
      <c r="R2463" s="83"/>
      <c r="S2463" s="83"/>
      <c r="T2463" s="83"/>
      <c r="U2463" s="83"/>
      <c r="V2463" s="83"/>
      <c r="W2463" s="83"/>
      <c r="X2463" s="83"/>
      <c r="Y2463" s="83"/>
      <c r="Z2463" s="83"/>
    </row>
    <row r="2464">
      <c r="A2464" s="75" t="s">
        <v>32</v>
      </c>
      <c r="B2464" s="75" t="s">
        <v>1006</v>
      </c>
      <c r="C2464" s="75">
        <v>4.82</v>
      </c>
      <c r="D2464" s="75">
        <v>7.0</v>
      </c>
      <c r="E2464" s="75">
        <v>0.69</v>
      </c>
      <c r="F2464" s="75" t="s">
        <v>990</v>
      </c>
      <c r="G2464" s="82">
        <v>46112.0</v>
      </c>
      <c r="H2464" s="76" t="s">
        <v>943</v>
      </c>
      <c r="I2464" s="83"/>
      <c r="J2464" s="83"/>
      <c r="K2464" s="83"/>
      <c r="L2464" s="83"/>
      <c r="M2464" s="83"/>
      <c r="N2464" s="83"/>
      <c r="O2464" s="83"/>
      <c r="P2464" s="83"/>
      <c r="Q2464" s="83"/>
      <c r="R2464" s="83"/>
      <c r="S2464" s="83"/>
      <c r="T2464" s="83"/>
      <c r="U2464" s="83"/>
      <c r="V2464" s="83"/>
      <c r="W2464" s="83"/>
      <c r="X2464" s="83"/>
      <c r="Y2464" s="83"/>
      <c r="Z2464" s="83"/>
    </row>
    <row r="2465">
      <c r="A2465" s="75" t="s">
        <v>944</v>
      </c>
      <c r="B2465" s="75" t="s">
        <v>1006</v>
      </c>
      <c r="C2465" s="75">
        <v>8.03</v>
      </c>
      <c r="D2465" s="75">
        <v>0.0</v>
      </c>
      <c r="E2465" s="75">
        <v>0.0</v>
      </c>
      <c r="F2465" s="75" t="s">
        <v>990</v>
      </c>
      <c r="G2465" s="82">
        <v>46112.0</v>
      </c>
      <c r="H2465" s="76" t="s">
        <v>945</v>
      </c>
      <c r="I2465" s="83"/>
      <c r="J2465" s="83"/>
      <c r="K2465" s="83"/>
      <c r="L2465" s="83"/>
      <c r="M2465" s="83"/>
      <c r="N2465" s="83"/>
      <c r="O2465" s="83"/>
      <c r="P2465" s="83"/>
      <c r="Q2465" s="83"/>
      <c r="R2465" s="83"/>
      <c r="S2465" s="83"/>
      <c r="T2465" s="83"/>
      <c r="U2465" s="83"/>
      <c r="V2465" s="83"/>
      <c r="W2465" s="83"/>
      <c r="X2465" s="83"/>
      <c r="Y2465" s="83"/>
      <c r="Z2465" s="83"/>
    </row>
    <row r="2466">
      <c r="A2466" s="75" t="s">
        <v>944</v>
      </c>
      <c r="B2466" s="75" t="s">
        <v>1006</v>
      </c>
      <c r="C2466" s="75">
        <v>1.55</v>
      </c>
      <c r="D2466" s="75">
        <v>0.0</v>
      </c>
      <c r="E2466" s="75">
        <v>0.0</v>
      </c>
      <c r="F2466" s="75" t="s">
        <v>990</v>
      </c>
      <c r="G2466" s="82">
        <v>46112.0</v>
      </c>
      <c r="H2466" s="76" t="s">
        <v>946</v>
      </c>
      <c r="I2466" s="83"/>
      <c r="J2466" s="83"/>
      <c r="K2466" s="83"/>
      <c r="L2466" s="83"/>
      <c r="M2466" s="83"/>
      <c r="N2466" s="83"/>
      <c r="O2466" s="83"/>
      <c r="P2466" s="83"/>
      <c r="Q2466" s="83"/>
      <c r="R2466" s="83"/>
      <c r="S2466" s="83"/>
      <c r="T2466" s="83"/>
      <c r="U2466" s="83"/>
      <c r="V2466" s="83"/>
      <c r="W2466" s="83"/>
      <c r="X2466" s="83"/>
      <c r="Y2466" s="83"/>
      <c r="Z2466" s="83"/>
    </row>
    <row r="2467">
      <c r="A2467" s="75" t="s">
        <v>944</v>
      </c>
      <c r="B2467" s="75" t="s">
        <v>1006</v>
      </c>
      <c r="C2467" s="75">
        <v>5.6</v>
      </c>
      <c r="D2467" s="75">
        <v>0.0</v>
      </c>
      <c r="E2467" s="75">
        <v>0.0</v>
      </c>
      <c r="F2467" s="75" t="s">
        <v>990</v>
      </c>
      <c r="G2467" s="82">
        <v>46112.0</v>
      </c>
      <c r="H2467" s="76" t="s">
        <v>947</v>
      </c>
      <c r="I2467" s="83"/>
      <c r="J2467" s="83"/>
      <c r="K2467" s="83"/>
      <c r="L2467" s="83"/>
      <c r="M2467" s="83"/>
      <c r="N2467" s="83"/>
      <c r="O2467" s="83"/>
      <c r="P2467" s="83"/>
      <c r="Q2467" s="83"/>
      <c r="R2467" s="83"/>
      <c r="S2467" s="83"/>
      <c r="T2467" s="83"/>
      <c r="U2467" s="83"/>
      <c r="V2467" s="83"/>
      <c r="W2467" s="83"/>
      <c r="X2467" s="83"/>
      <c r="Y2467" s="83"/>
      <c r="Z2467" s="83"/>
    </row>
    <row r="2468">
      <c r="A2468" s="75" t="s">
        <v>26</v>
      </c>
      <c r="B2468" s="75" t="s">
        <v>1006</v>
      </c>
      <c r="C2468" s="75">
        <v>1.3</v>
      </c>
      <c r="D2468" s="75">
        <v>0.0</v>
      </c>
      <c r="E2468" s="75">
        <v>0.0</v>
      </c>
      <c r="F2468" s="75" t="s">
        <v>990</v>
      </c>
      <c r="G2468" s="82">
        <v>46112.0</v>
      </c>
      <c r="H2468" s="76" t="s">
        <v>1012</v>
      </c>
      <c r="I2468" s="83"/>
      <c r="J2468" s="83"/>
      <c r="K2468" s="83"/>
      <c r="L2468" s="83"/>
      <c r="M2468" s="83"/>
      <c r="N2468" s="83"/>
      <c r="O2468" s="83"/>
      <c r="P2468" s="83"/>
      <c r="Q2468" s="83"/>
      <c r="R2468" s="83"/>
      <c r="S2468" s="83"/>
      <c r="T2468" s="83"/>
      <c r="U2468" s="83"/>
      <c r="V2468" s="83"/>
      <c r="W2468" s="83"/>
      <c r="X2468" s="83"/>
      <c r="Y2468" s="83"/>
      <c r="Z2468" s="83"/>
    </row>
    <row r="2469">
      <c r="A2469" s="75" t="s">
        <v>26</v>
      </c>
      <c r="B2469" s="75" t="s">
        <v>1006</v>
      </c>
      <c r="C2469" s="75">
        <v>1.93</v>
      </c>
      <c r="D2469" s="75">
        <v>0.0</v>
      </c>
      <c r="E2469" s="75">
        <v>0.0</v>
      </c>
      <c r="F2469" s="75" t="s">
        <v>990</v>
      </c>
      <c r="G2469" s="82">
        <v>46112.0</v>
      </c>
      <c r="H2469" s="76" t="s">
        <v>1013</v>
      </c>
      <c r="I2469" s="83"/>
      <c r="J2469" s="83"/>
      <c r="K2469" s="83"/>
      <c r="L2469" s="83"/>
      <c r="M2469" s="83"/>
      <c r="N2469" s="83"/>
      <c r="O2469" s="83"/>
      <c r="P2469" s="83"/>
      <c r="Q2469" s="83"/>
      <c r="R2469" s="83"/>
      <c r="S2469" s="83"/>
      <c r="T2469" s="83"/>
      <c r="U2469" s="83"/>
      <c r="V2469" s="83"/>
      <c r="W2469" s="83"/>
      <c r="X2469" s="83"/>
      <c r="Y2469" s="83"/>
      <c r="Z2469" s="83"/>
    </row>
    <row r="2470">
      <c r="A2470" s="75" t="s">
        <v>26</v>
      </c>
      <c r="B2470" s="75" t="s">
        <v>1006</v>
      </c>
      <c r="C2470" s="75">
        <v>1.12</v>
      </c>
      <c r="D2470" s="75">
        <v>0.0</v>
      </c>
      <c r="E2470" s="75">
        <v>0.0</v>
      </c>
      <c r="F2470" s="75" t="s">
        <v>990</v>
      </c>
      <c r="G2470" s="82">
        <v>46112.0</v>
      </c>
      <c r="H2470" s="76" t="s">
        <v>1014</v>
      </c>
      <c r="I2470" s="83"/>
      <c r="J2470" s="83"/>
      <c r="K2470" s="83"/>
      <c r="L2470" s="83"/>
      <c r="M2470" s="83"/>
      <c r="N2470" s="83"/>
      <c r="O2470" s="83"/>
      <c r="P2470" s="83"/>
      <c r="Q2470" s="83"/>
      <c r="R2470" s="83"/>
      <c r="S2470" s="83"/>
      <c r="T2470" s="83"/>
      <c r="U2470" s="83"/>
      <c r="V2470" s="83"/>
      <c r="W2470" s="83"/>
      <c r="X2470" s="83"/>
      <c r="Y2470" s="83"/>
      <c r="Z2470" s="83"/>
    </row>
    <row r="2471">
      <c r="A2471" s="75" t="s">
        <v>36</v>
      </c>
      <c r="B2471" s="75" t="s">
        <v>1006</v>
      </c>
      <c r="C2471" s="75">
        <v>3.49</v>
      </c>
      <c r="D2471" s="75">
        <v>0.0</v>
      </c>
      <c r="E2471" s="75">
        <v>0.0</v>
      </c>
      <c r="F2471" s="75" t="s">
        <v>993</v>
      </c>
      <c r="G2471" s="82">
        <v>46112.0</v>
      </c>
      <c r="H2471" s="76" t="s">
        <v>926</v>
      </c>
      <c r="I2471" s="83"/>
      <c r="J2471" s="83"/>
      <c r="K2471" s="83"/>
      <c r="L2471" s="83"/>
      <c r="M2471" s="83"/>
      <c r="N2471" s="83"/>
      <c r="O2471" s="83"/>
      <c r="P2471" s="83"/>
      <c r="Q2471" s="83"/>
      <c r="R2471" s="83"/>
      <c r="S2471" s="83"/>
      <c r="T2471" s="83"/>
      <c r="U2471" s="83"/>
      <c r="V2471" s="83"/>
      <c r="W2471" s="83"/>
      <c r="X2471" s="83"/>
      <c r="Y2471" s="83"/>
      <c r="Z2471" s="83"/>
    </row>
    <row r="2472">
      <c r="A2472" s="75" t="s">
        <v>36</v>
      </c>
      <c r="B2472" s="75" t="s">
        <v>1006</v>
      </c>
      <c r="C2472" s="75">
        <v>1.74</v>
      </c>
      <c r="D2472" s="75">
        <v>0.0</v>
      </c>
      <c r="E2472" s="75">
        <v>0.0</v>
      </c>
      <c r="F2472" s="75" t="s">
        <v>993</v>
      </c>
      <c r="G2472" s="82">
        <v>46112.0</v>
      </c>
      <c r="H2472" s="76" t="s">
        <v>927</v>
      </c>
      <c r="I2472" s="83"/>
      <c r="J2472" s="83"/>
      <c r="K2472" s="83"/>
      <c r="L2472" s="83"/>
      <c r="M2472" s="83"/>
      <c r="N2472" s="83"/>
      <c r="O2472" s="83"/>
      <c r="P2472" s="83"/>
      <c r="Q2472" s="83"/>
      <c r="R2472" s="83"/>
      <c r="S2472" s="83"/>
      <c r="T2472" s="83"/>
      <c r="U2472" s="83"/>
      <c r="V2472" s="83"/>
      <c r="W2472" s="83"/>
      <c r="X2472" s="83"/>
      <c r="Y2472" s="83"/>
      <c r="Z2472" s="83"/>
    </row>
    <row r="2473">
      <c r="A2473" s="75" t="s">
        <v>36</v>
      </c>
      <c r="B2473" s="75" t="s">
        <v>1006</v>
      </c>
      <c r="C2473" s="75">
        <v>2.6</v>
      </c>
      <c r="D2473" s="75">
        <v>0.0</v>
      </c>
      <c r="E2473" s="75">
        <v>0.0</v>
      </c>
      <c r="F2473" s="75" t="s">
        <v>993</v>
      </c>
      <c r="G2473" s="82">
        <v>46112.0</v>
      </c>
      <c r="H2473" s="76" t="s">
        <v>928</v>
      </c>
      <c r="I2473" s="83"/>
      <c r="J2473" s="83"/>
      <c r="K2473" s="83"/>
      <c r="L2473" s="83"/>
      <c r="M2473" s="83"/>
      <c r="N2473" s="83"/>
      <c r="O2473" s="83"/>
      <c r="P2473" s="83"/>
      <c r="Q2473" s="83"/>
      <c r="R2473" s="83"/>
      <c r="S2473" s="83"/>
      <c r="T2473" s="83"/>
      <c r="U2473" s="83"/>
      <c r="V2473" s="83"/>
      <c r="W2473" s="83"/>
      <c r="X2473" s="83"/>
      <c r="Y2473" s="83"/>
      <c r="Z2473" s="83"/>
    </row>
    <row r="2474">
      <c r="A2474" s="75" t="s">
        <v>31</v>
      </c>
      <c r="B2474" s="75" t="s">
        <v>1006</v>
      </c>
      <c r="C2474" s="75">
        <v>28.85</v>
      </c>
      <c r="D2474" s="75">
        <v>28.0</v>
      </c>
      <c r="E2474" s="75">
        <v>1.03</v>
      </c>
      <c r="F2474" s="75" t="s">
        <v>993</v>
      </c>
      <c r="G2474" s="82">
        <v>46112.0</v>
      </c>
      <c r="H2474" s="76" t="s">
        <v>929</v>
      </c>
      <c r="I2474" s="83"/>
      <c r="J2474" s="83"/>
      <c r="K2474" s="83"/>
      <c r="L2474" s="83"/>
      <c r="M2474" s="83"/>
      <c r="N2474" s="83"/>
      <c r="O2474" s="83"/>
      <c r="P2474" s="83"/>
      <c r="Q2474" s="83"/>
      <c r="R2474" s="83"/>
      <c r="S2474" s="83"/>
      <c r="T2474" s="83"/>
      <c r="U2474" s="83"/>
      <c r="V2474" s="83"/>
      <c r="W2474" s="83"/>
      <c r="X2474" s="83"/>
      <c r="Y2474" s="83"/>
      <c r="Z2474" s="83"/>
    </row>
    <row r="2475">
      <c r="A2475" s="75" t="s">
        <v>31</v>
      </c>
      <c r="B2475" s="75" t="s">
        <v>1006</v>
      </c>
      <c r="C2475" s="75">
        <v>127.66</v>
      </c>
      <c r="D2475" s="75">
        <v>159.0</v>
      </c>
      <c r="E2475" s="75">
        <v>0.8</v>
      </c>
      <c r="F2475" s="75" t="s">
        <v>993</v>
      </c>
      <c r="G2475" s="82">
        <v>46112.0</v>
      </c>
      <c r="H2475" s="76" t="s">
        <v>930</v>
      </c>
      <c r="I2475" s="83"/>
      <c r="J2475" s="83"/>
      <c r="K2475" s="83"/>
      <c r="L2475" s="83"/>
      <c r="M2475" s="83"/>
      <c r="N2475" s="83"/>
      <c r="O2475" s="83"/>
      <c r="P2475" s="83"/>
      <c r="Q2475" s="83"/>
      <c r="R2475" s="83"/>
      <c r="S2475" s="83"/>
      <c r="T2475" s="83"/>
      <c r="U2475" s="83"/>
      <c r="V2475" s="83"/>
      <c r="W2475" s="83"/>
      <c r="X2475" s="83"/>
      <c r="Y2475" s="83"/>
      <c r="Z2475" s="83"/>
    </row>
    <row r="2476">
      <c r="A2476" s="75" t="s">
        <v>28</v>
      </c>
      <c r="B2476" s="75" t="s">
        <v>1006</v>
      </c>
      <c r="C2476" s="75">
        <v>1.42</v>
      </c>
      <c r="D2476" s="75">
        <v>0.0</v>
      </c>
      <c r="E2476" s="75">
        <v>0.0</v>
      </c>
      <c r="F2476" s="75" t="s">
        <v>993</v>
      </c>
      <c r="G2476" s="82">
        <v>46112.0</v>
      </c>
      <c r="H2476" s="76" t="s">
        <v>931</v>
      </c>
      <c r="I2476" s="83"/>
      <c r="J2476" s="83"/>
      <c r="K2476" s="83"/>
      <c r="L2476" s="83"/>
      <c r="M2476" s="83"/>
      <c r="N2476" s="83"/>
      <c r="O2476" s="83"/>
      <c r="P2476" s="83"/>
      <c r="Q2476" s="83"/>
      <c r="R2476" s="83"/>
      <c r="S2476" s="83"/>
      <c r="T2476" s="83"/>
      <c r="U2476" s="83"/>
      <c r="V2476" s="83"/>
      <c r="W2476" s="83"/>
      <c r="X2476" s="83"/>
      <c r="Y2476" s="83"/>
      <c r="Z2476" s="83"/>
    </row>
    <row r="2477">
      <c r="A2477" s="75" t="s">
        <v>28</v>
      </c>
      <c r="B2477" s="75" t="s">
        <v>1006</v>
      </c>
      <c r="C2477" s="75">
        <v>0.96</v>
      </c>
      <c r="D2477" s="75">
        <v>0.0</v>
      </c>
      <c r="E2477" s="75">
        <v>0.0</v>
      </c>
      <c r="F2477" s="75" t="s">
        <v>993</v>
      </c>
      <c r="G2477" s="82">
        <v>46112.0</v>
      </c>
      <c r="H2477" s="76" t="s">
        <v>932</v>
      </c>
      <c r="I2477" s="83"/>
      <c r="J2477" s="83"/>
      <c r="K2477" s="83"/>
      <c r="L2477" s="83"/>
      <c r="M2477" s="83"/>
      <c r="N2477" s="83"/>
      <c r="O2477" s="83"/>
      <c r="P2477" s="83"/>
      <c r="Q2477" s="83"/>
      <c r="R2477" s="83"/>
      <c r="S2477" s="83"/>
      <c r="T2477" s="83"/>
      <c r="U2477" s="83"/>
      <c r="V2477" s="83"/>
      <c r="W2477" s="83"/>
      <c r="X2477" s="83"/>
      <c r="Y2477" s="83"/>
      <c r="Z2477" s="83"/>
    </row>
    <row r="2478">
      <c r="A2478" s="75" t="s">
        <v>28</v>
      </c>
      <c r="B2478" s="75" t="s">
        <v>1006</v>
      </c>
      <c r="C2478" s="75">
        <v>21.63</v>
      </c>
      <c r="D2478" s="75">
        <v>1.0</v>
      </c>
      <c r="E2478" s="75">
        <v>21.63</v>
      </c>
      <c r="F2478" s="75" t="s">
        <v>993</v>
      </c>
      <c r="G2478" s="82">
        <v>46112.0</v>
      </c>
      <c r="H2478" s="76" t="s">
        <v>933</v>
      </c>
      <c r="I2478" s="83"/>
      <c r="J2478" s="83"/>
      <c r="K2478" s="83"/>
      <c r="L2478" s="83"/>
      <c r="M2478" s="83"/>
      <c r="N2478" s="83"/>
      <c r="O2478" s="83"/>
      <c r="P2478" s="83"/>
      <c r="Q2478" s="83"/>
      <c r="R2478" s="83"/>
      <c r="S2478" s="83"/>
      <c r="T2478" s="83"/>
      <c r="U2478" s="83"/>
      <c r="V2478" s="83"/>
      <c r="W2478" s="83"/>
      <c r="X2478" s="83"/>
      <c r="Y2478" s="83"/>
      <c r="Z2478" s="83"/>
    </row>
    <row r="2479">
      <c r="A2479" s="75" t="s">
        <v>42</v>
      </c>
      <c r="B2479" s="75" t="s">
        <v>1006</v>
      </c>
      <c r="C2479" s="75">
        <v>0.39</v>
      </c>
      <c r="D2479" s="75">
        <v>0.0</v>
      </c>
      <c r="E2479" s="75">
        <v>0.0</v>
      </c>
      <c r="F2479" s="75" t="s">
        <v>993</v>
      </c>
      <c r="G2479" s="82">
        <v>46112.0</v>
      </c>
      <c r="H2479" s="76" t="s">
        <v>991</v>
      </c>
      <c r="I2479" s="83"/>
      <c r="J2479" s="83"/>
      <c r="K2479" s="83"/>
      <c r="L2479" s="83"/>
      <c r="M2479" s="83"/>
      <c r="N2479" s="83"/>
      <c r="O2479" s="83"/>
      <c r="P2479" s="83"/>
      <c r="Q2479" s="83"/>
      <c r="R2479" s="83"/>
      <c r="S2479" s="83"/>
      <c r="T2479" s="83"/>
      <c r="U2479" s="83"/>
      <c r="V2479" s="83"/>
      <c r="W2479" s="83"/>
      <c r="X2479" s="83"/>
      <c r="Y2479" s="83"/>
      <c r="Z2479" s="83"/>
    </row>
    <row r="2480">
      <c r="A2480" s="75" t="s">
        <v>42</v>
      </c>
      <c r="B2480" s="75" t="s">
        <v>1006</v>
      </c>
      <c r="C2480" s="75">
        <v>5.84</v>
      </c>
      <c r="D2480" s="75">
        <v>2.0</v>
      </c>
      <c r="E2480" s="75">
        <v>2.92</v>
      </c>
      <c r="F2480" s="75" t="s">
        <v>993</v>
      </c>
      <c r="G2480" s="82">
        <v>46112.0</v>
      </c>
      <c r="H2480" s="76" t="s">
        <v>935</v>
      </c>
      <c r="I2480" s="83"/>
      <c r="J2480" s="83"/>
      <c r="K2480" s="83"/>
      <c r="L2480" s="83"/>
      <c r="M2480" s="83"/>
      <c r="N2480" s="83"/>
      <c r="O2480" s="83"/>
      <c r="P2480" s="83"/>
      <c r="Q2480" s="83"/>
      <c r="R2480" s="83"/>
      <c r="S2480" s="83"/>
      <c r="T2480" s="83"/>
      <c r="U2480" s="83"/>
      <c r="V2480" s="83"/>
      <c r="W2480" s="83"/>
      <c r="X2480" s="83"/>
      <c r="Y2480" s="83"/>
      <c r="Z2480" s="83"/>
    </row>
    <row r="2481">
      <c r="A2481" s="75" t="s">
        <v>45</v>
      </c>
      <c r="B2481" s="75" t="s">
        <v>1006</v>
      </c>
      <c r="C2481" s="75">
        <v>1.41</v>
      </c>
      <c r="D2481" s="75">
        <v>0.0</v>
      </c>
      <c r="E2481" s="75">
        <v>0.0</v>
      </c>
      <c r="F2481" s="75" t="s">
        <v>993</v>
      </c>
      <c r="G2481" s="82">
        <v>46112.0</v>
      </c>
      <c r="H2481" s="76" t="s">
        <v>936</v>
      </c>
      <c r="I2481" s="83"/>
      <c r="J2481" s="83"/>
      <c r="K2481" s="83"/>
      <c r="L2481" s="83"/>
      <c r="M2481" s="83"/>
      <c r="N2481" s="83"/>
      <c r="O2481" s="83"/>
      <c r="P2481" s="83"/>
      <c r="Q2481" s="83"/>
      <c r="R2481" s="83"/>
      <c r="S2481" s="83"/>
      <c r="T2481" s="83"/>
      <c r="U2481" s="83"/>
      <c r="V2481" s="83"/>
      <c r="W2481" s="83"/>
      <c r="X2481" s="83"/>
      <c r="Y2481" s="83"/>
      <c r="Z2481" s="83"/>
    </row>
    <row r="2482">
      <c r="A2482" s="75" t="s">
        <v>45</v>
      </c>
      <c r="B2482" s="75" t="s">
        <v>1006</v>
      </c>
      <c r="C2482" s="75">
        <v>1.83</v>
      </c>
      <c r="D2482" s="75">
        <v>0.0</v>
      </c>
      <c r="E2482" s="75">
        <v>0.0</v>
      </c>
      <c r="F2482" s="75" t="s">
        <v>993</v>
      </c>
      <c r="G2482" s="82">
        <v>46112.0</v>
      </c>
      <c r="H2482" s="76" t="s">
        <v>937</v>
      </c>
      <c r="I2482" s="83"/>
      <c r="J2482" s="83"/>
      <c r="K2482" s="83"/>
      <c r="L2482" s="83"/>
      <c r="M2482" s="83"/>
      <c r="N2482" s="83"/>
      <c r="O2482" s="83"/>
      <c r="P2482" s="83"/>
      <c r="Q2482" s="83"/>
      <c r="R2482" s="83"/>
      <c r="S2482" s="83"/>
      <c r="T2482" s="83"/>
      <c r="U2482" s="83"/>
      <c r="V2482" s="83"/>
      <c r="W2482" s="83"/>
      <c r="X2482" s="83"/>
      <c r="Y2482" s="83"/>
      <c r="Z2482" s="83"/>
    </row>
    <row r="2483">
      <c r="A2483" s="75" t="s">
        <v>45</v>
      </c>
      <c r="B2483" s="75" t="s">
        <v>1006</v>
      </c>
      <c r="C2483" s="75">
        <v>2.88</v>
      </c>
      <c r="D2483" s="75">
        <v>0.0</v>
      </c>
      <c r="E2483" s="75">
        <v>0.0</v>
      </c>
      <c r="F2483" s="75" t="s">
        <v>993</v>
      </c>
      <c r="G2483" s="82">
        <v>46112.0</v>
      </c>
      <c r="H2483" s="76" t="s">
        <v>938</v>
      </c>
      <c r="I2483" s="83"/>
      <c r="J2483" s="83"/>
      <c r="K2483" s="83"/>
      <c r="L2483" s="83"/>
      <c r="M2483" s="83"/>
      <c r="N2483" s="83"/>
      <c r="O2483" s="83"/>
      <c r="P2483" s="83"/>
      <c r="Q2483" s="83"/>
      <c r="R2483" s="83"/>
      <c r="S2483" s="83"/>
      <c r="T2483" s="83"/>
      <c r="U2483" s="83"/>
      <c r="V2483" s="83"/>
      <c r="W2483" s="83"/>
      <c r="X2483" s="83"/>
      <c r="Y2483" s="83"/>
      <c r="Z2483" s="83"/>
    </row>
    <row r="2484">
      <c r="A2484" s="75" t="s">
        <v>50</v>
      </c>
      <c r="B2484" s="75" t="s">
        <v>1006</v>
      </c>
      <c r="C2484" s="75">
        <v>2.54</v>
      </c>
      <c r="D2484" s="75">
        <v>0.0</v>
      </c>
      <c r="E2484" s="75">
        <v>0.0</v>
      </c>
      <c r="F2484" s="75" t="s">
        <v>993</v>
      </c>
      <c r="G2484" s="82">
        <v>46112.0</v>
      </c>
      <c r="H2484" s="76" t="s">
        <v>939</v>
      </c>
      <c r="I2484" s="83"/>
      <c r="J2484" s="83"/>
      <c r="K2484" s="83"/>
      <c r="L2484" s="83"/>
      <c r="M2484" s="83"/>
      <c r="N2484" s="83"/>
      <c r="O2484" s="83"/>
      <c r="P2484" s="83"/>
      <c r="Q2484" s="83"/>
      <c r="R2484" s="83"/>
      <c r="S2484" s="83"/>
      <c r="T2484" s="83"/>
      <c r="U2484" s="83"/>
      <c r="V2484" s="83"/>
      <c r="W2484" s="83"/>
      <c r="X2484" s="83"/>
      <c r="Y2484" s="83"/>
      <c r="Z2484" s="83"/>
    </row>
    <row r="2485">
      <c r="A2485" s="75" t="s">
        <v>50</v>
      </c>
      <c r="B2485" s="75" t="s">
        <v>1006</v>
      </c>
      <c r="C2485" s="75">
        <v>1.04</v>
      </c>
      <c r="D2485" s="75">
        <v>0.0</v>
      </c>
      <c r="E2485" s="75">
        <v>0.0</v>
      </c>
      <c r="F2485" s="75" t="s">
        <v>993</v>
      </c>
      <c r="G2485" s="82">
        <v>46112.0</v>
      </c>
      <c r="H2485" s="76" t="s">
        <v>940</v>
      </c>
      <c r="I2485" s="83"/>
      <c r="J2485" s="83"/>
      <c r="K2485" s="83"/>
      <c r="L2485" s="83"/>
      <c r="M2485" s="83"/>
      <c r="N2485" s="83"/>
      <c r="O2485" s="83"/>
      <c r="P2485" s="83"/>
      <c r="Q2485" s="83"/>
      <c r="R2485" s="83"/>
      <c r="S2485" s="83"/>
      <c r="T2485" s="83"/>
      <c r="U2485" s="83"/>
      <c r="V2485" s="83"/>
      <c r="W2485" s="83"/>
      <c r="X2485" s="83"/>
      <c r="Y2485" s="83"/>
      <c r="Z2485" s="83"/>
    </row>
    <row r="2486">
      <c r="A2486" s="75" t="s">
        <v>32</v>
      </c>
      <c r="B2486" s="75" t="s">
        <v>1006</v>
      </c>
      <c r="C2486" s="75">
        <v>28.37</v>
      </c>
      <c r="D2486" s="75">
        <v>4.0</v>
      </c>
      <c r="E2486" s="75">
        <v>7.09</v>
      </c>
      <c r="F2486" s="75" t="s">
        <v>993</v>
      </c>
      <c r="G2486" s="82">
        <v>46112.0</v>
      </c>
      <c r="H2486" s="76" t="s">
        <v>941</v>
      </c>
      <c r="I2486" s="83"/>
      <c r="J2486" s="83"/>
      <c r="K2486" s="83"/>
      <c r="L2486" s="83"/>
      <c r="M2486" s="83"/>
      <c r="N2486" s="83"/>
      <c r="O2486" s="83"/>
      <c r="P2486" s="83"/>
      <c r="Q2486" s="83"/>
      <c r="R2486" s="83"/>
      <c r="S2486" s="83"/>
      <c r="T2486" s="83"/>
      <c r="U2486" s="83"/>
      <c r="V2486" s="83"/>
      <c r="W2486" s="83"/>
      <c r="X2486" s="83"/>
      <c r="Y2486" s="83"/>
      <c r="Z2486" s="83"/>
    </row>
    <row r="2487">
      <c r="A2487" s="75" t="s">
        <v>32</v>
      </c>
      <c r="B2487" s="75" t="s">
        <v>1006</v>
      </c>
      <c r="C2487" s="75">
        <v>5.1</v>
      </c>
      <c r="D2487" s="75">
        <v>3.0</v>
      </c>
      <c r="E2487" s="75">
        <v>1.7</v>
      </c>
      <c r="F2487" s="75" t="s">
        <v>993</v>
      </c>
      <c r="G2487" s="82">
        <v>46112.0</v>
      </c>
      <c r="H2487" s="76" t="s">
        <v>942</v>
      </c>
      <c r="I2487" s="83"/>
      <c r="J2487" s="83"/>
      <c r="K2487" s="83"/>
      <c r="L2487" s="83"/>
      <c r="M2487" s="83"/>
      <c r="N2487" s="83"/>
      <c r="O2487" s="83"/>
      <c r="P2487" s="83"/>
      <c r="Q2487" s="83"/>
      <c r="R2487" s="83"/>
      <c r="S2487" s="83"/>
      <c r="T2487" s="83"/>
      <c r="U2487" s="83"/>
      <c r="V2487" s="83"/>
      <c r="W2487" s="83"/>
      <c r="X2487" s="83"/>
      <c r="Y2487" s="83"/>
      <c r="Z2487" s="83"/>
    </row>
    <row r="2488">
      <c r="A2488" s="75" t="s">
        <v>32</v>
      </c>
      <c r="B2488" s="75" t="s">
        <v>1006</v>
      </c>
      <c r="C2488" s="75">
        <v>5.88</v>
      </c>
      <c r="D2488" s="75">
        <v>5.0</v>
      </c>
      <c r="E2488" s="75">
        <v>1.18</v>
      </c>
      <c r="F2488" s="75" t="s">
        <v>993</v>
      </c>
      <c r="G2488" s="82">
        <v>46112.0</v>
      </c>
      <c r="H2488" s="76" t="s">
        <v>943</v>
      </c>
      <c r="I2488" s="83"/>
      <c r="J2488" s="83"/>
      <c r="K2488" s="83"/>
      <c r="L2488" s="83"/>
      <c r="M2488" s="83"/>
      <c r="N2488" s="83"/>
      <c r="O2488" s="83"/>
      <c r="P2488" s="83"/>
      <c r="Q2488" s="83"/>
      <c r="R2488" s="83"/>
      <c r="S2488" s="83"/>
      <c r="T2488" s="83"/>
      <c r="U2488" s="83"/>
      <c r="V2488" s="83"/>
      <c r="W2488" s="83"/>
      <c r="X2488" s="83"/>
      <c r="Y2488" s="83"/>
      <c r="Z2488" s="83"/>
    </row>
    <row r="2489">
      <c r="A2489" s="75" t="s">
        <v>944</v>
      </c>
      <c r="B2489" s="75" t="s">
        <v>1006</v>
      </c>
      <c r="C2489" s="75">
        <v>6.03</v>
      </c>
      <c r="D2489" s="75">
        <v>0.0</v>
      </c>
      <c r="E2489" s="75">
        <v>0.0</v>
      </c>
      <c r="F2489" s="75" t="s">
        <v>993</v>
      </c>
      <c r="G2489" s="82">
        <v>46112.0</v>
      </c>
      <c r="H2489" s="76" t="s">
        <v>945</v>
      </c>
      <c r="I2489" s="83"/>
      <c r="J2489" s="83"/>
      <c r="K2489" s="83"/>
      <c r="L2489" s="83"/>
      <c r="M2489" s="83"/>
      <c r="N2489" s="83"/>
      <c r="O2489" s="83"/>
      <c r="P2489" s="83"/>
      <c r="Q2489" s="83"/>
      <c r="R2489" s="83"/>
      <c r="S2489" s="83"/>
      <c r="T2489" s="83"/>
      <c r="U2489" s="83"/>
      <c r="V2489" s="83"/>
      <c r="W2489" s="83"/>
      <c r="X2489" s="83"/>
      <c r="Y2489" s="83"/>
      <c r="Z2489" s="83"/>
    </row>
    <row r="2490">
      <c r="A2490" s="75" t="s">
        <v>944</v>
      </c>
      <c r="B2490" s="75" t="s">
        <v>1006</v>
      </c>
      <c r="C2490" s="75">
        <v>1.19</v>
      </c>
      <c r="D2490" s="75">
        <v>0.0</v>
      </c>
      <c r="E2490" s="75">
        <v>0.0</v>
      </c>
      <c r="F2490" s="75" t="s">
        <v>993</v>
      </c>
      <c r="G2490" s="82">
        <v>46112.0</v>
      </c>
      <c r="H2490" s="76" t="s">
        <v>946</v>
      </c>
      <c r="I2490" s="83"/>
      <c r="J2490" s="83"/>
      <c r="K2490" s="83"/>
      <c r="L2490" s="83"/>
      <c r="M2490" s="83"/>
      <c r="N2490" s="83"/>
      <c r="O2490" s="83"/>
      <c r="P2490" s="83"/>
      <c r="Q2490" s="83"/>
      <c r="R2490" s="83"/>
      <c r="S2490" s="83"/>
      <c r="T2490" s="83"/>
      <c r="U2490" s="83"/>
      <c r="V2490" s="83"/>
      <c r="W2490" s="83"/>
      <c r="X2490" s="83"/>
      <c r="Y2490" s="83"/>
      <c r="Z2490" s="83"/>
    </row>
    <row r="2491">
      <c r="A2491" s="75" t="s">
        <v>944</v>
      </c>
      <c r="B2491" s="75" t="s">
        <v>1006</v>
      </c>
      <c r="C2491" s="75">
        <v>6.29</v>
      </c>
      <c r="D2491" s="75">
        <v>0.0</v>
      </c>
      <c r="E2491" s="75">
        <v>0.0</v>
      </c>
      <c r="F2491" s="75" t="s">
        <v>993</v>
      </c>
      <c r="G2491" s="82">
        <v>46112.0</v>
      </c>
      <c r="H2491" s="76" t="s">
        <v>947</v>
      </c>
      <c r="I2491" s="83"/>
      <c r="J2491" s="83"/>
      <c r="K2491" s="83"/>
      <c r="L2491" s="83"/>
      <c r="M2491" s="83"/>
      <c r="N2491" s="83"/>
      <c r="O2491" s="83"/>
      <c r="P2491" s="83"/>
      <c r="Q2491" s="83"/>
      <c r="R2491" s="83"/>
      <c r="S2491" s="83"/>
      <c r="T2491" s="83"/>
      <c r="U2491" s="83"/>
      <c r="V2491" s="83"/>
      <c r="W2491" s="83"/>
      <c r="X2491" s="83"/>
      <c r="Y2491" s="83"/>
      <c r="Z2491" s="83"/>
    </row>
    <row r="2492">
      <c r="A2492" s="75" t="s">
        <v>26</v>
      </c>
      <c r="B2492" s="75" t="s">
        <v>1006</v>
      </c>
      <c r="C2492" s="75">
        <v>2.39</v>
      </c>
      <c r="D2492" s="75">
        <v>0.0</v>
      </c>
      <c r="E2492" s="75">
        <v>0.0</v>
      </c>
      <c r="F2492" s="75" t="s">
        <v>993</v>
      </c>
      <c r="G2492" s="82">
        <v>46112.0</v>
      </c>
      <c r="H2492" s="76" t="s">
        <v>1012</v>
      </c>
      <c r="I2492" s="83"/>
      <c r="J2492" s="83"/>
      <c r="K2492" s="83"/>
      <c r="L2492" s="83"/>
      <c r="M2492" s="83"/>
      <c r="N2492" s="83"/>
      <c r="O2492" s="83"/>
      <c r="P2492" s="83"/>
      <c r="Q2492" s="83"/>
      <c r="R2492" s="83"/>
      <c r="S2492" s="83"/>
      <c r="T2492" s="83"/>
      <c r="U2492" s="83"/>
      <c r="V2492" s="83"/>
      <c r="W2492" s="83"/>
      <c r="X2492" s="83"/>
      <c r="Y2492" s="83"/>
      <c r="Z2492" s="83"/>
    </row>
    <row r="2493">
      <c r="A2493" s="75" t="s">
        <v>26</v>
      </c>
      <c r="B2493" s="75" t="s">
        <v>1006</v>
      </c>
      <c r="C2493" s="75">
        <v>47.83</v>
      </c>
      <c r="D2493" s="75">
        <v>2.0</v>
      </c>
      <c r="E2493" s="75">
        <v>23.91</v>
      </c>
      <c r="F2493" s="75" t="s">
        <v>993</v>
      </c>
      <c r="G2493" s="82">
        <v>46112.0</v>
      </c>
      <c r="H2493" s="76" t="s">
        <v>1013</v>
      </c>
      <c r="I2493" s="83"/>
      <c r="J2493" s="83"/>
      <c r="K2493" s="83"/>
      <c r="L2493" s="83"/>
      <c r="M2493" s="83"/>
      <c r="N2493" s="83"/>
      <c r="O2493" s="83"/>
      <c r="P2493" s="83"/>
      <c r="Q2493" s="83"/>
      <c r="R2493" s="83"/>
      <c r="S2493" s="83"/>
      <c r="T2493" s="83"/>
      <c r="U2493" s="83"/>
      <c r="V2493" s="83"/>
      <c r="W2493" s="83"/>
      <c r="X2493" s="83"/>
      <c r="Y2493" s="83"/>
      <c r="Z2493" s="83"/>
    </row>
    <row r="2494">
      <c r="A2494" s="75" t="s">
        <v>26</v>
      </c>
      <c r="B2494" s="75" t="s">
        <v>1006</v>
      </c>
      <c r="C2494" s="75">
        <v>5.43</v>
      </c>
      <c r="D2494" s="75">
        <v>0.0</v>
      </c>
      <c r="E2494" s="75">
        <v>0.0</v>
      </c>
      <c r="F2494" s="75" t="s">
        <v>993</v>
      </c>
      <c r="G2494" s="82">
        <v>46112.0</v>
      </c>
      <c r="H2494" s="76" t="s">
        <v>1014</v>
      </c>
      <c r="I2494" s="83"/>
      <c r="J2494" s="83"/>
      <c r="K2494" s="83"/>
      <c r="L2494" s="83"/>
      <c r="M2494" s="83"/>
      <c r="N2494" s="83"/>
      <c r="O2494" s="83"/>
      <c r="P2494" s="83"/>
      <c r="Q2494" s="83"/>
      <c r="R2494" s="83"/>
      <c r="S2494" s="83"/>
      <c r="T2494" s="83"/>
      <c r="U2494" s="83"/>
      <c r="V2494" s="83"/>
      <c r="W2494" s="83"/>
      <c r="X2494" s="83"/>
      <c r="Y2494" s="83"/>
      <c r="Z2494" s="83"/>
    </row>
    <row r="2495">
      <c r="A2495" s="75" t="s">
        <v>36</v>
      </c>
      <c r="B2495" s="75" t="s">
        <v>1006</v>
      </c>
      <c r="C2495" s="75">
        <v>0.57</v>
      </c>
      <c r="D2495" s="75">
        <v>0.0</v>
      </c>
      <c r="E2495" s="75">
        <v>0.0</v>
      </c>
      <c r="F2495" s="75" t="s">
        <v>994</v>
      </c>
      <c r="G2495" s="82">
        <v>46112.0</v>
      </c>
      <c r="H2495" s="76" t="s">
        <v>926</v>
      </c>
      <c r="I2495" s="83"/>
      <c r="J2495" s="83"/>
      <c r="K2495" s="83"/>
      <c r="L2495" s="83"/>
      <c r="M2495" s="83"/>
      <c r="N2495" s="83"/>
      <c r="O2495" s="83"/>
      <c r="P2495" s="83"/>
      <c r="Q2495" s="83"/>
      <c r="R2495" s="83"/>
      <c r="S2495" s="83"/>
      <c r="T2495" s="83"/>
      <c r="U2495" s="83"/>
      <c r="V2495" s="83"/>
      <c r="W2495" s="83"/>
      <c r="X2495" s="83"/>
      <c r="Y2495" s="83"/>
      <c r="Z2495" s="83"/>
    </row>
    <row r="2496">
      <c r="A2496" s="75" t="s">
        <v>36</v>
      </c>
      <c r="B2496" s="75" t="s">
        <v>1006</v>
      </c>
      <c r="C2496" s="75">
        <v>0.32</v>
      </c>
      <c r="D2496" s="75">
        <v>0.0</v>
      </c>
      <c r="E2496" s="75">
        <v>0.0</v>
      </c>
      <c r="F2496" s="75" t="s">
        <v>994</v>
      </c>
      <c r="G2496" s="82">
        <v>46112.0</v>
      </c>
      <c r="H2496" s="76" t="s">
        <v>927</v>
      </c>
      <c r="I2496" s="83"/>
      <c r="J2496" s="83"/>
      <c r="K2496" s="83"/>
      <c r="L2496" s="83"/>
      <c r="M2496" s="83"/>
      <c r="N2496" s="83"/>
      <c r="O2496" s="83"/>
      <c r="P2496" s="83"/>
      <c r="Q2496" s="83"/>
      <c r="R2496" s="83"/>
      <c r="S2496" s="83"/>
      <c r="T2496" s="83"/>
      <c r="U2496" s="83"/>
      <c r="V2496" s="83"/>
      <c r="W2496" s="83"/>
      <c r="X2496" s="83"/>
      <c r="Y2496" s="83"/>
      <c r="Z2496" s="83"/>
    </row>
    <row r="2497">
      <c r="A2497" s="75" t="s">
        <v>36</v>
      </c>
      <c r="B2497" s="75" t="s">
        <v>1006</v>
      </c>
      <c r="C2497" s="75">
        <v>0.52</v>
      </c>
      <c r="D2497" s="75">
        <v>0.0</v>
      </c>
      <c r="E2497" s="75">
        <v>0.0</v>
      </c>
      <c r="F2497" s="75" t="s">
        <v>994</v>
      </c>
      <c r="G2497" s="82">
        <v>46112.0</v>
      </c>
      <c r="H2497" s="76" t="s">
        <v>928</v>
      </c>
      <c r="I2497" s="83"/>
      <c r="J2497" s="83"/>
      <c r="K2497" s="83"/>
      <c r="L2497" s="83"/>
      <c r="M2497" s="83"/>
      <c r="N2497" s="83"/>
      <c r="O2497" s="83"/>
      <c r="P2497" s="83"/>
      <c r="Q2497" s="83"/>
      <c r="R2497" s="83"/>
      <c r="S2497" s="83"/>
      <c r="T2497" s="83"/>
      <c r="U2497" s="83"/>
      <c r="V2497" s="83"/>
      <c r="W2497" s="83"/>
      <c r="X2497" s="83"/>
      <c r="Y2497" s="83"/>
      <c r="Z2497" s="83"/>
    </row>
    <row r="2498">
      <c r="A2498" s="75" t="s">
        <v>31</v>
      </c>
      <c r="B2498" s="75" t="s">
        <v>1006</v>
      </c>
      <c r="C2498" s="75">
        <v>5.92</v>
      </c>
      <c r="D2498" s="75">
        <v>0.0</v>
      </c>
      <c r="E2498" s="75">
        <v>0.0</v>
      </c>
      <c r="F2498" s="75" t="s">
        <v>994</v>
      </c>
      <c r="G2498" s="82">
        <v>46112.0</v>
      </c>
      <c r="H2498" s="76" t="s">
        <v>929</v>
      </c>
      <c r="I2498" s="83"/>
      <c r="J2498" s="83"/>
      <c r="K2498" s="83"/>
      <c r="L2498" s="83"/>
      <c r="M2498" s="83"/>
      <c r="N2498" s="83"/>
      <c r="O2498" s="83"/>
      <c r="P2498" s="83"/>
      <c r="Q2498" s="83"/>
      <c r="R2498" s="83"/>
      <c r="S2498" s="83"/>
      <c r="T2498" s="83"/>
      <c r="U2498" s="83"/>
      <c r="V2498" s="83"/>
      <c r="W2498" s="83"/>
      <c r="X2498" s="83"/>
      <c r="Y2498" s="83"/>
      <c r="Z2498" s="83"/>
    </row>
    <row r="2499">
      <c r="A2499" s="75" t="s">
        <v>31</v>
      </c>
      <c r="B2499" s="75" t="s">
        <v>1006</v>
      </c>
      <c r="C2499" s="75">
        <v>7.59</v>
      </c>
      <c r="D2499" s="75">
        <v>3.0</v>
      </c>
      <c r="E2499" s="75">
        <v>2.53</v>
      </c>
      <c r="F2499" s="75" t="s">
        <v>994</v>
      </c>
      <c r="G2499" s="82">
        <v>46112.0</v>
      </c>
      <c r="H2499" s="76" t="s">
        <v>930</v>
      </c>
      <c r="I2499" s="83"/>
      <c r="J2499" s="83"/>
      <c r="K2499" s="83"/>
      <c r="L2499" s="83"/>
      <c r="M2499" s="83"/>
      <c r="N2499" s="83"/>
      <c r="O2499" s="83"/>
      <c r="P2499" s="83"/>
      <c r="Q2499" s="83"/>
      <c r="R2499" s="83"/>
      <c r="S2499" s="83"/>
      <c r="T2499" s="83"/>
      <c r="U2499" s="83"/>
      <c r="V2499" s="83"/>
      <c r="W2499" s="83"/>
      <c r="X2499" s="83"/>
      <c r="Y2499" s="83"/>
      <c r="Z2499" s="83"/>
    </row>
    <row r="2500">
      <c r="A2500" s="75" t="s">
        <v>28</v>
      </c>
      <c r="B2500" s="75" t="s">
        <v>1006</v>
      </c>
      <c r="C2500" s="75">
        <v>0.24</v>
      </c>
      <c r="D2500" s="75">
        <v>0.0</v>
      </c>
      <c r="E2500" s="75">
        <v>0.0</v>
      </c>
      <c r="F2500" s="75" t="s">
        <v>994</v>
      </c>
      <c r="G2500" s="82">
        <v>46112.0</v>
      </c>
      <c r="H2500" s="76" t="s">
        <v>931</v>
      </c>
      <c r="I2500" s="83"/>
      <c r="J2500" s="83"/>
      <c r="K2500" s="83"/>
      <c r="L2500" s="83"/>
      <c r="M2500" s="83"/>
      <c r="N2500" s="83"/>
      <c r="O2500" s="83"/>
      <c r="P2500" s="83"/>
      <c r="Q2500" s="83"/>
      <c r="R2500" s="83"/>
      <c r="S2500" s="83"/>
      <c r="T2500" s="83"/>
      <c r="U2500" s="83"/>
      <c r="V2500" s="83"/>
      <c r="W2500" s="83"/>
      <c r="X2500" s="83"/>
      <c r="Y2500" s="83"/>
      <c r="Z2500" s="83"/>
    </row>
    <row r="2501">
      <c r="A2501" s="75" t="s">
        <v>28</v>
      </c>
      <c r="B2501" s="75" t="s">
        <v>1006</v>
      </c>
      <c r="C2501" s="75">
        <v>0.18</v>
      </c>
      <c r="D2501" s="75">
        <v>0.0</v>
      </c>
      <c r="E2501" s="75">
        <v>0.0</v>
      </c>
      <c r="F2501" s="75" t="s">
        <v>994</v>
      </c>
      <c r="G2501" s="82">
        <v>46112.0</v>
      </c>
      <c r="H2501" s="76" t="s">
        <v>932</v>
      </c>
      <c r="I2501" s="83"/>
      <c r="J2501" s="83"/>
      <c r="K2501" s="83"/>
      <c r="L2501" s="83"/>
      <c r="M2501" s="83"/>
      <c r="N2501" s="83"/>
      <c r="O2501" s="83"/>
      <c r="P2501" s="83"/>
      <c r="Q2501" s="83"/>
      <c r="R2501" s="83"/>
      <c r="S2501" s="83"/>
      <c r="T2501" s="83"/>
      <c r="U2501" s="83"/>
      <c r="V2501" s="83"/>
      <c r="W2501" s="83"/>
      <c r="X2501" s="83"/>
      <c r="Y2501" s="83"/>
      <c r="Z2501" s="83"/>
    </row>
    <row r="2502">
      <c r="A2502" s="75" t="s">
        <v>28</v>
      </c>
      <c r="B2502" s="75" t="s">
        <v>1006</v>
      </c>
      <c r="C2502" s="75">
        <v>1.15</v>
      </c>
      <c r="D2502" s="75">
        <v>0.0</v>
      </c>
      <c r="E2502" s="75">
        <v>0.0</v>
      </c>
      <c r="F2502" s="75" t="s">
        <v>994</v>
      </c>
      <c r="G2502" s="82">
        <v>46112.0</v>
      </c>
      <c r="H2502" s="76" t="s">
        <v>933</v>
      </c>
      <c r="I2502" s="83"/>
      <c r="J2502" s="83"/>
      <c r="K2502" s="83"/>
      <c r="L2502" s="83"/>
      <c r="M2502" s="83"/>
      <c r="N2502" s="83"/>
      <c r="O2502" s="83"/>
      <c r="P2502" s="83"/>
      <c r="Q2502" s="83"/>
      <c r="R2502" s="83"/>
      <c r="S2502" s="83"/>
      <c r="T2502" s="83"/>
      <c r="U2502" s="83"/>
      <c r="V2502" s="83"/>
      <c r="W2502" s="83"/>
      <c r="X2502" s="83"/>
      <c r="Y2502" s="83"/>
      <c r="Z2502" s="83"/>
    </row>
    <row r="2503">
      <c r="A2503" s="75" t="s">
        <v>42</v>
      </c>
      <c r="B2503" s="75" t="s">
        <v>1006</v>
      </c>
      <c r="C2503" s="75">
        <v>0.12</v>
      </c>
      <c r="D2503" s="75">
        <v>0.0</v>
      </c>
      <c r="E2503" s="75">
        <v>0.0</v>
      </c>
      <c r="F2503" s="75" t="s">
        <v>994</v>
      </c>
      <c r="G2503" s="82">
        <v>46112.0</v>
      </c>
      <c r="H2503" s="76" t="s">
        <v>991</v>
      </c>
      <c r="I2503" s="83"/>
      <c r="J2503" s="83"/>
      <c r="K2503" s="83"/>
      <c r="L2503" s="83"/>
      <c r="M2503" s="83"/>
      <c r="N2503" s="83"/>
      <c r="O2503" s="83"/>
      <c r="P2503" s="83"/>
      <c r="Q2503" s="83"/>
      <c r="R2503" s="83"/>
      <c r="S2503" s="83"/>
      <c r="T2503" s="83"/>
      <c r="U2503" s="83"/>
      <c r="V2503" s="83"/>
      <c r="W2503" s="83"/>
      <c r="X2503" s="83"/>
      <c r="Y2503" s="83"/>
      <c r="Z2503" s="83"/>
    </row>
    <row r="2504">
      <c r="A2504" s="75" t="s">
        <v>42</v>
      </c>
      <c r="B2504" s="75" t="s">
        <v>1006</v>
      </c>
      <c r="C2504" s="75">
        <v>1.46</v>
      </c>
      <c r="D2504" s="75">
        <v>0.0</v>
      </c>
      <c r="E2504" s="75">
        <v>0.0</v>
      </c>
      <c r="F2504" s="75" t="s">
        <v>994</v>
      </c>
      <c r="G2504" s="82">
        <v>46112.0</v>
      </c>
      <c r="H2504" s="76" t="s">
        <v>935</v>
      </c>
      <c r="I2504" s="83"/>
      <c r="J2504" s="83"/>
      <c r="K2504" s="83"/>
      <c r="L2504" s="83"/>
      <c r="M2504" s="83"/>
      <c r="N2504" s="83"/>
      <c r="O2504" s="83"/>
      <c r="P2504" s="83"/>
      <c r="Q2504" s="83"/>
      <c r="R2504" s="83"/>
      <c r="S2504" s="83"/>
      <c r="T2504" s="83"/>
      <c r="U2504" s="83"/>
      <c r="V2504" s="83"/>
      <c r="W2504" s="83"/>
      <c r="X2504" s="83"/>
      <c r="Y2504" s="83"/>
      <c r="Z2504" s="83"/>
    </row>
    <row r="2505">
      <c r="A2505" s="75" t="s">
        <v>45</v>
      </c>
      <c r="B2505" s="75" t="s">
        <v>1006</v>
      </c>
      <c r="C2505" s="75">
        <v>0.22</v>
      </c>
      <c r="D2505" s="75">
        <v>0.0</v>
      </c>
      <c r="E2505" s="75">
        <v>0.0</v>
      </c>
      <c r="F2505" s="75" t="s">
        <v>994</v>
      </c>
      <c r="G2505" s="82">
        <v>46112.0</v>
      </c>
      <c r="H2505" s="76" t="s">
        <v>936</v>
      </c>
      <c r="I2505" s="83"/>
      <c r="J2505" s="83"/>
      <c r="K2505" s="83"/>
      <c r="L2505" s="83"/>
      <c r="M2505" s="83"/>
      <c r="N2505" s="83"/>
      <c r="O2505" s="83"/>
      <c r="P2505" s="83"/>
      <c r="Q2505" s="83"/>
      <c r="R2505" s="83"/>
      <c r="S2505" s="83"/>
      <c r="T2505" s="83"/>
      <c r="U2505" s="83"/>
      <c r="V2505" s="83"/>
      <c r="W2505" s="83"/>
      <c r="X2505" s="83"/>
      <c r="Y2505" s="83"/>
      <c r="Z2505" s="83"/>
    </row>
    <row r="2506">
      <c r="A2506" s="75" t="s">
        <v>45</v>
      </c>
      <c r="B2506" s="75" t="s">
        <v>1006</v>
      </c>
      <c r="C2506" s="75">
        <v>0.25</v>
      </c>
      <c r="D2506" s="75">
        <v>0.0</v>
      </c>
      <c r="E2506" s="75">
        <v>0.0</v>
      </c>
      <c r="F2506" s="75" t="s">
        <v>994</v>
      </c>
      <c r="G2506" s="82">
        <v>46112.0</v>
      </c>
      <c r="H2506" s="76" t="s">
        <v>937</v>
      </c>
      <c r="I2506" s="83"/>
      <c r="J2506" s="83"/>
      <c r="K2506" s="83"/>
      <c r="L2506" s="83"/>
      <c r="M2506" s="83"/>
      <c r="N2506" s="83"/>
      <c r="O2506" s="83"/>
      <c r="P2506" s="83"/>
      <c r="Q2506" s="83"/>
      <c r="R2506" s="83"/>
      <c r="S2506" s="83"/>
      <c r="T2506" s="83"/>
      <c r="U2506" s="83"/>
      <c r="V2506" s="83"/>
      <c r="W2506" s="83"/>
      <c r="X2506" s="83"/>
      <c r="Y2506" s="83"/>
      <c r="Z2506" s="83"/>
    </row>
    <row r="2507">
      <c r="A2507" s="75" t="s">
        <v>45</v>
      </c>
      <c r="B2507" s="75" t="s">
        <v>1006</v>
      </c>
      <c r="C2507" s="75">
        <v>0.54</v>
      </c>
      <c r="D2507" s="75">
        <v>0.0</v>
      </c>
      <c r="E2507" s="75">
        <v>0.0</v>
      </c>
      <c r="F2507" s="75" t="s">
        <v>994</v>
      </c>
      <c r="G2507" s="82">
        <v>46112.0</v>
      </c>
      <c r="H2507" s="76" t="s">
        <v>938</v>
      </c>
      <c r="I2507" s="83"/>
      <c r="J2507" s="83"/>
      <c r="K2507" s="83"/>
      <c r="L2507" s="83"/>
      <c r="M2507" s="83"/>
      <c r="N2507" s="83"/>
      <c r="O2507" s="83"/>
      <c r="P2507" s="83"/>
      <c r="Q2507" s="83"/>
      <c r="R2507" s="83"/>
      <c r="S2507" s="83"/>
      <c r="T2507" s="83"/>
      <c r="U2507" s="83"/>
      <c r="V2507" s="83"/>
      <c r="W2507" s="83"/>
      <c r="X2507" s="83"/>
      <c r="Y2507" s="83"/>
      <c r="Z2507" s="83"/>
    </row>
    <row r="2508">
      <c r="A2508" s="75" t="s">
        <v>50</v>
      </c>
      <c r="B2508" s="75" t="s">
        <v>1006</v>
      </c>
      <c r="C2508" s="75">
        <v>1.14</v>
      </c>
      <c r="D2508" s="75">
        <v>0.0</v>
      </c>
      <c r="E2508" s="75">
        <v>0.0</v>
      </c>
      <c r="F2508" s="75" t="s">
        <v>994</v>
      </c>
      <c r="G2508" s="82">
        <v>46112.0</v>
      </c>
      <c r="H2508" s="76" t="s">
        <v>939</v>
      </c>
      <c r="I2508" s="83"/>
      <c r="J2508" s="83"/>
      <c r="K2508" s="83"/>
      <c r="L2508" s="83"/>
      <c r="M2508" s="83"/>
      <c r="N2508" s="83"/>
      <c r="O2508" s="83"/>
      <c r="P2508" s="83"/>
      <c r="Q2508" s="83"/>
      <c r="R2508" s="83"/>
      <c r="S2508" s="83"/>
      <c r="T2508" s="83"/>
      <c r="U2508" s="83"/>
      <c r="V2508" s="83"/>
      <c r="W2508" s="83"/>
      <c r="X2508" s="83"/>
      <c r="Y2508" s="83"/>
      <c r="Z2508" s="83"/>
    </row>
    <row r="2509">
      <c r="A2509" s="75" t="s">
        <v>50</v>
      </c>
      <c r="B2509" s="75" t="s">
        <v>1006</v>
      </c>
      <c r="C2509" s="75">
        <v>0.31</v>
      </c>
      <c r="D2509" s="75">
        <v>0.0</v>
      </c>
      <c r="E2509" s="75">
        <v>0.0</v>
      </c>
      <c r="F2509" s="75" t="s">
        <v>994</v>
      </c>
      <c r="G2509" s="82">
        <v>46112.0</v>
      </c>
      <c r="H2509" s="76" t="s">
        <v>940</v>
      </c>
      <c r="I2509" s="83"/>
      <c r="J2509" s="83"/>
      <c r="K2509" s="83"/>
      <c r="L2509" s="83"/>
      <c r="M2509" s="83"/>
      <c r="N2509" s="83"/>
      <c r="O2509" s="83"/>
      <c r="P2509" s="83"/>
      <c r="Q2509" s="83"/>
      <c r="R2509" s="83"/>
      <c r="S2509" s="83"/>
      <c r="T2509" s="83"/>
      <c r="U2509" s="83"/>
      <c r="V2509" s="83"/>
      <c r="W2509" s="83"/>
      <c r="X2509" s="83"/>
      <c r="Y2509" s="83"/>
      <c r="Z2509" s="83"/>
    </row>
    <row r="2510">
      <c r="A2510" s="75" t="s">
        <v>32</v>
      </c>
      <c r="B2510" s="75" t="s">
        <v>1006</v>
      </c>
      <c r="C2510" s="75">
        <v>1.56</v>
      </c>
      <c r="D2510" s="75">
        <v>0.0</v>
      </c>
      <c r="E2510" s="75">
        <v>0.0</v>
      </c>
      <c r="F2510" s="75" t="s">
        <v>994</v>
      </c>
      <c r="G2510" s="82">
        <v>46112.0</v>
      </c>
      <c r="H2510" s="76" t="s">
        <v>941</v>
      </c>
      <c r="I2510" s="83"/>
      <c r="J2510" s="83"/>
      <c r="K2510" s="83"/>
      <c r="L2510" s="83"/>
      <c r="M2510" s="83"/>
      <c r="N2510" s="83"/>
      <c r="O2510" s="83"/>
      <c r="P2510" s="83"/>
      <c r="Q2510" s="83"/>
      <c r="R2510" s="83"/>
      <c r="S2510" s="83"/>
      <c r="T2510" s="83"/>
      <c r="U2510" s="83"/>
      <c r="V2510" s="83"/>
      <c r="W2510" s="83"/>
      <c r="X2510" s="83"/>
      <c r="Y2510" s="83"/>
      <c r="Z2510" s="83"/>
    </row>
    <row r="2511">
      <c r="A2511" s="75" t="s">
        <v>32</v>
      </c>
      <c r="B2511" s="75" t="s">
        <v>1006</v>
      </c>
      <c r="C2511" s="75">
        <v>0.4</v>
      </c>
      <c r="D2511" s="75">
        <v>0.0</v>
      </c>
      <c r="E2511" s="75">
        <v>0.0</v>
      </c>
      <c r="F2511" s="75" t="s">
        <v>994</v>
      </c>
      <c r="G2511" s="82">
        <v>46112.0</v>
      </c>
      <c r="H2511" s="76" t="s">
        <v>942</v>
      </c>
      <c r="I2511" s="83"/>
      <c r="J2511" s="83"/>
      <c r="K2511" s="83"/>
      <c r="L2511" s="83"/>
      <c r="M2511" s="83"/>
      <c r="N2511" s="83"/>
      <c r="O2511" s="83"/>
      <c r="P2511" s="83"/>
      <c r="Q2511" s="83"/>
      <c r="R2511" s="83"/>
      <c r="S2511" s="83"/>
      <c r="T2511" s="83"/>
      <c r="U2511" s="83"/>
      <c r="V2511" s="83"/>
      <c r="W2511" s="83"/>
      <c r="X2511" s="83"/>
      <c r="Y2511" s="83"/>
      <c r="Z2511" s="83"/>
    </row>
    <row r="2512">
      <c r="A2512" s="75" t="s">
        <v>32</v>
      </c>
      <c r="B2512" s="75" t="s">
        <v>1006</v>
      </c>
      <c r="C2512" s="75">
        <v>0.93</v>
      </c>
      <c r="D2512" s="75">
        <v>3.0</v>
      </c>
      <c r="E2512" s="75">
        <v>0.31</v>
      </c>
      <c r="F2512" s="75" t="s">
        <v>994</v>
      </c>
      <c r="G2512" s="82">
        <v>46112.0</v>
      </c>
      <c r="H2512" s="76" t="s">
        <v>943</v>
      </c>
      <c r="I2512" s="83"/>
      <c r="J2512" s="83"/>
      <c r="K2512" s="83"/>
      <c r="L2512" s="83"/>
      <c r="M2512" s="83"/>
      <c r="N2512" s="83"/>
      <c r="O2512" s="83"/>
      <c r="P2512" s="83"/>
      <c r="Q2512" s="83"/>
      <c r="R2512" s="83"/>
      <c r="S2512" s="83"/>
      <c r="T2512" s="83"/>
      <c r="U2512" s="83"/>
      <c r="V2512" s="83"/>
      <c r="W2512" s="83"/>
      <c r="X2512" s="83"/>
      <c r="Y2512" s="83"/>
      <c r="Z2512" s="83"/>
    </row>
    <row r="2513">
      <c r="A2513" s="75" t="s">
        <v>944</v>
      </c>
      <c r="B2513" s="75" t="s">
        <v>1006</v>
      </c>
      <c r="C2513" s="75">
        <v>0.61</v>
      </c>
      <c r="D2513" s="75">
        <v>0.0</v>
      </c>
      <c r="E2513" s="75">
        <v>0.0</v>
      </c>
      <c r="F2513" s="75" t="s">
        <v>994</v>
      </c>
      <c r="G2513" s="82">
        <v>46112.0</v>
      </c>
      <c r="H2513" s="76" t="s">
        <v>945</v>
      </c>
      <c r="I2513" s="83"/>
      <c r="J2513" s="83"/>
      <c r="K2513" s="83"/>
      <c r="L2513" s="83"/>
      <c r="M2513" s="83"/>
      <c r="N2513" s="83"/>
      <c r="O2513" s="83"/>
      <c r="P2513" s="83"/>
      <c r="Q2513" s="83"/>
      <c r="R2513" s="83"/>
      <c r="S2513" s="83"/>
      <c r="T2513" s="83"/>
      <c r="U2513" s="83"/>
      <c r="V2513" s="83"/>
      <c r="W2513" s="83"/>
      <c r="X2513" s="83"/>
      <c r="Y2513" s="83"/>
      <c r="Z2513" s="83"/>
    </row>
    <row r="2514">
      <c r="A2514" s="75" t="s">
        <v>944</v>
      </c>
      <c r="B2514" s="75" t="s">
        <v>1006</v>
      </c>
      <c r="C2514" s="75">
        <v>0.2</v>
      </c>
      <c r="D2514" s="75">
        <v>0.0</v>
      </c>
      <c r="E2514" s="75">
        <v>0.0</v>
      </c>
      <c r="F2514" s="75" t="s">
        <v>994</v>
      </c>
      <c r="G2514" s="82">
        <v>46112.0</v>
      </c>
      <c r="H2514" s="76" t="s">
        <v>946</v>
      </c>
      <c r="I2514" s="83"/>
      <c r="J2514" s="83"/>
      <c r="K2514" s="83"/>
      <c r="L2514" s="83"/>
      <c r="M2514" s="83"/>
      <c r="N2514" s="83"/>
      <c r="O2514" s="83"/>
      <c r="P2514" s="83"/>
      <c r="Q2514" s="83"/>
      <c r="R2514" s="83"/>
      <c r="S2514" s="83"/>
      <c r="T2514" s="83"/>
      <c r="U2514" s="83"/>
      <c r="V2514" s="83"/>
      <c r="W2514" s="83"/>
      <c r="X2514" s="83"/>
      <c r="Y2514" s="83"/>
      <c r="Z2514" s="83"/>
    </row>
    <row r="2515">
      <c r="A2515" s="75" t="s">
        <v>944</v>
      </c>
      <c r="B2515" s="75" t="s">
        <v>1006</v>
      </c>
      <c r="C2515" s="75">
        <v>0.22</v>
      </c>
      <c r="D2515" s="75">
        <v>0.0</v>
      </c>
      <c r="E2515" s="75">
        <v>0.0</v>
      </c>
      <c r="F2515" s="75" t="s">
        <v>994</v>
      </c>
      <c r="G2515" s="82">
        <v>46112.0</v>
      </c>
      <c r="H2515" s="76" t="s">
        <v>947</v>
      </c>
      <c r="I2515" s="83"/>
      <c r="J2515" s="83"/>
      <c r="K2515" s="83"/>
      <c r="L2515" s="83"/>
      <c r="M2515" s="83"/>
      <c r="N2515" s="83"/>
      <c r="O2515" s="83"/>
      <c r="P2515" s="83"/>
      <c r="Q2515" s="83"/>
      <c r="R2515" s="83"/>
      <c r="S2515" s="83"/>
      <c r="T2515" s="83"/>
      <c r="U2515" s="83"/>
      <c r="V2515" s="83"/>
      <c r="W2515" s="83"/>
      <c r="X2515" s="83"/>
      <c r="Y2515" s="83"/>
      <c r="Z2515" s="83"/>
    </row>
    <row r="2516">
      <c r="A2516" s="75" t="s">
        <v>26</v>
      </c>
      <c r="B2516" s="75" t="s">
        <v>1006</v>
      </c>
      <c r="C2516" s="75">
        <v>0.31</v>
      </c>
      <c r="D2516" s="75">
        <v>0.0</v>
      </c>
      <c r="E2516" s="75">
        <v>0.0</v>
      </c>
      <c r="F2516" s="75" t="s">
        <v>994</v>
      </c>
      <c r="G2516" s="82">
        <v>46112.0</v>
      </c>
      <c r="H2516" s="76" t="s">
        <v>1012</v>
      </c>
      <c r="I2516" s="83"/>
      <c r="J2516" s="83"/>
      <c r="K2516" s="83"/>
      <c r="L2516" s="83"/>
      <c r="M2516" s="83"/>
      <c r="N2516" s="83"/>
      <c r="O2516" s="83"/>
      <c r="P2516" s="83"/>
      <c r="Q2516" s="83"/>
      <c r="R2516" s="83"/>
      <c r="S2516" s="83"/>
      <c r="T2516" s="83"/>
      <c r="U2516" s="83"/>
      <c r="V2516" s="83"/>
      <c r="W2516" s="83"/>
      <c r="X2516" s="83"/>
      <c r="Y2516" s="83"/>
      <c r="Z2516" s="83"/>
    </row>
    <row r="2517">
      <c r="A2517" s="75" t="s">
        <v>26</v>
      </c>
      <c r="B2517" s="75" t="s">
        <v>1006</v>
      </c>
      <c r="C2517" s="75">
        <v>0.5</v>
      </c>
      <c r="D2517" s="75">
        <v>0.0</v>
      </c>
      <c r="E2517" s="75">
        <v>0.0</v>
      </c>
      <c r="F2517" s="75" t="s">
        <v>994</v>
      </c>
      <c r="G2517" s="82">
        <v>46112.0</v>
      </c>
      <c r="H2517" s="76" t="s">
        <v>1013</v>
      </c>
      <c r="I2517" s="83"/>
      <c r="J2517" s="83"/>
      <c r="K2517" s="83"/>
      <c r="L2517" s="83"/>
      <c r="M2517" s="83"/>
      <c r="N2517" s="83"/>
      <c r="O2517" s="83"/>
      <c r="P2517" s="83"/>
      <c r="Q2517" s="83"/>
      <c r="R2517" s="83"/>
      <c r="S2517" s="83"/>
      <c r="T2517" s="83"/>
      <c r="U2517" s="83"/>
      <c r="V2517" s="83"/>
      <c r="W2517" s="83"/>
      <c r="X2517" s="83"/>
      <c r="Y2517" s="83"/>
      <c r="Z2517" s="83"/>
    </row>
    <row r="2518">
      <c r="A2518" s="75" t="s">
        <v>26</v>
      </c>
      <c r="B2518" s="75" t="s">
        <v>1006</v>
      </c>
      <c r="C2518" s="75">
        <v>0.31</v>
      </c>
      <c r="D2518" s="75">
        <v>0.0</v>
      </c>
      <c r="E2518" s="75">
        <v>0.0</v>
      </c>
      <c r="F2518" s="75" t="s">
        <v>994</v>
      </c>
      <c r="G2518" s="82">
        <v>46112.0</v>
      </c>
      <c r="H2518" s="76" t="s">
        <v>1014</v>
      </c>
      <c r="I2518" s="83"/>
      <c r="J2518" s="83"/>
      <c r="K2518" s="83"/>
      <c r="L2518" s="83"/>
      <c r="M2518" s="83"/>
      <c r="N2518" s="83"/>
      <c r="O2518" s="83"/>
      <c r="P2518" s="83"/>
      <c r="Q2518" s="83"/>
      <c r="R2518" s="83"/>
      <c r="S2518" s="83"/>
      <c r="T2518" s="83"/>
      <c r="U2518" s="83"/>
      <c r="V2518" s="83"/>
      <c r="W2518" s="83"/>
      <c r="X2518" s="83"/>
      <c r="Y2518" s="83"/>
      <c r="Z2518" s="83"/>
    </row>
    <row r="2519">
      <c r="A2519" s="75" t="s">
        <v>36</v>
      </c>
      <c r="B2519" s="75" t="s">
        <v>1006</v>
      </c>
      <c r="C2519" s="75">
        <v>37.01</v>
      </c>
      <c r="D2519" s="75">
        <v>4.0</v>
      </c>
      <c r="E2519" s="75">
        <v>9.25</v>
      </c>
      <c r="F2519" s="75" t="s">
        <v>1005</v>
      </c>
      <c r="G2519" s="82">
        <v>46112.0</v>
      </c>
      <c r="H2519" s="76" t="s">
        <v>926</v>
      </c>
      <c r="I2519" s="83"/>
      <c r="J2519" s="83"/>
      <c r="K2519" s="83"/>
      <c r="L2519" s="83"/>
      <c r="M2519" s="83"/>
      <c r="N2519" s="83"/>
      <c r="O2519" s="83"/>
      <c r="P2519" s="83"/>
      <c r="Q2519" s="83"/>
      <c r="R2519" s="83"/>
      <c r="S2519" s="83"/>
      <c r="T2519" s="83"/>
      <c r="U2519" s="83"/>
      <c r="V2519" s="83"/>
      <c r="W2519" s="83"/>
      <c r="X2519" s="83"/>
      <c r="Y2519" s="83"/>
      <c r="Z2519" s="83"/>
    </row>
    <row r="2520">
      <c r="A2520" s="75" t="s">
        <v>36</v>
      </c>
      <c r="B2520" s="75" t="s">
        <v>1006</v>
      </c>
      <c r="C2520" s="75">
        <v>8.33</v>
      </c>
      <c r="D2520" s="75">
        <v>0.0</v>
      </c>
      <c r="E2520" s="75">
        <v>0.0</v>
      </c>
      <c r="F2520" s="75" t="s">
        <v>1005</v>
      </c>
      <c r="G2520" s="82">
        <v>46112.0</v>
      </c>
      <c r="H2520" s="76" t="s">
        <v>927</v>
      </c>
      <c r="I2520" s="83"/>
      <c r="J2520" s="83"/>
      <c r="K2520" s="83"/>
      <c r="L2520" s="83"/>
      <c r="M2520" s="83"/>
      <c r="N2520" s="83"/>
      <c r="O2520" s="83"/>
      <c r="P2520" s="83"/>
      <c r="Q2520" s="83"/>
      <c r="R2520" s="83"/>
      <c r="S2520" s="83"/>
      <c r="T2520" s="83"/>
      <c r="U2520" s="83"/>
      <c r="V2520" s="83"/>
      <c r="W2520" s="83"/>
      <c r="X2520" s="83"/>
      <c r="Y2520" s="83"/>
      <c r="Z2520" s="83"/>
    </row>
    <row r="2521">
      <c r="A2521" s="75" t="s">
        <v>36</v>
      </c>
      <c r="B2521" s="75" t="s">
        <v>1006</v>
      </c>
      <c r="C2521" s="75">
        <v>20.26</v>
      </c>
      <c r="D2521" s="75">
        <v>7.0</v>
      </c>
      <c r="E2521" s="75">
        <v>2.89</v>
      </c>
      <c r="F2521" s="75" t="s">
        <v>1005</v>
      </c>
      <c r="G2521" s="82">
        <v>46112.0</v>
      </c>
      <c r="H2521" s="76" t="s">
        <v>928</v>
      </c>
      <c r="I2521" s="83"/>
      <c r="J2521" s="83"/>
      <c r="K2521" s="83"/>
      <c r="L2521" s="83"/>
      <c r="M2521" s="83"/>
      <c r="N2521" s="83"/>
      <c r="O2521" s="83"/>
      <c r="P2521" s="83"/>
      <c r="Q2521" s="83"/>
      <c r="R2521" s="83"/>
      <c r="S2521" s="83"/>
      <c r="T2521" s="83"/>
      <c r="U2521" s="83"/>
      <c r="V2521" s="83"/>
      <c r="W2521" s="83"/>
      <c r="X2521" s="83"/>
      <c r="Y2521" s="83"/>
      <c r="Z2521" s="83"/>
    </row>
    <row r="2522">
      <c r="A2522" s="75" t="s">
        <v>31</v>
      </c>
      <c r="B2522" s="75" t="s">
        <v>1006</v>
      </c>
      <c r="C2522" s="75">
        <v>66.49</v>
      </c>
      <c r="D2522" s="75">
        <v>29.0</v>
      </c>
      <c r="E2522" s="75">
        <v>2.29</v>
      </c>
      <c r="F2522" s="75" t="s">
        <v>1005</v>
      </c>
      <c r="G2522" s="82">
        <v>46112.0</v>
      </c>
      <c r="H2522" s="76" t="s">
        <v>929</v>
      </c>
      <c r="I2522" s="83"/>
      <c r="J2522" s="83"/>
      <c r="K2522" s="83"/>
      <c r="L2522" s="83"/>
      <c r="M2522" s="83"/>
      <c r="N2522" s="83"/>
      <c r="O2522" s="83"/>
      <c r="P2522" s="83"/>
      <c r="Q2522" s="83"/>
      <c r="R2522" s="83"/>
      <c r="S2522" s="83"/>
      <c r="T2522" s="83"/>
      <c r="U2522" s="83"/>
      <c r="V2522" s="83"/>
      <c r="W2522" s="83"/>
      <c r="X2522" s="83"/>
      <c r="Y2522" s="83"/>
      <c r="Z2522" s="83"/>
    </row>
    <row r="2523">
      <c r="A2523" s="75" t="s">
        <v>31</v>
      </c>
      <c r="B2523" s="75" t="s">
        <v>1006</v>
      </c>
      <c r="C2523" s="75">
        <v>210.21</v>
      </c>
      <c r="D2523" s="75">
        <v>142.0</v>
      </c>
      <c r="E2523" s="75">
        <v>1.48</v>
      </c>
      <c r="F2523" s="75" t="s">
        <v>1005</v>
      </c>
      <c r="G2523" s="82">
        <v>46112.0</v>
      </c>
      <c r="H2523" s="76" t="s">
        <v>930</v>
      </c>
      <c r="I2523" s="83"/>
      <c r="J2523" s="83"/>
      <c r="K2523" s="83"/>
      <c r="L2523" s="83"/>
      <c r="M2523" s="83"/>
      <c r="N2523" s="83"/>
      <c r="O2523" s="83"/>
      <c r="P2523" s="83"/>
      <c r="Q2523" s="83"/>
      <c r="R2523" s="83"/>
      <c r="S2523" s="83"/>
      <c r="T2523" s="83"/>
      <c r="U2523" s="83"/>
      <c r="V2523" s="83"/>
      <c r="W2523" s="83"/>
      <c r="X2523" s="83"/>
      <c r="Y2523" s="83"/>
      <c r="Z2523" s="83"/>
    </row>
    <row r="2524">
      <c r="A2524" s="75" t="s">
        <v>28</v>
      </c>
      <c r="B2524" s="75" t="s">
        <v>1006</v>
      </c>
      <c r="C2524" s="75">
        <v>15.47</v>
      </c>
      <c r="D2524" s="75">
        <v>5.0</v>
      </c>
      <c r="E2524" s="75">
        <v>3.09</v>
      </c>
      <c r="F2524" s="75" t="s">
        <v>1005</v>
      </c>
      <c r="G2524" s="82">
        <v>46112.0</v>
      </c>
      <c r="H2524" s="76" t="s">
        <v>931</v>
      </c>
      <c r="I2524" s="83"/>
      <c r="J2524" s="83"/>
      <c r="K2524" s="83"/>
      <c r="L2524" s="83"/>
      <c r="M2524" s="83"/>
      <c r="N2524" s="83"/>
      <c r="O2524" s="83"/>
      <c r="P2524" s="83"/>
      <c r="Q2524" s="83"/>
      <c r="R2524" s="83"/>
      <c r="S2524" s="83"/>
      <c r="T2524" s="83"/>
      <c r="U2524" s="83"/>
      <c r="V2524" s="83"/>
      <c r="W2524" s="83"/>
      <c r="X2524" s="83"/>
      <c r="Y2524" s="83"/>
      <c r="Z2524" s="83"/>
    </row>
    <row r="2525">
      <c r="A2525" s="75" t="s">
        <v>28</v>
      </c>
      <c r="B2525" s="75" t="s">
        <v>1006</v>
      </c>
      <c r="C2525" s="75">
        <v>5.87</v>
      </c>
      <c r="D2525" s="75">
        <v>2.0</v>
      </c>
      <c r="E2525" s="75">
        <v>2.93</v>
      </c>
      <c r="F2525" s="75" t="s">
        <v>1005</v>
      </c>
      <c r="G2525" s="82">
        <v>46112.0</v>
      </c>
      <c r="H2525" s="76" t="s">
        <v>932</v>
      </c>
      <c r="I2525" s="83"/>
      <c r="J2525" s="83"/>
      <c r="K2525" s="83"/>
      <c r="L2525" s="83"/>
      <c r="M2525" s="83"/>
      <c r="N2525" s="83"/>
      <c r="O2525" s="83"/>
      <c r="P2525" s="83"/>
      <c r="Q2525" s="83"/>
      <c r="R2525" s="83"/>
      <c r="S2525" s="83"/>
      <c r="T2525" s="83"/>
      <c r="U2525" s="83"/>
      <c r="V2525" s="83"/>
      <c r="W2525" s="83"/>
      <c r="X2525" s="83"/>
      <c r="Y2525" s="83"/>
      <c r="Z2525" s="83"/>
    </row>
    <row r="2526">
      <c r="A2526" s="75" t="s">
        <v>28</v>
      </c>
      <c r="B2526" s="75" t="s">
        <v>1006</v>
      </c>
      <c r="C2526" s="75">
        <v>205.51</v>
      </c>
      <c r="D2526" s="75">
        <v>31.0</v>
      </c>
      <c r="E2526" s="75">
        <v>6.63</v>
      </c>
      <c r="F2526" s="75" t="s">
        <v>1005</v>
      </c>
      <c r="G2526" s="82">
        <v>46112.0</v>
      </c>
      <c r="H2526" s="76" t="s">
        <v>933</v>
      </c>
      <c r="I2526" s="83"/>
      <c r="J2526" s="83"/>
      <c r="K2526" s="83"/>
      <c r="L2526" s="83"/>
      <c r="M2526" s="83"/>
      <c r="N2526" s="83"/>
      <c r="O2526" s="83"/>
      <c r="P2526" s="83"/>
      <c r="Q2526" s="83"/>
      <c r="R2526" s="83"/>
      <c r="S2526" s="83"/>
      <c r="T2526" s="83"/>
      <c r="U2526" s="83"/>
      <c r="V2526" s="83"/>
      <c r="W2526" s="83"/>
      <c r="X2526" s="83"/>
      <c r="Y2526" s="83"/>
      <c r="Z2526" s="83"/>
    </row>
    <row r="2527">
      <c r="A2527" s="75" t="s">
        <v>42</v>
      </c>
      <c r="B2527" s="75" t="s">
        <v>1006</v>
      </c>
      <c r="C2527" s="75">
        <v>6.36</v>
      </c>
      <c r="D2527" s="75">
        <v>2.0</v>
      </c>
      <c r="E2527" s="75">
        <v>3.18</v>
      </c>
      <c r="F2527" s="75" t="s">
        <v>1005</v>
      </c>
      <c r="G2527" s="82">
        <v>46112.0</v>
      </c>
      <c r="H2527" s="76" t="s">
        <v>991</v>
      </c>
      <c r="I2527" s="83"/>
      <c r="J2527" s="83"/>
      <c r="K2527" s="83"/>
      <c r="L2527" s="83"/>
      <c r="M2527" s="83"/>
      <c r="N2527" s="83"/>
      <c r="O2527" s="83"/>
      <c r="P2527" s="83"/>
      <c r="Q2527" s="83"/>
      <c r="R2527" s="83"/>
      <c r="S2527" s="83"/>
      <c r="T2527" s="83"/>
      <c r="U2527" s="83"/>
      <c r="V2527" s="83"/>
      <c r="W2527" s="83"/>
      <c r="X2527" s="83"/>
      <c r="Y2527" s="83"/>
      <c r="Z2527" s="83"/>
    </row>
    <row r="2528">
      <c r="A2528" s="75" t="s">
        <v>42</v>
      </c>
      <c r="B2528" s="75" t="s">
        <v>1006</v>
      </c>
      <c r="C2528" s="75">
        <v>61.5</v>
      </c>
      <c r="D2528" s="75">
        <v>4.0</v>
      </c>
      <c r="E2528" s="75">
        <v>15.38</v>
      </c>
      <c r="F2528" s="75" t="s">
        <v>1005</v>
      </c>
      <c r="G2528" s="82">
        <v>46112.0</v>
      </c>
      <c r="H2528" s="76" t="s">
        <v>935</v>
      </c>
      <c r="I2528" s="83"/>
      <c r="J2528" s="83"/>
      <c r="K2528" s="83"/>
      <c r="L2528" s="83"/>
      <c r="M2528" s="83"/>
      <c r="N2528" s="83"/>
      <c r="O2528" s="83"/>
      <c r="P2528" s="83"/>
      <c r="Q2528" s="83"/>
      <c r="R2528" s="83"/>
      <c r="S2528" s="83"/>
      <c r="T2528" s="83"/>
      <c r="U2528" s="83"/>
      <c r="V2528" s="83"/>
      <c r="W2528" s="83"/>
      <c r="X2528" s="83"/>
      <c r="Y2528" s="83"/>
      <c r="Z2528" s="83"/>
    </row>
    <row r="2529">
      <c r="A2529" s="75" t="s">
        <v>45</v>
      </c>
      <c r="B2529" s="75" t="s">
        <v>1006</v>
      </c>
      <c r="C2529" s="75">
        <v>12.21</v>
      </c>
      <c r="D2529" s="75">
        <v>2.0</v>
      </c>
      <c r="E2529" s="75">
        <v>6.1</v>
      </c>
      <c r="F2529" s="75" t="s">
        <v>1005</v>
      </c>
      <c r="G2529" s="82">
        <v>46112.0</v>
      </c>
      <c r="H2529" s="76" t="s">
        <v>936</v>
      </c>
      <c r="I2529" s="83"/>
      <c r="J2529" s="83"/>
      <c r="K2529" s="83"/>
      <c r="L2529" s="83"/>
      <c r="M2529" s="83"/>
      <c r="N2529" s="83"/>
      <c r="O2529" s="83"/>
      <c r="P2529" s="83"/>
      <c r="Q2529" s="83"/>
      <c r="R2529" s="83"/>
      <c r="S2529" s="83"/>
      <c r="T2529" s="83"/>
      <c r="U2529" s="83"/>
      <c r="V2529" s="83"/>
      <c r="W2529" s="83"/>
      <c r="X2529" s="83"/>
      <c r="Y2529" s="83"/>
      <c r="Z2529" s="83"/>
    </row>
    <row r="2530">
      <c r="A2530" s="75" t="s">
        <v>45</v>
      </c>
      <c r="B2530" s="75" t="s">
        <v>1006</v>
      </c>
      <c r="C2530" s="75">
        <v>17.48</v>
      </c>
      <c r="D2530" s="75">
        <v>3.0</v>
      </c>
      <c r="E2530" s="75">
        <v>5.83</v>
      </c>
      <c r="F2530" s="75" t="s">
        <v>1005</v>
      </c>
      <c r="G2530" s="82">
        <v>46112.0</v>
      </c>
      <c r="H2530" s="76" t="s">
        <v>937</v>
      </c>
      <c r="I2530" s="83"/>
      <c r="J2530" s="83"/>
      <c r="K2530" s="83"/>
      <c r="L2530" s="83"/>
      <c r="M2530" s="83"/>
      <c r="N2530" s="83"/>
      <c r="O2530" s="83"/>
      <c r="P2530" s="83"/>
      <c r="Q2530" s="83"/>
      <c r="R2530" s="83"/>
      <c r="S2530" s="83"/>
      <c r="T2530" s="83"/>
      <c r="U2530" s="83"/>
      <c r="V2530" s="83"/>
      <c r="W2530" s="83"/>
      <c r="X2530" s="83"/>
      <c r="Y2530" s="83"/>
      <c r="Z2530" s="83"/>
    </row>
    <row r="2531">
      <c r="A2531" s="75" t="s">
        <v>45</v>
      </c>
      <c r="B2531" s="75" t="s">
        <v>1006</v>
      </c>
      <c r="C2531" s="75">
        <v>25.54</v>
      </c>
      <c r="D2531" s="75">
        <v>3.0</v>
      </c>
      <c r="E2531" s="75">
        <v>8.51</v>
      </c>
      <c r="F2531" s="75" t="s">
        <v>1005</v>
      </c>
      <c r="G2531" s="82">
        <v>46112.0</v>
      </c>
      <c r="H2531" s="76" t="s">
        <v>938</v>
      </c>
      <c r="I2531" s="83"/>
      <c r="J2531" s="83"/>
      <c r="K2531" s="83"/>
      <c r="L2531" s="83"/>
      <c r="M2531" s="83"/>
      <c r="N2531" s="83"/>
      <c r="O2531" s="83"/>
      <c r="P2531" s="83"/>
      <c r="Q2531" s="83"/>
      <c r="R2531" s="83"/>
      <c r="S2531" s="83"/>
      <c r="T2531" s="83"/>
      <c r="U2531" s="83"/>
      <c r="V2531" s="83"/>
      <c r="W2531" s="83"/>
      <c r="X2531" s="83"/>
      <c r="Y2531" s="83"/>
      <c r="Z2531" s="83"/>
    </row>
    <row r="2532">
      <c r="A2532" s="75" t="s">
        <v>50</v>
      </c>
      <c r="B2532" s="75" t="s">
        <v>1006</v>
      </c>
      <c r="C2532" s="75">
        <v>26.45</v>
      </c>
      <c r="D2532" s="75">
        <v>7.0</v>
      </c>
      <c r="E2532" s="75">
        <v>3.78</v>
      </c>
      <c r="F2532" s="75" t="s">
        <v>1005</v>
      </c>
      <c r="G2532" s="82">
        <v>46112.0</v>
      </c>
      <c r="H2532" s="76" t="s">
        <v>939</v>
      </c>
      <c r="I2532" s="83"/>
      <c r="J2532" s="83"/>
      <c r="K2532" s="83"/>
      <c r="L2532" s="83"/>
      <c r="M2532" s="83"/>
      <c r="N2532" s="83"/>
      <c r="O2532" s="83"/>
      <c r="P2532" s="83"/>
      <c r="Q2532" s="83"/>
      <c r="R2532" s="83"/>
      <c r="S2532" s="83"/>
      <c r="T2532" s="83"/>
      <c r="U2532" s="83"/>
      <c r="V2532" s="83"/>
      <c r="W2532" s="83"/>
      <c r="X2532" s="83"/>
      <c r="Y2532" s="83"/>
      <c r="Z2532" s="83"/>
    </row>
    <row r="2533">
      <c r="A2533" s="75" t="s">
        <v>50</v>
      </c>
      <c r="B2533" s="75" t="s">
        <v>1006</v>
      </c>
      <c r="C2533" s="75">
        <v>6.36</v>
      </c>
      <c r="D2533" s="75">
        <v>1.0</v>
      </c>
      <c r="E2533" s="75">
        <v>6.36</v>
      </c>
      <c r="F2533" s="75" t="s">
        <v>1005</v>
      </c>
      <c r="G2533" s="82">
        <v>46112.0</v>
      </c>
      <c r="H2533" s="76" t="s">
        <v>940</v>
      </c>
      <c r="I2533" s="83"/>
      <c r="J2533" s="83"/>
      <c r="K2533" s="83"/>
      <c r="L2533" s="83"/>
      <c r="M2533" s="83"/>
      <c r="N2533" s="83"/>
      <c r="O2533" s="83"/>
      <c r="P2533" s="83"/>
      <c r="Q2533" s="83"/>
      <c r="R2533" s="83"/>
      <c r="S2533" s="83"/>
      <c r="T2533" s="83"/>
      <c r="U2533" s="83"/>
      <c r="V2533" s="83"/>
      <c r="W2533" s="83"/>
      <c r="X2533" s="83"/>
      <c r="Y2533" s="83"/>
      <c r="Z2533" s="83"/>
    </row>
    <row r="2534">
      <c r="A2534" s="75" t="s">
        <v>32</v>
      </c>
      <c r="B2534" s="75" t="s">
        <v>1006</v>
      </c>
      <c r="C2534" s="75">
        <v>590.73</v>
      </c>
      <c r="D2534" s="75">
        <v>108.0</v>
      </c>
      <c r="E2534" s="75">
        <v>5.47</v>
      </c>
      <c r="F2534" s="75" t="s">
        <v>1005</v>
      </c>
      <c r="G2534" s="82">
        <v>46112.0</v>
      </c>
      <c r="H2534" s="76" t="s">
        <v>941</v>
      </c>
      <c r="I2534" s="83"/>
      <c r="J2534" s="83"/>
      <c r="K2534" s="83"/>
      <c r="L2534" s="83"/>
      <c r="M2534" s="83"/>
      <c r="N2534" s="83"/>
      <c r="O2534" s="83"/>
      <c r="P2534" s="83"/>
      <c r="Q2534" s="83"/>
      <c r="R2534" s="83"/>
      <c r="S2534" s="83"/>
      <c r="T2534" s="83"/>
      <c r="U2534" s="83"/>
      <c r="V2534" s="83"/>
      <c r="W2534" s="83"/>
      <c r="X2534" s="83"/>
      <c r="Y2534" s="83"/>
      <c r="Z2534" s="83"/>
    </row>
    <row r="2535">
      <c r="A2535" s="75" t="s">
        <v>32</v>
      </c>
      <c r="B2535" s="75" t="s">
        <v>1006</v>
      </c>
      <c r="C2535" s="75">
        <v>164.68</v>
      </c>
      <c r="D2535" s="75">
        <v>30.0</v>
      </c>
      <c r="E2535" s="75">
        <v>5.49</v>
      </c>
      <c r="F2535" s="75" t="s">
        <v>1005</v>
      </c>
      <c r="G2535" s="82">
        <v>46112.0</v>
      </c>
      <c r="H2535" s="76" t="s">
        <v>942</v>
      </c>
      <c r="I2535" s="83"/>
      <c r="J2535" s="83"/>
      <c r="K2535" s="83"/>
      <c r="L2535" s="83"/>
      <c r="M2535" s="83"/>
      <c r="N2535" s="83"/>
      <c r="O2535" s="83"/>
      <c r="P2535" s="83"/>
      <c r="Q2535" s="83"/>
      <c r="R2535" s="83"/>
      <c r="S2535" s="83"/>
      <c r="T2535" s="83"/>
      <c r="U2535" s="83"/>
      <c r="V2535" s="83"/>
      <c r="W2535" s="83"/>
      <c r="X2535" s="83"/>
      <c r="Y2535" s="83"/>
      <c r="Z2535" s="83"/>
    </row>
    <row r="2536">
      <c r="A2536" s="75" t="s">
        <v>32</v>
      </c>
      <c r="B2536" s="75" t="s">
        <v>1006</v>
      </c>
      <c r="C2536" s="75">
        <v>261.9</v>
      </c>
      <c r="D2536" s="75">
        <v>72.0</v>
      </c>
      <c r="E2536" s="75">
        <v>3.64</v>
      </c>
      <c r="F2536" s="75" t="s">
        <v>1005</v>
      </c>
      <c r="G2536" s="82">
        <v>46112.0</v>
      </c>
      <c r="H2536" s="76" t="s">
        <v>943</v>
      </c>
      <c r="I2536" s="83"/>
      <c r="J2536" s="83"/>
      <c r="K2536" s="83"/>
      <c r="L2536" s="83"/>
      <c r="M2536" s="83"/>
      <c r="N2536" s="83"/>
      <c r="O2536" s="83"/>
      <c r="P2536" s="83"/>
      <c r="Q2536" s="83"/>
      <c r="R2536" s="83"/>
      <c r="S2536" s="83"/>
      <c r="T2536" s="83"/>
      <c r="U2536" s="83"/>
      <c r="V2536" s="83"/>
      <c r="W2536" s="83"/>
      <c r="X2536" s="83"/>
      <c r="Y2536" s="83"/>
      <c r="Z2536" s="83"/>
    </row>
    <row r="2537">
      <c r="A2537" s="75" t="s">
        <v>944</v>
      </c>
      <c r="B2537" s="75" t="s">
        <v>1006</v>
      </c>
      <c r="C2537" s="75">
        <v>28.93</v>
      </c>
      <c r="D2537" s="75">
        <v>5.0</v>
      </c>
      <c r="E2537" s="75">
        <v>5.79</v>
      </c>
      <c r="F2537" s="75" t="s">
        <v>1005</v>
      </c>
      <c r="G2537" s="82">
        <v>46112.0</v>
      </c>
      <c r="H2537" s="76" t="s">
        <v>945</v>
      </c>
      <c r="I2537" s="83"/>
      <c r="J2537" s="83"/>
      <c r="K2537" s="83"/>
      <c r="L2537" s="83"/>
      <c r="M2537" s="83"/>
      <c r="N2537" s="83"/>
      <c r="O2537" s="83"/>
      <c r="P2537" s="83"/>
      <c r="Q2537" s="83"/>
      <c r="R2537" s="83"/>
      <c r="S2537" s="83"/>
      <c r="T2537" s="83"/>
      <c r="U2537" s="83"/>
      <c r="V2537" s="83"/>
      <c r="W2537" s="83"/>
      <c r="X2537" s="83"/>
      <c r="Y2537" s="83"/>
      <c r="Z2537" s="83"/>
    </row>
    <row r="2538">
      <c r="A2538" s="75" t="s">
        <v>944</v>
      </c>
      <c r="B2538" s="75" t="s">
        <v>1006</v>
      </c>
      <c r="C2538" s="75">
        <v>5.62</v>
      </c>
      <c r="D2538" s="75">
        <v>0.0</v>
      </c>
      <c r="E2538" s="75">
        <v>0.0</v>
      </c>
      <c r="F2538" s="75" t="s">
        <v>1005</v>
      </c>
      <c r="G2538" s="82">
        <v>46112.0</v>
      </c>
      <c r="H2538" s="76" t="s">
        <v>946</v>
      </c>
      <c r="I2538" s="83"/>
      <c r="J2538" s="83"/>
      <c r="K2538" s="83"/>
      <c r="L2538" s="83"/>
      <c r="M2538" s="83"/>
      <c r="N2538" s="83"/>
      <c r="O2538" s="83"/>
      <c r="P2538" s="83"/>
      <c r="Q2538" s="83"/>
      <c r="R2538" s="83"/>
      <c r="S2538" s="83"/>
      <c r="T2538" s="83"/>
      <c r="U2538" s="83"/>
      <c r="V2538" s="83"/>
      <c r="W2538" s="83"/>
      <c r="X2538" s="83"/>
      <c r="Y2538" s="83"/>
      <c r="Z2538" s="83"/>
    </row>
    <row r="2539">
      <c r="A2539" s="75" t="s">
        <v>944</v>
      </c>
      <c r="B2539" s="75" t="s">
        <v>1006</v>
      </c>
      <c r="C2539" s="75">
        <v>19.29</v>
      </c>
      <c r="D2539" s="75">
        <v>3.0</v>
      </c>
      <c r="E2539" s="75">
        <v>6.43</v>
      </c>
      <c r="F2539" s="75" t="s">
        <v>1005</v>
      </c>
      <c r="G2539" s="82">
        <v>46112.0</v>
      </c>
      <c r="H2539" s="76" t="s">
        <v>947</v>
      </c>
      <c r="I2539" s="83"/>
      <c r="J2539" s="83"/>
      <c r="K2539" s="83"/>
      <c r="L2539" s="83"/>
      <c r="M2539" s="83"/>
      <c r="N2539" s="83"/>
      <c r="O2539" s="83"/>
      <c r="P2539" s="83"/>
      <c r="Q2539" s="83"/>
      <c r="R2539" s="83"/>
      <c r="S2539" s="83"/>
      <c r="T2539" s="83"/>
      <c r="U2539" s="83"/>
      <c r="V2539" s="83"/>
      <c r="W2539" s="83"/>
      <c r="X2539" s="83"/>
      <c r="Y2539" s="83"/>
      <c r="Z2539" s="83"/>
    </row>
    <row r="2540">
      <c r="A2540" s="75" t="s">
        <v>26</v>
      </c>
      <c r="B2540" s="75" t="s">
        <v>1006</v>
      </c>
      <c r="C2540" s="75">
        <v>5.59</v>
      </c>
      <c r="D2540" s="75">
        <v>3.0</v>
      </c>
      <c r="E2540" s="75">
        <v>1.86</v>
      </c>
      <c r="F2540" s="75" t="s">
        <v>1005</v>
      </c>
      <c r="G2540" s="82">
        <v>46112.0</v>
      </c>
      <c r="H2540" s="76" t="s">
        <v>1012</v>
      </c>
      <c r="I2540" s="83"/>
      <c r="J2540" s="83"/>
      <c r="K2540" s="83"/>
      <c r="L2540" s="83"/>
      <c r="M2540" s="83"/>
      <c r="N2540" s="83"/>
      <c r="O2540" s="83"/>
      <c r="P2540" s="83"/>
      <c r="Q2540" s="83"/>
      <c r="R2540" s="83"/>
      <c r="S2540" s="83"/>
      <c r="T2540" s="83"/>
      <c r="U2540" s="83"/>
      <c r="V2540" s="83"/>
      <c r="W2540" s="83"/>
      <c r="X2540" s="83"/>
      <c r="Y2540" s="83"/>
      <c r="Z2540" s="83"/>
    </row>
    <row r="2541">
      <c r="A2541" s="75" t="s">
        <v>26</v>
      </c>
      <c r="B2541" s="75" t="s">
        <v>1006</v>
      </c>
      <c r="C2541" s="75">
        <v>9.29</v>
      </c>
      <c r="D2541" s="75">
        <v>2.0</v>
      </c>
      <c r="E2541" s="75">
        <v>4.64</v>
      </c>
      <c r="F2541" s="75" t="s">
        <v>1005</v>
      </c>
      <c r="G2541" s="82">
        <v>46112.0</v>
      </c>
      <c r="H2541" s="76" t="s">
        <v>1013</v>
      </c>
      <c r="I2541" s="83"/>
      <c r="J2541" s="83"/>
      <c r="K2541" s="83"/>
      <c r="L2541" s="83"/>
      <c r="M2541" s="83"/>
      <c r="N2541" s="83"/>
      <c r="O2541" s="83"/>
      <c r="P2541" s="83"/>
      <c r="Q2541" s="83"/>
      <c r="R2541" s="83"/>
      <c r="S2541" s="83"/>
      <c r="T2541" s="83"/>
      <c r="U2541" s="83"/>
      <c r="V2541" s="83"/>
      <c r="W2541" s="83"/>
      <c r="X2541" s="83"/>
      <c r="Y2541" s="83"/>
      <c r="Z2541" s="83"/>
    </row>
    <row r="2542">
      <c r="A2542" s="75" t="s">
        <v>26</v>
      </c>
      <c r="B2542" s="75" t="s">
        <v>1006</v>
      </c>
      <c r="C2542" s="75">
        <v>10.12</v>
      </c>
      <c r="D2542" s="75">
        <v>3.0</v>
      </c>
      <c r="E2542" s="75">
        <v>3.37</v>
      </c>
      <c r="F2542" s="75" t="s">
        <v>1005</v>
      </c>
      <c r="G2542" s="82">
        <v>46112.0</v>
      </c>
      <c r="H2542" s="76" t="s">
        <v>1014</v>
      </c>
      <c r="I2542" s="83"/>
      <c r="J2542" s="83"/>
      <c r="K2542" s="83"/>
      <c r="L2542" s="83"/>
      <c r="M2542" s="83"/>
      <c r="N2542" s="83"/>
      <c r="O2542" s="83"/>
      <c r="P2542" s="83"/>
      <c r="Q2542" s="83"/>
      <c r="R2542" s="83"/>
      <c r="S2542" s="83"/>
      <c r="T2542" s="83"/>
      <c r="U2542" s="83"/>
      <c r="V2542" s="83"/>
      <c r="W2542" s="83"/>
      <c r="X2542" s="83"/>
      <c r="Y2542" s="83"/>
      <c r="Z2542" s="83"/>
    </row>
    <row r="2543">
      <c r="A2543" s="75" t="s">
        <v>36</v>
      </c>
      <c r="B2543" s="75" t="s">
        <v>1006</v>
      </c>
      <c r="C2543" s="75">
        <v>7.85</v>
      </c>
      <c r="D2543" s="75">
        <v>1.0</v>
      </c>
      <c r="E2543" s="75">
        <v>7.85</v>
      </c>
      <c r="F2543" s="75" t="s">
        <v>996</v>
      </c>
      <c r="G2543" s="82">
        <v>46112.0</v>
      </c>
      <c r="H2543" s="76" t="s">
        <v>926</v>
      </c>
      <c r="I2543" s="83"/>
      <c r="J2543" s="83"/>
      <c r="K2543" s="83"/>
      <c r="L2543" s="83"/>
      <c r="M2543" s="83"/>
      <c r="N2543" s="83"/>
      <c r="O2543" s="83"/>
      <c r="P2543" s="83"/>
      <c r="Q2543" s="83"/>
      <c r="R2543" s="83"/>
      <c r="S2543" s="83"/>
      <c r="T2543" s="83"/>
      <c r="U2543" s="83"/>
      <c r="V2543" s="83"/>
      <c r="W2543" s="83"/>
      <c r="X2543" s="83"/>
      <c r="Y2543" s="83"/>
      <c r="Z2543" s="83"/>
    </row>
    <row r="2544">
      <c r="A2544" s="75" t="s">
        <v>36</v>
      </c>
      <c r="B2544" s="75" t="s">
        <v>1006</v>
      </c>
      <c r="C2544" s="75">
        <v>2.46</v>
      </c>
      <c r="D2544" s="75">
        <v>0.0</v>
      </c>
      <c r="E2544" s="75">
        <v>0.0</v>
      </c>
      <c r="F2544" s="75" t="s">
        <v>996</v>
      </c>
      <c r="G2544" s="82">
        <v>46112.0</v>
      </c>
      <c r="H2544" s="76" t="s">
        <v>927</v>
      </c>
      <c r="I2544" s="83"/>
      <c r="J2544" s="83"/>
      <c r="K2544" s="83"/>
      <c r="L2544" s="83"/>
      <c r="M2544" s="83"/>
      <c r="N2544" s="83"/>
      <c r="O2544" s="83"/>
      <c r="P2544" s="83"/>
      <c r="Q2544" s="83"/>
      <c r="R2544" s="83"/>
      <c r="S2544" s="83"/>
      <c r="T2544" s="83"/>
      <c r="U2544" s="83"/>
      <c r="V2544" s="83"/>
      <c r="W2544" s="83"/>
      <c r="X2544" s="83"/>
      <c r="Y2544" s="83"/>
      <c r="Z2544" s="83"/>
    </row>
    <row r="2545">
      <c r="A2545" s="75" t="s">
        <v>36</v>
      </c>
      <c r="B2545" s="75" t="s">
        <v>1006</v>
      </c>
      <c r="C2545" s="75">
        <v>3.82</v>
      </c>
      <c r="D2545" s="75">
        <v>0.0</v>
      </c>
      <c r="E2545" s="75">
        <v>0.0</v>
      </c>
      <c r="F2545" s="75" t="s">
        <v>996</v>
      </c>
      <c r="G2545" s="82">
        <v>46112.0</v>
      </c>
      <c r="H2545" s="76" t="s">
        <v>928</v>
      </c>
      <c r="I2545" s="83"/>
      <c r="J2545" s="83"/>
      <c r="K2545" s="83"/>
      <c r="L2545" s="83"/>
      <c r="M2545" s="83"/>
      <c r="N2545" s="83"/>
      <c r="O2545" s="83"/>
      <c r="P2545" s="83"/>
      <c r="Q2545" s="83"/>
      <c r="R2545" s="83"/>
      <c r="S2545" s="83"/>
      <c r="T2545" s="83"/>
      <c r="U2545" s="83"/>
      <c r="V2545" s="83"/>
      <c r="W2545" s="83"/>
      <c r="X2545" s="83"/>
      <c r="Y2545" s="83"/>
      <c r="Z2545" s="83"/>
    </row>
    <row r="2546">
      <c r="A2546" s="75" t="s">
        <v>31</v>
      </c>
      <c r="B2546" s="75" t="s">
        <v>1006</v>
      </c>
      <c r="C2546" s="75">
        <v>14.0</v>
      </c>
      <c r="D2546" s="75">
        <v>1.0</v>
      </c>
      <c r="E2546" s="75">
        <v>14.0</v>
      </c>
      <c r="F2546" s="75" t="s">
        <v>996</v>
      </c>
      <c r="G2546" s="82">
        <v>46112.0</v>
      </c>
      <c r="H2546" s="76" t="s">
        <v>929</v>
      </c>
      <c r="I2546" s="83"/>
      <c r="J2546" s="83"/>
      <c r="K2546" s="83"/>
      <c r="L2546" s="83"/>
      <c r="M2546" s="83"/>
      <c r="N2546" s="83"/>
      <c r="O2546" s="83"/>
      <c r="P2546" s="83"/>
      <c r="Q2546" s="83"/>
      <c r="R2546" s="83"/>
      <c r="S2546" s="83"/>
      <c r="T2546" s="83"/>
      <c r="U2546" s="83"/>
      <c r="V2546" s="83"/>
      <c r="W2546" s="83"/>
      <c r="X2546" s="83"/>
      <c r="Y2546" s="83"/>
      <c r="Z2546" s="83"/>
    </row>
    <row r="2547">
      <c r="A2547" s="75" t="s">
        <v>31</v>
      </c>
      <c r="B2547" s="75" t="s">
        <v>1006</v>
      </c>
      <c r="C2547" s="75">
        <v>60.9</v>
      </c>
      <c r="D2547" s="75">
        <v>32.0</v>
      </c>
      <c r="E2547" s="75">
        <v>1.9</v>
      </c>
      <c r="F2547" s="75" t="s">
        <v>996</v>
      </c>
      <c r="G2547" s="82">
        <v>46112.0</v>
      </c>
      <c r="H2547" s="76" t="s">
        <v>930</v>
      </c>
      <c r="I2547" s="83"/>
      <c r="J2547" s="83"/>
      <c r="K2547" s="83"/>
      <c r="L2547" s="83"/>
      <c r="M2547" s="83"/>
      <c r="N2547" s="83"/>
      <c r="O2547" s="83"/>
      <c r="P2547" s="83"/>
      <c r="Q2547" s="83"/>
      <c r="R2547" s="83"/>
      <c r="S2547" s="83"/>
      <c r="T2547" s="83"/>
      <c r="U2547" s="83"/>
      <c r="V2547" s="83"/>
      <c r="W2547" s="83"/>
      <c r="X2547" s="83"/>
      <c r="Y2547" s="83"/>
      <c r="Z2547" s="83"/>
    </row>
    <row r="2548">
      <c r="A2548" s="75" t="s">
        <v>28</v>
      </c>
      <c r="B2548" s="75" t="s">
        <v>1006</v>
      </c>
      <c r="C2548" s="75">
        <v>2.74</v>
      </c>
      <c r="D2548" s="75">
        <v>0.0</v>
      </c>
      <c r="E2548" s="75">
        <v>0.0</v>
      </c>
      <c r="F2548" s="75" t="s">
        <v>996</v>
      </c>
      <c r="G2548" s="82">
        <v>46112.0</v>
      </c>
      <c r="H2548" s="76" t="s">
        <v>931</v>
      </c>
      <c r="I2548" s="83"/>
      <c r="J2548" s="83"/>
      <c r="K2548" s="83"/>
      <c r="L2548" s="83"/>
      <c r="M2548" s="83"/>
      <c r="N2548" s="83"/>
      <c r="O2548" s="83"/>
      <c r="P2548" s="83"/>
      <c r="Q2548" s="83"/>
      <c r="R2548" s="83"/>
      <c r="S2548" s="83"/>
      <c r="T2548" s="83"/>
      <c r="U2548" s="83"/>
      <c r="V2548" s="83"/>
      <c r="W2548" s="83"/>
      <c r="X2548" s="83"/>
      <c r="Y2548" s="83"/>
      <c r="Z2548" s="83"/>
    </row>
    <row r="2549">
      <c r="A2549" s="75" t="s">
        <v>28</v>
      </c>
      <c r="B2549" s="75" t="s">
        <v>1006</v>
      </c>
      <c r="C2549" s="75">
        <v>1.32</v>
      </c>
      <c r="D2549" s="75">
        <v>0.0</v>
      </c>
      <c r="E2549" s="75">
        <v>0.0</v>
      </c>
      <c r="F2549" s="75" t="s">
        <v>996</v>
      </c>
      <c r="G2549" s="82">
        <v>46112.0</v>
      </c>
      <c r="H2549" s="76" t="s">
        <v>932</v>
      </c>
      <c r="I2549" s="83"/>
      <c r="J2549" s="83"/>
      <c r="K2549" s="83"/>
      <c r="L2549" s="83"/>
      <c r="M2549" s="83"/>
      <c r="N2549" s="83"/>
      <c r="O2549" s="83"/>
      <c r="P2549" s="83"/>
      <c r="Q2549" s="83"/>
      <c r="R2549" s="83"/>
      <c r="S2549" s="83"/>
      <c r="T2549" s="83"/>
      <c r="U2549" s="83"/>
      <c r="V2549" s="83"/>
      <c r="W2549" s="83"/>
      <c r="X2549" s="83"/>
      <c r="Y2549" s="83"/>
      <c r="Z2549" s="83"/>
    </row>
    <row r="2550">
      <c r="A2550" s="75" t="s">
        <v>28</v>
      </c>
      <c r="B2550" s="75" t="s">
        <v>1006</v>
      </c>
      <c r="C2550" s="75">
        <v>60.44</v>
      </c>
      <c r="D2550" s="75">
        <v>0.0</v>
      </c>
      <c r="E2550" s="75">
        <v>0.0</v>
      </c>
      <c r="F2550" s="75" t="s">
        <v>996</v>
      </c>
      <c r="G2550" s="82">
        <v>46112.0</v>
      </c>
      <c r="H2550" s="76" t="s">
        <v>933</v>
      </c>
      <c r="I2550" s="83"/>
      <c r="J2550" s="83"/>
      <c r="K2550" s="83"/>
      <c r="L2550" s="83"/>
      <c r="M2550" s="83"/>
      <c r="N2550" s="83"/>
      <c r="O2550" s="83"/>
      <c r="P2550" s="83"/>
      <c r="Q2550" s="83"/>
      <c r="R2550" s="83"/>
      <c r="S2550" s="83"/>
      <c r="T2550" s="83"/>
      <c r="U2550" s="83"/>
      <c r="V2550" s="83"/>
      <c r="W2550" s="83"/>
      <c r="X2550" s="83"/>
      <c r="Y2550" s="83"/>
      <c r="Z2550" s="83"/>
    </row>
    <row r="2551">
      <c r="A2551" s="75" t="s">
        <v>42</v>
      </c>
      <c r="B2551" s="75" t="s">
        <v>1006</v>
      </c>
      <c r="C2551" s="75">
        <v>0.78</v>
      </c>
      <c r="D2551" s="75">
        <v>0.0</v>
      </c>
      <c r="E2551" s="75">
        <v>0.0</v>
      </c>
      <c r="F2551" s="75" t="s">
        <v>996</v>
      </c>
      <c r="G2551" s="82">
        <v>46112.0</v>
      </c>
      <c r="H2551" s="76" t="s">
        <v>991</v>
      </c>
      <c r="I2551" s="83"/>
      <c r="J2551" s="83"/>
      <c r="K2551" s="83"/>
      <c r="L2551" s="83"/>
      <c r="M2551" s="83"/>
      <c r="N2551" s="83"/>
      <c r="O2551" s="83"/>
      <c r="P2551" s="83"/>
      <c r="Q2551" s="83"/>
      <c r="R2551" s="83"/>
      <c r="S2551" s="83"/>
      <c r="T2551" s="83"/>
      <c r="U2551" s="83"/>
      <c r="V2551" s="83"/>
      <c r="W2551" s="83"/>
      <c r="X2551" s="83"/>
      <c r="Y2551" s="83"/>
      <c r="Z2551" s="83"/>
    </row>
    <row r="2552">
      <c r="A2552" s="75" t="s">
        <v>42</v>
      </c>
      <c r="B2552" s="75" t="s">
        <v>1006</v>
      </c>
      <c r="C2552" s="75">
        <v>150.91</v>
      </c>
      <c r="D2552" s="75">
        <v>0.0</v>
      </c>
      <c r="E2552" s="75">
        <v>0.0</v>
      </c>
      <c r="F2552" s="75" t="s">
        <v>996</v>
      </c>
      <c r="G2552" s="82">
        <v>46112.0</v>
      </c>
      <c r="H2552" s="76" t="s">
        <v>935</v>
      </c>
      <c r="I2552" s="83"/>
      <c r="J2552" s="83"/>
      <c r="K2552" s="83"/>
      <c r="L2552" s="83"/>
      <c r="M2552" s="83"/>
      <c r="N2552" s="83"/>
      <c r="O2552" s="83"/>
      <c r="P2552" s="83"/>
      <c r="Q2552" s="83"/>
      <c r="R2552" s="83"/>
      <c r="S2552" s="83"/>
      <c r="T2552" s="83"/>
      <c r="U2552" s="83"/>
      <c r="V2552" s="83"/>
      <c r="W2552" s="83"/>
      <c r="X2552" s="83"/>
      <c r="Y2552" s="83"/>
      <c r="Z2552" s="83"/>
    </row>
    <row r="2553">
      <c r="A2553" s="75" t="s">
        <v>45</v>
      </c>
      <c r="B2553" s="75" t="s">
        <v>1006</v>
      </c>
      <c r="C2553" s="75">
        <v>8.57</v>
      </c>
      <c r="D2553" s="75">
        <v>0.0</v>
      </c>
      <c r="E2553" s="75">
        <v>0.0</v>
      </c>
      <c r="F2553" s="75" t="s">
        <v>996</v>
      </c>
      <c r="G2553" s="82">
        <v>46112.0</v>
      </c>
      <c r="H2553" s="76" t="s">
        <v>936</v>
      </c>
      <c r="I2553" s="83"/>
      <c r="J2553" s="83"/>
      <c r="K2553" s="83"/>
      <c r="L2553" s="83"/>
      <c r="M2553" s="83"/>
      <c r="N2553" s="83"/>
      <c r="O2553" s="83"/>
      <c r="P2553" s="83"/>
      <c r="Q2553" s="83"/>
      <c r="R2553" s="83"/>
      <c r="S2553" s="83"/>
      <c r="T2553" s="83"/>
      <c r="U2553" s="83"/>
      <c r="V2553" s="83"/>
      <c r="W2553" s="83"/>
      <c r="X2553" s="83"/>
      <c r="Y2553" s="83"/>
      <c r="Z2553" s="83"/>
    </row>
    <row r="2554">
      <c r="A2554" s="75" t="s">
        <v>45</v>
      </c>
      <c r="B2554" s="75" t="s">
        <v>1006</v>
      </c>
      <c r="C2554" s="75">
        <v>9.68</v>
      </c>
      <c r="D2554" s="75">
        <v>0.0</v>
      </c>
      <c r="E2554" s="75">
        <v>0.0</v>
      </c>
      <c r="F2554" s="75" t="s">
        <v>996</v>
      </c>
      <c r="G2554" s="82">
        <v>46112.0</v>
      </c>
      <c r="H2554" s="76" t="s">
        <v>937</v>
      </c>
      <c r="I2554" s="83"/>
      <c r="J2554" s="83"/>
      <c r="K2554" s="83"/>
      <c r="L2554" s="83"/>
      <c r="M2554" s="83"/>
      <c r="N2554" s="83"/>
      <c r="O2554" s="83"/>
      <c r="P2554" s="83"/>
      <c r="Q2554" s="83"/>
      <c r="R2554" s="83"/>
      <c r="S2554" s="83"/>
      <c r="T2554" s="83"/>
      <c r="U2554" s="83"/>
      <c r="V2554" s="83"/>
      <c r="W2554" s="83"/>
      <c r="X2554" s="83"/>
      <c r="Y2554" s="83"/>
      <c r="Z2554" s="83"/>
    </row>
    <row r="2555">
      <c r="A2555" s="75" t="s">
        <v>45</v>
      </c>
      <c r="B2555" s="75" t="s">
        <v>1006</v>
      </c>
      <c r="C2555" s="75">
        <v>24.75</v>
      </c>
      <c r="D2555" s="75">
        <v>2.0</v>
      </c>
      <c r="E2555" s="75">
        <v>12.37</v>
      </c>
      <c r="F2555" s="75" t="s">
        <v>996</v>
      </c>
      <c r="G2555" s="82">
        <v>46112.0</v>
      </c>
      <c r="H2555" s="76" t="s">
        <v>938</v>
      </c>
      <c r="I2555" s="83"/>
      <c r="J2555" s="83"/>
      <c r="K2555" s="83"/>
      <c r="L2555" s="83"/>
      <c r="M2555" s="83"/>
      <c r="N2555" s="83"/>
      <c r="O2555" s="83"/>
      <c r="P2555" s="83"/>
      <c r="Q2555" s="83"/>
      <c r="R2555" s="83"/>
      <c r="S2555" s="83"/>
      <c r="T2555" s="83"/>
      <c r="U2555" s="83"/>
      <c r="V2555" s="83"/>
      <c r="W2555" s="83"/>
      <c r="X2555" s="83"/>
      <c r="Y2555" s="83"/>
      <c r="Z2555" s="83"/>
    </row>
    <row r="2556">
      <c r="A2556" s="75" t="s">
        <v>50</v>
      </c>
      <c r="B2556" s="75" t="s">
        <v>1006</v>
      </c>
      <c r="C2556" s="75">
        <v>12.41</v>
      </c>
      <c r="D2556" s="75">
        <v>0.0</v>
      </c>
      <c r="E2556" s="75">
        <v>0.0</v>
      </c>
      <c r="F2556" s="75" t="s">
        <v>996</v>
      </c>
      <c r="G2556" s="82">
        <v>46112.0</v>
      </c>
      <c r="H2556" s="76" t="s">
        <v>939</v>
      </c>
      <c r="I2556" s="83"/>
      <c r="J2556" s="83"/>
      <c r="K2556" s="83"/>
      <c r="L2556" s="83"/>
      <c r="M2556" s="83"/>
      <c r="N2556" s="83"/>
      <c r="O2556" s="83"/>
      <c r="P2556" s="83"/>
      <c r="Q2556" s="83"/>
      <c r="R2556" s="83"/>
      <c r="S2556" s="83"/>
      <c r="T2556" s="83"/>
      <c r="U2556" s="83"/>
      <c r="V2556" s="83"/>
      <c r="W2556" s="83"/>
      <c r="X2556" s="83"/>
      <c r="Y2556" s="83"/>
      <c r="Z2556" s="83"/>
    </row>
    <row r="2557">
      <c r="A2557" s="75" t="s">
        <v>50</v>
      </c>
      <c r="B2557" s="75" t="s">
        <v>1006</v>
      </c>
      <c r="C2557" s="75">
        <v>6.66</v>
      </c>
      <c r="D2557" s="75">
        <v>0.0</v>
      </c>
      <c r="E2557" s="75">
        <v>0.0</v>
      </c>
      <c r="F2557" s="75" t="s">
        <v>996</v>
      </c>
      <c r="G2557" s="82">
        <v>46112.0</v>
      </c>
      <c r="H2557" s="76" t="s">
        <v>940</v>
      </c>
      <c r="I2557" s="83"/>
      <c r="J2557" s="83"/>
      <c r="K2557" s="83"/>
      <c r="L2557" s="83"/>
      <c r="M2557" s="83"/>
      <c r="N2557" s="83"/>
      <c r="O2557" s="83"/>
      <c r="P2557" s="83"/>
      <c r="Q2557" s="83"/>
      <c r="R2557" s="83"/>
      <c r="S2557" s="83"/>
      <c r="T2557" s="83"/>
      <c r="U2557" s="83"/>
      <c r="V2557" s="83"/>
      <c r="W2557" s="83"/>
      <c r="X2557" s="83"/>
      <c r="Y2557" s="83"/>
      <c r="Z2557" s="83"/>
    </row>
    <row r="2558">
      <c r="A2558" s="75" t="s">
        <v>32</v>
      </c>
      <c r="B2558" s="75" t="s">
        <v>1006</v>
      </c>
      <c r="C2558" s="75">
        <v>56.97</v>
      </c>
      <c r="D2558" s="75">
        <v>49.0</v>
      </c>
      <c r="E2558" s="75">
        <v>1.16</v>
      </c>
      <c r="F2558" s="75" t="s">
        <v>996</v>
      </c>
      <c r="G2558" s="82">
        <v>46112.0</v>
      </c>
      <c r="H2558" s="76" t="s">
        <v>941</v>
      </c>
      <c r="I2558" s="83"/>
      <c r="J2558" s="83"/>
      <c r="K2558" s="83"/>
      <c r="L2558" s="83"/>
      <c r="M2558" s="83"/>
      <c r="N2558" s="83"/>
      <c r="O2558" s="83"/>
      <c r="P2558" s="83"/>
      <c r="Q2558" s="83"/>
      <c r="R2558" s="83"/>
      <c r="S2558" s="83"/>
      <c r="T2558" s="83"/>
      <c r="U2558" s="83"/>
      <c r="V2558" s="83"/>
      <c r="W2558" s="83"/>
      <c r="X2558" s="83"/>
      <c r="Y2558" s="83"/>
      <c r="Z2558" s="83"/>
    </row>
    <row r="2559">
      <c r="A2559" s="75" t="s">
        <v>32</v>
      </c>
      <c r="B2559" s="75" t="s">
        <v>1006</v>
      </c>
      <c r="C2559" s="75">
        <v>38.83</v>
      </c>
      <c r="D2559" s="75">
        <v>36.0</v>
      </c>
      <c r="E2559" s="75">
        <v>1.08</v>
      </c>
      <c r="F2559" s="75" t="s">
        <v>996</v>
      </c>
      <c r="G2559" s="82">
        <v>46112.0</v>
      </c>
      <c r="H2559" s="76" t="s">
        <v>942</v>
      </c>
      <c r="I2559" s="83"/>
      <c r="J2559" s="83"/>
      <c r="K2559" s="83"/>
      <c r="L2559" s="83"/>
      <c r="M2559" s="83"/>
      <c r="N2559" s="83"/>
      <c r="O2559" s="83"/>
      <c r="P2559" s="83"/>
      <c r="Q2559" s="83"/>
      <c r="R2559" s="83"/>
      <c r="S2559" s="83"/>
      <c r="T2559" s="83"/>
      <c r="U2559" s="83"/>
      <c r="V2559" s="83"/>
      <c r="W2559" s="83"/>
      <c r="X2559" s="83"/>
      <c r="Y2559" s="83"/>
      <c r="Z2559" s="83"/>
    </row>
    <row r="2560">
      <c r="A2560" s="75" t="s">
        <v>32</v>
      </c>
      <c r="B2560" s="75" t="s">
        <v>1006</v>
      </c>
      <c r="C2560" s="75">
        <v>178.42</v>
      </c>
      <c r="D2560" s="75">
        <v>303.0</v>
      </c>
      <c r="E2560" s="75">
        <v>0.59</v>
      </c>
      <c r="F2560" s="75" t="s">
        <v>996</v>
      </c>
      <c r="G2560" s="82">
        <v>46112.0</v>
      </c>
      <c r="H2560" s="76" t="s">
        <v>943</v>
      </c>
      <c r="I2560" s="83"/>
      <c r="J2560" s="83"/>
      <c r="K2560" s="83"/>
      <c r="L2560" s="83"/>
      <c r="M2560" s="83"/>
      <c r="N2560" s="83"/>
      <c r="O2560" s="83"/>
      <c r="P2560" s="83"/>
      <c r="Q2560" s="83"/>
      <c r="R2560" s="83"/>
      <c r="S2560" s="83"/>
      <c r="T2560" s="83"/>
      <c r="U2560" s="83"/>
      <c r="V2560" s="83"/>
      <c r="W2560" s="83"/>
      <c r="X2560" s="83"/>
      <c r="Y2560" s="83"/>
      <c r="Z2560" s="83"/>
    </row>
    <row r="2561">
      <c r="A2561" s="75" t="s">
        <v>944</v>
      </c>
      <c r="B2561" s="75" t="s">
        <v>1006</v>
      </c>
      <c r="C2561" s="75">
        <v>117.96</v>
      </c>
      <c r="D2561" s="75">
        <v>2.0</v>
      </c>
      <c r="E2561" s="75">
        <v>58.98</v>
      </c>
      <c r="F2561" s="75" t="s">
        <v>996</v>
      </c>
      <c r="G2561" s="82">
        <v>46112.0</v>
      </c>
      <c r="H2561" s="76" t="s">
        <v>945</v>
      </c>
      <c r="I2561" s="83"/>
      <c r="J2561" s="83"/>
      <c r="K2561" s="83"/>
      <c r="L2561" s="83"/>
      <c r="M2561" s="83"/>
      <c r="N2561" s="83"/>
      <c r="O2561" s="83"/>
      <c r="P2561" s="83"/>
      <c r="Q2561" s="83"/>
      <c r="R2561" s="83"/>
      <c r="S2561" s="83"/>
      <c r="T2561" s="83"/>
      <c r="U2561" s="83"/>
      <c r="V2561" s="83"/>
      <c r="W2561" s="83"/>
      <c r="X2561" s="83"/>
      <c r="Y2561" s="83"/>
      <c r="Z2561" s="83"/>
    </row>
    <row r="2562">
      <c r="A2562" s="75" t="s">
        <v>944</v>
      </c>
      <c r="B2562" s="75" t="s">
        <v>1006</v>
      </c>
      <c r="C2562" s="75">
        <v>6.45</v>
      </c>
      <c r="D2562" s="75">
        <v>0.0</v>
      </c>
      <c r="E2562" s="75">
        <v>0.0</v>
      </c>
      <c r="F2562" s="75" t="s">
        <v>996</v>
      </c>
      <c r="G2562" s="82">
        <v>46112.0</v>
      </c>
      <c r="H2562" s="76" t="s">
        <v>946</v>
      </c>
      <c r="I2562" s="83"/>
      <c r="J2562" s="83"/>
      <c r="K2562" s="83"/>
      <c r="L2562" s="83"/>
      <c r="M2562" s="83"/>
      <c r="N2562" s="83"/>
      <c r="O2562" s="83"/>
      <c r="P2562" s="83"/>
      <c r="Q2562" s="83"/>
      <c r="R2562" s="83"/>
      <c r="S2562" s="83"/>
      <c r="T2562" s="83"/>
      <c r="U2562" s="83"/>
      <c r="V2562" s="83"/>
      <c r="W2562" s="83"/>
      <c r="X2562" s="83"/>
      <c r="Y2562" s="83"/>
      <c r="Z2562" s="83"/>
    </row>
    <row r="2563">
      <c r="A2563" s="75" t="s">
        <v>944</v>
      </c>
      <c r="B2563" s="75" t="s">
        <v>1006</v>
      </c>
      <c r="C2563" s="75">
        <v>37.84</v>
      </c>
      <c r="D2563" s="75">
        <v>1.0</v>
      </c>
      <c r="E2563" s="75">
        <v>37.84</v>
      </c>
      <c r="F2563" s="75" t="s">
        <v>996</v>
      </c>
      <c r="G2563" s="82">
        <v>46112.0</v>
      </c>
      <c r="H2563" s="76" t="s">
        <v>947</v>
      </c>
      <c r="I2563" s="83"/>
      <c r="J2563" s="83"/>
      <c r="K2563" s="83"/>
      <c r="L2563" s="83"/>
      <c r="M2563" s="83"/>
      <c r="N2563" s="83"/>
      <c r="O2563" s="83"/>
      <c r="P2563" s="83"/>
      <c r="Q2563" s="83"/>
      <c r="R2563" s="83"/>
      <c r="S2563" s="83"/>
      <c r="T2563" s="83"/>
      <c r="U2563" s="83"/>
      <c r="V2563" s="83"/>
      <c r="W2563" s="83"/>
      <c r="X2563" s="83"/>
      <c r="Y2563" s="83"/>
      <c r="Z2563" s="83"/>
    </row>
    <row r="2564">
      <c r="A2564" s="75" t="s">
        <v>26</v>
      </c>
      <c r="B2564" s="75" t="s">
        <v>1006</v>
      </c>
      <c r="C2564" s="75">
        <v>4.31</v>
      </c>
      <c r="D2564" s="75">
        <v>0.0</v>
      </c>
      <c r="E2564" s="75">
        <v>0.0</v>
      </c>
      <c r="F2564" s="75" t="s">
        <v>996</v>
      </c>
      <c r="G2564" s="82">
        <v>46112.0</v>
      </c>
      <c r="H2564" s="76" t="s">
        <v>1012</v>
      </c>
      <c r="I2564" s="83"/>
      <c r="J2564" s="83"/>
      <c r="K2564" s="83"/>
      <c r="L2564" s="83"/>
      <c r="M2564" s="83"/>
      <c r="N2564" s="83"/>
      <c r="O2564" s="83"/>
      <c r="P2564" s="83"/>
      <c r="Q2564" s="83"/>
      <c r="R2564" s="83"/>
      <c r="S2564" s="83"/>
      <c r="T2564" s="83"/>
      <c r="U2564" s="83"/>
      <c r="V2564" s="83"/>
      <c r="W2564" s="83"/>
      <c r="X2564" s="83"/>
      <c r="Y2564" s="83"/>
      <c r="Z2564" s="83"/>
    </row>
    <row r="2565">
      <c r="A2565" s="75" t="s">
        <v>26</v>
      </c>
      <c r="B2565" s="75" t="s">
        <v>1006</v>
      </c>
      <c r="C2565" s="75">
        <v>82.19</v>
      </c>
      <c r="D2565" s="75">
        <v>1.0</v>
      </c>
      <c r="E2565" s="75">
        <v>82.19</v>
      </c>
      <c r="F2565" s="75" t="s">
        <v>996</v>
      </c>
      <c r="G2565" s="82">
        <v>46112.0</v>
      </c>
      <c r="H2565" s="76" t="s">
        <v>1013</v>
      </c>
      <c r="I2565" s="83"/>
      <c r="J2565" s="83"/>
      <c r="K2565" s="83"/>
      <c r="L2565" s="83"/>
      <c r="M2565" s="83"/>
      <c r="N2565" s="83"/>
      <c r="O2565" s="83"/>
      <c r="P2565" s="83"/>
      <c r="Q2565" s="83"/>
      <c r="R2565" s="83"/>
      <c r="S2565" s="83"/>
      <c r="T2565" s="83"/>
      <c r="U2565" s="83"/>
      <c r="V2565" s="83"/>
      <c r="W2565" s="83"/>
      <c r="X2565" s="83"/>
      <c r="Y2565" s="83"/>
      <c r="Z2565" s="83"/>
    </row>
    <row r="2566">
      <c r="A2566" s="75" t="s">
        <v>26</v>
      </c>
      <c r="B2566" s="75" t="s">
        <v>1006</v>
      </c>
      <c r="C2566" s="75">
        <v>10.04</v>
      </c>
      <c r="D2566" s="75">
        <v>0.0</v>
      </c>
      <c r="E2566" s="75">
        <v>0.0</v>
      </c>
      <c r="F2566" s="75" t="s">
        <v>996</v>
      </c>
      <c r="G2566" s="82">
        <v>46112.0</v>
      </c>
      <c r="H2566" s="76" t="s">
        <v>1014</v>
      </c>
      <c r="I2566" s="83"/>
      <c r="J2566" s="83"/>
      <c r="K2566" s="83"/>
      <c r="L2566" s="83"/>
      <c r="M2566" s="83"/>
      <c r="N2566" s="83"/>
      <c r="O2566" s="83"/>
      <c r="P2566" s="83"/>
      <c r="Q2566" s="83"/>
      <c r="R2566" s="83"/>
      <c r="S2566" s="83"/>
      <c r="T2566" s="83"/>
      <c r="U2566" s="83"/>
      <c r="V2566" s="83"/>
      <c r="W2566" s="83"/>
      <c r="X2566" s="83"/>
      <c r="Y2566" s="83"/>
      <c r="Z2566" s="83"/>
    </row>
    <row r="2567">
      <c r="A2567" s="75" t="s">
        <v>36</v>
      </c>
      <c r="B2567" s="75" t="s">
        <v>1006</v>
      </c>
      <c r="C2567" s="75">
        <v>10.68</v>
      </c>
      <c r="D2567" s="75">
        <v>0.0</v>
      </c>
      <c r="E2567" s="75">
        <v>0.0</v>
      </c>
      <c r="F2567" s="75" t="s">
        <v>997</v>
      </c>
      <c r="G2567" s="82">
        <v>46112.0</v>
      </c>
      <c r="H2567" s="76" t="s">
        <v>926</v>
      </c>
      <c r="I2567" s="83"/>
      <c r="J2567" s="83"/>
      <c r="K2567" s="83"/>
      <c r="L2567" s="83"/>
      <c r="M2567" s="83"/>
      <c r="N2567" s="83"/>
      <c r="O2567" s="83"/>
      <c r="P2567" s="83"/>
      <c r="Q2567" s="83"/>
      <c r="R2567" s="83"/>
      <c r="S2567" s="83"/>
      <c r="T2567" s="83"/>
      <c r="U2567" s="83"/>
      <c r="V2567" s="83"/>
      <c r="W2567" s="83"/>
      <c r="X2567" s="83"/>
      <c r="Y2567" s="83"/>
      <c r="Z2567" s="83"/>
    </row>
    <row r="2568">
      <c r="A2568" s="75" t="s">
        <v>36</v>
      </c>
      <c r="B2568" s="75" t="s">
        <v>1006</v>
      </c>
      <c r="C2568" s="75">
        <v>3.7</v>
      </c>
      <c r="D2568" s="75">
        <v>0.0</v>
      </c>
      <c r="E2568" s="75">
        <v>0.0</v>
      </c>
      <c r="F2568" s="75" t="s">
        <v>997</v>
      </c>
      <c r="G2568" s="82">
        <v>46112.0</v>
      </c>
      <c r="H2568" s="76" t="s">
        <v>927</v>
      </c>
      <c r="I2568" s="83"/>
      <c r="J2568" s="83"/>
      <c r="K2568" s="83"/>
      <c r="L2568" s="83"/>
      <c r="M2568" s="83"/>
      <c r="N2568" s="83"/>
      <c r="O2568" s="83"/>
      <c r="P2568" s="83"/>
      <c r="Q2568" s="83"/>
      <c r="R2568" s="83"/>
      <c r="S2568" s="83"/>
      <c r="T2568" s="83"/>
      <c r="U2568" s="83"/>
      <c r="V2568" s="83"/>
      <c r="W2568" s="83"/>
      <c r="X2568" s="83"/>
      <c r="Y2568" s="83"/>
      <c r="Z2568" s="83"/>
    </row>
    <row r="2569">
      <c r="A2569" s="75" t="s">
        <v>36</v>
      </c>
      <c r="B2569" s="75" t="s">
        <v>1006</v>
      </c>
      <c r="C2569" s="75">
        <v>4.48</v>
      </c>
      <c r="D2569" s="75">
        <v>1.0</v>
      </c>
      <c r="E2569" s="75">
        <v>4.48</v>
      </c>
      <c r="F2569" s="75" t="s">
        <v>997</v>
      </c>
      <c r="G2569" s="82">
        <v>46112.0</v>
      </c>
      <c r="H2569" s="76" t="s">
        <v>928</v>
      </c>
      <c r="I2569" s="83"/>
      <c r="J2569" s="83"/>
      <c r="K2569" s="83"/>
      <c r="L2569" s="83"/>
      <c r="M2569" s="83"/>
      <c r="N2569" s="83"/>
      <c r="O2569" s="83"/>
      <c r="P2569" s="83"/>
      <c r="Q2569" s="83"/>
      <c r="R2569" s="83"/>
      <c r="S2569" s="83"/>
      <c r="T2569" s="83"/>
      <c r="U2569" s="83"/>
      <c r="V2569" s="83"/>
      <c r="W2569" s="83"/>
      <c r="X2569" s="83"/>
      <c r="Y2569" s="83"/>
      <c r="Z2569" s="83"/>
    </row>
    <row r="2570">
      <c r="A2570" s="75" t="s">
        <v>31</v>
      </c>
      <c r="B2570" s="75" t="s">
        <v>1006</v>
      </c>
      <c r="C2570" s="75">
        <v>101.0</v>
      </c>
      <c r="D2570" s="75">
        <v>16.0</v>
      </c>
      <c r="E2570" s="75">
        <v>6.31</v>
      </c>
      <c r="F2570" s="75" t="s">
        <v>997</v>
      </c>
      <c r="G2570" s="82">
        <v>46112.0</v>
      </c>
      <c r="H2570" s="76" t="s">
        <v>929</v>
      </c>
      <c r="I2570" s="83"/>
      <c r="J2570" s="83"/>
      <c r="K2570" s="83"/>
      <c r="L2570" s="83"/>
      <c r="M2570" s="83"/>
      <c r="N2570" s="83"/>
      <c r="O2570" s="83"/>
      <c r="P2570" s="83"/>
      <c r="Q2570" s="83"/>
      <c r="R2570" s="83"/>
      <c r="S2570" s="83"/>
      <c r="T2570" s="83"/>
      <c r="U2570" s="83"/>
      <c r="V2570" s="83"/>
      <c r="W2570" s="83"/>
      <c r="X2570" s="83"/>
      <c r="Y2570" s="83"/>
      <c r="Z2570" s="83"/>
    </row>
    <row r="2571">
      <c r="A2571" s="75" t="s">
        <v>31</v>
      </c>
      <c r="B2571" s="75" t="s">
        <v>1006</v>
      </c>
      <c r="C2571" s="75">
        <v>217.53</v>
      </c>
      <c r="D2571" s="75">
        <v>59.0</v>
      </c>
      <c r="E2571" s="75">
        <v>3.69</v>
      </c>
      <c r="F2571" s="75" t="s">
        <v>997</v>
      </c>
      <c r="G2571" s="82">
        <v>46112.0</v>
      </c>
      <c r="H2571" s="76" t="s">
        <v>930</v>
      </c>
      <c r="I2571" s="83"/>
      <c r="J2571" s="83"/>
      <c r="K2571" s="83"/>
      <c r="L2571" s="83"/>
      <c r="M2571" s="83"/>
      <c r="N2571" s="83"/>
      <c r="O2571" s="83"/>
      <c r="P2571" s="83"/>
      <c r="Q2571" s="83"/>
      <c r="R2571" s="83"/>
      <c r="S2571" s="83"/>
      <c r="T2571" s="83"/>
      <c r="U2571" s="83"/>
      <c r="V2571" s="83"/>
      <c r="W2571" s="83"/>
      <c r="X2571" s="83"/>
      <c r="Y2571" s="83"/>
      <c r="Z2571" s="83"/>
    </row>
    <row r="2572">
      <c r="A2572" s="75" t="s">
        <v>28</v>
      </c>
      <c r="B2572" s="75" t="s">
        <v>1006</v>
      </c>
      <c r="C2572" s="75">
        <v>5.58</v>
      </c>
      <c r="D2572" s="75">
        <v>0.0</v>
      </c>
      <c r="E2572" s="75">
        <v>0.0</v>
      </c>
      <c r="F2572" s="75" t="s">
        <v>997</v>
      </c>
      <c r="G2572" s="82">
        <v>46112.0</v>
      </c>
      <c r="H2572" s="76" t="s">
        <v>931</v>
      </c>
      <c r="I2572" s="83"/>
      <c r="J2572" s="83"/>
      <c r="K2572" s="83"/>
      <c r="L2572" s="83"/>
      <c r="M2572" s="83"/>
      <c r="N2572" s="83"/>
      <c r="O2572" s="83"/>
      <c r="P2572" s="83"/>
      <c r="Q2572" s="83"/>
      <c r="R2572" s="83"/>
      <c r="S2572" s="83"/>
      <c r="T2572" s="83"/>
      <c r="U2572" s="83"/>
      <c r="V2572" s="83"/>
      <c r="W2572" s="83"/>
      <c r="X2572" s="83"/>
      <c r="Y2572" s="83"/>
      <c r="Z2572" s="83"/>
    </row>
    <row r="2573">
      <c r="A2573" s="75" t="s">
        <v>28</v>
      </c>
      <c r="B2573" s="75" t="s">
        <v>1006</v>
      </c>
      <c r="C2573" s="75">
        <v>5.06</v>
      </c>
      <c r="D2573" s="75">
        <v>0.0</v>
      </c>
      <c r="E2573" s="75">
        <v>0.0</v>
      </c>
      <c r="F2573" s="75" t="s">
        <v>997</v>
      </c>
      <c r="G2573" s="82">
        <v>46112.0</v>
      </c>
      <c r="H2573" s="76" t="s">
        <v>932</v>
      </c>
      <c r="I2573" s="83"/>
      <c r="J2573" s="83"/>
      <c r="K2573" s="83"/>
      <c r="L2573" s="83"/>
      <c r="M2573" s="83"/>
      <c r="N2573" s="83"/>
      <c r="O2573" s="83"/>
      <c r="P2573" s="83"/>
      <c r="Q2573" s="83"/>
      <c r="R2573" s="83"/>
      <c r="S2573" s="83"/>
      <c r="T2573" s="83"/>
      <c r="U2573" s="83"/>
      <c r="V2573" s="83"/>
      <c r="W2573" s="83"/>
      <c r="X2573" s="83"/>
      <c r="Y2573" s="83"/>
      <c r="Z2573" s="83"/>
    </row>
    <row r="2574">
      <c r="A2574" s="75" t="s">
        <v>28</v>
      </c>
      <c r="B2574" s="75" t="s">
        <v>1006</v>
      </c>
      <c r="C2574" s="75">
        <v>92.51</v>
      </c>
      <c r="D2574" s="75">
        <v>1.0</v>
      </c>
      <c r="E2574" s="75">
        <v>92.51</v>
      </c>
      <c r="F2574" s="75" t="s">
        <v>997</v>
      </c>
      <c r="G2574" s="82">
        <v>46112.0</v>
      </c>
      <c r="H2574" s="76" t="s">
        <v>933</v>
      </c>
      <c r="I2574" s="83"/>
      <c r="J2574" s="83"/>
      <c r="K2574" s="83"/>
      <c r="L2574" s="83"/>
      <c r="M2574" s="83"/>
      <c r="N2574" s="83"/>
      <c r="O2574" s="83"/>
      <c r="P2574" s="83"/>
      <c r="Q2574" s="83"/>
      <c r="R2574" s="83"/>
      <c r="S2574" s="83"/>
      <c r="T2574" s="83"/>
      <c r="U2574" s="83"/>
      <c r="V2574" s="83"/>
      <c r="W2574" s="83"/>
      <c r="X2574" s="83"/>
      <c r="Y2574" s="83"/>
      <c r="Z2574" s="83"/>
    </row>
    <row r="2575">
      <c r="A2575" s="75" t="s">
        <v>42</v>
      </c>
      <c r="B2575" s="75" t="s">
        <v>1006</v>
      </c>
      <c r="C2575" s="75">
        <v>1.67</v>
      </c>
      <c r="D2575" s="75">
        <v>0.0</v>
      </c>
      <c r="E2575" s="75">
        <v>0.0</v>
      </c>
      <c r="F2575" s="75" t="s">
        <v>997</v>
      </c>
      <c r="G2575" s="82">
        <v>46112.0</v>
      </c>
      <c r="H2575" s="76" t="s">
        <v>991</v>
      </c>
      <c r="I2575" s="83"/>
      <c r="J2575" s="83"/>
      <c r="K2575" s="83"/>
      <c r="L2575" s="83"/>
      <c r="M2575" s="83"/>
      <c r="N2575" s="83"/>
      <c r="O2575" s="83"/>
      <c r="P2575" s="83"/>
      <c r="Q2575" s="83"/>
      <c r="R2575" s="83"/>
      <c r="S2575" s="83"/>
      <c r="T2575" s="83"/>
      <c r="U2575" s="83"/>
      <c r="V2575" s="83"/>
      <c r="W2575" s="83"/>
      <c r="X2575" s="83"/>
      <c r="Y2575" s="83"/>
      <c r="Z2575" s="83"/>
    </row>
    <row r="2576">
      <c r="A2576" s="75" t="s">
        <v>42</v>
      </c>
      <c r="B2576" s="75" t="s">
        <v>1006</v>
      </c>
      <c r="C2576" s="75">
        <v>19.4</v>
      </c>
      <c r="D2576" s="75">
        <v>0.0</v>
      </c>
      <c r="E2576" s="75">
        <v>0.0</v>
      </c>
      <c r="F2576" s="75" t="s">
        <v>997</v>
      </c>
      <c r="G2576" s="82">
        <v>46112.0</v>
      </c>
      <c r="H2576" s="76" t="s">
        <v>935</v>
      </c>
      <c r="I2576" s="83"/>
      <c r="J2576" s="83"/>
      <c r="K2576" s="83"/>
      <c r="L2576" s="83"/>
      <c r="M2576" s="83"/>
      <c r="N2576" s="83"/>
      <c r="O2576" s="83"/>
      <c r="P2576" s="83"/>
      <c r="Q2576" s="83"/>
      <c r="R2576" s="83"/>
      <c r="S2576" s="83"/>
      <c r="T2576" s="83"/>
      <c r="U2576" s="83"/>
      <c r="V2576" s="83"/>
      <c r="W2576" s="83"/>
      <c r="X2576" s="83"/>
      <c r="Y2576" s="83"/>
      <c r="Z2576" s="83"/>
    </row>
    <row r="2577">
      <c r="A2577" s="75" t="s">
        <v>45</v>
      </c>
      <c r="B2577" s="75" t="s">
        <v>1006</v>
      </c>
      <c r="C2577" s="75">
        <v>6.07</v>
      </c>
      <c r="D2577" s="75">
        <v>1.0</v>
      </c>
      <c r="E2577" s="75">
        <v>6.07</v>
      </c>
      <c r="F2577" s="75" t="s">
        <v>997</v>
      </c>
      <c r="G2577" s="82">
        <v>46112.0</v>
      </c>
      <c r="H2577" s="76" t="s">
        <v>936</v>
      </c>
      <c r="I2577" s="83"/>
      <c r="J2577" s="83"/>
      <c r="K2577" s="83"/>
      <c r="L2577" s="83"/>
      <c r="M2577" s="83"/>
      <c r="N2577" s="83"/>
      <c r="O2577" s="83"/>
      <c r="P2577" s="83"/>
      <c r="Q2577" s="83"/>
      <c r="R2577" s="83"/>
      <c r="S2577" s="83"/>
      <c r="T2577" s="83"/>
      <c r="U2577" s="83"/>
      <c r="V2577" s="83"/>
      <c r="W2577" s="83"/>
      <c r="X2577" s="83"/>
      <c r="Y2577" s="83"/>
      <c r="Z2577" s="83"/>
    </row>
    <row r="2578">
      <c r="A2578" s="75" t="s">
        <v>45</v>
      </c>
      <c r="B2578" s="75" t="s">
        <v>1006</v>
      </c>
      <c r="C2578" s="75">
        <v>7.47</v>
      </c>
      <c r="D2578" s="75">
        <v>0.0</v>
      </c>
      <c r="E2578" s="75">
        <v>0.0</v>
      </c>
      <c r="F2578" s="75" t="s">
        <v>997</v>
      </c>
      <c r="G2578" s="82">
        <v>46112.0</v>
      </c>
      <c r="H2578" s="76" t="s">
        <v>937</v>
      </c>
      <c r="I2578" s="83"/>
      <c r="J2578" s="83"/>
      <c r="K2578" s="83"/>
      <c r="L2578" s="83"/>
      <c r="M2578" s="83"/>
      <c r="N2578" s="83"/>
      <c r="O2578" s="83"/>
      <c r="P2578" s="83"/>
      <c r="Q2578" s="83"/>
      <c r="R2578" s="83"/>
      <c r="S2578" s="83"/>
      <c r="T2578" s="83"/>
      <c r="U2578" s="83"/>
      <c r="V2578" s="83"/>
      <c r="W2578" s="83"/>
      <c r="X2578" s="83"/>
      <c r="Y2578" s="83"/>
      <c r="Z2578" s="83"/>
    </row>
    <row r="2579">
      <c r="A2579" s="75" t="s">
        <v>45</v>
      </c>
      <c r="B2579" s="75" t="s">
        <v>1006</v>
      </c>
      <c r="C2579" s="75">
        <v>9.84</v>
      </c>
      <c r="D2579" s="75">
        <v>0.0</v>
      </c>
      <c r="E2579" s="75">
        <v>0.0</v>
      </c>
      <c r="F2579" s="75" t="s">
        <v>997</v>
      </c>
      <c r="G2579" s="82">
        <v>46112.0</v>
      </c>
      <c r="H2579" s="76" t="s">
        <v>938</v>
      </c>
      <c r="I2579" s="83"/>
      <c r="J2579" s="83"/>
      <c r="K2579" s="83"/>
      <c r="L2579" s="83"/>
      <c r="M2579" s="83"/>
      <c r="N2579" s="83"/>
      <c r="O2579" s="83"/>
      <c r="P2579" s="83"/>
      <c r="Q2579" s="83"/>
      <c r="R2579" s="83"/>
      <c r="S2579" s="83"/>
      <c r="T2579" s="83"/>
      <c r="U2579" s="83"/>
      <c r="V2579" s="83"/>
      <c r="W2579" s="83"/>
      <c r="X2579" s="83"/>
      <c r="Y2579" s="83"/>
      <c r="Z2579" s="83"/>
    </row>
    <row r="2580">
      <c r="A2580" s="75" t="s">
        <v>50</v>
      </c>
      <c r="B2580" s="75" t="s">
        <v>1006</v>
      </c>
      <c r="C2580" s="75">
        <v>8.26</v>
      </c>
      <c r="D2580" s="75">
        <v>0.0</v>
      </c>
      <c r="E2580" s="75">
        <v>0.0</v>
      </c>
      <c r="F2580" s="75" t="s">
        <v>997</v>
      </c>
      <c r="G2580" s="82">
        <v>46112.0</v>
      </c>
      <c r="H2580" s="76" t="s">
        <v>939</v>
      </c>
      <c r="I2580" s="83"/>
      <c r="J2580" s="83"/>
      <c r="K2580" s="83"/>
      <c r="L2580" s="83"/>
      <c r="M2580" s="83"/>
      <c r="N2580" s="83"/>
      <c r="O2580" s="83"/>
      <c r="P2580" s="83"/>
      <c r="Q2580" s="83"/>
      <c r="R2580" s="83"/>
      <c r="S2580" s="83"/>
      <c r="T2580" s="83"/>
      <c r="U2580" s="83"/>
      <c r="V2580" s="83"/>
      <c r="W2580" s="83"/>
      <c r="X2580" s="83"/>
      <c r="Y2580" s="83"/>
      <c r="Z2580" s="83"/>
    </row>
    <row r="2581">
      <c r="A2581" s="75" t="s">
        <v>50</v>
      </c>
      <c r="B2581" s="75" t="s">
        <v>1006</v>
      </c>
      <c r="C2581" s="75">
        <v>3.77</v>
      </c>
      <c r="D2581" s="75">
        <v>0.0</v>
      </c>
      <c r="E2581" s="75">
        <v>0.0</v>
      </c>
      <c r="F2581" s="75" t="s">
        <v>997</v>
      </c>
      <c r="G2581" s="82">
        <v>46112.0</v>
      </c>
      <c r="H2581" s="76" t="s">
        <v>940</v>
      </c>
      <c r="I2581" s="83"/>
      <c r="J2581" s="83"/>
      <c r="K2581" s="83"/>
      <c r="L2581" s="83"/>
      <c r="M2581" s="83"/>
      <c r="N2581" s="83"/>
      <c r="O2581" s="83"/>
      <c r="P2581" s="83"/>
      <c r="Q2581" s="83"/>
      <c r="R2581" s="83"/>
      <c r="S2581" s="83"/>
      <c r="T2581" s="83"/>
      <c r="U2581" s="83"/>
      <c r="V2581" s="83"/>
      <c r="W2581" s="83"/>
      <c r="X2581" s="83"/>
      <c r="Y2581" s="83"/>
      <c r="Z2581" s="83"/>
    </row>
    <row r="2582">
      <c r="A2582" s="75" t="s">
        <v>32</v>
      </c>
      <c r="B2582" s="75" t="s">
        <v>1006</v>
      </c>
      <c r="C2582" s="75">
        <v>56.49</v>
      </c>
      <c r="D2582" s="75">
        <v>23.0</v>
      </c>
      <c r="E2582" s="75">
        <v>2.46</v>
      </c>
      <c r="F2582" s="75" t="s">
        <v>997</v>
      </c>
      <c r="G2582" s="82">
        <v>46112.0</v>
      </c>
      <c r="H2582" s="76" t="s">
        <v>941</v>
      </c>
      <c r="I2582" s="83"/>
      <c r="J2582" s="83"/>
      <c r="K2582" s="83"/>
      <c r="L2582" s="83"/>
      <c r="M2582" s="83"/>
      <c r="N2582" s="83"/>
      <c r="O2582" s="83"/>
      <c r="P2582" s="83"/>
      <c r="Q2582" s="83"/>
      <c r="R2582" s="83"/>
      <c r="S2582" s="83"/>
      <c r="T2582" s="83"/>
      <c r="U2582" s="83"/>
      <c r="V2582" s="83"/>
      <c r="W2582" s="83"/>
      <c r="X2582" s="83"/>
      <c r="Y2582" s="83"/>
      <c r="Z2582" s="83"/>
    </row>
    <row r="2583">
      <c r="A2583" s="75" t="s">
        <v>32</v>
      </c>
      <c r="B2583" s="75" t="s">
        <v>1006</v>
      </c>
      <c r="C2583" s="75">
        <v>25.87</v>
      </c>
      <c r="D2583" s="75">
        <v>13.0</v>
      </c>
      <c r="E2583" s="75">
        <v>1.99</v>
      </c>
      <c r="F2583" s="75" t="s">
        <v>997</v>
      </c>
      <c r="G2583" s="82">
        <v>46112.0</v>
      </c>
      <c r="H2583" s="76" t="s">
        <v>942</v>
      </c>
      <c r="I2583" s="83"/>
      <c r="J2583" s="83"/>
      <c r="K2583" s="83"/>
      <c r="L2583" s="83"/>
      <c r="M2583" s="83"/>
      <c r="N2583" s="83"/>
      <c r="O2583" s="83"/>
      <c r="P2583" s="83"/>
      <c r="Q2583" s="83"/>
      <c r="R2583" s="83"/>
      <c r="S2583" s="83"/>
      <c r="T2583" s="83"/>
      <c r="U2583" s="83"/>
      <c r="V2583" s="83"/>
      <c r="W2583" s="83"/>
      <c r="X2583" s="83"/>
      <c r="Y2583" s="83"/>
      <c r="Z2583" s="83"/>
    </row>
    <row r="2584">
      <c r="A2584" s="75" t="s">
        <v>32</v>
      </c>
      <c r="B2584" s="75" t="s">
        <v>1006</v>
      </c>
      <c r="C2584" s="75">
        <v>52.56</v>
      </c>
      <c r="D2584" s="75">
        <v>43.0</v>
      </c>
      <c r="E2584" s="75">
        <v>1.22</v>
      </c>
      <c r="F2584" s="75" t="s">
        <v>997</v>
      </c>
      <c r="G2584" s="82">
        <v>46112.0</v>
      </c>
      <c r="H2584" s="76" t="s">
        <v>943</v>
      </c>
      <c r="I2584" s="83"/>
      <c r="J2584" s="83"/>
      <c r="K2584" s="83"/>
      <c r="L2584" s="83"/>
      <c r="M2584" s="83"/>
      <c r="N2584" s="83"/>
      <c r="O2584" s="83"/>
      <c r="P2584" s="83"/>
      <c r="Q2584" s="83"/>
      <c r="R2584" s="83"/>
      <c r="S2584" s="83"/>
      <c r="T2584" s="83"/>
      <c r="U2584" s="83"/>
      <c r="V2584" s="83"/>
      <c r="W2584" s="83"/>
      <c r="X2584" s="83"/>
      <c r="Y2584" s="83"/>
      <c r="Z2584" s="83"/>
    </row>
    <row r="2585">
      <c r="A2585" s="75" t="s">
        <v>944</v>
      </c>
      <c r="B2585" s="75" t="s">
        <v>1006</v>
      </c>
      <c r="C2585" s="75">
        <v>22.25</v>
      </c>
      <c r="D2585" s="75">
        <v>0.0</v>
      </c>
      <c r="E2585" s="75">
        <v>0.0</v>
      </c>
      <c r="F2585" s="75" t="s">
        <v>997</v>
      </c>
      <c r="G2585" s="82">
        <v>46112.0</v>
      </c>
      <c r="H2585" s="76" t="s">
        <v>945</v>
      </c>
      <c r="I2585" s="83"/>
      <c r="J2585" s="83"/>
      <c r="K2585" s="83"/>
      <c r="L2585" s="83"/>
      <c r="M2585" s="83"/>
      <c r="N2585" s="83"/>
      <c r="O2585" s="83"/>
      <c r="P2585" s="83"/>
      <c r="Q2585" s="83"/>
      <c r="R2585" s="83"/>
      <c r="S2585" s="83"/>
      <c r="T2585" s="83"/>
      <c r="U2585" s="83"/>
      <c r="V2585" s="83"/>
      <c r="W2585" s="83"/>
      <c r="X2585" s="83"/>
      <c r="Y2585" s="83"/>
      <c r="Z2585" s="83"/>
    </row>
    <row r="2586">
      <c r="A2586" s="75" t="s">
        <v>944</v>
      </c>
      <c r="B2586" s="75" t="s">
        <v>1006</v>
      </c>
      <c r="C2586" s="75">
        <v>3.73</v>
      </c>
      <c r="D2586" s="75">
        <v>0.0</v>
      </c>
      <c r="E2586" s="75">
        <v>0.0</v>
      </c>
      <c r="F2586" s="75" t="s">
        <v>997</v>
      </c>
      <c r="G2586" s="82">
        <v>46112.0</v>
      </c>
      <c r="H2586" s="76" t="s">
        <v>946</v>
      </c>
      <c r="I2586" s="83"/>
      <c r="J2586" s="83"/>
      <c r="K2586" s="83"/>
      <c r="L2586" s="83"/>
      <c r="M2586" s="83"/>
      <c r="N2586" s="83"/>
      <c r="O2586" s="83"/>
      <c r="P2586" s="83"/>
      <c r="Q2586" s="83"/>
      <c r="R2586" s="83"/>
      <c r="S2586" s="83"/>
      <c r="T2586" s="83"/>
      <c r="U2586" s="83"/>
      <c r="V2586" s="83"/>
      <c r="W2586" s="83"/>
      <c r="X2586" s="83"/>
      <c r="Y2586" s="83"/>
      <c r="Z2586" s="83"/>
    </row>
    <row r="2587">
      <c r="A2587" s="75" t="s">
        <v>944</v>
      </c>
      <c r="B2587" s="75" t="s">
        <v>1006</v>
      </c>
      <c r="C2587" s="75">
        <v>17.16</v>
      </c>
      <c r="D2587" s="75">
        <v>3.0</v>
      </c>
      <c r="E2587" s="75">
        <v>5.72</v>
      </c>
      <c r="F2587" s="75" t="s">
        <v>997</v>
      </c>
      <c r="G2587" s="82">
        <v>46112.0</v>
      </c>
      <c r="H2587" s="76" t="s">
        <v>947</v>
      </c>
      <c r="I2587" s="83"/>
      <c r="J2587" s="83"/>
      <c r="K2587" s="83"/>
      <c r="L2587" s="83"/>
      <c r="M2587" s="83"/>
      <c r="N2587" s="83"/>
      <c r="O2587" s="83"/>
      <c r="P2587" s="83"/>
      <c r="Q2587" s="83"/>
      <c r="R2587" s="83"/>
      <c r="S2587" s="83"/>
      <c r="T2587" s="83"/>
      <c r="U2587" s="83"/>
      <c r="V2587" s="83"/>
      <c r="W2587" s="83"/>
      <c r="X2587" s="83"/>
      <c r="Y2587" s="83"/>
      <c r="Z2587" s="83"/>
    </row>
    <row r="2588">
      <c r="A2588" s="75" t="s">
        <v>26</v>
      </c>
      <c r="B2588" s="75" t="s">
        <v>1006</v>
      </c>
      <c r="C2588" s="75">
        <v>5.65</v>
      </c>
      <c r="D2588" s="75">
        <v>1.0</v>
      </c>
      <c r="E2588" s="75">
        <v>5.65</v>
      </c>
      <c r="F2588" s="75" t="s">
        <v>997</v>
      </c>
      <c r="G2588" s="82">
        <v>46112.0</v>
      </c>
      <c r="H2588" s="76" t="s">
        <v>1012</v>
      </c>
      <c r="I2588" s="83"/>
      <c r="J2588" s="83"/>
      <c r="K2588" s="83"/>
      <c r="L2588" s="83"/>
      <c r="M2588" s="83"/>
      <c r="N2588" s="83"/>
      <c r="O2588" s="83"/>
      <c r="P2588" s="83"/>
      <c r="Q2588" s="83"/>
      <c r="R2588" s="83"/>
      <c r="S2588" s="83"/>
      <c r="T2588" s="83"/>
      <c r="U2588" s="83"/>
      <c r="V2588" s="83"/>
      <c r="W2588" s="83"/>
      <c r="X2588" s="83"/>
      <c r="Y2588" s="83"/>
      <c r="Z2588" s="83"/>
    </row>
    <row r="2589">
      <c r="A2589" s="75" t="s">
        <v>26</v>
      </c>
      <c r="B2589" s="75" t="s">
        <v>1006</v>
      </c>
      <c r="C2589" s="75">
        <v>23.02</v>
      </c>
      <c r="D2589" s="75">
        <v>0.0</v>
      </c>
      <c r="E2589" s="75">
        <v>0.0</v>
      </c>
      <c r="F2589" s="75" t="s">
        <v>997</v>
      </c>
      <c r="G2589" s="82">
        <v>46112.0</v>
      </c>
      <c r="H2589" s="76" t="s">
        <v>1013</v>
      </c>
      <c r="I2589" s="83"/>
      <c r="J2589" s="83"/>
      <c r="K2589" s="83"/>
      <c r="L2589" s="83"/>
      <c r="M2589" s="83"/>
      <c r="N2589" s="83"/>
      <c r="O2589" s="83"/>
      <c r="P2589" s="83"/>
      <c r="Q2589" s="83"/>
      <c r="R2589" s="83"/>
      <c r="S2589" s="83"/>
      <c r="T2589" s="83"/>
      <c r="U2589" s="83"/>
      <c r="V2589" s="83"/>
      <c r="W2589" s="83"/>
      <c r="X2589" s="83"/>
      <c r="Y2589" s="83"/>
      <c r="Z2589" s="83"/>
    </row>
    <row r="2590">
      <c r="A2590" s="75" t="s">
        <v>26</v>
      </c>
      <c r="B2590" s="75" t="s">
        <v>1006</v>
      </c>
      <c r="C2590" s="75">
        <v>8.55</v>
      </c>
      <c r="D2590" s="75">
        <v>0.0</v>
      </c>
      <c r="E2590" s="75">
        <v>0.0</v>
      </c>
      <c r="F2590" s="75" t="s">
        <v>997</v>
      </c>
      <c r="G2590" s="82">
        <v>46112.0</v>
      </c>
      <c r="H2590" s="76" t="s">
        <v>1014</v>
      </c>
      <c r="I2590" s="83"/>
      <c r="J2590" s="83"/>
      <c r="K2590" s="83"/>
      <c r="L2590" s="83"/>
      <c r="M2590" s="83"/>
      <c r="N2590" s="83"/>
      <c r="O2590" s="83"/>
      <c r="P2590" s="83"/>
      <c r="Q2590" s="83"/>
      <c r="R2590" s="83"/>
      <c r="S2590" s="83"/>
      <c r="T2590" s="83"/>
      <c r="U2590" s="83"/>
      <c r="V2590" s="83"/>
      <c r="W2590" s="83"/>
      <c r="X2590" s="83"/>
      <c r="Y2590" s="83"/>
      <c r="Z2590" s="83"/>
    </row>
    <row r="2591">
      <c r="A2591" s="75" t="s">
        <v>36</v>
      </c>
      <c r="B2591" s="75" t="s">
        <v>1006</v>
      </c>
      <c r="C2591" s="75">
        <v>0.05</v>
      </c>
      <c r="D2591" s="75">
        <v>0.0</v>
      </c>
      <c r="E2591" s="75">
        <v>0.0</v>
      </c>
      <c r="F2591" s="75" t="s">
        <v>998</v>
      </c>
      <c r="G2591" s="82">
        <v>46112.0</v>
      </c>
      <c r="H2591" s="76" t="s">
        <v>926</v>
      </c>
      <c r="I2591" s="83"/>
      <c r="J2591" s="83"/>
      <c r="K2591" s="83"/>
      <c r="L2591" s="83"/>
      <c r="M2591" s="83"/>
      <c r="N2591" s="83"/>
      <c r="O2591" s="83"/>
      <c r="P2591" s="83"/>
      <c r="Q2591" s="83"/>
      <c r="R2591" s="83"/>
      <c r="S2591" s="83"/>
      <c r="T2591" s="83"/>
      <c r="U2591" s="83"/>
      <c r="V2591" s="83"/>
      <c r="W2591" s="83"/>
      <c r="X2591" s="83"/>
      <c r="Y2591" s="83"/>
      <c r="Z2591" s="83"/>
    </row>
    <row r="2592">
      <c r="A2592" s="75" t="s">
        <v>36</v>
      </c>
      <c r="B2592" s="75" t="s">
        <v>1006</v>
      </c>
      <c r="C2592" s="75">
        <v>0.03</v>
      </c>
      <c r="D2592" s="75">
        <v>0.0</v>
      </c>
      <c r="E2592" s="75">
        <v>0.0</v>
      </c>
      <c r="F2592" s="75" t="s">
        <v>998</v>
      </c>
      <c r="G2592" s="82">
        <v>46112.0</v>
      </c>
      <c r="H2592" s="76" t="s">
        <v>927</v>
      </c>
      <c r="I2592" s="83"/>
      <c r="J2592" s="83"/>
      <c r="K2592" s="83"/>
      <c r="L2592" s="83"/>
      <c r="M2592" s="83"/>
      <c r="N2592" s="83"/>
      <c r="O2592" s="83"/>
      <c r="P2592" s="83"/>
      <c r="Q2592" s="83"/>
      <c r="R2592" s="83"/>
      <c r="S2592" s="83"/>
      <c r="T2592" s="83"/>
      <c r="U2592" s="83"/>
      <c r="V2592" s="83"/>
      <c r="W2592" s="83"/>
      <c r="X2592" s="83"/>
      <c r="Y2592" s="83"/>
      <c r="Z2592" s="83"/>
    </row>
    <row r="2593">
      <c r="A2593" s="75" t="s">
        <v>36</v>
      </c>
      <c r="B2593" s="75" t="s">
        <v>1006</v>
      </c>
      <c r="C2593" s="75">
        <v>0.15</v>
      </c>
      <c r="D2593" s="75">
        <v>0.0</v>
      </c>
      <c r="E2593" s="75">
        <v>0.0</v>
      </c>
      <c r="F2593" s="75" t="s">
        <v>998</v>
      </c>
      <c r="G2593" s="82">
        <v>46112.0</v>
      </c>
      <c r="H2593" s="76" t="s">
        <v>928</v>
      </c>
      <c r="I2593" s="83"/>
      <c r="J2593" s="83"/>
      <c r="K2593" s="83"/>
      <c r="L2593" s="83"/>
      <c r="M2593" s="83"/>
      <c r="N2593" s="83"/>
      <c r="O2593" s="83"/>
      <c r="P2593" s="83"/>
      <c r="Q2593" s="83"/>
      <c r="R2593" s="83"/>
      <c r="S2593" s="83"/>
      <c r="T2593" s="83"/>
      <c r="U2593" s="83"/>
      <c r="V2593" s="83"/>
      <c r="W2593" s="83"/>
      <c r="X2593" s="83"/>
      <c r="Y2593" s="83"/>
      <c r="Z2593" s="83"/>
    </row>
    <row r="2594">
      <c r="A2594" s="75" t="s">
        <v>31</v>
      </c>
      <c r="B2594" s="75" t="s">
        <v>1006</v>
      </c>
      <c r="C2594" s="75">
        <v>0.41</v>
      </c>
      <c r="D2594" s="75">
        <v>0.0</v>
      </c>
      <c r="E2594" s="75">
        <v>0.0</v>
      </c>
      <c r="F2594" s="75" t="s">
        <v>998</v>
      </c>
      <c r="G2594" s="82">
        <v>46112.0</v>
      </c>
      <c r="H2594" s="76" t="s">
        <v>929</v>
      </c>
      <c r="I2594" s="83"/>
      <c r="J2594" s="83"/>
      <c r="K2594" s="83"/>
      <c r="L2594" s="83"/>
      <c r="M2594" s="83"/>
      <c r="N2594" s="83"/>
      <c r="O2594" s="83"/>
      <c r="P2594" s="83"/>
      <c r="Q2594" s="83"/>
      <c r="R2594" s="83"/>
      <c r="S2594" s="83"/>
      <c r="T2594" s="83"/>
      <c r="U2594" s="83"/>
      <c r="V2594" s="83"/>
      <c r="W2594" s="83"/>
      <c r="X2594" s="83"/>
      <c r="Y2594" s="83"/>
      <c r="Z2594" s="83"/>
    </row>
    <row r="2595">
      <c r="A2595" s="75" t="s">
        <v>28</v>
      </c>
      <c r="B2595" s="75" t="s">
        <v>1006</v>
      </c>
      <c r="C2595" s="75">
        <v>0.02</v>
      </c>
      <c r="D2595" s="75">
        <v>0.0</v>
      </c>
      <c r="E2595" s="75">
        <v>0.0</v>
      </c>
      <c r="F2595" s="75" t="s">
        <v>998</v>
      </c>
      <c r="G2595" s="82">
        <v>46112.0</v>
      </c>
      <c r="H2595" s="76" t="s">
        <v>931</v>
      </c>
      <c r="I2595" s="83"/>
      <c r="J2595" s="83"/>
      <c r="K2595" s="83"/>
      <c r="L2595" s="83"/>
      <c r="M2595" s="83"/>
      <c r="N2595" s="83"/>
      <c r="O2595" s="83"/>
      <c r="P2595" s="83"/>
      <c r="Q2595" s="83"/>
      <c r="R2595" s="83"/>
      <c r="S2595" s="83"/>
      <c r="T2595" s="83"/>
      <c r="U2595" s="83"/>
      <c r="V2595" s="83"/>
      <c r="W2595" s="83"/>
      <c r="X2595" s="83"/>
      <c r="Y2595" s="83"/>
      <c r="Z2595" s="83"/>
    </row>
    <row r="2596">
      <c r="A2596" s="75" t="s">
        <v>28</v>
      </c>
      <c r="B2596" s="75" t="s">
        <v>1006</v>
      </c>
      <c r="C2596" s="75">
        <v>0.16</v>
      </c>
      <c r="D2596" s="75">
        <v>0.0</v>
      </c>
      <c r="E2596" s="75">
        <v>0.0</v>
      </c>
      <c r="F2596" s="75" t="s">
        <v>998</v>
      </c>
      <c r="G2596" s="82">
        <v>46112.0</v>
      </c>
      <c r="H2596" s="76" t="s">
        <v>932</v>
      </c>
      <c r="I2596" s="83"/>
      <c r="J2596" s="83"/>
      <c r="K2596" s="83"/>
      <c r="L2596" s="83"/>
      <c r="M2596" s="83"/>
      <c r="N2596" s="83"/>
      <c r="O2596" s="83"/>
      <c r="P2596" s="83"/>
      <c r="Q2596" s="83"/>
      <c r="R2596" s="83"/>
      <c r="S2596" s="83"/>
      <c r="T2596" s="83"/>
      <c r="U2596" s="83"/>
      <c r="V2596" s="83"/>
      <c r="W2596" s="83"/>
      <c r="X2596" s="83"/>
      <c r="Y2596" s="83"/>
      <c r="Z2596" s="83"/>
    </row>
    <row r="2597">
      <c r="A2597" s="75" t="s">
        <v>28</v>
      </c>
      <c r="B2597" s="75" t="s">
        <v>1006</v>
      </c>
      <c r="C2597" s="75">
        <v>0.01</v>
      </c>
      <c r="D2597" s="75">
        <v>0.0</v>
      </c>
      <c r="E2597" s="75">
        <v>0.0</v>
      </c>
      <c r="F2597" s="75" t="s">
        <v>998</v>
      </c>
      <c r="G2597" s="82">
        <v>46112.0</v>
      </c>
      <c r="H2597" s="76" t="s">
        <v>933</v>
      </c>
      <c r="I2597" s="83"/>
      <c r="J2597" s="83"/>
      <c r="K2597" s="83"/>
      <c r="L2597" s="83"/>
      <c r="M2597" s="83"/>
      <c r="N2597" s="83"/>
      <c r="O2597" s="83"/>
      <c r="P2597" s="83"/>
      <c r="Q2597" s="83"/>
      <c r="R2597" s="83"/>
      <c r="S2597" s="83"/>
      <c r="T2597" s="83"/>
      <c r="U2597" s="83"/>
      <c r="V2597" s="83"/>
      <c r="W2597" s="83"/>
      <c r="X2597" s="83"/>
      <c r="Y2597" s="83"/>
      <c r="Z2597" s="83"/>
    </row>
    <row r="2598">
      <c r="A2598" s="75" t="s">
        <v>42</v>
      </c>
      <c r="B2598" s="75" t="s">
        <v>1006</v>
      </c>
      <c r="C2598" s="75">
        <v>0.15</v>
      </c>
      <c r="D2598" s="75">
        <v>0.0</v>
      </c>
      <c r="E2598" s="75">
        <v>0.0</v>
      </c>
      <c r="F2598" s="75" t="s">
        <v>998</v>
      </c>
      <c r="G2598" s="82">
        <v>46112.0</v>
      </c>
      <c r="H2598" s="76" t="s">
        <v>991</v>
      </c>
      <c r="I2598" s="83"/>
      <c r="J2598" s="83"/>
      <c r="K2598" s="83"/>
      <c r="L2598" s="83"/>
      <c r="M2598" s="83"/>
      <c r="N2598" s="83"/>
      <c r="O2598" s="83"/>
      <c r="P2598" s="83"/>
      <c r="Q2598" s="83"/>
      <c r="R2598" s="83"/>
      <c r="S2598" s="83"/>
      <c r="T2598" s="83"/>
      <c r="U2598" s="83"/>
      <c r="V2598" s="83"/>
      <c r="W2598" s="83"/>
      <c r="X2598" s="83"/>
      <c r="Y2598" s="83"/>
      <c r="Z2598" s="83"/>
    </row>
    <row r="2599">
      <c r="A2599" s="75" t="s">
        <v>45</v>
      </c>
      <c r="B2599" s="75" t="s">
        <v>1006</v>
      </c>
      <c r="C2599" s="75">
        <v>0.06</v>
      </c>
      <c r="D2599" s="75">
        <v>0.0</v>
      </c>
      <c r="E2599" s="75">
        <v>0.0</v>
      </c>
      <c r="F2599" s="75" t="s">
        <v>998</v>
      </c>
      <c r="G2599" s="82">
        <v>46112.0</v>
      </c>
      <c r="H2599" s="76" t="s">
        <v>936</v>
      </c>
      <c r="I2599" s="83"/>
      <c r="J2599" s="83"/>
      <c r="K2599" s="83"/>
      <c r="L2599" s="83"/>
      <c r="M2599" s="83"/>
      <c r="N2599" s="83"/>
      <c r="O2599" s="83"/>
      <c r="P2599" s="83"/>
      <c r="Q2599" s="83"/>
      <c r="R2599" s="83"/>
      <c r="S2599" s="83"/>
      <c r="T2599" s="83"/>
      <c r="U2599" s="83"/>
      <c r="V2599" s="83"/>
      <c r="W2599" s="83"/>
      <c r="X2599" s="83"/>
      <c r="Y2599" s="83"/>
      <c r="Z2599" s="83"/>
    </row>
    <row r="2600">
      <c r="A2600" s="75" t="s">
        <v>45</v>
      </c>
      <c r="B2600" s="75" t="s">
        <v>1006</v>
      </c>
      <c r="C2600" s="75">
        <v>0.27</v>
      </c>
      <c r="D2600" s="75">
        <v>0.0</v>
      </c>
      <c r="E2600" s="75">
        <v>0.0</v>
      </c>
      <c r="F2600" s="75" t="s">
        <v>998</v>
      </c>
      <c r="G2600" s="82">
        <v>46112.0</v>
      </c>
      <c r="H2600" s="76" t="s">
        <v>937</v>
      </c>
      <c r="I2600" s="83"/>
      <c r="J2600" s="83"/>
      <c r="K2600" s="83"/>
      <c r="L2600" s="83"/>
      <c r="M2600" s="83"/>
      <c r="N2600" s="83"/>
      <c r="O2600" s="83"/>
      <c r="P2600" s="83"/>
      <c r="Q2600" s="83"/>
      <c r="R2600" s="83"/>
      <c r="S2600" s="83"/>
      <c r="T2600" s="83"/>
      <c r="U2600" s="83"/>
      <c r="V2600" s="83"/>
      <c r="W2600" s="83"/>
      <c r="X2600" s="83"/>
      <c r="Y2600" s="83"/>
      <c r="Z2600" s="83"/>
    </row>
    <row r="2601">
      <c r="A2601" s="75" t="s">
        <v>45</v>
      </c>
      <c r="B2601" s="75" t="s">
        <v>1006</v>
      </c>
      <c r="C2601" s="75">
        <v>0.01</v>
      </c>
      <c r="D2601" s="75">
        <v>0.0</v>
      </c>
      <c r="E2601" s="75">
        <v>0.0</v>
      </c>
      <c r="F2601" s="75" t="s">
        <v>998</v>
      </c>
      <c r="G2601" s="82">
        <v>46112.0</v>
      </c>
      <c r="H2601" s="76" t="s">
        <v>938</v>
      </c>
      <c r="I2601" s="83"/>
      <c r="J2601" s="83"/>
      <c r="K2601" s="83"/>
      <c r="L2601" s="83"/>
      <c r="M2601" s="83"/>
      <c r="N2601" s="83"/>
      <c r="O2601" s="83"/>
      <c r="P2601" s="83"/>
      <c r="Q2601" s="83"/>
      <c r="R2601" s="83"/>
      <c r="S2601" s="83"/>
      <c r="T2601" s="83"/>
      <c r="U2601" s="83"/>
      <c r="V2601" s="83"/>
      <c r="W2601" s="83"/>
      <c r="X2601" s="83"/>
      <c r="Y2601" s="83"/>
      <c r="Z2601" s="83"/>
    </row>
    <row r="2602">
      <c r="A2602" s="75" t="s">
        <v>50</v>
      </c>
      <c r="B2602" s="75" t="s">
        <v>1006</v>
      </c>
      <c r="C2602" s="75">
        <v>0.96</v>
      </c>
      <c r="D2602" s="75">
        <v>0.0</v>
      </c>
      <c r="E2602" s="75">
        <v>0.0</v>
      </c>
      <c r="F2602" s="75" t="s">
        <v>998</v>
      </c>
      <c r="G2602" s="82">
        <v>46112.0</v>
      </c>
      <c r="H2602" s="76" t="s">
        <v>939</v>
      </c>
      <c r="I2602" s="83"/>
      <c r="J2602" s="83"/>
      <c r="K2602" s="83"/>
      <c r="L2602" s="83"/>
      <c r="M2602" s="83"/>
      <c r="N2602" s="83"/>
      <c r="O2602" s="83"/>
      <c r="P2602" s="83"/>
      <c r="Q2602" s="83"/>
      <c r="R2602" s="83"/>
      <c r="S2602" s="83"/>
      <c r="T2602" s="83"/>
      <c r="U2602" s="83"/>
      <c r="V2602" s="83"/>
      <c r="W2602" s="83"/>
      <c r="X2602" s="83"/>
      <c r="Y2602" s="83"/>
      <c r="Z2602" s="83"/>
    </row>
    <row r="2603">
      <c r="A2603" s="75" t="s">
        <v>50</v>
      </c>
      <c r="B2603" s="75" t="s">
        <v>1006</v>
      </c>
      <c r="C2603" s="75">
        <v>0.01</v>
      </c>
      <c r="D2603" s="75">
        <v>0.0</v>
      </c>
      <c r="E2603" s="75">
        <v>0.0</v>
      </c>
      <c r="F2603" s="75" t="s">
        <v>998</v>
      </c>
      <c r="G2603" s="82">
        <v>46112.0</v>
      </c>
      <c r="H2603" s="76" t="s">
        <v>940</v>
      </c>
      <c r="I2603" s="83"/>
      <c r="J2603" s="83"/>
      <c r="K2603" s="83"/>
      <c r="L2603" s="83"/>
      <c r="M2603" s="83"/>
      <c r="N2603" s="83"/>
      <c r="O2603" s="83"/>
      <c r="P2603" s="83"/>
      <c r="Q2603" s="83"/>
      <c r="R2603" s="83"/>
      <c r="S2603" s="83"/>
      <c r="T2603" s="83"/>
      <c r="U2603" s="83"/>
      <c r="V2603" s="83"/>
      <c r="W2603" s="83"/>
      <c r="X2603" s="83"/>
      <c r="Y2603" s="83"/>
      <c r="Z2603" s="83"/>
    </row>
    <row r="2604">
      <c r="A2604" s="75" t="s">
        <v>32</v>
      </c>
      <c r="B2604" s="75" t="s">
        <v>1006</v>
      </c>
      <c r="C2604" s="75">
        <v>0.77</v>
      </c>
      <c r="D2604" s="75">
        <v>0.0</v>
      </c>
      <c r="E2604" s="75">
        <v>0.0</v>
      </c>
      <c r="F2604" s="75" t="s">
        <v>998</v>
      </c>
      <c r="G2604" s="82">
        <v>46112.0</v>
      </c>
      <c r="H2604" s="76" t="s">
        <v>941</v>
      </c>
      <c r="I2604" s="83"/>
      <c r="J2604" s="83"/>
      <c r="K2604" s="83"/>
      <c r="L2604" s="83"/>
      <c r="M2604" s="83"/>
      <c r="N2604" s="83"/>
      <c r="O2604" s="83"/>
      <c r="P2604" s="83"/>
      <c r="Q2604" s="83"/>
      <c r="R2604" s="83"/>
      <c r="S2604" s="83"/>
      <c r="T2604" s="83"/>
      <c r="U2604" s="83"/>
      <c r="V2604" s="83"/>
      <c r="W2604" s="83"/>
      <c r="X2604" s="83"/>
      <c r="Y2604" s="83"/>
      <c r="Z2604" s="83"/>
    </row>
    <row r="2605">
      <c r="A2605" s="75" t="s">
        <v>32</v>
      </c>
      <c r="B2605" s="75" t="s">
        <v>1006</v>
      </c>
      <c r="C2605" s="75">
        <v>0.02</v>
      </c>
      <c r="D2605" s="75">
        <v>0.0</v>
      </c>
      <c r="E2605" s="75">
        <v>0.0</v>
      </c>
      <c r="F2605" s="75" t="s">
        <v>998</v>
      </c>
      <c r="G2605" s="82">
        <v>46112.0</v>
      </c>
      <c r="H2605" s="76" t="s">
        <v>942</v>
      </c>
      <c r="I2605" s="83"/>
      <c r="J2605" s="83"/>
      <c r="K2605" s="83"/>
      <c r="L2605" s="83"/>
      <c r="M2605" s="83"/>
      <c r="N2605" s="83"/>
      <c r="O2605" s="83"/>
      <c r="P2605" s="83"/>
      <c r="Q2605" s="83"/>
      <c r="R2605" s="83"/>
      <c r="S2605" s="83"/>
      <c r="T2605" s="83"/>
      <c r="U2605" s="83"/>
      <c r="V2605" s="83"/>
      <c r="W2605" s="83"/>
      <c r="X2605" s="83"/>
      <c r="Y2605" s="83"/>
      <c r="Z2605" s="83"/>
    </row>
    <row r="2606">
      <c r="A2606" s="75" t="s">
        <v>32</v>
      </c>
      <c r="B2606" s="75" t="s">
        <v>1006</v>
      </c>
      <c r="C2606" s="75">
        <v>0.01</v>
      </c>
      <c r="D2606" s="75">
        <v>0.0</v>
      </c>
      <c r="E2606" s="75">
        <v>0.0</v>
      </c>
      <c r="F2606" s="75" t="s">
        <v>998</v>
      </c>
      <c r="G2606" s="82">
        <v>46112.0</v>
      </c>
      <c r="H2606" s="76" t="s">
        <v>943</v>
      </c>
      <c r="I2606" s="83"/>
      <c r="J2606" s="83"/>
      <c r="K2606" s="83"/>
      <c r="L2606" s="83"/>
      <c r="M2606" s="83"/>
      <c r="N2606" s="83"/>
      <c r="O2606" s="83"/>
      <c r="P2606" s="83"/>
      <c r="Q2606" s="83"/>
      <c r="R2606" s="83"/>
      <c r="S2606" s="83"/>
      <c r="T2606" s="83"/>
      <c r="U2606" s="83"/>
      <c r="V2606" s="83"/>
      <c r="W2606" s="83"/>
      <c r="X2606" s="83"/>
      <c r="Y2606" s="83"/>
      <c r="Z2606" s="83"/>
    </row>
    <row r="2607">
      <c r="A2607" s="75" t="s">
        <v>944</v>
      </c>
      <c r="B2607" s="75" t="s">
        <v>1006</v>
      </c>
      <c r="C2607" s="75">
        <v>0.0</v>
      </c>
      <c r="D2607" s="75">
        <v>0.0</v>
      </c>
      <c r="E2607" s="75">
        <v>0.0</v>
      </c>
      <c r="F2607" s="75" t="s">
        <v>998</v>
      </c>
      <c r="G2607" s="82">
        <v>46112.0</v>
      </c>
      <c r="H2607" s="76" t="s">
        <v>945</v>
      </c>
      <c r="I2607" s="83"/>
      <c r="J2607" s="83"/>
      <c r="K2607" s="83"/>
      <c r="L2607" s="83"/>
      <c r="M2607" s="83"/>
      <c r="N2607" s="83"/>
      <c r="O2607" s="83"/>
      <c r="P2607" s="83"/>
      <c r="Q2607" s="83"/>
      <c r="R2607" s="83"/>
      <c r="S2607" s="83"/>
      <c r="T2607" s="83"/>
      <c r="U2607" s="83"/>
      <c r="V2607" s="83"/>
      <c r="W2607" s="83"/>
      <c r="X2607" s="83"/>
      <c r="Y2607" s="83"/>
      <c r="Z2607" s="83"/>
    </row>
    <row r="2608">
      <c r="A2608" s="75" t="s">
        <v>944</v>
      </c>
      <c r="B2608" s="75" t="s">
        <v>1006</v>
      </c>
      <c r="C2608" s="75">
        <v>0.0</v>
      </c>
      <c r="D2608" s="75">
        <v>0.0</v>
      </c>
      <c r="E2608" s="75">
        <v>0.0</v>
      </c>
      <c r="F2608" s="75" t="s">
        <v>998</v>
      </c>
      <c r="G2608" s="82">
        <v>46112.0</v>
      </c>
      <c r="H2608" s="76" t="s">
        <v>946</v>
      </c>
      <c r="I2608" s="83"/>
      <c r="J2608" s="83"/>
      <c r="K2608" s="83"/>
      <c r="L2608" s="83"/>
      <c r="M2608" s="83"/>
      <c r="N2608" s="83"/>
      <c r="O2608" s="83"/>
      <c r="P2608" s="83"/>
      <c r="Q2608" s="83"/>
      <c r="R2608" s="83"/>
      <c r="S2608" s="83"/>
      <c r="T2608" s="83"/>
      <c r="U2608" s="83"/>
      <c r="V2608" s="83"/>
      <c r="W2608" s="83"/>
      <c r="X2608" s="83"/>
      <c r="Y2608" s="83"/>
      <c r="Z2608" s="83"/>
    </row>
    <row r="2609">
      <c r="A2609" s="75" t="s">
        <v>944</v>
      </c>
      <c r="B2609" s="75" t="s">
        <v>1006</v>
      </c>
      <c r="C2609" s="75">
        <v>0.28</v>
      </c>
      <c r="D2609" s="75">
        <v>0.0</v>
      </c>
      <c r="E2609" s="75">
        <v>0.0</v>
      </c>
      <c r="F2609" s="75" t="s">
        <v>998</v>
      </c>
      <c r="G2609" s="82">
        <v>46112.0</v>
      </c>
      <c r="H2609" s="76" t="s">
        <v>947</v>
      </c>
      <c r="I2609" s="83"/>
      <c r="J2609" s="83"/>
      <c r="K2609" s="83"/>
      <c r="L2609" s="83"/>
      <c r="M2609" s="83"/>
      <c r="N2609" s="83"/>
      <c r="O2609" s="83"/>
      <c r="P2609" s="83"/>
      <c r="Q2609" s="83"/>
      <c r="R2609" s="83"/>
      <c r="S2609" s="83"/>
      <c r="T2609" s="83"/>
      <c r="U2609" s="83"/>
      <c r="V2609" s="83"/>
      <c r="W2609" s="83"/>
      <c r="X2609" s="83"/>
      <c r="Y2609" s="83"/>
      <c r="Z2609" s="83"/>
    </row>
    <row r="2610">
      <c r="A2610" s="75" t="s">
        <v>26</v>
      </c>
      <c r="B2610" s="75" t="s">
        <v>1006</v>
      </c>
      <c r="C2610" s="75">
        <v>0.06</v>
      </c>
      <c r="D2610" s="75">
        <v>0.0</v>
      </c>
      <c r="E2610" s="75">
        <v>0.0</v>
      </c>
      <c r="F2610" s="75" t="s">
        <v>998</v>
      </c>
      <c r="G2610" s="82">
        <v>46112.0</v>
      </c>
      <c r="H2610" s="76" t="s">
        <v>1012</v>
      </c>
      <c r="I2610" s="83"/>
      <c r="J2610" s="83"/>
      <c r="K2610" s="83"/>
      <c r="L2610" s="83"/>
      <c r="M2610" s="83"/>
      <c r="N2610" s="83"/>
      <c r="O2610" s="83"/>
      <c r="P2610" s="83"/>
      <c r="Q2610" s="83"/>
      <c r="R2610" s="83"/>
      <c r="S2610" s="83"/>
      <c r="T2610" s="83"/>
      <c r="U2610" s="83"/>
      <c r="V2610" s="83"/>
      <c r="W2610" s="83"/>
      <c r="X2610" s="83"/>
      <c r="Y2610" s="83"/>
      <c r="Z2610" s="83"/>
    </row>
    <row r="2611">
      <c r="A2611" s="75" t="s">
        <v>26</v>
      </c>
      <c r="B2611" s="75" t="s">
        <v>1006</v>
      </c>
      <c r="C2611" s="75">
        <v>0.02</v>
      </c>
      <c r="D2611" s="75">
        <v>0.0</v>
      </c>
      <c r="E2611" s="75">
        <v>0.0</v>
      </c>
      <c r="F2611" s="75" t="s">
        <v>998</v>
      </c>
      <c r="G2611" s="82">
        <v>46112.0</v>
      </c>
      <c r="H2611" s="76" t="s">
        <v>1013</v>
      </c>
      <c r="I2611" s="83"/>
      <c r="J2611" s="83"/>
      <c r="K2611" s="83"/>
      <c r="L2611" s="83"/>
      <c r="M2611" s="83"/>
      <c r="N2611" s="83"/>
      <c r="O2611" s="83"/>
      <c r="P2611" s="83"/>
      <c r="Q2611" s="83"/>
      <c r="R2611" s="83"/>
      <c r="S2611" s="83"/>
      <c r="T2611" s="83"/>
      <c r="U2611" s="83"/>
      <c r="V2611" s="83"/>
      <c r="W2611" s="83"/>
      <c r="X2611" s="83"/>
      <c r="Y2611" s="83"/>
      <c r="Z2611" s="83"/>
    </row>
    <row r="2612">
      <c r="A2612" s="75" t="s">
        <v>26</v>
      </c>
      <c r="B2612" s="75" t="s">
        <v>1006</v>
      </c>
      <c r="C2612" s="75">
        <v>0.15</v>
      </c>
      <c r="D2612" s="75">
        <v>0.0</v>
      </c>
      <c r="E2612" s="75">
        <v>0.0</v>
      </c>
      <c r="F2612" s="75" t="s">
        <v>998</v>
      </c>
      <c r="G2612" s="82">
        <v>46112.0</v>
      </c>
      <c r="H2612" s="76" t="s">
        <v>1014</v>
      </c>
      <c r="I2612" s="83"/>
      <c r="J2612" s="83"/>
      <c r="K2612" s="83"/>
      <c r="L2612" s="83"/>
      <c r="M2612" s="83"/>
      <c r="N2612" s="83"/>
      <c r="O2612" s="83"/>
      <c r="P2612" s="83"/>
      <c r="Q2612" s="83"/>
      <c r="R2612" s="83"/>
      <c r="S2612" s="83"/>
      <c r="T2612" s="83"/>
      <c r="U2612" s="83"/>
      <c r="V2612" s="83"/>
      <c r="W2612" s="83"/>
      <c r="X2612" s="83"/>
      <c r="Y2612" s="83"/>
      <c r="Z2612" s="83"/>
    </row>
    <row r="2613">
      <c r="A2613" s="75" t="s">
        <v>54</v>
      </c>
      <c r="B2613" s="75" t="s">
        <v>1007</v>
      </c>
      <c r="C2613" s="75">
        <v>20.77</v>
      </c>
      <c r="D2613" s="75">
        <v>0.0</v>
      </c>
      <c r="E2613" s="75">
        <v>0.0</v>
      </c>
      <c r="F2613" s="75" t="s">
        <v>990</v>
      </c>
      <c r="G2613" s="82">
        <v>46112.0</v>
      </c>
      <c r="H2613" s="76" t="s">
        <v>977</v>
      </c>
      <c r="I2613" s="83"/>
      <c r="J2613" s="83"/>
      <c r="K2613" s="83"/>
      <c r="L2613" s="83"/>
      <c r="M2613" s="83"/>
      <c r="N2613" s="83"/>
      <c r="O2613" s="83"/>
      <c r="P2613" s="83"/>
      <c r="Q2613" s="83"/>
      <c r="R2613" s="83"/>
      <c r="S2613" s="83"/>
      <c r="T2613" s="83"/>
      <c r="U2613" s="83"/>
      <c r="V2613" s="83"/>
      <c r="W2613" s="83"/>
      <c r="X2613" s="83"/>
      <c r="Y2613" s="83"/>
      <c r="Z2613" s="83"/>
    </row>
    <row r="2614">
      <c r="A2614" s="75" t="s">
        <v>54</v>
      </c>
      <c r="B2614" s="75" t="s">
        <v>1007</v>
      </c>
      <c r="C2614" s="75">
        <v>52.31</v>
      </c>
      <c r="D2614" s="75">
        <v>0.0</v>
      </c>
      <c r="E2614" s="75">
        <v>0.0</v>
      </c>
      <c r="F2614" s="75" t="s">
        <v>990</v>
      </c>
      <c r="G2614" s="82">
        <v>46112.0</v>
      </c>
      <c r="H2614" s="76" t="s">
        <v>978</v>
      </c>
      <c r="I2614" s="83"/>
      <c r="J2614" s="83"/>
      <c r="K2614" s="83"/>
      <c r="L2614" s="83"/>
      <c r="M2614" s="83"/>
      <c r="N2614" s="83"/>
      <c r="O2614" s="83"/>
      <c r="P2614" s="83"/>
      <c r="Q2614" s="83"/>
      <c r="R2614" s="83"/>
      <c r="S2614" s="83"/>
      <c r="T2614" s="83"/>
      <c r="U2614" s="83"/>
      <c r="V2614" s="83"/>
      <c r="W2614" s="83"/>
      <c r="X2614" s="83"/>
      <c r="Y2614" s="83"/>
      <c r="Z2614" s="83"/>
    </row>
    <row r="2615">
      <c r="A2615" s="75" t="s">
        <v>54</v>
      </c>
      <c r="B2615" s="75" t="s">
        <v>1007</v>
      </c>
      <c r="C2615" s="75">
        <v>5.67</v>
      </c>
      <c r="D2615" s="75">
        <v>0.0</v>
      </c>
      <c r="E2615" s="75">
        <v>0.0</v>
      </c>
      <c r="F2615" s="75" t="s">
        <v>990</v>
      </c>
      <c r="G2615" s="82">
        <v>46112.0</v>
      </c>
      <c r="H2615" s="76" t="s">
        <v>979</v>
      </c>
      <c r="I2615" s="83"/>
      <c r="J2615" s="83"/>
      <c r="K2615" s="83"/>
      <c r="L2615" s="83"/>
      <c r="M2615" s="83"/>
      <c r="N2615" s="83"/>
      <c r="O2615" s="83"/>
      <c r="P2615" s="83"/>
      <c r="Q2615" s="83"/>
      <c r="R2615" s="83"/>
      <c r="S2615" s="83"/>
      <c r="T2615" s="83"/>
      <c r="U2615" s="83"/>
      <c r="V2615" s="83"/>
      <c r="W2615" s="83"/>
      <c r="X2615" s="83"/>
      <c r="Y2615" s="83"/>
      <c r="Z2615" s="83"/>
    </row>
    <row r="2616">
      <c r="A2616" s="75" t="s">
        <v>55</v>
      </c>
      <c r="B2616" s="75" t="s">
        <v>1007</v>
      </c>
      <c r="C2616" s="75">
        <v>7.84</v>
      </c>
      <c r="D2616" s="75">
        <v>0.0</v>
      </c>
      <c r="E2616" s="75">
        <v>0.0</v>
      </c>
      <c r="F2616" s="75" t="s">
        <v>990</v>
      </c>
      <c r="G2616" s="82">
        <v>46112.0</v>
      </c>
      <c r="H2616" s="76" t="s">
        <v>980</v>
      </c>
      <c r="I2616" s="83"/>
      <c r="J2616" s="83"/>
      <c r="K2616" s="83"/>
      <c r="L2616" s="83"/>
      <c r="M2616" s="83"/>
      <c r="N2616" s="83"/>
      <c r="O2616" s="83"/>
      <c r="P2616" s="83"/>
      <c r="Q2616" s="83"/>
      <c r="R2616" s="83"/>
      <c r="S2616" s="83"/>
      <c r="T2616" s="83"/>
      <c r="U2616" s="83"/>
      <c r="V2616" s="83"/>
      <c r="W2616" s="83"/>
      <c r="X2616" s="83"/>
      <c r="Y2616" s="83"/>
      <c r="Z2616" s="83"/>
    </row>
    <row r="2617">
      <c r="A2617" s="75" t="s">
        <v>55</v>
      </c>
      <c r="B2617" s="75" t="s">
        <v>1007</v>
      </c>
      <c r="C2617" s="75">
        <v>12.3</v>
      </c>
      <c r="D2617" s="75">
        <v>0.0</v>
      </c>
      <c r="E2617" s="75">
        <v>0.0</v>
      </c>
      <c r="F2617" s="75" t="s">
        <v>990</v>
      </c>
      <c r="G2617" s="82">
        <v>46112.0</v>
      </c>
      <c r="H2617" s="76" t="s">
        <v>981</v>
      </c>
      <c r="I2617" s="83"/>
      <c r="J2617" s="83"/>
      <c r="K2617" s="83"/>
      <c r="L2617" s="83"/>
      <c r="M2617" s="83"/>
      <c r="N2617" s="83"/>
      <c r="O2617" s="83"/>
      <c r="P2617" s="83"/>
      <c r="Q2617" s="83"/>
      <c r="R2617" s="83"/>
      <c r="S2617" s="83"/>
      <c r="T2617" s="83"/>
      <c r="U2617" s="83"/>
      <c r="V2617" s="83"/>
      <c r="W2617" s="83"/>
      <c r="X2617" s="83"/>
      <c r="Y2617" s="83"/>
      <c r="Z2617" s="83"/>
    </row>
    <row r="2618">
      <c r="A2618" s="75" t="s">
        <v>53</v>
      </c>
      <c r="B2618" s="75" t="s">
        <v>1007</v>
      </c>
      <c r="C2618" s="75">
        <v>25.73</v>
      </c>
      <c r="D2618" s="75">
        <v>1.0</v>
      </c>
      <c r="E2618" s="75">
        <v>25.73</v>
      </c>
      <c r="F2618" s="75" t="s">
        <v>990</v>
      </c>
      <c r="G2618" s="82">
        <v>46112.0</v>
      </c>
      <c r="H2618" s="76" t="s">
        <v>982</v>
      </c>
      <c r="I2618" s="83"/>
      <c r="J2618" s="83"/>
      <c r="K2618" s="83"/>
      <c r="L2618" s="83"/>
      <c r="M2618" s="83"/>
      <c r="N2618" s="83"/>
      <c r="O2618" s="83"/>
      <c r="P2618" s="83"/>
      <c r="Q2618" s="83"/>
      <c r="R2618" s="83"/>
      <c r="S2618" s="83"/>
      <c r="T2618" s="83"/>
      <c r="U2618" s="83"/>
      <c r="V2618" s="83"/>
      <c r="W2618" s="83"/>
      <c r="X2618" s="83"/>
      <c r="Y2618" s="83"/>
      <c r="Z2618" s="83"/>
    </row>
    <row r="2619">
      <c r="A2619" s="75" t="s">
        <v>53</v>
      </c>
      <c r="B2619" s="75" t="s">
        <v>1007</v>
      </c>
      <c r="C2619" s="75">
        <v>10.05</v>
      </c>
      <c r="D2619" s="75">
        <v>1.0</v>
      </c>
      <c r="E2619" s="75">
        <v>10.05</v>
      </c>
      <c r="F2619" s="75" t="s">
        <v>990</v>
      </c>
      <c r="G2619" s="82">
        <v>46112.0</v>
      </c>
      <c r="H2619" s="76" t="s">
        <v>983</v>
      </c>
      <c r="I2619" s="83"/>
      <c r="J2619" s="83"/>
      <c r="K2619" s="83"/>
      <c r="L2619" s="83"/>
      <c r="M2619" s="83"/>
      <c r="N2619" s="83"/>
      <c r="O2619" s="83"/>
      <c r="P2619" s="83"/>
      <c r="Q2619" s="83"/>
      <c r="R2619" s="83"/>
      <c r="S2619" s="83"/>
      <c r="T2619" s="83"/>
      <c r="U2619" s="83"/>
      <c r="V2619" s="83"/>
      <c r="W2619" s="83"/>
      <c r="X2619" s="83"/>
      <c r="Y2619" s="83"/>
      <c r="Z2619" s="83"/>
    </row>
    <row r="2620">
      <c r="A2620" s="75" t="s">
        <v>53</v>
      </c>
      <c r="B2620" s="75" t="s">
        <v>1007</v>
      </c>
      <c r="C2620" s="75">
        <v>3.3</v>
      </c>
      <c r="D2620" s="75">
        <v>0.0</v>
      </c>
      <c r="E2620" s="75">
        <v>0.0</v>
      </c>
      <c r="F2620" s="75" t="s">
        <v>990</v>
      </c>
      <c r="G2620" s="82">
        <v>46112.0</v>
      </c>
      <c r="H2620" s="76" t="s">
        <v>984</v>
      </c>
      <c r="I2620" s="83"/>
      <c r="J2620" s="83"/>
      <c r="K2620" s="83"/>
      <c r="L2620" s="83"/>
      <c r="M2620" s="83"/>
      <c r="N2620" s="83"/>
      <c r="O2620" s="83"/>
      <c r="P2620" s="83"/>
      <c r="Q2620" s="83"/>
      <c r="R2620" s="83"/>
      <c r="S2620" s="83"/>
      <c r="T2620" s="83"/>
      <c r="U2620" s="83"/>
      <c r="V2620" s="83"/>
      <c r="W2620" s="83"/>
      <c r="X2620" s="83"/>
      <c r="Y2620" s="83"/>
      <c r="Z2620" s="83"/>
    </row>
    <row r="2621">
      <c r="A2621" s="75" t="s">
        <v>985</v>
      </c>
      <c r="B2621" s="75" t="s">
        <v>1007</v>
      </c>
      <c r="C2621" s="75">
        <v>4.39</v>
      </c>
      <c r="D2621" s="75">
        <v>0.0</v>
      </c>
      <c r="E2621" s="75">
        <v>0.0</v>
      </c>
      <c r="F2621" s="75" t="s">
        <v>990</v>
      </c>
      <c r="G2621" s="82">
        <v>46112.0</v>
      </c>
      <c r="H2621" s="76" t="s">
        <v>936</v>
      </c>
      <c r="I2621" s="83"/>
      <c r="J2621" s="83"/>
      <c r="K2621" s="83"/>
      <c r="L2621" s="83"/>
      <c r="M2621" s="83"/>
      <c r="N2621" s="83"/>
      <c r="O2621" s="83"/>
      <c r="P2621" s="83"/>
      <c r="Q2621" s="83"/>
      <c r="R2621" s="83"/>
      <c r="S2621" s="83"/>
      <c r="T2621" s="83"/>
      <c r="U2621" s="83"/>
      <c r="V2621" s="83"/>
      <c r="W2621" s="83"/>
      <c r="X2621" s="83"/>
      <c r="Y2621" s="83"/>
      <c r="Z2621" s="83"/>
    </row>
    <row r="2622">
      <c r="A2622" s="75" t="s">
        <v>985</v>
      </c>
      <c r="B2622" s="75" t="s">
        <v>1007</v>
      </c>
      <c r="C2622" s="75">
        <v>2.51</v>
      </c>
      <c r="D2622" s="75">
        <v>0.0</v>
      </c>
      <c r="E2622" s="75">
        <v>0.0</v>
      </c>
      <c r="F2622" s="75" t="s">
        <v>990</v>
      </c>
      <c r="G2622" s="82">
        <v>46112.0</v>
      </c>
      <c r="H2622" s="76" t="s">
        <v>937</v>
      </c>
      <c r="I2622" s="83"/>
      <c r="J2622" s="83"/>
      <c r="K2622" s="83"/>
      <c r="L2622" s="83"/>
      <c r="M2622" s="83"/>
      <c r="N2622" s="83"/>
      <c r="O2622" s="83"/>
      <c r="P2622" s="83"/>
      <c r="Q2622" s="83"/>
      <c r="R2622" s="83"/>
      <c r="S2622" s="83"/>
      <c r="T2622" s="83"/>
      <c r="U2622" s="83"/>
      <c r="V2622" s="83"/>
      <c r="W2622" s="83"/>
      <c r="X2622" s="83"/>
      <c r="Y2622" s="83"/>
      <c r="Z2622" s="83"/>
    </row>
    <row r="2623">
      <c r="A2623" s="75" t="s">
        <v>985</v>
      </c>
      <c r="B2623" s="75" t="s">
        <v>1007</v>
      </c>
      <c r="C2623" s="75">
        <v>16.53</v>
      </c>
      <c r="D2623" s="75">
        <v>0.0</v>
      </c>
      <c r="E2623" s="75">
        <v>0.0</v>
      </c>
      <c r="F2623" s="75" t="s">
        <v>990</v>
      </c>
      <c r="G2623" s="82">
        <v>46112.0</v>
      </c>
      <c r="H2623" s="76" t="s">
        <v>938</v>
      </c>
      <c r="I2623" s="83"/>
      <c r="J2623" s="83"/>
      <c r="K2623" s="83"/>
      <c r="L2623" s="83"/>
      <c r="M2623" s="83"/>
      <c r="N2623" s="83"/>
      <c r="O2623" s="83"/>
      <c r="P2623" s="83"/>
      <c r="Q2623" s="83"/>
      <c r="R2623" s="83"/>
      <c r="S2623" s="83"/>
      <c r="T2623" s="83"/>
      <c r="U2623" s="83"/>
      <c r="V2623" s="83"/>
      <c r="W2623" s="83"/>
      <c r="X2623" s="83"/>
      <c r="Y2623" s="83"/>
      <c r="Z2623" s="83"/>
    </row>
    <row r="2624">
      <c r="A2624" s="75" t="s">
        <v>51</v>
      </c>
      <c r="B2624" s="75" t="s">
        <v>1007</v>
      </c>
      <c r="C2624" s="75">
        <v>16.02</v>
      </c>
      <c r="D2624" s="75">
        <v>1.0</v>
      </c>
      <c r="E2624" s="75">
        <v>16.02</v>
      </c>
      <c r="F2624" s="75" t="s">
        <v>990</v>
      </c>
      <c r="G2624" s="82">
        <v>46112.0</v>
      </c>
      <c r="H2624" s="76" t="s">
        <v>986</v>
      </c>
      <c r="I2624" s="83"/>
      <c r="J2624" s="83"/>
      <c r="K2624" s="83"/>
      <c r="L2624" s="83"/>
      <c r="M2624" s="83"/>
      <c r="N2624" s="83"/>
      <c r="O2624" s="83"/>
      <c r="P2624" s="83"/>
      <c r="Q2624" s="83"/>
      <c r="R2624" s="83"/>
      <c r="S2624" s="83"/>
      <c r="T2624" s="83"/>
      <c r="U2624" s="83"/>
      <c r="V2624" s="83"/>
      <c r="W2624" s="83"/>
      <c r="X2624" s="83"/>
      <c r="Y2624" s="83"/>
      <c r="Z2624" s="83"/>
    </row>
    <row r="2625">
      <c r="A2625" s="75" t="s">
        <v>51</v>
      </c>
      <c r="B2625" s="75" t="s">
        <v>1007</v>
      </c>
      <c r="C2625" s="75">
        <v>4.23</v>
      </c>
      <c r="D2625" s="75">
        <v>0.0</v>
      </c>
      <c r="E2625" s="75">
        <v>0.0</v>
      </c>
      <c r="F2625" s="75" t="s">
        <v>990</v>
      </c>
      <c r="G2625" s="82">
        <v>46112.0</v>
      </c>
      <c r="H2625" s="76" t="s">
        <v>987</v>
      </c>
      <c r="I2625" s="83"/>
      <c r="J2625" s="83"/>
      <c r="K2625" s="83"/>
      <c r="L2625" s="83"/>
      <c r="M2625" s="83"/>
      <c r="N2625" s="83"/>
      <c r="O2625" s="83"/>
      <c r="P2625" s="83"/>
      <c r="Q2625" s="83"/>
      <c r="R2625" s="83"/>
      <c r="S2625" s="83"/>
      <c r="T2625" s="83"/>
      <c r="U2625" s="83"/>
      <c r="V2625" s="83"/>
      <c r="W2625" s="83"/>
      <c r="X2625" s="83"/>
      <c r="Y2625" s="83"/>
      <c r="Z2625" s="83"/>
    </row>
    <row r="2626">
      <c r="A2626" s="75" t="s">
        <v>54</v>
      </c>
      <c r="B2626" s="75" t="s">
        <v>1007</v>
      </c>
      <c r="C2626" s="75">
        <v>39.81</v>
      </c>
      <c r="D2626" s="75">
        <v>3.0</v>
      </c>
      <c r="E2626" s="75">
        <v>13.27</v>
      </c>
      <c r="F2626" s="75" t="s">
        <v>993</v>
      </c>
      <c r="G2626" s="82">
        <v>46112.0</v>
      </c>
      <c r="H2626" s="76" t="s">
        <v>977</v>
      </c>
      <c r="I2626" s="83"/>
      <c r="J2626" s="83"/>
      <c r="K2626" s="83"/>
      <c r="L2626" s="83"/>
      <c r="M2626" s="83"/>
      <c r="N2626" s="83"/>
      <c r="O2626" s="83"/>
      <c r="P2626" s="83"/>
      <c r="Q2626" s="83"/>
      <c r="R2626" s="83"/>
      <c r="S2626" s="83"/>
      <c r="T2626" s="83"/>
      <c r="U2626" s="83"/>
      <c r="V2626" s="83"/>
      <c r="W2626" s="83"/>
      <c r="X2626" s="83"/>
      <c r="Y2626" s="83"/>
      <c r="Z2626" s="83"/>
    </row>
    <row r="2627">
      <c r="A2627" s="75" t="s">
        <v>54</v>
      </c>
      <c r="B2627" s="75" t="s">
        <v>1007</v>
      </c>
      <c r="C2627" s="75">
        <v>102.88</v>
      </c>
      <c r="D2627" s="75">
        <v>0.0</v>
      </c>
      <c r="E2627" s="75">
        <v>0.0</v>
      </c>
      <c r="F2627" s="75" t="s">
        <v>993</v>
      </c>
      <c r="G2627" s="82">
        <v>46112.0</v>
      </c>
      <c r="H2627" s="76" t="s">
        <v>978</v>
      </c>
      <c r="I2627" s="83"/>
      <c r="J2627" s="83"/>
      <c r="K2627" s="83"/>
      <c r="L2627" s="83"/>
      <c r="M2627" s="83"/>
      <c r="N2627" s="83"/>
      <c r="O2627" s="83"/>
      <c r="P2627" s="83"/>
      <c r="Q2627" s="83"/>
      <c r="R2627" s="83"/>
      <c r="S2627" s="83"/>
      <c r="T2627" s="83"/>
      <c r="U2627" s="83"/>
      <c r="V2627" s="83"/>
      <c r="W2627" s="83"/>
      <c r="X2627" s="83"/>
      <c r="Y2627" s="83"/>
      <c r="Z2627" s="83"/>
    </row>
    <row r="2628">
      <c r="A2628" s="75" t="s">
        <v>54</v>
      </c>
      <c r="B2628" s="75" t="s">
        <v>1007</v>
      </c>
      <c r="C2628" s="75">
        <v>7.52</v>
      </c>
      <c r="D2628" s="75">
        <v>0.0</v>
      </c>
      <c r="E2628" s="75">
        <v>0.0</v>
      </c>
      <c r="F2628" s="75" t="s">
        <v>993</v>
      </c>
      <c r="G2628" s="82">
        <v>46112.0</v>
      </c>
      <c r="H2628" s="76" t="s">
        <v>979</v>
      </c>
      <c r="I2628" s="83"/>
      <c r="J2628" s="83"/>
      <c r="K2628" s="83"/>
      <c r="L2628" s="83"/>
      <c r="M2628" s="83"/>
      <c r="N2628" s="83"/>
      <c r="O2628" s="83"/>
      <c r="P2628" s="83"/>
      <c r="Q2628" s="83"/>
      <c r="R2628" s="83"/>
      <c r="S2628" s="83"/>
      <c r="T2628" s="83"/>
      <c r="U2628" s="83"/>
      <c r="V2628" s="83"/>
      <c r="W2628" s="83"/>
      <c r="X2628" s="83"/>
      <c r="Y2628" s="83"/>
      <c r="Z2628" s="83"/>
    </row>
    <row r="2629">
      <c r="A2629" s="75" t="s">
        <v>55</v>
      </c>
      <c r="B2629" s="75" t="s">
        <v>1007</v>
      </c>
      <c r="C2629" s="75">
        <v>7.0</v>
      </c>
      <c r="D2629" s="75">
        <v>0.0</v>
      </c>
      <c r="E2629" s="75">
        <v>0.0</v>
      </c>
      <c r="F2629" s="75" t="s">
        <v>993</v>
      </c>
      <c r="G2629" s="82">
        <v>46112.0</v>
      </c>
      <c r="H2629" s="76" t="s">
        <v>980</v>
      </c>
      <c r="I2629" s="83"/>
      <c r="J2629" s="83"/>
      <c r="K2629" s="83"/>
      <c r="L2629" s="83"/>
      <c r="M2629" s="83"/>
      <c r="N2629" s="83"/>
      <c r="O2629" s="83"/>
      <c r="P2629" s="83"/>
      <c r="Q2629" s="83"/>
      <c r="R2629" s="83"/>
      <c r="S2629" s="83"/>
      <c r="T2629" s="83"/>
      <c r="U2629" s="83"/>
      <c r="V2629" s="83"/>
      <c r="W2629" s="83"/>
      <c r="X2629" s="83"/>
      <c r="Y2629" s="83"/>
      <c r="Z2629" s="83"/>
    </row>
    <row r="2630">
      <c r="A2630" s="75" t="s">
        <v>55</v>
      </c>
      <c r="B2630" s="75" t="s">
        <v>1007</v>
      </c>
      <c r="C2630" s="75">
        <v>7.94</v>
      </c>
      <c r="D2630" s="75">
        <v>0.0</v>
      </c>
      <c r="E2630" s="75">
        <v>0.0</v>
      </c>
      <c r="F2630" s="75" t="s">
        <v>993</v>
      </c>
      <c r="G2630" s="82">
        <v>46112.0</v>
      </c>
      <c r="H2630" s="76" t="s">
        <v>981</v>
      </c>
      <c r="I2630" s="83"/>
      <c r="J2630" s="83"/>
      <c r="K2630" s="83"/>
      <c r="L2630" s="83"/>
      <c r="M2630" s="83"/>
      <c r="N2630" s="83"/>
      <c r="O2630" s="83"/>
      <c r="P2630" s="83"/>
      <c r="Q2630" s="83"/>
      <c r="R2630" s="83"/>
      <c r="S2630" s="83"/>
      <c r="T2630" s="83"/>
      <c r="U2630" s="83"/>
      <c r="V2630" s="83"/>
      <c r="W2630" s="83"/>
      <c r="X2630" s="83"/>
      <c r="Y2630" s="83"/>
      <c r="Z2630" s="83"/>
    </row>
    <row r="2631">
      <c r="A2631" s="75" t="s">
        <v>53</v>
      </c>
      <c r="B2631" s="75" t="s">
        <v>1007</v>
      </c>
      <c r="C2631" s="75">
        <v>8.46</v>
      </c>
      <c r="D2631" s="75">
        <v>0.0</v>
      </c>
      <c r="E2631" s="75">
        <v>0.0</v>
      </c>
      <c r="F2631" s="75" t="s">
        <v>993</v>
      </c>
      <c r="G2631" s="82">
        <v>46112.0</v>
      </c>
      <c r="H2631" s="76" t="s">
        <v>982</v>
      </c>
      <c r="I2631" s="83"/>
      <c r="J2631" s="83"/>
      <c r="K2631" s="83"/>
      <c r="L2631" s="83"/>
      <c r="M2631" s="83"/>
      <c r="N2631" s="83"/>
      <c r="O2631" s="83"/>
      <c r="P2631" s="83"/>
      <c r="Q2631" s="83"/>
      <c r="R2631" s="83"/>
      <c r="S2631" s="83"/>
      <c r="T2631" s="83"/>
      <c r="U2631" s="83"/>
      <c r="V2631" s="83"/>
      <c r="W2631" s="83"/>
      <c r="X2631" s="83"/>
      <c r="Y2631" s="83"/>
      <c r="Z2631" s="83"/>
    </row>
    <row r="2632">
      <c r="A2632" s="75" t="s">
        <v>53</v>
      </c>
      <c r="B2632" s="75" t="s">
        <v>1007</v>
      </c>
      <c r="C2632" s="75">
        <v>5.26</v>
      </c>
      <c r="D2632" s="75">
        <v>0.0</v>
      </c>
      <c r="E2632" s="75">
        <v>0.0</v>
      </c>
      <c r="F2632" s="75" t="s">
        <v>993</v>
      </c>
      <c r="G2632" s="82">
        <v>46112.0</v>
      </c>
      <c r="H2632" s="76" t="s">
        <v>983</v>
      </c>
      <c r="I2632" s="83"/>
      <c r="J2632" s="83"/>
      <c r="K2632" s="83"/>
      <c r="L2632" s="83"/>
      <c r="M2632" s="83"/>
      <c r="N2632" s="83"/>
      <c r="O2632" s="83"/>
      <c r="P2632" s="83"/>
      <c r="Q2632" s="83"/>
      <c r="R2632" s="83"/>
      <c r="S2632" s="83"/>
      <c r="T2632" s="83"/>
      <c r="U2632" s="83"/>
      <c r="V2632" s="83"/>
      <c r="W2632" s="83"/>
      <c r="X2632" s="83"/>
      <c r="Y2632" s="83"/>
      <c r="Z2632" s="83"/>
    </row>
    <row r="2633">
      <c r="A2633" s="75" t="s">
        <v>53</v>
      </c>
      <c r="B2633" s="75" t="s">
        <v>1007</v>
      </c>
      <c r="C2633" s="75">
        <v>2.27</v>
      </c>
      <c r="D2633" s="75">
        <v>0.0</v>
      </c>
      <c r="E2633" s="75">
        <v>0.0</v>
      </c>
      <c r="F2633" s="75" t="s">
        <v>993</v>
      </c>
      <c r="G2633" s="82">
        <v>46112.0</v>
      </c>
      <c r="H2633" s="76" t="s">
        <v>984</v>
      </c>
      <c r="I2633" s="83"/>
      <c r="J2633" s="83"/>
      <c r="K2633" s="83"/>
      <c r="L2633" s="83"/>
      <c r="M2633" s="83"/>
      <c r="N2633" s="83"/>
      <c r="O2633" s="83"/>
      <c r="P2633" s="83"/>
      <c r="Q2633" s="83"/>
      <c r="R2633" s="83"/>
      <c r="S2633" s="83"/>
      <c r="T2633" s="83"/>
      <c r="U2633" s="83"/>
      <c r="V2633" s="83"/>
      <c r="W2633" s="83"/>
      <c r="X2633" s="83"/>
      <c r="Y2633" s="83"/>
      <c r="Z2633" s="83"/>
    </row>
    <row r="2634">
      <c r="A2634" s="75" t="s">
        <v>985</v>
      </c>
      <c r="B2634" s="75" t="s">
        <v>1007</v>
      </c>
      <c r="C2634" s="75">
        <v>2.95</v>
      </c>
      <c r="D2634" s="75">
        <v>0.0</v>
      </c>
      <c r="E2634" s="75">
        <v>0.0</v>
      </c>
      <c r="F2634" s="75" t="s">
        <v>993</v>
      </c>
      <c r="G2634" s="82">
        <v>46112.0</v>
      </c>
      <c r="H2634" s="76" t="s">
        <v>936</v>
      </c>
      <c r="I2634" s="83"/>
      <c r="J2634" s="83"/>
      <c r="K2634" s="83"/>
      <c r="L2634" s="83"/>
      <c r="M2634" s="83"/>
      <c r="N2634" s="83"/>
      <c r="O2634" s="83"/>
      <c r="P2634" s="83"/>
      <c r="Q2634" s="83"/>
      <c r="R2634" s="83"/>
      <c r="S2634" s="83"/>
      <c r="T2634" s="83"/>
      <c r="U2634" s="83"/>
      <c r="V2634" s="83"/>
      <c r="W2634" s="83"/>
      <c r="X2634" s="83"/>
      <c r="Y2634" s="83"/>
      <c r="Z2634" s="83"/>
    </row>
    <row r="2635">
      <c r="A2635" s="75" t="s">
        <v>985</v>
      </c>
      <c r="B2635" s="75" t="s">
        <v>1007</v>
      </c>
      <c r="C2635" s="75">
        <v>2.56</v>
      </c>
      <c r="D2635" s="75">
        <v>0.0</v>
      </c>
      <c r="E2635" s="75">
        <v>0.0</v>
      </c>
      <c r="F2635" s="75" t="s">
        <v>993</v>
      </c>
      <c r="G2635" s="82">
        <v>46112.0</v>
      </c>
      <c r="H2635" s="76" t="s">
        <v>937</v>
      </c>
      <c r="I2635" s="83"/>
      <c r="J2635" s="83"/>
      <c r="K2635" s="83"/>
      <c r="L2635" s="83"/>
      <c r="M2635" s="83"/>
      <c r="N2635" s="83"/>
      <c r="O2635" s="83"/>
      <c r="P2635" s="83"/>
      <c r="Q2635" s="83"/>
      <c r="R2635" s="83"/>
      <c r="S2635" s="83"/>
      <c r="T2635" s="83"/>
      <c r="U2635" s="83"/>
      <c r="V2635" s="83"/>
      <c r="W2635" s="83"/>
      <c r="X2635" s="83"/>
      <c r="Y2635" s="83"/>
      <c r="Z2635" s="83"/>
    </row>
    <row r="2636">
      <c r="A2636" s="75" t="s">
        <v>985</v>
      </c>
      <c r="B2636" s="75" t="s">
        <v>1007</v>
      </c>
      <c r="C2636" s="75">
        <v>17.39</v>
      </c>
      <c r="D2636" s="75">
        <v>0.0</v>
      </c>
      <c r="E2636" s="75">
        <v>0.0</v>
      </c>
      <c r="F2636" s="75" t="s">
        <v>993</v>
      </c>
      <c r="G2636" s="82">
        <v>46112.0</v>
      </c>
      <c r="H2636" s="76" t="s">
        <v>938</v>
      </c>
      <c r="I2636" s="83"/>
      <c r="J2636" s="83"/>
      <c r="K2636" s="83"/>
      <c r="L2636" s="83"/>
      <c r="M2636" s="83"/>
      <c r="N2636" s="83"/>
      <c r="O2636" s="83"/>
      <c r="P2636" s="83"/>
      <c r="Q2636" s="83"/>
      <c r="R2636" s="83"/>
      <c r="S2636" s="83"/>
      <c r="T2636" s="83"/>
      <c r="U2636" s="83"/>
      <c r="V2636" s="83"/>
      <c r="W2636" s="83"/>
      <c r="X2636" s="83"/>
      <c r="Y2636" s="83"/>
      <c r="Z2636" s="83"/>
    </row>
    <row r="2637">
      <c r="A2637" s="75" t="s">
        <v>51</v>
      </c>
      <c r="B2637" s="75" t="s">
        <v>1007</v>
      </c>
      <c r="C2637" s="75">
        <v>20.79</v>
      </c>
      <c r="D2637" s="75">
        <v>0.0</v>
      </c>
      <c r="E2637" s="75">
        <v>0.0</v>
      </c>
      <c r="F2637" s="75" t="s">
        <v>993</v>
      </c>
      <c r="G2637" s="82">
        <v>46112.0</v>
      </c>
      <c r="H2637" s="76" t="s">
        <v>986</v>
      </c>
      <c r="I2637" s="83"/>
      <c r="J2637" s="83"/>
      <c r="K2637" s="83"/>
      <c r="L2637" s="83"/>
      <c r="M2637" s="83"/>
      <c r="N2637" s="83"/>
      <c r="O2637" s="83"/>
      <c r="P2637" s="83"/>
      <c r="Q2637" s="83"/>
      <c r="R2637" s="83"/>
      <c r="S2637" s="83"/>
      <c r="T2637" s="83"/>
      <c r="U2637" s="83"/>
      <c r="V2637" s="83"/>
      <c r="W2637" s="83"/>
      <c r="X2637" s="83"/>
      <c r="Y2637" s="83"/>
      <c r="Z2637" s="83"/>
    </row>
    <row r="2638">
      <c r="A2638" s="75" t="s">
        <v>51</v>
      </c>
      <c r="B2638" s="75" t="s">
        <v>1007</v>
      </c>
      <c r="C2638" s="75">
        <v>3.92</v>
      </c>
      <c r="D2638" s="75">
        <v>0.0</v>
      </c>
      <c r="E2638" s="75">
        <v>0.0</v>
      </c>
      <c r="F2638" s="75" t="s">
        <v>993</v>
      </c>
      <c r="G2638" s="82">
        <v>46112.0</v>
      </c>
      <c r="H2638" s="76" t="s">
        <v>987</v>
      </c>
      <c r="I2638" s="83"/>
      <c r="J2638" s="83"/>
      <c r="K2638" s="83"/>
      <c r="L2638" s="83"/>
      <c r="M2638" s="83"/>
      <c r="N2638" s="83"/>
      <c r="O2638" s="83"/>
      <c r="P2638" s="83"/>
      <c r="Q2638" s="83"/>
      <c r="R2638" s="83"/>
      <c r="S2638" s="83"/>
      <c r="T2638" s="83"/>
      <c r="U2638" s="83"/>
      <c r="V2638" s="83"/>
      <c r="W2638" s="83"/>
      <c r="X2638" s="83"/>
      <c r="Y2638" s="83"/>
      <c r="Z2638" s="83"/>
    </row>
    <row r="2639">
      <c r="A2639" s="75" t="s">
        <v>54</v>
      </c>
      <c r="B2639" s="75" t="s">
        <v>1007</v>
      </c>
      <c r="C2639" s="75">
        <v>4.73</v>
      </c>
      <c r="D2639" s="75">
        <v>0.0</v>
      </c>
      <c r="E2639" s="75">
        <v>0.0</v>
      </c>
      <c r="F2639" s="75" t="s">
        <v>994</v>
      </c>
      <c r="G2639" s="82">
        <v>46112.0</v>
      </c>
      <c r="H2639" s="76" t="s">
        <v>977</v>
      </c>
      <c r="I2639" s="83"/>
      <c r="J2639" s="83"/>
      <c r="K2639" s="83"/>
      <c r="L2639" s="83"/>
      <c r="M2639" s="83"/>
      <c r="N2639" s="83"/>
      <c r="O2639" s="83"/>
      <c r="P2639" s="83"/>
      <c r="Q2639" s="83"/>
      <c r="R2639" s="83"/>
      <c r="S2639" s="83"/>
      <c r="T2639" s="83"/>
      <c r="U2639" s="83"/>
      <c r="V2639" s="83"/>
      <c r="W2639" s="83"/>
      <c r="X2639" s="83"/>
      <c r="Y2639" s="83"/>
      <c r="Z2639" s="83"/>
    </row>
    <row r="2640">
      <c r="A2640" s="75" t="s">
        <v>54</v>
      </c>
      <c r="B2640" s="75" t="s">
        <v>1007</v>
      </c>
      <c r="C2640" s="75">
        <v>5.86</v>
      </c>
      <c r="D2640" s="75">
        <v>0.0</v>
      </c>
      <c r="E2640" s="75">
        <v>0.0</v>
      </c>
      <c r="F2640" s="75" t="s">
        <v>994</v>
      </c>
      <c r="G2640" s="82">
        <v>46112.0</v>
      </c>
      <c r="H2640" s="76" t="s">
        <v>978</v>
      </c>
      <c r="I2640" s="83"/>
      <c r="J2640" s="83"/>
      <c r="K2640" s="83"/>
      <c r="L2640" s="83"/>
      <c r="M2640" s="83"/>
      <c r="N2640" s="83"/>
      <c r="O2640" s="83"/>
      <c r="P2640" s="83"/>
      <c r="Q2640" s="83"/>
      <c r="R2640" s="83"/>
      <c r="S2640" s="83"/>
      <c r="T2640" s="83"/>
      <c r="U2640" s="83"/>
      <c r="V2640" s="83"/>
      <c r="W2640" s="83"/>
      <c r="X2640" s="83"/>
      <c r="Y2640" s="83"/>
      <c r="Z2640" s="83"/>
    </row>
    <row r="2641">
      <c r="A2641" s="75" t="s">
        <v>54</v>
      </c>
      <c r="B2641" s="75" t="s">
        <v>1007</v>
      </c>
      <c r="C2641" s="75">
        <v>3.45</v>
      </c>
      <c r="D2641" s="75">
        <v>0.0</v>
      </c>
      <c r="E2641" s="75">
        <v>0.0</v>
      </c>
      <c r="F2641" s="75" t="s">
        <v>994</v>
      </c>
      <c r="G2641" s="82">
        <v>46112.0</v>
      </c>
      <c r="H2641" s="76" t="s">
        <v>979</v>
      </c>
      <c r="I2641" s="83"/>
      <c r="J2641" s="83"/>
      <c r="K2641" s="83"/>
      <c r="L2641" s="83"/>
      <c r="M2641" s="83"/>
      <c r="N2641" s="83"/>
      <c r="O2641" s="83"/>
      <c r="P2641" s="83"/>
      <c r="Q2641" s="83"/>
      <c r="R2641" s="83"/>
      <c r="S2641" s="83"/>
      <c r="T2641" s="83"/>
      <c r="U2641" s="83"/>
      <c r="V2641" s="83"/>
      <c r="W2641" s="83"/>
      <c r="X2641" s="83"/>
      <c r="Y2641" s="83"/>
      <c r="Z2641" s="83"/>
    </row>
    <row r="2642">
      <c r="A2642" s="75" t="s">
        <v>55</v>
      </c>
      <c r="B2642" s="75" t="s">
        <v>1007</v>
      </c>
      <c r="C2642" s="75">
        <v>5.78</v>
      </c>
      <c r="D2642" s="75">
        <v>1.0</v>
      </c>
      <c r="E2642" s="75">
        <v>5.78</v>
      </c>
      <c r="F2642" s="75" t="s">
        <v>994</v>
      </c>
      <c r="G2642" s="82">
        <v>46112.0</v>
      </c>
      <c r="H2642" s="76" t="s">
        <v>980</v>
      </c>
      <c r="I2642" s="83"/>
      <c r="J2642" s="83"/>
      <c r="K2642" s="83"/>
      <c r="L2642" s="83"/>
      <c r="M2642" s="83"/>
      <c r="N2642" s="83"/>
      <c r="O2642" s="83"/>
      <c r="P2642" s="83"/>
      <c r="Q2642" s="83"/>
      <c r="R2642" s="83"/>
      <c r="S2642" s="83"/>
      <c r="T2642" s="83"/>
      <c r="U2642" s="83"/>
      <c r="V2642" s="83"/>
      <c r="W2642" s="83"/>
      <c r="X2642" s="83"/>
      <c r="Y2642" s="83"/>
      <c r="Z2642" s="83"/>
    </row>
    <row r="2643">
      <c r="A2643" s="75" t="s">
        <v>55</v>
      </c>
      <c r="B2643" s="75" t="s">
        <v>1007</v>
      </c>
      <c r="C2643" s="75">
        <v>10.04</v>
      </c>
      <c r="D2643" s="75">
        <v>1.0</v>
      </c>
      <c r="E2643" s="75">
        <v>10.04</v>
      </c>
      <c r="F2643" s="75" t="s">
        <v>994</v>
      </c>
      <c r="G2643" s="82">
        <v>46112.0</v>
      </c>
      <c r="H2643" s="76" t="s">
        <v>981</v>
      </c>
      <c r="I2643" s="83"/>
      <c r="J2643" s="83"/>
      <c r="K2643" s="83"/>
      <c r="L2643" s="83"/>
      <c r="M2643" s="83"/>
      <c r="N2643" s="83"/>
      <c r="O2643" s="83"/>
      <c r="P2643" s="83"/>
      <c r="Q2643" s="83"/>
      <c r="R2643" s="83"/>
      <c r="S2643" s="83"/>
      <c r="T2643" s="83"/>
      <c r="U2643" s="83"/>
      <c r="V2643" s="83"/>
      <c r="W2643" s="83"/>
      <c r="X2643" s="83"/>
      <c r="Y2643" s="83"/>
      <c r="Z2643" s="83"/>
    </row>
    <row r="2644">
      <c r="A2644" s="75" t="s">
        <v>53</v>
      </c>
      <c r="B2644" s="75" t="s">
        <v>1007</v>
      </c>
      <c r="C2644" s="75">
        <v>4.52</v>
      </c>
      <c r="D2644" s="75">
        <v>0.0</v>
      </c>
      <c r="E2644" s="75">
        <v>0.0</v>
      </c>
      <c r="F2644" s="75" t="s">
        <v>994</v>
      </c>
      <c r="G2644" s="82">
        <v>46112.0</v>
      </c>
      <c r="H2644" s="76" t="s">
        <v>982</v>
      </c>
      <c r="I2644" s="83"/>
      <c r="J2644" s="83"/>
      <c r="K2644" s="83"/>
      <c r="L2644" s="83"/>
      <c r="M2644" s="83"/>
      <c r="N2644" s="83"/>
      <c r="O2644" s="83"/>
      <c r="P2644" s="83"/>
      <c r="Q2644" s="83"/>
      <c r="R2644" s="83"/>
      <c r="S2644" s="83"/>
      <c r="T2644" s="83"/>
      <c r="U2644" s="83"/>
      <c r="V2644" s="83"/>
      <c r="W2644" s="83"/>
      <c r="X2644" s="83"/>
      <c r="Y2644" s="83"/>
      <c r="Z2644" s="83"/>
    </row>
    <row r="2645">
      <c r="A2645" s="75" t="s">
        <v>53</v>
      </c>
      <c r="B2645" s="75" t="s">
        <v>1007</v>
      </c>
      <c r="C2645" s="75">
        <v>2.03</v>
      </c>
      <c r="D2645" s="75">
        <v>0.0</v>
      </c>
      <c r="E2645" s="75">
        <v>0.0</v>
      </c>
      <c r="F2645" s="75" t="s">
        <v>994</v>
      </c>
      <c r="G2645" s="82">
        <v>46112.0</v>
      </c>
      <c r="H2645" s="76" t="s">
        <v>983</v>
      </c>
      <c r="I2645" s="83"/>
      <c r="J2645" s="83"/>
      <c r="K2645" s="83"/>
      <c r="L2645" s="83"/>
      <c r="M2645" s="83"/>
      <c r="N2645" s="83"/>
      <c r="O2645" s="83"/>
      <c r="P2645" s="83"/>
      <c r="Q2645" s="83"/>
      <c r="R2645" s="83"/>
      <c r="S2645" s="83"/>
      <c r="T2645" s="83"/>
      <c r="U2645" s="83"/>
      <c r="V2645" s="83"/>
      <c r="W2645" s="83"/>
      <c r="X2645" s="83"/>
      <c r="Y2645" s="83"/>
      <c r="Z2645" s="83"/>
    </row>
    <row r="2646">
      <c r="A2646" s="75" t="s">
        <v>53</v>
      </c>
      <c r="B2646" s="75" t="s">
        <v>1007</v>
      </c>
      <c r="C2646" s="75">
        <v>1.42</v>
      </c>
      <c r="D2646" s="75">
        <v>0.0</v>
      </c>
      <c r="E2646" s="75">
        <v>0.0</v>
      </c>
      <c r="F2646" s="75" t="s">
        <v>994</v>
      </c>
      <c r="G2646" s="82">
        <v>46112.0</v>
      </c>
      <c r="H2646" s="76" t="s">
        <v>984</v>
      </c>
      <c r="I2646" s="83"/>
      <c r="J2646" s="83"/>
      <c r="K2646" s="83"/>
      <c r="L2646" s="83"/>
      <c r="M2646" s="83"/>
      <c r="N2646" s="83"/>
      <c r="O2646" s="83"/>
      <c r="P2646" s="83"/>
      <c r="Q2646" s="83"/>
      <c r="R2646" s="83"/>
      <c r="S2646" s="83"/>
      <c r="T2646" s="83"/>
      <c r="U2646" s="83"/>
      <c r="V2646" s="83"/>
      <c r="W2646" s="83"/>
      <c r="X2646" s="83"/>
      <c r="Y2646" s="83"/>
      <c r="Z2646" s="83"/>
    </row>
    <row r="2647">
      <c r="A2647" s="75" t="s">
        <v>985</v>
      </c>
      <c r="B2647" s="75" t="s">
        <v>1007</v>
      </c>
      <c r="C2647" s="75">
        <v>1.47</v>
      </c>
      <c r="D2647" s="75">
        <v>0.0</v>
      </c>
      <c r="E2647" s="75">
        <v>0.0</v>
      </c>
      <c r="F2647" s="75" t="s">
        <v>994</v>
      </c>
      <c r="G2647" s="82">
        <v>46112.0</v>
      </c>
      <c r="H2647" s="76" t="s">
        <v>936</v>
      </c>
      <c r="I2647" s="83"/>
      <c r="J2647" s="83"/>
      <c r="K2647" s="83"/>
      <c r="L2647" s="83"/>
      <c r="M2647" s="83"/>
      <c r="N2647" s="83"/>
      <c r="O2647" s="83"/>
      <c r="P2647" s="83"/>
      <c r="Q2647" s="83"/>
      <c r="R2647" s="83"/>
      <c r="S2647" s="83"/>
      <c r="T2647" s="83"/>
      <c r="U2647" s="83"/>
      <c r="V2647" s="83"/>
      <c r="W2647" s="83"/>
      <c r="X2647" s="83"/>
      <c r="Y2647" s="83"/>
      <c r="Z2647" s="83"/>
    </row>
    <row r="2648">
      <c r="A2648" s="75" t="s">
        <v>985</v>
      </c>
      <c r="B2648" s="75" t="s">
        <v>1007</v>
      </c>
      <c r="C2648" s="75">
        <v>1.64</v>
      </c>
      <c r="D2648" s="75">
        <v>0.0</v>
      </c>
      <c r="E2648" s="75">
        <v>0.0</v>
      </c>
      <c r="F2648" s="75" t="s">
        <v>994</v>
      </c>
      <c r="G2648" s="82">
        <v>46112.0</v>
      </c>
      <c r="H2648" s="76" t="s">
        <v>937</v>
      </c>
      <c r="I2648" s="83"/>
      <c r="J2648" s="83"/>
      <c r="K2648" s="83"/>
      <c r="L2648" s="83"/>
      <c r="M2648" s="83"/>
      <c r="N2648" s="83"/>
      <c r="O2648" s="83"/>
      <c r="P2648" s="83"/>
      <c r="Q2648" s="83"/>
      <c r="R2648" s="83"/>
      <c r="S2648" s="83"/>
      <c r="T2648" s="83"/>
      <c r="U2648" s="83"/>
      <c r="V2648" s="83"/>
      <c r="W2648" s="83"/>
      <c r="X2648" s="83"/>
      <c r="Y2648" s="83"/>
      <c r="Z2648" s="83"/>
    </row>
    <row r="2649">
      <c r="A2649" s="75" t="s">
        <v>985</v>
      </c>
      <c r="B2649" s="75" t="s">
        <v>1007</v>
      </c>
      <c r="C2649" s="75">
        <v>6.51</v>
      </c>
      <c r="D2649" s="75">
        <v>0.0</v>
      </c>
      <c r="E2649" s="75">
        <v>0.0</v>
      </c>
      <c r="F2649" s="75" t="s">
        <v>994</v>
      </c>
      <c r="G2649" s="82">
        <v>46112.0</v>
      </c>
      <c r="H2649" s="76" t="s">
        <v>938</v>
      </c>
      <c r="I2649" s="83"/>
      <c r="J2649" s="83"/>
      <c r="K2649" s="83"/>
      <c r="L2649" s="83"/>
      <c r="M2649" s="83"/>
      <c r="N2649" s="83"/>
      <c r="O2649" s="83"/>
      <c r="P2649" s="83"/>
      <c r="Q2649" s="83"/>
      <c r="R2649" s="83"/>
      <c r="S2649" s="83"/>
      <c r="T2649" s="83"/>
      <c r="U2649" s="83"/>
      <c r="V2649" s="83"/>
      <c r="W2649" s="83"/>
      <c r="X2649" s="83"/>
      <c r="Y2649" s="83"/>
      <c r="Z2649" s="83"/>
    </row>
    <row r="2650">
      <c r="A2650" s="75" t="s">
        <v>51</v>
      </c>
      <c r="B2650" s="75" t="s">
        <v>1007</v>
      </c>
      <c r="C2650" s="75">
        <v>10.88</v>
      </c>
      <c r="D2650" s="75">
        <v>0.0</v>
      </c>
      <c r="E2650" s="75">
        <v>0.0</v>
      </c>
      <c r="F2650" s="75" t="s">
        <v>994</v>
      </c>
      <c r="G2650" s="82">
        <v>46112.0</v>
      </c>
      <c r="H2650" s="76" t="s">
        <v>986</v>
      </c>
      <c r="I2650" s="83"/>
      <c r="J2650" s="83"/>
      <c r="K2650" s="83"/>
      <c r="L2650" s="83"/>
      <c r="M2650" s="83"/>
      <c r="N2650" s="83"/>
      <c r="O2650" s="83"/>
      <c r="P2650" s="83"/>
      <c r="Q2650" s="83"/>
      <c r="R2650" s="83"/>
      <c r="S2650" s="83"/>
      <c r="T2650" s="83"/>
      <c r="U2650" s="83"/>
      <c r="V2650" s="83"/>
      <c r="W2650" s="83"/>
      <c r="X2650" s="83"/>
      <c r="Y2650" s="83"/>
      <c r="Z2650" s="83"/>
    </row>
    <row r="2651">
      <c r="A2651" s="75" t="s">
        <v>51</v>
      </c>
      <c r="B2651" s="75" t="s">
        <v>1007</v>
      </c>
      <c r="C2651" s="75">
        <v>2.33</v>
      </c>
      <c r="D2651" s="75">
        <v>0.0</v>
      </c>
      <c r="E2651" s="75">
        <v>0.0</v>
      </c>
      <c r="F2651" s="75" t="s">
        <v>994</v>
      </c>
      <c r="G2651" s="82">
        <v>46112.0</v>
      </c>
      <c r="H2651" s="76" t="s">
        <v>987</v>
      </c>
      <c r="I2651" s="83"/>
      <c r="J2651" s="83"/>
      <c r="K2651" s="83"/>
      <c r="L2651" s="83"/>
      <c r="M2651" s="83"/>
      <c r="N2651" s="83"/>
      <c r="O2651" s="83"/>
      <c r="P2651" s="83"/>
      <c r="Q2651" s="83"/>
      <c r="R2651" s="83"/>
      <c r="S2651" s="83"/>
      <c r="T2651" s="83"/>
      <c r="U2651" s="83"/>
      <c r="V2651" s="83"/>
      <c r="W2651" s="83"/>
      <c r="X2651" s="83"/>
      <c r="Y2651" s="83"/>
      <c r="Z2651" s="83"/>
    </row>
    <row r="2652">
      <c r="A2652" s="75" t="s">
        <v>54</v>
      </c>
      <c r="B2652" s="75" t="s">
        <v>1007</v>
      </c>
      <c r="C2652" s="75">
        <v>15.63</v>
      </c>
      <c r="D2652" s="75">
        <v>1.0</v>
      </c>
      <c r="E2652" s="75">
        <v>15.63</v>
      </c>
      <c r="F2652" s="75" t="s">
        <v>995</v>
      </c>
      <c r="G2652" s="82">
        <v>46112.0</v>
      </c>
      <c r="H2652" s="76" t="s">
        <v>977</v>
      </c>
      <c r="I2652" s="83"/>
      <c r="J2652" s="83"/>
      <c r="K2652" s="83"/>
      <c r="L2652" s="83"/>
      <c r="M2652" s="83"/>
      <c r="N2652" s="83"/>
      <c r="O2652" s="83"/>
      <c r="P2652" s="83"/>
      <c r="Q2652" s="83"/>
      <c r="R2652" s="83"/>
      <c r="S2652" s="83"/>
      <c r="T2652" s="83"/>
      <c r="U2652" s="83"/>
      <c r="V2652" s="83"/>
      <c r="W2652" s="83"/>
      <c r="X2652" s="83"/>
      <c r="Y2652" s="83"/>
      <c r="Z2652" s="83"/>
    </row>
    <row r="2653">
      <c r="A2653" s="75" t="s">
        <v>54</v>
      </c>
      <c r="B2653" s="75" t="s">
        <v>1007</v>
      </c>
      <c r="C2653" s="75">
        <v>35.98</v>
      </c>
      <c r="D2653" s="75">
        <v>7.0</v>
      </c>
      <c r="E2653" s="75">
        <v>5.14</v>
      </c>
      <c r="F2653" s="75" t="s">
        <v>995</v>
      </c>
      <c r="G2653" s="82">
        <v>46112.0</v>
      </c>
      <c r="H2653" s="76" t="s">
        <v>978</v>
      </c>
      <c r="I2653" s="83"/>
      <c r="J2653" s="83"/>
      <c r="K2653" s="83"/>
      <c r="L2653" s="83"/>
      <c r="M2653" s="83"/>
      <c r="N2653" s="83"/>
      <c r="O2653" s="83"/>
      <c r="P2653" s="83"/>
      <c r="Q2653" s="83"/>
      <c r="R2653" s="83"/>
      <c r="S2653" s="83"/>
      <c r="T2653" s="83"/>
      <c r="U2653" s="83"/>
      <c r="V2653" s="83"/>
      <c r="W2653" s="83"/>
      <c r="X2653" s="83"/>
      <c r="Y2653" s="83"/>
      <c r="Z2653" s="83"/>
    </row>
    <row r="2654">
      <c r="A2654" s="75" t="s">
        <v>54</v>
      </c>
      <c r="B2654" s="75" t="s">
        <v>1007</v>
      </c>
      <c r="C2654" s="75">
        <v>13.08</v>
      </c>
      <c r="D2654" s="75">
        <v>2.0</v>
      </c>
      <c r="E2654" s="75">
        <v>6.54</v>
      </c>
      <c r="F2654" s="75" t="s">
        <v>995</v>
      </c>
      <c r="G2654" s="82">
        <v>46112.0</v>
      </c>
      <c r="H2654" s="76" t="s">
        <v>979</v>
      </c>
      <c r="I2654" s="83"/>
      <c r="J2654" s="83"/>
      <c r="K2654" s="83"/>
      <c r="L2654" s="83"/>
      <c r="M2654" s="83"/>
      <c r="N2654" s="83"/>
      <c r="O2654" s="83"/>
      <c r="P2654" s="83"/>
      <c r="Q2654" s="83"/>
      <c r="R2654" s="83"/>
      <c r="S2654" s="83"/>
      <c r="T2654" s="83"/>
      <c r="U2654" s="83"/>
      <c r="V2654" s="83"/>
      <c r="W2654" s="83"/>
      <c r="X2654" s="83"/>
      <c r="Y2654" s="83"/>
      <c r="Z2654" s="83"/>
    </row>
    <row r="2655">
      <c r="A2655" s="75" t="s">
        <v>55</v>
      </c>
      <c r="B2655" s="75" t="s">
        <v>1007</v>
      </c>
      <c r="C2655" s="75">
        <v>31.39</v>
      </c>
      <c r="D2655" s="75">
        <v>0.0</v>
      </c>
      <c r="E2655" s="75">
        <v>0.0</v>
      </c>
      <c r="F2655" s="75" t="s">
        <v>995</v>
      </c>
      <c r="G2655" s="82">
        <v>46112.0</v>
      </c>
      <c r="H2655" s="76" t="s">
        <v>980</v>
      </c>
      <c r="I2655" s="83"/>
      <c r="J2655" s="83"/>
      <c r="K2655" s="83"/>
      <c r="L2655" s="83"/>
      <c r="M2655" s="83"/>
      <c r="N2655" s="83"/>
      <c r="O2655" s="83"/>
      <c r="P2655" s="83"/>
      <c r="Q2655" s="83"/>
      <c r="R2655" s="83"/>
      <c r="S2655" s="83"/>
      <c r="T2655" s="83"/>
      <c r="U2655" s="83"/>
      <c r="V2655" s="83"/>
      <c r="W2655" s="83"/>
      <c r="X2655" s="83"/>
      <c r="Y2655" s="83"/>
      <c r="Z2655" s="83"/>
    </row>
    <row r="2656">
      <c r="A2656" s="75" t="s">
        <v>55</v>
      </c>
      <c r="B2656" s="75" t="s">
        <v>1007</v>
      </c>
      <c r="C2656" s="75">
        <v>30.92</v>
      </c>
      <c r="D2656" s="75">
        <v>4.0</v>
      </c>
      <c r="E2656" s="75">
        <v>7.73</v>
      </c>
      <c r="F2656" s="75" t="s">
        <v>995</v>
      </c>
      <c r="G2656" s="82">
        <v>46112.0</v>
      </c>
      <c r="H2656" s="76" t="s">
        <v>981</v>
      </c>
      <c r="I2656" s="83"/>
      <c r="J2656" s="83"/>
      <c r="K2656" s="83"/>
      <c r="L2656" s="83"/>
      <c r="M2656" s="83"/>
      <c r="N2656" s="83"/>
      <c r="O2656" s="83"/>
      <c r="P2656" s="83"/>
      <c r="Q2656" s="83"/>
      <c r="R2656" s="83"/>
      <c r="S2656" s="83"/>
      <c r="T2656" s="83"/>
      <c r="U2656" s="83"/>
      <c r="V2656" s="83"/>
      <c r="W2656" s="83"/>
      <c r="X2656" s="83"/>
      <c r="Y2656" s="83"/>
      <c r="Z2656" s="83"/>
    </row>
    <row r="2657">
      <c r="A2657" s="75" t="s">
        <v>53</v>
      </c>
      <c r="B2657" s="75" t="s">
        <v>1007</v>
      </c>
      <c r="C2657" s="75">
        <v>18.81</v>
      </c>
      <c r="D2657" s="75">
        <v>1.0</v>
      </c>
      <c r="E2657" s="75">
        <v>18.81</v>
      </c>
      <c r="F2657" s="75" t="s">
        <v>995</v>
      </c>
      <c r="G2657" s="82">
        <v>46112.0</v>
      </c>
      <c r="H2657" s="76" t="s">
        <v>982</v>
      </c>
      <c r="I2657" s="83"/>
      <c r="J2657" s="83"/>
      <c r="K2657" s="83"/>
      <c r="L2657" s="83"/>
      <c r="M2657" s="83"/>
      <c r="N2657" s="83"/>
      <c r="O2657" s="83"/>
      <c r="P2657" s="83"/>
      <c r="Q2657" s="83"/>
      <c r="R2657" s="83"/>
      <c r="S2657" s="83"/>
      <c r="T2657" s="83"/>
      <c r="U2657" s="83"/>
      <c r="V2657" s="83"/>
      <c r="W2657" s="83"/>
      <c r="X2657" s="83"/>
      <c r="Y2657" s="83"/>
      <c r="Z2657" s="83"/>
    </row>
    <row r="2658">
      <c r="A2658" s="75" t="s">
        <v>53</v>
      </c>
      <c r="B2658" s="75" t="s">
        <v>1007</v>
      </c>
      <c r="C2658" s="75">
        <v>9.54</v>
      </c>
      <c r="D2658" s="75">
        <v>2.0</v>
      </c>
      <c r="E2658" s="75">
        <v>4.77</v>
      </c>
      <c r="F2658" s="75" t="s">
        <v>995</v>
      </c>
      <c r="G2658" s="82">
        <v>46112.0</v>
      </c>
      <c r="H2658" s="76" t="s">
        <v>983</v>
      </c>
      <c r="I2658" s="83"/>
      <c r="J2658" s="83"/>
      <c r="K2658" s="83"/>
      <c r="L2658" s="83"/>
      <c r="M2658" s="83"/>
      <c r="N2658" s="83"/>
      <c r="O2658" s="83"/>
      <c r="P2658" s="83"/>
      <c r="Q2658" s="83"/>
      <c r="R2658" s="83"/>
      <c r="S2658" s="83"/>
      <c r="T2658" s="83"/>
      <c r="U2658" s="83"/>
      <c r="V2658" s="83"/>
      <c r="W2658" s="83"/>
      <c r="X2658" s="83"/>
      <c r="Y2658" s="83"/>
      <c r="Z2658" s="83"/>
    </row>
    <row r="2659">
      <c r="A2659" s="75" t="s">
        <v>53</v>
      </c>
      <c r="B2659" s="75" t="s">
        <v>1007</v>
      </c>
      <c r="C2659" s="75">
        <v>8.48</v>
      </c>
      <c r="D2659" s="75">
        <v>3.0</v>
      </c>
      <c r="E2659" s="75">
        <v>2.83</v>
      </c>
      <c r="F2659" s="75" t="s">
        <v>995</v>
      </c>
      <c r="G2659" s="82">
        <v>46112.0</v>
      </c>
      <c r="H2659" s="76" t="s">
        <v>984</v>
      </c>
      <c r="I2659" s="83"/>
      <c r="J2659" s="83"/>
      <c r="K2659" s="83"/>
      <c r="L2659" s="83"/>
      <c r="M2659" s="83"/>
      <c r="N2659" s="83"/>
      <c r="O2659" s="83"/>
      <c r="P2659" s="83"/>
      <c r="Q2659" s="83"/>
      <c r="R2659" s="83"/>
      <c r="S2659" s="83"/>
      <c r="T2659" s="83"/>
      <c r="U2659" s="83"/>
      <c r="V2659" s="83"/>
      <c r="W2659" s="83"/>
      <c r="X2659" s="83"/>
      <c r="Y2659" s="83"/>
      <c r="Z2659" s="83"/>
    </row>
    <row r="2660">
      <c r="A2660" s="75" t="s">
        <v>985</v>
      </c>
      <c r="B2660" s="75" t="s">
        <v>1007</v>
      </c>
      <c r="C2660" s="75">
        <v>7.13</v>
      </c>
      <c r="D2660" s="75">
        <v>1.0</v>
      </c>
      <c r="E2660" s="75">
        <v>7.13</v>
      </c>
      <c r="F2660" s="75" t="s">
        <v>995</v>
      </c>
      <c r="G2660" s="82">
        <v>46112.0</v>
      </c>
      <c r="H2660" s="76" t="s">
        <v>936</v>
      </c>
      <c r="I2660" s="83"/>
      <c r="J2660" s="83"/>
      <c r="K2660" s="83"/>
      <c r="L2660" s="83"/>
      <c r="M2660" s="83"/>
      <c r="N2660" s="83"/>
      <c r="O2660" s="83"/>
      <c r="P2660" s="83"/>
      <c r="Q2660" s="83"/>
      <c r="R2660" s="83"/>
      <c r="S2660" s="83"/>
      <c r="T2660" s="83"/>
      <c r="U2660" s="83"/>
      <c r="V2660" s="83"/>
      <c r="W2660" s="83"/>
      <c r="X2660" s="83"/>
      <c r="Y2660" s="83"/>
      <c r="Z2660" s="83"/>
    </row>
    <row r="2661">
      <c r="A2661" s="75" t="s">
        <v>985</v>
      </c>
      <c r="B2661" s="75" t="s">
        <v>1007</v>
      </c>
      <c r="C2661" s="75">
        <v>11.46</v>
      </c>
      <c r="D2661" s="75">
        <v>5.0</v>
      </c>
      <c r="E2661" s="75">
        <v>2.29</v>
      </c>
      <c r="F2661" s="75" t="s">
        <v>995</v>
      </c>
      <c r="G2661" s="82">
        <v>46112.0</v>
      </c>
      <c r="H2661" s="76" t="s">
        <v>937</v>
      </c>
      <c r="I2661" s="83"/>
      <c r="J2661" s="83"/>
      <c r="K2661" s="83"/>
      <c r="L2661" s="83"/>
      <c r="M2661" s="83"/>
      <c r="N2661" s="83"/>
      <c r="O2661" s="83"/>
      <c r="P2661" s="83"/>
      <c r="Q2661" s="83"/>
      <c r="R2661" s="83"/>
      <c r="S2661" s="83"/>
      <c r="T2661" s="83"/>
      <c r="U2661" s="83"/>
      <c r="V2661" s="83"/>
      <c r="W2661" s="83"/>
      <c r="X2661" s="83"/>
      <c r="Y2661" s="83"/>
      <c r="Z2661" s="83"/>
    </row>
    <row r="2662">
      <c r="A2662" s="75" t="s">
        <v>985</v>
      </c>
      <c r="B2662" s="75" t="s">
        <v>1007</v>
      </c>
      <c r="C2662" s="75">
        <v>18.28</v>
      </c>
      <c r="D2662" s="75">
        <v>2.0</v>
      </c>
      <c r="E2662" s="75">
        <v>9.14</v>
      </c>
      <c r="F2662" s="75" t="s">
        <v>995</v>
      </c>
      <c r="G2662" s="82">
        <v>46112.0</v>
      </c>
      <c r="H2662" s="76" t="s">
        <v>938</v>
      </c>
      <c r="I2662" s="83"/>
      <c r="J2662" s="83"/>
      <c r="K2662" s="83"/>
      <c r="L2662" s="83"/>
      <c r="M2662" s="83"/>
      <c r="N2662" s="83"/>
      <c r="O2662" s="83"/>
      <c r="P2662" s="83"/>
      <c r="Q2662" s="83"/>
      <c r="R2662" s="83"/>
      <c r="S2662" s="83"/>
      <c r="T2662" s="83"/>
      <c r="U2662" s="83"/>
      <c r="V2662" s="83"/>
      <c r="W2662" s="83"/>
      <c r="X2662" s="83"/>
      <c r="Y2662" s="83"/>
      <c r="Z2662" s="83"/>
    </row>
    <row r="2663">
      <c r="A2663" s="75" t="s">
        <v>51</v>
      </c>
      <c r="B2663" s="75" t="s">
        <v>1007</v>
      </c>
      <c r="C2663" s="75">
        <v>37.36</v>
      </c>
      <c r="D2663" s="75">
        <v>6.0</v>
      </c>
      <c r="E2663" s="75">
        <v>6.23</v>
      </c>
      <c r="F2663" s="75" t="s">
        <v>995</v>
      </c>
      <c r="G2663" s="82">
        <v>46112.0</v>
      </c>
      <c r="H2663" s="76" t="s">
        <v>986</v>
      </c>
      <c r="I2663" s="83"/>
      <c r="J2663" s="83"/>
      <c r="K2663" s="83"/>
      <c r="L2663" s="83"/>
      <c r="M2663" s="83"/>
      <c r="N2663" s="83"/>
      <c r="O2663" s="83"/>
      <c r="P2663" s="83"/>
      <c r="Q2663" s="83"/>
      <c r="R2663" s="83"/>
      <c r="S2663" s="83"/>
      <c r="T2663" s="83"/>
      <c r="U2663" s="83"/>
      <c r="V2663" s="83"/>
      <c r="W2663" s="83"/>
      <c r="X2663" s="83"/>
      <c r="Y2663" s="83"/>
      <c r="Z2663" s="83"/>
    </row>
    <row r="2664">
      <c r="A2664" s="75" t="s">
        <v>51</v>
      </c>
      <c r="B2664" s="75" t="s">
        <v>1007</v>
      </c>
      <c r="C2664" s="75">
        <v>15.32</v>
      </c>
      <c r="D2664" s="75">
        <v>3.0</v>
      </c>
      <c r="E2664" s="75">
        <v>5.11</v>
      </c>
      <c r="F2664" s="75" t="s">
        <v>995</v>
      </c>
      <c r="G2664" s="82">
        <v>46112.0</v>
      </c>
      <c r="H2664" s="76" t="s">
        <v>987</v>
      </c>
      <c r="I2664" s="83"/>
      <c r="J2664" s="83"/>
      <c r="K2664" s="83"/>
      <c r="L2664" s="83"/>
      <c r="M2664" s="83"/>
      <c r="N2664" s="83"/>
      <c r="O2664" s="83"/>
      <c r="P2664" s="83"/>
      <c r="Q2664" s="83"/>
      <c r="R2664" s="83"/>
      <c r="S2664" s="83"/>
      <c r="T2664" s="83"/>
      <c r="U2664" s="83"/>
      <c r="V2664" s="83"/>
      <c r="W2664" s="83"/>
      <c r="X2664" s="83"/>
      <c r="Y2664" s="83"/>
      <c r="Z2664" s="83"/>
    </row>
    <row r="2665">
      <c r="A2665" s="75" t="s">
        <v>54</v>
      </c>
      <c r="B2665" s="75" t="s">
        <v>1007</v>
      </c>
      <c r="C2665" s="75">
        <v>6.46</v>
      </c>
      <c r="D2665" s="75">
        <v>1.0</v>
      </c>
      <c r="E2665" s="75">
        <v>6.46</v>
      </c>
      <c r="F2665" s="75" t="s">
        <v>996</v>
      </c>
      <c r="G2665" s="82">
        <v>46112.0</v>
      </c>
      <c r="H2665" s="76" t="s">
        <v>977</v>
      </c>
      <c r="I2665" s="83"/>
      <c r="J2665" s="83"/>
      <c r="K2665" s="83"/>
      <c r="L2665" s="83"/>
      <c r="M2665" s="83"/>
      <c r="N2665" s="83"/>
      <c r="O2665" s="83"/>
      <c r="P2665" s="83"/>
      <c r="Q2665" s="83"/>
      <c r="R2665" s="83"/>
      <c r="S2665" s="83"/>
      <c r="T2665" s="83"/>
      <c r="U2665" s="83"/>
      <c r="V2665" s="83"/>
      <c r="W2665" s="83"/>
      <c r="X2665" s="83"/>
      <c r="Y2665" s="83"/>
      <c r="Z2665" s="83"/>
    </row>
    <row r="2666">
      <c r="A2666" s="75" t="s">
        <v>54</v>
      </c>
      <c r="B2666" s="75" t="s">
        <v>1007</v>
      </c>
      <c r="C2666" s="75">
        <v>3.73</v>
      </c>
      <c r="D2666" s="75">
        <v>0.0</v>
      </c>
      <c r="E2666" s="75">
        <v>0.0</v>
      </c>
      <c r="F2666" s="75" t="s">
        <v>996</v>
      </c>
      <c r="G2666" s="82">
        <v>46112.0</v>
      </c>
      <c r="H2666" s="76" t="s">
        <v>978</v>
      </c>
      <c r="I2666" s="83"/>
      <c r="J2666" s="83"/>
      <c r="K2666" s="83"/>
      <c r="L2666" s="83"/>
      <c r="M2666" s="83"/>
      <c r="N2666" s="83"/>
      <c r="O2666" s="83"/>
      <c r="P2666" s="83"/>
      <c r="Q2666" s="83"/>
      <c r="R2666" s="83"/>
      <c r="S2666" s="83"/>
      <c r="T2666" s="83"/>
      <c r="U2666" s="83"/>
      <c r="V2666" s="83"/>
      <c r="W2666" s="83"/>
      <c r="X2666" s="83"/>
      <c r="Y2666" s="83"/>
      <c r="Z2666" s="83"/>
    </row>
    <row r="2667">
      <c r="A2667" s="75" t="s">
        <v>54</v>
      </c>
      <c r="B2667" s="75" t="s">
        <v>1007</v>
      </c>
      <c r="C2667" s="75">
        <v>3.09</v>
      </c>
      <c r="D2667" s="75">
        <v>1.0</v>
      </c>
      <c r="E2667" s="75">
        <v>3.09</v>
      </c>
      <c r="F2667" s="75" t="s">
        <v>996</v>
      </c>
      <c r="G2667" s="82">
        <v>46112.0</v>
      </c>
      <c r="H2667" s="76" t="s">
        <v>979</v>
      </c>
      <c r="I2667" s="83"/>
      <c r="J2667" s="83"/>
      <c r="K2667" s="83"/>
      <c r="L2667" s="83"/>
      <c r="M2667" s="83"/>
      <c r="N2667" s="83"/>
      <c r="O2667" s="83"/>
      <c r="P2667" s="83"/>
      <c r="Q2667" s="83"/>
      <c r="R2667" s="83"/>
      <c r="S2667" s="83"/>
      <c r="T2667" s="83"/>
      <c r="U2667" s="83"/>
      <c r="V2667" s="83"/>
      <c r="W2667" s="83"/>
      <c r="X2667" s="83"/>
      <c r="Y2667" s="83"/>
      <c r="Z2667" s="83"/>
    </row>
    <row r="2668">
      <c r="A2668" s="75" t="s">
        <v>55</v>
      </c>
      <c r="B2668" s="75" t="s">
        <v>1007</v>
      </c>
      <c r="C2668" s="75">
        <v>7.35</v>
      </c>
      <c r="D2668" s="75">
        <v>0.0</v>
      </c>
      <c r="E2668" s="75">
        <v>0.0</v>
      </c>
      <c r="F2668" s="75" t="s">
        <v>996</v>
      </c>
      <c r="G2668" s="82">
        <v>46112.0</v>
      </c>
      <c r="H2668" s="76" t="s">
        <v>980</v>
      </c>
      <c r="I2668" s="83"/>
      <c r="J2668" s="83"/>
      <c r="K2668" s="83"/>
      <c r="L2668" s="83"/>
      <c r="M2668" s="83"/>
      <c r="N2668" s="83"/>
      <c r="O2668" s="83"/>
      <c r="P2668" s="83"/>
      <c r="Q2668" s="83"/>
      <c r="R2668" s="83"/>
      <c r="S2668" s="83"/>
      <c r="T2668" s="83"/>
      <c r="U2668" s="83"/>
      <c r="V2668" s="83"/>
      <c r="W2668" s="83"/>
      <c r="X2668" s="83"/>
      <c r="Y2668" s="83"/>
      <c r="Z2668" s="83"/>
    </row>
    <row r="2669">
      <c r="A2669" s="75" t="s">
        <v>55</v>
      </c>
      <c r="B2669" s="75" t="s">
        <v>1007</v>
      </c>
      <c r="C2669" s="75">
        <v>5.64</v>
      </c>
      <c r="D2669" s="75">
        <v>0.0</v>
      </c>
      <c r="E2669" s="75">
        <v>0.0</v>
      </c>
      <c r="F2669" s="75" t="s">
        <v>996</v>
      </c>
      <c r="G2669" s="82">
        <v>46112.0</v>
      </c>
      <c r="H2669" s="76" t="s">
        <v>981</v>
      </c>
      <c r="I2669" s="83"/>
      <c r="J2669" s="83"/>
      <c r="K2669" s="83"/>
      <c r="L2669" s="83"/>
      <c r="M2669" s="83"/>
      <c r="N2669" s="83"/>
      <c r="O2669" s="83"/>
      <c r="P2669" s="83"/>
      <c r="Q2669" s="83"/>
      <c r="R2669" s="83"/>
      <c r="S2669" s="83"/>
      <c r="T2669" s="83"/>
      <c r="U2669" s="83"/>
      <c r="V2669" s="83"/>
      <c r="W2669" s="83"/>
      <c r="X2669" s="83"/>
      <c r="Y2669" s="83"/>
      <c r="Z2669" s="83"/>
    </row>
    <row r="2670">
      <c r="A2670" s="75" t="s">
        <v>53</v>
      </c>
      <c r="B2670" s="75" t="s">
        <v>1007</v>
      </c>
      <c r="C2670" s="75">
        <v>5.04</v>
      </c>
      <c r="D2670" s="75">
        <v>0.0</v>
      </c>
      <c r="E2670" s="75">
        <v>0.0</v>
      </c>
      <c r="F2670" s="75" t="s">
        <v>996</v>
      </c>
      <c r="G2670" s="82">
        <v>46112.0</v>
      </c>
      <c r="H2670" s="76" t="s">
        <v>982</v>
      </c>
      <c r="I2670" s="83"/>
      <c r="J2670" s="83"/>
      <c r="K2670" s="83"/>
      <c r="L2670" s="83"/>
      <c r="M2670" s="83"/>
      <c r="N2670" s="83"/>
      <c r="O2670" s="83"/>
      <c r="P2670" s="83"/>
      <c r="Q2670" s="83"/>
      <c r="R2670" s="83"/>
      <c r="S2670" s="83"/>
      <c r="T2670" s="83"/>
      <c r="U2670" s="83"/>
      <c r="V2670" s="83"/>
      <c r="W2670" s="83"/>
      <c r="X2670" s="83"/>
      <c r="Y2670" s="83"/>
      <c r="Z2670" s="83"/>
    </row>
    <row r="2671">
      <c r="A2671" s="75" t="s">
        <v>53</v>
      </c>
      <c r="B2671" s="75" t="s">
        <v>1007</v>
      </c>
      <c r="C2671" s="75">
        <v>1.57</v>
      </c>
      <c r="D2671" s="75">
        <v>0.0</v>
      </c>
      <c r="E2671" s="75">
        <v>0.0</v>
      </c>
      <c r="F2671" s="75" t="s">
        <v>996</v>
      </c>
      <c r="G2671" s="82">
        <v>46112.0</v>
      </c>
      <c r="H2671" s="76" t="s">
        <v>983</v>
      </c>
      <c r="I2671" s="83"/>
      <c r="J2671" s="83"/>
      <c r="K2671" s="83"/>
      <c r="L2671" s="83"/>
      <c r="M2671" s="83"/>
      <c r="N2671" s="83"/>
      <c r="O2671" s="83"/>
      <c r="P2671" s="83"/>
      <c r="Q2671" s="83"/>
      <c r="R2671" s="83"/>
      <c r="S2671" s="83"/>
      <c r="T2671" s="83"/>
      <c r="U2671" s="83"/>
      <c r="V2671" s="83"/>
      <c r="W2671" s="83"/>
      <c r="X2671" s="83"/>
      <c r="Y2671" s="83"/>
      <c r="Z2671" s="83"/>
    </row>
    <row r="2672">
      <c r="A2672" s="75" t="s">
        <v>53</v>
      </c>
      <c r="B2672" s="75" t="s">
        <v>1007</v>
      </c>
      <c r="C2672" s="75">
        <v>1.52</v>
      </c>
      <c r="D2672" s="75">
        <v>0.0</v>
      </c>
      <c r="E2672" s="75">
        <v>0.0</v>
      </c>
      <c r="F2672" s="75" t="s">
        <v>996</v>
      </c>
      <c r="G2672" s="82">
        <v>46112.0</v>
      </c>
      <c r="H2672" s="76" t="s">
        <v>984</v>
      </c>
      <c r="I2672" s="83"/>
      <c r="J2672" s="83"/>
      <c r="K2672" s="83"/>
      <c r="L2672" s="83"/>
      <c r="M2672" s="83"/>
      <c r="N2672" s="83"/>
      <c r="O2672" s="83"/>
      <c r="P2672" s="83"/>
      <c r="Q2672" s="83"/>
      <c r="R2672" s="83"/>
      <c r="S2672" s="83"/>
      <c r="T2672" s="83"/>
      <c r="U2672" s="83"/>
      <c r="V2672" s="83"/>
      <c r="W2672" s="83"/>
      <c r="X2672" s="83"/>
      <c r="Y2672" s="83"/>
      <c r="Z2672" s="83"/>
    </row>
    <row r="2673">
      <c r="A2673" s="75" t="s">
        <v>985</v>
      </c>
      <c r="B2673" s="75" t="s">
        <v>1007</v>
      </c>
      <c r="C2673" s="75">
        <v>1.23</v>
      </c>
      <c r="D2673" s="75">
        <v>0.0</v>
      </c>
      <c r="E2673" s="75">
        <v>0.0</v>
      </c>
      <c r="F2673" s="75" t="s">
        <v>996</v>
      </c>
      <c r="G2673" s="82">
        <v>46112.0</v>
      </c>
      <c r="H2673" s="76" t="s">
        <v>936</v>
      </c>
      <c r="I2673" s="83"/>
      <c r="J2673" s="83"/>
      <c r="K2673" s="83"/>
      <c r="L2673" s="83"/>
      <c r="M2673" s="83"/>
      <c r="N2673" s="83"/>
      <c r="O2673" s="83"/>
      <c r="P2673" s="83"/>
      <c r="Q2673" s="83"/>
      <c r="R2673" s="83"/>
      <c r="S2673" s="83"/>
      <c r="T2673" s="83"/>
      <c r="U2673" s="83"/>
      <c r="V2673" s="83"/>
      <c r="W2673" s="83"/>
      <c r="X2673" s="83"/>
      <c r="Y2673" s="83"/>
      <c r="Z2673" s="83"/>
    </row>
    <row r="2674">
      <c r="A2674" s="75" t="s">
        <v>985</v>
      </c>
      <c r="B2674" s="75" t="s">
        <v>1007</v>
      </c>
      <c r="C2674" s="75">
        <v>2.04</v>
      </c>
      <c r="D2674" s="75">
        <v>0.0</v>
      </c>
      <c r="E2674" s="75">
        <v>0.0</v>
      </c>
      <c r="F2674" s="75" t="s">
        <v>996</v>
      </c>
      <c r="G2674" s="82">
        <v>46112.0</v>
      </c>
      <c r="H2674" s="76" t="s">
        <v>937</v>
      </c>
      <c r="I2674" s="83"/>
      <c r="J2674" s="83"/>
      <c r="K2674" s="83"/>
      <c r="L2674" s="83"/>
      <c r="M2674" s="83"/>
      <c r="N2674" s="83"/>
      <c r="O2674" s="83"/>
      <c r="P2674" s="83"/>
      <c r="Q2674" s="83"/>
      <c r="R2674" s="83"/>
      <c r="S2674" s="83"/>
      <c r="T2674" s="83"/>
      <c r="U2674" s="83"/>
      <c r="V2674" s="83"/>
      <c r="W2674" s="83"/>
      <c r="X2674" s="83"/>
      <c r="Y2674" s="83"/>
      <c r="Z2674" s="83"/>
    </row>
    <row r="2675">
      <c r="A2675" s="75" t="s">
        <v>985</v>
      </c>
      <c r="B2675" s="75" t="s">
        <v>1007</v>
      </c>
      <c r="C2675" s="75">
        <v>8.1</v>
      </c>
      <c r="D2675" s="75">
        <v>1.0</v>
      </c>
      <c r="E2675" s="75">
        <v>8.1</v>
      </c>
      <c r="F2675" s="75" t="s">
        <v>996</v>
      </c>
      <c r="G2675" s="82">
        <v>46112.0</v>
      </c>
      <c r="H2675" s="76" t="s">
        <v>938</v>
      </c>
      <c r="I2675" s="83"/>
      <c r="J2675" s="83"/>
      <c r="K2675" s="83"/>
      <c r="L2675" s="83"/>
      <c r="M2675" s="83"/>
      <c r="N2675" s="83"/>
      <c r="O2675" s="83"/>
      <c r="P2675" s="83"/>
      <c r="Q2675" s="83"/>
      <c r="R2675" s="83"/>
      <c r="S2675" s="83"/>
      <c r="T2675" s="83"/>
      <c r="U2675" s="83"/>
      <c r="V2675" s="83"/>
      <c r="W2675" s="83"/>
      <c r="X2675" s="83"/>
      <c r="Y2675" s="83"/>
      <c r="Z2675" s="83"/>
    </row>
    <row r="2676">
      <c r="A2676" s="75" t="s">
        <v>51</v>
      </c>
      <c r="B2676" s="75" t="s">
        <v>1007</v>
      </c>
      <c r="C2676" s="75">
        <v>32.68</v>
      </c>
      <c r="D2676" s="75">
        <v>2.0</v>
      </c>
      <c r="E2676" s="75">
        <v>16.34</v>
      </c>
      <c r="F2676" s="75" t="s">
        <v>996</v>
      </c>
      <c r="G2676" s="82">
        <v>46112.0</v>
      </c>
      <c r="H2676" s="76" t="s">
        <v>986</v>
      </c>
      <c r="I2676" s="83"/>
      <c r="J2676" s="83"/>
      <c r="K2676" s="83"/>
      <c r="L2676" s="83"/>
      <c r="M2676" s="83"/>
      <c r="N2676" s="83"/>
      <c r="O2676" s="83"/>
      <c r="P2676" s="83"/>
      <c r="Q2676" s="83"/>
      <c r="R2676" s="83"/>
      <c r="S2676" s="83"/>
      <c r="T2676" s="83"/>
      <c r="U2676" s="83"/>
      <c r="V2676" s="83"/>
      <c r="W2676" s="83"/>
      <c r="X2676" s="83"/>
      <c r="Y2676" s="83"/>
      <c r="Z2676" s="83"/>
    </row>
    <row r="2677">
      <c r="A2677" s="75" t="s">
        <v>51</v>
      </c>
      <c r="B2677" s="75" t="s">
        <v>1007</v>
      </c>
      <c r="C2677" s="75">
        <v>2.42</v>
      </c>
      <c r="D2677" s="75">
        <v>0.0</v>
      </c>
      <c r="E2677" s="75">
        <v>0.0</v>
      </c>
      <c r="F2677" s="75" t="s">
        <v>996</v>
      </c>
      <c r="G2677" s="82">
        <v>46112.0</v>
      </c>
      <c r="H2677" s="76" t="s">
        <v>987</v>
      </c>
      <c r="I2677" s="83"/>
      <c r="J2677" s="83"/>
      <c r="K2677" s="83"/>
      <c r="L2677" s="83"/>
      <c r="M2677" s="83"/>
      <c r="N2677" s="83"/>
      <c r="O2677" s="83"/>
      <c r="P2677" s="83"/>
      <c r="Q2677" s="83"/>
      <c r="R2677" s="83"/>
      <c r="S2677" s="83"/>
      <c r="T2677" s="83"/>
      <c r="U2677" s="83"/>
      <c r="V2677" s="83"/>
      <c r="W2677" s="83"/>
      <c r="X2677" s="83"/>
      <c r="Y2677" s="83"/>
      <c r="Z2677" s="83"/>
    </row>
    <row r="2678">
      <c r="A2678" s="75" t="s">
        <v>54</v>
      </c>
      <c r="B2678" s="75" t="s">
        <v>1007</v>
      </c>
      <c r="C2678" s="75">
        <v>3.53</v>
      </c>
      <c r="D2678" s="75">
        <v>0.0</v>
      </c>
      <c r="E2678" s="75">
        <v>0.0</v>
      </c>
      <c r="F2678" s="75" t="s">
        <v>997</v>
      </c>
      <c r="G2678" s="82">
        <v>46112.0</v>
      </c>
      <c r="H2678" s="76" t="s">
        <v>977</v>
      </c>
      <c r="I2678" s="83"/>
      <c r="J2678" s="83"/>
      <c r="K2678" s="83"/>
      <c r="L2678" s="83"/>
      <c r="M2678" s="83"/>
      <c r="N2678" s="83"/>
      <c r="O2678" s="83"/>
      <c r="P2678" s="83"/>
      <c r="Q2678" s="83"/>
      <c r="R2678" s="83"/>
      <c r="S2678" s="83"/>
      <c r="T2678" s="83"/>
      <c r="U2678" s="83"/>
      <c r="V2678" s="83"/>
      <c r="W2678" s="83"/>
      <c r="X2678" s="83"/>
      <c r="Y2678" s="83"/>
      <c r="Z2678" s="83"/>
    </row>
    <row r="2679">
      <c r="A2679" s="75" t="s">
        <v>54</v>
      </c>
      <c r="B2679" s="75" t="s">
        <v>1007</v>
      </c>
      <c r="C2679" s="75">
        <v>6.72</v>
      </c>
      <c r="D2679" s="75">
        <v>0.0</v>
      </c>
      <c r="E2679" s="75">
        <v>0.0</v>
      </c>
      <c r="F2679" s="75" t="s">
        <v>997</v>
      </c>
      <c r="G2679" s="82">
        <v>46112.0</v>
      </c>
      <c r="H2679" s="76" t="s">
        <v>978</v>
      </c>
      <c r="I2679" s="83"/>
      <c r="J2679" s="83"/>
      <c r="K2679" s="83"/>
      <c r="L2679" s="83"/>
      <c r="M2679" s="83"/>
      <c r="N2679" s="83"/>
      <c r="O2679" s="83"/>
      <c r="P2679" s="83"/>
      <c r="Q2679" s="83"/>
      <c r="R2679" s="83"/>
      <c r="S2679" s="83"/>
      <c r="T2679" s="83"/>
      <c r="U2679" s="83"/>
      <c r="V2679" s="83"/>
      <c r="W2679" s="83"/>
      <c r="X2679" s="83"/>
      <c r="Y2679" s="83"/>
      <c r="Z2679" s="83"/>
    </row>
    <row r="2680">
      <c r="A2680" s="75" t="s">
        <v>54</v>
      </c>
      <c r="B2680" s="75" t="s">
        <v>1007</v>
      </c>
      <c r="C2680" s="75">
        <v>4.17</v>
      </c>
      <c r="D2680" s="75">
        <v>0.0</v>
      </c>
      <c r="E2680" s="75">
        <v>0.0</v>
      </c>
      <c r="F2680" s="75" t="s">
        <v>997</v>
      </c>
      <c r="G2680" s="82">
        <v>46112.0</v>
      </c>
      <c r="H2680" s="76" t="s">
        <v>979</v>
      </c>
      <c r="I2680" s="83"/>
      <c r="J2680" s="83"/>
      <c r="K2680" s="83"/>
      <c r="L2680" s="83"/>
      <c r="M2680" s="83"/>
      <c r="N2680" s="83"/>
      <c r="O2680" s="83"/>
      <c r="P2680" s="83"/>
      <c r="Q2680" s="83"/>
      <c r="R2680" s="83"/>
      <c r="S2680" s="83"/>
      <c r="T2680" s="83"/>
      <c r="U2680" s="83"/>
      <c r="V2680" s="83"/>
      <c r="W2680" s="83"/>
      <c r="X2680" s="83"/>
      <c r="Y2680" s="83"/>
      <c r="Z2680" s="83"/>
    </row>
    <row r="2681">
      <c r="A2681" s="75" t="s">
        <v>55</v>
      </c>
      <c r="B2681" s="75" t="s">
        <v>1007</v>
      </c>
      <c r="C2681" s="75">
        <v>5.64</v>
      </c>
      <c r="D2681" s="75">
        <v>0.0</v>
      </c>
      <c r="E2681" s="75">
        <v>0.0</v>
      </c>
      <c r="F2681" s="75" t="s">
        <v>997</v>
      </c>
      <c r="G2681" s="82">
        <v>46112.0</v>
      </c>
      <c r="H2681" s="76" t="s">
        <v>980</v>
      </c>
      <c r="I2681" s="83"/>
      <c r="J2681" s="83"/>
      <c r="K2681" s="83"/>
      <c r="L2681" s="83"/>
      <c r="M2681" s="83"/>
      <c r="N2681" s="83"/>
      <c r="O2681" s="83"/>
      <c r="P2681" s="83"/>
      <c r="Q2681" s="83"/>
      <c r="R2681" s="83"/>
      <c r="S2681" s="83"/>
      <c r="T2681" s="83"/>
      <c r="U2681" s="83"/>
      <c r="V2681" s="83"/>
      <c r="W2681" s="83"/>
      <c r="X2681" s="83"/>
      <c r="Y2681" s="83"/>
      <c r="Z2681" s="83"/>
    </row>
    <row r="2682">
      <c r="A2682" s="75" t="s">
        <v>55</v>
      </c>
      <c r="B2682" s="75" t="s">
        <v>1007</v>
      </c>
      <c r="C2682" s="75">
        <v>8.72</v>
      </c>
      <c r="D2682" s="75">
        <v>2.0</v>
      </c>
      <c r="E2682" s="75">
        <v>4.36</v>
      </c>
      <c r="F2682" s="75" t="s">
        <v>997</v>
      </c>
      <c r="G2682" s="82">
        <v>46112.0</v>
      </c>
      <c r="H2682" s="76" t="s">
        <v>981</v>
      </c>
      <c r="I2682" s="83"/>
      <c r="J2682" s="83"/>
      <c r="K2682" s="83"/>
      <c r="L2682" s="83"/>
      <c r="M2682" s="83"/>
      <c r="N2682" s="83"/>
      <c r="O2682" s="83"/>
      <c r="P2682" s="83"/>
      <c r="Q2682" s="83"/>
      <c r="R2682" s="83"/>
      <c r="S2682" s="83"/>
      <c r="T2682" s="83"/>
      <c r="U2682" s="83"/>
      <c r="V2682" s="83"/>
      <c r="W2682" s="83"/>
      <c r="X2682" s="83"/>
      <c r="Y2682" s="83"/>
      <c r="Z2682" s="83"/>
    </row>
    <row r="2683">
      <c r="A2683" s="75" t="s">
        <v>53</v>
      </c>
      <c r="B2683" s="75" t="s">
        <v>1007</v>
      </c>
      <c r="C2683" s="75">
        <v>7.53</v>
      </c>
      <c r="D2683" s="75">
        <v>1.0</v>
      </c>
      <c r="E2683" s="75">
        <v>7.53</v>
      </c>
      <c r="F2683" s="75" t="s">
        <v>997</v>
      </c>
      <c r="G2683" s="82">
        <v>46112.0</v>
      </c>
      <c r="H2683" s="76" t="s">
        <v>982</v>
      </c>
      <c r="I2683" s="83"/>
      <c r="J2683" s="83"/>
      <c r="K2683" s="83"/>
      <c r="L2683" s="83"/>
      <c r="M2683" s="83"/>
      <c r="N2683" s="83"/>
      <c r="O2683" s="83"/>
      <c r="P2683" s="83"/>
      <c r="Q2683" s="83"/>
      <c r="R2683" s="83"/>
      <c r="S2683" s="83"/>
      <c r="T2683" s="83"/>
      <c r="U2683" s="83"/>
      <c r="V2683" s="83"/>
      <c r="W2683" s="83"/>
      <c r="X2683" s="83"/>
      <c r="Y2683" s="83"/>
      <c r="Z2683" s="83"/>
    </row>
    <row r="2684">
      <c r="A2684" s="75" t="s">
        <v>53</v>
      </c>
      <c r="B2684" s="75" t="s">
        <v>1007</v>
      </c>
      <c r="C2684" s="75">
        <v>1.99</v>
      </c>
      <c r="D2684" s="75">
        <v>0.0</v>
      </c>
      <c r="E2684" s="75">
        <v>0.0</v>
      </c>
      <c r="F2684" s="75" t="s">
        <v>997</v>
      </c>
      <c r="G2684" s="82">
        <v>46112.0</v>
      </c>
      <c r="H2684" s="76" t="s">
        <v>983</v>
      </c>
      <c r="I2684" s="83"/>
      <c r="J2684" s="83"/>
      <c r="K2684" s="83"/>
      <c r="L2684" s="83"/>
      <c r="M2684" s="83"/>
      <c r="N2684" s="83"/>
      <c r="O2684" s="83"/>
      <c r="P2684" s="83"/>
      <c r="Q2684" s="83"/>
      <c r="R2684" s="83"/>
      <c r="S2684" s="83"/>
      <c r="T2684" s="83"/>
      <c r="U2684" s="83"/>
      <c r="V2684" s="83"/>
      <c r="W2684" s="83"/>
      <c r="X2684" s="83"/>
      <c r="Y2684" s="83"/>
      <c r="Z2684" s="83"/>
    </row>
    <row r="2685">
      <c r="A2685" s="75" t="s">
        <v>53</v>
      </c>
      <c r="B2685" s="75" t="s">
        <v>1007</v>
      </c>
      <c r="C2685" s="75">
        <v>1.52</v>
      </c>
      <c r="D2685" s="75">
        <v>0.0</v>
      </c>
      <c r="E2685" s="75">
        <v>0.0</v>
      </c>
      <c r="F2685" s="75" t="s">
        <v>997</v>
      </c>
      <c r="G2685" s="82">
        <v>46112.0</v>
      </c>
      <c r="H2685" s="76" t="s">
        <v>984</v>
      </c>
      <c r="I2685" s="83"/>
      <c r="J2685" s="83"/>
      <c r="K2685" s="83"/>
      <c r="L2685" s="83"/>
      <c r="M2685" s="83"/>
      <c r="N2685" s="83"/>
      <c r="O2685" s="83"/>
      <c r="P2685" s="83"/>
      <c r="Q2685" s="83"/>
      <c r="R2685" s="83"/>
      <c r="S2685" s="83"/>
      <c r="T2685" s="83"/>
      <c r="U2685" s="83"/>
      <c r="V2685" s="83"/>
      <c r="W2685" s="83"/>
      <c r="X2685" s="83"/>
      <c r="Y2685" s="83"/>
      <c r="Z2685" s="83"/>
    </row>
    <row r="2686">
      <c r="A2686" s="75" t="s">
        <v>985</v>
      </c>
      <c r="B2686" s="75" t="s">
        <v>1007</v>
      </c>
      <c r="C2686" s="75">
        <v>1.37</v>
      </c>
      <c r="D2686" s="75">
        <v>0.0</v>
      </c>
      <c r="E2686" s="75">
        <v>0.0</v>
      </c>
      <c r="F2686" s="75" t="s">
        <v>997</v>
      </c>
      <c r="G2686" s="82">
        <v>46112.0</v>
      </c>
      <c r="H2686" s="76" t="s">
        <v>936</v>
      </c>
      <c r="I2686" s="83"/>
      <c r="J2686" s="83"/>
      <c r="K2686" s="83"/>
      <c r="L2686" s="83"/>
      <c r="M2686" s="83"/>
      <c r="N2686" s="83"/>
      <c r="O2686" s="83"/>
      <c r="P2686" s="83"/>
      <c r="Q2686" s="83"/>
      <c r="R2686" s="83"/>
      <c r="S2686" s="83"/>
      <c r="T2686" s="83"/>
      <c r="U2686" s="83"/>
      <c r="V2686" s="83"/>
      <c r="W2686" s="83"/>
      <c r="X2686" s="83"/>
      <c r="Y2686" s="83"/>
      <c r="Z2686" s="83"/>
    </row>
    <row r="2687">
      <c r="A2687" s="75" t="s">
        <v>985</v>
      </c>
      <c r="B2687" s="75" t="s">
        <v>1007</v>
      </c>
      <c r="C2687" s="75">
        <v>1.15</v>
      </c>
      <c r="D2687" s="75">
        <v>0.0</v>
      </c>
      <c r="E2687" s="75">
        <v>0.0</v>
      </c>
      <c r="F2687" s="75" t="s">
        <v>997</v>
      </c>
      <c r="G2687" s="82">
        <v>46112.0</v>
      </c>
      <c r="H2687" s="76" t="s">
        <v>937</v>
      </c>
      <c r="I2687" s="83"/>
      <c r="J2687" s="83"/>
      <c r="K2687" s="83"/>
      <c r="L2687" s="83"/>
      <c r="M2687" s="83"/>
      <c r="N2687" s="83"/>
      <c r="O2687" s="83"/>
      <c r="P2687" s="83"/>
      <c r="Q2687" s="83"/>
      <c r="R2687" s="83"/>
      <c r="S2687" s="83"/>
      <c r="T2687" s="83"/>
      <c r="U2687" s="83"/>
      <c r="V2687" s="83"/>
      <c r="W2687" s="83"/>
      <c r="X2687" s="83"/>
      <c r="Y2687" s="83"/>
      <c r="Z2687" s="83"/>
    </row>
    <row r="2688">
      <c r="A2688" s="75" t="s">
        <v>985</v>
      </c>
      <c r="B2688" s="75" t="s">
        <v>1007</v>
      </c>
      <c r="C2688" s="75">
        <v>10.0</v>
      </c>
      <c r="D2688" s="75">
        <v>0.0</v>
      </c>
      <c r="E2688" s="75">
        <v>0.0</v>
      </c>
      <c r="F2688" s="75" t="s">
        <v>997</v>
      </c>
      <c r="G2688" s="82">
        <v>46112.0</v>
      </c>
      <c r="H2688" s="76" t="s">
        <v>938</v>
      </c>
      <c r="I2688" s="83"/>
      <c r="J2688" s="83"/>
      <c r="K2688" s="83"/>
      <c r="L2688" s="83"/>
      <c r="M2688" s="83"/>
      <c r="N2688" s="83"/>
      <c r="O2688" s="83"/>
      <c r="P2688" s="83"/>
      <c r="Q2688" s="83"/>
      <c r="R2688" s="83"/>
      <c r="S2688" s="83"/>
      <c r="T2688" s="83"/>
      <c r="U2688" s="83"/>
      <c r="V2688" s="83"/>
      <c r="W2688" s="83"/>
      <c r="X2688" s="83"/>
      <c r="Y2688" s="83"/>
      <c r="Z2688" s="83"/>
    </row>
    <row r="2689">
      <c r="A2689" s="75" t="s">
        <v>51</v>
      </c>
      <c r="B2689" s="75" t="s">
        <v>1007</v>
      </c>
      <c r="C2689" s="75">
        <v>8.4</v>
      </c>
      <c r="D2689" s="75">
        <v>0.0</v>
      </c>
      <c r="E2689" s="75">
        <v>0.0</v>
      </c>
      <c r="F2689" s="75" t="s">
        <v>997</v>
      </c>
      <c r="G2689" s="82">
        <v>46112.0</v>
      </c>
      <c r="H2689" s="76" t="s">
        <v>986</v>
      </c>
      <c r="I2689" s="83"/>
      <c r="J2689" s="83"/>
      <c r="K2689" s="83"/>
      <c r="L2689" s="83"/>
      <c r="M2689" s="83"/>
      <c r="N2689" s="83"/>
      <c r="O2689" s="83"/>
      <c r="P2689" s="83"/>
      <c r="Q2689" s="83"/>
      <c r="R2689" s="83"/>
      <c r="S2689" s="83"/>
      <c r="T2689" s="83"/>
      <c r="U2689" s="83"/>
      <c r="V2689" s="83"/>
      <c r="W2689" s="83"/>
      <c r="X2689" s="83"/>
      <c r="Y2689" s="83"/>
      <c r="Z2689" s="83"/>
    </row>
    <row r="2690">
      <c r="A2690" s="75" t="s">
        <v>51</v>
      </c>
      <c r="B2690" s="75" t="s">
        <v>1007</v>
      </c>
      <c r="C2690" s="75">
        <v>2.64</v>
      </c>
      <c r="D2690" s="75">
        <v>0.0</v>
      </c>
      <c r="E2690" s="75">
        <v>0.0</v>
      </c>
      <c r="F2690" s="75" t="s">
        <v>997</v>
      </c>
      <c r="G2690" s="82">
        <v>46112.0</v>
      </c>
      <c r="H2690" s="76" t="s">
        <v>987</v>
      </c>
      <c r="I2690" s="83"/>
      <c r="J2690" s="83"/>
      <c r="K2690" s="83"/>
      <c r="L2690" s="83"/>
      <c r="M2690" s="83"/>
      <c r="N2690" s="83"/>
      <c r="O2690" s="83"/>
      <c r="P2690" s="83"/>
      <c r="Q2690" s="83"/>
      <c r="R2690" s="83"/>
      <c r="S2690" s="83"/>
      <c r="T2690" s="83"/>
      <c r="U2690" s="83"/>
      <c r="V2690" s="83"/>
      <c r="W2690" s="83"/>
      <c r="X2690" s="83"/>
      <c r="Y2690" s="83"/>
      <c r="Z2690" s="83"/>
    </row>
    <row r="2691">
      <c r="A2691" s="75" t="s">
        <v>55</v>
      </c>
      <c r="B2691" s="75" t="s">
        <v>1007</v>
      </c>
      <c r="C2691" s="75">
        <v>2.92</v>
      </c>
      <c r="D2691" s="75">
        <v>0.0</v>
      </c>
      <c r="E2691" s="75">
        <v>0.0</v>
      </c>
      <c r="F2691" s="75" t="s">
        <v>998</v>
      </c>
      <c r="G2691" s="82">
        <v>46112.0</v>
      </c>
      <c r="H2691" s="76" t="s">
        <v>980</v>
      </c>
      <c r="I2691" s="83"/>
      <c r="J2691" s="83"/>
      <c r="K2691" s="83"/>
      <c r="L2691" s="83"/>
      <c r="M2691" s="83"/>
      <c r="N2691" s="83"/>
      <c r="O2691" s="83"/>
      <c r="P2691" s="83"/>
      <c r="Q2691" s="83"/>
      <c r="R2691" s="83"/>
      <c r="S2691" s="83"/>
      <c r="T2691" s="83"/>
      <c r="U2691" s="83"/>
      <c r="V2691" s="83"/>
      <c r="W2691" s="83"/>
      <c r="X2691" s="83"/>
      <c r="Y2691" s="83"/>
      <c r="Z2691" s="83"/>
    </row>
    <row r="2692">
      <c r="A2692" s="75" t="s">
        <v>55</v>
      </c>
      <c r="B2692" s="75" t="s">
        <v>1007</v>
      </c>
      <c r="C2692" s="75">
        <v>0.25</v>
      </c>
      <c r="D2692" s="75">
        <v>0.0</v>
      </c>
      <c r="E2692" s="75">
        <v>0.0</v>
      </c>
      <c r="F2692" s="75" t="s">
        <v>998</v>
      </c>
      <c r="G2692" s="82">
        <v>46112.0</v>
      </c>
      <c r="H2692" s="76" t="s">
        <v>981</v>
      </c>
      <c r="I2692" s="83"/>
      <c r="J2692" s="83"/>
      <c r="K2692" s="83"/>
      <c r="L2692" s="83"/>
      <c r="M2692" s="83"/>
      <c r="N2692" s="83"/>
      <c r="O2692" s="83"/>
      <c r="P2692" s="83"/>
      <c r="Q2692" s="83"/>
      <c r="R2692" s="83"/>
      <c r="S2692" s="83"/>
      <c r="T2692" s="83"/>
      <c r="U2692" s="83"/>
      <c r="V2692" s="83"/>
      <c r="W2692" s="83"/>
      <c r="X2692" s="83"/>
      <c r="Y2692" s="83"/>
      <c r="Z2692" s="83"/>
    </row>
    <row r="2693">
      <c r="A2693" s="75" t="s">
        <v>53</v>
      </c>
      <c r="B2693" s="75" t="s">
        <v>1007</v>
      </c>
      <c r="C2693" s="75">
        <v>0.08</v>
      </c>
      <c r="D2693" s="75">
        <v>0.0</v>
      </c>
      <c r="E2693" s="75">
        <v>0.0</v>
      </c>
      <c r="F2693" s="75" t="s">
        <v>998</v>
      </c>
      <c r="G2693" s="82">
        <v>46112.0</v>
      </c>
      <c r="H2693" s="76" t="s">
        <v>982</v>
      </c>
      <c r="I2693" s="83"/>
      <c r="J2693" s="83"/>
      <c r="K2693" s="83"/>
      <c r="L2693" s="83"/>
      <c r="M2693" s="83"/>
      <c r="N2693" s="83"/>
      <c r="O2693" s="83"/>
      <c r="P2693" s="83"/>
      <c r="Q2693" s="83"/>
      <c r="R2693" s="83"/>
      <c r="S2693" s="83"/>
      <c r="T2693" s="83"/>
      <c r="U2693" s="83"/>
      <c r="V2693" s="83"/>
      <c r="W2693" s="83"/>
      <c r="X2693" s="83"/>
      <c r="Y2693" s="83"/>
      <c r="Z2693" s="83"/>
    </row>
    <row r="2694">
      <c r="A2694" s="75" t="s">
        <v>53</v>
      </c>
      <c r="B2694" s="75" t="s">
        <v>1007</v>
      </c>
      <c r="C2694" s="75">
        <v>0.14</v>
      </c>
      <c r="D2694" s="75">
        <v>0.0</v>
      </c>
      <c r="E2694" s="75">
        <v>0.0</v>
      </c>
      <c r="F2694" s="75" t="s">
        <v>998</v>
      </c>
      <c r="G2694" s="82">
        <v>46112.0</v>
      </c>
      <c r="H2694" s="76" t="s">
        <v>983</v>
      </c>
      <c r="I2694" s="83"/>
      <c r="J2694" s="83"/>
      <c r="K2694" s="83"/>
      <c r="L2694" s="83"/>
      <c r="M2694" s="83"/>
      <c r="N2694" s="83"/>
      <c r="O2694" s="83"/>
      <c r="P2694" s="83"/>
      <c r="Q2694" s="83"/>
      <c r="R2694" s="83"/>
      <c r="S2694" s="83"/>
      <c r="T2694" s="83"/>
      <c r="U2694" s="83"/>
      <c r="V2694" s="83"/>
      <c r="W2694" s="83"/>
      <c r="X2694" s="83"/>
      <c r="Y2694" s="83"/>
      <c r="Z2694" s="83"/>
    </row>
    <row r="2695">
      <c r="A2695" s="75" t="s">
        <v>53</v>
      </c>
      <c r="B2695" s="75" t="s">
        <v>1007</v>
      </c>
      <c r="C2695" s="75">
        <v>0.47</v>
      </c>
      <c r="D2695" s="75">
        <v>0.0</v>
      </c>
      <c r="E2695" s="75">
        <v>0.0</v>
      </c>
      <c r="F2695" s="75" t="s">
        <v>998</v>
      </c>
      <c r="G2695" s="82">
        <v>46112.0</v>
      </c>
      <c r="H2695" s="76" t="s">
        <v>984</v>
      </c>
      <c r="I2695" s="83"/>
      <c r="J2695" s="83"/>
      <c r="K2695" s="83"/>
      <c r="L2695" s="83"/>
      <c r="M2695" s="83"/>
      <c r="N2695" s="83"/>
      <c r="O2695" s="83"/>
      <c r="P2695" s="83"/>
      <c r="Q2695" s="83"/>
      <c r="R2695" s="83"/>
      <c r="S2695" s="83"/>
      <c r="T2695" s="83"/>
      <c r="U2695" s="83"/>
      <c r="V2695" s="83"/>
      <c r="W2695" s="83"/>
      <c r="X2695" s="83"/>
      <c r="Y2695" s="83"/>
      <c r="Z2695" s="83"/>
    </row>
    <row r="2696">
      <c r="A2696" s="75" t="s">
        <v>985</v>
      </c>
      <c r="B2696" s="75" t="s">
        <v>1007</v>
      </c>
      <c r="C2696" s="75">
        <v>0.15</v>
      </c>
      <c r="D2696" s="75">
        <v>0.0</v>
      </c>
      <c r="E2696" s="75">
        <v>0.0</v>
      </c>
      <c r="F2696" s="75" t="s">
        <v>998</v>
      </c>
      <c r="G2696" s="82">
        <v>46112.0</v>
      </c>
      <c r="H2696" s="76" t="s">
        <v>936</v>
      </c>
      <c r="I2696" s="83"/>
      <c r="J2696" s="83"/>
      <c r="K2696" s="83"/>
      <c r="L2696" s="83"/>
      <c r="M2696" s="83"/>
      <c r="N2696" s="83"/>
      <c r="O2696" s="83"/>
      <c r="P2696" s="83"/>
      <c r="Q2696" s="83"/>
      <c r="R2696" s="83"/>
      <c r="S2696" s="83"/>
      <c r="T2696" s="83"/>
      <c r="U2696" s="83"/>
      <c r="V2696" s="83"/>
      <c r="W2696" s="83"/>
      <c r="X2696" s="83"/>
      <c r="Y2696" s="83"/>
      <c r="Z2696" s="83"/>
    </row>
    <row r="2697">
      <c r="A2697" s="75" t="s">
        <v>985</v>
      </c>
      <c r="B2697" s="75" t="s">
        <v>1007</v>
      </c>
      <c r="C2697" s="75">
        <v>0.79</v>
      </c>
      <c r="D2697" s="75">
        <v>0.0</v>
      </c>
      <c r="E2697" s="75">
        <v>0.0</v>
      </c>
      <c r="F2697" s="75" t="s">
        <v>998</v>
      </c>
      <c r="G2697" s="82">
        <v>46112.0</v>
      </c>
      <c r="H2697" s="76" t="s">
        <v>937</v>
      </c>
      <c r="I2697" s="83"/>
      <c r="J2697" s="83"/>
      <c r="K2697" s="83"/>
      <c r="L2697" s="83"/>
      <c r="M2697" s="83"/>
      <c r="N2697" s="83"/>
      <c r="O2697" s="83"/>
      <c r="P2697" s="83"/>
      <c r="Q2697" s="83"/>
      <c r="R2697" s="83"/>
      <c r="S2697" s="83"/>
      <c r="T2697" s="83"/>
      <c r="U2697" s="83"/>
      <c r="V2697" s="83"/>
      <c r="W2697" s="83"/>
      <c r="X2697" s="83"/>
      <c r="Y2697" s="83"/>
      <c r="Z2697" s="83"/>
    </row>
    <row r="2698">
      <c r="A2698" s="75" t="s">
        <v>985</v>
      </c>
      <c r="B2698" s="75" t="s">
        <v>1007</v>
      </c>
      <c r="C2698" s="75">
        <v>0.16</v>
      </c>
      <c r="D2698" s="75">
        <v>0.0</v>
      </c>
      <c r="E2698" s="75">
        <v>0.0</v>
      </c>
      <c r="F2698" s="75" t="s">
        <v>998</v>
      </c>
      <c r="G2698" s="82">
        <v>46112.0</v>
      </c>
      <c r="H2698" s="76" t="s">
        <v>938</v>
      </c>
      <c r="I2698" s="83"/>
      <c r="J2698" s="83"/>
      <c r="K2698" s="83"/>
      <c r="L2698" s="83"/>
      <c r="M2698" s="83"/>
      <c r="N2698" s="83"/>
      <c r="O2698" s="83"/>
      <c r="P2698" s="83"/>
      <c r="Q2698" s="83"/>
      <c r="R2698" s="83"/>
      <c r="S2698" s="83"/>
      <c r="T2698" s="83"/>
      <c r="U2698" s="83"/>
      <c r="V2698" s="83"/>
      <c r="W2698" s="83"/>
      <c r="X2698" s="83"/>
      <c r="Y2698" s="83"/>
      <c r="Z2698" s="83"/>
    </row>
    <row r="2699">
      <c r="A2699" s="75" t="s">
        <v>51</v>
      </c>
      <c r="B2699" s="75" t="s">
        <v>1007</v>
      </c>
      <c r="C2699" s="75">
        <v>0.2</v>
      </c>
      <c r="D2699" s="75">
        <v>0.0</v>
      </c>
      <c r="E2699" s="75">
        <v>0.0</v>
      </c>
      <c r="F2699" s="75" t="s">
        <v>998</v>
      </c>
      <c r="G2699" s="82">
        <v>46112.0</v>
      </c>
      <c r="H2699" s="76" t="s">
        <v>986</v>
      </c>
      <c r="I2699" s="83"/>
      <c r="J2699" s="83"/>
      <c r="K2699" s="83"/>
      <c r="L2699" s="83"/>
      <c r="M2699" s="83"/>
      <c r="N2699" s="83"/>
      <c r="O2699" s="83"/>
      <c r="P2699" s="83"/>
      <c r="Q2699" s="83"/>
      <c r="R2699" s="83"/>
      <c r="S2699" s="83"/>
      <c r="T2699" s="83"/>
      <c r="U2699" s="83"/>
      <c r="V2699" s="83"/>
      <c r="W2699" s="83"/>
      <c r="X2699" s="83"/>
      <c r="Y2699" s="83"/>
      <c r="Z2699" s="83"/>
    </row>
    <row r="2700">
      <c r="A2700" s="75" t="s">
        <v>51</v>
      </c>
      <c r="B2700" s="75" t="s">
        <v>1007</v>
      </c>
      <c r="C2700" s="75">
        <v>0.83</v>
      </c>
      <c r="D2700" s="75">
        <v>0.0</v>
      </c>
      <c r="E2700" s="75">
        <v>0.0</v>
      </c>
      <c r="F2700" s="75" t="s">
        <v>998</v>
      </c>
      <c r="G2700" s="82">
        <v>46112.0</v>
      </c>
      <c r="H2700" s="76" t="s">
        <v>987</v>
      </c>
      <c r="I2700" s="83"/>
      <c r="J2700" s="83"/>
      <c r="K2700" s="83"/>
      <c r="L2700" s="83"/>
      <c r="M2700" s="83"/>
      <c r="N2700" s="83"/>
      <c r="O2700" s="83"/>
      <c r="P2700" s="83"/>
      <c r="Q2700" s="83"/>
      <c r="R2700" s="83"/>
      <c r="S2700" s="83"/>
      <c r="T2700" s="83"/>
      <c r="U2700" s="83"/>
      <c r="V2700" s="83"/>
      <c r="W2700" s="83"/>
      <c r="X2700" s="83"/>
      <c r="Y2700" s="83"/>
      <c r="Z2700" s="83"/>
    </row>
    <row r="2701">
      <c r="A2701" s="75" t="s">
        <v>54</v>
      </c>
      <c r="B2701" s="75" t="s">
        <v>1007</v>
      </c>
      <c r="C2701" s="75">
        <v>0.08</v>
      </c>
      <c r="D2701" s="75">
        <v>0.0</v>
      </c>
      <c r="E2701" s="75">
        <v>0.0</v>
      </c>
      <c r="F2701" s="75" t="s">
        <v>998</v>
      </c>
      <c r="G2701" s="82">
        <v>46112.0</v>
      </c>
      <c r="H2701" s="76" t="s">
        <v>977</v>
      </c>
      <c r="I2701" s="83"/>
      <c r="J2701" s="83"/>
      <c r="K2701" s="83"/>
      <c r="L2701" s="83"/>
      <c r="M2701" s="83"/>
      <c r="N2701" s="83"/>
      <c r="O2701" s="83"/>
      <c r="P2701" s="83"/>
      <c r="Q2701" s="83"/>
      <c r="R2701" s="83"/>
      <c r="S2701" s="83"/>
      <c r="T2701" s="83"/>
      <c r="U2701" s="83"/>
      <c r="V2701" s="83"/>
      <c r="W2701" s="83"/>
      <c r="X2701" s="83"/>
      <c r="Y2701" s="83"/>
      <c r="Z2701" s="83"/>
    </row>
    <row r="2702">
      <c r="A2702" s="75" t="s">
        <v>54</v>
      </c>
      <c r="B2702" s="75" t="s">
        <v>1007</v>
      </c>
      <c r="C2702" s="75">
        <v>0.08</v>
      </c>
      <c r="D2702" s="75">
        <v>0.0</v>
      </c>
      <c r="E2702" s="75">
        <v>0.0</v>
      </c>
      <c r="F2702" s="75" t="s">
        <v>998</v>
      </c>
      <c r="G2702" s="82">
        <v>46112.0</v>
      </c>
      <c r="H2702" s="76" t="s">
        <v>978</v>
      </c>
      <c r="I2702" s="83"/>
      <c r="J2702" s="83"/>
      <c r="K2702" s="83"/>
      <c r="L2702" s="83"/>
      <c r="M2702" s="83"/>
      <c r="N2702" s="83"/>
      <c r="O2702" s="83"/>
      <c r="P2702" s="83"/>
      <c r="Q2702" s="83"/>
      <c r="R2702" s="83"/>
      <c r="S2702" s="83"/>
      <c r="T2702" s="83"/>
      <c r="U2702" s="83"/>
      <c r="V2702" s="83"/>
      <c r="W2702" s="83"/>
      <c r="X2702" s="83"/>
      <c r="Y2702" s="83"/>
      <c r="Z2702" s="83"/>
    </row>
    <row r="2703">
      <c r="A2703" s="75" t="s">
        <v>54</v>
      </c>
      <c r="B2703" s="75" t="s">
        <v>1007</v>
      </c>
      <c r="C2703" s="75">
        <v>0.92</v>
      </c>
      <c r="D2703" s="75">
        <v>0.0</v>
      </c>
      <c r="E2703" s="75">
        <v>0.0</v>
      </c>
      <c r="F2703" s="75" t="s">
        <v>998</v>
      </c>
      <c r="G2703" s="82">
        <v>46112.0</v>
      </c>
      <c r="H2703" s="76" t="s">
        <v>979</v>
      </c>
      <c r="I2703" s="83"/>
      <c r="J2703" s="83"/>
      <c r="K2703" s="83"/>
      <c r="L2703" s="83"/>
      <c r="M2703" s="83"/>
      <c r="N2703" s="83"/>
      <c r="O2703" s="83"/>
      <c r="P2703" s="83"/>
      <c r="Q2703" s="83"/>
      <c r="R2703" s="83"/>
      <c r="S2703" s="83"/>
      <c r="T2703" s="83"/>
      <c r="U2703" s="83"/>
      <c r="V2703" s="83"/>
      <c r="W2703" s="83"/>
      <c r="X2703" s="83"/>
      <c r="Y2703" s="83"/>
      <c r="Z2703" s="83"/>
    </row>
    <row r="2704">
      <c r="A2704" s="75" t="s">
        <v>34</v>
      </c>
      <c r="B2704" s="75" t="s">
        <v>1008</v>
      </c>
      <c r="C2704" s="75">
        <v>20.81</v>
      </c>
      <c r="D2704" s="75">
        <v>0.0</v>
      </c>
      <c r="E2704" s="75">
        <v>0.0</v>
      </c>
      <c r="F2704" s="75" t="s">
        <v>925</v>
      </c>
      <c r="G2704" s="82">
        <v>46112.0</v>
      </c>
      <c r="H2704" s="76" t="s">
        <v>951</v>
      </c>
      <c r="I2704" s="83"/>
      <c r="J2704" s="83"/>
      <c r="K2704" s="83"/>
      <c r="L2704" s="83"/>
      <c r="M2704" s="83"/>
      <c r="N2704" s="83"/>
      <c r="O2704" s="83"/>
      <c r="P2704" s="83"/>
      <c r="Q2704" s="83"/>
      <c r="R2704" s="83"/>
      <c r="S2704" s="83"/>
      <c r="T2704" s="83"/>
      <c r="U2704" s="83"/>
      <c r="V2704" s="83"/>
      <c r="W2704" s="83"/>
      <c r="X2704" s="83"/>
      <c r="Y2704" s="83"/>
      <c r="Z2704" s="83"/>
    </row>
    <row r="2705">
      <c r="A2705" s="75" t="s">
        <v>34</v>
      </c>
      <c r="B2705" s="75" t="s">
        <v>1008</v>
      </c>
      <c r="C2705" s="75">
        <v>48.09</v>
      </c>
      <c r="D2705" s="75">
        <v>1.0</v>
      </c>
      <c r="E2705" s="75">
        <v>48.09</v>
      </c>
      <c r="F2705" s="75" t="s">
        <v>925</v>
      </c>
      <c r="G2705" s="82">
        <v>46112.0</v>
      </c>
      <c r="H2705" s="76" t="s">
        <v>952</v>
      </c>
      <c r="I2705" s="83"/>
      <c r="J2705" s="83"/>
      <c r="K2705" s="83"/>
      <c r="L2705" s="83"/>
      <c r="M2705" s="83"/>
      <c r="N2705" s="83"/>
      <c r="O2705" s="83"/>
      <c r="P2705" s="83"/>
      <c r="Q2705" s="83"/>
      <c r="R2705" s="83"/>
      <c r="S2705" s="83"/>
      <c r="T2705" s="83"/>
      <c r="U2705" s="83"/>
      <c r="V2705" s="83"/>
      <c r="W2705" s="83"/>
      <c r="X2705" s="83"/>
      <c r="Y2705" s="83"/>
      <c r="Z2705" s="83"/>
    </row>
    <row r="2706">
      <c r="A2706" s="75" t="s">
        <v>34</v>
      </c>
      <c r="B2706" s="75" t="s">
        <v>1008</v>
      </c>
      <c r="C2706" s="75">
        <v>199.64</v>
      </c>
      <c r="D2706" s="75">
        <v>1.0</v>
      </c>
      <c r="E2706" s="75">
        <v>199.64</v>
      </c>
      <c r="F2706" s="75" t="s">
        <v>925</v>
      </c>
      <c r="G2706" s="82">
        <v>46112.0</v>
      </c>
      <c r="H2706" s="76" t="s">
        <v>953</v>
      </c>
      <c r="I2706" s="83"/>
      <c r="J2706" s="83"/>
      <c r="K2706" s="83"/>
      <c r="L2706" s="83"/>
      <c r="M2706" s="83"/>
      <c r="N2706" s="83"/>
      <c r="O2706" s="83"/>
      <c r="P2706" s="83"/>
      <c r="Q2706" s="83"/>
      <c r="R2706" s="83"/>
      <c r="S2706" s="83"/>
      <c r="T2706" s="83"/>
      <c r="U2706" s="83"/>
      <c r="V2706" s="83"/>
      <c r="W2706" s="83"/>
      <c r="X2706" s="83"/>
      <c r="Y2706" s="83"/>
      <c r="Z2706" s="83"/>
    </row>
    <row r="2707">
      <c r="A2707" s="75" t="s">
        <v>40</v>
      </c>
      <c r="B2707" s="75" t="s">
        <v>1008</v>
      </c>
      <c r="C2707" s="75">
        <v>4.02</v>
      </c>
      <c r="D2707" s="75">
        <v>0.0</v>
      </c>
      <c r="E2707" s="75">
        <v>0.0</v>
      </c>
      <c r="F2707" s="75" t="s">
        <v>925</v>
      </c>
      <c r="G2707" s="82">
        <v>46112.0</v>
      </c>
      <c r="H2707" s="76" t="s">
        <v>954</v>
      </c>
      <c r="I2707" s="83"/>
      <c r="J2707" s="83"/>
      <c r="K2707" s="83"/>
      <c r="L2707" s="83"/>
      <c r="M2707" s="83"/>
      <c r="N2707" s="83"/>
      <c r="O2707" s="83"/>
      <c r="P2707" s="83"/>
      <c r="Q2707" s="83"/>
      <c r="R2707" s="83"/>
      <c r="S2707" s="83"/>
      <c r="T2707" s="83"/>
      <c r="U2707" s="83"/>
      <c r="V2707" s="83"/>
      <c r="W2707" s="83"/>
      <c r="X2707" s="83"/>
      <c r="Y2707" s="83"/>
      <c r="Z2707" s="83"/>
    </row>
    <row r="2708">
      <c r="A2708" s="75" t="s">
        <v>40</v>
      </c>
      <c r="B2708" s="75" t="s">
        <v>1008</v>
      </c>
      <c r="C2708" s="75">
        <v>1.0</v>
      </c>
      <c r="D2708" s="75">
        <v>0.0</v>
      </c>
      <c r="E2708" s="75">
        <v>0.0</v>
      </c>
      <c r="F2708" s="75" t="s">
        <v>925</v>
      </c>
      <c r="G2708" s="82">
        <v>46112.0</v>
      </c>
      <c r="H2708" s="76" t="s">
        <v>955</v>
      </c>
      <c r="I2708" s="83"/>
      <c r="J2708" s="83"/>
      <c r="K2708" s="83"/>
      <c r="L2708" s="83"/>
      <c r="M2708" s="83"/>
      <c r="N2708" s="83"/>
      <c r="O2708" s="83"/>
      <c r="P2708" s="83"/>
      <c r="Q2708" s="83"/>
      <c r="R2708" s="83"/>
      <c r="S2708" s="83"/>
      <c r="T2708" s="83"/>
      <c r="U2708" s="83"/>
      <c r="V2708" s="83"/>
      <c r="W2708" s="83"/>
      <c r="X2708" s="83"/>
      <c r="Y2708" s="83"/>
      <c r="Z2708" s="83"/>
    </row>
    <row r="2709">
      <c r="A2709" s="75" t="s">
        <v>40</v>
      </c>
      <c r="B2709" s="75" t="s">
        <v>1008</v>
      </c>
      <c r="C2709" s="75">
        <v>11.66</v>
      </c>
      <c r="D2709" s="75">
        <v>1.0</v>
      </c>
      <c r="E2709" s="75">
        <v>11.66</v>
      </c>
      <c r="F2709" s="75" t="s">
        <v>925</v>
      </c>
      <c r="G2709" s="82">
        <v>46112.0</v>
      </c>
      <c r="H2709" s="76" t="s">
        <v>956</v>
      </c>
      <c r="I2709" s="83"/>
      <c r="J2709" s="83"/>
      <c r="K2709" s="83"/>
      <c r="L2709" s="83"/>
      <c r="M2709" s="83"/>
      <c r="N2709" s="83"/>
      <c r="O2709" s="83"/>
      <c r="P2709" s="83"/>
      <c r="Q2709" s="83"/>
      <c r="R2709" s="83"/>
      <c r="S2709" s="83"/>
      <c r="T2709" s="83"/>
      <c r="U2709" s="83"/>
      <c r="V2709" s="83"/>
      <c r="W2709" s="83"/>
      <c r="X2709" s="83"/>
      <c r="Y2709" s="83"/>
      <c r="Z2709" s="83"/>
    </row>
    <row r="2710">
      <c r="A2710" s="75" t="s">
        <v>33</v>
      </c>
      <c r="B2710" s="75" t="s">
        <v>1008</v>
      </c>
      <c r="C2710" s="75">
        <v>3.89</v>
      </c>
      <c r="D2710" s="75">
        <v>4.0</v>
      </c>
      <c r="E2710" s="75">
        <v>0.97</v>
      </c>
      <c r="F2710" s="75" t="s">
        <v>925</v>
      </c>
      <c r="G2710" s="82">
        <v>46112.0</v>
      </c>
      <c r="H2710" s="76" t="s">
        <v>957</v>
      </c>
      <c r="I2710" s="83"/>
      <c r="J2710" s="83"/>
      <c r="K2710" s="83"/>
      <c r="L2710" s="83"/>
      <c r="M2710" s="83"/>
      <c r="N2710" s="83"/>
      <c r="O2710" s="83"/>
      <c r="P2710" s="83"/>
      <c r="Q2710" s="83"/>
      <c r="R2710" s="83"/>
      <c r="S2710" s="83"/>
      <c r="T2710" s="83"/>
      <c r="U2710" s="83"/>
      <c r="V2710" s="83"/>
      <c r="W2710" s="83"/>
      <c r="X2710" s="83"/>
      <c r="Y2710" s="83"/>
      <c r="Z2710" s="83"/>
    </row>
    <row r="2711">
      <c r="A2711" s="75" t="s">
        <v>33</v>
      </c>
      <c r="B2711" s="75" t="s">
        <v>1008</v>
      </c>
      <c r="C2711" s="75">
        <v>8.57</v>
      </c>
      <c r="D2711" s="75">
        <v>3.0</v>
      </c>
      <c r="E2711" s="75">
        <v>2.86</v>
      </c>
      <c r="F2711" s="75" t="s">
        <v>925</v>
      </c>
      <c r="G2711" s="82">
        <v>46112.0</v>
      </c>
      <c r="H2711" s="76" t="s">
        <v>958</v>
      </c>
      <c r="I2711" s="83"/>
      <c r="J2711" s="83"/>
      <c r="K2711" s="83"/>
      <c r="L2711" s="83"/>
      <c r="M2711" s="83"/>
      <c r="N2711" s="83"/>
      <c r="O2711" s="83"/>
      <c r="P2711" s="83"/>
      <c r="Q2711" s="83"/>
      <c r="R2711" s="83"/>
      <c r="S2711" s="83"/>
      <c r="T2711" s="83"/>
      <c r="U2711" s="83"/>
      <c r="V2711" s="83"/>
      <c r="W2711" s="83"/>
      <c r="X2711" s="83"/>
      <c r="Y2711" s="83"/>
      <c r="Z2711" s="83"/>
    </row>
    <row r="2712">
      <c r="A2712" s="75" t="s">
        <v>33</v>
      </c>
      <c r="B2712" s="75" t="s">
        <v>1008</v>
      </c>
      <c r="C2712" s="75">
        <v>11.01</v>
      </c>
      <c r="D2712" s="75">
        <v>2.0</v>
      </c>
      <c r="E2712" s="75">
        <v>5.51</v>
      </c>
      <c r="F2712" s="75" t="s">
        <v>925</v>
      </c>
      <c r="G2712" s="82">
        <v>46112.0</v>
      </c>
      <c r="H2712" s="76" t="s">
        <v>959</v>
      </c>
      <c r="I2712" s="83"/>
      <c r="J2712" s="83"/>
      <c r="K2712" s="83"/>
      <c r="L2712" s="83"/>
      <c r="M2712" s="83"/>
      <c r="N2712" s="83"/>
      <c r="O2712" s="83"/>
      <c r="P2712" s="83"/>
      <c r="Q2712" s="83"/>
      <c r="R2712" s="83"/>
      <c r="S2712" s="83"/>
      <c r="T2712" s="83"/>
      <c r="U2712" s="83"/>
      <c r="V2712" s="83"/>
      <c r="W2712" s="83"/>
      <c r="X2712" s="83"/>
      <c r="Y2712" s="83"/>
      <c r="Z2712" s="83"/>
    </row>
    <row r="2713">
      <c r="A2713" s="75" t="s">
        <v>46</v>
      </c>
      <c r="B2713" s="75" t="s">
        <v>1008</v>
      </c>
      <c r="C2713" s="75">
        <v>1.31</v>
      </c>
      <c r="D2713" s="75">
        <v>0.0</v>
      </c>
      <c r="E2713" s="75">
        <v>0.0</v>
      </c>
      <c r="F2713" s="75" t="s">
        <v>925</v>
      </c>
      <c r="G2713" s="82">
        <v>46112.0</v>
      </c>
      <c r="H2713" s="76" t="s">
        <v>960</v>
      </c>
      <c r="I2713" s="83"/>
      <c r="J2713" s="83"/>
      <c r="K2713" s="83"/>
      <c r="L2713" s="83"/>
      <c r="M2713" s="83"/>
      <c r="N2713" s="83"/>
      <c r="O2713" s="83"/>
      <c r="P2713" s="83"/>
      <c r="Q2713" s="83"/>
      <c r="R2713" s="83"/>
      <c r="S2713" s="83"/>
      <c r="T2713" s="83"/>
      <c r="U2713" s="83"/>
      <c r="V2713" s="83"/>
      <c r="W2713" s="83"/>
      <c r="X2713" s="83"/>
      <c r="Y2713" s="83"/>
      <c r="Z2713" s="83"/>
    </row>
    <row r="2714">
      <c r="A2714" s="75" t="s">
        <v>46</v>
      </c>
      <c r="B2714" s="75" t="s">
        <v>1008</v>
      </c>
      <c r="C2714" s="75">
        <v>2.51</v>
      </c>
      <c r="D2714" s="75">
        <v>0.0</v>
      </c>
      <c r="E2714" s="75">
        <v>0.0</v>
      </c>
      <c r="F2714" s="75" t="s">
        <v>925</v>
      </c>
      <c r="G2714" s="82">
        <v>46112.0</v>
      </c>
      <c r="H2714" s="76" t="s">
        <v>961</v>
      </c>
      <c r="I2714" s="83"/>
      <c r="J2714" s="83"/>
      <c r="K2714" s="83"/>
      <c r="L2714" s="83"/>
      <c r="M2714" s="83"/>
      <c r="N2714" s="83"/>
      <c r="O2714" s="83"/>
      <c r="P2714" s="83"/>
      <c r="Q2714" s="83"/>
      <c r="R2714" s="83"/>
      <c r="S2714" s="83"/>
      <c r="T2714" s="83"/>
      <c r="U2714" s="83"/>
      <c r="V2714" s="83"/>
      <c r="W2714" s="83"/>
      <c r="X2714" s="83"/>
      <c r="Y2714" s="83"/>
      <c r="Z2714" s="83"/>
    </row>
    <row r="2715">
      <c r="A2715" s="75" t="s">
        <v>46</v>
      </c>
      <c r="B2715" s="75" t="s">
        <v>1008</v>
      </c>
      <c r="C2715" s="75">
        <v>6.54</v>
      </c>
      <c r="D2715" s="75">
        <v>1.0</v>
      </c>
      <c r="E2715" s="75">
        <v>6.54</v>
      </c>
      <c r="F2715" s="75" t="s">
        <v>925</v>
      </c>
      <c r="G2715" s="82">
        <v>46112.0</v>
      </c>
      <c r="H2715" s="76" t="s">
        <v>962</v>
      </c>
      <c r="I2715" s="83"/>
      <c r="J2715" s="83"/>
      <c r="K2715" s="83"/>
      <c r="L2715" s="83"/>
      <c r="M2715" s="83"/>
      <c r="N2715" s="83"/>
      <c r="O2715" s="83"/>
      <c r="P2715" s="83"/>
      <c r="Q2715" s="83"/>
      <c r="R2715" s="83"/>
      <c r="S2715" s="83"/>
      <c r="T2715" s="83"/>
      <c r="U2715" s="83"/>
      <c r="V2715" s="83"/>
      <c r="W2715" s="83"/>
      <c r="X2715" s="83"/>
      <c r="Y2715" s="83"/>
      <c r="Z2715" s="83"/>
    </row>
    <row r="2716">
      <c r="A2716" s="75" t="s">
        <v>43</v>
      </c>
      <c r="B2716" s="75" t="s">
        <v>1008</v>
      </c>
      <c r="C2716" s="75">
        <v>5.07</v>
      </c>
      <c r="D2716" s="75">
        <v>2.0</v>
      </c>
      <c r="E2716" s="75">
        <v>2.54</v>
      </c>
      <c r="F2716" s="75" t="s">
        <v>925</v>
      </c>
      <c r="G2716" s="82">
        <v>46112.0</v>
      </c>
      <c r="H2716" s="76" t="s">
        <v>963</v>
      </c>
      <c r="I2716" s="83"/>
      <c r="J2716" s="83"/>
      <c r="K2716" s="83"/>
      <c r="L2716" s="83"/>
      <c r="M2716" s="83"/>
      <c r="N2716" s="83"/>
      <c r="O2716" s="83"/>
      <c r="P2716" s="83"/>
      <c r="Q2716" s="83"/>
      <c r="R2716" s="83"/>
      <c r="S2716" s="83"/>
      <c r="T2716" s="83"/>
      <c r="U2716" s="83"/>
      <c r="V2716" s="83"/>
      <c r="W2716" s="83"/>
      <c r="X2716" s="83"/>
      <c r="Y2716" s="83"/>
      <c r="Z2716" s="83"/>
    </row>
    <row r="2717">
      <c r="A2717" s="75" t="s">
        <v>43</v>
      </c>
      <c r="B2717" s="75" t="s">
        <v>1008</v>
      </c>
      <c r="C2717" s="75">
        <v>2.36</v>
      </c>
      <c r="D2717" s="75">
        <v>1.0</v>
      </c>
      <c r="E2717" s="75">
        <v>2.36</v>
      </c>
      <c r="F2717" s="75" t="s">
        <v>925</v>
      </c>
      <c r="G2717" s="82">
        <v>46112.0</v>
      </c>
      <c r="H2717" s="76" t="s">
        <v>964</v>
      </c>
      <c r="I2717" s="83"/>
      <c r="J2717" s="83"/>
      <c r="K2717" s="83"/>
      <c r="L2717" s="83"/>
      <c r="M2717" s="83"/>
      <c r="N2717" s="83"/>
      <c r="O2717" s="83"/>
      <c r="P2717" s="83"/>
      <c r="Q2717" s="83"/>
      <c r="R2717" s="83"/>
      <c r="S2717" s="83"/>
      <c r="T2717" s="83"/>
      <c r="U2717" s="83"/>
      <c r="V2717" s="83"/>
      <c r="W2717" s="83"/>
      <c r="X2717" s="83"/>
      <c r="Y2717" s="83"/>
      <c r="Z2717" s="83"/>
    </row>
    <row r="2718">
      <c r="A2718" s="75" t="s">
        <v>43</v>
      </c>
      <c r="B2718" s="75" t="s">
        <v>1008</v>
      </c>
      <c r="C2718" s="75">
        <v>16.44</v>
      </c>
      <c r="D2718" s="75">
        <v>2.0</v>
      </c>
      <c r="E2718" s="75">
        <v>8.22</v>
      </c>
      <c r="F2718" s="75" t="s">
        <v>925</v>
      </c>
      <c r="G2718" s="82">
        <v>46112.0</v>
      </c>
      <c r="H2718" s="76" t="s">
        <v>965</v>
      </c>
      <c r="I2718" s="83"/>
      <c r="J2718" s="83"/>
      <c r="K2718" s="83"/>
      <c r="L2718" s="83"/>
      <c r="M2718" s="83"/>
      <c r="N2718" s="83"/>
      <c r="O2718" s="83"/>
      <c r="P2718" s="83"/>
      <c r="Q2718" s="83"/>
      <c r="R2718" s="83"/>
      <c r="S2718" s="83"/>
      <c r="T2718" s="83"/>
      <c r="U2718" s="83"/>
      <c r="V2718" s="83"/>
      <c r="W2718" s="83"/>
      <c r="X2718" s="83"/>
      <c r="Y2718" s="83"/>
      <c r="Z2718" s="83"/>
    </row>
    <row r="2719">
      <c r="A2719" s="75" t="s">
        <v>966</v>
      </c>
      <c r="B2719" s="75" t="s">
        <v>1008</v>
      </c>
      <c r="C2719" s="75">
        <v>7.79</v>
      </c>
      <c r="D2719" s="75">
        <v>1.0</v>
      </c>
      <c r="E2719" s="75">
        <v>7.79</v>
      </c>
      <c r="F2719" s="75" t="s">
        <v>925</v>
      </c>
      <c r="G2719" s="82">
        <v>46112.0</v>
      </c>
      <c r="H2719" s="76" t="s">
        <v>967</v>
      </c>
      <c r="I2719" s="83"/>
      <c r="J2719" s="83"/>
      <c r="K2719" s="83"/>
      <c r="L2719" s="83"/>
      <c r="M2719" s="83"/>
      <c r="N2719" s="83"/>
      <c r="O2719" s="83"/>
      <c r="P2719" s="83"/>
      <c r="Q2719" s="83"/>
      <c r="R2719" s="83"/>
      <c r="S2719" s="83"/>
      <c r="T2719" s="83"/>
      <c r="U2719" s="83"/>
      <c r="V2719" s="83"/>
      <c r="W2719" s="83"/>
      <c r="X2719" s="83"/>
      <c r="Y2719" s="83"/>
      <c r="Z2719" s="83"/>
    </row>
    <row r="2720">
      <c r="A2720" s="75" t="s">
        <v>966</v>
      </c>
      <c r="B2720" s="75" t="s">
        <v>1008</v>
      </c>
      <c r="C2720" s="75">
        <v>3.15</v>
      </c>
      <c r="D2720" s="75">
        <v>0.0</v>
      </c>
      <c r="E2720" s="75">
        <v>0.0</v>
      </c>
      <c r="F2720" s="75" t="s">
        <v>925</v>
      </c>
      <c r="G2720" s="82">
        <v>46112.0</v>
      </c>
      <c r="H2720" s="76" t="s">
        <v>968</v>
      </c>
      <c r="I2720" s="83"/>
      <c r="J2720" s="83"/>
      <c r="K2720" s="83"/>
      <c r="L2720" s="83"/>
      <c r="M2720" s="83"/>
      <c r="N2720" s="83"/>
      <c r="O2720" s="83"/>
      <c r="P2720" s="83"/>
      <c r="Q2720" s="83"/>
      <c r="R2720" s="83"/>
      <c r="S2720" s="83"/>
      <c r="T2720" s="83"/>
      <c r="U2720" s="83"/>
      <c r="V2720" s="83"/>
      <c r="W2720" s="83"/>
      <c r="X2720" s="83"/>
      <c r="Y2720" s="83"/>
      <c r="Z2720" s="83"/>
    </row>
    <row r="2721">
      <c r="A2721" s="75" t="s">
        <v>966</v>
      </c>
      <c r="B2721" s="75" t="s">
        <v>1008</v>
      </c>
      <c r="C2721" s="75">
        <v>10.63</v>
      </c>
      <c r="D2721" s="75">
        <v>1.0</v>
      </c>
      <c r="E2721" s="75">
        <v>10.63</v>
      </c>
      <c r="F2721" s="75" t="s">
        <v>925</v>
      </c>
      <c r="G2721" s="82">
        <v>46112.0</v>
      </c>
      <c r="H2721" s="76" t="s">
        <v>969</v>
      </c>
      <c r="I2721" s="83"/>
      <c r="J2721" s="83"/>
      <c r="K2721" s="83"/>
      <c r="L2721" s="83"/>
      <c r="M2721" s="83"/>
      <c r="N2721" s="83"/>
      <c r="O2721" s="83"/>
      <c r="P2721" s="83"/>
      <c r="Q2721" s="83"/>
      <c r="R2721" s="83"/>
      <c r="S2721" s="83"/>
      <c r="T2721" s="83"/>
      <c r="U2721" s="83"/>
      <c r="V2721" s="83"/>
      <c r="W2721" s="83"/>
      <c r="X2721" s="83"/>
      <c r="Y2721" s="83"/>
      <c r="Z2721" s="83"/>
    </row>
    <row r="2722">
      <c r="A2722" s="75" t="s">
        <v>36</v>
      </c>
      <c r="B2722" s="75" t="s">
        <v>1008</v>
      </c>
      <c r="C2722" s="75">
        <v>6.11</v>
      </c>
      <c r="D2722" s="75">
        <v>0.0</v>
      </c>
      <c r="E2722" s="75">
        <v>0.0</v>
      </c>
      <c r="F2722" s="75" t="s">
        <v>925</v>
      </c>
      <c r="G2722" s="82">
        <v>46112.0</v>
      </c>
      <c r="H2722" s="76" t="s">
        <v>926</v>
      </c>
      <c r="I2722" s="83"/>
      <c r="J2722" s="83"/>
      <c r="K2722" s="83"/>
      <c r="L2722" s="83"/>
      <c r="M2722" s="83"/>
      <c r="N2722" s="83"/>
      <c r="O2722" s="83"/>
      <c r="P2722" s="83"/>
      <c r="Q2722" s="83"/>
      <c r="R2722" s="83"/>
      <c r="S2722" s="83"/>
      <c r="T2722" s="83"/>
      <c r="U2722" s="83"/>
      <c r="V2722" s="83"/>
      <c r="W2722" s="83"/>
      <c r="X2722" s="83"/>
      <c r="Y2722" s="83"/>
      <c r="Z2722" s="83"/>
    </row>
    <row r="2723">
      <c r="A2723" s="75" t="s">
        <v>36</v>
      </c>
      <c r="B2723" s="75" t="s">
        <v>1008</v>
      </c>
      <c r="C2723" s="75">
        <v>3.47</v>
      </c>
      <c r="D2723" s="75">
        <v>0.0</v>
      </c>
      <c r="E2723" s="75">
        <v>0.0</v>
      </c>
      <c r="F2723" s="75" t="s">
        <v>925</v>
      </c>
      <c r="G2723" s="82">
        <v>46112.0</v>
      </c>
      <c r="H2723" s="76" t="s">
        <v>927</v>
      </c>
      <c r="I2723" s="83"/>
      <c r="J2723" s="83"/>
      <c r="K2723" s="83"/>
      <c r="L2723" s="83"/>
      <c r="M2723" s="83"/>
      <c r="N2723" s="83"/>
      <c r="O2723" s="83"/>
      <c r="P2723" s="83"/>
      <c r="Q2723" s="83"/>
      <c r="R2723" s="83"/>
      <c r="S2723" s="83"/>
      <c r="T2723" s="83"/>
      <c r="U2723" s="83"/>
      <c r="V2723" s="83"/>
      <c r="W2723" s="83"/>
      <c r="X2723" s="83"/>
      <c r="Y2723" s="83"/>
      <c r="Z2723" s="83"/>
    </row>
    <row r="2724">
      <c r="A2724" s="75" t="s">
        <v>36</v>
      </c>
      <c r="B2724" s="75" t="s">
        <v>1008</v>
      </c>
      <c r="C2724" s="75">
        <v>3.54</v>
      </c>
      <c r="D2724" s="75">
        <v>0.0</v>
      </c>
      <c r="E2724" s="75">
        <v>0.0</v>
      </c>
      <c r="F2724" s="75" t="s">
        <v>925</v>
      </c>
      <c r="G2724" s="82">
        <v>46112.0</v>
      </c>
      <c r="H2724" s="76" t="s">
        <v>928</v>
      </c>
      <c r="I2724" s="83"/>
      <c r="J2724" s="83"/>
      <c r="K2724" s="83"/>
      <c r="L2724" s="83"/>
      <c r="M2724" s="83"/>
      <c r="N2724" s="83"/>
      <c r="O2724" s="83"/>
      <c r="P2724" s="83"/>
      <c r="Q2724" s="83"/>
      <c r="R2724" s="83"/>
      <c r="S2724" s="83"/>
      <c r="T2724" s="83"/>
      <c r="U2724" s="83"/>
      <c r="V2724" s="83"/>
      <c r="W2724" s="83"/>
      <c r="X2724" s="83"/>
      <c r="Y2724" s="83"/>
      <c r="Z2724" s="83"/>
    </row>
    <row r="2725">
      <c r="A2725" s="75" t="s">
        <v>970</v>
      </c>
      <c r="B2725" s="75" t="s">
        <v>1008</v>
      </c>
      <c r="C2725" s="75">
        <v>12.07</v>
      </c>
      <c r="D2725" s="75">
        <v>13.0</v>
      </c>
      <c r="E2725" s="75">
        <v>0.93</v>
      </c>
      <c r="F2725" s="75" t="s">
        <v>925</v>
      </c>
      <c r="G2725" s="82">
        <v>46112.0</v>
      </c>
      <c r="H2725" s="76" t="s">
        <v>971</v>
      </c>
      <c r="I2725" s="83"/>
      <c r="J2725" s="83"/>
      <c r="K2725" s="83"/>
      <c r="L2725" s="83"/>
      <c r="M2725" s="83"/>
      <c r="N2725" s="83"/>
      <c r="O2725" s="83"/>
      <c r="P2725" s="83"/>
      <c r="Q2725" s="83"/>
      <c r="R2725" s="83"/>
      <c r="S2725" s="83"/>
      <c r="T2725" s="83"/>
      <c r="U2725" s="83"/>
      <c r="V2725" s="83"/>
      <c r="W2725" s="83"/>
      <c r="X2725" s="83"/>
      <c r="Y2725" s="83"/>
      <c r="Z2725" s="83"/>
    </row>
    <row r="2726">
      <c r="A2726" s="75" t="s">
        <v>970</v>
      </c>
      <c r="B2726" s="75" t="s">
        <v>1008</v>
      </c>
      <c r="C2726" s="75">
        <v>2.01</v>
      </c>
      <c r="D2726" s="75">
        <v>1.0</v>
      </c>
      <c r="E2726" s="75">
        <v>2.01</v>
      </c>
      <c r="F2726" s="75" t="s">
        <v>925</v>
      </c>
      <c r="G2726" s="82">
        <v>46112.0</v>
      </c>
      <c r="H2726" s="76" t="s">
        <v>972</v>
      </c>
      <c r="I2726" s="83"/>
      <c r="J2726" s="83"/>
      <c r="K2726" s="83"/>
      <c r="L2726" s="83"/>
      <c r="M2726" s="83"/>
      <c r="N2726" s="83"/>
      <c r="O2726" s="83"/>
      <c r="P2726" s="83"/>
      <c r="Q2726" s="83"/>
      <c r="R2726" s="83"/>
      <c r="S2726" s="83"/>
      <c r="T2726" s="83"/>
      <c r="U2726" s="83"/>
      <c r="V2726" s="83"/>
      <c r="W2726" s="83"/>
      <c r="X2726" s="83"/>
      <c r="Y2726" s="83"/>
      <c r="Z2726" s="83"/>
    </row>
    <row r="2727">
      <c r="A2727" s="75" t="s">
        <v>970</v>
      </c>
      <c r="B2727" s="75" t="s">
        <v>1008</v>
      </c>
      <c r="C2727" s="75">
        <v>4.34</v>
      </c>
      <c r="D2727" s="75">
        <v>2.0</v>
      </c>
      <c r="E2727" s="75">
        <v>2.17</v>
      </c>
      <c r="F2727" s="75" t="s">
        <v>925</v>
      </c>
      <c r="G2727" s="82">
        <v>46112.0</v>
      </c>
      <c r="H2727" s="76" t="s">
        <v>973</v>
      </c>
      <c r="I2727" s="83"/>
      <c r="J2727" s="83"/>
      <c r="K2727" s="83"/>
      <c r="L2727" s="83"/>
      <c r="M2727" s="83"/>
      <c r="N2727" s="83"/>
      <c r="O2727" s="83"/>
      <c r="P2727" s="83"/>
      <c r="Q2727" s="83"/>
      <c r="R2727" s="83"/>
      <c r="S2727" s="83"/>
      <c r="T2727" s="83"/>
      <c r="U2727" s="83"/>
      <c r="V2727" s="83"/>
      <c r="W2727" s="83"/>
      <c r="X2727" s="83"/>
      <c r="Y2727" s="83"/>
      <c r="Z2727" s="83"/>
    </row>
    <row r="2728">
      <c r="A2728" s="75" t="s">
        <v>29</v>
      </c>
      <c r="B2728" s="75" t="s">
        <v>1008</v>
      </c>
      <c r="C2728" s="75">
        <v>19.3</v>
      </c>
      <c r="D2728" s="75">
        <v>10.0</v>
      </c>
      <c r="E2728" s="75">
        <v>1.93</v>
      </c>
      <c r="F2728" s="75" t="s">
        <v>925</v>
      </c>
      <c r="G2728" s="82">
        <v>46112.0</v>
      </c>
      <c r="H2728" s="76" t="s">
        <v>971</v>
      </c>
      <c r="I2728" s="83"/>
      <c r="J2728" s="83"/>
      <c r="K2728" s="83"/>
      <c r="L2728" s="83"/>
      <c r="M2728" s="83"/>
      <c r="N2728" s="83"/>
      <c r="O2728" s="83"/>
      <c r="P2728" s="83"/>
      <c r="Q2728" s="83"/>
      <c r="R2728" s="83"/>
      <c r="S2728" s="83"/>
      <c r="T2728" s="83"/>
      <c r="U2728" s="83"/>
      <c r="V2728" s="83"/>
      <c r="W2728" s="83"/>
      <c r="X2728" s="83"/>
      <c r="Y2728" s="83"/>
      <c r="Z2728" s="83"/>
    </row>
    <row r="2729">
      <c r="A2729" s="75" t="s">
        <v>29</v>
      </c>
      <c r="B2729" s="75" t="s">
        <v>1008</v>
      </c>
      <c r="C2729" s="75">
        <v>2.79</v>
      </c>
      <c r="D2729" s="75">
        <v>1.0</v>
      </c>
      <c r="E2729" s="75">
        <v>2.79</v>
      </c>
      <c r="F2729" s="75" t="s">
        <v>925</v>
      </c>
      <c r="G2729" s="82">
        <v>46112.0</v>
      </c>
      <c r="H2729" s="76" t="s">
        <v>972</v>
      </c>
      <c r="I2729" s="83"/>
      <c r="J2729" s="83"/>
      <c r="K2729" s="83"/>
      <c r="L2729" s="83"/>
      <c r="M2729" s="83"/>
      <c r="N2729" s="83"/>
      <c r="O2729" s="83"/>
      <c r="P2729" s="83"/>
      <c r="Q2729" s="83"/>
      <c r="R2729" s="83"/>
      <c r="S2729" s="83"/>
      <c r="T2729" s="83"/>
      <c r="U2729" s="83"/>
      <c r="V2729" s="83"/>
      <c r="W2729" s="83"/>
      <c r="X2729" s="83"/>
      <c r="Y2729" s="83"/>
      <c r="Z2729" s="83"/>
    </row>
    <row r="2730">
      <c r="A2730" s="75" t="s">
        <v>29</v>
      </c>
      <c r="B2730" s="75" t="s">
        <v>1008</v>
      </c>
      <c r="C2730" s="75">
        <v>4.85</v>
      </c>
      <c r="D2730" s="75">
        <v>2.0</v>
      </c>
      <c r="E2730" s="75">
        <v>2.42</v>
      </c>
      <c r="F2730" s="75" t="s">
        <v>925</v>
      </c>
      <c r="G2730" s="82">
        <v>46112.0</v>
      </c>
      <c r="H2730" s="76" t="s">
        <v>973</v>
      </c>
      <c r="I2730" s="83"/>
      <c r="J2730" s="83"/>
      <c r="K2730" s="83"/>
      <c r="L2730" s="83"/>
      <c r="M2730" s="83"/>
      <c r="N2730" s="83"/>
      <c r="O2730" s="83"/>
      <c r="P2730" s="83"/>
      <c r="Q2730" s="83"/>
      <c r="R2730" s="83"/>
      <c r="S2730" s="83"/>
      <c r="T2730" s="83"/>
      <c r="U2730" s="83"/>
      <c r="V2730" s="83"/>
      <c r="W2730" s="83"/>
      <c r="X2730" s="83"/>
      <c r="Y2730" s="83"/>
      <c r="Z2730" s="83"/>
    </row>
    <row r="2731">
      <c r="A2731" s="75" t="s">
        <v>34</v>
      </c>
      <c r="B2731" s="75" t="s">
        <v>1008</v>
      </c>
      <c r="C2731" s="75">
        <v>24.37</v>
      </c>
      <c r="D2731" s="75">
        <v>1.0</v>
      </c>
      <c r="E2731" s="75">
        <v>24.37</v>
      </c>
      <c r="F2731" s="75" t="s">
        <v>948</v>
      </c>
      <c r="G2731" s="82">
        <v>46112.0</v>
      </c>
      <c r="H2731" s="76" t="s">
        <v>951</v>
      </c>
      <c r="I2731" s="83"/>
      <c r="J2731" s="83"/>
      <c r="K2731" s="83"/>
      <c r="L2731" s="83"/>
      <c r="M2731" s="83"/>
      <c r="N2731" s="83"/>
      <c r="O2731" s="83"/>
      <c r="P2731" s="83"/>
      <c r="Q2731" s="83"/>
      <c r="R2731" s="83"/>
      <c r="S2731" s="83"/>
      <c r="T2731" s="83"/>
      <c r="U2731" s="83"/>
      <c r="V2731" s="83"/>
      <c r="W2731" s="83"/>
      <c r="X2731" s="83"/>
      <c r="Y2731" s="83"/>
      <c r="Z2731" s="83"/>
    </row>
    <row r="2732">
      <c r="A2732" s="75" t="s">
        <v>34</v>
      </c>
      <c r="B2732" s="75" t="s">
        <v>1008</v>
      </c>
      <c r="C2732" s="75">
        <v>25.25</v>
      </c>
      <c r="D2732" s="75">
        <v>0.0</v>
      </c>
      <c r="E2732" s="75">
        <v>0.0</v>
      </c>
      <c r="F2732" s="75" t="s">
        <v>948</v>
      </c>
      <c r="G2732" s="82">
        <v>46112.0</v>
      </c>
      <c r="H2732" s="76" t="s">
        <v>952</v>
      </c>
      <c r="I2732" s="83"/>
      <c r="J2732" s="83"/>
      <c r="K2732" s="83"/>
      <c r="L2732" s="83"/>
      <c r="M2732" s="83"/>
      <c r="N2732" s="83"/>
      <c r="O2732" s="83"/>
      <c r="P2732" s="83"/>
      <c r="Q2732" s="83"/>
      <c r="R2732" s="83"/>
      <c r="S2732" s="83"/>
      <c r="T2732" s="83"/>
      <c r="U2732" s="83"/>
      <c r="V2732" s="83"/>
      <c r="W2732" s="83"/>
      <c r="X2732" s="83"/>
      <c r="Y2732" s="83"/>
      <c r="Z2732" s="83"/>
    </row>
    <row r="2733">
      <c r="A2733" s="75" t="s">
        <v>34</v>
      </c>
      <c r="B2733" s="75" t="s">
        <v>1008</v>
      </c>
      <c r="C2733" s="75">
        <v>106.36</v>
      </c>
      <c r="D2733" s="75">
        <v>1.0</v>
      </c>
      <c r="E2733" s="75">
        <v>106.36</v>
      </c>
      <c r="F2733" s="75" t="s">
        <v>948</v>
      </c>
      <c r="G2733" s="82">
        <v>46112.0</v>
      </c>
      <c r="H2733" s="76" t="s">
        <v>953</v>
      </c>
      <c r="I2733" s="83"/>
      <c r="J2733" s="83"/>
      <c r="K2733" s="83"/>
      <c r="L2733" s="83"/>
      <c r="M2733" s="83"/>
      <c r="N2733" s="83"/>
      <c r="O2733" s="83"/>
      <c r="P2733" s="83"/>
      <c r="Q2733" s="83"/>
      <c r="R2733" s="83"/>
      <c r="S2733" s="83"/>
      <c r="T2733" s="83"/>
      <c r="U2733" s="83"/>
      <c r="V2733" s="83"/>
      <c r="W2733" s="83"/>
      <c r="X2733" s="83"/>
      <c r="Y2733" s="83"/>
      <c r="Z2733" s="83"/>
    </row>
    <row r="2734">
      <c r="A2734" s="75" t="s">
        <v>40</v>
      </c>
      <c r="B2734" s="75" t="s">
        <v>1008</v>
      </c>
      <c r="C2734" s="75">
        <v>11.72</v>
      </c>
      <c r="D2734" s="75">
        <v>2.0</v>
      </c>
      <c r="E2734" s="75">
        <v>5.86</v>
      </c>
      <c r="F2734" s="75" t="s">
        <v>948</v>
      </c>
      <c r="G2734" s="82">
        <v>46112.0</v>
      </c>
      <c r="H2734" s="76" t="s">
        <v>954</v>
      </c>
      <c r="I2734" s="83"/>
      <c r="J2734" s="83"/>
      <c r="K2734" s="83"/>
      <c r="L2734" s="83"/>
      <c r="M2734" s="83"/>
      <c r="N2734" s="83"/>
      <c r="O2734" s="83"/>
      <c r="P2734" s="83"/>
      <c r="Q2734" s="83"/>
      <c r="R2734" s="83"/>
      <c r="S2734" s="83"/>
      <c r="T2734" s="83"/>
      <c r="U2734" s="83"/>
      <c r="V2734" s="83"/>
      <c r="W2734" s="83"/>
      <c r="X2734" s="83"/>
      <c r="Y2734" s="83"/>
      <c r="Z2734" s="83"/>
    </row>
    <row r="2735">
      <c r="A2735" s="75" t="s">
        <v>40</v>
      </c>
      <c r="B2735" s="75" t="s">
        <v>1008</v>
      </c>
      <c r="C2735" s="75">
        <v>1.5</v>
      </c>
      <c r="D2735" s="75">
        <v>0.0</v>
      </c>
      <c r="E2735" s="75">
        <v>0.0</v>
      </c>
      <c r="F2735" s="75" t="s">
        <v>948</v>
      </c>
      <c r="G2735" s="82">
        <v>46112.0</v>
      </c>
      <c r="H2735" s="76" t="s">
        <v>955</v>
      </c>
      <c r="I2735" s="83"/>
      <c r="J2735" s="83"/>
      <c r="K2735" s="83"/>
      <c r="L2735" s="83"/>
      <c r="M2735" s="83"/>
      <c r="N2735" s="83"/>
      <c r="O2735" s="83"/>
      <c r="P2735" s="83"/>
      <c r="Q2735" s="83"/>
      <c r="R2735" s="83"/>
      <c r="S2735" s="83"/>
      <c r="T2735" s="83"/>
      <c r="U2735" s="83"/>
      <c r="V2735" s="83"/>
      <c r="W2735" s="83"/>
      <c r="X2735" s="83"/>
      <c r="Y2735" s="83"/>
      <c r="Z2735" s="83"/>
    </row>
    <row r="2736">
      <c r="A2736" s="75" t="s">
        <v>40</v>
      </c>
      <c r="B2736" s="75" t="s">
        <v>1008</v>
      </c>
      <c r="C2736" s="75">
        <v>114.68</v>
      </c>
      <c r="D2736" s="75">
        <v>0.0</v>
      </c>
      <c r="E2736" s="75">
        <v>0.0</v>
      </c>
      <c r="F2736" s="75" t="s">
        <v>948</v>
      </c>
      <c r="G2736" s="82">
        <v>46112.0</v>
      </c>
      <c r="H2736" s="76" t="s">
        <v>956</v>
      </c>
      <c r="I2736" s="83"/>
      <c r="J2736" s="83"/>
      <c r="K2736" s="83"/>
      <c r="L2736" s="83"/>
      <c r="M2736" s="83"/>
      <c r="N2736" s="83"/>
      <c r="O2736" s="83"/>
      <c r="P2736" s="83"/>
      <c r="Q2736" s="83"/>
      <c r="R2736" s="83"/>
      <c r="S2736" s="83"/>
      <c r="T2736" s="83"/>
      <c r="U2736" s="83"/>
      <c r="V2736" s="83"/>
      <c r="W2736" s="83"/>
      <c r="X2736" s="83"/>
      <c r="Y2736" s="83"/>
      <c r="Z2736" s="83"/>
    </row>
    <row r="2737">
      <c r="A2737" s="75" t="s">
        <v>33</v>
      </c>
      <c r="B2737" s="75" t="s">
        <v>1008</v>
      </c>
      <c r="C2737" s="75">
        <v>7.14</v>
      </c>
      <c r="D2737" s="75">
        <v>2.0</v>
      </c>
      <c r="E2737" s="75">
        <v>3.57</v>
      </c>
      <c r="F2737" s="75" t="s">
        <v>948</v>
      </c>
      <c r="G2737" s="82">
        <v>46112.0</v>
      </c>
      <c r="H2737" s="76" t="s">
        <v>957</v>
      </c>
      <c r="I2737" s="83"/>
      <c r="J2737" s="83"/>
      <c r="K2737" s="83"/>
      <c r="L2737" s="83"/>
      <c r="M2737" s="83"/>
      <c r="N2737" s="83"/>
      <c r="O2737" s="83"/>
      <c r="P2737" s="83"/>
      <c r="Q2737" s="83"/>
      <c r="R2737" s="83"/>
      <c r="S2737" s="83"/>
      <c r="T2737" s="83"/>
      <c r="U2737" s="83"/>
      <c r="V2737" s="83"/>
      <c r="W2737" s="83"/>
      <c r="X2737" s="83"/>
      <c r="Y2737" s="83"/>
      <c r="Z2737" s="83"/>
    </row>
    <row r="2738">
      <c r="A2738" s="75" t="s">
        <v>33</v>
      </c>
      <c r="B2738" s="75" t="s">
        <v>1008</v>
      </c>
      <c r="C2738" s="75">
        <v>6.23</v>
      </c>
      <c r="D2738" s="75">
        <v>2.0</v>
      </c>
      <c r="E2738" s="75">
        <v>3.12</v>
      </c>
      <c r="F2738" s="75" t="s">
        <v>948</v>
      </c>
      <c r="G2738" s="82">
        <v>46112.0</v>
      </c>
      <c r="H2738" s="76" t="s">
        <v>958</v>
      </c>
      <c r="I2738" s="83"/>
      <c r="J2738" s="83"/>
      <c r="K2738" s="83"/>
      <c r="L2738" s="83"/>
      <c r="M2738" s="83"/>
      <c r="N2738" s="83"/>
      <c r="O2738" s="83"/>
      <c r="P2738" s="83"/>
      <c r="Q2738" s="83"/>
      <c r="R2738" s="83"/>
      <c r="S2738" s="83"/>
      <c r="T2738" s="83"/>
      <c r="U2738" s="83"/>
      <c r="V2738" s="83"/>
      <c r="W2738" s="83"/>
      <c r="X2738" s="83"/>
      <c r="Y2738" s="83"/>
      <c r="Z2738" s="83"/>
    </row>
    <row r="2739">
      <c r="A2739" s="75" t="s">
        <v>33</v>
      </c>
      <c r="B2739" s="75" t="s">
        <v>1008</v>
      </c>
      <c r="C2739" s="75">
        <v>11.78</v>
      </c>
      <c r="D2739" s="75">
        <v>0.0</v>
      </c>
      <c r="E2739" s="75">
        <v>0.0</v>
      </c>
      <c r="F2739" s="75" t="s">
        <v>948</v>
      </c>
      <c r="G2739" s="82">
        <v>46112.0</v>
      </c>
      <c r="H2739" s="76" t="s">
        <v>959</v>
      </c>
      <c r="I2739" s="83"/>
      <c r="J2739" s="83"/>
      <c r="K2739" s="83"/>
      <c r="L2739" s="83"/>
      <c r="M2739" s="83"/>
      <c r="N2739" s="83"/>
      <c r="O2739" s="83"/>
      <c r="P2739" s="83"/>
      <c r="Q2739" s="83"/>
      <c r="R2739" s="83"/>
      <c r="S2739" s="83"/>
      <c r="T2739" s="83"/>
      <c r="U2739" s="83"/>
      <c r="V2739" s="83"/>
      <c r="W2739" s="83"/>
      <c r="X2739" s="83"/>
      <c r="Y2739" s="83"/>
      <c r="Z2739" s="83"/>
    </row>
    <row r="2740">
      <c r="A2740" s="75" t="s">
        <v>46</v>
      </c>
      <c r="B2740" s="75" t="s">
        <v>1008</v>
      </c>
      <c r="C2740" s="75">
        <v>2.58</v>
      </c>
      <c r="D2740" s="75">
        <v>0.0</v>
      </c>
      <c r="E2740" s="75">
        <v>0.0</v>
      </c>
      <c r="F2740" s="75" t="s">
        <v>948</v>
      </c>
      <c r="G2740" s="82">
        <v>46112.0</v>
      </c>
      <c r="H2740" s="76" t="s">
        <v>960</v>
      </c>
      <c r="I2740" s="83"/>
      <c r="J2740" s="83"/>
      <c r="K2740" s="83"/>
      <c r="L2740" s="83"/>
      <c r="M2740" s="83"/>
      <c r="N2740" s="83"/>
      <c r="O2740" s="83"/>
      <c r="P2740" s="83"/>
      <c r="Q2740" s="83"/>
      <c r="R2740" s="83"/>
      <c r="S2740" s="83"/>
      <c r="T2740" s="83"/>
      <c r="U2740" s="83"/>
      <c r="V2740" s="83"/>
      <c r="W2740" s="83"/>
      <c r="X2740" s="83"/>
      <c r="Y2740" s="83"/>
      <c r="Z2740" s="83"/>
    </row>
    <row r="2741">
      <c r="A2741" s="75" t="s">
        <v>46</v>
      </c>
      <c r="B2741" s="75" t="s">
        <v>1008</v>
      </c>
      <c r="C2741" s="75">
        <v>8.49</v>
      </c>
      <c r="D2741" s="75">
        <v>0.0</v>
      </c>
      <c r="E2741" s="75">
        <v>0.0</v>
      </c>
      <c r="F2741" s="75" t="s">
        <v>948</v>
      </c>
      <c r="G2741" s="82">
        <v>46112.0</v>
      </c>
      <c r="H2741" s="76" t="s">
        <v>961</v>
      </c>
      <c r="I2741" s="83"/>
      <c r="J2741" s="83"/>
      <c r="K2741" s="83"/>
      <c r="L2741" s="83"/>
      <c r="M2741" s="83"/>
      <c r="N2741" s="83"/>
      <c r="O2741" s="83"/>
      <c r="P2741" s="83"/>
      <c r="Q2741" s="83"/>
      <c r="R2741" s="83"/>
      <c r="S2741" s="83"/>
      <c r="T2741" s="83"/>
      <c r="U2741" s="83"/>
      <c r="V2741" s="83"/>
      <c r="W2741" s="83"/>
      <c r="X2741" s="83"/>
      <c r="Y2741" s="83"/>
      <c r="Z2741" s="83"/>
    </row>
    <row r="2742">
      <c r="A2742" s="75" t="s">
        <v>46</v>
      </c>
      <c r="B2742" s="75" t="s">
        <v>1008</v>
      </c>
      <c r="C2742" s="75">
        <v>14.49</v>
      </c>
      <c r="D2742" s="75">
        <v>0.0</v>
      </c>
      <c r="E2742" s="75">
        <v>0.0</v>
      </c>
      <c r="F2742" s="75" t="s">
        <v>948</v>
      </c>
      <c r="G2742" s="82">
        <v>46112.0</v>
      </c>
      <c r="H2742" s="76" t="s">
        <v>962</v>
      </c>
      <c r="I2742" s="83"/>
      <c r="J2742" s="83"/>
      <c r="K2742" s="83"/>
      <c r="L2742" s="83"/>
      <c r="M2742" s="83"/>
      <c r="N2742" s="83"/>
      <c r="O2742" s="83"/>
      <c r="P2742" s="83"/>
      <c r="Q2742" s="83"/>
      <c r="R2742" s="83"/>
      <c r="S2742" s="83"/>
      <c r="T2742" s="83"/>
      <c r="U2742" s="83"/>
      <c r="V2742" s="83"/>
      <c r="W2742" s="83"/>
      <c r="X2742" s="83"/>
      <c r="Y2742" s="83"/>
      <c r="Z2742" s="83"/>
    </row>
    <row r="2743">
      <c r="A2743" s="75" t="s">
        <v>43</v>
      </c>
      <c r="B2743" s="75" t="s">
        <v>1008</v>
      </c>
      <c r="C2743" s="75">
        <v>6.71</v>
      </c>
      <c r="D2743" s="75">
        <v>0.0</v>
      </c>
      <c r="E2743" s="75">
        <v>0.0</v>
      </c>
      <c r="F2743" s="75" t="s">
        <v>948</v>
      </c>
      <c r="G2743" s="82">
        <v>46112.0</v>
      </c>
      <c r="H2743" s="76" t="s">
        <v>963</v>
      </c>
      <c r="I2743" s="83"/>
      <c r="J2743" s="83"/>
      <c r="K2743" s="83"/>
      <c r="L2743" s="83"/>
      <c r="M2743" s="83"/>
      <c r="N2743" s="83"/>
      <c r="O2743" s="83"/>
      <c r="P2743" s="83"/>
      <c r="Q2743" s="83"/>
      <c r="R2743" s="83"/>
      <c r="S2743" s="83"/>
      <c r="T2743" s="83"/>
      <c r="U2743" s="83"/>
      <c r="V2743" s="83"/>
      <c r="W2743" s="83"/>
      <c r="X2743" s="83"/>
      <c r="Y2743" s="83"/>
      <c r="Z2743" s="83"/>
    </row>
    <row r="2744">
      <c r="A2744" s="75" t="s">
        <v>43</v>
      </c>
      <c r="B2744" s="75" t="s">
        <v>1008</v>
      </c>
      <c r="C2744" s="75">
        <v>6.48</v>
      </c>
      <c r="D2744" s="75">
        <v>0.0</v>
      </c>
      <c r="E2744" s="75">
        <v>0.0</v>
      </c>
      <c r="F2744" s="75" t="s">
        <v>948</v>
      </c>
      <c r="G2744" s="82">
        <v>46112.0</v>
      </c>
      <c r="H2744" s="76" t="s">
        <v>964</v>
      </c>
      <c r="I2744" s="83"/>
      <c r="J2744" s="83"/>
      <c r="K2744" s="83"/>
      <c r="L2744" s="83"/>
      <c r="M2744" s="83"/>
      <c r="N2744" s="83"/>
      <c r="O2744" s="83"/>
      <c r="P2744" s="83"/>
      <c r="Q2744" s="83"/>
      <c r="R2744" s="83"/>
      <c r="S2744" s="83"/>
      <c r="T2744" s="83"/>
      <c r="U2744" s="83"/>
      <c r="V2744" s="83"/>
      <c r="W2744" s="83"/>
      <c r="X2744" s="83"/>
      <c r="Y2744" s="83"/>
      <c r="Z2744" s="83"/>
    </row>
    <row r="2745">
      <c r="A2745" s="75" t="s">
        <v>43</v>
      </c>
      <c r="B2745" s="75" t="s">
        <v>1008</v>
      </c>
      <c r="C2745" s="75">
        <v>96.44</v>
      </c>
      <c r="D2745" s="75">
        <v>6.0</v>
      </c>
      <c r="E2745" s="75">
        <v>16.07</v>
      </c>
      <c r="F2745" s="75" t="s">
        <v>948</v>
      </c>
      <c r="G2745" s="82">
        <v>46112.0</v>
      </c>
      <c r="H2745" s="76" t="s">
        <v>965</v>
      </c>
      <c r="I2745" s="83"/>
      <c r="J2745" s="83"/>
      <c r="K2745" s="83"/>
      <c r="L2745" s="83"/>
      <c r="M2745" s="83"/>
      <c r="N2745" s="83"/>
      <c r="O2745" s="83"/>
      <c r="P2745" s="83"/>
      <c r="Q2745" s="83"/>
      <c r="R2745" s="83"/>
      <c r="S2745" s="83"/>
      <c r="T2745" s="83"/>
      <c r="U2745" s="83"/>
      <c r="V2745" s="83"/>
      <c r="W2745" s="83"/>
      <c r="X2745" s="83"/>
      <c r="Y2745" s="83"/>
      <c r="Z2745" s="83"/>
    </row>
    <row r="2746">
      <c r="A2746" s="75" t="s">
        <v>966</v>
      </c>
      <c r="B2746" s="75" t="s">
        <v>1008</v>
      </c>
      <c r="C2746" s="75">
        <v>16.62</v>
      </c>
      <c r="D2746" s="75">
        <v>0.0</v>
      </c>
      <c r="E2746" s="75">
        <v>0.0</v>
      </c>
      <c r="F2746" s="75" t="s">
        <v>948</v>
      </c>
      <c r="G2746" s="82">
        <v>46112.0</v>
      </c>
      <c r="H2746" s="76" t="s">
        <v>967</v>
      </c>
      <c r="I2746" s="83"/>
      <c r="J2746" s="83"/>
      <c r="K2746" s="83"/>
      <c r="L2746" s="83"/>
      <c r="M2746" s="83"/>
      <c r="N2746" s="83"/>
      <c r="O2746" s="83"/>
      <c r="P2746" s="83"/>
      <c r="Q2746" s="83"/>
      <c r="R2746" s="83"/>
      <c r="S2746" s="83"/>
      <c r="T2746" s="83"/>
      <c r="U2746" s="83"/>
      <c r="V2746" s="83"/>
      <c r="W2746" s="83"/>
      <c r="X2746" s="83"/>
      <c r="Y2746" s="83"/>
      <c r="Z2746" s="83"/>
    </row>
    <row r="2747">
      <c r="A2747" s="75" t="s">
        <v>966</v>
      </c>
      <c r="B2747" s="75" t="s">
        <v>1008</v>
      </c>
      <c r="C2747" s="75">
        <v>7.8</v>
      </c>
      <c r="D2747" s="75">
        <v>0.0</v>
      </c>
      <c r="E2747" s="75">
        <v>0.0</v>
      </c>
      <c r="F2747" s="75" t="s">
        <v>948</v>
      </c>
      <c r="G2747" s="82">
        <v>46112.0</v>
      </c>
      <c r="H2747" s="76" t="s">
        <v>968</v>
      </c>
      <c r="I2747" s="83"/>
      <c r="J2747" s="83"/>
      <c r="K2747" s="83"/>
      <c r="L2747" s="83"/>
      <c r="M2747" s="83"/>
      <c r="N2747" s="83"/>
      <c r="O2747" s="83"/>
      <c r="P2747" s="83"/>
      <c r="Q2747" s="83"/>
      <c r="R2747" s="83"/>
      <c r="S2747" s="83"/>
      <c r="T2747" s="83"/>
      <c r="U2747" s="83"/>
      <c r="V2747" s="83"/>
      <c r="W2747" s="83"/>
      <c r="X2747" s="83"/>
      <c r="Y2747" s="83"/>
      <c r="Z2747" s="83"/>
    </row>
    <row r="2748">
      <c r="A2748" s="75" t="s">
        <v>966</v>
      </c>
      <c r="B2748" s="75" t="s">
        <v>1008</v>
      </c>
      <c r="C2748" s="75">
        <v>69.66</v>
      </c>
      <c r="D2748" s="75">
        <v>4.0</v>
      </c>
      <c r="E2748" s="75">
        <v>17.41</v>
      </c>
      <c r="F2748" s="75" t="s">
        <v>948</v>
      </c>
      <c r="G2748" s="82">
        <v>46112.0</v>
      </c>
      <c r="H2748" s="76" t="s">
        <v>969</v>
      </c>
      <c r="I2748" s="83"/>
      <c r="J2748" s="83"/>
      <c r="K2748" s="83"/>
      <c r="L2748" s="83"/>
      <c r="M2748" s="83"/>
      <c r="N2748" s="83"/>
      <c r="O2748" s="83"/>
      <c r="P2748" s="83"/>
      <c r="Q2748" s="83"/>
      <c r="R2748" s="83"/>
      <c r="S2748" s="83"/>
      <c r="T2748" s="83"/>
      <c r="U2748" s="83"/>
      <c r="V2748" s="83"/>
      <c r="W2748" s="83"/>
      <c r="X2748" s="83"/>
      <c r="Y2748" s="83"/>
      <c r="Z2748" s="83"/>
    </row>
    <row r="2749">
      <c r="A2749" s="75" t="s">
        <v>36</v>
      </c>
      <c r="B2749" s="75" t="s">
        <v>1008</v>
      </c>
      <c r="C2749" s="75">
        <v>18.51</v>
      </c>
      <c r="D2749" s="75">
        <v>4.0</v>
      </c>
      <c r="E2749" s="75">
        <v>4.63</v>
      </c>
      <c r="F2749" s="75" t="s">
        <v>948</v>
      </c>
      <c r="G2749" s="82">
        <v>46112.0</v>
      </c>
      <c r="H2749" s="76" t="s">
        <v>926</v>
      </c>
      <c r="I2749" s="83"/>
      <c r="J2749" s="83"/>
      <c r="K2749" s="83"/>
      <c r="L2749" s="83"/>
      <c r="M2749" s="83"/>
      <c r="N2749" s="83"/>
      <c r="O2749" s="83"/>
      <c r="P2749" s="83"/>
      <c r="Q2749" s="83"/>
      <c r="R2749" s="83"/>
      <c r="S2749" s="83"/>
      <c r="T2749" s="83"/>
      <c r="U2749" s="83"/>
      <c r="V2749" s="83"/>
      <c r="W2749" s="83"/>
      <c r="X2749" s="83"/>
      <c r="Y2749" s="83"/>
      <c r="Z2749" s="83"/>
    </row>
    <row r="2750">
      <c r="A2750" s="75" t="s">
        <v>36</v>
      </c>
      <c r="B2750" s="75" t="s">
        <v>1008</v>
      </c>
      <c r="C2750" s="75">
        <v>14.41</v>
      </c>
      <c r="D2750" s="75">
        <v>2.0</v>
      </c>
      <c r="E2750" s="75">
        <v>7.2</v>
      </c>
      <c r="F2750" s="75" t="s">
        <v>948</v>
      </c>
      <c r="G2750" s="82">
        <v>46112.0</v>
      </c>
      <c r="H2750" s="76" t="s">
        <v>927</v>
      </c>
      <c r="I2750" s="83"/>
      <c r="J2750" s="83"/>
      <c r="K2750" s="83"/>
      <c r="L2750" s="83"/>
      <c r="M2750" s="83"/>
      <c r="N2750" s="83"/>
      <c r="O2750" s="83"/>
      <c r="P2750" s="83"/>
      <c r="Q2750" s="83"/>
      <c r="R2750" s="83"/>
      <c r="S2750" s="83"/>
      <c r="T2750" s="83"/>
      <c r="U2750" s="83"/>
      <c r="V2750" s="83"/>
      <c r="W2750" s="83"/>
      <c r="X2750" s="83"/>
      <c r="Y2750" s="83"/>
      <c r="Z2750" s="83"/>
    </row>
    <row r="2751">
      <c r="A2751" s="75" t="s">
        <v>36</v>
      </c>
      <c r="B2751" s="75" t="s">
        <v>1008</v>
      </c>
      <c r="C2751" s="75">
        <v>7.83</v>
      </c>
      <c r="D2751" s="75">
        <v>0.0</v>
      </c>
      <c r="E2751" s="75">
        <v>0.0</v>
      </c>
      <c r="F2751" s="75" t="s">
        <v>948</v>
      </c>
      <c r="G2751" s="82">
        <v>46112.0</v>
      </c>
      <c r="H2751" s="76" t="s">
        <v>928</v>
      </c>
      <c r="I2751" s="83"/>
      <c r="J2751" s="83"/>
      <c r="K2751" s="83"/>
      <c r="L2751" s="83"/>
      <c r="M2751" s="83"/>
      <c r="N2751" s="83"/>
      <c r="O2751" s="83"/>
      <c r="P2751" s="83"/>
      <c r="Q2751" s="83"/>
      <c r="R2751" s="83"/>
      <c r="S2751" s="83"/>
      <c r="T2751" s="83"/>
      <c r="U2751" s="83"/>
      <c r="V2751" s="83"/>
      <c r="W2751" s="83"/>
      <c r="X2751" s="83"/>
      <c r="Y2751" s="83"/>
      <c r="Z2751" s="83"/>
    </row>
    <row r="2752">
      <c r="A2752" s="75" t="s">
        <v>970</v>
      </c>
      <c r="B2752" s="75" t="s">
        <v>1008</v>
      </c>
      <c r="C2752" s="75">
        <v>85.41</v>
      </c>
      <c r="D2752" s="75">
        <v>32.0</v>
      </c>
      <c r="E2752" s="75">
        <v>2.67</v>
      </c>
      <c r="F2752" s="75" t="s">
        <v>948</v>
      </c>
      <c r="G2752" s="82">
        <v>46112.0</v>
      </c>
      <c r="H2752" s="76" t="s">
        <v>971</v>
      </c>
      <c r="I2752" s="83"/>
      <c r="J2752" s="83"/>
      <c r="K2752" s="83"/>
      <c r="L2752" s="83"/>
      <c r="M2752" s="83"/>
      <c r="N2752" s="83"/>
      <c r="O2752" s="83"/>
      <c r="P2752" s="83"/>
      <c r="Q2752" s="83"/>
      <c r="R2752" s="83"/>
      <c r="S2752" s="83"/>
      <c r="T2752" s="83"/>
      <c r="U2752" s="83"/>
      <c r="V2752" s="83"/>
      <c r="W2752" s="83"/>
      <c r="X2752" s="83"/>
      <c r="Y2752" s="83"/>
      <c r="Z2752" s="83"/>
    </row>
    <row r="2753">
      <c r="A2753" s="75" t="s">
        <v>970</v>
      </c>
      <c r="B2753" s="75" t="s">
        <v>1008</v>
      </c>
      <c r="C2753" s="75">
        <v>5.09</v>
      </c>
      <c r="D2753" s="75">
        <v>0.0</v>
      </c>
      <c r="E2753" s="75">
        <v>0.0</v>
      </c>
      <c r="F2753" s="75" t="s">
        <v>948</v>
      </c>
      <c r="G2753" s="82">
        <v>46112.0</v>
      </c>
      <c r="H2753" s="76" t="s">
        <v>972</v>
      </c>
      <c r="I2753" s="83"/>
      <c r="J2753" s="83"/>
      <c r="K2753" s="83"/>
      <c r="L2753" s="83"/>
      <c r="M2753" s="83"/>
      <c r="N2753" s="83"/>
      <c r="O2753" s="83"/>
      <c r="P2753" s="83"/>
      <c r="Q2753" s="83"/>
      <c r="R2753" s="83"/>
      <c r="S2753" s="83"/>
      <c r="T2753" s="83"/>
      <c r="U2753" s="83"/>
      <c r="V2753" s="83"/>
      <c r="W2753" s="83"/>
      <c r="X2753" s="83"/>
      <c r="Y2753" s="83"/>
      <c r="Z2753" s="83"/>
    </row>
    <row r="2754">
      <c r="A2754" s="75" t="s">
        <v>970</v>
      </c>
      <c r="B2754" s="75" t="s">
        <v>1008</v>
      </c>
      <c r="C2754" s="75">
        <v>18.16</v>
      </c>
      <c r="D2754" s="75">
        <v>7.0</v>
      </c>
      <c r="E2754" s="75">
        <v>2.59</v>
      </c>
      <c r="F2754" s="75" t="s">
        <v>948</v>
      </c>
      <c r="G2754" s="82">
        <v>46112.0</v>
      </c>
      <c r="H2754" s="76" t="s">
        <v>973</v>
      </c>
      <c r="I2754" s="83"/>
      <c r="J2754" s="83"/>
      <c r="K2754" s="83"/>
      <c r="L2754" s="83"/>
      <c r="M2754" s="83"/>
      <c r="N2754" s="83"/>
      <c r="O2754" s="83"/>
      <c r="P2754" s="83"/>
      <c r="Q2754" s="83"/>
      <c r="R2754" s="83"/>
      <c r="S2754" s="83"/>
      <c r="T2754" s="83"/>
      <c r="U2754" s="83"/>
      <c r="V2754" s="83"/>
      <c r="W2754" s="83"/>
      <c r="X2754" s="83"/>
      <c r="Y2754" s="83"/>
      <c r="Z2754" s="83"/>
    </row>
    <row r="2755">
      <c r="A2755" s="75" t="s">
        <v>29</v>
      </c>
      <c r="B2755" s="75" t="s">
        <v>1008</v>
      </c>
      <c r="C2755" s="75">
        <v>64.56</v>
      </c>
      <c r="D2755" s="75">
        <v>57.0</v>
      </c>
      <c r="E2755" s="75">
        <v>1.13</v>
      </c>
      <c r="F2755" s="75" t="s">
        <v>948</v>
      </c>
      <c r="G2755" s="82">
        <v>46112.0</v>
      </c>
      <c r="H2755" s="76" t="s">
        <v>971</v>
      </c>
      <c r="I2755" s="83"/>
      <c r="J2755" s="83"/>
      <c r="K2755" s="83"/>
      <c r="L2755" s="83"/>
      <c r="M2755" s="83"/>
      <c r="N2755" s="83"/>
      <c r="O2755" s="83"/>
      <c r="P2755" s="83"/>
      <c r="Q2755" s="83"/>
      <c r="R2755" s="83"/>
      <c r="S2755" s="83"/>
      <c r="T2755" s="83"/>
      <c r="U2755" s="83"/>
      <c r="V2755" s="83"/>
      <c r="W2755" s="83"/>
      <c r="X2755" s="83"/>
      <c r="Y2755" s="83"/>
      <c r="Z2755" s="83"/>
    </row>
    <row r="2756">
      <c r="A2756" s="75" t="s">
        <v>29</v>
      </c>
      <c r="B2756" s="75" t="s">
        <v>1008</v>
      </c>
      <c r="C2756" s="75">
        <v>6.57</v>
      </c>
      <c r="D2756" s="75">
        <v>0.0</v>
      </c>
      <c r="E2756" s="75">
        <v>0.0</v>
      </c>
      <c r="F2756" s="75" t="s">
        <v>948</v>
      </c>
      <c r="G2756" s="82">
        <v>46112.0</v>
      </c>
      <c r="H2756" s="76" t="s">
        <v>972</v>
      </c>
      <c r="I2756" s="83"/>
      <c r="J2756" s="83"/>
      <c r="K2756" s="83"/>
      <c r="L2756" s="83"/>
      <c r="M2756" s="83"/>
      <c r="N2756" s="83"/>
      <c r="O2756" s="83"/>
      <c r="P2756" s="83"/>
      <c r="Q2756" s="83"/>
      <c r="R2756" s="83"/>
      <c r="S2756" s="83"/>
      <c r="T2756" s="83"/>
      <c r="U2756" s="83"/>
      <c r="V2756" s="83"/>
      <c r="W2756" s="83"/>
      <c r="X2756" s="83"/>
      <c r="Y2756" s="83"/>
      <c r="Z2756" s="83"/>
    </row>
    <row r="2757">
      <c r="A2757" s="75" t="s">
        <v>29</v>
      </c>
      <c r="B2757" s="75" t="s">
        <v>1008</v>
      </c>
      <c r="C2757" s="75">
        <v>18.29</v>
      </c>
      <c r="D2757" s="75">
        <v>10.0</v>
      </c>
      <c r="E2757" s="75">
        <v>1.83</v>
      </c>
      <c r="F2757" s="75" t="s">
        <v>948</v>
      </c>
      <c r="G2757" s="82">
        <v>46112.0</v>
      </c>
      <c r="H2757" s="76" t="s">
        <v>973</v>
      </c>
      <c r="I2757" s="83"/>
      <c r="J2757" s="83"/>
      <c r="K2757" s="83"/>
      <c r="L2757" s="83"/>
      <c r="M2757" s="83"/>
      <c r="N2757" s="83"/>
      <c r="O2757" s="83"/>
      <c r="P2757" s="83"/>
      <c r="Q2757" s="83"/>
      <c r="R2757" s="83"/>
      <c r="S2757" s="83"/>
      <c r="T2757" s="83"/>
      <c r="U2757" s="83"/>
      <c r="V2757" s="83"/>
      <c r="W2757" s="83"/>
      <c r="X2757" s="83"/>
      <c r="Y2757" s="83"/>
      <c r="Z2757" s="83"/>
    </row>
    <row r="2758">
      <c r="A2758" s="75" t="s">
        <v>36</v>
      </c>
      <c r="B2758" s="75" t="s">
        <v>1011</v>
      </c>
      <c r="C2758" s="75">
        <v>24.09</v>
      </c>
      <c r="D2758" s="75">
        <v>3.0</v>
      </c>
      <c r="E2758" s="75">
        <v>8.03</v>
      </c>
      <c r="F2758" s="75" t="s">
        <v>950</v>
      </c>
      <c r="G2758" s="82">
        <v>46112.0</v>
      </c>
      <c r="H2758" s="76" t="s">
        <v>926</v>
      </c>
      <c r="I2758" s="83"/>
      <c r="J2758" s="83"/>
      <c r="K2758" s="83"/>
      <c r="L2758" s="83"/>
      <c r="M2758" s="83"/>
      <c r="N2758" s="83"/>
      <c r="O2758" s="83"/>
      <c r="P2758" s="83"/>
      <c r="Q2758" s="83"/>
      <c r="R2758" s="83"/>
      <c r="S2758" s="83"/>
      <c r="T2758" s="83"/>
      <c r="U2758" s="83"/>
      <c r="V2758" s="83"/>
      <c r="W2758" s="83"/>
      <c r="X2758" s="83"/>
      <c r="Y2758" s="83"/>
      <c r="Z2758" s="83"/>
    </row>
    <row r="2759">
      <c r="A2759" s="75" t="s">
        <v>36</v>
      </c>
      <c r="B2759" s="75" t="s">
        <v>1011</v>
      </c>
      <c r="C2759" s="75">
        <v>4.61</v>
      </c>
      <c r="D2759" s="75">
        <v>1.0</v>
      </c>
      <c r="E2759" s="75">
        <v>4.61</v>
      </c>
      <c r="F2759" s="75" t="s">
        <v>950</v>
      </c>
      <c r="G2759" s="82">
        <v>46112.0</v>
      </c>
      <c r="H2759" s="76" t="s">
        <v>927</v>
      </c>
      <c r="I2759" s="83"/>
      <c r="J2759" s="83"/>
      <c r="K2759" s="83"/>
      <c r="L2759" s="83"/>
      <c r="M2759" s="83"/>
      <c r="N2759" s="83"/>
      <c r="O2759" s="83"/>
      <c r="P2759" s="83"/>
      <c r="Q2759" s="83"/>
      <c r="R2759" s="83"/>
      <c r="S2759" s="83"/>
      <c r="T2759" s="83"/>
      <c r="U2759" s="83"/>
      <c r="V2759" s="83"/>
      <c r="W2759" s="83"/>
      <c r="X2759" s="83"/>
      <c r="Y2759" s="83"/>
      <c r="Z2759" s="83"/>
    </row>
    <row r="2760">
      <c r="A2760" s="75" t="s">
        <v>36</v>
      </c>
      <c r="B2760" s="75" t="s">
        <v>1011</v>
      </c>
      <c r="C2760" s="75">
        <v>4.6</v>
      </c>
      <c r="D2760" s="75">
        <v>0.0</v>
      </c>
      <c r="E2760" s="75">
        <v>0.0</v>
      </c>
      <c r="F2760" s="75" t="s">
        <v>950</v>
      </c>
      <c r="G2760" s="82">
        <v>46112.0</v>
      </c>
      <c r="H2760" s="76" t="s">
        <v>928</v>
      </c>
      <c r="I2760" s="83"/>
      <c r="J2760" s="83"/>
      <c r="K2760" s="83"/>
      <c r="L2760" s="83"/>
      <c r="M2760" s="83"/>
      <c r="N2760" s="83"/>
      <c r="O2760" s="83"/>
      <c r="P2760" s="83"/>
      <c r="Q2760" s="83"/>
      <c r="R2760" s="83"/>
      <c r="S2760" s="83"/>
      <c r="T2760" s="83"/>
      <c r="U2760" s="83"/>
      <c r="V2760" s="83"/>
      <c r="W2760" s="83"/>
      <c r="X2760" s="83"/>
      <c r="Y2760" s="83"/>
      <c r="Z2760" s="83"/>
    </row>
    <row r="2761">
      <c r="A2761" s="75" t="s">
        <v>31</v>
      </c>
      <c r="B2761" s="75" t="s">
        <v>1011</v>
      </c>
      <c r="C2761" s="75">
        <v>70.66</v>
      </c>
      <c r="D2761" s="75">
        <v>26.0</v>
      </c>
      <c r="E2761" s="75">
        <v>2.72</v>
      </c>
      <c r="F2761" s="75" t="s">
        <v>950</v>
      </c>
      <c r="G2761" s="82">
        <v>46112.0</v>
      </c>
      <c r="H2761" s="76" t="s">
        <v>929</v>
      </c>
      <c r="I2761" s="83"/>
      <c r="J2761" s="83"/>
      <c r="K2761" s="83"/>
      <c r="L2761" s="83"/>
      <c r="M2761" s="83"/>
      <c r="N2761" s="83"/>
      <c r="O2761" s="83"/>
      <c r="P2761" s="83"/>
      <c r="Q2761" s="83"/>
      <c r="R2761" s="83"/>
      <c r="S2761" s="83"/>
      <c r="T2761" s="83"/>
      <c r="U2761" s="83"/>
      <c r="V2761" s="83"/>
      <c r="W2761" s="83"/>
      <c r="X2761" s="83"/>
      <c r="Y2761" s="83"/>
      <c r="Z2761" s="83"/>
    </row>
    <row r="2762">
      <c r="A2762" s="75" t="s">
        <v>31</v>
      </c>
      <c r="B2762" s="75" t="s">
        <v>1011</v>
      </c>
      <c r="C2762" s="75">
        <v>174.21</v>
      </c>
      <c r="D2762" s="75">
        <v>46.0</v>
      </c>
      <c r="E2762" s="75">
        <v>3.79</v>
      </c>
      <c r="F2762" s="75" t="s">
        <v>950</v>
      </c>
      <c r="G2762" s="82">
        <v>46112.0</v>
      </c>
      <c r="H2762" s="76" t="s">
        <v>930</v>
      </c>
      <c r="I2762" s="83"/>
      <c r="J2762" s="83"/>
      <c r="K2762" s="83"/>
      <c r="L2762" s="83"/>
      <c r="M2762" s="83"/>
      <c r="N2762" s="83"/>
      <c r="O2762" s="83"/>
      <c r="P2762" s="83"/>
      <c r="Q2762" s="83"/>
      <c r="R2762" s="83"/>
      <c r="S2762" s="83"/>
      <c r="T2762" s="83"/>
      <c r="U2762" s="83"/>
      <c r="V2762" s="83"/>
      <c r="W2762" s="83"/>
      <c r="X2762" s="83"/>
      <c r="Y2762" s="83"/>
      <c r="Z2762" s="83"/>
    </row>
    <row r="2763">
      <c r="A2763" s="75" t="s">
        <v>28</v>
      </c>
      <c r="B2763" s="75" t="s">
        <v>1011</v>
      </c>
      <c r="C2763" s="75">
        <v>6.34</v>
      </c>
      <c r="D2763" s="75">
        <v>1.0</v>
      </c>
      <c r="E2763" s="75">
        <v>6.34</v>
      </c>
      <c r="F2763" s="75" t="s">
        <v>950</v>
      </c>
      <c r="G2763" s="82">
        <v>46112.0</v>
      </c>
      <c r="H2763" s="76" t="s">
        <v>931</v>
      </c>
      <c r="I2763" s="83"/>
      <c r="J2763" s="83"/>
      <c r="K2763" s="83"/>
      <c r="L2763" s="83"/>
      <c r="M2763" s="83"/>
      <c r="N2763" s="83"/>
      <c r="O2763" s="83"/>
      <c r="P2763" s="83"/>
      <c r="Q2763" s="83"/>
      <c r="R2763" s="83"/>
      <c r="S2763" s="83"/>
      <c r="T2763" s="83"/>
      <c r="U2763" s="83"/>
      <c r="V2763" s="83"/>
      <c r="W2763" s="83"/>
      <c r="X2763" s="83"/>
      <c r="Y2763" s="83"/>
      <c r="Z2763" s="83"/>
    </row>
    <row r="2764">
      <c r="A2764" s="75" t="s">
        <v>28</v>
      </c>
      <c r="B2764" s="75" t="s">
        <v>1011</v>
      </c>
      <c r="C2764" s="75">
        <v>2.3</v>
      </c>
      <c r="D2764" s="75">
        <v>0.0</v>
      </c>
      <c r="E2764" s="75">
        <v>0.0</v>
      </c>
      <c r="F2764" s="75" t="s">
        <v>950</v>
      </c>
      <c r="G2764" s="82">
        <v>46112.0</v>
      </c>
      <c r="H2764" s="76" t="s">
        <v>932</v>
      </c>
      <c r="I2764" s="83"/>
      <c r="J2764" s="83"/>
      <c r="K2764" s="83"/>
      <c r="L2764" s="83"/>
      <c r="M2764" s="83"/>
      <c r="N2764" s="83"/>
      <c r="O2764" s="83"/>
      <c r="P2764" s="83"/>
      <c r="Q2764" s="83"/>
      <c r="R2764" s="83"/>
      <c r="S2764" s="83"/>
      <c r="T2764" s="83"/>
      <c r="U2764" s="83"/>
      <c r="V2764" s="83"/>
      <c r="W2764" s="83"/>
      <c r="X2764" s="83"/>
      <c r="Y2764" s="83"/>
      <c r="Z2764" s="83"/>
    </row>
    <row r="2765">
      <c r="A2765" s="75" t="s">
        <v>28</v>
      </c>
      <c r="B2765" s="75" t="s">
        <v>1011</v>
      </c>
      <c r="C2765" s="75">
        <v>49.01</v>
      </c>
      <c r="D2765" s="75">
        <v>2.0</v>
      </c>
      <c r="E2765" s="75">
        <v>24.51</v>
      </c>
      <c r="F2765" s="75" t="s">
        <v>950</v>
      </c>
      <c r="G2765" s="82">
        <v>46112.0</v>
      </c>
      <c r="H2765" s="76" t="s">
        <v>933</v>
      </c>
      <c r="I2765" s="83"/>
      <c r="J2765" s="83"/>
      <c r="K2765" s="83"/>
      <c r="L2765" s="83"/>
      <c r="M2765" s="83"/>
      <c r="N2765" s="83"/>
      <c r="O2765" s="83"/>
      <c r="P2765" s="83"/>
      <c r="Q2765" s="83"/>
      <c r="R2765" s="83"/>
      <c r="S2765" s="83"/>
      <c r="T2765" s="83"/>
      <c r="U2765" s="83"/>
      <c r="V2765" s="83"/>
      <c r="W2765" s="83"/>
      <c r="X2765" s="83"/>
      <c r="Y2765" s="83"/>
      <c r="Z2765" s="83"/>
    </row>
    <row r="2766">
      <c r="A2766" s="75" t="s">
        <v>42</v>
      </c>
      <c r="B2766" s="75" t="s">
        <v>1011</v>
      </c>
      <c r="C2766" s="75">
        <v>0.79</v>
      </c>
      <c r="D2766" s="75">
        <v>0.0</v>
      </c>
      <c r="E2766" s="75">
        <v>0.0</v>
      </c>
      <c r="F2766" s="75" t="s">
        <v>950</v>
      </c>
      <c r="G2766" s="82">
        <v>46112.0</v>
      </c>
      <c r="H2766" s="76" t="s">
        <v>991</v>
      </c>
      <c r="I2766" s="83"/>
      <c r="J2766" s="83"/>
      <c r="K2766" s="83"/>
      <c r="L2766" s="83"/>
      <c r="M2766" s="83"/>
      <c r="N2766" s="83"/>
      <c r="O2766" s="83"/>
      <c r="P2766" s="83"/>
      <c r="Q2766" s="83"/>
      <c r="R2766" s="83"/>
      <c r="S2766" s="83"/>
      <c r="T2766" s="83"/>
      <c r="U2766" s="83"/>
      <c r="V2766" s="83"/>
      <c r="W2766" s="83"/>
      <c r="X2766" s="83"/>
      <c r="Y2766" s="83"/>
      <c r="Z2766" s="83"/>
    </row>
    <row r="2767">
      <c r="A2767" s="75" t="s">
        <v>42</v>
      </c>
      <c r="B2767" s="75" t="s">
        <v>1011</v>
      </c>
      <c r="C2767" s="75">
        <v>18.31</v>
      </c>
      <c r="D2767" s="75">
        <v>0.0</v>
      </c>
      <c r="E2767" s="75">
        <v>0.0</v>
      </c>
      <c r="F2767" s="75" t="s">
        <v>950</v>
      </c>
      <c r="G2767" s="82">
        <v>46112.0</v>
      </c>
      <c r="H2767" s="76" t="s">
        <v>935</v>
      </c>
      <c r="I2767" s="83"/>
      <c r="J2767" s="83"/>
      <c r="K2767" s="83"/>
      <c r="L2767" s="83"/>
      <c r="M2767" s="83"/>
      <c r="N2767" s="83"/>
      <c r="O2767" s="83"/>
      <c r="P2767" s="83"/>
      <c r="Q2767" s="83"/>
      <c r="R2767" s="83"/>
      <c r="S2767" s="83"/>
      <c r="T2767" s="83"/>
      <c r="U2767" s="83"/>
      <c r="V2767" s="83"/>
      <c r="W2767" s="83"/>
      <c r="X2767" s="83"/>
      <c r="Y2767" s="83"/>
      <c r="Z2767" s="83"/>
    </row>
    <row r="2768">
      <c r="A2768" s="75" t="s">
        <v>45</v>
      </c>
      <c r="B2768" s="75" t="s">
        <v>1011</v>
      </c>
      <c r="C2768" s="75">
        <v>4.18</v>
      </c>
      <c r="D2768" s="75">
        <v>0.0</v>
      </c>
      <c r="E2768" s="75">
        <v>0.0</v>
      </c>
      <c r="F2768" s="75" t="s">
        <v>950</v>
      </c>
      <c r="G2768" s="82">
        <v>46112.0</v>
      </c>
      <c r="H2768" s="76" t="s">
        <v>936</v>
      </c>
      <c r="I2768" s="83"/>
      <c r="J2768" s="83"/>
      <c r="K2768" s="83"/>
      <c r="L2768" s="83"/>
      <c r="M2768" s="83"/>
      <c r="N2768" s="83"/>
      <c r="O2768" s="83"/>
      <c r="P2768" s="83"/>
      <c r="Q2768" s="83"/>
      <c r="R2768" s="83"/>
      <c r="S2768" s="83"/>
      <c r="T2768" s="83"/>
      <c r="U2768" s="83"/>
      <c r="V2768" s="83"/>
      <c r="W2768" s="83"/>
      <c r="X2768" s="83"/>
      <c r="Y2768" s="83"/>
      <c r="Z2768" s="83"/>
    </row>
    <row r="2769">
      <c r="A2769" s="75" t="s">
        <v>45</v>
      </c>
      <c r="B2769" s="75" t="s">
        <v>1011</v>
      </c>
      <c r="C2769" s="75">
        <v>2.47</v>
      </c>
      <c r="D2769" s="75">
        <v>0.0</v>
      </c>
      <c r="E2769" s="75">
        <v>0.0</v>
      </c>
      <c r="F2769" s="75" t="s">
        <v>950</v>
      </c>
      <c r="G2769" s="82">
        <v>46112.0</v>
      </c>
      <c r="H2769" s="76" t="s">
        <v>937</v>
      </c>
      <c r="I2769" s="83"/>
      <c r="J2769" s="83"/>
      <c r="K2769" s="83"/>
      <c r="L2769" s="83"/>
      <c r="M2769" s="83"/>
      <c r="N2769" s="83"/>
      <c r="O2769" s="83"/>
      <c r="P2769" s="83"/>
      <c r="Q2769" s="83"/>
      <c r="R2769" s="83"/>
      <c r="S2769" s="83"/>
      <c r="T2769" s="83"/>
      <c r="U2769" s="83"/>
      <c r="V2769" s="83"/>
      <c r="W2769" s="83"/>
      <c r="X2769" s="83"/>
      <c r="Y2769" s="83"/>
      <c r="Z2769" s="83"/>
    </row>
    <row r="2770">
      <c r="A2770" s="75" t="s">
        <v>45</v>
      </c>
      <c r="B2770" s="75" t="s">
        <v>1011</v>
      </c>
      <c r="C2770" s="75">
        <v>24.8</v>
      </c>
      <c r="D2770" s="75">
        <v>0.0</v>
      </c>
      <c r="E2770" s="75">
        <v>0.0</v>
      </c>
      <c r="F2770" s="75" t="s">
        <v>950</v>
      </c>
      <c r="G2770" s="82">
        <v>46112.0</v>
      </c>
      <c r="H2770" s="76" t="s">
        <v>938</v>
      </c>
      <c r="I2770" s="83"/>
      <c r="J2770" s="83"/>
      <c r="K2770" s="83"/>
      <c r="L2770" s="83"/>
      <c r="M2770" s="83"/>
      <c r="N2770" s="83"/>
      <c r="O2770" s="83"/>
      <c r="P2770" s="83"/>
      <c r="Q2770" s="83"/>
      <c r="R2770" s="83"/>
      <c r="S2770" s="83"/>
      <c r="T2770" s="83"/>
      <c r="U2770" s="83"/>
      <c r="V2770" s="83"/>
      <c r="W2770" s="83"/>
      <c r="X2770" s="83"/>
      <c r="Y2770" s="83"/>
      <c r="Z2770" s="83"/>
    </row>
    <row r="2771">
      <c r="A2771" s="75" t="s">
        <v>50</v>
      </c>
      <c r="B2771" s="75" t="s">
        <v>1011</v>
      </c>
      <c r="C2771" s="75">
        <v>8.28</v>
      </c>
      <c r="D2771" s="75">
        <v>0.0</v>
      </c>
      <c r="E2771" s="75">
        <v>0.0</v>
      </c>
      <c r="F2771" s="75" t="s">
        <v>950</v>
      </c>
      <c r="G2771" s="82">
        <v>46112.0</v>
      </c>
      <c r="H2771" s="76" t="s">
        <v>939</v>
      </c>
      <c r="I2771" s="83"/>
      <c r="J2771" s="83"/>
      <c r="K2771" s="83"/>
      <c r="L2771" s="83"/>
      <c r="M2771" s="83"/>
      <c r="N2771" s="83"/>
      <c r="O2771" s="83"/>
      <c r="P2771" s="83"/>
      <c r="Q2771" s="83"/>
      <c r="R2771" s="83"/>
      <c r="S2771" s="83"/>
      <c r="T2771" s="83"/>
      <c r="U2771" s="83"/>
      <c r="V2771" s="83"/>
      <c r="W2771" s="83"/>
      <c r="X2771" s="83"/>
      <c r="Y2771" s="83"/>
      <c r="Z2771" s="83"/>
    </row>
    <row r="2772">
      <c r="A2772" s="75" t="s">
        <v>50</v>
      </c>
      <c r="B2772" s="75" t="s">
        <v>1011</v>
      </c>
      <c r="C2772" s="75">
        <v>3.14</v>
      </c>
      <c r="D2772" s="75">
        <v>0.0</v>
      </c>
      <c r="E2772" s="75">
        <v>0.0</v>
      </c>
      <c r="F2772" s="75" t="s">
        <v>950</v>
      </c>
      <c r="G2772" s="82">
        <v>46112.0</v>
      </c>
      <c r="H2772" s="76" t="s">
        <v>940</v>
      </c>
      <c r="I2772" s="83"/>
      <c r="J2772" s="83"/>
      <c r="K2772" s="83"/>
      <c r="L2772" s="83"/>
      <c r="M2772" s="83"/>
      <c r="N2772" s="83"/>
      <c r="O2772" s="83"/>
      <c r="P2772" s="83"/>
      <c r="Q2772" s="83"/>
      <c r="R2772" s="83"/>
      <c r="S2772" s="83"/>
      <c r="T2772" s="83"/>
      <c r="U2772" s="83"/>
      <c r="V2772" s="83"/>
      <c r="W2772" s="83"/>
      <c r="X2772" s="83"/>
      <c r="Y2772" s="83"/>
      <c r="Z2772" s="83"/>
    </row>
    <row r="2773">
      <c r="A2773" s="75" t="s">
        <v>32</v>
      </c>
      <c r="B2773" s="75" t="s">
        <v>1011</v>
      </c>
      <c r="C2773" s="75">
        <v>76.09</v>
      </c>
      <c r="D2773" s="75">
        <v>8.0</v>
      </c>
      <c r="E2773" s="75">
        <v>9.51</v>
      </c>
      <c r="F2773" s="75" t="s">
        <v>950</v>
      </c>
      <c r="G2773" s="82">
        <v>46112.0</v>
      </c>
      <c r="H2773" s="76" t="s">
        <v>941</v>
      </c>
      <c r="I2773" s="83"/>
      <c r="J2773" s="83"/>
      <c r="K2773" s="83"/>
      <c r="L2773" s="83"/>
      <c r="M2773" s="83"/>
      <c r="N2773" s="83"/>
      <c r="O2773" s="83"/>
      <c r="P2773" s="83"/>
      <c r="Q2773" s="83"/>
      <c r="R2773" s="83"/>
      <c r="S2773" s="83"/>
      <c r="T2773" s="83"/>
      <c r="U2773" s="83"/>
      <c r="V2773" s="83"/>
      <c r="W2773" s="83"/>
      <c r="X2773" s="83"/>
      <c r="Y2773" s="83"/>
      <c r="Z2773" s="83"/>
    </row>
    <row r="2774">
      <c r="A2774" s="75" t="s">
        <v>32</v>
      </c>
      <c r="B2774" s="75" t="s">
        <v>1011</v>
      </c>
      <c r="C2774" s="75">
        <v>8.1</v>
      </c>
      <c r="D2774" s="75">
        <v>4.0</v>
      </c>
      <c r="E2774" s="75">
        <v>2.02</v>
      </c>
      <c r="F2774" s="75" t="s">
        <v>950</v>
      </c>
      <c r="G2774" s="82">
        <v>46112.0</v>
      </c>
      <c r="H2774" s="76" t="s">
        <v>942</v>
      </c>
      <c r="I2774" s="83"/>
      <c r="J2774" s="83"/>
      <c r="K2774" s="83"/>
      <c r="L2774" s="83"/>
      <c r="M2774" s="83"/>
      <c r="N2774" s="83"/>
      <c r="O2774" s="83"/>
      <c r="P2774" s="83"/>
      <c r="Q2774" s="83"/>
      <c r="R2774" s="83"/>
      <c r="S2774" s="83"/>
      <c r="T2774" s="83"/>
      <c r="U2774" s="83"/>
      <c r="V2774" s="83"/>
      <c r="W2774" s="83"/>
      <c r="X2774" s="83"/>
      <c r="Y2774" s="83"/>
      <c r="Z2774" s="83"/>
    </row>
    <row r="2775">
      <c r="A2775" s="75" t="s">
        <v>32</v>
      </c>
      <c r="B2775" s="75" t="s">
        <v>1011</v>
      </c>
      <c r="C2775" s="75">
        <v>24.04</v>
      </c>
      <c r="D2775" s="75">
        <v>17.0</v>
      </c>
      <c r="E2775" s="75">
        <v>1.41</v>
      </c>
      <c r="F2775" s="75" t="s">
        <v>950</v>
      </c>
      <c r="G2775" s="82">
        <v>46112.0</v>
      </c>
      <c r="H2775" s="76" t="s">
        <v>943</v>
      </c>
      <c r="I2775" s="83"/>
      <c r="J2775" s="83"/>
      <c r="K2775" s="83"/>
      <c r="L2775" s="83"/>
      <c r="M2775" s="83"/>
      <c r="N2775" s="83"/>
      <c r="O2775" s="83"/>
      <c r="P2775" s="83"/>
      <c r="Q2775" s="83"/>
      <c r="R2775" s="83"/>
      <c r="S2775" s="83"/>
      <c r="T2775" s="83"/>
      <c r="U2775" s="83"/>
      <c r="V2775" s="83"/>
      <c r="W2775" s="83"/>
      <c r="X2775" s="83"/>
      <c r="Y2775" s="83"/>
      <c r="Z2775" s="83"/>
    </row>
    <row r="2776">
      <c r="A2776" s="75" t="s">
        <v>944</v>
      </c>
      <c r="B2776" s="75" t="s">
        <v>1011</v>
      </c>
      <c r="C2776" s="75">
        <v>15.42</v>
      </c>
      <c r="D2776" s="75">
        <v>1.0</v>
      </c>
      <c r="E2776" s="75">
        <v>15.42</v>
      </c>
      <c r="F2776" s="75" t="s">
        <v>950</v>
      </c>
      <c r="G2776" s="82">
        <v>46112.0</v>
      </c>
      <c r="H2776" s="76" t="s">
        <v>945</v>
      </c>
      <c r="I2776" s="83"/>
      <c r="J2776" s="83"/>
      <c r="K2776" s="83"/>
      <c r="L2776" s="83"/>
      <c r="M2776" s="83"/>
      <c r="N2776" s="83"/>
      <c r="O2776" s="83"/>
      <c r="P2776" s="83"/>
      <c r="Q2776" s="83"/>
      <c r="R2776" s="83"/>
      <c r="S2776" s="83"/>
      <c r="T2776" s="83"/>
      <c r="U2776" s="83"/>
      <c r="V2776" s="83"/>
      <c r="W2776" s="83"/>
      <c r="X2776" s="83"/>
      <c r="Y2776" s="83"/>
      <c r="Z2776" s="83"/>
    </row>
    <row r="2777">
      <c r="A2777" s="75" t="s">
        <v>944</v>
      </c>
      <c r="B2777" s="75" t="s">
        <v>1011</v>
      </c>
      <c r="C2777" s="75">
        <v>2.7</v>
      </c>
      <c r="D2777" s="75">
        <v>0.0</v>
      </c>
      <c r="E2777" s="75">
        <v>0.0</v>
      </c>
      <c r="F2777" s="75" t="s">
        <v>950</v>
      </c>
      <c r="G2777" s="82">
        <v>46112.0</v>
      </c>
      <c r="H2777" s="76" t="s">
        <v>946</v>
      </c>
      <c r="I2777" s="83"/>
      <c r="J2777" s="83"/>
      <c r="K2777" s="83"/>
      <c r="L2777" s="83"/>
      <c r="M2777" s="83"/>
      <c r="N2777" s="83"/>
      <c r="O2777" s="83"/>
      <c r="P2777" s="83"/>
      <c r="Q2777" s="83"/>
      <c r="R2777" s="83"/>
      <c r="S2777" s="83"/>
      <c r="T2777" s="83"/>
      <c r="U2777" s="83"/>
      <c r="V2777" s="83"/>
      <c r="W2777" s="83"/>
      <c r="X2777" s="83"/>
      <c r="Y2777" s="83"/>
      <c r="Z2777" s="83"/>
    </row>
    <row r="2778">
      <c r="A2778" s="75" t="s">
        <v>944</v>
      </c>
      <c r="B2778" s="75" t="s">
        <v>1011</v>
      </c>
      <c r="C2778" s="75">
        <v>4.55</v>
      </c>
      <c r="D2778" s="75">
        <v>0.0</v>
      </c>
      <c r="E2778" s="75">
        <v>0.0</v>
      </c>
      <c r="F2778" s="75" t="s">
        <v>950</v>
      </c>
      <c r="G2778" s="82">
        <v>46112.0</v>
      </c>
      <c r="H2778" s="76" t="s">
        <v>947</v>
      </c>
      <c r="I2778" s="83"/>
      <c r="J2778" s="83"/>
      <c r="K2778" s="83"/>
      <c r="L2778" s="83"/>
      <c r="M2778" s="83"/>
      <c r="N2778" s="83"/>
      <c r="O2778" s="83"/>
      <c r="P2778" s="83"/>
      <c r="Q2778" s="83"/>
      <c r="R2778" s="83"/>
      <c r="S2778" s="83"/>
      <c r="T2778" s="83"/>
      <c r="U2778" s="83"/>
      <c r="V2778" s="83"/>
      <c r="W2778" s="83"/>
      <c r="X2778" s="83"/>
      <c r="Y2778" s="83"/>
      <c r="Z2778" s="83"/>
    </row>
    <row r="2779">
      <c r="A2779" s="75" t="s">
        <v>26</v>
      </c>
      <c r="B2779" s="75" t="s">
        <v>1011</v>
      </c>
      <c r="C2779" s="75">
        <v>3.34</v>
      </c>
      <c r="D2779" s="75">
        <v>0.0</v>
      </c>
      <c r="E2779" s="75">
        <v>0.0</v>
      </c>
      <c r="F2779" s="75" t="s">
        <v>950</v>
      </c>
      <c r="G2779" s="82">
        <v>46112.0</v>
      </c>
      <c r="H2779" s="76" t="s">
        <v>1012</v>
      </c>
      <c r="I2779" s="83"/>
      <c r="J2779" s="83"/>
      <c r="K2779" s="83"/>
      <c r="L2779" s="83"/>
      <c r="M2779" s="83"/>
      <c r="N2779" s="83"/>
      <c r="O2779" s="83"/>
      <c r="P2779" s="83"/>
      <c r="Q2779" s="83"/>
      <c r="R2779" s="83"/>
      <c r="S2779" s="83"/>
      <c r="T2779" s="83"/>
      <c r="U2779" s="83"/>
      <c r="V2779" s="83"/>
      <c r="W2779" s="83"/>
      <c r="X2779" s="83"/>
      <c r="Y2779" s="83"/>
      <c r="Z2779" s="83"/>
    </row>
    <row r="2780">
      <c r="A2780" s="75" t="s">
        <v>26</v>
      </c>
      <c r="B2780" s="75" t="s">
        <v>1011</v>
      </c>
      <c r="C2780" s="75">
        <v>9.99</v>
      </c>
      <c r="D2780" s="75">
        <v>0.0</v>
      </c>
      <c r="E2780" s="75">
        <v>0.0</v>
      </c>
      <c r="F2780" s="75" t="s">
        <v>950</v>
      </c>
      <c r="G2780" s="82">
        <v>46112.0</v>
      </c>
      <c r="H2780" s="76" t="s">
        <v>1013</v>
      </c>
      <c r="I2780" s="83"/>
      <c r="J2780" s="83"/>
      <c r="K2780" s="83"/>
      <c r="L2780" s="83"/>
      <c r="M2780" s="83"/>
      <c r="N2780" s="83"/>
      <c r="O2780" s="83"/>
      <c r="P2780" s="83"/>
      <c r="Q2780" s="83"/>
      <c r="R2780" s="83"/>
      <c r="S2780" s="83"/>
      <c r="T2780" s="83"/>
      <c r="U2780" s="83"/>
      <c r="V2780" s="83"/>
      <c r="W2780" s="83"/>
      <c r="X2780" s="83"/>
      <c r="Y2780" s="83"/>
      <c r="Z2780" s="83"/>
    </row>
    <row r="2781">
      <c r="A2781" s="75" t="s">
        <v>26</v>
      </c>
      <c r="B2781" s="75" t="s">
        <v>1011</v>
      </c>
      <c r="C2781" s="75">
        <v>3.68</v>
      </c>
      <c r="D2781" s="75">
        <v>0.0</v>
      </c>
      <c r="E2781" s="75">
        <v>0.0</v>
      </c>
      <c r="F2781" s="75" t="s">
        <v>950</v>
      </c>
      <c r="G2781" s="82">
        <v>46112.0</v>
      </c>
      <c r="H2781" s="76" t="s">
        <v>1014</v>
      </c>
      <c r="I2781" s="83"/>
      <c r="J2781" s="83"/>
      <c r="K2781" s="83"/>
      <c r="L2781" s="83"/>
      <c r="M2781" s="83"/>
      <c r="N2781" s="83"/>
      <c r="O2781" s="83"/>
      <c r="P2781" s="83"/>
      <c r="Q2781" s="83"/>
      <c r="R2781" s="83"/>
      <c r="S2781" s="83"/>
      <c r="T2781" s="83"/>
      <c r="U2781" s="83"/>
      <c r="V2781" s="83"/>
      <c r="W2781" s="83"/>
      <c r="X2781" s="83"/>
      <c r="Y2781" s="83"/>
      <c r="Z2781" s="83"/>
    </row>
    <row r="2782">
      <c r="A2782" s="75" t="s">
        <v>36</v>
      </c>
      <c r="B2782" s="75" t="s">
        <v>1011</v>
      </c>
      <c r="C2782" s="75">
        <v>14.22</v>
      </c>
      <c r="D2782" s="75">
        <v>0.0</v>
      </c>
      <c r="E2782" s="75">
        <v>0.0</v>
      </c>
      <c r="F2782" s="75" t="s">
        <v>974</v>
      </c>
      <c r="G2782" s="82">
        <v>46112.0</v>
      </c>
      <c r="H2782" s="76" t="s">
        <v>926</v>
      </c>
      <c r="I2782" s="83"/>
      <c r="J2782" s="83"/>
      <c r="K2782" s="83"/>
      <c r="L2782" s="83"/>
      <c r="M2782" s="83"/>
      <c r="N2782" s="83"/>
      <c r="O2782" s="83"/>
      <c r="P2782" s="83"/>
      <c r="Q2782" s="83"/>
      <c r="R2782" s="83"/>
      <c r="S2782" s="83"/>
      <c r="T2782" s="83"/>
      <c r="U2782" s="83"/>
      <c r="V2782" s="83"/>
      <c r="W2782" s="83"/>
      <c r="X2782" s="83"/>
      <c r="Y2782" s="83"/>
      <c r="Z2782" s="83"/>
    </row>
    <row r="2783">
      <c r="A2783" s="75" t="s">
        <v>36</v>
      </c>
      <c r="B2783" s="75" t="s">
        <v>1011</v>
      </c>
      <c r="C2783" s="75">
        <v>4.48</v>
      </c>
      <c r="D2783" s="75">
        <v>0.0</v>
      </c>
      <c r="E2783" s="75">
        <v>0.0</v>
      </c>
      <c r="F2783" s="75" t="s">
        <v>974</v>
      </c>
      <c r="G2783" s="82">
        <v>46112.0</v>
      </c>
      <c r="H2783" s="76" t="s">
        <v>927</v>
      </c>
      <c r="I2783" s="83"/>
      <c r="J2783" s="83"/>
      <c r="K2783" s="83"/>
      <c r="L2783" s="83"/>
      <c r="M2783" s="83"/>
      <c r="N2783" s="83"/>
      <c r="O2783" s="83"/>
      <c r="P2783" s="83"/>
      <c r="Q2783" s="83"/>
      <c r="R2783" s="83"/>
      <c r="S2783" s="83"/>
      <c r="T2783" s="83"/>
      <c r="U2783" s="83"/>
      <c r="V2783" s="83"/>
      <c r="W2783" s="83"/>
      <c r="X2783" s="83"/>
      <c r="Y2783" s="83"/>
      <c r="Z2783" s="83"/>
    </row>
    <row r="2784">
      <c r="A2784" s="75" t="s">
        <v>36</v>
      </c>
      <c r="B2784" s="75" t="s">
        <v>1011</v>
      </c>
      <c r="C2784" s="75">
        <v>3.11</v>
      </c>
      <c r="D2784" s="75">
        <v>0.0</v>
      </c>
      <c r="E2784" s="75">
        <v>0.0</v>
      </c>
      <c r="F2784" s="75" t="s">
        <v>974</v>
      </c>
      <c r="G2784" s="82">
        <v>46112.0</v>
      </c>
      <c r="H2784" s="76" t="s">
        <v>928</v>
      </c>
      <c r="I2784" s="83"/>
      <c r="J2784" s="83"/>
      <c r="K2784" s="83"/>
      <c r="L2784" s="83"/>
      <c r="M2784" s="83"/>
      <c r="N2784" s="83"/>
      <c r="O2784" s="83"/>
      <c r="P2784" s="83"/>
      <c r="Q2784" s="83"/>
      <c r="R2784" s="83"/>
      <c r="S2784" s="83"/>
      <c r="T2784" s="83"/>
      <c r="U2784" s="83"/>
      <c r="V2784" s="83"/>
      <c r="W2784" s="83"/>
      <c r="X2784" s="83"/>
      <c r="Y2784" s="83"/>
      <c r="Z2784" s="83"/>
    </row>
    <row r="2785">
      <c r="A2785" s="75" t="s">
        <v>31</v>
      </c>
      <c r="B2785" s="75" t="s">
        <v>1011</v>
      </c>
      <c r="C2785" s="75">
        <v>82.53</v>
      </c>
      <c r="D2785" s="75">
        <v>25.0</v>
      </c>
      <c r="E2785" s="75">
        <v>3.3</v>
      </c>
      <c r="F2785" s="75" t="s">
        <v>974</v>
      </c>
      <c r="G2785" s="82">
        <v>46112.0</v>
      </c>
      <c r="H2785" s="76" t="s">
        <v>929</v>
      </c>
      <c r="I2785" s="83"/>
      <c r="J2785" s="83"/>
      <c r="K2785" s="83"/>
      <c r="L2785" s="83"/>
      <c r="M2785" s="83"/>
      <c r="N2785" s="83"/>
      <c r="O2785" s="83"/>
      <c r="P2785" s="83"/>
      <c r="Q2785" s="83"/>
      <c r="R2785" s="83"/>
      <c r="S2785" s="83"/>
      <c r="T2785" s="83"/>
      <c r="U2785" s="83"/>
      <c r="V2785" s="83"/>
      <c r="W2785" s="83"/>
      <c r="X2785" s="83"/>
      <c r="Y2785" s="83"/>
      <c r="Z2785" s="83"/>
    </row>
    <row r="2786">
      <c r="A2786" s="75" t="s">
        <v>31</v>
      </c>
      <c r="B2786" s="75" t="s">
        <v>1011</v>
      </c>
      <c r="C2786" s="75">
        <v>141.13</v>
      </c>
      <c r="D2786" s="75">
        <v>44.0</v>
      </c>
      <c r="E2786" s="75">
        <v>3.21</v>
      </c>
      <c r="F2786" s="75" t="s">
        <v>974</v>
      </c>
      <c r="G2786" s="82">
        <v>46112.0</v>
      </c>
      <c r="H2786" s="76" t="s">
        <v>930</v>
      </c>
      <c r="I2786" s="83"/>
      <c r="J2786" s="83"/>
      <c r="K2786" s="83"/>
      <c r="L2786" s="83"/>
      <c r="M2786" s="83"/>
      <c r="N2786" s="83"/>
      <c r="O2786" s="83"/>
      <c r="P2786" s="83"/>
      <c r="Q2786" s="83"/>
      <c r="R2786" s="83"/>
      <c r="S2786" s="83"/>
      <c r="T2786" s="83"/>
      <c r="U2786" s="83"/>
      <c r="V2786" s="83"/>
      <c r="W2786" s="83"/>
      <c r="X2786" s="83"/>
      <c r="Y2786" s="83"/>
      <c r="Z2786" s="83"/>
    </row>
    <row r="2787">
      <c r="A2787" s="75" t="s">
        <v>28</v>
      </c>
      <c r="B2787" s="75" t="s">
        <v>1011</v>
      </c>
      <c r="C2787" s="75">
        <v>3.24</v>
      </c>
      <c r="D2787" s="75">
        <v>0.0</v>
      </c>
      <c r="E2787" s="75">
        <v>0.0</v>
      </c>
      <c r="F2787" s="75" t="s">
        <v>974</v>
      </c>
      <c r="G2787" s="82">
        <v>46112.0</v>
      </c>
      <c r="H2787" s="76" t="s">
        <v>931</v>
      </c>
      <c r="I2787" s="83"/>
      <c r="J2787" s="83"/>
      <c r="K2787" s="83"/>
      <c r="L2787" s="83"/>
      <c r="M2787" s="83"/>
      <c r="N2787" s="83"/>
      <c r="O2787" s="83"/>
      <c r="P2787" s="83"/>
      <c r="Q2787" s="83"/>
      <c r="R2787" s="83"/>
      <c r="S2787" s="83"/>
      <c r="T2787" s="83"/>
      <c r="U2787" s="83"/>
      <c r="V2787" s="83"/>
      <c r="W2787" s="83"/>
      <c r="X2787" s="83"/>
      <c r="Y2787" s="83"/>
      <c r="Z2787" s="83"/>
    </row>
    <row r="2788">
      <c r="A2788" s="75" t="s">
        <v>28</v>
      </c>
      <c r="B2788" s="75" t="s">
        <v>1011</v>
      </c>
      <c r="C2788" s="75">
        <v>1.13</v>
      </c>
      <c r="D2788" s="75">
        <v>0.0</v>
      </c>
      <c r="E2788" s="75">
        <v>0.0</v>
      </c>
      <c r="F2788" s="75" t="s">
        <v>974</v>
      </c>
      <c r="G2788" s="82">
        <v>46112.0</v>
      </c>
      <c r="H2788" s="76" t="s">
        <v>932</v>
      </c>
      <c r="I2788" s="83"/>
      <c r="J2788" s="83"/>
      <c r="K2788" s="83"/>
      <c r="L2788" s="83"/>
      <c r="M2788" s="83"/>
      <c r="N2788" s="83"/>
      <c r="O2788" s="83"/>
      <c r="P2788" s="83"/>
      <c r="Q2788" s="83"/>
      <c r="R2788" s="83"/>
      <c r="S2788" s="83"/>
      <c r="T2788" s="83"/>
      <c r="U2788" s="83"/>
      <c r="V2788" s="83"/>
      <c r="W2788" s="83"/>
      <c r="X2788" s="83"/>
      <c r="Y2788" s="83"/>
      <c r="Z2788" s="83"/>
    </row>
    <row r="2789">
      <c r="A2789" s="75" t="s">
        <v>28</v>
      </c>
      <c r="B2789" s="75" t="s">
        <v>1011</v>
      </c>
      <c r="C2789" s="75">
        <v>12.71</v>
      </c>
      <c r="D2789" s="75">
        <v>1.0</v>
      </c>
      <c r="E2789" s="75">
        <v>12.71</v>
      </c>
      <c r="F2789" s="75" t="s">
        <v>974</v>
      </c>
      <c r="G2789" s="82">
        <v>46112.0</v>
      </c>
      <c r="H2789" s="76" t="s">
        <v>933</v>
      </c>
      <c r="I2789" s="83"/>
      <c r="J2789" s="83"/>
      <c r="K2789" s="83"/>
      <c r="L2789" s="83"/>
      <c r="M2789" s="83"/>
      <c r="N2789" s="83"/>
      <c r="O2789" s="83"/>
      <c r="P2789" s="83"/>
      <c r="Q2789" s="83"/>
      <c r="R2789" s="83"/>
      <c r="S2789" s="83"/>
      <c r="T2789" s="83"/>
      <c r="U2789" s="83"/>
      <c r="V2789" s="83"/>
      <c r="W2789" s="83"/>
      <c r="X2789" s="83"/>
      <c r="Y2789" s="83"/>
      <c r="Z2789" s="83"/>
    </row>
    <row r="2790">
      <c r="A2790" s="75" t="s">
        <v>42</v>
      </c>
      <c r="B2790" s="75" t="s">
        <v>1011</v>
      </c>
      <c r="C2790" s="75">
        <v>0.74</v>
      </c>
      <c r="D2790" s="75">
        <v>0.0</v>
      </c>
      <c r="E2790" s="75">
        <v>0.0</v>
      </c>
      <c r="F2790" s="75" t="s">
        <v>974</v>
      </c>
      <c r="G2790" s="82">
        <v>46112.0</v>
      </c>
      <c r="H2790" s="76" t="s">
        <v>991</v>
      </c>
      <c r="I2790" s="83"/>
      <c r="J2790" s="83"/>
      <c r="K2790" s="83"/>
      <c r="L2790" s="83"/>
      <c r="M2790" s="83"/>
      <c r="N2790" s="83"/>
      <c r="O2790" s="83"/>
      <c r="P2790" s="83"/>
      <c r="Q2790" s="83"/>
      <c r="R2790" s="83"/>
      <c r="S2790" s="83"/>
      <c r="T2790" s="83"/>
      <c r="U2790" s="83"/>
      <c r="V2790" s="83"/>
      <c r="W2790" s="83"/>
      <c r="X2790" s="83"/>
      <c r="Y2790" s="83"/>
      <c r="Z2790" s="83"/>
    </row>
    <row r="2791">
      <c r="A2791" s="75" t="s">
        <v>42</v>
      </c>
      <c r="B2791" s="75" t="s">
        <v>1011</v>
      </c>
      <c r="C2791" s="75">
        <v>14.02</v>
      </c>
      <c r="D2791" s="75">
        <v>0.0</v>
      </c>
      <c r="E2791" s="75">
        <v>0.0</v>
      </c>
      <c r="F2791" s="75" t="s">
        <v>974</v>
      </c>
      <c r="G2791" s="82">
        <v>46112.0</v>
      </c>
      <c r="H2791" s="76" t="s">
        <v>935</v>
      </c>
      <c r="I2791" s="83"/>
      <c r="J2791" s="83"/>
      <c r="K2791" s="83"/>
      <c r="L2791" s="83"/>
      <c r="M2791" s="83"/>
      <c r="N2791" s="83"/>
      <c r="O2791" s="83"/>
      <c r="P2791" s="83"/>
      <c r="Q2791" s="83"/>
      <c r="R2791" s="83"/>
      <c r="S2791" s="83"/>
      <c r="T2791" s="83"/>
      <c r="U2791" s="83"/>
      <c r="V2791" s="83"/>
      <c r="W2791" s="83"/>
      <c r="X2791" s="83"/>
      <c r="Y2791" s="83"/>
      <c r="Z2791" s="83"/>
    </row>
    <row r="2792">
      <c r="A2792" s="75" t="s">
        <v>45</v>
      </c>
      <c r="B2792" s="75" t="s">
        <v>1011</v>
      </c>
      <c r="C2792" s="75">
        <v>3.21</v>
      </c>
      <c r="D2792" s="75">
        <v>0.0</v>
      </c>
      <c r="E2792" s="75">
        <v>0.0</v>
      </c>
      <c r="F2792" s="75" t="s">
        <v>974</v>
      </c>
      <c r="G2792" s="82">
        <v>46112.0</v>
      </c>
      <c r="H2792" s="76" t="s">
        <v>936</v>
      </c>
      <c r="I2792" s="83"/>
      <c r="J2792" s="83"/>
      <c r="K2792" s="83"/>
      <c r="L2792" s="83"/>
      <c r="M2792" s="83"/>
      <c r="N2792" s="83"/>
      <c r="O2792" s="83"/>
      <c r="P2792" s="83"/>
      <c r="Q2792" s="83"/>
      <c r="R2792" s="83"/>
      <c r="S2792" s="83"/>
      <c r="T2792" s="83"/>
      <c r="U2792" s="83"/>
      <c r="V2792" s="83"/>
      <c r="W2792" s="83"/>
      <c r="X2792" s="83"/>
      <c r="Y2792" s="83"/>
      <c r="Z2792" s="83"/>
    </row>
    <row r="2793">
      <c r="A2793" s="75" t="s">
        <v>45</v>
      </c>
      <c r="B2793" s="75" t="s">
        <v>1011</v>
      </c>
      <c r="C2793" s="75">
        <v>1.97</v>
      </c>
      <c r="D2793" s="75">
        <v>1.0</v>
      </c>
      <c r="E2793" s="75">
        <v>1.97</v>
      </c>
      <c r="F2793" s="75" t="s">
        <v>974</v>
      </c>
      <c r="G2793" s="82">
        <v>46112.0</v>
      </c>
      <c r="H2793" s="76" t="s">
        <v>937</v>
      </c>
      <c r="I2793" s="83"/>
      <c r="J2793" s="83"/>
      <c r="K2793" s="83"/>
      <c r="L2793" s="83"/>
      <c r="M2793" s="83"/>
      <c r="N2793" s="83"/>
      <c r="O2793" s="83"/>
      <c r="P2793" s="83"/>
      <c r="Q2793" s="83"/>
      <c r="R2793" s="83"/>
      <c r="S2793" s="83"/>
      <c r="T2793" s="83"/>
      <c r="U2793" s="83"/>
      <c r="V2793" s="83"/>
      <c r="W2793" s="83"/>
      <c r="X2793" s="83"/>
      <c r="Y2793" s="83"/>
      <c r="Z2793" s="83"/>
    </row>
    <row r="2794">
      <c r="A2794" s="75" t="s">
        <v>45</v>
      </c>
      <c r="B2794" s="75" t="s">
        <v>1011</v>
      </c>
      <c r="C2794" s="75">
        <v>7.95</v>
      </c>
      <c r="D2794" s="75">
        <v>1.0</v>
      </c>
      <c r="E2794" s="75">
        <v>7.95</v>
      </c>
      <c r="F2794" s="75" t="s">
        <v>974</v>
      </c>
      <c r="G2794" s="82">
        <v>46112.0</v>
      </c>
      <c r="H2794" s="76" t="s">
        <v>938</v>
      </c>
      <c r="I2794" s="83"/>
      <c r="J2794" s="83"/>
      <c r="K2794" s="83"/>
      <c r="L2794" s="83"/>
      <c r="M2794" s="83"/>
      <c r="N2794" s="83"/>
      <c r="O2794" s="83"/>
      <c r="P2794" s="83"/>
      <c r="Q2794" s="83"/>
      <c r="R2794" s="83"/>
      <c r="S2794" s="83"/>
      <c r="T2794" s="83"/>
      <c r="U2794" s="83"/>
      <c r="V2794" s="83"/>
      <c r="W2794" s="83"/>
      <c r="X2794" s="83"/>
      <c r="Y2794" s="83"/>
      <c r="Z2794" s="83"/>
    </row>
    <row r="2795">
      <c r="A2795" s="75" t="s">
        <v>50</v>
      </c>
      <c r="B2795" s="75" t="s">
        <v>1011</v>
      </c>
      <c r="C2795" s="75">
        <v>10.41</v>
      </c>
      <c r="D2795" s="75">
        <v>0.0</v>
      </c>
      <c r="E2795" s="75">
        <v>0.0</v>
      </c>
      <c r="F2795" s="75" t="s">
        <v>974</v>
      </c>
      <c r="G2795" s="82">
        <v>46112.0</v>
      </c>
      <c r="H2795" s="76" t="s">
        <v>939</v>
      </c>
      <c r="I2795" s="83"/>
      <c r="J2795" s="83"/>
      <c r="K2795" s="83"/>
      <c r="L2795" s="83"/>
      <c r="M2795" s="83"/>
      <c r="N2795" s="83"/>
      <c r="O2795" s="83"/>
      <c r="P2795" s="83"/>
      <c r="Q2795" s="83"/>
      <c r="R2795" s="83"/>
      <c r="S2795" s="83"/>
      <c r="T2795" s="83"/>
      <c r="U2795" s="83"/>
      <c r="V2795" s="83"/>
      <c r="W2795" s="83"/>
      <c r="X2795" s="83"/>
      <c r="Y2795" s="83"/>
      <c r="Z2795" s="83"/>
    </row>
    <row r="2796">
      <c r="A2796" s="75" t="s">
        <v>50</v>
      </c>
      <c r="B2796" s="75" t="s">
        <v>1011</v>
      </c>
      <c r="C2796" s="75">
        <v>3.76</v>
      </c>
      <c r="D2796" s="75">
        <v>0.0</v>
      </c>
      <c r="E2796" s="75">
        <v>0.0</v>
      </c>
      <c r="F2796" s="75" t="s">
        <v>974</v>
      </c>
      <c r="G2796" s="82">
        <v>46112.0</v>
      </c>
      <c r="H2796" s="76" t="s">
        <v>940</v>
      </c>
      <c r="I2796" s="83"/>
      <c r="J2796" s="83"/>
      <c r="K2796" s="83"/>
      <c r="L2796" s="83"/>
      <c r="M2796" s="83"/>
      <c r="N2796" s="83"/>
      <c r="O2796" s="83"/>
      <c r="P2796" s="83"/>
      <c r="Q2796" s="83"/>
      <c r="R2796" s="83"/>
      <c r="S2796" s="83"/>
      <c r="T2796" s="83"/>
      <c r="U2796" s="83"/>
      <c r="V2796" s="83"/>
      <c r="W2796" s="83"/>
      <c r="X2796" s="83"/>
      <c r="Y2796" s="83"/>
      <c r="Z2796" s="83"/>
    </row>
    <row r="2797">
      <c r="A2797" s="75" t="s">
        <v>32</v>
      </c>
      <c r="B2797" s="75" t="s">
        <v>1011</v>
      </c>
      <c r="C2797" s="75">
        <v>122.7</v>
      </c>
      <c r="D2797" s="75">
        <v>33.0</v>
      </c>
      <c r="E2797" s="75">
        <v>3.72</v>
      </c>
      <c r="F2797" s="75" t="s">
        <v>974</v>
      </c>
      <c r="G2797" s="82">
        <v>46112.0</v>
      </c>
      <c r="H2797" s="76" t="s">
        <v>941</v>
      </c>
      <c r="I2797" s="83"/>
      <c r="J2797" s="83"/>
      <c r="K2797" s="83"/>
      <c r="L2797" s="83"/>
      <c r="M2797" s="83"/>
      <c r="N2797" s="83"/>
      <c r="O2797" s="83"/>
      <c r="P2797" s="83"/>
      <c r="Q2797" s="83"/>
      <c r="R2797" s="83"/>
      <c r="S2797" s="83"/>
      <c r="T2797" s="83"/>
      <c r="U2797" s="83"/>
      <c r="V2797" s="83"/>
      <c r="W2797" s="83"/>
      <c r="X2797" s="83"/>
      <c r="Y2797" s="83"/>
      <c r="Z2797" s="83"/>
    </row>
    <row r="2798">
      <c r="A2798" s="75" t="s">
        <v>32</v>
      </c>
      <c r="B2798" s="75" t="s">
        <v>1011</v>
      </c>
      <c r="C2798" s="75">
        <v>5.25</v>
      </c>
      <c r="D2798" s="75">
        <v>1.0</v>
      </c>
      <c r="E2798" s="75">
        <v>5.25</v>
      </c>
      <c r="F2798" s="75" t="s">
        <v>974</v>
      </c>
      <c r="G2798" s="82">
        <v>46112.0</v>
      </c>
      <c r="H2798" s="76" t="s">
        <v>942</v>
      </c>
      <c r="I2798" s="83"/>
      <c r="J2798" s="83"/>
      <c r="K2798" s="83"/>
      <c r="L2798" s="83"/>
      <c r="M2798" s="83"/>
      <c r="N2798" s="83"/>
      <c r="O2798" s="83"/>
      <c r="P2798" s="83"/>
      <c r="Q2798" s="83"/>
      <c r="R2798" s="83"/>
      <c r="S2798" s="83"/>
      <c r="T2798" s="83"/>
      <c r="U2798" s="83"/>
      <c r="V2798" s="83"/>
      <c r="W2798" s="83"/>
      <c r="X2798" s="83"/>
      <c r="Y2798" s="83"/>
      <c r="Z2798" s="83"/>
    </row>
    <row r="2799">
      <c r="A2799" s="75" t="s">
        <v>32</v>
      </c>
      <c r="B2799" s="75" t="s">
        <v>1011</v>
      </c>
      <c r="C2799" s="75">
        <v>5.63</v>
      </c>
      <c r="D2799" s="75">
        <v>0.0</v>
      </c>
      <c r="E2799" s="75">
        <v>0.0</v>
      </c>
      <c r="F2799" s="75" t="s">
        <v>974</v>
      </c>
      <c r="G2799" s="82">
        <v>46112.0</v>
      </c>
      <c r="H2799" s="76" t="s">
        <v>943</v>
      </c>
      <c r="I2799" s="83"/>
      <c r="J2799" s="83"/>
      <c r="K2799" s="83"/>
      <c r="L2799" s="83"/>
      <c r="M2799" s="83"/>
      <c r="N2799" s="83"/>
      <c r="O2799" s="83"/>
      <c r="P2799" s="83"/>
      <c r="Q2799" s="83"/>
      <c r="R2799" s="83"/>
      <c r="S2799" s="83"/>
      <c r="T2799" s="83"/>
      <c r="U2799" s="83"/>
      <c r="V2799" s="83"/>
      <c r="W2799" s="83"/>
      <c r="X2799" s="83"/>
      <c r="Y2799" s="83"/>
      <c r="Z2799" s="83"/>
    </row>
    <row r="2800">
      <c r="A2800" s="75" t="s">
        <v>944</v>
      </c>
      <c r="B2800" s="75" t="s">
        <v>1011</v>
      </c>
      <c r="C2800" s="75">
        <v>7.38</v>
      </c>
      <c r="D2800" s="75">
        <v>2.0</v>
      </c>
      <c r="E2800" s="75">
        <v>3.69</v>
      </c>
      <c r="F2800" s="75" t="s">
        <v>974</v>
      </c>
      <c r="G2800" s="82">
        <v>46112.0</v>
      </c>
      <c r="H2800" s="76" t="s">
        <v>945</v>
      </c>
      <c r="I2800" s="83"/>
      <c r="J2800" s="83"/>
      <c r="K2800" s="83"/>
      <c r="L2800" s="83"/>
      <c r="M2800" s="83"/>
      <c r="N2800" s="83"/>
      <c r="O2800" s="83"/>
      <c r="P2800" s="83"/>
      <c r="Q2800" s="83"/>
      <c r="R2800" s="83"/>
      <c r="S2800" s="83"/>
      <c r="T2800" s="83"/>
      <c r="U2800" s="83"/>
      <c r="V2800" s="83"/>
      <c r="W2800" s="83"/>
      <c r="X2800" s="83"/>
      <c r="Y2800" s="83"/>
      <c r="Z2800" s="83"/>
    </row>
    <row r="2801">
      <c r="A2801" s="75" t="s">
        <v>944</v>
      </c>
      <c r="B2801" s="75" t="s">
        <v>1011</v>
      </c>
      <c r="C2801" s="75">
        <v>1.79</v>
      </c>
      <c r="D2801" s="75">
        <v>1.0</v>
      </c>
      <c r="E2801" s="75">
        <v>1.79</v>
      </c>
      <c r="F2801" s="75" t="s">
        <v>974</v>
      </c>
      <c r="G2801" s="82">
        <v>46112.0</v>
      </c>
      <c r="H2801" s="76" t="s">
        <v>946</v>
      </c>
      <c r="I2801" s="83"/>
      <c r="J2801" s="83"/>
      <c r="K2801" s="83"/>
      <c r="L2801" s="83"/>
      <c r="M2801" s="83"/>
      <c r="N2801" s="83"/>
      <c r="O2801" s="83"/>
      <c r="P2801" s="83"/>
      <c r="Q2801" s="83"/>
      <c r="R2801" s="83"/>
      <c r="S2801" s="83"/>
      <c r="T2801" s="83"/>
      <c r="U2801" s="83"/>
      <c r="V2801" s="83"/>
      <c r="W2801" s="83"/>
      <c r="X2801" s="83"/>
      <c r="Y2801" s="83"/>
      <c r="Z2801" s="83"/>
    </row>
    <row r="2802">
      <c r="A2802" s="75" t="s">
        <v>944</v>
      </c>
      <c r="B2802" s="75" t="s">
        <v>1011</v>
      </c>
      <c r="C2802" s="75">
        <v>3.42</v>
      </c>
      <c r="D2802" s="75">
        <v>0.0</v>
      </c>
      <c r="E2802" s="75">
        <v>0.0</v>
      </c>
      <c r="F2802" s="75" t="s">
        <v>974</v>
      </c>
      <c r="G2802" s="82">
        <v>46112.0</v>
      </c>
      <c r="H2802" s="76" t="s">
        <v>947</v>
      </c>
      <c r="I2802" s="83"/>
      <c r="J2802" s="83"/>
      <c r="K2802" s="83"/>
      <c r="L2802" s="83"/>
      <c r="M2802" s="83"/>
      <c r="N2802" s="83"/>
      <c r="O2802" s="83"/>
      <c r="P2802" s="83"/>
      <c r="Q2802" s="83"/>
      <c r="R2802" s="83"/>
      <c r="S2802" s="83"/>
      <c r="T2802" s="83"/>
      <c r="U2802" s="83"/>
      <c r="V2802" s="83"/>
      <c r="W2802" s="83"/>
      <c r="X2802" s="83"/>
      <c r="Y2802" s="83"/>
      <c r="Z2802" s="83"/>
    </row>
    <row r="2803">
      <c r="A2803" s="75" t="s">
        <v>26</v>
      </c>
      <c r="B2803" s="75" t="s">
        <v>1011</v>
      </c>
      <c r="C2803" s="75">
        <v>3.14</v>
      </c>
      <c r="D2803" s="75">
        <v>0.0</v>
      </c>
      <c r="E2803" s="75">
        <v>0.0</v>
      </c>
      <c r="F2803" s="75" t="s">
        <v>974</v>
      </c>
      <c r="G2803" s="82">
        <v>46112.0</v>
      </c>
      <c r="H2803" s="76" t="s">
        <v>1012</v>
      </c>
      <c r="I2803" s="83"/>
      <c r="J2803" s="83"/>
      <c r="K2803" s="83"/>
      <c r="L2803" s="83"/>
      <c r="M2803" s="83"/>
      <c r="N2803" s="83"/>
      <c r="O2803" s="83"/>
      <c r="P2803" s="83"/>
      <c r="Q2803" s="83"/>
      <c r="R2803" s="83"/>
      <c r="S2803" s="83"/>
      <c r="T2803" s="83"/>
      <c r="U2803" s="83"/>
      <c r="V2803" s="83"/>
      <c r="W2803" s="83"/>
      <c r="X2803" s="83"/>
      <c r="Y2803" s="83"/>
      <c r="Z2803" s="83"/>
    </row>
    <row r="2804">
      <c r="A2804" s="75" t="s">
        <v>26</v>
      </c>
      <c r="B2804" s="75" t="s">
        <v>1011</v>
      </c>
      <c r="C2804" s="75">
        <v>4.03</v>
      </c>
      <c r="D2804" s="75">
        <v>0.0</v>
      </c>
      <c r="E2804" s="75">
        <v>0.0</v>
      </c>
      <c r="F2804" s="75" t="s">
        <v>974</v>
      </c>
      <c r="G2804" s="82">
        <v>46112.0</v>
      </c>
      <c r="H2804" s="76" t="s">
        <v>1013</v>
      </c>
      <c r="I2804" s="83"/>
      <c r="J2804" s="83"/>
      <c r="K2804" s="83"/>
      <c r="L2804" s="83"/>
      <c r="M2804" s="83"/>
      <c r="N2804" s="83"/>
      <c r="O2804" s="83"/>
      <c r="P2804" s="83"/>
      <c r="Q2804" s="83"/>
      <c r="R2804" s="83"/>
      <c r="S2804" s="83"/>
      <c r="T2804" s="83"/>
      <c r="U2804" s="83"/>
      <c r="V2804" s="83"/>
      <c r="W2804" s="83"/>
      <c r="X2804" s="83"/>
      <c r="Y2804" s="83"/>
      <c r="Z2804" s="83"/>
    </row>
    <row r="2805">
      <c r="A2805" s="75" t="s">
        <v>26</v>
      </c>
      <c r="B2805" s="75" t="s">
        <v>1011</v>
      </c>
      <c r="C2805" s="75">
        <v>4.29</v>
      </c>
      <c r="D2805" s="75">
        <v>0.0</v>
      </c>
      <c r="E2805" s="75">
        <v>0.0</v>
      </c>
      <c r="F2805" s="75" t="s">
        <v>974</v>
      </c>
      <c r="G2805" s="82">
        <v>46112.0</v>
      </c>
      <c r="H2805" s="76" t="s">
        <v>1014</v>
      </c>
      <c r="I2805" s="83"/>
      <c r="J2805" s="83"/>
      <c r="K2805" s="83"/>
      <c r="L2805" s="83"/>
      <c r="M2805" s="83"/>
      <c r="N2805" s="83"/>
      <c r="O2805" s="83"/>
      <c r="P2805" s="83"/>
      <c r="Q2805" s="83"/>
      <c r="R2805" s="83"/>
      <c r="S2805" s="83"/>
      <c r="T2805" s="83"/>
      <c r="U2805" s="83"/>
      <c r="V2805" s="83"/>
      <c r="W2805" s="83"/>
      <c r="X2805" s="83"/>
      <c r="Y2805" s="83"/>
      <c r="Z2805" s="83"/>
    </row>
    <row r="2806">
      <c r="A2806" s="75" t="s">
        <v>36</v>
      </c>
      <c r="B2806" s="75" t="s">
        <v>1011</v>
      </c>
      <c r="C2806" s="75">
        <v>56.55</v>
      </c>
      <c r="D2806" s="75">
        <v>6.0</v>
      </c>
      <c r="E2806" s="75">
        <v>9.43</v>
      </c>
      <c r="F2806" s="75" t="s">
        <v>975</v>
      </c>
      <c r="G2806" s="82">
        <v>46112.0</v>
      </c>
      <c r="H2806" s="76" t="s">
        <v>926</v>
      </c>
      <c r="I2806" s="83"/>
      <c r="J2806" s="83"/>
      <c r="K2806" s="83"/>
      <c r="L2806" s="83"/>
      <c r="M2806" s="83"/>
      <c r="N2806" s="83"/>
      <c r="O2806" s="83"/>
      <c r="P2806" s="83"/>
      <c r="Q2806" s="83"/>
      <c r="R2806" s="83"/>
      <c r="S2806" s="83"/>
      <c r="T2806" s="83"/>
      <c r="U2806" s="83"/>
      <c r="V2806" s="83"/>
      <c r="W2806" s="83"/>
      <c r="X2806" s="83"/>
      <c r="Y2806" s="83"/>
      <c r="Z2806" s="83"/>
    </row>
    <row r="2807">
      <c r="A2807" s="75" t="s">
        <v>36</v>
      </c>
      <c r="B2807" s="75" t="s">
        <v>1011</v>
      </c>
      <c r="C2807" s="75">
        <v>14.68</v>
      </c>
      <c r="D2807" s="75">
        <v>1.0</v>
      </c>
      <c r="E2807" s="75">
        <v>14.68</v>
      </c>
      <c r="F2807" s="75" t="s">
        <v>975</v>
      </c>
      <c r="G2807" s="82">
        <v>46112.0</v>
      </c>
      <c r="H2807" s="76" t="s">
        <v>927</v>
      </c>
      <c r="I2807" s="83"/>
      <c r="J2807" s="83"/>
      <c r="K2807" s="83"/>
      <c r="L2807" s="83"/>
      <c r="M2807" s="83"/>
      <c r="N2807" s="83"/>
      <c r="O2807" s="83"/>
      <c r="P2807" s="83"/>
      <c r="Q2807" s="83"/>
      <c r="R2807" s="83"/>
      <c r="S2807" s="83"/>
      <c r="T2807" s="83"/>
      <c r="U2807" s="83"/>
      <c r="V2807" s="83"/>
      <c r="W2807" s="83"/>
      <c r="X2807" s="83"/>
      <c r="Y2807" s="83"/>
      <c r="Z2807" s="83"/>
    </row>
    <row r="2808">
      <c r="A2808" s="75" t="s">
        <v>36</v>
      </c>
      <c r="B2808" s="75" t="s">
        <v>1011</v>
      </c>
      <c r="C2808" s="75">
        <v>9.03</v>
      </c>
      <c r="D2808" s="75">
        <v>1.0</v>
      </c>
      <c r="E2808" s="75">
        <v>9.03</v>
      </c>
      <c r="F2808" s="75" t="s">
        <v>975</v>
      </c>
      <c r="G2808" s="82">
        <v>46112.0</v>
      </c>
      <c r="H2808" s="76" t="s">
        <v>928</v>
      </c>
      <c r="I2808" s="83"/>
      <c r="J2808" s="83"/>
      <c r="K2808" s="83"/>
      <c r="L2808" s="83"/>
      <c r="M2808" s="83"/>
      <c r="N2808" s="83"/>
      <c r="O2808" s="83"/>
      <c r="P2808" s="83"/>
      <c r="Q2808" s="83"/>
      <c r="R2808" s="83"/>
      <c r="S2808" s="83"/>
      <c r="T2808" s="83"/>
      <c r="U2808" s="83"/>
      <c r="V2808" s="83"/>
      <c r="W2808" s="83"/>
      <c r="X2808" s="83"/>
      <c r="Y2808" s="83"/>
      <c r="Z2808" s="83"/>
    </row>
    <row r="2809">
      <c r="A2809" s="75" t="s">
        <v>31</v>
      </c>
      <c r="B2809" s="75" t="s">
        <v>1011</v>
      </c>
      <c r="C2809" s="75">
        <v>221.02</v>
      </c>
      <c r="D2809" s="75">
        <v>79.0</v>
      </c>
      <c r="E2809" s="75">
        <v>2.8</v>
      </c>
      <c r="F2809" s="75" t="s">
        <v>975</v>
      </c>
      <c r="G2809" s="82">
        <v>46112.0</v>
      </c>
      <c r="H2809" s="76" t="s">
        <v>929</v>
      </c>
      <c r="I2809" s="83"/>
      <c r="J2809" s="83"/>
      <c r="K2809" s="83"/>
      <c r="L2809" s="83"/>
      <c r="M2809" s="83"/>
      <c r="N2809" s="83"/>
      <c r="O2809" s="83"/>
      <c r="P2809" s="83"/>
      <c r="Q2809" s="83"/>
      <c r="R2809" s="83"/>
      <c r="S2809" s="83"/>
      <c r="T2809" s="83"/>
      <c r="U2809" s="83"/>
      <c r="V2809" s="83"/>
      <c r="W2809" s="83"/>
      <c r="X2809" s="83"/>
      <c r="Y2809" s="83"/>
      <c r="Z2809" s="83"/>
    </row>
    <row r="2810">
      <c r="A2810" s="75" t="s">
        <v>31</v>
      </c>
      <c r="B2810" s="75" t="s">
        <v>1011</v>
      </c>
      <c r="C2810" s="75">
        <v>552.08</v>
      </c>
      <c r="D2810" s="75">
        <v>133.0</v>
      </c>
      <c r="E2810" s="75">
        <v>4.15</v>
      </c>
      <c r="F2810" s="75" t="s">
        <v>975</v>
      </c>
      <c r="G2810" s="82">
        <v>46112.0</v>
      </c>
      <c r="H2810" s="76" t="s">
        <v>930</v>
      </c>
      <c r="I2810" s="83"/>
      <c r="J2810" s="83"/>
      <c r="K2810" s="83"/>
      <c r="L2810" s="83"/>
      <c r="M2810" s="83"/>
      <c r="N2810" s="83"/>
      <c r="O2810" s="83"/>
      <c r="P2810" s="83"/>
      <c r="Q2810" s="83"/>
      <c r="R2810" s="83"/>
      <c r="S2810" s="83"/>
      <c r="T2810" s="83"/>
      <c r="U2810" s="83"/>
      <c r="V2810" s="83"/>
      <c r="W2810" s="83"/>
      <c r="X2810" s="83"/>
      <c r="Y2810" s="83"/>
      <c r="Z2810" s="83"/>
    </row>
    <row r="2811">
      <c r="A2811" s="75" t="s">
        <v>28</v>
      </c>
      <c r="B2811" s="75" t="s">
        <v>1011</v>
      </c>
      <c r="C2811" s="75">
        <v>36.04</v>
      </c>
      <c r="D2811" s="75">
        <v>2.0</v>
      </c>
      <c r="E2811" s="75">
        <v>18.02</v>
      </c>
      <c r="F2811" s="75" t="s">
        <v>975</v>
      </c>
      <c r="G2811" s="82">
        <v>46112.0</v>
      </c>
      <c r="H2811" s="76" t="s">
        <v>931</v>
      </c>
      <c r="I2811" s="83"/>
      <c r="J2811" s="83"/>
      <c r="K2811" s="83"/>
      <c r="L2811" s="83"/>
      <c r="M2811" s="83"/>
      <c r="N2811" s="83"/>
      <c r="O2811" s="83"/>
      <c r="P2811" s="83"/>
      <c r="Q2811" s="83"/>
      <c r="R2811" s="83"/>
      <c r="S2811" s="83"/>
      <c r="T2811" s="83"/>
      <c r="U2811" s="83"/>
      <c r="V2811" s="83"/>
      <c r="W2811" s="83"/>
      <c r="X2811" s="83"/>
      <c r="Y2811" s="83"/>
      <c r="Z2811" s="83"/>
    </row>
    <row r="2812">
      <c r="A2812" s="75" t="s">
        <v>28</v>
      </c>
      <c r="B2812" s="75" t="s">
        <v>1011</v>
      </c>
      <c r="C2812" s="75">
        <v>3.19</v>
      </c>
      <c r="D2812" s="75">
        <v>0.0</v>
      </c>
      <c r="E2812" s="75">
        <v>0.0</v>
      </c>
      <c r="F2812" s="75" t="s">
        <v>975</v>
      </c>
      <c r="G2812" s="82">
        <v>46112.0</v>
      </c>
      <c r="H2812" s="76" t="s">
        <v>932</v>
      </c>
      <c r="I2812" s="83"/>
      <c r="J2812" s="83"/>
      <c r="K2812" s="83"/>
      <c r="L2812" s="83"/>
      <c r="M2812" s="83"/>
      <c r="N2812" s="83"/>
      <c r="O2812" s="83"/>
      <c r="P2812" s="83"/>
      <c r="Q2812" s="83"/>
      <c r="R2812" s="83"/>
      <c r="S2812" s="83"/>
      <c r="T2812" s="83"/>
      <c r="U2812" s="83"/>
      <c r="V2812" s="83"/>
      <c r="W2812" s="83"/>
      <c r="X2812" s="83"/>
      <c r="Y2812" s="83"/>
      <c r="Z2812" s="83"/>
    </row>
    <row r="2813">
      <c r="A2813" s="75" t="s">
        <v>28</v>
      </c>
      <c r="B2813" s="75" t="s">
        <v>1011</v>
      </c>
      <c r="C2813" s="75">
        <v>117.39</v>
      </c>
      <c r="D2813" s="75">
        <v>13.0</v>
      </c>
      <c r="E2813" s="75">
        <v>9.03</v>
      </c>
      <c r="F2813" s="75" t="s">
        <v>975</v>
      </c>
      <c r="G2813" s="82">
        <v>46112.0</v>
      </c>
      <c r="H2813" s="76" t="s">
        <v>933</v>
      </c>
      <c r="I2813" s="83"/>
      <c r="J2813" s="83"/>
      <c r="K2813" s="83"/>
      <c r="L2813" s="83"/>
      <c r="M2813" s="83"/>
      <c r="N2813" s="83"/>
      <c r="O2813" s="83"/>
      <c r="P2813" s="83"/>
      <c r="Q2813" s="83"/>
      <c r="R2813" s="83"/>
      <c r="S2813" s="83"/>
      <c r="T2813" s="83"/>
      <c r="U2813" s="83"/>
      <c r="V2813" s="83"/>
      <c r="W2813" s="83"/>
      <c r="X2813" s="83"/>
      <c r="Y2813" s="83"/>
      <c r="Z2813" s="83"/>
    </row>
    <row r="2814">
      <c r="A2814" s="75" t="s">
        <v>42</v>
      </c>
      <c r="B2814" s="75" t="s">
        <v>1011</v>
      </c>
      <c r="C2814" s="75">
        <v>1.83</v>
      </c>
      <c r="D2814" s="75">
        <v>0.0</v>
      </c>
      <c r="E2814" s="75">
        <v>0.0</v>
      </c>
      <c r="F2814" s="75" t="s">
        <v>975</v>
      </c>
      <c r="G2814" s="82">
        <v>46112.0</v>
      </c>
      <c r="H2814" s="76" t="s">
        <v>991</v>
      </c>
      <c r="I2814" s="83"/>
      <c r="J2814" s="83"/>
      <c r="K2814" s="83"/>
      <c r="L2814" s="83"/>
      <c r="M2814" s="83"/>
      <c r="N2814" s="83"/>
      <c r="O2814" s="83"/>
      <c r="P2814" s="83"/>
      <c r="Q2814" s="83"/>
      <c r="R2814" s="83"/>
      <c r="S2814" s="83"/>
      <c r="T2814" s="83"/>
      <c r="U2814" s="83"/>
      <c r="V2814" s="83"/>
      <c r="W2814" s="83"/>
      <c r="X2814" s="83"/>
      <c r="Y2814" s="83"/>
      <c r="Z2814" s="83"/>
    </row>
    <row r="2815">
      <c r="A2815" s="75" t="s">
        <v>42</v>
      </c>
      <c r="B2815" s="75" t="s">
        <v>1011</v>
      </c>
      <c r="C2815" s="75">
        <v>22.63</v>
      </c>
      <c r="D2815" s="75">
        <v>3.0</v>
      </c>
      <c r="E2815" s="75">
        <v>7.54</v>
      </c>
      <c r="F2815" s="75" t="s">
        <v>975</v>
      </c>
      <c r="G2815" s="82">
        <v>46112.0</v>
      </c>
      <c r="H2815" s="76" t="s">
        <v>935</v>
      </c>
      <c r="I2815" s="83"/>
      <c r="J2815" s="83"/>
      <c r="K2815" s="83"/>
      <c r="L2815" s="83"/>
      <c r="M2815" s="83"/>
      <c r="N2815" s="83"/>
      <c r="O2815" s="83"/>
      <c r="P2815" s="83"/>
      <c r="Q2815" s="83"/>
      <c r="R2815" s="83"/>
      <c r="S2815" s="83"/>
      <c r="T2815" s="83"/>
      <c r="U2815" s="83"/>
      <c r="V2815" s="83"/>
      <c r="W2815" s="83"/>
      <c r="X2815" s="83"/>
      <c r="Y2815" s="83"/>
      <c r="Z2815" s="83"/>
    </row>
    <row r="2816">
      <c r="A2816" s="75" t="s">
        <v>45</v>
      </c>
      <c r="B2816" s="75" t="s">
        <v>1011</v>
      </c>
      <c r="C2816" s="75">
        <v>40.78</v>
      </c>
      <c r="D2816" s="75">
        <v>6.0</v>
      </c>
      <c r="E2816" s="75">
        <v>6.8</v>
      </c>
      <c r="F2816" s="75" t="s">
        <v>975</v>
      </c>
      <c r="G2816" s="82">
        <v>46112.0</v>
      </c>
      <c r="H2816" s="76" t="s">
        <v>936</v>
      </c>
      <c r="I2816" s="83"/>
      <c r="J2816" s="83"/>
      <c r="K2816" s="83"/>
      <c r="L2816" s="83"/>
      <c r="M2816" s="83"/>
      <c r="N2816" s="83"/>
      <c r="O2816" s="83"/>
      <c r="P2816" s="83"/>
      <c r="Q2816" s="83"/>
      <c r="R2816" s="83"/>
      <c r="S2816" s="83"/>
      <c r="T2816" s="83"/>
      <c r="U2816" s="83"/>
      <c r="V2816" s="83"/>
      <c r="W2816" s="83"/>
      <c r="X2816" s="83"/>
      <c r="Y2816" s="83"/>
      <c r="Z2816" s="83"/>
    </row>
    <row r="2817">
      <c r="A2817" s="75" t="s">
        <v>45</v>
      </c>
      <c r="B2817" s="75" t="s">
        <v>1011</v>
      </c>
      <c r="C2817" s="75">
        <v>7.24</v>
      </c>
      <c r="D2817" s="75">
        <v>1.0</v>
      </c>
      <c r="E2817" s="75">
        <v>7.24</v>
      </c>
      <c r="F2817" s="75" t="s">
        <v>975</v>
      </c>
      <c r="G2817" s="82">
        <v>46112.0</v>
      </c>
      <c r="H2817" s="76" t="s">
        <v>937</v>
      </c>
      <c r="I2817" s="83"/>
      <c r="J2817" s="83"/>
      <c r="K2817" s="83"/>
      <c r="L2817" s="83"/>
      <c r="M2817" s="83"/>
      <c r="N2817" s="83"/>
      <c r="O2817" s="83"/>
      <c r="P2817" s="83"/>
      <c r="Q2817" s="83"/>
      <c r="R2817" s="83"/>
      <c r="S2817" s="83"/>
      <c r="T2817" s="83"/>
      <c r="U2817" s="83"/>
      <c r="V2817" s="83"/>
      <c r="W2817" s="83"/>
      <c r="X2817" s="83"/>
      <c r="Y2817" s="83"/>
      <c r="Z2817" s="83"/>
    </row>
    <row r="2818">
      <c r="A2818" s="75" t="s">
        <v>45</v>
      </c>
      <c r="B2818" s="75" t="s">
        <v>1011</v>
      </c>
      <c r="C2818" s="75">
        <v>54.46</v>
      </c>
      <c r="D2818" s="75">
        <v>6.0</v>
      </c>
      <c r="E2818" s="75">
        <v>9.08</v>
      </c>
      <c r="F2818" s="75" t="s">
        <v>975</v>
      </c>
      <c r="G2818" s="82">
        <v>46112.0</v>
      </c>
      <c r="H2818" s="76" t="s">
        <v>938</v>
      </c>
      <c r="I2818" s="83"/>
      <c r="J2818" s="83"/>
      <c r="K2818" s="83"/>
      <c r="L2818" s="83"/>
      <c r="M2818" s="83"/>
      <c r="N2818" s="83"/>
      <c r="O2818" s="83"/>
      <c r="P2818" s="83"/>
      <c r="Q2818" s="83"/>
      <c r="R2818" s="83"/>
      <c r="S2818" s="83"/>
      <c r="T2818" s="83"/>
      <c r="U2818" s="83"/>
      <c r="V2818" s="83"/>
      <c r="W2818" s="83"/>
      <c r="X2818" s="83"/>
      <c r="Y2818" s="83"/>
      <c r="Z2818" s="83"/>
    </row>
    <row r="2819">
      <c r="A2819" s="75" t="s">
        <v>50</v>
      </c>
      <c r="B2819" s="75" t="s">
        <v>1011</v>
      </c>
      <c r="C2819" s="75">
        <v>18.28</v>
      </c>
      <c r="D2819" s="75">
        <v>1.0</v>
      </c>
      <c r="E2819" s="75">
        <v>18.28</v>
      </c>
      <c r="F2819" s="75" t="s">
        <v>975</v>
      </c>
      <c r="G2819" s="82">
        <v>46112.0</v>
      </c>
      <c r="H2819" s="76" t="s">
        <v>939</v>
      </c>
      <c r="I2819" s="83"/>
      <c r="J2819" s="83"/>
      <c r="K2819" s="83"/>
      <c r="L2819" s="83"/>
      <c r="M2819" s="83"/>
      <c r="N2819" s="83"/>
      <c r="O2819" s="83"/>
      <c r="P2819" s="83"/>
      <c r="Q2819" s="83"/>
      <c r="R2819" s="83"/>
      <c r="S2819" s="83"/>
      <c r="T2819" s="83"/>
      <c r="U2819" s="83"/>
      <c r="V2819" s="83"/>
      <c r="W2819" s="83"/>
      <c r="X2819" s="83"/>
      <c r="Y2819" s="83"/>
      <c r="Z2819" s="83"/>
    </row>
    <row r="2820">
      <c r="A2820" s="75" t="s">
        <v>50</v>
      </c>
      <c r="B2820" s="75" t="s">
        <v>1011</v>
      </c>
      <c r="C2820" s="75">
        <v>13.04</v>
      </c>
      <c r="D2820" s="75">
        <v>2.0</v>
      </c>
      <c r="E2820" s="75">
        <v>6.52</v>
      </c>
      <c r="F2820" s="75" t="s">
        <v>975</v>
      </c>
      <c r="G2820" s="82">
        <v>46112.0</v>
      </c>
      <c r="H2820" s="76" t="s">
        <v>940</v>
      </c>
      <c r="I2820" s="83"/>
      <c r="J2820" s="83"/>
      <c r="K2820" s="83"/>
      <c r="L2820" s="83"/>
      <c r="M2820" s="83"/>
      <c r="N2820" s="83"/>
      <c r="O2820" s="83"/>
      <c r="P2820" s="83"/>
      <c r="Q2820" s="83"/>
      <c r="R2820" s="83"/>
      <c r="S2820" s="83"/>
      <c r="T2820" s="83"/>
      <c r="U2820" s="83"/>
      <c r="V2820" s="83"/>
      <c r="W2820" s="83"/>
      <c r="X2820" s="83"/>
      <c r="Y2820" s="83"/>
      <c r="Z2820" s="83"/>
    </row>
    <row r="2821">
      <c r="A2821" s="75" t="s">
        <v>32</v>
      </c>
      <c r="B2821" s="75" t="s">
        <v>1011</v>
      </c>
      <c r="C2821" s="75">
        <v>254.91</v>
      </c>
      <c r="D2821" s="75">
        <v>60.0</v>
      </c>
      <c r="E2821" s="75">
        <v>4.25</v>
      </c>
      <c r="F2821" s="75" t="s">
        <v>975</v>
      </c>
      <c r="G2821" s="82">
        <v>46112.0</v>
      </c>
      <c r="H2821" s="76" t="s">
        <v>941</v>
      </c>
      <c r="I2821" s="83"/>
      <c r="J2821" s="83"/>
      <c r="K2821" s="83"/>
      <c r="L2821" s="83"/>
      <c r="M2821" s="83"/>
      <c r="N2821" s="83"/>
      <c r="O2821" s="83"/>
      <c r="P2821" s="83"/>
      <c r="Q2821" s="83"/>
      <c r="R2821" s="83"/>
      <c r="S2821" s="83"/>
      <c r="T2821" s="83"/>
      <c r="U2821" s="83"/>
      <c r="V2821" s="83"/>
      <c r="W2821" s="83"/>
      <c r="X2821" s="83"/>
      <c r="Y2821" s="83"/>
      <c r="Z2821" s="83"/>
    </row>
    <row r="2822">
      <c r="A2822" s="75" t="s">
        <v>32</v>
      </c>
      <c r="B2822" s="75" t="s">
        <v>1011</v>
      </c>
      <c r="C2822" s="75">
        <v>17.68</v>
      </c>
      <c r="D2822" s="75">
        <v>4.0</v>
      </c>
      <c r="E2822" s="75">
        <v>4.42</v>
      </c>
      <c r="F2822" s="75" t="s">
        <v>975</v>
      </c>
      <c r="G2822" s="82">
        <v>46112.0</v>
      </c>
      <c r="H2822" s="76" t="s">
        <v>942</v>
      </c>
      <c r="I2822" s="83"/>
      <c r="J2822" s="83"/>
      <c r="K2822" s="83"/>
      <c r="L2822" s="83"/>
      <c r="M2822" s="83"/>
      <c r="N2822" s="83"/>
      <c r="O2822" s="83"/>
      <c r="P2822" s="83"/>
      <c r="Q2822" s="83"/>
      <c r="R2822" s="83"/>
      <c r="S2822" s="83"/>
      <c r="T2822" s="83"/>
      <c r="U2822" s="83"/>
      <c r="V2822" s="83"/>
      <c r="W2822" s="83"/>
      <c r="X2822" s="83"/>
      <c r="Y2822" s="83"/>
      <c r="Z2822" s="83"/>
    </row>
    <row r="2823">
      <c r="A2823" s="75" t="s">
        <v>32</v>
      </c>
      <c r="B2823" s="75" t="s">
        <v>1011</v>
      </c>
      <c r="C2823" s="75">
        <v>62.03</v>
      </c>
      <c r="D2823" s="75">
        <v>12.0</v>
      </c>
      <c r="E2823" s="75">
        <v>5.17</v>
      </c>
      <c r="F2823" s="75" t="s">
        <v>975</v>
      </c>
      <c r="G2823" s="82">
        <v>46112.0</v>
      </c>
      <c r="H2823" s="76" t="s">
        <v>943</v>
      </c>
      <c r="I2823" s="83"/>
      <c r="J2823" s="83"/>
      <c r="K2823" s="83"/>
      <c r="L2823" s="83"/>
      <c r="M2823" s="83"/>
      <c r="N2823" s="83"/>
      <c r="O2823" s="83"/>
      <c r="P2823" s="83"/>
      <c r="Q2823" s="83"/>
      <c r="R2823" s="83"/>
      <c r="S2823" s="83"/>
      <c r="T2823" s="83"/>
      <c r="U2823" s="83"/>
      <c r="V2823" s="83"/>
      <c r="W2823" s="83"/>
      <c r="X2823" s="83"/>
      <c r="Y2823" s="83"/>
      <c r="Z2823" s="83"/>
    </row>
    <row r="2824">
      <c r="A2824" s="75" t="s">
        <v>944</v>
      </c>
      <c r="B2824" s="75" t="s">
        <v>1011</v>
      </c>
      <c r="C2824" s="75">
        <v>34.25</v>
      </c>
      <c r="D2824" s="75">
        <v>9.0</v>
      </c>
      <c r="E2824" s="75">
        <v>3.81</v>
      </c>
      <c r="F2824" s="75" t="s">
        <v>975</v>
      </c>
      <c r="G2824" s="82">
        <v>46112.0</v>
      </c>
      <c r="H2824" s="76" t="s">
        <v>945</v>
      </c>
      <c r="I2824" s="83"/>
      <c r="J2824" s="83"/>
      <c r="K2824" s="83"/>
      <c r="L2824" s="83"/>
      <c r="M2824" s="83"/>
      <c r="N2824" s="83"/>
      <c r="O2824" s="83"/>
      <c r="P2824" s="83"/>
      <c r="Q2824" s="83"/>
      <c r="R2824" s="83"/>
      <c r="S2824" s="83"/>
      <c r="T2824" s="83"/>
      <c r="U2824" s="83"/>
      <c r="V2824" s="83"/>
      <c r="W2824" s="83"/>
      <c r="X2824" s="83"/>
      <c r="Y2824" s="83"/>
      <c r="Z2824" s="83"/>
    </row>
    <row r="2825">
      <c r="A2825" s="75" t="s">
        <v>944</v>
      </c>
      <c r="B2825" s="75" t="s">
        <v>1011</v>
      </c>
      <c r="C2825" s="75">
        <v>8.46</v>
      </c>
      <c r="D2825" s="75">
        <v>1.0</v>
      </c>
      <c r="E2825" s="75">
        <v>8.46</v>
      </c>
      <c r="F2825" s="75" t="s">
        <v>975</v>
      </c>
      <c r="G2825" s="82">
        <v>46112.0</v>
      </c>
      <c r="H2825" s="76" t="s">
        <v>946</v>
      </c>
      <c r="I2825" s="83"/>
      <c r="J2825" s="83"/>
      <c r="K2825" s="83"/>
      <c r="L2825" s="83"/>
      <c r="M2825" s="83"/>
      <c r="N2825" s="83"/>
      <c r="O2825" s="83"/>
      <c r="P2825" s="83"/>
      <c r="Q2825" s="83"/>
      <c r="R2825" s="83"/>
      <c r="S2825" s="83"/>
      <c r="T2825" s="83"/>
      <c r="U2825" s="83"/>
      <c r="V2825" s="83"/>
      <c r="W2825" s="83"/>
      <c r="X2825" s="83"/>
      <c r="Y2825" s="83"/>
      <c r="Z2825" s="83"/>
    </row>
    <row r="2826">
      <c r="A2826" s="75" t="s">
        <v>944</v>
      </c>
      <c r="B2826" s="75" t="s">
        <v>1011</v>
      </c>
      <c r="C2826" s="75">
        <v>12.31</v>
      </c>
      <c r="D2826" s="75">
        <v>4.0</v>
      </c>
      <c r="E2826" s="75">
        <v>3.08</v>
      </c>
      <c r="F2826" s="75" t="s">
        <v>975</v>
      </c>
      <c r="G2826" s="82">
        <v>46112.0</v>
      </c>
      <c r="H2826" s="76" t="s">
        <v>947</v>
      </c>
      <c r="I2826" s="83"/>
      <c r="J2826" s="83"/>
      <c r="K2826" s="83"/>
      <c r="L2826" s="83"/>
      <c r="M2826" s="83"/>
      <c r="N2826" s="83"/>
      <c r="O2826" s="83"/>
      <c r="P2826" s="83"/>
      <c r="Q2826" s="83"/>
      <c r="R2826" s="83"/>
      <c r="S2826" s="83"/>
      <c r="T2826" s="83"/>
      <c r="U2826" s="83"/>
      <c r="V2826" s="83"/>
      <c r="W2826" s="83"/>
      <c r="X2826" s="83"/>
      <c r="Y2826" s="83"/>
      <c r="Z2826" s="83"/>
    </row>
    <row r="2827">
      <c r="A2827" s="75" t="s">
        <v>26</v>
      </c>
      <c r="B2827" s="75" t="s">
        <v>1011</v>
      </c>
      <c r="C2827" s="75">
        <v>6.37</v>
      </c>
      <c r="D2827" s="75">
        <v>1.0</v>
      </c>
      <c r="E2827" s="75">
        <v>6.37</v>
      </c>
      <c r="F2827" s="75" t="s">
        <v>975</v>
      </c>
      <c r="G2827" s="82">
        <v>46112.0</v>
      </c>
      <c r="H2827" s="76" t="s">
        <v>1012</v>
      </c>
      <c r="I2827" s="83"/>
      <c r="J2827" s="83"/>
      <c r="K2827" s="83"/>
      <c r="L2827" s="83"/>
      <c r="M2827" s="83"/>
      <c r="N2827" s="83"/>
      <c r="O2827" s="83"/>
      <c r="P2827" s="83"/>
      <c r="Q2827" s="83"/>
      <c r="R2827" s="83"/>
      <c r="S2827" s="83"/>
      <c r="T2827" s="83"/>
      <c r="U2827" s="83"/>
      <c r="V2827" s="83"/>
      <c r="W2827" s="83"/>
      <c r="X2827" s="83"/>
      <c r="Y2827" s="83"/>
      <c r="Z2827" s="83"/>
    </row>
    <row r="2828">
      <c r="A2828" s="75" t="s">
        <v>26</v>
      </c>
      <c r="B2828" s="75" t="s">
        <v>1011</v>
      </c>
      <c r="C2828" s="75">
        <v>16.03</v>
      </c>
      <c r="D2828" s="75">
        <v>2.0</v>
      </c>
      <c r="E2828" s="75">
        <v>8.02</v>
      </c>
      <c r="F2828" s="75" t="s">
        <v>975</v>
      </c>
      <c r="G2828" s="82">
        <v>46112.0</v>
      </c>
      <c r="H2828" s="76" t="s">
        <v>1013</v>
      </c>
      <c r="I2828" s="83"/>
      <c r="J2828" s="83"/>
      <c r="K2828" s="83"/>
      <c r="L2828" s="83"/>
      <c r="M2828" s="83"/>
      <c r="N2828" s="83"/>
      <c r="O2828" s="83"/>
      <c r="P2828" s="83"/>
      <c r="Q2828" s="83"/>
      <c r="R2828" s="83"/>
      <c r="S2828" s="83"/>
      <c r="T2828" s="83"/>
      <c r="U2828" s="83"/>
      <c r="V2828" s="83"/>
      <c r="W2828" s="83"/>
      <c r="X2828" s="83"/>
      <c r="Y2828" s="83"/>
      <c r="Z2828" s="83"/>
    </row>
    <row r="2829">
      <c r="A2829" s="75" t="s">
        <v>26</v>
      </c>
      <c r="B2829" s="75" t="s">
        <v>1011</v>
      </c>
      <c r="C2829" s="75">
        <v>10.08</v>
      </c>
      <c r="D2829" s="75">
        <v>1.0</v>
      </c>
      <c r="E2829" s="75">
        <v>10.08</v>
      </c>
      <c r="F2829" s="75" t="s">
        <v>975</v>
      </c>
      <c r="G2829" s="82">
        <v>46112.0</v>
      </c>
      <c r="H2829" s="76" t="s">
        <v>1014</v>
      </c>
      <c r="I2829" s="83"/>
      <c r="J2829" s="83"/>
      <c r="K2829" s="83"/>
      <c r="L2829" s="83"/>
      <c r="M2829" s="83"/>
      <c r="N2829" s="83"/>
      <c r="O2829" s="83"/>
      <c r="P2829" s="83"/>
      <c r="Q2829" s="83"/>
      <c r="R2829" s="83"/>
      <c r="S2829" s="83"/>
      <c r="T2829" s="83"/>
      <c r="U2829" s="83"/>
      <c r="V2829" s="83"/>
      <c r="W2829" s="83"/>
      <c r="X2829" s="83"/>
      <c r="Y2829" s="83"/>
      <c r="Z2829" s="83"/>
    </row>
    <row r="2830">
      <c r="A2830" s="75" t="s">
        <v>36</v>
      </c>
      <c r="B2830" s="75" t="s">
        <v>924</v>
      </c>
      <c r="C2830" s="75">
        <v>43.61</v>
      </c>
      <c r="D2830" s="75">
        <v>0.0</v>
      </c>
      <c r="E2830" s="75">
        <v>0.0</v>
      </c>
      <c r="F2830" s="75" t="s">
        <v>925</v>
      </c>
      <c r="G2830" s="82">
        <v>46113.0</v>
      </c>
      <c r="H2830" s="76" t="s">
        <v>926</v>
      </c>
      <c r="I2830" s="83"/>
      <c r="J2830" s="83"/>
      <c r="K2830" s="83"/>
      <c r="L2830" s="83"/>
      <c r="M2830" s="83"/>
      <c r="N2830" s="83"/>
      <c r="O2830" s="83"/>
      <c r="P2830" s="83"/>
      <c r="Q2830" s="83"/>
      <c r="R2830" s="83"/>
      <c r="S2830" s="83"/>
      <c r="T2830" s="83"/>
      <c r="U2830" s="83"/>
      <c r="V2830" s="83"/>
      <c r="W2830" s="83"/>
      <c r="X2830" s="83"/>
      <c r="Y2830" s="83"/>
      <c r="Z2830" s="83"/>
    </row>
    <row r="2831">
      <c r="A2831" s="75" t="s">
        <v>36</v>
      </c>
      <c r="B2831" s="75" t="s">
        <v>924</v>
      </c>
      <c r="C2831" s="75">
        <v>5.63</v>
      </c>
      <c r="D2831" s="75">
        <v>0.0</v>
      </c>
      <c r="E2831" s="75">
        <v>0.0</v>
      </c>
      <c r="F2831" s="75" t="s">
        <v>925</v>
      </c>
      <c r="G2831" s="82">
        <v>46113.0</v>
      </c>
      <c r="H2831" s="76" t="s">
        <v>927</v>
      </c>
      <c r="I2831" s="83"/>
      <c r="J2831" s="83"/>
      <c r="K2831" s="83"/>
      <c r="L2831" s="83"/>
      <c r="M2831" s="83"/>
      <c r="N2831" s="83"/>
      <c r="O2831" s="83"/>
      <c r="P2831" s="83"/>
      <c r="Q2831" s="83"/>
      <c r="R2831" s="83"/>
      <c r="S2831" s="83"/>
      <c r="T2831" s="83"/>
      <c r="U2831" s="83"/>
      <c r="V2831" s="83"/>
      <c r="W2831" s="83"/>
      <c r="X2831" s="83"/>
      <c r="Y2831" s="83"/>
      <c r="Z2831" s="83"/>
    </row>
    <row r="2832">
      <c r="A2832" s="75" t="s">
        <v>36</v>
      </c>
      <c r="B2832" s="75" t="s">
        <v>924</v>
      </c>
      <c r="C2832" s="75">
        <v>8.65</v>
      </c>
      <c r="D2832" s="75">
        <v>0.0</v>
      </c>
      <c r="E2832" s="75">
        <v>0.0</v>
      </c>
      <c r="F2832" s="75" t="s">
        <v>925</v>
      </c>
      <c r="G2832" s="82">
        <v>46113.0</v>
      </c>
      <c r="H2832" s="76" t="s">
        <v>928</v>
      </c>
      <c r="I2832" s="83"/>
      <c r="J2832" s="83"/>
      <c r="K2832" s="83"/>
      <c r="L2832" s="83"/>
      <c r="M2832" s="83"/>
      <c r="N2832" s="83"/>
      <c r="O2832" s="83"/>
      <c r="P2832" s="83"/>
      <c r="Q2832" s="83"/>
      <c r="R2832" s="83"/>
      <c r="S2832" s="83"/>
      <c r="T2832" s="83"/>
      <c r="U2832" s="83"/>
      <c r="V2832" s="83"/>
      <c r="W2832" s="83"/>
      <c r="X2832" s="83"/>
      <c r="Y2832" s="83"/>
      <c r="Z2832" s="83"/>
    </row>
    <row r="2833">
      <c r="A2833" s="75" t="s">
        <v>31</v>
      </c>
      <c r="B2833" s="75" t="s">
        <v>924</v>
      </c>
      <c r="C2833" s="75">
        <v>35.8</v>
      </c>
      <c r="D2833" s="75">
        <v>1.0</v>
      </c>
      <c r="E2833" s="75">
        <v>35.8</v>
      </c>
      <c r="F2833" s="75" t="s">
        <v>925</v>
      </c>
      <c r="G2833" s="82">
        <v>46113.0</v>
      </c>
      <c r="H2833" s="76" t="s">
        <v>929</v>
      </c>
      <c r="I2833" s="83"/>
      <c r="J2833" s="83"/>
      <c r="K2833" s="83"/>
      <c r="L2833" s="83"/>
      <c r="M2833" s="83"/>
      <c r="N2833" s="83"/>
      <c r="O2833" s="83"/>
      <c r="P2833" s="83"/>
      <c r="Q2833" s="83"/>
      <c r="R2833" s="83"/>
      <c r="S2833" s="83"/>
      <c r="T2833" s="83"/>
      <c r="U2833" s="83"/>
      <c r="V2833" s="83"/>
      <c r="W2833" s="83"/>
      <c r="X2833" s="83"/>
      <c r="Y2833" s="83"/>
      <c r="Z2833" s="83"/>
    </row>
    <row r="2834">
      <c r="A2834" s="75" t="s">
        <v>31</v>
      </c>
      <c r="B2834" s="75" t="s">
        <v>924</v>
      </c>
      <c r="C2834" s="75">
        <v>296.48</v>
      </c>
      <c r="D2834" s="75">
        <v>2.0</v>
      </c>
      <c r="E2834" s="75">
        <v>148.24</v>
      </c>
      <c r="F2834" s="75" t="s">
        <v>925</v>
      </c>
      <c r="G2834" s="82">
        <v>46113.0</v>
      </c>
      <c r="H2834" s="76" t="s">
        <v>930</v>
      </c>
      <c r="I2834" s="83"/>
      <c r="J2834" s="83"/>
      <c r="K2834" s="83"/>
      <c r="L2834" s="83"/>
      <c r="M2834" s="83"/>
      <c r="N2834" s="83"/>
      <c r="O2834" s="83"/>
      <c r="P2834" s="83"/>
      <c r="Q2834" s="83"/>
      <c r="R2834" s="83"/>
      <c r="S2834" s="83"/>
      <c r="T2834" s="83"/>
      <c r="U2834" s="83"/>
      <c r="V2834" s="83"/>
      <c r="W2834" s="83"/>
      <c r="X2834" s="83"/>
      <c r="Y2834" s="83"/>
      <c r="Z2834" s="83"/>
    </row>
    <row r="2835">
      <c r="A2835" s="75" t="s">
        <v>28</v>
      </c>
      <c r="B2835" s="75" t="s">
        <v>924</v>
      </c>
      <c r="C2835" s="75">
        <v>8.03</v>
      </c>
      <c r="D2835" s="75">
        <v>1.0</v>
      </c>
      <c r="E2835" s="75">
        <v>8.03</v>
      </c>
      <c r="F2835" s="75" t="s">
        <v>925</v>
      </c>
      <c r="G2835" s="82">
        <v>46113.0</v>
      </c>
      <c r="H2835" s="76" t="s">
        <v>931</v>
      </c>
      <c r="I2835" s="83"/>
      <c r="J2835" s="83"/>
      <c r="K2835" s="83"/>
      <c r="L2835" s="83"/>
      <c r="M2835" s="83"/>
      <c r="N2835" s="83"/>
      <c r="O2835" s="83"/>
      <c r="P2835" s="83"/>
      <c r="Q2835" s="83"/>
      <c r="R2835" s="83"/>
      <c r="S2835" s="83"/>
      <c r="T2835" s="83"/>
      <c r="U2835" s="83"/>
      <c r="V2835" s="83"/>
      <c r="W2835" s="83"/>
      <c r="X2835" s="83"/>
      <c r="Y2835" s="83"/>
      <c r="Z2835" s="83"/>
    </row>
    <row r="2836">
      <c r="A2836" s="75" t="s">
        <v>28</v>
      </c>
      <c r="B2836" s="75" t="s">
        <v>924</v>
      </c>
      <c r="C2836" s="75">
        <v>2.51</v>
      </c>
      <c r="D2836" s="75">
        <v>0.0</v>
      </c>
      <c r="E2836" s="75">
        <v>0.0</v>
      </c>
      <c r="F2836" s="75" t="s">
        <v>925</v>
      </c>
      <c r="G2836" s="82">
        <v>46113.0</v>
      </c>
      <c r="H2836" s="76" t="s">
        <v>932</v>
      </c>
      <c r="I2836" s="83"/>
      <c r="J2836" s="83"/>
      <c r="K2836" s="83"/>
      <c r="L2836" s="83"/>
      <c r="M2836" s="83"/>
      <c r="N2836" s="83"/>
      <c r="O2836" s="83"/>
      <c r="P2836" s="83"/>
      <c r="Q2836" s="83"/>
      <c r="R2836" s="83"/>
      <c r="S2836" s="83"/>
      <c r="T2836" s="83"/>
      <c r="U2836" s="83"/>
      <c r="V2836" s="83"/>
      <c r="W2836" s="83"/>
      <c r="X2836" s="83"/>
      <c r="Y2836" s="83"/>
      <c r="Z2836" s="83"/>
    </row>
    <row r="2837">
      <c r="A2837" s="75" t="s">
        <v>28</v>
      </c>
      <c r="B2837" s="75" t="s">
        <v>924</v>
      </c>
      <c r="C2837" s="75">
        <v>88.86</v>
      </c>
      <c r="D2837" s="75">
        <v>1.0</v>
      </c>
      <c r="E2837" s="75">
        <v>88.86</v>
      </c>
      <c r="F2837" s="75" t="s">
        <v>925</v>
      </c>
      <c r="G2837" s="82">
        <v>46113.0</v>
      </c>
      <c r="H2837" s="76" t="s">
        <v>933</v>
      </c>
      <c r="I2837" s="83"/>
      <c r="J2837" s="83"/>
      <c r="K2837" s="83"/>
      <c r="L2837" s="83"/>
      <c r="M2837" s="83"/>
      <c r="N2837" s="83"/>
      <c r="O2837" s="83"/>
      <c r="P2837" s="83"/>
      <c r="Q2837" s="83"/>
      <c r="R2837" s="83"/>
      <c r="S2837" s="83"/>
      <c r="T2837" s="83"/>
      <c r="U2837" s="83"/>
      <c r="V2837" s="83"/>
      <c r="W2837" s="83"/>
      <c r="X2837" s="83"/>
      <c r="Y2837" s="83"/>
      <c r="Z2837" s="83"/>
    </row>
    <row r="2838">
      <c r="A2838" s="75" t="s">
        <v>42</v>
      </c>
      <c r="B2838" s="75" t="s">
        <v>924</v>
      </c>
      <c r="C2838" s="75">
        <v>0.43</v>
      </c>
      <c r="D2838" s="75">
        <v>0.0</v>
      </c>
      <c r="E2838" s="75">
        <v>0.0</v>
      </c>
      <c r="F2838" s="75" t="s">
        <v>925</v>
      </c>
      <c r="G2838" s="82">
        <v>46113.0</v>
      </c>
      <c r="H2838" s="76" t="s">
        <v>991</v>
      </c>
      <c r="I2838" s="83"/>
      <c r="J2838" s="83"/>
      <c r="K2838" s="83"/>
      <c r="L2838" s="83"/>
      <c r="M2838" s="83"/>
      <c r="N2838" s="83"/>
      <c r="O2838" s="83"/>
      <c r="P2838" s="83"/>
      <c r="Q2838" s="83"/>
      <c r="R2838" s="83"/>
      <c r="S2838" s="83"/>
      <c r="T2838" s="83"/>
      <c r="U2838" s="83"/>
      <c r="V2838" s="83"/>
      <c r="W2838" s="83"/>
      <c r="X2838" s="83"/>
      <c r="Y2838" s="83"/>
      <c r="Z2838" s="83"/>
    </row>
    <row r="2839">
      <c r="A2839" s="75" t="s">
        <v>42</v>
      </c>
      <c r="B2839" s="75" t="s">
        <v>924</v>
      </c>
      <c r="C2839" s="75">
        <v>38.55</v>
      </c>
      <c r="D2839" s="75">
        <v>1.0</v>
      </c>
      <c r="E2839" s="75">
        <v>38.55</v>
      </c>
      <c r="F2839" s="75" t="s">
        <v>925</v>
      </c>
      <c r="G2839" s="82">
        <v>46113.0</v>
      </c>
      <c r="H2839" s="76" t="s">
        <v>935</v>
      </c>
      <c r="I2839" s="83"/>
      <c r="J2839" s="83"/>
      <c r="K2839" s="83"/>
      <c r="L2839" s="83"/>
      <c r="M2839" s="83"/>
      <c r="N2839" s="83"/>
      <c r="O2839" s="83"/>
      <c r="P2839" s="83"/>
      <c r="Q2839" s="83"/>
      <c r="R2839" s="83"/>
      <c r="S2839" s="83"/>
      <c r="T2839" s="83"/>
      <c r="U2839" s="83"/>
      <c r="V2839" s="83"/>
      <c r="W2839" s="83"/>
      <c r="X2839" s="83"/>
      <c r="Y2839" s="83"/>
      <c r="Z2839" s="83"/>
    </row>
    <row r="2840">
      <c r="A2840" s="75" t="s">
        <v>45</v>
      </c>
      <c r="B2840" s="75" t="s">
        <v>924</v>
      </c>
      <c r="C2840" s="75">
        <v>3.64</v>
      </c>
      <c r="D2840" s="75">
        <v>0.0</v>
      </c>
      <c r="E2840" s="75">
        <v>0.0</v>
      </c>
      <c r="F2840" s="75" t="s">
        <v>925</v>
      </c>
      <c r="G2840" s="82">
        <v>46113.0</v>
      </c>
      <c r="H2840" s="76" t="s">
        <v>936</v>
      </c>
      <c r="I2840" s="83"/>
      <c r="J2840" s="83"/>
      <c r="K2840" s="83"/>
      <c r="L2840" s="83"/>
      <c r="M2840" s="83"/>
      <c r="N2840" s="83"/>
      <c r="O2840" s="83"/>
      <c r="P2840" s="83"/>
      <c r="Q2840" s="83"/>
      <c r="R2840" s="83"/>
      <c r="S2840" s="83"/>
      <c r="T2840" s="83"/>
      <c r="U2840" s="83"/>
      <c r="V2840" s="83"/>
      <c r="W2840" s="83"/>
      <c r="X2840" s="83"/>
      <c r="Y2840" s="83"/>
      <c r="Z2840" s="83"/>
    </row>
    <row r="2841">
      <c r="A2841" s="75" t="s">
        <v>45</v>
      </c>
      <c r="B2841" s="75" t="s">
        <v>924</v>
      </c>
      <c r="C2841" s="75">
        <v>4.16</v>
      </c>
      <c r="D2841" s="75">
        <v>0.0</v>
      </c>
      <c r="E2841" s="75">
        <v>0.0</v>
      </c>
      <c r="F2841" s="75" t="s">
        <v>925</v>
      </c>
      <c r="G2841" s="82">
        <v>46113.0</v>
      </c>
      <c r="H2841" s="76" t="s">
        <v>937</v>
      </c>
      <c r="I2841" s="83"/>
      <c r="J2841" s="83"/>
      <c r="K2841" s="83"/>
      <c r="L2841" s="83"/>
      <c r="M2841" s="83"/>
      <c r="N2841" s="83"/>
      <c r="O2841" s="83"/>
      <c r="P2841" s="83"/>
      <c r="Q2841" s="83"/>
      <c r="R2841" s="83"/>
      <c r="S2841" s="83"/>
      <c r="T2841" s="83"/>
      <c r="U2841" s="83"/>
      <c r="V2841" s="83"/>
      <c r="W2841" s="83"/>
      <c r="X2841" s="83"/>
      <c r="Y2841" s="83"/>
      <c r="Z2841" s="83"/>
    </row>
    <row r="2842">
      <c r="A2842" s="75" t="s">
        <v>45</v>
      </c>
      <c r="B2842" s="75" t="s">
        <v>924</v>
      </c>
      <c r="C2842" s="75">
        <v>15.83</v>
      </c>
      <c r="D2842" s="75">
        <v>1.0</v>
      </c>
      <c r="E2842" s="75">
        <v>15.83</v>
      </c>
      <c r="F2842" s="75" t="s">
        <v>925</v>
      </c>
      <c r="G2842" s="82">
        <v>46113.0</v>
      </c>
      <c r="H2842" s="76" t="s">
        <v>938</v>
      </c>
      <c r="I2842" s="83"/>
      <c r="J2842" s="83"/>
      <c r="K2842" s="83"/>
      <c r="L2842" s="83"/>
      <c r="M2842" s="83"/>
      <c r="N2842" s="83"/>
      <c r="O2842" s="83"/>
      <c r="P2842" s="83"/>
      <c r="Q2842" s="83"/>
      <c r="R2842" s="83"/>
      <c r="S2842" s="83"/>
      <c r="T2842" s="83"/>
      <c r="U2842" s="83"/>
      <c r="V2842" s="83"/>
      <c r="W2842" s="83"/>
      <c r="X2842" s="83"/>
      <c r="Y2842" s="83"/>
      <c r="Z2842" s="83"/>
    </row>
    <row r="2843">
      <c r="A2843" s="75" t="s">
        <v>50</v>
      </c>
      <c r="B2843" s="75" t="s">
        <v>924</v>
      </c>
      <c r="C2843" s="75">
        <v>9.99</v>
      </c>
      <c r="D2843" s="75">
        <v>1.0</v>
      </c>
      <c r="E2843" s="75">
        <v>9.99</v>
      </c>
      <c r="F2843" s="75" t="s">
        <v>925</v>
      </c>
      <c r="G2843" s="82">
        <v>46113.0</v>
      </c>
      <c r="H2843" s="76" t="s">
        <v>939</v>
      </c>
      <c r="I2843" s="83"/>
      <c r="J2843" s="83"/>
      <c r="K2843" s="83"/>
      <c r="L2843" s="83"/>
      <c r="M2843" s="83"/>
      <c r="N2843" s="83"/>
      <c r="O2843" s="83"/>
      <c r="P2843" s="83"/>
      <c r="Q2843" s="83"/>
      <c r="R2843" s="83"/>
      <c r="S2843" s="83"/>
      <c r="T2843" s="83"/>
      <c r="U2843" s="83"/>
      <c r="V2843" s="83"/>
      <c r="W2843" s="83"/>
      <c r="X2843" s="83"/>
      <c r="Y2843" s="83"/>
      <c r="Z2843" s="83"/>
    </row>
    <row r="2844">
      <c r="A2844" s="75" t="s">
        <v>50</v>
      </c>
      <c r="B2844" s="75" t="s">
        <v>924</v>
      </c>
      <c r="C2844" s="75">
        <v>7.76</v>
      </c>
      <c r="D2844" s="75">
        <v>0.0</v>
      </c>
      <c r="E2844" s="75">
        <v>0.0</v>
      </c>
      <c r="F2844" s="75" t="s">
        <v>925</v>
      </c>
      <c r="G2844" s="82">
        <v>46113.0</v>
      </c>
      <c r="H2844" s="76" t="s">
        <v>940</v>
      </c>
      <c r="I2844" s="83"/>
      <c r="J2844" s="83"/>
      <c r="K2844" s="83"/>
      <c r="L2844" s="83"/>
      <c r="M2844" s="83"/>
      <c r="N2844" s="83"/>
      <c r="O2844" s="83"/>
      <c r="P2844" s="83"/>
      <c r="Q2844" s="83"/>
      <c r="R2844" s="83"/>
      <c r="S2844" s="83"/>
      <c r="T2844" s="83"/>
      <c r="U2844" s="83"/>
      <c r="V2844" s="83"/>
      <c r="W2844" s="83"/>
      <c r="X2844" s="83"/>
      <c r="Y2844" s="83"/>
      <c r="Z2844" s="83"/>
    </row>
    <row r="2845">
      <c r="A2845" s="75" t="s">
        <v>32</v>
      </c>
      <c r="B2845" s="75" t="s">
        <v>924</v>
      </c>
      <c r="C2845" s="75">
        <v>40.26</v>
      </c>
      <c r="D2845" s="75">
        <v>0.0</v>
      </c>
      <c r="E2845" s="75">
        <v>0.0</v>
      </c>
      <c r="F2845" s="75" t="s">
        <v>925</v>
      </c>
      <c r="G2845" s="82">
        <v>46113.0</v>
      </c>
      <c r="H2845" s="76" t="s">
        <v>941</v>
      </c>
      <c r="I2845" s="83"/>
      <c r="J2845" s="83"/>
      <c r="K2845" s="83"/>
      <c r="L2845" s="83"/>
      <c r="M2845" s="83"/>
      <c r="N2845" s="83"/>
      <c r="O2845" s="83"/>
      <c r="P2845" s="83"/>
      <c r="Q2845" s="83"/>
      <c r="R2845" s="83"/>
      <c r="S2845" s="83"/>
      <c r="T2845" s="83"/>
      <c r="U2845" s="83"/>
      <c r="V2845" s="83"/>
      <c r="W2845" s="83"/>
      <c r="X2845" s="83"/>
      <c r="Y2845" s="83"/>
      <c r="Z2845" s="83"/>
    </row>
    <row r="2846">
      <c r="A2846" s="75" t="s">
        <v>32</v>
      </c>
      <c r="B2846" s="75" t="s">
        <v>924</v>
      </c>
      <c r="C2846" s="75">
        <v>15.08</v>
      </c>
      <c r="D2846" s="75">
        <v>1.0</v>
      </c>
      <c r="E2846" s="75">
        <v>15.08</v>
      </c>
      <c r="F2846" s="75" t="s">
        <v>925</v>
      </c>
      <c r="G2846" s="82">
        <v>46113.0</v>
      </c>
      <c r="H2846" s="76" t="s">
        <v>942</v>
      </c>
      <c r="I2846" s="83"/>
      <c r="J2846" s="83"/>
      <c r="K2846" s="83"/>
      <c r="L2846" s="83"/>
      <c r="M2846" s="83"/>
      <c r="N2846" s="83"/>
      <c r="O2846" s="83"/>
      <c r="P2846" s="83"/>
      <c r="Q2846" s="83"/>
      <c r="R2846" s="83"/>
      <c r="S2846" s="83"/>
      <c r="T2846" s="83"/>
      <c r="U2846" s="83"/>
      <c r="V2846" s="83"/>
      <c r="W2846" s="83"/>
      <c r="X2846" s="83"/>
      <c r="Y2846" s="83"/>
      <c r="Z2846" s="83"/>
    </row>
    <row r="2847">
      <c r="A2847" s="75" t="s">
        <v>32</v>
      </c>
      <c r="B2847" s="75" t="s">
        <v>924</v>
      </c>
      <c r="C2847" s="75">
        <v>51.39</v>
      </c>
      <c r="D2847" s="75">
        <v>1.0</v>
      </c>
      <c r="E2847" s="75">
        <v>51.39</v>
      </c>
      <c r="F2847" s="75" t="s">
        <v>925</v>
      </c>
      <c r="G2847" s="82">
        <v>46113.0</v>
      </c>
      <c r="H2847" s="76" t="s">
        <v>943</v>
      </c>
      <c r="I2847" s="83"/>
      <c r="J2847" s="83"/>
      <c r="K2847" s="83"/>
      <c r="L2847" s="83"/>
      <c r="M2847" s="83"/>
      <c r="N2847" s="83"/>
      <c r="O2847" s="83"/>
      <c r="P2847" s="83"/>
      <c r="Q2847" s="83"/>
      <c r="R2847" s="83"/>
      <c r="S2847" s="83"/>
      <c r="T2847" s="83"/>
      <c r="U2847" s="83"/>
      <c r="V2847" s="83"/>
      <c r="W2847" s="83"/>
      <c r="X2847" s="83"/>
      <c r="Y2847" s="83"/>
      <c r="Z2847" s="83"/>
    </row>
    <row r="2848">
      <c r="A2848" s="75" t="s">
        <v>944</v>
      </c>
      <c r="B2848" s="75" t="s">
        <v>924</v>
      </c>
      <c r="C2848" s="75">
        <v>98.33</v>
      </c>
      <c r="D2848" s="75">
        <v>1.0</v>
      </c>
      <c r="E2848" s="75">
        <v>98.33</v>
      </c>
      <c r="F2848" s="75" t="s">
        <v>925</v>
      </c>
      <c r="G2848" s="82">
        <v>46113.0</v>
      </c>
      <c r="H2848" s="76" t="s">
        <v>945</v>
      </c>
      <c r="I2848" s="83"/>
      <c r="J2848" s="83"/>
      <c r="K2848" s="83"/>
      <c r="L2848" s="83"/>
      <c r="M2848" s="83"/>
      <c r="N2848" s="83"/>
      <c r="O2848" s="83"/>
      <c r="P2848" s="83"/>
      <c r="Q2848" s="83"/>
      <c r="R2848" s="83"/>
      <c r="S2848" s="83"/>
      <c r="T2848" s="83"/>
      <c r="U2848" s="83"/>
      <c r="V2848" s="83"/>
      <c r="W2848" s="83"/>
      <c r="X2848" s="83"/>
      <c r="Y2848" s="83"/>
      <c r="Z2848" s="83"/>
    </row>
    <row r="2849">
      <c r="A2849" s="75" t="s">
        <v>944</v>
      </c>
      <c r="B2849" s="75" t="s">
        <v>924</v>
      </c>
      <c r="C2849" s="75">
        <v>8.35</v>
      </c>
      <c r="D2849" s="75">
        <v>0.0</v>
      </c>
      <c r="E2849" s="75">
        <v>0.0</v>
      </c>
      <c r="F2849" s="75" t="s">
        <v>925</v>
      </c>
      <c r="G2849" s="82">
        <v>46113.0</v>
      </c>
      <c r="H2849" s="76" t="s">
        <v>946</v>
      </c>
      <c r="I2849" s="83"/>
      <c r="J2849" s="83"/>
      <c r="K2849" s="83"/>
      <c r="L2849" s="83"/>
      <c r="M2849" s="83"/>
      <c r="N2849" s="83"/>
      <c r="O2849" s="83"/>
      <c r="P2849" s="83"/>
      <c r="Q2849" s="83"/>
      <c r="R2849" s="83"/>
      <c r="S2849" s="83"/>
      <c r="T2849" s="83"/>
      <c r="U2849" s="83"/>
      <c r="V2849" s="83"/>
      <c r="W2849" s="83"/>
      <c r="X2849" s="83"/>
      <c r="Y2849" s="83"/>
      <c r="Z2849" s="83"/>
    </row>
    <row r="2850">
      <c r="A2850" s="75" t="s">
        <v>944</v>
      </c>
      <c r="B2850" s="75" t="s">
        <v>924</v>
      </c>
      <c r="C2850" s="75">
        <v>19.67</v>
      </c>
      <c r="D2850" s="75">
        <v>0.0</v>
      </c>
      <c r="E2850" s="75">
        <v>0.0</v>
      </c>
      <c r="F2850" s="75" t="s">
        <v>925</v>
      </c>
      <c r="G2850" s="82">
        <v>46113.0</v>
      </c>
      <c r="H2850" s="76" t="s">
        <v>947</v>
      </c>
      <c r="I2850" s="83"/>
      <c r="J2850" s="83"/>
      <c r="K2850" s="83"/>
      <c r="L2850" s="83"/>
      <c r="M2850" s="83"/>
      <c r="N2850" s="83"/>
      <c r="O2850" s="83"/>
      <c r="P2850" s="83"/>
      <c r="Q2850" s="83"/>
      <c r="R2850" s="83"/>
      <c r="S2850" s="83"/>
      <c r="T2850" s="83"/>
      <c r="U2850" s="83"/>
      <c r="V2850" s="83"/>
      <c r="W2850" s="83"/>
      <c r="X2850" s="83"/>
      <c r="Y2850" s="83"/>
      <c r="Z2850" s="83"/>
    </row>
    <row r="2851">
      <c r="A2851" s="75" t="s">
        <v>26</v>
      </c>
      <c r="B2851" s="75" t="s">
        <v>924</v>
      </c>
      <c r="C2851" s="75">
        <v>8.03</v>
      </c>
      <c r="D2851" s="75">
        <v>0.0</v>
      </c>
      <c r="E2851" s="75">
        <v>0.0</v>
      </c>
      <c r="F2851" s="75" t="s">
        <v>925</v>
      </c>
      <c r="G2851" s="82">
        <v>46113.0</v>
      </c>
      <c r="H2851" s="76" t="s">
        <v>1012</v>
      </c>
      <c r="I2851" s="83"/>
      <c r="J2851" s="83"/>
      <c r="K2851" s="83"/>
      <c r="L2851" s="83"/>
      <c r="M2851" s="83"/>
      <c r="N2851" s="83"/>
      <c r="O2851" s="83"/>
      <c r="P2851" s="83"/>
      <c r="Q2851" s="83"/>
      <c r="R2851" s="83"/>
      <c r="S2851" s="83"/>
      <c r="T2851" s="83"/>
      <c r="U2851" s="83"/>
      <c r="V2851" s="83"/>
      <c r="W2851" s="83"/>
      <c r="X2851" s="83"/>
      <c r="Y2851" s="83"/>
      <c r="Z2851" s="83"/>
    </row>
    <row r="2852">
      <c r="A2852" s="75" t="s">
        <v>26</v>
      </c>
      <c r="B2852" s="75" t="s">
        <v>924</v>
      </c>
      <c r="C2852" s="75">
        <v>17.41</v>
      </c>
      <c r="D2852" s="75">
        <v>0.0</v>
      </c>
      <c r="E2852" s="75">
        <v>0.0</v>
      </c>
      <c r="F2852" s="75" t="s">
        <v>925</v>
      </c>
      <c r="G2852" s="82">
        <v>46113.0</v>
      </c>
      <c r="H2852" s="76" t="s">
        <v>1013</v>
      </c>
      <c r="I2852" s="83"/>
      <c r="J2852" s="83"/>
      <c r="K2852" s="83"/>
      <c r="L2852" s="83"/>
      <c r="M2852" s="83"/>
      <c r="N2852" s="83"/>
      <c r="O2852" s="83"/>
      <c r="P2852" s="83"/>
      <c r="Q2852" s="83"/>
      <c r="R2852" s="83"/>
      <c r="S2852" s="83"/>
      <c r="T2852" s="83"/>
      <c r="U2852" s="83"/>
      <c r="V2852" s="83"/>
      <c r="W2852" s="83"/>
      <c r="X2852" s="83"/>
      <c r="Y2852" s="83"/>
      <c r="Z2852" s="83"/>
    </row>
    <row r="2853">
      <c r="A2853" s="75" t="s">
        <v>26</v>
      </c>
      <c r="B2853" s="75" t="s">
        <v>924</v>
      </c>
      <c r="C2853" s="75">
        <v>20.81</v>
      </c>
      <c r="D2853" s="75">
        <v>0.0</v>
      </c>
      <c r="E2853" s="75">
        <v>0.0</v>
      </c>
      <c r="F2853" s="75" t="s">
        <v>925</v>
      </c>
      <c r="G2853" s="82">
        <v>46113.0</v>
      </c>
      <c r="H2853" s="76" t="s">
        <v>1014</v>
      </c>
      <c r="I2853" s="83"/>
      <c r="J2853" s="83"/>
      <c r="K2853" s="83"/>
      <c r="L2853" s="83"/>
      <c r="M2853" s="83"/>
      <c r="N2853" s="83"/>
      <c r="O2853" s="83"/>
      <c r="P2853" s="83"/>
      <c r="Q2853" s="83"/>
      <c r="R2853" s="83"/>
      <c r="S2853" s="83"/>
      <c r="T2853" s="83"/>
      <c r="U2853" s="83"/>
      <c r="V2853" s="83"/>
      <c r="W2853" s="83"/>
      <c r="X2853" s="83"/>
      <c r="Y2853" s="83"/>
      <c r="Z2853" s="83"/>
    </row>
    <row r="2854">
      <c r="A2854" s="75" t="s">
        <v>36</v>
      </c>
      <c r="B2854" s="75" t="s">
        <v>924</v>
      </c>
      <c r="C2854" s="75">
        <v>11.94</v>
      </c>
      <c r="D2854" s="75">
        <v>0.0</v>
      </c>
      <c r="E2854" s="75">
        <v>0.0</v>
      </c>
      <c r="F2854" s="75" t="s">
        <v>948</v>
      </c>
      <c r="G2854" s="82">
        <v>46113.0</v>
      </c>
      <c r="H2854" s="76" t="s">
        <v>926</v>
      </c>
      <c r="I2854" s="83"/>
      <c r="J2854" s="83"/>
      <c r="K2854" s="83"/>
      <c r="L2854" s="83"/>
      <c r="M2854" s="83"/>
      <c r="N2854" s="83"/>
      <c r="O2854" s="83"/>
      <c r="P2854" s="83"/>
      <c r="Q2854" s="83"/>
      <c r="R2854" s="83"/>
      <c r="S2854" s="83"/>
      <c r="T2854" s="83"/>
      <c r="U2854" s="83"/>
      <c r="V2854" s="83"/>
      <c r="W2854" s="83"/>
      <c r="X2854" s="83"/>
      <c r="Y2854" s="83"/>
      <c r="Z2854" s="83"/>
    </row>
    <row r="2855">
      <c r="A2855" s="75" t="s">
        <v>36</v>
      </c>
      <c r="B2855" s="75" t="s">
        <v>924</v>
      </c>
      <c r="C2855" s="75">
        <v>2.52</v>
      </c>
      <c r="D2855" s="75">
        <v>0.0</v>
      </c>
      <c r="E2855" s="75">
        <v>0.0</v>
      </c>
      <c r="F2855" s="75" t="s">
        <v>948</v>
      </c>
      <c r="G2855" s="82">
        <v>46113.0</v>
      </c>
      <c r="H2855" s="76" t="s">
        <v>927</v>
      </c>
      <c r="I2855" s="83"/>
      <c r="J2855" s="83"/>
      <c r="K2855" s="83"/>
      <c r="L2855" s="83"/>
      <c r="M2855" s="83"/>
      <c r="N2855" s="83"/>
      <c r="O2855" s="83"/>
      <c r="P2855" s="83"/>
      <c r="Q2855" s="83"/>
      <c r="R2855" s="83"/>
      <c r="S2855" s="83"/>
      <c r="T2855" s="83"/>
      <c r="U2855" s="83"/>
      <c r="V2855" s="83"/>
      <c r="W2855" s="83"/>
      <c r="X2855" s="83"/>
      <c r="Y2855" s="83"/>
      <c r="Z2855" s="83"/>
    </row>
    <row r="2856">
      <c r="A2856" s="75" t="s">
        <v>36</v>
      </c>
      <c r="B2856" s="75" t="s">
        <v>924</v>
      </c>
      <c r="C2856" s="75">
        <v>1.99</v>
      </c>
      <c r="D2856" s="75">
        <v>0.0</v>
      </c>
      <c r="E2856" s="75">
        <v>0.0</v>
      </c>
      <c r="F2856" s="75" t="s">
        <v>948</v>
      </c>
      <c r="G2856" s="82">
        <v>46113.0</v>
      </c>
      <c r="H2856" s="76" t="s">
        <v>928</v>
      </c>
      <c r="I2856" s="83"/>
      <c r="J2856" s="83"/>
      <c r="K2856" s="83"/>
      <c r="L2856" s="83"/>
      <c r="M2856" s="83"/>
      <c r="N2856" s="83"/>
      <c r="O2856" s="83"/>
      <c r="P2856" s="83"/>
      <c r="Q2856" s="83"/>
      <c r="R2856" s="83"/>
      <c r="S2856" s="83"/>
      <c r="T2856" s="83"/>
      <c r="U2856" s="83"/>
      <c r="V2856" s="83"/>
      <c r="W2856" s="83"/>
      <c r="X2856" s="83"/>
      <c r="Y2856" s="83"/>
      <c r="Z2856" s="83"/>
    </row>
    <row r="2857">
      <c r="A2857" s="75" t="s">
        <v>31</v>
      </c>
      <c r="B2857" s="75" t="s">
        <v>924</v>
      </c>
      <c r="C2857" s="75">
        <v>20.78</v>
      </c>
      <c r="D2857" s="75">
        <v>0.0</v>
      </c>
      <c r="E2857" s="75">
        <v>0.0</v>
      </c>
      <c r="F2857" s="75" t="s">
        <v>948</v>
      </c>
      <c r="G2857" s="82">
        <v>46113.0</v>
      </c>
      <c r="H2857" s="76" t="s">
        <v>929</v>
      </c>
      <c r="I2857" s="83"/>
      <c r="J2857" s="83"/>
      <c r="K2857" s="83"/>
      <c r="L2857" s="83"/>
      <c r="M2857" s="83"/>
      <c r="N2857" s="83"/>
      <c r="O2857" s="83"/>
      <c r="P2857" s="83"/>
      <c r="Q2857" s="83"/>
      <c r="R2857" s="83"/>
      <c r="S2857" s="83"/>
      <c r="T2857" s="83"/>
      <c r="U2857" s="83"/>
      <c r="V2857" s="83"/>
      <c r="W2857" s="83"/>
      <c r="X2857" s="83"/>
      <c r="Y2857" s="83"/>
      <c r="Z2857" s="83"/>
    </row>
    <row r="2858">
      <c r="A2858" s="75" t="s">
        <v>31</v>
      </c>
      <c r="B2858" s="75" t="s">
        <v>924</v>
      </c>
      <c r="C2858" s="75">
        <v>93.0</v>
      </c>
      <c r="D2858" s="75">
        <v>1.0</v>
      </c>
      <c r="E2858" s="75">
        <v>93.0</v>
      </c>
      <c r="F2858" s="75" t="s">
        <v>948</v>
      </c>
      <c r="G2858" s="82">
        <v>46113.0</v>
      </c>
      <c r="H2858" s="76" t="s">
        <v>930</v>
      </c>
      <c r="I2858" s="83"/>
      <c r="J2858" s="83"/>
      <c r="K2858" s="83"/>
      <c r="L2858" s="83"/>
      <c r="M2858" s="83"/>
      <c r="N2858" s="83"/>
      <c r="O2858" s="83"/>
      <c r="P2858" s="83"/>
      <c r="Q2858" s="83"/>
      <c r="R2858" s="83"/>
      <c r="S2858" s="83"/>
      <c r="T2858" s="83"/>
      <c r="U2858" s="83"/>
      <c r="V2858" s="83"/>
      <c r="W2858" s="83"/>
      <c r="X2858" s="83"/>
      <c r="Y2858" s="83"/>
      <c r="Z2858" s="83"/>
    </row>
    <row r="2859">
      <c r="A2859" s="75" t="s">
        <v>28</v>
      </c>
      <c r="B2859" s="75" t="s">
        <v>924</v>
      </c>
      <c r="C2859" s="75">
        <v>2.89</v>
      </c>
      <c r="D2859" s="75">
        <v>0.0</v>
      </c>
      <c r="E2859" s="75">
        <v>0.0</v>
      </c>
      <c r="F2859" s="75" t="s">
        <v>948</v>
      </c>
      <c r="G2859" s="82">
        <v>46113.0</v>
      </c>
      <c r="H2859" s="76" t="s">
        <v>931</v>
      </c>
      <c r="I2859" s="83"/>
      <c r="J2859" s="83"/>
      <c r="K2859" s="83"/>
      <c r="L2859" s="83"/>
      <c r="M2859" s="83"/>
      <c r="N2859" s="83"/>
      <c r="O2859" s="83"/>
      <c r="P2859" s="83"/>
      <c r="Q2859" s="83"/>
      <c r="R2859" s="83"/>
      <c r="S2859" s="83"/>
      <c r="T2859" s="83"/>
      <c r="U2859" s="83"/>
      <c r="V2859" s="83"/>
      <c r="W2859" s="83"/>
      <c r="X2859" s="83"/>
      <c r="Y2859" s="83"/>
      <c r="Z2859" s="83"/>
    </row>
    <row r="2860">
      <c r="A2860" s="75" t="s">
        <v>28</v>
      </c>
      <c r="B2860" s="75" t="s">
        <v>924</v>
      </c>
      <c r="C2860" s="75">
        <v>0.41</v>
      </c>
      <c r="D2860" s="75">
        <v>0.0</v>
      </c>
      <c r="E2860" s="75">
        <v>0.0</v>
      </c>
      <c r="F2860" s="75" t="s">
        <v>948</v>
      </c>
      <c r="G2860" s="82">
        <v>46113.0</v>
      </c>
      <c r="H2860" s="76" t="s">
        <v>932</v>
      </c>
      <c r="I2860" s="83"/>
      <c r="J2860" s="83"/>
      <c r="K2860" s="83"/>
      <c r="L2860" s="83"/>
      <c r="M2860" s="83"/>
      <c r="N2860" s="83"/>
      <c r="O2860" s="83"/>
      <c r="P2860" s="83"/>
      <c r="Q2860" s="83"/>
      <c r="R2860" s="83"/>
      <c r="S2860" s="83"/>
      <c r="T2860" s="83"/>
      <c r="U2860" s="83"/>
      <c r="V2860" s="83"/>
      <c r="W2860" s="83"/>
      <c r="X2860" s="83"/>
      <c r="Y2860" s="83"/>
      <c r="Z2860" s="83"/>
    </row>
    <row r="2861">
      <c r="A2861" s="75" t="s">
        <v>28</v>
      </c>
      <c r="B2861" s="75" t="s">
        <v>924</v>
      </c>
      <c r="C2861" s="75">
        <v>25.66</v>
      </c>
      <c r="D2861" s="75">
        <v>0.0</v>
      </c>
      <c r="E2861" s="75">
        <v>0.0</v>
      </c>
      <c r="F2861" s="75" t="s">
        <v>948</v>
      </c>
      <c r="G2861" s="82">
        <v>46113.0</v>
      </c>
      <c r="H2861" s="76" t="s">
        <v>933</v>
      </c>
      <c r="I2861" s="83"/>
      <c r="J2861" s="83"/>
      <c r="K2861" s="83"/>
      <c r="L2861" s="83"/>
      <c r="M2861" s="83"/>
      <c r="N2861" s="83"/>
      <c r="O2861" s="83"/>
      <c r="P2861" s="83"/>
      <c r="Q2861" s="83"/>
      <c r="R2861" s="83"/>
      <c r="S2861" s="83"/>
      <c r="T2861" s="83"/>
      <c r="U2861" s="83"/>
      <c r="V2861" s="83"/>
      <c r="W2861" s="83"/>
      <c r="X2861" s="83"/>
      <c r="Y2861" s="83"/>
      <c r="Z2861" s="83"/>
    </row>
    <row r="2862">
      <c r="A2862" s="75" t="s">
        <v>42</v>
      </c>
      <c r="B2862" s="75" t="s">
        <v>924</v>
      </c>
      <c r="C2862" s="75">
        <v>0.08</v>
      </c>
      <c r="D2862" s="75">
        <v>0.0</v>
      </c>
      <c r="E2862" s="75">
        <v>0.0</v>
      </c>
      <c r="F2862" s="75" t="s">
        <v>948</v>
      </c>
      <c r="G2862" s="82">
        <v>46113.0</v>
      </c>
      <c r="H2862" s="76" t="s">
        <v>991</v>
      </c>
      <c r="I2862" s="83"/>
      <c r="J2862" s="83"/>
      <c r="K2862" s="83"/>
      <c r="L2862" s="83"/>
      <c r="M2862" s="83"/>
      <c r="N2862" s="83"/>
      <c r="O2862" s="83"/>
      <c r="P2862" s="83"/>
      <c r="Q2862" s="83"/>
      <c r="R2862" s="83"/>
      <c r="S2862" s="83"/>
      <c r="T2862" s="83"/>
      <c r="U2862" s="83"/>
      <c r="V2862" s="83"/>
      <c r="W2862" s="83"/>
      <c r="X2862" s="83"/>
      <c r="Y2862" s="83"/>
      <c r="Z2862" s="83"/>
    </row>
    <row r="2863">
      <c r="A2863" s="75" t="s">
        <v>42</v>
      </c>
      <c r="B2863" s="75" t="s">
        <v>924</v>
      </c>
      <c r="C2863" s="75">
        <v>2.32</v>
      </c>
      <c r="D2863" s="75">
        <v>0.0</v>
      </c>
      <c r="E2863" s="75">
        <v>0.0</v>
      </c>
      <c r="F2863" s="75" t="s">
        <v>948</v>
      </c>
      <c r="G2863" s="82">
        <v>46113.0</v>
      </c>
      <c r="H2863" s="76" t="s">
        <v>935</v>
      </c>
      <c r="I2863" s="83"/>
      <c r="J2863" s="83"/>
      <c r="K2863" s="83"/>
      <c r="L2863" s="83"/>
      <c r="M2863" s="83"/>
      <c r="N2863" s="83"/>
      <c r="O2863" s="83"/>
      <c r="P2863" s="83"/>
      <c r="Q2863" s="83"/>
      <c r="R2863" s="83"/>
      <c r="S2863" s="83"/>
      <c r="T2863" s="83"/>
      <c r="U2863" s="83"/>
      <c r="V2863" s="83"/>
      <c r="W2863" s="83"/>
      <c r="X2863" s="83"/>
      <c r="Y2863" s="83"/>
      <c r="Z2863" s="83"/>
    </row>
    <row r="2864">
      <c r="A2864" s="75" t="s">
        <v>45</v>
      </c>
      <c r="B2864" s="75" t="s">
        <v>924</v>
      </c>
      <c r="C2864" s="75">
        <v>1.95</v>
      </c>
      <c r="D2864" s="75">
        <v>0.0</v>
      </c>
      <c r="E2864" s="75">
        <v>0.0</v>
      </c>
      <c r="F2864" s="75" t="s">
        <v>948</v>
      </c>
      <c r="G2864" s="82">
        <v>46113.0</v>
      </c>
      <c r="H2864" s="76" t="s">
        <v>936</v>
      </c>
      <c r="I2864" s="83"/>
      <c r="J2864" s="83"/>
      <c r="K2864" s="83"/>
      <c r="L2864" s="83"/>
      <c r="M2864" s="83"/>
      <c r="N2864" s="83"/>
      <c r="O2864" s="83"/>
      <c r="P2864" s="83"/>
      <c r="Q2864" s="83"/>
      <c r="R2864" s="83"/>
      <c r="S2864" s="83"/>
      <c r="T2864" s="83"/>
      <c r="U2864" s="83"/>
      <c r="V2864" s="83"/>
      <c r="W2864" s="83"/>
      <c r="X2864" s="83"/>
      <c r="Y2864" s="83"/>
      <c r="Z2864" s="83"/>
    </row>
    <row r="2865">
      <c r="A2865" s="75" t="s">
        <v>45</v>
      </c>
      <c r="B2865" s="75" t="s">
        <v>924</v>
      </c>
      <c r="C2865" s="75">
        <v>0.69</v>
      </c>
      <c r="D2865" s="75">
        <v>0.0</v>
      </c>
      <c r="E2865" s="75">
        <v>0.0</v>
      </c>
      <c r="F2865" s="75" t="s">
        <v>948</v>
      </c>
      <c r="G2865" s="82">
        <v>46113.0</v>
      </c>
      <c r="H2865" s="76" t="s">
        <v>937</v>
      </c>
      <c r="I2865" s="83"/>
      <c r="J2865" s="83"/>
      <c r="K2865" s="83"/>
      <c r="L2865" s="83"/>
      <c r="M2865" s="83"/>
      <c r="N2865" s="83"/>
      <c r="O2865" s="83"/>
      <c r="P2865" s="83"/>
      <c r="Q2865" s="83"/>
      <c r="R2865" s="83"/>
      <c r="S2865" s="83"/>
      <c r="T2865" s="83"/>
      <c r="U2865" s="83"/>
      <c r="V2865" s="83"/>
      <c r="W2865" s="83"/>
      <c r="X2865" s="83"/>
      <c r="Y2865" s="83"/>
      <c r="Z2865" s="83"/>
    </row>
    <row r="2866">
      <c r="A2866" s="75" t="s">
        <v>45</v>
      </c>
      <c r="B2866" s="75" t="s">
        <v>924</v>
      </c>
      <c r="C2866" s="75">
        <v>4.77</v>
      </c>
      <c r="D2866" s="75">
        <v>0.0</v>
      </c>
      <c r="E2866" s="75">
        <v>0.0</v>
      </c>
      <c r="F2866" s="75" t="s">
        <v>948</v>
      </c>
      <c r="G2866" s="82">
        <v>46113.0</v>
      </c>
      <c r="H2866" s="76" t="s">
        <v>938</v>
      </c>
      <c r="I2866" s="83"/>
      <c r="J2866" s="83"/>
      <c r="K2866" s="83"/>
      <c r="L2866" s="83"/>
      <c r="M2866" s="83"/>
      <c r="N2866" s="83"/>
      <c r="O2866" s="83"/>
      <c r="P2866" s="83"/>
      <c r="Q2866" s="83"/>
      <c r="R2866" s="83"/>
      <c r="S2866" s="83"/>
      <c r="T2866" s="83"/>
      <c r="U2866" s="83"/>
      <c r="V2866" s="83"/>
      <c r="W2866" s="83"/>
      <c r="X2866" s="83"/>
      <c r="Y2866" s="83"/>
      <c r="Z2866" s="83"/>
    </row>
    <row r="2867">
      <c r="A2867" s="75" t="s">
        <v>50</v>
      </c>
      <c r="B2867" s="75" t="s">
        <v>924</v>
      </c>
      <c r="C2867" s="75">
        <v>3.75</v>
      </c>
      <c r="D2867" s="75">
        <v>0.0</v>
      </c>
      <c r="E2867" s="75">
        <v>0.0</v>
      </c>
      <c r="F2867" s="75" t="s">
        <v>948</v>
      </c>
      <c r="G2867" s="82">
        <v>46113.0</v>
      </c>
      <c r="H2867" s="76" t="s">
        <v>939</v>
      </c>
      <c r="I2867" s="83"/>
      <c r="J2867" s="83"/>
      <c r="K2867" s="83"/>
      <c r="L2867" s="83"/>
      <c r="M2867" s="83"/>
      <c r="N2867" s="83"/>
      <c r="O2867" s="83"/>
      <c r="P2867" s="83"/>
      <c r="Q2867" s="83"/>
      <c r="R2867" s="83"/>
      <c r="S2867" s="83"/>
      <c r="T2867" s="83"/>
      <c r="U2867" s="83"/>
      <c r="V2867" s="83"/>
      <c r="W2867" s="83"/>
      <c r="X2867" s="83"/>
      <c r="Y2867" s="83"/>
      <c r="Z2867" s="83"/>
    </row>
    <row r="2868">
      <c r="A2868" s="75" t="s">
        <v>50</v>
      </c>
      <c r="B2868" s="75" t="s">
        <v>924</v>
      </c>
      <c r="C2868" s="75">
        <v>2.65</v>
      </c>
      <c r="D2868" s="75">
        <v>0.0</v>
      </c>
      <c r="E2868" s="75">
        <v>0.0</v>
      </c>
      <c r="F2868" s="75" t="s">
        <v>948</v>
      </c>
      <c r="G2868" s="82">
        <v>46113.0</v>
      </c>
      <c r="H2868" s="76" t="s">
        <v>940</v>
      </c>
      <c r="I2868" s="83"/>
      <c r="J2868" s="83"/>
      <c r="K2868" s="83"/>
      <c r="L2868" s="83"/>
      <c r="M2868" s="83"/>
      <c r="N2868" s="83"/>
      <c r="O2868" s="83"/>
      <c r="P2868" s="83"/>
      <c r="Q2868" s="83"/>
      <c r="R2868" s="83"/>
      <c r="S2868" s="83"/>
      <c r="T2868" s="83"/>
      <c r="U2868" s="83"/>
      <c r="V2868" s="83"/>
      <c r="W2868" s="83"/>
      <c r="X2868" s="83"/>
      <c r="Y2868" s="83"/>
      <c r="Z2868" s="83"/>
    </row>
    <row r="2869">
      <c r="A2869" s="75" t="s">
        <v>32</v>
      </c>
      <c r="B2869" s="75" t="s">
        <v>924</v>
      </c>
      <c r="C2869" s="75">
        <v>42.61</v>
      </c>
      <c r="D2869" s="75">
        <v>1.0</v>
      </c>
      <c r="E2869" s="75">
        <v>42.61</v>
      </c>
      <c r="F2869" s="75" t="s">
        <v>948</v>
      </c>
      <c r="G2869" s="82">
        <v>46113.0</v>
      </c>
      <c r="H2869" s="76" t="s">
        <v>941</v>
      </c>
      <c r="I2869" s="83"/>
      <c r="J2869" s="83"/>
      <c r="K2869" s="83"/>
      <c r="L2869" s="83"/>
      <c r="M2869" s="83"/>
      <c r="N2869" s="83"/>
      <c r="O2869" s="83"/>
      <c r="P2869" s="83"/>
      <c r="Q2869" s="83"/>
      <c r="R2869" s="83"/>
      <c r="S2869" s="83"/>
      <c r="T2869" s="83"/>
      <c r="U2869" s="83"/>
      <c r="V2869" s="83"/>
      <c r="W2869" s="83"/>
      <c r="X2869" s="83"/>
      <c r="Y2869" s="83"/>
      <c r="Z2869" s="83"/>
    </row>
    <row r="2870">
      <c r="A2870" s="75" t="s">
        <v>32</v>
      </c>
      <c r="B2870" s="75" t="s">
        <v>924</v>
      </c>
      <c r="C2870" s="75">
        <v>7.44</v>
      </c>
      <c r="D2870" s="75">
        <v>0.0</v>
      </c>
      <c r="E2870" s="75">
        <v>0.0</v>
      </c>
      <c r="F2870" s="75" t="s">
        <v>948</v>
      </c>
      <c r="G2870" s="82">
        <v>46113.0</v>
      </c>
      <c r="H2870" s="76" t="s">
        <v>942</v>
      </c>
      <c r="I2870" s="83"/>
      <c r="J2870" s="83"/>
      <c r="K2870" s="83"/>
      <c r="L2870" s="83"/>
      <c r="M2870" s="83"/>
      <c r="N2870" s="83"/>
      <c r="O2870" s="83"/>
      <c r="P2870" s="83"/>
      <c r="Q2870" s="83"/>
      <c r="R2870" s="83"/>
      <c r="S2870" s="83"/>
      <c r="T2870" s="83"/>
      <c r="U2870" s="83"/>
      <c r="V2870" s="83"/>
      <c r="W2870" s="83"/>
      <c r="X2870" s="83"/>
      <c r="Y2870" s="83"/>
      <c r="Z2870" s="83"/>
    </row>
    <row r="2871">
      <c r="A2871" s="75" t="s">
        <v>32</v>
      </c>
      <c r="B2871" s="75" t="s">
        <v>924</v>
      </c>
      <c r="C2871" s="75">
        <v>7.6</v>
      </c>
      <c r="D2871" s="75">
        <v>0.0</v>
      </c>
      <c r="E2871" s="75">
        <v>0.0</v>
      </c>
      <c r="F2871" s="75" t="s">
        <v>948</v>
      </c>
      <c r="G2871" s="82">
        <v>46113.0</v>
      </c>
      <c r="H2871" s="76" t="s">
        <v>943</v>
      </c>
      <c r="I2871" s="83"/>
      <c r="J2871" s="83"/>
      <c r="K2871" s="83"/>
      <c r="L2871" s="83"/>
      <c r="M2871" s="83"/>
      <c r="N2871" s="83"/>
      <c r="O2871" s="83"/>
      <c r="P2871" s="83"/>
      <c r="Q2871" s="83"/>
      <c r="R2871" s="83"/>
      <c r="S2871" s="83"/>
      <c r="T2871" s="83"/>
      <c r="U2871" s="83"/>
      <c r="V2871" s="83"/>
      <c r="W2871" s="83"/>
      <c r="X2871" s="83"/>
      <c r="Y2871" s="83"/>
      <c r="Z2871" s="83"/>
    </row>
    <row r="2872">
      <c r="A2872" s="75" t="s">
        <v>944</v>
      </c>
      <c r="B2872" s="75" t="s">
        <v>924</v>
      </c>
      <c r="C2872" s="75">
        <v>4.76</v>
      </c>
      <c r="D2872" s="75">
        <v>0.0</v>
      </c>
      <c r="E2872" s="75">
        <v>0.0</v>
      </c>
      <c r="F2872" s="75" t="s">
        <v>948</v>
      </c>
      <c r="G2872" s="82">
        <v>46113.0</v>
      </c>
      <c r="H2872" s="76" t="s">
        <v>945</v>
      </c>
      <c r="I2872" s="83"/>
      <c r="J2872" s="83"/>
      <c r="K2872" s="83"/>
      <c r="L2872" s="83"/>
      <c r="M2872" s="83"/>
      <c r="N2872" s="83"/>
      <c r="O2872" s="83"/>
      <c r="P2872" s="83"/>
      <c r="Q2872" s="83"/>
      <c r="R2872" s="83"/>
      <c r="S2872" s="83"/>
      <c r="T2872" s="83"/>
      <c r="U2872" s="83"/>
      <c r="V2872" s="83"/>
      <c r="W2872" s="83"/>
      <c r="X2872" s="83"/>
      <c r="Y2872" s="83"/>
      <c r="Z2872" s="83"/>
    </row>
    <row r="2873">
      <c r="A2873" s="75" t="s">
        <v>944</v>
      </c>
      <c r="B2873" s="75" t="s">
        <v>924</v>
      </c>
      <c r="C2873" s="75">
        <v>2.84</v>
      </c>
      <c r="D2873" s="75">
        <v>0.0</v>
      </c>
      <c r="E2873" s="75">
        <v>0.0</v>
      </c>
      <c r="F2873" s="75" t="s">
        <v>948</v>
      </c>
      <c r="G2873" s="82">
        <v>46113.0</v>
      </c>
      <c r="H2873" s="76" t="s">
        <v>946</v>
      </c>
      <c r="I2873" s="83"/>
      <c r="J2873" s="83"/>
      <c r="K2873" s="83"/>
      <c r="L2873" s="83"/>
      <c r="M2873" s="83"/>
      <c r="N2873" s="83"/>
      <c r="O2873" s="83"/>
      <c r="P2873" s="83"/>
      <c r="Q2873" s="83"/>
      <c r="R2873" s="83"/>
      <c r="S2873" s="83"/>
      <c r="T2873" s="83"/>
      <c r="U2873" s="83"/>
      <c r="V2873" s="83"/>
      <c r="W2873" s="83"/>
      <c r="X2873" s="83"/>
      <c r="Y2873" s="83"/>
      <c r="Z2873" s="83"/>
    </row>
    <row r="2874">
      <c r="A2874" s="75" t="s">
        <v>944</v>
      </c>
      <c r="B2874" s="75" t="s">
        <v>924</v>
      </c>
      <c r="C2874" s="75">
        <v>1.48</v>
      </c>
      <c r="D2874" s="75">
        <v>1.0</v>
      </c>
      <c r="E2874" s="75">
        <v>1.48</v>
      </c>
      <c r="F2874" s="75" t="s">
        <v>948</v>
      </c>
      <c r="G2874" s="82">
        <v>46113.0</v>
      </c>
      <c r="H2874" s="76" t="s">
        <v>947</v>
      </c>
      <c r="I2874" s="83"/>
      <c r="J2874" s="83"/>
      <c r="K2874" s="83"/>
      <c r="L2874" s="83"/>
      <c r="M2874" s="83"/>
      <c r="N2874" s="83"/>
      <c r="O2874" s="83"/>
      <c r="P2874" s="83"/>
      <c r="Q2874" s="83"/>
      <c r="R2874" s="83"/>
      <c r="S2874" s="83"/>
      <c r="T2874" s="83"/>
      <c r="U2874" s="83"/>
      <c r="V2874" s="83"/>
      <c r="W2874" s="83"/>
      <c r="X2874" s="83"/>
      <c r="Y2874" s="83"/>
      <c r="Z2874" s="83"/>
    </row>
    <row r="2875">
      <c r="A2875" s="75" t="s">
        <v>26</v>
      </c>
      <c r="B2875" s="75" t="s">
        <v>924</v>
      </c>
      <c r="C2875" s="75">
        <v>1.61</v>
      </c>
      <c r="D2875" s="75">
        <v>0.0</v>
      </c>
      <c r="E2875" s="75">
        <v>0.0</v>
      </c>
      <c r="F2875" s="75" t="s">
        <v>948</v>
      </c>
      <c r="G2875" s="82">
        <v>46113.0</v>
      </c>
      <c r="H2875" s="76" t="s">
        <v>1012</v>
      </c>
      <c r="I2875" s="83"/>
      <c r="J2875" s="83"/>
      <c r="K2875" s="83"/>
      <c r="L2875" s="83"/>
      <c r="M2875" s="83"/>
      <c r="N2875" s="83"/>
      <c r="O2875" s="83"/>
      <c r="P2875" s="83"/>
      <c r="Q2875" s="83"/>
      <c r="R2875" s="83"/>
      <c r="S2875" s="83"/>
      <c r="T2875" s="83"/>
      <c r="U2875" s="83"/>
      <c r="V2875" s="83"/>
      <c r="W2875" s="83"/>
      <c r="X2875" s="83"/>
      <c r="Y2875" s="83"/>
      <c r="Z2875" s="83"/>
    </row>
    <row r="2876">
      <c r="A2876" s="75" t="s">
        <v>26</v>
      </c>
      <c r="B2876" s="75" t="s">
        <v>924</v>
      </c>
      <c r="C2876" s="75">
        <v>1.76</v>
      </c>
      <c r="D2876" s="75">
        <v>0.0</v>
      </c>
      <c r="E2876" s="75">
        <v>0.0</v>
      </c>
      <c r="F2876" s="75" t="s">
        <v>948</v>
      </c>
      <c r="G2876" s="82">
        <v>46113.0</v>
      </c>
      <c r="H2876" s="76" t="s">
        <v>1013</v>
      </c>
      <c r="I2876" s="83"/>
      <c r="J2876" s="83"/>
      <c r="K2876" s="83"/>
      <c r="L2876" s="83"/>
      <c r="M2876" s="83"/>
      <c r="N2876" s="83"/>
      <c r="O2876" s="83"/>
      <c r="P2876" s="83"/>
      <c r="Q2876" s="83"/>
      <c r="R2876" s="83"/>
      <c r="S2876" s="83"/>
      <c r="T2876" s="83"/>
      <c r="U2876" s="83"/>
      <c r="V2876" s="83"/>
      <c r="W2876" s="83"/>
      <c r="X2876" s="83"/>
      <c r="Y2876" s="83"/>
      <c r="Z2876" s="83"/>
    </row>
    <row r="2877">
      <c r="A2877" s="75" t="s">
        <v>26</v>
      </c>
      <c r="B2877" s="75" t="s">
        <v>924</v>
      </c>
      <c r="C2877" s="75">
        <v>4.05</v>
      </c>
      <c r="D2877" s="75">
        <v>0.0</v>
      </c>
      <c r="E2877" s="75">
        <v>0.0</v>
      </c>
      <c r="F2877" s="75" t="s">
        <v>948</v>
      </c>
      <c r="G2877" s="82">
        <v>46113.0</v>
      </c>
      <c r="H2877" s="76" t="s">
        <v>1014</v>
      </c>
      <c r="I2877" s="83"/>
      <c r="J2877" s="83"/>
      <c r="K2877" s="83"/>
      <c r="L2877" s="83"/>
      <c r="M2877" s="83"/>
      <c r="N2877" s="83"/>
      <c r="O2877" s="83"/>
      <c r="P2877" s="83"/>
      <c r="Q2877" s="83"/>
      <c r="R2877" s="83"/>
      <c r="S2877" s="83"/>
      <c r="T2877" s="83"/>
      <c r="U2877" s="83"/>
      <c r="V2877" s="83"/>
      <c r="W2877" s="83"/>
      <c r="X2877" s="83"/>
      <c r="Y2877" s="83"/>
      <c r="Z2877" s="83"/>
    </row>
    <row r="2878">
      <c r="A2878" s="75" t="s">
        <v>36</v>
      </c>
      <c r="B2878" s="75" t="s">
        <v>1019</v>
      </c>
      <c r="C2878" s="75">
        <v>9.09</v>
      </c>
      <c r="D2878" s="75">
        <v>5.0</v>
      </c>
      <c r="E2878" s="75">
        <v>1.82</v>
      </c>
      <c r="F2878" s="75" t="s">
        <v>925</v>
      </c>
      <c r="G2878" s="82">
        <v>46113.0</v>
      </c>
      <c r="H2878" s="76" t="s">
        <v>926</v>
      </c>
      <c r="I2878" s="83"/>
      <c r="J2878" s="83"/>
      <c r="K2878" s="83"/>
      <c r="L2878" s="83"/>
      <c r="M2878" s="83"/>
      <c r="N2878" s="83"/>
      <c r="O2878" s="83"/>
      <c r="P2878" s="83"/>
      <c r="Q2878" s="83"/>
      <c r="R2878" s="83"/>
      <c r="S2878" s="83"/>
      <c r="T2878" s="83"/>
      <c r="U2878" s="83"/>
      <c r="V2878" s="83"/>
      <c r="W2878" s="83"/>
      <c r="X2878" s="83"/>
      <c r="Y2878" s="83"/>
      <c r="Z2878" s="83"/>
    </row>
    <row r="2879">
      <c r="A2879" s="75" t="s">
        <v>36</v>
      </c>
      <c r="B2879" s="75" t="s">
        <v>1019</v>
      </c>
      <c r="C2879" s="75">
        <v>4.35</v>
      </c>
      <c r="D2879" s="75">
        <v>0.0</v>
      </c>
      <c r="E2879" s="75">
        <v>0.0</v>
      </c>
      <c r="F2879" s="75" t="s">
        <v>925</v>
      </c>
      <c r="G2879" s="82">
        <v>46113.0</v>
      </c>
      <c r="H2879" s="76" t="s">
        <v>927</v>
      </c>
      <c r="I2879" s="83"/>
      <c r="J2879" s="83"/>
      <c r="K2879" s="83"/>
      <c r="L2879" s="83"/>
      <c r="M2879" s="83"/>
      <c r="N2879" s="83"/>
      <c r="O2879" s="83"/>
      <c r="P2879" s="83"/>
      <c r="Q2879" s="83"/>
      <c r="R2879" s="83"/>
      <c r="S2879" s="83"/>
      <c r="T2879" s="83"/>
      <c r="U2879" s="83"/>
      <c r="V2879" s="83"/>
      <c r="W2879" s="83"/>
      <c r="X2879" s="83"/>
      <c r="Y2879" s="83"/>
      <c r="Z2879" s="83"/>
    </row>
    <row r="2880">
      <c r="A2880" s="75" t="s">
        <v>36</v>
      </c>
      <c r="B2880" s="75" t="s">
        <v>1019</v>
      </c>
      <c r="C2880" s="75">
        <v>4.58</v>
      </c>
      <c r="D2880" s="75">
        <v>0.0</v>
      </c>
      <c r="E2880" s="75">
        <v>0.0</v>
      </c>
      <c r="F2880" s="75" t="s">
        <v>925</v>
      </c>
      <c r="G2880" s="82">
        <v>46113.0</v>
      </c>
      <c r="H2880" s="76" t="s">
        <v>928</v>
      </c>
      <c r="I2880" s="83"/>
      <c r="J2880" s="83"/>
      <c r="K2880" s="83"/>
      <c r="L2880" s="83"/>
      <c r="M2880" s="83"/>
      <c r="N2880" s="83"/>
      <c r="O2880" s="83"/>
      <c r="P2880" s="83"/>
      <c r="Q2880" s="83"/>
      <c r="R2880" s="83"/>
      <c r="S2880" s="83"/>
      <c r="T2880" s="83"/>
      <c r="U2880" s="83"/>
      <c r="V2880" s="83"/>
      <c r="W2880" s="83"/>
      <c r="X2880" s="83"/>
      <c r="Y2880" s="83"/>
      <c r="Z2880" s="83"/>
    </row>
    <row r="2881">
      <c r="A2881" s="75" t="s">
        <v>31</v>
      </c>
      <c r="B2881" s="75" t="s">
        <v>1019</v>
      </c>
      <c r="C2881" s="75">
        <v>7.58</v>
      </c>
      <c r="D2881" s="75">
        <v>0.0</v>
      </c>
      <c r="E2881" s="75">
        <v>0.0</v>
      </c>
      <c r="F2881" s="75" t="s">
        <v>925</v>
      </c>
      <c r="G2881" s="82">
        <v>46113.0</v>
      </c>
      <c r="H2881" s="76" t="s">
        <v>929</v>
      </c>
      <c r="I2881" s="83"/>
      <c r="J2881" s="83"/>
      <c r="K2881" s="83"/>
      <c r="L2881" s="83"/>
      <c r="M2881" s="83"/>
      <c r="N2881" s="83"/>
      <c r="O2881" s="83"/>
      <c r="P2881" s="83"/>
      <c r="Q2881" s="83"/>
      <c r="R2881" s="83"/>
      <c r="S2881" s="83"/>
      <c r="T2881" s="83"/>
      <c r="U2881" s="83"/>
      <c r="V2881" s="83"/>
      <c r="W2881" s="83"/>
      <c r="X2881" s="83"/>
      <c r="Y2881" s="83"/>
      <c r="Z2881" s="83"/>
    </row>
    <row r="2882">
      <c r="A2882" s="75" t="s">
        <v>31</v>
      </c>
      <c r="B2882" s="75" t="s">
        <v>1019</v>
      </c>
      <c r="C2882" s="75">
        <v>64.58</v>
      </c>
      <c r="D2882" s="75">
        <v>3.0</v>
      </c>
      <c r="E2882" s="75">
        <v>21.53</v>
      </c>
      <c r="F2882" s="75" t="s">
        <v>925</v>
      </c>
      <c r="G2882" s="82">
        <v>46113.0</v>
      </c>
      <c r="H2882" s="76" t="s">
        <v>930</v>
      </c>
      <c r="I2882" s="83"/>
      <c r="J2882" s="83"/>
      <c r="K2882" s="83"/>
      <c r="L2882" s="83"/>
      <c r="M2882" s="83"/>
      <c r="N2882" s="83"/>
      <c r="O2882" s="83"/>
      <c r="P2882" s="83"/>
      <c r="Q2882" s="83"/>
      <c r="R2882" s="83"/>
      <c r="S2882" s="83"/>
      <c r="T2882" s="83"/>
      <c r="U2882" s="83"/>
      <c r="V2882" s="83"/>
      <c r="W2882" s="83"/>
      <c r="X2882" s="83"/>
      <c r="Y2882" s="83"/>
      <c r="Z2882" s="83"/>
    </row>
    <row r="2883">
      <c r="A2883" s="75" t="s">
        <v>28</v>
      </c>
      <c r="B2883" s="75" t="s">
        <v>1019</v>
      </c>
      <c r="C2883" s="75">
        <v>1.54</v>
      </c>
      <c r="D2883" s="75">
        <v>0.0</v>
      </c>
      <c r="E2883" s="75">
        <v>0.0</v>
      </c>
      <c r="F2883" s="75" t="s">
        <v>925</v>
      </c>
      <c r="G2883" s="82">
        <v>46113.0</v>
      </c>
      <c r="H2883" s="76" t="s">
        <v>931</v>
      </c>
      <c r="I2883" s="83"/>
      <c r="J2883" s="83"/>
      <c r="K2883" s="83"/>
      <c r="L2883" s="83"/>
      <c r="M2883" s="83"/>
      <c r="N2883" s="83"/>
      <c r="O2883" s="83"/>
      <c r="P2883" s="83"/>
      <c r="Q2883" s="83"/>
      <c r="R2883" s="83"/>
      <c r="S2883" s="83"/>
      <c r="T2883" s="83"/>
      <c r="U2883" s="83"/>
      <c r="V2883" s="83"/>
      <c r="W2883" s="83"/>
      <c r="X2883" s="83"/>
      <c r="Y2883" s="83"/>
      <c r="Z2883" s="83"/>
    </row>
    <row r="2884">
      <c r="A2884" s="75" t="s">
        <v>28</v>
      </c>
      <c r="B2884" s="75" t="s">
        <v>1019</v>
      </c>
      <c r="C2884" s="75">
        <v>3.48</v>
      </c>
      <c r="D2884" s="75">
        <v>0.0</v>
      </c>
      <c r="E2884" s="75">
        <v>0.0</v>
      </c>
      <c r="F2884" s="75" t="s">
        <v>925</v>
      </c>
      <c r="G2884" s="82">
        <v>46113.0</v>
      </c>
      <c r="H2884" s="76" t="s">
        <v>932</v>
      </c>
      <c r="I2884" s="83"/>
      <c r="J2884" s="83"/>
      <c r="K2884" s="83"/>
      <c r="L2884" s="83"/>
      <c r="M2884" s="83"/>
      <c r="N2884" s="83"/>
      <c r="O2884" s="83"/>
      <c r="P2884" s="83"/>
      <c r="Q2884" s="83"/>
      <c r="R2884" s="83"/>
      <c r="S2884" s="83"/>
      <c r="T2884" s="83"/>
      <c r="U2884" s="83"/>
      <c r="V2884" s="83"/>
      <c r="W2884" s="83"/>
      <c r="X2884" s="83"/>
      <c r="Y2884" s="83"/>
      <c r="Z2884" s="83"/>
    </row>
    <row r="2885">
      <c r="A2885" s="75" t="s">
        <v>28</v>
      </c>
      <c r="B2885" s="75" t="s">
        <v>1019</v>
      </c>
      <c r="C2885" s="75">
        <v>30.02</v>
      </c>
      <c r="D2885" s="75">
        <v>1.0</v>
      </c>
      <c r="E2885" s="75">
        <v>30.02</v>
      </c>
      <c r="F2885" s="75" t="s">
        <v>925</v>
      </c>
      <c r="G2885" s="82">
        <v>46113.0</v>
      </c>
      <c r="H2885" s="76" t="s">
        <v>933</v>
      </c>
      <c r="I2885" s="83"/>
      <c r="J2885" s="83"/>
      <c r="K2885" s="83"/>
      <c r="L2885" s="83"/>
      <c r="M2885" s="83"/>
      <c r="N2885" s="83"/>
      <c r="O2885" s="83"/>
      <c r="P2885" s="83"/>
      <c r="Q2885" s="83"/>
      <c r="R2885" s="83"/>
      <c r="S2885" s="83"/>
      <c r="T2885" s="83"/>
      <c r="U2885" s="83"/>
      <c r="V2885" s="83"/>
      <c r="W2885" s="83"/>
      <c r="X2885" s="83"/>
      <c r="Y2885" s="83"/>
      <c r="Z2885" s="83"/>
    </row>
    <row r="2886">
      <c r="A2886" s="75" t="s">
        <v>42</v>
      </c>
      <c r="B2886" s="75" t="s">
        <v>1019</v>
      </c>
      <c r="C2886" s="75">
        <v>1.56</v>
      </c>
      <c r="D2886" s="75">
        <v>0.0</v>
      </c>
      <c r="E2886" s="75">
        <v>0.0</v>
      </c>
      <c r="F2886" s="75" t="s">
        <v>925</v>
      </c>
      <c r="G2886" s="82">
        <v>46113.0</v>
      </c>
      <c r="H2886" s="76" t="s">
        <v>991</v>
      </c>
      <c r="I2886" s="83"/>
      <c r="J2886" s="83"/>
      <c r="K2886" s="83"/>
      <c r="L2886" s="83"/>
      <c r="M2886" s="83"/>
      <c r="N2886" s="83"/>
      <c r="O2886" s="83"/>
      <c r="P2886" s="83"/>
      <c r="Q2886" s="83"/>
      <c r="R2886" s="83"/>
      <c r="S2886" s="83"/>
      <c r="T2886" s="83"/>
      <c r="U2886" s="83"/>
      <c r="V2886" s="83"/>
      <c r="W2886" s="83"/>
      <c r="X2886" s="83"/>
      <c r="Y2886" s="83"/>
      <c r="Z2886" s="83"/>
    </row>
    <row r="2887">
      <c r="A2887" s="75" t="s">
        <v>42</v>
      </c>
      <c r="B2887" s="75" t="s">
        <v>1019</v>
      </c>
      <c r="C2887" s="75">
        <v>15.01</v>
      </c>
      <c r="D2887" s="75">
        <v>0.0</v>
      </c>
      <c r="E2887" s="75">
        <v>0.0</v>
      </c>
      <c r="F2887" s="75" t="s">
        <v>925</v>
      </c>
      <c r="G2887" s="82">
        <v>46113.0</v>
      </c>
      <c r="H2887" s="76" t="s">
        <v>935</v>
      </c>
      <c r="I2887" s="83"/>
      <c r="J2887" s="83"/>
      <c r="K2887" s="83"/>
      <c r="L2887" s="83"/>
      <c r="M2887" s="83"/>
      <c r="N2887" s="83"/>
      <c r="O2887" s="83"/>
      <c r="P2887" s="83"/>
      <c r="Q2887" s="83"/>
      <c r="R2887" s="83"/>
      <c r="S2887" s="83"/>
      <c r="T2887" s="83"/>
      <c r="U2887" s="83"/>
      <c r="V2887" s="83"/>
      <c r="W2887" s="83"/>
      <c r="X2887" s="83"/>
      <c r="Y2887" s="83"/>
      <c r="Z2887" s="83"/>
    </row>
    <row r="2888">
      <c r="A2888" s="75" t="s">
        <v>45</v>
      </c>
      <c r="B2888" s="75" t="s">
        <v>1019</v>
      </c>
      <c r="C2888" s="75">
        <v>2.76</v>
      </c>
      <c r="D2888" s="75">
        <v>0.0</v>
      </c>
      <c r="E2888" s="75">
        <v>0.0</v>
      </c>
      <c r="F2888" s="75" t="s">
        <v>925</v>
      </c>
      <c r="G2888" s="82">
        <v>46113.0</v>
      </c>
      <c r="H2888" s="76" t="s">
        <v>936</v>
      </c>
      <c r="I2888" s="83"/>
      <c r="J2888" s="83"/>
      <c r="K2888" s="83"/>
      <c r="L2888" s="83"/>
      <c r="M2888" s="83"/>
      <c r="N2888" s="83"/>
      <c r="O2888" s="83"/>
      <c r="P2888" s="83"/>
      <c r="Q2888" s="83"/>
      <c r="R2888" s="83"/>
      <c r="S2888" s="83"/>
      <c r="T2888" s="83"/>
      <c r="U2888" s="83"/>
      <c r="V2888" s="83"/>
      <c r="W2888" s="83"/>
      <c r="X2888" s="83"/>
      <c r="Y2888" s="83"/>
      <c r="Z2888" s="83"/>
    </row>
    <row r="2889">
      <c r="A2889" s="75" t="s">
        <v>45</v>
      </c>
      <c r="B2889" s="75" t="s">
        <v>1019</v>
      </c>
      <c r="C2889" s="75">
        <v>1.85</v>
      </c>
      <c r="D2889" s="75">
        <v>0.0</v>
      </c>
      <c r="E2889" s="75">
        <v>0.0</v>
      </c>
      <c r="F2889" s="75" t="s">
        <v>925</v>
      </c>
      <c r="G2889" s="82">
        <v>46113.0</v>
      </c>
      <c r="H2889" s="76" t="s">
        <v>937</v>
      </c>
      <c r="I2889" s="83"/>
      <c r="J2889" s="83"/>
      <c r="K2889" s="83"/>
      <c r="L2889" s="83"/>
      <c r="M2889" s="83"/>
      <c r="N2889" s="83"/>
      <c r="O2889" s="83"/>
      <c r="P2889" s="83"/>
      <c r="Q2889" s="83"/>
      <c r="R2889" s="83"/>
      <c r="S2889" s="83"/>
      <c r="T2889" s="83"/>
      <c r="U2889" s="83"/>
      <c r="V2889" s="83"/>
      <c r="W2889" s="83"/>
      <c r="X2889" s="83"/>
      <c r="Y2889" s="83"/>
      <c r="Z2889" s="83"/>
    </row>
    <row r="2890">
      <c r="A2890" s="75" t="s">
        <v>45</v>
      </c>
      <c r="B2890" s="75" t="s">
        <v>1019</v>
      </c>
      <c r="C2890" s="75">
        <v>5.81</v>
      </c>
      <c r="D2890" s="75">
        <v>0.0</v>
      </c>
      <c r="E2890" s="75">
        <v>0.0</v>
      </c>
      <c r="F2890" s="75" t="s">
        <v>925</v>
      </c>
      <c r="G2890" s="82">
        <v>46113.0</v>
      </c>
      <c r="H2890" s="76" t="s">
        <v>938</v>
      </c>
      <c r="I2890" s="83"/>
      <c r="J2890" s="83"/>
      <c r="K2890" s="83"/>
      <c r="L2890" s="83"/>
      <c r="M2890" s="83"/>
      <c r="N2890" s="83"/>
      <c r="O2890" s="83"/>
      <c r="P2890" s="83"/>
      <c r="Q2890" s="83"/>
      <c r="R2890" s="83"/>
      <c r="S2890" s="83"/>
      <c r="T2890" s="83"/>
      <c r="U2890" s="83"/>
      <c r="V2890" s="83"/>
      <c r="W2890" s="83"/>
      <c r="X2890" s="83"/>
      <c r="Y2890" s="83"/>
      <c r="Z2890" s="83"/>
    </row>
    <row r="2891">
      <c r="A2891" s="75" t="s">
        <v>50</v>
      </c>
      <c r="B2891" s="75" t="s">
        <v>1019</v>
      </c>
      <c r="C2891" s="75">
        <v>8.32</v>
      </c>
      <c r="D2891" s="75">
        <v>0.0</v>
      </c>
      <c r="E2891" s="75">
        <v>0.0</v>
      </c>
      <c r="F2891" s="75" t="s">
        <v>925</v>
      </c>
      <c r="G2891" s="82">
        <v>46113.0</v>
      </c>
      <c r="H2891" s="76" t="s">
        <v>939</v>
      </c>
      <c r="I2891" s="83"/>
      <c r="J2891" s="83"/>
      <c r="K2891" s="83"/>
      <c r="L2891" s="83"/>
      <c r="M2891" s="83"/>
      <c r="N2891" s="83"/>
      <c r="O2891" s="83"/>
      <c r="P2891" s="83"/>
      <c r="Q2891" s="83"/>
      <c r="R2891" s="83"/>
      <c r="S2891" s="83"/>
      <c r="T2891" s="83"/>
      <c r="U2891" s="83"/>
      <c r="V2891" s="83"/>
      <c r="W2891" s="83"/>
      <c r="X2891" s="83"/>
      <c r="Y2891" s="83"/>
      <c r="Z2891" s="83"/>
    </row>
    <row r="2892">
      <c r="A2892" s="75" t="s">
        <v>50</v>
      </c>
      <c r="B2892" s="75" t="s">
        <v>1019</v>
      </c>
      <c r="C2892" s="75">
        <v>5.15</v>
      </c>
      <c r="D2892" s="75">
        <v>0.0</v>
      </c>
      <c r="E2892" s="75">
        <v>0.0</v>
      </c>
      <c r="F2892" s="75" t="s">
        <v>925</v>
      </c>
      <c r="G2892" s="82">
        <v>46113.0</v>
      </c>
      <c r="H2892" s="76" t="s">
        <v>940</v>
      </c>
      <c r="I2892" s="83"/>
      <c r="J2892" s="83"/>
      <c r="K2892" s="83"/>
      <c r="L2892" s="83"/>
      <c r="M2892" s="83"/>
      <c r="N2892" s="83"/>
      <c r="O2892" s="83"/>
      <c r="P2892" s="83"/>
      <c r="Q2892" s="83"/>
      <c r="R2892" s="83"/>
      <c r="S2892" s="83"/>
      <c r="T2892" s="83"/>
      <c r="U2892" s="83"/>
      <c r="V2892" s="83"/>
      <c r="W2892" s="83"/>
      <c r="X2892" s="83"/>
      <c r="Y2892" s="83"/>
      <c r="Z2892" s="83"/>
    </row>
    <row r="2893">
      <c r="A2893" s="75" t="s">
        <v>32</v>
      </c>
      <c r="B2893" s="75" t="s">
        <v>1019</v>
      </c>
      <c r="C2893" s="75">
        <v>14.0</v>
      </c>
      <c r="D2893" s="75">
        <v>0.0</v>
      </c>
      <c r="E2893" s="75">
        <v>0.0</v>
      </c>
      <c r="F2893" s="75" t="s">
        <v>925</v>
      </c>
      <c r="G2893" s="82">
        <v>46113.0</v>
      </c>
      <c r="H2893" s="76" t="s">
        <v>941</v>
      </c>
      <c r="I2893" s="83"/>
      <c r="J2893" s="83"/>
      <c r="K2893" s="83"/>
      <c r="L2893" s="83"/>
      <c r="M2893" s="83"/>
      <c r="N2893" s="83"/>
      <c r="O2893" s="83"/>
      <c r="P2893" s="83"/>
      <c r="Q2893" s="83"/>
      <c r="R2893" s="83"/>
      <c r="S2893" s="83"/>
      <c r="T2893" s="83"/>
      <c r="U2893" s="83"/>
      <c r="V2893" s="83"/>
      <c r="W2893" s="83"/>
      <c r="X2893" s="83"/>
      <c r="Y2893" s="83"/>
      <c r="Z2893" s="83"/>
    </row>
    <row r="2894">
      <c r="A2894" s="75" t="s">
        <v>32</v>
      </c>
      <c r="B2894" s="75" t="s">
        <v>1019</v>
      </c>
      <c r="C2894" s="75">
        <v>4.36</v>
      </c>
      <c r="D2894" s="75">
        <v>1.0</v>
      </c>
      <c r="E2894" s="75">
        <v>4.36</v>
      </c>
      <c r="F2894" s="75" t="s">
        <v>925</v>
      </c>
      <c r="G2894" s="82">
        <v>46113.0</v>
      </c>
      <c r="H2894" s="76" t="s">
        <v>942</v>
      </c>
      <c r="I2894" s="83"/>
      <c r="J2894" s="83"/>
      <c r="K2894" s="83"/>
      <c r="L2894" s="83"/>
      <c r="M2894" s="83"/>
      <c r="N2894" s="83"/>
      <c r="O2894" s="83"/>
      <c r="P2894" s="83"/>
      <c r="Q2894" s="83"/>
      <c r="R2894" s="83"/>
      <c r="S2894" s="83"/>
      <c r="T2894" s="83"/>
      <c r="U2894" s="83"/>
      <c r="V2894" s="83"/>
      <c r="W2894" s="83"/>
      <c r="X2894" s="83"/>
      <c r="Y2894" s="83"/>
      <c r="Z2894" s="83"/>
    </row>
    <row r="2895">
      <c r="A2895" s="75" t="s">
        <v>32</v>
      </c>
      <c r="B2895" s="75" t="s">
        <v>1019</v>
      </c>
      <c r="C2895" s="75">
        <v>11.95</v>
      </c>
      <c r="D2895" s="75">
        <v>0.0</v>
      </c>
      <c r="E2895" s="75">
        <v>0.0</v>
      </c>
      <c r="F2895" s="75" t="s">
        <v>925</v>
      </c>
      <c r="G2895" s="82">
        <v>46113.0</v>
      </c>
      <c r="H2895" s="76" t="s">
        <v>943</v>
      </c>
      <c r="I2895" s="83"/>
      <c r="J2895" s="83"/>
      <c r="K2895" s="83"/>
      <c r="L2895" s="83"/>
      <c r="M2895" s="83"/>
      <c r="N2895" s="83"/>
      <c r="O2895" s="83"/>
      <c r="P2895" s="83"/>
      <c r="Q2895" s="83"/>
      <c r="R2895" s="83"/>
      <c r="S2895" s="83"/>
      <c r="T2895" s="83"/>
      <c r="U2895" s="83"/>
      <c r="V2895" s="83"/>
      <c r="W2895" s="83"/>
      <c r="X2895" s="83"/>
      <c r="Y2895" s="83"/>
      <c r="Z2895" s="83"/>
    </row>
    <row r="2896">
      <c r="A2896" s="75" t="s">
        <v>944</v>
      </c>
      <c r="B2896" s="75" t="s">
        <v>1019</v>
      </c>
      <c r="C2896" s="75">
        <v>16.87</v>
      </c>
      <c r="D2896" s="75">
        <v>0.0</v>
      </c>
      <c r="E2896" s="75">
        <v>0.0</v>
      </c>
      <c r="F2896" s="75" t="s">
        <v>925</v>
      </c>
      <c r="G2896" s="82">
        <v>46113.0</v>
      </c>
      <c r="H2896" s="76" t="s">
        <v>945</v>
      </c>
      <c r="I2896" s="83"/>
      <c r="J2896" s="83"/>
      <c r="K2896" s="83"/>
      <c r="L2896" s="83"/>
      <c r="M2896" s="83"/>
      <c r="N2896" s="83"/>
      <c r="O2896" s="83"/>
      <c r="P2896" s="83"/>
      <c r="Q2896" s="83"/>
      <c r="R2896" s="83"/>
      <c r="S2896" s="83"/>
      <c r="T2896" s="83"/>
      <c r="U2896" s="83"/>
      <c r="V2896" s="83"/>
      <c r="W2896" s="83"/>
      <c r="X2896" s="83"/>
      <c r="Y2896" s="83"/>
      <c r="Z2896" s="83"/>
    </row>
    <row r="2897">
      <c r="A2897" s="75" t="s">
        <v>944</v>
      </c>
      <c r="B2897" s="75" t="s">
        <v>1019</v>
      </c>
      <c r="C2897" s="75">
        <v>1.42</v>
      </c>
      <c r="D2897" s="75">
        <v>0.0</v>
      </c>
      <c r="E2897" s="75">
        <v>0.0</v>
      </c>
      <c r="F2897" s="75" t="s">
        <v>925</v>
      </c>
      <c r="G2897" s="82">
        <v>46113.0</v>
      </c>
      <c r="H2897" s="76" t="s">
        <v>946</v>
      </c>
      <c r="I2897" s="83"/>
      <c r="J2897" s="83"/>
      <c r="K2897" s="83"/>
      <c r="L2897" s="83"/>
      <c r="M2897" s="83"/>
      <c r="N2897" s="83"/>
      <c r="O2897" s="83"/>
      <c r="P2897" s="83"/>
      <c r="Q2897" s="83"/>
      <c r="R2897" s="83"/>
      <c r="S2897" s="83"/>
      <c r="T2897" s="83"/>
      <c r="U2897" s="83"/>
      <c r="V2897" s="83"/>
      <c r="W2897" s="83"/>
      <c r="X2897" s="83"/>
      <c r="Y2897" s="83"/>
      <c r="Z2897" s="83"/>
    </row>
    <row r="2898">
      <c r="A2898" s="75" t="s">
        <v>944</v>
      </c>
      <c r="B2898" s="75" t="s">
        <v>1019</v>
      </c>
      <c r="C2898" s="75">
        <v>4.38</v>
      </c>
      <c r="D2898" s="75">
        <v>0.0</v>
      </c>
      <c r="E2898" s="75">
        <v>0.0</v>
      </c>
      <c r="F2898" s="75" t="s">
        <v>925</v>
      </c>
      <c r="G2898" s="82">
        <v>46113.0</v>
      </c>
      <c r="H2898" s="76" t="s">
        <v>947</v>
      </c>
      <c r="I2898" s="83"/>
      <c r="J2898" s="83"/>
      <c r="K2898" s="83"/>
      <c r="L2898" s="83"/>
      <c r="M2898" s="83"/>
      <c r="N2898" s="83"/>
      <c r="O2898" s="83"/>
      <c r="P2898" s="83"/>
      <c r="Q2898" s="83"/>
      <c r="R2898" s="83"/>
      <c r="S2898" s="83"/>
      <c r="T2898" s="83"/>
      <c r="U2898" s="83"/>
      <c r="V2898" s="83"/>
      <c r="W2898" s="83"/>
      <c r="X2898" s="83"/>
      <c r="Y2898" s="83"/>
      <c r="Z2898" s="83"/>
    </row>
    <row r="2899">
      <c r="A2899" s="75" t="s">
        <v>26</v>
      </c>
      <c r="B2899" s="75" t="s">
        <v>1019</v>
      </c>
      <c r="C2899" s="75">
        <v>3.89</v>
      </c>
      <c r="D2899" s="75">
        <v>0.0</v>
      </c>
      <c r="E2899" s="75">
        <v>0.0</v>
      </c>
      <c r="F2899" s="75" t="s">
        <v>925</v>
      </c>
      <c r="G2899" s="82">
        <v>46113.0</v>
      </c>
      <c r="H2899" s="76" t="s">
        <v>1012</v>
      </c>
      <c r="I2899" s="83"/>
      <c r="J2899" s="83"/>
      <c r="K2899" s="83"/>
      <c r="L2899" s="83"/>
      <c r="M2899" s="83"/>
      <c r="N2899" s="83"/>
      <c r="O2899" s="83"/>
      <c r="P2899" s="83"/>
      <c r="Q2899" s="83"/>
      <c r="R2899" s="83"/>
      <c r="S2899" s="83"/>
      <c r="T2899" s="83"/>
      <c r="U2899" s="83"/>
      <c r="V2899" s="83"/>
      <c r="W2899" s="83"/>
      <c r="X2899" s="83"/>
      <c r="Y2899" s="83"/>
      <c r="Z2899" s="83"/>
    </row>
    <row r="2900">
      <c r="A2900" s="75" t="s">
        <v>26</v>
      </c>
      <c r="B2900" s="75" t="s">
        <v>1019</v>
      </c>
      <c r="C2900" s="75">
        <v>7.99</v>
      </c>
      <c r="D2900" s="75">
        <v>1.0</v>
      </c>
      <c r="E2900" s="75">
        <v>7.99</v>
      </c>
      <c r="F2900" s="75" t="s">
        <v>925</v>
      </c>
      <c r="G2900" s="82">
        <v>46113.0</v>
      </c>
      <c r="H2900" s="76" t="s">
        <v>1013</v>
      </c>
      <c r="I2900" s="83"/>
      <c r="J2900" s="83"/>
      <c r="K2900" s="83"/>
      <c r="L2900" s="83"/>
      <c r="M2900" s="83"/>
      <c r="N2900" s="83"/>
      <c r="O2900" s="83"/>
      <c r="P2900" s="83"/>
      <c r="Q2900" s="83"/>
      <c r="R2900" s="83"/>
      <c r="S2900" s="83"/>
      <c r="T2900" s="83"/>
      <c r="U2900" s="83"/>
      <c r="V2900" s="83"/>
      <c r="W2900" s="83"/>
      <c r="X2900" s="83"/>
      <c r="Y2900" s="83"/>
      <c r="Z2900" s="83"/>
    </row>
    <row r="2901">
      <c r="A2901" s="75" t="s">
        <v>26</v>
      </c>
      <c r="B2901" s="75" t="s">
        <v>1019</v>
      </c>
      <c r="C2901" s="75">
        <v>7.45</v>
      </c>
      <c r="D2901" s="75">
        <v>0.0</v>
      </c>
      <c r="E2901" s="75">
        <v>0.0</v>
      </c>
      <c r="F2901" s="75" t="s">
        <v>925</v>
      </c>
      <c r="G2901" s="82">
        <v>46113.0</v>
      </c>
      <c r="H2901" s="76" t="s">
        <v>1014</v>
      </c>
      <c r="I2901" s="83"/>
      <c r="J2901" s="83"/>
      <c r="K2901" s="83"/>
      <c r="L2901" s="83"/>
      <c r="M2901" s="83"/>
      <c r="N2901" s="83"/>
      <c r="O2901" s="83"/>
      <c r="P2901" s="83"/>
      <c r="Q2901" s="83"/>
      <c r="R2901" s="83"/>
      <c r="S2901" s="83"/>
      <c r="T2901" s="83"/>
      <c r="U2901" s="83"/>
      <c r="V2901" s="83"/>
      <c r="W2901" s="83"/>
      <c r="X2901" s="83"/>
      <c r="Y2901" s="83"/>
      <c r="Z2901" s="83"/>
    </row>
    <row r="2902">
      <c r="A2902" s="75" t="s">
        <v>36</v>
      </c>
      <c r="B2902" s="75" t="s">
        <v>1019</v>
      </c>
      <c r="C2902" s="75">
        <v>5.22</v>
      </c>
      <c r="D2902" s="75">
        <v>2.0</v>
      </c>
      <c r="E2902" s="75">
        <v>2.61</v>
      </c>
      <c r="F2902" s="75" t="s">
        <v>948</v>
      </c>
      <c r="G2902" s="82">
        <v>46113.0</v>
      </c>
      <c r="H2902" s="76" t="s">
        <v>926</v>
      </c>
      <c r="I2902" s="83"/>
      <c r="J2902" s="83"/>
      <c r="K2902" s="83"/>
      <c r="L2902" s="83"/>
      <c r="M2902" s="83"/>
      <c r="N2902" s="83"/>
      <c r="O2902" s="83"/>
      <c r="P2902" s="83"/>
      <c r="Q2902" s="83"/>
      <c r="R2902" s="83"/>
      <c r="S2902" s="83"/>
      <c r="T2902" s="83"/>
      <c r="U2902" s="83"/>
      <c r="V2902" s="83"/>
      <c r="W2902" s="83"/>
      <c r="X2902" s="83"/>
      <c r="Y2902" s="83"/>
      <c r="Z2902" s="83"/>
    </row>
    <row r="2903">
      <c r="A2903" s="75" t="s">
        <v>36</v>
      </c>
      <c r="B2903" s="75" t="s">
        <v>1019</v>
      </c>
      <c r="C2903" s="75">
        <v>2.52</v>
      </c>
      <c r="D2903" s="75">
        <v>0.0</v>
      </c>
      <c r="E2903" s="75">
        <v>0.0</v>
      </c>
      <c r="F2903" s="75" t="s">
        <v>948</v>
      </c>
      <c r="G2903" s="82">
        <v>46113.0</v>
      </c>
      <c r="H2903" s="76" t="s">
        <v>927</v>
      </c>
      <c r="I2903" s="83"/>
      <c r="J2903" s="83"/>
      <c r="K2903" s="83"/>
      <c r="L2903" s="83"/>
      <c r="M2903" s="83"/>
      <c r="N2903" s="83"/>
      <c r="O2903" s="83"/>
      <c r="P2903" s="83"/>
      <c r="Q2903" s="83"/>
      <c r="R2903" s="83"/>
      <c r="S2903" s="83"/>
      <c r="T2903" s="83"/>
      <c r="U2903" s="83"/>
      <c r="V2903" s="83"/>
      <c r="W2903" s="83"/>
      <c r="X2903" s="83"/>
      <c r="Y2903" s="83"/>
      <c r="Z2903" s="83"/>
    </row>
    <row r="2904">
      <c r="A2904" s="75" t="s">
        <v>36</v>
      </c>
      <c r="B2904" s="75" t="s">
        <v>1019</v>
      </c>
      <c r="C2904" s="75">
        <v>2.7</v>
      </c>
      <c r="D2904" s="75">
        <v>0.0</v>
      </c>
      <c r="E2904" s="75">
        <v>0.0</v>
      </c>
      <c r="F2904" s="75" t="s">
        <v>948</v>
      </c>
      <c r="G2904" s="82">
        <v>46113.0</v>
      </c>
      <c r="H2904" s="76" t="s">
        <v>928</v>
      </c>
      <c r="I2904" s="83"/>
      <c r="J2904" s="83"/>
      <c r="K2904" s="83"/>
      <c r="L2904" s="83"/>
      <c r="M2904" s="83"/>
      <c r="N2904" s="83"/>
      <c r="O2904" s="83"/>
      <c r="P2904" s="83"/>
      <c r="Q2904" s="83"/>
      <c r="R2904" s="83"/>
      <c r="S2904" s="83"/>
      <c r="T2904" s="83"/>
      <c r="U2904" s="83"/>
      <c r="V2904" s="83"/>
      <c r="W2904" s="83"/>
      <c r="X2904" s="83"/>
      <c r="Y2904" s="83"/>
      <c r="Z2904" s="83"/>
    </row>
    <row r="2905">
      <c r="A2905" s="75" t="s">
        <v>31</v>
      </c>
      <c r="B2905" s="75" t="s">
        <v>1019</v>
      </c>
      <c r="C2905" s="75">
        <v>4.42</v>
      </c>
      <c r="D2905" s="75">
        <v>0.0</v>
      </c>
      <c r="E2905" s="75">
        <v>0.0</v>
      </c>
      <c r="F2905" s="75" t="s">
        <v>948</v>
      </c>
      <c r="G2905" s="82">
        <v>46113.0</v>
      </c>
      <c r="H2905" s="76" t="s">
        <v>929</v>
      </c>
      <c r="I2905" s="83"/>
      <c r="J2905" s="83"/>
      <c r="K2905" s="83"/>
      <c r="L2905" s="83"/>
      <c r="M2905" s="83"/>
      <c r="N2905" s="83"/>
      <c r="O2905" s="83"/>
      <c r="P2905" s="83"/>
      <c r="Q2905" s="83"/>
      <c r="R2905" s="83"/>
      <c r="S2905" s="83"/>
      <c r="T2905" s="83"/>
      <c r="U2905" s="83"/>
      <c r="V2905" s="83"/>
      <c r="W2905" s="83"/>
      <c r="X2905" s="83"/>
      <c r="Y2905" s="83"/>
      <c r="Z2905" s="83"/>
    </row>
    <row r="2906">
      <c r="A2906" s="75" t="s">
        <v>31</v>
      </c>
      <c r="B2906" s="75" t="s">
        <v>1019</v>
      </c>
      <c r="C2906" s="75">
        <v>39.02</v>
      </c>
      <c r="D2906" s="75">
        <v>3.0</v>
      </c>
      <c r="E2906" s="75">
        <v>13.01</v>
      </c>
      <c r="F2906" s="75" t="s">
        <v>948</v>
      </c>
      <c r="G2906" s="82">
        <v>46113.0</v>
      </c>
      <c r="H2906" s="76" t="s">
        <v>930</v>
      </c>
      <c r="I2906" s="83"/>
      <c r="J2906" s="83"/>
      <c r="K2906" s="83"/>
      <c r="L2906" s="83"/>
      <c r="M2906" s="83"/>
      <c r="N2906" s="83"/>
      <c r="O2906" s="83"/>
      <c r="P2906" s="83"/>
      <c r="Q2906" s="83"/>
      <c r="R2906" s="83"/>
      <c r="S2906" s="83"/>
      <c r="T2906" s="83"/>
      <c r="U2906" s="83"/>
      <c r="V2906" s="83"/>
      <c r="W2906" s="83"/>
      <c r="X2906" s="83"/>
      <c r="Y2906" s="83"/>
      <c r="Z2906" s="83"/>
    </row>
    <row r="2907">
      <c r="A2907" s="75" t="s">
        <v>28</v>
      </c>
      <c r="B2907" s="75" t="s">
        <v>1019</v>
      </c>
      <c r="C2907" s="75">
        <v>0.94</v>
      </c>
      <c r="D2907" s="75">
        <v>0.0</v>
      </c>
      <c r="E2907" s="75">
        <v>0.0</v>
      </c>
      <c r="F2907" s="75" t="s">
        <v>948</v>
      </c>
      <c r="G2907" s="82">
        <v>46113.0</v>
      </c>
      <c r="H2907" s="76" t="s">
        <v>931</v>
      </c>
      <c r="I2907" s="83"/>
      <c r="J2907" s="83"/>
      <c r="K2907" s="83"/>
      <c r="L2907" s="83"/>
      <c r="M2907" s="83"/>
      <c r="N2907" s="83"/>
      <c r="O2907" s="83"/>
      <c r="P2907" s="83"/>
      <c r="Q2907" s="83"/>
      <c r="R2907" s="83"/>
      <c r="S2907" s="83"/>
      <c r="T2907" s="83"/>
      <c r="U2907" s="83"/>
      <c r="V2907" s="83"/>
      <c r="W2907" s="83"/>
      <c r="X2907" s="83"/>
      <c r="Y2907" s="83"/>
      <c r="Z2907" s="83"/>
    </row>
    <row r="2908">
      <c r="A2908" s="75" t="s">
        <v>28</v>
      </c>
      <c r="B2908" s="75" t="s">
        <v>1019</v>
      </c>
      <c r="C2908" s="75">
        <v>2.05</v>
      </c>
      <c r="D2908" s="75">
        <v>0.0</v>
      </c>
      <c r="E2908" s="75">
        <v>0.0</v>
      </c>
      <c r="F2908" s="75" t="s">
        <v>948</v>
      </c>
      <c r="G2908" s="82">
        <v>46113.0</v>
      </c>
      <c r="H2908" s="76" t="s">
        <v>932</v>
      </c>
      <c r="I2908" s="83"/>
      <c r="J2908" s="83"/>
      <c r="K2908" s="83"/>
      <c r="L2908" s="83"/>
      <c r="M2908" s="83"/>
      <c r="N2908" s="83"/>
      <c r="O2908" s="83"/>
      <c r="P2908" s="83"/>
      <c r="Q2908" s="83"/>
      <c r="R2908" s="83"/>
      <c r="S2908" s="83"/>
      <c r="T2908" s="83"/>
      <c r="U2908" s="83"/>
      <c r="V2908" s="83"/>
      <c r="W2908" s="83"/>
      <c r="X2908" s="83"/>
      <c r="Y2908" s="83"/>
      <c r="Z2908" s="83"/>
    </row>
    <row r="2909">
      <c r="A2909" s="75" t="s">
        <v>28</v>
      </c>
      <c r="B2909" s="75" t="s">
        <v>1019</v>
      </c>
      <c r="C2909" s="75">
        <v>17.93</v>
      </c>
      <c r="D2909" s="75">
        <v>1.0</v>
      </c>
      <c r="E2909" s="75">
        <v>17.93</v>
      </c>
      <c r="F2909" s="75" t="s">
        <v>948</v>
      </c>
      <c r="G2909" s="82">
        <v>46113.0</v>
      </c>
      <c r="H2909" s="76" t="s">
        <v>933</v>
      </c>
      <c r="I2909" s="83"/>
      <c r="J2909" s="83"/>
      <c r="K2909" s="83"/>
      <c r="L2909" s="83"/>
      <c r="M2909" s="83"/>
      <c r="N2909" s="83"/>
      <c r="O2909" s="83"/>
      <c r="P2909" s="83"/>
      <c r="Q2909" s="83"/>
      <c r="R2909" s="83"/>
      <c r="S2909" s="83"/>
      <c r="T2909" s="83"/>
      <c r="U2909" s="83"/>
      <c r="V2909" s="83"/>
      <c r="W2909" s="83"/>
      <c r="X2909" s="83"/>
      <c r="Y2909" s="83"/>
      <c r="Z2909" s="83"/>
    </row>
    <row r="2910">
      <c r="A2910" s="75" t="s">
        <v>42</v>
      </c>
      <c r="B2910" s="75" t="s">
        <v>1019</v>
      </c>
      <c r="C2910" s="75">
        <v>0.91</v>
      </c>
      <c r="D2910" s="75">
        <v>0.0</v>
      </c>
      <c r="E2910" s="75">
        <v>0.0</v>
      </c>
      <c r="F2910" s="75" t="s">
        <v>948</v>
      </c>
      <c r="G2910" s="82">
        <v>46113.0</v>
      </c>
      <c r="H2910" s="76" t="s">
        <v>991</v>
      </c>
      <c r="I2910" s="83"/>
      <c r="J2910" s="83"/>
      <c r="K2910" s="83"/>
      <c r="L2910" s="83"/>
      <c r="M2910" s="83"/>
      <c r="N2910" s="83"/>
      <c r="O2910" s="83"/>
      <c r="P2910" s="83"/>
      <c r="Q2910" s="83"/>
      <c r="R2910" s="83"/>
      <c r="S2910" s="83"/>
      <c r="T2910" s="83"/>
      <c r="U2910" s="83"/>
      <c r="V2910" s="83"/>
      <c r="W2910" s="83"/>
      <c r="X2910" s="83"/>
      <c r="Y2910" s="83"/>
      <c r="Z2910" s="83"/>
    </row>
    <row r="2911">
      <c r="A2911" s="75" t="s">
        <v>42</v>
      </c>
      <c r="B2911" s="75" t="s">
        <v>1019</v>
      </c>
      <c r="C2911" s="75">
        <v>7.83</v>
      </c>
      <c r="D2911" s="75">
        <v>0.0</v>
      </c>
      <c r="E2911" s="75">
        <v>0.0</v>
      </c>
      <c r="F2911" s="75" t="s">
        <v>948</v>
      </c>
      <c r="G2911" s="82">
        <v>46113.0</v>
      </c>
      <c r="H2911" s="76" t="s">
        <v>935</v>
      </c>
      <c r="I2911" s="83"/>
      <c r="J2911" s="83"/>
      <c r="K2911" s="83"/>
      <c r="L2911" s="83"/>
      <c r="M2911" s="83"/>
      <c r="N2911" s="83"/>
      <c r="O2911" s="83"/>
      <c r="P2911" s="83"/>
      <c r="Q2911" s="83"/>
      <c r="R2911" s="83"/>
      <c r="S2911" s="83"/>
      <c r="T2911" s="83"/>
      <c r="U2911" s="83"/>
      <c r="V2911" s="83"/>
      <c r="W2911" s="83"/>
      <c r="X2911" s="83"/>
      <c r="Y2911" s="83"/>
      <c r="Z2911" s="83"/>
    </row>
    <row r="2912">
      <c r="A2912" s="75" t="s">
        <v>45</v>
      </c>
      <c r="B2912" s="75" t="s">
        <v>1019</v>
      </c>
      <c r="C2912" s="75">
        <v>1.54</v>
      </c>
      <c r="D2912" s="75">
        <v>0.0</v>
      </c>
      <c r="E2912" s="75">
        <v>0.0</v>
      </c>
      <c r="F2912" s="75" t="s">
        <v>948</v>
      </c>
      <c r="G2912" s="82">
        <v>46113.0</v>
      </c>
      <c r="H2912" s="76" t="s">
        <v>936</v>
      </c>
      <c r="I2912" s="83"/>
      <c r="J2912" s="83"/>
      <c r="K2912" s="83"/>
      <c r="L2912" s="83"/>
      <c r="M2912" s="83"/>
      <c r="N2912" s="83"/>
      <c r="O2912" s="83"/>
      <c r="P2912" s="83"/>
      <c r="Q2912" s="83"/>
      <c r="R2912" s="83"/>
      <c r="S2912" s="83"/>
      <c r="T2912" s="83"/>
      <c r="U2912" s="83"/>
      <c r="V2912" s="83"/>
      <c r="W2912" s="83"/>
      <c r="X2912" s="83"/>
      <c r="Y2912" s="83"/>
      <c r="Z2912" s="83"/>
    </row>
    <row r="2913">
      <c r="A2913" s="75" t="s">
        <v>45</v>
      </c>
      <c r="B2913" s="75" t="s">
        <v>1019</v>
      </c>
      <c r="C2913" s="75">
        <v>1.02</v>
      </c>
      <c r="D2913" s="75">
        <v>0.0</v>
      </c>
      <c r="E2913" s="75">
        <v>0.0</v>
      </c>
      <c r="F2913" s="75" t="s">
        <v>948</v>
      </c>
      <c r="G2913" s="82">
        <v>46113.0</v>
      </c>
      <c r="H2913" s="76" t="s">
        <v>937</v>
      </c>
      <c r="I2913" s="83"/>
      <c r="J2913" s="83"/>
      <c r="K2913" s="83"/>
      <c r="L2913" s="83"/>
      <c r="M2913" s="83"/>
      <c r="N2913" s="83"/>
      <c r="O2913" s="83"/>
      <c r="P2913" s="83"/>
      <c r="Q2913" s="83"/>
      <c r="R2913" s="83"/>
      <c r="S2913" s="83"/>
      <c r="T2913" s="83"/>
      <c r="U2913" s="83"/>
      <c r="V2913" s="83"/>
      <c r="W2913" s="83"/>
      <c r="X2913" s="83"/>
      <c r="Y2913" s="83"/>
      <c r="Z2913" s="83"/>
    </row>
    <row r="2914">
      <c r="A2914" s="75" t="s">
        <v>45</v>
      </c>
      <c r="B2914" s="75" t="s">
        <v>1019</v>
      </c>
      <c r="C2914" s="75">
        <v>3.1</v>
      </c>
      <c r="D2914" s="75">
        <v>0.0</v>
      </c>
      <c r="E2914" s="75">
        <v>0.0</v>
      </c>
      <c r="F2914" s="75" t="s">
        <v>948</v>
      </c>
      <c r="G2914" s="82">
        <v>46113.0</v>
      </c>
      <c r="H2914" s="76" t="s">
        <v>938</v>
      </c>
      <c r="I2914" s="83"/>
      <c r="J2914" s="83"/>
      <c r="K2914" s="83"/>
      <c r="L2914" s="83"/>
      <c r="M2914" s="83"/>
      <c r="N2914" s="83"/>
      <c r="O2914" s="83"/>
      <c r="P2914" s="83"/>
      <c r="Q2914" s="83"/>
      <c r="R2914" s="83"/>
      <c r="S2914" s="83"/>
      <c r="T2914" s="83"/>
      <c r="U2914" s="83"/>
      <c r="V2914" s="83"/>
      <c r="W2914" s="83"/>
      <c r="X2914" s="83"/>
      <c r="Y2914" s="83"/>
      <c r="Z2914" s="83"/>
    </row>
    <row r="2915">
      <c r="A2915" s="75" t="s">
        <v>50</v>
      </c>
      <c r="B2915" s="75" t="s">
        <v>1019</v>
      </c>
      <c r="C2915" s="75">
        <v>4.14</v>
      </c>
      <c r="D2915" s="75">
        <v>0.0</v>
      </c>
      <c r="E2915" s="75">
        <v>0.0</v>
      </c>
      <c r="F2915" s="75" t="s">
        <v>948</v>
      </c>
      <c r="G2915" s="82">
        <v>46113.0</v>
      </c>
      <c r="H2915" s="76" t="s">
        <v>939</v>
      </c>
      <c r="I2915" s="83"/>
      <c r="J2915" s="83"/>
      <c r="K2915" s="83"/>
      <c r="L2915" s="83"/>
      <c r="M2915" s="83"/>
      <c r="N2915" s="83"/>
      <c r="O2915" s="83"/>
      <c r="P2915" s="83"/>
      <c r="Q2915" s="83"/>
      <c r="R2915" s="83"/>
      <c r="S2915" s="83"/>
      <c r="T2915" s="83"/>
      <c r="U2915" s="83"/>
      <c r="V2915" s="83"/>
      <c r="W2915" s="83"/>
      <c r="X2915" s="83"/>
      <c r="Y2915" s="83"/>
      <c r="Z2915" s="83"/>
    </row>
    <row r="2916">
      <c r="A2916" s="75" t="s">
        <v>50</v>
      </c>
      <c r="B2916" s="75" t="s">
        <v>1019</v>
      </c>
      <c r="C2916" s="75">
        <v>3.07</v>
      </c>
      <c r="D2916" s="75">
        <v>0.0</v>
      </c>
      <c r="E2916" s="75">
        <v>0.0</v>
      </c>
      <c r="F2916" s="75" t="s">
        <v>948</v>
      </c>
      <c r="G2916" s="82">
        <v>46113.0</v>
      </c>
      <c r="H2916" s="76" t="s">
        <v>940</v>
      </c>
      <c r="I2916" s="83"/>
      <c r="J2916" s="83"/>
      <c r="K2916" s="83"/>
      <c r="L2916" s="83"/>
      <c r="M2916" s="83"/>
      <c r="N2916" s="83"/>
      <c r="O2916" s="83"/>
      <c r="P2916" s="83"/>
      <c r="Q2916" s="83"/>
      <c r="R2916" s="83"/>
      <c r="S2916" s="83"/>
      <c r="T2916" s="83"/>
      <c r="U2916" s="83"/>
      <c r="V2916" s="83"/>
      <c r="W2916" s="83"/>
      <c r="X2916" s="83"/>
      <c r="Y2916" s="83"/>
      <c r="Z2916" s="83"/>
    </row>
    <row r="2917">
      <c r="A2917" s="75" t="s">
        <v>32</v>
      </c>
      <c r="B2917" s="75" t="s">
        <v>1019</v>
      </c>
      <c r="C2917" s="75">
        <v>7.82</v>
      </c>
      <c r="D2917" s="75">
        <v>0.0</v>
      </c>
      <c r="E2917" s="75">
        <v>0.0</v>
      </c>
      <c r="F2917" s="75" t="s">
        <v>948</v>
      </c>
      <c r="G2917" s="82">
        <v>46113.0</v>
      </c>
      <c r="H2917" s="76" t="s">
        <v>941</v>
      </c>
      <c r="I2917" s="83"/>
      <c r="J2917" s="83"/>
      <c r="K2917" s="83"/>
      <c r="L2917" s="83"/>
      <c r="M2917" s="83"/>
      <c r="N2917" s="83"/>
      <c r="O2917" s="83"/>
      <c r="P2917" s="83"/>
      <c r="Q2917" s="83"/>
      <c r="R2917" s="83"/>
      <c r="S2917" s="83"/>
      <c r="T2917" s="83"/>
      <c r="U2917" s="83"/>
      <c r="V2917" s="83"/>
      <c r="W2917" s="83"/>
      <c r="X2917" s="83"/>
      <c r="Y2917" s="83"/>
      <c r="Z2917" s="83"/>
    </row>
    <row r="2918">
      <c r="A2918" s="75" t="s">
        <v>32</v>
      </c>
      <c r="B2918" s="75" t="s">
        <v>1019</v>
      </c>
      <c r="C2918" s="75">
        <v>2.66</v>
      </c>
      <c r="D2918" s="75">
        <v>1.0</v>
      </c>
      <c r="E2918" s="75">
        <v>2.66</v>
      </c>
      <c r="F2918" s="75" t="s">
        <v>948</v>
      </c>
      <c r="G2918" s="82">
        <v>46113.0</v>
      </c>
      <c r="H2918" s="76" t="s">
        <v>942</v>
      </c>
      <c r="I2918" s="83"/>
      <c r="J2918" s="83"/>
      <c r="K2918" s="83"/>
      <c r="L2918" s="83"/>
      <c r="M2918" s="83"/>
      <c r="N2918" s="83"/>
      <c r="O2918" s="83"/>
      <c r="P2918" s="83"/>
      <c r="Q2918" s="83"/>
      <c r="R2918" s="83"/>
      <c r="S2918" s="83"/>
      <c r="T2918" s="83"/>
      <c r="U2918" s="83"/>
      <c r="V2918" s="83"/>
      <c r="W2918" s="83"/>
      <c r="X2918" s="83"/>
      <c r="Y2918" s="83"/>
      <c r="Z2918" s="83"/>
    </row>
    <row r="2919">
      <c r="A2919" s="75" t="s">
        <v>32</v>
      </c>
      <c r="B2919" s="75" t="s">
        <v>1019</v>
      </c>
      <c r="C2919" s="75">
        <v>6.04</v>
      </c>
      <c r="D2919" s="75">
        <v>0.0</v>
      </c>
      <c r="E2919" s="75">
        <v>0.0</v>
      </c>
      <c r="F2919" s="75" t="s">
        <v>948</v>
      </c>
      <c r="G2919" s="82">
        <v>46113.0</v>
      </c>
      <c r="H2919" s="76" t="s">
        <v>943</v>
      </c>
      <c r="I2919" s="83"/>
      <c r="J2919" s="83"/>
      <c r="K2919" s="83"/>
      <c r="L2919" s="83"/>
      <c r="M2919" s="83"/>
      <c r="N2919" s="83"/>
      <c r="O2919" s="83"/>
      <c r="P2919" s="83"/>
      <c r="Q2919" s="83"/>
      <c r="R2919" s="83"/>
      <c r="S2919" s="83"/>
      <c r="T2919" s="83"/>
      <c r="U2919" s="83"/>
      <c r="V2919" s="83"/>
      <c r="W2919" s="83"/>
      <c r="X2919" s="83"/>
      <c r="Y2919" s="83"/>
      <c r="Z2919" s="83"/>
    </row>
    <row r="2920">
      <c r="A2920" s="75" t="s">
        <v>944</v>
      </c>
      <c r="B2920" s="75" t="s">
        <v>1019</v>
      </c>
      <c r="C2920" s="75">
        <v>8.69</v>
      </c>
      <c r="D2920" s="75">
        <v>1.0</v>
      </c>
      <c r="E2920" s="75">
        <v>8.69</v>
      </c>
      <c r="F2920" s="75" t="s">
        <v>948</v>
      </c>
      <c r="G2920" s="82">
        <v>46113.0</v>
      </c>
      <c r="H2920" s="76" t="s">
        <v>945</v>
      </c>
      <c r="I2920" s="83"/>
      <c r="J2920" s="83"/>
      <c r="K2920" s="83"/>
      <c r="L2920" s="83"/>
      <c r="M2920" s="83"/>
      <c r="N2920" s="83"/>
      <c r="O2920" s="83"/>
      <c r="P2920" s="83"/>
      <c r="Q2920" s="83"/>
      <c r="R2920" s="83"/>
      <c r="S2920" s="83"/>
      <c r="T2920" s="83"/>
      <c r="U2920" s="83"/>
      <c r="V2920" s="83"/>
      <c r="W2920" s="83"/>
      <c r="X2920" s="83"/>
      <c r="Y2920" s="83"/>
      <c r="Z2920" s="83"/>
    </row>
    <row r="2921">
      <c r="A2921" s="75" t="s">
        <v>944</v>
      </c>
      <c r="B2921" s="75" t="s">
        <v>1019</v>
      </c>
      <c r="C2921" s="75">
        <v>1.09</v>
      </c>
      <c r="D2921" s="75">
        <v>0.0</v>
      </c>
      <c r="E2921" s="75">
        <v>0.0</v>
      </c>
      <c r="F2921" s="75" t="s">
        <v>948</v>
      </c>
      <c r="G2921" s="82">
        <v>46113.0</v>
      </c>
      <c r="H2921" s="76" t="s">
        <v>946</v>
      </c>
      <c r="I2921" s="83"/>
      <c r="J2921" s="83"/>
      <c r="K2921" s="83"/>
      <c r="L2921" s="83"/>
      <c r="M2921" s="83"/>
      <c r="N2921" s="83"/>
      <c r="O2921" s="83"/>
      <c r="P2921" s="83"/>
      <c r="Q2921" s="83"/>
      <c r="R2921" s="83"/>
      <c r="S2921" s="83"/>
      <c r="T2921" s="83"/>
      <c r="U2921" s="83"/>
      <c r="V2921" s="83"/>
      <c r="W2921" s="83"/>
      <c r="X2921" s="83"/>
      <c r="Y2921" s="83"/>
      <c r="Z2921" s="83"/>
    </row>
    <row r="2922">
      <c r="A2922" s="75" t="s">
        <v>944</v>
      </c>
      <c r="B2922" s="75" t="s">
        <v>1019</v>
      </c>
      <c r="C2922" s="75">
        <v>2.46</v>
      </c>
      <c r="D2922" s="75">
        <v>0.0</v>
      </c>
      <c r="E2922" s="75">
        <v>0.0</v>
      </c>
      <c r="F2922" s="75" t="s">
        <v>948</v>
      </c>
      <c r="G2922" s="82">
        <v>46113.0</v>
      </c>
      <c r="H2922" s="76" t="s">
        <v>947</v>
      </c>
      <c r="I2922" s="83"/>
      <c r="J2922" s="83"/>
      <c r="K2922" s="83"/>
      <c r="L2922" s="83"/>
      <c r="M2922" s="83"/>
      <c r="N2922" s="83"/>
      <c r="O2922" s="83"/>
      <c r="P2922" s="83"/>
      <c r="Q2922" s="83"/>
      <c r="R2922" s="83"/>
      <c r="S2922" s="83"/>
      <c r="T2922" s="83"/>
      <c r="U2922" s="83"/>
      <c r="V2922" s="83"/>
      <c r="W2922" s="83"/>
      <c r="X2922" s="83"/>
      <c r="Y2922" s="83"/>
      <c r="Z2922" s="83"/>
    </row>
    <row r="2923">
      <c r="A2923" s="75" t="s">
        <v>26</v>
      </c>
      <c r="B2923" s="75" t="s">
        <v>1019</v>
      </c>
      <c r="C2923" s="75">
        <v>2.06</v>
      </c>
      <c r="D2923" s="75">
        <v>0.0</v>
      </c>
      <c r="E2923" s="75">
        <v>0.0</v>
      </c>
      <c r="F2923" s="75" t="s">
        <v>948</v>
      </c>
      <c r="G2923" s="82">
        <v>46113.0</v>
      </c>
      <c r="H2923" s="76" t="s">
        <v>1012</v>
      </c>
      <c r="I2923" s="83"/>
      <c r="J2923" s="83"/>
      <c r="K2923" s="83"/>
      <c r="L2923" s="83"/>
      <c r="M2923" s="83"/>
      <c r="N2923" s="83"/>
      <c r="O2923" s="83"/>
      <c r="P2923" s="83"/>
      <c r="Q2923" s="83"/>
      <c r="R2923" s="83"/>
      <c r="S2923" s="83"/>
      <c r="T2923" s="83"/>
      <c r="U2923" s="83"/>
      <c r="V2923" s="83"/>
      <c r="W2923" s="83"/>
      <c r="X2923" s="83"/>
      <c r="Y2923" s="83"/>
      <c r="Z2923" s="83"/>
    </row>
    <row r="2924">
      <c r="A2924" s="75" t="s">
        <v>26</v>
      </c>
      <c r="B2924" s="75" t="s">
        <v>1019</v>
      </c>
      <c r="C2924" s="75">
        <v>5.93</v>
      </c>
      <c r="D2924" s="75">
        <v>1.0</v>
      </c>
      <c r="E2924" s="75">
        <v>5.93</v>
      </c>
      <c r="F2924" s="75" t="s">
        <v>948</v>
      </c>
      <c r="G2924" s="82">
        <v>46113.0</v>
      </c>
      <c r="H2924" s="76" t="s">
        <v>1013</v>
      </c>
      <c r="I2924" s="83"/>
      <c r="J2924" s="83"/>
      <c r="K2924" s="83"/>
      <c r="L2924" s="83"/>
      <c r="M2924" s="83"/>
      <c r="N2924" s="83"/>
      <c r="O2924" s="83"/>
      <c r="P2924" s="83"/>
      <c r="Q2924" s="83"/>
      <c r="R2924" s="83"/>
      <c r="S2924" s="83"/>
      <c r="T2924" s="83"/>
      <c r="U2924" s="83"/>
      <c r="V2924" s="83"/>
      <c r="W2924" s="83"/>
      <c r="X2924" s="83"/>
      <c r="Y2924" s="83"/>
      <c r="Z2924" s="83"/>
    </row>
    <row r="2925">
      <c r="A2925" s="75" t="s">
        <v>26</v>
      </c>
      <c r="B2925" s="75" t="s">
        <v>1019</v>
      </c>
      <c r="C2925" s="75">
        <v>4.78</v>
      </c>
      <c r="D2925" s="75">
        <v>0.0</v>
      </c>
      <c r="E2925" s="75">
        <v>0.0</v>
      </c>
      <c r="F2925" s="75" t="s">
        <v>948</v>
      </c>
      <c r="G2925" s="82">
        <v>46113.0</v>
      </c>
      <c r="H2925" s="76" t="s">
        <v>1014</v>
      </c>
      <c r="I2925" s="83"/>
      <c r="J2925" s="83"/>
      <c r="K2925" s="83"/>
      <c r="L2925" s="83"/>
      <c r="M2925" s="83"/>
      <c r="N2925" s="83"/>
      <c r="O2925" s="83"/>
      <c r="P2925" s="83"/>
      <c r="Q2925" s="83"/>
      <c r="R2925" s="83"/>
      <c r="S2925" s="83"/>
      <c r="T2925" s="83"/>
      <c r="U2925" s="83"/>
      <c r="V2925" s="83"/>
      <c r="W2925" s="83"/>
      <c r="X2925" s="83"/>
      <c r="Y2925" s="83"/>
      <c r="Z2925" s="83"/>
    </row>
    <row r="2926">
      <c r="A2926" s="75" t="s">
        <v>54</v>
      </c>
      <c r="B2926" s="75" t="s">
        <v>999</v>
      </c>
      <c r="C2926" s="75">
        <v>12.01</v>
      </c>
      <c r="D2926" s="75">
        <v>0.0</v>
      </c>
      <c r="E2926" s="75">
        <v>0.0</v>
      </c>
      <c r="F2926" s="75" t="s">
        <v>925</v>
      </c>
      <c r="G2926" s="82">
        <v>46113.0</v>
      </c>
      <c r="H2926" s="76" t="s">
        <v>977</v>
      </c>
      <c r="I2926" s="83"/>
      <c r="J2926" s="83"/>
      <c r="K2926" s="83"/>
      <c r="L2926" s="83"/>
      <c r="M2926" s="83"/>
      <c r="N2926" s="83"/>
      <c r="O2926" s="83"/>
      <c r="P2926" s="83"/>
      <c r="Q2926" s="83"/>
      <c r="R2926" s="83"/>
      <c r="S2926" s="83"/>
      <c r="T2926" s="83"/>
      <c r="U2926" s="83"/>
      <c r="V2926" s="83"/>
      <c r="W2926" s="83"/>
      <c r="X2926" s="83"/>
      <c r="Y2926" s="83"/>
      <c r="Z2926" s="83"/>
    </row>
    <row r="2927">
      <c r="A2927" s="75" t="s">
        <v>54</v>
      </c>
      <c r="B2927" s="75" t="s">
        <v>999</v>
      </c>
      <c r="C2927" s="75">
        <v>9.84</v>
      </c>
      <c r="D2927" s="75">
        <v>0.0</v>
      </c>
      <c r="E2927" s="75">
        <v>0.0</v>
      </c>
      <c r="F2927" s="75" t="s">
        <v>925</v>
      </c>
      <c r="G2927" s="82">
        <v>46113.0</v>
      </c>
      <c r="H2927" s="76" t="s">
        <v>978</v>
      </c>
      <c r="I2927" s="83"/>
      <c r="J2927" s="83"/>
      <c r="K2927" s="83"/>
      <c r="L2927" s="83"/>
      <c r="M2927" s="83"/>
      <c r="N2927" s="83"/>
      <c r="O2927" s="83"/>
      <c r="P2927" s="83"/>
      <c r="Q2927" s="83"/>
      <c r="R2927" s="83"/>
      <c r="S2927" s="83"/>
      <c r="T2927" s="83"/>
      <c r="U2927" s="83"/>
      <c r="V2927" s="83"/>
      <c r="W2927" s="83"/>
      <c r="X2927" s="83"/>
      <c r="Y2927" s="83"/>
      <c r="Z2927" s="83"/>
    </row>
    <row r="2928">
      <c r="A2928" s="75" t="s">
        <v>54</v>
      </c>
      <c r="B2928" s="75" t="s">
        <v>999</v>
      </c>
      <c r="C2928" s="75">
        <v>1.35</v>
      </c>
      <c r="D2928" s="75">
        <v>0.0</v>
      </c>
      <c r="E2928" s="75">
        <v>0.0</v>
      </c>
      <c r="F2928" s="75" t="s">
        <v>925</v>
      </c>
      <c r="G2928" s="82">
        <v>46113.0</v>
      </c>
      <c r="H2928" s="76" t="s">
        <v>979</v>
      </c>
      <c r="I2928" s="83"/>
      <c r="J2928" s="83"/>
      <c r="K2928" s="83"/>
      <c r="L2928" s="83"/>
      <c r="M2928" s="83"/>
      <c r="N2928" s="83"/>
      <c r="O2928" s="83"/>
      <c r="P2928" s="83"/>
      <c r="Q2928" s="83"/>
      <c r="R2928" s="83"/>
      <c r="S2928" s="83"/>
      <c r="T2928" s="83"/>
      <c r="U2928" s="83"/>
      <c r="V2928" s="83"/>
      <c r="W2928" s="83"/>
      <c r="X2928" s="83"/>
      <c r="Y2928" s="83"/>
      <c r="Z2928" s="83"/>
    </row>
    <row r="2929">
      <c r="A2929" s="75" t="s">
        <v>55</v>
      </c>
      <c r="B2929" s="75" t="s">
        <v>999</v>
      </c>
      <c r="C2929" s="75">
        <v>0.92</v>
      </c>
      <c r="D2929" s="75">
        <v>0.0</v>
      </c>
      <c r="E2929" s="75">
        <v>0.0</v>
      </c>
      <c r="F2929" s="75" t="s">
        <v>925</v>
      </c>
      <c r="G2929" s="82">
        <v>46113.0</v>
      </c>
      <c r="H2929" s="76" t="s">
        <v>980</v>
      </c>
      <c r="I2929" s="83"/>
      <c r="J2929" s="83"/>
      <c r="K2929" s="83"/>
      <c r="L2929" s="83"/>
      <c r="M2929" s="83"/>
      <c r="N2929" s="83"/>
      <c r="O2929" s="83"/>
      <c r="P2929" s="83"/>
      <c r="Q2929" s="83"/>
      <c r="R2929" s="83"/>
      <c r="S2929" s="83"/>
      <c r="T2929" s="83"/>
      <c r="U2929" s="83"/>
      <c r="V2929" s="83"/>
      <c r="W2929" s="83"/>
      <c r="X2929" s="83"/>
      <c r="Y2929" s="83"/>
      <c r="Z2929" s="83"/>
    </row>
    <row r="2930">
      <c r="A2930" s="75" t="s">
        <v>55</v>
      </c>
      <c r="B2930" s="75" t="s">
        <v>999</v>
      </c>
      <c r="C2930" s="75">
        <v>3.4</v>
      </c>
      <c r="D2930" s="75">
        <v>0.0</v>
      </c>
      <c r="E2930" s="75">
        <v>0.0</v>
      </c>
      <c r="F2930" s="75" t="s">
        <v>925</v>
      </c>
      <c r="G2930" s="82">
        <v>46113.0</v>
      </c>
      <c r="H2930" s="76" t="s">
        <v>981</v>
      </c>
      <c r="I2930" s="83"/>
      <c r="J2930" s="83"/>
      <c r="K2930" s="83"/>
      <c r="L2930" s="83"/>
      <c r="M2930" s="83"/>
      <c r="N2930" s="83"/>
      <c r="O2930" s="83"/>
      <c r="P2930" s="83"/>
      <c r="Q2930" s="83"/>
      <c r="R2930" s="83"/>
      <c r="S2930" s="83"/>
      <c r="T2930" s="83"/>
      <c r="U2930" s="83"/>
      <c r="V2930" s="83"/>
      <c r="W2930" s="83"/>
      <c r="X2930" s="83"/>
      <c r="Y2930" s="83"/>
      <c r="Z2930" s="83"/>
    </row>
    <row r="2931">
      <c r="A2931" s="75" t="s">
        <v>53</v>
      </c>
      <c r="B2931" s="75" t="s">
        <v>999</v>
      </c>
      <c r="C2931" s="75">
        <v>13.86</v>
      </c>
      <c r="D2931" s="75">
        <v>0.0</v>
      </c>
      <c r="E2931" s="75">
        <v>0.0</v>
      </c>
      <c r="F2931" s="75" t="s">
        <v>925</v>
      </c>
      <c r="G2931" s="82">
        <v>46113.0</v>
      </c>
      <c r="H2931" s="76" t="s">
        <v>982</v>
      </c>
      <c r="I2931" s="83"/>
      <c r="J2931" s="83"/>
      <c r="K2931" s="83"/>
      <c r="L2931" s="83"/>
      <c r="M2931" s="83"/>
      <c r="N2931" s="83"/>
      <c r="O2931" s="83"/>
      <c r="P2931" s="83"/>
      <c r="Q2931" s="83"/>
      <c r="R2931" s="83"/>
      <c r="S2931" s="83"/>
      <c r="T2931" s="83"/>
      <c r="U2931" s="83"/>
      <c r="V2931" s="83"/>
      <c r="W2931" s="83"/>
      <c r="X2931" s="83"/>
      <c r="Y2931" s="83"/>
      <c r="Z2931" s="83"/>
    </row>
    <row r="2932">
      <c r="A2932" s="75" t="s">
        <v>53</v>
      </c>
      <c r="B2932" s="75" t="s">
        <v>999</v>
      </c>
      <c r="C2932" s="75">
        <v>3.14</v>
      </c>
      <c r="D2932" s="75">
        <v>0.0</v>
      </c>
      <c r="E2932" s="75">
        <v>0.0</v>
      </c>
      <c r="F2932" s="75" t="s">
        <v>925</v>
      </c>
      <c r="G2932" s="82">
        <v>46113.0</v>
      </c>
      <c r="H2932" s="76" t="s">
        <v>983</v>
      </c>
      <c r="I2932" s="83"/>
      <c r="J2932" s="83"/>
      <c r="K2932" s="83"/>
      <c r="L2932" s="83"/>
      <c r="M2932" s="83"/>
      <c r="N2932" s="83"/>
      <c r="O2932" s="83"/>
      <c r="P2932" s="83"/>
      <c r="Q2932" s="83"/>
      <c r="R2932" s="83"/>
      <c r="S2932" s="83"/>
      <c r="T2932" s="83"/>
      <c r="U2932" s="83"/>
      <c r="V2932" s="83"/>
      <c r="W2932" s="83"/>
      <c r="X2932" s="83"/>
      <c r="Y2932" s="83"/>
      <c r="Z2932" s="83"/>
    </row>
    <row r="2933">
      <c r="A2933" s="75" t="s">
        <v>53</v>
      </c>
      <c r="B2933" s="75" t="s">
        <v>999</v>
      </c>
      <c r="C2933" s="75">
        <v>0.09</v>
      </c>
      <c r="D2933" s="75">
        <v>0.0</v>
      </c>
      <c r="E2933" s="75">
        <v>0.0</v>
      </c>
      <c r="F2933" s="75" t="s">
        <v>925</v>
      </c>
      <c r="G2933" s="82">
        <v>46113.0</v>
      </c>
      <c r="H2933" s="76" t="s">
        <v>984</v>
      </c>
      <c r="I2933" s="83"/>
      <c r="J2933" s="83"/>
      <c r="K2933" s="83"/>
      <c r="L2933" s="83"/>
      <c r="M2933" s="83"/>
      <c r="N2933" s="83"/>
      <c r="O2933" s="83"/>
      <c r="P2933" s="83"/>
      <c r="Q2933" s="83"/>
      <c r="R2933" s="83"/>
      <c r="S2933" s="83"/>
      <c r="T2933" s="83"/>
      <c r="U2933" s="83"/>
      <c r="V2933" s="83"/>
      <c r="W2933" s="83"/>
      <c r="X2933" s="83"/>
      <c r="Y2933" s="83"/>
      <c r="Z2933" s="83"/>
    </row>
    <row r="2934">
      <c r="A2934" s="75" t="s">
        <v>985</v>
      </c>
      <c r="B2934" s="75" t="s">
        <v>999</v>
      </c>
      <c r="C2934" s="75">
        <v>0.51</v>
      </c>
      <c r="D2934" s="75">
        <v>0.0</v>
      </c>
      <c r="E2934" s="75">
        <v>0.0</v>
      </c>
      <c r="F2934" s="75" t="s">
        <v>925</v>
      </c>
      <c r="G2934" s="82">
        <v>46113.0</v>
      </c>
      <c r="H2934" s="76" t="s">
        <v>936</v>
      </c>
      <c r="I2934" s="83"/>
      <c r="J2934" s="83"/>
      <c r="K2934" s="83"/>
      <c r="L2934" s="83"/>
      <c r="M2934" s="83"/>
      <c r="N2934" s="83"/>
      <c r="O2934" s="83"/>
      <c r="P2934" s="83"/>
      <c r="Q2934" s="83"/>
      <c r="R2934" s="83"/>
      <c r="S2934" s="83"/>
      <c r="T2934" s="83"/>
      <c r="U2934" s="83"/>
      <c r="V2934" s="83"/>
      <c r="W2934" s="83"/>
      <c r="X2934" s="83"/>
      <c r="Y2934" s="83"/>
      <c r="Z2934" s="83"/>
    </row>
    <row r="2935">
      <c r="A2935" s="75" t="s">
        <v>985</v>
      </c>
      <c r="B2935" s="75" t="s">
        <v>999</v>
      </c>
      <c r="C2935" s="75">
        <v>0.4</v>
      </c>
      <c r="D2935" s="75">
        <v>0.0</v>
      </c>
      <c r="E2935" s="75">
        <v>0.0</v>
      </c>
      <c r="F2935" s="75" t="s">
        <v>925</v>
      </c>
      <c r="G2935" s="82">
        <v>46113.0</v>
      </c>
      <c r="H2935" s="76" t="s">
        <v>937</v>
      </c>
      <c r="I2935" s="83"/>
      <c r="J2935" s="83"/>
      <c r="K2935" s="83"/>
      <c r="L2935" s="83"/>
      <c r="M2935" s="83"/>
      <c r="N2935" s="83"/>
      <c r="O2935" s="83"/>
      <c r="P2935" s="83"/>
      <c r="Q2935" s="83"/>
      <c r="R2935" s="83"/>
      <c r="S2935" s="83"/>
      <c r="T2935" s="83"/>
      <c r="U2935" s="83"/>
      <c r="V2935" s="83"/>
      <c r="W2935" s="83"/>
      <c r="X2935" s="83"/>
      <c r="Y2935" s="83"/>
      <c r="Z2935" s="83"/>
    </row>
    <row r="2936">
      <c r="A2936" s="75" t="s">
        <v>985</v>
      </c>
      <c r="B2936" s="75" t="s">
        <v>999</v>
      </c>
      <c r="C2936" s="75">
        <v>1.03</v>
      </c>
      <c r="D2936" s="75">
        <v>0.0</v>
      </c>
      <c r="E2936" s="75">
        <v>0.0</v>
      </c>
      <c r="F2936" s="75" t="s">
        <v>925</v>
      </c>
      <c r="G2936" s="82">
        <v>46113.0</v>
      </c>
      <c r="H2936" s="76" t="s">
        <v>938</v>
      </c>
      <c r="I2936" s="83"/>
      <c r="J2936" s="83"/>
      <c r="K2936" s="83"/>
      <c r="L2936" s="83"/>
      <c r="M2936" s="83"/>
      <c r="N2936" s="83"/>
      <c r="O2936" s="83"/>
      <c r="P2936" s="83"/>
      <c r="Q2936" s="83"/>
      <c r="R2936" s="83"/>
      <c r="S2936" s="83"/>
      <c r="T2936" s="83"/>
      <c r="U2936" s="83"/>
      <c r="V2936" s="83"/>
      <c r="W2936" s="83"/>
      <c r="X2936" s="83"/>
      <c r="Y2936" s="83"/>
      <c r="Z2936" s="83"/>
    </row>
    <row r="2937">
      <c r="A2937" s="75" t="s">
        <v>51</v>
      </c>
      <c r="B2937" s="75" t="s">
        <v>999</v>
      </c>
      <c r="C2937" s="75">
        <v>3.48</v>
      </c>
      <c r="D2937" s="75">
        <v>0.0</v>
      </c>
      <c r="E2937" s="75">
        <v>0.0</v>
      </c>
      <c r="F2937" s="75" t="s">
        <v>925</v>
      </c>
      <c r="G2937" s="82">
        <v>46113.0</v>
      </c>
      <c r="H2937" s="76" t="s">
        <v>986</v>
      </c>
      <c r="I2937" s="83"/>
      <c r="J2937" s="83"/>
      <c r="K2937" s="83"/>
      <c r="L2937" s="83"/>
      <c r="M2937" s="83"/>
      <c r="N2937" s="83"/>
      <c r="O2937" s="83"/>
      <c r="P2937" s="83"/>
      <c r="Q2937" s="83"/>
      <c r="R2937" s="83"/>
      <c r="S2937" s="83"/>
      <c r="T2937" s="83"/>
      <c r="U2937" s="83"/>
      <c r="V2937" s="83"/>
      <c r="W2937" s="83"/>
      <c r="X2937" s="83"/>
      <c r="Y2937" s="83"/>
      <c r="Z2937" s="83"/>
    </row>
    <row r="2938">
      <c r="A2938" s="75" t="s">
        <v>51</v>
      </c>
      <c r="B2938" s="75" t="s">
        <v>999</v>
      </c>
      <c r="C2938" s="75">
        <v>0.95</v>
      </c>
      <c r="D2938" s="75">
        <v>1.0</v>
      </c>
      <c r="E2938" s="75">
        <v>0.95</v>
      </c>
      <c r="F2938" s="75" t="s">
        <v>925</v>
      </c>
      <c r="G2938" s="82">
        <v>46113.0</v>
      </c>
      <c r="H2938" s="76" t="s">
        <v>987</v>
      </c>
      <c r="I2938" s="83"/>
      <c r="J2938" s="83"/>
      <c r="K2938" s="83"/>
      <c r="L2938" s="83"/>
      <c r="M2938" s="83"/>
      <c r="N2938" s="83"/>
      <c r="O2938" s="83"/>
      <c r="P2938" s="83"/>
      <c r="Q2938" s="83"/>
      <c r="R2938" s="83"/>
      <c r="S2938" s="83"/>
      <c r="T2938" s="83"/>
      <c r="U2938" s="83"/>
      <c r="V2938" s="83"/>
      <c r="W2938" s="83"/>
      <c r="X2938" s="83"/>
      <c r="Y2938" s="83"/>
      <c r="Z2938" s="83"/>
    </row>
    <row r="2939">
      <c r="A2939" s="75" t="s">
        <v>54</v>
      </c>
      <c r="B2939" s="75" t="s">
        <v>999</v>
      </c>
      <c r="C2939" s="75">
        <v>67.94</v>
      </c>
      <c r="D2939" s="75">
        <v>5.0</v>
      </c>
      <c r="E2939" s="75">
        <v>13.59</v>
      </c>
      <c r="F2939" s="75" t="s">
        <v>948</v>
      </c>
      <c r="G2939" s="82">
        <v>46113.0</v>
      </c>
      <c r="H2939" s="76" t="s">
        <v>977</v>
      </c>
      <c r="I2939" s="83"/>
      <c r="J2939" s="83"/>
      <c r="K2939" s="83"/>
      <c r="L2939" s="83"/>
      <c r="M2939" s="83"/>
      <c r="N2939" s="83"/>
      <c r="O2939" s="83"/>
      <c r="P2939" s="83"/>
      <c r="Q2939" s="83"/>
      <c r="R2939" s="83"/>
      <c r="S2939" s="83"/>
      <c r="T2939" s="83"/>
      <c r="U2939" s="83"/>
      <c r="V2939" s="83"/>
      <c r="W2939" s="83"/>
      <c r="X2939" s="83"/>
      <c r="Y2939" s="83"/>
      <c r="Z2939" s="83"/>
    </row>
    <row r="2940">
      <c r="A2940" s="75" t="s">
        <v>54</v>
      </c>
      <c r="B2940" s="75" t="s">
        <v>999</v>
      </c>
      <c r="C2940" s="75">
        <v>17.86</v>
      </c>
      <c r="D2940" s="75">
        <v>0.0</v>
      </c>
      <c r="E2940" s="75">
        <v>0.0</v>
      </c>
      <c r="F2940" s="75" t="s">
        <v>948</v>
      </c>
      <c r="G2940" s="82">
        <v>46113.0</v>
      </c>
      <c r="H2940" s="76" t="s">
        <v>978</v>
      </c>
      <c r="I2940" s="83"/>
      <c r="J2940" s="83"/>
      <c r="K2940" s="83"/>
      <c r="L2940" s="83"/>
      <c r="M2940" s="83"/>
      <c r="N2940" s="83"/>
      <c r="O2940" s="83"/>
      <c r="P2940" s="83"/>
      <c r="Q2940" s="83"/>
      <c r="R2940" s="83"/>
      <c r="S2940" s="83"/>
      <c r="T2940" s="83"/>
      <c r="U2940" s="83"/>
      <c r="V2940" s="83"/>
      <c r="W2940" s="83"/>
      <c r="X2940" s="83"/>
      <c r="Y2940" s="83"/>
      <c r="Z2940" s="83"/>
    </row>
    <row r="2941">
      <c r="A2941" s="75" t="s">
        <v>54</v>
      </c>
      <c r="B2941" s="75" t="s">
        <v>999</v>
      </c>
      <c r="C2941" s="75">
        <v>2.08</v>
      </c>
      <c r="D2941" s="75">
        <v>0.0</v>
      </c>
      <c r="E2941" s="75">
        <v>0.0</v>
      </c>
      <c r="F2941" s="75" t="s">
        <v>948</v>
      </c>
      <c r="G2941" s="82">
        <v>46113.0</v>
      </c>
      <c r="H2941" s="76" t="s">
        <v>979</v>
      </c>
      <c r="I2941" s="83"/>
      <c r="J2941" s="83"/>
      <c r="K2941" s="83"/>
      <c r="L2941" s="83"/>
      <c r="M2941" s="83"/>
      <c r="N2941" s="83"/>
      <c r="O2941" s="83"/>
      <c r="P2941" s="83"/>
      <c r="Q2941" s="83"/>
      <c r="R2941" s="83"/>
      <c r="S2941" s="83"/>
      <c r="T2941" s="83"/>
      <c r="U2941" s="83"/>
      <c r="V2941" s="83"/>
      <c r="W2941" s="83"/>
      <c r="X2941" s="83"/>
      <c r="Y2941" s="83"/>
      <c r="Z2941" s="83"/>
    </row>
    <row r="2942">
      <c r="A2942" s="75" t="s">
        <v>55</v>
      </c>
      <c r="B2942" s="75" t="s">
        <v>999</v>
      </c>
      <c r="C2942" s="75">
        <v>1.18</v>
      </c>
      <c r="D2942" s="75">
        <v>0.0</v>
      </c>
      <c r="E2942" s="75">
        <v>0.0</v>
      </c>
      <c r="F2942" s="75" t="s">
        <v>948</v>
      </c>
      <c r="G2942" s="82">
        <v>46113.0</v>
      </c>
      <c r="H2942" s="76" t="s">
        <v>980</v>
      </c>
      <c r="I2942" s="83"/>
      <c r="J2942" s="83"/>
      <c r="K2942" s="83"/>
      <c r="L2942" s="83"/>
      <c r="M2942" s="83"/>
      <c r="N2942" s="83"/>
      <c r="O2942" s="83"/>
      <c r="P2942" s="83"/>
      <c r="Q2942" s="83"/>
      <c r="R2942" s="83"/>
      <c r="S2942" s="83"/>
      <c r="T2942" s="83"/>
      <c r="U2942" s="83"/>
      <c r="V2942" s="83"/>
      <c r="W2942" s="83"/>
      <c r="X2942" s="83"/>
      <c r="Y2942" s="83"/>
      <c r="Z2942" s="83"/>
    </row>
    <row r="2943">
      <c r="A2943" s="75" t="s">
        <v>55</v>
      </c>
      <c r="B2943" s="75" t="s">
        <v>999</v>
      </c>
      <c r="C2943" s="75">
        <v>4.91</v>
      </c>
      <c r="D2943" s="75">
        <v>0.0</v>
      </c>
      <c r="E2943" s="75">
        <v>0.0</v>
      </c>
      <c r="F2943" s="75" t="s">
        <v>948</v>
      </c>
      <c r="G2943" s="82">
        <v>46113.0</v>
      </c>
      <c r="H2943" s="76" t="s">
        <v>981</v>
      </c>
      <c r="I2943" s="83"/>
      <c r="J2943" s="83"/>
      <c r="K2943" s="83"/>
      <c r="L2943" s="83"/>
      <c r="M2943" s="83"/>
      <c r="N2943" s="83"/>
      <c r="O2943" s="83"/>
      <c r="P2943" s="83"/>
      <c r="Q2943" s="83"/>
      <c r="R2943" s="83"/>
      <c r="S2943" s="83"/>
      <c r="T2943" s="83"/>
      <c r="U2943" s="83"/>
      <c r="V2943" s="83"/>
      <c r="W2943" s="83"/>
      <c r="X2943" s="83"/>
      <c r="Y2943" s="83"/>
      <c r="Z2943" s="83"/>
    </row>
    <row r="2944">
      <c r="A2944" s="75" t="s">
        <v>53</v>
      </c>
      <c r="B2944" s="75" t="s">
        <v>999</v>
      </c>
      <c r="C2944" s="75">
        <v>23.61</v>
      </c>
      <c r="D2944" s="75">
        <v>0.0</v>
      </c>
      <c r="E2944" s="75">
        <v>0.0</v>
      </c>
      <c r="F2944" s="75" t="s">
        <v>948</v>
      </c>
      <c r="G2944" s="82">
        <v>46113.0</v>
      </c>
      <c r="H2944" s="76" t="s">
        <v>982</v>
      </c>
      <c r="I2944" s="83"/>
      <c r="J2944" s="83"/>
      <c r="K2944" s="83"/>
      <c r="L2944" s="83"/>
      <c r="M2944" s="83"/>
      <c r="N2944" s="83"/>
      <c r="O2944" s="83"/>
      <c r="P2944" s="83"/>
      <c r="Q2944" s="83"/>
      <c r="R2944" s="83"/>
      <c r="S2944" s="83"/>
      <c r="T2944" s="83"/>
      <c r="U2944" s="83"/>
      <c r="V2944" s="83"/>
      <c r="W2944" s="83"/>
      <c r="X2944" s="83"/>
      <c r="Y2944" s="83"/>
      <c r="Z2944" s="83"/>
    </row>
    <row r="2945">
      <c r="A2945" s="75" t="s">
        <v>53</v>
      </c>
      <c r="B2945" s="75" t="s">
        <v>999</v>
      </c>
      <c r="C2945" s="75">
        <v>3.17</v>
      </c>
      <c r="D2945" s="75">
        <v>0.0</v>
      </c>
      <c r="E2945" s="75">
        <v>0.0</v>
      </c>
      <c r="F2945" s="75" t="s">
        <v>948</v>
      </c>
      <c r="G2945" s="82">
        <v>46113.0</v>
      </c>
      <c r="H2945" s="76" t="s">
        <v>983</v>
      </c>
      <c r="I2945" s="83"/>
      <c r="J2945" s="83"/>
      <c r="K2945" s="83"/>
      <c r="L2945" s="83"/>
      <c r="M2945" s="83"/>
      <c r="N2945" s="83"/>
      <c r="O2945" s="83"/>
      <c r="P2945" s="83"/>
      <c r="Q2945" s="83"/>
      <c r="R2945" s="83"/>
      <c r="S2945" s="83"/>
      <c r="T2945" s="83"/>
      <c r="U2945" s="83"/>
      <c r="V2945" s="83"/>
      <c r="W2945" s="83"/>
      <c r="X2945" s="83"/>
      <c r="Y2945" s="83"/>
      <c r="Z2945" s="83"/>
    </row>
    <row r="2946">
      <c r="A2946" s="75" t="s">
        <v>53</v>
      </c>
      <c r="B2946" s="75" t="s">
        <v>999</v>
      </c>
      <c r="C2946" s="75">
        <v>0.26</v>
      </c>
      <c r="D2946" s="75">
        <v>0.0</v>
      </c>
      <c r="E2946" s="75">
        <v>0.0</v>
      </c>
      <c r="F2946" s="75" t="s">
        <v>948</v>
      </c>
      <c r="G2946" s="82">
        <v>46113.0</v>
      </c>
      <c r="H2946" s="76" t="s">
        <v>984</v>
      </c>
      <c r="I2946" s="83"/>
      <c r="J2946" s="83"/>
      <c r="K2946" s="83"/>
      <c r="L2946" s="83"/>
      <c r="M2946" s="83"/>
      <c r="N2946" s="83"/>
      <c r="O2946" s="83"/>
      <c r="P2946" s="83"/>
      <c r="Q2946" s="83"/>
      <c r="R2946" s="83"/>
      <c r="S2946" s="83"/>
      <c r="T2946" s="83"/>
      <c r="U2946" s="83"/>
      <c r="V2946" s="83"/>
      <c r="W2946" s="83"/>
      <c r="X2946" s="83"/>
      <c r="Y2946" s="83"/>
      <c r="Z2946" s="83"/>
    </row>
    <row r="2947">
      <c r="A2947" s="75" t="s">
        <v>985</v>
      </c>
      <c r="B2947" s="75" t="s">
        <v>999</v>
      </c>
      <c r="C2947" s="75">
        <v>0.57</v>
      </c>
      <c r="D2947" s="75">
        <v>0.0</v>
      </c>
      <c r="E2947" s="75">
        <v>0.0</v>
      </c>
      <c r="F2947" s="75" t="s">
        <v>948</v>
      </c>
      <c r="G2947" s="82">
        <v>46113.0</v>
      </c>
      <c r="H2947" s="76" t="s">
        <v>936</v>
      </c>
      <c r="I2947" s="83"/>
      <c r="J2947" s="83"/>
      <c r="K2947" s="83"/>
      <c r="L2947" s="83"/>
      <c r="M2947" s="83"/>
      <c r="N2947" s="83"/>
      <c r="O2947" s="83"/>
      <c r="P2947" s="83"/>
      <c r="Q2947" s="83"/>
      <c r="R2947" s="83"/>
      <c r="S2947" s="83"/>
      <c r="T2947" s="83"/>
      <c r="U2947" s="83"/>
      <c r="V2947" s="83"/>
      <c r="W2947" s="83"/>
      <c r="X2947" s="83"/>
      <c r="Y2947" s="83"/>
      <c r="Z2947" s="83"/>
    </row>
    <row r="2948">
      <c r="A2948" s="75" t="s">
        <v>985</v>
      </c>
      <c r="B2948" s="75" t="s">
        <v>999</v>
      </c>
      <c r="C2948" s="75">
        <v>0.23</v>
      </c>
      <c r="D2948" s="75">
        <v>0.0</v>
      </c>
      <c r="E2948" s="75">
        <v>0.0</v>
      </c>
      <c r="F2948" s="75" t="s">
        <v>948</v>
      </c>
      <c r="G2948" s="82">
        <v>46113.0</v>
      </c>
      <c r="H2948" s="76" t="s">
        <v>937</v>
      </c>
      <c r="I2948" s="83"/>
      <c r="J2948" s="83"/>
      <c r="K2948" s="83"/>
      <c r="L2948" s="83"/>
      <c r="M2948" s="83"/>
      <c r="N2948" s="83"/>
      <c r="O2948" s="83"/>
      <c r="P2948" s="83"/>
      <c r="Q2948" s="83"/>
      <c r="R2948" s="83"/>
      <c r="S2948" s="83"/>
      <c r="T2948" s="83"/>
      <c r="U2948" s="83"/>
      <c r="V2948" s="83"/>
      <c r="W2948" s="83"/>
      <c r="X2948" s="83"/>
      <c r="Y2948" s="83"/>
      <c r="Z2948" s="83"/>
    </row>
    <row r="2949">
      <c r="A2949" s="75" t="s">
        <v>985</v>
      </c>
      <c r="B2949" s="75" t="s">
        <v>999</v>
      </c>
      <c r="C2949" s="75">
        <v>0.91</v>
      </c>
      <c r="D2949" s="75">
        <v>0.0</v>
      </c>
      <c r="E2949" s="75">
        <v>0.0</v>
      </c>
      <c r="F2949" s="75" t="s">
        <v>948</v>
      </c>
      <c r="G2949" s="82">
        <v>46113.0</v>
      </c>
      <c r="H2949" s="76" t="s">
        <v>938</v>
      </c>
      <c r="I2949" s="83"/>
      <c r="J2949" s="83"/>
      <c r="K2949" s="83"/>
      <c r="L2949" s="83"/>
      <c r="M2949" s="83"/>
      <c r="N2949" s="83"/>
      <c r="O2949" s="83"/>
      <c r="P2949" s="83"/>
      <c r="Q2949" s="83"/>
      <c r="R2949" s="83"/>
      <c r="S2949" s="83"/>
      <c r="T2949" s="83"/>
      <c r="U2949" s="83"/>
      <c r="V2949" s="83"/>
      <c r="W2949" s="83"/>
      <c r="X2949" s="83"/>
      <c r="Y2949" s="83"/>
      <c r="Z2949" s="83"/>
    </row>
    <row r="2950">
      <c r="A2950" s="75" t="s">
        <v>51</v>
      </c>
      <c r="B2950" s="75" t="s">
        <v>999</v>
      </c>
      <c r="C2950" s="75">
        <v>1.58</v>
      </c>
      <c r="D2950" s="75">
        <v>1.0</v>
      </c>
      <c r="E2950" s="75">
        <v>1.58</v>
      </c>
      <c r="F2950" s="75" t="s">
        <v>948</v>
      </c>
      <c r="G2950" s="82">
        <v>46113.0</v>
      </c>
      <c r="H2950" s="76" t="s">
        <v>986</v>
      </c>
      <c r="I2950" s="83"/>
      <c r="J2950" s="83"/>
      <c r="K2950" s="83"/>
      <c r="L2950" s="83"/>
      <c r="M2950" s="83"/>
      <c r="N2950" s="83"/>
      <c r="O2950" s="83"/>
      <c r="P2950" s="83"/>
      <c r="Q2950" s="83"/>
      <c r="R2950" s="83"/>
      <c r="S2950" s="83"/>
      <c r="T2950" s="83"/>
      <c r="U2950" s="83"/>
      <c r="V2950" s="83"/>
      <c r="W2950" s="83"/>
      <c r="X2950" s="83"/>
      <c r="Y2950" s="83"/>
      <c r="Z2950" s="83"/>
    </row>
    <row r="2951">
      <c r="A2951" s="75" t="s">
        <v>51</v>
      </c>
      <c r="B2951" s="75" t="s">
        <v>999</v>
      </c>
      <c r="C2951" s="75">
        <v>0.73</v>
      </c>
      <c r="D2951" s="75">
        <v>0.0</v>
      </c>
      <c r="E2951" s="75">
        <v>0.0</v>
      </c>
      <c r="F2951" s="75" t="s">
        <v>948</v>
      </c>
      <c r="G2951" s="82">
        <v>46113.0</v>
      </c>
      <c r="H2951" s="76" t="s">
        <v>987</v>
      </c>
      <c r="I2951" s="83"/>
      <c r="J2951" s="83"/>
      <c r="K2951" s="83"/>
      <c r="L2951" s="83"/>
      <c r="M2951" s="83"/>
      <c r="N2951" s="83"/>
      <c r="O2951" s="83"/>
      <c r="P2951" s="83"/>
      <c r="Q2951" s="83"/>
      <c r="R2951" s="83"/>
      <c r="S2951" s="83"/>
      <c r="T2951" s="83"/>
      <c r="U2951" s="83"/>
      <c r="V2951" s="83"/>
      <c r="W2951" s="83"/>
      <c r="X2951" s="83"/>
      <c r="Y2951" s="83"/>
      <c r="Z2951" s="83"/>
    </row>
    <row r="2952">
      <c r="A2952" s="75" t="s">
        <v>54</v>
      </c>
      <c r="B2952" s="75" t="s">
        <v>1018</v>
      </c>
      <c r="C2952" s="75">
        <v>9.55</v>
      </c>
      <c r="D2952" s="75">
        <v>0.0</v>
      </c>
      <c r="E2952" s="75">
        <v>0.0</v>
      </c>
      <c r="F2952" s="75" t="s">
        <v>950</v>
      </c>
      <c r="G2952" s="82">
        <v>46113.0</v>
      </c>
      <c r="H2952" s="76" t="s">
        <v>977</v>
      </c>
      <c r="I2952" s="83"/>
      <c r="J2952" s="83"/>
      <c r="K2952" s="83"/>
      <c r="L2952" s="83"/>
      <c r="M2952" s="83"/>
      <c r="N2952" s="83"/>
      <c r="O2952" s="83"/>
      <c r="P2952" s="83"/>
      <c r="Q2952" s="83"/>
      <c r="R2952" s="83"/>
      <c r="S2952" s="83"/>
      <c r="T2952" s="83"/>
      <c r="U2952" s="83"/>
      <c r="V2952" s="83"/>
      <c r="W2952" s="83"/>
      <c r="X2952" s="83"/>
      <c r="Y2952" s="83"/>
      <c r="Z2952" s="83"/>
    </row>
    <row r="2953">
      <c r="A2953" s="75" t="s">
        <v>54</v>
      </c>
      <c r="B2953" s="75" t="s">
        <v>1018</v>
      </c>
      <c r="C2953" s="75">
        <v>5.83</v>
      </c>
      <c r="D2953" s="75">
        <v>0.0</v>
      </c>
      <c r="E2953" s="75">
        <v>0.0</v>
      </c>
      <c r="F2953" s="75" t="s">
        <v>950</v>
      </c>
      <c r="G2953" s="82">
        <v>46113.0</v>
      </c>
      <c r="H2953" s="76" t="s">
        <v>978</v>
      </c>
      <c r="I2953" s="83"/>
      <c r="J2953" s="83"/>
      <c r="K2953" s="83"/>
      <c r="L2953" s="83"/>
      <c r="M2953" s="83"/>
      <c r="N2953" s="83"/>
      <c r="O2953" s="83"/>
      <c r="P2953" s="83"/>
      <c r="Q2953" s="83"/>
      <c r="R2953" s="83"/>
      <c r="S2953" s="83"/>
      <c r="T2953" s="83"/>
      <c r="U2953" s="83"/>
      <c r="V2953" s="83"/>
      <c r="W2953" s="83"/>
      <c r="X2953" s="83"/>
      <c r="Y2953" s="83"/>
      <c r="Z2953" s="83"/>
    </row>
    <row r="2954">
      <c r="A2954" s="75" t="s">
        <v>54</v>
      </c>
      <c r="B2954" s="75" t="s">
        <v>1018</v>
      </c>
      <c r="C2954" s="75">
        <v>2.79</v>
      </c>
      <c r="D2954" s="75">
        <v>0.0</v>
      </c>
      <c r="E2954" s="75">
        <v>0.0</v>
      </c>
      <c r="F2954" s="75" t="s">
        <v>950</v>
      </c>
      <c r="G2954" s="82">
        <v>46113.0</v>
      </c>
      <c r="H2954" s="76" t="s">
        <v>979</v>
      </c>
      <c r="I2954" s="83"/>
      <c r="J2954" s="83"/>
      <c r="K2954" s="83"/>
      <c r="L2954" s="83"/>
      <c r="M2954" s="83"/>
      <c r="N2954" s="83"/>
      <c r="O2954" s="83"/>
      <c r="P2954" s="83"/>
      <c r="Q2954" s="83"/>
      <c r="R2954" s="83"/>
      <c r="S2954" s="83"/>
      <c r="T2954" s="83"/>
      <c r="U2954" s="83"/>
      <c r="V2954" s="83"/>
      <c r="W2954" s="83"/>
      <c r="X2954" s="83"/>
      <c r="Y2954" s="83"/>
      <c r="Z2954" s="83"/>
    </row>
    <row r="2955">
      <c r="A2955" s="75" t="s">
        <v>55</v>
      </c>
      <c r="B2955" s="75" t="s">
        <v>1018</v>
      </c>
      <c r="C2955" s="75">
        <v>0.62</v>
      </c>
      <c r="D2955" s="75">
        <v>0.0</v>
      </c>
      <c r="E2955" s="75">
        <v>0.0</v>
      </c>
      <c r="F2955" s="75" t="s">
        <v>950</v>
      </c>
      <c r="G2955" s="82">
        <v>46113.0</v>
      </c>
      <c r="H2955" s="76" t="s">
        <v>980</v>
      </c>
      <c r="I2955" s="83"/>
      <c r="J2955" s="83"/>
      <c r="K2955" s="83"/>
      <c r="L2955" s="83"/>
      <c r="M2955" s="83"/>
      <c r="N2955" s="83"/>
      <c r="O2955" s="83"/>
      <c r="P2955" s="83"/>
      <c r="Q2955" s="83"/>
      <c r="R2955" s="83"/>
      <c r="S2955" s="83"/>
      <c r="T2955" s="83"/>
      <c r="U2955" s="83"/>
      <c r="V2955" s="83"/>
      <c r="W2955" s="83"/>
      <c r="X2955" s="83"/>
      <c r="Y2955" s="83"/>
      <c r="Z2955" s="83"/>
    </row>
    <row r="2956">
      <c r="A2956" s="75" t="s">
        <v>55</v>
      </c>
      <c r="B2956" s="75" t="s">
        <v>1018</v>
      </c>
      <c r="C2956" s="75">
        <v>7.21</v>
      </c>
      <c r="D2956" s="75">
        <v>0.0</v>
      </c>
      <c r="E2956" s="75">
        <v>0.0</v>
      </c>
      <c r="F2956" s="75" t="s">
        <v>950</v>
      </c>
      <c r="G2956" s="82">
        <v>46113.0</v>
      </c>
      <c r="H2956" s="76" t="s">
        <v>981</v>
      </c>
      <c r="I2956" s="83"/>
      <c r="J2956" s="83"/>
      <c r="K2956" s="83"/>
      <c r="L2956" s="83"/>
      <c r="M2956" s="83"/>
      <c r="N2956" s="83"/>
      <c r="O2956" s="83"/>
      <c r="P2956" s="83"/>
      <c r="Q2956" s="83"/>
      <c r="R2956" s="83"/>
      <c r="S2956" s="83"/>
      <c r="T2956" s="83"/>
      <c r="U2956" s="83"/>
      <c r="V2956" s="83"/>
      <c r="W2956" s="83"/>
      <c r="X2956" s="83"/>
      <c r="Y2956" s="83"/>
      <c r="Z2956" s="83"/>
    </row>
    <row r="2957">
      <c r="A2957" s="75" t="s">
        <v>53</v>
      </c>
      <c r="B2957" s="75" t="s">
        <v>1018</v>
      </c>
      <c r="C2957" s="75">
        <v>6.58</v>
      </c>
      <c r="D2957" s="75">
        <v>0.0</v>
      </c>
      <c r="E2957" s="75">
        <v>0.0</v>
      </c>
      <c r="F2957" s="75" t="s">
        <v>950</v>
      </c>
      <c r="G2957" s="82">
        <v>46113.0</v>
      </c>
      <c r="H2957" s="76" t="s">
        <v>982</v>
      </c>
      <c r="I2957" s="83"/>
      <c r="J2957" s="83"/>
      <c r="K2957" s="83"/>
      <c r="L2957" s="83"/>
      <c r="M2957" s="83"/>
      <c r="N2957" s="83"/>
      <c r="O2957" s="83"/>
      <c r="P2957" s="83"/>
      <c r="Q2957" s="83"/>
      <c r="R2957" s="83"/>
      <c r="S2957" s="83"/>
      <c r="T2957" s="83"/>
      <c r="U2957" s="83"/>
      <c r="V2957" s="83"/>
      <c r="W2957" s="83"/>
      <c r="X2957" s="83"/>
      <c r="Y2957" s="83"/>
      <c r="Z2957" s="83"/>
    </row>
    <row r="2958">
      <c r="A2958" s="75" t="s">
        <v>53</v>
      </c>
      <c r="B2958" s="75" t="s">
        <v>1018</v>
      </c>
      <c r="C2958" s="75">
        <v>1.59</v>
      </c>
      <c r="D2958" s="75">
        <v>0.0</v>
      </c>
      <c r="E2958" s="75">
        <v>0.0</v>
      </c>
      <c r="F2958" s="75" t="s">
        <v>950</v>
      </c>
      <c r="G2958" s="82">
        <v>46113.0</v>
      </c>
      <c r="H2958" s="76" t="s">
        <v>983</v>
      </c>
      <c r="I2958" s="83"/>
      <c r="J2958" s="83"/>
      <c r="K2958" s="83"/>
      <c r="L2958" s="83"/>
      <c r="M2958" s="83"/>
      <c r="N2958" s="83"/>
      <c r="O2958" s="83"/>
      <c r="P2958" s="83"/>
      <c r="Q2958" s="83"/>
      <c r="R2958" s="83"/>
      <c r="S2958" s="83"/>
      <c r="T2958" s="83"/>
      <c r="U2958" s="83"/>
      <c r="V2958" s="83"/>
      <c r="W2958" s="83"/>
      <c r="X2958" s="83"/>
      <c r="Y2958" s="83"/>
      <c r="Z2958" s="83"/>
    </row>
    <row r="2959">
      <c r="A2959" s="75" t="s">
        <v>53</v>
      </c>
      <c r="B2959" s="75" t="s">
        <v>1018</v>
      </c>
      <c r="C2959" s="75">
        <v>0.44</v>
      </c>
      <c r="D2959" s="75">
        <v>0.0</v>
      </c>
      <c r="E2959" s="75">
        <v>0.0</v>
      </c>
      <c r="F2959" s="75" t="s">
        <v>950</v>
      </c>
      <c r="G2959" s="82">
        <v>46113.0</v>
      </c>
      <c r="H2959" s="76" t="s">
        <v>984</v>
      </c>
      <c r="I2959" s="83"/>
      <c r="J2959" s="83"/>
      <c r="K2959" s="83"/>
      <c r="L2959" s="83"/>
      <c r="M2959" s="83"/>
      <c r="N2959" s="83"/>
      <c r="O2959" s="83"/>
      <c r="P2959" s="83"/>
      <c r="Q2959" s="83"/>
      <c r="R2959" s="83"/>
      <c r="S2959" s="83"/>
      <c r="T2959" s="83"/>
      <c r="U2959" s="83"/>
      <c r="V2959" s="83"/>
      <c r="W2959" s="83"/>
      <c r="X2959" s="83"/>
      <c r="Y2959" s="83"/>
      <c r="Z2959" s="83"/>
    </row>
    <row r="2960">
      <c r="A2960" s="75" t="s">
        <v>985</v>
      </c>
      <c r="B2960" s="75" t="s">
        <v>1018</v>
      </c>
      <c r="C2960" s="75">
        <v>0.25</v>
      </c>
      <c r="D2960" s="75">
        <v>0.0</v>
      </c>
      <c r="E2960" s="75">
        <v>0.0</v>
      </c>
      <c r="F2960" s="75" t="s">
        <v>950</v>
      </c>
      <c r="G2960" s="82">
        <v>46113.0</v>
      </c>
      <c r="H2960" s="76" t="s">
        <v>936</v>
      </c>
      <c r="I2960" s="83"/>
      <c r="J2960" s="83"/>
      <c r="K2960" s="83"/>
      <c r="L2960" s="83"/>
      <c r="M2960" s="83"/>
      <c r="N2960" s="83"/>
      <c r="O2960" s="83"/>
      <c r="P2960" s="83"/>
      <c r="Q2960" s="83"/>
      <c r="R2960" s="83"/>
      <c r="S2960" s="83"/>
      <c r="T2960" s="83"/>
      <c r="U2960" s="83"/>
      <c r="V2960" s="83"/>
      <c r="W2960" s="83"/>
      <c r="X2960" s="83"/>
      <c r="Y2960" s="83"/>
      <c r="Z2960" s="83"/>
    </row>
    <row r="2961">
      <c r="A2961" s="75" t="s">
        <v>985</v>
      </c>
      <c r="B2961" s="75" t="s">
        <v>1018</v>
      </c>
      <c r="C2961" s="75">
        <v>0.4</v>
      </c>
      <c r="D2961" s="75">
        <v>0.0</v>
      </c>
      <c r="E2961" s="75">
        <v>0.0</v>
      </c>
      <c r="F2961" s="75" t="s">
        <v>950</v>
      </c>
      <c r="G2961" s="82">
        <v>46113.0</v>
      </c>
      <c r="H2961" s="76" t="s">
        <v>937</v>
      </c>
      <c r="I2961" s="83"/>
      <c r="J2961" s="83"/>
      <c r="K2961" s="83"/>
      <c r="L2961" s="83"/>
      <c r="M2961" s="83"/>
      <c r="N2961" s="83"/>
      <c r="O2961" s="83"/>
      <c r="P2961" s="83"/>
      <c r="Q2961" s="83"/>
      <c r="R2961" s="83"/>
      <c r="S2961" s="83"/>
      <c r="T2961" s="83"/>
      <c r="U2961" s="83"/>
      <c r="V2961" s="83"/>
      <c r="W2961" s="83"/>
      <c r="X2961" s="83"/>
      <c r="Y2961" s="83"/>
      <c r="Z2961" s="83"/>
    </row>
    <row r="2962">
      <c r="A2962" s="75" t="s">
        <v>985</v>
      </c>
      <c r="B2962" s="75" t="s">
        <v>1018</v>
      </c>
      <c r="C2962" s="75">
        <v>0.41</v>
      </c>
      <c r="D2962" s="75">
        <v>0.0</v>
      </c>
      <c r="E2962" s="75">
        <v>0.0</v>
      </c>
      <c r="F2962" s="75" t="s">
        <v>950</v>
      </c>
      <c r="G2962" s="82">
        <v>46113.0</v>
      </c>
      <c r="H2962" s="76" t="s">
        <v>938</v>
      </c>
      <c r="I2962" s="83"/>
      <c r="J2962" s="83"/>
      <c r="K2962" s="83"/>
      <c r="L2962" s="83"/>
      <c r="M2962" s="83"/>
      <c r="N2962" s="83"/>
      <c r="O2962" s="83"/>
      <c r="P2962" s="83"/>
      <c r="Q2962" s="83"/>
      <c r="R2962" s="83"/>
      <c r="S2962" s="83"/>
      <c r="T2962" s="83"/>
      <c r="U2962" s="83"/>
      <c r="V2962" s="83"/>
      <c r="W2962" s="83"/>
      <c r="X2962" s="83"/>
      <c r="Y2962" s="83"/>
      <c r="Z2962" s="83"/>
    </row>
    <row r="2963">
      <c r="A2963" s="75" t="s">
        <v>51</v>
      </c>
      <c r="B2963" s="75" t="s">
        <v>1018</v>
      </c>
      <c r="C2963" s="75">
        <v>4.36</v>
      </c>
      <c r="D2963" s="75">
        <v>0.0</v>
      </c>
      <c r="E2963" s="75">
        <v>0.0</v>
      </c>
      <c r="F2963" s="75" t="s">
        <v>950</v>
      </c>
      <c r="G2963" s="82">
        <v>46113.0</v>
      </c>
      <c r="H2963" s="76" t="s">
        <v>986</v>
      </c>
      <c r="I2963" s="83"/>
      <c r="J2963" s="83"/>
      <c r="K2963" s="83"/>
      <c r="L2963" s="83"/>
      <c r="M2963" s="83"/>
      <c r="N2963" s="83"/>
      <c r="O2963" s="83"/>
      <c r="P2963" s="83"/>
      <c r="Q2963" s="83"/>
      <c r="R2963" s="83"/>
      <c r="S2963" s="83"/>
      <c r="T2963" s="83"/>
      <c r="U2963" s="83"/>
      <c r="V2963" s="83"/>
      <c r="W2963" s="83"/>
      <c r="X2963" s="83"/>
      <c r="Y2963" s="83"/>
      <c r="Z2963" s="83"/>
    </row>
    <row r="2964">
      <c r="A2964" s="75" t="s">
        <v>51</v>
      </c>
      <c r="B2964" s="75" t="s">
        <v>1018</v>
      </c>
      <c r="C2964" s="75">
        <v>0.75</v>
      </c>
      <c r="D2964" s="75">
        <v>0.0</v>
      </c>
      <c r="E2964" s="75">
        <v>0.0</v>
      </c>
      <c r="F2964" s="75" t="s">
        <v>950</v>
      </c>
      <c r="G2964" s="82">
        <v>46113.0</v>
      </c>
      <c r="H2964" s="76" t="s">
        <v>987</v>
      </c>
      <c r="I2964" s="83"/>
      <c r="J2964" s="83"/>
      <c r="K2964" s="83"/>
      <c r="L2964" s="83"/>
      <c r="M2964" s="83"/>
      <c r="N2964" s="83"/>
      <c r="O2964" s="83"/>
      <c r="P2964" s="83"/>
      <c r="Q2964" s="83"/>
      <c r="R2964" s="83"/>
      <c r="S2964" s="83"/>
      <c r="T2964" s="83"/>
      <c r="U2964" s="83"/>
      <c r="V2964" s="83"/>
      <c r="W2964" s="83"/>
      <c r="X2964" s="83"/>
      <c r="Y2964" s="83"/>
      <c r="Z2964" s="83"/>
    </row>
    <row r="2965">
      <c r="A2965" s="75" t="s">
        <v>54</v>
      </c>
      <c r="B2965" s="75" t="s">
        <v>1018</v>
      </c>
      <c r="C2965" s="75">
        <v>9.29</v>
      </c>
      <c r="D2965" s="75">
        <v>0.0</v>
      </c>
      <c r="E2965" s="75">
        <v>0.0</v>
      </c>
      <c r="F2965" s="75" t="s">
        <v>974</v>
      </c>
      <c r="G2965" s="82">
        <v>46113.0</v>
      </c>
      <c r="H2965" s="76" t="s">
        <v>977</v>
      </c>
      <c r="I2965" s="83"/>
      <c r="J2965" s="83"/>
      <c r="K2965" s="83"/>
      <c r="L2965" s="83"/>
      <c r="M2965" s="83"/>
      <c r="N2965" s="83"/>
      <c r="O2965" s="83"/>
      <c r="P2965" s="83"/>
      <c r="Q2965" s="83"/>
      <c r="R2965" s="83"/>
      <c r="S2965" s="83"/>
      <c r="T2965" s="83"/>
      <c r="U2965" s="83"/>
      <c r="V2965" s="83"/>
      <c r="W2965" s="83"/>
      <c r="X2965" s="83"/>
      <c r="Y2965" s="83"/>
      <c r="Z2965" s="83"/>
    </row>
    <row r="2966">
      <c r="A2966" s="75" t="s">
        <v>54</v>
      </c>
      <c r="B2966" s="75" t="s">
        <v>1018</v>
      </c>
      <c r="C2966" s="75">
        <v>12.98</v>
      </c>
      <c r="D2966" s="75">
        <v>0.0</v>
      </c>
      <c r="E2966" s="75">
        <v>0.0</v>
      </c>
      <c r="F2966" s="75" t="s">
        <v>974</v>
      </c>
      <c r="G2966" s="82">
        <v>46113.0</v>
      </c>
      <c r="H2966" s="76" t="s">
        <v>978</v>
      </c>
      <c r="I2966" s="83"/>
      <c r="J2966" s="83"/>
      <c r="K2966" s="83"/>
      <c r="L2966" s="83"/>
      <c r="M2966" s="83"/>
      <c r="N2966" s="83"/>
      <c r="O2966" s="83"/>
      <c r="P2966" s="83"/>
      <c r="Q2966" s="83"/>
      <c r="R2966" s="83"/>
      <c r="S2966" s="83"/>
      <c r="T2966" s="83"/>
      <c r="U2966" s="83"/>
      <c r="V2966" s="83"/>
      <c r="W2966" s="83"/>
      <c r="X2966" s="83"/>
      <c r="Y2966" s="83"/>
      <c r="Z2966" s="83"/>
    </row>
    <row r="2967">
      <c r="A2967" s="75" t="s">
        <v>54</v>
      </c>
      <c r="B2967" s="75" t="s">
        <v>1018</v>
      </c>
      <c r="C2967" s="75">
        <v>8.82</v>
      </c>
      <c r="D2967" s="75">
        <v>0.0</v>
      </c>
      <c r="E2967" s="75">
        <v>0.0</v>
      </c>
      <c r="F2967" s="75" t="s">
        <v>974</v>
      </c>
      <c r="G2967" s="82">
        <v>46113.0</v>
      </c>
      <c r="H2967" s="76" t="s">
        <v>979</v>
      </c>
      <c r="I2967" s="83"/>
      <c r="J2967" s="83"/>
      <c r="K2967" s="83"/>
      <c r="L2967" s="83"/>
      <c r="M2967" s="83"/>
      <c r="N2967" s="83"/>
      <c r="O2967" s="83"/>
      <c r="P2967" s="83"/>
      <c r="Q2967" s="83"/>
      <c r="R2967" s="83"/>
      <c r="S2967" s="83"/>
      <c r="T2967" s="83"/>
      <c r="U2967" s="83"/>
      <c r="V2967" s="83"/>
      <c r="W2967" s="83"/>
      <c r="X2967" s="83"/>
      <c r="Y2967" s="83"/>
      <c r="Z2967" s="83"/>
    </row>
    <row r="2968">
      <c r="A2968" s="75" t="s">
        <v>55</v>
      </c>
      <c r="B2968" s="75" t="s">
        <v>1018</v>
      </c>
      <c r="C2968" s="75">
        <v>0.88</v>
      </c>
      <c r="D2968" s="75">
        <v>0.0</v>
      </c>
      <c r="E2968" s="75">
        <v>0.0</v>
      </c>
      <c r="F2968" s="75" t="s">
        <v>974</v>
      </c>
      <c r="G2968" s="82">
        <v>46113.0</v>
      </c>
      <c r="H2968" s="76" t="s">
        <v>980</v>
      </c>
      <c r="I2968" s="83"/>
      <c r="J2968" s="83"/>
      <c r="K2968" s="83"/>
      <c r="L2968" s="83"/>
      <c r="M2968" s="83"/>
      <c r="N2968" s="83"/>
      <c r="O2968" s="83"/>
      <c r="P2968" s="83"/>
      <c r="Q2968" s="83"/>
      <c r="R2968" s="83"/>
      <c r="S2968" s="83"/>
      <c r="T2968" s="83"/>
      <c r="U2968" s="83"/>
      <c r="V2968" s="83"/>
      <c r="W2968" s="83"/>
      <c r="X2968" s="83"/>
      <c r="Y2968" s="83"/>
      <c r="Z2968" s="83"/>
    </row>
    <row r="2969">
      <c r="A2969" s="75" t="s">
        <v>55</v>
      </c>
      <c r="B2969" s="75" t="s">
        <v>1018</v>
      </c>
      <c r="C2969" s="75">
        <v>8.04</v>
      </c>
      <c r="D2969" s="75">
        <v>1.0</v>
      </c>
      <c r="E2969" s="75">
        <v>8.04</v>
      </c>
      <c r="F2969" s="75" t="s">
        <v>974</v>
      </c>
      <c r="G2969" s="82">
        <v>46113.0</v>
      </c>
      <c r="H2969" s="76" t="s">
        <v>981</v>
      </c>
      <c r="I2969" s="83"/>
      <c r="J2969" s="83"/>
      <c r="K2969" s="83"/>
      <c r="L2969" s="83"/>
      <c r="M2969" s="83"/>
      <c r="N2969" s="83"/>
      <c r="O2969" s="83"/>
      <c r="P2969" s="83"/>
      <c r="Q2969" s="83"/>
      <c r="R2969" s="83"/>
      <c r="S2969" s="83"/>
      <c r="T2969" s="83"/>
      <c r="U2969" s="83"/>
      <c r="V2969" s="83"/>
      <c r="W2969" s="83"/>
      <c r="X2969" s="83"/>
      <c r="Y2969" s="83"/>
      <c r="Z2969" s="83"/>
    </row>
    <row r="2970">
      <c r="A2970" s="75" t="s">
        <v>53</v>
      </c>
      <c r="B2970" s="75" t="s">
        <v>1018</v>
      </c>
      <c r="C2970" s="75">
        <v>12.85</v>
      </c>
      <c r="D2970" s="75">
        <v>0.0</v>
      </c>
      <c r="E2970" s="75">
        <v>0.0</v>
      </c>
      <c r="F2970" s="75" t="s">
        <v>974</v>
      </c>
      <c r="G2970" s="82">
        <v>46113.0</v>
      </c>
      <c r="H2970" s="76" t="s">
        <v>982</v>
      </c>
      <c r="I2970" s="83"/>
      <c r="J2970" s="83"/>
      <c r="K2970" s="83"/>
      <c r="L2970" s="83"/>
      <c r="M2970" s="83"/>
      <c r="N2970" s="83"/>
      <c r="O2970" s="83"/>
      <c r="P2970" s="83"/>
      <c r="Q2970" s="83"/>
      <c r="R2970" s="83"/>
      <c r="S2970" s="83"/>
      <c r="T2970" s="83"/>
      <c r="U2970" s="83"/>
      <c r="V2970" s="83"/>
      <c r="W2970" s="83"/>
      <c r="X2970" s="83"/>
      <c r="Y2970" s="83"/>
      <c r="Z2970" s="83"/>
    </row>
    <row r="2971">
      <c r="A2971" s="75" t="s">
        <v>53</v>
      </c>
      <c r="B2971" s="75" t="s">
        <v>1018</v>
      </c>
      <c r="C2971" s="75">
        <v>3.71</v>
      </c>
      <c r="D2971" s="75">
        <v>0.0</v>
      </c>
      <c r="E2971" s="75">
        <v>0.0</v>
      </c>
      <c r="F2971" s="75" t="s">
        <v>974</v>
      </c>
      <c r="G2971" s="82">
        <v>46113.0</v>
      </c>
      <c r="H2971" s="76" t="s">
        <v>983</v>
      </c>
      <c r="I2971" s="83"/>
      <c r="J2971" s="83"/>
      <c r="K2971" s="83"/>
      <c r="L2971" s="83"/>
      <c r="M2971" s="83"/>
      <c r="N2971" s="83"/>
      <c r="O2971" s="83"/>
      <c r="P2971" s="83"/>
      <c r="Q2971" s="83"/>
      <c r="R2971" s="83"/>
      <c r="S2971" s="83"/>
      <c r="T2971" s="83"/>
      <c r="U2971" s="83"/>
      <c r="V2971" s="83"/>
      <c r="W2971" s="83"/>
      <c r="X2971" s="83"/>
      <c r="Y2971" s="83"/>
      <c r="Z2971" s="83"/>
    </row>
    <row r="2972">
      <c r="A2972" s="75" t="s">
        <v>53</v>
      </c>
      <c r="B2972" s="75" t="s">
        <v>1018</v>
      </c>
      <c r="C2972" s="75">
        <v>0.4</v>
      </c>
      <c r="D2972" s="75">
        <v>0.0</v>
      </c>
      <c r="E2972" s="75">
        <v>0.0</v>
      </c>
      <c r="F2972" s="75" t="s">
        <v>974</v>
      </c>
      <c r="G2972" s="82">
        <v>46113.0</v>
      </c>
      <c r="H2972" s="76" t="s">
        <v>984</v>
      </c>
      <c r="I2972" s="83"/>
      <c r="J2972" s="83"/>
      <c r="K2972" s="83"/>
      <c r="L2972" s="83"/>
      <c r="M2972" s="83"/>
      <c r="N2972" s="83"/>
      <c r="O2972" s="83"/>
      <c r="P2972" s="83"/>
      <c r="Q2972" s="83"/>
      <c r="R2972" s="83"/>
      <c r="S2972" s="83"/>
      <c r="T2972" s="83"/>
      <c r="U2972" s="83"/>
      <c r="V2972" s="83"/>
      <c r="W2972" s="83"/>
      <c r="X2972" s="83"/>
      <c r="Y2972" s="83"/>
      <c r="Z2972" s="83"/>
    </row>
    <row r="2973">
      <c r="A2973" s="75" t="s">
        <v>985</v>
      </c>
      <c r="B2973" s="75" t="s">
        <v>1018</v>
      </c>
      <c r="C2973" s="75">
        <v>0.85</v>
      </c>
      <c r="D2973" s="75">
        <v>0.0</v>
      </c>
      <c r="E2973" s="75">
        <v>0.0</v>
      </c>
      <c r="F2973" s="75" t="s">
        <v>974</v>
      </c>
      <c r="G2973" s="82">
        <v>46113.0</v>
      </c>
      <c r="H2973" s="76" t="s">
        <v>936</v>
      </c>
      <c r="I2973" s="83"/>
      <c r="J2973" s="83"/>
      <c r="K2973" s="83"/>
      <c r="L2973" s="83"/>
      <c r="M2973" s="83"/>
      <c r="N2973" s="83"/>
      <c r="O2973" s="83"/>
      <c r="P2973" s="83"/>
      <c r="Q2973" s="83"/>
      <c r="R2973" s="83"/>
      <c r="S2973" s="83"/>
      <c r="T2973" s="83"/>
      <c r="U2973" s="83"/>
      <c r="V2973" s="83"/>
      <c r="W2973" s="83"/>
      <c r="X2973" s="83"/>
      <c r="Y2973" s="83"/>
      <c r="Z2973" s="83"/>
    </row>
    <row r="2974">
      <c r="A2974" s="75" t="s">
        <v>985</v>
      </c>
      <c r="B2974" s="75" t="s">
        <v>1018</v>
      </c>
      <c r="C2974" s="75">
        <v>0.45</v>
      </c>
      <c r="D2974" s="75">
        <v>0.0</v>
      </c>
      <c r="E2974" s="75">
        <v>0.0</v>
      </c>
      <c r="F2974" s="75" t="s">
        <v>974</v>
      </c>
      <c r="G2974" s="82">
        <v>46113.0</v>
      </c>
      <c r="H2974" s="76" t="s">
        <v>937</v>
      </c>
      <c r="I2974" s="83"/>
      <c r="J2974" s="83"/>
      <c r="K2974" s="83"/>
      <c r="L2974" s="83"/>
      <c r="M2974" s="83"/>
      <c r="N2974" s="83"/>
      <c r="O2974" s="83"/>
      <c r="P2974" s="83"/>
      <c r="Q2974" s="83"/>
      <c r="R2974" s="83"/>
      <c r="S2974" s="83"/>
      <c r="T2974" s="83"/>
      <c r="U2974" s="83"/>
      <c r="V2974" s="83"/>
      <c r="W2974" s="83"/>
      <c r="X2974" s="83"/>
      <c r="Y2974" s="83"/>
      <c r="Z2974" s="83"/>
    </row>
    <row r="2975">
      <c r="A2975" s="75" t="s">
        <v>985</v>
      </c>
      <c r="B2975" s="75" t="s">
        <v>1018</v>
      </c>
      <c r="C2975" s="75">
        <v>1.06</v>
      </c>
      <c r="D2975" s="75">
        <v>0.0</v>
      </c>
      <c r="E2975" s="75">
        <v>0.0</v>
      </c>
      <c r="F2975" s="75" t="s">
        <v>974</v>
      </c>
      <c r="G2975" s="82">
        <v>46113.0</v>
      </c>
      <c r="H2975" s="76" t="s">
        <v>938</v>
      </c>
      <c r="I2975" s="83"/>
      <c r="J2975" s="83"/>
      <c r="K2975" s="83"/>
      <c r="L2975" s="83"/>
      <c r="M2975" s="83"/>
      <c r="N2975" s="83"/>
      <c r="O2975" s="83"/>
      <c r="P2975" s="83"/>
      <c r="Q2975" s="83"/>
      <c r="R2975" s="83"/>
      <c r="S2975" s="83"/>
      <c r="T2975" s="83"/>
      <c r="U2975" s="83"/>
      <c r="V2975" s="83"/>
      <c r="W2975" s="83"/>
      <c r="X2975" s="83"/>
      <c r="Y2975" s="83"/>
      <c r="Z2975" s="83"/>
    </row>
    <row r="2976">
      <c r="A2976" s="75" t="s">
        <v>51</v>
      </c>
      <c r="B2976" s="75" t="s">
        <v>1018</v>
      </c>
      <c r="C2976" s="75">
        <v>4.14</v>
      </c>
      <c r="D2976" s="75">
        <v>0.0</v>
      </c>
      <c r="E2976" s="75">
        <v>0.0</v>
      </c>
      <c r="F2976" s="75" t="s">
        <v>974</v>
      </c>
      <c r="G2976" s="82">
        <v>46113.0</v>
      </c>
      <c r="H2976" s="76" t="s">
        <v>986</v>
      </c>
      <c r="I2976" s="83"/>
      <c r="J2976" s="83"/>
      <c r="K2976" s="83"/>
      <c r="L2976" s="83"/>
      <c r="M2976" s="83"/>
      <c r="N2976" s="83"/>
      <c r="O2976" s="83"/>
      <c r="P2976" s="83"/>
      <c r="Q2976" s="83"/>
      <c r="R2976" s="83"/>
      <c r="S2976" s="83"/>
      <c r="T2976" s="83"/>
      <c r="U2976" s="83"/>
      <c r="V2976" s="83"/>
      <c r="W2976" s="83"/>
      <c r="X2976" s="83"/>
      <c r="Y2976" s="83"/>
      <c r="Z2976" s="83"/>
    </row>
    <row r="2977">
      <c r="A2977" s="75" t="s">
        <v>51</v>
      </c>
      <c r="B2977" s="75" t="s">
        <v>1018</v>
      </c>
      <c r="C2977" s="75">
        <v>0.61</v>
      </c>
      <c r="D2977" s="75">
        <v>0.0</v>
      </c>
      <c r="E2977" s="75">
        <v>0.0</v>
      </c>
      <c r="F2977" s="75" t="s">
        <v>974</v>
      </c>
      <c r="G2977" s="82">
        <v>46113.0</v>
      </c>
      <c r="H2977" s="76" t="s">
        <v>987</v>
      </c>
      <c r="I2977" s="83"/>
      <c r="J2977" s="83"/>
      <c r="K2977" s="83"/>
      <c r="L2977" s="83"/>
      <c r="M2977" s="83"/>
      <c r="N2977" s="83"/>
      <c r="O2977" s="83"/>
      <c r="P2977" s="83"/>
      <c r="Q2977" s="83"/>
      <c r="R2977" s="83"/>
      <c r="S2977" s="83"/>
      <c r="T2977" s="83"/>
      <c r="U2977" s="83"/>
      <c r="V2977" s="83"/>
      <c r="W2977" s="83"/>
      <c r="X2977" s="83"/>
      <c r="Y2977" s="83"/>
      <c r="Z2977" s="83"/>
    </row>
    <row r="2978">
      <c r="A2978" s="75" t="s">
        <v>54</v>
      </c>
      <c r="B2978" s="75" t="s">
        <v>1018</v>
      </c>
      <c r="C2978" s="75">
        <v>12.92</v>
      </c>
      <c r="D2978" s="75">
        <v>1.0</v>
      </c>
      <c r="E2978" s="75">
        <v>12.92</v>
      </c>
      <c r="F2978" s="75" t="s">
        <v>975</v>
      </c>
      <c r="G2978" s="82">
        <v>46113.0</v>
      </c>
      <c r="H2978" s="76" t="s">
        <v>977</v>
      </c>
      <c r="I2978" s="83"/>
      <c r="J2978" s="83"/>
      <c r="K2978" s="83"/>
      <c r="L2978" s="83"/>
      <c r="M2978" s="83"/>
      <c r="N2978" s="83"/>
      <c r="O2978" s="83"/>
      <c r="P2978" s="83"/>
      <c r="Q2978" s="83"/>
      <c r="R2978" s="83"/>
      <c r="S2978" s="83"/>
      <c r="T2978" s="83"/>
      <c r="U2978" s="83"/>
      <c r="V2978" s="83"/>
      <c r="W2978" s="83"/>
      <c r="X2978" s="83"/>
      <c r="Y2978" s="83"/>
      <c r="Z2978" s="83"/>
    </row>
    <row r="2979">
      <c r="A2979" s="75" t="s">
        <v>54</v>
      </c>
      <c r="B2979" s="75" t="s">
        <v>1018</v>
      </c>
      <c r="C2979" s="75">
        <v>12.99</v>
      </c>
      <c r="D2979" s="75">
        <v>1.0</v>
      </c>
      <c r="E2979" s="75">
        <v>12.99</v>
      </c>
      <c r="F2979" s="75" t="s">
        <v>975</v>
      </c>
      <c r="G2979" s="82">
        <v>46113.0</v>
      </c>
      <c r="H2979" s="76" t="s">
        <v>978</v>
      </c>
      <c r="I2979" s="83"/>
      <c r="J2979" s="83"/>
      <c r="K2979" s="83"/>
      <c r="L2979" s="83"/>
      <c r="M2979" s="83"/>
      <c r="N2979" s="83"/>
      <c r="O2979" s="83"/>
      <c r="P2979" s="83"/>
      <c r="Q2979" s="83"/>
      <c r="R2979" s="83"/>
      <c r="S2979" s="83"/>
      <c r="T2979" s="83"/>
      <c r="U2979" s="83"/>
      <c r="V2979" s="83"/>
      <c r="W2979" s="83"/>
      <c r="X2979" s="83"/>
      <c r="Y2979" s="83"/>
      <c r="Z2979" s="83"/>
    </row>
    <row r="2980">
      <c r="A2980" s="75" t="s">
        <v>54</v>
      </c>
      <c r="B2980" s="75" t="s">
        <v>1018</v>
      </c>
      <c r="C2980" s="75">
        <v>5.29</v>
      </c>
      <c r="D2980" s="75">
        <v>0.0</v>
      </c>
      <c r="E2980" s="75">
        <v>0.0</v>
      </c>
      <c r="F2980" s="75" t="s">
        <v>975</v>
      </c>
      <c r="G2980" s="82">
        <v>46113.0</v>
      </c>
      <c r="H2980" s="76" t="s">
        <v>979</v>
      </c>
      <c r="I2980" s="83"/>
      <c r="J2980" s="83"/>
      <c r="K2980" s="83"/>
      <c r="L2980" s="83"/>
      <c r="M2980" s="83"/>
      <c r="N2980" s="83"/>
      <c r="O2980" s="83"/>
      <c r="P2980" s="83"/>
      <c r="Q2980" s="83"/>
      <c r="R2980" s="83"/>
      <c r="S2980" s="83"/>
      <c r="T2980" s="83"/>
      <c r="U2980" s="83"/>
      <c r="V2980" s="83"/>
      <c r="W2980" s="83"/>
      <c r="X2980" s="83"/>
      <c r="Y2980" s="83"/>
      <c r="Z2980" s="83"/>
    </row>
    <row r="2981">
      <c r="A2981" s="75" t="s">
        <v>55</v>
      </c>
      <c r="B2981" s="75" t="s">
        <v>1018</v>
      </c>
      <c r="C2981" s="75">
        <v>0.72</v>
      </c>
      <c r="D2981" s="75">
        <v>0.0</v>
      </c>
      <c r="E2981" s="75">
        <v>0.0</v>
      </c>
      <c r="F2981" s="75" t="s">
        <v>975</v>
      </c>
      <c r="G2981" s="82">
        <v>46113.0</v>
      </c>
      <c r="H2981" s="76" t="s">
        <v>980</v>
      </c>
      <c r="I2981" s="83"/>
      <c r="J2981" s="83"/>
      <c r="K2981" s="83"/>
      <c r="L2981" s="83"/>
      <c r="M2981" s="83"/>
      <c r="N2981" s="83"/>
      <c r="O2981" s="83"/>
      <c r="P2981" s="83"/>
      <c r="Q2981" s="83"/>
      <c r="R2981" s="83"/>
      <c r="S2981" s="83"/>
      <c r="T2981" s="83"/>
      <c r="U2981" s="83"/>
      <c r="V2981" s="83"/>
      <c r="W2981" s="83"/>
      <c r="X2981" s="83"/>
      <c r="Y2981" s="83"/>
      <c r="Z2981" s="83"/>
    </row>
    <row r="2982">
      <c r="A2982" s="75" t="s">
        <v>55</v>
      </c>
      <c r="B2982" s="75" t="s">
        <v>1018</v>
      </c>
      <c r="C2982" s="75">
        <v>6.48</v>
      </c>
      <c r="D2982" s="75">
        <v>0.0</v>
      </c>
      <c r="E2982" s="75">
        <v>0.0</v>
      </c>
      <c r="F2982" s="75" t="s">
        <v>975</v>
      </c>
      <c r="G2982" s="82">
        <v>46113.0</v>
      </c>
      <c r="H2982" s="76" t="s">
        <v>981</v>
      </c>
      <c r="I2982" s="83"/>
      <c r="J2982" s="83"/>
      <c r="K2982" s="83"/>
      <c r="L2982" s="83"/>
      <c r="M2982" s="83"/>
      <c r="N2982" s="83"/>
      <c r="O2982" s="83"/>
      <c r="P2982" s="83"/>
      <c r="Q2982" s="83"/>
      <c r="R2982" s="83"/>
      <c r="S2982" s="83"/>
      <c r="T2982" s="83"/>
      <c r="U2982" s="83"/>
      <c r="V2982" s="83"/>
      <c r="W2982" s="83"/>
      <c r="X2982" s="83"/>
      <c r="Y2982" s="83"/>
      <c r="Z2982" s="83"/>
    </row>
    <row r="2983">
      <c r="A2983" s="75" t="s">
        <v>53</v>
      </c>
      <c r="B2983" s="75" t="s">
        <v>1018</v>
      </c>
      <c r="C2983" s="75">
        <v>25.55</v>
      </c>
      <c r="D2983" s="75">
        <v>0.0</v>
      </c>
      <c r="E2983" s="75">
        <v>0.0</v>
      </c>
      <c r="F2983" s="75" t="s">
        <v>975</v>
      </c>
      <c r="G2983" s="82">
        <v>46113.0</v>
      </c>
      <c r="H2983" s="76" t="s">
        <v>982</v>
      </c>
      <c r="I2983" s="83"/>
      <c r="J2983" s="83"/>
      <c r="K2983" s="83"/>
      <c r="L2983" s="83"/>
      <c r="M2983" s="83"/>
      <c r="N2983" s="83"/>
      <c r="O2983" s="83"/>
      <c r="P2983" s="83"/>
      <c r="Q2983" s="83"/>
      <c r="R2983" s="83"/>
      <c r="S2983" s="83"/>
      <c r="T2983" s="83"/>
      <c r="U2983" s="83"/>
      <c r="V2983" s="83"/>
      <c r="W2983" s="83"/>
      <c r="X2983" s="83"/>
      <c r="Y2983" s="83"/>
      <c r="Z2983" s="83"/>
    </row>
    <row r="2984">
      <c r="A2984" s="75" t="s">
        <v>53</v>
      </c>
      <c r="B2984" s="75" t="s">
        <v>1018</v>
      </c>
      <c r="C2984" s="75">
        <v>4.03</v>
      </c>
      <c r="D2984" s="75">
        <v>0.0</v>
      </c>
      <c r="E2984" s="75">
        <v>0.0</v>
      </c>
      <c r="F2984" s="75" t="s">
        <v>975</v>
      </c>
      <c r="G2984" s="82">
        <v>46113.0</v>
      </c>
      <c r="H2984" s="76" t="s">
        <v>983</v>
      </c>
      <c r="I2984" s="83"/>
      <c r="J2984" s="83"/>
      <c r="K2984" s="83"/>
      <c r="L2984" s="83"/>
      <c r="M2984" s="83"/>
      <c r="N2984" s="83"/>
      <c r="O2984" s="83"/>
      <c r="P2984" s="83"/>
      <c r="Q2984" s="83"/>
      <c r="R2984" s="83"/>
      <c r="S2984" s="83"/>
      <c r="T2984" s="83"/>
      <c r="U2984" s="83"/>
      <c r="V2984" s="83"/>
      <c r="W2984" s="83"/>
      <c r="X2984" s="83"/>
      <c r="Y2984" s="83"/>
      <c r="Z2984" s="83"/>
    </row>
    <row r="2985">
      <c r="A2985" s="75" t="s">
        <v>53</v>
      </c>
      <c r="B2985" s="75" t="s">
        <v>1018</v>
      </c>
      <c r="C2985" s="75">
        <v>0.28</v>
      </c>
      <c r="D2985" s="75">
        <v>0.0</v>
      </c>
      <c r="E2985" s="75">
        <v>0.0</v>
      </c>
      <c r="F2985" s="75" t="s">
        <v>975</v>
      </c>
      <c r="G2985" s="82">
        <v>46113.0</v>
      </c>
      <c r="H2985" s="76" t="s">
        <v>984</v>
      </c>
      <c r="I2985" s="83"/>
      <c r="J2985" s="83"/>
      <c r="K2985" s="83"/>
      <c r="L2985" s="83"/>
      <c r="M2985" s="83"/>
      <c r="N2985" s="83"/>
      <c r="O2985" s="83"/>
      <c r="P2985" s="83"/>
      <c r="Q2985" s="83"/>
      <c r="R2985" s="83"/>
      <c r="S2985" s="83"/>
      <c r="T2985" s="83"/>
      <c r="U2985" s="83"/>
      <c r="V2985" s="83"/>
      <c r="W2985" s="83"/>
      <c r="X2985" s="83"/>
      <c r="Y2985" s="83"/>
      <c r="Z2985" s="83"/>
    </row>
    <row r="2986">
      <c r="A2986" s="75" t="s">
        <v>985</v>
      </c>
      <c r="B2986" s="75" t="s">
        <v>1018</v>
      </c>
      <c r="C2986" s="75">
        <v>0.8</v>
      </c>
      <c r="D2986" s="75">
        <v>0.0</v>
      </c>
      <c r="E2986" s="75">
        <v>0.0</v>
      </c>
      <c r="F2986" s="75" t="s">
        <v>975</v>
      </c>
      <c r="G2986" s="82">
        <v>46113.0</v>
      </c>
      <c r="H2986" s="76" t="s">
        <v>936</v>
      </c>
      <c r="I2986" s="83"/>
      <c r="J2986" s="83"/>
      <c r="K2986" s="83"/>
      <c r="L2986" s="83"/>
      <c r="M2986" s="83"/>
      <c r="N2986" s="83"/>
      <c r="O2986" s="83"/>
      <c r="P2986" s="83"/>
      <c r="Q2986" s="83"/>
      <c r="R2986" s="83"/>
      <c r="S2986" s="83"/>
      <c r="T2986" s="83"/>
      <c r="U2986" s="83"/>
      <c r="V2986" s="83"/>
      <c r="W2986" s="83"/>
      <c r="X2986" s="83"/>
      <c r="Y2986" s="83"/>
      <c r="Z2986" s="83"/>
    </row>
    <row r="2987">
      <c r="A2987" s="75" t="s">
        <v>985</v>
      </c>
      <c r="B2987" s="75" t="s">
        <v>1018</v>
      </c>
      <c r="C2987" s="75">
        <v>0.64</v>
      </c>
      <c r="D2987" s="75">
        <v>0.0</v>
      </c>
      <c r="E2987" s="75">
        <v>0.0</v>
      </c>
      <c r="F2987" s="75" t="s">
        <v>975</v>
      </c>
      <c r="G2987" s="82">
        <v>46113.0</v>
      </c>
      <c r="H2987" s="76" t="s">
        <v>937</v>
      </c>
      <c r="I2987" s="83"/>
      <c r="J2987" s="83"/>
      <c r="K2987" s="83"/>
      <c r="L2987" s="83"/>
      <c r="M2987" s="83"/>
      <c r="N2987" s="83"/>
      <c r="O2987" s="83"/>
      <c r="P2987" s="83"/>
      <c r="Q2987" s="83"/>
      <c r="R2987" s="83"/>
      <c r="S2987" s="83"/>
      <c r="T2987" s="83"/>
      <c r="U2987" s="83"/>
      <c r="V2987" s="83"/>
      <c r="W2987" s="83"/>
      <c r="X2987" s="83"/>
      <c r="Y2987" s="83"/>
      <c r="Z2987" s="83"/>
    </row>
    <row r="2988">
      <c r="A2988" s="75" t="s">
        <v>985</v>
      </c>
      <c r="B2988" s="75" t="s">
        <v>1018</v>
      </c>
      <c r="C2988" s="75">
        <v>1.84</v>
      </c>
      <c r="D2988" s="75">
        <v>0.0</v>
      </c>
      <c r="E2988" s="75">
        <v>0.0</v>
      </c>
      <c r="F2988" s="75" t="s">
        <v>975</v>
      </c>
      <c r="G2988" s="82">
        <v>46113.0</v>
      </c>
      <c r="H2988" s="76" t="s">
        <v>938</v>
      </c>
      <c r="I2988" s="83"/>
      <c r="J2988" s="83"/>
      <c r="K2988" s="83"/>
      <c r="L2988" s="83"/>
      <c r="M2988" s="83"/>
      <c r="N2988" s="83"/>
      <c r="O2988" s="83"/>
      <c r="P2988" s="83"/>
      <c r="Q2988" s="83"/>
      <c r="R2988" s="83"/>
      <c r="S2988" s="83"/>
      <c r="T2988" s="83"/>
      <c r="U2988" s="83"/>
      <c r="V2988" s="83"/>
      <c r="W2988" s="83"/>
      <c r="X2988" s="83"/>
      <c r="Y2988" s="83"/>
      <c r="Z2988" s="83"/>
    </row>
    <row r="2989">
      <c r="A2989" s="75" t="s">
        <v>51</v>
      </c>
      <c r="B2989" s="75" t="s">
        <v>1018</v>
      </c>
      <c r="C2989" s="75">
        <v>8.47</v>
      </c>
      <c r="D2989" s="75">
        <v>0.0</v>
      </c>
      <c r="E2989" s="75">
        <v>0.0</v>
      </c>
      <c r="F2989" s="75" t="s">
        <v>975</v>
      </c>
      <c r="G2989" s="82">
        <v>46113.0</v>
      </c>
      <c r="H2989" s="76" t="s">
        <v>986</v>
      </c>
      <c r="I2989" s="83"/>
      <c r="J2989" s="83"/>
      <c r="K2989" s="83"/>
      <c r="L2989" s="83"/>
      <c r="M2989" s="83"/>
      <c r="N2989" s="83"/>
      <c r="O2989" s="83"/>
      <c r="P2989" s="83"/>
      <c r="Q2989" s="83"/>
      <c r="R2989" s="83"/>
      <c r="S2989" s="83"/>
      <c r="T2989" s="83"/>
      <c r="U2989" s="83"/>
      <c r="V2989" s="83"/>
      <c r="W2989" s="83"/>
      <c r="X2989" s="83"/>
      <c r="Y2989" s="83"/>
      <c r="Z2989" s="83"/>
    </row>
    <row r="2990">
      <c r="A2990" s="75" t="s">
        <v>51</v>
      </c>
      <c r="B2990" s="75" t="s">
        <v>1018</v>
      </c>
      <c r="C2990" s="75">
        <v>0.84</v>
      </c>
      <c r="D2990" s="75">
        <v>0.0</v>
      </c>
      <c r="E2990" s="75">
        <v>0.0</v>
      </c>
      <c r="F2990" s="75" t="s">
        <v>975</v>
      </c>
      <c r="G2990" s="82">
        <v>46113.0</v>
      </c>
      <c r="H2990" s="76" t="s">
        <v>987</v>
      </c>
      <c r="I2990" s="83"/>
      <c r="J2990" s="83"/>
      <c r="K2990" s="83"/>
      <c r="L2990" s="83"/>
      <c r="M2990" s="83"/>
      <c r="N2990" s="83"/>
      <c r="O2990" s="83"/>
      <c r="P2990" s="83"/>
      <c r="Q2990" s="83"/>
      <c r="R2990" s="83"/>
      <c r="S2990" s="83"/>
      <c r="T2990" s="83"/>
      <c r="U2990" s="83"/>
      <c r="V2990" s="83"/>
      <c r="W2990" s="83"/>
      <c r="X2990" s="83"/>
      <c r="Y2990" s="83"/>
      <c r="Z2990" s="83"/>
    </row>
    <row r="2991">
      <c r="A2991" s="75" t="s">
        <v>34</v>
      </c>
      <c r="B2991" s="75" t="s">
        <v>1020</v>
      </c>
      <c r="C2991" s="75">
        <v>5.14</v>
      </c>
      <c r="D2991" s="75">
        <v>0.0</v>
      </c>
      <c r="E2991" s="75">
        <v>0.0</v>
      </c>
      <c r="F2991" s="75" t="s">
        <v>950</v>
      </c>
      <c r="G2991" s="82">
        <v>46113.0</v>
      </c>
      <c r="H2991" s="76" t="s">
        <v>951</v>
      </c>
      <c r="I2991" s="83"/>
      <c r="J2991" s="83"/>
      <c r="K2991" s="83"/>
      <c r="L2991" s="83"/>
      <c r="M2991" s="83"/>
      <c r="N2991" s="83"/>
      <c r="O2991" s="83"/>
      <c r="P2991" s="83"/>
      <c r="Q2991" s="83"/>
      <c r="R2991" s="83"/>
      <c r="S2991" s="83"/>
      <c r="T2991" s="83"/>
      <c r="U2991" s="83"/>
      <c r="V2991" s="83"/>
      <c r="W2991" s="83"/>
      <c r="X2991" s="83"/>
      <c r="Y2991" s="83"/>
      <c r="Z2991" s="83"/>
    </row>
    <row r="2992">
      <c r="A2992" s="75" t="s">
        <v>34</v>
      </c>
      <c r="B2992" s="75" t="s">
        <v>1020</v>
      </c>
      <c r="C2992" s="75">
        <v>5.3</v>
      </c>
      <c r="D2992" s="75">
        <v>0.0</v>
      </c>
      <c r="E2992" s="75">
        <v>0.0</v>
      </c>
      <c r="F2992" s="75" t="s">
        <v>950</v>
      </c>
      <c r="G2992" s="82">
        <v>46113.0</v>
      </c>
      <c r="H2992" s="76" t="s">
        <v>952</v>
      </c>
      <c r="I2992" s="83"/>
      <c r="J2992" s="83"/>
      <c r="K2992" s="83"/>
      <c r="L2992" s="83"/>
      <c r="M2992" s="83"/>
      <c r="N2992" s="83"/>
      <c r="O2992" s="83"/>
      <c r="P2992" s="83"/>
      <c r="Q2992" s="83"/>
      <c r="R2992" s="83"/>
      <c r="S2992" s="83"/>
      <c r="T2992" s="83"/>
      <c r="U2992" s="83"/>
      <c r="V2992" s="83"/>
      <c r="W2992" s="83"/>
      <c r="X2992" s="83"/>
      <c r="Y2992" s="83"/>
      <c r="Z2992" s="83"/>
    </row>
    <row r="2993">
      <c r="A2993" s="75" t="s">
        <v>34</v>
      </c>
      <c r="B2993" s="75" t="s">
        <v>1020</v>
      </c>
      <c r="C2993" s="75">
        <v>9.88</v>
      </c>
      <c r="D2993" s="75">
        <v>0.0</v>
      </c>
      <c r="E2993" s="75">
        <v>0.0</v>
      </c>
      <c r="F2993" s="75" t="s">
        <v>950</v>
      </c>
      <c r="G2993" s="82">
        <v>46113.0</v>
      </c>
      <c r="H2993" s="76" t="s">
        <v>953</v>
      </c>
      <c r="I2993" s="83"/>
      <c r="J2993" s="83"/>
      <c r="K2993" s="83"/>
      <c r="L2993" s="83"/>
      <c r="M2993" s="83"/>
      <c r="N2993" s="83"/>
      <c r="O2993" s="83"/>
      <c r="P2993" s="83"/>
      <c r="Q2993" s="83"/>
      <c r="R2993" s="83"/>
      <c r="S2993" s="83"/>
      <c r="T2993" s="83"/>
      <c r="U2993" s="83"/>
      <c r="V2993" s="83"/>
      <c r="W2993" s="83"/>
      <c r="X2993" s="83"/>
      <c r="Y2993" s="83"/>
      <c r="Z2993" s="83"/>
    </row>
    <row r="2994">
      <c r="A2994" s="75" t="s">
        <v>40</v>
      </c>
      <c r="B2994" s="75" t="s">
        <v>1020</v>
      </c>
      <c r="C2994" s="75">
        <v>2.41</v>
      </c>
      <c r="D2994" s="75">
        <v>0.0</v>
      </c>
      <c r="E2994" s="75">
        <v>0.0</v>
      </c>
      <c r="F2994" s="75" t="s">
        <v>950</v>
      </c>
      <c r="G2994" s="82">
        <v>46113.0</v>
      </c>
      <c r="H2994" s="76" t="s">
        <v>954</v>
      </c>
      <c r="I2994" s="83"/>
      <c r="J2994" s="83"/>
      <c r="K2994" s="83"/>
      <c r="L2994" s="83"/>
      <c r="M2994" s="83"/>
      <c r="N2994" s="83"/>
      <c r="O2994" s="83"/>
      <c r="P2994" s="83"/>
      <c r="Q2994" s="83"/>
      <c r="R2994" s="83"/>
      <c r="S2994" s="83"/>
      <c r="T2994" s="83"/>
      <c r="U2994" s="83"/>
      <c r="V2994" s="83"/>
      <c r="W2994" s="83"/>
      <c r="X2994" s="83"/>
      <c r="Y2994" s="83"/>
      <c r="Z2994" s="83"/>
    </row>
    <row r="2995">
      <c r="A2995" s="75" t="s">
        <v>40</v>
      </c>
      <c r="B2995" s="75" t="s">
        <v>1020</v>
      </c>
      <c r="C2995" s="75">
        <v>1.1</v>
      </c>
      <c r="D2995" s="75">
        <v>0.0</v>
      </c>
      <c r="E2995" s="75">
        <v>0.0</v>
      </c>
      <c r="F2995" s="75" t="s">
        <v>950</v>
      </c>
      <c r="G2995" s="82">
        <v>46113.0</v>
      </c>
      <c r="H2995" s="76" t="s">
        <v>955</v>
      </c>
      <c r="I2995" s="83"/>
      <c r="J2995" s="83"/>
      <c r="K2995" s="83"/>
      <c r="L2995" s="83"/>
      <c r="M2995" s="83"/>
      <c r="N2995" s="83"/>
      <c r="O2995" s="83"/>
      <c r="P2995" s="83"/>
      <c r="Q2995" s="83"/>
      <c r="R2995" s="83"/>
      <c r="S2995" s="83"/>
      <c r="T2995" s="83"/>
      <c r="U2995" s="83"/>
      <c r="V2995" s="83"/>
      <c r="W2995" s="83"/>
      <c r="X2995" s="83"/>
      <c r="Y2995" s="83"/>
      <c r="Z2995" s="83"/>
    </row>
    <row r="2996">
      <c r="A2996" s="75" t="s">
        <v>40</v>
      </c>
      <c r="B2996" s="75" t="s">
        <v>1020</v>
      </c>
      <c r="C2996" s="75">
        <v>12.95</v>
      </c>
      <c r="D2996" s="75">
        <v>0.0</v>
      </c>
      <c r="E2996" s="75">
        <v>0.0</v>
      </c>
      <c r="F2996" s="75" t="s">
        <v>950</v>
      </c>
      <c r="G2996" s="82">
        <v>46113.0</v>
      </c>
      <c r="H2996" s="76" t="s">
        <v>956</v>
      </c>
      <c r="I2996" s="83"/>
      <c r="J2996" s="83"/>
      <c r="K2996" s="83"/>
      <c r="L2996" s="83"/>
      <c r="M2996" s="83"/>
      <c r="N2996" s="83"/>
      <c r="O2996" s="83"/>
      <c r="P2996" s="83"/>
      <c r="Q2996" s="83"/>
      <c r="R2996" s="83"/>
      <c r="S2996" s="83"/>
      <c r="T2996" s="83"/>
      <c r="U2996" s="83"/>
      <c r="V2996" s="83"/>
      <c r="W2996" s="83"/>
      <c r="X2996" s="83"/>
      <c r="Y2996" s="83"/>
      <c r="Z2996" s="83"/>
    </row>
    <row r="2997">
      <c r="A2997" s="75" t="s">
        <v>33</v>
      </c>
      <c r="B2997" s="75" t="s">
        <v>1020</v>
      </c>
      <c r="C2997" s="75">
        <v>11.71</v>
      </c>
      <c r="D2997" s="75">
        <v>0.0</v>
      </c>
      <c r="E2997" s="75">
        <v>0.0</v>
      </c>
      <c r="F2997" s="75" t="s">
        <v>950</v>
      </c>
      <c r="G2997" s="82">
        <v>46113.0</v>
      </c>
      <c r="H2997" s="76" t="s">
        <v>957</v>
      </c>
      <c r="I2997" s="83"/>
      <c r="J2997" s="83"/>
      <c r="K2997" s="83"/>
      <c r="L2997" s="83"/>
      <c r="M2997" s="83"/>
      <c r="N2997" s="83"/>
      <c r="O2997" s="83"/>
      <c r="P2997" s="83"/>
      <c r="Q2997" s="83"/>
      <c r="R2997" s="83"/>
      <c r="S2997" s="83"/>
      <c r="T2997" s="83"/>
      <c r="U2997" s="83"/>
      <c r="V2997" s="83"/>
      <c r="W2997" s="83"/>
      <c r="X2997" s="83"/>
      <c r="Y2997" s="83"/>
      <c r="Z2997" s="83"/>
    </row>
    <row r="2998">
      <c r="A2998" s="75" t="s">
        <v>33</v>
      </c>
      <c r="B2998" s="75" t="s">
        <v>1020</v>
      </c>
      <c r="C2998" s="75">
        <v>1.03</v>
      </c>
      <c r="D2998" s="75">
        <v>1.0</v>
      </c>
      <c r="E2998" s="75">
        <v>1.03</v>
      </c>
      <c r="F2998" s="75" t="s">
        <v>950</v>
      </c>
      <c r="G2998" s="82">
        <v>46113.0</v>
      </c>
      <c r="H2998" s="76" t="s">
        <v>958</v>
      </c>
      <c r="I2998" s="83"/>
      <c r="J2998" s="83"/>
      <c r="K2998" s="83"/>
      <c r="L2998" s="83"/>
      <c r="M2998" s="83"/>
      <c r="N2998" s="83"/>
      <c r="O2998" s="83"/>
      <c r="P2998" s="83"/>
      <c r="Q2998" s="83"/>
      <c r="R2998" s="83"/>
      <c r="S2998" s="83"/>
      <c r="T2998" s="83"/>
      <c r="U2998" s="83"/>
      <c r="V2998" s="83"/>
      <c r="W2998" s="83"/>
      <c r="X2998" s="83"/>
      <c r="Y2998" s="83"/>
      <c r="Z2998" s="83"/>
    </row>
    <row r="2999">
      <c r="A2999" s="75" t="s">
        <v>33</v>
      </c>
      <c r="B2999" s="75" t="s">
        <v>1020</v>
      </c>
      <c r="C2999" s="75">
        <v>4.27</v>
      </c>
      <c r="D2999" s="75">
        <v>0.0</v>
      </c>
      <c r="E2999" s="75">
        <v>0.0</v>
      </c>
      <c r="F2999" s="75" t="s">
        <v>950</v>
      </c>
      <c r="G2999" s="82">
        <v>46113.0</v>
      </c>
      <c r="H2999" s="76" t="s">
        <v>959</v>
      </c>
      <c r="I2999" s="83"/>
      <c r="J2999" s="83"/>
      <c r="K2999" s="83"/>
      <c r="L2999" s="83"/>
      <c r="M2999" s="83"/>
      <c r="N2999" s="83"/>
      <c r="O2999" s="83"/>
      <c r="P2999" s="83"/>
      <c r="Q2999" s="83"/>
      <c r="R2999" s="83"/>
      <c r="S2999" s="83"/>
      <c r="T2999" s="83"/>
      <c r="U2999" s="83"/>
      <c r="V2999" s="83"/>
      <c r="W2999" s="83"/>
      <c r="X2999" s="83"/>
      <c r="Y2999" s="83"/>
      <c r="Z2999" s="83"/>
    </row>
    <row r="3000">
      <c r="A3000" s="75" t="s">
        <v>46</v>
      </c>
      <c r="B3000" s="75" t="s">
        <v>1020</v>
      </c>
      <c r="C3000" s="75">
        <v>1.35</v>
      </c>
      <c r="D3000" s="75">
        <v>0.0</v>
      </c>
      <c r="E3000" s="75">
        <v>0.0</v>
      </c>
      <c r="F3000" s="75" t="s">
        <v>950</v>
      </c>
      <c r="G3000" s="82">
        <v>46113.0</v>
      </c>
      <c r="H3000" s="76" t="s">
        <v>960</v>
      </c>
      <c r="I3000" s="83"/>
      <c r="J3000" s="83"/>
      <c r="K3000" s="83"/>
      <c r="L3000" s="83"/>
      <c r="M3000" s="83"/>
      <c r="N3000" s="83"/>
      <c r="O3000" s="83"/>
      <c r="P3000" s="83"/>
      <c r="Q3000" s="83"/>
      <c r="R3000" s="83"/>
      <c r="S3000" s="83"/>
      <c r="T3000" s="83"/>
      <c r="U3000" s="83"/>
      <c r="V3000" s="83"/>
      <c r="W3000" s="83"/>
      <c r="X3000" s="83"/>
      <c r="Y3000" s="83"/>
      <c r="Z3000" s="83"/>
    </row>
    <row r="3001">
      <c r="A3001" s="75" t="s">
        <v>46</v>
      </c>
      <c r="B3001" s="75" t="s">
        <v>1020</v>
      </c>
      <c r="C3001" s="75">
        <v>1.66</v>
      </c>
      <c r="D3001" s="75">
        <v>0.0</v>
      </c>
      <c r="E3001" s="75">
        <v>0.0</v>
      </c>
      <c r="F3001" s="75" t="s">
        <v>950</v>
      </c>
      <c r="G3001" s="82">
        <v>46113.0</v>
      </c>
      <c r="H3001" s="76" t="s">
        <v>961</v>
      </c>
      <c r="I3001" s="83"/>
      <c r="J3001" s="83"/>
      <c r="K3001" s="83"/>
      <c r="L3001" s="83"/>
      <c r="M3001" s="83"/>
      <c r="N3001" s="83"/>
      <c r="O3001" s="83"/>
      <c r="P3001" s="83"/>
      <c r="Q3001" s="83"/>
      <c r="R3001" s="83"/>
      <c r="S3001" s="83"/>
      <c r="T3001" s="83"/>
      <c r="U3001" s="83"/>
      <c r="V3001" s="83"/>
      <c r="W3001" s="83"/>
      <c r="X3001" s="83"/>
      <c r="Y3001" s="83"/>
      <c r="Z3001" s="83"/>
    </row>
    <row r="3002">
      <c r="A3002" s="75" t="s">
        <v>46</v>
      </c>
      <c r="B3002" s="75" t="s">
        <v>1020</v>
      </c>
      <c r="C3002" s="75">
        <v>2.96</v>
      </c>
      <c r="D3002" s="75">
        <v>0.0</v>
      </c>
      <c r="E3002" s="75">
        <v>0.0</v>
      </c>
      <c r="F3002" s="75" t="s">
        <v>950</v>
      </c>
      <c r="G3002" s="82">
        <v>46113.0</v>
      </c>
      <c r="H3002" s="76" t="s">
        <v>962</v>
      </c>
      <c r="I3002" s="83"/>
      <c r="J3002" s="83"/>
      <c r="K3002" s="83"/>
      <c r="L3002" s="83"/>
      <c r="M3002" s="83"/>
      <c r="N3002" s="83"/>
      <c r="O3002" s="83"/>
      <c r="P3002" s="83"/>
      <c r="Q3002" s="83"/>
      <c r="R3002" s="83"/>
      <c r="S3002" s="83"/>
      <c r="T3002" s="83"/>
      <c r="U3002" s="83"/>
      <c r="V3002" s="83"/>
      <c r="W3002" s="83"/>
      <c r="X3002" s="83"/>
      <c r="Y3002" s="83"/>
      <c r="Z3002" s="83"/>
    </row>
    <row r="3003">
      <c r="A3003" s="75" t="s">
        <v>43</v>
      </c>
      <c r="B3003" s="75" t="s">
        <v>1020</v>
      </c>
      <c r="C3003" s="75">
        <v>3.86</v>
      </c>
      <c r="D3003" s="75">
        <v>0.0</v>
      </c>
      <c r="E3003" s="75">
        <v>0.0</v>
      </c>
      <c r="F3003" s="75" t="s">
        <v>950</v>
      </c>
      <c r="G3003" s="82">
        <v>46113.0</v>
      </c>
      <c r="H3003" s="76" t="s">
        <v>963</v>
      </c>
      <c r="I3003" s="83"/>
      <c r="J3003" s="83"/>
      <c r="K3003" s="83"/>
      <c r="L3003" s="83"/>
      <c r="M3003" s="83"/>
      <c r="N3003" s="83"/>
      <c r="O3003" s="83"/>
      <c r="P3003" s="83"/>
      <c r="Q3003" s="83"/>
      <c r="R3003" s="83"/>
      <c r="S3003" s="83"/>
      <c r="T3003" s="83"/>
      <c r="U3003" s="83"/>
      <c r="V3003" s="83"/>
      <c r="W3003" s="83"/>
      <c r="X3003" s="83"/>
      <c r="Y3003" s="83"/>
      <c r="Z3003" s="83"/>
    </row>
    <row r="3004">
      <c r="A3004" s="75" t="s">
        <v>43</v>
      </c>
      <c r="B3004" s="75" t="s">
        <v>1020</v>
      </c>
      <c r="C3004" s="75">
        <v>1.16</v>
      </c>
      <c r="D3004" s="75">
        <v>0.0</v>
      </c>
      <c r="E3004" s="75">
        <v>0.0</v>
      </c>
      <c r="F3004" s="75" t="s">
        <v>950</v>
      </c>
      <c r="G3004" s="82">
        <v>46113.0</v>
      </c>
      <c r="H3004" s="76" t="s">
        <v>964</v>
      </c>
      <c r="I3004" s="83"/>
      <c r="J3004" s="83"/>
      <c r="K3004" s="83"/>
      <c r="L3004" s="83"/>
      <c r="M3004" s="83"/>
      <c r="N3004" s="83"/>
      <c r="O3004" s="83"/>
      <c r="P3004" s="83"/>
      <c r="Q3004" s="83"/>
      <c r="R3004" s="83"/>
      <c r="S3004" s="83"/>
      <c r="T3004" s="83"/>
      <c r="U3004" s="83"/>
      <c r="V3004" s="83"/>
      <c r="W3004" s="83"/>
      <c r="X3004" s="83"/>
      <c r="Y3004" s="83"/>
      <c r="Z3004" s="83"/>
    </row>
    <row r="3005">
      <c r="A3005" s="75" t="s">
        <v>43</v>
      </c>
      <c r="B3005" s="75" t="s">
        <v>1020</v>
      </c>
      <c r="C3005" s="75">
        <v>9.47</v>
      </c>
      <c r="D3005" s="75">
        <v>0.0</v>
      </c>
      <c r="E3005" s="75">
        <v>0.0</v>
      </c>
      <c r="F3005" s="75" t="s">
        <v>950</v>
      </c>
      <c r="G3005" s="82">
        <v>46113.0</v>
      </c>
      <c r="H3005" s="76" t="s">
        <v>965</v>
      </c>
      <c r="I3005" s="83"/>
      <c r="J3005" s="83"/>
      <c r="K3005" s="83"/>
      <c r="L3005" s="83"/>
      <c r="M3005" s="83"/>
      <c r="N3005" s="83"/>
      <c r="O3005" s="83"/>
      <c r="P3005" s="83"/>
      <c r="Q3005" s="83"/>
      <c r="R3005" s="83"/>
      <c r="S3005" s="83"/>
      <c r="T3005" s="83"/>
      <c r="U3005" s="83"/>
      <c r="V3005" s="83"/>
      <c r="W3005" s="83"/>
      <c r="X3005" s="83"/>
      <c r="Y3005" s="83"/>
      <c r="Z3005" s="83"/>
    </row>
    <row r="3006">
      <c r="A3006" s="75" t="s">
        <v>966</v>
      </c>
      <c r="B3006" s="75" t="s">
        <v>1020</v>
      </c>
      <c r="C3006" s="75">
        <v>9.17</v>
      </c>
      <c r="D3006" s="75">
        <v>0.0</v>
      </c>
      <c r="E3006" s="75">
        <v>0.0</v>
      </c>
      <c r="F3006" s="75" t="s">
        <v>950</v>
      </c>
      <c r="G3006" s="82">
        <v>46113.0</v>
      </c>
      <c r="H3006" s="76" t="s">
        <v>967</v>
      </c>
      <c r="I3006" s="83"/>
      <c r="J3006" s="83"/>
      <c r="K3006" s="83"/>
      <c r="L3006" s="83"/>
      <c r="M3006" s="83"/>
      <c r="N3006" s="83"/>
      <c r="O3006" s="83"/>
      <c r="P3006" s="83"/>
      <c r="Q3006" s="83"/>
      <c r="R3006" s="83"/>
      <c r="S3006" s="83"/>
      <c r="T3006" s="83"/>
      <c r="U3006" s="83"/>
      <c r="V3006" s="83"/>
      <c r="W3006" s="83"/>
      <c r="X3006" s="83"/>
      <c r="Y3006" s="83"/>
      <c r="Z3006" s="83"/>
    </row>
    <row r="3007">
      <c r="A3007" s="75" t="s">
        <v>966</v>
      </c>
      <c r="B3007" s="75" t="s">
        <v>1020</v>
      </c>
      <c r="C3007" s="75">
        <v>2.23</v>
      </c>
      <c r="D3007" s="75">
        <v>0.0</v>
      </c>
      <c r="E3007" s="75">
        <v>0.0</v>
      </c>
      <c r="F3007" s="75" t="s">
        <v>950</v>
      </c>
      <c r="G3007" s="82">
        <v>46113.0</v>
      </c>
      <c r="H3007" s="76" t="s">
        <v>968</v>
      </c>
      <c r="I3007" s="83"/>
      <c r="J3007" s="83"/>
      <c r="K3007" s="83"/>
      <c r="L3007" s="83"/>
      <c r="M3007" s="83"/>
      <c r="N3007" s="83"/>
      <c r="O3007" s="83"/>
      <c r="P3007" s="83"/>
      <c r="Q3007" s="83"/>
      <c r="R3007" s="83"/>
      <c r="S3007" s="83"/>
      <c r="T3007" s="83"/>
      <c r="U3007" s="83"/>
      <c r="V3007" s="83"/>
      <c r="W3007" s="83"/>
      <c r="X3007" s="83"/>
      <c r="Y3007" s="83"/>
      <c r="Z3007" s="83"/>
    </row>
    <row r="3008">
      <c r="A3008" s="75" t="s">
        <v>966</v>
      </c>
      <c r="B3008" s="75" t="s">
        <v>1020</v>
      </c>
      <c r="C3008" s="75">
        <v>1.54</v>
      </c>
      <c r="D3008" s="75">
        <v>0.0</v>
      </c>
      <c r="E3008" s="75">
        <v>0.0</v>
      </c>
      <c r="F3008" s="75" t="s">
        <v>950</v>
      </c>
      <c r="G3008" s="82">
        <v>46113.0</v>
      </c>
      <c r="H3008" s="76" t="s">
        <v>969</v>
      </c>
      <c r="I3008" s="83"/>
      <c r="J3008" s="83"/>
      <c r="K3008" s="83"/>
      <c r="L3008" s="83"/>
      <c r="M3008" s="83"/>
      <c r="N3008" s="83"/>
      <c r="O3008" s="83"/>
      <c r="P3008" s="83"/>
      <c r="Q3008" s="83"/>
      <c r="R3008" s="83"/>
      <c r="S3008" s="83"/>
      <c r="T3008" s="83"/>
      <c r="U3008" s="83"/>
      <c r="V3008" s="83"/>
      <c r="W3008" s="83"/>
      <c r="X3008" s="83"/>
      <c r="Y3008" s="83"/>
      <c r="Z3008" s="83"/>
    </row>
    <row r="3009">
      <c r="A3009" s="75" t="s">
        <v>36</v>
      </c>
      <c r="B3009" s="75" t="s">
        <v>1020</v>
      </c>
      <c r="C3009" s="75">
        <v>4.94</v>
      </c>
      <c r="D3009" s="75">
        <v>0.0</v>
      </c>
      <c r="E3009" s="75">
        <v>0.0</v>
      </c>
      <c r="F3009" s="75" t="s">
        <v>950</v>
      </c>
      <c r="G3009" s="82">
        <v>46113.0</v>
      </c>
      <c r="H3009" s="76" t="s">
        <v>926</v>
      </c>
      <c r="I3009" s="83"/>
      <c r="J3009" s="83"/>
      <c r="K3009" s="83"/>
      <c r="L3009" s="83"/>
      <c r="M3009" s="83"/>
      <c r="N3009" s="83"/>
      <c r="O3009" s="83"/>
      <c r="P3009" s="83"/>
      <c r="Q3009" s="83"/>
      <c r="R3009" s="83"/>
      <c r="S3009" s="83"/>
      <c r="T3009" s="83"/>
      <c r="U3009" s="83"/>
      <c r="V3009" s="83"/>
      <c r="W3009" s="83"/>
      <c r="X3009" s="83"/>
      <c r="Y3009" s="83"/>
      <c r="Z3009" s="83"/>
    </row>
    <row r="3010">
      <c r="A3010" s="75" t="s">
        <v>36</v>
      </c>
      <c r="B3010" s="75" t="s">
        <v>1020</v>
      </c>
      <c r="C3010" s="75">
        <v>3.07</v>
      </c>
      <c r="D3010" s="75">
        <v>0.0</v>
      </c>
      <c r="E3010" s="75">
        <v>0.0</v>
      </c>
      <c r="F3010" s="75" t="s">
        <v>950</v>
      </c>
      <c r="G3010" s="82">
        <v>46113.0</v>
      </c>
      <c r="H3010" s="76" t="s">
        <v>927</v>
      </c>
      <c r="I3010" s="83"/>
      <c r="J3010" s="83"/>
      <c r="K3010" s="83"/>
      <c r="L3010" s="83"/>
      <c r="M3010" s="83"/>
      <c r="N3010" s="83"/>
      <c r="O3010" s="83"/>
      <c r="P3010" s="83"/>
      <c r="Q3010" s="83"/>
      <c r="R3010" s="83"/>
      <c r="S3010" s="83"/>
      <c r="T3010" s="83"/>
      <c r="U3010" s="83"/>
      <c r="V3010" s="83"/>
      <c r="W3010" s="83"/>
      <c r="X3010" s="83"/>
      <c r="Y3010" s="83"/>
      <c r="Z3010" s="83"/>
    </row>
    <row r="3011">
      <c r="A3011" s="75" t="s">
        <v>36</v>
      </c>
      <c r="B3011" s="75" t="s">
        <v>1020</v>
      </c>
      <c r="C3011" s="75">
        <v>3.21</v>
      </c>
      <c r="D3011" s="75">
        <v>0.0</v>
      </c>
      <c r="E3011" s="75">
        <v>0.0</v>
      </c>
      <c r="F3011" s="75" t="s">
        <v>950</v>
      </c>
      <c r="G3011" s="82">
        <v>46113.0</v>
      </c>
      <c r="H3011" s="76" t="s">
        <v>928</v>
      </c>
      <c r="I3011" s="83"/>
      <c r="J3011" s="83"/>
      <c r="K3011" s="83"/>
      <c r="L3011" s="83"/>
      <c r="M3011" s="83"/>
      <c r="N3011" s="83"/>
      <c r="O3011" s="83"/>
      <c r="P3011" s="83"/>
      <c r="Q3011" s="83"/>
      <c r="R3011" s="83"/>
      <c r="S3011" s="83"/>
      <c r="T3011" s="83"/>
      <c r="U3011" s="83"/>
      <c r="V3011" s="83"/>
      <c r="W3011" s="83"/>
      <c r="X3011" s="83"/>
      <c r="Y3011" s="83"/>
      <c r="Z3011" s="83"/>
    </row>
    <row r="3012">
      <c r="A3012" s="75" t="s">
        <v>970</v>
      </c>
      <c r="B3012" s="75" t="s">
        <v>1020</v>
      </c>
      <c r="C3012" s="75">
        <v>2.67</v>
      </c>
      <c r="D3012" s="75">
        <v>0.0</v>
      </c>
      <c r="E3012" s="75">
        <v>0.0</v>
      </c>
      <c r="F3012" s="75" t="s">
        <v>950</v>
      </c>
      <c r="G3012" s="82">
        <v>46113.0</v>
      </c>
      <c r="H3012" s="76" t="s">
        <v>971</v>
      </c>
      <c r="I3012" s="83"/>
      <c r="J3012" s="83"/>
      <c r="K3012" s="83"/>
      <c r="L3012" s="83"/>
      <c r="M3012" s="83"/>
      <c r="N3012" s="83"/>
      <c r="O3012" s="83"/>
      <c r="P3012" s="83"/>
      <c r="Q3012" s="83"/>
      <c r="R3012" s="83"/>
      <c r="S3012" s="83"/>
      <c r="T3012" s="83"/>
      <c r="U3012" s="83"/>
      <c r="V3012" s="83"/>
      <c r="W3012" s="83"/>
      <c r="X3012" s="83"/>
      <c r="Y3012" s="83"/>
      <c r="Z3012" s="83"/>
    </row>
    <row r="3013">
      <c r="A3013" s="75" t="s">
        <v>970</v>
      </c>
      <c r="B3013" s="75" t="s">
        <v>1020</v>
      </c>
      <c r="C3013" s="75">
        <v>1.11</v>
      </c>
      <c r="D3013" s="75">
        <v>0.0</v>
      </c>
      <c r="E3013" s="75">
        <v>0.0</v>
      </c>
      <c r="F3013" s="75" t="s">
        <v>950</v>
      </c>
      <c r="G3013" s="82">
        <v>46113.0</v>
      </c>
      <c r="H3013" s="76" t="s">
        <v>972</v>
      </c>
      <c r="I3013" s="83"/>
      <c r="J3013" s="83"/>
      <c r="K3013" s="83"/>
      <c r="L3013" s="83"/>
      <c r="M3013" s="83"/>
      <c r="N3013" s="83"/>
      <c r="O3013" s="83"/>
      <c r="P3013" s="83"/>
      <c r="Q3013" s="83"/>
      <c r="R3013" s="83"/>
      <c r="S3013" s="83"/>
      <c r="T3013" s="83"/>
      <c r="U3013" s="83"/>
      <c r="V3013" s="83"/>
      <c r="W3013" s="83"/>
      <c r="X3013" s="83"/>
      <c r="Y3013" s="83"/>
      <c r="Z3013" s="83"/>
    </row>
    <row r="3014">
      <c r="A3014" s="75" t="s">
        <v>970</v>
      </c>
      <c r="B3014" s="75" t="s">
        <v>1020</v>
      </c>
      <c r="C3014" s="75">
        <v>7.34</v>
      </c>
      <c r="D3014" s="75">
        <v>0.0</v>
      </c>
      <c r="E3014" s="75">
        <v>0.0</v>
      </c>
      <c r="F3014" s="75" t="s">
        <v>950</v>
      </c>
      <c r="G3014" s="82">
        <v>46113.0</v>
      </c>
      <c r="H3014" s="76" t="s">
        <v>973</v>
      </c>
      <c r="I3014" s="83"/>
      <c r="J3014" s="83"/>
      <c r="K3014" s="83"/>
      <c r="L3014" s="83"/>
      <c r="M3014" s="83"/>
      <c r="N3014" s="83"/>
      <c r="O3014" s="83"/>
      <c r="P3014" s="83"/>
      <c r="Q3014" s="83"/>
      <c r="R3014" s="83"/>
      <c r="S3014" s="83"/>
      <c r="T3014" s="83"/>
      <c r="U3014" s="83"/>
      <c r="V3014" s="83"/>
      <c r="W3014" s="83"/>
      <c r="X3014" s="83"/>
      <c r="Y3014" s="83"/>
      <c r="Z3014" s="83"/>
    </row>
    <row r="3015">
      <c r="A3015" s="75" t="s">
        <v>29</v>
      </c>
      <c r="B3015" s="75" t="s">
        <v>1020</v>
      </c>
      <c r="C3015" s="75">
        <v>2.74</v>
      </c>
      <c r="D3015" s="75">
        <v>0.0</v>
      </c>
      <c r="E3015" s="75">
        <v>0.0</v>
      </c>
      <c r="F3015" s="75" t="s">
        <v>950</v>
      </c>
      <c r="G3015" s="82">
        <v>46113.0</v>
      </c>
      <c r="H3015" s="76" t="s">
        <v>971</v>
      </c>
      <c r="I3015" s="83"/>
      <c r="J3015" s="83"/>
      <c r="K3015" s="83"/>
      <c r="L3015" s="83"/>
      <c r="M3015" s="83"/>
      <c r="N3015" s="83"/>
      <c r="O3015" s="83"/>
      <c r="P3015" s="83"/>
      <c r="Q3015" s="83"/>
      <c r="R3015" s="83"/>
      <c r="S3015" s="83"/>
      <c r="T3015" s="83"/>
      <c r="U3015" s="83"/>
      <c r="V3015" s="83"/>
      <c r="W3015" s="83"/>
      <c r="X3015" s="83"/>
      <c r="Y3015" s="83"/>
      <c r="Z3015" s="83"/>
    </row>
    <row r="3016">
      <c r="A3016" s="75" t="s">
        <v>29</v>
      </c>
      <c r="B3016" s="75" t="s">
        <v>1020</v>
      </c>
      <c r="C3016" s="75">
        <v>0.82</v>
      </c>
      <c r="D3016" s="75">
        <v>0.0</v>
      </c>
      <c r="E3016" s="75">
        <v>0.0</v>
      </c>
      <c r="F3016" s="75" t="s">
        <v>950</v>
      </c>
      <c r="G3016" s="82">
        <v>46113.0</v>
      </c>
      <c r="H3016" s="76" t="s">
        <v>972</v>
      </c>
      <c r="I3016" s="83"/>
      <c r="J3016" s="83"/>
      <c r="K3016" s="83"/>
      <c r="L3016" s="83"/>
      <c r="M3016" s="83"/>
      <c r="N3016" s="83"/>
      <c r="O3016" s="83"/>
      <c r="P3016" s="83"/>
      <c r="Q3016" s="83"/>
      <c r="R3016" s="83"/>
      <c r="S3016" s="83"/>
      <c r="T3016" s="83"/>
      <c r="U3016" s="83"/>
      <c r="V3016" s="83"/>
      <c r="W3016" s="83"/>
      <c r="X3016" s="83"/>
      <c r="Y3016" s="83"/>
      <c r="Z3016" s="83"/>
    </row>
    <row r="3017">
      <c r="A3017" s="75" t="s">
        <v>29</v>
      </c>
      <c r="B3017" s="75" t="s">
        <v>1020</v>
      </c>
      <c r="C3017" s="75">
        <v>7.63</v>
      </c>
      <c r="D3017" s="75">
        <v>0.0</v>
      </c>
      <c r="E3017" s="75">
        <v>0.0</v>
      </c>
      <c r="F3017" s="75" t="s">
        <v>950</v>
      </c>
      <c r="G3017" s="82">
        <v>46113.0</v>
      </c>
      <c r="H3017" s="76" t="s">
        <v>973</v>
      </c>
      <c r="I3017" s="83"/>
      <c r="J3017" s="83"/>
      <c r="K3017" s="83"/>
      <c r="L3017" s="83"/>
      <c r="M3017" s="83"/>
      <c r="N3017" s="83"/>
      <c r="O3017" s="83"/>
      <c r="P3017" s="83"/>
      <c r="Q3017" s="83"/>
      <c r="R3017" s="83"/>
      <c r="S3017" s="83"/>
      <c r="T3017" s="83"/>
      <c r="U3017" s="83"/>
      <c r="V3017" s="83"/>
      <c r="W3017" s="83"/>
      <c r="X3017" s="83"/>
      <c r="Y3017" s="83"/>
      <c r="Z3017" s="83"/>
    </row>
    <row r="3018">
      <c r="A3018" s="75" t="s">
        <v>34</v>
      </c>
      <c r="B3018" s="75" t="s">
        <v>1020</v>
      </c>
      <c r="C3018" s="75">
        <v>0.81</v>
      </c>
      <c r="D3018" s="75">
        <v>0.0</v>
      </c>
      <c r="E3018" s="75">
        <v>0.0</v>
      </c>
      <c r="F3018" s="75" t="s">
        <v>974</v>
      </c>
      <c r="G3018" s="82">
        <v>46113.0</v>
      </c>
      <c r="H3018" s="76" t="s">
        <v>951</v>
      </c>
      <c r="I3018" s="83"/>
      <c r="J3018" s="83"/>
      <c r="K3018" s="83"/>
      <c r="L3018" s="83"/>
      <c r="M3018" s="83"/>
      <c r="N3018" s="83"/>
      <c r="O3018" s="83"/>
      <c r="P3018" s="83"/>
      <c r="Q3018" s="83"/>
      <c r="R3018" s="83"/>
      <c r="S3018" s="83"/>
      <c r="T3018" s="83"/>
      <c r="U3018" s="83"/>
      <c r="V3018" s="83"/>
      <c r="W3018" s="83"/>
      <c r="X3018" s="83"/>
      <c r="Y3018" s="83"/>
      <c r="Z3018" s="83"/>
    </row>
    <row r="3019">
      <c r="A3019" s="75" t="s">
        <v>34</v>
      </c>
      <c r="B3019" s="75" t="s">
        <v>1020</v>
      </c>
      <c r="C3019" s="75">
        <v>1.01</v>
      </c>
      <c r="D3019" s="75">
        <v>0.0</v>
      </c>
      <c r="E3019" s="75">
        <v>0.0</v>
      </c>
      <c r="F3019" s="75" t="s">
        <v>974</v>
      </c>
      <c r="G3019" s="82">
        <v>46113.0</v>
      </c>
      <c r="H3019" s="76" t="s">
        <v>952</v>
      </c>
      <c r="I3019" s="83"/>
      <c r="J3019" s="83"/>
      <c r="K3019" s="83"/>
      <c r="L3019" s="83"/>
      <c r="M3019" s="83"/>
      <c r="N3019" s="83"/>
      <c r="O3019" s="83"/>
      <c r="P3019" s="83"/>
      <c r="Q3019" s="83"/>
      <c r="R3019" s="83"/>
      <c r="S3019" s="83"/>
      <c r="T3019" s="83"/>
      <c r="U3019" s="83"/>
      <c r="V3019" s="83"/>
      <c r="W3019" s="83"/>
      <c r="X3019" s="83"/>
      <c r="Y3019" s="83"/>
      <c r="Z3019" s="83"/>
    </row>
    <row r="3020">
      <c r="A3020" s="75" t="s">
        <v>34</v>
      </c>
      <c r="B3020" s="75" t="s">
        <v>1020</v>
      </c>
      <c r="C3020" s="75">
        <v>1.58</v>
      </c>
      <c r="D3020" s="75">
        <v>0.0</v>
      </c>
      <c r="E3020" s="75">
        <v>0.0</v>
      </c>
      <c r="F3020" s="75" t="s">
        <v>974</v>
      </c>
      <c r="G3020" s="82">
        <v>46113.0</v>
      </c>
      <c r="H3020" s="76" t="s">
        <v>953</v>
      </c>
      <c r="I3020" s="83"/>
      <c r="J3020" s="83"/>
      <c r="K3020" s="83"/>
      <c r="L3020" s="83"/>
      <c r="M3020" s="83"/>
      <c r="N3020" s="83"/>
      <c r="O3020" s="83"/>
      <c r="P3020" s="83"/>
      <c r="Q3020" s="83"/>
      <c r="R3020" s="83"/>
      <c r="S3020" s="83"/>
      <c r="T3020" s="83"/>
      <c r="U3020" s="83"/>
      <c r="V3020" s="83"/>
      <c r="W3020" s="83"/>
      <c r="X3020" s="83"/>
      <c r="Y3020" s="83"/>
      <c r="Z3020" s="83"/>
    </row>
    <row r="3021">
      <c r="A3021" s="75" t="s">
        <v>40</v>
      </c>
      <c r="B3021" s="75" t="s">
        <v>1020</v>
      </c>
      <c r="C3021" s="75">
        <v>0.52</v>
      </c>
      <c r="D3021" s="75">
        <v>0.0</v>
      </c>
      <c r="E3021" s="75">
        <v>0.0</v>
      </c>
      <c r="F3021" s="75" t="s">
        <v>974</v>
      </c>
      <c r="G3021" s="82">
        <v>46113.0</v>
      </c>
      <c r="H3021" s="76" t="s">
        <v>954</v>
      </c>
      <c r="I3021" s="83"/>
      <c r="J3021" s="83"/>
      <c r="K3021" s="83"/>
      <c r="L3021" s="83"/>
      <c r="M3021" s="83"/>
      <c r="N3021" s="83"/>
      <c r="O3021" s="83"/>
      <c r="P3021" s="83"/>
      <c r="Q3021" s="83"/>
      <c r="R3021" s="83"/>
      <c r="S3021" s="83"/>
      <c r="T3021" s="83"/>
      <c r="U3021" s="83"/>
      <c r="V3021" s="83"/>
      <c r="W3021" s="83"/>
      <c r="X3021" s="83"/>
      <c r="Y3021" s="83"/>
      <c r="Z3021" s="83"/>
    </row>
    <row r="3022">
      <c r="A3022" s="75" t="s">
        <v>40</v>
      </c>
      <c r="B3022" s="75" t="s">
        <v>1020</v>
      </c>
      <c r="C3022" s="75">
        <v>0.19</v>
      </c>
      <c r="D3022" s="75">
        <v>0.0</v>
      </c>
      <c r="E3022" s="75">
        <v>0.0</v>
      </c>
      <c r="F3022" s="75" t="s">
        <v>974</v>
      </c>
      <c r="G3022" s="82">
        <v>46113.0</v>
      </c>
      <c r="H3022" s="76" t="s">
        <v>955</v>
      </c>
      <c r="I3022" s="83"/>
      <c r="J3022" s="83"/>
      <c r="K3022" s="83"/>
      <c r="L3022" s="83"/>
      <c r="M3022" s="83"/>
      <c r="N3022" s="83"/>
      <c r="O3022" s="83"/>
      <c r="P3022" s="83"/>
      <c r="Q3022" s="83"/>
      <c r="R3022" s="83"/>
      <c r="S3022" s="83"/>
      <c r="T3022" s="83"/>
      <c r="U3022" s="83"/>
      <c r="V3022" s="83"/>
      <c r="W3022" s="83"/>
      <c r="X3022" s="83"/>
      <c r="Y3022" s="83"/>
      <c r="Z3022" s="83"/>
    </row>
    <row r="3023">
      <c r="A3023" s="75" t="s">
        <v>40</v>
      </c>
      <c r="B3023" s="75" t="s">
        <v>1020</v>
      </c>
      <c r="C3023" s="75">
        <v>2.58</v>
      </c>
      <c r="D3023" s="75">
        <v>0.0</v>
      </c>
      <c r="E3023" s="75">
        <v>0.0</v>
      </c>
      <c r="F3023" s="75" t="s">
        <v>974</v>
      </c>
      <c r="G3023" s="82">
        <v>46113.0</v>
      </c>
      <c r="H3023" s="76" t="s">
        <v>956</v>
      </c>
      <c r="I3023" s="83"/>
      <c r="J3023" s="83"/>
      <c r="K3023" s="83"/>
      <c r="L3023" s="83"/>
      <c r="M3023" s="83"/>
      <c r="N3023" s="83"/>
      <c r="O3023" s="83"/>
      <c r="P3023" s="83"/>
      <c r="Q3023" s="83"/>
      <c r="R3023" s="83"/>
      <c r="S3023" s="83"/>
      <c r="T3023" s="83"/>
      <c r="U3023" s="83"/>
      <c r="V3023" s="83"/>
      <c r="W3023" s="83"/>
      <c r="X3023" s="83"/>
      <c r="Y3023" s="83"/>
      <c r="Z3023" s="83"/>
    </row>
    <row r="3024">
      <c r="A3024" s="75" t="s">
        <v>33</v>
      </c>
      <c r="B3024" s="75" t="s">
        <v>1020</v>
      </c>
      <c r="C3024" s="75">
        <v>2.08</v>
      </c>
      <c r="D3024" s="75">
        <v>0.0</v>
      </c>
      <c r="E3024" s="75">
        <v>0.0</v>
      </c>
      <c r="F3024" s="75" t="s">
        <v>974</v>
      </c>
      <c r="G3024" s="82">
        <v>46113.0</v>
      </c>
      <c r="H3024" s="76" t="s">
        <v>957</v>
      </c>
      <c r="I3024" s="83"/>
      <c r="J3024" s="83"/>
      <c r="K3024" s="83"/>
      <c r="L3024" s="83"/>
      <c r="M3024" s="83"/>
      <c r="N3024" s="83"/>
      <c r="O3024" s="83"/>
      <c r="P3024" s="83"/>
      <c r="Q3024" s="83"/>
      <c r="R3024" s="83"/>
      <c r="S3024" s="83"/>
      <c r="T3024" s="83"/>
      <c r="U3024" s="83"/>
      <c r="V3024" s="83"/>
      <c r="W3024" s="83"/>
      <c r="X3024" s="83"/>
      <c r="Y3024" s="83"/>
      <c r="Z3024" s="83"/>
    </row>
    <row r="3025">
      <c r="A3025" s="75" t="s">
        <v>33</v>
      </c>
      <c r="B3025" s="75" t="s">
        <v>1020</v>
      </c>
      <c r="C3025" s="75">
        <v>0.16</v>
      </c>
      <c r="D3025" s="75">
        <v>0.0</v>
      </c>
      <c r="E3025" s="75">
        <v>0.0</v>
      </c>
      <c r="F3025" s="75" t="s">
        <v>974</v>
      </c>
      <c r="G3025" s="82">
        <v>46113.0</v>
      </c>
      <c r="H3025" s="76" t="s">
        <v>958</v>
      </c>
      <c r="I3025" s="83"/>
      <c r="J3025" s="83"/>
      <c r="K3025" s="83"/>
      <c r="L3025" s="83"/>
      <c r="M3025" s="83"/>
      <c r="N3025" s="83"/>
      <c r="O3025" s="83"/>
      <c r="P3025" s="83"/>
      <c r="Q3025" s="83"/>
      <c r="R3025" s="83"/>
      <c r="S3025" s="83"/>
      <c r="T3025" s="83"/>
      <c r="U3025" s="83"/>
      <c r="V3025" s="83"/>
      <c r="W3025" s="83"/>
      <c r="X3025" s="83"/>
      <c r="Y3025" s="83"/>
      <c r="Z3025" s="83"/>
    </row>
    <row r="3026">
      <c r="A3026" s="75" t="s">
        <v>33</v>
      </c>
      <c r="B3026" s="75" t="s">
        <v>1020</v>
      </c>
      <c r="C3026" s="75">
        <v>0.91</v>
      </c>
      <c r="D3026" s="75">
        <v>0.0</v>
      </c>
      <c r="E3026" s="75">
        <v>0.0</v>
      </c>
      <c r="F3026" s="75" t="s">
        <v>974</v>
      </c>
      <c r="G3026" s="82">
        <v>46113.0</v>
      </c>
      <c r="H3026" s="76" t="s">
        <v>959</v>
      </c>
      <c r="I3026" s="83"/>
      <c r="J3026" s="83"/>
      <c r="K3026" s="83"/>
      <c r="L3026" s="83"/>
      <c r="M3026" s="83"/>
      <c r="N3026" s="83"/>
      <c r="O3026" s="83"/>
      <c r="P3026" s="83"/>
      <c r="Q3026" s="83"/>
      <c r="R3026" s="83"/>
      <c r="S3026" s="83"/>
      <c r="T3026" s="83"/>
      <c r="U3026" s="83"/>
      <c r="V3026" s="83"/>
      <c r="W3026" s="83"/>
      <c r="X3026" s="83"/>
      <c r="Y3026" s="83"/>
      <c r="Z3026" s="83"/>
    </row>
    <row r="3027">
      <c r="A3027" s="75" t="s">
        <v>46</v>
      </c>
      <c r="B3027" s="75" t="s">
        <v>1020</v>
      </c>
      <c r="C3027" s="75">
        <v>0.38</v>
      </c>
      <c r="D3027" s="75">
        <v>0.0</v>
      </c>
      <c r="E3027" s="75">
        <v>0.0</v>
      </c>
      <c r="F3027" s="75" t="s">
        <v>974</v>
      </c>
      <c r="G3027" s="82">
        <v>46113.0</v>
      </c>
      <c r="H3027" s="76" t="s">
        <v>960</v>
      </c>
      <c r="I3027" s="83"/>
      <c r="J3027" s="83"/>
      <c r="K3027" s="83"/>
      <c r="L3027" s="83"/>
      <c r="M3027" s="83"/>
      <c r="N3027" s="83"/>
      <c r="O3027" s="83"/>
      <c r="P3027" s="83"/>
      <c r="Q3027" s="83"/>
      <c r="R3027" s="83"/>
      <c r="S3027" s="83"/>
      <c r="T3027" s="83"/>
      <c r="U3027" s="83"/>
      <c r="V3027" s="83"/>
      <c r="W3027" s="83"/>
      <c r="X3027" s="83"/>
      <c r="Y3027" s="83"/>
      <c r="Z3027" s="83"/>
    </row>
    <row r="3028">
      <c r="A3028" s="75" t="s">
        <v>46</v>
      </c>
      <c r="B3028" s="75" t="s">
        <v>1020</v>
      </c>
      <c r="C3028" s="75">
        <v>0.38</v>
      </c>
      <c r="D3028" s="75">
        <v>0.0</v>
      </c>
      <c r="E3028" s="75">
        <v>0.0</v>
      </c>
      <c r="F3028" s="75" t="s">
        <v>974</v>
      </c>
      <c r="G3028" s="82">
        <v>46113.0</v>
      </c>
      <c r="H3028" s="76" t="s">
        <v>961</v>
      </c>
      <c r="I3028" s="83"/>
      <c r="J3028" s="83"/>
      <c r="K3028" s="83"/>
      <c r="L3028" s="83"/>
      <c r="M3028" s="83"/>
      <c r="N3028" s="83"/>
      <c r="O3028" s="83"/>
      <c r="P3028" s="83"/>
      <c r="Q3028" s="83"/>
      <c r="R3028" s="83"/>
      <c r="S3028" s="83"/>
      <c r="T3028" s="83"/>
      <c r="U3028" s="83"/>
      <c r="V3028" s="83"/>
      <c r="W3028" s="83"/>
      <c r="X3028" s="83"/>
      <c r="Y3028" s="83"/>
      <c r="Z3028" s="83"/>
    </row>
    <row r="3029">
      <c r="A3029" s="75" t="s">
        <v>46</v>
      </c>
      <c r="B3029" s="75" t="s">
        <v>1020</v>
      </c>
      <c r="C3029" s="75">
        <v>0.59</v>
      </c>
      <c r="D3029" s="75">
        <v>0.0</v>
      </c>
      <c r="E3029" s="75">
        <v>0.0</v>
      </c>
      <c r="F3029" s="75" t="s">
        <v>974</v>
      </c>
      <c r="G3029" s="82">
        <v>46113.0</v>
      </c>
      <c r="H3029" s="76" t="s">
        <v>962</v>
      </c>
      <c r="I3029" s="83"/>
      <c r="J3029" s="83"/>
      <c r="K3029" s="83"/>
      <c r="L3029" s="83"/>
      <c r="M3029" s="83"/>
      <c r="N3029" s="83"/>
      <c r="O3029" s="83"/>
      <c r="P3029" s="83"/>
      <c r="Q3029" s="83"/>
      <c r="R3029" s="83"/>
      <c r="S3029" s="83"/>
      <c r="T3029" s="83"/>
      <c r="U3029" s="83"/>
      <c r="V3029" s="83"/>
      <c r="W3029" s="83"/>
      <c r="X3029" s="83"/>
      <c r="Y3029" s="83"/>
      <c r="Z3029" s="83"/>
    </row>
    <row r="3030">
      <c r="A3030" s="75" t="s">
        <v>43</v>
      </c>
      <c r="B3030" s="75" t="s">
        <v>1020</v>
      </c>
      <c r="C3030" s="75">
        <v>0.82</v>
      </c>
      <c r="D3030" s="75">
        <v>0.0</v>
      </c>
      <c r="E3030" s="75">
        <v>0.0</v>
      </c>
      <c r="F3030" s="75" t="s">
        <v>974</v>
      </c>
      <c r="G3030" s="82">
        <v>46113.0</v>
      </c>
      <c r="H3030" s="76" t="s">
        <v>963</v>
      </c>
      <c r="I3030" s="83"/>
      <c r="J3030" s="83"/>
      <c r="K3030" s="83"/>
      <c r="L3030" s="83"/>
      <c r="M3030" s="83"/>
      <c r="N3030" s="83"/>
      <c r="O3030" s="83"/>
      <c r="P3030" s="83"/>
      <c r="Q3030" s="83"/>
      <c r="R3030" s="83"/>
      <c r="S3030" s="83"/>
      <c r="T3030" s="83"/>
      <c r="U3030" s="83"/>
      <c r="V3030" s="83"/>
      <c r="W3030" s="83"/>
      <c r="X3030" s="83"/>
      <c r="Y3030" s="83"/>
      <c r="Z3030" s="83"/>
    </row>
    <row r="3031">
      <c r="A3031" s="75" t="s">
        <v>43</v>
      </c>
      <c r="B3031" s="75" t="s">
        <v>1020</v>
      </c>
      <c r="C3031" s="75">
        <v>0.27</v>
      </c>
      <c r="D3031" s="75">
        <v>0.0</v>
      </c>
      <c r="E3031" s="75">
        <v>0.0</v>
      </c>
      <c r="F3031" s="75" t="s">
        <v>974</v>
      </c>
      <c r="G3031" s="82">
        <v>46113.0</v>
      </c>
      <c r="H3031" s="76" t="s">
        <v>964</v>
      </c>
      <c r="I3031" s="83"/>
      <c r="J3031" s="83"/>
      <c r="K3031" s="83"/>
      <c r="L3031" s="83"/>
      <c r="M3031" s="83"/>
      <c r="N3031" s="83"/>
      <c r="O3031" s="83"/>
      <c r="P3031" s="83"/>
      <c r="Q3031" s="83"/>
      <c r="R3031" s="83"/>
      <c r="S3031" s="83"/>
      <c r="T3031" s="83"/>
      <c r="U3031" s="83"/>
      <c r="V3031" s="83"/>
      <c r="W3031" s="83"/>
      <c r="X3031" s="83"/>
      <c r="Y3031" s="83"/>
      <c r="Z3031" s="83"/>
    </row>
    <row r="3032">
      <c r="A3032" s="75" t="s">
        <v>43</v>
      </c>
      <c r="B3032" s="75" t="s">
        <v>1020</v>
      </c>
      <c r="C3032" s="75">
        <v>1.67</v>
      </c>
      <c r="D3032" s="75">
        <v>0.0</v>
      </c>
      <c r="E3032" s="75">
        <v>0.0</v>
      </c>
      <c r="F3032" s="75" t="s">
        <v>974</v>
      </c>
      <c r="G3032" s="82">
        <v>46113.0</v>
      </c>
      <c r="H3032" s="76" t="s">
        <v>965</v>
      </c>
      <c r="I3032" s="83"/>
      <c r="J3032" s="83"/>
      <c r="K3032" s="83"/>
      <c r="L3032" s="83"/>
      <c r="M3032" s="83"/>
      <c r="N3032" s="83"/>
      <c r="O3032" s="83"/>
      <c r="P3032" s="83"/>
      <c r="Q3032" s="83"/>
      <c r="R3032" s="83"/>
      <c r="S3032" s="83"/>
      <c r="T3032" s="83"/>
      <c r="U3032" s="83"/>
      <c r="V3032" s="83"/>
      <c r="W3032" s="83"/>
      <c r="X3032" s="83"/>
      <c r="Y3032" s="83"/>
      <c r="Z3032" s="83"/>
    </row>
    <row r="3033">
      <c r="A3033" s="75" t="s">
        <v>966</v>
      </c>
      <c r="B3033" s="75" t="s">
        <v>1020</v>
      </c>
      <c r="C3033" s="75">
        <v>1.57</v>
      </c>
      <c r="D3033" s="75">
        <v>0.0</v>
      </c>
      <c r="E3033" s="75">
        <v>0.0</v>
      </c>
      <c r="F3033" s="75" t="s">
        <v>974</v>
      </c>
      <c r="G3033" s="82">
        <v>46113.0</v>
      </c>
      <c r="H3033" s="76" t="s">
        <v>967</v>
      </c>
      <c r="I3033" s="83"/>
      <c r="J3033" s="83"/>
      <c r="K3033" s="83"/>
      <c r="L3033" s="83"/>
      <c r="M3033" s="83"/>
      <c r="N3033" s="83"/>
      <c r="O3033" s="83"/>
      <c r="P3033" s="83"/>
      <c r="Q3033" s="83"/>
      <c r="R3033" s="83"/>
      <c r="S3033" s="83"/>
      <c r="T3033" s="83"/>
      <c r="U3033" s="83"/>
      <c r="V3033" s="83"/>
      <c r="W3033" s="83"/>
      <c r="X3033" s="83"/>
      <c r="Y3033" s="83"/>
      <c r="Z3033" s="83"/>
    </row>
    <row r="3034">
      <c r="A3034" s="75" t="s">
        <v>966</v>
      </c>
      <c r="B3034" s="75" t="s">
        <v>1020</v>
      </c>
      <c r="C3034" s="75">
        <v>0.46</v>
      </c>
      <c r="D3034" s="75">
        <v>0.0</v>
      </c>
      <c r="E3034" s="75">
        <v>0.0</v>
      </c>
      <c r="F3034" s="75" t="s">
        <v>974</v>
      </c>
      <c r="G3034" s="82">
        <v>46113.0</v>
      </c>
      <c r="H3034" s="76" t="s">
        <v>968</v>
      </c>
      <c r="I3034" s="83"/>
      <c r="J3034" s="83"/>
      <c r="K3034" s="83"/>
      <c r="L3034" s="83"/>
      <c r="M3034" s="83"/>
      <c r="N3034" s="83"/>
      <c r="O3034" s="83"/>
      <c r="P3034" s="83"/>
      <c r="Q3034" s="83"/>
      <c r="R3034" s="83"/>
      <c r="S3034" s="83"/>
      <c r="T3034" s="83"/>
      <c r="U3034" s="83"/>
      <c r="V3034" s="83"/>
      <c r="W3034" s="83"/>
      <c r="X3034" s="83"/>
      <c r="Y3034" s="83"/>
      <c r="Z3034" s="83"/>
    </row>
    <row r="3035">
      <c r="A3035" s="75" t="s">
        <v>966</v>
      </c>
      <c r="B3035" s="75" t="s">
        <v>1020</v>
      </c>
      <c r="C3035" s="75">
        <v>0.34</v>
      </c>
      <c r="D3035" s="75">
        <v>0.0</v>
      </c>
      <c r="E3035" s="75">
        <v>0.0</v>
      </c>
      <c r="F3035" s="75" t="s">
        <v>974</v>
      </c>
      <c r="G3035" s="82">
        <v>46113.0</v>
      </c>
      <c r="H3035" s="76" t="s">
        <v>969</v>
      </c>
      <c r="I3035" s="83"/>
      <c r="J3035" s="83"/>
      <c r="K3035" s="83"/>
      <c r="L3035" s="83"/>
      <c r="M3035" s="83"/>
      <c r="N3035" s="83"/>
      <c r="O3035" s="83"/>
      <c r="P3035" s="83"/>
      <c r="Q3035" s="83"/>
      <c r="R3035" s="83"/>
      <c r="S3035" s="83"/>
      <c r="T3035" s="83"/>
      <c r="U3035" s="83"/>
      <c r="V3035" s="83"/>
      <c r="W3035" s="83"/>
      <c r="X3035" s="83"/>
      <c r="Y3035" s="83"/>
      <c r="Z3035" s="83"/>
    </row>
    <row r="3036">
      <c r="A3036" s="75" t="s">
        <v>36</v>
      </c>
      <c r="B3036" s="75" t="s">
        <v>1020</v>
      </c>
      <c r="C3036" s="75">
        <v>0.92</v>
      </c>
      <c r="D3036" s="75">
        <v>0.0</v>
      </c>
      <c r="E3036" s="75">
        <v>0.0</v>
      </c>
      <c r="F3036" s="75" t="s">
        <v>974</v>
      </c>
      <c r="G3036" s="82">
        <v>46113.0</v>
      </c>
      <c r="H3036" s="76" t="s">
        <v>926</v>
      </c>
      <c r="I3036" s="83"/>
      <c r="J3036" s="83"/>
      <c r="K3036" s="83"/>
      <c r="L3036" s="83"/>
      <c r="M3036" s="83"/>
      <c r="N3036" s="83"/>
      <c r="O3036" s="83"/>
      <c r="P3036" s="83"/>
      <c r="Q3036" s="83"/>
      <c r="R3036" s="83"/>
      <c r="S3036" s="83"/>
      <c r="T3036" s="83"/>
      <c r="U3036" s="83"/>
      <c r="V3036" s="83"/>
      <c r="W3036" s="83"/>
      <c r="X3036" s="83"/>
      <c r="Y3036" s="83"/>
      <c r="Z3036" s="83"/>
    </row>
    <row r="3037">
      <c r="A3037" s="75" t="s">
        <v>36</v>
      </c>
      <c r="B3037" s="75" t="s">
        <v>1020</v>
      </c>
      <c r="C3037" s="75">
        <v>0.54</v>
      </c>
      <c r="D3037" s="75">
        <v>0.0</v>
      </c>
      <c r="E3037" s="75">
        <v>0.0</v>
      </c>
      <c r="F3037" s="75" t="s">
        <v>974</v>
      </c>
      <c r="G3037" s="82">
        <v>46113.0</v>
      </c>
      <c r="H3037" s="76" t="s">
        <v>927</v>
      </c>
      <c r="I3037" s="83"/>
      <c r="J3037" s="83"/>
      <c r="K3037" s="83"/>
      <c r="L3037" s="83"/>
      <c r="M3037" s="83"/>
      <c r="N3037" s="83"/>
      <c r="O3037" s="83"/>
      <c r="P3037" s="83"/>
      <c r="Q3037" s="83"/>
      <c r="R3037" s="83"/>
      <c r="S3037" s="83"/>
      <c r="T3037" s="83"/>
      <c r="U3037" s="83"/>
      <c r="V3037" s="83"/>
      <c r="W3037" s="83"/>
      <c r="X3037" s="83"/>
      <c r="Y3037" s="83"/>
      <c r="Z3037" s="83"/>
    </row>
    <row r="3038">
      <c r="A3038" s="75" t="s">
        <v>36</v>
      </c>
      <c r="B3038" s="75" t="s">
        <v>1020</v>
      </c>
      <c r="C3038" s="75">
        <v>0.61</v>
      </c>
      <c r="D3038" s="75">
        <v>0.0</v>
      </c>
      <c r="E3038" s="75">
        <v>0.0</v>
      </c>
      <c r="F3038" s="75" t="s">
        <v>974</v>
      </c>
      <c r="G3038" s="82">
        <v>46113.0</v>
      </c>
      <c r="H3038" s="76" t="s">
        <v>928</v>
      </c>
      <c r="I3038" s="83"/>
      <c r="J3038" s="83"/>
      <c r="K3038" s="83"/>
      <c r="L3038" s="83"/>
      <c r="M3038" s="83"/>
      <c r="N3038" s="83"/>
      <c r="O3038" s="83"/>
      <c r="P3038" s="83"/>
      <c r="Q3038" s="83"/>
      <c r="R3038" s="83"/>
      <c r="S3038" s="83"/>
      <c r="T3038" s="83"/>
      <c r="U3038" s="83"/>
      <c r="V3038" s="83"/>
      <c r="W3038" s="83"/>
      <c r="X3038" s="83"/>
      <c r="Y3038" s="83"/>
      <c r="Z3038" s="83"/>
    </row>
    <row r="3039">
      <c r="A3039" s="75" t="s">
        <v>970</v>
      </c>
      <c r="B3039" s="75" t="s">
        <v>1020</v>
      </c>
      <c r="C3039" s="75">
        <v>0.52</v>
      </c>
      <c r="D3039" s="75">
        <v>0.0</v>
      </c>
      <c r="E3039" s="75">
        <v>0.0</v>
      </c>
      <c r="F3039" s="75" t="s">
        <v>974</v>
      </c>
      <c r="G3039" s="82">
        <v>46113.0</v>
      </c>
      <c r="H3039" s="76" t="s">
        <v>971</v>
      </c>
      <c r="I3039" s="83"/>
      <c r="J3039" s="83"/>
      <c r="K3039" s="83"/>
      <c r="L3039" s="83"/>
      <c r="M3039" s="83"/>
      <c r="N3039" s="83"/>
      <c r="O3039" s="83"/>
      <c r="P3039" s="83"/>
      <c r="Q3039" s="83"/>
      <c r="R3039" s="83"/>
      <c r="S3039" s="83"/>
      <c r="T3039" s="83"/>
      <c r="U3039" s="83"/>
      <c r="V3039" s="83"/>
      <c r="W3039" s="83"/>
      <c r="X3039" s="83"/>
      <c r="Y3039" s="83"/>
      <c r="Z3039" s="83"/>
    </row>
    <row r="3040">
      <c r="A3040" s="75" t="s">
        <v>970</v>
      </c>
      <c r="B3040" s="75" t="s">
        <v>1020</v>
      </c>
      <c r="C3040" s="75">
        <v>0.29</v>
      </c>
      <c r="D3040" s="75">
        <v>0.0</v>
      </c>
      <c r="E3040" s="75">
        <v>0.0</v>
      </c>
      <c r="F3040" s="75" t="s">
        <v>974</v>
      </c>
      <c r="G3040" s="82">
        <v>46113.0</v>
      </c>
      <c r="H3040" s="76" t="s">
        <v>972</v>
      </c>
      <c r="I3040" s="83"/>
      <c r="J3040" s="83"/>
      <c r="K3040" s="83"/>
      <c r="L3040" s="83"/>
      <c r="M3040" s="83"/>
      <c r="N3040" s="83"/>
      <c r="O3040" s="83"/>
      <c r="P3040" s="83"/>
      <c r="Q3040" s="83"/>
      <c r="R3040" s="83"/>
      <c r="S3040" s="83"/>
      <c r="T3040" s="83"/>
      <c r="U3040" s="83"/>
      <c r="V3040" s="83"/>
      <c r="W3040" s="83"/>
      <c r="X3040" s="83"/>
      <c r="Y3040" s="83"/>
      <c r="Z3040" s="83"/>
    </row>
    <row r="3041">
      <c r="A3041" s="75" t="s">
        <v>970</v>
      </c>
      <c r="B3041" s="75" t="s">
        <v>1020</v>
      </c>
      <c r="C3041" s="75">
        <v>1.86</v>
      </c>
      <c r="D3041" s="75">
        <v>0.0</v>
      </c>
      <c r="E3041" s="75">
        <v>0.0</v>
      </c>
      <c r="F3041" s="75" t="s">
        <v>974</v>
      </c>
      <c r="G3041" s="82">
        <v>46113.0</v>
      </c>
      <c r="H3041" s="76" t="s">
        <v>973</v>
      </c>
      <c r="I3041" s="83"/>
      <c r="J3041" s="83"/>
      <c r="K3041" s="83"/>
      <c r="L3041" s="83"/>
      <c r="M3041" s="83"/>
      <c r="N3041" s="83"/>
      <c r="O3041" s="83"/>
      <c r="P3041" s="83"/>
      <c r="Q3041" s="83"/>
      <c r="R3041" s="83"/>
      <c r="S3041" s="83"/>
      <c r="T3041" s="83"/>
      <c r="U3041" s="83"/>
      <c r="V3041" s="83"/>
      <c r="W3041" s="83"/>
      <c r="X3041" s="83"/>
      <c r="Y3041" s="83"/>
      <c r="Z3041" s="83"/>
    </row>
    <row r="3042">
      <c r="A3042" s="75" t="s">
        <v>29</v>
      </c>
      <c r="B3042" s="75" t="s">
        <v>1020</v>
      </c>
      <c r="C3042" s="75">
        <v>0.51</v>
      </c>
      <c r="D3042" s="75">
        <v>0.0</v>
      </c>
      <c r="E3042" s="75">
        <v>0.0</v>
      </c>
      <c r="F3042" s="75" t="s">
        <v>974</v>
      </c>
      <c r="G3042" s="82">
        <v>46113.0</v>
      </c>
      <c r="H3042" s="76" t="s">
        <v>971</v>
      </c>
      <c r="I3042" s="83"/>
      <c r="J3042" s="83"/>
      <c r="K3042" s="83"/>
      <c r="L3042" s="83"/>
      <c r="M3042" s="83"/>
      <c r="N3042" s="83"/>
      <c r="O3042" s="83"/>
      <c r="P3042" s="83"/>
      <c r="Q3042" s="83"/>
      <c r="R3042" s="83"/>
      <c r="S3042" s="83"/>
      <c r="T3042" s="83"/>
      <c r="U3042" s="83"/>
      <c r="V3042" s="83"/>
      <c r="W3042" s="83"/>
      <c r="X3042" s="83"/>
      <c r="Y3042" s="83"/>
      <c r="Z3042" s="83"/>
    </row>
    <row r="3043">
      <c r="A3043" s="75" t="s">
        <v>29</v>
      </c>
      <c r="B3043" s="75" t="s">
        <v>1020</v>
      </c>
      <c r="C3043" s="75">
        <v>0.23</v>
      </c>
      <c r="D3043" s="75">
        <v>0.0</v>
      </c>
      <c r="E3043" s="75">
        <v>0.0</v>
      </c>
      <c r="F3043" s="75" t="s">
        <v>974</v>
      </c>
      <c r="G3043" s="82">
        <v>46113.0</v>
      </c>
      <c r="H3043" s="76" t="s">
        <v>972</v>
      </c>
      <c r="I3043" s="83"/>
      <c r="J3043" s="83"/>
      <c r="K3043" s="83"/>
      <c r="L3043" s="83"/>
      <c r="M3043" s="83"/>
      <c r="N3043" s="83"/>
      <c r="O3043" s="83"/>
      <c r="P3043" s="83"/>
      <c r="Q3043" s="83"/>
      <c r="R3043" s="83"/>
      <c r="S3043" s="83"/>
      <c r="T3043" s="83"/>
      <c r="U3043" s="83"/>
      <c r="V3043" s="83"/>
      <c r="W3043" s="83"/>
      <c r="X3043" s="83"/>
      <c r="Y3043" s="83"/>
      <c r="Z3043" s="83"/>
    </row>
    <row r="3044">
      <c r="A3044" s="75" t="s">
        <v>29</v>
      </c>
      <c r="B3044" s="75" t="s">
        <v>1020</v>
      </c>
      <c r="C3044" s="75">
        <v>1.72</v>
      </c>
      <c r="D3044" s="75">
        <v>0.0</v>
      </c>
      <c r="E3044" s="75">
        <v>0.0</v>
      </c>
      <c r="F3044" s="75" t="s">
        <v>974</v>
      </c>
      <c r="G3044" s="82">
        <v>46113.0</v>
      </c>
      <c r="H3044" s="76" t="s">
        <v>973</v>
      </c>
      <c r="I3044" s="83"/>
      <c r="J3044" s="83"/>
      <c r="K3044" s="83"/>
      <c r="L3044" s="83"/>
      <c r="M3044" s="83"/>
      <c r="N3044" s="83"/>
      <c r="O3044" s="83"/>
      <c r="P3044" s="83"/>
      <c r="Q3044" s="83"/>
      <c r="R3044" s="83"/>
      <c r="S3044" s="83"/>
      <c r="T3044" s="83"/>
      <c r="U3044" s="83"/>
      <c r="V3044" s="83"/>
      <c r="W3044" s="83"/>
      <c r="X3044" s="83"/>
      <c r="Y3044" s="83"/>
      <c r="Z3044" s="83"/>
    </row>
    <row r="3045">
      <c r="A3045" s="75" t="s">
        <v>34</v>
      </c>
      <c r="B3045" s="75" t="s">
        <v>1020</v>
      </c>
      <c r="C3045" s="75">
        <v>4.21</v>
      </c>
      <c r="D3045" s="75">
        <v>0.0</v>
      </c>
      <c r="E3045" s="75">
        <v>0.0</v>
      </c>
      <c r="F3045" s="75" t="s">
        <v>975</v>
      </c>
      <c r="G3045" s="82">
        <v>46113.0</v>
      </c>
      <c r="H3045" s="76" t="s">
        <v>951</v>
      </c>
      <c r="I3045" s="83"/>
      <c r="J3045" s="83"/>
      <c r="K3045" s="83"/>
      <c r="L3045" s="83"/>
      <c r="M3045" s="83"/>
      <c r="N3045" s="83"/>
      <c r="O3045" s="83"/>
      <c r="P3045" s="83"/>
      <c r="Q3045" s="83"/>
      <c r="R3045" s="83"/>
      <c r="S3045" s="83"/>
      <c r="T3045" s="83"/>
      <c r="U3045" s="83"/>
      <c r="V3045" s="83"/>
      <c r="W3045" s="83"/>
      <c r="X3045" s="83"/>
      <c r="Y3045" s="83"/>
      <c r="Z3045" s="83"/>
    </row>
    <row r="3046">
      <c r="A3046" s="75" t="s">
        <v>34</v>
      </c>
      <c r="B3046" s="75" t="s">
        <v>1020</v>
      </c>
      <c r="C3046" s="75">
        <v>4.49</v>
      </c>
      <c r="D3046" s="75">
        <v>0.0</v>
      </c>
      <c r="E3046" s="75">
        <v>0.0</v>
      </c>
      <c r="F3046" s="75" t="s">
        <v>975</v>
      </c>
      <c r="G3046" s="82">
        <v>46113.0</v>
      </c>
      <c r="H3046" s="76" t="s">
        <v>952</v>
      </c>
      <c r="I3046" s="83"/>
      <c r="J3046" s="83"/>
      <c r="K3046" s="83"/>
      <c r="L3046" s="83"/>
      <c r="M3046" s="83"/>
      <c r="N3046" s="83"/>
      <c r="O3046" s="83"/>
      <c r="P3046" s="83"/>
      <c r="Q3046" s="83"/>
      <c r="R3046" s="83"/>
      <c r="S3046" s="83"/>
      <c r="T3046" s="83"/>
      <c r="U3046" s="83"/>
      <c r="V3046" s="83"/>
      <c r="W3046" s="83"/>
      <c r="X3046" s="83"/>
      <c r="Y3046" s="83"/>
      <c r="Z3046" s="83"/>
    </row>
    <row r="3047">
      <c r="A3047" s="75" t="s">
        <v>34</v>
      </c>
      <c r="B3047" s="75" t="s">
        <v>1020</v>
      </c>
      <c r="C3047" s="75">
        <v>7.38</v>
      </c>
      <c r="D3047" s="75">
        <v>0.0</v>
      </c>
      <c r="E3047" s="75">
        <v>0.0</v>
      </c>
      <c r="F3047" s="75" t="s">
        <v>975</v>
      </c>
      <c r="G3047" s="82">
        <v>46113.0</v>
      </c>
      <c r="H3047" s="76" t="s">
        <v>953</v>
      </c>
      <c r="I3047" s="83"/>
      <c r="J3047" s="83"/>
      <c r="K3047" s="83"/>
      <c r="L3047" s="83"/>
      <c r="M3047" s="83"/>
      <c r="N3047" s="83"/>
      <c r="O3047" s="83"/>
      <c r="P3047" s="83"/>
      <c r="Q3047" s="83"/>
      <c r="R3047" s="83"/>
      <c r="S3047" s="83"/>
      <c r="T3047" s="83"/>
      <c r="U3047" s="83"/>
      <c r="V3047" s="83"/>
      <c r="W3047" s="83"/>
      <c r="X3047" s="83"/>
      <c r="Y3047" s="83"/>
      <c r="Z3047" s="83"/>
    </row>
    <row r="3048">
      <c r="A3048" s="75" t="s">
        <v>40</v>
      </c>
      <c r="B3048" s="75" t="s">
        <v>1020</v>
      </c>
      <c r="C3048" s="75">
        <v>1.77</v>
      </c>
      <c r="D3048" s="75">
        <v>0.0</v>
      </c>
      <c r="E3048" s="75">
        <v>0.0</v>
      </c>
      <c r="F3048" s="75" t="s">
        <v>975</v>
      </c>
      <c r="G3048" s="82">
        <v>46113.0</v>
      </c>
      <c r="H3048" s="76" t="s">
        <v>954</v>
      </c>
      <c r="I3048" s="83"/>
      <c r="J3048" s="83"/>
      <c r="K3048" s="83"/>
      <c r="L3048" s="83"/>
      <c r="M3048" s="83"/>
      <c r="N3048" s="83"/>
      <c r="O3048" s="83"/>
      <c r="P3048" s="83"/>
      <c r="Q3048" s="83"/>
      <c r="R3048" s="83"/>
      <c r="S3048" s="83"/>
      <c r="T3048" s="83"/>
      <c r="U3048" s="83"/>
      <c r="V3048" s="83"/>
      <c r="W3048" s="83"/>
      <c r="X3048" s="83"/>
      <c r="Y3048" s="83"/>
      <c r="Z3048" s="83"/>
    </row>
    <row r="3049">
      <c r="A3049" s="75" t="s">
        <v>40</v>
      </c>
      <c r="B3049" s="75" t="s">
        <v>1020</v>
      </c>
      <c r="C3049" s="75">
        <v>0.81</v>
      </c>
      <c r="D3049" s="75">
        <v>0.0</v>
      </c>
      <c r="E3049" s="75">
        <v>0.0</v>
      </c>
      <c r="F3049" s="75" t="s">
        <v>975</v>
      </c>
      <c r="G3049" s="82">
        <v>46113.0</v>
      </c>
      <c r="H3049" s="76" t="s">
        <v>955</v>
      </c>
      <c r="I3049" s="83"/>
      <c r="J3049" s="83"/>
      <c r="K3049" s="83"/>
      <c r="L3049" s="83"/>
      <c r="M3049" s="83"/>
      <c r="N3049" s="83"/>
      <c r="O3049" s="83"/>
      <c r="P3049" s="83"/>
      <c r="Q3049" s="83"/>
      <c r="R3049" s="83"/>
      <c r="S3049" s="83"/>
      <c r="T3049" s="83"/>
      <c r="U3049" s="83"/>
      <c r="V3049" s="83"/>
      <c r="W3049" s="83"/>
      <c r="X3049" s="83"/>
      <c r="Y3049" s="83"/>
      <c r="Z3049" s="83"/>
    </row>
    <row r="3050">
      <c r="A3050" s="75" t="s">
        <v>40</v>
      </c>
      <c r="B3050" s="75" t="s">
        <v>1020</v>
      </c>
      <c r="C3050" s="75">
        <v>11.09</v>
      </c>
      <c r="D3050" s="75">
        <v>0.0</v>
      </c>
      <c r="E3050" s="75">
        <v>0.0</v>
      </c>
      <c r="F3050" s="75" t="s">
        <v>975</v>
      </c>
      <c r="G3050" s="82">
        <v>46113.0</v>
      </c>
      <c r="H3050" s="76" t="s">
        <v>956</v>
      </c>
      <c r="I3050" s="83"/>
      <c r="J3050" s="83"/>
      <c r="K3050" s="83"/>
      <c r="L3050" s="83"/>
      <c r="M3050" s="83"/>
      <c r="N3050" s="83"/>
      <c r="O3050" s="83"/>
      <c r="P3050" s="83"/>
      <c r="Q3050" s="83"/>
      <c r="R3050" s="83"/>
      <c r="S3050" s="83"/>
      <c r="T3050" s="83"/>
      <c r="U3050" s="83"/>
      <c r="V3050" s="83"/>
      <c r="W3050" s="83"/>
      <c r="X3050" s="83"/>
      <c r="Y3050" s="83"/>
      <c r="Z3050" s="83"/>
    </row>
    <row r="3051">
      <c r="A3051" s="75" t="s">
        <v>33</v>
      </c>
      <c r="B3051" s="75" t="s">
        <v>1020</v>
      </c>
      <c r="C3051" s="75">
        <v>9.94</v>
      </c>
      <c r="D3051" s="75">
        <v>0.0</v>
      </c>
      <c r="E3051" s="75">
        <v>0.0</v>
      </c>
      <c r="F3051" s="75" t="s">
        <v>975</v>
      </c>
      <c r="G3051" s="82">
        <v>46113.0</v>
      </c>
      <c r="H3051" s="76" t="s">
        <v>957</v>
      </c>
      <c r="I3051" s="83"/>
      <c r="J3051" s="83"/>
      <c r="K3051" s="83"/>
      <c r="L3051" s="83"/>
      <c r="M3051" s="83"/>
      <c r="N3051" s="83"/>
      <c r="O3051" s="83"/>
      <c r="P3051" s="83"/>
      <c r="Q3051" s="83"/>
      <c r="R3051" s="83"/>
      <c r="S3051" s="83"/>
      <c r="T3051" s="83"/>
      <c r="U3051" s="83"/>
      <c r="V3051" s="83"/>
      <c r="W3051" s="83"/>
      <c r="X3051" s="83"/>
      <c r="Y3051" s="83"/>
      <c r="Z3051" s="83"/>
    </row>
    <row r="3052">
      <c r="A3052" s="75" t="s">
        <v>33</v>
      </c>
      <c r="B3052" s="75" t="s">
        <v>1020</v>
      </c>
      <c r="C3052" s="75">
        <v>0.82</v>
      </c>
      <c r="D3052" s="75">
        <v>0.0</v>
      </c>
      <c r="E3052" s="75">
        <v>0.0</v>
      </c>
      <c r="F3052" s="75" t="s">
        <v>975</v>
      </c>
      <c r="G3052" s="82">
        <v>46113.0</v>
      </c>
      <c r="H3052" s="76" t="s">
        <v>958</v>
      </c>
      <c r="I3052" s="83"/>
      <c r="J3052" s="83"/>
      <c r="K3052" s="83"/>
      <c r="L3052" s="83"/>
      <c r="M3052" s="83"/>
      <c r="N3052" s="83"/>
      <c r="O3052" s="83"/>
      <c r="P3052" s="83"/>
      <c r="Q3052" s="83"/>
      <c r="R3052" s="83"/>
      <c r="S3052" s="83"/>
      <c r="T3052" s="83"/>
      <c r="U3052" s="83"/>
      <c r="V3052" s="83"/>
      <c r="W3052" s="83"/>
      <c r="X3052" s="83"/>
      <c r="Y3052" s="83"/>
      <c r="Z3052" s="83"/>
    </row>
    <row r="3053">
      <c r="A3053" s="75" t="s">
        <v>33</v>
      </c>
      <c r="B3053" s="75" t="s">
        <v>1020</v>
      </c>
      <c r="C3053" s="75">
        <v>3.4</v>
      </c>
      <c r="D3053" s="75">
        <v>0.0</v>
      </c>
      <c r="E3053" s="75">
        <v>0.0</v>
      </c>
      <c r="F3053" s="75" t="s">
        <v>975</v>
      </c>
      <c r="G3053" s="82">
        <v>46113.0</v>
      </c>
      <c r="H3053" s="76" t="s">
        <v>959</v>
      </c>
      <c r="I3053" s="83"/>
      <c r="J3053" s="83"/>
      <c r="K3053" s="83"/>
      <c r="L3053" s="83"/>
      <c r="M3053" s="83"/>
      <c r="N3053" s="83"/>
      <c r="O3053" s="83"/>
      <c r="P3053" s="83"/>
      <c r="Q3053" s="83"/>
      <c r="R3053" s="83"/>
      <c r="S3053" s="83"/>
      <c r="T3053" s="83"/>
      <c r="U3053" s="83"/>
      <c r="V3053" s="83"/>
      <c r="W3053" s="83"/>
      <c r="X3053" s="83"/>
      <c r="Y3053" s="83"/>
      <c r="Z3053" s="83"/>
    </row>
    <row r="3054">
      <c r="A3054" s="75" t="s">
        <v>46</v>
      </c>
      <c r="B3054" s="75" t="s">
        <v>1020</v>
      </c>
      <c r="C3054" s="75">
        <v>1.2</v>
      </c>
      <c r="D3054" s="75">
        <v>0.0</v>
      </c>
      <c r="E3054" s="75">
        <v>0.0</v>
      </c>
      <c r="F3054" s="75" t="s">
        <v>975</v>
      </c>
      <c r="G3054" s="82">
        <v>46113.0</v>
      </c>
      <c r="H3054" s="76" t="s">
        <v>960</v>
      </c>
      <c r="I3054" s="83"/>
      <c r="J3054" s="83"/>
      <c r="K3054" s="83"/>
      <c r="L3054" s="83"/>
      <c r="M3054" s="83"/>
      <c r="N3054" s="83"/>
      <c r="O3054" s="83"/>
      <c r="P3054" s="83"/>
      <c r="Q3054" s="83"/>
      <c r="R3054" s="83"/>
      <c r="S3054" s="83"/>
      <c r="T3054" s="83"/>
      <c r="U3054" s="83"/>
      <c r="V3054" s="83"/>
      <c r="W3054" s="83"/>
      <c r="X3054" s="83"/>
      <c r="Y3054" s="83"/>
      <c r="Z3054" s="83"/>
    </row>
    <row r="3055">
      <c r="A3055" s="75" t="s">
        <v>46</v>
      </c>
      <c r="B3055" s="75" t="s">
        <v>1020</v>
      </c>
      <c r="C3055" s="75">
        <v>1.47</v>
      </c>
      <c r="D3055" s="75">
        <v>0.0</v>
      </c>
      <c r="E3055" s="75">
        <v>0.0</v>
      </c>
      <c r="F3055" s="75" t="s">
        <v>975</v>
      </c>
      <c r="G3055" s="82">
        <v>46113.0</v>
      </c>
      <c r="H3055" s="76" t="s">
        <v>961</v>
      </c>
      <c r="I3055" s="83"/>
      <c r="J3055" s="83"/>
      <c r="K3055" s="83"/>
      <c r="L3055" s="83"/>
      <c r="M3055" s="83"/>
      <c r="N3055" s="83"/>
      <c r="O3055" s="83"/>
      <c r="P3055" s="83"/>
      <c r="Q3055" s="83"/>
      <c r="R3055" s="83"/>
      <c r="S3055" s="83"/>
      <c r="T3055" s="83"/>
      <c r="U3055" s="83"/>
      <c r="V3055" s="83"/>
      <c r="W3055" s="83"/>
      <c r="X3055" s="83"/>
      <c r="Y3055" s="83"/>
      <c r="Z3055" s="83"/>
    </row>
    <row r="3056">
      <c r="A3056" s="75" t="s">
        <v>46</v>
      </c>
      <c r="B3056" s="75" t="s">
        <v>1020</v>
      </c>
      <c r="C3056" s="75">
        <v>2.5</v>
      </c>
      <c r="D3056" s="75">
        <v>0.0</v>
      </c>
      <c r="E3056" s="75">
        <v>0.0</v>
      </c>
      <c r="F3056" s="75" t="s">
        <v>975</v>
      </c>
      <c r="G3056" s="82">
        <v>46113.0</v>
      </c>
      <c r="H3056" s="76" t="s">
        <v>962</v>
      </c>
      <c r="I3056" s="83"/>
      <c r="J3056" s="83"/>
      <c r="K3056" s="83"/>
      <c r="L3056" s="83"/>
      <c r="M3056" s="83"/>
      <c r="N3056" s="83"/>
      <c r="O3056" s="83"/>
      <c r="P3056" s="83"/>
      <c r="Q3056" s="83"/>
      <c r="R3056" s="83"/>
      <c r="S3056" s="83"/>
      <c r="T3056" s="83"/>
      <c r="U3056" s="83"/>
      <c r="V3056" s="83"/>
      <c r="W3056" s="83"/>
      <c r="X3056" s="83"/>
      <c r="Y3056" s="83"/>
      <c r="Z3056" s="83"/>
    </row>
    <row r="3057">
      <c r="A3057" s="75" t="s">
        <v>43</v>
      </c>
      <c r="B3057" s="75" t="s">
        <v>1020</v>
      </c>
      <c r="C3057" s="75">
        <v>3.04</v>
      </c>
      <c r="D3057" s="75">
        <v>0.0</v>
      </c>
      <c r="E3057" s="75">
        <v>0.0</v>
      </c>
      <c r="F3057" s="75" t="s">
        <v>975</v>
      </c>
      <c r="G3057" s="82">
        <v>46113.0</v>
      </c>
      <c r="H3057" s="76" t="s">
        <v>963</v>
      </c>
      <c r="I3057" s="83"/>
      <c r="J3057" s="83"/>
      <c r="K3057" s="83"/>
      <c r="L3057" s="83"/>
      <c r="M3057" s="83"/>
      <c r="N3057" s="83"/>
      <c r="O3057" s="83"/>
      <c r="P3057" s="83"/>
      <c r="Q3057" s="83"/>
      <c r="R3057" s="83"/>
      <c r="S3057" s="83"/>
      <c r="T3057" s="83"/>
      <c r="U3057" s="83"/>
      <c r="V3057" s="83"/>
      <c r="W3057" s="83"/>
      <c r="X3057" s="83"/>
      <c r="Y3057" s="83"/>
      <c r="Z3057" s="83"/>
    </row>
    <row r="3058">
      <c r="A3058" s="75" t="s">
        <v>43</v>
      </c>
      <c r="B3058" s="75" t="s">
        <v>1020</v>
      </c>
      <c r="C3058" s="75">
        <v>0.81</v>
      </c>
      <c r="D3058" s="75">
        <v>0.0</v>
      </c>
      <c r="E3058" s="75">
        <v>0.0</v>
      </c>
      <c r="F3058" s="75" t="s">
        <v>975</v>
      </c>
      <c r="G3058" s="82">
        <v>46113.0</v>
      </c>
      <c r="H3058" s="76" t="s">
        <v>964</v>
      </c>
      <c r="I3058" s="83"/>
      <c r="J3058" s="83"/>
      <c r="K3058" s="83"/>
      <c r="L3058" s="83"/>
      <c r="M3058" s="83"/>
      <c r="N3058" s="83"/>
      <c r="O3058" s="83"/>
      <c r="P3058" s="83"/>
      <c r="Q3058" s="83"/>
      <c r="R3058" s="83"/>
      <c r="S3058" s="83"/>
      <c r="T3058" s="83"/>
      <c r="U3058" s="83"/>
      <c r="V3058" s="83"/>
      <c r="W3058" s="83"/>
      <c r="X3058" s="83"/>
      <c r="Y3058" s="83"/>
      <c r="Z3058" s="83"/>
    </row>
    <row r="3059">
      <c r="A3059" s="75" t="s">
        <v>43</v>
      </c>
      <c r="B3059" s="75" t="s">
        <v>1020</v>
      </c>
      <c r="C3059" s="75">
        <v>7.73</v>
      </c>
      <c r="D3059" s="75">
        <v>0.0</v>
      </c>
      <c r="E3059" s="75">
        <v>0.0</v>
      </c>
      <c r="F3059" s="75" t="s">
        <v>975</v>
      </c>
      <c r="G3059" s="82">
        <v>46113.0</v>
      </c>
      <c r="H3059" s="76" t="s">
        <v>965</v>
      </c>
      <c r="I3059" s="83"/>
      <c r="J3059" s="83"/>
      <c r="K3059" s="83"/>
      <c r="L3059" s="83"/>
      <c r="M3059" s="83"/>
      <c r="N3059" s="83"/>
      <c r="O3059" s="83"/>
      <c r="P3059" s="83"/>
      <c r="Q3059" s="83"/>
      <c r="R3059" s="83"/>
      <c r="S3059" s="83"/>
      <c r="T3059" s="83"/>
      <c r="U3059" s="83"/>
      <c r="V3059" s="83"/>
      <c r="W3059" s="83"/>
      <c r="X3059" s="83"/>
      <c r="Y3059" s="83"/>
      <c r="Z3059" s="83"/>
    </row>
    <row r="3060">
      <c r="A3060" s="75" t="s">
        <v>966</v>
      </c>
      <c r="B3060" s="75" t="s">
        <v>1020</v>
      </c>
      <c r="C3060" s="75">
        <v>6.62</v>
      </c>
      <c r="D3060" s="75">
        <v>0.0</v>
      </c>
      <c r="E3060" s="75">
        <v>0.0</v>
      </c>
      <c r="F3060" s="75" t="s">
        <v>975</v>
      </c>
      <c r="G3060" s="82">
        <v>46113.0</v>
      </c>
      <c r="H3060" s="76" t="s">
        <v>967</v>
      </c>
      <c r="I3060" s="83"/>
      <c r="J3060" s="83"/>
      <c r="K3060" s="83"/>
      <c r="L3060" s="83"/>
      <c r="M3060" s="83"/>
      <c r="N3060" s="83"/>
      <c r="O3060" s="83"/>
      <c r="P3060" s="83"/>
      <c r="Q3060" s="83"/>
      <c r="R3060" s="83"/>
      <c r="S3060" s="83"/>
      <c r="T3060" s="83"/>
      <c r="U3060" s="83"/>
      <c r="V3060" s="83"/>
      <c r="W3060" s="83"/>
      <c r="X3060" s="83"/>
      <c r="Y3060" s="83"/>
      <c r="Z3060" s="83"/>
    </row>
    <row r="3061">
      <c r="A3061" s="75" t="s">
        <v>966</v>
      </c>
      <c r="B3061" s="75" t="s">
        <v>1020</v>
      </c>
      <c r="C3061" s="75">
        <v>1.74</v>
      </c>
      <c r="D3061" s="75">
        <v>0.0</v>
      </c>
      <c r="E3061" s="75">
        <v>0.0</v>
      </c>
      <c r="F3061" s="75" t="s">
        <v>975</v>
      </c>
      <c r="G3061" s="82">
        <v>46113.0</v>
      </c>
      <c r="H3061" s="76" t="s">
        <v>968</v>
      </c>
      <c r="I3061" s="83"/>
      <c r="J3061" s="83"/>
      <c r="K3061" s="83"/>
      <c r="L3061" s="83"/>
      <c r="M3061" s="83"/>
      <c r="N3061" s="83"/>
      <c r="O3061" s="83"/>
      <c r="P3061" s="83"/>
      <c r="Q3061" s="83"/>
      <c r="R3061" s="83"/>
      <c r="S3061" s="83"/>
      <c r="T3061" s="83"/>
      <c r="U3061" s="83"/>
      <c r="V3061" s="83"/>
      <c r="W3061" s="83"/>
      <c r="X3061" s="83"/>
      <c r="Y3061" s="83"/>
      <c r="Z3061" s="83"/>
    </row>
    <row r="3062">
      <c r="A3062" s="75" t="s">
        <v>966</v>
      </c>
      <c r="B3062" s="75" t="s">
        <v>1020</v>
      </c>
      <c r="C3062" s="75">
        <v>1.16</v>
      </c>
      <c r="D3062" s="75">
        <v>0.0</v>
      </c>
      <c r="E3062" s="75">
        <v>0.0</v>
      </c>
      <c r="F3062" s="75" t="s">
        <v>975</v>
      </c>
      <c r="G3062" s="82">
        <v>46113.0</v>
      </c>
      <c r="H3062" s="76" t="s">
        <v>969</v>
      </c>
      <c r="I3062" s="83"/>
      <c r="J3062" s="83"/>
      <c r="K3062" s="83"/>
      <c r="L3062" s="83"/>
      <c r="M3062" s="83"/>
      <c r="N3062" s="83"/>
      <c r="O3062" s="83"/>
      <c r="P3062" s="83"/>
      <c r="Q3062" s="83"/>
      <c r="R3062" s="83"/>
      <c r="S3062" s="83"/>
      <c r="T3062" s="83"/>
      <c r="U3062" s="83"/>
      <c r="V3062" s="83"/>
      <c r="W3062" s="83"/>
      <c r="X3062" s="83"/>
      <c r="Y3062" s="83"/>
      <c r="Z3062" s="83"/>
    </row>
    <row r="3063">
      <c r="A3063" s="75" t="s">
        <v>36</v>
      </c>
      <c r="B3063" s="75" t="s">
        <v>1020</v>
      </c>
      <c r="C3063" s="75">
        <v>4.23</v>
      </c>
      <c r="D3063" s="75">
        <v>0.0</v>
      </c>
      <c r="E3063" s="75">
        <v>0.0</v>
      </c>
      <c r="F3063" s="75" t="s">
        <v>975</v>
      </c>
      <c r="G3063" s="82">
        <v>46113.0</v>
      </c>
      <c r="H3063" s="76" t="s">
        <v>926</v>
      </c>
      <c r="I3063" s="83"/>
      <c r="J3063" s="83"/>
      <c r="K3063" s="83"/>
      <c r="L3063" s="83"/>
      <c r="M3063" s="83"/>
      <c r="N3063" s="83"/>
      <c r="O3063" s="83"/>
      <c r="P3063" s="83"/>
      <c r="Q3063" s="83"/>
      <c r="R3063" s="83"/>
      <c r="S3063" s="83"/>
      <c r="T3063" s="83"/>
      <c r="U3063" s="83"/>
      <c r="V3063" s="83"/>
      <c r="W3063" s="83"/>
      <c r="X3063" s="83"/>
      <c r="Y3063" s="83"/>
      <c r="Z3063" s="83"/>
    </row>
    <row r="3064">
      <c r="A3064" s="75" t="s">
        <v>36</v>
      </c>
      <c r="B3064" s="75" t="s">
        <v>1020</v>
      </c>
      <c r="C3064" s="75">
        <v>2.43</v>
      </c>
      <c r="D3064" s="75">
        <v>0.0</v>
      </c>
      <c r="E3064" s="75">
        <v>0.0</v>
      </c>
      <c r="F3064" s="75" t="s">
        <v>975</v>
      </c>
      <c r="G3064" s="82">
        <v>46113.0</v>
      </c>
      <c r="H3064" s="76" t="s">
        <v>927</v>
      </c>
      <c r="I3064" s="83"/>
      <c r="J3064" s="83"/>
      <c r="K3064" s="83"/>
      <c r="L3064" s="83"/>
      <c r="M3064" s="83"/>
      <c r="N3064" s="83"/>
      <c r="O3064" s="83"/>
      <c r="P3064" s="83"/>
      <c r="Q3064" s="83"/>
      <c r="R3064" s="83"/>
      <c r="S3064" s="83"/>
      <c r="T3064" s="83"/>
      <c r="U3064" s="83"/>
      <c r="V3064" s="83"/>
      <c r="W3064" s="83"/>
      <c r="X3064" s="83"/>
      <c r="Y3064" s="83"/>
      <c r="Z3064" s="83"/>
    </row>
    <row r="3065">
      <c r="A3065" s="75" t="s">
        <v>36</v>
      </c>
      <c r="B3065" s="75" t="s">
        <v>1020</v>
      </c>
      <c r="C3065" s="75">
        <v>2.2</v>
      </c>
      <c r="D3065" s="75">
        <v>0.0</v>
      </c>
      <c r="E3065" s="75">
        <v>0.0</v>
      </c>
      <c r="F3065" s="75" t="s">
        <v>975</v>
      </c>
      <c r="G3065" s="82">
        <v>46113.0</v>
      </c>
      <c r="H3065" s="76" t="s">
        <v>928</v>
      </c>
      <c r="I3065" s="83"/>
      <c r="J3065" s="83"/>
      <c r="K3065" s="83"/>
      <c r="L3065" s="83"/>
      <c r="M3065" s="83"/>
      <c r="N3065" s="83"/>
      <c r="O3065" s="83"/>
      <c r="P3065" s="83"/>
      <c r="Q3065" s="83"/>
      <c r="R3065" s="83"/>
      <c r="S3065" s="83"/>
      <c r="T3065" s="83"/>
      <c r="U3065" s="83"/>
      <c r="V3065" s="83"/>
      <c r="W3065" s="83"/>
      <c r="X3065" s="83"/>
      <c r="Y3065" s="83"/>
      <c r="Z3065" s="83"/>
    </row>
    <row r="3066">
      <c r="A3066" s="75" t="s">
        <v>970</v>
      </c>
      <c r="B3066" s="75" t="s">
        <v>1020</v>
      </c>
      <c r="C3066" s="75">
        <v>2.25</v>
      </c>
      <c r="D3066" s="75">
        <v>0.0</v>
      </c>
      <c r="E3066" s="75">
        <v>0.0</v>
      </c>
      <c r="F3066" s="75" t="s">
        <v>975</v>
      </c>
      <c r="G3066" s="82">
        <v>46113.0</v>
      </c>
      <c r="H3066" s="76" t="s">
        <v>971</v>
      </c>
      <c r="I3066" s="83"/>
      <c r="J3066" s="83"/>
      <c r="K3066" s="83"/>
      <c r="L3066" s="83"/>
      <c r="M3066" s="83"/>
      <c r="N3066" s="83"/>
      <c r="O3066" s="83"/>
      <c r="P3066" s="83"/>
      <c r="Q3066" s="83"/>
      <c r="R3066" s="83"/>
      <c r="S3066" s="83"/>
      <c r="T3066" s="83"/>
      <c r="U3066" s="83"/>
      <c r="V3066" s="83"/>
      <c r="W3066" s="83"/>
      <c r="X3066" s="83"/>
      <c r="Y3066" s="83"/>
      <c r="Z3066" s="83"/>
    </row>
    <row r="3067">
      <c r="A3067" s="75" t="s">
        <v>970</v>
      </c>
      <c r="B3067" s="75" t="s">
        <v>1020</v>
      </c>
      <c r="C3067" s="75">
        <v>0.75</v>
      </c>
      <c r="D3067" s="75">
        <v>0.0</v>
      </c>
      <c r="E3067" s="75">
        <v>0.0</v>
      </c>
      <c r="F3067" s="75" t="s">
        <v>975</v>
      </c>
      <c r="G3067" s="82">
        <v>46113.0</v>
      </c>
      <c r="H3067" s="76" t="s">
        <v>972</v>
      </c>
      <c r="I3067" s="83"/>
      <c r="J3067" s="83"/>
      <c r="K3067" s="83"/>
      <c r="L3067" s="83"/>
      <c r="M3067" s="83"/>
      <c r="N3067" s="83"/>
      <c r="O3067" s="83"/>
      <c r="P3067" s="83"/>
      <c r="Q3067" s="83"/>
      <c r="R3067" s="83"/>
      <c r="S3067" s="83"/>
      <c r="T3067" s="83"/>
      <c r="U3067" s="83"/>
      <c r="V3067" s="83"/>
      <c r="W3067" s="83"/>
      <c r="X3067" s="83"/>
      <c r="Y3067" s="83"/>
      <c r="Z3067" s="83"/>
    </row>
    <row r="3068">
      <c r="A3068" s="75" t="s">
        <v>970</v>
      </c>
      <c r="B3068" s="75" t="s">
        <v>1020</v>
      </c>
      <c r="C3068" s="75">
        <v>7.0</v>
      </c>
      <c r="D3068" s="75">
        <v>1.0</v>
      </c>
      <c r="E3068" s="75">
        <v>7.0</v>
      </c>
      <c r="F3068" s="75" t="s">
        <v>975</v>
      </c>
      <c r="G3068" s="82">
        <v>46113.0</v>
      </c>
      <c r="H3068" s="76" t="s">
        <v>973</v>
      </c>
      <c r="I3068" s="83"/>
      <c r="J3068" s="83"/>
      <c r="K3068" s="83"/>
      <c r="L3068" s="83"/>
      <c r="M3068" s="83"/>
      <c r="N3068" s="83"/>
      <c r="O3068" s="83"/>
      <c r="P3068" s="83"/>
      <c r="Q3068" s="83"/>
      <c r="R3068" s="83"/>
      <c r="S3068" s="83"/>
      <c r="T3068" s="83"/>
      <c r="U3068" s="83"/>
      <c r="V3068" s="83"/>
      <c r="W3068" s="83"/>
      <c r="X3068" s="83"/>
      <c r="Y3068" s="83"/>
      <c r="Z3068" s="83"/>
    </row>
    <row r="3069">
      <c r="A3069" s="75" t="s">
        <v>29</v>
      </c>
      <c r="B3069" s="75" t="s">
        <v>1020</v>
      </c>
      <c r="C3069" s="75">
        <v>2.42</v>
      </c>
      <c r="D3069" s="75">
        <v>0.0</v>
      </c>
      <c r="E3069" s="75">
        <v>0.0</v>
      </c>
      <c r="F3069" s="75" t="s">
        <v>975</v>
      </c>
      <c r="G3069" s="82">
        <v>46113.0</v>
      </c>
      <c r="H3069" s="76" t="s">
        <v>971</v>
      </c>
      <c r="I3069" s="83"/>
      <c r="J3069" s="83"/>
      <c r="K3069" s="83"/>
      <c r="L3069" s="83"/>
      <c r="M3069" s="83"/>
      <c r="N3069" s="83"/>
      <c r="O3069" s="83"/>
      <c r="P3069" s="83"/>
      <c r="Q3069" s="83"/>
      <c r="R3069" s="83"/>
      <c r="S3069" s="83"/>
      <c r="T3069" s="83"/>
      <c r="U3069" s="83"/>
      <c r="V3069" s="83"/>
      <c r="W3069" s="83"/>
      <c r="X3069" s="83"/>
      <c r="Y3069" s="83"/>
      <c r="Z3069" s="83"/>
    </row>
    <row r="3070">
      <c r="A3070" s="75" t="s">
        <v>29</v>
      </c>
      <c r="B3070" s="75" t="s">
        <v>1020</v>
      </c>
      <c r="C3070" s="75">
        <v>0.78</v>
      </c>
      <c r="D3070" s="75">
        <v>0.0</v>
      </c>
      <c r="E3070" s="75">
        <v>0.0</v>
      </c>
      <c r="F3070" s="75" t="s">
        <v>975</v>
      </c>
      <c r="G3070" s="82">
        <v>46113.0</v>
      </c>
      <c r="H3070" s="76" t="s">
        <v>972</v>
      </c>
      <c r="I3070" s="83"/>
      <c r="J3070" s="83"/>
      <c r="K3070" s="83"/>
      <c r="L3070" s="83"/>
      <c r="M3070" s="83"/>
      <c r="N3070" s="83"/>
      <c r="O3070" s="83"/>
      <c r="P3070" s="83"/>
      <c r="Q3070" s="83"/>
      <c r="R3070" s="83"/>
      <c r="S3070" s="83"/>
      <c r="T3070" s="83"/>
      <c r="U3070" s="83"/>
      <c r="V3070" s="83"/>
      <c r="W3070" s="83"/>
      <c r="X3070" s="83"/>
      <c r="Y3070" s="83"/>
      <c r="Z3070" s="83"/>
    </row>
    <row r="3071">
      <c r="A3071" s="75" t="s">
        <v>29</v>
      </c>
      <c r="B3071" s="75" t="s">
        <v>1020</v>
      </c>
      <c r="C3071" s="75">
        <v>7.17</v>
      </c>
      <c r="D3071" s="75">
        <v>0.0</v>
      </c>
      <c r="E3071" s="75">
        <v>0.0</v>
      </c>
      <c r="F3071" s="75" t="s">
        <v>975</v>
      </c>
      <c r="G3071" s="82">
        <v>46113.0</v>
      </c>
      <c r="H3071" s="76" t="s">
        <v>973</v>
      </c>
      <c r="I3071" s="83"/>
      <c r="J3071" s="83"/>
      <c r="K3071" s="83"/>
      <c r="L3071" s="83"/>
      <c r="M3071" s="83"/>
      <c r="N3071" s="83"/>
      <c r="O3071" s="83"/>
      <c r="P3071" s="83"/>
      <c r="Q3071" s="83"/>
      <c r="R3071" s="83"/>
      <c r="S3071" s="83"/>
      <c r="T3071" s="83"/>
      <c r="U3071" s="83"/>
      <c r="V3071" s="83"/>
      <c r="W3071" s="83"/>
      <c r="X3071" s="83"/>
      <c r="Y3071" s="83"/>
      <c r="Z3071" s="83"/>
    </row>
    <row r="3072">
      <c r="A3072" s="75" t="s">
        <v>34</v>
      </c>
      <c r="B3072" s="75" t="s">
        <v>1001</v>
      </c>
      <c r="C3072" s="75">
        <v>3.38</v>
      </c>
      <c r="D3072" s="75">
        <v>0.0</v>
      </c>
      <c r="E3072" s="75">
        <v>0.0</v>
      </c>
      <c r="F3072" s="75" t="s">
        <v>950</v>
      </c>
      <c r="G3072" s="82">
        <v>46113.0</v>
      </c>
      <c r="H3072" s="76" t="s">
        <v>951</v>
      </c>
      <c r="I3072" s="83"/>
      <c r="J3072" s="83"/>
      <c r="K3072" s="83"/>
      <c r="L3072" s="83"/>
      <c r="M3072" s="83"/>
      <c r="N3072" s="83"/>
      <c r="O3072" s="83"/>
      <c r="P3072" s="83"/>
      <c r="Q3072" s="83"/>
      <c r="R3072" s="83"/>
      <c r="S3072" s="83"/>
      <c r="T3072" s="83"/>
      <c r="U3072" s="83"/>
      <c r="V3072" s="83"/>
      <c r="W3072" s="83"/>
      <c r="X3072" s="83"/>
      <c r="Y3072" s="83"/>
      <c r="Z3072" s="83"/>
    </row>
    <row r="3073">
      <c r="A3073" s="75" t="s">
        <v>34</v>
      </c>
      <c r="B3073" s="75" t="s">
        <v>1001</v>
      </c>
      <c r="C3073" s="75">
        <v>1.57</v>
      </c>
      <c r="D3073" s="75">
        <v>0.0</v>
      </c>
      <c r="E3073" s="75">
        <v>0.0</v>
      </c>
      <c r="F3073" s="75" t="s">
        <v>950</v>
      </c>
      <c r="G3073" s="82">
        <v>46113.0</v>
      </c>
      <c r="H3073" s="76" t="s">
        <v>952</v>
      </c>
      <c r="I3073" s="83"/>
      <c r="J3073" s="83"/>
      <c r="K3073" s="83"/>
      <c r="L3073" s="83"/>
      <c r="M3073" s="83"/>
      <c r="N3073" s="83"/>
      <c r="O3073" s="83"/>
      <c r="P3073" s="83"/>
      <c r="Q3073" s="83"/>
      <c r="R3073" s="83"/>
      <c r="S3073" s="83"/>
      <c r="T3073" s="83"/>
      <c r="U3073" s="83"/>
      <c r="V3073" s="83"/>
      <c r="W3073" s="83"/>
      <c r="X3073" s="83"/>
      <c r="Y3073" s="83"/>
      <c r="Z3073" s="83"/>
    </row>
    <row r="3074">
      <c r="A3074" s="75" t="s">
        <v>34</v>
      </c>
      <c r="B3074" s="75" t="s">
        <v>1001</v>
      </c>
      <c r="C3074" s="75">
        <v>15.1</v>
      </c>
      <c r="D3074" s="75">
        <v>0.0</v>
      </c>
      <c r="E3074" s="75">
        <v>0.0</v>
      </c>
      <c r="F3074" s="75" t="s">
        <v>950</v>
      </c>
      <c r="G3074" s="82">
        <v>46113.0</v>
      </c>
      <c r="H3074" s="76" t="s">
        <v>953</v>
      </c>
      <c r="I3074" s="83"/>
      <c r="J3074" s="83"/>
      <c r="K3074" s="83"/>
      <c r="L3074" s="83"/>
      <c r="M3074" s="83"/>
      <c r="N3074" s="83"/>
      <c r="O3074" s="83"/>
      <c r="P3074" s="83"/>
      <c r="Q3074" s="83"/>
      <c r="R3074" s="83"/>
      <c r="S3074" s="83"/>
      <c r="T3074" s="83"/>
      <c r="U3074" s="83"/>
      <c r="V3074" s="83"/>
      <c r="W3074" s="83"/>
      <c r="X3074" s="83"/>
      <c r="Y3074" s="83"/>
      <c r="Z3074" s="83"/>
    </row>
    <row r="3075">
      <c r="A3075" s="75" t="s">
        <v>40</v>
      </c>
      <c r="B3075" s="75" t="s">
        <v>1001</v>
      </c>
      <c r="C3075" s="75">
        <v>0.94</v>
      </c>
      <c r="D3075" s="75">
        <v>0.0</v>
      </c>
      <c r="E3075" s="75">
        <v>0.0</v>
      </c>
      <c r="F3075" s="75" t="s">
        <v>950</v>
      </c>
      <c r="G3075" s="82">
        <v>46113.0</v>
      </c>
      <c r="H3075" s="76" t="s">
        <v>954</v>
      </c>
      <c r="I3075" s="83"/>
      <c r="J3075" s="83"/>
      <c r="K3075" s="83"/>
      <c r="L3075" s="83"/>
      <c r="M3075" s="83"/>
      <c r="N3075" s="83"/>
      <c r="O3075" s="83"/>
      <c r="P3075" s="83"/>
      <c r="Q3075" s="83"/>
      <c r="R3075" s="83"/>
      <c r="S3075" s="83"/>
      <c r="T3075" s="83"/>
      <c r="U3075" s="83"/>
      <c r="V3075" s="83"/>
      <c r="W3075" s="83"/>
      <c r="X3075" s="83"/>
      <c r="Y3075" s="83"/>
      <c r="Z3075" s="83"/>
    </row>
    <row r="3076">
      <c r="A3076" s="75" t="s">
        <v>40</v>
      </c>
      <c r="B3076" s="75" t="s">
        <v>1001</v>
      </c>
      <c r="C3076" s="75">
        <v>0.09</v>
      </c>
      <c r="D3076" s="75">
        <v>0.0</v>
      </c>
      <c r="E3076" s="75">
        <v>0.0</v>
      </c>
      <c r="F3076" s="75" t="s">
        <v>950</v>
      </c>
      <c r="G3076" s="82">
        <v>46113.0</v>
      </c>
      <c r="H3076" s="76" t="s">
        <v>955</v>
      </c>
      <c r="I3076" s="83"/>
      <c r="J3076" s="83"/>
      <c r="K3076" s="83"/>
      <c r="L3076" s="83"/>
      <c r="M3076" s="83"/>
      <c r="N3076" s="83"/>
      <c r="O3076" s="83"/>
      <c r="P3076" s="83"/>
      <c r="Q3076" s="83"/>
      <c r="R3076" s="83"/>
      <c r="S3076" s="83"/>
      <c r="T3076" s="83"/>
      <c r="U3076" s="83"/>
      <c r="V3076" s="83"/>
      <c r="W3076" s="83"/>
      <c r="X3076" s="83"/>
      <c r="Y3076" s="83"/>
      <c r="Z3076" s="83"/>
    </row>
    <row r="3077">
      <c r="A3077" s="75" t="s">
        <v>40</v>
      </c>
      <c r="B3077" s="75" t="s">
        <v>1001</v>
      </c>
      <c r="C3077" s="75">
        <v>25.84</v>
      </c>
      <c r="D3077" s="75">
        <v>0.0</v>
      </c>
      <c r="E3077" s="75">
        <v>0.0</v>
      </c>
      <c r="F3077" s="75" t="s">
        <v>950</v>
      </c>
      <c r="G3077" s="82">
        <v>46113.0</v>
      </c>
      <c r="H3077" s="76" t="s">
        <v>956</v>
      </c>
      <c r="I3077" s="83"/>
      <c r="J3077" s="83"/>
      <c r="K3077" s="83"/>
      <c r="L3077" s="83"/>
      <c r="M3077" s="83"/>
      <c r="N3077" s="83"/>
      <c r="O3077" s="83"/>
      <c r="P3077" s="83"/>
      <c r="Q3077" s="83"/>
      <c r="R3077" s="83"/>
      <c r="S3077" s="83"/>
      <c r="T3077" s="83"/>
      <c r="U3077" s="83"/>
      <c r="V3077" s="83"/>
      <c r="W3077" s="83"/>
      <c r="X3077" s="83"/>
      <c r="Y3077" s="83"/>
      <c r="Z3077" s="83"/>
    </row>
    <row r="3078">
      <c r="A3078" s="75" t="s">
        <v>33</v>
      </c>
      <c r="B3078" s="75" t="s">
        <v>1001</v>
      </c>
      <c r="C3078" s="75">
        <v>41.96</v>
      </c>
      <c r="D3078" s="75">
        <v>0.0</v>
      </c>
      <c r="E3078" s="75">
        <v>0.0</v>
      </c>
      <c r="F3078" s="75" t="s">
        <v>950</v>
      </c>
      <c r="G3078" s="82">
        <v>46113.0</v>
      </c>
      <c r="H3078" s="76" t="s">
        <v>957</v>
      </c>
      <c r="I3078" s="83"/>
      <c r="J3078" s="83"/>
      <c r="K3078" s="83"/>
      <c r="L3078" s="83"/>
      <c r="M3078" s="83"/>
      <c r="N3078" s="83"/>
      <c r="O3078" s="83"/>
      <c r="P3078" s="83"/>
      <c r="Q3078" s="83"/>
      <c r="R3078" s="83"/>
      <c r="S3078" s="83"/>
      <c r="T3078" s="83"/>
      <c r="U3078" s="83"/>
      <c r="V3078" s="83"/>
      <c r="W3078" s="83"/>
      <c r="X3078" s="83"/>
      <c r="Y3078" s="83"/>
      <c r="Z3078" s="83"/>
    </row>
    <row r="3079">
      <c r="A3079" s="75" t="s">
        <v>33</v>
      </c>
      <c r="B3079" s="75" t="s">
        <v>1001</v>
      </c>
      <c r="C3079" s="75">
        <v>0.81</v>
      </c>
      <c r="D3079" s="75">
        <v>0.0</v>
      </c>
      <c r="E3079" s="75">
        <v>0.0</v>
      </c>
      <c r="F3079" s="75" t="s">
        <v>950</v>
      </c>
      <c r="G3079" s="82">
        <v>46113.0</v>
      </c>
      <c r="H3079" s="76" t="s">
        <v>958</v>
      </c>
      <c r="I3079" s="83"/>
      <c r="J3079" s="83"/>
      <c r="K3079" s="83"/>
      <c r="L3079" s="83"/>
      <c r="M3079" s="83"/>
      <c r="N3079" s="83"/>
      <c r="O3079" s="83"/>
      <c r="P3079" s="83"/>
      <c r="Q3079" s="83"/>
      <c r="R3079" s="83"/>
      <c r="S3079" s="83"/>
      <c r="T3079" s="83"/>
      <c r="U3079" s="83"/>
      <c r="V3079" s="83"/>
      <c r="W3079" s="83"/>
      <c r="X3079" s="83"/>
      <c r="Y3079" s="83"/>
      <c r="Z3079" s="83"/>
    </row>
    <row r="3080">
      <c r="A3080" s="75" t="s">
        <v>33</v>
      </c>
      <c r="B3080" s="75" t="s">
        <v>1001</v>
      </c>
      <c r="C3080" s="75">
        <v>1.17</v>
      </c>
      <c r="D3080" s="75">
        <v>0.0</v>
      </c>
      <c r="E3080" s="75">
        <v>0.0</v>
      </c>
      <c r="F3080" s="75" t="s">
        <v>950</v>
      </c>
      <c r="G3080" s="82">
        <v>46113.0</v>
      </c>
      <c r="H3080" s="76" t="s">
        <v>959</v>
      </c>
      <c r="I3080" s="83"/>
      <c r="J3080" s="83"/>
      <c r="K3080" s="83"/>
      <c r="L3080" s="83"/>
      <c r="M3080" s="83"/>
      <c r="N3080" s="83"/>
      <c r="O3080" s="83"/>
      <c r="P3080" s="83"/>
      <c r="Q3080" s="83"/>
      <c r="R3080" s="83"/>
      <c r="S3080" s="83"/>
      <c r="T3080" s="83"/>
      <c r="U3080" s="83"/>
      <c r="V3080" s="83"/>
      <c r="W3080" s="83"/>
      <c r="X3080" s="83"/>
      <c r="Y3080" s="83"/>
      <c r="Z3080" s="83"/>
    </row>
    <row r="3081">
      <c r="A3081" s="75" t="s">
        <v>46</v>
      </c>
      <c r="B3081" s="75" t="s">
        <v>1001</v>
      </c>
      <c r="C3081" s="75">
        <v>20.3</v>
      </c>
      <c r="D3081" s="75">
        <v>0.0</v>
      </c>
      <c r="E3081" s="75">
        <v>0.0</v>
      </c>
      <c r="F3081" s="75" t="s">
        <v>950</v>
      </c>
      <c r="G3081" s="82">
        <v>46113.0</v>
      </c>
      <c r="H3081" s="76" t="s">
        <v>960</v>
      </c>
      <c r="I3081" s="83"/>
      <c r="J3081" s="83"/>
      <c r="K3081" s="83"/>
      <c r="L3081" s="83"/>
      <c r="M3081" s="83"/>
      <c r="N3081" s="83"/>
      <c r="O3081" s="83"/>
      <c r="P3081" s="83"/>
      <c r="Q3081" s="83"/>
      <c r="R3081" s="83"/>
      <c r="S3081" s="83"/>
      <c r="T3081" s="83"/>
      <c r="U3081" s="83"/>
      <c r="V3081" s="83"/>
      <c r="W3081" s="83"/>
      <c r="X3081" s="83"/>
      <c r="Y3081" s="83"/>
      <c r="Z3081" s="83"/>
    </row>
    <row r="3082">
      <c r="A3082" s="75" t="s">
        <v>46</v>
      </c>
      <c r="B3082" s="75" t="s">
        <v>1001</v>
      </c>
      <c r="C3082" s="75">
        <v>0.37</v>
      </c>
      <c r="D3082" s="75">
        <v>0.0</v>
      </c>
      <c r="E3082" s="75">
        <v>0.0</v>
      </c>
      <c r="F3082" s="75" t="s">
        <v>950</v>
      </c>
      <c r="G3082" s="82">
        <v>46113.0</v>
      </c>
      <c r="H3082" s="76" t="s">
        <v>961</v>
      </c>
      <c r="I3082" s="83"/>
      <c r="J3082" s="83"/>
      <c r="K3082" s="83"/>
      <c r="L3082" s="83"/>
      <c r="M3082" s="83"/>
      <c r="N3082" s="83"/>
      <c r="O3082" s="83"/>
      <c r="P3082" s="83"/>
      <c r="Q3082" s="83"/>
      <c r="R3082" s="83"/>
      <c r="S3082" s="83"/>
      <c r="T3082" s="83"/>
      <c r="U3082" s="83"/>
      <c r="V3082" s="83"/>
      <c r="W3082" s="83"/>
      <c r="X3082" s="83"/>
      <c r="Y3082" s="83"/>
      <c r="Z3082" s="83"/>
    </row>
    <row r="3083">
      <c r="A3083" s="75" t="s">
        <v>46</v>
      </c>
      <c r="B3083" s="75" t="s">
        <v>1001</v>
      </c>
      <c r="C3083" s="75">
        <v>0.98</v>
      </c>
      <c r="D3083" s="75">
        <v>0.0</v>
      </c>
      <c r="E3083" s="75">
        <v>0.0</v>
      </c>
      <c r="F3083" s="75" t="s">
        <v>950</v>
      </c>
      <c r="G3083" s="82">
        <v>46113.0</v>
      </c>
      <c r="H3083" s="76" t="s">
        <v>962</v>
      </c>
      <c r="I3083" s="83"/>
      <c r="J3083" s="83"/>
      <c r="K3083" s="83"/>
      <c r="L3083" s="83"/>
      <c r="M3083" s="83"/>
      <c r="N3083" s="83"/>
      <c r="O3083" s="83"/>
      <c r="P3083" s="83"/>
      <c r="Q3083" s="83"/>
      <c r="R3083" s="83"/>
      <c r="S3083" s="83"/>
      <c r="T3083" s="83"/>
      <c r="U3083" s="83"/>
      <c r="V3083" s="83"/>
      <c r="W3083" s="83"/>
      <c r="X3083" s="83"/>
      <c r="Y3083" s="83"/>
      <c r="Z3083" s="83"/>
    </row>
    <row r="3084">
      <c r="A3084" s="75" t="s">
        <v>43</v>
      </c>
      <c r="B3084" s="75" t="s">
        <v>1001</v>
      </c>
      <c r="C3084" s="75">
        <v>1.34</v>
      </c>
      <c r="D3084" s="75">
        <v>0.0</v>
      </c>
      <c r="E3084" s="75">
        <v>0.0</v>
      </c>
      <c r="F3084" s="75" t="s">
        <v>950</v>
      </c>
      <c r="G3084" s="82">
        <v>46113.0</v>
      </c>
      <c r="H3084" s="76" t="s">
        <v>963</v>
      </c>
      <c r="I3084" s="83"/>
      <c r="J3084" s="83"/>
      <c r="K3084" s="83"/>
      <c r="L3084" s="83"/>
      <c r="M3084" s="83"/>
      <c r="N3084" s="83"/>
      <c r="O3084" s="83"/>
      <c r="P3084" s="83"/>
      <c r="Q3084" s="83"/>
      <c r="R3084" s="83"/>
      <c r="S3084" s="83"/>
      <c r="T3084" s="83"/>
      <c r="U3084" s="83"/>
      <c r="V3084" s="83"/>
      <c r="W3084" s="83"/>
      <c r="X3084" s="83"/>
      <c r="Y3084" s="83"/>
      <c r="Z3084" s="83"/>
    </row>
    <row r="3085">
      <c r="A3085" s="75" t="s">
        <v>43</v>
      </c>
      <c r="B3085" s="75" t="s">
        <v>1001</v>
      </c>
      <c r="C3085" s="75">
        <v>2.71</v>
      </c>
      <c r="D3085" s="75">
        <v>0.0</v>
      </c>
      <c r="E3085" s="75">
        <v>0.0</v>
      </c>
      <c r="F3085" s="75" t="s">
        <v>950</v>
      </c>
      <c r="G3085" s="82">
        <v>46113.0</v>
      </c>
      <c r="H3085" s="76" t="s">
        <v>964</v>
      </c>
      <c r="I3085" s="83"/>
      <c r="J3085" s="83"/>
      <c r="K3085" s="83"/>
      <c r="L3085" s="83"/>
      <c r="M3085" s="83"/>
      <c r="N3085" s="83"/>
      <c r="O3085" s="83"/>
      <c r="P3085" s="83"/>
      <c r="Q3085" s="83"/>
      <c r="R3085" s="83"/>
      <c r="S3085" s="83"/>
      <c r="T3085" s="83"/>
      <c r="U3085" s="83"/>
      <c r="V3085" s="83"/>
      <c r="W3085" s="83"/>
      <c r="X3085" s="83"/>
      <c r="Y3085" s="83"/>
      <c r="Z3085" s="83"/>
    </row>
    <row r="3086">
      <c r="A3086" s="75" t="s">
        <v>43</v>
      </c>
      <c r="B3086" s="75" t="s">
        <v>1001</v>
      </c>
      <c r="C3086" s="75">
        <v>6.8</v>
      </c>
      <c r="D3086" s="75">
        <v>0.0</v>
      </c>
      <c r="E3086" s="75">
        <v>0.0</v>
      </c>
      <c r="F3086" s="75" t="s">
        <v>950</v>
      </c>
      <c r="G3086" s="82">
        <v>46113.0</v>
      </c>
      <c r="H3086" s="76" t="s">
        <v>965</v>
      </c>
      <c r="I3086" s="83"/>
      <c r="J3086" s="83"/>
      <c r="K3086" s="83"/>
      <c r="L3086" s="83"/>
      <c r="M3086" s="83"/>
      <c r="N3086" s="83"/>
      <c r="O3086" s="83"/>
      <c r="P3086" s="83"/>
      <c r="Q3086" s="83"/>
      <c r="R3086" s="83"/>
      <c r="S3086" s="83"/>
      <c r="T3086" s="83"/>
      <c r="U3086" s="83"/>
      <c r="V3086" s="83"/>
      <c r="W3086" s="83"/>
      <c r="X3086" s="83"/>
      <c r="Y3086" s="83"/>
      <c r="Z3086" s="83"/>
    </row>
    <row r="3087">
      <c r="A3087" s="75" t="s">
        <v>966</v>
      </c>
      <c r="B3087" s="75" t="s">
        <v>1001</v>
      </c>
      <c r="C3087" s="75">
        <v>4.98</v>
      </c>
      <c r="D3087" s="75">
        <v>0.0</v>
      </c>
      <c r="E3087" s="75">
        <v>0.0</v>
      </c>
      <c r="F3087" s="75" t="s">
        <v>950</v>
      </c>
      <c r="G3087" s="82">
        <v>46113.0</v>
      </c>
      <c r="H3087" s="76" t="s">
        <v>967</v>
      </c>
      <c r="I3087" s="83"/>
      <c r="J3087" s="83"/>
      <c r="K3087" s="83"/>
      <c r="L3087" s="83"/>
      <c r="M3087" s="83"/>
      <c r="N3087" s="83"/>
      <c r="O3087" s="83"/>
      <c r="P3087" s="83"/>
      <c r="Q3087" s="83"/>
      <c r="R3087" s="83"/>
      <c r="S3087" s="83"/>
      <c r="T3087" s="83"/>
      <c r="U3087" s="83"/>
      <c r="V3087" s="83"/>
      <c r="W3087" s="83"/>
      <c r="X3087" s="83"/>
      <c r="Y3087" s="83"/>
      <c r="Z3087" s="83"/>
    </row>
    <row r="3088">
      <c r="A3088" s="75" t="s">
        <v>966</v>
      </c>
      <c r="B3088" s="75" t="s">
        <v>1001</v>
      </c>
      <c r="C3088" s="75">
        <v>0.27</v>
      </c>
      <c r="D3088" s="75">
        <v>0.0</v>
      </c>
      <c r="E3088" s="75">
        <v>0.0</v>
      </c>
      <c r="F3088" s="75" t="s">
        <v>950</v>
      </c>
      <c r="G3088" s="82">
        <v>46113.0</v>
      </c>
      <c r="H3088" s="76" t="s">
        <v>968</v>
      </c>
      <c r="I3088" s="83"/>
      <c r="J3088" s="83"/>
      <c r="K3088" s="83"/>
      <c r="L3088" s="83"/>
      <c r="M3088" s="83"/>
      <c r="N3088" s="83"/>
      <c r="O3088" s="83"/>
      <c r="P3088" s="83"/>
      <c r="Q3088" s="83"/>
      <c r="R3088" s="83"/>
      <c r="S3088" s="83"/>
      <c r="T3088" s="83"/>
      <c r="U3088" s="83"/>
      <c r="V3088" s="83"/>
      <c r="W3088" s="83"/>
      <c r="X3088" s="83"/>
      <c r="Y3088" s="83"/>
      <c r="Z3088" s="83"/>
    </row>
    <row r="3089">
      <c r="A3089" s="75" t="s">
        <v>966</v>
      </c>
      <c r="B3089" s="75" t="s">
        <v>1001</v>
      </c>
      <c r="C3089" s="75">
        <v>0.71</v>
      </c>
      <c r="D3089" s="75">
        <v>0.0</v>
      </c>
      <c r="E3089" s="75">
        <v>0.0</v>
      </c>
      <c r="F3089" s="75" t="s">
        <v>950</v>
      </c>
      <c r="G3089" s="82">
        <v>46113.0</v>
      </c>
      <c r="H3089" s="76" t="s">
        <v>969</v>
      </c>
      <c r="I3089" s="83"/>
      <c r="J3089" s="83"/>
      <c r="K3089" s="83"/>
      <c r="L3089" s="83"/>
      <c r="M3089" s="83"/>
      <c r="N3089" s="83"/>
      <c r="O3089" s="83"/>
      <c r="P3089" s="83"/>
      <c r="Q3089" s="83"/>
      <c r="R3089" s="83"/>
      <c r="S3089" s="83"/>
      <c r="T3089" s="83"/>
      <c r="U3089" s="83"/>
      <c r="V3089" s="83"/>
      <c r="W3089" s="83"/>
      <c r="X3089" s="83"/>
      <c r="Y3089" s="83"/>
      <c r="Z3089" s="83"/>
    </row>
    <row r="3090">
      <c r="A3090" s="75" t="s">
        <v>36</v>
      </c>
      <c r="B3090" s="75" t="s">
        <v>1001</v>
      </c>
      <c r="C3090" s="75">
        <v>2.48</v>
      </c>
      <c r="D3090" s="75">
        <v>0.0</v>
      </c>
      <c r="E3090" s="75">
        <v>0.0</v>
      </c>
      <c r="F3090" s="75" t="s">
        <v>950</v>
      </c>
      <c r="G3090" s="82">
        <v>46113.0</v>
      </c>
      <c r="H3090" s="76" t="s">
        <v>926</v>
      </c>
      <c r="I3090" s="83"/>
      <c r="J3090" s="83"/>
      <c r="K3090" s="83"/>
      <c r="L3090" s="83"/>
      <c r="M3090" s="83"/>
      <c r="N3090" s="83"/>
      <c r="O3090" s="83"/>
      <c r="P3090" s="83"/>
      <c r="Q3090" s="83"/>
      <c r="R3090" s="83"/>
      <c r="S3090" s="83"/>
      <c r="T3090" s="83"/>
      <c r="U3090" s="83"/>
      <c r="V3090" s="83"/>
      <c r="W3090" s="83"/>
      <c r="X3090" s="83"/>
      <c r="Y3090" s="83"/>
      <c r="Z3090" s="83"/>
    </row>
    <row r="3091">
      <c r="A3091" s="75" t="s">
        <v>36</v>
      </c>
      <c r="B3091" s="75" t="s">
        <v>1001</v>
      </c>
      <c r="C3091" s="75">
        <v>1.05</v>
      </c>
      <c r="D3091" s="75">
        <v>0.0</v>
      </c>
      <c r="E3091" s="75">
        <v>0.0</v>
      </c>
      <c r="F3091" s="75" t="s">
        <v>950</v>
      </c>
      <c r="G3091" s="82">
        <v>46113.0</v>
      </c>
      <c r="H3091" s="76" t="s">
        <v>927</v>
      </c>
      <c r="I3091" s="83"/>
      <c r="J3091" s="83"/>
      <c r="K3091" s="83"/>
      <c r="L3091" s="83"/>
      <c r="M3091" s="83"/>
      <c r="N3091" s="83"/>
      <c r="O3091" s="83"/>
      <c r="P3091" s="83"/>
      <c r="Q3091" s="83"/>
      <c r="R3091" s="83"/>
      <c r="S3091" s="83"/>
      <c r="T3091" s="83"/>
      <c r="U3091" s="83"/>
      <c r="V3091" s="83"/>
      <c r="W3091" s="83"/>
      <c r="X3091" s="83"/>
      <c r="Y3091" s="83"/>
      <c r="Z3091" s="83"/>
    </row>
    <row r="3092">
      <c r="A3092" s="75" t="s">
        <v>36</v>
      </c>
      <c r="B3092" s="75" t="s">
        <v>1001</v>
      </c>
      <c r="C3092" s="75">
        <v>0.35</v>
      </c>
      <c r="D3092" s="75">
        <v>0.0</v>
      </c>
      <c r="E3092" s="75">
        <v>0.0</v>
      </c>
      <c r="F3092" s="75" t="s">
        <v>950</v>
      </c>
      <c r="G3092" s="82">
        <v>46113.0</v>
      </c>
      <c r="H3092" s="76" t="s">
        <v>928</v>
      </c>
      <c r="I3092" s="83"/>
      <c r="J3092" s="83"/>
      <c r="K3092" s="83"/>
      <c r="L3092" s="83"/>
      <c r="M3092" s="83"/>
      <c r="N3092" s="83"/>
      <c r="O3092" s="83"/>
      <c r="P3092" s="83"/>
      <c r="Q3092" s="83"/>
      <c r="R3092" s="83"/>
      <c r="S3092" s="83"/>
      <c r="T3092" s="83"/>
      <c r="U3092" s="83"/>
      <c r="V3092" s="83"/>
      <c r="W3092" s="83"/>
      <c r="X3092" s="83"/>
      <c r="Y3092" s="83"/>
      <c r="Z3092" s="83"/>
    </row>
    <row r="3093">
      <c r="A3093" s="75" t="s">
        <v>970</v>
      </c>
      <c r="B3093" s="75" t="s">
        <v>1001</v>
      </c>
      <c r="C3093" s="75">
        <v>4.09</v>
      </c>
      <c r="D3093" s="75">
        <v>0.0</v>
      </c>
      <c r="E3093" s="75">
        <v>0.0</v>
      </c>
      <c r="F3093" s="75" t="s">
        <v>950</v>
      </c>
      <c r="G3093" s="82">
        <v>46113.0</v>
      </c>
      <c r="H3093" s="76" t="s">
        <v>971</v>
      </c>
      <c r="I3093" s="83"/>
      <c r="J3093" s="83"/>
      <c r="K3093" s="83"/>
      <c r="L3093" s="83"/>
      <c r="M3093" s="83"/>
      <c r="N3093" s="83"/>
      <c r="O3093" s="83"/>
      <c r="P3093" s="83"/>
      <c r="Q3093" s="83"/>
      <c r="R3093" s="83"/>
      <c r="S3093" s="83"/>
      <c r="T3093" s="83"/>
      <c r="U3093" s="83"/>
      <c r="V3093" s="83"/>
      <c r="W3093" s="83"/>
      <c r="X3093" s="83"/>
      <c r="Y3093" s="83"/>
      <c r="Z3093" s="83"/>
    </row>
    <row r="3094">
      <c r="A3094" s="75" t="s">
        <v>970</v>
      </c>
      <c r="B3094" s="75" t="s">
        <v>1001</v>
      </c>
      <c r="C3094" s="75">
        <v>0.81</v>
      </c>
      <c r="D3094" s="75">
        <v>0.0</v>
      </c>
      <c r="E3094" s="75">
        <v>0.0</v>
      </c>
      <c r="F3094" s="75" t="s">
        <v>950</v>
      </c>
      <c r="G3094" s="82">
        <v>46113.0</v>
      </c>
      <c r="H3094" s="76" t="s">
        <v>972</v>
      </c>
      <c r="I3094" s="83"/>
      <c r="J3094" s="83"/>
      <c r="K3094" s="83"/>
      <c r="L3094" s="83"/>
      <c r="M3094" s="83"/>
      <c r="N3094" s="83"/>
      <c r="O3094" s="83"/>
      <c r="P3094" s="83"/>
      <c r="Q3094" s="83"/>
      <c r="R3094" s="83"/>
      <c r="S3094" s="83"/>
      <c r="T3094" s="83"/>
      <c r="U3094" s="83"/>
      <c r="V3094" s="83"/>
      <c r="W3094" s="83"/>
      <c r="X3094" s="83"/>
      <c r="Y3094" s="83"/>
      <c r="Z3094" s="83"/>
    </row>
    <row r="3095">
      <c r="A3095" s="75" t="s">
        <v>970</v>
      </c>
      <c r="B3095" s="75" t="s">
        <v>1001</v>
      </c>
      <c r="C3095" s="75">
        <v>23.17</v>
      </c>
      <c r="D3095" s="75">
        <v>1.0</v>
      </c>
      <c r="E3095" s="75">
        <v>23.17</v>
      </c>
      <c r="F3095" s="75" t="s">
        <v>950</v>
      </c>
      <c r="G3095" s="82">
        <v>46113.0</v>
      </c>
      <c r="H3095" s="76" t="s">
        <v>973</v>
      </c>
      <c r="I3095" s="83"/>
      <c r="J3095" s="83"/>
      <c r="K3095" s="83"/>
      <c r="L3095" s="83"/>
      <c r="M3095" s="83"/>
      <c r="N3095" s="83"/>
      <c r="O3095" s="83"/>
      <c r="P3095" s="83"/>
      <c r="Q3095" s="83"/>
      <c r="R3095" s="83"/>
      <c r="S3095" s="83"/>
      <c r="T3095" s="83"/>
      <c r="U3095" s="83"/>
      <c r="V3095" s="83"/>
      <c r="W3095" s="83"/>
      <c r="X3095" s="83"/>
      <c r="Y3095" s="83"/>
      <c r="Z3095" s="83"/>
    </row>
    <row r="3096">
      <c r="A3096" s="75" t="s">
        <v>29</v>
      </c>
      <c r="B3096" s="75" t="s">
        <v>1001</v>
      </c>
      <c r="C3096" s="75">
        <v>1.48</v>
      </c>
      <c r="D3096" s="75">
        <v>0.0</v>
      </c>
      <c r="E3096" s="75">
        <v>0.0</v>
      </c>
      <c r="F3096" s="75" t="s">
        <v>950</v>
      </c>
      <c r="G3096" s="82">
        <v>46113.0</v>
      </c>
      <c r="H3096" s="76" t="s">
        <v>971</v>
      </c>
      <c r="I3096" s="83"/>
      <c r="J3096" s="83"/>
      <c r="K3096" s="83"/>
      <c r="L3096" s="83"/>
      <c r="M3096" s="83"/>
      <c r="N3096" s="83"/>
      <c r="O3096" s="83"/>
      <c r="P3096" s="83"/>
      <c r="Q3096" s="83"/>
      <c r="R3096" s="83"/>
      <c r="S3096" s="83"/>
      <c r="T3096" s="83"/>
      <c r="U3096" s="83"/>
      <c r="V3096" s="83"/>
      <c r="W3096" s="83"/>
      <c r="X3096" s="83"/>
      <c r="Y3096" s="83"/>
      <c r="Z3096" s="83"/>
    </row>
    <row r="3097">
      <c r="A3097" s="75" t="s">
        <v>29</v>
      </c>
      <c r="B3097" s="75" t="s">
        <v>1001</v>
      </c>
      <c r="C3097" s="75">
        <v>0.33</v>
      </c>
      <c r="D3097" s="75">
        <v>0.0</v>
      </c>
      <c r="E3097" s="75">
        <v>0.0</v>
      </c>
      <c r="F3097" s="75" t="s">
        <v>950</v>
      </c>
      <c r="G3097" s="82">
        <v>46113.0</v>
      </c>
      <c r="H3097" s="76" t="s">
        <v>972</v>
      </c>
      <c r="I3097" s="83"/>
      <c r="J3097" s="83"/>
      <c r="K3097" s="83"/>
      <c r="L3097" s="83"/>
      <c r="M3097" s="83"/>
      <c r="N3097" s="83"/>
      <c r="O3097" s="83"/>
      <c r="P3097" s="83"/>
      <c r="Q3097" s="83"/>
      <c r="R3097" s="83"/>
      <c r="S3097" s="83"/>
      <c r="T3097" s="83"/>
      <c r="U3097" s="83"/>
      <c r="V3097" s="83"/>
      <c r="W3097" s="83"/>
      <c r="X3097" s="83"/>
      <c r="Y3097" s="83"/>
      <c r="Z3097" s="83"/>
    </row>
    <row r="3098">
      <c r="A3098" s="75" t="s">
        <v>29</v>
      </c>
      <c r="B3098" s="75" t="s">
        <v>1001</v>
      </c>
      <c r="C3098" s="75">
        <v>18.28</v>
      </c>
      <c r="D3098" s="75">
        <v>0.0</v>
      </c>
      <c r="E3098" s="75">
        <v>0.0</v>
      </c>
      <c r="F3098" s="75" t="s">
        <v>950</v>
      </c>
      <c r="G3098" s="82">
        <v>46113.0</v>
      </c>
      <c r="H3098" s="76" t="s">
        <v>973</v>
      </c>
      <c r="I3098" s="83"/>
      <c r="J3098" s="83"/>
      <c r="K3098" s="83"/>
      <c r="L3098" s="83"/>
      <c r="M3098" s="83"/>
      <c r="N3098" s="83"/>
      <c r="O3098" s="83"/>
      <c r="P3098" s="83"/>
      <c r="Q3098" s="83"/>
      <c r="R3098" s="83"/>
      <c r="S3098" s="83"/>
      <c r="T3098" s="83"/>
      <c r="U3098" s="83"/>
      <c r="V3098" s="83"/>
      <c r="W3098" s="83"/>
      <c r="X3098" s="83"/>
      <c r="Y3098" s="83"/>
      <c r="Z3098" s="83"/>
    </row>
    <row r="3099">
      <c r="A3099" s="75" t="s">
        <v>34</v>
      </c>
      <c r="B3099" s="75" t="s">
        <v>1001</v>
      </c>
      <c r="C3099" s="75">
        <v>0.13</v>
      </c>
      <c r="D3099" s="75">
        <v>0.0</v>
      </c>
      <c r="E3099" s="75">
        <v>0.0</v>
      </c>
      <c r="F3099" s="75" t="s">
        <v>974</v>
      </c>
      <c r="G3099" s="82">
        <v>46113.0</v>
      </c>
      <c r="H3099" s="76" t="s">
        <v>951</v>
      </c>
      <c r="I3099" s="83"/>
      <c r="J3099" s="83"/>
      <c r="K3099" s="83"/>
      <c r="L3099" s="83"/>
      <c r="M3099" s="83"/>
      <c r="N3099" s="83"/>
      <c r="O3099" s="83"/>
      <c r="P3099" s="83"/>
      <c r="Q3099" s="83"/>
      <c r="R3099" s="83"/>
      <c r="S3099" s="83"/>
      <c r="T3099" s="83"/>
      <c r="U3099" s="83"/>
      <c r="V3099" s="83"/>
      <c r="W3099" s="83"/>
      <c r="X3099" s="83"/>
      <c r="Y3099" s="83"/>
      <c r="Z3099" s="83"/>
    </row>
    <row r="3100">
      <c r="A3100" s="75" t="s">
        <v>34</v>
      </c>
      <c r="B3100" s="75" t="s">
        <v>1001</v>
      </c>
      <c r="C3100" s="75">
        <v>0.87</v>
      </c>
      <c r="D3100" s="75">
        <v>0.0</v>
      </c>
      <c r="E3100" s="75">
        <v>0.0</v>
      </c>
      <c r="F3100" s="75" t="s">
        <v>974</v>
      </c>
      <c r="G3100" s="82">
        <v>46113.0</v>
      </c>
      <c r="H3100" s="76" t="s">
        <v>952</v>
      </c>
      <c r="I3100" s="83"/>
      <c r="J3100" s="83"/>
      <c r="K3100" s="83"/>
      <c r="L3100" s="83"/>
      <c r="M3100" s="83"/>
      <c r="N3100" s="83"/>
      <c r="O3100" s="83"/>
      <c r="P3100" s="83"/>
      <c r="Q3100" s="83"/>
      <c r="R3100" s="83"/>
      <c r="S3100" s="83"/>
      <c r="T3100" s="83"/>
      <c r="U3100" s="83"/>
      <c r="V3100" s="83"/>
      <c r="W3100" s="83"/>
      <c r="X3100" s="83"/>
      <c r="Y3100" s="83"/>
      <c r="Z3100" s="83"/>
    </row>
    <row r="3101">
      <c r="A3101" s="76" t="s">
        <v>34</v>
      </c>
      <c r="B3101" s="76" t="s">
        <v>1001</v>
      </c>
      <c r="C3101" s="84">
        <v>1.64</v>
      </c>
      <c r="D3101" s="84">
        <v>0.0</v>
      </c>
      <c r="E3101" s="84">
        <v>0.0</v>
      </c>
      <c r="F3101" s="76" t="s">
        <v>974</v>
      </c>
      <c r="G3101" s="83">
        <v>46113.0</v>
      </c>
      <c r="H3101" s="76" t="s">
        <v>953</v>
      </c>
    </row>
    <row r="3102">
      <c r="A3102" s="76" t="s">
        <v>40</v>
      </c>
      <c r="B3102" s="76" t="s">
        <v>1001</v>
      </c>
      <c r="C3102" s="84">
        <v>0.03</v>
      </c>
      <c r="D3102" s="84">
        <v>0.0</v>
      </c>
      <c r="E3102" s="84">
        <v>0.0</v>
      </c>
      <c r="F3102" s="76" t="s">
        <v>974</v>
      </c>
      <c r="G3102" s="83">
        <v>46113.0</v>
      </c>
      <c r="H3102" s="76" t="s">
        <v>954</v>
      </c>
    </row>
    <row r="3103">
      <c r="A3103" s="76" t="s">
        <v>40</v>
      </c>
      <c r="B3103" s="76" t="s">
        <v>1001</v>
      </c>
      <c r="C3103" s="84">
        <v>0.0</v>
      </c>
      <c r="D3103" s="84">
        <v>0.0</v>
      </c>
      <c r="E3103" s="84">
        <v>0.0</v>
      </c>
      <c r="F3103" s="76" t="s">
        <v>974</v>
      </c>
      <c r="G3103" s="83">
        <v>46113.0</v>
      </c>
      <c r="H3103" s="76" t="s">
        <v>955</v>
      </c>
    </row>
    <row r="3104">
      <c r="A3104" s="76" t="s">
        <v>40</v>
      </c>
      <c r="B3104" s="76" t="s">
        <v>1001</v>
      </c>
      <c r="C3104" s="84">
        <v>0.5</v>
      </c>
      <c r="D3104" s="84">
        <v>0.0</v>
      </c>
      <c r="E3104" s="84">
        <v>0.0</v>
      </c>
      <c r="F3104" s="76" t="s">
        <v>974</v>
      </c>
      <c r="G3104" s="83">
        <v>46113.0</v>
      </c>
      <c r="H3104" s="76" t="s">
        <v>956</v>
      </c>
    </row>
    <row r="3105">
      <c r="A3105" s="76" t="s">
        <v>33</v>
      </c>
      <c r="B3105" s="76" t="s">
        <v>1001</v>
      </c>
      <c r="C3105" s="84">
        <v>2.39</v>
      </c>
      <c r="D3105" s="84">
        <v>0.0</v>
      </c>
      <c r="E3105" s="84">
        <v>0.0</v>
      </c>
      <c r="F3105" s="76" t="s">
        <v>974</v>
      </c>
      <c r="G3105" s="83">
        <v>46113.0</v>
      </c>
      <c r="H3105" s="76" t="s">
        <v>957</v>
      </c>
    </row>
    <row r="3106">
      <c r="A3106" s="76" t="s">
        <v>33</v>
      </c>
      <c r="B3106" s="76" t="s">
        <v>1001</v>
      </c>
      <c r="C3106" s="84">
        <v>0.01</v>
      </c>
      <c r="D3106" s="84">
        <v>0.0</v>
      </c>
      <c r="E3106" s="84">
        <v>0.0</v>
      </c>
      <c r="F3106" s="76" t="s">
        <v>974</v>
      </c>
      <c r="G3106" s="83">
        <v>46113.0</v>
      </c>
      <c r="H3106" s="76" t="s">
        <v>958</v>
      </c>
    </row>
    <row r="3107">
      <c r="A3107" s="76" t="s">
        <v>33</v>
      </c>
      <c r="B3107" s="76" t="s">
        <v>1001</v>
      </c>
      <c r="C3107" s="84">
        <v>0.04</v>
      </c>
      <c r="D3107" s="84">
        <v>0.0</v>
      </c>
      <c r="E3107" s="84">
        <v>0.0</v>
      </c>
      <c r="F3107" s="76" t="s">
        <v>974</v>
      </c>
      <c r="G3107" s="83">
        <v>46113.0</v>
      </c>
      <c r="H3107" s="76" t="s">
        <v>959</v>
      </c>
    </row>
    <row r="3108">
      <c r="A3108" s="76" t="s">
        <v>46</v>
      </c>
      <c r="B3108" s="76" t="s">
        <v>1001</v>
      </c>
      <c r="C3108" s="84">
        <v>0.18</v>
      </c>
      <c r="D3108" s="84">
        <v>0.0</v>
      </c>
      <c r="E3108" s="84">
        <v>0.0</v>
      </c>
      <c r="F3108" s="76" t="s">
        <v>974</v>
      </c>
      <c r="G3108" s="83">
        <v>46113.0</v>
      </c>
      <c r="H3108" s="76" t="s">
        <v>960</v>
      </c>
    </row>
    <row r="3109">
      <c r="A3109" s="76" t="s">
        <v>46</v>
      </c>
      <c r="B3109" s="76" t="s">
        <v>1001</v>
      </c>
      <c r="C3109" s="84">
        <v>0.02</v>
      </c>
      <c r="D3109" s="84">
        <v>0.0</v>
      </c>
      <c r="E3109" s="84">
        <v>0.0</v>
      </c>
      <c r="F3109" s="76" t="s">
        <v>974</v>
      </c>
      <c r="G3109" s="83">
        <v>46113.0</v>
      </c>
      <c r="H3109" s="76" t="s">
        <v>961</v>
      </c>
    </row>
    <row r="3110">
      <c r="A3110" s="76" t="s">
        <v>46</v>
      </c>
      <c r="B3110" s="76" t="s">
        <v>1001</v>
      </c>
      <c r="C3110" s="84">
        <v>0.02</v>
      </c>
      <c r="D3110" s="84">
        <v>0.0</v>
      </c>
      <c r="E3110" s="84">
        <v>0.0</v>
      </c>
      <c r="F3110" s="76" t="s">
        <v>974</v>
      </c>
      <c r="G3110" s="83">
        <v>46113.0</v>
      </c>
      <c r="H3110" s="76" t="s">
        <v>962</v>
      </c>
    </row>
    <row r="3111">
      <c r="A3111" s="76" t="s">
        <v>43</v>
      </c>
      <c r="B3111" s="76" t="s">
        <v>1001</v>
      </c>
      <c r="C3111" s="84">
        <v>0.06</v>
      </c>
      <c r="D3111" s="84">
        <v>0.0</v>
      </c>
      <c r="E3111" s="84">
        <v>0.0</v>
      </c>
      <c r="F3111" s="76" t="s">
        <v>974</v>
      </c>
      <c r="G3111" s="83">
        <v>46113.0</v>
      </c>
      <c r="H3111" s="76" t="s">
        <v>963</v>
      </c>
    </row>
    <row r="3112">
      <c r="A3112" s="76" t="s">
        <v>43</v>
      </c>
      <c r="B3112" s="76" t="s">
        <v>1001</v>
      </c>
      <c r="C3112" s="84">
        <v>0.01</v>
      </c>
      <c r="D3112" s="84">
        <v>0.0</v>
      </c>
      <c r="E3112" s="84">
        <v>0.0</v>
      </c>
      <c r="F3112" s="76" t="s">
        <v>974</v>
      </c>
      <c r="G3112" s="83">
        <v>46113.0</v>
      </c>
      <c r="H3112" s="76" t="s">
        <v>964</v>
      </c>
    </row>
    <row r="3113">
      <c r="A3113" s="76" t="s">
        <v>43</v>
      </c>
      <c r="B3113" s="76" t="s">
        <v>1001</v>
      </c>
      <c r="C3113" s="84">
        <v>0.11</v>
      </c>
      <c r="D3113" s="84">
        <v>0.0</v>
      </c>
      <c r="E3113" s="84">
        <v>0.0</v>
      </c>
      <c r="F3113" s="76" t="s">
        <v>974</v>
      </c>
      <c r="G3113" s="83">
        <v>46113.0</v>
      </c>
      <c r="H3113" s="76" t="s">
        <v>965</v>
      </c>
    </row>
    <row r="3114">
      <c r="A3114" s="76" t="s">
        <v>966</v>
      </c>
      <c r="B3114" s="76" t="s">
        <v>1001</v>
      </c>
      <c r="C3114" s="84">
        <v>0.08</v>
      </c>
      <c r="D3114" s="84">
        <v>0.0</v>
      </c>
      <c r="E3114" s="84">
        <v>0.0</v>
      </c>
      <c r="F3114" s="76" t="s">
        <v>974</v>
      </c>
      <c r="G3114" s="83">
        <v>46113.0</v>
      </c>
      <c r="H3114" s="76" t="s">
        <v>967</v>
      </c>
    </row>
    <row r="3115">
      <c r="A3115" s="76" t="s">
        <v>966</v>
      </c>
      <c r="B3115" s="76" t="s">
        <v>1001</v>
      </c>
      <c r="C3115" s="84">
        <v>0.02</v>
      </c>
      <c r="D3115" s="84">
        <v>0.0</v>
      </c>
      <c r="E3115" s="84">
        <v>0.0</v>
      </c>
      <c r="F3115" s="76" t="s">
        <v>974</v>
      </c>
      <c r="G3115" s="83">
        <v>46113.0</v>
      </c>
      <c r="H3115" s="76" t="s">
        <v>968</v>
      </c>
    </row>
    <row r="3116">
      <c r="A3116" s="76" t="s">
        <v>966</v>
      </c>
      <c r="B3116" s="76" t="s">
        <v>1001</v>
      </c>
      <c r="C3116" s="84">
        <v>0.05</v>
      </c>
      <c r="D3116" s="84">
        <v>0.0</v>
      </c>
      <c r="E3116" s="84">
        <v>0.0</v>
      </c>
      <c r="F3116" s="76" t="s">
        <v>974</v>
      </c>
      <c r="G3116" s="83">
        <v>46113.0</v>
      </c>
      <c r="H3116" s="76" t="s">
        <v>969</v>
      </c>
    </row>
    <row r="3117">
      <c r="A3117" s="76" t="s">
        <v>36</v>
      </c>
      <c r="B3117" s="76" t="s">
        <v>1001</v>
      </c>
      <c r="C3117" s="84">
        <v>0.24</v>
      </c>
      <c r="D3117" s="84">
        <v>0.0</v>
      </c>
      <c r="E3117" s="84">
        <v>0.0</v>
      </c>
      <c r="F3117" s="76" t="s">
        <v>974</v>
      </c>
      <c r="G3117" s="83">
        <v>46113.0</v>
      </c>
      <c r="H3117" s="76" t="s">
        <v>926</v>
      </c>
    </row>
    <row r="3118">
      <c r="A3118" s="76" t="s">
        <v>36</v>
      </c>
      <c r="B3118" s="76" t="s">
        <v>1001</v>
      </c>
      <c r="C3118" s="84">
        <v>0.03</v>
      </c>
      <c r="D3118" s="84">
        <v>0.0</v>
      </c>
      <c r="E3118" s="84">
        <v>0.0</v>
      </c>
      <c r="F3118" s="76" t="s">
        <v>974</v>
      </c>
      <c r="G3118" s="83">
        <v>46113.0</v>
      </c>
      <c r="H3118" s="76" t="s">
        <v>927</v>
      </c>
    </row>
    <row r="3119">
      <c r="A3119" s="76" t="s">
        <v>36</v>
      </c>
      <c r="B3119" s="76" t="s">
        <v>1001</v>
      </c>
      <c r="C3119" s="84">
        <v>0.01</v>
      </c>
      <c r="D3119" s="84">
        <v>0.0</v>
      </c>
      <c r="E3119" s="84">
        <v>0.0</v>
      </c>
      <c r="F3119" s="76" t="s">
        <v>974</v>
      </c>
      <c r="G3119" s="83">
        <v>46113.0</v>
      </c>
      <c r="H3119" s="76" t="s">
        <v>928</v>
      </c>
    </row>
    <row r="3120">
      <c r="A3120" s="76" t="s">
        <v>970</v>
      </c>
      <c r="B3120" s="76" t="s">
        <v>1001</v>
      </c>
      <c r="C3120" s="84">
        <v>0.07</v>
      </c>
      <c r="D3120" s="84">
        <v>0.0</v>
      </c>
      <c r="E3120" s="84">
        <v>0.0</v>
      </c>
      <c r="F3120" s="76" t="s">
        <v>974</v>
      </c>
      <c r="G3120" s="83">
        <v>46113.0</v>
      </c>
      <c r="H3120" s="76" t="s">
        <v>971</v>
      </c>
    </row>
    <row r="3121">
      <c r="A3121" s="76" t="s">
        <v>970</v>
      </c>
      <c r="B3121" s="76" t="s">
        <v>1001</v>
      </c>
      <c r="C3121" s="84">
        <v>0.01</v>
      </c>
      <c r="D3121" s="84">
        <v>0.0</v>
      </c>
      <c r="E3121" s="84">
        <v>0.0</v>
      </c>
      <c r="F3121" s="76" t="s">
        <v>974</v>
      </c>
      <c r="G3121" s="83">
        <v>46113.0</v>
      </c>
      <c r="H3121" s="76" t="s">
        <v>972</v>
      </c>
    </row>
    <row r="3122">
      <c r="A3122" s="76" t="s">
        <v>970</v>
      </c>
      <c r="B3122" s="76" t="s">
        <v>1001</v>
      </c>
      <c r="C3122" s="84">
        <v>0.56</v>
      </c>
      <c r="D3122" s="84">
        <v>0.0</v>
      </c>
      <c r="E3122" s="84">
        <v>0.0</v>
      </c>
      <c r="F3122" s="76" t="s">
        <v>974</v>
      </c>
      <c r="G3122" s="83">
        <v>46113.0</v>
      </c>
      <c r="H3122" s="76" t="s">
        <v>973</v>
      </c>
    </row>
    <row r="3123">
      <c r="A3123" s="76" t="s">
        <v>29</v>
      </c>
      <c r="B3123" s="76" t="s">
        <v>1001</v>
      </c>
      <c r="C3123" s="84">
        <v>0.05</v>
      </c>
      <c r="D3123" s="84">
        <v>0.0</v>
      </c>
      <c r="E3123" s="84">
        <v>0.0</v>
      </c>
      <c r="F3123" s="76" t="s">
        <v>974</v>
      </c>
      <c r="G3123" s="83">
        <v>46113.0</v>
      </c>
      <c r="H3123" s="76" t="s">
        <v>971</v>
      </c>
    </row>
    <row r="3124">
      <c r="A3124" s="76" t="s">
        <v>29</v>
      </c>
      <c r="B3124" s="76" t="s">
        <v>1001</v>
      </c>
      <c r="C3124" s="84">
        <v>0.01</v>
      </c>
      <c r="D3124" s="84">
        <v>0.0</v>
      </c>
      <c r="E3124" s="84">
        <v>0.0</v>
      </c>
      <c r="F3124" s="76" t="s">
        <v>974</v>
      </c>
      <c r="G3124" s="83">
        <v>46113.0</v>
      </c>
      <c r="H3124" s="76" t="s">
        <v>972</v>
      </c>
    </row>
    <row r="3125">
      <c r="A3125" s="76" t="s">
        <v>29</v>
      </c>
      <c r="B3125" s="76" t="s">
        <v>1001</v>
      </c>
      <c r="C3125" s="84">
        <v>2.45</v>
      </c>
      <c r="D3125" s="84">
        <v>0.0</v>
      </c>
      <c r="E3125" s="84">
        <v>0.0</v>
      </c>
      <c r="F3125" s="76" t="s">
        <v>974</v>
      </c>
      <c r="G3125" s="83">
        <v>46113.0</v>
      </c>
      <c r="H3125" s="76" t="s">
        <v>973</v>
      </c>
    </row>
    <row r="3126">
      <c r="A3126" s="76" t="s">
        <v>34</v>
      </c>
      <c r="B3126" s="76" t="s">
        <v>1001</v>
      </c>
      <c r="C3126" s="84">
        <v>14.94</v>
      </c>
      <c r="D3126" s="84">
        <v>0.0</v>
      </c>
      <c r="E3126" s="84">
        <v>0.0</v>
      </c>
      <c r="F3126" s="76" t="s">
        <v>975</v>
      </c>
      <c r="G3126" s="83">
        <v>46113.0</v>
      </c>
      <c r="H3126" s="76" t="s">
        <v>951</v>
      </c>
    </row>
    <row r="3127">
      <c r="A3127" s="76" t="s">
        <v>34</v>
      </c>
      <c r="B3127" s="76" t="s">
        <v>1001</v>
      </c>
      <c r="C3127" s="84">
        <v>14.01</v>
      </c>
      <c r="D3127" s="84">
        <v>0.0</v>
      </c>
      <c r="E3127" s="84">
        <v>0.0</v>
      </c>
      <c r="F3127" s="76" t="s">
        <v>975</v>
      </c>
      <c r="G3127" s="83">
        <v>46113.0</v>
      </c>
      <c r="H3127" s="76" t="s">
        <v>952</v>
      </c>
    </row>
    <row r="3128">
      <c r="A3128" s="76" t="s">
        <v>34</v>
      </c>
      <c r="B3128" s="76" t="s">
        <v>1001</v>
      </c>
      <c r="C3128" s="84">
        <v>71.23</v>
      </c>
      <c r="D3128" s="84">
        <v>0.0</v>
      </c>
      <c r="E3128" s="84">
        <v>0.0</v>
      </c>
      <c r="F3128" s="76" t="s">
        <v>975</v>
      </c>
      <c r="G3128" s="83">
        <v>46113.0</v>
      </c>
      <c r="H3128" s="76" t="s">
        <v>953</v>
      </c>
    </row>
    <row r="3129">
      <c r="A3129" s="76" t="s">
        <v>40</v>
      </c>
      <c r="B3129" s="76" t="s">
        <v>1001</v>
      </c>
      <c r="C3129" s="84">
        <v>2.72</v>
      </c>
      <c r="D3129" s="84">
        <v>0.0</v>
      </c>
      <c r="E3129" s="84">
        <v>0.0</v>
      </c>
      <c r="F3129" s="76" t="s">
        <v>975</v>
      </c>
      <c r="G3129" s="83">
        <v>46113.0</v>
      </c>
      <c r="H3129" s="76" t="s">
        <v>954</v>
      </c>
    </row>
    <row r="3130">
      <c r="A3130" s="76" t="s">
        <v>40</v>
      </c>
      <c r="B3130" s="76" t="s">
        <v>1001</v>
      </c>
      <c r="C3130" s="84">
        <v>0.25</v>
      </c>
      <c r="D3130" s="84">
        <v>0.0</v>
      </c>
      <c r="E3130" s="84">
        <v>0.0</v>
      </c>
      <c r="F3130" s="76" t="s">
        <v>975</v>
      </c>
      <c r="G3130" s="83">
        <v>46113.0</v>
      </c>
      <c r="H3130" s="76" t="s">
        <v>955</v>
      </c>
    </row>
    <row r="3131">
      <c r="A3131" s="76" t="s">
        <v>40</v>
      </c>
      <c r="B3131" s="76" t="s">
        <v>1001</v>
      </c>
      <c r="C3131" s="84">
        <v>28.43</v>
      </c>
      <c r="D3131" s="84">
        <v>0.0</v>
      </c>
      <c r="E3131" s="84">
        <v>0.0</v>
      </c>
      <c r="F3131" s="76" t="s">
        <v>975</v>
      </c>
      <c r="G3131" s="83">
        <v>46113.0</v>
      </c>
      <c r="H3131" s="76" t="s">
        <v>956</v>
      </c>
    </row>
    <row r="3132">
      <c r="A3132" s="76" t="s">
        <v>33</v>
      </c>
      <c r="B3132" s="76" t="s">
        <v>1001</v>
      </c>
      <c r="C3132" s="84">
        <v>90.8</v>
      </c>
      <c r="D3132" s="84">
        <v>2.0</v>
      </c>
      <c r="E3132" s="84">
        <v>45.4</v>
      </c>
      <c r="F3132" s="76" t="s">
        <v>975</v>
      </c>
      <c r="G3132" s="83">
        <v>46113.0</v>
      </c>
      <c r="H3132" s="76" t="s">
        <v>957</v>
      </c>
    </row>
    <row r="3133">
      <c r="A3133" s="76" t="s">
        <v>33</v>
      </c>
      <c r="B3133" s="76" t="s">
        <v>1001</v>
      </c>
      <c r="C3133" s="84">
        <v>1.78</v>
      </c>
      <c r="D3133" s="84">
        <v>0.0</v>
      </c>
      <c r="E3133" s="84">
        <v>0.0</v>
      </c>
      <c r="F3133" s="76" t="s">
        <v>975</v>
      </c>
      <c r="G3133" s="83">
        <v>46113.0</v>
      </c>
      <c r="H3133" s="76" t="s">
        <v>958</v>
      </c>
    </row>
    <row r="3134">
      <c r="A3134" s="76" t="s">
        <v>33</v>
      </c>
      <c r="B3134" s="76" t="s">
        <v>1001</v>
      </c>
      <c r="C3134" s="84">
        <v>3.14</v>
      </c>
      <c r="D3134" s="84">
        <v>1.0</v>
      </c>
      <c r="E3134" s="84">
        <v>3.14</v>
      </c>
      <c r="F3134" s="76" t="s">
        <v>975</v>
      </c>
      <c r="G3134" s="83">
        <v>46113.0</v>
      </c>
      <c r="H3134" s="76" t="s">
        <v>959</v>
      </c>
    </row>
    <row r="3135">
      <c r="A3135" s="76" t="s">
        <v>46</v>
      </c>
      <c r="B3135" s="76" t="s">
        <v>1001</v>
      </c>
      <c r="C3135" s="84">
        <v>15.46</v>
      </c>
      <c r="D3135" s="84">
        <v>0.0</v>
      </c>
      <c r="E3135" s="84">
        <v>0.0</v>
      </c>
      <c r="F3135" s="76" t="s">
        <v>975</v>
      </c>
      <c r="G3135" s="83">
        <v>46113.0</v>
      </c>
      <c r="H3135" s="76" t="s">
        <v>960</v>
      </c>
    </row>
    <row r="3136">
      <c r="A3136" s="76" t="s">
        <v>46</v>
      </c>
      <c r="B3136" s="76" t="s">
        <v>1001</v>
      </c>
      <c r="C3136" s="84">
        <v>0.91</v>
      </c>
      <c r="D3136" s="84">
        <v>0.0</v>
      </c>
      <c r="E3136" s="84">
        <v>0.0</v>
      </c>
      <c r="F3136" s="76" t="s">
        <v>975</v>
      </c>
      <c r="G3136" s="83">
        <v>46113.0</v>
      </c>
      <c r="H3136" s="76" t="s">
        <v>961</v>
      </c>
    </row>
    <row r="3137">
      <c r="A3137" s="76" t="s">
        <v>46</v>
      </c>
      <c r="B3137" s="76" t="s">
        <v>1001</v>
      </c>
      <c r="C3137" s="84">
        <v>2.87</v>
      </c>
      <c r="D3137" s="84">
        <v>0.0</v>
      </c>
      <c r="E3137" s="84">
        <v>0.0</v>
      </c>
      <c r="F3137" s="76" t="s">
        <v>975</v>
      </c>
      <c r="G3137" s="83">
        <v>46113.0</v>
      </c>
      <c r="H3137" s="76" t="s">
        <v>962</v>
      </c>
    </row>
    <row r="3138">
      <c r="A3138" s="76" t="s">
        <v>43</v>
      </c>
      <c r="B3138" s="76" t="s">
        <v>1001</v>
      </c>
      <c r="C3138" s="84">
        <v>1.74</v>
      </c>
      <c r="D3138" s="84">
        <v>0.0</v>
      </c>
      <c r="E3138" s="84">
        <v>0.0</v>
      </c>
      <c r="F3138" s="76" t="s">
        <v>975</v>
      </c>
      <c r="G3138" s="83">
        <v>46113.0</v>
      </c>
      <c r="H3138" s="76" t="s">
        <v>963</v>
      </c>
    </row>
    <row r="3139">
      <c r="A3139" s="76" t="s">
        <v>43</v>
      </c>
      <c r="B3139" s="76" t="s">
        <v>1001</v>
      </c>
      <c r="C3139" s="84">
        <v>1.34</v>
      </c>
      <c r="D3139" s="84">
        <v>0.0</v>
      </c>
      <c r="E3139" s="84">
        <v>0.0</v>
      </c>
      <c r="F3139" s="76" t="s">
        <v>975</v>
      </c>
      <c r="G3139" s="83">
        <v>46113.0</v>
      </c>
      <c r="H3139" s="76" t="s">
        <v>964</v>
      </c>
    </row>
    <row r="3140">
      <c r="A3140" s="76" t="s">
        <v>43</v>
      </c>
      <c r="B3140" s="76" t="s">
        <v>1001</v>
      </c>
      <c r="C3140" s="84">
        <v>13.12</v>
      </c>
      <c r="D3140" s="84">
        <v>0.0</v>
      </c>
      <c r="E3140" s="84">
        <v>0.0</v>
      </c>
      <c r="F3140" s="76" t="s">
        <v>975</v>
      </c>
      <c r="G3140" s="83">
        <v>46113.0</v>
      </c>
      <c r="H3140" s="76" t="s">
        <v>965</v>
      </c>
    </row>
    <row r="3141">
      <c r="A3141" s="76" t="s">
        <v>966</v>
      </c>
      <c r="B3141" s="76" t="s">
        <v>1001</v>
      </c>
      <c r="C3141" s="84">
        <v>11.07</v>
      </c>
      <c r="D3141" s="84">
        <v>0.0</v>
      </c>
      <c r="E3141" s="84">
        <v>0.0</v>
      </c>
      <c r="F3141" s="76" t="s">
        <v>975</v>
      </c>
      <c r="G3141" s="83">
        <v>46113.0</v>
      </c>
      <c r="H3141" s="76" t="s">
        <v>967</v>
      </c>
    </row>
    <row r="3142">
      <c r="A3142" s="76" t="s">
        <v>966</v>
      </c>
      <c r="B3142" s="76" t="s">
        <v>1001</v>
      </c>
      <c r="C3142" s="84">
        <v>1.34</v>
      </c>
      <c r="D3142" s="84">
        <v>0.0</v>
      </c>
      <c r="E3142" s="84">
        <v>0.0</v>
      </c>
      <c r="F3142" s="76" t="s">
        <v>975</v>
      </c>
      <c r="G3142" s="83">
        <v>46113.0</v>
      </c>
      <c r="H3142" s="76" t="s">
        <v>968</v>
      </c>
    </row>
    <row r="3143">
      <c r="A3143" s="76" t="s">
        <v>966</v>
      </c>
      <c r="B3143" s="76" t="s">
        <v>1001</v>
      </c>
      <c r="C3143" s="84">
        <v>6.04</v>
      </c>
      <c r="D3143" s="84">
        <v>0.0</v>
      </c>
      <c r="E3143" s="84">
        <v>0.0</v>
      </c>
      <c r="F3143" s="76" t="s">
        <v>975</v>
      </c>
      <c r="G3143" s="83">
        <v>46113.0</v>
      </c>
      <c r="H3143" s="76" t="s">
        <v>969</v>
      </c>
    </row>
    <row r="3144">
      <c r="A3144" s="76" t="s">
        <v>36</v>
      </c>
      <c r="B3144" s="76" t="s">
        <v>1001</v>
      </c>
      <c r="C3144" s="84">
        <v>7.14</v>
      </c>
      <c r="D3144" s="84">
        <v>0.0</v>
      </c>
      <c r="E3144" s="84">
        <v>0.0</v>
      </c>
      <c r="F3144" s="76" t="s">
        <v>975</v>
      </c>
      <c r="G3144" s="83">
        <v>46113.0</v>
      </c>
      <c r="H3144" s="76" t="s">
        <v>926</v>
      </c>
    </row>
    <row r="3145">
      <c r="A3145" s="76" t="s">
        <v>36</v>
      </c>
      <c r="B3145" s="76" t="s">
        <v>1001</v>
      </c>
      <c r="C3145" s="84">
        <v>2.21</v>
      </c>
      <c r="D3145" s="84">
        <v>0.0</v>
      </c>
      <c r="E3145" s="84">
        <v>0.0</v>
      </c>
      <c r="F3145" s="76" t="s">
        <v>975</v>
      </c>
      <c r="G3145" s="83">
        <v>46113.0</v>
      </c>
      <c r="H3145" s="76" t="s">
        <v>927</v>
      </c>
    </row>
    <row r="3146">
      <c r="A3146" s="76" t="s">
        <v>36</v>
      </c>
      <c r="B3146" s="76" t="s">
        <v>1001</v>
      </c>
      <c r="C3146" s="84">
        <v>2.3</v>
      </c>
      <c r="D3146" s="84">
        <v>0.0</v>
      </c>
      <c r="E3146" s="84">
        <v>0.0</v>
      </c>
      <c r="F3146" s="76" t="s">
        <v>975</v>
      </c>
      <c r="G3146" s="83">
        <v>46113.0</v>
      </c>
      <c r="H3146" s="76" t="s">
        <v>928</v>
      </c>
    </row>
    <row r="3147">
      <c r="A3147" s="76" t="s">
        <v>970</v>
      </c>
      <c r="B3147" s="76" t="s">
        <v>1001</v>
      </c>
      <c r="C3147" s="84">
        <v>15.86</v>
      </c>
      <c r="D3147" s="84">
        <v>0.0</v>
      </c>
      <c r="E3147" s="84">
        <v>0.0</v>
      </c>
      <c r="F3147" s="76" t="s">
        <v>975</v>
      </c>
      <c r="G3147" s="83">
        <v>46113.0</v>
      </c>
      <c r="H3147" s="76" t="s">
        <v>971</v>
      </c>
    </row>
    <row r="3148">
      <c r="A3148" s="76" t="s">
        <v>970</v>
      </c>
      <c r="B3148" s="76" t="s">
        <v>1001</v>
      </c>
      <c r="C3148" s="84">
        <v>2.49</v>
      </c>
      <c r="D3148" s="84">
        <v>0.0</v>
      </c>
      <c r="E3148" s="84">
        <v>0.0</v>
      </c>
      <c r="F3148" s="76" t="s">
        <v>975</v>
      </c>
      <c r="G3148" s="83">
        <v>46113.0</v>
      </c>
      <c r="H3148" s="76" t="s">
        <v>972</v>
      </c>
    </row>
    <row r="3149">
      <c r="A3149" s="76" t="s">
        <v>970</v>
      </c>
      <c r="B3149" s="76" t="s">
        <v>1001</v>
      </c>
      <c r="C3149" s="84">
        <v>209.97</v>
      </c>
      <c r="D3149" s="84">
        <v>6.0</v>
      </c>
      <c r="E3149" s="84">
        <v>34.99</v>
      </c>
      <c r="F3149" s="76" t="s">
        <v>975</v>
      </c>
      <c r="G3149" s="83">
        <v>46113.0</v>
      </c>
      <c r="H3149" s="76" t="s">
        <v>973</v>
      </c>
    </row>
    <row r="3150">
      <c r="A3150" s="76" t="s">
        <v>29</v>
      </c>
      <c r="B3150" s="76" t="s">
        <v>1001</v>
      </c>
      <c r="C3150" s="84">
        <v>5.98</v>
      </c>
      <c r="D3150" s="84">
        <v>0.0</v>
      </c>
      <c r="E3150" s="84">
        <v>0.0</v>
      </c>
      <c r="F3150" s="76" t="s">
        <v>975</v>
      </c>
      <c r="G3150" s="83">
        <v>46113.0</v>
      </c>
      <c r="H3150" s="76" t="s">
        <v>971</v>
      </c>
    </row>
    <row r="3151">
      <c r="A3151" s="76" t="s">
        <v>29</v>
      </c>
      <c r="B3151" s="76" t="s">
        <v>1001</v>
      </c>
      <c r="C3151" s="84">
        <v>1.12</v>
      </c>
      <c r="D3151" s="84">
        <v>0.0</v>
      </c>
      <c r="E3151" s="84">
        <v>0.0</v>
      </c>
      <c r="F3151" s="76" t="s">
        <v>975</v>
      </c>
      <c r="G3151" s="83">
        <v>46113.0</v>
      </c>
      <c r="H3151" s="76" t="s">
        <v>972</v>
      </c>
    </row>
    <row r="3152">
      <c r="A3152" s="76" t="s">
        <v>29</v>
      </c>
      <c r="B3152" s="76" t="s">
        <v>1001</v>
      </c>
      <c r="C3152" s="84">
        <v>57.76</v>
      </c>
      <c r="D3152" s="84">
        <v>1.0</v>
      </c>
      <c r="E3152" s="84">
        <v>57.76</v>
      </c>
      <c r="F3152" s="76" t="s">
        <v>975</v>
      </c>
      <c r="G3152" s="83">
        <v>46113.0</v>
      </c>
      <c r="H3152" s="76" t="s">
        <v>973</v>
      </c>
    </row>
    <row r="3153">
      <c r="A3153" s="76" t="s">
        <v>34</v>
      </c>
      <c r="B3153" s="76" t="s">
        <v>1004</v>
      </c>
      <c r="C3153" s="84">
        <v>0.4</v>
      </c>
      <c r="D3153" s="84">
        <v>0.0</v>
      </c>
      <c r="E3153" s="84">
        <v>0.0</v>
      </c>
      <c r="F3153" s="76" t="s">
        <v>990</v>
      </c>
      <c r="G3153" s="83">
        <v>46113.0</v>
      </c>
      <c r="H3153" s="76" t="s">
        <v>951</v>
      </c>
    </row>
    <row r="3154">
      <c r="A3154" s="76" t="s">
        <v>34</v>
      </c>
      <c r="B3154" s="76" t="s">
        <v>1004</v>
      </c>
      <c r="C3154" s="84">
        <v>0.4</v>
      </c>
      <c r="D3154" s="84">
        <v>0.0</v>
      </c>
      <c r="E3154" s="84">
        <v>0.0</v>
      </c>
      <c r="F3154" s="76" t="s">
        <v>990</v>
      </c>
      <c r="G3154" s="83">
        <v>46113.0</v>
      </c>
      <c r="H3154" s="76" t="s">
        <v>952</v>
      </c>
    </row>
    <row r="3155">
      <c r="A3155" s="76" t="s">
        <v>34</v>
      </c>
      <c r="B3155" s="76" t="s">
        <v>1004</v>
      </c>
      <c r="C3155" s="84">
        <v>2.44</v>
      </c>
      <c r="D3155" s="84">
        <v>0.0</v>
      </c>
      <c r="E3155" s="84">
        <v>0.0</v>
      </c>
      <c r="F3155" s="76" t="s">
        <v>990</v>
      </c>
      <c r="G3155" s="83">
        <v>46113.0</v>
      </c>
      <c r="H3155" s="76" t="s">
        <v>953</v>
      </c>
    </row>
    <row r="3156">
      <c r="A3156" s="76" t="s">
        <v>40</v>
      </c>
      <c r="B3156" s="76" t="s">
        <v>1004</v>
      </c>
      <c r="C3156" s="84">
        <v>0.92</v>
      </c>
      <c r="D3156" s="84">
        <v>0.0</v>
      </c>
      <c r="E3156" s="84">
        <v>0.0</v>
      </c>
      <c r="F3156" s="76" t="s">
        <v>990</v>
      </c>
      <c r="G3156" s="83">
        <v>46113.0</v>
      </c>
      <c r="H3156" s="76" t="s">
        <v>954</v>
      </c>
    </row>
    <row r="3157">
      <c r="A3157" s="76" t="s">
        <v>40</v>
      </c>
      <c r="B3157" s="76" t="s">
        <v>1004</v>
      </c>
      <c r="C3157" s="84">
        <v>0.13</v>
      </c>
      <c r="D3157" s="84">
        <v>0.0</v>
      </c>
      <c r="E3157" s="84">
        <v>0.0</v>
      </c>
      <c r="F3157" s="76" t="s">
        <v>990</v>
      </c>
      <c r="G3157" s="83">
        <v>46113.0</v>
      </c>
      <c r="H3157" s="76" t="s">
        <v>955</v>
      </c>
    </row>
    <row r="3158">
      <c r="A3158" s="76" t="s">
        <v>40</v>
      </c>
      <c r="B3158" s="76" t="s">
        <v>1004</v>
      </c>
      <c r="C3158" s="84">
        <v>10.07</v>
      </c>
      <c r="D3158" s="84">
        <v>0.0</v>
      </c>
      <c r="E3158" s="84">
        <v>0.0</v>
      </c>
      <c r="F3158" s="76" t="s">
        <v>990</v>
      </c>
      <c r="G3158" s="83">
        <v>46113.0</v>
      </c>
      <c r="H3158" s="76" t="s">
        <v>956</v>
      </c>
    </row>
    <row r="3159">
      <c r="A3159" s="76" t="s">
        <v>33</v>
      </c>
      <c r="B3159" s="76" t="s">
        <v>1004</v>
      </c>
      <c r="C3159" s="84">
        <v>14.13</v>
      </c>
      <c r="D3159" s="84">
        <v>0.0</v>
      </c>
      <c r="E3159" s="84">
        <v>0.0</v>
      </c>
      <c r="F3159" s="76" t="s">
        <v>990</v>
      </c>
      <c r="G3159" s="83">
        <v>46113.0</v>
      </c>
      <c r="H3159" s="76" t="s">
        <v>957</v>
      </c>
    </row>
    <row r="3160">
      <c r="A3160" s="76" t="s">
        <v>33</v>
      </c>
      <c r="B3160" s="76" t="s">
        <v>1004</v>
      </c>
      <c r="C3160" s="84">
        <v>0.43</v>
      </c>
      <c r="D3160" s="84">
        <v>0.0</v>
      </c>
      <c r="E3160" s="84">
        <v>0.0</v>
      </c>
      <c r="F3160" s="76" t="s">
        <v>990</v>
      </c>
      <c r="G3160" s="83">
        <v>46113.0</v>
      </c>
      <c r="H3160" s="76" t="s">
        <v>958</v>
      </c>
    </row>
    <row r="3161">
      <c r="A3161" s="76" t="s">
        <v>33</v>
      </c>
      <c r="B3161" s="76" t="s">
        <v>1004</v>
      </c>
      <c r="C3161" s="84">
        <v>0.64</v>
      </c>
      <c r="D3161" s="84">
        <v>0.0</v>
      </c>
      <c r="E3161" s="84">
        <v>0.0</v>
      </c>
      <c r="F3161" s="76" t="s">
        <v>990</v>
      </c>
      <c r="G3161" s="83">
        <v>46113.0</v>
      </c>
      <c r="H3161" s="76" t="s">
        <v>959</v>
      </c>
    </row>
    <row r="3162">
      <c r="A3162" s="76" t="s">
        <v>46</v>
      </c>
      <c r="B3162" s="76" t="s">
        <v>1004</v>
      </c>
      <c r="C3162" s="84">
        <v>9.62</v>
      </c>
      <c r="D3162" s="84">
        <v>0.0</v>
      </c>
      <c r="E3162" s="84">
        <v>0.0</v>
      </c>
      <c r="F3162" s="76" t="s">
        <v>990</v>
      </c>
      <c r="G3162" s="83">
        <v>46113.0</v>
      </c>
      <c r="H3162" s="76" t="s">
        <v>960</v>
      </c>
    </row>
    <row r="3163">
      <c r="A3163" s="76" t="s">
        <v>46</v>
      </c>
      <c r="B3163" s="76" t="s">
        <v>1004</v>
      </c>
      <c r="C3163" s="84">
        <v>0.33</v>
      </c>
      <c r="D3163" s="84">
        <v>0.0</v>
      </c>
      <c r="E3163" s="84">
        <v>0.0</v>
      </c>
      <c r="F3163" s="76" t="s">
        <v>990</v>
      </c>
      <c r="G3163" s="83">
        <v>46113.0</v>
      </c>
      <c r="H3163" s="76" t="s">
        <v>961</v>
      </c>
    </row>
    <row r="3164">
      <c r="A3164" s="76" t="s">
        <v>46</v>
      </c>
      <c r="B3164" s="76" t="s">
        <v>1004</v>
      </c>
      <c r="C3164" s="84">
        <v>0.52</v>
      </c>
      <c r="D3164" s="84">
        <v>0.0</v>
      </c>
      <c r="E3164" s="84">
        <v>0.0</v>
      </c>
      <c r="F3164" s="76" t="s">
        <v>990</v>
      </c>
      <c r="G3164" s="83">
        <v>46113.0</v>
      </c>
      <c r="H3164" s="76" t="s">
        <v>962</v>
      </c>
    </row>
    <row r="3165">
      <c r="A3165" s="76" t="s">
        <v>43</v>
      </c>
      <c r="B3165" s="76" t="s">
        <v>1004</v>
      </c>
      <c r="C3165" s="84">
        <v>0.71</v>
      </c>
      <c r="D3165" s="84">
        <v>0.0</v>
      </c>
      <c r="E3165" s="84">
        <v>0.0</v>
      </c>
      <c r="F3165" s="76" t="s">
        <v>990</v>
      </c>
      <c r="G3165" s="83">
        <v>46113.0</v>
      </c>
      <c r="H3165" s="76" t="s">
        <v>963</v>
      </c>
    </row>
    <row r="3166">
      <c r="A3166" s="76" t="s">
        <v>43</v>
      </c>
      <c r="B3166" s="76" t="s">
        <v>1004</v>
      </c>
      <c r="C3166" s="84">
        <v>2.89</v>
      </c>
      <c r="D3166" s="84">
        <v>0.0</v>
      </c>
      <c r="E3166" s="84">
        <v>0.0</v>
      </c>
      <c r="F3166" s="76" t="s">
        <v>990</v>
      </c>
      <c r="G3166" s="83">
        <v>46113.0</v>
      </c>
      <c r="H3166" s="76" t="s">
        <v>964</v>
      </c>
    </row>
    <row r="3167">
      <c r="A3167" s="76" t="s">
        <v>43</v>
      </c>
      <c r="B3167" s="76" t="s">
        <v>1004</v>
      </c>
      <c r="C3167" s="84">
        <v>4.07</v>
      </c>
      <c r="D3167" s="84">
        <v>0.0</v>
      </c>
      <c r="E3167" s="84">
        <v>0.0</v>
      </c>
      <c r="F3167" s="76" t="s">
        <v>990</v>
      </c>
      <c r="G3167" s="83">
        <v>46113.0</v>
      </c>
      <c r="H3167" s="76" t="s">
        <v>965</v>
      </c>
    </row>
    <row r="3168">
      <c r="A3168" s="76" t="s">
        <v>966</v>
      </c>
      <c r="B3168" s="76" t="s">
        <v>1004</v>
      </c>
      <c r="C3168" s="84">
        <v>2.7</v>
      </c>
      <c r="D3168" s="84">
        <v>0.0</v>
      </c>
      <c r="E3168" s="84">
        <v>0.0</v>
      </c>
      <c r="F3168" s="76" t="s">
        <v>990</v>
      </c>
      <c r="G3168" s="83">
        <v>46113.0</v>
      </c>
      <c r="H3168" s="76" t="s">
        <v>967</v>
      </c>
    </row>
    <row r="3169">
      <c r="A3169" s="76" t="s">
        <v>966</v>
      </c>
      <c r="B3169" s="76" t="s">
        <v>1004</v>
      </c>
      <c r="C3169" s="84">
        <v>0.35</v>
      </c>
      <c r="D3169" s="84">
        <v>0.0</v>
      </c>
      <c r="E3169" s="84">
        <v>0.0</v>
      </c>
      <c r="F3169" s="76" t="s">
        <v>990</v>
      </c>
      <c r="G3169" s="83">
        <v>46113.0</v>
      </c>
      <c r="H3169" s="76" t="s">
        <v>968</v>
      </c>
    </row>
    <row r="3170">
      <c r="A3170" s="76" t="s">
        <v>966</v>
      </c>
      <c r="B3170" s="76" t="s">
        <v>1004</v>
      </c>
      <c r="C3170" s="84">
        <v>0.17</v>
      </c>
      <c r="D3170" s="84">
        <v>0.0</v>
      </c>
      <c r="E3170" s="84">
        <v>0.0</v>
      </c>
      <c r="F3170" s="76" t="s">
        <v>990</v>
      </c>
      <c r="G3170" s="83">
        <v>46113.0</v>
      </c>
      <c r="H3170" s="76" t="s">
        <v>969</v>
      </c>
    </row>
    <row r="3171">
      <c r="A3171" s="76" t="s">
        <v>36</v>
      </c>
      <c r="B3171" s="76" t="s">
        <v>1004</v>
      </c>
      <c r="C3171" s="84">
        <v>0.2</v>
      </c>
      <c r="D3171" s="84">
        <v>0.0</v>
      </c>
      <c r="E3171" s="84">
        <v>0.0</v>
      </c>
      <c r="F3171" s="76" t="s">
        <v>990</v>
      </c>
      <c r="G3171" s="83">
        <v>46113.0</v>
      </c>
      <c r="H3171" s="76" t="s">
        <v>926</v>
      </c>
    </row>
    <row r="3172">
      <c r="A3172" s="76" t="s">
        <v>36</v>
      </c>
      <c r="B3172" s="76" t="s">
        <v>1004</v>
      </c>
      <c r="C3172" s="84">
        <v>0.23</v>
      </c>
      <c r="D3172" s="84">
        <v>0.0</v>
      </c>
      <c r="E3172" s="84">
        <v>0.0</v>
      </c>
      <c r="F3172" s="76" t="s">
        <v>990</v>
      </c>
      <c r="G3172" s="83">
        <v>46113.0</v>
      </c>
      <c r="H3172" s="76" t="s">
        <v>927</v>
      </c>
    </row>
    <row r="3173">
      <c r="A3173" s="76" t="s">
        <v>36</v>
      </c>
      <c r="B3173" s="76" t="s">
        <v>1004</v>
      </c>
      <c r="C3173" s="84">
        <v>0.18</v>
      </c>
      <c r="D3173" s="84">
        <v>0.0</v>
      </c>
      <c r="E3173" s="84">
        <v>0.0</v>
      </c>
      <c r="F3173" s="76" t="s">
        <v>990</v>
      </c>
      <c r="G3173" s="83">
        <v>46113.0</v>
      </c>
      <c r="H3173" s="76" t="s">
        <v>928</v>
      </c>
    </row>
    <row r="3174">
      <c r="A3174" s="76" t="s">
        <v>970</v>
      </c>
      <c r="B3174" s="76" t="s">
        <v>1004</v>
      </c>
      <c r="C3174" s="84">
        <v>0.59</v>
      </c>
      <c r="D3174" s="84">
        <v>0.0</v>
      </c>
      <c r="E3174" s="84">
        <v>0.0</v>
      </c>
      <c r="F3174" s="76" t="s">
        <v>990</v>
      </c>
      <c r="G3174" s="83">
        <v>46113.0</v>
      </c>
      <c r="H3174" s="76" t="s">
        <v>971</v>
      </c>
    </row>
    <row r="3175">
      <c r="A3175" s="76" t="s">
        <v>970</v>
      </c>
      <c r="B3175" s="76" t="s">
        <v>1004</v>
      </c>
      <c r="C3175" s="84">
        <v>0.22</v>
      </c>
      <c r="D3175" s="84">
        <v>0.0</v>
      </c>
      <c r="E3175" s="84">
        <v>0.0</v>
      </c>
      <c r="F3175" s="76" t="s">
        <v>990</v>
      </c>
      <c r="G3175" s="83">
        <v>46113.0</v>
      </c>
      <c r="H3175" s="76" t="s">
        <v>972</v>
      </c>
    </row>
    <row r="3176">
      <c r="A3176" s="76" t="s">
        <v>970</v>
      </c>
      <c r="B3176" s="76" t="s">
        <v>1004</v>
      </c>
      <c r="C3176" s="84">
        <v>2.0</v>
      </c>
      <c r="D3176" s="84">
        <v>0.0</v>
      </c>
      <c r="E3176" s="84">
        <v>0.0</v>
      </c>
      <c r="F3176" s="76" t="s">
        <v>990</v>
      </c>
      <c r="G3176" s="83">
        <v>46113.0</v>
      </c>
      <c r="H3176" s="76" t="s">
        <v>973</v>
      </c>
    </row>
    <row r="3177">
      <c r="A3177" s="76" t="s">
        <v>29</v>
      </c>
      <c r="B3177" s="76" t="s">
        <v>1004</v>
      </c>
      <c r="C3177" s="84">
        <v>1.11</v>
      </c>
      <c r="D3177" s="84">
        <v>0.0</v>
      </c>
      <c r="E3177" s="84">
        <v>0.0</v>
      </c>
      <c r="F3177" s="76" t="s">
        <v>990</v>
      </c>
      <c r="G3177" s="83">
        <v>46113.0</v>
      </c>
      <c r="H3177" s="76" t="s">
        <v>971</v>
      </c>
    </row>
    <row r="3178">
      <c r="A3178" s="76" t="s">
        <v>29</v>
      </c>
      <c r="B3178" s="76" t="s">
        <v>1004</v>
      </c>
      <c r="C3178" s="84">
        <v>0.57</v>
      </c>
      <c r="D3178" s="84">
        <v>0.0</v>
      </c>
      <c r="E3178" s="84">
        <v>0.0</v>
      </c>
      <c r="F3178" s="76" t="s">
        <v>990</v>
      </c>
      <c r="G3178" s="83">
        <v>46113.0</v>
      </c>
      <c r="H3178" s="76" t="s">
        <v>972</v>
      </c>
    </row>
    <row r="3179">
      <c r="A3179" s="76" t="s">
        <v>29</v>
      </c>
      <c r="B3179" s="76" t="s">
        <v>1004</v>
      </c>
      <c r="C3179" s="84">
        <v>7.2</v>
      </c>
      <c r="D3179" s="84">
        <v>0.0</v>
      </c>
      <c r="E3179" s="84">
        <v>0.0</v>
      </c>
      <c r="F3179" s="76" t="s">
        <v>990</v>
      </c>
      <c r="G3179" s="83">
        <v>46113.0</v>
      </c>
      <c r="H3179" s="76" t="s">
        <v>973</v>
      </c>
    </row>
    <row r="3180">
      <c r="A3180" s="76" t="s">
        <v>34</v>
      </c>
      <c r="B3180" s="76" t="s">
        <v>1004</v>
      </c>
      <c r="C3180" s="84">
        <v>0.49</v>
      </c>
      <c r="D3180" s="84">
        <v>0.0</v>
      </c>
      <c r="E3180" s="84">
        <v>0.0</v>
      </c>
      <c r="F3180" s="76" t="s">
        <v>993</v>
      </c>
      <c r="G3180" s="83">
        <v>46113.0</v>
      </c>
      <c r="H3180" s="76" t="s">
        <v>951</v>
      </c>
    </row>
    <row r="3181">
      <c r="A3181" s="76" t="s">
        <v>34</v>
      </c>
      <c r="B3181" s="76" t="s">
        <v>1004</v>
      </c>
      <c r="C3181" s="84">
        <v>1.44</v>
      </c>
      <c r="D3181" s="84">
        <v>0.0</v>
      </c>
      <c r="E3181" s="84">
        <v>0.0</v>
      </c>
      <c r="F3181" s="76" t="s">
        <v>993</v>
      </c>
      <c r="G3181" s="83">
        <v>46113.0</v>
      </c>
      <c r="H3181" s="76" t="s">
        <v>952</v>
      </c>
    </row>
    <row r="3182">
      <c r="A3182" s="76" t="s">
        <v>34</v>
      </c>
      <c r="B3182" s="76" t="s">
        <v>1004</v>
      </c>
      <c r="C3182" s="84">
        <v>9.04</v>
      </c>
      <c r="D3182" s="84">
        <v>1.0</v>
      </c>
      <c r="E3182" s="84">
        <v>9.04</v>
      </c>
      <c r="F3182" s="76" t="s">
        <v>993</v>
      </c>
      <c r="G3182" s="83">
        <v>46113.0</v>
      </c>
      <c r="H3182" s="76" t="s">
        <v>953</v>
      </c>
    </row>
    <row r="3183">
      <c r="A3183" s="76" t="s">
        <v>40</v>
      </c>
      <c r="B3183" s="76" t="s">
        <v>1004</v>
      </c>
      <c r="C3183" s="84">
        <v>12.26</v>
      </c>
      <c r="D3183" s="84">
        <v>0.0</v>
      </c>
      <c r="E3183" s="84">
        <v>0.0</v>
      </c>
      <c r="F3183" s="76" t="s">
        <v>993</v>
      </c>
      <c r="G3183" s="83">
        <v>46113.0</v>
      </c>
      <c r="H3183" s="76" t="s">
        <v>954</v>
      </c>
    </row>
    <row r="3184">
      <c r="A3184" s="76" t="s">
        <v>40</v>
      </c>
      <c r="B3184" s="76" t="s">
        <v>1004</v>
      </c>
      <c r="C3184" s="84">
        <v>6.18</v>
      </c>
      <c r="D3184" s="84">
        <v>0.0</v>
      </c>
      <c r="E3184" s="84">
        <v>0.0</v>
      </c>
      <c r="F3184" s="76" t="s">
        <v>993</v>
      </c>
      <c r="G3184" s="83">
        <v>46113.0</v>
      </c>
      <c r="H3184" s="76" t="s">
        <v>955</v>
      </c>
    </row>
    <row r="3185">
      <c r="A3185" s="76" t="s">
        <v>40</v>
      </c>
      <c r="B3185" s="76" t="s">
        <v>1004</v>
      </c>
      <c r="C3185" s="84">
        <v>36.57</v>
      </c>
      <c r="D3185" s="84">
        <v>1.0</v>
      </c>
      <c r="E3185" s="84">
        <v>36.57</v>
      </c>
      <c r="F3185" s="76" t="s">
        <v>993</v>
      </c>
      <c r="G3185" s="83">
        <v>46113.0</v>
      </c>
      <c r="H3185" s="76" t="s">
        <v>956</v>
      </c>
    </row>
    <row r="3186">
      <c r="A3186" s="76" t="s">
        <v>33</v>
      </c>
      <c r="B3186" s="76" t="s">
        <v>1004</v>
      </c>
      <c r="C3186" s="84">
        <v>264.24</v>
      </c>
      <c r="D3186" s="84">
        <v>0.0</v>
      </c>
      <c r="E3186" s="84">
        <v>0.0</v>
      </c>
      <c r="F3186" s="76" t="s">
        <v>993</v>
      </c>
      <c r="G3186" s="83">
        <v>46113.0</v>
      </c>
      <c r="H3186" s="76" t="s">
        <v>957</v>
      </c>
    </row>
    <row r="3187">
      <c r="A3187" s="76" t="s">
        <v>33</v>
      </c>
      <c r="B3187" s="76" t="s">
        <v>1004</v>
      </c>
      <c r="C3187" s="84">
        <v>30.62</v>
      </c>
      <c r="D3187" s="84">
        <v>0.0</v>
      </c>
      <c r="E3187" s="84">
        <v>0.0</v>
      </c>
      <c r="F3187" s="76" t="s">
        <v>993</v>
      </c>
      <c r="G3187" s="83">
        <v>46113.0</v>
      </c>
      <c r="H3187" s="76" t="s">
        <v>958</v>
      </c>
    </row>
    <row r="3188">
      <c r="A3188" s="76" t="s">
        <v>33</v>
      </c>
      <c r="B3188" s="76" t="s">
        <v>1004</v>
      </c>
      <c r="C3188" s="84">
        <v>45.69</v>
      </c>
      <c r="D3188" s="84">
        <v>0.0</v>
      </c>
      <c r="E3188" s="84">
        <v>0.0</v>
      </c>
      <c r="F3188" s="76" t="s">
        <v>993</v>
      </c>
      <c r="G3188" s="83">
        <v>46113.0</v>
      </c>
      <c r="H3188" s="76" t="s">
        <v>959</v>
      </c>
    </row>
    <row r="3189">
      <c r="A3189" s="76" t="s">
        <v>46</v>
      </c>
      <c r="B3189" s="76" t="s">
        <v>1004</v>
      </c>
      <c r="C3189" s="84">
        <v>75.11</v>
      </c>
      <c r="D3189" s="84">
        <v>3.0</v>
      </c>
      <c r="E3189" s="84">
        <v>25.04</v>
      </c>
      <c r="F3189" s="76" t="s">
        <v>993</v>
      </c>
      <c r="G3189" s="83">
        <v>46113.0</v>
      </c>
      <c r="H3189" s="76" t="s">
        <v>960</v>
      </c>
    </row>
    <row r="3190">
      <c r="A3190" s="76" t="s">
        <v>46</v>
      </c>
      <c r="B3190" s="76" t="s">
        <v>1004</v>
      </c>
      <c r="C3190" s="84">
        <v>2.85</v>
      </c>
      <c r="D3190" s="84">
        <v>0.0</v>
      </c>
      <c r="E3190" s="84">
        <v>0.0</v>
      </c>
      <c r="F3190" s="76" t="s">
        <v>993</v>
      </c>
      <c r="G3190" s="83">
        <v>46113.0</v>
      </c>
      <c r="H3190" s="76" t="s">
        <v>961</v>
      </c>
    </row>
    <row r="3191">
      <c r="A3191" s="76" t="s">
        <v>46</v>
      </c>
      <c r="B3191" s="76" t="s">
        <v>1004</v>
      </c>
      <c r="C3191" s="84">
        <v>5.0</v>
      </c>
      <c r="D3191" s="84">
        <v>0.0</v>
      </c>
      <c r="E3191" s="84">
        <v>0.0</v>
      </c>
      <c r="F3191" s="76" t="s">
        <v>993</v>
      </c>
      <c r="G3191" s="83">
        <v>46113.0</v>
      </c>
      <c r="H3191" s="76" t="s">
        <v>962</v>
      </c>
    </row>
    <row r="3192">
      <c r="A3192" s="76" t="s">
        <v>43</v>
      </c>
      <c r="B3192" s="76" t="s">
        <v>1004</v>
      </c>
      <c r="C3192" s="84">
        <v>0.94</v>
      </c>
      <c r="D3192" s="84">
        <v>0.0</v>
      </c>
      <c r="E3192" s="84">
        <v>0.0</v>
      </c>
      <c r="F3192" s="76" t="s">
        <v>993</v>
      </c>
      <c r="G3192" s="83">
        <v>46113.0</v>
      </c>
      <c r="H3192" s="76" t="s">
        <v>963</v>
      </c>
    </row>
    <row r="3193">
      <c r="A3193" s="76" t="s">
        <v>43</v>
      </c>
      <c r="B3193" s="76" t="s">
        <v>1004</v>
      </c>
      <c r="C3193" s="84">
        <v>2.26</v>
      </c>
      <c r="D3193" s="84">
        <v>0.0</v>
      </c>
      <c r="E3193" s="84">
        <v>0.0</v>
      </c>
      <c r="F3193" s="76" t="s">
        <v>993</v>
      </c>
      <c r="G3193" s="83">
        <v>46113.0</v>
      </c>
      <c r="H3193" s="76" t="s">
        <v>964</v>
      </c>
    </row>
    <row r="3194">
      <c r="A3194" s="76" t="s">
        <v>43</v>
      </c>
      <c r="B3194" s="76" t="s">
        <v>1004</v>
      </c>
      <c r="C3194" s="84">
        <v>2.08</v>
      </c>
      <c r="D3194" s="84">
        <v>0.0</v>
      </c>
      <c r="E3194" s="84">
        <v>0.0</v>
      </c>
      <c r="F3194" s="76" t="s">
        <v>993</v>
      </c>
      <c r="G3194" s="83">
        <v>46113.0</v>
      </c>
      <c r="H3194" s="76" t="s">
        <v>965</v>
      </c>
    </row>
    <row r="3195">
      <c r="A3195" s="76" t="s">
        <v>966</v>
      </c>
      <c r="B3195" s="76" t="s">
        <v>1004</v>
      </c>
      <c r="C3195" s="84">
        <v>9.82</v>
      </c>
      <c r="D3195" s="84">
        <v>0.0</v>
      </c>
      <c r="E3195" s="84">
        <v>0.0</v>
      </c>
      <c r="F3195" s="76" t="s">
        <v>993</v>
      </c>
      <c r="G3195" s="83">
        <v>46113.0</v>
      </c>
      <c r="H3195" s="76" t="s">
        <v>967</v>
      </c>
    </row>
    <row r="3196">
      <c r="A3196" s="76" t="s">
        <v>966</v>
      </c>
      <c r="B3196" s="76" t="s">
        <v>1004</v>
      </c>
      <c r="C3196" s="84">
        <v>4.91</v>
      </c>
      <c r="D3196" s="84">
        <v>0.0</v>
      </c>
      <c r="E3196" s="84">
        <v>0.0</v>
      </c>
      <c r="F3196" s="76" t="s">
        <v>993</v>
      </c>
      <c r="G3196" s="83">
        <v>46113.0</v>
      </c>
      <c r="H3196" s="76" t="s">
        <v>968</v>
      </c>
    </row>
    <row r="3197">
      <c r="A3197" s="76" t="s">
        <v>966</v>
      </c>
      <c r="B3197" s="76" t="s">
        <v>1004</v>
      </c>
      <c r="C3197" s="84">
        <v>3.3</v>
      </c>
      <c r="D3197" s="84">
        <v>0.0</v>
      </c>
      <c r="E3197" s="84">
        <v>0.0</v>
      </c>
      <c r="F3197" s="76" t="s">
        <v>993</v>
      </c>
      <c r="G3197" s="83">
        <v>46113.0</v>
      </c>
      <c r="H3197" s="76" t="s">
        <v>969</v>
      </c>
    </row>
    <row r="3198">
      <c r="A3198" s="76" t="s">
        <v>36</v>
      </c>
      <c r="B3198" s="76" t="s">
        <v>1004</v>
      </c>
      <c r="C3198" s="84">
        <v>0.81</v>
      </c>
      <c r="D3198" s="84">
        <v>0.0</v>
      </c>
      <c r="E3198" s="84">
        <v>0.0</v>
      </c>
      <c r="F3198" s="76" t="s">
        <v>993</v>
      </c>
      <c r="G3198" s="83">
        <v>46113.0</v>
      </c>
      <c r="H3198" s="76" t="s">
        <v>926</v>
      </c>
    </row>
    <row r="3199">
      <c r="A3199" s="76" t="s">
        <v>36</v>
      </c>
      <c r="B3199" s="76" t="s">
        <v>1004</v>
      </c>
      <c r="C3199" s="84">
        <v>1.58</v>
      </c>
      <c r="D3199" s="84">
        <v>0.0</v>
      </c>
      <c r="E3199" s="84">
        <v>0.0</v>
      </c>
      <c r="F3199" s="76" t="s">
        <v>993</v>
      </c>
      <c r="G3199" s="83">
        <v>46113.0</v>
      </c>
      <c r="H3199" s="76" t="s">
        <v>927</v>
      </c>
    </row>
    <row r="3200">
      <c r="A3200" s="76" t="s">
        <v>36</v>
      </c>
      <c r="B3200" s="76" t="s">
        <v>1004</v>
      </c>
      <c r="C3200" s="84">
        <v>1.03</v>
      </c>
      <c r="D3200" s="84">
        <v>0.0</v>
      </c>
      <c r="E3200" s="84">
        <v>0.0</v>
      </c>
      <c r="F3200" s="76" t="s">
        <v>993</v>
      </c>
      <c r="G3200" s="83">
        <v>46113.0</v>
      </c>
      <c r="H3200" s="76" t="s">
        <v>928</v>
      </c>
    </row>
    <row r="3201">
      <c r="A3201" s="76" t="s">
        <v>970</v>
      </c>
      <c r="B3201" s="76" t="s">
        <v>1004</v>
      </c>
      <c r="C3201" s="84">
        <v>9.84</v>
      </c>
      <c r="D3201" s="84">
        <v>0.0</v>
      </c>
      <c r="E3201" s="84">
        <v>0.0</v>
      </c>
      <c r="F3201" s="76" t="s">
        <v>993</v>
      </c>
      <c r="G3201" s="83">
        <v>46113.0</v>
      </c>
      <c r="H3201" s="76" t="s">
        <v>971</v>
      </c>
    </row>
    <row r="3202">
      <c r="A3202" s="76" t="s">
        <v>970</v>
      </c>
      <c r="B3202" s="76" t="s">
        <v>1004</v>
      </c>
      <c r="C3202" s="84">
        <v>13.2</v>
      </c>
      <c r="D3202" s="84">
        <v>0.0</v>
      </c>
      <c r="E3202" s="84">
        <v>0.0</v>
      </c>
      <c r="F3202" s="76" t="s">
        <v>993</v>
      </c>
      <c r="G3202" s="83">
        <v>46113.0</v>
      </c>
      <c r="H3202" s="76" t="s">
        <v>972</v>
      </c>
    </row>
    <row r="3203">
      <c r="A3203" s="76" t="s">
        <v>970</v>
      </c>
      <c r="B3203" s="76" t="s">
        <v>1004</v>
      </c>
      <c r="C3203" s="84">
        <v>48.59</v>
      </c>
      <c r="D3203" s="84">
        <v>0.0</v>
      </c>
      <c r="E3203" s="84">
        <v>0.0</v>
      </c>
      <c r="F3203" s="76" t="s">
        <v>993</v>
      </c>
      <c r="G3203" s="83">
        <v>46113.0</v>
      </c>
      <c r="H3203" s="76" t="s">
        <v>973</v>
      </c>
    </row>
    <row r="3204">
      <c r="A3204" s="76" t="s">
        <v>29</v>
      </c>
      <c r="B3204" s="76" t="s">
        <v>1004</v>
      </c>
      <c r="C3204" s="84">
        <v>8.07</v>
      </c>
      <c r="D3204" s="84">
        <v>0.0</v>
      </c>
      <c r="E3204" s="84">
        <v>0.0</v>
      </c>
      <c r="F3204" s="76" t="s">
        <v>993</v>
      </c>
      <c r="G3204" s="83">
        <v>46113.0</v>
      </c>
      <c r="H3204" s="76" t="s">
        <v>971</v>
      </c>
    </row>
    <row r="3205">
      <c r="A3205" s="76" t="s">
        <v>29</v>
      </c>
      <c r="B3205" s="76" t="s">
        <v>1004</v>
      </c>
      <c r="C3205" s="84">
        <v>10.33</v>
      </c>
      <c r="D3205" s="84">
        <v>0.0</v>
      </c>
      <c r="E3205" s="84">
        <v>0.0</v>
      </c>
      <c r="F3205" s="76" t="s">
        <v>993</v>
      </c>
      <c r="G3205" s="83">
        <v>46113.0</v>
      </c>
      <c r="H3205" s="76" t="s">
        <v>972</v>
      </c>
    </row>
    <row r="3206">
      <c r="A3206" s="76" t="s">
        <v>29</v>
      </c>
      <c r="B3206" s="76" t="s">
        <v>1004</v>
      </c>
      <c r="C3206" s="84">
        <v>26.28</v>
      </c>
      <c r="D3206" s="84">
        <v>0.0</v>
      </c>
      <c r="E3206" s="84">
        <v>0.0</v>
      </c>
      <c r="F3206" s="76" t="s">
        <v>993</v>
      </c>
      <c r="G3206" s="83">
        <v>46113.0</v>
      </c>
      <c r="H3206" s="76" t="s">
        <v>973</v>
      </c>
    </row>
    <row r="3207">
      <c r="A3207" s="76" t="s">
        <v>34</v>
      </c>
      <c r="B3207" s="76" t="s">
        <v>1004</v>
      </c>
      <c r="C3207" s="84">
        <v>0.28</v>
      </c>
      <c r="D3207" s="84">
        <v>0.0</v>
      </c>
      <c r="E3207" s="84">
        <v>0.0</v>
      </c>
      <c r="F3207" s="76" t="s">
        <v>994</v>
      </c>
      <c r="G3207" s="83">
        <v>46113.0</v>
      </c>
      <c r="H3207" s="76" t="s">
        <v>951</v>
      </c>
    </row>
    <row r="3208">
      <c r="A3208" s="76" t="s">
        <v>34</v>
      </c>
      <c r="B3208" s="76" t="s">
        <v>1004</v>
      </c>
      <c r="C3208" s="84">
        <v>1.03</v>
      </c>
      <c r="D3208" s="84">
        <v>0.0</v>
      </c>
      <c r="E3208" s="84">
        <v>0.0</v>
      </c>
      <c r="F3208" s="76" t="s">
        <v>994</v>
      </c>
      <c r="G3208" s="83">
        <v>46113.0</v>
      </c>
      <c r="H3208" s="76" t="s">
        <v>952</v>
      </c>
    </row>
    <row r="3209">
      <c r="A3209" s="76" t="s">
        <v>34</v>
      </c>
      <c r="B3209" s="76" t="s">
        <v>1004</v>
      </c>
      <c r="C3209" s="84">
        <v>2.92</v>
      </c>
      <c r="D3209" s="84">
        <v>0.0</v>
      </c>
      <c r="E3209" s="84">
        <v>0.0</v>
      </c>
      <c r="F3209" s="76" t="s">
        <v>994</v>
      </c>
      <c r="G3209" s="83">
        <v>46113.0</v>
      </c>
      <c r="H3209" s="76" t="s">
        <v>953</v>
      </c>
    </row>
    <row r="3210">
      <c r="A3210" s="76" t="s">
        <v>40</v>
      </c>
      <c r="B3210" s="76" t="s">
        <v>1004</v>
      </c>
      <c r="C3210" s="84">
        <v>0.89</v>
      </c>
      <c r="D3210" s="84">
        <v>0.0</v>
      </c>
      <c r="E3210" s="84">
        <v>0.0</v>
      </c>
      <c r="F3210" s="76" t="s">
        <v>994</v>
      </c>
      <c r="G3210" s="83">
        <v>46113.0</v>
      </c>
      <c r="H3210" s="76" t="s">
        <v>954</v>
      </c>
    </row>
    <row r="3211">
      <c r="A3211" s="76" t="s">
        <v>40</v>
      </c>
      <c r="B3211" s="76" t="s">
        <v>1004</v>
      </c>
      <c r="C3211" s="84">
        <v>0.17</v>
      </c>
      <c r="D3211" s="84">
        <v>0.0</v>
      </c>
      <c r="E3211" s="84">
        <v>0.0</v>
      </c>
      <c r="F3211" s="76" t="s">
        <v>994</v>
      </c>
      <c r="G3211" s="83">
        <v>46113.0</v>
      </c>
      <c r="H3211" s="76" t="s">
        <v>955</v>
      </c>
    </row>
    <row r="3212">
      <c r="A3212" s="76" t="s">
        <v>40</v>
      </c>
      <c r="B3212" s="76" t="s">
        <v>1004</v>
      </c>
      <c r="C3212" s="84">
        <v>3.35</v>
      </c>
      <c r="D3212" s="84">
        <v>0.0</v>
      </c>
      <c r="E3212" s="84">
        <v>0.0</v>
      </c>
      <c r="F3212" s="76" t="s">
        <v>994</v>
      </c>
      <c r="G3212" s="83">
        <v>46113.0</v>
      </c>
      <c r="H3212" s="76" t="s">
        <v>956</v>
      </c>
    </row>
    <row r="3213">
      <c r="A3213" s="76" t="s">
        <v>33</v>
      </c>
      <c r="B3213" s="76" t="s">
        <v>1004</v>
      </c>
      <c r="C3213" s="84">
        <v>6.31</v>
      </c>
      <c r="D3213" s="84">
        <v>0.0</v>
      </c>
      <c r="E3213" s="84">
        <v>0.0</v>
      </c>
      <c r="F3213" s="76" t="s">
        <v>994</v>
      </c>
      <c r="G3213" s="83">
        <v>46113.0</v>
      </c>
      <c r="H3213" s="76" t="s">
        <v>957</v>
      </c>
    </row>
    <row r="3214">
      <c r="A3214" s="76" t="s">
        <v>33</v>
      </c>
      <c r="B3214" s="76" t="s">
        <v>1004</v>
      </c>
      <c r="C3214" s="84">
        <v>0.16</v>
      </c>
      <c r="D3214" s="84">
        <v>0.0</v>
      </c>
      <c r="E3214" s="84">
        <v>0.0</v>
      </c>
      <c r="F3214" s="76" t="s">
        <v>994</v>
      </c>
      <c r="G3214" s="83">
        <v>46113.0</v>
      </c>
      <c r="H3214" s="76" t="s">
        <v>958</v>
      </c>
    </row>
    <row r="3215">
      <c r="A3215" s="76" t="s">
        <v>33</v>
      </c>
      <c r="B3215" s="76" t="s">
        <v>1004</v>
      </c>
      <c r="C3215" s="84">
        <v>0.57</v>
      </c>
      <c r="D3215" s="84">
        <v>0.0</v>
      </c>
      <c r="E3215" s="84">
        <v>0.0</v>
      </c>
      <c r="F3215" s="76" t="s">
        <v>994</v>
      </c>
      <c r="G3215" s="83">
        <v>46113.0</v>
      </c>
      <c r="H3215" s="76" t="s">
        <v>959</v>
      </c>
    </row>
    <row r="3216">
      <c r="A3216" s="76" t="s">
        <v>46</v>
      </c>
      <c r="B3216" s="76" t="s">
        <v>1004</v>
      </c>
      <c r="C3216" s="84">
        <v>14.59</v>
      </c>
      <c r="D3216" s="84">
        <v>0.0</v>
      </c>
      <c r="E3216" s="84">
        <v>0.0</v>
      </c>
      <c r="F3216" s="76" t="s">
        <v>994</v>
      </c>
      <c r="G3216" s="83">
        <v>46113.0</v>
      </c>
      <c r="H3216" s="76" t="s">
        <v>960</v>
      </c>
    </row>
    <row r="3217">
      <c r="A3217" s="76" t="s">
        <v>46</v>
      </c>
      <c r="B3217" s="76" t="s">
        <v>1004</v>
      </c>
      <c r="C3217" s="84">
        <v>0.69</v>
      </c>
      <c r="D3217" s="84">
        <v>0.0</v>
      </c>
      <c r="E3217" s="84">
        <v>0.0</v>
      </c>
      <c r="F3217" s="76" t="s">
        <v>994</v>
      </c>
      <c r="G3217" s="83">
        <v>46113.0</v>
      </c>
      <c r="H3217" s="76" t="s">
        <v>961</v>
      </c>
    </row>
    <row r="3218">
      <c r="A3218" s="76" t="s">
        <v>46</v>
      </c>
      <c r="B3218" s="76" t="s">
        <v>1004</v>
      </c>
      <c r="C3218" s="84">
        <v>1.69</v>
      </c>
      <c r="D3218" s="84">
        <v>0.0</v>
      </c>
      <c r="E3218" s="84">
        <v>0.0</v>
      </c>
      <c r="F3218" s="76" t="s">
        <v>994</v>
      </c>
      <c r="G3218" s="83">
        <v>46113.0</v>
      </c>
      <c r="H3218" s="76" t="s">
        <v>962</v>
      </c>
    </row>
    <row r="3219">
      <c r="A3219" s="76" t="s">
        <v>43</v>
      </c>
      <c r="B3219" s="76" t="s">
        <v>1004</v>
      </c>
      <c r="C3219" s="84">
        <v>0.21</v>
      </c>
      <c r="D3219" s="84">
        <v>1.0</v>
      </c>
      <c r="E3219" s="84">
        <v>0.21</v>
      </c>
      <c r="F3219" s="76" t="s">
        <v>994</v>
      </c>
      <c r="G3219" s="83">
        <v>46113.0</v>
      </c>
      <c r="H3219" s="76" t="s">
        <v>963</v>
      </c>
    </row>
    <row r="3220">
      <c r="A3220" s="76" t="s">
        <v>43</v>
      </c>
      <c r="B3220" s="76" t="s">
        <v>1004</v>
      </c>
      <c r="C3220" s="84">
        <v>0.38</v>
      </c>
      <c r="D3220" s="84">
        <v>0.0</v>
      </c>
      <c r="E3220" s="84">
        <v>0.0</v>
      </c>
      <c r="F3220" s="76" t="s">
        <v>994</v>
      </c>
      <c r="G3220" s="83">
        <v>46113.0</v>
      </c>
      <c r="H3220" s="76" t="s">
        <v>964</v>
      </c>
    </row>
    <row r="3221">
      <c r="A3221" s="76" t="s">
        <v>43</v>
      </c>
      <c r="B3221" s="76" t="s">
        <v>1004</v>
      </c>
      <c r="C3221" s="84">
        <v>0.66</v>
      </c>
      <c r="D3221" s="84">
        <v>0.0</v>
      </c>
      <c r="E3221" s="84">
        <v>0.0</v>
      </c>
      <c r="F3221" s="76" t="s">
        <v>994</v>
      </c>
      <c r="G3221" s="83">
        <v>46113.0</v>
      </c>
      <c r="H3221" s="76" t="s">
        <v>965</v>
      </c>
    </row>
    <row r="3222">
      <c r="A3222" s="76" t="s">
        <v>966</v>
      </c>
      <c r="B3222" s="76" t="s">
        <v>1004</v>
      </c>
      <c r="C3222" s="84">
        <v>1.4</v>
      </c>
      <c r="D3222" s="84">
        <v>0.0</v>
      </c>
      <c r="E3222" s="84">
        <v>0.0</v>
      </c>
      <c r="F3222" s="76" t="s">
        <v>994</v>
      </c>
      <c r="G3222" s="83">
        <v>46113.0</v>
      </c>
      <c r="H3222" s="76" t="s">
        <v>967</v>
      </c>
    </row>
    <row r="3223">
      <c r="A3223" s="76" t="s">
        <v>966</v>
      </c>
      <c r="B3223" s="76" t="s">
        <v>1004</v>
      </c>
      <c r="C3223" s="84">
        <v>0.43</v>
      </c>
      <c r="D3223" s="84">
        <v>0.0</v>
      </c>
      <c r="E3223" s="84">
        <v>0.0</v>
      </c>
      <c r="F3223" s="76" t="s">
        <v>994</v>
      </c>
      <c r="G3223" s="83">
        <v>46113.0</v>
      </c>
      <c r="H3223" s="76" t="s">
        <v>968</v>
      </c>
    </row>
    <row r="3224">
      <c r="A3224" s="76" t="s">
        <v>966</v>
      </c>
      <c r="B3224" s="76" t="s">
        <v>1004</v>
      </c>
      <c r="C3224" s="84">
        <v>0.24</v>
      </c>
      <c r="D3224" s="84">
        <v>0.0</v>
      </c>
      <c r="E3224" s="84">
        <v>0.0</v>
      </c>
      <c r="F3224" s="76" t="s">
        <v>994</v>
      </c>
      <c r="G3224" s="83">
        <v>46113.0</v>
      </c>
      <c r="H3224" s="76" t="s">
        <v>969</v>
      </c>
    </row>
    <row r="3225">
      <c r="A3225" s="76" t="s">
        <v>36</v>
      </c>
      <c r="B3225" s="76" t="s">
        <v>1004</v>
      </c>
      <c r="C3225" s="84">
        <v>0.24</v>
      </c>
      <c r="D3225" s="84">
        <v>0.0</v>
      </c>
      <c r="E3225" s="84">
        <v>0.0</v>
      </c>
      <c r="F3225" s="76" t="s">
        <v>994</v>
      </c>
      <c r="G3225" s="83">
        <v>46113.0</v>
      </c>
      <c r="H3225" s="76" t="s">
        <v>926</v>
      </c>
    </row>
    <row r="3226">
      <c r="A3226" s="76" t="s">
        <v>36</v>
      </c>
      <c r="B3226" s="76" t="s">
        <v>1004</v>
      </c>
      <c r="C3226" s="84">
        <v>0.07</v>
      </c>
      <c r="D3226" s="84">
        <v>0.0</v>
      </c>
      <c r="E3226" s="84">
        <v>0.0</v>
      </c>
      <c r="F3226" s="76" t="s">
        <v>994</v>
      </c>
      <c r="G3226" s="83">
        <v>46113.0</v>
      </c>
      <c r="H3226" s="76" t="s">
        <v>927</v>
      </c>
    </row>
    <row r="3227">
      <c r="A3227" s="76" t="s">
        <v>36</v>
      </c>
      <c r="B3227" s="76" t="s">
        <v>1004</v>
      </c>
      <c r="C3227" s="84">
        <v>0.08</v>
      </c>
      <c r="D3227" s="84">
        <v>0.0</v>
      </c>
      <c r="E3227" s="84">
        <v>0.0</v>
      </c>
      <c r="F3227" s="76" t="s">
        <v>994</v>
      </c>
      <c r="G3227" s="83">
        <v>46113.0</v>
      </c>
      <c r="H3227" s="76" t="s">
        <v>928</v>
      </c>
    </row>
    <row r="3228">
      <c r="A3228" s="76" t="s">
        <v>970</v>
      </c>
      <c r="B3228" s="76" t="s">
        <v>1004</v>
      </c>
      <c r="C3228" s="84">
        <v>6.82</v>
      </c>
      <c r="D3228" s="84">
        <v>0.0</v>
      </c>
      <c r="E3228" s="84">
        <v>0.0</v>
      </c>
      <c r="F3228" s="76" t="s">
        <v>994</v>
      </c>
      <c r="G3228" s="83">
        <v>46113.0</v>
      </c>
      <c r="H3228" s="76" t="s">
        <v>971</v>
      </c>
    </row>
    <row r="3229">
      <c r="A3229" s="76" t="s">
        <v>970</v>
      </c>
      <c r="B3229" s="76" t="s">
        <v>1004</v>
      </c>
      <c r="C3229" s="84">
        <v>7.99</v>
      </c>
      <c r="D3229" s="84">
        <v>0.0</v>
      </c>
      <c r="E3229" s="84">
        <v>0.0</v>
      </c>
      <c r="F3229" s="76" t="s">
        <v>994</v>
      </c>
      <c r="G3229" s="83">
        <v>46113.0</v>
      </c>
      <c r="H3229" s="76" t="s">
        <v>972</v>
      </c>
    </row>
    <row r="3230">
      <c r="A3230" s="76" t="s">
        <v>970</v>
      </c>
      <c r="B3230" s="76" t="s">
        <v>1004</v>
      </c>
      <c r="C3230" s="84">
        <v>48.23</v>
      </c>
      <c r="D3230" s="84">
        <v>0.0</v>
      </c>
      <c r="E3230" s="84">
        <v>0.0</v>
      </c>
      <c r="F3230" s="76" t="s">
        <v>994</v>
      </c>
      <c r="G3230" s="83">
        <v>46113.0</v>
      </c>
      <c r="H3230" s="76" t="s">
        <v>973</v>
      </c>
    </row>
    <row r="3231">
      <c r="A3231" s="76" t="s">
        <v>29</v>
      </c>
      <c r="B3231" s="76" t="s">
        <v>1004</v>
      </c>
      <c r="C3231" s="84">
        <v>0.53</v>
      </c>
      <c r="D3231" s="84">
        <v>0.0</v>
      </c>
      <c r="E3231" s="84">
        <v>0.0</v>
      </c>
      <c r="F3231" s="76" t="s">
        <v>994</v>
      </c>
      <c r="G3231" s="83">
        <v>46113.0</v>
      </c>
      <c r="H3231" s="76" t="s">
        <v>971</v>
      </c>
    </row>
    <row r="3232">
      <c r="A3232" s="76" t="s">
        <v>29</v>
      </c>
      <c r="B3232" s="76" t="s">
        <v>1004</v>
      </c>
      <c r="C3232" s="84">
        <v>0.39</v>
      </c>
      <c r="D3232" s="84">
        <v>0.0</v>
      </c>
      <c r="E3232" s="84">
        <v>0.0</v>
      </c>
      <c r="F3232" s="76" t="s">
        <v>994</v>
      </c>
      <c r="G3232" s="83">
        <v>46113.0</v>
      </c>
      <c r="H3232" s="76" t="s">
        <v>972</v>
      </c>
    </row>
    <row r="3233">
      <c r="A3233" s="76" t="s">
        <v>29</v>
      </c>
      <c r="B3233" s="76" t="s">
        <v>1004</v>
      </c>
      <c r="C3233" s="84">
        <v>1.41</v>
      </c>
      <c r="D3233" s="84">
        <v>0.0</v>
      </c>
      <c r="E3233" s="84">
        <v>0.0</v>
      </c>
      <c r="F3233" s="76" t="s">
        <v>994</v>
      </c>
      <c r="G3233" s="83">
        <v>46113.0</v>
      </c>
      <c r="H3233" s="76" t="s">
        <v>973</v>
      </c>
    </row>
    <row r="3234">
      <c r="A3234" s="76" t="s">
        <v>34</v>
      </c>
      <c r="B3234" s="76" t="s">
        <v>1004</v>
      </c>
      <c r="C3234" s="84">
        <v>6.45</v>
      </c>
      <c r="D3234" s="84">
        <v>2.0</v>
      </c>
      <c r="E3234" s="84">
        <v>3.22</v>
      </c>
      <c r="F3234" s="76" t="s">
        <v>1005</v>
      </c>
      <c r="G3234" s="83">
        <v>46113.0</v>
      </c>
      <c r="H3234" s="76" t="s">
        <v>951</v>
      </c>
    </row>
    <row r="3235">
      <c r="A3235" s="76" t="s">
        <v>34</v>
      </c>
      <c r="B3235" s="76" t="s">
        <v>1004</v>
      </c>
      <c r="C3235" s="84">
        <v>4.35</v>
      </c>
      <c r="D3235" s="84">
        <v>1.0</v>
      </c>
      <c r="E3235" s="84">
        <v>4.35</v>
      </c>
      <c r="F3235" s="76" t="s">
        <v>1005</v>
      </c>
      <c r="G3235" s="83">
        <v>46113.0</v>
      </c>
      <c r="H3235" s="76" t="s">
        <v>952</v>
      </c>
    </row>
    <row r="3236">
      <c r="A3236" s="76" t="s">
        <v>34</v>
      </c>
      <c r="B3236" s="76" t="s">
        <v>1004</v>
      </c>
      <c r="C3236" s="84">
        <v>22.11</v>
      </c>
      <c r="D3236" s="84">
        <v>1.0</v>
      </c>
      <c r="E3236" s="84">
        <v>22.11</v>
      </c>
      <c r="F3236" s="76" t="s">
        <v>1005</v>
      </c>
      <c r="G3236" s="83">
        <v>46113.0</v>
      </c>
      <c r="H3236" s="76" t="s">
        <v>953</v>
      </c>
    </row>
    <row r="3237">
      <c r="A3237" s="76" t="s">
        <v>40</v>
      </c>
      <c r="B3237" s="76" t="s">
        <v>1004</v>
      </c>
      <c r="C3237" s="84">
        <v>1.42</v>
      </c>
      <c r="D3237" s="84">
        <v>1.0</v>
      </c>
      <c r="E3237" s="84">
        <v>1.42</v>
      </c>
      <c r="F3237" s="76" t="s">
        <v>1005</v>
      </c>
      <c r="G3237" s="83">
        <v>46113.0</v>
      </c>
      <c r="H3237" s="76" t="s">
        <v>954</v>
      </c>
    </row>
    <row r="3238">
      <c r="A3238" s="76" t="s">
        <v>40</v>
      </c>
      <c r="B3238" s="76" t="s">
        <v>1004</v>
      </c>
      <c r="C3238" s="84">
        <v>0.32</v>
      </c>
      <c r="D3238" s="84">
        <v>0.0</v>
      </c>
      <c r="E3238" s="84">
        <v>0.0</v>
      </c>
      <c r="F3238" s="76" t="s">
        <v>1005</v>
      </c>
      <c r="G3238" s="83">
        <v>46113.0</v>
      </c>
      <c r="H3238" s="76" t="s">
        <v>955</v>
      </c>
    </row>
    <row r="3239">
      <c r="A3239" s="76" t="s">
        <v>40</v>
      </c>
      <c r="B3239" s="76" t="s">
        <v>1004</v>
      </c>
      <c r="C3239" s="84">
        <v>28.37</v>
      </c>
      <c r="D3239" s="84">
        <v>1.0</v>
      </c>
      <c r="E3239" s="84">
        <v>28.37</v>
      </c>
      <c r="F3239" s="76" t="s">
        <v>1005</v>
      </c>
      <c r="G3239" s="83">
        <v>46113.0</v>
      </c>
      <c r="H3239" s="76" t="s">
        <v>956</v>
      </c>
    </row>
    <row r="3240">
      <c r="A3240" s="76" t="s">
        <v>33</v>
      </c>
      <c r="B3240" s="76" t="s">
        <v>1004</v>
      </c>
      <c r="C3240" s="84">
        <v>18.58</v>
      </c>
      <c r="D3240" s="84">
        <v>0.0</v>
      </c>
      <c r="E3240" s="84">
        <v>0.0</v>
      </c>
      <c r="F3240" s="76" t="s">
        <v>1005</v>
      </c>
      <c r="G3240" s="83">
        <v>46113.0</v>
      </c>
      <c r="H3240" s="76" t="s">
        <v>957</v>
      </c>
    </row>
    <row r="3241">
      <c r="A3241" s="76" t="s">
        <v>33</v>
      </c>
      <c r="B3241" s="76" t="s">
        <v>1004</v>
      </c>
      <c r="C3241" s="84">
        <v>0.63</v>
      </c>
      <c r="D3241" s="84">
        <v>0.0</v>
      </c>
      <c r="E3241" s="84">
        <v>0.0</v>
      </c>
      <c r="F3241" s="76" t="s">
        <v>1005</v>
      </c>
      <c r="G3241" s="83">
        <v>46113.0</v>
      </c>
      <c r="H3241" s="76" t="s">
        <v>958</v>
      </c>
    </row>
    <row r="3242">
      <c r="A3242" s="76" t="s">
        <v>33</v>
      </c>
      <c r="B3242" s="76" t="s">
        <v>1004</v>
      </c>
      <c r="C3242" s="84">
        <v>2.29</v>
      </c>
      <c r="D3242" s="84">
        <v>2.0</v>
      </c>
      <c r="E3242" s="84">
        <v>1.14</v>
      </c>
      <c r="F3242" s="76" t="s">
        <v>1005</v>
      </c>
      <c r="G3242" s="83">
        <v>46113.0</v>
      </c>
      <c r="H3242" s="76" t="s">
        <v>959</v>
      </c>
    </row>
    <row r="3243">
      <c r="A3243" s="76" t="s">
        <v>46</v>
      </c>
      <c r="B3243" s="76" t="s">
        <v>1004</v>
      </c>
      <c r="C3243" s="84">
        <v>63.29</v>
      </c>
      <c r="D3243" s="84">
        <v>0.0</v>
      </c>
      <c r="E3243" s="84">
        <v>0.0</v>
      </c>
      <c r="F3243" s="76" t="s">
        <v>1005</v>
      </c>
      <c r="G3243" s="83">
        <v>46113.0</v>
      </c>
      <c r="H3243" s="76" t="s">
        <v>960</v>
      </c>
    </row>
    <row r="3244">
      <c r="A3244" s="76" t="s">
        <v>46</v>
      </c>
      <c r="B3244" s="76" t="s">
        <v>1004</v>
      </c>
      <c r="C3244" s="84">
        <v>1.7</v>
      </c>
      <c r="D3244" s="84">
        <v>0.0</v>
      </c>
      <c r="E3244" s="84">
        <v>0.0</v>
      </c>
      <c r="F3244" s="76" t="s">
        <v>1005</v>
      </c>
      <c r="G3244" s="83">
        <v>46113.0</v>
      </c>
      <c r="H3244" s="76" t="s">
        <v>961</v>
      </c>
    </row>
    <row r="3245">
      <c r="A3245" s="76" t="s">
        <v>46</v>
      </c>
      <c r="B3245" s="76" t="s">
        <v>1004</v>
      </c>
      <c r="C3245" s="84">
        <v>3.03</v>
      </c>
      <c r="D3245" s="84">
        <v>2.0</v>
      </c>
      <c r="E3245" s="84">
        <v>1.52</v>
      </c>
      <c r="F3245" s="76" t="s">
        <v>1005</v>
      </c>
      <c r="G3245" s="83">
        <v>46113.0</v>
      </c>
      <c r="H3245" s="76" t="s">
        <v>962</v>
      </c>
    </row>
    <row r="3246">
      <c r="A3246" s="76" t="s">
        <v>43</v>
      </c>
      <c r="B3246" s="76" t="s">
        <v>1004</v>
      </c>
      <c r="C3246" s="84">
        <v>0.89</v>
      </c>
      <c r="D3246" s="84">
        <v>1.0</v>
      </c>
      <c r="E3246" s="84">
        <v>0.89</v>
      </c>
      <c r="F3246" s="76" t="s">
        <v>1005</v>
      </c>
      <c r="G3246" s="83">
        <v>46113.0</v>
      </c>
      <c r="H3246" s="76" t="s">
        <v>963</v>
      </c>
    </row>
    <row r="3247">
      <c r="A3247" s="76" t="s">
        <v>43</v>
      </c>
      <c r="B3247" s="76" t="s">
        <v>1004</v>
      </c>
      <c r="C3247" s="84">
        <v>0.94</v>
      </c>
      <c r="D3247" s="84">
        <v>0.0</v>
      </c>
      <c r="E3247" s="84">
        <v>0.0</v>
      </c>
      <c r="F3247" s="76" t="s">
        <v>1005</v>
      </c>
      <c r="G3247" s="83">
        <v>46113.0</v>
      </c>
      <c r="H3247" s="76" t="s">
        <v>964</v>
      </c>
    </row>
    <row r="3248">
      <c r="A3248" s="76" t="s">
        <v>43</v>
      </c>
      <c r="B3248" s="76" t="s">
        <v>1004</v>
      </c>
      <c r="C3248" s="84">
        <v>2.56</v>
      </c>
      <c r="D3248" s="84">
        <v>1.0</v>
      </c>
      <c r="E3248" s="84">
        <v>2.56</v>
      </c>
      <c r="F3248" s="76" t="s">
        <v>1005</v>
      </c>
      <c r="G3248" s="83">
        <v>46113.0</v>
      </c>
      <c r="H3248" s="76" t="s">
        <v>965</v>
      </c>
    </row>
    <row r="3249">
      <c r="A3249" s="76" t="s">
        <v>966</v>
      </c>
      <c r="B3249" s="76" t="s">
        <v>1004</v>
      </c>
      <c r="C3249" s="84">
        <v>19.84</v>
      </c>
      <c r="D3249" s="84">
        <v>3.0</v>
      </c>
      <c r="E3249" s="84">
        <v>6.61</v>
      </c>
      <c r="F3249" s="76" t="s">
        <v>1005</v>
      </c>
      <c r="G3249" s="83">
        <v>46113.0</v>
      </c>
      <c r="H3249" s="76" t="s">
        <v>967</v>
      </c>
    </row>
    <row r="3250">
      <c r="A3250" s="76" t="s">
        <v>966</v>
      </c>
      <c r="B3250" s="76" t="s">
        <v>1004</v>
      </c>
      <c r="C3250" s="84">
        <v>0.61</v>
      </c>
      <c r="D3250" s="84">
        <v>0.0</v>
      </c>
      <c r="E3250" s="84">
        <v>0.0</v>
      </c>
      <c r="F3250" s="76" t="s">
        <v>1005</v>
      </c>
      <c r="G3250" s="83">
        <v>46113.0</v>
      </c>
      <c r="H3250" s="76" t="s">
        <v>968</v>
      </c>
    </row>
    <row r="3251">
      <c r="A3251" s="76" t="s">
        <v>966</v>
      </c>
      <c r="B3251" s="76" t="s">
        <v>1004</v>
      </c>
      <c r="C3251" s="84">
        <v>3.96</v>
      </c>
      <c r="D3251" s="84">
        <v>1.0</v>
      </c>
      <c r="E3251" s="84">
        <v>3.96</v>
      </c>
      <c r="F3251" s="76" t="s">
        <v>1005</v>
      </c>
      <c r="G3251" s="83">
        <v>46113.0</v>
      </c>
      <c r="H3251" s="76" t="s">
        <v>969</v>
      </c>
    </row>
    <row r="3252">
      <c r="A3252" s="76" t="s">
        <v>36</v>
      </c>
      <c r="B3252" s="76" t="s">
        <v>1004</v>
      </c>
      <c r="C3252" s="84">
        <v>6.13</v>
      </c>
      <c r="D3252" s="84">
        <v>0.0</v>
      </c>
      <c r="E3252" s="84">
        <v>0.0</v>
      </c>
      <c r="F3252" s="76" t="s">
        <v>1005</v>
      </c>
      <c r="G3252" s="83">
        <v>46113.0</v>
      </c>
      <c r="H3252" s="76" t="s">
        <v>926</v>
      </c>
    </row>
    <row r="3253">
      <c r="A3253" s="76" t="s">
        <v>36</v>
      </c>
      <c r="B3253" s="76" t="s">
        <v>1004</v>
      </c>
      <c r="C3253" s="84">
        <v>0.87</v>
      </c>
      <c r="D3253" s="84">
        <v>1.0</v>
      </c>
      <c r="E3253" s="84">
        <v>0.87</v>
      </c>
      <c r="F3253" s="76" t="s">
        <v>1005</v>
      </c>
      <c r="G3253" s="83">
        <v>46113.0</v>
      </c>
      <c r="H3253" s="76" t="s">
        <v>927</v>
      </c>
    </row>
    <row r="3254">
      <c r="A3254" s="76" t="s">
        <v>36</v>
      </c>
      <c r="B3254" s="76" t="s">
        <v>1004</v>
      </c>
      <c r="C3254" s="84">
        <v>1.22</v>
      </c>
      <c r="D3254" s="84">
        <v>1.0</v>
      </c>
      <c r="E3254" s="84">
        <v>1.22</v>
      </c>
      <c r="F3254" s="76" t="s">
        <v>1005</v>
      </c>
      <c r="G3254" s="83">
        <v>46113.0</v>
      </c>
      <c r="H3254" s="76" t="s">
        <v>928</v>
      </c>
    </row>
    <row r="3255">
      <c r="A3255" s="76" t="s">
        <v>970</v>
      </c>
      <c r="B3255" s="76" t="s">
        <v>1004</v>
      </c>
      <c r="C3255" s="84">
        <v>6.42</v>
      </c>
      <c r="D3255" s="84">
        <v>0.0</v>
      </c>
      <c r="E3255" s="84">
        <v>0.0</v>
      </c>
      <c r="F3255" s="76" t="s">
        <v>1005</v>
      </c>
      <c r="G3255" s="83">
        <v>46113.0</v>
      </c>
      <c r="H3255" s="76" t="s">
        <v>971</v>
      </c>
    </row>
    <row r="3256">
      <c r="A3256" s="76" t="s">
        <v>970</v>
      </c>
      <c r="B3256" s="76" t="s">
        <v>1004</v>
      </c>
      <c r="C3256" s="84">
        <v>1.32</v>
      </c>
      <c r="D3256" s="84">
        <v>0.0</v>
      </c>
      <c r="E3256" s="84">
        <v>0.0</v>
      </c>
      <c r="F3256" s="76" t="s">
        <v>1005</v>
      </c>
      <c r="G3256" s="83">
        <v>46113.0</v>
      </c>
      <c r="H3256" s="76" t="s">
        <v>972</v>
      </c>
    </row>
    <row r="3257">
      <c r="A3257" s="76" t="s">
        <v>970</v>
      </c>
      <c r="B3257" s="76" t="s">
        <v>1004</v>
      </c>
      <c r="C3257" s="84">
        <v>32.25</v>
      </c>
      <c r="D3257" s="84">
        <v>0.0</v>
      </c>
      <c r="E3257" s="84">
        <v>0.0</v>
      </c>
      <c r="F3257" s="76" t="s">
        <v>1005</v>
      </c>
      <c r="G3257" s="83">
        <v>46113.0</v>
      </c>
      <c r="H3257" s="76" t="s">
        <v>973</v>
      </c>
    </row>
    <row r="3258">
      <c r="A3258" s="76" t="s">
        <v>29</v>
      </c>
      <c r="B3258" s="76" t="s">
        <v>1004</v>
      </c>
      <c r="C3258" s="84">
        <v>31.87</v>
      </c>
      <c r="D3258" s="84">
        <v>7.0</v>
      </c>
      <c r="E3258" s="84">
        <v>4.55</v>
      </c>
      <c r="F3258" s="76" t="s">
        <v>1005</v>
      </c>
      <c r="G3258" s="83">
        <v>46113.0</v>
      </c>
      <c r="H3258" s="76" t="s">
        <v>1015</v>
      </c>
    </row>
    <row r="3259">
      <c r="A3259" s="76" t="s">
        <v>29</v>
      </c>
      <c r="B3259" s="76" t="s">
        <v>1004</v>
      </c>
      <c r="C3259" s="84">
        <v>5.35</v>
      </c>
      <c r="D3259" s="84">
        <v>2.0</v>
      </c>
      <c r="E3259" s="84">
        <v>2.68</v>
      </c>
      <c r="F3259" s="76" t="s">
        <v>1005</v>
      </c>
      <c r="G3259" s="83">
        <v>46113.0</v>
      </c>
      <c r="H3259" s="76" t="s">
        <v>1016</v>
      </c>
    </row>
    <row r="3260">
      <c r="A3260" s="76" t="s">
        <v>29</v>
      </c>
      <c r="B3260" s="76" t="s">
        <v>1004</v>
      </c>
      <c r="C3260" s="84">
        <v>1.07</v>
      </c>
      <c r="D3260" s="84">
        <v>0.0</v>
      </c>
      <c r="E3260" s="84">
        <v>0.0</v>
      </c>
      <c r="F3260" s="76" t="s">
        <v>1005</v>
      </c>
      <c r="G3260" s="83">
        <v>46113.0</v>
      </c>
      <c r="H3260" s="76" t="s">
        <v>1017</v>
      </c>
    </row>
    <row r="3261">
      <c r="A3261" s="76" t="s">
        <v>34</v>
      </c>
      <c r="B3261" s="76" t="s">
        <v>1004</v>
      </c>
      <c r="C3261" s="84">
        <v>0.34</v>
      </c>
      <c r="D3261" s="84">
        <v>0.0</v>
      </c>
      <c r="E3261" s="84">
        <v>0.0</v>
      </c>
      <c r="F3261" s="76" t="s">
        <v>996</v>
      </c>
      <c r="G3261" s="83">
        <v>46113.0</v>
      </c>
      <c r="H3261" s="76" t="s">
        <v>951</v>
      </c>
    </row>
    <row r="3262">
      <c r="A3262" s="76" t="s">
        <v>34</v>
      </c>
      <c r="B3262" s="76" t="s">
        <v>1004</v>
      </c>
      <c r="C3262" s="84">
        <v>1.04</v>
      </c>
      <c r="D3262" s="84">
        <v>0.0</v>
      </c>
      <c r="E3262" s="84">
        <v>0.0</v>
      </c>
      <c r="F3262" s="76" t="s">
        <v>996</v>
      </c>
      <c r="G3262" s="83">
        <v>46113.0</v>
      </c>
      <c r="H3262" s="76" t="s">
        <v>952</v>
      </c>
    </row>
    <row r="3263">
      <c r="A3263" s="76" t="s">
        <v>34</v>
      </c>
      <c r="B3263" s="76" t="s">
        <v>1004</v>
      </c>
      <c r="C3263" s="84">
        <v>3.4</v>
      </c>
      <c r="D3263" s="84">
        <v>0.0</v>
      </c>
      <c r="E3263" s="84">
        <v>0.0</v>
      </c>
      <c r="F3263" s="76" t="s">
        <v>996</v>
      </c>
      <c r="G3263" s="83">
        <v>46113.0</v>
      </c>
      <c r="H3263" s="76" t="s">
        <v>953</v>
      </c>
    </row>
    <row r="3264">
      <c r="A3264" s="76" t="s">
        <v>40</v>
      </c>
      <c r="B3264" s="76" t="s">
        <v>1004</v>
      </c>
      <c r="C3264" s="84">
        <v>0.8</v>
      </c>
      <c r="D3264" s="84">
        <v>0.0</v>
      </c>
      <c r="E3264" s="84">
        <v>0.0</v>
      </c>
      <c r="F3264" s="76" t="s">
        <v>996</v>
      </c>
      <c r="G3264" s="83">
        <v>46113.0</v>
      </c>
      <c r="H3264" s="76" t="s">
        <v>954</v>
      </c>
    </row>
    <row r="3265">
      <c r="A3265" s="76" t="s">
        <v>40</v>
      </c>
      <c r="B3265" s="76" t="s">
        <v>1004</v>
      </c>
      <c r="C3265" s="84">
        <v>0.2</v>
      </c>
      <c r="D3265" s="84">
        <v>0.0</v>
      </c>
      <c r="E3265" s="84">
        <v>0.0</v>
      </c>
      <c r="F3265" s="76" t="s">
        <v>996</v>
      </c>
      <c r="G3265" s="83">
        <v>46113.0</v>
      </c>
      <c r="H3265" s="76" t="s">
        <v>955</v>
      </c>
    </row>
    <row r="3266">
      <c r="A3266" s="76" t="s">
        <v>40</v>
      </c>
      <c r="B3266" s="76" t="s">
        <v>1004</v>
      </c>
      <c r="C3266" s="84">
        <v>4.12</v>
      </c>
      <c r="D3266" s="84">
        <v>0.0</v>
      </c>
      <c r="E3266" s="84">
        <v>0.0</v>
      </c>
      <c r="F3266" s="76" t="s">
        <v>996</v>
      </c>
      <c r="G3266" s="83">
        <v>46113.0</v>
      </c>
      <c r="H3266" s="76" t="s">
        <v>956</v>
      </c>
    </row>
    <row r="3267">
      <c r="A3267" s="76" t="s">
        <v>33</v>
      </c>
      <c r="B3267" s="76" t="s">
        <v>1004</v>
      </c>
      <c r="C3267" s="84">
        <v>377.97</v>
      </c>
      <c r="D3267" s="84">
        <v>0.0</v>
      </c>
      <c r="E3267" s="84">
        <v>0.0</v>
      </c>
      <c r="F3267" s="76" t="s">
        <v>996</v>
      </c>
      <c r="G3267" s="83">
        <v>46113.0</v>
      </c>
      <c r="H3267" s="76" t="s">
        <v>957</v>
      </c>
    </row>
    <row r="3268">
      <c r="A3268" s="76" t="s">
        <v>33</v>
      </c>
      <c r="B3268" s="76" t="s">
        <v>1004</v>
      </c>
      <c r="C3268" s="84">
        <v>16.78</v>
      </c>
      <c r="D3268" s="84">
        <v>0.0</v>
      </c>
      <c r="E3268" s="84">
        <v>0.0</v>
      </c>
      <c r="F3268" s="76" t="s">
        <v>996</v>
      </c>
      <c r="G3268" s="83">
        <v>46113.0</v>
      </c>
      <c r="H3268" s="76" t="s">
        <v>958</v>
      </c>
    </row>
    <row r="3269">
      <c r="A3269" s="76" t="s">
        <v>33</v>
      </c>
      <c r="B3269" s="76" t="s">
        <v>1004</v>
      </c>
      <c r="C3269" s="84">
        <v>21.26</v>
      </c>
      <c r="D3269" s="84">
        <v>0.0</v>
      </c>
      <c r="E3269" s="84">
        <v>0.0</v>
      </c>
      <c r="F3269" s="76" t="s">
        <v>996</v>
      </c>
      <c r="G3269" s="83">
        <v>46113.0</v>
      </c>
      <c r="H3269" s="76" t="s">
        <v>959</v>
      </c>
    </row>
    <row r="3270">
      <c r="A3270" s="76" t="s">
        <v>46</v>
      </c>
      <c r="B3270" s="76" t="s">
        <v>1004</v>
      </c>
      <c r="C3270" s="84">
        <v>3.27</v>
      </c>
      <c r="D3270" s="84">
        <v>0.0</v>
      </c>
      <c r="E3270" s="84">
        <v>0.0</v>
      </c>
      <c r="F3270" s="76" t="s">
        <v>996</v>
      </c>
      <c r="G3270" s="83">
        <v>46113.0</v>
      </c>
      <c r="H3270" s="76" t="s">
        <v>960</v>
      </c>
    </row>
    <row r="3271">
      <c r="A3271" s="76" t="s">
        <v>46</v>
      </c>
      <c r="B3271" s="76" t="s">
        <v>1004</v>
      </c>
      <c r="C3271" s="84">
        <v>1.35</v>
      </c>
      <c r="D3271" s="84">
        <v>0.0</v>
      </c>
      <c r="E3271" s="84">
        <v>0.0</v>
      </c>
      <c r="F3271" s="76" t="s">
        <v>996</v>
      </c>
      <c r="G3271" s="83">
        <v>46113.0</v>
      </c>
      <c r="H3271" s="76" t="s">
        <v>961</v>
      </c>
    </row>
    <row r="3272">
      <c r="A3272" s="76" t="s">
        <v>46</v>
      </c>
      <c r="B3272" s="76" t="s">
        <v>1004</v>
      </c>
      <c r="C3272" s="84">
        <v>1.09</v>
      </c>
      <c r="D3272" s="84">
        <v>0.0</v>
      </c>
      <c r="E3272" s="84">
        <v>0.0</v>
      </c>
      <c r="F3272" s="76" t="s">
        <v>996</v>
      </c>
      <c r="G3272" s="83">
        <v>46113.0</v>
      </c>
      <c r="H3272" s="76" t="s">
        <v>962</v>
      </c>
    </row>
    <row r="3273">
      <c r="A3273" s="76" t="s">
        <v>43</v>
      </c>
      <c r="B3273" s="76" t="s">
        <v>1004</v>
      </c>
      <c r="C3273" s="84">
        <v>0.54</v>
      </c>
      <c r="D3273" s="84">
        <v>0.0</v>
      </c>
      <c r="E3273" s="84">
        <v>0.0</v>
      </c>
      <c r="F3273" s="76" t="s">
        <v>996</v>
      </c>
      <c r="G3273" s="83">
        <v>46113.0</v>
      </c>
      <c r="H3273" s="76" t="s">
        <v>963</v>
      </c>
    </row>
    <row r="3274">
      <c r="A3274" s="76" t="s">
        <v>43</v>
      </c>
      <c r="B3274" s="76" t="s">
        <v>1004</v>
      </c>
      <c r="C3274" s="84">
        <v>2.2</v>
      </c>
      <c r="D3274" s="84">
        <v>0.0</v>
      </c>
      <c r="E3274" s="84">
        <v>0.0</v>
      </c>
      <c r="F3274" s="76" t="s">
        <v>996</v>
      </c>
      <c r="G3274" s="83">
        <v>46113.0</v>
      </c>
      <c r="H3274" s="76" t="s">
        <v>964</v>
      </c>
    </row>
    <row r="3275">
      <c r="A3275" s="76" t="s">
        <v>43</v>
      </c>
      <c r="B3275" s="76" t="s">
        <v>1004</v>
      </c>
      <c r="C3275" s="84">
        <v>1.38</v>
      </c>
      <c r="D3275" s="84">
        <v>0.0</v>
      </c>
      <c r="E3275" s="84">
        <v>0.0</v>
      </c>
      <c r="F3275" s="76" t="s">
        <v>996</v>
      </c>
      <c r="G3275" s="83">
        <v>46113.0</v>
      </c>
      <c r="H3275" s="76" t="s">
        <v>965</v>
      </c>
    </row>
    <row r="3276">
      <c r="A3276" s="76" t="s">
        <v>966</v>
      </c>
      <c r="B3276" s="76" t="s">
        <v>1004</v>
      </c>
      <c r="C3276" s="84">
        <v>3.11</v>
      </c>
      <c r="D3276" s="84">
        <v>0.0</v>
      </c>
      <c r="E3276" s="84">
        <v>0.0</v>
      </c>
      <c r="F3276" s="76" t="s">
        <v>996</v>
      </c>
      <c r="G3276" s="83">
        <v>46113.0</v>
      </c>
      <c r="H3276" s="76" t="s">
        <v>967</v>
      </c>
    </row>
    <row r="3277">
      <c r="A3277" s="76" t="s">
        <v>966</v>
      </c>
      <c r="B3277" s="76" t="s">
        <v>1004</v>
      </c>
      <c r="C3277" s="84">
        <v>2.16</v>
      </c>
      <c r="D3277" s="84">
        <v>0.0</v>
      </c>
      <c r="E3277" s="84">
        <v>0.0</v>
      </c>
      <c r="F3277" s="76" t="s">
        <v>996</v>
      </c>
      <c r="G3277" s="83">
        <v>46113.0</v>
      </c>
      <c r="H3277" s="76" t="s">
        <v>968</v>
      </c>
    </row>
    <row r="3278">
      <c r="A3278" s="76" t="s">
        <v>966</v>
      </c>
      <c r="B3278" s="76" t="s">
        <v>1004</v>
      </c>
      <c r="C3278" s="84">
        <v>1.2</v>
      </c>
      <c r="D3278" s="84">
        <v>0.0</v>
      </c>
      <c r="E3278" s="84">
        <v>0.0</v>
      </c>
      <c r="F3278" s="76" t="s">
        <v>996</v>
      </c>
      <c r="G3278" s="83">
        <v>46113.0</v>
      </c>
      <c r="H3278" s="76" t="s">
        <v>969</v>
      </c>
    </row>
    <row r="3279">
      <c r="A3279" s="76" t="s">
        <v>36</v>
      </c>
      <c r="B3279" s="76" t="s">
        <v>1004</v>
      </c>
      <c r="C3279" s="84">
        <v>0.5</v>
      </c>
      <c r="D3279" s="84">
        <v>0.0</v>
      </c>
      <c r="E3279" s="84">
        <v>0.0</v>
      </c>
      <c r="F3279" s="76" t="s">
        <v>996</v>
      </c>
      <c r="G3279" s="83">
        <v>46113.0</v>
      </c>
      <c r="H3279" s="76" t="s">
        <v>926</v>
      </c>
    </row>
    <row r="3280">
      <c r="A3280" s="76" t="s">
        <v>36</v>
      </c>
      <c r="B3280" s="76" t="s">
        <v>1004</v>
      </c>
      <c r="C3280" s="84">
        <v>1.26</v>
      </c>
      <c r="D3280" s="84">
        <v>0.0</v>
      </c>
      <c r="E3280" s="84">
        <v>0.0</v>
      </c>
      <c r="F3280" s="76" t="s">
        <v>996</v>
      </c>
      <c r="G3280" s="83">
        <v>46113.0</v>
      </c>
      <c r="H3280" s="76" t="s">
        <v>927</v>
      </c>
    </row>
    <row r="3281">
      <c r="A3281" s="76" t="s">
        <v>36</v>
      </c>
      <c r="B3281" s="76" t="s">
        <v>1004</v>
      </c>
      <c r="C3281" s="84">
        <v>1.0</v>
      </c>
      <c r="D3281" s="84">
        <v>0.0</v>
      </c>
      <c r="E3281" s="84">
        <v>0.0</v>
      </c>
      <c r="F3281" s="76" t="s">
        <v>996</v>
      </c>
      <c r="G3281" s="83">
        <v>46113.0</v>
      </c>
      <c r="H3281" s="76" t="s">
        <v>928</v>
      </c>
    </row>
    <row r="3282">
      <c r="A3282" s="76" t="s">
        <v>970</v>
      </c>
      <c r="B3282" s="76" t="s">
        <v>1004</v>
      </c>
      <c r="C3282" s="84">
        <v>1.39</v>
      </c>
      <c r="D3282" s="84">
        <v>0.0</v>
      </c>
      <c r="E3282" s="84">
        <v>0.0</v>
      </c>
      <c r="F3282" s="76" t="s">
        <v>996</v>
      </c>
      <c r="G3282" s="83">
        <v>46113.0</v>
      </c>
      <c r="H3282" s="76" t="s">
        <v>971</v>
      </c>
    </row>
    <row r="3283">
      <c r="A3283" s="76" t="s">
        <v>970</v>
      </c>
      <c r="B3283" s="76" t="s">
        <v>1004</v>
      </c>
      <c r="C3283" s="84">
        <v>0.78</v>
      </c>
      <c r="D3283" s="84">
        <v>0.0</v>
      </c>
      <c r="E3283" s="84">
        <v>0.0</v>
      </c>
      <c r="F3283" s="76" t="s">
        <v>996</v>
      </c>
      <c r="G3283" s="83">
        <v>46113.0</v>
      </c>
      <c r="H3283" s="76" t="s">
        <v>972</v>
      </c>
    </row>
    <row r="3284">
      <c r="A3284" s="76" t="s">
        <v>970</v>
      </c>
      <c r="B3284" s="76" t="s">
        <v>1004</v>
      </c>
      <c r="C3284" s="84">
        <v>3.92</v>
      </c>
      <c r="D3284" s="84">
        <v>0.0</v>
      </c>
      <c r="E3284" s="84">
        <v>0.0</v>
      </c>
      <c r="F3284" s="76" t="s">
        <v>996</v>
      </c>
      <c r="G3284" s="83">
        <v>46113.0</v>
      </c>
      <c r="H3284" s="76" t="s">
        <v>973</v>
      </c>
    </row>
    <row r="3285">
      <c r="A3285" s="76" t="s">
        <v>29</v>
      </c>
      <c r="B3285" s="76" t="s">
        <v>1004</v>
      </c>
      <c r="C3285" s="84">
        <v>2.83</v>
      </c>
      <c r="D3285" s="84">
        <v>0.0</v>
      </c>
      <c r="E3285" s="84">
        <v>0.0</v>
      </c>
      <c r="F3285" s="76" t="s">
        <v>996</v>
      </c>
      <c r="G3285" s="83">
        <v>46113.0</v>
      </c>
      <c r="H3285" s="76" t="s">
        <v>971</v>
      </c>
    </row>
    <row r="3286">
      <c r="A3286" s="76" t="s">
        <v>29</v>
      </c>
      <c r="B3286" s="76" t="s">
        <v>1004</v>
      </c>
      <c r="C3286" s="84">
        <v>1.18</v>
      </c>
      <c r="D3286" s="84">
        <v>0.0</v>
      </c>
      <c r="E3286" s="84">
        <v>0.0</v>
      </c>
      <c r="F3286" s="76" t="s">
        <v>996</v>
      </c>
      <c r="G3286" s="83">
        <v>46113.0</v>
      </c>
      <c r="H3286" s="76" t="s">
        <v>972</v>
      </c>
    </row>
    <row r="3287">
      <c r="A3287" s="76" t="s">
        <v>29</v>
      </c>
      <c r="B3287" s="76" t="s">
        <v>1004</v>
      </c>
      <c r="C3287" s="84">
        <v>7.35</v>
      </c>
      <c r="D3287" s="84">
        <v>0.0</v>
      </c>
      <c r="E3287" s="84">
        <v>0.0</v>
      </c>
      <c r="F3287" s="76" t="s">
        <v>996</v>
      </c>
      <c r="G3287" s="83">
        <v>46113.0</v>
      </c>
      <c r="H3287" s="76" t="s">
        <v>973</v>
      </c>
    </row>
    <row r="3288">
      <c r="A3288" s="76" t="s">
        <v>34</v>
      </c>
      <c r="B3288" s="76" t="s">
        <v>1004</v>
      </c>
      <c r="C3288" s="84">
        <v>0.69</v>
      </c>
      <c r="D3288" s="84">
        <v>0.0</v>
      </c>
      <c r="E3288" s="84">
        <v>0.0</v>
      </c>
      <c r="F3288" s="76" t="s">
        <v>997</v>
      </c>
      <c r="G3288" s="83">
        <v>46113.0</v>
      </c>
      <c r="H3288" s="76" t="s">
        <v>951</v>
      </c>
    </row>
    <row r="3289">
      <c r="A3289" s="76" t="s">
        <v>34</v>
      </c>
      <c r="B3289" s="76" t="s">
        <v>1004</v>
      </c>
      <c r="C3289" s="84">
        <v>1.0</v>
      </c>
      <c r="D3289" s="84">
        <v>0.0</v>
      </c>
      <c r="E3289" s="84">
        <v>0.0</v>
      </c>
      <c r="F3289" s="76" t="s">
        <v>997</v>
      </c>
      <c r="G3289" s="83">
        <v>46113.0</v>
      </c>
      <c r="H3289" s="76" t="s">
        <v>952</v>
      </c>
    </row>
    <row r="3290">
      <c r="A3290" s="76" t="s">
        <v>34</v>
      </c>
      <c r="B3290" s="76" t="s">
        <v>1004</v>
      </c>
      <c r="C3290" s="84">
        <v>5.42</v>
      </c>
      <c r="D3290" s="84">
        <v>0.0</v>
      </c>
      <c r="E3290" s="84">
        <v>0.0</v>
      </c>
      <c r="F3290" s="76" t="s">
        <v>997</v>
      </c>
      <c r="G3290" s="83">
        <v>46113.0</v>
      </c>
      <c r="H3290" s="76" t="s">
        <v>953</v>
      </c>
    </row>
    <row r="3291">
      <c r="A3291" s="76" t="s">
        <v>40</v>
      </c>
      <c r="B3291" s="76" t="s">
        <v>1004</v>
      </c>
      <c r="C3291" s="84">
        <v>1.04</v>
      </c>
      <c r="D3291" s="84">
        <v>0.0</v>
      </c>
      <c r="E3291" s="84">
        <v>0.0</v>
      </c>
      <c r="F3291" s="76" t="s">
        <v>997</v>
      </c>
      <c r="G3291" s="83">
        <v>46113.0</v>
      </c>
      <c r="H3291" s="76" t="s">
        <v>954</v>
      </c>
    </row>
    <row r="3292">
      <c r="A3292" s="76" t="s">
        <v>40</v>
      </c>
      <c r="B3292" s="76" t="s">
        <v>1004</v>
      </c>
      <c r="C3292" s="84">
        <v>0.06</v>
      </c>
      <c r="D3292" s="84">
        <v>0.0</v>
      </c>
      <c r="E3292" s="84">
        <v>0.0</v>
      </c>
      <c r="F3292" s="76" t="s">
        <v>997</v>
      </c>
      <c r="G3292" s="83">
        <v>46113.0</v>
      </c>
      <c r="H3292" s="76" t="s">
        <v>955</v>
      </c>
    </row>
    <row r="3293">
      <c r="A3293" s="76" t="s">
        <v>40</v>
      </c>
      <c r="B3293" s="76" t="s">
        <v>1004</v>
      </c>
      <c r="C3293" s="84">
        <v>5.49</v>
      </c>
      <c r="D3293" s="84">
        <v>0.0</v>
      </c>
      <c r="E3293" s="84">
        <v>0.0</v>
      </c>
      <c r="F3293" s="76" t="s">
        <v>997</v>
      </c>
      <c r="G3293" s="83">
        <v>46113.0</v>
      </c>
      <c r="H3293" s="76" t="s">
        <v>956</v>
      </c>
    </row>
    <row r="3294">
      <c r="A3294" s="76" t="s">
        <v>33</v>
      </c>
      <c r="B3294" s="76" t="s">
        <v>1004</v>
      </c>
      <c r="C3294" s="84">
        <v>16.82</v>
      </c>
      <c r="D3294" s="84">
        <v>0.0</v>
      </c>
      <c r="E3294" s="84">
        <v>0.0</v>
      </c>
      <c r="F3294" s="76" t="s">
        <v>997</v>
      </c>
      <c r="G3294" s="83">
        <v>46113.0</v>
      </c>
      <c r="H3294" s="76" t="s">
        <v>957</v>
      </c>
    </row>
    <row r="3295">
      <c r="A3295" s="76" t="s">
        <v>33</v>
      </c>
      <c r="B3295" s="76" t="s">
        <v>1004</v>
      </c>
      <c r="C3295" s="84">
        <v>1.5</v>
      </c>
      <c r="D3295" s="84">
        <v>0.0</v>
      </c>
      <c r="E3295" s="84">
        <v>0.0</v>
      </c>
      <c r="F3295" s="76" t="s">
        <v>997</v>
      </c>
      <c r="G3295" s="83">
        <v>46113.0</v>
      </c>
      <c r="H3295" s="76" t="s">
        <v>958</v>
      </c>
    </row>
    <row r="3296">
      <c r="A3296" s="76" t="s">
        <v>33</v>
      </c>
      <c r="B3296" s="76" t="s">
        <v>1004</v>
      </c>
      <c r="C3296" s="84">
        <v>2.07</v>
      </c>
      <c r="D3296" s="84">
        <v>0.0</v>
      </c>
      <c r="E3296" s="84">
        <v>0.0</v>
      </c>
      <c r="F3296" s="76" t="s">
        <v>997</v>
      </c>
      <c r="G3296" s="83">
        <v>46113.0</v>
      </c>
      <c r="H3296" s="76" t="s">
        <v>959</v>
      </c>
    </row>
    <row r="3297">
      <c r="A3297" s="76" t="s">
        <v>46</v>
      </c>
      <c r="B3297" s="76" t="s">
        <v>1004</v>
      </c>
      <c r="C3297" s="84">
        <v>24.21</v>
      </c>
      <c r="D3297" s="84">
        <v>0.0</v>
      </c>
      <c r="E3297" s="84">
        <v>0.0</v>
      </c>
      <c r="F3297" s="76" t="s">
        <v>997</v>
      </c>
      <c r="G3297" s="83">
        <v>46113.0</v>
      </c>
      <c r="H3297" s="76" t="s">
        <v>960</v>
      </c>
    </row>
    <row r="3298">
      <c r="A3298" s="76" t="s">
        <v>46</v>
      </c>
      <c r="B3298" s="76" t="s">
        <v>1004</v>
      </c>
      <c r="C3298" s="84">
        <v>1.34</v>
      </c>
      <c r="D3298" s="84">
        <v>0.0</v>
      </c>
      <c r="E3298" s="84">
        <v>0.0</v>
      </c>
      <c r="F3298" s="76" t="s">
        <v>997</v>
      </c>
      <c r="G3298" s="83">
        <v>46113.0</v>
      </c>
      <c r="H3298" s="76" t="s">
        <v>961</v>
      </c>
    </row>
    <row r="3299">
      <c r="A3299" s="76" t="s">
        <v>46</v>
      </c>
      <c r="B3299" s="76" t="s">
        <v>1004</v>
      </c>
      <c r="C3299" s="84">
        <v>2.62</v>
      </c>
      <c r="D3299" s="84">
        <v>0.0</v>
      </c>
      <c r="E3299" s="84">
        <v>0.0</v>
      </c>
      <c r="F3299" s="76" t="s">
        <v>997</v>
      </c>
      <c r="G3299" s="83">
        <v>46113.0</v>
      </c>
      <c r="H3299" s="76" t="s">
        <v>962</v>
      </c>
    </row>
    <row r="3300">
      <c r="A3300" s="76" t="s">
        <v>43</v>
      </c>
      <c r="B3300" s="76" t="s">
        <v>1004</v>
      </c>
      <c r="C3300" s="84">
        <v>0.62</v>
      </c>
      <c r="D3300" s="84">
        <v>0.0</v>
      </c>
      <c r="E3300" s="84">
        <v>0.0</v>
      </c>
      <c r="F3300" s="76" t="s">
        <v>997</v>
      </c>
      <c r="G3300" s="83">
        <v>46113.0</v>
      </c>
      <c r="H3300" s="76" t="s">
        <v>963</v>
      </c>
    </row>
    <row r="3301">
      <c r="A3301" s="76" t="s">
        <v>43</v>
      </c>
      <c r="B3301" s="76" t="s">
        <v>1004</v>
      </c>
      <c r="C3301" s="84">
        <v>1.63</v>
      </c>
      <c r="D3301" s="84">
        <v>0.0</v>
      </c>
      <c r="E3301" s="84">
        <v>0.0</v>
      </c>
      <c r="F3301" s="76" t="s">
        <v>997</v>
      </c>
      <c r="G3301" s="83">
        <v>46113.0</v>
      </c>
      <c r="H3301" s="76" t="s">
        <v>964</v>
      </c>
    </row>
    <row r="3302">
      <c r="A3302" s="76" t="s">
        <v>43</v>
      </c>
      <c r="B3302" s="76" t="s">
        <v>1004</v>
      </c>
      <c r="C3302" s="84">
        <v>2.46</v>
      </c>
      <c r="D3302" s="84">
        <v>0.0</v>
      </c>
      <c r="E3302" s="84">
        <v>0.0</v>
      </c>
      <c r="F3302" s="76" t="s">
        <v>997</v>
      </c>
      <c r="G3302" s="83">
        <v>46113.0</v>
      </c>
      <c r="H3302" s="76" t="s">
        <v>965</v>
      </c>
    </row>
    <row r="3303">
      <c r="A3303" s="76" t="s">
        <v>966</v>
      </c>
      <c r="B3303" s="76" t="s">
        <v>1004</v>
      </c>
      <c r="C3303" s="84">
        <v>1.69</v>
      </c>
      <c r="D3303" s="84">
        <v>0.0</v>
      </c>
      <c r="E3303" s="84">
        <v>0.0</v>
      </c>
      <c r="F3303" s="76" t="s">
        <v>997</v>
      </c>
      <c r="G3303" s="83">
        <v>46113.0</v>
      </c>
      <c r="H3303" s="76" t="s">
        <v>967</v>
      </c>
    </row>
    <row r="3304">
      <c r="A3304" s="76" t="s">
        <v>966</v>
      </c>
      <c r="B3304" s="76" t="s">
        <v>1004</v>
      </c>
      <c r="C3304" s="84">
        <v>0.39</v>
      </c>
      <c r="D3304" s="84">
        <v>0.0</v>
      </c>
      <c r="E3304" s="84">
        <v>0.0</v>
      </c>
      <c r="F3304" s="76" t="s">
        <v>997</v>
      </c>
      <c r="G3304" s="83">
        <v>46113.0</v>
      </c>
      <c r="H3304" s="76" t="s">
        <v>968</v>
      </c>
    </row>
    <row r="3305">
      <c r="A3305" s="76" t="s">
        <v>966</v>
      </c>
      <c r="B3305" s="76" t="s">
        <v>1004</v>
      </c>
      <c r="C3305" s="84">
        <v>0.81</v>
      </c>
      <c r="D3305" s="84">
        <v>0.0</v>
      </c>
      <c r="E3305" s="84">
        <v>0.0</v>
      </c>
      <c r="F3305" s="76" t="s">
        <v>997</v>
      </c>
      <c r="G3305" s="83">
        <v>46113.0</v>
      </c>
      <c r="H3305" s="76" t="s">
        <v>969</v>
      </c>
    </row>
    <row r="3306">
      <c r="A3306" s="76" t="s">
        <v>36</v>
      </c>
      <c r="B3306" s="76" t="s">
        <v>1004</v>
      </c>
      <c r="C3306" s="84">
        <v>0.29</v>
      </c>
      <c r="D3306" s="84">
        <v>0.0</v>
      </c>
      <c r="E3306" s="84">
        <v>0.0</v>
      </c>
      <c r="F3306" s="76" t="s">
        <v>997</v>
      </c>
      <c r="G3306" s="83">
        <v>46113.0</v>
      </c>
      <c r="H3306" s="76" t="s">
        <v>926</v>
      </c>
    </row>
    <row r="3307">
      <c r="A3307" s="76" t="s">
        <v>36</v>
      </c>
      <c r="B3307" s="76" t="s">
        <v>1004</v>
      </c>
      <c r="C3307" s="84">
        <v>0.45</v>
      </c>
      <c r="D3307" s="84">
        <v>0.0</v>
      </c>
      <c r="E3307" s="84">
        <v>0.0</v>
      </c>
      <c r="F3307" s="76" t="s">
        <v>997</v>
      </c>
      <c r="G3307" s="83">
        <v>46113.0</v>
      </c>
      <c r="H3307" s="76" t="s">
        <v>927</v>
      </c>
    </row>
    <row r="3308">
      <c r="A3308" s="76" t="s">
        <v>36</v>
      </c>
      <c r="B3308" s="76" t="s">
        <v>1004</v>
      </c>
      <c r="C3308" s="84">
        <v>0.27</v>
      </c>
      <c r="D3308" s="84">
        <v>0.0</v>
      </c>
      <c r="E3308" s="84">
        <v>0.0</v>
      </c>
      <c r="F3308" s="76" t="s">
        <v>997</v>
      </c>
      <c r="G3308" s="83">
        <v>46113.0</v>
      </c>
      <c r="H3308" s="76" t="s">
        <v>928</v>
      </c>
    </row>
    <row r="3309">
      <c r="A3309" s="76" t="s">
        <v>970</v>
      </c>
      <c r="B3309" s="76" t="s">
        <v>1004</v>
      </c>
      <c r="C3309" s="84">
        <v>3.87</v>
      </c>
      <c r="D3309" s="84">
        <v>0.0</v>
      </c>
      <c r="E3309" s="84">
        <v>0.0</v>
      </c>
      <c r="F3309" s="76" t="s">
        <v>997</v>
      </c>
      <c r="G3309" s="83">
        <v>46113.0</v>
      </c>
      <c r="H3309" s="76" t="s">
        <v>971</v>
      </c>
    </row>
    <row r="3310">
      <c r="A3310" s="76" t="s">
        <v>970</v>
      </c>
      <c r="B3310" s="76" t="s">
        <v>1004</v>
      </c>
      <c r="C3310" s="84">
        <v>2.42</v>
      </c>
      <c r="D3310" s="84">
        <v>0.0</v>
      </c>
      <c r="E3310" s="84">
        <v>0.0</v>
      </c>
      <c r="F3310" s="76" t="s">
        <v>997</v>
      </c>
      <c r="G3310" s="83">
        <v>46113.0</v>
      </c>
      <c r="H3310" s="76" t="s">
        <v>972</v>
      </c>
    </row>
    <row r="3311">
      <c r="A3311" s="76" t="s">
        <v>970</v>
      </c>
      <c r="B3311" s="76" t="s">
        <v>1004</v>
      </c>
      <c r="C3311" s="84">
        <v>19.58</v>
      </c>
      <c r="D3311" s="84">
        <v>0.0</v>
      </c>
      <c r="E3311" s="84">
        <v>0.0</v>
      </c>
      <c r="F3311" s="76" t="s">
        <v>997</v>
      </c>
      <c r="G3311" s="83">
        <v>46113.0</v>
      </c>
      <c r="H3311" s="76" t="s">
        <v>973</v>
      </c>
    </row>
    <row r="3312">
      <c r="A3312" s="76" t="s">
        <v>29</v>
      </c>
      <c r="B3312" s="76" t="s">
        <v>1004</v>
      </c>
      <c r="C3312" s="84">
        <v>2.34</v>
      </c>
      <c r="D3312" s="84">
        <v>0.0</v>
      </c>
      <c r="E3312" s="84">
        <v>0.0</v>
      </c>
      <c r="F3312" s="76" t="s">
        <v>997</v>
      </c>
      <c r="G3312" s="83">
        <v>46113.0</v>
      </c>
      <c r="H3312" s="76" t="s">
        <v>971</v>
      </c>
    </row>
    <row r="3313">
      <c r="A3313" s="76" t="s">
        <v>29</v>
      </c>
      <c r="B3313" s="76" t="s">
        <v>1004</v>
      </c>
      <c r="C3313" s="84">
        <v>1.66</v>
      </c>
      <c r="D3313" s="84">
        <v>0.0</v>
      </c>
      <c r="E3313" s="84">
        <v>0.0</v>
      </c>
      <c r="F3313" s="76" t="s">
        <v>997</v>
      </c>
      <c r="G3313" s="83">
        <v>46113.0</v>
      </c>
      <c r="H3313" s="76" t="s">
        <v>972</v>
      </c>
    </row>
    <row r="3314">
      <c r="A3314" s="76" t="s">
        <v>29</v>
      </c>
      <c r="B3314" s="76" t="s">
        <v>1004</v>
      </c>
      <c r="C3314" s="84">
        <v>6.67</v>
      </c>
      <c r="D3314" s="84">
        <v>0.0</v>
      </c>
      <c r="E3314" s="84">
        <v>0.0</v>
      </c>
      <c r="F3314" s="76" t="s">
        <v>997</v>
      </c>
      <c r="G3314" s="83">
        <v>46113.0</v>
      </c>
      <c r="H3314" s="76" t="s">
        <v>973</v>
      </c>
    </row>
    <row r="3315">
      <c r="A3315" s="76" t="s">
        <v>34</v>
      </c>
      <c r="B3315" s="76" t="s">
        <v>1004</v>
      </c>
      <c r="C3315" s="84">
        <v>0.0</v>
      </c>
      <c r="D3315" s="84">
        <v>0.0</v>
      </c>
      <c r="E3315" s="84">
        <v>0.0</v>
      </c>
      <c r="F3315" s="76" t="s">
        <v>998</v>
      </c>
      <c r="G3315" s="83">
        <v>46113.0</v>
      </c>
      <c r="H3315" s="76" t="s">
        <v>951</v>
      </c>
    </row>
    <row r="3316">
      <c r="A3316" s="76" t="s">
        <v>34</v>
      </c>
      <c r="B3316" s="76" t="s">
        <v>1004</v>
      </c>
      <c r="C3316" s="84">
        <v>0.02</v>
      </c>
      <c r="D3316" s="84">
        <v>0.0</v>
      </c>
      <c r="E3316" s="84">
        <v>0.0</v>
      </c>
      <c r="F3316" s="76" t="s">
        <v>998</v>
      </c>
      <c r="G3316" s="83">
        <v>46113.0</v>
      </c>
      <c r="H3316" s="76" t="s">
        <v>952</v>
      </c>
    </row>
    <row r="3317">
      <c r="A3317" s="76" t="s">
        <v>34</v>
      </c>
      <c r="B3317" s="76" t="s">
        <v>1004</v>
      </c>
      <c r="C3317" s="84">
        <v>0.0</v>
      </c>
      <c r="D3317" s="84">
        <v>0.0</v>
      </c>
      <c r="E3317" s="84">
        <v>0.0</v>
      </c>
      <c r="F3317" s="76" t="s">
        <v>998</v>
      </c>
      <c r="G3317" s="83">
        <v>46113.0</v>
      </c>
      <c r="H3317" s="76" t="s">
        <v>953</v>
      </c>
    </row>
    <row r="3318">
      <c r="A3318" s="76" t="s">
        <v>40</v>
      </c>
      <c r="B3318" s="76" t="s">
        <v>1004</v>
      </c>
      <c r="C3318" s="84">
        <v>0.02</v>
      </c>
      <c r="D3318" s="84">
        <v>0.0</v>
      </c>
      <c r="E3318" s="84">
        <v>0.0</v>
      </c>
      <c r="F3318" s="76" t="s">
        <v>998</v>
      </c>
      <c r="G3318" s="83">
        <v>46113.0</v>
      </c>
      <c r="H3318" s="76" t="s">
        <v>954</v>
      </c>
    </row>
    <row r="3319">
      <c r="A3319" s="76" t="s">
        <v>40</v>
      </c>
      <c r="B3319" s="76" t="s">
        <v>1004</v>
      </c>
      <c r="C3319" s="84">
        <v>0.0</v>
      </c>
      <c r="D3319" s="84">
        <v>0.0</v>
      </c>
      <c r="E3319" s="84">
        <v>0.0</v>
      </c>
      <c r="F3319" s="76" t="s">
        <v>998</v>
      </c>
      <c r="G3319" s="83">
        <v>46113.0</v>
      </c>
      <c r="H3319" s="76" t="s">
        <v>955</v>
      </c>
    </row>
    <row r="3320">
      <c r="A3320" s="76" t="s">
        <v>33</v>
      </c>
      <c r="B3320" s="76" t="s">
        <v>1004</v>
      </c>
      <c r="C3320" s="84">
        <v>0.01</v>
      </c>
      <c r="D3320" s="84">
        <v>0.0</v>
      </c>
      <c r="E3320" s="84">
        <v>0.0</v>
      </c>
      <c r="F3320" s="76" t="s">
        <v>998</v>
      </c>
      <c r="G3320" s="83">
        <v>46113.0</v>
      </c>
      <c r="H3320" s="76" t="s">
        <v>957</v>
      </c>
    </row>
    <row r="3321">
      <c r="A3321" s="76" t="s">
        <v>33</v>
      </c>
      <c r="B3321" s="76" t="s">
        <v>1004</v>
      </c>
      <c r="C3321" s="84">
        <v>0.01</v>
      </c>
      <c r="D3321" s="84">
        <v>0.0</v>
      </c>
      <c r="E3321" s="84">
        <v>0.0</v>
      </c>
      <c r="F3321" s="76" t="s">
        <v>998</v>
      </c>
      <c r="G3321" s="83">
        <v>46113.0</v>
      </c>
      <c r="H3321" s="76" t="s">
        <v>958</v>
      </c>
    </row>
    <row r="3322">
      <c r="A3322" s="76" t="s">
        <v>33</v>
      </c>
      <c r="B3322" s="76" t="s">
        <v>1004</v>
      </c>
      <c r="C3322" s="84">
        <v>0.02</v>
      </c>
      <c r="D3322" s="84">
        <v>0.0</v>
      </c>
      <c r="E3322" s="84">
        <v>0.0</v>
      </c>
      <c r="F3322" s="76" t="s">
        <v>998</v>
      </c>
      <c r="G3322" s="83">
        <v>46113.0</v>
      </c>
      <c r="H3322" s="76" t="s">
        <v>959</v>
      </c>
    </row>
    <row r="3323">
      <c r="A3323" s="76" t="s">
        <v>46</v>
      </c>
      <c r="B3323" s="76" t="s">
        <v>1004</v>
      </c>
      <c r="C3323" s="84">
        <v>0.0</v>
      </c>
      <c r="D3323" s="84">
        <v>0.0</v>
      </c>
      <c r="E3323" s="84">
        <v>0.0</v>
      </c>
      <c r="F3323" s="76" t="s">
        <v>998</v>
      </c>
      <c r="G3323" s="83">
        <v>46113.0</v>
      </c>
      <c r="H3323" s="76" t="s">
        <v>960</v>
      </c>
    </row>
    <row r="3324">
      <c r="A3324" s="76" t="s">
        <v>46</v>
      </c>
      <c r="B3324" s="76" t="s">
        <v>1004</v>
      </c>
      <c r="C3324" s="84">
        <v>0.0</v>
      </c>
      <c r="D3324" s="84">
        <v>0.0</v>
      </c>
      <c r="E3324" s="84">
        <v>0.0</v>
      </c>
      <c r="F3324" s="76" t="s">
        <v>998</v>
      </c>
      <c r="G3324" s="83">
        <v>46113.0</v>
      </c>
      <c r="H3324" s="76" t="s">
        <v>961</v>
      </c>
    </row>
    <row r="3325">
      <c r="A3325" s="76" t="s">
        <v>46</v>
      </c>
      <c r="B3325" s="76" t="s">
        <v>1004</v>
      </c>
      <c r="C3325" s="84">
        <v>0.01</v>
      </c>
      <c r="D3325" s="84">
        <v>0.0</v>
      </c>
      <c r="E3325" s="84">
        <v>0.0</v>
      </c>
      <c r="F3325" s="76" t="s">
        <v>998</v>
      </c>
      <c r="G3325" s="83">
        <v>46113.0</v>
      </c>
      <c r="H3325" s="76" t="s">
        <v>962</v>
      </c>
    </row>
    <row r="3326">
      <c r="A3326" s="76" t="s">
        <v>43</v>
      </c>
      <c r="B3326" s="76" t="s">
        <v>1004</v>
      </c>
      <c r="C3326" s="84">
        <v>0.0</v>
      </c>
      <c r="D3326" s="84">
        <v>0.0</v>
      </c>
      <c r="E3326" s="84">
        <v>0.0</v>
      </c>
      <c r="F3326" s="76" t="s">
        <v>998</v>
      </c>
      <c r="G3326" s="83">
        <v>46113.0</v>
      </c>
      <c r="H3326" s="76" t="s">
        <v>963</v>
      </c>
    </row>
    <row r="3327">
      <c r="A3327" s="76" t="s">
        <v>43</v>
      </c>
      <c r="B3327" s="76" t="s">
        <v>1004</v>
      </c>
      <c r="C3327" s="84">
        <v>0.0</v>
      </c>
      <c r="D3327" s="84">
        <v>0.0</v>
      </c>
      <c r="E3327" s="84">
        <v>0.0</v>
      </c>
      <c r="F3327" s="76" t="s">
        <v>998</v>
      </c>
      <c r="G3327" s="83">
        <v>46113.0</v>
      </c>
      <c r="H3327" s="76" t="s">
        <v>964</v>
      </c>
    </row>
    <row r="3328">
      <c r="A3328" s="76" t="s">
        <v>966</v>
      </c>
      <c r="B3328" s="76" t="s">
        <v>1004</v>
      </c>
      <c r="C3328" s="84">
        <v>0.0</v>
      </c>
      <c r="D3328" s="84">
        <v>0.0</v>
      </c>
      <c r="E3328" s="84">
        <v>0.0</v>
      </c>
      <c r="F3328" s="76" t="s">
        <v>998</v>
      </c>
      <c r="G3328" s="83">
        <v>46113.0</v>
      </c>
      <c r="H3328" s="76" t="s">
        <v>967</v>
      </c>
    </row>
    <row r="3329">
      <c r="A3329" s="76" t="s">
        <v>966</v>
      </c>
      <c r="B3329" s="76" t="s">
        <v>1004</v>
      </c>
      <c r="C3329" s="84">
        <v>0.02</v>
      </c>
      <c r="D3329" s="84">
        <v>0.0</v>
      </c>
      <c r="E3329" s="84">
        <v>0.0</v>
      </c>
      <c r="F3329" s="76" t="s">
        <v>998</v>
      </c>
      <c r="G3329" s="83">
        <v>46113.0</v>
      </c>
      <c r="H3329" s="76" t="s">
        <v>968</v>
      </c>
    </row>
    <row r="3330">
      <c r="A3330" s="76" t="s">
        <v>966</v>
      </c>
      <c r="B3330" s="76" t="s">
        <v>1004</v>
      </c>
      <c r="C3330" s="84">
        <v>0.0</v>
      </c>
      <c r="D3330" s="84">
        <v>0.0</v>
      </c>
      <c r="E3330" s="84">
        <v>0.0</v>
      </c>
      <c r="F3330" s="76" t="s">
        <v>998</v>
      </c>
      <c r="G3330" s="83">
        <v>46113.0</v>
      </c>
      <c r="H3330" s="76" t="s">
        <v>969</v>
      </c>
    </row>
    <row r="3331">
      <c r="A3331" s="76" t="s">
        <v>36</v>
      </c>
      <c r="B3331" s="76" t="s">
        <v>1004</v>
      </c>
      <c r="C3331" s="84">
        <v>0.01</v>
      </c>
      <c r="D3331" s="84">
        <v>0.0</v>
      </c>
      <c r="E3331" s="84">
        <v>0.0</v>
      </c>
      <c r="F3331" s="76" t="s">
        <v>998</v>
      </c>
      <c r="G3331" s="83">
        <v>46113.0</v>
      </c>
      <c r="H3331" s="76" t="s">
        <v>926</v>
      </c>
    </row>
    <row r="3332">
      <c r="A3332" s="76" t="s">
        <v>36</v>
      </c>
      <c r="B3332" s="76" t="s">
        <v>1004</v>
      </c>
      <c r="C3332" s="84">
        <v>0.0</v>
      </c>
      <c r="D3332" s="84">
        <v>0.0</v>
      </c>
      <c r="E3332" s="84">
        <v>0.0</v>
      </c>
      <c r="F3332" s="76" t="s">
        <v>998</v>
      </c>
      <c r="G3332" s="83">
        <v>46113.0</v>
      </c>
      <c r="H3332" s="76" t="s">
        <v>927</v>
      </c>
    </row>
    <row r="3333">
      <c r="A3333" s="76" t="s">
        <v>36</v>
      </c>
      <c r="B3333" s="76" t="s">
        <v>1004</v>
      </c>
      <c r="C3333" s="84">
        <v>0.05</v>
      </c>
      <c r="D3333" s="84">
        <v>0.0</v>
      </c>
      <c r="E3333" s="84">
        <v>0.0</v>
      </c>
      <c r="F3333" s="76" t="s">
        <v>998</v>
      </c>
      <c r="G3333" s="83">
        <v>46113.0</v>
      </c>
      <c r="H3333" s="76" t="s">
        <v>928</v>
      </c>
    </row>
    <row r="3334">
      <c r="A3334" s="76" t="s">
        <v>970</v>
      </c>
      <c r="B3334" s="76" t="s">
        <v>1004</v>
      </c>
      <c r="C3334" s="84">
        <v>0.0</v>
      </c>
      <c r="D3334" s="84">
        <v>0.0</v>
      </c>
      <c r="E3334" s="84">
        <v>0.0</v>
      </c>
      <c r="F3334" s="76" t="s">
        <v>998</v>
      </c>
      <c r="G3334" s="83">
        <v>46113.0</v>
      </c>
      <c r="H3334" s="76" t="s">
        <v>971</v>
      </c>
    </row>
    <row r="3335">
      <c r="A3335" s="76" t="s">
        <v>970</v>
      </c>
      <c r="B3335" s="76" t="s">
        <v>1004</v>
      </c>
      <c r="C3335" s="84">
        <v>0.0</v>
      </c>
      <c r="D3335" s="84">
        <v>0.0</v>
      </c>
      <c r="E3335" s="84">
        <v>0.0</v>
      </c>
      <c r="F3335" s="76" t="s">
        <v>998</v>
      </c>
      <c r="G3335" s="83">
        <v>46113.0</v>
      </c>
      <c r="H3335" s="76" t="s">
        <v>972</v>
      </c>
    </row>
    <row r="3336">
      <c r="A3336" s="76" t="s">
        <v>970</v>
      </c>
      <c r="B3336" s="76" t="s">
        <v>1004</v>
      </c>
      <c r="C3336" s="84">
        <v>0.01</v>
      </c>
      <c r="D3336" s="84">
        <v>0.0</v>
      </c>
      <c r="E3336" s="84">
        <v>0.0</v>
      </c>
      <c r="F3336" s="76" t="s">
        <v>998</v>
      </c>
      <c r="G3336" s="83">
        <v>46113.0</v>
      </c>
      <c r="H3336" s="76" t="s">
        <v>973</v>
      </c>
    </row>
    <row r="3337">
      <c r="A3337" s="76" t="s">
        <v>29</v>
      </c>
      <c r="B3337" s="76" t="s">
        <v>1004</v>
      </c>
      <c r="C3337" s="84">
        <v>0.0</v>
      </c>
      <c r="D3337" s="84">
        <v>0.0</v>
      </c>
      <c r="E3337" s="84">
        <v>0.0</v>
      </c>
      <c r="F3337" s="76" t="s">
        <v>998</v>
      </c>
      <c r="G3337" s="83">
        <v>46113.0</v>
      </c>
      <c r="H3337" s="76" t="s">
        <v>971</v>
      </c>
    </row>
    <row r="3338">
      <c r="A3338" s="76" t="s">
        <v>29</v>
      </c>
      <c r="B3338" s="76" t="s">
        <v>1004</v>
      </c>
      <c r="C3338" s="84">
        <v>0.02</v>
      </c>
      <c r="D3338" s="84">
        <v>0.0</v>
      </c>
      <c r="E3338" s="84">
        <v>0.0</v>
      </c>
      <c r="F3338" s="76" t="s">
        <v>998</v>
      </c>
      <c r="G3338" s="83">
        <v>46113.0</v>
      </c>
      <c r="H3338" s="76" t="s">
        <v>972</v>
      </c>
    </row>
    <row r="3339">
      <c r="A3339" s="76" t="s">
        <v>29</v>
      </c>
      <c r="B3339" s="76" t="s">
        <v>1004</v>
      </c>
      <c r="C3339" s="84">
        <v>0.02</v>
      </c>
      <c r="D3339" s="84">
        <v>0.0</v>
      </c>
      <c r="E3339" s="84">
        <v>0.0</v>
      </c>
      <c r="F3339" s="76" t="s">
        <v>998</v>
      </c>
      <c r="G3339" s="83">
        <v>46113.0</v>
      </c>
      <c r="H3339" s="76" t="s">
        <v>973</v>
      </c>
    </row>
    <row r="3340">
      <c r="A3340" s="76" t="s">
        <v>36</v>
      </c>
      <c r="B3340" s="76" t="s">
        <v>1006</v>
      </c>
      <c r="C3340" s="84">
        <v>0.04</v>
      </c>
      <c r="D3340" s="84">
        <v>0.0</v>
      </c>
      <c r="E3340" s="84">
        <v>0.0</v>
      </c>
      <c r="F3340" s="76" t="s">
        <v>990</v>
      </c>
      <c r="G3340" s="83">
        <v>46113.0</v>
      </c>
      <c r="H3340" s="76" t="s">
        <v>926</v>
      </c>
    </row>
    <row r="3341">
      <c r="A3341" s="76" t="s">
        <v>36</v>
      </c>
      <c r="B3341" s="76" t="s">
        <v>1006</v>
      </c>
      <c r="C3341" s="84">
        <v>0.26</v>
      </c>
      <c r="D3341" s="84">
        <v>0.0</v>
      </c>
      <c r="E3341" s="84">
        <v>0.0</v>
      </c>
      <c r="F3341" s="76" t="s">
        <v>990</v>
      </c>
      <c r="G3341" s="83">
        <v>46113.0</v>
      </c>
      <c r="H3341" s="76" t="s">
        <v>927</v>
      </c>
    </row>
    <row r="3342">
      <c r="A3342" s="76" t="s">
        <v>36</v>
      </c>
      <c r="B3342" s="76" t="s">
        <v>1006</v>
      </c>
      <c r="C3342" s="84">
        <v>0.02</v>
      </c>
      <c r="D3342" s="84">
        <v>0.0</v>
      </c>
      <c r="E3342" s="84">
        <v>0.0</v>
      </c>
      <c r="F3342" s="76" t="s">
        <v>990</v>
      </c>
      <c r="G3342" s="83">
        <v>46113.0</v>
      </c>
      <c r="H3342" s="76" t="s">
        <v>928</v>
      </c>
    </row>
    <row r="3343">
      <c r="A3343" s="76" t="s">
        <v>31</v>
      </c>
      <c r="B3343" s="76" t="s">
        <v>1006</v>
      </c>
      <c r="C3343" s="84">
        <v>0.24</v>
      </c>
      <c r="D3343" s="84">
        <v>0.0</v>
      </c>
      <c r="E3343" s="84">
        <v>0.0</v>
      </c>
      <c r="F3343" s="76" t="s">
        <v>990</v>
      </c>
      <c r="G3343" s="83">
        <v>46113.0</v>
      </c>
      <c r="H3343" s="76" t="s">
        <v>929</v>
      </c>
    </row>
    <row r="3344">
      <c r="A3344" s="76" t="s">
        <v>31</v>
      </c>
      <c r="B3344" s="76" t="s">
        <v>1006</v>
      </c>
      <c r="C3344" s="84">
        <v>1.27</v>
      </c>
      <c r="D3344" s="84">
        <v>0.0</v>
      </c>
      <c r="E3344" s="84">
        <v>0.0</v>
      </c>
      <c r="F3344" s="76" t="s">
        <v>990</v>
      </c>
      <c r="G3344" s="83">
        <v>46113.0</v>
      </c>
      <c r="H3344" s="76" t="s">
        <v>930</v>
      </c>
    </row>
    <row r="3345">
      <c r="A3345" s="76" t="s">
        <v>28</v>
      </c>
      <c r="B3345" s="76" t="s">
        <v>1006</v>
      </c>
      <c r="C3345" s="84">
        <v>0.11</v>
      </c>
      <c r="D3345" s="84">
        <v>0.0</v>
      </c>
      <c r="E3345" s="84">
        <v>0.0</v>
      </c>
      <c r="F3345" s="76" t="s">
        <v>990</v>
      </c>
      <c r="G3345" s="83">
        <v>46113.0</v>
      </c>
      <c r="H3345" s="76" t="s">
        <v>931</v>
      </c>
    </row>
    <row r="3346">
      <c r="A3346" s="76" t="s">
        <v>28</v>
      </c>
      <c r="B3346" s="76" t="s">
        <v>1006</v>
      </c>
      <c r="C3346" s="84">
        <v>0.07</v>
      </c>
      <c r="D3346" s="84">
        <v>0.0</v>
      </c>
      <c r="E3346" s="84">
        <v>0.0</v>
      </c>
      <c r="F3346" s="76" t="s">
        <v>990</v>
      </c>
      <c r="G3346" s="83">
        <v>46113.0</v>
      </c>
      <c r="H3346" s="76" t="s">
        <v>932</v>
      </c>
    </row>
    <row r="3347">
      <c r="A3347" s="76" t="s">
        <v>28</v>
      </c>
      <c r="B3347" s="76" t="s">
        <v>1006</v>
      </c>
      <c r="C3347" s="84">
        <v>0.64</v>
      </c>
      <c r="D3347" s="84">
        <v>0.0</v>
      </c>
      <c r="E3347" s="84">
        <v>0.0</v>
      </c>
      <c r="F3347" s="76" t="s">
        <v>990</v>
      </c>
      <c r="G3347" s="83">
        <v>46113.0</v>
      </c>
      <c r="H3347" s="76" t="s">
        <v>933</v>
      </c>
    </row>
    <row r="3348">
      <c r="A3348" s="76" t="s">
        <v>42</v>
      </c>
      <c r="B3348" s="76" t="s">
        <v>1006</v>
      </c>
      <c r="C3348" s="84">
        <v>0.0</v>
      </c>
      <c r="D3348" s="84">
        <v>0.0</v>
      </c>
      <c r="E3348" s="84">
        <v>0.0</v>
      </c>
      <c r="F3348" s="76" t="s">
        <v>990</v>
      </c>
      <c r="G3348" s="83">
        <v>46113.0</v>
      </c>
      <c r="H3348" s="76" t="s">
        <v>991</v>
      </c>
    </row>
    <row r="3349">
      <c r="A3349" s="76" t="s">
        <v>42</v>
      </c>
      <c r="B3349" s="76" t="s">
        <v>1006</v>
      </c>
      <c r="C3349" s="84">
        <v>0.33</v>
      </c>
      <c r="D3349" s="84">
        <v>0.0</v>
      </c>
      <c r="E3349" s="84">
        <v>0.0</v>
      </c>
      <c r="F3349" s="76" t="s">
        <v>990</v>
      </c>
      <c r="G3349" s="83">
        <v>46113.0</v>
      </c>
      <c r="H3349" s="76" t="s">
        <v>935</v>
      </c>
    </row>
    <row r="3350">
      <c r="A3350" s="76" t="s">
        <v>45</v>
      </c>
      <c r="B3350" s="76" t="s">
        <v>1006</v>
      </c>
      <c r="C3350" s="84">
        <v>0.02</v>
      </c>
      <c r="D3350" s="84">
        <v>0.0</v>
      </c>
      <c r="E3350" s="84">
        <v>0.0</v>
      </c>
      <c r="F3350" s="76" t="s">
        <v>990</v>
      </c>
      <c r="G3350" s="83">
        <v>46113.0</v>
      </c>
      <c r="H3350" s="76" t="s">
        <v>936</v>
      </c>
    </row>
    <row r="3351">
      <c r="A3351" s="76" t="s">
        <v>45</v>
      </c>
      <c r="B3351" s="76" t="s">
        <v>1006</v>
      </c>
      <c r="C3351" s="84">
        <v>0.0</v>
      </c>
      <c r="D3351" s="84">
        <v>0.0</v>
      </c>
      <c r="E3351" s="84">
        <v>0.0</v>
      </c>
      <c r="F3351" s="76" t="s">
        <v>990</v>
      </c>
      <c r="G3351" s="83">
        <v>46113.0</v>
      </c>
      <c r="H3351" s="76" t="s">
        <v>937</v>
      </c>
    </row>
    <row r="3352">
      <c r="A3352" s="76" t="s">
        <v>45</v>
      </c>
      <c r="B3352" s="76" t="s">
        <v>1006</v>
      </c>
      <c r="C3352" s="84">
        <v>0.02</v>
      </c>
      <c r="D3352" s="84">
        <v>0.0</v>
      </c>
      <c r="E3352" s="84">
        <v>0.0</v>
      </c>
      <c r="F3352" s="76" t="s">
        <v>990</v>
      </c>
      <c r="G3352" s="83">
        <v>46113.0</v>
      </c>
      <c r="H3352" s="76" t="s">
        <v>938</v>
      </c>
    </row>
    <row r="3353">
      <c r="A3353" s="76" t="s">
        <v>50</v>
      </c>
      <c r="B3353" s="76" t="s">
        <v>1006</v>
      </c>
      <c r="C3353" s="84">
        <v>0.08</v>
      </c>
      <c r="D3353" s="84">
        <v>0.0</v>
      </c>
      <c r="E3353" s="84">
        <v>0.0</v>
      </c>
      <c r="F3353" s="76" t="s">
        <v>990</v>
      </c>
      <c r="G3353" s="83">
        <v>46113.0</v>
      </c>
      <c r="H3353" s="76" t="s">
        <v>939</v>
      </c>
    </row>
    <row r="3354">
      <c r="A3354" s="76" t="s">
        <v>50</v>
      </c>
      <c r="B3354" s="76" t="s">
        <v>1006</v>
      </c>
      <c r="C3354" s="84">
        <v>0.12</v>
      </c>
      <c r="D3354" s="84">
        <v>0.0</v>
      </c>
      <c r="E3354" s="84">
        <v>0.0</v>
      </c>
      <c r="F3354" s="76" t="s">
        <v>990</v>
      </c>
      <c r="G3354" s="83">
        <v>46113.0</v>
      </c>
      <c r="H3354" s="76" t="s">
        <v>940</v>
      </c>
    </row>
    <row r="3355">
      <c r="A3355" s="76" t="s">
        <v>32</v>
      </c>
      <c r="B3355" s="76" t="s">
        <v>1006</v>
      </c>
      <c r="C3355" s="84">
        <v>0.26</v>
      </c>
      <c r="D3355" s="84">
        <v>0.0</v>
      </c>
      <c r="E3355" s="84">
        <v>0.0</v>
      </c>
      <c r="F3355" s="76" t="s">
        <v>990</v>
      </c>
      <c r="G3355" s="83">
        <v>46113.0</v>
      </c>
      <c r="H3355" s="76" t="s">
        <v>941</v>
      </c>
    </row>
    <row r="3356">
      <c r="A3356" s="76" t="s">
        <v>32</v>
      </c>
      <c r="B3356" s="76" t="s">
        <v>1006</v>
      </c>
      <c r="C3356" s="84">
        <v>0.13</v>
      </c>
      <c r="D3356" s="84">
        <v>0.0</v>
      </c>
      <c r="E3356" s="84">
        <v>0.0</v>
      </c>
      <c r="F3356" s="76" t="s">
        <v>990</v>
      </c>
      <c r="G3356" s="83">
        <v>46113.0</v>
      </c>
      <c r="H3356" s="76" t="s">
        <v>942</v>
      </c>
    </row>
    <row r="3357">
      <c r="A3357" s="76" t="s">
        <v>32</v>
      </c>
      <c r="B3357" s="76" t="s">
        <v>1006</v>
      </c>
      <c r="C3357" s="84">
        <v>4.5</v>
      </c>
      <c r="D3357" s="84">
        <v>1.0</v>
      </c>
      <c r="E3357" s="84">
        <v>4.5</v>
      </c>
      <c r="F3357" s="76" t="s">
        <v>990</v>
      </c>
      <c r="G3357" s="83">
        <v>46113.0</v>
      </c>
      <c r="H3357" s="76" t="s">
        <v>943</v>
      </c>
    </row>
    <row r="3358">
      <c r="A3358" s="76" t="s">
        <v>944</v>
      </c>
      <c r="B3358" s="76" t="s">
        <v>1006</v>
      </c>
      <c r="C3358" s="84">
        <v>0.34</v>
      </c>
      <c r="D3358" s="84">
        <v>0.0</v>
      </c>
      <c r="E3358" s="84">
        <v>0.0</v>
      </c>
      <c r="F3358" s="76" t="s">
        <v>990</v>
      </c>
      <c r="G3358" s="83">
        <v>46113.0</v>
      </c>
      <c r="H3358" s="76" t="s">
        <v>945</v>
      </c>
    </row>
    <row r="3359">
      <c r="A3359" s="76" t="s">
        <v>944</v>
      </c>
      <c r="B3359" s="76" t="s">
        <v>1006</v>
      </c>
      <c r="C3359" s="84">
        <v>0.18</v>
      </c>
      <c r="D3359" s="84">
        <v>0.0</v>
      </c>
      <c r="E3359" s="84">
        <v>0.0</v>
      </c>
      <c r="F3359" s="76" t="s">
        <v>990</v>
      </c>
      <c r="G3359" s="83">
        <v>46113.0</v>
      </c>
      <c r="H3359" s="76" t="s">
        <v>946</v>
      </c>
    </row>
    <row r="3360">
      <c r="A3360" s="76" t="s">
        <v>944</v>
      </c>
      <c r="B3360" s="76" t="s">
        <v>1006</v>
      </c>
      <c r="C3360" s="84">
        <v>0.13</v>
      </c>
      <c r="D3360" s="84">
        <v>0.0</v>
      </c>
      <c r="E3360" s="84">
        <v>0.0</v>
      </c>
      <c r="F3360" s="76" t="s">
        <v>990</v>
      </c>
      <c r="G3360" s="83">
        <v>46113.0</v>
      </c>
      <c r="H3360" s="76" t="s">
        <v>947</v>
      </c>
    </row>
    <row r="3361">
      <c r="A3361" s="76" t="s">
        <v>26</v>
      </c>
      <c r="B3361" s="76" t="s">
        <v>1006</v>
      </c>
      <c r="C3361" s="84">
        <v>0.01</v>
      </c>
      <c r="D3361" s="84">
        <v>0.0</v>
      </c>
      <c r="E3361" s="84">
        <v>0.0</v>
      </c>
      <c r="F3361" s="76" t="s">
        <v>990</v>
      </c>
      <c r="G3361" s="83">
        <v>46113.0</v>
      </c>
      <c r="H3361" s="76" t="s">
        <v>1012</v>
      </c>
    </row>
    <row r="3362">
      <c r="A3362" s="76" t="s">
        <v>26</v>
      </c>
      <c r="B3362" s="76" t="s">
        <v>1006</v>
      </c>
      <c r="C3362" s="84">
        <v>0.06</v>
      </c>
      <c r="D3362" s="84">
        <v>0.0</v>
      </c>
      <c r="E3362" s="84">
        <v>0.0</v>
      </c>
      <c r="F3362" s="76" t="s">
        <v>990</v>
      </c>
      <c r="G3362" s="83">
        <v>46113.0</v>
      </c>
      <c r="H3362" s="76" t="s">
        <v>1013</v>
      </c>
    </row>
    <row r="3363">
      <c r="A3363" s="76" t="s">
        <v>26</v>
      </c>
      <c r="B3363" s="76" t="s">
        <v>1006</v>
      </c>
      <c r="C3363" s="84">
        <v>0.1</v>
      </c>
      <c r="D3363" s="84">
        <v>0.0</v>
      </c>
      <c r="E3363" s="84">
        <v>0.0</v>
      </c>
      <c r="F3363" s="76" t="s">
        <v>990</v>
      </c>
      <c r="G3363" s="83">
        <v>46113.0</v>
      </c>
      <c r="H3363" s="76" t="s">
        <v>1014</v>
      </c>
    </row>
    <row r="3364">
      <c r="A3364" s="76" t="s">
        <v>36</v>
      </c>
      <c r="B3364" s="76" t="s">
        <v>1006</v>
      </c>
      <c r="C3364" s="84">
        <v>1.49</v>
      </c>
      <c r="D3364" s="84">
        <v>0.0</v>
      </c>
      <c r="E3364" s="84">
        <v>0.0</v>
      </c>
      <c r="F3364" s="76" t="s">
        <v>993</v>
      </c>
      <c r="G3364" s="83">
        <v>46113.0</v>
      </c>
      <c r="H3364" s="76" t="s">
        <v>926</v>
      </c>
    </row>
    <row r="3365">
      <c r="A3365" s="76" t="s">
        <v>36</v>
      </c>
      <c r="B3365" s="76" t="s">
        <v>1006</v>
      </c>
      <c r="C3365" s="84">
        <v>1.56</v>
      </c>
      <c r="D3365" s="84">
        <v>0.0</v>
      </c>
      <c r="E3365" s="84">
        <v>0.0</v>
      </c>
      <c r="F3365" s="76" t="s">
        <v>993</v>
      </c>
      <c r="G3365" s="83">
        <v>46113.0</v>
      </c>
      <c r="H3365" s="76" t="s">
        <v>927</v>
      </c>
    </row>
    <row r="3366">
      <c r="A3366" s="76" t="s">
        <v>36</v>
      </c>
      <c r="B3366" s="76" t="s">
        <v>1006</v>
      </c>
      <c r="C3366" s="84">
        <v>0.9</v>
      </c>
      <c r="D3366" s="84">
        <v>0.0</v>
      </c>
      <c r="E3366" s="84">
        <v>0.0</v>
      </c>
      <c r="F3366" s="76" t="s">
        <v>993</v>
      </c>
      <c r="G3366" s="83">
        <v>46113.0</v>
      </c>
      <c r="H3366" s="76" t="s">
        <v>928</v>
      </c>
    </row>
    <row r="3367">
      <c r="A3367" s="76" t="s">
        <v>31</v>
      </c>
      <c r="B3367" s="76" t="s">
        <v>1006</v>
      </c>
      <c r="C3367" s="84">
        <v>17.79</v>
      </c>
      <c r="D3367" s="84">
        <v>0.0</v>
      </c>
      <c r="E3367" s="84">
        <v>0.0</v>
      </c>
      <c r="F3367" s="76" t="s">
        <v>993</v>
      </c>
      <c r="G3367" s="83">
        <v>46113.0</v>
      </c>
      <c r="H3367" s="76" t="s">
        <v>929</v>
      </c>
    </row>
    <row r="3368">
      <c r="A3368" s="76" t="s">
        <v>31</v>
      </c>
      <c r="B3368" s="76" t="s">
        <v>1006</v>
      </c>
      <c r="C3368" s="84">
        <v>71.95</v>
      </c>
      <c r="D3368" s="84">
        <v>0.0</v>
      </c>
      <c r="E3368" s="84">
        <v>0.0</v>
      </c>
      <c r="F3368" s="76" t="s">
        <v>993</v>
      </c>
      <c r="G3368" s="83">
        <v>46113.0</v>
      </c>
      <c r="H3368" s="76" t="s">
        <v>930</v>
      </c>
    </row>
    <row r="3369">
      <c r="A3369" s="76" t="s">
        <v>28</v>
      </c>
      <c r="B3369" s="76" t="s">
        <v>1006</v>
      </c>
      <c r="C3369" s="84">
        <v>1.23</v>
      </c>
      <c r="D3369" s="84">
        <v>0.0</v>
      </c>
      <c r="E3369" s="84">
        <v>0.0</v>
      </c>
      <c r="F3369" s="76" t="s">
        <v>993</v>
      </c>
      <c r="G3369" s="83">
        <v>46113.0</v>
      </c>
      <c r="H3369" s="76" t="s">
        <v>931</v>
      </c>
    </row>
    <row r="3370">
      <c r="A3370" s="76" t="s">
        <v>28</v>
      </c>
      <c r="B3370" s="76" t="s">
        <v>1006</v>
      </c>
      <c r="C3370" s="84">
        <v>0.32</v>
      </c>
      <c r="D3370" s="84">
        <v>0.0</v>
      </c>
      <c r="E3370" s="84">
        <v>0.0</v>
      </c>
      <c r="F3370" s="76" t="s">
        <v>993</v>
      </c>
      <c r="G3370" s="83">
        <v>46113.0</v>
      </c>
      <c r="H3370" s="76" t="s">
        <v>932</v>
      </c>
    </row>
    <row r="3371">
      <c r="A3371" s="76" t="s">
        <v>28</v>
      </c>
      <c r="B3371" s="76" t="s">
        <v>1006</v>
      </c>
      <c r="C3371" s="84">
        <v>9.19</v>
      </c>
      <c r="D3371" s="84">
        <v>0.0</v>
      </c>
      <c r="E3371" s="84">
        <v>0.0</v>
      </c>
      <c r="F3371" s="76" t="s">
        <v>993</v>
      </c>
      <c r="G3371" s="83">
        <v>46113.0</v>
      </c>
      <c r="H3371" s="76" t="s">
        <v>933</v>
      </c>
    </row>
    <row r="3372">
      <c r="A3372" s="76" t="s">
        <v>42</v>
      </c>
      <c r="B3372" s="76" t="s">
        <v>1006</v>
      </c>
      <c r="C3372" s="84">
        <v>0.01</v>
      </c>
      <c r="D3372" s="84">
        <v>0.0</v>
      </c>
      <c r="E3372" s="84">
        <v>0.0</v>
      </c>
      <c r="F3372" s="76" t="s">
        <v>993</v>
      </c>
      <c r="G3372" s="83">
        <v>46113.0</v>
      </c>
      <c r="H3372" s="76" t="s">
        <v>991</v>
      </c>
    </row>
    <row r="3373">
      <c r="A3373" s="76" t="s">
        <v>42</v>
      </c>
      <c r="B3373" s="76" t="s">
        <v>1006</v>
      </c>
      <c r="C3373" s="84">
        <v>6.33</v>
      </c>
      <c r="D3373" s="84">
        <v>0.0</v>
      </c>
      <c r="E3373" s="84">
        <v>0.0</v>
      </c>
      <c r="F3373" s="76" t="s">
        <v>993</v>
      </c>
      <c r="G3373" s="83">
        <v>46113.0</v>
      </c>
      <c r="H3373" s="76" t="s">
        <v>935</v>
      </c>
    </row>
    <row r="3374">
      <c r="A3374" s="76" t="s">
        <v>45</v>
      </c>
      <c r="B3374" s="76" t="s">
        <v>1006</v>
      </c>
      <c r="C3374" s="84">
        <v>0.17</v>
      </c>
      <c r="D3374" s="84">
        <v>0.0</v>
      </c>
      <c r="E3374" s="84">
        <v>0.0</v>
      </c>
      <c r="F3374" s="76" t="s">
        <v>993</v>
      </c>
      <c r="G3374" s="83">
        <v>46113.0</v>
      </c>
      <c r="H3374" s="76" t="s">
        <v>936</v>
      </c>
    </row>
    <row r="3375">
      <c r="A3375" s="76" t="s">
        <v>45</v>
      </c>
      <c r="B3375" s="76" t="s">
        <v>1006</v>
      </c>
      <c r="C3375" s="84">
        <v>0.21</v>
      </c>
      <c r="D3375" s="84">
        <v>0.0</v>
      </c>
      <c r="E3375" s="84">
        <v>0.0</v>
      </c>
      <c r="F3375" s="76" t="s">
        <v>993</v>
      </c>
      <c r="G3375" s="83">
        <v>46113.0</v>
      </c>
      <c r="H3375" s="76" t="s">
        <v>937</v>
      </c>
    </row>
    <row r="3376">
      <c r="A3376" s="76" t="s">
        <v>45</v>
      </c>
      <c r="B3376" s="76" t="s">
        <v>1006</v>
      </c>
      <c r="C3376" s="84">
        <v>0.19</v>
      </c>
      <c r="D3376" s="84">
        <v>0.0</v>
      </c>
      <c r="E3376" s="84">
        <v>0.0</v>
      </c>
      <c r="F3376" s="76" t="s">
        <v>993</v>
      </c>
      <c r="G3376" s="83">
        <v>46113.0</v>
      </c>
      <c r="H3376" s="76" t="s">
        <v>938</v>
      </c>
    </row>
    <row r="3377">
      <c r="A3377" s="76" t="s">
        <v>50</v>
      </c>
      <c r="B3377" s="76" t="s">
        <v>1006</v>
      </c>
      <c r="C3377" s="84">
        <v>0.31</v>
      </c>
      <c r="D3377" s="84">
        <v>0.0</v>
      </c>
      <c r="E3377" s="84">
        <v>0.0</v>
      </c>
      <c r="F3377" s="76" t="s">
        <v>993</v>
      </c>
      <c r="G3377" s="83">
        <v>46113.0</v>
      </c>
      <c r="H3377" s="76" t="s">
        <v>939</v>
      </c>
    </row>
    <row r="3378">
      <c r="A3378" s="76" t="s">
        <v>50</v>
      </c>
      <c r="B3378" s="76" t="s">
        <v>1006</v>
      </c>
      <c r="C3378" s="84">
        <v>0.73</v>
      </c>
      <c r="D3378" s="84">
        <v>0.0</v>
      </c>
      <c r="E3378" s="84">
        <v>0.0</v>
      </c>
      <c r="F3378" s="76" t="s">
        <v>993</v>
      </c>
      <c r="G3378" s="83">
        <v>46113.0</v>
      </c>
      <c r="H3378" s="76" t="s">
        <v>940</v>
      </c>
    </row>
    <row r="3379">
      <c r="A3379" s="76" t="s">
        <v>32</v>
      </c>
      <c r="B3379" s="76" t="s">
        <v>1006</v>
      </c>
      <c r="C3379" s="84">
        <v>8.99</v>
      </c>
      <c r="D3379" s="84">
        <v>0.0</v>
      </c>
      <c r="E3379" s="84">
        <v>0.0</v>
      </c>
      <c r="F3379" s="76" t="s">
        <v>993</v>
      </c>
      <c r="G3379" s="83">
        <v>46113.0</v>
      </c>
      <c r="H3379" s="76" t="s">
        <v>941</v>
      </c>
    </row>
    <row r="3380">
      <c r="A3380" s="76" t="s">
        <v>32</v>
      </c>
      <c r="B3380" s="76" t="s">
        <v>1006</v>
      </c>
      <c r="C3380" s="84">
        <v>9.18</v>
      </c>
      <c r="D3380" s="84">
        <v>0.0</v>
      </c>
      <c r="E3380" s="84">
        <v>0.0</v>
      </c>
      <c r="F3380" s="76" t="s">
        <v>993</v>
      </c>
      <c r="G3380" s="83">
        <v>46113.0</v>
      </c>
      <c r="H3380" s="76" t="s">
        <v>942</v>
      </c>
    </row>
    <row r="3381">
      <c r="A3381" s="76" t="s">
        <v>32</v>
      </c>
      <c r="B3381" s="76" t="s">
        <v>1006</v>
      </c>
      <c r="C3381" s="84">
        <v>76.66</v>
      </c>
      <c r="D3381" s="84">
        <v>0.0</v>
      </c>
      <c r="E3381" s="84">
        <v>0.0</v>
      </c>
      <c r="F3381" s="76" t="s">
        <v>993</v>
      </c>
      <c r="G3381" s="83">
        <v>46113.0</v>
      </c>
      <c r="H3381" s="76" t="s">
        <v>943</v>
      </c>
    </row>
    <row r="3382">
      <c r="A3382" s="76" t="s">
        <v>944</v>
      </c>
      <c r="B3382" s="76" t="s">
        <v>1006</v>
      </c>
      <c r="C3382" s="84">
        <v>3.45</v>
      </c>
      <c r="D3382" s="84">
        <v>0.0</v>
      </c>
      <c r="E3382" s="84">
        <v>0.0</v>
      </c>
      <c r="F3382" s="76" t="s">
        <v>993</v>
      </c>
      <c r="G3382" s="83">
        <v>46113.0</v>
      </c>
      <c r="H3382" s="76" t="s">
        <v>945</v>
      </c>
    </row>
    <row r="3383">
      <c r="A3383" s="76" t="s">
        <v>944</v>
      </c>
      <c r="B3383" s="76" t="s">
        <v>1006</v>
      </c>
      <c r="C3383" s="84">
        <v>0.87</v>
      </c>
      <c r="D3383" s="84">
        <v>0.0</v>
      </c>
      <c r="E3383" s="84">
        <v>0.0</v>
      </c>
      <c r="F3383" s="76" t="s">
        <v>993</v>
      </c>
      <c r="G3383" s="83">
        <v>46113.0</v>
      </c>
      <c r="H3383" s="76" t="s">
        <v>946</v>
      </c>
    </row>
    <row r="3384">
      <c r="A3384" s="76" t="s">
        <v>944</v>
      </c>
      <c r="B3384" s="76" t="s">
        <v>1006</v>
      </c>
      <c r="C3384" s="84">
        <v>1.07</v>
      </c>
      <c r="D3384" s="84">
        <v>0.0</v>
      </c>
      <c r="E3384" s="84">
        <v>0.0</v>
      </c>
      <c r="F3384" s="76" t="s">
        <v>993</v>
      </c>
      <c r="G3384" s="83">
        <v>46113.0</v>
      </c>
      <c r="H3384" s="76" t="s">
        <v>947</v>
      </c>
    </row>
    <row r="3385">
      <c r="A3385" s="76" t="s">
        <v>26</v>
      </c>
      <c r="B3385" s="76" t="s">
        <v>1006</v>
      </c>
      <c r="C3385" s="84">
        <v>3.49</v>
      </c>
      <c r="D3385" s="84">
        <v>0.0</v>
      </c>
      <c r="E3385" s="84">
        <v>0.0</v>
      </c>
      <c r="F3385" s="76" t="s">
        <v>993</v>
      </c>
      <c r="G3385" s="83">
        <v>46113.0</v>
      </c>
      <c r="H3385" s="76" t="s">
        <v>1012</v>
      </c>
    </row>
    <row r="3386">
      <c r="A3386" s="76" t="s">
        <v>26</v>
      </c>
      <c r="B3386" s="76" t="s">
        <v>1006</v>
      </c>
      <c r="C3386" s="84">
        <v>66.54</v>
      </c>
      <c r="D3386" s="84">
        <v>0.0</v>
      </c>
      <c r="E3386" s="84">
        <v>0.0</v>
      </c>
      <c r="F3386" s="76" t="s">
        <v>993</v>
      </c>
      <c r="G3386" s="83">
        <v>46113.0</v>
      </c>
      <c r="H3386" s="76" t="s">
        <v>1013</v>
      </c>
    </row>
    <row r="3387">
      <c r="A3387" s="76" t="s">
        <v>26</v>
      </c>
      <c r="B3387" s="76" t="s">
        <v>1006</v>
      </c>
      <c r="C3387" s="84">
        <v>10.17</v>
      </c>
      <c r="D3387" s="84">
        <v>0.0</v>
      </c>
      <c r="E3387" s="84">
        <v>0.0</v>
      </c>
      <c r="F3387" s="76" t="s">
        <v>993</v>
      </c>
      <c r="G3387" s="83">
        <v>46113.0</v>
      </c>
      <c r="H3387" s="76" t="s">
        <v>1014</v>
      </c>
    </row>
    <row r="3388">
      <c r="A3388" s="76" t="s">
        <v>36</v>
      </c>
      <c r="B3388" s="76" t="s">
        <v>1006</v>
      </c>
      <c r="C3388" s="84">
        <v>0.01</v>
      </c>
      <c r="D3388" s="84">
        <v>0.0</v>
      </c>
      <c r="E3388" s="84">
        <v>0.0</v>
      </c>
      <c r="F3388" s="76" t="s">
        <v>994</v>
      </c>
      <c r="G3388" s="83">
        <v>46113.0</v>
      </c>
      <c r="H3388" s="76" t="s">
        <v>926</v>
      </c>
    </row>
    <row r="3389">
      <c r="A3389" s="76" t="s">
        <v>36</v>
      </c>
      <c r="B3389" s="76" t="s">
        <v>1006</v>
      </c>
      <c r="C3389" s="84">
        <v>0.01</v>
      </c>
      <c r="D3389" s="84">
        <v>0.0</v>
      </c>
      <c r="E3389" s="84">
        <v>0.0</v>
      </c>
      <c r="F3389" s="76" t="s">
        <v>994</v>
      </c>
      <c r="G3389" s="83">
        <v>46113.0</v>
      </c>
      <c r="H3389" s="76" t="s">
        <v>927</v>
      </c>
    </row>
    <row r="3390">
      <c r="A3390" s="76" t="s">
        <v>36</v>
      </c>
      <c r="B3390" s="76" t="s">
        <v>1006</v>
      </c>
      <c r="C3390" s="84">
        <v>0.0</v>
      </c>
      <c r="D3390" s="84">
        <v>0.0</v>
      </c>
      <c r="E3390" s="84">
        <v>0.0</v>
      </c>
      <c r="F3390" s="76" t="s">
        <v>994</v>
      </c>
      <c r="G3390" s="83">
        <v>46113.0</v>
      </c>
      <c r="H3390" s="76" t="s">
        <v>928</v>
      </c>
    </row>
    <row r="3391">
      <c r="A3391" s="76" t="s">
        <v>31</v>
      </c>
      <c r="B3391" s="76" t="s">
        <v>1006</v>
      </c>
      <c r="C3391" s="84">
        <v>0.06</v>
      </c>
      <c r="D3391" s="84">
        <v>0.0</v>
      </c>
      <c r="E3391" s="84">
        <v>0.0</v>
      </c>
      <c r="F3391" s="76" t="s">
        <v>994</v>
      </c>
      <c r="G3391" s="83">
        <v>46113.0</v>
      </c>
      <c r="H3391" s="76" t="s">
        <v>929</v>
      </c>
    </row>
    <row r="3392">
      <c r="A3392" s="76" t="s">
        <v>31</v>
      </c>
      <c r="B3392" s="76" t="s">
        <v>1006</v>
      </c>
      <c r="C3392" s="84">
        <v>0.85</v>
      </c>
      <c r="D3392" s="84">
        <v>0.0</v>
      </c>
      <c r="E3392" s="84">
        <v>0.0</v>
      </c>
      <c r="F3392" s="76" t="s">
        <v>994</v>
      </c>
      <c r="G3392" s="83">
        <v>46113.0</v>
      </c>
      <c r="H3392" s="76" t="s">
        <v>930</v>
      </c>
    </row>
    <row r="3393">
      <c r="A3393" s="76" t="s">
        <v>28</v>
      </c>
      <c r="B3393" s="76" t="s">
        <v>1006</v>
      </c>
      <c r="C3393" s="84">
        <v>0.0</v>
      </c>
      <c r="D3393" s="84">
        <v>0.0</v>
      </c>
      <c r="E3393" s="84">
        <v>0.0</v>
      </c>
      <c r="F3393" s="76" t="s">
        <v>994</v>
      </c>
      <c r="G3393" s="83">
        <v>46113.0</v>
      </c>
      <c r="H3393" s="76" t="s">
        <v>931</v>
      </c>
    </row>
    <row r="3394">
      <c r="A3394" s="76" t="s">
        <v>28</v>
      </c>
      <c r="B3394" s="76" t="s">
        <v>1006</v>
      </c>
      <c r="C3394" s="84">
        <v>0.0</v>
      </c>
      <c r="D3394" s="84">
        <v>0.0</v>
      </c>
      <c r="E3394" s="84">
        <v>0.0</v>
      </c>
      <c r="F3394" s="76" t="s">
        <v>994</v>
      </c>
      <c r="G3394" s="83">
        <v>46113.0</v>
      </c>
      <c r="H3394" s="76" t="s">
        <v>932</v>
      </c>
    </row>
    <row r="3395">
      <c r="A3395" s="76" t="s">
        <v>28</v>
      </c>
      <c r="B3395" s="76" t="s">
        <v>1006</v>
      </c>
      <c r="C3395" s="84">
        <v>0.08</v>
      </c>
      <c r="D3395" s="84">
        <v>0.0</v>
      </c>
      <c r="E3395" s="84">
        <v>0.0</v>
      </c>
      <c r="F3395" s="76" t="s">
        <v>994</v>
      </c>
      <c r="G3395" s="83">
        <v>46113.0</v>
      </c>
      <c r="H3395" s="76" t="s">
        <v>933</v>
      </c>
    </row>
    <row r="3396">
      <c r="A3396" s="76" t="s">
        <v>42</v>
      </c>
      <c r="B3396" s="76" t="s">
        <v>1006</v>
      </c>
      <c r="C3396" s="84">
        <v>0.02</v>
      </c>
      <c r="D3396" s="84">
        <v>0.0</v>
      </c>
      <c r="E3396" s="84">
        <v>0.0</v>
      </c>
      <c r="F3396" s="76" t="s">
        <v>994</v>
      </c>
      <c r="G3396" s="83">
        <v>46113.0</v>
      </c>
      <c r="H3396" s="76" t="s">
        <v>991</v>
      </c>
    </row>
    <row r="3397">
      <c r="A3397" s="76" t="s">
        <v>42</v>
      </c>
      <c r="B3397" s="76" t="s">
        <v>1006</v>
      </c>
      <c r="C3397" s="84">
        <v>0.08</v>
      </c>
      <c r="D3397" s="84">
        <v>0.0</v>
      </c>
      <c r="E3397" s="84">
        <v>0.0</v>
      </c>
      <c r="F3397" s="76" t="s">
        <v>994</v>
      </c>
      <c r="G3397" s="83">
        <v>46113.0</v>
      </c>
      <c r="H3397" s="76" t="s">
        <v>935</v>
      </c>
    </row>
    <row r="3398">
      <c r="A3398" s="76" t="s">
        <v>45</v>
      </c>
      <c r="B3398" s="76" t="s">
        <v>1006</v>
      </c>
      <c r="C3398" s="84">
        <v>0.0</v>
      </c>
      <c r="D3398" s="84">
        <v>0.0</v>
      </c>
      <c r="E3398" s="84">
        <v>0.0</v>
      </c>
      <c r="F3398" s="76" t="s">
        <v>994</v>
      </c>
      <c r="G3398" s="83">
        <v>46113.0</v>
      </c>
      <c r="H3398" s="76" t="s">
        <v>936</v>
      </c>
    </row>
    <row r="3399">
      <c r="A3399" s="76" t="s">
        <v>45</v>
      </c>
      <c r="B3399" s="76" t="s">
        <v>1006</v>
      </c>
      <c r="C3399" s="84">
        <v>0.0</v>
      </c>
      <c r="D3399" s="84">
        <v>0.0</v>
      </c>
      <c r="E3399" s="84">
        <v>0.0</v>
      </c>
      <c r="F3399" s="76" t="s">
        <v>994</v>
      </c>
      <c r="G3399" s="83">
        <v>46113.0</v>
      </c>
      <c r="H3399" s="76" t="s">
        <v>937</v>
      </c>
    </row>
    <row r="3400">
      <c r="A3400" s="76" t="s">
        <v>50</v>
      </c>
      <c r="B3400" s="76" t="s">
        <v>1006</v>
      </c>
      <c r="C3400" s="84">
        <v>0.01</v>
      </c>
      <c r="D3400" s="84">
        <v>0.0</v>
      </c>
      <c r="E3400" s="84">
        <v>0.0</v>
      </c>
      <c r="F3400" s="76" t="s">
        <v>994</v>
      </c>
      <c r="G3400" s="83">
        <v>46113.0</v>
      </c>
      <c r="H3400" s="76" t="s">
        <v>939</v>
      </c>
    </row>
    <row r="3401">
      <c r="A3401" s="76" t="s">
        <v>50</v>
      </c>
      <c r="B3401" s="76" t="s">
        <v>1006</v>
      </c>
      <c r="C3401" s="84">
        <v>0.02</v>
      </c>
      <c r="D3401" s="84">
        <v>0.0</v>
      </c>
      <c r="E3401" s="84">
        <v>0.0</v>
      </c>
      <c r="F3401" s="76" t="s">
        <v>994</v>
      </c>
      <c r="G3401" s="83">
        <v>46113.0</v>
      </c>
      <c r="H3401" s="76" t="s">
        <v>940</v>
      </c>
    </row>
    <row r="3402">
      <c r="A3402" s="76" t="s">
        <v>32</v>
      </c>
      <c r="B3402" s="76" t="s">
        <v>1006</v>
      </c>
      <c r="C3402" s="84">
        <v>0.09</v>
      </c>
      <c r="D3402" s="84">
        <v>0.0</v>
      </c>
      <c r="E3402" s="84">
        <v>0.0</v>
      </c>
      <c r="F3402" s="76" t="s">
        <v>994</v>
      </c>
      <c r="G3402" s="83">
        <v>46113.0</v>
      </c>
      <c r="H3402" s="76" t="s">
        <v>941</v>
      </c>
    </row>
    <row r="3403">
      <c r="A3403" s="76" t="s">
        <v>32</v>
      </c>
      <c r="B3403" s="76" t="s">
        <v>1006</v>
      </c>
      <c r="C3403" s="84">
        <v>0.01</v>
      </c>
      <c r="D3403" s="84">
        <v>0.0</v>
      </c>
      <c r="E3403" s="84">
        <v>0.0</v>
      </c>
      <c r="F3403" s="76" t="s">
        <v>994</v>
      </c>
      <c r="G3403" s="83">
        <v>46113.0</v>
      </c>
      <c r="H3403" s="76" t="s">
        <v>942</v>
      </c>
    </row>
    <row r="3404">
      <c r="A3404" s="76" t="s">
        <v>32</v>
      </c>
      <c r="B3404" s="76" t="s">
        <v>1006</v>
      </c>
      <c r="C3404" s="84">
        <v>2.0</v>
      </c>
      <c r="D3404" s="84">
        <v>0.0</v>
      </c>
      <c r="E3404" s="84">
        <v>0.0</v>
      </c>
      <c r="F3404" s="76" t="s">
        <v>994</v>
      </c>
      <c r="G3404" s="83">
        <v>46113.0</v>
      </c>
      <c r="H3404" s="76" t="s">
        <v>943</v>
      </c>
    </row>
    <row r="3405">
      <c r="A3405" s="76" t="s">
        <v>944</v>
      </c>
      <c r="B3405" s="76" t="s">
        <v>1006</v>
      </c>
      <c r="C3405" s="84">
        <v>0.01</v>
      </c>
      <c r="D3405" s="84">
        <v>0.0</v>
      </c>
      <c r="E3405" s="84">
        <v>0.0</v>
      </c>
      <c r="F3405" s="76" t="s">
        <v>994</v>
      </c>
      <c r="G3405" s="83">
        <v>46113.0</v>
      </c>
      <c r="H3405" s="76" t="s">
        <v>945</v>
      </c>
    </row>
    <row r="3406">
      <c r="A3406" s="76" t="s">
        <v>944</v>
      </c>
      <c r="B3406" s="76" t="s">
        <v>1006</v>
      </c>
      <c r="C3406" s="84">
        <v>0.0</v>
      </c>
      <c r="D3406" s="84">
        <v>0.0</v>
      </c>
      <c r="E3406" s="84">
        <v>0.0</v>
      </c>
      <c r="F3406" s="76" t="s">
        <v>994</v>
      </c>
      <c r="G3406" s="83">
        <v>46113.0</v>
      </c>
      <c r="H3406" s="76" t="s">
        <v>946</v>
      </c>
    </row>
    <row r="3407">
      <c r="A3407" s="76" t="s">
        <v>944</v>
      </c>
      <c r="B3407" s="76" t="s">
        <v>1006</v>
      </c>
      <c r="C3407" s="84">
        <v>0.0</v>
      </c>
      <c r="D3407" s="84">
        <v>0.0</v>
      </c>
      <c r="E3407" s="84">
        <v>0.0</v>
      </c>
      <c r="F3407" s="76" t="s">
        <v>994</v>
      </c>
      <c r="G3407" s="83">
        <v>46113.0</v>
      </c>
      <c r="H3407" s="76" t="s">
        <v>947</v>
      </c>
    </row>
    <row r="3408">
      <c r="A3408" s="76" t="s">
        <v>26</v>
      </c>
      <c r="B3408" s="76" t="s">
        <v>1006</v>
      </c>
      <c r="C3408" s="84">
        <v>0.01</v>
      </c>
      <c r="D3408" s="84">
        <v>0.0</v>
      </c>
      <c r="E3408" s="84">
        <v>0.0</v>
      </c>
      <c r="F3408" s="76" t="s">
        <v>994</v>
      </c>
      <c r="G3408" s="83">
        <v>46113.0</v>
      </c>
      <c r="H3408" s="76" t="s">
        <v>1012</v>
      </c>
    </row>
    <row r="3409">
      <c r="A3409" s="76" t="s">
        <v>26</v>
      </c>
      <c r="B3409" s="76" t="s">
        <v>1006</v>
      </c>
      <c r="C3409" s="84">
        <v>0.01</v>
      </c>
      <c r="D3409" s="84">
        <v>0.0</v>
      </c>
      <c r="E3409" s="84">
        <v>0.0</v>
      </c>
      <c r="F3409" s="76" t="s">
        <v>994</v>
      </c>
      <c r="G3409" s="83">
        <v>46113.0</v>
      </c>
      <c r="H3409" s="76" t="s">
        <v>1013</v>
      </c>
    </row>
    <row r="3410">
      <c r="A3410" s="76" t="s">
        <v>26</v>
      </c>
      <c r="B3410" s="76" t="s">
        <v>1006</v>
      </c>
      <c r="C3410" s="84">
        <v>0.03</v>
      </c>
      <c r="D3410" s="84">
        <v>0.0</v>
      </c>
      <c r="E3410" s="84">
        <v>0.0</v>
      </c>
      <c r="F3410" s="76" t="s">
        <v>994</v>
      </c>
      <c r="G3410" s="83">
        <v>46113.0</v>
      </c>
      <c r="H3410" s="76" t="s">
        <v>1014</v>
      </c>
    </row>
    <row r="3411">
      <c r="A3411" s="76" t="s">
        <v>36</v>
      </c>
      <c r="B3411" s="76" t="s">
        <v>1006</v>
      </c>
      <c r="C3411" s="84">
        <v>0.16</v>
      </c>
      <c r="D3411" s="84">
        <v>0.0</v>
      </c>
      <c r="E3411" s="84">
        <v>0.0</v>
      </c>
      <c r="F3411" s="76" t="s">
        <v>1005</v>
      </c>
      <c r="G3411" s="83">
        <v>46113.0</v>
      </c>
      <c r="H3411" s="76" t="s">
        <v>926</v>
      </c>
    </row>
    <row r="3412">
      <c r="A3412" s="76" t="s">
        <v>36</v>
      </c>
      <c r="B3412" s="76" t="s">
        <v>1006</v>
      </c>
      <c r="C3412" s="84">
        <v>0.14</v>
      </c>
      <c r="D3412" s="84">
        <v>0.0</v>
      </c>
      <c r="E3412" s="84">
        <v>0.0</v>
      </c>
      <c r="F3412" s="76" t="s">
        <v>1005</v>
      </c>
      <c r="G3412" s="83">
        <v>46113.0</v>
      </c>
      <c r="H3412" s="76" t="s">
        <v>927</v>
      </c>
    </row>
    <row r="3413">
      <c r="A3413" s="76" t="s">
        <v>36</v>
      </c>
      <c r="B3413" s="76" t="s">
        <v>1006</v>
      </c>
      <c r="C3413" s="84">
        <v>0.29</v>
      </c>
      <c r="D3413" s="84">
        <v>0.0</v>
      </c>
      <c r="E3413" s="84">
        <v>0.0</v>
      </c>
      <c r="F3413" s="76" t="s">
        <v>1005</v>
      </c>
      <c r="G3413" s="83">
        <v>46113.0</v>
      </c>
      <c r="H3413" s="76" t="s">
        <v>928</v>
      </c>
    </row>
    <row r="3414">
      <c r="A3414" s="76" t="s">
        <v>31</v>
      </c>
      <c r="B3414" s="76" t="s">
        <v>1006</v>
      </c>
      <c r="C3414" s="84">
        <v>3.34</v>
      </c>
      <c r="D3414" s="84">
        <v>0.0</v>
      </c>
      <c r="E3414" s="84">
        <v>0.0</v>
      </c>
      <c r="F3414" s="76" t="s">
        <v>1005</v>
      </c>
      <c r="G3414" s="83">
        <v>46113.0</v>
      </c>
      <c r="H3414" s="76" t="s">
        <v>929</v>
      </c>
    </row>
    <row r="3415">
      <c r="A3415" s="76" t="s">
        <v>31</v>
      </c>
      <c r="B3415" s="76" t="s">
        <v>1006</v>
      </c>
      <c r="C3415" s="84">
        <v>18.8</v>
      </c>
      <c r="D3415" s="84">
        <v>0.0</v>
      </c>
      <c r="E3415" s="84">
        <v>0.0</v>
      </c>
      <c r="F3415" s="76" t="s">
        <v>1005</v>
      </c>
      <c r="G3415" s="83">
        <v>46113.0</v>
      </c>
      <c r="H3415" s="76" t="s">
        <v>930</v>
      </c>
    </row>
    <row r="3416">
      <c r="A3416" s="76" t="s">
        <v>28</v>
      </c>
      <c r="B3416" s="76" t="s">
        <v>1006</v>
      </c>
      <c r="C3416" s="84">
        <v>0.15</v>
      </c>
      <c r="D3416" s="84">
        <v>0.0</v>
      </c>
      <c r="E3416" s="84">
        <v>0.0</v>
      </c>
      <c r="F3416" s="76" t="s">
        <v>1005</v>
      </c>
      <c r="G3416" s="83">
        <v>46113.0</v>
      </c>
      <c r="H3416" s="76" t="s">
        <v>931</v>
      </c>
    </row>
    <row r="3417">
      <c r="A3417" s="76" t="s">
        <v>28</v>
      </c>
      <c r="B3417" s="76" t="s">
        <v>1006</v>
      </c>
      <c r="C3417" s="84">
        <v>0.08</v>
      </c>
      <c r="D3417" s="84">
        <v>0.0</v>
      </c>
      <c r="E3417" s="84">
        <v>0.0</v>
      </c>
      <c r="F3417" s="76" t="s">
        <v>1005</v>
      </c>
      <c r="G3417" s="83">
        <v>46113.0</v>
      </c>
      <c r="H3417" s="76" t="s">
        <v>932</v>
      </c>
    </row>
    <row r="3418">
      <c r="A3418" s="76" t="s">
        <v>28</v>
      </c>
      <c r="B3418" s="76" t="s">
        <v>1006</v>
      </c>
      <c r="C3418" s="84">
        <v>1.15</v>
      </c>
      <c r="D3418" s="84">
        <v>0.0</v>
      </c>
      <c r="E3418" s="84">
        <v>0.0</v>
      </c>
      <c r="F3418" s="76" t="s">
        <v>1005</v>
      </c>
      <c r="G3418" s="83">
        <v>46113.0</v>
      </c>
      <c r="H3418" s="76" t="s">
        <v>933</v>
      </c>
    </row>
    <row r="3419">
      <c r="A3419" s="76" t="s">
        <v>42</v>
      </c>
      <c r="B3419" s="76" t="s">
        <v>1006</v>
      </c>
      <c r="C3419" s="84">
        <v>0.01</v>
      </c>
      <c r="D3419" s="84">
        <v>0.0</v>
      </c>
      <c r="E3419" s="84">
        <v>0.0</v>
      </c>
      <c r="F3419" s="76" t="s">
        <v>1005</v>
      </c>
      <c r="G3419" s="83">
        <v>46113.0</v>
      </c>
      <c r="H3419" s="76" t="s">
        <v>991</v>
      </c>
    </row>
    <row r="3420">
      <c r="A3420" s="76" t="s">
        <v>42</v>
      </c>
      <c r="B3420" s="76" t="s">
        <v>1006</v>
      </c>
      <c r="C3420" s="84">
        <v>1.16</v>
      </c>
      <c r="D3420" s="84">
        <v>0.0</v>
      </c>
      <c r="E3420" s="84">
        <v>0.0</v>
      </c>
      <c r="F3420" s="76" t="s">
        <v>1005</v>
      </c>
      <c r="G3420" s="83">
        <v>46113.0</v>
      </c>
      <c r="H3420" s="76" t="s">
        <v>935</v>
      </c>
    </row>
    <row r="3421">
      <c r="A3421" s="76" t="s">
        <v>45</v>
      </c>
      <c r="B3421" s="76" t="s">
        <v>1006</v>
      </c>
      <c r="C3421" s="84">
        <v>0.17</v>
      </c>
      <c r="D3421" s="84">
        <v>0.0</v>
      </c>
      <c r="E3421" s="84">
        <v>0.0</v>
      </c>
      <c r="F3421" s="76" t="s">
        <v>1005</v>
      </c>
      <c r="G3421" s="83">
        <v>46113.0</v>
      </c>
      <c r="H3421" s="76" t="s">
        <v>936</v>
      </c>
    </row>
    <row r="3422">
      <c r="A3422" s="76" t="s">
        <v>45</v>
      </c>
      <c r="B3422" s="76" t="s">
        <v>1006</v>
      </c>
      <c r="C3422" s="84">
        <v>0.19</v>
      </c>
      <c r="D3422" s="84">
        <v>0.0</v>
      </c>
      <c r="E3422" s="84">
        <v>0.0</v>
      </c>
      <c r="F3422" s="76" t="s">
        <v>1005</v>
      </c>
      <c r="G3422" s="83">
        <v>46113.0</v>
      </c>
      <c r="H3422" s="76" t="s">
        <v>937</v>
      </c>
    </row>
    <row r="3423">
      <c r="A3423" s="76" t="s">
        <v>45</v>
      </c>
      <c r="B3423" s="76" t="s">
        <v>1006</v>
      </c>
      <c r="C3423" s="84">
        <v>0.14</v>
      </c>
      <c r="D3423" s="84">
        <v>0.0</v>
      </c>
      <c r="E3423" s="84">
        <v>0.0</v>
      </c>
      <c r="F3423" s="76" t="s">
        <v>1005</v>
      </c>
      <c r="G3423" s="83">
        <v>46113.0</v>
      </c>
      <c r="H3423" s="76" t="s">
        <v>938</v>
      </c>
    </row>
    <row r="3424">
      <c r="A3424" s="76" t="s">
        <v>50</v>
      </c>
      <c r="B3424" s="76" t="s">
        <v>1006</v>
      </c>
      <c r="C3424" s="84">
        <v>0.25</v>
      </c>
      <c r="D3424" s="84">
        <v>0.0</v>
      </c>
      <c r="E3424" s="84">
        <v>0.0</v>
      </c>
      <c r="F3424" s="76" t="s">
        <v>1005</v>
      </c>
      <c r="G3424" s="83">
        <v>46113.0</v>
      </c>
      <c r="H3424" s="76" t="s">
        <v>939</v>
      </c>
    </row>
    <row r="3425">
      <c r="A3425" s="76" t="s">
        <v>50</v>
      </c>
      <c r="B3425" s="76" t="s">
        <v>1006</v>
      </c>
      <c r="C3425" s="84">
        <v>0.05</v>
      </c>
      <c r="D3425" s="84">
        <v>0.0</v>
      </c>
      <c r="E3425" s="84">
        <v>0.0</v>
      </c>
      <c r="F3425" s="76" t="s">
        <v>1005</v>
      </c>
      <c r="G3425" s="83">
        <v>46113.0</v>
      </c>
      <c r="H3425" s="76" t="s">
        <v>940</v>
      </c>
    </row>
    <row r="3426">
      <c r="A3426" s="76" t="s">
        <v>32</v>
      </c>
      <c r="B3426" s="76" t="s">
        <v>1006</v>
      </c>
      <c r="C3426" s="84">
        <v>2.63</v>
      </c>
      <c r="D3426" s="84">
        <v>1.0</v>
      </c>
      <c r="E3426" s="84">
        <v>2.63</v>
      </c>
      <c r="F3426" s="76" t="s">
        <v>1005</v>
      </c>
      <c r="G3426" s="83">
        <v>46113.0</v>
      </c>
      <c r="H3426" s="76" t="s">
        <v>941</v>
      </c>
    </row>
    <row r="3427">
      <c r="A3427" s="76" t="s">
        <v>32</v>
      </c>
      <c r="B3427" s="76" t="s">
        <v>1006</v>
      </c>
      <c r="C3427" s="84">
        <v>1.8</v>
      </c>
      <c r="D3427" s="84">
        <v>0.0</v>
      </c>
      <c r="E3427" s="84">
        <v>0.0</v>
      </c>
      <c r="F3427" s="76" t="s">
        <v>1005</v>
      </c>
      <c r="G3427" s="83">
        <v>46113.0</v>
      </c>
      <c r="H3427" s="76" t="s">
        <v>942</v>
      </c>
    </row>
    <row r="3428">
      <c r="A3428" s="76" t="s">
        <v>32</v>
      </c>
      <c r="B3428" s="76" t="s">
        <v>1006</v>
      </c>
      <c r="C3428" s="84">
        <v>49.21</v>
      </c>
      <c r="D3428" s="84">
        <v>1.0</v>
      </c>
      <c r="E3428" s="84">
        <v>49.21</v>
      </c>
      <c r="F3428" s="76" t="s">
        <v>1005</v>
      </c>
      <c r="G3428" s="83">
        <v>46113.0</v>
      </c>
      <c r="H3428" s="76" t="s">
        <v>943</v>
      </c>
    </row>
    <row r="3429">
      <c r="A3429" s="76" t="s">
        <v>944</v>
      </c>
      <c r="B3429" s="76" t="s">
        <v>1006</v>
      </c>
      <c r="C3429" s="84">
        <v>0.63</v>
      </c>
      <c r="D3429" s="84">
        <v>0.0</v>
      </c>
      <c r="E3429" s="84">
        <v>0.0</v>
      </c>
      <c r="F3429" s="76" t="s">
        <v>1005</v>
      </c>
      <c r="G3429" s="83">
        <v>46113.0</v>
      </c>
      <c r="H3429" s="76" t="s">
        <v>945</v>
      </c>
    </row>
    <row r="3430">
      <c r="A3430" s="76" t="s">
        <v>944</v>
      </c>
      <c r="B3430" s="76" t="s">
        <v>1006</v>
      </c>
      <c r="C3430" s="84">
        <v>0.31</v>
      </c>
      <c r="D3430" s="84">
        <v>0.0</v>
      </c>
      <c r="E3430" s="84">
        <v>0.0</v>
      </c>
      <c r="F3430" s="76" t="s">
        <v>1005</v>
      </c>
      <c r="G3430" s="83">
        <v>46113.0</v>
      </c>
      <c r="H3430" s="76" t="s">
        <v>946</v>
      </c>
    </row>
    <row r="3431">
      <c r="A3431" s="76" t="s">
        <v>944</v>
      </c>
      <c r="B3431" s="76" t="s">
        <v>1006</v>
      </c>
      <c r="C3431" s="84">
        <v>0.64</v>
      </c>
      <c r="D3431" s="84">
        <v>0.0</v>
      </c>
      <c r="E3431" s="84">
        <v>0.0</v>
      </c>
      <c r="F3431" s="76" t="s">
        <v>1005</v>
      </c>
      <c r="G3431" s="83">
        <v>46113.0</v>
      </c>
      <c r="H3431" s="76" t="s">
        <v>947</v>
      </c>
    </row>
    <row r="3432">
      <c r="A3432" s="76" t="s">
        <v>26</v>
      </c>
      <c r="B3432" s="76" t="s">
        <v>1006</v>
      </c>
      <c r="C3432" s="84">
        <v>0.08</v>
      </c>
      <c r="D3432" s="84">
        <v>0.0</v>
      </c>
      <c r="E3432" s="84">
        <v>0.0</v>
      </c>
      <c r="F3432" s="76" t="s">
        <v>1005</v>
      </c>
      <c r="G3432" s="83">
        <v>46113.0</v>
      </c>
      <c r="H3432" s="76" t="s">
        <v>1012</v>
      </c>
    </row>
    <row r="3433">
      <c r="A3433" s="76" t="s">
        <v>26</v>
      </c>
      <c r="B3433" s="76" t="s">
        <v>1006</v>
      </c>
      <c r="C3433" s="84">
        <v>0.24</v>
      </c>
      <c r="D3433" s="84">
        <v>0.0</v>
      </c>
      <c r="E3433" s="84">
        <v>0.0</v>
      </c>
      <c r="F3433" s="76" t="s">
        <v>1005</v>
      </c>
      <c r="G3433" s="83">
        <v>46113.0</v>
      </c>
      <c r="H3433" s="76" t="s">
        <v>1013</v>
      </c>
    </row>
    <row r="3434">
      <c r="A3434" s="76" t="s">
        <v>26</v>
      </c>
      <c r="B3434" s="76" t="s">
        <v>1006</v>
      </c>
      <c r="C3434" s="84">
        <v>0.18</v>
      </c>
      <c r="D3434" s="84">
        <v>0.0</v>
      </c>
      <c r="E3434" s="84">
        <v>0.0</v>
      </c>
      <c r="F3434" s="76" t="s">
        <v>1005</v>
      </c>
      <c r="G3434" s="83">
        <v>46113.0</v>
      </c>
      <c r="H3434" s="76" t="s">
        <v>1014</v>
      </c>
    </row>
    <row r="3435">
      <c r="A3435" s="76" t="s">
        <v>36</v>
      </c>
      <c r="B3435" s="76" t="s">
        <v>1006</v>
      </c>
      <c r="C3435" s="84">
        <v>0.08</v>
      </c>
      <c r="D3435" s="84">
        <v>0.0</v>
      </c>
      <c r="E3435" s="84">
        <v>0.0</v>
      </c>
      <c r="F3435" s="76" t="s">
        <v>996</v>
      </c>
      <c r="G3435" s="83">
        <v>46113.0</v>
      </c>
      <c r="H3435" s="76" t="s">
        <v>926</v>
      </c>
    </row>
    <row r="3436">
      <c r="A3436" s="76" t="s">
        <v>36</v>
      </c>
      <c r="B3436" s="76" t="s">
        <v>1006</v>
      </c>
      <c r="C3436" s="84">
        <v>0.1</v>
      </c>
      <c r="D3436" s="84">
        <v>0.0</v>
      </c>
      <c r="E3436" s="84">
        <v>0.0</v>
      </c>
      <c r="F3436" s="76" t="s">
        <v>996</v>
      </c>
      <c r="G3436" s="83">
        <v>46113.0</v>
      </c>
      <c r="H3436" s="76" t="s">
        <v>927</v>
      </c>
    </row>
    <row r="3437">
      <c r="A3437" s="76" t="s">
        <v>36</v>
      </c>
      <c r="B3437" s="76" t="s">
        <v>1006</v>
      </c>
      <c r="C3437" s="84">
        <v>0.06</v>
      </c>
      <c r="D3437" s="84">
        <v>0.0</v>
      </c>
      <c r="E3437" s="84">
        <v>0.0</v>
      </c>
      <c r="F3437" s="76" t="s">
        <v>996</v>
      </c>
      <c r="G3437" s="83">
        <v>46113.0</v>
      </c>
      <c r="H3437" s="76" t="s">
        <v>928</v>
      </c>
    </row>
    <row r="3438">
      <c r="A3438" s="76" t="s">
        <v>31</v>
      </c>
      <c r="B3438" s="76" t="s">
        <v>1006</v>
      </c>
      <c r="C3438" s="84">
        <v>0.65</v>
      </c>
      <c r="D3438" s="84">
        <v>0.0</v>
      </c>
      <c r="E3438" s="84">
        <v>0.0</v>
      </c>
      <c r="F3438" s="76" t="s">
        <v>996</v>
      </c>
      <c r="G3438" s="83">
        <v>46113.0</v>
      </c>
      <c r="H3438" s="76" t="s">
        <v>929</v>
      </c>
    </row>
    <row r="3439">
      <c r="A3439" s="76" t="s">
        <v>31</v>
      </c>
      <c r="B3439" s="76" t="s">
        <v>1006</v>
      </c>
      <c r="C3439" s="84">
        <v>8.47</v>
      </c>
      <c r="D3439" s="84">
        <v>0.0</v>
      </c>
      <c r="E3439" s="84">
        <v>0.0</v>
      </c>
      <c r="F3439" s="76" t="s">
        <v>996</v>
      </c>
      <c r="G3439" s="83">
        <v>46113.0</v>
      </c>
      <c r="H3439" s="76" t="s">
        <v>930</v>
      </c>
    </row>
    <row r="3440">
      <c r="A3440" s="76" t="s">
        <v>28</v>
      </c>
      <c r="B3440" s="76" t="s">
        <v>1006</v>
      </c>
      <c r="C3440" s="84">
        <v>0.15</v>
      </c>
      <c r="D3440" s="84">
        <v>0.0</v>
      </c>
      <c r="E3440" s="84">
        <v>0.0</v>
      </c>
      <c r="F3440" s="76" t="s">
        <v>996</v>
      </c>
      <c r="G3440" s="83">
        <v>46113.0</v>
      </c>
      <c r="H3440" s="76" t="s">
        <v>931</v>
      </c>
    </row>
    <row r="3441">
      <c r="A3441" s="76" t="s">
        <v>28</v>
      </c>
      <c r="B3441" s="76" t="s">
        <v>1006</v>
      </c>
      <c r="C3441" s="84">
        <v>0.19</v>
      </c>
      <c r="D3441" s="84">
        <v>0.0</v>
      </c>
      <c r="E3441" s="84">
        <v>0.0</v>
      </c>
      <c r="F3441" s="76" t="s">
        <v>996</v>
      </c>
      <c r="G3441" s="83">
        <v>46113.0</v>
      </c>
      <c r="H3441" s="76" t="s">
        <v>932</v>
      </c>
    </row>
    <row r="3442">
      <c r="A3442" s="76" t="s">
        <v>28</v>
      </c>
      <c r="B3442" s="76" t="s">
        <v>1006</v>
      </c>
      <c r="C3442" s="84">
        <v>2.01</v>
      </c>
      <c r="D3442" s="84">
        <v>0.0</v>
      </c>
      <c r="E3442" s="84">
        <v>0.0</v>
      </c>
      <c r="F3442" s="76" t="s">
        <v>996</v>
      </c>
      <c r="G3442" s="83">
        <v>46113.0</v>
      </c>
      <c r="H3442" s="76" t="s">
        <v>933</v>
      </c>
    </row>
    <row r="3443">
      <c r="A3443" s="76" t="s">
        <v>42</v>
      </c>
      <c r="B3443" s="76" t="s">
        <v>1006</v>
      </c>
      <c r="C3443" s="84">
        <v>0.0</v>
      </c>
      <c r="D3443" s="84">
        <v>0.0</v>
      </c>
      <c r="E3443" s="84">
        <v>0.0</v>
      </c>
      <c r="F3443" s="76" t="s">
        <v>996</v>
      </c>
      <c r="G3443" s="83">
        <v>46113.0</v>
      </c>
      <c r="H3443" s="76" t="s">
        <v>991</v>
      </c>
    </row>
    <row r="3444">
      <c r="A3444" s="76" t="s">
        <v>42</v>
      </c>
      <c r="B3444" s="76" t="s">
        <v>1006</v>
      </c>
      <c r="C3444" s="84">
        <v>4.31</v>
      </c>
      <c r="D3444" s="84">
        <v>0.0</v>
      </c>
      <c r="E3444" s="84">
        <v>0.0</v>
      </c>
      <c r="F3444" s="76" t="s">
        <v>996</v>
      </c>
      <c r="G3444" s="83">
        <v>46113.0</v>
      </c>
      <c r="H3444" s="76" t="s">
        <v>935</v>
      </c>
    </row>
    <row r="3445">
      <c r="A3445" s="76" t="s">
        <v>45</v>
      </c>
      <c r="B3445" s="76" t="s">
        <v>1006</v>
      </c>
      <c r="C3445" s="84">
        <v>0.4</v>
      </c>
      <c r="D3445" s="84">
        <v>0.0</v>
      </c>
      <c r="E3445" s="84">
        <v>0.0</v>
      </c>
      <c r="F3445" s="76" t="s">
        <v>996</v>
      </c>
      <c r="G3445" s="83">
        <v>46113.0</v>
      </c>
      <c r="H3445" s="76" t="s">
        <v>936</v>
      </c>
    </row>
    <row r="3446">
      <c r="A3446" s="76" t="s">
        <v>45</v>
      </c>
      <c r="B3446" s="76" t="s">
        <v>1006</v>
      </c>
      <c r="C3446" s="84">
        <v>0.42</v>
      </c>
      <c r="D3446" s="84">
        <v>0.0</v>
      </c>
      <c r="E3446" s="84">
        <v>0.0</v>
      </c>
      <c r="F3446" s="76" t="s">
        <v>996</v>
      </c>
      <c r="G3446" s="83">
        <v>46113.0</v>
      </c>
      <c r="H3446" s="76" t="s">
        <v>937</v>
      </c>
    </row>
    <row r="3447">
      <c r="A3447" s="76" t="s">
        <v>45</v>
      </c>
      <c r="B3447" s="76" t="s">
        <v>1006</v>
      </c>
      <c r="C3447" s="84">
        <v>0.36</v>
      </c>
      <c r="D3447" s="84">
        <v>0.0</v>
      </c>
      <c r="E3447" s="84">
        <v>0.0</v>
      </c>
      <c r="F3447" s="76" t="s">
        <v>996</v>
      </c>
      <c r="G3447" s="83">
        <v>46113.0</v>
      </c>
      <c r="H3447" s="76" t="s">
        <v>938</v>
      </c>
    </row>
    <row r="3448">
      <c r="A3448" s="76" t="s">
        <v>50</v>
      </c>
      <c r="B3448" s="76" t="s">
        <v>1006</v>
      </c>
      <c r="C3448" s="84">
        <v>0.6</v>
      </c>
      <c r="D3448" s="84">
        <v>0.0</v>
      </c>
      <c r="E3448" s="84">
        <v>0.0</v>
      </c>
      <c r="F3448" s="76" t="s">
        <v>996</v>
      </c>
      <c r="G3448" s="83">
        <v>46113.0</v>
      </c>
      <c r="H3448" s="76" t="s">
        <v>939</v>
      </c>
    </row>
    <row r="3449">
      <c r="A3449" s="76" t="s">
        <v>50</v>
      </c>
      <c r="B3449" s="76" t="s">
        <v>1006</v>
      </c>
      <c r="C3449" s="84">
        <v>0.52</v>
      </c>
      <c r="D3449" s="84">
        <v>0.0</v>
      </c>
      <c r="E3449" s="84">
        <v>0.0</v>
      </c>
      <c r="F3449" s="76" t="s">
        <v>996</v>
      </c>
      <c r="G3449" s="83">
        <v>46113.0</v>
      </c>
      <c r="H3449" s="76" t="s">
        <v>940</v>
      </c>
    </row>
    <row r="3450">
      <c r="A3450" s="76" t="s">
        <v>32</v>
      </c>
      <c r="B3450" s="76" t="s">
        <v>1006</v>
      </c>
      <c r="C3450" s="84">
        <v>3.37</v>
      </c>
      <c r="D3450" s="84">
        <v>0.0</v>
      </c>
      <c r="E3450" s="84">
        <v>0.0</v>
      </c>
      <c r="F3450" s="76" t="s">
        <v>996</v>
      </c>
      <c r="G3450" s="83">
        <v>46113.0</v>
      </c>
      <c r="H3450" s="76" t="s">
        <v>941</v>
      </c>
    </row>
    <row r="3451">
      <c r="A3451" s="76" t="s">
        <v>32</v>
      </c>
      <c r="B3451" s="76" t="s">
        <v>1006</v>
      </c>
      <c r="C3451" s="84">
        <v>4.74</v>
      </c>
      <c r="D3451" s="84">
        <v>0.0</v>
      </c>
      <c r="E3451" s="84">
        <v>0.0</v>
      </c>
      <c r="F3451" s="76" t="s">
        <v>996</v>
      </c>
      <c r="G3451" s="83">
        <v>46113.0</v>
      </c>
      <c r="H3451" s="76" t="s">
        <v>942</v>
      </c>
    </row>
    <row r="3452">
      <c r="A3452" s="76" t="s">
        <v>32</v>
      </c>
      <c r="B3452" s="76" t="s">
        <v>1006</v>
      </c>
      <c r="C3452" s="84">
        <v>25.79</v>
      </c>
      <c r="D3452" s="84">
        <v>0.0</v>
      </c>
      <c r="E3452" s="84">
        <v>0.0</v>
      </c>
      <c r="F3452" s="76" t="s">
        <v>996</v>
      </c>
      <c r="G3452" s="83">
        <v>46113.0</v>
      </c>
      <c r="H3452" s="76" t="s">
        <v>943</v>
      </c>
    </row>
    <row r="3453">
      <c r="A3453" s="76" t="s">
        <v>944</v>
      </c>
      <c r="B3453" s="76" t="s">
        <v>1006</v>
      </c>
      <c r="C3453" s="84">
        <v>3.23</v>
      </c>
      <c r="D3453" s="84">
        <v>0.0</v>
      </c>
      <c r="E3453" s="84">
        <v>0.0</v>
      </c>
      <c r="F3453" s="76" t="s">
        <v>996</v>
      </c>
      <c r="G3453" s="83">
        <v>46113.0</v>
      </c>
      <c r="H3453" s="76" t="s">
        <v>945</v>
      </c>
    </row>
    <row r="3454">
      <c r="A3454" s="76" t="s">
        <v>944</v>
      </c>
      <c r="B3454" s="76" t="s">
        <v>1006</v>
      </c>
      <c r="C3454" s="84">
        <v>0.64</v>
      </c>
      <c r="D3454" s="84">
        <v>0.0</v>
      </c>
      <c r="E3454" s="84">
        <v>0.0</v>
      </c>
      <c r="F3454" s="76" t="s">
        <v>996</v>
      </c>
      <c r="G3454" s="83">
        <v>46113.0</v>
      </c>
      <c r="H3454" s="76" t="s">
        <v>946</v>
      </c>
    </row>
    <row r="3455">
      <c r="A3455" s="76" t="s">
        <v>944</v>
      </c>
      <c r="B3455" s="76" t="s">
        <v>1006</v>
      </c>
      <c r="C3455" s="84">
        <v>1.27</v>
      </c>
      <c r="D3455" s="84">
        <v>0.0</v>
      </c>
      <c r="E3455" s="84">
        <v>0.0</v>
      </c>
      <c r="F3455" s="76" t="s">
        <v>996</v>
      </c>
      <c r="G3455" s="83">
        <v>46113.0</v>
      </c>
      <c r="H3455" s="76" t="s">
        <v>947</v>
      </c>
    </row>
    <row r="3456">
      <c r="A3456" s="76" t="s">
        <v>26</v>
      </c>
      <c r="B3456" s="76" t="s">
        <v>1006</v>
      </c>
      <c r="C3456" s="84">
        <v>0.33</v>
      </c>
      <c r="D3456" s="84">
        <v>0.0</v>
      </c>
      <c r="E3456" s="84">
        <v>0.0</v>
      </c>
      <c r="F3456" s="76" t="s">
        <v>996</v>
      </c>
      <c r="G3456" s="83">
        <v>46113.0</v>
      </c>
      <c r="H3456" s="76" t="s">
        <v>1012</v>
      </c>
    </row>
    <row r="3457">
      <c r="A3457" s="76" t="s">
        <v>26</v>
      </c>
      <c r="B3457" s="76" t="s">
        <v>1006</v>
      </c>
      <c r="C3457" s="84">
        <v>3.35</v>
      </c>
      <c r="D3457" s="84">
        <v>0.0</v>
      </c>
      <c r="E3457" s="84">
        <v>0.0</v>
      </c>
      <c r="F3457" s="76" t="s">
        <v>996</v>
      </c>
      <c r="G3457" s="83">
        <v>46113.0</v>
      </c>
      <c r="H3457" s="76" t="s">
        <v>1013</v>
      </c>
    </row>
    <row r="3458">
      <c r="A3458" s="76" t="s">
        <v>26</v>
      </c>
      <c r="B3458" s="76" t="s">
        <v>1006</v>
      </c>
      <c r="C3458" s="84">
        <v>0.8</v>
      </c>
      <c r="D3458" s="84">
        <v>0.0</v>
      </c>
      <c r="E3458" s="84">
        <v>0.0</v>
      </c>
      <c r="F3458" s="76" t="s">
        <v>996</v>
      </c>
      <c r="G3458" s="83">
        <v>46113.0</v>
      </c>
      <c r="H3458" s="76" t="s">
        <v>1014</v>
      </c>
    </row>
    <row r="3459">
      <c r="A3459" s="76" t="s">
        <v>36</v>
      </c>
      <c r="B3459" s="76" t="s">
        <v>1006</v>
      </c>
      <c r="C3459" s="84">
        <v>0.16</v>
      </c>
      <c r="D3459" s="84">
        <v>0.0</v>
      </c>
      <c r="E3459" s="84">
        <v>0.0</v>
      </c>
      <c r="F3459" s="76" t="s">
        <v>997</v>
      </c>
      <c r="G3459" s="83">
        <v>46113.0</v>
      </c>
      <c r="H3459" s="76" t="s">
        <v>926</v>
      </c>
    </row>
    <row r="3460">
      <c r="A3460" s="76" t="s">
        <v>36</v>
      </c>
      <c r="B3460" s="76" t="s">
        <v>1006</v>
      </c>
      <c r="C3460" s="84">
        <v>0.09</v>
      </c>
      <c r="D3460" s="84">
        <v>0.0</v>
      </c>
      <c r="E3460" s="84">
        <v>0.0</v>
      </c>
      <c r="F3460" s="76" t="s">
        <v>997</v>
      </c>
      <c r="G3460" s="83">
        <v>46113.0</v>
      </c>
      <c r="H3460" s="76" t="s">
        <v>927</v>
      </c>
    </row>
    <row r="3461">
      <c r="A3461" s="76" t="s">
        <v>36</v>
      </c>
      <c r="B3461" s="76" t="s">
        <v>1006</v>
      </c>
      <c r="C3461" s="84">
        <v>0.06</v>
      </c>
      <c r="D3461" s="84">
        <v>0.0</v>
      </c>
      <c r="E3461" s="84">
        <v>0.0</v>
      </c>
      <c r="F3461" s="76" t="s">
        <v>997</v>
      </c>
      <c r="G3461" s="83">
        <v>46113.0</v>
      </c>
      <c r="H3461" s="76" t="s">
        <v>928</v>
      </c>
    </row>
    <row r="3462">
      <c r="A3462" s="76" t="s">
        <v>31</v>
      </c>
      <c r="B3462" s="76" t="s">
        <v>1006</v>
      </c>
      <c r="C3462" s="84">
        <v>0.34</v>
      </c>
      <c r="D3462" s="84">
        <v>0.0</v>
      </c>
      <c r="E3462" s="84">
        <v>0.0</v>
      </c>
      <c r="F3462" s="76" t="s">
        <v>997</v>
      </c>
      <c r="G3462" s="83">
        <v>46113.0</v>
      </c>
      <c r="H3462" s="76" t="s">
        <v>929</v>
      </c>
    </row>
    <row r="3463">
      <c r="A3463" s="76" t="s">
        <v>31</v>
      </c>
      <c r="B3463" s="76" t="s">
        <v>1006</v>
      </c>
      <c r="C3463" s="84">
        <v>26.24</v>
      </c>
      <c r="D3463" s="84">
        <v>0.0</v>
      </c>
      <c r="E3463" s="84">
        <v>0.0</v>
      </c>
      <c r="F3463" s="76" t="s">
        <v>997</v>
      </c>
      <c r="G3463" s="83">
        <v>46113.0</v>
      </c>
      <c r="H3463" s="76" t="s">
        <v>930</v>
      </c>
    </row>
    <row r="3464">
      <c r="A3464" s="76" t="s">
        <v>28</v>
      </c>
      <c r="B3464" s="76" t="s">
        <v>1006</v>
      </c>
      <c r="C3464" s="84">
        <v>0.11</v>
      </c>
      <c r="D3464" s="84">
        <v>0.0</v>
      </c>
      <c r="E3464" s="84">
        <v>0.0</v>
      </c>
      <c r="F3464" s="76" t="s">
        <v>997</v>
      </c>
      <c r="G3464" s="83">
        <v>46113.0</v>
      </c>
      <c r="H3464" s="76" t="s">
        <v>931</v>
      </c>
    </row>
    <row r="3465">
      <c r="A3465" s="76" t="s">
        <v>28</v>
      </c>
      <c r="B3465" s="76" t="s">
        <v>1006</v>
      </c>
      <c r="C3465" s="84">
        <v>0.2</v>
      </c>
      <c r="D3465" s="84">
        <v>0.0</v>
      </c>
      <c r="E3465" s="84">
        <v>0.0</v>
      </c>
      <c r="F3465" s="76" t="s">
        <v>997</v>
      </c>
      <c r="G3465" s="83">
        <v>46113.0</v>
      </c>
      <c r="H3465" s="76" t="s">
        <v>932</v>
      </c>
    </row>
    <row r="3466">
      <c r="A3466" s="76" t="s">
        <v>28</v>
      </c>
      <c r="B3466" s="76" t="s">
        <v>1006</v>
      </c>
      <c r="C3466" s="84">
        <v>1.08</v>
      </c>
      <c r="D3466" s="84">
        <v>0.0</v>
      </c>
      <c r="E3466" s="84">
        <v>0.0</v>
      </c>
      <c r="F3466" s="76" t="s">
        <v>997</v>
      </c>
      <c r="G3466" s="83">
        <v>46113.0</v>
      </c>
      <c r="H3466" s="76" t="s">
        <v>933</v>
      </c>
    </row>
    <row r="3467">
      <c r="A3467" s="76" t="s">
        <v>42</v>
      </c>
      <c r="B3467" s="76" t="s">
        <v>1006</v>
      </c>
      <c r="C3467" s="84">
        <v>0.01</v>
      </c>
      <c r="D3467" s="84">
        <v>0.0</v>
      </c>
      <c r="E3467" s="84">
        <v>0.0</v>
      </c>
      <c r="F3467" s="76" t="s">
        <v>997</v>
      </c>
      <c r="G3467" s="83">
        <v>46113.0</v>
      </c>
      <c r="H3467" s="76" t="s">
        <v>991</v>
      </c>
    </row>
    <row r="3468">
      <c r="A3468" s="76" t="s">
        <v>42</v>
      </c>
      <c r="B3468" s="76" t="s">
        <v>1006</v>
      </c>
      <c r="C3468" s="84">
        <v>0.36</v>
      </c>
      <c r="D3468" s="84">
        <v>0.0</v>
      </c>
      <c r="E3468" s="84">
        <v>0.0</v>
      </c>
      <c r="F3468" s="76" t="s">
        <v>997</v>
      </c>
      <c r="G3468" s="83">
        <v>46113.0</v>
      </c>
      <c r="H3468" s="76" t="s">
        <v>935</v>
      </c>
    </row>
    <row r="3469">
      <c r="A3469" s="76" t="s">
        <v>45</v>
      </c>
      <c r="B3469" s="76" t="s">
        <v>1006</v>
      </c>
      <c r="C3469" s="84">
        <v>0.08</v>
      </c>
      <c r="D3469" s="84">
        <v>0.0</v>
      </c>
      <c r="E3469" s="84">
        <v>0.0</v>
      </c>
      <c r="F3469" s="76" t="s">
        <v>997</v>
      </c>
      <c r="G3469" s="83">
        <v>46113.0</v>
      </c>
      <c r="H3469" s="76" t="s">
        <v>936</v>
      </c>
    </row>
    <row r="3470">
      <c r="A3470" s="76" t="s">
        <v>45</v>
      </c>
      <c r="B3470" s="76" t="s">
        <v>1006</v>
      </c>
      <c r="C3470" s="84">
        <v>0.1</v>
      </c>
      <c r="D3470" s="84">
        <v>0.0</v>
      </c>
      <c r="E3470" s="84">
        <v>0.0</v>
      </c>
      <c r="F3470" s="76" t="s">
        <v>997</v>
      </c>
      <c r="G3470" s="83">
        <v>46113.0</v>
      </c>
      <c r="H3470" s="76" t="s">
        <v>937</v>
      </c>
    </row>
    <row r="3471">
      <c r="A3471" s="76" t="s">
        <v>45</v>
      </c>
      <c r="B3471" s="76" t="s">
        <v>1006</v>
      </c>
      <c r="C3471" s="84">
        <v>0.04</v>
      </c>
      <c r="D3471" s="84">
        <v>0.0</v>
      </c>
      <c r="E3471" s="84">
        <v>0.0</v>
      </c>
      <c r="F3471" s="76" t="s">
        <v>997</v>
      </c>
      <c r="G3471" s="83">
        <v>46113.0</v>
      </c>
      <c r="H3471" s="76" t="s">
        <v>938</v>
      </c>
    </row>
    <row r="3472">
      <c r="A3472" s="76" t="s">
        <v>50</v>
      </c>
      <c r="B3472" s="76" t="s">
        <v>1006</v>
      </c>
      <c r="C3472" s="84">
        <v>0.08</v>
      </c>
      <c r="D3472" s="84">
        <v>0.0</v>
      </c>
      <c r="E3472" s="84">
        <v>0.0</v>
      </c>
      <c r="F3472" s="76" t="s">
        <v>997</v>
      </c>
      <c r="G3472" s="83">
        <v>46113.0</v>
      </c>
      <c r="H3472" s="76" t="s">
        <v>939</v>
      </c>
    </row>
    <row r="3473">
      <c r="A3473" s="76" t="s">
        <v>50</v>
      </c>
      <c r="B3473" s="76" t="s">
        <v>1006</v>
      </c>
      <c r="C3473" s="84">
        <v>0.13</v>
      </c>
      <c r="D3473" s="84">
        <v>0.0</v>
      </c>
      <c r="E3473" s="84">
        <v>0.0</v>
      </c>
      <c r="F3473" s="76" t="s">
        <v>997</v>
      </c>
      <c r="G3473" s="83">
        <v>46113.0</v>
      </c>
      <c r="H3473" s="76" t="s">
        <v>940</v>
      </c>
    </row>
    <row r="3474">
      <c r="A3474" s="76" t="s">
        <v>32</v>
      </c>
      <c r="B3474" s="76" t="s">
        <v>1006</v>
      </c>
      <c r="C3474" s="84">
        <v>2.04</v>
      </c>
      <c r="D3474" s="84">
        <v>0.0</v>
      </c>
      <c r="E3474" s="84">
        <v>0.0</v>
      </c>
      <c r="F3474" s="76" t="s">
        <v>997</v>
      </c>
      <c r="G3474" s="83">
        <v>46113.0</v>
      </c>
      <c r="H3474" s="76" t="s">
        <v>941</v>
      </c>
    </row>
    <row r="3475">
      <c r="A3475" s="76" t="s">
        <v>32</v>
      </c>
      <c r="B3475" s="76" t="s">
        <v>1006</v>
      </c>
      <c r="C3475" s="84">
        <v>1.5</v>
      </c>
      <c r="D3475" s="84">
        <v>0.0</v>
      </c>
      <c r="E3475" s="84">
        <v>0.0</v>
      </c>
      <c r="F3475" s="76" t="s">
        <v>997</v>
      </c>
      <c r="G3475" s="83">
        <v>46113.0</v>
      </c>
      <c r="H3475" s="76" t="s">
        <v>942</v>
      </c>
    </row>
    <row r="3476">
      <c r="A3476" s="76" t="s">
        <v>32</v>
      </c>
      <c r="B3476" s="76" t="s">
        <v>1006</v>
      </c>
      <c r="C3476" s="84">
        <v>12.39</v>
      </c>
      <c r="D3476" s="84">
        <v>0.0</v>
      </c>
      <c r="E3476" s="84">
        <v>0.0</v>
      </c>
      <c r="F3476" s="76" t="s">
        <v>997</v>
      </c>
      <c r="G3476" s="83">
        <v>46113.0</v>
      </c>
      <c r="H3476" s="76" t="s">
        <v>943</v>
      </c>
    </row>
    <row r="3477">
      <c r="A3477" s="76" t="s">
        <v>944</v>
      </c>
      <c r="B3477" s="76" t="s">
        <v>1006</v>
      </c>
      <c r="C3477" s="84">
        <v>1.06</v>
      </c>
      <c r="D3477" s="84">
        <v>0.0</v>
      </c>
      <c r="E3477" s="84">
        <v>0.0</v>
      </c>
      <c r="F3477" s="76" t="s">
        <v>997</v>
      </c>
      <c r="G3477" s="83">
        <v>46113.0</v>
      </c>
      <c r="H3477" s="76" t="s">
        <v>945</v>
      </c>
    </row>
    <row r="3478">
      <c r="A3478" s="76" t="s">
        <v>944</v>
      </c>
      <c r="B3478" s="76" t="s">
        <v>1006</v>
      </c>
      <c r="C3478" s="84">
        <v>0.44</v>
      </c>
      <c r="D3478" s="84">
        <v>0.0</v>
      </c>
      <c r="E3478" s="84">
        <v>0.0</v>
      </c>
      <c r="F3478" s="76" t="s">
        <v>997</v>
      </c>
      <c r="G3478" s="83">
        <v>46113.0</v>
      </c>
      <c r="H3478" s="76" t="s">
        <v>946</v>
      </c>
    </row>
    <row r="3479">
      <c r="A3479" s="76" t="s">
        <v>944</v>
      </c>
      <c r="B3479" s="76" t="s">
        <v>1006</v>
      </c>
      <c r="C3479" s="84">
        <v>0.75</v>
      </c>
      <c r="D3479" s="84">
        <v>0.0</v>
      </c>
      <c r="E3479" s="84">
        <v>0.0</v>
      </c>
      <c r="F3479" s="76" t="s">
        <v>997</v>
      </c>
      <c r="G3479" s="83">
        <v>46113.0</v>
      </c>
      <c r="H3479" s="76" t="s">
        <v>947</v>
      </c>
    </row>
    <row r="3480">
      <c r="A3480" s="76" t="s">
        <v>26</v>
      </c>
      <c r="B3480" s="76" t="s">
        <v>1006</v>
      </c>
      <c r="C3480" s="84">
        <v>0.11</v>
      </c>
      <c r="D3480" s="84">
        <v>0.0</v>
      </c>
      <c r="E3480" s="84">
        <v>0.0</v>
      </c>
      <c r="F3480" s="76" t="s">
        <v>997</v>
      </c>
      <c r="G3480" s="83">
        <v>46113.0</v>
      </c>
      <c r="H3480" s="76" t="s">
        <v>1012</v>
      </c>
    </row>
    <row r="3481">
      <c r="A3481" s="76" t="s">
        <v>26</v>
      </c>
      <c r="B3481" s="76" t="s">
        <v>1006</v>
      </c>
      <c r="C3481" s="84">
        <v>0.47</v>
      </c>
      <c r="D3481" s="84">
        <v>0.0</v>
      </c>
      <c r="E3481" s="84">
        <v>0.0</v>
      </c>
      <c r="F3481" s="76" t="s">
        <v>997</v>
      </c>
      <c r="G3481" s="83">
        <v>46113.0</v>
      </c>
      <c r="H3481" s="76" t="s">
        <v>1013</v>
      </c>
    </row>
    <row r="3482">
      <c r="A3482" s="76" t="s">
        <v>26</v>
      </c>
      <c r="B3482" s="76" t="s">
        <v>1006</v>
      </c>
      <c r="C3482" s="84">
        <v>0.42</v>
      </c>
      <c r="D3482" s="84">
        <v>0.0</v>
      </c>
      <c r="E3482" s="84">
        <v>0.0</v>
      </c>
      <c r="F3482" s="76" t="s">
        <v>997</v>
      </c>
      <c r="G3482" s="83">
        <v>46113.0</v>
      </c>
      <c r="H3482" s="76" t="s">
        <v>1014</v>
      </c>
    </row>
    <row r="3483">
      <c r="A3483" s="76" t="s">
        <v>28</v>
      </c>
      <c r="B3483" s="76" t="s">
        <v>1006</v>
      </c>
      <c r="C3483" s="84">
        <v>0.0</v>
      </c>
      <c r="D3483" s="84">
        <v>0.0</v>
      </c>
      <c r="E3483" s="84">
        <v>0.0</v>
      </c>
      <c r="F3483" s="76" t="s">
        <v>998</v>
      </c>
      <c r="G3483" s="83">
        <v>46113.0</v>
      </c>
      <c r="H3483" s="76" t="s">
        <v>932</v>
      </c>
    </row>
    <row r="3484">
      <c r="A3484" s="76" t="s">
        <v>45</v>
      </c>
      <c r="B3484" s="76" t="s">
        <v>1006</v>
      </c>
      <c r="C3484" s="84">
        <v>0.0</v>
      </c>
      <c r="D3484" s="84">
        <v>0.0</v>
      </c>
      <c r="E3484" s="84">
        <v>0.0</v>
      </c>
      <c r="F3484" s="76" t="s">
        <v>998</v>
      </c>
      <c r="G3484" s="83">
        <v>46113.0</v>
      </c>
      <c r="H3484" s="76" t="s">
        <v>937</v>
      </c>
    </row>
    <row r="3485">
      <c r="A3485" s="76" t="s">
        <v>50</v>
      </c>
      <c r="B3485" s="76" t="s">
        <v>1006</v>
      </c>
      <c r="C3485" s="84">
        <v>0.0</v>
      </c>
      <c r="D3485" s="84">
        <v>0.0</v>
      </c>
      <c r="E3485" s="84">
        <v>0.0</v>
      </c>
      <c r="F3485" s="76" t="s">
        <v>998</v>
      </c>
      <c r="G3485" s="83">
        <v>46113.0</v>
      </c>
      <c r="H3485" s="76" t="s">
        <v>939</v>
      </c>
    </row>
    <row r="3486">
      <c r="A3486" s="76" t="s">
        <v>32</v>
      </c>
      <c r="B3486" s="76" t="s">
        <v>1006</v>
      </c>
      <c r="C3486" s="84">
        <v>0.01</v>
      </c>
      <c r="D3486" s="84">
        <v>0.0</v>
      </c>
      <c r="E3486" s="84">
        <v>0.0</v>
      </c>
      <c r="F3486" s="76" t="s">
        <v>998</v>
      </c>
      <c r="G3486" s="83">
        <v>46113.0</v>
      </c>
      <c r="H3486" s="76" t="s">
        <v>941</v>
      </c>
    </row>
    <row r="3487">
      <c r="A3487" s="76" t="s">
        <v>26</v>
      </c>
      <c r="B3487" s="76" t="s">
        <v>1006</v>
      </c>
      <c r="C3487" s="84">
        <v>0.0</v>
      </c>
      <c r="D3487" s="84">
        <v>0.0</v>
      </c>
      <c r="E3487" s="84">
        <v>0.0</v>
      </c>
      <c r="F3487" s="76" t="s">
        <v>998</v>
      </c>
      <c r="G3487" s="83">
        <v>46113.0</v>
      </c>
      <c r="H3487" s="76" t="s">
        <v>1014</v>
      </c>
    </row>
    <row r="3488">
      <c r="A3488" s="76" t="s">
        <v>54</v>
      </c>
      <c r="B3488" s="76" t="s">
        <v>1007</v>
      </c>
      <c r="C3488" s="84">
        <v>4.6</v>
      </c>
      <c r="D3488" s="84">
        <v>0.0</v>
      </c>
      <c r="E3488" s="84">
        <v>0.0</v>
      </c>
      <c r="F3488" s="76" t="s">
        <v>990</v>
      </c>
      <c r="G3488" s="83">
        <v>46113.0</v>
      </c>
      <c r="H3488" s="76" t="s">
        <v>977</v>
      </c>
    </row>
    <row r="3489">
      <c r="A3489" s="76" t="s">
        <v>54</v>
      </c>
      <c r="B3489" s="76" t="s">
        <v>1007</v>
      </c>
      <c r="C3489" s="84">
        <v>3.13</v>
      </c>
      <c r="D3489" s="84">
        <v>0.0</v>
      </c>
      <c r="E3489" s="84">
        <v>0.0</v>
      </c>
      <c r="F3489" s="76" t="s">
        <v>990</v>
      </c>
      <c r="G3489" s="83">
        <v>46113.0</v>
      </c>
      <c r="H3489" s="76" t="s">
        <v>978</v>
      </c>
    </row>
    <row r="3490">
      <c r="A3490" s="76" t="s">
        <v>54</v>
      </c>
      <c r="B3490" s="76" t="s">
        <v>1007</v>
      </c>
      <c r="C3490" s="84">
        <v>0.36</v>
      </c>
      <c r="D3490" s="84">
        <v>0.0</v>
      </c>
      <c r="E3490" s="84">
        <v>0.0</v>
      </c>
      <c r="F3490" s="76" t="s">
        <v>990</v>
      </c>
      <c r="G3490" s="83">
        <v>46113.0</v>
      </c>
      <c r="H3490" s="76" t="s">
        <v>979</v>
      </c>
    </row>
    <row r="3491">
      <c r="A3491" s="76" t="s">
        <v>55</v>
      </c>
      <c r="B3491" s="76" t="s">
        <v>1007</v>
      </c>
      <c r="C3491" s="84">
        <v>0.23</v>
      </c>
      <c r="D3491" s="84">
        <v>0.0</v>
      </c>
      <c r="E3491" s="84">
        <v>0.0</v>
      </c>
      <c r="F3491" s="76" t="s">
        <v>990</v>
      </c>
      <c r="G3491" s="83">
        <v>46113.0</v>
      </c>
      <c r="H3491" s="76" t="s">
        <v>980</v>
      </c>
    </row>
    <row r="3492">
      <c r="A3492" s="76" t="s">
        <v>55</v>
      </c>
      <c r="B3492" s="76" t="s">
        <v>1007</v>
      </c>
      <c r="C3492" s="84">
        <v>1.78</v>
      </c>
      <c r="D3492" s="84">
        <v>1.0</v>
      </c>
      <c r="E3492" s="84">
        <v>1.78</v>
      </c>
      <c r="F3492" s="76" t="s">
        <v>990</v>
      </c>
      <c r="G3492" s="83">
        <v>46113.0</v>
      </c>
      <c r="H3492" s="76" t="s">
        <v>981</v>
      </c>
    </row>
    <row r="3493">
      <c r="A3493" s="76" t="s">
        <v>53</v>
      </c>
      <c r="B3493" s="76" t="s">
        <v>1007</v>
      </c>
      <c r="C3493" s="84">
        <v>4.38</v>
      </c>
      <c r="D3493" s="84">
        <v>0.0</v>
      </c>
      <c r="E3493" s="84">
        <v>0.0</v>
      </c>
      <c r="F3493" s="76" t="s">
        <v>990</v>
      </c>
      <c r="G3493" s="83">
        <v>46113.0</v>
      </c>
      <c r="H3493" s="76" t="s">
        <v>982</v>
      </c>
    </row>
    <row r="3494">
      <c r="A3494" s="76" t="s">
        <v>53</v>
      </c>
      <c r="B3494" s="76" t="s">
        <v>1007</v>
      </c>
      <c r="C3494" s="84">
        <v>1.02</v>
      </c>
      <c r="D3494" s="84">
        <v>0.0</v>
      </c>
      <c r="E3494" s="84">
        <v>0.0</v>
      </c>
      <c r="F3494" s="76" t="s">
        <v>990</v>
      </c>
      <c r="G3494" s="83">
        <v>46113.0</v>
      </c>
      <c r="H3494" s="76" t="s">
        <v>983</v>
      </c>
    </row>
    <row r="3495">
      <c r="A3495" s="76" t="s">
        <v>53</v>
      </c>
      <c r="B3495" s="76" t="s">
        <v>1007</v>
      </c>
      <c r="C3495" s="84">
        <v>0.05</v>
      </c>
      <c r="D3495" s="84">
        <v>0.0</v>
      </c>
      <c r="E3495" s="84">
        <v>0.0</v>
      </c>
      <c r="F3495" s="76" t="s">
        <v>990</v>
      </c>
      <c r="G3495" s="83">
        <v>46113.0</v>
      </c>
      <c r="H3495" s="76" t="s">
        <v>984</v>
      </c>
    </row>
    <row r="3496">
      <c r="A3496" s="76" t="s">
        <v>985</v>
      </c>
      <c r="B3496" s="76" t="s">
        <v>1007</v>
      </c>
      <c r="C3496" s="84">
        <v>0.25</v>
      </c>
      <c r="D3496" s="84">
        <v>0.0</v>
      </c>
      <c r="E3496" s="84">
        <v>0.0</v>
      </c>
      <c r="F3496" s="76" t="s">
        <v>990</v>
      </c>
      <c r="G3496" s="83">
        <v>46113.0</v>
      </c>
      <c r="H3496" s="76" t="s">
        <v>936</v>
      </c>
    </row>
    <row r="3497">
      <c r="A3497" s="76" t="s">
        <v>985</v>
      </c>
      <c r="B3497" s="76" t="s">
        <v>1007</v>
      </c>
      <c r="C3497" s="84">
        <v>0.07</v>
      </c>
      <c r="D3497" s="84">
        <v>0.0</v>
      </c>
      <c r="E3497" s="84">
        <v>0.0</v>
      </c>
      <c r="F3497" s="76" t="s">
        <v>990</v>
      </c>
      <c r="G3497" s="83">
        <v>46113.0</v>
      </c>
      <c r="H3497" s="76" t="s">
        <v>937</v>
      </c>
    </row>
    <row r="3498">
      <c r="A3498" s="76" t="s">
        <v>985</v>
      </c>
      <c r="B3498" s="76" t="s">
        <v>1007</v>
      </c>
      <c r="C3498" s="84">
        <v>0.2</v>
      </c>
      <c r="D3498" s="84">
        <v>0.0</v>
      </c>
      <c r="E3498" s="84">
        <v>0.0</v>
      </c>
      <c r="F3498" s="76" t="s">
        <v>990</v>
      </c>
      <c r="G3498" s="83">
        <v>46113.0</v>
      </c>
      <c r="H3498" s="76" t="s">
        <v>938</v>
      </c>
    </row>
    <row r="3499">
      <c r="A3499" s="76" t="s">
        <v>51</v>
      </c>
      <c r="B3499" s="76" t="s">
        <v>1007</v>
      </c>
      <c r="C3499" s="84">
        <v>0.44</v>
      </c>
      <c r="D3499" s="84">
        <v>0.0</v>
      </c>
      <c r="E3499" s="84">
        <v>0.0</v>
      </c>
      <c r="F3499" s="76" t="s">
        <v>990</v>
      </c>
      <c r="G3499" s="83">
        <v>46113.0</v>
      </c>
      <c r="H3499" s="76" t="s">
        <v>986</v>
      </c>
    </row>
    <row r="3500">
      <c r="A3500" s="76" t="s">
        <v>51</v>
      </c>
      <c r="B3500" s="76" t="s">
        <v>1007</v>
      </c>
      <c r="C3500" s="84">
        <v>0.19</v>
      </c>
      <c r="D3500" s="84">
        <v>0.0</v>
      </c>
      <c r="E3500" s="84">
        <v>0.0</v>
      </c>
      <c r="F3500" s="76" t="s">
        <v>990</v>
      </c>
      <c r="G3500" s="83">
        <v>46113.0</v>
      </c>
      <c r="H3500" s="76" t="s">
        <v>987</v>
      </c>
    </row>
    <row r="3501">
      <c r="A3501" s="76" t="s">
        <v>54</v>
      </c>
      <c r="B3501" s="76" t="s">
        <v>1007</v>
      </c>
      <c r="C3501" s="84">
        <v>3.01</v>
      </c>
      <c r="D3501" s="84">
        <v>0.0</v>
      </c>
      <c r="E3501" s="84">
        <v>0.0</v>
      </c>
      <c r="F3501" s="76" t="s">
        <v>993</v>
      </c>
      <c r="G3501" s="83">
        <v>46113.0</v>
      </c>
      <c r="H3501" s="76" t="s">
        <v>977</v>
      </c>
    </row>
    <row r="3502">
      <c r="A3502" s="76" t="s">
        <v>54</v>
      </c>
      <c r="B3502" s="76" t="s">
        <v>1007</v>
      </c>
      <c r="C3502" s="84">
        <v>5.05</v>
      </c>
      <c r="D3502" s="84">
        <v>0.0</v>
      </c>
      <c r="E3502" s="84">
        <v>0.0</v>
      </c>
      <c r="F3502" s="76" t="s">
        <v>993</v>
      </c>
      <c r="G3502" s="83">
        <v>46113.0</v>
      </c>
      <c r="H3502" s="76" t="s">
        <v>978</v>
      </c>
    </row>
    <row r="3503">
      <c r="A3503" s="76" t="s">
        <v>54</v>
      </c>
      <c r="B3503" s="76" t="s">
        <v>1007</v>
      </c>
      <c r="C3503" s="84">
        <v>0.68</v>
      </c>
      <c r="D3503" s="84">
        <v>0.0</v>
      </c>
      <c r="E3503" s="84">
        <v>0.0</v>
      </c>
      <c r="F3503" s="76" t="s">
        <v>993</v>
      </c>
      <c r="G3503" s="83">
        <v>46113.0</v>
      </c>
      <c r="H3503" s="76" t="s">
        <v>979</v>
      </c>
    </row>
    <row r="3504">
      <c r="A3504" s="76" t="s">
        <v>55</v>
      </c>
      <c r="B3504" s="76" t="s">
        <v>1007</v>
      </c>
      <c r="C3504" s="84">
        <v>0.19</v>
      </c>
      <c r="D3504" s="84">
        <v>0.0</v>
      </c>
      <c r="E3504" s="84">
        <v>0.0</v>
      </c>
      <c r="F3504" s="76" t="s">
        <v>993</v>
      </c>
      <c r="G3504" s="83">
        <v>46113.0</v>
      </c>
      <c r="H3504" s="76" t="s">
        <v>980</v>
      </c>
    </row>
    <row r="3505">
      <c r="A3505" s="76" t="s">
        <v>55</v>
      </c>
      <c r="B3505" s="76" t="s">
        <v>1007</v>
      </c>
      <c r="C3505" s="84">
        <v>1.54</v>
      </c>
      <c r="D3505" s="84">
        <v>0.0</v>
      </c>
      <c r="E3505" s="84">
        <v>0.0</v>
      </c>
      <c r="F3505" s="76" t="s">
        <v>993</v>
      </c>
      <c r="G3505" s="83">
        <v>46113.0</v>
      </c>
      <c r="H3505" s="76" t="s">
        <v>981</v>
      </c>
    </row>
    <row r="3506">
      <c r="A3506" s="76" t="s">
        <v>53</v>
      </c>
      <c r="B3506" s="76" t="s">
        <v>1007</v>
      </c>
      <c r="C3506" s="84">
        <v>1.26</v>
      </c>
      <c r="D3506" s="84">
        <v>0.0</v>
      </c>
      <c r="E3506" s="84">
        <v>0.0</v>
      </c>
      <c r="F3506" s="76" t="s">
        <v>993</v>
      </c>
      <c r="G3506" s="83">
        <v>46113.0</v>
      </c>
      <c r="H3506" s="76" t="s">
        <v>982</v>
      </c>
    </row>
    <row r="3507">
      <c r="A3507" s="76" t="s">
        <v>53</v>
      </c>
      <c r="B3507" s="76" t="s">
        <v>1007</v>
      </c>
      <c r="C3507" s="84">
        <v>0.65</v>
      </c>
      <c r="D3507" s="84">
        <v>0.0</v>
      </c>
      <c r="E3507" s="84">
        <v>0.0</v>
      </c>
      <c r="F3507" s="76" t="s">
        <v>993</v>
      </c>
      <c r="G3507" s="83">
        <v>46113.0</v>
      </c>
      <c r="H3507" s="76" t="s">
        <v>983</v>
      </c>
    </row>
    <row r="3508">
      <c r="A3508" s="76" t="s">
        <v>53</v>
      </c>
      <c r="B3508" s="76" t="s">
        <v>1007</v>
      </c>
      <c r="C3508" s="84">
        <v>0.06</v>
      </c>
      <c r="D3508" s="84">
        <v>0.0</v>
      </c>
      <c r="E3508" s="84">
        <v>0.0</v>
      </c>
      <c r="F3508" s="76" t="s">
        <v>993</v>
      </c>
      <c r="G3508" s="83">
        <v>46113.0</v>
      </c>
      <c r="H3508" s="76" t="s">
        <v>984</v>
      </c>
    </row>
    <row r="3509">
      <c r="A3509" s="76" t="s">
        <v>985</v>
      </c>
      <c r="B3509" s="76" t="s">
        <v>1007</v>
      </c>
      <c r="C3509" s="84">
        <v>0.16</v>
      </c>
      <c r="D3509" s="84">
        <v>0.0</v>
      </c>
      <c r="E3509" s="84">
        <v>0.0</v>
      </c>
      <c r="F3509" s="76" t="s">
        <v>993</v>
      </c>
      <c r="G3509" s="83">
        <v>46113.0</v>
      </c>
      <c r="H3509" s="76" t="s">
        <v>936</v>
      </c>
    </row>
    <row r="3510">
      <c r="A3510" s="76" t="s">
        <v>985</v>
      </c>
      <c r="B3510" s="76" t="s">
        <v>1007</v>
      </c>
      <c r="C3510" s="84">
        <v>0.08</v>
      </c>
      <c r="D3510" s="84">
        <v>0.0</v>
      </c>
      <c r="E3510" s="84">
        <v>0.0</v>
      </c>
      <c r="F3510" s="76" t="s">
        <v>993</v>
      </c>
      <c r="G3510" s="83">
        <v>46113.0</v>
      </c>
      <c r="H3510" s="76" t="s">
        <v>937</v>
      </c>
    </row>
    <row r="3511">
      <c r="A3511" s="76" t="s">
        <v>985</v>
      </c>
      <c r="B3511" s="76" t="s">
        <v>1007</v>
      </c>
      <c r="C3511" s="84">
        <v>0.21</v>
      </c>
      <c r="D3511" s="84">
        <v>0.0</v>
      </c>
      <c r="E3511" s="84">
        <v>0.0</v>
      </c>
      <c r="F3511" s="76" t="s">
        <v>993</v>
      </c>
      <c r="G3511" s="83">
        <v>46113.0</v>
      </c>
      <c r="H3511" s="76" t="s">
        <v>938</v>
      </c>
    </row>
    <row r="3512">
      <c r="A3512" s="76" t="s">
        <v>51</v>
      </c>
      <c r="B3512" s="76" t="s">
        <v>1007</v>
      </c>
      <c r="C3512" s="84">
        <v>0.33</v>
      </c>
      <c r="D3512" s="84">
        <v>0.0</v>
      </c>
      <c r="E3512" s="84">
        <v>0.0</v>
      </c>
      <c r="F3512" s="76" t="s">
        <v>993</v>
      </c>
      <c r="G3512" s="83">
        <v>46113.0</v>
      </c>
      <c r="H3512" s="76" t="s">
        <v>986</v>
      </c>
    </row>
    <row r="3513">
      <c r="A3513" s="76" t="s">
        <v>51</v>
      </c>
      <c r="B3513" s="76" t="s">
        <v>1007</v>
      </c>
      <c r="C3513" s="84">
        <v>0.15</v>
      </c>
      <c r="D3513" s="84">
        <v>0.0</v>
      </c>
      <c r="E3513" s="84">
        <v>0.0</v>
      </c>
      <c r="F3513" s="76" t="s">
        <v>993</v>
      </c>
      <c r="G3513" s="83">
        <v>46113.0</v>
      </c>
      <c r="H3513" s="76" t="s">
        <v>987</v>
      </c>
    </row>
    <row r="3514">
      <c r="A3514" s="76" t="s">
        <v>54</v>
      </c>
      <c r="B3514" s="76" t="s">
        <v>1007</v>
      </c>
      <c r="C3514" s="84">
        <v>0.6</v>
      </c>
      <c r="D3514" s="84">
        <v>0.0</v>
      </c>
      <c r="E3514" s="84">
        <v>0.0</v>
      </c>
      <c r="F3514" s="76" t="s">
        <v>994</v>
      </c>
      <c r="G3514" s="83">
        <v>46113.0</v>
      </c>
      <c r="H3514" s="76" t="s">
        <v>977</v>
      </c>
    </row>
    <row r="3515">
      <c r="A3515" s="76" t="s">
        <v>54</v>
      </c>
      <c r="B3515" s="76" t="s">
        <v>1007</v>
      </c>
      <c r="C3515" s="84">
        <v>0.95</v>
      </c>
      <c r="D3515" s="84">
        <v>0.0</v>
      </c>
      <c r="E3515" s="84">
        <v>0.0</v>
      </c>
      <c r="F3515" s="76" t="s">
        <v>994</v>
      </c>
      <c r="G3515" s="83">
        <v>46113.0</v>
      </c>
      <c r="H3515" s="76" t="s">
        <v>978</v>
      </c>
    </row>
    <row r="3516">
      <c r="A3516" s="76" t="s">
        <v>54</v>
      </c>
      <c r="B3516" s="76" t="s">
        <v>1007</v>
      </c>
      <c r="C3516" s="84">
        <v>0.26</v>
      </c>
      <c r="D3516" s="84">
        <v>0.0</v>
      </c>
      <c r="E3516" s="84">
        <v>0.0</v>
      </c>
      <c r="F3516" s="76" t="s">
        <v>994</v>
      </c>
      <c r="G3516" s="83">
        <v>46113.0</v>
      </c>
      <c r="H3516" s="76" t="s">
        <v>979</v>
      </c>
    </row>
    <row r="3517">
      <c r="A3517" s="76" t="s">
        <v>55</v>
      </c>
      <c r="B3517" s="76" t="s">
        <v>1007</v>
      </c>
      <c r="C3517" s="84">
        <v>0.07</v>
      </c>
      <c r="D3517" s="84">
        <v>0.0</v>
      </c>
      <c r="E3517" s="84">
        <v>0.0</v>
      </c>
      <c r="F3517" s="76" t="s">
        <v>994</v>
      </c>
      <c r="G3517" s="83">
        <v>46113.0</v>
      </c>
      <c r="H3517" s="76" t="s">
        <v>980</v>
      </c>
    </row>
    <row r="3518">
      <c r="A3518" s="76" t="s">
        <v>55</v>
      </c>
      <c r="B3518" s="76" t="s">
        <v>1007</v>
      </c>
      <c r="C3518" s="84">
        <v>0.43</v>
      </c>
      <c r="D3518" s="84">
        <v>0.0</v>
      </c>
      <c r="E3518" s="84">
        <v>0.0</v>
      </c>
      <c r="F3518" s="76" t="s">
        <v>994</v>
      </c>
      <c r="G3518" s="83">
        <v>46113.0</v>
      </c>
      <c r="H3518" s="76" t="s">
        <v>981</v>
      </c>
    </row>
    <row r="3519">
      <c r="A3519" s="76" t="s">
        <v>53</v>
      </c>
      <c r="B3519" s="76" t="s">
        <v>1007</v>
      </c>
      <c r="C3519" s="84">
        <v>0.42</v>
      </c>
      <c r="D3519" s="84">
        <v>0.0</v>
      </c>
      <c r="E3519" s="84">
        <v>0.0</v>
      </c>
      <c r="F3519" s="76" t="s">
        <v>994</v>
      </c>
      <c r="G3519" s="83">
        <v>46113.0</v>
      </c>
      <c r="H3519" s="76" t="s">
        <v>982</v>
      </c>
    </row>
    <row r="3520">
      <c r="A3520" s="76" t="s">
        <v>53</v>
      </c>
      <c r="B3520" s="76" t="s">
        <v>1007</v>
      </c>
      <c r="C3520" s="84">
        <v>0.13</v>
      </c>
      <c r="D3520" s="84">
        <v>0.0</v>
      </c>
      <c r="E3520" s="84">
        <v>0.0</v>
      </c>
      <c r="F3520" s="76" t="s">
        <v>994</v>
      </c>
      <c r="G3520" s="83">
        <v>46113.0</v>
      </c>
      <c r="H3520" s="76" t="s">
        <v>983</v>
      </c>
    </row>
    <row r="3521">
      <c r="A3521" s="76" t="s">
        <v>53</v>
      </c>
      <c r="B3521" s="76" t="s">
        <v>1007</v>
      </c>
      <c r="C3521" s="84">
        <v>0.01</v>
      </c>
      <c r="D3521" s="84">
        <v>0.0</v>
      </c>
      <c r="E3521" s="84">
        <v>0.0</v>
      </c>
      <c r="F3521" s="76" t="s">
        <v>994</v>
      </c>
      <c r="G3521" s="83">
        <v>46113.0</v>
      </c>
      <c r="H3521" s="76" t="s">
        <v>984</v>
      </c>
    </row>
    <row r="3522">
      <c r="A3522" s="76" t="s">
        <v>985</v>
      </c>
      <c r="B3522" s="76" t="s">
        <v>1007</v>
      </c>
      <c r="C3522" s="84">
        <v>0.03</v>
      </c>
      <c r="D3522" s="84">
        <v>0.0</v>
      </c>
      <c r="E3522" s="84">
        <v>0.0</v>
      </c>
      <c r="F3522" s="76" t="s">
        <v>994</v>
      </c>
      <c r="G3522" s="83">
        <v>46113.0</v>
      </c>
      <c r="H3522" s="76" t="s">
        <v>936</v>
      </c>
    </row>
    <row r="3523">
      <c r="A3523" s="76" t="s">
        <v>985</v>
      </c>
      <c r="B3523" s="76" t="s">
        <v>1007</v>
      </c>
      <c r="C3523" s="84">
        <v>0.03</v>
      </c>
      <c r="D3523" s="84">
        <v>0.0</v>
      </c>
      <c r="E3523" s="84">
        <v>0.0</v>
      </c>
      <c r="F3523" s="76" t="s">
        <v>994</v>
      </c>
      <c r="G3523" s="83">
        <v>46113.0</v>
      </c>
      <c r="H3523" s="76" t="s">
        <v>937</v>
      </c>
    </row>
    <row r="3524">
      <c r="A3524" s="76" t="s">
        <v>985</v>
      </c>
      <c r="B3524" s="76" t="s">
        <v>1007</v>
      </c>
      <c r="C3524" s="84">
        <v>0.04</v>
      </c>
      <c r="D3524" s="84">
        <v>0.0</v>
      </c>
      <c r="E3524" s="84">
        <v>0.0</v>
      </c>
      <c r="F3524" s="76" t="s">
        <v>994</v>
      </c>
      <c r="G3524" s="83">
        <v>46113.0</v>
      </c>
      <c r="H3524" s="76" t="s">
        <v>938</v>
      </c>
    </row>
    <row r="3525">
      <c r="A3525" s="76" t="s">
        <v>51</v>
      </c>
      <c r="B3525" s="76" t="s">
        <v>1007</v>
      </c>
      <c r="C3525" s="84">
        <v>0.22</v>
      </c>
      <c r="D3525" s="84">
        <v>0.0</v>
      </c>
      <c r="E3525" s="84">
        <v>0.0</v>
      </c>
      <c r="F3525" s="76" t="s">
        <v>994</v>
      </c>
      <c r="G3525" s="83">
        <v>46113.0</v>
      </c>
      <c r="H3525" s="76" t="s">
        <v>986</v>
      </c>
    </row>
    <row r="3526">
      <c r="A3526" s="76" t="s">
        <v>51</v>
      </c>
      <c r="B3526" s="76" t="s">
        <v>1007</v>
      </c>
      <c r="C3526" s="84">
        <v>0.12</v>
      </c>
      <c r="D3526" s="84">
        <v>0.0</v>
      </c>
      <c r="E3526" s="84">
        <v>0.0</v>
      </c>
      <c r="F3526" s="76" t="s">
        <v>994</v>
      </c>
      <c r="G3526" s="83">
        <v>46113.0</v>
      </c>
      <c r="H3526" s="76" t="s">
        <v>987</v>
      </c>
    </row>
    <row r="3527">
      <c r="A3527" s="76" t="s">
        <v>54</v>
      </c>
      <c r="B3527" s="76" t="s">
        <v>1007</v>
      </c>
      <c r="C3527" s="84">
        <v>7.52</v>
      </c>
      <c r="D3527" s="84">
        <v>2.0</v>
      </c>
      <c r="E3527" s="84">
        <v>3.76</v>
      </c>
      <c r="F3527" s="76" t="s">
        <v>995</v>
      </c>
      <c r="G3527" s="83">
        <v>46113.0</v>
      </c>
      <c r="H3527" s="76" t="s">
        <v>977</v>
      </c>
    </row>
    <row r="3528">
      <c r="A3528" s="76" t="s">
        <v>54</v>
      </c>
      <c r="B3528" s="76" t="s">
        <v>1007</v>
      </c>
      <c r="C3528" s="84">
        <v>2.76</v>
      </c>
      <c r="D3528" s="84">
        <v>0.0</v>
      </c>
      <c r="E3528" s="84">
        <v>0.0</v>
      </c>
      <c r="F3528" s="76" t="s">
        <v>995</v>
      </c>
      <c r="G3528" s="83">
        <v>46113.0</v>
      </c>
      <c r="H3528" s="76" t="s">
        <v>978</v>
      </c>
    </row>
    <row r="3529">
      <c r="A3529" s="76" t="s">
        <v>54</v>
      </c>
      <c r="B3529" s="76" t="s">
        <v>1007</v>
      </c>
      <c r="C3529" s="84">
        <v>0.21</v>
      </c>
      <c r="D3529" s="84">
        <v>0.0</v>
      </c>
      <c r="E3529" s="84">
        <v>0.0</v>
      </c>
      <c r="F3529" s="76" t="s">
        <v>995</v>
      </c>
      <c r="G3529" s="83">
        <v>46113.0</v>
      </c>
      <c r="H3529" s="76" t="s">
        <v>979</v>
      </c>
    </row>
    <row r="3530">
      <c r="A3530" s="76" t="s">
        <v>55</v>
      </c>
      <c r="B3530" s="76" t="s">
        <v>1007</v>
      </c>
      <c r="C3530" s="84">
        <v>0.23</v>
      </c>
      <c r="D3530" s="84">
        <v>0.0</v>
      </c>
      <c r="E3530" s="84">
        <v>0.0</v>
      </c>
      <c r="F3530" s="76" t="s">
        <v>995</v>
      </c>
      <c r="G3530" s="83">
        <v>46113.0</v>
      </c>
      <c r="H3530" s="76" t="s">
        <v>980</v>
      </c>
    </row>
    <row r="3531">
      <c r="A3531" s="76" t="s">
        <v>55</v>
      </c>
      <c r="B3531" s="76" t="s">
        <v>1007</v>
      </c>
      <c r="C3531" s="84">
        <v>1.67</v>
      </c>
      <c r="D3531" s="84">
        <v>0.0</v>
      </c>
      <c r="E3531" s="84">
        <v>0.0</v>
      </c>
      <c r="F3531" s="76" t="s">
        <v>995</v>
      </c>
      <c r="G3531" s="83">
        <v>46113.0</v>
      </c>
      <c r="H3531" s="76" t="s">
        <v>981</v>
      </c>
    </row>
    <row r="3532">
      <c r="A3532" s="76" t="s">
        <v>53</v>
      </c>
      <c r="B3532" s="76" t="s">
        <v>1007</v>
      </c>
      <c r="C3532" s="84">
        <v>1.07</v>
      </c>
      <c r="D3532" s="84">
        <v>0.0</v>
      </c>
      <c r="E3532" s="84">
        <v>0.0</v>
      </c>
      <c r="F3532" s="76" t="s">
        <v>995</v>
      </c>
      <c r="G3532" s="83">
        <v>46113.0</v>
      </c>
      <c r="H3532" s="76" t="s">
        <v>982</v>
      </c>
    </row>
    <row r="3533">
      <c r="A3533" s="76" t="s">
        <v>53</v>
      </c>
      <c r="B3533" s="76" t="s">
        <v>1007</v>
      </c>
      <c r="C3533" s="84">
        <v>0.41</v>
      </c>
      <c r="D3533" s="84">
        <v>0.0</v>
      </c>
      <c r="E3533" s="84">
        <v>0.0</v>
      </c>
      <c r="F3533" s="76" t="s">
        <v>995</v>
      </c>
      <c r="G3533" s="83">
        <v>46113.0</v>
      </c>
      <c r="H3533" s="76" t="s">
        <v>983</v>
      </c>
    </row>
    <row r="3534">
      <c r="A3534" s="76" t="s">
        <v>53</v>
      </c>
      <c r="B3534" s="76" t="s">
        <v>1007</v>
      </c>
      <c r="C3534" s="84">
        <v>0.05</v>
      </c>
      <c r="D3534" s="84">
        <v>0.0</v>
      </c>
      <c r="E3534" s="84">
        <v>0.0</v>
      </c>
      <c r="F3534" s="76" t="s">
        <v>995</v>
      </c>
      <c r="G3534" s="83">
        <v>46113.0</v>
      </c>
      <c r="H3534" s="76" t="s">
        <v>984</v>
      </c>
    </row>
    <row r="3535">
      <c r="A3535" s="76" t="s">
        <v>985</v>
      </c>
      <c r="B3535" s="76" t="s">
        <v>1007</v>
      </c>
      <c r="C3535" s="84">
        <v>0.15</v>
      </c>
      <c r="D3535" s="84">
        <v>0.0</v>
      </c>
      <c r="E3535" s="84">
        <v>0.0</v>
      </c>
      <c r="F3535" s="76" t="s">
        <v>995</v>
      </c>
      <c r="G3535" s="83">
        <v>46113.0</v>
      </c>
      <c r="H3535" s="76" t="s">
        <v>936</v>
      </c>
    </row>
    <row r="3536">
      <c r="A3536" s="76" t="s">
        <v>985</v>
      </c>
      <c r="B3536" s="76" t="s">
        <v>1007</v>
      </c>
      <c r="C3536" s="84">
        <v>0.1</v>
      </c>
      <c r="D3536" s="84">
        <v>0.0</v>
      </c>
      <c r="E3536" s="84">
        <v>0.0</v>
      </c>
      <c r="F3536" s="76" t="s">
        <v>995</v>
      </c>
      <c r="G3536" s="83">
        <v>46113.0</v>
      </c>
      <c r="H3536" s="76" t="s">
        <v>937</v>
      </c>
    </row>
    <row r="3537">
      <c r="A3537" s="76" t="s">
        <v>985</v>
      </c>
      <c r="B3537" s="76" t="s">
        <v>1007</v>
      </c>
      <c r="C3537" s="84">
        <v>0.26</v>
      </c>
      <c r="D3537" s="84">
        <v>0.0</v>
      </c>
      <c r="E3537" s="84">
        <v>0.0</v>
      </c>
      <c r="F3537" s="76" t="s">
        <v>995</v>
      </c>
      <c r="G3537" s="83">
        <v>46113.0</v>
      </c>
      <c r="H3537" s="76" t="s">
        <v>938</v>
      </c>
    </row>
    <row r="3538">
      <c r="A3538" s="76" t="s">
        <v>51</v>
      </c>
      <c r="B3538" s="76" t="s">
        <v>1007</v>
      </c>
      <c r="C3538" s="84">
        <v>0.43</v>
      </c>
      <c r="D3538" s="84">
        <v>0.0</v>
      </c>
      <c r="E3538" s="84">
        <v>0.0</v>
      </c>
      <c r="F3538" s="76" t="s">
        <v>995</v>
      </c>
      <c r="G3538" s="83">
        <v>46113.0</v>
      </c>
      <c r="H3538" s="76" t="s">
        <v>986</v>
      </c>
    </row>
    <row r="3539">
      <c r="A3539" s="76" t="s">
        <v>51</v>
      </c>
      <c r="B3539" s="76" t="s">
        <v>1007</v>
      </c>
      <c r="C3539" s="84">
        <v>0.16</v>
      </c>
      <c r="D3539" s="84">
        <v>0.0</v>
      </c>
      <c r="E3539" s="84">
        <v>0.0</v>
      </c>
      <c r="F3539" s="76" t="s">
        <v>995</v>
      </c>
      <c r="G3539" s="83">
        <v>46113.0</v>
      </c>
      <c r="H3539" s="76" t="s">
        <v>987</v>
      </c>
    </row>
    <row r="3540">
      <c r="A3540" s="76" t="s">
        <v>54</v>
      </c>
      <c r="B3540" s="76" t="s">
        <v>1007</v>
      </c>
      <c r="C3540" s="84">
        <v>47.14</v>
      </c>
      <c r="D3540" s="84">
        <v>2.0</v>
      </c>
      <c r="E3540" s="84">
        <v>23.57</v>
      </c>
      <c r="F3540" s="76" t="s">
        <v>996</v>
      </c>
      <c r="G3540" s="83">
        <v>46113.0</v>
      </c>
      <c r="H3540" s="76" t="s">
        <v>977</v>
      </c>
    </row>
    <row r="3541">
      <c r="A3541" s="76" t="s">
        <v>54</v>
      </c>
      <c r="B3541" s="76" t="s">
        <v>1007</v>
      </c>
      <c r="C3541" s="84">
        <v>0.69</v>
      </c>
      <c r="D3541" s="84">
        <v>0.0</v>
      </c>
      <c r="E3541" s="84">
        <v>0.0</v>
      </c>
      <c r="F3541" s="76" t="s">
        <v>996</v>
      </c>
      <c r="G3541" s="83">
        <v>46113.0</v>
      </c>
      <c r="H3541" s="76" t="s">
        <v>978</v>
      </c>
    </row>
    <row r="3542">
      <c r="A3542" s="76" t="s">
        <v>54</v>
      </c>
      <c r="B3542" s="76" t="s">
        <v>1007</v>
      </c>
      <c r="C3542" s="84">
        <v>0.16</v>
      </c>
      <c r="D3542" s="84">
        <v>0.0</v>
      </c>
      <c r="E3542" s="84">
        <v>0.0</v>
      </c>
      <c r="F3542" s="76" t="s">
        <v>996</v>
      </c>
      <c r="G3542" s="83">
        <v>46113.0</v>
      </c>
      <c r="H3542" s="76" t="s">
        <v>979</v>
      </c>
    </row>
    <row r="3543">
      <c r="A3543" s="76" t="s">
        <v>55</v>
      </c>
      <c r="B3543" s="76" t="s">
        <v>1007</v>
      </c>
      <c r="C3543" s="84">
        <v>0.21</v>
      </c>
      <c r="D3543" s="84">
        <v>0.0</v>
      </c>
      <c r="E3543" s="84">
        <v>0.0</v>
      </c>
      <c r="F3543" s="76" t="s">
        <v>996</v>
      </c>
      <c r="G3543" s="83">
        <v>46113.0</v>
      </c>
      <c r="H3543" s="76" t="s">
        <v>980</v>
      </c>
    </row>
    <row r="3544">
      <c r="A3544" s="76" t="s">
        <v>55</v>
      </c>
      <c r="B3544" s="76" t="s">
        <v>1007</v>
      </c>
      <c r="C3544" s="84">
        <v>0.35</v>
      </c>
      <c r="D3544" s="84">
        <v>0.0</v>
      </c>
      <c r="E3544" s="84">
        <v>0.0</v>
      </c>
      <c r="F3544" s="76" t="s">
        <v>996</v>
      </c>
      <c r="G3544" s="83">
        <v>46113.0</v>
      </c>
      <c r="H3544" s="76" t="s">
        <v>981</v>
      </c>
    </row>
    <row r="3545">
      <c r="A3545" s="76" t="s">
        <v>53</v>
      </c>
      <c r="B3545" s="76" t="s">
        <v>1007</v>
      </c>
      <c r="C3545" s="84">
        <v>0.68</v>
      </c>
      <c r="D3545" s="84">
        <v>0.0</v>
      </c>
      <c r="E3545" s="84">
        <v>0.0</v>
      </c>
      <c r="F3545" s="76" t="s">
        <v>996</v>
      </c>
      <c r="G3545" s="83">
        <v>46113.0</v>
      </c>
      <c r="H3545" s="76" t="s">
        <v>982</v>
      </c>
    </row>
    <row r="3546">
      <c r="A3546" s="76" t="s">
        <v>53</v>
      </c>
      <c r="B3546" s="76" t="s">
        <v>1007</v>
      </c>
      <c r="C3546" s="84">
        <v>0.25</v>
      </c>
      <c r="D3546" s="84">
        <v>0.0</v>
      </c>
      <c r="E3546" s="84">
        <v>0.0</v>
      </c>
      <c r="F3546" s="76" t="s">
        <v>996</v>
      </c>
      <c r="G3546" s="83">
        <v>46113.0</v>
      </c>
      <c r="H3546" s="76" t="s">
        <v>983</v>
      </c>
    </row>
    <row r="3547">
      <c r="A3547" s="76" t="s">
        <v>53</v>
      </c>
      <c r="B3547" s="76" t="s">
        <v>1007</v>
      </c>
      <c r="C3547" s="84">
        <v>0.04</v>
      </c>
      <c r="D3547" s="84">
        <v>0.0</v>
      </c>
      <c r="E3547" s="84">
        <v>0.0</v>
      </c>
      <c r="F3547" s="76" t="s">
        <v>996</v>
      </c>
      <c r="G3547" s="83">
        <v>46113.0</v>
      </c>
      <c r="H3547" s="76" t="s">
        <v>984</v>
      </c>
    </row>
    <row r="3548">
      <c r="A3548" s="76" t="s">
        <v>985</v>
      </c>
      <c r="B3548" s="76" t="s">
        <v>1007</v>
      </c>
      <c r="C3548" s="84">
        <v>0.04</v>
      </c>
      <c r="D3548" s="84">
        <v>0.0</v>
      </c>
      <c r="E3548" s="84">
        <v>0.0</v>
      </c>
      <c r="F3548" s="76" t="s">
        <v>996</v>
      </c>
      <c r="G3548" s="83">
        <v>46113.0</v>
      </c>
      <c r="H3548" s="76" t="s">
        <v>936</v>
      </c>
    </row>
    <row r="3549">
      <c r="A3549" s="76" t="s">
        <v>985</v>
      </c>
      <c r="B3549" s="76" t="s">
        <v>1007</v>
      </c>
      <c r="C3549" s="84">
        <v>0.08</v>
      </c>
      <c r="D3549" s="84">
        <v>0.0</v>
      </c>
      <c r="E3549" s="84">
        <v>0.0</v>
      </c>
      <c r="F3549" s="76" t="s">
        <v>996</v>
      </c>
      <c r="G3549" s="83">
        <v>46113.0</v>
      </c>
      <c r="H3549" s="76" t="s">
        <v>937</v>
      </c>
    </row>
    <row r="3550">
      <c r="A3550" s="76" t="s">
        <v>985</v>
      </c>
      <c r="B3550" s="76" t="s">
        <v>1007</v>
      </c>
      <c r="C3550" s="84">
        <v>0.08</v>
      </c>
      <c r="D3550" s="84">
        <v>0.0</v>
      </c>
      <c r="E3550" s="84">
        <v>0.0</v>
      </c>
      <c r="F3550" s="76" t="s">
        <v>996</v>
      </c>
      <c r="G3550" s="83">
        <v>46113.0</v>
      </c>
      <c r="H3550" s="76" t="s">
        <v>938</v>
      </c>
    </row>
    <row r="3551">
      <c r="A3551" s="76" t="s">
        <v>51</v>
      </c>
      <c r="B3551" s="76" t="s">
        <v>1007</v>
      </c>
      <c r="C3551" s="84">
        <v>0.35</v>
      </c>
      <c r="D3551" s="84">
        <v>0.0</v>
      </c>
      <c r="E3551" s="84">
        <v>0.0</v>
      </c>
      <c r="F3551" s="76" t="s">
        <v>996</v>
      </c>
      <c r="G3551" s="83">
        <v>46113.0</v>
      </c>
      <c r="H3551" s="76" t="s">
        <v>986</v>
      </c>
    </row>
    <row r="3552">
      <c r="A3552" s="76" t="s">
        <v>51</v>
      </c>
      <c r="B3552" s="76" t="s">
        <v>1007</v>
      </c>
      <c r="C3552" s="84">
        <v>0.09</v>
      </c>
      <c r="D3552" s="84">
        <v>0.0</v>
      </c>
      <c r="E3552" s="84">
        <v>0.0</v>
      </c>
      <c r="F3552" s="76" t="s">
        <v>996</v>
      </c>
      <c r="G3552" s="83">
        <v>46113.0</v>
      </c>
      <c r="H3552" s="76" t="s">
        <v>987</v>
      </c>
    </row>
    <row r="3553">
      <c r="A3553" s="76" t="s">
        <v>54</v>
      </c>
      <c r="B3553" s="76" t="s">
        <v>1007</v>
      </c>
      <c r="C3553" s="84">
        <v>3.74</v>
      </c>
      <c r="D3553" s="84">
        <v>0.0</v>
      </c>
      <c r="E3553" s="84">
        <v>0.0</v>
      </c>
      <c r="F3553" s="76" t="s">
        <v>997</v>
      </c>
      <c r="G3553" s="83">
        <v>46113.0</v>
      </c>
      <c r="H3553" s="76" t="s">
        <v>977</v>
      </c>
    </row>
    <row r="3554">
      <c r="A3554" s="76" t="s">
        <v>54</v>
      </c>
      <c r="B3554" s="76" t="s">
        <v>1007</v>
      </c>
      <c r="C3554" s="84">
        <v>3.21</v>
      </c>
      <c r="D3554" s="84">
        <v>0.0</v>
      </c>
      <c r="E3554" s="84">
        <v>0.0</v>
      </c>
      <c r="F3554" s="76" t="s">
        <v>997</v>
      </c>
      <c r="G3554" s="83">
        <v>46113.0</v>
      </c>
      <c r="H3554" s="76" t="s">
        <v>978</v>
      </c>
    </row>
    <row r="3555">
      <c r="A3555" s="76" t="s">
        <v>54</v>
      </c>
      <c r="B3555" s="76" t="s">
        <v>1007</v>
      </c>
      <c r="C3555" s="84">
        <v>0.47</v>
      </c>
      <c r="D3555" s="84">
        <v>0.0</v>
      </c>
      <c r="E3555" s="84">
        <v>0.0</v>
      </c>
      <c r="F3555" s="76" t="s">
        <v>997</v>
      </c>
      <c r="G3555" s="83">
        <v>46113.0</v>
      </c>
      <c r="H3555" s="76" t="s">
        <v>979</v>
      </c>
    </row>
    <row r="3556">
      <c r="A3556" s="76" t="s">
        <v>55</v>
      </c>
      <c r="B3556" s="76" t="s">
        <v>1007</v>
      </c>
      <c r="C3556" s="84">
        <v>0.3</v>
      </c>
      <c r="D3556" s="84">
        <v>0.0</v>
      </c>
      <c r="E3556" s="84">
        <v>0.0</v>
      </c>
      <c r="F3556" s="76" t="s">
        <v>997</v>
      </c>
      <c r="G3556" s="83">
        <v>46113.0</v>
      </c>
      <c r="H3556" s="76" t="s">
        <v>980</v>
      </c>
    </row>
    <row r="3557">
      <c r="A3557" s="76" t="s">
        <v>55</v>
      </c>
      <c r="B3557" s="76" t="s">
        <v>1007</v>
      </c>
      <c r="C3557" s="84">
        <v>0.98</v>
      </c>
      <c r="D3557" s="84">
        <v>0.0</v>
      </c>
      <c r="E3557" s="84">
        <v>0.0</v>
      </c>
      <c r="F3557" s="76" t="s">
        <v>997</v>
      </c>
      <c r="G3557" s="83">
        <v>46113.0</v>
      </c>
      <c r="H3557" s="76" t="s">
        <v>981</v>
      </c>
    </row>
    <row r="3558">
      <c r="A3558" s="76" t="s">
        <v>53</v>
      </c>
      <c r="B3558" s="76" t="s">
        <v>1007</v>
      </c>
      <c r="C3558" s="84">
        <v>1.34</v>
      </c>
      <c r="D3558" s="84">
        <v>0.0</v>
      </c>
      <c r="E3558" s="84">
        <v>0.0</v>
      </c>
      <c r="F3558" s="76" t="s">
        <v>997</v>
      </c>
      <c r="G3558" s="83">
        <v>46113.0</v>
      </c>
      <c r="H3558" s="76" t="s">
        <v>982</v>
      </c>
    </row>
    <row r="3559">
      <c r="A3559" s="76" t="s">
        <v>53</v>
      </c>
      <c r="B3559" s="76" t="s">
        <v>1007</v>
      </c>
      <c r="C3559" s="84">
        <v>0.65</v>
      </c>
      <c r="D3559" s="84">
        <v>0.0</v>
      </c>
      <c r="E3559" s="84">
        <v>0.0</v>
      </c>
      <c r="F3559" s="76" t="s">
        <v>997</v>
      </c>
      <c r="G3559" s="83">
        <v>46113.0</v>
      </c>
      <c r="H3559" s="76" t="s">
        <v>983</v>
      </c>
    </row>
    <row r="3560">
      <c r="A3560" s="76" t="s">
        <v>53</v>
      </c>
      <c r="B3560" s="76" t="s">
        <v>1007</v>
      </c>
      <c r="C3560" s="84">
        <v>0.07</v>
      </c>
      <c r="D3560" s="84">
        <v>0.0</v>
      </c>
      <c r="E3560" s="84">
        <v>0.0</v>
      </c>
      <c r="F3560" s="76" t="s">
        <v>997</v>
      </c>
      <c r="G3560" s="83">
        <v>46113.0</v>
      </c>
      <c r="H3560" s="76" t="s">
        <v>984</v>
      </c>
    </row>
    <row r="3561">
      <c r="A3561" s="76" t="s">
        <v>985</v>
      </c>
      <c r="B3561" s="76" t="s">
        <v>1007</v>
      </c>
      <c r="C3561" s="84">
        <v>0.12</v>
      </c>
      <c r="D3561" s="84">
        <v>0.0</v>
      </c>
      <c r="E3561" s="84">
        <v>0.0</v>
      </c>
      <c r="F3561" s="76" t="s">
        <v>997</v>
      </c>
      <c r="G3561" s="83">
        <v>46113.0</v>
      </c>
      <c r="H3561" s="76" t="s">
        <v>936</v>
      </c>
    </row>
    <row r="3562">
      <c r="A3562" s="76" t="s">
        <v>985</v>
      </c>
      <c r="B3562" s="76" t="s">
        <v>1007</v>
      </c>
      <c r="C3562" s="84">
        <v>0.06</v>
      </c>
      <c r="D3562" s="84">
        <v>0.0</v>
      </c>
      <c r="E3562" s="84">
        <v>0.0</v>
      </c>
      <c r="F3562" s="76" t="s">
        <v>997</v>
      </c>
      <c r="G3562" s="83">
        <v>46113.0</v>
      </c>
      <c r="H3562" s="76" t="s">
        <v>937</v>
      </c>
    </row>
    <row r="3563">
      <c r="A3563" s="76" t="s">
        <v>985</v>
      </c>
      <c r="B3563" s="76" t="s">
        <v>1007</v>
      </c>
      <c r="C3563" s="84">
        <v>0.21</v>
      </c>
      <c r="D3563" s="84">
        <v>0.0</v>
      </c>
      <c r="E3563" s="84">
        <v>0.0</v>
      </c>
      <c r="F3563" s="76" t="s">
        <v>997</v>
      </c>
      <c r="G3563" s="83">
        <v>46113.0</v>
      </c>
      <c r="H3563" s="76" t="s">
        <v>938</v>
      </c>
    </row>
    <row r="3564">
      <c r="A3564" s="76" t="s">
        <v>51</v>
      </c>
      <c r="B3564" s="76" t="s">
        <v>1007</v>
      </c>
      <c r="C3564" s="84">
        <v>0.74</v>
      </c>
      <c r="D3564" s="84">
        <v>0.0</v>
      </c>
      <c r="E3564" s="84">
        <v>0.0</v>
      </c>
      <c r="F3564" s="76" t="s">
        <v>997</v>
      </c>
      <c r="G3564" s="83">
        <v>46113.0</v>
      </c>
      <c r="H3564" s="76" t="s">
        <v>986</v>
      </c>
    </row>
    <row r="3565">
      <c r="A3565" s="76" t="s">
        <v>51</v>
      </c>
      <c r="B3565" s="76" t="s">
        <v>1007</v>
      </c>
      <c r="C3565" s="84">
        <v>0.24</v>
      </c>
      <c r="D3565" s="84">
        <v>0.0</v>
      </c>
      <c r="E3565" s="84">
        <v>0.0</v>
      </c>
      <c r="F3565" s="76" t="s">
        <v>997</v>
      </c>
      <c r="G3565" s="83">
        <v>46113.0</v>
      </c>
      <c r="H3565" s="76" t="s">
        <v>987</v>
      </c>
    </row>
    <row r="3566">
      <c r="A3566" s="76" t="s">
        <v>55</v>
      </c>
      <c r="B3566" s="76" t="s">
        <v>1007</v>
      </c>
      <c r="C3566" s="84">
        <v>0.05</v>
      </c>
      <c r="D3566" s="84">
        <v>0.0</v>
      </c>
      <c r="E3566" s="84">
        <v>0.0</v>
      </c>
      <c r="F3566" s="76" t="s">
        <v>998</v>
      </c>
      <c r="G3566" s="83">
        <v>46113.0</v>
      </c>
      <c r="H3566" s="76" t="s">
        <v>980</v>
      </c>
    </row>
    <row r="3567">
      <c r="A3567" s="76" t="s">
        <v>55</v>
      </c>
      <c r="B3567" s="76" t="s">
        <v>1007</v>
      </c>
      <c r="C3567" s="84">
        <v>0.0</v>
      </c>
      <c r="D3567" s="84">
        <v>0.0</v>
      </c>
      <c r="E3567" s="84">
        <v>0.0</v>
      </c>
      <c r="F3567" s="76" t="s">
        <v>998</v>
      </c>
      <c r="G3567" s="83">
        <v>46113.0</v>
      </c>
      <c r="H3567" s="76" t="s">
        <v>981</v>
      </c>
    </row>
    <row r="3568">
      <c r="A3568" s="76" t="s">
        <v>53</v>
      </c>
      <c r="B3568" s="76" t="s">
        <v>1007</v>
      </c>
      <c r="C3568" s="84">
        <v>0.0</v>
      </c>
      <c r="D3568" s="84">
        <v>0.0</v>
      </c>
      <c r="E3568" s="84">
        <v>0.0</v>
      </c>
      <c r="F3568" s="76" t="s">
        <v>998</v>
      </c>
      <c r="G3568" s="83">
        <v>46113.0</v>
      </c>
      <c r="H3568" s="76" t="s">
        <v>982</v>
      </c>
    </row>
    <row r="3569">
      <c r="A3569" s="76" t="s">
        <v>53</v>
      </c>
      <c r="B3569" s="76" t="s">
        <v>1007</v>
      </c>
      <c r="C3569" s="84">
        <v>0.0</v>
      </c>
      <c r="D3569" s="84">
        <v>0.0</v>
      </c>
      <c r="E3569" s="84">
        <v>0.0</v>
      </c>
      <c r="F3569" s="76" t="s">
        <v>998</v>
      </c>
      <c r="G3569" s="83">
        <v>46113.0</v>
      </c>
      <c r="H3569" s="76" t="s">
        <v>983</v>
      </c>
    </row>
    <row r="3570">
      <c r="A3570" s="76" t="s">
        <v>53</v>
      </c>
      <c r="B3570" s="76" t="s">
        <v>1007</v>
      </c>
      <c r="C3570" s="84">
        <v>0.0</v>
      </c>
      <c r="D3570" s="84">
        <v>0.0</v>
      </c>
      <c r="E3570" s="84">
        <v>0.0</v>
      </c>
      <c r="F3570" s="76" t="s">
        <v>998</v>
      </c>
      <c r="G3570" s="83">
        <v>46113.0</v>
      </c>
      <c r="H3570" s="76" t="s">
        <v>984</v>
      </c>
    </row>
    <row r="3571">
      <c r="A3571" s="76" t="s">
        <v>985</v>
      </c>
      <c r="B3571" s="76" t="s">
        <v>1007</v>
      </c>
      <c r="C3571" s="84">
        <v>0.0</v>
      </c>
      <c r="D3571" s="84">
        <v>0.0</v>
      </c>
      <c r="E3571" s="84">
        <v>0.0</v>
      </c>
      <c r="F3571" s="76" t="s">
        <v>998</v>
      </c>
      <c r="G3571" s="83">
        <v>46113.0</v>
      </c>
      <c r="H3571" s="76" t="s">
        <v>936</v>
      </c>
    </row>
    <row r="3572">
      <c r="A3572" s="76" t="s">
        <v>985</v>
      </c>
      <c r="B3572" s="76" t="s">
        <v>1007</v>
      </c>
      <c r="C3572" s="84">
        <v>0.02</v>
      </c>
      <c r="D3572" s="84">
        <v>0.0</v>
      </c>
      <c r="E3572" s="84">
        <v>0.0</v>
      </c>
      <c r="F3572" s="76" t="s">
        <v>998</v>
      </c>
      <c r="G3572" s="83">
        <v>46113.0</v>
      </c>
      <c r="H3572" s="76" t="s">
        <v>937</v>
      </c>
    </row>
    <row r="3573">
      <c r="A3573" s="76" t="s">
        <v>985</v>
      </c>
      <c r="B3573" s="76" t="s">
        <v>1007</v>
      </c>
      <c r="C3573" s="84">
        <v>0.0</v>
      </c>
      <c r="D3573" s="84">
        <v>0.0</v>
      </c>
      <c r="E3573" s="84">
        <v>0.0</v>
      </c>
      <c r="F3573" s="76" t="s">
        <v>998</v>
      </c>
      <c r="G3573" s="83">
        <v>46113.0</v>
      </c>
      <c r="H3573" s="76" t="s">
        <v>938</v>
      </c>
    </row>
    <row r="3574">
      <c r="A3574" s="76" t="s">
        <v>51</v>
      </c>
      <c r="B3574" s="76" t="s">
        <v>1007</v>
      </c>
      <c r="C3574" s="84">
        <v>0.0</v>
      </c>
      <c r="D3574" s="84">
        <v>0.0</v>
      </c>
      <c r="E3574" s="84">
        <v>0.0</v>
      </c>
      <c r="F3574" s="76" t="s">
        <v>998</v>
      </c>
      <c r="G3574" s="83">
        <v>46113.0</v>
      </c>
      <c r="H3574" s="76" t="s">
        <v>986</v>
      </c>
    </row>
    <row r="3575">
      <c r="A3575" s="76" t="s">
        <v>51</v>
      </c>
      <c r="B3575" s="76" t="s">
        <v>1007</v>
      </c>
      <c r="C3575" s="84">
        <v>0.0</v>
      </c>
      <c r="D3575" s="84">
        <v>0.0</v>
      </c>
      <c r="E3575" s="84">
        <v>0.0</v>
      </c>
      <c r="F3575" s="76" t="s">
        <v>998</v>
      </c>
      <c r="G3575" s="83">
        <v>46113.0</v>
      </c>
      <c r="H3575" s="76" t="s">
        <v>987</v>
      </c>
    </row>
    <row r="3576">
      <c r="A3576" s="76" t="s">
        <v>54</v>
      </c>
      <c r="B3576" s="76" t="s">
        <v>1007</v>
      </c>
      <c r="C3576" s="84">
        <v>0.0</v>
      </c>
      <c r="D3576" s="84">
        <v>0.0</v>
      </c>
      <c r="E3576" s="84">
        <v>0.0</v>
      </c>
      <c r="F3576" s="76" t="s">
        <v>998</v>
      </c>
      <c r="G3576" s="83">
        <v>46113.0</v>
      </c>
      <c r="H3576" s="76" t="s">
        <v>977</v>
      </c>
    </row>
    <row r="3577">
      <c r="A3577" s="76" t="s">
        <v>54</v>
      </c>
      <c r="B3577" s="76" t="s">
        <v>1007</v>
      </c>
      <c r="C3577" s="84">
        <v>0.01</v>
      </c>
      <c r="D3577" s="84">
        <v>0.0</v>
      </c>
      <c r="E3577" s="84">
        <v>0.0</v>
      </c>
      <c r="F3577" s="76" t="s">
        <v>998</v>
      </c>
      <c r="G3577" s="83">
        <v>46113.0</v>
      </c>
      <c r="H3577" s="76" t="s">
        <v>979</v>
      </c>
    </row>
    <row r="3578">
      <c r="A3578" s="76" t="s">
        <v>34</v>
      </c>
      <c r="B3578" s="76" t="s">
        <v>1008</v>
      </c>
      <c r="C3578" s="84">
        <v>6.79</v>
      </c>
      <c r="D3578" s="84">
        <v>0.0</v>
      </c>
      <c r="E3578" s="84">
        <v>0.0</v>
      </c>
      <c r="F3578" s="76" t="s">
        <v>925</v>
      </c>
      <c r="G3578" s="83">
        <v>46113.0</v>
      </c>
      <c r="H3578" s="76" t="s">
        <v>951</v>
      </c>
    </row>
    <row r="3579">
      <c r="A3579" s="76" t="s">
        <v>34</v>
      </c>
      <c r="B3579" s="76" t="s">
        <v>1008</v>
      </c>
      <c r="C3579" s="84">
        <v>4.65</v>
      </c>
      <c r="D3579" s="84">
        <v>0.0</v>
      </c>
      <c r="E3579" s="84">
        <v>0.0</v>
      </c>
      <c r="F3579" s="76" t="s">
        <v>925</v>
      </c>
      <c r="G3579" s="83">
        <v>46113.0</v>
      </c>
      <c r="H3579" s="76" t="s">
        <v>952</v>
      </c>
    </row>
    <row r="3580">
      <c r="A3580" s="76" t="s">
        <v>34</v>
      </c>
      <c r="B3580" s="76" t="s">
        <v>1008</v>
      </c>
      <c r="C3580" s="84">
        <v>35.84</v>
      </c>
      <c r="D3580" s="84">
        <v>0.0</v>
      </c>
      <c r="E3580" s="84">
        <v>0.0</v>
      </c>
      <c r="F3580" s="76" t="s">
        <v>925</v>
      </c>
      <c r="G3580" s="83">
        <v>46113.0</v>
      </c>
      <c r="H3580" s="76" t="s">
        <v>953</v>
      </c>
    </row>
    <row r="3581">
      <c r="A3581" s="76" t="s">
        <v>40</v>
      </c>
      <c r="B3581" s="76" t="s">
        <v>1008</v>
      </c>
      <c r="C3581" s="84">
        <v>0.4</v>
      </c>
      <c r="D3581" s="84">
        <v>0.0</v>
      </c>
      <c r="E3581" s="84">
        <v>0.0</v>
      </c>
      <c r="F3581" s="76" t="s">
        <v>925</v>
      </c>
      <c r="G3581" s="83">
        <v>46113.0</v>
      </c>
      <c r="H3581" s="76" t="s">
        <v>954</v>
      </c>
    </row>
    <row r="3582">
      <c r="A3582" s="76" t="s">
        <v>40</v>
      </c>
      <c r="B3582" s="76" t="s">
        <v>1008</v>
      </c>
      <c r="C3582" s="84">
        <v>0.17</v>
      </c>
      <c r="D3582" s="84">
        <v>1.0</v>
      </c>
      <c r="E3582" s="84">
        <v>0.17</v>
      </c>
      <c r="F3582" s="76" t="s">
        <v>925</v>
      </c>
      <c r="G3582" s="83">
        <v>46113.0</v>
      </c>
      <c r="H3582" s="76" t="s">
        <v>955</v>
      </c>
    </row>
    <row r="3583">
      <c r="A3583" s="76" t="s">
        <v>40</v>
      </c>
      <c r="B3583" s="76" t="s">
        <v>1008</v>
      </c>
      <c r="C3583" s="84">
        <v>3.78</v>
      </c>
      <c r="D3583" s="84">
        <v>0.0</v>
      </c>
      <c r="E3583" s="84">
        <v>0.0</v>
      </c>
      <c r="F3583" s="76" t="s">
        <v>925</v>
      </c>
      <c r="G3583" s="83">
        <v>46113.0</v>
      </c>
      <c r="H3583" s="76" t="s">
        <v>956</v>
      </c>
    </row>
    <row r="3584">
      <c r="A3584" s="76" t="s">
        <v>33</v>
      </c>
      <c r="B3584" s="76" t="s">
        <v>1008</v>
      </c>
      <c r="C3584" s="84">
        <v>7.01</v>
      </c>
      <c r="D3584" s="84">
        <v>0.0</v>
      </c>
      <c r="E3584" s="84">
        <v>0.0</v>
      </c>
      <c r="F3584" s="76" t="s">
        <v>925</v>
      </c>
      <c r="G3584" s="83">
        <v>46113.0</v>
      </c>
      <c r="H3584" s="76" t="s">
        <v>957</v>
      </c>
    </row>
    <row r="3585">
      <c r="A3585" s="76" t="s">
        <v>33</v>
      </c>
      <c r="B3585" s="76" t="s">
        <v>1008</v>
      </c>
      <c r="C3585" s="84">
        <v>0.76</v>
      </c>
      <c r="D3585" s="84">
        <v>0.0</v>
      </c>
      <c r="E3585" s="84">
        <v>0.0</v>
      </c>
      <c r="F3585" s="76" t="s">
        <v>925</v>
      </c>
      <c r="G3585" s="83">
        <v>46113.0</v>
      </c>
      <c r="H3585" s="76" t="s">
        <v>958</v>
      </c>
    </row>
    <row r="3586">
      <c r="A3586" s="76" t="s">
        <v>33</v>
      </c>
      <c r="B3586" s="76" t="s">
        <v>1008</v>
      </c>
      <c r="C3586" s="84">
        <v>1.66</v>
      </c>
      <c r="D3586" s="84">
        <v>0.0</v>
      </c>
      <c r="E3586" s="84">
        <v>0.0</v>
      </c>
      <c r="F3586" s="76" t="s">
        <v>925</v>
      </c>
      <c r="G3586" s="83">
        <v>46113.0</v>
      </c>
      <c r="H3586" s="76" t="s">
        <v>959</v>
      </c>
    </row>
    <row r="3587">
      <c r="A3587" s="76" t="s">
        <v>46</v>
      </c>
      <c r="B3587" s="76" t="s">
        <v>1008</v>
      </c>
      <c r="C3587" s="84">
        <v>0.2</v>
      </c>
      <c r="D3587" s="84">
        <v>0.0</v>
      </c>
      <c r="E3587" s="84">
        <v>0.0</v>
      </c>
      <c r="F3587" s="76" t="s">
        <v>925</v>
      </c>
      <c r="G3587" s="83">
        <v>46113.0</v>
      </c>
      <c r="H3587" s="76" t="s">
        <v>960</v>
      </c>
    </row>
    <row r="3588">
      <c r="A3588" s="76" t="s">
        <v>46</v>
      </c>
      <c r="B3588" s="76" t="s">
        <v>1008</v>
      </c>
      <c r="C3588" s="84">
        <v>0.52</v>
      </c>
      <c r="D3588" s="84">
        <v>0.0</v>
      </c>
      <c r="E3588" s="84">
        <v>0.0</v>
      </c>
      <c r="F3588" s="76" t="s">
        <v>925</v>
      </c>
      <c r="G3588" s="83">
        <v>46113.0</v>
      </c>
      <c r="H3588" s="76" t="s">
        <v>961</v>
      </c>
    </row>
    <row r="3589">
      <c r="A3589" s="76" t="s">
        <v>46</v>
      </c>
      <c r="B3589" s="76" t="s">
        <v>1008</v>
      </c>
      <c r="C3589" s="84">
        <v>1.26</v>
      </c>
      <c r="D3589" s="84">
        <v>0.0</v>
      </c>
      <c r="E3589" s="84">
        <v>0.0</v>
      </c>
      <c r="F3589" s="76" t="s">
        <v>925</v>
      </c>
      <c r="G3589" s="83">
        <v>46113.0</v>
      </c>
      <c r="H3589" s="76" t="s">
        <v>962</v>
      </c>
    </row>
    <row r="3590">
      <c r="A3590" s="76" t="s">
        <v>43</v>
      </c>
      <c r="B3590" s="76" t="s">
        <v>1008</v>
      </c>
      <c r="C3590" s="84">
        <v>1.97</v>
      </c>
      <c r="D3590" s="84">
        <v>0.0</v>
      </c>
      <c r="E3590" s="84">
        <v>0.0</v>
      </c>
      <c r="F3590" s="76" t="s">
        <v>925</v>
      </c>
      <c r="G3590" s="83">
        <v>46113.0</v>
      </c>
      <c r="H3590" s="76" t="s">
        <v>963</v>
      </c>
    </row>
    <row r="3591">
      <c r="A3591" s="76" t="s">
        <v>43</v>
      </c>
      <c r="B3591" s="76" t="s">
        <v>1008</v>
      </c>
      <c r="C3591" s="84">
        <v>0.46</v>
      </c>
      <c r="D3591" s="84">
        <v>0.0</v>
      </c>
      <c r="E3591" s="84">
        <v>0.0</v>
      </c>
      <c r="F3591" s="76" t="s">
        <v>925</v>
      </c>
      <c r="G3591" s="83">
        <v>46113.0</v>
      </c>
      <c r="H3591" s="76" t="s">
        <v>964</v>
      </c>
    </row>
    <row r="3592">
      <c r="A3592" s="76" t="s">
        <v>43</v>
      </c>
      <c r="B3592" s="76" t="s">
        <v>1008</v>
      </c>
      <c r="C3592" s="84">
        <v>3.02</v>
      </c>
      <c r="D3592" s="84">
        <v>1.0</v>
      </c>
      <c r="E3592" s="84">
        <v>3.02</v>
      </c>
      <c r="F3592" s="76" t="s">
        <v>925</v>
      </c>
      <c r="G3592" s="83">
        <v>46113.0</v>
      </c>
      <c r="H3592" s="76" t="s">
        <v>965</v>
      </c>
    </row>
    <row r="3593">
      <c r="A3593" s="76" t="s">
        <v>966</v>
      </c>
      <c r="B3593" s="76" t="s">
        <v>1008</v>
      </c>
      <c r="C3593" s="84">
        <v>2.14</v>
      </c>
      <c r="D3593" s="84">
        <v>0.0</v>
      </c>
      <c r="E3593" s="84">
        <v>0.0</v>
      </c>
      <c r="F3593" s="76" t="s">
        <v>925</v>
      </c>
      <c r="G3593" s="83">
        <v>46113.0</v>
      </c>
      <c r="H3593" s="76" t="s">
        <v>967</v>
      </c>
    </row>
    <row r="3594">
      <c r="A3594" s="76" t="s">
        <v>966</v>
      </c>
      <c r="B3594" s="76" t="s">
        <v>1008</v>
      </c>
      <c r="C3594" s="84">
        <v>0.5</v>
      </c>
      <c r="D3594" s="84">
        <v>0.0</v>
      </c>
      <c r="E3594" s="84">
        <v>0.0</v>
      </c>
      <c r="F3594" s="76" t="s">
        <v>925</v>
      </c>
      <c r="G3594" s="83">
        <v>46113.0</v>
      </c>
      <c r="H3594" s="76" t="s">
        <v>968</v>
      </c>
    </row>
    <row r="3595">
      <c r="A3595" s="76" t="s">
        <v>966</v>
      </c>
      <c r="B3595" s="76" t="s">
        <v>1008</v>
      </c>
      <c r="C3595" s="84">
        <v>2.25</v>
      </c>
      <c r="D3595" s="84">
        <v>0.0</v>
      </c>
      <c r="E3595" s="84">
        <v>0.0</v>
      </c>
      <c r="F3595" s="76" t="s">
        <v>925</v>
      </c>
      <c r="G3595" s="83">
        <v>46113.0</v>
      </c>
      <c r="H3595" s="76" t="s">
        <v>969</v>
      </c>
    </row>
    <row r="3596">
      <c r="A3596" s="76" t="s">
        <v>36</v>
      </c>
      <c r="B3596" s="76" t="s">
        <v>1008</v>
      </c>
      <c r="C3596" s="84">
        <v>2.9</v>
      </c>
      <c r="D3596" s="84">
        <v>0.0</v>
      </c>
      <c r="E3596" s="84">
        <v>0.0</v>
      </c>
      <c r="F3596" s="76" t="s">
        <v>925</v>
      </c>
      <c r="G3596" s="83">
        <v>46113.0</v>
      </c>
      <c r="H3596" s="76" t="s">
        <v>926</v>
      </c>
    </row>
    <row r="3597">
      <c r="A3597" s="76" t="s">
        <v>36</v>
      </c>
      <c r="B3597" s="76" t="s">
        <v>1008</v>
      </c>
      <c r="C3597" s="84">
        <v>0.55</v>
      </c>
      <c r="D3597" s="84">
        <v>0.0</v>
      </c>
      <c r="E3597" s="84">
        <v>0.0</v>
      </c>
      <c r="F3597" s="76" t="s">
        <v>925</v>
      </c>
      <c r="G3597" s="83">
        <v>46113.0</v>
      </c>
      <c r="H3597" s="76" t="s">
        <v>927</v>
      </c>
    </row>
    <row r="3598">
      <c r="A3598" s="76" t="s">
        <v>36</v>
      </c>
      <c r="B3598" s="76" t="s">
        <v>1008</v>
      </c>
      <c r="C3598" s="84">
        <v>1.08</v>
      </c>
      <c r="D3598" s="84">
        <v>0.0</v>
      </c>
      <c r="E3598" s="84">
        <v>0.0</v>
      </c>
      <c r="F3598" s="76" t="s">
        <v>925</v>
      </c>
      <c r="G3598" s="83">
        <v>46113.0</v>
      </c>
      <c r="H3598" s="76" t="s">
        <v>928</v>
      </c>
    </row>
    <row r="3599">
      <c r="A3599" s="76" t="s">
        <v>970</v>
      </c>
      <c r="B3599" s="76" t="s">
        <v>1008</v>
      </c>
      <c r="C3599" s="84">
        <v>1.75</v>
      </c>
      <c r="D3599" s="84">
        <v>0.0</v>
      </c>
      <c r="E3599" s="84">
        <v>0.0</v>
      </c>
      <c r="F3599" s="76" t="s">
        <v>925</v>
      </c>
      <c r="G3599" s="83">
        <v>46113.0</v>
      </c>
      <c r="H3599" s="76" t="s">
        <v>971</v>
      </c>
    </row>
    <row r="3600">
      <c r="A3600" s="76" t="s">
        <v>970</v>
      </c>
      <c r="B3600" s="76" t="s">
        <v>1008</v>
      </c>
      <c r="C3600" s="84">
        <v>0.15</v>
      </c>
      <c r="D3600" s="84">
        <v>0.0</v>
      </c>
      <c r="E3600" s="84">
        <v>0.0</v>
      </c>
      <c r="F3600" s="76" t="s">
        <v>925</v>
      </c>
      <c r="G3600" s="83">
        <v>46113.0</v>
      </c>
      <c r="H3600" s="76" t="s">
        <v>972</v>
      </c>
    </row>
    <row r="3601">
      <c r="A3601" s="76" t="s">
        <v>970</v>
      </c>
      <c r="B3601" s="76" t="s">
        <v>1008</v>
      </c>
      <c r="C3601" s="84">
        <v>1.38</v>
      </c>
      <c r="D3601" s="84">
        <v>0.0</v>
      </c>
      <c r="E3601" s="84">
        <v>0.0</v>
      </c>
      <c r="F3601" s="76" t="s">
        <v>925</v>
      </c>
      <c r="G3601" s="83">
        <v>46113.0</v>
      </c>
      <c r="H3601" s="76" t="s">
        <v>973</v>
      </c>
    </row>
    <row r="3602">
      <c r="A3602" s="76" t="s">
        <v>29</v>
      </c>
      <c r="B3602" s="76" t="s">
        <v>1008</v>
      </c>
      <c r="C3602" s="84">
        <v>1.12</v>
      </c>
      <c r="D3602" s="84">
        <v>0.0</v>
      </c>
      <c r="E3602" s="84">
        <v>0.0</v>
      </c>
      <c r="F3602" s="76" t="s">
        <v>925</v>
      </c>
      <c r="G3602" s="83">
        <v>46113.0</v>
      </c>
      <c r="H3602" s="76" t="s">
        <v>971</v>
      </c>
    </row>
    <row r="3603">
      <c r="A3603" s="76" t="s">
        <v>29</v>
      </c>
      <c r="B3603" s="76" t="s">
        <v>1008</v>
      </c>
      <c r="C3603" s="84">
        <v>0.25</v>
      </c>
      <c r="D3603" s="84">
        <v>0.0</v>
      </c>
      <c r="E3603" s="84">
        <v>0.0</v>
      </c>
      <c r="F3603" s="76" t="s">
        <v>925</v>
      </c>
      <c r="G3603" s="83">
        <v>46113.0</v>
      </c>
      <c r="H3603" s="76" t="s">
        <v>972</v>
      </c>
    </row>
    <row r="3604">
      <c r="A3604" s="76" t="s">
        <v>29</v>
      </c>
      <c r="B3604" s="76" t="s">
        <v>1008</v>
      </c>
      <c r="C3604" s="84">
        <v>2.1</v>
      </c>
      <c r="D3604" s="84">
        <v>1.0</v>
      </c>
      <c r="E3604" s="84">
        <v>2.1</v>
      </c>
      <c r="F3604" s="76" t="s">
        <v>925</v>
      </c>
      <c r="G3604" s="83">
        <v>46113.0</v>
      </c>
      <c r="H3604" s="76" t="s">
        <v>973</v>
      </c>
    </row>
    <row r="3605">
      <c r="A3605" s="76" t="s">
        <v>34</v>
      </c>
      <c r="B3605" s="76" t="s">
        <v>1008</v>
      </c>
      <c r="C3605" s="84">
        <v>44.59</v>
      </c>
      <c r="D3605" s="84">
        <v>0.0</v>
      </c>
      <c r="E3605" s="84">
        <v>0.0</v>
      </c>
      <c r="F3605" s="76" t="s">
        <v>948</v>
      </c>
      <c r="G3605" s="83">
        <v>46113.0</v>
      </c>
      <c r="H3605" s="76" t="s">
        <v>951</v>
      </c>
    </row>
    <row r="3606">
      <c r="A3606" s="76" t="s">
        <v>34</v>
      </c>
      <c r="B3606" s="76" t="s">
        <v>1008</v>
      </c>
      <c r="C3606" s="84">
        <v>29.3</v>
      </c>
      <c r="D3606" s="84">
        <v>1.0</v>
      </c>
      <c r="E3606" s="84">
        <v>29.3</v>
      </c>
      <c r="F3606" s="76" t="s">
        <v>948</v>
      </c>
      <c r="G3606" s="83">
        <v>46113.0</v>
      </c>
      <c r="H3606" s="76" t="s">
        <v>952</v>
      </c>
    </row>
    <row r="3607">
      <c r="A3607" s="76" t="s">
        <v>34</v>
      </c>
      <c r="B3607" s="76" t="s">
        <v>1008</v>
      </c>
      <c r="C3607" s="84">
        <v>134.91</v>
      </c>
      <c r="D3607" s="84">
        <v>1.0</v>
      </c>
      <c r="E3607" s="84">
        <v>134.91</v>
      </c>
      <c r="F3607" s="76" t="s">
        <v>948</v>
      </c>
      <c r="G3607" s="83">
        <v>46113.0</v>
      </c>
      <c r="H3607" s="76" t="s">
        <v>953</v>
      </c>
    </row>
    <row r="3608">
      <c r="A3608" s="76" t="s">
        <v>40</v>
      </c>
      <c r="B3608" s="76" t="s">
        <v>1008</v>
      </c>
      <c r="C3608" s="84">
        <v>8.65</v>
      </c>
      <c r="D3608" s="84">
        <v>0.0</v>
      </c>
      <c r="E3608" s="84">
        <v>0.0</v>
      </c>
      <c r="F3608" s="76" t="s">
        <v>948</v>
      </c>
      <c r="G3608" s="83">
        <v>46113.0</v>
      </c>
      <c r="H3608" s="76" t="s">
        <v>954</v>
      </c>
    </row>
    <row r="3609">
      <c r="A3609" s="76" t="s">
        <v>40</v>
      </c>
      <c r="B3609" s="76" t="s">
        <v>1008</v>
      </c>
      <c r="C3609" s="84">
        <v>0.62</v>
      </c>
      <c r="D3609" s="84">
        <v>0.0</v>
      </c>
      <c r="E3609" s="84">
        <v>0.0</v>
      </c>
      <c r="F3609" s="76" t="s">
        <v>948</v>
      </c>
      <c r="G3609" s="83">
        <v>46113.0</v>
      </c>
      <c r="H3609" s="76" t="s">
        <v>955</v>
      </c>
    </row>
    <row r="3610">
      <c r="A3610" s="76" t="s">
        <v>40</v>
      </c>
      <c r="B3610" s="76" t="s">
        <v>1008</v>
      </c>
      <c r="C3610" s="84">
        <v>96.97</v>
      </c>
      <c r="D3610" s="84">
        <v>0.0</v>
      </c>
      <c r="E3610" s="84">
        <v>0.0</v>
      </c>
      <c r="F3610" s="76" t="s">
        <v>948</v>
      </c>
      <c r="G3610" s="83">
        <v>46113.0</v>
      </c>
      <c r="H3610" s="76" t="s">
        <v>956</v>
      </c>
    </row>
    <row r="3611">
      <c r="A3611" s="76" t="s">
        <v>33</v>
      </c>
      <c r="B3611" s="76" t="s">
        <v>1008</v>
      </c>
      <c r="C3611" s="84">
        <v>52.62</v>
      </c>
      <c r="D3611" s="84">
        <v>1.0</v>
      </c>
      <c r="E3611" s="84">
        <v>52.62</v>
      </c>
      <c r="F3611" s="76" t="s">
        <v>948</v>
      </c>
      <c r="G3611" s="83">
        <v>46113.0</v>
      </c>
      <c r="H3611" s="76" t="s">
        <v>957</v>
      </c>
    </row>
    <row r="3612">
      <c r="A3612" s="76" t="s">
        <v>33</v>
      </c>
      <c r="B3612" s="76" t="s">
        <v>1008</v>
      </c>
      <c r="C3612" s="84">
        <v>3.68</v>
      </c>
      <c r="D3612" s="84">
        <v>0.0</v>
      </c>
      <c r="E3612" s="84">
        <v>0.0</v>
      </c>
      <c r="F3612" s="76" t="s">
        <v>948</v>
      </c>
      <c r="G3612" s="83">
        <v>46113.0</v>
      </c>
      <c r="H3612" s="76" t="s">
        <v>958</v>
      </c>
    </row>
    <row r="3613">
      <c r="A3613" s="76" t="s">
        <v>33</v>
      </c>
      <c r="B3613" s="76" t="s">
        <v>1008</v>
      </c>
      <c r="C3613" s="84">
        <v>5.19</v>
      </c>
      <c r="D3613" s="84">
        <v>0.0</v>
      </c>
      <c r="E3613" s="84">
        <v>0.0</v>
      </c>
      <c r="F3613" s="76" t="s">
        <v>948</v>
      </c>
      <c r="G3613" s="83">
        <v>46113.0</v>
      </c>
      <c r="H3613" s="76" t="s">
        <v>959</v>
      </c>
    </row>
    <row r="3614">
      <c r="A3614" s="76" t="s">
        <v>46</v>
      </c>
      <c r="B3614" s="76" t="s">
        <v>1008</v>
      </c>
      <c r="C3614" s="84">
        <v>1.02</v>
      </c>
      <c r="D3614" s="84">
        <v>0.0</v>
      </c>
      <c r="E3614" s="84">
        <v>0.0</v>
      </c>
      <c r="F3614" s="76" t="s">
        <v>948</v>
      </c>
      <c r="G3614" s="83">
        <v>46113.0</v>
      </c>
      <c r="H3614" s="76" t="s">
        <v>960</v>
      </c>
    </row>
    <row r="3615">
      <c r="A3615" s="76" t="s">
        <v>46</v>
      </c>
      <c r="B3615" s="76" t="s">
        <v>1008</v>
      </c>
      <c r="C3615" s="84">
        <v>3.24</v>
      </c>
      <c r="D3615" s="84">
        <v>0.0</v>
      </c>
      <c r="E3615" s="84">
        <v>0.0</v>
      </c>
      <c r="F3615" s="76" t="s">
        <v>948</v>
      </c>
      <c r="G3615" s="83">
        <v>46113.0</v>
      </c>
      <c r="H3615" s="76" t="s">
        <v>961</v>
      </c>
    </row>
    <row r="3616">
      <c r="A3616" s="76" t="s">
        <v>46</v>
      </c>
      <c r="B3616" s="76" t="s">
        <v>1008</v>
      </c>
      <c r="C3616" s="84">
        <v>5.36</v>
      </c>
      <c r="D3616" s="84">
        <v>0.0</v>
      </c>
      <c r="E3616" s="84">
        <v>0.0</v>
      </c>
      <c r="F3616" s="76" t="s">
        <v>948</v>
      </c>
      <c r="G3616" s="83">
        <v>46113.0</v>
      </c>
      <c r="H3616" s="76" t="s">
        <v>962</v>
      </c>
    </row>
    <row r="3617">
      <c r="A3617" s="76" t="s">
        <v>43</v>
      </c>
      <c r="B3617" s="76" t="s">
        <v>1008</v>
      </c>
      <c r="C3617" s="84">
        <v>7.44</v>
      </c>
      <c r="D3617" s="84">
        <v>0.0</v>
      </c>
      <c r="E3617" s="84">
        <v>0.0</v>
      </c>
      <c r="F3617" s="76" t="s">
        <v>948</v>
      </c>
      <c r="G3617" s="83">
        <v>46113.0</v>
      </c>
      <c r="H3617" s="76" t="s">
        <v>963</v>
      </c>
    </row>
    <row r="3618">
      <c r="A3618" s="76" t="s">
        <v>43</v>
      </c>
      <c r="B3618" s="76" t="s">
        <v>1008</v>
      </c>
      <c r="C3618" s="84">
        <v>3.15</v>
      </c>
      <c r="D3618" s="84">
        <v>0.0</v>
      </c>
      <c r="E3618" s="84">
        <v>0.0</v>
      </c>
      <c r="F3618" s="76" t="s">
        <v>948</v>
      </c>
      <c r="G3618" s="83">
        <v>46113.0</v>
      </c>
      <c r="H3618" s="76" t="s">
        <v>964</v>
      </c>
    </row>
    <row r="3619">
      <c r="A3619" s="76" t="s">
        <v>43</v>
      </c>
      <c r="B3619" s="76" t="s">
        <v>1008</v>
      </c>
      <c r="C3619" s="84">
        <v>22.7</v>
      </c>
      <c r="D3619" s="84">
        <v>0.0</v>
      </c>
      <c r="E3619" s="84">
        <v>0.0</v>
      </c>
      <c r="F3619" s="76" t="s">
        <v>948</v>
      </c>
      <c r="G3619" s="83">
        <v>46113.0</v>
      </c>
      <c r="H3619" s="76" t="s">
        <v>965</v>
      </c>
    </row>
    <row r="3620">
      <c r="A3620" s="76" t="s">
        <v>966</v>
      </c>
      <c r="B3620" s="76" t="s">
        <v>1008</v>
      </c>
      <c r="C3620" s="84">
        <v>41.51</v>
      </c>
      <c r="D3620" s="84">
        <v>1.0</v>
      </c>
      <c r="E3620" s="84">
        <v>41.51</v>
      </c>
      <c r="F3620" s="76" t="s">
        <v>948</v>
      </c>
      <c r="G3620" s="83">
        <v>46113.0</v>
      </c>
      <c r="H3620" s="76" t="s">
        <v>967</v>
      </c>
    </row>
    <row r="3621">
      <c r="A3621" s="76" t="s">
        <v>966</v>
      </c>
      <c r="B3621" s="76" t="s">
        <v>1008</v>
      </c>
      <c r="C3621" s="84">
        <v>2.55</v>
      </c>
      <c r="D3621" s="84">
        <v>0.0</v>
      </c>
      <c r="E3621" s="84">
        <v>0.0</v>
      </c>
      <c r="F3621" s="76" t="s">
        <v>948</v>
      </c>
      <c r="G3621" s="83">
        <v>46113.0</v>
      </c>
      <c r="H3621" s="76" t="s">
        <v>968</v>
      </c>
    </row>
    <row r="3622">
      <c r="A3622" s="76" t="s">
        <v>966</v>
      </c>
      <c r="B3622" s="76" t="s">
        <v>1008</v>
      </c>
      <c r="C3622" s="84">
        <v>30.58</v>
      </c>
      <c r="D3622" s="84">
        <v>0.0</v>
      </c>
      <c r="E3622" s="84">
        <v>0.0</v>
      </c>
      <c r="F3622" s="76" t="s">
        <v>948</v>
      </c>
      <c r="G3622" s="83">
        <v>46113.0</v>
      </c>
      <c r="H3622" s="76" t="s">
        <v>969</v>
      </c>
    </row>
    <row r="3623">
      <c r="A3623" s="76" t="s">
        <v>36</v>
      </c>
      <c r="B3623" s="76" t="s">
        <v>1008</v>
      </c>
      <c r="C3623" s="84">
        <v>24.5</v>
      </c>
      <c r="D3623" s="84">
        <v>0.0</v>
      </c>
      <c r="E3623" s="84">
        <v>0.0</v>
      </c>
      <c r="F3623" s="76" t="s">
        <v>948</v>
      </c>
      <c r="G3623" s="83">
        <v>46113.0</v>
      </c>
      <c r="H3623" s="76" t="s">
        <v>926</v>
      </c>
    </row>
    <row r="3624">
      <c r="A3624" s="76" t="s">
        <v>36</v>
      </c>
      <c r="B3624" s="76" t="s">
        <v>1008</v>
      </c>
      <c r="C3624" s="84">
        <v>9.72</v>
      </c>
      <c r="D3624" s="84">
        <v>0.0</v>
      </c>
      <c r="E3624" s="84">
        <v>0.0</v>
      </c>
      <c r="F3624" s="76" t="s">
        <v>948</v>
      </c>
      <c r="G3624" s="83">
        <v>46113.0</v>
      </c>
      <c r="H3624" s="76" t="s">
        <v>927</v>
      </c>
    </row>
    <row r="3625">
      <c r="A3625" s="76" t="s">
        <v>36</v>
      </c>
      <c r="B3625" s="76" t="s">
        <v>1008</v>
      </c>
      <c r="C3625" s="84">
        <v>7.1</v>
      </c>
      <c r="D3625" s="84">
        <v>0.0</v>
      </c>
      <c r="E3625" s="84">
        <v>0.0</v>
      </c>
      <c r="F3625" s="76" t="s">
        <v>948</v>
      </c>
      <c r="G3625" s="83">
        <v>46113.0</v>
      </c>
      <c r="H3625" s="76" t="s">
        <v>928</v>
      </c>
    </row>
    <row r="3626">
      <c r="A3626" s="76" t="s">
        <v>970</v>
      </c>
      <c r="B3626" s="76" t="s">
        <v>1008</v>
      </c>
      <c r="C3626" s="84">
        <v>33.84</v>
      </c>
      <c r="D3626" s="84">
        <v>0.0</v>
      </c>
      <c r="E3626" s="84">
        <v>0.0</v>
      </c>
      <c r="F3626" s="76" t="s">
        <v>948</v>
      </c>
      <c r="G3626" s="83">
        <v>46113.0</v>
      </c>
      <c r="H3626" s="76" t="s">
        <v>971</v>
      </c>
    </row>
    <row r="3627">
      <c r="A3627" s="76" t="s">
        <v>970</v>
      </c>
      <c r="B3627" s="76" t="s">
        <v>1008</v>
      </c>
      <c r="C3627" s="84">
        <v>1.25</v>
      </c>
      <c r="D3627" s="84">
        <v>0.0</v>
      </c>
      <c r="E3627" s="84">
        <v>0.0</v>
      </c>
      <c r="F3627" s="76" t="s">
        <v>948</v>
      </c>
      <c r="G3627" s="83">
        <v>46113.0</v>
      </c>
      <c r="H3627" s="76" t="s">
        <v>972</v>
      </c>
    </row>
    <row r="3628">
      <c r="A3628" s="76" t="s">
        <v>970</v>
      </c>
      <c r="B3628" s="76" t="s">
        <v>1008</v>
      </c>
      <c r="C3628" s="84">
        <v>32.54</v>
      </c>
      <c r="D3628" s="84">
        <v>0.0</v>
      </c>
      <c r="E3628" s="84">
        <v>0.0</v>
      </c>
      <c r="F3628" s="76" t="s">
        <v>948</v>
      </c>
      <c r="G3628" s="83">
        <v>46113.0</v>
      </c>
      <c r="H3628" s="76" t="s">
        <v>973</v>
      </c>
    </row>
    <row r="3629">
      <c r="A3629" s="76" t="s">
        <v>29</v>
      </c>
      <c r="B3629" s="76" t="s">
        <v>1008</v>
      </c>
      <c r="C3629" s="84">
        <v>10.01</v>
      </c>
      <c r="D3629" s="84">
        <v>0.0</v>
      </c>
      <c r="E3629" s="84">
        <v>0.0</v>
      </c>
      <c r="F3629" s="76" t="s">
        <v>948</v>
      </c>
      <c r="G3629" s="83">
        <v>46113.0</v>
      </c>
      <c r="H3629" s="76" t="s">
        <v>971</v>
      </c>
    </row>
    <row r="3630">
      <c r="A3630" s="76" t="s">
        <v>29</v>
      </c>
      <c r="B3630" s="76" t="s">
        <v>1008</v>
      </c>
      <c r="C3630" s="84">
        <v>0.98</v>
      </c>
      <c r="D3630" s="84">
        <v>0.0</v>
      </c>
      <c r="E3630" s="84">
        <v>0.0</v>
      </c>
      <c r="F3630" s="76" t="s">
        <v>948</v>
      </c>
      <c r="G3630" s="83">
        <v>46113.0</v>
      </c>
      <c r="H3630" s="76" t="s">
        <v>972</v>
      </c>
    </row>
    <row r="3631">
      <c r="A3631" s="76" t="s">
        <v>29</v>
      </c>
      <c r="B3631" s="76" t="s">
        <v>1008</v>
      </c>
      <c r="C3631" s="84">
        <v>40.68</v>
      </c>
      <c r="D3631" s="84">
        <v>3.0</v>
      </c>
      <c r="E3631" s="84">
        <v>13.56</v>
      </c>
      <c r="F3631" s="76" t="s">
        <v>948</v>
      </c>
      <c r="G3631" s="83">
        <v>46113.0</v>
      </c>
      <c r="H3631" s="76" t="s">
        <v>973</v>
      </c>
    </row>
    <row r="3632">
      <c r="A3632" s="76" t="s">
        <v>36</v>
      </c>
      <c r="B3632" s="76" t="s">
        <v>1021</v>
      </c>
      <c r="C3632" s="84">
        <v>10.18</v>
      </c>
      <c r="D3632" s="84">
        <v>0.0</v>
      </c>
      <c r="E3632" s="84">
        <v>0.0</v>
      </c>
      <c r="F3632" s="76" t="s">
        <v>950</v>
      </c>
      <c r="G3632" s="83">
        <v>46113.0</v>
      </c>
      <c r="H3632" s="76" t="s">
        <v>926</v>
      </c>
    </row>
    <row r="3633">
      <c r="A3633" s="76" t="s">
        <v>36</v>
      </c>
      <c r="B3633" s="76" t="s">
        <v>1021</v>
      </c>
      <c r="C3633" s="84">
        <v>5.01</v>
      </c>
      <c r="D3633" s="84">
        <v>0.0</v>
      </c>
      <c r="E3633" s="84">
        <v>0.0</v>
      </c>
      <c r="F3633" s="76" t="s">
        <v>950</v>
      </c>
      <c r="G3633" s="83">
        <v>46113.0</v>
      </c>
      <c r="H3633" s="76" t="s">
        <v>927</v>
      </c>
    </row>
    <row r="3634">
      <c r="A3634" s="76" t="s">
        <v>36</v>
      </c>
      <c r="B3634" s="76" t="s">
        <v>1021</v>
      </c>
      <c r="C3634" s="84">
        <v>5.46</v>
      </c>
      <c r="D3634" s="84">
        <v>0.0</v>
      </c>
      <c r="E3634" s="84">
        <v>0.0</v>
      </c>
      <c r="F3634" s="76" t="s">
        <v>950</v>
      </c>
      <c r="G3634" s="83">
        <v>46113.0</v>
      </c>
      <c r="H3634" s="76" t="s">
        <v>928</v>
      </c>
    </row>
    <row r="3635">
      <c r="A3635" s="76" t="s">
        <v>31</v>
      </c>
      <c r="B3635" s="76" t="s">
        <v>1021</v>
      </c>
      <c r="C3635" s="84">
        <v>8.91</v>
      </c>
      <c r="D3635" s="84">
        <v>0.0</v>
      </c>
      <c r="E3635" s="84">
        <v>0.0</v>
      </c>
      <c r="F3635" s="76" t="s">
        <v>950</v>
      </c>
      <c r="G3635" s="83">
        <v>46113.0</v>
      </c>
      <c r="H3635" s="76" t="s">
        <v>929</v>
      </c>
    </row>
    <row r="3636">
      <c r="A3636" s="76" t="s">
        <v>31</v>
      </c>
      <c r="B3636" s="76" t="s">
        <v>1021</v>
      </c>
      <c r="C3636" s="84">
        <v>72.23</v>
      </c>
      <c r="D3636" s="84">
        <v>1.0</v>
      </c>
      <c r="E3636" s="84">
        <v>72.23</v>
      </c>
      <c r="F3636" s="76" t="s">
        <v>950</v>
      </c>
      <c r="G3636" s="83">
        <v>46113.0</v>
      </c>
      <c r="H3636" s="76" t="s">
        <v>930</v>
      </c>
    </row>
    <row r="3637">
      <c r="A3637" s="76" t="s">
        <v>28</v>
      </c>
      <c r="B3637" s="76" t="s">
        <v>1021</v>
      </c>
      <c r="C3637" s="84">
        <v>1.89</v>
      </c>
      <c r="D3637" s="84">
        <v>0.0</v>
      </c>
      <c r="E3637" s="84">
        <v>0.0</v>
      </c>
      <c r="F3637" s="76" t="s">
        <v>950</v>
      </c>
      <c r="G3637" s="83">
        <v>46113.0</v>
      </c>
      <c r="H3637" s="76" t="s">
        <v>931</v>
      </c>
    </row>
    <row r="3638">
      <c r="A3638" s="76" t="s">
        <v>28</v>
      </c>
      <c r="B3638" s="76" t="s">
        <v>1021</v>
      </c>
      <c r="C3638" s="84">
        <v>3.46</v>
      </c>
      <c r="D3638" s="84">
        <v>0.0</v>
      </c>
      <c r="E3638" s="84">
        <v>0.0</v>
      </c>
      <c r="F3638" s="76" t="s">
        <v>950</v>
      </c>
      <c r="G3638" s="83">
        <v>46113.0</v>
      </c>
      <c r="H3638" s="76" t="s">
        <v>932</v>
      </c>
    </row>
    <row r="3639">
      <c r="A3639" s="76" t="s">
        <v>28</v>
      </c>
      <c r="B3639" s="76" t="s">
        <v>1021</v>
      </c>
      <c r="C3639" s="84">
        <v>29.36</v>
      </c>
      <c r="D3639" s="84">
        <v>0.0</v>
      </c>
      <c r="E3639" s="84">
        <v>0.0</v>
      </c>
      <c r="F3639" s="76" t="s">
        <v>950</v>
      </c>
      <c r="G3639" s="83">
        <v>46113.0</v>
      </c>
      <c r="H3639" s="76" t="s">
        <v>933</v>
      </c>
    </row>
    <row r="3640">
      <c r="A3640" s="76" t="s">
        <v>42</v>
      </c>
      <c r="B3640" s="76" t="s">
        <v>1021</v>
      </c>
      <c r="C3640" s="84">
        <v>1.42</v>
      </c>
      <c r="D3640" s="84">
        <v>0.0</v>
      </c>
      <c r="E3640" s="84">
        <v>0.0</v>
      </c>
      <c r="F3640" s="76" t="s">
        <v>950</v>
      </c>
      <c r="G3640" s="83">
        <v>46113.0</v>
      </c>
      <c r="H3640" s="76" t="s">
        <v>991</v>
      </c>
    </row>
    <row r="3641">
      <c r="A3641" s="76" t="s">
        <v>42</v>
      </c>
      <c r="B3641" s="76" t="s">
        <v>1021</v>
      </c>
      <c r="C3641" s="84">
        <v>17.16</v>
      </c>
      <c r="D3641" s="84">
        <v>0.0</v>
      </c>
      <c r="E3641" s="84">
        <v>0.0</v>
      </c>
      <c r="F3641" s="76" t="s">
        <v>950</v>
      </c>
      <c r="G3641" s="83">
        <v>46113.0</v>
      </c>
      <c r="H3641" s="76" t="s">
        <v>935</v>
      </c>
    </row>
    <row r="3642">
      <c r="A3642" s="76" t="s">
        <v>45</v>
      </c>
      <c r="B3642" s="76" t="s">
        <v>1021</v>
      </c>
      <c r="C3642" s="84">
        <v>3.48</v>
      </c>
      <c r="D3642" s="84">
        <v>0.0</v>
      </c>
      <c r="E3642" s="84">
        <v>0.0</v>
      </c>
      <c r="F3642" s="76" t="s">
        <v>950</v>
      </c>
      <c r="G3642" s="83">
        <v>46113.0</v>
      </c>
      <c r="H3642" s="76" t="s">
        <v>936</v>
      </c>
    </row>
    <row r="3643">
      <c r="A3643" s="76" t="s">
        <v>45</v>
      </c>
      <c r="B3643" s="76" t="s">
        <v>1021</v>
      </c>
      <c r="C3643" s="84">
        <v>2.32</v>
      </c>
      <c r="D3643" s="84">
        <v>0.0</v>
      </c>
      <c r="E3643" s="84">
        <v>0.0</v>
      </c>
      <c r="F3643" s="76" t="s">
        <v>950</v>
      </c>
      <c r="G3643" s="83">
        <v>46113.0</v>
      </c>
      <c r="H3643" s="76" t="s">
        <v>937</v>
      </c>
    </row>
    <row r="3644">
      <c r="A3644" s="76" t="s">
        <v>45</v>
      </c>
      <c r="B3644" s="76" t="s">
        <v>1021</v>
      </c>
      <c r="C3644" s="84">
        <v>6.05</v>
      </c>
      <c r="D3644" s="84">
        <v>0.0</v>
      </c>
      <c r="E3644" s="84">
        <v>0.0</v>
      </c>
      <c r="F3644" s="76" t="s">
        <v>950</v>
      </c>
      <c r="G3644" s="83">
        <v>46113.0</v>
      </c>
      <c r="H3644" s="76" t="s">
        <v>938</v>
      </c>
    </row>
    <row r="3645">
      <c r="A3645" s="76" t="s">
        <v>50</v>
      </c>
      <c r="B3645" s="76" t="s">
        <v>1021</v>
      </c>
      <c r="C3645" s="84">
        <v>8.04</v>
      </c>
      <c r="D3645" s="84">
        <v>0.0</v>
      </c>
      <c r="E3645" s="84">
        <v>0.0</v>
      </c>
      <c r="F3645" s="76" t="s">
        <v>950</v>
      </c>
      <c r="G3645" s="83">
        <v>46113.0</v>
      </c>
      <c r="H3645" s="76" t="s">
        <v>939</v>
      </c>
    </row>
    <row r="3646">
      <c r="A3646" s="76" t="s">
        <v>50</v>
      </c>
      <c r="B3646" s="76" t="s">
        <v>1021</v>
      </c>
      <c r="C3646" s="84">
        <v>6.44</v>
      </c>
      <c r="D3646" s="84">
        <v>0.0</v>
      </c>
      <c r="E3646" s="84">
        <v>0.0</v>
      </c>
      <c r="F3646" s="76" t="s">
        <v>950</v>
      </c>
      <c r="G3646" s="83">
        <v>46113.0</v>
      </c>
      <c r="H3646" s="76" t="s">
        <v>940</v>
      </c>
    </row>
    <row r="3647">
      <c r="A3647" s="76" t="s">
        <v>32</v>
      </c>
      <c r="B3647" s="76" t="s">
        <v>1021</v>
      </c>
      <c r="C3647" s="84">
        <v>14.12</v>
      </c>
      <c r="D3647" s="84">
        <v>0.0</v>
      </c>
      <c r="E3647" s="84">
        <v>0.0</v>
      </c>
      <c r="F3647" s="76" t="s">
        <v>950</v>
      </c>
      <c r="G3647" s="83">
        <v>46113.0</v>
      </c>
      <c r="H3647" s="76" t="s">
        <v>941</v>
      </c>
    </row>
    <row r="3648">
      <c r="A3648" s="76" t="s">
        <v>32</v>
      </c>
      <c r="B3648" s="76" t="s">
        <v>1021</v>
      </c>
      <c r="C3648" s="84">
        <v>5.45</v>
      </c>
      <c r="D3648" s="84">
        <v>0.0</v>
      </c>
      <c r="E3648" s="84">
        <v>0.0</v>
      </c>
      <c r="F3648" s="76" t="s">
        <v>950</v>
      </c>
      <c r="G3648" s="83">
        <v>46113.0</v>
      </c>
      <c r="H3648" s="76" t="s">
        <v>942</v>
      </c>
    </row>
    <row r="3649">
      <c r="A3649" s="76" t="s">
        <v>32</v>
      </c>
      <c r="B3649" s="76" t="s">
        <v>1021</v>
      </c>
      <c r="C3649" s="84">
        <v>12.55</v>
      </c>
      <c r="D3649" s="84">
        <v>0.0</v>
      </c>
      <c r="E3649" s="84">
        <v>0.0</v>
      </c>
      <c r="F3649" s="76" t="s">
        <v>950</v>
      </c>
      <c r="G3649" s="83">
        <v>46113.0</v>
      </c>
      <c r="H3649" s="76" t="s">
        <v>943</v>
      </c>
    </row>
    <row r="3650">
      <c r="A3650" s="76" t="s">
        <v>944</v>
      </c>
      <c r="B3650" s="76" t="s">
        <v>1021</v>
      </c>
      <c r="C3650" s="84">
        <v>12.86</v>
      </c>
      <c r="D3650" s="84">
        <v>0.0</v>
      </c>
      <c r="E3650" s="84">
        <v>0.0</v>
      </c>
      <c r="F3650" s="76" t="s">
        <v>950</v>
      </c>
      <c r="G3650" s="83">
        <v>46113.0</v>
      </c>
      <c r="H3650" s="76" t="s">
        <v>945</v>
      </c>
    </row>
    <row r="3651">
      <c r="A3651" s="76" t="s">
        <v>944</v>
      </c>
      <c r="B3651" s="76" t="s">
        <v>1021</v>
      </c>
      <c r="C3651" s="84">
        <v>1.94</v>
      </c>
      <c r="D3651" s="84">
        <v>0.0</v>
      </c>
      <c r="E3651" s="84">
        <v>0.0</v>
      </c>
      <c r="F3651" s="76" t="s">
        <v>950</v>
      </c>
      <c r="G3651" s="83">
        <v>46113.0</v>
      </c>
      <c r="H3651" s="76" t="s">
        <v>946</v>
      </c>
    </row>
    <row r="3652">
      <c r="A3652" s="76" t="s">
        <v>944</v>
      </c>
      <c r="B3652" s="76" t="s">
        <v>1021</v>
      </c>
      <c r="C3652" s="84">
        <v>5.16</v>
      </c>
      <c r="D3652" s="84">
        <v>0.0</v>
      </c>
      <c r="E3652" s="84">
        <v>0.0</v>
      </c>
      <c r="F3652" s="76" t="s">
        <v>950</v>
      </c>
      <c r="G3652" s="83">
        <v>46113.0</v>
      </c>
      <c r="H3652" s="76" t="s">
        <v>947</v>
      </c>
    </row>
    <row r="3653">
      <c r="A3653" s="76" t="s">
        <v>26</v>
      </c>
      <c r="B3653" s="76" t="s">
        <v>1021</v>
      </c>
      <c r="C3653" s="84">
        <v>4.04</v>
      </c>
      <c r="D3653" s="84">
        <v>0.0</v>
      </c>
      <c r="E3653" s="84">
        <v>0.0</v>
      </c>
      <c r="F3653" s="76" t="s">
        <v>950</v>
      </c>
      <c r="G3653" s="83">
        <v>46113.0</v>
      </c>
      <c r="H3653" s="76" t="s">
        <v>1012</v>
      </c>
    </row>
    <row r="3654">
      <c r="A3654" s="76" t="s">
        <v>26</v>
      </c>
      <c r="B3654" s="76" t="s">
        <v>1021</v>
      </c>
      <c r="C3654" s="84">
        <v>8.83</v>
      </c>
      <c r="D3654" s="84">
        <v>0.0</v>
      </c>
      <c r="E3654" s="84">
        <v>0.0</v>
      </c>
      <c r="F3654" s="76" t="s">
        <v>950</v>
      </c>
      <c r="G3654" s="83">
        <v>46113.0</v>
      </c>
      <c r="H3654" s="76" t="s">
        <v>1013</v>
      </c>
    </row>
    <row r="3655">
      <c r="A3655" s="76" t="s">
        <v>26</v>
      </c>
      <c r="B3655" s="76" t="s">
        <v>1021</v>
      </c>
      <c r="C3655" s="84">
        <v>7.79</v>
      </c>
      <c r="D3655" s="84">
        <v>0.0</v>
      </c>
      <c r="E3655" s="84">
        <v>0.0</v>
      </c>
      <c r="F3655" s="76" t="s">
        <v>950</v>
      </c>
      <c r="G3655" s="83">
        <v>46113.0</v>
      </c>
      <c r="H3655" s="76" t="s">
        <v>1014</v>
      </c>
    </row>
    <row r="3656">
      <c r="A3656" s="76" t="s">
        <v>36</v>
      </c>
      <c r="B3656" s="76" t="s">
        <v>1021</v>
      </c>
      <c r="C3656" s="84">
        <v>3.81</v>
      </c>
      <c r="D3656" s="84">
        <v>0.0</v>
      </c>
      <c r="E3656" s="84">
        <v>0.0</v>
      </c>
      <c r="F3656" s="76" t="s">
        <v>974</v>
      </c>
      <c r="G3656" s="83">
        <v>46113.0</v>
      </c>
      <c r="H3656" s="76" t="s">
        <v>926</v>
      </c>
    </row>
    <row r="3657">
      <c r="A3657" s="76" t="s">
        <v>36</v>
      </c>
      <c r="B3657" s="76" t="s">
        <v>1021</v>
      </c>
      <c r="C3657" s="84">
        <v>2.19</v>
      </c>
      <c r="D3657" s="84">
        <v>0.0</v>
      </c>
      <c r="E3657" s="84">
        <v>0.0</v>
      </c>
      <c r="F3657" s="76" t="s">
        <v>974</v>
      </c>
      <c r="G3657" s="83">
        <v>46113.0</v>
      </c>
      <c r="H3657" s="76" t="s">
        <v>927</v>
      </c>
    </row>
    <row r="3658">
      <c r="A3658" s="76" t="s">
        <v>36</v>
      </c>
      <c r="B3658" s="76" t="s">
        <v>1021</v>
      </c>
      <c r="C3658" s="84">
        <v>2.28</v>
      </c>
      <c r="D3658" s="84">
        <v>0.0</v>
      </c>
      <c r="E3658" s="84">
        <v>0.0</v>
      </c>
      <c r="F3658" s="76" t="s">
        <v>974</v>
      </c>
      <c r="G3658" s="83">
        <v>46113.0</v>
      </c>
      <c r="H3658" s="76" t="s">
        <v>928</v>
      </c>
    </row>
    <row r="3659">
      <c r="A3659" s="76" t="s">
        <v>31</v>
      </c>
      <c r="B3659" s="76" t="s">
        <v>1021</v>
      </c>
      <c r="C3659" s="84">
        <v>3.86</v>
      </c>
      <c r="D3659" s="84">
        <v>0.0</v>
      </c>
      <c r="E3659" s="84">
        <v>0.0</v>
      </c>
      <c r="F3659" s="76" t="s">
        <v>974</v>
      </c>
      <c r="G3659" s="83">
        <v>46113.0</v>
      </c>
      <c r="H3659" s="76" t="s">
        <v>929</v>
      </c>
    </row>
    <row r="3660">
      <c r="A3660" s="76" t="s">
        <v>31</v>
      </c>
      <c r="B3660" s="76" t="s">
        <v>1021</v>
      </c>
      <c r="C3660" s="84">
        <v>28.39</v>
      </c>
      <c r="D3660" s="84">
        <v>0.0</v>
      </c>
      <c r="E3660" s="84">
        <v>0.0</v>
      </c>
      <c r="F3660" s="76" t="s">
        <v>974</v>
      </c>
      <c r="G3660" s="83">
        <v>46113.0</v>
      </c>
      <c r="H3660" s="76" t="s">
        <v>930</v>
      </c>
    </row>
    <row r="3661">
      <c r="A3661" s="76" t="s">
        <v>28</v>
      </c>
      <c r="B3661" s="76" t="s">
        <v>1021</v>
      </c>
      <c r="C3661" s="84">
        <v>0.77</v>
      </c>
      <c r="D3661" s="84">
        <v>0.0</v>
      </c>
      <c r="E3661" s="84">
        <v>0.0</v>
      </c>
      <c r="F3661" s="76" t="s">
        <v>974</v>
      </c>
      <c r="G3661" s="83">
        <v>46113.0</v>
      </c>
      <c r="H3661" s="76" t="s">
        <v>931</v>
      </c>
    </row>
    <row r="3662">
      <c r="A3662" s="76" t="s">
        <v>28</v>
      </c>
      <c r="B3662" s="76" t="s">
        <v>1021</v>
      </c>
      <c r="C3662" s="84">
        <v>1.38</v>
      </c>
      <c r="D3662" s="84">
        <v>0.0</v>
      </c>
      <c r="E3662" s="84">
        <v>0.0</v>
      </c>
      <c r="F3662" s="76" t="s">
        <v>974</v>
      </c>
      <c r="G3662" s="83">
        <v>46113.0</v>
      </c>
      <c r="H3662" s="76" t="s">
        <v>932</v>
      </c>
    </row>
    <row r="3663">
      <c r="A3663" s="76" t="s">
        <v>28</v>
      </c>
      <c r="B3663" s="76" t="s">
        <v>1021</v>
      </c>
      <c r="C3663" s="84">
        <v>10.56</v>
      </c>
      <c r="D3663" s="84">
        <v>1.0</v>
      </c>
      <c r="E3663" s="84">
        <v>10.56</v>
      </c>
      <c r="F3663" s="76" t="s">
        <v>974</v>
      </c>
      <c r="G3663" s="83">
        <v>46113.0</v>
      </c>
      <c r="H3663" s="76" t="s">
        <v>933</v>
      </c>
    </row>
    <row r="3664">
      <c r="A3664" s="76" t="s">
        <v>42</v>
      </c>
      <c r="B3664" s="76" t="s">
        <v>1021</v>
      </c>
      <c r="C3664" s="84">
        <v>0.58</v>
      </c>
      <c r="D3664" s="84">
        <v>0.0</v>
      </c>
      <c r="E3664" s="84">
        <v>0.0</v>
      </c>
      <c r="F3664" s="76" t="s">
        <v>974</v>
      </c>
      <c r="G3664" s="83">
        <v>46113.0</v>
      </c>
      <c r="H3664" s="76" t="s">
        <v>991</v>
      </c>
    </row>
    <row r="3665">
      <c r="A3665" s="76" t="s">
        <v>42</v>
      </c>
      <c r="B3665" s="76" t="s">
        <v>1021</v>
      </c>
      <c r="C3665" s="84">
        <v>7.28</v>
      </c>
      <c r="D3665" s="84">
        <v>0.0</v>
      </c>
      <c r="E3665" s="84">
        <v>0.0</v>
      </c>
      <c r="F3665" s="76" t="s">
        <v>974</v>
      </c>
      <c r="G3665" s="83">
        <v>46113.0</v>
      </c>
      <c r="H3665" s="76" t="s">
        <v>935</v>
      </c>
    </row>
    <row r="3666">
      <c r="A3666" s="76" t="s">
        <v>45</v>
      </c>
      <c r="B3666" s="76" t="s">
        <v>1021</v>
      </c>
      <c r="C3666" s="84">
        <v>1.23</v>
      </c>
      <c r="D3666" s="84">
        <v>0.0</v>
      </c>
      <c r="E3666" s="84">
        <v>0.0</v>
      </c>
      <c r="F3666" s="76" t="s">
        <v>974</v>
      </c>
      <c r="G3666" s="83">
        <v>46113.0</v>
      </c>
      <c r="H3666" s="76" t="s">
        <v>936</v>
      </c>
    </row>
    <row r="3667">
      <c r="A3667" s="76" t="s">
        <v>45</v>
      </c>
      <c r="B3667" s="76" t="s">
        <v>1021</v>
      </c>
      <c r="C3667" s="84">
        <v>0.98</v>
      </c>
      <c r="D3667" s="84">
        <v>0.0</v>
      </c>
      <c r="E3667" s="84">
        <v>0.0</v>
      </c>
      <c r="F3667" s="76" t="s">
        <v>974</v>
      </c>
      <c r="G3667" s="83">
        <v>46113.0</v>
      </c>
      <c r="H3667" s="76" t="s">
        <v>937</v>
      </c>
    </row>
    <row r="3668">
      <c r="A3668" s="76" t="s">
        <v>45</v>
      </c>
      <c r="B3668" s="76" t="s">
        <v>1021</v>
      </c>
      <c r="C3668" s="84">
        <v>2.73</v>
      </c>
      <c r="D3668" s="84">
        <v>0.0</v>
      </c>
      <c r="E3668" s="84">
        <v>0.0</v>
      </c>
      <c r="F3668" s="76" t="s">
        <v>974</v>
      </c>
      <c r="G3668" s="83">
        <v>46113.0</v>
      </c>
      <c r="H3668" s="76" t="s">
        <v>938</v>
      </c>
    </row>
    <row r="3669">
      <c r="A3669" s="76" t="s">
        <v>50</v>
      </c>
      <c r="B3669" s="76" t="s">
        <v>1021</v>
      </c>
      <c r="C3669" s="84">
        <v>3.26</v>
      </c>
      <c r="D3669" s="84">
        <v>0.0</v>
      </c>
      <c r="E3669" s="84">
        <v>0.0</v>
      </c>
      <c r="F3669" s="76" t="s">
        <v>974</v>
      </c>
      <c r="G3669" s="83">
        <v>46113.0</v>
      </c>
      <c r="H3669" s="76" t="s">
        <v>939</v>
      </c>
    </row>
    <row r="3670">
      <c r="A3670" s="76" t="s">
        <v>50</v>
      </c>
      <c r="B3670" s="76" t="s">
        <v>1021</v>
      </c>
      <c r="C3670" s="84">
        <v>2.56</v>
      </c>
      <c r="D3670" s="84">
        <v>0.0</v>
      </c>
      <c r="E3670" s="84">
        <v>0.0</v>
      </c>
      <c r="F3670" s="76" t="s">
        <v>974</v>
      </c>
      <c r="G3670" s="83">
        <v>46113.0</v>
      </c>
      <c r="H3670" s="76" t="s">
        <v>940</v>
      </c>
    </row>
    <row r="3671">
      <c r="A3671" s="76" t="s">
        <v>32</v>
      </c>
      <c r="B3671" s="76" t="s">
        <v>1021</v>
      </c>
      <c r="C3671" s="84">
        <v>5.43</v>
      </c>
      <c r="D3671" s="84">
        <v>0.0</v>
      </c>
      <c r="E3671" s="84">
        <v>0.0</v>
      </c>
      <c r="F3671" s="76" t="s">
        <v>974</v>
      </c>
      <c r="G3671" s="83">
        <v>46113.0</v>
      </c>
      <c r="H3671" s="76" t="s">
        <v>941</v>
      </c>
    </row>
    <row r="3672">
      <c r="A3672" s="76" t="s">
        <v>32</v>
      </c>
      <c r="B3672" s="76" t="s">
        <v>1021</v>
      </c>
      <c r="C3672" s="84">
        <v>1.94</v>
      </c>
      <c r="D3672" s="84">
        <v>0.0</v>
      </c>
      <c r="E3672" s="84">
        <v>0.0</v>
      </c>
      <c r="F3672" s="76" t="s">
        <v>974</v>
      </c>
      <c r="G3672" s="83">
        <v>46113.0</v>
      </c>
      <c r="H3672" s="76" t="s">
        <v>942</v>
      </c>
    </row>
    <row r="3673">
      <c r="A3673" s="76" t="s">
        <v>32</v>
      </c>
      <c r="B3673" s="76" t="s">
        <v>1021</v>
      </c>
      <c r="C3673" s="84">
        <v>5.15</v>
      </c>
      <c r="D3673" s="84">
        <v>0.0</v>
      </c>
      <c r="E3673" s="84">
        <v>0.0</v>
      </c>
      <c r="F3673" s="76" t="s">
        <v>974</v>
      </c>
      <c r="G3673" s="83">
        <v>46113.0</v>
      </c>
      <c r="H3673" s="76" t="s">
        <v>943</v>
      </c>
    </row>
    <row r="3674">
      <c r="A3674" s="76" t="s">
        <v>944</v>
      </c>
      <c r="B3674" s="76" t="s">
        <v>1021</v>
      </c>
      <c r="C3674" s="84">
        <v>6.14</v>
      </c>
      <c r="D3674" s="84">
        <v>0.0</v>
      </c>
      <c r="E3674" s="84">
        <v>0.0</v>
      </c>
      <c r="F3674" s="76" t="s">
        <v>974</v>
      </c>
      <c r="G3674" s="83">
        <v>46113.0</v>
      </c>
      <c r="H3674" s="76" t="s">
        <v>945</v>
      </c>
    </row>
    <row r="3675">
      <c r="A3675" s="76" t="s">
        <v>944</v>
      </c>
      <c r="B3675" s="76" t="s">
        <v>1021</v>
      </c>
      <c r="C3675" s="84">
        <v>0.75</v>
      </c>
      <c r="D3675" s="84">
        <v>0.0</v>
      </c>
      <c r="E3675" s="84">
        <v>0.0</v>
      </c>
      <c r="F3675" s="76" t="s">
        <v>974</v>
      </c>
      <c r="G3675" s="83">
        <v>46113.0</v>
      </c>
      <c r="H3675" s="76" t="s">
        <v>946</v>
      </c>
    </row>
    <row r="3676">
      <c r="A3676" s="76" t="s">
        <v>944</v>
      </c>
      <c r="B3676" s="76" t="s">
        <v>1021</v>
      </c>
      <c r="C3676" s="84">
        <v>1.95</v>
      </c>
      <c r="D3676" s="84">
        <v>1.0</v>
      </c>
      <c r="E3676" s="84">
        <v>1.95</v>
      </c>
      <c r="F3676" s="76" t="s">
        <v>974</v>
      </c>
      <c r="G3676" s="83">
        <v>46113.0</v>
      </c>
      <c r="H3676" s="76" t="s">
        <v>947</v>
      </c>
    </row>
    <row r="3677">
      <c r="A3677" s="76" t="s">
        <v>26</v>
      </c>
      <c r="B3677" s="76" t="s">
        <v>1021</v>
      </c>
      <c r="C3677" s="84">
        <v>2.08</v>
      </c>
      <c r="D3677" s="84">
        <v>0.0</v>
      </c>
      <c r="E3677" s="84">
        <v>0.0</v>
      </c>
      <c r="F3677" s="76" t="s">
        <v>974</v>
      </c>
      <c r="G3677" s="83">
        <v>46113.0</v>
      </c>
      <c r="H3677" s="76" t="s">
        <v>1012</v>
      </c>
    </row>
    <row r="3678">
      <c r="A3678" s="76" t="s">
        <v>26</v>
      </c>
      <c r="B3678" s="76" t="s">
        <v>1021</v>
      </c>
      <c r="C3678" s="84">
        <v>4.03</v>
      </c>
      <c r="D3678" s="84">
        <v>0.0</v>
      </c>
      <c r="E3678" s="84">
        <v>0.0</v>
      </c>
      <c r="F3678" s="76" t="s">
        <v>974</v>
      </c>
      <c r="G3678" s="83">
        <v>46113.0</v>
      </c>
      <c r="H3678" s="76" t="s">
        <v>1013</v>
      </c>
    </row>
    <row r="3679">
      <c r="A3679" s="76" t="s">
        <v>26</v>
      </c>
      <c r="B3679" s="76" t="s">
        <v>1021</v>
      </c>
      <c r="C3679" s="84">
        <v>3.64</v>
      </c>
      <c r="D3679" s="84">
        <v>0.0</v>
      </c>
      <c r="E3679" s="84">
        <v>0.0</v>
      </c>
      <c r="F3679" s="76" t="s">
        <v>974</v>
      </c>
      <c r="G3679" s="83">
        <v>46113.0</v>
      </c>
      <c r="H3679" s="76" t="s">
        <v>1014</v>
      </c>
    </row>
    <row r="3680">
      <c r="A3680" s="76" t="s">
        <v>36</v>
      </c>
      <c r="B3680" s="76" t="s">
        <v>1021</v>
      </c>
      <c r="C3680" s="84">
        <v>6.41</v>
      </c>
      <c r="D3680" s="84">
        <v>0.0</v>
      </c>
      <c r="E3680" s="84">
        <v>0.0</v>
      </c>
      <c r="F3680" s="76" t="s">
        <v>975</v>
      </c>
      <c r="G3680" s="83">
        <v>46113.0</v>
      </c>
      <c r="H3680" s="76" t="s">
        <v>926</v>
      </c>
    </row>
    <row r="3681">
      <c r="A3681" s="76" t="s">
        <v>36</v>
      </c>
      <c r="B3681" s="76" t="s">
        <v>1021</v>
      </c>
      <c r="C3681" s="84">
        <v>3.38</v>
      </c>
      <c r="D3681" s="84">
        <v>0.0</v>
      </c>
      <c r="E3681" s="84">
        <v>0.0</v>
      </c>
      <c r="F3681" s="76" t="s">
        <v>975</v>
      </c>
      <c r="G3681" s="83">
        <v>46113.0</v>
      </c>
      <c r="H3681" s="76" t="s">
        <v>927</v>
      </c>
    </row>
    <row r="3682">
      <c r="A3682" s="76" t="s">
        <v>36</v>
      </c>
      <c r="B3682" s="76" t="s">
        <v>1021</v>
      </c>
      <c r="C3682" s="84">
        <v>3.43</v>
      </c>
      <c r="D3682" s="84">
        <v>0.0</v>
      </c>
      <c r="E3682" s="84">
        <v>0.0</v>
      </c>
      <c r="F3682" s="76" t="s">
        <v>975</v>
      </c>
      <c r="G3682" s="83">
        <v>46113.0</v>
      </c>
      <c r="H3682" s="76" t="s">
        <v>928</v>
      </c>
    </row>
    <row r="3683">
      <c r="A3683" s="76" t="s">
        <v>31</v>
      </c>
      <c r="B3683" s="76" t="s">
        <v>1021</v>
      </c>
      <c r="C3683" s="84">
        <v>5.38</v>
      </c>
      <c r="D3683" s="84">
        <v>0.0</v>
      </c>
      <c r="E3683" s="84">
        <v>0.0</v>
      </c>
      <c r="F3683" s="76" t="s">
        <v>975</v>
      </c>
      <c r="G3683" s="83">
        <v>46113.0</v>
      </c>
      <c r="H3683" s="76" t="s">
        <v>929</v>
      </c>
    </row>
    <row r="3684">
      <c r="A3684" s="76" t="s">
        <v>31</v>
      </c>
      <c r="B3684" s="76" t="s">
        <v>1021</v>
      </c>
      <c r="C3684" s="84">
        <v>43.54</v>
      </c>
      <c r="D3684" s="84">
        <v>0.0</v>
      </c>
      <c r="E3684" s="84">
        <v>0.0</v>
      </c>
      <c r="F3684" s="76" t="s">
        <v>975</v>
      </c>
      <c r="G3684" s="83">
        <v>46113.0</v>
      </c>
      <c r="H3684" s="76" t="s">
        <v>930</v>
      </c>
    </row>
    <row r="3685">
      <c r="A3685" s="76" t="s">
        <v>28</v>
      </c>
      <c r="B3685" s="76" t="s">
        <v>1021</v>
      </c>
      <c r="C3685" s="84">
        <v>1.09</v>
      </c>
      <c r="D3685" s="84">
        <v>0.0</v>
      </c>
      <c r="E3685" s="84">
        <v>0.0</v>
      </c>
      <c r="F3685" s="76" t="s">
        <v>975</v>
      </c>
      <c r="G3685" s="83">
        <v>46113.0</v>
      </c>
      <c r="H3685" s="76" t="s">
        <v>931</v>
      </c>
    </row>
    <row r="3686">
      <c r="A3686" s="76" t="s">
        <v>28</v>
      </c>
      <c r="B3686" s="76" t="s">
        <v>1021</v>
      </c>
      <c r="C3686" s="84">
        <v>2.36</v>
      </c>
      <c r="D3686" s="84">
        <v>0.0</v>
      </c>
      <c r="E3686" s="84">
        <v>0.0</v>
      </c>
      <c r="F3686" s="76" t="s">
        <v>975</v>
      </c>
      <c r="G3686" s="83">
        <v>46113.0</v>
      </c>
      <c r="H3686" s="76" t="s">
        <v>932</v>
      </c>
    </row>
    <row r="3687">
      <c r="A3687" s="76" t="s">
        <v>28</v>
      </c>
      <c r="B3687" s="76" t="s">
        <v>1021</v>
      </c>
      <c r="C3687" s="84">
        <v>19.05</v>
      </c>
      <c r="D3687" s="84">
        <v>1.0</v>
      </c>
      <c r="E3687" s="84">
        <v>19.05</v>
      </c>
      <c r="F3687" s="76" t="s">
        <v>975</v>
      </c>
      <c r="G3687" s="83">
        <v>46113.0</v>
      </c>
      <c r="H3687" s="76" t="s">
        <v>933</v>
      </c>
    </row>
    <row r="3688">
      <c r="A3688" s="76" t="s">
        <v>42</v>
      </c>
      <c r="B3688" s="76" t="s">
        <v>1021</v>
      </c>
      <c r="C3688" s="84">
        <v>1.24</v>
      </c>
      <c r="D3688" s="84">
        <v>0.0</v>
      </c>
      <c r="E3688" s="84">
        <v>0.0</v>
      </c>
      <c r="F3688" s="76" t="s">
        <v>975</v>
      </c>
      <c r="G3688" s="83">
        <v>46113.0</v>
      </c>
      <c r="H3688" s="76" t="s">
        <v>991</v>
      </c>
    </row>
    <row r="3689">
      <c r="A3689" s="76" t="s">
        <v>42</v>
      </c>
      <c r="B3689" s="76" t="s">
        <v>1021</v>
      </c>
      <c r="C3689" s="84">
        <v>11.54</v>
      </c>
      <c r="D3689" s="84">
        <v>0.0</v>
      </c>
      <c r="E3689" s="84">
        <v>0.0</v>
      </c>
      <c r="F3689" s="76" t="s">
        <v>975</v>
      </c>
      <c r="G3689" s="83">
        <v>46113.0</v>
      </c>
      <c r="H3689" s="76" t="s">
        <v>935</v>
      </c>
    </row>
    <row r="3690">
      <c r="A3690" s="76" t="s">
        <v>45</v>
      </c>
      <c r="B3690" s="76" t="s">
        <v>1021</v>
      </c>
      <c r="C3690" s="84">
        <v>2.02</v>
      </c>
      <c r="D3690" s="84">
        <v>0.0</v>
      </c>
      <c r="E3690" s="84">
        <v>0.0</v>
      </c>
      <c r="F3690" s="76" t="s">
        <v>975</v>
      </c>
      <c r="G3690" s="83">
        <v>46113.0</v>
      </c>
      <c r="H3690" s="76" t="s">
        <v>936</v>
      </c>
    </row>
    <row r="3691">
      <c r="A3691" s="76" t="s">
        <v>45</v>
      </c>
      <c r="B3691" s="76" t="s">
        <v>1021</v>
      </c>
      <c r="C3691" s="84">
        <v>1.54</v>
      </c>
      <c r="D3691" s="84">
        <v>0.0</v>
      </c>
      <c r="E3691" s="84">
        <v>0.0</v>
      </c>
      <c r="F3691" s="76" t="s">
        <v>975</v>
      </c>
      <c r="G3691" s="83">
        <v>46113.0</v>
      </c>
      <c r="H3691" s="76" t="s">
        <v>937</v>
      </c>
    </row>
    <row r="3692">
      <c r="A3692" s="76" t="s">
        <v>45</v>
      </c>
      <c r="B3692" s="76" t="s">
        <v>1021</v>
      </c>
      <c r="C3692" s="84">
        <v>3.65</v>
      </c>
      <c r="D3692" s="84">
        <v>0.0</v>
      </c>
      <c r="E3692" s="84">
        <v>0.0</v>
      </c>
      <c r="F3692" s="76" t="s">
        <v>975</v>
      </c>
      <c r="G3692" s="83">
        <v>46113.0</v>
      </c>
      <c r="H3692" s="76" t="s">
        <v>938</v>
      </c>
    </row>
    <row r="3693">
      <c r="A3693" s="76" t="s">
        <v>50</v>
      </c>
      <c r="B3693" s="76" t="s">
        <v>1021</v>
      </c>
      <c r="C3693" s="84">
        <v>5.52</v>
      </c>
      <c r="D3693" s="84">
        <v>0.0</v>
      </c>
      <c r="E3693" s="84">
        <v>0.0</v>
      </c>
      <c r="F3693" s="76" t="s">
        <v>975</v>
      </c>
      <c r="G3693" s="83">
        <v>46113.0</v>
      </c>
      <c r="H3693" s="76" t="s">
        <v>939</v>
      </c>
    </row>
    <row r="3694">
      <c r="A3694" s="76" t="s">
        <v>50</v>
      </c>
      <c r="B3694" s="76" t="s">
        <v>1021</v>
      </c>
      <c r="C3694" s="84">
        <v>3.97</v>
      </c>
      <c r="D3694" s="84">
        <v>0.0</v>
      </c>
      <c r="E3694" s="84">
        <v>0.0</v>
      </c>
      <c r="F3694" s="76" t="s">
        <v>975</v>
      </c>
      <c r="G3694" s="83">
        <v>46113.0</v>
      </c>
      <c r="H3694" s="76" t="s">
        <v>940</v>
      </c>
    </row>
    <row r="3695">
      <c r="A3695" s="76" t="s">
        <v>32</v>
      </c>
      <c r="B3695" s="76" t="s">
        <v>1021</v>
      </c>
      <c r="C3695" s="84">
        <v>9.28</v>
      </c>
      <c r="D3695" s="84">
        <v>0.0</v>
      </c>
      <c r="E3695" s="84">
        <v>0.0</v>
      </c>
      <c r="F3695" s="76" t="s">
        <v>975</v>
      </c>
      <c r="G3695" s="83">
        <v>46113.0</v>
      </c>
      <c r="H3695" s="76" t="s">
        <v>941</v>
      </c>
    </row>
    <row r="3696">
      <c r="A3696" s="76" t="s">
        <v>32</v>
      </c>
      <c r="B3696" s="76" t="s">
        <v>1021</v>
      </c>
      <c r="C3696" s="84">
        <v>3.26</v>
      </c>
      <c r="D3696" s="84">
        <v>0.0</v>
      </c>
      <c r="E3696" s="84">
        <v>0.0</v>
      </c>
      <c r="F3696" s="76" t="s">
        <v>975</v>
      </c>
      <c r="G3696" s="83">
        <v>46113.0</v>
      </c>
      <c r="H3696" s="76" t="s">
        <v>942</v>
      </c>
    </row>
    <row r="3697">
      <c r="A3697" s="76" t="s">
        <v>32</v>
      </c>
      <c r="B3697" s="76" t="s">
        <v>1021</v>
      </c>
      <c r="C3697" s="84">
        <v>8.01</v>
      </c>
      <c r="D3697" s="84">
        <v>0.0</v>
      </c>
      <c r="E3697" s="84">
        <v>0.0</v>
      </c>
      <c r="F3697" s="76" t="s">
        <v>975</v>
      </c>
      <c r="G3697" s="83">
        <v>46113.0</v>
      </c>
      <c r="H3697" s="76" t="s">
        <v>943</v>
      </c>
    </row>
    <row r="3698">
      <c r="A3698" s="76" t="s">
        <v>944</v>
      </c>
      <c r="B3698" s="76" t="s">
        <v>1021</v>
      </c>
      <c r="C3698" s="84">
        <v>8.97</v>
      </c>
      <c r="D3698" s="84">
        <v>0.0</v>
      </c>
      <c r="E3698" s="84">
        <v>0.0</v>
      </c>
      <c r="F3698" s="76" t="s">
        <v>975</v>
      </c>
      <c r="G3698" s="83">
        <v>46113.0</v>
      </c>
      <c r="H3698" s="76" t="s">
        <v>945</v>
      </c>
    </row>
    <row r="3699">
      <c r="A3699" s="76" t="s">
        <v>944</v>
      </c>
      <c r="B3699" s="76" t="s">
        <v>1021</v>
      </c>
      <c r="C3699" s="84">
        <v>1.36</v>
      </c>
      <c r="D3699" s="84">
        <v>0.0</v>
      </c>
      <c r="E3699" s="84">
        <v>0.0</v>
      </c>
      <c r="F3699" s="76" t="s">
        <v>975</v>
      </c>
      <c r="G3699" s="83">
        <v>46113.0</v>
      </c>
      <c r="H3699" s="76" t="s">
        <v>946</v>
      </c>
    </row>
    <row r="3700">
      <c r="A3700" s="76" t="s">
        <v>944</v>
      </c>
      <c r="B3700" s="76" t="s">
        <v>1021</v>
      </c>
      <c r="C3700" s="84">
        <v>3.28</v>
      </c>
      <c r="D3700" s="84">
        <v>0.0</v>
      </c>
      <c r="E3700" s="84">
        <v>0.0</v>
      </c>
      <c r="F3700" s="76" t="s">
        <v>975</v>
      </c>
      <c r="G3700" s="83">
        <v>46113.0</v>
      </c>
      <c r="H3700" s="76" t="s">
        <v>947</v>
      </c>
    </row>
    <row r="3701">
      <c r="A3701" s="76" t="s">
        <v>26</v>
      </c>
      <c r="B3701" s="76" t="s">
        <v>1021</v>
      </c>
      <c r="C3701" s="84">
        <v>3.1</v>
      </c>
      <c r="D3701" s="84">
        <v>0.0</v>
      </c>
      <c r="E3701" s="84">
        <v>0.0</v>
      </c>
      <c r="F3701" s="76" t="s">
        <v>975</v>
      </c>
      <c r="G3701" s="83">
        <v>46113.0</v>
      </c>
      <c r="H3701" s="76" t="s">
        <v>1012</v>
      </c>
    </row>
    <row r="3702">
      <c r="A3702" s="76" t="s">
        <v>26</v>
      </c>
      <c r="B3702" s="76" t="s">
        <v>1021</v>
      </c>
      <c r="C3702" s="84">
        <v>6.27</v>
      </c>
      <c r="D3702" s="84">
        <v>0.0</v>
      </c>
      <c r="E3702" s="84">
        <v>0.0</v>
      </c>
      <c r="F3702" s="76" t="s">
        <v>975</v>
      </c>
      <c r="G3702" s="83">
        <v>46113.0</v>
      </c>
      <c r="H3702" s="76" t="s">
        <v>1013</v>
      </c>
    </row>
    <row r="3703">
      <c r="A3703" s="76" t="s">
        <v>26</v>
      </c>
      <c r="B3703" s="76" t="s">
        <v>1021</v>
      </c>
      <c r="C3703" s="84">
        <v>5.72</v>
      </c>
      <c r="D3703" s="84">
        <v>0.0</v>
      </c>
      <c r="E3703" s="84">
        <v>0.0</v>
      </c>
      <c r="F3703" s="76" t="s">
        <v>975</v>
      </c>
      <c r="G3703" s="83">
        <v>46113.0</v>
      </c>
      <c r="H3703" s="76" t="s">
        <v>1014</v>
      </c>
    </row>
    <row r="3704">
      <c r="A3704" s="76" t="s">
        <v>34</v>
      </c>
      <c r="B3704" s="76" t="s">
        <v>1022</v>
      </c>
      <c r="C3704" s="84">
        <v>3.32</v>
      </c>
      <c r="D3704" s="84">
        <v>1.0</v>
      </c>
      <c r="E3704" s="84">
        <v>3.32</v>
      </c>
      <c r="F3704" s="76" t="s">
        <v>990</v>
      </c>
      <c r="G3704" s="83">
        <v>46113.0</v>
      </c>
      <c r="H3704" s="76" t="s">
        <v>951</v>
      </c>
    </row>
    <row r="3705">
      <c r="A3705" s="76" t="s">
        <v>34</v>
      </c>
      <c r="B3705" s="76" t="s">
        <v>1022</v>
      </c>
      <c r="C3705" s="84">
        <v>2.71</v>
      </c>
      <c r="D3705" s="84">
        <v>0.0</v>
      </c>
      <c r="E3705" s="84">
        <v>0.0</v>
      </c>
      <c r="F3705" s="76" t="s">
        <v>990</v>
      </c>
      <c r="G3705" s="83">
        <v>46113.0</v>
      </c>
      <c r="H3705" s="76" t="s">
        <v>952</v>
      </c>
    </row>
    <row r="3706">
      <c r="A3706" s="76" t="s">
        <v>34</v>
      </c>
      <c r="B3706" s="76" t="s">
        <v>1022</v>
      </c>
      <c r="C3706" s="84">
        <v>7.55</v>
      </c>
      <c r="D3706" s="84">
        <v>0.0</v>
      </c>
      <c r="E3706" s="84">
        <v>0.0</v>
      </c>
      <c r="F3706" s="76" t="s">
        <v>990</v>
      </c>
      <c r="G3706" s="83">
        <v>46113.0</v>
      </c>
      <c r="H3706" s="76" t="s">
        <v>953</v>
      </c>
    </row>
    <row r="3707">
      <c r="A3707" s="76" t="s">
        <v>40</v>
      </c>
      <c r="B3707" s="76" t="s">
        <v>1022</v>
      </c>
      <c r="C3707" s="84">
        <v>1.32</v>
      </c>
      <c r="D3707" s="84">
        <v>0.0</v>
      </c>
      <c r="E3707" s="84">
        <v>0.0</v>
      </c>
      <c r="F3707" s="76" t="s">
        <v>990</v>
      </c>
      <c r="G3707" s="83">
        <v>46113.0</v>
      </c>
      <c r="H3707" s="76" t="s">
        <v>954</v>
      </c>
    </row>
    <row r="3708">
      <c r="A3708" s="76" t="s">
        <v>40</v>
      </c>
      <c r="B3708" s="76" t="s">
        <v>1022</v>
      </c>
      <c r="C3708" s="84">
        <v>0.47</v>
      </c>
      <c r="D3708" s="84">
        <v>0.0</v>
      </c>
      <c r="E3708" s="84">
        <v>0.0</v>
      </c>
      <c r="F3708" s="76" t="s">
        <v>990</v>
      </c>
      <c r="G3708" s="83">
        <v>46113.0</v>
      </c>
      <c r="H3708" s="76" t="s">
        <v>955</v>
      </c>
    </row>
    <row r="3709">
      <c r="A3709" s="76" t="s">
        <v>40</v>
      </c>
      <c r="B3709" s="76" t="s">
        <v>1022</v>
      </c>
      <c r="C3709" s="84">
        <v>7.94</v>
      </c>
      <c r="D3709" s="84">
        <v>0.0</v>
      </c>
      <c r="E3709" s="84">
        <v>0.0</v>
      </c>
      <c r="F3709" s="76" t="s">
        <v>990</v>
      </c>
      <c r="G3709" s="83">
        <v>46113.0</v>
      </c>
      <c r="H3709" s="76" t="s">
        <v>956</v>
      </c>
    </row>
    <row r="3710">
      <c r="A3710" s="76" t="s">
        <v>33</v>
      </c>
      <c r="B3710" s="76" t="s">
        <v>1022</v>
      </c>
      <c r="C3710" s="84">
        <v>8.23</v>
      </c>
      <c r="D3710" s="84">
        <v>0.0</v>
      </c>
      <c r="E3710" s="84">
        <v>0.0</v>
      </c>
      <c r="F3710" s="76" t="s">
        <v>990</v>
      </c>
      <c r="G3710" s="83">
        <v>46113.0</v>
      </c>
      <c r="H3710" s="76" t="s">
        <v>957</v>
      </c>
    </row>
    <row r="3711">
      <c r="A3711" s="76" t="s">
        <v>33</v>
      </c>
      <c r="B3711" s="76" t="s">
        <v>1022</v>
      </c>
      <c r="C3711" s="84">
        <v>0.72</v>
      </c>
      <c r="D3711" s="84">
        <v>0.0</v>
      </c>
      <c r="E3711" s="84">
        <v>0.0</v>
      </c>
      <c r="F3711" s="76" t="s">
        <v>990</v>
      </c>
      <c r="G3711" s="83">
        <v>46113.0</v>
      </c>
      <c r="H3711" s="76" t="s">
        <v>958</v>
      </c>
    </row>
    <row r="3712">
      <c r="A3712" s="76" t="s">
        <v>33</v>
      </c>
      <c r="B3712" s="76" t="s">
        <v>1022</v>
      </c>
      <c r="C3712" s="84">
        <v>2.58</v>
      </c>
      <c r="D3712" s="84">
        <v>0.0</v>
      </c>
      <c r="E3712" s="84">
        <v>0.0</v>
      </c>
      <c r="F3712" s="76" t="s">
        <v>990</v>
      </c>
      <c r="G3712" s="83">
        <v>46113.0</v>
      </c>
      <c r="H3712" s="76" t="s">
        <v>959</v>
      </c>
    </row>
    <row r="3713">
      <c r="A3713" s="76" t="s">
        <v>46</v>
      </c>
      <c r="B3713" s="76" t="s">
        <v>1022</v>
      </c>
      <c r="C3713" s="84">
        <v>1.15</v>
      </c>
      <c r="D3713" s="84">
        <v>0.0</v>
      </c>
      <c r="E3713" s="84">
        <v>0.0</v>
      </c>
      <c r="F3713" s="76" t="s">
        <v>990</v>
      </c>
      <c r="G3713" s="83">
        <v>46113.0</v>
      </c>
      <c r="H3713" s="76" t="s">
        <v>960</v>
      </c>
    </row>
    <row r="3714">
      <c r="A3714" s="76" t="s">
        <v>46</v>
      </c>
      <c r="B3714" s="76" t="s">
        <v>1022</v>
      </c>
      <c r="C3714" s="84">
        <v>1.1</v>
      </c>
      <c r="D3714" s="84">
        <v>0.0</v>
      </c>
      <c r="E3714" s="84">
        <v>0.0</v>
      </c>
      <c r="F3714" s="76" t="s">
        <v>990</v>
      </c>
      <c r="G3714" s="83">
        <v>46113.0</v>
      </c>
      <c r="H3714" s="76" t="s">
        <v>961</v>
      </c>
    </row>
    <row r="3715">
      <c r="A3715" s="76" t="s">
        <v>46</v>
      </c>
      <c r="B3715" s="76" t="s">
        <v>1022</v>
      </c>
      <c r="C3715" s="84">
        <v>1.49</v>
      </c>
      <c r="D3715" s="84">
        <v>0.0</v>
      </c>
      <c r="E3715" s="84">
        <v>0.0</v>
      </c>
      <c r="F3715" s="76" t="s">
        <v>990</v>
      </c>
      <c r="G3715" s="83">
        <v>46113.0</v>
      </c>
      <c r="H3715" s="76" t="s">
        <v>962</v>
      </c>
    </row>
    <row r="3716">
      <c r="A3716" s="76" t="s">
        <v>43</v>
      </c>
      <c r="B3716" s="76" t="s">
        <v>1022</v>
      </c>
      <c r="C3716" s="84">
        <v>2.0</v>
      </c>
      <c r="D3716" s="84">
        <v>0.0</v>
      </c>
      <c r="E3716" s="84">
        <v>0.0</v>
      </c>
      <c r="F3716" s="76" t="s">
        <v>990</v>
      </c>
      <c r="G3716" s="83">
        <v>46113.0</v>
      </c>
      <c r="H3716" s="76" t="s">
        <v>963</v>
      </c>
    </row>
    <row r="3717">
      <c r="A3717" s="76" t="s">
        <v>43</v>
      </c>
      <c r="B3717" s="76" t="s">
        <v>1022</v>
      </c>
      <c r="C3717" s="84">
        <v>0.78</v>
      </c>
      <c r="D3717" s="84">
        <v>0.0</v>
      </c>
      <c r="E3717" s="84">
        <v>0.0</v>
      </c>
      <c r="F3717" s="76" t="s">
        <v>990</v>
      </c>
      <c r="G3717" s="83">
        <v>46113.0</v>
      </c>
      <c r="H3717" s="76" t="s">
        <v>964</v>
      </c>
    </row>
    <row r="3718">
      <c r="A3718" s="76" t="s">
        <v>43</v>
      </c>
      <c r="B3718" s="76" t="s">
        <v>1022</v>
      </c>
      <c r="C3718" s="84">
        <v>7.32</v>
      </c>
      <c r="D3718" s="84">
        <v>0.0</v>
      </c>
      <c r="E3718" s="84">
        <v>0.0</v>
      </c>
      <c r="F3718" s="76" t="s">
        <v>990</v>
      </c>
      <c r="G3718" s="83">
        <v>46113.0</v>
      </c>
      <c r="H3718" s="76" t="s">
        <v>965</v>
      </c>
    </row>
    <row r="3719">
      <c r="A3719" s="76" t="s">
        <v>966</v>
      </c>
      <c r="B3719" s="76" t="s">
        <v>1022</v>
      </c>
      <c r="C3719" s="84">
        <v>4.81</v>
      </c>
      <c r="D3719" s="84">
        <v>0.0</v>
      </c>
      <c r="E3719" s="84">
        <v>0.0</v>
      </c>
      <c r="F3719" s="76" t="s">
        <v>990</v>
      </c>
      <c r="G3719" s="83">
        <v>46113.0</v>
      </c>
      <c r="H3719" s="76" t="s">
        <v>967</v>
      </c>
    </row>
    <row r="3720">
      <c r="A3720" s="76" t="s">
        <v>966</v>
      </c>
      <c r="B3720" s="76" t="s">
        <v>1022</v>
      </c>
      <c r="C3720" s="84">
        <v>1.5</v>
      </c>
      <c r="D3720" s="84">
        <v>0.0</v>
      </c>
      <c r="E3720" s="84">
        <v>0.0</v>
      </c>
      <c r="F3720" s="76" t="s">
        <v>990</v>
      </c>
      <c r="G3720" s="83">
        <v>46113.0</v>
      </c>
      <c r="H3720" s="76" t="s">
        <v>968</v>
      </c>
    </row>
    <row r="3721">
      <c r="A3721" s="76" t="s">
        <v>966</v>
      </c>
      <c r="B3721" s="76" t="s">
        <v>1022</v>
      </c>
      <c r="C3721" s="84">
        <v>1.04</v>
      </c>
      <c r="D3721" s="84">
        <v>0.0</v>
      </c>
      <c r="E3721" s="84">
        <v>0.0</v>
      </c>
      <c r="F3721" s="76" t="s">
        <v>990</v>
      </c>
      <c r="G3721" s="83">
        <v>46113.0</v>
      </c>
      <c r="H3721" s="76" t="s">
        <v>969</v>
      </c>
    </row>
    <row r="3722">
      <c r="A3722" s="76" t="s">
        <v>36</v>
      </c>
      <c r="B3722" s="76" t="s">
        <v>1022</v>
      </c>
      <c r="C3722" s="84">
        <v>3.46</v>
      </c>
      <c r="D3722" s="84">
        <v>0.0</v>
      </c>
      <c r="E3722" s="84">
        <v>0.0</v>
      </c>
      <c r="F3722" s="76" t="s">
        <v>990</v>
      </c>
      <c r="G3722" s="83">
        <v>46113.0</v>
      </c>
      <c r="H3722" s="76" t="s">
        <v>926</v>
      </c>
    </row>
    <row r="3723">
      <c r="A3723" s="76" t="s">
        <v>36</v>
      </c>
      <c r="B3723" s="76" t="s">
        <v>1022</v>
      </c>
      <c r="C3723" s="84">
        <v>2.0</v>
      </c>
      <c r="D3723" s="84">
        <v>0.0</v>
      </c>
      <c r="E3723" s="84">
        <v>0.0</v>
      </c>
      <c r="F3723" s="76" t="s">
        <v>990</v>
      </c>
      <c r="G3723" s="83">
        <v>46113.0</v>
      </c>
      <c r="H3723" s="76" t="s">
        <v>927</v>
      </c>
    </row>
    <row r="3724">
      <c r="A3724" s="76" t="s">
        <v>36</v>
      </c>
      <c r="B3724" s="76" t="s">
        <v>1022</v>
      </c>
      <c r="C3724" s="84">
        <v>1.77</v>
      </c>
      <c r="D3724" s="84">
        <v>0.0</v>
      </c>
      <c r="E3724" s="84">
        <v>0.0</v>
      </c>
      <c r="F3724" s="76" t="s">
        <v>990</v>
      </c>
      <c r="G3724" s="83">
        <v>46113.0</v>
      </c>
      <c r="H3724" s="76" t="s">
        <v>928</v>
      </c>
    </row>
    <row r="3725">
      <c r="A3725" s="76" t="s">
        <v>970</v>
      </c>
      <c r="B3725" s="76" t="s">
        <v>1022</v>
      </c>
      <c r="C3725" s="84">
        <v>2.04</v>
      </c>
      <c r="D3725" s="84">
        <v>0.0</v>
      </c>
      <c r="E3725" s="84">
        <v>0.0</v>
      </c>
      <c r="F3725" s="76" t="s">
        <v>990</v>
      </c>
      <c r="G3725" s="83">
        <v>46113.0</v>
      </c>
      <c r="H3725" s="76" t="s">
        <v>971</v>
      </c>
    </row>
    <row r="3726">
      <c r="A3726" s="76" t="s">
        <v>970</v>
      </c>
      <c r="B3726" s="76" t="s">
        <v>1022</v>
      </c>
      <c r="C3726" s="84">
        <v>0.56</v>
      </c>
      <c r="D3726" s="84">
        <v>0.0</v>
      </c>
      <c r="E3726" s="84">
        <v>0.0</v>
      </c>
      <c r="F3726" s="76" t="s">
        <v>990</v>
      </c>
      <c r="G3726" s="83">
        <v>46113.0</v>
      </c>
      <c r="H3726" s="76" t="s">
        <v>972</v>
      </c>
    </row>
    <row r="3727">
      <c r="A3727" s="76" t="s">
        <v>970</v>
      </c>
      <c r="B3727" s="76" t="s">
        <v>1022</v>
      </c>
      <c r="C3727" s="84">
        <v>5.82</v>
      </c>
      <c r="D3727" s="84">
        <v>0.0</v>
      </c>
      <c r="E3727" s="84">
        <v>0.0</v>
      </c>
      <c r="F3727" s="76" t="s">
        <v>990</v>
      </c>
      <c r="G3727" s="83">
        <v>46113.0</v>
      </c>
      <c r="H3727" s="76" t="s">
        <v>973</v>
      </c>
    </row>
    <row r="3728">
      <c r="A3728" s="76" t="s">
        <v>29</v>
      </c>
      <c r="B3728" s="76" t="s">
        <v>1022</v>
      </c>
      <c r="C3728" s="84">
        <v>2.22</v>
      </c>
      <c r="D3728" s="84">
        <v>0.0</v>
      </c>
      <c r="E3728" s="84">
        <v>0.0</v>
      </c>
      <c r="F3728" s="76" t="s">
        <v>990</v>
      </c>
      <c r="G3728" s="83">
        <v>46113.0</v>
      </c>
      <c r="H3728" s="76" t="s">
        <v>971</v>
      </c>
    </row>
    <row r="3729">
      <c r="A3729" s="76" t="s">
        <v>29</v>
      </c>
      <c r="B3729" s="76" t="s">
        <v>1022</v>
      </c>
      <c r="C3729" s="84">
        <v>0.58</v>
      </c>
      <c r="D3729" s="84">
        <v>0.0</v>
      </c>
      <c r="E3729" s="84">
        <v>0.0</v>
      </c>
      <c r="F3729" s="76" t="s">
        <v>990</v>
      </c>
      <c r="G3729" s="83">
        <v>46113.0</v>
      </c>
      <c r="H3729" s="76" t="s">
        <v>972</v>
      </c>
    </row>
    <row r="3730">
      <c r="A3730" s="76" t="s">
        <v>29</v>
      </c>
      <c r="B3730" s="76" t="s">
        <v>1022</v>
      </c>
      <c r="C3730" s="84">
        <v>6.01</v>
      </c>
      <c r="D3730" s="84">
        <v>0.0</v>
      </c>
      <c r="E3730" s="84">
        <v>0.0</v>
      </c>
      <c r="F3730" s="76" t="s">
        <v>990</v>
      </c>
      <c r="G3730" s="83">
        <v>46113.0</v>
      </c>
      <c r="H3730" s="76" t="s">
        <v>973</v>
      </c>
    </row>
    <row r="3731">
      <c r="A3731" s="76" t="s">
        <v>29</v>
      </c>
      <c r="B3731" s="76" t="s">
        <v>1022</v>
      </c>
      <c r="C3731" s="84">
        <v>2.39</v>
      </c>
      <c r="D3731" s="84">
        <v>0.0</v>
      </c>
      <c r="E3731" s="84">
        <v>0.0</v>
      </c>
      <c r="F3731" s="76" t="s">
        <v>993</v>
      </c>
      <c r="G3731" s="83">
        <v>46113.0</v>
      </c>
      <c r="H3731" s="76" t="s">
        <v>971</v>
      </c>
    </row>
    <row r="3732">
      <c r="A3732" s="76" t="s">
        <v>29</v>
      </c>
      <c r="B3732" s="76" t="s">
        <v>1022</v>
      </c>
      <c r="C3732" s="84">
        <v>0.63</v>
      </c>
      <c r="D3732" s="84">
        <v>0.0</v>
      </c>
      <c r="E3732" s="84">
        <v>0.0</v>
      </c>
      <c r="F3732" s="76" t="s">
        <v>993</v>
      </c>
      <c r="G3732" s="83">
        <v>46113.0</v>
      </c>
      <c r="H3732" s="76" t="s">
        <v>972</v>
      </c>
    </row>
    <row r="3733">
      <c r="A3733" s="76" t="s">
        <v>29</v>
      </c>
      <c r="B3733" s="76" t="s">
        <v>1022</v>
      </c>
      <c r="C3733" s="84">
        <v>8.91</v>
      </c>
      <c r="D3733" s="84">
        <v>0.0</v>
      </c>
      <c r="E3733" s="84">
        <v>0.0</v>
      </c>
      <c r="F3733" s="76" t="s">
        <v>993</v>
      </c>
      <c r="G3733" s="83">
        <v>46113.0</v>
      </c>
      <c r="H3733" s="76" t="s">
        <v>973</v>
      </c>
    </row>
    <row r="3734">
      <c r="A3734" s="76" t="s">
        <v>34</v>
      </c>
      <c r="B3734" s="76" t="s">
        <v>1022</v>
      </c>
      <c r="C3734" s="84">
        <v>4.34</v>
      </c>
      <c r="D3734" s="84">
        <v>0.0</v>
      </c>
      <c r="E3734" s="84">
        <v>0.0</v>
      </c>
      <c r="F3734" s="76" t="s">
        <v>993</v>
      </c>
      <c r="G3734" s="83">
        <v>46113.0</v>
      </c>
      <c r="H3734" s="76" t="s">
        <v>951</v>
      </c>
    </row>
    <row r="3735">
      <c r="A3735" s="76" t="s">
        <v>34</v>
      </c>
      <c r="B3735" s="76" t="s">
        <v>1022</v>
      </c>
      <c r="C3735" s="84">
        <v>3.35</v>
      </c>
      <c r="D3735" s="84">
        <v>0.0</v>
      </c>
      <c r="E3735" s="84">
        <v>0.0</v>
      </c>
      <c r="F3735" s="76" t="s">
        <v>993</v>
      </c>
      <c r="G3735" s="83">
        <v>46113.0</v>
      </c>
      <c r="H3735" s="76" t="s">
        <v>952</v>
      </c>
    </row>
    <row r="3736">
      <c r="A3736" s="76" t="s">
        <v>34</v>
      </c>
      <c r="B3736" s="76" t="s">
        <v>1022</v>
      </c>
      <c r="C3736" s="84">
        <v>9.77</v>
      </c>
      <c r="D3736" s="84">
        <v>1.0</v>
      </c>
      <c r="E3736" s="84">
        <v>9.77</v>
      </c>
      <c r="F3736" s="76" t="s">
        <v>993</v>
      </c>
      <c r="G3736" s="83">
        <v>46113.0</v>
      </c>
      <c r="H3736" s="76" t="s">
        <v>953</v>
      </c>
    </row>
    <row r="3737">
      <c r="A3737" s="76" t="s">
        <v>40</v>
      </c>
      <c r="B3737" s="76" t="s">
        <v>1022</v>
      </c>
      <c r="C3737" s="84">
        <v>1.73</v>
      </c>
      <c r="D3737" s="84">
        <v>0.0</v>
      </c>
      <c r="E3737" s="84">
        <v>0.0</v>
      </c>
      <c r="F3737" s="76" t="s">
        <v>993</v>
      </c>
      <c r="G3737" s="83">
        <v>46113.0</v>
      </c>
      <c r="H3737" s="76" t="s">
        <v>954</v>
      </c>
    </row>
    <row r="3738">
      <c r="A3738" s="76" t="s">
        <v>40</v>
      </c>
      <c r="B3738" s="76" t="s">
        <v>1022</v>
      </c>
      <c r="C3738" s="84">
        <v>0.84</v>
      </c>
      <c r="D3738" s="84">
        <v>0.0</v>
      </c>
      <c r="E3738" s="84">
        <v>0.0</v>
      </c>
      <c r="F3738" s="76" t="s">
        <v>993</v>
      </c>
      <c r="G3738" s="83">
        <v>46113.0</v>
      </c>
      <c r="H3738" s="76" t="s">
        <v>955</v>
      </c>
    </row>
    <row r="3739">
      <c r="A3739" s="76" t="s">
        <v>40</v>
      </c>
      <c r="B3739" s="76" t="s">
        <v>1022</v>
      </c>
      <c r="C3739" s="84">
        <v>12.07</v>
      </c>
      <c r="D3739" s="84">
        <v>0.0</v>
      </c>
      <c r="E3739" s="84">
        <v>0.0</v>
      </c>
      <c r="F3739" s="76" t="s">
        <v>993</v>
      </c>
      <c r="G3739" s="83">
        <v>46113.0</v>
      </c>
      <c r="H3739" s="76" t="s">
        <v>956</v>
      </c>
    </row>
    <row r="3740">
      <c r="A3740" s="76" t="s">
        <v>33</v>
      </c>
      <c r="B3740" s="76" t="s">
        <v>1022</v>
      </c>
      <c r="C3740" s="84">
        <v>13.34</v>
      </c>
      <c r="D3740" s="84">
        <v>0.0</v>
      </c>
      <c r="E3740" s="84">
        <v>0.0</v>
      </c>
      <c r="F3740" s="76" t="s">
        <v>993</v>
      </c>
      <c r="G3740" s="83">
        <v>46113.0</v>
      </c>
      <c r="H3740" s="76" t="s">
        <v>957</v>
      </c>
    </row>
    <row r="3741">
      <c r="A3741" s="76" t="s">
        <v>33</v>
      </c>
      <c r="B3741" s="76" t="s">
        <v>1022</v>
      </c>
      <c r="C3741" s="84">
        <v>0.94</v>
      </c>
      <c r="D3741" s="84">
        <v>0.0</v>
      </c>
      <c r="E3741" s="84">
        <v>0.0</v>
      </c>
      <c r="F3741" s="76" t="s">
        <v>993</v>
      </c>
      <c r="G3741" s="83">
        <v>46113.0</v>
      </c>
      <c r="H3741" s="76" t="s">
        <v>958</v>
      </c>
    </row>
    <row r="3742">
      <c r="A3742" s="76" t="s">
        <v>33</v>
      </c>
      <c r="B3742" s="76" t="s">
        <v>1022</v>
      </c>
      <c r="C3742" s="84">
        <v>3.52</v>
      </c>
      <c r="D3742" s="84">
        <v>0.0</v>
      </c>
      <c r="E3742" s="84">
        <v>0.0</v>
      </c>
      <c r="F3742" s="76" t="s">
        <v>993</v>
      </c>
      <c r="G3742" s="83">
        <v>46113.0</v>
      </c>
      <c r="H3742" s="76" t="s">
        <v>959</v>
      </c>
    </row>
    <row r="3743">
      <c r="A3743" s="76" t="s">
        <v>46</v>
      </c>
      <c r="B3743" s="76" t="s">
        <v>1022</v>
      </c>
      <c r="C3743" s="84">
        <v>1.24</v>
      </c>
      <c r="D3743" s="84">
        <v>0.0</v>
      </c>
      <c r="E3743" s="84">
        <v>0.0</v>
      </c>
      <c r="F3743" s="76" t="s">
        <v>993</v>
      </c>
      <c r="G3743" s="83">
        <v>46113.0</v>
      </c>
      <c r="H3743" s="76" t="s">
        <v>960</v>
      </c>
    </row>
    <row r="3744">
      <c r="A3744" s="76" t="s">
        <v>46</v>
      </c>
      <c r="B3744" s="76" t="s">
        <v>1022</v>
      </c>
      <c r="C3744" s="84">
        <v>1.3</v>
      </c>
      <c r="D3744" s="84">
        <v>0.0</v>
      </c>
      <c r="E3744" s="84">
        <v>0.0</v>
      </c>
      <c r="F3744" s="76" t="s">
        <v>993</v>
      </c>
      <c r="G3744" s="83">
        <v>46113.0</v>
      </c>
      <c r="H3744" s="76" t="s">
        <v>961</v>
      </c>
    </row>
    <row r="3745">
      <c r="A3745" s="76" t="s">
        <v>46</v>
      </c>
      <c r="B3745" s="76" t="s">
        <v>1022</v>
      </c>
      <c r="C3745" s="84">
        <v>2.36</v>
      </c>
      <c r="D3745" s="84">
        <v>0.0</v>
      </c>
      <c r="E3745" s="84">
        <v>0.0</v>
      </c>
      <c r="F3745" s="76" t="s">
        <v>993</v>
      </c>
      <c r="G3745" s="83">
        <v>46113.0</v>
      </c>
      <c r="H3745" s="76" t="s">
        <v>962</v>
      </c>
    </row>
    <row r="3746">
      <c r="A3746" s="76" t="s">
        <v>43</v>
      </c>
      <c r="B3746" s="76" t="s">
        <v>1022</v>
      </c>
      <c r="C3746" s="84">
        <v>3.1</v>
      </c>
      <c r="D3746" s="84">
        <v>0.0</v>
      </c>
      <c r="E3746" s="84">
        <v>0.0</v>
      </c>
      <c r="F3746" s="76" t="s">
        <v>993</v>
      </c>
      <c r="G3746" s="83">
        <v>46113.0</v>
      </c>
      <c r="H3746" s="76" t="s">
        <v>963</v>
      </c>
    </row>
    <row r="3747">
      <c r="A3747" s="76" t="s">
        <v>43</v>
      </c>
      <c r="B3747" s="76" t="s">
        <v>1022</v>
      </c>
      <c r="C3747" s="84">
        <v>0.82</v>
      </c>
      <c r="D3747" s="84">
        <v>0.0</v>
      </c>
      <c r="E3747" s="84">
        <v>0.0</v>
      </c>
      <c r="F3747" s="76" t="s">
        <v>993</v>
      </c>
      <c r="G3747" s="83">
        <v>46113.0</v>
      </c>
      <c r="H3747" s="76" t="s">
        <v>964</v>
      </c>
    </row>
    <row r="3748">
      <c r="A3748" s="76" t="s">
        <v>43</v>
      </c>
      <c r="B3748" s="76" t="s">
        <v>1022</v>
      </c>
      <c r="C3748" s="84">
        <v>10.96</v>
      </c>
      <c r="D3748" s="84">
        <v>0.0</v>
      </c>
      <c r="E3748" s="84">
        <v>0.0</v>
      </c>
      <c r="F3748" s="76" t="s">
        <v>993</v>
      </c>
      <c r="G3748" s="83">
        <v>46113.0</v>
      </c>
      <c r="H3748" s="76" t="s">
        <v>965</v>
      </c>
    </row>
    <row r="3749">
      <c r="A3749" s="76" t="s">
        <v>966</v>
      </c>
      <c r="B3749" s="76" t="s">
        <v>1022</v>
      </c>
      <c r="C3749" s="84">
        <v>8.74</v>
      </c>
      <c r="D3749" s="84">
        <v>1.0</v>
      </c>
      <c r="E3749" s="84">
        <v>8.74</v>
      </c>
      <c r="F3749" s="76" t="s">
        <v>993</v>
      </c>
      <c r="G3749" s="83">
        <v>46113.0</v>
      </c>
      <c r="H3749" s="76" t="s">
        <v>967</v>
      </c>
    </row>
    <row r="3750">
      <c r="A3750" s="76" t="s">
        <v>966</v>
      </c>
      <c r="B3750" s="76" t="s">
        <v>1022</v>
      </c>
      <c r="C3750" s="84">
        <v>2.05</v>
      </c>
      <c r="D3750" s="84">
        <v>0.0</v>
      </c>
      <c r="E3750" s="84">
        <v>0.0</v>
      </c>
      <c r="F3750" s="76" t="s">
        <v>993</v>
      </c>
      <c r="G3750" s="83">
        <v>46113.0</v>
      </c>
      <c r="H3750" s="76" t="s">
        <v>968</v>
      </c>
    </row>
    <row r="3751">
      <c r="A3751" s="76" t="s">
        <v>966</v>
      </c>
      <c r="B3751" s="76" t="s">
        <v>1022</v>
      </c>
      <c r="C3751" s="84">
        <v>1.46</v>
      </c>
      <c r="D3751" s="84">
        <v>0.0</v>
      </c>
      <c r="E3751" s="84">
        <v>0.0</v>
      </c>
      <c r="F3751" s="76" t="s">
        <v>993</v>
      </c>
      <c r="G3751" s="83">
        <v>46113.0</v>
      </c>
      <c r="H3751" s="76" t="s">
        <v>969</v>
      </c>
    </row>
    <row r="3752">
      <c r="A3752" s="76" t="s">
        <v>36</v>
      </c>
      <c r="B3752" s="76" t="s">
        <v>1022</v>
      </c>
      <c r="C3752" s="84">
        <v>4.96</v>
      </c>
      <c r="D3752" s="84">
        <v>0.0</v>
      </c>
      <c r="E3752" s="84">
        <v>0.0</v>
      </c>
      <c r="F3752" s="76" t="s">
        <v>993</v>
      </c>
      <c r="G3752" s="83">
        <v>46113.0</v>
      </c>
      <c r="H3752" s="76" t="s">
        <v>926</v>
      </c>
    </row>
    <row r="3753">
      <c r="A3753" s="76" t="s">
        <v>36</v>
      </c>
      <c r="B3753" s="76" t="s">
        <v>1022</v>
      </c>
      <c r="C3753" s="84">
        <v>2.41</v>
      </c>
      <c r="D3753" s="84">
        <v>0.0</v>
      </c>
      <c r="E3753" s="84">
        <v>0.0</v>
      </c>
      <c r="F3753" s="76" t="s">
        <v>993</v>
      </c>
      <c r="G3753" s="83">
        <v>46113.0</v>
      </c>
      <c r="H3753" s="76" t="s">
        <v>927</v>
      </c>
    </row>
    <row r="3754">
      <c r="A3754" s="76" t="s">
        <v>36</v>
      </c>
      <c r="B3754" s="76" t="s">
        <v>1022</v>
      </c>
      <c r="C3754" s="84">
        <v>2.66</v>
      </c>
      <c r="D3754" s="84">
        <v>0.0</v>
      </c>
      <c r="E3754" s="84">
        <v>0.0</v>
      </c>
      <c r="F3754" s="76" t="s">
        <v>993</v>
      </c>
      <c r="G3754" s="83">
        <v>46113.0</v>
      </c>
      <c r="H3754" s="76" t="s">
        <v>928</v>
      </c>
    </row>
    <row r="3755">
      <c r="A3755" s="76" t="s">
        <v>970</v>
      </c>
      <c r="B3755" s="76" t="s">
        <v>1022</v>
      </c>
      <c r="C3755" s="84">
        <v>2.16</v>
      </c>
      <c r="D3755" s="84">
        <v>0.0</v>
      </c>
      <c r="E3755" s="84">
        <v>0.0</v>
      </c>
      <c r="F3755" s="76" t="s">
        <v>993</v>
      </c>
      <c r="G3755" s="83">
        <v>46113.0</v>
      </c>
      <c r="H3755" s="76" t="s">
        <v>971</v>
      </c>
    </row>
    <row r="3756">
      <c r="A3756" s="76" t="s">
        <v>970</v>
      </c>
      <c r="B3756" s="76" t="s">
        <v>1022</v>
      </c>
      <c r="C3756" s="84">
        <v>0.65</v>
      </c>
      <c r="D3756" s="84">
        <v>0.0</v>
      </c>
      <c r="E3756" s="84">
        <v>0.0</v>
      </c>
      <c r="F3756" s="76" t="s">
        <v>993</v>
      </c>
      <c r="G3756" s="83">
        <v>46113.0</v>
      </c>
      <c r="H3756" s="76" t="s">
        <v>972</v>
      </c>
    </row>
    <row r="3757">
      <c r="A3757" s="76" t="s">
        <v>970</v>
      </c>
      <c r="B3757" s="76" t="s">
        <v>1022</v>
      </c>
      <c r="C3757" s="84">
        <v>8.25</v>
      </c>
      <c r="D3757" s="84">
        <v>0.0</v>
      </c>
      <c r="E3757" s="84">
        <v>0.0</v>
      </c>
      <c r="F3757" s="76" t="s">
        <v>993</v>
      </c>
      <c r="G3757" s="83">
        <v>46113.0</v>
      </c>
      <c r="H3757" s="76" t="s">
        <v>973</v>
      </c>
    </row>
    <row r="3758">
      <c r="A3758" s="76" t="s">
        <v>34</v>
      </c>
      <c r="B3758" s="76" t="s">
        <v>1022</v>
      </c>
      <c r="C3758" s="84">
        <v>3.58</v>
      </c>
      <c r="D3758" s="84">
        <v>0.0</v>
      </c>
      <c r="E3758" s="84">
        <v>0.0</v>
      </c>
      <c r="F3758" s="76" t="s">
        <v>994</v>
      </c>
      <c r="G3758" s="83">
        <v>46113.0</v>
      </c>
      <c r="H3758" s="76" t="s">
        <v>951</v>
      </c>
    </row>
    <row r="3759">
      <c r="A3759" s="76" t="s">
        <v>34</v>
      </c>
      <c r="B3759" s="76" t="s">
        <v>1022</v>
      </c>
      <c r="C3759" s="84">
        <v>2.64</v>
      </c>
      <c r="D3759" s="84">
        <v>0.0</v>
      </c>
      <c r="E3759" s="84">
        <v>0.0</v>
      </c>
      <c r="F3759" s="76" t="s">
        <v>994</v>
      </c>
      <c r="G3759" s="83">
        <v>46113.0</v>
      </c>
      <c r="H3759" s="76" t="s">
        <v>952</v>
      </c>
    </row>
    <row r="3760">
      <c r="A3760" s="76" t="s">
        <v>34</v>
      </c>
      <c r="B3760" s="76" t="s">
        <v>1022</v>
      </c>
      <c r="C3760" s="84">
        <v>7.45</v>
      </c>
      <c r="D3760" s="84">
        <v>0.0</v>
      </c>
      <c r="E3760" s="84">
        <v>0.0</v>
      </c>
      <c r="F3760" s="76" t="s">
        <v>994</v>
      </c>
      <c r="G3760" s="83">
        <v>46113.0</v>
      </c>
      <c r="H3760" s="76" t="s">
        <v>953</v>
      </c>
    </row>
    <row r="3761">
      <c r="A3761" s="76" t="s">
        <v>40</v>
      </c>
      <c r="B3761" s="76" t="s">
        <v>1022</v>
      </c>
      <c r="C3761" s="84">
        <v>1.32</v>
      </c>
      <c r="D3761" s="84">
        <v>0.0</v>
      </c>
      <c r="E3761" s="84">
        <v>0.0</v>
      </c>
      <c r="F3761" s="76" t="s">
        <v>994</v>
      </c>
      <c r="G3761" s="83">
        <v>46113.0</v>
      </c>
      <c r="H3761" s="76" t="s">
        <v>954</v>
      </c>
    </row>
    <row r="3762">
      <c r="A3762" s="76" t="s">
        <v>40</v>
      </c>
      <c r="B3762" s="76" t="s">
        <v>1022</v>
      </c>
      <c r="C3762" s="84">
        <v>0.44</v>
      </c>
      <c r="D3762" s="84">
        <v>0.0</v>
      </c>
      <c r="E3762" s="84">
        <v>0.0</v>
      </c>
      <c r="F3762" s="76" t="s">
        <v>994</v>
      </c>
      <c r="G3762" s="83">
        <v>46113.0</v>
      </c>
      <c r="H3762" s="76" t="s">
        <v>955</v>
      </c>
    </row>
    <row r="3763">
      <c r="A3763" s="76" t="s">
        <v>40</v>
      </c>
      <c r="B3763" s="76" t="s">
        <v>1022</v>
      </c>
      <c r="C3763" s="84">
        <v>8.28</v>
      </c>
      <c r="D3763" s="84">
        <v>0.0</v>
      </c>
      <c r="E3763" s="84">
        <v>0.0</v>
      </c>
      <c r="F3763" s="76" t="s">
        <v>994</v>
      </c>
      <c r="G3763" s="83">
        <v>46113.0</v>
      </c>
      <c r="H3763" s="76" t="s">
        <v>956</v>
      </c>
    </row>
    <row r="3764">
      <c r="A3764" s="76" t="s">
        <v>33</v>
      </c>
      <c r="B3764" s="76" t="s">
        <v>1022</v>
      </c>
      <c r="C3764" s="84">
        <v>8.64</v>
      </c>
      <c r="D3764" s="84">
        <v>0.0</v>
      </c>
      <c r="E3764" s="84">
        <v>0.0</v>
      </c>
      <c r="F3764" s="76" t="s">
        <v>994</v>
      </c>
      <c r="G3764" s="83">
        <v>46113.0</v>
      </c>
      <c r="H3764" s="76" t="s">
        <v>957</v>
      </c>
    </row>
    <row r="3765">
      <c r="A3765" s="76" t="s">
        <v>33</v>
      </c>
      <c r="B3765" s="76" t="s">
        <v>1022</v>
      </c>
      <c r="C3765" s="84">
        <v>0.77</v>
      </c>
      <c r="D3765" s="84">
        <v>0.0</v>
      </c>
      <c r="E3765" s="84">
        <v>0.0</v>
      </c>
      <c r="F3765" s="76" t="s">
        <v>994</v>
      </c>
      <c r="G3765" s="83">
        <v>46113.0</v>
      </c>
      <c r="H3765" s="76" t="s">
        <v>958</v>
      </c>
    </row>
    <row r="3766">
      <c r="A3766" s="76" t="s">
        <v>33</v>
      </c>
      <c r="B3766" s="76" t="s">
        <v>1022</v>
      </c>
      <c r="C3766" s="84">
        <v>2.28</v>
      </c>
      <c r="D3766" s="84">
        <v>0.0</v>
      </c>
      <c r="E3766" s="84">
        <v>0.0</v>
      </c>
      <c r="F3766" s="76" t="s">
        <v>994</v>
      </c>
      <c r="G3766" s="83">
        <v>46113.0</v>
      </c>
      <c r="H3766" s="76" t="s">
        <v>959</v>
      </c>
    </row>
    <row r="3767">
      <c r="A3767" s="76" t="s">
        <v>46</v>
      </c>
      <c r="B3767" s="76" t="s">
        <v>1022</v>
      </c>
      <c r="C3767" s="84">
        <v>0.79</v>
      </c>
      <c r="D3767" s="84">
        <v>0.0</v>
      </c>
      <c r="E3767" s="84">
        <v>0.0</v>
      </c>
      <c r="F3767" s="76" t="s">
        <v>994</v>
      </c>
      <c r="G3767" s="83">
        <v>46113.0</v>
      </c>
      <c r="H3767" s="76" t="s">
        <v>960</v>
      </c>
    </row>
    <row r="3768">
      <c r="A3768" s="76" t="s">
        <v>46</v>
      </c>
      <c r="B3768" s="76" t="s">
        <v>1022</v>
      </c>
      <c r="C3768" s="84">
        <v>0.81</v>
      </c>
      <c r="D3768" s="84">
        <v>0.0</v>
      </c>
      <c r="E3768" s="84">
        <v>0.0</v>
      </c>
      <c r="F3768" s="76" t="s">
        <v>994</v>
      </c>
      <c r="G3768" s="83">
        <v>46113.0</v>
      </c>
      <c r="H3768" s="76" t="s">
        <v>961</v>
      </c>
    </row>
    <row r="3769">
      <c r="A3769" s="76" t="s">
        <v>46</v>
      </c>
      <c r="B3769" s="76" t="s">
        <v>1022</v>
      </c>
      <c r="C3769" s="84">
        <v>1.33</v>
      </c>
      <c r="D3769" s="84">
        <v>0.0</v>
      </c>
      <c r="E3769" s="84">
        <v>0.0</v>
      </c>
      <c r="F3769" s="76" t="s">
        <v>994</v>
      </c>
      <c r="G3769" s="83">
        <v>46113.0</v>
      </c>
      <c r="H3769" s="76" t="s">
        <v>962</v>
      </c>
    </row>
    <row r="3770">
      <c r="A3770" s="76" t="s">
        <v>43</v>
      </c>
      <c r="B3770" s="76" t="s">
        <v>1022</v>
      </c>
      <c r="C3770" s="84">
        <v>2.16</v>
      </c>
      <c r="D3770" s="84">
        <v>0.0</v>
      </c>
      <c r="E3770" s="84">
        <v>0.0</v>
      </c>
      <c r="F3770" s="76" t="s">
        <v>994</v>
      </c>
      <c r="G3770" s="83">
        <v>46113.0</v>
      </c>
      <c r="H3770" s="76" t="s">
        <v>963</v>
      </c>
    </row>
    <row r="3771">
      <c r="A3771" s="76" t="s">
        <v>43</v>
      </c>
      <c r="B3771" s="76" t="s">
        <v>1022</v>
      </c>
      <c r="C3771" s="84">
        <v>0.68</v>
      </c>
      <c r="D3771" s="84">
        <v>0.0</v>
      </c>
      <c r="E3771" s="84">
        <v>0.0</v>
      </c>
      <c r="F3771" s="76" t="s">
        <v>994</v>
      </c>
      <c r="G3771" s="83">
        <v>46113.0</v>
      </c>
      <c r="H3771" s="76" t="s">
        <v>964</v>
      </c>
    </row>
    <row r="3772">
      <c r="A3772" s="76" t="s">
        <v>43</v>
      </c>
      <c r="B3772" s="76" t="s">
        <v>1022</v>
      </c>
      <c r="C3772" s="84">
        <v>6.94</v>
      </c>
      <c r="D3772" s="84">
        <v>0.0</v>
      </c>
      <c r="E3772" s="84">
        <v>0.0</v>
      </c>
      <c r="F3772" s="76" t="s">
        <v>994</v>
      </c>
      <c r="G3772" s="83">
        <v>46113.0</v>
      </c>
      <c r="H3772" s="76" t="s">
        <v>965</v>
      </c>
    </row>
    <row r="3773">
      <c r="A3773" s="76" t="s">
        <v>966</v>
      </c>
      <c r="B3773" s="76" t="s">
        <v>1022</v>
      </c>
      <c r="C3773" s="84">
        <v>5.71</v>
      </c>
      <c r="D3773" s="84">
        <v>1.0</v>
      </c>
      <c r="E3773" s="84">
        <v>5.71</v>
      </c>
      <c r="F3773" s="76" t="s">
        <v>994</v>
      </c>
      <c r="G3773" s="83">
        <v>46113.0</v>
      </c>
      <c r="H3773" s="76" t="s">
        <v>967</v>
      </c>
    </row>
    <row r="3774">
      <c r="A3774" s="76" t="s">
        <v>966</v>
      </c>
      <c r="B3774" s="76" t="s">
        <v>1022</v>
      </c>
      <c r="C3774" s="84">
        <v>1.14</v>
      </c>
      <c r="D3774" s="84">
        <v>0.0</v>
      </c>
      <c r="E3774" s="84">
        <v>0.0</v>
      </c>
      <c r="F3774" s="76" t="s">
        <v>994</v>
      </c>
      <c r="G3774" s="83">
        <v>46113.0</v>
      </c>
      <c r="H3774" s="76" t="s">
        <v>968</v>
      </c>
    </row>
    <row r="3775">
      <c r="A3775" s="76" t="s">
        <v>966</v>
      </c>
      <c r="B3775" s="76" t="s">
        <v>1022</v>
      </c>
      <c r="C3775" s="84">
        <v>0.92</v>
      </c>
      <c r="D3775" s="84">
        <v>0.0</v>
      </c>
      <c r="E3775" s="84">
        <v>0.0</v>
      </c>
      <c r="F3775" s="76" t="s">
        <v>994</v>
      </c>
      <c r="G3775" s="83">
        <v>46113.0</v>
      </c>
      <c r="H3775" s="76" t="s">
        <v>969</v>
      </c>
    </row>
    <row r="3776">
      <c r="A3776" s="76" t="s">
        <v>36</v>
      </c>
      <c r="B3776" s="76" t="s">
        <v>1022</v>
      </c>
      <c r="C3776" s="84">
        <v>3.62</v>
      </c>
      <c r="D3776" s="84">
        <v>0.0</v>
      </c>
      <c r="E3776" s="84">
        <v>0.0</v>
      </c>
      <c r="F3776" s="76" t="s">
        <v>994</v>
      </c>
      <c r="G3776" s="83">
        <v>46113.0</v>
      </c>
      <c r="H3776" s="76" t="s">
        <v>926</v>
      </c>
    </row>
    <row r="3777">
      <c r="A3777" s="76" t="s">
        <v>36</v>
      </c>
      <c r="B3777" s="76" t="s">
        <v>1022</v>
      </c>
      <c r="C3777" s="84">
        <v>1.7</v>
      </c>
      <c r="D3777" s="84">
        <v>0.0</v>
      </c>
      <c r="E3777" s="84">
        <v>0.0</v>
      </c>
      <c r="F3777" s="76" t="s">
        <v>994</v>
      </c>
      <c r="G3777" s="83">
        <v>46113.0</v>
      </c>
      <c r="H3777" s="76" t="s">
        <v>927</v>
      </c>
    </row>
    <row r="3778">
      <c r="A3778" s="76" t="s">
        <v>36</v>
      </c>
      <c r="B3778" s="76" t="s">
        <v>1022</v>
      </c>
      <c r="C3778" s="84">
        <v>1.77</v>
      </c>
      <c r="D3778" s="84">
        <v>0.0</v>
      </c>
      <c r="E3778" s="84">
        <v>0.0</v>
      </c>
      <c r="F3778" s="76" t="s">
        <v>994</v>
      </c>
      <c r="G3778" s="83">
        <v>46113.0</v>
      </c>
      <c r="H3778" s="76" t="s">
        <v>928</v>
      </c>
    </row>
    <row r="3779">
      <c r="A3779" s="76" t="s">
        <v>970</v>
      </c>
      <c r="B3779" s="76" t="s">
        <v>1022</v>
      </c>
      <c r="C3779" s="84">
        <v>1.8</v>
      </c>
      <c r="D3779" s="84">
        <v>0.0</v>
      </c>
      <c r="E3779" s="84">
        <v>0.0</v>
      </c>
      <c r="F3779" s="76" t="s">
        <v>994</v>
      </c>
      <c r="G3779" s="83">
        <v>46113.0</v>
      </c>
      <c r="H3779" s="76" t="s">
        <v>971</v>
      </c>
    </row>
    <row r="3780">
      <c r="A3780" s="76" t="s">
        <v>970</v>
      </c>
      <c r="B3780" s="76" t="s">
        <v>1022</v>
      </c>
      <c r="C3780" s="84">
        <v>0.6</v>
      </c>
      <c r="D3780" s="84">
        <v>0.0</v>
      </c>
      <c r="E3780" s="84">
        <v>0.0</v>
      </c>
      <c r="F3780" s="76" t="s">
        <v>994</v>
      </c>
      <c r="G3780" s="83">
        <v>46113.0</v>
      </c>
      <c r="H3780" s="76" t="s">
        <v>972</v>
      </c>
    </row>
    <row r="3781">
      <c r="A3781" s="76" t="s">
        <v>970</v>
      </c>
      <c r="B3781" s="76" t="s">
        <v>1022</v>
      </c>
      <c r="C3781" s="84">
        <v>6.16</v>
      </c>
      <c r="D3781" s="84">
        <v>0.0</v>
      </c>
      <c r="E3781" s="84">
        <v>0.0</v>
      </c>
      <c r="F3781" s="76" t="s">
        <v>994</v>
      </c>
      <c r="G3781" s="83">
        <v>46113.0</v>
      </c>
      <c r="H3781" s="76" t="s">
        <v>973</v>
      </c>
    </row>
    <row r="3782">
      <c r="A3782" s="76" t="s">
        <v>29</v>
      </c>
      <c r="B3782" s="76" t="s">
        <v>1022</v>
      </c>
      <c r="C3782" s="84">
        <v>1.85</v>
      </c>
      <c r="D3782" s="84">
        <v>0.0</v>
      </c>
      <c r="E3782" s="84">
        <v>0.0</v>
      </c>
      <c r="F3782" s="76" t="s">
        <v>994</v>
      </c>
      <c r="G3782" s="83">
        <v>46113.0</v>
      </c>
      <c r="H3782" s="76" t="s">
        <v>971</v>
      </c>
    </row>
    <row r="3783">
      <c r="A3783" s="76" t="s">
        <v>29</v>
      </c>
      <c r="B3783" s="76" t="s">
        <v>1022</v>
      </c>
      <c r="C3783" s="84">
        <v>0.52</v>
      </c>
      <c r="D3783" s="84">
        <v>0.0</v>
      </c>
      <c r="E3783" s="84">
        <v>0.0</v>
      </c>
      <c r="F3783" s="76" t="s">
        <v>994</v>
      </c>
      <c r="G3783" s="83">
        <v>46113.0</v>
      </c>
      <c r="H3783" s="76" t="s">
        <v>972</v>
      </c>
    </row>
    <row r="3784">
      <c r="A3784" s="76" t="s">
        <v>29</v>
      </c>
      <c r="B3784" s="76" t="s">
        <v>1022</v>
      </c>
      <c r="C3784" s="84">
        <v>5.86</v>
      </c>
      <c r="D3784" s="84">
        <v>0.0</v>
      </c>
      <c r="E3784" s="84">
        <v>0.0</v>
      </c>
      <c r="F3784" s="76" t="s">
        <v>994</v>
      </c>
      <c r="G3784" s="83">
        <v>46113.0</v>
      </c>
      <c r="H3784" s="76" t="s">
        <v>973</v>
      </c>
    </row>
    <row r="3785">
      <c r="A3785" s="76" t="s">
        <v>34</v>
      </c>
      <c r="B3785" s="76" t="s">
        <v>1022</v>
      </c>
      <c r="C3785" s="84">
        <v>10.37</v>
      </c>
      <c r="D3785" s="84">
        <v>1.0</v>
      </c>
      <c r="E3785" s="84">
        <v>10.37</v>
      </c>
      <c r="F3785" s="76" t="s">
        <v>1005</v>
      </c>
      <c r="G3785" s="83">
        <v>46113.0</v>
      </c>
      <c r="H3785" s="76" t="s">
        <v>951</v>
      </c>
    </row>
    <row r="3786">
      <c r="A3786" s="76" t="s">
        <v>34</v>
      </c>
      <c r="B3786" s="76" t="s">
        <v>1022</v>
      </c>
      <c r="C3786" s="84">
        <v>7.68</v>
      </c>
      <c r="D3786" s="84">
        <v>1.0</v>
      </c>
      <c r="E3786" s="84">
        <v>7.68</v>
      </c>
      <c r="F3786" s="76" t="s">
        <v>1005</v>
      </c>
      <c r="G3786" s="83">
        <v>46113.0</v>
      </c>
      <c r="H3786" s="76" t="s">
        <v>952</v>
      </c>
    </row>
    <row r="3787">
      <c r="A3787" s="76" t="s">
        <v>34</v>
      </c>
      <c r="B3787" s="76" t="s">
        <v>1022</v>
      </c>
      <c r="C3787" s="84">
        <v>18.27</v>
      </c>
      <c r="D3787" s="84">
        <v>3.0</v>
      </c>
      <c r="E3787" s="84">
        <v>6.09</v>
      </c>
      <c r="F3787" s="76" t="s">
        <v>1005</v>
      </c>
      <c r="G3787" s="83">
        <v>46113.0</v>
      </c>
      <c r="H3787" s="76" t="s">
        <v>953</v>
      </c>
    </row>
    <row r="3788">
      <c r="A3788" s="76" t="s">
        <v>40</v>
      </c>
      <c r="B3788" s="76" t="s">
        <v>1022</v>
      </c>
      <c r="C3788" s="84">
        <v>3.17</v>
      </c>
      <c r="D3788" s="84">
        <v>0.0</v>
      </c>
      <c r="E3788" s="84">
        <v>0.0</v>
      </c>
      <c r="F3788" s="76" t="s">
        <v>1005</v>
      </c>
      <c r="G3788" s="83">
        <v>46113.0</v>
      </c>
      <c r="H3788" s="76" t="s">
        <v>954</v>
      </c>
    </row>
    <row r="3789">
      <c r="A3789" s="76" t="s">
        <v>40</v>
      </c>
      <c r="B3789" s="76" t="s">
        <v>1022</v>
      </c>
      <c r="C3789" s="84">
        <v>1.33</v>
      </c>
      <c r="D3789" s="84">
        <v>0.0</v>
      </c>
      <c r="E3789" s="84">
        <v>0.0</v>
      </c>
      <c r="F3789" s="76" t="s">
        <v>1005</v>
      </c>
      <c r="G3789" s="83">
        <v>46113.0</v>
      </c>
      <c r="H3789" s="76" t="s">
        <v>955</v>
      </c>
    </row>
    <row r="3790">
      <c r="A3790" s="76" t="s">
        <v>40</v>
      </c>
      <c r="B3790" s="76" t="s">
        <v>1022</v>
      </c>
      <c r="C3790" s="84">
        <v>17.29</v>
      </c>
      <c r="D3790" s="84">
        <v>1.0</v>
      </c>
      <c r="E3790" s="84">
        <v>17.29</v>
      </c>
      <c r="F3790" s="76" t="s">
        <v>1005</v>
      </c>
      <c r="G3790" s="83">
        <v>46113.0</v>
      </c>
      <c r="H3790" s="76" t="s">
        <v>956</v>
      </c>
    </row>
    <row r="3791">
      <c r="A3791" s="76" t="s">
        <v>33</v>
      </c>
      <c r="B3791" s="76" t="s">
        <v>1022</v>
      </c>
      <c r="C3791" s="84">
        <v>15.79</v>
      </c>
      <c r="D3791" s="84">
        <v>1.0</v>
      </c>
      <c r="E3791" s="84">
        <v>15.79</v>
      </c>
      <c r="F3791" s="76" t="s">
        <v>1005</v>
      </c>
      <c r="G3791" s="83">
        <v>46113.0</v>
      </c>
      <c r="H3791" s="76" t="s">
        <v>957</v>
      </c>
    </row>
    <row r="3792">
      <c r="A3792" s="76" t="s">
        <v>33</v>
      </c>
      <c r="B3792" s="76" t="s">
        <v>1022</v>
      </c>
      <c r="C3792" s="84">
        <v>1.66</v>
      </c>
      <c r="D3792" s="84">
        <v>0.0</v>
      </c>
      <c r="E3792" s="84">
        <v>0.0</v>
      </c>
      <c r="F3792" s="76" t="s">
        <v>1005</v>
      </c>
      <c r="G3792" s="83">
        <v>46113.0</v>
      </c>
      <c r="H3792" s="76" t="s">
        <v>958</v>
      </c>
    </row>
    <row r="3793">
      <c r="A3793" s="76" t="s">
        <v>33</v>
      </c>
      <c r="B3793" s="76" t="s">
        <v>1022</v>
      </c>
      <c r="C3793" s="84">
        <v>6.21</v>
      </c>
      <c r="D3793" s="84">
        <v>1.0</v>
      </c>
      <c r="E3793" s="84">
        <v>6.21</v>
      </c>
      <c r="F3793" s="76" t="s">
        <v>1005</v>
      </c>
      <c r="G3793" s="83">
        <v>46113.0</v>
      </c>
      <c r="H3793" s="76" t="s">
        <v>959</v>
      </c>
    </row>
    <row r="3794">
      <c r="A3794" s="76" t="s">
        <v>46</v>
      </c>
      <c r="B3794" s="76" t="s">
        <v>1022</v>
      </c>
      <c r="C3794" s="84">
        <v>1.93</v>
      </c>
      <c r="D3794" s="84">
        <v>1.0</v>
      </c>
      <c r="E3794" s="84">
        <v>1.93</v>
      </c>
      <c r="F3794" s="76" t="s">
        <v>1005</v>
      </c>
      <c r="G3794" s="83">
        <v>46113.0</v>
      </c>
      <c r="H3794" s="76" t="s">
        <v>960</v>
      </c>
    </row>
    <row r="3795">
      <c r="A3795" s="76" t="s">
        <v>46</v>
      </c>
      <c r="B3795" s="76" t="s">
        <v>1022</v>
      </c>
      <c r="C3795" s="84">
        <v>2.4</v>
      </c>
      <c r="D3795" s="84">
        <v>0.0</v>
      </c>
      <c r="E3795" s="84">
        <v>0.0</v>
      </c>
      <c r="F3795" s="76" t="s">
        <v>1005</v>
      </c>
      <c r="G3795" s="83">
        <v>46113.0</v>
      </c>
      <c r="H3795" s="76" t="s">
        <v>961</v>
      </c>
    </row>
    <row r="3796">
      <c r="A3796" s="76" t="s">
        <v>46</v>
      </c>
      <c r="B3796" s="76" t="s">
        <v>1022</v>
      </c>
      <c r="C3796" s="84">
        <v>3.94</v>
      </c>
      <c r="D3796" s="84">
        <v>0.0</v>
      </c>
      <c r="E3796" s="84">
        <v>0.0</v>
      </c>
      <c r="F3796" s="76" t="s">
        <v>1005</v>
      </c>
      <c r="G3796" s="83">
        <v>46113.0</v>
      </c>
      <c r="H3796" s="76" t="s">
        <v>962</v>
      </c>
    </row>
    <row r="3797">
      <c r="A3797" s="76" t="s">
        <v>43</v>
      </c>
      <c r="B3797" s="76" t="s">
        <v>1022</v>
      </c>
      <c r="C3797" s="84">
        <v>4.3</v>
      </c>
      <c r="D3797" s="84">
        <v>0.0</v>
      </c>
      <c r="E3797" s="84">
        <v>0.0</v>
      </c>
      <c r="F3797" s="76" t="s">
        <v>1005</v>
      </c>
      <c r="G3797" s="83">
        <v>46113.0</v>
      </c>
      <c r="H3797" s="76" t="s">
        <v>963</v>
      </c>
    </row>
    <row r="3798">
      <c r="A3798" s="76" t="s">
        <v>43</v>
      </c>
      <c r="B3798" s="76" t="s">
        <v>1022</v>
      </c>
      <c r="C3798" s="84">
        <v>1.58</v>
      </c>
      <c r="D3798" s="84">
        <v>0.0</v>
      </c>
      <c r="E3798" s="84">
        <v>0.0</v>
      </c>
      <c r="F3798" s="76" t="s">
        <v>1005</v>
      </c>
      <c r="G3798" s="83">
        <v>46113.0</v>
      </c>
      <c r="H3798" s="76" t="s">
        <v>964</v>
      </c>
    </row>
    <row r="3799">
      <c r="A3799" s="76" t="s">
        <v>43</v>
      </c>
      <c r="B3799" s="76" t="s">
        <v>1022</v>
      </c>
      <c r="C3799" s="84">
        <v>12.96</v>
      </c>
      <c r="D3799" s="84">
        <v>0.0</v>
      </c>
      <c r="E3799" s="84">
        <v>0.0</v>
      </c>
      <c r="F3799" s="76" t="s">
        <v>1005</v>
      </c>
      <c r="G3799" s="83">
        <v>46113.0</v>
      </c>
      <c r="H3799" s="76" t="s">
        <v>965</v>
      </c>
    </row>
    <row r="3800">
      <c r="A3800" s="76" t="s">
        <v>966</v>
      </c>
      <c r="B3800" s="76" t="s">
        <v>1022</v>
      </c>
      <c r="C3800" s="84">
        <v>10.38</v>
      </c>
      <c r="D3800" s="84">
        <v>0.0</v>
      </c>
      <c r="E3800" s="84">
        <v>0.0</v>
      </c>
      <c r="F3800" s="76" t="s">
        <v>1005</v>
      </c>
      <c r="G3800" s="83">
        <v>46113.0</v>
      </c>
      <c r="H3800" s="76" t="s">
        <v>967</v>
      </c>
    </row>
    <row r="3801">
      <c r="A3801" s="76" t="s">
        <v>966</v>
      </c>
      <c r="B3801" s="76" t="s">
        <v>1022</v>
      </c>
      <c r="C3801" s="84">
        <v>2.8</v>
      </c>
      <c r="D3801" s="84">
        <v>0.0</v>
      </c>
      <c r="E3801" s="84">
        <v>0.0</v>
      </c>
      <c r="F3801" s="76" t="s">
        <v>1005</v>
      </c>
      <c r="G3801" s="83">
        <v>46113.0</v>
      </c>
      <c r="H3801" s="76" t="s">
        <v>968</v>
      </c>
    </row>
    <row r="3802">
      <c r="A3802" s="76" t="s">
        <v>966</v>
      </c>
      <c r="B3802" s="76" t="s">
        <v>1022</v>
      </c>
      <c r="C3802" s="84">
        <v>2.5</v>
      </c>
      <c r="D3802" s="84">
        <v>0.0</v>
      </c>
      <c r="E3802" s="84">
        <v>0.0</v>
      </c>
      <c r="F3802" s="76" t="s">
        <v>1005</v>
      </c>
      <c r="G3802" s="83">
        <v>46113.0</v>
      </c>
      <c r="H3802" s="76" t="s">
        <v>969</v>
      </c>
    </row>
    <row r="3803">
      <c r="A3803" s="76" t="s">
        <v>36</v>
      </c>
      <c r="B3803" s="76" t="s">
        <v>1022</v>
      </c>
      <c r="C3803" s="84">
        <v>7.67</v>
      </c>
      <c r="D3803" s="84">
        <v>0.0</v>
      </c>
      <c r="E3803" s="84">
        <v>0.0</v>
      </c>
      <c r="F3803" s="76" t="s">
        <v>1005</v>
      </c>
      <c r="G3803" s="83">
        <v>46113.0</v>
      </c>
      <c r="H3803" s="76" t="s">
        <v>926</v>
      </c>
    </row>
    <row r="3804">
      <c r="A3804" s="76" t="s">
        <v>36</v>
      </c>
      <c r="B3804" s="76" t="s">
        <v>1022</v>
      </c>
      <c r="C3804" s="84">
        <v>5.2</v>
      </c>
      <c r="D3804" s="84">
        <v>0.0</v>
      </c>
      <c r="E3804" s="84">
        <v>0.0</v>
      </c>
      <c r="F3804" s="76" t="s">
        <v>1005</v>
      </c>
      <c r="G3804" s="83">
        <v>46113.0</v>
      </c>
      <c r="H3804" s="76" t="s">
        <v>927</v>
      </c>
    </row>
    <row r="3805">
      <c r="A3805" s="76" t="s">
        <v>36</v>
      </c>
      <c r="B3805" s="76" t="s">
        <v>1022</v>
      </c>
      <c r="C3805" s="84">
        <v>4.86</v>
      </c>
      <c r="D3805" s="84">
        <v>1.0</v>
      </c>
      <c r="E3805" s="84">
        <v>4.86</v>
      </c>
      <c r="F3805" s="76" t="s">
        <v>1005</v>
      </c>
      <c r="G3805" s="83">
        <v>46113.0</v>
      </c>
      <c r="H3805" s="76" t="s">
        <v>928</v>
      </c>
    </row>
    <row r="3806">
      <c r="A3806" s="76" t="s">
        <v>970</v>
      </c>
      <c r="B3806" s="76" t="s">
        <v>1022</v>
      </c>
      <c r="C3806" s="84">
        <v>5.94</v>
      </c>
      <c r="D3806" s="84">
        <v>3.0</v>
      </c>
      <c r="E3806" s="84">
        <v>1.98</v>
      </c>
      <c r="F3806" s="76" t="s">
        <v>1005</v>
      </c>
      <c r="G3806" s="83">
        <v>46113.0</v>
      </c>
      <c r="H3806" s="76" t="s">
        <v>971</v>
      </c>
    </row>
    <row r="3807">
      <c r="A3807" s="76" t="s">
        <v>970</v>
      </c>
      <c r="B3807" s="76" t="s">
        <v>1022</v>
      </c>
      <c r="C3807" s="84">
        <v>1.51</v>
      </c>
      <c r="D3807" s="84">
        <v>0.0</v>
      </c>
      <c r="E3807" s="84">
        <v>0.0</v>
      </c>
      <c r="F3807" s="76" t="s">
        <v>1005</v>
      </c>
      <c r="G3807" s="83">
        <v>46113.0</v>
      </c>
      <c r="H3807" s="76" t="s">
        <v>972</v>
      </c>
    </row>
    <row r="3808">
      <c r="A3808" s="76" t="s">
        <v>970</v>
      </c>
      <c r="B3808" s="76" t="s">
        <v>1022</v>
      </c>
      <c r="C3808" s="84">
        <v>14.41</v>
      </c>
      <c r="D3808" s="84">
        <v>2.0</v>
      </c>
      <c r="E3808" s="84">
        <v>7.2</v>
      </c>
      <c r="F3808" s="76" t="s">
        <v>1005</v>
      </c>
      <c r="G3808" s="83">
        <v>46113.0</v>
      </c>
      <c r="H3808" s="76" t="s">
        <v>973</v>
      </c>
    </row>
    <row r="3809">
      <c r="A3809" s="76" t="s">
        <v>29</v>
      </c>
      <c r="B3809" s="76" t="s">
        <v>1022</v>
      </c>
      <c r="C3809" s="84">
        <v>10.69</v>
      </c>
      <c r="D3809" s="84">
        <v>1.0</v>
      </c>
      <c r="E3809" s="84">
        <v>10.69</v>
      </c>
      <c r="F3809" s="76" t="s">
        <v>1005</v>
      </c>
      <c r="G3809" s="83">
        <v>46113.0</v>
      </c>
      <c r="H3809" s="76" t="s">
        <v>1015</v>
      </c>
    </row>
    <row r="3810">
      <c r="A3810" s="76" t="s">
        <v>29</v>
      </c>
      <c r="B3810" s="76" t="s">
        <v>1022</v>
      </c>
      <c r="C3810" s="84">
        <v>5.63</v>
      </c>
      <c r="D3810" s="84">
        <v>1.0</v>
      </c>
      <c r="E3810" s="84">
        <v>5.63</v>
      </c>
      <c r="F3810" s="76" t="s">
        <v>1005</v>
      </c>
      <c r="G3810" s="83">
        <v>46113.0</v>
      </c>
      <c r="H3810" s="76" t="s">
        <v>1016</v>
      </c>
    </row>
    <row r="3811">
      <c r="A3811" s="76" t="s">
        <v>29</v>
      </c>
      <c r="B3811" s="76" t="s">
        <v>1022</v>
      </c>
      <c r="C3811" s="84">
        <v>3.58</v>
      </c>
      <c r="D3811" s="84">
        <v>0.0</v>
      </c>
      <c r="E3811" s="84">
        <v>0.0</v>
      </c>
      <c r="F3811" s="76" t="s">
        <v>1005</v>
      </c>
      <c r="G3811" s="83">
        <v>46113.0</v>
      </c>
      <c r="H3811" s="76" t="s">
        <v>1017</v>
      </c>
    </row>
    <row r="3812">
      <c r="A3812" s="76" t="s">
        <v>34</v>
      </c>
      <c r="B3812" s="76" t="s">
        <v>1022</v>
      </c>
      <c r="C3812" s="84">
        <v>5.88</v>
      </c>
      <c r="D3812" s="84">
        <v>0.0</v>
      </c>
      <c r="E3812" s="84">
        <v>0.0</v>
      </c>
      <c r="F3812" s="76" t="s">
        <v>996</v>
      </c>
      <c r="G3812" s="83">
        <v>46113.0</v>
      </c>
      <c r="H3812" s="76" t="s">
        <v>951</v>
      </c>
    </row>
    <row r="3813">
      <c r="A3813" s="76" t="s">
        <v>34</v>
      </c>
      <c r="B3813" s="76" t="s">
        <v>1022</v>
      </c>
      <c r="C3813" s="84">
        <v>4.28</v>
      </c>
      <c r="D3813" s="84">
        <v>0.0</v>
      </c>
      <c r="E3813" s="84">
        <v>0.0</v>
      </c>
      <c r="F3813" s="76" t="s">
        <v>996</v>
      </c>
      <c r="G3813" s="83">
        <v>46113.0</v>
      </c>
      <c r="H3813" s="76" t="s">
        <v>952</v>
      </c>
    </row>
    <row r="3814">
      <c r="A3814" s="76" t="s">
        <v>34</v>
      </c>
      <c r="B3814" s="76" t="s">
        <v>1022</v>
      </c>
      <c r="C3814" s="84">
        <v>16.87</v>
      </c>
      <c r="D3814" s="84">
        <v>1.0</v>
      </c>
      <c r="E3814" s="84">
        <v>16.87</v>
      </c>
      <c r="F3814" s="76" t="s">
        <v>996</v>
      </c>
      <c r="G3814" s="83">
        <v>46113.0</v>
      </c>
      <c r="H3814" s="76" t="s">
        <v>953</v>
      </c>
    </row>
    <row r="3815">
      <c r="A3815" s="76" t="s">
        <v>40</v>
      </c>
      <c r="B3815" s="76" t="s">
        <v>1022</v>
      </c>
      <c r="C3815" s="84">
        <v>1.9</v>
      </c>
      <c r="D3815" s="84">
        <v>0.0</v>
      </c>
      <c r="E3815" s="84">
        <v>0.0</v>
      </c>
      <c r="F3815" s="76" t="s">
        <v>996</v>
      </c>
      <c r="G3815" s="83">
        <v>46113.0</v>
      </c>
      <c r="H3815" s="76" t="s">
        <v>954</v>
      </c>
    </row>
    <row r="3816">
      <c r="A3816" s="76" t="s">
        <v>40</v>
      </c>
      <c r="B3816" s="76" t="s">
        <v>1022</v>
      </c>
      <c r="C3816" s="84">
        <v>0.74</v>
      </c>
      <c r="D3816" s="84">
        <v>0.0</v>
      </c>
      <c r="E3816" s="84">
        <v>0.0</v>
      </c>
      <c r="F3816" s="76" t="s">
        <v>996</v>
      </c>
      <c r="G3816" s="83">
        <v>46113.0</v>
      </c>
      <c r="H3816" s="76" t="s">
        <v>955</v>
      </c>
    </row>
    <row r="3817">
      <c r="A3817" s="76" t="s">
        <v>40</v>
      </c>
      <c r="B3817" s="76" t="s">
        <v>1022</v>
      </c>
      <c r="C3817" s="84">
        <v>15.05</v>
      </c>
      <c r="D3817" s="84">
        <v>1.0</v>
      </c>
      <c r="E3817" s="84">
        <v>15.05</v>
      </c>
      <c r="F3817" s="76" t="s">
        <v>996</v>
      </c>
      <c r="G3817" s="83">
        <v>46113.0</v>
      </c>
      <c r="H3817" s="76" t="s">
        <v>956</v>
      </c>
    </row>
    <row r="3818">
      <c r="A3818" s="76" t="s">
        <v>33</v>
      </c>
      <c r="B3818" s="76" t="s">
        <v>1022</v>
      </c>
      <c r="C3818" s="84">
        <v>15.99</v>
      </c>
      <c r="D3818" s="84">
        <v>1.0</v>
      </c>
      <c r="E3818" s="84">
        <v>15.99</v>
      </c>
      <c r="F3818" s="76" t="s">
        <v>996</v>
      </c>
      <c r="G3818" s="83">
        <v>46113.0</v>
      </c>
      <c r="H3818" s="76" t="s">
        <v>957</v>
      </c>
    </row>
    <row r="3819">
      <c r="A3819" s="76" t="s">
        <v>33</v>
      </c>
      <c r="B3819" s="76" t="s">
        <v>1022</v>
      </c>
      <c r="C3819" s="84">
        <v>1.09</v>
      </c>
      <c r="D3819" s="84">
        <v>0.0</v>
      </c>
      <c r="E3819" s="84">
        <v>0.0</v>
      </c>
      <c r="F3819" s="76" t="s">
        <v>996</v>
      </c>
      <c r="G3819" s="83">
        <v>46113.0</v>
      </c>
      <c r="H3819" s="76" t="s">
        <v>958</v>
      </c>
    </row>
    <row r="3820">
      <c r="A3820" s="76" t="s">
        <v>33</v>
      </c>
      <c r="B3820" s="76" t="s">
        <v>1022</v>
      </c>
      <c r="C3820" s="84">
        <v>3.98</v>
      </c>
      <c r="D3820" s="84">
        <v>0.0</v>
      </c>
      <c r="E3820" s="84">
        <v>0.0</v>
      </c>
      <c r="F3820" s="76" t="s">
        <v>996</v>
      </c>
      <c r="G3820" s="83">
        <v>46113.0</v>
      </c>
      <c r="H3820" s="76" t="s">
        <v>959</v>
      </c>
    </row>
    <row r="3821">
      <c r="A3821" s="76" t="s">
        <v>46</v>
      </c>
      <c r="B3821" s="76" t="s">
        <v>1022</v>
      </c>
      <c r="C3821" s="84">
        <v>2.19</v>
      </c>
      <c r="D3821" s="84">
        <v>0.0</v>
      </c>
      <c r="E3821" s="84">
        <v>0.0</v>
      </c>
      <c r="F3821" s="76" t="s">
        <v>996</v>
      </c>
      <c r="G3821" s="83">
        <v>46113.0</v>
      </c>
      <c r="H3821" s="76" t="s">
        <v>960</v>
      </c>
    </row>
    <row r="3822">
      <c r="A3822" s="76" t="s">
        <v>46</v>
      </c>
      <c r="B3822" s="76" t="s">
        <v>1022</v>
      </c>
      <c r="C3822" s="84">
        <v>1.94</v>
      </c>
      <c r="D3822" s="84">
        <v>0.0</v>
      </c>
      <c r="E3822" s="84">
        <v>0.0</v>
      </c>
      <c r="F3822" s="76" t="s">
        <v>996</v>
      </c>
      <c r="G3822" s="83">
        <v>46113.0</v>
      </c>
      <c r="H3822" s="76" t="s">
        <v>961</v>
      </c>
    </row>
    <row r="3823">
      <c r="A3823" s="76" t="s">
        <v>46</v>
      </c>
      <c r="B3823" s="76" t="s">
        <v>1022</v>
      </c>
      <c r="C3823" s="84">
        <v>2.71</v>
      </c>
      <c r="D3823" s="84">
        <v>0.0</v>
      </c>
      <c r="E3823" s="84">
        <v>0.0</v>
      </c>
      <c r="F3823" s="76" t="s">
        <v>996</v>
      </c>
      <c r="G3823" s="83">
        <v>46113.0</v>
      </c>
      <c r="H3823" s="76" t="s">
        <v>962</v>
      </c>
    </row>
    <row r="3824">
      <c r="A3824" s="76" t="s">
        <v>43</v>
      </c>
      <c r="B3824" s="76" t="s">
        <v>1022</v>
      </c>
      <c r="C3824" s="84">
        <v>3.7</v>
      </c>
      <c r="D3824" s="84">
        <v>0.0</v>
      </c>
      <c r="E3824" s="84">
        <v>0.0</v>
      </c>
      <c r="F3824" s="76" t="s">
        <v>996</v>
      </c>
      <c r="G3824" s="83">
        <v>46113.0</v>
      </c>
      <c r="H3824" s="76" t="s">
        <v>963</v>
      </c>
    </row>
    <row r="3825">
      <c r="A3825" s="76" t="s">
        <v>43</v>
      </c>
      <c r="B3825" s="76" t="s">
        <v>1022</v>
      </c>
      <c r="C3825" s="84">
        <v>1.1</v>
      </c>
      <c r="D3825" s="84">
        <v>0.0</v>
      </c>
      <c r="E3825" s="84">
        <v>0.0</v>
      </c>
      <c r="F3825" s="76" t="s">
        <v>996</v>
      </c>
      <c r="G3825" s="83">
        <v>46113.0</v>
      </c>
      <c r="H3825" s="76" t="s">
        <v>964</v>
      </c>
    </row>
    <row r="3826">
      <c r="A3826" s="76" t="s">
        <v>43</v>
      </c>
      <c r="B3826" s="76" t="s">
        <v>1022</v>
      </c>
      <c r="C3826" s="84">
        <v>11.71</v>
      </c>
      <c r="D3826" s="84">
        <v>0.0</v>
      </c>
      <c r="E3826" s="84">
        <v>0.0</v>
      </c>
      <c r="F3826" s="76" t="s">
        <v>996</v>
      </c>
      <c r="G3826" s="83">
        <v>46113.0</v>
      </c>
      <c r="H3826" s="76" t="s">
        <v>965</v>
      </c>
    </row>
    <row r="3827">
      <c r="A3827" s="76" t="s">
        <v>966</v>
      </c>
      <c r="B3827" s="76" t="s">
        <v>1022</v>
      </c>
      <c r="C3827" s="84">
        <v>9.64</v>
      </c>
      <c r="D3827" s="84">
        <v>0.0</v>
      </c>
      <c r="E3827" s="84">
        <v>0.0</v>
      </c>
      <c r="F3827" s="76" t="s">
        <v>996</v>
      </c>
      <c r="G3827" s="83">
        <v>46113.0</v>
      </c>
      <c r="H3827" s="76" t="s">
        <v>967</v>
      </c>
    </row>
    <row r="3828">
      <c r="A3828" s="76" t="s">
        <v>966</v>
      </c>
      <c r="B3828" s="76" t="s">
        <v>1022</v>
      </c>
      <c r="C3828" s="84">
        <v>2.63</v>
      </c>
      <c r="D3828" s="84">
        <v>0.0</v>
      </c>
      <c r="E3828" s="84">
        <v>0.0</v>
      </c>
      <c r="F3828" s="76" t="s">
        <v>996</v>
      </c>
      <c r="G3828" s="83">
        <v>46113.0</v>
      </c>
      <c r="H3828" s="76" t="s">
        <v>968</v>
      </c>
    </row>
    <row r="3829">
      <c r="A3829" s="76" t="s">
        <v>966</v>
      </c>
      <c r="B3829" s="76" t="s">
        <v>1022</v>
      </c>
      <c r="C3829" s="84">
        <v>1.6</v>
      </c>
      <c r="D3829" s="84">
        <v>0.0</v>
      </c>
      <c r="E3829" s="84">
        <v>0.0</v>
      </c>
      <c r="F3829" s="76" t="s">
        <v>996</v>
      </c>
      <c r="G3829" s="83">
        <v>46113.0</v>
      </c>
      <c r="H3829" s="76" t="s">
        <v>969</v>
      </c>
    </row>
    <row r="3830">
      <c r="A3830" s="76" t="s">
        <v>36</v>
      </c>
      <c r="B3830" s="76" t="s">
        <v>1022</v>
      </c>
      <c r="C3830" s="84">
        <v>7.21</v>
      </c>
      <c r="D3830" s="84">
        <v>0.0</v>
      </c>
      <c r="E3830" s="84">
        <v>0.0</v>
      </c>
      <c r="F3830" s="76" t="s">
        <v>996</v>
      </c>
      <c r="G3830" s="83">
        <v>46113.0</v>
      </c>
      <c r="H3830" s="76" t="s">
        <v>926</v>
      </c>
    </row>
    <row r="3831">
      <c r="A3831" s="76" t="s">
        <v>36</v>
      </c>
      <c r="B3831" s="76" t="s">
        <v>1022</v>
      </c>
      <c r="C3831" s="84">
        <v>2.54</v>
      </c>
      <c r="D3831" s="84">
        <v>0.0</v>
      </c>
      <c r="E3831" s="84">
        <v>0.0</v>
      </c>
      <c r="F3831" s="76" t="s">
        <v>996</v>
      </c>
      <c r="G3831" s="83">
        <v>46113.0</v>
      </c>
      <c r="H3831" s="76" t="s">
        <v>927</v>
      </c>
    </row>
    <row r="3832">
      <c r="A3832" s="76" t="s">
        <v>36</v>
      </c>
      <c r="B3832" s="76" t="s">
        <v>1022</v>
      </c>
      <c r="C3832" s="84">
        <v>2.69</v>
      </c>
      <c r="D3832" s="84">
        <v>0.0</v>
      </c>
      <c r="E3832" s="84">
        <v>0.0</v>
      </c>
      <c r="F3832" s="76" t="s">
        <v>996</v>
      </c>
      <c r="G3832" s="83">
        <v>46113.0</v>
      </c>
      <c r="H3832" s="76" t="s">
        <v>928</v>
      </c>
    </row>
    <row r="3833">
      <c r="A3833" s="76" t="s">
        <v>970</v>
      </c>
      <c r="B3833" s="76" t="s">
        <v>1022</v>
      </c>
      <c r="C3833" s="84">
        <v>2.66</v>
      </c>
      <c r="D3833" s="84">
        <v>0.0</v>
      </c>
      <c r="E3833" s="84">
        <v>0.0</v>
      </c>
      <c r="F3833" s="76" t="s">
        <v>996</v>
      </c>
      <c r="G3833" s="83">
        <v>46113.0</v>
      </c>
      <c r="H3833" s="76" t="s">
        <v>971</v>
      </c>
    </row>
    <row r="3834">
      <c r="A3834" s="76" t="s">
        <v>970</v>
      </c>
      <c r="B3834" s="76" t="s">
        <v>1022</v>
      </c>
      <c r="C3834" s="84">
        <v>0.76</v>
      </c>
      <c r="D3834" s="84">
        <v>0.0</v>
      </c>
      <c r="E3834" s="84">
        <v>0.0</v>
      </c>
      <c r="F3834" s="76" t="s">
        <v>996</v>
      </c>
      <c r="G3834" s="83">
        <v>46113.0</v>
      </c>
      <c r="H3834" s="76" t="s">
        <v>972</v>
      </c>
    </row>
    <row r="3835">
      <c r="A3835" s="76" t="s">
        <v>970</v>
      </c>
      <c r="B3835" s="76" t="s">
        <v>1022</v>
      </c>
      <c r="C3835" s="84">
        <v>13.59</v>
      </c>
      <c r="D3835" s="84">
        <v>0.0</v>
      </c>
      <c r="E3835" s="84">
        <v>0.0</v>
      </c>
      <c r="F3835" s="76" t="s">
        <v>996</v>
      </c>
      <c r="G3835" s="83">
        <v>46113.0</v>
      </c>
      <c r="H3835" s="76" t="s">
        <v>973</v>
      </c>
    </row>
    <row r="3836">
      <c r="A3836" s="76" t="s">
        <v>29</v>
      </c>
      <c r="B3836" s="76" t="s">
        <v>1022</v>
      </c>
      <c r="C3836" s="84">
        <v>2.77</v>
      </c>
      <c r="D3836" s="84">
        <v>0.0</v>
      </c>
      <c r="E3836" s="84">
        <v>0.0</v>
      </c>
      <c r="F3836" s="76" t="s">
        <v>996</v>
      </c>
      <c r="G3836" s="83">
        <v>46113.0</v>
      </c>
      <c r="H3836" s="76" t="s">
        <v>971</v>
      </c>
    </row>
    <row r="3837">
      <c r="A3837" s="76" t="s">
        <v>29</v>
      </c>
      <c r="B3837" s="76" t="s">
        <v>1022</v>
      </c>
      <c r="C3837" s="84">
        <v>0.74</v>
      </c>
      <c r="D3837" s="84">
        <v>0.0</v>
      </c>
      <c r="E3837" s="84">
        <v>0.0</v>
      </c>
      <c r="F3837" s="76" t="s">
        <v>996</v>
      </c>
      <c r="G3837" s="83">
        <v>46113.0</v>
      </c>
      <c r="H3837" s="76" t="s">
        <v>972</v>
      </c>
    </row>
    <row r="3838">
      <c r="A3838" s="76" t="s">
        <v>29</v>
      </c>
      <c r="B3838" s="76" t="s">
        <v>1022</v>
      </c>
      <c r="C3838" s="84">
        <v>14.31</v>
      </c>
      <c r="D3838" s="84">
        <v>0.0</v>
      </c>
      <c r="E3838" s="84">
        <v>0.0</v>
      </c>
      <c r="F3838" s="76" t="s">
        <v>996</v>
      </c>
      <c r="G3838" s="83">
        <v>46113.0</v>
      </c>
      <c r="H3838" s="76" t="s">
        <v>973</v>
      </c>
    </row>
    <row r="3839">
      <c r="A3839" s="76" t="s">
        <v>34</v>
      </c>
      <c r="B3839" s="76" t="s">
        <v>1022</v>
      </c>
      <c r="C3839" s="84">
        <v>5.22</v>
      </c>
      <c r="D3839" s="84">
        <v>0.0</v>
      </c>
      <c r="E3839" s="84">
        <v>0.0</v>
      </c>
      <c r="F3839" s="76" t="s">
        <v>997</v>
      </c>
      <c r="G3839" s="83">
        <v>46113.0</v>
      </c>
      <c r="H3839" s="76" t="s">
        <v>951</v>
      </c>
    </row>
    <row r="3840">
      <c r="A3840" s="76" t="s">
        <v>34</v>
      </c>
      <c r="B3840" s="76" t="s">
        <v>1022</v>
      </c>
      <c r="C3840" s="84">
        <v>3.71</v>
      </c>
      <c r="D3840" s="84">
        <v>0.0</v>
      </c>
      <c r="E3840" s="84">
        <v>0.0</v>
      </c>
      <c r="F3840" s="76" t="s">
        <v>997</v>
      </c>
      <c r="G3840" s="83">
        <v>46113.0</v>
      </c>
      <c r="H3840" s="76" t="s">
        <v>952</v>
      </c>
    </row>
    <row r="3841">
      <c r="A3841" s="76" t="s">
        <v>34</v>
      </c>
      <c r="B3841" s="76" t="s">
        <v>1022</v>
      </c>
      <c r="C3841" s="84">
        <v>11.88</v>
      </c>
      <c r="D3841" s="84">
        <v>0.0</v>
      </c>
      <c r="E3841" s="84">
        <v>0.0</v>
      </c>
      <c r="F3841" s="76" t="s">
        <v>997</v>
      </c>
      <c r="G3841" s="83">
        <v>46113.0</v>
      </c>
      <c r="H3841" s="76" t="s">
        <v>953</v>
      </c>
    </row>
    <row r="3842">
      <c r="A3842" s="76" t="s">
        <v>40</v>
      </c>
      <c r="B3842" s="76" t="s">
        <v>1022</v>
      </c>
      <c r="C3842" s="84">
        <v>2.14</v>
      </c>
      <c r="D3842" s="84">
        <v>0.0</v>
      </c>
      <c r="E3842" s="84">
        <v>0.0</v>
      </c>
      <c r="F3842" s="76" t="s">
        <v>997</v>
      </c>
      <c r="G3842" s="83">
        <v>46113.0</v>
      </c>
      <c r="H3842" s="76" t="s">
        <v>954</v>
      </c>
    </row>
    <row r="3843">
      <c r="A3843" s="76" t="s">
        <v>40</v>
      </c>
      <c r="B3843" s="76" t="s">
        <v>1022</v>
      </c>
      <c r="C3843" s="84">
        <v>0.74</v>
      </c>
      <c r="D3843" s="84">
        <v>0.0</v>
      </c>
      <c r="E3843" s="84">
        <v>0.0</v>
      </c>
      <c r="F3843" s="76" t="s">
        <v>997</v>
      </c>
      <c r="G3843" s="83">
        <v>46113.0</v>
      </c>
      <c r="H3843" s="76" t="s">
        <v>955</v>
      </c>
    </row>
    <row r="3844">
      <c r="A3844" s="76" t="s">
        <v>40</v>
      </c>
      <c r="B3844" s="76" t="s">
        <v>1022</v>
      </c>
      <c r="C3844" s="84">
        <v>15.42</v>
      </c>
      <c r="D3844" s="84">
        <v>0.0</v>
      </c>
      <c r="E3844" s="84">
        <v>0.0</v>
      </c>
      <c r="F3844" s="76" t="s">
        <v>997</v>
      </c>
      <c r="G3844" s="83">
        <v>46113.0</v>
      </c>
      <c r="H3844" s="76" t="s">
        <v>956</v>
      </c>
    </row>
    <row r="3845">
      <c r="A3845" s="76" t="s">
        <v>33</v>
      </c>
      <c r="B3845" s="76" t="s">
        <v>1022</v>
      </c>
      <c r="C3845" s="84">
        <v>15.23</v>
      </c>
      <c r="D3845" s="84">
        <v>2.0</v>
      </c>
      <c r="E3845" s="84">
        <v>7.61</v>
      </c>
      <c r="F3845" s="76" t="s">
        <v>997</v>
      </c>
      <c r="G3845" s="83">
        <v>46113.0</v>
      </c>
      <c r="H3845" s="76" t="s">
        <v>957</v>
      </c>
    </row>
    <row r="3846">
      <c r="A3846" s="76" t="s">
        <v>33</v>
      </c>
      <c r="B3846" s="76" t="s">
        <v>1022</v>
      </c>
      <c r="C3846" s="84">
        <v>1.32</v>
      </c>
      <c r="D3846" s="84">
        <v>0.0</v>
      </c>
      <c r="E3846" s="84">
        <v>0.0</v>
      </c>
      <c r="F3846" s="76" t="s">
        <v>997</v>
      </c>
      <c r="G3846" s="83">
        <v>46113.0</v>
      </c>
      <c r="H3846" s="76" t="s">
        <v>958</v>
      </c>
    </row>
    <row r="3847">
      <c r="A3847" s="76" t="s">
        <v>33</v>
      </c>
      <c r="B3847" s="76" t="s">
        <v>1022</v>
      </c>
      <c r="C3847" s="84">
        <v>3.9</v>
      </c>
      <c r="D3847" s="84">
        <v>0.0</v>
      </c>
      <c r="E3847" s="84">
        <v>0.0</v>
      </c>
      <c r="F3847" s="76" t="s">
        <v>997</v>
      </c>
      <c r="G3847" s="83">
        <v>46113.0</v>
      </c>
      <c r="H3847" s="76" t="s">
        <v>959</v>
      </c>
    </row>
    <row r="3848">
      <c r="A3848" s="76" t="s">
        <v>46</v>
      </c>
      <c r="B3848" s="76" t="s">
        <v>1022</v>
      </c>
      <c r="C3848" s="84">
        <v>1.62</v>
      </c>
      <c r="D3848" s="84">
        <v>0.0</v>
      </c>
      <c r="E3848" s="84">
        <v>0.0</v>
      </c>
      <c r="F3848" s="76" t="s">
        <v>997</v>
      </c>
      <c r="G3848" s="83">
        <v>46113.0</v>
      </c>
      <c r="H3848" s="76" t="s">
        <v>960</v>
      </c>
    </row>
    <row r="3849">
      <c r="A3849" s="76" t="s">
        <v>46</v>
      </c>
      <c r="B3849" s="76" t="s">
        <v>1022</v>
      </c>
      <c r="C3849" s="84">
        <v>1.75</v>
      </c>
      <c r="D3849" s="84">
        <v>0.0</v>
      </c>
      <c r="E3849" s="84">
        <v>0.0</v>
      </c>
      <c r="F3849" s="76" t="s">
        <v>997</v>
      </c>
      <c r="G3849" s="83">
        <v>46113.0</v>
      </c>
      <c r="H3849" s="76" t="s">
        <v>961</v>
      </c>
    </row>
    <row r="3850">
      <c r="A3850" s="76" t="s">
        <v>46</v>
      </c>
      <c r="B3850" s="76" t="s">
        <v>1022</v>
      </c>
      <c r="C3850" s="84">
        <v>2.43</v>
      </c>
      <c r="D3850" s="84">
        <v>0.0</v>
      </c>
      <c r="E3850" s="84">
        <v>0.0</v>
      </c>
      <c r="F3850" s="76" t="s">
        <v>997</v>
      </c>
      <c r="G3850" s="83">
        <v>46113.0</v>
      </c>
      <c r="H3850" s="76" t="s">
        <v>962</v>
      </c>
    </row>
    <row r="3851">
      <c r="A3851" s="76" t="s">
        <v>43</v>
      </c>
      <c r="B3851" s="76" t="s">
        <v>1022</v>
      </c>
      <c r="C3851" s="84">
        <v>3.37</v>
      </c>
      <c r="D3851" s="84">
        <v>0.0</v>
      </c>
      <c r="E3851" s="84">
        <v>0.0</v>
      </c>
      <c r="F3851" s="76" t="s">
        <v>997</v>
      </c>
      <c r="G3851" s="83">
        <v>46113.0</v>
      </c>
      <c r="H3851" s="76" t="s">
        <v>963</v>
      </c>
    </row>
    <row r="3852">
      <c r="A3852" s="76" t="s">
        <v>43</v>
      </c>
      <c r="B3852" s="76" t="s">
        <v>1022</v>
      </c>
      <c r="C3852" s="84">
        <v>1.19</v>
      </c>
      <c r="D3852" s="84">
        <v>0.0</v>
      </c>
      <c r="E3852" s="84">
        <v>0.0</v>
      </c>
      <c r="F3852" s="76" t="s">
        <v>997</v>
      </c>
      <c r="G3852" s="83">
        <v>46113.0</v>
      </c>
      <c r="H3852" s="76" t="s">
        <v>964</v>
      </c>
    </row>
    <row r="3853">
      <c r="A3853" s="76" t="s">
        <v>43</v>
      </c>
      <c r="B3853" s="76" t="s">
        <v>1022</v>
      </c>
      <c r="C3853" s="84">
        <v>13.46</v>
      </c>
      <c r="D3853" s="84">
        <v>0.0</v>
      </c>
      <c r="E3853" s="84">
        <v>0.0</v>
      </c>
      <c r="F3853" s="76" t="s">
        <v>997</v>
      </c>
      <c r="G3853" s="83">
        <v>46113.0</v>
      </c>
      <c r="H3853" s="76" t="s">
        <v>965</v>
      </c>
    </row>
    <row r="3854">
      <c r="A3854" s="76" t="s">
        <v>966</v>
      </c>
      <c r="B3854" s="76" t="s">
        <v>1022</v>
      </c>
      <c r="C3854" s="84">
        <v>10.28</v>
      </c>
      <c r="D3854" s="84">
        <v>0.0</v>
      </c>
      <c r="E3854" s="84">
        <v>0.0</v>
      </c>
      <c r="F3854" s="76" t="s">
        <v>997</v>
      </c>
      <c r="G3854" s="83">
        <v>46113.0</v>
      </c>
      <c r="H3854" s="76" t="s">
        <v>967</v>
      </c>
    </row>
    <row r="3855">
      <c r="A3855" s="76" t="s">
        <v>966</v>
      </c>
      <c r="B3855" s="76" t="s">
        <v>1022</v>
      </c>
      <c r="C3855" s="84">
        <v>2.09</v>
      </c>
      <c r="D3855" s="84">
        <v>0.0</v>
      </c>
      <c r="E3855" s="84">
        <v>0.0</v>
      </c>
      <c r="F3855" s="76" t="s">
        <v>997</v>
      </c>
      <c r="G3855" s="83">
        <v>46113.0</v>
      </c>
      <c r="H3855" s="76" t="s">
        <v>968</v>
      </c>
    </row>
    <row r="3856">
      <c r="A3856" s="76" t="s">
        <v>966</v>
      </c>
      <c r="B3856" s="76" t="s">
        <v>1022</v>
      </c>
      <c r="C3856" s="84">
        <v>1.67</v>
      </c>
      <c r="D3856" s="84">
        <v>0.0</v>
      </c>
      <c r="E3856" s="84">
        <v>0.0</v>
      </c>
      <c r="F3856" s="76" t="s">
        <v>997</v>
      </c>
      <c r="G3856" s="83">
        <v>46113.0</v>
      </c>
      <c r="H3856" s="76" t="s">
        <v>969</v>
      </c>
    </row>
    <row r="3857">
      <c r="A3857" s="76" t="s">
        <v>36</v>
      </c>
      <c r="B3857" s="76" t="s">
        <v>1022</v>
      </c>
      <c r="C3857" s="84">
        <v>6.6</v>
      </c>
      <c r="D3857" s="84">
        <v>0.0</v>
      </c>
      <c r="E3857" s="84">
        <v>0.0</v>
      </c>
      <c r="F3857" s="76" t="s">
        <v>997</v>
      </c>
      <c r="G3857" s="83">
        <v>46113.0</v>
      </c>
      <c r="H3857" s="76" t="s">
        <v>926</v>
      </c>
    </row>
    <row r="3858">
      <c r="A3858" s="76" t="s">
        <v>36</v>
      </c>
      <c r="B3858" s="76" t="s">
        <v>1022</v>
      </c>
      <c r="C3858" s="84">
        <v>3.27</v>
      </c>
      <c r="D3858" s="84">
        <v>0.0</v>
      </c>
      <c r="E3858" s="84">
        <v>0.0</v>
      </c>
      <c r="F3858" s="76" t="s">
        <v>997</v>
      </c>
      <c r="G3858" s="83">
        <v>46113.0</v>
      </c>
      <c r="H3858" s="76" t="s">
        <v>927</v>
      </c>
    </row>
    <row r="3859">
      <c r="A3859" s="76" t="s">
        <v>36</v>
      </c>
      <c r="B3859" s="76" t="s">
        <v>1022</v>
      </c>
      <c r="C3859" s="84">
        <v>3.14</v>
      </c>
      <c r="D3859" s="84">
        <v>0.0</v>
      </c>
      <c r="E3859" s="84">
        <v>0.0</v>
      </c>
      <c r="F3859" s="76" t="s">
        <v>997</v>
      </c>
      <c r="G3859" s="83">
        <v>46113.0</v>
      </c>
      <c r="H3859" s="76" t="s">
        <v>928</v>
      </c>
    </row>
    <row r="3860">
      <c r="A3860" s="76" t="s">
        <v>970</v>
      </c>
      <c r="B3860" s="76" t="s">
        <v>1022</v>
      </c>
      <c r="C3860" s="84">
        <v>3.32</v>
      </c>
      <c r="D3860" s="84">
        <v>0.0</v>
      </c>
      <c r="E3860" s="84">
        <v>0.0</v>
      </c>
      <c r="F3860" s="76" t="s">
        <v>997</v>
      </c>
      <c r="G3860" s="83">
        <v>46113.0</v>
      </c>
      <c r="H3860" s="76" t="s">
        <v>971</v>
      </c>
    </row>
    <row r="3861">
      <c r="A3861" s="76" t="s">
        <v>970</v>
      </c>
      <c r="B3861" s="76" t="s">
        <v>1022</v>
      </c>
      <c r="C3861" s="84">
        <v>1.06</v>
      </c>
      <c r="D3861" s="84">
        <v>0.0</v>
      </c>
      <c r="E3861" s="84">
        <v>0.0</v>
      </c>
      <c r="F3861" s="76" t="s">
        <v>997</v>
      </c>
      <c r="G3861" s="83">
        <v>46113.0</v>
      </c>
      <c r="H3861" s="76" t="s">
        <v>972</v>
      </c>
    </row>
    <row r="3862">
      <c r="A3862" s="76" t="s">
        <v>970</v>
      </c>
      <c r="B3862" s="76" t="s">
        <v>1022</v>
      </c>
      <c r="C3862" s="84">
        <v>12.36</v>
      </c>
      <c r="D3862" s="84">
        <v>0.0</v>
      </c>
      <c r="E3862" s="84">
        <v>0.0</v>
      </c>
      <c r="F3862" s="76" t="s">
        <v>997</v>
      </c>
      <c r="G3862" s="83">
        <v>46113.0</v>
      </c>
      <c r="H3862" s="76" t="s">
        <v>973</v>
      </c>
    </row>
    <row r="3863">
      <c r="A3863" s="76" t="s">
        <v>29</v>
      </c>
      <c r="B3863" s="76" t="s">
        <v>1022</v>
      </c>
      <c r="C3863" s="84">
        <v>3.13</v>
      </c>
      <c r="D3863" s="84">
        <v>0.0</v>
      </c>
      <c r="E3863" s="84">
        <v>0.0</v>
      </c>
      <c r="F3863" s="76" t="s">
        <v>997</v>
      </c>
      <c r="G3863" s="83">
        <v>46113.0</v>
      </c>
      <c r="H3863" s="76" t="s">
        <v>971</v>
      </c>
    </row>
    <row r="3864">
      <c r="A3864" s="76" t="s">
        <v>29</v>
      </c>
      <c r="B3864" s="76" t="s">
        <v>1022</v>
      </c>
      <c r="C3864" s="84">
        <v>0.85</v>
      </c>
      <c r="D3864" s="84">
        <v>0.0</v>
      </c>
      <c r="E3864" s="84">
        <v>0.0</v>
      </c>
      <c r="F3864" s="76" t="s">
        <v>997</v>
      </c>
      <c r="G3864" s="83">
        <v>46113.0</v>
      </c>
      <c r="H3864" s="76" t="s">
        <v>972</v>
      </c>
    </row>
    <row r="3865">
      <c r="A3865" s="76" t="s">
        <v>29</v>
      </c>
      <c r="B3865" s="76" t="s">
        <v>1022</v>
      </c>
      <c r="C3865" s="84">
        <v>11.0</v>
      </c>
      <c r="D3865" s="84">
        <v>1.0</v>
      </c>
      <c r="E3865" s="84">
        <v>11.0</v>
      </c>
      <c r="F3865" s="76" t="s">
        <v>997</v>
      </c>
      <c r="G3865" s="83">
        <v>46113.0</v>
      </c>
      <c r="H3865" s="76" t="s">
        <v>973</v>
      </c>
    </row>
    <row r="3866">
      <c r="A3866" s="76" t="s">
        <v>34</v>
      </c>
      <c r="B3866" s="76" t="s">
        <v>1022</v>
      </c>
      <c r="C3866" s="84">
        <v>0.04</v>
      </c>
      <c r="D3866" s="84">
        <v>0.0</v>
      </c>
      <c r="E3866" s="84">
        <v>0.0</v>
      </c>
      <c r="F3866" s="76" t="s">
        <v>998</v>
      </c>
      <c r="G3866" s="83">
        <v>46113.0</v>
      </c>
      <c r="H3866" s="76" t="s">
        <v>951</v>
      </c>
    </row>
    <row r="3867">
      <c r="A3867" s="76" t="s">
        <v>34</v>
      </c>
      <c r="B3867" s="76" t="s">
        <v>1022</v>
      </c>
      <c r="C3867" s="84">
        <v>1.37</v>
      </c>
      <c r="D3867" s="84">
        <v>0.0</v>
      </c>
      <c r="E3867" s="84">
        <v>0.0</v>
      </c>
      <c r="F3867" s="76" t="s">
        <v>998</v>
      </c>
      <c r="G3867" s="83">
        <v>46113.0</v>
      </c>
      <c r="H3867" s="76" t="s">
        <v>952</v>
      </c>
    </row>
    <row r="3868">
      <c r="A3868" s="76" t="s">
        <v>34</v>
      </c>
      <c r="B3868" s="76" t="s">
        <v>1022</v>
      </c>
      <c r="C3868" s="84">
        <v>0.01</v>
      </c>
      <c r="D3868" s="84">
        <v>0.0</v>
      </c>
      <c r="E3868" s="84">
        <v>0.0</v>
      </c>
      <c r="F3868" s="76" t="s">
        <v>998</v>
      </c>
      <c r="G3868" s="83">
        <v>46113.0</v>
      </c>
      <c r="H3868" s="76" t="s">
        <v>953</v>
      </c>
    </row>
    <row r="3869">
      <c r="A3869" s="76" t="s">
        <v>40</v>
      </c>
      <c r="B3869" s="76" t="s">
        <v>1022</v>
      </c>
      <c r="C3869" s="84">
        <v>0.27</v>
      </c>
      <c r="D3869" s="84">
        <v>0.0</v>
      </c>
      <c r="E3869" s="84">
        <v>0.0</v>
      </c>
      <c r="F3869" s="76" t="s">
        <v>998</v>
      </c>
      <c r="G3869" s="83">
        <v>46113.0</v>
      </c>
      <c r="H3869" s="76" t="s">
        <v>954</v>
      </c>
    </row>
    <row r="3870">
      <c r="A3870" s="76" t="s">
        <v>40</v>
      </c>
      <c r="B3870" s="76" t="s">
        <v>1022</v>
      </c>
      <c r="C3870" s="84">
        <v>0.21</v>
      </c>
      <c r="D3870" s="84">
        <v>0.0</v>
      </c>
      <c r="E3870" s="84">
        <v>0.0</v>
      </c>
      <c r="F3870" s="76" t="s">
        <v>998</v>
      </c>
      <c r="G3870" s="83">
        <v>46113.0</v>
      </c>
      <c r="H3870" s="76" t="s">
        <v>955</v>
      </c>
    </row>
    <row r="3871">
      <c r="A3871" s="76" t="s">
        <v>40</v>
      </c>
      <c r="B3871" s="76" t="s">
        <v>1022</v>
      </c>
      <c r="C3871" s="84">
        <v>0.01</v>
      </c>
      <c r="D3871" s="84">
        <v>0.0</v>
      </c>
      <c r="E3871" s="84">
        <v>0.0</v>
      </c>
      <c r="F3871" s="76" t="s">
        <v>998</v>
      </c>
      <c r="G3871" s="83">
        <v>46113.0</v>
      </c>
      <c r="H3871" s="76" t="s">
        <v>956</v>
      </c>
    </row>
    <row r="3872">
      <c r="A3872" s="76" t="s">
        <v>33</v>
      </c>
      <c r="B3872" s="76" t="s">
        <v>1022</v>
      </c>
      <c r="C3872" s="84">
        <v>0.02</v>
      </c>
      <c r="D3872" s="84">
        <v>0.0</v>
      </c>
      <c r="E3872" s="84">
        <v>0.0</v>
      </c>
      <c r="F3872" s="76" t="s">
        <v>998</v>
      </c>
      <c r="G3872" s="83">
        <v>46113.0</v>
      </c>
      <c r="H3872" s="76" t="s">
        <v>957</v>
      </c>
    </row>
    <row r="3873">
      <c r="A3873" s="76" t="s">
        <v>33</v>
      </c>
      <c r="B3873" s="76" t="s">
        <v>1022</v>
      </c>
      <c r="C3873" s="84">
        <v>0.09</v>
      </c>
      <c r="D3873" s="84">
        <v>0.0</v>
      </c>
      <c r="E3873" s="84">
        <v>0.0</v>
      </c>
      <c r="F3873" s="76" t="s">
        <v>998</v>
      </c>
      <c r="G3873" s="83">
        <v>46113.0</v>
      </c>
      <c r="H3873" s="76" t="s">
        <v>958</v>
      </c>
    </row>
    <row r="3874">
      <c r="A3874" s="76" t="s">
        <v>33</v>
      </c>
      <c r="B3874" s="76" t="s">
        <v>1022</v>
      </c>
      <c r="C3874" s="84">
        <v>1.2</v>
      </c>
      <c r="D3874" s="84">
        <v>0.0</v>
      </c>
      <c r="E3874" s="84">
        <v>0.0</v>
      </c>
      <c r="F3874" s="76" t="s">
        <v>998</v>
      </c>
      <c r="G3874" s="83">
        <v>46113.0</v>
      </c>
      <c r="H3874" s="76" t="s">
        <v>959</v>
      </c>
    </row>
    <row r="3875">
      <c r="A3875" s="76" t="s">
        <v>46</v>
      </c>
      <c r="B3875" s="76" t="s">
        <v>1022</v>
      </c>
      <c r="C3875" s="84">
        <v>0.02</v>
      </c>
      <c r="D3875" s="84">
        <v>0.0</v>
      </c>
      <c r="E3875" s="84">
        <v>0.0</v>
      </c>
      <c r="F3875" s="76" t="s">
        <v>998</v>
      </c>
      <c r="G3875" s="83">
        <v>46113.0</v>
      </c>
      <c r="H3875" s="76" t="s">
        <v>960</v>
      </c>
    </row>
    <row r="3876">
      <c r="A3876" s="76" t="s">
        <v>46</v>
      </c>
      <c r="B3876" s="76" t="s">
        <v>1022</v>
      </c>
      <c r="C3876" s="84">
        <v>0.09</v>
      </c>
      <c r="D3876" s="84">
        <v>0.0</v>
      </c>
      <c r="E3876" s="84">
        <v>0.0</v>
      </c>
      <c r="F3876" s="76" t="s">
        <v>998</v>
      </c>
      <c r="G3876" s="83">
        <v>46113.0</v>
      </c>
      <c r="H3876" s="76" t="s">
        <v>961</v>
      </c>
    </row>
    <row r="3877">
      <c r="A3877" s="76" t="s">
        <v>46</v>
      </c>
      <c r="B3877" s="76" t="s">
        <v>1022</v>
      </c>
      <c r="C3877" s="84">
        <v>0.84</v>
      </c>
      <c r="D3877" s="84">
        <v>0.0</v>
      </c>
      <c r="E3877" s="84">
        <v>0.0</v>
      </c>
      <c r="F3877" s="76" t="s">
        <v>998</v>
      </c>
      <c r="G3877" s="83">
        <v>46113.0</v>
      </c>
      <c r="H3877" s="76" t="s">
        <v>962</v>
      </c>
    </row>
    <row r="3878">
      <c r="A3878" s="76" t="s">
        <v>43</v>
      </c>
      <c r="B3878" s="76" t="s">
        <v>1022</v>
      </c>
      <c r="C3878" s="84">
        <v>0.63</v>
      </c>
      <c r="D3878" s="84">
        <v>0.0</v>
      </c>
      <c r="E3878" s="84">
        <v>0.0</v>
      </c>
      <c r="F3878" s="76" t="s">
        <v>998</v>
      </c>
      <c r="G3878" s="83">
        <v>46113.0</v>
      </c>
      <c r="H3878" s="76" t="s">
        <v>963</v>
      </c>
    </row>
    <row r="3879">
      <c r="A3879" s="76" t="s">
        <v>43</v>
      </c>
      <c r="B3879" s="76" t="s">
        <v>1022</v>
      </c>
      <c r="C3879" s="84">
        <v>0.07</v>
      </c>
      <c r="D3879" s="84">
        <v>0.0</v>
      </c>
      <c r="E3879" s="84">
        <v>0.0</v>
      </c>
      <c r="F3879" s="76" t="s">
        <v>998</v>
      </c>
      <c r="G3879" s="83">
        <v>46113.0</v>
      </c>
      <c r="H3879" s="76" t="s">
        <v>964</v>
      </c>
    </row>
    <row r="3880">
      <c r="A3880" s="76" t="s">
        <v>43</v>
      </c>
      <c r="B3880" s="76" t="s">
        <v>1022</v>
      </c>
      <c r="C3880" s="84">
        <v>0.05</v>
      </c>
      <c r="D3880" s="84">
        <v>0.0</v>
      </c>
      <c r="E3880" s="84">
        <v>0.0</v>
      </c>
      <c r="F3880" s="76" t="s">
        <v>998</v>
      </c>
      <c r="G3880" s="83">
        <v>46113.0</v>
      </c>
      <c r="H3880" s="76" t="s">
        <v>965</v>
      </c>
    </row>
    <row r="3881">
      <c r="A3881" s="76" t="s">
        <v>966</v>
      </c>
      <c r="B3881" s="76" t="s">
        <v>1022</v>
      </c>
      <c r="C3881" s="84">
        <v>0.01</v>
      </c>
      <c r="D3881" s="84">
        <v>0.0</v>
      </c>
      <c r="E3881" s="84">
        <v>0.0</v>
      </c>
      <c r="F3881" s="76" t="s">
        <v>998</v>
      </c>
      <c r="G3881" s="83">
        <v>46113.0</v>
      </c>
      <c r="H3881" s="76" t="s">
        <v>967</v>
      </c>
    </row>
    <row r="3882">
      <c r="A3882" s="76" t="s">
        <v>966</v>
      </c>
      <c r="B3882" s="76" t="s">
        <v>1022</v>
      </c>
      <c r="C3882" s="84">
        <v>0.88</v>
      </c>
      <c r="D3882" s="84">
        <v>0.0</v>
      </c>
      <c r="E3882" s="84">
        <v>0.0</v>
      </c>
      <c r="F3882" s="76" t="s">
        <v>998</v>
      </c>
      <c r="G3882" s="83">
        <v>46113.0</v>
      </c>
      <c r="H3882" s="76" t="s">
        <v>968</v>
      </c>
    </row>
    <row r="3883">
      <c r="A3883" s="76" t="s">
        <v>966</v>
      </c>
      <c r="B3883" s="76" t="s">
        <v>1022</v>
      </c>
      <c r="C3883" s="84">
        <v>0.17</v>
      </c>
      <c r="D3883" s="84">
        <v>0.0</v>
      </c>
      <c r="E3883" s="84">
        <v>0.0</v>
      </c>
      <c r="F3883" s="76" t="s">
        <v>998</v>
      </c>
      <c r="G3883" s="83">
        <v>46113.0</v>
      </c>
      <c r="H3883" s="76" t="s">
        <v>969</v>
      </c>
    </row>
    <row r="3884">
      <c r="A3884" s="76" t="s">
        <v>36</v>
      </c>
      <c r="B3884" s="76" t="s">
        <v>1022</v>
      </c>
      <c r="C3884" s="84">
        <v>0.03</v>
      </c>
      <c r="D3884" s="84">
        <v>0.0</v>
      </c>
      <c r="E3884" s="84">
        <v>0.0</v>
      </c>
      <c r="F3884" s="76" t="s">
        <v>998</v>
      </c>
      <c r="G3884" s="83">
        <v>46113.0</v>
      </c>
      <c r="H3884" s="76" t="s">
        <v>926</v>
      </c>
    </row>
    <row r="3885">
      <c r="A3885" s="76" t="s">
        <v>36</v>
      </c>
      <c r="B3885" s="76" t="s">
        <v>1022</v>
      </c>
      <c r="C3885" s="84">
        <v>0.09</v>
      </c>
      <c r="D3885" s="84">
        <v>0.0</v>
      </c>
      <c r="E3885" s="84">
        <v>0.0</v>
      </c>
      <c r="F3885" s="76" t="s">
        <v>998</v>
      </c>
      <c r="G3885" s="83">
        <v>46113.0</v>
      </c>
      <c r="H3885" s="76" t="s">
        <v>927</v>
      </c>
    </row>
    <row r="3886">
      <c r="A3886" s="76" t="s">
        <v>36</v>
      </c>
      <c r="B3886" s="76" t="s">
        <v>1022</v>
      </c>
      <c r="C3886" s="84">
        <v>1.04</v>
      </c>
      <c r="D3886" s="84">
        <v>0.0</v>
      </c>
      <c r="E3886" s="84">
        <v>0.0</v>
      </c>
      <c r="F3886" s="76" t="s">
        <v>998</v>
      </c>
      <c r="G3886" s="83">
        <v>46113.0</v>
      </c>
      <c r="H3886" s="76" t="s">
        <v>928</v>
      </c>
    </row>
    <row r="3887">
      <c r="A3887" s="76" t="s">
        <v>970</v>
      </c>
      <c r="B3887" s="76" t="s">
        <v>1022</v>
      </c>
      <c r="C3887" s="84">
        <v>0.05</v>
      </c>
      <c r="D3887" s="84">
        <v>0.0</v>
      </c>
      <c r="E3887" s="84">
        <v>0.0</v>
      </c>
      <c r="F3887" s="76" t="s">
        <v>998</v>
      </c>
      <c r="G3887" s="83">
        <v>46113.0</v>
      </c>
      <c r="H3887" s="76" t="s">
        <v>971</v>
      </c>
    </row>
    <row r="3888">
      <c r="A3888" s="76" t="s">
        <v>970</v>
      </c>
      <c r="B3888" s="76" t="s">
        <v>1022</v>
      </c>
      <c r="C3888" s="84">
        <v>0.21</v>
      </c>
      <c r="D3888" s="84">
        <v>0.0</v>
      </c>
      <c r="E3888" s="84">
        <v>0.0</v>
      </c>
      <c r="F3888" s="76" t="s">
        <v>998</v>
      </c>
      <c r="G3888" s="83">
        <v>46113.0</v>
      </c>
      <c r="H3888" s="76" t="s">
        <v>972</v>
      </c>
    </row>
    <row r="3889">
      <c r="A3889" s="76" t="s">
        <v>970</v>
      </c>
      <c r="B3889" s="76" t="s">
        <v>1022</v>
      </c>
      <c r="C3889" s="84">
        <v>0.16</v>
      </c>
      <c r="D3889" s="84">
        <v>0.0</v>
      </c>
      <c r="E3889" s="84">
        <v>0.0</v>
      </c>
      <c r="F3889" s="76" t="s">
        <v>998</v>
      </c>
      <c r="G3889" s="83">
        <v>46113.0</v>
      </c>
      <c r="H3889" s="76" t="s">
        <v>973</v>
      </c>
    </row>
    <row r="3890">
      <c r="A3890" s="76" t="s">
        <v>29</v>
      </c>
      <c r="B3890" s="76" t="s">
        <v>1022</v>
      </c>
      <c r="C3890" s="84">
        <v>0.06</v>
      </c>
      <c r="D3890" s="84">
        <v>0.0</v>
      </c>
      <c r="E3890" s="84">
        <v>0.0</v>
      </c>
      <c r="F3890" s="76" t="s">
        <v>998</v>
      </c>
      <c r="G3890" s="83">
        <v>46113.0</v>
      </c>
      <c r="H3890" s="76" t="s">
        <v>971</v>
      </c>
    </row>
    <row r="3891">
      <c r="A3891" s="76" t="s">
        <v>29</v>
      </c>
      <c r="B3891" s="76" t="s">
        <v>1022</v>
      </c>
      <c r="C3891" s="84">
        <v>0.21</v>
      </c>
      <c r="D3891" s="84">
        <v>0.0</v>
      </c>
      <c r="E3891" s="84">
        <v>0.0</v>
      </c>
      <c r="F3891" s="76" t="s">
        <v>998</v>
      </c>
      <c r="G3891" s="83">
        <v>46113.0</v>
      </c>
      <c r="H3891" s="76" t="s">
        <v>972</v>
      </c>
    </row>
    <row r="3892">
      <c r="A3892" s="76" t="s">
        <v>29</v>
      </c>
      <c r="B3892" s="76" t="s">
        <v>1022</v>
      </c>
      <c r="C3892" s="84">
        <v>0.13</v>
      </c>
      <c r="D3892" s="84">
        <v>0.0</v>
      </c>
      <c r="E3892" s="84">
        <v>0.0</v>
      </c>
      <c r="F3892" s="76" t="s">
        <v>998</v>
      </c>
      <c r="G3892" s="83">
        <v>46113.0</v>
      </c>
      <c r="H3892" s="76" t="s">
        <v>973</v>
      </c>
    </row>
    <row r="3893">
      <c r="A3893" s="76" t="s">
        <v>36</v>
      </c>
      <c r="B3893" s="76" t="s">
        <v>1011</v>
      </c>
      <c r="C3893" s="84">
        <v>1.9</v>
      </c>
      <c r="D3893" s="84">
        <v>0.0</v>
      </c>
      <c r="E3893" s="84">
        <v>0.0</v>
      </c>
      <c r="F3893" s="76" t="s">
        <v>950</v>
      </c>
      <c r="G3893" s="83">
        <v>46113.0</v>
      </c>
      <c r="H3893" s="76" t="s">
        <v>926</v>
      </c>
    </row>
    <row r="3894">
      <c r="A3894" s="76" t="s">
        <v>36</v>
      </c>
      <c r="B3894" s="76" t="s">
        <v>1011</v>
      </c>
      <c r="C3894" s="84">
        <v>0.87</v>
      </c>
      <c r="D3894" s="84">
        <v>0.0</v>
      </c>
      <c r="E3894" s="84">
        <v>0.0</v>
      </c>
      <c r="F3894" s="76" t="s">
        <v>950</v>
      </c>
      <c r="G3894" s="83">
        <v>46113.0</v>
      </c>
      <c r="H3894" s="76" t="s">
        <v>927</v>
      </c>
    </row>
    <row r="3895">
      <c r="A3895" s="76" t="s">
        <v>36</v>
      </c>
      <c r="B3895" s="76" t="s">
        <v>1011</v>
      </c>
      <c r="C3895" s="84">
        <v>1.15</v>
      </c>
      <c r="D3895" s="84">
        <v>0.0</v>
      </c>
      <c r="E3895" s="84">
        <v>0.0</v>
      </c>
      <c r="F3895" s="76" t="s">
        <v>950</v>
      </c>
      <c r="G3895" s="83">
        <v>46113.0</v>
      </c>
      <c r="H3895" s="76" t="s">
        <v>928</v>
      </c>
    </row>
    <row r="3896">
      <c r="A3896" s="76" t="s">
        <v>31</v>
      </c>
      <c r="B3896" s="76" t="s">
        <v>1011</v>
      </c>
      <c r="C3896" s="84">
        <v>21.75</v>
      </c>
      <c r="D3896" s="84">
        <v>0.0</v>
      </c>
      <c r="E3896" s="84">
        <v>0.0</v>
      </c>
      <c r="F3896" s="76" t="s">
        <v>950</v>
      </c>
      <c r="G3896" s="83">
        <v>46113.0</v>
      </c>
      <c r="H3896" s="76" t="s">
        <v>929</v>
      </c>
    </row>
    <row r="3897">
      <c r="A3897" s="76" t="s">
        <v>31</v>
      </c>
      <c r="B3897" s="76" t="s">
        <v>1011</v>
      </c>
      <c r="C3897" s="84">
        <v>298.16</v>
      </c>
      <c r="D3897" s="84">
        <v>1.0</v>
      </c>
      <c r="E3897" s="84">
        <v>298.16</v>
      </c>
      <c r="F3897" s="76" t="s">
        <v>950</v>
      </c>
      <c r="G3897" s="83">
        <v>46113.0</v>
      </c>
      <c r="H3897" s="76" t="s">
        <v>930</v>
      </c>
    </row>
    <row r="3898">
      <c r="A3898" s="76" t="s">
        <v>28</v>
      </c>
      <c r="B3898" s="76" t="s">
        <v>1011</v>
      </c>
      <c r="C3898" s="84">
        <v>2.43</v>
      </c>
      <c r="D3898" s="84">
        <v>0.0</v>
      </c>
      <c r="E3898" s="84">
        <v>0.0</v>
      </c>
      <c r="F3898" s="76" t="s">
        <v>950</v>
      </c>
      <c r="G3898" s="83">
        <v>46113.0</v>
      </c>
      <c r="H3898" s="76" t="s">
        <v>931</v>
      </c>
    </row>
    <row r="3899">
      <c r="A3899" s="76" t="s">
        <v>28</v>
      </c>
      <c r="B3899" s="76" t="s">
        <v>1011</v>
      </c>
      <c r="C3899" s="84">
        <v>1.86</v>
      </c>
      <c r="D3899" s="84">
        <v>0.0</v>
      </c>
      <c r="E3899" s="84">
        <v>0.0</v>
      </c>
      <c r="F3899" s="76" t="s">
        <v>950</v>
      </c>
      <c r="G3899" s="83">
        <v>46113.0</v>
      </c>
      <c r="H3899" s="76" t="s">
        <v>932</v>
      </c>
    </row>
    <row r="3900">
      <c r="A3900" s="76" t="s">
        <v>28</v>
      </c>
      <c r="B3900" s="76" t="s">
        <v>1011</v>
      </c>
      <c r="C3900" s="84">
        <v>55.03</v>
      </c>
      <c r="D3900" s="84">
        <v>0.0</v>
      </c>
      <c r="E3900" s="84">
        <v>0.0</v>
      </c>
      <c r="F3900" s="76" t="s">
        <v>950</v>
      </c>
      <c r="G3900" s="83">
        <v>46113.0</v>
      </c>
      <c r="H3900" s="76" t="s">
        <v>933</v>
      </c>
    </row>
    <row r="3901">
      <c r="A3901" s="76" t="s">
        <v>42</v>
      </c>
      <c r="B3901" s="76" t="s">
        <v>1011</v>
      </c>
      <c r="C3901" s="84">
        <v>0.02</v>
      </c>
      <c r="D3901" s="84">
        <v>0.0</v>
      </c>
      <c r="E3901" s="84">
        <v>0.0</v>
      </c>
      <c r="F3901" s="76" t="s">
        <v>950</v>
      </c>
      <c r="G3901" s="83">
        <v>46113.0</v>
      </c>
      <c r="H3901" s="76" t="s">
        <v>991</v>
      </c>
    </row>
    <row r="3902">
      <c r="A3902" s="76" t="s">
        <v>42</v>
      </c>
      <c r="B3902" s="76" t="s">
        <v>1011</v>
      </c>
      <c r="C3902" s="84">
        <v>36.59</v>
      </c>
      <c r="D3902" s="84">
        <v>0.0</v>
      </c>
      <c r="E3902" s="84">
        <v>0.0</v>
      </c>
      <c r="F3902" s="76" t="s">
        <v>950</v>
      </c>
      <c r="G3902" s="83">
        <v>46113.0</v>
      </c>
      <c r="H3902" s="76" t="s">
        <v>935</v>
      </c>
    </row>
    <row r="3903">
      <c r="A3903" s="76" t="s">
        <v>45</v>
      </c>
      <c r="B3903" s="76" t="s">
        <v>1011</v>
      </c>
      <c r="C3903" s="84">
        <v>1.58</v>
      </c>
      <c r="D3903" s="84">
        <v>0.0</v>
      </c>
      <c r="E3903" s="84">
        <v>0.0</v>
      </c>
      <c r="F3903" s="76" t="s">
        <v>950</v>
      </c>
      <c r="G3903" s="83">
        <v>46113.0</v>
      </c>
      <c r="H3903" s="76" t="s">
        <v>936</v>
      </c>
    </row>
    <row r="3904">
      <c r="A3904" s="76" t="s">
        <v>45</v>
      </c>
      <c r="B3904" s="76" t="s">
        <v>1011</v>
      </c>
      <c r="C3904" s="84">
        <v>1.87</v>
      </c>
      <c r="D3904" s="84">
        <v>0.0</v>
      </c>
      <c r="E3904" s="84">
        <v>0.0</v>
      </c>
      <c r="F3904" s="76" t="s">
        <v>950</v>
      </c>
      <c r="G3904" s="83">
        <v>46113.0</v>
      </c>
      <c r="H3904" s="76" t="s">
        <v>937</v>
      </c>
    </row>
    <row r="3905">
      <c r="A3905" s="76" t="s">
        <v>45</v>
      </c>
      <c r="B3905" s="76" t="s">
        <v>1011</v>
      </c>
      <c r="C3905" s="84">
        <v>2.76</v>
      </c>
      <c r="D3905" s="84">
        <v>0.0</v>
      </c>
      <c r="E3905" s="84">
        <v>0.0</v>
      </c>
      <c r="F3905" s="76" t="s">
        <v>950</v>
      </c>
      <c r="G3905" s="83">
        <v>46113.0</v>
      </c>
      <c r="H3905" s="76" t="s">
        <v>938</v>
      </c>
    </row>
    <row r="3906">
      <c r="A3906" s="76" t="s">
        <v>50</v>
      </c>
      <c r="B3906" s="76" t="s">
        <v>1011</v>
      </c>
      <c r="C3906" s="84">
        <v>0.6</v>
      </c>
      <c r="D3906" s="84">
        <v>0.0</v>
      </c>
      <c r="E3906" s="84">
        <v>0.0</v>
      </c>
      <c r="F3906" s="76" t="s">
        <v>950</v>
      </c>
      <c r="G3906" s="83">
        <v>46113.0</v>
      </c>
      <c r="H3906" s="76" t="s">
        <v>939</v>
      </c>
    </row>
    <row r="3907">
      <c r="A3907" s="76" t="s">
        <v>50</v>
      </c>
      <c r="B3907" s="76" t="s">
        <v>1011</v>
      </c>
      <c r="C3907" s="84">
        <v>0.49</v>
      </c>
      <c r="D3907" s="84">
        <v>0.0</v>
      </c>
      <c r="E3907" s="84">
        <v>0.0</v>
      </c>
      <c r="F3907" s="76" t="s">
        <v>950</v>
      </c>
      <c r="G3907" s="83">
        <v>46113.0</v>
      </c>
      <c r="H3907" s="76" t="s">
        <v>940</v>
      </c>
    </row>
    <row r="3908">
      <c r="A3908" s="76" t="s">
        <v>32</v>
      </c>
      <c r="B3908" s="76" t="s">
        <v>1011</v>
      </c>
      <c r="C3908" s="84">
        <v>33.47</v>
      </c>
      <c r="D3908" s="84">
        <v>0.0</v>
      </c>
      <c r="E3908" s="84">
        <v>0.0</v>
      </c>
      <c r="F3908" s="76" t="s">
        <v>950</v>
      </c>
      <c r="G3908" s="83">
        <v>46113.0</v>
      </c>
      <c r="H3908" s="76" t="s">
        <v>941</v>
      </c>
    </row>
    <row r="3909">
      <c r="A3909" s="76" t="s">
        <v>32</v>
      </c>
      <c r="B3909" s="76" t="s">
        <v>1011</v>
      </c>
      <c r="C3909" s="84">
        <v>27.85</v>
      </c>
      <c r="D3909" s="84">
        <v>0.0</v>
      </c>
      <c r="E3909" s="84">
        <v>0.0</v>
      </c>
      <c r="F3909" s="76" t="s">
        <v>950</v>
      </c>
      <c r="G3909" s="83">
        <v>46113.0</v>
      </c>
      <c r="H3909" s="76" t="s">
        <v>942</v>
      </c>
    </row>
    <row r="3910">
      <c r="A3910" s="76" t="s">
        <v>32</v>
      </c>
      <c r="B3910" s="76" t="s">
        <v>1011</v>
      </c>
      <c r="C3910" s="84">
        <v>189.2</v>
      </c>
      <c r="D3910" s="84">
        <v>1.0</v>
      </c>
      <c r="E3910" s="84">
        <v>189.2</v>
      </c>
      <c r="F3910" s="76" t="s">
        <v>950</v>
      </c>
      <c r="G3910" s="83">
        <v>46113.0</v>
      </c>
      <c r="H3910" s="76" t="s">
        <v>943</v>
      </c>
    </row>
    <row r="3911">
      <c r="A3911" s="76" t="s">
        <v>944</v>
      </c>
      <c r="B3911" s="76" t="s">
        <v>1011</v>
      </c>
      <c r="C3911" s="84">
        <v>40.29</v>
      </c>
      <c r="D3911" s="84">
        <v>0.0</v>
      </c>
      <c r="E3911" s="84">
        <v>0.0</v>
      </c>
      <c r="F3911" s="76" t="s">
        <v>950</v>
      </c>
      <c r="G3911" s="83">
        <v>46113.0</v>
      </c>
      <c r="H3911" s="76" t="s">
        <v>945</v>
      </c>
    </row>
    <row r="3912">
      <c r="A3912" s="76" t="s">
        <v>944</v>
      </c>
      <c r="B3912" s="76" t="s">
        <v>1011</v>
      </c>
      <c r="C3912" s="84">
        <v>2.19</v>
      </c>
      <c r="D3912" s="84">
        <v>0.0</v>
      </c>
      <c r="E3912" s="84">
        <v>0.0</v>
      </c>
      <c r="F3912" s="76" t="s">
        <v>950</v>
      </c>
      <c r="G3912" s="83">
        <v>46113.0</v>
      </c>
      <c r="H3912" s="76" t="s">
        <v>946</v>
      </c>
    </row>
    <row r="3913">
      <c r="A3913" s="76" t="s">
        <v>944</v>
      </c>
      <c r="B3913" s="76" t="s">
        <v>1011</v>
      </c>
      <c r="C3913" s="84">
        <v>5.39</v>
      </c>
      <c r="D3913" s="84">
        <v>0.0</v>
      </c>
      <c r="E3913" s="84">
        <v>0.0</v>
      </c>
      <c r="F3913" s="76" t="s">
        <v>950</v>
      </c>
      <c r="G3913" s="83">
        <v>46113.0</v>
      </c>
      <c r="H3913" s="76" t="s">
        <v>947</v>
      </c>
    </row>
    <row r="3914">
      <c r="A3914" s="76" t="s">
        <v>26</v>
      </c>
      <c r="B3914" s="76" t="s">
        <v>1011</v>
      </c>
      <c r="C3914" s="84">
        <v>0.69</v>
      </c>
      <c r="D3914" s="84">
        <v>0.0</v>
      </c>
      <c r="E3914" s="84">
        <v>0.0</v>
      </c>
      <c r="F3914" s="76" t="s">
        <v>950</v>
      </c>
      <c r="G3914" s="83">
        <v>46113.0</v>
      </c>
      <c r="H3914" s="76" t="s">
        <v>1012</v>
      </c>
    </row>
    <row r="3915">
      <c r="A3915" s="76" t="s">
        <v>26</v>
      </c>
      <c r="B3915" s="76" t="s">
        <v>1011</v>
      </c>
      <c r="C3915" s="84">
        <v>27.2</v>
      </c>
      <c r="D3915" s="84">
        <v>0.0</v>
      </c>
      <c r="E3915" s="84">
        <v>0.0</v>
      </c>
      <c r="F3915" s="76" t="s">
        <v>950</v>
      </c>
      <c r="G3915" s="83">
        <v>46113.0</v>
      </c>
      <c r="H3915" s="76" t="s">
        <v>1013</v>
      </c>
    </row>
    <row r="3916">
      <c r="A3916" s="76" t="s">
        <v>26</v>
      </c>
      <c r="B3916" s="76" t="s">
        <v>1011</v>
      </c>
      <c r="C3916" s="84">
        <v>1.8</v>
      </c>
      <c r="D3916" s="84">
        <v>0.0</v>
      </c>
      <c r="E3916" s="84">
        <v>0.0</v>
      </c>
      <c r="F3916" s="76" t="s">
        <v>950</v>
      </c>
      <c r="G3916" s="83">
        <v>46113.0</v>
      </c>
      <c r="H3916" s="76" t="s">
        <v>1014</v>
      </c>
    </row>
    <row r="3917">
      <c r="A3917" s="76" t="s">
        <v>36</v>
      </c>
      <c r="B3917" s="76" t="s">
        <v>1011</v>
      </c>
      <c r="C3917" s="84">
        <v>0.96</v>
      </c>
      <c r="D3917" s="84">
        <v>0.0</v>
      </c>
      <c r="E3917" s="84">
        <v>0.0</v>
      </c>
      <c r="F3917" s="76" t="s">
        <v>974</v>
      </c>
      <c r="G3917" s="83">
        <v>46113.0</v>
      </c>
      <c r="H3917" s="76" t="s">
        <v>926</v>
      </c>
    </row>
    <row r="3918">
      <c r="A3918" s="76" t="s">
        <v>36</v>
      </c>
      <c r="B3918" s="76" t="s">
        <v>1011</v>
      </c>
      <c r="C3918" s="84">
        <v>0.27</v>
      </c>
      <c r="D3918" s="84">
        <v>0.0</v>
      </c>
      <c r="E3918" s="84">
        <v>0.0</v>
      </c>
      <c r="F3918" s="76" t="s">
        <v>974</v>
      </c>
      <c r="G3918" s="83">
        <v>46113.0</v>
      </c>
      <c r="H3918" s="76" t="s">
        <v>927</v>
      </c>
    </row>
    <row r="3919">
      <c r="A3919" s="76" t="s">
        <v>36</v>
      </c>
      <c r="B3919" s="76" t="s">
        <v>1011</v>
      </c>
      <c r="C3919" s="84">
        <v>0.22</v>
      </c>
      <c r="D3919" s="84">
        <v>0.0</v>
      </c>
      <c r="E3919" s="84">
        <v>0.0</v>
      </c>
      <c r="F3919" s="76" t="s">
        <v>974</v>
      </c>
      <c r="G3919" s="83">
        <v>46113.0</v>
      </c>
      <c r="H3919" s="76" t="s">
        <v>928</v>
      </c>
    </row>
    <row r="3920">
      <c r="A3920" s="76" t="s">
        <v>31</v>
      </c>
      <c r="B3920" s="76" t="s">
        <v>1011</v>
      </c>
      <c r="C3920" s="84">
        <v>3.78</v>
      </c>
      <c r="D3920" s="84">
        <v>0.0</v>
      </c>
      <c r="E3920" s="84">
        <v>0.0</v>
      </c>
      <c r="F3920" s="76" t="s">
        <v>974</v>
      </c>
      <c r="G3920" s="83">
        <v>46113.0</v>
      </c>
      <c r="H3920" s="76" t="s">
        <v>929</v>
      </c>
    </row>
    <row r="3921">
      <c r="A3921" s="76" t="s">
        <v>31</v>
      </c>
      <c r="B3921" s="76" t="s">
        <v>1011</v>
      </c>
      <c r="C3921" s="84">
        <v>30.53</v>
      </c>
      <c r="D3921" s="84">
        <v>0.0</v>
      </c>
      <c r="E3921" s="84">
        <v>0.0</v>
      </c>
      <c r="F3921" s="76" t="s">
        <v>974</v>
      </c>
      <c r="G3921" s="83">
        <v>46113.0</v>
      </c>
      <c r="H3921" s="76" t="s">
        <v>930</v>
      </c>
    </row>
    <row r="3922">
      <c r="A3922" s="76" t="s">
        <v>28</v>
      </c>
      <c r="B3922" s="76" t="s">
        <v>1011</v>
      </c>
      <c r="C3922" s="84">
        <v>0.21</v>
      </c>
      <c r="D3922" s="84">
        <v>0.0</v>
      </c>
      <c r="E3922" s="84">
        <v>0.0</v>
      </c>
      <c r="F3922" s="76" t="s">
        <v>974</v>
      </c>
      <c r="G3922" s="83">
        <v>46113.0</v>
      </c>
      <c r="H3922" s="76" t="s">
        <v>931</v>
      </c>
    </row>
    <row r="3923">
      <c r="A3923" s="76" t="s">
        <v>28</v>
      </c>
      <c r="B3923" s="76" t="s">
        <v>1011</v>
      </c>
      <c r="C3923" s="84">
        <v>0.1</v>
      </c>
      <c r="D3923" s="84">
        <v>0.0</v>
      </c>
      <c r="E3923" s="84">
        <v>0.0</v>
      </c>
      <c r="F3923" s="76" t="s">
        <v>974</v>
      </c>
      <c r="G3923" s="83">
        <v>46113.0</v>
      </c>
      <c r="H3923" s="76" t="s">
        <v>932</v>
      </c>
    </row>
    <row r="3924">
      <c r="A3924" s="76" t="s">
        <v>28</v>
      </c>
      <c r="B3924" s="76" t="s">
        <v>1011</v>
      </c>
      <c r="C3924" s="84">
        <v>6.19</v>
      </c>
      <c r="D3924" s="84">
        <v>0.0</v>
      </c>
      <c r="E3924" s="84">
        <v>0.0</v>
      </c>
      <c r="F3924" s="76" t="s">
        <v>974</v>
      </c>
      <c r="G3924" s="83">
        <v>46113.0</v>
      </c>
      <c r="H3924" s="76" t="s">
        <v>933</v>
      </c>
    </row>
    <row r="3925">
      <c r="A3925" s="76" t="s">
        <v>42</v>
      </c>
      <c r="B3925" s="76" t="s">
        <v>1011</v>
      </c>
      <c r="C3925" s="84">
        <v>0.01</v>
      </c>
      <c r="D3925" s="84">
        <v>0.0</v>
      </c>
      <c r="E3925" s="84">
        <v>0.0</v>
      </c>
      <c r="F3925" s="76" t="s">
        <v>974</v>
      </c>
      <c r="G3925" s="83">
        <v>46113.0</v>
      </c>
      <c r="H3925" s="76" t="s">
        <v>991</v>
      </c>
    </row>
    <row r="3926">
      <c r="A3926" s="76" t="s">
        <v>42</v>
      </c>
      <c r="B3926" s="76" t="s">
        <v>1011</v>
      </c>
      <c r="C3926" s="84">
        <v>13.84</v>
      </c>
      <c r="D3926" s="84">
        <v>1.0</v>
      </c>
      <c r="E3926" s="84">
        <v>13.84</v>
      </c>
      <c r="F3926" s="76" t="s">
        <v>974</v>
      </c>
      <c r="G3926" s="83">
        <v>46113.0</v>
      </c>
      <c r="H3926" s="76" t="s">
        <v>935</v>
      </c>
    </row>
    <row r="3927">
      <c r="A3927" s="76" t="s">
        <v>45</v>
      </c>
      <c r="B3927" s="76" t="s">
        <v>1011</v>
      </c>
      <c r="C3927" s="84">
        <v>0.17</v>
      </c>
      <c r="D3927" s="84">
        <v>0.0</v>
      </c>
      <c r="E3927" s="84">
        <v>0.0</v>
      </c>
      <c r="F3927" s="76" t="s">
        <v>974</v>
      </c>
      <c r="G3927" s="83">
        <v>46113.0</v>
      </c>
      <c r="H3927" s="76" t="s">
        <v>936</v>
      </c>
    </row>
    <row r="3928">
      <c r="A3928" s="76" t="s">
        <v>45</v>
      </c>
      <c r="B3928" s="76" t="s">
        <v>1011</v>
      </c>
      <c r="C3928" s="84">
        <v>0.1</v>
      </c>
      <c r="D3928" s="84">
        <v>0.0</v>
      </c>
      <c r="E3928" s="84">
        <v>0.0</v>
      </c>
      <c r="F3928" s="76" t="s">
        <v>974</v>
      </c>
      <c r="G3928" s="83">
        <v>46113.0</v>
      </c>
      <c r="H3928" s="76" t="s">
        <v>937</v>
      </c>
    </row>
    <row r="3929">
      <c r="A3929" s="76" t="s">
        <v>45</v>
      </c>
      <c r="B3929" s="76" t="s">
        <v>1011</v>
      </c>
      <c r="C3929" s="84">
        <v>0.27</v>
      </c>
      <c r="D3929" s="84">
        <v>0.0</v>
      </c>
      <c r="E3929" s="84">
        <v>0.0</v>
      </c>
      <c r="F3929" s="76" t="s">
        <v>974</v>
      </c>
      <c r="G3929" s="83">
        <v>46113.0</v>
      </c>
      <c r="H3929" s="76" t="s">
        <v>938</v>
      </c>
    </row>
    <row r="3930">
      <c r="A3930" s="76" t="s">
        <v>50</v>
      </c>
      <c r="B3930" s="76" t="s">
        <v>1011</v>
      </c>
      <c r="C3930" s="84">
        <v>0.42</v>
      </c>
      <c r="D3930" s="84">
        <v>0.0</v>
      </c>
      <c r="E3930" s="84">
        <v>0.0</v>
      </c>
      <c r="F3930" s="76" t="s">
        <v>974</v>
      </c>
      <c r="G3930" s="83">
        <v>46113.0</v>
      </c>
      <c r="H3930" s="76" t="s">
        <v>939</v>
      </c>
    </row>
    <row r="3931">
      <c r="A3931" s="76" t="s">
        <v>50</v>
      </c>
      <c r="B3931" s="76" t="s">
        <v>1011</v>
      </c>
      <c r="C3931" s="84">
        <v>0.29</v>
      </c>
      <c r="D3931" s="84">
        <v>0.0</v>
      </c>
      <c r="E3931" s="84">
        <v>0.0</v>
      </c>
      <c r="F3931" s="76" t="s">
        <v>974</v>
      </c>
      <c r="G3931" s="83">
        <v>46113.0</v>
      </c>
      <c r="H3931" s="76" t="s">
        <v>940</v>
      </c>
    </row>
    <row r="3932">
      <c r="A3932" s="76" t="s">
        <v>32</v>
      </c>
      <c r="B3932" s="76" t="s">
        <v>1011</v>
      </c>
      <c r="C3932" s="84">
        <v>5.82</v>
      </c>
      <c r="D3932" s="84">
        <v>0.0</v>
      </c>
      <c r="E3932" s="84">
        <v>0.0</v>
      </c>
      <c r="F3932" s="76" t="s">
        <v>974</v>
      </c>
      <c r="G3932" s="83">
        <v>46113.0</v>
      </c>
      <c r="H3932" s="76" t="s">
        <v>941</v>
      </c>
    </row>
    <row r="3933">
      <c r="A3933" s="76" t="s">
        <v>32</v>
      </c>
      <c r="B3933" s="76" t="s">
        <v>1011</v>
      </c>
      <c r="C3933" s="84">
        <v>0.67</v>
      </c>
      <c r="D3933" s="84">
        <v>0.0</v>
      </c>
      <c r="E3933" s="84">
        <v>0.0</v>
      </c>
      <c r="F3933" s="76" t="s">
        <v>974</v>
      </c>
      <c r="G3933" s="83">
        <v>46113.0</v>
      </c>
      <c r="H3933" s="76" t="s">
        <v>942</v>
      </c>
    </row>
    <row r="3934">
      <c r="A3934" s="76" t="s">
        <v>32</v>
      </c>
      <c r="B3934" s="76" t="s">
        <v>1011</v>
      </c>
      <c r="C3934" s="84">
        <v>13.19</v>
      </c>
      <c r="D3934" s="84">
        <v>1.0</v>
      </c>
      <c r="E3934" s="84">
        <v>13.19</v>
      </c>
      <c r="F3934" s="76" t="s">
        <v>974</v>
      </c>
      <c r="G3934" s="83">
        <v>46113.0</v>
      </c>
      <c r="H3934" s="76" t="s">
        <v>943</v>
      </c>
    </row>
    <row r="3935">
      <c r="A3935" s="76" t="s">
        <v>944</v>
      </c>
      <c r="B3935" s="76" t="s">
        <v>1011</v>
      </c>
      <c r="C3935" s="84">
        <v>3.42</v>
      </c>
      <c r="D3935" s="84">
        <v>0.0</v>
      </c>
      <c r="E3935" s="84">
        <v>0.0</v>
      </c>
      <c r="F3935" s="76" t="s">
        <v>974</v>
      </c>
      <c r="G3935" s="83">
        <v>46113.0</v>
      </c>
      <c r="H3935" s="76" t="s">
        <v>945</v>
      </c>
    </row>
    <row r="3936">
      <c r="A3936" s="76" t="s">
        <v>944</v>
      </c>
      <c r="B3936" s="76" t="s">
        <v>1011</v>
      </c>
      <c r="C3936" s="84">
        <v>0.31</v>
      </c>
      <c r="D3936" s="84">
        <v>0.0</v>
      </c>
      <c r="E3936" s="84">
        <v>0.0</v>
      </c>
      <c r="F3936" s="76" t="s">
        <v>974</v>
      </c>
      <c r="G3936" s="83">
        <v>46113.0</v>
      </c>
      <c r="H3936" s="76" t="s">
        <v>946</v>
      </c>
    </row>
    <row r="3937">
      <c r="A3937" s="76" t="s">
        <v>944</v>
      </c>
      <c r="B3937" s="76" t="s">
        <v>1011</v>
      </c>
      <c r="C3937" s="84">
        <v>0.67</v>
      </c>
      <c r="D3937" s="84">
        <v>0.0</v>
      </c>
      <c r="E3937" s="84">
        <v>0.0</v>
      </c>
      <c r="F3937" s="76" t="s">
        <v>974</v>
      </c>
      <c r="G3937" s="83">
        <v>46113.0</v>
      </c>
      <c r="H3937" s="76" t="s">
        <v>947</v>
      </c>
    </row>
    <row r="3938">
      <c r="A3938" s="76" t="s">
        <v>26</v>
      </c>
      <c r="B3938" s="76" t="s">
        <v>1011</v>
      </c>
      <c r="C3938" s="84">
        <v>0.11</v>
      </c>
      <c r="D3938" s="84">
        <v>0.0</v>
      </c>
      <c r="E3938" s="84">
        <v>0.0</v>
      </c>
      <c r="F3938" s="76" t="s">
        <v>974</v>
      </c>
      <c r="G3938" s="83">
        <v>46113.0</v>
      </c>
      <c r="H3938" s="76" t="s">
        <v>1012</v>
      </c>
    </row>
    <row r="3939">
      <c r="A3939" s="76" t="s">
        <v>26</v>
      </c>
      <c r="B3939" s="76" t="s">
        <v>1011</v>
      </c>
      <c r="C3939" s="84">
        <v>4.62</v>
      </c>
      <c r="D3939" s="84">
        <v>0.0</v>
      </c>
      <c r="E3939" s="84">
        <v>0.0</v>
      </c>
      <c r="F3939" s="76" t="s">
        <v>974</v>
      </c>
      <c r="G3939" s="83">
        <v>46113.0</v>
      </c>
      <c r="H3939" s="76" t="s">
        <v>1013</v>
      </c>
    </row>
    <row r="3940">
      <c r="A3940" s="76" t="s">
        <v>26</v>
      </c>
      <c r="B3940" s="76" t="s">
        <v>1011</v>
      </c>
      <c r="C3940" s="84">
        <v>0.35</v>
      </c>
      <c r="D3940" s="84">
        <v>0.0</v>
      </c>
      <c r="E3940" s="84">
        <v>0.0</v>
      </c>
      <c r="F3940" s="76" t="s">
        <v>974</v>
      </c>
      <c r="G3940" s="83">
        <v>46113.0</v>
      </c>
      <c r="H3940" s="76" t="s">
        <v>1014</v>
      </c>
    </row>
    <row r="3941">
      <c r="A3941" s="76" t="s">
        <v>36</v>
      </c>
      <c r="B3941" s="76" t="s">
        <v>1011</v>
      </c>
      <c r="C3941" s="84">
        <v>4.89</v>
      </c>
      <c r="D3941" s="84">
        <v>1.0</v>
      </c>
      <c r="E3941" s="84">
        <v>4.89</v>
      </c>
      <c r="F3941" s="76" t="s">
        <v>975</v>
      </c>
      <c r="G3941" s="83">
        <v>46113.0</v>
      </c>
      <c r="H3941" s="76" t="s">
        <v>926</v>
      </c>
    </row>
    <row r="3942">
      <c r="A3942" s="76" t="s">
        <v>36</v>
      </c>
      <c r="B3942" s="76" t="s">
        <v>1011</v>
      </c>
      <c r="C3942" s="84">
        <v>1.21</v>
      </c>
      <c r="D3942" s="84">
        <v>0.0</v>
      </c>
      <c r="E3942" s="84">
        <v>0.0</v>
      </c>
      <c r="F3942" s="76" t="s">
        <v>975</v>
      </c>
      <c r="G3942" s="83">
        <v>46113.0</v>
      </c>
      <c r="H3942" s="76" t="s">
        <v>927</v>
      </c>
    </row>
    <row r="3943">
      <c r="A3943" s="76" t="s">
        <v>36</v>
      </c>
      <c r="B3943" s="76" t="s">
        <v>1011</v>
      </c>
      <c r="C3943" s="84">
        <v>1.65</v>
      </c>
      <c r="D3943" s="84">
        <v>0.0</v>
      </c>
      <c r="E3943" s="84">
        <v>0.0</v>
      </c>
      <c r="F3943" s="76" t="s">
        <v>975</v>
      </c>
      <c r="G3943" s="83">
        <v>46113.0</v>
      </c>
      <c r="H3943" s="76" t="s">
        <v>928</v>
      </c>
    </row>
    <row r="3944">
      <c r="A3944" s="76" t="s">
        <v>31</v>
      </c>
      <c r="B3944" s="76" t="s">
        <v>1011</v>
      </c>
      <c r="C3944" s="84">
        <v>6.12</v>
      </c>
      <c r="D3944" s="84">
        <v>0.0</v>
      </c>
      <c r="E3944" s="84">
        <v>0.0</v>
      </c>
      <c r="F3944" s="76" t="s">
        <v>975</v>
      </c>
      <c r="G3944" s="83">
        <v>46113.0</v>
      </c>
      <c r="H3944" s="76" t="s">
        <v>929</v>
      </c>
    </row>
    <row r="3945">
      <c r="A3945" s="76" t="s">
        <v>31</v>
      </c>
      <c r="B3945" s="76" t="s">
        <v>1011</v>
      </c>
      <c r="C3945" s="84">
        <v>106.86</v>
      </c>
      <c r="D3945" s="84">
        <v>4.0</v>
      </c>
      <c r="E3945" s="84">
        <v>26.71</v>
      </c>
      <c r="F3945" s="76" t="s">
        <v>975</v>
      </c>
      <c r="G3945" s="83">
        <v>46113.0</v>
      </c>
      <c r="H3945" s="76" t="s">
        <v>930</v>
      </c>
    </row>
    <row r="3946">
      <c r="A3946" s="76" t="s">
        <v>28</v>
      </c>
      <c r="B3946" s="76" t="s">
        <v>1011</v>
      </c>
      <c r="C3946" s="84">
        <v>2.6</v>
      </c>
      <c r="D3946" s="84">
        <v>0.0</v>
      </c>
      <c r="E3946" s="84">
        <v>0.0</v>
      </c>
      <c r="F3946" s="76" t="s">
        <v>975</v>
      </c>
      <c r="G3946" s="83">
        <v>46113.0</v>
      </c>
      <c r="H3946" s="76" t="s">
        <v>931</v>
      </c>
    </row>
    <row r="3947">
      <c r="A3947" s="76" t="s">
        <v>28</v>
      </c>
      <c r="B3947" s="76" t="s">
        <v>1011</v>
      </c>
      <c r="C3947" s="84">
        <v>0.35</v>
      </c>
      <c r="D3947" s="84">
        <v>0.0</v>
      </c>
      <c r="E3947" s="84">
        <v>0.0</v>
      </c>
      <c r="F3947" s="76" t="s">
        <v>975</v>
      </c>
      <c r="G3947" s="83">
        <v>46113.0</v>
      </c>
      <c r="H3947" s="76" t="s">
        <v>932</v>
      </c>
    </row>
    <row r="3948">
      <c r="A3948" s="76" t="s">
        <v>28</v>
      </c>
      <c r="B3948" s="76" t="s">
        <v>1011</v>
      </c>
      <c r="C3948" s="84">
        <v>19.65</v>
      </c>
      <c r="D3948" s="84">
        <v>1.0</v>
      </c>
      <c r="E3948" s="84">
        <v>19.65</v>
      </c>
      <c r="F3948" s="76" t="s">
        <v>975</v>
      </c>
      <c r="G3948" s="83">
        <v>46113.0</v>
      </c>
      <c r="H3948" s="76" t="s">
        <v>933</v>
      </c>
    </row>
    <row r="3949">
      <c r="A3949" s="76" t="s">
        <v>42</v>
      </c>
      <c r="B3949" s="76" t="s">
        <v>1011</v>
      </c>
      <c r="C3949" s="84">
        <v>0.11</v>
      </c>
      <c r="D3949" s="84">
        <v>0.0</v>
      </c>
      <c r="E3949" s="84">
        <v>0.0</v>
      </c>
      <c r="F3949" s="76" t="s">
        <v>975</v>
      </c>
      <c r="G3949" s="83">
        <v>46113.0</v>
      </c>
      <c r="H3949" s="76" t="s">
        <v>991</v>
      </c>
    </row>
    <row r="3950">
      <c r="A3950" s="76" t="s">
        <v>42</v>
      </c>
      <c r="B3950" s="76" t="s">
        <v>1011</v>
      </c>
      <c r="C3950" s="84">
        <v>5.82</v>
      </c>
      <c r="D3950" s="84">
        <v>0.0</v>
      </c>
      <c r="E3950" s="84">
        <v>0.0</v>
      </c>
      <c r="F3950" s="76" t="s">
        <v>975</v>
      </c>
      <c r="G3950" s="83">
        <v>46113.0</v>
      </c>
      <c r="H3950" s="76" t="s">
        <v>935</v>
      </c>
    </row>
    <row r="3951">
      <c r="A3951" s="76" t="s">
        <v>45</v>
      </c>
      <c r="B3951" s="76" t="s">
        <v>1011</v>
      </c>
      <c r="C3951" s="84">
        <v>3.1</v>
      </c>
      <c r="D3951" s="84">
        <v>0.0</v>
      </c>
      <c r="E3951" s="84">
        <v>0.0</v>
      </c>
      <c r="F3951" s="76" t="s">
        <v>975</v>
      </c>
      <c r="G3951" s="83">
        <v>46113.0</v>
      </c>
      <c r="H3951" s="76" t="s">
        <v>936</v>
      </c>
    </row>
    <row r="3952">
      <c r="A3952" s="76" t="s">
        <v>45</v>
      </c>
      <c r="B3952" s="76" t="s">
        <v>1011</v>
      </c>
      <c r="C3952" s="84">
        <v>0.69</v>
      </c>
      <c r="D3952" s="84">
        <v>0.0</v>
      </c>
      <c r="E3952" s="84">
        <v>0.0</v>
      </c>
      <c r="F3952" s="76" t="s">
        <v>975</v>
      </c>
      <c r="G3952" s="83">
        <v>46113.0</v>
      </c>
      <c r="H3952" s="76" t="s">
        <v>937</v>
      </c>
    </row>
    <row r="3953">
      <c r="A3953" s="76" t="s">
        <v>45</v>
      </c>
      <c r="B3953" s="76" t="s">
        <v>1011</v>
      </c>
      <c r="C3953" s="84">
        <v>3.85</v>
      </c>
      <c r="D3953" s="84">
        <v>0.0</v>
      </c>
      <c r="E3953" s="84">
        <v>0.0</v>
      </c>
      <c r="F3953" s="76" t="s">
        <v>975</v>
      </c>
      <c r="G3953" s="83">
        <v>46113.0</v>
      </c>
      <c r="H3953" s="76" t="s">
        <v>938</v>
      </c>
    </row>
    <row r="3954">
      <c r="A3954" s="76" t="s">
        <v>50</v>
      </c>
      <c r="B3954" s="76" t="s">
        <v>1011</v>
      </c>
      <c r="C3954" s="84">
        <v>1.48</v>
      </c>
      <c r="D3954" s="84">
        <v>0.0</v>
      </c>
      <c r="E3954" s="84">
        <v>0.0</v>
      </c>
      <c r="F3954" s="76" t="s">
        <v>975</v>
      </c>
      <c r="G3954" s="83">
        <v>46113.0</v>
      </c>
      <c r="H3954" s="76" t="s">
        <v>939</v>
      </c>
    </row>
    <row r="3955">
      <c r="A3955" s="76" t="s">
        <v>50</v>
      </c>
      <c r="B3955" s="76" t="s">
        <v>1011</v>
      </c>
      <c r="C3955" s="84">
        <v>1.49</v>
      </c>
      <c r="D3955" s="84">
        <v>0.0</v>
      </c>
      <c r="E3955" s="84">
        <v>0.0</v>
      </c>
      <c r="F3955" s="76" t="s">
        <v>975</v>
      </c>
      <c r="G3955" s="83">
        <v>46113.0</v>
      </c>
      <c r="H3955" s="76" t="s">
        <v>940</v>
      </c>
    </row>
    <row r="3956">
      <c r="A3956" s="76" t="s">
        <v>32</v>
      </c>
      <c r="B3956" s="76" t="s">
        <v>1011</v>
      </c>
      <c r="C3956" s="84">
        <v>16.52</v>
      </c>
      <c r="D3956" s="84">
        <v>1.0</v>
      </c>
      <c r="E3956" s="84">
        <v>16.52</v>
      </c>
      <c r="F3956" s="76" t="s">
        <v>975</v>
      </c>
      <c r="G3956" s="83">
        <v>46113.0</v>
      </c>
      <c r="H3956" s="76" t="s">
        <v>941</v>
      </c>
    </row>
    <row r="3957">
      <c r="A3957" s="76" t="s">
        <v>32</v>
      </c>
      <c r="B3957" s="76" t="s">
        <v>1011</v>
      </c>
      <c r="C3957" s="84">
        <v>1.52</v>
      </c>
      <c r="D3957" s="84">
        <v>1.0</v>
      </c>
      <c r="E3957" s="84">
        <v>1.52</v>
      </c>
      <c r="F3957" s="76" t="s">
        <v>975</v>
      </c>
      <c r="G3957" s="83">
        <v>46113.0</v>
      </c>
      <c r="H3957" s="76" t="s">
        <v>942</v>
      </c>
    </row>
    <row r="3958">
      <c r="A3958" s="76" t="s">
        <v>32</v>
      </c>
      <c r="B3958" s="76" t="s">
        <v>1011</v>
      </c>
      <c r="C3958" s="84">
        <v>7.17</v>
      </c>
      <c r="D3958" s="84">
        <v>1.0</v>
      </c>
      <c r="E3958" s="84">
        <v>7.17</v>
      </c>
      <c r="F3958" s="76" t="s">
        <v>975</v>
      </c>
      <c r="G3958" s="83">
        <v>46113.0</v>
      </c>
      <c r="H3958" s="76" t="s">
        <v>943</v>
      </c>
    </row>
    <row r="3959">
      <c r="A3959" s="76" t="s">
        <v>944</v>
      </c>
      <c r="B3959" s="76" t="s">
        <v>1011</v>
      </c>
      <c r="C3959" s="84">
        <v>11.73</v>
      </c>
      <c r="D3959" s="84">
        <v>1.0</v>
      </c>
      <c r="E3959" s="84">
        <v>11.73</v>
      </c>
      <c r="F3959" s="76" t="s">
        <v>975</v>
      </c>
      <c r="G3959" s="83">
        <v>46113.0</v>
      </c>
      <c r="H3959" s="76" t="s">
        <v>945</v>
      </c>
    </row>
    <row r="3960">
      <c r="A3960" s="76" t="s">
        <v>944</v>
      </c>
      <c r="B3960" s="76" t="s">
        <v>1011</v>
      </c>
      <c r="C3960" s="84">
        <v>0.86</v>
      </c>
      <c r="D3960" s="84">
        <v>0.0</v>
      </c>
      <c r="E3960" s="84">
        <v>0.0</v>
      </c>
      <c r="F3960" s="76" t="s">
        <v>975</v>
      </c>
      <c r="G3960" s="83">
        <v>46113.0</v>
      </c>
      <c r="H3960" s="76" t="s">
        <v>946</v>
      </c>
    </row>
    <row r="3961">
      <c r="A3961" s="76" t="s">
        <v>944</v>
      </c>
      <c r="B3961" s="76" t="s">
        <v>1011</v>
      </c>
      <c r="C3961" s="84">
        <v>1.99</v>
      </c>
      <c r="D3961" s="84">
        <v>0.0</v>
      </c>
      <c r="E3961" s="84">
        <v>0.0</v>
      </c>
      <c r="F3961" s="76" t="s">
        <v>975</v>
      </c>
      <c r="G3961" s="83">
        <v>46113.0</v>
      </c>
      <c r="H3961" s="76" t="s">
        <v>947</v>
      </c>
    </row>
    <row r="3962">
      <c r="A3962" s="76" t="s">
        <v>26</v>
      </c>
      <c r="B3962" s="76" t="s">
        <v>1011</v>
      </c>
      <c r="C3962" s="84">
        <v>0.75</v>
      </c>
      <c r="D3962" s="84">
        <v>1.0</v>
      </c>
      <c r="E3962" s="84">
        <v>0.75</v>
      </c>
      <c r="F3962" s="76" t="s">
        <v>975</v>
      </c>
      <c r="G3962" s="83">
        <v>46113.0</v>
      </c>
      <c r="H3962" s="76" t="s">
        <v>1012</v>
      </c>
    </row>
    <row r="3963">
      <c r="A3963" s="76" t="s">
        <v>26</v>
      </c>
      <c r="B3963" s="76" t="s">
        <v>1011</v>
      </c>
      <c r="C3963" s="84">
        <v>7.07</v>
      </c>
      <c r="D3963" s="84">
        <v>0.0</v>
      </c>
      <c r="E3963" s="84">
        <v>0.0</v>
      </c>
      <c r="F3963" s="76" t="s">
        <v>975</v>
      </c>
      <c r="G3963" s="83">
        <v>46113.0</v>
      </c>
      <c r="H3963" s="76" t="s">
        <v>1013</v>
      </c>
    </row>
    <row r="3964">
      <c r="A3964" s="76" t="s">
        <v>26</v>
      </c>
      <c r="B3964" s="76" t="s">
        <v>1011</v>
      </c>
      <c r="C3964" s="84">
        <v>2.56</v>
      </c>
      <c r="D3964" s="84">
        <v>0.0</v>
      </c>
      <c r="E3964" s="84">
        <v>0.0</v>
      </c>
      <c r="F3964" s="76" t="s">
        <v>975</v>
      </c>
      <c r="G3964" s="83">
        <v>46113.0</v>
      </c>
      <c r="H3964" s="76" t="s">
        <v>1014</v>
      </c>
    </row>
    <row r="3965">
      <c r="A3965" s="76" t="s">
        <v>36</v>
      </c>
      <c r="B3965" s="76" t="s">
        <v>1023</v>
      </c>
      <c r="C3965" s="84">
        <v>4.57</v>
      </c>
      <c r="D3965" s="84">
        <v>0.0</v>
      </c>
      <c r="E3965" s="84">
        <v>0.0</v>
      </c>
      <c r="F3965" s="76" t="s">
        <v>990</v>
      </c>
      <c r="G3965" s="83">
        <v>46113.0</v>
      </c>
      <c r="H3965" s="76" t="s">
        <v>926</v>
      </c>
    </row>
    <row r="3966">
      <c r="A3966" s="76" t="s">
        <v>36</v>
      </c>
      <c r="B3966" s="76" t="s">
        <v>1023</v>
      </c>
      <c r="C3966" s="84">
        <v>2.85</v>
      </c>
      <c r="D3966" s="84">
        <v>0.0</v>
      </c>
      <c r="E3966" s="84">
        <v>0.0</v>
      </c>
      <c r="F3966" s="76" t="s">
        <v>990</v>
      </c>
      <c r="G3966" s="83">
        <v>46113.0</v>
      </c>
      <c r="H3966" s="76" t="s">
        <v>927</v>
      </c>
    </row>
    <row r="3967">
      <c r="A3967" s="76" t="s">
        <v>36</v>
      </c>
      <c r="B3967" s="76" t="s">
        <v>1023</v>
      </c>
      <c r="C3967" s="84">
        <v>2.33</v>
      </c>
      <c r="D3967" s="84">
        <v>0.0</v>
      </c>
      <c r="E3967" s="84">
        <v>0.0</v>
      </c>
      <c r="F3967" s="76" t="s">
        <v>990</v>
      </c>
      <c r="G3967" s="83">
        <v>46113.0</v>
      </c>
      <c r="H3967" s="76" t="s">
        <v>928</v>
      </c>
    </row>
    <row r="3968">
      <c r="A3968" s="76" t="s">
        <v>31</v>
      </c>
      <c r="B3968" s="76" t="s">
        <v>1023</v>
      </c>
      <c r="C3968" s="84">
        <v>5.04</v>
      </c>
      <c r="D3968" s="84">
        <v>0.0</v>
      </c>
      <c r="E3968" s="84">
        <v>0.0</v>
      </c>
      <c r="F3968" s="76" t="s">
        <v>990</v>
      </c>
      <c r="G3968" s="83">
        <v>46113.0</v>
      </c>
      <c r="H3968" s="76" t="s">
        <v>929</v>
      </c>
    </row>
    <row r="3969">
      <c r="A3969" s="76" t="s">
        <v>31</v>
      </c>
      <c r="B3969" s="76" t="s">
        <v>1023</v>
      </c>
      <c r="C3969" s="84">
        <v>38.44</v>
      </c>
      <c r="D3969" s="84">
        <v>1.0</v>
      </c>
      <c r="E3969" s="84">
        <v>38.44</v>
      </c>
      <c r="F3969" s="76" t="s">
        <v>990</v>
      </c>
      <c r="G3969" s="83">
        <v>46113.0</v>
      </c>
      <c r="H3969" s="76" t="s">
        <v>930</v>
      </c>
    </row>
    <row r="3970">
      <c r="A3970" s="76" t="s">
        <v>28</v>
      </c>
      <c r="B3970" s="76" t="s">
        <v>1023</v>
      </c>
      <c r="C3970" s="84">
        <v>0.96</v>
      </c>
      <c r="D3970" s="84">
        <v>0.0</v>
      </c>
      <c r="E3970" s="84">
        <v>0.0</v>
      </c>
      <c r="F3970" s="76" t="s">
        <v>990</v>
      </c>
      <c r="G3970" s="83">
        <v>46113.0</v>
      </c>
      <c r="H3970" s="76" t="s">
        <v>931</v>
      </c>
    </row>
    <row r="3971">
      <c r="A3971" s="76" t="s">
        <v>28</v>
      </c>
      <c r="B3971" s="76" t="s">
        <v>1023</v>
      </c>
      <c r="C3971" s="84">
        <v>1.68</v>
      </c>
      <c r="D3971" s="84">
        <v>0.0</v>
      </c>
      <c r="E3971" s="84">
        <v>0.0</v>
      </c>
      <c r="F3971" s="76" t="s">
        <v>990</v>
      </c>
      <c r="G3971" s="83">
        <v>46113.0</v>
      </c>
      <c r="H3971" s="76" t="s">
        <v>932</v>
      </c>
    </row>
    <row r="3972">
      <c r="A3972" s="76" t="s">
        <v>28</v>
      </c>
      <c r="B3972" s="76" t="s">
        <v>1023</v>
      </c>
      <c r="C3972" s="84">
        <v>13.46</v>
      </c>
      <c r="D3972" s="84">
        <v>0.0</v>
      </c>
      <c r="E3972" s="84">
        <v>0.0</v>
      </c>
      <c r="F3972" s="76" t="s">
        <v>990</v>
      </c>
      <c r="G3972" s="83">
        <v>46113.0</v>
      </c>
      <c r="H3972" s="76" t="s">
        <v>933</v>
      </c>
    </row>
    <row r="3973">
      <c r="A3973" s="76" t="s">
        <v>42</v>
      </c>
      <c r="B3973" s="76" t="s">
        <v>1023</v>
      </c>
      <c r="C3973" s="84">
        <v>0.64</v>
      </c>
      <c r="D3973" s="84">
        <v>0.0</v>
      </c>
      <c r="E3973" s="84">
        <v>0.0</v>
      </c>
      <c r="F3973" s="76" t="s">
        <v>990</v>
      </c>
      <c r="G3973" s="83">
        <v>46113.0</v>
      </c>
      <c r="H3973" s="76" t="s">
        <v>991</v>
      </c>
    </row>
    <row r="3974">
      <c r="A3974" s="76" t="s">
        <v>42</v>
      </c>
      <c r="B3974" s="76" t="s">
        <v>1023</v>
      </c>
      <c r="C3974" s="84">
        <v>8.05</v>
      </c>
      <c r="D3974" s="84">
        <v>0.0</v>
      </c>
      <c r="E3974" s="84">
        <v>0.0</v>
      </c>
      <c r="F3974" s="76" t="s">
        <v>990</v>
      </c>
      <c r="G3974" s="83">
        <v>46113.0</v>
      </c>
      <c r="H3974" s="76" t="s">
        <v>935</v>
      </c>
    </row>
    <row r="3975">
      <c r="A3975" s="76" t="s">
        <v>45</v>
      </c>
      <c r="B3975" s="76" t="s">
        <v>1023</v>
      </c>
      <c r="C3975" s="84">
        <v>1.56</v>
      </c>
      <c r="D3975" s="84">
        <v>0.0</v>
      </c>
      <c r="E3975" s="84">
        <v>0.0</v>
      </c>
      <c r="F3975" s="76" t="s">
        <v>990</v>
      </c>
      <c r="G3975" s="83">
        <v>46113.0</v>
      </c>
      <c r="H3975" s="76" t="s">
        <v>936</v>
      </c>
    </row>
    <row r="3976">
      <c r="A3976" s="76" t="s">
        <v>45</v>
      </c>
      <c r="B3976" s="76" t="s">
        <v>1023</v>
      </c>
      <c r="C3976" s="84">
        <v>1.32</v>
      </c>
      <c r="D3976" s="84">
        <v>0.0</v>
      </c>
      <c r="E3976" s="84">
        <v>0.0</v>
      </c>
      <c r="F3976" s="76" t="s">
        <v>990</v>
      </c>
      <c r="G3976" s="83">
        <v>46113.0</v>
      </c>
      <c r="H3976" s="76" t="s">
        <v>937</v>
      </c>
    </row>
    <row r="3977">
      <c r="A3977" s="76" t="s">
        <v>45</v>
      </c>
      <c r="B3977" s="76" t="s">
        <v>1023</v>
      </c>
      <c r="C3977" s="84">
        <v>2.83</v>
      </c>
      <c r="D3977" s="84">
        <v>0.0</v>
      </c>
      <c r="E3977" s="84">
        <v>0.0</v>
      </c>
      <c r="F3977" s="76" t="s">
        <v>990</v>
      </c>
      <c r="G3977" s="83">
        <v>46113.0</v>
      </c>
      <c r="H3977" s="76" t="s">
        <v>938</v>
      </c>
    </row>
    <row r="3978">
      <c r="A3978" s="76" t="s">
        <v>50</v>
      </c>
      <c r="B3978" s="76" t="s">
        <v>1023</v>
      </c>
      <c r="C3978" s="84">
        <v>3.86</v>
      </c>
      <c r="D3978" s="84">
        <v>0.0</v>
      </c>
      <c r="E3978" s="84">
        <v>0.0</v>
      </c>
      <c r="F3978" s="76" t="s">
        <v>990</v>
      </c>
      <c r="G3978" s="83">
        <v>46113.0</v>
      </c>
      <c r="H3978" s="76" t="s">
        <v>939</v>
      </c>
    </row>
    <row r="3979">
      <c r="A3979" s="76" t="s">
        <v>50</v>
      </c>
      <c r="B3979" s="76" t="s">
        <v>1023</v>
      </c>
      <c r="C3979" s="84">
        <v>3.46</v>
      </c>
      <c r="D3979" s="84">
        <v>0.0</v>
      </c>
      <c r="E3979" s="84">
        <v>0.0</v>
      </c>
      <c r="F3979" s="76" t="s">
        <v>990</v>
      </c>
      <c r="G3979" s="83">
        <v>46113.0</v>
      </c>
      <c r="H3979" s="76" t="s">
        <v>940</v>
      </c>
    </row>
    <row r="3980">
      <c r="A3980" s="76" t="s">
        <v>32</v>
      </c>
      <c r="B3980" s="76" t="s">
        <v>1023</v>
      </c>
      <c r="C3980" s="84">
        <v>7.58</v>
      </c>
      <c r="D3980" s="84">
        <v>0.0</v>
      </c>
      <c r="E3980" s="84">
        <v>0.0</v>
      </c>
      <c r="F3980" s="76" t="s">
        <v>990</v>
      </c>
      <c r="G3980" s="83">
        <v>46113.0</v>
      </c>
      <c r="H3980" s="76" t="s">
        <v>941</v>
      </c>
    </row>
    <row r="3981">
      <c r="A3981" s="76" t="s">
        <v>32</v>
      </c>
      <c r="B3981" s="76" t="s">
        <v>1023</v>
      </c>
      <c r="C3981" s="84">
        <v>2.97</v>
      </c>
      <c r="D3981" s="84">
        <v>0.0</v>
      </c>
      <c r="E3981" s="84">
        <v>0.0</v>
      </c>
      <c r="F3981" s="76" t="s">
        <v>990</v>
      </c>
      <c r="G3981" s="83">
        <v>46113.0</v>
      </c>
      <c r="H3981" s="76" t="s">
        <v>942</v>
      </c>
    </row>
    <row r="3982">
      <c r="A3982" s="76" t="s">
        <v>32</v>
      </c>
      <c r="B3982" s="76" t="s">
        <v>1023</v>
      </c>
      <c r="C3982" s="84">
        <v>5.87</v>
      </c>
      <c r="D3982" s="84">
        <v>1.0</v>
      </c>
      <c r="E3982" s="84">
        <v>5.87</v>
      </c>
      <c r="F3982" s="76" t="s">
        <v>990</v>
      </c>
      <c r="G3982" s="83">
        <v>46113.0</v>
      </c>
      <c r="H3982" s="76" t="s">
        <v>943</v>
      </c>
    </row>
    <row r="3983">
      <c r="A3983" s="76" t="s">
        <v>944</v>
      </c>
      <c r="B3983" s="76" t="s">
        <v>1023</v>
      </c>
      <c r="C3983" s="84">
        <v>7.19</v>
      </c>
      <c r="D3983" s="84">
        <v>0.0</v>
      </c>
      <c r="E3983" s="84">
        <v>0.0</v>
      </c>
      <c r="F3983" s="76" t="s">
        <v>990</v>
      </c>
      <c r="G3983" s="83">
        <v>46113.0</v>
      </c>
      <c r="H3983" s="76" t="s">
        <v>945</v>
      </c>
    </row>
    <row r="3984">
      <c r="A3984" s="76" t="s">
        <v>944</v>
      </c>
      <c r="B3984" s="76" t="s">
        <v>1023</v>
      </c>
      <c r="C3984" s="84">
        <v>1.17</v>
      </c>
      <c r="D3984" s="84">
        <v>0.0</v>
      </c>
      <c r="E3984" s="84">
        <v>0.0</v>
      </c>
      <c r="F3984" s="76" t="s">
        <v>990</v>
      </c>
      <c r="G3984" s="83">
        <v>46113.0</v>
      </c>
      <c r="H3984" s="76" t="s">
        <v>946</v>
      </c>
    </row>
    <row r="3985">
      <c r="A3985" s="76" t="s">
        <v>944</v>
      </c>
      <c r="B3985" s="76" t="s">
        <v>1023</v>
      </c>
      <c r="C3985" s="84">
        <v>2.42</v>
      </c>
      <c r="D3985" s="84">
        <v>0.0</v>
      </c>
      <c r="E3985" s="84">
        <v>0.0</v>
      </c>
      <c r="F3985" s="76" t="s">
        <v>990</v>
      </c>
      <c r="G3985" s="83">
        <v>46113.0</v>
      </c>
      <c r="H3985" s="76" t="s">
        <v>947</v>
      </c>
    </row>
    <row r="3986">
      <c r="A3986" s="76" t="s">
        <v>26</v>
      </c>
      <c r="B3986" s="76" t="s">
        <v>1023</v>
      </c>
      <c r="C3986" s="84">
        <v>1.95</v>
      </c>
      <c r="D3986" s="84">
        <v>0.0</v>
      </c>
      <c r="E3986" s="84">
        <v>0.0</v>
      </c>
      <c r="F3986" s="76" t="s">
        <v>990</v>
      </c>
      <c r="G3986" s="83">
        <v>46113.0</v>
      </c>
      <c r="H3986" s="76" t="s">
        <v>1012</v>
      </c>
    </row>
    <row r="3987">
      <c r="A3987" s="76" t="s">
        <v>26</v>
      </c>
      <c r="B3987" s="76" t="s">
        <v>1023</v>
      </c>
      <c r="C3987" s="84">
        <v>4.39</v>
      </c>
      <c r="D3987" s="84">
        <v>0.0</v>
      </c>
      <c r="E3987" s="84">
        <v>0.0</v>
      </c>
      <c r="F3987" s="76" t="s">
        <v>990</v>
      </c>
      <c r="G3987" s="83">
        <v>46113.0</v>
      </c>
      <c r="H3987" s="76" t="s">
        <v>1013</v>
      </c>
    </row>
    <row r="3988">
      <c r="A3988" s="76" t="s">
        <v>26</v>
      </c>
      <c r="B3988" s="76" t="s">
        <v>1023</v>
      </c>
      <c r="C3988" s="84">
        <v>4.07</v>
      </c>
      <c r="D3988" s="84">
        <v>0.0</v>
      </c>
      <c r="E3988" s="84">
        <v>0.0</v>
      </c>
      <c r="F3988" s="76" t="s">
        <v>990</v>
      </c>
      <c r="G3988" s="83">
        <v>46113.0</v>
      </c>
      <c r="H3988" s="76" t="s">
        <v>1014</v>
      </c>
    </row>
    <row r="3989">
      <c r="A3989" s="76" t="s">
        <v>36</v>
      </c>
      <c r="B3989" s="76" t="s">
        <v>1023</v>
      </c>
      <c r="C3989" s="84">
        <v>5.2</v>
      </c>
      <c r="D3989" s="84">
        <v>0.0</v>
      </c>
      <c r="E3989" s="84">
        <v>0.0</v>
      </c>
      <c r="F3989" s="76" t="s">
        <v>993</v>
      </c>
      <c r="G3989" s="83">
        <v>46113.0</v>
      </c>
      <c r="H3989" s="76" t="s">
        <v>926</v>
      </c>
    </row>
    <row r="3990">
      <c r="A3990" s="76" t="s">
        <v>36</v>
      </c>
      <c r="B3990" s="76" t="s">
        <v>1023</v>
      </c>
      <c r="C3990" s="84">
        <v>2.41</v>
      </c>
      <c r="D3990" s="84">
        <v>0.0</v>
      </c>
      <c r="E3990" s="84">
        <v>0.0</v>
      </c>
      <c r="F3990" s="76" t="s">
        <v>993</v>
      </c>
      <c r="G3990" s="83">
        <v>46113.0</v>
      </c>
      <c r="H3990" s="76" t="s">
        <v>927</v>
      </c>
    </row>
    <row r="3991">
      <c r="A3991" s="76" t="s">
        <v>36</v>
      </c>
      <c r="B3991" s="76" t="s">
        <v>1023</v>
      </c>
      <c r="C3991" s="84">
        <v>2.41</v>
      </c>
      <c r="D3991" s="84">
        <v>1.0</v>
      </c>
      <c r="E3991" s="84">
        <v>2.41</v>
      </c>
      <c r="F3991" s="76" t="s">
        <v>993</v>
      </c>
      <c r="G3991" s="83">
        <v>46113.0</v>
      </c>
      <c r="H3991" s="76" t="s">
        <v>928</v>
      </c>
    </row>
    <row r="3992">
      <c r="A3992" s="76" t="s">
        <v>31</v>
      </c>
      <c r="B3992" s="76" t="s">
        <v>1023</v>
      </c>
      <c r="C3992" s="84">
        <v>4.42</v>
      </c>
      <c r="D3992" s="84">
        <v>0.0</v>
      </c>
      <c r="E3992" s="84">
        <v>0.0</v>
      </c>
      <c r="F3992" s="76" t="s">
        <v>993</v>
      </c>
      <c r="G3992" s="83">
        <v>46113.0</v>
      </c>
      <c r="H3992" s="76" t="s">
        <v>929</v>
      </c>
    </row>
    <row r="3993">
      <c r="A3993" s="76" t="s">
        <v>31</v>
      </c>
      <c r="B3993" s="76" t="s">
        <v>1023</v>
      </c>
      <c r="C3993" s="84">
        <v>33.46</v>
      </c>
      <c r="D3993" s="84">
        <v>0.0</v>
      </c>
      <c r="E3993" s="84">
        <v>0.0</v>
      </c>
      <c r="F3993" s="76" t="s">
        <v>993</v>
      </c>
      <c r="G3993" s="83">
        <v>46113.0</v>
      </c>
      <c r="H3993" s="76" t="s">
        <v>930</v>
      </c>
    </row>
    <row r="3994">
      <c r="A3994" s="76" t="s">
        <v>28</v>
      </c>
      <c r="B3994" s="76" t="s">
        <v>1023</v>
      </c>
      <c r="C3994" s="84">
        <v>0.89</v>
      </c>
      <c r="D3994" s="84">
        <v>0.0</v>
      </c>
      <c r="E3994" s="84">
        <v>0.0</v>
      </c>
      <c r="F3994" s="76" t="s">
        <v>993</v>
      </c>
      <c r="G3994" s="83">
        <v>46113.0</v>
      </c>
      <c r="H3994" s="76" t="s">
        <v>931</v>
      </c>
    </row>
    <row r="3995">
      <c r="A3995" s="76" t="s">
        <v>28</v>
      </c>
      <c r="B3995" s="76" t="s">
        <v>1023</v>
      </c>
      <c r="C3995" s="84">
        <v>1.97</v>
      </c>
      <c r="D3995" s="84">
        <v>0.0</v>
      </c>
      <c r="E3995" s="84">
        <v>0.0</v>
      </c>
      <c r="F3995" s="76" t="s">
        <v>993</v>
      </c>
      <c r="G3995" s="83">
        <v>46113.0</v>
      </c>
      <c r="H3995" s="76" t="s">
        <v>932</v>
      </c>
    </row>
    <row r="3996">
      <c r="A3996" s="76" t="s">
        <v>28</v>
      </c>
      <c r="B3996" s="76" t="s">
        <v>1023</v>
      </c>
      <c r="C3996" s="84">
        <v>13.19</v>
      </c>
      <c r="D3996" s="84">
        <v>1.0</v>
      </c>
      <c r="E3996" s="84">
        <v>13.19</v>
      </c>
      <c r="F3996" s="76" t="s">
        <v>993</v>
      </c>
      <c r="G3996" s="83">
        <v>46113.0</v>
      </c>
      <c r="H3996" s="76" t="s">
        <v>933</v>
      </c>
    </row>
    <row r="3997">
      <c r="A3997" s="76" t="s">
        <v>42</v>
      </c>
      <c r="B3997" s="76" t="s">
        <v>1023</v>
      </c>
      <c r="C3997" s="84">
        <v>0.66</v>
      </c>
      <c r="D3997" s="84">
        <v>0.0</v>
      </c>
      <c r="E3997" s="84">
        <v>0.0</v>
      </c>
      <c r="F3997" s="76" t="s">
        <v>993</v>
      </c>
      <c r="G3997" s="83">
        <v>46113.0</v>
      </c>
      <c r="H3997" s="76" t="s">
        <v>991</v>
      </c>
    </row>
    <row r="3998">
      <c r="A3998" s="76" t="s">
        <v>42</v>
      </c>
      <c r="B3998" s="76" t="s">
        <v>1023</v>
      </c>
      <c r="C3998" s="84">
        <v>6.61</v>
      </c>
      <c r="D3998" s="84">
        <v>0.0</v>
      </c>
      <c r="E3998" s="84">
        <v>0.0</v>
      </c>
      <c r="F3998" s="76" t="s">
        <v>993</v>
      </c>
      <c r="G3998" s="83">
        <v>46113.0</v>
      </c>
      <c r="H3998" s="76" t="s">
        <v>935</v>
      </c>
    </row>
    <row r="3999">
      <c r="A3999" s="76" t="s">
        <v>45</v>
      </c>
      <c r="B3999" s="76" t="s">
        <v>1023</v>
      </c>
      <c r="C3999" s="84">
        <v>1.34</v>
      </c>
      <c r="D3999" s="84">
        <v>0.0</v>
      </c>
      <c r="E3999" s="84">
        <v>0.0</v>
      </c>
      <c r="F3999" s="76" t="s">
        <v>993</v>
      </c>
      <c r="G3999" s="83">
        <v>46113.0</v>
      </c>
      <c r="H3999" s="76" t="s">
        <v>936</v>
      </c>
    </row>
    <row r="4000">
      <c r="A4000" s="76" t="s">
        <v>45</v>
      </c>
      <c r="B4000" s="76" t="s">
        <v>1023</v>
      </c>
      <c r="C4000" s="84">
        <v>1.26</v>
      </c>
      <c r="D4000" s="84">
        <v>0.0</v>
      </c>
      <c r="E4000" s="84">
        <v>0.0</v>
      </c>
      <c r="F4000" s="76" t="s">
        <v>993</v>
      </c>
      <c r="G4000" s="83">
        <v>46113.0</v>
      </c>
      <c r="H4000" s="76" t="s">
        <v>937</v>
      </c>
    </row>
    <row r="4001">
      <c r="A4001" s="76" t="s">
        <v>45</v>
      </c>
      <c r="B4001" s="76" t="s">
        <v>1023</v>
      </c>
      <c r="C4001" s="84">
        <v>2.55</v>
      </c>
      <c r="D4001" s="84">
        <v>0.0</v>
      </c>
      <c r="E4001" s="84">
        <v>0.0</v>
      </c>
      <c r="F4001" s="76" t="s">
        <v>993</v>
      </c>
      <c r="G4001" s="83">
        <v>46113.0</v>
      </c>
      <c r="H4001" s="76" t="s">
        <v>938</v>
      </c>
    </row>
    <row r="4002">
      <c r="A4002" s="76" t="s">
        <v>50</v>
      </c>
      <c r="B4002" s="76" t="s">
        <v>1023</v>
      </c>
      <c r="C4002" s="84">
        <v>4.18</v>
      </c>
      <c r="D4002" s="84">
        <v>0.0</v>
      </c>
      <c r="E4002" s="84">
        <v>0.0</v>
      </c>
      <c r="F4002" s="76" t="s">
        <v>993</v>
      </c>
      <c r="G4002" s="83">
        <v>46113.0</v>
      </c>
      <c r="H4002" s="76" t="s">
        <v>939</v>
      </c>
    </row>
    <row r="4003">
      <c r="A4003" s="76" t="s">
        <v>50</v>
      </c>
      <c r="B4003" s="76" t="s">
        <v>1023</v>
      </c>
      <c r="C4003" s="84">
        <v>2.98</v>
      </c>
      <c r="D4003" s="84">
        <v>0.0</v>
      </c>
      <c r="E4003" s="84">
        <v>0.0</v>
      </c>
      <c r="F4003" s="76" t="s">
        <v>993</v>
      </c>
      <c r="G4003" s="83">
        <v>46113.0</v>
      </c>
      <c r="H4003" s="76" t="s">
        <v>940</v>
      </c>
    </row>
    <row r="4004">
      <c r="A4004" s="76" t="s">
        <v>32</v>
      </c>
      <c r="B4004" s="76" t="s">
        <v>1023</v>
      </c>
      <c r="C4004" s="84">
        <v>7.51</v>
      </c>
      <c r="D4004" s="84">
        <v>0.0</v>
      </c>
      <c r="E4004" s="84">
        <v>0.0</v>
      </c>
      <c r="F4004" s="76" t="s">
        <v>993</v>
      </c>
      <c r="G4004" s="83">
        <v>46113.0</v>
      </c>
      <c r="H4004" s="76" t="s">
        <v>941</v>
      </c>
    </row>
    <row r="4005">
      <c r="A4005" s="76" t="s">
        <v>32</v>
      </c>
      <c r="B4005" s="76" t="s">
        <v>1023</v>
      </c>
      <c r="C4005" s="84">
        <v>2.42</v>
      </c>
      <c r="D4005" s="84">
        <v>0.0</v>
      </c>
      <c r="E4005" s="84">
        <v>0.0</v>
      </c>
      <c r="F4005" s="76" t="s">
        <v>993</v>
      </c>
      <c r="G4005" s="83">
        <v>46113.0</v>
      </c>
      <c r="H4005" s="76" t="s">
        <v>942</v>
      </c>
    </row>
    <row r="4006">
      <c r="A4006" s="76" t="s">
        <v>32</v>
      </c>
      <c r="B4006" s="76" t="s">
        <v>1023</v>
      </c>
      <c r="C4006" s="84">
        <v>5.13</v>
      </c>
      <c r="D4006" s="84">
        <v>0.0</v>
      </c>
      <c r="E4006" s="84">
        <v>0.0</v>
      </c>
      <c r="F4006" s="76" t="s">
        <v>993</v>
      </c>
      <c r="G4006" s="83">
        <v>46113.0</v>
      </c>
      <c r="H4006" s="76" t="s">
        <v>943</v>
      </c>
    </row>
    <row r="4007">
      <c r="A4007" s="76" t="s">
        <v>944</v>
      </c>
      <c r="B4007" s="76" t="s">
        <v>1023</v>
      </c>
      <c r="C4007" s="84">
        <v>6.18</v>
      </c>
      <c r="D4007" s="84">
        <v>0.0</v>
      </c>
      <c r="E4007" s="84">
        <v>0.0</v>
      </c>
      <c r="F4007" s="76" t="s">
        <v>993</v>
      </c>
      <c r="G4007" s="83">
        <v>46113.0</v>
      </c>
      <c r="H4007" s="76" t="s">
        <v>945</v>
      </c>
    </row>
    <row r="4008">
      <c r="A4008" s="76" t="s">
        <v>944</v>
      </c>
      <c r="B4008" s="76" t="s">
        <v>1023</v>
      </c>
      <c r="C4008" s="84">
        <v>0.94</v>
      </c>
      <c r="D4008" s="84">
        <v>0.0</v>
      </c>
      <c r="E4008" s="84">
        <v>0.0</v>
      </c>
      <c r="F4008" s="76" t="s">
        <v>993</v>
      </c>
      <c r="G4008" s="83">
        <v>46113.0</v>
      </c>
      <c r="H4008" s="76" t="s">
        <v>946</v>
      </c>
    </row>
    <row r="4009">
      <c r="A4009" s="76" t="s">
        <v>944</v>
      </c>
      <c r="B4009" s="76" t="s">
        <v>1023</v>
      </c>
      <c r="C4009" s="84">
        <v>2.21</v>
      </c>
      <c r="D4009" s="84">
        <v>0.0</v>
      </c>
      <c r="E4009" s="84">
        <v>0.0</v>
      </c>
      <c r="F4009" s="76" t="s">
        <v>993</v>
      </c>
      <c r="G4009" s="83">
        <v>46113.0</v>
      </c>
      <c r="H4009" s="76" t="s">
        <v>947</v>
      </c>
    </row>
    <row r="4010">
      <c r="A4010" s="76" t="s">
        <v>26</v>
      </c>
      <c r="B4010" s="76" t="s">
        <v>1023</v>
      </c>
      <c r="C4010" s="84">
        <v>2.09</v>
      </c>
      <c r="D4010" s="84">
        <v>0.0</v>
      </c>
      <c r="E4010" s="84">
        <v>0.0</v>
      </c>
      <c r="F4010" s="76" t="s">
        <v>993</v>
      </c>
      <c r="G4010" s="83">
        <v>46113.0</v>
      </c>
      <c r="H4010" s="76" t="s">
        <v>1012</v>
      </c>
    </row>
    <row r="4011">
      <c r="A4011" s="76" t="s">
        <v>26</v>
      </c>
      <c r="B4011" s="76" t="s">
        <v>1023</v>
      </c>
      <c r="C4011" s="84">
        <v>5.1</v>
      </c>
      <c r="D4011" s="84">
        <v>0.0</v>
      </c>
      <c r="E4011" s="84">
        <v>0.0</v>
      </c>
      <c r="F4011" s="76" t="s">
        <v>993</v>
      </c>
      <c r="G4011" s="83">
        <v>46113.0</v>
      </c>
      <c r="H4011" s="76" t="s">
        <v>1013</v>
      </c>
    </row>
    <row r="4012">
      <c r="A4012" s="76" t="s">
        <v>26</v>
      </c>
      <c r="B4012" s="76" t="s">
        <v>1023</v>
      </c>
      <c r="C4012" s="84">
        <v>4.47</v>
      </c>
      <c r="D4012" s="84">
        <v>0.0</v>
      </c>
      <c r="E4012" s="84">
        <v>0.0</v>
      </c>
      <c r="F4012" s="76" t="s">
        <v>993</v>
      </c>
      <c r="G4012" s="83">
        <v>46113.0</v>
      </c>
      <c r="H4012" s="76" t="s">
        <v>1014</v>
      </c>
    </row>
    <row r="4013">
      <c r="A4013" s="76" t="s">
        <v>36</v>
      </c>
      <c r="B4013" s="76" t="s">
        <v>1023</v>
      </c>
      <c r="C4013" s="84">
        <v>4.22</v>
      </c>
      <c r="D4013" s="84">
        <v>0.0</v>
      </c>
      <c r="E4013" s="84">
        <v>0.0</v>
      </c>
      <c r="F4013" s="76" t="s">
        <v>994</v>
      </c>
      <c r="G4013" s="83">
        <v>46113.0</v>
      </c>
      <c r="H4013" s="76" t="s">
        <v>926</v>
      </c>
    </row>
    <row r="4014">
      <c r="A4014" s="76" t="s">
        <v>36</v>
      </c>
      <c r="B4014" s="76" t="s">
        <v>1023</v>
      </c>
      <c r="C4014" s="84">
        <v>2.26</v>
      </c>
      <c r="D4014" s="84">
        <v>0.0</v>
      </c>
      <c r="E4014" s="84">
        <v>0.0</v>
      </c>
      <c r="F4014" s="76" t="s">
        <v>994</v>
      </c>
      <c r="G4014" s="83">
        <v>46113.0</v>
      </c>
      <c r="H4014" s="76" t="s">
        <v>927</v>
      </c>
    </row>
    <row r="4015">
      <c r="A4015" s="76" t="s">
        <v>36</v>
      </c>
      <c r="B4015" s="76" t="s">
        <v>1023</v>
      </c>
      <c r="C4015" s="84">
        <v>2.37</v>
      </c>
      <c r="D4015" s="84">
        <v>0.0</v>
      </c>
      <c r="E4015" s="84">
        <v>0.0</v>
      </c>
      <c r="F4015" s="76" t="s">
        <v>994</v>
      </c>
      <c r="G4015" s="83">
        <v>46113.0</v>
      </c>
      <c r="H4015" s="76" t="s">
        <v>928</v>
      </c>
    </row>
    <row r="4016">
      <c r="A4016" s="76" t="s">
        <v>31</v>
      </c>
      <c r="B4016" s="76" t="s">
        <v>1023</v>
      </c>
      <c r="C4016" s="84">
        <v>4.11</v>
      </c>
      <c r="D4016" s="84">
        <v>0.0</v>
      </c>
      <c r="E4016" s="84">
        <v>0.0</v>
      </c>
      <c r="F4016" s="76" t="s">
        <v>994</v>
      </c>
      <c r="G4016" s="83">
        <v>46113.0</v>
      </c>
      <c r="H4016" s="76" t="s">
        <v>929</v>
      </c>
    </row>
    <row r="4017">
      <c r="A4017" s="76" t="s">
        <v>31</v>
      </c>
      <c r="B4017" s="76" t="s">
        <v>1023</v>
      </c>
      <c r="C4017" s="84">
        <v>29.86</v>
      </c>
      <c r="D4017" s="84">
        <v>1.0</v>
      </c>
      <c r="E4017" s="84">
        <v>29.86</v>
      </c>
      <c r="F4017" s="76" t="s">
        <v>994</v>
      </c>
      <c r="G4017" s="83">
        <v>46113.0</v>
      </c>
      <c r="H4017" s="76" t="s">
        <v>930</v>
      </c>
    </row>
    <row r="4018">
      <c r="A4018" s="76" t="s">
        <v>28</v>
      </c>
      <c r="B4018" s="76" t="s">
        <v>1023</v>
      </c>
      <c r="C4018" s="84">
        <v>0.9</v>
      </c>
      <c r="D4018" s="84">
        <v>0.0</v>
      </c>
      <c r="E4018" s="84">
        <v>0.0</v>
      </c>
      <c r="F4018" s="76" t="s">
        <v>994</v>
      </c>
      <c r="G4018" s="83">
        <v>46113.0</v>
      </c>
      <c r="H4018" s="76" t="s">
        <v>931</v>
      </c>
    </row>
    <row r="4019">
      <c r="A4019" s="76" t="s">
        <v>28</v>
      </c>
      <c r="B4019" s="76" t="s">
        <v>1023</v>
      </c>
      <c r="C4019" s="84">
        <v>1.58</v>
      </c>
      <c r="D4019" s="84">
        <v>0.0</v>
      </c>
      <c r="E4019" s="84">
        <v>0.0</v>
      </c>
      <c r="F4019" s="76" t="s">
        <v>994</v>
      </c>
      <c r="G4019" s="83">
        <v>46113.0</v>
      </c>
      <c r="H4019" s="76" t="s">
        <v>932</v>
      </c>
    </row>
    <row r="4020">
      <c r="A4020" s="76" t="s">
        <v>28</v>
      </c>
      <c r="B4020" s="76" t="s">
        <v>1023</v>
      </c>
      <c r="C4020" s="84">
        <v>12.75</v>
      </c>
      <c r="D4020" s="84">
        <v>0.0</v>
      </c>
      <c r="E4020" s="84">
        <v>0.0</v>
      </c>
      <c r="F4020" s="76" t="s">
        <v>994</v>
      </c>
      <c r="G4020" s="83">
        <v>46113.0</v>
      </c>
      <c r="H4020" s="76" t="s">
        <v>933</v>
      </c>
    </row>
    <row r="4021">
      <c r="A4021" s="76" t="s">
        <v>42</v>
      </c>
      <c r="B4021" s="76" t="s">
        <v>1023</v>
      </c>
      <c r="C4021" s="84">
        <v>0.76</v>
      </c>
      <c r="D4021" s="84">
        <v>0.0</v>
      </c>
      <c r="E4021" s="84">
        <v>0.0</v>
      </c>
      <c r="F4021" s="76" t="s">
        <v>994</v>
      </c>
      <c r="G4021" s="83">
        <v>46113.0</v>
      </c>
      <c r="H4021" s="76" t="s">
        <v>991</v>
      </c>
    </row>
    <row r="4022">
      <c r="A4022" s="76" t="s">
        <v>42</v>
      </c>
      <c r="B4022" s="76" t="s">
        <v>1023</v>
      </c>
      <c r="C4022" s="84">
        <v>6.26</v>
      </c>
      <c r="D4022" s="84">
        <v>0.0</v>
      </c>
      <c r="E4022" s="84">
        <v>0.0</v>
      </c>
      <c r="F4022" s="76" t="s">
        <v>994</v>
      </c>
      <c r="G4022" s="83">
        <v>46113.0</v>
      </c>
      <c r="H4022" s="76" t="s">
        <v>935</v>
      </c>
    </row>
    <row r="4023">
      <c r="A4023" s="76" t="s">
        <v>45</v>
      </c>
      <c r="B4023" s="76" t="s">
        <v>1023</v>
      </c>
      <c r="C4023" s="84">
        <v>1.72</v>
      </c>
      <c r="D4023" s="84">
        <v>1.0</v>
      </c>
      <c r="E4023" s="84">
        <v>1.72</v>
      </c>
      <c r="F4023" s="76" t="s">
        <v>994</v>
      </c>
      <c r="G4023" s="83">
        <v>46113.0</v>
      </c>
      <c r="H4023" s="76" t="s">
        <v>936</v>
      </c>
    </row>
    <row r="4024">
      <c r="A4024" s="76" t="s">
        <v>45</v>
      </c>
      <c r="B4024" s="76" t="s">
        <v>1023</v>
      </c>
      <c r="C4024" s="84">
        <v>1.01</v>
      </c>
      <c r="D4024" s="84">
        <v>0.0</v>
      </c>
      <c r="E4024" s="84">
        <v>0.0</v>
      </c>
      <c r="F4024" s="76" t="s">
        <v>994</v>
      </c>
      <c r="G4024" s="83">
        <v>46113.0</v>
      </c>
      <c r="H4024" s="76" t="s">
        <v>937</v>
      </c>
    </row>
    <row r="4025">
      <c r="A4025" s="76" t="s">
        <v>45</v>
      </c>
      <c r="B4025" s="76" t="s">
        <v>1023</v>
      </c>
      <c r="C4025" s="84">
        <v>2.47</v>
      </c>
      <c r="D4025" s="84">
        <v>1.0</v>
      </c>
      <c r="E4025" s="84">
        <v>2.47</v>
      </c>
      <c r="F4025" s="76" t="s">
        <v>994</v>
      </c>
      <c r="G4025" s="83">
        <v>46113.0</v>
      </c>
      <c r="H4025" s="76" t="s">
        <v>938</v>
      </c>
    </row>
    <row r="4026">
      <c r="A4026" s="76" t="s">
        <v>50</v>
      </c>
      <c r="B4026" s="76" t="s">
        <v>1023</v>
      </c>
      <c r="C4026" s="84">
        <v>4.24</v>
      </c>
      <c r="D4026" s="84">
        <v>0.0</v>
      </c>
      <c r="E4026" s="84">
        <v>0.0</v>
      </c>
      <c r="F4026" s="76" t="s">
        <v>994</v>
      </c>
      <c r="G4026" s="83">
        <v>46113.0</v>
      </c>
      <c r="H4026" s="76" t="s">
        <v>939</v>
      </c>
    </row>
    <row r="4027">
      <c r="A4027" s="76" t="s">
        <v>50</v>
      </c>
      <c r="B4027" s="76" t="s">
        <v>1023</v>
      </c>
      <c r="C4027" s="84">
        <v>3.38</v>
      </c>
      <c r="D4027" s="84">
        <v>0.0</v>
      </c>
      <c r="E4027" s="84">
        <v>0.0</v>
      </c>
      <c r="F4027" s="76" t="s">
        <v>994</v>
      </c>
      <c r="G4027" s="83">
        <v>46113.0</v>
      </c>
      <c r="H4027" s="76" t="s">
        <v>940</v>
      </c>
    </row>
    <row r="4028">
      <c r="A4028" s="76" t="s">
        <v>32</v>
      </c>
      <c r="B4028" s="76" t="s">
        <v>1023</v>
      </c>
      <c r="C4028" s="84">
        <v>8.13</v>
      </c>
      <c r="D4028" s="84">
        <v>0.0</v>
      </c>
      <c r="E4028" s="84">
        <v>0.0</v>
      </c>
      <c r="F4028" s="76" t="s">
        <v>994</v>
      </c>
      <c r="G4028" s="83">
        <v>46113.0</v>
      </c>
      <c r="H4028" s="76" t="s">
        <v>941</v>
      </c>
    </row>
    <row r="4029">
      <c r="A4029" s="76" t="s">
        <v>32</v>
      </c>
      <c r="B4029" s="76" t="s">
        <v>1023</v>
      </c>
      <c r="C4029" s="84">
        <v>2.78</v>
      </c>
      <c r="D4029" s="84">
        <v>1.0</v>
      </c>
      <c r="E4029" s="84">
        <v>2.78</v>
      </c>
      <c r="F4029" s="76" t="s">
        <v>994</v>
      </c>
      <c r="G4029" s="83">
        <v>46113.0</v>
      </c>
      <c r="H4029" s="76" t="s">
        <v>942</v>
      </c>
    </row>
    <row r="4030">
      <c r="A4030" s="76" t="s">
        <v>32</v>
      </c>
      <c r="B4030" s="76" t="s">
        <v>1023</v>
      </c>
      <c r="C4030" s="84">
        <v>4.82</v>
      </c>
      <c r="D4030" s="84">
        <v>1.0</v>
      </c>
      <c r="E4030" s="84">
        <v>4.82</v>
      </c>
      <c r="F4030" s="76" t="s">
        <v>994</v>
      </c>
      <c r="G4030" s="83">
        <v>46113.0</v>
      </c>
      <c r="H4030" s="76" t="s">
        <v>943</v>
      </c>
    </row>
    <row r="4031">
      <c r="A4031" s="76" t="s">
        <v>944</v>
      </c>
      <c r="B4031" s="76" t="s">
        <v>1023</v>
      </c>
      <c r="C4031" s="84">
        <v>6.37</v>
      </c>
      <c r="D4031" s="84">
        <v>0.0</v>
      </c>
      <c r="E4031" s="84">
        <v>0.0</v>
      </c>
      <c r="F4031" s="76" t="s">
        <v>994</v>
      </c>
      <c r="G4031" s="83">
        <v>46113.0</v>
      </c>
      <c r="H4031" s="76" t="s">
        <v>945</v>
      </c>
    </row>
    <row r="4032">
      <c r="A4032" s="76" t="s">
        <v>944</v>
      </c>
      <c r="B4032" s="76" t="s">
        <v>1023</v>
      </c>
      <c r="C4032" s="84">
        <v>0.98</v>
      </c>
      <c r="D4032" s="84">
        <v>0.0</v>
      </c>
      <c r="E4032" s="84">
        <v>0.0</v>
      </c>
      <c r="F4032" s="76" t="s">
        <v>994</v>
      </c>
      <c r="G4032" s="83">
        <v>46113.0</v>
      </c>
      <c r="H4032" s="76" t="s">
        <v>946</v>
      </c>
    </row>
    <row r="4033">
      <c r="A4033" s="76" t="s">
        <v>944</v>
      </c>
      <c r="B4033" s="76" t="s">
        <v>1023</v>
      </c>
      <c r="C4033" s="84">
        <v>2.39</v>
      </c>
      <c r="D4033" s="84">
        <v>0.0</v>
      </c>
      <c r="E4033" s="84">
        <v>0.0</v>
      </c>
      <c r="F4033" s="76" t="s">
        <v>994</v>
      </c>
      <c r="G4033" s="83">
        <v>46113.0</v>
      </c>
      <c r="H4033" s="76" t="s">
        <v>947</v>
      </c>
    </row>
    <row r="4034">
      <c r="A4034" s="76" t="s">
        <v>26</v>
      </c>
      <c r="B4034" s="76" t="s">
        <v>1023</v>
      </c>
      <c r="C4034" s="84">
        <v>2.77</v>
      </c>
      <c r="D4034" s="84">
        <v>0.0</v>
      </c>
      <c r="E4034" s="84">
        <v>0.0</v>
      </c>
      <c r="F4034" s="76" t="s">
        <v>994</v>
      </c>
      <c r="G4034" s="83">
        <v>46113.0</v>
      </c>
      <c r="H4034" s="76" t="s">
        <v>1012</v>
      </c>
    </row>
    <row r="4035">
      <c r="A4035" s="76" t="s">
        <v>26</v>
      </c>
      <c r="B4035" s="76" t="s">
        <v>1023</v>
      </c>
      <c r="C4035" s="84">
        <v>3.53</v>
      </c>
      <c r="D4035" s="84">
        <v>0.0</v>
      </c>
      <c r="E4035" s="84">
        <v>0.0</v>
      </c>
      <c r="F4035" s="76" t="s">
        <v>994</v>
      </c>
      <c r="G4035" s="83">
        <v>46113.0</v>
      </c>
      <c r="H4035" s="76" t="s">
        <v>1013</v>
      </c>
    </row>
    <row r="4036">
      <c r="A4036" s="76" t="s">
        <v>26</v>
      </c>
      <c r="B4036" s="76" t="s">
        <v>1023</v>
      </c>
      <c r="C4036" s="84">
        <v>3.98</v>
      </c>
      <c r="D4036" s="84">
        <v>1.0</v>
      </c>
      <c r="E4036" s="84">
        <v>3.98</v>
      </c>
      <c r="F4036" s="76" t="s">
        <v>994</v>
      </c>
      <c r="G4036" s="83">
        <v>46113.0</v>
      </c>
      <c r="H4036" s="76" t="s">
        <v>1014</v>
      </c>
    </row>
    <row r="4037">
      <c r="A4037" s="76" t="s">
        <v>36</v>
      </c>
      <c r="B4037" s="76" t="s">
        <v>1023</v>
      </c>
      <c r="C4037" s="84">
        <v>7.22</v>
      </c>
      <c r="D4037" s="84">
        <v>2.0</v>
      </c>
      <c r="E4037" s="84">
        <v>3.61</v>
      </c>
      <c r="F4037" s="76" t="s">
        <v>1005</v>
      </c>
      <c r="G4037" s="83">
        <v>46113.0</v>
      </c>
      <c r="H4037" s="76" t="s">
        <v>926</v>
      </c>
    </row>
    <row r="4038">
      <c r="A4038" s="76" t="s">
        <v>36</v>
      </c>
      <c r="B4038" s="76" t="s">
        <v>1023</v>
      </c>
      <c r="C4038" s="84">
        <v>6.32</v>
      </c>
      <c r="D4038" s="84">
        <v>0.0</v>
      </c>
      <c r="E4038" s="84">
        <v>0.0</v>
      </c>
      <c r="F4038" s="76" t="s">
        <v>1005</v>
      </c>
      <c r="G4038" s="83">
        <v>46113.0</v>
      </c>
      <c r="H4038" s="76" t="s">
        <v>927</v>
      </c>
    </row>
    <row r="4039">
      <c r="A4039" s="76" t="s">
        <v>36</v>
      </c>
      <c r="B4039" s="76" t="s">
        <v>1023</v>
      </c>
      <c r="C4039" s="84">
        <v>7.19</v>
      </c>
      <c r="D4039" s="84">
        <v>0.0</v>
      </c>
      <c r="E4039" s="84">
        <v>0.0</v>
      </c>
      <c r="F4039" s="76" t="s">
        <v>1005</v>
      </c>
      <c r="G4039" s="83">
        <v>46113.0</v>
      </c>
      <c r="H4039" s="76" t="s">
        <v>928</v>
      </c>
    </row>
    <row r="4040">
      <c r="A4040" s="76" t="s">
        <v>31</v>
      </c>
      <c r="B4040" s="76" t="s">
        <v>1023</v>
      </c>
      <c r="C4040" s="84">
        <v>14.15</v>
      </c>
      <c r="D4040" s="84">
        <v>3.0</v>
      </c>
      <c r="E4040" s="84">
        <v>4.72</v>
      </c>
      <c r="F4040" s="76" t="s">
        <v>1005</v>
      </c>
      <c r="G4040" s="83">
        <v>46113.0</v>
      </c>
      <c r="H4040" s="76" t="s">
        <v>929</v>
      </c>
    </row>
    <row r="4041">
      <c r="A4041" s="76" t="s">
        <v>31</v>
      </c>
      <c r="B4041" s="76" t="s">
        <v>1023</v>
      </c>
      <c r="C4041" s="84">
        <v>59.14</v>
      </c>
      <c r="D4041" s="84">
        <v>3.0</v>
      </c>
      <c r="E4041" s="84">
        <v>19.71</v>
      </c>
      <c r="F4041" s="76" t="s">
        <v>1005</v>
      </c>
      <c r="G4041" s="83">
        <v>46113.0</v>
      </c>
      <c r="H4041" s="76" t="s">
        <v>930</v>
      </c>
    </row>
    <row r="4042">
      <c r="A4042" s="76" t="s">
        <v>28</v>
      </c>
      <c r="B4042" s="76" t="s">
        <v>1023</v>
      </c>
      <c r="C4042" s="84">
        <v>1.97</v>
      </c>
      <c r="D4042" s="84">
        <v>0.0</v>
      </c>
      <c r="E4042" s="84">
        <v>0.0</v>
      </c>
      <c r="F4042" s="76" t="s">
        <v>1005</v>
      </c>
      <c r="G4042" s="83">
        <v>46113.0</v>
      </c>
      <c r="H4042" s="76" t="s">
        <v>931</v>
      </c>
    </row>
    <row r="4043">
      <c r="A4043" s="76" t="s">
        <v>28</v>
      </c>
      <c r="B4043" s="76" t="s">
        <v>1023</v>
      </c>
      <c r="C4043" s="84">
        <v>4.05</v>
      </c>
      <c r="D4043" s="84">
        <v>0.0</v>
      </c>
      <c r="E4043" s="84">
        <v>0.0</v>
      </c>
      <c r="F4043" s="76" t="s">
        <v>1005</v>
      </c>
      <c r="G4043" s="83">
        <v>46113.0</v>
      </c>
      <c r="H4043" s="76" t="s">
        <v>932</v>
      </c>
    </row>
    <row r="4044">
      <c r="A4044" s="76" t="s">
        <v>28</v>
      </c>
      <c r="B4044" s="76" t="s">
        <v>1023</v>
      </c>
      <c r="C4044" s="84">
        <v>22.83</v>
      </c>
      <c r="D4044" s="84">
        <v>2.0</v>
      </c>
      <c r="E4044" s="84">
        <v>11.41</v>
      </c>
      <c r="F4044" s="76" t="s">
        <v>1005</v>
      </c>
      <c r="G4044" s="83">
        <v>46113.0</v>
      </c>
      <c r="H4044" s="76" t="s">
        <v>933</v>
      </c>
    </row>
    <row r="4045">
      <c r="A4045" s="76" t="s">
        <v>42</v>
      </c>
      <c r="B4045" s="76" t="s">
        <v>1023</v>
      </c>
      <c r="C4045" s="84">
        <v>1.56</v>
      </c>
      <c r="D4045" s="84">
        <v>1.0</v>
      </c>
      <c r="E4045" s="84">
        <v>1.56</v>
      </c>
      <c r="F4045" s="76" t="s">
        <v>1005</v>
      </c>
      <c r="G4045" s="83">
        <v>46113.0</v>
      </c>
      <c r="H4045" s="76" t="s">
        <v>991</v>
      </c>
    </row>
    <row r="4046">
      <c r="A4046" s="76" t="s">
        <v>42</v>
      </c>
      <c r="B4046" s="76" t="s">
        <v>1023</v>
      </c>
      <c r="C4046" s="84">
        <v>13.36</v>
      </c>
      <c r="D4046" s="84">
        <v>2.0</v>
      </c>
      <c r="E4046" s="84">
        <v>6.68</v>
      </c>
      <c r="F4046" s="76" t="s">
        <v>1005</v>
      </c>
      <c r="G4046" s="83">
        <v>46113.0</v>
      </c>
      <c r="H4046" s="76" t="s">
        <v>935</v>
      </c>
    </row>
    <row r="4047">
      <c r="A4047" s="76" t="s">
        <v>45</v>
      </c>
      <c r="B4047" s="76" t="s">
        <v>1023</v>
      </c>
      <c r="C4047" s="84">
        <v>4.08</v>
      </c>
      <c r="D4047" s="84">
        <v>1.0</v>
      </c>
      <c r="E4047" s="84">
        <v>4.08</v>
      </c>
      <c r="F4047" s="76" t="s">
        <v>1005</v>
      </c>
      <c r="G4047" s="83">
        <v>46113.0</v>
      </c>
      <c r="H4047" s="76" t="s">
        <v>936</v>
      </c>
    </row>
    <row r="4048">
      <c r="A4048" s="76" t="s">
        <v>45</v>
      </c>
      <c r="B4048" s="76" t="s">
        <v>1023</v>
      </c>
      <c r="C4048" s="84">
        <v>3.25</v>
      </c>
      <c r="D4048" s="84">
        <v>0.0</v>
      </c>
      <c r="E4048" s="84">
        <v>0.0</v>
      </c>
      <c r="F4048" s="76" t="s">
        <v>1005</v>
      </c>
      <c r="G4048" s="83">
        <v>46113.0</v>
      </c>
      <c r="H4048" s="76" t="s">
        <v>937</v>
      </c>
    </row>
    <row r="4049">
      <c r="A4049" s="76" t="s">
        <v>45</v>
      </c>
      <c r="B4049" s="76" t="s">
        <v>1023</v>
      </c>
      <c r="C4049" s="84">
        <v>5.09</v>
      </c>
      <c r="D4049" s="84">
        <v>2.0</v>
      </c>
      <c r="E4049" s="84">
        <v>2.54</v>
      </c>
      <c r="F4049" s="76" t="s">
        <v>1005</v>
      </c>
      <c r="G4049" s="83">
        <v>46113.0</v>
      </c>
      <c r="H4049" s="76" t="s">
        <v>938</v>
      </c>
    </row>
    <row r="4050">
      <c r="A4050" s="76" t="s">
        <v>50</v>
      </c>
      <c r="B4050" s="76" t="s">
        <v>1023</v>
      </c>
      <c r="C4050" s="84">
        <v>8.87</v>
      </c>
      <c r="D4050" s="84">
        <v>1.0</v>
      </c>
      <c r="E4050" s="84">
        <v>8.87</v>
      </c>
      <c r="F4050" s="76" t="s">
        <v>1005</v>
      </c>
      <c r="G4050" s="83">
        <v>46113.0</v>
      </c>
      <c r="H4050" s="76" t="s">
        <v>939</v>
      </c>
    </row>
    <row r="4051">
      <c r="A4051" s="76" t="s">
        <v>50</v>
      </c>
      <c r="B4051" s="76" t="s">
        <v>1023</v>
      </c>
      <c r="C4051" s="84">
        <v>8.13</v>
      </c>
      <c r="D4051" s="84">
        <v>0.0</v>
      </c>
      <c r="E4051" s="84">
        <v>0.0</v>
      </c>
      <c r="F4051" s="76" t="s">
        <v>1005</v>
      </c>
      <c r="G4051" s="83">
        <v>46113.0</v>
      </c>
      <c r="H4051" s="76" t="s">
        <v>940</v>
      </c>
    </row>
    <row r="4052">
      <c r="A4052" s="76" t="s">
        <v>32</v>
      </c>
      <c r="B4052" s="76" t="s">
        <v>1023</v>
      </c>
      <c r="C4052" s="84">
        <v>19.28</v>
      </c>
      <c r="D4052" s="84">
        <v>1.0</v>
      </c>
      <c r="E4052" s="84">
        <v>19.28</v>
      </c>
      <c r="F4052" s="76" t="s">
        <v>1005</v>
      </c>
      <c r="G4052" s="83">
        <v>46113.0</v>
      </c>
      <c r="H4052" s="76" t="s">
        <v>941</v>
      </c>
    </row>
    <row r="4053">
      <c r="A4053" s="76" t="s">
        <v>32</v>
      </c>
      <c r="B4053" s="76" t="s">
        <v>1023</v>
      </c>
      <c r="C4053" s="84">
        <v>6.96</v>
      </c>
      <c r="D4053" s="84">
        <v>0.0</v>
      </c>
      <c r="E4053" s="84">
        <v>0.0</v>
      </c>
      <c r="F4053" s="76" t="s">
        <v>1005</v>
      </c>
      <c r="G4053" s="83">
        <v>46113.0</v>
      </c>
      <c r="H4053" s="76" t="s">
        <v>942</v>
      </c>
    </row>
    <row r="4054">
      <c r="A4054" s="76" t="s">
        <v>32</v>
      </c>
      <c r="B4054" s="76" t="s">
        <v>1023</v>
      </c>
      <c r="C4054" s="84">
        <v>9.3</v>
      </c>
      <c r="D4054" s="84">
        <v>0.0</v>
      </c>
      <c r="E4054" s="84">
        <v>0.0</v>
      </c>
      <c r="F4054" s="76" t="s">
        <v>1005</v>
      </c>
      <c r="G4054" s="83">
        <v>46113.0</v>
      </c>
      <c r="H4054" s="76" t="s">
        <v>943</v>
      </c>
    </row>
    <row r="4055">
      <c r="A4055" s="76" t="s">
        <v>944</v>
      </c>
      <c r="B4055" s="76" t="s">
        <v>1023</v>
      </c>
      <c r="C4055" s="84">
        <v>11.83</v>
      </c>
      <c r="D4055" s="84">
        <v>0.0</v>
      </c>
      <c r="E4055" s="84">
        <v>0.0</v>
      </c>
      <c r="F4055" s="76" t="s">
        <v>1005</v>
      </c>
      <c r="G4055" s="83">
        <v>46113.0</v>
      </c>
      <c r="H4055" s="76" t="s">
        <v>945</v>
      </c>
    </row>
    <row r="4056">
      <c r="A4056" s="76" t="s">
        <v>944</v>
      </c>
      <c r="B4056" s="76" t="s">
        <v>1023</v>
      </c>
      <c r="C4056" s="84">
        <v>2.51</v>
      </c>
      <c r="D4056" s="84">
        <v>0.0</v>
      </c>
      <c r="E4056" s="84">
        <v>0.0</v>
      </c>
      <c r="F4056" s="76" t="s">
        <v>1005</v>
      </c>
      <c r="G4056" s="83">
        <v>46113.0</v>
      </c>
      <c r="H4056" s="76" t="s">
        <v>946</v>
      </c>
    </row>
    <row r="4057">
      <c r="A4057" s="76" t="s">
        <v>944</v>
      </c>
      <c r="B4057" s="76" t="s">
        <v>1023</v>
      </c>
      <c r="C4057" s="84">
        <v>5.41</v>
      </c>
      <c r="D4057" s="84">
        <v>1.0</v>
      </c>
      <c r="E4057" s="84">
        <v>5.41</v>
      </c>
      <c r="F4057" s="76" t="s">
        <v>1005</v>
      </c>
      <c r="G4057" s="83">
        <v>46113.0</v>
      </c>
      <c r="H4057" s="76" t="s">
        <v>947</v>
      </c>
    </row>
    <row r="4058">
      <c r="A4058" s="76" t="s">
        <v>26</v>
      </c>
      <c r="B4058" s="76" t="s">
        <v>1023</v>
      </c>
      <c r="C4058" s="84">
        <v>4.59</v>
      </c>
      <c r="D4058" s="84">
        <v>1.0</v>
      </c>
      <c r="E4058" s="84">
        <v>4.59</v>
      </c>
      <c r="F4058" s="76" t="s">
        <v>1005</v>
      </c>
      <c r="G4058" s="83">
        <v>46113.0</v>
      </c>
      <c r="H4058" s="76" t="s">
        <v>1012</v>
      </c>
    </row>
    <row r="4059">
      <c r="A4059" s="76" t="s">
        <v>26</v>
      </c>
      <c r="B4059" s="76" t="s">
        <v>1023</v>
      </c>
      <c r="C4059" s="84">
        <v>7.64</v>
      </c>
      <c r="D4059" s="84">
        <v>1.0</v>
      </c>
      <c r="E4059" s="84">
        <v>7.64</v>
      </c>
      <c r="F4059" s="76" t="s">
        <v>1005</v>
      </c>
      <c r="G4059" s="83">
        <v>46113.0</v>
      </c>
      <c r="H4059" s="76" t="s">
        <v>1013</v>
      </c>
    </row>
    <row r="4060">
      <c r="A4060" s="76" t="s">
        <v>26</v>
      </c>
      <c r="B4060" s="76" t="s">
        <v>1023</v>
      </c>
      <c r="C4060" s="84">
        <v>11.35</v>
      </c>
      <c r="D4060" s="84">
        <v>2.0</v>
      </c>
      <c r="E4060" s="84">
        <v>5.68</v>
      </c>
      <c r="F4060" s="76" t="s">
        <v>1005</v>
      </c>
      <c r="G4060" s="83">
        <v>46113.0</v>
      </c>
      <c r="H4060" s="76" t="s">
        <v>1014</v>
      </c>
    </row>
    <row r="4061">
      <c r="A4061" s="76" t="s">
        <v>36</v>
      </c>
      <c r="B4061" s="76" t="s">
        <v>1023</v>
      </c>
      <c r="C4061" s="84">
        <v>3.74</v>
      </c>
      <c r="D4061" s="84">
        <v>0.0</v>
      </c>
      <c r="E4061" s="84">
        <v>0.0</v>
      </c>
      <c r="F4061" s="76" t="s">
        <v>996</v>
      </c>
      <c r="G4061" s="83">
        <v>46113.0</v>
      </c>
      <c r="H4061" s="76" t="s">
        <v>926</v>
      </c>
    </row>
    <row r="4062">
      <c r="A4062" s="76" t="s">
        <v>36</v>
      </c>
      <c r="B4062" s="76" t="s">
        <v>1023</v>
      </c>
      <c r="C4062" s="84">
        <v>2.39</v>
      </c>
      <c r="D4062" s="84">
        <v>0.0</v>
      </c>
      <c r="E4062" s="84">
        <v>0.0</v>
      </c>
      <c r="F4062" s="76" t="s">
        <v>996</v>
      </c>
      <c r="G4062" s="83">
        <v>46113.0</v>
      </c>
      <c r="H4062" s="76" t="s">
        <v>927</v>
      </c>
    </row>
    <row r="4063">
      <c r="A4063" s="76" t="s">
        <v>36</v>
      </c>
      <c r="B4063" s="76" t="s">
        <v>1023</v>
      </c>
      <c r="C4063" s="84">
        <v>2.45</v>
      </c>
      <c r="D4063" s="84">
        <v>0.0</v>
      </c>
      <c r="E4063" s="84">
        <v>0.0</v>
      </c>
      <c r="F4063" s="76" t="s">
        <v>996</v>
      </c>
      <c r="G4063" s="83">
        <v>46113.0</v>
      </c>
      <c r="H4063" s="76" t="s">
        <v>928</v>
      </c>
    </row>
    <row r="4064">
      <c r="A4064" s="76" t="s">
        <v>31</v>
      </c>
      <c r="B4064" s="76" t="s">
        <v>1023</v>
      </c>
      <c r="C4064" s="84">
        <v>4.67</v>
      </c>
      <c r="D4064" s="84">
        <v>0.0</v>
      </c>
      <c r="E4064" s="84">
        <v>0.0</v>
      </c>
      <c r="F4064" s="76" t="s">
        <v>996</v>
      </c>
      <c r="G4064" s="83">
        <v>46113.0</v>
      </c>
      <c r="H4064" s="76" t="s">
        <v>929</v>
      </c>
    </row>
    <row r="4065">
      <c r="A4065" s="76" t="s">
        <v>31</v>
      </c>
      <c r="B4065" s="76" t="s">
        <v>1023</v>
      </c>
      <c r="C4065" s="84">
        <v>32.4</v>
      </c>
      <c r="D4065" s="84">
        <v>0.0</v>
      </c>
      <c r="E4065" s="84">
        <v>0.0</v>
      </c>
      <c r="F4065" s="76" t="s">
        <v>996</v>
      </c>
      <c r="G4065" s="83">
        <v>46113.0</v>
      </c>
      <c r="H4065" s="76" t="s">
        <v>930</v>
      </c>
    </row>
    <row r="4066">
      <c r="A4066" s="76" t="s">
        <v>28</v>
      </c>
      <c r="B4066" s="76" t="s">
        <v>1023</v>
      </c>
      <c r="C4066" s="84">
        <v>0.82</v>
      </c>
      <c r="D4066" s="84">
        <v>0.0</v>
      </c>
      <c r="E4066" s="84">
        <v>0.0</v>
      </c>
      <c r="F4066" s="76" t="s">
        <v>996</v>
      </c>
      <c r="G4066" s="83">
        <v>46113.0</v>
      </c>
      <c r="H4066" s="76" t="s">
        <v>931</v>
      </c>
    </row>
    <row r="4067">
      <c r="A4067" s="76" t="s">
        <v>28</v>
      </c>
      <c r="B4067" s="76" t="s">
        <v>1023</v>
      </c>
      <c r="C4067" s="84">
        <v>1.75</v>
      </c>
      <c r="D4067" s="84">
        <v>0.0</v>
      </c>
      <c r="E4067" s="84">
        <v>0.0</v>
      </c>
      <c r="F4067" s="76" t="s">
        <v>996</v>
      </c>
      <c r="G4067" s="83">
        <v>46113.0</v>
      </c>
      <c r="H4067" s="76" t="s">
        <v>932</v>
      </c>
    </row>
    <row r="4068">
      <c r="A4068" s="76" t="s">
        <v>28</v>
      </c>
      <c r="B4068" s="76" t="s">
        <v>1023</v>
      </c>
      <c r="C4068" s="84">
        <v>10.97</v>
      </c>
      <c r="D4068" s="84">
        <v>1.0</v>
      </c>
      <c r="E4068" s="84">
        <v>10.97</v>
      </c>
      <c r="F4068" s="76" t="s">
        <v>996</v>
      </c>
      <c r="G4068" s="83">
        <v>46113.0</v>
      </c>
      <c r="H4068" s="76" t="s">
        <v>933</v>
      </c>
    </row>
    <row r="4069">
      <c r="A4069" s="76" t="s">
        <v>42</v>
      </c>
      <c r="B4069" s="76" t="s">
        <v>1023</v>
      </c>
      <c r="C4069" s="84">
        <v>0.66</v>
      </c>
      <c r="D4069" s="84">
        <v>0.0</v>
      </c>
      <c r="E4069" s="84">
        <v>0.0</v>
      </c>
      <c r="F4069" s="76" t="s">
        <v>996</v>
      </c>
      <c r="G4069" s="83">
        <v>46113.0</v>
      </c>
      <c r="H4069" s="76" t="s">
        <v>991</v>
      </c>
    </row>
    <row r="4070">
      <c r="A4070" s="76" t="s">
        <v>42</v>
      </c>
      <c r="B4070" s="76" t="s">
        <v>1023</v>
      </c>
      <c r="C4070" s="84">
        <v>6.01</v>
      </c>
      <c r="D4070" s="84">
        <v>0.0</v>
      </c>
      <c r="E4070" s="84">
        <v>0.0</v>
      </c>
      <c r="F4070" s="76" t="s">
        <v>996</v>
      </c>
      <c r="G4070" s="83">
        <v>46113.0</v>
      </c>
      <c r="H4070" s="76" t="s">
        <v>935</v>
      </c>
    </row>
    <row r="4071">
      <c r="A4071" s="76" t="s">
        <v>45</v>
      </c>
      <c r="B4071" s="76" t="s">
        <v>1023</v>
      </c>
      <c r="C4071" s="84">
        <v>1.75</v>
      </c>
      <c r="D4071" s="84">
        <v>0.0</v>
      </c>
      <c r="E4071" s="84">
        <v>0.0</v>
      </c>
      <c r="F4071" s="76" t="s">
        <v>996</v>
      </c>
      <c r="G4071" s="83">
        <v>46113.0</v>
      </c>
      <c r="H4071" s="76" t="s">
        <v>936</v>
      </c>
    </row>
    <row r="4072">
      <c r="A4072" s="76" t="s">
        <v>45</v>
      </c>
      <c r="B4072" s="76" t="s">
        <v>1023</v>
      </c>
      <c r="C4072" s="84">
        <v>1.25</v>
      </c>
      <c r="D4072" s="84">
        <v>0.0</v>
      </c>
      <c r="E4072" s="84">
        <v>0.0</v>
      </c>
      <c r="F4072" s="76" t="s">
        <v>996</v>
      </c>
      <c r="G4072" s="83">
        <v>46113.0</v>
      </c>
      <c r="H4072" s="76" t="s">
        <v>937</v>
      </c>
    </row>
    <row r="4073">
      <c r="A4073" s="76" t="s">
        <v>45</v>
      </c>
      <c r="B4073" s="76" t="s">
        <v>1023</v>
      </c>
      <c r="C4073" s="84">
        <v>2.87</v>
      </c>
      <c r="D4073" s="84">
        <v>0.0</v>
      </c>
      <c r="E4073" s="84">
        <v>0.0</v>
      </c>
      <c r="F4073" s="76" t="s">
        <v>996</v>
      </c>
      <c r="G4073" s="83">
        <v>46113.0</v>
      </c>
      <c r="H4073" s="76" t="s">
        <v>938</v>
      </c>
    </row>
    <row r="4074">
      <c r="A4074" s="76" t="s">
        <v>50</v>
      </c>
      <c r="B4074" s="76" t="s">
        <v>1023</v>
      </c>
      <c r="C4074" s="84">
        <v>4.09</v>
      </c>
      <c r="D4074" s="84">
        <v>0.0</v>
      </c>
      <c r="E4074" s="84">
        <v>0.0</v>
      </c>
      <c r="F4074" s="76" t="s">
        <v>996</v>
      </c>
      <c r="G4074" s="83">
        <v>46113.0</v>
      </c>
      <c r="H4074" s="76" t="s">
        <v>939</v>
      </c>
    </row>
    <row r="4075">
      <c r="A4075" s="76" t="s">
        <v>50</v>
      </c>
      <c r="B4075" s="76" t="s">
        <v>1023</v>
      </c>
      <c r="C4075" s="84">
        <v>2.87</v>
      </c>
      <c r="D4075" s="84">
        <v>0.0</v>
      </c>
      <c r="E4075" s="84">
        <v>0.0</v>
      </c>
      <c r="F4075" s="76" t="s">
        <v>996</v>
      </c>
      <c r="G4075" s="83">
        <v>46113.0</v>
      </c>
      <c r="H4075" s="76" t="s">
        <v>940</v>
      </c>
    </row>
    <row r="4076">
      <c r="A4076" s="76" t="s">
        <v>32</v>
      </c>
      <c r="B4076" s="76" t="s">
        <v>1023</v>
      </c>
      <c r="C4076" s="84">
        <v>8.35</v>
      </c>
      <c r="D4076" s="84">
        <v>0.0</v>
      </c>
      <c r="E4076" s="84">
        <v>0.0</v>
      </c>
      <c r="F4076" s="76" t="s">
        <v>996</v>
      </c>
      <c r="G4076" s="83">
        <v>46113.0</v>
      </c>
      <c r="H4076" s="76" t="s">
        <v>941</v>
      </c>
    </row>
    <row r="4077">
      <c r="A4077" s="76" t="s">
        <v>32</v>
      </c>
      <c r="B4077" s="76" t="s">
        <v>1023</v>
      </c>
      <c r="C4077" s="84">
        <v>2.3</v>
      </c>
      <c r="D4077" s="84">
        <v>0.0</v>
      </c>
      <c r="E4077" s="84">
        <v>0.0</v>
      </c>
      <c r="F4077" s="76" t="s">
        <v>996</v>
      </c>
      <c r="G4077" s="83">
        <v>46113.0</v>
      </c>
      <c r="H4077" s="76" t="s">
        <v>942</v>
      </c>
    </row>
    <row r="4078">
      <c r="A4078" s="76" t="s">
        <v>32</v>
      </c>
      <c r="B4078" s="76" t="s">
        <v>1023</v>
      </c>
      <c r="C4078" s="84">
        <v>6.03</v>
      </c>
      <c r="D4078" s="84">
        <v>0.0</v>
      </c>
      <c r="E4078" s="84">
        <v>0.0</v>
      </c>
      <c r="F4078" s="76" t="s">
        <v>996</v>
      </c>
      <c r="G4078" s="83">
        <v>46113.0</v>
      </c>
      <c r="H4078" s="76" t="s">
        <v>943</v>
      </c>
    </row>
    <row r="4079">
      <c r="A4079" s="76" t="s">
        <v>944</v>
      </c>
      <c r="B4079" s="76" t="s">
        <v>1023</v>
      </c>
      <c r="C4079" s="84">
        <v>5.96</v>
      </c>
      <c r="D4079" s="84">
        <v>0.0</v>
      </c>
      <c r="E4079" s="84">
        <v>0.0</v>
      </c>
      <c r="F4079" s="76" t="s">
        <v>996</v>
      </c>
      <c r="G4079" s="83">
        <v>46113.0</v>
      </c>
      <c r="H4079" s="76" t="s">
        <v>945</v>
      </c>
    </row>
    <row r="4080">
      <c r="A4080" s="76" t="s">
        <v>944</v>
      </c>
      <c r="B4080" s="76" t="s">
        <v>1023</v>
      </c>
      <c r="C4080" s="84">
        <v>0.78</v>
      </c>
      <c r="D4080" s="84">
        <v>0.0</v>
      </c>
      <c r="E4080" s="84">
        <v>0.0</v>
      </c>
      <c r="F4080" s="76" t="s">
        <v>996</v>
      </c>
      <c r="G4080" s="83">
        <v>46113.0</v>
      </c>
      <c r="H4080" s="76" t="s">
        <v>946</v>
      </c>
    </row>
    <row r="4081">
      <c r="A4081" s="76" t="s">
        <v>944</v>
      </c>
      <c r="B4081" s="76" t="s">
        <v>1023</v>
      </c>
      <c r="C4081" s="84">
        <v>2.7</v>
      </c>
      <c r="D4081" s="84">
        <v>0.0</v>
      </c>
      <c r="E4081" s="84">
        <v>0.0</v>
      </c>
      <c r="F4081" s="76" t="s">
        <v>996</v>
      </c>
      <c r="G4081" s="83">
        <v>46113.0</v>
      </c>
      <c r="H4081" s="76" t="s">
        <v>947</v>
      </c>
    </row>
    <row r="4082">
      <c r="A4082" s="76" t="s">
        <v>26</v>
      </c>
      <c r="B4082" s="76" t="s">
        <v>1023</v>
      </c>
      <c r="C4082" s="84">
        <v>2.03</v>
      </c>
      <c r="D4082" s="84">
        <v>0.0</v>
      </c>
      <c r="E4082" s="84">
        <v>0.0</v>
      </c>
      <c r="F4082" s="76" t="s">
        <v>996</v>
      </c>
      <c r="G4082" s="83">
        <v>46113.0</v>
      </c>
      <c r="H4082" s="76" t="s">
        <v>1012</v>
      </c>
    </row>
    <row r="4083">
      <c r="A4083" s="76" t="s">
        <v>26</v>
      </c>
      <c r="B4083" s="76" t="s">
        <v>1023</v>
      </c>
      <c r="C4083" s="84">
        <v>3.42</v>
      </c>
      <c r="D4083" s="84">
        <v>1.0</v>
      </c>
      <c r="E4083" s="84">
        <v>3.42</v>
      </c>
      <c r="F4083" s="76" t="s">
        <v>996</v>
      </c>
      <c r="G4083" s="83">
        <v>46113.0</v>
      </c>
      <c r="H4083" s="76" t="s">
        <v>1013</v>
      </c>
    </row>
    <row r="4084">
      <c r="A4084" s="76" t="s">
        <v>26</v>
      </c>
      <c r="B4084" s="76" t="s">
        <v>1023</v>
      </c>
      <c r="C4084" s="84">
        <v>3.99</v>
      </c>
      <c r="D4084" s="84">
        <v>0.0</v>
      </c>
      <c r="E4084" s="84">
        <v>0.0</v>
      </c>
      <c r="F4084" s="76" t="s">
        <v>996</v>
      </c>
      <c r="G4084" s="83">
        <v>46113.0</v>
      </c>
      <c r="H4084" s="76" t="s">
        <v>1014</v>
      </c>
    </row>
    <row r="4085">
      <c r="A4085" s="76" t="s">
        <v>36</v>
      </c>
      <c r="B4085" s="76" t="s">
        <v>1023</v>
      </c>
      <c r="C4085" s="84">
        <v>6.66</v>
      </c>
      <c r="D4085" s="84">
        <v>0.0</v>
      </c>
      <c r="E4085" s="84">
        <v>0.0</v>
      </c>
      <c r="F4085" s="76" t="s">
        <v>997</v>
      </c>
      <c r="G4085" s="83">
        <v>46113.0</v>
      </c>
      <c r="H4085" s="76" t="s">
        <v>926</v>
      </c>
    </row>
    <row r="4086">
      <c r="A4086" s="76" t="s">
        <v>36</v>
      </c>
      <c r="B4086" s="76" t="s">
        <v>1023</v>
      </c>
      <c r="C4086" s="84">
        <v>3.5</v>
      </c>
      <c r="D4086" s="84">
        <v>0.0</v>
      </c>
      <c r="E4086" s="84">
        <v>0.0</v>
      </c>
      <c r="F4086" s="76" t="s">
        <v>997</v>
      </c>
      <c r="G4086" s="83">
        <v>46113.0</v>
      </c>
      <c r="H4086" s="76" t="s">
        <v>927</v>
      </c>
    </row>
    <row r="4087">
      <c r="A4087" s="76" t="s">
        <v>36</v>
      </c>
      <c r="B4087" s="76" t="s">
        <v>1023</v>
      </c>
      <c r="C4087" s="84">
        <v>3.83</v>
      </c>
      <c r="D4087" s="84">
        <v>0.0</v>
      </c>
      <c r="E4087" s="84">
        <v>0.0</v>
      </c>
      <c r="F4087" s="76" t="s">
        <v>997</v>
      </c>
      <c r="G4087" s="83">
        <v>46113.0</v>
      </c>
      <c r="H4087" s="76" t="s">
        <v>928</v>
      </c>
    </row>
    <row r="4088">
      <c r="A4088" s="76" t="s">
        <v>31</v>
      </c>
      <c r="B4088" s="76" t="s">
        <v>1023</v>
      </c>
      <c r="C4088" s="84">
        <v>6.65</v>
      </c>
      <c r="D4088" s="84">
        <v>0.0</v>
      </c>
      <c r="E4088" s="84">
        <v>0.0</v>
      </c>
      <c r="F4088" s="76" t="s">
        <v>997</v>
      </c>
      <c r="G4088" s="83">
        <v>46113.0</v>
      </c>
      <c r="H4088" s="76" t="s">
        <v>929</v>
      </c>
    </row>
    <row r="4089">
      <c r="A4089" s="76" t="s">
        <v>31</v>
      </c>
      <c r="B4089" s="76" t="s">
        <v>1023</v>
      </c>
      <c r="C4089" s="84">
        <v>52.74</v>
      </c>
      <c r="D4089" s="84">
        <v>0.0</v>
      </c>
      <c r="E4089" s="84">
        <v>0.0</v>
      </c>
      <c r="F4089" s="76" t="s">
        <v>997</v>
      </c>
      <c r="G4089" s="83">
        <v>46113.0</v>
      </c>
      <c r="H4089" s="76" t="s">
        <v>930</v>
      </c>
    </row>
    <row r="4090">
      <c r="A4090" s="76" t="s">
        <v>28</v>
      </c>
      <c r="B4090" s="76" t="s">
        <v>1023</v>
      </c>
      <c r="C4090" s="84">
        <v>1.31</v>
      </c>
      <c r="D4090" s="84">
        <v>0.0</v>
      </c>
      <c r="E4090" s="84">
        <v>0.0</v>
      </c>
      <c r="F4090" s="76" t="s">
        <v>997</v>
      </c>
      <c r="G4090" s="83">
        <v>46113.0</v>
      </c>
      <c r="H4090" s="76" t="s">
        <v>931</v>
      </c>
    </row>
    <row r="4091">
      <c r="A4091" s="76" t="s">
        <v>28</v>
      </c>
      <c r="B4091" s="76" t="s">
        <v>1023</v>
      </c>
      <c r="C4091" s="84">
        <v>2.66</v>
      </c>
      <c r="D4091" s="84">
        <v>0.0</v>
      </c>
      <c r="E4091" s="84">
        <v>0.0</v>
      </c>
      <c r="F4091" s="76" t="s">
        <v>997</v>
      </c>
      <c r="G4091" s="83">
        <v>46113.0</v>
      </c>
      <c r="H4091" s="76" t="s">
        <v>932</v>
      </c>
    </row>
    <row r="4092">
      <c r="A4092" s="76" t="s">
        <v>28</v>
      </c>
      <c r="B4092" s="76" t="s">
        <v>1023</v>
      </c>
      <c r="C4092" s="84">
        <v>22.66</v>
      </c>
      <c r="D4092" s="84">
        <v>0.0</v>
      </c>
      <c r="E4092" s="84">
        <v>0.0</v>
      </c>
      <c r="F4092" s="76" t="s">
        <v>997</v>
      </c>
      <c r="G4092" s="83">
        <v>46113.0</v>
      </c>
      <c r="H4092" s="76" t="s">
        <v>933</v>
      </c>
    </row>
    <row r="4093">
      <c r="A4093" s="76" t="s">
        <v>42</v>
      </c>
      <c r="B4093" s="76" t="s">
        <v>1023</v>
      </c>
      <c r="C4093" s="84">
        <v>0.85</v>
      </c>
      <c r="D4093" s="84">
        <v>0.0</v>
      </c>
      <c r="E4093" s="84">
        <v>0.0</v>
      </c>
      <c r="F4093" s="76" t="s">
        <v>997</v>
      </c>
      <c r="G4093" s="83">
        <v>46113.0</v>
      </c>
      <c r="H4093" s="76" t="s">
        <v>991</v>
      </c>
    </row>
    <row r="4094">
      <c r="A4094" s="76" t="s">
        <v>42</v>
      </c>
      <c r="B4094" s="76" t="s">
        <v>1023</v>
      </c>
      <c r="C4094" s="84">
        <v>10.92</v>
      </c>
      <c r="D4094" s="84">
        <v>1.0</v>
      </c>
      <c r="E4094" s="84">
        <v>10.92</v>
      </c>
      <c r="F4094" s="76" t="s">
        <v>997</v>
      </c>
      <c r="G4094" s="83">
        <v>46113.0</v>
      </c>
      <c r="H4094" s="76" t="s">
        <v>935</v>
      </c>
    </row>
    <row r="4095">
      <c r="A4095" s="76" t="s">
        <v>45</v>
      </c>
      <c r="B4095" s="76" t="s">
        <v>1023</v>
      </c>
      <c r="C4095" s="84">
        <v>2.35</v>
      </c>
      <c r="D4095" s="84">
        <v>0.0</v>
      </c>
      <c r="E4095" s="84">
        <v>0.0</v>
      </c>
      <c r="F4095" s="76" t="s">
        <v>997</v>
      </c>
      <c r="G4095" s="83">
        <v>46113.0</v>
      </c>
      <c r="H4095" s="76" t="s">
        <v>936</v>
      </c>
    </row>
    <row r="4096">
      <c r="A4096" s="76" t="s">
        <v>45</v>
      </c>
      <c r="B4096" s="76" t="s">
        <v>1023</v>
      </c>
      <c r="C4096" s="84">
        <v>1.58</v>
      </c>
      <c r="D4096" s="84">
        <v>0.0</v>
      </c>
      <c r="E4096" s="84">
        <v>0.0</v>
      </c>
      <c r="F4096" s="76" t="s">
        <v>997</v>
      </c>
      <c r="G4096" s="83">
        <v>46113.0</v>
      </c>
      <c r="H4096" s="76" t="s">
        <v>937</v>
      </c>
    </row>
    <row r="4097">
      <c r="A4097" s="76" t="s">
        <v>45</v>
      </c>
      <c r="B4097" s="76" t="s">
        <v>1023</v>
      </c>
      <c r="C4097" s="84">
        <v>4.31</v>
      </c>
      <c r="D4097" s="84">
        <v>0.0</v>
      </c>
      <c r="E4097" s="84">
        <v>0.0</v>
      </c>
      <c r="F4097" s="76" t="s">
        <v>997</v>
      </c>
      <c r="G4097" s="83">
        <v>46113.0</v>
      </c>
      <c r="H4097" s="76" t="s">
        <v>938</v>
      </c>
    </row>
    <row r="4098">
      <c r="A4098" s="76" t="s">
        <v>50</v>
      </c>
      <c r="B4098" s="76" t="s">
        <v>1023</v>
      </c>
      <c r="C4098" s="84">
        <v>6.08</v>
      </c>
      <c r="D4098" s="84">
        <v>0.0</v>
      </c>
      <c r="E4098" s="84">
        <v>0.0</v>
      </c>
      <c r="F4098" s="76" t="s">
        <v>997</v>
      </c>
      <c r="G4098" s="83">
        <v>46113.0</v>
      </c>
      <c r="H4098" s="76" t="s">
        <v>939</v>
      </c>
    </row>
    <row r="4099">
      <c r="A4099" s="76" t="s">
        <v>50</v>
      </c>
      <c r="B4099" s="76" t="s">
        <v>1023</v>
      </c>
      <c r="C4099" s="84">
        <v>4.53</v>
      </c>
      <c r="D4099" s="84">
        <v>0.0</v>
      </c>
      <c r="E4099" s="84">
        <v>0.0</v>
      </c>
      <c r="F4099" s="76" t="s">
        <v>997</v>
      </c>
      <c r="G4099" s="83">
        <v>46113.0</v>
      </c>
      <c r="H4099" s="76" t="s">
        <v>940</v>
      </c>
    </row>
    <row r="4100">
      <c r="A4100" s="76" t="s">
        <v>32</v>
      </c>
      <c r="B4100" s="76" t="s">
        <v>1023</v>
      </c>
      <c r="C4100" s="84">
        <v>12.51</v>
      </c>
      <c r="D4100" s="84">
        <v>0.0</v>
      </c>
      <c r="E4100" s="84">
        <v>0.0</v>
      </c>
      <c r="F4100" s="76" t="s">
        <v>997</v>
      </c>
      <c r="G4100" s="83">
        <v>46113.0</v>
      </c>
      <c r="H4100" s="76" t="s">
        <v>941</v>
      </c>
    </row>
    <row r="4101">
      <c r="A4101" s="76" t="s">
        <v>32</v>
      </c>
      <c r="B4101" s="76" t="s">
        <v>1023</v>
      </c>
      <c r="C4101" s="84">
        <v>3.63</v>
      </c>
      <c r="D4101" s="84">
        <v>0.0</v>
      </c>
      <c r="E4101" s="84">
        <v>0.0</v>
      </c>
      <c r="F4101" s="76" t="s">
        <v>997</v>
      </c>
      <c r="G4101" s="83">
        <v>46113.0</v>
      </c>
      <c r="H4101" s="76" t="s">
        <v>942</v>
      </c>
    </row>
    <row r="4102">
      <c r="A4102" s="76" t="s">
        <v>32</v>
      </c>
      <c r="B4102" s="76" t="s">
        <v>1023</v>
      </c>
      <c r="C4102" s="84">
        <v>8.46</v>
      </c>
      <c r="D4102" s="84">
        <v>0.0</v>
      </c>
      <c r="E4102" s="84">
        <v>0.0</v>
      </c>
      <c r="F4102" s="76" t="s">
        <v>997</v>
      </c>
      <c r="G4102" s="83">
        <v>46113.0</v>
      </c>
      <c r="H4102" s="76" t="s">
        <v>943</v>
      </c>
    </row>
    <row r="4103">
      <c r="A4103" s="76" t="s">
        <v>944</v>
      </c>
      <c r="B4103" s="76" t="s">
        <v>1023</v>
      </c>
      <c r="C4103" s="84">
        <v>11.14</v>
      </c>
      <c r="D4103" s="84">
        <v>0.0</v>
      </c>
      <c r="E4103" s="84">
        <v>0.0</v>
      </c>
      <c r="F4103" s="76" t="s">
        <v>997</v>
      </c>
      <c r="G4103" s="83">
        <v>46113.0</v>
      </c>
      <c r="H4103" s="76" t="s">
        <v>945</v>
      </c>
    </row>
    <row r="4104">
      <c r="A4104" s="76" t="s">
        <v>944</v>
      </c>
      <c r="B4104" s="76" t="s">
        <v>1023</v>
      </c>
      <c r="C4104" s="84">
        <v>1.38</v>
      </c>
      <c r="D4104" s="84">
        <v>0.0</v>
      </c>
      <c r="E4104" s="84">
        <v>0.0</v>
      </c>
      <c r="F4104" s="76" t="s">
        <v>997</v>
      </c>
      <c r="G4104" s="83">
        <v>46113.0</v>
      </c>
      <c r="H4104" s="76" t="s">
        <v>946</v>
      </c>
    </row>
    <row r="4105">
      <c r="A4105" s="76" t="s">
        <v>944</v>
      </c>
      <c r="B4105" s="76" t="s">
        <v>1023</v>
      </c>
      <c r="C4105" s="84">
        <v>3.81</v>
      </c>
      <c r="D4105" s="84">
        <v>0.0</v>
      </c>
      <c r="E4105" s="84">
        <v>0.0</v>
      </c>
      <c r="F4105" s="76" t="s">
        <v>997</v>
      </c>
      <c r="G4105" s="83">
        <v>46113.0</v>
      </c>
      <c r="H4105" s="76" t="s">
        <v>947</v>
      </c>
    </row>
    <row r="4106">
      <c r="A4106" s="76" t="s">
        <v>26</v>
      </c>
      <c r="B4106" s="76" t="s">
        <v>1023</v>
      </c>
      <c r="C4106" s="84">
        <v>3.5</v>
      </c>
      <c r="D4106" s="84">
        <v>0.0</v>
      </c>
      <c r="E4106" s="84">
        <v>0.0</v>
      </c>
      <c r="F4106" s="76" t="s">
        <v>997</v>
      </c>
      <c r="G4106" s="83">
        <v>46113.0</v>
      </c>
      <c r="H4106" s="76" t="s">
        <v>1012</v>
      </c>
    </row>
    <row r="4107">
      <c r="A4107" s="76" t="s">
        <v>26</v>
      </c>
      <c r="B4107" s="76" t="s">
        <v>1023</v>
      </c>
      <c r="C4107" s="84">
        <v>6.13</v>
      </c>
      <c r="D4107" s="84">
        <v>0.0</v>
      </c>
      <c r="E4107" s="84">
        <v>0.0</v>
      </c>
      <c r="F4107" s="76" t="s">
        <v>997</v>
      </c>
      <c r="G4107" s="83">
        <v>46113.0</v>
      </c>
      <c r="H4107" s="76" t="s">
        <v>1013</v>
      </c>
    </row>
    <row r="4108">
      <c r="A4108" s="76" t="s">
        <v>26</v>
      </c>
      <c r="B4108" s="76" t="s">
        <v>1023</v>
      </c>
      <c r="C4108" s="84">
        <v>6.47</v>
      </c>
      <c r="D4108" s="84">
        <v>0.0</v>
      </c>
      <c r="E4108" s="84">
        <v>0.0</v>
      </c>
      <c r="F4108" s="76" t="s">
        <v>997</v>
      </c>
      <c r="G4108" s="83">
        <v>46113.0</v>
      </c>
      <c r="H4108" s="76" t="s">
        <v>1014</v>
      </c>
    </row>
    <row r="4109">
      <c r="A4109" s="76" t="s">
        <v>36</v>
      </c>
      <c r="B4109" s="76" t="s">
        <v>1023</v>
      </c>
      <c r="C4109" s="84">
        <v>0.05</v>
      </c>
      <c r="D4109" s="84">
        <v>0.0</v>
      </c>
      <c r="E4109" s="84">
        <v>0.0</v>
      </c>
      <c r="F4109" s="76" t="s">
        <v>998</v>
      </c>
      <c r="G4109" s="83">
        <v>46113.0</v>
      </c>
      <c r="H4109" s="76" t="s">
        <v>926</v>
      </c>
    </row>
    <row r="4110">
      <c r="A4110" s="76" t="s">
        <v>36</v>
      </c>
      <c r="B4110" s="76" t="s">
        <v>1023</v>
      </c>
      <c r="C4110" s="84">
        <v>0.15</v>
      </c>
      <c r="D4110" s="84">
        <v>0.0</v>
      </c>
      <c r="E4110" s="84">
        <v>0.0</v>
      </c>
      <c r="F4110" s="76" t="s">
        <v>998</v>
      </c>
      <c r="G4110" s="83">
        <v>46113.0</v>
      </c>
      <c r="H4110" s="76" t="s">
        <v>927</v>
      </c>
    </row>
    <row r="4111">
      <c r="A4111" s="76" t="s">
        <v>36</v>
      </c>
      <c r="B4111" s="76" t="s">
        <v>1023</v>
      </c>
      <c r="C4111" s="84">
        <v>0.69</v>
      </c>
      <c r="D4111" s="84">
        <v>0.0</v>
      </c>
      <c r="E4111" s="84">
        <v>0.0</v>
      </c>
      <c r="F4111" s="76" t="s">
        <v>998</v>
      </c>
      <c r="G4111" s="83">
        <v>46113.0</v>
      </c>
      <c r="H4111" s="76" t="s">
        <v>928</v>
      </c>
    </row>
    <row r="4112">
      <c r="A4112" s="76" t="s">
        <v>31</v>
      </c>
      <c r="B4112" s="76" t="s">
        <v>1023</v>
      </c>
      <c r="C4112" s="84">
        <v>1.26</v>
      </c>
      <c r="D4112" s="84">
        <v>0.0</v>
      </c>
      <c r="E4112" s="84">
        <v>0.0</v>
      </c>
      <c r="F4112" s="76" t="s">
        <v>998</v>
      </c>
      <c r="G4112" s="83">
        <v>46113.0</v>
      </c>
      <c r="H4112" s="76" t="s">
        <v>929</v>
      </c>
    </row>
    <row r="4113">
      <c r="A4113" s="76" t="s">
        <v>28</v>
      </c>
      <c r="B4113" s="76" t="s">
        <v>1023</v>
      </c>
      <c r="C4113" s="84">
        <v>0.03</v>
      </c>
      <c r="D4113" s="84">
        <v>0.0</v>
      </c>
      <c r="E4113" s="84">
        <v>0.0</v>
      </c>
      <c r="F4113" s="76" t="s">
        <v>998</v>
      </c>
      <c r="G4113" s="83">
        <v>46113.0</v>
      </c>
      <c r="H4113" s="76" t="s">
        <v>931</v>
      </c>
    </row>
    <row r="4114">
      <c r="A4114" s="76" t="s">
        <v>28</v>
      </c>
      <c r="B4114" s="76" t="s">
        <v>1023</v>
      </c>
      <c r="C4114" s="84">
        <v>0.52</v>
      </c>
      <c r="D4114" s="84">
        <v>0.0</v>
      </c>
      <c r="E4114" s="84">
        <v>0.0</v>
      </c>
      <c r="F4114" s="76" t="s">
        <v>998</v>
      </c>
      <c r="G4114" s="83">
        <v>46113.0</v>
      </c>
      <c r="H4114" s="76" t="s">
        <v>932</v>
      </c>
    </row>
    <row r="4115">
      <c r="A4115" s="76" t="s">
        <v>28</v>
      </c>
      <c r="B4115" s="76" t="s">
        <v>1023</v>
      </c>
      <c r="C4115" s="84">
        <v>0.03</v>
      </c>
      <c r="D4115" s="84">
        <v>0.0</v>
      </c>
      <c r="E4115" s="84">
        <v>0.0</v>
      </c>
      <c r="F4115" s="76" t="s">
        <v>998</v>
      </c>
      <c r="G4115" s="83">
        <v>46113.0</v>
      </c>
      <c r="H4115" s="76" t="s">
        <v>933</v>
      </c>
    </row>
    <row r="4116">
      <c r="A4116" s="76" t="s">
        <v>42</v>
      </c>
      <c r="B4116" s="76" t="s">
        <v>1023</v>
      </c>
      <c r="C4116" s="84">
        <v>0.42</v>
      </c>
      <c r="D4116" s="84">
        <v>0.0</v>
      </c>
      <c r="E4116" s="84">
        <v>0.0</v>
      </c>
      <c r="F4116" s="76" t="s">
        <v>998</v>
      </c>
      <c r="G4116" s="83">
        <v>46113.0</v>
      </c>
      <c r="H4116" s="76" t="s">
        <v>991</v>
      </c>
    </row>
    <row r="4117">
      <c r="A4117" s="76" t="s">
        <v>42</v>
      </c>
      <c r="B4117" s="76" t="s">
        <v>1023</v>
      </c>
      <c r="C4117" s="84">
        <v>0.0</v>
      </c>
      <c r="D4117" s="84">
        <v>0.0</v>
      </c>
      <c r="E4117" s="84">
        <v>0.0</v>
      </c>
      <c r="F4117" s="76" t="s">
        <v>998</v>
      </c>
      <c r="G4117" s="83">
        <v>46113.0</v>
      </c>
      <c r="H4117" s="76" t="s">
        <v>935</v>
      </c>
    </row>
    <row r="4118">
      <c r="A4118" s="76" t="s">
        <v>45</v>
      </c>
      <c r="B4118" s="76" t="s">
        <v>1023</v>
      </c>
      <c r="C4118" s="84">
        <v>0.03</v>
      </c>
      <c r="D4118" s="84">
        <v>0.0</v>
      </c>
      <c r="E4118" s="84">
        <v>0.0</v>
      </c>
      <c r="F4118" s="76" t="s">
        <v>998</v>
      </c>
      <c r="G4118" s="83">
        <v>46113.0</v>
      </c>
      <c r="H4118" s="76" t="s">
        <v>936</v>
      </c>
    </row>
    <row r="4119">
      <c r="A4119" s="76" t="s">
        <v>45</v>
      </c>
      <c r="B4119" s="76" t="s">
        <v>1023</v>
      </c>
      <c r="C4119" s="84">
        <v>0.58</v>
      </c>
      <c r="D4119" s="84">
        <v>0.0</v>
      </c>
      <c r="E4119" s="84">
        <v>0.0</v>
      </c>
      <c r="F4119" s="76" t="s">
        <v>998</v>
      </c>
      <c r="G4119" s="83">
        <v>46113.0</v>
      </c>
      <c r="H4119" s="76" t="s">
        <v>937</v>
      </c>
    </row>
    <row r="4120">
      <c r="A4120" s="76" t="s">
        <v>45</v>
      </c>
      <c r="B4120" s="76" t="s">
        <v>1023</v>
      </c>
      <c r="C4120" s="84">
        <v>0.08</v>
      </c>
      <c r="D4120" s="84">
        <v>0.0</v>
      </c>
      <c r="E4120" s="84">
        <v>0.0</v>
      </c>
      <c r="F4120" s="76" t="s">
        <v>998</v>
      </c>
      <c r="G4120" s="83">
        <v>46113.0</v>
      </c>
      <c r="H4120" s="76" t="s">
        <v>938</v>
      </c>
    </row>
    <row r="4121">
      <c r="A4121" s="76" t="s">
        <v>50</v>
      </c>
      <c r="B4121" s="76" t="s">
        <v>1023</v>
      </c>
      <c r="C4121" s="84">
        <v>1.61</v>
      </c>
      <c r="D4121" s="84">
        <v>0.0</v>
      </c>
      <c r="E4121" s="84">
        <v>0.0</v>
      </c>
      <c r="F4121" s="76" t="s">
        <v>998</v>
      </c>
      <c r="G4121" s="83">
        <v>46113.0</v>
      </c>
      <c r="H4121" s="76" t="s">
        <v>939</v>
      </c>
    </row>
    <row r="4122">
      <c r="A4122" s="76" t="s">
        <v>50</v>
      </c>
      <c r="B4122" s="76" t="s">
        <v>1023</v>
      </c>
      <c r="C4122" s="84">
        <v>0.06</v>
      </c>
      <c r="D4122" s="84">
        <v>0.0</v>
      </c>
      <c r="E4122" s="84">
        <v>0.0</v>
      </c>
      <c r="F4122" s="76" t="s">
        <v>998</v>
      </c>
      <c r="G4122" s="83">
        <v>46113.0</v>
      </c>
      <c r="H4122" s="76" t="s">
        <v>940</v>
      </c>
    </row>
    <row r="4123">
      <c r="A4123" s="76" t="s">
        <v>32</v>
      </c>
      <c r="B4123" s="76" t="s">
        <v>1023</v>
      </c>
      <c r="C4123" s="84">
        <v>2.55</v>
      </c>
      <c r="D4123" s="84">
        <v>1.0</v>
      </c>
      <c r="E4123" s="84">
        <v>2.55</v>
      </c>
      <c r="F4123" s="76" t="s">
        <v>998</v>
      </c>
      <c r="G4123" s="83">
        <v>46113.0</v>
      </c>
      <c r="H4123" s="76" t="s">
        <v>941</v>
      </c>
    </row>
    <row r="4124">
      <c r="A4124" s="76" t="s">
        <v>32</v>
      </c>
      <c r="B4124" s="76" t="s">
        <v>1023</v>
      </c>
      <c r="C4124" s="84">
        <v>0.06</v>
      </c>
      <c r="D4124" s="84">
        <v>0.0</v>
      </c>
      <c r="E4124" s="84">
        <v>0.0</v>
      </c>
      <c r="F4124" s="76" t="s">
        <v>998</v>
      </c>
      <c r="G4124" s="83">
        <v>46113.0</v>
      </c>
      <c r="H4124" s="76" t="s">
        <v>942</v>
      </c>
    </row>
    <row r="4125">
      <c r="A4125" s="76" t="s">
        <v>32</v>
      </c>
      <c r="B4125" s="76" t="s">
        <v>1023</v>
      </c>
      <c r="C4125" s="84">
        <v>0.05</v>
      </c>
      <c r="D4125" s="84">
        <v>0.0</v>
      </c>
      <c r="E4125" s="84">
        <v>0.0</v>
      </c>
      <c r="F4125" s="76" t="s">
        <v>998</v>
      </c>
      <c r="G4125" s="83">
        <v>46113.0</v>
      </c>
      <c r="H4125" s="76" t="s">
        <v>943</v>
      </c>
    </row>
    <row r="4126">
      <c r="A4126" s="76" t="s">
        <v>944</v>
      </c>
      <c r="B4126" s="76" t="s">
        <v>1023</v>
      </c>
      <c r="C4126" s="84">
        <v>0.03</v>
      </c>
      <c r="D4126" s="84">
        <v>0.0</v>
      </c>
      <c r="E4126" s="84">
        <v>0.0</v>
      </c>
      <c r="F4126" s="76" t="s">
        <v>998</v>
      </c>
      <c r="G4126" s="83">
        <v>46113.0</v>
      </c>
      <c r="H4126" s="76" t="s">
        <v>945</v>
      </c>
    </row>
    <row r="4127">
      <c r="A4127" s="76" t="s">
        <v>944</v>
      </c>
      <c r="B4127" s="76" t="s">
        <v>1023</v>
      </c>
      <c r="C4127" s="84">
        <v>0.05</v>
      </c>
      <c r="D4127" s="84">
        <v>0.0</v>
      </c>
      <c r="E4127" s="84">
        <v>0.0</v>
      </c>
      <c r="F4127" s="76" t="s">
        <v>998</v>
      </c>
      <c r="G4127" s="83">
        <v>46113.0</v>
      </c>
      <c r="H4127" s="76" t="s">
        <v>946</v>
      </c>
    </row>
    <row r="4128">
      <c r="A4128" s="76" t="s">
        <v>944</v>
      </c>
      <c r="B4128" s="76" t="s">
        <v>1023</v>
      </c>
      <c r="C4128" s="84">
        <v>0.58</v>
      </c>
      <c r="D4128" s="84">
        <v>1.0</v>
      </c>
      <c r="E4128" s="84">
        <v>0.58</v>
      </c>
      <c r="F4128" s="76" t="s">
        <v>998</v>
      </c>
      <c r="G4128" s="83">
        <v>46113.0</v>
      </c>
      <c r="H4128" s="76" t="s">
        <v>947</v>
      </c>
    </row>
    <row r="4129">
      <c r="A4129" s="76" t="s">
        <v>26</v>
      </c>
      <c r="B4129" s="76" t="s">
        <v>1023</v>
      </c>
      <c r="C4129" s="84">
        <v>0.12</v>
      </c>
      <c r="D4129" s="84">
        <v>0.0</v>
      </c>
      <c r="E4129" s="84">
        <v>0.0</v>
      </c>
      <c r="F4129" s="76" t="s">
        <v>998</v>
      </c>
      <c r="G4129" s="83">
        <v>46113.0</v>
      </c>
      <c r="H4129" s="76" t="s">
        <v>1012</v>
      </c>
    </row>
    <row r="4130">
      <c r="A4130" s="76" t="s">
        <v>26</v>
      </c>
      <c r="B4130" s="76" t="s">
        <v>1023</v>
      </c>
      <c r="C4130" s="84">
        <v>0.06</v>
      </c>
      <c r="D4130" s="84">
        <v>0.0</v>
      </c>
      <c r="E4130" s="84">
        <v>0.0</v>
      </c>
      <c r="F4130" s="76" t="s">
        <v>998</v>
      </c>
      <c r="G4130" s="83">
        <v>46113.0</v>
      </c>
      <c r="H4130" s="76" t="s">
        <v>1013</v>
      </c>
    </row>
    <row r="4131">
      <c r="A4131" s="76" t="s">
        <v>26</v>
      </c>
      <c r="B4131" s="76" t="s">
        <v>1023</v>
      </c>
      <c r="C4131" s="84">
        <v>1.05</v>
      </c>
      <c r="D4131" s="84">
        <v>0.0</v>
      </c>
      <c r="E4131" s="84">
        <v>0.0</v>
      </c>
      <c r="F4131" s="76" t="s">
        <v>998</v>
      </c>
      <c r="G4131" s="83">
        <v>46113.0</v>
      </c>
      <c r="H4131" s="76" t="s">
        <v>1014</v>
      </c>
    </row>
    <row r="4132">
      <c r="A4132" s="76" t="s">
        <v>34</v>
      </c>
      <c r="B4132" s="76" t="s">
        <v>1024</v>
      </c>
      <c r="C4132" s="84">
        <v>1.98</v>
      </c>
      <c r="D4132" s="84">
        <v>0.0</v>
      </c>
      <c r="E4132" s="84">
        <v>0.0</v>
      </c>
      <c r="F4132" s="76" t="s">
        <v>925</v>
      </c>
      <c r="G4132" s="83">
        <v>46113.0</v>
      </c>
      <c r="H4132" s="76" t="s">
        <v>951</v>
      </c>
    </row>
    <row r="4133">
      <c r="A4133" s="76" t="s">
        <v>34</v>
      </c>
      <c r="B4133" s="76" t="s">
        <v>1024</v>
      </c>
      <c r="C4133" s="84">
        <v>2.24</v>
      </c>
      <c r="D4133" s="84">
        <v>0.0</v>
      </c>
      <c r="E4133" s="84">
        <v>0.0</v>
      </c>
      <c r="F4133" s="76" t="s">
        <v>925</v>
      </c>
      <c r="G4133" s="83">
        <v>46113.0</v>
      </c>
      <c r="H4133" s="76" t="s">
        <v>952</v>
      </c>
    </row>
    <row r="4134">
      <c r="A4134" s="76" t="s">
        <v>34</v>
      </c>
      <c r="B4134" s="76" t="s">
        <v>1024</v>
      </c>
      <c r="C4134" s="84">
        <v>4.6</v>
      </c>
      <c r="D4134" s="84">
        <v>0.0</v>
      </c>
      <c r="E4134" s="84">
        <v>0.0</v>
      </c>
      <c r="F4134" s="76" t="s">
        <v>925</v>
      </c>
      <c r="G4134" s="83">
        <v>46113.0</v>
      </c>
      <c r="H4134" s="76" t="s">
        <v>953</v>
      </c>
    </row>
    <row r="4135">
      <c r="A4135" s="76" t="s">
        <v>40</v>
      </c>
      <c r="B4135" s="76" t="s">
        <v>1024</v>
      </c>
      <c r="C4135" s="84">
        <v>0.95</v>
      </c>
      <c r="D4135" s="84">
        <v>0.0</v>
      </c>
      <c r="E4135" s="84">
        <v>0.0</v>
      </c>
      <c r="F4135" s="76" t="s">
        <v>925</v>
      </c>
      <c r="G4135" s="83">
        <v>46113.0</v>
      </c>
      <c r="H4135" s="76" t="s">
        <v>954</v>
      </c>
    </row>
    <row r="4136">
      <c r="A4136" s="76" t="s">
        <v>40</v>
      </c>
      <c r="B4136" s="76" t="s">
        <v>1024</v>
      </c>
      <c r="C4136" s="84">
        <v>0.33</v>
      </c>
      <c r="D4136" s="84">
        <v>0.0</v>
      </c>
      <c r="E4136" s="84">
        <v>0.0</v>
      </c>
      <c r="F4136" s="76" t="s">
        <v>925</v>
      </c>
      <c r="G4136" s="83">
        <v>46113.0</v>
      </c>
      <c r="H4136" s="76" t="s">
        <v>955</v>
      </c>
    </row>
    <row r="4137">
      <c r="A4137" s="76" t="s">
        <v>40</v>
      </c>
      <c r="B4137" s="76" t="s">
        <v>1024</v>
      </c>
      <c r="C4137" s="84">
        <v>5.73</v>
      </c>
      <c r="D4137" s="84">
        <v>0.0</v>
      </c>
      <c r="E4137" s="84">
        <v>0.0</v>
      </c>
      <c r="F4137" s="76" t="s">
        <v>925</v>
      </c>
      <c r="G4137" s="83">
        <v>46113.0</v>
      </c>
      <c r="H4137" s="76" t="s">
        <v>956</v>
      </c>
    </row>
    <row r="4138">
      <c r="A4138" s="76" t="s">
        <v>33</v>
      </c>
      <c r="B4138" s="76" t="s">
        <v>1024</v>
      </c>
      <c r="C4138" s="84">
        <v>5.29</v>
      </c>
      <c r="D4138" s="84">
        <v>0.0</v>
      </c>
      <c r="E4138" s="84">
        <v>0.0</v>
      </c>
      <c r="F4138" s="76" t="s">
        <v>925</v>
      </c>
      <c r="G4138" s="83">
        <v>46113.0</v>
      </c>
      <c r="H4138" s="76" t="s">
        <v>957</v>
      </c>
    </row>
    <row r="4139">
      <c r="A4139" s="76" t="s">
        <v>33</v>
      </c>
      <c r="B4139" s="76" t="s">
        <v>1024</v>
      </c>
      <c r="C4139" s="84">
        <v>0.41</v>
      </c>
      <c r="D4139" s="84">
        <v>0.0</v>
      </c>
      <c r="E4139" s="84">
        <v>0.0</v>
      </c>
      <c r="F4139" s="76" t="s">
        <v>925</v>
      </c>
      <c r="G4139" s="83">
        <v>46113.0</v>
      </c>
      <c r="H4139" s="76" t="s">
        <v>958</v>
      </c>
    </row>
    <row r="4140">
      <c r="A4140" s="76" t="s">
        <v>33</v>
      </c>
      <c r="B4140" s="76" t="s">
        <v>1024</v>
      </c>
      <c r="C4140" s="84">
        <v>2.03</v>
      </c>
      <c r="D4140" s="84">
        <v>0.0</v>
      </c>
      <c r="E4140" s="84">
        <v>0.0</v>
      </c>
      <c r="F4140" s="76" t="s">
        <v>925</v>
      </c>
      <c r="G4140" s="83">
        <v>46113.0</v>
      </c>
      <c r="H4140" s="76" t="s">
        <v>959</v>
      </c>
    </row>
    <row r="4141">
      <c r="A4141" s="76" t="s">
        <v>46</v>
      </c>
      <c r="B4141" s="76" t="s">
        <v>1024</v>
      </c>
      <c r="C4141" s="84">
        <v>1.09</v>
      </c>
      <c r="D4141" s="84">
        <v>0.0</v>
      </c>
      <c r="E4141" s="84">
        <v>0.0</v>
      </c>
      <c r="F4141" s="76" t="s">
        <v>925</v>
      </c>
      <c r="G4141" s="83">
        <v>46113.0</v>
      </c>
      <c r="H4141" s="76" t="s">
        <v>960</v>
      </c>
    </row>
    <row r="4142">
      <c r="A4142" s="76" t="s">
        <v>46</v>
      </c>
      <c r="B4142" s="76" t="s">
        <v>1024</v>
      </c>
      <c r="C4142" s="84">
        <v>0.83</v>
      </c>
      <c r="D4142" s="84">
        <v>0.0</v>
      </c>
      <c r="E4142" s="84">
        <v>0.0</v>
      </c>
      <c r="F4142" s="76" t="s">
        <v>925</v>
      </c>
      <c r="G4142" s="83">
        <v>46113.0</v>
      </c>
      <c r="H4142" s="76" t="s">
        <v>961</v>
      </c>
    </row>
    <row r="4143">
      <c r="A4143" s="76" t="s">
        <v>46</v>
      </c>
      <c r="B4143" s="76" t="s">
        <v>1024</v>
      </c>
      <c r="C4143" s="84">
        <v>1.36</v>
      </c>
      <c r="D4143" s="84">
        <v>0.0</v>
      </c>
      <c r="E4143" s="84">
        <v>0.0</v>
      </c>
      <c r="F4143" s="76" t="s">
        <v>925</v>
      </c>
      <c r="G4143" s="83">
        <v>46113.0</v>
      </c>
      <c r="H4143" s="76" t="s">
        <v>962</v>
      </c>
    </row>
    <row r="4144">
      <c r="A4144" s="76" t="s">
        <v>43</v>
      </c>
      <c r="B4144" s="76" t="s">
        <v>1024</v>
      </c>
      <c r="C4144" s="84">
        <v>1.64</v>
      </c>
      <c r="D4144" s="84">
        <v>0.0</v>
      </c>
      <c r="E4144" s="84">
        <v>0.0</v>
      </c>
      <c r="F4144" s="76" t="s">
        <v>925</v>
      </c>
      <c r="G4144" s="83">
        <v>46113.0</v>
      </c>
      <c r="H4144" s="76" t="s">
        <v>963</v>
      </c>
    </row>
    <row r="4145">
      <c r="A4145" s="76" t="s">
        <v>43</v>
      </c>
      <c r="B4145" s="76" t="s">
        <v>1024</v>
      </c>
      <c r="C4145" s="84">
        <v>0.52</v>
      </c>
      <c r="D4145" s="84">
        <v>0.0</v>
      </c>
      <c r="E4145" s="84">
        <v>0.0</v>
      </c>
      <c r="F4145" s="76" t="s">
        <v>925</v>
      </c>
      <c r="G4145" s="83">
        <v>46113.0</v>
      </c>
      <c r="H4145" s="76" t="s">
        <v>964</v>
      </c>
    </row>
    <row r="4146">
      <c r="A4146" s="76" t="s">
        <v>43</v>
      </c>
      <c r="B4146" s="76" t="s">
        <v>1024</v>
      </c>
      <c r="C4146" s="84">
        <v>5.34</v>
      </c>
      <c r="D4146" s="84">
        <v>0.0</v>
      </c>
      <c r="E4146" s="84">
        <v>0.0</v>
      </c>
      <c r="F4146" s="76" t="s">
        <v>925</v>
      </c>
      <c r="G4146" s="83">
        <v>46113.0</v>
      </c>
      <c r="H4146" s="76" t="s">
        <v>965</v>
      </c>
    </row>
    <row r="4147">
      <c r="A4147" s="76" t="s">
        <v>966</v>
      </c>
      <c r="B4147" s="76" t="s">
        <v>1024</v>
      </c>
      <c r="C4147" s="84">
        <v>3.9</v>
      </c>
      <c r="D4147" s="84">
        <v>0.0</v>
      </c>
      <c r="E4147" s="84">
        <v>0.0</v>
      </c>
      <c r="F4147" s="76" t="s">
        <v>925</v>
      </c>
      <c r="G4147" s="83">
        <v>46113.0</v>
      </c>
      <c r="H4147" s="76" t="s">
        <v>967</v>
      </c>
    </row>
    <row r="4148">
      <c r="A4148" s="76" t="s">
        <v>966</v>
      </c>
      <c r="B4148" s="76" t="s">
        <v>1024</v>
      </c>
      <c r="C4148" s="84">
        <v>1.07</v>
      </c>
      <c r="D4148" s="84">
        <v>0.0</v>
      </c>
      <c r="E4148" s="84">
        <v>0.0</v>
      </c>
      <c r="F4148" s="76" t="s">
        <v>925</v>
      </c>
      <c r="G4148" s="83">
        <v>46113.0</v>
      </c>
      <c r="H4148" s="76" t="s">
        <v>968</v>
      </c>
    </row>
    <row r="4149">
      <c r="A4149" s="76" t="s">
        <v>966</v>
      </c>
      <c r="B4149" s="76" t="s">
        <v>1024</v>
      </c>
      <c r="C4149" s="84">
        <v>0.71</v>
      </c>
      <c r="D4149" s="84">
        <v>0.0</v>
      </c>
      <c r="E4149" s="84">
        <v>0.0</v>
      </c>
      <c r="F4149" s="76" t="s">
        <v>925</v>
      </c>
      <c r="G4149" s="83">
        <v>46113.0</v>
      </c>
      <c r="H4149" s="76" t="s">
        <v>969</v>
      </c>
    </row>
    <row r="4150">
      <c r="A4150" s="76" t="s">
        <v>36</v>
      </c>
      <c r="B4150" s="76" t="s">
        <v>1024</v>
      </c>
      <c r="C4150" s="84">
        <v>2.28</v>
      </c>
      <c r="D4150" s="84">
        <v>0.0</v>
      </c>
      <c r="E4150" s="84">
        <v>0.0</v>
      </c>
      <c r="F4150" s="76" t="s">
        <v>925</v>
      </c>
      <c r="G4150" s="83">
        <v>46113.0</v>
      </c>
      <c r="H4150" s="76" t="s">
        <v>926</v>
      </c>
    </row>
    <row r="4151">
      <c r="A4151" s="76" t="s">
        <v>36</v>
      </c>
      <c r="B4151" s="76" t="s">
        <v>1024</v>
      </c>
      <c r="C4151" s="84">
        <v>1.24</v>
      </c>
      <c r="D4151" s="84">
        <v>1.0</v>
      </c>
      <c r="E4151" s="84">
        <v>1.24</v>
      </c>
      <c r="F4151" s="76" t="s">
        <v>925</v>
      </c>
      <c r="G4151" s="83">
        <v>46113.0</v>
      </c>
      <c r="H4151" s="76" t="s">
        <v>927</v>
      </c>
    </row>
    <row r="4152">
      <c r="A4152" s="76" t="s">
        <v>36</v>
      </c>
      <c r="B4152" s="76" t="s">
        <v>1024</v>
      </c>
      <c r="C4152" s="84">
        <v>1.17</v>
      </c>
      <c r="D4152" s="84">
        <v>0.0</v>
      </c>
      <c r="E4152" s="84">
        <v>0.0</v>
      </c>
      <c r="F4152" s="76" t="s">
        <v>925</v>
      </c>
      <c r="G4152" s="83">
        <v>46113.0</v>
      </c>
      <c r="H4152" s="76" t="s">
        <v>928</v>
      </c>
    </row>
    <row r="4153">
      <c r="A4153" s="76" t="s">
        <v>970</v>
      </c>
      <c r="B4153" s="76" t="s">
        <v>1024</v>
      </c>
      <c r="C4153" s="84">
        <v>0.97</v>
      </c>
      <c r="D4153" s="84">
        <v>0.0</v>
      </c>
      <c r="E4153" s="84">
        <v>0.0</v>
      </c>
      <c r="F4153" s="76" t="s">
        <v>925</v>
      </c>
      <c r="G4153" s="83">
        <v>46113.0</v>
      </c>
      <c r="H4153" s="76" t="s">
        <v>971</v>
      </c>
    </row>
    <row r="4154">
      <c r="A4154" s="76" t="s">
        <v>970</v>
      </c>
      <c r="B4154" s="76" t="s">
        <v>1024</v>
      </c>
      <c r="C4154" s="84">
        <v>0.36</v>
      </c>
      <c r="D4154" s="84">
        <v>0.0</v>
      </c>
      <c r="E4154" s="84">
        <v>0.0</v>
      </c>
      <c r="F4154" s="76" t="s">
        <v>925</v>
      </c>
      <c r="G4154" s="83">
        <v>46113.0</v>
      </c>
      <c r="H4154" s="76" t="s">
        <v>972</v>
      </c>
    </row>
    <row r="4155">
      <c r="A4155" s="76" t="s">
        <v>970</v>
      </c>
      <c r="B4155" s="76" t="s">
        <v>1024</v>
      </c>
      <c r="C4155" s="84">
        <v>3.44</v>
      </c>
      <c r="D4155" s="84">
        <v>0.0</v>
      </c>
      <c r="E4155" s="84">
        <v>0.0</v>
      </c>
      <c r="F4155" s="76" t="s">
        <v>925</v>
      </c>
      <c r="G4155" s="83">
        <v>46113.0</v>
      </c>
      <c r="H4155" s="76" t="s">
        <v>973</v>
      </c>
    </row>
    <row r="4156">
      <c r="A4156" s="76" t="s">
        <v>29</v>
      </c>
      <c r="B4156" s="76" t="s">
        <v>1024</v>
      </c>
      <c r="C4156" s="84">
        <v>1.26</v>
      </c>
      <c r="D4156" s="84">
        <v>0.0</v>
      </c>
      <c r="E4156" s="84">
        <v>0.0</v>
      </c>
      <c r="F4156" s="76" t="s">
        <v>925</v>
      </c>
      <c r="G4156" s="83">
        <v>46113.0</v>
      </c>
      <c r="H4156" s="76" t="s">
        <v>971</v>
      </c>
    </row>
    <row r="4157">
      <c r="A4157" s="76" t="s">
        <v>29</v>
      </c>
      <c r="B4157" s="76" t="s">
        <v>1024</v>
      </c>
      <c r="C4157" s="84">
        <v>0.43</v>
      </c>
      <c r="D4157" s="84">
        <v>0.0</v>
      </c>
      <c r="E4157" s="84">
        <v>0.0</v>
      </c>
      <c r="F4157" s="76" t="s">
        <v>925</v>
      </c>
      <c r="G4157" s="83">
        <v>46113.0</v>
      </c>
      <c r="H4157" s="76" t="s">
        <v>972</v>
      </c>
    </row>
    <row r="4158">
      <c r="A4158" s="76" t="s">
        <v>29</v>
      </c>
      <c r="B4158" s="76" t="s">
        <v>1024</v>
      </c>
      <c r="C4158" s="84">
        <v>4.95</v>
      </c>
      <c r="D4158" s="84">
        <v>0.0</v>
      </c>
      <c r="E4158" s="84">
        <v>0.0</v>
      </c>
      <c r="F4158" s="76" t="s">
        <v>925</v>
      </c>
      <c r="G4158" s="83">
        <v>46113.0</v>
      </c>
      <c r="H4158" s="76" t="s">
        <v>973</v>
      </c>
    </row>
    <row r="4159">
      <c r="A4159" s="76" t="s">
        <v>34</v>
      </c>
      <c r="B4159" s="76" t="s">
        <v>1024</v>
      </c>
      <c r="C4159" s="84">
        <v>5.05</v>
      </c>
      <c r="D4159" s="84">
        <v>1.0</v>
      </c>
      <c r="E4159" s="84">
        <v>5.05</v>
      </c>
      <c r="F4159" s="76" t="s">
        <v>948</v>
      </c>
      <c r="G4159" s="83">
        <v>46113.0</v>
      </c>
      <c r="H4159" s="76" t="s">
        <v>951</v>
      </c>
    </row>
    <row r="4160">
      <c r="A4160" s="76" t="s">
        <v>34</v>
      </c>
      <c r="B4160" s="76" t="s">
        <v>1024</v>
      </c>
      <c r="C4160" s="84">
        <v>4.98</v>
      </c>
      <c r="D4160" s="84">
        <v>0.0</v>
      </c>
      <c r="E4160" s="84">
        <v>0.0</v>
      </c>
      <c r="F4160" s="76" t="s">
        <v>948</v>
      </c>
      <c r="G4160" s="83">
        <v>46113.0</v>
      </c>
      <c r="H4160" s="76" t="s">
        <v>952</v>
      </c>
    </row>
    <row r="4161">
      <c r="A4161" s="76" t="s">
        <v>34</v>
      </c>
      <c r="B4161" s="76" t="s">
        <v>1024</v>
      </c>
      <c r="C4161" s="84">
        <v>9.35</v>
      </c>
      <c r="D4161" s="84">
        <v>0.0</v>
      </c>
      <c r="E4161" s="84">
        <v>0.0</v>
      </c>
      <c r="F4161" s="76" t="s">
        <v>948</v>
      </c>
      <c r="G4161" s="83">
        <v>46113.0</v>
      </c>
      <c r="H4161" s="76" t="s">
        <v>953</v>
      </c>
    </row>
    <row r="4162">
      <c r="A4162" s="76" t="s">
        <v>40</v>
      </c>
      <c r="B4162" s="76" t="s">
        <v>1024</v>
      </c>
      <c r="C4162" s="84">
        <v>2.31</v>
      </c>
      <c r="D4162" s="84">
        <v>0.0</v>
      </c>
      <c r="E4162" s="84">
        <v>0.0</v>
      </c>
      <c r="F4162" s="76" t="s">
        <v>948</v>
      </c>
      <c r="G4162" s="83">
        <v>46113.0</v>
      </c>
      <c r="H4162" s="76" t="s">
        <v>954</v>
      </c>
    </row>
    <row r="4163">
      <c r="A4163" s="76" t="s">
        <v>40</v>
      </c>
      <c r="B4163" s="76" t="s">
        <v>1024</v>
      </c>
      <c r="C4163" s="84">
        <v>0.92</v>
      </c>
      <c r="D4163" s="84">
        <v>0.0</v>
      </c>
      <c r="E4163" s="84">
        <v>0.0</v>
      </c>
      <c r="F4163" s="76" t="s">
        <v>948</v>
      </c>
      <c r="G4163" s="83">
        <v>46113.0</v>
      </c>
      <c r="H4163" s="76" t="s">
        <v>955</v>
      </c>
    </row>
    <row r="4164">
      <c r="A4164" s="76" t="s">
        <v>40</v>
      </c>
      <c r="B4164" s="76" t="s">
        <v>1024</v>
      </c>
      <c r="C4164" s="84">
        <v>12.08</v>
      </c>
      <c r="D4164" s="84">
        <v>0.0</v>
      </c>
      <c r="E4164" s="84">
        <v>0.0</v>
      </c>
      <c r="F4164" s="76" t="s">
        <v>948</v>
      </c>
      <c r="G4164" s="83">
        <v>46113.0</v>
      </c>
      <c r="H4164" s="76" t="s">
        <v>956</v>
      </c>
    </row>
    <row r="4165">
      <c r="A4165" s="76" t="s">
        <v>33</v>
      </c>
      <c r="B4165" s="76" t="s">
        <v>1024</v>
      </c>
      <c r="C4165" s="84">
        <v>14.59</v>
      </c>
      <c r="D4165" s="84">
        <v>0.0</v>
      </c>
      <c r="E4165" s="84">
        <v>0.0</v>
      </c>
      <c r="F4165" s="76" t="s">
        <v>948</v>
      </c>
      <c r="G4165" s="83">
        <v>46113.0</v>
      </c>
      <c r="H4165" s="76" t="s">
        <v>957</v>
      </c>
    </row>
    <row r="4166">
      <c r="A4166" s="76" t="s">
        <v>33</v>
      </c>
      <c r="B4166" s="76" t="s">
        <v>1024</v>
      </c>
      <c r="C4166" s="84">
        <v>1.07</v>
      </c>
      <c r="D4166" s="84">
        <v>0.0</v>
      </c>
      <c r="E4166" s="84">
        <v>0.0</v>
      </c>
      <c r="F4166" s="76" t="s">
        <v>948</v>
      </c>
      <c r="G4166" s="83">
        <v>46113.0</v>
      </c>
      <c r="H4166" s="76" t="s">
        <v>958</v>
      </c>
    </row>
    <row r="4167">
      <c r="A4167" s="76" t="s">
        <v>33</v>
      </c>
      <c r="B4167" s="76" t="s">
        <v>1024</v>
      </c>
      <c r="C4167" s="84">
        <v>4.31</v>
      </c>
      <c r="D4167" s="84">
        <v>0.0</v>
      </c>
      <c r="E4167" s="84">
        <v>0.0</v>
      </c>
      <c r="F4167" s="76" t="s">
        <v>948</v>
      </c>
      <c r="G4167" s="83">
        <v>46113.0</v>
      </c>
      <c r="H4167" s="76" t="s">
        <v>959</v>
      </c>
    </row>
    <row r="4168">
      <c r="A4168" s="76" t="s">
        <v>46</v>
      </c>
      <c r="B4168" s="76" t="s">
        <v>1024</v>
      </c>
      <c r="C4168" s="84">
        <v>1.45</v>
      </c>
      <c r="D4168" s="84">
        <v>0.0</v>
      </c>
      <c r="E4168" s="84">
        <v>0.0</v>
      </c>
      <c r="F4168" s="76" t="s">
        <v>948</v>
      </c>
      <c r="G4168" s="83">
        <v>46113.0</v>
      </c>
      <c r="H4168" s="76" t="s">
        <v>960</v>
      </c>
    </row>
    <row r="4169">
      <c r="A4169" s="76" t="s">
        <v>46</v>
      </c>
      <c r="B4169" s="76" t="s">
        <v>1024</v>
      </c>
      <c r="C4169" s="84">
        <v>1.65</v>
      </c>
      <c r="D4169" s="84">
        <v>0.0</v>
      </c>
      <c r="E4169" s="84">
        <v>0.0</v>
      </c>
      <c r="F4169" s="76" t="s">
        <v>948</v>
      </c>
      <c r="G4169" s="83">
        <v>46113.0</v>
      </c>
      <c r="H4169" s="76" t="s">
        <v>961</v>
      </c>
    </row>
    <row r="4170">
      <c r="A4170" s="76" t="s">
        <v>46</v>
      </c>
      <c r="B4170" s="76" t="s">
        <v>1024</v>
      </c>
      <c r="C4170" s="84">
        <v>2.8</v>
      </c>
      <c r="D4170" s="84">
        <v>0.0</v>
      </c>
      <c r="E4170" s="84">
        <v>0.0</v>
      </c>
      <c r="F4170" s="76" t="s">
        <v>948</v>
      </c>
      <c r="G4170" s="83">
        <v>46113.0</v>
      </c>
      <c r="H4170" s="76" t="s">
        <v>962</v>
      </c>
    </row>
    <row r="4171">
      <c r="A4171" s="76" t="s">
        <v>43</v>
      </c>
      <c r="B4171" s="76" t="s">
        <v>1024</v>
      </c>
      <c r="C4171" s="84">
        <v>4.12</v>
      </c>
      <c r="D4171" s="84">
        <v>0.0</v>
      </c>
      <c r="E4171" s="84">
        <v>0.0</v>
      </c>
      <c r="F4171" s="76" t="s">
        <v>948</v>
      </c>
      <c r="G4171" s="83">
        <v>46113.0</v>
      </c>
      <c r="H4171" s="76" t="s">
        <v>963</v>
      </c>
    </row>
    <row r="4172">
      <c r="A4172" s="76" t="s">
        <v>43</v>
      </c>
      <c r="B4172" s="76" t="s">
        <v>1024</v>
      </c>
      <c r="C4172" s="84">
        <v>1.25</v>
      </c>
      <c r="D4172" s="84">
        <v>0.0</v>
      </c>
      <c r="E4172" s="84">
        <v>0.0</v>
      </c>
      <c r="F4172" s="76" t="s">
        <v>948</v>
      </c>
      <c r="G4172" s="83">
        <v>46113.0</v>
      </c>
      <c r="H4172" s="76" t="s">
        <v>964</v>
      </c>
    </row>
    <row r="4173">
      <c r="A4173" s="76" t="s">
        <v>43</v>
      </c>
      <c r="B4173" s="76" t="s">
        <v>1024</v>
      </c>
      <c r="C4173" s="84">
        <v>10.67</v>
      </c>
      <c r="D4173" s="84">
        <v>0.0</v>
      </c>
      <c r="E4173" s="84">
        <v>0.0</v>
      </c>
      <c r="F4173" s="76" t="s">
        <v>948</v>
      </c>
      <c r="G4173" s="83">
        <v>46113.0</v>
      </c>
      <c r="H4173" s="76" t="s">
        <v>965</v>
      </c>
    </row>
    <row r="4174">
      <c r="A4174" s="76" t="s">
        <v>966</v>
      </c>
      <c r="B4174" s="76" t="s">
        <v>1024</v>
      </c>
      <c r="C4174" s="84">
        <v>8.7</v>
      </c>
      <c r="D4174" s="84">
        <v>0.0</v>
      </c>
      <c r="E4174" s="84">
        <v>0.0</v>
      </c>
      <c r="F4174" s="76" t="s">
        <v>948</v>
      </c>
      <c r="G4174" s="83">
        <v>46113.0</v>
      </c>
      <c r="H4174" s="76" t="s">
        <v>967</v>
      </c>
    </row>
    <row r="4175">
      <c r="A4175" s="76" t="s">
        <v>966</v>
      </c>
      <c r="B4175" s="76" t="s">
        <v>1024</v>
      </c>
      <c r="C4175" s="84">
        <v>2.24</v>
      </c>
      <c r="D4175" s="84">
        <v>0.0</v>
      </c>
      <c r="E4175" s="84">
        <v>0.0</v>
      </c>
      <c r="F4175" s="76" t="s">
        <v>948</v>
      </c>
      <c r="G4175" s="83">
        <v>46113.0</v>
      </c>
      <c r="H4175" s="76" t="s">
        <v>968</v>
      </c>
    </row>
    <row r="4176">
      <c r="A4176" s="76" t="s">
        <v>966</v>
      </c>
      <c r="B4176" s="76" t="s">
        <v>1024</v>
      </c>
      <c r="C4176" s="84">
        <v>1.75</v>
      </c>
      <c r="D4176" s="84">
        <v>0.0</v>
      </c>
      <c r="E4176" s="84">
        <v>0.0</v>
      </c>
      <c r="F4176" s="76" t="s">
        <v>948</v>
      </c>
      <c r="G4176" s="83">
        <v>46113.0</v>
      </c>
      <c r="H4176" s="76" t="s">
        <v>969</v>
      </c>
    </row>
    <row r="4177">
      <c r="A4177" s="76" t="s">
        <v>36</v>
      </c>
      <c r="B4177" s="76" t="s">
        <v>1024</v>
      </c>
      <c r="C4177" s="84">
        <v>4.78</v>
      </c>
      <c r="D4177" s="84">
        <v>0.0</v>
      </c>
      <c r="E4177" s="84">
        <v>0.0</v>
      </c>
      <c r="F4177" s="76" t="s">
        <v>948</v>
      </c>
      <c r="G4177" s="83">
        <v>46113.0</v>
      </c>
      <c r="H4177" s="76" t="s">
        <v>926</v>
      </c>
    </row>
    <row r="4178">
      <c r="A4178" s="76" t="s">
        <v>36</v>
      </c>
      <c r="B4178" s="76" t="s">
        <v>1024</v>
      </c>
      <c r="C4178" s="84">
        <v>2.62</v>
      </c>
      <c r="D4178" s="84">
        <v>0.0</v>
      </c>
      <c r="E4178" s="84">
        <v>0.0</v>
      </c>
      <c r="F4178" s="76" t="s">
        <v>948</v>
      </c>
      <c r="G4178" s="83">
        <v>46113.0</v>
      </c>
      <c r="H4178" s="76" t="s">
        <v>927</v>
      </c>
    </row>
    <row r="4179">
      <c r="A4179" s="76" t="s">
        <v>36</v>
      </c>
      <c r="B4179" s="76" t="s">
        <v>1024</v>
      </c>
      <c r="C4179" s="84">
        <v>2.64</v>
      </c>
      <c r="D4179" s="84">
        <v>0.0</v>
      </c>
      <c r="E4179" s="84">
        <v>0.0</v>
      </c>
      <c r="F4179" s="76" t="s">
        <v>948</v>
      </c>
      <c r="G4179" s="83">
        <v>46113.0</v>
      </c>
      <c r="H4179" s="76" t="s">
        <v>928</v>
      </c>
    </row>
    <row r="4180">
      <c r="A4180" s="76" t="s">
        <v>970</v>
      </c>
      <c r="B4180" s="76" t="s">
        <v>1024</v>
      </c>
      <c r="C4180" s="84">
        <v>2.72</v>
      </c>
      <c r="D4180" s="84">
        <v>0.0</v>
      </c>
      <c r="E4180" s="84">
        <v>0.0</v>
      </c>
      <c r="F4180" s="76" t="s">
        <v>948</v>
      </c>
      <c r="G4180" s="83">
        <v>46113.0</v>
      </c>
      <c r="H4180" s="76" t="s">
        <v>971</v>
      </c>
    </row>
    <row r="4181">
      <c r="A4181" s="76" t="s">
        <v>970</v>
      </c>
      <c r="B4181" s="76" t="s">
        <v>1024</v>
      </c>
      <c r="C4181" s="84">
        <v>0.93</v>
      </c>
      <c r="D4181" s="84">
        <v>0.0</v>
      </c>
      <c r="E4181" s="84">
        <v>0.0</v>
      </c>
      <c r="F4181" s="76" t="s">
        <v>948</v>
      </c>
      <c r="G4181" s="83">
        <v>46113.0</v>
      </c>
      <c r="H4181" s="76" t="s">
        <v>972</v>
      </c>
    </row>
    <row r="4182">
      <c r="A4182" s="76" t="s">
        <v>970</v>
      </c>
      <c r="B4182" s="76" t="s">
        <v>1024</v>
      </c>
      <c r="C4182" s="84">
        <v>8.78</v>
      </c>
      <c r="D4182" s="84">
        <v>0.0</v>
      </c>
      <c r="E4182" s="84">
        <v>0.0</v>
      </c>
      <c r="F4182" s="76" t="s">
        <v>948</v>
      </c>
      <c r="G4182" s="83">
        <v>46113.0</v>
      </c>
      <c r="H4182" s="76" t="s">
        <v>973</v>
      </c>
    </row>
    <row r="4183">
      <c r="A4183" s="76" t="s">
        <v>29</v>
      </c>
      <c r="B4183" s="76" t="s">
        <v>1024</v>
      </c>
      <c r="C4183" s="84">
        <v>2.83</v>
      </c>
      <c r="D4183" s="84">
        <v>0.0</v>
      </c>
      <c r="E4183" s="84">
        <v>0.0</v>
      </c>
      <c r="F4183" s="76" t="s">
        <v>948</v>
      </c>
      <c r="G4183" s="83">
        <v>46113.0</v>
      </c>
      <c r="H4183" s="76" t="s">
        <v>971</v>
      </c>
    </row>
    <row r="4184">
      <c r="A4184" s="76" t="s">
        <v>29</v>
      </c>
      <c r="B4184" s="76" t="s">
        <v>1024</v>
      </c>
      <c r="C4184" s="84">
        <v>0.92</v>
      </c>
      <c r="D4184" s="84">
        <v>0.0</v>
      </c>
      <c r="E4184" s="84">
        <v>0.0</v>
      </c>
      <c r="F4184" s="76" t="s">
        <v>948</v>
      </c>
      <c r="G4184" s="83">
        <v>46113.0</v>
      </c>
      <c r="H4184" s="76" t="s">
        <v>972</v>
      </c>
    </row>
    <row r="4185">
      <c r="A4185" s="76" t="s">
        <v>29</v>
      </c>
      <c r="B4185" s="76" t="s">
        <v>1024</v>
      </c>
      <c r="C4185" s="84">
        <v>8.72</v>
      </c>
      <c r="D4185" s="84">
        <v>0.0</v>
      </c>
      <c r="E4185" s="84">
        <v>0.0</v>
      </c>
      <c r="F4185" s="76" t="s">
        <v>948</v>
      </c>
      <c r="G4185" s="83">
        <v>46113.0</v>
      </c>
      <c r="H4185" s="76" t="s">
        <v>973</v>
      </c>
    </row>
    <row r="4186">
      <c r="A4186" s="76" t="s">
        <v>36</v>
      </c>
      <c r="B4186" s="76" t="s">
        <v>1025</v>
      </c>
      <c r="C4186" s="84">
        <v>2.19</v>
      </c>
      <c r="D4186" s="84">
        <v>0.0</v>
      </c>
      <c r="E4186" s="84">
        <v>0.0</v>
      </c>
      <c r="F4186" s="76" t="s">
        <v>990</v>
      </c>
      <c r="G4186" s="83">
        <v>46113.0</v>
      </c>
      <c r="H4186" s="76" t="s">
        <v>926</v>
      </c>
    </row>
    <row r="4187">
      <c r="A4187" s="76" t="s">
        <v>36</v>
      </c>
      <c r="B4187" s="76" t="s">
        <v>1025</v>
      </c>
      <c r="C4187" s="84">
        <v>1.27</v>
      </c>
      <c r="D4187" s="84">
        <v>0.0</v>
      </c>
      <c r="E4187" s="84">
        <v>0.0</v>
      </c>
      <c r="F4187" s="76" t="s">
        <v>990</v>
      </c>
      <c r="G4187" s="83">
        <v>46113.0</v>
      </c>
      <c r="H4187" s="76" t="s">
        <v>927</v>
      </c>
    </row>
    <row r="4188">
      <c r="A4188" s="76" t="s">
        <v>36</v>
      </c>
      <c r="B4188" s="76" t="s">
        <v>1025</v>
      </c>
      <c r="C4188" s="84">
        <v>1.15</v>
      </c>
      <c r="D4188" s="84">
        <v>0.0</v>
      </c>
      <c r="E4188" s="84">
        <v>0.0</v>
      </c>
      <c r="F4188" s="76" t="s">
        <v>990</v>
      </c>
      <c r="G4188" s="83">
        <v>46113.0</v>
      </c>
      <c r="H4188" s="76" t="s">
        <v>928</v>
      </c>
    </row>
    <row r="4189">
      <c r="A4189" s="76" t="s">
        <v>31</v>
      </c>
      <c r="B4189" s="76" t="s">
        <v>1025</v>
      </c>
      <c r="C4189" s="84">
        <v>1.88</v>
      </c>
      <c r="D4189" s="84">
        <v>1.0</v>
      </c>
      <c r="E4189" s="84">
        <v>1.88</v>
      </c>
      <c r="F4189" s="76" t="s">
        <v>990</v>
      </c>
      <c r="G4189" s="83">
        <v>46113.0</v>
      </c>
      <c r="H4189" s="76" t="s">
        <v>929</v>
      </c>
    </row>
    <row r="4190">
      <c r="A4190" s="76" t="s">
        <v>31</v>
      </c>
      <c r="B4190" s="76" t="s">
        <v>1025</v>
      </c>
      <c r="C4190" s="84">
        <v>15.9</v>
      </c>
      <c r="D4190" s="84">
        <v>0.0</v>
      </c>
      <c r="E4190" s="84">
        <v>0.0</v>
      </c>
      <c r="F4190" s="76" t="s">
        <v>990</v>
      </c>
      <c r="G4190" s="83">
        <v>46113.0</v>
      </c>
      <c r="H4190" s="76" t="s">
        <v>930</v>
      </c>
    </row>
    <row r="4191">
      <c r="A4191" s="76" t="s">
        <v>28</v>
      </c>
      <c r="B4191" s="76" t="s">
        <v>1025</v>
      </c>
      <c r="C4191" s="84">
        <v>0.47</v>
      </c>
      <c r="D4191" s="84">
        <v>0.0</v>
      </c>
      <c r="E4191" s="84">
        <v>0.0</v>
      </c>
      <c r="F4191" s="76" t="s">
        <v>990</v>
      </c>
      <c r="G4191" s="83">
        <v>46113.0</v>
      </c>
      <c r="H4191" s="76" t="s">
        <v>931</v>
      </c>
    </row>
    <row r="4192">
      <c r="A4192" s="76" t="s">
        <v>28</v>
      </c>
      <c r="B4192" s="76" t="s">
        <v>1025</v>
      </c>
      <c r="C4192" s="84">
        <v>0.77</v>
      </c>
      <c r="D4192" s="84">
        <v>0.0</v>
      </c>
      <c r="E4192" s="84">
        <v>0.0</v>
      </c>
      <c r="F4192" s="76" t="s">
        <v>990</v>
      </c>
      <c r="G4192" s="83">
        <v>46113.0</v>
      </c>
      <c r="H4192" s="76" t="s">
        <v>932</v>
      </c>
    </row>
    <row r="4193">
      <c r="A4193" s="76" t="s">
        <v>28</v>
      </c>
      <c r="B4193" s="76" t="s">
        <v>1025</v>
      </c>
      <c r="C4193" s="84">
        <v>6.24</v>
      </c>
      <c r="D4193" s="84">
        <v>0.0</v>
      </c>
      <c r="E4193" s="84">
        <v>0.0</v>
      </c>
      <c r="F4193" s="76" t="s">
        <v>990</v>
      </c>
      <c r="G4193" s="83">
        <v>46113.0</v>
      </c>
      <c r="H4193" s="76" t="s">
        <v>933</v>
      </c>
    </row>
    <row r="4194">
      <c r="A4194" s="76" t="s">
        <v>42</v>
      </c>
      <c r="B4194" s="76" t="s">
        <v>1025</v>
      </c>
      <c r="C4194" s="84">
        <v>0.24</v>
      </c>
      <c r="D4194" s="84">
        <v>0.0</v>
      </c>
      <c r="E4194" s="84">
        <v>0.0</v>
      </c>
      <c r="F4194" s="76" t="s">
        <v>990</v>
      </c>
      <c r="G4194" s="83">
        <v>46113.0</v>
      </c>
      <c r="H4194" s="76" t="s">
        <v>991</v>
      </c>
    </row>
    <row r="4195">
      <c r="A4195" s="76" t="s">
        <v>42</v>
      </c>
      <c r="B4195" s="76" t="s">
        <v>1025</v>
      </c>
      <c r="C4195" s="84">
        <v>3.82</v>
      </c>
      <c r="D4195" s="84">
        <v>0.0</v>
      </c>
      <c r="E4195" s="84">
        <v>0.0</v>
      </c>
      <c r="F4195" s="76" t="s">
        <v>990</v>
      </c>
      <c r="G4195" s="83">
        <v>46113.0</v>
      </c>
      <c r="H4195" s="76" t="s">
        <v>935</v>
      </c>
    </row>
    <row r="4196">
      <c r="A4196" s="76" t="s">
        <v>45</v>
      </c>
      <c r="B4196" s="76" t="s">
        <v>1025</v>
      </c>
      <c r="C4196" s="84">
        <v>0.66</v>
      </c>
      <c r="D4196" s="84">
        <v>0.0</v>
      </c>
      <c r="E4196" s="84">
        <v>0.0</v>
      </c>
      <c r="F4196" s="76" t="s">
        <v>990</v>
      </c>
      <c r="G4196" s="83">
        <v>46113.0</v>
      </c>
      <c r="H4196" s="76" t="s">
        <v>936</v>
      </c>
    </row>
    <row r="4197">
      <c r="A4197" s="76" t="s">
        <v>45</v>
      </c>
      <c r="B4197" s="76" t="s">
        <v>1025</v>
      </c>
      <c r="C4197" s="84">
        <v>0.38</v>
      </c>
      <c r="D4197" s="84">
        <v>0.0</v>
      </c>
      <c r="E4197" s="84">
        <v>0.0</v>
      </c>
      <c r="F4197" s="76" t="s">
        <v>990</v>
      </c>
      <c r="G4197" s="83">
        <v>46113.0</v>
      </c>
      <c r="H4197" s="76" t="s">
        <v>937</v>
      </c>
    </row>
    <row r="4198">
      <c r="A4198" s="76" t="s">
        <v>45</v>
      </c>
      <c r="B4198" s="76" t="s">
        <v>1025</v>
      </c>
      <c r="C4198" s="84">
        <v>1.3</v>
      </c>
      <c r="D4198" s="84">
        <v>0.0</v>
      </c>
      <c r="E4198" s="84">
        <v>0.0</v>
      </c>
      <c r="F4198" s="76" t="s">
        <v>990</v>
      </c>
      <c r="G4198" s="83">
        <v>46113.0</v>
      </c>
      <c r="H4198" s="76" t="s">
        <v>938</v>
      </c>
    </row>
    <row r="4199">
      <c r="A4199" s="76" t="s">
        <v>50</v>
      </c>
      <c r="B4199" s="76" t="s">
        <v>1025</v>
      </c>
      <c r="C4199" s="84">
        <v>1.26</v>
      </c>
      <c r="D4199" s="84">
        <v>0.0</v>
      </c>
      <c r="E4199" s="84">
        <v>0.0</v>
      </c>
      <c r="F4199" s="76" t="s">
        <v>990</v>
      </c>
      <c r="G4199" s="83">
        <v>46113.0</v>
      </c>
      <c r="H4199" s="76" t="s">
        <v>939</v>
      </c>
    </row>
    <row r="4200">
      <c r="A4200" s="76" t="s">
        <v>50</v>
      </c>
      <c r="B4200" s="76" t="s">
        <v>1025</v>
      </c>
      <c r="C4200" s="84">
        <v>1.43</v>
      </c>
      <c r="D4200" s="84">
        <v>0.0</v>
      </c>
      <c r="E4200" s="84">
        <v>0.0</v>
      </c>
      <c r="F4200" s="76" t="s">
        <v>990</v>
      </c>
      <c r="G4200" s="83">
        <v>46113.0</v>
      </c>
      <c r="H4200" s="76" t="s">
        <v>940</v>
      </c>
    </row>
    <row r="4201">
      <c r="A4201" s="76" t="s">
        <v>32</v>
      </c>
      <c r="B4201" s="76" t="s">
        <v>1025</v>
      </c>
      <c r="C4201" s="84">
        <v>2.67</v>
      </c>
      <c r="D4201" s="84">
        <v>0.0</v>
      </c>
      <c r="E4201" s="84">
        <v>0.0</v>
      </c>
      <c r="F4201" s="76" t="s">
        <v>990</v>
      </c>
      <c r="G4201" s="83">
        <v>46113.0</v>
      </c>
      <c r="H4201" s="76" t="s">
        <v>941</v>
      </c>
    </row>
    <row r="4202">
      <c r="A4202" s="76" t="s">
        <v>32</v>
      </c>
      <c r="B4202" s="76" t="s">
        <v>1025</v>
      </c>
      <c r="C4202" s="84">
        <v>0.92</v>
      </c>
      <c r="D4202" s="84">
        <v>0.0</v>
      </c>
      <c r="E4202" s="84">
        <v>0.0</v>
      </c>
      <c r="F4202" s="76" t="s">
        <v>990</v>
      </c>
      <c r="G4202" s="83">
        <v>46113.0</v>
      </c>
      <c r="H4202" s="76" t="s">
        <v>942</v>
      </c>
    </row>
    <row r="4203">
      <c r="A4203" s="76" t="s">
        <v>32</v>
      </c>
      <c r="B4203" s="76" t="s">
        <v>1025</v>
      </c>
      <c r="C4203" s="84">
        <v>2.4</v>
      </c>
      <c r="D4203" s="84">
        <v>0.0</v>
      </c>
      <c r="E4203" s="84">
        <v>0.0</v>
      </c>
      <c r="F4203" s="76" t="s">
        <v>990</v>
      </c>
      <c r="G4203" s="83">
        <v>46113.0</v>
      </c>
      <c r="H4203" s="76" t="s">
        <v>943</v>
      </c>
    </row>
    <row r="4204">
      <c r="A4204" s="76" t="s">
        <v>944</v>
      </c>
      <c r="B4204" s="76" t="s">
        <v>1025</v>
      </c>
      <c r="C4204" s="84">
        <v>3.23</v>
      </c>
      <c r="D4204" s="84">
        <v>0.0</v>
      </c>
      <c r="E4204" s="84">
        <v>0.0</v>
      </c>
      <c r="F4204" s="76" t="s">
        <v>990</v>
      </c>
      <c r="G4204" s="83">
        <v>46113.0</v>
      </c>
      <c r="H4204" s="76" t="s">
        <v>945</v>
      </c>
    </row>
    <row r="4205">
      <c r="A4205" s="76" t="s">
        <v>944</v>
      </c>
      <c r="B4205" s="76" t="s">
        <v>1025</v>
      </c>
      <c r="C4205" s="84">
        <v>0.61</v>
      </c>
      <c r="D4205" s="84">
        <v>0.0</v>
      </c>
      <c r="E4205" s="84">
        <v>0.0</v>
      </c>
      <c r="F4205" s="76" t="s">
        <v>990</v>
      </c>
      <c r="G4205" s="83">
        <v>46113.0</v>
      </c>
      <c r="H4205" s="76" t="s">
        <v>946</v>
      </c>
    </row>
    <row r="4206">
      <c r="A4206" s="76" t="s">
        <v>944</v>
      </c>
      <c r="B4206" s="76" t="s">
        <v>1025</v>
      </c>
      <c r="C4206" s="84">
        <v>1.15</v>
      </c>
      <c r="D4206" s="84">
        <v>0.0</v>
      </c>
      <c r="E4206" s="84">
        <v>0.0</v>
      </c>
      <c r="F4206" s="76" t="s">
        <v>990</v>
      </c>
      <c r="G4206" s="83">
        <v>46113.0</v>
      </c>
      <c r="H4206" s="76" t="s">
        <v>947</v>
      </c>
    </row>
    <row r="4207">
      <c r="A4207" s="76" t="s">
        <v>26</v>
      </c>
      <c r="B4207" s="76" t="s">
        <v>1025</v>
      </c>
      <c r="C4207" s="84">
        <v>0.89</v>
      </c>
      <c r="D4207" s="84">
        <v>0.0</v>
      </c>
      <c r="E4207" s="84">
        <v>0.0</v>
      </c>
      <c r="F4207" s="76" t="s">
        <v>990</v>
      </c>
      <c r="G4207" s="83">
        <v>46113.0</v>
      </c>
      <c r="H4207" s="76" t="s">
        <v>1012</v>
      </c>
    </row>
    <row r="4208">
      <c r="A4208" s="76" t="s">
        <v>26</v>
      </c>
      <c r="B4208" s="76" t="s">
        <v>1025</v>
      </c>
      <c r="C4208" s="84">
        <v>1.69</v>
      </c>
      <c r="D4208" s="84">
        <v>0.0</v>
      </c>
      <c r="E4208" s="84">
        <v>0.0</v>
      </c>
      <c r="F4208" s="76" t="s">
        <v>990</v>
      </c>
      <c r="G4208" s="83">
        <v>46113.0</v>
      </c>
      <c r="H4208" s="76" t="s">
        <v>1013</v>
      </c>
    </row>
    <row r="4209">
      <c r="A4209" s="76" t="s">
        <v>26</v>
      </c>
      <c r="B4209" s="76" t="s">
        <v>1025</v>
      </c>
      <c r="C4209" s="84">
        <v>1.9</v>
      </c>
      <c r="D4209" s="84">
        <v>0.0</v>
      </c>
      <c r="E4209" s="84">
        <v>0.0</v>
      </c>
      <c r="F4209" s="76" t="s">
        <v>990</v>
      </c>
      <c r="G4209" s="83">
        <v>46113.0</v>
      </c>
      <c r="H4209" s="76" t="s">
        <v>1014</v>
      </c>
    </row>
    <row r="4210">
      <c r="A4210" s="76" t="s">
        <v>36</v>
      </c>
      <c r="B4210" s="76" t="s">
        <v>1025</v>
      </c>
      <c r="C4210" s="84">
        <v>3.3</v>
      </c>
      <c r="D4210" s="84">
        <v>0.0</v>
      </c>
      <c r="E4210" s="84">
        <v>0.0</v>
      </c>
      <c r="F4210" s="76" t="s">
        <v>993</v>
      </c>
      <c r="G4210" s="83">
        <v>46113.0</v>
      </c>
      <c r="H4210" s="76" t="s">
        <v>926</v>
      </c>
    </row>
    <row r="4211">
      <c r="A4211" s="76" t="s">
        <v>36</v>
      </c>
      <c r="B4211" s="76" t="s">
        <v>1025</v>
      </c>
      <c r="C4211" s="84">
        <v>1.43</v>
      </c>
      <c r="D4211" s="84">
        <v>0.0</v>
      </c>
      <c r="E4211" s="84">
        <v>0.0</v>
      </c>
      <c r="F4211" s="76" t="s">
        <v>993</v>
      </c>
      <c r="G4211" s="83">
        <v>46113.0</v>
      </c>
      <c r="H4211" s="76" t="s">
        <v>927</v>
      </c>
    </row>
    <row r="4212">
      <c r="A4212" s="76" t="s">
        <v>36</v>
      </c>
      <c r="B4212" s="76" t="s">
        <v>1025</v>
      </c>
      <c r="C4212" s="84">
        <v>1.39</v>
      </c>
      <c r="D4212" s="84">
        <v>0.0</v>
      </c>
      <c r="E4212" s="84">
        <v>0.0</v>
      </c>
      <c r="F4212" s="76" t="s">
        <v>993</v>
      </c>
      <c r="G4212" s="83">
        <v>46113.0</v>
      </c>
      <c r="H4212" s="76" t="s">
        <v>928</v>
      </c>
    </row>
    <row r="4213">
      <c r="A4213" s="76" t="s">
        <v>31</v>
      </c>
      <c r="B4213" s="76" t="s">
        <v>1025</v>
      </c>
      <c r="C4213" s="84">
        <v>2.98</v>
      </c>
      <c r="D4213" s="84">
        <v>0.0</v>
      </c>
      <c r="E4213" s="84">
        <v>0.0</v>
      </c>
      <c r="F4213" s="76" t="s">
        <v>993</v>
      </c>
      <c r="G4213" s="83">
        <v>46113.0</v>
      </c>
      <c r="H4213" s="76" t="s">
        <v>929</v>
      </c>
    </row>
    <row r="4214">
      <c r="A4214" s="76" t="s">
        <v>31</v>
      </c>
      <c r="B4214" s="76" t="s">
        <v>1025</v>
      </c>
      <c r="C4214" s="84">
        <v>21.96</v>
      </c>
      <c r="D4214" s="84">
        <v>1.0</v>
      </c>
      <c r="E4214" s="84">
        <v>21.96</v>
      </c>
      <c r="F4214" s="76" t="s">
        <v>993</v>
      </c>
      <c r="G4214" s="83">
        <v>46113.0</v>
      </c>
      <c r="H4214" s="76" t="s">
        <v>930</v>
      </c>
    </row>
    <row r="4215">
      <c r="A4215" s="76" t="s">
        <v>28</v>
      </c>
      <c r="B4215" s="76" t="s">
        <v>1025</v>
      </c>
      <c r="C4215" s="84">
        <v>0.52</v>
      </c>
      <c r="D4215" s="84">
        <v>0.0</v>
      </c>
      <c r="E4215" s="84">
        <v>0.0</v>
      </c>
      <c r="F4215" s="76" t="s">
        <v>993</v>
      </c>
      <c r="G4215" s="83">
        <v>46113.0</v>
      </c>
      <c r="H4215" s="76" t="s">
        <v>931</v>
      </c>
    </row>
    <row r="4216">
      <c r="A4216" s="76" t="s">
        <v>28</v>
      </c>
      <c r="B4216" s="76" t="s">
        <v>1025</v>
      </c>
      <c r="C4216" s="84">
        <v>0.91</v>
      </c>
      <c r="D4216" s="84">
        <v>0.0</v>
      </c>
      <c r="E4216" s="84">
        <v>0.0</v>
      </c>
      <c r="F4216" s="76" t="s">
        <v>993</v>
      </c>
      <c r="G4216" s="83">
        <v>46113.0</v>
      </c>
      <c r="H4216" s="76" t="s">
        <v>932</v>
      </c>
    </row>
    <row r="4217">
      <c r="A4217" s="76" t="s">
        <v>28</v>
      </c>
      <c r="B4217" s="76" t="s">
        <v>1025</v>
      </c>
      <c r="C4217" s="84">
        <v>7.92</v>
      </c>
      <c r="D4217" s="84">
        <v>0.0</v>
      </c>
      <c r="E4217" s="84">
        <v>0.0</v>
      </c>
      <c r="F4217" s="76" t="s">
        <v>993</v>
      </c>
      <c r="G4217" s="83">
        <v>46113.0</v>
      </c>
      <c r="H4217" s="76" t="s">
        <v>933</v>
      </c>
    </row>
    <row r="4218">
      <c r="A4218" s="76" t="s">
        <v>42</v>
      </c>
      <c r="B4218" s="76" t="s">
        <v>1025</v>
      </c>
      <c r="C4218" s="84">
        <v>0.23</v>
      </c>
      <c r="D4218" s="84">
        <v>0.0</v>
      </c>
      <c r="E4218" s="84">
        <v>0.0</v>
      </c>
      <c r="F4218" s="76" t="s">
        <v>993</v>
      </c>
      <c r="G4218" s="83">
        <v>46113.0</v>
      </c>
      <c r="H4218" s="76" t="s">
        <v>991</v>
      </c>
    </row>
    <row r="4219">
      <c r="A4219" s="76" t="s">
        <v>42</v>
      </c>
      <c r="B4219" s="76" t="s">
        <v>1025</v>
      </c>
      <c r="C4219" s="84">
        <v>4.94</v>
      </c>
      <c r="D4219" s="84">
        <v>0.0</v>
      </c>
      <c r="E4219" s="84">
        <v>0.0</v>
      </c>
      <c r="F4219" s="76" t="s">
        <v>993</v>
      </c>
      <c r="G4219" s="83">
        <v>46113.0</v>
      </c>
      <c r="H4219" s="76" t="s">
        <v>935</v>
      </c>
    </row>
    <row r="4220">
      <c r="A4220" s="76" t="s">
        <v>45</v>
      </c>
      <c r="B4220" s="76" t="s">
        <v>1025</v>
      </c>
      <c r="C4220" s="84">
        <v>1.36</v>
      </c>
      <c r="D4220" s="84">
        <v>0.0</v>
      </c>
      <c r="E4220" s="84">
        <v>0.0</v>
      </c>
      <c r="F4220" s="76" t="s">
        <v>993</v>
      </c>
      <c r="G4220" s="83">
        <v>46113.0</v>
      </c>
      <c r="H4220" s="76" t="s">
        <v>936</v>
      </c>
    </row>
    <row r="4221">
      <c r="A4221" s="76" t="s">
        <v>45</v>
      </c>
      <c r="B4221" s="76" t="s">
        <v>1025</v>
      </c>
      <c r="C4221" s="84">
        <v>1.17</v>
      </c>
      <c r="D4221" s="84">
        <v>0.0</v>
      </c>
      <c r="E4221" s="84">
        <v>0.0</v>
      </c>
      <c r="F4221" s="76" t="s">
        <v>993</v>
      </c>
      <c r="G4221" s="83">
        <v>46113.0</v>
      </c>
      <c r="H4221" s="76" t="s">
        <v>937</v>
      </c>
    </row>
    <row r="4222">
      <c r="A4222" s="76" t="s">
        <v>45</v>
      </c>
      <c r="B4222" s="76" t="s">
        <v>1025</v>
      </c>
      <c r="C4222" s="84">
        <v>3.74</v>
      </c>
      <c r="D4222" s="84">
        <v>0.0</v>
      </c>
      <c r="E4222" s="84">
        <v>0.0</v>
      </c>
      <c r="F4222" s="76" t="s">
        <v>993</v>
      </c>
      <c r="G4222" s="83">
        <v>46113.0</v>
      </c>
      <c r="H4222" s="76" t="s">
        <v>938</v>
      </c>
    </row>
    <row r="4223">
      <c r="A4223" s="76" t="s">
        <v>50</v>
      </c>
      <c r="B4223" s="76" t="s">
        <v>1025</v>
      </c>
      <c r="C4223" s="84">
        <v>1.49</v>
      </c>
      <c r="D4223" s="84">
        <v>0.0</v>
      </c>
      <c r="E4223" s="84">
        <v>0.0</v>
      </c>
      <c r="F4223" s="76" t="s">
        <v>993</v>
      </c>
      <c r="G4223" s="83">
        <v>46113.0</v>
      </c>
      <c r="H4223" s="76" t="s">
        <v>939</v>
      </c>
    </row>
    <row r="4224">
      <c r="A4224" s="76" t="s">
        <v>50</v>
      </c>
      <c r="B4224" s="76" t="s">
        <v>1025</v>
      </c>
      <c r="C4224" s="84">
        <v>1.65</v>
      </c>
      <c r="D4224" s="84">
        <v>0.0</v>
      </c>
      <c r="E4224" s="84">
        <v>0.0</v>
      </c>
      <c r="F4224" s="76" t="s">
        <v>993</v>
      </c>
      <c r="G4224" s="83">
        <v>46113.0</v>
      </c>
      <c r="H4224" s="76" t="s">
        <v>940</v>
      </c>
    </row>
    <row r="4225">
      <c r="A4225" s="76" t="s">
        <v>32</v>
      </c>
      <c r="B4225" s="76" t="s">
        <v>1025</v>
      </c>
      <c r="C4225" s="84">
        <v>4.03</v>
      </c>
      <c r="D4225" s="84">
        <v>0.0</v>
      </c>
      <c r="E4225" s="84">
        <v>0.0</v>
      </c>
      <c r="F4225" s="76" t="s">
        <v>993</v>
      </c>
      <c r="G4225" s="83">
        <v>46113.0</v>
      </c>
      <c r="H4225" s="76" t="s">
        <v>941</v>
      </c>
    </row>
    <row r="4226">
      <c r="A4226" s="76" t="s">
        <v>32</v>
      </c>
      <c r="B4226" s="76" t="s">
        <v>1025</v>
      </c>
      <c r="C4226" s="84">
        <v>1.48</v>
      </c>
      <c r="D4226" s="84">
        <v>0.0</v>
      </c>
      <c r="E4226" s="84">
        <v>0.0</v>
      </c>
      <c r="F4226" s="76" t="s">
        <v>993</v>
      </c>
      <c r="G4226" s="83">
        <v>46113.0</v>
      </c>
      <c r="H4226" s="76" t="s">
        <v>942</v>
      </c>
    </row>
    <row r="4227">
      <c r="A4227" s="76" t="s">
        <v>32</v>
      </c>
      <c r="B4227" s="76" t="s">
        <v>1025</v>
      </c>
      <c r="C4227" s="84">
        <v>2.72</v>
      </c>
      <c r="D4227" s="84">
        <v>0.0</v>
      </c>
      <c r="E4227" s="84">
        <v>0.0</v>
      </c>
      <c r="F4227" s="76" t="s">
        <v>993</v>
      </c>
      <c r="G4227" s="83">
        <v>46113.0</v>
      </c>
      <c r="H4227" s="76" t="s">
        <v>943</v>
      </c>
    </row>
    <row r="4228">
      <c r="A4228" s="76" t="s">
        <v>944</v>
      </c>
      <c r="B4228" s="76" t="s">
        <v>1025</v>
      </c>
      <c r="C4228" s="84">
        <v>4.87</v>
      </c>
      <c r="D4228" s="84">
        <v>0.0</v>
      </c>
      <c r="E4228" s="84">
        <v>0.0</v>
      </c>
      <c r="F4228" s="76" t="s">
        <v>993</v>
      </c>
      <c r="G4228" s="83">
        <v>46113.0</v>
      </c>
      <c r="H4228" s="76" t="s">
        <v>945</v>
      </c>
    </row>
    <row r="4229">
      <c r="A4229" s="76" t="s">
        <v>944</v>
      </c>
      <c r="B4229" s="76" t="s">
        <v>1025</v>
      </c>
      <c r="C4229" s="84">
        <v>0.56</v>
      </c>
      <c r="D4229" s="84">
        <v>0.0</v>
      </c>
      <c r="E4229" s="84">
        <v>0.0</v>
      </c>
      <c r="F4229" s="76" t="s">
        <v>993</v>
      </c>
      <c r="G4229" s="83">
        <v>46113.0</v>
      </c>
      <c r="H4229" s="76" t="s">
        <v>946</v>
      </c>
    </row>
    <row r="4230">
      <c r="A4230" s="76" t="s">
        <v>944</v>
      </c>
      <c r="B4230" s="76" t="s">
        <v>1025</v>
      </c>
      <c r="C4230" s="84">
        <v>1.58</v>
      </c>
      <c r="D4230" s="84">
        <v>0.0</v>
      </c>
      <c r="E4230" s="84">
        <v>0.0</v>
      </c>
      <c r="F4230" s="76" t="s">
        <v>993</v>
      </c>
      <c r="G4230" s="83">
        <v>46113.0</v>
      </c>
      <c r="H4230" s="76" t="s">
        <v>947</v>
      </c>
    </row>
    <row r="4231">
      <c r="A4231" s="76" t="s">
        <v>26</v>
      </c>
      <c r="B4231" s="76" t="s">
        <v>1025</v>
      </c>
      <c r="C4231" s="84">
        <v>1.13</v>
      </c>
      <c r="D4231" s="84">
        <v>0.0</v>
      </c>
      <c r="E4231" s="84">
        <v>0.0</v>
      </c>
      <c r="F4231" s="76" t="s">
        <v>993</v>
      </c>
      <c r="G4231" s="83">
        <v>46113.0</v>
      </c>
      <c r="H4231" s="76" t="s">
        <v>1012</v>
      </c>
    </row>
    <row r="4232">
      <c r="A4232" s="76" t="s">
        <v>26</v>
      </c>
      <c r="B4232" s="76" t="s">
        <v>1025</v>
      </c>
      <c r="C4232" s="84">
        <v>2.13</v>
      </c>
      <c r="D4232" s="84">
        <v>0.0</v>
      </c>
      <c r="E4232" s="84">
        <v>0.0</v>
      </c>
      <c r="F4232" s="76" t="s">
        <v>993</v>
      </c>
      <c r="G4232" s="83">
        <v>46113.0</v>
      </c>
      <c r="H4232" s="76" t="s">
        <v>1013</v>
      </c>
    </row>
    <row r="4233">
      <c r="A4233" s="76" t="s">
        <v>26</v>
      </c>
      <c r="B4233" s="76" t="s">
        <v>1025</v>
      </c>
      <c r="C4233" s="84">
        <v>2.89</v>
      </c>
      <c r="D4233" s="84">
        <v>0.0</v>
      </c>
      <c r="E4233" s="84">
        <v>0.0</v>
      </c>
      <c r="F4233" s="76" t="s">
        <v>993</v>
      </c>
      <c r="G4233" s="83">
        <v>46113.0</v>
      </c>
      <c r="H4233" s="76" t="s">
        <v>1014</v>
      </c>
    </row>
    <row r="4234">
      <c r="A4234" s="76" t="s">
        <v>36</v>
      </c>
      <c r="B4234" s="76" t="s">
        <v>1025</v>
      </c>
      <c r="C4234" s="84">
        <v>3.81</v>
      </c>
      <c r="D4234" s="84">
        <v>0.0</v>
      </c>
      <c r="E4234" s="84">
        <v>0.0</v>
      </c>
      <c r="F4234" s="76" t="s">
        <v>994</v>
      </c>
      <c r="G4234" s="83">
        <v>46113.0</v>
      </c>
      <c r="H4234" s="76" t="s">
        <v>926</v>
      </c>
    </row>
    <row r="4235">
      <c r="A4235" s="76" t="s">
        <v>36</v>
      </c>
      <c r="B4235" s="76" t="s">
        <v>1025</v>
      </c>
      <c r="C4235" s="84">
        <v>1.64</v>
      </c>
      <c r="D4235" s="84">
        <v>0.0</v>
      </c>
      <c r="E4235" s="84">
        <v>0.0</v>
      </c>
      <c r="F4235" s="76" t="s">
        <v>994</v>
      </c>
      <c r="G4235" s="83">
        <v>46113.0</v>
      </c>
      <c r="H4235" s="76" t="s">
        <v>927</v>
      </c>
    </row>
    <row r="4236">
      <c r="A4236" s="76" t="s">
        <v>36</v>
      </c>
      <c r="B4236" s="76" t="s">
        <v>1025</v>
      </c>
      <c r="C4236" s="84">
        <v>1.61</v>
      </c>
      <c r="D4236" s="84">
        <v>0.0</v>
      </c>
      <c r="E4236" s="84">
        <v>0.0</v>
      </c>
      <c r="F4236" s="76" t="s">
        <v>994</v>
      </c>
      <c r="G4236" s="83">
        <v>46113.0</v>
      </c>
      <c r="H4236" s="76" t="s">
        <v>928</v>
      </c>
    </row>
    <row r="4237">
      <c r="A4237" s="76" t="s">
        <v>31</v>
      </c>
      <c r="B4237" s="76" t="s">
        <v>1025</v>
      </c>
      <c r="C4237" s="84">
        <v>1.93</v>
      </c>
      <c r="D4237" s="84">
        <v>0.0</v>
      </c>
      <c r="E4237" s="84">
        <v>0.0</v>
      </c>
      <c r="F4237" s="76" t="s">
        <v>994</v>
      </c>
      <c r="G4237" s="83">
        <v>46113.0</v>
      </c>
      <c r="H4237" s="76" t="s">
        <v>929</v>
      </c>
    </row>
    <row r="4238">
      <c r="A4238" s="76" t="s">
        <v>31</v>
      </c>
      <c r="B4238" s="76" t="s">
        <v>1025</v>
      </c>
      <c r="C4238" s="84">
        <v>16.25</v>
      </c>
      <c r="D4238" s="84">
        <v>0.0</v>
      </c>
      <c r="E4238" s="84">
        <v>0.0</v>
      </c>
      <c r="F4238" s="76" t="s">
        <v>994</v>
      </c>
      <c r="G4238" s="83">
        <v>46113.0</v>
      </c>
      <c r="H4238" s="76" t="s">
        <v>930</v>
      </c>
    </row>
    <row r="4239">
      <c r="A4239" s="76" t="s">
        <v>28</v>
      </c>
      <c r="B4239" s="76" t="s">
        <v>1025</v>
      </c>
      <c r="C4239" s="84">
        <v>0.39</v>
      </c>
      <c r="D4239" s="84">
        <v>0.0</v>
      </c>
      <c r="E4239" s="84">
        <v>0.0</v>
      </c>
      <c r="F4239" s="76" t="s">
        <v>994</v>
      </c>
      <c r="G4239" s="83">
        <v>46113.0</v>
      </c>
      <c r="H4239" s="76" t="s">
        <v>931</v>
      </c>
    </row>
    <row r="4240">
      <c r="A4240" s="76" t="s">
        <v>28</v>
      </c>
      <c r="B4240" s="76" t="s">
        <v>1025</v>
      </c>
      <c r="C4240" s="84">
        <v>0.74</v>
      </c>
      <c r="D4240" s="84">
        <v>0.0</v>
      </c>
      <c r="E4240" s="84">
        <v>0.0</v>
      </c>
      <c r="F4240" s="76" t="s">
        <v>994</v>
      </c>
      <c r="G4240" s="83">
        <v>46113.0</v>
      </c>
      <c r="H4240" s="76" t="s">
        <v>932</v>
      </c>
    </row>
    <row r="4241">
      <c r="A4241" s="76" t="s">
        <v>28</v>
      </c>
      <c r="B4241" s="76" t="s">
        <v>1025</v>
      </c>
      <c r="C4241" s="84">
        <v>7.17</v>
      </c>
      <c r="D4241" s="84">
        <v>0.0</v>
      </c>
      <c r="E4241" s="84">
        <v>0.0</v>
      </c>
      <c r="F4241" s="76" t="s">
        <v>994</v>
      </c>
      <c r="G4241" s="83">
        <v>46113.0</v>
      </c>
      <c r="H4241" s="76" t="s">
        <v>933</v>
      </c>
    </row>
    <row r="4242">
      <c r="A4242" s="76" t="s">
        <v>42</v>
      </c>
      <c r="B4242" s="76" t="s">
        <v>1025</v>
      </c>
      <c r="C4242" s="84">
        <v>0.15</v>
      </c>
      <c r="D4242" s="84">
        <v>0.0</v>
      </c>
      <c r="E4242" s="84">
        <v>0.0</v>
      </c>
      <c r="F4242" s="76" t="s">
        <v>994</v>
      </c>
      <c r="G4242" s="83">
        <v>46113.0</v>
      </c>
      <c r="H4242" s="76" t="s">
        <v>991</v>
      </c>
    </row>
    <row r="4243">
      <c r="A4243" s="76" t="s">
        <v>42</v>
      </c>
      <c r="B4243" s="76" t="s">
        <v>1025</v>
      </c>
      <c r="C4243" s="84">
        <v>3.96</v>
      </c>
      <c r="D4243" s="84">
        <v>0.0</v>
      </c>
      <c r="E4243" s="84">
        <v>0.0</v>
      </c>
      <c r="F4243" s="76" t="s">
        <v>994</v>
      </c>
      <c r="G4243" s="83">
        <v>46113.0</v>
      </c>
      <c r="H4243" s="76" t="s">
        <v>935</v>
      </c>
    </row>
    <row r="4244">
      <c r="A4244" s="76" t="s">
        <v>45</v>
      </c>
      <c r="B4244" s="76" t="s">
        <v>1025</v>
      </c>
      <c r="C4244" s="84">
        <v>0.55</v>
      </c>
      <c r="D4244" s="84">
        <v>0.0</v>
      </c>
      <c r="E4244" s="84">
        <v>0.0</v>
      </c>
      <c r="F4244" s="76" t="s">
        <v>994</v>
      </c>
      <c r="G4244" s="83">
        <v>46113.0</v>
      </c>
      <c r="H4244" s="76" t="s">
        <v>936</v>
      </c>
    </row>
    <row r="4245">
      <c r="A4245" s="76" t="s">
        <v>45</v>
      </c>
      <c r="B4245" s="76" t="s">
        <v>1025</v>
      </c>
      <c r="C4245" s="84">
        <v>0.44</v>
      </c>
      <c r="D4245" s="84">
        <v>0.0</v>
      </c>
      <c r="E4245" s="84">
        <v>0.0</v>
      </c>
      <c r="F4245" s="76" t="s">
        <v>994</v>
      </c>
      <c r="G4245" s="83">
        <v>46113.0</v>
      </c>
      <c r="H4245" s="76" t="s">
        <v>937</v>
      </c>
    </row>
    <row r="4246">
      <c r="A4246" s="76" t="s">
        <v>45</v>
      </c>
      <c r="B4246" s="76" t="s">
        <v>1025</v>
      </c>
      <c r="C4246" s="84">
        <v>1.11</v>
      </c>
      <c r="D4246" s="84">
        <v>0.0</v>
      </c>
      <c r="E4246" s="84">
        <v>0.0</v>
      </c>
      <c r="F4246" s="76" t="s">
        <v>994</v>
      </c>
      <c r="G4246" s="83">
        <v>46113.0</v>
      </c>
      <c r="H4246" s="76" t="s">
        <v>938</v>
      </c>
    </row>
    <row r="4247">
      <c r="A4247" s="76" t="s">
        <v>50</v>
      </c>
      <c r="B4247" s="76" t="s">
        <v>1025</v>
      </c>
      <c r="C4247" s="84">
        <v>1.18</v>
      </c>
      <c r="D4247" s="84">
        <v>0.0</v>
      </c>
      <c r="E4247" s="84">
        <v>0.0</v>
      </c>
      <c r="F4247" s="76" t="s">
        <v>994</v>
      </c>
      <c r="G4247" s="83">
        <v>46113.0</v>
      </c>
      <c r="H4247" s="76" t="s">
        <v>939</v>
      </c>
    </row>
    <row r="4248">
      <c r="A4248" s="76" t="s">
        <v>50</v>
      </c>
      <c r="B4248" s="76" t="s">
        <v>1025</v>
      </c>
      <c r="C4248" s="84">
        <v>1.17</v>
      </c>
      <c r="D4248" s="84">
        <v>0.0</v>
      </c>
      <c r="E4248" s="84">
        <v>0.0</v>
      </c>
      <c r="F4248" s="76" t="s">
        <v>994</v>
      </c>
      <c r="G4248" s="83">
        <v>46113.0</v>
      </c>
      <c r="H4248" s="76" t="s">
        <v>940</v>
      </c>
    </row>
    <row r="4249">
      <c r="A4249" s="76" t="s">
        <v>32</v>
      </c>
      <c r="B4249" s="76" t="s">
        <v>1025</v>
      </c>
      <c r="C4249" s="84">
        <v>2.84</v>
      </c>
      <c r="D4249" s="84">
        <v>0.0</v>
      </c>
      <c r="E4249" s="84">
        <v>0.0</v>
      </c>
      <c r="F4249" s="76" t="s">
        <v>994</v>
      </c>
      <c r="G4249" s="83">
        <v>46113.0</v>
      </c>
      <c r="H4249" s="76" t="s">
        <v>941</v>
      </c>
    </row>
    <row r="4250">
      <c r="A4250" s="76" t="s">
        <v>32</v>
      </c>
      <c r="B4250" s="76" t="s">
        <v>1025</v>
      </c>
      <c r="C4250" s="84">
        <v>1.05</v>
      </c>
      <c r="D4250" s="84">
        <v>0.0</v>
      </c>
      <c r="E4250" s="84">
        <v>0.0</v>
      </c>
      <c r="F4250" s="76" t="s">
        <v>994</v>
      </c>
      <c r="G4250" s="83">
        <v>46113.0</v>
      </c>
      <c r="H4250" s="76" t="s">
        <v>942</v>
      </c>
    </row>
    <row r="4251">
      <c r="A4251" s="76" t="s">
        <v>32</v>
      </c>
      <c r="B4251" s="76" t="s">
        <v>1025</v>
      </c>
      <c r="C4251" s="84">
        <v>2.19</v>
      </c>
      <c r="D4251" s="84">
        <v>0.0</v>
      </c>
      <c r="E4251" s="84">
        <v>0.0</v>
      </c>
      <c r="F4251" s="76" t="s">
        <v>994</v>
      </c>
      <c r="G4251" s="83">
        <v>46113.0</v>
      </c>
      <c r="H4251" s="76" t="s">
        <v>943</v>
      </c>
    </row>
    <row r="4252">
      <c r="A4252" s="76" t="s">
        <v>944</v>
      </c>
      <c r="B4252" s="76" t="s">
        <v>1025</v>
      </c>
      <c r="C4252" s="84">
        <v>6.28</v>
      </c>
      <c r="D4252" s="84">
        <v>0.0</v>
      </c>
      <c r="E4252" s="84">
        <v>0.0</v>
      </c>
      <c r="F4252" s="76" t="s">
        <v>994</v>
      </c>
      <c r="G4252" s="83">
        <v>46113.0</v>
      </c>
      <c r="H4252" s="76" t="s">
        <v>945</v>
      </c>
    </row>
    <row r="4253">
      <c r="A4253" s="76" t="s">
        <v>944</v>
      </c>
      <c r="B4253" s="76" t="s">
        <v>1025</v>
      </c>
      <c r="C4253" s="84">
        <v>0.58</v>
      </c>
      <c r="D4253" s="84">
        <v>0.0</v>
      </c>
      <c r="E4253" s="84">
        <v>0.0</v>
      </c>
      <c r="F4253" s="76" t="s">
        <v>994</v>
      </c>
      <c r="G4253" s="83">
        <v>46113.0</v>
      </c>
      <c r="H4253" s="76" t="s">
        <v>946</v>
      </c>
    </row>
    <row r="4254">
      <c r="A4254" s="76" t="s">
        <v>944</v>
      </c>
      <c r="B4254" s="76" t="s">
        <v>1025</v>
      </c>
      <c r="C4254" s="84">
        <v>1.59</v>
      </c>
      <c r="D4254" s="84">
        <v>0.0</v>
      </c>
      <c r="E4254" s="84">
        <v>0.0</v>
      </c>
      <c r="F4254" s="76" t="s">
        <v>994</v>
      </c>
      <c r="G4254" s="83">
        <v>46113.0</v>
      </c>
      <c r="H4254" s="76" t="s">
        <v>947</v>
      </c>
    </row>
    <row r="4255">
      <c r="A4255" s="76" t="s">
        <v>26</v>
      </c>
      <c r="B4255" s="76" t="s">
        <v>1025</v>
      </c>
      <c r="C4255" s="84">
        <v>0.92</v>
      </c>
      <c r="D4255" s="84">
        <v>0.0</v>
      </c>
      <c r="E4255" s="84">
        <v>0.0</v>
      </c>
      <c r="F4255" s="76" t="s">
        <v>994</v>
      </c>
      <c r="G4255" s="83">
        <v>46113.0</v>
      </c>
      <c r="H4255" s="76" t="s">
        <v>1012</v>
      </c>
    </row>
    <row r="4256">
      <c r="A4256" s="76" t="s">
        <v>26</v>
      </c>
      <c r="B4256" s="76" t="s">
        <v>1025</v>
      </c>
      <c r="C4256" s="84">
        <v>1.88</v>
      </c>
      <c r="D4256" s="84">
        <v>0.0</v>
      </c>
      <c r="E4256" s="84">
        <v>0.0</v>
      </c>
      <c r="F4256" s="76" t="s">
        <v>994</v>
      </c>
      <c r="G4256" s="83">
        <v>46113.0</v>
      </c>
      <c r="H4256" s="76" t="s">
        <v>1013</v>
      </c>
    </row>
    <row r="4257">
      <c r="A4257" s="76" t="s">
        <v>26</v>
      </c>
      <c r="B4257" s="76" t="s">
        <v>1025</v>
      </c>
      <c r="C4257" s="84">
        <v>1.97</v>
      </c>
      <c r="D4257" s="84">
        <v>0.0</v>
      </c>
      <c r="E4257" s="84">
        <v>0.0</v>
      </c>
      <c r="F4257" s="76" t="s">
        <v>994</v>
      </c>
      <c r="G4257" s="83">
        <v>46113.0</v>
      </c>
      <c r="H4257" s="76" t="s">
        <v>1014</v>
      </c>
    </row>
    <row r="4258">
      <c r="A4258" s="76" t="s">
        <v>36</v>
      </c>
      <c r="B4258" s="76" t="s">
        <v>1025</v>
      </c>
      <c r="C4258" s="84">
        <v>3.65</v>
      </c>
      <c r="D4258" s="84">
        <v>0.0</v>
      </c>
      <c r="E4258" s="84">
        <v>0.0</v>
      </c>
      <c r="F4258" s="76" t="s">
        <v>1005</v>
      </c>
      <c r="G4258" s="83">
        <v>46113.0</v>
      </c>
      <c r="H4258" s="76" t="s">
        <v>926</v>
      </c>
    </row>
    <row r="4259">
      <c r="A4259" s="76" t="s">
        <v>36</v>
      </c>
      <c r="B4259" s="76" t="s">
        <v>1025</v>
      </c>
      <c r="C4259" s="84">
        <v>2.57</v>
      </c>
      <c r="D4259" s="84">
        <v>0.0</v>
      </c>
      <c r="E4259" s="84">
        <v>0.0</v>
      </c>
      <c r="F4259" s="76" t="s">
        <v>1005</v>
      </c>
      <c r="G4259" s="83">
        <v>46113.0</v>
      </c>
      <c r="H4259" s="76" t="s">
        <v>927</v>
      </c>
    </row>
    <row r="4260">
      <c r="A4260" s="76" t="s">
        <v>36</v>
      </c>
      <c r="B4260" s="76" t="s">
        <v>1025</v>
      </c>
      <c r="C4260" s="84">
        <v>2.36</v>
      </c>
      <c r="D4260" s="84">
        <v>0.0</v>
      </c>
      <c r="E4260" s="84">
        <v>0.0</v>
      </c>
      <c r="F4260" s="76" t="s">
        <v>1005</v>
      </c>
      <c r="G4260" s="83">
        <v>46113.0</v>
      </c>
      <c r="H4260" s="76" t="s">
        <v>928</v>
      </c>
    </row>
    <row r="4261">
      <c r="A4261" s="76" t="s">
        <v>31</v>
      </c>
      <c r="B4261" s="76" t="s">
        <v>1025</v>
      </c>
      <c r="C4261" s="84">
        <v>3.35</v>
      </c>
      <c r="D4261" s="84">
        <v>0.0</v>
      </c>
      <c r="E4261" s="84">
        <v>0.0</v>
      </c>
      <c r="F4261" s="76" t="s">
        <v>1005</v>
      </c>
      <c r="G4261" s="83">
        <v>46113.0</v>
      </c>
      <c r="H4261" s="76" t="s">
        <v>929</v>
      </c>
    </row>
    <row r="4262">
      <c r="A4262" s="76" t="s">
        <v>31</v>
      </c>
      <c r="B4262" s="76" t="s">
        <v>1025</v>
      </c>
      <c r="C4262" s="84">
        <v>22.21</v>
      </c>
      <c r="D4262" s="84">
        <v>3.0</v>
      </c>
      <c r="E4262" s="84">
        <v>7.4</v>
      </c>
      <c r="F4262" s="76" t="s">
        <v>1005</v>
      </c>
      <c r="G4262" s="83">
        <v>46113.0</v>
      </c>
      <c r="H4262" s="76" t="s">
        <v>930</v>
      </c>
    </row>
    <row r="4263">
      <c r="A4263" s="76" t="s">
        <v>28</v>
      </c>
      <c r="B4263" s="76" t="s">
        <v>1025</v>
      </c>
      <c r="C4263" s="84">
        <v>0.79</v>
      </c>
      <c r="D4263" s="84">
        <v>0.0</v>
      </c>
      <c r="E4263" s="84">
        <v>0.0</v>
      </c>
      <c r="F4263" s="76" t="s">
        <v>1005</v>
      </c>
      <c r="G4263" s="83">
        <v>46113.0</v>
      </c>
      <c r="H4263" s="76" t="s">
        <v>931</v>
      </c>
    </row>
    <row r="4264">
      <c r="A4264" s="76" t="s">
        <v>28</v>
      </c>
      <c r="B4264" s="76" t="s">
        <v>1025</v>
      </c>
      <c r="C4264" s="84">
        <v>1.52</v>
      </c>
      <c r="D4264" s="84">
        <v>0.0</v>
      </c>
      <c r="E4264" s="84">
        <v>0.0</v>
      </c>
      <c r="F4264" s="76" t="s">
        <v>1005</v>
      </c>
      <c r="G4264" s="83">
        <v>46113.0</v>
      </c>
      <c r="H4264" s="76" t="s">
        <v>932</v>
      </c>
    </row>
    <row r="4265">
      <c r="A4265" s="76" t="s">
        <v>28</v>
      </c>
      <c r="B4265" s="76" t="s">
        <v>1025</v>
      </c>
      <c r="C4265" s="84">
        <v>9.53</v>
      </c>
      <c r="D4265" s="84">
        <v>0.0</v>
      </c>
      <c r="E4265" s="84">
        <v>0.0</v>
      </c>
      <c r="F4265" s="76" t="s">
        <v>1005</v>
      </c>
      <c r="G4265" s="83">
        <v>46113.0</v>
      </c>
      <c r="H4265" s="76" t="s">
        <v>933</v>
      </c>
    </row>
    <row r="4266">
      <c r="A4266" s="76" t="s">
        <v>42</v>
      </c>
      <c r="B4266" s="76" t="s">
        <v>1025</v>
      </c>
      <c r="C4266" s="84">
        <v>0.48</v>
      </c>
      <c r="D4266" s="84">
        <v>0.0</v>
      </c>
      <c r="E4266" s="84">
        <v>0.0</v>
      </c>
      <c r="F4266" s="76" t="s">
        <v>1005</v>
      </c>
      <c r="G4266" s="83">
        <v>46113.0</v>
      </c>
      <c r="H4266" s="76" t="s">
        <v>991</v>
      </c>
    </row>
    <row r="4267">
      <c r="A4267" s="76" t="s">
        <v>42</v>
      </c>
      <c r="B4267" s="76" t="s">
        <v>1025</v>
      </c>
      <c r="C4267" s="84">
        <v>6.09</v>
      </c>
      <c r="D4267" s="84">
        <v>0.0</v>
      </c>
      <c r="E4267" s="84">
        <v>0.0</v>
      </c>
      <c r="F4267" s="76" t="s">
        <v>1005</v>
      </c>
      <c r="G4267" s="83">
        <v>46113.0</v>
      </c>
      <c r="H4267" s="76" t="s">
        <v>935</v>
      </c>
    </row>
    <row r="4268">
      <c r="A4268" s="76" t="s">
        <v>45</v>
      </c>
      <c r="B4268" s="76" t="s">
        <v>1025</v>
      </c>
      <c r="C4268" s="84">
        <v>1.38</v>
      </c>
      <c r="D4268" s="84">
        <v>1.0</v>
      </c>
      <c r="E4268" s="84">
        <v>1.38</v>
      </c>
      <c r="F4268" s="76" t="s">
        <v>1005</v>
      </c>
      <c r="G4268" s="83">
        <v>46113.0</v>
      </c>
      <c r="H4268" s="76" t="s">
        <v>936</v>
      </c>
    </row>
    <row r="4269">
      <c r="A4269" s="76" t="s">
        <v>45</v>
      </c>
      <c r="B4269" s="76" t="s">
        <v>1025</v>
      </c>
      <c r="C4269" s="84">
        <v>0.83</v>
      </c>
      <c r="D4269" s="84">
        <v>0.0</v>
      </c>
      <c r="E4269" s="84">
        <v>0.0</v>
      </c>
      <c r="F4269" s="76" t="s">
        <v>1005</v>
      </c>
      <c r="G4269" s="83">
        <v>46113.0</v>
      </c>
      <c r="H4269" s="76" t="s">
        <v>937</v>
      </c>
    </row>
    <row r="4270">
      <c r="A4270" s="76" t="s">
        <v>45</v>
      </c>
      <c r="B4270" s="76" t="s">
        <v>1025</v>
      </c>
      <c r="C4270" s="84">
        <v>1.88</v>
      </c>
      <c r="D4270" s="84">
        <v>0.0</v>
      </c>
      <c r="E4270" s="84">
        <v>0.0</v>
      </c>
      <c r="F4270" s="76" t="s">
        <v>1005</v>
      </c>
      <c r="G4270" s="83">
        <v>46113.0</v>
      </c>
      <c r="H4270" s="76" t="s">
        <v>938</v>
      </c>
    </row>
    <row r="4271">
      <c r="A4271" s="76" t="s">
        <v>50</v>
      </c>
      <c r="B4271" s="76" t="s">
        <v>1025</v>
      </c>
      <c r="C4271" s="84">
        <v>3.01</v>
      </c>
      <c r="D4271" s="84">
        <v>1.0</v>
      </c>
      <c r="E4271" s="84">
        <v>3.01</v>
      </c>
      <c r="F4271" s="76" t="s">
        <v>1005</v>
      </c>
      <c r="G4271" s="83">
        <v>46113.0</v>
      </c>
      <c r="H4271" s="76" t="s">
        <v>939</v>
      </c>
    </row>
    <row r="4272">
      <c r="A4272" s="76" t="s">
        <v>50</v>
      </c>
      <c r="B4272" s="76" t="s">
        <v>1025</v>
      </c>
      <c r="C4272" s="84">
        <v>2.72</v>
      </c>
      <c r="D4272" s="84">
        <v>0.0</v>
      </c>
      <c r="E4272" s="84">
        <v>0.0</v>
      </c>
      <c r="F4272" s="76" t="s">
        <v>1005</v>
      </c>
      <c r="G4272" s="83">
        <v>46113.0</v>
      </c>
      <c r="H4272" s="76" t="s">
        <v>940</v>
      </c>
    </row>
    <row r="4273">
      <c r="A4273" s="76" t="s">
        <v>32</v>
      </c>
      <c r="B4273" s="76" t="s">
        <v>1025</v>
      </c>
      <c r="C4273" s="84">
        <v>5.0</v>
      </c>
      <c r="D4273" s="84">
        <v>1.0</v>
      </c>
      <c r="E4273" s="84">
        <v>5.0</v>
      </c>
      <c r="F4273" s="76" t="s">
        <v>1005</v>
      </c>
      <c r="G4273" s="83">
        <v>46113.0</v>
      </c>
      <c r="H4273" s="76" t="s">
        <v>941</v>
      </c>
    </row>
    <row r="4274">
      <c r="A4274" s="76" t="s">
        <v>32</v>
      </c>
      <c r="B4274" s="76" t="s">
        <v>1025</v>
      </c>
      <c r="C4274" s="84">
        <v>1.95</v>
      </c>
      <c r="D4274" s="84">
        <v>0.0</v>
      </c>
      <c r="E4274" s="84">
        <v>0.0</v>
      </c>
      <c r="F4274" s="76" t="s">
        <v>1005</v>
      </c>
      <c r="G4274" s="83">
        <v>46113.0</v>
      </c>
      <c r="H4274" s="76" t="s">
        <v>942</v>
      </c>
    </row>
    <row r="4275">
      <c r="A4275" s="76" t="s">
        <v>32</v>
      </c>
      <c r="B4275" s="76" t="s">
        <v>1025</v>
      </c>
      <c r="C4275" s="84">
        <v>2.78</v>
      </c>
      <c r="D4275" s="84">
        <v>0.0</v>
      </c>
      <c r="E4275" s="84">
        <v>0.0</v>
      </c>
      <c r="F4275" s="76" t="s">
        <v>1005</v>
      </c>
      <c r="G4275" s="83">
        <v>46113.0</v>
      </c>
      <c r="H4275" s="76" t="s">
        <v>943</v>
      </c>
    </row>
    <row r="4276">
      <c r="A4276" s="76" t="s">
        <v>944</v>
      </c>
      <c r="B4276" s="76" t="s">
        <v>1025</v>
      </c>
      <c r="C4276" s="84">
        <v>5.07</v>
      </c>
      <c r="D4276" s="84">
        <v>1.0</v>
      </c>
      <c r="E4276" s="84">
        <v>5.07</v>
      </c>
      <c r="F4276" s="76" t="s">
        <v>1005</v>
      </c>
      <c r="G4276" s="83">
        <v>46113.0</v>
      </c>
      <c r="H4276" s="76" t="s">
        <v>945</v>
      </c>
    </row>
    <row r="4277">
      <c r="A4277" s="76" t="s">
        <v>944</v>
      </c>
      <c r="B4277" s="76" t="s">
        <v>1025</v>
      </c>
      <c r="C4277" s="84">
        <v>0.93</v>
      </c>
      <c r="D4277" s="84">
        <v>0.0</v>
      </c>
      <c r="E4277" s="84">
        <v>0.0</v>
      </c>
      <c r="F4277" s="76" t="s">
        <v>1005</v>
      </c>
      <c r="G4277" s="83">
        <v>46113.0</v>
      </c>
      <c r="H4277" s="76" t="s">
        <v>946</v>
      </c>
    </row>
    <row r="4278">
      <c r="A4278" s="76" t="s">
        <v>944</v>
      </c>
      <c r="B4278" s="76" t="s">
        <v>1025</v>
      </c>
      <c r="C4278" s="84">
        <v>2.33</v>
      </c>
      <c r="D4278" s="84">
        <v>0.0</v>
      </c>
      <c r="E4278" s="84">
        <v>0.0</v>
      </c>
      <c r="F4278" s="76" t="s">
        <v>1005</v>
      </c>
      <c r="G4278" s="83">
        <v>46113.0</v>
      </c>
      <c r="H4278" s="76" t="s">
        <v>947</v>
      </c>
    </row>
    <row r="4279">
      <c r="A4279" s="76" t="s">
        <v>26</v>
      </c>
      <c r="B4279" s="76" t="s">
        <v>1025</v>
      </c>
      <c r="C4279" s="84">
        <v>1.38</v>
      </c>
      <c r="D4279" s="84">
        <v>0.0</v>
      </c>
      <c r="E4279" s="84">
        <v>0.0</v>
      </c>
      <c r="F4279" s="76" t="s">
        <v>1005</v>
      </c>
      <c r="G4279" s="83">
        <v>46113.0</v>
      </c>
      <c r="H4279" s="76" t="s">
        <v>1012</v>
      </c>
    </row>
    <row r="4280">
      <c r="A4280" s="76" t="s">
        <v>26</v>
      </c>
      <c r="B4280" s="76" t="s">
        <v>1025</v>
      </c>
      <c r="C4280" s="84">
        <v>2.78</v>
      </c>
      <c r="D4280" s="84">
        <v>1.0</v>
      </c>
      <c r="E4280" s="84">
        <v>2.78</v>
      </c>
      <c r="F4280" s="76" t="s">
        <v>1005</v>
      </c>
      <c r="G4280" s="83">
        <v>46113.0</v>
      </c>
      <c r="H4280" s="76" t="s">
        <v>1013</v>
      </c>
    </row>
    <row r="4281">
      <c r="A4281" s="76" t="s">
        <v>26</v>
      </c>
      <c r="B4281" s="76" t="s">
        <v>1025</v>
      </c>
      <c r="C4281" s="84">
        <v>4.2</v>
      </c>
      <c r="D4281" s="84">
        <v>1.0</v>
      </c>
      <c r="E4281" s="84">
        <v>4.2</v>
      </c>
      <c r="F4281" s="76" t="s">
        <v>1005</v>
      </c>
      <c r="G4281" s="83">
        <v>46113.0</v>
      </c>
      <c r="H4281" s="76" t="s">
        <v>1014</v>
      </c>
    </row>
    <row r="4282">
      <c r="A4282" s="76" t="s">
        <v>36</v>
      </c>
      <c r="B4282" s="76" t="s">
        <v>1025</v>
      </c>
      <c r="C4282" s="84">
        <v>2.75</v>
      </c>
      <c r="D4282" s="84">
        <v>0.0</v>
      </c>
      <c r="E4282" s="84">
        <v>0.0</v>
      </c>
      <c r="F4282" s="76" t="s">
        <v>996</v>
      </c>
      <c r="G4282" s="83">
        <v>46113.0</v>
      </c>
      <c r="H4282" s="76" t="s">
        <v>926</v>
      </c>
    </row>
    <row r="4283">
      <c r="A4283" s="76" t="s">
        <v>36</v>
      </c>
      <c r="B4283" s="76" t="s">
        <v>1025</v>
      </c>
      <c r="C4283" s="84">
        <v>1.2</v>
      </c>
      <c r="D4283" s="84">
        <v>0.0</v>
      </c>
      <c r="E4283" s="84">
        <v>0.0</v>
      </c>
      <c r="F4283" s="76" t="s">
        <v>996</v>
      </c>
      <c r="G4283" s="83">
        <v>46113.0</v>
      </c>
      <c r="H4283" s="76" t="s">
        <v>927</v>
      </c>
    </row>
    <row r="4284">
      <c r="A4284" s="76" t="s">
        <v>36</v>
      </c>
      <c r="B4284" s="76" t="s">
        <v>1025</v>
      </c>
      <c r="C4284" s="84">
        <v>1.36</v>
      </c>
      <c r="D4284" s="84">
        <v>0.0</v>
      </c>
      <c r="E4284" s="84">
        <v>0.0</v>
      </c>
      <c r="F4284" s="76" t="s">
        <v>996</v>
      </c>
      <c r="G4284" s="83">
        <v>46113.0</v>
      </c>
      <c r="H4284" s="76" t="s">
        <v>928</v>
      </c>
    </row>
    <row r="4285">
      <c r="A4285" s="76" t="s">
        <v>31</v>
      </c>
      <c r="B4285" s="76" t="s">
        <v>1025</v>
      </c>
      <c r="C4285" s="84">
        <v>2.68</v>
      </c>
      <c r="D4285" s="84">
        <v>0.0</v>
      </c>
      <c r="E4285" s="84">
        <v>0.0</v>
      </c>
      <c r="F4285" s="76" t="s">
        <v>996</v>
      </c>
      <c r="G4285" s="83">
        <v>46113.0</v>
      </c>
      <c r="H4285" s="76" t="s">
        <v>929</v>
      </c>
    </row>
    <row r="4286">
      <c r="A4286" s="76" t="s">
        <v>31</v>
      </c>
      <c r="B4286" s="76" t="s">
        <v>1025</v>
      </c>
      <c r="C4286" s="84">
        <v>20.46</v>
      </c>
      <c r="D4286" s="84">
        <v>0.0</v>
      </c>
      <c r="E4286" s="84">
        <v>0.0</v>
      </c>
      <c r="F4286" s="76" t="s">
        <v>996</v>
      </c>
      <c r="G4286" s="83">
        <v>46113.0</v>
      </c>
      <c r="H4286" s="76" t="s">
        <v>930</v>
      </c>
    </row>
    <row r="4287">
      <c r="A4287" s="76" t="s">
        <v>28</v>
      </c>
      <c r="B4287" s="76" t="s">
        <v>1025</v>
      </c>
      <c r="C4287" s="84">
        <v>0.48</v>
      </c>
      <c r="D4287" s="84">
        <v>0.0</v>
      </c>
      <c r="E4287" s="84">
        <v>0.0</v>
      </c>
      <c r="F4287" s="76" t="s">
        <v>996</v>
      </c>
      <c r="G4287" s="83">
        <v>46113.0</v>
      </c>
      <c r="H4287" s="76" t="s">
        <v>931</v>
      </c>
    </row>
    <row r="4288">
      <c r="A4288" s="76" t="s">
        <v>28</v>
      </c>
      <c r="B4288" s="76" t="s">
        <v>1025</v>
      </c>
      <c r="C4288" s="84">
        <v>0.82</v>
      </c>
      <c r="D4288" s="84">
        <v>0.0</v>
      </c>
      <c r="E4288" s="84">
        <v>0.0</v>
      </c>
      <c r="F4288" s="76" t="s">
        <v>996</v>
      </c>
      <c r="G4288" s="83">
        <v>46113.0</v>
      </c>
      <c r="H4288" s="76" t="s">
        <v>932</v>
      </c>
    </row>
    <row r="4289">
      <c r="A4289" s="76" t="s">
        <v>28</v>
      </c>
      <c r="B4289" s="76" t="s">
        <v>1025</v>
      </c>
      <c r="C4289" s="84">
        <v>7.19</v>
      </c>
      <c r="D4289" s="84">
        <v>0.0</v>
      </c>
      <c r="E4289" s="84">
        <v>0.0</v>
      </c>
      <c r="F4289" s="76" t="s">
        <v>996</v>
      </c>
      <c r="G4289" s="83">
        <v>46113.0</v>
      </c>
      <c r="H4289" s="76" t="s">
        <v>933</v>
      </c>
    </row>
    <row r="4290">
      <c r="A4290" s="76" t="s">
        <v>42</v>
      </c>
      <c r="B4290" s="76" t="s">
        <v>1025</v>
      </c>
      <c r="C4290" s="84">
        <v>0.29</v>
      </c>
      <c r="D4290" s="84">
        <v>0.0</v>
      </c>
      <c r="E4290" s="84">
        <v>0.0</v>
      </c>
      <c r="F4290" s="76" t="s">
        <v>996</v>
      </c>
      <c r="G4290" s="83">
        <v>46113.0</v>
      </c>
      <c r="H4290" s="76" t="s">
        <v>991</v>
      </c>
    </row>
    <row r="4291">
      <c r="A4291" s="76" t="s">
        <v>42</v>
      </c>
      <c r="B4291" s="76" t="s">
        <v>1025</v>
      </c>
      <c r="C4291" s="84">
        <v>4.42</v>
      </c>
      <c r="D4291" s="84">
        <v>0.0</v>
      </c>
      <c r="E4291" s="84">
        <v>0.0</v>
      </c>
      <c r="F4291" s="76" t="s">
        <v>996</v>
      </c>
      <c r="G4291" s="83">
        <v>46113.0</v>
      </c>
      <c r="H4291" s="76" t="s">
        <v>935</v>
      </c>
    </row>
    <row r="4292">
      <c r="A4292" s="76" t="s">
        <v>45</v>
      </c>
      <c r="B4292" s="76" t="s">
        <v>1025</v>
      </c>
      <c r="C4292" s="84">
        <v>0.66</v>
      </c>
      <c r="D4292" s="84">
        <v>0.0</v>
      </c>
      <c r="E4292" s="84">
        <v>0.0</v>
      </c>
      <c r="F4292" s="76" t="s">
        <v>996</v>
      </c>
      <c r="G4292" s="83">
        <v>46113.0</v>
      </c>
      <c r="H4292" s="76" t="s">
        <v>936</v>
      </c>
    </row>
    <row r="4293">
      <c r="A4293" s="76" t="s">
        <v>45</v>
      </c>
      <c r="B4293" s="76" t="s">
        <v>1025</v>
      </c>
      <c r="C4293" s="84">
        <v>0.5</v>
      </c>
      <c r="D4293" s="84">
        <v>0.0</v>
      </c>
      <c r="E4293" s="84">
        <v>0.0</v>
      </c>
      <c r="F4293" s="76" t="s">
        <v>996</v>
      </c>
      <c r="G4293" s="83">
        <v>46113.0</v>
      </c>
      <c r="H4293" s="76" t="s">
        <v>937</v>
      </c>
    </row>
    <row r="4294">
      <c r="A4294" s="76" t="s">
        <v>45</v>
      </c>
      <c r="B4294" s="76" t="s">
        <v>1025</v>
      </c>
      <c r="C4294" s="84">
        <v>1.49</v>
      </c>
      <c r="D4294" s="84">
        <v>0.0</v>
      </c>
      <c r="E4294" s="84">
        <v>0.0</v>
      </c>
      <c r="F4294" s="76" t="s">
        <v>996</v>
      </c>
      <c r="G4294" s="83">
        <v>46113.0</v>
      </c>
      <c r="H4294" s="76" t="s">
        <v>938</v>
      </c>
    </row>
    <row r="4295">
      <c r="A4295" s="76" t="s">
        <v>50</v>
      </c>
      <c r="B4295" s="76" t="s">
        <v>1025</v>
      </c>
      <c r="C4295" s="84">
        <v>1.41</v>
      </c>
      <c r="D4295" s="84">
        <v>0.0</v>
      </c>
      <c r="E4295" s="84">
        <v>0.0</v>
      </c>
      <c r="F4295" s="76" t="s">
        <v>996</v>
      </c>
      <c r="G4295" s="83">
        <v>46113.0</v>
      </c>
      <c r="H4295" s="76" t="s">
        <v>939</v>
      </c>
    </row>
    <row r="4296">
      <c r="A4296" s="76" t="s">
        <v>50</v>
      </c>
      <c r="B4296" s="76" t="s">
        <v>1025</v>
      </c>
      <c r="C4296" s="84">
        <v>1.71</v>
      </c>
      <c r="D4296" s="84">
        <v>0.0</v>
      </c>
      <c r="E4296" s="84">
        <v>0.0</v>
      </c>
      <c r="F4296" s="76" t="s">
        <v>996</v>
      </c>
      <c r="G4296" s="83">
        <v>46113.0</v>
      </c>
      <c r="H4296" s="76" t="s">
        <v>940</v>
      </c>
    </row>
    <row r="4297">
      <c r="A4297" s="76" t="s">
        <v>32</v>
      </c>
      <c r="B4297" s="76" t="s">
        <v>1025</v>
      </c>
      <c r="C4297" s="84">
        <v>3.57</v>
      </c>
      <c r="D4297" s="84">
        <v>1.0</v>
      </c>
      <c r="E4297" s="84">
        <v>3.57</v>
      </c>
      <c r="F4297" s="76" t="s">
        <v>996</v>
      </c>
      <c r="G4297" s="83">
        <v>46113.0</v>
      </c>
      <c r="H4297" s="76" t="s">
        <v>941</v>
      </c>
    </row>
    <row r="4298">
      <c r="A4298" s="76" t="s">
        <v>32</v>
      </c>
      <c r="B4298" s="76" t="s">
        <v>1025</v>
      </c>
      <c r="C4298" s="84">
        <v>1.24</v>
      </c>
      <c r="D4298" s="84">
        <v>0.0</v>
      </c>
      <c r="E4298" s="84">
        <v>0.0</v>
      </c>
      <c r="F4298" s="76" t="s">
        <v>996</v>
      </c>
      <c r="G4298" s="83">
        <v>46113.0</v>
      </c>
      <c r="H4298" s="76" t="s">
        <v>942</v>
      </c>
    </row>
    <row r="4299">
      <c r="A4299" s="76" t="s">
        <v>32</v>
      </c>
      <c r="B4299" s="76" t="s">
        <v>1025</v>
      </c>
      <c r="C4299" s="84">
        <v>2.58</v>
      </c>
      <c r="D4299" s="84">
        <v>0.0</v>
      </c>
      <c r="E4299" s="84">
        <v>0.0</v>
      </c>
      <c r="F4299" s="76" t="s">
        <v>996</v>
      </c>
      <c r="G4299" s="83">
        <v>46113.0</v>
      </c>
      <c r="H4299" s="76" t="s">
        <v>943</v>
      </c>
    </row>
    <row r="4300">
      <c r="A4300" s="76" t="s">
        <v>944</v>
      </c>
      <c r="B4300" s="76" t="s">
        <v>1025</v>
      </c>
      <c r="C4300" s="84">
        <v>4.24</v>
      </c>
      <c r="D4300" s="84">
        <v>0.0</v>
      </c>
      <c r="E4300" s="84">
        <v>0.0</v>
      </c>
      <c r="F4300" s="76" t="s">
        <v>996</v>
      </c>
      <c r="G4300" s="83">
        <v>46113.0</v>
      </c>
      <c r="H4300" s="76" t="s">
        <v>945</v>
      </c>
    </row>
    <row r="4301">
      <c r="A4301" s="76" t="s">
        <v>944</v>
      </c>
      <c r="B4301" s="76" t="s">
        <v>1025</v>
      </c>
      <c r="C4301" s="84">
        <v>0.42</v>
      </c>
      <c r="D4301" s="84">
        <v>0.0</v>
      </c>
      <c r="E4301" s="84">
        <v>0.0</v>
      </c>
      <c r="F4301" s="76" t="s">
        <v>996</v>
      </c>
      <c r="G4301" s="83">
        <v>46113.0</v>
      </c>
      <c r="H4301" s="76" t="s">
        <v>946</v>
      </c>
    </row>
    <row r="4302">
      <c r="A4302" s="76" t="s">
        <v>944</v>
      </c>
      <c r="B4302" s="76" t="s">
        <v>1025</v>
      </c>
      <c r="C4302" s="84">
        <v>1.4</v>
      </c>
      <c r="D4302" s="84">
        <v>0.0</v>
      </c>
      <c r="E4302" s="84">
        <v>0.0</v>
      </c>
      <c r="F4302" s="76" t="s">
        <v>996</v>
      </c>
      <c r="G4302" s="83">
        <v>46113.0</v>
      </c>
      <c r="H4302" s="76" t="s">
        <v>947</v>
      </c>
    </row>
    <row r="4303">
      <c r="A4303" s="76" t="s">
        <v>26</v>
      </c>
      <c r="B4303" s="76" t="s">
        <v>1025</v>
      </c>
      <c r="C4303" s="84">
        <v>1.04</v>
      </c>
      <c r="D4303" s="84">
        <v>0.0</v>
      </c>
      <c r="E4303" s="84">
        <v>0.0</v>
      </c>
      <c r="F4303" s="76" t="s">
        <v>996</v>
      </c>
      <c r="G4303" s="83">
        <v>46113.0</v>
      </c>
      <c r="H4303" s="76" t="s">
        <v>1012</v>
      </c>
    </row>
    <row r="4304">
      <c r="A4304" s="76" t="s">
        <v>26</v>
      </c>
      <c r="B4304" s="76" t="s">
        <v>1025</v>
      </c>
      <c r="C4304" s="84">
        <v>2.2</v>
      </c>
      <c r="D4304" s="84">
        <v>0.0</v>
      </c>
      <c r="E4304" s="84">
        <v>0.0</v>
      </c>
      <c r="F4304" s="76" t="s">
        <v>996</v>
      </c>
      <c r="G4304" s="83">
        <v>46113.0</v>
      </c>
      <c r="H4304" s="76" t="s">
        <v>1013</v>
      </c>
    </row>
    <row r="4305">
      <c r="A4305" s="76" t="s">
        <v>26</v>
      </c>
      <c r="B4305" s="76" t="s">
        <v>1025</v>
      </c>
      <c r="C4305" s="84">
        <v>2.51</v>
      </c>
      <c r="D4305" s="84">
        <v>0.0</v>
      </c>
      <c r="E4305" s="84">
        <v>0.0</v>
      </c>
      <c r="F4305" s="76" t="s">
        <v>996</v>
      </c>
      <c r="G4305" s="83">
        <v>46113.0</v>
      </c>
      <c r="H4305" s="76" t="s">
        <v>1014</v>
      </c>
    </row>
    <row r="4306">
      <c r="A4306" s="76" t="s">
        <v>36</v>
      </c>
      <c r="B4306" s="76" t="s">
        <v>1025</v>
      </c>
      <c r="C4306" s="84">
        <v>3.85</v>
      </c>
      <c r="D4306" s="84">
        <v>0.0</v>
      </c>
      <c r="E4306" s="84">
        <v>0.0</v>
      </c>
      <c r="F4306" s="76" t="s">
        <v>997</v>
      </c>
      <c r="G4306" s="83">
        <v>46113.0</v>
      </c>
      <c r="H4306" s="76" t="s">
        <v>926</v>
      </c>
    </row>
    <row r="4307">
      <c r="A4307" s="76" t="s">
        <v>36</v>
      </c>
      <c r="B4307" s="76" t="s">
        <v>1025</v>
      </c>
      <c r="C4307" s="84">
        <v>1.92</v>
      </c>
      <c r="D4307" s="84">
        <v>0.0</v>
      </c>
      <c r="E4307" s="84">
        <v>0.0</v>
      </c>
      <c r="F4307" s="76" t="s">
        <v>997</v>
      </c>
      <c r="G4307" s="83">
        <v>46113.0</v>
      </c>
      <c r="H4307" s="76" t="s">
        <v>927</v>
      </c>
    </row>
    <row r="4308">
      <c r="A4308" s="76" t="s">
        <v>36</v>
      </c>
      <c r="B4308" s="76" t="s">
        <v>1025</v>
      </c>
      <c r="C4308" s="84">
        <v>1.52</v>
      </c>
      <c r="D4308" s="84">
        <v>0.0</v>
      </c>
      <c r="E4308" s="84">
        <v>0.0</v>
      </c>
      <c r="F4308" s="76" t="s">
        <v>997</v>
      </c>
      <c r="G4308" s="83">
        <v>46113.0</v>
      </c>
      <c r="H4308" s="76" t="s">
        <v>928</v>
      </c>
    </row>
    <row r="4309">
      <c r="A4309" s="76" t="s">
        <v>31</v>
      </c>
      <c r="B4309" s="76" t="s">
        <v>1025</v>
      </c>
      <c r="C4309" s="84">
        <v>2.88</v>
      </c>
      <c r="D4309" s="84">
        <v>0.0</v>
      </c>
      <c r="E4309" s="84">
        <v>0.0</v>
      </c>
      <c r="F4309" s="76" t="s">
        <v>997</v>
      </c>
      <c r="G4309" s="83">
        <v>46113.0</v>
      </c>
      <c r="H4309" s="76" t="s">
        <v>929</v>
      </c>
    </row>
    <row r="4310">
      <c r="A4310" s="76" t="s">
        <v>31</v>
      </c>
      <c r="B4310" s="76" t="s">
        <v>1025</v>
      </c>
      <c r="C4310" s="84">
        <v>25.63</v>
      </c>
      <c r="D4310" s="84">
        <v>4.0</v>
      </c>
      <c r="E4310" s="84">
        <v>6.41</v>
      </c>
      <c r="F4310" s="76" t="s">
        <v>997</v>
      </c>
      <c r="G4310" s="83">
        <v>46113.0</v>
      </c>
      <c r="H4310" s="76" t="s">
        <v>930</v>
      </c>
    </row>
    <row r="4311">
      <c r="A4311" s="76" t="s">
        <v>28</v>
      </c>
      <c r="B4311" s="76" t="s">
        <v>1025</v>
      </c>
      <c r="C4311" s="84">
        <v>0.61</v>
      </c>
      <c r="D4311" s="84">
        <v>0.0</v>
      </c>
      <c r="E4311" s="84">
        <v>0.0</v>
      </c>
      <c r="F4311" s="76" t="s">
        <v>997</v>
      </c>
      <c r="G4311" s="83">
        <v>46113.0</v>
      </c>
      <c r="H4311" s="76" t="s">
        <v>931</v>
      </c>
    </row>
    <row r="4312">
      <c r="A4312" s="76" t="s">
        <v>28</v>
      </c>
      <c r="B4312" s="76" t="s">
        <v>1025</v>
      </c>
      <c r="C4312" s="84">
        <v>0.98</v>
      </c>
      <c r="D4312" s="84">
        <v>0.0</v>
      </c>
      <c r="E4312" s="84">
        <v>0.0</v>
      </c>
      <c r="F4312" s="76" t="s">
        <v>997</v>
      </c>
      <c r="G4312" s="83">
        <v>46113.0</v>
      </c>
      <c r="H4312" s="76" t="s">
        <v>932</v>
      </c>
    </row>
    <row r="4313">
      <c r="A4313" s="76" t="s">
        <v>28</v>
      </c>
      <c r="B4313" s="76" t="s">
        <v>1025</v>
      </c>
      <c r="C4313" s="84">
        <v>10.01</v>
      </c>
      <c r="D4313" s="84">
        <v>1.0</v>
      </c>
      <c r="E4313" s="84">
        <v>10.01</v>
      </c>
      <c r="F4313" s="76" t="s">
        <v>997</v>
      </c>
      <c r="G4313" s="83">
        <v>46113.0</v>
      </c>
      <c r="H4313" s="76" t="s">
        <v>933</v>
      </c>
    </row>
    <row r="4314">
      <c r="A4314" s="76" t="s">
        <v>42</v>
      </c>
      <c r="B4314" s="76" t="s">
        <v>1025</v>
      </c>
      <c r="C4314" s="84">
        <v>0.24</v>
      </c>
      <c r="D4314" s="84">
        <v>0.0</v>
      </c>
      <c r="E4314" s="84">
        <v>0.0</v>
      </c>
      <c r="F4314" s="76" t="s">
        <v>997</v>
      </c>
      <c r="G4314" s="83">
        <v>46113.0</v>
      </c>
      <c r="H4314" s="76" t="s">
        <v>991</v>
      </c>
    </row>
    <row r="4315">
      <c r="A4315" s="76" t="s">
        <v>42</v>
      </c>
      <c r="B4315" s="76" t="s">
        <v>1025</v>
      </c>
      <c r="C4315" s="84">
        <v>6.04</v>
      </c>
      <c r="D4315" s="84">
        <v>0.0</v>
      </c>
      <c r="E4315" s="84">
        <v>0.0</v>
      </c>
      <c r="F4315" s="76" t="s">
        <v>997</v>
      </c>
      <c r="G4315" s="83">
        <v>46113.0</v>
      </c>
      <c r="H4315" s="76" t="s">
        <v>935</v>
      </c>
    </row>
    <row r="4316">
      <c r="A4316" s="76" t="s">
        <v>45</v>
      </c>
      <c r="B4316" s="76" t="s">
        <v>1025</v>
      </c>
      <c r="C4316" s="84">
        <v>0.91</v>
      </c>
      <c r="D4316" s="84">
        <v>0.0</v>
      </c>
      <c r="E4316" s="84">
        <v>0.0</v>
      </c>
      <c r="F4316" s="76" t="s">
        <v>997</v>
      </c>
      <c r="G4316" s="83">
        <v>46113.0</v>
      </c>
      <c r="H4316" s="76" t="s">
        <v>936</v>
      </c>
    </row>
    <row r="4317">
      <c r="A4317" s="76" t="s">
        <v>45</v>
      </c>
      <c r="B4317" s="76" t="s">
        <v>1025</v>
      </c>
      <c r="C4317" s="84">
        <v>0.69</v>
      </c>
      <c r="D4317" s="84">
        <v>0.0</v>
      </c>
      <c r="E4317" s="84">
        <v>0.0</v>
      </c>
      <c r="F4317" s="76" t="s">
        <v>997</v>
      </c>
      <c r="G4317" s="83">
        <v>46113.0</v>
      </c>
      <c r="H4317" s="76" t="s">
        <v>937</v>
      </c>
    </row>
    <row r="4318">
      <c r="A4318" s="76" t="s">
        <v>45</v>
      </c>
      <c r="B4318" s="76" t="s">
        <v>1025</v>
      </c>
      <c r="C4318" s="84">
        <v>1.96</v>
      </c>
      <c r="D4318" s="84">
        <v>0.0</v>
      </c>
      <c r="E4318" s="84">
        <v>0.0</v>
      </c>
      <c r="F4318" s="76" t="s">
        <v>997</v>
      </c>
      <c r="G4318" s="83">
        <v>46113.0</v>
      </c>
      <c r="H4318" s="76" t="s">
        <v>938</v>
      </c>
    </row>
    <row r="4319">
      <c r="A4319" s="76" t="s">
        <v>50</v>
      </c>
      <c r="B4319" s="76" t="s">
        <v>1025</v>
      </c>
      <c r="C4319" s="84">
        <v>1.68</v>
      </c>
      <c r="D4319" s="84">
        <v>0.0</v>
      </c>
      <c r="E4319" s="84">
        <v>0.0</v>
      </c>
      <c r="F4319" s="76" t="s">
        <v>997</v>
      </c>
      <c r="G4319" s="83">
        <v>46113.0</v>
      </c>
      <c r="H4319" s="76" t="s">
        <v>939</v>
      </c>
    </row>
    <row r="4320">
      <c r="A4320" s="76" t="s">
        <v>50</v>
      </c>
      <c r="B4320" s="76" t="s">
        <v>1025</v>
      </c>
      <c r="C4320" s="84">
        <v>1.68</v>
      </c>
      <c r="D4320" s="84">
        <v>0.0</v>
      </c>
      <c r="E4320" s="84">
        <v>0.0</v>
      </c>
      <c r="F4320" s="76" t="s">
        <v>997</v>
      </c>
      <c r="G4320" s="83">
        <v>46113.0</v>
      </c>
      <c r="H4320" s="76" t="s">
        <v>940</v>
      </c>
    </row>
    <row r="4321">
      <c r="A4321" s="76" t="s">
        <v>32</v>
      </c>
      <c r="B4321" s="76" t="s">
        <v>1025</v>
      </c>
      <c r="C4321" s="84">
        <v>3.99</v>
      </c>
      <c r="D4321" s="84">
        <v>0.0</v>
      </c>
      <c r="E4321" s="84">
        <v>0.0</v>
      </c>
      <c r="F4321" s="76" t="s">
        <v>997</v>
      </c>
      <c r="G4321" s="83">
        <v>46113.0</v>
      </c>
      <c r="H4321" s="76" t="s">
        <v>941</v>
      </c>
    </row>
    <row r="4322">
      <c r="A4322" s="76" t="s">
        <v>32</v>
      </c>
      <c r="B4322" s="76" t="s">
        <v>1025</v>
      </c>
      <c r="C4322" s="84">
        <v>1.48</v>
      </c>
      <c r="D4322" s="84">
        <v>0.0</v>
      </c>
      <c r="E4322" s="84">
        <v>0.0</v>
      </c>
      <c r="F4322" s="76" t="s">
        <v>997</v>
      </c>
      <c r="G4322" s="83">
        <v>46113.0</v>
      </c>
      <c r="H4322" s="76" t="s">
        <v>942</v>
      </c>
    </row>
    <row r="4323">
      <c r="A4323" s="76" t="s">
        <v>32</v>
      </c>
      <c r="B4323" s="76" t="s">
        <v>1025</v>
      </c>
      <c r="C4323" s="84">
        <v>3.41</v>
      </c>
      <c r="D4323" s="84">
        <v>0.0</v>
      </c>
      <c r="E4323" s="84">
        <v>0.0</v>
      </c>
      <c r="F4323" s="76" t="s">
        <v>997</v>
      </c>
      <c r="G4323" s="83">
        <v>46113.0</v>
      </c>
      <c r="H4323" s="76" t="s">
        <v>943</v>
      </c>
    </row>
    <row r="4324">
      <c r="A4324" s="76" t="s">
        <v>944</v>
      </c>
      <c r="B4324" s="76" t="s">
        <v>1025</v>
      </c>
      <c r="C4324" s="84">
        <v>5.19</v>
      </c>
      <c r="D4324" s="84">
        <v>0.0</v>
      </c>
      <c r="E4324" s="84">
        <v>0.0</v>
      </c>
      <c r="F4324" s="76" t="s">
        <v>997</v>
      </c>
      <c r="G4324" s="83">
        <v>46113.0</v>
      </c>
      <c r="H4324" s="76" t="s">
        <v>945</v>
      </c>
    </row>
    <row r="4325">
      <c r="A4325" s="76" t="s">
        <v>944</v>
      </c>
      <c r="B4325" s="76" t="s">
        <v>1025</v>
      </c>
      <c r="C4325" s="84">
        <v>0.59</v>
      </c>
      <c r="D4325" s="84">
        <v>0.0</v>
      </c>
      <c r="E4325" s="84">
        <v>0.0</v>
      </c>
      <c r="F4325" s="76" t="s">
        <v>997</v>
      </c>
      <c r="G4325" s="83">
        <v>46113.0</v>
      </c>
      <c r="H4325" s="76" t="s">
        <v>946</v>
      </c>
    </row>
    <row r="4326">
      <c r="A4326" s="76" t="s">
        <v>944</v>
      </c>
      <c r="B4326" s="76" t="s">
        <v>1025</v>
      </c>
      <c r="C4326" s="84">
        <v>1.55</v>
      </c>
      <c r="D4326" s="84">
        <v>0.0</v>
      </c>
      <c r="E4326" s="84">
        <v>0.0</v>
      </c>
      <c r="F4326" s="76" t="s">
        <v>997</v>
      </c>
      <c r="G4326" s="83">
        <v>46113.0</v>
      </c>
      <c r="H4326" s="76" t="s">
        <v>947</v>
      </c>
    </row>
    <row r="4327">
      <c r="A4327" s="76" t="s">
        <v>26</v>
      </c>
      <c r="B4327" s="76" t="s">
        <v>1025</v>
      </c>
      <c r="C4327" s="84">
        <v>1.21</v>
      </c>
      <c r="D4327" s="84">
        <v>0.0</v>
      </c>
      <c r="E4327" s="84">
        <v>0.0</v>
      </c>
      <c r="F4327" s="76" t="s">
        <v>997</v>
      </c>
      <c r="G4327" s="83">
        <v>46113.0</v>
      </c>
      <c r="H4327" s="76" t="s">
        <v>1012</v>
      </c>
    </row>
    <row r="4328">
      <c r="A4328" s="76" t="s">
        <v>26</v>
      </c>
      <c r="B4328" s="76" t="s">
        <v>1025</v>
      </c>
      <c r="C4328" s="84">
        <v>3.12</v>
      </c>
      <c r="D4328" s="84">
        <v>0.0</v>
      </c>
      <c r="E4328" s="84">
        <v>0.0</v>
      </c>
      <c r="F4328" s="76" t="s">
        <v>997</v>
      </c>
      <c r="G4328" s="83">
        <v>46113.0</v>
      </c>
      <c r="H4328" s="76" t="s">
        <v>1013</v>
      </c>
    </row>
    <row r="4329">
      <c r="A4329" s="76" t="s">
        <v>26</v>
      </c>
      <c r="B4329" s="76" t="s">
        <v>1025</v>
      </c>
      <c r="C4329" s="84">
        <v>3.05</v>
      </c>
      <c r="D4329" s="84">
        <v>0.0</v>
      </c>
      <c r="E4329" s="84">
        <v>0.0</v>
      </c>
      <c r="F4329" s="76" t="s">
        <v>997</v>
      </c>
      <c r="G4329" s="83">
        <v>46113.0</v>
      </c>
      <c r="H4329" s="76" t="s">
        <v>1014</v>
      </c>
    </row>
    <row r="4330">
      <c r="A4330" s="76" t="s">
        <v>36</v>
      </c>
      <c r="B4330" s="76" t="s">
        <v>1025</v>
      </c>
      <c r="C4330" s="84">
        <v>0.0</v>
      </c>
      <c r="D4330" s="84">
        <v>0.0</v>
      </c>
      <c r="E4330" s="84">
        <v>0.0</v>
      </c>
      <c r="F4330" s="76" t="s">
        <v>998</v>
      </c>
      <c r="G4330" s="83">
        <v>46113.0</v>
      </c>
      <c r="H4330" s="76" t="s">
        <v>926</v>
      </c>
    </row>
    <row r="4331">
      <c r="A4331" s="76" t="s">
        <v>36</v>
      </c>
      <c r="B4331" s="76" t="s">
        <v>1025</v>
      </c>
      <c r="C4331" s="84">
        <v>0.04</v>
      </c>
      <c r="D4331" s="84">
        <v>0.0</v>
      </c>
      <c r="E4331" s="84">
        <v>0.0</v>
      </c>
      <c r="F4331" s="76" t="s">
        <v>998</v>
      </c>
      <c r="G4331" s="83">
        <v>46113.0</v>
      </c>
      <c r="H4331" s="76" t="s">
        <v>927</v>
      </c>
    </row>
    <row r="4332">
      <c r="A4332" s="76" t="s">
        <v>36</v>
      </c>
      <c r="B4332" s="76" t="s">
        <v>1025</v>
      </c>
      <c r="C4332" s="84">
        <v>0.39</v>
      </c>
      <c r="D4332" s="84">
        <v>0.0</v>
      </c>
      <c r="E4332" s="84">
        <v>0.0</v>
      </c>
      <c r="F4332" s="76" t="s">
        <v>998</v>
      </c>
      <c r="G4332" s="83">
        <v>46113.0</v>
      </c>
      <c r="H4332" s="76" t="s">
        <v>928</v>
      </c>
    </row>
    <row r="4333">
      <c r="A4333" s="76" t="s">
        <v>31</v>
      </c>
      <c r="B4333" s="76" t="s">
        <v>1025</v>
      </c>
      <c r="C4333" s="84">
        <v>0.29</v>
      </c>
      <c r="D4333" s="84">
        <v>0.0</v>
      </c>
      <c r="E4333" s="84">
        <v>0.0</v>
      </c>
      <c r="F4333" s="76" t="s">
        <v>998</v>
      </c>
      <c r="G4333" s="83">
        <v>46113.0</v>
      </c>
      <c r="H4333" s="76" t="s">
        <v>929</v>
      </c>
    </row>
    <row r="4334">
      <c r="A4334" s="76" t="s">
        <v>28</v>
      </c>
      <c r="B4334" s="76" t="s">
        <v>1025</v>
      </c>
      <c r="C4334" s="84">
        <v>0.01</v>
      </c>
      <c r="D4334" s="84">
        <v>0.0</v>
      </c>
      <c r="E4334" s="84">
        <v>0.0</v>
      </c>
      <c r="F4334" s="76" t="s">
        <v>998</v>
      </c>
      <c r="G4334" s="83">
        <v>46113.0</v>
      </c>
      <c r="H4334" s="76" t="s">
        <v>931</v>
      </c>
    </row>
    <row r="4335">
      <c r="A4335" s="76" t="s">
        <v>28</v>
      </c>
      <c r="B4335" s="76" t="s">
        <v>1025</v>
      </c>
      <c r="C4335" s="84">
        <v>0.2</v>
      </c>
      <c r="D4335" s="84">
        <v>0.0</v>
      </c>
      <c r="E4335" s="84">
        <v>0.0</v>
      </c>
      <c r="F4335" s="76" t="s">
        <v>998</v>
      </c>
      <c r="G4335" s="83">
        <v>46113.0</v>
      </c>
      <c r="H4335" s="76" t="s">
        <v>932</v>
      </c>
    </row>
    <row r="4336">
      <c r="A4336" s="76" t="s">
        <v>28</v>
      </c>
      <c r="B4336" s="76" t="s">
        <v>1025</v>
      </c>
      <c r="C4336" s="84">
        <v>0.0</v>
      </c>
      <c r="D4336" s="84">
        <v>0.0</v>
      </c>
      <c r="E4336" s="84">
        <v>0.0</v>
      </c>
      <c r="F4336" s="76" t="s">
        <v>998</v>
      </c>
      <c r="G4336" s="83">
        <v>46113.0</v>
      </c>
      <c r="H4336" s="76" t="s">
        <v>933</v>
      </c>
    </row>
    <row r="4337">
      <c r="A4337" s="76" t="s">
        <v>42</v>
      </c>
      <c r="B4337" s="76" t="s">
        <v>1025</v>
      </c>
      <c r="C4337" s="84">
        <v>0.11</v>
      </c>
      <c r="D4337" s="84">
        <v>0.0</v>
      </c>
      <c r="E4337" s="84">
        <v>0.0</v>
      </c>
      <c r="F4337" s="76" t="s">
        <v>998</v>
      </c>
      <c r="G4337" s="83">
        <v>46113.0</v>
      </c>
      <c r="H4337" s="76" t="s">
        <v>991</v>
      </c>
    </row>
    <row r="4338">
      <c r="A4338" s="76" t="s">
        <v>45</v>
      </c>
      <c r="B4338" s="76" t="s">
        <v>1025</v>
      </c>
      <c r="C4338" s="84">
        <v>0.0</v>
      </c>
      <c r="D4338" s="84">
        <v>0.0</v>
      </c>
      <c r="E4338" s="84">
        <v>0.0</v>
      </c>
      <c r="F4338" s="76" t="s">
        <v>998</v>
      </c>
      <c r="G4338" s="83">
        <v>46113.0</v>
      </c>
      <c r="H4338" s="76" t="s">
        <v>936</v>
      </c>
    </row>
    <row r="4339">
      <c r="A4339" s="76" t="s">
        <v>45</v>
      </c>
      <c r="B4339" s="76" t="s">
        <v>1025</v>
      </c>
      <c r="C4339" s="84">
        <v>0.18</v>
      </c>
      <c r="D4339" s="84">
        <v>0.0</v>
      </c>
      <c r="E4339" s="84">
        <v>0.0</v>
      </c>
      <c r="F4339" s="76" t="s">
        <v>998</v>
      </c>
      <c r="G4339" s="83">
        <v>46113.0</v>
      </c>
      <c r="H4339" s="76" t="s">
        <v>937</v>
      </c>
    </row>
    <row r="4340">
      <c r="A4340" s="76" t="s">
        <v>45</v>
      </c>
      <c r="B4340" s="76" t="s">
        <v>1025</v>
      </c>
      <c r="C4340" s="84">
        <v>0.02</v>
      </c>
      <c r="D4340" s="84">
        <v>0.0</v>
      </c>
      <c r="E4340" s="84">
        <v>0.0</v>
      </c>
      <c r="F4340" s="76" t="s">
        <v>998</v>
      </c>
      <c r="G4340" s="83">
        <v>46113.0</v>
      </c>
      <c r="H4340" s="76" t="s">
        <v>938</v>
      </c>
    </row>
    <row r="4341">
      <c r="A4341" s="76" t="s">
        <v>50</v>
      </c>
      <c r="B4341" s="76" t="s">
        <v>1025</v>
      </c>
      <c r="C4341" s="84">
        <v>0.56</v>
      </c>
      <c r="D4341" s="84">
        <v>1.0</v>
      </c>
      <c r="E4341" s="84">
        <v>0.56</v>
      </c>
      <c r="F4341" s="76" t="s">
        <v>998</v>
      </c>
      <c r="G4341" s="83">
        <v>46113.0</v>
      </c>
      <c r="H4341" s="76" t="s">
        <v>939</v>
      </c>
    </row>
    <row r="4342">
      <c r="A4342" s="76" t="s">
        <v>50</v>
      </c>
      <c r="B4342" s="76" t="s">
        <v>1025</v>
      </c>
      <c r="C4342" s="84">
        <v>0.0</v>
      </c>
      <c r="D4342" s="84">
        <v>0.0</v>
      </c>
      <c r="E4342" s="84">
        <v>0.0</v>
      </c>
      <c r="F4342" s="76" t="s">
        <v>998</v>
      </c>
      <c r="G4342" s="83">
        <v>46113.0</v>
      </c>
      <c r="H4342" s="76" t="s">
        <v>940</v>
      </c>
    </row>
    <row r="4343">
      <c r="A4343" s="76" t="s">
        <v>32</v>
      </c>
      <c r="B4343" s="76" t="s">
        <v>1025</v>
      </c>
      <c r="C4343" s="84">
        <v>0.84</v>
      </c>
      <c r="D4343" s="84">
        <v>0.0</v>
      </c>
      <c r="E4343" s="84">
        <v>0.0</v>
      </c>
      <c r="F4343" s="76" t="s">
        <v>998</v>
      </c>
      <c r="G4343" s="83">
        <v>46113.0</v>
      </c>
      <c r="H4343" s="76" t="s">
        <v>941</v>
      </c>
    </row>
    <row r="4344">
      <c r="A4344" s="76" t="s">
        <v>32</v>
      </c>
      <c r="B4344" s="76" t="s">
        <v>1025</v>
      </c>
      <c r="C4344" s="84">
        <v>0.01</v>
      </c>
      <c r="D4344" s="84">
        <v>0.0</v>
      </c>
      <c r="E4344" s="84">
        <v>0.0</v>
      </c>
      <c r="F4344" s="76" t="s">
        <v>998</v>
      </c>
      <c r="G4344" s="83">
        <v>46113.0</v>
      </c>
      <c r="H4344" s="76" t="s">
        <v>942</v>
      </c>
    </row>
    <row r="4345">
      <c r="A4345" s="76" t="s">
        <v>32</v>
      </c>
      <c r="B4345" s="76" t="s">
        <v>1025</v>
      </c>
      <c r="C4345" s="84">
        <v>0.01</v>
      </c>
      <c r="D4345" s="84">
        <v>0.0</v>
      </c>
      <c r="E4345" s="84">
        <v>0.0</v>
      </c>
      <c r="F4345" s="76" t="s">
        <v>998</v>
      </c>
      <c r="G4345" s="83">
        <v>46113.0</v>
      </c>
      <c r="H4345" s="76" t="s">
        <v>943</v>
      </c>
    </row>
    <row r="4346">
      <c r="A4346" s="76" t="s">
        <v>944</v>
      </c>
      <c r="B4346" s="76" t="s">
        <v>1025</v>
      </c>
      <c r="C4346" s="84">
        <v>0.0</v>
      </c>
      <c r="D4346" s="84">
        <v>0.0</v>
      </c>
      <c r="E4346" s="84">
        <v>0.0</v>
      </c>
      <c r="F4346" s="76" t="s">
        <v>998</v>
      </c>
      <c r="G4346" s="83">
        <v>46113.0</v>
      </c>
      <c r="H4346" s="76" t="s">
        <v>945</v>
      </c>
    </row>
    <row r="4347">
      <c r="A4347" s="76" t="s">
        <v>944</v>
      </c>
      <c r="B4347" s="76" t="s">
        <v>1025</v>
      </c>
      <c r="C4347" s="84">
        <v>0.01</v>
      </c>
      <c r="D4347" s="84">
        <v>0.0</v>
      </c>
      <c r="E4347" s="84">
        <v>0.0</v>
      </c>
      <c r="F4347" s="76" t="s">
        <v>998</v>
      </c>
      <c r="G4347" s="83">
        <v>46113.0</v>
      </c>
      <c r="H4347" s="76" t="s">
        <v>946</v>
      </c>
    </row>
    <row r="4348">
      <c r="A4348" s="76" t="s">
        <v>944</v>
      </c>
      <c r="B4348" s="76" t="s">
        <v>1025</v>
      </c>
      <c r="C4348" s="84">
        <v>0.24</v>
      </c>
      <c r="D4348" s="84">
        <v>0.0</v>
      </c>
      <c r="E4348" s="84">
        <v>0.0</v>
      </c>
      <c r="F4348" s="76" t="s">
        <v>998</v>
      </c>
      <c r="G4348" s="83">
        <v>46113.0</v>
      </c>
      <c r="H4348" s="76" t="s">
        <v>947</v>
      </c>
    </row>
    <row r="4349">
      <c r="A4349" s="76" t="s">
        <v>26</v>
      </c>
      <c r="B4349" s="76" t="s">
        <v>1025</v>
      </c>
      <c r="C4349" s="84">
        <v>0.01</v>
      </c>
      <c r="D4349" s="84">
        <v>0.0</v>
      </c>
      <c r="E4349" s="84">
        <v>0.0</v>
      </c>
      <c r="F4349" s="76" t="s">
        <v>998</v>
      </c>
      <c r="G4349" s="83">
        <v>46113.0</v>
      </c>
      <c r="H4349" s="76" t="s">
        <v>1012</v>
      </c>
    </row>
    <row r="4350">
      <c r="A4350" s="76" t="s">
        <v>26</v>
      </c>
      <c r="B4350" s="76" t="s">
        <v>1025</v>
      </c>
      <c r="C4350" s="84">
        <v>0.01</v>
      </c>
      <c r="D4350" s="84">
        <v>0.0</v>
      </c>
      <c r="E4350" s="84">
        <v>0.0</v>
      </c>
      <c r="F4350" s="76" t="s">
        <v>998</v>
      </c>
      <c r="G4350" s="83">
        <v>46113.0</v>
      </c>
      <c r="H4350" s="76" t="s">
        <v>1013</v>
      </c>
    </row>
    <row r="4351">
      <c r="A4351" s="76" t="s">
        <v>26</v>
      </c>
      <c r="B4351" s="76" t="s">
        <v>1025</v>
      </c>
      <c r="C4351" s="84">
        <v>0.55</v>
      </c>
      <c r="D4351" s="84">
        <v>0.0</v>
      </c>
      <c r="E4351" s="84">
        <v>0.0</v>
      </c>
      <c r="F4351" s="76" t="s">
        <v>998</v>
      </c>
      <c r="G4351" s="83">
        <v>46113.0</v>
      </c>
      <c r="H4351" s="76" t="s">
        <v>1014</v>
      </c>
    </row>
    <row r="4352">
      <c r="A4352" s="76" t="s">
        <v>36</v>
      </c>
      <c r="B4352" s="76" t="s">
        <v>1026</v>
      </c>
      <c r="C4352" s="84">
        <v>1.58</v>
      </c>
      <c r="D4352" s="84">
        <v>0.0</v>
      </c>
      <c r="E4352" s="84">
        <v>0.0</v>
      </c>
      <c r="F4352" s="76" t="s">
        <v>990</v>
      </c>
      <c r="G4352" s="83">
        <v>46114.0</v>
      </c>
      <c r="H4352" s="76" t="s">
        <v>926</v>
      </c>
    </row>
    <row r="4353">
      <c r="A4353" s="76" t="s">
        <v>36</v>
      </c>
      <c r="B4353" s="76" t="s">
        <v>1026</v>
      </c>
      <c r="C4353" s="84">
        <v>2.27</v>
      </c>
      <c r="D4353" s="84">
        <v>0.0</v>
      </c>
      <c r="E4353" s="84">
        <v>0.0</v>
      </c>
      <c r="F4353" s="76" t="s">
        <v>990</v>
      </c>
      <c r="G4353" s="83">
        <v>46114.0</v>
      </c>
      <c r="H4353" s="76" t="s">
        <v>927</v>
      </c>
    </row>
    <row r="4354">
      <c r="A4354" s="76" t="s">
        <v>36</v>
      </c>
      <c r="B4354" s="76" t="s">
        <v>1026</v>
      </c>
      <c r="C4354" s="84">
        <v>1.0</v>
      </c>
      <c r="D4354" s="84">
        <v>0.0</v>
      </c>
      <c r="E4354" s="84">
        <v>0.0</v>
      </c>
      <c r="F4354" s="76" t="s">
        <v>990</v>
      </c>
      <c r="G4354" s="83">
        <v>46114.0</v>
      </c>
      <c r="H4354" s="76" t="s">
        <v>928</v>
      </c>
    </row>
    <row r="4355">
      <c r="A4355" s="76" t="s">
        <v>31</v>
      </c>
      <c r="B4355" s="76" t="s">
        <v>1026</v>
      </c>
      <c r="C4355" s="84">
        <v>2.28</v>
      </c>
      <c r="D4355" s="84">
        <v>0.0</v>
      </c>
      <c r="E4355" s="84">
        <v>0.0</v>
      </c>
      <c r="F4355" s="76" t="s">
        <v>990</v>
      </c>
      <c r="G4355" s="83">
        <v>46114.0</v>
      </c>
      <c r="H4355" s="76" t="s">
        <v>929</v>
      </c>
    </row>
    <row r="4356">
      <c r="A4356" s="76" t="s">
        <v>31</v>
      </c>
      <c r="B4356" s="76" t="s">
        <v>1026</v>
      </c>
      <c r="C4356" s="84">
        <v>18.28</v>
      </c>
      <c r="D4356" s="84">
        <v>0.0</v>
      </c>
      <c r="E4356" s="84">
        <v>0.0</v>
      </c>
      <c r="F4356" s="76" t="s">
        <v>990</v>
      </c>
      <c r="G4356" s="83">
        <v>46114.0</v>
      </c>
      <c r="H4356" s="76" t="s">
        <v>930</v>
      </c>
    </row>
    <row r="4357">
      <c r="A4357" s="76" t="s">
        <v>28</v>
      </c>
      <c r="B4357" s="76" t="s">
        <v>1026</v>
      </c>
      <c r="C4357" s="84">
        <v>1.04</v>
      </c>
      <c r="D4357" s="84">
        <v>0.0</v>
      </c>
      <c r="E4357" s="84">
        <v>0.0</v>
      </c>
      <c r="F4357" s="76" t="s">
        <v>990</v>
      </c>
      <c r="G4357" s="83">
        <v>46114.0</v>
      </c>
      <c r="H4357" s="76" t="s">
        <v>931</v>
      </c>
    </row>
    <row r="4358">
      <c r="A4358" s="76" t="s">
        <v>28</v>
      </c>
      <c r="B4358" s="76" t="s">
        <v>1026</v>
      </c>
      <c r="C4358" s="84">
        <v>0.6</v>
      </c>
      <c r="D4358" s="84">
        <v>0.0</v>
      </c>
      <c r="E4358" s="84">
        <v>0.0</v>
      </c>
      <c r="F4358" s="76" t="s">
        <v>990</v>
      </c>
      <c r="G4358" s="83">
        <v>46114.0</v>
      </c>
      <c r="H4358" s="76" t="s">
        <v>932</v>
      </c>
    </row>
    <row r="4359">
      <c r="A4359" s="76" t="s">
        <v>28</v>
      </c>
      <c r="B4359" s="76" t="s">
        <v>1026</v>
      </c>
      <c r="C4359" s="84">
        <v>2.21</v>
      </c>
      <c r="D4359" s="84">
        <v>0.0</v>
      </c>
      <c r="E4359" s="84">
        <v>0.0</v>
      </c>
      <c r="F4359" s="76" t="s">
        <v>990</v>
      </c>
      <c r="G4359" s="83">
        <v>46114.0</v>
      </c>
      <c r="H4359" s="76" t="s">
        <v>933</v>
      </c>
    </row>
    <row r="4360">
      <c r="A4360" s="76" t="s">
        <v>42</v>
      </c>
      <c r="B4360" s="76" t="s">
        <v>1026</v>
      </c>
      <c r="C4360" s="84">
        <v>0.07</v>
      </c>
      <c r="D4360" s="84">
        <v>0.0</v>
      </c>
      <c r="E4360" s="84">
        <v>0.0</v>
      </c>
      <c r="F4360" s="76" t="s">
        <v>990</v>
      </c>
      <c r="G4360" s="83">
        <v>46114.0</v>
      </c>
      <c r="H4360" s="76" t="s">
        <v>991</v>
      </c>
    </row>
    <row r="4361">
      <c r="A4361" s="76" t="s">
        <v>42</v>
      </c>
      <c r="B4361" s="76" t="s">
        <v>1026</v>
      </c>
      <c r="C4361" s="84">
        <v>6.19</v>
      </c>
      <c r="D4361" s="84">
        <v>0.0</v>
      </c>
      <c r="E4361" s="84">
        <v>0.0</v>
      </c>
      <c r="F4361" s="76" t="s">
        <v>990</v>
      </c>
      <c r="G4361" s="83">
        <v>46114.0</v>
      </c>
      <c r="H4361" s="76" t="s">
        <v>935</v>
      </c>
    </row>
    <row r="4362">
      <c r="A4362" s="76" t="s">
        <v>45</v>
      </c>
      <c r="B4362" s="76" t="s">
        <v>1026</v>
      </c>
      <c r="C4362" s="84">
        <v>1.22</v>
      </c>
      <c r="D4362" s="84">
        <v>0.0</v>
      </c>
      <c r="E4362" s="84">
        <v>0.0</v>
      </c>
      <c r="F4362" s="76" t="s">
        <v>990</v>
      </c>
      <c r="G4362" s="83">
        <v>46114.0</v>
      </c>
      <c r="H4362" s="76" t="s">
        <v>936</v>
      </c>
    </row>
    <row r="4363">
      <c r="A4363" s="76" t="s">
        <v>45</v>
      </c>
      <c r="B4363" s="76" t="s">
        <v>1026</v>
      </c>
      <c r="C4363" s="84">
        <v>0.25</v>
      </c>
      <c r="D4363" s="84">
        <v>0.0</v>
      </c>
      <c r="E4363" s="84">
        <v>0.0</v>
      </c>
      <c r="F4363" s="76" t="s">
        <v>990</v>
      </c>
      <c r="G4363" s="83">
        <v>46114.0</v>
      </c>
      <c r="H4363" s="76" t="s">
        <v>937</v>
      </c>
    </row>
    <row r="4364">
      <c r="A4364" s="76" t="s">
        <v>45</v>
      </c>
      <c r="B4364" s="76" t="s">
        <v>1026</v>
      </c>
      <c r="C4364" s="84">
        <v>1.49</v>
      </c>
      <c r="D4364" s="84">
        <v>0.0</v>
      </c>
      <c r="E4364" s="84">
        <v>0.0</v>
      </c>
      <c r="F4364" s="76" t="s">
        <v>990</v>
      </c>
      <c r="G4364" s="83">
        <v>46114.0</v>
      </c>
      <c r="H4364" s="76" t="s">
        <v>938</v>
      </c>
    </row>
    <row r="4365">
      <c r="A4365" s="76" t="s">
        <v>50</v>
      </c>
      <c r="B4365" s="76" t="s">
        <v>1026</v>
      </c>
      <c r="C4365" s="84">
        <v>1.63</v>
      </c>
      <c r="D4365" s="84">
        <v>0.0</v>
      </c>
      <c r="E4365" s="84">
        <v>0.0</v>
      </c>
      <c r="F4365" s="76" t="s">
        <v>990</v>
      </c>
      <c r="G4365" s="83">
        <v>46114.0</v>
      </c>
      <c r="H4365" s="76" t="s">
        <v>939</v>
      </c>
    </row>
    <row r="4366">
      <c r="A4366" s="76" t="s">
        <v>50</v>
      </c>
      <c r="B4366" s="76" t="s">
        <v>1026</v>
      </c>
      <c r="C4366" s="84">
        <v>5.0</v>
      </c>
      <c r="D4366" s="84">
        <v>0.0</v>
      </c>
      <c r="E4366" s="84">
        <v>0.0</v>
      </c>
      <c r="F4366" s="76" t="s">
        <v>990</v>
      </c>
      <c r="G4366" s="83">
        <v>46114.0</v>
      </c>
      <c r="H4366" s="76" t="s">
        <v>940</v>
      </c>
    </row>
    <row r="4367">
      <c r="A4367" s="76" t="s">
        <v>32</v>
      </c>
      <c r="B4367" s="76" t="s">
        <v>1026</v>
      </c>
      <c r="C4367" s="84">
        <v>2.2</v>
      </c>
      <c r="D4367" s="84">
        <v>0.0</v>
      </c>
      <c r="E4367" s="84">
        <v>0.0</v>
      </c>
      <c r="F4367" s="76" t="s">
        <v>990</v>
      </c>
      <c r="G4367" s="83">
        <v>46114.0</v>
      </c>
      <c r="H4367" s="76" t="s">
        <v>941</v>
      </c>
    </row>
    <row r="4368">
      <c r="A4368" s="76" t="s">
        <v>32</v>
      </c>
      <c r="B4368" s="76" t="s">
        <v>1026</v>
      </c>
      <c r="C4368" s="84">
        <v>4.04</v>
      </c>
      <c r="D4368" s="84">
        <v>0.0</v>
      </c>
      <c r="E4368" s="84">
        <v>0.0</v>
      </c>
      <c r="F4368" s="76" t="s">
        <v>990</v>
      </c>
      <c r="G4368" s="83">
        <v>46114.0</v>
      </c>
      <c r="H4368" s="76" t="s">
        <v>942</v>
      </c>
    </row>
    <row r="4369">
      <c r="A4369" s="76" t="s">
        <v>32</v>
      </c>
      <c r="B4369" s="76" t="s">
        <v>1026</v>
      </c>
      <c r="C4369" s="84">
        <v>2.79</v>
      </c>
      <c r="D4369" s="84">
        <v>0.0</v>
      </c>
      <c r="E4369" s="84">
        <v>0.0</v>
      </c>
      <c r="F4369" s="76" t="s">
        <v>990</v>
      </c>
      <c r="G4369" s="83">
        <v>46114.0</v>
      </c>
      <c r="H4369" s="76" t="s">
        <v>943</v>
      </c>
    </row>
    <row r="4370">
      <c r="A4370" s="76" t="s">
        <v>944</v>
      </c>
      <c r="B4370" s="76" t="s">
        <v>1026</v>
      </c>
      <c r="C4370" s="84">
        <v>3.62</v>
      </c>
      <c r="D4370" s="84">
        <v>0.0</v>
      </c>
      <c r="E4370" s="84">
        <v>0.0</v>
      </c>
      <c r="F4370" s="76" t="s">
        <v>990</v>
      </c>
      <c r="G4370" s="83">
        <v>46114.0</v>
      </c>
      <c r="H4370" s="76" t="s">
        <v>945</v>
      </c>
    </row>
    <row r="4371">
      <c r="A4371" s="76" t="s">
        <v>944</v>
      </c>
      <c r="B4371" s="76" t="s">
        <v>1026</v>
      </c>
      <c r="C4371" s="84">
        <v>1.99</v>
      </c>
      <c r="D4371" s="84">
        <v>0.0</v>
      </c>
      <c r="E4371" s="84">
        <v>0.0</v>
      </c>
      <c r="F4371" s="76" t="s">
        <v>990</v>
      </c>
      <c r="G4371" s="83">
        <v>46114.0</v>
      </c>
      <c r="H4371" s="76" t="s">
        <v>946</v>
      </c>
    </row>
    <row r="4372">
      <c r="A4372" s="76" t="s">
        <v>944</v>
      </c>
      <c r="B4372" s="76" t="s">
        <v>1026</v>
      </c>
      <c r="C4372" s="84">
        <v>1.47</v>
      </c>
      <c r="D4372" s="84">
        <v>0.0</v>
      </c>
      <c r="E4372" s="84">
        <v>0.0</v>
      </c>
      <c r="F4372" s="76" t="s">
        <v>990</v>
      </c>
      <c r="G4372" s="83">
        <v>46114.0</v>
      </c>
      <c r="H4372" s="76" t="s">
        <v>947</v>
      </c>
    </row>
    <row r="4373">
      <c r="A4373" s="76" t="s">
        <v>26</v>
      </c>
      <c r="B4373" s="76" t="s">
        <v>1026</v>
      </c>
      <c r="C4373" s="84">
        <v>2.91</v>
      </c>
      <c r="D4373" s="84">
        <v>0.0</v>
      </c>
      <c r="E4373" s="84">
        <v>0.0</v>
      </c>
      <c r="F4373" s="76" t="s">
        <v>990</v>
      </c>
      <c r="G4373" s="83">
        <v>46114.0</v>
      </c>
      <c r="H4373" s="76" t="s">
        <v>1012</v>
      </c>
    </row>
    <row r="4374">
      <c r="A4374" s="76" t="s">
        <v>26</v>
      </c>
      <c r="B4374" s="76" t="s">
        <v>1026</v>
      </c>
      <c r="C4374" s="84">
        <v>1.62</v>
      </c>
      <c r="D4374" s="84">
        <v>0.0</v>
      </c>
      <c r="E4374" s="84">
        <v>0.0</v>
      </c>
      <c r="F4374" s="76" t="s">
        <v>990</v>
      </c>
      <c r="G4374" s="83">
        <v>46114.0</v>
      </c>
      <c r="H4374" s="76" t="s">
        <v>1013</v>
      </c>
    </row>
    <row r="4375">
      <c r="A4375" s="76" t="s">
        <v>26</v>
      </c>
      <c r="B4375" s="76" t="s">
        <v>1026</v>
      </c>
      <c r="C4375" s="84">
        <v>1.41</v>
      </c>
      <c r="D4375" s="84">
        <v>0.0</v>
      </c>
      <c r="E4375" s="84">
        <v>0.0</v>
      </c>
      <c r="F4375" s="76" t="s">
        <v>990</v>
      </c>
      <c r="G4375" s="83">
        <v>46114.0</v>
      </c>
      <c r="H4375" s="76" t="s">
        <v>1014</v>
      </c>
    </row>
    <row r="4376">
      <c r="A4376" s="76" t="s">
        <v>36</v>
      </c>
      <c r="B4376" s="76" t="s">
        <v>1026</v>
      </c>
      <c r="C4376" s="84">
        <v>1.07</v>
      </c>
      <c r="D4376" s="84">
        <v>0.0</v>
      </c>
      <c r="E4376" s="84">
        <v>0.0</v>
      </c>
      <c r="F4376" s="76" t="s">
        <v>993</v>
      </c>
      <c r="G4376" s="83">
        <v>46114.0</v>
      </c>
      <c r="H4376" s="76" t="s">
        <v>926</v>
      </c>
    </row>
    <row r="4377">
      <c r="A4377" s="76" t="s">
        <v>36</v>
      </c>
      <c r="B4377" s="76" t="s">
        <v>1026</v>
      </c>
      <c r="C4377" s="84">
        <v>1.15</v>
      </c>
      <c r="D4377" s="84">
        <v>0.0</v>
      </c>
      <c r="E4377" s="84">
        <v>0.0</v>
      </c>
      <c r="F4377" s="76" t="s">
        <v>993</v>
      </c>
      <c r="G4377" s="83">
        <v>46114.0</v>
      </c>
      <c r="H4377" s="76" t="s">
        <v>927</v>
      </c>
    </row>
    <row r="4378">
      <c r="A4378" s="76" t="s">
        <v>36</v>
      </c>
      <c r="B4378" s="76" t="s">
        <v>1026</v>
      </c>
      <c r="C4378" s="84">
        <v>0.66</v>
      </c>
      <c r="D4378" s="84">
        <v>0.0</v>
      </c>
      <c r="E4378" s="84">
        <v>0.0</v>
      </c>
      <c r="F4378" s="76" t="s">
        <v>993</v>
      </c>
      <c r="G4378" s="83">
        <v>46114.0</v>
      </c>
      <c r="H4378" s="76" t="s">
        <v>928</v>
      </c>
    </row>
    <row r="4379">
      <c r="A4379" s="76" t="s">
        <v>31</v>
      </c>
      <c r="B4379" s="76" t="s">
        <v>1026</v>
      </c>
      <c r="C4379" s="84">
        <v>1.52</v>
      </c>
      <c r="D4379" s="84">
        <v>0.0</v>
      </c>
      <c r="E4379" s="84">
        <v>0.0</v>
      </c>
      <c r="F4379" s="76" t="s">
        <v>993</v>
      </c>
      <c r="G4379" s="83">
        <v>46114.0</v>
      </c>
      <c r="H4379" s="76" t="s">
        <v>929</v>
      </c>
    </row>
    <row r="4380">
      <c r="A4380" s="76" t="s">
        <v>31</v>
      </c>
      <c r="B4380" s="76" t="s">
        <v>1026</v>
      </c>
      <c r="C4380" s="84">
        <v>12.86</v>
      </c>
      <c r="D4380" s="84">
        <v>0.0</v>
      </c>
      <c r="E4380" s="84">
        <v>0.0</v>
      </c>
      <c r="F4380" s="76" t="s">
        <v>993</v>
      </c>
      <c r="G4380" s="83">
        <v>46114.0</v>
      </c>
      <c r="H4380" s="76" t="s">
        <v>930</v>
      </c>
    </row>
    <row r="4381">
      <c r="A4381" s="76" t="s">
        <v>28</v>
      </c>
      <c r="B4381" s="76" t="s">
        <v>1026</v>
      </c>
      <c r="C4381" s="84">
        <v>0.54</v>
      </c>
      <c r="D4381" s="84">
        <v>0.0</v>
      </c>
      <c r="E4381" s="84">
        <v>0.0</v>
      </c>
      <c r="F4381" s="76" t="s">
        <v>993</v>
      </c>
      <c r="G4381" s="83">
        <v>46114.0</v>
      </c>
      <c r="H4381" s="76" t="s">
        <v>931</v>
      </c>
    </row>
    <row r="4382">
      <c r="A4382" s="76" t="s">
        <v>28</v>
      </c>
      <c r="B4382" s="76" t="s">
        <v>1026</v>
      </c>
      <c r="C4382" s="84">
        <v>0.39</v>
      </c>
      <c r="D4382" s="84">
        <v>0.0</v>
      </c>
      <c r="E4382" s="84">
        <v>0.0</v>
      </c>
      <c r="F4382" s="76" t="s">
        <v>993</v>
      </c>
      <c r="G4382" s="83">
        <v>46114.0</v>
      </c>
      <c r="H4382" s="76" t="s">
        <v>932</v>
      </c>
    </row>
    <row r="4383">
      <c r="A4383" s="76" t="s">
        <v>28</v>
      </c>
      <c r="B4383" s="76" t="s">
        <v>1026</v>
      </c>
      <c r="C4383" s="84">
        <v>1.67</v>
      </c>
      <c r="D4383" s="84">
        <v>0.0</v>
      </c>
      <c r="E4383" s="84">
        <v>0.0</v>
      </c>
      <c r="F4383" s="76" t="s">
        <v>993</v>
      </c>
      <c r="G4383" s="83">
        <v>46114.0</v>
      </c>
      <c r="H4383" s="76" t="s">
        <v>933</v>
      </c>
    </row>
    <row r="4384">
      <c r="A4384" s="76" t="s">
        <v>42</v>
      </c>
      <c r="B4384" s="76" t="s">
        <v>1026</v>
      </c>
      <c r="C4384" s="84">
        <v>0.05</v>
      </c>
      <c r="D4384" s="84">
        <v>0.0</v>
      </c>
      <c r="E4384" s="84">
        <v>0.0</v>
      </c>
      <c r="F4384" s="76" t="s">
        <v>993</v>
      </c>
      <c r="G4384" s="83">
        <v>46114.0</v>
      </c>
      <c r="H4384" s="76" t="s">
        <v>991</v>
      </c>
    </row>
    <row r="4385">
      <c r="A4385" s="76" t="s">
        <v>42</v>
      </c>
      <c r="B4385" s="76" t="s">
        <v>1026</v>
      </c>
      <c r="C4385" s="84">
        <v>3.62</v>
      </c>
      <c r="D4385" s="84">
        <v>0.0</v>
      </c>
      <c r="E4385" s="84">
        <v>0.0</v>
      </c>
      <c r="F4385" s="76" t="s">
        <v>993</v>
      </c>
      <c r="G4385" s="83">
        <v>46114.0</v>
      </c>
      <c r="H4385" s="76" t="s">
        <v>935</v>
      </c>
    </row>
    <row r="4386">
      <c r="A4386" s="76" t="s">
        <v>45</v>
      </c>
      <c r="B4386" s="76" t="s">
        <v>1026</v>
      </c>
      <c r="C4386" s="84">
        <v>0.66</v>
      </c>
      <c r="D4386" s="84">
        <v>0.0</v>
      </c>
      <c r="E4386" s="84">
        <v>0.0</v>
      </c>
      <c r="F4386" s="76" t="s">
        <v>993</v>
      </c>
      <c r="G4386" s="83">
        <v>46114.0</v>
      </c>
      <c r="H4386" s="76" t="s">
        <v>936</v>
      </c>
    </row>
    <row r="4387">
      <c r="A4387" s="76" t="s">
        <v>45</v>
      </c>
      <c r="B4387" s="76" t="s">
        <v>1026</v>
      </c>
      <c r="C4387" s="84">
        <v>0.2</v>
      </c>
      <c r="D4387" s="84">
        <v>0.0</v>
      </c>
      <c r="E4387" s="84">
        <v>0.0</v>
      </c>
      <c r="F4387" s="76" t="s">
        <v>993</v>
      </c>
      <c r="G4387" s="83">
        <v>46114.0</v>
      </c>
      <c r="H4387" s="76" t="s">
        <v>937</v>
      </c>
    </row>
    <row r="4388">
      <c r="A4388" s="76" t="s">
        <v>45</v>
      </c>
      <c r="B4388" s="76" t="s">
        <v>1026</v>
      </c>
      <c r="C4388" s="84">
        <v>0.91</v>
      </c>
      <c r="D4388" s="84">
        <v>0.0</v>
      </c>
      <c r="E4388" s="84">
        <v>0.0</v>
      </c>
      <c r="F4388" s="76" t="s">
        <v>993</v>
      </c>
      <c r="G4388" s="83">
        <v>46114.0</v>
      </c>
      <c r="H4388" s="76" t="s">
        <v>938</v>
      </c>
    </row>
    <row r="4389">
      <c r="A4389" s="76" t="s">
        <v>50</v>
      </c>
      <c r="B4389" s="76" t="s">
        <v>1026</v>
      </c>
      <c r="C4389" s="84">
        <v>1.07</v>
      </c>
      <c r="D4389" s="84">
        <v>0.0</v>
      </c>
      <c r="E4389" s="84">
        <v>0.0</v>
      </c>
      <c r="F4389" s="76" t="s">
        <v>993</v>
      </c>
      <c r="G4389" s="83">
        <v>46114.0</v>
      </c>
      <c r="H4389" s="76" t="s">
        <v>939</v>
      </c>
    </row>
    <row r="4390">
      <c r="A4390" s="76" t="s">
        <v>50</v>
      </c>
      <c r="B4390" s="76" t="s">
        <v>1026</v>
      </c>
      <c r="C4390" s="84">
        <v>2.87</v>
      </c>
      <c r="D4390" s="84">
        <v>0.0</v>
      </c>
      <c r="E4390" s="84">
        <v>0.0</v>
      </c>
      <c r="F4390" s="76" t="s">
        <v>993</v>
      </c>
      <c r="G4390" s="83">
        <v>46114.0</v>
      </c>
      <c r="H4390" s="76" t="s">
        <v>940</v>
      </c>
    </row>
    <row r="4391">
      <c r="A4391" s="76" t="s">
        <v>32</v>
      </c>
      <c r="B4391" s="76" t="s">
        <v>1026</v>
      </c>
      <c r="C4391" s="84">
        <v>1.46</v>
      </c>
      <c r="D4391" s="84">
        <v>0.0</v>
      </c>
      <c r="E4391" s="84">
        <v>0.0</v>
      </c>
      <c r="F4391" s="76" t="s">
        <v>993</v>
      </c>
      <c r="G4391" s="83">
        <v>46114.0</v>
      </c>
      <c r="H4391" s="76" t="s">
        <v>941</v>
      </c>
    </row>
    <row r="4392">
      <c r="A4392" s="76" t="s">
        <v>32</v>
      </c>
      <c r="B4392" s="76" t="s">
        <v>1026</v>
      </c>
      <c r="C4392" s="84">
        <v>2.31</v>
      </c>
      <c r="D4392" s="84">
        <v>0.0</v>
      </c>
      <c r="E4392" s="84">
        <v>0.0</v>
      </c>
      <c r="F4392" s="76" t="s">
        <v>993</v>
      </c>
      <c r="G4392" s="83">
        <v>46114.0</v>
      </c>
      <c r="H4392" s="76" t="s">
        <v>942</v>
      </c>
    </row>
    <row r="4393">
      <c r="A4393" s="76" t="s">
        <v>32</v>
      </c>
      <c r="B4393" s="76" t="s">
        <v>1026</v>
      </c>
      <c r="C4393" s="84">
        <v>1.5</v>
      </c>
      <c r="D4393" s="84">
        <v>0.0</v>
      </c>
      <c r="E4393" s="84">
        <v>0.0</v>
      </c>
      <c r="F4393" s="76" t="s">
        <v>993</v>
      </c>
      <c r="G4393" s="83">
        <v>46114.0</v>
      </c>
      <c r="H4393" s="76" t="s">
        <v>943</v>
      </c>
    </row>
    <row r="4394">
      <c r="A4394" s="76" t="s">
        <v>944</v>
      </c>
      <c r="B4394" s="76" t="s">
        <v>1026</v>
      </c>
      <c r="C4394" s="84">
        <v>2.03</v>
      </c>
      <c r="D4394" s="84">
        <v>0.0</v>
      </c>
      <c r="E4394" s="84">
        <v>0.0</v>
      </c>
      <c r="F4394" s="76" t="s">
        <v>993</v>
      </c>
      <c r="G4394" s="83">
        <v>46114.0</v>
      </c>
      <c r="H4394" s="76" t="s">
        <v>945</v>
      </c>
    </row>
    <row r="4395">
      <c r="A4395" s="76" t="s">
        <v>944</v>
      </c>
      <c r="B4395" s="76" t="s">
        <v>1026</v>
      </c>
      <c r="C4395" s="84">
        <v>1.13</v>
      </c>
      <c r="D4395" s="84">
        <v>0.0</v>
      </c>
      <c r="E4395" s="84">
        <v>0.0</v>
      </c>
      <c r="F4395" s="76" t="s">
        <v>993</v>
      </c>
      <c r="G4395" s="83">
        <v>46114.0</v>
      </c>
      <c r="H4395" s="76" t="s">
        <v>946</v>
      </c>
    </row>
    <row r="4396">
      <c r="A4396" s="76" t="s">
        <v>944</v>
      </c>
      <c r="B4396" s="76" t="s">
        <v>1026</v>
      </c>
      <c r="C4396" s="84">
        <v>0.53</v>
      </c>
      <c r="D4396" s="84">
        <v>0.0</v>
      </c>
      <c r="E4396" s="84">
        <v>0.0</v>
      </c>
      <c r="F4396" s="76" t="s">
        <v>993</v>
      </c>
      <c r="G4396" s="83">
        <v>46114.0</v>
      </c>
      <c r="H4396" s="76" t="s">
        <v>947</v>
      </c>
    </row>
    <row r="4397">
      <c r="A4397" s="76" t="s">
        <v>26</v>
      </c>
      <c r="B4397" s="76" t="s">
        <v>1026</v>
      </c>
      <c r="C4397" s="84">
        <v>1.69</v>
      </c>
      <c r="D4397" s="84">
        <v>0.0</v>
      </c>
      <c r="E4397" s="84">
        <v>0.0</v>
      </c>
      <c r="F4397" s="76" t="s">
        <v>993</v>
      </c>
      <c r="G4397" s="83">
        <v>46114.0</v>
      </c>
      <c r="H4397" s="76" t="s">
        <v>1012</v>
      </c>
    </row>
    <row r="4398">
      <c r="A4398" s="76" t="s">
        <v>26</v>
      </c>
      <c r="B4398" s="76" t="s">
        <v>1026</v>
      </c>
      <c r="C4398" s="84">
        <v>0.95</v>
      </c>
      <c r="D4398" s="84">
        <v>0.0</v>
      </c>
      <c r="E4398" s="84">
        <v>0.0</v>
      </c>
      <c r="F4398" s="76" t="s">
        <v>993</v>
      </c>
      <c r="G4398" s="83">
        <v>46114.0</v>
      </c>
      <c r="H4398" s="76" t="s">
        <v>1013</v>
      </c>
    </row>
    <row r="4399">
      <c r="A4399" s="76" t="s">
        <v>26</v>
      </c>
      <c r="B4399" s="76" t="s">
        <v>1026</v>
      </c>
      <c r="C4399" s="84">
        <v>0.7</v>
      </c>
      <c r="D4399" s="84">
        <v>0.0</v>
      </c>
      <c r="E4399" s="84">
        <v>0.0</v>
      </c>
      <c r="F4399" s="76" t="s">
        <v>993</v>
      </c>
      <c r="G4399" s="83">
        <v>46114.0</v>
      </c>
      <c r="H4399" s="76" t="s">
        <v>1014</v>
      </c>
    </row>
    <row r="4400">
      <c r="A4400" s="76" t="s">
        <v>36</v>
      </c>
      <c r="B4400" s="76" t="s">
        <v>1026</v>
      </c>
      <c r="C4400" s="84">
        <v>0.62</v>
      </c>
      <c r="D4400" s="84">
        <v>0.0</v>
      </c>
      <c r="E4400" s="84">
        <v>0.0</v>
      </c>
      <c r="F4400" s="76" t="s">
        <v>994</v>
      </c>
      <c r="G4400" s="83">
        <v>46114.0</v>
      </c>
      <c r="H4400" s="76" t="s">
        <v>926</v>
      </c>
    </row>
    <row r="4401">
      <c r="A4401" s="76" t="s">
        <v>36</v>
      </c>
      <c r="B4401" s="76" t="s">
        <v>1026</v>
      </c>
      <c r="C4401" s="84">
        <v>0.66</v>
      </c>
      <c r="D4401" s="84">
        <v>0.0</v>
      </c>
      <c r="E4401" s="84">
        <v>0.0</v>
      </c>
      <c r="F4401" s="76" t="s">
        <v>994</v>
      </c>
      <c r="G4401" s="83">
        <v>46114.0</v>
      </c>
      <c r="H4401" s="76" t="s">
        <v>927</v>
      </c>
    </row>
    <row r="4402">
      <c r="A4402" s="76" t="s">
        <v>36</v>
      </c>
      <c r="B4402" s="76" t="s">
        <v>1026</v>
      </c>
      <c r="C4402" s="84">
        <v>0.42</v>
      </c>
      <c r="D4402" s="84">
        <v>0.0</v>
      </c>
      <c r="E4402" s="84">
        <v>0.0</v>
      </c>
      <c r="F4402" s="76" t="s">
        <v>994</v>
      </c>
      <c r="G4402" s="83">
        <v>46114.0</v>
      </c>
      <c r="H4402" s="76" t="s">
        <v>928</v>
      </c>
    </row>
    <row r="4403">
      <c r="A4403" s="76" t="s">
        <v>31</v>
      </c>
      <c r="B4403" s="76" t="s">
        <v>1026</v>
      </c>
      <c r="C4403" s="84">
        <v>1.01</v>
      </c>
      <c r="D4403" s="84">
        <v>0.0</v>
      </c>
      <c r="E4403" s="84">
        <v>0.0</v>
      </c>
      <c r="F4403" s="76" t="s">
        <v>994</v>
      </c>
      <c r="G4403" s="83">
        <v>46114.0</v>
      </c>
      <c r="H4403" s="76" t="s">
        <v>929</v>
      </c>
    </row>
    <row r="4404">
      <c r="A4404" s="76" t="s">
        <v>31</v>
      </c>
      <c r="B4404" s="76" t="s">
        <v>1026</v>
      </c>
      <c r="C4404" s="84">
        <v>8.83</v>
      </c>
      <c r="D4404" s="84">
        <v>0.0</v>
      </c>
      <c r="E4404" s="84">
        <v>0.0</v>
      </c>
      <c r="F4404" s="76" t="s">
        <v>994</v>
      </c>
      <c r="G4404" s="83">
        <v>46114.0</v>
      </c>
      <c r="H4404" s="76" t="s">
        <v>930</v>
      </c>
    </row>
    <row r="4405">
      <c r="A4405" s="76" t="s">
        <v>28</v>
      </c>
      <c r="B4405" s="76" t="s">
        <v>1026</v>
      </c>
      <c r="C4405" s="84">
        <v>0.4</v>
      </c>
      <c r="D4405" s="84">
        <v>0.0</v>
      </c>
      <c r="E4405" s="84">
        <v>0.0</v>
      </c>
      <c r="F4405" s="76" t="s">
        <v>994</v>
      </c>
      <c r="G4405" s="83">
        <v>46114.0</v>
      </c>
      <c r="H4405" s="76" t="s">
        <v>931</v>
      </c>
    </row>
    <row r="4406">
      <c r="A4406" s="76" t="s">
        <v>28</v>
      </c>
      <c r="B4406" s="76" t="s">
        <v>1026</v>
      </c>
      <c r="C4406" s="84">
        <v>0.22</v>
      </c>
      <c r="D4406" s="84">
        <v>0.0</v>
      </c>
      <c r="E4406" s="84">
        <v>0.0</v>
      </c>
      <c r="F4406" s="76" t="s">
        <v>994</v>
      </c>
      <c r="G4406" s="83">
        <v>46114.0</v>
      </c>
      <c r="H4406" s="76" t="s">
        <v>932</v>
      </c>
    </row>
    <row r="4407">
      <c r="A4407" s="76" t="s">
        <v>28</v>
      </c>
      <c r="B4407" s="76" t="s">
        <v>1026</v>
      </c>
      <c r="C4407" s="84">
        <v>1.06</v>
      </c>
      <c r="D4407" s="84">
        <v>0.0</v>
      </c>
      <c r="E4407" s="84">
        <v>0.0</v>
      </c>
      <c r="F4407" s="76" t="s">
        <v>994</v>
      </c>
      <c r="G4407" s="83">
        <v>46114.0</v>
      </c>
      <c r="H4407" s="76" t="s">
        <v>933</v>
      </c>
    </row>
    <row r="4408">
      <c r="A4408" s="76" t="s">
        <v>42</v>
      </c>
      <c r="B4408" s="76" t="s">
        <v>1026</v>
      </c>
      <c r="C4408" s="84">
        <v>0.02</v>
      </c>
      <c r="D4408" s="84">
        <v>0.0</v>
      </c>
      <c r="E4408" s="84">
        <v>0.0</v>
      </c>
      <c r="F4408" s="76" t="s">
        <v>994</v>
      </c>
      <c r="G4408" s="83">
        <v>46114.0</v>
      </c>
      <c r="H4408" s="76" t="s">
        <v>991</v>
      </c>
    </row>
    <row r="4409">
      <c r="A4409" s="76" t="s">
        <v>42</v>
      </c>
      <c r="B4409" s="76" t="s">
        <v>1026</v>
      </c>
      <c r="C4409" s="84">
        <v>2.25</v>
      </c>
      <c r="D4409" s="84">
        <v>0.0</v>
      </c>
      <c r="E4409" s="84">
        <v>0.0</v>
      </c>
      <c r="F4409" s="76" t="s">
        <v>994</v>
      </c>
      <c r="G4409" s="83">
        <v>46114.0</v>
      </c>
      <c r="H4409" s="76" t="s">
        <v>935</v>
      </c>
    </row>
    <row r="4410">
      <c r="A4410" s="76" t="s">
        <v>45</v>
      </c>
      <c r="B4410" s="76" t="s">
        <v>1026</v>
      </c>
      <c r="C4410" s="84">
        <v>0.58</v>
      </c>
      <c r="D4410" s="84">
        <v>0.0</v>
      </c>
      <c r="E4410" s="84">
        <v>0.0</v>
      </c>
      <c r="F4410" s="76" t="s">
        <v>994</v>
      </c>
      <c r="G4410" s="83">
        <v>46114.0</v>
      </c>
      <c r="H4410" s="76" t="s">
        <v>936</v>
      </c>
    </row>
    <row r="4411">
      <c r="A4411" s="76" t="s">
        <v>45</v>
      </c>
      <c r="B4411" s="76" t="s">
        <v>1026</v>
      </c>
      <c r="C4411" s="84">
        <v>0.13</v>
      </c>
      <c r="D4411" s="84">
        <v>0.0</v>
      </c>
      <c r="E4411" s="84">
        <v>0.0</v>
      </c>
      <c r="F4411" s="76" t="s">
        <v>994</v>
      </c>
      <c r="G4411" s="83">
        <v>46114.0</v>
      </c>
      <c r="H4411" s="76" t="s">
        <v>937</v>
      </c>
    </row>
    <row r="4412">
      <c r="A4412" s="76" t="s">
        <v>45</v>
      </c>
      <c r="B4412" s="76" t="s">
        <v>1026</v>
      </c>
      <c r="C4412" s="84">
        <v>0.59</v>
      </c>
      <c r="D4412" s="84">
        <v>0.0</v>
      </c>
      <c r="E4412" s="84">
        <v>0.0</v>
      </c>
      <c r="F4412" s="76" t="s">
        <v>994</v>
      </c>
      <c r="G4412" s="83">
        <v>46114.0</v>
      </c>
      <c r="H4412" s="76" t="s">
        <v>938</v>
      </c>
    </row>
    <row r="4413">
      <c r="A4413" s="76" t="s">
        <v>50</v>
      </c>
      <c r="B4413" s="76" t="s">
        <v>1026</v>
      </c>
      <c r="C4413" s="84">
        <v>0.58</v>
      </c>
      <c r="D4413" s="84">
        <v>0.0</v>
      </c>
      <c r="E4413" s="84">
        <v>0.0</v>
      </c>
      <c r="F4413" s="76" t="s">
        <v>994</v>
      </c>
      <c r="G4413" s="83">
        <v>46114.0</v>
      </c>
      <c r="H4413" s="76" t="s">
        <v>939</v>
      </c>
    </row>
    <row r="4414">
      <c r="A4414" s="76" t="s">
        <v>50</v>
      </c>
      <c r="B4414" s="76" t="s">
        <v>1026</v>
      </c>
      <c r="C4414" s="84">
        <v>1.83</v>
      </c>
      <c r="D4414" s="84">
        <v>0.0</v>
      </c>
      <c r="E4414" s="84">
        <v>0.0</v>
      </c>
      <c r="F4414" s="76" t="s">
        <v>994</v>
      </c>
      <c r="G4414" s="83">
        <v>46114.0</v>
      </c>
      <c r="H4414" s="76" t="s">
        <v>940</v>
      </c>
    </row>
    <row r="4415">
      <c r="A4415" s="76" t="s">
        <v>32</v>
      </c>
      <c r="B4415" s="76" t="s">
        <v>1026</v>
      </c>
      <c r="C4415" s="84">
        <v>1.1</v>
      </c>
      <c r="D4415" s="84">
        <v>0.0</v>
      </c>
      <c r="E4415" s="84">
        <v>0.0</v>
      </c>
      <c r="F4415" s="76" t="s">
        <v>994</v>
      </c>
      <c r="G4415" s="83">
        <v>46114.0</v>
      </c>
      <c r="H4415" s="76" t="s">
        <v>941</v>
      </c>
    </row>
    <row r="4416">
      <c r="A4416" s="76" t="s">
        <v>32</v>
      </c>
      <c r="B4416" s="76" t="s">
        <v>1026</v>
      </c>
      <c r="C4416" s="84">
        <v>1.76</v>
      </c>
      <c r="D4416" s="84">
        <v>0.0</v>
      </c>
      <c r="E4416" s="84">
        <v>0.0</v>
      </c>
      <c r="F4416" s="76" t="s">
        <v>994</v>
      </c>
      <c r="G4416" s="83">
        <v>46114.0</v>
      </c>
      <c r="H4416" s="76" t="s">
        <v>942</v>
      </c>
    </row>
    <row r="4417">
      <c r="A4417" s="76" t="s">
        <v>32</v>
      </c>
      <c r="B4417" s="76" t="s">
        <v>1026</v>
      </c>
      <c r="C4417" s="84">
        <v>1.73</v>
      </c>
      <c r="D4417" s="84">
        <v>0.0</v>
      </c>
      <c r="E4417" s="84">
        <v>0.0</v>
      </c>
      <c r="F4417" s="76" t="s">
        <v>994</v>
      </c>
      <c r="G4417" s="83">
        <v>46114.0</v>
      </c>
      <c r="H4417" s="76" t="s">
        <v>943</v>
      </c>
    </row>
    <row r="4418">
      <c r="A4418" s="76" t="s">
        <v>944</v>
      </c>
      <c r="B4418" s="76" t="s">
        <v>1026</v>
      </c>
      <c r="C4418" s="84">
        <v>1.34</v>
      </c>
      <c r="D4418" s="84">
        <v>0.0</v>
      </c>
      <c r="E4418" s="84">
        <v>0.0</v>
      </c>
      <c r="F4418" s="76" t="s">
        <v>994</v>
      </c>
      <c r="G4418" s="83">
        <v>46114.0</v>
      </c>
      <c r="H4418" s="76" t="s">
        <v>945</v>
      </c>
    </row>
    <row r="4419">
      <c r="A4419" s="76" t="s">
        <v>944</v>
      </c>
      <c r="B4419" s="76" t="s">
        <v>1026</v>
      </c>
      <c r="C4419" s="84">
        <v>0.78</v>
      </c>
      <c r="D4419" s="84">
        <v>0.0</v>
      </c>
      <c r="E4419" s="84">
        <v>0.0</v>
      </c>
      <c r="F4419" s="76" t="s">
        <v>994</v>
      </c>
      <c r="G4419" s="83">
        <v>46114.0</v>
      </c>
      <c r="H4419" s="76" t="s">
        <v>946</v>
      </c>
    </row>
    <row r="4420">
      <c r="A4420" s="76" t="s">
        <v>944</v>
      </c>
      <c r="B4420" s="76" t="s">
        <v>1026</v>
      </c>
      <c r="C4420" s="84">
        <v>0.49</v>
      </c>
      <c r="D4420" s="84">
        <v>0.0</v>
      </c>
      <c r="E4420" s="84">
        <v>0.0</v>
      </c>
      <c r="F4420" s="76" t="s">
        <v>994</v>
      </c>
      <c r="G4420" s="83">
        <v>46114.0</v>
      </c>
      <c r="H4420" s="76" t="s">
        <v>947</v>
      </c>
    </row>
    <row r="4421">
      <c r="A4421" s="76" t="s">
        <v>26</v>
      </c>
      <c r="B4421" s="76" t="s">
        <v>1026</v>
      </c>
      <c r="C4421" s="84">
        <v>1.16</v>
      </c>
      <c r="D4421" s="84">
        <v>0.0</v>
      </c>
      <c r="E4421" s="84">
        <v>0.0</v>
      </c>
      <c r="F4421" s="76" t="s">
        <v>994</v>
      </c>
      <c r="G4421" s="83">
        <v>46114.0</v>
      </c>
      <c r="H4421" s="76" t="s">
        <v>1012</v>
      </c>
    </row>
    <row r="4422">
      <c r="A4422" s="76" t="s">
        <v>26</v>
      </c>
      <c r="B4422" s="76" t="s">
        <v>1026</v>
      </c>
      <c r="C4422" s="84">
        <v>0.4</v>
      </c>
      <c r="D4422" s="84">
        <v>0.0</v>
      </c>
      <c r="E4422" s="84">
        <v>0.0</v>
      </c>
      <c r="F4422" s="76" t="s">
        <v>994</v>
      </c>
      <c r="G4422" s="83">
        <v>46114.0</v>
      </c>
      <c r="H4422" s="76" t="s">
        <v>1013</v>
      </c>
    </row>
    <row r="4423">
      <c r="A4423" s="76" t="s">
        <v>26</v>
      </c>
      <c r="B4423" s="76" t="s">
        <v>1026</v>
      </c>
      <c r="C4423" s="84">
        <v>0.51</v>
      </c>
      <c r="D4423" s="84">
        <v>0.0</v>
      </c>
      <c r="E4423" s="84">
        <v>0.0</v>
      </c>
      <c r="F4423" s="76" t="s">
        <v>994</v>
      </c>
      <c r="G4423" s="83">
        <v>46114.0</v>
      </c>
      <c r="H4423" s="76" t="s">
        <v>1014</v>
      </c>
    </row>
    <row r="4424">
      <c r="A4424" s="76" t="s">
        <v>36</v>
      </c>
      <c r="B4424" s="76" t="s">
        <v>1026</v>
      </c>
      <c r="C4424" s="84">
        <v>1.35</v>
      </c>
      <c r="D4424" s="84">
        <v>0.0</v>
      </c>
      <c r="E4424" s="84">
        <v>0.0</v>
      </c>
      <c r="F4424" s="76" t="s">
        <v>1005</v>
      </c>
      <c r="G4424" s="83">
        <v>46114.0</v>
      </c>
      <c r="H4424" s="76" t="s">
        <v>926</v>
      </c>
    </row>
    <row r="4425">
      <c r="A4425" s="76" t="s">
        <v>36</v>
      </c>
      <c r="B4425" s="76" t="s">
        <v>1026</v>
      </c>
      <c r="C4425" s="84">
        <v>1.43</v>
      </c>
      <c r="D4425" s="84">
        <v>0.0</v>
      </c>
      <c r="E4425" s="84">
        <v>0.0</v>
      </c>
      <c r="F4425" s="76" t="s">
        <v>1005</v>
      </c>
      <c r="G4425" s="83">
        <v>46114.0</v>
      </c>
      <c r="H4425" s="76" t="s">
        <v>927</v>
      </c>
    </row>
    <row r="4426">
      <c r="A4426" s="76" t="s">
        <v>36</v>
      </c>
      <c r="B4426" s="76" t="s">
        <v>1026</v>
      </c>
      <c r="C4426" s="84">
        <v>1.18</v>
      </c>
      <c r="D4426" s="84">
        <v>0.0</v>
      </c>
      <c r="E4426" s="84">
        <v>0.0</v>
      </c>
      <c r="F4426" s="76" t="s">
        <v>1005</v>
      </c>
      <c r="G4426" s="83">
        <v>46114.0</v>
      </c>
      <c r="H4426" s="76" t="s">
        <v>928</v>
      </c>
    </row>
    <row r="4427">
      <c r="A4427" s="76" t="s">
        <v>31</v>
      </c>
      <c r="B4427" s="76" t="s">
        <v>1026</v>
      </c>
      <c r="C4427" s="84">
        <v>2.44</v>
      </c>
      <c r="D4427" s="84">
        <v>0.0</v>
      </c>
      <c r="E4427" s="84">
        <v>0.0</v>
      </c>
      <c r="F4427" s="76" t="s">
        <v>1005</v>
      </c>
      <c r="G4427" s="83">
        <v>46114.0</v>
      </c>
      <c r="H4427" s="76" t="s">
        <v>929</v>
      </c>
    </row>
    <row r="4428">
      <c r="A4428" s="76" t="s">
        <v>31</v>
      </c>
      <c r="B4428" s="76" t="s">
        <v>1026</v>
      </c>
      <c r="C4428" s="84">
        <v>17.08</v>
      </c>
      <c r="D4428" s="84">
        <v>0.0</v>
      </c>
      <c r="E4428" s="84">
        <v>0.0</v>
      </c>
      <c r="F4428" s="76" t="s">
        <v>1005</v>
      </c>
      <c r="G4428" s="83">
        <v>46114.0</v>
      </c>
      <c r="H4428" s="76" t="s">
        <v>930</v>
      </c>
    </row>
    <row r="4429">
      <c r="A4429" s="76" t="s">
        <v>28</v>
      </c>
      <c r="B4429" s="76" t="s">
        <v>1026</v>
      </c>
      <c r="C4429" s="84">
        <v>0.52</v>
      </c>
      <c r="D4429" s="84">
        <v>0.0</v>
      </c>
      <c r="E4429" s="84">
        <v>0.0</v>
      </c>
      <c r="F4429" s="76" t="s">
        <v>1005</v>
      </c>
      <c r="G4429" s="83">
        <v>46114.0</v>
      </c>
      <c r="H4429" s="76" t="s">
        <v>931</v>
      </c>
    </row>
    <row r="4430">
      <c r="A4430" s="76" t="s">
        <v>28</v>
      </c>
      <c r="B4430" s="76" t="s">
        <v>1026</v>
      </c>
      <c r="C4430" s="84">
        <v>0.51</v>
      </c>
      <c r="D4430" s="84">
        <v>0.0</v>
      </c>
      <c r="E4430" s="84">
        <v>0.0</v>
      </c>
      <c r="F4430" s="76" t="s">
        <v>1005</v>
      </c>
      <c r="G4430" s="83">
        <v>46114.0</v>
      </c>
      <c r="H4430" s="76" t="s">
        <v>932</v>
      </c>
    </row>
    <row r="4431">
      <c r="A4431" s="76" t="s">
        <v>28</v>
      </c>
      <c r="B4431" s="76" t="s">
        <v>1026</v>
      </c>
      <c r="C4431" s="84">
        <v>2.51</v>
      </c>
      <c r="D4431" s="84">
        <v>0.0</v>
      </c>
      <c r="E4431" s="84">
        <v>0.0</v>
      </c>
      <c r="F4431" s="76" t="s">
        <v>1005</v>
      </c>
      <c r="G4431" s="83">
        <v>46114.0</v>
      </c>
      <c r="H4431" s="76" t="s">
        <v>933</v>
      </c>
    </row>
    <row r="4432">
      <c r="A4432" s="76" t="s">
        <v>42</v>
      </c>
      <c r="B4432" s="76" t="s">
        <v>1026</v>
      </c>
      <c r="C4432" s="84">
        <v>0.21</v>
      </c>
      <c r="D4432" s="84">
        <v>0.0</v>
      </c>
      <c r="E4432" s="84">
        <v>0.0</v>
      </c>
      <c r="F4432" s="76" t="s">
        <v>1005</v>
      </c>
      <c r="G4432" s="83">
        <v>46114.0</v>
      </c>
      <c r="H4432" s="76" t="s">
        <v>991</v>
      </c>
    </row>
    <row r="4433">
      <c r="A4433" s="76" t="s">
        <v>42</v>
      </c>
      <c r="B4433" s="76" t="s">
        <v>1026</v>
      </c>
      <c r="C4433" s="84">
        <v>3.33</v>
      </c>
      <c r="D4433" s="84">
        <v>0.0</v>
      </c>
      <c r="E4433" s="84">
        <v>0.0</v>
      </c>
      <c r="F4433" s="76" t="s">
        <v>1005</v>
      </c>
      <c r="G4433" s="83">
        <v>46114.0</v>
      </c>
      <c r="H4433" s="76" t="s">
        <v>935</v>
      </c>
    </row>
    <row r="4434">
      <c r="A4434" s="76" t="s">
        <v>45</v>
      </c>
      <c r="B4434" s="76" t="s">
        <v>1026</v>
      </c>
      <c r="C4434" s="84">
        <v>0.97</v>
      </c>
      <c r="D4434" s="84">
        <v>0.0</v>
      </c>
      <c r="E4434" s="84">
        <v>0.0</v>
      </c>
      <c r="F4434" s="76" t="s">
        <v>1005</v>
      </c>
      <c r="G4434" s="83">
        <v>46114.0</v>
      </c>
      <c r="H4434" s="76" t="s">
        <v>936</v>
      </c>
    </row>
    <row r="4435">
      <c r="A4435" s="76" t="s">
        <v>45</v>
      </c>
      <c r="B4435" s="76" t="s">
        <v>1026</v>
      </c>
      <c r="C4435" s="84">
        <v>0.83</v>
      </c>
      <c r="D4435" s="84">
        <v>0.0</v>
      </c>
      <c r="E4435" s="84">
        <v>0.0</v>
      </c>
      <c r="F4435" s="76" t="s">
        <v>1005</v>
      </c>
      <c r="G4435" s="83">
        <v>46114.0</v>
      </c>
      <c r="H4435" s="76" t="s">
        <v>937</v>
      </c>
    </row>
    <row r="4436">
      <c r="A4436" s="76" t="s">
        <v>45</v>
      </c>
      <c r="B4436" s="76" t="s">
        <v>1026</v>
      </c>
      <c r="C4436" s="84">
        <v>1.08</v>
      </c>
      <c r="D4436" s="84">
        <v>0.0</v>
      </c>
      <c r="E4436" s="84">
        <v>0.0</v>
      </c>
      <c r="F4436" s="76" t="s">
        <v>1005</v>
      </c>
      <c r="G4436" s="83">
        <v>46114.0</v>
      </c>
      <c r="H4436" s="76" t="s">
        <v>938</v>
      </c>
    </row>
    <row r="4437">
      <c r="A4437" s="76" t="s">
        <v>50</v>
      </c>
      <c r="B4437" s="76" t="s">
        <v>1026</v>
      </c>
      <c r="C4437" s="84">
        <v>1.08</v>
      </c>
      <c r="D4437" s="84">
        <v>0.0</v>
      </c>
      <c r="E4437" s="84">
        <v>0.0</v>
      </c>
      <c r="F4437" s="76" t="s">
        <v>1005</v>
      </c>
      <c r="G4437" s="83">
        <v>46114.0</v>
      </c>
      <c r="H4437" s="76" t="s">
        <v>939</v>
      </c>
    </row>
    <row r="4438">
      <c r="A4438" s="76" t="s">
        <v>50</v>
      </c>
      <c r="B4438" s="76" t="s">
        <v>1026</v>
      </c>
      <c r="C4438" s="84">
        <v>2.39</v>
      </c>
      <c r="D4438" s="84">
        <v>0.0</v>
      </c>
      <c r="E4438" s="84">
        <v>0.0</v>
      </c>
      <c r="F4438" s="76" t="s">
        <v>1005</v>
      </c>
      <c r="G4438" s="83">
        <v>46114.0</v>
      </c>
      <c r="H4438" s="76" t="s">
        <v>940</v>
      </c>
    </row>
    <row r="4439">
      <c r="A4439" s="76" t="s">
        <v>32</v>
      </c>
      <c r="B4439" s="76" t="s">
        <v>1026</v>
      </c>
      <c r="C4439" s="84">
        <v>3.29</v>
      </c>
      <c r="D4439" s="84">
        <v>0.0</v>
      </c>
      <c r="E4439" s="84">
        <v>0.0</v>
      </c>
      <c r="F4439" s="76" t="s">
        <v>1005</v>
      </c>
      <c r="G4439" s="83">
        <v>46114.0</v>
      </c>
      <c r="H4439" s="76" t="s">
        <v>941</v>
      </c>
    </row>
    <row r="4440">
      <c r="A4440" s="76" t="s">
        <v>32</v>
      </c>
      <c r="B4440" s="76" t="s">
        <v>1026</v>
      </c>
      <c r="C4440" s="84">
        <v>3.46</v>
      </c>
      <c r="D4440" s="84">
        <v>0.0</v>
      </c>
      <c r="E4440" s="84">
        <v>0.0</v>
      </c>
      <c r="F4440" s="76" t="s">
        <v>1005</v>
      </c>
      <c r="G4440" s="83">
        <v>46114.0</v>
      </c>
      <c r="H4440" s="76" t="s">
        <v>942</v>
      </c>
    </row>
    <row r="4441">
      <c r="A4441" s="76" t="s">
        <v>32</v>
      </c>
      <c r="B4441" s="76" t="s">
        <v>1026</v>
      </c>
      <c r="C4441" s="84">
        <v>2.23</v>
      </c>
      <c r="D4441" s="84">
        <v>0.0</v>
      </c>
      <c r="E4441" s="84">
        <v>0.0</v>
      </c>
      <c r="F4441" s="76" t="s">
        <v>1005</v>
      </c>
      <c r="G4441" s="83">
        <v>46114.0</v>
      </c>
      <c r="H4441" s="76" t="s">
        <v>943</v>
      </c>
    </row>
    <row r="4442">
      <c r="A4442" s="76" t="s">
        <v>944</v>
      </c>
      <c r="B4442" s="76" t="s">
        <v>1026</v>
      </c>
      <c r="C4442" s="84">
        <v>1.93</v>
      </c>
      <c r="D4442" s="84">
        <v>0.0</v>
      </c>
      <c r="E4442" s="84">
        <v>0.0</v>
      </c>
      <c r="F4442" s="76" t="s">
        <v>1005</v>
      </c>
      <c r="G4442" s="83">
        <v>46114.0</v>
      </c>
      <c r="H4442" s="76" t="s">
        <v>945</v>
      </c>
    </row>
    <row r="4443">
      <c r="A4443" s="76" t="s">
        <v>944</v>
      </c>
      <c r="B4443" s="76" t="s">
        <v>1026</v>
      </c>
      <c r="C4443" s="84">
        <v>0.95</v>
      </c>
      <c r="D4443" s="84">
        <v>0.0</v>
      </c>
      <c r="E4443" s="84">
        <v>0.0</v>
      </c>
      <c r="F4443" s="76" t="s">
        <v>1005</v>
      </c>
      <c r="G4443" s="83">
        <v>46114.0</v>
      </c>
      <c r="H4443" s="76" t="s">
        <v>946</v>
      </c>
    </row>
    <row r="4444">
      <c r="A4444" s="76" t="s">
        <v>944</v>
      </c>
      <c r="B4444" s="76" t="s">
        <v>1026</v>
      </c>
      <c r="C4444" s="84">
        <v>1.0</v>
      </c>
      <c r="D4444" s="84">
        <v>1.0</v>
      </c>
      <c r="E4444" s="84">
        <v>1.0</v>
      </c>
      <c r="F4444" s="76" t="s">
        <v>1005</v>
      </c>
      <c r="G4444" s="83">
        <v>46114.0</v>
      </c>
      <c r="H4444" s="76" t="s">
        <v>947</v>
      </c>
    </row>
    <row r="4445">
      <c r="A4445" s="76" t="s">
        <v>26</v>
      </c>
      <c r="B4445" s="76" t="s">
        <v>1026</v>
      </c>
      <c r="C4445" s="84">
        <v>1.44</v>
      </c>
      <c r="D4445" s="84">
        <v>0.0</v>
      </c>
      <c r="E4445" s="84">
        <v>0.0</v>
      </c>
      <c r="F4445" s="76" t="s">
        <v>1005</v>
      </c>
      <c r="G4445" s="83">
        <v>46114.0</v>
      </c>
      <c r="H4445" s="76" t="s">
        <v>1012</v>
      </c>
    </row>
    <row r="4446">
      <c r="A4446" s="76" t="s">
        <v>26</v>
      </c>
      <c r="B4446" s="76" t="s">
        <v>1026</v>
      </c>
      <c r="C4446" s="84">
        <v>0.75</v>
      </c>
      <c r="D4446" s="84">
        <v>0.0</v>
      </c>
      <c r="E4446" s="84">
        <v>0.0</v>
      </c>
      <c r="F4446" s="76" t="s">
        <v>1005</v>
      </c>
      <c r="G4446" s="83">
        <v>46114.0</v>
      </c>
      <c r="H4446" s="76" t="s">
        <v>1013</v>
      </c>
    </row>
    <row r="4447">
      <c r="A4447" s="76" t="s">
        <v>26</v>
      </c>
      <c r="B4447" s="76" t="s">
        <v>1026</v>
      </c>
      <c r="C4447" s="84">
        <v>2.13</v>
      </c>
      <c r="D4447" s="84">
        <v>0.0</v>
      </c>
      <c r="E4447" s="84">
        <v>0.0</v>
      </c>
      <c r="F4447" s="76" t="s">
        <v>1005</v>
      </c>
      <c r="G4447" s="83">
        <v>46114.0</v>
      </c>
      <c r="H4447" s="76" t="s">
        <v>1014</v>
      </c>
    </row>
    <row r="4448">
      <c r="A4448" s="76" t="s">
        <v>36</v>
      </c>
      <c r="B4448" s="76" t="s">
        <v>1026</v>
      </c>
      <c r="C4448" s="84">
        <v>0.77</v>
      </c>
      <c r="D4448" s="84">
        <v>0.0</v>
      </c>
      <c r="E4448" s="84">
        <v>0.0</v>
      </c>
      <c r="F4448" s="76" t="s">
        <v>996</v>
      </c>
      <c r="G4448" s="83">
        <v>46114.0</v>
      </c>
      <c r="H4448" s="76" t="s">
        <v>926</v>
      </c>
    </row>
    <row r="4449">
      <c r="A4449" s="76" t="s">
        <v>36</v>
      </c>
      <c r="B4449" s="76" t="s">
        <v>1026</v>
      </c>
      <c r="C4449" s="84">
        <v>0.82</v>
      </c>
      <c r="D4449" s="84">
        <v>0.0</v>
      </c>
      <c r="E4449" s="84">
        <v>0.0</v>
      </c>
      <c r="F4449" s="76" t="s">
        <v>996</v>
      </c>
      <c r="G4449" s="83">
        <v>46114.0</v>
      </c>
      <c r="H4449" s="76" t="s">
        <v>927</v>
      </c>
    </row>
    <row r="4450">
      <c r="A4450" s="76" t="s">
        <v>36</v>
      </c>
      <c r="B4450" s="76" t="s">
        <v>1026</v>
      </c>
      <c r="C4450" s="84">
        <v>0.79</v>
      </c>
      <c r="D4450" s="84">
        <v>0.0</v>
      </c>
      <c r="E4450" s="84">
        <v>0.0</v>
      </c>
      <c r="F4450" s="76" t="s">
        <v>996</v>
      </c>
      <c r="G4450" s="83">
        <v>46114.0</v>
      </c>
      <c r="H4450" s="76" t="s">
        <v>928</v>
      </c>
    </row>
    <row r="4451">
      <c r="A4451" s="76" t="s">
        <v>31</v>
      </c>
      <c r="B4451" s="76" t="s">
        <v>1026</v>
      </c>
      <c r="C4451" s="84">
        <v>1.23</v>
      </c>
      <c r="D4451" s="84">
        <v>0.0</v>
      </c>
      <c r="E4451" s="84">
        <v>0.0</v>
      </c>
      <c r="F4451" s="76" t="s">
        <v>996</v>
      </c>
      <c r="G4451" s="83">
        <v>46114.0</v>
      </c>
      <c r="H4451" s="76" t="s">
        <v>929</v>
      </c>
    </row>
    <row r="4452">
      <c r="A4452" s="76" t="s">
        <v>31</v>
      </c>
      <c r="B4452" s="76" t="s">
        <v>1026</v>
      </c>
      <c r="C4452" s="84">
        <v>11.21</v>
      </c>
      <c r="D4452" s="84">
        <v>0.0</v>
      </c>
      <c r="E4452" s="84">
        <v>0.0</v>
      </c>
      <c r="F4452" s="76" t="s">
        <v>996</v>
      </c>
      <c r="G4452" s="83">
        <v>46114.0</v>
      </c>
      <c r="H4452" s="76" t="s">
        <v>930</v>
      </c>
    </row>
    <row r="4453">
      <c r="A4453" s="76" t="s">
        <v>28</v>
      </c>
      <c r="B4453" s="76" t="s">
        <v>1026</v>
      </c>
      <c r="C4453" s="84">
        <v>0.27</v>
      </c>
      <c r="D4453" s="84">
        <v>0.0</v>
      </c>
      <c r="E4453" s="84">
        <v>0.0</v>
      </c>
      <c r="F4453" s="76" t="s">
        <v>996</v>
      </c>
      <c r="G4453" s="83">
        <v>46114.0</v>
      </c>
      <c r="H4453" s="76" t="s">
        <v>931</v>
      </c>
    </row>
    <row r="4454">
      <c r="A4454" s="76" t="s">
        <v>28</v>
      </c>
      <c r="B4454" s="76" t="s">
        <v>1026</v>
      </c>
      <c r="C4454" s="84">
        <v>0.24</v>
      </c>
      <c r="D4454" s="84">
        <v>0.0</v>
      </c>
      <c r="E4454" s="84">
        <v>0.0</v>
      </c>
      <c r="F4454" s="76" t="s">
        <v>996</v>
      </c>
      <c r="G4454" s="83">
        <v>46114.0</v>
      </c>
      <c r="H4454" s="76" t="s">
        <v>932</v>
      </c>
    </row>
    <row r="4455">
      <c r="A4455" s="76" t="s">
        <v>28</v>
      </c>
      <c r="B4455" s="76" t="s">
        <v>1026</v>
      </c>
      <c r="C4455" s="84">
        <v>1.58</v>
      </c>
      <c r="D4455" s="84">
        <v>0.0</v>
      </c>
      <c r="E4455" s="84">
        <v>0.0</v>
      </c>
      <c r="F4455" s="76" t="s">
        <v>996</v>
      </c>
      <c r="G4455" s="83">
        <v>46114.0</v>
      </c>
      <c r="H4455" s="76" t="s">
        <v>933</v>
      </c>
    </row>
    <row r="4456">
      <c r="A4456" s="76" t="s">
        <v>42</v>
      </c>
      <c r="B4456" s="76" t="s">
        <v>1026</v>
      </c>
      <c r="C4456" s="84">
        <v>0.04</v>
      </c>
      <c r="D4456" s="84">
        <v>0.0</v>
      </c>
      <c r="E4456" s="84">
        <v>0.0</v>
      </c>
      <c r="F4456" s="76" t="s">
        <v>996</v>
      </c>
      <c r="G4456" s="83">
        <v>46114.0</v>
      </c>
      <c r="H4456" s="76" t="s">
        <v>991</v>
      </c>
    </row>
    <row r="4457">
      <c r="A4457" s="76" t="s">
        <v>42</v>
      </c>
      <c r="B4457" s="76" t="s">
        <v>1026</v>
      </c>
      <c r="C4457" s="84">
        <v>2.75</v>
      </c>
      <c r="D4457" s="84">
        <v>0.0</v>
      </c>
      <c r="E4457" s="84">
        <v>0.0</v>
      </c>
      <c r="F4457" s="76" t="s">
        <v>996</v>
      </c>
      <c r="G4457" s="83">
        <v>46114.0</v>
      </c>
      <c r="H4457" s="76" t="s">
        <v>935</v>
      </c>
    </row>
    <row r="4458">
      <c r="A4458" s="76" t="s">
        <v>45</v>
      </c>
      <c r="B4458" s="76" t="s">
        <v>1026</v>
      </c>
      <c r="C4458" s="84">
        <v>0.33</v>
      </c>
      <c r="D4458" s="84">
        <v>0.0</v>
      </c>
      <c r="E4458" s="84">
        <v>0.0</v>
      </c>
      <c r="F4458" s="76" t="s">
        <v>996</v>
      </c>
      <c r="G4458" s="83">
        <v>46114.0</v>
      </c>
      <c r="H4458" s="76" t="s">
        <v>936</v>
      </c>
    </row>
    <row r="4459">
      <c r="A4459" s="76" t="s">
        <v>45</v>
      </c>
      <c r="B4459" s="76" t="s">
        <v>1026</v>
      </c>
      <c r="C4459" s="84">
        <v>0.17</v>
      </c>
      <c r="D4459" s="84">
        <v>0.0</v>
      </c>
      <c r="E4459" s="84">
        <v>0.0</v>
      </c>
      <c r="F4459" s="76" t="s">
        <v>996</v>
      </c>
      <c r="G4459" s="83">
        <v>46114.0</v>
      </c>
      <c r="H4459" s="76" t="s">
        <v>937</v>
      </c>
    </row>
    <row r="4460">
      <c r="A4460" s="76" t="s">
        <v>45</v>
      </c>
      <c r="B4460" s="76" t="s">
        <v>1026</v>
      </c>
      <c r="C4460" s="84">
        <v>0.54</v>
      </c>
      <c r="D4460" s="84">
        <v>0.0</v>
      </c>
      <c r="E4460" s="84">
        <v>0.0</v>
      </c>
      <c r="F4460" s="76" t="s">
        <v>996</v>
      </c>
      <c r="G4460" s="83">
        <v>46114.0</v>
      </c>
      <c r="H4460" s="76" t="s">
        <v>938</v>
      </c>
    </row>
    <row r="4461">
      <c r="A4461" s="76" t="s">
        <v>50</v>
      </c>
      <c r="B4461" s="76" t="s">
        <v>1026</v>
      </c>
      <c r="C4461" s="84">
        <v>0.71</v>
      </c>
      <c r="D4461" s="84">
        <v>0.0</v>
      </c>
      <c r="E4461" s="84">
        <v>0.0</v>
      </c>
      <c r="F4461" s="76" t="s">
        <v>996</v>
      </c>
      <c r="G4461" s="83">
        <v>46114.0</v>
      </c>
      <c r="H4461" s="76" t="s">
        <v>939</v>
      </c>
    </row>
    <row r="4462">
      <c r="A4462" s="76" t="s">
        <v>50</v>
      </c>
      <c r="B4462" s="76" t="s">
        <v>1026</v>
      </c>
      <c r="C4462" s="84">
        <v>1.71</v>
      </c>
      <c r="D4462" s="84">
        <v>0.0</v>
      </c>
      <c r="E4462" s="84">
        <v>0.0</v>
      </c>
      <c r="F4462" s="76" t="s">
        <v>996</v>
      </c>
      <c r="G4462" s="83">
        <v>46114.0</v>
      </c>
      <c r="H4462" s="76" t="s">
        <v>940</v>
      </c>
    </row>
    <row r="4463">
      <c r="A4463" s="76" t="s">
        <v>32</v>
      </c>
      <c r="B4463" s="76" t="s">
        <v>1026</v>
      </c>
      <c r="C4463" s="84">
        <v>1.74</v>
      </c>
      <c r="D4463" s="84">
        <v>0.0</v>
      </c>
      <c r="E4463" s="84">
        <v>0.0</v>
      </c>
      <c r="F4463" s="76" t="s">
        <v>996</v>
      </c>
      <c r="G4463" s="83">
        <v>46114.0</v>
      </c>
      <c r="H4463" s="76" t="s">
        <v>941</v>
      </c>
    </row>
    <row r="4464">
      <c r="A4464" s="76" t="s">
        <v>32</v>
      </c>
      <c r="B4464" s="76" t="s">
        <v>1026</v>
      </c>
      <c r="C4464" s="84">
        <v>2.09</v>
      </c>
      <c r="D4464" s="84">
        <v>0.0</v>
      </c>
      <c r="E4464" s="84">
        <v>0.0</v>
      </c>
      <c r="F4464" s="76" t="s">
        <v>996</v>
      </c>
      <c r="G4464" s="83">
        <v>46114.0</v>
      </c>
      <c r="H4464" s="76" t="s">
        <v>942</v>
      </c>
    </row>
    <row r="4465">
      <c r="A4465" s="76" t="s">
        <v>32</v>
      </c>
      <c r="B4465" s="76" t="s">
        <v>1026</v>
      </c>
      <c r="C4465" s="84">
        <v>1.66</v>
      </c>
      <c r="D4465" s="84">
        <v>0.0</v>
      </c>
      <c r="E4465" s="84">
        <v>0.0</v>
      </c>
      <c r="F4465" s="76" t="s">
        <v>996</v>
      </c>
      <c r="G4465" s="83">
        <v>46114.0</v>
      </c>
      <c r="H4465" s="76" t="s">
        <v>943</v>
      </c>
    </row>
    <row r="4466">
      <c r="A4466" s="76" t="s">
        <v>944</v>
      </c>
      <c r="B4466" s="76" t="s">
        <v>1026</v>
      </c>
      <c r="C4466" s="84">
        <v>1.52</v>
      </c>
      <c r="D4466" s="84">
        <v>0.0</v>
      </c>
      <c r="E4466" s="84">
        <v>0.0</v>
      </c>
      <c r="F4466" s="76" t="s">
        <v>996</v>
      </c>
      <c r="G4466" s="83">
        <v>46114.0</v>
      </c>
      <c r="H4466" s="76" t="s">
        <v>945</v>
      </c>
    </row>
    <row r="4467">
      <c r="A4467" s="76" t="s">
        <v>944</v>
      </c>
      <c r="B4467" s="76" t="s">
        <v>1026</v>
      </c>
      <c r="C4467" s="84">
        <v>0.72</v>
      </c>
      <c r="D4467" s="84">
        <v>0.0</v>
      </c>
      <c r="E4467" s="84">
        <v>0.0</v>
      </c>
      <c r="F4467" s="76" t="s">
        <v>996</v>
      </c>
      <c r="G4467" s="83">
        <v>46114.0</v>
      </c>
      <c r="H4467" s="76" t="s">
        <v>946</v>
      </c>
    </row>
    <row r="4468">
      <c r="A4468" s="76" t="s">
        <v>944</v>
      </c>
      <c r="B4468" s="76" t="s">
        <v>1026</v>
      </c>
      <c r="C4468" s="84">
        <v>0.6</v>
      </c>
      <c r="D4468" s="84">
        <v>0.0</v>
      </c>
      <c r="E4468" s="84">
        <v>0.0</v>
      </c>
      <c r="F4468" s="76" t="s">
        <v>996</v>
      </c>
      <c r="G4468" s="83">
        <v>46114.0</v>
      </c>
      <c r="H4468" s="76" t="s">
        <v>947</v>
      </c>
    </row>
    <row r="4469">
      <c r="A4469" s="76" t="s">
        <v>26</v>
      </c>
      <c r="B4469" s="76" t="s">
        <v>1026</v>
      </c>
      <c r="C4469" s="84">
        <v>1.19</v>
      </c>
      <c r="D4469" s="84">
        <v>0.0</v>
      </c>
      <c r="E4469" s="84">
        <v>0.0</v>
      </c>
      <c r="F4469" s="76" t="s">
        <v>996</v>
      </c>
      <c r="G4469" s="83">
        <v>46114.0</v>
      </c>
      <c r="H4469" s="76" t="s">
        <v>1012</v>
      </c>
    </row>
    <row r="4470">
      <c r="A4470" s="76" t="s">
        <v>26</v>
      </c>
      <c r="B4470" s="76" t="s">
        <v>1026</v>
      </c>
      <c r="C4470" s="84">
        <v>0.55</v>
      </c>
      <c r="D4470" s="84">
        <v>0.0</v>
      </c>
      <c r="E4470" s="84">
        <v>0.0</v>
      </c>
      <c r="F4470" s="76" t="s">
        <v>996</v>
      </c>
      <c r="G4470" s="83">
        <v>46114.0</v>
      </c>
      <c r="H4470" s="76" t="s">
        <v>1013</v>
      </c>
    </row>
    <row r="4471">
      <c r="A4471" s="76" t="s">
        <v>26</v>
      </c>
      <c r="B4471" s="76" t="s">
        <v>1026</v>
      </c>
      <c r="C4471" s="84">
        <v>0.68</v>
      </c>
      <c r="D4471" s="84">
        <v>0.0</v>
      </c>
      <c r="E4471" s="84">
        <v>0.0</v>
      </c>
      <c r="F4471" s="76" t="s">
        <v>996</v>
      </c>
      <c r="G4471" s="83">
        <v>46114.0</v>
      </c>
      <c r="H4471" s="76" t="s">
        <v>1014</v>
      </c>
    </row>
    <row r="4472">
      <c r="A4472" s="76" t="s">
        <v>36</v>
      </c>
      <c r="B4472" s="76" t="s">
        <v>1026</v>
      </c>
      <c r="C4472" s="84">
        <v>1.07</v>
      </c>
      <c r="D4472" s="84">
        <v>0.0</v>
      </c>
      <c r="E4472" s="84">
        <v>0.0</v>
      </c>
      <c r="F4472" s="76" t="s">
        <v>997</v>
      </c>
      <c r="G4472" s="83">
        <v>46114.0</v>
      </c>
      <c r="H4472" s="76" t="s">
        <v>926</v>
      </c>
    </row>
    <row r="4473">
      <c r="A4473" s="76" t="s">
        <v>36</v>
      </c>
      <c r="B4473" s="76" t="s">
        <v>1026</v>
      </c>
      <c r="C4473" s="84">
        <v>1.24</v>
      </c>
      <c r="D4473" s="84">
        <v>0.0</v>
      </c>
      <c r="E4473" s="84">
        <v>0.0</v>
      </c>
      <c r="F4473" s="76" t="s">
        <v>997</v>
      </c>
      <c r="G4473" s="83">
        <v>46114.0</v>
      </c>
      <c r="H4473" s="76" t="s">
        <v>927</v>
      </c>
    </row>
    <row r="4474">
      <c r="A4474" s="76" t="s">
        <v>36</v>
      </c>
      <c r="B4474" s="76" t="s">
        <v>1026</v>
      </c>
      <c r="C4474" s="84">
        <v>0.68</v>
      </c>
      <c r="D4474" s="84">
        <v>0.0</v>
      </c>
      <c r="E4474" s="84">
        <v>0.0</v>
      </c>
      <c r="F4474" s="76" t="s">
        <v>997</v>
      </c>
      <c r="G4474" s="83">
        <v>46114.0</v>
      </c>
      <c r="H4474" s="76" t="s">
        <v>928</v>
      </c>
    </row>
    <row r="4475">
      <c r="A4475" s="76" t="s">
        <v>31</v>
      </c>
      <c r="B4475" s="76" t="s">
        <v>1026</v>
      </c>
      <c r="C4475" s="84">
        <v>1.59</v>
      </c>
      <c r="D4475" s="84">
        <v>0.0</v>
      </c>
      <c r="E4475" s="84">
        <v>0.0</v>
      </c>
      <c r="F4475" s="76" t="s">
        <v>997</v>
      </c>
      <c r="G4475" s="83">
        <v>46114.0</v>
      </c>
      <c r="H4475" s="76" t="s">
        <v>929</v>
      </c>
    </row>
    <row r="4476">
      <c r="A4476" s="76" t="s">
        <v>31</v>
      </c>
      <c r="B4476" s="76" t="s">
        <v>1026</v>
      </c>
      <c r="C4476" s="84">
        <v>14.11</v>
      </c>
      <c r="D4476" s="84">
        <v>0.0</v>
      </c>
      <c r="E4476" s="84">
        <v>0.0</v>
      </c>
      <c r="F4476" s="76" t="s">
        <v>997</v>
      </c>
      <c r="G4476" s="83">
        <v>46114.0</v>
      </c>
      <c r="H4476" s="76" t="s">
        <v>930</v>
      </c>
    </row>
    <row r="4477">
      <c r="A4477" s="76" t="s">
        <v>28</v>
      </c>
      <c r="B4477" s="76" t="s">
        <v>1026</v>
      </c>
      <c r="C4477" s="84">
        <v>0.56</v>
      </c>
      <c r="D4477" s="84">
        <v>0.0</v>
      </c>
      <c r="E4477" s="84">
        <v>0.0</v>
      </c>
      <c r="F4477" s="76" t="s">
        <v>997</v>
      </c>
      <c r="G4477" s="83">
        <v>46114.0</v>
      </c>
      <c r="H4477" s="76" t="s">
        <v>931</v>
      </c>
    </row>
    <row r="4478">
      <c r="A4478" s="76" t="s">
        <v>28</v>
      </c>
      <c r="B4478" s="76" t="s">
        <v>1026</v>
      </c>
      <c r="C4478" s="84">
        <v>0.43</v>
      </c>
      <c r="D4478" s="84">
        <v>0.0</v>
      </c>
      <c r="E4478" s="84">
        <v>0.0</v>
      </c>
      <c r="F4478" s="76" t="s">
        <v>997</v>
      </c>
      <c r="G4478" s="83">
        <v>46114.0</v>
      </c>
      <c r="H4478" s="76" t="s">
        <v>932</v>
      </c>
    </row>
    <row r="4479">
      <c r="A4479" s="76" t="s">
        <v>28</v>
      </c>
      <c r="B4479" s="76" t="s">
        <v>1026</v>
      </c>
      <c r="C4479" s="84">
        <v>1.63</v>
      </c>
      <c r="D4479" s="84">
        <v>0.0</v>
      </c>
      <c r="E4479" s="84">
        <v>0.0</v>
      </c>
      <c r="F4479" s="76" t="s">
        <v>997</v>
      </c>
      <c r="G4479" s="83">
        <v>46114.0</v>
      </c>
      <c r="H4479" s="76" t="s">
        <v>933</v>
      </c>
    </row>
    <row r="4480">
      <c r="A4480" s="76" t="s">
        <v>42</v>
      </c>
      <c r="B4480" s="76" t="s">
        <v>1026</v>
      </c>
      <c r="C4480" s="84">
        <v>0.06</v>
      </c>
      <c r="D4480" s="84">
        <v>0.0</v>
      </c>
      <c r="E4480" s="84">
        <v>0.0</v>
      </c>
      <c r="F4480" s="76" t="s">
        <v>997</v>
      </c>
      <c r="G4480" s="83">
        <v>46114.0</v>
      </c>
      <c r="H4480" s="76" t="s">
        <v>991</v>
      </c>
    </row>
    <row r="4481">
      <c r="A4481" s="76" t="s">
        <v>42</v>
      </c>
      <c r="B4481" s="76" t="s">
        <v>1026</v>
      </c>
      <c r="C4481" s="84">
        <v>4.01</v>
      </c>
      <c r="D4481" s="84">
        <v>0.0</v>
      </c>
      <c r="E4481" s="84">
        <v>0.0</v>
      </c>
      <c r="F4481" s="76" t="s">
        <v>997</v>
      </c>
      <c r="G4481" s="83">
        <v>46114.0</v>
      </c>
      <c r="H4481" s="76" t="s">
        <v>935</v>
      </c>
    </row>
    <row r="4482">
      <c r="A4482" s="76" t="s">
        <v>45</v>
      </c>
      <c r="B4482" s="76" t="s">
        <v>1026</v>
      </c>
      <c r="C4482" s="84">
        <v>0.58</v>
      </c>
      <c r="D4482" s="84">
        <v>0.0</v>
      </c>
      <c r="E4482" s="84">
        <v>0.0</v>
      </c>
      <c r="F4482" s="76" t="s">
        <v>997</v>
      </c>
      <c r="G4482" s="83">
        <v>46114.0</v>
      </c>
      <c r="H4482" s="76" t="s">
        <v>936</v>
      </c>
    </row>
    <row r="4483">
      <c r="A4483" s="76" t="s">
        <v>45</v>
      </c>
      <c r="B4483" s="76" t="s">
        <v>1026</v>
      </c>
      <c r="C4483" s="84">
        <v>0.28</v>
      </c>
      <c r="D4483" s="84">
        <v>0.0</v>
      </c>
      <c r="E4483" s="84">
        <v>0.0</v>
      </c>
      <c r="F4483" s="76" t="s">
        <v>997</v>
      </c>
      <c r="G4483" s="83">
        <v>46114.0</v>
      </c>
      <c r="H4483" s="76" t="s">
        <v>937</v>
      </c>
    </row>
    <row r="4484">
      <c r="A4484" s="76" t="s">
        <v>45</v>
      </c>
      <c r="B4484" s="76" t="s">
        <v>1026</v>
      </c>
      <c r="C4484" s="84">
        <v>1.02</v>
      </c>
      <c r="D4484" s="84">
        <v>0.0</v>
      </c>
      <c r="E4484" s="84">
        <v>0.0</v>
      </c>
      <c r="F4484" s="76" t="s">
        <v>997</v>
      </c>
      <c r="G4484" s="83">
        <v>46114.0</v>
      </c>
      <c r="H4484" s="76" t="s">
        <v>938</v>
      </c>
    </row>
    <row r="4485">
      <c r="A4485" s="76" t="s">
        <v>50</v>
      </c>
      <c r="B4485" s="76" t="s">
        <v>1026</v>
      </c>
      <c r="C4485" s="84">
        <v>0.98</v>
      </c>
      <c r="D4485" s="84">
        <v>0.0</v>
      </c>
      <c r="E4485" s="84">
        <v>0.0</v>
      </c>
      <c r="F4485" s="76" t="s">
        <v>997</v>
      </c>
      <c r="G4485" s="83">
        <v>46114.0</v>
      </c>
      <c r="H4485" s="76" t="s">
        <v>939</v>
      </c>
    </row>
    <row r="4486">
      <c r="A4486" s="76" t="s">
        <v>50</v>
      </c>
      <c r="B4486" s="76" t="s">
        <v>1026</v>
      </c>
      <c r="C4486" s="84">
        <v>3.1</v>
      </c>
      <c r="D4486" s="84">
        <v>0.0</v>
      </c>
      <c r="E4486" s="84">
        <v>0.0</v>
      </c>
      <c r="F4486" s="76" t="s">
        <v>997</v>
      </c>
      <c r="G4486" s="83">
        <v>46114.0</v>
      </c>
      <c r="H4486" s="76" t="s">
        <v>940</v>
      </c>
    </row>
    <row r="4487">
      <c r="A4487" s="76" t="s">
        <v>32</v>
      </c>
      <c r="B4487" s="76" t="s">
        <v>1026</v>
      </c>
      <c r="C4487" s="84">
        <v>1.65</v>
      </c>
      <c r="D4487" s="84">
        <v>0.0</v>
      </c>
      <c r="E4487" s="84">
        <v>0.0</v>
      </c>
      <c r="F4487" s="76" t="s">
        <v>997</v>
      </c>
      <c r="G4487" s="83">
        <v>46114.0</v>
      </c>
      <c r="H4487" s="76" t="s">
        <v>941</v>
      </c>
    </row>
    <row r="4488">
      <c r="A4488" s="76" t="s">
        <v>32</v>
      </c>
      <c r="B4488" s="76" t="s">
        <v>1026</v>
      </c>
      <c r="C4488" s="84">
        <v>3.26</v>
      </c>
      <c r="D4488" s="84">
        <v>0.0</v>
      </c>
      <c r="E4488" s="84">
        <v>0.0</v>
      </c>
      <c r="F4488" s="76" t="s">
        <v>997</v>
      </c>
      <c r="G4488" s="83">
        <v>46114.0</v>
      </c>
      <c r="H4488" s="76" t="s">
        <v>942</v>
      </c>
    </row>
    <row r="4489">
      <c r="A4489" s="76" t="s">
        <v>32</v>
      </c>
      <c r="B4489" s="76" t="s">
        <v>1026</v>
      </c>
      <c r="C4489" s="84">
        <v>2.16</v>
      </c>
      <c r="D4489" s="84">
        <v>0.0</v>
      </c>
      <c r="E4489" s="84">
        <v>0.0</v>
      </c>
      <c r="F4489" s="76" t="s">
        <v>997</v>
      </c>
      <c r="G4489" s="83">
        <v>46114.0</v>
      </c>
      <c r="H4489" s="76" t="s">
        <v>943</v>
      </c>
    </row>
    <row r="4490">
      <c r="A4490" s="76" t="s">
        <v>944</v>
      </c>
      <c r="B4490" s="76" t="s">
        <v>1026</v>
      </c>
      <c r="C4490" s="84">
        <v>2.6</v>
      </c>
      <c r="D4490" s="84">
        <v>0.0</v>
      </c>
      <c r="E4490" s="84">
        <v>0.0</v>
      </c>
      <c r="F4490" s="76" t="s">
        <v>997</v>
      </c>
      <c r="G4490" s="83">
        <v>46114.0</v>
      </c>
      <c r="H4490" s="76" t="s">
        <v>945</v>
      </c>
    </row>
    <row r="4491">
      <c r="A4491" s="76" t="s">
        <v>944</v>
      </c>
      <c r="B4491" s="76" t="s">
        <v>1026</v>
      </c>
      <c r="C4491" s="84">
        <v>1.17</v>
      </c>
      <c r="D4491" s="84">
        <v>0.0</v>
      </c>
      <c r="E4491" s="84">
        <v>0.0</v>
      </c>
      <c r="F4491" s="76" t="s">
        <v>997</v>
      </c>
      <c r="G4491" s="83">
        <v>46114.0</v>
      </c>
      <c r="H4491" s="76" t="s">
        <v>946</v>
      </c>
    </row>
    <row r="4492">
      <c r="A4492" s="76" t="s">
        <v>944</v>
      </c>
      <c r="B4492" s="76" t="s">
        <v>1026</v>
      </c>
      <c r="C4492" s="84">
        <v>0.86</v>
      </c>
      <c r="D4492" s="84">
        <v>0.0</v>
      </c>
      <c r="E4492" s="84">
        <v>0.0</v>
      </c>
      <c r="F4492" s="76" t="s">
        <v>997</v>
      </c>
      <c r="G4492" s="83">
        <v>46114.0</v>
      </c>
      <c r="H4492" s="76" t="s">
        <v>947</v>
      </c>
    </row>
    <row r="4493">
      <c r="A4493" s="76" t="s">
        <v>26</v>
      </c>
      <c r="B4493" s="76" t="s">
        <v>1026</v>
      </c>
      <c r="C4493" s="84">
        <v>2.03</v>
      </c>
      <c r="D4493" s="84">
        <v>0.0</v>
      </c>
      <c r="E4493" s="84">
        <v>0.0</v>
      </c>
      <c r="F4493" s="76" t="s">
        <v>997</v>
      </c>
      <c r="G4493" s="83">
        <v>46114.0</v>
      </c>
      <c r="H4493" s="76" t="s">
        <v>1012</v>
      </c>
    </row>
    <row r="4494">
      <c r="A4494" s="76" t="s">
        <v>26</v>
      </c>
      <c r="B4494" s="76" t="s">
        <v>1026</v>
      </c>
      <c r="C4494" s="84">
        <v>1.04</v>
      </c>
      <c r="D4494" s="84">
        <v>0.0</v>
      </c>
      <c r="E4494" s="84">
        <v>0.0</v>
      </c>
      <c r="F4494" s="76" t="s">
        <v>997</v>
      </c>
      <c r="G4494" s="83">
        <v>46114.0</v>
      </c>
      <c r="H4494" s="76" t="s">
        <v>1013</v>
      </c>
    </row>
    <row r="4495">
      <c r="A4495" s="76" t="s">
        <v>26</v>
      </c>
      <c r="B4495" s="76" t="s">
        <v>1026</v>
      </c>
      <c r="C4495" s="84">
        <v>1.25</v>
      </c>
      <c r="D4495" s="84">
        <v>0.0</v>
      </c>
      <c r="E4495" s="84">
        <v>0.0</v>
      </c>
      <c r="F4495" s="76" t="s">
        <v>997</v>
      </c>
      <c r="G4495" s="83">
        <v>46114.0</v>
      </c>
      <c r="H4495" s="76" t="s">
        <v>1014</v>
      </c>
    </row>
    <row r="4496">
      <c r="A4496" s="76" t="s">
        <v>36</v>
      </c>
      <c r="B4496" s="76" t="s">
        <v>1026</v>
      </c>
      <c r="C4496" s="84">
        <v>0.01</v>
      </c>
      <c r="D4496" s="84">
        <v>0.0</v>
      </c>
      <c r="E4496" s="84">
        <v>0.0</v>
      </c>
      <c r="F4496" s="76" t="s">
        <v>998</v>
      </c>
      <c r="G4496" s="83">
        <v>46114.0</v>
      </c>
      <c r="H4496" s="76" t="s">
        <v>926</v>
      </c>
    </row>
    <row r="4497">
      <c r="A4497" s="76" t="s">
        <v>36</v>
      </c>
      <c r="B4497" s="76" t="s">
        <v>1026</v>
      </c>
      <c r="C4497" s="84">
        <v>0.02</v>
      </c>
      <c r="D4497" s="84">
        <v>0.0</v>
      </c>
      <c r="E4497" s="84">
        <v>0.0</v>
      </c>
      <c r="F4497" s="76" t="s">
        <v>998</v>
      </c>
      <c r="G4497" s="83">
        <v>46114.0</v>
      </c>
      <c r="H4497" s="76" t="s">
        <v>927</v>
      </c>
    </row>
    <row r="4498">
      <c r="A4498" s="76" t="s">
        <v>36</v>
      </c>
      <c r="B4498" s="76" t="s">
        <v>1026</v>
      </c>
      <c r="C4498" s="84">
        <v>0.12</v>
      </c>
      <c r="D4498" s="84">
        <v>0.0</v>
      </c>
      <c r="E4498" s="84">
        <v>0.0</v>
      </c>
      <c r="F4498" s="76" t="s">
        <v>998</v>
      </c>
      <c r="G4498" s="83">
        <v>46114.0</v>
      </c>
      <c r="H4498" s="76" t="s">
        <v>928</v>
      </c>
    </row>
    <row r="4499">
      <c r="A4499" s="76" t="s">
        <v>31</v>
      </c>
      <c r="B4499" s="76" t="s">
        <v>1026</v>
      </c>
      <c r="C4499" s="84">
        <v>0.5</v>
      </c>
      <c r="D4499" s="84">
        <v>0.0</v>
      </c>
      <c r="E4499" s="84">
        <v>0.0</v>
      </c>
      <c r="F4499" s="76" t="s">
        <v>998</v>
      </c>
      <c r="G4499" s="83">
        <v>46114.0</v>
      </c>
      <c r="H4499" s="76" t="s">
        <v>929</v>
      </c>
    </row>
    <row r="4500">
      <c r="A4500" s="76" t="s">
        <v>28</v>
      </c>
      <c r="B4500" s="76" t="s">
        <v>1026</v>
      </c>
      <c r="C4500" s="84">
        <v>0.01</v>
      </c>
      <c r="D4500" s="84">
        <v>0.0</v>
      </c>
      <c r="E4500" s="84">
        <v>0.0</v>
      </c>
      <c r="F4500" s="76" t="s">
        <v>998</v>
      </c>
      <c r="G4500" s="83">
        <v>46114.0</v>
      </c>
      <c r="H4500" s="76" t="s">
        <v>931</v>
      </c>
    </row>
    <row r="4501">
      <c r="A4501" s="76" t="s">
        <v>28</v>
      </c>
      <c r="B4501" s="76" t="s">
        <v>1026</v>
      </c>
      <c r="C4501" s="84">
        <v>0.12</v>
      </c>
      <c r="D4501" s="84">
        <v>0.0</v>
      </c>
      <c r="E4501" s="84">
        <v>0.0</v>
      </c>
      <c r="F4501" s="76" t="s">
        <v>998</v>
      </c>
      <c r="G4501" s="83">
        <v>46114.0</v>
      </c>
      <c r="H4501" s="76" t="s">
        <v>932</v>
      </c>
    </row>
    <row r="4502">
      <c r="A4502" s="76" t="s">
        <v>28</v>
      </c>
      <c r="B4502" s="76" t="s">
        <v>1026</v>
      </c>
      <c r="C4502" s="84">
        <v>0.0</v>
      </c>
      <c r="D4502" s="84">
        <v>0.0</v>
      </c>
      <c r="E4502" s="84">
        <v>0.0</v>
      </c>
      <c r="F4502" s="76" t="s">
        <v>998</v>
      </c>
      <c r="G4502" s="83">
        <v>46114.0</v>
      </c>
      <c r="H4502" s="76" t="s">
        <v>933</v>
      </c>
    </row>
    <row r="4503">
      <c r="A4503" s="76" t="s">
        <v>42</v>
      </c>
      <c r="B4503" s="76" t="s">
        <v>1026</v>
      </c>
      <c r="C4503" s="84">
        <v>0.05</v>
      </c>
      <c r="D4503" s="84">
        <v>0.0</v>
      </c>
      <c r="E4503" s="84">
        <v>0.0</v>
      </c>
      <c r="F4503" s="76" t="s">
        <v>998</v>
      </c>
      <c r="G4503" s="83">
        <v>46114.0</v>
      </c>
      <c r="H4503" s="76" t="s">
        <v>991</v>
      </c>
    </row>
    <row r="4504">
      <c r="A4504" s="76" t="s">
        <v>45</v>
      </c>
      <c r="B4504" s="76" t="s">
        <v>1026</v>
      </c>
      <c r="C4504" s="84">
        <v>0.01</v>
      </c>
      <c r="D4504" s="84">
        <v>0.0</v>
      </c>
      <c r="E4504" s="84">
        <v>0.0</v>
      </c>
      <c r="F4504" s="76" t="s">
        <v>998</v>
      </c>
      <c r="G4504" s="83">
        <v>46114.0</v>
      </c>
      <c r="H4504" s="76" t="s">
        <v>936</v>
      </c>
    </row>
    <row r="4505">
      <c r="A4505" s="76" t="s">
        <v>45</v>
      </c>
      <c r="B4505" s="76" t="s">
        <v>1026</v>
      </c>
      <c r="C4505" s="84">
        <v>0.16</v>
      </c>
      <c r="D4505" s="84">
        <v>0.0</v>
      </c>
      <c r="E4505" s="84">
        <v>0.0</v>
      </c>
      <c r="F4505" s="76" t="s">
        <v>998</v>
      </c>
      <c r="G4505" s="83">
        <v>46114.0</v>
      </c>
      <c r="H4505" s="76" t="s">
        <v>937</v>
      </c>
    </row>
    <row r="4506">
      <c r="A4506" s="76" t="s">
        <v>45</v>
      </c>
      <c r="B4506" s="76" t="s">
        <v>1026</v>
      </c>
      <c r="C4506" s="84">
        <v>0.01</v>
      </c>
      <c r="D4506" s="84">
        <v>0.0</v>
      </c>
      <c r="E4506" s="84">
        <v>0.0</v>
      </c>
      <c r="F4506" s="76" t="s">
        <v>998</v>
      </c>
      <c r="G4506" s="83">
        <v>46114.0</v>
      </c>
      <c r="H4506" s="76" t="s">
        <v>938</v>
      </c>
    </row>
    <row r="4507">
      <c r="A4507" s="76" t="s">
        <v>50</v>
      </c>
      <c r="B4507" s="76" t="s">
        <v>1026</v>
      </c>
      <c r="C4507" s="84">
        <v>0.53</v>
      </c>
      <c r="D4507" s="84">
        <v>0.0</v>
      </c>
      <c r="E4507" s="84">
        <v>0.0</v>
      </c>
      <c r="F4507" s="76" t="s">
        <v>998</v>
      </c>
      <c r="G4507" s="83">
        <v>46114.0</v>
      </c>
      <c r="H4507" s="76" t="s">
        <v>939</v>
      </c>
    </row>
    <row r="4508">
      <c r="A4508" s="76" t="s">
        <v>50</v>
      </c>
      <c r="B4508" s="76" t="s">
        <v>1026</v>
      </c>
      <c r="C4508" s="84">
        <v>0.02</v>
      </c>
      <c r="D4508" s="84">
        <v>0.0</v>
      </c>
      <c r="E4508" s="84">
        <v>0.0</v>
      </c>
      <c r="F4508" s="76" t="s">
        <v>998</v>
      </c>
      <c r="G4508" s="83">
        <v>46114.0</v>
      </c>
      <c r="H4508" s="76" t="s">
        <v>940</v>
      </c>
    </row>
    <row r="4509">
      <c r="A4509" s="76" t="s">
        <v>32</v>
      </c>
      <c r="B4509" s="76" t="s">
        <v>1026</v>
      </c>
      <c r="C4509" s="84">
        <v>0.93</v>
      </c>
      <c r="D4509" s="84">
        <v>0.0</v>
      </c>
      <c r="E4509" s="84">
        <v>0.0</v>
      </c>
      <c r="F4509" s="76" t="s">
        <v>998</v>
      </c>
      <c r="G4509" s="83">
        <v>46114.0</v>
      </c>
      <c r="H4509" s="76" t="s">
        <v>941</v>
      </c>
    </row>
    <row r="4510">
      <c r="A4510" s="76" t="s">
        <v>32</v>
      </c>
      <c r="B4510" s="76" t="s">
        <v>1026</v>
      </c>
      <c r="C4510" s="84">
        <v>0.02</v>
      </c>
      <c r="D4510" s="84">
        <v>0.0</v>
      </c>
      <c r="E4510" s="84">
        <v>0.0</v>
      </c>
      <c r="F4510" s="76" t="s">
        <v>998</v>
      </c>
      <c r="G4510" s="83">
        <v>46114.0</v>
      </c>
      <c r="H4510" s="76" t="s">
        <v>942</v>
      </c>
    </row>
    <row r="4511">
      <c r="A4511" s="76" t="s">
        <v>32</v>
      </c>
      <c r="B4511" s="76" t="s">
        <v>1026</v>
      </c>
      <c r="C4511" s="84">
        <v>0.01</v>
      </c>
      <c r="D4511" s="84">
        <v>0.0</v>
      </c>
      <c r="E4511" s="84">
        <v>0.0</v>
      </c>
      <c r="F4511" s="76" t="s">
        <v>998</v>
      </c>
      <c r="G4511" s="83">
        <v>46114.0</v>
      </c>
      <c r="H4511" s="76" t="s">
        <v>943</v>
      </c>
    </row>
    <row r="4512">
      <c r="A4512" s="76" t="s">
        <v>944</v>
      </c>
      <c r="B4512" s="76" t="s">
        <v>1026</v>
      </c>
      <c r="C4512" s="84">
        <v>0.01</v>
      </c>
      <c r="D4512" s="84">
        <v>0.0</v>
      </c>
      <c r="E4512" s="84">
        <v>0.0</v>
      </c>
      <c r="F4512" s="76" t="s">
        <v>998</v>
      </c>
      <c r="G4512" s="83">
        <v>46114.0</v>
      </c>
      <c r="H4512" s="76" t="s">
        <v>945</v>
      </c>
    </row>
    <row r="4513">
      <c r="A4513" s="76" t="s">
        <v>944</v>
      </c>
      <c r="B4513" s="76" t="s">
        <v>1026</v>
      </c>
      <c r="C4513" s="84">
        <v>0.01</v>
      </c>
      <c r="D4513" s="84">
        <v>0.0</v>
      </c>
      <c r="E4513" s="84">
        <v>0.0</v>
      </c>
      <c r="F4513" s="76" t="s">
        <v>998</v>
      </c>
      <c r="G4513" s="83">
        <v>46114.0</v>
      </c>
      <c r="H4513" s="76" t="s">
        <v>946</v>
      </c>
    </row>
    <row r="4514">
      <c r="A4514" s="76" t="s">
        <v>944</v>
      </c>
      <c r="B4514" s="76" t="s">
        <v>1026</v>
      </c>
      <c r="C4514" s="84">
        <v>0.13</v>
      </c>
      <c r="D4514" s="84">
        <v>0.0</v>
      </c>
      <c r="E4514" s="84">
        <v>0.0</v>
      </c>
      <c r="F4514" s="76" t="s">
        <v>998</v>
      </c>
      <c r="G4514" s="83">
        <v>46114.0</v>
      </c>
      <c r="H4514" s="76" t="s">
        <v>947</v>
      </c>
    </row>
    <row r="4515">
      <c r="A4515" s="76" t="s">
        <v>26</v>
      </c>
      <c r="B4515" s="76" t="s">
        <v>1026</v>
      </c>
      <c r="C4515" s="84">
        <v>0.02</v>
      </c>
      <c r="D4515" s="84">
        <v>0.0</v>
      </c>
      <c r="E4515" s="84">
        <v>0.0</v>
      </c>
      <c r="F4515" s="76" t="s">
        <v>998</v>
      </c>
      <c r="G4515" s="83">
        <v>46114.0</v>
      </c>
      <c r="H4515" s="76" t="s">
        <v>1012</v>
      </c>
    </row>
    <row r="4516">
      <c r="A4516" s="76" t="s">
        <v>26</v>
      </c>
      <c r="B4516" s="76" t="s">
        <v>1026</v>
      </c>
      <c r="C4516" s="84">
        <v>0.01</v>
      </c>
      <c r="D4516" s="84">
        <v>0.0</v>
      </c>
      <c r="E4516" s="84">
        <v>0.0</v>
      </c>
      <c r="F4516" s="76" t="s">
        <v>998</v>
      </c>
      <c r="G4516" s="83">
        <v>46114.0</v>
      </c>
      <c r="H4516" s="76" t="s">
        <v>1013</v>
      </c>
    </row>
    <row r="4517">
      <c r="A4517" s="76" t="s">
        <v>26</v>
      </c>
      <c r="B4517" s="76" t="s">
        <v>1026</v>
      </c>
      <c r="C4517" s="84">
        <v>0.49</v>
      </c>
      <c r="D4517" s="84">
        <v>0.0</v>
      </c>
      <c r="E4517" s="84">
        <v>0.0</v>
      </c>
      <c r="F4517" s="76" t="s">
        <v>998</v>
      </c>
      <c r="G4517" s="83">
        <v>46114.0</v>
      </c>
      <c r="H4517" s="76" t="s">
        <v>1014</v>
      </c>
    </row>
    <row r="4518">
      <c r="A4518" s="76" t="s">
        <v>36</v>
      </c>
      <c r="B4518" s="76" t="s">
        <v>1019</v>
      </c>
      <c r="C4518" s="84">
        <v>3.4</v>
      </c>
      <c r="D4518" s="84">
        <v>0.0</v>
      </c>
      <c r="E4518" s="84">
        <v>0.0</v>
      </c>
      <c r="F4518" s="76" t="s">
        <v>925</v>
      </c>
      <c r="G4518" s="83">
        <v>46114.0</v>
      </c>
      <c r="H4518" s="76" t="s">
        <v>926</v>
      </c>
    </row>
    <row r="4519">
      <c r="A4519" s="76" t="s">
        <v>36</v>
      </c>
      <c r="B4519" s="76" t="s">
        <v>1019</v>
      </c>
      <c r="C4519" s="84">
        <v>0.93</v>
      </c>
      <c r="D4519" s="84">
        <v>1.0</v>
      </c>
      <c r="E4519" s="84">
        <v>0.93</v>
      </c>
      <c r="F4519" s="76" t="s">
        <v>925</v>
      </c>
      <c r="G4519" s="83">
        <v>46114.0</v>
      </c>
      <c r="H4519" s="76" t="s">
        <v>927</v>
      </c>
    </row>
    <row r="4520">
      <c r="A4520" s="76" t="s">
        <v>36</v>
      </c>
      <c r="B4520" s="76" t="s">
        <v>1019</v>
      </c>
      <c r="C4520" s="84">
        <v>0.21</v>
      </c>
      <c r="D4520" s="84">
        <v>0.0</v>
      </c>
      <c r="E4520" s="84">
        <v>0.0</v>
      </c>
      <c r="F4520" s="76" t="s">
        <v>925</v>
      </c>
      <c r="G4520" s="83">
        <v>46114.0</v>
      </c>
      <c r="H4520" s="76" t="s">
        <v>928</v>
      </c>
    </row>
    <row r="4521">
      <c r="A4521" s="76" t="s">
        <v>31</v>
      </c>
      <c r="B4521" s="76" t="s">
        <v>1019</v>
      </c>
      <c r="C4521" s="84">
        <v>5.86</v>
      </c>
      <c r="D4521" s="84">
        <v>0.0</v>
      </c>
      <c r="E4521" s="84">
        <v>0.0</v>
      </c>
      <c r="F4521" s="76" t="s">
        <v>925</v>
      </c>
      <c r="G4521" s="83">
        <v>46114.0</v>
      </c>
      <c r="H4521" s="76" t="s">
        <v>929</v>
      </c>
    </row>
    <row r="4522">
      <c r="A4522" s="76" t="s">
        <v>31</v>
      </c>
      <c r="B4522" s="76" t="s">
        <v>1019</v>
      </c>
      <c r="C4522" s="84">
        <v>191.62</v>
      </c>
      <c r="D4522" s="84">
        <v>7.0</v>
      </c>
      <c r="E4522" s="84">
        <v>27.37</v>
      </c>
      <c r="F4522" s="76" t="s">
        <v>925</v>
      </c>
      <c r="G4522" s="83">
        <v>46114.0</v>
      </c>
      <c r="H4522" s="76" t="s">
        <v>930</v>
      </c>
    </row>
    <row r="4523">
      <c r="A4523" s="76" t="s">
        <v>28</v>
      </c>
      <c r="B4523" s="76" t="s">
        <v>1019</v>
      </c>
      <c r="C4523" s="84">
        <v>0.42</v>
      </c>
      <c r="D4523" s="84">
        <v>0.0</v>
      </c>
      <c r="E4523" s="84">
        <v>0.0</v>
      </c>
      <c r="F4523" s="76" t="s">
        <v>925</v>
      </c>
      <c r="G4523" s="83">
        <v>46114.0</v>
      </c>
      <c r="H4523" s="76" t="s">
        <v>931</v>
      </c>
    </row>
    <row r="4524">
      <c r="A4524" s="76" t="s">
        <v>28</v>
      </c>
      <c r="B4524" s="76" t="s">
        <v>1019</v>
      </c>
      <c r="C4524" s="84">
        <v>0.19</v>
      </c>
      <c r="D4524" s="84">
        <v>0.0</v>
      </c>
      <c r="E4524" s="84">
        <v>0.0</v>
      </c>
      <c r="F4524" s="76" t="s">
        <v>925</v>
      </c>
      <c r="G4524" s="83">
        <v>46114.0</v>
      </c>
      <c r="H4524" s="76" t="s">
        <v>932</v>
      </c>
    </row>
    <row r="4525">
      <c r="A4525" s="76" t="s">
        <v>28</v>
      </c>
      <c r="B4525" s="76" t="s">
        <v>1019</v>
      </c>
      <c r="C4525" s="84">
        <v>9.25</v>
      </c>
      <c r="D4525" s="84">
        <v>0.0</v>
      </c>
      <c r="E4525" s="84">
        <v>0.0</v>
      </c>
      <c r="F4525" s="76" t="s">
        <v>925</v>
      </c>
      <c r="G4525" s="83">
        <v>46114.0</v>
      </c>
      <c r="H4525" s="76" t="s">
        <v>933</v>
      </c>
    </row>
    <row r="4526">
      <c r="A4526" s="76" t="s">
        <v>42</v>
      </c>
      <c r="B4526" s="76" t="s">
        <v>1019</v>
      </c>
      <c r="C4526" s="84">
        <v>0.09</v>
      </c>
      <c r="D4526" s="84">
        <v>0.0</v>
      </c>
      <c r="E4526" s="84">
        <v>0.0</v>
      </c>
      <c r="F4526" s="76" t="s">
        <v>925</v>
      </c>
      <c r="G4526" s="83">
        <v>46114.0</v>
      </c>
      <c r="H4526" s="76" t="s">
        <v>991</v>
      </c>
    </row>
    <row r="4527">
      <c r="A4527" s="76" t="s">
        <v>42</v>
      </c>
      <c r="B4527" s="76" t="s">
        <v>1019</v>
      </c>
      <c r="C4527" s="84">
        <v>0.72</v>
      </c>
      <c r="D4527" s="84">
        <v>0.0</v>
      </c>
      <c r="E4527" s="84">
        <v>0.0</v>
      </c>
      <c r="F4527" s="76" t="s">
        <v>925</v>
      </c>
      <c r="G4527" s="83">
        <v>46114.0</v>
      </c>
      <c r="H4527" s="76" t="s">
        <v>935</v>
      </c>
    </row>
    <row r="4528">
      <c r="A4528" s="76" t="s">
        <v>45</v>
      </c>
      <c r="B4528" s="76" t="s">
        <v>1019</v>
      </c>
      <c r="C4528" s="84">
        <v>0.36</v>
      </c>
      <c r="D4528" s="84">
        <v>0.0</v>
      </c>
      <c r="E4528" s="84">
        <v>0.0</v>
      </c>
      <c r="F4528" s="76" t="s">
        <v>925</v>
      </c>
      <c r="G4528" s="83">
        <v>46114.0</v>
      </c>
      <c r="H4528" s="76" t="s">
        <v>936</v>
      </c>
    </row>
    <row r="4529">
      <c r="A4529" s="76" t="s">
        <v>45</v>
      </c>
      <c r="B4529" s="76" t="s">
        <v>1019</v>
      </c>
      <c r="C4529" s="84">
        <v>0.13</v>
      </c>
      <c r="D4529" s="84">
        <v>0.0</v>
      </c>
      <c r="E4529" s="84">
        <v>0.0</v>
      </c>
      <c r="F4529" s="76" t="s">
        <v>925</v>
      </c>
      <c r="G4529" s="83">
        <v>46114.0</v>
      </c>
      <c r="H4529" s="76" t="s">
        <v>937</v>
      </c>
    </row>
    <row r="4530">
      <c r="A4530" s="76" t="s">
        <v>45</v>
      </c>
      <c r="B4530" s="76" t="s">
        <v>1019</v>
      </c>
      <c r="C4530" s="84">
        <v>0.4</v>
      </c>
      <c r="D4530" s="84">
        <v>0.0</v>
      </c>
      <c r="E4530" s="84">
        <v>0.0</v>
      </c>
      <c r="F4530" s="76" t="s">
        <v>925</v>
      </c>
      <c r="G4530" s="83">
        <v>46114.0</v>
      </c>
      <c r="H4530" s="76" t="s">
        <v>938</v>
      </c>
    </row>
    <row r="4531">
      <c r="A4531" s="76" t="s">
        <v>50</v>
      </c>
      <c r="B4531" s="76" t="s">
        <v>1019</v>
      </c>
      <c r="C4531" s="84">
        <v>0.44</v>
      </c>
      <c r="D4531" s="84">
        <v>0.0</v>
      </c>
      <c r="E4531" s="84">
        <v>0.0</v>
      </c>
      <c r="F4531" s="76" t="s">
        <v>925</v>
      </c>
      <c r="G4531" s="83">
        <v>46114.0</v>
      </c>
      <c r="H4531" s="76" t="s">
        <v>939</v>
      </c>
    </row>
    <row r="4532">
      <c r="A4532" s="76" t="s">
        <v>50</v>
      </c>
      <c r="B4532" s="76" t="s">
        <v>1019</v>
      </c>
      <c r="C4532" s="84">
        <v>0.4</v>
      </c>
      <c r="D4532" s="84">
        <v>0.0</v>
      </c>
      <c r="E4532" s="84">
        <v>0.0</v>
      </c>
      <c r="F4532" s="76" t="s">
        <v>925</v>
      </c>
      <c r="G4532" s="83">
        <v>46114.0</v>
      </c>
      <c r="H4532" s="76" t="s">
        <v>940</v>
      </c>
    </row>
    <row r="4533">
      <c r="A4533" s="76" t="s">
        <v>32</v>
      </c>
      <c r="B4533" s="76" t="s">
        <v>1019</v>
      </c>
      <c r="C4533" s="84">
        <v>3.45</v>
      </c>
      <c r="D4533" s="84">
        <v>0.0</v>
      </c>
      <c r="E4533" s="84">
        <v>0.0</v>
      </c>
      <c r="F4533" s="76" t="s">
        <v>925</v>
      </c>
      <c r="G4533" s="83">
        <v>46114.0</v>
      </c>
      <c r="H4533" s="76" t="s">
        <v>941</v>
      </c>
    </row>
    <row r="4534">
      <c r="A4534" s="76" t="s">
        <v>32</v>
      </c>
      <c r="B4534" s="76" t="s">
        <v>1019</v>
      </c>
      <c r="C4534" s="84">
        <v>1.98</v>
      </c>
      <c r="D4534" s="84">
        <v>0.0</v>
      </c>
      <c r="E4534" s="84">
        <v>0.0</v>
      </c>
      <c r="F4534" s="76" t="s">
        <v>925</v>
      </c>
      <c r="G4534" s="83">
        <v>46114.0</v>
      </c>
      <c r="H4534" s="76" t="s">
        <v>942</v>
      </c>
    </row>
    <row r="4535">
      <c r="A4535" s="76" t="s">
        <v>32</v>
      </c>
      <c r="B4535" s="76" t="s">
        <v>1019</v>
      </c>
      <c r="C4535" s="84">
        <v>53.67</v>
      </c>
      <c r="D4535" s="84">
        <v>1.0</v>
      </c>
      <c r="E4535" s="84">
        <v>53.67</v>
      </c>
      <c r="F4535" s="76" t="s">
        <v>925</v>
      </c>
      <c r="G4535" s="83">
        <v>46114.0</v>
      </c>
      <c r="H4535" s="76" t="s">
        <v>943</v>
      </c>
    </row>
    <row r="4536">
      <c r="A4536" s="76" t="s">
        <v>944</v>
      </c>
      <c r="B4536" s="76" t="s">
        <v>1019</v>
      </c>
      <c r="C4536" s="84">
        <v>4.06</v>
      </c>
      <c r="D4536" s="84">
        <v>1.0</v>
      </c>
      <c r="E4536" s="84">
        <v>4.06</v>
      </c>
      <c r="F4536" s="76" t="s">
        <v>925</v>
      </c>
      <c r="G4536" s="83">
        <v>46114.0</v>
      </c>
      <c r="H4536" s="76" t="s">
        <v>945</v>
      </c>
    </row>
    <row r="4537">
      <c r="A4537" s="76" t="s">
        <v>944</v>
      </c>
      <c r="B4537" s="76" t="s">
        <v>1019</v>
      </c>
      <c r="C4537" s="84">
        <v>0.58</v>
      </c>
      <c r="D4537" s="84">
        <v>0.0</v>
      </c>
      <c r="E4537" s="84">
        <v>0.0</v>
      </c>
      <c r="F4537" s="76" t="s">
        <v>925</v>
      </c>
      <c r="G4537" s="83">
        <v>46114.0</v>
      </c>
      <c r="H4537" s="76" t="s">
        <v>946</v>
      </c>
    </row>
    <row r="4538">
      <c r="A4538" s="76" t="s">
        <v>944</v>
      </c>
      <c r="B4538" s="76" t="s">
        <v>1019</v>
      </c>
      <c r="C4538" s="84">
        <v>0.64</v>
      </c>
      <c r="D4538" s="84">
        <v>0.0</v>
      </c>
      <c r="E4538" s="84">
        <v>0.0</v>
      </c>
      <c r="F4538" s="76" t="s">
        <v>925</v>
      </c>
      <c r="G4538" s="83">
        <v>46114.0</v>
      </c>
      <c r="H4538" s="76" t="s">
        <v>947</v>
      </c>
    </row>
    <row r="4539">
      <c r="A4539" s="76" t="s">
        <v>26</v>
      </c>
      <c r="B4539" s="76" t="s">
        <v>1019</v>
      </c>
      <c r="C4539" s="84">
        <v>0.24</v>
      </c>
      <c r="D4539" s="84">
        <v>0.0</v>
      </c>
      <c r="E4539" s="84">
        <v>0.0</v>
      </c>
      <c r="F4539" s="76" t="s">
        <v>925</v>
      </c>
      <c r="G4539" s="83">
        <v>46114.0</v>
      </c>
      <c r="H4539" s="76" t="s">
        <v>1012</v>
      </c>
    </row>
    <row r="4540">
      <c r="A4540" s="76" t="s">
        <v>26</v>
      </c>
      <c r="B4540" s="76" t="s">
        <v>1019</v>
      </c>
      <c r="C4540" s="84">
        <v>0.69</v>
      </c>
      <c r="D4540" s="84">
        <v>0.0</v>
      </c>
      <c r="E4540" s="84">
        <v>0.0</v>
      </c>
      <c r="F4540" s="76" t="s">
        <v>925</v>
      </c>
      <c r="G4540" s="83">
        <v>46114.0</v>
      </c>
      <c r="H4540" s="76" t="s">
        <v>1013</v>
      </c>
    </row>
    <row r="4541">
      <c r="A4541" s="76" t="s">
        <v>26</v>
      </c>
      <c r="B4541" s="76" t="s">
        <v>1019</v>
      </c>
      <c r="C4541" s="84">
        <v>3.06</v>
      </c>
      <c r="D4541" s="84">
        <v>0.0</v>
      </c>
      <c r="E4541" s="84">
        <v>0.0</v>
      </c>
      <c r="F4541" s="76" t="s">
        <v>925</v>
      </c>
      <c r="G4541" s="83">
        <v>46114.0</v>
      </c>
      <c r="H4541" s="76" t="s">
        <v>1014</v>
      </c>
    </row>
    <row r="4542">
      <c r="A4542" s="76" t="s">
        <v>36</v>
      </c>
      <c r="B4542" s="76" t="s">
        <v>1019</v>
      </c>
      <c r="C4542" s="84">
        <v>2.07</v>
      </c>
      <c r="D4542" s="84">
        <v>0.0</v>
      </c>
      <c r="E4542" s="84">
        <v>0.0</v>
      </c>
      <c r="F4542" s="76" t="s">
        <v>948</v>
      </c>
      <c r="G4542" s="83">
        <v>46114.0</v>
      </c>
      <c r="H4542" s="76" t="s">
        <v>926</v>
      </c>
    </row>
    <row r="4543">
      <c r="A4543" s="76" t="s">
        <v>36</v>
      </c>
      <c r="B4543" s="76" t="s">
        <v>1019</v>
      </c>
      <c r="C4543" s="84">
        <v>0.52</v>
      </c>
      <c r="D4543" s="84">
        <v>0.0</v>
      </c>
      <c r="E4543" s="84">
        <v>0.0</v>
      </c>
      <c r="F4543" s="76" t="s">
        <v>948</v>
      </c>
      <c r="G4543" s="83">
        <v>46114.0</v>
      </c>
      <c r="H4543" s="76" t="s">
        <v>927</v>
      </c>
    </row>
    <row r="4544">
      <c r="A4544" s="76" t="s">
        <v>36</v>
      </c>
      <c r="B4544" s="76" t="s">
        <v>1019</v>
      </c>
      <c r="C4544" s="84">
        <v>0.13</v>
      </c>
      <c r="D4544" s="84">
        <v>0.0</v>
      </c>
      <c r="E4544" s="84">
        <v>0.0</v>
      </c>
      <c r="F4544" s="76" t="s">
        <v>948</v>
      </c>
      <c r="G4544" s="83">
        <v>46114.0</v>
      </c>
      <c r="H4544" s="76" t="s">
        <v>928</v>
      </c>
    </row>
    <row r="4545">
      <c r="A4545" s="76" t="s">
        <v>31</v>
      </c>
      <c r="B4545" s="76" t="s">
        <v>1019</v>
      </c>
      <c r="C4545" s="84">
        <v>3.59</v>
      </c>
      <c r="D4545" s="84">
        <v>0.0</v>
      </c>
      <c r="E4545" s="84">
        <v>0.0</v>
      </c>
      <c r="F4545" s="76" t="s">
        <v>948</v>
      </c>
      <c r="G4545" s="83">
        <v>46114.0</v>
      </c>
      <c r="H4545" s="76" t="s">
        <v>929</v>
      </c>
    </row>
    <row r="4546">
      <c r="A4546" s="76" t="s">
        <v>31</v>
      </c>
      <c r="B4546" s="76" t="s">
        <v>1019</v>
      </c>
      <c r="C4546" s="84">
        <v>55.11</v>
      </c>
      <c r="D4546" s="84">
        <v>1.0</v>
      </c>
      <c r="E4546" s="84">
        <v>55.11</v>
      </c>
      <c r="F4546" s="76" t="s">
        <v>948</v>
      </c>
      <c r="G4546" s="83">
        <v>46114.0</v>
      </c>
      <c r="H4546" s="76" t="s">
        <v>930</v>
      </c>
    </row>
    <row r="4547">
      <c r="A4547" s="76" t="s">
        <v>28</v>
      </c>
      <c r="B4547" s="76" t="s">
        <v>1019</v>
      </c>
      <c r="C4547" s="84">
        <v>0.15</v>
      </c>
      <c r="D4547" s="84">
        <v>0.0</v>
      </c>
      <c r="E4547" s="84">
        <v>0.0</v>
      </c>
      <c r="F4547" s="76" t="s">
        <v>948</v>
      </c>
      <c r="G4547" s="83">
        <v>46114.0</v>
      </c>
      <c r="H4547" s="76" t="s">
        <v>931</v>
      </c>
    </row>
    <row r="4548">
      <c r="A4548" s="76" t="s">
        <v>28</v>
      </c>
      <c r="B4548" s="76" t="s">
        <v>1019</v>
      </c>
      <c r="C4548" s="84">
        <v>0.04</v>
      </c>
      <c r="D4548" s="84">
        <v>0.0</v>
      </c>
      <c r="E4548" s="84">
        <v>0.0</v>
      </c>
      <c r="F4548" s="76" t="s">
        <v>948</v>
      </c>
      <c r="G4548" s="83">
        <v>46114.0</v>
      </c>
      <c r="H4548" s="76" t="s">
        <v>932</v>
      </c>
    </row>
    <row r="4549">
      <c r="A4549" s="76" t="s">
        <v>28</v>
      </c>
      <c r="B4549" s="76" t="s">
        <v>1019</v>
      </c>
      <c r="C4549" s="84">
        <v>3.41</v>
      </c>
      <c r="D4549" s="84">
        <v>0.0</v>
      </c>
      <c r="E4549" s="84">
        <v>0.0</v>
      </c>
      <c r="F4549" s="76" t="s">
        <v>948</v>
      </c>
      <c r="G4549" s="83">
        <v>46114.0</v>
      </c>
      <c r="H4549" s="76" t="s">
        <v>933</v>
      </c>
    </row>
    <row r="4550">
      <c r="A4550" s="76" t="s">
        <v>42</v>
      </c>
      <c r="B4550" s="76" t="s">
        <v>1019</v>
      </c>
      <c r="C4550" s="84">
        <v>0.04</v>
      </c>
      <c r="D4550" s="84">
        <v>0.0</v>
      </c>
      <c r="E4550" s="84">
        <v>0.0</v>
      </c>
      <c r="F4550" s="76" t="s">
        <v>948</v>
      </c>
      <c r="G4550" s="83">
        <v>46114.0</v>
      </c>
      <c r="H4550" s="76" t="s">
        <v>991</v>
      </c>
    </row>
    <row r="4551">
      <c r="A4551" s="76" t="s">
        <v>42</v>
      </c>
      <c r="B4551" s="76" t="s">
        <v>1019</v>
      </c>
      <c r="C4551" s="84">
        <v>0.34</v>
      </c>
      <c r="D4551" s="84">
        <v>0.0</v>
      </c>
      <c r="E4551" s="84">
        <v>0.0</v>
      </c>
      <c r="F4551" s="76" t="s">
        <v>948</v>
      </c>
      <c r="G4551" s="83">
        <v>46114.0</v>
      </c>
      <c r="H4551" s="76" t="s">
        <v>935</v>
      </c>
    </row>
    <row r="4552">
      <c r="A4552" s="76" t="s">
        <v>45</v>
      </c>
      <c r="B4552" s="76" t="s">
        <v>1019</v>
      </c>
      <c r="C4552" s="84">
        <v>0.55</v>
      </c>
      <c r="D4552" s="84">
        <v>0.0</v>
      </c>
      <c r="E4552" s="84">
        <v>0.0</v>
      </c>
      <c r="F4552" s="76" t="s">
        <v>948</v>
      </c>
      <c r="G4552" s="83">
        <v>46114.0</v>
      </c>
      <c r="H4552" s="76" t="s">
        <v>936</v>
      </c>
    </row>
    <row r="4553">
      <c r="A4553" s="76" t="s">
        <v>45</v>
      </c>
      <c r="B4553" s="76" t="s">
        <v>1019</v>
      </c>
      <c r="C4553" s="84">
        <v>0.12</v>
      </c>
      <c r="D4553" s="84">
        <v>0.0</v>
      </c>
      <c r="E4553" s="84">
        <v>0.0</v>
      </c>
      <c r="F4553" s="76" t="s">
        <v>948</v>
      </c>
      <c r="G4553" s="83">
        <v>46114.0</v>
      </c>
      <c r="H4553" s="76" t="s">
        <v>937</v>
      </c>
    </row>
    <row r="4554">
      <c r="A4554" s="76" t="s">
        <v>45</v>
      </c>
      <c r="B4554" s="76" t="s">
        <v>1019</v>
      </c>
      <c r="C4554" s="84">
        <v>0.77</v>
      </c>
      <c r="D4554" s="84">
        <v>1.0</v>
      </c>
      <c r="E4554" s="84">
        <v>0.77</v>
      </c>
      <c r="F4554" s="76" t="s">
        <v>948</v>
      </c>
      <c r="G4554" s="83">
        <v>46114.0</v>
      </c>
      <c r="H4554" s="76" t="s">
        <v>938</v>
      </c>
    </row>
    <row r="4555">
      <c r="A4555" s="76" t="s">
        <v>50</v>
      </c>
      <c r="B4555" s="76" t="s">
        <v>1019</v>
      </c>
      <c r="C4555" s="84">
        <v>0.15</v>
      </c>
      <c r="D4555" s="84">
        <v>0.0</v>
      </c>
      <c r="E4555" s="84">
        <v>0.0</v>
      </c>
      <c r="F4555" s="76" t="s">
        <v>948</v>
      </c>
      <c r="G4555" s="83">
        <v>46114.0</v>
      </c>
      <c r="H4555" s="76" t="s">
        <v>939</v>
      </c>
    </row>
    <row r="4556">
      <c r="A4556" s="76" t="s">
        <v>50</v>
      </c>
      <c r="B4556" s="76" t="s">
        <v>1019</v>
      </c>
      <c r="C4556" s="84">
        <v>0.19</v>
      </c>
      <c r="D4556" s="84">
        <v>0.0</v>
      </c>
      <c r="E4556" s="84">
        <v>0.0</v>
      </c>
      <c r="F4556" s="76" t="s">
        <v>948</v>
      </c>
      <c r="G4556" s="83">
        <v>46114.0</v>
      </c>
      <c r="H4556" s="76" t="s">
        <v>940</v>
      </c>
    </row>
    <row r="4557">
      <c r="A4557" s="76" t="s">
        <v>32</v>
      </c>
      <c r="B4557" s="76" t="s">
        <v>1019</v>
      </c>
      <c r="C4557" s="84">
        <v>1.73</v>
      </c>
      <c r="D4557" s="84">
        <v>0.0</v>
      </c>
      <c r="E4557" s="84">
        <v>0.0</v>
      </c>
      <c r="F4557" s="76" t="s">
        <v>948</v>
      </c>
      <c r="G4557" s="83">
        <v>46114.0</v>
      </c>
      <c r="H4557" s="76" t="s">
        <v>941</v>
      </c>
    </row>
    <row r="4558">
      <c r="A4558" s="76" t="s">
        <v>32</v>
      </c>
      <c r="B4558" s="76" t="s">
        <v>1019</v>
      </c>
      <c r="C4558" s="84">
        <v>1.17</v>
      </c>
      <c r="D4558" s="84">
        <v>0.0</v>
      </c>
      <c r="E4558" s="84">
        <v>0.0</v>
      </c>
      <c r="F4558" s="76" t="s">
        <v>948</v>
      </c>
      <c r="G4558" s="83">
        <v>46114.0</v>
      </c>
      <c r="H4558" s="76" t="s">
        <v>942</v>
      </c>
    </row>
    <row r="4559">
      <c r="A4559" s="76" t="s">
        <v>32</v>
      </c>
      <c r="B4559" s="76" t="s">
        <v>1019</v>
      </c>
      <c r="C4559" s="84">
        <v>28.34</v>
      </c>
      <c r="D4559" s="84">
        <v>2.0</v>
      </c>
      <c r="E4559" s="84">
        <v>14.17</v>
      </c>
      <c r="F4559" s="76" t="s">
        <v>948</v>
      </c>
      <c r="G4559" s="83">
        <v>46114.0</v>
      </c>
      <c r="H4559" s="76" t="s">
        <v>943</v>
      </c>
    </row>
    <row r="4560">
      <c r="A4560" s="76" t="s">
        <v>944</v>
      </c>
      <c r="B4560" s="76" t="s">
        <v>1019</v>
      </c>
      <c r="C4560" s="84">
        <v>1.17</v>
      </c>
      <c r="D4560" s="84">
        <v>0.0</v>
      </c>
      <c r="E4560" s="84">
        <v>0.0</v>
      </c>
      <c r="F4560" s="76" t="s">
        <v>948</v>
      </c>
      <c r="G4560" s="83">
        <v>46114.0</v>
      </c>
      <c r="H4560" s="76" t="s">
        <v>945</v>
      </c>
    </row>
    <row r="4561">
      <c r="A4561" s="76" t="s">
        <v>944</v>
      </c>
      <c r="B4561" s="76" t="s">
        <v>1019</v>
      </c>
      <c r="C4561" s="84">
        <v>0.16</v>
      </c>
      <c r="D4561" s="84">
        <v>0.0</v>
      </c>
      <c r="E4561" s="84">
        <v>0.0</v>
      </c>
      <c r="F4561" s="76" t="s">
        <v>948</v>
      </c>
      <c r="G4561" s="83">
        <v>46114.0</v>
      </c>
      <c r="H4561" s="76" t="s">
        <v>946</v>
      </c>
    </row>
    <row r="4562">
      <c r="A4562" s="76" t="s">
        <v>944</v>
      </c>
      <c r="B4562" s="76" t="s">
        <v>1019</v>
      </c>
      <c r="C4562" s="84">
        <v>0.22</v>
      </c>
      <c r="D4562" s="84">
        <v>0.0</v>
      </c>
      <c r="E4562" s="84">
        <v>0.0</v>
      </c>
      <c r="F4562" s="76" t="s">
        <v>948</v>
      </c>
      <c r="G4562" s="83">
        <v>46114.0</v>
      </c>
      <c r="H4562" s="76" t="s">
        <v>947</v>
      </c>
    </row>
    <row r="4563">
      <c r="A4563" s="76" t="s">
        <v>26</v>
      </c>
      <c r="B4563" s="76" t="s">
        <v>1019</v>
      </c>
      <c r="C4563" s="84">
        <v>0.21</v>
      </c>
      <c r="D4563" s="84">
        <v>0.0</v>
      </c>
      <c r="E4563" s="84">
        <v>0.0</v>
      </c>
      <c r="F4563" s="76" t="s">
        <v>948</v>
      </c>
      <c r="G4563" s="83">
        <v>46114.0</v>
      </c>
      <c r="H4563" s="76" t="s">
        <v>1012</v>
      </c>
    </row>
    <row r="4564">
      <c r="A4564" s="76" t="s">
        <v>26</v>
      </c>
      <c r="B4564" s="76" t="s">
        <v>1019</v>
      </c>
      <c r="C4564" s="84">
        <v>0.79</v>
      </c>
      <c r="D4564" s="84">
        <v>0.0</v>
      </c>
      <c r="E4564" s="84">
        <v>0.0</v>
      </c>
      <c r="F4564" s="76" t="s">
        <v>948</v>
      </c>
      <c r="G4564" s="83">
        <v>46114.0</v>
      </c>
      <c r="H4564" s="76" t="s">
        <v>1013</v>
      </c>
    </row>
    <row r="4565">
      <c r="A4565" s="76" t="s">
        <v>26</v>
      </c>
      <c r="B4565" s="76" t="s">
        <v>1019</v>
      </c>
      <c r="C4565" s="84">
        <v>3.02</v>
      </c>
      <c r="D4565" s="84">
        <v>1.0</v>
      </c>
      <c r="E4565" s="84">
        <v>3.02</v>
      </c>
      <c r="F4565" s="76" t="s">
        <v>948</v>
      </c>
      <c r="G4565" s="83">
        <v>46114.0</v>
      </c>
      <c r="H4565" s="76" t="s">
        <v>1014</v>
      </c>
    </row>
    <row r="4566">
      <c r="A4566" s="76" t="s">
        <v>34</v>
      </c>
      <c r="B4566" s="76" t="s">
        <v>1027</v>
      </c>
      <c r="C4566" s="84">
        <v>1.31</v>
      </c>
      <c r="D4566" s="84">
        <v>0.0</v>
      </c>
      <c r="E4566" s="84">
        <v>0.0</v>
      </c>
      <c r="F4566" s="76" t="s">
        <v>990</v>
      </c>
      <c r="G4566" s="83">
        <v>46114.0</v>
      </c>
      <c r="H4566" s="76" t="s">
        <v>951</v>
      </c>
    </row>
    <row r="4567">
      <c r="A4567" s="76" t="s">
        <v>34</v>
      </c>
      <c r="B4567" s="76" t="s">
        <v>1027</v>
      </c>
      <c r="C4567" s="84">
        <v>0.81</v>
      </c>
      <c r="D4567" s="84">
        <v>0.0</v>
      </c>
      <c r="E4567" s="84">
        <v>0.0</v>
      </c>
      <c r="F4567" s="76" t="s">
        <v>990</v>
      </c>
      <c r="G4567" s="83">
        <v>46114.0</v>
      </c>
      <c r="H4567" s="76" t="s">
        <v>952</v>
      </c>
    </row>
    <row r="4568">
      <c r="A4568" s="76" t="s">
        <v>34</v>
      </c>
      <c r="B4568" s="76" t="s">
        <v>1027</v>
      </c>
      <c r="C4568" s="84">
        <v>1.66</v>
      </c>
      <c r="D4568" s="84">
        <v>0.0</v>
      </c>
      <c r="E4568" s="84">
        <v>0.0</v>
      </c>
      <c r="F4568" s="76" t="s">
        <v>990</v>
      </c>
      <c r="G4568" s="83">
        <v>46114.0</v>
      </c>
      <c r="H4568" s="76" t="s">
        <v>953</v>
      </c>
    </row>
    <row r="4569">
      <c r="A4569" s="76" t="s">
        <v>40</v>
      </c>
      <c r="B4569" s="76" t="s">
        <v>1027</v>
      </c>
      <c r="C4569" s="84">
        <v>1.68</v>
      </c>
      <c r="D4569" s="84">
        <v>0.0</v>
      </c>
      <c r="E4569" s="84">
        <v>0.0</v>
      </c>
      <c r="F4569" s="76" t="s">
        <v>990</v>
      </c>
      <c r="G4569" s="83">
        <v>46114.0</v>
      </c>
      <c r="H4569" s="76" t="s">
        <v>954</v>
      </c>
    </row>
    <row r="4570">
      <c r="A4570" s="76" t="s">
        <v>40</v>
      </c>
      <c r="B4570" s="76" t="s">
        <v>1027</v>
      </c>
      <c r="C4570" s="84">
        <v>0.48</v>
      </c>
      <c r="D4570" s="84">
        <v>0.0</v>
      </c>
      <c r="E4570" s="84">
        <v>0.0</v>
      </c>
      <c r="F4570" s="76" t="s">
        <v>990</v>
      </c>
      <c r="G4570" s="83">
        <v>46114.0</v>
      </c>
      <c r="H4570" s="76" t="s">
        <v>955</v>
      </c>
    </row>
    <row r="4571">
      <c r="A4571" s="76" t="s">
        <v>40</v>
      </c>
      <c r="B4571" s="76" t="s">
        <v>1027</v>
      </c>
      <c r="C4571" s="84">
        <v>2.73</v>
      </c>
      <c r="D4571" s="84">
        <v>0.0</v>
      </c>
      <c r="E4571" s="84">
        <v>0.0</v>
      </c>
      <c r="F4571" s="76" t="s">
        <v>990</v>
      </c>
      <c r="G4571" s="83">
        <v>46114.0</v>
      </c>
      <c r="H4571" s="76" t="s">
        <v>956</v>
      </c>
    </row>
    <row r="4572">
      <c r="A4572" s="76" t="s">
        <v>33</v>
      </c>
      <c r="B4572" s="76" t="s">
        <v>1027</v>
      </c>
      <c r="C4572" s="84">
        <v>5.29</v>
      </c>
      <c r="D4572" s="84">
        <v>0.0</v>
      </c>
      <c r="E4572" s="84">
        <v>0.0</v>
      </c>
      <c r="F4572" s="76" t="s">
        <v>990</v>
      </c>
      <c r="G4572" s="83">
        <v>46114.0</v>
      </c>
      <c r="H4572" s="76" t="s">
        <v>957</v>
      </c>
    </row>
    <row r="4573">
      <c r="A4573" s="76" t="s">
        <v>33</v>
      </c>
      <c r="B4573" s="76" t="s">
        <v>1027</v>
      </c>
      <c r="C4573" s="84">
        <v>1.56</v>
      </c>
      <c r="D4573" s="84">
        <v>0.0</v>
      </c>
      <c r="E4573" s="84">
        <v>0.0</v>
      </c>
      <c r="F4573" s="76" t="s">
        <v>990</v>
      </c>
      <c r="G4573" s="83">
        <v>46114.0</v>
      </c>
      <c r="H4573" s="76" t="s">
        <v>958</v>
      </c>
    </row>
    <row r="4574">
      <c r="A4574" s="76" t="s">
        <v>33</v>
      </c>
      <c r="B4574" s="76" t="s">
        <v>1027</v>
      </c>
      <c r="C4574" s="84">
        <v>1.69</v>
      </c>
      <c r="D4574" s="84">
        <v>0.0</v>
      </c>
      <c r="E4574" s="84">
        <v>0.0</v>
      </c>
      <c r="F4574" s="76" t="s">
        <v>990</v>
      </c>
      <c r="G4574" s="83">
        <v>46114.0</v>
      </c>
      <c r="H4574" s="76" t="s">
        <v>959</v>
      </c>
    </row>
    <row r="4575">
      <c r="A4575" s="76" t="s">
        <v>46</v>
      </c>
      <c r="B4575" s="76" t="s">
        <v>1027</v>
      </c>
      <c r="C4575" s="84">
        <v>4.18</v>
      </c>
      <c r="D4575" s="84">
        <v>0.0</v>
      </c>
      <c r="E4575" s="84">
        <v>0.0</v>
      </c>
      <c r="F4575" s="76" t="s">
        <v>990</v>
      </c>
      <c r="G4575" s="83">
        <v>46114.0</v>
      </c>
      <c r="H4575" s="76" t="s">
        <v>960</v>
      </c>
    </row>
    <row r="4576">
      <c r="A4576" s="76" t="s">
        <v>46</v>
      </c>
      <c r="B4576" s="76" t="s">
        <v>1027</v>
      </c>
      <c r="C4576" s="84">
        <v>2.45</v>
      </c>
      <c r="D4576" s="84">
        <v>0.0</v>
      </c>
      <c r="E4576" s="84">
        <v>0.0</v>
      </c>
      <c r="F4576" s="76" t="s">
        <v>990</v>
      </c>
      <c r="G4576" s="83">
        <v>46114.0</v>
      </c>
      <c r="H4576" s="76" t="s">
        <v>961</v>
      </c>
    </row>
    <row r="4577">
      <c r="A4577" s="76" t="s">
        <v>46</v>
      </c>
      <c r="B4577" s="76" t="s">
        <v>1027</v>
      </c>
      <c r="C4577" s="84">
        <v>1.09</v>
      </c>
      <c r="D4577" s="84">
        <v>0.0</v>
      </c>
      <c r="E4577" s="84">
        <v>0.0</v>
      </c>
      <c r="F4577" s="76" t="s">
        <v>990</v>
      </c>
      <c r="G4577" s="83">
        <v>46114.0</v>
      </c>
      <c r="H4577" s="76" t="s">
        <v>962</v>
      </c>
    </row>
    <row r="4578">
      <c r="A4578" s="76" t="s">
        <v>43</v>
      </c>
      <c r="B4578" s="76" t="s">
        <v>1027</v>
      </c>
      <c r="C4578" s="84">
        <v>0.56</v>
      </c>
      <c r="D4578" s="84">
        <v>0.0</v>
      </c>
      <c r="E4578" s="84">
        <v>0.0</v>
      </c>
      <c r="F4578" s="76" t="s">
        <v>990</v>
      </c>
      <c r="G4578" s="83">
        <v>46114.0</v>
      </c>
      <c r="H4578" s="76" t="s">
        <v>963</v>
      </c>
    </row>
    <row r="4579">
      <c r="A4579" s="76" t="s">
        <v>43</v>
      </c>
      <c r="B4579" s="76" t="s">
        <v>1027</v>
      </c>
      <c r="C4579" s="84">
        <v>1.09</v>
      </c>
      <c r="D4579" s="84">
        <v>0.0</v>
      </c>
      <c r="E4579" s="84">
        <v>0.0</v>
      </c>
      <c r="F4579" s="76" t="s">
        <v>990</v>
      </c>
      <c r="G4579" s="83">
        <v>46114.0</v>
      </c>
      <c r="H4579" s="76" t="s">
        <v>964</v>
      </c>
    </row>
    <row r="4580">
      <c r="A4580" s="76" t="s">
        <v>43</v>
      </c>
      <c r="B4580" s="76" t="s">
        <v>1027</v>
      </c>
      <c r="C4580" s="84">
        <v>1.77</v>
      </c>
      <c r="D4580" s="84">
        <v>0.0</v>
      </c>
      <c r="E4580" s="84">
        <v>0.0</v>
      </c>
      <c r="F4580" s="76" t="s">
        <v>990</v>
      </c>
      <c r="G4580" s="83">
        <v>46114.0</v>
      </c>
      <c r="H4580" s="76" t="s">
        <v>965</v>
      </c>
    </row>
    <row r="4581">
      <c r="A4581" s="76" t="s">
        <v>966</v>
      </c>
      <c r="B4581" s="76" t="s">
        <v>1027</v>
      </c>
      <c r="C4581" s="84">
        <v>2.23</v>
      </c>
      <c r="D4581" s="84">
        <v>0.0</v>
      </c>
      <c r="E4581" s="84">
        <v>0.0</v>
      </c>
      <c r="F4581" s="76" t="s">
        <v>990</v>
      </c>
      <c r="G4581" s="83">
        <v>46114.0</v>
      </c>
      <c r="H4581" s="76" t="s">
        <v>967</v>
      </c>
    </row>
    <row r="4582">
      <c r="A4582" s="76" t="s">
        <v>966</v>
      </c>
      <c r="B4582" s="76" t="s">
        <v>1027</v>
      </c>
      <c r="C4582" s="84">
        <v>0.69</v>
      </c>
      <c r="D4582" s="84">
        <v>0.0</v>
      </c>
      <c r="E4582" s="84">
        <v>0.0</v>
      </c>
      <c r="F4582" s="76" t="s">
        <v>990</v>
      </c>
      <c r="G4582" s="83">
        <v>46114.0</v>
      </c>
      <c r="H4582" s="76" t="s">
        <v>968</v>
      </c>
    </row>
    <row r="4583">
      <c r="A4583" s="76" t="s">
        <v>966</v>
      </c>
      <c r="B4583" s="76" t="s">
        <v>1027</v>
      </c>
      <c r="C4583" s="84">
        <v>1.33</v>
      </c>
      <c r="D4583" s="84">
        <v>0.0</v>
      </c>
      <c r="E4583" s="84">
        <v>0.0</v>
      </c>
      <c r="F4583" s="76" t="s">
        <v>990</v>
      </c>
      <c r="G4583" s="83">
        <v>46114.0</v>
      </c>
      <c r="H4583" s="76" t="s">
        <v>969</v>
      </c>
    </row>
    <row r="4584">
      <c r="A4584" s="76" t="s">
        <v>36</v>
      </c>
      <c r="B4584" s="76" t="s">
        <v>1027</v>
      </c>
      <c r="C4584" s="84">
        <v>0.95</v>
      </c>
      <c r="D4584" s="84">
        <v>0.0</v>
      </c>
      <c r="E4584" s="84">
        <v>0.0</v>
      </c>
      <c r="F4584" s="76" t="s">
        <v>990</v>
      </c>
      <c r="G4584" s="83">
        <v>46114.0</v>
      </c>
      <c r="H4584" s="76" t="s">
        <v>926</v>
      </c>
    </row>
    <row r="4585">
      <c r="A4585" s="76" t="s">
        <v>36</v>
      </c>
      <c r="B4585" s="76" t="s">
        <v>1027</v>
      </c>
      <c r="C4585" s="84">
        <v>1.58</v>
      </c>
      <c r="D4585" s="84">
        <v>0.0</v>
      </c>
      <c r="E4585" s="84">
        <v>0.0</v>
      </c>
      <c r="F4585" s="76" t="s">
        <v>990</v>
      </c>
      <c r="G4585" s="83">
        <v>46114.0</v>
      </c>
      <c r="H4585" s="76" t="s">
        <v>927</v>
      </c>
    </row>
    <row r="4586">
      <c r="A4586" s="76" t="s">
        <v>36</v>
      </c>
      <c r="B4586" s="76" t="s">
        <v>1027</v>
      </c>
      <c r="C4586" s="84">
        <v>0.64</v>
      </c>
      <c r="D4586" s="84">
        <v>0.0</v>
      </c>
      <c r="E4586" s="84">
        <v>0.0</v>
      </c>
      <c r="F4586" s="76" t="s">
        <v>990</v>
      </c>
      <c r="G4586" s="83">
        <v>46114.0</v>
      </c>
      <c r="H4586" s="76" t="s">
        <v>928</v>
      </c>
    </row>
    <row r="4587">
      <c r="A4587" s="76" t="s">
        <v>970</v>
      </c>
      <c r="B4587" s="76" t="s">
        <v>1027</v>
      </c>
      <c r="C4587" s="84">
        <v>4.11</v>
      </c>
      <c r="D4587" s="84">
        <v>0.0</v>
      </c>
      <c r="E4587" s="84">
        <v>0.0</v>
      </c>
      <c r="F4587" s="76" t="s">
        <v>990</v>
      </c>
      <c r="G4587" s="83">
        <v>46114.0</v>
      </c>
      <c r="H4587" s="76" t="s">
        <v>971</v>
      </c>
    </row>
    <row r="4588">
      <c r="A4588" s="76" t="s">
        <v>970</v>
      </c>
      <c r="B4588" s="76" t="s">
        <v>1027</v>
      </c>
      <c r="C4588" s="84">
        <v>1.33</v>
      </c>
      <c r="D4588" s="84">
        <v>0.0</v>
      </c>
      <c r="E4588" s="84">
        <v>0.0</v>
      </c>
      <c r="F4588" s="76" t="s">
        <v>990</v>
      </c>
      <c r="G4588" s="83">
        <v>46114.0</v>
      </c>
      <c r="H4588" s="76" t="s">
        <v>972</v>
      </c>
    </row>
    <row r="4589">
      <c r="A4589" s="76" t="s">
        <v>970</v>
      </c>
      <c r="B4589" s="76" t="s">
        <v>1027</v>
      </c>
      <c r="C4589" s="84">
        <v>4.97</v>
      </c>
      <c r="D4589" s="84">
        <v>0.0</v>
      </c>
      <c r="E4589" s="84">
        <v>0.0</v>
      </c>
      <c r="F4589" s="76" t="s">
        <v>990</v>
      </c>
      <c r="G4589" s="83">
        <v>46114.0</v>
      </c>
      <c r="H4589" s="76" t="s">
        <v>973</v>
      </c>
    </row>
    <row r="4590">
      <c r="A4590" s="76" t="s">
        <v>29</v>
      </c>
      <c r="B4590" s="76" t="s">
        <v>1027</v>
      </c>
      <c r="C4590" s="84">
        <v>4.34</v>
      </c>
      <c r="D4590" s="84">
        <v>0.0</v>
      </c>
      <c r="E4590" s="84">
        <v>0.0</v>
      </c>
      <c r="F4590" s="76" t="s">
        <v>990</v>
      </c>
      <c r="G4590" s="83">
        <v>46114.0</v>
      </c>
      <c r="H4590" s="76" t="s">
        <v>971</v>
      </c>
    </row>
    <row r="4591">
      <c r="A4591" s="76" t="s">
        <v>29</v>
      </c>
      <c r="B4591" s="76" t="s">
        <v>1027</v>
      </c>
      <c r="C4591" s="84">
        <v>1.52</v>
      </c>
      <c r="D4591" s="84">
        <v>0.0</v>
      </c>
      <c r="E4591" s="84">
        <v>0.0</v>
      </c>
      <c r="F4591" s="76" t="s">
        <v>990</v>
      </c>
      <c r="G4591" s="83">
        <v>46114.0</v>
      </c>
      <c r="H4591" s="76" t="s">
        <v>972</v>
      </c>
    </row>
    <row r="4592">
      <c r="A4592" s="76" t="s">
        <v>29</v>
      </c>
      <c r="B4592" s="76" t="s">
        <v>1027</v>
      </c>
      <c r="C4592" s="84">
        <v>5.69</v>
      </c>
      <c r="D4592" s="84">
        <v>0.0</v>
      </c>
      <c r="E4592" s="84">
        <v>0.0</v>
      </c>
      <c r="F4592" s="76" t="s">
        <v>990</v>
      </c>
      <c r="G4592" s="83">
        <v>46114.0</v>
      </c>
      <c r="H4592" s="76" t="s">
        <v>973</v>
      </c>
    </row>
    <row r="4593">
      <c r="A4593" s="76" t="s">
        <v>34</v>
      </c>
      <c r="B4593" s="76" t="s">
        <v>1027</v>
      </c>
      <c r="C4593" s="84">
        <v>0.71</v>
      </c>
      <c r="D4593" s="84">
        <v>0.0</v>
      </c>
      <c r="E4593" s="84">
        <v>0.0</v>
      </c>
      <c r="F4593" s="76" t="s">
        <v>993</v>
      </c>
      <c r="G4593" s="83">
        <v>46114.0</v>
      </c>
      <c r="H4593" s="76" t="s">
        <v>951</v>
      </c>
    </row>
    <row r="4594">
      <c r="A4594" s="76" t="s">
        <v>34</v>
      </c>
      <c r="B4594" s="76" t="s">
        <v>1027</v>
      </c>
      <c r="C4594" s="84">
        <v>0.48</v>
      </c>
      <c r="D4594" s="84">
        <v>0.0</v>
      </c>
      <c r="E4594" s="84">
        <v>0.0</v>
      </c>
      <c r="F4594" s="76" t="s">
        <v>993</v>
      </c>
      <c r="G4594" s="83">
        <v>46114.0</v>
      </c>
      <c r="H4594" s="76" t="s">
        <v>952</v>
      </c>
    </row>
    <row r="4595">
      <c r="A4595" s="76" t="s">
        <v>34</v>
      </c>
      <c r="B4595" s="76" t="s">
        <v>1027</v>
      </c>
      <c r="C4595" s="84">
        <v>0.94</v>
      </c>
      <c r="D4595" s="84">
        <v>0.0</v>
      </c>
      <c r="E4595" s="84">
        <v>0.0</v>
      </c>
      <c r="F4595" s="76" t="s">
        <v>993</v>
      </c>
      <c r="G4595" s="83">
        <v>46114.0</v>
      </c>
      <c r="H4595" s="76" t="s">
        <v>953</v>
      </c>
    </row>
    <row r="4596">
      <c r="A4596" s="76" t="s">
        <v>40</v>
      </c>
      <c r="B4596" s="76" t="s">
        <v>1027</v>
      </c>
      <c r="C4596" s="84">
        <v>0.98</v>
      </c>
      <c r="D4596" s="84">
        <v>0.0</v>
      </c>
      <c r="E4596" s="84">
        <v>0.0</v>
      </c>
      <c r="F4596" s="76" t="s">
        <v>993</v>
      </c>
      <c r="G4596" s="83">
        <v>46114.0</v>
      </c>
      <c r="H4596" s="76" t="s">
        <v>954</v>
      </c>
    </row>
    <row r="4597">
      <c r="A4597" s="76" t="s">
        <v>40</v>
      </c>
      <c r="B4597" s="76" t="s">
        <v>1027</v>
      </c>
      <c r="C4597" s="84">
        <v>0.23</v>
      </c>
      <c r="D4597" s="84">
        <v>0.0</v>
      </c>
      <c r="E4597" s="84">
        <v>0.0</v>
      </c>
      <c r="F4597" s="76" t="s">
        <v>993</v>
      </c>
      <c r="G4597" s="83">
        <v>46114.0</v>
      </c>
      <c r="H4597" s="76" t="s">
        <v>955</v>
      </c>
    </row>
    <row r="4598">
      <c r="A4598" s="76" t="s">
        <v>40</v>
      </c>
      <c r="B4598" s="76" t="s">
        <v>1027</v>
      </c>
      <c r="C4598" s="84">
        <v>1.74</v>
      </c>
      <c r="D4598" s="84">
        <v>0.0</v>
      </c>
      <c r="E4598" s="84">
        <v>0.0</v>
      </c>
      <c r="F4598" s="76" t="s">
        <v>993</v>
      </c>
      <c r="G4598" s="83">
        <v>46114.0</v>
      </c>
      <c r="H4598" s="76" t="s">
        <v>956</v>
      </c>
    </row>
    <row r="4599">
      <c r="A4599" s="76" t="s">
        <v>33</v>
      </c>
      <c r="B4599" s="76" t="s">
        <v>1027</v>
      </c>
      <c r="C4599" s="84">
        <v>3.31</v>
      </c>
      <c r="D4599" s="84">
        <v>0.0</v>
      </c>
      <c r="E4599" s="84">
        <v>0.0</v>
      </c>
      <c r="F4599" s="76" t="s">
        <v>993</v>
      </c>
      <c r="G4599" s="83">
        <v>46114.0</v>
      </c>
      <c r="H4599" s="76" t="s">
        <v>957</v>
      </c>
    </row>
    <row r="4600">
      <c r="A4600" s="76" t="s">
        <v>33</v>
      </c>
      <c r="B4600" s="76" t="s">
        <v>1027</v>
      </c>
      <c r="C4600" s="84">
        <v>0.97</v>
      </c>
      <c r="D4600" s="84">
        <v>0.0</v>
      </c>
      <c r="E4600" s="84">
        <v>0.0</v>
      </c>
      <c r="F4600" s="76" t="s">
        <v>993</v>
      </c>
      <c r="G4600" s="83">
        <v>46114.0</v>
      </c>
      <c r="H4600" s="76" t="s">
        <v>958</v>
      </c>
    </row>
    <row r="4601">
      <c r="A4601" s="76" t="s">
        <v>33</v>
      </c>
      <c r="B4601" s="76" t="s">
        <v>1027</v>
      </c>
      <c r="C4601" s="84">
        <v>0.98</v>
      </c>
      <c r="D4601" s="84">
        <v>0.0</v>
      </c>
      <c r="E4601" s="84">
        <v>0.0</v>
      </c>
      <c r="F4601" s="76" t="s">
        <v>993</v>
      </c>
      <c r="G4601" s="83">
        <v>46114.0</v>
      </c>
      <c r="H4601" s="76" t="s">
        <v>959</v>
      </c>
    </row>
    <row r="4602">
      <c r="A4602" s="76" t="s">
        <v>46</v>
      </c>
      <c r="B4602" s="76" t="s">
        <v>1027</v>
      </c>
      <c r="C4602" s="84">
        <v>2.41</v>
      </c>
      <c r="D4602" s="84">
        <v>0.0</v>
      </c>
      <c r="E4602" s="84">
        <v>0.0</v>
      </c>
      <c r="F4602" s="76" t="s">
        <v>993</v>
      </c>
      <c r="G4602" s="83">
        <v>46114.0</v>
      </c>
      <c r="H4602" s="76" t="s">
        <v>960</v>
      </c>
    </row>
    <row r="4603">
      <c r="A4603" s="76" t="s">
        <v>46</v>
      </c>
      <c r="B4603" s="76" t="s">
        <v>1027</v>
      </c>
      <c r="C4603" s="84">
        <v>1.44</v>
      </c>
      <c r="D4603" s="84">
        <v>0.0</v>
      </c>
      <c r="E4603" s="84">
        <v>0.0</v>
      </c>
      <c r="F4603" s="76" t="s">
        <v>993</v>
      </c>
      <c r="G4603" s="83">
        <v>46114.0</v>
      </c>
      <c r="H4603" s="76" t="s">
        <v>961</v>
      </c>
    </row>
    <row r="4604">
      <c r="A4604" s="76" t="s">
        <v>46</v>
      </c>
      <c r="B4604" s="76" t="s">
        <v>1027</v>
      </c>
      <c r="C4604" s="84">
        <v>0.49</v>
      </c>
      <c r="D4604" s="84">
        <v>0.0</v>
      </c>
      <c r="E4604" s="84">
        <v>0.0</v>
      </c>
      <c r="F4604" s="76" t="s">
        <v>993</v>
      </c>
      <c r="G4604" s="83">
        <v>46114.0</v>
      </c>
      <c r="H4604" s="76" t="s">
        <v>962</v>
      </c>
    </row>
    <row r="4605">
      <c r="A4605" s="76" t="s">
        <v>43</v>
      </c>
      <c r="B4605" s="76" t="s">
        <v>1027</v>
      </c>
      <c r="C4605" s="84">
        <v>0.31</v>
      </c>
      <c r="D4605" s="84">
        <v>0.0</v>
      </c>
      <c r="E4605" s="84">
        <v>0.0</v>
      </c>
      <c r="F4605" s="76" t="s">
        <v>993</v>
      </c>
      <c r="G4605" s="83">
        <v>46114.0</v>
      </c>
      <c r="H4605" s="76" t="s">
        <v>963</v>
      </c>
    </row>
    <row r="4606">
      <c r="A4606" s="76" t="s">
        <v>43</v>
      </c>
      <c r="B4606" s="76" t="s">
        <v>1027</v>
      </c>
      <c r="C4606" s="84">
        <v>0.66</v>
      </c>
      <c r="D4606" s="84">
        <v>0.0</v>
      </c>
      <c r="E4606" s="84">
        <v>0.0</v>
      </c>
      <c r="F4606" s="76" t="s">
        <v>993</v>
      </c>
      <c r="G4606" s="83">
        <v>46114.0</v>
      </c>
      <c r="H4606" s="76" t="s">
        <v>964</v>
      </c>
    </row>
    <row r="4607">
      <c r="A4607" s="76" t="s">
        <v>43</v>
      </c>
      <c r="B4607" s="76" t="s">
        <v>1027</v>
      </c>
      <c r="C4607" s="84">
        <v>1.06</v>
      </c>
      <c r="D4607" s="84">
        <v>0.0</v>
      </c>
      <c r="E4607" s="84">
        <v>0.0</v>
      </c>
      <c r="F4607" s="76" t="s">
        <v>993</v>
      </c>
      <c r="G4607" s="83">
        <v>46114.0</v>
      </c>
      <c r="H4607" s="76" t="s">
        <v>965</v>
      </c>
    </row>
    <row r="4608">
      <c r="A4608" s="76" t="s">
        <v>966</v>
      </c>
      <c r="B4608" s="76" t="s">
        <v>1027</v>
      </c>
      <c r="C4608" s="84">
        <v>1.43</v>
      </c>
      <c r="D4608" s="84">
        <v>0.0</v>
      </c>
      <c r="E4608" s="84">
        <v>0.0</v>
      </c>
      <c r="F4608" s="76" t="s">
        <v>993</v>
      </c>
      <c r="G4608" s="83">
        <v>46114.0</v>
      </c>
      <c r="H4608" s="76" t="s">
        <v>967</v>
      </c>
    </row>
    <row r="4609">
      <c r="A4609" s="76" t="s">
        <v>966</v>
      </c>
      <c r="B4609" s="76" t="s">
        <v>1027</v>
      </c>
      <c r="C4609" s="84">
        <v>0.4</v>
      </c>
      <c r="D4609" s="84">
        <v>0.0</v>
      </c>
      <c r="E4609" s="84">
        <v>0.0</v>
      </c>
      <c r="F4609" s="76" t="s">
        <v>993</v>
      </c>
      <c r="G4609" s="83">
        <v>46114.0</v>
      </c>
      <c r="H4609" s="76" t="s">
        <v>968</v>
      </c>
    </row>
    <row r="4610">
      <c r="A4610" s="76" t="s">
        <v>966</v>
      </c>
      <c r="B4610" s="76" t="s">
        <v>1027</v>
      </c>
      <c r="C4610" s="84">
        <v>0.8</v>
      </c>
      <c r="D4610" s="84">
        <v>0.0</v>
      </c>
      <c r="E4610" s="84">
        <v>0.0</v>
      </c>
      <c r="F4610" s="76" t="s">
        <v>993</v>
      </c>
      <c r="G4610" s="83">
        <v>46114.0</v>
      </c>
      <c r="H4610" s="76" t="s">
        <v>969</v>
      </c>
    </row>
    <row r="4611">
      <c r="A4611" s="76" t="s">
        <v>36</v>
      </c>
      <c r="B4611" s="76" t="s">
        <v>1027</v>
      </c>
      <c r="C4611" s="84">
        <v>0.51</v>
      </c>
      <c r="D4611" s="84">
        <v>0.0</v>
      </c>
      <c r="E4611" s="84">
        <v>0.0</v>
      </c>
      <c r="F4611" s="76" t="s">
        <v>993</v>
      </c>
      <c r="G4611" s="83">
        <v>46114.0</v>
      </c>
      <c r="H4611" s="76" t="s">
        <v>926</v>
      </c>
    </row>
    <row r="4612">
      <c r="A4612" s="76" t="s">
        <v>36</v>
      </c>
      <c r="B4612" s="76" t="s">
        <v>1027</v>
      </c>
      <c r="C4612" s="84">
        <v>1.01</v>
      </c>
      <c r="D4612" s="84">
        <v>0.0</v>
      </c>
      <c r="E4612" s="84">
        <v>0.0</v>
      </c>
      <c r="F4612" s="76" t="s">
        <v>993</v>
      </c>
      <c r="G4612" s="83">
        <v>46114.0</v>
      </c>
      <c r="H4612" s="76" t="s">
        <v>927</v>
      </c>
    </row>
    <row r="4613">
      <c r="A4613" s="76" t="s">
        <v>36</v>
      </c>
      <c r="B4613" s="76" t="s">
        <v>1027</v>
      </c>
      <c r="C4613" s="84">
        <v>0.32</v>
      </c>
      <c r="D4613" s="84">
        <v>0.0</v>
      </c>
      <c r="E4613" s="84">
        <v>0.0</v>
      </c>
      <c r="F4613" s="76" t="s">
        <v>993</v>
      </c>
      <c r="G4613" s="83">
        <v>46114.0</v>
      </c>
      <c r="H4613" s="76" t="s">
        <v>928</v>
      </c>
    </row>
    <row r="4614">
      <c r="A4614" s="76" t="s">
        <v>970</v>
      </c>
      <c r="B4614" s="76" t="s">
        <v>1027</v>
      </c>
      <c r="C4614" s="84">
        <v>2.34</v>
      </c>
      <c r="D4614" s="84">
        <v>0.0</v>
      </c>
      <c r="E4614" s="84">
        <v>0.0</v>
      </c>
      <c r="F4614" s="76" t="s">
        <v>993</v>
      </c>
      <c r="G4614" s="83">
        <v>46114.0</v>
      </c>
      <c r="H4614" s="76" t="s">
        <v>971</v>
      </c>
    </row>
    <row r="4615">
      <c r="A4615" s="76" t="s">
        <v>970</v>
      </c>
      <c r="B4615" s="76" t="s">
        <v>1027</v>
      </c>
      <c r="C4615" s="84">
        <v>0.94</v>
      </c>
      <c r="D4615" s="84">
        <v>0.0</v>
      </c>
      <c r="E4615" s="84">
        <v>0.0</v>
      </c>
      <c r="F4615" s="76" t="s">
        <v>993</v>
      </c>
      <c r="G4615" s="83">
        <v>46114.0</v>
      </c>
      <c r="H4615" s="76" t="s">
        <v>972</v>
      </c>
    </row>
    <row r="4616">
      <c r="A4616" s="76" t="s">
        <v>970</v>
      </c>
      <c r="B4616" s="76" t="s">
        <v>1027</v>
      </c>
      <c r="C4616" s="84">
        <v>3.23</v>
      </c>
      <c r="D4616" s="84">
        <v>0.0</v>
      </c>
      <c r="E4616" s="84">
        <v>0.0</v>
      </c>
      <c r="F4616" s="76" t="s">
        <v>993</v>
      </c>
      <c r="G4616" s="83">
        <v>46114.0</v>
      </c>
      <c r="H4616" s="76" t="s">
        <v>973</v>
      </c>
    </row>
    <row r="4617">
      <c r="A4617" s="76" t="s">
        <v>29</v>
      </c>
      <c r="B4617" s="76" t="s">
        <v>1027</v>
      </c>
      <c r="C4617" s="84">
        <v>2.3</v>
      </c>
      <c r="D4617" s="84">
        <v>0.0</v>
      </c>
      <c r="E4617" s="84">
        <v>0.0</v>
      </c>
      <c r="F4617" s="76" t="s">
        <v>993</v>
      </c>
      <c r="G4617" s="83">
        <v>46114.0</v>
      </c>
      <c r="H4617" s="76" t="s">
        <v>971</v>
      </c>
    </row>
    <row r="4618">
      <c r="A4618" s="76" t="s">
        <v>29</v>
      </c>
      <c r="B4618" s="76" t="s">
        <v>1027</v>
      </c>
      <c r="C4618" s="84">
        <v>0.77</v>
      </c>
      <c r="D4618" s="84">
        <v>0.0</v>
      </c>
      <c r="E4618" s="84">
        <v>0.0</v>
      </c>
      <c r="F4618" s="76" t="s">
        <v>993</v>
      </c>
      <c r="G4618" s="83">
        <v>46114.0</v>
      </c>
      <c r="H4618" s="76" t="s">
        <v>972</v>
      </c>
    </row>
    <row r="4619">
      <c r="A4619" s="76" t="s">
        <v>29</v>
      </c>
      <c r="B4619" s="76" t="s">
        <v>1027</v>
      </c>
      <c r="C4619" s="84">
        <v>3.05</v>
      </c>
      <c r="D4619" s="84">
        <v>0.0</v>
      </c>
      <c r="E4619" s="84">
        <v>0.0</v>
      </c>
      <c r="F4619" s="76" t="s">
        <v>993</v>
      </c>
      <c r="G4619" s="83">
        <v>46114.0</v>
      </c>
      <c r="H4619" s="76" t="s">
        <v>973</v>
      </c>
    </row>
    <row r="4620">
      <c r="A4620" s="76" t="s">
        <v>34</v>
      </c>
      <c r="B4620" s="76" t="s">
        <v>1027</v>
      </c>
      <c r="C4620" s="84">
        <v>0.54</v>
      </c>
      <c r="D4620" s="84">
        <v>0.0</v>
      </c>
      <c r="E4620" s="84">
        <v>0.0</v>
      </c>
      <c r="F4620" s="76" t="s">
        <v>994</v>
      </c>
      <c r="G4620" s="83">
        <v>46114.0</v>
      </c>
      <c r="H4620" s="76" t="s">
        <v>951</v>
      </c>
    </row>
    <row r="4621">
      <c r="A4621" s="76" t="s">
        <v>34</v>
      </c>
      <c r="B4621" s="76" t="s">
        <v>1027</v>
      </c>
      <c r="C4621" s="84">
        <v>0.4</v>
      </c>
      <c r="D4621" s="84">
        <v>0.0</v>
      </c>
      <c r="E4621" s="84">
        <v>0.0</v>
      </c>
      <c r="F4621" s="76" t="s">
        <v>994</v>
      </c>
      <c r="G4621" s="83">
        <v>46114.0</v>
      </c>
      <c r="H4621" s="76" t="s">
        <v>952</v>
      </c>
    </row>
    <row r="4622">
      <c r="A4622" s="76" t="s">
        <v>34</v>
      </c>
      <c r="B4622" s="76" t="s">
        <v>1027</v>
      </c>
      <c r="C4622" s="84">
        <v>0.78</v>
      </c>
      <c r="D4622" s="84">
        <v>0.0</v>
      </c>
      <c r="E4622" s="84">
        <v>0.0</v>
      </c>
      <c r="F4622" s="76" t="s">
        <v>994</v>
      </c>
      <c r="G4622" s="83">
        <v>46114.0</v>
      </c>
      <c r="H4622" s="76" t="s">
        <v>953</v>
      </c>
    </row>
    <row r="4623">
      <c r="A4623" s="76" t="s">
        <v>40</v>
      </c>
      <c r="B4623" s="76" t="s">
        <v>1027</v>
      </c>
      <c r="C4623" s="84">
        <v>0.61</v>
      </c>
      <c r="D4623" s="84">
        <v>0.0</v>
      </c>
      <c r="E4623" s="84">
        <v>0.0</v>
      </c>
      <c r="F4623" s="76" t="s">
        <v>994</v>
      </c>
      <c r="G4623" s="83">
        <v>46114.0</v>
      </c>
      <c r="H4623" s="76" t="s">
        <v>954</v>
      </c>
    </row>
    <row r="4624">
      <c r="A4624" s="76" t="s">
        <v>40</v>
      </c>
      <c r="B4624" s="76" t="s">
        <v>1027</v>
      </c>
      <c r="C4624" s="84">
        <v>0.11</v>
      </c>
      <c r="D4624" s="84">
        <v>0.0</v>
      </c>
      <c r="E4624" s="84">
        <v>0.0</v>
      </c>
      <c r="F4624" s="76" t="s">
        <v>994</v>
      </c>
      <c r="G4624" s="83">
        <v>46114.0</v>
      </c>
      <c r="H4624" s="76" t="s">
        <v>955</v>
      </c>
    </row>
    <row r="4625">
      <c r="A4625" s="76" t="s">
        <v>40</v>
      </c>
      <c r="B4625" s="76" t="s">
        <v>1027</v>
      </c>
      <c r="C4625" s="84">
        <v>1.27</v>
      </c>
      <c r="D4625" s="84">
        <v>0.0</v>
      </c>
      <c r="E4625" s="84">
        <v>0.0</v>
      </c>
      <c r="F4625" s="76" t="s">
        <v>994</v>
      </c>
      <c r="G4625" s="83">
        <v>46114.0</v>
      </c>
      <c r="H4625" s="76" t="s">
        <v>956</v>
      </c>
    </row>
    <row r="4626">
      <c r="A4626" s="76" t="s">
        <v>33</v>
      </c>
      <c r="B4626" s="76" t="s">
        <v>1027</v>
      </c>
      <c r="C4626" s="84">
        <v>2.96</v>
      </c>
      <c r="D4626" s="84">
        <v>0.0</v>
      </c>
      <c r="E4626" s="84">
        <v>0.0</v>
      </c>
      <c r="F4626" s="76" t="s">
        <v>994</v>
      </c>
      <c r="G4626" s="83">
        <v>46114.0</v>
      </c>
      <c r="H4626" s="76" t="s">
        <v>957</v>
      </c>
    </row>
    <row r="4627">
      <c r="A4627" s="76" t="s">
        <v>33</v>
      </c>
      <c r="B4627" s="76" t="s">
        <v>1027</v>
      </c>
      <c r="C4627" s="84">
        <v>0.73</v>
      </c>
      <c r="D4627" s="84">
        <v>0.0</v>
      </c>
      <c r="E4627" s="84">
        <v>0.0</v>
      </c>
      <c r="F4627" s="76" t="s">
        <v>994</v>
      </c>
      <c r="G4627" s="83">
        <v>46114.0</v>
      </c>
      <c r="H4627" s="76" t="s">
        <v>958</v>
      </c>
    </row>
    <row r="4628">
      <c r="A4628" s="76" t="s">
        <v>33</v>
      </c>
      <c r="B4628" s="76" t="s">
        <v>1027</v>
      </c>
      <c r="C4628" s="84">
        <v>0.72</v>
      </c>
      <c r="D4628" s="84">
        <v>0.0</v>
      </c>
      <c r="E4628" s="84">
        <v>0.0</v>
      </c>
      <c r="F4628" s="76" t="s">
        <v>994</v>
      </c>
      <c r="G4628" s="83">
        <v>46114.0</v>
      </c>
      <c r="H4628" s="76" t="s">
        <v>959</v>
      </c>
    </row>
    <row r="4629">
      <c r="A4629" s="76" t="s">
        <v>46</v>
      </c>
      <c r="B4629" s="76" t="s">
        <v>1027</v>
      </c>
      <c r="C4629" s="84">
        <v>1.66</v>
      </c>
      <c r="D4629" s="84">
        <v>0.0</v>
      </c>
      <c r="E4629" s="84">
        <v>0.0</v>
      </c>
      <c r="F4629" s="76" t="s">
        <v>994</v>
      </c>
      <c r="G4629" s="83">
        <v>46114.0</v>
      </c>
      <c r="H4629" s="76" t="s">
        <v>960</v>
      </c>
    </row>
    <row r="4630">
      <c r="A4630" s="76" t="s">
        <v>46</v>
      </c>
      <c r="B4630" s="76" t="s">
        <v>1027</v>
      </c>
      <c r="C4630" s="84">
        <v>1.05</v>
      </c>
      <c r="D4630" s="84">
        <v>0.0</v>
      </c>
      <c r="E4630" s="84">
        <v>0.0</v>
      </c>
      <c r="F4630" s="76" t="s">
        <v>994</v>
      </c>
      <c r="G4630" s="83">
        <v>46114.0</v>
      </c>
      <c r="H4630" s="76" t="s">
        <v>961</v>
      </c>
    </row>
    <row r="4631">
      <c r="A4631" s="76" t="s">
        <v>46</v>
      </c>
      <c r="B4631" s="76" t="s">
        <v>1027</v>
      </c>
      <c r="C4631" s="84">
        <v>0.42</v>
      </c>
      <c r="D4631" s="84">
        <v>0.0</v>
      </c>
      <c r="E4631" s="84">
        <v>0.0</v>
      </c>
      <c r="F4631" s="76" t="s">
        <v>994</v>
      </c>
      <c r="G4631" s="83">
        <v>46114.0</v>
      </c>
      <c r="H4631" s="76" t="s">
        <v>962</v>
      </c>
    </row>
    <row r="4632">
      <c r="A4632" s="76" t="s">
        <v>43</v>
      </c>
      <c r="B4632" s="76" t="s">
        <v>1027</v>
      </c>
      <c r="C4632" s="84">
        <v>0.31</v>
      </c>
      <c r="D4632" s="84">
        <v>0.0</v>
      </c>
      <c r="E4632" s="84">
        <v>0.0</v>
      </c>
      <c r="F4632" s="76" t="s">
        <v>994</v>
      </c>
      <c r="G4632" s="83">
        <v>46114.0</v>
      </c>
      <c r="H4632" s="76" t="s">
        <v>963</v>
      </c>
    </row>
    <row r="4633">
      <c r="A4633" s="76" t="s">
        <v>43</v>
      </c>
      <c r="B4633" s="76" t="s">
        <v>1027</v>
      </c>
      <c r="C4633" s="84">
        <v>0.4</v>
      </c>
      <c r="D4633" s="84">
        <v>0.0</v>
      </c>
      <c r="E4633" s="84">
        <v>0.0</v>
      </c>
      <c r="F4633" s="76" t="s">
        <v>994</v>
      </c>
      <c r="G4633" s="83">
        <v>46114.0</v>
      </c>
      <c r="H4633" s="76" t="s">
        <v>964</v>
      </c>
    </row>
    <row r="4634">
      <c r="A4634" s="76" t="s">
        <v>43</v>
      </c>
      <c r="B4634" s="76" t="s">
        <v>1027</v>
      </c>
      <c r="C4634" s="84">
        <v>0.88</v>
      </c>
      <c r="D4634" s="84">
        <v>0.0</v>
      </c>
      <c r="E4634" s="84">
        <v>0.0</v>
      </c>
      <c r="F4634" s="76" t="s">
        <v>994</v>
      </c>
      <c r="G4634" s="83">
        <v>46114.0</v>
      </c>
      <c r="H4634" s="76" t="s">
        <v>965</v>
      </c>
    </row>
    <row r="4635">
      <c r="A4635" s="76" t="s">
        <v>966</v>
      </c>
      <c r="B4635" s="76" t="s">
        <v>1027</v>
      </c>
      <c r="C4635" s="84">
        <v>1.05</v>
      </c>
      <c r="D4635" s="84">
        <v>0.0</v>
      </c>
      <c r="E4635" s="84">
        <v>0.0</v>
      </c>
      <c r="F4635" s="76" t="s">
        <v>994</v>
      </c>
      <c r="G4635" s="83">
        <v>46114.0</v>
      </c>
      <c r="H4635" s="76" t="s">
        <v>967</v>
      </c>
    </row>
    <row r="4636">
      <c r="A4636" s="76" t="s">
        <v>966</v>
      </c>
      <c r="B4636" s="76" t="s">
        <v>1027</v>
      </c>
      <c r="C4636" s="84">
        <v>0.29</v>
      </c>
      <c r="D4636" s="84">
        <v>0.0</v>
      </c>
      <c r="E4636" s="84">
        <v>0.0</v>
      </c>
      <c r="F4636" s="76" t="s">
        <v>994</v>
      </c>
      <c r="G4636" s="83">
        <v>46114.0</v>
      </c>
      <c r="H4636" s="76" t="s">
        <v>968</v>
      </c>
    </row>
    <row r="4637">
      <c r="A4637" s="76" t="s">
        <v>966</v>
      </c>
      <c r="B4637" s="76" t="s">
        <v>1027</v>
      </c>
      <c r="C4637" s="84">
        <v>0.55</v>
      </c>
      <c r="D4637" s="84">
        <v>0.0</v>
      </c>
      <c r="E4637" s="84">
        <v>0.0</v>
      </c>
      <c r="F4637" s="76" t="s">
        <v>994</v>
      </c>
      <c r="G4637" s="83">
        <v>46114.0</v>
      </c>
      <c r="H4637" s="76" t="s">
        <v>969</v>
      </c>
    </row>
    <row r="4638">
      <c r="A4638" s="76" t="s">
        <v>36</v>
      </c>
      <c r="B4638" s="76" t="s">
        <v>1027</v>
      </c>
      <c r="C4638" s="84">
        <v>0.39</v>
      </c>
      <c r="D4638" s="84">
        <v>0.0</v>
      </c>
      <c r="E4638" s="84">
        <v>0.0</v>
      </c>
      <c r="F4638" s="76" t="s">
        <v>994</v>
      </c>
      <c r="G4638" s="83">
        <v>46114.0</v>
      </c>
      <c r="H4638" s="76" t="s">
        <v>926</v>
      </c>
    </row>
    <row r="4639">
      <c r="A4639" s="76" t="s">
        <v>36</v>
      </c>
      <c r="B4639" s="76" t="s">
        <v>1027</v>
      </c>
      <c r="C4639" s="84">
        <v>0.59</v>
      </c>
      <c r="D4639" s="84">
        <v>0.0</v>
      </c>
      <c r="E4639" s="84">
        <v>0.0</v>
      </c>
      <c r="F4639" s="76" t="s">
        <v>994</v>
      </c>
      <c r="G4639" s="83">
        <v>46114.0</v>
      </c>
      <c r="H4639" s="76" t="s">
        <v>927</v>
      </c>
    </row>
    <row r="4640">
      <c r="A4640" s="76" t="s">
        <v>36</v>
      </c>
      <c r="B4640" s="76" t="s">
        <v>1027</v>
      </c>
      <c r="C4640" s="84">
        <v>0.25</v>
      </c>
      <c r="D4640" s="84">
        <v>0.0</v>
      </c>
      <c r="E4640" s="84">
        <v>0.0</v>
      </c>
      <c r="F4640" s="76" t="s">
        <v>994</v>
      </c>
      <c r="G4640" s="83">
        <v>46114.0</v>
      </c>
      <c r="H4640" s="76" t="s">
        <v>928</v>
      </c>
    </row>
    <row r="4641">
      <c r="A4641" s="76" t="s">
        <v>970</v>
      </c>
      <c r="B4641" s="76" t="s">
        <v>1027</v>
      </c>
      <c r="C4641" s="84">
        <v>1.67</v>
      </c>
      <c r="D4641" s="84">
        <v>0.0</v>
      </c>
      <c r="E4641" s="84">
        <v>0.0</v>
      </c>
      <c r="F4641" s="76" t="s">
        <v>994</v>
      </c>
      <c r="G4641" s="83">
        <v>46114.0</v>
      </c>
      <c r="H4641" s="76" t="s">
        <v>971</v>
      </c>
    </row>
    <row r="4642">
      <c r="A4642" s="76" t="s">
        <v>970</v>
      </c>
      <c r="B4642" s="76" t="s">
        <v>1027</v>
      </c>
      <c r="C4642" s="84">
        <v>0.45</v>
      </c>
      <c r="D4642" s="84">
        <v>0.0</v>
      </c>
      <c r="E4642" s="84">
        <v>0.0</v>
      </c>
      <c r="F4642" s="76" t="s">
        <v>994</v>
      </c>
      <c r="G4642" s="83">
        <v>46114.0</v>
      </c>
      <c r="H4642" s="76" t="s">
        <v>972</v>
      </c>
    </row>
    <row r="4643">
      <c r="A4643" s="76" t="s">
        <v>970</v>
      </c>
      <c r="B4643" s="76" t="s">
        <v>1027</v>
      </c>
      <c r="C4643" s="84">
        <v>2.22</v>
      </c>
      <c r="D4643" s="84">
        <v>0.0</v>
      </c>
      <c r="E4643" s="84">
        <v>0.0</v>
      </c>
      <c r="F4643" s="76" t="s">
        <v>994</v>
      </c>
      <c r="G4643" s="83">
        <v>46114.0</v>
      </c>
      <c r="H4643" s="76" t="s">
        <v>973</v>
      </c>
    </row>
    <row r="4644">
      <c r="A4644" s="76" t="s">
        <v>29</v>
      </c>
      <c r="B4644" s="76" t="s">
        <v>1027</v>
      </c>
      <c r="C4644" s="84">
        <v>1.67</v>
      </c>
      <c r="D4644" s="84">
        <v>0.0</v>
      </c>
      <c r="E4644" s="84">
        <v>0.0</v>
      </c>
      <c r="F4644" s="76" t="s">
        <v>994</v>
      </c>
      <c r="G4644" s="83">
        <v>46114.0</v>
      </c>
      <c r="H4644" s="76" t="s">
        <v>971</v>
      </c>
    </row>
    <row r="4645">
      <c r="A4645" s="76" t="s">
        <v>29</v>
      </c>
      <c r="B4645" s="76" t="s">
        <v>1027</v>
      </c>
      <c r="C4645" s="84">
        <v>0.4</v>
      </c>
      <c r="D4645" s="84">
        <v>0.0</v>
      </c>
      <c r="E4645" s="84">
        <v>0.0</v>
      </c>
      <c r="F4645" s="76" t="s">
        <v>994</v>
      </c>
      <c r="G4645" s="83">
        <v>46114.0</v>
      </c>
      <c r="H4645" s="76" t="s">
        <v>972</v>
      </c>
    </row>
    <row r="4646">
      <c r="A4646" s="76" t="s">
        <v>29</v>
      </c>
      <c r="B4646" s="76" t="s">
        <v>1027</v>
      </c>
      <c r="C4646" s="84">
        <v>2.45</v>
      </c>
      <c r="D4646" s="84">
        <v>0.0</v>
      </c>
      <c r="E4646" s="84">
        <v>0.0</v>
      </c>
      <c r="F4646" s="76" t="s">
        <v>994</v>
      </c>
      <c r="G4646" s="83">
        <v>46114.0</v>
      </c>
      <c r="H4646" s="76" t="s">
        <v>973</v>
      </c>
    </row>
    <row r="4647">
      <c r="A4647" s="76" t="s">
        <v>34</v>
      </c>
      <c r="B4647" s="76" t="s">
        <v>1027</v>
      </c>
      <c r="C4647" s="84">
        <v>1.16</v>
      </c>
      <c r="D4647" s="84">
        <v>0.0</v>
      </c>
      <c r="E4647" s="84">
        <v>0.0</v>
      </c>
      <c r="F4647" s="76" t="s">
        <v>1005</v>
      </c>
      <c r="G4647" s="83">
        <v>46114.0</v>
      </c>
      <c r="H4647" s="76" t="s">
        <v>951</v>
      </c>
    </row>
    <row r="4648">
      <c r="A4648" s="76" t="s">
        <v>34</v>
      </c>
      <c r="B4648" s="76" t="s">
        <v>1027</v>
      </c>
      <c r="C4648" s="84">
        <v>1.07</v>
      </c>
      <c r="D4648" s="84">
        <v>0.0</v>
      </c>
      <c r="E4648" s="84">
        <v>0.0</v>
      </c>
      <c r="F4648" s="76" t="s">
        <v>1005</v>
      </c>
      <c r="G4648" s="83">
        <v>46114.0</v>
      </c>
      <c r="H4648" s="76" t="s">
        <v>952</v>
      </c>
    </row>
    <row r="4649">
      <c r="A4649" s="76" t="s">
        <v>34</v>
      </c>
      <c r="B4649" s="76" t="s">
        <v>1027</v>
      </c>
      <c r="C4649" s="84">
        <v>1.45</v>
      </c>
      <c r="D4649" s="84">
        <v>0.0</v>
      </c>
      <c r="E4649" s="84">
        <v>0.0</v>
      </c>
      <c r="F4649" s="76" t="s">
        <v>1005</v>
      </c>
      <c r="G4649" s="83">
        <v>46114.0</v>
      </c>
      <c r="H4649" s="76" t="s">
        <v>953</v>
      </c>
    </row>
    <row r="4650">
      <c r="A4650" s="76" t="s">
        <v>40</v>
      </c>
      <c r="B4650" s="76" t="s">
        <v>1027</v>
      </c>
      <c r="C4650" s="84">
        <v>1.06</v>
      </c>
      <c r="D4650" s="84">
        <v>0.0</v>
      </c>
      <c r="E4650" s="84">
        <v>0.0</v>
      </c>
      <c r="F4650" s="76" t="s">
        <v>1005</v>
      </c>
      <c r="G4650" s="83">
        <v>46114.0</v>
      </c>
      <c r="H4650" s="76" t="s">
        <v>954</v>
      </c>
    </row>
    <row r="4651">
      <c r="A4651" s="76" t="s">
        <v>40</v>
      </c>
      <c r="B4651" s="76" t="s">
        <v>1027</v>
      </c>
      <c r="C4651" s="84">
        <v>0.28</v>
      </c>
      <c r="D4651" s="84">
        <v>0.0</v>
      </c>
      <c r="E4651" s="84">
        <v>0.0</v>
      </c>
      <c r="F4651" s="76" t="s">
        <v>1005</v>
      </c>
      <c r="G4651" s="83">
        <v>46114.0</v>
      </c>
      <c r="H4651" s="76" t="s">
        <v>955</v>
      </c>
    </row>
    <row r="4652">
      <c r="A4652" s="76" t="s">
        <v>40</v>
      </c>
      <c r="B4652" s="76" t="s">
        <v>1027</v>
      </c>
      <c r="C4652" s="84">
        <v>2.01</v>
      </c>
      <c r="D4652" s="84">
        <v>0.0</v>
      </c>
      <c r="E4652" s="84">
        <v>0.0</v>
      </c>
      <c r="F4652" s="76" t="s">
        <v>1005</v>
      </c>
      <c r="G4652" s="83">
        <v>46114.0</v>
      </c>
      <c r="H4652" s="76" t="s">
        <v>956</v>
      </c>
    </row>
    <row r="4653">
      <c r="A4653" s="76" t="s">
        <v>33</v>
      </c>
      <c r="B4653" s="76" t="s">
        <v>1027</v>
      </c>
      <c r="C4653" s="84">
        <v>5.58</v>
      </c>
      <c r="D4653" s="84">
        <v>0.0</v>
      </c>
      <c r="E4653" s="84">
        <v>0.0</v>
      </c>
      <c r="F4653" s="76" t="s">
        <v>1005</v>
      </c>
      <c r="G4653" s="83">
        <v>46114.0</v>
      </c>
      <c r="H4653" s="76" t="s">
        <v>957</v>
      </c>
    </row>
    <row r="4654">
      <c r="A4654" s="76" t="s">
        <v>33</v>
      </c>
      <c r="B4654" s="76" t="s">
        <v>1027</v>
      </c>
      <c r="C4654" s="84">
        <v>1.29</v>
      </c>
      <c r="D4654" s="84">
        <v>0.0</v>
      </c>
      <c r="E4654" s="84">
        <v>0.0</v>
      </c>
      <c r="F4654" s="76" t="s">
        <v>1005</v>
      </c>
      <c r="G4654" s="83">
        <v>46114.0</v>
      </c>
      <c r="H4654" s="76" t="s">
        <v>958</v>
      </c>
    </row>
    <row r="4655">
      <c r="A4655" s="76" t="s">
        <v>33</v>
      </c>
      <c r="B4655" s="76" t="s">
        <v>1027</v>
      </c>
      <c r="C4655" s="84">
        <v>1.89</v>
      </c>
      <c r="D4655" s="84">
        <v>0.0</v>
      </c>
      <c r="E4655" s="84">
        <v>0.0</v>
      </c>
      <c r="F4655" s="76" t="s">
        <v>1005</v>
      </c>
      <c r="G4655" s="83">
        <v>46114.0</v>
      </c>
      <c r="H4655" s="76" t="s">
        <v>959</v>
      </c>
    </row>
    <row r="4656">
      <c r="A4656" s="76" t="s">
        <v>46</v>
      </c>
      <c r="B4656" s="76" t="s">
        <v>1027</v>
      </c>
      <c r="C4656" s="84">
        <v>2.39</v>
      </c>
      <c r="D4656" s="84">
        <v>0.0</v>
      </c>
      <c r="E4656" s="84">
        <v>0.0</v>
      </c>
      <c r="F4656" s="76" t="s">
        <v>1005</v>
      </c>
      <c r="G4656" s="83">
        <v>46114.0</v>
      </c>
      <c r="H4656" s="76" t="s">
        <v>960</v>
      </c>
    </row>
    <row r="4657">
      <c r="A4657" s="76" t="s">
        <v>46</v>
      </c>
      <c r="B4657" s="76" t="s">
        <v>1027</v>
      </c>
      <c r="C4657" s="84">
        <v>1.76</v>
      </c>
      <c r="D4657" s="84">
        <v>0.0</v>
      </c>
      <c r="E4657" s="84">
        <v>0.0</v>
      </c>
      <c r="F4657" s="76" t="s">
        <v>1005</v>
      </c>
      <c r="G4657" s="83">
        <v>46114.0</v>
      </c>
      <c r="H4657" s="76" t="s">
        <v>961</v>
      </c>
    </row>
    <row r="4658">
      <c r="A4658" s="76" t="s">
        <v>46</v>
      </c>
      <c r="B4658" s="76" t="s">
        <v>1027</v>
      </c>
      <c r="C4658" s="84">
        <v>0.92</v>
      </c>
      <c r="D4658" s="84">
        <v>0.0</v>
      </c>
      <c r="E4658" s="84">
        <v>0.0</v>
      </c>
      <c r="F4658" s="76" t="s">
        <v>1005</v>
      </c>
      <c r="G4658" s="83">
        <v>46114.0</v>
      </c>
      <c r="H4658" s="76" t="s">
        <v>962</v>
      </c>
    </row>
    <row r="4659">
      <c r="A4659" s="76" t="s">
        <v>43</v>
      </c>
      <c r="B4659" s="76" t="s">
        <v>1027</v>
      </c>
      <c r="C4659" s="84">
        <v>0.54</v>
      </c>
      <c r="D4659" s="84">
        <v>0.0</v>
      </c>
      <c r="E4659" s="84">
        <v>0.0</v>
      </c>
      <c r="F4659" s="76" t="s">
        <v>1005</v>
      </c>
      <c r="G4659" s="83">
        <v>46114.0</v>
      </c>
      <c r="H4659" s="76" t="s">
        <v>963</v>
      </c>
    </row>
    <row r="4660">
      <c r="A4660" s="76" t="s">
        <v>43</v>
      </c>
      <c r="B4660" s="76" t="s">
        <v>1027</v>
      </c>
      <c r="C4660" s="84">
        <v>0.75</v>
      </c>
      <c r="D4660" s="84">
        <v>0.0</v>
      </c>
      <c r="E4660" s="84">
        <v>0.0</v>
      </c>
      <c r="F4660" s="76" t="s">
        <v>1005</v>
      </c>
      <c r="G4660" s="83">
        <v>46114.0</v>
      </c>
      <c r="H4660" s="76" t="s">
        <v>964</v>
      </c>
    </row>
    <row r="4661">
      <c r="A4661" s="76" t="s">
        <v>43</v>
      </c>
      <c r="B4661" s="76" t="s">
        <v>1027</v>
      </c>
      <c r="C4661" s="84">
        <v>1.43</v>
      </c>
      <c r="D4661" s="84">
        <v>0.0</v>
      </c>
      <c r="E4661" s="84">
        <v>0.0</v>
      </c>
      <c r="F4661" s="76" t="s">
        <v>1005</v>
      </c>
      <c r="G4661" s="83">
        <v>46114.0</v>
      </c>
      <c r="H4661" s="76" t="s">
        <v>965</v>
      </c>
    </row>
    <row r="4662">
      <c r="A4662" s="76" t="s">
        <v>966</v>
      </c>
      <c r="B4662" s="76" t="s">
        <v>1027</v>
      </c>
      <c r="C4662" s="84">
        <v>1.71</v>
      </c>
      <c r="D4662" s="84">
        <v>0.0</v>
      </c>
      <c r="E4662" s="84">
        <v>0.0</v>
      </c>
      <c r="F4662" s="76" t="s">
        <v>1005</v>
      </c>
      <c r="G4662" s="83">
        <v>46114.0</v>
      </c>
      <c r="H4662" s="76" t="s">
        <v>967</v>
      </c>
    </row>
    <row r="4663">
      <c r="A4663" s="76" t="s">
        <v>966</v>
      </c>
      <c r="B4663" s="76" t="s">
        <v>1027</v>
      </c>
      <c r="C4663" s="84">
        <v>0.46</v>
      </c>
      <c r="D4663" s="84">
        <v>0.0</v>
      </c>
      <c r="E4663" s="84">
        <v>0.0</v>
      </c>
      <c r="F4663" s="76" t="s">
        <v>1005</v>
      </c>
      <c r="G4663" s="83">
        <v>46114.0</v>
      </c>
      <c r="H4663" s="76" t="s">
        <v>968</v>
      </c>
    </row>
    <row r="4664">
      <c r="A4664" s="76" t="s">
        <v>966</v>
      </c>
      <c r="B4664" s="76" t="s">
        <v>1027</v>
      </c>
      <c r="C4664" s="84">
        <v>0.86</v>
      </c>
      <c r="D4664" s="84">
        <v>0.0</v>
      </c>
      <c r="E4664" s="84">
        <v>0.0</v>
      </c>
      <c r="F4664" s="76" t="s">
        <v>1005</v>
      </c>
      <c r="G4664" s="83">
        <v>46114.0</v>
      </c>
      <c r="H4664" s="76" t="s">
        <v>969</v>
      </c>
    </row>
    <row r="4665">
      <c r="A4665" s="76" t="s">
        <v>36</v>
      </c>
      <c r="B4665" s="76" t="s">
        <v>1027</v>
      </c>
      <c r="C4665" s="84">
        <v>0.81</v>
      </c>
      <c r="D4665" s="84">
        <v>0.0</v>
      </c>
      <c r="E4665" s="84">
        <v>0.0</v>
      </c>
      <c r="F4665" s="76" t="s">
        <v>1005</v>
      </c>
      <c r="G4665" s="83">
        <v>46114.0</v>
      </c>
      <c r="H4665" s="76" t="s">
        <v>926</v>
      </c>
    </row>
    <row r="4666">
      <c r="A4666" s="76" t="s">
        <v>36</v>
      </c>
      <c r="B4666" s="76" t="s">
        <v>1027</v>
      </c>
      <c r="C4666" s="84">
        <v>1.18</v>
      </c>
      <c r="D4666" s="84">
        <v>0.0</v>
      </c>
      <c r="E4666" s="84">
        <v>0.0</v>
      </c>
      <c r="F4666" s="76" t="s">
        <v>1005</v>
      </c>
      <c r="G4666" s="83">
        <v>46114.0</v>
      </c>
      <c r="H4666" s="76" t="s">
        <v>927</v>
      </c>
    </row>
    <row r="4667">
      <c r="A4667" s="76" t="s">
        <v>36</v>
      </c>
      <c r="B4667" s="76" t="s">
        <v>1027</v>
      </c>
      <c r="C4667" s="84">
        <v>0.59</v>
      </c>
      <c r="D4667" s="84">
        <v>1.0</v>
      </c>
      <c r="E4667" s="84">
        <v>0.59</v>
      </c>
      <c r="F4667" s="76" t="s">
        <v>1005</v>
      </c>
      <c r="G4667" s="83">
        <v>46114.0</v>
      </c>
      <c r="H4667" s="76" t="s">
        <v>928</v>
      </c>
    </row>
    <row r="4668">
      <c r="A4668" s="76" t="s">
        <v>970</v>
      </c>
      <c r="B4668" s="76" t="s">
        <v>1027</v>
      </c>
      <c r="C4668" s="84">
        <v>3.23</v>
      </c>
      <c r="D4668" s="84">
        <v>0.0</v>
      </c>
      <c r="E4668" s="84">
        <v>0.0</v>
      </c>
      <c r="F4668" s="76" t="s">
        <v>1005</v>
      </c>
      <c r="G4668" s="83">
        <v>46114.0</v>
      </c>
      <c r="H4668" s="76" t="s">
        <v>971</v>
      </c>
    </row>
    <row r="4669">
      <c r="A4669" s="76" t="s">
        <v>970</v>
      </c>
      <c r="B4669" s="76" t="s">
        <v>1027</v>
      </c>
      <c r="C4669" s="84">
        <v>1.34</v>
      </c>
      <c r="D4669" s="84">
        <v>0.0</v>
      </c>
      <c r="E4669" s="84">
        <v>0.0</v>
      </c>
      <c r="F4669" s="76" t="s">
        <v>1005</v>
      </c>
      <c r="G4669" s="83">
        <v>46114.0</v>
      </c>
      <c r="H4669" s="76" t="s">
        <v>972</v>
      </c>
    </row>
    <row r="4670">
      <c r="A4670" s="76" t="s">
        <v>970</v>
      </c>
      <c r="B4670" s="76" t="s">
        <v>1027</v>
      </c>
      <c r="C4670" s="84">
        <v>4.75</v>
      </c>
      <c r="D4670" s="84">
        <v>0.0</v>
      </c>
      <c r="E4670" s="84">
        <v>0.0</v>
      </c>
      <c r="F4670" s="76" t="s">
        <v>1005</v>
      </c>
      <c r="G4670" s="83">
        <v>46114.0</v>
      </c>
      <c r="H4670" s="76" t="s">
        <v>973</v>
      </c>
    </row>
    <row r="4671">
      <c r="A4671" s="76" t="s">
        <v>29</v>
      </c>
      <c r="B4671" s="76" t="s">
        <v>1027</v>
      </c>
      <c r="C4671" s="84">
        <v>2.81</v>
      </c>
      <c r="D4671" s="84">
        <v>0.0</v>
      </c>
      <c r="E4671" s="84">
        <v>0.0</v>
      </c>
      <c r="F4671" s="76" t="s">
        <v>1005</v>
      </c>
      <c r="G4671" s="83">
        <v>46114.0</v>
      </c>
      <c r="H4671" s="76" t="s">
        <v>1015</v>
      </c>
    </row>
    <row r="4672">
      <c r="A4672" s="76" t="s">
        <v>29</v>
      </c>
      <c r="B4672" s="76" t="s">
        <v>1027</v>
      </c>
      <c r="C4672" s="84">
        <v>3.22</v>
      </c>
      <c r="D4672" s="84">
        <v>0.0</v>
      </c>
      <c r="E4672" s="84">
        <v>0.0</v>
      </c>
      <c r="F4672" s="76" t="s">
        <v>1005</v>
      </c>
      <c r="G4672" s="83">
        <v>46114.0</v>
      </c>
      <c r="H4672" s="76" t="s">
        <v>1016</v>
      </c>
    </row>
    <row r="4673">
      <c r="A4673" s="76" t="s">
        <v>29</v>
      </c>
      <c r="B4673" s="76" t="s">
        <v>1027</v>
      </c>
      <c r="C4673" s="84">
        <v>1.87</v>
      </c>
      <c r="D4673" s="84">
        <v>0.0</v>
      </c>
      <c r="E4673" s="84">
        <v>0.0</v>
      </c>
      <c r="F4673" s="76" t="s">
        <v>1005</v>
      </c>
      <c r="G4673" s="83">
        <v>46114.0</v>
      </c>
      <c r="H4673" s="76" t="s">
        <v>1017</v>
      </c>
    </row>
    <row r="4674">
      <c r="A4674" s="76" t="s">
        <v>34</v>
      </c>
      <c r="B4674" s="76" t="s">
        <v>1027</v>
      </c>
      <c r="C4674" s="84">
        <v>1.16</v>
      </c>
      <c r="D4674" s="84">
        <v>0.0</v>
      </c>
      <c r="E4674" s="84">
        <v>0.0</v>
      </c>
      <c r="F4674" s="76" t="s">
        <v>996</v>
      </c>
      <c r="G4674" s="83">
        <v>46114.0</v>
      </c>
      <c r="H4674" s="76" t="s">
        <v>951</v>
      </c>
    </row>
    <row r="4675">
      <c r="A4675" s="76" t="s">
        <v>34</v>
      </c>
      <c r="B4675" s="76" t="s">
        <v>1027</v>
      </c>
      <c r="C4675" s="84">
        <v>0.77</v>
      </c>
      <c r="D4675" s="84">
        <v>0.0</v>
      </c>
      <c r="E4675" s="84">
        <v>0.0</v>
      </c>
      <c r="F4675" s="76" t="s">
        <v>996</v>
      </c>
      <c r="G4675" s="83">
        <v>46114.0</v>
      </c>
      <c r="H4675" s="76" t="s">
        <v>952</v>
      </c>
    </row>
    <row r="4676">
      <c r="A4676" s="76" t="s">
        <v>34</v>
      </c>
      <c r="B4676" s="76" t="s">
        <v>1027</v>
      </c>
      <c r="C4676" s="84">
        <v>1.42</v>
      </c>
      <c r="D4676" s="84">
        <v>0.0</v>
      </c>
      <c r="E4676" s="84">
        <v>0.0</v>
      </c>
      <c r="F4676" s="76" t="s">
        <v>996</v>
      </c>
      <c r="G4676" s="83">
        <v>46114.0</v>
      </c>
      <c r="H4676" s="76" t="s">
        <v>953</v>
      </c>
    </row>
    <row r="4677">
      <c r="A4677" s="76" t="s">
        <v>40</v>
      </c>
      <c r="B4677" s="76" t="s">
        <v>1027</v>
      </c>
      <c r="C4677" s="84">
        <v>0.94</v>
      </c>
      <c r="D4677" s="84">
        <v>0.0</v>
      </c>
      <c r="E4677" s="84">
        <v>0.0</v>
      </c>
      <c r="F4677" s="76" t="s">
        <v>996</v>
      </c>
      <c r="G4677" s="83">
        <v>46114.0</v>
      </c>
      <c r="H4677" s="76" t="s">
        <v>954</v>
      </c>
    </row>
    <row r="4678">
      <c r="A4678" s="76" t="s">
        <v>40</v>
      </c>
      <c r="B4678" s="76" t="s">
        <v>1027</v>
      </c>
      <c r="C4678" s="84">
        <v>0.32</v>
      </c>
      <c r="D4678" s="84">
        <v>0.0</v>
      </c>
      <c r="E4678" s="84">
        <v>0.0</v>
      </c>
      <c r="F4678" s="76" t="s">
        <v>996</v>
      </c>
      <c r="G4678" s="83">
        <v>46114.0</v>
      </c>
      <c r="H4678" s="76" t="s">
        <v>955</v>
      </c>
    </row>
    <row r="4679">
      <c r="A4679" s="76" t="s">
        <v>40</v>
      </c>
      <c r="B4679" s="76" t="s">
        <v>1027</v>
      </c>
      <c r="C4679" s="84">
        <v>2.44</v>
      </c>
      <c r="D4679" s="84">
        <v>0.0</v>
      </c>
      <c r="E4679" s="84">
        <v>0.0</v>
      </c>
      <c r="F4679" s="76" t="s">
        <v>996</v>
      </c>
      <c r="G4679" s="83">
        <v>46114.0</v>
      </c>
      <c r="H4679" s="76" t="s">
        <v>956</v>
      </c>
    </row>
    <row r="4680">
      <c r="A4680" s="76" t="s">
        <v>33</v>
      </c>
      <c r="B4680" s="76" t="s">
        <v>1027</v>
      </c>
      <c r="C4680" s="84">
        <v>5.08</v>
      </c>
      <c r="D4680" s="84">
        <v>0.0</v>
      </c>
      <c r="E4680" s="84">
        <v>0.0</v>
      </c>
      <c r="F4680" s="76" t="s">
        <v>996</v>
      </c>
      <c r="G4680" s="83">
        <v>46114.0</v>
      </c>
      <c r="H4680" s="76" t="s">
        <v>957</v>
      </c>
    </row>
    <row r="4681">
      <c r="A4681" s="76" t="s">
        <v>33</v>
      </c>
      <c r="B4681" s="76" t="s">
        <v>1027</v>
      </c>
      <c r="C4681" s="84">
        <v>1.4</v>
      </c>
      <c r="D4681" s="84">
        <v>0.0</v>
      </c>
      <c r="E4681" s="84">
        <v>0.0</v>
      </c>
      <c r="F4681" s="76" t="s">
        <v>996</v>
      </c>
      <c r="G4681" s="83">
        <v>46114.0</v>
      </c>
      <c r="H4681" s="76" t="s">
        <v>958</v>
      </c>
    </row>
    <row r="4682">
      <c r="A4682" s="76" t="s">
        <v>33</v>
      </c>
      <c r="B4682" s="76" t="s">
        <v>1027</v>
      </c>
      <c r="C4682" s="84">
        <v>1.33</v>
      </c>
      <c r="D4682" s="84">
        <v>0.0</v>
      </c>
      <c r="E4682" s="84">
        <v>0.0</v>
      </c>
      <c r="F4682" s="76" t="s">
        <v>996</v>
      </c>
      <c r="G4682" s="83">
        <v>46114.0</v>
      </c>
      <c r="H4682" s="76" t="s">
        <v>959</v>
      </c>
    </row>
    <row r="4683">
      <c r="A4683" s="76" t="s">
        <v>46</v>
      </c>
      <c r="B4683" s="76" t="s">
        <v>1027</v>
      </c>
      <c r="C4683" s="84">
        <v>4.29</v>
      </c>
      <c r="D4683" s="84">
        <v>0.0</v>
      </c>
      <c r="E4683" s="84">
        <v>0.0</v>
      </c>
      <c r="F4683" s="76" t="s">
        <v>996</v>
      </c>
      <c r="G4683" s="83">
        <v>46114.0</v>
      </c>
      <c r="H4683" s="76" t="s">
        <v>960</v>
      </c>
    </row>
    <row r="4684">
      <c r="A4684" s="76" t="s">
        <v>46</v>
      </c>
      <c r="B4684" s="76" t="s">
        <v>1027</v>
      </c>
      <c r="C4684" s="84">
        <v>2.73</v>
      </c>
      <c r="D4684" s="84">
        <v>0.0</v>
      </c>
      <c r="E4684" s="84">
        <v>0.0</v>
      </c>
      <c r="F4684" s="76" t="s">
        <v>996</v>
      </c>
      <c r="G4684" s="83">
        <v>46114.0</v>
      </c>
      <c r="H4684" s="76" t="s">
        <v>961</v>
      </c>
    </row>
    <row r="4685">
      <c r="A4685" s="76" t="s">
        <v>46</v>
      </c>
      <c r="B4685" s="76" t="s">
        <v>1027</v>
      </c>
      <c r="C4685" s="84">
        <v>1.01</v>
      </c>
      <c r="D4685" s="84">
        <v>0.0</v>
      </c>
      <c r="E4685" s="84">
        <v>0.0</v>
      </c>
      <c r="F4685" s="76" t="s">
        <v>996</v>
      </c>
      <c r="G4685" s="83">
        <v>46114.0</v>
      </c>
      <c r="H4685" s="76" t="s">
        <v>962</v>
      </c>
    </row>
    <row r="4686">
      <c r="A4686" s="76" t="s">
        <v>43</v>
      </c>
      <c r="B4686" s="76" t="s">
        <v>1027</v>
      </c>
      <c r="C4686" s="84">
        <v>0.41</v>
      </c>
      <c r="D4686" s="84">
        <v>0.0</v>
      </c>
      <c r="E4686" s="84">
        <v>0.0</v>
      </c>
      <c r="F4686" s="76" t="s">
        <v>996</v>
      </c>
      <c r="G4686" s="83">
        <v>46114.0</v>
      </c>
      <c r="H4686" s="76" t="s">
        <v>963</v>
      </c>
    </row>
    <row r="4687">
      <c r="A4687" s="76" t="s">
        <v>43</v>
      </c>
      <c r="B4687" s="76" t="s">
        <v>1027</v>
      </c>
      <c r="C4687" s="84">
        <v>0.93</v>
      </c>
      <c r="D4687" s="84">
        <v>0.0</v>
      </c>
      <c r="E4687" s="84">
        <v>0.0</v>
      </c>
      <c r="F4687" s="76" t="s">
        <v>996</v>
      </c>
      <c r="G4687" s="83">
        <v>46114.0</v>
      </c>
      <c r="H4687" s="76" t="s">
        <v>964</v>
      </c>
    </row>
    <row r="4688">
      <c r="A4688" s="76" t="s">
        <v>43</v>
      </c>
      <c r="B4688" s="76" t="s">
        <v>1027</v>
      </c>
      <c r="C4688" s="84">
        <v>1.71</v>
      </c>
      <c r="D4688" s="84">
        <v>0.0</v>
      </c>
      <c r="E4688" s="84">
        <v>0.0</v>
      </c>
      <c r="F4688" s="76" t="s">
        <v>996</v>
      </c>
      <c r="G4688" s="83">
        <v>46114.0</v>
      </c>
      <c r="H4688" s="76" t="s">
        <v>965</v>
      </c>
    </row>
    <row r="4689">
      <c r="A4689" s="76" t="s">
        <v>966</v>
      </c>
      <c r="B4689" s="76" t="s">
        <v>1027</v>
      </c>
      <c r="C4689" s="84">
        <v>1.64</v>
      </c>
      <c r="D4689" s="84">
        <v>0.0</v>
      </c>
      <c r="E4689" s="84">
        <v>0.0</v>
      </c>
      <c r="F4689" s="76" t="s">
        <v>996</v>
      </c>
      <c r="G4689" s="83">
        <v>46114.0</v>
      </c>
      <c r="H4689" s="76" t="s">
        <v>967</v>
      </c>
    </row>
    <row r="4690">
      <c r="A4690" s="76" t="s">
        <v>966</v>
      </c>
      <c r="B4690" s="76" t="s">
        <v>1027</v>
      </c>
      <c r="C4690" s="84">
        <v>0.44</v>
      </c>
      <c r="D4690" s="84">
        <v>0.0</v>
      </c>
      <c r="E4690" s="84">
        <v>0.0</v>
      </c>
      <c r="F4690" s="76" t="s">
        <v>996</v>
      </c>
      <c r="G4690" s="83">
        <v>46114.0</v>
      </c>
      <c r="H4690" s="76" t="s">
        <v>968</v>
      </c>
    </row>
    <row r="4691">
      <c r="A4691" s="76" t="s">
        <v>966</v>
      </c>
      <c r="B4691" s="76" t="s">
        <v>1027</v>
      </c>
      <c r="C4691" s="84">
        <v>0.94</v>
      </c>
      <c r="D4691" s="84">
        <v>0.0</v>
      </c>
      <c r="E4691" s="84">
        <v>0.0</v>
      </c>
      <c r="F4691" s="76" t="s">
        <v>996</v>
      </c>
      <c r="G4691" s="83">
        <v>46114.0</v>
      </c>
      <c r="H4691" s="76" t="s">
        <v>969</v>
      </c>
    </row>
    <row r="4692">
      <c r="A4692" s="76" t="s">
        <v>36</v>
      </c>
      <c r="B4692" s="76" t="s">
        <v>1027</v>
      </c>
      <c r="C4692" s="84">
        <v>0.93</v>
      </c>
      <c r="D4692" s="84">
        <v>0.0</v>
      </c>
      <c r="E4692" s="84">
        <v>0.0</v>
      </c>
      <c r="F4692" s="76" t="s">
        <v>996</v>
      </c>
      <c r="G4692" s="83">
        <v>46114.0</v>
      </c>
      <c r="H4692" s="76" t="s">
        <v>926</v>
      </c>
    </row>
    <row r="4693">
      <c r="A4693" s="76" t="s">
        <v>36</v>
      </c>
      <c r="B4693" s="76" t="s">
        <v>1027</v>
      </c>
      <c r="C4693" s="84">
        <v>1.42</v>
      </c>
      <c r="D4693" s="84">
        <v>0.0</v>
      </c>
      <c r="E4693" s="84">
        <v>0.0</v>
      </c>
      <c r="F4693" s="76" t="s">
        <v>996</v>
      </c>
      <c r="G4693" s="83">
        <v>46114.0</v>
      </c>
      <c r="H4693" s="76" t="s">
        <v>927</v>
      </c>
    </row>
    <row r="4694">
      <c r="A4694" s="76" t="s">
        <v>36</v>
      </c>
      <c r="B4694" s="76" t="s">
        <v>1027</v>
      </c>
      <c r="C4694" s="84">
        <v>0.51</v>
      </c>
      <c r="D4694" s="84">
        <v>0.0</v>
      </c>
      <c r="E4694" s="84">
        <v>0.0</v>
      </c>
      <c r="F4694" s="76" t="s">
        <v>996</v>
      </c>
      <c r="G4694" s="83">
        <v>46114.0</v>
      </c>
      <c r="H4694" s="76" t="s">
        <v>928</v>
      </c>
    </row>
    <row r="4695">
      <c r="A4695" s="76" t="s">
        <v>970</v>
      </c>
      <c r="B4695" s="76" t="s">
        <v>1027</v>
      </c>
      <c r="C4695" s="84">
        <v>3.46</v>
      </c>
      <c r="D4695" s="84">
        <v>0.0</v>
      </c>
      <c r="E4695" s="84">
        <v>0.0</v>
      </c>
      <c r="F4695" s="76" t="s">
        <v>996</v>
      </c>
      <c r="G4695" s="83">
        <v>46114.0</v>
      </c>
      <c r="H4695" s="76" t="s">
        <v>971</v>
      </c>
    </row>
    <row r="4696">
      <c r="A4696" s="76" t="s">
        <v>970</v>
      </c>
      <c r="B4696" s="76" t="s">
        <v>1027</v>
      </c>
      <c r="C4696" s="84">
        <v>1.17</v>
      </c>
      <c r="D4696" s="84">
        <v>0.0</v>
      </c>
      <c r="E4696" s="84">
        <v>0.0</v>
      </c>
      <c r="F4696" s="76" t="s">
        <v>996</v>
      </c>
      <c r="G4696" s="83">
        <v>46114.0</v>
      </c>
      <c r="H4696" s="76" t="s">
        <v>972</v>
      </c>
    </row>
    <row r="4697">
      <c r="A4697" s="76" t="s">
        <v>970</v>
      </c>
      <c r="B4697" s="76" t="s">
        <v>1027</v>
      </c>
      <c r="C4697" s="84">
        <v>4.71</v>
      </c>
      <c r="D4697" s="84">
        <v>0.0</v>
      </c>
      <c r="E4697" s="84">
        <v>0.0</v>
      </c>
      <c r="F4697" s="76" t="s">
        <v>996</v>
      </c>
      <c r="G4697" s="83">
        <v>46114.0</v>
      </c>
      <c r="H4697" s="76" t="s">
        <v>973</v>
      </c>
    </row>
    <row r="4698">
      <c r="A4698" s="76" t="s">
        <v>29</v>
      </c>
      <c r="B4698" s="76" t="s">
        <v>1027</v>
      </c>
      <c r="C4698" s="84">
        <v>3.55</v>
      </c>
      <c r="D4698" s="84">
        <v>0.0</v>
      </c>
      <c r="E4698" s="84">
        <v>0.0</v>
      </c>
      <c r="F4698" s="76" t="s">
        <v>996</v>
      </c>
      <c r="G4698" s="83">
        <v>46114.0</v>
      </c>
      <c r="H4698" s="76" t="s">
        <v>971</v>
      </c>
    </row>
    <row r="4699">
      <c r="A4699" s="76" t="s">
        <v>29</v>
      </c>
      <c r="B4699" s="76" t="s">
        <v>1027</v>
      </c>
      <c r="C4699" s="84">
        <v>1.1</v>
      </c>
      <c r="D4699" s="84">
        <v>0.0</v>
      </c>
      <c r="E4699" s="84">
        <v>0.0</v>
      </c>
      <c r="F4699" s="76" t="s">
        <v>996</v>
      </c>
      <c r="G4699" s="83">
        <v>46114.0</v>
      </c>
      <c r="H4699" s="76" t="s">
        <v>972</v>
      </c>
    </row>
    <row r="4700">
      <c r="A4700" s="76" t="s">
        <v>29</v>
      </c>
      <c r="B4700" s="76" t="s">
        <v>1027</v>
      </c>
      <c r="C4700" s="84">
        <v>4.49</v>
      </c>
      <c r="D4700" s="84">
        <v>0.0</v>
      </c>
      <c r="E4700" s="84">
        <v>0.0</v>
      </c>
      <c r="F4700" s="76" t="s">
        <v>996</v>
      </c>
      <c r="G4700" s="83">
        <v>46114.0</v>
      </c>
      <c r="H4700" s="76" t="s">
        <v>973</v>
      </c>
    </row>
    <row r="4701">
      <c r="A4701" s="76" t="s">
        <v>34</v>
      </c>
      <c r="B4701" s="76" t="s">
        <v>1027</v>
      </c>
      <c r="C4701" s="84">
        <v>0.78</v>
      </c>
      <c r="D4701" s="84">
        <v>0.0</v>
      </c>
      <c r="E4701" s="84">
        <v>0.0</v>
      </c>
      <c r="F4701" s="76" t="s">
        <v>997</v>
      </c>
      <c r="G4701" s="83">
        <v>46114.0</v>
      </c>
      <c r="H4701" s="76" t="s">
        <v>951</v>
      </c>
    </row>
    <row r="4702">
      <c r="A4702" s="76" t="s">
        <v>34</v>
      </c>
      <c r="B4702" s="76" t="s">
        <v>1027</v>
      </c>
      <c r="C4702" s="84">
        <v>0.62</v>
      </c>
      <c r="D4702" s="84">
        <v>0.0</v>
      </c>
      <c r="E4702" s="84">
        <v>0.0</v>
      </c>
      <c r="F4702" s="76" t="s">
        <v>997</v>
      </c>
      <c r="G4702" s="83">
        <v>46114.0</v>
      </c>
      <c r="H4702" s="76" t="s">
        <v>952</v>
      </c>
    </row>
    <row r="4703">
      <c r="A4703" s="76" t="s">
        <v>34</v>
      </c>
      <c r="B4703" s="76" t="s">
        <v>1027</v>
      </c>
      <c r="C4703" s="84">
        <v>1.15</v>
      </c>
      <c r="D4703" s="84">
        <v>0.0</v>
      </c>
      <c r="E4703" s="84">
        <v>0.0</v>
      </c>
      <c r="F4703" s="76" t="s">
        <v>997</v>
      </c>
      <c r="G4703" s="83">
        <v>46114.0</v>
      </c>
      <c r="H4703" s="76" t="s">
        <v>953</v>
      </c>
    </row>
    <row r="4704">
      <c r="A4704" s="76" t="s">
        <v>40</v>
      </c>
      <c r="B4704" s="76" t="s">
        <v>1027</v>
      </c>
      <c r="C4704" s="84">
        <v>0.79</v>
      </c>
      <c r="D4704" s="84">
        <v>0.0</v>
      </c>
      <c r="E4704" s="84">
        <v>0.0</v>
      </c>
      <c r="F4704" s="76" t="s">
        <v>997</v>
      </c>
      <c r="G4704" s="83">
        <v>46114.0</v>
      </c>
      <c r="H4704" s="76" t="s">
        <v>954</v>
      </c>
    </row>
    <row r="4705">
      <c r="A4705" s="76" t="s">
        <v>40</v>
      </c>
      <c r="B4705" s="76" t="s">
        <v>1027</v>
      </c>
      <c r="C4705" s="84">
        <v>0.26</v>
      </c>
      <c r="D4705" s="84">
        <v>0.0</v>
      </c>
      <c r="E4705" s="84">
        <v>0.0</v>
      </c>
      <c r="F4705" s="76" t="s">
        <v>997</v>
      </c>
      <c r="G4705" s="83">
        <v>46114.0</v>
      </c>
      <c r="H4705" s="76" t="s">
        <v>955</v>
      </c>
    </row>
    <row r="4706">
      <c r="A4706" s="76" t="s">
        <v>40</v>
      </c>
      <c r="B4706" s="76" t="s">
        <v>1027</v>
      </c>
      <c r="C4706" s="84">
        <v>1.9</v>
      </c>
      <c r="D4706" s="84">
        <v>0.0</v>
      </c>
      <c r="E4706" s="84">
        <v>0.0</v>
      </c>
      <c r="F4706" s="76" t="s">
        <v>997</v>
      </c>
      <c r="G4706" s="83">
        <v>46114.0</v>
      </c>
      <c r="H4706" s="76" t="s">
        <v>956</v>
      </c>
    </row>
    <row r="4707">
      <c r="A4707" s="76" t="s">
        <v>33</v>
      </c>
      <c r="B4707" s="76" t="s">
        <v>1027</v>
      </c>
      <c r="C4707" s="84">
        <v>4.73</v>
      </c>
      <c r="D4707" s="84">
        <v>0.0</v>
      </c>
      <c r="E4707" s="84">
        <v>0.0</v>
      </c>
      <c r="F4707" s="76" t="s">
        <v>997</v>
      </c>
      <c r="G4707" s="83">
        <v>46114.0</v>
      </c>
      <c r="H4707" s="76" t="s">
        <v>957</v>
      </c>
    </row>
    <row r="4708">
      <c r="A4708" s="76" t="s">
        <v>33</v>
      </c>
      <c r="B4708" s="76" t="s">
        <v>1027</v>
      </c>
      <c r="C4708" s="84">
        <v>1.19</v>
      </c>
      <c r="D4708" s="84">
        <v>0.0</v>
      </c>
      <c r="E4708" s="84">
        <v>0.0</v>
      </c>
      <c r="F4708" s="76" t="s">
        <v>997</v>
      </c>
      <c r="G4708" s="83">
        <v>46114.0</v>
      </c>
      <c r="H4708" s="76" t="s">
        <v>958</v>
      </c>
    </row>
    <row r="4709">
      <c r="A4709" s="76" t="s">
        <v>33</v>
      </c>
      <c r="B4709" s="76" t="s">
        <v>1027</v>
      </c>
      <c r="C4709" s="84">
        <v>1.2</v>
      </c>
      <c r="D4709" s="84">
        <v>0.0</v>
      </c>
      <c r="E4709" s="84">
        <v>0.0</v>
      </c>
      <c r="F4709" s="76" t="s">
        <v>997</v>
      </c>
      <c r="G4709" s="83">
        <v>46114.0</v>
      </c>
      <c r="H4709" s="76" t="s">
        <v>959</v>
      </c>
    </row>
    <row r="4710">
      <c r="A4710" s="76" t="s">
        <v>46</v>
      </c>
      <c r="B4710" s="76" t="s">
        <v>1027</v>
      </c>
      <c r="C4710" s="84">
        <v>2.73</v>
      </c>
      <c r="D4710" s="84">
        <v>0.0</v>
      </c>
      <c r="E4710" s="84">
        <v>0.0</v>
      </c>
      <c r="F4710" s="76" t="s">
        <v>997</v>
      </c>
      <c r="G4710" s="83">
        <v>46114.0</v>
      </c>
      <c r="H4710" s="76" t="s">
        <v>960</v>
      </c>
    </row>
    <row r="4711">
      <c r="A4711" s="76" t="s">
        <v>46</v>
      </c>
      <c r="B4711" s="76" t="s">
        <v>1027</v>
      </c>
      <c r="C4711" s="84">
        <v>1.77</v>
      </c>
      <c r="D4711" s="84">
        <v>0.0</v>
      </c>
      <c r="E4711" s="84">
        <v>0.0</v>
      </c>
      <c r="F4711" s="76" t="s">
        <v>997</v>
      </c>
      <c r="G4711" s="83">
        <v>46114.0</v>
      </c>
      <c r="H4711" s="76" t="s">
        <v>961</v>
      </c>
    </row>
    <row r="4712">
      <c r="A4712" s="76" t="s">
        <v>46</v>
      </c>
      <c r="B4712" s="76" t="s">
        <v>1027</v>
      </c>
      <c r="C4712" s="84">
        <v>0.63</v>
      </c>
      <c r="D4712" s="84">
        <v>0.0</v>
      </c>
      <c r="E4712" s="84">
        <v>0.0</v>
      </c>
      <c r="F4712" s="76" t="s">
        <v>997</v>
      </c>
      <c r="G4712" s="83">
        <v>46114.0</v>
      </c>
      <c r="H4712" s="76" t="s">
        <v>962</v>
      </c>
    </row>
    <row r="4713">
      <c r="A4713" s="76" t="s">
        <v>43</v>
      </c>
      <c r="B4713" s="76" t="s">
        <v>1027</v>
      </c>
      <c r="C4713" s="84">
        <v>0.39</v>
      </c>
      <c r="D4713" s="84">
        <v>0.0</v>
      </c>
      <c r="E4713" s="84">
        <v>0.0</v>
      </c>
      <c r="F4713" s="76" t="s">
        <v>997</v>
      </c>
      <c r="G4713" s="83">
        <v>46114.0</v>
      </c>
      <c r="H4713" s="76" t="s">
        <v>963</v>
      </c>
    </row>
    <row r="4714">
      <c r="A4714" s="76" t="s">
        <v>43</v>
      </c>
      <c r="B4714" s="76" t="s">
        <v>1027</v>
      </c>
      <c r="C4714" s="84">
        <v>0.74</v>
      </c>
      <c r="D4714" s="84">
        <v>0.0</v>
      </c>
      <c r="E4714" s="84">
        <v>0.0</v>
      </c>
      <c r="F4714" s="76" t="s">
        <v>997</v>
      </c>
      <c r="G4714" s="83">
        <v>46114.0</v>
      </c>
      <c r="H4714" s="76" t="s">
        <v>964</v>
      </c>
    </row>
    <row r="4715">
      <c r="A4715" s="76" t="s">
        <v>43</v>
      </c>
      <c r="B4715" s="76" t="s">
        <v>1027</v>
      </c>
      <c r="C4715" s="84">
        <v>1.36</v>
      </c>
      <c r="D4715" s="84">
        <v>0.0</v>
      </c>
      <c r="E4715" s="84">
        <v>0.0</v>
      </c>
      <c r="F4715" s="76" t="s">
        <v>997</v>
      </c>
      <c r="G4715" s="83">
        <v>46114.0</v>
      </c>
      <c r="H4715" s="76" t="s">
        <v>965</v>
      </c>
    </row>
    <row r="4716">
      <c r="A4716" s="76" t="s">
        <v>966</v>
      </c>
      <c r="B4716" s="76" t="s">
        <v>1027</v>
      </c>
      <c r="C4716" s="84">
        <v>1.53</v>
      </c>
      <c r="D4716" s="84">
        <v>0.0</v>
      </c>
      <c r="E4716" s="84">
        <v>0.0</v>
      </c>
      <c r="F4716" s="76" t="s">
        <v>997</v>
      </c>
      <c r="G4716" s="83">
        <v>46114.0</v>
      </c>
      <c r="H4716" s="76" t="s">
        <v>967</v>
      </c>
    </row>
    <row r="4717">
      <c r="A4717" s="76" t="s">
        <v>966</v>
      </c>
      <c r="B4717" s="76" t="s">
        <v>1027</v>
      </c>
      <c r="C4717" s="84">
        <v>0.39</v>
      </c>
      <c r="D4717" s="84">
        <v>0.0</v>
      </c>
      <c r="E4717" s="84">
        <v>0.0</v>
      </c>
      <c r="F4717" s="76" t="s">
        <v>997</v>
      </c>
      <c r="G4717" s="83">
        <v>46114.0</v>
      </c>
      <c r="H4717" s="76" t="s">
        <v>968</v>
      </c>
    </row>
    <row r="4718">
      <c r="A4718" s="76" t="s">
        <v>966</v>
      </c>
      <c r="B4718" s="76" t="s">
        <v>1027</v>
      </c>
      <c r="C4718" s="84">
        <v>0.75</v>
      </c>
      <c r="D4718" s="84">
        <v>0.0</v>
      </c>
      <c r="E4718" s="84">
        <v>0.0</v>
      </c>
      <c r="F4718" s="76" t="s">
        <v>997</v>
      </c>
      <c r="G4718" s="83">
        <v>46114.0</v>
      </c>
      <c r="H4718" s="76" t="s">
        <v>969</v>
      </c>
    </row>
    <row r="4719">
      <c r="A4719" s="76" t="s">
        <v>36</v>
      </c>
      <c r="B4719" s="76" t="s">
        <v>1027</v>
      </c>
      <c r="C4719" s="84">
        <v>0.67</v>
      </c>
      <c r="D4719" s="84">
        <v>0.0</v>
      </c>
      <c r="E4719" s="84">
        <v>0.0</v>
      </c>
      <c r="F4719" s="76" t="s">
        <v>997</v>
      </c>
      <c r="G4719" s="83">
        <v>46114.0</v>
      </c>
      <c r="H4719" s="76" t="s">
        <v>926</v>
      </c>
    </row>
    <row r="4720">
      <c r="A4720" s="76" t="s">
        <v>36</v>
      </c>
      <c r="B4720" s="76" t="s">
        <v>1027</v>
      </c>
      <c r="C4720" s="84">
        <v>1.08</v>
      </c>
      <c r="D4720" s="84">
        <v>0.0</v>
      </c>
      <c r="E4720" s="84">
        <v>0.0</v>
      </c>
      <c r="F4720" s="76" t="s">
        <v>997</v>
      </c>
      <c r="G4720" s="83">
        <v>46114.0</v>
      </c>
      <c r="H4720" s="76" t="s">
        <v>927</v>
      </c>
    </row>
    <row r="4721">
      <c r="A4721" s="76" t="s">
        <v>36</v>
      </c>
      <c r="B4721" s="76" t="s">
        <v>1027</v>
      </c>
      <c r="C4721" s="84">
        <v>0.34</v>
      </c>
      <c r="D4721" s="84">
        <v>0.0</v>
      </c>
      <c r="E4721" s="84">
        <v>0.0</v>
      </c>
      <c r="F4721" s="76" t="s">
        <v>997</v>
      </c>
      <c r="G4721" s="83">
        <v>46114.0</v>
      </c>
      <c r="H4721" s="76" t="s">
        <v>928</v>
      </c>
    </row>
    <row r="4722">
      <c r="A4722" s="76" t="s">
        <v>970</v>
      </c>
      <c r="B4722" s="76" t="s">
        <v>1027</v>
      </c>
      <c r="C4722" s="84">
        <v>2.58</v>
      </c>
      <c r="D4722" s="84">
        <v>0.0</v>
      </c>
      <c r="E4722" s="84">
        <v>0.0</v>
      </c>
      <c r="F4722" s="76" t="s">
        <v>997</v>
      </c>
      <c r="G4722" s="83">
        <v>46114.0</v>
      </c>
      <c r="H4722" s="76" t="s">
        <v>971</v>
      </c>
    </row>
    <row r="4723">
      <c r="A4723" s="76" t="s">
        <v>970</v>
      </c>
      <c r="B4723" s="76" t="s">
        <v>1027</v>
      </c>
      <c r="C4723" s="84">
        <v>0.76</v>
      </c>
      <c r="D4723" s="84">
        <v>0.0</v>
      </c>
      <c r="E4723" s="84">
        <v>0.0</v>
      </c>
      <c r="F4723" s="76" t="s">
        <v>997</v>
      </c>
      <c r="G4723" s="83">
        <v>46114.0</v>
      </c>
      <c r="H4723" s="76" t="s">
        <v>972</v>
      </c>
    </row>
    <row r="4724">
      <c r="A4724" s="76" t="s">
        <v>970</v>
      </c>
      <c r="B4724" s="76" t="s">
        <v>1027</v>
      </c>
      <c r="C4724" s="84">
        <v>3.78</v>
      </c>
      <c r="D4724" s="84">
        <v>0.0</v>
      </c>
      <c r="E4724" s="84">
        <v>0.0</v>
      </c>
      <c r="F4724" s="76" t="s">
        <v>997</v>
      </c>
      <c r="G4724" s="83">
        <v>46114.0</v>
      </c>
      <c r="H4724" s="76" t="s">
        <v>973</v>
      </c>
    </row>
    <row r="4725">
      <c r="A4725" s="76" t="s">
        <v>29</v>
      </c>
      <c r="B4725" s="76" t="s">
        <v>1027</v>
      </c>
      <c r="C4725" s="84">
        <v>2.58</v>
      </c>
      <c r="D4725" s="84">
        <v>0.0</v>
      </c>
      <c r="E4725" s="84">
        <v>0.0</v>
      </c>
      <c r="F4725" s="76" t="s">
        <v>997</v>
      </c>
      <c r="G4725" s="83">
        <v>46114.0</v>
      </c>
      <c r="H4725" s="76" t="s">
        <v>971</v>
      </c>
    </row>
    <row r="4726">
      <c r="A4726" s="76" t="s">
        <v>29</v>
      </c>
      <c r="B4726" s="76" t="s">
        <v>1027</v>
      </c>
      <c r="C4726" s="84">
        <v>0.85</v>
      </c>
      <c r="D4726" s="84">
        <v>0.0</v>
      </c>
      <c r="E4726" s="84">
        <v>0.0</v>
      </c>
      <c r="F4726" s="76" t="s">
        <v>997</v>
      </c>
      <c r="G4726" s="83">
        <v>46114.0</v>
      </c>
      <c r="H4726" s="76" t="s">
        <v>972</v>
      </c>
    </row>
    <row r="4727">
      <c r="A4727" s="76" t="s">
        <v>29</v>
      </c>
      <c r="B4727" s="76" t="s">
        <v>1027</v>
      </c>
      <c r="C4727" s="84">
        <v>3.6</v>
      </c>
      <c r="D4727" s="84">
        <v>0.0</v>
      </c>
      <c r="E4727" s="84">
        <v>0.0</v>
      </c>
      <c r="F4727" s="76" t="s">
        <v>997</v>
      </c>
      <c r="G4727" s="83">
        <v>46114.0</v>
      </c>
      <c r="H4727" s="76" t="s">
        <v>973</v>
      </c>
    </row>
    <row r="4728">
      <c r="A4728" s="76" t="s">
        <v>34</v>
      </c>
      <c r="B4728" s="76" t="s">
        <v>1027</v>
      </c>
      <c r="C4728" s="84">
        <v>0.02</v>
      </c>
      <c r="D4728" s="84">
        <v>0.0</v>
      </c>
      <c r="E4728" s="84">
        <v>0.0</v>
      </c>
      <c r="F4728" s="76" t="s">
        <v>998</v>
      </c>
      <c r="G4728" s="83">
        <v>46114.0</v>
      </c>
      <c r="H4728" s="76" t="s">
        <v>951</v>
      </c>
    </row>
    <row r="4729">
      <c r="A4729" s="76" t="s">
        <v>34</v>
      </c>
      <c r="B4729" s="76" t="s">
        <v>1027</v>
      </c>
      <c r="C4729" s="84">
        <v>0.14</v>
      </c>
      <c r="D4729" s="84">
        <v>0.0</v>
      </c>
      <c r="E4729" s="84">
        <v>0.0</v>
      </c>
      <c r="F4729" s="76" t="s">
        <v>998</v>
      </c>
      <c r="G4729" s="83">
        <v>46114.0</v>
      </c>
      <c r="H4729" s="76" t="s">
        <v>952</v>
      </c>
    </row>
    <row r="4730">
      <c r="A4730" s="76" t="s">
        <v>34</v>
      </c>
      <c r="B4730" s="76" t="s">
        <v>1027</v>
      </c>
      <c r="C4730" s="84">
        <v>0.01</v>
      </c>
      <c r="D4730" s="84">
        <v>0.0</v>
      </c>
      <c r="E4730" s="84">
        <v>0.0</v>
      </c>
      <c r="F4730" s="76" t="s">
        <v>998</v>
      </c>
      <c r="G4730" s="83">
        <v>46114.0</v>
      </c>
      <c r="H4730" s="76" t="s">
        <v>953</v>
      </c>
    </row>
    <row r="4731">
      <c r="A4731" s="76" t="s">
        <v>40</v>
      </c>
      <c r="B4731" s="76" t="s">
        <v>1027</v>
      </c>
      <c r="C4731" s="84">
        <v>0.03</v>
      </c>
      <c r="D4731" s="84">
        <v>0.0</v>
      </c>
      <c r="E4731" s="84">
        <v>0.0</v>
      </c>
      <c r="F4731" s="76" t="s">
        <v>998</v>
      </c>
      <c r="G4731" s="83">
        <v>46114.0</v>
      </c>
      <c r="H4731" s="76" t="s">
        <v>954</v>
      </c>
    </row>
    <row r="4732">
      <c r="A4732" s="76" t="s">
        <v>40</v>
      </c>
      <c r="B4732" s="76" t="s">
        <v>1027</v>
      </c>
      <c r="C4732" s="84">
        <v>0.05</v>
      </c>
      <c r="D4732" s="84">
        <v>0.0</v>
      </c>
      <c r="E4732" s="84">
        <v>0.0</v>
      </c>
      <c r="F4732" s="76" t="s">
        <v>998</v>
      </c>
      <c r="G4732" s="83">
        <v>46114.0</v>
      </c>
      <c r="H4732" s="76" t="s">
        <v>955</v>
      </c>
    </row>
    <row r="4733">
      <c r="A4733" s="76" t="s">
        <v>40</v>
      </c>
      <c r="B4733" s="76" t="s">
        <v>1027</v>
      </c>
      <c r="C4733" s="84">
        <v>0.01</v>
      </c>
      <c r="D4733" s="84">
        <v>0.0</v>
      </c>
      <c r="E4733" s="84">
        <v>0.0</v>
      </c>
      <c r="F4733" s="76" t="s">
        <v>998</v>
      </c>
      <c r="G4733" s="83">
        <v>46114.0</v>
      </c>
      <c r="H4733" s="76" t="s">
        <v>956</v>
      </c>
    </row>
    <row r="4734">
      <c r="A4734" s="76" t="s">
        <v>33</v>
      </c>
      <c r="B4734" s="76" t="s">
        <v>1027</v>
      </c>
      <c r="C4734" s="84">
        <v>0.02</v>
      </c>
      <c r="D4734" s="84">
        <v>0.0</v>
      </c>
      <c r="E4734" s="84">
        <v>0.0</v>
      </c>
      <c r="F4734" s="76" t="s">
        <v>998</v>
      </c>
      <c r="G4734" s="83">
        <v>46114.0</v>
      </c>
      <c r="H4734" s="76" t="s">
        <v>957</v>
      </c>
    </row>
    <row r="4735">
      <c r="A4735" s="76" t="s">
        <v>33</v>
      </c>
      <c r="B4735" s="76" t="s">
        <v>1027</v>
      </c>
      <c r="C4735" s="84">
        <v>0.02</v>
      </c>
      <c r="D4735" s="84">
        <v>0.0</v>
      </c>
      <c r="E4735" s="84">
        <v>0.0</v>
      </c>
      <c r="F4735" s="76" t="s">
        <v>998</v>
      </c>
      <c r="G4735" s="83">
        <v>46114.0</v>
      </c>
      <c r="H4735" s="76" t="s">
        <v>958</v>
      </c>
    </row>
    <row r="4736">
      <c r="A4736" s="76" t="s">
        <v>33</v>
      </c>
      <c r="B4736" s="76" t="s">
        <v>1027</v>
      </c>
      <c r="C4736" s="84">
        <v>0.34</v>
      </c>
      <c r="D4736" s="84">
        <v>0.0</v>
      </c>
      <c r="E4736" s="84">
        <v>0.0</v>
      </c>
      <c r="F4736" s="76" t="s">
        <v>998</v>
      </c>
      <c r="G4736" s="83">
        <v>46114.0</v>
      </c>
      <c r="H4736" s="76" t="s">
        <v>959</v>
      </c>
    </row>
    <row r="4737">
      <c r="A4737" s="76" t="s">
        <v>46</v>
      </c>
      <c r="B4737" s="76" t="s">
        <v>1027</v>
      </c>
      <c r="C4737" s="84">
        <v>0.02</v>
      </c>
      <c r="D4737" s="84">
        <v>0.0</v>
      </c>
      <c r="E4737" s="84">
        <v>0.0</v>
      </c>
      <c r="F4737" s="76" t="s">
        <v>998</v>
      </c>
      <c r="G4737" s="83">
        <v>46114.0</v>
      </c>
      <c r="H4737" s="76" t="s">
        <v>960</v>
      </c>
    </row>
    <row r="4738">
      <c r="A4738" s="76" t="s">
        <v>46</v>
      </c>
      <c r="B4738" s="76" t="s">
        <v>1027</v>
      </c>
      <c r="C4738" s="84">
        <v>0.04</v>
      </c>
      <c r="D4738" s="84">
        <v>0.0</v>
      </c>
      <c r="E4738" s="84">
        <v>0.0</v>
      </c>
      <c r="F4738" s="76" t="s">
        <v>998</v>
      </c>
      <c r="G4738" s="83">
        <v>46114.0</v>
      </c>
      <c r="H4738" s="76" t="s">
        <v>961</v>
      </c>
    </row>
    <row r="4739">
      <c r="A4739" s="76" t="s">
        <v>46</v>
      </c>
      <c r="B4739" s="76" t="s">
        <v>1027</v>
      </c>
      <c r="C4739" s="84">
        <v>0.19</v>
      </c>
      <c r="D4739" s="84">
        <v>0.0</v>
      </c>
      <c r="E4739" s="84">
        <v>0.0</v>
      </c>
      <c r="F4739" s="76" t="s">
        <v>998</v>
      </c>
      <c r="G4739" s="83">
        <v>46114.0</v>
      </c>
      <c r="H4739" s="76" t="s">
        <v>962</v>
      </c>
    </row>
    <row r="4740">
      <c r="A4740" s="76" t="s">
        <v>43</v>
      </c>
      <c r="B4740" s="76" t="s">
        <v>1027</v>
      </c>
      <c r="C4740" s="84">
        <v>0.11</v>
      </c>
      <c r="D4740" s="84">
        <v>0.0</v>
      </c>
      <c r="E4740" s="84">
        <v>0.0</v>
      </c>
      <c r="F4740" s="76" t="s">
        <v>998</v>
      </c>
      <c r="G4740" s="83">
        <v>46114.0</v>
      </c>
      <c r="H4740" s="76" t="s">
        <v>963</v>
      </c>
    </row>
    <row r="4741">
      <c r="A4741" s="76" t="s">
        <v>43</v>
      </c>
      <c r="B4741" s="76" t="s">
        <v>1027</v>
      </c>
      <c r="C4741" s="84">
        <v>0.02</v>
      </c>
      <c r="D4741" s="84">
        <v>0.0</v>
      </c>
      <c r="E4741" s="84">
        <v>0.0</v>
      </c>
      <c r="F4741" s="76" t="s">
        <v>998</v>
      </c>
      <c r="G4741" s="83">
        <v>46114.0</v>
      </c>
      <c r="H4741" s="76" t="s">
        <v>964</v>
      </c>
    </row>
    <row r="4742">
      <c r="A4742" s="76" t="s">
        <v>43</v>
      </c>
      <c r="B4742" s="76" t="s">
        <v>1027</v>
      </c>
      <c r="C4742" s="84">
        <v>0.01</v>
      </c>
      <c r="D4742" s="84">
        <v>0.0</v>
      </c>
      <c r="E4742" s="84">
        <v>0.0</v>
      </c>
      <c r="F4742" s="76" t="s">
        <v>998</v>
      </c>
      <c r="G4742" s="83">
        <v>46114.0</v>
      </c>
      <c r="H4742" s="76" t="s">
        <v>965</v>
      </c>
    </row>
    <row r="4743">
      <c r="A4743" s="76" t="s">
        <v>966</v>
      </c>
      <c r="B4743" s="76" t="s">
        <v>1027</v>
      </c>
      <c r="C4743" s="84">
        <v>0.0</v>
      </c>
      <c r="D4743" s="84">
        <v>0.0</v>
      </c>
      <c r="E4743" s="84">
        <v>0.0</v>
      </c>
      <c r="F4743" s="76" t="s">
        <v>998</v>
      </c>
      <c r="G4743" s="83">
        <v>46114.0</v>
      </c>
      <c r="H4743" s="76" t="s">
        <v>967</v>
      </c>
    </row>
    <row r="4744">
      <c r="A4744" s="76" t="s">
        <v>966</v>
      </c>
      <c r="B4744" s="76" t="s">
        <v>1027</v>
      </c>
      <c r="C4744" s="84">
        <v>0.1</v>
      </c>
      <c r="D4744" s="84">
        <v>0.0</v>
      </c>
      <c r="E4744" s="84">
        <v>0.0</v>
      </c>
      <c r="F4744" s="76" t="s">
        <v>998</v>
      </c>
      <c r="G4744" s="83">
        <v>46114.0</v>
      </c>
      <c r="H4744" s="76" t="s">
        <v>968</v>
      </c>
    </row>
    <row r="4745">
      <c r="A4745" s="76" t="s">
        <v>966</v>
      </c>
      <c r="B4745" s="76" t="s">
        <v>1027</v>
      </c>
      <c r="C4745" s="84">
        <v>0.02</v>
      </c>
      <c r="D4745" s="84">
        <v>0.0</v>
      </c>
      <c r="E4745" s="84">
        <v>0.0</v>
      </c>
      <c r="F4745" s="76" t="s">
        <v>998</v>
      </c>
      <c r="G4745" s="83">
        <v>46114.0</v>
      </c>
      <c r="H4745" s="76" t="s">
        <v>969</v>
      </c>
    </row>
    <row r="4746">
      <c r="A4746" s="76" t="s">
        <v>36</v>
      </c>
      <c r="B4746" s="76" t="s">
        <v>1027</v>
      </c>
      <c r="C4746" s="84">
        <v>0.0</v>
      </c>
      <c r="D4746" s="84">
        <v>0.0</v>
      </c>
      <c r="E4746" s="84">
        <v>0.0</v>
      </c>
      <c r="F4746" s="76" t="s">
        <v>998</v>
      </c>
      <c r="G4746" s="83">
        <v>46114.0</v>
      </c>
      <c r="H4746" s="76" t="s">
        <v>926</v>
      </c>
    </row>
    <row r="4747">
      <c r="A4747" s="76" t="s">
        <v>36</v>
      </c>
      <c r="B4747" s="76" t="s">
        <v>1027</v>
      </c>
      <c r="C4747" s="84">
        <v>0.01</v>
      </c>
      <c r="D4747" s="84">
        <v>0.0</v>
      </c>
      <c r="E4747" s="84">
        <v>0.0</v>
      </c>
      <c r="F4747" s="76" t="s">
        <v>998</v>
      </c>
      <c r="G4747" s="83">
        <v>46114.0</v>
      </c>
      <c r="H4747" s="76" t="s">
        <v>927</v>
      </c>
    </row>
    <row r="4748">
      <c r="A4748" s="76" t="s">
        <v>36</v>
      </c>
      <c r="B4748" s="76" t="s">
        <v>1027</v>
      </c>
      <c r="C4748" s="84">
        <v>0.07</v>
      </c>
      <c r="D4748" s="84">
        <v>0.0</v>
      </c>
      <c r="E4748" s="84">
        <v>0.0</v>
      </c>
      <c r="F4748" s="76" t="s">
        <v>998</v>
      </c>
      <c r="G4748" s="83">
        <v>46114.0</v>
      </c>
      <c r="H4748" s="76" t="s">
        <v>928</v>
      </c>
    </row>
    <row r="4749">
      <c r="A4749" s="76" t="s">
        <v>970</v>
      </c>
      <c r="B4749" s="76" t="s">
        <v>1027</v>
      </c>
      <c r="C4749" s="84">
        <v>0.01</v>
      </c>
      <c r="D4749" s="84">
        <v>0.0</v>
      </c>
      <c r="E4749" s="84">
        <v>0.0</v>
      </c>
      <c r="F4749" s="76" t="s">
        <v>998</v>
      </c>
      <c r="G4749" s="83">
        <v>46114.0</v>
      </c>
      <c r="H4749" s="76" t="s">
        <v>971</v>
      </c>
    </row>
    <row r="4750">
      <c r="A4750" s="76" t="s">
        <v>970</v>
      </c>
      <c r="B4750" s="76" t="s">
        <v>1027</v>
      </c>
      <c r="C4750" s="84">
        <v>0.21</v>
      </c>
      <c r="D4750" s="84">
        <v>0.0</v>
      </c>
      <c r="E4750" s="84">
        <v>0.0</v>
      </c>
      <c r="F4750" s="76" t="s">
        <v>998</v>
      </c>
      <c r="G4750" s="83">
        <v>46114.0</v>
      </c>
      <c r="H4750" s="76" t="s">
        <v>972</v>
      </c>
    </row>
    <row r="4751">
      <c r="A4751" s="76" t="s">
        <v>970</v>
      </c>
      <c r="B4751" s="76" t="s">
        <v>1027</v>
      </c>
      <c r="C4751" s="84">
        <v>0.03</v>
      </c>
      <c r="D4751" s="84">
        <v>0.0</v>
      </c>
      <c r="E4751" s="84">
        <v>0.0</v>
      </c>
      <c r="F4751" s="76" t="s">
        <v>998</v>
      </c>
      <c r="G4751" s="83">
        <v>46114.0</v>
      </c>
      <c r="H4751" s="76" t="s">
        <v>973</v>
      </c>
    </row>
    <row r="4752">
      <c r="A4752" s="76" t="s">
        <v>29</v>
      </c>
      <c r="B4752" s="76" t="s">
        <v>1027</v>
      </c>
      <c r="C4752" s="84">
        <v>0.02</v>
      </c>
      <c r="D4752" s="84">
        <v>0.0</v>
      </c>
      <c r="E4752" s="84">
        <v>0.0</v>
      </c>
      <c r="F4752" s="76" t="s">
        <v>998</v>
      </c>
      <c r="G4752" s="83">
        <v>46114.0</v>
      </c>
      <c r="H4752" s="76" t="s">
        <v>971</v>
      </c>
    </row>
    <row r="4753">
      <c r="A4753" s="76" t="s">
        <v>29</v>
      </c>
      <c r="B4753" s="76" t="s">
        <v>1027</v>
      </c>
      <c r="C4753" s="84">
        <v>0.13</v>
      </c>
      <c r="D4753" s="84">
        <v>0.0</v>
      </c>
      <c r="E4753" s="84">
        <v>0.0</v>
      </c>
      <c r="F4753" s="76" t="s">
        <v>998</v>
      </c>
      <c r="G4753" s="83">
        <v>46114.0</v>
      </c>
      <c r="H4753" s="76" t="s">
        <v>972</v>
      </c>
    </row>
    <row r="4754">
      <c r="A4754" s="76" t="s">
        <v>29</v>
      </c>
      <c r="B4754" s="76" t="s">
        <v>1027</v>
      </c>
      <c r="C4754" s="84">
        <v>0.03</v>
      </c>
      <c r="D4754" s="84">
        <v>0.0</v>
      </c>
      <c r="E4754" s="84">
        <v>0.0</v>
      </c>
      <c r="F4754" s="76" t="s">
        <v>998</v>
      </c>
      <c r="G4754" s="83">
        <v>46114.0</v>
      </c>
      <c r="H4754" s="76" t="s">
        <v>973</v>
      </c>
    </row>
    <row r="4755">
      <c r="A4755" s="76" t="s">
        <v>34</v>
      </c>
      <c r="B4755" s="76" t="s">
        <v>1028</v>
      </c>
      <c r="C4755" s="84">
        <v>1.6</v>
      </c>
      <c r="D4755" s="84">
        <v>0.0</v>
      </c>
      <c r="E4755" s="84">
        <v>0.0</v>
      </c>
      <c r="F4755" s="76" t="s">
        <v>990</v>
      </c>
      <c r="G4755" s="83">
        <v>46114.0</v>
      </c>
      <c r="H4755" s="76" t="s">
        <v>951</v>
      </c>
    </row>
    <row r="4756">
      <c r="A4756" s="76" t="s">
        <v>34</v>
      </c>
      <c r="B4756" s="76" t="s">
        <v>1028</v>
      </c>
      <c r="C4756" s="84">
        <v>1.19</v>
      </c>
      <c r="D4756" s="84">
        <v>0.0</v>
      </c>
      <c r="E4756" s="84">
        <v>0.0</v>
      </c>
      <c r="F4756" s="76" t="s">
        <v>990</v>
      </c>
      <c r="G4756" s="83">
        <v>46114.0</v>
      </c>
      <c r="H4756" s="76" t="s">
        <v>952</v>
      </c>
    </row>
    <row r="4757">
      <c r="A4757" s="76" t="s">
        <v>34</v>
      </c>
      <c r="B4757" s="76" t="s">
        <v>1028</v>
      </c>
      <c r="C4757" s="84">
        <v>2.35</v>
      </c>
      <c r="D4757" s="84">
        <v>0.0</v>
      </c>
      <c r="E4757" s="84">
        <v>0.0</v>
      </c>
      <c r="F4757" s="76" t="s">
        <v>990</v>
      </c>
      <c r="G4757" s="83">
        <v>46114.0</v>
      </c>
      <c r="H4757" s="76" t="s">
        <v>953</v>
      </c>
    </row>
    <row r="4758">
      <c r="A4758" s="76" t="s">
        <v>40</v>
      </c>
      <c r="B4758" s="76" t="s">
        <v>1028</v>
      </c>
      <c r="C4758" s="84">
        <v>0.86</v>
      </c>
      <c r="D4758" s="84">
        <v>0.0</v>
      </c>
      <c r="E4758" s="84">
        <v>0.0</v>
      </c>
      <c r="F4758" s="76" t="s">
        <v>990</v>
      </c>
      <c r="G4758" s="83">
        <v>46114.0</v>
      </c>
      <c r="H4758" s="76" t="s">
        <v>954</v>
      </c>
    </row>
    <row r="4759">
      <c r="A4759" s="76" t="s">
        <v>40</v>
      </c>
      <c r="B4759" s="76" t="s">
        <v>1028</v>
      </c>
      <c r="C4759" s="84">
        <v>0.27</v>
      </c>
      <c r="D4759" s="84">
        <v>0.0</v>
      </c>
      <c r="E4759" s="84">
        <v>0.0</v>
      </c>
      <c r="F4759" s="76" t="s">
        <v>990</v>
      </c>
      <c r="G4759" s="83">
        <v>46114.0</v>
      </c>
      <c r="H4759" s="76" t="s">
        <v>955</v>
      </c>
    </row>
    <row r="4760">
      <c r="A4760" s="76" t="s">
        <v>40</v>
      </c>
      <c r="B4760" s="76" t="s">
        <v>1028</v>
      </c>
      <c r="C4760" s="84">
        <v>3.14</v>
      </c>
      <c r="D4760" s="84">
        <v>0.0</v>
      </c>
      <c r="E4760" s="84">
        <v>0.0</v>
      </c>
      <c r="F4760" s="76" t="s">
        <v>990</v>
      </c>
      <c r="G4760" s="83">
        <v>46114.0</v>
      </c>
      <c r="H4760" s="76" t="s">
        <v>956</v>
      </c>
    </row>
    <row r="4761">
      <c r="A4761" s="76" t="s">
        <v>33</v>
      </c>
      <c r="B4761" s="76" t="s">
        <v>1028</v>
      </c>
      <c r="C4761" s="84">
        <v>7.83</v>
      </c>
      <c r="D4761" s="84">
        <v>0.0</v>
      </c>
      <c r="E4761" s="84">
        <v>0.0</v>
      </c>
      <c r="F4761" s="76" t="s">
        <v>990</v>
      </c>
      <c r="G4761" s="83">
        <v>46114.0</v>
      </c>
      <c r="H4761" s="76" t="s">
        <v>957</v>
      </c>
    </row>
    <row r="4762">
      <c r="A4762" s="76" t="s">
        <v>33</v>
      </c>
      <c r="B4762" s="76" t="s">
        <v>1028</v>
      </c>
      <c r="C4762" s="84">
        <v>1.66</v>
      </c>
      <c r="D4762" s="84">
        <v>0.0</v>
      </c>
      <c r="E4762" s="84">
        <v>0.0</v>
      </c>
      <c r="F4762" s="76" t="s">
        <v>990</v>
      </c>
      <c r="G4762" s="83">
        <v>46114.0</v>
      </c>
      <c r="H4762" s="76" t="s">
        <v>958</v>
      </c>
    </row>
    <row r="4763">
      <c r="A4763" s="76" t="s">
        <v>33</v>
      </c>
      <c r="B4763" s="76" t="s">
        <v>1028</v>
      </c>
      <c r="C4763" s="84">
        <v>2.06</v>
      </c>
      <c r="D4763" s="84">
        <v>0.0</v>
      </c>
      <c r="E4763" s="84">
        <v>0.0</v>
      </c>
      <c r="F4763" s="76" t="s">
        <v>990</v>
      </c>
      <c r="G4763" s="83">
        <v>46114.0</v>
      </c>
      <c r="H4763" s="76" t="s">
        <v>959</v>
      </c>
    </row>
    <row r="4764">
      <c r="A4764" s="76" t="s">
        <v>46</v>
      </c>
      <c r="B4764" s="76" t="s">
        <v>1028</v>
      </c>
      <c r="C4764" s="84">
        <v>2.47</v>
      </c>
      <c r="D4764" s="84">
        <v>0.0</v>
      </c>
      <c r="E4764" s="84">
        <v>0.0</v>
      </c>
      <c r="F4764" s="76" t="s">
        <v>990</v>
      </c>
      <c r="G4764" s="83">
        <v>46114.0</v>
      </c>
      <c r="H4764" s="76" t="s">
        <v>960</v>
      </c>
    </row>
    <row r="4765">
      <c r="A4765" s="76" t="s">
        <v>46</v>
      </c>
      <c r="B4765" s="76" t="s">
        <v>1028</v>
      </c>
      <c r="C4765" s="84">
        <v>1.33</v>
      </c>
      <c r="D4765" s="84">
        <v>0.0</v>
      </c>
      <c r="E4765" s="84">
        <v>0.0</v>
      </c>
      <c r="F4765" s="76" t="s">
        <v>990</v>
      </c>
      <c r="G4765" s="83">
        <v>46114.0</v>
      </c>
      <c r="H4765" s="76" t="s">
        <v>961</v>
      </c>
    </row>
    <row r="4766">
      <c r="A4766" s="76" t="s">
        <v>46</v>
      </c>
      <c r="B4766" s="76" t="s">
        <v>1028</v>
      </c>
      <c r="C4766" s="84">
        <v>0.75</v>
      </c>
      <c r="D4766" s="84">
        <v>0.0</v>
      </c>
      <c r="E4766" s="84">
        <v>0.0</v>
      </c>
      <c r="F4766" s="76" t="s">
        <v>990</v>
      </c>
      <c r="G4766" s="83">
        <v>46114.0</v>
      </c>
      <c r="H4766" s="76" t="s">
        <v>962</v>
      </c>
    </row>
    <row r="4767">
      <c r="A4767" s="76" t="s">
        <v>43</v>
      </c>
      <c r="B4767" s="76" t="s">
        <v>1028</v>
      </c>
      <c r="C4767" s="84">
        <v>0.59</v>
      </c>
      <c r="D4767" s="84">
        <v>0.0</v>
      </c>
      <c r="E4767" s="84">
        <v>0.0</v>
      </c>
      <c r="F4767" s="76" t="s">
        <v>990</v>
      </c>
      <c r="G4767" s="83">
        <v>46114.0</v>
      </c>
      <c r="H4767" s="76" t="s">
        <v>963</v>
      </c>
    </row>
    <row r="4768">
      <c r="A4768" s="76" t="s">
        <v>43</v>
      </c>
      <c r="B4768" s="76" t="s">
        <v>1028</v>
      </c>
      <c r="C4768" s="84">
        <v>0.68</v>
      </c>
      <c r="D4768" s="84">
        <v>0.0</v>
      </c>
      <c r="E4768" s="84">
        <v>0.0</v>
      </c>
      <c r="F4768" s="76" t="s">
        <v>990</v>
      </c>
      <c r="G4768" s="83">
        <v>46114.0</v>
      </c>
      <c r="H4768" s="76" t="s">
        <v>964</v>
      </c>
    </row>
    <row r="4769">
      <c r="A4769" s="76" t="s">
        <v>43</v>
      </c>
      <c r="B4769" s="76" t="s">
        <v>1028</v>
      </c>
      <c r="C4769" s="84">
        <v>1.82</v>
      </c>
      <c r="D4769" s="84">
        <v>1.0</v>
      </c>
      <c r="E4769" s="84">
        <v>1.82</v>
      </c>
      <c r="F4769" s="76" t="s">
        <v>990</v>
      </c>
      <c r="G4769" s="83">
        <v>46114.0</v>
      </c>
      <c r="H4769" s="76" t="s">
        <v>965</v>
      </c>
    </row>
    <row r="4770">
      <c r="A4770" s="76" t="s">
        <v>966</v>
      </c>
      <c r="B4770" s="76" t="s">
        <v>1028</v>
      </c>
      <c r="C4770" s="84">
        <v>1.36</v>
      </c>
      <c r="D4770" s="84">
        <v>0.0</v>
      </c>
      <c r="E4770" s="84">
        <v>0.0</v>
      </c>
      <c r="F4770" s="76" t="s">
        <v>990</v>
      </c>
      <c r="G4770" s="83">
        <v>46114.0</v>
      </c>
      <c r="H4770" s="76" t="s">
        <v>967</v>
      </c>
    </row>
    <row r="4771">
      <c r="A4771" s="76" t="s">
        <v>966</v>
      </c>
      <c r="B4771" s="76" t="s">
        <v>1028</v>
      </c>
      <c r="C4771" s="84">
        <v>0.46</v>
      </c>
      <c r="D4771" s="84">
        <v>0.0</v>
      </c>
      <c r="E4771" s="84">
        <v>0.0</v>
      </c>
      <c r="F4771" s="76" t="s">
        <v>990</v>
      </c>
      <c r="G4771" s="83">
        <v>46114.0</v>
      </c>
      <c r="H4771" s="76" t="s">
        <v>968</v>
      </c>
    </row>
    <row r="4772">
      <c r="A4772" s="76" t="s">
        <v>966</v>
      </c>
      <c r="B4772" s="76" t="s">
        <v>1028</v>
      </c>
      <c r="C4772" s="84">
        <v>0.62</v>
      </c>
      <c r="D4772" s="84">
        <v>0.0</v>
      </c>
      <c r="E4772" s="84">
        <v>0.0</v>
      </c>
      <c r="F4772" s="76" t="s">
        <v>990</v>
      </c>
      <c r="G4772" s="83">
        <v>46114.0</v>
      </c>
      <c r="H4772" s="76" t="s">
        <v>969</v>
      </c>
    </row>
    <row r="4773">
      <c r="A4773" s="76" t="s">
        <v>36</v>
      </c>
      <c r="B4773" s="76" t="s">
        <v>1028</v>
      </c>
      <c r="C4773" s="84">
        <v>0.83</v>
      </c>
      <c r="D4773" s="84">
        <v>0.0</v>
      </c>
      <c r="E4773" s="84">
        <v>0.0</v>
      </c>
      <c r="F4773" s="76" t="s">
        <v>990</v>
      </c>
      <c r="G4773" s="83">
        <v>46114.0</v>
      </c>
      <c r="H4773" s="76" t="s">
        <v>926</v>
      </c>
    </row>
    <row r="4774">
      <c r="A4774" s="76" t="s">
        <v>36</v>
      </c>
      <c r="B4774" s="76" t="s">
        <v>1028</v>
      </c>
      <c r="C4774" s="84">
        <v>0.93</v>
      </c>
      <c r="D4774" s="84">
        <v>0.0</v>
      </c>
      <c r="E4774" s="84">
        <v>0.0</v>
      </c>
      <c r="F4774" s="76" t="s">
        <v>990</v>
      </c>
      <c r="G4774" s="83">
        <v>46114.0</v>
      </c>
      <c r="H4774" s="76" t="s">
        <v>927</v>
      </c>
    </row>
    <row r="4775">
      <c r="A4775" s="76" t="s">
        <v>36</v>
      </c>
      <c r="B4775" s="76" t="s">
        <v>1028</v>
      </c>
      <c r="C4775" s="84">
        <v>0.52</v>
      </c>
      <c r="D4775" s="84">
        <v>0.0</v>
      </c>
      <c r="E4775" s="84">
        <v>0.0</v>
      </c>
      <c r="F4775" s="76" t="s">
        <v>990</v>
      </c>
      <c r="G4775" s="83">
        <v>46114.0</v>
      </c>
      <c r="H4775" s="76" t="s">
        <v>928</v>
      </c>
    </row>
    <row r="4776">
      <c r="A4776" s="76" t="s">
        <v>970</v>
      </c>
      <c r="B4776" s="76" t="s">
        <v>1028</v>
      </c>
      <c r="C4776" s="84">
        <v>5.22</v>
      </c>
      <c r="D4776" s="84">
        <v>0.0</v>
      </c>
      <c r="E4776" s="84">
        <v>0.0</v>
      </c>
      <c r="F4776" s="76" t="s">
        <v>990</v>
      </c>
      <c r="G4776" s="83">
        <v>46114.0</v>
      </c>
      <c r="H4776" s="76" t="s">
        <v>971</v>
      </c>
    </row>
    <row r="4777">
      <c r="A4777" s="76" t="s">
        <v>970</v>
      </c>
      <c r="B4777" s="76" t="s">
        <v>1028</v>
      </c>
      <c r="C4777" s="84">
        <v>1.47</v>
      </c>
      <c r="D4777" s="84">
        <v>0.0</v>
      </c>
      <c r="E4777" s="84">
        <v>0.0</v>
      </c>
      <c r="F4777" s="76" t="s">
        <v>990</v>
      </c>
      <c r="G4777" s="83">
        <v>46114.0</v>
      </c>
      <c r="H4777" s="76" t="s">
        <v>972</v>
      </c>
    </row>
    <row r="4778">
      <c r="A4778" s="76" t="s">
        <v>970</v>
      </c>
      <c r="B4778" s="76" t="s">
        <v>1028</v>
      </c>
      <c r="C4778" s="84">
        <v>8.56</v>
      </c>
      <c r="D4778" s="84">
        <v>0.0</v>
      </c>
      <c r="E4778" s="84">
        <v>0.0</v>
      </c>
      <c r="F4778" s="76" t="s">
        <v>990</v>
      </c>
      <c r="G4778" s="83">
        <v>46114.0</v>
      </c>
      <c r="H4778" s="76" t="s">
        <v>973</v>
      </c>
    </row>
    <row r="4779">
      <c r="A4779" s="76" t="s">
        <v>29</v>
      </c>
      <c r="B4779" s="76" t="s">
        <v>1028</v>
      </c>
      <c r="C4779" s="84">
        <v>5.36</v>
      </c>
      <c r="D4779" s="84">
        <v>0.0</v>
      </c>
      <c r="E4779" s="84">
        <v>0.0</v>
      </c>
      <c r="F4779" s="76" t="s">
        <v>990</v>
      </c>
      <c r="G4779" s="83">
        <v>46114.0</v>
      </c>
      <c r="H4779" s="76" t="s">
        <v>971</v>
      </c>
    </row>
    <row r="4780">
      <c r="A4780" s="76" t="s">
        <v>29</v>
      </c>
      <c r="B4780" s="76" t="s">
        <v>1028</v>
      </c>
      <c r="C4780" s="84">
        <v>1.59</v>
      </c>
      <c r="D4780" s="84">
        <v>0.0</v>
      </c>
      <c r="E4780" s="84">
        <v>0.0</v>
      </c>
      <c r="F4780" s="76" t="s">
        <v>990</v>
      </c>
      <c r="G4780" s="83">
        <v>46114.0</v>
      </c>
      <c r="H4780" s="76" t="s">
        <v>972</v>
      </c>
    </row>
    <row r="4781">
      <c r="A4781" s="76" t="s">
        <v>29</v>
      </c>
      <c r="B4781" s="76" t="s">
        <v>1028</v>
      </c>
      <c r="C4781" s="84">
        <v>8.94</v>
      </c>
      <c r="D4781" s="84">
        <v>0.0</v>
      </c>
      <c r="E4781" s="84">
        <v>0.0</v>
      </c>
      <c r="F4781" s="76" t="s">
        <v>990</v>
      </c>
      <c r="G4781" s="83">
        <v>46114.0</v>
      </c>
      <c r="H4781" s="76" t="s">
        <v>973</v>
      </c>
    </row>
    <row r="4782">
      <c r="A4782" s="76" t="s">
        <v>34</v>
      </c>
      <c r="B4782" s="76" t="s">
        <v>1028</v>
      </c>
      <c r="C4782" s="84">
        <v>1.09</v>
      </c>
      <c r="D4782" s="84">
        <v>0.0</v>
      </c>
      <c r="E4782" s="84">
        <v>0.0</v>
      </c>
      <c r="F4782" s="76" t="s">
        <v>993</v>
      </c>
      <c r="G4782" s="83">
        <v>46114.0</v>
      </c>
      <c r="H4782" s="76" t="s">
        <v>951</v>
      </c>
    </row>
    <row r="4783">
      <c r="A4783" s="76" t="s">
        <v>34</v>
      </c>
      <c r="B4783" s="76" t="s">
        <v>1028</v>
      </c>
      <c r="C4783" s="84">
        <v>1.15</v>
      </c>
      <c r="D4783" s="84">
        <v>0.0</v>
      </c>
      <c r="E4783" s="84">
        <v>0.0</v>
      </c>
      <c r="F4783" s="76" t="s">
        <v>993</v>
      </c>
      <c r="G4783" s="83">
        <v>46114.0</v>
      </c>
      <c r="H4783" s="76" t="s">
        <v>952</v>
      </c>
    </row>
    <row r="4784">
      <c r="A4784" s="76" t="s">
        <v>34</v>
      </c>
      <c r="B4784" s="76" t="s">
        <v>1028</v>
      </c>
      <c r="C4784" s="84">
        <v>1.92</v>
      </c>
      <c r="D4784" s="84">
        <v>0.0</v>
      </c>
      <c r="E4784" s="84">
        <v>0.0</v>
      </c>
      <c r="F4784" s="76" t="s">
        <v>993</v>
      </c>
      <c r="G4784" s="83">
        <v>46114.0</v>
      </c>
      <c r="H4784" s="76" t="s">
        <v>953</v>
      </c>
    </row>
    <row r="4785">
      <c r="A4785" s="76" t="s">
        <v>40</v>
      </c>
      <c r="B4785" s="76" t="s">
        <v>1028</v>
      </c>
      <c r="C4785" s="84">
        <v>0.65</v>
      </c>
      <c r="D4785" s="84">
        <v>0.0</v>
      </c>
      <c r="E4785" s="84">
        <v>0.0</v>
      </c>
      <c r="F4785" s="76" t="s">
        <v>993</v>
      </c>
      <c r="G4785" s="83">
        <v>46114.0</v>
      </c>
      <c r="H4785" s="76" t="s">
        <v>954</v>
      </c>
    </row>
    <row r="4786">
      <c r="A4786" s="76" t="s">
        <v>40</v>
      </c>
      <c r="B4786" s="76" t="s">
        <v>1028</v>
      </c>
      <c r="C4786" s="84">
        <v>0.23</v>
      </c>
      <c r="D4786" s="84">
        <v>0.0</v>
      </c>
      <c r="E4786" s="84">
        <v>0.0</v>
      </c>
      <c r="F4786" s="76" t="s">
        <v>993</v>
      </c>
      <c r="G4786" s="83">
        <v>46114.0</v>
      </c>
      <c r="H4786" s="76" t="s">
        <v>955</v>
      </c>
    </row>
    <row r="4787">
      <c r="A4787" s="76" t="s">
        <v>40</v>
      </c>
      <c r="B4787" s="76" t="s">
        <v>1028</v>
      </c>
      <c r="C4787" s="84">
        <v>2.37</v>
      </c>
      <c r="D4787" s="84">
        <v>0.0</v>
      </c>
      <c r="E4787" s="84">
        <v>0.0</v>
      </c>
      <c r="F4787" s="76" t="s">
        <v>993</v>
      </c>
      <c r="G4787" s="83">
        <v>46114.0</v>
      </c>
      <c r="H4787" s="76" t="s">
        <v>956</v>
      </c>
    </row>
    <row r="4788">
      <c r="A4788" s="76" t="s">
        <v>33</v>
      </c>
      <c r="B4788" s="76" t="s">
        <v>1028</v>
      </c>
      <c r="C4788" s="84">
        <v>6.59</v>
      </c>
      <c r="D4788" s="84">
        <v>0.0</v>
      </c>
      <c r="E4788" s="84">
        <v>0.0</v>
      </c>
      <c r="F4788" s="76" t="s">
        <v>993</v>
      </c>
      <c r="G4788" s="83">
        <v>46114.0</v>
      </c>
      <c r="H4788" s="76" t="s">
        <v>957</v>
      </c>
    </row>
    <row r="4789">
      <c r="A4789" s="76" t="s">
        <v>33</v>
      </c>
      <c r="B4789" s="76" t="s">
        <v>1028</v>
      </c>
      <c r="C4789" s="84">
        <v>0.95</v>
      </c>
      <c r="D4789" s="84">
        <v>0.0</v>
      </c>
      <c r="E4789" s="84">
        <v>0.0</v>
      </c>
      <c r="F4789" s="76" t="s">
        <v>993</v>
      </c>
      <c r="G4789" s="83">
        <v>46114.0</v>
      </c>
      <c r="H4789" s="76" t="s">
        <v>958</v>
      </c>
    </row>
    <row r="4790">
      <c r="A4790" s="76" t="s">
        <v>33</v>
      </c>
      <c r="B4790" s="76" t="s">
        <v>1028</v>
      </c>
      <c r="C4790" s="84">
        <v>1.54</v>
      </c>
      <c r="D4790" s="84">
        <v>0.0</v>
      </c>
      <c r="E4790" s="84">
        <v>0.0</v>
      </c>
      <c r="F4790" s="76" t="s">
        <v>993</v>
      </c>
      <c r="G4790" s="83">
        <v>46114.0</v>
      </c>
      <c r="H4790" s="76" t="s">
        <v>959</v>
      </c>
    </row>
    <row r="4791">
      <c r="A4791" s="76" t="s">
        <v>46</v>
      </c>
      <c r="B4791" s="76" t="s">
        <v>1028</v>
      </c>
      <c r="C4791" s="84">
        <v>2.2</v>
      </c>
      <c r="D4791" s="84">
        <v>0.0</v>
      </c>
      <c r="E4791" s="84">
        <v>0.0</v>
      </c>
      <c r="F4791" s="76" t="s">
        <v>993</v>
      </c>
      <c r="G4791" s="83">
        <v>46114.0</v>
      </c>
      <c r="H4791" s="76" t="s">
        <v>960</v>
      </c>
    </row>
    <row r="4792">
      <c r="A4792" s="76" t="s">
        <v>46</v>
      </c>
      <c r="B4792" s="76" t="s">
        <v>1028</v>
      </c>
      <c r="C4792" s="84">
        <v>0.98</v>
      </c>
      <c r="D4792" s="84">
        <v>0.0</v>
      </c>
      <c r="E4792" s="84">
        <v>0.0</v>
      </c>
      <c r="F4792" s="76" t="s">
        <v>993</v>
      </c>
      <c r="G4792" s="83">
        <v>46114.0</v>
      </c>
      <c r="H4792" s="76" t="s">
        <v>961</v>
      </c>
    </row>
    <row r="4793">
      <c r="A4793" s="76" t="s">
        <v>46</v>
      </c>
      <c r="B4793" s="76" t="s">
        <v>1028</v>
      </c>
      <c r="C4793" s="84">
        <v>0.58</v>
      </c>
      <c r="D4793" s="84">
        <v>0.0</v>
      </c>
      <c r="E4793" s="84">
        <v>0.0</v>
      </c>
      <c r="F4793" s="76" t="s">
        <v>993</v>
      </c>
      <c r="G4793" s="83">
        <v>46114.0</v>
      </c>
      <c r="H4793" s="76" t="s">
        <v>962</v>
      </c>
    </row>
    <row r="4794">
      <c r="A4794" s="76" t="s">
        <v>43</v>
      </c>
      <c r="B4794" s="76" t="s">
        <v>1028</v>
      </c>
      <c r="C4794" s="84">
        <v>0.48</v>
      </c>
      <c r="D4794" s="84">
        <v>0.0</v>
      </c>
      <c r="E4794" s="84">
        <v>0.0</v>
      </c>
      <c r="F4794" s="76" t="s">
        <v>993</v>
      </c>
      <c r="G4794" s="83">
        <v>46114.0</v>
      </c>
      <c r="H4794" s="76" t="s">
        <v>963</v>
      </c>
    </row>
    <row r="4795">
      <c r="A4795" s="76" t="s">
        <v>43</v>
      </c>
      <c r="B4795" s="76" t="s">
        <v>1028</v>
      </c>
      <c r="C4795" s="84">
        <v>0.5</v>
      </c>
      <c r="D4795" s="84">
        <v>0.0</v>
      </c>
      <c r="E4795" s="84">
        <v>0.0</v>
      </c>
      <c r="F4795" s="76" t="s">
        <v>993</v>
      </c>
      <c r="G4795" s="83">
        <v>46114.0</v>
      </c>
      <c r="H4795" s="76" t="s">
        <v>964</v>
      </c>
    </row>
    <row r="4796">
      <c r="A4796" s="76" t="s">
        <v>43</v>
      </c>
      <c r="B4796" s="76" t="s">
        <v>1028</v>
      </c>
      <c r="C4796" s="84">
        <v>1.55</v>
      </c>
      <c r="D4796" s="84">
        <v>0.0</v>
      </c>
      <c r="E4796" s="84">
        <v>0.0</v>
      </c>
      <c r="F4796" s="76" t="s">
        <v>993</v>
      </c>
      <c r="G4796" s="83">
        <v>46114.0</v>
      </c>
      <c r="H4796" s="76" t="s">
        <v>965</v>
      </c>
    </row>
    <row r="4797">
      <c r="A4797" s="76" t="s">
        <v>966</v>
      </c>
      <c r="B4797" s="76" t="s">
        <v>1028</v>
      </c>
      <c r="C4797" s="84">
        <v>1.01</v>
      </c>
      <c r="D4797" s="84">
        <v>0.0</v>
      </c>
      <c r="E4797" s="84">
        <v>0.0</v>
      </c>
      <c r="F4797" s="76" t="s">
        <v>993</v>
      </c>
      <c r="G4797" s="83">
        <v>46114.0</v>
      </c>
      <c r="H4797" s="76" t="s">
        <v>967</v>
      </c>
    </row>
    <row r="4798">
      <c r="A4798" s="76" t="s">
        <v>966</v>
      </c>
      <c r="B4798" s="76" t="s">
        <v>1028</v>
      </c>
      <c r="C4798" s="84">
        <v>0.51</v>
      </c>
      <c r="D4798" s="84">
        <v>0.0</v>
      </c>
      <c r="E4798" s="84">
        <v>0.0</v>
      </c>
      <c r="F4798" s="76" t="s">
        <v>993</v>
      </c>
      <c r="G4798" s="83">
        <v>46114.0</v>
      </c>
      <c r="H4798" s="76" t="s">
        <v>968</v>
      </c>
    </row>
    <row r="4799">
      <c r="A4799" s="76" t="s">
        <v>966</v>
      </c>
      <c r="B4799" s="76" t="s">
        <v>1028</v>
      </c>
      <c r="C4799" s="84">
        <v>0.53</v>
      </c>
      <c r="D4799" s="84">
        <v>0.0</v>
      </c>
      <c r="E4799" s="84">
        <v>0.0</v>
      </c>
      <c r="F4799" s="76" t="s">
        <v>993</v>
      </c>
      <c r="G4799" s="83">
        <v>46114.0</v>
      </c>
      <c r="H4799" s="76" t="s">
        <v>969</v>
      </c>
    </row>
    <row r="4800">
      <c r="A4800" s="76" t="s">
        <v>36</v>
      </c>
      <c r="B4800" s="76" t="s">
        <v>1028</v>
      </c>
      <c r="C4800" s="84">
        <v>0.75</v>
      </c>
      <c r="D4800" s="84">
        <v>0.0</v>
      </c>
      <c r="E4800" s="84">
        <v>0.0</v>
      </c>
      <c r="F4800" s="76" t="s">
        <v>993</v>
      </c>
      <c r="G4800" s="83">
        <v>46114.0</v>
      </c>
      <c r="H4800" s="76" t="s">
        <v>926</v>
      </c>
    </row>
    <row r="4801">
      <c r="A4801" s="76" t="s">
        <v>36</v>
      </c>
      <c r="B4801" s="76" t="s">
        <v>1028</v>
      </c>
      <c r="C4801" s="84">
        <v>0.82</v>
      </c>
      <c r="D4801" s="84">
        <v>0.0</v>
      </c>
      <c r="E4801" s="84">
        <v>0.0</v>
      </c>
      <c r="F4801" s="76" t="s">
        <v>993</v>
      </c>
      <c r="G4801" s="83">
        <v>46114.0</v>
      </c>
      <c r="H4801" s="76" t="s">
        <v>927</v>
      </c>
    </row>
    <row r="4802">
      <c r="A4802" s="76" t="s">
        <v>36</v>
      </c>
      <c r="B4802" s="76" t="s">
        <v>1028</v>
      </c>
      <c r="C4802" s="84">
        <v>0.51</v>
      </c>
      <c r="D4802" s="84">
        <v>0.0</v>
      </c>
      <c r="E4802" s="84">
        <v>0.0</v>
      </c>
      <c r="F4802" s="76" t="s">
        <v>993</v>
      </c>
      <c r="G4802" s="83">
        <v>46114.0</v>
      </c>
      <c r="H4802" s="76" t="s">
        <v>928</v>
      </c>
    </row>
    <row r="4803">
      <c r="A4803" s="76" t="s">
        <v>970</v>
      </c>
      <c r="B4803" s="76" t="s">
        <v>1028</v>
      </c>
      <c r="C4803" s="84">
        <v>3.54</v>
      </c>
      <c r="D4803" s="84">
        <v>0.0</v>
      </c>
      <c r="E4803" s="84">
        <v>0.0</v>
      </c>
      <c r="F4803" s="76" t="s">
        <v>993</v>
      </c>
      <c r="G4803" s="83">
        <v>46114.0</v>
      </c>
      <c r="H4803" s="76" t="s">
        <v>971</v>
      </c>
    </row>
    <row r="4804">
      <c r="A4804" s="76" t="s">
        <v>970</v>
      </c>
      <c r="B4804" s="76" t="s">
        <v>1028</v>
      </c>
      <c r="C4804" s="84">
        <v>0.87</v>
      </c>
      <c r="D4804" s="84">
        <v>0.0</v>
      </c>
      <c r="E4804" s="84">
        <v>0.0</v>
      </c>
      <c r="F4804" s="76" t="s">
        <v>993</v>
      </c>
      <c r="G4804" s="83">
        <v>46114.0</v>
      </c>
      <c r="H4804" s="76" t="s">
        <v>972</v>
      </c>
    </row>
    <row r="4805">
      <c r="A4805" s="76" t="s">
        <v>970</v>
      </c>
      <c r="B4805" s="76" t="s">
        <v>1028</v>
      </c>
      <c r="C4805" s="84">
        <v>7.21</v>
      </c>
      <c r="D4805" s="84">
        <v>0.0</v>
      </c>
      <c r="E4805" s="84">
        <v>0.0</v>
      </c>
      <c r="F4805" s="76" t="s">
        <v>993</v>
      </c>
      <c r="G4805" s="83">
        <v>46114.0</v>
      </c>
      <c r="H4805" s="76" t="s">
        <v>973</v>
      </c>
    </row>
    <row r="4806">
      <c r="A4806" s="76" t="s">
        <v>29</v>
      </c>
      <c r="B4806" s="76" t="s">
        <v>1028</v>
      </c>
      <c r="C4806" s="84">
        <v>3.72</v>
      </c>
      <c r="D4806" s="84">
        <v>0.0</v>
      </c>
      <c r="E4806" s="84">
        <v>0.0</v>
      </c>
      <c r="F4806" s="76" t="s">
        <v>993</v>
      </c>
      <c r="G4806" s="83">
        <v>46114.0</v>
      </c>
      <c r="H4806" s="76" t="s">
        <v>971</v>
      </c>
    </row>
    <row r="4807">
      <c r="A4807" s="76" t="s">
        <v>29</v>
      </c>
      <c r="B4807" s="76" t="s">
        <v>1028</v>
      </c>
      <c r="C4807" s="84">
        <v>0.82</v>
      </c>
      <c r="D4807" s="84">
        <v>0.0</v>
      </c>
      <c r="E4807" s="84">
        <v>0.0</v>
      </c>
      <c r="F4807" s="76" t="s">
        <v>993</v>
      </c>
      <c r="G4807" s="83">
        <v>46114.0</v>
      </c>
      <c r="H4807" s="76" t="s">
        <v>972</v>
      </c>
    </row>
    <row r="4808">
      <c r="A4808" s="76" t="s">
        <v>29</v>
      </c>
      <c r="B4808" s="76" t="s">
        <v>1028</v>
      </c>
      <c r="C4808" s="84">
        <v>6.21</v>
      </c>
      <c r="D4808" s="84">
        <v>0.0</v>
      </c>
      <c r="E4808" s="84">
        <v>0.0</v>
      </c>
      <c r="F4808" s="76" t="s">
        <v>993</v>
      </c>
      <c r="G4808" s="83">
        <v>46114.0</v>
      </c>
      <c r="H4808" s="76" t="s">
        <v>973</v>
      </c>
    </row>
    <row r="4809">
      <c r="A4809" s="76" t="s">
        <v>34</v>
      </c>
      <c r="B4809" s="76" t="s">
        <v>1028</v>
      </c>
      <c r="C4809" s="84">
        <v>1.7</v>
      </c>
      <c r="D4809" s="84">
        <v>0.0</v>
      </c>
      <c r="E4809" s="84">
        <v>0.0</v>
      </c>
      <c r="F4809" s="76" t="s">
        <v>994</v>
      </c>
      <c r="G4809" s="83">
        <v>46114.0</v>
      </c>
      <c r="H4809" s="76" t="s">
        <v>951</v>
      </c>
    </row>
    <row r="4810">
      <c r="A4810" s="76" t="s">
        <v>34</v>
      </c>
      <c r="B4810" s="76" t="s">
        <v>1028</v>
      </c>
      <c r="C4810" s="84">
        <v>1.45</v>
      </c>
      <c r="D4810" s="84">
        <v>0.0</v>
      </c>
      <c r="E4810" s="84">
        <v>0.0</v>
      </c>
      <c r="F4810" s="76" t="s">
        <v>994</v>
      </c>
      <c r="G4810" s="83">
        <v>46114.0</v>
      </c>
      <c r="H4810" s="76" t="s">
        <v>952</v>
      </c>
    </row>
    <row r="4811">
      <c r="A4811" s="76" t="s">
        <v>34</v>
      </c>
      <c r="B4811" s="76" t="s">
        <v>1028</v>
      </c>
      <c r="C4811" s="84">
        <v>2.63</v>
      </c>
      <c r="D4811" s="84">
        <v>0.0</v>
      </c>
      <c r="E4811" s="84">
        <v>0.0</v>
      </c>
      <c r="F4811" s="76" t="s">
        <v>994</v>
      </c>
      <c r="G4811" s="83">
        <v>46114.0</v>
      </c>
      <c r="H4811" s="76" t="s">
        <v>953</v>
      </c>
    </row>
    <row r="4812">
      <c r="A4812" s="76" t="s">
        <v>40</v>
      </c>
      <c r="B4812" s="76" t="s">
        <v>1028</v>
      </c>
      <c r="C4812" s="84">
        <v>0.87</v>
      </c>
      <c r="D4812" s="84">
        <v>0.0</v>
      </c>
      <c r="E4812" s="84">
        <v>0.0</v>
      </c>
      <c r="F4812" s="76" t="s">
        <v>994</v>
      </c>
      <c r="G4812" s="83">
        <v>46114.0</v>
      </c>
      <c r="H4812" s="76" t="s">
        <v>954</v>
      </c>
    </row>
    <row r="4813">
      <c r="A4813" s="76" t="s">
        <v>40</v>
      </c>
      <c r="B4813" s="76" t="s">
        <v>1028</v>
      </c>
      <c r="C4813" s="84">
        <v>0.44</v>
      </c>
      <c r="D4813" s="84">
        <v>0.0</v>
      </c>
      <c r="E4813" s="84">
        <v>0.0</v>
      </c>
      <c r="F4813" s="76" t="s">
        <v>994</v>
      </c>
      <c r="G4813" s="83">
        <v>46114.0</v>
      </c>
      <c r="H4813" s="76" t="s">
        <v>955</v>
      </c>
    </row>
    <row r="4814">
      <c r="A4814" s="76" t="s">
        <v>40</v>
      </c>
      <c r="B4814" s="76" t="s">
        <v>1028</v>
      </c>
      <c r="C4814" s="84">
        <v>3.67</v>
      </c>
      <c r="D4814" s="84">
        <v>0.0</v>
      </c>
      <c r="E4814" s="84">
        <v>0.0</v>
      </c>
      <c r="F4814" s="76" t="s">
        <v>994</v>
      </c>
      <c r="G4814" s="83">
        <v>46114.0</v>
      </c>
      <c r="H4814" s="76" t="s">
        <v>956</v>
      </c>
    </row>
    <row r="4815">
      <c r="A4815" s="76" t="s">
        <v>33</v>
      </c>
      <c r="B4815" s="76" t="s">
        <v>1028</v>
      </c>
      <c r="C4815" s="84">
        <v>8.19</v>
      </c>
      <c r="D4815" s="84">
        <v>0.0</v>
      </c>
      <c r="E4815" s="84">
        <v>0.0</v>
      </c>
      <c r="F4815" s="76" t="s">
        <v>994</v>
      </c>
      <c r="G4815" s="83">
        <v>46114.0</v>
      </c>
      <c r="H4815" s="76" t="s">
        <v>957</v>
      </c>
    </row>
    <row r="4816">
      <c r="A4816" s="76" t="s">
        <v>33</v>
      </c>
      <c r="B4816" s="76" t="s">
        <v>1028</v>
      </c>
      <c r="C4816" s="84">
        <v>1.42</v>
      </c>
      <c r="D4816" s="84">
        <v>0.0</v>
      </c>
      <c r="E4816" s="84">
        <v>0.0</v>
      </c>
      <c r="F4816" s="76" t="s">
        <v>994</v>
      </c>
      <c r="G4816" s="83">
        <v>46114.0</v>
      </c>
      <c r="H4816" s="76" t="s">
        <v>958</v>
      </c>
    </row>
    <row r="4817">
      <c r="A4817" s="76" t="s">
        <v>33</v>
      </c>
      <c r="B4817" s="76" t="s">
        <v>1028</v>
      </c>
      <c r="C4817" s="84">
        <v>1.73</v>
      </c>
      <c r="D4817" s="84">
        <v>0.0</v>
      </c>
      <c r="E4817" s="84">
        <v>0.0</v>
      </c>
      <c r="F4817" s="76" t="s">
        <v>994</v>
      </c>
      <c r="G4817" s="83">
        <v>46114.0</v>
      </c>
      <c r="H4817" s="76" t="s">
        <v>959</v>
      </c>
    </row>
    <row r="4818">
      <c r="A4818" s="76" t="s">
        <v>46</v>
      </c>
      <c r="B4818" s="76" t="s">
        <v>1028</v>
      </c>
      <c r="C4818" s="84">
        <v>2.48</v>
      </c>
      <c r="D4818" s="84">
        <v>0.0</v>
      </c>
      <c r="E4818" s="84">
        <v>0.0</v>
      </c>
      <c r="F4818" s="76" t="s">
        <v>994</v>
      </c>
      <c r="G4818" s="83">
        <v>46114.0</v>
      </c>
      <c r="H4818" s="76" t="s">
        <v>960</v>
      </c>
    </row>
    <row r="4819">
      <c r="A4819" s="76" t="s">
        <v>46</v>
      </c>
      <c r="B4819" s="76" t="s">
        <v>1028</v>
      </c>
      <c r="C4819" s="84">
        <v>1.5</v>
      </c>
      <c r="D4819" s="84">
        <v>0.0</v>
      </c>
      <c r="E4819" s="84">
        <v>0.0</v>
      </c>
      <c r="F4819" s="76" t="s">
        <v>994</v>
      </c>
      <c r="G4819" s="83">
        <v>46114.0</v>
      </c>
      <c r="H4819" s="76" t="s">
        <v>961</v>
      </c>
    </row>
    <row r="4820">
      <c r="A4820" s="76" t="s">
        <v>46</v>
      </c>
      <c r="B4820" s="76" t="s">
        <v>1028</v>
      </c>
      <c r="C4820" s="84">
        <v>0.67</v>
      </c>
      <c r="D4820" s="84">
        <v>0.0</v>
      </c>
      <c r="E4820" s="84">
        <v>0.0</v>
      </c>
      <c r="F4820" s="76" t="s">
        <v>994</v>
      </c>
      <c r="G4820" s="83">
        <v>46114.0</v>
      </c>
      <c r="H4820" s="76" t="s">
        <v>962</v>
      </c>
    </row>
    <row r="4821">
      <c r="A4821" s="76" t="s">
        <v>43</v>
      </c>
      <c r="B4821" s="76" t="s">
        <v>1028</v>
      </c>
      <c r="C4821" s="84">
        <v>0.61</v>
      </c>
      <c r="D4821" s="84">
        <v>0.0</v>
      </c>
      <c r="E4821" s="84">
        <v>0.0</v>
      </c>
      <c r="F4821" s="76" t="s">
        <v>994</v>
      </c>
      <c r="G4821" s="83">
        <v>46114.0</v>
      </c>
      <c r="H4821" s="76" t="s">
        <v>963</v>
      </c>
    </row>
    <row r="4822">
      <c r="A4822" s="76" t="s">
        <v>43</v>
      </c>
      <c r="B4822" s="76" t="s">
        <v>1028</v>
      </c>
      <c r="C4822" s="84">
        <v>0.55</v>
      </c>
      <c r="D4822" s="84">
        <v>0.0</v>
      </c>
      <c r="E4822" s="84">
        <v>0.0</v>
      </c>
      <c r="F4822" s="76" t="s">
        <v>994</v>
      </c>
      <c r="G4822" s="83">
        <v>46114.0</v>
      </c>
      <c r="H4822" s="76" t="s">
        <v>964</v>
      </c>
    </row>
    <row r="4823">
      <c r="A4823" s="76" t="s">
        <v>43</v>
      </c>
      <c r="B4823" s="76" t="s">
        <v>1028</v>
      </c>
      <c r="C4823" s="84">
        <v>2.08</v>
      </c>
      <c r="D4823" s="84">
        <v>0.0</v>
      </c>
      <c r="E4823" s="84">
        <v>0.0</v>
      </c>
      <c r="F4823" s="76" t="s">
        <v>994</v>
      </c>
      <c r="G4823" s="83">
        <v>46114.0</v>
      </c>
      <c r="H4823" s="76" t="s">
        <v>965</v>
      </c>
    </row>
    <row r="4824">
      <c r="A4824" s="76" t="s">
        <v>966</v>
      </c>
      <c r="B4824" s="76" t="s">
        <v>1028</v>
      </c>
      <c r="C4824" s="84">
        <v>1.6</v>
      </c>
      <c r="D4824" s="84">
        <v>0.0</v>
      </c>
      <c r="E4824" s="84">
        <v>0.0</v>
      </c>
      <c r="F4824" s="76" t="s">
        <v>994</v>
      </c>
      <c r="G4824" s="83">
        <v>46114.0</v>
      </c>
      <c r="H4824" s="76" t="s">
        <v>967</v>
      </c>
    </row>
    <row r="4825">
      <c r="A4825" s="76" t="s">
        <v>966</v>
      </c>
      <c r="B4825" s="76" t="s">
        <v>1028</v>
      </c>
      <c r="C4825" s="84">
        <v>0.66</v>
      </c>
      <c r="D4825" s="84">
        <v>0.0</v>
      </c>
      <c r="E4825" s="84">
        <v>0.0</v>
      </c>
      <c r="F4825" s="76" t="s">
        <v>994</v>
      </c>
      <c r="G4825" s="83">
        <v>46114.0</v>
      </c>
      <c r="H4825" s="76" t="s">
        <v>968</v>
      </c>
    </row>
    <row r="4826">
      <c r="A4826" s="76" t="s">
        <v>966</v>
      </c>
      <c r="B4826" s="76" t="s">
        <v>1028</v>
      </c>
      <c r="C4826" s="84">
        <v>0.55</v>
      </c>
      <c r="D4826" s="84">
        <v>0.0</v>
      </c>
      <c r="E4826" s="84">
        <v>0.0</v>
      </c>
      <c r="F4826" s="76" t="s">
        <v>994</v>
      </c>
      <c r="G4826" s="83">
        <v>46114.0</v>
      </c>
      <c r="H4826" s="76" t="s">
        <v>969</v>
      </c>
    </row>
    <row r="4827">
      <c r="A4827" s="76" t="s">
        <v>36</v>
      </c>
      <c r="B4827" s="76" t="s">
        <v>1028</v>
      </c>
      <c r="C4827" s="84">
        <v>1.04</v>
      </c>
      <c r="D4827" s="84">
        <v>0.0</v>
      </c>
      <c r="E4827" s="84">
        <v>0.0</v>
      </c>
      <c r="F4827" s="76" t="s">
        <v>994</v>
      </c>
      <c r="G4827" s="83">
        <v>46114.0</v>
      </c>
      <c r="H4827" s="76" t="s">
        <v>926</v>
      </c>
    </row>
    <row r="4828">
      <c r="A4828" s="76" t="s">
        <v>36</v>
      </c>
      <c r="B4828" s="76" t="s">
        <v>1028</v>
      </c>
      <c r="C4828" s="84">
        <v>1.05</v>
      </c>
      <c r="D4828" s="84">
        <v>0.0</v>
      </c>
      <c r="E4828" s="84">
        <v>0.0</v>
      </c>
      <c r="F4828" s="76" t="s">
        <v>994</v>
      </c>
      <c r="G4828" s="83">
        <v>46114.0</v>
      </c>
      <c r="H4828" s="76" t="s">
        <v>927</v>
      </c>
    </row>
    <row r="4829">
      <c r="A4829" s="76" t="s">
        <v>36</v>
      </c>
      <c r="B4829" s="76" t="s">
        <v>1028</v>
      </c>
      <c r="C4829" s="84">
        <v>0.61</v>
      </c>
      <c r="D4829" s="84">
        <v>0.0</v>
      </c>
      <c r="E4829" s="84">
        <v>0.0</v>
      </c>
      <c r="F4829" s="76" t="s">
        <v>994</v>
      </c>
      <c r="G4829" s="83">
        <v>46114.0</v>
      </c>
      <c r="H4829" s="76" t="s">
        <v>928</v>
      </c>
    </row>
    <row r="4830">
      <c r="A4830" s="76" t="s">
        <v>970</v>
      </c>
      <c r="B4830" s="76" t="s">
        <v>1028</v>
      </c>
      <c r="C4830" s="84">
        <v>4.63</v>
      </c>
      <c r="D4830" s="84">
        <v>0.0</v>
      </c>
      <c r="E4830" s="84">
        <v>0.0</v>
      </c>
      <c r="F4830" s="76" t="s">
        <v>994</v>
      </c>
      <c r="G4830" s="83">
        <v>46114.0</v>
      </c>
      <c r="H4830" s="76" t="s">
        <v>971</v>
      </c>
    </row>
    <row r="4831">
      <c r="A4831" s="76" t="s">
        <v>970</v>
      </c>
      <c r="B4831" s="76" t="s">
        <v>1028</v>
      </c>
      <c r="C4831" s="84">
        <v>1.38</v>
      </c>
      <c r="D4831" s="84">
        <v>0.0</v>
      </c>
      <c r="E4831" s="84">
        <v>0.0</v>
      </c>
      <c r="F4831" s="76" t="s">
        <v>994</v>
      </c>
      <c r="G4831" s="83">
        <v>46114.0</v>
      </c>
      <c r="H4831" s="76" t="s">
        <v>972</v>
      </c>
    </row>
    <row r="4832">
      <c r="A4832" s="76" t="s">
        <v>970</v>
      </c>
      <c r="B4832" s="76" t="s">
        <v>1028</v>
      </c>
      <c r="C4832" s="84">
        <v>8.88</v>
      </c>
      <c r="D4832" s="84">
        <v>0.0</v>
      </c>
      <c r="E4832" s="84">
        <v>0.0</v>
      </c>
      <c r="F4832" s="76" t="s">
        <v>994</v>
      </c>
      <c r="G4832" s="83">
        <v>46114.0</v>
      </c>
      <c r="H4832" s="76" t="s">
        <v>973</v>
      </c>
    </row>
    <row r="4833">
      <c r="A4833" s="76" t="s">
        <v>29</v>
      </c>
      <c r="B4833" s="76" t="s">
        <v>1028</v>
      </c>
      <c r="C4833" s="84">
        <v>11.69</v>
      </c>
      <c r="D4833" s="84">
        <v>0.0</v>
      </c>
      <c r="E4833" s="84">
        <v>0.0</v>
      </c>
      <c r="F4833" s="76" t="s">
        <v>994</v>
      </c>
      <c r="G4833" s="83">
        <v>46114.0</v>
      </c>
      <c r="H4833" s="76" t="s">
        <v>971</v>
      </c>
    </row>
    <row r="4834">
      <c r="A4834" s="76" t="s">
        <v>29</v>
      </c>
      <c r="B4834" s="76" t="s">
        <v>1028</v>
      </c>
      <c r="C4834" s="84">
        <v>3.78</v>
      </c>
      <c r="D4834" s="84">
        <v>0.0</v>
      </c>
      <c r="E4834" s="84">
        <v>0.0</v>
      </c>
      <c r="F4834" s="76" t="s">
        <v>994</v>
      </c>
      <c r="G4834" s="83">
        <v>46114.0</v>
      </c>
      <c r="H4834" s="76" t="s">
        <v>972</v>
      </c>
    </row>
    <row r="4835">
      <c r="A4835" s="76" t="s">
        <v>29</v>
      </c>
      <c r="B4835" s="76" t="s">
        <v>1028</v>
      </c>
      <c r="C4835" s="84">
        <v>22.46</v>
      </c>
      <c r="D4835" s="84">
        <v>0.0</v>
      </c>
      <c r="E4835" s="84">
        <v>0.0</v>
      </c>
      <c r="F4835" s="76" t="s">
        <v>994</v>
      </c>
      <c r="G4835" s="83">
        <v>46114.0</v>
      </c>
      <c r="H4835" s="76" t="s">
        <v>973</v>
      </c>
    </row>
    <row r="4836">
      <c r="A4836" s="76" t="s">
        <v>34</v>
      </c>
      <c r="B4836" s="76" t="s">
        <v>1028</v>
      </c>
      <c r="C4836" s="84">
        <v>2.21</v>
      </c>
      <c r="D4836" s="84">
        <v>0.0</v>
      </c>
      <c r="E4836" s="84">
        <v>0.0</v>
      </c>
      <c r="F4836" s="76" t="s">
        <v>1005</v>
      </c>
      <c r="G4836" s="83">
        <v>46114.0</v>
      </c>
      <c r="H4836" s="76" t="s">
        <v>951</v>
      </c>
    </row>
    <row r="4837">
      <c r="A4837" s="76" t="s">
        <v>34</v>
      </c>
      <c r="B4837" s="76" t="s">
        <v>1028</v>
      </c>
      <c r="C4837" s="84">
        <v>2.06</v>
      </c>
      <c r="D4837" s="84">
        <v>0.0</v>
      </c>
      <c r="E4837" s="84">
        <v>0.0</v>
      </c>
      <c r="F4837" s="76" t="s">
        <v>1005</v>
      </c>
      <c r="G4837" s="83">
        <v>46114.0</v>
      </c>
      <c r="H4837" s="76" t="s">
        <v>952</v>
      </c>
    </row>
    <row r="4838">
      <c r="A4838" s="76" t="s">
        <v>34</v>
      </c>
      <c r="B4838" s="76" t="s">
        <v>1028</v>
      </c>
      <c r="C4838" s="84">
        <v>2.99</v>
      </c>
      <c r="D4838" s="84">
        <v>0.0</v>
      </c>
      <c r="E4838" s="84">
        <v>0.0</v>
      </c>
      <c r="F4838" s="76" t="s">
        <v>1005</v>
      </c>
      <c r="G4838" s="83">
        <v>46114.0</v>
      </c>
      <c r="H4838" s="76" t="s">
        <v>953</v>
      </c>
    </row>
    <row r="4839">
      <c r="A4839" s="76" t="s">
        <v>40</v>
      </c>
      <c r="B4839" s="76" t="s">
        <v>1028</v>
      </c>
      <c r="C4839" s="84">
        <v>1.06</v>
      </c>
      <c r="D4839" s="84">
        <v>0.0</v>
      </c>
      <c r="E4839" s="84">
        <v>0.0</v>
      </c>
      <c r="F4839" s="76" t="s">
        <v>1005</v>
      </c>
      <c r="G4839" s="83">
        <v>46114.0</v>
      </c>
      <c r="H4839" s="76" t="s">
        <v>954</v>
      </c>
    </row>
    <row r="4840">
      <c r="A4840" s="76" t="s">
        <v>40</v>
      </c>
      <c r="B4840" s="76" t="s">
        <v>1028</v>
      </c>
      <c r="C4840" s="84">
        <v>0.43</v>
      </c>
      <c r="D4840" s="84">
        <v>0.0</v>
      </c>
      <c r="E4840" s="84">
        <v>0.0</v>
      </c>
      <c r="F4840" s="76" t="s">
        <v>1005</v>
      </c>
      <c r="G4840" s="83">
        <v>46114.0</v>
      </c>
      <c r="H4840" s="76" t="s">
        <v>955</v>
      </c>
    </row>
    <row r="4841">
      <c r="A4841" s="76" t="s">
        <v>40</v>
      </c>
      <c r="B4841" s="76" t="s">
        <v>1028</v>
      </c>
      <c r="C4841" s="84">
        <v>4.26</v>
      </c>
      <c r="D4841" s="84">
        <v>0.0</v>
      </c>
      <c r="E4841" s="84">
        <v>0.0</v>
      </c>
      <c r="F4841" s="76" t="s">
        <v>1005</v>
      </c>
      <c r="G4841" s="83">
        <v>46114.0</v>
      </c>
      <c r="H4841" s="76" t="s">
        <v>956</v>
      </c>
    </row>
    <row r="4842">
      <c r="A4842" s="76" t="s">
        <v>33</v>
      </c>
      <c r="B4842" s="76" t="s">
        <v>1028</v>
      </c>
      <c r="C4842" s="84">
        <v>9.1</v>
      </c>
      <c r="D4842" s="84">
        <v>0.0</v>
      </c>
      <c r="E4842" s="84">
        <v>0.0</v>
      </c>
      <c r="F4842" s="76" t="s">
        <v>1005</v>
      </c>
      <c r="G4842" s="83">
        <v>46114.0</v>
      </c>
      <c r="H4842" s="76" t="s">
        <v>957</v>
      </c>
    </row>
    <row r="4843">
      <c r="A4843" s="76" t="s">
        <v>33</v>
      </c>
      <c r="B4843" s="76" t="s">
        <v>1028</v>
      </c>
      <c r="C4843" s="84">
        <v>1.54</v>
      </c>
      <c r="D4843" s="84">
        <v>0.0</v>
      </c>
      <c r="E4843" s="84">
        <v>0.0</v>
      </c>
      <c r="F4843" s="76" t="s">
        <v>1005</v>
      </c>
      <c r="G4843" s="83">
        <v>46114.0</v>
      </c>
      <c r="H4843" s="76" t="s">
        <v>958</v>
      </c>
    </row>
    <row r="4844">
      <c r="A4844" s="76" t="s">
        <v>33</v>
      </c>
      <c r="B4844" s="76" t="s">
        <v>1028</v>
      </c>
      <c r="C4844" s="84">
        <v>2.59</v>
      </c>
      <c r="D4844" s="84">
        <v>0.0</v>
      </c>
      <c r="E4844" s="84">
        <v>0.0</v>
      </c>
      <c r="F4844" s="76" t="s">
        <v>1005</v>
      </c>
      <c r="G4844" s="83">
        <v>46114.0</v>
      </c>
      <c r="H4844" s="76" t="s">
        <v>959</v>
      </c>
    </row>
    <row r="4845">
      <c r="A4845" s="76" t="s">
        <v>46</v>
      </c>
      <c r="B4845" s="76" t="s">
        <v>1028</v>
      </c>
      <c r="C4845" s="84">
        <v>3.09</v>
      </c>
      <c r="D4845" s="84">
        <v>0.0</v>
      </c>
      <c r="E4845" s="84">
        <v>0.0</v>
      </c>
      <c r="F4845" s="76" t="s">
        <v>1005</v>
      </c>
      <c r="G4845" s="83">
        <v>46114.0</v>
      </c>
      <c r="H4845" s="76" t="s">
        <v>960</v>
      </c>
    </row>
    <row r="4846">
      <c r="A4846" s="76" t="s">
        <v>46</v>
      </c>
      <c r="B4846" s="76" t="s">
        <v>1028</v>
      </c>
      <c r="C4846" s="84">
        <v>1.82</v>
      </c>
      <c r="D4846" s="84">
        <v>0.0</v>
      </c>
      <c r="E4846" s="84">
        <v>0.0</v>
      </c>
      <c r="F4846" s="76" t="s">
        <v>1005</v>
      </c>
      <c r="G4846" s="83">
        <v>46114.0</v>
      </c>
      <c r="H4846" s="76" t="s">
        <v>961</v>
      </c>
    </row>
    <row r="4847">
      <c r="A4847" s="76" t="s">
        <v>46</v>
      </c>
      <c r="B4847" s="76" t="s">
        <v>1028</v>
      </c>
      <c r="C4847" s="84">
        <v>1.08</v>
      </c>
      <c r="D4847" s="84">
        <v>0.0</v>
      </c>
      <c r="E4847" s="84">
        <v>0.0</v>
      </c>
      <c r="F4847" s="76" t="s">
        <v>1005</v>
      </c>
      <c r="G4847" s="83">
        <v>46114.0</v>
      </c>
      <c r="H4847" s="76" t="s">
        <v>962</v>
      </c>
    </row>
    <row r="4848">
      <c r="A4848" s="76" t="s">
        <v>43</v>
      </c>
      <c r="B4848" s="76" t="s">
        <v>1028</v>
      </c>
      <c r="C4848" s="84">
        <v>0.88</v>
      </c>
      <c r="D4848" s="84">
        <v>0.0</v>
      </c>
      <c r="E4848" s="84">
        <v>0.0</v>
      </c>
      <c r="F4848" s="76" t="s">
        <v>1005</v>
      </c>
      <c r="G4848" s="83">
        <v>46114.0</v>
      </c>
      <c r="H4848" s="76" t="s">
        <v>963</v>
      </c>
    </row>
    <row r="4849">
      <c r="A4849" s="76" t="s">
        <v>43</v>
      </c>
      <c r="B4849" s="76" t="s">
        <v>1028</v>
      </c>
      <c r="C4849" s="84">
        <v>0.82</v>
      </c>
      <c r="D4849" s="84">
        <v>0.0</v>
      </c>
      <c r="E4849" s="84">
        <v>0.0</v>
      </c>
      <c r="F4849" s="76" t="s">
        <v>1005</v>
      </c>
      <c r="G4849" s="83">
        <v>46114.0</v>
      </c>
      <c r="H4849" s="76" t="s">
        <v>964</v>
      </c>
    </row>
    <row r="4850">
      <c r="A4850" s="76" t="s">
        <v>43</v>
      </c>
      <c r="B4850" s="76" t="s">
        <v>1028</v>
      </c>
      <c r="C4850" s="84">
        <v>2.53</v>
      </c>
      <c r="D4850" s="84">
        <v>0.0</v>
      </c>
      <c r="E4850" s="84">
        <v>0.0</v>
      </c>
      <c r="F4850" s="76" t="s">
        <v>1005</v>
      </c>
      <c r="G4850" s="83">
        <v>46114.0</v>
      </c>
      <c r="H4850" s="76" t="s">
        <v>965</v>
      </c>
    </row>
    <row r="4851">
      <c r="A4851" s="76" t="s">
        <v>966</v>
      </c>
      <c r="B4851" s="76" t="s">
        <v>1028</v>
      </c>
      <c r="C4851" s="84">
        <v>2.12</v>
      </c>
      <c r="D4851" s="84">
        <v>0.0</v>
      </c>
      <c r="E4851" s="84">
        <v>0.0</v>
      </c>
      <c r="F4851" s="76" t="s">
        <v>1005</v>
      </c>
      <c r="G4851" s="83">
        <v>46114.0</v>
      </c>
      <c r="H4851" s="76" t="s">
        <v>967</v>
      </c>
    </row>
    <row r="4852">
      <c r="A4852" s="76" t="s">
        <v>966</v>
      </c>
      <c r="B4852" s="76" t="s">
        <v>1028</v>
      </c>
      <c r="C4852" s="84">
        <v>0.81</v>
      </c>
      <c r="D4852" s="84">
        <v>0.0</v>
      </c>
      <c r="E4852" s="84">
        <v>0.0</v>
      </c>
      <c r="F4852" s="76" t="s">
        <v>1005</v>
      </c>
      <c r="G4852" s="83">
        <v>46114.0</v>
      </c>
      <c r="H4852" s="76" t="s">
        <v>968</v>
      </c>
    </row>
    <row r="4853">
      <c r="A4853" s="76" t="s">
        <v>966</v>
      </c>
      <c r="B4853" s="76" t="s">
        <v>1028</v>
      </c>
      <c r="C4853" s="84">
        <v>0.96</v>
      </c>
      <c r="D4853" s="84">
        <v>0.0</v>
      </c>
      <c r="E4853" s="84">
        <v>0.0</v>
      </c>
      <c r="F4853" s="76" t="s">
        <v>1005</v>
      </c>
      <c r="G4853" s="83">
        <v>46114.0</v>
      </c>
      <c r="H4853" s="76" t="s">
        <v>969</v>
      </c>
    </row>
    <row r="4854">
      <c r="A4854" s="76" t="s">
        <v>36</v>
      </c>
      <c r="B4854" s="76" t="s">
        <v>1028</v>
      </c>
      <c r="C4854" s="84">
        <v>1.62</v>
      </c>
      <c r="D4854" s="84">
        <v>0.0</v>
      </c>
      <c r="E4854" s="84">
        <v>0.0</v>
      </c>
      <c r="F4854" s="76" t="s">
        <v>1005</v>
      </c>
      <c r="G4854" s="83">
        <v>46114.0</v>
      </c>
      <c r="H4854" s="76" t="s">
        <v>926</v>
      </c>
    </row>
    <row r="4855">
      <c r="A4855" s="76" t="s">
        <v>36</v>
      </c>
      <c r="B4855" s="76" t="s">
        <v>1028</v>
      </c>
      <c r="C4855" s="84">
        <v>1.62</v>
      </c>
      <c r="D4855" s="84">
        <v>0.0</v>
      </c>
      <c r="E4855" s="84">
        <v>0.0</v>
      </c>
      <c r="F4855" s="76" t="s">
        <v>1005</v>
      </c>
      <c r="G4855" s="83">
        <v>46114.0</v>
      </c>
      <c r="H4855" s="76" t="s">
        <v>927</v>
      </c>
    </row>
    <row r="4856">
      <c r="A4856" s="76" t="s">
        <v>36</v>
      </c>
      <c r="B4856" s="76" t="s">
        <v>1028</v>
      </c>
      <c r="C4856" s="84">
        <v>1.25</v>
      </c>
      <c r="D4856" s="84">
        <v>0.0</v>
      </c>
      <c r="E4856" s="84">
        <v>0.0</v>
      </c>
      <c r="F4856" s="76" t="s">
        <v>1005</v>
      </c>
      <c r="G4856" s="83">
        <v>46114.0</v>
      </c>
      <c r="H4856" s="76" t="s">
        <v>928</v>
      </c>
    </row>
    <row r="4857">
      <c r="A4857" s="76" t="s">
        <v>970</v>
      </c>
      <c r="B4857" s="76" t="s">
        <v>1028</v>
      </c>
      <c r="C4857" s="84">
        <v>5.87</v>
      </c>
      <c r="D4857" s="84">
        <v>0.0</v>
      </c>
      <c r="E4857" s="84">
        <v>0.0</v>
      </c>
      <c r="F4857" s="76" t="s">
        <v>1005</v>
      </c>
      <c r="G4857" s="83">
        <v>46114.0</v>
      </c>
      <c r="H4857" s="76" t="s">
        <v>971</v>
      </c>
    </row>
    <row r="4858">
      <c r="A4858" s="76" t="s">
        <v>970</v>
      </c>
      <c r="B4858" s="76" t="s">
        <v>1028</v>
      </c>
      <c r="C4858" s="84">
        <v>2.03</v>
      </c>
      <c r="D4858" s="84">
        <v>0.0</v>
      </c>
      <c r="E4858" s="84">
        <v>0.0</v>
      </c>
      <c r="F4858" s="76" t="s">
        <v>1005</v>
      </c>
      <c r="G4858" s="83">
        <v>46114.0</v>
      </c>
      <c r="H4858" s="76" t="s">
        <v>972</v>
      </c>
    </row>
    <row r="4859">
      <c r="A4859" s="76" t="s">
        <v>970</v>
      </c>
      <c r="B4859" s="76" t="s">
        <v>1028</v>
      </c>
      <c r="C4859" s="84">
        <v>10.89</v>
      </c>
      <c r="D4859" s="84">
        <v>0.0</v>
      </c>
      <c r="E4859" s="84">
        <v>0.0</v>
      </c>
      <c r="F4859" s="76" t="s">
        <v>1005</v>
      </c>
      <c r="G4859" s="83">
        <v>46114.0</v>
      </c>
      <c r="H4859" s="76" t="s">
        <v>973</v>
      </c>
    </row>
    <row r="4860">
      <c r="A4860" s="76" t="s">
        <v>29</v>
      </c>
      <c r="B4860" s="76" t="s">
        <v>1028</v>
      </c>
      <c r="C4860" s="84">
        <v>4.96</v>
      </c>
      <c r="D4860" s="84">
        <v>0.0</v>
      </c>
      <c r="E4860" s="84">
        <v>0.0</v>
      </c>
      <c r="F4860" s="76" t="s">
        <v>1005</v>
      </c>
      <c r="G4860" s="83">
        <v>46114.0</v>
      </c>
      <c r="H4860" s="76" t="s">
        <v>1015</v>
      </c>
    </row>
    <row r="4861">
      <c r="A4861" s="76" t="s">
        <v>29</v>
      </c>
      <c r="B4861" s="76" t="s">
        <v>1028</v>
      </c>
      <c r="C4861" s="84">
        <v>4.19</v>
      </c>
      <c r="D4861" s="84">
        <v>0.0</v>
      </c>
      <c r="E4861" s="84">
        <v>0.0</v>
      </c>
      <c r="F4861" s="76" t="s">
        <v>1005</v>
      </c>
      <c r="G4861" s="83">
        <v>46114.0</v>
      </c>
      <c r="H4861" s="76" t="s">
        <v>1016</v>
      </c>
    </row>
    <row r="4862">
      <c r="A4862" s="76" t="s">
        <v>29</v>
      </c>
      <c r="B4862" s="76" t="s">
        <v>1028</v>
      </c>
      <c r="C4862" s="84">
        <v>2.81</v>
      </c>
      <c r="D4862" s="84">
        <v>0.0</v>
      </c>
      <c r="E4862" s="84">
        <v>0.0</v>
      </c>
      <c r="F4862" s="76" t="s">
        <v>1005</v>
      </c>
      <c r="G4862" s="83">
        <v>46114.0</v>
      </c>
      <c r="H4862" s="76" t="s">
        <v>1017</v>
      </c>
    </row>
    <row r="4863">
      <c r="A4863" s="76" t="s">
        <v>34</v>
      </c>
      <c r="B4863" s="76" t="s">
        <v>1028</v>
      </c>
      <c r="C4863" s="84">
        <v>1.75</v>
      </c>
      <c r="D4863" s="84">
        <v>0.0</v>
      </c>
      <c r="E4863" s="84">
        <v>0.0</v>
      </c>
      <c r="F4863" s="76" t="s">
        <v>996</v>
      </c>
      <c r="G4863" s="83">
        <v>46114.0</v>
      </c>
      <c r="H4863" s="76" t="s">
        <v>951</v>
      </c>
    </row>
    <row r="4864">
      <c r="A4864" s="76" t="s">
        <v>34</v>
      </c>
      <c r="B4864" s="76" t="s">
        <v>1028</v>
      </c>
      <c r="C4864" s="84">
        <v>1.71</v>
      </c>
      <c r="D4864" s="84">
        <v>0.0</v>
      </c>
      <c r="E4864" s="84">
        <v>0.0</v>
      </c>
      <c r="F4864" s="76" t="s">
        <v>996</v>
      </c>
      <c r="G4864" s="83">
        <v>46114.0</v>
      </c>
      <c r="H4864" s="76" t="s">
        <v>952</v>
      </c>
    </row>
    <row r="4865">
      <c r="A4865" s="76" t="s">
        <v>34</v>
      </c>
      <c r="B4865" s="76" t="s">
        <v>1028</v>
      </c>
      <c r="C4865" s="84">
        <v>2.79</v>
      </c>
      <c r="D4865" s="84">
        <v>0.0</v>
      </c>
      <c r="E4865" s="84">
        <v>0.0</v>
      </c>
      <c r="F4865" s="76" t="s">
        <v>996</v>
      </c>
      <c r="G4865" s="83">
        <v>46114.0</v>
      </c>
      <c r="H4865" s="76" t="s">
        <v>953</v>
      </c>
    </row>
    <row r="4866">
      <c r="A4866" s="76" t="s">
        <v>40</v>
      </c>
      <c r="B4866" s="76" t="s">
        <v>1028</v>
      </c>
      <c r="C4866" s="84">
        <v>1.25</v>
      </c>
      <c r="D4866" s="84">
        <v>0.0</v>
      </c>
      <c r="E4866" s="84">
        <v>0.0</v>
      </c>
      <c r="F4866" s="76" t="s">
        <v>996</v>
      </c>
      <c r="G4866" s="83">
        <v>46114.0</v>
      </c>
      <c r="H4866" s="76" t="s">
        <v>954</v>
      </c>
    </row>
    <row r="4867">
      <c r="A4867" s="76" t="s">
        <v>40</v>
      </c>
      <c r="B4867" s="76" t="s">
        <v>1028</v>
      </c>
      <c r="C4867" s="84">
        <v>0.37</v>
      </c>
      <c r="D4867" s="84">
        <v>0.0</v>
      </c>
      <c r="E4867" s="84">
        <v>0.0</v>
      </c>
      <c r="F4867" s="76" t="s">
        <v>996</v>
      </c>
      <c r="G4867" s="83">
        <v>46114.0</v>
      </c>
      <c r="H4867" s="76" t="s">
        <v>955</v>
      </c>
    </row>
    <row r="4868">
      <c r="A4868" s="76" t="s">
        <v>40</v>
      </c>
      <c r="B4868" s="76" t="s">
        <v>1028</v>
      </c>
      <c r="C4868" s="84">
        <v>4.14</v>
      </c>
      <c r="D4868" s="84">
        <v>0.0</v>
      </c>
      <c r="E4868" s="84">
        <v>0.0</v>
      </c>
      <c r="F4868" s="76" t="s">
        <v>996</v>
      </c>
      <c r="G4868" s="83">
        <v>46114.0</v>
      </c>
      <c r="H4868" s="76" t="s">
        <v>956</v>
      </c>
    </row>
    <row r="4869">
      <c r="A4869" s="76" t="s">
        <v>33</v>
      </c>
      <c r="B4869" s="76" t="s">
        <v>1028</v>
      </c>
      <c r="C4869" s="84">
        <v>23.74</v>
      </c>
      <c r="D4869" s="84">
        <v>0.0</v>
      </c>
      <c r="E4869" s="84">
        <v>0.0</v>
      </c>
      <c r="F4869" s="76" t="s">
        <v>996</v>
      </c>
      <c r="G4869" s="83">
        <v>46114.0</v>
      </c>
      <c r="H4869" s="76" t="s">
        <v>957</v>
      </c>
    </row>
    <row r="4870">
      <c r="A4870" s="76" t="s">
        <v>33</v>
      </c>
      <c r="B4870" s="76" t="s">
        <v>1028</v>
      </c>
      <c r="C4870" s="84">
        <v>3.97</v>
      </c>
      <c r="D4870" s="84">
        <v>0.0</v>
      </c>
      <c r="E4870" s="84">
        <v>0.0</v>
      </c>
      <c r="F4870" s="76" t="s">
        <v>996</v>
      </c>
      <c r="G4870" s="83">
        <v>46114.0</v>
      </c>
      <c r="H4870" s="76" t="s">
        <v>958</v>
      </c>
    </row>
    <row r="4871">
      <c r="A4871" s="76" t="s">
        <v>33</v>
      </c>
      <c r="B4871" s="76" t="s">
        <v>1028</v>
      </c>
      <c r="C4871" s="84">
        <v>6.97</v>
      </c>
      <c r="D4871" s="84">
        <v>0.0</v>
      </c>
      <c r="E4871" s="84">
        <v>0.0</v>
      </c>
      <c r="F4871" s="76" t="s">
        <v>996</v>
      </c>
      <c r="G4871" s="83">
        <v>46114.0</v>
      </c>
      <c r="H4871" s="76" t="s">
        <v>959</v>
      </c>
    </row>
    <row r="4872">
      <c r="A4872" s="76" t="s">
        <v>46</v>
      </c>
      <c r="B4872" s="76" t="s">
        <v>1028</v>
      </c>
      <c r="C4872" s="84">
        <v>3.07</v>
      </c>
      <c r="D4872" s="84">
        <v>0.0</v>
      </c>
      <c r="E4872" s="84">
        <v>0.0</v>
      </c>
      <c r="F4872" s="76" t="s">
        <v>996</v>
      </c>
      <c r="G4872" s="83">
        <v>46114.0</v>
      </c>
      <c r="H4872" s="76" t="s">
        <v>960</v>
      </c>
    </row>
    <row r="4873">
      <c r="A4873" s="76" t="s">
        <v>46</v>
      </c>
      <c r="B4873" s="76" t="s">
        <v>1028</v>
      </c>
      <c r="C4873" s="84">
        <v>1.63</v>
      </c>
      <c r="D4873" s="84">
        <v>0.0</v>
      </c>
      <c r="E4873" s="84">
        <v>0.0</v>
      </c>
      <c r="F4873" s="76" t="s">
        <v>996</v>
      </c>
      <c r="G4873" s="83">
        <v>46114.0</v>
      </c>
      <c r="H4873" s="76" t="s">
        <v>961</v>
      </c>
    </row>
    <row r="4874">
      <c r="A4874" s="76" t="s">
        <v>46</v>
      </c>
      <c r="B4874" s="76" t="s">
        <v>1028</v>
      </c>
      <c r="C4874" s="84">
        <v>0.73</v>
      </c>
      <c r="D4874" s="84">
        <v>1.0</v>
      </c>
      <c r="E4874" s="84">
        <v>0.73</v>
      </c>
      <c r="F4874" s="76" t="s">
        <v>996</v>
      </c>
      <c r="G4874" s="83">
        <v>46114.0</v>
      </c>
      <c r="H4874" s="76" t="s">
        <v>962</v>
      </c>
    </row>
    <row r="4875">
      <c r="A4875" s="76" t="s">
        <v>43</v>
      </c>
      <c r="B4875" s="76" t="s">
        <v>1028</v>
      </c>
      <c r="C4875" s="84">
        <v>0.74</v>
      </c>
      <c r="D4875" s="84">
        <v>0.0</v>
      </c>
      <c r="E4875" s="84">
        <v>0.0</v>
      </c>
      <c r="F4875" s="76" t="s">
        <v>996</v>
      </c>
      <c r="G4875" s="83">
        <v>46114.0</v>
      </c>
      <c r="H4875" s="76" t="s">
        <v>963</v>
      </c>
    </row>
    <row r="4876">
      <c r="A4876" s="76" t="s">
        <v>43</v>
      </c>
      <c r="B4876" s="76" t="s">
        <v>1028</v>
      </c>
      <c r="C4876" s="84">
        <v>0.76</v>
      </c>
      <c r="D4876" s="84">
        <v>0.0</v>
      </c>
      <c r="E4876" s="84">
        <v>0.0</v>
      </c>
      <c r="F4876" s="76" t="s">
        <v>996</v>
      </c>
      <c r="G4876" s="83">
        <v>46114.0</v>
      </c>
      <c r="H4876" s="76" t="s">
        <v>964</v>
      </c>
    </row>
    <row r="4877">
      <c r="A4877" s="76" t="s">
        <v>43</v>
      </c>
      <c r="B4877" s="76" t="s">
        <v>1028</v>
      </c>
      <c r="C4877" s="84">
        <v>2.62</v>
      </c>
      <c r="D4877" s="84">
        <v>0.0</v>
      </c>
      <c r="E4877" s="84">
        <v>0.0</v>
      </c>
      <c r="F4877" s="76" t="s">
        <v>996</v>
      </c>
      <c r="G4877" s="83">
        <v>46114.0</v>
      </c>
      <c r="H4877" s="76" t="s">
        <v>965</v>
      </c>
    </row>
    <row r="4878">
      <c r="A4878" s="76" t="s">
        <v>966</v>
      </c>
      <c r="B4878" s="76" t="s">
        <v>1028</v>
      </c>
      <c r="C4878" s="84">
        <v>2.02</v>
      </c>
      <c r="D4878" s="84">
        <v>0.0</v>
      </c>
      <c r="E4878" s="84">
        <v>0.0</v>
      </c>
      <c r="F4878" s="76" t="s">
        <v>996</v>
      </c>
      <c r="G4878" s="83">
        <v>46114.0</v>
      </c>
      <c r="H4878" s="76" t="s">
        <v>967</v>
      </c>
    </row>
    <row r="4879">
      <c r="A4879" s="76" t="s">
        <v>966</v>
      </c>
      <c r="B4879" s="76" t="s">
        <v>1028</v>
      </c>
      <c r="C4879" s="84">
        <v>0.59</v>
      </c>
      <c r="D4879" s="84">
        <v>0.0</v>
      </c>
      <c r="E4879" s="84">
        <v>0.0</v>
      </c>
      <c r="F4879" s="76" t="s">
        <v>996</v>
      </c>
      <c r="G4879" s="83">
        <v>46114.0</v>
      </c>
      <c r="H4879" s="76" t="s">
        <v>968</v>
      </c>
    </row>
    <row r="4880">
      <c r="A4880" s="76" t="s">
        <v>966</v>
      </c>
      <c r="B4880" s="76" t="s">
        <v>1028</v>
      </c>
      <c r="C4880" s="84">
        <v>0.73</v>
      </c>
      <c r="D4880" s="84">
        <v>0.0</v>
      </c>
      <c r="E4880" s="84">
        <v>0.0</v>
      </c>
      <c r="F4880" s="76" t="s">
        <v>996</v>
      </c>
      <c r="G4880" s="83">
        <v>46114.0</v>
      </c>
      <c r="H4880" s="76" t="s">
        <v>969</v>
      </c>
    </row>
    <row r="4881">
      <c r="A4881" s="76" t="s">
        <v>36</v>
      </c>
      <c r="B4881" s="76" t="s">
        <v>1028</v>
      </c>
      <c r="C4881" s="84">
        <v>1.48</v>
      </c>
      <c r="D4881" s="84">
        <v>0.0</v>
      </c>
      <c r="E4881" s="84">
        <v>0.0</v>
      </c>
      <c r="F4881" s="76" t="s">
        <v>996</v>
      </c>
      <c r="G4881" s="83">
        <v>46114.0</v>
      </c>
      <c r="H4881" s="76" t="s">
        <v>926</v>
      </c>
    </row>
    <row r="4882">
      <c r="A4882" s="76" t="s">
        <v>36</v>
      </c>
      <c r="B4882" s="76" t="s">
        <v>1028</v>
      </c>
      <c r="C4882" s="84">
        <v>1.14</v>
      </c>
      <c r="D4882" s="84">
        <v>0.0</v>
      </c>
      <c r="E4882" s="84">
        <v>0.0</v>
      </c>
      <c r="F4882" s="76" t="s">
        <v>996</v>
      </c>
      <c r="G4882" s="83">
        <v>46114.0</v>
      </c>
      <c r="H4882" s="76" t="s">
        <v>927</v>
      </c>
    </row>
    <row r="4883">
      <c r="A4883" s="76" t="s">
        <v>36</v>
      </c>
      <c r="B4883" s="76" t="s">
        <v>1028</v>
      </c>
      <c r="C4883" s="84">
        <v>0.68</v>
      </c>
      <c r="D4883" s="84">
        <v>0.0</v>
      </c>
      <c r="E4883" s="84">
        <v>0.0</v>
      </c>
      <c r="F4883" s="76" t="s">
        <v>996</v>
      </c>
      <c r="G4883" s="83">
        <v>46114.0</v>
      </c>
      <c r="H4883" s="76" t="s">
        <v>928</v>
      </c>
    </row>
    <row r="4884">
      <c r="A4884" s="76" t="s">
        <v>970</v>
      </c>
      <c r="B4884" s="76" t="s">
        <v>1028</v>
      </c>
      <c r="C4884" s="84">
        <v>6.12</v>
      </c>
      <c r="D4884" s="84">
        <v>0.0</v>
      </c>
      <c r="E4884" s="84">
        <v>0.0</v>
      </c>
      <c r="F4884" s="76" t="s">
        <v>996</v>
      </c>
      <c r="G4884" s="83">
        <v>46114.0</v>
      </c>
      <c r="H4884" s="76" t="s">
        <v>971</v>
      </c>
    </row>
    <row r="4885">
      <c r="A4885" s="76" t="s">
        <v>970</v>
      </c>
      <c r="B4885" s="76" t="s">
        <v>1028</v>
      </c>
      <c r="C4885" s="84">
        <v>1.69</v>
      </c>
      <c r="D4885" s="84">
        <v>0.0</v>
      </c>
      <c r="E4885" s="84">
        <v>0.0</v>
      </c>
      <c r="F4885" s="76" t="s">
        <v>996</v>
      </c>
      <c r="G4885" s="83">
        <v>46114.0</v>
      </c>
      <c r="H4885" s="76" t="s">
        <v>972</v>
      </c>
    </row>
    <row r="4886">
      <c r="A4886" s="76" t="s">
        <v>970</v>
      </c>
      <c r="B4886" s="76" t="s">
        <v>1028</v>
      </c>
      <c r="C4886" s="84">
        <v>10.98</v>
      </c>
      <c r="D4886" s="84">
        <v>0.0</v>
      </c>
      <c r="E4886" s="84">
        <v>0.0</v>
      </c>
      <c r="F4886" s="76" t="s">
        <v>996</v>
      </c>
      <c r="G4886" s="83">
        <v>46114.0</v>
      </c>
      <c r="H4886" s="76" t="s">
        <v>973</v>
      </c>
    </row>
    <row r="4887">
      <c r="A4887" s="76" t="s">
        <v>29</v>
      </c>
      <c r="B4887" s="76" t="s">
        <v>1028</v>
      </c>
      <c r="C4887" s="84">
        <v>5.84</v>
      </c>
      <c r="D4887" s="84">
        <v>0.0</v>
      </c>
      <c r="E4887" s="84">
        <v>0.0</v>
      </c>
      <c r="F4887" s="76" t="s">
        <v>996</v>
      </c>
      <c r="G4887" s="83">
        <v>46114.0</v>
      </c>
      <c r="H4887" s="76" t="s">
        <v>971</v>
      </c>
    </row>
    <row r="4888">
      <c r="A4888" s="76" t="s">
        <v>29</v>
      </c>
      <c r="B4888" s="76" t="s">
        <v>1028</v>
      </c>
      <c r="C4888" s="84">
        <v>1.66</v>
      </c>
      <c r="D4888" s="84">
        <v>0.0</v>
      </c>
      <c r="E4888" s="84">
        <v>0.0</v>
      </c>
      <c r="F4888" s="76" t="s">
        <v>996</v>
      </c>
      <c r="G4888" s="83">
        <v>46114.0</v>
      </c>
      <c r="H4888" s="76" t="s">
        <v>972</v>
      </c>
    </row>
    <row r="4889">
      <c r="A4889" s="76" t="s">
        <v>29</v>
      </c>
      <c r="B4889" s="76" t="s">
        <v>1028</v>
      </c>
      <c r="C4889" s="84">
        <v>11.02</v>
      </c>
      <c r="D4889" s="84">
        <v>0.0</v>
      </c>
      <c r="E4889" s="84">
        <v>0.0</v>
      </c>
      <c r="F4889" s="76" t="s">
        <v>996</v>
      </c>
      <c r="G4889" s="83">
        <v>46114.0</v>
      </c>
      <c r="H4889" s="76" t="s">
        <v>973</v>
      </c>
    </row>
    <row r="4890">
      <c r="A4890" s="76" t="s">
        <v>34</v>
      </c>
      <c r="B4890" s="76" t="s">
        <v>1028</v>
      </c>
      <c r="C4890" s="84">
        <v>1.59</v>
      </c>
      <c r="D4890" s="84">
        <v>0.0</v>
      </c>
      <c r="E4890" s="84">
        <v>0.0</v>
      </c>
      <c r="F4890" s="76" t="s">
        <v>997</v>
      </c>
      <c r="G4890" s="83">
        <v>46114.0</v>
      </c>
      <c r="H4890" s="76" t="s">
        <v>951</v>
      </c>
    </row>
    <row r="4891">
      <c r="A4891" s="76" t="s">
        <v>34</v>
      </c>
      <c r="B4891" s="76" t="s">
        <v>1028</v>
      </c>
      <c r="C4891" s="84">
        <v>1.46</v>
      </c>
      <c r="D4891" s="84">
        <v>0.0</v>
      </c>
      <c r="E4891" s="84">
        <v>0.0</v>
      </c>
      <c r="F4891" s="76" t="s">
        <v>997</v>
      </c>
      <c r="G4891" s="83">
        <v>46114.0</v>
      </c>
      <c r="H4891" s="76" t="s">
        <v>952</v>
      </c>
    </row>
    <row r="4892">
      <c r="A4892" s="76" t="s">
        <v>34</v>
      </c>
      <c r="B4892" s="76" t="s">
        <v>1028</v>
      </c>
      <c r="C4892" s="84">
        <v>2.54</v>
      </c>
      <c r="D4892" s="84">
        <v>0.0</v>
      </c>
      <c r="E4892" s="84">
        <v>0.0</v>
      </c>
      <c r="F4892" s="76" t="s">
        <v>997</v>
      </c>
      <c r="G4892" s="83">
        <v>46114.0</v>
      </c>
      <c r="H4892" s="76" t="s">
        <v>953</v>
      </c>
    </row>
    <row r="4893">
      <c r="A4893" s="76" t="s">
        <v>40</v>
      </c>
      <c r="B4893" s="76" t="s">
        <v>1028</v>
      </c>
      <c r="C4893" s="84">
        <v>0.73</v>
      </c>
      <c r="D4893" s="84">
        <v>0.0</v>
      </c>
      <c r="E4893" s="84">
        <v>0.0</v>
      </c>
      <c r="F4893" s="76" t="s">
        <v>997</v>
      </c>
      <c r="G4893" s="83">
        <v>46114.0</v>
      </c>
      <c r="H4893" s="76" t="s">
        <v>954</v>
      </c>
    </row>
    <row r="4894">
      <c r="A4894" s="76" t="s">
        <v>40</v>
      </c>
      <c r="B4894" s="76" t="s">
        <v>1028</v>
      </c>
      <c r="C4894" s="84">
        <v>0.28</v>
      </c>
      <c r="D4894" s="84">
        <v>0.0</v>
      </c>
      <c r="E4894" s="84">
        <v>0.0</v>
      </c>
      <c r="F4894" s="76" t="s">
        <v>997</v>
      </c>
      <c r="G4894" s="83">
        <v>46114.0</v>
      </c>
      <c r="H4894" s="76" t="s">
        <v>955</v>
      </c>
    </row>
    <row r="4895">
      <c r="A4895" s="76" t="s">
        <v>40</v>
      </c>
      <c r="B4895" s="76" t="s">
        <v>1028</v>
      </c>
      <c r="C4895" s="84">
        <v>3.15</v>
      </c>
      <c r="D4895" s="84">
        <v>1.0</v>
      </c>
      <c r="E4895" s="84">
        <v>3.15</v>
      </c>
      <c r="F4895" s="76" t="s">
        <v>997</v>
      </c>
      <c r="G4895" s="83">
        <v>46114.0</v>
      </c>
      <c r="H4895" s="76" t="s">
        <v>956</v>
      </c>
    </row>
    <row r="4896">
      <c r="A4896" s="76" t="s">
        <v>33</v>
      </c>
      <c r="B4896" s="76" t="s">
        <v>1028</v>
      </c>
      <c r="C4896" s="84">
        <v>7.08</v>
      </c>
      <c r="D4896" s="84">
        <v>0.0</v>
      </c>
      <c r="E4896" s="84">
        <v>0.0</v>
      </c>
      <c r="F4896" s="76" t="s">
        <v>997</v>
      </c>
      <c r="G4896" s="83">
        <v>46114.0</v>
      </c>
      <c r="H4896" s="76" t="s">
        <v>957</v>
      </c>
    </row>
    <row r="4897">
      <c r="A4897" s="76" t="s">
        <v>33</v>
      </c>
      <c r="B4897" s="76" t="s">
        <v>1028</v>
      </c>
      <c r="C4897" s="84">
        <v>1.13</v>
      </c>
      <c r="D4897" s="84">
        <v>0.0</v>
      </c>
      <c r="E4897" s="84">
        <v>0.0</v>
      </c>
      <c r="F4897" s="76" t="s">
        <v>997</v>
      </c>
      <c r="G4897" s="83">
        <v>46114.0</v>
      </c>
      <c r="H4897" s="76" t="s">
        <v>958</v>
      </c>
    </row>
    <row r="4898">
      <c r="A4898" s="76" t="s">
        <v>33</v>
      </c>
      <c r="B4898" s="76" t="s">
        <v>1028</v>
      </c>
      <c r="C4898" s="84">
        <v>1.45</v>
      </c>
      <c r="D4898" s="84">
        <v>0.0</v>
      </c>
      <c r="E4898" s="84">
        <v>0.0</v>
      </c>
      <c r="F4898" s="76" t="s">
        <v>997</v>
      </c>
      <c r="G4898" s="83">
        <v>46114.0</v>
      </c>
      <c r="H4898" s="76" t="s">
        <v>959</v>
      </c>
    </row>
    <row r="4899">
      <c r="A4899" s="76" t="s">
        <v>46</v>
      </c>
      <c r="B4899" s="76" t="s">
        <v>1028</v>
      </c>
      <c r="C4899" s="84">
        <v>1.81</v>
      </c>
      <c r="D4899" s="84">
        <v>0.0</v>
      </c>
      <c r="E4899" s="84">
        <v>0.0</v>
      </c>
      <c r="F4899" s="76" t="s">
        <v>997</v>
      </c>
      <c r="G4899" s="83">
        <v>46114.0</v>
      </c>
      <c r="H4899" s="76" t="s">
        <v>960</v>
      </c>
    </row>
    <row r="4900">
      <c r="A4900" s="76" t="s">
        <v>46</v>
      </c>
      <c r="B4900" s="76" t="s">
        <v>1028</v>
      </c>
      <c r="C4900" s="84">
        <v>1.3</v>
      </c>
      <c r="D4900" s="84">
        <v>0.0</v>
      </c>
      <c r="E4900" s="84">
        <v>0.0</v>
      </c>
      <c r="F4900" s="76" t="s">
        <v>997</v>
      </c>
      <c r="G4900" s="83">
        <v>46114.0</v>
      </c>
      <c r="H4900" s="76" t="s">
        <v>961</v>
      </c>
    </row>
    <row r="4901">
      <c r="A4901" s="76" t="s">
        <v>46</v>
      </c>
      <c r="B4901" s="76" t="s">
        <v>1028</v>
      </c>
      <c r="C4901" s="84">
        <v>0.69</v>
      </c>
      <c r="D4901" s="84">
        <v>0.0</v>
      </c>
      <c r="E4901" s="84">
        <v>0.0</v>
      </c>
      <c r="F4901" s="76" t="s">
        <v>997</v>
      </c>
      <c r="G4901" s="83">
        <v>46114.0</v>
      </c>
      <c r="H4901" s="76" t="s">
        <v>962</v>
      </c>
    </row>
    <row r="4902">
      <c r="A4902" s="76" t="s">
        <v>43</v>
      </c>
      <c r="B4902" s="76" t="s">
        <v>1028</v>
      </c>
      <c r="C4902" s="84">
        <v>0.61</v>
      </c>
      <c r="D4902" s="84">
        <v>0.0</v>
      </c>
      <c r="E4902" s="84">
        <v>0.0</v>
      </c>
      <c r="F4902" s="76" t="s">
        <v>997</v>
      </c>
      <c r="G4902" s="83">
        <v>46114.0</v>
      </c>
      <c r="H4902" s="76" t="s">
        <v>963</v>
      </c>
    </row>
    <row r="4903">
      <c r="A4903" s="76" t="s">
        <v>43</v>
      </c>
      <c r="B4903" s="76" t="s">
        <v>1028</v>
      </c>
      <c r="C4903" s="84">
        <v>0.56</v>
      </c>
      <c r="D4903" s="84">
        <v>0.0</v>
      </c>
      <c r="E4903" s="84">
        <v>0.0</v>
      </c>
      <c r="F4903" s="76" t="s">
        <v>997</v>
      </c>
      <c r="G4903" s="83">
        <v>46114.0</v>
      </c>
      <c r="H4903" s="76" t="s">
        <v>964</v>
      </c>
    </row>
    <row r="4904">
      <c r="A4904" s="76" t="s">
        <v>43</v>
      </c>
      <c r="B4904" s="76" t="s">
        <v>1028</v>
      </c>
      <c r="C4904" s="84">
        <v>1.68</v>
      </c>
      <c r="D4904" s="84">
        <v>0.0</v>
      </c>
      <c r="E4904" s="84">
        <v>0.0</v>
      </c>
      <c r="F4904" s="76" t="s">
        <v>997</v>
      </c>
      <c r="G4904" s="83">
        <v>46114.0</v>
      </c>
      <c r="H4904" s="76" t="s">
        <v>965</v>
      </c>
    </row>
    <row r="4905">
      <c r="A4905" s="76" t="s">
        <v>966</v>
      </c>
      <c r="B4905" s="76" t="s">
        <v>1028</v>
      </c>
      <c r="C4905" s="84">
        <v>1.32</v>
      </c>
      <c r="D4905" s="84">
        <v>0.0</v>
      </c>
      <c r="E4905" s="84">
        <v>0.0</v>
      </c>
      <c r="F4905" s="76" t="s">
        <v>997</v>
      </c>
      <c r="G4905" s="83">
        <v>46114.0</v>
      </c>
      <c r="H4905" s="76" t="s">
        <v>967</v>
      </c>
    </row>
    <row r="4906">
      <c r="A4906" s="76" t="s">
        <v>966</v>
      </c>
      <c r="B4906" s="76" t="s">
        <v>1028</v>
      </c>
      <c r="C4906" s="84">
        <v>0.59</v>
      </c>
      <c r="D4906" s="84">
        <v>0.0</v>
      </c>
      <c r="E4906" s="84">
        <v>0.0</v>
      </c>
      <c r="F4906" s="76" t="s">
        <v>997</v>
      </c>
      <c r="G4906" s="83">
        <v>46114.0</v>
      </c>
      <c r="H4906" s="76" t="s">
        <v>968</v>
      </c>
    </row>
    <row r="4907">
      <c r="A4907" s="76" t="s">
        <v>966</v>
      </c>
      <c r="B4907" s="76" t="s">
        <v>1028</v>
      </c>
      <c r="C4907" s="84">
        <v>0.49</v>
      </c>
      <c r="D4907" s="84">
        <v>0.0</v>
      </c>
      <c r="E4907" s="84">
        <v>0.0</v>
      </c>
      <c r="F4907" s="76" t="s">
        <v>997</v>
      </c>
      <c r="G4907" s="83">
        <v>46114.0</v>
      </c>
      <c r="H4907" s="76" t="s">
        <v>969</v>
      </c>
    </row>
    <row r="4908">
      <c r="A4908" s="76" t="s">
        <v>36</v>
      </c>
      <c r="B4908" s="76" t="s">
        <v>1028</v>
      </c>
      <c r="C4908" s="84">
        <v>0.84</v>
      </c>
      <c r="D4908" s="84">
        <v>0.0</v>
      </c>
      <c r="E4908" s="84">
        <v>0.0</v>
      </c>
      <c r="F4908" s="76" t="s">
        <v>997</v>
      </c>
      <c r="G4908" s="83">
        <v>46114.0</v>
      </c>
      <c r="H4908" s="76" t="s">
        <v>926</v>
      </c>
    </row>
    <row r="4909">
      <c r="A4909" s="76" t="s">
        <v>36</v>
      </c>
      <c r="B4909" s="76" t="s">
        <v>1028</v>
      </c>
      <c r="C4909" s="84">
        <v>0.99</v>
      </c>
      <c r="D4909" s="84">
        <v>0.0</v>
      </c>
      <c r="E4909" s="84">
        <v>0.0</v>
      </c>
      <c r="F4909" s="76" t="s">
        <v>997</v>
      </c>
      <c r="G4909" s="83">
        <v>46114.0</v>
      </c>
      <c r="H4909" s="76" t="s">
        <v>927</v>
      </c>
    </row>
    <row r="4910">
      <c r="A4910" s="76" t="s">
        <v>36</v>
      </c>
      <c r="B4910" s="76" t="s">
        <v>1028</v>
      </c>
      <c r="C4910" s="84">
        <v>0.62</v>
      </c>
      <c r="D4910" s="84">
        <v>0.0</v>
      </c>
      <c r="E4910" s="84">
        <v>0.0</v>
      </c>
      <c r="F4910" s="76" t="s">
        <v>997</v>
      </c>
      <c r="G4910" s="83">
        <v>46114.0</v>
      </c>
      <c r="H4910" s="76" t="s">
        <v>928</v>
      </c>
    </row>
    <row r="4911">
      <c r="A4911" s="76" t="s">
        <v>970</v>
      </c>
      <c r="B4911" s="76" t="s">
        <v>1028</v>
      </c>
      <c r="C4911" s="84">
        <v>4.5</v>
      </c>
      <c r="D4911" s="84">
        <v>0.0</v>
      </c>
      <c r="E4911" s="84">
        <v>0.0</v>
      </c>
      <c r="F4911" s="76" t="s">
        <v>997</v>
      </c>
      <c r="G4911" s="83">
        <v>46114.0</v>
      </c>
      <c r="H4911" s="76" t="s">
        <v>971</v>
      </c>
    </row>
    <row r="4912">
      <c r="A4912" s="76" t="s">
        <v>970</v>
      </c>
      <c r="B4912" s="76" t="s">
        <v>1028</v>
      </c>
      <c r="C4912" s="84">
        <v>1.19</v>
      </c>
      <c r="D4912" s="84">
        <v>0.0</v>
      </c>
      <c r="E4912" s="84">
        <v>0.0</v>
      </c>
      <c r="F4912" s="76" t="s">
        <v>997</v>
      </c>
      <c r="G4912" s="83">
        <v>46114.0</v>
      </c>
      <c r="H4912" s="76" t="s">
        <v>972</v>
      </c>
    </row>
    <row r="4913">
      <c r="A4913" s="76" t="s">
        <v>970</v>
      </c>
      <c r="B4913" s="76" t="s">
        <v>1028</v>
      </c>
      <c r="C4913" s="84">
        <v>8.35</v>
      </c>
      <c r="D4913" s="84">
        <v>0.0</v>
      </c>
      <c r="E4913" s="84">
        <v>0.0</v>
      </c>
      <c r="F4913" s="76" t="s">
        <v>997</v>
      </c>
      <c r="G4913" s="83">
        <v>46114.0</v>
      </c>
      <c r="H4913" s="76" t="s">
        <v>973</v>
      </c>
    </row>
    <row r="4914">
      <c r="A4914" s="76" t="s">
        <v>29</v>
      </c>
      <c r="B4914" s="76" t="s">
        <v>1028</v>
      </c>
      <c r="C4914" s="84">
        <v>4.61</v>
      </c>
      <c r="D4914" s="84">
        <v>0.0</v>
      </c>
      <c r="E4914" s="84">
        <v>0.0</v>
      </c>
      <c r="F4914" s="76" t="s">
        <v>997</v>
      </c>
      <c r="G4914" s="83">
        <v>46114.0</v>
      </c>
      <c r="H4914" s="76" t="s">
        <v>971</v>
      </c>
    </row>
    <row r="4915">
      <c r="A4915" s="76" t="s">
        <v>29</v>
      </c>
      <c r="B4915" s="76" t="s">
        <v>1028</v>
      </c>
      <c r="C4915" s="84">
        <v>1.18</v>
      </c>
      <c r="D4915" s="84">
        <v>0.0</v>
      </c>
      <c r="E4915" s="84">
        <v>0.0</v>
      </c>
      <c r="F4915" s="76" t="s">
        <v>997</v>
      </c>
      <c r="G4915" s="83">
        <v>46114.0</v>
      </c>
      <c r="H4915" s="76" t="s">
        <v>972</v>
      </c>
    </row>
    <row r="4916">
      <c r="A4916" s="76" t="s">
        <v>29</v>
      </c>
      <c r="B4916" s="76" t="s">
        <v>1028</v>
      </c>
      <c r="C4916" s="84">
        <v>8.8</v>
      </c>
      <c r="D4916" s="84">
        <v>0.0</v>
      </c>
      <c r="E4916" s="84">
        <v>0.0</v>
      </c>
      <c r="F4916" s="76" t="s">
        <v>997</v>
      </c>
      <c r="G4916" s="83">
        <v>46114.0</v>
      </c>
      <c r="H4916" s="76" t="s">
        <v>973</v>
      </c>
    </row>
    <row r="4917">
      <c r="A4917" s="76" t="s">
        <v>34</v>
      </c>
      <c r="B4917" s="76" t="s">
        <v>1028</v>
      </c>
      <c r="C4917" s="84">
        <v>0.0</v>
      </c>
      <c r="D4917" s="84">
        <v>0.0</v>
      </c>
      <c r="E4917" s="84">
        <v>0.0</v>
      </c>
      <c r="F4917" s="76" t="s">
        <v>998</v>
      </c>
      <c r="G4917" s="83">
        <v>46114.0</v>
      </c>
      <c r="H4917" s="76" t="s">
        <v>951</v>
      </c>
    </row>
    <row r="4918">
      <c r="A4918" s="76" t="s">
        <v>34</v>
      </c>
      <c r="B4918" s="76" t="s">
        <v>1028</v>
      </c>
      <c r="C4918" s="84">
        <v>0.1</v>
      </c>
      <c r="D4918" s="84">
        <v>0.0</v>
      </c>
      <c r="E4918" s="84">
        <v>0.0</v>
      </c>
      <c r="F4918" s="76" t="s">
        <v>998</v>
      </c>
      <c r="G4918" s="83">
        <v>46114.0</v>
      </c>
      <c r="H4918" s="76" t="s">
        <v>952</v>
      </c>
    </row>
    <row r="4919">
      <c r="A4919" s="76" t="s">
        <v>40</v>
      </c>
      <c r="B4919" s="76" t="s">
        <v>1028</v>
      </c>
      <c r="C4919" s="84">
        <v>0.0</v>
      </c>
      <c r="D4919" s="84">
        <v>0.0</v>
      </c>
      <c r="E4919" s="84">
        <v>0.0</v>
      </c>
      <c r="F4919" s="76" t="s">
        <v>998</v>
      </c>
      <c r="G4919" s="83">
        <v>46114.0</v>
      </c>
      <c r="H4919" s="76" t="s">
        <v>954</v>
      </c>
    </row>
    <row r="4920">
      <c r="A4920" s="76" t="s">
        <v>40</v>
      </c>
      <c r="B4920" s="76" t="s">
        <v>1028</v>
      </c>
      <c r="C4920" s="84">
        <v>0.03</v>
      </c>
      <c r="D4920" s="84">
        <v>0.0</v>
      </c>
      <c r="E4920" s="84">
        <v>0.0</v>
      </c>
      <c r="F4920" s="76" t="s">
        <v>998</v>
      </c>
      <c r="G4920" s="83">
        <v>46114.0</v>
      </c>
      <c r="H4920" s="76" t="s">
        <v>955</v>
      </c>
    </row>
    <row r="4921">
      <c r="A4921" s="76" t="s">
        <v>33</v>
      </c>
      <c r="B4921" s="76" t="s">
        <v>1028</v>
      </c>
      <c r="C4921" s="84">
        <v>0.23</v>
      </c>
      <c r="D4921" s="84">
        <v>0.0</v>
      </c>
      <c r="E4921" s="84">
        <v>0.0</v>
      </c>
      <c r="F4921" s="76" t="s">
        <v>998</v>
      </c>
      <c r="G4921" s="83">
        <v>46114.0</v>
      </c>
      <c r="H4921" s="76" t="s">
        <v>959</v>
      </c>
    </row>
    <row r="4922">
      <c r="A4922" s="76" t="s">
        <v>46</v>
      </c>
      <c r="B4922" s="76" t="s">
        <v>1028</v>
      </c>
      <c r="C4922" s="84">
        <v>0.0</v>
      </c>
      <c r="D4922" s="84">
        <v>0.0</v>
      </c>
      <c r="E4922" s="84">
        <v>0.0</v>
      </c>
      <c r="F4922" s="76" t="s">
        <v>998</v>
      </c>
      <c r="G4922" s="83">
        <v>46114.0</v>
      </c>
      <c r="H4922" s="76" t="s">
        <v>961</v>
      </c>
    </row>
    <row r="4923">
      <c r="A4923" s="76" t="s">
        <v>46</v>
      </c>
      <c r="B4923" s="76" t="s">
        <v>1028</v>
      </c>
      <c r="C4923" s="84">
        <v>0.08</v>
      </c>
      <c r="D4923" s="84">
        <v>0.0</v>
      </c>
      <c r="E4923" s="84">
        <v>0.0</v>
      </c>
      <c r="F4923" s="76" t="s">
        <v>998</v>
      </c>
      <c r="G4923" s="83">
        <v>46114.0</v>
      </c>
      <c r="H4923" s="76" t="s">
        <v>962</v>
      </c>
    </row>
    <row r="4924">
      <c r="A4924" s="76" t="s">
        <v>43</v>
      </c>
      <c r="B4924" s="76" t="s">
        <v>1028</v>
      </c>
      <c r="C4924" s="84">
        <v>0.09</v>
      </c>
      <c r="D4924" s="84">
        <v>0.0</v>
      </c>
      <c r="E4924" s="84">
        <v>0.0</v>
      </c>
      <c r="F4924" s="76" t="s">
        <v>998</v>
      </c>
      <c r="G4924" s="83">
        <v>46114.0</v>
      </c>
      <c r="H4924" s="76" t="s">
        <v>963</v>
      </c>
    </row>
    <row r="4925">
      <c r="A4925" s="76" t="s">
        <v>966</v>
      </c>
      <c r="B4925" s="76" t="s">
        <v>1028</v>
      </c>
      <c r="C4925" s="84">
        <v>0.0</v>
      </c>
      <c r="D4925" s="84">
        <v>0.0</v>
      </c>
      <c r="E4925" s="84">
        <v>0.0</v>
      </c>
      <c r="F4925" s="76" t="s">
        <v>998</v>
      </c>
      <c r="G4925" s="83">
        <v>46114.0</v>
      </c>
      <c r="H4925" s="76" t="s">
        <v>967</v>
      </c>
    </row>
    <row r="4926">
      <c r="A4926" s="76" t="s">
        <v>966</v>
      </c>
      <c r="B4926" s="76" t="s">
        <v>1028</v>
      </c>
      <c r="C4926" s="84">
        <v>0.04</v>
      </c>
      <c r="D4926" s="84">
        <v>0.0</v>
      </c>
      <c r="E4926" s="84">
        <v>0.0</v>
      </c>
      <c r="F4926" s="76" t="s">
        <v>998</v>
      </c>
      <c r="G4926" s="83">
        <v>46114.0</v>
      </c>
      <c r="H4926" s="76" t="s">
        <v>968</v>
      </c>
    </row>
    <row r="4927">
      <c r="A4927" s="76" t="s">
        <v>36</v>
      </c>
      <c r="B4927" s="76" t="s">
        <v>1028</v>
      </c>
      <c r="C4927" s="84">
        <v>0.0</v>
      </c>
      <c r="D4927" s="84">
        <v>0.0</v>
      </c>
      <c r="E4927" s="84">
        <v>0.0</v>
      </c>
      <c r="F4927" s="76" t="s">
        <v>998</v>
      </c>
      <c r="G4927" s="83">
        <v>46114.0</v>
      </c>
      <c r="H4927" s="76" t="s">
        <v>926</v>
      </c>
    </row>
    <row r="4928">
      <c r="A4928" s="76" t="s">
        <v>36</v>
      </c>
      <c r="B4928" s="76" t="s">
        <v>1028</v>
      </c>
      <c r="C4928" s="84">
        <v>0.0</v>
      </c>
      <c r="D4928" s="84">
        <v>0.0</v>
      </c>
      <c r="E4928" s="84">
        <v>0.0</v>
      </c>
      <c r="F4928" s="76" t="s">
        <v>998</v>
      </c>
      <c r="G4928" s="83">
        <v>46114.0</v>
      </c>
      <c r="H4928" s="76" t="s">
        <v>927</v>
      </c>
    </row>
    <row r="4929">
      <c r="A4929" s="76" t="s">
        <v>36</v>
      </c>
      <c r="B4929" s="76" t="s">
        <v>1028</v>
      </c>
      <c r="C4929" s="84">
        <v>0.02</v>
      </c>
      <c r="D4929" s="84">
        <v>0.0</v>
      </c>
      <c r="E4929" s="84">
        <v>0.0</v>
      </c>
      <c r="F4929" s="76" t="s">
        <v>998</v>
      </c>
      <c r="G4929" s="83">
        <v>46114.0</v>
      </c>
      <c r="H4929" s="76" t="s">
        <v>928</v>
      </c>
    </row>
    <row r="4930">
      <c r="A4930" s="76" t="s">
        <v>970</v>
      </c>
      <c r="B4930" s="76" t="s">
        <v>1028</v>
      </c>
      <c r="C4930" s="84">
        <v>0.0</v>
      </c>
      <c r="D4930" s="84">
        <v>0.0</v>
      </c>
      <c r="E4930" s="84">
        <v>0.0</v>
      </c>
      <c r="F4930" s="76" t="s">
        <v>998</v>
      </c>
      <c r="G4930" s="83">
        <v>46114.0</v>
      </c>
      <c r="H4930" s="76" t="s">
        <v>971</v>
      </c>
    </row>
    <row r="4931">
      <c r="A4931" s="76" t="s">
        <v>970</v>
      </c>
      <c r="B4931" s="76" t="s">
        <v>1028</v>
      </c>
      <c r="C4931" s="84">
        <v>0.13</v>
      </c>
      <c r="D4931" s="84">
        <v>0.0</v>
      </c>
      <c r="E4931" s="84">
        <v>0.0</v>
      </c>
      <c r="F4931" s="76" t="s">
        <v>998</v>
      </c>
      <c r="G4931" s="83">
        <v>46114.0</v>
      </c>
      <c r="H4931" s="76" t="s">
        <v>972</v>
      </c>
    </row>
    <row r="4932">
      <c r="A4932" s="76" t="s">
        <v>970</v>
      </c>
      <c r="B4932" s="76" t="s">
        <v>1028</v>
      </c>
      <c r="C4932" s="84">
        <v>0.0</v>
      </c>
      <c r="D4932" s="84">
        <v>0.0</v>
      </c>
      <c r="E4932" s="84">
        <v>0.0</v>
      </c>
      <c r="F4932" s="76" t="s">
        <v>998</v>
      </c>
      <c r="G4932" s="83">
        <v>46114.0</v>
      </c>
      <c r="H4932" s="76" t="s">
        <v>973</v>
      </c>
    </row>
    <row r="4933">
      <c r="A4933" s="76" t="s">
        <v>29</v>
      </c>
      <c r="B4933" s="76" t="s">
        <v>1028</v>
      </c>
      <c r="C4933" s="84">
        <v>0.13</v>
      </c>
      <c r="D4933" s="84">
        <v>0.0</v>
      </c>
      <c r="E4933" s="84">
        <v>0.0</v>
      </c>
      <c r="F4933" s="76" t="s">
        <v>998</v>
      </c>
      <c r="G4933" s="83">
        <v>46114.0</v>
      </c>
      <c r="H4933" s="76" t="s">
        <v>972</v>
      </c>
    </row>
    <row r="4934">
      <c r="A4934" s="76" t="s">
        <v>29</v>
      </c>
      <c r="B4934" s="76" t="s">
        <v>1028</v>
      </c>
      <c r="C4934" s="84">
        <v>0.0</v>
      </c>
      <c r="D4934" s="84">
        <v>0.0</v>
      </c>
      <c r="E4934" s="84">
        <v>0.0</v>
      </c>
      <c r="F4934" s="76" t="s">
        <v>998</v>
      </c>
      <c r="G4934" s="83">
        <v>46114.0</v>
      </c>
      <c r="H4934" s="76" t="s">
        <v>973</v>
      </c>
    </row>
    <row r="4935">
      <c r="A4935" s="76" t="s">
        <v>36</v>
      </c>
      <c r="B4935" s="76" t="s">
        <v>1006</v>
      </c>
      <c r="C4935" s="84">
        <v>2.03</v>
      </c>
      <c r="D4935" s="84">
        <v>0.0</v>
      </c>
      <c r="E4935" s="84">
        <v>0.0</v>
      </c>
      <c r="F4935" s="76" t="s">
        <v>990</v>
      </c>
      <c r="G4935" s="83">
        <v>46114.0</v>
      </c>
      <c r="H4935" s="76" t="s">
        <v>926</v>
      </c>
    </row>
    <row r="4936">
      <c r="A4936" s="76" t="s">
        <v>36</v>
      </c>
      <c r="B4936" s="76" t="s">
        <v>1006</v>
      </c>
      <c r="C4936" s="84">
        <v>4.7</v>
      </c>
      <c r="D4936" s="84">
        <v>0.0</v>
      </c>
      <c r="E4936" s="84">
        <v>0.0</v>
      </c>
      <c r="F4936" s="76" t="s">
        <v>990</v>
      </c>
      <c r="G4936" s="83">
        <v>46114.0</v>
      </c>
      <c r="H4936" s="76" t="s">
        <v>927</v>
      </c>
    </row>
    <row r="4937">
      <c r="A4937" s="76" t="s">
        <v>36</v>
      </c>
      <c r="B4937" s="76" t="s">
        <v>1006</v>
      </c>
      <c r="C4937" s="84">
        <v>1.5</v>
      </c>
      <c r="D4937" s="84">
        <v>0.0</v>
      </c>
      <c r="E4937" s="84">
        <v>0.0</v>
      </c>
      <c r="F4937" s="76" t="s">
        <v>990</v>
      </c>
      <c r="G4937" s="83">
        <v>46114.0</v>
      </c>
      <c r="H4937" s="76" t="s">
        <v>928</v>
      </c>
    </row>
    <row r="4938">
      <c r="A4938" s="76" t="s">
        <v>31</v>
      </c>
      <c r="B4938" s="76" t="s">
        <v>1006</v>
      </c>
      <c r="C4938" s="84">
        <v>1.91</v>
      </c>
      <c r="D4938" s="84">
        <v>0.0</v>
      </c>
      <c r="E4938" s="84">
        <v>0.0</v>
      </c>
      <c r="F4938" s="76" t="s">
        <v>990</v>
      </c>
      <c r="G4938" s="83">
        <v>46114.0</v>
      </c>
      <c r="H4938" s="76" t="s">
        <v>929</v>
      </c>
    </row>
    <row r="4939">
      <c r="A4939" s="76" t="s">
        <v>31</v>
      </c>
      <c r="B4939" s="76" t="s">
        <v>1006</v>
      </c>
      <c r="C4939" s="84">
        <v>12.79</v>
      </c>
      <c r="D4939" s="84">
        <v>0.0</v>
      </c>
      <c r="E4939" s="84">
        <v>0.0</v>
      </c>
      <c r="F4939" s="76" t="s">
        <v>990</v>
      </c>
      <c r="G4939" s="83">
        <v>46114.0</v>
      </c>
      <c r="H4939" s="76" t="s">
        <v>930</v>
      </c>
    </row>
    <row r="4940">
      <c r="A4940" s="76" t="s">
        <v>28</v>
      </c>
      <c r="B4940" s="76" t="s">
        <v>1006</v>
      </c>
      <c r="C4940" s="84">
        <v>2.24</v>
      </c>
      <c r="D4940" s="84">
        <v>0.0</v>
      </c>
      <c r="E4940" s="84">
        <v>0.0</v>
      </c>
      <c r="F4940" s="76" t="s">
        <v>990</v>
      </c>
      <c r="G4940" s="83">
        <v>46114.0</v>
      </c>
      <c r="H4940" s="76" t="s">
        <v>931</v>
      </c>
    </row>
    <row r="4941">
      <c r="A4941" s="76" t="s">
        <v>28</v>
      </c>
      <c r="B4941" s="76" t="s">
        <v>1006</v>
      </c>
      <c r="C4941" s="84">
        <v>1.03</v>
      </c>
      <c r="D4941" s="84">
        <v>0.0</v>
      </c>
      <c r="E4941" s="84">
        <v>0.0</v>
      </c>
      <c r="F4941" s="76" t="s">
        <v>990</v>
      </c>
      <c r="G4941" s="83">
        <v>46114.0</v>
      </c>
      <c r="H4941" s="76" t="s">
        <v>932</v>
      </c>
    </row>
    <row r="4942">
      <c r="A4942" s="76" t="s">
        <v>28</v>
      </c>
      <c r="B4942" s="76" t="s">
        <v>1006</v>
      </c>
      <c r="C4942" s="84">
        <v>1.61</v>
      </c>
      <c r="D4942" s="84">
        <v>0.0</v>
      </c>
      <c r="E4942" s="84">
        <v>0.0</v>
      </c>
      <c r="F4942" s="76" t="s">
        <v>990</v>
      </c>
      <c r="G4942" s="83">
        <v>46114.0</v>
      </c>
      <c r="H4942" s="76" t="s">
        <v>933</v>
      </c>
    </row>
    <row r="4943">
      <c r="A4943" s="76" t="s">
        <v>42</v>
      </c>
      <c r="B4943" s="76" t="s">
        <v>1006</v>
      </c>
      <c r="C4943" s="84">
        <v>0.04</v>
      </c>
      <c r="D4943" s="84">
        <v>0.0</v>
      </c>
      <c r="E4943" s="84">
        <v>0.0</v>
      </c>
      <c r="F4943" s="76" t="s">
        <v>990</v>
      </c>
      <c r="G4943" s="83">
        <v>46114.0</v>
      </c>
      <c r="H4943" s="76" t="s">
        <v>991</v>
      </c>
    </row>
    <row r="4944">
      <c r="A4944" s="76" t="s">
        <v>42</v>
      </c>
      <c r="B4944" s="76" t="s">
        <v>1006</v>
      </c>
      <c r="C4944" s="84">
        <v>2.08</v>
      </c>
      <c r="D4944" s="84">
        <v>0.0</v>
      </c>
      <c r="E4944" s="84">
        <v>0.0</v>
      </c>
      <c r="F4944" s="76" t="s">
        <v>990</v>
      </c>
      <c r="G4944" s="83">
        <v>46114.0</v>
      </c>
      <c r="H4944" s="76" t="s">
        <v>935</v>
      </c>
    </row>
    <row r="4945">
      <c r="A4945" s="76" t="s">
        <v>45</v>
      </c>
      <c r="B4945" s="76" t="s">
        <v>1006</v>
      </c>
      <c r="C4945" s="84">
        <v>2.2</v>
      </c>
      <c r="D4945" s="84">
        <v>0.0</v>
      </c>
      <c r="E4945" s="84">
        <v>0.0</v>
      </c>
      <c r="F4945" s="76" t="s">
        <v>990</v>
      </c>
      <c r="G4945" s="83">
        <v>46114.0</v>
      </c>
      <c r="H4945" s="76" t="s">
        <v>936</v>
      </c>
    </row>
    <row r="4946">
      <c r="A4946" s="76" t="s">
        <v>45</v>
      </c>
      <c r="B4946" s="76" t="s">
        <v>1006</v>
      </c>
      <c r="C4946" s="84">
        <v>0.44</v>
      </c>
      <c r="D4946" s="84">
        <v>0.0</v>
      </c>
      <c r="E4946" s="84">
        <v>0.0</v>
      </c>
      <c r="F4946" s="76" t="s">
        <v>990</v>
      </c>
      <c r="G4946" s="83">
        <v>46114.0</v>
      </c>
      <c r="H4946" s="76" t="s">
        <v>937</v>
      </c>
    </row>
    <row r="4947">
      <c r="A4947" s="76" t="s">
        <v>45</v>
      </c>
      <c r="B4947" s="76" t="s">
        <v>1006</v>
      </c>
      <c r="C4947" s="84">
        <v>2.3</v>
      </c>
      <c r="D4947" s="84">
        <v>0.0</v>
      </c>
      <c r="E4947" s="84">
        <v>0.0</v>
      </c>
      <c r="F4947" s="76" t="s">
        <v>990</v>
      </c>
      <c r="G4947" s="83">
        <v>46114.0</v>
      </c>
      <c r="H4947" s="76" t="s">
        <v>938</v>
      </c>
    </row>
    <row r="4948">
      <c r="A4948" s="76" t="s">
        <v>50</v>
      </c>
      <c r="B4948" s="76" t="s">
        <v>1006</v>
      </c>
      <c r="C4948" s="84">
        <v>0.17</v>
      </c>
      <c r="D4948" s="84">
        <v>0.0</v>
      </c>
      <c r="E4948" s="84">
        <v>0.0</v>
      </c>
      <c r="F4948" s="76" t="s">
        <v>990</v>
      </c>
      <c r="G4948" s="83">
        <v>46114.0</v>
      </c>
      <c r="H4948" s="76" t="s">
        <v>939</v>
      </c>
    </row>
    <row r="4949">
      <c r="A4949" s="76" t="s">
        <v>50</v>
      </c>
      <c r="B4949" s="76" t="s">
        <v>1006</v>
      </c>
      <c r="C4949" s="84">
        <v>1.02</v>
      </c>
      <c r="D4949" s="84">
        <v>0.0</v>
      </c>
      <c r="E4949" s="84">
        <v>0.0</v>
      </c>
      <c r="F4949" s="76" t="s">
        <v>990</v>
      </c>
      <c r="G4949" s="83">
        <v>46114.0</v>
      </c>
      <c r="H4949" s="76" t="s">
        <v>940</v>
      </c>
    </row>
    <row r="4950">
      <c r="A4950" s="76" t="s">
        <v>32</v>
      </c>
      <c r="B4950" s="76" t="s">
        <v>1006</v>
      </c>
      <c r="C4950" s="84">
        <v>1.31</v>
      </c>
      <c r="D4950" s="84">
        <v>0.0</v>
      </c>
      <c r="E4950" s="84">
        <v>0.0</v>
      </c>
      <c r="F4950" s="76" t="s">
        <v>990</v>
      </c>
      <c r="G4950" s="83">
        <v>46114.0</v>
      </c>
      <c r="H4950" s="76" t="s">
        <v>941</v>
      </c>
    </row>
    <row r="4951">
      <c r="A4951" s="76" t="s">
        <v>32</v>
      </c>
      <c r="B4951" s="76" t="s">
        <v>1006</v>
      </c>
      <c r="C4951" s="84">
        <v>3.76</v>
      </c>
      <c r="D4951" s="84">
        <v>0.0</v>
      </c>
      <c r="E4951" s="84">
        <v>0.0</v>
      </c>
      <c r="F4951" s="76" t="s">
        <v>990</v>
      </c>
      <c r="G4951" s="83">
        <v>46114.0</v>
      </c>
      <c r="H4951" s="76" t="s">
        <v>942</v>
      </c>
    </row>
    <row r="4952">
      <c r="A4952" s="76" t="s">
        <v>32</v>
      </c>
      <c r="B4952" s="76" t="s">
        <v>1006</v>
      </c>
      <c r="C4952" s="84">
        <v>2.08</v>
      </c>
      <c r="D4952" s="84">
        <v>0.0</v>
      </c>
      <c r="E4952" s="84">
        <v>0.0</v>
      </c>
      <c r="F4952" s="76" t="s">
        <v>990</v>
      </c>
      <c r="G4952" s="83">
        <v>46114.0</v>
      </c>
      <c r="H4952" s="76" t="s">
        <v>943</v>
      </c>
    </row>
    <row r="4953">
      <c r="A4953" s="76" t="s">
        <v>944</v>
      </c>
      <c r="B4953" s="76" t="s">
        <v>1006</v>
      </c>
      <c r="C4953" s="84">
        <v>4.2</v>
      </c>
      <c r="D4953" s="84">
        <v>0.0</v>
      </c>
      <c r="E4953" s="84">
        <v>0.0</v>
      </c>
      <c r="F4953" s="76" t="s">
        <v>990</v>
      </c>
      <c r="G4953" s="83">
        <v>46114.0</v>
      </c>
      <c r="H4953" s="76" t="s">
        <v>945</v>
      </c>
    </row>
    <row r="4954">
      <c r="A4954" s="76" t="s">
        <v>944</v>
      </c>
      <c r="B4954" s="76" t="s">
        <v>1006</v>
      </c>
      <c r="C4954" s="84">
        <v>2.46</v>
      </c>
      <c r="D4954" s="84">
        <v>0.0</v>
      </c>
      <c r="E4954" s="84">
        <v>0.0</v>
      </c>
      <c r="F4954" s="76" t="s">
        <v>990</v>
      </c>
      <c r="G4954" s="83">
        <v>46114.0</v>
      </c>
      <c r="H4954" s="76" t="s">
        <v>946</v>
      </c>
    </row>
    <row r="4955">
      <c r="A4955" s="76" t="s">
        <v>944</v>
      </c>
      <c r="B4955" s="76" t="s">
        <v>1006</v>
      </c>
      <c r="C4955" s="84">
        <v>1.19</v>
      </c>
      <c r="D4955" s="84">
        <v>0.0</v>
      </c>
      <c r="E4955" s="84">
        <v>0.0</v>
      </c>
      <c r="F4955" s="76" t="s">
        <v>990</v>
      </c>
      <c r="G4955" s="83">
        <v>46114.0</v>
      </c>
      <c r="H4955" s="76" t="s">
        <v>947</v>
      </c>
    </row>
    <row r="4956">
      <c r="A4956" s="76" t="s">
        <v>26</v>
      </c>
      <c r="B4956" s="76" t="s">
        <v>1006</v>
      </c>
      <c r="C4956" s="84">
        <v>4.45</v>
      </c>
      <c r="D4956" s="84">
        <v>0.0</v>
      </c>
      <c r="E4956" s="84">
        <v>0.0</v>
      </c>
      <c r="F4956" s="76" t="s">
        <v>990</v>
      </c>
      <c r="G4956" s="83">
        <v>46114.0</v>
      </c>
      <c r="H4956" s="76" t="s">
        <v>1012</v>
      </c>
    </row>
    <row r="4957">
      <c r="A4957" s="76" t="s">
        <v>26</v>
      </c>
      <c r="B4957" s="76" t="s">
        <v>1006</v>
      </c>
      <c r="C4957" s="84">
        <v>1.65</v>
      </c>
      <c r="D4957" s="84">
        <v>0.0</v>
      </c>
      <c r="E4957" s="84">
        <v>0.0</v>
      </c>
      <c r="F4957" s="76" t="s">
        <v>990</v>
      </c>
      <c r="G4957" s="83">
        <v>46114.0</v>
      </c>
      <c r="H4957" s="76" t="s">
        <v>1013</v>
      </c>
    </row>
    <row r="4958">
      <c r="A4958" s="76" t="s">
        <v>26</v>
      </c>
      <c r="B4958" s="76" t="s">
        <v>1006</v>
      </c>
      <c r="C4958" s="84">
        <v>1.05</v>
      </c>
      <c r="D4958" s="84">
        <v>0.0</v>
      </c>
      <c r="E4958" s="84">
        <v>0.0</v>
      </c>
      <c r="F4958" s="76" t="s">
        <v>990</v>
      </c>
      <c r="G4958" s="83">
        <v>46114.0</v>
      </c>
      <c r="H4958" s="76" t="s">
        <v>1014</v>
      </c>
    </row>
    <row r="4959">
      <c r="A4959" s="76" t="s">
        <v>36</v>
      </c>
      <c r="B4959" s="76" t="s">
        <v>1006</v>
      </c>
      <c r="C4959" s="84">
        <v>0.95</v>
      </c>
      <c r="D4959" s="84">
        <v>0.0</v>
      </c>
      <c r="E4959" s="84">
        <v>0.0</v>
      </c>
      <c r="F4959" s="76" t="s">
        <v>993</v>
      </c>
      <c r="G4959" s="83">
        <v>46114.0</v>
      </c>
      <c r="H4959" s="76" t="s">
        <v>926</v>
      </c>
    </row>
    <row r="4960">
      <c r="A4960" s="76" t="s">
        <v>36</v>
      </c>
      <c r="B4960" s="76" t="s">
        <v>1006</v>
      </c>
      <c r="C4960" s="84">
        <v>2.49</v>
      </c>
      <c r="D4960" s="84">
        <v>0.0</v>
      </c>
      <c r="E4960" s="84">
        <v>0.0</v>
      </c>
      <c r="F4960" s="76" t="s">
        <v>993</v>
      </c>
      <c r="G4960" s="83">
        <v>46114.0</v>
      </c>
      <c r="H4960" s="76" t="s">
        <v>927</v>
      </c>
    </row>
    <row r="4961">
      <c r="A4961" s="76" t="s">
        <v>36</v>
      </c>
      <c r="B4961" s="76" t="s">
        <v>1006</v>
      </c>
      <c r="C4961" s="84">
        <v>0.71</v>
      </c>
      <c r="D4961" s="84">
        <v>0.0</v>
      </c>
      <c r="E4961" s="84">
        <v>0.0</v>
      </c>
      <c r="F4961" s="76" t="s">
        <v>993</v>
      </c>
      <c r="G4961" s="83">
        <v>46114.0</v>
      </c>
      <c r="H4961" s="76" t="s">
        <v>928</v>
      </c>
    </row>
    <row r="4962">
      <c r="A4962" s="76" t="s">
        <v>31</v>
      </c>
      <c r="B4962" s="76" t="s">
        <v>1006</v>
      </c>
      <c r="C4962" s="84">
        <v>0.94</v>
      </c>
      <c r="D4962" s="84">
        <v>0.0</v>
      </c>
      <c r="E4962" s="84">
        <v>0.0</v>
      </c>
      <c r="F4962" s="76" t="s">
        <v>993</v>
      </c>
      <c r="G4962" s="83">
        <v>46114.0</v>
      </c>
      <c r="H4962" s="76" t="s">
        <v>929</v>
      </c>
    </row>
    <row r="4963">
      <c r="A4963" s="76" t="s">
        <v>31</v>
      </c>
      <c r="B4963" s="76" t="s">
        <v>1006</v>
      </c>
      <c r="C4963" s="84">
        <v>7.9</v>
      </c>
      <c r="D4963" s="84">
        <v>0.0</v>
      </c>
      <c r="E4963" s="84">
        <v>0.0</v>
      </c>
      <c r="F4963" s="76" t="s">
        <v>993</v>
      </c>
      <c r="G4963" s="83">
        <v>46114.0</v>
      </c>
      <c r="H4963" s="76" t="s">
        <v>930</v>
      </c>
    </row>
    <row r="4964">
      <c r="A4964" s="76" t="s">
        <v>28</v>
      </c>
      <c r="B4964" s="76" t="s">
        <v>1006</v>
      </c>
      <c r="C4964" s="84">
        <v>1.17</v>
      </c>
      <c r="D4964" s="84">
        <v>0.0</v>
      </c>
      <c r="E4964" s="84">
        <v>0.0</v>
      </c>
      <c r="F4964" s="76" t="s">
        <v>993</v>
      </c>
      <c r="G4964" s="83">
        <v>46114.0</v>
      </c>
      <c r="H4964" s="76" t="s">
        <v>931</v>
      </c>
    </row>
    <row r="4965">
      <c r="A4965" s="76" t="s">
        <v>28</v>
      </c>
      <c r="B4965" s="76" t="s">
        <v>1006</v>
      </c>
      <c r="C4965" s="84">
        <v>0.55</v>
      </c>
      <c r="D4965" s="84">
        <v>0.0</v>
      </c>
      <c r="E4965" s="84">
        <v>0.0</v>
      </c>
      <c r="F4965" s="76" t="s">
        <v>993</v>
      </c>
      <c r="G4965" s="83">
        <v>46114.0</v>
      </c>
      <c r="H4965" s="76" t="s">
        <v>932</v>
      </c>
    </row>
    <row r="4966">
      <c r="A4966" s="76" t="s">
        <v>28</v>
      </c>
      <c r="B4966" s="76" t="s">
        <v>1006</v>
      </c>
      <c r="C4966" s="84">
        <v>0.75</v>
      </c>
      <c r="D4966" s="84">
        <v>0.0</v>
      </c>
      <c r="E4966" s="84">
        <v>0.0</v>
      </c>
      <c r="F4966" s="76" t="s">
        <v>993</v>
      </c>
      <c r="G4966" s="83">
        <v>46114.0</v>
      </c>
      <c r="H4966" s="76" t="s">
        <v>933</v>
      </c>
    </row>
    <row r="4967">
      <c r="A4967" s="76" t="s">
        <v>42</v>
      </c>
      <c r="B4967" s="76" t="s">
        <v>1006</v>
      </c>
      <c r="C4967" s="84">
        <v>0.02</v>
      </c>
      <c r="D4967" s="84">
        <v>0.0</v>
      </c>
      <c r="E4967" s="84">
        <v>0.0</v>
      </c>
      <c r="F4967" s="76" t="s">
        <v>993</v>
      </c>
      <c r="G4967" s="83">
        <v>46114.0</v>
      </c>
      <c r="H4967" s="76" t="s">
        <v>991</v>
      </c>
    </row>
    <row r="4968">
      <c r="A4968" s="76" t="s">
        <v>42</v>
      </c>
      <c r="B4968" s="76" t="s">
        <v>1006</v>
      </c>
      <c r="C4968" s="84">
        <v>1.15</v>
      </c>
      <c r="D4968" s="84">
        <v>0.0</v>
      </c>
      <c r="E4968" s="84">
        <v>0.0</v>
      </c>
      <c r="F4968" s="76" t="s">
        <v>993</v>
      </c>
      <c r="G4968" s="83">
        <v>46114.0</v>
      </c>
      <c r="H4968" s="76" t="s">
        <v>935</v>
      </c>
    </row>
    <row r="4969">
      <c r="A4969" s="76" t="s">
        <v>45</v>
      </c>
      <c r="B4969" s="76" t="s">
        <v>1006</v>
      </c>
      <c r="C4969" s="84">
        <v>1.26</v>
      </c>
      <c r="D4969" s="84">
        <v>0.0</v>
      </c>
      <c r="E4969" s="84">
        <v>0.0</v>
      </c>
      <c r="F4969" s="76" t="s">
        <v>993</v>
      </c>
      <c r="G4969" s="83">
        <v>46114.0</v>
      </c>
      <c r="H4969" s="76" t="s">
        <v>936</v>
      </c>
    </row>
    <row r="4970">
      <c r="A4970" s="76" t="s">
        <v>45</v>
      </c>
      <c r="B4970" s="76" t="s">
        <v>1006</v>
      </c>
      <c r="C4970" s="84">
        <v>0.21</v>
      </c>
      <c r="D4970" s="84">
        <v>0.0</v>
      </c>
      <c r="E4970" s="84">
        <v>0.0</v>
      </c>
      <c r="F4970" s="76" t="s">
        <v>993</v>
      </c>
      <c r="G4970" s="83">
        <v>46114.0</v>
      </c>
      <c r="H4970" s="76" t="s">
        <v>937</v>
      </c>
    </row>
    <row r="4971">
      <c r="A4971" s="76" t="s">
        <v>45</v>
      </c>
      <c r="B4971" s="76" t="s">
        <v>1006</v>
      </c>
      <c r="C4971" s="84">
        <v>1.06</v>
      </c>
      <c r="D4971" s="84">
        <v>0.0</v>
      </c>
      <c r="E4971" s="84">
        <v>0.0</v>
      </c>
      <c r="F4971" s="76" t="s">
        <v>993</v>
      </c>
      <c r="G4971" s="83">
        <v>46114.0</v>
      </c>
      <c r="H4971" s="76" t="s">
        <v>938</v>
      </c>
    </row>
    <row r="4972">
      <c r="A4972" s="76" t="s">
        <v>50</v>
      </c>
      <c r="B4972" s="76" t="s">
        <v>1006</v>
      </c>
      <c r="C4972" s="84">
        <v>0.11</v>
      </c>
      <c r="D4972" s="84">
        <v>0.0</v>
      </c>
      <c r="E4972" s="84">
        <v>0.0</v>
      </c>
      <c r="F4972" s="76" t="s">
        <v>993</v>
      </c>
      <c r="G4972" s="83">
        <v>46114.0</v>
      </c>
      <c r="H4972" s="76" t="s">
        <v>939</v>
      </c>
    </row>
    <row r="4973">
      <c r="A4973" s="76" t="s">
        <v>50</v>
      </c>
      <c r="B4973" s="76" t="s">
        <v>1006</v>
      </c>
      <c r="C4973" s="84">
        <v>0.65</v>
      </c>
      <c r="D4973" s="84">
        <v>0.0</v>
      </c>
      <c r="E4973" s="84">
        <v>0.0</v>
      </c>
      <c r="F4973" s="76" t="s">
        <v>993</v>
      </c>
      <c r="G4973" s="83">
        <v>46114.0</v>
      </c>
      <c r="H4973" s="76" t="s">
        <v>940</v>
      </c>
    </row>
    <row r="4974">
      <c r="A4974" s="76" t="s">
        <v>32</v>
      </c>
      <c r="B4974" s="76" t="s">
        <v>1006</v>
      </c>
      <c r="C4974" s="84">
        <v>0.8</v>
      </c>
      <c r="D4974" s="84">
        <v>0.0</v>
      </c>
      <c r="E4974" s="84">
        <v>0.0</v>
      </c>
      <c r="F4974" s="76" t="s">
        <v>993</v>
      </c>
      <c r="G4974" s="83">
        <v>46114.0</v>
      </c>
      <c r="H4974" s="76" t="s">
        <v>941</v>
      </c>
    </row>
    <row r="4975">
      <c r="A4975" s="76" t="s">
        <v>32</v>
      </c>
      <c r="B4975" s="76" t="s">
        <v>1006</v>
      </c>
      <c r="C4975" s="84">
        <v>2.6</v>
      </c>
      <c r="D4975" s="84">
        <v>0.0</v>
      </c>
      <c r="E4975" s="84">
        <v>0.0</v>
      </c>
      <c r="F4975" s="76" t="s">
        <v>993</v>
      </c>
      <c r="G4975" s="83">
        <v>46114.0</v>
      </c>
      <c r="H4975" s="76" t="s">
        <v>942</v>
      </c>
    </row>
    <row r="4976">
      <c r="A4976" s="76" t="s">
        <v>32</v>
      </c>
      <c r="B4976" s="76" t="s">
        <v>1006</v>
      </c>
      <c r="C4976" s="84">
        <v>1.45</v>
      </c>
      <c r="D4976" s="84">
        <v>0.0</v>
      </c>
      <c r="E4976" s="84">
        <v>0.0</v>
      </c>
      <c r="F4976" s="76" t="s">
        <v>993</v>
      </c>
      <c r="G4976" s="83">
        <v>46114.0</v>
      </c>
      <c r="H4976" s="76" t="s">
        <v>943</v>
      </c>
    </row>
    <row r="4977">
      <c r="A4977" s="76" t="s">
        <v>944</v>
      </c>
      <c r="B4977" s="76" t="s">
        <v>1006</v>
      </c>
      <c r="C4977" s="84">
        <v>2.38</v>
      </c>
      <c r="D4977" s="84">
        <v>0.0</v>
      </c>
      <c r="E4977" s="84">
        <v>0.0</v>
      </c>
      <c r="F4977" s="76" t="s">
        <v>993</v>
      </c>
      <c r="G4977" s="83">
        <v>46114.0</v>
      </c>
      <c r="H4977" s="76" t="s">
        <v>945</v>
      </c>
    </row>
    <row r="4978">
      <c r="A4978" s="76" t="s">
        <v>944</v>
      </c>
      <c r="B4978" s="76" t="s">
        <v>1006</v>
      </c>
      <c r="C4978" s="84">
        <v>1.37</v>
      </c>
      <c r="D4978" s="84">
        <v>0.0</v>
      </c>
      <c r="E4978" s="84">
        <v>0.0</v>
      </c>
      <c r="F4978" s="76" t="s">
        <v>993</v>
      </c>
      <c r="G4978" s="83">
        <v>46114.0</v>
      </c>
      <c r="H4978" s="76" t="s">
        <v>946</v>
      </c>
    </row>
    <row r="4979">
      <c r="A4979" s="76" t="s">
        <v>944</v>
      </c>
      <c r="B4979" s="76" t="s">
        <v>1006</v>
      </c>
      <c r="C4979" s="84">
        <v>0.83</v>
      </c>
      <c r="D4979" s="84">
        <v>0.0</v>
      </c>
      <c r="E4979" s="84">
        <v>0.0</v>
      </c>
      <c r="F4979" s="76" t="s">
        <v>993</v>
      </c>
      <c r="G4979" s="83">
        <v>46114.0</v>
      </c>
      <c r="H4979" s="76" t="s">
        <v>947</v>
      </c>
    </row>
    <row r="4980">
      <c r="A4980" s="76" t="s">
        <v>26</v>
      </c>
      <c r="B4980" s="76" t="s">
        <v>1006</v>
      </c>
      <c r="C4980" s="84">
        <v>2.63</v>
      </c>
      <c r="D4980" s="84">
        <v>0.0</v>
      </c>
      <c r="E4980" s="84">
        <v>0.0</v>
      </c>
      <c r="F4980" s="76" t="s">
        <v>993</v>
      </c>
      <c r="G4980" s="83">
        <v>46114.0</v>
      </c>
      <c r="H4980" s="76" t="s">
        <v>1012</v>
      </c>
    </row>
    <row r="4981">
      <c r="A4981" s="76" t="s">
        <v>26</v>
      </c>
      <c r="B4981" s="76" t="s">
        <v>1006</v>
      </c>
      <c r="C4981" s="84">
        <v>0.73</v>
      </c>
      <c r="D4981" s="84">
        <v>0.0</v>
      </c>
      <c r="E4981" s="84">
        <v>0.0</v>
      </c>
      <c r="F4981" s="76" t="s">
        <v>993</v>
      </c>
      <c r="G4981" s="83">
        <v>46114.0</v>
      </c>
      <c r="H4981" s="76" t="s">
        <v>1013</v>
      </c>
    </row>
    <row r="4982">
      <c r="A4982" s="76" t="s">
        <v>26</v>
      </c>
      <c r="B4982" s="76" t="s">
        <v>1006</v>
      </c>
      <c r="C4982" s="84">
        <v>0.62</v>
      </c>
      <c r="D4982" s="84">
        <v>0.0</v>
      </c>
      <c r="E4982" s="84">
        <v>0.0</v>
      </c>
      <c r="F4982" s="76" t="s">
        <v>993</v>
      </c>
      <c r="G4982" s="83">
        <v>46114.0</v>
      </c>
      <c r="H4982" s="76" t="s">
        <v>1014</v>
      </c>
    </row>
    <row r="4983">
      <c r="A4983" s="76" t="s">
        <v>36</v>
      </c>
      <c r="B4983" s="76" t="s">
        <v>1006</v>
      </c>
      <c r="C4983" s="84">
        <v>3.87</v>
      </c>
      <c r="D4983" s="84">
        <v>0.0</v>
      </c>
      <c r="E4983" s="84">
        <v>0.0</v>
      </c>
      <c r="F4983" s="76" t="s">
        <v>994</v>
      </c>
      <c r="G4983" s="83">
        <v>46114.0</v>
      </c>
      <c r="H4983" s="76" t="s">
        <v>926</v>
      </c>
    </row>
    <row r="4984">
      <c r="A4984" s="76" t="s">
        <v>36</v>
      </c>
      <c r="B4984" s="76" t="s">
        <v>1006</v>
      </c>
      <c r="C4984" s="84">
        <v>6.77</v>
      </c>
      <c r="D4984" s="84">
        <v>0.0</v>
      </c>
      <c r="E4984" s="84">
        <v>0.0</v>
      </c>
      <c r="F4984" s="76" t="s">
        <v>994</v>
      </c>
      <c r="G4984" s="83">
        <v>46114.0</v>
      </c>
      <c r="H4984" s="76" t="s">
        <v>927</v>
      </c>
    </row>
    <row r="4985">
      <c r="A4985" s="76" t="s">
        <v>36</v>
      </c>
      <c r="B4985" s="76" t="s">
        <v>1006</v>
      </c>
      <c r="C4985" s="84">
        <v>2.79</v>
      </c>
      <c r="D4985" s="84">
        <v>0.0</v>
      </c>
      <c r="E4985" s="84">
        <v>0.0</v>
      </c>
      <c r="F4985" s="76" t="s">
        <v>994</v>
      </c>
      <c r="G4985" s="83">
        <v>46114.0</v>
      </c>
      <c r="H4985" s="76" t="s">
        <v>928</v>
      </c>
    </row>
    <row r="4986">
      <c r="A4986" s="76" t="s">
        <v>31</v>
      </c>
      <c r="B4986" s="76" t="s">
        <v>1006</v>
      </c>
      <c r="C4986" s="84">
        <v>2.81</v>
      </c>
      <c r="D4986" s="84">
        <v>0.0</v>
      </c>
      <c r="E4986" s="84">
        <v>0.0</v>
      </c>
      <c r="F4986" s="76" t="s">
        <v>994</v>
      </c>
      <c r="G4986" s="83">
        <v>46114.0</v>
      </c>
      <c r="H4986" s="76" t="s">
        <v>929</v>
      </c>
    </row>
    <row r="4987">
      <c r="A4987" s="76" t="s">
        <v>31</v>
      </c>
      <c r="B4987" s="76" t="s">
        <v>1006</v>
      </c>
      <c r="C4987" s="84">
        <v>14.77</v>
      </c>
      <c r="D4987" s="84">
        <v>0.0</v>
      </c>
      <c r="E4987" s="84">
        <v>0.0</v>
      </c>
      <c r="F4987" s="76" t="s">
        <v>994</v>
      </c>
      <c r="G4987" s="83">
        <v>46114.0</v>
      </c>
      <c r="H4987" s="76" t="s">
        <v>930</v>
      </c>
    </row>
    <row r="4988">
      <c r="A4988" s="76" t="s">
        <v>28</v>
      </c>
      <c r="B4988" s="76" t="s">
        <v>1006</v>
      </c>
      <c r="C4988" s="84">
        <v>3.02</v>
      </c>
      <c r="D4988" s="84">
        <v>0.0</v>
      </c>
      <c r="E4988" s="84">
        <v>0.0</v>
      </c>
      <c r="F4988" s="76" t="s">
        <v>994</v>
      </c>
      <c r="G4988" s="83">
        <v>46114.0</v>
      </c>
      <c r="H4988" s="76" t="s">
        <v>931</v>
      </c>
    </row>
    <row r="4989">
      <c r="A4989" s="76" t="s">
        <v>28</v>
      </c>
      <c r="B4989" s="76" t="s">
        <v>1006</v>
      </c>
      <c r="C4989" s="84">
        <v>1.47</v>
      </c>
      <c r="D4989" s="84">
        <v>0.0</v>
      </c>
      <c r="E4989" s="84">
        <v>0.0</v>
      </c>
      <c r="F4989" s="76" t="s">
        <v>994</v>
      </c>
      <c r="G4989" s="83">
        <v>46114.0</v>
      </c>
      <c r="H4989" s="76" t="s">
        <v>932</v>
      </c>
    </row>
    <row r="4990">
      <c r="A4990" s="76" t="s">
        <v>28</v>
      </c>
      <c r="B4990" s="76" t="s">
        <v>1006</v>
      </c>
      <c r="C4990" s="84">
        <v>2.49</v>
      </c>
      <c r="D4990" s="84">
        <v>0.0</v>
      </c>
      <c r="E4990" s="84">
        <v>0.0</v>
      </c>
      <c r="F4990" s="76" t="s">
        <v>994</v>
      </c>
      <c r="G4990" s="83">
        <v>46114.0</v>
      </c>
      <c r="H4990" s="76" t="s">
        <v>933</v>
      </c>
    </row>
    <row r="4991">
      <c r="A4991" s="76" t="s">
        <v>42</v>
      </c>
      <c r="B4991" s="76" t="s">
        <v>1006</v>
      </c>
      <c r="C4991" s="84">
        <v>0.09</v>
      </c>
      <c r="D4991" s="84">
        <v>0.0</v>
      </c>
      <c r="E4991" s="84">
        <v>0.0</v>
      </c>
      <c r="F4991" s="76" t="s">
        <v>994</v>
      </c>
      <c r="G4991" s="83">
        <v>46114.0</v>
      </c>
      <c r="H4991" s="76" t="s">
        <v>991</v>
      </c>
    </row>
    <row r="4992">
      <c r="A4992" s="76" t="s">
        <v>42</v>
      </c>
      <c r="B4992" s="76" t="s">
        <v>1006</v>
      </c>
      <c r="C4992" s="84">
        <v>4.1</v>
      </c>
      <c r="D4992" s="84">
        <v>0.0</v>
      </c>
      <c r="E4992" s="84">
        <v>0.0</v>
      </c>
      <c r="F4992" s="76" t="s">
        <v>994</v>
      </c>
      <c r="G4992" s="83">
        <v>46114.0</v>
      </c>
      <c r="H4992" s="76" t="s">
        <v>935</v>
      </c>
    </row>
    <row r="4993">
      <c r="A4993" s="76" t="s">
        <v>45</v>
      </c>
      <c r="B4993" s="76" t="s">
        <v>1006</v>
      </c>
      <c r="C4993" s="84">
        <v>3.16</v>
      </c>
      <c r="D4993" s="84">
        <v>0.0</v>
      </c>
      <c r="E4993" s="84">
        <v>0.0</v>
      </c>
      <c r="F4993" s="76" t="s">
        <v>994</v>
      </c>
      <c r="G4993" s="83">
        <v>46114.0</v>
      </c>
      <c r="H4993" s="76" t="s">
        <v>936</v>
      </c>
    </row>
    <row r="4994">
      <c r="A4994" s="76" t="s">
        <v>45</v>
      </c>
      <c r="B4994" s="76" t="s">
        <v>1006</v>
      </c>
      <c r="C4994" s="84">
        <v>0.76</v>
      </c>
      <c r="D4994" s="84">
        <v>0.0</v>
      </c>
      <c r="E4994" s="84">
        <v>0.0</v>
      </c>
      <c r="F4994" s="76" t="s">
        <v>994</v>
      </c>
      <c r="G4994" s="83">
        <v>46114.0</v>
      </c>
      <c r="H4994" s="76" t="s">
        <v>937</v>
      </c>
    </row>
    <row r="4995">
      <c r="A4995" s="76" t="s">
        <v>45</v>
      </c>
      <c r="B4995" s="76" t="s">
        <v>1006</v>
      </c>
      <c r="C4995" s="84">
        <v>3.1</v>
      </c>
      <c r="D4995" s="84">
        <v>0.0</v>
      </c>
      <c r="E4995" s="84">
        <v>0.0</v>
      </c>
      <c r="F4995" s="76" t="s">
        <v>994</v>
      </c>
      <c r="G4995" s="83">
        <v>46114.0</v>
      </c>
      <c r="H4995" s="76" t="s">
        <v>938</v>
      </c>
    </row>
    <row r="4996">
      <c r="A4996" s="76" t="s">
        <v>50</v>
      </c>
      <c r="B4996" s="76" t="s">
        <v>1006</v>
      </c>
      <c r="C4996" s="84">
        <v>0.43</v>
      </c>
      <c r="D4996" s="84">
        <v>0.0</v>
      </c>
      <c r="E4996" s="84">
        <v>0.0</v>
      </c>
      <c r="F4996" s="76" t="s">
        <v>994</v>
      </c>
      <c r="G4996" s="83">
        <v>46114.0</v>
      </c>
      <c r="H4996" s="76" t="s">
        <v>939</v>
      </c>
    </row>
    <row r="4997">
      <c r="A4997" s="76" t="s">
        <v>50</v>
      </c>
      <c r="B4997" s="76" t="s">
        <v>1006</v>
      </c>
      <c r="C4997" s="84">
        <v>1.9</v>
      </c>
      <c r="D4997" s="84">
        <v>0.0</v>
      </c>
      <c r="E4997" s="84">
        <v>0.0</v>
      </c>
      <c r="F4997" s="76" t="s">
        <v>994</v>
      </c>
      <c r="G4997" s="83">
        <v>46114.0</v>
      </c>
      <c r="H4997" s="76" t="s">
        <v>940</v>
      </c>
    </row>
    <row r="4998">
      <c r="A4998" s="76" t="s">
        <v>32</v>
      </c>
      <c r="B4998" s="76" t="s">
        <v>1006</v>
      </c>
      <c r="C4998" s="84">
        <v>2.23</v>
      </c>
      <c r="D4998" s="84">
        <v>0.0</v>
      </c>
      <c r="E4998" s="84">
        <v>0.0</v>
      </c>
      <c r="F4998" s="76" t="s">
        <v>994</v>
      </c>
      <c r="G4998" s="83">
        <v>46114.0</v>
      </c>
      <c r="H4998" s="76" t="s">
        <v>941</v>
      </c>
    </row>
    <row r="4999">
      <c r="A4999" s="76" t="s">
        <v>32</v>
      </c>
      <c r="B4999" s="76" t="s">
        <v>1006</v>
      </c>
      <c r="C4999" s="84">
        <v>5.89</v>
      </c>
      <c r="D4999" s="84">
        <v>0.0</v>
      </c>
      <c r="E4999" s="84">
        <v>0.0</v>
      </c>
      <c r="F4999" s="76" t="s">
        <v>994</v>
      </c>
      <c r="G4999" s="83">
        <v>46114.0</v>
      </c>
      <c r="H4999" s="76" t="s">
        <v>942</v>
      </c>
    </row>
    <row r="5000">
      <c r="A5000" s="76" t="s">
        <v>32</v>
      </c>
      <c r="B5000" s="76" t="s">
        <v>1006</v>
      </c>
      <c r="C5000" s="84">
        <v>3.04</v>
      </c>
      <c r="D5000" s="84">
        <v>0.0</v>
      </c>
      <c r="E5000" s="84">
        <v>0.0</v>
      </c>
      <c r="F5000" s="76" t="s">
        <v>994</v>
      </c>
      <c r="G5000" s="83">
        <v>46114.0</v>
      </c>
      <c r="H5000" s="76" t="s">
        <v>943</v>
      </c>
    </row>
    <row r="5001">
      <c r="A5001" s="76" t="s">
        <v>944</v>
      </c>
      <c r="B5001" s="76" t="s">
        <v>1006</v>
      </c>
      <c r="C5001" s="84">
        <v>6.31</v>
      </c>
      <c r="D5001" s="84">
        <v>0.0</v>
      </c>
      <c r="E5001" s="84">
        <v>0.0</v>
      </c>
      <c r="F5001" s="76" t="s">
        <v>994</v>
      </c>
      <c r="G5001" s="83">
        <v>46114.0</v>
      </c>
      <c r="H5001" s="76" t="s">
        <v>945</v>
      </c>
    </row>
    <row r="5002">
      <c r="A5002" s="76" t="s">
        <v>944</v>
      </c>
      <c r="B5002" s="76" t="s">
        <v>1006</v>
      </c>
      <c r="C5002" s="84">
        <v>3.39</v>
      </c>
      <c r="D5002" s="84">
        <v>0.0</v>
      </c>
      <c r="E5002" s="84">
        <v>0.0</v>
      </c>
      <c r="F5002" s="76" t="s">
        <v>994</v>
      </c>
      <c r="G5002" s="83">
        <v>46114.0</v>
      </c>
      <c r="H5002" s="76" t="s">
        <v>946</v>
      </c>
    </row>
    <row r="5003">
      <c r="A5003" s="76" t="s">
        <v>944</v>
      </c>
      <c r="B5003" s="76" t="s">
        <v>1006</v>
      </c>
      <c r="C5003" s="84">
        <v>2.02</v>
      </c>
      <c r="D5003" s="84">
        <v>0.0</v>
      </c>
      <c r="E5003" s="84">
        <v>0.0</v>
      </c>
      <c r="F5003" s="76" t="s">
        <v>994</v>
      </c>
      <c r="G5003" s="83">
        <v>46114.0</v>
      </c>
      <c r="H5003" s="76" t="s">
        <v>947</v>
      </c>
    </row>
    <row r="5004">
      <c r="A5004" s="76" t="s">
        <v>26</v>
      </c>
      <c r="B5004" s="76" t="s">
        <v>1006</v>
      </c>
      <c r="C5004" s="84">
        <v>6.93</v>
      </c>
      <c r="D5004" s="84">
        <v>0.0</v>
      </c>
      <c r="E5004" s="84">
        <v>0.0</v>
      </c>
      <c r="F5004" s="76" t="s">
        <v>994</v>
      </c>
      <c r="G5004" s="83">
        <v>46114.0</v>
      </c>
      <c r="H5004" s="76" t="s">
        <v>1012</v>
      </c>
    </row>
    <row r="5005">
      <c r="A5005" s="76" t="s">
        <v>26</v>
      </c>
      <c r="B5005" s="76" t="s">
        <v>1006</v>
      </c>
      <c r="C5005" s="84">
        <v>2.81</v>
      </c>
      <c r="D5005" s="84">
        <v>0.0</v>
      </c>
      <c r="E5005" s="84">
        <v>0.0</v>
      </c>
      <c r="F5005" s="76" t="s">
        <v>994</v>
      </c>
      <c r="G5005" s="83">
        <v>46114.0</v>
      </c>
      <c r="H5005" s="76" t="s">
        <v>1013</v>
      </c>
    </row>
    <row r="5006">
      <c r="A5006" s="76" t="s">
        <v>26</v>
      </c>
      <c r="B5006" s="76" t="s">
        <v>1006</v>
      </c>
      <c r="C5006" s="84">
        <v>1.92</v>
      </c>
      <c r="D5006" s="84">
        <v>0.0</v>
      </c>
      <c r="E5006" s="84">
        <v>0.0</v>
      </c>
      <c r="F5006" s="76" t="s">
        <v>994</v>
      </c>
      <c r="G5006" s="83">
        <v>46114.0</v>
      </c>
      <c r="H5006" s="76" t="s">
        <v>1014</v>
      </c>
    </row>
    <row r="5007">
      <c r="A5007" s="76" t="s">
        <v>36</v>
      </c>
      <c r="B5007" s="76" t="s">
        <v>1006</v>
      </c>
      <c r="C5007" s="84">
        <v>2.17</v>
      </c>
      <c r="D5007" s="84">
        <v>0.0</v>
      </c>
      <c r="E5007" s="84">
        <v>0.0</v>
      </c>
      <c r="F5007" s="76" t="s">
        <v>1005</v>
      </c>
      <c r="G5007" s="83">
        <v>46114.0</v>
      </c>
      <c r="H5007" s="76" t="s">
        <v>926</v>
      </c>
    </row>
    <row r="5008">
      <c r="A5008" s="76" t="s">
        <v>36</v>
      </c>
      <c r="B5008" s="76" t="s">
        <v>1006</v>
      </c>
      <c r="C5008" s="84">
        <v>5.76</v>
      </c>
      <c r="D5008" s="84">
        <v>0.0</v>
      </c>
      <c r="E5008" s="84">
        <v>0.0</v>
      </c>
      <c r="F5008" s="76" t="s">
        <v>1005</v>
      </c>
      <c r="G5008" s="83">
        <v>46114.0</v>
      </c>
      <c r="H5008" s="76" t="s">
        <v>927</v>
      </c>
    </row>
    <row r="5009">
      <c r="A5009" s="76" t="s">
        <v>36</v>
      </c>
      <c r="B5009" s="76" t="s">
        <v>1006</v>
      </c>
      <c r="C5009" s="84">
        <v>2.02</v>
      </c>
      <c r="D5009" s="84">
        <v>0.0</v>
      </c>
      <c r="E5009" s="84">
        <v>0.0</v>
      </c>
      <c r="F5009" s="76" t="s">
        <v>1005</v>
      </c>
      <c r="G5009" s="83">
        <v>46114.0</v>
      </c>
      <c r="H5009" s="76" t="s">
        <v>928</v>
      </c>
    </row>
    <row r="5010">
      <c r="A5010" s="76" t="s">
        <v>31</v>
      </c>
      <c r="B5010" s="76" t="s">
        <v>1006</v>
      </c>
      <c r="C5010" s="84">
        <v>1.24</v>
      </c>
      <c r="D5010" s="84">
        <v>0.0</v>
      </c>
      <c r="E5010" s="84">
        <v>0.0</v>
      </c>
      <c r="F5010" s="76" t="s">
        <v>1005</v>
      </c>
      <c r="G5010" s="83">
        <v>46114.0</v>
      </c>
      <c r="H5010" s="76" t="s">
        <v>929</v>
      </c>
    </row>
    <row r="5011">
      <c r="A5011" s="76" t="s">
        <v>31</v>
      </c>
      <c r="B5011" s="76" t="s">
        <v>1006</v>
      </c>
      <c r="C5011" s="84">
        <v>6.08</v>
      </c>
      <c r="D5011" s="84">
        <v>0.0</v>
      </c>
      <c r="E5011" s="84">
        <v>0.0</v>
      </c>
      <c r="F5011" s="76" t="s">
        <v>1005</v>
      </c>
      <c r="G5011" s="83">
        <v>46114.0</v>
      </c>
      <c r="H5011" s="76" t="s">
        <v>930</v>
      </c>
    </row>
    <row r="5012">
      <c r="A5012" s="76" t="s">
        <v>28</v>
      </c>
      <c r="B5012" s="76" t="s">
        <v>1006</v>
      </c>
      <c r="C5012" s="84">
        <v>2.24</v>
      </c>
      <c r="D5012" s="84">
        <v>0.0</v>
      </c>
      <c r="E5012" s="84">
        <v>0.0</v>
      </c>
      <c r="F5012" s="76" t="s">
        <v>1005</v>
      </c>
      <c r="G5012" s="83">
        <v>46114.0</v>
      </c>
      <c r="H5012" s="76" t="s">
        <v>931</v>
      </c>
    </row>
    <row r="5013">
      <c r="A5013" s="76" t="s">
        <v>28</v>
      </c>
      <c r="B5013" s="76" t="s">
        <v>1006</v>
      </c>
      <c r="C5013" s="84">
        <v>1.02</v>
      </c>
      <c r="D5013" s="84">
        <v>0.0</v>
      </c>
      <c r="E5013" s="84">
        <v>0.0</v>
      </c>
      <c r="F5013" s="76" t="s">
        <v>1005</v>
      </c>
      <c r="G5013" s="83">
        <v>46114.0</v>
      </c>
      <c r="H5013" s="76" t="s">
        <v>932</v>
      </c>
    </row>
    <row r="5014">
      <c r="A5014" s="76" t="s">
        <v>28</v>
      </c>
      <c r="B5014" s="76" t="s">
        <v>1006</v>
      </c>
      <c r="C5014" s="84">
        <v>1.76</v>
      </c>
      <c r="D5014" s="84">
        <v>0.0</v>
      </c>
      <c r="E5014" s="84">
        <v>0.0</v>
      </c>
      <c r="F5014" s="76" t="s">
        <v>1005</v>
      </c>
      <c r="G5014" s="83">
        <v>46114.0</v>
      </c>
      <c r="H5014" s="76" t="s">
        <v>933</v>
      </c>
    </row>
    <row r="5015">
      <c r="A5015" s="76" t="s">
        <v>42</v>
      </c>
      <c r="B5015" s="76" t="s">
        <v>1006</v>
      </c>
      <c r="C5015" s="84">
        <v>0.07</v>
      </c>
      <c r="D5015" s="84">
        <v>0.0</v>
      </c>
      <c r="E5015" s="84">
        <v>0.0</v>
      </c>
      <c r="F5015" s="76" t="s">
        <v>1005</v>
      </c>
      <c r="G5015" s="83">
        <v>46114.0</v>
      </c>
      <c r="H5015" s="76" t="s">
        <v>991</v>
      </c>
    </row>
    <row r="5016">
      <c r="A5016" s="76" t="s">
        <v>42</v>
      </c>
      <c r="B5016" s="76" t="s">
        <v>1006</v>
      </c>
      <c r="C5016" s="84">
        <v>2.54</v>
      </c>
      <c r="D5016" s="84">
        <v>0.0</v>
      </c>
      <c r="E5016" s="84">
        <v>0.0</v>
      </c>
      <c r="F5016" s="76" t="s">
        <v>1005</v>
      </c>
      <c r="G5016" s="83">
        <v>46114.0</v>
      </c>
      <c r="H5016" s="76" t="s">
        <v>935</v>
      </c>
    </row>
    <row r="5017">
      <c r="A5017" s="76" t="s">
        <v>45</v>
      </c>
      <c r="B5017" s="76" t="s">
        <v>1006</v>
      </c>
      <c r="C5017" s="84">
        <v>2.47</v>
      </c>
      <c r="D5017" s="84">
        <v>0.0</v>
      </c>
      <c r="E5017" s="84">
        <v>0.0</v>
      </c>
      <c r="F5017" s="76" t="s">
        <v>1005</v>
      </c>
      <c r="G5017" s="83">
        <v>46114.0</v>
      </c>
      <c r="H5017" s="76" t="s">
        <v>936</v>
      </c>
    </row>
    <row r="5018">
      <c r="A5018" s="76" t="s">
        <v>45</v>
      </c>
      <c r="B5018" s="76" t="s">
        <v>1006</v>
      </c>
      <c r="C5018" s="84">
        <v>0.45</v>
      </c>
      <c r="D5018" s="84">
        <v>0.0</v>
      </c>
      <c r="E5018" s="84">
        <v>0.0</v>
      </c>
      <c r="F5018" s="76" t="s">
        <v>1005</v>
      </c>
      <c r="G5018" s="83">
        <v>46114.0</v>
      </c>
      <c r="H5018" s="76" t="s">
        <v>937</v>
      </c>
    </row>
    <row r="5019">
      <c r="A5019" s="76" t="s">
        <v>45</v>
      </c>
      <c r="B5019" s="76" t="s">
        <v>1006</v>
      </c>
      <c r="C5019" s="84">
        <v>2.58</v>
      </c>
      <c r="D5019" s="84">
        <v>0.0</v>
      </c>
      <c r="E5019" s="84">
        <v>0.0</v>
      </c>
      <c r="F5019" s="76" t="s">
        <v>1005</v>
      </c>
      <c r="G5019" s="83">
        <v>46114.0</v>
      </c>
      <c r="H5019" s="76" t="s">
        <v>938</v>
      </c>
    </row>
    <row r="5020">
      <c r="A5020" s="76" t="s">
        <v>50</v>
      </c>
      <c r="B5020" s="76" t="s">
        <v>1006</v>
      </c>
      <c r="C5020" s="84">
        <v>0.31</v>
      </c>
      <c r="D5020" s="84">
        <v>0.0</v>
      </c>
      <c r="E5020" s="84">
        <v>0.0</v>
      </c>
      <c r="F5020" s="76" t="s">
        <v>1005</v>
      </c>
      <c r="G5020" s="83">
        <v>46114.0</v>
      </c>
      <c r="H5020" s="76" t="s">
        <v>939</v>
      </c>
    </row>
    <row r="5021">
      <c r="A5021" s="76" t="s">
        <v>50</v>
      </c>
      <c r="B5021" s="76" t="s">
        <v>1006</v>
      </c>
      <c r="C5021" s="84">
        <v>1.45</v>
      </c>
      <c r="D5021" s="84">
        <v>0.0</v>
      </c>
      <c r="E5021" s="84">
        <v>0.0</v>
      </c>
      <c r="F5021" s="76" t="s">
        <v>1005</v>
      </c>
      <c r="G5021" s="83">
        <v>46114.0</v>
      </c>
      <c r="H5021" s="76" t="s">
        <v>940</v>
      </c>
    </row>
    <row r="5022">
      <c r="A5022" s="76" t="s">
        <v>32</v>
      </c>
      <c r="B5022" s="76" t="s">
        <v>1006</v>
      </c>
      <c r="C5022" s="84">
        <v>0.89</v>
      </c>
      <c r="D5022" s="84">
        <v>0.0</v>
      </c>
      <c r="E5022" s="84">
        <v>0.0</v>
      </c>
      <c r="F5022" s="76" t="s">
        <v>1005</v>
      </c>
      <c r="G5022" s="83">
        <v>46114.0</v>
      </c>
      <c r="H5022" s="76" t="s">
        <v>941</v>
      </c>
    </row>
    <row r="5023">
      <c r="A5023" s="76" t="s">
        <v>32</v>
      </c>
      <c r="B5023" s="76" t="s">
        <v>1006</v>
      </c>
      <c r="C5023" s="84">
        <v>2.24</v>
      </c>
      <c r="D5023" s="84">
        <v>0.0</v>
      </c>
      <c r="E5023" s="84">
        <v>0.0</v>
      </c>
      <c r="F5023" s="76" t="s">
        <v>1005</v>
      </c>
      <c r="G5023" s="83">
        <v>46114.0</v>
      </c>
      <c r="H5023" s="76" t="s">
        <v>942</v>
      </c>
    </row>
    <row r="5024">
      <c r="A5024" s="76" t="s">
        <v>32</v>
      </c>
      <c r="B5024" s="76" t="s">
        <v>1006</v>
      </c>
      <c r="C5024" s="84">
        <v>2.17</v>
      </c>
      <c r="D5024" s="84">
        <v>0.0</v>
      </c>
      <c r="E5024" s="84">
        <v>0.0</v>
      </c>
      <c r="F5024" s="76" t="s">
        <v>1005</v>
      </c>
      <c r="G5024" s="83">
        <v>46114.0</v>
      </c>
      <c r="H5024" s="76" t="s">
        <v>943</v>
      </c>
    </row>
    <row r="5025">
      <c r="A5025" s="76" t="s">
        <v>944</v>
      </c>
      <c r="B5025" s="76" t="s">
        <v>1006</v>
      </c>
      <c r="C5025" s="84">
        <v>5.23</v>
      </c>
      <c r="D5025" s="84">
        <v>0.0</v>
      </c>
      <c r="E5025" s="84">
        <v>0.0</v>
      </c>
      <c r="F5025" s="76" t="s">
        <v>1005</v>
      </c>
      <c r="G5025" s="83">
        <v>46114.0</v>
      </c>
      <c r="H5025" s="76" t="s">
        <v>945</v>
      </c>
    </row>
    <row r="5026">
      <c r="A5026" s="76" t="s">
        <v>944</v>
      </c>
      <c r="B5026" s="76" t="s">
        <v>1006</v>
      </c>
      <c r="C5026" s="84">
        <v>2.8</v>
      </c>
      <c r="D5026" s="84">
        <v>0.0</v>
      </c>
      <c r="E5026" s="84">
        <v>0.0</v>
      </c>
      <c r="F5026" s="76" t="s">
        <v>1005</v>
      </c>
      <c r="G5026" s="83">
        <v>46114.0</v>
      </c>
      <c r="H5026" s="76" t="s">
        <v>946</v>
      </c>
    </row>
    <row r="5027">
      <c r="A5027" s="76" t="s">
        <v>944</v>
      </c>
      <c r="B5027" s="76" t="s">
        <v>1006</v>
      </c>
      <c r="C5027" s="84">
        <v>1.47</v>
      </c>
      <c r="D5027" s="84">
        <v>0.0</v>
      </c>
      <c r="E5027" s="84">
        <v>0.0</v>
      </c>
      <c r="F5027" s="76" t="s">
        <v>1005</v>
      </c>
      <c r="G5027" s="83">
        <v>46114.0</v>
      </c>
      <c r="H5027" s="76" t="s">
        <v>947</v>
      </c>
    </row>
    <row r="5028">
      <c r="A5028" s="76" t="s">
        <v>26</v>
      </c>
      <c r="B5028" s="76" t="s">
        <v>1006</v>
      </c>
      <c r="C5028" s="84">
        <v>5.16</v>
      </c>
      <c r="D5028" s="84">
        <v>0.0</v>
      </c>
      <c r="E5028" s="84">
        <v>0.0</v>
      </c>
      <c r="F5028" s="76" t="s">
        <v>1005</v>
      </c>
      <c r="G5028" s="83">
        <v>46114.0</v>
      </c>
      <c r="H5028" s="76" t="s">
        <v>1012</v>
      </c>
    </row>
    <row r="5029">
      <c r="A5029" s="76" t="s">
        <v>26</v>
      </c>
      <c r="B5029" s="76" t="s">
        <v>1006</v>
      </c>
      <c r="C5029" s="84">
        <v>1.82</v>
      </c>
      <c r="D5029" s="84">
        <v>0.0</v>
      </c>
      <c r="E5029" s="84">
        <v>0.0</v>
      </c>
      <c r="F5029" s="76" t="s">
        <v>1005</v>
      </c>
      <c r="G5029" s="83">
        <v>46114.0</v>
      </c>
      <c r="H5029" s="76" t="s">
        <v>1013</v>
      </c>
    </row>
    <row r="5030">
      <c r="A5030" s="76" t="s">
        <v>26</v>
      </c>
      <c r="B5030" s="76" t="s">
        <v>1006</v>
      </c>
      <c r="C5030" s="84">
        <v>1.27</v>
      </c>
      <c r="D5030" s="84">
        <v>0.0</v>
      </c>
      <c r="E5030" s="84">
        <v>0.0</v>
      </c>
      <c r="F5030" s="76" t="s">
        <v>1005</v>
      </c>
      <c r="G5030" s="83">
        <v>46114.0</v>
      </c>
      <c r="H5030" s="76" t="s">
        <v>1014</v>
      </c>
    </row>
    <row r="5031">
      <c r="A5031" s="76" t="s">
        <v>36</v>
      </c>
      <c r="B5031" s="76" t="s">
        <v>1006</v>
      </c>
      <c r="C5031" s="84">
        <v>2.2</v>
      </c>
      <c r="D5031" s="84">
        <v>0.0</v>
      </c>
      <c r="E5031" s="84">
        <v>0.0</v>
      </c>
      <c r="F5031" s="76" t="s">
        <v>996</v>
      </c>
      <c r="G5031" s="83">
        <v>46114.0</v>
      </c>
      <c r="H5031" s="76" t="s">
        <v>926</v>
      </c>
    </row>
    <row r="5032">
      <c r="A5032" s="76" t="s">
        <v>36</v>
      </c>
      <c r="B5032" s="76" t="s">
        <v>1006</v>
      </c>
      <c r="C5032" s="84">
        <v>4.77</v>
      </c>
      <c r="D5032" s="84">
        <v>0.0</v>
      </c>
      <c r="E5032" s="84">
        <v>0.0</v>
      </c>
      <c r="F5032" s="76" t="s">
        <v>996</v>
      </c>
      <c r="G5032" s="83">
        <v>46114.0</v>
      </c>
      <c r="H5032" s="76" t="s">
        <v>927</v>
      </c>
    </row>
    <row r="5033">
      <c r="A5033" s="76" t="s">
        <v>36</v>
      </c>
      <c r="B5033" s="76" t="s">
        <v>1006</v>
      </c>
      <c r="C5033" s="84">
        <v>1.45</v>
      </c>
      <c r="D5033" s="84">
        <v>0.0</v>
      </c>
      <c r="E5033" s="84">
        <v>0.0</v>
      </c>
      <c r="F5033" s="76" t="s">
        <v>996</v>
      </c>
      <c r="G5033" s="83">
        <v>46114.0</v>
      </c>
      <c r="H5033" s="76" t="s">
        <v>928</v>
      </c>
    </row>
    <row r="5034">
      <c r="A5034" s="76" t="s">
        <v>31</v>
      </c>
      <c r="B5034" s="76" t="s">
        <v>1006</v>
      </c>
      <c r="C5034" s="84">
        <v>1.3</v>
      </c>
      <c r="D5034" s="84">
        <v>0.0</v>
      </c>
      <c r="E5034" s="84">
        <v>0.0</v>
      </c>
      <c r="F5034" s="76" t="s">
        <v>996</v>
      </c>
      <c r="G5034" s="83">
        <v>46114.0</v>
      </c>
      <c r="H5034" s="76" t="s">
        <v>929</v>
      </c>
    </row>
    <row r="5035">
      <c r="A5035" s="76" t="s">
        <v>31</v>
      </c>
      <c r="B5035" s="76" t="s">
        <v>1006</v>
      </c>
      <c r="C5035" s="84">
        <v>10.47</v>
      </c>
      <c r="D5035" s="84">
        <v>0.0</v>
      </c>
      <c r="E5035" s="84">
        <v>0.0</v>
      </c>
      <c r="F5035" s="76" t="s">
        <v>996</v>
      </c>
      <c r="G5035" s="83">
        <v>46114.0</v>
      </c>
      <c r="H5035" s="76" t="s">
        <v>930</v>
      </c>
    </row>
    <row r="5036">
      <c r="A5036" s="76" t="s">
        <v>28</v>
      </c>
      <c r="B5036" s="76" t="s">
        <v>1006</v>
      </c>
      <c r="C5036" s="84">
        <v>2.12</v>
      </c>
      <c r="D5036" s="84">
        <v>0.0</v>
      </c>
      <c r="E5036" s="84">
        <v>0.0</v>
      </c>
      <c r="F5036" s="76" t="s">
        <v>996</v>
      </c>
      <c r="G5036" s="83">
        <v>46114.0</v>
      </c>
      <c r="H5036" s="76" t="s">
        <v>931</v>
      </c>
    </row>
    <row r="5037">
      <c r="A5037" s="76" t="s">
        <v>28</v>
      </c>
      <c r="B5037" s="76" t="s">
        <v>1006</v>
      </c>
      <c r="C5037" s="84">
        <v>0.83</v>
      </c>
      <c r="D5037" s="84">
        <v>0.0</v>
      </c>
      <c r="E5037" s="84">
        <v>0.0</v>
      </c>
      <c r="F5037" s="76" t="s">
        <v>996</v>
      </c>
      <c r="G5037" s="83">
        <v>46114.0</v>
      </c>
      <c r="H5037" s="76" t="s">
        <v>932</v>
      </c>
    </row>
    <row r="5038">
      <c r="A5038" s="76" t="s">
        <v>28</v>
      </c>
      <c r="B5038" s="76" t="s">
        <v>1006</v>
      </c>
      <c r="C5038" s="84">
        <v>1.38</v>
      </c>
      <c r="D5038" s="84">
        <v>0.0</v>
      </c>
      <c r="E5038" s="84">
        <v>0.0</v>
      </c>
      <c r="F5038" s="76" t="s">
        <v>996</v>
      </c>
      <c r="G5038" s="83">
        <v>46114.0</v>
      </c>
      <c r="H5038" s="76" t="s">
        <v>933</v>
      </c>
    </row>
    <row r="5039">
      <c r="A5039" s="76" t="s">
        <v>42</v>
      </c>
      <c r="B5039" s="76" t="s">
        <v>1006</v>
      </c>
      <c r="C5039" s="84">
        <v>0.04</v>
      </c>
      <c r="D5039" s="84">
        <v>0.0</v>
      </c>
      <c r="E5039" s="84">
        <v>0.0</v>
      </c>
      <c r="F5039" s="76" t="s">
        <v>996</v>
      </c>
      <c r="G5039" s="83">
        <v>46114.0</v>
      </c>
      <c r="H5039" s="76" t="s">
        <v>991</v>
      </c>
    </row>
    <row r="5040">
      <c r="A5040" s="76" t="s">
        <v>42</v>
      </c>
      <c r="B5040" s="76" t="s">
        <v>1006</v>
      </c>
      <c r="C5040" s="84">
        <v>1.95</v>
      </c>
      <c r="D5040" s="84">
        <v>0.0</v>
      </c>
      <c r="E5040" s="84">
        <v>0.0</v>
      </c>
      <c r="F5040" s="76" t="s">
        <v>996</v>
      </c>
      <c r="G5040" s="83">
        <v>46114.0</v>
      </c>
      <c r="H5040" s="76" t="s">
        <v>935</v>
      </c>
    </row>
    <row r="5041">
      <c r="A5041" s="76" t="s">
        <v>45</v>
      </c>
      <c r="B5041" s="76" t="s">
        <v>1006</v>
      </c>
      <c r="C5041" s="84">
        <v>2.3</v>
      </c>
      <c r="D5041" s="84">
        <v>0.0</v>
      </c>
      <c r="E5041" s="84">
        <v>0.0</v>
      </c>
      <c r="F5041" s="76" t="s">
        <v>996</v>
      </c>
      <c r="G5041" s="83">
        <v>46114.0</v>
      </c>
      <c r="H5041" s="76" t="s">
        <v>936</v>
      </c>
    </row>
    <row r="5042">
      <c r="A5042" s="76" t="s">
        <v>45</v>
      </c>
      <c r="B5042" s="76" t="s">
        <v>1006</v>
      </c>
      <c r="C5042" s="84">
        <v>0.41</v>
      </c>
      <c r="D5042" s="84">
        <v>0.0</v>
      </c>
      <c r="E5042" s="84">
        <v>0.0</v>
      </c>
      <c r="F5042" s="76" t="s">
        <v>996</v>
      </c>
      <c r="G5042" s="83">
        <v>46114.0</v>
      </c>
      <c r="H5042" s="76" t="s">
        <v>937</v>
      </c>
    </row>
    <row r="5043">
      <c r="A5043" s="76" t="s">
        <v>45</v>
      </c>
      <c r="B5043" s="76" t="s">
        <v>1006</v>
      </c>
      <c r="C5043" s="84">
        <v>2.54</v>
      </c>
      <c r="D5043" s="84">
        <v>0.0</v>
      </c>
      <c r="E5043" s="84">
        <v>0.0</v>
      </c>
      <c r="F5043" s="76" t="s">
        <v>996</v>
      </c>
      <c r="G5043" s="83">
        <v>46114.0</v>
      </c>
      <c r="H5043" s="76" t="s">
        <v>938</v>
      </c>
    </row>
    <row r="5044">
      <c r="A5044" s="76" t="s">
        <v>50</v>
      </c>
      <c r="B5044" s="76" t="s">
        <v>1006</v>
      </c>
      <c r="C5044" s="84">
        <v>0.24</v>
      </c>
      <c r="D5044" s="84">
        <v>0.0</v>
      </c>
      <c r="E5044" s="84">
        <v>0.0</v>
      </c>
      <c r="F5044" s="76" t="s">
        <v>996</v>
      </c>
      <c r="G5044" s="83">
        <v>46114.0</v>
      </c>
      <c r="H5044" s="76" t="s">
        <v>939</v>
      </c>
    </row>
    <row r="5045">
      <c r="A5045" s="76" t="s">
        <v>50</v>
      </c>
      <c r="B5045" s="76" t="s">
        <v>1006</v>
      </c>
      <c r="C5045" s="84">
        <v>1.09</v>
      </c>
      <c r="D5045" s="84">
        <v>0.0</v>
      </c>
      <c r="E5045" s="84">
        <v>0.0</v>
      </c>
      <c r="F5045" s="76" t="s">
        <v>996</v>
      </c>
      <c r="G5045" s="83">
        <v>46114.0</v>
      </c>
      <c r="H5045" s="76" t="s">
        <v>940</v>
      </c>
    </row>
    <row r="5046">
      <c r="A5046" s="76" t="s">
        <v>32</v>
      </c>
      <c r="B5046" s="76" t="s">
        <v>1006</v>
      </c>
      <c r="C5046" s="84">
        <v>0.66</v>
      </c>
      <c r="D5046" s="84">
        <v>0.0</v>
      </c>
      <c r="E5046" s="84">
        <v>0.0</v>
      </c>
      <c r="F5046" s="76" t="s">
        <v>996</v>
      </c>
      <c r="G5046" s="83">
        <v>46114.0</v>
      </c>
      <c r="H5046" s="76" t="s">
        <v>941</v>
      </c>
    </row>
    <row r="5047">
      <c r="A5047" s="76" t="s">
        <v>32</v>
      </c>
      <c r="B5047" s="76" t="s">
        <v>1006</v>
      </c>
      <c r="C5047" s="84">
        <v>1.95</v>
      </c>
      <c r="D5047" s="84">
        <v>0.0</v>
      </c>
      <c r="E5047" s="84">
        <v>0.0</v>
      </c>
      <c r="F5047" s="76" t="s">
        <v>996</v>
      </c>
      <c r="G5047" s="83">
        <v>46114.0</v>
      </c>
      <c r="H5047" s="76" t="s">
        <v>942</v>
      </c>
    </row>
    <row r="5048">
      <c r="A5048" s="76" t="s">
        <v>32</v>
      </c>
      <c r="B5048" s="76" t="s">
        <v>1006</v>
      </c>
      <c r="C5048" s="84">
        <v>2.34</v>
      </c>
      <c r="D5048" s="84">
        <v>0.0</v>
      </c>
      <c r="E5048" s="84">
        <v>0.0</v>
      </c>
      <c r="F5048" s="76" t="s">
        <v>996</v>
      </c>
      <c r="G5048" s="83">
        <v>46114.0</v>
      </c>
      <c r="H5048" s="76" t="s">
        <v>943</v>
      </c>
    </row>
    <row r="5049">
      <c r="A5049" s="76" t="s">
        <v>944</v>
      </c>
      <c r="B5049" s="76" t="s">
        <v>1006</v>
      </c>
      <c r="C5049" s="84">
        <v>4.91</v>
      </c>
      <c r="D5049" s="84">
        <v>0.0</v>
      </c>
      <c r="E5049" s="84">
        <v>0.0</v>
      </c>
      <c r="F5049" s="76" t="s">
        <v>996</v>
      </c>
      <c r="G5049" s="83">
        <v>46114.0</v>
      </c>
      <c r="H5049" s="76" t="s">
        <v>945</v>
      </c>
    </row>
    <row r="5050">
      <c r="A5050" s="76" t="s">
        <v>944</v>
      </c>
      <c r="B5050" s="76" t="s">
        <v>1006</v>
      </c>
      <c r="C5050" s="84">
        <v>2.52</v>
      </c>
      <c r="D5050" s="84">
        <v>0.0</v>
      </c>
      <c r="E5050" s="84">
        <v>0.0</v>
      </c>
      <c r="F5050" s="76" t="s">
        <v>996</v>
      </c>
      <c r="G5050" s="83">
        <v>46114.0</v>
      </c>
      <c r="H5050" s="76" t="s">
        <v>946</v>
      </c>
    </row>
    <row r="5051">
      <c r="A5051" s="76" t="s">
        <v>944</v>
      </c>
      <c r="B5051" s="76" t="s">
        <v>1006</v>
      </c>
      <c r="C5051" s="84">
        <v>1.3</v>
      </c>
      <c r="D5051" s="84">
        <v>0.0</v>
      </c>
      <c r="E5051" s="84">
        <v>0.0</v>
      </c>
      <c r="F5051" s="76" t="s">
        <v>996</v>
      </c>
      <c r="G5051" s="83">
        <v>46114.0</v>
      </c>
      <c r="H5051" s="76" t="s">
        <v>947</v>
      </c>
    </row>
    <row r="5052">
      <c r="A5052" s="76" t="s">
        <v>26</v>
      </c>
      <c r="B5052" s="76" t="s">
        <v>1006</v>
      </c>
      <c r="C5052" s="84">
        <v>5.12</v>
      </c>
      <c r="D5052" s="84">
        <v>0.0</v>
      </c>
      <c r="E5052" s="84">
        <v>0.0</v>
      </c>
      <c r="F5052" s="76" t="s">
        <v>996</v>
      </c>
      <c r="G5052" s="83">
        <v>46114.0</v>
      </c>
      <c r="H5052" s="76" t="s">
        <v>1012</v>
      </c>
    </row>
    <row r="5053">
      <c r="A5053" s="76" t="s">
        <v>26</v>
      </c>
      <c r="B5053" s="76" t="s">
        <v>1006</v>
      </c>
      <c r="C5053" s="84">
        <v>1.58</v>
      </c>
      <c r="D5053" s="84">
        <v>0.0</v>
      </c>
      <c r="E5053" s="84">
        <v>0.0</v>
      </c>
      <c r="F5053" s="76" t="s">
        <v>996</v>
      </c>
      <c r="G5053" s="83">
        <v>46114.0</v>
      </c>
      <c r="H5053" s="76" t="s">
        <v>1013</v>
      </c>
    </row>
    <row r="5054">
      <c r="A5054" s="76" t="s">
        <v>26</v>
      </c>
      <c r="B5054" s="76" t="s">
        <v>1006</v>
      </c>
      <c r="C5054" s="84">
        <v>1.2</v>
      </c>
      <c r="D5054" s="84">
        <v>0.0</v>
      </c>
      <c r="E5054" s="84">
        <v>0.0</v>
      </c>
      <c r="F5054" s="76" t="s">
        <v>996</v>
      </c>
      <c r="G5054" s="83">
        <v>46114.0</v>
      </c>
      <c r="H5054" s="76" t="s">
        <v>1014</v>
      </c>
    </row>
    <row r="5055">
      <c r="A5055" s="76" t="s">
        <v>36</v>
      </c>
      <c r="B5055" s="76" t="s">
        <v>1006</v>
      </c>
      <c r="C5055" s="84">
        <v>1.19</v>
      </c>
      <c r="D5055" s="84">
        <v>0.0</v>
      </c>
      <c r="E5055" s="84">
        <v>0.0</v>
      </c>
      <c r="F5055" s="76" t="s">
        <v>997</v>
      </c>
      <c r="G5055" s="83">
        <v>46114.0</v>
      </c>
      <c r="H5055" s="76" t="s">
        <v>926</v>
      </c>
    </row>
    <row r="5056">
      <c r="A5056" s="76" t="s">
        <v>36</v>
      </c>
      <c r="B5056" s="76" t="s">
        <v>1006</v>
      </c>
      <c r="C5056" s="84">
        <v>3.09</v>
      </c>
      <c r="D5056" s="84">
        <v>0.0</v>
      </c>
      <c r="E5056" s="84">
        <v>0.0</v>
      </c>
      <c r="F5056" s="76" t="s">
        <v>997</v>
      </c>
      <c r="G5056" s="83">
        <v>46114.0</v>
      </c>
      <c r="H5056" s="76" t="s">
        <v>927</v>
      </c>
    </row>
    <row r="5057">
      <c r="A5057" s="76" t="s">
        <v>36</v>
      </c>
      <c r="B5057" s="76" t="s">
        <v>1006</v>
      </c>
      <c r="C5057" s="84">
        <v>0.87</v>
      </c>
      <c r="D5057" s="84">
        <v>0.0</v>
      </c>
      <c r="E5057" s="84">
        <v>0.0</v>
      </c>
      <c r="F5057" s="76" t="s">
        <v>997</v>
      </c>
      <c r="G5057" s="83">
        <v>46114.0</v>
      </c>
      <c r="H5057" s="76" t="s">
        <v>928</v>
      </c>
    </row>
    <row r="5058">
      <c r="A5058" s="76" t="s">
        <v>31</v>
      </c>
      <c r="B5058" s="76" t="s">
        <v>1006</v>
      </c>
      <c r="C5058" s="84">
        <v>0.49</v>
      </c>
      <c r="D5058" s="84">
        <v>0.0</v>
      </c>
      <c r="E5058" s="84">
        <v>0.0</v>
      </c>
      <c r="F5058" s="76" t="s">
        <v>997</v>
      </c>
      <c r="G5058" s="83">
        <v>46114.0</v>
      </c>
      <c r="H5058" s="76" t="s">
        <v>929</v>
      </c>
    </row>
    <row r="5059">
      <c r="A5059" s="76" t="s">
        <v>31</v>
      </c>
      <c r="B5059" s="76" t="s">
        <v>1006</v>
      </c>
      <c r="C5059" s="84">
        <v>2.51</v>
      </c>
      <c r="D5059" s="84">
        <v>0.0</v>
      </c>
      <c r="E5059" s="84">
        <v>0.0</v>
      </c>
      <c r="F5059" s="76" t="s">
        <v>997</v>
      </c>
      <c r="G5059" s="83">
        <v>46114.0</v>
      </c>
      <c r="H5059" s="76" t="s">
        <v>930</v>
      </c>
    </row>
    <row r="5060">
      <c r="A5060" s="76" t="s">
        <v>28</v>
      </c>
      <c r="B5060" s="76" t="s">
        <v>1006</v>
      </c>
      <c r="C5060" s="84">
        <v>1.11</v>
      </c>
      <c r="D5060" s="84">
        <v>0.0</v>
      </c>
      <c r="E5060" s="84">
        <v>0.0</v>
      </c>
      <c r="F5060" s="76" t="s">
        <v>997</v>
      </c>
      <c r="G5060" s="83">
        <v>46114.0</v>
      </c>
      <c r="H5060" s="76" t="s">
        <v>931</v>
      </c>
    </row>
    <row r="5061">
      <c r="A5061" s="76" t="s">
        <v>28</v>
      </c>
      <c r="B5061" s="76" t="s">
        <v>1006</v>
      </c>
      <c r="C5061" s="84">
        <v>0.47</v>
      </c>
      <c r="D5061" s="84">
        <v>0.0</v>
      </c>
      <c r="E5061" s="84">
        <v>0.0</v>
      </c>
      <c r="F5061" s="76" t="s">
        <v>997</v>
      </c>
      <c r="G5061" s="83">
        <v>46114.0</v>
      </c>
      <c r="H5061" s="76" t="s">
        <v>932</v>
      </c>
    </row>
    <row r="5062">
      <c r="A5062" s="76" t="s">
        <v>28</v>
      </c>
      <c r="B5062" s="76" t="s">
        <v>1006</v>
      </c>
      <c r="C5062" s="84">
        <v>0.86</v>
      </c>
      <c r="D5062" s="84">
        <v>0.0</v>
      </c>
      <c r="E5062" s="84">
        <v>0.0</v>
      </c>
      <c r="F5062" s="76" t="s">
        <v>997</v>
      </c>
      <c r="G5062" s="83">
        <v>46114.0</v>
      </c>
      <c r="H5062" s="76" t="s">
        <v>933</v>
      </c>
    </row>
    <row r="5063">
      <c r="A5063" s="76" t="s">
        <v>42</v>
      </c>
      <c r="B5063" s="76" t="s">
        <v>1006</v>
      </c>
      <c r="C5063" s="84">
        <v>0.02</v>
      </c>
      <c r="D5063" s="84">
        <v>0.0</v>
      </c>
      <c r="E5063" s="84">
        <v>0.0</v>
      </c>
      <c r="F5063" s="76" t="s">
        <v>997</v>
      </c>
      <c r="G5063" s="83">
        <v>46114.0</v>
      </c>
      <c r="H5063" s="76" t="s">
        <v>991</v>
      </c>
    </row>
    <row r="5064">
      <c r="A5064" s="76" t="s">
        <v>42</v>
      </c>
      <c r="B5064" s="76" t="s">
        <v>1006</v>
      </c>
      <c r="C5064" s="84">
        <v>1.47</v>
      </c>
      <c r="D5064" s="84">
        <v>1.0</v>
      </c>
      <c r="E5064" s="84">
        <v>1.47</v>
      </c>
      <c r="F5064" s="76" t="s">
        <v>997</v>
      </c>
      <c r="G5064" s="83">
        <v>46114.0</v>
      </c>
      <c r="H5064" s="76" t="s">
        <v>935</v>
      </c>
    </row>
    <row r="5065">
      <c r="A5065" s="76" t="s">
        <v>45</v>
      </c>
      <c r="B5065" s="76" t="s">
        <v>1006</v>
      </c>
      <c r="C5065" s="84">
        <v>1.15</v>
      </c>
      <c r="D5065" s="84">
        <v>0.0</v>
      </c>
      <c r="E5065" s="84">
        <v>0.0</v>
      </c>
      <c r="F5065" s="76" t="s">
        <v>997</v>
      </c>
      <c r="G5065" s="83">
        <v>46114.0</v>
      </c>
      <c r="H5065" s="76" t="s">
        <v>936</v>
      </c>
    </row>
    <row r="5066">
      <c r="A5066" s="76" t="s">
        <v>45</v>
      </c>
      <c r="B5066" s="76" t="s">
        <v>1006</v>
      </c>
      <c r="C5066" s="84">
        <v>0.25</v>
      </c>
      <c r="D5066" s="84">
        <v>0.0</v>
      </c>
      <c r="E5066" s="84">
        <v>0.0</v>
      </c>
      <c r="F5066" s="76" t="s">
        <v>997</v>
      </c>
      <c r="G5066" s="83">
        <v>46114.0</v>
      </c>
      <c r="H5066" s="76" t="s">
        <v>937</v>
      </c>
    </row>
    <row r="5067">
      <c r="A5067" s="76" t="s">
        <v>45</v>
      </c>
      <c r="B5067" s="76" t="s">
        <v>1006</v>
      </c>
      <c r="C5067" s="84">
        <v>1.3</v>
      </c>
      <c r="D5067" s="84">
        <v>0.0</v>
      </c>
      <c r="E5067" s="84">
        <v>0.0</v>
      </c>
      <c r="F5067" s="76" t="s">
        <v>997</v>
      </c>
      <c r="G5067" s="83">
        <v>46114.0</v>
      </c>
      <c r="H5067" s="76" t="s">
        <v>938</v>
      </c>
    </row>
    <row r="5068">
      <c r="A5068" s="76" t="s">
        <v>50</v>
      </c>
      <c r="B5068" s="76" t="s">
        <v>1006</v>
      </c>
      <c r="C5068" s="84">
        <v>0.15</v>
      </c>
      <c r="D5068" s="84">
        <v>0.0</v>
      </c>
      <c r="E5068" s="84">
        <v>0.0</v>
      </c>
      <c r="F5068" s="76" t="s">
        <v>997</v>
      </c>
      <c r="G5068" s="83">
        <v>46114.0</v>
      </c>
      <c r="H5068" s="76" t="s">
        <v>939</v>
      </c>
    </row>
    <row r="5069">
      <c r="A5069" s="76" t="s">
        <v>50</v>
      </c>
      <c r="B5069" s="76" t="s">
        <v>1006</v>
      </c>
      <c r="C5069" s="84">
        <v>1.12</v>
      </c>
      <c r="D5069" s="84">
        <v>0.0</v>
      </c>
      <c r="E5069" s="84">
        <v>0.0</v>
      </c>
      <c r="F5069" s="76" t="s">
        <v>997</v>
      </c>
      <c r="G5069" s="83">
        <v>46114.0</v>
      </c>
      <c r="H5069" s="76" t="s">
        <v>940</v>
      </c>
    </row>
    <row r="5070">
      <c r="A5070" s="76" t="s">
        <v>32</v>
      </c>
      <c r="B5070" s="76" t="s">
        <v>1006</v>
      </c>
      <c r="C5070" s="84">
        <v>0.63</v>
      </c>
      <c r="D5070" s="84">
        <v>0.0</v>
      </c>
      <c r="E5070" s="84">
        <v>0.0</v>
      </c>
      <c r="F5070" s="76" t="s">
        <v>997</v>
      </c>
      <c r="G5070" s="83">
        <v>46114.0</v>
      </c>
      <c r="H5070" s="76" t="s">
        <v>941</v>
      </c>
    </row>
    <row r="5071">
      <c r="A5071" s="76" t="s">
        <v>32</v>
      </c>
      <c r="B5071" s="76" t="s">
        <v>1006</v>
      </c>
      <c r="C5071" s="84">
        <v>2.59</v>
      </c>
      <c r="D5071" s="84">
        <v>0.0</v>
      </c>
      <c r="E5071" s="84">
        <v>0.0</v>
      </c>
      <c r="F5071" s="76" t="s">
        <v>997</v>
      </c>
      <c r="G5071" s="83">
        <v>46114.0</v>
      </c>
      <c r="H5071" s="76" t="s">
        <v>942</v>
      </c>
    </row>
    <row r="5072">
      <c r="A5072" s="76" t="s">
        <v>32</v>
      </c>
      <c r="B5072" s="76" t="s">
        <v>1006</v>
      </c>
      <c r="C5072" s="84">
        <v>2.65</v>
      </c>
      <c r="D5072" s="84">
        <v>0.0</v>
      </c>
      <c r="E5072" s="84">
        <v>0.0</v>
      </c>
      <c r="F5072" s="76" t="s">
        <v>997</v>
      </c>
      <c r="G5072" s="83">
        <v>46114.0</v>
      </c>
      <c r="H5072" s="76" t="s">
        <v>943</v>
      </c>
    </row>
    <row r="5073">
      <c r="A5073" s="76" t="s">
        <v>944</v>
      </c>
      <c r="B5073" s="76" t="s">
        <v>1006</v>
      </c>
      <c r="C5073" s="84">
        <v>2.95</v>
      </c>
      <c r="D5073" s="84">
        <v>0.0</v>
      </c>
      <c r="E5073" s="84">
        <v>0.0</v>
      </c>
      <c r="F5073" s="76" t="s">
        <v>997</v>
      </c>
      <c r="G5073" s="83">
        <v>46114.0</v>
      </c>
      <c r="H5073" s="76" t="s">
        <v>945</v>
      </c>
    </row>
    <row r="5074">
      <c r="A5074" s="76" t="s">
        <v>944</v>
      </c>
      <c r="B5074" s="76" t="s">
        <v>1006</v>
      </c>
      <c r="C5074" s="84">
        <v>1.55</v>
      </c>
      <c r="D5074" s="84">
        <v>0.0</v>
      </c>
      <c r="E5074" s="84">
        <v>0.0</v>
      </c>
      <c r="F5074" s="76" t="s">
        <v>997</v>
      </c>
      <c r="G5074" s="83">
        <v>46114.0</v>
      </c>
      <c r="H5074" s="76" t="s">
        <v>946</v>
      </c>
    </row>
    <row r="5075">
      <c r="A5075" s="76" t="s">
        <v>944</v>
      </c>
      <c r="B5075" s="76" t="s">
        <v>1006</v>
      </c>
      <c r="C5075" s="84">
        <v>0.75</v>
      </c>
      <c r="D5075" s="84">
        <v>0.0</v>
      </c>
      <c r="E5075" s="84">
        <v>0.0</v>
      </c>
      <c r="F5075" s="76" t="s">
        <v>997</v>
      </c>
      <c r="G5075" s="83">
        <v>46114.0</v>
      </c>
      <c r="H5075" s="76" t="s">
        <v>947</v>
      </c>
    </row>
    <row r="5076">
      <c r="A5076" s="76" t="s">
        <v>26</v>
      </c>
      <c r="B5076" s="76" t="s">
        <v>1006</v>
      </c>
      <c r="C5076" s="84">
        <v>3.18</v>
      </c>
      <c r="D5076" s="84">
        <v>0.0</v>
      </c>
      <c r="E5076" s="84">
        <v>0.0</v>
      </c>
      <c r="F5076" s="76" t="s">
        <v>997</v>
      </c>
      <c r="G5076" s="83">
        <v>46114.0</v>
      </c>
      <c r="H5076" s="76" t="s">
        <v>1012</v>
      </c>
    </row>
    <row r="5077">
      <c r="A5077" s="76" t="s">
        <v>26</v>
      </c>
      <c r="B5077" s="76" t="s">
        <v>1006</v>
      </c>
      <c r="C5077" s="84">
        <v>1.06</v>
      </c>
      <c r="D5077" s="84">
        <v>0.0</v>
      </c>
      <c r="E5077" s="84">
        <v>0.0</v>
      </c>
      <c r="F5077" s="76" t="s">
        <v>997</v>
      </c>
      <c r="G5077" s="83">
        <v>46114.0</v>
      </c>
      <c r="H5077" s="76" t="s">
        <v>1013</v>
      </c>
    </row>
    <row r="5078">
      <c r="A5078" s="76" t="s">
        <v>26</v>
      </c>
      <c r="B5078" s="76" t="s">
        <v>1006</v>
      </c>
      <c r="C5078" s="84">
        <v>0.54</v>
      </c>
      <c r="D5078" s="84">
        <v>0.0</v>
      </c>
      <c r="E5078" s="84">
        <v>0.0</v>
      </c>
      <c r="F5078" s="76" t="s">
        <v>997</v>
      </c>
      <c r="G5078" s="83">
        <v>46114.0</v>
      </c>
      <c r="H5078" s="76" t="s">
        <v>1014</v>
      </c>
    </row>
    <row r="5079">
      <c r="A5079" s="76" t="s">
        <v>36</v>
      </c>
      <c r="B5079" s="76" t="s">
        <v>1006</v>
      </c>
      <c r="C5079" s="84">
        <v>0.01</v>
      </c>
      <c r="D5079" s="84">
        <v>0.0</v>
      </c>
      <c r="E5079" s="84">
        <v>0.0</v>
      </c>
      <c r="F5079" s="76" t="s">
        <v>998</v>
      </c>
      <c r="G5079" s="83">
        <v>46114.0</v>
      </c>
      <c r="H5079" s="76" t="s">
        <v>926</v>
      </c>
    </row>
    <row r="5080">
      <c r="A5080" s="76" t="s">
        <v>36</v>
      </c>
      <c r="B5080" s="76" t="s">
        <v>1006</v>
      </c>
      <c r="C5080" s="84">
        <v>0.02</v>
      </c>
      <c r="D5080" s="84">
        <v>0.0</v>
      </c>
      <c r="E5080" s="84">
        <v>0.0</v>
      </c>
      <c r="F5080" s="76" t="s">
        <v>998</v>
      </c>
      <c r="G5080" s="83">
        <v>46114.0</v>
      </c>
      <c r="H5080" s="76" t="s">
        <v>927</v>
      </c>
    </row>
    <row r="5081">
      <c r="A5081" s="76" t="s">
        <v>36</v>
      </c>
      <c r="B5081" s="76" t="s">
        <v>1006</v>
      </c>
      <c r="C5081" s="84">
        <v>0.02</v>
      </c>
      <c r="D5081" s="84">
        <v>0.0</v>
      </c>
      <c r="E5081" s="84">
        <v>0.0</v>
      </c>
      <c r="F5081" s="76" t="s">
        <v>998</v>
      </c>
      <c r="G5081" s="83">
        <v>46114.0</v>
      </c>
      <c r="H5081" s="76" t="s">
        <v>928</v>
      </c>
    </row>
    <row r="5082">
      <c r="A5082" s="76" t="s">
        <v>31</v>
      </c>
      <c r="B5082" s="76" t="s">
        <v>1006</v>
      </c>
      <c r="C5082" s="84">
        <v>0.07</v>
      </c>
      <c r="D5082" s="84">
        <v>0.0</v>
      </c>
      <c r="E5082" s="84">
        <v>0.0</v>
      </c>
      <c r="F5082" s="76" t="s">
        <v>998</v>
      </c>
      <c r="G5082" s="83">
        <v>46114.0</v>
      </c>
      <c r="H5082" s="76" t="s">
        <v>929</v>
      </c>
    </row>
    <row r="5083">
      <c r="A5083" s="76" t="s">
        <v>28</v>
      </c>
      <c r="B5083" s="76" t="s">
        <v>1006</v>
      </c>
      <c r="C5083" s="84">
        <v>0.0</v>
      </c>
      <c r="D5083" s="84">
        <v>0.0</v>
      </c>
      <c r="E5083" s="84">
        <v>0.0</v>
      </c>
      <c r="F5083" s="76" t="s">
        <v>998</v>
      </c>
      <c r="G5083" s="83">
        <v>46114.0</v>
      </c>
      <c r="H5083" s="76" t="s">
        <v>931</v>
      </c>
    </row>
    <row r="5084">
      <c r="A5084" s="76" t="s">
        <v>28</v>
      </c>
      <c r="B5084" s="76" t="s">
        <v>1006</v>
      </c>
      <c r="C5084" s="84">
        <v>0.01</v>
      </c>
      <c r="D5084" s="84">
        <v>0.0</v>
      </c>
      <c r="E5084" s="84">
        <v>0.0</v>
      </c>
      <c r="F5084" s="76" t="s">
        <v>998</v>
      </c>
      <c r="G5084" s="83">
        <v>46114.0</v>
      </c>
      <c r="H5084" s="76" t="s">
        <v>932</v>
      </c>
    </row>
    <row r="5085">
      <c r="A5085" s="76" t="s">
        <v>28</v>
      </c>
      <c r="B5085" s="76" t="s">
        <v>1006</v>
      </c>
      <c r="C5085" s="84">
        <v>0.02</v>
      </c>
      <c r="D5085" s="84">
        <v>0.0</v>
      </c>
      <c r="E5085" s="84">
        <v>0.0</v>
      </c>
      <c r="F5085" s="76" t="s">
        <v>998</v>
      </c>
      <c r="G5085" s="83">
        <v>46114.0</v>
      </c>
      <c r="H5085" s="76" t="s">
        <v>933</v>
      </c>
    </row>
    <row r="5086">
      <c r="A5086" s="76" t="s">
        <v>42</v>
      </c>
      <c r="B5086" s="76" t="s">
        <v>1006</v>
      </c>
      <c r="C5086" s="84">
        <v>0.02</v>
      </c>
      <c r="D5086" s="84">
        <v>0.0</v>
      </c>
      <c r="E5086" s="84">
        <v>0.0</v>
      </c>
      <c r="F5086" s="76" t="s">
        <v>998</v>
      </c>
      <c r="G5086" s="83">
        <v>46114.0</v>
      </c>
      <c r="H5086" s="76" t="s">
        <v>991</v>
      </c>
    </row>
    <row r="5087">
      <c r="A5087" s="76" t="s">
        <v>45</v>
      </c>
      <c r="B5087" s="76" t="s">
        <v>1006</v>
      </c>
      <c r="C5087" s="84">
        <v>0.02</v>
      </c>
      <c r="D5087" s="84">
        <v>0.0</v>
      </c>
      <c r="E5087" s="84">
        <v>0.0</v>
      </c>
      <c r="F5087" s="76" t="s">
        <v>998</v>
      </c>
      <c r="G5087" s="83">
        <v>46114.0</v>
      </c>
      <c r="H5087" s="76" t="s">
        <v>936</v>
      </c>
    </row>
    <row r="5088">
      <c r="A5088" s="76" t="s">
        <v>45</v>
      </c>
      <c r="B5088" s="76" t="s">
        <v>1006</v>
      </c>
      <c r="C5088" s="84">
        <v>0.01</v>
      </c>
      <c r="D5088" s="84">
        <v>0.0</v>
      </c>
      <c r="E5088" s="84">
        <v>0.0</v>
      </c>
      <c r="F5088" s="76" t="s">
        <v>998</v>
      </c>
      <c r="G5088" s="83">
        <v>46114.0</v>
      </c>
      <c r="H5088" s="76" t="s">
        <v>937</v>
      </c>
    </row>
    <row r="5089">
      <c r="A5089" s="76" t="s">
        <v>45</v>
      </c>
      <c r="B5089" s="76" t="s">
        <v>1006</v>
      </c>
      <c r="C5089" s="84">
        <v>0.01</v>
      </c>
      <c r="D5089" s="84">
        <v>0.0</v>
      </c>
      <c r="E5089" s="84">
        <v>0.0</v>
      </c>
      <c r="F5089" s="76" t="s">
        <v>998</v>
      </c>
      <c r="G5089" s="83">
        <v>46114.0</v>
      </c>
      <c r="H5089" s="76" t="s">
        <v>938</v>
      </c>
    </row>
    <row r="5090">
      <c r="A5090" s="76" t="s">
        <v>50</v>
      </c>
      <c r="B5090" s="76" t="s">
        <v>1006</v>
      </c>
      <c r="C5090" s="84">
        <v>0.01</v>
      </c>
      <c r="D5090" s="84">
        <v>0.0</v>
      </c>
      <c r="E5090" s="84">
        <v>0.0</v>
      </c>
      <c r="F5090" s="76" t="s">
        <v>998</v>
      </c>
      <c r="G5090" s="83">
        <v>46114.0</v>
      </c>
      <c r="H5090" s="76" t="s">
        <v>939</v>
      </c>
    </row>
    <row r="5091">
      <c r="A5091" s="76" t="s">
        <v>50</v>
      </c>
      <c r="B5091" s="76" t="s">
        <v>1006</v>
      </c>
      <c r="C5091" s="84">
        <v>0.02</v>
      </c>
      <c r="D5091" s="84">
        <v>0.0</v>
      </c>
      <c r="E5091" s="84">
        <v>0.0</v>
      </c>
      <c r="F5091" s="76" t="s">
        <v>998</v>
      </c>
      <c r="G5091" s="83">
        <v>46114.0</v>
      </c>
      <c r="H5091" s="76" t="s">
        <v>940</v>
      </c>
    </row>
    <row r="5092">
      <c r="A5092" s="76" t="s">
        <v>32</v>
      </c>
      <c r="B5092" s="76" t="s">
        <v>1006</v>
      </c>
      <c r="C5092" s="84">
        <v>0.03</v>
      </c>
      <c r="D5092" s="84">
        <v>0.0</v>
      </c>
      <c r="E5092" s="84">
        <v>0.0</v>
      </c>
      <c r="F5092" s="76" t="s">
        <v>998</v>
      </c>
      <c r="G5092" s="83">
        <v>46114.0</v>
      </c>
      <c r="H5092" s="76" t="s">
        <v>941</v>
      </c>
    </row>
    <row r="5093">
      <c r="A5093" s="76" t="s">
        <v>32</v>
      </c>
      <c r="B5093" s="76" t="s">
        <v>1006</v>
      </c>
      <c r="C5093" s="84">
        <v>0.03</v>
      </c>
      <c r="D5093" s="84">
        <v>0.0</v>
      </c>
      <c r="E5093" s="84">
        <v>0.0</v>
      </c>
      <c r="F5093" s="76" t="s">
        <v>998</v>
      </c>
      <c r="G5093" s="83">
        <v>46114.0</v>
      </c>
      <c r="H5093" s="76" t="s">
        <v>942</v>
      </c>
    </row>
    <row r="5094">
      <c r="A5094" s="76" t="s">
        <v>32</v>
      </c>
      <c r="B5094" s="76" t="s">
        <v>1006</v>
      </c>
      <c r="C5094" s="84">
        <v>0.01</v>
      </c>
      <c r="D5094" s="84">
        <v>0.0</v>
      </c>
      <c r="E5094" s="84">
        <v>0.0</v>
      </c>
      <c r="F5094" s="76" t="s">
        <v>998</v>
      </c>
      <c r="G5094" s="83">
        <v>46114.0</v>
      </c>
      <c r="H5094" s="76" t="s">
        <v>943</v>
      </c>
    </row>
    <row r="5095">
      <c r="A5095" s="76" t="s">
        <v>944</v>
      </c>
      <c r="B5095" s="76" t="s">
        <v>1006</v>
      </c>
      <c r="C5095" s="84">
        <v>0.02</v>
      </c>
      <c r="D5095" s="84">
        <v>0.0</v>
      </c>
      <c r="E5095" s="84">
        <v>0.0</v>
      </c>
      <c r="F5095" s="76" t="s">
        <v>998</v>
      </c>
      <c r="G5095" s="83">
        <v>46114.0</v>
      </c>
      <c r="H5095" s="76" t="s">
        <v>945</v>
      </c>
    </row>
    <row r="5096">
      <c r="A5096" s="76" t="s">
        <v>944</v>
      </c>
      <c r="B5096" s="76" t="s">
        <v>1006</v>
      </c>
      <c r="C5096" s="84">
        <v>0.02</v>
      </c>
      <c r="D5096" s="84">
        <v>0.0</v>
      </c>
      <c r="E5096" s="84">
        <v>0.0</v>
      </c>
      <c r="F5096" s="76" t="s">
        <v>998</v>
      </c>
      <c r="G5096" s="83">
        <v>46114.0</v>
      </c>
      <c r="H5096" s="76" t="s">
        <v>946</v>
      </c>
    </row>
    <row r="5097">
      <c r="A5097" s="76" t="s">
        <v>944</v>
      </c>
      <c r="B5097" s="76" t="s">
        <v>1006</v>
      </c>
      <c r="C5097" s="84">
        <v>0.02</v>
      </c>
      <c r="D5097" s="84">
        <v>0.0</v>
      </c>
      <c r="E5097" s="84">
        <v>0.0</v>
      </c>
      <c r="F5097" s="76" t="s">
        <v>998</v>
      </c>
      <c r="G5097" s="83">
        <v>46114.0</v>
      </c>
      <c r="H5097" s="76" t="s">
        <v>947</v>
      </c>
    </row>
    <row r="5098">
      <c r="A5098" s="76" t="s">
        <v>26</v>
      </c>
      <c r="B5098" s="76" t="s">
        <v>1006</v>
      </c>
      <c r="C5098" s="84">
        <v>0.04</v>
      </c>
      <c r="D5098" s="84">
        <v>0.0</v>
      </c>
      <c r="E5098" s="84">
        <v>0.0</v>
      </c>
      <c r="F5098" s="76" t="s">
        <v>998</v>
      </c>
      <c r="G5098" s="83">
        <v>46114.0</v>
      </c>
      <c r="H5098" s="76" t="s">
        <v>1012</v>
      </c>
    </row>
    <row r="5099">
      <c r="A5099" s="76" t="s">
        <v>26</v>
      </c>
      <c r="B5099" s="76" t="s">
        <v>1006</v>
      </c>
      <c r="C5099" s="84">
        <v>0.01</v>
      </c>
      <c r="D5099" s="84">
        <v>0.0</v>
      </c>
      <c r="E5099" s="84">
        <v>0.0</v>
      </c>
      <c r="F5099" s="76" t="s">
        <v>998</v>
      </c>
      <c r="G5099" s="83">
        <v>46114.0</v>
      </c>
      <c r="H5099" s="76" t="s">
        <v>1013</v>
      </c>
    </row>
    <row r="5100">
      <c r="A5100" s="76" t="s">
        <v>26</v>
      </c>
      <c r="B5100" s="76" t="s">
        <v>1006</v>
      </c>
      <c r="C5100" s="84">
        <v>0.02</v>
      </c>
      <c r="D5100" s="84">
        <v>0.0</v>
      </c>
      <c r="E5100" s="84">
        <v>0.0</v>
      </c>
      <c r="F5100" s="76" t="s">
        <v>998</v>
      </c>
      <c r="G5100" s="83">
        <v>46114.0</v>
      </c>
      <c r="H5100" s="76" t="s">
        <v>1014</v>
      </c>
    </row>
    <row r="5101">
      <c r="A5101" s="76" t="s">
        <v>34</v>
      </c>
      <c r="B5101" s="76" t="s">
        <v>1022</v>
      </c>
      <c r="C5101" s="84">
        <v>1.05</v>
      </c>
      <c r="D5101" s="84">
        <v>0.0</v>
      </c>
      <c r="E5101" s="84">
        <v>0.0</v>
      </c>
      <c r="F5101" s="76" t="s">
        <v>990</v>
      </c>
      <c r="G5101" s="83">
        <v>46114.0</v>
      </c>
      <c r="H5101" s="76" t="s">
        <v>951</v>
      </c>
    </row>
    <row r="5102">
      <c r="A5102" s="76" t="s">
        <v>34</v>
      </c>
      <c r="B5102" s="76" t="s">
        <v>1022</v>
      </c>
      <c r="C5102" s="84">
        <v>0.12</v>
      </c>
      <c r="D5102" s="84">
        <v>0.0</v>
      </c>
      <c r="E5102" s="84">
        <v>0.0</v>
      </c>
      <c r="F5102" s="76" t="s">
        <v>990</v>
      </c>
      <c r="G5102" s="83">
        <v>46114.0</v>
      </c>
      <c r="H5102" s="76" t="s">
        <v>952</v>
      </c>
    </row>
    <row r="5103">
      <c r="A5103" s="76" t="s">
        <v>34</v>
      </c>
      <c r="B5103" s="76" t="s">
        <v>1022</v>
      </c>
      <c r="C5103" s="84">
        <v>2.83</v>
      </c>
      <c r="D5103" s="84">
        <v>0.0</v>
      </c>
      <c r="E5103" s="84">
        <v>0.0</v>
      </c>
      <c r="F5103" s="76" t="s">
        <v>990</v>
      </c>
      <c r="G5103" s="83">
        <v>46114.0</v>
      </c>
      <c r="H5103" s="76" t="s">
        <v>953</v>
      </c>
    </row>
    <row r="5104">
      <c r="A5104" s="76" t="s">
        <v>40</v>
      </c>
      <c r="B5104" s="76" t="s">
        <v>1022</v>
      </c>
      <c r="C5104" s="84">
        <v>0.14</v>
      </c>
      <c r="D5104" s="84">
        <v>0.0</v>
      </c>
      <c r="E5104" s="84">
        <v>0.0</v>
      </c>
      <c r="F5104" s="76" t="s">
        <v>990</v>
      </c>
      <c r="G5104" s="83">
        <v>46114.0</v>
      </c>
      <c r="H5104" s="76" t="s">
        <v>954</v>
      </c>
    </row>
    <row r="5105">
      <c r="A5105" s="76" t="s">
        <v>40</v>
      </c>
      <c r="B5105" s="76" t="s">
        <v>1022</v>
      </c>
      <c r="C5105" s="84">
        <v>0.05</v>
      </c>
      <c r="D5105" s="84">
        <v>0.0</v>
      </c>
      <c r="E5105" s="84">
        <v>0.0</v>
      </c>
      <c r="F5105" s="76" t="s">
        <v>990</v>
      </c>
      <c r="G5105" s="83">
        <v>46114.0</v>
      </c>
      <c r="H5105" s="76" t="s">
        <v>955</v>
      </c>
    </row>
    <row r="5106">
      <c r="A5106" s="76" t="s">
        <v>40</v>
      </c>
      <c r="B5106" s="76" t="s">
        <v>1022</v>
      </c>
      <c r="C5106" s="84">
        <v>2.88</v>
      </c>
      <c r="D5106" s="84">
        <v>0.0</v>
      </c>
      <c r="E5106" s="84">
        <v>0.0</v>
      </c>
      <c r="F5106" s="76" t="s">
        <v>990</v>
      </c>
      <c r="G5106" s="83">
        <v>46114.0</v>
      </c>
      <c r="H5106" s="76" t="s">
        <v>956</v>
      </c>
    </row>
    <row r="5107">
      <c r="A5107" s="76" t="s">
        <v>33</v>
      </c>
      <c r="B5107" s="76" t="s">
        <v>1022</v>
      </c>
      <c r="C5107" s="84">
        <v>8.0</v>
      </c>
      <c r="D5107" s="84">
        <v>0.0</v>
      </c>
      <c r="E5107" s="84">
        <v>0.0</v>
      </c>
      <c r="F5107" s="76" t="s">
        <v>990</v>
      </c>
      <c r="G5107" s="83">
        <v>46114.0</v>
      </c>
      <c r="H5107" s="76" t="s">
        <v>957</v>
      </c>
    </row>
    <row r="5108">
      <c r="A5108" s="76" t="s">
        <v>33</v>
      </c>
      <c r="B5108" s="76" t="s">
        <v>1022</v>
      </c>
      <c r="C5108" s="84">
        <v>0.14</v>
      </c>
      <c r="D5108" s="84">
        <v>0.0</v>
      </c>
      <c r="E5108" s="84">
        <v>0.0</v>
      </c>
      <c r="F5108" s="76" t="s">
        <v>990</v>
      </c>
      <c r="G5108" s="83">
        <v>46114.0</v>
      </c>
      <c r="H5108" s="76" t="s">
        <v>958</v>
      </c>
    </row>
    <row r="5109">
      <c r="A5109" s="76" t="s">
        <v>33</v>
      </c>
      <c r="B5109" s="76" t="s">
        <v>1022</v>
      </c>
      <c r="C5109" s="84">
        <v>0.28</v>
      </c>
      <c r="D5109" s="84">
        <v>0.0</v>
      </c>
      <c r="E5109" s="84">
        <v>0.0</v>
      </c>
      <c r="F5109" s="76" t="s">
        <v>990</v>
      </c>
      <c r="G5109" s="83">
        <v>46114.0</v>
      </c>
      <c r="H5109" s="76" t="s">
        <v>959</v>
      </c>
    </row>
    <row r="5110">
      <c r="A5110" s="76" t="s">
        <v>46</v>
      </c>
      <c r="B5110" s="76" t="s">
        <v>1022</v>
      </c>
      <c r="C5110" s="84">
        <v>0.09</v>
      </c>
      <c r="D5110" s="84">
        <v>0.0</v>
      </c>
      <c r="E5110" s="84">
        <v>0.0</v>
      </c>
      <c r="F5110" s="76" t="s">
        <v>990</v>
      </c>
      <c r="G5110" s="83">
        <v>46114.0</v>
      </c>
      <c r="H5110" s="76" t="s">
        <v>960</v>
      </c>
    </row>
    <row r="5111">
      <c r="A5111" s="76" t="s">
        <v>46</v>
      </c>
      <c r="B5111" s="76" t="s">
        <v>1022</v>
      </c>
      <c r="C5111" s="84">
        <v>0.12</v>
      </c>
      <c r="D5111" s="84">
        <v>0.0</v>
      </c>
      <c r="E5111" s="84">
        <v>0.0</v>
      </c>
      <c r="F5111" s="76" t="s">
        <v>990</v>
      </c>
      <c r="G5111" s="83">
        <v>46114.0</v>
      </c>
      <c r="H5111" s="76" t="s">
        <v>961</v>
      </c>
    </row>
    <row r="5112">
      <c r="A5112" s="76" t="s">
        <v>46</v>
      </c>
      <c r="B5112" s="76" t="s">
        <v>1022</v>
      </c>
      <c r="C5112" s="84">
        <v>0.14</v>
      </c>
      <c r="D5112" s="84">
        <v>0.0</v>
      </c>
      <c r="E5112" s="84">
        <v>0.0</v>
      </c>
      <c r="F5112" s="76" t="s">
        <v>990</v>
      </c>
      <c r="G5112" s="83">
        <v>46114.0</v>
      </c>
      <c r="H5112" s="76" t="s">
        <v>962</v>
      </c>
    </row>
    <row r="5113">
      <c r="A5113" s="76" t="s">
        <v>43</v>
      </c>
      <c r="B5113" s="76" t="s">
        <v>1022</v>
      </c>
      <c r="C5113" s="84">
        <v>0.15</v>
      </c>
      <c r="D5113" s="84">
        <v>0.0</v>
      </c>
      <c r="E5113" s="84">
        <v>0.0</v>
      </c>
      <c r="F5113" s="76" t="s">
        <v>990</v>
      </c>
      <c r="G5113" s="83">
        <v>46114.0</v>
      </c>
      <c r="H5113" s="76" t="s">
        <v>963</v>
      </c>
    </row>
    <row r="5114">
      <c r="A5114" s="76" t="s">
        <v>43</v>
      </c>
      <c r="B5114" s="76" t="s">
        <v>1022</v>
      </c>
      <c r="C5114" s="84">
        <v>0.12</v>
      </c>
      <c r="D5114" s="84">
        <v>0.0</v>
      </c>
      <c r="E5114" s="84">
        <v>0.0</v>
      </c>
      <c r="F5114" s="76" t="s">
        <v>990</v>
      </c>
      <c r="G5114" s="83">
        <v>46114.0</v>
      </c>
      <c r="H5114" s="76" t="s">
        <v>964</v>
      </c>
    </row>
    <row r="5115">
      <c r="A5115" s="76" t="s">
        <v>43</v>
      </c>
      <c r="B5115" s="76" t="s">
        <v>1022</v>
      </c>
      <c r="C5115" s="84">
        <v>0.54</v>
      </c>
      <c r="D5115" s="84">
        <v>0.0</v>
      </c>
      <c r="E5115" s="84">
        <v>0.0</v>
      </c>
      <c r="F5115" s="76" t="s">
        <v>990</v>
      </c>
      <c r="G5115" s="83">
        <v>46114.0</v>
      </c>
      <c r="H5115" s="76" t="s">
        <v>965</v>
      </c>
    </row>
    <row r="5116">
      <c r="A5116" s="76" t="s">
        <v>966</v>
      </c>
      <c r="B5116" s="76" t="s">
        <v>1022</v>
      </c>
      <c r="C5116" s="84">
        <v>0.38</v>
      </c>
      <c r="D5116" s="84">
        <v>0.0</v>
      </c>
      <c r="E5116" s="84">
        <v>0.0</v>
      </c>
      <c r="F5116" s="76" t="s">
        <v>990</v>
      </c>
      <c r="G5116" s="83">
        <v>46114.0</v>
      </c>
      <c r="H5116" s="76" t="s">
        <v>967</v>
      </c>
    </row>
    <row r="5117">
      <c r="A5117" s="76" t="s">
        <v>966</v>
      </c>
      <c r="B5117" s="76" t="s">
        <v>1022</v>
      </c>
      <c r="C5117" s="84">
        <v>0.09</v>
      </c>
      <c r="D5117" s="84">
        <v>0.0</v>
      </c>
      <c r="E5117" s="84">
        <v>0.0</v>
      </c>
      <c r="F5117" s="76" t="s">
        <v>990</v>
      </c>
      <c r="G5117" s="83">
        <v>46114.0</v>
      </c>
      <c r="H5117" s="76" t="s">
        <v>968</v>
      </c>
    </row>
    <row r="5118">
      <c r="A5118" s="76" t="s">
        <v>966</v>
      </c>
      <c r="B5118" s="76" t="s">
        <v>1022</v>
      </c>
      <c r="C5118" s="84">
        <v>0.14</v>
      </c>
      <c r="D5118" s="84">
        <v>0.0</v>
      </c>
      <c r="E5118" s="84">
        <v>0.0</v>
      </c>
      <c r="F5118" s="76" t="s">
        <v>990</v>
      </c>
      <c r="G5118" s="83">
        <v>46114.0</v>
      </c>
      <c r="H5118" s="76" t="s">
        <v>969</v>
      </c>
    </row>
    <row r="5119">
      <c r="A5119" s="76" t="s">
        <v>36</v>
      </c>
      <c r="B5119" s="76" t="s">
        <v>1022</v>
      </c>
      <c r="C5119" s="84">
        <v>0.33</v>
      </c>
      <c r="D5119" s="84">
        <v>0.0</v>
      </c>
      <c r="E5119" s="84">
        <v>0.0</v>
      </c>
      <c r="F5119" s="76" t="s">
        <v>990</v>
      </c>
      <c r="G5119" s="83">
        <v>46114.0</v>
      </c>
      <c r="H5119" s="76" t="s">
        <v>926</v>
      </c>
    </row>
    <row r="5120">
      <c r="A5120" s="76" t="s">
        <v>36</v>
      </c>
      <c r="B5120" s="76" t="s">
        <v>1022</v>
      </c>
      <c r="C5120" s="84">
        <v>0.22</v>
      </c>
      <c r="D5120" s="84">
        <v>0.0</v>
      </c>
      <c r="E5120" s="84">
        <v>0.0</v>
      </c>
      <c r="F5120" s="76" t="s">
        <v>990</v>
      </c>
      <c r="G5120" s="83">
        <v>46114.0</v>
      </c>
      <c r="H5120" s="76" t="s">
        <v>927</v>
      </c>
    </row>
    <row r="5121">
      <c r="A5121" s="76" t="s">
        <v>36</v>
      </c>
      <c r="B5121" s="76" t="s">
        <v>1022</v>
      </c>
      <c r="C5121" s="84">
        <v>0.05</v>
      </c>
      <c r="D5121" s="84">
        <v>0.0</v>
      </c>
      <c r="E5121" s="84">
        <v>0.0</v>
      </c>
      <c r="F5121" s="76" t="s">
        <v>990</v>
      </c>
      <c r="G5121" s="83">
        <v>46114.0</v>
      </c>
      <c r="H5121" s="76" t="s">
        <v>928</v>
      </c>
    </row>
    <row r="5122">
      <c r="A5122" s="76" t="s">
        <v>970</v>
      </c>
      <c r="B5122" s="76" t="s">
        <v>1022</v>
      </c>
      <c r="C5122" s="84">
        <v>0.58</v>
      </c>
      <c r="D5122" s="84">
        <v>0.0</v>
      </c>
      <c r="E5122" s="84">
        <v>0.0</v>
      </c>
      <c r="F5122" s="76" t="s">
        <v>990</v>
      </c>
      <c r="G5122" s="83">
        <v>46114.0</v>
      </c>
      <c r="H5122" s="76" t="s">
        <v>971</v>
      </c>
    </row>
    <row r="5123">
      <c r="A5123" s="76" t="s">
        <v>970</v>
      </c>
      <c r="B5123" s="76" t="s">
        <v>1022</v>
      </c>
      <c r="C5123" s="84">
        <v>0.05</v>
      </c>
      <c r="D5123" s="84">
        <v>0.0</v>
      </c>
      <c r="E5123" s="84">
        <v>0.0</v>
      </c>
      <c r="F5123" s="76" t="s">
        <v>990</v>
      </c>
      <c r="G5123" s="83">
        <v>46114.0</v>
      </c>
      <c r="H5123" s="76" t="s">
        <v>972</v>
      </c>
    </row>
    <row r="5124">
      <c r="A5124" s="76" t="s">
        <v>970</v>
      </c>
      <c r="B5124" s="76" t="s">
        <v>1022</v>
      </c>
      <c r="C5124" s="84">
        <v>29.3</v>
      </c>
      <c r="D5124" s="84">
        <v>2.0</v>
      </c>
      <c r="E5124" s="84">
        <v>14.65</v>
      </c>
      <c r="F5124" s="76" t="s">
        <v>990</v>
      </c>
      <c r="G5124" s="83">
        <v>46114.0</v>
      </c>
      <c r="H5124" s="76" t="s">
        <v>973</v>
      </c>
    </row>
    <row r="5125">
      <c r="A5125" s="76" t="s">
        <v>29</v>
      </c>
      <c r="B5125" s="76" t="s">
        <v>1022</v>
      </c>
      <c r="C5125" s="84">
        <v>0.63</v>
      </c>
      <c r="D5125" s="84">
        <v>0.0</v>
      </c>
      <c r="E5125" s="84">
        <v>0.0</v>
      </c>
      <c r="F5125" s="76" t="s">
        <v>990</v>
      </c>
      <c r="G5125" s="83">
        <v>46114.0</v>
      </c>
      <c r="H5125" s="76" t="s">
        <v>971</v>
      </c>
    </row>
    <row r="5126">
      <c r="A5126" s="76" t="s">
        <v>29</v>
      </c>
      <c r="B5126" s="76" t="s">
        <v>1022</v>
      </c>
      <c r="C5126" s="84">
        <v>0.06</v>
      </c>
      <c r="D5126" s="84">
        <v>0.0</v>
      </c>
      <c r="E5126" s="84">
        <v>0.0</v>
      </c>
      <c r="F5126" s="76" t="s">
        <v>990</v>
      </c>
      <c r="G5126" s="83">
        <v>46114.0</v>
      </c>
      <c r="H5126" s="76" t="s">
        <v>972</v>
      </c>
    </row>
    <row r="5127">
      <c r="A5127" s="76" t="s">
        <v>29</v>
      </c>
      <c r="B5127" s="76" t="s">
        <v>1022</v>
      </c>
      <c r="C5127" s="84">
        <v>1.5</v>
      </c>
      <c r="D5127" s="84">
        <v>0.0</v>
      </c>
      <c r="E5127" s="84">
        <v>0.0</v>
      </c>
      <c r="F5127" s="76" t="s">
        <v>990</v>
      </c>
      <c r="G5127" s="83">
        <v>46114.0</v>
      </c>
      <c r="H5127" s="76" t="s">
        <v>973</v>
      </c>
    </row>
    <row r="5128">
      <c r="A5128" s="76" t="s">
        <v>29</v>
      </c>
      <c r="B5128" s="76" t="s">
        <v>1022</v>
      </c>
      <c r="C5128" s="84">
        <v>0.29</v>
      </c>
      <c r="D5128" s="84">
        <v>0.0</v>
      </c>
      <c r="E5128" s="84">
        <v>0.0</v>
      </c>
      <c r="F5128" s="76" t="s">
        <v>993</v>
      </c>
      <c r="G5128" s="83">
        <v>46114.0</v>
      </c>
      <c r="H5128" s="76" t="s">
        <v>971</v>
      </c>
    </row>
    <row r="5129">
      <c r="A5129" s="76" t="s">
        <v>29</v>
      </c>
      <c r="B5129" s="76" t="s">
        <v>1022</v>
      </c>
      <c r="C5129" s="84">
        <v>0.03</v>
      </c>
      <c r="D5129" s="84">
        <v>0.0</v>
      </c>
      <c r="E5129" s="84">
        <v>0.0</v>
      </c>
      <c r="F5129" s="76" t="s">
        <v>993</v>
      </c>
      <c r="G5129" s="83">
        <v>46114.0</v>
      </c>
      <c r="H5129" s="76" t="s">
        <v>972</v>
      </c>
    </row>
    <row r="5130">
      <c r="A5130" s="76" t="s">
        <v>29</v>
      </c>
      <c r="B5130" s="76" t="s">
        <v>1022</v>
      </c>
      <c r="C5130" s="84">
        <v>1.49</v>
      </c>
      <c r="D5130" s="84">
        <v>0.0</v>
      </c>
      <c r="E5130" s="84">
        <v>0.0</v>
      </c>
      <c r="F5130" s="76" t="s">
        <v>993</v>
      </c>
      <c r="G5130" s="83">
        <v>46114.0</v>
      </c>
      <c r="H5130" s="76" t="s">
        <v>973</v>
      </c>
    </row>
    <row r="5131">
      <c r="A5131" s="76" t="s">
        <v>34</v>
      </c>
      <c r="B5131" s="76" t="s">
        <v>1022</v>
      </c>
      <c r="C5131" s="84">
        <v>0.71</v>
      </c>
      <c r="D5131" s="84">
        <v>0.0</v>
      </c>
      <c r="E5131" s="84">
        <v>0.0</v>
      </c>
      <c r="F5131" s="76" t="s">
        <v>993</v>
      </c>
      <c r="G5131" s="83">
        <v>46114.0</v>
      </c>
      <c r="H5131" s="76" t="s">
        <v>951</v>
      </c>
    </row>
    <row r="5132">
      <c r="A5132" s="76" t="s">
        <v>34</v>
      </c>
      <c r="B5132" s="76" t="s">
        <v>1022</v>
      </c>
      <c r="C5132" s="84">
        <v>0.34</v>
      </c>
      <c r="D5132" s="84">
        <v>0.0</v>
      </c>
      <c r="E5132" s="84">
        <v>0.0</v>
      </c>
      <c r="F5132" s="76" t="s">
        <v>993</v>
      </c>
      <c r="G5132" s="83">
        <v>46114.0</v>
      </c>
      <c r="H5132" s="76" t="s">
        <v>952</v>
      </c>
    </row>
    <row r="5133">
      <c r="A5133" s="76" t="s">
        <v>34</v>
      </c>
      <c r="B5133" s="76" t="s">
        <v>1022</v>
      </c>
      <c r="C5133" s="84">
        <v>1.85</v>
      </c>
      <c r="D5133" s="84">
        <v>0.0</v>
      </c>
      <c r="E5133" s="84">
        <v>0.0</v>
      </c>
      <c r="F5133" s="76" t="s">
        <v>993</v>
      </c>
      <c r="G5133" s="83">
        <v>46114.0</v>
      </c>
      <c r="H5133" s="76" t="s">
        <v>953</v>
      </c>
    </row>
    <row r="5134">
      <c r="A5134" s="76" t="s">
        <v>40</v>
      </c>
      <c r="B5134" s="76" t="s">
        <v>1022</v>
      </c>
      <c r="C5134" s="84">
        <v>0.17</v>
      </c>
      <c r="D5134" s="84">
        <v>0.0</v>
      </c>
      <c r="E5134" s="84">
        <v>0.0</v>
      </c>
      <c r="F5134" s="76" t="s">
        <v>993</v>
      </c>
      <c r="G5134" s="83">
        <v>46114.0</v>
      </c>
      <c r="H5134" s="76" t="s">
        <v>954</v>
      </c>
    </row>
    <row r="5135">
      <c r="A5135" s="76" t="s">
        <v>40</v>
      </c>
      <c r="B5135" s="76" t="s">
        <v>1022</v>
      </c>
      <c r="C5135" s="84">
        <v>0.03</v>
      </c>
      <c r="D5135" s="84">
        <v>0.0</v>
      </c>
      <c r="E5135" s="84">
        <v>0.0</v>
      </c>
      <c r="F5135" s="76" t="s">
        <v>993</v>
      </c>
      <c r="G5135" s="83">
        <v>46114.0</v>
      </c>
      <c r="H5135" s="76" t="s">
        <v>955</v>
      </c>
    </row>
    <row r="5136">
      <c r="A5136" s="76" t="s">
        <v>40</v>
      </c>
      <c r="B5136" s="76" t="s">
        <v>1022</v>
      </c>
      <c r="C5136" s="84">
        <v>4.42</v>
      </c>
      <c r="D5136" s="84">
        <v>0.0</v>
      </c>
      <c r="E5136" s="84">
        <v>0.0</v>
      </c>
      <c r="F5136" s="76" t="s">
        <v>993</v>
      </c>
      <c r="G5136" s="83">
        <v>46114.0</v>
      </c>
      <c r="H5136" s="76" t="s">
        <v>956</v>
      </c>
    </row>
    <row r="5137">
      <c r="A5137" s="76" t="s">
        <v>33</v>
      </c>
      <c r="B5137" s="76" t="s">
        <v>1022</v>
      </c>
      <c r="C5137" s="84">
        <v>3.05</v>
      </c>
      <c r="D5137" s="84">
        <v>0.0</v>
      </c>
      <c r="E5137" s="84">
        <v>0.0</v>
      </c>
      <c r="F5137" s="76" t="s">
        <v>993</v>
      </c>
      <c r="G5137" s="83">
        <v>46114.0</v>
      </c>
      <c r="H5137" s="76" t="s">
        <v>957</v>
      </c>
    </row>
    <row r="5138">
      <c r="A5138" s="76" t="s">
        <v>33</v>
      </c>
      <c r="B5138" s="76" t="s">
        <v>1022</v>
      </c>
      <c r="C5138" s="84">
        <v>0.08</v>
      </c>
      <c r="D5138" s="84">
        <v>0.0</v>
      </c>
      <c r="E5138" s="84">
        <v>0.0</v>
      </c>
      <c r="F5138" s="76" t="s">
        <v>993</v>
      </c>
      <c r="G5138" s="83">
        <v>46114.0</v>
      </c>
      <c r="H5138" s="76" t="s">
        <v>958</v>
      </c>
    </row>
    <row r="5139">
      <c r="A5139" s="76" t="s">
        <v>33</v>
      </c>
      <c r="B5139" s="76" t="s">
        <v>1022</v>
      </c>
      <c r="C5139" s="84">
        <v>0.17</v>
      </c>
      <c r="D5139" s="84">
        <v>0.0</v>
      </c>
      <c r="E5139" s="84">
        <v>0.0</v>
      </c>
      <c r="F5139" s="76" t="s">
        <v>993</v>
      </c>
      <c r="G5139" s="83">
        <v>46114.0</v>
      </c>
      <c r="H5139" s="76" t="s">
        <v>959</v>
      </c>
    </row>
    <row r="5140">
      <c r="A5140" s="76" t="s">
        <v>46</v>
      </c>
      <c r="B5140" s="76" t="s">
        <v>1022</v>
      </c>
      <c r="C5140" s="84">
        <v>0.04</v>
      </c>
      <c r="D5140" s="84">
        <v>0.0</v>
      </c>
      <c r="E5140" s="84">
        <v>0.0</v>
      </c>
      <c r="F5140" s="76" t="s">
        <v>993</v>
      </c>
      <c r="G5140" s="83">
        <v>46114.0</v>
      </c>
      <c r="H5140" s="76" t="s">
        <v>960</v>
      </c>
    </row>
    <row r="5141">
      <c r="A5141" s="76" t="s">
        <v>46</v>
      </c>
      <c r="B5141" s="76" t="s">
        <v>1022</v>
      </c>
      <c r="C5141" s="84">
        <v>0.06</v>
      </c>
      <c r="D5141" s="84">
        <v>0.0</v>
      </c>
      <c r="E5141" s="84">
        <v>0.0</v>
      </c>
      <c r="F5141" s="76" t="s">
        <v>993</v>
      </c>
      <c r="G5141" s="83">
        <v>46114.0</v>
      </c>
      <c r="H5141" s="76" t="s">
        <v>961</v>
      </c>
    </row>
    <row r="5142">
      <c r="A5142" s="76" t="s">
        <v>46</v>
      </c>
      <c r="B5142" s="76" t="s">
        <v>1022</v>
      </c>
      <c r="C5142" s="84">
        <v>0.06</v>
      </c>
      <c r="D5142" s="84">
        <v>0.0</v>
      </c>
      <c r="E5142" s="84">
        <v>0.0</v>
      </c>
      <c r="F5142" s="76" t="s">
        <v>993</v>
      </c>
      <c r="G5142" s="83">
        <v>46114.0</v>
      </c>
      <c r="H5142" s="76" t="s">
        <v>962</v>
      </c>
    </row>
    <row r="5143">
      <c r="A5143" s="76" t="s">
        <v>43</v>
      </c>
      <c r="B5143" s="76" t="s">
        <v>1022</v>
      </c>
      <c r="C5143" s="84">
        <v>0.23</v>
      </c>
      <c r="D5143" s="84">
        <v>0.0</v>
      </c>
      <c r="E5143" s="84">
        <v>0.0</v>
      </c>
      <c r="F5143" s="76" t="s">
        <v>993</v>
      </c>
      <c r="G5143" s="83">
        <v>46114.0</v>
      </c>
      <c r="H5143" s="76" t="s">
        <v>963</v>
      </c>
    </row>
    <row r="5144">
      <c r="A5144" s="76" t="s">
        <v>43</v>
      </c>
      <c r="B5144" s="76" t="s">
        <v>1022</v>
      </c>
      <c r="C5144" s="84">
        <v>0.07</v>
      </c>
      <c r="D5144" s="84">
        <v>0.0</v>
      </c>
      <c r="E5144" s="84">
        <v>0.0</v>
      </c>
      <c r="F5144" s="76" t="s">
        <v>993</v>
      </c>
      <c r="G5144" s="83">
        <v>46114.0</v>
      </c>
      <c r="H5144" s="76" t="s">
        <v>964</v>
      </c>
    </row>
    <row r="5145">
      <c r="A5145" s="76" t="s">
        <v>43</v>
      </c>
      <c r="B5145" s="76" t="s">
        <v>1022</v>
      </c>
      <c r="C5145" s="84">
        <v>0.46</v>
      </c>
      <c r="D5145" s="84">
        <v>0.0</v>
      </c>
      <c r="E5145" s="84">
        <v>0.0</v>
      </c>
      <c r="F5145" s="76" t="s">
        <v>993</v>
      </c>
      <c r="G5145" s="83">
        <v>46114.0</v>
      </c>
      <c r="H5145" s="76" t="s">
        <v>965</v>
      </c>
    </row>
    <row r="5146">
      <c r="A5146" s="76" t="s">
        <v>966</v>
      </c>
      <c r="B5146" s="76" t="s">
        <v>1022</v>
      </c>
      <c r="C5146" s="84">
        <v>0.33</v>
      </c>
      <c r="D5146" s="84">
        <v>0.0</v>
      </c>
      <c r="E5146" s="84">
        <v>0.0</v>
      </c>
      <c r="F5146" s="76" t="s">
        <v>993</v>
      </c>
      <c r="G5146" s="83">
        <v>46114.0</v>
      </c>
      <c r="H5146" s="76" t="s">
        <v>967</v>
      </c>
    </row>
    <row r="5147">
      <c r="A5147" s="76" t="s">
        <v>966</v>
      </c>
      <c r="B5147" s="76" t="s">
        <v>1022</v>
      </c>
      <c r="C5147" s="84">
        <v>0.05</v>
      </c>
      <c r="D5147" s="84">
        <v>0.0</v>
      </c>
      <c r="E5147" s="84">
        <v>0.0</v>
      </c>
      <c r="F5147" s="76" t="s">
        <v>993</v>
      </c>
      <c r="G5147" s="83">
        <v>46114.0</v>
      </c>
      <c r="H5147" s="76" t="s">
        <v>968</v>
      </c>
    </row>
    <row r="5148">
      <c r="A5148" s="76" t="s">
        <v>966</v>
      </c>
      <c r="B5148" s="76" t="s">
        <v>1022</v>
      </c>
      <c r="C5148" s="84">
        <v>0.21</v>
      </c>
      <c r="D5148" s="84">
        <v>0.0</v>
      </c>
      <c r="E5148" s="84">
        <v>0.0</v>
      </c>
      <c r="F5148" s="76" t="s">
        <v>993</v>
      </c>
      <c r="G5148" s="83">
        <v>46114.0</v>
      </c>
      <c r="H5148" s="76" t="s">
        <v>969</v>
      </c>
    </row>
    <row r="5149">
      <c r="A5149" s="76" t="s">
        <v>36</v>
      </c>
      <c r="B5149" s="76" t="s">
        <v>1022</v>
      </c>
      <c r="C5149" s="84">
        <v>0.19</v>
      </c>
      <c r="D5149" s="84">
        <v>0.0</v>
      </c>
      <c r="E5149" s="84">
        <v>0.0</v>
      </c>
      <c r="F5149" s="76" t="s">
        <v>993</v>
      </c>
      <c r="G5149" s="83">
        <v>46114.0</v>
      </c>
      <c r="H5149" s="76" t="s">
        <v>926</v>
      </c>
    </row>
    <row r="5150">
      <c r="A5150" s="76" t="s">
        <v>36</v>
      </c>
      <c r="B5150" s="76" t="s">
        <v>1022</v>
      </c>
      <c r="C5150" s="84">
        <v>0.07</v>
      </c>
      <c r="D5150" s="84">
        <v>0.0</v>
      </c>
      <c r="E5150" s="84">
        <v>0.0</v>
      </c>
      <c r="F5150" s="76" t="s">
        <v>993</v>
      </c>
      <c r="G5150" s="83">
        <v>46114.0</v>
      </c>
      <c r="H5150" s="76" t="s">
        <v>927</v>
      </c>
    </row>
    <row r="5151">
      <c r="A5151" s="76" t="s">
        <v>36</v>
      </c>
      <c r="B5151" s="76" t="s">
        <v>1022</v>
      </c>
      <c r="C5151" s="84">
        <v>0.06</v>
      </c>
      <c r="D5151" s="84">
        <v>0.0</v>
      </c>
      <c r="E5151" s="84">
        <v>0.0</v>
      </c>
      <c r="F5151" s="76" t="s">
        <v>993</v>
      </c>
      <c r="G5151" s="83">
        <v>46114.0</v>
      </c>
      <c r="H5151" s="76" t="s">
        <v>928</v>
      </c>
    </row>
    <row r="5152">
      <c r="A5152" s="76" t="s">
        <v>970</v>
      </c>
      <c r="B5152" s="76" t="s">
        <v>1022</v>
      </c>
      <c r="C5152" s="84">
        <v>0.44</v>
      </c>
      <c r="D5152" s="84">
        <v>0.0</v>
      </c>
      <c r="E5152" s="84">
        <v>0.0</v>
      </c>
      <c r="F5152" s="76" t="s">
        <v>993</v>
      </c>
      <c r="G5152" s="83">
        <v>46114.0</v>
      </c>
      <c r="H5152" s="76" t="s">
        <v>971</v>
      </c>
    </row>
    <row r="5153">
      <c r="A5153" s="76" t="s">
        <v>970</v>
      </c>
      <c r="B5153" s="76" t="s">
        <v>1022</v>
      </c>
      <c r="C5153" s="84">
        <v>0.04</v>
      </c>
      <c r="D5153" s="84">
        <v>0.0</v>
      </c>
      <c r="E5153" s="84">
        <v>0.0</v>
      </c>
      <c r="F5153" s="76" t="s">
        <v>993</v>
      </c>
      <c r="G5153" s="83">
        <v>46114.0</v>
      </c>
      <c r="H5153" s="76" t="s">
        <v>972</v>
      </c>
    </row>
    <row r="5154">
      <c r="A5154" s="76" t="s">
        <v>970</v>
      </c>
      <c r="B5154" s="76" t="s">
        <v>1022</v>
      </c>
      <c r="C5154" s="84">
        <v>4.01</v>
      </c>
      <c r="D5154" s="84">
        <v>0.0</v>
      </c>
      <c r="E5154" s="84">
        <v>0.0</v>
      </c>
      <c r="F5154" s="76" t="s">
        <v>993</v>
      </c>
      <c r="G5154" s="83">
        <v>46114.0</v>
      </c>
      <c r="H5154" s="76" t="s">
        <v>973</v>
      </c>
    </row>
    <row r="5155">
      <c r="A5155" s="76" t="s">
        <v>34</v>
      </c>
      <c r="B5155" s="76" t="s">
        <v>1022</v>
      </c>
      <c r="C5155" s="84">
        <v>0.52</v>
      </c>
      <c r="D5155" s="84">
        <v>0.0</v>
      </c>
      <c r="E5155" s="84">
        <v>0.0</v>
      </c>
      <c r="F5155" s="76" t="s">
        <v>994</v>
      </c>
      <c r="G5155" s="83">
        <v>46114.0</v>
      </c>
      <c r="H5155" s="76" t="s">
        <v>951</v>
      </c>
    </row>
    <row r="5156">
      <c r="A5156" s="76" t="s">
        <v>34</v>
      </c>
      <c r="B5156" s="76" t="s">
        <v>1022</v>
      </c>
      <c r="C5156" s="84">
        <v>0.1</v>
      </c>
      <c r="D5156" s="84">
        <v>0.0</v>
      </c>
      <c r="E5156" s="84">
        <v>0.0</v>
      </c>
      <c r="F5156" s="76" t="s">
        <v>994</v>
      </c>
      <c r="G5156" s="83">
        <v>46114.0</v>
      </c>
      <c r="H5156" s="76" t="s">
        <v>952</v>
      </c>
    </row>
    <row r="5157">
      <c r="A5157" s="76" t="s">
        <v>34</v>
      </c>
      <c r="B5157" s="76" t="s">
        <v>1022</v>
      </c>
      <c r="C5157" s="84">
        <v>1.37</v>
      </c>
      <c r="D5157" s="84">
        <v>0.0</v>
      </c>
      <c r="E5157" s="84">
        <v>0.0</v>
      </c>
      <c r="F5157" s="76" t="s">
        <v>994</v>
      </c>
      <c r="G5157" s="83">
        <v>46114.0</v>
      </c>
      <c r="H5157" s="76" t="s">
        <v>953</v>
      </c>
    </row>
    <row r="5158">
      <c r="A5158" s="76" t="s">
        <v>40</v>
      </c>
      <c r="B5158" s="76" t="s">
        <v>1022</v>
      </c>
      <c r="C5158" s="84">
        <v>0.05</v>
      </c>
      <c r="D5158" s="84">
        <v>0.0</v>
      </c>
      <c r="E5158" s="84">
        <v>0.0</v>
      </c>
      <c r="F5158" s="76" t="s">
        <v>994</v>
      </c>
      <c r="G5158" s="83">
        <v>46114.0</v>
      </c>
      <c r="H5158" s="76" t="s">
        <v>954</v>
      </c>
    </row>
    <row r="5159">
      <c r="A5159" s="76" t="s">
        <v>40</v>
      </c>
      <c r="B5159" s="76" t="s">
        <v>1022</v>
      </c>
      <c r="C5159" s="84">
        <v>0.03</v>
      </c>
      <c r="D5159" s="84">
        <v>0.0</v>
      </c>
      <c r="E5159" s="84">
        <v>0.0</v>
      </c>
      <c r="F5159" s="76" t="s">
        <v>994</v>
      </c>
      <c r="G5159" s="83">
        <v>46114.0</v>
      </c>
      <c r="H5159" s="76" t="s">
        <v>955</v>
      </c>
    </row>
    <row r="5160">
      <c r="A5160" s="76" t="s">
        <v>40</v>
      </c>
      <c r="B5160" s="76" t="s">
        <v>1022</v>
      </c>
      <c r="C5160" s="84">
        <v>1.42</v>
      </c>
      <c r="D5160" s="84">
        <v>0.0</v>
      </c>
      <c r="E5160" s="84">
        <v>0.0</v>
      </c>
      <c r="F5160" s="76" t="s">
        <v>994</v>
      </c>
      <c r="G5160" s="83">
        <v>46114.0</v>
      </c>
      <c r="H5160" s="76" t="s">
        <v>956</v>
      </c>
    </row>
    <row r="5161">
      <c r="A5161" s="76" t="s">
        <v>33</v>
      </c>
      <c r="B5161" s="76" t="s">
        <v>1022</v>
      </c>
      <c r="C5161" s="84">
        <v>2.31</v>
      </c>
      <c r="D5161" s="84">
        <v>0.0</v>
      </c>
      <c r="E5161" s="84">
        <v>0.0</v>
      </c>
      <c r="F5161" s="76" t="s">
        <v>994</v>
      </c>
      <c r="G5161" s="83">
        <v>46114.0</v>
      </c>
      <c r="H5161" s="76" t="s">
        <v>957</v>
      </c>
    </row>
    <row r="5162">
      <c r="A5162" s="76" t="s">
        <v>33</v>
      </c>
      <c r="B5162" s="76" t="s">
        <v>1022</v>
      </c>
      <c r="C5162" s="84">
        <v>0.06</v>
      </c>
      <c r="D5162" s="84">
        <v>0.0</v>
      </c>
      <c r="E5162" s="84">
        <v>0.0</v>
      </c>
      <c r="F5162" s="76" t="s">
        <v>994</v>
      </c>
      <c r="G5162" s="83">
        <v>46114.0</v>
      </c>
      <c r="H5162" s="76" t="s">
        <v>958</v>
      </c>
    </row>
    <row r="5163">
      <c r="A5163" s="76" t="s">
        <v>33</v>
      </c>
      <c r="B5163" s="76" t="s">
        <v>1022</v>
      </c>
      <c r="C5163" s="84">
        <v>0.1</v>
      </c>
      <c r="D5163" s="84">
        <v>0.0</v>
      </c>
      <c r="E5163" s="84">
        <v>0.0</v>
      </c>
      <c r="F5163" s="76" t="s">
        <v>994</v>
      </c>
      <c r="G5163" s="83">
        <v>46114.0</v>
      </c>
      <c r="H5163" s="76" t="s">
        <v>959</v>
      </c>
    </row>
    <row r="5164">
      <c r="A5164" s="76" t="s">
        <v>46</v>
      </c>
      <c r="B5164" s="76" t="s">
        <v>1022</v>
      </c>
      <c r="C5164" s="84">
        <v>0.02</v>
      </c>
      <c r="D5164" s="84">
        <v>0.0</v>
      </c>
      <c r="E5164" s="84">
        <v>0.0</v>
      </c>
      <c r="F5164" s="76" t="s">
        <v>994</v>
      </c>
      <c r="G5164" s="83">
        <v>46114.0</v>
      </c>
      <c r="H5164" s="76" t="s">
        <v>960</v>
      </c>
    </row>
    <row r="5165">
      <c r="A5165" s="76" t="s">
        <v>46</v>
      </c>
      <c r="B5165" s="76" t="s">
        <v>1022</v>
      </c>
      <c r="C5165" s="84">
        <v>0.05</v>
      </c>
      <c r="D5165" s="84">
        <v>0.0</v>
      </c>
      <c r="E5165" s="84">
        <v>0.0</v>
      </c>
      <c r="F5165" s="76" t="s">
        <v>994</v>
      </c>
      <c r="G5165" s="83">
        <v>46114.0</v>
      </c>
      <c r="H5165" s="76" t="s">
        <v>961</v>
      </c>
    </row>
    <row r="5166">
      <c r="A5166" s="76" t="s">
        <v>46</v>
      </c>
      <c r="B5166" s="76" t="s">
        <v>1022</v>
      </c>
      <c r="C5166" s="84">
        <v>0.05</v>
      </c>
      <c r="D5166" s="84">
        <v>0.0</v>
      </c>
      <c r="E5166" s="84">
        <v>0.0</v>
      </c>
      <c r="F5166" s="76" t="s">
        <v>994</v>
      </c>
      <c r="G5166" s="83">
        <v>46114.0</v>
      </c>
      <c r="H5166" s="76" t="s">
        <v>962</v>
      </c>
    </row>
    <row r="5167">
      <c r="A5167" s="76" t="s">
        <v>43</v>
      </c>
      <c r="B5167" s="76" t="s">
        <v>1022</v>
      </c>
      <c r="C5167" s="84">
        <v>0.16</v>
      </c>
      <c r="D5167" s="84">
        <v>0.0</v>
      </c>
      <c r="E5167" s="84">
        <v>0.0</v>
      </c>
      <c r="F5167" s="76" t="s">
        <v>994</v>
      </c>
      <c r="G5167" s="83">
        <v>46114.0</v>
      </c>
      <c r="H5167" s="76" t="s">
        <v>963</v>
      </c>
    </row>
    <row r="5168">
      <c r="A5168" s="76" t="s">
        <v>43</v>
      </c>
      <c r="B5168" s="76" t="s">
        <v>1022</v>
      </c>
      <c r="C5168" s="84">
        <v>0.04</v>
      </c>
      <c r="D5168" s="84">
        <v>0.0</v>
      </c>
      <c r="E5168" s="84">
        <v>0.0</v>
      </c>
      <c r="F5168" s="76" t="s">
        <v>994</v>
      </c>
      <c r="G5168" s="83">
        <v>46114.0</v>
      </c>
      <c r="H5168" s="76" t="s">
        <v>964</v>
      </c>
    </row>
    <row r="5169">
      <c r="A5169" s="76" t="s">
        <v>43</v>
      </c>
      <c r="B5169" s="76" t="s">
        <v>1022</v>
      </c>
      <c r="C5169" s="84">
        <v>0.56</v>
      </c>
      <c r="D5169" s="84">
        <v>0.0</v>
      </c>
      <c r="E5169" s="84">
        <v>0.0</v>
      </c>
      <c r="F5169" s="76" t="s">
        <v>994</v>
      </c>
      <c r="G5169" s="83">
        <v>46114.0</v>
      </c>
      <c r="H5169" s="76" t="s">
        <v>965</v>
      </c>
    </row>
    <row r="5170">
      <c r="A5170" s="76" t="s">
        <v>966</v>
      </c>
      <c r="B5170" s="76" t="s">
        <v>1022</v>
      </c>
      <c r="C5170" s="84">
        <v>0.18</v>
      </c>
      <c r="D5170" s="84">
        <v>0.0</v>
      </c>
      <c r="E5170" s="84">
        <v>0.0</v>
      </c>
      <c r="F5170" s="76" t="s">
        <v>994</v>
      </c>
      <c r="G5170" s="83">
        <v>46114.0</v>
      </c>
      <c r="H5170" s="76" t="s">
        <v>967</v>
      </c>
    </row>
    <row r="5171">
      <c r="A5171" s="76" t="s">
        <v>966</v>
      </c>
      <c r="B5171" s="76" t="s">
        <v>1022</v>
      </c>
      <c r="C5171" s="84">
        <v>0.03</v>
      </c>
      <c r="D5171" s="84">
        <v>0.0</v>
      </c>
      <c r="E5171" s="84">
        <v>0.0</v>
      </c>
      <c r="F5171" s="76" t="s">
        <v>994</v>
      </c>
      <c r="G5171" s="83">
        <v>46114.0</v>
      </c>
      <c r="H5171" s="76" t="s">
        <v>968</v>
      </c>
    </row>
    <row r="5172">
      <c r="A5172" s="76" t="s">
        <v>966</v>
      </c>
      <c r="B5172" s="76" t="s">
        <v>1022</v>
      </c>
      <c r="C5172" s="84">
        <v>0.05</v>
      </c>
      <c r="D5172" s="84">
        <v>0.0</v>
      </c>
      <c r="E5172" s="84">
        <v>0.0</v>
      </c>
      <c r="F5172" s="76" t="s">
        <v>994</v>
      </c>
      <c r="G5172" s="83">
        <v>46114.0</v>
      </c>
      <c r="H5172" s="76" t="s">
        <v>969</v>
      </c>
    </row>
    <row r="5173">
      <c r="A5173" s="76" t="s">
        <v>36</v>
      </c>
      <c r="B5173" s="76" t="s">
        <v>1022</v>
      </c>
      <c r="C5173" s="84">
        <v>0.23</v>
      </c>
      <c r="D5173" s="84">
        <v>0.0</v>
      </c>
      <c r="E5173" s="84">
        <v>0.0</v>
      </c>
      <c r="F5173" s="76" t="s">
        <v>994</v>
      </c>
      <c r="G5173" s="83">
        <v>46114.0</v>
      </c>
      <c r="H5173" s="76" t="s">
        <v>926</v>
      </c>
    </row>
    <row r="5174">
      <c r="A5174" s="76" t="s">
        <v>36</v>
      </c>
      <c r="B5174" s="76" t="s">
        <v>1022</v>
      </c>
      <c r="C5174" s="84">
        <v>0.24</v>
      </c>
      <c r="D5174" s="84">
        <v>0.0</v>
      </c>
      <c r="E5174" s="84">
        <v>0.0</v>
      </c>
      <c r="F5174" s="76" t="s">
        <v>994</v>
      </c>
      <c r="G5174" s="83">
        <v>46114.0</v>
      </c>
      <c r="H5174" s="76" t="s">
        <v>927</v>
      </c>
    </row>
    <row r="5175">
      <c r="A5175" s="76" t="s">
        <v>36</v>
      </c>
      <c r="B5175" s="76" t="s">
        <v>1022</v>
      </c>
      <c r="C5175" s="84">
        <v>0.1</v>
      </c>
      <c r="D5175" s="84">
        <v>0.0</v>
      </c>
      <c r="E5175" s="84">
        <v>0.0</v>
      </c>
      <c r="F5175" s="76" t="s">
        <v>994</v>
      </c>
      <c r="G5175" s="83">
        <v>46114.0</v>
      </c>
      <c r="H5175" s="76" t="s">
        <v>928</v>
      </c>
    </row>
    <row r="5176">
      <c r="A5176" s="76" t="s">
        <v>970</v>
      </c>
      <c r="B5176" s="76" t="s">
        <v>1022</v>
      </c>
      <c r="C5176" s="84">
        <v>0.13</v>
      </c>
      <c r="D5176" s="84">
        <v>0.0</v>
      </c>
      <c r="E5176" s="84">
        <v>0.0</v>
      </c>
      <c r="F5176" s="76" t="s">
        <v>994</v>
      </c>
      <c r="G5176" s="83">
        <v>46114.0</v>
      </c>
      <c r="H5176" s="76" t="s">
        <v>971</v>
      </c>
    </row>
    <row r="5177">
      <c r="A5177" s="76" t="s">
        <v>970</v>
      </c>
      <c r="B5177" s="76" t="s">
        <v>1022</v>
      </c>
      <c r="C5177" s="84">
        <v>0.03</v>
      </c>
      <c r="D5177" s="84">
        <v>0.0</v>
      </c>
      <c r="E5177" s="84">
        <v>0.0</v>
      </c>
      <c r="F5177" s="76" t="s">
        <v>994</v>
      </c>
      <c r="G5177" s="83">
        <v>46114.0</v>
      </c>
      <c r="H5177" s="76" t="s">
        <v>972</v>
      </c>
    </row>
    <row r="5178">
      <c r="A5178" s="76" t="s">
        <v>970</v>
      </c>
      <c r="B5178" s="76" t="s">
        <v>1022</v>
      </c>
      <c r="C5178" s="84">
        <v>3.08</v>
      </c>
      <c r="D5178" s="84">
        <v>0.0</v>
      </c>
      <c r="E5178" s="84">
        <v>0.0</v>
      </c>
      <c r="F5178" s="76" t="s">
        <v>994</v>
      </c>
      <c r="G5178" s="83">
        <v>46114.0</v>
      </c>
      <c r="H5178" s="76" t="s">
        <v>973</v>
      </c>
    </row>
    <row r="5179">
      <c r="A5179" s="76" t="s">
        <v>29</v>
      </c>
      <c r="B5179" s="76" t="s">
        <v>1022</v>
      </c>
      <c r="C5179" s="84">
        <v>0.26</v>
      </c>
      <c r="D5179" s="84">
        <v>0.0</v>
      </c>
      <c r="E5179" s="84">
        <v>0.0</v>
      </c>
      <c r="F5179" s="76" t="s">
        <v>994</v>
      </c>
      <c r="G5179" s="83">
        <v>46114.0</v>
      </c>
      <c r="H5179" s="76" t="s">
        <v>971</v>
      </c>
    </row>
    <row r="5180">
      <c r="A5180" s="76" t="s">
        <v>29</v>
      </c>
      <c r="B5180" s="76" t="s">
        <v>1022</v>
      </c>
      <c r="C5180" s="84">
        <v>0.04</v>
      </c>
      <c r="D5180" s="84">
        <v>0.0</v>
      </c>
      <c r="E5180" s="84">
        <v>0.0</v>
      </c>
      <c r="F5180" s="76" t="s">
        <v>994</v>
      </c>
      <c r="G5180" s="83">
        <v>46114.0</v>
      </c>
      <c r="H5180" s="76" t="s">
        <v>972</v>
      </c>
    </row>
    <row r="5181">
      <c r="A5181" s="76" t="s">
        <v>29</v>
      </c>
      <c r="B5181" s="76" t="s">
        <v>1022</v>
      </c>
      <c r="C5181" s="84">
        <v>1.77</v>
      </c>
      <c r="D5181" s="84">
        <v>0.0</v>
      </c>
      <c r="E5181" s="84">
        <v>0.0</v>
      </c>
      <c r="F5181" s="76" t="s">
        <v>994</v>
      </c>
      <c r="G5181" s="83">
        <v>46114.0</v>
      </c>
      <c r="H5181" s="76" t="s">
        <v>973</v>
      </c>
    </row>
    <row r="5182">
      <c r="A5182" s="76" t="s">
        <v>34</v>
      </c>
      <c r="B5182" s="76" t="s">
        <v>1022</v>
      </c>
      <c r="C5182" s="84">
        <v>1.56</v>
      </c>
      <c r="D5182" s="84">
        <v>0.0</v>
      </c>
      <c r="E5182" s="84">
        <v>0.0</v>
      </c>
      <c r="F5182" s="76" t="s">
        <v>1005</v>
      </c>
      <c r="G5182" s="83">
        <v>46114.0</v>
      </c>
      <c r="H5182" s="76" t="s">
        <v>951</v>
      </c>
    </row>
    <row r="5183">
      <c r="A5183" s="76" t="s">
        <v>34</v>
      </c>
      <c r="B5183" s="76" t="s">
        <v>1022</v>
      </c>
      <c r="C5183" s="84">
        <v>0.59</v>
      </c>
      <c r="D5183" s="84">
        <v>0.0</v>
      </c>
      <c r="E5183" s="84">
        <v>0.0</v>
      </c>
      <c r="F5183" s="76" t="s">
        <v>1005</v>
      </c>
      <c r="G5183" s="83">
        <v>46114.0</v>
      </c>
      <c r="H5183" s="76" t="s">
        <v>952</v>
      </c>
    </row>
    <row r="5184">
      <c r="A5184" s="76" t="s">
        <v>34</v>
      </c>
      <c r="B5184" s="76" t="s">
        <v>1022</v>
      </c>
      <c r="C5184" s="84">
        <v>3.7</v>
      </c>
      <c r="D5184" s="84">
        <v>0.0</v>
      </c>
      <c r="E5184" s="84">
        <v>0.0</v>
      </c>
      <c r="F5184" s="76" t="s">
        <v>1005</v>
      </c>
      <c r="G5184" s="83">
        <v>46114.0</v>
      </c>
      <c r="H5184" s="76" t="s">
        <v>953</v>
      </c>
    </row>
    <row r="5185">
      <c r="A5185" s="76" t="s">
        <v>40</v>
      </c>
      <c r="B5185" s="76" t="s">
        <v>1022</v>
      </c>
      <c r="C5185" s="84">
        <v>0.25</v>
      </c>
      <c r="D5185" s="84">
        <v>0.0</v>
      </c>
      <c r="E5185" s="84">
        <v>0.0</v>
      </c>
      <c r="F5185" s="76" t="s">
        <v>1005</v>
      </c>
      <c r="G5185" s="83">
        <v>46114.0</v>
      </c>
      <c r="H5185" s="76" t="s">
        <v>954</v>
      </c>
    </row>
    <row r="5186">
      <c r="A5186" s="76" t="s">
        <v>40</v>
      </c>
      <c r="B5186" s="76" t="s">
        <v>1022</v>
      </c>
      <c r="C5186" s="84">
        <v>0.08</v>
      </c>
      <c r="D5186" s="84">
        <v>0.0</v>
      </c>
      <c r="E5186" s="84">
        <v>0.0</v>
      </c>
      <c r="F5186" s="76" t="s">
        <v>1005</v>
      </c>
      <c r="G5186" s="83">
        <v>46114.0</v>
      </c>
      <c r="H5186" s="76" t="s">
        <v>955</v>
      </c>
    </row>
    <row r="5187">
      <c r="A5187" s="76" t="s">
        <v>40</v>
      </c>
      <c r="B5187" s="76" t="s">
        <v>1022</v>
      </c>
      <c r="C5187" s="84">
        <v>1.93</v>
      </c>
      <c r="D5187" s="84">
        <v>0.0</v>
      </c>
      <c r="E5187" s="84">
        <v>0.0</v>
      </c>
      <c r="F5187" s="76" t="s">
        <v>1005</v>
      </c>
      <c r="G5187" s="83">
        <v>46114.0</v>
      </c>
      <c r="H5187" s="76" t="s">
        <v>956</v>
      </c>
    </row>
    <row r="5188">
      <c r="A5188" s="76" t="s">
        <v>33</v>
      </c>
      <c r="B5188" s="76" t="s">
        <v>1022</v>
      </c>
      <c r="C5188" s="84">
        <v>7.37</v>
      </c>
      <c r="D5188" s="84">
        <v>0.0</v>
      </c>
      <c r="E5188" s="84">
        <v>0.0</v>
      </c>
      <c r="F5188" s="76" t="s">
        <v>1005</v>
      </c>
      <c r="G5188" s="83">
        <v>46114.0</v>
      </c>
      <c r="H5188" s="76" t="s">
        <v>957</v>
      </c>
    </row>
    <row r="5189">
      <c r="A5189" s="76" t="s">
        <v>33</v>
      </c>
      <c r="B5189" s="76" t="s">
        <v>1022</v>
      </c>
      <c r="C5189" s="84">
        <v>0.19</v>
      </c>
      <c r="D5189" s="84">
        <v>0.0</v>
      </c>
      <c r="E5189" s="84">
        <v>0.0</v>
      </c>
      <c r="F5189" s="76" t="s">
        <v>1005</v>
      </c>
      <c r="G5189" s="83">
        <v>46114.0</v>
      </c>
      <c r="H5189" s="76" t="s">
        <v>958</v>
      </c>
    </row>
    <row r="5190">
      <c r="A5190" s="76" t="s">
        <v>33</v>
      </c>
      <c r="B5190" s="76" t="s">
        <v>1022</v>
      </c>
      <c r="C5190" s="84">
        <v>0.6</v>
      </c>
      <c r="D5190" s="84">
        <v>0.0</v>
      </c>
      <c r="E5190" s="84">
        <v>0.0</v>
      </c>
      <c r="F5190" s="76" t="s">
        <v>1005</v>
      </c>
      <c r="G5190" s="83">
        <v>46114.0</v>
      </c>
      <c r="H5190" s="76" t="s">
        <v>959</v>
      </c>
    </row>
    <row r="5191">
      <c r="A5191" s="76" t="s">
        <v>46</v>
      </c>
      <c r="B5191" s="76" t="s">
        <v>1022</v>
      </c>
      <c r="C5191" s="84">
        <v>0.27</v>
      </c>
      <c r="D5191" s="84">
        <v>0.0</v>
      </c>
      <c r="E5191" s="84">
        <v>0.0</v>
      </c>
      <c r="F5191" s="76" t="s">
        <v>1005</v>
      </c>
      <c r="G5191" s="83">
        <v>46114.0</v>
      </c>
      <c r="H5191" s="76" t="s">
        <v>960</v>
      </c>
    </row>
    <row r="5192">
      <c r="A5192" s="76" t="s">
        <v>46</v>
      </c>
      <c r="B5192" s="76" t="s">
        <v>1022</v>
      </c>
      <c r="C5192" s="84">
        <v>0.29</v>
      </c>
      <c r="D5192" s="84">
        <v>0.0</v>
      </c>
      <c r="E5192" s="84">
        <v>0.0</v>
      </c>
      <c r="F5192" s="76" t="s">
        <v>1005</v>
      </c>
      <c r="G5192" s="83">
        <v>46114.0</v>
      </c>
      <c r="H5192" s="76" t="s">
        <v>961</v>
      </c>
    </row>
    <row r="5193">
      <c r="A5193" s="76" t="s">
        <v>46</v>
      </c>
      <c r="B5193" s="76" t="s">
        <v>1022</v>
      </c>
      <c r="C5193" s="84">
        <v>0.21</v>
      </c>
      <c r="D5193" s="84">
        <v>0.0</v>
      </c>
      <c r="E5193" s="84">
        <v>0.0</v>
      </c>
      <c r="F5193" s="76" t="s">
        <v>1005</v>
      </c>
      <c r="G5193" s="83">
        <v>46114.0</v>
      </c>
      <c r="H5193" s="76" t="s">
        <v>962</v>
      </c>
    </row>
    <row r="5194">
      <c r="A5194" s="76" t="s">
        <v>43</v>
      </c>
      <c r="B5194" s="76" t="s">
        <v>1022</v>
      </c>
      <c r="C5194" s="84">
        <v>0.27</v>
      </c>
      <c r="D5194" s="84">
        <v>0.0</v>
      </c>
      <c r="E5194" s="84">
        <v>0.0</v>
      </c>
      <c r="F5194" s="76" t="s">
        <v>1005</v>
      </c>
      <c r="G5194" s="83">
        <v>46114.0</v>
      </c>
      <c r="H5194" s="76" t="s">
        <v>963</v>
      </c>
    </row>
    <row r="5195">
      <c r="A5195" s="76" t="s">
        <v>43</v>
      </c>
      <c r="B5195" s="76" t="s">
        <v>1022</v>
      </c>
      <c r="C5195" s="84">
        <v>0.15</v>
      </c>
      <c r="D5195" s="84">
        <v>0.0</v>
      </c>
      <c r="E5195" s="84">
        <v>0.0</v>
      </c>
      <c r="F5195" s="76" t="s">
        <v>1005</v>
      </c>
      <c r="G5195" s="83">
        <v>46114.0</v>
      </c>
      <c r="H5195" s="76" t="s">
        <v>964</v>
      </c>
    </row>
    <row r="5196">
      <c r="A5196" s="76" t="s">
        <v>43</v>
      </c>
      <c r="B5196" s="76" t="s">
        <v>1022</v>
      </c>
      <c r="C5196" s="84">
        <v>0.55</v>
      </c>
      <c r="D5196" s="84">
        <v>0.0</v>
      </c>
      <c r="E5196" s="84">
        <v>0.0</v>
      </c>
      <c r="F5196" s="76" t="s">
        <v>1005</v>
      </c>
      <c r="G5196" s="83">
        <v>46114.0</v>
      </c>
      <c r="H5196" s="76" t="s">
        <v>965</v>
      </c>
    </row>
    <row r="5197">
      <c r="A5197" s="76" t="s">
        <v>966</v>
      </c>
      <c r="B5197" s="76" t="s">
        <v>1022</v>
      </c>
      <c r="C5197" s="84">
        <v>0.67</v>
      </c>
      <c r="D5197" s="84">
        <v>0.0</v>
      </c>
      <c r="E5197" s="84">
        <v>0.0</v>
      </c>
      <c r="F5197" s="76" t="s">
        <v>1005</v>
      </c>
      <c r="G5197" s="83">
        <v>46114.0</v>
      </c>
      <c r="H5197" s="76" t="s">
        <v>967</v>
      </c>
    </row>
    <row r="5198">
      <c r="A5198" s="76" t="s">
        <v>966</v>
      </c>
      <c r="B5198" s="76" t="s">
        <v>1022</v>
      </c>
      <c r="C5198" s="84">
        <v>0.25</v>
      </c>
      <c r="D5198" s="84">
        <v>0.0</v>
      </c>
      <c r="E5198" s="84">
        <v>0.0</v>
      </c>
      <c r="F5198" s="76" t="s">
        <v>1005</v>
      </c>
      <c r="G5198" s="83">
        <v>46114.0</v>
      </c>
      <c r="H5198" s="76" t="s">
        <v>968</v>
      </c>
    </row>
    <row r="5199">
      <c r="A5199" s="76" t="s">
        <v>966</v>
      </c>
      <c r="B5199" s="76" t="s">
        <v>1022</v>
      </c>
      <c r="C5199" s="84">
        <v>0.24</v>
      </c>
      <c r="D5199" s="84">
        <v>0.0</v>
      </c>
      <c r="E5199" s="84">
        <v>0.0</v>
      </c>
      <c r="F5199" s="76" t="s">
        <v>1005</v>
      </c>
      <c r="G5199" s="83">
        <v>46114.0</v>
      </c>
      <c r="H5199" s="76" t="s">
        <v>969</v>
      </c>
    </row>
    <row r="5200">
      <c r="A5200" s="76" t="s">
        <v>36</v>
      </c>
      <c r="B5200" s="76" t="s">
        <v>1022</v>
      </c>
      <c r="C5200" s="84">
        <v>0.54</v>
      </c>
      <c r="D5200" s="84">
        <v>0.0</v>
      </c>
      <c r="E5200" s="84">
        <v>0.0</v>
      </c>
      <c r="F5200" s="76" t="s">
        <v>1005</v>
      </c>
      <c r="G5200" s="83">
        <v>46114.0</v>
      </c>
      <c r="H5200" s="76" t="s">
        <v>926</v>
      </c>
    </row>
    <row r="5201">
      <c r="A5201" s="76" t="s">
        <v>36</v>
      </c>
      <c r="B5201" s="76" t="s">
        <v>1022</v>
      </c>
      <c r="C5201" s="84">
        <v>0.37</v>
      </c>
      <c r="D5201" s="84">
        <v>0.0</v>
      </c>
      <c r="E5201" s="84">
        <v>0.0</v>
      </c>
      <c r="F5201" s="76" t="s">
        <v>1005</v>
      </c>
      <c r="G5201" s="83">
        <v>46114.0</v>
      </c>
      <c r="H5201" s="76" t="s">
        <v>927</v>
      </c>
    </row>
    <row r="5202">
      <c r="A5202" s="76" t="s">
        <v>36</v>
      </c>
      <c r="B5202" s="76" t="s">
        <v>1022</v>
      </c>
      <c r="C5202" s="84">
        <v>0.27</v>
      </c>
      <c r="D5202" s="84">
        <v>0.0</v>
      </c>
      <c r="E5202" s="84">
        <v>0.0</v>
      </c>
      <c r="F5202" s="76" t="s">
        <v>1005</v>
      </c>
      <c r="G5202" s="83">
        <v>46114.0</v>
      </c>
      <c r="H5202" s="76" t="s">
        <v>928</v>
      </c>
    </row>
    <row r="5203">
      <c r="A5203" s="76" t="s">
        <v>970</v>
      </c>
      <c r="B5203" s="76" t="s">
        <v>1022</v>
      </c>
      <c r="C5203" s="84">
        <v>0.78</v>
      </c>
      <c r="D5203" s="84">
        <v>0.0</v>
      </c>
      <c r="E5203" s="84">
        <v>0.0</v>
      </c>
      <c r="F5203" s="76" t="s">
        <v>1005</v>
      </c>
      <c r="G5203" s="83">
        <v>46114.0</v>
      </c>
      <c r="H5203" s="76" t="s">
        <v>971</v>
      </c>
    </row>
    <row r="5204">
      <c r="A5204" s="76" t="s">
        <v>970</v>
      </c>
      <c r="B5204" s="76" t="s">
        <v>1022</v>
      </c>
      <c r="C5204" s="84">
        <v>0.21</v>
      </c>
      <c r="D5204" s="84">
        <v>0.0</v>
      </c>
      <c r="E5204" s="84">
        <v>0.0</v>
      </c>
      <c r="F5204" s="76" t="s">
        <v>1005</v>
      </c>
      <c r="G5204" s="83">
        <v>46114.0</v>
      </c>
      <c r="H5204" s="76" t="s">
        <v>972</v>
      </c>
    </row>
    <row r="5205">
      <c r="A5205" s="76" t="s">
        <v>970</v>
      </c>
      <c r="B5205" s="76" t="s">
        <v>1022</v>
      </c>
      <c r="C5205" s="84">
        <v>99.02</v>
      </c>
      <c r="D5205" s="84">
        <v>6.0</v>
      </c>
      <c r="E5205" s="84">
        <v>16.5</v>
      </c>
      <c r="F5205" s="76" t="s">
        <v>1005</v>
      </c>
      <c r="G5205" s="83">
        <v>46114.0</v>
      </c>
      <c r="H5205" s="76" t="s">
        <v>973</v>
      </c>
    </row>
    <row r="5206">
      <c r="A5206" s="76" t="s">
        <v>29</v>
      </c>
      <c r="B5206" s="76" t="s">
        <v>1022</v>
      </c>
      <c r="C5206" s="84">
        <v>7.17</v>
      </c>
      <c r="D5206" s="84">
        <v>0.0</v>
      </c>
      <c r="E5206" s="84">
        <v>0.0</v>
      </c>
      <c r="F5206" s="76" t="s">
        <v>1005</v>
      </c>
      <c r="G5206" s="83">
        <v>46114.0</v>
      </c>
      <c r="H5206" s="76" t="s">
        <v>1015</v>
      </c>
    </row>
    <row r="5207">
      <c r="A5207" s="76" t="s">
        <v>29</v>
      </c>
      <c r="B5207" s="76" t="s">
        <v>1022</v>
      </c>
      <c r="C5207" s="84">
        <v>0.81</v>
      </c>
      <c r="D5207" s="84">
        <v>0.0</v>
      </c>
      <c r="E5207" s="84">
        <v>0.0</v>
      </c>
      <c r="F5207" s="76" t="s">
        <v>1005</v>
      </c>
      <c r="G5207" s="83">
        <v>46114.0</v>
      </c>
      <c r="H5207" s="76" t="s">
        <v>1016</v>
      </c>
    </row>
    <row r="5208">
      <c r="A5208" s="76" t="s">
        <v>29</v>
      </c>
      <c r="B5208" s="76" t="s">
        <v>1022</v>
      </c>
      <c r="C5208" s="84">
        <v>0.4</v>
      </c>
      <c r="D5208" s="84">
        <v>0.0</v>
      </c>
      <c r="E5208" s="84">
        <v>0.0</v>
      </c>
      <c r="F5208" s="76" t="s">
        <v>1005</v>
      </c>
      <c r="G5208" s="83">
        <v>46114.0</v>
      </c>
      <c r="H5208" s="76" t="s">
        <v>1017</v>
      </c>
    </row>
    <row r="5209">
      <c r="A5209" s="76" t="s">
        <v>34</v>
      </c>
      <c r="B5209" s="76" t="s">
        <v>1022</v>
      </c>
      <c r="C5209" s="84">
        <v>1.79</v>
      </c>
      <c r="D5209" s="84">
        <v>0.0</v>
      </c>
      <c r="E5209" s="84">
        <v>0.0</v>
      </c>
      <c r="F5209" s="76" t="s">
        <v>996</v>
      </c>
      <c r="G5209" s="83">
        <v>46114.0</v>
      </c>
      <c r="H5209" s="76" t="s">
        <v>951</v>
      </c>
    </row>
    <row r="5210">
      <c r="A5210" s="76" t="s">
        <v>34</v>
      </c>
      <c r="B5210" s="76" t="s">
        <v>1022</v>
      </c>
      <c r="C5210" s="84">
        <v>0.89</v>
      </c>
      <c r="D5210" s="84">
        <v>0.0</v>
      </c>
      <c r="E5210" s="84">
        <v>0.0</v>
      </c>
      <c r="F5210" s="76" t="s">
        <v>996</v>
      </c>
      <c r="G5210" s="83">
        <v>46114.0</v>
      </c>
      <c r="H5210" s="76" t="s">
        <v>952</v>
      </c>
    </row>
    <row r="5211">
      <c r="A5211" s="76" t="s">
        <v>34</v>
      </c>
      <c r="B5211" s="76" t="s">
        <v>1022</v>
      </c>
      <c r="C5211" s="84">
        <v>6.7</v>
      </c>
      <c r="D5211" s="84">
        <v>0.0</v>
      </c>
      <c r="E5211" s="84">
        <v>0.0</v>
      </c>
      <c r="F5211" s="76" t="s">
        <v>996</v>
      </c>
      <c r="G5211" s="83">
        <v>46114.0</v>
      </c>
      <c r="H5211" s="76" t="s">
        <v>953</v>
      </c>
    </row>
    <row r="5212">
      <c r="A5212" s="76" t="s">
        <v>40</v>
      </c>
      <c r="B5212" s="76" t="s">
        <v>1022</v>
      </c>
      <c r="C5212" s="84">
        <v>0.09</v>
      </c>
      <c r="D5212" s="84">
        <v>0.0</v>
      </c>
      <c r="E5212" s="84">
        <v>0.0</v>
      </c>
      <c r="F5212" s="76" t="s">
        <v>996</v>
      </c>
      <c r="G5212" s="83">
        <v>46114.0</v>
      </c>
      <c r="H5212" s="76" t="s">
        <v>954</v>
      </c>
    </row>
    <row r="5213">
      <c r="A5213" s="76" t="s">
        <v>40</v>
      </c>
      <c r="B5213" s="76" t="s">
        <v>1022</v>
      </c>
      <c r="C5213" s="84">
        <v>0.03</v>
      </c>
      <c r="D5213" s="84">
        <v>0.0</v>
      </c>
      <c r="E5213" s="84">
        <v>0.0</v>
      </c>
      <c r="F5213" s="76" t="s">
        <v>996</v>
      </c>
      <c r="G5213" s="83">
        <v>46114.0</v>
      </c>
      <c r="H5213" s="76" t="s">
        <v>955</v>
      </c>
    </row>
    <row r="5214">
      <c r="A5214" s="76" t="s">
        <v>40</v>
      </c>
      <c r="B5214" s="76" t="s">
        <v>1022</v>
      </c>
      <c r="C5214" s="84">
        <v>2.53</v>
      </c>
      <c r="D5214" s="84">
        <v>0.0</v>
      </c>
      <c r="E5214" s="84">
        <v>0.0</v>
      </c>
      <c r="F5214" s="76" t="s">
        <v>996</v>
      </c>
      <c r="G5214" s="83">
        <v>46114.0</v>
      </c>
      <c r="H5214" s="76" t="s">
        <v>956</v>
      </c>
    </row>
    <row r="5215">
      <c r="A5215" s="76" t="s">
        <v>33</v>
      </c>
      <c r="B5215" s="76" t="s">
        <v>1022</v>
      </c>
      <c r="C5215" s="84">
        <v>3.04</v>
      </c>
      <c r="D5215" s="84">
        <v>0.0</v>
      </c>
      <c r="E5215" s="84">
        <v>0.0</v>
      </c>
      <c r="F5215" s="76" t="s">
        <v>996</v>
      </c>
      <c r="G5215" s="83">
        <v>46114.0</v>
      </c>
      <c r="H5215" s="76" t="s">
        <v>957</v>
      </c>
    </row>
    <row r="5216">
      <c r="A5216" s="76" t="s">
        <v>33</v>
      </c>
      <c r="B5216" s="76" t="s">
        <v>1022</v>
      </c>
      <c r="C5216" s="84">
        <v>0.17</v>
      </c>
      <c r="D5216" s="84">
        <v>0.0</v>
      </c>
      <c r="E5216" s="84">
        <v>0.0</v>
      </c>
      <c r="F5216" s="76" t="s">
        <v>996</v>
      </c>
      <c r="G5216" s="83">
        <v>46114.0</v>
      </c>
      <c r="H5216" s="76" t="s">
        <v>958</v>
      </c>
    </row>
    <row r="5217">
      <c r="A5217" s="76" t="s">
        <v>33</v>
      </c>
      <c r="B5217" s="76" t="s">
        <v>1022</v>
      </c>
      <c r="C5217" s="84">
        <v>0.29</v>
      </c>
      <c r="D5217" s="84">
        <v>0.0</v>
      </c>
      <c r="E5217" s="84">
        <v>0.0</v>
      </c>
      <c r="F5217" s="76" t="s">
        <v>996</v>
      </c>
      <c r="G5217" s="83">
        <v>46114.0</v>
      </c>
      <c r="H5217" s="76" t="s">
        <v>959</v>
      </c>
    </row>
    <row r="5218">
      <c r="A5218" s="76" t="s">
        <v>46</v>
      </c>
      <c r="B5218" s="76" t="s">
        <v>1022</v>
      </c>
      <c r="C5218" s="84">
        <v>0.07</v>
      </c>
      <c r="D5218" s="84">
        <v>0.0</v>
      </c>
      <c r="E5218" s="84">
        <v>0.0</v>
      </c>
      <c r="F5218" s="76" t="s">
        <v>996</v>
      </c>
      <c r="G5218" s="83">
        <v>46114.0</v>
      </c>
      <c r="H5218" s="76" t="s">
        <v>960</v>
      </c>
    </row>
    <row r="5219">
      <c r="A5219" s="76" t="s">
        <v>46</v>
      </c>
      <c r="B5219" s="76" t="s">
        <v>1022</v>
      </c>
      <c r="C5219" s="84">
        <v>0.13</v>
      </c>
      <c r="D5219" s="84">
        <v>0.0</v>
      </c>
      <c r="E5219" s="84">
        <v>0.0</v>
      </c>
      <c r="F5219" s="76" t="s">
        <v>996</v>
      </c>
      <c r="G5219" s="83">
        <v>46114.0</v>
      </c>
      <c r="H5219" s="76" t="s">
        <v>961</v>
      </c>
    </row>
    <row r="5220">
      <c r="A5220" s="76" t="s">
        <v>46</v>
      </c>
      <c r="B5220" s="76" t="s">
        <v>1022</v>
      </c>
      <c r="C5220" s="84">
        <v>0.18</v>
      </c>
      <c r="D5220" s="84">
        <v>0.0</v>
      </c>
      <c r="E5220" s="84">
        <v>0.0</v>
      </c>
      <c r="F5220" s="76" t="s">
        <v>996</v>
      </c>
      <c r="G5220" s="83">
        <v>46114.0</v>
      </c>
      <c r="H5220" s="76" t="s">
        <v>962</v>
      </c>
    </row>
    <row r="5221">
      <c r="A5221" s="76" t="s">
        <v>43</v>
      </c>
      <c r="B5221" s="76" t="s">
        <v>1022</v>
      </c>
      <c r="C5221" s="84">
        <v>0.51</v>
      </c>
      <c r="D5221" s="84">
        <v>0.0</v>
      </c>
      <c r="E5221" s="84">
        <v>0.0</v>
      </c>
      <c r="F5221" s="76" t="s">
        <v>996</v>
      </c>
      <c r="G5221" s="83">
        <v>46114.0</v>
      </c>
      <c r="H5221" s="76" t="s">
        <v>963</v>
      </c>
    </row>
    <row r="5222">
      <c r="A5222" s="76" t="s">
        <v>43</v>
      </c>
      <c r="B5222" s="76" t="s">
        <v>1022</v>
      </c>
      <c r="C5222" s="84">
        <v>0.05</v>
      </c>
      <c r="D5222" s="84">
        <v>0.0</v>
      </c>
      <c r="E5222" s="84">
        <v>0.0</v>
      </c>
      <c r="F5222" s="76" t="s">
        <v>996</v>
      </c>
      <c r="G5222" s="83">
        <v>46114.0</v>
      </c>
      <c r="H5222" s="76" t="s">
        <v>964</v>
      </c>
    </row>
    <row r="5223">
      <c r="A5223" s="76" t="s">
        <v>43</v>
      </c>
      <c r="B5223" s="76" t="s">
        <v>1022</v>
      </c>
      <c r="C5223" s="84">
        <v>0.74</v>
      </c>
      <c r="D5223" s="84">
        <v>1.0</v>
      </c>
      <c r="E5223" s="84">
        <v>0.74</v>
      </c>
      <c r="F5223" s="76" t="s">
        <v>996</v>
      </c>
      <c r="G5223" s="83">
        <v>46114.0</v>
      </c>
      <c r="H5223" s="76" t="s">
        <v>965</v>
      </c>
    </row>
    <row r="5224">
      <c r="A5224" s="76" t="s">
        <v>966</v>
      </c>
      <c r="B5224" s="76" t="s">
        <v>1022</v>
      </c>
      <c r="C5224" s="84">
        <v>0.37</v>
      </c>
      <c r="D5224" s="84">
        <v>0.0</v>
      </c>
      <c r="E5224" s="84">
        <v>0.0</v>
      </c>
      <c r="F5224" s="76" t="s">
        <v>996</v>
      </c>
      <c r="G5224" s="83">
        <v>46114.0</v>
      </c>
      <c r="H5224" s="76" t="s">
        <v>967</v>
      </c>
    </row>
    <row r="5225">
      <c r="A5225" s="76" t="s">
        <v>966</v>
      </c>
      <c r="B5225" s="76" t="s">
        <v>1022</v>
      </c>
      <c r="C5225" s="84">
        <v>0.08</v>
      </c>
      <c r="D5225" s="84">
        <v>0.0</v>
      </c>
      <c r="E5225" s="84">
        <v>0.0</v>
      </c>
      <c r="F5225" s="76" t="s">
        <v>996</v>
      </c>
      <c r="G5225" s="83">
        <v>46114.0</v>
      </c>
      <c r="H5225" s="76" t="s">
        <v>968</v>
      </c>
    </row>
    <row r="5226">
      <c r="A5226" s="76" t="s">
        <v>966</v>
      </c>
      <c r="B5226" s="76" t="s">
        <v>1022</v>
      </c>
      <c r="C5226" s="84">
        <v>0.25</v>
      </c>
      <c r="D5226" s="84">
        <v>0.0</v>
      </c>
      <c r="E5226" s="84">
        <v>0.0</v>
      </c>
      <c r="F5226" s="76" t="s">
        <v>996</v>
      </c>
      <c r="G5226" s="83">
        <v>46114.0</v>
      </c>
      <c r="H5226" s="76" t="s">
        <v>969</v>
      </c>
    </row>
    <row r="5227">
      <c r="A5227" s="76" t="s">
        <v>36</v>
      </c>
      <c r="B5227" s="76" t="s">
        <v>1022</v>
      </c>
      <c r="C5227" s="84">
        <v>0.76</v>
      </c>
      <c r="D5227" s="84">
        <v>0.0</v>
      </c>
      <c r="E5227" s="84">
        <v>0.0</v>
      </c>
      <c r="F5227" s="76" t="s">
        <v>996</v>
      </c>
      <c r="G5227" s="83">
        <v>46114.0</v>
      </c>
      <c r="H5227" s="76" t="s">
        <v>926</v>
      </c>
    </row>
    <row r="5228">
      <c r="A5228" s="76" t="s">
        <v>36</v>
      </c>
      <c r="B5228" s="76" t="s">
        <v>1022</v>
      </c>
      <c r="C5228" s="84">
        <v>0.1</v>
      </c>
      <c r="D5228" s="84">
        <v>0.0</v>
      </c>
      <c r="E5228" s="84">
        <v>0.0</v>
      </c>
      <c r="F5228" s="76" t="s">
        <v>996</v>
      </c>
      <c r="G5228" s="83">
        <v>46114.0</v>
      </c>
      <c r="H5228" s="76" t="s">
        <v>927</v>
      </c>
    </row>
    <row r="5229">
      <c r="A5229" s="76" t="s">
        <v>36</v>
      </c>
      <c r="B5229" s="76" t="s">
        <v>1022</v>
      </c>
      <c r="C5229" s="84">
        <v>0.17</v>
      </c>
      <c r="D5229" s="84">
        <v>0.0</v>
      </c>
      <c r="E5229" s="84">
        <v>0.0</v>
      </c>
      <c r="F5229" s="76" t="s">
        <v>996</v>
      </c>
      <c r="G5229" s="83">
        <v>46114.0</v>
      </c>
      <c r="H5229" s="76" t="s">
        <v>928</v>
      </c>
    </row>
    <row r="5230">
      <c r="A5230" s="76" t="s">
        <v>970</v>
      </c>
      <c r="B5230" s="76" t="s">
        <v>1022</v>
      </c>
      <c r="C5230" s="84">
        <v>1.12</v>
      </c>
      <c r="D5230" s="84">
        <v>0.0</v>
      </c>
      <c r="E5230" s="84">
        <v>0.0</v>
      </c>
      <c r="F5230" s="76" t="s">
        <v>996</v>
      </c>
      <c r="G5230" s="83">
        <v>46114.0</v>
      </c>
      <c r="H5230" s="76" t="s">
        <v>971</v>
      </c>
    </row>
    <row r="5231">
      <c r="A5231" s="76" t="s">
        <v>970</v>
      </c>
      <c r="B5231" s="76" t="s">
        <v>1022</v>
      </c>
      <c r="C5231" s="84">
        <v>0.05</v>
      </c>
      <c r="D5231" s="84">
        <v>0.0</v>
      </c>
      <c r="E5231" s="84">
        <v>0.0</v>
      </c>
      <c r="F5231" s="76" t="s">
        <v>996</v>
      </c>
      <c r="G5231" s="83">
        <v>46114.0</v>
      </c>
      <c r="H5231" s="76" t="s">
        <v>972</v>
      </c>
    </row>
    <row r="5232">
      <c r="A5232" s="76" t="s">
        <v>970</v>
      </c>
      <c r="B5232" s="76" t="s">
        <v>1022</v>
      </c>
      <c r="C5232" s="84">
        <v>7.73</v>
      </c>
      <c r="D5232" s="84">
        <v>0.0</v>
      </c>
      <c r="E5232" s="84">
        <v>0.0</v>
      </c>
      <c r="F5232" s="76" t="s">
        <v>996</v>
      </c>
      <c r="G5232" s="83">
        <v>46114.0</v>
      </c>
      <c r="H5232" s="76" t="s">
        <v>973</v>
      </c>
    </row>
    <row r="5233">
      <c r="A5233" s="76" t="s">
        <v>29</v>
      </c>
      <c r="B5233" s="76" t="s">
        <v>1022</v>
      </c>
      <c r="C5233" s="84">
        <v>0.31</v>
      </c>
      <c r="D5233" s="84">
        <v>0.0</v>
      </c>
      <c r="E5233" s="84">
        <v>0.0</v>
      </c>
      <c r="F5233" s="76" t="s">
        <v>996</v>
      </c>
      <c r="G5233" s="83">
        <v>46114.0</v>
      </c>
      <c r="H5233" s="76" t="s">
        <v>971</v>
      </c>
    </row>
    <row r="5234">
      <c r="A5234" s="76" t="s">
        <v>29</v>
      </c>
      <c r="B5234" s="76" t="s">
        <v>1022</v>
      </c>
      <c r="C5234" s="84">
        <v>0.04</v>
      </c>
      <c r="D5234" s="84">
        <v>0.0</v>
      </c>
      <c r="E5234" s="84">
        <v>0.0</v>
      </c>
      <c r="F5234" s="76" t="s">
        <v>996</v>
      </c>
      <c r="G5234" s="83">
        <v>46114.0</v>
      </c>
      <c r="H5234" s="76" t="s">
        <v>972</v>
      </c>
    </row>
    <row r="5235">
      <c r="A5235" s="76" t="s">
        <v>29</v>
      </c>
      <c r="B5235" s="76" t="s">
        <v>1022</v>
      </c>
      <c r="C5235" s="84">
        <v>11.01</v>
      </c>
      <c r="D5235" s="84">
        <v>0.0</v>
      </c>
      <c r="E5235" s="84">
        <v>0.0</v>
      </c>
      <c r="F5235" s="76" t="s">
        <v>996</v>
      </c>
      <c r="G5235" s="83">
        <v>46114.0</v>
      </c>
      <c r="H5235" s="76" t="s">
        <v>973</v>
      </c>
    </row>
    <row r="5236">
      <c r="A5236" s="76" t="s">
        <v>34</v>
      </c>
      <c r="B5236" s="76" t="s">
        <v>1022</v>
      </c>
      <c r="C5236" s="84">
        <v>2.67</v>
      </c>
      <c r="D5236" s="84">
        <v>0.0</v>
      </c>
      <c r="E5236" s="84">
        <v>0.0</v>
      </c>
      <c r="F5236" s="76" t="s">
        <v>997</v>
      </c>
      <c r="G5236" s="83">
        <v>46114.0</v>
      </c>
      <c r="H5236" s="76" t="s">
        <v>951</v>
      </c>
    </row>
    <row r="5237">
      <c r="A5237" s="76" t="s">
        <v>34</v>
      </c>
      <c r="B5237" s="76" t="s">
        <v>1022</v>
      </c>
      <c r="C5237" s="84">
        <v>0.27</v>
      </c>
      <c r="D5237" s="84">
        <v>0.0</v>
      </c>
      <c r="E5237" s="84">
        <v>0.0</v>
      </c>
      <c r="F5237" s="76" t="s">
        <v>997</v>
      </c>
      <c r="G5237" s="83">
        <v>46114.0</v>
      </c>
      <c r="H5237" s="76" t="s">
        <v>952</v>
      </c>
    </row>
    <row r="5238">
      <c r="A5238" s="76" t="s">
        <v>34</v>
      </c>
      <c r="B5238" s="76" t="s">
        <v>1022</v>
      </c>
      <c r="C5238" s="84">
        <v>7.69</v>
      </c>
      <c r="D5238" s="84">
        <v>0.0</v>
      </c>
      <c r="E5238" s="84">
        <v>0.0</v>
      </c>
      <c r="F5238" s="76" t="s">
        <v>997</v>
      </c>
      <c r="G5238" s="83">
        <v>46114.0</v>
      </c>
      <c r="H5238" s="76" t="s">
        <v>953</v>
      </c>
    </row>
    <row r="5239">
      <c r="A5239" s="76" t="s">
        <v>40</v>
      </c>
      <c r="B5239" s="76" t="s">
        <v>1022</v>
      </c>
      <c r="C5239" s="84">
        <v>0.1</v>
      </c>
      <c r="D5239" s="84">
        <v>0.0</v>
      </c>
      <c r="E5239" s="84">
        <v>0.0</v>
      </c>
      <c r="F5239" s="76" t="s">
        <v>997</v>
      </c>
      <c r="G5239" s="83">
        <v>46114.0</v>
      </c>
      <c r="H5239" s="76" t="s">
        <v>954</v>
      </c>
    </row>
    <row r="5240">
      <c r="A5240" s="76" t="s">
        <v>40</v>
      </c>
      <c r="B5240" s="76" t="s">
        <v>1022</v>
      </c>
      <c r="C5240" s="84">
        <v>0.13</v>
      </c>
      <c r="D5240" s="84">
        <v>0.0</v>
      </c>
      <c r="E5240" s="84">
        <v>0.0</v>
      </c>
      <c r="F5240" s="76" t="s">
        <v>997</v>
      </c>
      <c r="G5240" s="83">
        <v>46114.0</v>
      </c>
      <c r="H5240" s="76" t="s">
        <v>955</v>
      </c>
    </row>
    <row r="5241">
      <c r="A5241" s="76" t="s">
        <v>40</v>
      </c>
      <c r="B5241" s="76" t="s">
        <v>1022</v>
      </c>
      <c r="C5241" s="84">
        <v>4.9</v>
      </c>
      <c r="D5241" s="84">
        <v>0.0</v>
      </c>
      <c r="E5241" s="84">
        <v>0.0</v>
      </c>
      <c r="F5241" s="76" t="s">
        <v>997</v>
      </c>
      <c r="G5241" s="83">
        <v>46114.0</v>
      </c>
      <c r="H5241" s="76" t="s">
        <v>956</v>
      </c>
    </row>
    <row r="5242">
      <c r="A5242" s="76" t="s">
        <v>33</v>
      </c>
      <c r="B5242" s="76" t="s">
        <v>1022</v>
      </c>
      <c r="C5242" s="84">
        <v>2.83</v>
      </c>
      <c r="D5242" s="84">
        <v>0.0</v>
      </c>
      <c r="E5242" s="84">
        <v>0.0</v>
      </c>
      <c r="F5242" s="76" t="s">
        <v>997</v>
      </c>
      <c r="G5242" s="83">
        <v>46114.0</v>
      </c>
      <c r="H5242" s="76" t="s">
        <v>957</v>
      </c>
    </row>
    <row r="5243">
      <c r="A5243" s="76" t="s">
        <v>33</v>
      </c>
      <c r="B5243" s="76" t="s">
        <v>1022</v>
      </c>
      <c r="C5243" s="84">
        <v>0.13</v>
      </c>
      <c r="D5243" s="84">
        <v>0.0</v>
      </c>
      <c r="E5243" s="84">
        <v>0.0</v>
      </c>
      <c r="F5243" s="76" t="s">
        <v>997</v>
      </c>
      <c r="G5243" s="83">
        <v>46114.0</v>
      </c>
      <c r="H5243" s="76" t="s">
        <v>958</v>
      </c>
    </row>
    <row r="5244">
      <c r="A5244" s="76" t="s">
        <v>33</v>
      </c>
      <c r="B5244" s="76" t="s">
        <v>1022</v>
      </c>
      <c r="C5244" s="84">
        <v>0.25</v>
      </c>
      <c r="D5244" s="84">
        <v>0.0</v>
      </c>
      <c r="E5244" s="84">
        <v>0.0</v>
      </c>
      <c r="F5244" s="76" t="s">
        <v>997</v>
      </c>
      <c r="G5244" s="83">
        <v>46114.0</v>
      </c>
      <c r="H5244" s="76" t="s">
        <v>959</v>
      </c>
    </row>
    <row r="5245">
      <c r="A5245" s="76" t="s">
        <v>46</v>
      </c>
      <c r="B5245" s="76" t="s">
        <v>1022</v>
      </c>
      <c r="C5245" s="84">
        <v>0.14</v>
      </c>
      <c r="D5245" s="84">
        <v>0.0</v>
      </c>
      <c r="E5245" s="84">
        <v>0.0</v>
      </c>
      <c r="F5245" s="76" t="s">
        <v>997</v>
      </c>
      <c r="G5245" s="83">
        <v>46114.0</v>
      </c>
      <c r="H5245" s="76" t="s">
        <v>960</v>
      </c>
    </row>
    <row r="5246">
      <c r="A5246" s="76" t="s">
        <v>46</v>
      </c>
      <c r="B5246" s="76" t="s">
        <v>1022</v>
      </c>
      <c r="C5246" s="84">
        <v>0.09</v>
      </c>
      <c r="D5246" s="84">
        <v>0.0</v>
      </c>
      <c r="E5246" s="84">
        <v>0.0</v>
      </c>
      <c r="F5246" s="76" t="s">
        <v>997</v>
      </c>
      <c r="G5246" s="83">
        <v>46114.0</v>
      </c>
      <c r="H5246" s="76" t="s">
        <v>961</v>
      </c>
    </row>
    <row r="5247">
      <c r="A5247" s="76" t="s">
        <v>46</v>
      </c>
      <c r="B5247" s="76" t="s">
        <v>1022</v>
      </c>
      <c r="C5247" s="84">
        <v>0.15</v>
      </c>
      <c r="D5247" s="84">
        <v>0.0</v>
      </c>
      <c r="E5247" s="84">
        <v>0.0</v>
      </c>
      <c r="F5247" s="76" t="s">
        <v>997</v>
      </c>
      <c r="G5247" s="83">
        <v>46114.0</v>
      </c>
      <c r="H5247" s="76" t="s">
        <v>962</v>
      </c>
    </row>
    <row r="5248">
      <c r="A5248" s="76" t="s">
        <v>43</v>
      </c>
      <c r="B5248" s="76" t="s">
        <v>1022</v>
      </c>
      <c r="C5248" s="84">
        <v>0.33</v>
      </c>
      <c r="D5248" s="84">
        <v>0.0</v>
      </c>
      <c r="E5248" s="84">
        <v>0.0</v>
      </c>
      <c r="F5248" s="76" t="s">
        <v>997</v>
      </c>
      <c r="G5248" s="83">
        <v>46114.0</v>
      </c>
      <c r="H5248" s="76" t="s">
        <v>963</v>
      </c>
    </row>
    <row r="5249">
      <c r="A5249" s="76" t="s">
        <v>43</v>
      </c>
      <c r="B5249" s="76" t="s">
        <v>1022</v>
      </c>
      <c r="C5249" s="84">
        <v>0.1</v>
      </c>
      <c r="D5249" s="84">
        <v>0.0</v>
      </c>
      <c r="E5249" s="84">
        <v>0.0</v>
      </c>
      <c r="F5249" s="76" t="s">
        <v>997</v>
      </c>
      <c r="G5249" s="83">
        <v>46114.0</v>
      </c>
      <c r="H5249" s="76" t="s">
        <v>964</v>
      </c>
    </row>
    <row r="5250">
      <c r="A5250" s="76" t="s">
        <v>43</v>
      </c>
      <c r="B5250" s="76" t="s">
        <v>1022</v>
      </c>
      <c r="C5250" s="84">
        <v>2.13</v>
      </c>
      <c r="D5250" s="84">
        <v>0.0</v>
      </c>
      <c r="E5250" s="84">
        <v>0.0</v>
      </c>
      <c r="F5250" s="76" t="s">
        <v>997</v>
      </c>
      <c r="G5250" s="83">
        <v>46114.0</v>
      </c>
      <c r="H5250" s="76" t="s">
        <v>965</v>
      </c>
    </row>
    <row r="5251">
      <c r="A5251" s="76" t="s">
        <v>966</v>
      </c>
      <c r="B5251" s="76" t="s">
        <v>1022</v>
      </c>
      <c r="C5251" s="84">
        <v>0.55</v>
      </c>
      <c r="D5251" s="84">
        <v>0.0</v>
      </c>
      <c r="E5251" s="84">
        <v>0.0</v>
      </c>
      <c r="F5251" s="76" t="s">
        <v>997</v>
      </c>
      <c r="G5251" s="83">
        <v>46114.0</v>
      </c>
      <c r="H5251" s="76" t="s">
        <v>967</v>
      </c>
    </row>
    <row r="5252">
      <c r="A5252" s="76" t="s">
        <v>966</v>
      </c>
      <c r="B5252" s="76" t="s">
        <v>1022</v>
      </c>
      <c r="C5252" s="84">
        <v>0.08</v>
      </c>
      <c r="D5252" s="84">
        <v>0.0</v>
      </c>
      <c r="E5252" s="84">
        <v>0.0</v>
      </c>
      <c r="F5252" s="76" t="s">
        <v>997</v>
      </c>
      <c r="G5252" s="83">
        <v>46114.0</v>
      </c>
      <c r="H5252" s="76" t="s">
        <v>968</v>
      </c>
    </row>
    <row r="5253">
      <c r="A5253" s="76" t="s">
        <v>966</v>
      </c>
      <c r="B5253" s="76" t="s">
        <v>1022</v>
      </c>
      <c r="C5253" s="84">
        <v>0.26</v>
      </c>
      <c r="D5253" s="84">
        <v>0.0</v>
      </c>
      <c r="E5253" s="84">
        <v>0.0</v>
      </c>
      <c r="F5253" s="76" t="s">
        <v>997</v>
      </c>
      <c r="G5253" s="83">
        <v>46114.0</v>
      </c>
      <c r="H5253" s="76" t="s">
        <v>969</v>
      </c>
    </row>
    <row r="5254">
      <c r="A5254" s="76" t="s">
        <v>36</v>
      </c>
      <c r="B5254" s="76" t="s">
        <v>1022</v>
      </c>
      <c r="C5254" s="84">
        <v>0.92</v>
      </c>
      <c r="D5254" s="84">
        <v>0.0</v>
      </c>
      <c r="E5254" s="84">
        <v>0.0</v>
      </c>
      <c r="F5254" s="76" t="s">
        <v>997</v>
      </c>
      <c r="G5254" s="83">
        <v>46114.0</v>
      </c>
      <c r="H5254" s="76" t="s">
        <v>926</v>
      </c>
    </row>
    <row r="5255">
      <c r="A5255" s="76" t="s">
        <v>36</v>
      </c>
      <c r="B5255" s="76" t="s">
        <v>1022</v>
      </c>
      <c r="C5255" s="84">
        <v>0.3</v>
      </c>
      <c r="D5255" s="84">
        <v>0.0</v>
      </c>
      <c r="E5255" s="84">
        <v>0.0</v>
      </c>
      <c r="F5255" s="76" t="s">
        <v>997</v>
      </c>
      <c r="G5255" s="83">
        <v>46114.0</v>
      </c>
      <c r="H5255" s="76" t="s">
        <v>927</v>
      </c>
    </row>
    <row r="5256">
      <c r="A5256" s="76" t="s">
        <v>36</v>
      </c>
      <c r="B5256" s="76" t="s">
        <v>1022</v>
      </c>
      <c r="C5256" s="84">
        <v>0.08</v>
      </c>
      <c r="D5256" s="84">
        <v>0.0</v>
      </c>
      <c r="E5256" s="84">
        <v>0.0</v>
      </c>
      <c r="F5256" s="76" t="s">
        <v>997</v>
      </c>
      <c r="G5256" s="83">
        <v>46114.0</v>
      </c>
      <c r="H5256" s="76" t="s">
        <v>928</v>
      </c>
    </row>
    <row r="5257">
      <c r="A5257" s="76" t="s">
        <v>970</v>
      </c>
      <c r="B5257" s="76" t="s">
        <v>1022</v>
      </c>
      <c r="C5257" s="84">
        <v>0.47</v>
      </c>
      <c r="D5257" s="84">
        <v>0.0</v>
      </c>
      <c r="E5257" s="84">
        <v>0.0</v>
      </c>
      <c r="F5257" s="76" t="s">
        <v>997</v>
      </c>
      <c r="G5257" s="83">
        <v>46114.0</v>
      </c>
      <c r="H5257" s="76" t="s">
        <v>971</v>
      </c>
    </row>
    <row r="5258">
      <c r="A5258" s="76" t="s">
        <v>970</v>
      </c>
      <c r="B5258" s="76" t="s">
        <v>1022</v>
      </c>
      <c r="C5258" s="84">
        <v>0.06</v>
      </c>
      <c r="D5258" s="84">
        <v>0.0</v>
      </c>
      <c r="E5258" s="84">
        <v>0.0</v>
      </c>
      <c r="F5258" s="76" t="s">
        <v>997</v>
      </c>
      <c r="G5258" s="83">
        <v>46114.0</v>
      </c>
      <c r="H5258" s="76" t="s">
        <v>972</v>
      </c>
    </row>
    <row r="5259">
      <c r="A5259" s="76" t="s">
        <v>970</v>
      </c>
      <c r="B5259" s="76" t="s">
        <v>1022</v>
      </c>
      <c r="C5259" s="84">
        <v>1.14</v>
      </c>
      <c r="D5259" s="84">
        <v>0.0</v>
      </c>
      <c r="E5259" s="84">
        <v>0.0</v>
      </c>
      <c r="F5259" s="76" t="s">
        <v>997</v>
      </c>
      <c r="G5259" s="83">
        <v>46114.0</v>
      </c>
      <c r="H5259" s="76" t="s">
        <v>973</v>
      </c>
    </row>
    <row r="5260">
      <c r="A5260" s="76" t="s">
        <v>29</v>
      </c>
      <c r="B5260" s="76" t="s">
        <v>1022</v>
      </c>
      <c r="C5260" s="84">
        <v>0.42</v>
      </c>
      <c r="D5260" s="84">
        <v>0.0</v>
      </c>
      <c r="E5260" s="84">
        <v>0.0</v>
      </c>
      <c r="F5260" s="76" t="s">
        <v>997</v>
      </c>
      <c r="G5260" s="83">
        <v>46114.0</v>
      </c>
      <c r="H5260" s="76" t="s">
        <v>971</v>
      </c>
    </row>
    <row r="5261">
      <c r="A5261" s="76" t="s">
        <v>29</v>
      </c>
      <c r="B5261" s="76" t="s">
        <v>1022</v>
      </c>
      <c r="C5261" s="84">
        <v>0.09</v>
      </c>
      <c r="D5261" s="84">
        <v>0.0</v>
      </c>
      <c r="E5261" s="84">
        <v>0.0</v>
      </c>
      <c r="F5261" s="76" t="s">
        <v>997</v>
      </c>
      <c r="G5261" s="83">
        <v>46114.0</v>
      </c>
      <c r="H5261" s="76" t="s">
        <v>972</v>
      </c>
    </row>
    <row r="5262">
      <c r="A5262" s="76" t="s">
        <v>29</v>
      </c>
      <c r="B5262" s="76" t="s">
        <v>1022</v>
      </c>
      <c r="C5262" s="84">
        <v>5.52</v>
      </c>
      <c r="D5262" s="84">
        <v>0.0</v>
      </c>
      <c r="E5262" s="84">
        <v>0.0</v>
      </c>
      <c r="F5262" s="76" t="s">
        <v>997</v>
      </c>
      <c r="G5262" s="83">
        <v>46114.0</v>
      </c>
      <c r="H5262" s="76" t="s">
        <v>973</v>
      </c>
    </row>
    <row r="5263">
      <c r="A5263" s="76" t="s">
        <v>34</v>
      </c>
      <c r="B5263" s="76" t="s">
        <v>1022</v>
      </c>
      <c r="C5263" s="84">
        <v>0.0</v>
      </c>
      <c r="D5263" s="84">
        <v>0.0</v>
      </c>
      <c r="E5263" s="84">
        <v>0.0</v>
      </c>
      <c r="F5263" s="76" t="s">
        <v>998</v>
      </c>
      <c r="G5263" s="83">
        <v>46114.0</v>
      </c>
      <c r="H5263" s="76" t="s">
        <v>951</v>
      </c>
    </row>
    <row r="5264">
      <c r="A5264" s="76" t="s">
        <v>34</v>
      </c>
      <c r="B5264" s="76" t="s">
        <v>1022</v>
      </c>
      <c r="C5264" s="84">
        <v>0.06</v>
      </c>
      <c r="D5264" s="84">
        <v>0.0</v>
      </c>
      <c r="E5264" s="84">
        <v>0.0</v>
      </c>
      <c r="F5264" s="76" t="s">
        <v>998</v>
      </c>
      <c r="G5264" s="83">
        <v>46114.0</v>
      </c>
      <c r="H5264" s="76" t="s">
        <v>952</v>
      </c>
    </row>
    <row r="5265">
      <c r="A5265" s="76" t="s">
        <v>40</v>
      </c>
      <c r="B5265" s="76" t="s">
        <v>1022</v>
      </c>
      <c r="C5265" s="84">
        <v>0.02</v>
      </c>
      <c r="D5265" s="84">
        <v>0.0</v>
      </c>
      <c r="E5265" s="84">
        <v>0.0</v>
      </c>
      <c r="F5265" s="76" t="s">
        <v>998</v>
      </c>
      <c r="G5265" s="83">
        <v>46114.0</v>
      </c>
      <c r="H5265" s="76" t="s">
        <v>954</v>
      </c>
    </row>
    <row r="5266">
      <c r="A5266" s="76" t="s">
        <v>40</v>
      </c>
      <c r="B5266" s="76" t="s">
        <v>1022</v>
      </c>
      <c r="C5266" s="84">
        <v>0.01</v>
      </c>
      <c r="D5266" s="84">
        <v>0.0</v>
      </c>
      <c r="E5266" s="84">
        <v>0.0</v>
      </c>
      <c r="F5266" s="76" t="s">
        <v>998</v>
      </c>
      <c r="G5266" s="83">
        <v>46114.0</v>
      </c>
      <c r="H5266" s="76" t="s">
        <v>955</v>
      </c>
    </row>
    <row r="5267">
      <c r="A5267" s="76" t="s">
        <v>40</v>
      </c>
      <c r="B5267" s="76" t="s">
        <v>1022</v>
      </c>
      <c r="C5267" s="84">
        <v>0.0</v>
      </c>
      <c r="D5267" s="84">
        <v>0.0</v>
      </c>
      <c r="E5267" s="84">
        <v>0.0</v>
      </c>
      <c r="F5267" s="76" t="s">
        <v>998</v>
      </c>
      <c r="G5267" s="83">
        <v>46114.0</v>
      </c>
      <c r="H5267" s="76" t="s">
        <v>956</v>
      </c>
    </row>
    <row r="5268">
      <c r="A5268" s="76" t="s">
        <v>33</v>
      </c>
      <c r="B5268" s="76" t="s">
        <v>1022</v>
      </c>
      <c r="C5268" s="84">
        <v>0.0</v>
      </c>
      <c r="D5268" s="84">
        <v>0.0</v>
      </c>
      <c r="E5268" s="84">
        <v>0.0</v>
      </c>
      <c r="F5268" s="76" t="s">
        <v>998</v>
      </c>
      <c r="G5268" s="83">
        <v>46114.0</v>
      </c>
      <c r="H5268" s="76" t="s">
        <v>957</v>
      </c>
    </row>
    <row r="5269">
      <c r="A5269" s="76" t="s">
        <v>33</v>
      </c>
      <c r="B5269" s="76" t="s">
        <v>1022</v>
      </c>
      <c r="C5269" s="84">
        <v>0.01</v>
      </c>
      <c r="D5269" s="84">
        <v>0.0</v>
      </c>
      <c r="E5269" s="84">
        <v>0.0</v>
      </c>
      <c r="F5269" s="76" t="s">
        <v>998</v>
      </c>
      <c r="G5269" s="83">
        <v>46114.0</v>
      </c>
      <c r="H5269" s="76" t="s">
        <v>958</v>
      </c>
    </row>
    <row r="5270">
      <c r="A5270" s="76" t="s">
        <v>33</v>
      </c>
      <c r="B5270" s="76" t="s">
        <v>1022</v>
      </c>
      <c r="C5270" s="84">
        <v>0.19</v>
      </c>
      <c r="D5270" s="84">
        <v>0.0</v>
      </c>
      <c r="E5270" s="84">
        <v>0.0</v>
      </c>
      <c r="F5270" s="76" t="s">
        <v>998</v>
      </c>
      <c r="G5270" s="83">
        <v>46114.0</v>
      </c>
      <c r="H5270" s="76" t="s">
        <v>959</v>
      </c>
    </row>
    <row r="5271">
      <c r="A5271" s="76" t="s">
        <v>46</v>
      </c>
      <c r="B5271" s="76" t="s">
        <v>1022</v>
      </c>
      <c r="C5271" s="84">
        <v>0.01</v>
      </c>
      <c r="D5271" s="84">
        <v>0.0</v>
      </c>
      <c r="E5271" s="84">
        <v>0.0</v>
      </c>
      <c r="F5271" s="76" t="s">
        <v>998</v>
      </c>
      <c r="G5271" s="83">
        <v>46114.0</v>
      </c>
      <c r="H5271" s="76" t="s">
        <v>960</v>
      </c>
    </row>
    <row r="5272">
      <c r="A5272" s="76" t="s">
        <v>46</v>
      </c>
      <c r="B5272" s="76" t="s">
        <v>1022</v>
      </c>
      <c r="C5272" s="84">
        <v>0.01</v>
      </c>
      <c r="D5272" s="84">
        <v>0.0</v>
      </c>
      <c r="E5272" s="84">
        <v>0.0</v>
      </c>
      <c r="F5272" s="76" t="s">
        <v>998</v>
      </c>
      <c r="G5272" s="83">
        <v>46114.0</v>
      </c>
      <c r="H5272" s="76" t="s">
        <v>961</v>
      </c>
    </row>
    <row r="5273">
      <c r="A5273" s="76" t="s">
        <v>46</v>
      </c>
      <c r="B5273" s="76" t="s">
        <v>1022</v>
      </c>
      <c r="C5273" s="84">
        <v>0.03</v>
      </c>
      <c r="D5273" s="84">
        <v>0.0</v>
      </c>
      <c r="E5273" s="84">
        <v>0.0</v>
      </c>
      <c r="F5273" s="76" t="s">
        <v>998</v>
      </c>
      <c r="G5273" s="83">
        <v>46114.0</v>
      </c>
      <c r="H5273" s="76" t="s">
        <v>962</v>
      </c>
    </row>
    <row r="5274">
      <c r="A5274" s="76" t="s">
        <v>43</v>
      </c>
      <c r="B5274" s="76" t="s">
        <v>1022</v>
      </c>
      <c r="C5274" s="84">
        <v>0.01</v>
      </c>
      <c r="D5274" s="84">
        <v>0.0</v>
      </c>
      <c r="E5274" s="84">
        <v>0.0</v>
      </c>
      <c r="F5274" s="76" t="s">
        <v>998</v>
      </c>
      <c r="G5274" s="83">
        <v>46114.0</v>
      </c>
      <c r="H5274" s="76" t="s">
        <v>963</v>
      </c>
    </row>
    <row r="5275">
      <c r="A5275" s="76" t="s">
        <v>43</v>
      </c>
      <c r="B5275" s="76" t="s">
        <v>1022</v>
      </c>
      <c r="C5275" s="84">
        <v>0.01</v>
      </c>
      <c r="D5275" s="84">
        <v>0.0</v>
      </c>
      <c r="E5275" s="84">
        <v>0.0</v>
      </c>
      <c r="F5275" s="76" t="s">
        <v>998</v>
      </c>
      <c r="G5275" s="83">
        <v>46114.0</v>
      </c>
      <c r="H5275" s="76" t="s">
        <v>964</v>
      </c>
    </row>
    <row r="5276">
      <c r="A5276" s="76" t="s">
        <v>43</v>
      </c>
      <c r="B5276" s="76" t="s">
        <v>1022</v>
      </c>
      <c r="C5276" s="84">
        <v>0.0</v>
      </c>
      <c r="D5276" s="84">
        <v>0.0</v>
      </c>
      <c r="E5276" s="84">
        <v>0.0</v>
      </c>
      <c r="F5276" s="76" t="s">
        <v>998</v>
      </c>
      <c r="G5276" s="83">
        <v>46114.0</v>
      </c>
      <c r="H5276" s="76" t="s">
        <v>965</v>
      </c>
    </row>
    <row r="5277">
      <c r="A5277" s="76" t="s">
        <v>966</v>
      </c>
      <c r="B5277" s="76" t="s">
        <v>1022</v>
      </c>
      <c r="C5277" s="84">
        <v>0.0</v>
      </c>
      <c r="D5277" s="84">
        <v>0.0</v>
      </c>
      <c r="E5277" s="84">
        <v>0.0</v>
      </c>
      <c r="F5277" s="76" t="s">
        <v>998</v>
      </c>
      <c r="G5277" s="83">
        <v>46114.0</v>
      </c>
      <c r="H5277" s="76" t="s">
        <v>967</v>
      </c>
    </row>
    <row r="5278">
      <c r="A5278" s="76" t="s">
        <v>966</v>
      </c>
      <c r="B5278" s="76" t="s">
        <v>1022</v>
      </c>
      <c r="C5278" s="84">
        <v>0.03</v>
      </c>
      <c r="D5278" s="84">
        <v>0.0</v>
      </c>
      <c r="E5278" s="84">
        <v>0.0</v>
      </c>
      <c r="F5278" s="76" t="s">
        <v>998</v>
      </c>
      <c r="G5278" s="83">
        <v>46114.0</v>
      </c>
      <c r="H5278" s="76" t="s">
        <v>968</v>
      </c>
    </row>
    <row r="5279">
      <c r="A5279" s="76" t="s">
        <v>966</v>
      </c>
      <c r="B5279" s="76" t="s">
        <v>1022</v>
      </c>
      <c r="C5279" s="84">
        <v>0.01</v>
      </c>
      <c r="D5279" s="84">
        <v>0.0</v>
      </c>
      <c r="E5279" s="84">
        <v>0.0</v>
      </c>
      <c r="F5279" s="76" t="s">
        <v>998</v>
      </c>
      <c r="G5279" s="83">
        <v>46114.0</v>
      </c>
      <c r="H5279" s="76" t="s">
        <v>969</v>
      </c>
    </row>
    <row r="5280">
      <c r="A5280" s="76" t="s">
        <v>36</v>
      </c>
      <c r="B5280" s="76" t="s">
        <v>1022</v>
      </c>
      <c r="C5280" s="84">
        <v>0.0</v>
      </c>
      <c r="D5280" s="84">
        <v>0.0</v>
      </c>
      <c r="E5280" s="84">
        <v>0.0</v>
      </c>
      <c r="F5280" s="76" t="s">
        <v>998</v>
      </c>
      <c r="G5280" s="83">
        <v>46114.0</v>
      </c>
      <c r="H5280" s="76" t="s">
        <v>926</v>
      </c>
    </row>
    <row r="5281">
      <c r="A5281" s="76" t="s">
        <v>36</v>
      </c>
      <c r="B5281" s="76" t="s">
        <v>1022</v>
      </c>
      <c r="C5281" s="84">
        <v>0.0</v>
      </c>
      <c r="D5281" s="84">
        <v>0.0</v>
      </c>
      <c r="E5281" s="84">
        <v>0.0</v>
      </c>
      <c r="F5281" s="76" t="s">
        <v>998</v>
      </c>
      <c r="G5281" s="83">
        <v>46114.0</v>
      </c>
      <c r="H5281" s="76" t="s">
        <v>927</v>
      </c>
    </row>
    <row r="5282">
      <c r="A5282" s="76" t="s">
        <v>36</v>
      </c>
      <c r="B5282" s="76" t="s">
        <v>1022</v>
      </c>
      <c r="C5282" s="84">
        <v>0.01</v>
      </c>
      <c r="D5282" s="84">
        <v>0.0</v>
      </c>
      <c r="E5282" s="84">
        <v>0.0</v>
      </c>
      <c r="F5282" s="76" t="s">
        <v>998</v>
      </c>
      <c r="G5282" s="83">
        <v>46114.0</v>
      </c>
      <c r="H5282" s="76" t="s">
        <v>928</v>
      </c>
    </row>
    <row r="5283">
      <c r="A5283" s="76" t="s">
        <v>970</v>
      </c>
      <c r="B5283" s="76" t="s">
        <v>1022</v>
      </c>
      <c r="C5283" s="84">
        <v>0.01</v>
      </c>
      <c r="D5283" s="84">
        <v>0.0</v>
      </c>
      <c r="E5283" s="84">
        <v>0.0</v>
      </c>
      <c r="F5283" s="76" t="s">
        <v>998</v>
      </c>
      <c r="G5283" s="83">
        <v>46114.0</v>
      </c>
      <c r="H5283" s="76" t="s">
        <v>971</v>
      </c>
    </row>
    <row r="5284">
      <c r="A5284" s="76" t="s">
        <v>970</v>
      </c>
      <c r="B5284" s="76" t="s">
        <v>1022</v>
      </c>
      <c r="C5284" s="84">
        <v>0.01</v>
      </c>
      <c r="D5284" s="84">
        <v>0.0</v>
      </c>
      <c r="E5284" s="84">
        <v>0.0</v>
      </c>
      <c r="F5284" s="76" t="s">
        <v>998</v>
      </c>
      <c r="G5284" s="83">
        <v>46114.0</v>
      </c>
      <c r="H5284" s="76" t="s">
        <v>972</v>
      </c>
    </row>
    <row r="5285">
      <c r="A5285" s="76" t="s">
        <v>970</v>
      </c>
      <c r="B5285" s="76" t="s">
        <v>1022</v>
      </c>
      <c r="C5285" s="84">
        <v>0.01</v>
      </c>
      <c r="D5285" s="84">
        <v>0.0</v>
      </c>
      <c r="E5285" s="84">
        <v>0.0</v>
      </c>
      <c r="F5285" s="76" t="s">
        <v>998</v>
      </c>
      <c r="G5285" s="83">
        <v>46114.0</v>
      </c>
      <c r="H5285" s="76" t="s">
        <v>973</v>
      </c>
    </row>
    <row r="5286">
      <c r="A5286" s="76" t="s">
        <v>29</v>
      </c>
      <c r="B5286" s="76" t="s">
        <v>1022</v>
      </c>
      <c r="C5286" s="84">
        <v>0.01</v>
      </c>
      <c r="D5286" s="84">
        <v>0.0</v>
      </c>
      <c r="E5286" s="84">
        <v>0.0</v>
      </c>
      <c r="F5286" s="76" t="s">
        <v>998</v>
      </c>
      <c r="G5286" s="83">
        <v>46114.0</v>
      </c>
      <c r="H5286" s="76" t="s">
        <v>971</v>
      </c>
    </row>
    <row r="5287">
      <c r="A5287" s="76" t="s">
        <v>29</v>
      </c>
      <c r="B5287" s="76" t="s">
        <v>1022</v>
      </c>
      <c r="C5287" s="84">
        <v>0.01</v>
      </c>
      <c r="D5287" s="84">
        <v>0.0</v>
      </c>
      <c r="E5287" s="84">
        <v>0.0</v>
      </c>
      <c r="F5287" s="76" t="s">
        <v>998</v>
      </c>
      <c r="G5287" s="83">
        <v>46114.0</v>
      </c>
      <c r="H5287" s="76" t="s">
        <v>972</v>
      </c>
    </row>
    <row r="5288">
      <c r="A5288" s="76" t="s">
        <v>29</v>
      </c>
      <c r="B5288" s="76" t="s">
        <v>1022</v>
      </c>
      <c r="C5288" s="84">
        <v>0.01</v>
      </c>
      <c r="D5288" s="84">
        <v>0.0</v>
      </c>
      <c r="E5288" s="84">
        <v>0.0</v>
      </c>
      <c r="F5288" s="76" t="s">
        <v>998</v>
      </c>
      <c r="G5288" s="83">
        <v>46114.0</v>
      </c>
      <c r="H5288" s="76" t="s">
        <v>973</v>
      </c>
    </row>
    <row r="5289">
      <c r="A5289" s="76" t="s">
        <v>36</v>
      </c>
      <c r="B5289" s="76" t="s">
        <v>1023</v>
      </c>
      <c r="C5289" s="84">
        <v>0.25</v>
      </c>
      <c r="D5289" s="84">
        <v>0.0</v>
      </c>
      <c r="E5289" s="84">
        <v>0.0</v>
      </c>
      <c r="F5289" s="76" t="s">
        <v>990</v>
      </c>
      <c r="G5289" s="83">
        <v>46114.0</v>
      </c>
      <c r="H5289" s="76" t="s">
        <v>926</v>
      </c>
    </row>
    <row r="5290">
      <c r="A5290" s="76" t="s">
        <v>36</v>
      </c>
      <c r="B5290" s="76" t="s">
        <v>1023</v>
      </c>
      <c r="C5290" s="84">
        <v>0.21</v>
      </c>
      <c r="D5290" s="84">
        <v>0.0</v>
      </c>
      <c r="E5290" s="84">
        <v>0.0</v>
      </c>
      <c r="F5290" s="76" t="s">
        <v>990</v>
      </c>
      <c r="G5290" s="83">
        <v>46114.0</v>
      </c>
      <c r="H5290" s="76" t="s">
        <v>927</v>
      </c>
    </row>
    <row r="5291">
      <c r="A5291" s="76" t="s">
        <v>36</v>
      </c>
      <c r="B5291" s="76" t="s">
        <v>1023</v>
      </c>
      <c r="C5291" s="84">
        <v>0.11</v>
      </c>
      <c r="D5291" s="84">
        <v>0.0</v>
      </c>
      <c r="E5291" s="84">
        <v>0.0</v>
      </c>
      <c r="F5291" s="76" t="s">
        <v>990</v>
      </c>
      <c r="G5291" s="83">
        <v>46114.0</v>
      </c>
      <c r="H5291" s="76" t="s">
        <v>928</v>
      </c>
    </row>
    <row r="5292">
      <c r="A5292" s="76" t="s">
        <v>31</v>
      </c>
      <c r="B5292" s="76" t="s">
        <v>1023</v>
      </c>
      <c r="C5292" s="84">
        <v>1.17</v>
      </c>
      <c r="D5292" s="84">
        <v>0.0</v>
      </c>
      <c r="E5292" s="84">
        <v>0.0</v>
      </c>
      <c r="F5292" s="76" t="s">
        <v>990</v>
      </c>
      <c r="G5292" s="83">
        <v>46114.0</v>
      </c>
      <c r="H5292" s="76" t="s">
        <v>929</v>
      </c>
    </row>
    <row r="5293">
      <c r="A5293" s="76" t="s">
        <v>31</v>
      </c>
      <c r="B5293" s="76" t="s">
        <v>1023</v>
      </c>
      <c r="C5293" s="84">
        <v>17.28</v>
      </c>
      <c r="D5293" s="84">
        <v>1.0</v>
      </c>
      <c r="E5293" s="84">
        <v>17.28</v>
      </c>
      <c r="F5293" s="76" t="s">
        <v>990</v>
      </c>
      <c r="G5293" s="83">
        <v>46114.0</v>
      </c>
      <c r="H5293" s="76" t="s">
        <v>930</v>
      </c>
    </row>
    <row r="5294">
      <c r="A5294" s="76" t="s">
        <v>28</v>
      </c>
      <c r="B5294" s="76" t="s">
        <v>1023</v>
      </c>
      <c r="C5294" s="84">
        <v>0.13</v>
      </c>
      <c r="D5294" s="84">
        <v>0.0</v>
      </c>
      <c r="E5294" s="84">
        <v>0.0</v>
      </c>
      <c r="F5294" s="76" t="s">
        <v>990</v>
      </c>
      <c r="G5294" s="83">
        <v>46114.0</v>
      </c>
      <c r="H5294" s="76" t="s">
        <v>931</v>
      </c>
    </row>
    <row r="5295">
      <c r="A5295" s="76" t="s">
        <v>28</v>
      </c>
      <c r="B5295" s="76" t="s">
        <v>1023</v>
      </c>
      <c r="C5295" s="84">
        <v>0.07</v>
      </c>
      <c r="D5295" s="84">
        <v>0.0</v>
      </c>
      <c r="E5295" s="84">
        <v>0.0</v>
      </c>
      <c r="F5295" s="76" t="s">
        <v>990</v>
      </c>
      <c r="G5295" s="83">
        <v>46114.0</v>
      </c>
      <c r="H5295" s="76" t="s">
        <v>932</v>
      </c>
    </row>
    <row r="5296">
      <c r="A5296" s="76" t="s">
        <v>28</v>
      </c>
      <c r="B5296" s="76" t="s">
        <v>1023</v>
      </c>
      <c r="C5296" s="84">
        <v>0.91</v>
      </c>
      <c r="D5296" s="84">
        <v>0.0</v>
      </c>
      <c r="E5296" s="84">
        <v>0.0</v>
      </c>
      <c r="F5296" s="76" t="s">
        <v>990</v>
      </c>
      <c r="G5296" s="83">
        <v>46114.0</v>
      </c>
      <c r="H5296" s="76" t="s">
        <v>933</v>
      </c>
    </row>
    <row r="5297">
      <c r="A5297" s="76" t="s">
        <v>42</v>
      </c>
      <c r="B5297" s="76" t="s">
        <v>1023</v>
      </c>
      <c r="C5297" s="84">
        <v>0.08</v>
      </c>
      <c r="D5297" s="84">
        <v>0.0</v>
      </c>
      <c r="E5297" s="84">
        <v>0.0</v>
      </c>
      <c r="F5297" s="76" t="s">
        <v>990</v>
      </c>
      <c r="G5297" s="83">
        <v>46114.0</v>
      </c>
      <c r="H5297" s="76" t="s">
        <v>991</v>
      </c>
    </row>
    <row r="5298">
      <c r="A5298" s="76" t="s">
        <v>42</v>
      </c>
      <c r="B5298" s="76" t="s">
        <v>1023</v>
      </c>
      <c r="C5298" s="84">
        <v>0.48</v>
      </c>
      <c r="D5298" s="84">
        <v>0.0</v>
      </c>
      <c r="E5298" s="84">
        <v>0.0</v>
      </c>
      <c r="F5298" s="76" t="s">
        <v>990</v>
      </c>
      <c r="G5298" s="83">
        <v>46114.0</v>
      </c>
      <c r="H5298" s="76" t="s">
        <v>935</v>
      </c>
    </row>
    <row r="5299">
      <c r="A5299" s="76" t="s">
        <v>45</v>
      </c>
      <c r="B5299" s="76" t="s">
        <v>1023</v>
      </c>
      <c r="C5299" s="84">
        <v>0.17</v>
      </c>
      <c r="D5299" s="84">
        <v>0.0</v>
      </c>
      <c r="E5299" s="84">
        <v>0.0</v>
      </c>
      <c r="F5299" s="76" t="s">
        <v>990</v>
      </c>
      <c r="G5299" s="83">
        <v>46114.0</v>
      </c>
      <c r="H5299" s="76" t="s">
        <v>936</v>
      </c>
    </row>
    <row r="5300">
      <c r="A5300" s="76" t="s">
        <v>45</v>
      </c>
      <c r="B5300" s="76" t="s">
        <v>1023</v>
      </c>
      <c r="C5300" s="84">
        <v>0.09</v>
      </c>
      <c r="D5300" s="84">
        <v>0.0</v>
      </c>
      <c r="E5300" s="84">
        <v>0.0</v>
      </c>
      <c r="F5300" s="76" t="s">
        <v>990</v>
      </c>
      <c r="G5300" s="83">
        <v>46114.0</v>
      </c>
      <c r="H5300" s="76" t="s">
        <v>937</v>
      </c>
    </row>
    <row r="5301">
      <c r="A5301" s="76" t="s">
        <v>45</v>
      </c>
      <c r="B5301" s="76" t="s">
        <v>1023</v>
      </c>
      <c r="C5301" s="84">
        <v>0.19</v>
      </c>
      <c r="D5301" s="84">
        <v>0.0</v>
      </c>
      <c r="E5301" s="84">
        <v>0.0</v>
      </c>
      <c r="F5301" s="76" t="s">
        <v>990</v>
      </c>
      <c r="G5301" s="83">
        <v>46114.0</v>
      </c>
      <c r="H5301" s="76" t="s">
        <v>938</v>
      </c>
    </row>
    <row r="5302">
      <c r="A5302" s="76" t="s">
        <v>50</v>
      </c>
      <c r="B5302" s="76" t="s">
        <v>1023</v>
      </c>
      <c r="C5302" s="84">
        <v>0.17</v>
      </c>
      <c r="D5302" s="84">
        <v>0.0</v>
      </c>
      <c r="E5302" s="84">
        <v>0.0</v>
      </c>
      <c r="F5302" s="76" t="s">
        <v>990</v>
      </c>
      <c r="G5302" s="83">
        <v>46114.0</v>
      </c>
      <c r="H5302" s="76" t="s">
        <v>939</v>
      </c>
    </row>
    <row r="5303">
      <c r="A5303" s="76" t="s">
        <v>50</v>
      </c>
      <c r="B5303" s="76" t="s">
        <v>1023</v>
      </c>
      <c r="C5303" s="84">
        <v>0.23</v>
      </c>
      <c r="D5303" s="84">
        <v>0.0</v>
      </c>
      <c r="E5303" s="84">
        <v>0.0</v>
      </c>
      <c r="F5303" s="76" t="s">
        <v>990</v>
      </c>
      <c r="G5303" s="83">
        <v>46114.0</v>
      </c>
      <c r="H5303" s="76" t="s">
        <v>940</v>
      </c>
    </row>
    <row r="5304">
      <c r="A5304" s="76" t="s">
        <v>32</v>
      </c>
      <c r="B5304" s="76" t="s">
        <v>1023</v>
      </c>
      <c r="C5304" s="84">
        <v>0.65</v>
      </c>
      <c r="D5304" s="84">
        <v>0.0</v>
      </c>
      <c r="E5304" s="84">
        <v>0.0</v>
      </c>
      <c r="F5304" s="76" t="s">
        <v>990</v>
      </c>
      <c r="G5304" s="83">
        <v>46114.0</v>
      </c>
      <c r="H5304" s="76" t="s">
        <v>941</v>
      </c>
    </row>
    <row r="5305">
      <c r="A5305" s="76" t="s">
        <v>32</v>
      </c>
      <c r="B5305" s="76" t="s">
        <v>1023</v>
      </c>
      <c r="C5305" s="84">
        <v>0.48</v>
      </c>
      <c r="D5305" s="84">
        <v>0.0</v>
      </c>
      <c r="E5305" s="84">
        <v>0.0</v>
      </c>
      <c r="F5305" s="76" t="s">
        <v>990</v>
      </c>
      <c r="G5305" s="83">
        <v>46114.0</v>
      </c>
      <c r="H5305" s="76" t="s">
        <v>942</v>
      </c>
    </row>
    <row r="5306">
      <c r="A5306" s="76" t="s">
        <v>32</v>
      </c>
      <c r="B5306" s="76" t="s">
        <v>1023</v>
      </c>
      <c r="C5306" s="84">
        <v>129.64</v>
      </c>
      <c r="D5306" s="84">
        <v>5.0</v>
      </c>
      <c r="E5306" s="84">
        <v>25.93</v>
      </c>
      <c r="F5306" s="76" t="s">
        <v>990</v>
      </c>
      <c r="G5306" s="83">
        <v>46114.0</v>
      </c>
      <c r="H5306" s="76" t="s">
        <v>943</v>
      </c>
    </row>
    <row r="5307">
      <c r="A5307" s="76" t="s">
        <v>944</v>
      </c>
      <c r="B5307" s="76" t="s">
        <v>1023</v>
      </c>
      <c r="C5307" s="84">
        <v>0.52</v>
      </c>
      <c r="D5307" s="84">
        <v>0.0</v>
      </c>
      <c r="E5307" s="84">
        <v>0.0</v>
      </c>
      <c r="F5307" s="76" t="s">
        <v>990</v>
      </c>
      <c r="G5307" s="83">
        <v>46114.0</v>
      </c>
      <c r="H5307" s="76" t="s">
        <v>945</v>
      </c>
    </row>
    <row r="5308">
      <c r="A5308" s="76" t="s">
        <v>944</v>
      </c>
      <c r="B5308" s="76" t="s">
        <v>1023</v>
      </c>
      <c r="C5308" s="84">
        <v>0.11</v>
      </c>
      <c r="D5308" s="84">
        <v>0.0</v>
      </c>
      <c r="E5308" s="84">
        <v>0.0</v>
      </c>
      <c r="F5308" s="76" t="s">
        <v>990</v>
      </c>
      <c r="G5308" s="83">
        <v>46114.0</v>
      </c>
      <c r="H5308" s="76" t="s">
        <v>946</v>
      </c>
    </row>
    <row r="5309">
      <c r="A5309" s="76" t="s">
        <v>944</v>
      </c>
      <c r="B5309" s="76" t="s">
        <v>1023</v>
      </c>
      <c r="C5309" s="84">
        <v>0.12</v>
      </c>
      <c r="D5309" s="84">
        <v>0.0</v>
      </c>
      <c r="E5309" s="84">
        <v>0.0</v>
      </c>
      <c r="F5309" s="76" t="s">
        <v>990</v>
      </c>
      <c r="G5309" s="83">
        <v>46114.0</v>
      </c>
      <c r="H5309" s="76" t="s">
        <v>947</v>
      </c>
    </row>
    <row r="5310">
      <c r="A5310" s="76" t="s">
        <v>26</v>
      </c>
      <c r="B5310" s="76" t="s">
        <v>1023</v>
      </c>
      <c r="C5310" s="84">
        <v>0.12</v>
      </c>
      <c r="D5310" s="84">
        <v>0.0</v>
      </c>
      <c r="E5310" s="84">
        <v>0.0</v>
      </c>
      <c r="F5310" s="76" t="s">
        <v>990</v>
      </c>
      <c r="G5310" s="83">
        <v>46114.0</v>
      </c>
      <c r="H5310" s="76" t="s">
        <v>1012</v>
      </c>
    </row>
    <row r="5311">
      <c r="A5311" s="76" t="s">
        <v>26</v>
      </c>
      <c r="B5311" s="76" t="s">
        <v>1023</v>
      </c>
      <c r="C5311" s="84">
        <v>0.32</v>
      </c>
      <c r="D5311" s="84">
        <v>0.0</v>
      </c>
      <c r="E5311" s="84">
        <v>0.0</v>
      </c>
      <c r="F5311" s="76" t="s">
        <v>990</v>
      </c>
      <c r="G5311" s="83">
        <v>46114.0</v>
      </c>
      <c r="H5311" s="76" t="s">
        <v>1013</v>
      </c>
    </row>
    <row r="5312">
      <c r="A5312" s="76" t="s">
        <v>26</v>
      </c>
      <c r="B5312" s="76" t="s">
        <v>1023</v>
      </c>
      <c r="C5312" s="84">
        <v>0.8</v>
      </c>
      <c r="D5312" s="84">
        <v>0.0</v>
      </c>
      <c r="E5312" s="84">
        <v>0.0</v>
      </c>
      <c r="F5312" s="76" t="s">
        <v>990</v>
      </c>
      <c r="G5312" s="83">
        <v>46114.0</v>
      </c>
      <c r="H5312" s="76" t="s">
        <v>1014</v>
      </c>
    </row>
    <row r="5313">
      <c r="A5313" s="76" t="s">
        <v>36</v>
      </c>
      <c r="B5313" s="76" t="s">
        <v>1023</v>
      </c>
      <c r="C5313" s="84">
        <v>0.57</v>
      </c>
      <c r="D5313" s="84">
        <v>0.0</v>
      </c>
      <c r="E5313" s="84">
        <v>0.0</v>
      </c>
      <c r="F5313" s="76" t="s">
        <v>993</v>
      </c>
      <c r="G5313" s="83">
        <v>46114.0</v>
      </c>
      <c r="H5313" s="76" t="s">
        <v>926</v>
      </c>
    </row>
    <row r="5314">
      <c r="A5314" s="76" t="s">
        <v>36</v>
      </c>
      <c r="B5314" s="76" t="s">
        <v>1023</v>
      </c>
      <c r="C5314" s="84">
        <v>0.08</v>
      </c>
      <c r="D5314" s="84">
        <v>0.0</v>
      </c>
      <c r="E5314" s="84">
        <v>0.0</v>
      </c>
      <c r="F5314" s="76" t="s">
        <v>993</v>
      </c>
      <c r="G5314" s="83">
        <v>46114.0</v>
      </c>
      <c r="H5314" s="76" t="s">
        <v>927</v>
      </c>
    </row>
    <row r="5315">
      <c r="A5315" s="76" t="s">
        <v>36</v>
      </c>
      <c r="B5315" s="76" t="s">
        <v>1023</v>
      </c>
      <c r="C5315" s="84">
        <v>0.07</v>
      </c>
      <c r="D5315" s="84">
        <v>0.0</v>
      </c>
      <c r="E5315" s="84">
        <v>0.0</v>
      </c>
      <c r="F5315" s="76" t="s">
        <v>993</v>
      </c>
      <c r="G5315" s="83">
        <v>46114.0</v>
      </c>
      <c r="H5315" s="76" t="s">
        <v>928</v>
      </c>
    </row>
    <row r="5316">
      <c r="A5316" s="76" t="s">
        <v>31</v>
      </c>
      <c r="B5316" s="76" t="s">
        <v>1023</v>
      </c>
      <c r="C5316" s="84">
        <v>0.75</v>
      </c>
      <c r="D5316" s="84">
        <v>0.0</v>
      </c>
      <c r="E5316" s="84">
        <v>0.0</v>
      </c>
      <c r="F5316" s="76" t="s">
        <v>993</v>
      </c>
      <c r="G5316" s="83">
        <v>46114.0</v>
      </c>
      <c r="H5316" s="76" t="s">
        <v>929</v>
      </c>
    </row>
    <row r="5317">
      <c r="A5317" s="76" t="s">
        <v>31</v>
      </c>
      <c r="B5317" s="76" t="s">
        <v>1023</v>
      </c>
      <c r="C5317" s="84">
        <v>13.26</v>
      </c>
      <c r="D5317" s="84">
        <v>1.0</v>
      </c>
      <c r="E5317" s="84">
        <v>13.26</v>
      </c>
      <c r="F5317" s="76" t="s">
        <v>993</v>
      </c>
      <c r="G5317" s="83">
        <v>46114.0</v>
      </c>
      <c r="H5317" s="76" t="s">
        <v>930</v>
      </c>
    </row>
    <row r="5318">
      <c r="A5318" s="76" t="s">
        <v>28</v>
      </c>
      <c r="B5318" s="76" t="s">
        <v>1023</v>
      </c>
      <c r="C5318" s="84">
        <v>0.05</v>
      </c>
      <c r="D5318" s="84">
        <v>0.0</v>
      </c>
      <c r="E5318" s="84">
        <v>0.0</v>
      </c>
      <c r="F5318" s="76" t="s">
        <v>993</v>
      </c>
      <c r="G5318" s="83">
        <v>46114.0</v>
      </c>
      <c r="H5318" s="76" t="s">
        <v>931</v>
      </c>
    </row>
    <row r="5319">
      <c r="A5319" s="76" t="s">
        <v>28</v>
      </c>
      <c r="B5319" s="76" t="s">
        <v>1023</v>
      </c>
      <c r="C5319" s="84">
        <v>0.04</v>
      </c>
      <c r="D5319" s="84">
        <v>0.0</v>
      </c>
      <c r="E5319" s="84">
        <v>0.0</v>
      </c>
      <c r="F5319" s="76" t="s">
        <v>993</v>
      </c>
      <c r="G5319" s="83">
        <v>46114.0</v>
      </c>
      <c r="H5319" s="76" t="s">
        <v>932</v>
      </c>
    </row>
    <row r="5320">
      <c r="A5320" s="76" t="s">
        <v>28</v>
      </c>
      <c r="B5320" s="76" t="s">
        <v>1023</v>
      </c>
      <c r="C5320" s="84">
        <v>1.36</v>
      </c>
      <c r="D5320" s="84">
        <v>0.0</v>
      </c>
      <c r="E5320" s="84">
        <v>0.0</v>
      </c>
      <c r="F5320" s="76" t="s">
        <v>993</v>
      </c>
      <c r="G5320" s="83">
        <v>46114.0</v>
      </c>
      <c r="H5320" s="76" t="s">
        <v>933</v>
      </c>
    </row>
    <row r="5321">
      <c r="A5321" s="76" t="s">
        <v>42</v>
      </c>
      <c r="B5321" s="76" t="s">
        <v>1023</v>
      </c>
      <c r="C5321" s="84">
        <v>0.04</v>
      </c>
      <c r="D5321" s="84">
        <v>0.0</v>
      </c>
      <c r="E5321" s="84">
        <v>0.0</v>
      </c>
      <c r="F5321" s="76" t="s">
        <v>993</v>
      </c>
      <c r="G5321" s="83">
        <v>46114.0</v>
      </c>
      <c r="H5321" s="76" t="s">
        <v>991</v>
      </c>
    </row>
    <row r="5322">
      <c r="A5322" s="76" t="s">
        <v>42</v>
      </c>
      <c r="B5322" s="76" t="s">
        <v>1023</v>
      </c>
      <c r="C5322" s="84">
        <v>0.12</v>
      </c>
      <c r="D5322" s="84">
        <v>0.0</v>
      </c>
      <c r="E5322" s="84">
        <v>0.0</v>
      </c>
      <c r="F5322" s="76" t="s">
        <v>993</v>
      </c>
      <c r="G5322" s="83">
        <v>46114.0</v>
      </c>
      <c r="H5322" s="76" t="s">
        <v>935</v>
      </c>
    </row>
    <row r="5323">
      <c r="A5323" s="76" t="s">
        <v>45</v>
      </c>
      <c r="B5323" s="76" t="s">
        <v>1023</v>
      </c>
      <c r="C5323" s="84">
        <v>0.05</v>
      </c>
      <c r="D5323" s="84">
        <v>0.0</v>
      </c>
      <c r="E5323" s="84">
        <v>0.0</v>
      </c>
      <c r="F5323" s="76" t="s">
        <v>993</v>
      </c>
      <c r="G5323" s="83">
        <v>46114.0</v>
      </c>
      <c r="H5323" s="76" t="s">
        <v>936</v>
      </c>
    </row>
    <row r="5324">
      <c r="A5324" s="76" t="s">
        <v>45</v>
      </c>
      <c r="B5324" s="76" t="s">
        <v>1023</v>
      </c>
      <c r="C5324" s="84">
        <v>0.04</v>
      </c>
      <c r="D5324" s="84">
        <v>0.0</v>
      </c>
      <c r="E5324" s="84">
        <v>0.0</v>
      </c>
      <c r="F5324" s="76" t="s">
        <v>993</v>
      </c>
      <c r="G5324" s="83">
        <v>46114.0</v>
      </c>
      <c r="H5324" s="76" t="s">
        <v>937</v>
      </c>
    </row>
    <row r="5325">
      <c r="A5325" s="76" t="s">
        <v>45</v>
      </c>
      <c r="B5325" s="76" t="s">
        <v>1023</v>
      </c>
      <c r="C5325" s="84">
        <v>0.06</v>
      </c>
      <c r="D5325" s="84">
        <v>0.0</v>
      </c>
      <c r="E5325" s="84">
        <v>0.0</v>
      </c>
      <c r="F5325" s="76" t="s">
        <v>993</v>
      </c>
      <c r="G5325" s="83">
        <v>46114.0</v>
      </c>
      <c r="H5325" s="76" t="s">
        <v>938</v>
      </c>
    </row>
    <row r="5326">
      <c r="A5326" s="76" t="s">
        <v>50</v>
      </c>
      <c r="B5326" s="76" t="s">
        <v>1023</v>
      </c>
      <c r="C5326" s="84">
        <v>0.12</v>
      </c>
      <c r="D5326" s="84">
        <v>0.0</v>
      </c>
      <c r="E5326" s="84">
        <v>0.0</v>
      </c>
      <c r="F5326" s="76" t="s">
        <v>993</v>
      </c>
      <c r="G5326" s="83">
        <v>46114.0</v>
      </c>
      <c r="H5326" s="76" t="s">
        <v>939</v>
      </c>
    </row>
    <row r="5327">
      <c r="A5327" s="76" t="s">
        <v>50</v>
      </c>
      <c r="B5327" s="76" t="s">
        <v>1023</v>
      </c>
      <c r="C5327" s="84">
        <v>0.1</v>
      </c>
      <c r="D5327" s="84">
        <v>0.0</v>
      </c>
      <c r="E5327" s="84">
        <v>0.0</v>
      </c>
      <c r="F5327" s="76" t="s">
        <v>993</v>
      </c>
      <c r="G5327" s="83">
        <v>46114.0</v>
      </c>
      <c r="H5327" s="76" t="s">
        <v>940</v>
      </c>
    </row>
    <row r="5328">
      <c r="A5328" s="76" t="s">
        <v>32</v>
      </c>
      <c r="B5328" s="76" t="s">
        <v>1023</v>
      </c>
      <c r="C5328" s="84">
        <v>0.52</v>
      </c>
      <c r="D5328" s="84">
        <v>0.0</v>
      </c>
      <c r="E5328" s="84">
        <v>0.0</v>
      </c>
      <c r="F5328" s="76" t="s">
        <v>993</v>
      </c>
      <c r="G5328" s="83">
        <v>46114.0</v>
      </c>
      <c r="H5328" s="76" t="s">
        <v>941</v>
      </c>
    </row>
    <row r="5329">
      <c r="A5329" s="76" t="s">
        <v>32</v>
      </c>
      <c r="B5329" s="76" t="s">
        <v>1023</v>
      </c>
      <c r="C5329" s="84">
        <v>0.42</v>
      </c>
      <c r="D5329" s="84">
        <v>0.0</v>
      </c>
      <c r="E5329" s="84">
        <v>0.0</v>
      </c>
      <c r="F5329" s="76" t="s">
        <v>993</v>
      </c>
      <c r="G5329" s="83">
        <v>46114.0</v>
      </c>
      <c r="H5329" s="76" t="s">
        <v>942</v>
      </c>
    </row>
    <row r="5330">
      <c r="A5330" s="76" t="s">
        <v>32</v>
      </c>
      <c r="B5330" s="76" t="s">
        <v>1023</v>
      </c>
      <c r="C5330" s="84">
        <v>3.09</v>
      </c>
      <c r="D5330" s="84">
        <v>0.0</v>
      </c>
      <c r="E5330" s="84">
        <v>0.0</v>
      </c>
      <c r="F5330" s="76" t="s">
        <v>993</v>
      </c>
      <c r="G5330" s="83">
        <v>46114.0</v>
      </c>
      <c r="H5330" s="76" t="s">
        <v>943</v>
      </c>
    </row>
    <row r="5331">
      <c r="A5331" s="76" t="s">
        <v>944</v>
      </c>
      <c r="B5331" s="76" t="s">
        <v>1023</v>
      </c>
      <c r="C5331" s="84">
        <v>0.22</v>
      </c>
      <c r="D5331" s="84">
        <v>0.0</v>
      </c>
      <c r="E5331" s="84">
        <v>0.0</v>
      </c>
      <c r="F5331" s="76" t="s">
        <v>993</v>
      </c>
      <c r="G5331" s="83">
        <v>46114.0</v>
      </c>
      <c r="H5331" s="76" t="s">
        <v>945</v>
      </c>
    </row>
    <row r="5332">
      <c r="A5332" s="76" t="s">
        <v>944</v>
      </c>
      <c r="B5332" s="76" t="s">
        <v>1023</v>
      </c>
      <c r="C5332" s="84">
        <v>0.06</v>
      </c>
      <c r="D5332" s="84">
        <v>0.0</v>
      </c>
      <c r="E5332" s="84">
        <v>0.0</v>
      </c>
      <c r="F5332" s="76" t="s">
        <v>993</v>
      </c>
      <c r="G5332" s="83">
        <v>46114.0</v>
      </c>
      <c r="H5332" s="76" t="s">
        <v>946</v>
      </c>
    </row>
    <row r="5333">
      <c r="A5333" s="76" t="s">
        <v>944</v>
      </c>
      <c r="B5333" s="76" t="s">
        <v>1023</v>
      </c>
      <c r="C5333" s="84">
        <v>0.07</v>
      </c>
      <c r="D5333" s="84">
        <v>0.0</v>
      </c>
      <c r="E5333" s="84">
        <v>0.0</v>
      </c>
      <c r="F5333" s="76" t="s">
        <v>993</v>
      </c>
      <c r="G5333" s="83">
        <v>46114.0</v>
      </c>
      <c r="H5333" s="76" t="s">
        <v>947</v>
      </c>
    </row>
    <row r="5334">
      <c r="A5334" s="76" t="s">
        <v>26</v>
      </c>
      <c r="B5334" s="76" t="s">
        <v>1023</v>
      </c>
      <c r="C5334" s="84">
        <v>0.07</v>
      </c>
      <c r="D5334" s="84">
        <v>0.0</v>
      </c>
      <c r="E5334" s="84">
        <v>0.0</v>
      </c>
      <c r="F5334" s="76" t="s">
        <v>993</v>
      </c>
      <c r="G5334" s="83">
        <v>46114.0</v>
      </c>
      <c r="H5334" s="76" t="s">
        <v>1012</v>
      </c>
    </row>
    <row r="5335">
      <c r="A5335" s="76" t="s">
        <v>26</v>
      </c>
      <c r="B5335" s="76" t="s">
        <v>1023</v>
      </c>
      <c r="C5335" s="84">
        <v>0.07</v>
      </c>
      <c r="D5335" s="84">
        <v>0.0</v>
      </c>
      <c r="E5335" s="84">
        <v>0.0</v>
      </c>
      <c r="F5335" s="76" t="s">
        <v>993</v>
      </c>
      <c r="G5335" s="83">
        <v>46114.0</v>
      </c>
      <c r="H5335" s="76" t="s">
        <v>1013</v>
      </c>
    </row>
    <row r="5336">
      <c r="A5336" s="76" t="s">
        <v>26</v>
      </c>
      <c r="B5336" s="76" t="s">
        <v>1023</v>
      </c>
      <c r="C5336" s="84">
        <v>0.47</v>
      </c>
      <c r="D5336" s="84">
        <v>0.0</v>
      </c>
      <c r="E5336" s="84">
        <v>0.0</v>
      </c>
      <c r="F5336" s="76" t="s">
        <v>993</v>
      </c>
      <c r="G5336" s="83">
        <v>46114.0</v>
      </c>
      <c r="H5336" s="76" t="s">
        <v>1014</v>
      </c>
    </row>
    <row r="5337">
      <c r="A5337" s="76" t="s">
        <v>36</v>
      </c>
      <c r="B5337" s="76" t="s">
        <v>1023</v>
      </c>
      <c r="C5337" s="84">
        <v>0.33</v>
      </c>
      <c r="D5337" s="84">
        <v>0.0</v>
      </c>
      <c r="E5337" s="84">
        <v>0.0</v>
      </c>
      <c r="F5337" s="76" t="s">
        <v>994</v>
      </c>
      <c r="G5337" s="83">
        <v>46114.0</v>
      </c>
      <c r="H5337" s="76" t="s">
        <v>926</v>
      </c>
    </row>
    <row r="5338">
      <c r="A5338" s="76" t="s">
        <v>36</v>
      </c>
      <c r="B5338" s="76" t="s">
        <v>1023</v>
      </c>
      <c r="C5338" s="84">
        <v>0.09</v>
      </c>
      <c r="D5338" s="84">
        <v>0.0</v>
      </c>
      <c r="E5338" s="84">
        <v>0.0</v>
      </c>
      <c r="F5338" s="76" t="s">
        <v>994</v>
      </c>
      <c r="G5338" s="83">
        <v>46114.0</v>
      </c>
      <c r="H5338" s="76" t="s">
        <v>927</v>
      </c>
    </row>
    <row r="5339">
      <c r="A5339" s="76" t="s">
        <v>36</v>
      </c>
      <c r="B5339" s="76" t="s">
        <v>1023</v>
      </c>
      <c r="C5339" s="84">
        <v>0.12</v>
      </c>
      <c r="D5339" s="84">
        <v>0.0</v>
      </c>
      <c r="E5339" s="84">
        <v>0.0</v>
      </c>
      <c r="F5339" s="76" t="s">
        <v>994</v>
      </c>
      <c r="G5339" s="83">
        <v>46114.0</v>
      </c>
      <c r="H5339" s="76" t="s">
        <v>928</v>
      </c>
    </row>
    <row r="5340">
      <c r="A5340" s="76" t="s">
        <v>31</v>
      </c>
      <c r="B5340" s="76" t="s">
        <v>1023</v>
      </c>
      <c r="C5340" s="84">
        <v>0.68</v>
      </c>
      <c r="D5340" s="84">
        <v>0.0</v>
      </c>
      <c r="E5340" s="84">
        <v>0.0</v>
      </c>
      <c r="F5340" s="76" t="s">
        <v>994</v>
      </c>
      <c r="G5340" s="83">
        <v>46114.0</v>
      </c>
      <c r="H5340" s="76" t="s">
        <v>929</v>
      </c>
    </row>
    <row r="5341">
      <c r="A5341" s="76" t="s">
        <v>31</v>
      </c>
      <c r="B5341" s="76" t="s">
        <v>1023</v>
      </c>
      <c r="C5341" s="84">
        <v>28.06</v>
      </c>
      <c r="D5341" s="84">
        <v>2.0</v>
      </c>
      <c r="E5341" s="84">
        <v>14.03</v>
      </c>
      <c r="F5341" s="76" t="s">
        <v>994</v>
      </c>
      <c r="G5341" s="83">
        <v>46114.0</v>
      </c>
      <c r="H5341" s="76" t="s">
        <v>930</v>
      </c>
    </row>
    <row r="5342">
      <c r="A5342" s="76" t="s">
        <v>28</v>
      </c>
      <c r="B5342" s="76" t="s">
        <v>1023</v>
      </c>
      <c r="C5342" s="84">
        <v>0.13</v>
      </c>
      <c r="D5342" s="84">
        <v>0.0</v>
      </c>
      <c r="E5342" s="84">
        <v>0.0</v>
      </c>
      <c r="F5342" s="76" t="s">
        <v>994</v>
      </c>
      <c r="G5342" s="83">
        <v>46114.0</v>
      </c>
      <c r="H5342" s="76" t="s">
        <v>931</v>
      </c>
    </row>
    <row r="5343">
      <c r="A5343" s="76" t="s">
        <v>28</v>
      </c>
      <c r="B5343" s="76" t="s">
        <v>1023</v>
      </c>
      <c r="C5343" s="84">
        <v>0.05</v>
      </c>
      <c r="D5343" s="84">
        <v>0.0</v>
      </c>
      <c r="E5343" s="84">
        <v>0.0</v>
      </c>
      <c r="F5343" s="76" t="s">
        <v>994</v>
      </c>
      <c r="G5343" s="83">
        <v>46114.0</v>
      </c>
      <c r="H5343" s="76" t="s">
        <v>932</v>
      </c>
    </row>
    <row r="5344">
      <c r="A5344" s="76" t="s">
        <v>28</v>
      </c>
      <c r="B5344" s="76" t="s">
        <v>1023</v>
      </c>
      <c r="C5344" s="84">
        <v>1.55</v>
      </c>
      <c r="D5344" s="84">
        <v>0.0</v>
      </c>
      <c r="E5344" s="84">
        <v>0.0</v>
      </c>
      <c r="F5344" s="76" t="s">
        <v>994</v>
      </c>
      <c r="G5344" s="83">
        <v>46114.0</v>
      </c>
      <c r="H5344" s="76" t="s">
        <v>933</v>
      </c>
    </row>
    <row r="5345">
      <c r="A5345" s="76" t="s">
        <v>42</v>
      </c>
      <c r="B5345" s="76" t="s">
        <v>1023</v>
      </c>
      <c r="C5345" s="84">
        <v>0.04</v>
      </c>
      <c r="D5345" s="84">
        <v>0.0</v>
      </c>
      <c r="E5345" s="84">
        <v>0.0</v>
      </c>
      <c r="F5345" s="76" t="s">
        <v>994</v>
      </c>
      <c r="G5345" s="83">
        <v>46114.0</v>
      </c>
      <c r="H5345" s="76" t="s">
        <v>991</v>
      </c>
    </row>
    <row r="5346">
      <c r="A5346" s="76" t="s">
        <v>42</v>
      </c>
      <c r="B5346" s="76" t="s">
        <v>1023</v>
      </c>
      <c r="C5346" s="84">
        <v>0.14</v>
      </c>
      <c r="D5346" s="84">
        <v>0.0</v>
      </c>
      <c r="E5346" s="84">
        <v>0.0</v>
      </c>
      <c r="F5346" s="76" t="s">
        <v>994</v>
      </c>
      <c r="G5346" s="83">
        <v>46114.0</v>
      </c>
      <c r="H5346" s="76" t="s">
        <v>935</v>
      </c>
    </row>
    <row r="5347">
      <c r="A5347" s="76" t="s">
        <v>45</v>
      </c>
      <c r="B5347" s="76" t="s">
        <v>1023</v>
      </c>
      <c r="C5347" s="84">
        <v>0.09</v>
      </c>
      <c r="D5347" s="84">
        <v>0.0</v>
      </c>
      <c r="E5347" s="84">
        <v>0.0</v>
      </c>
      <c r="F5347" s="76" t="s">
        <v>994</v>
      </c>
      <c r="G5347" s="83">
        <v>46114.0</v>
      </c>
      <c r="H5347" s="76" t="s">
        <v>936</v>
      </c>
    </row>
    <row r="5348">
      <c r="A5348" s="76" t="s">
        <v>45</v>
      </c>
      <c r="B5348" s="76" t="s">
        <v>1023</v>
      </c>
      <c r="C5348" s="84">
        <v>0.09</v>
      </c>
      <c r="D5348" s="84">
        <v>0.0</v>
      </c>
      <c r="E5348" s="84">
        <v>0.0</v>
      </c>
      <c r="F5348" s="76" t="s">
        <v>994</v>
      </c>
      <c r="G5348" s="83">
        <v>46114.0</v>
      </c>
      <c r="H5348" s="76" t="s">
        <v>937</v>
      </c>
    </row>
    <row r="5349">
      <c r="A5349" s="76" t="s">
        <v>45</v>
      </c>
      <c r="B5349" s="76" t="s">
        <v>1023</v>
      </c>
      <c r="C5349" s="84">
        <v>0.19</v>
      </c>
      <c r="D5349" s="84">
        <v>0.0</v>
      </c>
      <c r="E5349" s="84">
        <v>0.0</v>
      </c>
      <c r="F5349" s="76" t="s">
        <v>994</v>
      </c>
      <c r="G5349" s="83">
        <v>46114.0</v>
      </c>
      <c r="H5349" s="76" t="s">
        <v>938</v>
      </c>
    </row>
    <row r="5350">
      <c r="A5350" s="76" t="s">
        <v>50</v>
      </c>
      <c r="B5350" s="76" t="s">
        <v>1023</v>
      </c>
      <c r="C5350" s="84">
        <v>0.12</v>
      </c>
      <c r="D5350" s="84">
        <v>0.0</v>
      </c>
      <c r="E5350" s="84">
        <v>0.0</v>
      </c>
      <c r="F5350" s="76" t="s">
        <v>994</v>
      </c>
      <c r="G5350" s="83">
        <v>46114.0</v>
      </c>
      <c r="H5350" s="76" t="s">
        <v>939</v>
      </c>
    </row>
    <row r="5351">
      <c r="A5351" s="76" t="s">
        <v>50</v>
      </c>
      <c r="B5351" s="76" t="s">
        <v>1023</v>
      </c>
      <c r="C5351" s="84">
        <v>0.08</v>
      </c>
      <c r="D5351" s="84">
        <v>0.0</v>
      </c>
      <c r="E5351" s="84">
        <v>0.0</v>
      </c>
      <c r="F5351" s="76" t="s">
        <v>994</v>
      </c>
      <c r="G5351" s="83">
        <v>46114.0</v>
      </c>
      <c r="H5351" s="76" t="s">
        <v>940</v>
      </c>
    </row>
    <row r="5352">
      <c r="A5352" s="76" t="s">
        <v>32</v>
      </c>
      <c r="B5352" s="76" t="s">
        <v>1023</v>
      </c>
      <c r="C5352" s="84">
        <v>0.87</v>
      </c>
      <c r="D5352" s="84">
        <v>0.0</v>
      </c>
      <c r="E5352" s="84">
        <v>0.0</v>
      </c>
      <c r="F5352" s="76" t="s">
        <v>994</v>
      </c>
      <c r="G5352" s="83">
        <v>46114.0</v>
      </c>
      <c r="H5352" s="76" t="s">
        <v>941</v>
      </c>
    </row>
    <row r="5353">
      <c r="A5353" s="76" t="s">
        <v>32</v>
      </c>
      <c r="B5353" s="76" t="s">
        <v>1023</v>
      </c>
      <c r="C5353" s="84">
        <v>0.23</v>
      </c>
      <c r="D5353" s="84">
        <v>0.0</v>
      </c>
      <c r="E5353" s="84">
        <v>0.0</v>
      </c>
      <c r="F5353" s="76" t="s">
        <v>994</v>
      </c>
      <c r="G5353" s="83">
        <v>46114.0</v>
      </c>
      <c r="H5353" s="76" t="s">
        <v>942</v>
      </c>
    </row>
    <row r="5354">
      <c r="A5354" s="76" t="s">
        <v>32</v>
      </c>
      <c r="B5354" s="76" t="s">
        <v>1023</v>
      </c>
      <c r="C5354" s="84">
        <v>1.86</v>
      </c>
      <c r="D5354" s="84">
        <v>0.0</v>
      </c>
      <c r="E5354" s="84">
        <v>0.0</v>
      </c>
      <c r="F5354" s="76" t="s">
        <v>994</v>
      </c>
      <c r="G5354" s="83">
        <v>46114.0</v>
      </c>
      <c r="H5354" s="76" t="s">
        <v>943</v>
      </c>
    </row>
    <row r="5355">
      <c r="A5355" s="76" t="s">
        <v>944</v>
      </c>
      <c r="B5355" s="76" t="s">
        <v>1023</v>
      </c>
      <c r="C5355" s="84">
        <v>0.4</v>
      </c>
      <c r="D5355" s="84">
        <v>0.0</v>
      </c>
      <c r="E5355" s="84">
        <v>0.0</v>
      </c>
      <c r="F5355" s="76" t="s">
        <v>994</v>
      </c>
      <c r="G5355" s="83">
        <v>46114.0</v>
      </c>
      <c r="H5355" s="76" t="s">
        <v>945</v>
      </c>
    </row>
    <row r="5356">
      <c r="A5356" s="76" t="s">
        <v>944</v>
      </c>
      <c r="B5356" s="76" t="s">
        <v>1023</v>
      </c>
      <c r="C5356" s="84">
        <v>0.12</v>
      </c>
      <c r="D5356" s="84">
        <v>0.0</v>
      </c>
      <c r="E5356" s="84">
        <v>0.0</v>
      </c>
      <c r="F5356" s="76" t="s">
        <v>994</v>
      </c>
      <c r="G5356" s="83">
        <v>46114.0</v>
      </c>
      <c r="H5356" s="76" t="s">
        <v>946</v>
      </c>
    </row>
    <row r="5357">
      <c r="A5357" s="76" t="s">
        <v>944</v>
      </c>
      <c r="B5357" s="76" t="s">
        <v>1023</v>
      </c>
      <c r="C5357" s="84">
        <v>0.09</v>
      </c>
      <c r="D5357" s="84">
        <v>0.0</v>
      </c>
      <c r="E5357" s="84">
        <v>0.0</v>
      </c>
      <c r="F5357" s="76" t="s">
        <v>994</v>
      </c>
      <c r="G5357" s="83">
        <v>46114.0</v>
      </c>
      <c r="H5357" s="76" t="s">
        <v>947</v>
      </c>
    </row>
    <row r="5358">
      <c r="A5358" s="76" t="s">
        <v>26</v>
      </c>
      <c r="B5358" s="76" t="s">
        <v>1023</v>
      </c>
      <c r="C5358" s="84">
        <v>0.09</v>
      </c>
      <c r="D5358" s="84">
        <v>0.0</v>
      </c>
      <c r="E5358" s="84">
        <v>0.0</v>
      </c>
      <c r="F5358" s="76" t="s">
        <v>994</v>
      </c>
      <c r="G5358" s="83">
        <v>46114.0</v>
      </c>
      <c r="H5358" s="76" t="s">
        <v>1012</v>
      </c>
    </row>
    <row r="5359">
      <c r="A5359" s="76" t="s">
        <v>26</v>
      </c>
      <c r="B5359" s="76" t="s">
        <v>1023</v>
      </c>
      <c r="C5359" s="84">
        <v>0.08</v>
      </c>
      <c r="D5359" s="84">
        <v>0.0</v>
      </c>
      <c r="E5359" s="84">
        <v>0.0</v>
      </c>
      <c r="F5359" s="76" t="s">
        <v>994</v>
      </c>
      <c r="G5359" s="83">
        <v>46114.0</v>
      </c>
      <c r="H5359" s="76" t="s">
        <v>1013</v>
      </c>
    </row>
    <row r="5360">
      <c r="A5360" s="76" t="s">
        <v>26</v>
      </c>
      <c r="B5360" s="76" t="s">
        <v>1023</v>
      </c>
      <c r="C5360" s="84">
        <v>0.79</v>
      </c>
      <c r="D5360" s="84">
        <v>0.0</v>
      </c>
      <c r="E5360" s="84">
        <v>0.0</v>
      </c>
      <c r="F5360" s="76" t="s">
        <v>994</v>
      </c>
      <c r="G5360" s="83">
        <v>46114.0</v>
      </c>
      <c r="H5360" s="76" t="s">
        <v>1014</v>
      </c>
    </row>
    <row r="5361">
      <c r="A5361" s="76" t="s">
        <v>36</v>
      </c>
      <c r="B5361" s="76" t="s">
        <v>1023</v>
      </c>
      <c r="C5361" s="84">
        <v>0.37</v>
      </c>
      <c r="D5361" s="84">
        <v>0.0</v>
      </c>
      <c r="E5361" s="84">
        <v>0.0</v>
      </c>
      <c r="F5361" s="76" t="s">
        <v>1005</v>
      </c>
      <c r="G5361" s="83">
        <v>46114.0</v>
      </c>
      <c r="H5361" s="76" t="s">
        <v>926</v>
      </c>
    </row>
    <row r="5362">
      <c r="A5362" s="76" t="s">
        <v>36</v>
      </c>
      <c r="B5362" s="76" t="s">
        <v>1023</v>
      </c>
      <c r="C5362" s="84">
        <v>0.43</v>
      </c>
      <c r="D5362" s="84">
        <v>0.0</v>
      </c>
      <c r="E5362" s="84">
        <v>0.0</v>
      </c>
      <c r="F5362" s="76" t="s">
        <v>1005</v>
      </c>
      <c r="G5362" s="83">
        <v>46114.0</v>
      </c>
      <c r="H5362" s="76" t="s">
        <v>927</v>
      </c>
    </row>
    <row r="5363">
      <c r="A5363" s="76" t="s">
        <v>36</v>
      </c>
      <c r="B5363" s="76" t="s">
        <v>1023</v>
      </c>
      <c r="C5363" s="84">
        <v>0.42</v>
      </c>
      <c r="D5363" s="84">
        <v>0.0</v>
      </c>
      <c r="E5363" s="84">
        <v>0.0</v>
      </c>
      <c r="F5363" s="76" t="s">
        <v>1005</v>
      </c>
      <c r="G5363" s="83">
        <v>46114.0</v>
      </c>
      <c r="H5363" s="76" t="s">
        <v>928</v>
      </c>
    </row>
    <row r="5364">
      <c r="A5364" s="76" t="s">
        <v>31</v>
      </c>
      <c r="B5364" s="76" t="s">
        <v>1023</v>
      </c>
      <c r="C5364" s="84">
        <v>1.72</v>
      </c>
      <c r="D5364" s="84">
        <v>0.0</v>
      </c>
      <c r="E5364" s="84">
        <v>0.0</v>
      </c>
      <c r="F5364" s="76" t="s">
        <v>1005</v>
      </c>
      <c r="G5364" s="83">
        <v>46114.0</v>
      </c>
      <c r="H5364" s="76" t="s">
        <v>929</v>
      </c>
    </row>
    <row r="5365">
      <c r="A5365" s="76" t="s">
        <v>31</v>
      </c>
      <c r="B5365" s="76" t="s">
        <v>1023</v>
      </c>
      <c r="C5365" s="84">
        <v>21.46</v>
      </c>
      <c r="D5365" s="84">
        <v>2.0</v>
      </c>
      <c r="E5365" s="84">
        <v>10.73</v>
      </c>
      <c r="F5365" s="76" t="s">
        <v>1005</v>
      </c>
      <c r="G5365" s="83">
        <v>46114.0</v>
      </c>
      <c r="H5365" s="76" t="s">
        <v>930</v>
      </c>
    </row>
    <row r="5366">
      <c r="A5366" s="76" t="s">
        <v>28</v>
      </c>
      <c r="B5366" s="76" t="s">
        <v>1023</v>
      </c>
      <c r="C5366" s="84">
        <v>0.27</v>
      </c>
      <c r="D5366" s="84">
        <v>0.0</v>
      </c>
      <c r="E5366" s="84">
        <v>0.0</v>
      </c>
      <c r="F5366" s="76" t="s">
        <v>1005</v>
      </c>
      <c r="G5366" s="83">
        <v>46114.0</v>
      </c>
      <c r="H5366" s="76" t="s">
        <v>931</v>
      </c>
    </row>
    <row r="5367">
      <c r="A5367" s="76" t="s">
        <v>28</v>
      </c>
      <c r="B5367" s="76" t="s">
        <v>1023</v>
      </c>
      <c r="C5367" s="84">
        <v>0.16</v>
      </c>
      <c r="D5367" s="84">
        <v>0.0</v>
      </c>
      <c r="E5367" s="84">
        <v>0.0</v>
      </c>
      <c r="F5367" s="76" t="s">
        <v>1005</v>
      </c>
      <c r="G5367" s="83">
        <v>46114.0</v>
      </c>
      <c r="H5367" s="76" t="s">
        <v>932</v>
      </c>
    </row>
    <row r="5368">
      <c r="A5368" s="76" t="s">
        <v>28</v>
      </c>
      <c r="B5368" s="76" t="s">
        <v>1023</v>
      </c>
      <c r="C5368" s="84">
        <v>1.67</v>
      </c>
      <c r="D5368" s="84">
        <v>0.0</v>
      </c>
      <c r="E5368" s="84">
        <v>0.0</v>
      </c>
      <c r="F5368" s="76" t="s">
        <v>1005</v>
      </c>
      <c r="G5368" s="83">
        <v>46114.0</v>
      </c>
      <c r="H5368" s="76" t="s">
        <v>933</v>
      </c>
    </row>
    <row r="5369">
      <c r="A5369" s="76" t="s">
        <v>42</v>
      </c>
      <c r="B5369" s="76" t="s">
        <v>1023</v>
      </c>
      <c r="C5369" s="84">
        <v>0.12</v>
      </c>
      <c r="D5369" s="84">
        <v>0.0</v>
      </c>
      <c r="E5369" s="84">
        <v>0.0</v>
      </c>
      <c r="F5369" s="76" t="s">
        <v>1005</v>
      </c>
      <c r="G5369" s="83">
        <v>46114.0</v>
      </c>
      <c r="H5369" s="76" t="s">
        <v>991</v>
      </c>
    </row>
    <row r="5370">
      <c r="A5370" s="76" t="s">
        <v>42</v>
      </c>
      <c r="B5370" s="76" t="s">
        <v>1023</v>
      </c>
      <c r="C5370" s="84">
        <v>0.69</v>
      </c>
      <c r="D5370" s="84">
        <v>0.0</v>
      </c>
      <c r="E5370" s="84">
        <v>0.0</v>
      </c>
      <c r="F5370" s="76" t="s">
        <v>1005</v>
      </c>
      <c r="G5370" s="83">
        <v>46114.0</v>
      </c>
      <c r="H5370" s="76" t="s">
        <v>935</v>
      </c>
    </row>
    <row r="5371">
      <c r="A5371" s="76" t="s">
        <v>45</v>
      </c>
      <c r="B5371" s="76" t="s">
        <v>1023</v>
      </c>
      <c r="C5371" s="84">
        <v>0.21</v>
      </c>
      <c r="D5371" s="84">
        <v>0.0</v>
      </c>
      <c r="E5371" s="84">
        <v>0.0</v>
      </c>
      <c r="F5371" s="76" t="s">
        <v>1005</v>
      </c>
      <c r="G5371" s="83">
        <v>46114.0</v>
      </c>
      <c r="H5371" s="76" t="s">
        <v>936</v>
      </c>
    </row>
    <row r="5372">
      <c r="A5372" s="76" t="s">
        <v>45</v>
      </c>
      <c r="B5372" s="76" t="s">
        <v>1023</v>
      </c>
      <c r="C5372" s="84">
        <v>0.2</v>
      </c>
      <c r="D5372" s="84">
        <v>0.0</v>
      </c>
      <c r="E5372" s="84">
        <v>0.0</v>
      </c>
      <c r="F5372" s="76" t="s">
        <v>1005</v>
      </c>
      <c r="G5372" s="83">
        <v>46114.0</v>
      </c>
      <c r="H5372" s="76" t="s">
        <v>937</v>
      </c>
    </row>
    <row r="5373">
      <c r="A5373" s="76" t="s">
        <v>45</v>
      </c>
      <c r="B5373" s="76" t="s">
        <v>1023</v>
      </c>
      <c r="C5373" s="84">
        <v>0.14</v>
      </c>
      <c r="D5373" s="84">
        <v>0.0</v>
      </c>
      <c r="E5373" s="84">
        <v>0.0</v>
      </c>
      <c r="F5373" s="76" t="s">
        <v>1005</v>
      </c>
      <c r="G5373" s="83">
        <v>46114.0</v>
      </c>
      <c r="H5373" s="76" t="s">
        <v>938</v>
      </c>
    </row>
    <row r="5374">
      <c r="A5374" s="76" t="s">
        <v>50</v>
      </c>
      <c r="B5374" s="76" t="s">
        <v>1023</v>
      </c>
      <c r="C5374" s="84">
        <v>0.35</v>
      </c>
      <c r="D5374" s="84">
        <v>0.0</v>
      </c>
      <c r="E5374" s="84">
        <v>0.0</v>
      </c>
      <c r="F5374" s="76" t="s">
        <v>1005</v>
      </c>
      <c r="G5374" s="83">
        <v>46114.0</v>
      </c>
      <c r="H5374" s="76" t="s">
        <v>939</v>
      </c>
    </row>
    <row r="5375">
      <c r="A5375" s="76" t="s">
        <v>50</v>
      </c>
      <c r="B5375" s="76" t="s">
        <v>1023</v>
      </c>
      <c r="C5375" s="84">
        <v>0.35</v>
      </c>
      <c r="D5375" s="84">
        <v>0.0</v>
      </c>
      <c r="E5375" s="84">
        <v>0.0</v>
      </c>
      <c r="F5375" s="76" t="s">
        <v>1005</v>
      </c>
      <c r="G5375" s="83">
        <v>46114.0</v>
      </c>
      <c r="H5375" s="76" t="s">
        <v>940</v>
      </c>
    </row>
    <row r="5376">
      <c r="A5376" s="76" t="s">
        <v>32</v>
      </c>
      <c r="B5376" s="76" t="s">
        <v>1023</v>
      </c>
      <c r="C5376" s="84">
        <v>1.46</v>
      </c>
      <c r="D5376" s="84">
        <v>0.0</v>
      </c>
      <c r="E5376" s="84">
        <v>0.0</v>
      </c>
      <c r="F5376" s="76" t="s">
        <v>1005</v>
      </c>
      <c r="G5376" s="83">
        <v>46114.0</v>
      </c>
      <c r="H5376" s="76" t="s">
        <v>941</v>
      </c>
    </row>
    <row r="5377">
      <c r="A5377" s="76" t="s">
        <v>32</v>
      </c>
      <c r="B5377" s="76" t="s">
        <v>1023</v>
      </c>
      <c r="C5377" s="84">
        <v>0.47</v>
      </c>
      <c r="D5377" s="84">
        <v>0.0</v>
      </c>
      <c r="E5377" s="84">
        <v>0.0</v>
      </c>
      <c r="F5377" s="76" t="s">
        <v>1005</v>
      </c>
      <c r="G5377" s="83">
        <v>46114.0</v>
      </c>
      <c r="H5377" s="76" t="s">
        <v>942</v>
      </c>
    </row>
    <row r="5378">
      <c r="A5378" s="76" t="s">
        <v>32</v>
      </c>
      <c r="B5378" s="76" t="s">
        <v>1023</v>
      </c>
      <c r="C5378" s="84">
        <v>4.05</v>
      </c>
      <c r="D5378" s="84">
        <v>0.0</v>
      </c>
      <c r="E5378" s="84">
        <v>0.0</v>
      </c>
      <c r="F5378" s="76" t="s">
        <v>1005</v>
      </c>
      <c r="G5378" s="83">
        <v>46114.0</v>
      </c>
      <c r="H5378" s="76" t="s">
        <v>943</v>
      </c>
    </row>
    <row r="5379">
      <c r="A5379" s="76" t="s">
        <v>944</v>
      </c>
      <c r="B5379" s="76" t="s">
        <v>1023</v>
      </c>
      <c r="C5379" s="84">
        <v>0.64</v>
      </c>
      <c r="D5379" s="84">
        <v>0.0</v>
      </c>
      <c r="E5379" s="84">
        <v>0.0</v>
      </c>
      <c r="F5379" s="76" t="s">
        <v>1005</v>
      </c>
      <c r="G5379" s="83">
        <v>46114.0</v>
      </c>
      <c r="H5379" s="76" t="s">
        <v>945</v>
      </c>
    </row>
    <row r="5380">
      <c r="A5380" s="76" t="s">
        <v>944</v>
      </c>
      <c r="B5380" s="76" t="s">
        <v>1023</v>
      </c>
      <c r="C5380" s="84">
        <v>0.12</v>
      </c>
      <c r="D5380" s="84">
        <v>0.0</v>
      </c>
      <c r="E5380" s="84">
        <v>0.0</v>
      </c>
      <c r="F5380" s="76" t="s">
        <v>1005</v>
      </c>
      <c r="G5380" s="83">
        <v>46114.0</v>
      </c>
      <c r="H5380" s="76" t="s">
        <v>946</v>
      </c>
    </row>
    <row r="5381">
      <c r="A5381" s="76" t="s">
        <v>944</v>
      </c>
      <c r="B5381" s="76" t="s">
        <v>1023</v>
      </c>
      <c r="C5381" s="84">
        <v>0.29</v>
      </c>
      <c r="D5381" s="84">
        <v>0.0</v>
      </c>
      <c r="E5381" s="84">
        <v>0.0</v>
      </c>
      <c r="F5381" s="76" t="s">
        <v>1005</v>
      </c>
      <c r="G5381" s="83">
        <v>46114.0</v>
      </c>
      <c r="H5381" s="76" t="s">
        <v>947</v>
      </c>
    </row>
    <row r="5382">
      <c r="A5382" s="76" t="s">
        <v>26</v>
      </c>
      <c r="B5382" s="76" t="s">
        <v>1023</v>
      </c>
      <c r="C5382" s="84">
        <v>0.24</v>
      </c>
      <c r="D5382" s="84">
        <v>0.0</v>
      </c>
      <c r="E5382" s="84">
        <v>0.0</v>
      </c>
      <c r="F5382" s="76" t="s">
        <v>1005</v>
      </c>
      <c r="G5382" s="83">
        <v>46114.0</v>
      </c>
      <c r="H5382" s="76" t="s">
        <v>1012</v>
      </c>
    </row>
    <row r="5383">
      <c r="A5383" s="76" t="s">
        <v>26</v>
      </c>
      <c r="B5383" s="76" t="s">
        <v>1023</v>
      </c>
      <c r="C5383" s="84">
        <v>0.28</v>
      </c>
      <c r="D5383" s="84">
        <v>0.0</v>
      </c>
      <c r="E5383" s="84">
        <v>0.0</v>
      </c>
      <c r="F5383" s="76" t="s">
        <v>1005</v>
      </c>
      <c r="G5383" s="83">
        <v>46114.0</v>
      </c>
      <c r="H5383" s="76" t="s">
        <v>1013</v>
      </c>
    </row>
    <row r="5384">
      <c r="A5384" s="76" t="s">
        <v>26</v>
      </c>
      <c r="B5384" s="76" t="s">
        <v>1023</v>
      </c>
      <c r="C5384" s="84">
        <v>1.29</v>
      </c>
      <c r="D5384" s="84">
        <v>0.0</v>
      </c>
      <c r="E5384" s="84">
        <v>0.0</v>
      </c>
      <c r="F5384" s="76" t="s">
        <v>1005</v>
      </c>
      <c r="G5384" s="83">
        <v>46114.0</v>
      </c>
      <c r="H5384" s="76" t="s">
        <v>1014</v>
      </c>
    </row>
    <row r="5385">
      <c r="A5385" s="76" t="s">
        <v>36</v>
      </c>
      <c r="B5385" s="76" t="s">
        <v>1023</v>
      </c>
      <c r="C5385" s="84">
        <v>0.4</v>
      </c>
      <c r="D5385" s="84">
        <v>0.0</v>
      </c>
      <c r="E5385" s="84">
        <v>0.0</v>
      </c>
      <c r="F5385" s="76" t="s">
        <v>996</v>
      </c>
      <c r="G5385" s="83">
        <v>46114.0</v>
      </c>
      <c r="H5385" s="76" t="s">
        <v>926</v>
      </c>
    </row>
    <row r="5386">
      <c r="A5386" s="76" t="s">
        <v>36</v>
      </c>
      <c r="B5386" s="76" t="s">
        <v>1023</v>
      </c>
      <c r="C5386" s="84">
        <v>0.06</v>
      </c>
      <c r="D5386" s="84">
        <v>0.0</v>
      </c>
      <c r="E5386" s="84">
        <v>0.0</v>
      </c>
      <c r="F5386" s="76" t="s">
        <v>996</v>
      </c>
      <c r="G5386" s="83">
        <v>46114.0</v>
      </c>
      <c r="H5386" s="76" t="s">
        <v>927</v>
      </c>
    </row>
    <row r="5387">
      <c r="A5387" s="76" t="s">
        <v>36</v>
      </c>
      <c r="B5387" s="76" t="s">
        <v>1023</v>
      </c>
      <c r="C5387" s="84">
        <v>0.08</v>
      </c>
      <c r="D5387" s="84">
        <v>0.0</v>
      </c>
      <c r="E5387" s="84">
        <v>0.0</v>
      </c>
      <c r="F5387" s="76" t="s">
        <v>996</v>
      </c>
      <c r="G5387" s="83">
        <v>46114.0</v>
      </c>
      <c r="H5387" s="76" t="s">
        <v>928</v>
      </c>
    </row>
    <row r="5388">
      <c r="A5388" s="76" t="s">
        <v>31</v>
      </c>
      <c r="B5388" s="76" t="s">
        <v>1023</v>
      </c>
      <c r="C5388" s="84">
        <v>0.98</v>
      </c>
      <c r="D5388" s="84">
        <v>0.0</v>
      </c>
      <c r="E5388" s="84">
        <v>0.0</v>
      </c>
      <c r="F5388" s="76" t="s">
        <v>996</v>
      </c>
      <c r="G5388" s="83">
        <v>46114.0</v>
      </c>
      <c r="H5388" s="76" t="s">
        <v>929</v>
      </c>
    </row>
    <row r="5389">
      <c r="A5389" s="76" t="s">
        <v>31</v>
      </c>
      <c r="B5389" s="76" t="s">
        <v>1023</v>
      </c>
      <c r="C5389" s="84">
        <v>8.96</v>
      </c>
      <c r="D5389" s="84">
        <v>0.0</v>
      </c>
      <c r="E5389" s="84">
        <v>0.0</v>
      </c>
      <c r="F5389" s="76" t="s">
        <v>996</v>
      </c>
      <c r="G5389" s="83">
        <v>46114.0</v>
      </c>
      <c r="H5389" s="76" t="s">
        <v>930</v>
      </c>
    </row>
    <row r="5390">
      <c r="A5390" s="76" t="s">
        <v>28</v>
      </c>
      <c r="B5390" s="76" t="s">
        <v>1023</v>
      </c>
      <c r="C5390" s="84">
        <v>0.04</v>
      </c>
      <c r="D5390" s="84">
        <v>0.0</v>
      </c>
      <c r="E5390" s="84">
        <v>0.0</v>
      </c>
      <c r="F5390" s="76" t="s">
        <v>996</v>
      </c>
      <c r="G5390" s="83">
        <v>46114.0</v>
      </c>
      <c r="H5390" s="76" t="s">
        <v>931</v>
      </c>
    </row>
    <row r="5391">
      <c r="A5391" s="76" t="s">
        <v>28</v>
      </c>
      <c r="B5391" s="76" t="s">
        <v>1023</v>
      </c>
      <c r="C5391" s="84">
        <v>0.03</v>
      </c>
      <c r="D5391" s="84">
        <v>0.0</v>
      </c>
      <c r="E5391" s="84">
        <v>0.0</v>
      </c>
      <c r="F5391" s="76" t="s">
        <v>996</v>
      </c>
      <c r="G5391" s="83">
        <v>46114.0</v>
      </c>
      <c r="H5391" s="76" t="s">
        <v>932</v>
      </c>
    </row>
    <row r="5392">
      <c r="A5392" s="76" t="s">
        <v>28</v>
      </c>
      <c r="B5392" s="76" t="s">
        <v>1023</v>
      </c>
      <c r="C5392" s="84">
        <v>0.41</v>
      </c>
      <c r="D5392" s="84">
        <v>0.0</v>
      </c>
      <c r="E5392" s="84">
        <v>0.0</v>
      </c>
      <c r="F5392" s="76" t="s">
        <v>996</v>
      </c>
      <c r="G5392" s="83">
        <v>46114.0</v>
      </c>
      <c r="H5392" s="76" t="s">
        <v>933</v>
      </c>
    </row>
    <row r="5393">
      <c r="A5393" s="76" t="s">
        <v>42</v>
      </c>
      <c r="B5393" s="76" t="s">
        <v>1023</v>
      </c>
      <c r="C5393" s="84">
        <v>0.06</v>
      </c>
      <c r="D5393" s="84">
        <v>0.0</v>
      </c>
      <c r="E5393" s="84">
        <v>0.0</v>
      </c>
      <c r="F5393" s="76" t="s">
        <v>996</v>
      </c>
      <c r="G5393" s="83">
        <v>46114.0</v>
      </c>
      <c r="H5393" s="76" t="s">
        <v>991</v>
      </c>
    </row>
    <row r="5394">
      <c r="A5394" s="76" t="s">
        <v>42</v>
      </c>
      <c r="B5394" s="76" t="s">
        <v>1023</v>
      </c>
      <c r="C5394" s="84">
        <v>0.11</v>
      </c>
      <c r="D5394" s="84">
        <v>0.0</v>
      </c>
      <c r="E5394" s="84">
        <v>0.0</v>
      </c>
      <c r="F5394" s="76" t="s">
        <v>996</v>
      </c>
      <c r="G5394" s="83">
        <v>46114.0</v>
      </c>
      <c r="H5394" s="76" t="s">
        <v>935</v>
      </c>
    </row>
    <row r="5395">
      <c r="A5395" s="76" t="s">
        <v>45</v>
      </c>
      <c r="B5395" s="76" t="s">
        <v>1023</v>
      </c>
      <c r="C5395" s="84">
        <v>0.08</v>
      </c>
      <c r="D5395" s="84">
        <v>0.0</v>
      </c>
      <c r="E5395" s="84">
        <v>0.0</v>
      </c>
      <c r="F5395" s="76" t="s">
        <v>996</v>
      </c>
      <c r="G5395" s="83">
        <v>46114.0</v>
      </c>
      <c r="H5395" s="76" t="s">
        <v>936</v>
      </c>
    </row>
    <row r="5396">
      <c r="A5396" s="76" t="s">
        <v>45</v>
      </c>
      <c r="B5396" s="76" t="s">
        <v>1023</v>
      </c>
      <c r="C5396" s="84">
        <v>0.06</v>
      </c>
      <c r="D5396" s="84">
        <v>0.0</v>
      </c>
      <c r="E5396" s="84">
        <v>0.0</v>
      </c>
      <c r="F5396" s="76" t="s">
        <v>996</v>
      </c>
      <c r="G5396" s="83">
        <v>46114.0</v>
      </c>
      <c r="H5396" s="76" t="s">
        <v>937</v>
      </c>
    </row>
    <row r="5397">
      <c r="A5397" s="76" t="s">
        <v>45</v>
      </c>
      <c r="B5397" s="76" t="s">
        <v>1023</v>
      </c>
      <c r="C5397" s="84">
        <v>0.07</v>
      </c>
      <c r="D5397" s="84">
        <v>0.0</v>
      </c>
      <c r="E5397" s="84">
        <v>0.0</v>
      </c>
      <c r="F5397" s="76" t="s">
        <v>996</v>
      </c>
      <c r="G5397" s="83">
        <v>46114.0</v>
      </c>
      <c r="H5397" s="76" t="s">
        <v>938</v>
      </c>
    </row>
    <row r="5398">
      <c r="A5398" s="76" t="s">
        <v>50</v>
      </c>
      <c r="B5398" s="76" t="s">
        <v>1023</v>
      </c>
      <c r="C5398" s="84">
        <v>0.15</v>
      </c>
      <c r="D5398" s="84">
        <v>0.0</v>
      </c>
      <c r="E5398" s="84">
        <v>0.0</v>
      </c>
      <c r="F5398" s="76" t="s">
        <v>996</v>
      </c>
      <c r="G5398" s="83">
        <v>46114.0</v>
      </c>
      <c r="H5398" s="76" t="s">
        <v>939</v>
      </c>
    </row>
    <row r="5399">
      <c r="A5399" s="76" t="s">
        <v>50</v>
      </c>
      <c r="B5399" s="76" t="s">
        <v>1023</v>
      </c>
      <c r="C5399" s="84">
        <v>0.05</v>
      </c>
      <c r="D5399" s="84">
        <v>0.0</v>
      </c>
      <c r="E5399" s="84">
        <v>0.0</v>
      </c>
      <c r="F5399" s="76" t="s">
        <v>996</v>
      </c>
      <c r="G5399" s="83">
        <v>46114.0</v>
      </c>
      <c r="H5399" s="76" t="s">
        <v>940</v>
      </c>
    </row>
    <row r="5400">
      <c r="A5400" s="76" t="s">
        <v>32</v>
      </c>
      <c r="B5400" s="76" t="s">
        <v>1023</v>
      </c>
      <c r="C5400" s="84">
        <v>0.54</v>
      </c>
      <c r="D5400" s="84">
        <v>0.0</v>
      </c>
      <c r="E5400" s="84">
        <v>0.0</v>
      </c>
      <c r="F5400" s="76" t="s">
        <v>996</v>
      </c>
      <c r="G5400" s="83">
        <v>46114.0</v>
      </c>
      <c r="H5400" s="76" t="s">
        <v>941</v>
      </c>
    </row>
    <row r="5401">
      <c r="A5401" s="76" t="s">
        <v>32</v>
      </c>
      <c r="B5401" s="76" t="s">
        <v>1023</v>
      </c>
      <c r="C5401" s="84">
        <v>0.3</v>
      </c>
      <c r="D5401" s="84">
        <v>0.0</v>
      </c>
      <c r="E5401" s="84">
        <v>0.0</v>
      </c>
      <c r="F5401" s="76" t="s">
        <v>996</v>
      </c>
      <c r="G5401" s="83">
        <v>46114.0</v>
      </c>
      <c r="H5401" s="76" t="s">
        <v>942</v>
      </c>
    </row>
    <row r="5402">
      <c r="A5402" s="76" t="s">
        <v>32</v>
      </c>
      <c r="B5402" s="76" t="s">
        <v>1023</v>
      </c>
      <c r="C5402" s="84">
        <v>11.51</v>
      </c>
      <c r="D5402" s="84">
        <v>0.0</v>
      </c>
      <c r="E5402" s="84">
        <v>0.0</v>
      </c>
      <c r="F5402" s="76" t="s">
        <v>996</v>
      </c>
      <c r="G5402" s="83">
        <v>46114.0</v>
      </c>
      <c r="H5402" s="76" t="s">
        <v>943</v>
      </c>
    </row>
    <row r="5403">
      <c r="A5403" s="76" t="s">
        <v>944</v>
      </c>
      <c r="B5403" s="76" t="s">
        <v>1023</v>
      </c>
      <c r="C5403" s="84">
        <v>0.43</v>
      </c>
      <c r="D5403" s="84">
        <v>0.0</v>
      </c>
      <c r="E5403" s="84">
        <v>0.0</v>
      </c>
      <c r="F5403" s="76" t="s">
        <v>996</v>
      </c>
      <c r="G5403" s="83">
        <v>46114.0</v>
      </c>
      <c r="H5403" s="76" t="s">
        <v>945</v>
      </c>
    </row>
    <row r="5404">
      <c r="A5404" s="76" t="s">
        <v>944</v>
      </c>
      <c r="B5404" s="76" t="s">
        <v>1023</v>
      </c>
      <c r="C5404" s="84">
        <v>0.03</v>
      </c>
      <c r="D5404" s="84">
        <v>0.0</v>
      </c>
      <c r="E5404" s="84">
        <v>0.0</v>
      </c>
      <c r="F5404" s="76" t="s">
        <v>996</v>
      </c>
      <c r="G5404" s="83">
        <v>46114.0</v>
      </c>
      <c r="H5404" s="76" t="s">
        <v>946</v>
      </c>
    </row>
    <row r="5405">
      <c r="A5405" s="76" t="s">
        <v>944</v>
      </c>
      <c r="B5405" s="76" t="s">
        <v>1023</v>
      </c>
      <c r="C5405" s="84">
        <v>0.11</v>
      </c>
      <c r="D5405" s="84">
        <v>0.0</v>
      </c>
      <c r="E5405" s="84">
        <v>0.0</v>
      </c>
      <c r="F5405" s="76" t="s">
        <v>996</v>
      </c>
      <c r="G5405" s="83">
        <v>46114.0</v>
      </c>
      <c r="H5405" s="76" t="s">
        <v>947</v>
      </c>
    </row>
    <row r="5406">
      <c r="A5406" s="76" t="s">
        <v>26</v>
      </c>
      <c r="B5406" s="76" t="s">
        <v>1023</v>
      </c>
      <c r="C5406" s="84">
        <v>0.07</v>
      </c>
      <c r="D5406" s="84">
        <v>0.0</v>
      </c>
      <c r="E5406" s="84">
        <v>0.0</v>
      </c>
      <c r="F5406" s="76" t="s">
        <v>996</v>
      </c>
      <c r="G5406" s="83">
        <v>46114.0</v>
      </c>
      <c r="H5406" s="76" t="s">
        <v>1012</v>
      </c>
    </row>
    <row r="5407">
      <c r="A5407" s="76" t="s">
        <v>26</v>
      </c>
      <c r="B5407" s="76" t="s">
        <v>1023</v>
      </c>
      <c r="C5407" s="84">
        <v>0.15</v>
      </c>
      <c r="D5407" s="84">
        <v>0.0</v>
      </c>
      <c r="E5407" s="84">
        <v>0.0</v>
      </c>
      <c r="F5407" s="76" t="s">
        <v>996</v>
      </c>
      <c r="G5407" s="83">
        <v>46114.0</v>
      </c>
      <c r="H5407" s="76" t="s">
        <v>1013</v>
      </c>
    </row>
    <row r="5408">
      <c r="A5408" s="76" t="s">
        <v>26</v>
      </c>
      <c r="B5408" s="76" t="s">
        <v>1023</v>
      </c>
      <c r="C5408" s="84">
        <v>0.24</v>
      </c>
      <c r="D5408" s="84">
        <v>0.0</v>
      </c>
      <c r="E5408" s="84">
        <v>0.0</v>
      </c>
      <c r="F5408" s="76" t="s">
        <v>996</v>
      </c>
      <c r="G5408" s="83">
        <v>46114.0</v>
      </c>
      <c r="H5408" s="76" t="s">
        <v>1014</v>
      </c>
    </row>
    <row r="5409">
      <c r="A5409" s="76" t="s">
        <v>36</v>
      </c>
      <c r="B5409" s="76" t="s">
        <v>1023</v>
      </c>
      <c r="C5409" s="84">
        <v>0.21</v>
      </c>
      <c r="D5409" s="84">
        <v>0.0</v>
      </c>
      <c r="E5409" s="84">
        <v>0.0</v>
      </c>
      <c r="F5409" s="76" t="s">
        <v>997</v>
      </c>
      <c r="G5409" s="83">
        <v>46114.0</v>
      </c>
      <c r="H5409" s="76" t="s">
        <v>926</v>
      </c>
    </row>
    <row r="5410">
      <c r="A5410" s="76" t="s">
        <v>36</v>
      </c>
      <c r="B5410" s="76" t="s">
        <v>1023</v>
      </c>
      <c r="C5410" s="84">
        <v>0.15</v>
      </c>
      <c r="D5410" s="84">
        <v>0.0</v>
      </c>
      <c r="E5410" s="84">
        <v>0.0</v>
      </c>
      <c r="F5410" s="76" t="s">
        <v>997</v>
      </c>
      <c r="G5410" s="83">
        <v>46114.0</v>
      </c>
      <c r="H5410" s="76" t="s">
        <v>927</v>
      </c>
    </row>
    <row r="5411">
      <c r="A5411" s="76" t="s">
        <v>36</v>
      </c>
      <c r="B5411" s="76" t="s">
        <v>1023</v>
      </c>
      <c r="C5411" s="84">
        <v>0.08</v>
      </c>
      <c r="D5411" s="84">
        <v>0.0</v>
      </c>
      <c r="E5411" s="84">
        <v>0.0</v>
      </c>
      <c r="F5411" s="76" t="s">
        <v>997</v>
      </c>
      <c r="G5411" s="83">
        <v>46114.0</v>
      </c>
      <c r="H5411" s="76" t="s">
        <v>928</v>
      </c>
    </row>
    <row r="5412">
      <c r="A5412" s="76" t="s">
        <v>31</v>
      </c>
      <c r="B5412" s="76" t="s">
        <v>1023</v>
      </c>
      <c r="C5412" s="84">
        <v>0.48</v>
      </c>
      <c r="D5412" s="84">
        <v>0.0</v>
      </c>
      <c r="E5412" s="84">
        <v>0.0</v>
      </c>
      <c r="F5412" s="76" t="s">
        <v>997</v>
      </c>
      <c r="G5412" s="83">
        <v>46114.0</v>
      </c>
      <c r="H5412" s="76" t="s">
        <v>929</v>
      </c>
    </row>
    <row r="5413">
      <c r="A5413" s="76" t="s">
        <v>31</v>
      </c>
      <c r="B5413" s="76" t="s">
        <v>1023</v>
      </c>
      <c r="C5413" s="84">
        <v>6.24</v>
      </c>
      <c r="D5413" s="84">
        <v>0.0</v>
      </c>
      <c r="E5413" s="84">
        <v>0.0</v>
      </c>
      <c r="F5413" s="76" t="s">
        <v>997</v>
      </c>
      <c r="G5413" s="83">
        <v>46114.0</v>
      </c>
      <c r="H5413" s="76" t="s">
        <v>930</v>
      </c>
    </row>
    <row r="5414">
      <c r="A5414" s="76" t="s">
        <v>28</v>
      </c>
      <c r="B5414" s="76" t="s">
        <v>1023</v>
      </c>
      <c r="C5414" s="84">
        <v>0.11</v>
      </c>
      <c r="D5414" s="84">
        <v>0.0</v>
      </c>
      <c r="E5414" s="84">
        <v>0.0</v>
      </c>
      <c r="F5414" s="76" t="s">
        <v>997</v>
      </c>
      <c r="G5414" s="83">
        <v>46114.0</v>
      </c>
      <c r="H5414" s="76" t="s">
        <v>931</v>
      </c>
    </row>
    <row r="5415">
      <c r="A5415" s="76" t="s">
        <v>28</v>
      </c>
      <c r="B5415" s="76" t="s">
        <v>1023</v>
      </c>
      <c r="C5415" s="84">
        <v>0.06</v>
      </c>
      <c r="D5415" s="84">
        <v>0.0</v>
      </c>
      <c r="E5415" s="84">
        <v>0.0</v>
      </c>
      <c r="F5415" s="76" t="s">
        <v>997</v>
      </c>
      <c r="G5415" s="83">
        <v>46114.0</v>
      </c>
      <c r="H5415" s="76" t="s">
        <v>932</v>
      </c>
    </row>
    <row r="5416">
      <c r="A5416" s="76" t="s">
        <v>28</v>
      </c>
      <c r="B5416" s="76" t="s">
        <v>1023</v>
      </c>
      <c r="C5416" s="84">
        <v>2.88</v>
      </c>
      <c r="D5416" s="84">
        <v>0.0</v>
      </c>
      <c r="E5416" s="84">
        <v>0.0</v>
      </c>
      <c r="F5416" s="76" t="s">
        <v>997</v>
      </c>
      <c r="G5416" s="83">
        <v>46114.0</v>
      </c>
      <c r="H5416" s="76" t="s">
        <v>933</v>
      </c>
    </row>
    <row r="5417">
      <c r="A5417" s="76" t="s">
        <v>42</v>
      </c>
      <c r="B5417" s="76" t="s">
        <v>1023</v>
      </c>
      <c r="C5417" s="84">
        <v>0.05</v>
      </c>
      <c r="D5417" s="84">
        <v>0.0</v>
      </c>
      <c r="E5417" s="84">
        <v>0.0</v>
      </c>
      <c r="F5417" s="76" t="s">
        <v>997</v>
      </c>
      <c r="G5417" s="83">
        <v>46114.0</v>
      </c>
      <c r="H5417" s="76" t="s">
        <v>991</v>
      </c>
    </row>
    <row r="5418">
      <c r="A5418" s="76" t="s">
        <v>42</v>
      </c>
      <c r="B5418" s="76" t="s">
        <v>1023</v>
      </c>
      <c r="C5418" s="84">
        <v>0.3</v>
      </c>
      <c r="D5418" s="84">
        <v>0.0</v>
      </c>
      <c r="E5418" s="84">
        <v>0.0</v>
      </c>
      <c r="F5418" s="76" t="s">
        <v>997</v>
      </c>
      <c r="G5418" s="83">
        <v>46114.0</v>
      </c>
      <c r="H5418" s="76" t="s">
        <v>935</v>
      </c>
    </row>
    <row r="5419">
      <c r="A5419" s="76" t="s">
        <v>45</v>
      </c>
      <c r="B5419" s="76" t="s">
        <v>1023</v>
      </c>
      <c r="C5419" s="84">
        <v>0.08</v>
      </c>
      <c r="D5419" s="84">
        <v>0.0</v>
      </c>
      <c r="E5419" s="84">
        <v>0.0</v>
      </c>
      <c r="F5419" s="76" t="s">
        <v>997</v>
      </c>
      <c r="G5419" s="83">
        <v>46114.0</v>
      </c>
      <c r="H5419" s="76" t="s">
        <v>936</v>
      </c>
    </row>
    <row r="5420">
      <c r="A5420" s="76" t="s">
        <v>45</v>
      </c>
      <c r="B5420" s="76" t="s">
        <v>1023</v>
      </c>
      <c r="C5420" s="84">
        <v>0.08</v>
      </c>
      <c r="D5420" s="84">
        <v>0.0</v>
      </c>
      <c r="E5420" s="84">
        <v>0.0</v>
      </c>
      <c r="F5420" s="76" t="s">
        <v>997</v>
      </c>
      <c r="G5420" s="83">
        <v>46114.0</v>
      </c>
      <c r="H5420" s="76" t="s">
        <v>937</v>
      </c>
    </row>
    <row r="5421">
      <c r="A5421" s="76" t="s">
        <v>45</v>
      </c>
      <c r="B5421" s="76" t="s">
        <v>1023</v>
      </c>
      <c r="C5421" s="84">
        <v>0.06</v>
      </c>
      <c r="D5421" s="84">
        <v>0.0</v>
      </c>
      <c r="E5421" s="84">
        <v>0.0</v>
      </c>
      <c r="F5421" s="76" t="s">
        <v>997</v>
      </c>
      <c r="G5421" s="83">
        <v>46114.0</v>
      </c>
      <c r="H5421" s="76" t="s">
        <v>938</v>
      </c>
    </row>
    <row r="5422">
      <c r="A5422" s="76" t="s">
        <v>50</v>
      </c>
      <c r="B5422" s="76" t="s">
        <v>1023</v>
      </c>
      <c r="C5422" s="84">
        <v>0.14</v>
      </c>
      <c r="D5422" s="84">
        <v>0.0</v>
      </c>
      <c r="E5422" s="84">
        <v>0.0</v>
      </c>
      <c r="F5422" s="76" t="s">
        <v>997</v>
      </c>
      <c r="G5422" s="83">
        <v>46114.0</v>
      </c>
      <c r="H5422" s="76" t="s">
        <v>939</v>
      </c>
    </row>
    <row r="5423">
      <c r="A5423" s="76" t="s">
        <v>50</v>
      </c>
      <c r="B5423" s="76" t="s">
        <v>1023</v>
      </c>
      <c r="C5423" s="84">
        <v>0.1</v>
      </c>
      <c r="D5423" s="84">
        <v>0.0</v>
      </c>
      <c r="E5423" s="84">
        <v>0.0</v>
      </c>
      <c r="F5423" s="76" t="s">
        <v>997</v>
      </c>
      <c r="G5423" s="83">
        <v>46114.0</v>
      </c>
      <c r="H5423" s="76" t="s">
        <v>940</v>
      </c>
    </row>
    <row r="5424">
      <c r="A5424" s="76" t="s">
        <v>32</v>
      </c>
      <c r="B5424" s="76" t="s">
        <v>1023</v>
      </c>
      <c r="C5424" s="84">
        <v>1.17</v>
      </c>
      <c r="D5424" s="84">
        <v>0.0</v>
      </c>
      <c r="E5424" s="84">
        <v>0.0</v>
      </c>
      <c r="F5424" s="76" t="s">
        <v>997</v>
      </c>
      <c r="G5424" s="83">
        <v>46114.0</v>
      </c>
      <c r="H5424" s="76" t="s">
        <v>941</v>
      </c>
    </row>
    <row r="5425">
      <c r="A5425" s="76" t="s">
        <v>32</v>
      </c>
      <c r="B5425" s="76" t="s">
        <v>1023</v>
      </c>
      <c r="C5425" s="84">
        <v>0.6</v>
      </c>
      <c r="D5425" s="84">
        <v>0.0</v>
      </c>
      <c r="E5425" s="84">
        <v>0.0</v>
      </c>
      <c r="F5425" s="76" t="s">
        <v>997</v>
      </c>
      <c r="G5425" s="83">
        <v>46114.0</v>
      </c>
      <c r="H5425" s="76" t="s">
        <v>942</v>
      </c>
    </row>
    <row r="5426">
      <c r="A5426" s="76" t="s">
        <v>32</v>
      </c>
      <c r="B5426" s="76" t="s">
        <v>1023</v>
      </c>
      <c r="C5426" s="84">
        <v>8.9</v>
      </c>
      <c r="D5426" s="84">
        <v>0.0</v>
      </c>
      <c r="E5426" s="84">
        <v>0.0</v>
      </c>
      <c r="F5426" s="76" t="s">
        <v>997</v>
      </c>
      <c r="G5426" s="83">
        <v>46114.0</v>
      </c>
      <c r="H5426" s="76" t="s">
        <v>943</v>
      </c>
    </row>
    <row r="5427">
      <c r="A5427" s="76" t="s">
        <v>944</v>
      </c>
      <c r="B5427" s="76" t="s">
        <v>1023</v>
      </c>
      <c r="C5427" s="84">
        <v>0.42</v>
      </c>
      <c r="D5427" s="84">
        <v>0.0</v>
      </c>
      <c r="E5427" s="84">
        <v>0.0</v>
      </c>
      <c r="F5427" s="76" t="s">
        <v>997</v>
      </c>
      <c r="G5427" s="83">
        <v>46114.0</v>
      </c>
      <c r="H5427" s="76" t="s">
        <v>945</v>
      </c>
    </row>
    <row r="5428">
      <c r="A5428" s="76" t="s">
        <v>944</v>
      </c>
      <c r="B5428" s="76" t="s">
        <v>1023</v>
      </c>
      <c r="C5428" s="84">
        <v>0.18</v>
      </c>
      <c r="D5428" s="84">
        <v>0.0</v>
      </c>
      <c r="E5428" s="84">
        <v>0.0</v>
      </c>
      <c r="F5428" s="76" t="s">
        <v>997</v>
      </c>
      <c r="G5428" s="83">
        <v>46114.0</v>
      </c>
      <c r="H5428" s="76" t="s">
        <v>946</v>
      </c>
    </row>
    <row r="5429">
      <c r="A5429" s="76" t="s">
        <v>944</v>
      </c>
      <c r="B5429" s="76" t="s">
        <v>1023</v>
      </c>
      <c r="C5429" s="84">
        <v>0.13</v>
      </c>
      <c r="D5429" s="84">
        <v>0.0</v>
      </c>
      <c r="E5429" s="84">
        <v>0.0</v>
      </c>
      <c r="F5429" s="76" t="s">
        <v>997</v>
      </c>
      <c r="G5429" s="83">
        <v>46114.0</v>
      </c>
      <c r="H5429" s="76" t="s">
        <v>947</v>
      </c>
    </row>
    <row r="5430">
      <c r="A5430" s="76" t="s">
        <v>26</v>
      </c>
      <c r="B5430" s="76" t="s">
        <v>1023</v>
      </c>
      <c r="C5430" s="84">
        <v>0.14</v>
      </c>
      <c r="D5430" s="84">
        <v>0.0</v>
      </c>
      <c r="E5430" s="84">
        <v>0.0</v>
      </c>
      <c r="F5430" s="76" t="s">
        <v>997</v>
      </c>
      <c r="G5430" s="83">
        <v>46114.0</v>
      </c>
      <c r="H5430" s="76" t="s">
        <v>1012</v>
      </c>
    </row>
    <row r="5431">
      <c r="A5431" s="76" t="s">
        <v>26</v>
      </c>
      <c r="B5431" s="76" t="s">
        <v>1023</v>
      </c>
      <c r="C5431" s="84">
        <v>0.12</v>
      </c>
      <c r="D5431" s="84">
        <v>0.0</v>
      </c>
      <c r="E5431" s="84">
        <v>0.0</v>
      </c>
      <c r="F5431" s="76" t="s">
        <v>997</v>
      </c>
      <c r="G5431" s="83">
        <v>46114.0</v>
      </c>
      <c r="H5431" s="76" t="s">
        <v>1013</v>
      </c>
    </row>
    <row r="5432">
      <c r="A5432" s="76" t="s">
        <v>26</v>
      </c>
      <c r="B5432" s="76" t="s">
        <v>1023</v>
      </c>
      <c r="C5432" s="84">
        <v>0.9</v>
      </c>
      <c r="D5432" s="84">
        <v>0.0</v>
      </c>
      <c r="E5432" s="84">
        <v>0.0</v>
      </c>
      <c r="F5432" s="76" t="s">
        <v>997</v>
      </c>
      <c r="G5432" s="83">
        <v>46114.0</v>
      </c>
      <c r="H5432" s="76" t="s">
        <v>1014</v>
      </c>
    </row>
    <row r="5433">
      <c r="A5433" s="76" t="s">
        <v>36</v>
      </c>
      <c r="B5433" s="76" t="s">
        <v>1023</v>
      </c>
      <c r="C5433" s="84">
        <v>0.01</v>
      </c>
      <c r="D5433" s="84">
        <v>0.0</v>
      </c>
      <c r="E5433" s="84">
        <v>0.0</v>
      </c>
      <c r="F5433" s="76" t="s">
        <v>998</v>
      </c>
      <c r="G5433" s="83">
        <v>46114.0</v>
      </c>
      <c r="H5433" s="76" t="s">
        <v>926</v>
      </c>
    </row>
    <row r="5434">
      <c r="A5434" s="76" t="s">
        <v>36</v>
      </c>
      <c r="B5434" s="76" t="s">
        <v>1023</v>
      </c>
      <c r="C5434" s="84">
        <v>0.01</v>
      </c>
      <c r="D5434" s="84">
        <v>0.0</v>
      </c>
      <c r="E5434" s="84">
        <v>0.0</v>
      </c>
      <c r="F5434" s="76" t="s">
        <v>998</v>
      </c>
      <c r="G5434" s="83">
        <v>46114.0</v>
      </c>
      <c r="H5434" s="76" t="s">
        <v>927</v>
      </c>
    </row>
    <row r="5435">
      <c r="A5435" s="76" t="s">
        <v>36</v>
      </c>
      <c r="B5435" s="76" t="s">
        <v>1023</v>
      </c>
      <c r="C5435" s="84">
        <v>0.02</v>
      </c>
      <c r="D5435" s="84">
        <v>0.0</v>
      </c>
      <c r="E5435" s="84">
        <v>0.0</v>
      </c>
      <c r="F5435" s="76" t="s">
        <v>998</v>
      </c>
      <c r="G5435" s="83">
        <v>46114.0</v>
      </c>
      <c r="H5435" s="76" t="s">
        <v>928</v>
      </c>
    </row>
    <row r="5436">
      <c r="A5436" s="76" t="s">
        <v>31</v>
      </c>
      <c r="B5436" s="76" t="s">
        <v>1023</v>
      </c>
      <c r="C5436" s="84">
        <v>0.11</v>
      </c>
      <c r="D5436" s="84">
        <v>0.0</v>
      </c>
      <c r="E5436" s="84">
        <v>0.0</v>
      </c>
      <c r="F5436" s="76" t="s">
        <v>998</v>
      </c>
      <c r="G5436" s="83">
        <v>46114.0</v>
      </c>
      <c r="H5436" s="76" t="s">
        <v>929</v>
      </c>
    </row>
    <row r="5437">
      <c r="A5437" s="76" t="s">
        <v>28</v>
      </c>
      <c r="B5437" s="76" t="s">
        <v>1023</v>
      </c>
      <c r="C5437" s="84">
        <v>0.01</v>
      </c>
      <c r="D5437" s="84">
        <v>0.0</v>
      </c>
      <c r="E5437" s="84">
        <v>0.0</v>
      </c>
      <c r="F5437" s="76" t="s">
        <v>998</v>
      </c>
      <c r="G5437" s="83">
        <v>46114.0</v>
      </c>
      <c r="H5437" s="76" t="s">
        <v>931</v>
      </c>
    </row>
    <row r="5438">
      <c r="A5438" s="76" t="s">
        <v>28</v>
      </c>
      <c r="B5438" s="76" t="s">
        <v>1023</v>
      </c>
      <c r="C5438" s="84">
        <v>0.02</v>
      </c>
      <c r="D5438" s="84">
        <v>0.0</v>
      </c>
      <c r="E5438" s="84">
        <v>0.0</v>
      </c>
      <c r="F5438" s="76" t="s">
        <v>998</v>
      </c>
      <c r="G5438" s="83">
        <v>46114.0</v>
      </c>
      <c r="H5438" s="76" t="s">
        <v>932</v>
      </c>
    </row>
    <row r="5439">
      <c r="A5439" s="76" t="s">
        <v>28</v>
      </c>
      <c r="B5439" s="76" t="s">
        <v>1023</v>
      </c>
      <c r="C5439" s="84">
        <v>0.0</v>
      </c>
      <c r="D5439" s="84">
        <v>0.0</v>
      </c>
      <c r="E5439" s="84">
        <v>0.0</v>
      </c>
      <c r="F5439" s="76" t="s">
        <v>998</v>
      </c>
      <c r="G5439" s="83">
        <v>46114.0</v>
      </c>
      <c r="H5439" s="76" t="s">
        <v>933</v>
      </c>
    </row>
    <row r="5440">
      <c r="A5440" s="76" t="s">
        <v>42</v>
      </c>
      <c r="B5440" s="76" t="s">
        <v>1023</v>
      </c>
      <c r="C5440" s="84">
        <v>0.04</v>
      </c>
      <c r="D5440" s="84">
        <v>0.0</v>
      </c>
      <c r="E5440" s="84">
        <v>0.0</v>
      </c>
      <c r="F5440" s="76" t="s">
        <v>998</v>
      </c>
      <c r="G5440" s="83">
        <v>46114.0</v>
      </c>
      <c r="H5440" s="76" t="s">
        <v>991</v>
      </c>
    </row>
    <row r="5441">
      <c r="A5441" s="76" t="s">
        <v>45</v>
      </c>
      <c r="B5441" s="76" t="s">
        <v>1023</v>
      </c>
      <c r="C5441" s="84">
        <v>0.0</v>
      </c>
      <c r="D5441" s="84">
        <v>0.0</v>
      </c>
      <c r="E5441" s="84">
        <v>0.0</v>
      </c>
      <c r="F5441" s="76" t="s">
        <v>998</v>
      </c>
      <c r="G5441" s="83">
        <v>46114.0</v>
      </c>
      <c r="H5441" s="76" t="s">
        <v>936</v>
      </c>
    </row>
    <row r="5442">
      <c r="A5442" s="76" t="s">
        <v>45</v>
      </c>
      <c r="B5442" s="76" t="s">
        <v>1023</v>
      </c>
      <c r="C5442" s="84">
        <v>0.53</v>
      </c>
      <c r="D5442" s="84">
        <v>0.0</v>
      </c>
      <c r="E5442" s="84">
        <v>0.0</v>
      </c>
      <c r="F5442" s="76" t="s">
        <v>998</v>
      </c>
      <c r="G5442" s="83">
        <v>46114.0</v>
      </c>
      <c r="H5442" s="76" t="s">
        <v>937</v>
      </c>
    </row>
    <row r="5443">
      <c r="A5443" s="76" t="s">
        <v>45</v>
      </c>
      <c r="B5443" s="76" t="s">
        <v>1023</v>
      </c>
      <c r="C5443" s="84">
        <v>0.01</v>
      </c>
      <c r="D5443" s="84">
        <v>0.0</v>
      </c>
      <c r="E5443" s="84">
        <v>0.0</v>
      </c>
      <c r="F5443" s="76" t="s">
        <v>998</v>
      </c>
      <c r="G5443" s="83">
        <v>46114.0</v>
      </c>
      <c r="H5443" s="76" t="s">
        <v>938</v>
      </c>
    </row>
    <row r="5444">
      <c r="A5444" s="76" t="s">
        <v>50</v>
      </c>
      <c r="B5444" s="76" t="s">
        <v>1023</v>
      </c>
      <c r="C5444" s="84">
        <v>0.1</v>
      </c>
      <c r="D5444" s="84">
        <v>0.0</v>
      </c>
      <c r="E5444" s="84">
        <v>0.0</v>
      </c>
      <c r="F5444" s="76" t="s">
        <v>998</v>
      </c>
      <c r="G5444" s="83">
        <v>46114.0</v>
      </c>
      <c r="H5444" s="76" t="s">
        <v>939</v>
      </c>
    </row>
    <row r="5445">
      <c r="A5445" s="76" t="s">
        <v>50</v>
      </c>
      <c r="B5445" s="76" t="s">
        <v>1023</v>
      </c>
      <c r="C5445" s="84">
        <v>0.0</v>
      </c>
      <c r="D5445" s="84">
        <v>0.0</v>
      </c>
      <c r="E5445" s="84">
        <v>0.0</v>
      </c>
      <c r="F5445" s="76" t="s">
        <v>998</v>
      </c>
      <c r="G5445" s="83">
        <v>46114.0</v>
      </c>
      <c r="H5445" s="76" t="s">
        <v>940</v>
      </c>
    </row>
    <row r="5446">
      <c r="A5446" s="76" t="s">
        <v>32</v>
      </c>
      <c r="B5446" s="76" t="s">
        <v>1023</v>
      </c>
      <c r="C5446" s="84">
        <v>0.18</v>
      </c>
      <c r="D5446" s="84">
        <v>0.0</v>
      </c>
      <c r="E5446" s="84">
        <v>0.0</v>
      </c>
      <c r="F5446" s="76" t="s">
        <v>998</v>
      </c>
      <c r="G5446" s="83">
        <v>46114.0</v>
      </c>
      <c r="H5446" s="76" t="s">
        <v>941</v>
      </c>
    </row>
    <row r="5447">
      <c r="A5447" s="76" t="s">
        <v>32</v>
      </c>
      <c r="B5447" s="76" t="s">
        <v>1023</v>
      </c>
      <c r="C5447" s="84">
        <v>0.0</v>
      </c>
      <c r="D5447" s="84">
        <v>0.0</v>
      </c>
      <c r="E5447" s="84">
        <v>0.0</v>
      </c>
      <c r="F5447" s="76" t="s">
        <v>998</v>
      </c>
      <c r="G5447" s="83">
        <v>46114.0</v>
      </c>
      <c r="H5447" s="76" t="s">
        <v>942</v>
      </c>
    </row>
    <row r="5448">
      <c r="A5448" s="76" t="s">
        <v>32</v>
      </c>
      <c r="B5448" s="76" t="s">
        <v>1023</v>
      </c>
      <c r="C5448" s="84">
        <v>0.0</v>
      </c>
      <c r="D5448" s="84">
        <v>0.0</v>
      </c>
      <c r="E5448" s="84">
        <v>0.0</v>
      </c>
      <c r="F5448" s="76" t="s">
        <v>998</v>
      </c>
      <c r="G5448" s="83">
        <v>46114.0</v>
      </c>
      <c r="H5448" s="76" t="s">
        <v>943</v>
      </c>
    </row>
    <row r="5449">
      <c r="A5449" s="76" t="s">
        <v>944</v>
      </c>
      <c r="B5449" s="76" t="s">
        <v>1023</v>
      </c>
      <c r="C5449" s="84">
        <v>0.0</v>
      </c>
      <c r="D5449" s="84">
        <v>0.0</v>
      </c>
      <c r="E5449" s="84">
        <v>0.0</v>
      </c>
      <c r="F5449" s="76" t="s">
        <v>998</v>
      </c>
      <c r="G5449" s="83">
        <v>46114.0</v>
      </c>
      <c r="H5449" s="76" t="s">
        <v>945</v>
      </c>
    </row>
    <row r="5450">
      <c r="A5450" s="76" t="s">
        <v>944</v>
      </c>
      <c r="B5450" s="76" t="s">
        <v>1023</v>
      </c>
      <c r="C5450" s="84">
        <v>0.0</v>
      </c>
      <c r="D5450" s="84">
        <v>0.0</v>
      </c>
      <c r="E5450" s="84">
        <v>0.0</v>
      </c>
      <c r="F5450" s="76" t="s">
        <v>998</v>
      </c>
      <c r="G5450" s="83">
        <v>46114.0</v>
      </c>
      <c r="H5450" s="76" t="s">
        <v>946</v>
      </c>
    </row>
    <row r="5451">
      <c r="A5451" s="76" t="s">
        <v>944</v>
      </c>
      <c r="B5451" s="76" t="s">
        <v>1023</v>
      </c>
      <c r="C5451" s="84">
        <v>0.02</v>
      </c>
      <c r="D5451" s="84">
        <v>0.0</v>
      </c>
      <c r="E5451" s="84">
        <v>0.0</v>
      </c>
      <c r="F5451" s="76" t="s">
        <v>998</v>
      </c>
      <c r="G5451" s="83">
        <v>46114.0</v>
      </c>
      <c r="H5451" s="76" t="s">
        <v>947</v>
      </c>
    </row>
    <row r="5452">
      <c r="A5452" s="76" t="s">
        <v>26</v>
      </c>
      <c r="B5452" s="76" t="s">
        <v>1023</v>
      </c>
      <c r="C5452" s="84">
        <v>0.0</v>
      </c>
      <c r="D5452" s="84">
        <v>0.0</v>
      </c>
      <c r="E5452" s="84">
        <v>0.0</v>
      </c>
      <c r="F5452" s="76" t="s">
        <v>998</v>
      </c>
      <c r="G5452" s="83">
        <v>46114.0</v>
      </c>
      <c r="H5452" s="76" t="s">
        <v>1012</v>
      </c>
    </row>
    <row r="5453">
      <c r="A5453" s="76" t="s">
        <v>26</v>
      </c>
      <c r="B5453" s="76" t="s">
        <v>1023</v>
      </c>
      <c r="C5453" s="84">
        <v>0.0</v>
      </c>
      <c r="D5453" s="84">
        <v>0.0</v>
      </c>
      <c r="E5453" s="84">
        <v>0.0</v>
      </c>
      <c r="F5453" s="76" t="s">
        <v>998</v>
      </c>
      <c r="G5453" s="83">
        <v>46114.0</v>
      </c>
      <c r="H5453" s="76" t="s">
        <v>1013</v>
      </c>
    </row>
    <row r="5454">
      <c r="A5454" s="76" t="s">
        <v>26</v>
      </c>
      <c r="B5454" s="76" t="s">
        <v>1023</v>
      </c>
      <c r="C5454" s="84">
        <v>0.12</v>
      </c>
      <c r="D5454" s="84">
        <v>0.0</v>
      </c>
      <c r="E5454" s="84">
        <v>0.0</v>
      </c>
      <c r="F5454" s="76" t="s">
        <v>998</v>
      </c>
      <c r="G5454" s="83">
        <v>46114.0</v>
      </c>
      <c r="H5454" s="76" t="s">
        <v>1014</v>
      </c>
    </row>
    <row r="5455">
      <c r="A5455" s="76" t="s">
        <v>36</v>
      </c>
      <c r="B5455" s="76" t="s">
        <v>1025</v>
      </c>
      <c r="C5455" s="84">
        <v>0.57</v>
      </c>
      <c r="D5455" s="84">
        <v>0.0</v>
      </c>
      <c r="E5455" s="84">
        <v>0.0</v>
      </c>
      <c r="F5455" s="76" t="s">
        <v>990</v>
      </c>
      <c r="G5455" s="83">
        <v>46114.0</v>
      </c>
      <c r="H5455" s="76" t="s">
        <v>926</v>
      </c>
    </row>
    <row r="5456">
      <c r="A5456" s="76" t="s">
        <v>36</v>
      </c>
      <c r="B5456" s="76" t="s">
        <v>1025</v>
      </c>
      <c r="C5456" s="84">
        <v>0.18</v>
      </c>
      <c r="D5456" s="84">
        <v>0.0</v>
      </c>
      <c r="E5456" s="84">
        <v>0.0</v>
      </c>
      <c r="F5456" s="76" t="s">
        <v>990</v>
      </c>
      <c r="G5456" s="83">
        <v>46114.0</v>
      </c>
      <c r="H5456" s="76" t="s">
        <v>927</v>
      </c>
    </row>
    <row r="5457">
      <c r="A5457" s="76" t="s">
        <v>36</v>
      </c>
      <c r="B5457" s="76" t="s">
        <v>1025</v>
      </c>
      <c r="C5457" s="84">
        <v>0.2</v>
      </c>
      <c r="D5457" s="84">
        <v>0.0</v>
      </c>
      <c r="E5457" s="84">
        <v>0.0</v>
      </c>
      <c r="F5457" s="76" t="s">
        <v>990</v>
      </c>
      <c r="G5457" s="83">
        <v>46114.0</v>
      </c>
      <c r="H5457" s="76" t="s">
        <v>928</v>
      </c>
    </row>
    <row r="5458">
      <c r="A5458" s="76" t="s">
        <v>31</v>
      </c>
      <c r="B5458" s="76" t="s">
        <v>1025</v>
      </c>
      <c r="C5458" s="84">
        <v>0.86</v>
      </c>
      <c r="D5458" s="84">
        <v>0.0</v>
      </c>
      <c r="E5458" s="84">
        <v>0.0</v>
      </c>
      <c r="F5458" s="76" t="s">
        <v>990</v>
      </c>
      <c r="G5458" s="83">
        <v>46114.0</v>
      </c>
      <c r="H5458" s="76" t="s">
        <v>929</v>
      </c>
    </row>
    <row r="5459">
      <c r="A5459" s="76" t="s">
        <v>31</v>
      </c>
      <c r="B5459" s="76" t="s">
        <v>1025</v>
      </c>
      <c r="C5459" s="84">
        <v>9.1</v>
      </c>
      <c r="D5459" s="84">
        <v>1.0</v>
      </c>
      <c r="E5459" s="84">
        <v>9.1</v>
      </c>
      <c r="F5459" s="76" t="s">
        <v>990</v>
      </c>
      <c r="G5459" s="83">
        <v>46114.0</v>
      </c>
      <c r="H5459" s="76" t="s">
        <v>930</v>
      </c>
    </row>
    <row r="5460">
      <c r="A5460" s="76" t="s">
        <v>28</v>
      </c>
      <c r="B5460" s="76" t="s">
        <v>1025</v>
      </c>
      <c r="C5460" s="84">
        <v>0.12</v>
      </c>
      <c r="D5460" s="84">
        <v>0.0</v>
      </c>
      <c r="E5460" s="84">
        <v>0.0</v>
      </c>
      <c r="F5460" s="76" t="s">
        <v>990</v>
      </c>
      <c r="G5460" s="83">
        <v>46114.0</v>
      </c>
      <c r="H5460" s="76" t="s">
        <v>931</v>
      </c>
    </row>
    <row r="5461">
      <c r="A5461" s="76" t="s">
        <v>28</v>
      </c>
      <c r="B5461" s="76" t="s">
        <v>1025</v>
      </c>
      <c r="C5461" s="84">
        <v>0.08</v>
      </c>
      <c r="D5461" s="84">
        <v>0.0</v>
      </c>
      <c r="E5461" s="84">
        <v>0.0</v>
      </c>
      <c r="F5461" s="76" t="s">
        <v>990</v>
      </c>
      <c r="G5461" s="83">
        <v>46114.0</v>
      </c>
      <c r="H5461" s="76" t="s">
        <v>932</v>
      </c>
    </row>
    <row r="5462">
      <c r="A5462" s="76" t="s">
        <v>28</v>
      </c>
      <c r="B5462" s="76" t="s">
        <v>1025</v>
      </c>
      <c r="C5462" s="84">
        <v>3.16</v>
      </c>
      <c r="D5462" s="84">
        <v>0.0</v>
      </c>
      <c r="E5462" s="84">
        <v>0.0</v>
      </c>
      <c r="F5462" s="76" t="s">
        <v>990</v>
      </c>
      <c r="G5462" s="83">
        <v>46114.0</v>
      </c>
      <c r="H5462" s="76" t="s">
        <v>933</v>
      </c>
    </row>
    <row r="5463">
      <c r="A5463" s="76" t="s">
        <v>42</v>
      </c>
      <c r="B5463" s="76" t="s">
        <v>1025</v>
      </c>
      <c r="C5463" s="84">
        <v>0.05</v>
      </c>
      <c r="D5463" s="84">
        <v>0.0</v>
      </c>
      <c r="E5463" s="84">
        <v>0.0</v>
      </c>
      <c r="F5463" s="76" t="s">
        <v>990</v>
      </c>
      <c r="G5463" s="83">
        <v>46114.0</v>
      </c>
      <c r="H5463" s="76" t="s">
        <v>991</v>
      </c>
    </row>
    <row r="5464">
      <c r="A5464" s="76" t="s">
        <v>42</v>
      </c>
      <c r="B5464" s="76" t="s">
        <v>1025</v>
      </c>
      <c r="C5464" s="84">
        <v>0.56</v>
      </c>
      <c r="D5464" s="84">
        <v>0.0</v>
      </c>
      <c r="E5464" s="84">
        <v>0.0</v>
      </c>
      <c r="F5464" s="76" t="s">
        <v>990</v>
      </c>
      <c r="G5464" s="83">
        <v>46114.0</v>
      </c>
      <c r="H5464" s="76" t="s">
        <v>935</v>
      </c>
    </row>
    <row r="5465">
      <c r="A5465" s="76" t="s">
        <v>45</v>
      </c>
      <c r="B5465" s="76" t="s">
        <v>1025</v>
      </c>
      <c r="C5465" s="84">
        <v>0.14</v>
      </c>
      <c r="D5465" s="84">
        <v>0.0</v>
      </c>
      <c r="E5465" s="84">
        <v>0.0</v>
      </c>
      <c r="F5465" s="76" t="s">
        <v>990</v>
      </c>
      <c r="G5465" s="83">
        <v>46114.0</v>
      </c>
      <c r="H5465" s="76" t="s">
        <v>936</v>
      </c>
    </row>
    <row r="5466">
      <c r="A5466" s="76" t="s">
        <v>45</v>
      </c>
      <c r="B5466" s="76" t="s">
        <v>1025</v>
      </c>
      <c r="C5466" s="84">
        <v>0.08</v>
      </c>
      <c r="D5466" s="84">
        <v>0.0</v>
      </c>
      <c r="E5466" s="84">
        <v>0.0</v>
      </c>
      <c r="F5466" s="76" t="s">
        <v>990</v>
      </c>
      <c r="G5466" s="83">
        <v>46114.0</v>
      </c>
      <c r="H5466" s="76" t="s">
        <v>937</v>
      </c>
    </row>
    <row r="5467">
      <c r="A5467" s="76" t="s">
        <v>45</v>
      </c>
      <c r="B5467" s="76" t="s">
        <v>1025</v>
      </c>
      <c r="C5467" s="84">
        <v>0.45</v>
      </c>
      <c r="D5467" s="84">
        <v>0.0</v>
      </c>
      <c r="E5467" s="84">
        <v>0.0</v>
      </c>
      <c r="F5467" s="76" t="s">
        <v>990</v>
      </c>
      <c r="G5467" s="83">
        <v>46114.0</v>
      </c>
      <c r="H5467" s="76" t="s">
        <v>938</v>
      </c>
    </row>
    <row r="5468">
      <c r="A5468" s="76" t="s">
        <v>50</v>
      </c>
      <c r="B5468" s="76" t="s">
        <v>1025</v>
      </c>
      <c r="C5468" s="84">
        <v>0.11</v>
      </c>
      <c r="D5468" s="84">
        <v>0.0</v>
      </c>
      <c r="E5468" s="84">
        <v>0.0</v>
      </c>
      <c r="F5468" s="76" t="s">
        <v>990</v>
      </c>
      <c r="G5468" s="83">
        <v>46114.0</v>
      </c>
      <c r="H5468" s="76" t="s">
        <v>939</v>
      </c>
    </row>
    <row r="5469">
      <c r="A5469" s="76" t="s">
        <v>50</v>
      </c>
      <c r="B5469" s="76" t="s">
        <v>1025</v>
      </c>
      <c r="C5469" s="84">
        <v>0.21</v>
      </c>
      <c r="D5469" s="84">
        <v>0.0</v>
      </c>
      <c r="E5469" s="84">
        <v>0.0</v>
      </c>
      <c r="F5469" s="76" t="s">
        <v>990</v>
      </c>
      <c r="G5469" s="83">
        <v>46114.0</v>
      </c>
      <c r="H5469" s="76" t="s">
        <v>940</v>
      </c>
    </row>
    <row r="5470">
      <c r="A5470" s="76" t="s">
        <v>32</v>
      </c>
      <c r="B5470" s="76" t="s">
        <v>1025</v>
      </c>
      <c r="C5470" s="84">
        <v>1.0</v>
      </c>
      <c r="D5470" s="84">
        <v>0.0</v>
      </c>
      <c r="E5470" s="84">
        <v>0.0</v>
      </c>
      <c r="F5470" s="76" t="s">
        <v>990</v>
      </c>
      <c r="G5470" s="83">
        <v>46114.0</v>
      </c>
      <c r="H5470" s="76" t="s">
        <v>941</v>
      </c>
    </row>
    <row r="5471">
      <c r="A5471" s="76" t="s">
        <v>32</v>
      </c>
      <c r="B5471" s="76" t="s">
        <v>1025</v>
      </c>
      <c r="C5471" s="84">
        <v>0.21</v>
      </c>
      <c r="D5471" s="84">
        <v>0.0</v>
      </c>
      <c r="E5471" s="84">
        <v>0.0</v>
      </c>
      <c r="F5471" s="76" t="s">
        <v>990</v>
      </c>
      <c r="G5471" s="83">
        <v>46114.0</v>
      </c>
      <c r="H5471" s="76" t="s">
        <v>942</v>
      </c>
    </row>
    <row r="5472">
      <c r="A5472" s="76" t="s">
        <v>32</v>
      </c>
      <c r="B5472" s="76" t="s">
        <v>1025</v>
      </c>
      <c r="C5472" s="84">
        <v>0.75</v>
      </c>
      <c r="D5472" s="84">
        <v>0.0</v>
      </c>
      <c r="E5472" s="84">
        <v>0.0</v>
      </c>
      <c r="F5472" s="76" t="s">
        <v>990</v>
      </c>
      <c r="G5472" s="83">
        <v>46114.0</v>
      </c>
      <c r="H5472" s="76" t="s">
        <v>943</v>
      </c>
    </row>
    <row r="5473">
      <c r="A5473" s="76" t="s">
        <v>944</v>
      </c>
      <c r="B5473" s="76" t="s">
        <v>1025</v>
      </c>
      <c r="C5473" s="84">
        <v>0.78</v>
      </c>
      <c r="D5473" s="84">
        <v>0.0</v>
      </c>
      <c r="E5473" s="84">
        <v>0.0</v>
      </c>
      <c r="F5473" s="76" t="s">
        <v>990</v>
      </c>
      <c r="G5473" s="83">
        <v>46114.0</v>
      </c>
      <c r="H5473" s="76" t="s">
        <v>945</v>
      </c>
    </row>
    <row r="5474">
      <c r="A5474" s="76" t="s">
        <v>944</v>
      </c>
      <c r="B5474" s="76" t="s">
        <v>1025</v>
      </c>
      <c r="C5474" s="84">
        <v>0.14</v>
      </c>
      <c r="D5474" s="84">
        <v>0.0</v>
      </c>
      <c r="E5474" s="84">
        <v>0.0</v>
      </c>
      <c r="F5474" s="76" t="s">
        <v>990</v>
      </c>
      <c r="G5474" s="83">
        <v>46114.0</v>
      </c>
      <c r="H5474" s="76" t="s">
        <v>946</v>
      </c>
    </row>
    <row r="5475">
      <c r="A5475" s="76" t="s">
        <v>944</v>
      </c>
      <c r="B5475" s="76" t="s">
        <v>1025</v>
      </c>
      <c r="C5475" s="84">
        <v>0.15</v>
      </c>
      <c r="D5475" s="84">
        <v>0.0</v>
      </c>
      <c r="E5475" s="84">
        <v>0.0</v>
      </c>
      <c r="F5475" s="76" t="s">
        <v>990</v>
      </c>
      <c r="G5475" s="83">
        <v>46114.0</v>
      </c>
      <c r="H5475" s="76" t="s">
        <v>947</v>
      </c>
    </row>
    <row r="5476">
      <c r="A5476" s="76" t="s">
        <v>26</v>
      </c>
      <c r="B5476" s="76" t="s">
        <v>1025</v>
      </c>
      <c r="C5476" s="84">
        <v>0.12</v>
      </c>
      <c r="D5476" s="84">
        <v>0.0</v>
      </c>
      <c r="E5476" s="84">
        <v>0.0</v>
      </c>
      <c r="F5476" s="76" t="s">
        <v>990</v>
      </c>
      <c r="G5476" s="83">
        <v>46114.0</v>
      </c>
      <c r="H5476" s="76" t="s">
        <v>1012</v>
      </c>
    </row>
    <row r="5477">
      <c r="A5477" s="76" t="s">
        <v>26</v>
      </c>
      <c r="B5477" s="76" t="s">
        <v>1025</v>
      </c>
      <c r="C5477" s="84">
        <v>0.17</v>
      </c>
      <c r="D5477" s="84">
        <v>0.0</v>
      </c>
      <c r="E5477" s="84">
        <v>0.0</v>
      </c>
      <c r="F5477" s="76" t="s">
        <v>990</v>
      </c>
      <c r="G5477" s="83">
        <v>46114.0</v>
      </c>
      <c r="H5477" s="76" t="s">
        <v>1013</v>
      </c>
    </row>
    <row r="5478">
      <c r="A5478" s="76" t="s">
        <v>26</v>
      </c>
      <c r="B5478" s="76" t="s">
        <v>1025</v>
      </c>
      <c r="C5478" s="84">
        <v>0.45</v>
      </c>
      <c r="D5478" s="84">
        <v>0.0</v>
      </c>
      <c r="E5478" s="84">
        <v>0.0</v>
      </c>
      <c r="F5478" s="76" t="s">
        <v>990</v>
      </c>
      <c r="G5478" s="83">
        <v>46114.0</v>
      </c>
      <c r="H5478" s="76" t="s">
        <v>1014</v>
      </c>
    </row>
    <row r="5479">
      <c r="A5479" s="76" t="s">
        <v>36</v>
      </c>
      <c r="B5479" s="76" t="s">
        <v>1025</v>
      </c>
      <c r="C5479" s="84">
        <v>1.19</v>
      </c>
      <c r="D5479" s="84">
        <v>0.0</v>
      </c>
      <c r="E5479" s="84">
        <v>0.0</v>
      </c>
      <c r="F5479" s="76" t="s">
        <v>993</v>
      </c>
      <c r="G5479" s="83">
        <v>46114.0</v>
      </c>
      <c r="H5479" s="76" t="s">
        <v>926</v>
      </c>
    </row>
    <row r="5480">
      <c r="A5480" s="76" t="s">
        <v>36</v>
      </c>
      <c r="B5480" s="76" t="s">
        <v>1025</v>
      </c>
      <c r="C5480" s="84">
        <v>0.16</v>
      </c>
      <c r="D5480" s="84">
        <v>0.0</v>
      </c>
      <c r="E5480" s="84">
        <v>0.0</v>
      </c>
      <c r="F5480" s="76" t="s">
        <v>993</v>
      </c>
      <c r="G5480" s="83">
        <v>46114.0</v>
      </c>
      <c r="H5480" s="76" t="s">
        <v>927</v>
      </c>
    </row>
    <row r="5481">
      <c r="A5481" s="76" t="s">
        <v>36</v>
      </c>
      <c r="B5481" s="76" t="s">
        <v>1025</v>
      </c>
      <c r="C5481" s="84">
        <v>0.09</v>
      </c>
      <c r="D5481" s="84">
        <v>0.0</v>
      </c>
      <c r="E5481" s="84">
        <v>0.0</v>
      </c>
      <c r="F5481" s="76" t="s">
        <v>993</v>
      </c>
      <c r="G5481" s="83">
        <v>46114.0</v>
      </c>
      <c r="H5481" s="76" t="s">
        <v>928</v>
      </c>
    </row>
    <row r="5482">
      <c r="A5482" s="76" t="s">
        <v>31</v>
      </c>
      <c r="B5482" s="76" t="s">
        <v>1025</v>
      </c>
      <c r="C5482" s="84">
        <v>0.67</v>
      </c>
      <c r="D5482" s="84">
        <v>0.0</v>
      </c>
      <c r="E5482" s="84">
        <v>0.0</v>
      </c>
      <c r="F5482" s="76" t="s">
        <v>993</v>
      </c>
      <c r="G5482" s="83">
        <v>46114.0</v>
      </c>
      <c r="H5482" s="76" t="s">
        <v>929</v>
      </c>
    </row>
    <row r="5483">
      <c r="A5483" s="76" t="s">
        <v>31</v>
      </c>
      <c r="B5483" s="76" t="s">
        <v>1025</v>
      </c>
      <c r="C5483" s="84">
        <v>19.19</v>
      </c>
      <c r="D5483" s="84">
        <v>0.0</v>
      </c>
      <c r="E5483" s="84">
        <v>0.0</v>
      </c>
      <c r="F5483" s="76" t="s">
        <v>993</v>
      </c>
      <c r="G5483" s="83">
        <v>46114.0</v>
      </c>
      <c r="H5483" s="76" t="s">
        <v>930</v>
      </c>
    </row>
    <row r="5484">
      <c r="A5484" s="76" t="s">
        <v>28</v>
      </c>
      <c r="B5484" s="76" t="s">
        <v>1025</v>
      </c>
      <c r="C5484" s="84">
        <v>0.2</v>
      </c>
      <c r="D5484" s="84">
        <v>0.0</v>
      </c>
      <c r="E5484" s="84">
        <v>0.0</v>
      </c>
      <c r="F5484" s="76" t="s">
        <v>993</v>
      </c>
      <c r="G5484" s="83">
        <v>46114.0</v>
      </c>
      <c r="H5484" s="76" t="s">
        <v>931</v>
      </c>
    </row>
    <row r="5485">
      <c r="A5485" s="76" t="s">
        <v>28</v>
      </c>
      <c r="B5485" s="76" t="s">
        <v>1025</v>
      </c>
      <c r="C5485" s="84">
        <v>0.09</v>
      </c>
      <c r="D5485" s="84">
        <v>0.0</v>
      </c>
      <c r="E5485" s="84">
        <v>0.0</v>
      </c>
      <c r="F5485" s="76" t="s">
        <v>993</v>
      </c>
      <c r="G5485" s="83">
        <v>46114.0</v>
      </c>
      <c r="H5485" s="76" t="s">
        <v>932</v>
      </c>
    </row>
    <row r="5486">
      <c r="A5486" s="76" t="s">
        <v>28</v>
      </c>
      <c r="B5486" s="76" t="s">
        <v>1025</v>
      </c>
      <c r="C5486" s="84">
        <v>12.58</v>
      </c>
      <c r="D5486" s="84">
        <v>0.0</v>
      </c>
      <c r="E5486" s="84">
        <v>0.0</v>
      </c>
      <c r="F5486" s="76" t="s">
        <v>993</v>
      </c>
      <c r="G5486" s="83">
        <v>46114.0</v>
      </c>
      <c r="H5486" s="76" t="s">
        <v>933</v>
      </c>
    </row>
    <row r="5487">
      <c r="A5487" s="76" t="s">
        <v>42</v>
      </c>
      <c r="B5487" s="76" t="s">
        <v>1025</v>
      </c>
      <c r="C5487" s="84">
        <v>0.03</v>
      </c>
      <c r="D5487" s="84">
        <v>0.0</v>
      </c>
      <c r="E5487" s="84">
        <v>0.0</v>
      </c>
      <c r="F5487" s="76" t="s">
        <v>993</v>
      </c>
      <c r="G5487" s="83">
        <v>46114.0</v>
      </c>
      <c r="H5487" s="76" t="s">
        <v>991</v>
      </c>
    </row>
    <row r="5488">
      <c r="A5488" s="76" t="s">
        <v>42</v>
      </c>
      <c r="B5488" s="76" t="s">
        <v>1025</v>
      </c>
      <c r="C5488" s="84">
        <v>0.39</v>
      </c>
      <c r="D5488" s="84">
        <v>0.0</v>
      </c>
      <c r="E5488" s="84">
        <v>0.0</v>
      </c>
      <c r="F5488" s="76" t="s">
        <v>993</v>
      </c>
      <c r="G5488" s="83">
        <v>46114.0</v>
      </c>
      <c r="H5488" s="76" t="s">
        <v>935</v>
      </c>
    </row>
    <row r="5489">
      <c r="A5489" s="76" t="s">
        <v>45</v>
      </c>
      <c r="B5489" s="76" t="s">
        <v>1025</v>
      </c>
      <c r="C5489" s="84">
        <v>0.08</v>
      </c>
      <c r="D5489" s="84">
        <v>0.0</v>
      </c>
      <c r="E5489" s="84">
        <v>0.0</v>
      </c>
      <c r="F5489" s="76" t="s">
        <v>993</v>
      </c>
      <c r="G5489" s="83">
        <v>46114.0</v>
      </c>
      <c r="H5489" s="76" t="s">
        <v>936</v>
      </c>
    </row>
    <row r="5490">
      <c r="A5490" s="76" t="s">
        <v>45</v>
      </c>
      <c r="B5490" s="76" t="s">
        <v>1025</v>
      </c>
      <c r="C5490" s="84">
        <v>0.05</v>
      </c>
      <c r="D5490" s="84">
        <v>0.0</v>
      </c>
      <c r="E5490" s="84">
        <v>0.0</v>
      </c>
      <c r="F5490" s="76" t="s">
        <v>993</v>
      </c>
      <c r="G5490" s="83">
        <v>46114.0</v>
      </c>
      <c r="H5490" s="76" t="s">
        <v>937</v>
      </c>
    </row>
    <row r="5491">
      <c r="A5491" s="76" t="s">
        <v>45</v>
      </c>
      <c r="B5491" s="76" t="s">
        <v>1025</v>
      </c>
      <c r="C5491" s="84">
        <v>0.13</v>
      </c>
      <c r="D5491" s="84">
        <v>0.0</v>
      </c>
      <c r="E5491" s="84">
        <v>0.0</v>
      </c>
      <c r="F5491" s="76" t="s">
        <v>993</v>
      </c>
      <c r="G5491" s="83">
        <v>46114.0</v>
      </c>
      <c r="H5491" s="76" t="s">
        <v>938</v>
      </c>
    </row>
    <row r="5492">
      <c r="A5492" s="76" t="s">
        <v>50</v>
      </c>
      <c r="B5492" s="76" t="s">
        <v>1025</v>
      </c>
      <c r="C5492" s="84">
        <v>0.14</v>
      </c>
      <c r="D5492" s="84">
        <v>0.0</v>
      </c>
      <c r="E5492" s="84">
        <v>0.0</v>
      </c>
      <c r="F5492" s="76" t="s">
        <v>993</v>
      </c>
      <c r="G5492" s="83">
        <v>46114.0</v>
      </c>
      <c r="H5492" s="76" t="s">
        <v>939</v>
      </c>
    </row>
    <row r="5493">
      <c r="A5493" s="76" t="s">
        <v>50</v>
      </c>
      <c r="B5493" s="76" t="s">
        <v>1025</v>
      </c>
      <c r="C5493" s="84">
        <v>0.19</v>
      </c>
      <c r="D5493" s="84">
        <v>0.0</v>
      </c>
      <c r="E5493" s="84">
        <v>0.0</v>
      </c>
      <c r="F5493" s="76" t="s">
        <v>993</v>
      </c>
      <c r="G5493" s="83">
        <v>46114.0</v>
      </c>
      <c r="H5493" s="76" t="s">
        <v>940</v>
      </c>
    </row>
    <row r="5494">
      <c r="A5494" s="76" t="s">
        <v>32</v>
      </c>
      <c r="B5494" s="76" t="s">
        <v>1025</v>
      </c>
      <c r="C5494" s="84">
        <v>1.31</v>
      </c>
      <c r="D5494" s="84">
        <v>0.0</v>
      </c>
      <c r="E5494" s="84">
        <v>0.0</v>
      </c>
      <c r="F5494" s="76" t="s">
        <v>993</v>
      </c>
      <c r="G5494" s="83">
        <v>46114.0</v>
      </c>
      <c r="H5494" s="76" t="s">
        <v>941</v>
      </c>
    </row>
    <row r="5495">
      <c r="A5495" s="76" t="s">
        <v>32</v>
      </c>
      <c r="B5495" s="76" t="s">
        <v>1025</v>
      </c>
      <c r="C5495" s="84">
        <v>0.43</v>
      </c>
      <c r="D5495" s="84">
        <v>0.0</v>
      </c>
      <c r="E5495" s="84">
        <v>0.0</v>
      </c>
      <c r="F5495" s="76" t="s">
        <v>993</v>
      </c>
      <c r="G5495" s="83">
        <v>46114.0</v>
      </c>
      <c r="H5495" s="76" t="s">
        <v>942</v>
      </c>
    </row>
    <row r="5496">
      <c r="A5496" s="76" t="s">
        <v>32</v>
      </c>
      <c r="B5496" s="76" t="s">
        <v>1025</v>
      </c>
      <c r="C5496" s="84">
        <v>2.84</v>
      </c>
      <c r="D5496" s="84">
        <v>0.0</v>
      </c>
      <c r="E5496" s="84">
        <v>0.0</v>
      </c>
      <c r="F5496" s="76" t="s">
        <v>993</v>
      </c>
      <c r="G5496" s="83">
        <v>46114.0</v>
      </c>
      <c r="H5496" s="76" t="s">
        <v>943</v>
      </c>
    </row>
    <row r="5497">
      <c r="A5497" s="76" t="s">
        <v>944</v>
      </c>
      <c r="B5497" s="76" t="s">
        <v>1025</v>
      </c>
      <c r="C5497" s="84">
        <v>3.88</v>
      </c>
      <c r="D5497" s="84">
        <v>0.0</v>
      </c>
      <c r="E5497" s="84">
        <v>0.0</v>
      </c>
      <c r="F5497" s="76" t="s">
        <v>993</v>
      </c>
      <c r="G5497" s="83">
        <v>46114.0</v>
      </c>
      <c r="H5497" s="76" t="s">
        <v>945</v>
      </c>
    </row>
    <row r="5498">
      <c r="A5498" s="76" t="s">
        <v>944</v>
      </c>
      <c r="B5498" s="76" t="s">
        <v>1025</v>
      </c>
      <c r="C5498" s="84">
        <v>0.19</v>
      </c>
      <c r="D5498" s="84">
        <v>0.0</v>
      </c>
      <c r="E5498" s="84">
        <v>0.0</v>
      </c>
      <c r="F5498" s="76" t="s">
        <v>993</v>
      </c>
      <c r="G5498" s="83">
        <v>46114.0</v>
      </c>
      <c r="H5498" s="76" t="s">
        <v>946</v>
      </c>
    </row>
    <row r="5499">
      <c r="A5499" s="76" t="s">
        <v>944</v>
      </c>
      <c r="B5499" s="76" t="s">
        <v>1025</v>
      </c>
      <c r="C5499" s="84">
        <v>0.38</v>
      </c>
      <c r="D5499" s="84">
        <v>0.0</v>
      </c>
      <c r="E5499" s="84">
        <v>0.0</v>
      </c>
      <c r="F5499" s="76" t="s">
        <v>993</v>
      </c>
      <c r="G5499" s="83">
        <v>46114.0</v>
      </c>
      <c r="H5499" s="76" t="s">
        <v>947</v>
      </c>
    </row>
    <row r="5500">
      <c r="A5500" s="76" t="s">
        <v>26</v>
      </c>
      <c r="B5500" s="76" t="s">
        <v>1025</v>
      </c>
      <c r="C5500" s="84">
        <v>0.11</v>
      </c>
      <c r="D5500" s="84">
        <v>0.0</v>
      </c>
      <c r="E5500" s="84">
        <v>0.0</v>
      </c>
      <c r="F5500" s="76" t="s">
        <v>993</v>
      </c>
      <c r="G5500" s="83">
        <v>46114.0</v>
      </c>
      <c r="H5500" s="76" t="s">
        <v>1012</v>
      </c>
    </row>
    <row r="5501">
      <c r="A5501" s="76" t="s">
        <v>26</v>
      </c>
      <c r="B5501" s="76" t="s">
        <v>1025</v>
      </c>
      <c r="C5501" s="84">
        <v>0.55</v>
      </c>
      <c r="D5501" s="84">
        <v>0.0</v>
      </c>
      <c r="E5501" s="84">
        <v>0.0</v>
      </c>
      <c r="F5501" s="76" t="s">
        <v>993</v>
      </c>
      <c r="G5501" s="83">
        <v>46114.0</v>
      </c>
      <c r="H5501" s="76" t="s">
        <v>1013</v>
      </c>
    </row>
    <row r="5502">
      <c r="A5502" s="76" t="s">
        <v>26</v>
      </c>
      <c r="B5502" s="76" t="s">
        <v>1025</v>
      </c>
      <c r="C5502" s="84">
        <v>1.63</v>
      </c>
      <c r="D5502" s="84">
        <v>0.0</v>
      </c>
      <c r="E5502" s="84">
        <v>0.0</v>
      </c>
      <c r="F5502" s="76" t="s">
        <v>993</v>
      </c>
      <c r="G5502" s="83">
        <v>46114.0</v>
      </c>
      <c r="H5502" s="76" t="s">
        <v>1014</v>
      </c>
    </row>
    <row r="5503">
      <c r="A5503" s="76" t="s">
        <v>36</v>
      </c>
      <c r="B5503" s="76" t="s">
        <v>1025</v>
      </c>
      <c r="C5503" s="84">
        <v>0.48</v>
      </c>
      <c r="D5503" s="84">
        <v>0.0</v>
      </c>
      <c r="E5503" s="84">
        <v>0.0</v>
      </c>
      <c r="F5503" s="76" t="s">
        <v>994</v>
      </c>
      <c r="G5503" s="83">
        <v>46114.0</v>
      </c>
      <c r="H5503" s="76" t="s">
        <v>926</v>
      </c>
    </row>
    <row r="5504">
      <c r="A5504" s="76" t="s">
        <v>36</v>
      </c>
      <c r="B5504" s="76" t="s">
        <v>1025</v>
      </c>
      <c r="C5504" s="84">
        <v>0.08</v>
      </c>
      <c r="D5504" s="84">
        <v>0.0</v>
      </c>
      <c r="E5504" s="84">
        <v>0.0</v>
      </c>
      <c r="F5504" s="76" t="s">
        <v>994</v>
      </c>
      <c r="G5504" s="83">
        <v>46114.0</v>
      </c>
      <c r="H5504" s="76" t="s">
        <v>927</v>
      </c>
    </row>
    <row r="5505">
      <c r="A5505" s="76" t="s">
        <v>36</v>
      </c>
      <c r="B5505" s="76" t="s">
        <v>1025</v>
      </c>
      <c r="C5505" s="84">
        <v>0.04</v>
      </c>
      <c r="D5505" s="84">
        <v>0.0</v>
      </c>
      <c r="E5505" s="84">
        <v>0.0</v>
      </c>
      <c r="F5505" s="76" t="s">
        <v>994</v>
      </c>
      <c r="G5505" s="83">
        <v>46114.0</v>
      </c>
      <c r="H5505" s="76" t="s">
        <v>928</v>
      </c>
    </row>
    <row r="5506">
      <c r="A5506" s="76" t="s">
        <v>31</v>
      </c>
      <c r="B5506" s="76" t="s">
        <v>1025</v>
      </c>
      <c r="C5506" s="84">
        <v>1.39</v>
      </c>
      <c r="D5506" s="84">
        <v>0.0</v>
      </c>
      <c r="E5506" s="84">
        <v>0.0</v>
      </c>
      <c r="F5506" s="76" t="s">
        <v>994</v>
      </c>
      <c r="G5506" s="83">
        <v>46114.0</v>
      </c>
      <c r="H5506" s="76" t="s">
        <v>929</v>
      </c>
    </row>
    <row r="5507">
      <c r="A5507" s="76" t="s">
        <v>31</v>
      </c>
      <c r="B5507" s="76" t="s">
        <v>1025</v>
      </c>
      <c r="C5507" s="84">
        <v>24.76</v>
      </c>
      <c r="D5507" s="84">
        <v>0.0</v>
      </c>
      <c r="E5507" s="84">
        <v>0.0</v>
      </c>
      <c r="F5507" s="76" t="s">
        <v>994</v>
      </c>
      <c r="G5507" s="83">
        <v>46114.0</v>
      </c>
      <c r="H5507" s="76" t="s">
        <v>930</v>
      </c>
    </row>
    <row r="5508">
      <c r="A5508" s="76" t="s">
        <v>28</v>
      </c>
      <c r="B5508" s="76" t="s">
        <v>1025</v>
      </c>
      <c r="C5508" s="84">
        <v>0.06</v>
      </c>
      <c r="D5508" s="84">
        <v>0.0</v>
      </c>
      <c r="E5508" s="84">
        <v>0.0</v>
      </c>
      <c r="F5508" s="76" t="s">
        <v>994</v>
      </c>
      <c r="G5508" s="83">
        <v>46114.0</v>
      </c>
      <c r="H5508" s="76" t="s">
        <v>931</v>
      </c>
    </row>
    <row r="5509">
      <c r="A5509" s="76" t="s">
        <v>28</v>
      </c>
      <c r="B5509" s="76" t="s">
        <v>1025</v>
      </c>
      <c r="C5509" s="84">
        <v>0.03</v>
      </c>
      <c r="D5509" s="84">
        <v>0.0</v>
      </c>
      <c r="E5509" s="84">
        <v>0.0</v>
      </c>
      <c r="F5509" s="76" t="s">
        <v>994</v>
      </c>
      <c r="G5509" s="83">
        <v>46114.0</v>
      </c>
      <c r="H5509" s="76" t="s">
        <v>932</v>
      </c>
    </row>
    <row r="5510">
      <c r="A5510" s="76" t="s">
        <v>28</v>
      </c>
      <c r="B5510" s="76" t="s">
        <v>1025</v>
      </c>
      <c r="C5510" s="84">
        <v>5.47</v>
      </c>
      <c r="D5510" s="84">
        <v>0.0</v>
      </c>
      <c r="E5510" s="84">
        <v>0.0</v>
      </c>
      <c r="F5510" s="76" t="s">
        <v>994</v>
      </c>
      <c r="G5510" s="83">
        <v>46114.0</v>
      </c>
      <c r="H5510" s="76" t="s">
        <v>933</v>
      </c>
    </row>
    <row r="5511">
      <c r="A5511" s="76" t="s">
        <v>42</v>
      </c>
      <c r="B5511" s="76" t="s">
        <v>1025</v>
      </c>
      <c r="C5511" s="84">
        <v>0.02</v>
      </c>
      <c r="D5511" s="84">
        <v>0.0</v>
      </c>
      <c r="E5511" s="84">
        <v>0.0</v>
      </c>
      <c r="F5511" s="76" t="s">
        <v>994</v>
      </c>
      <c r="G5511" s="83">
        <v>46114.0</v>
      </c>
      <c r="H5511" s="76" t="s">
        <v>991</v>
      </c>
    </row>
    <row r="5512">
      <c r="A5512" s="76" t="s">
        <v>42</v>
      </c>
      <c r="B5512" s="76" t="s">
        <v>1025</v>
      </c>
      <c r="C5512" s="84">
        <v>0.23</v>
      </c>
      <c r="D5512" s="84">
        <v>0.0</v>
      </c>
      <c r="E5512" s="84">
        <v>0.0</v>
      </c>
      <c r="F5512" s="76" t="s">
        <v>994</v>
      </c>
      <c r="G5512" s="83">
        <v>46114.0</v>
      </c>
      <c r="H5512" s="76" t="s">
        <v>935</v>
      </c>
    </row>
    <row r="5513">
      <c r="A5513" s="76" t="s">
        <v>45</v>
      </c>
      <c r="B5513" s="76" t="s">
        <v>1025</v>
      </c>
      <c r="C5513" s="84">
        <v>0.04</v>
      </c>
      <c r="D5513" s="84">
        <v>0.0</v>
      </c>
      <c r="E5513" s="84">
        <v>0.0</v>
      </c>
      <c r="F5513" s="76" t="s">
        <v>994</v>
      </c>
      <c r="G5513" s="83">
        <v>46114.0</v>
      </c>
      <c r="H5513" s="76" t="s">
        <v>936</v>
      </c>
    </row>
    <row r="5514">
      <c r="A5514" s="76" t="s">
        <v>45</v>
      </c>
      <c r="B5514" s="76" t="s">
        <v>1025</v>
      </c>
      <c r="C5514" s="84">
        <v>0.02</v>
      </c>
      <c r="D5514" s="84">
        <v>0.0</v>
      </c>
      <c r="E5514" s="84">
        <v>0.0</v>
      </c>
      <c r="F5514" s="76" t="s">
        <v>994</v>
      </c>
      <c r="G5514" s="83">
        <v>46114.0</v>
      </c>
      <c r="H5514" s="76" t="s">
        <v>937</v>
      </c>
    </row>
    <row r="5515">
      <c r="A5515" s="76" t="s">
        <v>45</v>
      </c>
      <c r="B5515" s="76" t="s">
        <v>1025</v>
      </c>
      <c r="C5515" s="84">
        <v>0.07</v>
      </c>
      <c r="D5515" s="84">
        <v>0.0</v>
      </c>
      <c r="E5515" s="84">
        <v>0.0</v>
      </c>
      <c r="F5515" s="76" t="s">
        <v>994</v>
      </c>
      <c r="G5515" s="83">
        <v>46114.0</v>
      </c>
      <c r="H5515" s="76" t="s">
        <v>938</v>
      </c>
    </row>
    <row r="5516">
      <c r="A5516" s="76" t="s">
        <v>50</v>
      </c>
      <c r="B5516" s="76" t="s">
        <v>1025</v>
      </c>
      <c r="C5516" s="84">
        <v>0.07</v>
      </c>
      <c r="D5516" s="84">
        <v>0.0</v>
      </c>
      <c r="E5516" s="84">
        <v>0.0</v>
      </c>
      <c r="F5516" s="76" t="s">
        <v>994</v>
      </c>
      <c r="G5516" s="83">
        <v>46114.0</v>
      </c>
      <c r="H5516" s="76" t="s">
        <v>939</v>
      </c>
    </row>
    <row r="5517">
      <c r="A5517" s="76" t="s">
        <v>50</v>
      </c>
      <c r="B5517" s="76" t="s">
        <v>1025</v>
      </c>
      <c r="C5517" s="84">
        <v>0.07</v>
      </c>
      <c r="D5517" s="84">
        <v>0.0</v>
      </c>
      <c r="E5517" s="84">
        <v>0.0</v>
      </c>
      <c r="F5517" s="76" t="s">
        <v>994</v>
      </c>
      <c r="G5517" s="83">
        <v>46114.0</v>
      </c>
      <c r="H5517" s="76" t="s">
        <v>940</v>
      </c>
    </row>
    <row r="5518">
      <c r="A5518" s="76" t="s">
        <v>32</v>
      </c>
      <c r="B5518" s="76" t="s">
        <v>1025</v>
      </c>
      <c r="C5518" s="84">
        <v>1.46</v>
      </c>
      <c r="D5518" s="84">
        <v>0.0</v>
      </c>
      <c r="E5518" s="84">
        <v>0.0</v>
      </c>
      <c r="F5518" s="76" t="s">
        <v>994</v>
      </c>
      <c r="G5518" s="83">
        <v>46114.0</v>
      </c>
      <c r="H5518" s="76" t="s">
        <v>941</v>
      </c>
    </row>
    <row r="5519">
      <c r="A5519" s="76" t="s">
        <v>32</v>
      </c>
      <c r="B5519" s="76" t="s">
        <v>1025</v>
      </c>
      <c r="C5519" s="84">
        <v>0.29</v>
      </c>
      <c r="D5519" s="84">
        <v>0.0</v>
      </c>
      <c r="E5519" s="84">
        <v>0.0</v>
      </c>
      <c r="F5519" s="76" t="s">
        <v>994</v>
      </c>
      <c r="G5519" s="83">
        <v>46114.0</v>
      </c>
      <c r="H5519" s="76" t="s">
        <v>942</v>
      </c>
    </row>
    <row r="5520">
      <c r="A5520" s="76" t="s">
        <v>32</v>
      </c>
      <c r="B5520" s="76" t="s">
        <v>1025</v>
      </c>
      <c r="C5520" s="84">
        <v>0.58</v>
      </c>
      <c r="D5520" s="84">
        <v>0.0</v>
      </c>
      <c r="E5520" s="84">
        <v>0.0</v>
      </c>
      <c r="F5520" s="76" t="s">
        <v>994</v>
      </c>
      <c r="G5520" s="83">
        <v>46114.0</v>
      </c>
      <c r="H5520" s="76" t="s">
        <v>943</v>
      </c>
    </row>
    <row r="5521">
      <c r="A5521" s="76" t="s">
        <v>944</v>
      </c>
      <c r="B5521" s="76" t="s">
        <v>1025</v>
      </c>
      <c r="C5521" s="84">
        <v>0.69</v>
      </c>
      <c r="D5521" s="84">
        <v>0.0</v>
      </c>
      <c r="E5521" s="84">
        <v>0.0</v>
      </c>
      <c r="F5521" s="76" t="s">
        <v>994</v>
      </c>
      <c r="G5521" s="83">
        <v>46114.0</v>
      </c>
      <c r="H5521" s="76" t="s">
        <v>945</v>
      </c>
    </row>
    <row r="5522">
      <c r="A5522" s="76" t="s">
        <v>944</v>
      </c>
      <c r="B5522" s="76" t="s">
        <v>1025</v>
      </c>
      <c r="C5522" s="84">
        <v>0.08</v>
      </c>
      <c r="D5522" s="84">
        <v>0.0</v>
      </c>
      <c r="E5522" s="84">
        <v>0.0</v>
      </c>
      <c r="F5522" s="76" t="s">
        <v>994</v>
      </c>
      <c r="G5522" s="83">
        <v>46114.0</v>
      </c>
      <c r="H5522" s="76" t="s">
        <v>946</v>
      </c>
    </row>
    <row r="5523">
      <c r="A5523" s="76" t="s">
        <v>944</v>
      </c>
      <c r="B5523" s="76" t="s">
        <v>1025</v>
      </c>
      <c r="C5523" s="84">
        <v>0.09</v>
      </c>
      <c r="D5523" s="84">
        <v>0.0</v>
      </c>
      <c r="E5523" s="84">
        <v>0.0</v>
      </c>
      <c r="F5523" s="76" t="s">
        <v>994</v>
      </c>
      <c r="G5523" s="83">
        <v>46114.0</v>
      </c>
      <c r="H5523" s="76" t="s">
        <v>947</v>
      </c>
    </row>
    <row r="5524">
      <c r="A5524" s="76" t="s">
        <v>26</v>
      </c>
      <c r="B5524" s="76" t="s">
        <v>1025</v>
      </c>
      <c r="C5524" s="84">
        <v>0.04</v>
      </c>
      <c r="D5524" s="84">
        <v>0.0</v>
      </c>
      <c r="E5524" s="84">
        <v>0.0</v>
      </c>
      <c r="F5524" s="76" t="s">
        <v>994</v>
      </c>
      <c r="G5524" s="83">
        <v>46114.0</v>
      </c>
      <c r="H5524" s="76" t="s">
        <v>1012</v>
      </c>
    </row>
    <row r="5525">
      <c r="A5525" s="76" t="s">
        <v>26</v>
      </c>
      <c r="B5525" s="76" t="s">
        <v>1025</v>
      </c>
      <c r="C5525" s="84">
        <v>0.04</v>
      </c>
      <c r="D5525" s="84">
        <v>0.0</v>
      </c>
      <c r="E5525" s="84">
        <v>0.0</v>
      </c>
      <c r="F5525" s="76" t="s">
        <v>994</v>
      </c>
      <c r="G5525" s="83">
        <v>46114.0</v>
      </c>
      <c r="H5525" s="76" t="s">
        <v>1013</v>
      </c>
    </row>
    <row r="5526">
      <c r="A5526" s="76" t="s">
        <v>26</v>
      </c>
      <c r="B5526" s="76" t="s">
        <v>1025</v>
      </c>
      <c r="C5526" s="84">
        <v>0.21</v>
      </c>
      <c r="D5526" s="84">
        <v>0.0</v>
      </c>
      <c r="E5526" s="84">
        <v>0.0</v>
      </c>
      <c r="F5526" s="76" t="s">
        <v>994</v>
      </c>
      <c r="G5526" s="83">
        <v>46114.0</v>
      </c>
      <c r="H5526" s="76" t="s">
        <v>1014</v>
      </c>
    </row>
    <row r="5527">
      <c r="A5527" s="76" t="s">
        <v>36</v>
      </c>
      <c r="B5527" s="76" t="s">
        <v>1025</v>
      </c>
      <c r="C5527" s="84">
        <v>0.98</v>
      </c>
      <c r="D5527" s="84">
        <v>0.0</v>
      </c>
      <c r="E5527" s="84">
        <v>0.0</v>
      </c>
      <c r="F5527" s="76" t="s">
        <v>1005</v>
      </c>
      <c r="G5527" s="83">
        <v>46114.0</v>
      </c>
      <c r="H5527" s="76" t="s">
        <v>926</v>
      </c>
    </row>
    <row r="5528">
      <c r="A5528" s="76" t="s">
        <v>36</v>
      </c>
      <c r="B5528" s="76" t="s">
        <v>1025</v>
      </c>
      <c r="C5528" s="84">
        <v>0.36</v>
      </c>
      <c r="D5528" s="84">
        <v>0.0</v>
      </c>
      <c r="E5528" s="84">
        <v>0.0</v>
      </c>
      <c r="F5528" s="76" t="s">
        <v>1005</v>
      </c>
      <c r="G5528" s="83">
        <v>46114.0</v>
      </c>
      <c r="H5528" s="76" t="s">
        <v>927</v>
      </c>
    </row>
    <row r="5529">
      <c r="A5529" s="76" t="s">
        <v>36</v>
      </c>
      <c r="B5529" s="76" t="s">
        <v>1025</v>
      </c>
      <c r="C5529" s="84">
        <v>0.16</v>
      </c>
      <c r="D5529" s="84">
        <v>0.0</v>
      </c>
      <c r="E5529" s="84">
        <v>0.0</v>
      </c>
      <c r="F5529" s="76" t="s">
        <v>1005</v>
      </c>
      <c r="G5529" s="83">
        <v>46114.0</v>
      </c>
      <c r="H5529" s="76" t="s">
        <v>928</v>
      </c>
    </row>
    <row r="5530">
      <c r="A5530" s="76" t="s">
        <v>31</v>
      </c>
      <c r="B5530" s="76" t="s">
        <v>1025</v>
      </c>
      <c r="C5530" s="84">
        <v>1.06</v>
      </c>
      <c r="D5530" s="84">
        <v>0.0</v>
      </c>
      <c r="E5530" s="84">
        <v>0.0</v>
      </c>
      <c r="F5530" s="76" t="s">
        <v>1005</v>
      </c>
      <c r="G5530" s="83">
        <v>46114.0</v>
      </c>
      <c r="H5530" s="76" t="s">
        <v>929</v>
      </c>
    </row>
    <row r="5531">
      <c r="A5531" s="76" t="s">
        <v>31</v>
      </c>
      <c r="B5531" s="76" t="s">
        <v>1025</v>
      </c>
      <c r="C5531" s="84">
        <v>16.59</v>
      </c>
      <c r="D5531" s="84">
        <v>0.0</v>
      </c>
      <c r="E5531" s="84">
        <v>0.0</v>
      </c>
      <c r="F5531" s="76" t="s">
        <v>1005</v>
      </c>
      <c r="G5531" s="83">
        <v>46114.0</v>
      </c>
      <c r="H5531" s="76" t="s">
        <v>930</v>
      </c>
    </row>
    <row r="5532">
      <c r="A5532" s="76" t="s">
        <v>28</v>
      </c>
      <c r="B5532" s="76" t="s">
        <v>1025</v>
      </c>
      <c r="C5532" s="84">
        <v>0.1</v>
      </c>
      <c r="D5532" s="84">
        <v>0.0</v>
      </c>
      <c r="E5532" s="84">
        <v>0.0</v>
      </c>
      <c r="F5532" s="76" t="s">
        <v>1005</v>
      </c>
      <c r="G5532" s="83">
        <v>46114.0</v>
      </c>
      <c r="H5532" s="76" t="s">
        <v>931</v>
      </c>
    </row>
    <row r="5533">
      <c r="A5533" s="76" t="s">
        <v>28</v>
      </c>
      <c r="B5533" s="76" t="s">
        <v>1025</v>
      </c>
      <c r="C5533" s="84">
        <v>0.18</v>
      </c>
      <c r="D5533" s="84">
        <v>0.0</v>
      </c>
      <c r="E5533" s="84">
        <v>0.0</v>
      </c>
      <c r="F5533" s="76" t="s">
        <v>1005</v>
      </c>
      <c r="G5533" s="83">
        <v>46114.0</v>
      </c>
      <c r="H5533" s="76" t="s">
        <v>932</v>
      </c>
    </row>
    <row r="5534">
      <c r="A5534" s="76" t="s">
        <v>28</v>
      </c>
      <c r="B5534" s="76" t="s">
        <v>1025</v>
      </c>
      <c r="C5534" s="84">
        <v>2.1</v>
      </c>
      <c r="D5534" s="84">
        <v>0.0</v>
      </c>
      <c r="E5534" s="84">
        <v>0.0</v>
      </c>
      <c r="F5534" s="76" t="s">
        <v>1005</v>
      </c>
      <c r="G5534" s="83">
        <v>46114.0</v>
      </c>
      <c r="H5534" s="76" t="s">
        <v>933</v>
      </c>
    </row>
    <row r="5535">
      <c r="A5535" s="76" t="s">
        <v>42</v>
      </c>
      <c r="B5535" s="76" t="s">
        <v>1025</v>
      </c>
      <c r="C5535" s="84">
        <v>0.08</v>
      </c>
      <c r="D5535" s="84">
        <v>0.0</v>
      </c>
      <c r="E5535" s="84">
        <v>0.0</v>
      </c>
      <c r="F5535" s="76" t="s">
        <v>1005</v>
      </c>
      <c r="G5535" s="83">
        <v>46114.0</v>
      </c>
      <c r="H5535" s="76" t="s">
        <v>991</v>
      </c>
    </row>
    <row r="5536">
      <c r="A5536" s="76" t="s">
        <v>42</v>
      </c>
      <c r="B5536" s="76" t="s">
        <v>1025</v>
      </c>
      <c r="C5536" s="84">
        <v>0.48</v>
      </c>
      <c r="D5536" s="84">
        <v>0.0</v>
      </c>
      <c r="E5536" s="84">
        <v>0.0</v>
      </c>
      <c r="F5536" s="76" t="s">
        <v>1005</v>
      </c>
      <c r="G5536" s="83">
        <v>46114.0</v>
      </c>
      <c r="H5536" s="76" t="s">
        <v>935</v>
      </c>
    </row>
    <row r="5537">
      <c r="A5537" s="76" t="s">
        <v>45</v>
      </c>
      <c r="B5537" s="76" t="s">
        <v>1025</v>
      </c>
      <c r="C5537" s="84">
        <v>0.23</v>
      </c>
      <c r="D5537" s="84">
        <v>0.0</v>
      </c>
      <c r="E5537" s="84">
        <v>0.0</v>
      </c>
      <c r="F5537" s="76" t="s">
        <v>1005</v>
      </c>
      <c r="G5537" s="83">
        <v>46114.0</v>
      </c>
      <c r="H5537" s="76" t="s">
        <v>936</v>
      </c>
    </row>
    <row r="5538">
      <c r="A5538" s="76" t="s">
        <v>45</v>
      </c>
      <c r="B5538" s="76" t="s">
        <v>1025</v>
      </c>
      <c r="C5538" s="84">
        <v>0.07</v>
      </c>
      <c r="D5538" s="84">
        <v>0.0</v>
      </c>
      <c r="E5538" s="84">
        <v>0.0</v>
      </c>
      <c r="F5538" s="76" t="s">
        <v>1005</v>
      </c>
      <c r="G5538" s="83">
        <v>46114.0</v>
      </c>
      <c r="H5538" s="76" t="s">
        <v>937</v>
      </c>
    </row>
    <row r="5539">
      <c r="A5539" s="76" t="s">
        <v>45</v>
      </c>
      <c r="B5539" s="76" t="s">
        <v>1025</v>
      </c>
      <c r="C5539" s="84">
        <v>0.28</v>
      </c>
      <c r="D5539" s="84">
        <v>0.0</v>
      </c>
      <c r="E5539" s="84">
        <v>0.0</v>
      </c>
      <c r="F5539" s="76" t="s">
        <v>1005</v>
      </c>
      <c r="G5539" s="83">
        <v>46114.0</v>
      </c>
      <c r="H5539" s="76" t="s">
        <v>938</v>
      </c>
    </row>
    <row r="5540">
      <c r="A5540" s="76" t="s">
        <v>50</v>
      </c>
      <c r="B5540" s="76" t="s">
        <v>1025</v>
      </c>
      <c r="C5540" s="84">
        <v>0.18</v>
      </c>
      <c r="D5540" s="84">
        <v>0.0</v>
      </c>
      <c r="E5540" s="84">
        <v>0.0</v>
      </c>
      <c r="F5540" s="76" t="s">
        <v>1005</v>
      </c>
      <c r="G5540" s="83">
        <v>46114.0</v>
      </c>
      <c r="H5540" s="76" t="s">
        <v>939</v>
      </c>
    </row>
    <row r="5541">
      <c r="A5541" s="76" t="s">
        <v>50</v>
      </c>
      <c r="B5541" s="76" t="s">
        <v>1025</v>
      </c>
      <c r="C5541" s="84">
        <v>0.12</v>
      </c>
      <c r="D5541" s="84">
        <v>0.0</v>
      </c>
      <c r="E5541" s="84">
        <v>0.0</v>
      </c>
      <c r="F5541" s="76" t="s">
        <v>1005</v>
      </c>
      <c r="G5541" s="83">
        <v>46114.0</v>
      </c>
      <c r="H5541" s="76" t="s">
        <v>940</v>
      </c>
    </row>
    <row r="5542">
      <c r="A5542" s="76" t="s">
        <v>32</v>
      </c>
      <c r="B5542" s="76" t="s">
        <v>1025</v>
      </c>
      <c r="C5542" s="84">
        <v>3.11</v>
      </c>
      <c r="D5542" s="84">
        <v>1.0</v>
      </c>
      <c r="E5542" s="84">
        <v>3.11</v>
      </c>
      <c r="F5542" s="76" t="s">
        <v>1005</v>
      </c>
      <c r="G5542" s="83">
        <v>46114.0</v>
      </c>
      <c r="H5542" s="76" t="s">
        <v>941</v>
      </c>
    </row>
    <row r="5543">
      <c r="A5543" s="76" t="s">
        <v>32</v>
      </c>
      <c r="B5543" s="76" t="s">
        <v>1025</v>
      </c>
      <c r="C5543" s="84">
        <v>0.62</v>
      </c>
      <c r="D5543" s="84">
        <v>0.0</v>
      </c>
      <c r="E5543" s="84">
        <v>0.0</v>
      </c>
      <c r="F5543" s="76" t="s">
        <v>1005</v>
      </c>
      <c r="G5543" s="83">
        <v>46114.0</v>
      </c>
      <c r="H5543" s="76" t="s">
        <v>942</v>
      </c>
    </row>
    <row r="5544">
      <c r="A5544" s="76" t="s">
        <v>32</v>
      </c>
      <c r="B5544" s="76" t="s">
        <v>1025</v>
      </c>
      <c r="C5544" s="84">
        <v>0.47</v>
      </c>
      <c r="D5544" s="84">
        <v>0.0</v>
      </c>
      <c r="E5544" s="84">
        <v>0.0</v>
      </c>
      <c r="F5544" s="76" t="s">
        <v>1005</v>
      </c>
      <c r="G5544" s="83">
        <v>46114.0</v>
      </c>
      <c r="H5544" s="76" t="s">
        <v>943</v>
      </c>
    </row>
    <row r="5545">
      <c r="A5545" s="76" t="s">
        <v>944</v>
      </c>
      <c r="B5545" s="76" t="s">
        <v>1025</v>
      </c>
      <c r="C5545" s="84">
        <v>0.85</v>
      </c>
      <c r="D5545" s="84">
        <v>0.0</v>
      </c>
      <c r="E5545" s="84">
        <v>0.0</v>
      </c>
      <c r="F5545" s="76" t="s">
        <v>1005</v>
      </c>
      <c r="G5545" s="83">
        <v>46114.0</v>
      </c>
      <c r="H5545" s="76" t="s">
        <v>945</v>
      </c>
    </row>
    <row r="5546">
      <c r="A5546" s="76" t="s">
        <v>944</v>
      </c>
      <c r="B5546" s="76" t="s">
        <v>1025</v>
      </c>
      <c r="C5546" s="84">
        <v>0.08</v>
      </c>
      <c r="D5546" s="84">
        <v>0.0</v>
      </c>
      <c r="E5546" s="84">
        <v>0.0</v>
      </c>
      <c r="F5546" s="76" t="s">
        <v>1005</v>
      </c>
      <c r="G5546" s="83">
        <v>46114.0</v>
      </c>
      <c r="H5546" s="76" t="s">
        <v>946</v>
      </c>
    </row>
    <row r="5547">
      <c r="A5547" s="76" t="s">
        <v>944</v>
      </c>
      <c r="B5547" s="76" t="s">
        <v>1025</v>
      </c>
      <c r="C5547" s="84">
        <v>0.24</v>
      </c>
      <c r="D5547" s="84">
        <v>0.0</v>
      </c>
      <c r="E5547" s="84">
        <v>0.0</v>
      </c>
      <c r="F5547" s="76" t="s">
        <v>1005</v>
      </c>
      <c r="G5547" s="83">
        <v>46114.0</v>
      </c>
      <c r="H5547" s="76" t="s">
        <v>947</v>
      </c>
    </row>
    <row r="5548">
      <c r="A5548" s="76" t="s">
        <v>26</v>
      </c>
      <c r="B5548" s="76" t="s">
        <v>1025</v>
      </c>
      <c r="C5548" s="84">
        <v>0.15</v>
      </c>
      <c r="D5548" s="84">
        <v>0.0</v>
      </c>
      <c r="E5548" s="84">
        <v>0.0</v>
      </c>
      <c r="F5548" s="76" t="s">
        <v>1005</v>
      </c>
      <c r="G5548" s="83">
        <v>46114.0</v>
      </c>
      <c r="H5548" s="76" t="s">
        <v>1012</v>
      </c>
    </row>
    <row r="5549">
      <c r="A5549" s="76" t="s">
        <v>26</v>
      </c>
      <c r="B5549" s="76" t="s">
        <v>1025</v>
      </c>
      <c r="C5549" s="84">
        <v>0.14</v>
      </c>
      <c r="D5549" s="84">
        <v>0.0</v>
      </c>
      <c r="E5549" s="84">
        <v>0.0</v>
      </c>
      <c r="F5549" s="76" t="s">
        <v>1005</v>
      </c>
      <c r="G5549" s="83">
        <v>46114.0</v>
      </c>
      <c r="H5549" s="76" t="s">
        <v>1013</v>
      </c>
    </row>
    <row r="5550">
      <c r="A5550" s="76" t="s">
        <v>26</v>
      </c>
      <c r="B5550" s="76" t="s">
        <v>1025</v>
      </c>
      <c r="C5550" s="84">
        <v>1.13</v>
      </c>
      <c r="D5550" s="84">
        <v>0.0</v>
      </c>
      <c r="E5550" s="84">
        <v>0.0</v>
      </c>
      <c r="F5550" s="76" t="s">
        <v>1005</v>
      </c>
      <c r="G5550" s="83">
        <v>46114.0</v>
      </c>
      <c r="H5550" s="76" t="s">
        <v>1014</v>
      </c>
    </row>
    <row r="5551">
      <c r="A5551" s="76" t="s">
        <v>36</v>
      </c>
      <c r="B5551" s="76" t="s">
        <v>1025</v>
      </c>
      <c r="C5551" s="84">
        <v>2.91</v>
      </c>
      <c r="D5551" s="84">
        <v>0.0</v>
      </c>
      <c r="E5551" s="84">
        <v>0.0</v>
      </c>
      <c r="F5551" s="76" t="s">
        <v>996</v>
      </c>
      <c r="G5551" s="83">
        <v>46114.0</v>
      </c>
      <c r="H5551" s="76" t="s">
        <v>926</v>
      </c>
    </row>
    <row r="5552">
      <c r="A5552" s="76" t="s">
        <v>36</v>
      </c>
      <c r="B5552" s="76" t="s">
        <v>1025</v>
      </c>
      <c r="C5552" s="84">
        <v>0.31</v>
      </c>
      <c r="D5552" s="84">
        <v>0.0</v>
      </c>
      <c r="E5552" s="84">
        <v>0.0</v>
      </c>
      <c r="F5552" s="76" t="s">
        <v>996</v>
      </c>
      <c r="G5552" s="83">
        <v>46114.0</v>
      </c>
      <c r="H5552" s="76" t="s">
        <v>927</v>
      </c>
    </row>
    <row r="5553">
      <c r="A5553" s="76" t="s">
        <v>36</v>
      </c>
      <c r="B5553" s="76" t="s">
        <v>1025</v>
      </c>
      <c r="C5553" s="84">
        <v>0.17</v>
      </c>
      <c r="D5553" s="84">
        <v>0.0</v>
      </c>
      <c r="E5553" s="84">
        <v>0.0</v>
      </c>
      <c r="F5553" s="76" t="s">
        <v>996</v>
      </c>
      <c r="G5553" s="83">
        <v>46114.0</v>
      </c>
      <c r="H5553" s="76" t="s">
        <v>928</v>
      </c>
    </row>
    <row r="5554">
      <c r="A5554" s="76" t="s">
        <v>31</v>
      </c>
      <c r="B5554" s="76" t="s">
        <v>1025</v>
      </c>
      <c r="C5554" s="84">
        <v>1.37</v>
      </c>
      <c r="D5554" s="84">
        <v>0.0</v>
      </c>
      <c r="E5554" s="84">
        <v>0.0</v>
      </c>
      <c r="F5554" s="76" t="s">
        <v>996</v>
      </c>
      <c r="G5554" s="83">
        <v>46114.0</v>
      </c>
      <c r="H5554" s="76" t="s">
        <v>929</v>
      </c>
    </row>
    <row r="5555">
      <c r="A5555" s="76" t="s">
        <v>31</v>
      </c>
      <c r="B5555" s="76" t="s">
        <v>1025</v>
      </c>
      <c r="C5555" s="84">
        <v>22.35</v>
      </c>
      <c r="D5555" s="84">
        <v>0.0</v>
      </c>
      <c r="E5555" s="84">
        <v>0.0</v>
      </c>
      <c r="F5555" s="76" t="s">
        <v>996</v>
      </c>
      <c r="G5555" s="83">
        <v>46114.0</v>
      </c>
      <c r="H5555" s="76" t="s">
        <v>930</v>
      </c>
    </row>
    <row r="5556">
      <c r="A5556" s="76" t="s">
        <v>28</v>
      </c>
      <c r="B5556" s="76" t="s">
        <v>1025</v>
      </c>
      <c r="C5556" s="84">
        <v>0.13</v>
      </c>
      <c r="D5556" s="84">
        <v>0.0</v>
      </c>
      <c r="E5556" s="84">
        <v>0.0</v>
      </c>
      <c r="F5556" s="76" t="s">
        <v>996</v>
      </c>
      <c r="G5556" s="83">
        <v>46114.0</v>
      </c>
      <c r="H5556" s="76" t="s">
        <v>931</v>
      </c>
    </row>
    <row r="5557">
      <c r="A5557" s="76" t="s">
        <v>28</v>
      </c>
      <c r="B5557" s="76" t="s">
        <v>1025</v>
      </c>
      <c r="C5557" s="84">
        <v>0.07</v>
      </c>
      <c r="D5557" s="84">
        <v>0.0</v>
      </c>
      <c r="E5557" s="84">
        <v>0.0</v>
      </c>
      <c r="F5557" s="76" t="s">
        <v>996</v>
      </c>
      <c r="G5557" s="83">
        <v>46114.0</v>
      </c>
      <c r="H5557" s="76" t="s">
        <v>932</v>
      </c>
    </row>
    <row r="5558">
      <c r="A5558" s="76" t="s">
        <v>28</v>
      </c>
      <c r="B5558" s="76" t="s">
        <v>1025</v>
      </c>
      <c r="C5558" s="84">
        <v>10.77</v>
      </c>
      <c r="D5558" s="84">
        <v>0.0</v>
      </c>
      <c r="E5558" s="84">
        <v>0.0</v>
      </c>
      <c r="F5558" s="76" t="s">
        <v>996</v>
      </c>
      <c r="G5558" s="83">
        <v>46114.0</v>
      </c>
      <c r="H5558" s="76" t="s">
        <v>933</v>
      </c>
    </row>
    <row r="5559">
      <c r="A5559" s="76" t="s">
        <v>42</v>
      </c>
      <c r="B5559" s="76" t="s">
        <v>1025</v>
      </c>
      <c r="C5559" s="84">
        <v>0.03</v>
      </c>
      <c r="D5559" s="84">
        <v>0.0</v>
      </c>
      <c r="E5559" s="84">
        <v>0.0</v>
      </c>
      <c r="F5559" s="76" t="s">
        <v>996</v>
      </c>
      <c r="G5559" s="83">
        <v>46114.0</v>
      </c>
      <c r="H5559" s="76" t="s">
        <v>991</v>
      </c>
    </row>
    <row r="5560">
      <c r="A5560" s="76" t="s">
        <v>42</v>
      </c>
      <c r="B5560" s="76" t="s">
        <v>1025</v>
      </c>
      <c r="C5560" s="84">
        <v>0.33</v>
      </c>
      <c r="D5560" s="84">
        <v>0.0</v>
      </c>
      <c r="E5560" s="84">
        <v>0.0</v>
      </c>
      <c r="F5560" s="76" t="s">
        <v>996</v>
      </c>
      <c r="G5560" s="83">
        <v>46114.0</v>
      </c>
      <c r="H5560" s="76" t="s">
        <v>935</v>
      </c>
    </row>
    <row r="5561">
      <c r="A5561" s="76" t="s">
        <v>45</v>
      </c>
      <c r="B5561" s="76" t="s">
        <v>1025</v>
      </c>
      <c r="C5561" s="84">
        <v>0.05</v>
      </c>
      <c r="D5561" s="84">
        <v>0.0</v>
      </c>
      <c r="E5561" s="84">
        <v>0.0</v>
      </c>
      <c r="F5561" s="76" t="s">
        <v>996</v>
      </c>
      <c r="G5561" s="83">
        <v>46114.0</v>
      </c>
      <c r="H5561" s="76" t="s">
        <v>936</v>
      </c>
    </row>
    <row r="5562">
      <c r="A5562" s="76" t="s">
        <v>45</v>
      </c>
      <c r="B5562" s="76" t="s">
        <v>1025</v>
      </c>
      <c r="C5562" s="84">
        <v>0.04</v>
      </c>
      <c r="D5562" s="84">
        <v>0.0</v>
      </c>
      <c r="E5562" s="84">
        <v>0.0</v>
      </c>
      <c r="F5562" s="76" t="s">
        <v>996</v>
      </c>
      <c r="G5562" s="83">
        <v>46114.0</v>
      </c>
      <c r="H5562" s="76" t="s">
        <v>937</v>
      </c>
    </row>
    <row r="5563">
      <c r="A5563" s="76" t="s">
        <v>45</v>
      </c>
      <c r="B5563" s="76" t="s">
        <v>1025</v>
      </c>
      <c r="C5563" s="84">
        <v>0.11</v>
      </c>
      <c r="D5563" s="84">
        <v>0.0</v>
      </c>
      <c r="E5563" s="84">
        <v>0.0</v>
      </c>
      <c r="F5563" s="76" t="s">
        <v>996</v>
      </c>
      <c r="G5563" s="83">
        <v>46114.0</v>
      </c>
      <c r="H5563" s="76" t="s">
        <v>938</v>
      </c>
    </row>
    <row r="5564">
      <c r="A5564" s="76" t="s">
        <v>50</v>
      </c>
      <c r="B5564" s="76" t="s">
        <v>1025</v>
      </c>
      <c r="C5564" s="84">
        <v>0.11</v>
      </c>
      <c r="D5564" s="84">
        <v>0.0</v>
      </c>
      <c r="E5564" s="84">
        <v>0.0</v>
      </c>
      <c r="F5564" s="76" t="s">
        <v>996</v>
      </c>
      <c r="G5564" s="83">
        <v>46114.0</v>
      </c>
      <c r="H5564" s="76" t="s">
        <v>939</v>
      </c>
    </row>
    <row r="5565">
      <c r="A5565" s="76" t="s">
        <v>50</v>
      </c>
      <c r="B5565" s="76" t="s">
        <v>1025</v>
      </c>
      <c r="C5565" s="84">
        <v>0.07</v>
      </c>
      <c r="D5565" s="84">
        <v>0.0</v>
      </c>
      <c r="E5565" s="84">
        <v>0.0</v>
      </c>
      <c r="F5565" s="76" t="s">
        <v>996</v>
      </c>
      <c r="G5565" s="83">
        <v>46114.0</v>
      </c>
      <c r="H5565" s="76" t="s">
        <v>940</v>
      </c>
    </row>
    <row r="5566">
      <c r="A5566" s="76" t="s">
        <v>32</v>
      </c>
      <c r="B5566" s="76" t="s">
        <v>1025</v>
      </c>
      <c r="C5566" s="84">
        <v>0.36</v>
      </c>
      <c r="D5566" s="84">
        <v>0.0</v>
      </c>
      <c r="E5566" s="84">
        <v>0.0</v>
      </c>
      <c r="F5566" s="76" t="s">
        <v>996</v>
      </c>
      <c r="G5566" s="83">
        <v>46114.0</v>
      </c>
      <c r="H5566" s="76" t="s">
        <v>941</v>
      </c>
    </row>
    <row r="5567">
      <c r="A5567" s="76" t="s">
        <v>32</v>
      </c>
      <c r="B5567" s="76" t="s">
        <v>1025</v>
      </c>
      <c r="C5567" s="84">
        <v>0.21</v>
      </c>
      <c r="D5567" s="84">
        <v>0.0</v>
      </c>
      <c r="E5567" s="84">
        <v>0.0</v>
      </c>
      <c r="F5567" s="76" t="s">
        <v>996</v>
      </c>
      <c r="G5567" s="83">
        <v>46114.0</v>
      </c>
      <c r="H5567" s="76" t="s">
        <v>942</v>
      </c>
    </row>
    <row r="5568">
      <c r="A5568" s="76" t="s">
        <v>32</v>
      </c>
      <c r="B5568" s="76" t="s">
        <v>1025</v>
      </c>
      <c r="C5568" s="84">
        <v>0.35</v>
      </c>
      <c r="D5568" s="84">
        <v>0.0</v>
      </c>
      <c r="E5568" s="84">
        <v>0.0</v>
      </c>
      <c r="F5568" s="76" t="s">
        <v>996</v>
      </c>
      <c r="G5568" s="83">
        <v>46114.0</v>
      </c>
      <c r="H5568" s="76" t="s">
        <v>943</v>
      </c>
    </row>
    <row r="5569">
      <c r="A5569" s="76" t="s">
        <v>944</v>
      </c>
      <c r="B5569" s="76" t="s">
        <v>1025</v>
      </c>
      <c r="C5569" s="84">
        <v>1.47</v>
      </c>
      <c r="D5569" s="84">
        <v>0.0</v>
      </c>
      <c r="E5569" s="84">
        <v>0.0</v>
      </c>
      <c r="F5569" s="76" t="s">
        <v>996</v>
      </c>
      <c r="G5569" s="83">
        <v>46114.0</v>
      </c>
      <c r="H5569" s="76" t="s">
        <v>945</v>
      </c>
    </row>
    <row r="5570">
      <c r="A5570" s="76" t="s">
        <v>944</v>
      </c>
      <c r="B5570" s="76" t="s">
        <v>1025</v>
      </c>
      <c r="C5570" s="84">
        <v>0.11</v>
      </c>
      <c r="D5570" s="84">
        <v>0.0</v>
      </c>
      <c r="E5570" s="84">
        <v>0.0</v>
      </c>
      <c r="F5570" s="76" t="s">
        <v>996</v>
      </c>
      <c r="G5570" s="83">
        <v>46114.0</v>
      </c>
      <c r="H5570" s="76" t="s">
        <v>946</v>
      </c>
    </row>
    <row r="5571">
      <c r="A5571" s="76" t="s">
        <v>944</v>
      </c>
      <c r="B5571" s="76" t="s">
        <v>1025</v>
      </c>
      <c r="C5571" s="84">
        <v>0.16</v>
      </c>
      <c r="D5571" s="84">
        <v>0.0</v>
      </c>
      <c r="E5571" s="84">
        <v>0.0</v>
      </c>
      <c r="F5571" s="76" t="s">
        <v>996</v>
      </c>
      <c r="G5571" s="83">
        <v>46114.0</v>
      </c>
      <c r="H5571" s="76" t="s">
        <v>947</v>
      </c>
    </row>
    <row r="5572">
      <c r="A5572" s="76" t="s">
        <v>26</v>
      </c>
      <c r="B5572" s="76" t="s">
        <v>1025</v>
      </c>
      <c r="C5572" s="84">
        <v>0.11</v>
      </c>
      <c r="D5572" s="84">
        <v>0.0</v>
      </c>
      <c r="E5572" s="84">
        <v>0.0</v>
      </c>
      <c r="F5572" s="76" t="s">
        <v>996</v>
      </c>
      <c r="G5572" s="83">
        <v>46114.0</v>
      </c>
      <c r="H5572" s="76" t="s">
        <v>1012</v>
      </c>
    </row>
    <row r="5573">
      <c r="A5573" s="76" t="s">
        <v>26</v>
      </c>
      <c r="B5573" s="76" t="s">
        <v>1025</v>
      </c>
      <c r="C5573" s="84">
        <v>0.21</v>
      </c>
      <c r="D5573" s="84">
        <v>0.0</v>
      </c>
      <c r="E5573" s="84">
        <v>0.0</v>
      </c>
      <c r="F5573" s="76" t="s">
        <v>996</v>
      </c>
      <c r="G5573" s="83">
        <v>46114.0</v>
      </c>
      <c r="H5573" s="76" t="s">
        <v>1013</v>
      </c>
    </row>
    <row r="5574">
      <c r="A5574" s="76" t="s">
        <v>26</v>
      </c>
      <c r="B5574" s="76" t="s">
        <v>1025</v>
      </c>
      <c r="C5574" s="84">
        <v>1.24</v>
      </c>
      <c r="D5574" s="84">
        <v>0.0</v>
      </c>
      <c r="E5574" s="84">
        <v>0.0</v>
      </c>
      <c r="F5574" s="76" t="s">
        <v>996</v>
      </c>
      <c r="G5574" s="83">
        <v>46114.0</v>
      </c>
      <c r="H5574" s="76" t="s">
        <v>1014</v>
      </c>
    </row>
    <row r="5575">
      <c r="A5575" s="76" t="s">
        <v>36</v>
      </c>
      <c r="B5575" s="76" t="s">
        <v>1025</v>
      </c>
      <c r="C5575" s="84">
        <v>5.93</v>
      </c>
      <c r="D5575" s="84">
        <v>0.0</v>
      </c>
      <c r="E5575" s="84">
        <v>0.0</v>
      </c>
      <c r="F5575" s="76" t="s">
        <v>997</v>
      </c>
      <c r="G5575" s="83">
        <v>46114.0</v>
      </c>
      <c r="H5575" s="76" t="s">
        <v>926</v>
      </c>
    </row>
    <row r="5576">
      <c r="A5576" s="76" t="s">
        <v>36</v>
      </c>
      <c r="B5576" s="76" t="s">
        <v>1025</v>
      </c>
      <c r="C5576" s="84">
        <v>0.6</v>
      </c>
      <c r="D5576" s="84">
        <v>0.0</v>
      </c>
      <c r="E5576" s="84">
        <v>0.0</v>
      </c>
      <c r="F5576" s="76" t="s">
        <v>997</v>
      </c>
      <c r="G5576" s="83">
        <v>46114.0</v>
      </c>
      <c r="H5576" s="76" t="s">
        <v>927</v>
      </c>
    </row>
    <row r="5577">
      <c r="A5577" s="76" t="s">
        <v>36</v>
      </c>
      <c r="B5577" s="76" t="s">
        <v>1025</v>
      </c>
      <c r="C5577" s="84">
        <v>0.16</v>
      </c>
      <c r="D5577" s="84">
        <v>0.0</v>
      </c>
      <c r="E5577" s="84">
        <v>0.0</v>
      </c>
      <c r="F5577" s="76" t="s">
        <v>997</v>
      </c>
      <c r="G5577" s="83">
        <v>46114.0</v>
      </c>
      <c r="H5577" s="76" t="s">
        <v>928</v>
      </c>
    </row>
    <row r="5578">
      <c r="A5578" s="76" t="s">
        <v>31</v>
      </c>
      <c r="B5578" s="76" t="s">
        <v>1025</v>
      </c>
      <c r="C5578" s="84">
        <v>1.36</v>
      </c>
      <c r="D5578" s="84">
        <v>0.0</v>
      </c>
      <c r="E5578" s="84">
        <v>0.0</v>
      </c>
      <c r="F5578" s="76" t="s">
        <v>997</v>
      </c>
      <c r="G5578" s="83">
        <v>46114.0</v>
      </c>
      <c r="H5578" s="76" t="s">
        <v>929</v>
      </c>
    </row>
    <row r="5579">
      <c r="A5579" s="76" t="s">
        <v>31</v>
      </c>
      <c r="B5579" s="76" t="s">
        <v>1025</v>
      </c>
      <c r="C5579" s="84">
        <v>26.49</v>
      </c>
      <c r="D5579" s="84">
        <v>1.0</v>
      </c>
      <c r="E5579" s="84">
        <v>26.49</v>
      </c>
      <c r="F5579" s="76" t="s">
        <v>997</v>
      </c>
      <c r="G5579" s="83">
        <v>46114.0</v>
      </c>
      <c r="H5579" s="76" t="s">
        <v>930</v>
      </c>
    </row>
    <row r="5580">
      <c r="A5580" s="76" t="s">
        <v>28</v>
      </c>
      <c r="B5580" s="76" t="s">
        <v>1025</v>
      </c>
      <c r="C5580" s="84">
        <v>0.17</v>
      </c>
      <c r="D5580" s="84">
        <v>0.0</v>
      </c>
      <c r="E5580" s="84">
        <v>0.0</v>
      </c>
      <c r="F5580" s="76" t="s">
        <v>997</v>
      </c>
      <c r="G5580" s="83">
        <v>46114.0</v>
      </c>
      <c r="H5580" s="76" t="s">
        <v>931</v>
      </c>
    </row>
    <row r="5581">
      <c r="A5581" s="76" t="s">
        <v>28</v>
      </c>
      <c r="B5581" s="76" t="s">
        <v>1025</v>
      </c>
      <c r="C5581" s="84">
        <v>0.08</v>
      </c>
      <c r="D5581" s="84">
        <v>0.0</v>
      </c>
      <c r="E5581" s="84">
        <v>0.0</v>
      </c>
      <c r="F5581" s="76" t="s">
        <v>997</v>
      </c>
      <c r="G5581" s="83">
        <v>46114.0</v>
      </c>
      <c r="H5581" s="76" t="s">
        <v>932</v>
      </c>
    </row>
    <row r="5582">
      <c r="A5582" s="76" t="s">
        <v>28</v>
      </c>
      <c r="B5582" s="76" t="s">
        <v>1025</v>
      </c>
      <c r="C5582" s="84">
        <v>6.18</v>
      </c>
      <c r="D5582" s="84">
        <v>0.0</v>
      </c>
      <c r="E5582" s="84">
        <v>0.0</v>
      </c>
      <c r="F5582" s="76" t="s">
        <v>997</v>
      </c>
      <c r="G5582" s="83">
        <v>46114.0</v>
      </c>
      <c r="H5582" s="76" t="s">
        <v>933</v>
      </c>
    </row>
    <row r="5583">
      <c r="A5583" s="76" t="s">
        <v>42</v>
      </c>
      <c r="B5583" s="76" t="s">
        <v>1025</v>
      </c>
      <c r="C5583" s="84">
        <v>0.04</v>
      </c>
      <c r="D5583" s="84">
        <v>0.0</v>
      </c>
      <c r="E5583" s="84">
        <v>0.0</v>
      </c>
      <c r="F5583" s="76" t="s">
        <v>997</v>
      </c>
      <c r="G5583" s="83">
        <v>46114.0</v>
      </c>
      <c r="H5583" s="76" t="s">
        <v>991</v>
      </c>
    </row>
    <row r="5584">
      <c r="A5584" s="76" t="s">
        <v>42</v>
      </c>
      <c r="B5584" s="76" t="s">
        <v>1025</v>
      </c>
      <c r="C5584" s="84">
        <v>3.69</v>
      </c>
      <c r="D5584" s="84">
        <v>0.0</v>
      </c>
      <c r="E5584" s="84">
        <v>0.0</v>
      </c>
      <c r="F5584" s="76" t="s">
        <v>997</v>
      </c>
      <c r="G5584" s="83">
        <v>46114.0</v>
      </c>
      <c r="H5584" s="76" t="s">
        <v>935</v>
      </c>
    </row>
    <row r="5585">
      <c r="A5585" s="76" t="s">
        <v>45</v>
      </c>
      <c r="B5585" s="76" t="s">
        <v>1025</v>
      </c>
      <c r="C5585" s="84">
        <v>0.16</v>
      </c>
      <c r="D5585" s="84">
        <v>0.0</v>
      </c>
      <c r="E5585" s="84">
        <v>0.0</v>
      </c>
      <c r="F5585" s="76" t="s">
        <v>997</v>
      </c>
      <c r="G5585" s="83">
        <v>46114.0</v>
      </c>
      <c r="H5585" s="76" t="s">
        <v>936</v>
      </c>
    </row>
    <row r="5586">
      <c r="A5586" s="76" t="s">
        <v>45</v>
      </c>
      <c r="B5586" s="76" t="s">
        <v>1025</v>
      </c>
      <c r="C5586" s="84">
        <v>0.08</v>
      </c>
      <c r="D5586" s="84">
        <v>0.0</v>
      </c>
      <c r="E5586" s="84">
        <v>0.0</v>
      </c>
      <c r="F5586" s="76" t="s">
        <v>997</v>
      </c>
      <c r="G5586" s="83">
        <v>46114.0</v>
      </c>
      <c r="H5586" s="76" t="s">
        <v>937</v>
      </c>
    </row>
    <row r="5587">
      <c r="A5587" s="76" t="s">
        <v>45</v>
      </c>
      <c r="B5587" s="76" t="s">
        <v>1025</v>
      </c>
      <c r="C5587" s="84">
        <v>0.18</v>
      </c>
      <c r="D5587" s="84">
        <v>0.0</v>
      </c>
      <c r="E5587" s="84">
        <v>0.0</v>
      </c>
      <c r="F5587" s="76" t="s">
        <v>997</v>
      </c>
      <c r="G5587" s="83">
        <v>46114.0</v>
      </c>
      <c r="H5587" s="76" t="s">
        <v>938</v>
      </c>
    </row>
    <row r="5588">
      <c r="A5588" s="76" t="s">
        <v>50</v>
      </c>
      <c r="B5588" s="76" t="s">
        <v>1025</v>
      </c>
      <c r="C5588" s="84">
        <v>0.13</v>
      </c>
      <c r="D5588" s="84">
        <v>0.0</v>
      </c>
      <c r="E5588" s="84">
        <v>0.0</v>
      </c>
      <c r="F5588" s="76" t="s">
        <v>997</v>
      </c>
      <c r="G5588" s="83">
        <v>46114.0</v>
      </c>
      <c r="H5588" s="76" t="s">
        <v>939</v>
      </c>
    </row>
    <row r="5589">
      <c r="A5589" s="76" t="s">
        <v>50</v>
      </c>
      <c r="B5589" s="76" t="s">
        <v>1025</v>
      </c>
      <c r="C5589" s="84">
        <v>0.1</v>
      </c>
      <c r="D5589" s="84">
        <v>0.0</v>
      </c>
      <c r="E5589" s="84">
        <v>0.0</v>
      </c>
      <c r="F5589" s="76" t="s">
        <v>997</v>
      </c>
      <c r="G5589" s="83">
        <v>46114.0</v>
      </c>
      <c r="H5589" s="76" t="s">
        <v>940</v>
      </c>
    </row>
    <row r="5590">
      <c r="A5590" s="76" t="s">
        <v>32</v>
      </c>
      <c r="B5590" s="76" t="s">
        <v>1025</v>
      </c>
      <c r="C5590" s="84">
        <v>1.75</v>
      </c>
      <c r="D5590" s="84">
        <v>0.0</v>
      </c>
      <c r="E5590" s="84">
        <v>0.0</v>
      </c>
      <c r="F5590" s="76" t="s">
        <v>997</v>
      </c>
      <c r="G5590" s="83">
        <v>46114.0</v>
      </c>
      <c r="H5590" s="76" t="s">
        <v>941</v>
      </c>
    </row>
    <row r="5591">
      <c r="A5591" s="76" t="s">
        <v>32</v>
      </c>
      <c r="B5591" s="76" t="s">
        <v>1025</v>
      </c>
      <c r="C5591" s="84">
        <v>0.38</v>
      </c>
      <c r="D5591" s="84">
        <v>0.0</v>
      </c>
      <c r="E5591" s="84">
        <v>0.0</v>
      </c>
      <c r="F5591" s="76" t="s">
        <v>997</v>
      </c>
      <c r="G5591" s="83">
        <v>46114.0</v>
      </c>
      <c r="H5591" s="76" t="s">
        <v>942</v>
      </c>
    </row>
    <row r="5592">
      <c r="A5592" s="76" t="s">
        <v>32</v>
      </c>
      <c r="B5592" s="76" t="s">
        <v>1025</v>
      </c>
      <c r="C5592" s="84">
        <v>1.0</v>
      </c>
      <c r="D5592" s="84">
        <v>0.0</v>
      </c>
      <c r="E5592" s="84">
        <v>0.0</v>
      </c>
      <c r="F5592" s="76" t="s">
        <v>997</v>
      </c>
      <c r="G5592" s="83">
        <v>46114.0</v>
      </c>
      <c r="H5592" s="76" t="s">
        <v>943</v>
      </c>
    </row>
    <row r="5593">
      <c r="A5593" s="76" t="s">
        <v>944</v>
      </c>
      <c r="B5593" s="76" t="s">
        <v>1025</v>
      </c>
      <c r="C5593" s="84">
        <v>0.93</v>
      </c>
      <c r="D5593" s="84">
        <v>0.0</v>
      </c>
      <c r="E5593" s="84">
        <v>0.0</v>
      </c>
      <c r="F5593" s="76" t="s">
        <v>997</v>
      </c>
      <c r="G5593" s="83">
        <v>46114.0</v>
      </c>
      <c r="H5593" s="76" t="s">
        <v>945</v>
      </c>
    </row>
    <row r="5594">
      <c r="A5594" s="76" t="s">
        <v>944</v>
      </c>
      <c r="B5594" s="76" t="s">
        <v>1025</v>
      </c>
      <c r="C5594" s="84">
        <v>0.15</v>
      </c>
      <c r="D5594" s="84">
        <v>0.0</v>
      </c>
      <c r="E5594" s="84">
        <v>0.0</v>
      </c>
      <c r="F5594" s="76" t="s">
        <v>997</v>
      </c>
      <c r="G5594" s="83">
        <v>46114.0</v>
      </c>
      <c r="H5594" s="76" t="s">
        <v>946</v>
      </c>
    </row>
    <row r="5595">
      <c r="A5595" s="76" t="s">
        <v>944</v>
      </c>
      <c r="B5595" s="76" t="s">
        <v>1025</v>
      </c>
      <c r="C5595" s="84">
        <v>0.19</v>
      </c>
      <c r="D5595" s="84">
        <v>0.0</v>
      </c>
      <c r="E5595" s="84">
        <v>0.0</v>
      </c>
      <c r="F5595" s="76" t="s">
        <v>997</v>
      </c>
      <c r="G5595" s="83">
        <v>46114.0</v>
      </c>
      <c r="H5595" s="76" t="s">
        <v>947</v>
      </c>
    </row>
    <row r="5596">
      <c r="A5596" s="76" t="s">
        <v>26</v>
      </c>
      <c r="B5596" s="76" t="s">
        <v>1025</v>
      </c>
      <c r="C5596" s="84">
        <v>0.16</v>
      </c>
      <c r="D5596" s="84">
        <v>0.0</v>
      </c>
      <c r="E5596" s="84">
        <v>0.0</v>
      </c>
      <c r="F5596" s="76" t="s">
        <v>997</v>
      </c>
      <c r="G5596" s="83">
        <v>46114.0</v>
      </c>
      <c r="H5596" s="76" t="s">
        <v>1012</v>
      </c>
    </row>
    <row r="5597">
      <c r="A5597" s="76" t="s">
        <v>26</v>
      </c>
      <c r="B5597" s="76" t="s">
        <v>1025</v>
      </c>
      <c r="C5597" s="84">
        <v>0.31</v>
      </c>
      <c r="D5597" s="84">
        <v>0.0</v>
      </c>
      <c r="E5597" s="84">
        <v>0.0</v>
      </c>
      <c r="F5597" s="76" t="s">
        <v>997</v>
      </c>
      <c r="G5597" s="83">
        <v>46114.0</v>
      </c>
      <c r="H5597" s="76" t="s">
        <v>1013</v>
      </c>
    </row>
    <row r="5598">
      <c r="A5598" s="76" t="s">
        <v>26</v>
      </c>
      <c r="B5598" s="76" t="s">
        <v>1025</v>
      </c>
      <c r="C5598" s="84">
        <v>0.8</v>
      </c>
      <c r="D5598" s="84">
        <v>0.0</v>
      </c>
      <c r="E5598" s="84">
        <v>0.0</v>
      </c>
      <c r="F5598" s="76" t="s">
        <v>997</v>
      </c>
      <c r="G5598" s="83">
        <v>46114.0</v>
      </c>
      <c r="H5598" s="76" t="s">
        <v>1014</v>
      </c>
    </row>
    <row r="5599">
      <c r="A5599" s="76" t="s">
        <v>36</v>
      </c>
      <c r="B5599" s="76" t="s">
        <v>1025</v>
      </c>
      <c r="C5599" s="84">
        <v>0.0</v>
      </c>
      <c r="D5599" s="84">
        <v>0.0</v>
      </c>
      <c r="E5599" s="84">
        <v>0.0</v>
      </c>
      <c r="F5599" s="76" t="s">
        <v>998</v>
      </c>
      <c r="G5599" s="83">
        <v>46114.0</v>
      </c>
      <c r="H5599" s="76" t="s">
        <v>927</v>
      </c>
    </row>
    <row r="5600">
      <c r="A5600" s="76" t="s">
        <v>36</v>
      </c>
      <c r="B5600" s="76" t="s">
        <v>1025</v>
      </c>
      <c r="C5600" s="84">
        <v>0.01</v>
      </c>
      <c r="D5600" s="84">
        <v>0.0</v>
      </c>
      <c r="E5600" s="84">
        <v>0.0</v>
      </c>
      <c r="F5600" s="76" t="s">
        <v>998</v>
      </c>
      <c r="G5600" s="83">
        <v>46114.0</v>
      </c>
      <c r="H5600" s="76" t="s">
        <v>928</v>
      </c>
    </row>
    <row r="5601">
      <c r="A5601" s="76" t="s">
        <v>31</v>
      </c>
      <c r="B5601" s="76" t="s">
        <v>1025</v>
      </c>
      <c r="C5601" s="84">
        <v>0.02</v>
      </c>
      <c r="D5601" s="84">
        <v>0.0</v>
      </c>
      <c r="E5601" s="84">
        <v>0.0</v>
      </c>
      <c r="F5601" s="76" t="s">
        <v>998</v>
      </c>
      <c r="G5601" s="83">
        <v>46114.0</v>
      </c>
      <c r="H5601" s="76" t="s">
        <v>929</v>
      </c>
    </row>
    <row r="5602">
      <c r="A5602" s="76" t="s">
        <v>28</v>
      </c>
      <c r="B5602" s="76" t="s">
        <v>1025</v>
      </c>
      <c r="C5602" s="84">
        <v>0.0</v>
      </c>
      <c r="D5602" s="84">
        <v>0.0</v>
      </c>
      <c r="E5602" s="84">
        <v>0.0</v>
      </c>
      <c r="F5602" s="76" t="s">
        <v>998</v>
      </c>
      <c r="G5602" s="83">
        <v>46114.0</v>
      </c>
      <c r="H5602" s="76" t="s">
        <v>931</v>
      </c>
    </row>
    <row r="5603">
      <c r="A5603" s="76" t="s">
        <v>28</v>
      </c>
      <c r="B5603" s="76" t="s">
        <v>1025</v>
      </c>
      <c r="C5603" s="84">
        <v>0.02</v>
      </c>
      <c r="D5603" s="84">
        <v>0.0</v>
      </c>
      <c r="E5603" s="84">
        <v>0.0</v>
      </c>
      <c r="F5603" s="76" t="s">
        <v>998</v>
      </c>
      <c r="G5603" s="83">
        <v>46114.0</v>
      </c>
      <c r="H5603" s="76" t="s">
        <v>932</v>
      </c>
    </row>
    <row r="5604">
      <c r="A5604" s="76" t="s">
        <v>42</v>
      </c>
      <c r="B5604" s="76" t="s">
        <v>1025</v>
      </c>
      <c r="C5604" s="84">
        <v>0.03</v>
      </c>
      <c r="D5604" s="84">
        <v>0.0</v>
      </c>
      <c r="E5604" s="84">
        <v>0.0</v>
      </c>
      <c r="F5604" s="76" t="s">
        <v>998</v>
      </c>
      <c r="G5604" s="83">
        <v>46114.0</v>
      </c>
      <c r="H5604" s="76" t="s">
        <v>991</v>
      </c>
    </row>
    <row r="5605">
      <c r="A5605" s="76" t="s">
        <v>45</v>
      </c>
      <c r="B5605" s="76" t="s">
        <v>1025</v>
      </c>
      <c r="C5605" s="84">
        <v>0.0</v>
      </c>
      <c r="D5605" s="84">
        <v>0.0</v>
      </c>
      <c r="E5605" s="84">
        <v>0.0</v>
      </c>
      <c r="F5605" s="76" t="s">
        <v>998</v>
      </c>
      <c r="G5605" s="83">
        <v>46114.0</v>
      </c>
      <c r="H5605" s="76" t="s">
        <v>936</v>
      </c>
    </row>
    <row r="5606">
      <c r="A5606" s="76" t="s">
        <v>45</v>
      </c>
      <c r="B5606" s="76" t="s">
        <v>1025</v>
      </c>
      <c r="C5606" s="84">
        <v>0.02</v>
      </c>
      <c r="D5606" s="84">
        <v>0.0</v>
      </c>
      <c r="E5606" s="84">
        <v>0.0</v>
      </c>
      <c r="F5606" s="76" t="s">
        <v>998</v>
      </c>
      <c r="G5606" s="83">
        <v>46114.0</v>
      </c>
      <c r="H5606" s="76" t="s">
        <v>937</v>
      </c>
    </row>
    <row r="5607">
      <c r="A5607" s="76" t="s">
        <v>45</v>
      </c>
      <c r="B5607" s="76" t="s">
        <v>1025</v>
      </c>
      <c r="C5607" s="84">
        <v>0.01</v>
      </c>
      <c r="D5607" s="84">
        <v>0.0</v>
      </c>
      <c r="E5607" s="84">
        <v>0.0</v>
      </c>
      <c r="F5607" s="76" t="s">
        <v>998</v>
      </c>
      <c r="G5607" s="83">
        <v>46114.0</v>
      </c>
      <c r="H5607" s="76" t="s">
        <v>938</v>
      </c>
    </row>
    <row r="5608">
      <c r="A5608" s="76" t="s">
        <v>50</v>
      </c>
      <c r="B5608" s="76" t="s">
        <v>1025</v>
      </c>
      <c r="C5608" s="84">
        <v>0.09</v>
      </c>
      <c r="D5608" s="84">
        <v>0.0</v>
      </c>
      <c r="E5608" s="84">
        <v>0.0</v>
      </c>
      <c r="F5608" s="76" t="s">
        <v>998</v>
      </c>
      <c r="G5608" s="83">
        <v>46114.0</v>
      </c>
      <c r="H5608" s="76" t="s">
        <v>939</v>
      </c>
    </row>
    <row r="5609">
      <c r="A5609" s="76" t="s">
        <v>32</v>
      </c>
      <c r="B5609" s="76" t="s">
        <v>1025</v>
      </c>
      <c r="C5609" s="84">
        <v>0.11</v>
      </c>
      <c r="D5609" s="84">
        <v>0.0</v>
      </c>
      <c r="E5609" s="84">
        <v>0.0</v>
      </c>
      <c r="F5609" s="76" t="s">
        <v>998</v>
      </c>
      <c r="G5609" s="83">
        <v>46114.0</v>
      </c>
      <c r="H5609" s="76" t="s">
        <v>941</v>
      </c>
    </row>
    <row r="5610">
      <c r="A5610" s="76" t="s">
        <v>32</v>
      </c>
      <c r="B5610" s="76" t="s">
        <v>1025</v>
      </c>
      <c r="C5610" s="84">
        <v>0.0</v>
      </c>
      <c r="D5610" s="84">
        <v>0.0</v>
      </c>
      <c r="E5610" s="84">
        <v>0.0</v>
      </c>
      <c r="F5610" s="76" t="s">
        <v>998</v>
      </c>
      <c r="G5610" s="83">
        <v>46114.0</v>
      </c>
      <c r="H5610" s="76" t="s">
        <v>942</v>
      </c>
    </row>
    <row r="5611">
      <c r="A5611" s="76" t="s">
        <v>32</v>
      </c>
      <c r="B5611" s="76" t="s">
        <v>1025</v>
      </c>
      <c r="C5611" s="84">
        <v>0.0</v>
      </c>
      <c r="D5611" s="84">
        <v>0.0</v>
      </c>
      <c r="E5611" s="84">
        <v>0.0</v>
      </c>
      <c r="F5611" s="76" t="s">
        <v>998</v>
      </c>
      <c r="G5611" s="83">
        <v>46114.0</v>
      </c>
      <c r="H5611" s="76" t="s">
        <v>943</v>
      </c>
    </row>
    <row r="5612">
      <c r="A5612" s="76" t="s">
        <v>944</v>
      </c>
      <c r="B5612" s="76" t="s">
        <v>1025</v>
      </c>
      <c r="C5612" s="84">
        <v>0.0</v>
      </c>
      <c r="D5612" s="84">
        <v>0.0</v>
      </c>
      <c r="E5612" s="84">
        <v>0.0</v>
      </c>
      <c r="F5612" s="76" t="s">
        <v>998</v>
      </c>
      <c r="G5612" s="83">
        <v>46114.0</v>
      </c>
      <c r="H5612" s="76" t="s">
        <v>945</v>
      </c>
    </row>
    <row r="5613">
      <c r="A5613" s="76" t="s">
        <v>944</v>
      </c>
      <c r="B5613" s="76" t="s">
        <v>1025</v>
      </c>
      <c r="C5613" s="84">
        <v>0.0</v>
      </c>
      <c r="D5613" s="84">
        <v>0.0</v>
      </c>
      <c r="E5613" s="84">
        <v>0.0</v>
      </c>
      <c r="F5613" s="76" t="s">
        <v>998</v>
      </c>
      <c r="G5613" s="83">
        <v>46114.0</v>
      </c>
      <c r="H5613" s="76" t="s">
        <v>946</v>
      </c>
    </row>
    <row r="5614">
      <c r="A5614" s="76" t="s">
        <v>944</v>
      </c>
      <c r="B5614" s="76" t="s">
        <v>1025</v>
      </c>
      <c r="C5614" s="84">
        <v>0.01</v>
      </c>
      <c r="D5614" s="84">
        <v>0.0</v>
      </c>
      <c r="E5614" s="84">
        <v>0.0</v>
      </c>
      <c r="F5614" s="76" t="s">
        <v>998</v>
      </c>
      <c r="G5614" s="83">
        <v>46114.0</v>
      </c>
      <c r="H5614" s="76" t="s">
        <v>947</v>
      </c>
    </row>
    <row r="5615">
      <c r="A5615" s="76" t="s">
        <v>26</v>
      </c>
      <c r="B5615" s="76" t="s">
        <v>1025</v>
      </c>
      <c r="C5615" s="84">
        <v>0.01</v>
      </c>
      <c r="D5615" s="84">
        <v>0.0</v>
      </c>
      <c r="E5615" s="84">
        <v>0.0</v>
      </c>
      <c r="F5615" s="76" t="s">
        <v>998</v>
      </c>
      <c r="G5615" s="83">
        <v>46114.0</v>
      </c>
      <c r="H5615" s="76" t="s">
        <v>1012</v>
      </c>
    </row>
    <row r="5616">
      <c r="A5616" s="76" t="s">
        <v>26</v>
      </c>
      <c r="B5616" s="76" t="s">
        <v>1025</v>
      </c>
      <c r="C5616" s="84">
        <v>0.0</v>
      </c>
      <c r="D5616" s="84">
        <v>0.0</v>
      </c>
      <c r="E5616" s="84">
        <v>0.0</v>
      </c>
      <c r="F5616" s="76" t="s">
        <v>998</v>
      </c>
      <c r="G5616" s="83">
        <v>46114.0</v>
      </c>
      <c r="H5616" s="76" t="s">
        <v>1013</v>
      </c>
    </row>
    <row r="5617">
      <c r="A5617" s="76" t="s">
        <v>26</v>
      </c>
      <c r="B5617" s="76" t="s">
        <v>1025</v>
      </c>
      <c r="C5617" s="84">
        <v>0.04</v>
      </c>
      <c r="D5617" s="84">
        <v>0.0</v>
      </c>
      <c r="E5617" s="84">
        <v>0.0</v>
      </c>
      <c r="F5617" s="76" t="s">
        <v>998</v>
      </c>
      <c r="G5617" s="83">
        <v>46114.0</v>
      </c>
      <c r="H5617" s="76" t="s">
        <v>1014</v>
      </c>
    </row>
    <row r="5618">
      <c r="A5618" s="76" t="s">
        <v>34</v>
      </c>
      <c r="B5618" s="76" t="s">
        <v>1029</v>
      </c>
      <c r="C5618" s="84">
        <v>0.07</v>
      </c>
      <c r="D5618" s="84">
        <v>0.0</v>
      </c>
      <c r="E5618" s="84">
        <v>0.0</v>
      </c>
      <c r="F5618" s="76" t="s">
        <v>950</v>
      </c>
      <c r="G5618" s="83">
        <v>46115.0</v>
      </c>
      <c r="H5618" s="76" t="s">
        <v>951</v>
      </c>
    </row>
    <row r="5619">
      <c r="A5619" s="76" t="s">
        <v>34</v>
      </c>
      <c r="B5619" s="76" t="s">
        <v>1029</v>
      </c>
      <c r="C5619" s="84">
        <v>0.03</v>
      </c>
      <c r="D5619" s="84">
        <v>0.0</v>
      </c>
      <c r="E5619" s="84">
        <v>0.0</v>
      </c>
      <c r="F5619" s="76" t="s">
        <v>950</v>
      </c>
      <c r="G5619" s="83">
        <v>46115.0</v>
      </c>
      <c r="H5619" s="76" t="s">
        <v>952</v>
      </c>
    </row>
    <row r="5620">
      <c r="A5620" s="76" t="s">
        <v>34</v>
      </c>
      <c r="B5620" s="76" t="s">
        <v>1029</v>
      </c>
      <c r="C5620" s="84">
        <v>0.02</v>
      </c>
      <c r="D5620" s="84">
        <v>0.0</v>
      </c>
      <c r="E5620" s="84">
        <v>0.0</v>
      </c>
      <c r="F5620" s="76" t="s">
        <v>950</v>
      </c>
      <c r="G5620" s="83">
        <v>46115.0</v>
      </c>
      <c r="H5620" s="76" t="s">
        <v>953</v>
      </c>
    </row>
    <row r="5621">
      <c r="A5621" s="76" t="s">
        <v>46</v>
      </c>
      <c r="B5621" s="76" t="s">
        <v>1029</v>
      </c>
      <c r="C5621" s="84">
        <v>0.02</v>
      </c>
      <c r="D5621" s="84">
        <v>0.0</v>
      </c>
      <c r="E5621" s="84">
        <v>0.0</v>
      </c>
      <c r="F5621" s="76" t="s">
        <v>950</v>
      </c>
      <c r="G5621" s="83">
        <v>46115.0</v>
      </c>
      <c r="H5621" s="76" t="s">
        <v>960</v>
      </c>
    </row>
    <row r="5622">
      <c r="A5622" s="76" t="s">
        <v>46</v>
      </c>
      <c r="B5622" s="76" t="s">
        <v>1029</v>
      </c>
      <c r="C5622" s="84">
        <v>0.08</v>
      </c>
      <c r="D5622" s="84">
        <v>0.0</v>
      </c>
      <c r="E5622" s="84">
        <v>0.0</v>
      </c>
      <c r="F5622" s="76" t="s">
        <v>950</v>
      </c>
      <c r="G5622" s="83">
        <v>46115.0</v>
      </c>
      <c r="H5622" s="76" t="s">
        <v>961</v>
      </c>
    </row>
    <row r="5623">
      <c r="A5623" s="76" t="s">
        <v>46</v>
      </c>
      <c r="B5623" s="76" t="s">
        <v>1029</v>
      </c>
      <c r="C5623" s="84">
        <v>0.04</v>
      </c>
      <c r="D5623" s="84">
        <v>0.0</v>
      </c>
      <c r="E5623" s="84">
        <v>0.0</v>
      </c>
      <c r="F5623" s="76" t="s">
        <v>950</v>
      </c>
      <c r="G5623" s="83">
        <v>46115.0</v>
      </c>
      <c r="H5623" s="76" t="s">
        <v>962</v>
      </c>
    </row>
    <row r="5624">
      <c r="A5624" s="76" t="s">
        <v>29</v>
      </c>
      <c r="B5624" s="76" t="s">
        <v>1029</v>
      </c>
      <c r="C5624" s="84">
        <v>0.2</v>
      </c>
      <c r="D5624" s="84">
        <v>0.0</v>
      </c>
      <c r="E5624" s="84">
        <v>0.0</v>
      </c>
      <c r="F5624" s="76" t="s">
        <v>950</v>
      </c>
      <c r="G5624" s="83">
        <v>46115.0</v>
      </c>
      <c r="H5624" s="76" t="s">
        <v>971</v>
      </c>
    </row>
    <row r="5625">
      <c r="A5625" s="76" t="s">
        <v>29</v>
      </c>
      <c r="B5625" s="76" t="s">
        <v>1029</v>
      </c>
      <c r="C5625" s="84">
        <v>0.04</v>
      </c>
      <c r="D5625" s="84">
        <v>0.0</v>
      </c>
      <c r="E5625" s="84">
        <v>0.0</v>
      </c>
      <c r="F5625" s="76" t="s">
        <v>950</v>
      </c>
      <c r="G5625" s="83">
        <v>46115.0</v>
      </c>
      <c r="H5625" s="76" t="s">
        <v>972</v>
      </c>
    </row>
    <row r="5626">
      <c r="A5626" s="76" t="s">
        <v>29</v>
      </c>
      <c r="B5626" s="76" t="s">
        <v>1029</v>
      </c>
      <c r="C5626" s="84">
        <v>0.36</v>
      </c>
      <c r="D5626" s="84">
        <v>0.0</v>
      </c>
      <c r="E5626" s="84">
        <v>0.0</v>
      </c>
      <c r="F5626" s="76" t="s">
        <v>950</v>
      </c>
      <c r="G5626" s="83">
        <v>46115.0</v>
      </c>
      <c r="H5626" s="76" t="s">
        <v>973</v>
      </c>
    </row>
    <row r="5627">
      <c r="A5627" s="76" t="s">
        <v>33</v>
      </c>
      <c r="B5627" s="76" t="s">
        <v>1029</v>
      </c>
      <c r="C5627" s="84">
        <v>0.22</v>
      </c>
      <c r="D5627" s="84">
        <v>0.0</v>
      </c>
      <c r="E5627" s="84">
        <v>0.0</v>
      </c>
      <c r="F5627" s="76" t="s">
        <v>950</v>
      </c>
      <c r="G5627" s="83">
        <v>46115.0</v>
      </c>
      <c r="H5627" s="76" t="s">
        <v>957</v>
      </c>
    </row>
    <row r="5628">
      <c r="A5628" s="76" t="s">
        <v>33</v>
      </c>
      <c r="B5628" s="76" t="s">
        <v>1029</v>
      </c>
      <c r="C5628" s="84">
        <v>0.01</v>
      </c>
      <c r="D5628" s="84">
        <v>0.0</v>
      </c>
      <c r="E5628" s="84">
        <v>0.0</v>
      </c>
      <c r="F5628" s="76" t="s">
        <v>950</v>
      </c>
      <c r="G5628" s="83">
        <v>46115.0</v>
      </c>
      <c r="H5628" s="76" t="s">
        <v>958</v>
      </c>
    </row>
    <row r="5629">
      <c r="A5629" s="76" t="s">
        <v>33</v>
      </c>
      <c r="B5629" s="76" t="s">
        <v>1029</v>
      </c>
      <c r="C5629" s="84">
        <v>0.04</v>
      </c>
      <c r="D5629" s="84">
        <v>0.0</v>
      </c>
      <c r="E5629" s="84">
        <v>0.0</v>
      </c>
      <c r="F5629" s="76" t="s">
        <v>950</v>
      </c>
      <c r="G5629" s="83">
        <v>46115.0</v>
      </c>
      <c r="H5629" s="76" t="s">
        <v>959</v>
      </c>
    </row>
    <row r="5630">
      <c r="A5630" s="76" t="s">
        <v>970</v>
      </c>
      <c r="B5630" s="76" t="s">
        <v>1029</v>
      </c>
      <c r="C5630" s="84">
        <v>0.19</v>
      </c>
      <c r="D5630" s="84">
        <v>0.0</v>
      </c>
      <c r="E5630" s="84">
        <v>0.0</v>
      </c>
      <c r="F5630" s="76" t="s">
        <v>950</v>
      </c>
      <c r="G5630" s="83">
        <v>46115.0</v>
      </c>
      <c r="H5630" s="76" t="s">
        <v>971</v>
      </c>
    </row>
    <row r="5631">
      <c r="A5631" s="76" t="s">
        <v>970</v>
      </c>
      <c r="B5631" s="76" t="s">
        <v>1029</v>
      </c>
      <c r="C5631" s="84">
        <v>0.09</v>
      </c>
      <c r="D5631" s="84">
        <v>0.0</v>
      </c>
      <c r="E5631" s="84">
        <v>0.0</v>
      </c>
      <c r="F5631" s="76" t="s">
        <v>950</v>
      </c>
      <c r="G5631" s="83">
        <v>46115.0</v>
      </c>
      <c r="H5631" s="76" t="s">
        <v>972</v>
      </c>
    </row>
    <row r="5632">
      <c r="A5632" s="76" t="s">
        <v>970</v>
      </c>
      <c r="B5632" s="76" t="s">
        <v>1029</v>
      </c>
      <c r="C5632" s="84">
        <v>0.33</v>
      </c>
      <c r="D5632" s="84">
        <v>0.0</v>
      </c>
      <c r="E5632" s="84">
        <v>0.0</v>
      </c>
      <c r="F5632" s="76" t="s">
        <v>950</v>
      </c>
      <c r="G5632" s="83">
        <v>46115.0</v>
      </c>
      <c r="H5632" s="76" t="s">
        <v>973</v>
      </c>
    </row>
    <row r="5633">
      <c r="A5633" s="76" t="s">
        <v>43</v>
      </c>
      <c r="B5633" s="76" t="s">
        <v>1029</v>
      </c>
      <c r="C5633" s="84">
        <v>0.08</v>
      </c>
      <c r="D5633" s="84">
        <v>0.0</v>
      </c>
      <c r="E5633" s="84">
        <v>0.0</v>
      </c>
      <c r="F5633" s="76" t="s">
        <v>950</v>
      </c>
      <c r="G5633" s="83">
        <v>46115.0</v>
      </c>
      <c r="H5633" s="76" t="s">
        <v>963</v>
      </c>
    </row>
    <row r="5634">
      <c r="A5634" s="76" t="s">
        <v>43</v>
      </c>
      <c r="B5634" s="76" t="s">
        <v>1029</v>
      </c>
      <c r="C5634" s="84">
        <v>0.07</v>
      </c>
      <c r="D5634" s="84">
        <v>0.0</v>
      </c>
      <c r="E5634" s="84">
        <v>0.0</v>
      </c>
      <c r="F5634" s="76" t="s">
        <v>950</v>
      </c>
      <c r="G5634" s="83">
        <v>46115.0</v>
      </c>
      <c r="H5634" s="76" t="s">
        <v>964</v>
      </c>
    </row>
    <row r="5635">
      <c r="A5635" s="76" t="s">
        <v>43</v>
      </c>
      <c r="B5635" s="76" t="s">
        <v>1029</v>
      </c>
      <c r="C5635" s="84">
        <v>0.3</v>
      </c>
      <c r="D5635" s="84">
        <v>0.0</v>
      </c>
      <c r="E5635" s="84">
        <v>0.0</v>
      </c>
      <c r="F5635" s="76" t="s">
        <v>950</v>
      </c>
      <c r="G5635" s="83">
        <v>46115.0</v>
      </c>
      <c r="H5635" s="76" t="s">
        <v>965</v>
      </c>
    </row>
    <row r="5636">
      <c r="A5636" s="76" t="s">
        <v>966</v>
      </c>
      <c r="B5636" s="76" t="s">
        <v>1029</v>
      </c>
      <c r="C5636" s="84">
        <v>0.12</v>
      </c>
      <c r="D5636" s="84">
        <v>0.0</v>
      </c>
      <c r="E5636" s="84">
        <v>0.0</v>
      </c>
      <c r="F5636" s="76" t="s">
        <v>950</v>
      </c>
      <c r="G5636" s="83">
        <v>46115.0</v>
      </c>
      <c r="H5636" s="76" t="s">
        <v>967</v>
      </c>
    </row>
    <row r="5637">
      <c r="A5637" s="76" t="s">
        <v>966</v>
      </c>
      <c r="B5637" s="76" t="s">
        <v>1029</v>
      </c>
      <c r="C5637" s="84">
        <v>0.02</v>
      </c>
      <c r="D5637" s="84">
        <v>0.0</v>
      </c>
      <c r="E5637" s="84">
        <v>0.0</v>
      </c>
      <c r="F5637" s="76" t="s">
        <v>950</v>
      </c>
      <c r="G5637" s="83">
        <v>46115.0</v>
      </c>
      <c r="H5637" s="76" t="s">
        <v>968</v>
      </c>
    </row>
    <row r="5638">
      <c r="A5638" s="76" t="s">
        <v>966</v>
      </c>
      <c r="B5638" s="76" t="s">
        <v>1029</v>
      </c>
      <c r="C5638" s="84">
        <v>0.0</v>
      </c>
      <c r="D5638" s="84">
        <v>0.0</v>
      </c>
      <c r="E5638" s="84">
        <v>0.0</v>
      </c>
      <c r="F5638" s="76" t="s">
        <v>950</v>
      </c>
      <c r="G5638" s="83">
        <v>46115.0</v>
      </c>
      <c r="H5638" s="76" t="s">
        <v>969</v>
      </c>
    </row>
    <row r="5639">
      <c r="A5639" s="76" t="s">
        <v>36</v>
      </c>
      <c r="B5639" s="76" t="s">
        <v>1029</v>
      </c>
      <c r="C5639" s="84">
        <v>0.03</v>
      </c>
      <c r="D5639" s="84">
        <v>0.0</v>
      </c>
      <c r="E5639" s="84">
        <v>0.0</v>
      </c>
      <c r="F5639" s="76" t="s">
        <v>950</v>
      </c>
      <c r="G5639" s="83">
        <v>46115.0</v>
      </c>
      <c r="H5639" s="76" t="s">
        <v>926</v>
      </c>
    </row>
    <row r="5640">
      <c r="A5640" s="76" t="s">
        <v>36</v>
      </c>
      <c r="B5640" s="76" t="s">
        <v>1029</v>
      </c>
      <c r="C5640" s="84">
        <v>0.01</v>
      </c>
      <c r="D5640" s="84">
        <v>0.0</v>
      </c>
      <c r="E5640" s="84">
        <v>0.0</v>
      </c>
      <c r="F5640" s="76" t="s">
        <v>950</v>
      </c>
      <c r="G5640" s="83">
        <v>46115.0</v>
      </c>
      <c r="H5640" s="76" t="s">
        <v>927</v>
      </c>
    </row>
    <row r="5641">
      <c r="A5641" s="76" t="s">
        <v>36</v>
      </c>
      <c r="B5641" s="76" t="s">
        <v>1029</v>
      </c>
      <c r="C5641" s="84">
        <v>0.0</v>
      </c>
      <c r="D5641" s="84">
        <v>0.0</v>
      </c>
      <c r="E5641" s="84">
        <v>0.0</v>
      </c>
      <c r="F5641" s="76" t="s">
        <v>950</v>
      </c>
      <c r="G5641" s="83">
        <v>46115.0</v>
      </c>
      <c r="H5641" s="76" t="s">
        <v>928</v>
      </c>
    </row>
    <row r="5642">
      <c r="A5642" s="76" t="s">
        <v>40</v>
      </c>
      <c r="B5642" s="76" t="s">
        <v>1029</v>
      </c>
      <c r="C5642" s="84">
        <v>0.01</v>
      </c>
      <c r="D5642" s="84">
        <v>0.0</v>
      </c>
      <c r="E5642" s="84">
        <v>0.0</v>
      </c>
      <c r="F5642" s="76" t="s">
        <v>950</v>
      </c>
      <c r="G5642" s="83">
        <v>46115.0</v>
      </c>
      <c r="H5642" s="76" t="s">
        <v>954</v>
      </c>
    </row>
    <row r="5643">
      <c r="A5643" s="76" t="s">
        <v>40</v>
      </c>
      <c r="B5643" s="76" t="s">
        <v>1029</v>
      </c>
      <c r="C5643" s="84">
        <v>0.01</v>
      </c>
      <c r="D5643" s="84">
        <v>0.0</v>
      </c>
      <c r="E5643" s="84">
        <v>0.0</v>
      </c>
      <c r="F5643" s="76" t="s">
        <v>950</v>
      </c>
      <c r="G5643" s="83">
        <v>46115.0</v>
      </c>
      <c r="H5643" s="76" t="s">
        <v>955</v>
      </c>
    </row>
    <row r="5644">
      <c r="A5644" s="76" t="s">
        <v>40</v>
      </c>
      <c r="B5644" s="76" t="s">
        <v>1029</v>
      </c>
      <c r="C5644" s="84">
        <v>0.05</v>
      </c>
      <c r="D5644" s="84">
        <v>0.0</v>
      </c>
      <c r="E5644" s="84">
        <v>0.0</v>
      </c>
      <c r="F5644" s="76" t="s">
        <v>950</v>
      </c>
      <c r="G5644" s="83">
        <v>46115.0</v>
      </c>
      <c r="H5644" s="76" t="s">
        <v>956</v>
      </c>
    </row>
    <row r="5645">
      <c r="A5645" s="76" t="s">
        <v>966</v>
      </c>
      <c r="B5645" s="76" t="s">
        <v>1029</v>
      </c>
      <c r="C5645" s="84">
        <v>0.01</v>
      </c>
      <c r="D5645" s="84">
        <v>0.0</v>
      </c>
      <c r="E5645" s="84">
        <v>0.0</v>
      </c>
      <c r="F5645" s="76" t="s">
        <v>974</v>
      </c>
      <c r="G5645" s="83">
        <v>46115.0</v>
      </c>
      <c r="H5645" s="76" t="s">
        <v>967</v>
      </c>
    </row>
    <row r="5646">
      <c r="A5646" s="76" t="s">
        <v>966</v>
      </c>
      <c r="B5646" s="76" t="s">
        <v>1029</v>
      </c>
      <c r="C5646" s="84">
        <v>0.02</v>
      </c>
      <c r="D5646" s="84">
        <v>0.0</v>
      </c>
      <c r="E5646" s="84">
        <v>0.0</v>
      </c>
      <c r="F5646" s="76" t="s">
        <v>974</v>
      </c>
      <c r="G5646" s="83">
        <v>46115.0</v>
      </c>
      <c r="H5646" s="76" t="s">
        <v>968</v>
      </c>
    </row>
    <row r="5647">
      <c r="A5647" s="76" t="s">
        <v>966</v>
      </c>
      <c r="B5647" s="76" t="s">
        <v>1029</v>
      </c>
      <c r="C5647" s="84">
        <v>0.01</v>
      </c>
      <c r="D5647" s="84">
        <v>0.0</v>
      </c>
      <c r="E5647" s="84">
        <v>0.0</v>
      </c>
      <c r="F5647" s="76" t="s">
        <v>974</v>
      </c>
      <c r="G5647" s="83">
        <v>46115.0</v>
      </c>
      <c r="H5647" s="76" t="s">
        <v>969</v>
      </c>
    </row>
    <row r="5648">
      <c r="A5648" s="76" t="s">
        <v>43</v>
      </c>
      <c r="B5648" s="76" t="s">
        <v>1029</v>
      </c>
      <c r="C5648" s="84">
        <v>0.01</v>
      </c>
      <c r="D5648" s="84">
        <v>0.0</v>
      </c>
      <c r="E5648" s="84">
        <v>0.0</v>
      </c>
      <c r="F5648" s="76" t="s">
        <v>974</v>
      </c>
      <c r="G5648" s="83">
        <v>46115.0</v>
      </c>
      <c r="H5648" s="76" t="s">
        <v>963</v>
      </c>
    </row>
    <row r="5649">
      <c r="A5649" s="76" t="s">
        <v>43</v>
      </c>
      <c r="B5649" s="76" t="s">
        <v>1029</v>
      </c>
      <c r="C5649" s="84">
        <v>0.05</v>
      </c>
      <c r="D5649" s="84">
        <v>0.0</v>
      </c>
      <c r="E5649" s="84">
        <v>0.0</v>
      </c>
      <c r="F5649" s="76" t="s">
        <v>974</v>
      </c>
      <c r="G5649" s="83">
        <v>46115.0</v>
      </c>
      <c r="H5649" s="76" t="s">
        <v>964</v>
      </c>
    </row>
    <row r="5650">
      <c r="A5650" s="76" t="s">
        <v>43</v>
      </c>
      <c r="B5650" s="76" t="s">
        <v>1029</v>
      </c>
      <c r="C5650" s="84">
        <v>0.11</v>
      </c>
      <c r="D5650" s="84">
        <v>0.0</v>
      </c>
      <c r="E5650" s="84">
        <v>0.0</v>
      </c>
      <c r="F5650" s="76" t="s">
        <v>974</v>
      </c>
      <c r="G5650" s="83">
        <v>46115.0</v>
      </c>
      <c r="H5650" s="76" t="s">
        <v>965</v>
      </c>
    </row>
    <row r="5651">
      <c r="A5651" s="76" t="s">
        <v>36</v>
      </c>
      <c r="B5651" s="76" t="s">
        <v>1029</v>
      </c>
      <c r="C5651" s="84">
        <v>0.01</v>
      </c>
      <c r="D5651" s="84">
        <v>0.0</v>
      </c>
      <c r="E5651" s="84">
        <v>0.0</v>
      </c>
      <c r="F5651" s="76" t="s">
        <v>974</v>
      </c>
      <c r="G5651" s="83">
        <v>46115.0</v>
      </c>
      <c r="H5651" s="76" t="s">
        <v>926</v>
      </c>
    </row>
    <row r="5652">
      <c r="A5652" s="76" t="s">
        <v>36</v>
      </c>
      <c r="B5652" s="76" t="s">
        <v>1029</v>
      </c>
      <c r="C5652" s="84">
        <v>0.0</v>
      </c>
      <c r="D5652" s="84">
        <v>0.0</v>
      </c>
      <c r="E5652" s="84">
        <v>0.0</v>
      </c>
      <c r="F5652" s="76" t="s">
        <v>974</v>
      </c>
      <c r="G5652" s="83">
        <v>46115.0</v>
      </c>
      <c r="H5652" s="76" t="s">
        <v>927</v>
      </c>
    </row>
    <row r="5653">
      <c r="A5653" s="76" t="s">
        <v>36</v>
      </c>
      <c r="B5653" s="76" t="s">
        <v>1029</v>
      </c>
      <c r="C5653" s="84">
        <v>0.0</v>
      </c>
      <c r="D5653" s="84">
        <v>0.0</v>
      </c>
      <c r="E5653" s="84">
        <v>0.0</v>
      </c>
      <c r="F5653" s="76" t="s">
        <v>974</v>
      </c>
      <c r="G5653" s="83">
        <v>46115.0</v>
      </c>
      <c r="H5653" s="76" t="s">
        <v>928</v>
      </c>
    </row>
    <row r="5654">
      <c r="A5654" s="76" t="s">
        <v>33</v>
      </c>
      <c r="B5654" s="76" t="s">
        <v>1029</v>
      </c>
      <c r="C5654" s="84">
        <v>0.13</v>
      </c>
      <c r="D5654" s="84">
        <v>0.0</v>
      </c>
      <c r="E5654" s="84">
        <v>0.0</v>
      </c>
      <c r="F5654" s="76" t="s">
        <v>974</v>
      </c>
      <c r="G5654" s="83">
        <v>46115.0</v>
      </c>
      <c r="H5654" s="76" t="s">
        <v>957</v>
      </c>
    </row>
    <row r="5655">
      <c r="A5655" s="76" t="s">
        <v>33</v>
      </c>
      <c r="B5655" s="76" t="s">
        <v>1029</v>
      </c>
      <c r="C5655" s="84">
        <v>0.0</v>
      </c>
      <c r="D5655" s="84">
        <v>0.0</v>
      </c>
      <c r="E5655" s="84">
        <v>0.0</v>
      </c>
      <c r="F5655" s="76" t="s">
        <v>974</v>
      </c>
      <c r="G5655" s="83">
        <v>46115.0</v>
      </c>
      <c r="H5655" s="76" t="s">
        <v>958</v>
      </c>
    </row>
    <row r="5656">
      <c r="A5656" s="76" t="s">
        <v>33</v>
      </c>
      <c r="B5656" s="76" t="s">
        <v>1029</v>
      </c>
      <c r="C5656" s="84">
        <v>0.01</v>
      </c>
      <c r="D5656" s="84">
        <v>0.0</v>
      </c>
      <c r="E5656" s="84">
        <v>0.0</v>
      </c>
      <c r="F5656" s="76" t="s">
        <v>974</v>
      </c>
      <c r="G5656" s="83">
        <v>46115.0</v>
      </c>
      <c r="H5656" s="76" t="s">
        <v>959</v>
      </c>
    </row>
    <row r="5657">
      <c r="A5657" s="76" t="s">
        <v>29</v>
      </c>
      <c r="B5657" s="76" t="s">
        <v>1029</v>
      </c>
      <c r="C5657" s="84">
        <v>0.1</v>
      </c>
      <c r="D5657" s="84">
        <v>0.0</v>
      </c>
      <c r="E5657" s="84">
        <v>0.0</v>
      </c>
      <c r="F5657" s="76" t="s">
        <v>974</v>
      </c>
      <c r="G5657" s="83">
        <v>46115.0</v>
      </c>
      <c r="H5657" s="76" t="s">
        <v>971</v>
      </c>
    </row>
    <row r="5658">
      <c r="A5658" s="76" t="s">
        <v>29</v>
      </c>
      <c r="B5658" s="76" t="s">
        <v>1029</v>
      </c>
      <c r="C5658" s="84">
        <v>0.01</v>
      </c>
      <c r="D5658" s="84">
        <v>0.0</v>
      </c>
      <c r="E5658" s="84">
        <v>0.0</v>
      </c>
      <c r="F5658" s="76" t="s">
        <v>974</v>
      </c>
      <c r="G5658" s="83">
        <v>46115.0</v>
      </c>
      <c r="H5658" s="76" t="s">
        <v>972</v>
      </c>
    </row>
    <row r="5659">
      <c r="A5659" s="76" t="s">
        <v>29</v>
      </c>
      <c r="B5659" s="76" t="s">
        <v>1029</v>
      </c>
      <c r="C5659" s="84">
        <v>0.14</v>
      </c>
      <c r="D5659" s="84">
        <v>0.0</v>
      </c>
      <c r="E5659" s="84">
        <v>0.0</v>
      </c>
      <c r="F5659" s="76" t="s">
        <v>974</v>
      </c>
      <c r="G5659" s="83">
        <v>46115.0</v>
      </c>
      <c r="H5659" s="76" t="s">
        <v>973</v>
      </c>
    </row>
    <row r="5660">
      <c r="A5660" s="76" t="s">
        <v>46</v>
      </c>
      <c r="B5660" s="76" t="s">
        <v>1029</v>
      </c>
      <c r="C5660" s="84">
        <v>0.02</v>
      </c>
      <c r="D5660" s="84">
        <v>0.0</v>
      </c>
      <c r="E5660" s="84">
        <v>0.0</v>
      </c>
      <c r="F5660" s="76" t="s">
        <v>974</v>
      </c>
      <c r="G5660" s="83">
        <v>46115.0</v>
      </c>
      <c r="H5660" s="76" t="s">
        <v>960</v>
      </c>
    </row>
    <row r="5661">
      <c r="A5661" s="76" t="s">
        <v>46</v>
      </c>
      <c r="B5661" s="76" t="s">
        <v>1029</v>
      </c>
      <c r="C5661" s="84">
        <v>0.02</v>
      </c>
      <c r="D5661" s="84">
        <v>0.0</v>
      </c>
      <c r="E5661" s="84">
        <v>0.0</v>
      </c>
      <c r="F5661" s="76" t="s">
        <v>974</v>
      </c>
      <c r="G5661" s="83">
        <v>46115.0</v>
      </c>
      <c r="H5661" s="76" t="s">
        <v>961</v>
      </c>
    </row>
    <row r="5662">
      <c r="A5662" s="76" t="s">
        <v>46</v>
      </c>
      <c r="B5662" s="76" t="s">
        <v>1029</v>
      </c>
      <c r="C5662" s="84">
        <v>0.02</v>
      </c>
      <c r="D5662" s="84">
        <v>0.0</v>
      </c>
      <c r="E5662" s="84">
        <v>0.0</v>
      </c>
      <c r="F5662" s="76" t="s">
        <v>974</v>
      </c>
      <c r="G5662" s="83">
        <v>46115.0</v>
      </c>
      <c r="H5662" s="76" t="s">
        <v>962</v>
      </c>
    </row>
    <row r="5663">
      <c r="A5663" s="76" t="s">
        <v>34</v>
      </c>
      <c r="B5663" s="76" t="s">
        <v>1029</v>
      </c>
      <c r="C5663" s="84">
        <v>0.0</v>
      </c>
      <c r="D5663" s="84">
        <v>0.0</v>
      </c>
      <c r="E5663" s="84">
        <v>0.0</v>
      </c>
      <c r="F5663" s="76" t="s">
        <v>974</v>
      </c>
      <c r="G5663" s="83">
        <v>46115.0</v>
      </c>
      <c r="H5663" s="76" t="s">
        <v>951</v>
      </c>
    </row>
    <row r="5664">
      <c r="A5664" s="76" t="s">
        <v>34</v>
      </c>
      <c r="B5664" s="76" t="s">
        <v>1029</v>
      </c>
      <c r="C5664" s="84">
        <v>0.0</v>
      </c>
      <c r="D5664" s="84">
        <v>0.0</v>
      </c>
      <c r="E5664" s="84">
        <v>0.0</v>
      </c>
      <c r="F5664" s="76" t="s">
        <v>974</v>
      </c>
      <c r="G5664" s="83">
        <v>46115.0</v>
      </c>
      <c r="H5664" s="76" t="s">
        <v>952</v>
      </c>
    </row>
    <row r="5665">
      <c r="A5665" s="76" t="s">
        <v>970</v>
      </c>
      <c r="B5665" s="76" t="s">
        <v>1029</v>
      </c>
      <c r="C5665" s="84">
        <v>0.04</v>
      </c>
      <c r="D5665" s="84">
        <v>0.0</v>
      </c>
      <c r="E5665" s="84">
        <v>0.0</v>
      </c>
      <c r="F5665" s="76" t="s">
        <v>974</v>
      </c>
      <c r="G5665" s="83">
        <v>46115.0</v>
      </c>
      <c r="H5665" s="76" t="s">
        <v>971</v>
      </c>
    </row>
    <row r="5666">
      <c r="A5666" s="76" t="s">
        <v>970</v>
      </c>
      <c r="B5666" s="76" t="s">
        <v>1029</v>
      </c>
      <c r="C5666" s="84">
        <v>0.15</v>
      </c>
      <c r="D5666" s="84">
        <v>0.0</v>
      </c>
      <c r="E5666" s="84">
        <v>0.0</v>
      </c>
      <c r="F5666" s="76" t="s">
        <v>974</v>
      </c>
      <c r="G5666" s="83">
        <v>46115.0</v>
      </c>
      <c r="H5666" s="76" t="s">
        <v>973</v>
      </c>
    </row>
    <row r="5667">
      <c r="A5667" s="76" t="s">
        <v>40</v>
      </c>
      <c r="B5667" s="76" t="s">
        <v>1029</v>
      </c>
      <c r="C5667" s="84">
        <v>0.05</v>
      </c>
      <c r="D5667" s="84">
        <v>0.0</v>
      </c>
      <c r="E5667" s="84">
        <v>0.0</v>
      </c>
      <c r="F5667" s="76" t="s">
        <v>974</v>
      </c>
      <c r="G5667" s="83">
        <v>46115.0</v>
      </c>
      <c r="H5667" s="76" t="s">
        <v>954</v>
      </c>
    </row>
    <row r="5668">
      <c r="A5668" s="76" t="s">
        <v>40</v>
      </c>
      <c r="B5668" s="76" t="s">
        <v>1029</v>
      </c>
      <c r="C5668" s="84">
        <v>0.04</v>
      </c>
      <c r="D5668" s="84">
        <v>0.0</v>
      </c>
      <c r="E5668" s="84">
        <v>0.0</v>
      </c>
      <c r="F5668" s="76" t="s">
        <v>974</v>
      </c>
      <c r="G5668" s="83">
        <v>46115.0</v>
      </c>
      <c r="H5668" s="76" t="s">
        <v>956</v>
      </c>
    </row>
    <row r="5669">
      <c r="A5669" s="76" t="s">
        <v>29</v>
      </c>
      <c r="B5669" s="76" t="s">
        <v>1029</v>
      </c>
      <c r="C5669" s="84">
        <v>0.16</v>
      </c>
      <c r="D5669" s="84">
        <v>0.0</v>
      </c>
      <c r="E5669" s="84">
        <v>0.0</v>
      </c>
      <c r="F5669" s="76" t="s">
        <v>975</v>
      </c>
      <c r="G5669" s="83">
        <v>46115.0</v>
      </c>
      <c r="H5669" s="76" t="s">
        <v>971</v>
      </c>
    </row>
    <row r="5670">
      <c r="A5670" s="76" t="s">
        <v>29</v>
      </c>
      <c r="B5670" s="76" t="s">
        <v>1029</v>
      </c>
      <c r="C5670" s="84">
        <v>0.04</v>
      </c>
      <c r="D5670" s="84">
        <v>0.0</v>
      </c>
      <c r="E5670" s="84">
        <v>0.0</v>
      </c>
      <c r="F5670" s="76" t="s">
        <v>975</v>
      </c>
      <c r="G5670" s="83">
        <v>46115.0</v>
      </c>
      <c r="H5670" s="76" t="s">
        <v>972</v>
      </c>
    </row>
    <row r="5671">
      <c r="A5671" s="76" t="s">
        <v>29</v>
      </c>
      <c r="B5671" s="76" t="s">
        <v>1029</v>
      </c>
      <c r="C5671" s="84">
        <v>0.26</v>
      </c>
      <c r="D5671" s="84">
        <v>0.0</v>
      </c>
      <c r="E5671" s="84">
        <v>0.0</v>
      </c>
      <c r="F5671" s="76" t="s">
        <v>975</v>
      </c>
      <c r="G5671" s="83">
        <v>46115.0</v>
      </c>
      <c r="H5671" s="76" t="s">
        <v>973</v>
      </c>
    </row>
    <row r="5672">
      <c r="A5672" s="76" t="s">
        <v>46</v>
      </c>
      <c r="B5672" s="76" t="s">
        <v>1029</v>
      </c>
      <c r="C5672" s="84">
        <v>0.1</v>
      </c>
      <c r="D5672" s="84">
        <v>0.0</v>
      </c>
      <c r="E5672" s="84">
        <v>0.0</v>
      </c>
      <c r="F5672" s="76" t="s">
        <v>975</v>
      </c>
      <c r="G5672" s="83">
        <v>46115.0</v>
      </c>
      <c r="H5672" s="76" t="s">
        <v>960</v>
      </c>
    </row>
    <row r="5673">
      <c r="A5673" s="76" t="s">
        <v>46</v>
      </c>
      <c r="B5673" s="76" t="s">
        <v>1029</v>
      </c>
      <c r="C5673" s="84">
        <v>0.14</v>
      </c>
      <c r="D5673" s="84">
        <v>0.0</v>
      </c>
      <c r="E5673" s="84">
        <v>0.0</v>
      </c>
      <c r="F5673" s="76" t="s">
        <v>975</v>
      </c>
      <c r="G5673" s="83">
        <v>46115.0</v>
      </c>
      <c r="H5673" s="76" t="s">
        <v>961</v>
      </c>
    </row>
    <row r="5674">
      <c r="A5674" s="76" t="s">
        <v>46</v>
      </c>
      <c r="B5674" s="76" t="s">
        <v>1029</v>
      </c>
      <c r="C5674" s="84">
        <v>0.04</v>
      </c>
      <c r="D5674" s="84">
        <v>0.0</v>
      </c>
      <c r="E5674" s="84">
        <v>0.0</v>
      </c>
      <c r="F5674" s="76" t="s">
        <v>975</v>
      </c>
      <c r="G5674" s="83">
        <v>46115.0</v>
      </c>
      <c r="H5674" s="76" t="s">
        <v>962</v>
      </c>
    </row>
    <row r="5675">
      <c r="A5675" s="76" t="s">
        <v>36</v>
      </c>
      <c r="B5675" s="76" t="s">
        <v>1029</v>
      </c>
      <c r="C5675" s="84">
        <v>0.03</v>
      </c>
      <c r="D5675" s="84">
        <v>0.0</v>
      </c>
      <c r="E5675" s="84">
        <v>0.0</v>
      </c>
      <c r="F5675" s="76" t="s">
        <v>975</v>
      </c>
      <c r="G5675" s="83">
        <v>46115.0</v>
      </c>
      <c r="H5675" s="76" t="s">
        <v>926</v>
      </c>
    </row>
    <row r="5676">
      <c r="A5676" s="76" t="s">
        <v>36</v>
      </c>
      <c r="B5676" s="76" t="s">
        <v>1029</v>
      </c>
      <c r="C5676" s="84">
        <v>0.0</v>
      </c>
      <c r="D5676" s="84">
        <v>0.0</v>
      </c>
      <c r="E5676" s="84">
        <v>0.0</v>
      </c>
      <c r="F5676" s="76" t="s">
        <v>975</v>
      </c>
      <c r="G5676" s="83">
        <v>46115.0</v>
      </c>
      <c r="H5676" s="76" t="s">
        <v>927</v>
      </c>
    </row>
    <row r="5677">
      <c r="A5677" s="76" t="s">
        <v>36</v>
      </c>
      <c r="B5677" s="76" t="s">
        <v>1029</v>
      </c>
      <c r="C5677" s="84">
        <v>0.04</v>
      </c>
      <c r="D5677" s="84">
        <v>0.0</v>
      </c>
      <c r="E5677" s="84">
        <v>0.0</v>
      </c>
      <c r="F5677" s="76" t="s">
        <v>975</v>
      </c>
      <c r="G5677" s="83">
        <v>46115.0</v>
      </c>
      <c r="H5677" s="76" t="s">
        <v>928</v>
      </c>
    </row>
    <row r="5678">
      <c r="A5678" s="76" t="s">
        <v>43</v>
      </c>
      <c r="B5678" s="76" t="s">
        <v>1029</v>
      </c>
      <c r="C5678" s="84">
        <v>0.1</v>
      </c>
      <c r="D5678" s="84">
        <v>0.0</v>
      </c>
      <c r="E5678" s="84">
        <v>0.0</v>
      </c>
      <c r="F5678" s="76" t="s">
        <v>975</v>
      </c>
      <c r="G5678" s="83">
        <v>46115.0</v>
      </c>
      <c r="H5678" s="76" t="s">
        <v>963</v>
      </c>
    </row>
    <row r="5679">
      <c r="A5679" s="76" t="s">
        <v>43</v>
      </c>
      <c r="B5679" s="76" t="s">
        <v>1029</v>
      </c>
      <c r="C5679" s="84">
        <v>0.09</v>
      </c>
      <c r="D5679" s="84">
        <v>0.0</v>
      </c>
      <c r="E5679" s="84">
        <v>0.0</v>
      </c>
      <c r="F5679" s="76" t="s">
        <v>975</v>
      </c>
      <c r="G5679" s="83">
        <v>46115.0</v>
      </c>
      <c r="H5679" s="76" t="s">
        <v>964</v>
      </c>
    </row>
    <row r="5680">
      <c r="A5680" s="76" t="s">
        <v>43</v>
      </c>
      <c r="B5680" s="76" t="s">
        <v>1029</v>
      </c>
      <c r="C5680" s="84">
        <v>0.36</v>
      </c>
      <c r="D5680" s="84">
        <v>0.0</v>
      </c>
      <c r="E5680" s="84">
        <v>0.0</v>
      </c>
      <c r="F5680" s="76" t="s">
        <v>975</v>
      </c>
      <c r="G5680" s="83">
        <v>46115.0</v>
      </c>
      <c r="H5680" s="76" t="s">
        <v>965</v>
      </c>
    </row>
    <row r="5681">
      <c r="A5681" s="76" t="s">
        <v>34</v>
      </c>
      <c r="B5681" s="76" t="s">
        <v>1029</v>
      </c>
      <c r="C5681" s="84">
        <v>0.03</v>
      </c>
      <c r="D5681" s="84">
        <v>0.0</v>
      </c>
      <c r="E5681" s="84">
        <v>0.0</v>
      </c>
      <c r="F5681" s="76" t="s">
        <v>975</v>
      </c>
      <c r="G5681" s="83">
        <v>46115.0</v>
      </c>
      <c r="H5681" s="76" t="s">
        <v>951</v>
      </c>
    </row>
    <row r="5682">
      <c r="A5682" s="76" t="s">
        <v>34</v>
      </c>
      <c r="B5682" s="76" t="s">
        <v>1029</v>
      </c>
      <c r="C5682" s="84">
        <v>0.05</v>
      </c>
      <c r="D5682" s="84">
        <v>0.0</v>
      </c>
      <c r="E5682" s="84">
        <v>0.0</v>
      </c>
      <c r="F5682" s="76" t="s">
        <v>975</v>
      </c>
      <c r="G5682" s="83">
        <v>46115.0</v>
      </c>
      <c r="H5682" s="76" t="s">
        <v>952</v>
      </c>
    </row>
    <row r="5683">
      <c r="A5683" s="76" t="s">
        <v>34</v>
      </c>
      <c r="B5683" s="76" t="s">
        <v>1029</v>
      </c>
      <c r="C5683" s="84">
        <v>0.03</v>
      </c>
      <c r="D5683" s="84">
        <v>0.0</v>
      </c>
      <c r="E5683" s="84">
        <v>0.0</v>
      </c>
      <c r="F5683" s="76" t="s">
        <v>975</v>
      </c>
      <c r="G5683" s="83">
        <v>46115.0</v>
      </c>
      <c r="H5683" s="76" t="s">
        <v>953</v>
      </c>
    </row>
    <row r="5684">
      <c r="A5684" s="76" t="s">
        <v>40</v>
      </c>
      <c r="B5684" s="76" t="s">
        <v>1029</v>
      </c>
      <c r="C5684" s="84">
        <v>0.03</v>
      </c>
      <c r="D5684" s="84">
        <v>0.0</v>
      </c>
      <c r="E5684" s="84">
        <v>0.0</v>
      </c>
      <c r="F5684" s="76" t="s">
        <v>975</v>
      </c>
      <c r="G5684" s="83">
        <v>46115.0</v>
      </c>
      <c r="H5684" s="76" t="s">
        <v>954</v>
      </c>
    </row>
    <row r="5685">
      <c r="A5685" s="76" t="s">
        <v>40</v>
      </c>
      <c r="B5685" s="76" t="s">
        <v>1029</v>
      </c>
      <c r="C5685" s="84">
        <v>0.01</v>
      </c>
      <c r="D5685" s="84">
        <v>0.0</v>
      </c>
      <c r="E5685" s="84">
        <v>0.0</v>
      </c>
      <c r="F5685" s="76" t="s">
        <v>975</v>
      </c>
      <c r="G5685" s="83">
        <v>46115.0</v>
      </c>
      <c r="H5685" s="76" t="s">
        <v>955</v>
      </c>
    </row>
    <row r="5686">
      <c r="A5686" s="76" t="s">
        <v>40</v>
      </c>
      <c r="B5686" s="76" t="s">
        <v>1029</v>
      </c>
      <c r="C5686" s="84">
        <v>0.14</v>
      </c>
      <c r="D5686" s="84">
        <v>1.0</v>
      </c>
      <c r="E5686" s="84">
        <v>0.14</v>
      </c>
      <c r="F5686" s="76" t="s">
        <v>975</v>
      </c>
      <c r="G5686" s="83">
        <v>46115.0</v>
      </c>
      <c r="H5686" s="76" t="s">
        <v>956</v>
      </c>
    </row>
    <row r="5687">
      <c r="A5687" s="76" t="s">
        <v>970</v>
      </c>
      <c r="B5687" s="76" t="s">
        <v>1029</v>
      </c>
      <c r="C5687" s="84">
        <v>0.21</v>
      </c>
      <c r="D5687" s="84">
        <v>0.0</v>
      </c>
      <c r="E5687" s="84">
        <v>0.0</v>
      </c>
      <c r="F5687" s="76" t="s">
        <v>975</v>
      </c>
      <c r="G5687" s="83">
        <v>46115.0</v>
      </c>
      <c r="H5687" s="76" t="s">
        <v>971</v>
      </c>
    </row>
    <row r="5688">
      <c r="A5688" s="76" t="s">
        <v>970</v>
      </c>
      <c r="B5688" s="76" t="s">
        <v>1029</v>
      </c>
      <c r="C5688" s="84">
        <v>0.03</v>
      </c>
      <c r="D5688" s="84">
        <v>0.0</v>
      </c>
      <c r="E5688" s="84">
        <v>0.0</v>
      </c>
      <c r="F5688" s="76" t="s">
        <v>975</v>
      </c>
      <c r="G5688" s="83">
        <v>46115.0</v>
      </c>
      <c r="H5688" s="76" t="s">
        <v>972</v>
      </c>
    </row>
    <row r="5689">
      <c r="A5689" s="76" t="s">
        <v>970</v>
      </c>
      <c r="B5689" s="76" t="s">
        <v>1029</v>
      </c>
      <c r="C5689" s="84">
        <v>0.24</v>
      </c>
      <c r="D5689" s="84">
        <v>0.0</v>
      </c>
      <c r="E5689" s="84">
        <v>0.0</v>
      </c>
      <c r="F5689" s="76" t="s">
        <v>975</v>
      </c>
      <c r="G5689" s="83">
        <v>46115.0</v>
      </c>
      <c r="H5689" s="76" t="s">
        <v>973</v>
      </c>
    </row>
    <row r="5690">
      <c r="A5690" s="76" t="s">
        <v>966</v>
      </c>
      <c r="B5690" s="76" t="s">
        <v>1029</v>
      </c>
      <c r="C5690" s="84">
        <v>0.06</v>
      </c>
      <c r="D5690" s="84">
        <v>0.0</v>
      </c>
      <c r="E5690" s="84">
        <v>0.0</v>
      </c>
      <c r="F5690" s="76" t="s">
        <v>975</v>
      </c>
      <c r="G5690" s="83">
        <v>46115.0</v>
      </c>
      <c r="H5690" s="76" t="s">
        <v>967</v>
      </c>
    </row>
    <row r="5691">
      <c r="A5691" s="76" t="s">
        <v>966</v>
      </c>
      <c r="B5691" s="76" t="s">
        <v>1029</v>
      </c>
      <c r="C5691" s="84">
        <v>0.02</v>
      </c>
      <c r="D5691" s="84">
        <v>0.0</v>
      </c>
      <c r="E5691" s="84">
        <v>0.0</v>
      </c>
      <c r="F5691" s="76" t="s">
        <v>975</v>
      </c>
      <c r="G5691" s="83">
        <v>46115.0</v>
      </c>
      <c r="H5691" s="76" t="s">
        <v>968</v>
      </c>
    </row>
    <row r="5692">
      <c r="A5692" s="76" t="s">
        <v>966</v>
      </c>
      <c r="B5692" s="76" t="s">
        <v>1029</v>
      </c>
      <c r="C5692" s="84">
        <v>0.01</v>
      </c>
      <c r="D5692" s="84">
        <v>0.0</v>
      </c>
      <c r="E5692" s="84">
        <v>0.0</v>
      </c>
      <c r="F5692" s="76" t="s">
        <v>975</v>
      </c>
      <c r="G5692" s="83">
        <v>46115.0</v>
      </c>
      <c r="H5692" s="76" t="s">
        <v>969</v>
      </c>
    </row>
    <row r="5693">
      <c r="A5693" s="76" t="s">
        <v>33</v>
      </c>
      <c r="B5693" s="76" t="s">
        <v>1029</v>
      </c>
      <c r="C5693" s="84">
        <v>0.34</v>
      </c>
      <c r="D5693" s="84">
        <v>0.0</v>
      </c>
      <c r="E5693" s="84">
        <v>0.0</v>
      </c>
      <c r="F5693" s="76" t="s">
        <v>975</v>
      </c>
      <c r="G5693" s="83">
        <v>46115.0</v>
      </c>
      <c r="H5693" s="76" t="s">
        <v>957</v>
      </c>
    </row>
    <row r="5694">
      <c r="A5694" s="76" t="s">
        <v>33</v>
      </c>
      <c r="B5694" s="76" t="s">
        <v>1029</v>
      </c>
      <c r="C5694" s="84">
        <v>0.01</v>
      </c>
      <c r="D5694" s="84">
        <v>0.0</v>
      </c>
      <c r="E5694" s="84">
        <v>0.0</v>
      </c>
      <c r="F5694" s="76" t="s">
        <v>975</v>
      </c>
      <c r="G5694" s="83">
        <v>46115.0</v>
      </c>
      <c r="H5694" s="76" t="s">
        <v>958</v>
      </c>
    </row>
    <row r="5695">
      <c r="A5695" s="76" t="s">
        <v>33</v>
      </c>
      <c r="B5695" s="76" t="s">
        <v>1029</v>
      </c>
      <c r="C5695" s="84">
        <v>0.08</v>
      </c>
      <c r="D5695" s="84">
        <v>0.0</v>
      </c>
      <c r="E5695" s="84">
        <v>0.0</v>
      </c>
      <c r="F5695" s="76" t="s">
        <v>975</v>
      </c>
      <c r="G5695" s="83">
        <v>46115.0</v>
      </c>
      <c r="H5695" s="76" t="s">
        <v>959</v>
      </c>
    </row>
    <row r="5696">
      <c r="A5696" s="76" t="s">
        <v>36</v>
      </c>
      <c r="B5696" s="76" t="s">
        <v>924</v>
      </c>
      <c r="C5696" s="84">
        <v>6.98</v>
      </c>
      <c r="D5696" s="84">
        <v>0.0</v>
      </c>
      <c r="E5696" s="84">
        <v>0.0</v>
      </c>
      <c r="F5696" s="76" t="s">
        <v>925</v>
      </c>
      <c r="G5696" s="83">
        <v>46115.0</v>
      </c>
      <c r="H5696" s="76" t="s">
        <v>926</v>
      </c>
    </row>
    <row r="5697">
      <c r="A5697" s="76" t="s">
        <v>36</v>
      </c>
      <c r="B5697" s="76" t="s">
        <v>924</v>
      </c>
      <c r="C5697" s="84">
        <v>14.21</v>
      </c>
      <c r="D5697" s="84">
        <v>0.0</v>
      </c>
      <c r="E5697" s="84">
        <v>0.0</v>
      </c>
      <c r="F5697" s="76" t="s">
        <v>925</v>
      </c>
      <c r="G5697" s="83">
        <v>46115.0</v>
      </c>
      <c r="H5697" s="76" t="s">
        <v>927</v>
      </c>
    </row>
    <row r="5698">
      <c r="A5698" s="76" t="s">
        <v>36</v>
      </c>
      <c r="B5698" s="76" t="s">
        <v>924</v>
      </c>
      <c r="C5698" s="84">
        <v>6.59</v>
      </c>
      <c r="D5698" s="84">
        <v>0.0</v>
      </c>
      <c r="E5698" s="84">
        <v>0.0</v>
      </c>
      <c r="F5698" s="76" t="s">
        <v>925</v>
      </c>
      <c r="G5698" s="83">
        <v>46115.0</v>
      </c>
      <c r="H5698" s="76" t="s">
        <v>928</v>
      </c>
    </row>
    <row r="5699">
      <c r="A5699" s="76" t="s">
        <v>31</v>
      </c>
      <c r="B5699" s="76" t="s">
        <v>924</v>
      </c>
      <c r="C5699" s="84">
        <v>6.69</v>
      </c>
      <c r="D5699" s="84">
        <v>0.0</v>
      </c>
      <c r="E5699" s="84">
        <v>0.0</v>
      </c>
      <c r="F5699" s="76" t="s">
        <v>925</v>
      </c>
      <c r="G5699" s="83">
        <v>46115.0</v>
      </c>
      <c r="H5699" s="76" t="s">
        <v>929</v>
      </c>
    </row>
    <row r="5700">
      <c r="A5700" s="76" t="s">
        <v>31</v>
      </c>
      <c r="B5700" s="76" t="s">
        <v>924</v>
      </c>
      <c r="C5700" s="84">
        <v>27.8</v>
      </c>
      <c r="D5700" s="84">
        <v>0.0</v>
      </c>
      <c r="E5700" s="84">
        <v>0.0</v>
      </c>
      <c r="F5700" s="76" t="s">
        <v>925</v>
      </c>
      <c r="G5700" s="83">
        <v>46115.0</v>
      </c>
      <c r="H5700" s="76" t="s">
        <v>930</v>
      </c>
    </row>
    <row r="5701">
      <c r="A5701" s="76" t="s">
        <v>28</v>
      </c>
      <c r="B5701" s="76" t="s">
        <v>924</v>
      </c>
      <c r="C5701" s="84">
        <v>5.5</v>
      </c>
      <c r="D5701" s="84">
        <v>0.0</v>
      </c>
      <c r="E5701" s="84">
        <v>0.0</v>
      </c>
      <c r="F5701" s="76" t="s">
        <v>925</v>
      </c>
      <c r="G5701" s="83">
        <v>46115.0</v>
      </c>
      <c r="H5701" s="76" t="s">
        <v>931</v>
      </c>
    </row>
    <row r="5702">
      <c r="A5702" s="76" t="s">
        <v>28</v>
      </c>
      <c r="B5702" s="76" t="s">
        <v>924</v>
      </c>
      <c r="C5702" s="84">
        <v>3.98</v>
      </c>
      <c r="D5702" s="84">
        <v>0.0</v>
      </c>
      <c r="E5702" s="84">
        <v>0.0</v>
      </c>
      <c r="F5702" s="76" t="s">
        <v>925</v>
      </c>
      <c r="G5702" s="83">
        <v>46115.0</v>
      </c>
      <c r="H5702" s="76" t="s">
        <v>932</v>
      </c>
    </row>
    <row r="5703">
      <c r="A5703" s="76" t="s">
        <v>28</v>
      </c>
      <c r="B5703" s="76" t="s">
        <v>924</v>
      </c>
      <c r="C5703" s="84">
        <v>8.56</v>
      </c>
      <c r="D5703" s="84">
        <v>0.0</v>
      </c>
      <c r="E5703" s="84">
        <v>0.0</v>
      </c>
      <c r="F5703" s="76" t="s">
        <v>925</v>
      </c>
      <c r="G5703" s="83">
        <v>46115.0</v>
      </c>
      <c r="H5703" s="76" t="s">
        <v>933</v>
      </c>
    </row>
    <row r="5704">
      <c r="A5704" s="76" t="s">
        <v>42</v>
      </c>
      <c r="B5704" s="76" t="s">
        <v>924</v>
      </c>
      <c r="C5704" s="84">
        <v>0.27</v>
      </c>
      <c r="D5704" s="84">
        <v>0.0</v>
      </c>
      <c r="E5704" s="84">
        <v>0.0</v>
      </c>
      <c r="F5704" s="76" t="s">
        <v>925</v>
      </c>
      <c r="G5704" s="83">
        <v>46115.0</v>
      </c>
      <c r="H5704" s="76" t="s">
        <v>991</v>
      </c>
    </row>
    <row r="5705">
      <c r="A5705" s="76" t="s">
        <v>42</v>
      </c>
      <c r="B5705" s="76" t="s">
        <v>924</v>
      </c>
      <c r="C5705" s="84">
        <v>16.42</v>
      </c>
      <c r="D5705" s="84">
        <v>0.0</v>
      </c>
      <c r="E5705" s="84">
        <v>0.0</v>
      </c>
      <c r="F5705" s="76" t="s">
        <v>925</v>
      </c>
      <c r="G5705" s="83">
        <v>46115.0</v>
      </c>
      <c r="H5705" s="76" t="s">
        <v>935</v>
      </c>
    </row>
    <row r="5706">
      <c r="A5706" s="76" t="s">
        <v>45</v>
      </c>
      <c r="B5706" s="76" t="s">
        <v>924</v>
      </c>
      <c r="C5706" s="84">
        <v>10.29</v>
      </c>
      <c r="D5706" s="84">
        <v>0.0</v>
      </c>
      <c r="E5706" s="84">
        <v>0.0</v>
      </c>
      <c r="F5706" s="76" t="s">
        <v>925</v>
      </c>
      <c r="G5706" s="83">
        <v>46115.0</v>
      </c>
      <c r="H5706" s="76" t="s">
        <v>936</v>
      </c>
    </row>
    <row r="5707">
      <c r="A5707" s="76" t="s">
        <v>45</v>
      </c>
      <c r="B5707" s="76" t="s">
        <v>924</v>
      </c>
      <c r="C5707" s="84">
        <v>1.23</v>
      </c>
      <c r="D5707" s="84">
        <v>0.0</v>
      </c>
      <c r="E5707" s="84">
        <v>0.0</v>
      </c>
      <c r="F5707" s="76" t="s">
        <v>925</v>
      </c>
      <c r="G5707" s="83">
        <v>46115.0</v>
      </c>
      <c r="H5707" s="76" t="s">
        <v>937</v>
      </c>
    </row>
    <row r="5708">
      <c r="A5708" s="76" t="s">
        <v>45</v>
      </c>
      <c r="B5708" s="76" t="s">
        <v>924</v>
      </c>
      <c r="C5708" s="84">
        <v>9.65</v>
      </c>
      <c r="D5708" s="84">
        <v>0.0</v>
      </c>
      <c r="E5708" s="84">
        <v>0.0</v>
      </c>
      <c r="F5708" s="76" t="s">
        <v>925</v>
      </c>
      <c r="G5708" s="83">
        <v>46115.0</v>
      </c>
      <c r="H5708" s="76" t="s">
        <v>938</v>
      </c>
    </row>
    <row r="5709">
      <c r="A5709" s="76" t="s">
        <v>50</v>
      </c>
      <c r="B5709" s="76" t="s">
        <v>924</v>
      </c>
      <c r="C5709" s="84">
        <v>0.0</v>
      </c>
      <c r="D5709" s="84">
        <v>0.0</v>
      </c>
      <c r="E5709" s="84">
        <v>0.0</v>
      </c>
      <c r="F5709" s="76" t="s">
        <v>925</v>
      </c>
      <c r="G5709" s="83">
        <v>46115.0</v>
      </c>
      <c r="H5709" s="76" t="s">
        <v>939</v>
      </c>
    </row>
    <row r="5710">
      <c r="A5710" s="76" t="s">
        <v>32</v>
      </c>
      <c r="B5710" s="76" t="s">
        <v>924</v>
      </c>
      <c r="C5710" s="84">
        <v>3.53</v>
      </c>
      <c r="D5710" s="84">
        <v>0.0</v>
      </c>
      <c r="E5710" s="84">
        <v>0.0</v>
      </c>
      <c r="F5710" s="76" t="s">
        <v>925</v>
      </c>
      <c r="G5710" s="83">
        <v>46115.0</v>
      </c>
      <c r="H5710" s="76" t="s">
        <v>941</v>
      </c>
    </row>
    <row r="5711">
      <c r="A5711" s="76" t="s">
        <v>32</v>
      </c>
      <c r="B5711" s="76" t="s">
        <v>924</v>
      </c>
      <c r="C5711" s="84">
        <v>11.18</v>
      </c>
      <c r="D5711" s="84">
        <v>0.0</v>
      </c>
      <c r="E5711" s="84">
        <v>0.0</v>
      </c>
      <c r="F5711" s="76" t="s">
        <v>925</v>
      </c>
      <c r="G5711" s="83">
        <v>46115.0</v>
      </c>
      <c r="H5711" s="76" t="s">
        <v>942</v>
      </c>
    </row>
    <row r="5712">
      <c r="A5712" s="76" t="s">
        <v>32</v>
      </c>
      <c r="B5712" s="76" t="s">
        <v>924</v>
      </c>
      <c r="C5712" s="84">
        <v>12.27</v>
      </c>
      <c r="D5712" s="84">
        <v>0.0</v>
      </c>
      <c r="E5712" s="84">
        <v>0.0</v>
      </c>
      <c r="F5712" s="76" t="s">
        <v>925</v>
      </c>
      <c r="G5712" s="83">
        <v>46115.0</v>
      </c>
      <c r="H5712" s="76" t="s">
        <v>943</v>
      </c>
    </row>
    <row r="5713">
      <c r="A5713" s="76" t="s">
        <v>944</v>
      </c>
      <c r="B5713" s="76" t="s">
        <v>924</v>
      </c>
      <c r="C5713" s="84">
        <v>7.46</v>
      </c>
      <c r="D5713" s="84">
        <v>0.0</v>
      </c>
      <c r="E5713" s="84">
        <v>0.0</v>
      </c>
      <c r="F5713" s="76" t="s">
        <v>925</v>
      </c>
      <c r="G5713" s="83">
        <v>46115.0</v>
      </c>
      <c r="H5713" s="76" t="s">
        <v>945</v>
      </c>
    </row>
    <row r="5714">
      <c r="A5714" s="76" t="s">
        <v>944</v>
      </c>
      <c r="B5714" s="76" t="s">
        <v>924</v>
      </c>
      <c r="C5714" s="84">
        <v>5.07</v>
      </c>
      <c r="D5714" s="84">
        <v>0.0</v>
      </c>
      <c r="E5714" s="84">
        <v>0.0</v>
      </c>
      <c r="F5714" s="76" t="s">
        <v>925</v>
      </c>
      <c r="G5714" s="83">
        <v>46115.0</v>
      </c>
      <c r="H5714" s="76" t="s">
        <v>946</v>
      </c>
    </row>
    <row r="5715">
      <c r="A5715" s="76" t="s">
        <v>944</v>
      </c>
      <c r="B5715" s="76" t="s">
        <v>924</v>
      </c>
      <c r="C5715" s="84">
        <v>5.15</v>
      </c>
      <c r="D5715" s="84">
        <v>0.0</v>
      </c>
      <c r="E5715" s="84">
        <v>0.0</v>
      </c>
      <c r="F5715" s="76" t="s">
        <v>925</v>
      </c>
      <c r="G5715" s="83">
        <v>46115.0</v>
      </c>
      <c r="H5715" s="76" t="s">
        <v>947</v>
      </c>
    </row>
    <row r="5716">
      <c r="A5716" s="76" t="s">
        <v>26</v>
      </c>
      <c r="B5716" s="76" t="s">
        <v>924</v>
      </c>
      <c r="C5716" s="84">
        <v>15.13</v>
      </c>
      <c r="D5716" s="84">
        <v>0.0</v>
      </c>
      <c r="E5716" s="84">
        <v>0.0</v>
      </c>
      <c r="F5716" s="76" t="s">
        <v>925</v>
      </c>
      <c r="G5716" s="83">
        <v>46115.0</v>
      </c>
      <c r="H5716" s="76" t="s">
        <v>1012</v>
      </c>
    </row>
    <row r="5717">
      <c r="A5717" s="76" t="s">
        <v>26</v>
      </c>
      <c r="B5717" s="76" t="s">
        <v>924</v>
      </c>
      <c r="C5717" s="84">
        <v>3.88</v>
      </c>
      <c r="D5717" s="84">
        <v>0.0</v>
      </c>
      <c r="E5717" s="84">
        <v>0.0</v>
      </c>
      <c r="F5717" s="76" t="s">
        <v>925</v>
      </c>
      <c r="G5717" s="83">
        <v>46115.0</v>
      </c>
      <c r="H5717" s="76" t="s">
        <v>1013</v>
      </c>
    </row>
    <row r="5718">
      <c r="A5718" s="76" t="s">
        <v>26</v>
      </c>
      <c r="B5718" s="76" t="s">
        <v>924</v>
      </c>
      <c r="C5718" s="84">
        <v>4.69</v>
      </c>
      <c r="D5718" s="84">
        <v>0.0</v>
      </c>
      <c r="E5718" s="84">
        <v>0.0</v>
      </c>
      <c r="F5718" s="76" t="s">
        <v>925</v>
      </c>
      <c r="G5718" s="83">
        <v>46115.0</v>
      </c>
      <c r="H5718" s="76" t="s">
        <v>1014</v>
      </c>
    </row>
    <row r="5719">
      <c r="A5719" s="76" t="s">
        <v>36</v>
      </c>
      <c r="B5719" s="76" t="s">
        <v>924</v>
      </c>
      <c r="C5719" s="84">
        <v>2.36</v>
      </c>
      <c r="D5719" s="84">
        <v>0.0</v>
      </c>
      <c r="E5719" s="84">
        <v>0.0</v>
      </c>
      <c r="F5719" s="76" t="s">
        <v>948</v>
      </c>
      <c r="G5719" s="83">
        <v>46115.0</v>
      </c>
      <c r="H5719" s="76" t="s">
        <v>926</v>
      </c>
    </row>
    <row r="5720">
      <c r="A5720" s="76" t="s">
        <v>36</v>
      </c>
      <c r="B5720" s="76" t="s">
        <v>924</v>
      </c>
      <c r="C5720" s="84">
        <v>4.96</v>
      </c>
      <c r="D5720" s="84">
        <v>0.0</v>
      </c>
      <c r="E5720" s="84">
        <v>0.0</v>
      </c>
      <c r="F5720" s="76" t="s">
        <v>948</v>
      </c>
      <c r="G5720" s="83">
        <v>46115.0</v>
      </c>
      <c r="H5720" s="76" t="s">
        <v>927</v>
      </c>
    </row>
    <row r="5721">
      <c r="A5721" s="76" t="s">
        <v>36</v>
      </c>
      <c r="B5721" s="76" t="s">
        <v>924</v>
      </c>
      <c r="C5721" s="84">
        <v>2.16</v>
      </c>
      <c r="D5721" s="84">
        <v>0.0</v>
      </c>
      <c r="E5721" s="84">
        <v>0.0</v>
      </c>
      <c r="F5721" s="76" t="s">
        <v>948</v>
      </c>
      <c r="G5721" s="83">
        <v>46115.0</v>
      </c>
      <c r="H5721" s="76" t="s">
        <v>928</v>
      </c>
    </row>
    <row r="5722">
      <c r="A5722" s="76" t="s">
        <v>31</v>
      </c>
      <c r="B5722" s="76" t="s">
        <v>924</v>
      </c>
      <c r="C5722" s="84">
        <v>2.18</v>
      </c>
      <c r="D5722" s="84">
        <v>0.0</v>
      </c>
      <c r="E5722" s="84">
        <v>0.0</v>
      </c>
      <c r="F5722" s="76" t="s">
        <v>948</v>
      </c>
      <c r="G5722" s="83">
        <v>46115.0</v>
      </c>
      <c r="H5722" s="76" t="s">
        <v>929</v>
      </c>
    </row>
    <row r="5723">
      <c r="A5723" s="76" t="s">
        <v>31</v>
      </c>
      <c r="B5723" s="76" t="s">
        <v>924</v>
      </c>
      <c r="C5723" s="84">
        <v>7.39</v>
      </c>
      <c r="D5723" s="84">
        <v>0.0</v>
      </c>
      <c r="E5723" s="84">
        <v>0.0</v>
      </c>
      <c r="F5723" s="76" t="s">
        <v>948</v>
      </c>
      <c r="G5723" s="83">
        <v>46115.0</v>
      </c>
      <c r="H5723" s="76" t="s">
        <v>930</v>
      </c>
    </row>
    <row r="5724">
      <c r="A5724" s="76" t="s">
        <v>28</v>
      </c>
      <c r="B5724" s="76" t="s">
        <v>924</v>
      </c>
      <c r="C5724" s="84">
        <v>1.65</v>
      </c>
      <c r="D5724" s="84">
        <v>0.0</v>
      </c>
      <c r="E5724" s="84">
        <v>0.0</v>
      </c>
      <c r="F5724" s="76" t="s">
        <v>948</v>
      </c>
      <c r="G5724" s="83">
        <v>46115.0</v>
      </c>
      <c r="H5724" s="76" t="s">
        <v>931</v>
      </c>
    </row>
    <row r="5725">
      <c r="A5725" s="76" t="s">
        <v>28</v>
      </c>
      <c r="B5725" s="76" t="s">
        <v>924</v>
      </c>
      <c r="C5725" s="84">
        <v>0.88</v>
      </c>
      <c r="D5725" s="84">
        <v>0.0</v>
      </c>
      <c r="E5725" s="84">
        <v>0.0</v>
      </c>
      <c r="F5725" s="76" t="s">
        <v>948</v>
      </c>
      <c r="G5725" s="83">
        <v>46115.0</v>
      </c>
      <c r="H5725" s="76" t="s">
        <v>932</v>
      </c>
    </row>
    <row r="5726">
      <c r="A5726" s="76" t="s">
        <v>28</v>
      </c>
      <c r="B5726" s="76" t="s">
        <v>924</v>
      </c>
      <c r="C5726" s="84">
        <v>1.5</v>
      </c>
      <c r="D5726" s="84">
        <v>0.0</v>
      </c>
      <c r="E5726" s="84">
        <v>0.0</v>
      </c>
      <c r="F5726" s="76" t="s">
        <v>948</v>
      </c>
      <c r="G5726" s="83">
        <v>46115.0</v>
      </c>
      <c r="H5726" s="76" t="s">
        <v>933</v>
      </c>
    </row>
    <row r="5727">
      <c r="A5727" s="76" t="s">
        <v>42</v>
      </c>
      <c r="B5727" s="76" t="s">
        <v>924</v>
      </c>
      <c r="C5727" s="84">
        <v>0.04</v>
      </c>
      <c r="D5727" s="84">
        <v>0.0</v>
      </c>
      <c r="E5727" s="84">
        <v>0.0</v>
      </c>
      <c r="F5727" s="76" t="s">
        <v>948</v>
      </c>
      <c r="G5727" s="83">
        <v>46115.0</v>
      </c>
      <c r="H5727" s="76" t="s">
        <v>991</v>
      </c>
    </row>
    <row r="5728">
      <c r="A5728" s="76" t="s">
        <v>42</v>
      </c>
      <c r="B5728" s="76" t="s">
        <v>924</v>
      </c>
      <c r="C5728" s="84">
        <v>3.56</v>
      </c>
      <c r="D5728" s="84">
        <v>0.0</v>
      </c>
      <c r="E5728" s="84">
        <v>0.0</v>
      </c>
      <c r="F5728" s="76" t="s">
        <v>948</v>
      </c>
      <c r="G5728" s="83">
        <v>46115.0</v>
      </c>
      <c r="H5728" s="76" t="s">
        <v>935</v>
      </c>
    </row>
    <row r="5729">
      <c r="A5729" s="76" t="s">
        <v>45</v>
      </c>
      <c r="B5729" s="76" t="s">
        <v>924</v>
      </c>
      <c r="C5729" s="84">
        <v>3.37</v>
      </c>
      <c r="D5729" s="84">
        <v>0.0</v>
      </c>
      <c r="E5729" s="84">
        <v>0.0</v>
      </c>
      <c r="F5729" s="76" t="s">
        <v>948</v>
      </c>
      <c r="G5729" s="83">
        <v>46115.0</v>
      </c>
      <c r="H5729" s="76" t="s">
        <v>936</v>
      </c>
    </row>
    <row r="5730">
      <c r="A5730" s="76" t="s">
        <v>45</v>
      </c>
      <c r="B5730" s="76" t="s">
        <v>924</v>
      </c>
      <c r="C5730" s="84">
        <v>0.5</v>
      </c>
      <c r="D5730" s="84">
        <v>0.0</v>
      </c>
      <c r="E5730" s="84">
        <v>0.0</v>
      </c>
      <c r="F5730" s="76" t="s">
        <v>948</v>
      </c>
      <c r="G5730" s="83">
        <v>46115.0</v>
      </c>
      <c r="H5730" s="76" t="s">
        <v>937</v>
      </c>
    </row>
    <row r="5731">
      <c r="A5731" s="76" t="s">
        <v>45</v>
      </c>
      <c r="B5731" s="76" t="s">
        <v>924</v>
      </c>
      <c r="C5731" s="84">
        <v>2.49</v>
      </c>
      <c r="D5731" s="84">
        <v>0.0</v>
      </c>
      <c r="E5731" s="84">
        <v>0.0</v>
      </c>
      <c r="F5731" s="76" t="s">
        <v>948</v>
      </c>
      <c r="G5731" s="83">
        <v>46115.0</v>
      </c>
      <c r="H5731" s="76" t="s">
        <v>938</v>
      </c>
    </row>
    <row r="5732">
      <c r="A5732" s="76" t="s">
        <v>50</v>
      </c>
      <c r="B5732" s="76" t="s">
        <v>924</v>
      </c>
      <c r="C5732" s="84">
        <v>0.0</v>
      </c>
      <c r="D5732" s="84">
        <v>0.0</v>
      </c>
      <c r="E5732" s="84">
        <v>0.0</v>
      </c>
      <c r="F5732" s="76" t="s">
        <v>948</v>
      </c>
      <c r="G5732" s="83">
        <v>46115.0</v>
      </c>
      <c r="H5732" s="76" t="s">
        <v>940</v>
      </c>
    </row>
    <row r="5733">
      <c r="A5733" s="76" t="s">
        <v>32</v>
      </c>
      <c r="B5733" s="76" t="s">
        <v>924</v>
      </c>
      <c r="C5733" s="84">
        <v>1.11</v>
      </c>
      <c r="D5733" s="84">
        <v>0.0</v>
      </c>
      <c r="E5733" s="84">
        <v>0.0</v>
      </c>
      <c r="F5733" s="76" t="s">
        <v>948</v>
      </c>
      <c r="G5733" s="83">
        <v>46115.0</v>
      </c>
      <c r="H5733" s="76" t="s">
        <v>941</v>
      </c>
    </row>
    <row r="5734">
      <c r="A5734" s="76" t="s">
        <v>32</v>
      </c>
      <c r="B5734" s="76" t="s">
        <v>924</v>
      </c>
      <c r="C5734" s="84">
        <v>3.18</v>
      </c>
      <c r="D5734" s="84">
        <v>0.0</v>
      </c>
      <c r="E5734" s="84">
        <v>0.0</v>
      </c>
      <c r="F5734" s="76" t="s">
        <v>948</v>
      </c>
      <c r="G5734" s="83">
        <v>46115.0</v>
      </c>
      <c r="H5734" s="76" t="s">
        <v>942</v>
      </c>
    </row>
    <row r="5735">
      <c r="A5735" s="76" t="s">
        <v>32</v>
      </c>
      <c r="B5735" s="76" t="s">
        <v>924</v>
      </c>
      <c r="C5735" s="84">
        <v>3.41</v>
      </c>
      <c r="D5735" s="84">
        <v>0.0</v>
      </c>
      <c r="E5735" s="84">
        <v>0.0</v>
      </c>
      <c r="F5735" s="76" t="s">
        <v>948</v>
      </c>
      <c r="G5735" s="83">
        <v>46115.0</v>
      </c>
      <c r="H5735" s="76" t="s">
        <v>943</v>
      </c>
    </row>
    <row r="5736">
      <c r="A5736" s="76" t="s">
        <v>944</v>
      </c>
      <c r="B5736" s="76" t="s">
        <v>924</v>
      </c>
      <c r="C5736" s="84">
        <v>2.67</v>
      </c>
      <c r="D5736" s="84">
        <v>0.0</v>
      </c>
      <c r="E5736" s="84">
        <v>0.0</v>
      </c>
      <c r="F5736" s="76" t="s">
        <v>948</v>
      </c>
      <c r="G5736" s="83">
        <v>46115.0</v>
      </c>
      <c r="H5736" s="76" t="s">
        <v>945</v>
      </c>
    </row>
    <row r="5737">
      <c r="A5737" s="76" t="s">
        <v>944</v>
      </c>
      <c r="B5737" s="76" t="s">
        <v>924</v>
      </c>
      <c r="C5737" s="84">
        <v>1.07</v>
      </c>
      <c r="D5737" s="84">
        <v>0.0</v>
      </c>
      <c r="E5737" s="84">
        <v>0.0</v>
      </c>
      <c r="F5737" s="76" t="s">
        <v>948</v>
      </c>
      <c r="G5737" s="83">
        <v>46115.0</v>
      </c>
      <c r="H5737" s="76" t="s">
        <v>946</v>
      </c>
    </row>
    <row r="5738">
      <c r="A5738" s="76" t="s">
        <v>944</v>
      </c>
      <c r="B5738" s="76" t="s">
        <v>924</v>
      </c>
      <c r="C5738" s="84">
        <v>1.17</v>
      </c>
      <c r="D5738" s="84">
        <v>0.0</v>
      </c>
      <c r="E5738" s="84">
        <v>0.0</v>
      </c>
      <c r="F5738" s="76" t="s">
        <v>948</v>
      </c>
      <c r="G5738" s="83">
        <v>46115.0</v>
      </c>
      <c r="H5738" s="76" t="s">
        <v>947</v>
      </c>
    </row>
    <row r="5739">
      <c r="A5739" s="76" t="s">
        <v>26</v>
      </c>
      <c r="B5739" s="76" t="s">
        <v>924</v>
      </c>
      <c r="C5739" s="84">
        <v>4.25</v>
      </c>
      <c r="D5739" s="84">
        <v>0.0</v>
      </c>
      <c r="E5739" s="84">
        <v>0.0</v>
      </c>
      <c r="F5739" s="76" t="s">
        <v>948</v>
      </c>
      <c r="G5739" s="83">
        <v>46115.0</v>
      </c>
      <c r="H5739" s="76" t="s">
        <v>1012</v>
      </c>
    </row>
    <row r="5740">
      <c r="A5740" s="76" t="s">
        <v>26</v>
      </c>
      <c r="B5740" s="76" t="s">
        <v>924</v>
      </c>
      <c r="C5740" s="84">
        <v>0.74</v>
      </c>
      <c r="D5740" s="84">
        <v>0.0</v>
      </c>
      <c r="E5740" s="84">
        <v>0.0</v>
      </c>
      <c r="F5740" s="76" t="s">
        <v>948</v>
      </c>
      <c r="G5740" s="83">
        <v>46115.0</v>
      </c>
      <c r="H5740" s="76" t="s">
        <v>1013</v>
      </c>
    </row>
    <row r="5741">
      <c r="A5741" s="76" t="s">
        <v>26</v>
      </c>
      <c r="B5741" s="76" t="s">
        <v>924</v>
      </c>
      <c r="C5741" s="84">
        <v>1.48</v>
      </c>
      <c r="D5741" s="84">
        <v>0.0</v>
      </c>
      <c r="E5741" s="84">
        <v>0.0</v>
      </c>
      <c r="F5741" s="76" t="s">
        <v>948</v>
      </c>
      <c r="G5741" s="83">
        <v>46115.0</v>
      </c>
      <c r="H5741" s="76" t="s">
        <v>1014</v>
      </c>
    </row>
    <row r="5742">
      <c r="A5742" s="76" t="s">
        <v>33</v>
      </c>
      <c r="B5742" s="76" t="s">
        <v>1030</v>
      </c>
      <c r="C5742" s="84">
        <v>0.31</v>
      </c>
      <c r="D5742" s="84">
        <v>0.0</v>
      </c>
      <c r="E5742" s="84">
        <v>0.0</v>
      </c>
      <c r="F5742" s="76" t="s">
        <v>950</v>
      </c>
      <c r="G5742" s="83">
        <v>46115.0</v>
      </c>
      <c r="H5742" s="76" t="s">
        <v>957</v>
      </c>
    </row>
    <row r="5743">
      <c r="A5743" s="76" t="s">
        <v>33</v>
      </c>
      <c r="B5743" s="76" t="s">
        <v>1030</v>
      </c>
      <c r="C5743" s="84">
        <v>0.04</v>
      </c>
      <c r="D5743" s="84">
        <v>0.0</v>
      </c>
      <c r="E5743" s="84">
        <v>0.0</v>
      </c>
      <c r="F5743" s="76" t="s">
        <v>950</v>
      </c>
      <c r="G5743" s="83">
        <v>46115.0</v>
      </c>
      <c r="H5743" s="76" t="s">
        <v>958</v>
      </c>
    </row>
    <row r="5744">
      <c r="A5744" s="76" t="s">
        <v>33</v>
      </c>
      <c r="B5744" s="76" t="s">
        <v>1030</v>
      </c>
      <c r="C5744" s="84">
        <v>0.08</v>
      </c>
      <c r="D5744" s="84">
        <v>0.0</v>
      </c>
      <c r="E5744" s="84">
        <v>0.0</v>
      </c>
      <c r="F5744" s="76" t="s">
        <v>950</v>
      </c>
      <c r="G5744" s="83">
        <v>46115.0</v>
      </c>
      <c r="H5744" s="76" t="s">
        <v>959</v>
      </c>
    </row>
    <row r="5745">
      <c r="A5745" s="76" t="s">
        <v>43</v>
      </c>
      <c r="B5745" s="76" t="s">
        <v>1030</v>
      </c>
      <c r="C5745" s="84">
        <v>0.11</v>
      </c>
      <c r="D5745" s="84">
        <v>0.0</v>
      </c>
      <c r="E5745" s="84">
        <v>0.0</v>
      </c>
      <c r="F5745" s="76" t="s">
        <v>950</v>
      </c>
      <c r="G5745" s="83">
        <v>46115.0</v>
      </c>
      <c r="H5745" s="76" t="s">
        <v>963</v>
      </c>
    </row>
    <row r="5746">
      <c r="A5746" s="76" t="s">
        <v>43</v>
      </c>
      <c r="B5746" s="76" t="s">
        <v>1030</v>
      </c>
      <c r="C5746" s="84">
        <v>0.11</v>
      </c>
      <c r="D5746" s="84">
        <v>0.0</v>
      </c>
      <c r="E5746" s="84">
        <v>0.0</v>
      </c>
      <c r="F5746" s="76" t="s">
        <v>950</v>
      </c>
      <c r="G5746" s="83">
        <v>46115.0</v>
      </c>
      <c r="H5746" s="76" t="s">
        <v>964</v>
      </c>
    </row>
    <row r="5747">
      <c r="A5747" s="76" t="s">
        <v>43</v>
      </c>
      <c r="B5747" s="76" t="s">
        <v>1030</v>
      </c>
      <c r="C5747" s="84">
        <v>0.3</v>
      </c>
      <c r="D5747" s="84">
        <v>0.0</v>
      </c>
      <c r="E5747" s="84">
        <v>0.0</v>
      </c>
      <c r="F5747" s="76" t="s">
        <v>950</v>
      </c>
      <c r="G5747" s="83">
        <v>46115.0</v>
      </c>
      <c r="H5747" s="76" t="s">
        <v>965</v>
      </c>
    </row>
    <row r="5748">
      <c r="A5748" s="76" t="s">
        <v>40</v>
      </c>
      <c r="B5748" s="76" t="s">
        <v>1030</v>
      </c>
      <c r="C5748" s="84">
        <v>0.01</v>
      </c>
      <c r="D5748" s="84">
        <v>0.0</v>
      </c>
      <c r="E5748" s="84">
        <v>0.0</v>
      </c>
      <c r="F5748" s="76" t="s">
        <v>950</v>
      </c>
      <c r="G5748" s="83">
        <v>46115.0</v>
      </c>
      <c r="H5748" s="76" t="s">
        <v>954</v>
      </c>
    </row>
    <row r="5749">
      <c r="A5749" s="76" t="s">
        <v>40</v>
      </c>
      <c r="B5749" s="76" t="s">
        <v>1030</v>
      </c>
      <c r="C5749" s="84">
        <v>0.09</v>
      </c>
      <c r="D5749" s="84">
        <v>0.0</v>
      </c>
      <c r="E5749" s="84">
        <v>0.0</v>
      </c>
      <c r="F5749" s="76" t="s">
        <v>950</v>
      </c>
      <c r="G5749" s="83">
        <v>46115.0</v>
      </c>
      <c r="H5749" s="76" t="s">
        <v>956</v>
      </c>
    </row>
    <row r="5750">
      <c r="A5750" s="76" t="s">
        <v>34</v>
      </c>
      <c r="B5750" s="76" t="s">
        <v>1030</v>
      </c>
      <c r="C5750" s="84">
        <v>0.03</v>
      </c>
      <c r="D5750" s="84">
        <v>0.0</v>
      </c>
      <c r="E5750" s="84">
        <v>0.0</v>
      </c>
      <c r="F5750" s="76" t="s">
        <v>950</v>
      </c>
      <c r="G5750" s="83">
        <v>46115.0</v>
      </c>
      <c r="H5750" s="76" t="s">
        <v>951</v>
      </c>
    </row>
    <row r="5751">
      <c r="A5751" s="76" t="s">
        <v>34</v>
      </c>
      <c r="B5751" s="76" t="s">
        <v>1030</v>
      </c>
      <c r="C5751" s="84">
        <v>0.01</v>
      </c>
      <c r="D5751" s="84">
        <v>0.0</v>
      </c>
      <c r="E5751" s="84">
        <v>0.0</v>
      </c>
      <c r="F5751" s="76" t="s">
        <v>950</v>
      </c>
      <c r="G5751" s="83">
        <v>46115.0</v>
      </c>
      <c r="H5751" s="76" t="s">
        <v>952</v>
      </c>
    </row>
    <row r="5752">
      <c r="A5752" s="76" t="s">
        <v>34</v>
      </c>
      <c r="B5752" s="76" t="s">
        <v>1030</v>
      </c>
      <c r="C5752" s="84">
        <v>0.01</v>
      </c>
      <c r="D5752" s="84">
        <v>0.0</v>
      </c>
      <c r="E5752" s="84">
        <v>0.0</v>
      </c>
      <c r="F5752" s="76" t="s">
        <v>950</v>
      </c>
      <c r="G5752" s="83">
        <v>46115.0</v>
      </c>
      <c r="H5752" s="76" t="s">
        <v>953</v>
      </c>
    </row>
    <row r="5753">
      <c r="A5753" s="76" t="s">
        <v>970</v>
      </c>
      <c r="B5753" s="76" t="s">
        <v>1030</v>
      </c>
      <c r="C5753" s="84">
        <v>0.2</v>
      </c>
      <c r="D5753" s="84">
        <v>0.0</v>
      </c>
      <c r="E5753" s="84">
        <v>0.0</v>
      </c>
      <c r="F5753" s="76" t="s">
        <v>950</v>
      </c>
      <c r="G5753" s="83">
        <v>46115.0</v>
      </c>
      <c r="H5753" s="76" t="s">
        <v>971</v>
      </c>
    </row>
    <row r="5754">
      <c r="A5754" s="76" t="s">
        <v>970</v>
      </c>
      <c r="B5754" s="76" t="s">
        <v>1030</v>
      </c>
      <c r="C5754" s="84">
        <v>0.04</v>
      </c>
      <c r="D5754" s="84">
        <v>0.0</v>
      </c>
      <c r="E5754" s="84">
        <v>0.0</v>
      </c>
      <c r="F5754" s="76" t="s">
        <v>950</v>
      </c>
      <c r="G5754" s="83">
        <v>46115.0</v>
      </c>
      <c r="H5754" s="76" t="s">
        <v>972</v>
      </c>
    </row>
    <row r="5755">
      <c r="A5755" s="76" t="s">
        <v>970</v>
      </c>
      <c r="B5755" s="76" t="s">
        <v>1030</v>
      </c>
      <c r="C5755" s="84">
        <v>0.21</v>
      </c>
      <c r="D5755" s="84">
        <v>0.0</v>
      </c>
      <c r="E5755" s="84">
        <v>0.0</v>
      </c>
      <c r="F5755" s="76" t="s">
        <v>950</v>
      </c>
      <c r="G5755" s="83">
        <v>46115.0</v>
      </c>
      <c r="H5755" s="76" t="s">
        <v>973</v>
      </c>
    </row>
    <row r="5756">
      <c r="A5756" s="76" t="s">
        <v>36</v>
      </c>
      <c r="B5756" s="76" t="s">
        <v>1030</v>
      </c>
      <c r="C5756" s="84">
        <v>0.05</v>
      </c>
      <c r="D5756" s="84">
        <v>0.0</v>
      </c>
      <c r="E5756" s="84">
        <v>0.0</v>
      </c>
      <c r="F5756" s="76" t="s">
        <v>950</v>
      </c>
      <c r="G5756" s="83">
        <v>46115.0</v>
      </c>
      <c r="H5756" s="76" t="s">
        <v>926</v>
      </c>
    </row>
    <row r="5757">
      <c r="A5757" s="76" t="s">
        <v>36</v>
      </c>
      <c r="B5757" s="76" t="s">
        <v>1030</v>
      </c>
      <c r="C5757" s="84">
        <v>0.0</v>
      </c>
      <c r="D5757" s="84">
        <v>0.0</v>
      </c>
      <c r="E5757" s="84">
        <v>0.0</v>
      </c>
      <c r="F5757" s="76" t="s">
        <v>950</v>
      </c>
      <c r="G5757" s="83">
        <v>46115.0</v>
      </c>
      <c r="H5757" s="76" t="s">
        <v>927</v>
      </c>
    </row>
    <row r="5758">
      <c r="A5758" s="76" t="s">
        <v>36</v>
      </c>
      <c r="B5758" s="76" t="s">
        <v>1030</v>
      </c>
      <c r="C5758" s="84">
        <v>0.01</v>
      </c>
      <c r="D5758" s="84">
        <v>0.0</v>
      </c>
      <c r="E5758" s="84">
        <v>0.0</v>
      </c>
      <c r="F5758" s="76" t="s">
        <v>950</v>
      </c>
      <c r="G5758" s="83">
        <v>46115.0</v>
      </c>
      <c r="H5758" s="76" t="s">
        <v>928</v>
      </c>
    </row>
    <row r="5759">
      <c r="A5759" s="76" t="s">
        <v>46</v>
      </c>
      <c r="B5759" s="76" t="s">
        <v>1030</v>
      </c>
      <c r="C5759" s="84">
        <v>0.12</v>
      </c>
      <c r="D5759" s="84">
        <v>0.0</v>
      </c>
      <c r="E5759" s="84">
        <v>0.0</v>
      </c>
      <c r="F5759" s="76" t="s">
        <v>950</v>
      </c>
      <c r="G5759" s="83">
        <v>46115.0</v>
      </c>
      <c r="H5759" s="76" t="s">
        <v>960</v>
      </c>
    </row>
    <row r="5760">
      <c r="A5760" s="76" t="s">
        <v>46</v>
      </c>
      <c r="B5760" s="76" t="s">
        <v>1030</v>
      </c>
      <c r="C5760" s="84">
        <v>0.16</v>
      </c>
      <c r="D5760" s="84">
        <v>0.0</v>
      </c>
      <c r="E5760" s="84">
        <v>0.0</v>
      </c>
      <c r="F5760" s="76" t="s">
        <v>950</v>
      </c>
      <c r="G5760" s="83">
        <v>46115.0</v>
      </c>
      <c r="H5760" s="76" t="s">
        <v>961</v>
      </c>
    </row>
    <row r="5761">
      <c r="A5761" s="76" t="s">
        <v>46</v>
      </c>
      <c r="B5761" s="76" t="s">
        <v>1030</v>
      </c>
      <c r="C5761" s="84">
        <v>0.04</v>
      </c>
      <c r="D5761" s="84">
        <v>0.0</v>
      </c>
      <c r="E5761" s="84">
        <v>0.0</v>
      </c>
      <c r="F5761" s="76" t="s">
        <v>950</v>
      </c>
      <c r="G5761" s="83">
        <v>46115.0</v>
      </c>
      <c r="H5761" s="76" t="s">
        <v>962</v>
      </c>
    </row>
    <row r="5762">
      <c r="A5762" s="76" t="s">
        <v>966</v>
      </c>
      <c r="B5762" s="76" t="s">
        <v>1030</v>
      </c>
      <c r="C5762" s="84">
        <v>0.05</v>
      </c>
      <c r="D5762" s="84">
        <v>0.0</v>
      </c>
      <c r="E5762" s="84">
        <v>0.0</v>
      </c>
      <c r="F5762" s="76" t="s">
        <v>950</v>
      </c>
      <c r="G5762" s="83">
        <v>46115.0</v>
      </c>
      <c r="H5762" s="76" t="s">
        <v>967</v>
      </c>
    </row>
    <row r="5763">
      <c r="A5763" s="76" t="s">
        <v>966</v>
      </c>
      <c r="B5763" s="76" t="s">
        <v>1030</v>
      </c>
      <c r="C5763" s="84">
        <v>0.02</v>
      </c>
      <c r="D5763" s="84">
        <v>0.0</v>
      </c>
      <c r="E5763" s="84">
        <v>0.0</v>
      </c>
      <c r="F5763" s="76" t="s">
        <v>950</v>
      </c>
      <c r="G5763" s="83">
        <v>46115.0</v>
      </c>
      <c r="H5763" s="76" t="s">
        <v>968</v>
      </c>
    </row>
    <row r="5764">
      <c r="A5764" s="76" t="s">
        <v>966</v>
      </c>
      <c r="B5764" s="76" t="s">
        <v>1030</v>
      </c>
      <c r="C5764" s="84">
        <v>0.0</v>
      </c>
      <c r="D5764" s="84">
        <v>0.0</v>
      </c>
      <c r="E5764" s="84">
        <v>0.0</v>
      </c>
      <c r="F5764" s="76" t="s">
        <v>950</v>
      </c>
      <c r="G5764" s="83">
        <v>46115.0</v>
      </c>
      <c r="H5764" s="76" t="s">
        <v>969</v>
      </c>
    </row>
    <row r="5765">
      <c r="A5765" s="76" t="s">
        <v>29</v>
      </c>
      <c r="B5765" s="76" t="s">
        <v>1030</v>
      </c>
      <c r="C5765" s="84">
        <v>0.13</v>
      </c>
      <c r="D5765" s="84">
        <v>0.0</v>
      </c>
      <c r="E5765" s="84">
        <v>0.0</v>
      </c>
      <c r="F5765" s="76" t="s">
        <v>950</v>
      </c>
      <c r="G5765" s="83">
        <v>46115.0</v>
      </c>
      <c r="H5765" s="76" t="s">
        <v>971</v>
      </c>
    </row>
    <row r="5766">
      <c r="A5766" s="76" t="s">
        <v>29</v>
      </c>
      <c r="B5766" s="76" t="s">
        <v>1030</v>
      </c>
      <c r="C5766" s="84">
        <v>0.01</v>
      </c>
      <c r="D5766" s="84">
        <v>0.0</v>
      </c>
      <c r="E5766" s="84">
        <v>0.0</v>
      </c>
      <c r="F5766" s="76" t="s">
        <v>950</v>
      </c>
      <c r="G5766" s="83">
        <v>46115.0</v>
      </c>
      <c r="H5766" s="76" t="s">
        <v>972</v>
      </c>
    </row>
    <row r="5767">
      <c r="A5767" s="76" t="s">
        <v>29</v>
      </c>
      <c r="B5767" s="76" t="s">
        <v>1030</v>
      </c>
      <c r="C5767" s="84">
        <v>0.24</v>
      </c>
      <c r="D5767" s="84">
        <v>0.0</v>
      </c>
      <c r="E5767" s="84">
        <v>0.0</v>
      </c>
      <c r="F5767" s="76" t="s">
        <v>950</v>
      </c>
      <c r="G5767" s="83">
        <v>46115.0</v>
      </c>
      <c r="H5767" s="76" t="s">
        <v>973</v>
      </c>
    </row>
    <row r="5768">
      <c r="A5768" s="76" t="s">
        <v>966</v>
      </c>
      <c r="B5768" s="76" t="s">
        <v>1030</v>
      </c>
      <c r="C5768" s="84">
        <v>0.09</v>
      </c>
      <c r="D5768" s="84">
        <v>0.0</v>
      </c>
      <c r="E5768" s="84">
        <v>0.0</v>
      </c>
      <c r="F5768" s="76" t="s">
        <v>975</v>
      </c>
      <c r="G5768" s="83">
        <v>46115.0</v>
      </c>
      <c r="H5768" s="76" t="s">
        <v>967</v>
      </c>
    </row>
    <row r="5769">
      <c r="A5769" s="76" t="s">
        <v>966</v>
      </c>
      <c r="B5769" s="76" t="s">
        <v>1030</v>
      </c>
      <c r="C5769" s="84">
        <v>0.07</v>
      </c>
      <c r="D5769" s="84">
        <v>0.0</v>
      </c>
      <c r="E5769" s="84">
        <v>0.0</v>
      </c>
      <c r="F5769" s="76" t="s">
        <v>975</v>
      </c>
      <c r="G5769" s="83">
        <v>46115.0</v>
      </c>
      <c r="H5769" s="76" t="s">
        <v>968</v>
      </c>
    </row>
    <row r="5770">
      <c r="A5770" s="76" t="s">
        <v>966</v>
      </c>
      <c r="B5770" s="76" t="s">
        <v>1030</v>
      </c>
      <c r="C5770" s="84">
        <v>0.02</v>
      </c>
      <c r="D5770" s="84">
        <v>0.0</v>
      </c>
      <c r="E5770" s="84">
        <v>0.0</v>
      </c>
      <c r="F5770" s="76" t="s">
        <v>975</v>
      </c>
      <c r="G5770" s="83">
        <v>46115.0</v>
      </c>
      <c r="H5770" s="76" t="s">
        <v>969</v>
      </c>
    </row>
    <row r="5771">
      <c r="A5771" s="76" t="s">
        <v>43</v>
      </c>
      <c r="B5771" s="76" t="s">
        <v>1030</v>
      </c>
      <c r="C5771" s="84">
        <v>0.13</v>
      </c>
      <c r="D5771" s="84">
        <v>0.0</v>
      </c>
      <c r="E5771" s="84">
        <v>0.0</v>
      </c>
      <c r="F5771" s="76" t="s">
        <v>975</v>
      </c>
      <c r="G5771" s="83">
        <v>46115.0</v>
      </c>
      <c r="H5771" s="76" t="s">
        <v>963</v>
      </c>
    </row>
    <row r="5772">
      <c r="A5772" s="76" t="s">
        <v>43</v>
      </c>
      <c r="B5772" s="76" t="s">
        <v>1030</v>
      </c>
      <c r="C5772" s="84">
        <v>0.15</v>
      </c>
      <c r="D5772" s="84">
        <v>0.0</v>
      </c>
      <c r="E5772" s="84">
        <v>0.0</v>
      </c>
      <c r="F5772" s="76" t="s">
        <v>975</v>
      </c>
      <c r="G5772" s="83">
        <v>46115.0</v>
      </c>
      <c r="H5772" s="76" t="s">
        <v>964</v>
      </c>
    </row>
    <row r="5773">
      <c r="A5773" s="76" t="s">
        <v>43</v>
      </c>
      <c r="B5773" s="76" t="s">
        <v>1030</v>
      </c>
      <c r="C5773" s="84">
        <v>0.45</v>
      </c>
      <c r="D5773" s="84">
        <v>0.0</v>
      </c>
      <c r="E5773" s="84">
        <v>0.0</v>
      </c>
      <c r="F5773" s="76" t="s">
        <v>975</v>
      </c>
      <c r="G5773" s="83">
        <v>46115.0</v>
      </c>
      <c r="H5773" s="76" t="s">
        <v>965</v>
      </c>
    </row>
    <row r="5774">
      <c r="A5774" s="76" t="s">
        <v>33</v>
      </c>
      <c r="B5774" s="76" t="s">
        <v>1030</v>
      </c>
      <c r="C5774" s="84">
        <v>0.32</v>
      </c>
      <c r="D5774" s="84">
        <v>0.0</v>
      </c>
      <c r="E5774" s="84">
        <v>0.0</v>
      </c>
      <c r="F5774" s="76" t="s">
        <v>975</v>
      </c>
      <c r="G5774" s="83">
        <v>46115.0</v>
      </c>
      <c r="H5774" s="76" t="s">
        <v>957</v>
      </c>
    </row>
    <row r="5775">
      <c r="A5775" s="76" t="s">
        <v>33</v>
      </c>
      <c r="B5775" s="76" t="s">
        <v>1030</v>
      </c>
      <c r="C5775" s="84">
        <v>0.1</v>
      </c>
      <c r="D5775" s="84">
        <v>0.0</v>
      </c>
      <c r="E5775" s="84">
        <v>0.0</v>
      </c>
      <c r="F5775" s="76" t="s">
        <v>975</v>
      </c>
      <c r="G5775" s="83">
        <v>46115.0</v>
      </c>
      <c r="H5775" s="76" t="s">
        <v>958</v>
      </c>
    </row>
    <row r="5776">
      <c r="A5776" s="76" t="s">
        <v>33</v>
      </c>
      <c r="B5776" s="76" t="s">
        <v>1030</v>
      </c>
      <c r="C5776" s="84">
        <v>0.09</v>
      </c>
      <c r="D5776" s="84">
        <v>0.0</v>
      </c>
      <c r="E5776" s="84">
        <v>0.0</v>
      </c>
      <c r="F5776" s="76" t="s">
        <v>975</v>
      </c>
      <c r="G5776" s="83">
        <v>46115.0</v>
      </c>
      <c r="H5776" s="76" t="s">
        <v>959</v>
      </c>
    </row>
    <row r="5777">
      <c r="A5777" s="76" t="s">
        <v>29</v>
      </c>
      <c r="B5777" s="76" t="s">
        <v>1030</v>
      </c>
      <c r="C5777" s="84">
        <v>0.15</v>
      </c>
      <c r="D5777" s="84">
        <v>0.0</v>
      </c>
      <c r="E5777" s="84">
        <v>0.0</v>
      </c>
      <c r="F5777" s="76" t="s">
        <v>975</v>
      </c>
      <c r="G5777" s="83">
        <v>46115.0</v>
      </c>
      <c r="H5777" s="76" t="s">
        <v>971</v>
      </c>
    </row>
    <row r="5778">
      <c r="A5778" s="76" t="s">
        <v>29</v>
      </c>
      <c r="B5778" s="76" t="s">
        <v>1030</v>
      </c>
      <c r="C5778" s="84">
        <v>0.04</v>
      </c>
      <c r="D5778" s="84">
        <v>0.0</v>
      </c>
      <c r="E5778" s="84">
        <v>0.0</v>
      </c>
      <c r="F5778" s="76" t="s">
        <v>975</v>
      </c>
      <c r="G5778" s="83">
        <v>46115.0</v>
      </c>
      <c r="H5778" s="76" t="s">
        <v>972</v>
      </c>
    </row>
    <row r="5779">
      <c r="A5779" s="76" t="s">
        <v>29</v>
      </c>
      <c r="B5779" s="76" t="s">
        <v>1030</v>
      </c>
      <c r="C5779" s="84">
        <v>0.3</v>
      </c>
      <c r="D5779" s="84">
        <v>0.0</v>
      </c>
      <c r="E5779" s="84">
        <v>0.0</v>
      </c>
      <c r="F5779" s="76" t="s">
        <v>975</v>
      </c>
      <c r="G5779" s="83">
        <v>46115.0</v>
      </c>
      <c r="H5779" s="76" t="s">
        <v>973</v>
      </c>
    </row>
    <row r="5780">
      <c r="A5780" s="76" t="s">
        <v>46</v>
      </c>
      <c r="B5780" s="76" t="s">
        <v>1030</v>
      </c>
      <c r="C5780" s="84">
        <v>0.07</v>
      </c>
      <c r="D5780" s="84">
        <v>0.0</v>
      </c>
      <c r="E5780" s="84">
        <v>0.0</v>
      </c>
      <c r="F5780" s="76" t="s">
        <v>975</v>
      </c>
      <c r="G5780" s="83">
        <v>46115.0</v>
      </c>
      <c r="H5780" s="76" t="s">
        <v>960</v>
      </c>
    </row>
    <row r="5781">
      <c r="A5781" s="76" t="s">
        <v>46</v>
      </c>
      <c r="B5781" s="76" t="s">
        <v>1030</v>
      </c>
      <c r="C5781" s="84">
        <v>0.19</v>
      </c>
      <c r="D5781" s="84">
        <v>0.0</v>
      </c>
      <c r="E5781" s="84">
        <v>0.0</v>
      </c>
      <c r="F5781" s="76" t="s">
        <v>975</v>
      </c>
      <c r="G5781" s="83">
        <v>46115.0</v>
      </c>
      <c r="H5781" s="76" t="s">
        <v>961</v>
      </c>
    </row>
    <row r="5782">
      <c r="A5782" s="76" t="s">
        <v>46</v>
      </c>
      <c r="B5782" s="76" t="s">
        <v>1030</v>
      </c>
      <c r="C5782" s="84">
        <v>0.04</v>
      </c>
      <c r="D5782" s="84">
        <v>0.0</v>
      </c>
      <c r="E5782" s="84">
        <v>0.0</v>
      </c>
      <c r="F5782" s="76" t="s">
        <v>975</v>
      </c>
      <c r="G5782" s="83">
        <v>46115.0</v>
      </c>
      <c r="H5782" s="76" t="s">
        <v>962</v>
      </c>
    </row>
    <row r="5783">
      <c r="A5783" s="76" t="s">
        <v>34</v>
      </c>
      <c r="B5783" s="76" t="s">
        <v>1030</v>
      </c>
      <c r="C5783" s="84">
        <v>0.05</v>
      </c>
      <c r="D5783" s="84">
        <v>0.0</v>
      </c>
      <c r="E5783" s="84">
        <v>0.0</v>
      </c>
      <c r="F5783" s="76" t="s">
        <v>975</v>
      </c>
      <c r="G5783" s="83">
        <v>46115.0</v>
      </c>
      <c r="H5783" s="76" t="s">
        <v>951</v>
      </c>
    </row>
    <row r="5784">
      <c r="A5784" s="76" t="s">
        <v>34</v>
      </c>
      <c r="B5784" s="76" t="s">
        <v>1030</v>
      </c>
      <c r="C5784" s="84">
        <v>0.05</v>
      </c>
      <c r="D5784" s="84">
        <v>0.0</v>
      </c>
      <c r="E5784" s="84">
        <v>0.0</v>
      </c>
      <c r="F5784" s="76" t="s">
        <v>975</v>
      </c>
      <c r="G5784" s="83">
        <v>46115.0</v>
      </c>
      <c r="H5784" s="76" t="s">
        <v>952</v>
      </c>
    </row>
    <row r="5785">
      <c r="A5785" s="76" t="s">
        <v>34</v>
      </c>
      <c r="B5785" s="76" t="s">
        <v>1030</v>
      </c>
      <c r="C5785" s="84">
        <v>0.03</v>
      </c>
      <c r="D5785" s="84">
        <v>0.0</v>
      </c>
      <c r="E5785" s="84">
        <v>0.0</v>
      </c>
      <c r="F5785" s="76" t="s">
        <v>975</v>
      </c>
      <c r="G5785" s="83">
        <v>46115.0</v>
      </c>
      <c r="H5785" s="76" t="s">
        <v>953</v>
      </c>
    </row>
    <row r="5786">
      <c r="A5786" s="76" t="s">
        <v>40</v>
      </c>
      <c r="B5786" s="76" t="s">
        <v>1030</v>
      </c>
      <c r="C5786" s="84">
        <v>0.03</v>
      </c>
      <c r="D5786" s="84">
        <v>0.0</v>
      </c>
      <c r="E5786" s="84">
        <v>0.0</v>
      </c>
      <c r="F5786" s="76" t="s">
        <v>975</v>
      </c>
      <c r="G5786" s="83">
        <v>46115.0</v>
      </c>
      <c r="H5786" s="76" t="s">
        <v>954</v>
      </c>
    </row>
    <row r="5787">
      <c r="A5787" s="76" t="s">
        <v>40</v>
      </c>
      <c r="B5787" s="76" t="s">
        <v>1030</v>
      </c>
      <c r="C5787" s="84">
        <v>0.01</v>
      </c>
      <c r="D5787" s="84">
        <v>0.0</v>
      </c>
      <c r="E5787" s="84">
        <v>0.0</v>
      </c>
      <c r="F5787" s="76" t="s">
        <v>975</v>
      </c>
      <c r="G5787" s="83">
        <v>46115.0</v>
      </c>
      <c r="H5787" s="76" t="s">
        <v>955</v>
      </c>
    </row>
    <row r="5788">
      <c r="A5788" s="76" t="s">
        <v>40</v>
      </c>
      <c r="B5788" s="76" t="s">
        <v>1030</v>
      </c>
      <c r="C5788" s="84">
        <v>0.08</v>
      </c>
      <c r="D5788" s="84">
        <v>0.0</v>
      </c>
      <c r="E5788" s="84">
        <v>0.0</v>
      </c>
      <c r="F5788" s="76" t="s">
        <v>975</v>
      </c>
      <c r="G5788" s="83">
        <v>46115.0</v>
      </c>
      <c r="H5788" s="76" t="s">
        <v>956</v>
      </c>
    </row>
    <row r="5789">
      <c r="A5789" s="76" t="s">
        <v>36</v>
      </c>
      <c r="B5789" s="76" t="s">
        <v>1030</v>
      </c>
      <c r="C5789" s="84">
        <v>0.01</v>
      </c>
      <c r="D5789" s="84">
        <v>0.0</v>
      </c>
      <c r="E5789" s="84">
        <v>0.0</v>
      </c>
      <c r="F5789" s="76" t="s">
        <v>975</v>
      </c>
      <c r="G5789" s="83">
        <v>46115.0</v>
      </c>
      <c r="H5789" s="76" t="s">
        <v>926</v>
      </c>
    </row>
    <row r="5790">
      <c r="A5790" s="76" t="s">
        <v>36</v>
      </c>
      <c r="B5790" s="76" t="s">
        <v>1030</v>
      </c>
      <c r="C5790" s="84">
        <v>0.01</v>
      </c>
      <c r="D5790" s="84">
        <v>0.0</v>
      </c>
      <c r="E5790" s="84">
        <v>0.0</v>
      </c>
      <c r="F5790" s="76" t="s">
        <v>975</v>
      </c>
      <c r="G5790" s="83">
        <v>46115.0</v>
      </c>
      <c r="H5790" s="76" t="s">
        <v>927</v>
      </c>
    </row>
    <row r="5791">
      <c r="A5791" s="76" t="s">
        <v>36</v>
      </c>
      <c r="B5791" s="76" t="s">
        <v>1030</v>
      </c>
      <c r="C5791" s="84">
        <v>0.01</v>
      </c>
      <c r="D5791" s="84">
        <v>0.0</v>
      </c>
      <c r="E5791" s="84">
        <v>0.0</v>
      </c>
      <c r="F5791" s="76" t="s">
        <v>975</v>
      </c>
      <c r="G5791" s="83">
        <v>46115.0</v>
      </c>
      <c r="H5791" s="76" t="s">
        <v>928</v>
      </c>
    </row>
    <row r="5792">
      <c r="A5792" s="76" t="s">
        <v>970</v>
      </c>
      <c r="B5792" s="76" t="s">
        <v>1030</v>
      </c>
      <c r="C5792" s="84">
        <v>0.12</v>
      </c>
      <c r="D5792" s="84">
        <v>0.0</v>
      </c>
      <c r="E5792" s="84">
        <v>0.0</v>
      </c>
      <c r="F5792" s="76" t="s">
        <v>975</v>
      </c>
      <c r="G5792" s="83">
        <v>46115.0</v>
      </c>
      <c r="H5792" s="76" t="s">
        <v>971</v>
      </c>
    </row>
    <row r="5793">
      <c r="A5793" s="76" t="s">
        <v>970</v>
      </c>
      <c r="B5793" s="76" t="s">
        <v>1030</v>
      </c>
      <c r="C5793" s="84">
        <v>0.02</v>
      </c>
      <c r="D5793" s="84">
        <v>0.0</v>
      </c>
      <c r="E5793" s="84">
        <v>0.0</v>
      </c>
      <c r="F5793" s="76" t="s">
        <v>975</v>
      </c>
      <c r="G5793" s="83">
        <v>46115.0</v>
      </c>
      <c r="H5793" s="76" t="s">
        <v>972</v>
      </c>
    </row>
    <row r="5794">
      <c r="A5794" s="76" t="s">
        <v>970</v>
      </c>
      <c r="B5794" s="76" t="s">
        <v>1030</v>
      </c>
      <c r="C5794" s="84">
        <v>0.31</v>
      </c>
      <c r="D5794" s="84">
        <v>0.0</v>
      </c>
      <c r="E5794" s="84">
        <v>0.0</v>
      </c>
      <c r="F5794" s="76" t="s">
        <v>975</v>
      </c>
      <c r="G5794" s="83">
        <v>46115.0</v>
      </c>
      <c r="H5794" s="76" t="s">
        <v>973</v>
      </c>
    </row>
    <row r="5795">
      <c r="A5795" s="76" t="s">
        <v>29</v>
      </c>
      <c r="B5795" s="76" t="s">
        <v>1031</v>
      </c>
      <c r="C5795" s="84">
        <v>0.37</v>
      </c>
      <c r="D5795" s="84">
        <v>0.0</v>
      </c>
      <c r="E5795" s="84">
        <v>0.0</v>
      </c>
      <c r="F5795" s="76" t="s">
        <v>925</v>
      </c>
      <c r="G5795" s="83">
        <v>46115.0</v>
      </c>
      <c r="H5795" s="76" t="s">
        <v>971</v>
      </c>
    </row>
    <row r="5796">
      <c r="A5796" s="76" t="s">
        <v>29</v>
      </c>
      <c r="B5796" s="76" t="s">
        <v>1031</v>
      </c>
      <c r="C5796" s="84">
        <v>0.14</v>
      </c>
      <c r="D5796" s="84">
        <v>0.0</v>
      </c>
      <c r="E5796" s="84">
        <v>0.0</v>
      </c>
      <c r="F5796" s="76" t="s">
        <v>925</v>
      </c>
      <c r="G5796" s="83">
        <v>46115.0</v>
      </c>
      <c r="H5796" s="76" t="s">
        <v>972</v>
      </c>
    </row>
    <row r="5797">
      <c r="A5797" s="76" t="s">
        <v>29</v>
      </c>
      <c r="B5797" s="76" t="s">
        <v>1031</v>
      </c>
      <c r="C5797" s="84">
        <v>0.69</v>
      </c>
      <c r="D5797" s="84">
        <v>0.0</v>
      </c>
      <c r="E5797" s="84">
        <v>0.0</v>
      </c>
      <c r="F5797" s="76" t="s">
        <v>925</v>
      </c>
      <c r="G5797" s="83">
        <v>46115.0</v>
      </c>
      <c r="H5797" s="76" t="s">
        <v>973</v>
      </c>
    </row>
    <row r="5798">
      <c r="A5798" s="76" t="s">
        <v>36</v>
      </c>
      <c r="B5798" s="76" t="s">
        <v>1031</v>
      </c>
      <c r="C5798" s="84">
        <v>0.08</v>
      </c>
      <c r="D5798" s="84">
        <v>0.0</v>
      </c>
      <c r="E5798" s="84">
        <v>0.0</v>
      </c>
      <c r="F5798" s="76" t="s">
        <v>925</v>
      </c>
      <c r="G5798" s="83">
        <v>46115.0</v>
      </c>
      <c r="H5798" s="76" t="s">
        <v>926</v>
      </c>
    </row>
    <row r="5799">
      <c r="A5799" s="76" t="s">
        <v>36</v>
      </c>
      <c r="B5799" s="76" t="s">
        <v>1031</v>
      </c>
      <c r="C5799" s="84">
        <v>0.05</v>
      </c>
      <c r="D5799" s="84">
        <v>0.0</v>
      </c>
      <c r="E5799" s="84">
        <v>0.0</v>
      </c>
      <c r="F5799" s="76" t="s">
        <v>925</v>
      </c>
      <c r="G5799" s="83">
        <v>46115.0</v>
      </c>
      <c r="H5799" s="76" t="s">
        <v>927</v>
      </c>
    </row>
    <row r="5800">
      <c r="A5800" s="76" t="s">
        <v>36</v>
      </c>
      <c r="B5800" s="76" t="s">
        <v>1031</v>
      </c>
      <c r="C5800" s="84">
        <v>0.04</v>
      </c>
      <c r="D5800" s="84">
        <v>0.0</v>
      </c>
      <c r="E5800" s="84">
        <v>0.0</v>
      </c>
      <c r="F5800" s="76" t="s">
        <v>925</v>
      </c>
      <c r="G5800" s="83">
        <v>46115.0</v>
      </c>
      <c r="H5800" s="76" t="s">
        <v>928</v>
      </c>
    </row>
    <row r="5801">
      <c r="A5801" s="76" t="s">
        <v>40</v>
      </c>
      <c r="B5801" s="76" t="s">
        <v>1031</v>
      </c>
      <c r="C5801" s="84">
        <v>0.04</v>
      </c>
      <c r="D5801" s="84">
        <v>0.0</v>
      </c>
      <c r="E5801" s="84">
        <v>0.0</v>
      </c>
      <c r="F5801" s="76" t="s">
        <v>925</v>
      </c>
      <c r="G5801" s="83">
        <v>46115.0</v>
      </c>
      <c r="H5801" s="76" t="s">
        <v>954</v>
      </c>
    </row>
    <row r="5802">
      <c r="A5802" s="76" t="s">
        <v>40</v>
      </c>
      <c r="B5802" s="76" t="s">
        <v>1031</v>
      </c>
      <c r="C5802" s="84">
        <v>0.01</v>
      </c>
      <c r="D5802" s="84">
        <v>0.0</v>
      </c>
      <c r="E5802" s="84">
        <v>0.0</v>
      </c>
      <c r="F5802" s="76" t="s">
        <v>925</v>
      </c>
      <c r="G5802" s="83">
        <v>46115.0</v>
      </c>
      <c r="H5802" s="76" t="s">
        <v>955</v>
      </c>
    </row>
    <row r="5803">
      <c r="A5803" s="76" t="s">
        <v>40</v>
      </c>
      <c r="B5803" s="76" t="s">
        <v>1031</v>
      </c>
      <c r="C5803" s="84">
        <v>0.17</v>
      </c>
      <c r="D5803" s="84">
        <v>0.0</v>
      </c>
      <c r="E5803" s="84">
        <v>0.0</v>
      </c>
      <c r="F5803" s="76" t="s">
        <v>925</v>
      </c>
      <c r="G5803" s="83">
        <v>46115.0</v>
      </c>
      <c r="H5803" s="76" t="s">
        <v>956</v>
      </c>
    </row>
    <row r="5804">
      <c r="A5804" s="76" t="s">
        <v>970</v>
      </c>
      <c r="B5804" s="76" t="s">
        <v>1031</v>
      </c>
      <c r="C5804" s="84">
        <v>0.71</v>
      </c>
      <c r="D5804" s="84">
        <v>0.0</v>
      </c>
      <c r="E5804" s="84">
        <v>0.0</v>
      </c>
      <c r="F5804" s="76" t="s">
        <v>925</v>
      </c>
      <c r="G5804" s="83">
        <v>46115.0</v>
      </c>
      <c r="H5804" s="76" t="s">
        <v>971</v>
      </c>
    </row>
    <row r="5805">
      <c r="A5805" s="76" t="s">
        <v>970</v>
      </c>
      <c r="B5805" s="76" t="s">
        <v>1031</v>
      </c>
      <c r="C5805" s="84">
        <v>0.15</v>
      </c>
      <c r="D5805" s="84">
        <v>0.0</v>
      </c>
      <c r="E5805" s="84">
        <v>0.0</v>
      </c>
      <c r="F5805" s="76" t="s">
        <v>925</v>
      </c>
      <c r="G5805" s="83">
        <v>46115.0</v>
      </c>
      <c r="H5805" s="76" t="s">
        <v>972</v>
      </c>
    </row>
    <row r="5806">
      <c r="A5806" s="76" t="s">
        <v>970</v>
      </c>
      <c r="B5806" s="76" t="s">
        <v>1031</v>
      </c>
      <c r="C5806" s="84">
        <v>0.58</v>
      </c>
      <c r="D5806" s="84">
        <v>0.0</v>
      </c>
      <c r="E5806" s="84">
        <v>0.0</v>
      </c>
      <c r="F5806" s="76" t="s">
        <v>925</v>
      </c>
      <c r="G5806" s="83">
        <v>46115.0</v>
      </c>
      <c r="H5806" s="76" t="s">
        <v>973</v>
      </c>
    </row>
    <row r="5807">
      <c r="A5807" s="76" t="s">
        <v>46</v>
      </c>
      <c r="B5807" s="76" t="s">
        <v>1031</v>
      </c>
      <c r="C5807" s="84">
        <v>0.15</v>
      </c>
      <c r="D5807" s="84">
        <v>0.0</v>
      </c>
      <c r="E5807" s="84">
        <v>0.0</v>
      </c>
      <c r="F5807" s="76" t="s">
        <v>925</v>
      </c>
      <c r="G5807" s="83">
        <v>46115.0</v>
      </c>
      <c r="H5807" s="76" t="s">
        <v>960</v>
      </c>
    </row>
    <row r="5808">
      <c r="A5808" s="76" t="s">
        <v>46</v>
      </c>
      <c r="B5808" s="76" t="s">
        <v>1031</v>
      </c>
      <c r="C5808" s="84">
        <v>0.29</v>
      </c>
      <c r="D5808" s="84">
        <v>0.0</v>
      </c>
      <c r="E5808" s="84">
        <v>0.0</v>
      </c>
      <c r="F5808" s="76" t="s">
        <v>925</v>
      </c>
      <c r="G5808" s="83">
        <v>46115.0</v>
      </c>
      <c r="H5808" s="76" t="s">
        <v>961</v>
      </c>
    </row>
    <row r="5809">
      <c r="A5809" s="76" t="s">
        <v>46</v>
      </c>
      <c r="B5809" s="76" t="s">
        <v>1031</v>
      </c>
      <c r="C5809" s="84">
        <v>0.15</v>
      </c>
      <c r="D5809" s="84">
        <v>0.0</v>
      </c>
      <c r="E5809" s="84">
        <v>0.0</v>
      </c>
      <c r="F5809" s="76" t="s">
        <v>925</v>
      </c>
      <c r="G5809" s="83">
        <v>46115.0</v>
      </c>
      <c r="H5809" s="76" t="s">
        <v>962</v>
      </c>
    </row>
    <row r="5810">
      <c r="A5810" s="76" t="s">
        <v>34</v>
      </c>
      <c r="B5810" s="76" t="s">
        <v>1031</v>
      </c>
      <c r="C5810" s="84">
        <v>0.95</v>
      </c>
      <c r="D5810" s="84">
        <v>0.0</v>
      </c>
      <c r="E5810" s="84">
        <v>0.0</v>
      </c>
      <c r="F5810" s="76" t="s">
        <v>925</v>
      </c>
      <c r="G5810" s="83">
        <v>46115.0</v>
      </c>
      <c r="H5810" s="76" t="s">
        <v>951</v>
      </c>
    </row>
    <row r="5811">
      <c r="A5811" s="76" t="s">
        <v>34</v>
      </c>
      <c r="B5811" s="76" t="s">
        <v>1031</v>
      </c>
      <c r="C5811" s="84">
        <v>1.04</v>
      </c>
      <c r="D5811" s="84">
        <v>0.0</v>
      </c>
      <c r="E5811" s="84">
        <v>0.0</v>
      </c>
      <c r="F5811" s="76" t="s">
        <v>925</v>
      </c>
      <c r="G5811" s="83">
        <v>46115.0</v>
      </c>
      <c r="H5811" s="76" t="s">
        <v>952</v>
      </c>
    </row>
    <row r="5812">
      <c r="A5812" s="76" t="s">
        <v>34</v>
      </c>
      <c r="B5812" s="76" t="s">
        <v>1031</v>
      </c>
      <c r="C5812" s="84">
        <v>0.36</v>
      </c>
      <c r="D5812" s="84">
        <v>0.0</v>
      </c>
      <c r="E5812" s="84">
        <v>0.0</v>
      </c>
      <c r="F5812" s="76" t="s">
        <v>925</v>
      </c>
      <c r="G5812" s="83">
        <v>46115.0</v>
      </c>
      <c r="H5812" s="76" t="s">
        <v>953</v>
      </c>
    </row>
    <row r="5813">
      <c r="A5813" s="76" t="s">
        <v>33</v>
      </c>
      <c r="B5813" s="76" t="s">
        <v>1031</v>
      </c>
      <c r="C5813" s="84">
        <v>0.87</v>
      </c>
      <c r="D5813" s="84">
        <v>0.0</v>
      </c>
      <c r="E5813" s="84">
        <v>0.0</v>
      </c>
      <c r="F5813" s="76" t="s">
        <v>925</v>
      </c>
      <c r="G5813" s="83">
        <v>46115.0</v>
      </c>
      <c r="H5813" s="76" t="s">
        <v>957</v>
      </c>
    </row>
    <row r="5814">
      <c r="A5814" s="76" t="s">
        <v>33</v>
      </c>
      <c r="B5814" s="76" t="s">
        <v>1031</v>
      </c>
      <c r="C5814" s="84">
        <v>0.09</v>
      </c>
      <c r="D5814" s="84">
        <v>0.0</v>
      </c>
      <c r="E5814" s="84">
        <v>0.0</v>
      </c>
      <c r="F5814" s="76" t="s">
        <v>925</v>
      </c>
      <c r="G5814" s="83">
        <v>46115.0</v>
      </c>
      <c r="H5814" s="76" t="s">
        <v>958</v>
      </c>
    </row>
    <row r="5815">
      <c r="A5815" s="76" t="s">
        <v>33</v>
      </c>
      <c r="B5815" s="76" t="s">
        <v>1031</v>
      </c>
      <c r="C5815" s="84">
        <v>0.22</v>
      </c>
      <c r="D5815" s="84">
        <v>0.0</v>
      </c>
      <c r="E5815" s="84">
        <v>0.0</v>
      </c>
      <c r="F5815" s="76" t="s">
        <v>925</v>
      </c>
      <c r="G5815" s="83">
        <v>46115.0</v>
      </c>
      <c r="H5815" s="76" t="s">
        <v>959</v>
      </c>
    </row>
    <row r="5816">
      <c r="A5816" s="76" t="s">
        <v>43</v>
      </c>
      <c r="B5816" s="76" t="s">
        <v>1031</v>
      </c>
      <c r="C5816" s="84">
        <v>0.23</v>
      </c>
      <c r="D5816" s="84">
        <v>0.0</v>
      </c>
      <c r="E5816" s="84">
        <v>0.0</v>
      </c>
      <c r="F5816" s="76" t="s">
        <v>925</v>
      </c>
      <c r="G5816" s="83">
        <v>46115.0</v>
      </c>
      <c r="H5816" s="76" t="s">
        <v>963</v>
      </c>
    </row>
    <row r="5817">
      <c r="A5817" s="76" t="s">
        <v>43</v>
      </c>
      <c r="B5817" s="76" t="s">
        <v>1031</v>
      </c>
      <c r="C5817" s="84">
        <v>0.28</v>
      </c>
      <c r="D5817" s="84">
        <v>0.0</v>
      </c>
      <c r="E5817" s="84">
        <v>0.0</v>
      </c>
      <c r="F5817" s="76" t="s">
        <v>925</v>
      </c>
      <c r="G5817" s="83">
        <v>46115.0</v>
      </c>
      <c r="H5817" s="76" t="s">
        <v>964</v>
      </c>
    </row>
    <row r="5818">
      <c r="A5818" s="76" t="s">
        <v>43</v>
      </c>
      <c r="B5818" s="76" t="s">
        <v>1031</v>
      </c>
      <c r="C5818" s="84">
        <v>0.81</v>
      </c>
      <c r="D5818" s="84">
        <v>0.0</v>
      </c>
      <c r="E5818" s="84">
        <v>0.0</v>
      </c>
      <c r="F5818" s="76" t="s">
        <v>925</v>
      </c>
      <c r="G5818" s="83">
        <v>46115.0</v>
      </c>
      <c r="H5818" s="76" t="s">
        <v>965</v>
      </c>
    </row>
    <row r="5819">
      <c r="A5819" s="76" t="s">
        <v>966</v>
      </c>
      <c r="B5819" s="76" t="s">
        <v>1031</v>
      </c>
      <c r="C5819" s="84">
        <v>0.1</v>
      </c>
      <c r="D5819" s="84">
        <v>0.0</v>
      </c>
      <c r="E5819" s="84">
        <v>0.0</v>
      </c>
      <c r="F5819" s="76" t="s">
        <v>925</v>
      </c>
      <c r="G5819" s="83">
        <v>46115.0</v>
      </c>
      <c r="H5819" s="76" t="s">
        <v>967</v>
      </c>
    </row>
    <row r="5820">
      <c r="A5820" s="76" t="s">
        <v>966</v>
      </c>
      <c r="B5820" s="76" t="s">
        <v>1031</v>
      </c>
      <c r="C5820" s="84">
        <v>0.04</v>
      </c>
      <c r="D5820" s="84">
        <v>0.0</v>
      </c>
      <c r="E5820" s="84">
        <v>0.0</v>
      </c>
      <c r="F5820" s="76" t="s">
        <v>925</v>
      </c>
      <c r="G5820" s="83">
        <v>46115.0</v>
      </c>
      <c r="H5820" s="76" t="s">
        <v>968</v>
      </c>
    </row>
    <row r="5821">
      <c r="A5821" s="76" t="s">
        <v>966</v>
      </c>
      <c r="B5821" s="76" t="s">
        <v>1031</v>
      </c>
      <c r="C5821" s="84">
        <v>0.06</v>
      </c>
      <c r="D5821" s="84">
        <v>0.0</v>
      </c>
      <c r="E5821" s="84">
        <v>0.0</v>
      </c>
      <c r="F5821" s="76" t="s">
        <v>925</v>
      </c>
      <c r="G5821" s="83">
        <v>46115.0</v>
      </c>
      <c r="H5821" s="76" t="s">
        <v>969</v>
      </c>
    </row>
    <row r="5822">
      <c r="A5822" s="76" t="s">
        <v>970</v>
      </c>
      <c r="B5822" s="76" t="s">
        <v>1031</v>
      </c>
      <c r="C5822" s="84">
        <v>0.18</v>
      </c>
      <c r="D5822" s="84">
        <v>0.0</v>
      </c>
      <c r="E5822" s="84">
        <v>0.0</v>
      </c>
      <c r="F5822" s="76" t="s">
        <v>948</v>
      </c>
      <c r="G5822" s="83">
        <v>46115.0</v>
      </c>
      <c r="H5822" s="76" t="s">
        <v>971</v>
      </c>
    </row>
    <row r="5823">
      <c r="A5823" s="76" t="s">
        <v>970</v>
      </c>
      <c r="B5823" s="76" t="s">
        <v>1031</v>
      </c>
      <c r="C5823" s="84">
        <v>0.04</v>
      </c>
      <c r="D5823" s="84">
        <v>0.0</v>
      </c>
      <c r="E5823" s="84">
        <v>0.0</v>
      </c>
      <c r="F5823" s="76" t="s">
        <v>948</v>
      </c>
      <c r="G5823" s="83">
        <v>46115.0</v>
      </c>
      <c r="H5823" s="76" t="s">
        <v>972</v>
      </c>
    </row>
    <row r="5824">
      <c r="A5824" s="76" t="s">
        <v>970</v>
      </c>
      <c r="B5824" s="76" t="s">
        <v>1031</v>
      </c>
      <c r="C5824" s="84">
        <v>0.39</v>
      </c>
      <c r="D5824" s="84">
        <v>0.0</v>
      </c>
      <c r="E5824" s="84">
        <v>0.0</v>
      </c>
      <c r="F5824" s="76" t="s">
        <v>948</v>
      </c>
      <c r="G5824" s="83">
        <v>46115.0</v>
      </c>
      <c r="H5824" s="76" t="s">
        <v>973</v>
      </c>
    </row>
    <row r="5825">
      <c r="A5825" s="76" t="s">
        <v>33</v>
      </c>
      <c r="B5825" s="76" t="s">
        <v>1031</v>
      </c>
      <c r="C5825" s="84">
        <v>0.36</v>
      </c>
      <c r="D5825" s="84">
        <v>0.0</v>
      </c>
      <c r="E5825" s="84">
        <v>0.0</v>
      </c>
      <c r="F5825" s="76" t="s">
        <v>948</v>
      </c>
      <c r="G5825" s="83">
        <v>46115.0</v>
      </c>
      <c r="H5825" s="76" t="s">
        <v>957</v>
      </c>
    </row>
    <row r="5826">
      <c r="A5826" s="76" t="s">
        <v>33</v>
      </c>
      <c r="B5826" s="76" t="s">
        <v>1031</v>
      </c>
      <c r="C5826" s="84">
        <v>0.03</v>
      </c>
      <c r="D5826" s="84">
        <v>0.0</v>
      </c>
      <c r="E5826" s="84">
        <v>0.0</v>
      </c>
      <c r="F5826" s="76" t="s">
        <v>948</v>
      </c>
      <c r="G5826" s="83">
        <v>46115.0</v>
      </c>
      <c r="H5826" s="76" t="s">
        <v>958</v>
      </c>
    </row>
    <row r="5827">
      <c r="A5827" s="76" t="s">
        <v>33</v>
      </c>
      <c r="B5827" s="76" t="s">
        <v>1031</v>
      </c>
      <c r="C5827" s="84">
        <v>0.07</v>
      </c>
      <c r="D5827" s="84">
        <v>0.0</v>
      </c>
      <c r="E5827" s="84">
        <v>0.0</v>
      </c>
      <c r="F5827" s="76" t="s">
        <v>948</v>
      </c>
      <c r="G5827" s="83">
        <v>46115.0</v>
      </c>
      <c r="H5827" s="76" t="s">
        <v>959</v>
      </c>
    </row>
    <row r="5828">
      <c r="A5828" s="76" t="s">
        <v>46</v>
      </c>
      <c r="B5828" s="76" t="s">
        <v>1031</v>
      </c>
      <c r="C5828" s="84">
        <v>0.07</v>
      </c>
      <c r="D5828" s="84">
        <v>0.0</v>
      </c>
      <c r="E5828" s="84">
        <v>0.0</v>
      </c>
      <c r="F5828" s="76" t="s">
        <v>948</v>
      </c>
      <c r="G5828" s="83">
        <v>46115.0</v>
      </c>
      <c r="H5828" s="76" t="s">
        <v>960</v>
      </c>
    </row>
    <row r="5829">
      <c r="A5829" s="76" t="s">
        <v>46</v>
      </c>
      <c r="B5829" s="76" t="s">
        <v>1031</v>
      </c>
      <c r="C5829" s="84">
        <v>0.09</v>
      </c>
      <c r="D5829" s="84">
        <v>0.0</v>
      </c>
      <c r="E5829" s="84">
        <v>0.0</v>
      </c>
      <c r="F5829" s="76" t="s">
        <v>948</v>
      </c>
      <c r="G5829" s="83">
        <v>46115.0</v>
      </c>
      <c r="H5829" s="76" t="s">
        <v>961</v>
      </c>
    </row>
    <row r="5830">
      <c r="A5830" s="76" t="s">
        <v>46</v>
      </c>
      <c r="B5830" s="76" t="s">
        <v>1031</v>
      </c>
      <c r="C5830" s="84">
        <v>0.06</v>
      </c>
      <c r="D5830" s="84">
        <v>0.0</v>
      </c>
      <c r="E5830" s="84">
        <v>0.0</v>
      </c>
      <c r="F5830" s="76" t="s">
        <v>948</v>
      </c>
      <c r="G5830" s="83">
        <v>46115.0</v>
      </c>
      <c r="H5830" s="76" t="s">
        <v>962</v>
      </c>
    </row>
    <row r="5831">
      <c r="A5831" s="76" t="s">
        <v>966</v>
      </c>
      <c r="B5831" s="76" t="s">
        <v>1031</v>
      </c>
      <c r="C5831" s="84">
        <v>0.07</v>
      </c>
      <c r="D5831" s="84">
        <v>1.0</v>
      </c>
      <c r="E5831" s="84">
        <v>0.07</v>
      </c>
      <c r="F5831" s="76" t="s">
        <v>948</v>
      </c>
      <c r="G5831" s="83">
        <v>46115.0</v>
      </c>
      <c r="H5831" s="76" t="s">
        <v>967</v>
      </c>
    </row>
    <row r="5832">
      <c r="A5832" s="76" t="s">
        <v>966</v>
      </c>
      <c r="B5832" s="76" t="s">
        <v>1031</v>
      </c>
      <c r="C5832" s="84">
        <v>0.01</v>
      </c>
      <c r="D5832" s="84">
        <v>0.0</v>
      </c>
      <c r="E5832" s="84">
        <v>0.0</v>
      </c>
      <c r="F5832" s="76" t="s">
        <v>948</v>
      </c>
      <c r="G5832" s="83">
        <v>46115.0</v>
      </c>
      <c r="H5832" s="76" t="s">
        <v>968</v>
      </c>
    </row>
    <row r="5833">
      <c r="A5833" s="76" t="s">
        <v>966</v>
      </c>
      <c r="B5833" s="76" t="s">
        <v>1031</v>
      </c>
      <c r="C5833" s="84">
        <v>0.02</v>
      </c>
      <c r="D5833" s="84">
        <v>0.0</v>
      </c>
      <c r="E5833" s="84">
        <v>0.0</v>
      </c>
      <c r="F5833" s="76" t="s">
        <v>948</v>
      </c>
      <c r="G5833" s="83">
        <v>46115.0</v>
      </c>
      <c r="H5833" s="76" t="s">
        <v>969</v>
      </c>
    </row>
    <row r="5834">
      <c r="A5834" s="76" t="s">
        <v>43</v>
      </c>
      <c r="B5834" s="76" t="s">
        <v>1031</v>
      </c>
      <c r="C5834" s="84">
        <v>0.08</v>
      </c>
      <c r="D5834" s="84">
        <v>0.0</v>
      </c>
      <c r="E5834" s="84">
        <v>0.0</v>
      </c>
      <c r="F5834" s="76" t="s">
        <v>948</v>
      </c>
      <c r="G5834" s="83">
        <v>46115.0</v>
      </c>
      <c r="H5834" s="76" t="s">
        <v>963</v>
      </c>
    </row>
    <row r="5835">
      <c r="A5835" s="76" t="s">
        <v>43</v>
      </c>
      <c r="B5835" s="76" t="s">
        <v>1031</v>
      </c>
      <c r="C5835" s="84">
        <v>0.08</v>
      </c>
      <c r="D5835" s="84">
        <v>0.0</v>
      </c>
      <c r="E5835" s="84">
        <v>0.0</v>
      </c>
      <c r="F5835" s="76" t="s">
        <v>948</v>
      </c>
      <c r="G5835" s="83">
        <v>46115.0</v>
      </c>
      <c r="H5835" s="76" t="s">
        <v>964</v>
      </c>
    </row>
    <row r="5836">
      <c r="A5836" s="76" t="s">
        <v>43</v>
      </c>
      <c r="B5836" s="76" t="s">
        <v>1031</v>
      </c>
      <c r="C5836" s="84">
        <v>0.43</v>
      </c>
      <c r="D5836" s="84">
        <v>0.0</v>
      </c>
      <c r="E5836" s="84">
        <v>0.0</v>
      </c>
      <c r="F5836" s="76" t="s">
        <v>948</v>
      </c>
      <c r="G5836" s="83">
        <v>46115.0</v>
      </c>
      <c r="H5836" s="76" t="s">
        <v>965</v>
      </c>
    </row>
    <row r="5837">
      <c r="A5837" s="76" t="s">
        <v>34</v>
      </c>
      <c r="B5837" s="76" t="s">
        <v>1031</v>
      </c>
      <c r="C5837" s="84">
        <v>0.03</v>
      </c>
      <c r="D5837" s="84">
        <v>0.0</v>
      </c>
      <c r="E5837" s="84">
        <v>0.0</v>
      </c>
      <c r="F5837" s="76" t="s">
        <v>948</v>
      </c>
      <c r="G5837" s="83">
        <v>46115.0</v>
      </c>
      <c r="H5837" s="76" t="s">
        <v>951</v>
      </c>
    </row>
    <row r="5838">
      <c r="A5838" s="76" t="s">
        <v>34</v>
      </c>
      <c r="B5838" s="76" t="s">
        <v>1031</v>
      </c>
      <c r="C5838" s="84">
        <v>0.03</v>
      </c>
      <c r="D5838" s="84">
        <v>0.0</v>
      </c>
      <c r="E5838" s="84">
        <v>0.0</v>
      </c>
      <c r="F5838" s="76" t="s">
        <v>948</v>
      </c>
      <c r="G5838" s="83">
        <v>46115.0</v>
      </c>
      <c r="H5838" s="76" t="s">
        <v>952</v>
      </c>
    </row>
    <row r="5839">
      <c r="A5839" s="76" t="s">
        <v>34</v>
      </c>
      <c r="B5839" s="76" t="s">
        <v>1031</v>
      </c>
      <c r="C5839" s="84">
        <v>0.03</v>
      </c>
      <c r="D5839" s="84">
        <v>0.0</v>
      </c>
      <c r="E5839" s="84">
        <v>0.0</v>
      </c>
      <c r="F5839" s="76" t="s">
        <v>948</v>
      </c>
      <c r="G5839" s="83">
        <v>46115.0</v>
      </c>
      <c r="H5839" s="76" t="s">
        <v>953</v>
      </c>
    </row>
    <row r="5840">
      <c r="A5840" s="76" t="s">
        <v>36</v>
      </c>
      <c r="B5840" s="76" t="s">
        <v>1031</v>
      </c>
      <c r="C5840" s="84">
        <v>0.06</v>
      </c>
      <c r="D5840" s="84">
        <v>0.0</v>
      </c>
      <c r="E5840" s="84">
        <v>0.0</v>
      </c>
      <c r="F5840" s="76" t="s">
        <v>948</v>
      </c>
      <c r="G5840" s="83">
        <v>46115.0</v>
      </c>
      <c r="H5840" s="76" t="s">
        <v>926</v>
      </c>
    </row>
    <row r="5841">
      <c r="A5841" s="76" t="s">
        <v>36</v>
      </c>
      <c r="B5841" s="76" t="s">
        <v>1031</v>
      </c>
      <c r="C5841" s="84">
        <v>0.0</v>
      </c>
      <c r="D5841" s="84">
        <v>0.0</v>
      </c>
      <c r="E5841" s="84">
        <v>0.0</v>
      </c>
      <c r="F5841" s="76" t="s">
        <v>948</v>
      </c>
      <c r="G5841" s="83">
        <v>46115.0</v>
      </c>
      <c r="H5841" s="76" t="s">
        <v>927</v>
      </c>
    </row>
    <row r="5842">
      <c r="A5842" s="76" t="s">
        <v>36</v>
      </c>
      <c r="B5842" s="76" t="s">
        <v>1031</v>
      </c>
      <c r="C5842" s="84">
        <v>0.01</v>
      </c>
      <c r="D5842" s="84">
        <v>0.0</v>
      </c>
      <c r="E5842" s="84">
        <v>0.0</v>
      </c>
      <c r="F5842" s="76" t="s">
        <v>948</v>
      </c>
      <c r="G5842" s="83">
        <v>46115.0</v>
      </c>
      <c r="H5842" s="76" t="s">
        <v>928</v>
      </c>
    </row>
    <row r="5843">
      <c r="A5843" s="76" t="s">
        <v>29</v>
      </c>
      <c r="B5843" s="76" t="s">
        <v>1031</v>
      </c>
      <c r="C5843" s="84">
        <v>0.15</v>
      </c>
      <c r="D5843" s="84">
        <v>0.0</v>
      </c>
      <c r="E5843" s="84">
        <v>0.0</v>
      </c>
      <c r="F5843" s="76" t="s">
        <v>948</v>
      </c>
      <c r="G5843" s="83">
        <v>46115.0</v>
      </c>
      <c r="H5843" s="76" t="s">
        <v>971</v>
      </c>
    </row>
    <row r="5844">
      <c r="A5844" s="76" t="s">
        <v>29</v>
      </c>
      <c r="B5844" s="76" t="s">
        <v>1031</v>
      </c>
      <c r="C5844" s="84">
        <v>0.04</v>
      </c>
      <c r="D5844" s="84">
        <v>0.0</v>
      </c>
      <c r="E5844" s="84">
        <v>0.0</v>
      </c>
      <c r="F5844" s="76" t="s">
        <v>948</v>
      </c>
      <c r="G5844" s="83">
        <v>46115.0</v>
      </c>
      <c r="H5844" s="76" t="s">
        <v>972</v>
      </c>
    </row>
    <row r="5845">
      <c r="A5845" s="76" t="s">
        <v>29</v>
      </c>
      <c r="B5845" s="76" t="s">
        <v>1031</v>
      </c>
      <c r="C5845" s="84">
        <v>0.3</v>
      </c>
      <c r="D5845" s="84">
        <v>0.0</v>
      </c>
      <c r="E5845" s="84">
        <v>0.0</v>
      </c>
      <c r="F5845" s="76" t="s">
        <v>948</v>
      </c>
      <c r="G5845" s="83">
        <v>46115.0</v>
      </c>
      <c r="H5845" s="76" t="s">
        <v>973</v>
      </c>
    </row>
    <row r="5846">
      <c r="A5846" s="76" t="s">
        <v>40</v>
      </c>
      <c r="B5846" s="76" t="s">
        <v>1031</v>
      </c>
      <c r="C5846" s="84">
        <v>0.0</v>
      </c>
      <c r="D5846" s="84">
        <v>0.0</v>
      </c>
      <c r="E5846" s="84">
        <v>0.0</v>
      </c>
      <c r="F5846" s="76" t="s">
        <v>948</v>
      </c>
      <c r="G5846" s="83">
        <v>46115.0</v>
      </c>
      <c r="H5846" s="76" t="s">
        <v>954</v>
      </c>
    </row>
    <row r="5847">
      <c r="A5847" s="76" t="s">
        <v>40</v>
      </c>
      <c r="B5847" s="76" t="s">
        <v>1031</v>
      </c>
      <c r="C5847" s="84">
        <v>0.0</v>
      </c>
      <c r="D5847" s="84">
        <v>0.0</v>
      </c>
      <c r="E5847" s="84">
        <v>0.0</v>
      </c>
      <c r="F5847" s="76" t="s">
        <v>948</v>
      </c>
      <c r="G5847" s="83">
        <v>46115.0</v>
      </c>
      <c r="H5847" s="76" t="s">
        <v>955</v>
      </c>
    </row>
    <row r="5848">
      <c r="A5848" s="76" t="s">
        <v>40</v>
      </c>
      <c r="B5848" s="76" t="s">
        <v>1031</v>
      </c>
      <c r="C5848" s="84">
        <v>0.16</v>
      </c>
      <c r="D5848" s="84">
        <v>0.0</v>
      </c>
      <c r="E5848" s="84">
        <v>0.0</v>
      </c>
      <c r="F5848" s="76" t="s">
        <v>948</v>
      </c>
      <c r="G5848" s="83">
        <v>46115.0</v>
      </c>
      <c r="H5848" s="76" t="s">
        <v>956</v>
      </c>
    </row>
    <row r="5849">
      <c r="A5849" s="76" t="s">
        <v>46</v>
      </c>
      <c r="B5849" s="76" t="s">
        <v>1030</v>
      </c>
      <c r="C5849" s="84">
        <v>0.08</v>
      </c>
      <c r="D5849" s="84">
        <v>0.0</v>
      </c>
      <c r="E5849" s="84">
        <v>0.0</v>
      </c>
      <c r="F5849" s="76" t="s">
        <v>974</v>
      </c>
      <c r="G5849" s="83">
        <v>46115.0</v>
      </c>
      <c r="H5849" s="76" t="s">
        <v>960</v>
      </c>
    </row>
    <row r="5850">
      <c r="A5850" s="76" t="s">
        <v>46</v>
      </c>
      <c r="B5850" s="76" t="s">
        <v>1030</v>
      </c>
      <c r="C5850" s="84">
        <v>0.01</v>
      </c>
      <c r="D5850" s="84">
        <v>0.0</v>
      </c>
      <c r="E5850" s="84">
        <v>0.0</v>
      </c>
      <c r="F5850" s="76" t="s">
        <v>974</v>
      </c>
      <c r="G5850" s="83">
        <v>46115.0</v>
      </c>
      <c r="H5850" s="76" t="s">
        <v>961</v>
      </c>
    </row>
    <row r="5851">
      <c r="A5851" s="76" t="s">
        <v>46</v>
      </c>
      <c r="B5851" s="76" t="s">
        <v>1030</v>
      </c>
      <c r="C5851" s="84">
        <v>0.03</v>
      </c>
      <c r="D5851" s="84">
        <v>0.0</v>
      </c>
      <c r="E5851" s="84">
        <v>0.0</v>
      </c>
      <c r="F5851" s="76" t="s">
        <v>974</v>
      </c>
      <c r="G5851" s="83">
        <v>46115.0</v>
      </c>
      <c r="H5851" s="76" t="s">
        <v>962</v>
      </c>
    </row>
    <row r="5852">
      <c r="A5852" s="76" t="s">
        <v>34</v>
      </c>
      <c r="B5852" s="76" t="s">
        <v>1030</v>
      </c>
      <c r="C5852" s="84">
        <v>0.0</v>
      </c>
      <c r="D5852" s="84">
        <v>0.0</v>
      </c>
      <c r="E5852" s="84">
        <v>0.0</v>
      </c>
      <c r="F5852" s="76" t="s">
        <v>974</v>
      </c>
      <c r="G5852" s="83">
        <v>46115.0</v>
      </c>
      <c r="H5852" s="76" t="s">
        <v>951</v>
      </c>
    </row>
    <row r="5853">
      <c r="A5853" s="76" t="s">
        <v>34</v>
      </c>
      <c r="B5853" s="76" t="s">
        <v>1030</v>
      </c>
      <c r="C5853" s="84">
        <v>0.0</v>
      </c>
      <c r="D5853" s="84">
        <v>0.0</v>
      </c>
      <c r="E5853" s="84">
        <v>0.0</v>
      </c>
      <c r="F5853" s="76" t="s">
        <v>974</v>
      </c>
      <c r="G5853" s="83">
        <v>46115.0</v>
      </c>
      <c r="H5853" s="76" t="s">
        <v>952</v>
      </c>
    </row>
    <row r="5854">
      <c r="A5854" s="76" t="s">
        <v>34</v>
      </c>
      <c r="B5854" s="76" t="s">
        <v>1030</v>
      </c>
      <c r="C5854" s="84">
        <v>0.01</v>
      </c>
      <c r="D5854" s="84">
        <v>0.0</v>
      </c>
      <c r="E5854" s="84">
        <v>0.0</v>
      </c>
      <c r="F5854" s="76" t="s">
        <v>974</v>
      </c>
      <c r="G5854" s="83">
        <v>46115.0</v>
      </c>
      <c r="H5854" s="76" t="s">
        <v>953</v>
      </c>
    </row>
    <row r="5855">
      <c r="A5855" s="76" t="s">
        <v>43</v>
      </c>
      <c r="B5855" s="76" t="s">
        <v>1030</v>
      </c>
      <c r="C5855" s="84">
        <v>0.16</v>
      </c>
      <c r="D5855" s="84">
        <v>0.0</v>
      </c>
      <c r="E5855" s="84">
        <v>0.0</v>
      </c>
      <c r="F5855" s="76" t="s">
        <v>974</v>
      </c>
      <c r="G5855" s="83">
        <v>46115.0</v>
      </c>
      <c r="H5855" s="76" t="s">
        <v>963</v>
      </c>
    </row>
    <row r="5856">
      <c r="A5856" s="76" t="s">
        <v>43</v>
      </c>
      <c r="B5856" s="76" t="s">
        <v>1030</v>
      </c>
      <c r="C5856" s="84">
        <v>0.05</v>
      </c>
      <c r="D5856" s="84">
        <v>0.0</v>
      </c>
      <c r="E5856" s="84">
        <v>0.0</v>
      </c>
      <c r="F5856" s="76" t="s">
        <v>974</v>
      </c>
      <c r="G5856" s="83">
        <v>46115.0</v>
      </c>
      <c r="H5856" s="76" t="s">
        <v>964</v>
      </c>
    </row>
    <row r="5857">
      <c r="A5857" s="76" t="s">
        <v>43</v>
      </c>
      <c r="B5857" s="76" t="s">
        <v>1030</v>
      </c>
      <c r="C5857" s="84">
        <v>0.17</v>
      </c>
      <c r="D5857" s="84">
        <v>0.0</v>
      </c>
      <c r="E5857" s="84">
        <v>0.0</v>
      </c>
      <c r="F5857" s="76" t="s">
        <v>974</v>
      </c>
      <c r="G5857" s="83">
        <v>46115.0</v>
      </c>
      <c r="H5857" s="76" t="s">
        <v>965</v>
      </c>
    </row>
    <row r="5858">
      <c r="A5858" s="76" t="s">
        <v>36</v>
      </c>
      <c r="B5858" s="76" t="s">
        <v>1030</v>
      </c>
      <c r="C5858" s="84">
        <v>0.02</v>
      </c>
      <c r="D5858" s="84">
        <v>0.0</v>
      </c>
      <c r="E5858" s="84">
        <v>0.0</v>
      </c>
      <c r="F5858" s="76" t="s">
        <v>974</v>
      </c>
      <c r="G5858" s="83">
        <v>46115.0</v>
      </c>
      <c r="H5858" s="76" t="s">
        <v>926</v>
      </c>
    </row>
    <row r="5859">
      <c r="A5859" s="76" t="s">
        <v>36</v>
      </c>
      <c r="B5859" s="76" t="s">
        <v>1030</v>
      </c>
      <c r="C5859" s="84">
        <v>0.01</v>
      </c>
      <c r="D5859" s="84">
        <v>0.0</v>
      </c>
      <c r="E5859" s="84">
        <v>0.0</v>
      </c>
      <c r="F5859" s="76" t="s">
        <v>974</v>
      </c>
      <c r="G5859" s="83">
        <v>46115.0</v>
      </c>
      <c r="H5859" s="76" t="s">
        <v>927</v>
      </c>
    </row>
    <row r="5860">
      <c r="A5860" s="76" t="s">
        <v>36</v>
      </c>
      <c r="B5860" s="76" t="s">
        <v>1030</v>
      </c>
      <c r="C5860" s="84">
        <v>0.01</v>
      </c>
      <c r="D5860" s="84">
        <v>0.0</v>
      </c>
      <c r="E5860" s="84">
        <v>0.0</v>
      </c>
      <c r="F5860" s="76" t="s">
        <v>974</v>
      </c>
      <c r="G5860" s="83">
        <v>46115.0</v>
      </c>
      <c r="H5860" s="76" t="s">
        <v>928</v>
      </c>
    </row>
    <row r="5861">
      <c r="A5861" s="76" t="s">
        <v>33</v>
      </c>
      <c r="B5861" s="76" t="s">
        <v>1030</v>
      </c>
      <c r="C5861" s="84">
        <v>1.28</v>
      </c>
      <c r="D5861" s="84">
        <v>1.0</v>
      </c>
      <c r="E5861" s="84">
        <v>1.28</v>
      </c>
      <c r="F5861" s="76" t="s">
        <v>974</v>
      </c>
      <c r="G5861" s="83">
        <v>46115.0</v>
      </c>
      <c r="H5861" s="76" t="s">
        <v>957</v>
      </c>
    </row>
    <row r="5862">
      <c r="A5862" s="76" t="s">
        <v>33</v>
      </c>
      <c r="B5862" s="76" t="s">
        <v>1030</v>
      </c>
      <c r="C5862" s="84">
        <v>0.24</v>
      </c>
      <c r="D5862" s="84">
        <v>0.0</v>
      </c>
      <c r="E5862" s="84">
        <v>0.0</v>
      </c>
      <c r="F5862" s="76" t="s">
        <v>974</v>
      </c>
      <c r="G5862" s="83">
        <v>46115.0</v>
      </c>
      <c r="H5862" s="76" t="s">
        <v>958</v>
      </c>
    </row>
    <row r="5863">
      <c r="A5863" s="76" t="s">
        <v>33</v>
      </c>
      <c r="B5863" s="76" t="s">
        <v>1030</v>
      </c>
      <c r="C5863" s="84">
        <v>0.78</v>
      </c>
      <c r="D5863" s="84">
        <v>0.0</v>
      </c>
      <c r="E5863" s="84">
        <v>0.0</v>
      </c>
      <c r="F5863" s="76" t="s">
        <v>974</v>
      </c>
      <c r="G5863" s="83">
        <v>46115.0</v>
      </c>
      <c r="H5863" s="76" t="s">
        <v>959</v>
      </c>
    </row>
    <row r="5864">
      <c r="A5864" s="76" t="s">
        <v>966</v>
      </c>
      <c r="B5864" s="76" t="s">
        <v>1030</v>
      </c>
      <c r="C5864" s="84">
        <v>0.03</v>
      </c>
      <c r="D5864" s="84">
        <v>0.0</v>
      </c>
      <c r="E5864" s="84">
        <v>0.0</v>
      </c>
      <c r="F5864" s="76" t="s">
        <v>974</v>
      </c>
      <c r="G5864" s="83">
        <v>46115.0</v>
      </c>
      <c r="H5864" s="76" t="s">
        <v>967</v>
      </c>
    </row>
    <row r="5865">
      <c r="A5865" s="76" t="s">
        <v>966</v>
      </c>
      <c r="B5865" s="76" t="s">
        <v>1030</v>
      </c>
      <c r="C5865" s="84">
        <v>0.02</v>
      </c>
      <c r="D5865" s="84">
        <v>0.0</v>
      </c>
      <c r="E5865" s="84">
        <v>0.0</v>
      </c>
      <c r="F5865" s="76" t="s">
        <v>974</v>
      </c>
      <c r="G5865" s="83">
        <v>46115.0</v>
      </c>
      <c r="H5865" s="76" t="s">
        <v>968</v>
      </c>
    </row>
    <row r="5866">
      <c r="A5866" s="76" t="s">
        <v>966</v>
      </c>
      <c r="B5866" s="76" t="s">
        <v>1030</v>
      </c>
      <c r="C5866" s="84">
        <v>0.01</v>
      </c>
      <c r="D5866" s="84">
        <v>0.0</v>
      </c>
      <c r="E5866" s="84">
        <v>0.0</v>
      </c>
      <c r="F5866" s="76" t="s">
        <v>974</v>
      </c>
      <c r="G5866" s="83">
        <v>46115.0</v>
      </c>
      <c r="H5866" s="76" t="s">
        <v>969</v>
      </c>
    </row>
    <row r="5867">
      <c r="A5867" s="76" t="s">
        <v>40</v>
      </c>
      <c r="B5867" s="76" t="s">
        <v>1030</v>
      </c>
      <c r="C5867" s="84">
        <v>0.03</v>
      </c>
      <c r="D5867" s="84">
        <v>0.0</v>
      </c>
      <c r="E5867" s="84">
        <v>0.0</v>
      </c>
      <c r="F5867" s="76" t="s">
        <v>974</v>
      </c>
      <c r="G5867" s="83">
        <v>46115.0</v>
      </c>
      <c r="H5867" s="76" t="s">
        <v>954</v>
      </c>
    </row>
    <row r="5868">
      <c r="A5868" s="76" t="s">
        <v>40</v>
      </c>
      <c r="B5868" s="76" t="s">
        <v>1030</v>
      </c>
      <c r="C5868" s="84">
        <v>0.03</v>
      </c>
      <c r="D5868" s="84">
        <v>0.0</v>
      </c>
      <c r="E5868" s="84">
        <v>0.0</v>
      </c>
      <c r="F5868" s="76" t="s">
        <v>974</v>
      </c>
      <c r="G5868" s="83">
        <v>46115.0</v>
      </c>
      <c r="H5868" s="76" t="s">
        <v>956</v>
      </c>
    </row>
    <row r="5869">
      <c r="A5869" s="76" t="s">
        <v>29</v>
      </c>
      <c r="B5869" s="76" t="s">
        <v>1030</v>
      </c>
      <c r="C5869" s="84">
        <v>0.07</v>
      </c>
      <c r="D5869" s="84">
        <v>0.0</v>
      </c>
      <c r="E5869" s="84">
        <v>0.0</v>
      </c>
      <c r="F5869" s="76" t="s">
        <v>974</v>
      </c>
      <c r="G5869" s="83">
        <v>46115.0</v>
      </c>
      <c r="H5869" s="76" t="s">
        <v>971</v>
      </c>
    </row>
    <row r="5870">
      <c r="A5870" s="76" t="s">
        <v>29</v>
      </c>
      <c r="B5870" s="76" t="s">
        <v>1030</v>
      </c>
      <c r="C5870" s="84">
        <v>0.02</v>
      </c>
      <c r="D5870" s="84">
        <v>0.0</v>
      </c>
      <c r="E5870" s="84">
        <v>0.0</v>
      </c>
      <c r="F5870" s="76" t="s">
        <v>974</v>
      </c>
      <c r="G5870" s="83">
        <v>46115.0</v>
      </c>
      <c r="H5870" s="76" t="s">
        <v>972</v>
      </c>
    </row>
    <row r="5871">
      <c r="A5871" s="76" t="s">
        <v>29</v>
      </c>
      <c r="B5871" s="76" t="s">
        <v>1030</v>
      </c>
      <c r="C5871" s="84">
        <v>0.12</v>
      </c>
      <c r="D5871" s="84">
        <v>0.0</v>
      </c>
      <c r="E5871" s="84">
        <v>0.0</v>
      </c>
      <c r="F5871" s="76" t="s">
        <v>974</v>
      </c>
      <c r="G5871" s="83">
        <v>46115.0</v>
      </c>
      <c r="H5871" s="76" t="s">
        <v>973</v>
      </c>
    </row>
    <row r="5872">
      <c r="A5872" s="76" t="s">
        <v>970</v>
      </c>
      <c r="B5872" s="76" t="s">
        <v>1030</v>
      </c>
      <c r="C5872" s="84">
        <v>0.06</v>
      </c>
      <c r="D5872" s="84">
        <v>0.0</v>
      </c>
      <c r="E5872" s="84">
        <v>0.0</v>
      </c>
      <c r="F5872" s="76" t="s">
        <v>974</v>
      </c>
      <c r="G5872" s="83">
        <v>46115.0</v>
      </c>
      <c r="H5872" s="76" t="s">
        <v>971</v>
      </c>
    </row>
    <row r="5873">
      <c r="A5873" s="76" t="s">
        <v>970</v>
      </c>
      <c r="B5873" s="76" t="s">
        <v>1030</v>
      </c>
      <c r="C5873" s="84">
        <v>0.01</v>
      </c>
      <c r="D5873" s="84">
        <v>0.0</v>
      </c>
      <c r="E5873" s="84">
        <v>0.0</v>
      </c>
      <c r="F5873" s="76" t="s">
        <v>974</v>
      </c>
      <c r="G5873" s="83">
        <v>46115.0</v>
      </c>
      <c r="H5873" s="76" t="s">
        <v>972</v>
      </c>
    </row>
    <row r="5874">
      <c r="A5874" s="76" t="s">
        <v>970</v>
      </c>
      <c r="B5874" s="76" t="s">
        <v>1030</v>
      </c>
      <c r="C5874" s="84">
        <v>0.19</v>
      </c>
      <c r="D5874" s="84">
        <v>0.0</v>
      </c>
      <c r="E5874" s="84">
        <v>0.0</v>
      </c>
      <c r="F5874" s="76" t="s">
        <v>974</v>
      </c>
      <c r="G5874" s="83">
        <v>46115.0</v>
      </c>
      <c r="H5874" s="76" t="s">
        <v>973</v>
      </c>
    </row>
    <row r="5875">
      <c r="A5875" s="76" t="s">
        <v>34</v>
      </c>
      <c r="B5875" s="76" t="s">
        <v>1004</v>
      </c>
      <c r="C5875" s="84">
        <v>0.8</v>
      </c>
      <c r="D5875" s="84">
        <v>0.0</v>
      </c>
      <c r="E5875" s="84">
        <v>0.0</v>
      </c>
      <c r="F5875" s="76" t="s">
        <v>990</v>
      </c>
      <c r="G5875" s="83">
        <v>46115.0</v>
      </c>
      <c r="H5875" s="76" t="s">
        <v>951</v>
      </c>
    </row>
    <row r="5876">
      <c r="A5876" s="76" t="s">
        <v>34</v>
      </c>
      <c r="B5876" s="76" t="s">
        <v>1004</v>
      </c>
      <c r="C5876" s="84">
        <v>0.45</v>
      </c>
      <c r="D5876" s="84">
        <v>0.0</v>
      </c>
      <c r="E5876" s="84">
        <v>0.0</v>
      </c>
      <c r="F5876" s="76" t="s">
        <v>990</v>
      </c>
      <c r="G5876" s="83">
        <v>46115.0</v>
      </c>
      <c r="H5876" s="76" t="s">
        <v>952</v>
      </c>
    </row>
    <row r="5877">
      <c r="A5877" s="76" t="s">
        <v>34</v>
      </c>
      <c r="B5877" s="76" t="s">
        <v>1004</v>
      </c>
      <c r="C5877" s="84">
        <v>0.18</v>
      </c>
      <c r="D5877" s="84">
        <v>0.0</v>
      </c>
      <c r="E5877" s="84">
        <v>0.0</v>
      </c>
      <c r="F5877" s="76" t="s">
        <v>990</v>
      </c>
      <c r="G5877" s="83">
        <v>46115.0</v>
      </c>
      <c r="H5877" s="76" t="s">
        <v>953</v>
      </c>
    </row>
    <row r="5878">
      <c r="A5878" s="76" t="s">
        <v>40</v>
      </c>
      <c r="B5878" s="76" t="s">
        <v>1004</v>
      </c>
      <c r="C5878" s="84">
        <v>0.43</v>
      </c>
      <c r="D5878" s="84">
        <v>0.0</v>
      </c>
      <c r="E5878" s="84">
        <v>0.0</v>
      </c>
      <c r="F5878" s="76" t="s">
        <v>990</v>
      </c>
      <c r="G5878" s="83">
        <v>46115.0</v>
      </c>
      <c r="H5878" s="76" t="s">
        <v>954</v>
      </c>
    </row>
    <row r="5879">
      <c r="A5879" s="76" t="s">
        <v>40</v>
      </c>
      <c r="B5879" s="76" t="s">
        <v>1004</v>
      </c>
      <c r="C5879" s="84">
        <v>0.04</v>
      </c>
      <c r="D5879" s="84">
        <v>0.0</v>
      </c>
      <c r="E5879" s="84">
        <v>0.0</v>
      </c>
      <c r="F5879" s="76" t="s">
        <v>990</v>
      </c>
      <c r="G5879" s="83">
        <v>46115.0</v>
      </c>
      <c r="H5879" s="76" t="s">
        <v>955</v>
      </c>
    </row>
    <row r="5880">
      <c r="A5880" s="76" t="s">
        <v>40</v>
      </c>
      <c r="B5880" s="76" t="s">
        <v>1004</v>
      </c>
      <c r="C5880" s="84">
        <v>0.51</v>
      </c>
      <c r="D5880" s="84">
        <v>0.0</v>
      </c>
      <c r="E5880" s="84">
        <v>0.0</v>
      </c>
      <c r="F5880" s="76" t="s">
        <v>990</v>
      </c>
      <c r="G5880" s="83">
        <v>46115.0</v>
      </c>
      <c r="H5880" s="76" t="s">
        <v>956</v>
      </c>
    </row>
    <row r="5881">
      <c r="A5881" s="76" t="s">
        <v>33</v>
      </c>
      <c r="B5881" s="76" t="s">
        <v>1004</v>
      </c>
      <c r="C5881" s="84">
        <v>3.03</v>
      </c>
      <c r="D5881" s="84">
        <v>0.0</v>
      </c>
      <c r="E5881" s="84">
        <v>0.0</v>
      </c>
      <c r="F5881" s="76" t="s">
        <v>990</v>
      </c>
      <c r="G5881" s="83">
        <v>46115.0</v>
      </c>
      <c r="H5881" s="76" t="s">
        <v>957</v>
      </c>
    </row>
    <row r="5882">
      <c r="A5882" s="76" t="s">
        <v>33</v>
      </c>
      <c r="B5882" s="76" t="s">
        <v>1004</v>
      </c>
      <c r="C5882" s="84">
        <v>0.58</v>
      </c>
      <c r="D5882" s="84">
        <v>0.0</v>
      </c>
      <c r="E5882" s="84">
        <v>0.0</v>
      </c>
      <c r="F5882" s="76" t="s">
        <v>990</v>
      </c>
      <c r="G5882" s="83">
        <v>46115.0</v>
      </c>
      <c r="H5882" s="76" t="s">
        <v>958</v>
      </c>
    </row>
    <row r="5883">
      <c r="A5883" s="76" t="s">
        <v>33</v>
      </c>
      <c r="B5883" s="76" t="s">
        <v>1004</v>
      </c>
      <c r="C5883" s="84">
        <v>0.45</v>
      </c>
      <c r="D5883" s="84">
        <v>0.0</v>
      </c>
      <c r="E5883" s="84">
        <v>0.0</v>
      </c>
      <c r="F5883" s="76" t="s">
        <v>990</v>
      </c>
      <c r="G5883" s="83">
        <v>46115.0</v>
      </c>
      <c r="H5883" s="76" t="s">
        <v>959</v>
      </c>
    </row>
    <row r="5884">
      <c r="A5884" s="76" t="s">
        <v>46</v>
      </c>
      <c r="B5884" s="76" t="s">
        <v>1004</v>
      </c>
      <c r="C5884" s="84">
        <v>0.61</v>
      </c>
      <c r="D5884" s="84">
        <v>0.0</v>
      </c>
      <c r="E5884" s="84">
        <v>0.0</v>
      </c>
      <c r="F5884" s="76" t="s">
        <v>990</v>
      </c>
      <c r="G5884" s="83">
        <v>46115.0</v>
      </c>
      <c r="H5884" s="76" t="s">
        <v>960</v>
      </c>
    </row>
    <row r="5885">
      <c r="A5885" s="76" t="s">
        <v>46</v>
      </c>
      <c r="B5885" s="76" t="s">
        <v>1004</v>
      </c>
      <c r="C5885" s="84">
        <v>0.58</v>
      </c>
      <c r="D5885" s="84">
        <v>0.0</v>
      </c>
      <c r="E5885" s="84">
        <v>0.0</v>
      </c>
      <c r="F5885" s="76" t="s">
        <v>990</v>
      </c>
      <c r="G5885" s="83">
        <v>46115.0</v>
      </c>
      <c r="H5885" s="76" t="s">
        <v>961</v>
      </c>
    </row>
    <row r="5886">
      <c r="A5886" s="76" t="s">
        <v>46</v>
      </c>
      <c r="B5886" s="76" t="s">
        <v>1004</v>
      </c>
      <c r="C5886" s="84">
        <v>0.14</v>
      </c>
      <c r="D5886" s="84">
        <v>0.0</v>
      </c>
      <c r="E5886" s="84">
        <v>0.0</v>
      </c>
      <c r="F5886" s="76" t="s">
        <v>990</v>
      </c>
      <c r="G5886" s="83">
        <v>46115.0</v>
      </c>
      <c r="H5886" s="76" t="s">
        <v>962</v>
      </c>
    </row>
    <row r="5887">
      <c r="A5887" s="76" t="s">
        <v>43</v>
      </c>
      <c r="B5887" s="76" t="s">
        <v>1004</v>
      </c>
      <c r="C5887" s="84">
        <v>0.17</v>
      </c>
      <c r="D5887" s="84">
        <v>0.0</v>
      </c>
      <c r="E5887" s="84">
        <v>0.0</v>
      </c>
      <c r="F5887" s="76" t="s">
        <v>990</v>
      </c>
      <c r="G5887" s="83">
        <v>46115.0</v>
      </c>
      <c r="H5887" s="76" t="s">
        <v>963</v>
      </c>
    </row>
    <row r="5888">
      <c r="A5888" s="76" t="s">
        <v>43</v>
      </c>
      <c r="B5888" s="76" t="s">
        <v>1004</v>
      </c>
      <c r="C5888" s="84">
        <v>0.4</v>
      </c>
      <c r="D5888" s="84">
        <v>0.0</v>
      </c>
      <c r="E5888" s="84">
        <v>0.0</v>
      </c>
      <c r="F5888" s="76" t="s">
        <v>990</v>
      </c>
      <c r="G5888" s="83">
        <v>46115.0</v>
      </c>
      <c r="H5888" s="76" t="s">
        <v>964</v>
      </c>
    </row>
    <row r="5889">
      <c r="A5889" s="76" t="s">
        <v>43</v>
      </c>
      <c r="B5889" s="76" t="s">
        <v>1004</v>
      </c>
      <c r="C5889" s="84">
        <v>0.58</v>
      </c>
      <c r="D5889" s="84">
        <v>0.0</v>
      </c>
      <c r="E5889" s="84">
        <v>0.0</v>
      </c>
      <c r="F5889" s="76" t="s">
        <v>990</v>
      </c>
      <c r="G5889" s="83">
        <v>46115.0</v>
      </c>
      <c r="H5889" s="76" t="s">
        <v>965</v>
      </c>
    </row>
    <row r="5890">
      <c r="A5890" s="76" t="s">
        <v>966</v>
      </c>
      <c r="B5890" s="76" t="s">
        <v>1004</v>
      </c>
      <c r="C5890" s="84">
        <v>0.73</v>
      </c>
      <c r="D5890" s="84">
        <v>0.0</v>
      </c>
      <c r="E5890" s="84">
        <v>0.0</v>
      </c>
      <c r="F5890" s="76" t="s">
        <v>990</v>
      </c>
      <c r="G5890" s="83">
        <v>46115.0</v>
      </c>
      <c r="H5890" s="76" t="s">
        <v>967</v>
      </c>
    </row>
    <row r="5891">
      <c r="A5891" s="76" t="s">
        <v>966</v>
      </c>
      <c r="B5891" s="76" t="s">
        <v>1004</v>
      </c>
      <c r="C5891" s="84">
        <v>0.31</v>
      </c>
      <c r="D5891" s="84">
        <v>0.0</v>
      </c>
      <c r="E5891" s="84">
        <v>0.0</v>
      </c>
      <c r="F5891" s="76" t="s">
        <v>990</v>
      </c>
      <c r="G5891" s="83">
        <v>46115.0</v>
      </c>
      <c r="H5891" s="76" t="s">
        <v>968</v>
      </c>
    </row>
    <row r="5892">
      <c r="A5892" s="76" t="s">
        <v>966</v>
      </c>
      <c r="B5892" s="76" t="s">
        <v>1004</v>
      </c>
      <c r="C5892" s="84">
        <v>0.43</v>
      </c>
      <c r="D5892" s="84">
        <v>0.0</v>
      </c>
      <c r="E5892" s="84">
        <v>0.0</v>
      </c>
      <c r="F5892" s="76" t="s">
        <v>990</v>
      </c>
      <c r="G5892" s="83">
        <v>46115.0</v>
      </c>
      <c r="H5892" s="76" t="s">
        <v>969</v>
      </c>
    </row>
    <row r="5893">
      <c r="A5893" s="76" t="s">
        <v>36</v>
      </c>
      <c r="B5893" s="76" t="s">
        <v>1004</v>
      </c>
      <c r="C5893" s="84">
        <v>0.35</v>
      </c>
      <c r="D5893" s="84">
        <v>0.0</v>
      </c>
      <c r="E5893" s="84">
        <v>0.0</v>
      </c>
      <c r="F5893" s="76" t="s">
        <v>990</v>
      </c>
      <c r="G5893" s="83">
        <v>46115.0</v>
      </c>
      <c r="H5893" s="76" t="s">
        <v>926</v>
      </c>
    </row>
    <row r="5894">
      <c r="A5894" s="76" t="s">
        <v>36</v>
      </c>
      <c r="B5894" s="76" t="s">
        <v>1004</v>
      </c>
      <c r="C5894" s="84">
        <v>0.61</v>
      </c>
      <c r="D5894" s="84">
        <v>0.0</v>
      </c>
      <c r="E5894" s="84">
        <v>0.0</v>
      </c>
      <c r="F5894" s="76" t="s">
        <v>990</v>
      </c>
      <c r="G5894" s="83">
        <v>46115.0</v>
      </c>
      <c r="H5894" s="76" t="s">
        <v>927</v>
      </c>
    </row>
    <row r="5895">
      <c r="A5895" s="76" t="s">
        <v>36</v>
      </c>
      <c r="B5895" s="76" t="s">
        <v>1004</v>
      </c>
      <c r="C5895" s="84">
        <v>0.26</v>
      </c>
      <c r="D5895" s="84">
        <v>0.0</v>
      </c>
      <c r="E5895" s="84">
        <v>0.0</v>
      </c>
      <c r="F5895" s="76" t="s">
        <v>990</v>
      </c>
      <c r="G5895" s="83">
        <v>46115.0</v>
      </c>
      <c r="H5895" s="76" t="s">
        <v>928</v>
      </c>
    </row>
    <row r="5896">
      <c r="A5896" s="76" t="s">
        <v>970</v>
      </c>
      <c r="B5896" s="76" t="s">
        <v>1004</v>
      </c>
      <c r="C5896" s="84">
        <v>3.06</v>
      </c>
      <c r="D5896" s="84">
        <v>0.0</v>
      </c>
      <c r="E5896" s="84">
        <v>0.0</v>
      </c>
      <c r="F5896" s="76" t="s">
        <v>990</v>
      </c>
      <c r="G5896" s="83">
        <v>46115.0</v>
      </c>
      <c r="H5896" s="76" t="s">
        <v>971</v>
      </c>
    </row>
    <row r="5897">
      <c r="A5897" s="76" t="s">
        <v>970</v>
      </c>
      <c r="B5897" s="76" t="s">
        <v>1004</v>
      </c>
      <c r="C5897" s="84">
        <v>0.28</v>
      </c>
      <c r="D5897" s="84">
        <v>0.0</v>
      </c>
      <c r="E5897" s="84">
        <v>0.0</v>
      </c>
      <c r="F5897" s="76" t="s">
        <v>990</v>
      </c>
      <c r="G5897" s="83">
        <v>46115.0</v>
      </c>
      <c r="H5897" s="76" t="s">
        <v>972</v>
      </c>
    </row>
    <row r="5898">
      <c r="A5898" s="76" t="s">
        <v>970</v>
      </c>
      <c r="B5898" s="76" t="s">
        <v>1004</v>
      </c>
      <c r="C5898" s="84">
        <v>2.79</v>
      </c>
      <c r="D5898" s="84">
        <v>0.0</v>
      </c>
      <c r="E5898" s="84">
        <v>0.0</v>
      </c>
      <c r="F5898" s="76" t="s">
        <v>990</v>
      </c>
      <c r="G5898" s="83">
        <v>46115.0</v>
      </c>
      <c r="H5898" s="76" t="s">
        <v>973</v>
      </c>
    </row>
    <row r="5899">
      <c r="A5899" s="76" t="s">
        <v>29</v>
      </c>
      <c r="B5899" s="76" t="s">
        <v>1004</v>
      </c>
      <c r="C5899" s="84">
        <v>3.51</v>
      </c>
      <c r="D5899" s="84">
        <v>0.0</v>
      </c>
      <c r="E5899" s="84">
        <v>0.0</v>
      </c>
      <c r="F5899" s="76" t="s">
        <v>990</v>
      </c>
      <c r="G5899" s="83">
        <v>46115.0</v>
      </c>
      <c r="H5899" s="76" t="s">
        <v>971</v>
      </c>
    </row>
    <row r="5900">
      <c r="A5900" s="76" t="s">
        <v>29</v>
      </c>
      <c r="B5900" s="76" t="s">
        <v>1004</v>
      </c>
      <c r="C5900" s="84">
        <v>0.2</v>
      </c>
      <c r="D5900" s="84">
        <v>0.0</v>
      </c>
      <c r="E5900" s="84">
        <v>0.0</v>
      </c>
      <c r="F5900" s="76" t="s">
        <v>990</v>
      </c>
      <c r="G5900" s="83">
        <v>46115.0</v>
      </c>
      <c r="H5900" s="76" t="s">
        <v>972</v>
      </c>
    </row>
    <row r="5901">
      <c r="A5901" s="76" t="s">
        <v>29</v>
      </c>
      <c r="B5901" s="76" t="s">
        <v>1004</v>
      </c>
      <c r="C5901" s="84">
        <v>2.64</v>
      </c>
      <c r="D5901" s="84">
        <v>0.0</v>
      </c>
      <c r="E5901" s="84">
        <v>0.0</v>
      </c>
      <c r="F5901" s="76" t="s">
        <v>990</v>
      </c>
      <c r="G5901" s="83">
        <v>46115.0</v>
      </c>
      <c r="H5901" s="76" t="s">
        <v>973</v>
      </c>
    </row>
    <row r="5902">
      <c r="A5902" s="76" t="s">
        <v>34</v>
      </c>
      <c r="B5902" s="76" t="s">
        <v>1004</v>
      </c>
      <c r="C5902" s="84">
        <v>1.65</v>
      </c>
      <c r="D5902" s="84">
        <v>0.0</v>
      </c>
      <c r="E5902" s="84">
        <v>0.0</v>
      </c>
      <c r="F5902" s="76" t="s">
        <v>993</v>
      </c>
      <c r="G5902" s="83">
        <v>46115.0</v>
      </c>
      <c r="H5902" s="76" t="s">
        <v>951</v>
      </c>
    </row>
    <row r="5903">
      <c r="A5903" s="76" t="s">
        <v>34</v>
      </c>
      <c r="B5903" s="76" t="s">
        <v>1004</v>
      </c>
      <c r="C5903" s="84">
        <v>0.94</v>
      </c>
      <c r="D5903" s="84">
        <v>0.0</v>
      </c>
      <c r="E5903" s="84">
        <v>0.0</v>
      </c>
      <c r="F5903" s="76" t="s">
        <v>993</v>
      </c>
      <c r="G5903" s="83">
        <v>46115.0</v>
      </c>
      <c r="H5903" s="76" t="s">
        <v>952</v>
      </c>
    </row>
    <row r="5904">
      <c r="A5904" s="76" t="s">
        <v>34</v>
      </c>
      <c r="B5904" s="76" t="s">
        <v>1004</v>
      </c>
      <c r="C5904" s="84">
        <v>0.35</v>
      </c>
      <c r="D5904" s="84">
        <v>0.0</v>
      </c>
      <c r="E5904" s="84">
        <v>0.0</v>
      </c>
      <c r="F5904" s="76" t="s">
        <v>993</v>
      </c>
      <c r="G5904" s="83">
        <v>46115.0</v>
      </c>
      <c r="H5904" s="76" t="s">
        <v>953</v>
      </c>
    </row>
    <row r="5905">
      <c r="A5905" s="76" t="s">
        <v>40</v>
      </c>
      <c r="B5905" s="76" t="s">
        <v>1004</v>
      </c>
      <c r="C5905" s="84">
        <v>1.07</v>
      </c>
      <c r="D5905" s="84">
        <v>0.0</v>
      </c>
      <c r="E5905" s="84">
        <v>0.0</v>
      </c>
      <c r="F5905" s="76" t="s">
        <v>993</v>
      </c>
      <c r="G5905" s="83">
        <v>46115.0</v>
      </c>
      <c r="H5905" s="76" t="s">
        <v>954</v>
      </c>
    </row>
    <row r="5906">
      <c r="A5906" s="76" t="s">
        <v>40</v>
      </c>
      <c r="B5906" s="76" t="s">
        <v>1004</v>
      </c>
      <c r="C5906" s="84">
        <v>0.21</v>
      </c>
      <c r="D5906" s="84">
        <v>0.0</v>
      </c>
      <c r="E5906" s="84">
        <v>0.0</v>
      </c>
      <c r="F5906" s="76" t="s">
        <v>993</v>
      </c>
      <c r="G5906" s="83">
        <v>46115.0</v>
      </c>
      <c r="H5906" s="76" t="s">
        <v>955</v>
      </c>
    </row>
    <row r="5907">
      <c r="A5907" s="76" t="s">
        <v>40</v>
      </c>
      <c r="B5907" s="76" t="s">
        <v>1004</v>
      </c>
      <c r="C5907" s="84">
        <v>0.96</v>
      </c>
      <c r="D5907" s="84">
        <v>0.0</v>
      </c>
      <c r="E5907" s="84">
        <v>0.0</v>
      </c>
      <c r="F5907" s="76" t="s">
        <v>993</v>
      </c>
      <c r="G5907" s="83">
        <v>46115.0</v>
      </c>
      <c r="H5907" s="76" t="s">
        <v>956</v>
      </c>
    </row>
    <row r="5908">
      <c r="A5908" s="76" t="s">
        <v>33</v>
      </c>
      <c r="B5908" s="76" t="s">
        <v>1004</v>
      </c>
      <c r="C5908" s="84">
        <v>4.83</v>
      </c>
      <c r="D5908" s="84">
        <v>0.0</v>
      </c>
      <c r="E5908" s="84">
        <v>0.0</v>
      </c>
      <c r="F5908" s="76" t="s">
        <v>993</v>
      </c>
      <c r="G5908" s="83">
        <v>46115.0</v>
      </c>
      <c r="H5908" s="76" t="s">
        <v>957</v>
      </c>
    </row>
    <row r="5909">
      <c r="A5909" s="76" t="s">
        <v>33</v>
      </c>
      <c r="B5909" s="76" t="s">
        <v>1004</v>
      </c>
      <c r="C5909" s="84">
        <v>1.02</v>
      </c>
      <c r="D5909" s="84">
        <v>0.0</v>
      </c>
      <c r="E5909" s="84">
        <v>0.0</v>
      </c>
      <c r="F5909" s="76" t="s">
        <v>993</v>
      </c>
      <c r="G5909" s="83">
        <v>46115.0</v>
      </c>
      <c r="H5909" s="76" t="s">
        <v>958</v>
      </c>
    </row>
    <row r="5910">
      <c r="A5910" s="76" t="s">
        <v>33</v>
      </c>
      <c r="B5910" s="76" t="s">
        <v>1004</v>
      </c>
      <c r="C5910" s="84">
        <v>0.86</v>
      </c>
      <c r="D5910" s="84">
        <v>0.0</v>
      </c>
      <c r="E5910" s="84">
        <v>0.0</v>
      </c>
      <c r="F5910" s="76" t="s">
        <v>993</v>
      </c>
      <c r="G5910" s="83">
        <v>46115.0</v>
      </c>
      <c r="H5910" s="76" t="s">
        <v>959</v>
      </c>
    </row>
    <row r="5911">
      <c r="A5911" s="76" t="s">
        <v>46</v>
      </c>
      <c r="B5911" s="76" t="s">
        <v>1004</v>
      </c>
      <c r="C5911" s="84">
        <v>0.72</v>
      </c>
      <c r="D5911" s="84">
        <v>0.0</v>
      </c>
      <c r="E5911" s="84">
        <v>0.0</v>
      </c>
      <c r="F5911" s="76" t="s">
        <v>993</v>
      </c>
      <c r="G5911" s="83">
        <v>46115.0</v>
      </c>
      <c r="H5911" s="76" t="s">
        <v>960</v>
      </c>
    </row>
    <row r="5912">
      <c r="A5912" s="76" t="s">
        <v>46</v>
      </c>
      <c r="B5912" s="76" t="s">
        <v>1004</v>
      </c>
      <c r="C5912" s="84">
        <v>0.73</v>
      </c>
      <c r="D5912" s="84">
        <v>0.0</v>
      </c>
      <c r="E5912" s="84">
        <v>0.0</v>
      </c>
      <c r="F5912" s="76" t="s">
        <v>993</v>
      </c>
      <c r="G5912" s="83">
        <v>46115.0</v>
      </c>
      <c r="H5912" s="76" t="s">
        <v>961</v>
      </c>
    </row>
    <row r="5913">
      <c r="A5913" s="76" t="s">
        <v>46</v>
      </c>
      <c r="B5913" s="76" t="s">
        <v>1004</v>
      </c>
      <c r="C5913" s="84">
        <v>0.32</v>
      </c>
      <c r="D5913" s="84">
        <v>0.0</v>
      </c>
      <c r="E5913" s="84">
        <v>0.0</v>
      </c>
      <c r="F5913" s="76" t="s">
        <v>993</v>
      </c>
      <c r="G5913" s="83">
        <v>46115.0</v>
      </c>
      <c r="H5913" s="76" t="s">
        <v>962</v>
      </c>
    </row>
    <row r="5914">
      <c r="A5914" s="76" t="s">
        <v>43</v>
      </c>
      <c r="B5914" s="76" t="s">
        <v>1004</v>
      </c>
      <c r="C5914" s="84">
        <v>0.43</v>
      </c>
      <c r="D5914" s="84">
        <v>0.0</v>
      </c>
      <c r="E5914" s="84">
        <v>0.0</v>
      </c>
      <c r="F5914" s="76" t="s">
        <v>993</v>
      </c>
      <c r="G5914" s="83">
        <v>46115.0</v>
      </c>
      <c r="H5914" s="76" t="s">
        <v>963</v>
      </c>
    </row>
    <row r="5915">
      <c r="A5915" s="76" t="s">
        <v>43</v>
      </c>
      <c r="B5915" s="76" t="s">
        <v>1004</v>
      </c>
      <c r="C5915" s="84">
        <v>0.83</v>
      </c>
      <c r="D5915" s="84">
        <v>0.0</v>
      </c>
      <c r="E5915" s="84">
        <v>0.0</v>
      </c>
      <c r="F5915" s="76" t="s">
        <v>993</v>
      </c>
      <c r="G5915" s="83">
        <v>46115.0</v>
      </c>
      <c r="H5915" s="76" t="s">
        <v>964</v>
      </c>
    </row>
    <row r="5916">
      <c r="A5916" s="76" t="s">
        <v>43</v>
      </c>
      <c r="B5916" s="76" t="s">
        <v>1004</v>
      </c>
      <c r="C5916" s="84">
        <v>1.32</v>
      </c>
      <c r="D5916" s="84">
        <v>0.0</v>
      </c>
      <c r="E5916" s="84">
        <v>0.0</v>
      </c>
      <c r="F5916" s="76" t="s">
        <v>993</v>
      </c>
      <c r="G5916" s="83">
        <v>46115.0</v>
      </c>
      <c r="H5916" s="76" t="s">
        <v>965</v>
      </c>
    </row>
    <row r="5917">
      <c r="A5917" s="76" t="s">
        <v>966</v>
      </c>
      <c r="B5917" s="76" t="s">
        <v>1004</v>
      </c>
      <c r="C5917" s="84">
        <v>1.58</v>
      </c>
      <c r="D5917" s="84">
        <v>0.0</v>
      </c>
      <c r="E5917" s="84">
        <v>0.0</v>
      </c>
      <c r="F5917" s="76" t="s">
        <v>993</v>
      </c>
      <c r="G5917" s="83">
        <v>46115.0</v>
      </c>
      <c r="H5917" s="76" t="s">
        <v>967</v>
      </c>
    </row>
    <row r="5918">
      <c r="A5918" s="76" t="s">
        <v>966</v>
      </c>
      <c r="B5918" s="76" t="s">
        <v>1004</v>
      </c>
      <c r="C5918" s="84">
        <v>0.43</v>
      </c>
      <c r="D5918" s="84">
        <v>0.0</v>
      </c>
      <c r="E5918" s="84">
        <v>0.0</v>
      </c>
      <c r="F5918" s="76" t="s">
        <v>993</v>
      </c>
      <c r="G5918" s="83">
        <v>46115.0</v>
      </c>
      <c r="H5918" s="76" t="s">
        <v>968</v>
      </c>
    </row>
    <row r="5919">
      <c r="A5919" s="76" t="s">
        <v>966</v>
      </c>
      <c r="B5919" s="76" t="s">
        <v>1004</v>
      </c>
      <c r="C5919" s="84">
        <v>0.94</v>
      </c>
      <c r="D5919" s="84">
        <v>0.0</v>
      </c>
      <c r="E5919" s="84">
        <v>0.0</v>
      </c>
      <c r="F5919" s="76" t="s">
        <v>993</v>
      </c>
      <c r="G5919" s="83">
        <v>46115.0</v>
      </c>
      <c r="H5919" s="76" t="s">
        <v>969</v>
      </c>
    </row>
    <row r="5920">
      <c r="A5920" s="76" t="s">
        <v>36</v>
      </c>
      <c r="B5920" s="76" t="s">
        <v>1004</v>
      </c>
      <c r="C5920" s="84">
        <v>0.92</v>
      </c>
      <c r="D5920" s="84">
        <v>0.0</v>
      </c>
      <c r="E5920" s="84">
        <v>0.0</v>
      </c>
      <c r="F5920" s="76" t="s">
        <v>993</v>
      </c>
      <c r="G5920" s="83">
        <v>46115.0</v>
      </c>
      <c r="H5920" s="76" t="s">
        <v>926</v>
      </c>
    </row>
    <row r="5921">
      <c r="A5921" s="76" t="s">
        <v>36</v>
      </c>
      <c r="B5921" s="76" t="s">
        <v>1004</v>
      </c>
      <c r="C5921" s="84">
        <v>1.19</v>
      </c>
      <c r="D5921" s="84">
        <v>0.0</v>
      </c>
      <c r="E5921" s="84">
        <v>0.0</v>
      </c>
      <c r="F5921" s="76" t="s">
        <v>993</v>
      </c>
      <c r="G5921" s="83">
        <v>46115.0</v>
      </c>
      <c r="H5921" s="76" t="s">
        <v>927</v>
      </c>
    </row>
    <row r="5922">
      <c r="A5922" s="76" t="s">
        <v>36</v>
      </c>
      <c r="B5922" s="76" t="s">
        <v>1004</v>
      </c>
      <c r="C5922" s="84">
        <v>0.6</v>
      </c>
      <c r="D5922" s="84">
        <v>0.0</v>
      </c>
      <c r="E5922" s="84">
        <v>0.0</v>
      </c>
      <c r="F5922" s="76" t="s">
        <v>993</v>
      </c>
      <c r="G5922" s="83">
        <v>46115.0</v>
      </c>
      <c r="H5922" s="76" t="s">
        <v>928</v>
      </c>
    </row>
    <row r="5923">
      <c r="A5923" s="76" t="s">
        <v>970</v>
      </c>
      <c r="B5923" s="76" t="s">
        <v>1004</v>
      </c>
      <c r="C5923" s="84">
        <v>4.93</v>
      </c>
      <c r="D5923" s="84">
        <v>0.0</v>
      </c>
      <c r="E5923" s="84">
        <v>0.0</v>
      </c>
      <c r="F5923" s="76" t="s">
        <v>993</v>
      </c>
      <c r="G5923" s="83">
        <v>46115.0</v>
      </c>
      <c r="H5923" s="76" t="s">
        <v>971</v>
      </c>
    </row>
    <row r="5924">
      <c r="A5924" s="76" t="s">
        <v>970</v>
      </c>
      <c r="B5924" s="76" t="s">
        <v>1004</v>
      </c>
      <c r="C5924" s="84">
        <v>0.53</v>
      </c>
      <c r="D5924" s="84">
        <v>0.0</v>
      </c>
      <c r="E5924" s="84">
        <v>0.0</v>
      </c>
      <c r="F5924" s="76" t="s">
        <v>993</v>
      </c>
      <c r="G5924" s="83">
        <v>46115.0</v>
      </c>
      <c r="H5924" s="76" t="s">
        <v>972</v>
      </c>
    </row>
    <row r="5925">
      <c r="A5925" s="76" t="s">
        <v>970</v>
      </c>
      <c r="B5925" s="76" t="s">
        <v>1004</v>
      </c>
      <c r="C5925" s="84">
        <v>4.34</v>
      </c>
      <c r="D5925" s="84">
        <v>0.0</v>
      </c>
      <c r="E5925" s="84">
        <v>0.0</v>
      </c>
      <c r="F5925" s="76" t="s">
        <v>993</v>
      </c>
      <c r="G5925" s="83">
        <v>46115.0</v>
      </c>
      <c r="H5925" s="76" t="s">
        <v>973</v>
      </c>
    </row>
    <row r="5926">
      <c r="A5926" s="76" t="s">
        <v>29</v>
      </c>
      <c r="B5926" s="76" t="s">
        <v>1004</v>
      </c>
      <c r="C5926" s="84">
        <v>5.01</v>
      </c>
      <c r="D5926" s="84">
        <v>0.0</v>
      </c>
      <c r="E5926" s="84">
        <v>0.0</v>
      </c>
      <c r="F5926" s="76" t="s">
        <v>993</v>
      </c>
      <c r="G5926" s="83">
        <v>46115.0</v>
      </c>
      <c r="H5926" s="76" t="s">
        <v>971</v>
      </c>
    </row>
    <row r="5927">
      <c r="A5927" s="76" t="s">
        <v>29</v>
      </c>
      <c r="B5927" s="76" t="s">
        <v>1004</v>
      </c>
      <c r="C5927" s="84">
        <v>0.5</v>
      </c>
      <c r="D5927" s="84">
        <v>0.0</v>
      </c>
      <c r="E5927" s="84">
        <v>0.0</v>
      </c>
      <c r="F5927" s="76" t="s">
        <v>993</v>
      </c>
      <c r="G5927" s="83">
        <v>46115.0</v>
      </c>
      <c r="H5927" s="76" t="s">
        <v>972</v>
      </c>
    </row>
    <row r="5928">
      <c r="A5928" s="76" t="s">
        <v>29</v>
      </c>
      <c r="B5928" s="76" t="s">
        <v>1004</v>
      </c>
      <c r="C5928" s="84">
        <v>5.05</v>
      </c>
      <c r="D5928" s="84">
        <v>0.0</v>
      </c>
      <c r="E5928" s="84">
        <v>0.0</v>
      </c>
      <c r="F5928" s="76" t="s">
        <v>993</v>
      </c>
      <c r="G5928" s="83">
        <v>46115.0</v>
      </c>
      <c r="H5928" s="76" t="s">
        <v>973</v>
      </c>
    </row>
    <row r="5929">
      <c r="A5929" s="76" t="s">
        <v>34</v>
      </c>
      <c r="B5929" s="76" t="s">
        <v>1004</v>
      </c>
      <c r="C5929" s="84">
        <v>2.01</v>
      </c>
      <c r="D5929" s="84">
        <v>0.0</v>
      </c>
      <c r="E5929" s="84">
        <v>0.0</v>
      </c>
      <c r="F5929" s="76" t="s">
        <v>994</v>
      </c>
      <c r="G5929" s="83">
        <v>46115.0</v>
      </c>
      <c r="H5929" s="76" t="s">
        <v>951</v>
      </c>
    </row>
    <row r="5930">
      <c r="A5930" s="76" t="s">
        <v>34</v>
      </c>
      <c r="B5930" s="76" t="s">
        <v>1004</v>
      </c>
      <c r="C5930" s="84">
        <v>1.27</v>
      </c>
      <c r="D5930" s="84">
        <v>0.0</v>
      </c>
      <c r="E5930" s="84">
        <v>0.0</v>
      </c>
      <c r="F5930" s="76" t="s">
        <v>994</v>
      </c>
      <c r="G5930" s="83">
        <v>46115.0</v>
      </c>
      <c r="H5930" s="76" t="s">
        <v>952</v>
      </c>
    </row>
    <row r="5931">
      <c r="A5931" s="76" t="s">
        <v>34</v>
      </c>
      <c r="B5931" s="76" t="s">
        <v>1004</v>
      </c>
      <c r="C5931" s="84">
        <v>0.56</v>
      </c>
      <c r="D5931" s="84">
        <v>0.0</v>
      </c>
      <c r="E5931" s="84">
        <v>0.0</v>
      </c>
      <c r="F5931" s="76" t="s">
        <v>994</v>
      </c>
      <c r="G5931" s="83">
        <v>46115.0</v>
      </c>
      <c r="H5931" s="76" t="s">
        <v>953</v>
      </c>
    </row>
    <row r="5932">
      <c r="A5932" s="76" t="s">
        <v>40</v>
      </c>
      <c r="B5932" s="76" t="s">
        <v>1004</v>
      </c>
      <c r="C5932" s="84">
        <v>1.25</v>
      </c>
      <c r="D5932" s="84">
        <v>0.0</v>
      </c>
      <c r="E5932" s="84">
        <v>0.0</v>
      </c>
      <c r="F5932" s="76" t="s">
        <v>994</v>
      </c>
      <c r="G5932" s="83">
        <v>46115.0</v>
      </c>
      <c r="H5932" s="76" t="s">
        <v>954</v>
      </c>
    </row>
    <row r="5933">
      <c r="A5933" s="76" t="s">
        <v>40</v>
      </c>
      <c r="B5933" s="76" t="s">
        <v>1004</v>
      </c>
      <c r="C5933" s="84">
        <v>0.21</v>
      </c>
      <c r="D5933" s="84">
        <v>0.0</v>
      </c>
      <c r="E5933" s="84">
        <v>0.0</v>
      </c>
      <c r="F5933" s="76" t="s">
        <v>994</v>
      </c>
      <c r="G5933" s="83">
        <v>46115.0</v>
      </c>
      <c r="H5933" s="76" t="s">
        <v>955</v>
      </c>
    </row>
    <row r="5934">
      <c r="A5934" s="76" t="s">
        <v>40</v>
      </c>
      <c r="B5934" s="76" t="s">
        <v>1004</v>
      </c>
      <c r="C5934" s="84">
        <v>1.2</v>
      </c>
      <c r="D5934" s="84">
        <v>0.0</v>
      </c>
      <c r="E5934" s="84">
        <v>0.0</v>
      </c>
      <c r="F5934" s="76" t="s">
        <v>994</v>
      </c>
      <c r="G5934" s="83">
        <v>46115.0</v>
      </c>
      <c r="H5934" s="76" t="s">
        <v>956</v>
      </c>
    </row>
    <row r="5935">
      <c r="A5935" s="76" t="s">
        <v>33</v>
      </c>
      <c r="B5935" s="76" t="s">
        <v>1004</v>
      </c>
      <c r="C5935" s="84">
        <v>5.79</v>
      </c>
      <c r="D5935" s="84">
        <v>0.0</v>
      </c>
      <c r="E5935" s="84">
        <v>0.0</v>
      </c>
      <c r="F5935" s="76" t="s">
        <v>994</v>
      </c>
      <c r="G5935" s="83">
        <v>46115.0</v>
      </c>
      <c r="H5935" s="76" t="s">
        <v>957</v>
      </c>
    </row>
    <row r="5936">
      <c r="A5936" s="76" t="s">
        <v>33</v>
      </c>
      <c r="B5936" s="76" t="s">
        <v>1004</v>
      </c>
      <c r="C5936" s="84">
        <v>0.91</v>
      </c>
      <c r="D5936" s="84">
        <v>0.0</v>
      </c>
      <c r="E5936" s="84">
        <v>0.0</v>
      </c>
      <c r="F5936" s="76" t="s">
        <v>994</v>
      </c>
      <c r="G5936" s="83">
        <v>46115.0</v>
      </c>
      <c r="H5936" s="76" t="s">
        <v>958</v>
      </c>
    </row>
    <row r="5937">
      <c r="A5937" s="76" t="s">
        <v>33</v>
      </c>
      <c r="B5937" s="76" t="s">
        <v>1004</v>
      </c>
      <c r="C5937" s="84">
        <v>1.13</v>
      </c>
      <c r="D5937" s="84">
        <v>0.0</v>
      </c>
      <c r="E5937" s="84">
        <v>0.0</v>
      </c>
      <c r="F5937" s="76" t="s">
        <v>994</v>
      </c>
      <c r="G5937" s="83">
        <v>46115.0</v>
      </c>
      <c r="H5937" s="76" t="s">
        <v>959</v>
      </c>
    </row>
    <row r="5938">
      <c r="A5938" s="76" t="s">
        <v>46</v>
      </c>
      <c r="B5938" s="76" t="s">
        <v>1004</v>
      </c>
      <c r="C5938" s="84">
        <v>1.18</v>
      </c>
      <c r="D5938" s="84">
        <v>0.0</v>
      </c>
      <c r="E5938" s="84">
        <v>0.0</v>
      </c>
      <c r="F5938" s="76" t="s">
        <v>994</v>
      </c>
      <c r="G5938" s="83">
        <v>46115.0</v>
      </c>
      <c r="H5938" s="76" t="s">
        <v>960</v>
      </c>
    </row>
    <row r="5939">
      <c r="A5939" s="76" t="s">
        <v>46</v>
      </c>
      <c r="B5939" s="76" t="s">
        <v>1004</v>
      </c>
      <c r="C5939" s="84">
        <v>1.02</v>
      </c>
      <c r="D5939" s="84">
        <v>0.0</v>
      </c>
      <c r="E5939" s="84">
        <v>0.0</v>
      </c>
      <c r="F5939" s="76" t="s">
        <v>994</v>
      </c>
      <c r="G5939" s="83">
        <v>46115.0</v>
      </c>
      <c r="H5939" s="76" t="s">
        <v>961</v>
      </c>
    </row>
    <row r="5940">
      <c r="A5940" s="76" t="s">
        <v>46</v>
      </c>
      <c r="B5940" s="76" t="s">
        <v>1004</v>
      </c>
      <c r="C5940" s="84">
        <v>0.51</v>
      </c>
      <c r="D5940" s="84">
        <v>0.0</v>
      </c>
      <c r="E5940" s="84">
        <v>0.0</v>
      </c>
      <c r="F5940" s="76" t="s">
        <v>994</v>
      </c>
      <c r="G5940" s="83">
        <v>46115.0</v>
      </c>
      <c r="H5940" s="76" t="s">
        <v>962</v>
      </c>
    </row>
    <row r="5941">
      <c r="A5941" s="76" t="s">
        <v>43</v>
      </c>
      <c r="B5941" s="76" t="s">
        <v>1004</v>
      </c>
      <c r="C5941" s="84">
        <v>0.9</v>
      </c>
      <c r="D5941" s="84">
        <v>0.0</v>
      </c>
      <c r="E5941" s="84">
        <v>0.0</v>
      </c>
      <c r="F5941" s="76" t="s">
        <v>994</v>
      </c>
      <c r="G5941" s="83">
        <v>46115.0</v>
      </c>
      <c r="H5941" s="76" t="s">
        <v>963</v>
      </c>
    </row>
    <row r="5942">
      <c r="A5942" s="76" t="s">
        <v>43</v>
      </c>
      <c r="B5942" s="76" t="s">
        <v>1004</v>
      </c>
      <c r="C5942" s="84">
        <v>1.1</v>
      </c>
      <c r="D5942" s="84">
        <v>0.0</v>
      </c>
      <c r="E5942" s="84">
        <v>0.0</v>
      </c>
      <c r="F5942" s="76" t="s">
        <v>994</v>
      </c>
      <c r="G5942" s="83">
        <v>46115.0</v>
      </c>
      <c r="H5942" s="76" t="s">
        <v>964</v>
      </c>
    </row>
    <row r="5943">
      <c r="A5943" s="76" t="s">
        <v>43</v>
      </c>
      <c r="B5943" s="76" t="s">
        <v>1004</v>
      </c>
      <c r="C5943" s="84">
        <v>2.07</v>
      </c>
      <c r="D5943" s="84">
        <v>0.0</v>
      </c>
      <c r="E5943" s="84">
        <v>0.0</v>
      </c>
      <c r="F5943" s="76" t="s">
        <v>994</v>
      </c>
      <c r="G5943" s="83">
        <v>46115.0</v>
      </c>
      <c r="H5943" s="76" t="s">
        <v>965</v>
      </c>
    </row>
    <row r="5944">
      <c r="A5944" s="76" t="s">
        <v>966</v>
      </c>
      <c r="B5944" s="76" t="s">
        <v>1004</v>
      </c>
      <c r="C5944" s="84">
        <v>1.38</v>
      </c>
      <c r="D5944" s="84">
        <v>0.0</v>
      </c>
      <c r="E5944" s="84">
        <v>0.0</v>
      </c>
      <c r="F5944" s="76" t="s">
        <v>994</v>
      </c>
      <c r="G5944" s="83">
        <v>46115.0</v>
      </c>
      <c r="H5944" s="76" t="s">
        <v>967</v>
      </c>
    </row>
    <row r="5945">
      <c r="A5945" s="76" t="s">
        <v>966</v>
      </c>
      <c r="B5945" s="76" t="s">
        <v>1004</v>
      </c>
      <c r="C5945" s="84">
        <v>0.47</v>
      </c>
      <c r="D5945" s="84">
        <v>0.0</v>
      </c>
      <c r="E5945" s="84">
        <v>0.0</v>
      </c>
      <c r="F5945" s="76" t="s">
        <v>994</v>
      </c>
      <c r="G5945" s="83">
        <v>46115.0</v>
      </c>
      <c r="H5945" s="76" t="s">
        <v>968</v>
      </c>
    </row>
    <row r="5946">
      <c r="A5946" s="76" t="s">
        <v>966</v>
      </c>
      <c r="B5946" s="76" t="s">
        <v>1004</v>
      </c>
      <c r="C5946" s="84">
        <v>0.81</v>
      </c>
      <c r="D5946" s="84">
        <v>0.0</v>
      </c>
      <c r="E5946" s="84">
        <v>0.0</v>
      </c>
      <c r="F5946" s="76" t="s">
        <v>994</v>
      </c>
      <c r="G5946" s="83">
        <v>46115.0</v>
      </c>
      <c r="H5946" s="76" t="s">
        <v>969</v>
      </c>
    </row>
    <row r="5947">
      <c r="A5947" s="76" t="s">
        <v>36</v>
      </c>
      <c r="B5947" s="76" t="s">
        <v>1004</v>
      </c>
      <c r="C5947" s="84">
        <v>0.83</v>
      </c>
      <c r="D5947" s="84">
        <v>0.0</v>
      </c>
      <c r="E5947" s="84">
        <v>0.0</v>
      </c>
      <c r="F5947" s="76" t="s">
        <v>994</v>
      </c>
      <c r="G5947" s="83">
        <v>46115.0</v>
      </c>
      <c r="H5947" s="76" t="s">
        <v>926</v>
      </c>
    </row>
    <row r="5948">
      <c r="A5948" s="76" t="s">
        <v>36</v>
      </c>
      <c r="B5948" s="76" t="s">
        <v>1004</v>
      </c>
      <c r="C5948" s="84">
        <v>1.4</v>
      </c>
      <c r="D5948" s="84">
        <v>0.0</v>
      </c>
      <c r="E5948" s="84">
        <v>0.0</v>
      </c>
      <c r="F5948" s="76" t="s">
        <v>994</v>
      </c>
      <c r="G5948" s="83">
        <v>46115.0</v>
      </c>
      <c r="H5948" s="76" t="s">
        <v>927</v>
      </c>
    </row>
    <row r="5949">
      <c r="A5949" s="76" t="s">
        <v>36</v>
      </c>
      <c r="B5949" s="76" t="s">
        <v>1004</v>
      </c>
      <c r="C5949" s="84">
        <v>1.03</v>
      </c>
      <c r="D5949" s="84">
        <v>0.0</v>
      </c>
      <c r="E5949" s="84">
        <v>0.0</v>
      </c>
      <c r="F5949" s="76" t="s">
        <v>994</v>
      </c>
      <c r="G5949" s="83">
        <v>46115.0</v>
      </c>
      <c r="H5949" s="76" t="s">
        <v>928</v>
      </c>
    </row>
    <row r="5950">
      <c r="A5950" s="76" t="s">
        <v>970</v>
      </c>
      <c r="B5950" s="76" t="s">
        <v>1004</v>
      </c>
      <c r="C5950" s="84">
        <v>4.56</v>
      </c>
      <c r="D5950" s="84">
        <v>0.0</v>
      </c>
      <c r="E5950" s="84">
        <v>0.0</v>
      </c>
      <c r="F5950" s="76" t="s">
        <v>994</v>
      </c>
      <c r="G5950" s="83">
        <v>46115.0</v>
      </c>
      <c r="H5950" s="76" t="s">
        <v>971</v>
      </c>
    </row>
    <row r="5951">
      <c r="A5951" s="76" t="s">
        <v>970</v>
      </c>
      <c r="B5951" s="76" t="s">
        <v>1004</v>
      </c>
      <c r="C5951" s="84">
        <v>0.44</v>
      </c>
      <c r="D5951" s="84">
        <v>0.0</v>
      </c>
      <c r="E5951" s="84">
        <v>0.0</v>
      </c>
      <c r="F5951" s="76" t="s">
        <v>994</v>
      </c>
      <c r="G5951" s="83">
        <v>46115.0</v>
      </c>
      <c r="H5951" s="76" t="s">
        <v>972</v>
      </c>
    </row>
    <row r="5952">
      <c r="A5952" s="76" t="s">
        <v>970</v>
      </c>
      <c r="B5952" s="76" t="s">
        <v>1004</v>
      </c>
      <c r="C5952" s="84">
        <v>5.19</v>
      </c>
      <c r="D5952" s="84">
        <v>0.0</v>
      </c>
      <c r="E5952" s="84">
        <v>0.0</v>
      </c>
      <c r="F5952" s="76" t="s">
        <v>994</v>
      </c>
      <c r="G5952" s="83">
        <v>46115.0</v>
      </c>
      <c r="H5952" s="76" t="s">
        <v>973</v>
      </c>
    </row>
    <row r="5953">
      <c r="A5953" s="76" t="s">
        <v>29</v>
      </c>
      <c r="B5953" s="76" t="s">
        <v>1004</v>
      </c>
      <c r="C5953" s="84">
        <v>4.99</v>
      </c>
      <c r="D5953" s="84">
        <v>0.0</v>
      </c>
      <c r="E5953" s="84">
        <v>0.0</v>
      </c>
      <c r="F5953" s="76" t="s">
        <v>994</v>
      </c>
      <c r="G5953" s="83">
        <v>46115.0</v>
      </c>
      <c r="H5953" s="76" t="s">
        <v>971</v>
      </c>
    </row>
    <row r="5954">
      <c r="A5954" s="76" t="s">
        <v>29</v>
      </c>
      <c r="B5954" s="76" t="s">
        <v>1004</v>
      </c>
      <c r="C5954" s="84">
        <v>0.65</v>
      </c>
      <c r="D5954" s="84">
        <v>0.0</v>
      </c>
      <c r="E5954" s="84">
        <v>0.0</v>
      </c>
      <c r="F5954" s="76" t="s">
        <v>994</v>
      </c>
      <c r="G5954" s="83">
        <v>46115.0</v>
      </c>
      <c r="H5954" s="76" t="s">
        <v>972</v>
      </c>
    </row>
    <row r="5955">
      <c r="A5955" s="76" t="s">
        <v>29</v>
      </c>
      <c r="B5955" s="76" t="s">
        <v>1004</v>
      </c>
      <c r="C5955" s="84">
        <v>4.7</v>
      </c>
      <c r="D5955" s="84">
        <v>0.0</v>
      </c>
      <c r="E5955" s="84">
        <v>0.0</v>
      </c>
      <c r="F5955" s="76" t="s">
        <v>994</v>
      </c>
      <c r="G5955" s="83">
        <v>46115.0</v>
      </c>
      <c r="H5955" s="76" t="s">
        <v>973</v>
      </c>
    </row>
    <row r="5956">
      <c r="A5956" s="76" t="s">
        <v>34</v>
      </c>
      <c r="B5956" s="76" t="s">
        <v>1004</v>
      </c>
      <c r="C5956" s="84">
        <v>1.05</v>
      </c>
      <c r="D5956" s="84">
        <v>0.0</v>
      </c>
      <c r="E5956" s="84">
        <v>0.0</v>
      </c>
      <c r="F5956" s="76" t="s">
        <v>1005</v>
      </c>
      <c r="G5956" s="83">
        <v>46115.0</v>
      </c>
      <c r="H5956" s="76" t="s">
        <v>951</v>
      </c>
    </row>
    <row r="5957">
      <c r="A5957" s="76" t="s">
        <v>34</v>
      </c>
      <c r="B5957" s="76" t="s">
        <v>1004</v>
      </c>
      <c r="C5957" s="84">
        <v>0.33</v>
      </c>
      <c r="D5957" s="84">
        <v>0.0</v>
      </c>
      <c r="E5957" s="84">
        <v>0.0</v>
      </c>
      <c r="F5957" s="76" t="s">
        <v>1005</v>
      </c>
      <c r="G5957" s="83">
        <v>46115.0</v>
      </c>
      <c r="H5957" s="76" t="s">
        <v>952</v>
      </c>
    </row>
    <row r="5958">
      <c r="A5958" s="76" t="s">
        <v>34</v>
      </c>
      <c r="B5958" s="76" t="s">
        <v>1004</v>
      </c>
      <c r="C5958" s="84">
        <v>0.54</v>
      </c>
      <c r="D5958" s="84">
        <v>0.0</v>
      </c>
      <c r="E5958" s="84">
        <v>0.0</v>
      </c>
      <c r="F5958" s="76" t="s">
        <v>1005</v>
      </c>
      <c r="G5958" s="83">
        <v>46115.0</v>
      </c>
      <c r="H5958" s="76" t="s">
        <v>953</v>
      </c>
    </row>
    <row r="5959">
      <c r="A5959" s="76" t="s">
        <v>40</v>
      </c>
      <c r="B5959" s="76" t="s">
        <v>1004</v>
      </c>
      <c r="C5959" s="84">
        <v>0.93</v>
      </c>
      <c r="D5959" s="84">
        <v>0.0</v>
      </c>
      <c r="E5959" s="84">
        <v>0.0</v>
      </c>
      <c r="F5959" s="76" t="s">
        <v>1005</v>
      </c>
      <c r="G5959" s="83">
        <v>46115.0</v>
      </c>
      <c r="H5959" s="76" t="s">
        <v>954</v>
      </c>
    </row>
    <row r="5960">
      <c r="A5960" s="76" t="s">
        <v>40</v>
      </c>
      <c r="B5960" s="76" t="s">
        <v>1004</v>
      </c>
      <c r="C5960" s="84">
        <v>0.13</v>
      </c>
      <c r="D5960" s="84">
        <v>0.0</v>
      </c>
      <c r="E5960" s="84">
        <v>0.0</v>
      </c>
      <c r="F5960" s="76" t="s">
        <v>1005</v>
      </c>
      <c r="G5960" s="83">
        <v>46115.0</v>
      </c>
      <c r="H5960" s="76" t="s">
        <v>955</v>
      </c>
    </row>
    <row r="5961">
      <c r="A5961" s="76" t="s">
        <v>40</v>
      </c>
      <c r="B5961" s="76" t="s">
        <v>1004</v>
      </c>
      <c r="C5961" s="84">
        <v>0.99</v>
      </c>
      <c r="D5961" s="84">
        <v>0.0</v>
      </c>
      <c r="E5961" s="84">
        <v>0.0</v>
      </c>
      <c r="F5961" s="76" t="s">
        <v>1005</v>
      </c>
      <c r="G5961" s="83">
        <v>46115.0</v>
      </c>
      <c r="H5961" s="76" t="s">
        <v>956</v>
      </c>
    </row>
    <row r="5962">
      <c r="A5962" s="76" t="s">
        <v>33</v>
      </c>
      <c r="B5962" s="76" t="s">
        <v>1004</v>
      </c>
      <c r="C5962" s="84">
        <v>6.04</v>
      </c>
      <c r="D5962" s="84">
        <v>0.0</v>
      </c>
      <c r="E5962" s="84">
        <v>0.0</v>
      </c>
      <c r="F5962" s="76" t="s">
        <v>1005</v>
      </c>
      <c r="G5962" s="83">
        <v>46115.0</v>
      </c>
      <c r="H5962" s="76" t="s">
        <v>957</v>
      </c>
    </row>
    <row r="5963">
      <c r="A5963" s="76" t="s">
        <v>33</v>
      </c>
      <c r="B5963" s="76" t="s">
        <v>1004</v>
      </c>
      <c r="C5963" s="84">
        <v>1.69</v>
      </c>
      <c r="D5963" s="84">
        <v>0.0</v>
      </c>
      <c r="E5963" s="84">
        <v>0.0</v>
      </c>
      <c r="F5963" s="76" t="s">
        <v>1005</v>
      </c>
      <c r="G5963" s="83">
        <v>46115.0</v>
      </c>
      <c r="H5963" s="76" t="s">
        <v>958</v>
      </c>
    </row>
    <row r="5964">
      <c r="A5964" s="76" t="s">
        <v>33</v>
      </c>
      <c r="B5964" s="76" t="s">
        <v>1004</v>
      </c>
      <c r="C5964" s="84">
        <v>0.62</v>
      </c>
      <c r="D5964" s="84">
        <v>0.0</v>
      </c>
      <c r="E5964" s="84">
        <v>0.0</v>
      </c>
      <c r="F5964" s="76" t="s">
        <v>1005</v>
      </c>
      <c r="G5964" s="83">
        <v>46115.0</v>
      </c>
      <c r="H5964" s="76" t="s">
        <v>959</v>
      </c>
    </row>
    <row r="5965">
      <c r="A5965" s="76" t="s">
        <v>46</v>
      </c>
      <c r="B5965" s="76" t="s">
        <v>1004</v>
      </c>
      <c r="C5965" s="84">
        <v>1.56</v>
      </c>
      <c r="D5965" s="84">
        <v>0.0</v>
      </c>
      <c r="E5965" s="84">
        <v>0.0</v>
      </c>
      <c r="F5965" s="76" t="s">
        <v>1005</v>
      </c>
      <c r="G5965" s="83">
        <v>46115.0</v>
      </c>
      <c r="H5965" s="76" t="s">
        <v>960</v>
      </c>
    </row>
    <row r="5966">
      <c r="A5966" s="76" t="s">
        <v>46</v>
      </c>
      <c r="B5966" s="76" t="s">
        <v>1004</v>
      </c>
      <c r="C5966" s="84">
        <v>1.5</v>
      </c>
      <c r="D5966" s="84">
        <v>0.0</v>
      </c>
      <c r="E5966" s="84">
        <v>0.0</v>
      </c>
      <c r="F5966" s="76" t="s">
        <v>1005</v>
      </c>
      <c r="G5966" s="83">
        <v>46115.0</v>
      </c>
      <c r="H5966" s="76" t="s">
        <v>961</v>
      </c>
    </row>
    <row r="5967">
      <c r="A5967" s="76" t="s">
        <v>46</v>
      </c>
      <c r="B5967" s="76" t="s">
        <v>1004</v>
      </c>
      <c r="C5967" s="84">
        <v>0.18</v>
      </c>
      <c r="D5967" s="84">
        <v>0.0</v>
      </c>
      <c r="E5967" s="84">
        <v>0.0</v>
      </c>
      <c r="F5967" s="76" t="s">
        <v>1005</v>
      </c>
      <c r="G5967" s="83">
        <v>46115.0</v>
      </c>
      <c r="H5967" s="76" t="s">
        <v>962</v>
      </c>
    </row>
    <row r="5968">
      <c r="A5968" s="76" t="s">
        <v>43</v>
      </c>
      <c r="B5968" s="76" t="s">
        <v>1004</v>
      </c>
      <c r="C5968" s="84">
        <v>0.36</v>
      </c>
      <c r="D5968" s="84">
        <v>0.0</v>
      </c>
      <c r="E5968" s="84">
        <v>0.0</v>
      </c>
      <c r="F5968" s="76" t="s">
        <v>1005</v>
      </c>
      <c r="G5968" s="83">
        <v>46115.0</v>
      </c>
      <c r="H5968" s="76" t="s">
        <v>963</v>
      </c>
    </row>
    <row r="5969">
      <c r="A5969" s="76" t="s">
        <v>43</v>
      </c>
      <c r="B5969" s="76" t="s">
        <v>1004</v>
      </c>
      <c r="C5969" s="84">
        <v>1.28</v>
      </c>
      <c r="D5969" s="84">
        <v>0.0</v>
      </c>
      <c r="E5969" s="84">
        <v>0.0</v>
      </c>
      <c r="F5969" s="76" t="s">
        <v>1005</v>
      </c>
      <c r="G5969" s="83">
        <v>46115.0</v>
      </c>
      <c r="H5969" s="76" t="s">
        <v>964</v>
      </c>
    </row>
    <row r="5970">
      <c r="A5970" s="76" t="s">
        <v>43</v>
      </c>
      <c r="B5970" s="76" t="s">
        <v>1004</v>
      </c>
      <c r="C5970" s="84">
        <v>1.89</v>
      </c>
      <c r="D5970" s="84">
        <v>0.0</v>
      </c>
      <c r="E5970" s="84">
        <v>0.0</v>
      </c>
      <c r="F5970" s="76" t="s">
        <v>1005</v>
      </c>
      <c r="G5970" s="83">
        <v>46115.0</v>
      </c>
      <c r="H5970" s="76" t="s">
        <v>965</v>
      </c>
    </row>
    <row r="5971">
      <c r="A5971" s="76" t="s">
        <v>966</v>
      </c>
      <c r="B5971" s="76" t="s">
        <v>1004</v>
      </c>
      <c r="C5971" s="84">
        <v>0.92</v>
      </c>
      <c r="D5971" s="84">
        <v>0.0</v>
      </c>
      <c r="E5971" s="84">
        <v>0.0</v>
      </c>
      <c r="F5971" s="76" t="s">
        <v>1005</v>
      </c>
      <c r="G5971" s="83">
        <v>46115.0</v>
      </c>
      <c r="H5971" s="76" t="s">
        <v>967</v>
      </c>
    </row>
    <row r="5972">
      <c r="A5972" s="76" t="s">
        <v>966</v>
      </c>
      <c r="B5972" s="76" t="s">
        <v>1004</v>
      </c>
      <c r="C5972" s="84">
        <v>0.33</v>
      </c>
      <c r="D5972" s="84">
        <v>0.0</v>
      </c>
      <c r="E5972" s="84">
        <v>0.0</v>
      </c>
      <c r="F5972" s="76" t="s">
        <v>1005</v>
      </c>
      <c r="G5972" s="83">
        <v>46115.0</v>
      </c>
      <c r="H5972" s="76" t="s">
        <v>968</v>
      </c>
    </row>
    <row r="5973">
      <c r="A5973" s="76" t="s">
        <v>966</v>
      </c>
      <c r="B5973" s="76" t="s">
        <v>1004</v>
      </c>
      <c r="C5973" s="84">
        <v>1.39</v>
      </c>
      <c r="D5973" s="84">
        <v>0.0</v>
      </c>
      <c r="E5973" s="84">
        <v>0.0</v>
      </c>
      <c r="F5973" s="76" t="s">
        <v>1005</v>
      </c>
      <c r="G5973" s="83">
        <v>46115.0</v>
      </c>
      <c r="H5973" s="76" t="s">
        <v>969</v>
      </c>
    </row>
    <row r="5974">
      <c r="A5974" s="76" t="s">
        <v>36</v>
      </c>
      <c r="B5974" s="76" t="s">
        <v>1004</v>
      </c>
      <c r="C5974" s="84">
        <v>0.7</v>
      </c>
      <c r="D5974" s="84">
        <v>0.0</v>
      </c>
      <c r="E5974" s="84">
        <v>0.0</v>
      </c>
      <c r="F5974" s="76" t="s">
        <v>1005</v>
      </c>
      <c r="G5974" s="83">
        <v>46115.0</v>
      </c>
      <c r="H5974" s="76" t="s">
        <v>926</v>
      </c>
    </row>
    <row r="5975">
      <c r="A5975" s="76" t="s">
        <v>36</v>
      </c>
      <c r="B5975" s="76" t="s">
        <v>1004</v>
      </c>
      <c r="C5975" s="84">
        <v>1.5</v>
      </c>
      <c r="D5975" s="84">
        <v>0.0</v>
      </c>
      <c r="E5975" s="84">
        <v>0.0</v>
      </c>
      <c r="F5975" s="76" t="s">
        <v>1005</v>
      </c>
      <c r="G5975" s="83">
        <v>46115.0</v>
      </c>
      <c r="H5975" s="76" t="s">
        <v>927</v>
      </c>
    </row>
    <row r="5976">
      <c r="A5976" s="76" t="s">
        <v>36</v>
      </c>
      <c r="B5976" s="76" t="s">
        <v>1004</v>
      </c>
      <c r="C5976" s="84">
        <v>0.44</v>
      </c>
      <c r="D5976" s="84">
        <v>0.0</v>
      </c>
      <c r="E5976" s="84">
        <v>0.0</v>
      </c>
      <c r="F5976" s="76" t="s">
        <v>1005</v>
      </c>
      <c r="G5976" s="83">
        <v>46115.0</v>
      </c>
      <c r="H5976" s="76" t="s">
        <v>928</v>
      </c>
    </row>
    <row r="5977">
      <c r="A5977" s="76" t="s">
        <v>970</v>
      </c>
      <c r="B5977" s="76" t="s">
        <v>1004</v>
      </c>
      <c r="C5977" s="84">
        <v>3.55</v>
      </c>
      <c r="D5977" s="84">
        <v>1.0</v>
      </c>
      <c r="E5977" s="84">
        <v>3.55</v>
      </c>
      <c r="F5977" s="76" t="s">
        <v>1005</v>
      </c>
      <c r="G5977" s="83">
        <v>46115.0</v>
      </c>
      <c r="H5977" s="76" t="s">
        <v>971</v>
      </c>
    </row>
    <row r="5978">
      <c r="A5978" s="76" t="s">
        <v>970</v>
      </c>
      <c r="B5978" s="76" t="s">
        <v>1004</v>
      </c>
      <c r="C5978" s="84">
        <v>0.53</v>
      </c>
      <c r="D5978" s="84">
        <v>0.0</v>
      </c>
      <c r="E5978" s="84">
        <v>0.0</v>
      </c>
      <c r="F5978" s="76" t="s">
        <v>1005</v>
      </c>
      <c r="G5978" s="83">
        <v>46115.0</v>
      </c>
      <c r="H5978" s="76" t="s">
        <v>972</v>
      </c>
    </row>
    <row r="5979">
      <c r="A5979" s="76" t="s">
        <v>970</v>
      </c>
      <c r="B5979" s="76" t="s">
        <v>1004</v>
      </c>
      <c r="C5979" s="84">
        <v>3.11</v>
      </c>
      <c r="D5979" s="84">
        <v>0.0</v>
      </c>
      <c r="E5979" s="84">
        <v>0.0</v>
      </c>
      <c r="F5979" s="76" t="s">
        <v>1005</v>
      </c>
      <c r="G5979" s="83">
        <v>46115.0</v>
      </c>
      <c r="H5979" s="76" t="s">
        <v>973</v>
      </c>
    </row>
    <row r="5980">
      <c r="A5980" s="76" t="s">
        <v>29</v>
      </c>
      <c r="B5980" s="76" t="s">
        <v>1004</v>
      </c>
      <c r="C5980" s="84">
        <v>3.12</v>
      </c>
      <c r="D5980" s="84">
        <v>0.0</v>
      </c>
      <c r="E5980" s="84">
        <v>0.0</v>
      </c>
      <c r="F5980" s="76" t="s">
        <v>1005</v>
      </c>
      <c r="G5980" s="83">
        <v>46115.0</v>
      </c>
      <c r="H5980" s="76" t="s">
        <v>1015</v>
      </c>
    </row>
    <row r="5981">
      <c r="A5981" s="76" t="s">
        <v>29</v>
      </c>
      <c r="B5981" s="76" t="s">
        <v>1004</v>
      </c>
      <c r="C5981" s="84">
        <v>2.14</v>
      </c>
      <c r="D5981" s="84">
        <v>0.0</v>
      </c>
      <c r="E5981" s="84">
        <v>0.0</v>
      </c>
      <c r="F5981" s="76" t="s">
        <v>1005</v>
      </c>
      <c r="G5981" s="83">
        <v>46115.0</v>
      </c>
      <c r="H5981" s="76" t="s">
        <v>1016</v>
      </c>
    </row>
    <row r="5982">
      <c r="A5982" s="76" t="s">
        <v>29</v>
      </c>
      <c r="B5982" s="76" t="s">
        <v>1004</v>
      </c>
      <c r="C5982" s="84">
        <v>0.56</v>
      </c>
      <c r="D5982" s="84">
        <v>0.0</v>
      </c>
      <c r="E5982" s="84">
        <v>0.0</v>
      </c>
      <c r="F5982" s="76" t="s">
        <v>1005</v>
      </c>
      <c r="G5982" s="83">
        <v>46115.0</v>
      </c>
      <c r="H5982" s="76" t="s">
        <v>1017</v>
      </c>
    </row>
    <row r="5983">
      <c r="A5983" s="76" t="s">
        <v>34</v>
      </c>
      <c r="B5983" s="76" t="s">
        <v>1004</v>
      </c>
      <c r="C5983" s="84">
        <v>3.34</v>
      </c>
      <c r="D5983" s="84">
        <v>0.0</v>
      </c>
      <c r="E5983" s="84">
        <v>0.0</v>
      </c>
      <c r="F5983" s="76" t="s">
        <v>996</v>
      </c>
      <c r="G5983" s="83">
        <v>46115.0</v>
      </c>
      <c r="H5983" s="76" t="s">
        <v>951</v>
      </c>
    </row>
    <row r="5984">
      <c r="A5984" s="76" t="s">
        <v>34</v>
      </c>
      <c r="B5984" s="76" t="s">
        <v>1004</v>
      </c>
      <c r="C5984" s="84">
        <v>1.3</v>
      </c>
      <c r="D5984" s="84">
        <v>0.0</v>
      </c>
      <c r="E5984" s="84">
        <v>0.0</v>
      </c>
      <c r="F5984" s="76" t="s">
        <v>996</v>
      </c>
      <c r="G5984" s="83">
        <v>46115.0</v>
      </c>
      <c r="H5984" s="76" t="s">
        <v>952</v>
      </c>
    </row>
    <row r="5985">
      <c r="A5985" s="76" t="s">
        <v>34</v>
      </c>
      <c r="B5985" s="76" t="s">
        <v>1004</v>
      </c>
      <c r="C5985" s="84">
        <v>1.12</v>
      </c>
      <c r="D5985" s="84">
        <v>0.0</v>
      </c>
      <c r="E5985" s="84">
        <v>0.0</v>
      </c>
      <c r="F5985" s="76" t="s">
        <v>996</v>
      </c>
      <c r="G5985" s="83">
        <v>46115.0</v>
      </c>
      <c r="H5985" s="76" t="s">
        <v>953</v>
      </c>
    </row>
    <row r="5986">
      <c r="A5986" s="76" t="s">
        <v>40</v>
      </c>
      <c r="B5986" s="76" t="s">
        <v>1004</v>
      </c>
      <c r="C5986" s="84">
        <v>1.87</v>
      </c>
      <c r="D5986" s="84">
        <v>0.0</v>
      </c>
      <c r="E5986" s="84">
        <v>0.0</v>
      </c>
      <c r="F5986" s="76" t="s">
        <v>996</v>
      </c>
      <c r="G5986" s="83">
        <v>46115.0</v>
      </c>
      <c r="H5986" s="76" t="s">
        <v>954</v>
      </c>
    </row>
    <row r="5987">
      <c r="A5987" s="76" t="s">
        <v>40</v>
      </c>
      <c r="B5987" s="76" t="s">
        <v>1004</v>
      </c>
      <c r="C5987" s="84">
        <v>0.22</v>
      </c>
      <c r="D5987" s="84">
        <v>0.0</v>
      </c>
      <c r="E5987" s="84">
        <v>0.0</v>
      </c>
      <c r="F5987" s="76" t="s">
        <v>996</v>
      </c>
      <c r="G5987" s="83">
        <v>46115.0</v>
      </c>
      <c r="H5987" s="76" t="s">
        <v>955</v>
      </c>
    </row>
    <row r="5988">
      <c r="A5988" s="76" t="s">
        <v>40</v>
      </c>
      <c r="B5988" s="76" t="s">
        <v>1004</v>
      </c>
      <c r="C5988" s="84">
        <v>2.29</v>
      </c>
      <c r="D5988" s="84">
        <v>0.0</v>
      </c>
      <c r="E5988" s="84">
        <v>0.0</v>
      </c>
      <c r="F5988" s="76" t="s">
        <v>996</v>
      </c>
      <c r="G5988" s="83">
        <v>46115.0</v>
      </c>
      <c r="H5988" s="76" t="s">
        <v>956</v>
      </c>
    </row>
    <row r="5989">
      <c r="A5989" s="76" t="s">
        <v>33</v>
      </c>
      <c r="B5989" s="76" t="s">
        <v>1004</v>
      </c>
      <c r="C5989" s="84">
        <v>8.52</v>
      </c>
      <c r="D5989" s="84">
        <v>0.0</v>
      </c>
      <c r="E5989" s="84">
        <v>0.0</v>
      </c>
      <c r="F5989" s="76" t="s">
        <v>996</v>
      </c>
      <c r="G5989" s="83">
        <v>46115.0</v>
      </c>
      <c r="H5989" s="76" t="s">
        <v>957</v>
      </c>
    </row>
    <row r="5990">
      <c r="A5990" s="76" t="s">
        <v>33</v>
      </c>
      <c r="B5990" s="76" t="s">
        <v>1004</v>
      </c>
      <c r="C5990" s="84">
        <v>2.12</v>
      </c>
      <c r="D5990" s="84">
        <v>0.0</v>
      </c>
      <c r="E5990" s="84">
        <v>0.0</v>
      </c>
      <c r="F5990" s="76" t="s">
        <v>996</v>
      </c>
      <c r="G5990" s="83">
        <v>46115.0</v>
      </c>
      <c r="H5990" s="76" t="s">
        <v>958</v>
      </c>
    </row>
    <row r="5991">
      <c r="A5991" s="76" t="s">
        <v>33</v>
      </c>
      <c r="B5991" s="76" t="s">
        <v>1004</v>
      </c>
      <c r="C5991" s="84">
        <v>1.29</v>
      </c>
      <c r="D5991" s="84">
        <v>0.0</v>
      </c>
      <c r="E5991" s="84">
        <v>0.0</v>
      </c>
      <c r="F5991" s="76" t="s">
        <v>996</v>
      </c>
      <c r="G5991" s="83">
        <v>46115.0</v>
      </c>
      <c r="H5991" s="76" t="s">
        <v>959</v>
      </c>
    </row>
    <row r="5992">
      <c r="A5992" s="76" t="s">
        <v>46</v>
      </c>
      <c r="B5992" s="76" t="s">
        <v>1004</v>
      </c>
      <c r="C5992" s="84">
        <v>2.33</v>
      </c>
      <c r="D5992" s="84">
        <v>0.0</v>
      </c>
      <c r="E5992" s="84">
        <v>0.0</v>
      </c>
      <c r="F5992" s="76" t="s">
        <v>996</v>
      </c>
      <c r="G5992" s="83">
        <v>46115.0</v>
      </c>
      <c r="H5992" s="76" t="s">
        <v>960</v>
      </c>
    </row>
    <row r="5993">
      <c r="A5993" s="76" t="s">
        <v>46</v>
      </c>
      <c r="B5993" s="76" t="s">
        <v>1004</v>
      </c>
      <c r="C5993" s="84">
        <v>1.81</v>
      </c>
      <c r="D5993" s="84">
        <v>0.0</v>
      </c>
      <c r="E5993" s="84">
        <v>0.0</v>
      </c>
      <c r="F5993" s="76" t="s">
        <v>996</v>
      </c>
      <c r="G5993" s="83">
        <v>46115.0</v>
      </c>
      <c r="H5993" s="76" t="s">
        <v>961</v>
      </c>
    </row>
    <row r="5994">
      <c r="A5994" s="76" t="s">
        <v>46</v>
      </c>
      <c r="B5994" s="76" t="s">
        <v>1004</v>
      </c>
      <c r="C5994" s="84">
        <v>0.45</v>
      </c>
      <c r="D5994" s="84">
        <v>0.0</v>
      </c>
      <c r="E5994" s="84">
        <v>0.0</v>
      </c>
      <c r="F5994" s="76" t="s">
        <v>996</v>
      </c>
      <c r="G5994" s="83">
        <v>46115.0</v>
      </c>
      <c r="H5994" s="76" t="s">
        <v>962</v>
      </c>
    </row>
    <row r="5995">
      <c r="A5995" s="76" t="s">
        <v>43</v>
      </c>
      <c r="B5995" s="76" t="s">
        <v>1004</v>
      </c>
      <c r="C5995" s="84">
        <v>1.02</v>
      </c>
      <c r="D5995" s="84">
        <v>0.0</v>
      </c>
      <c r="E5995" s="84">
        <v>0.0</v>
      </c>
      <c r="F5995" s="76" t="s">
        <v>996</v>
      </c>
      <c r="G5995" s="83">
        <v>46115.0</v>
      </c>
      <c r="H5995" s="76" t="s">
        <v>963</v>
      </c>
    </row>
    <row r="5996">
      <c r="A5996" s="76" t="s">
        <v>43</v>
      </c>
      <c r="B5996" s="76" t="s">
        <v>1004</v>
      </c>
      <c r="C5996" s="84">
        <v>2.37</v>
      </c>
      <c r="D5996" s="84">
        <v>0.0</v>
      </c>
      <c r="E5996" s="84">
        <v>0.0</v>
      </c>
      <c r="F5996" s="76" t="s">
        <v>996</v>
      </c>
      <c r="G5996" s="83">
        <v>46115.0</v>
      </c>
      <c r="H5996" s="76" t="s">
        <v>964</v>
      </c>
    </row>
    <row r="5997">
      <c r="A5997" s="76" t="s">
        <v>43</v>
      </c>
      <c r="B5997" s="76" t="s">
        <v>1004</v>
      </c>
      <c r="C5997" s="84">
        <v>3.36</v>
      </c>
      <c r="D5997" s="84">
        <v>0.0</v>
      </c>
      <c r="E5997" s="84">
        <v>0.0</v>
      </c>
      <c r="F5997" s="76" t="s">
        <v>996</v>
      </c>
      <c r="G5997" s="83">
        <v>46115.0</v>
      </c>
      <c r="H5997" s="76" t="s">
        <v>965</v>
      </c>
    </row>
    <row r="5998">
      <c r="A5998" s="76" t="s">
        <v>966</v>
      </c>
      <c r="B5998" s="76" t="s">
        <v>1004</v>
      </c>
      <c r="C5998" s="84">
        <v>3.03</v>
      </c>
      <c r="D5998" s="84">
        <v>0.0</v>
      </c>
      <c r="E5998" s="84">
        <v>0.0</v>
      </c>
      <c r="F5998" s="76" t="s">
        <v>996</v>
      </c>
      <c r="G5998" s="83">
        <v>46115.0</v>
      </c>
      <c r="H5998" s="76" t="s">
        <v>967</v>
      </c>
    </row>
    <row r="5999">
      <c r="A5999" s="76" t="s">
        <v>966</v>
      </c>
      <c r="B5999" s="76" t="s">
        <v>1004</v>
      </c>
      <c r="C5999" s="84">
        <v>1.09</v>
      </c>
      <c r="D5999" s="84">
        <v>0.0</v>
      </c>
      <c r="E5999" s="84">
        <v>0.0</v>
      </c>
      <c r="F5999" s="76" t="s">
        <v>996</v>
      </c>
      <c r="G5999" s="83">
        <v>46115.0</v>
      </c>
      <c r="H5999" s="76" t="s">
        <v>968</v>
      </c>
    </row>
    <row r="6000">
      <c r="A6000" s="76" t="s">
        <v>966</v>
      </c>
      <c r="B6000" s="76" t="s">
        <v>1004</v>
      </c>
      <c r="C6000" s="84">
        <v>1.78</v>
      </c>
      <c r="D6000" s="84">
        <v>0.0</v>
      </c>
      <c r="E6000" s="84">
        <v>0.0</v>
      </c>
      <c r="F6000" s="76" t="s">
        <v>996</v>
      </c>
      <c r="G6000" s="83">
        <v>46115.0</v>
      </c>
      <c r="H6000" s="76" t="s">
        <v>969</v>
      </c>
    </row>
    <row r="6001">
      <c r="A6001" s="76" t="s">
        <v>36</v>
      </c>
      <c r="B6001" s="76" t="s">
        <v>1004</v>
      </c>
      <c r="C6001" s="84">
        <v>1.19</v>
      </c>
      <c r="D6001" s="84">
        <v>0.0</v>
      </c>
      <c r="E6001" s="84">
        <v>0.0</v>
      </c>
      <c r="F6001" s="76" t="s">
        <v>996</v>
      </c>
      <c r="G6001" s="83">
        <v>46115.0</v>
      </c>
      <c r="H6001" s="76" t="s">
        <v>926</v>
      </c>
    </row>
    <row r="6002">
      <c r="A6002" s="76" t="s">
        <v>36</v>
      </c>
      <c r="B6002" s="76" t="s">
        <v>1004</v>
      </c>
      <c r="C6002" s="84">
        <v>2.87</v>
      </c>
      <c r="D6002" s="84">
        <v>0.0</v>
      </c>
      <c r="E6002" s="84">
        <v>0.0</v>
      </c>
      <c r="F6002" s="76" t="s">
        <v>996</v>
      </c>
      <c r="G6002" s="83">
        <v>46115.0</v>
      </c>
      <c r="H6002" s="76" t="s">
        <v>927</v>
      </c>
    </row>
    <row r="6003">
      <c r="A6003" s="76" t="s">
        <v>36</v>
      </c>
      <c r="B6003" s="76" t="s">
        <v>1004</v>
      </c>
      <c r="C6003" s="84">
        <v>1.28</v>
      </c>
      <c r="D6003" s="84">
        <v>0.0</v>
      </c>
      <c r="E6003" s="84">
        <v>0.0</v>
      </c>
      <c r="F6003" s="76" t="s">
        <v>996</v>
      </c>
      <c r="G6003" s="83">
        <v>46115.0</v>
      </c>
      <c r="H6003" s="76" t="s">
        <v>928</v>
      </c>
    </row>
    <row r="6004">
      <c r="A6004" s="76" t="s">
        <v>970</v>
      </c>
      <c r="B6004" s="76" t="s">
        <v>1004</v>
      </c>
      <c r="C6004" s="84">
        <v>8.18</v>
      </c>
      <c r="D6004" s="84">
        <v>0.0</v>
      </c>
      <c r="E6004" s="84">
        <v>0.0</v>
      </c>
      <c r="F6004" s="76" t="s">
        <v>996</v>
      </c>
      <c r="G6004" s="83">
        <v>46115.0</v>
      </c>
      <c r="H6004" s="76" t="s">
        <v>971</v>
      </c>
    </row>
    <row r="6005">
      <c r="A6005" s="76" t="s">
        <v>970</v>
      </c>
      <c r="B6005" s="76" t="s">
        <v>1004</v>
      </c>
      <c r="C6005" s="84">
        <v>0.71</v>
      </c>
      <c r="D6005" s="84">
        <v>0.0</v>
      </c>
      <c r="E6005" s="84">
        <v>0.0</v>
      </c>
      <c r="F6005" s="76" t="s">
        <v>996</v>
      </c>
      <c r="G6005" s="83">
        <v>46115.0</v>
      </c>
      <c r="H6005" s="76" t="s">
        <v>972</v>
      </c>
    </row>
    <row r="6006">
      <c r="A6006" s="76" t="s">
        <v>970</v>
      </c>
      <c r="B6006" s="76" t="s">
        <v>1004</v>
      </c>
      <c r="C6006" s="84">
        <v>6.91</v>
      </c>
      <c r="D6006" s="84">
        <v>0.0</v>
      </c>
      <c r="E6006" s="84">
        <v>0.0</v>
      </c>
      <c r="F6006" s="76" t="s">
        <v>996</v>
      </c>
      <c r="G6006" s="83">
        <v>46115.0</v>
      </c>
      <c r="H6006" s="76" t="s">
        <v>973</v>
      </c>
    </row>
    <row r="6007">
      <c r="A6007" s="76" t="s">
        <v>29</v>
      </c>
      <c r="B6007" s="76" t="s">
        <v>1004</v>
      </c>
      <c r="C6007" s="84">
        <v>7.98</v>
      </c>
      <c r="D6007" s="84">
        <v>0.0</v>
      </c>
      <c r="E6007" s="84">
        <v>0.0</v>
      </c>
      <c r="F6007" s="76" t="s">
        <v>996</v>
      </c>
      <c r="G6007" s="83">
        <v>46115.0</v>
      </c>
      <c r="H6007" s="76" t="s">
        <v>971</v>
      </c>
    </row>
    <row r="6008">
      <c r="A6008" s="76" t="s">
        <v>29</v>
      </c>
      <c r="B6008" s="76" t="s">
        <v>1004</v>
      </c>
      <c r="C6008" s="84">
        <v>0.76</v>
      </c>
      <c r="D6008" s="84">
        <v>0.0</v>
      </c>
      <c r="E6008" s="84">
        <v>0.0</v>
      </c>
      <c r="F6008" s="76" t="s">
        <v>996</v>
      </c>
      <c r="G6008" s="83">
        <v>46115.0</v>
      </c>
      <c r="H6008" s="76" t="s">
        <v>972</v>
      </c>
    </row>
    <row r="6009">
      <c r="A6009" s="76" t="s">
        <v>29</v>
      </c>
      <c r="B6009" s="76" t="s">
        <v>1004</v>
      </c>
      <c r="C6009" s="84">
        <v>6.89</v>
      </c>
      <c r="D6009" s="84">
        <v>0.0</v>
      </c>
      <c r="E6009" s="84">
        <v>0.0</v>
      </c>
      <c r="F6009" s="76" t="s">
        <v>996</v>
      </c>
      <c r="G6009" s="83">
        <v>46115.0</v>
      </c>
      <c r="H6009" s="76" t="s">
        <v>973</v>
      </c>
    </row>
    <row r="6010">
      <c r="A6010" s="76" t="s">
        <v>34</v>
      </c>
      <c r="B6010" s="76" t="s">
        <v>1004</v>
      </c>
      <c r="C6010" s="84">
        <v>1.04</v>
      </c>
      <c r="D6010" s="84">
        <v>0.0</v>
      </c>
      <c r="E6010" s="84">
        <v>0.0</v>
      </c>
      <c r="F6010" s="76" t="s">
        <v>997</v>
      </c>
      <c r="G6010" s="83">
        <v>46115.0</v>
      </c>
      <c r="H6010" s="76" t="s">
        <v>951</v>
      </c>
    </row>
    <row r="6011">
      <c r="A6011" s="76" t="s">
        <v>34</v>
      </c>
      <c r="B6011" s="76" t="s">
        <v>1004</v>
      </c>
      <c r="C6011" s="84">
        <v>0.58</v>
      </c>
      <c r="D6011" s="84">
        <v>0.0</v>
      </c>
      <c r="E6011" s="84">
        <v>0.0</v>
      </c>
      <c r="F6011" s="76" t="s">
        <v>997</v>
      </c>
      <c r="G6011" s="83">
        <v>46115.0</v>
      </c>
      <c r="H6011" s="76" t="s">
        <v>952</v>
      </c>
    </row>
    <row r="6012">
      <c r="A6012" s="76" t="s">
        <v>34</v>
      </c>
      <c r="B6012" s="76" t="s">
        <v>1004</v>
      </c>
      <c r="C6012" s="84">
        <v>0.25</v>
      </c>
      <c r="D6012" s="84">
        <v>0.0</v>
      </c>
      <c r="E6012" s="84">
        <v>0.0</v>
      </c>
      <c r="F6012" s="76" t="s">
        <v>997</v>
      </c>
      <c r="G6012" s="83">
        <v>46115.0</v>
      </c>
      <c r="H6012" s="76" t="s">
        <v>953</v>
      </c>
    </row>
    <row r="6013">
      <c r="A6013" s="76" t="s">
        <v>40</v>
      </c>
      <c r="B6013" s="76" t="s">
        <v>1004</v>
      </c>
      <c r="C6013" s="84">
        <v>0.6</v>
      </c>
      <c r="D6013" s="84">
        <v>0.0</v>
      </c>
      <c r="E6013" s="84">
        <v>0.0</v>
      </c>
      <c r="F6013" s="76" t="s">
        <v>997</v>
      </c>
      <c r="G6013" s="83">
        <v>46115.0</v>
      </c>
      <c r="H6013" s="76" t="s">
        <v>954</v>
      </c>
    </row>
    <row r="6014">
      <c r="A6014" s="76" t="s">
        <v>40</v>
      </c>
      <c r="B6014" s="76" t="s">
        <v>1004</v>
      </c>
      <c r="C6014" s="84">
        <v>0.15</v>
      </c>
      <c r="D6014" s="84">
        <v>0.0</v>
      </c>
      <c r="E6014" s="84">
        <v>0.0</v>
      </c>
      <c r="F6014" s="76" t="s">
        <v>997</v>
      </c>
      <c r="G6014" s="83">
        <v>46115.0</v>
      </c>
      <c r="H6014" s="76" t="s">
        <v>955</v>
      </c>
    </row>
    <row r="6015">
      <c r="A6015" s="76" t="s">
        <v>40</v>
      </c>
      <c r="B6015" s="76" t="s">
        <v>1004</v>
      </c>
      <c r="C6015" s="84">
        <v>0.59</v>
      </c>
      <c r="D6015" s="84">
        <v>0.0</v>
      </c>
      <c r="E6015" s="84">
        <v>0.0</v>
      </c>
      <c r="F6015" s="76" t="s">
        <v>997</v>
      </c>
      <c r="G6015" s="83">
        <v>46115.0</v>
      </c>
      <c r="H6015" s="76" t="s">
        <v>956</v>
      </c>
    </row>
    <row r="6016">
      <c r="A6016" s="76" t="s">
        <v>33</v>
      </c>
      <c r="B6016" s="76" t="s">
        <v>1004</v>
      </c>
      <c r="C6016" s="84">
        <v>3.41</v>
      </c>
      <c r="D6016" s="84">
        <v>0.0</v>
      </c>
      <c r="E6016" s="84">
        <v>0.0</v>
      </c>
      <c r="F6016" s="76" t="s">
        <v>997</v>
      </c>
      <c r="G6016" s="83">
        <v>46115.0</v>
      </c>
      <c r="H6016" s="76" t="s">
        <v>957</v>
      </c>
    </row>
    <row r="6017">
      <c r="A6017" s="76" t="s">
        <v>33</v>
      </c>
      <c r="B6017" s="76" t="s">
        <v>1004</v>
      </c>
      <c r="C6017" s="84">
        <v>0.52</v>
      </c>
      <c r="D6017" s="84">
        <v>0.0</v>
      </c>
      <c r="E6017" s="84">
        <v>0.0</v>
      </c>
      <c r="F6017" s="76" t="s">
        <v>997</v>
      </c>
      <c r="G6017" s="83">
        <v>46115.0</v>
      </c>
      <c r="H6017" s="76" t="s">
        <v>958</v>
      </c>
    </row>
    <row r="6018">
      <c r="A6018" s="76" t="s">
        <v>33</v>
      </c>
      <c r="B6018" s="76" t="s">
        <v>1004</v>
      </c>
      <c r="C6018" s="84">
        <v>0.5</v>
      </c>
      <c r="D6018" s="84">
        <v>0.0</v>
      </c>
      <c r="E6018" s="84">
        <v>0.0</v>
      </c>
      <c r="F6018" s="76" t="s">
        <v>997</v>
      </c>
      <c r="G6018" s="83">
        <v>46115.0</v>
      </c>
      <c r="H6018" s="76" t="s">
        <v>959</v>
      </c>
    </row>
    <row r="6019">
      <c r="A6019" s="76" t="s">
        <v>46</v>
      </c>
      <c r="B6019" s="76" t="s">
        <v>1004</v>
      </c>
      <c r="C6019" s="84">
        <v>0.62</v>
      </c>
      <c r="D6019" s="84">
        <v>0.0</v>
      </c>
      <c r="E6019" s="84">
        <v>0.0</v>
      </c>
      <c r="F6019" s="76" t="s">
        <v>997</v>
      </c>
      <c r="G6019" s="83">
        <v>46115.0</v>
      </c>
      <c r="H6019" s="76" t="s">
        <v>960</v>
      </c>
    </row>
    <row r="6020">
      <c r="A6020" s="76" t="s">
        <v>46</v>
      </c>
      <c r="B6020" s="76" t="s">
        <v>1004</v>
      </c>
      <c r="C6020" s="84">
        <v>0.53</v>
      </c>
      <c r="D6020" s="84">
        <v>0.0</v>
      </c>
      <c r="E6020" s="84">
        <v>0.0</v>
      </c>
      <c r="F6020" s="76" t="s">
        <v>997</v>
      </c>
      <c r="G6020" s="83">
        <v>46115.0</v>
      </c>
      <c r="H6020" s="76" t="s">
        <v>961</v>
      </c>
    </row>
    <row r="6021">
      <c r="A6021" s="76" t="s">
        <v>46</v>
      </c>
      <c r="B6021" s="76" t="s">
        <v>1004</v>
      </c>
      <c r="C6021" s="84">
        <v>0.18</v>
      </c>
      <c r="D6021" s="84">
        <v>0.0</v>
      </c>
      <c r="E6021" s="84">
        <v>0.0</v>
      </c>
      <c r="F6021" s="76" t="s">
        <v>997</v>
      </c>
      <c r="G6021" s="83">
        <v>46115.0</v>
      </c>
      <c r="H6021" s="76" t="s">
        <v>962</v>
      </c>
    </row>
    <row r="6022">
      <c r="A6022" s="76" t="s">
        <v>43</v>
      </c>
      <c r="B6022" s="76" t="s">
        <v>1004</v>
      </c>
      <c r="C6022" s="84">
        <v>0.3</v>
      </c>
      <c r="D6022" s="84">
        <v>0.0</v>
      </c>
      <c r="E6022" s="84">
        <v>0.0</v>
      </c>
      <c r="F6022" s="76" t="s">
        <v>997</v>
      </c>
      <c r="G6022" s="83">
        <v>46115.0</v>
      </c>
      <c r="H6022" s="76" t="s">
        <v>963</v>
      </c>
    </row>
    <row r="6023">
      <c r="A6023" s="76" t="s">
        <v>43</v>
      </c>
      <c r="B6023" s="76" t="s">
        <v>1004</v>
      </c>
      <c r="C6023" s="84">
        <v>0.71</v>
      </c>
      <c r="D6023" s="84">
        <v>0.0</v>
      </c>
      <c r="E6023" s="84">
        <v>0.0</v>
      </c>
      <c r="F6023" s="76" t="s">
        <v>997</v>
      </c>
      <c r="G6023" s="83">
        <v>46115.0</v>
      </c>
      <c r="H6023" s="76" t="s">
        <v>964</v>
      </c>
    </row>
    <row r="6024">
      <c r="A6024" s="76" t="s">
        <v>43</v>
      </c>
      <c r="B6024" s="76" t="s">
        <v>1004</v>
      </c>
      <c r="C6024" s="84">
        <v>1.02</v>
      </c>
      <c r="D6024" s="84">
        <v>0.0</v>
      </c>
      <c r="E6024" s="84">
        <v>0.0</v>
      </c>
      <c r="F6024" s="76" t="s">
        <v>997</v>
      </c>
      <c r="G6024" s="83">
        <v>46115.0</v>
      </c>
      <c r="H6024" s="76" t="s">
        <v>965</v>
      </c>
    </row>
    <row r="6025">
      <c r="A6025" s="76" t="s">
        <v>966</v>
      </c>
      <c r="B6025" s="76" t="s">
        <v>1004</v>
      </c>
      <c r="C6025" s="84">
        <v>0.75</v>
      </c>
      <c r="D6025" s="84">
        <v>0.0</v>
      </c>
      <c r="E6025" s="84">
        <v>0.0</v>
      </c>
      <c r="F6025" s="76" t="s">
        <v>997</v>
      </c>
      <c r="G6025" s="83">
        <v>46115.0</v>
      </c>
      <c r="H6025" s="76" t="s">
        <v>967</v>
      </c>
    </row>
    <row r="6026">
      <c r="A6026" s="76" t="s">
        <v>966</v>
      </c>
      <c r="B6026" s="76" t="s">
        <v>1004</v>
      </c>
      <c r="C6026" s="84">
        <v>0.25</v>
      </c>
      <c r="D6026" s="84">
        <v>0.0</v>
      </c>
      <c r="E6026" s="84">
        <v>0.0</v>
      </c>
      <c r="F6026" s="76" t="s">
        <v>997</v>
      </c>
      <c r="G6026" s="83">
        <v>46115.0</v>
      </c>
      <c r="H6026" s="76" t="s">
        <v>968</v>
      </c>
    </row>
    <row r="6027">
      <c r="A6027" s="76" t="s">
        <v>966</v>
      </c>
      <c r="B6027" s="76" t="s">
        <v>1004</v>
      </c>
      <c r="C6027" s="84">
        <v>0.56</v>
      </c>
      <c r="D6027" s="84">
        <v>0.0</v>
      </c>
      <c r="E6027" s="84">
        <v>0.0</v>
      </c>
      <c r="F6027" s="76" t="s">
        <v>997</v>
      </c>
      <c r="G6027" s="83">
        <v>46115.0</v>
      </c>
      <c r="H6027" s="76" t="s">
        <v>969</v>
      </c>
    </row>
    <row r="6028">
      <c r="A6028" s="76" t="s">
        <v>36</v>
      </c>
      <c r="B6028" s="76" t="s">
        <v>1004</v>
      </c>
      <c r="C6028" s="84">
        <v>0.38</v>
      </c>
      <c r="D6028" s="84">
        <v>0.0</v>
      </c>
      <c r="E6028" s="84">
        <v>0.0</v>
      </c>
      <c r="F6028" s="76" t="s">
        <v>997</v>
      </c>
      <c r="G6028" s="83">
        <v>46115.0</v>
      </c>
      <c r="H6028" s="76" t="s">
        <v>926</v>
      </c>
    </row>
    <row r="6029">
      <c r="A6029" s="76" t="s">
        <v>36</v>
      </c>
      <c r="B6029" s="76" t="s">
        <v>1004</v>
      </c>
      <c r="C6029" s="84">
        <v>0.94</v>
      </c>
      <c r="D6029" s="84">
        <v>0.0</v>
      </c>
      <c r="E6029" s="84">
        <v>0.0</v>
      </c>
      <c r="F6029" s="76" t="s">
        <v>997</v>
      </c>
      <c r="G6029" s="83">
        <v>46115.0</v>
      </c>
      <c r="H6029" s="76" t="s">
        <v>927</v>
      </c>
    </row>
    <row r="6030">
      <c r="A6030" s="76" t="s">
        <v>36</v>
      </c>
      <c r="B6030" s="76" t="s">
        <v>1004</v>
      </c>
      <c r="C6030" s="84">
        <v>0.45</v>
      </c>
      <c r="D6030" s="84">
        <v>0.0</v>
      </c>
      <c r="E6030" s="84">
        <v>0.0</v>
      </c>
      <c r="F6030" s="76" t="s">
        <v>997</v>
      </c>
      <c r="G6030" s="83">
        <v>46115.0</v>
      </c>
      <c r="H6030" s="76" t="s">
        <v>928</v>
      </c>
    </row>
    <row r="6031">
      <c r="A6031" s="76" t="s">
        <v>970</v>
      </c>
      <c r="B6031" s="76" t="s">
        <v>1004</v>
      </c>
      <c r="C6031" s="84">
        <v>3.14</v>
      </c>
      <c r="D6031" s="84">
        <v>0.0</v>
      </c>
      <c r="E6031" s="84">
        <v>0.0</v>
      </c>
      <c r="F6031" s="76" t="s">
        <v>997</v>
      </c>
      <c r="G6031" s="83">
        <v>46115.0</v>
      </c>
      <c r="H6031" s="76" t="s">
        <v>971</v>
      </c>
    </row>
    <row r="6032">
      <c r="A6032" s="76" t="s">
        <v>970</v>
      </c>
      <c r="B6032" s="76" t="s">
        <v>1004</v>
      </c>
      <c r="C6032" s="84">
        <v>0.29</v>
      </c>
      <c r="D6032" s="84">
        <v>0.0</v>
      </c>
      <c r="E6032" s="84">
        <v>0.0</v>
      </c>
      <c r="F6032" s="76" t="s">
        <v>997</v>
      </c>
      <c r="G6032" s="83">
        <v>46115.0</v>
      </c>
      <c r="H6032" s="76" t="s">
        <v>972</v>
      </c>
    </row>
    <row r="6033">
      <c r="A6033" s="76" t="s">
        <v>970</v>
      </c>
      <c r="B6033" s="76" t="s">
        <v>1004</v>
      </c>
      <c r="C6033" s="84">
        <v>2.83</v>
      </c>
      <c r="D6033" s="84">
        <v>0.0</v>
      </c>
      <c r="E6033" s="84">
        <v>0.0</v>
      </c>
      <c r="F6033" s="76" t="s">
        <v>997</v>
      </c>
      <c r="G6033" s="83">
        <v>46115.0</v>
      </c>
      <c r="H6033" s="76" t="s">
        <v>973</v>
      </c>
    </row>
    <row r="6034">
      <c r="A6034" s="76" t="s">
        <v>29</v>
      </c>
      <c r="B6034" s="76" t="s">
        <v>1004</v>
      </c>
      <c r="C6034" s="84">
        <v>3.38</v>
      </c>
      <c r="D6034" s="84">
        <v>0.0</v>
      </c>
      <c r="E6034" s="84">
        <v>0.0</v>
      </c>
      <c r="F6034" s="76" t="s">
        <v>997</v>
      </c>
      <c r="G6034" s="83">
        <v>46115.0</v>
      </c>
      <c r="H6034" s="76" t="s">
        <v>971</v>
      </c>
    </row>
    <row r="6035">
      <c r="A6035" s="76" t="s">
        <v>29</v>
      </c>
      <c r="B6035" s="76" t="s">
        <v>1004</v>
      </c>
      <c r="C6035" s="84">
        <v>0.33</v>
      </c>
      <c r="D6035" s="84">
        <v>0.0</v>
      </c>
      <c r="E6035" s="84">
        <v>0.0</v>
      </c>
      <c r="F6035" s="76" t="s">
        <v>997</v>
      </c>
      <c r="G6035" s="83">
        <v>46115.0</v>
      </c>
      <c r="H6035" s="76" t="s">
        <v>972</v>
      </c>
    </row>
    <row r="6036">
      <c r="A6036" s="76" t="s">
        <v>29</v>
      </c>
      <c r="B6036" s="76" t="s">
        <v>1004</v>
      </c>
      <c r="C6036" s="84">
        <v>2.85</v>
      </c>
      <c r="D6036" s="84">
        <v>0.0</v>
      </c>
      <c r="E6036" s="84">
        <v>0.0</v>
      </c>
      <c r="F6036" s="76" t="s">
        <v>997</v>
      </c>
      <c r="G6036" s="83">
        <v>46115.0</v>
      </c>
      <c r="H6036" s="76" t="s">
        <v>973</v>
      </c>
    </row>
    <row r="6037">
      <c r="A6037" s="76" t="s">
        <v>34</v>
      </c>
      <c r="B6037" s="76" t="s">
        <v>1004</v>
      </c>
      <c r="C6037" s="84">
        <v>0.01</v>
      </c>
      <c r="D6037" s="84">
        <v>0.0</v>
      </c>
      <c r="E6037" s="84">
        <v>0.0</v>
      </c>
      <c r="F6037" s="76" t="s">
        <v>998</v>
      </c>
      <c r="G6037" s="83">
        <v>46115.0</v>
      </c>
      <c r="H6037" s="76" t="s">
        <v>951</v>
      </c>
    </row>
    <row r="6038">
      <c r="A6038" s="76" t="s">
        <v>34</v>
      </c>
      <c r="B6038" s="76" t="s">
        <v>1004</v>
      </c>
      <c r="C6038" s="84">
        <v>0.02</v>
      </c>
      <c r="D6038" s="84">
        <v>0.0</v>
      </c>
      <c r="E6038" s="84">
        <v>0.0</v>
      </c>
      <c r="F6038" s="76" t="s">
        <v>998</v>
      </c>
      <c r="G6038" s="83">
        <v>46115.0</v>
      </c>
      <c r="H6038" s="76" t="s">
        <v>952</v>
      </c>
    </row>
    <row r="6039">
      <c r="A6039" s="76" t="s">
        <v>34</v>
      </c>
      <c r="B6039" s="76" t="s">
        <v>1004</v>
      </c>
      <c r="C6039" s="84">
        <v>0.01</v>
      </c>
      <c r="D6039" s="84">
        <v>0.0</v>
      </c>
      <c r="E6039" s="84">
        <v>0.0</v>
      </c>
      <c r="F6039" s="76" t="s">
        <v>998</v>
      </c>
      <c r="G6039" s="83">
        <v>46115.0</v>
      </c>
      <c r="H6039" s="76" t="s">
        <v>953</v>
      </c>
    </row>
    <row r="6040">
      <c r="A6040" s="76" t="s">
        <v>40</v>
      </c>
      <c r="B6040" s="76" t="s">
        <v>1004</v>
      </c>
      <c r="C6040" s="84">
        <v>0.02</v>
      </c>
      <c r="D6040" s="84">
        <v>0.0</v>
      </c>
      <c r="E6040" s="84">
        <v>0.0</v>
      </c>
      <c r="F6040" s="76" t="s">
        <v>998</v>
      </c>
      <c r="G6040" s="83">
        <v>46115.0</v>
      </c>
      <c r="H6040" s="76" t="s">
        <v>954</v>
      </c>
    </row>
    <row r="6041">
      <c r="A6041" s="76" t="s">
        <v>40</v>
      </c>
      <c r="B6041" s="76" t="s">
        <v>1004</v>
      </c>
      <c r="C6041" s="84">
        <v>0.03</v>
      </c>
      <c r="D6041" s="84">
        <v>0.0</v>
      </c>
      <c r="E6041" s="84">
        <v>0.0</v>
      </c>
      <c r="F6041" s="76" t="s">
        <v>998</v>
      </c>
      <c r="G6041" s="83">
        <v>46115.0</v>
      </c>
      <c r="H6041" s="76" t="s">
        <v>955</v>
      </c>
    </row>
    <row r="6042">
      <c r="A6042" s="76" t="s">
        <v>40</v>
      </c>
      <c r="B6042" s="76" t="s">
        <v>1004</v>
      </c>
      <c r="C6042" s="84">
        <v>0.01</v>
      </c>
      <c r="D6042" s="84">
        <v>0.0</v>
      </c>
      <c r="E6042" s="84">
        <v>0.0</v>
      </c>
      <c r="F6042" s="76" t="s">
        <v>998</v>
      </c>
      <c r="G6042" s="83">
        <v>46115.0</v>
      </c>
      <c r="H6042" s="76" t="s">
        <v>956</v>
      </c>
    </row>
    <row r="6043">
      <c r="A6043" s="76" t="s">
        <v>33</v>
      </c>
      <c r="B6043" s="76" t="s">
        <v>1004</v>
      </c>
      <c r="C6043" s="84">
        <v>0.01</v>
      </c>
      <c r="D6043" s="84">
        <v>0.0</v>
      </c>
      <c r="E6043" s="84">
        <v>0.0</v>
      </c>
      <c r="F6043" s="76" t="s">
        <v>998</v>
      </c>
      <c r="G6043" s="83">
        <v>46115.0</v>
      </c>
      <c r="H6043" s="76" t="s">
        <v>957</v>
      </c>
    </row>
    <row r="6044">
      <c r="A6044" s="76" t="s">
        <v>33</v>
      </c>
      <c r="B6044" s="76" t="s">
        <v>1004</v>
      </c>
      <c r="C6044" s="84">
        <v>0.0</v>
      </c>
      <c r="D6044" s="84">
        <v>0.0</v>
      </c>
      <c r="E6044" s="84">
        <v>0.0</v>
      </c>
      <c r="F6044" s="76" t="s">
        <v>998</v>
      </c>
      <c r="G6044" s="83">
        <v>46115.0</v>
      </c>
      <c r="H6044" s="76" t="s">
        <v>958</v>
      </c>
    </row>
    <row r="6045">
      <c r="A6045" s="76" t="s">
        <v>33</v>
      </c>
      <c r="B6045" s="76" t="s">
        <v>1004</v>
      </c>
      <c r="C6045" s="84">
        <v>0.04</v>
      </c>
      <c r="D6045" s="84">
        <v>0.0</v>
      </c>
      <c r="E6045" s="84">
        <v>0.0</v>
      </c>
      <c r="F6045" s="76" t="s">
        <v>998</v>
      </c>
      <c r="G6045" s="83">
        <v>46115.0</v>
      </c>
      <c r="H6045" s="76" t="s">
        <v>959</v>
      </c>
    </row>
    <row r="6046">
      <c r="A6046" s="76" t="s">
        <v>46</v>
      </c>
      <c r="B6046" s="76" t="s">
        <v>1004</v>
      </c>
      <c r="C6046" s="84">
        <v>0.0</v>
      </c>
      <c r="D6046" s="84">
        <v>0.0</v>
      </c>
      <c r="E6046" s="84">
        <v>0.0</v>
      </c>
      <c r="F6046" s="76" t="s">
        <v>998</v>
      </c>
      <c r="G6046" s="83">
        <v>46115.0</v>
      </c>
      <c r="H6046" s="76" t="s">
        <v>960</v>
      </c>
    </row>
    <row r="6047">
      <c r="A6047" s="76" t="s">
        <v>46</v>
      </c>
      <c r="B6047" s="76" t="s">
        <v>1004</v>
      </c>
      <c r="C6047" s="84">
        <v>0.02</v>
      </c>
      <c r="D6047" s="84">
        <v>0.0</v>
      </c>
      <c r="E6047" s="84">
        <v>0.0</v>
      </c>
      <c r="F6047" s="76" t="s">
        <v>998</v>
      </c>
      <c r="G6047" s="83">
        <v>46115.0</v>
      </c>
      <c r="H6047" s="76" t="s">
        <v>961</v>
      </c>
    </row>
    <row r="6048">
      <c r="A6048" s="76" t="s">
        <v>46</v>
      </c>
      <c r="B6048" s="76" t="s">
        <v>1004</v>
      </c>
      <c r="C6048" s="84">
        <v>0.02</v>
      </c>
      <c r="D6048" s="84">
        <v>0.0</v>
      </c>
      <c r="E6048" s="84">
        <v>0.0</v>
      </c>
      <c r="F6048" s="76" t="s">
        <v>998</v>
      </c>
      <c r="G6048" s="83">
        <v>46115.0</v>
      </c>
      <c r="H6048" s="76" t="s">
        <v>962</v>
      </c>
    </row>
    <row r="6049">
      <c r="A6049" s="76" t="s">
        <v>43</v>
      </c>
      <c r="B6049" s="76" t="s">
        <v>1004</v>
      </c>
      <c r="C6049" s="84">
        <v>0.02</v>
      </c>
      <c r="D6049" s="84">
        <v>0.0</v>
      </c>
      <c r="E6049" s="84">
        <v>0.0</v>
      </c>
      <c r="F6049" s="76" t="s">
        <v>998</v>
      </c>
      <c r="G6049" s="83">
        <v>46115.0</v>
      </c>
      <c r="H6049" s="76" t="s">
        <v>963</v>
      </c>
    </row>
    <row r="6050">
      <c r="A6050" s="76" t="s">
        <v>43</v>
      </c>
      <c r="B6050" s="76" t="s">
        <v>1004</v>
      </c>
      <c r="C6050" s="84">
        <v>0.01</v>
      </c>
      <c r="D6050" s="84">
        <v>0.0</v>
      </c>
      <c r="E6050" s="84">
        <v>0.0</v>
      </c>
      <c r="F6050" s="76" t="s">
        <v>998</v>
      </c>
      <c r="G6050" s="83">
        <v>46115.0</v>
      </c>
      <c r="H6050" s="76" t="s">
        <v>964</v>
      </c>
    </row>
    <row r="6051">
      <c r="A6051" s="76" t="s">
        <v>43</v>
      </c>
      <c r="B6051" s="76" t="s">
        <v>1004</v>
      </c>
      <c r="C6051" s="84">
        <v>0.0</v>
      </c>
      <c r="D6051" s="84">
        <v>0.0</v>
      </c>
      <c r="E6051" s="84">
        <v>0.0</v>
      </c>
      <c r="F6051" s="76" t="s">
        <v>998</v>
      </c>
      <c r="G6051" s="83">
        <v>46115.0</v>
      </c>
      <c r="H6051" s="76" t="s">
        <v>965</v>
      </c>
    </row>
    <row r="6052">
      <c r="A6052" s="76" t="s">
        <v>966</v>
      </c>
      <c r="B6052" s="76" t="s">
        <v>1004</v>
      </c>
      <c r="C6052" s="84">
        <v>0.03</v>
      </c>
      <c r="D6052" s="84">
        <v>0.0</v>
      </c>
      <c r="E6052" s="84">
        <v>0.0</v>
      </c>
      <c r="F6052" s="76" t="s">
        <v>998</v>
      </c>
      <c r="G6052" s="83">
        <v>46115.0</v>
      </c>
      <c r="H6052" s="76" t="s">
        <v>967</v>
      </c>
    </row>
    <row r="6053">
      <c r="A6053" s="76" t="s">
        <v>966</v>
      </c>
      <c r="B6053" s="76" t="s">
        <v>1004</v>
      </c>
      <c r="C6053" s="84">
        <v>0.04</v>
      </c>
      <c r="D6053" s="84">
        <v>0.0</v>
      </c>
      <c r="E6053" s="84">
        <v>0.0</v>
      </c>
      <c r="F6053" s="76" t="s">
        <v>998</v>
      </c>
      <c r="G6053" s="83">
        <v>46115.0</v>
      </c>
      <c r="H6053" s="76" t="s">
        <v>968</v>
      </c>
    </row>
    <row r="6054">
      <c r="A6054" s="76" t="s">
        <v>966</v>
      </c>
      <c r="B6054" s="76" t="s">
        <v>1004</v>
      </c>
      <c r="C6054" s="84">
        <v>0.01</v>
      </c>
      <c r="D6054" s="84">
        <v>0.0</v>
      </c>
      <c r="E6054" s="84">
        <v>0.0</v>
      </c>
      <c r="F6054" s="76" t="s">
        <v>998</v>
      </c>
      <c r="G6054" s="83">
        <v>46115.0</v>
      </c>
      <c r="H6054" s="76" t="s">
        <v>969</v>
      </c>
    </row>
    <row r="6055">
      <c r="A6055" s="76" t="s">
        <v>36</v>
      </c>
      <c r="B6055" s="76" t="s">
        <v>1004</v>
      </c>
      <c r="C6055" s="84">
        <v>0.01</v>
      </c>
      <c r="D6055" s="84">
        <v>0.0</v>
      </c>
      <c r="E6055" s="84">
        <v>0.0</v>
      </c>
      <c r="F6055" s="76" t="s">
        <v>998</v>
      </c>
      <c r="G6055" s="83">
        <v>46115.0</v>
      </c>
      <c r="H6055" s="76" t="s">
        <v>926</v>
      </c>
    </row>
    <row r="6056">
      <c r="A6056" s="76" t="s">
        <v>36</v>
      </c>
      <c r="B6056" s="76" t="s">
        <v>1004</v>
      </c>
      <c r="C6056" s="84">
        <v>0.02</v>
      </c>
      <c r="D6056" s="84">
        <v>0.0</v>
      </c>
      <c r="E6056" s="84">
        <v>0.0</v>
      </c>
      <c r="F6056" s="76" t="s">
        <v>998</v>
      </c>
      <c r="G6056" s="83">
        <v>46115.0</v>
      </c>
      <c r="H6056" s="76" t="s">
        <v>927</v>
      </c>
    </row>
    <row r="6057">
      <c r="A6057" s="76" t="s">
        <v>36</v>
      </c>
      <c r="B6057" s="76" t="s">
        <v>1004</v>
      </c>
      <c r="C6057" s="84">
        <v>0.02</v>
      </c>
      <c r="D6057" s="84">
        <v>0.0</v>
      </c>
      <c r="E6057" s="84">
        <v>0.0</v>
      </c>
      <c r="F6057" s="76" t="s">
        <v>998</v>
      </c>
      <c r="G6057" s="83">
        <v>46115.0</v>
      </c>
      <c r="H6057" s="76" t="s">
        <v>928</v>
      </c>
    </row>
    <row r="6058">
      <c r="A6058" s="76" t="s">
        <v>970</v>
      </c>
      <c r="B6058" s="76" t="s">
        <v>1004</v>
      </c>
      <c r="C6058" s="84">
        <v>0.01</v>
      </c>
      <c r="D6058" s="84">
        <v>0.0</v>
      </c>
      <c r="E6058" s="84">
        <v>0.0</v>
      </c>
      <c r="F6058" s="76" t="s">
        <v>998</v>
      </c>
      <c r="G6058" s="83">
        <v>46115.0</v>
      </c>
      <c r="H6058" s="76" t="s">
        <v>971</v>
      </c>
    </row>
    <row r="6059">
      <c r="A6059" s="76" t="s">
        <v>970</v>
      </c>
      <c r="B6059" s="76" t="s">
        <v>1004</v>
      </c>
      <c r="C6059" s="84">
        <v>0.03</v>
      </c>
      <c r="D6059" s="84">
        <v>0.0</v>
      </c>
      <c r="E6059" s="84">
        <v>0.0</v>
      </c>
      <c r="F6059" s="76" t="s">
        <v>998</v>
      </c>
      <c r="G6059" s="83">
        <v>46115.0</v>
      </c>
      <c r="H6059" s="76" t="s">
        <v>972</v>
      </c>
    </row>
    <row r="6060">
      <c r="A6060" s="76" t="s">
        <v>970</v>
      </c>
      <c r="B6060" s="76" t="s">
        <v>1004</v>
      </c>
      <c r="C6060" s="84">
        <v>0.01</v>
      </c>
      <c r="D6060" s="84">
        <v>0.0</v>
      </c>
      <c r="E6060" s="84">
        <v>0.0</v>
      </c>
      <c r="F6060" s="76" t="s">
        <v>998</v>
      </c>
      <c r="G6060" s="83">
        <v>46115.0</v>
      </c>
      <c r="H6060" s="76" t="s">
        <v>973</v>
      </c>
    </row>
    <row r="6061">
      <c r="A6061" s="76" t="s">
        <v>29</v>
      </c>
      <c r="B6061" s="76" t="s">
        <v>1004</v>
      </c>
      <c r="C6061" s="84">
        <v>0.01</v>
      </c>
      <c r="D6061" s="84">
        <v>0.0</v>
      </c>
      <c r="E6061" s="84">
        <v>0.0</v>
      </c>
      <c r="F6061" s="76" t="s">
        <v>998</v>
      </c>
      <c r="G6061" s="83">
        <v>46115.0</v>
      </c>
      <c r="H6061" s="76" t="s">
        <v>971</v>
      </c>
    </row>
    <row r="6062">
      <c r="A6062" s="76" t="s">
        <v>29</v>
      </c>
      <c r="B6062" s="76" t="s">
        <v>1004</v>
      </c>
      <c r="C6062" s="84">
        <v>0.05</v>
      </c>
      <c r="D6062" s="84">
        <v>0.0</v>
      </c>
      <c r="E6062" s="84">
        <v>0.0</v>
      </c>
      <c r="F6062" s="76" t="s">
        <v>998</v>
      </c>
      <c r="G6062" s="83">
        <v>46115.0</v>
      </c>
      <c r="H6062" s="76" t="s">
        <v>972</v>
      </c>
    </row>
    <row r="6063">
      <c r="A6063" s="76" t="s">
        <v>29</v>
      </c>
      <c r="B6063" s="76" t="s">
        <v>1004</v>
      </c>
      <c r="C6063" s="84">
        <v>0.0</v>
      </c>
      <c r="D6063" s="84">
        <v>0.0</v>
      </c>
      <c r="E6063" s="84">
        <v>0.0</v>
      </c>
      <c r="F6063" s="76" t="s">
        <v>998</v>
      </c>
      <c r="G6063" s="83">
        <v>46115.0</v>
      </c>
      <c r="H6063" s="76" t="s">
        <v>973</v>
      </c>
    </row>
    <row r="6064">
      <c r="A6064" s="76" t="s">
        <v>36</v>
      </c>
      <c r="B6064" s="76" t="s">
        <v>1006</v>
      </c>
      <c r="C6064" s="84">
        <v>2.2</v>
      </c>
      <c r="D6064" s="84">
        <v>0.0</v>
      </c>
      <c r="E6064" s="84">
        <v>0.0</v>
      </c>
      <c r="F6064" s="76" t="s">
        <v>990</v>
      </c>
      <c r="G6064" s="83">
        <v>46115.0</v>
      </c>
      <c r="H6064" s="76" t="s">
        <v>926</v>
      </c>
    </row>
    <row r="6065">
      <c r="A6065" s="76" t="s">
        <v>36</v>
      </c>
      <c r="B6065" s="76" t="s">
        <v>1006</v>
      </c>
      <c r="C6065" s="84">
        <v>4.24</v>
      </c>
      <c r="D6065" s="84">
        <v>0.0</v>
      </c>
      <c r="E6065" s="84">
        <v>0.0</v>
      </c>
      <c r="F6065" s="76" t="s">
        <v>990</v>
      </c>
      <c r="G6065" s="83">
        <v>46115.0</v>
      </c>
      <c r="H6065" s="76" t="s">
        <v>927</v>
      </c>
    </row>
    <row r="6066">
      <c r="A6066" s="76" t="s">
        <v>36</v>
      </c>
      <c r="B6066" s="76" t="s">
        <v>1006</v>
      </c>
      <c r="C6066" s="84">
        <v>0.99</v>
      </c>
      <c r="D6066" s="84">
        <v>0.0</v>
      </c>
      <c r="E6066" s="84">
        <v>0.0</v>
      </c>
      <c r="F6066" s="76" t="s">
        <v>990</v>
      </c>
      <c r="G6066" s="83">
        <v>46115.0</v>
      </c>
      <c r="H6066" s="76" t="s">
        <v>928</v>
      </c>
    </row>
    <row r="6067">
      <c r="A6067" s="76" t="s">
        <v>31</v>
      </c>
      <c r="B6067" s="76" t="s">
        <v>1006</v>
      </c>
      <c r="C6067" s="84">
        <v>2.94</v>
      </c>
      <c r="D6067" s="84">
        <v>0.0</v>
      </c>
      <c r="E6067" s="84">
        <v>0.0</v>
      </c>
      <c r="F6067" s="76" t="s">
        <v>990</v>
      </c>
      <c r="G6067" s="83">
        <v>46115.0</v>
      </c>
      <c r="H6067" s="76" t="s">
        <v>929</v>
      </c>
    </row>
    <row r="6068">
      <c r="A6068" s="76" t="s">
        <v>31</v>
      </c>
      <c r="B6068" s="76" t="s">
        <v>1006</v>
      </c>
      <c r="C6068" s="84">
        <v>19.6</v>
      </c>
      <c r="D6068" s="84">
        <v>1.0</v>
      </c>
      <c r="E6068" s="84">
        <v>19.6</v>
      </c>
      <c r="F6068" s="76" t="s">
        <v>990</v>
      </c>
      <c r="G6068" s="83">
        <v>46115.0</v>
      </c>
      <c r="H6068" s="76" t="s">
        <v>930</v>
      </c>
    </row>
    <row r="6069">
      <c r="A6069" s="76" t="s">
        <v>28</v>
      </c>
      <c r="B6069" s="76" t="s">
        <v>1006</v>
      </c>
      <c r="C6069" s="84">
        <v>2.93</v>
      </c>
      <c r="D6069" s="84">
        <v>0.0</v>
      </c>
      <c r="E6069" s="84">
        <v>0.0</v>
      </c>
      <c r="F6069" s="76" t="s">
        <v>990</v>
      </c>
      <c r="G6069" s="83">
        <v>46115.0</v>
      </c>
      <c r="H6069" s="76" t="s">
        <v>931</v>
      </c>
    </row>
    <row r="6070">
      <c r="A6070" s="76" t="s">
        <v>28</v>
      </c>
      <c r="B6070" s="76" t="s">
        <v>1006</v>
      </c>
      <c r="C6070" s="84">
        <v>0.83</v>
      </c>
      <c r="D6070" s="84">
        <v>0.0</v>
      </c>
      <c r="E6070" s="84">
        <v>0.0</v>
      </c>
      <c r="F6070" s="76" t="s">
        <v>990</v>
      </c>
      <c r="G6070" s="83">
        <v>46115.0</v>
      </c>
      <c r="H6070" s="76" t="s">
        <v>932</v>
      </c>
    </row>
    <row r="6071">
      <c r="A6071" s="76" t="s">
        <v>28</v>
      </c>
      <c r="B6071" s="76" t="s">
        <v>1006</v>
      </c>
      <c r="C6071" s="84">
        <v>3.05</v>
      </c>
      <c r="D6071" s="84">
        <v>1.0</v>
      </c>
      <c r="E6071" s="84">
        <v>3.05</v>
      </c>
      <c r="F6071" s="76" t="s">
        <v>990</v>
      </c>
      <c r="G6071" s="83">
        <v>46115.0</v>
      </c>
      <c r="H6071" s="76" t="s">
        <v>933</v>
      </c>
    </row>
    <row r="6072">
      <c r="A6072" s="76" t="s">
        <v>45</v>
      </c>
      <c r="B6072" s="76" t="s">
        <v>1006</v>
      </c>
      <c r="C6072" s="84">
        <v>4.03</v>
      </c>
      <c r="D6072" s="84">
        <v>0.0</v>
      </c>
      <c r="E6072" s="84">
        <v>0.0</v>
      </c>
      <c r="F6072" s="76" t="s">
        <v>990</v>
      </c>
      <c r="G6072" s="83">
        <v>46115.0</v>
      </c>
      <c r="H6072" s="76" t="s">
        <v>936</v>
      </c>
    </row>
    <row r="6073">
      <c r="A6073" s="76" t="s">
        <v>45</v>
      </c>
      <c r="B6073" s="76" t="s">
        <v>1006</v>
      </c>
      <c r="C6073" s="84">
        <v>0.52</v>
      </c>
      <c r="D6073" s="84">
        <v>0.0</v>
      </c>
      <c r="E6073" s="84">
        <v>0.0</v>
      </c>
      <c r="F6073" s="76" t="s">
        <v>990</v>
      </c>
      <c r="G6073" s="83">
        <v>46115.0</v>
      </c>
      <c r="H6073" s="76" t="s">
        <v>937</v>
      </c>
    </row>
    <row r="6074">
      <c r="A6074" s="76" t="s">
        <v>45</v>
      </c>
      <c r="B6074" s="76" t="s">
        <v>1006</v>
      </c>
      <c r="C6074" s="84">
        <v>2.45</v>
      </c>
      <c r="D6074" s="84">
        <v>0.0</v>
      </c>
      <c r="E6074" s="84">
        <v>0.0</v>
      </c>
      <c r="F6074" s="76" t="s">
        <v>990</v>
      </c>
      <c r="G6074" s="83">
        <v>46115.0</v>
      </c>
      <c r="H6074" s="76" t="s">
        <v>938</v>
      </c>
    </row>
    <row r="6075">
      <c r="A6075" s="76" t="s">
        <v>32</v>
      </c>
      <c r="B6075" s="76" t="s">
        <v>1006</v>
      </c>
      <c r="C6075" s="84">
        <v>2.28</v>
      </c>
      <c r="D6075" s="84">
        <v>0.0</v>
      </c>
      <c r="E6075" s="84">
        <v>0.0</v>
      </c>
      <c r="F6075" s="76" t="s">
        <v>990</v>
      </c>
      <c r="G6075" s="83">
        <v>46115.0</v>
      </c>
      <c r="H6075" s="76" t="s">
        <v>941</v>
      </c>
    </row>
    <row r="6076">
      <c r="A6076" s="76" t="s">
        <v>32</v>
      </c>
      <c r="B6076" s="76" t="s">
        <v>1006</v>
      </c>
      <c r="C6076" s="84">
        <v>7.13</v>
      </c>
      <c r="D6076" s="84">
        <v>0.0</v>
      </c>
      <c r="E6076" s="84">
        <v>0.0</v>
      </c>
      <c r="F6076" s="76" t="s">
        <v>990</v>
      </c>
      <c r="G6076" s="83">
        <v>46115.0</v>
      </c>
      <c r="H6076" s="76" t="s">
        <v>942</v>
      </c>
    </row>
    <row r="6077">
      <c r="A6077" s="76" t="s">
        <v>32</v>
      </c>
      <c r="B6077" s="76" t="s">
        <v>1006</v>
      </c>
      <c r="C6077" s="84">
        <v>5.23</v>
      </c>
      <c r="D6077" s="84">
        <v>0.0</v>
      </c>
      <c r="E6077" s="84">
        <v>0.0</v>
      </c>
      <c r="F6077" s="76" t="s">
        <v>990</v>
      </c>
      <c r="G6077" s="83">
        <v>46115.0</v>
      </c>
      <c r="H6077" s="76" t="s">
        <v>943</v>
      </c>
    </row>
    <row r="6078">
      <c r="A6078" s="76" t="s">
        <v>944</v>
      </c>
      <c r="B6078" s="76" t="s">
        <v>1006</v>
      </c>
      <c r="C6078" s="84">
        <v>2.68</v>
      </c>
      <c r="D6078" s="84">
        <v>1.0</v>
      </c>
      <c r="E6078" s="84">
        <v>2.68</v>
      </c>
      <c r="F6078" s="76" t="s">
        <v>990</v>
      </c>
      <c r="G6078" s="83">
        <v>46115.0</v>
      </c>
      <c r="H6078" s="76" t="s">
        <v>945</v>
      </c>
    </row>
    <row r="6079">
      <c r="A6079" s="76" t="s">
        <v>944</v>
      </c>
      <c r="B6079" s="76" t="s">
        <v>1006</v>
      </c>
      <c r="C6079" s="84">
        <v>3.77</v>
      </c>
      <c r="D6079" s="84">
        <v>0.0</v>
      </c>
      <c r="E6079" s="84">
        <v>0.0</v>
      </c>
      <c r="F6079" s="76" t="s">
        <v>990</v>
      </c>
      <c r="G6079" s="83">
        <v>46115.0</v>
      </c>
      <c r="H6079" s="76" t="s">
        <v>946</v>
      </c>
    </row>
    <row r="6080">
      <c r="A6080" s="76" t="s">
        <v>944</v>
      </c>
      <c r="B6080" s="76" t="s">
        <v>1006</v>
      </c>
      <c r="C6080" s="84">
        <v>0.72</v>
      </c>
      <c r="D6080" s="84">
        <v>1.0</v>
      </c>
      <c r="E6080" s="84">
        <v>0.72</v>
      </c>
      <c r="F6080" s="76" t="s">
        <v>990</v>
      </c>
      <c r="G6080" s="83">
        <v>46115.0</v>
      </c>
      <c r="H6080" s="76" t="s">
        <v>947</v>
      </c>
    </row>
    <row r="6081">
      <c r="A6081" s="76" t="s">
        <v>26</v>
      </c>
      <c r="B6081" s="76" t="s">
        <v>1006</v>
      </c>
      <c r="C6081" s="84">
        <v>4.81</v>
      </c>
      <c r="D6081" s="84">
        <v>0.0</v>
      </c>
      <c r="E6081" s="84">
        <v>0.0</v>
      </c>
      <c r="F6081" s="76" t="s">
        <v>990</v>
      </c>
      <c r="G6081" s="83">
        <v>46115.0</v>
      </c>
      <c r="H6081" s="76" t="s">
        <v>1012</v>
      </c>
    </row>
    <row r="6082">
      <c r="A6082" s="76" t="s">
        <v>26</v>
      </c>
      <c r="B6082" s="76" t="s">
        <v>1006</v>
      </c>
      <c r="C6082" s="84">
        <v>2.22</v>
      </c>
      <c r="D6082" s="84">
        <v>0.0</v>
      </c>
      <c r="E6082" s="84">
        <v>0.0</v>
      </c>
      <c r="F6082" s="76" t="s">
        <v>990</v>
      </c>
      <c r="G6082" s="83">
        <v>46115.0</v>
      </c>
      <c r="H6082" s="76" t="s">
        <v>1013</v>
      </c>
    </row>
    <row r="6083">
      <c r="A6083" s="76" t="s">
        <v>26</v>
      </c>
      <c r="B6083" s="76" t="s">
        <v>1006</v>
      </c>
      <c r="C6083" s="84">
        <v>0.72</v>
      </c>
      <c r="D6083" s="84">
        <v>0.0</v>
      </c>
      <c r="E6083" s="84">
        <v>0.0</v>
      </c>
      <c r="F6083" s="76" t="s">
        <v>990</v>
      </c>
      <c r="G6083" s="83">
        <v>46115.0</v>
      </c>
      <c r="H6083" s="76" t="s">
        <v>1014</v>
      </c>
    </row>
    <row r="6084">
      <c r="A6084" s="76" t="s">
        <v>36</v>
      </c>
      <c r="B6084" s="76" t="s">
        <v>1006</v>
      </c>
      <c r="C6084" s="84">
        <v>1.5</v>
      </c>
      <c r="D6084" s="84">
        <v>0.0</v>
      </c>
      <c r="E6084" s="84">
        <v>0.0</v>
      </c>
      <c r="F6084" s="76" t="s">
        <v>993</v>
      </c>
      <c r="G6084" s="83">
        <v>46115.0</v>
      </c>
      <c r="H6084" s="76" t="s">
        <v>926</v>
      </c>
    </row>
    <row r="6085">
      <c r="A6085" s="76" t="s">
        <v>36</v>
      </c>
      <c r="B6085" s="76" t="s">
        <v>1006</v>
      </c>
      <c r="C6085" s="84">
        <v>4.23</v>
      </c>
      <c r="D6085" s="84">
        <v>0.0</v>
      </c>
      <c r="E6085" s="84">
        <v>0.0</v>
      </c>
      <c r="F6085" s="76" t="s">
        <v>993</v>
      </c>
      <c r="G6085" s="83">
        <v>46115.0</v>
      </c>
      <c r="H6085" s="76" t="s">
        <v>927</v>
      </c>
    </row>
    <row r="6086">
      <c r="A6086" s="76" t="s">
        <v>36</v>
      </c>
      <c r="B6086" s="76" t="s">
        <v>1006</v>
      </c>
      <c r="C6086" s="84">
        <v>0.6</v>
      </c>
      <c r="D6086" s="84">
        <v>0.0</v>
      </c>
      <c r="E6086" s="84">
        <v>0.0</v>
      </c>
      <c r="F6086" s="76" t="s">
        <v>993</v>
      </c>
      <c r="G6086" s="83">
        <v>46115.0</v>
      </c>
      <c r="H6086" s="76" t="s">
        <v>928</v>
      </c>
    </row>
    <row r="6087">
      <c r="A6087" s="76" t="s">
        <v>31</v>
      </c>
      <c r="B6087" s="76" t="s">
        <v>1006</v>
      </c>
      <c r="C6087" s="84">
        <v>2.34</v>
      </c>
      <c r="D6087" s="84">
        <v>1.0</v>
      </c>
      <c r="E6087" s="84">
        <v>2.34</v>
      </c>
      <c r="F6087" s="76" t="s">
        <v>993</v>
      </c>
      <c r="G6087" s="83">
        <v>46115.0</v>
      </c>
      <c r="H6087" s="76" t="s">
        <v>929</v>
      </c>
    </row>
    <row r="6088">
      <c r="A6088" s="76" t="s">
        <v>31</v>
      </c>
      <c r="B6088" s="76" t="s">
        <v>1006</v>
      </c>
      <c r="C6088" s="84">
        <v>14.08</v>
      </c>
      <c r="D6088" s="84">
        <v>0.0</v>
      </c>
      <c r="E6088" s="84">
        <v>0.0</v>
      </c>
      <c r="F6088" s="76" t="s">
        <v>993</v>
      </c>
      <c r="G6088" s="83">
        <v>46115.0</v>
      </c>
      <c r="H6088" s="76" t="s">
        <v>930</v>
      </c>
    </row>
    <row r="6089">
      <c r="A6089" s="76" t="s">
        <v>28</v>
      </c>
      <c r="B6089" s="76" t="s">
        <v>1006</v>
      </c>
      <c r="C6089" s="84">
        <v>2.56</v>
      </c>
      <c r="D6089" s="84">
        <v>0.0</v>
      </c>
      <c r="E6089" s="84">
        <v>0.0</v>
      </c>
      <c r="F6089" s="76" t="s">
        <v>993</v>
      </c>
      <c r="G6089" s="83">
        <v>46115.0</v>
      </c>
      <c r="H6089" s="76" t="s">
        <v>931</v>
      </c>
    </row>
    <row r="6090">
      <c r="A6090" s="76" t="s">
        <v>28</v>
      </c>
      <c r="B6090" s="76" t="s">
        <v>1006</v>
      </c>
      <c r="C6090" s="84">
        <v>0.54</v>
      </c>
      <c r="D6090" s="84">
        <v>0.0</v>
      </c>
      <c r="E6090" s="84">
        <v>0.0</v>
      </c>
      <c r="F6090" s="76" t="s">
        <v>993</v>
      </c>
      <c r="G6090" s="83">
        <v>46115.0</v>
      </c>
      <c r="H6090" s="76" t="s">
        <v>932</v>
      </c>
    </row>
    <row r="6091">
      <c r="A6091" s="76" t="s">
        <v>28</v>
      </c>
      <c r="B6091" s="76" t="s">
        <v>1006</v>
      </c>
      <c r="C6091" s="84">
        <v>2.48</v>
      </c>
      <c r="D6091" s="84">
        <v>0.0</v>
      </c>
      <c r="E6091" s="84">
        <v>0.0</v>
      </c>
      <c r="F6091" s="76" t="s">
        <v>993</v>
      </c>
      <c r="G6091" s="83">
        <v>46115.0</v>
      </c>
      <c r="H6091" s="76" t="s">
        <v>933</v>
      </c>
    </row>
    <row r="6092">
      <c r="A6092" s="76" t="s">
        <v>45</v>
      </c>
      <c r="B6092" s="76" t="s">
        <v>1006</v>
      </c>
      <c r="C6092" s="84">
        <v>2.88</v>
      </c>
      <c r="D6092" s="84">
        <v>0.0</v>
      </c>
      <c r="E6092" s="84">
        <v>0.0</v>
      </c>
      <c r="F6092" s="76" t="s">
        <v>993</v>
      </c>
      <c r="G6092" s="83">
        <v>46115.0</v>
      </c>
      <c r="H6092" s="76" t="s">
        <v>936</v>
      </c>
    </row>
    <row r="6093">
      <c r="A6093" s="76" t="s">
        <v>45</v>
      </c>
      <c r="B6093" s="76" t="s">
        <v>1006</v>
      </c>
      <c r="C6093" s="84">
        <v>0.33</v>
      </c>
      <c r="D6093" s="84">
        <v>0.0</v>
      </c>
      <c r="E6093" s="84">
        <v>0.0</v>
      </c>
      <c r="F6093" s="76" t="s">
        <v>993</v>
      </c>
      <c r="G6093" s="83">
        <v>46115.0</v>
      </c>
      <c r="H6093" s="76" t="s">
        <v>937</v>
      </c>
    </row>
    <row r="6094">
      <c r="A6094" s="76" t="s">
        <v>45</v>
      </c>
      <c r="B6094" s="76" t="s">
        <v>1006</v>
      </c>
      <c r="C6094" s="84">
        <v>1.35</v>
      </c>
      <c r="D6094" s="84">
        <v>0.0</v>
      </c>
      <c r="E6094" s="84">
        <v>0.0</v>
      </c>
      <c r="F6094" s="76" t="s">
        <v>993</v>
      </c>
      <c r="G6094" s="83">
        <v>46115.0</v>
      </c>
      <c r="H6094" s="76" t="s">
        <v>938</v>
      </c>
    </row>
    <row r="6095">
      <c r="A6095" s="76" t="s">
        <v>32</v>
      </c>
      <c r="B6095" s="76" t="s">
        <v>1006</v>
      </c>
      <c r="C6095" s="84">
        <v>1.62</v>
      </c>
      <c r="D6095" s="84">
        <v>0.0</v>
      </c>
      <c r="E6095" s="84">
        <v>0.0</v>
      </c>
      <c r="F6095" s="76" t="s">
        <v>993</v>
      </c>
      <c r="G6095" s="83">
        <v>46115.0</v>
      </c>
      <c r="H6095" s="76" t="s">
        <v>941</v>
      </c>
    </row>
    <row r="6096">
      <c r="A6096" s="76" t="s">
        <v>32</v>
      </c>
      <c r="B6096" s="76" t="s">
        <v>1006</v>
      </c>
      <c r="C6096" s="84">
        <v>5.13</v>
      </c>
      <c r="D6096" s="84">
        <v>0.0</v>
      </c>
      <c r="E6096" s="84">
        <v>0.0</v>
      </c>
      <c r="F6096" s="76" t="s">
        <v>993</v>
      </c>
      <c r="G6096" s="83">
        <v>46115.0</v>
      </c>
      <c r="H6096" s="76" t="s">
        <v>942</v>
      </c>
    </row>
    <row r="6097">
      <c r="A6097" s="76" t="s">
        <v>32</v>
      </c>
      <c r="B6097" s="76" t="s">
        <v>1006</v>
      </c>
      <c r="C6097" s="84">
        <v>3.6</v>
      </c>
      <c r="D6097" s="84">
        <v>0.0</v>
      </c>
      <c r="E6097" s="84">
        <v>0.0</v>
      </c>
      <c r="F6097" s="76" t="s">
        <v>993</v>
      </c>
      <c r="G6097" s="83">
        <v>46115.0</v>
      </c>
      <c r="H6097" s="76" t="s">
        <v>943</v>
      </c>
    </row>
    <row r="6098">
      <c r="A6098" s="76" t="s">
        <v>944</v>
      </c>
      <c r="B6098" s="76" t="s">
        <v>1006</v>
      </c>
      <c r="C6098" s="84">
        <v>1.98</v>
      </c>
      <c r="D6098" s="84">
        <v>0.0</v>
      </c>
      <c r="E6098" s="84">
        <v>0.0</v>
      </c>
      <c r="F6098" s="76" t="s">
        <v>993</v>
      </c>
      <c r="G6098" s="83">
        <v>46115.0</v>
      </c>
      <c r="H6098" s="76" t="s">
        <v>945</v>
      </c>
    </row>
    <row r="6099">
      <c r="A6099" s="76" t="s">
        <v>944</v>
      </c>
      <c r="B6099" s="76" t="s">
        <v>1006</v>
      </c>
      <c r="C6099" s="84">
        <v>2.75</v>
      </c>
      <c r="D6099" s="84">
        <v>0.0</v>
      </c>
      <c r="E6099" s="84">
        <v>0.0</v>
      </c>
      <c r="F6099" s="76" t="s">
        <v>993</v>
      </c>
      <c r="G6099" s="83">
        <v>46115.0</v>
      </c>
      <c r="H6099" s="76" t="s">
        <v>946</v>
      </c>
    </row>
    <row r="6100">
      <c r="A6100" s="76" t="s">
        <v>944</v>
      </c>
      <c r="B6100" s="76" t="s">
        <v>1006</v>
      </c>
      <c r="C6100" s="84">
        <v>0.4</v>
      </c>
      <c r="D6100" s="84">
        <v>0.0</v>
      </c>
      <c r="E6100" s="84">
        <v>0.0</v>
      </c>
      <c r="F6100" s="76" t="s">
        <v>993</v>
      </c>
      <c r="G6100" s="83">
        <v>46115.0</v>
      </c>
      <c r="H6100" s="76" t="s">
        <v>947</v>
      </c>
    </row>
    <row r="6101">
      <c r="A6101" s="76" t="s">
        <v>26</v>
      </c>
      <c r="B6101" s="76" t="s">
        <v>1006</v>
      </c>
      <c r="C6101" s="84">
        <v>2.82</v>
      </c>
      <c r="D6101" s="84">
        <v>0.0</v>
      </c>
      <c r="E6101" s="84">
        <v>0.0</v>
      </c>
      <c r="F6101" s="76" t="s">
        <v>993</v>
      </c>
      <c r="G6101" s="83">
        <v>46115.0</v>
      </c>
      <c r="H6101" s="76" t="s">
        <v>1012</v>
      </c>
    </row>
    <row r="6102">
      <c r="A6102" s="76" t="s">
        <v>26</v>
      </c>
      <c r="B6102" s="76" t="s">
        <v>1006</v>
      </c>
      <c r="C6102" s="84">
        <v>1.7</v>
      </c>
      <c r="D6102" s="84">
        <v>0.0</v>
      </c>
      <c r="E6102" s="84">
        <v>0.0</v>
      </c>
      <c r="F6102" s="76" t="s">
        <v>993</v>
      </c>
      <c r="G6102" s="83">
        <v>46115.0</v>
      </c>
      <c r="H6102" s="76" t="s">
        <v>1013</v>
      </c>
    </row>
    <row r="6103">
      <c r="A6103" s="76" t="s">
        <v>26</v>
      </c>
      <c r="B6103" s="76" t="s">
        <v>1006</v>
      </c>
      <c r="C6103" s="84">
        <v>0.33</v>
      </c>
      <c r="D6103" s="84">
        <v>0.0</v>
      </c>
      <c r="E6103" s="84">
        <v>0.0</v>
      </c>
      <c r="F6103" s="76" t="s">
        <v>993</v>
      </c>
      <c r="G6103" s="83">
        <v>46115.0</v>
      </c>
      <c r="H6103" s="76" t="s">
        <v>1014</v>
      </c>
    </row>
    <row r="6104">
      <c r="A6104" s="76" t="s">
        <v>36</v>
      </c>
      <c r="B6104" s="76" t="s">
        <v>1006</v>
      </c>
      <c r="C6104" s="84">
        <v>7.05</v>
      </c>
      <c r="D6104" s="84">
        <v>1.0</v>
      </c>
      <c r="E6104" s="84">
        <v>7.05</v>
      </c>
      <c r="F6104" s="76" t="s">
        <v>1005</v>
      </c>
      <c r="G6104" s="83">
        <v>46115.0</v>
      </c>
      <c r="H6104" s="76" t="s">
        <v>926</v>
      </c>
    </row>
    <row r="6105">
      <c r="A6105" s="76" t="s">
        <v>36</v>
      </c>
      <c r="B6105" s="76" t="s">
        <v>1006</v>
      </c>
      <c r="C6105" s="84">
        <v>16.83</v>
      </c>
      <c r="D6105" s="84">
        <v>1.0</v>
      </c>
      <c r="E6105" s="84">
        <v>16.83</v>
      </c>
      <c r="F6105" s="76" t="s">
        <v>1005</v>
      </c>
      <c r="G6105" s="83">
        <v>46115.0</v>
      </c>
      <c r="H6105" s="76" t="s">
        <v>927</v>
      </c>
    </row>
    <row r="6106">
      <c r="A6106" s="76" t="s">
        <v>36</v>
      </c>
      <c r="B6106" s="76" t="s">
        <v>1006</v>
      </c>
      <c r="C6106" s="84">
        <v>4.09</v>
      </c>
      <c r="D6106" s="84">
        <v>0.0</v>
      </c>
      <c r="E6106" s="84">
        <v>0.0</v>
      </c>
      <c r="F6106" s="76" t="s">
        <v>1005</v>
      </c>
      <c r="G6106" s="83">
        <v>46115.0</v>
      </c>
      <c r="H6106" s="76" t="s">
        <v>928</v>
      </c>
    </row>
    <row r="6107">
      <c r="A6107" s="76" t="s">
        <v>31</v>
      </c>
      <c r="B6107" s="76" t="s">
        <v>1006</v>
      </c>
      <c r="C6107" s="84">
        <v>6.5</v>
      </c>
      <c r="D6107" s="84">
        <v>4.0</v>
      </c>
      <c r="E6107" s="84">
        <v>1.62</v>
      </c>
      <c r="F6107" s="76" t="s">
        <v>1005</v>
      </c>
      <c r="G6107" s="83">
        <v>46115.0</v>
      </c>
      <c r="H6107" s="76" t="s">
        <v>929</v>
      </c>
    </row>
    <row r="6108">
      <c r="A6108" s="76" t="s">
        <v>31</v>
      </c>
      <c r="B6108" s="76" t="s">
        <v>1006</v>
      </c>
      <c r="C6108" s="84">
        <v>25.1</v>
      </c>
      <c r="D6108" s="84">
        <v>2.0</v>
      </c>
      <c r="E6108" s="84">
        <v>12.55</v>
      </c>
      <c r="F6108" s="76" t="s">
        <v>1005</v>
      </c>
      <c r="G6108" s="83">
        <v>46115.0</v>
      </c>
      <c r="H6108" s="76" t="s">
        <v>930</v>
      </c>
    </row>
    <row r="6109">
      <c r="A6109" s="76" t="s">
        <v>28</v>
      </c>
      <c r="B6109" s="76" t="s">
        <v>1006</v>
      </c>
      <c r="C6109" s="84">
        <v>10.25</v>
      </c>
      <c r="D6109" s="84">
        <v>0.0</v>
      </c>
      <c r="E6109" s="84">
        <v>0.0</v>
      </c>
      <c r="F6109" s="76" t="s">
        <v>1005</v>
      </c>
      <c r="G6109" s="83">
        <v>46115.0</v>
      </c>
      <c r="H6109" s="76" t="s">
        <v>931</v>
      </c>
    </row>
    <row r="6110">
      <c r="A6110" s="76" t="s">
        <v>28</v>
      </c>
      <c r="B6110" s="76" t="s">
        <v>1006</v>
      </c>
      <c r="C6110" s="84">
        <v>3.17</v>
      </c>
      <c r="D6110" s="84">
        <v>1.0</v>
      </c>
      <c r="E6110" s="84">
        <v>3.17</v>
      </c>
      <c r="F6110" s="76" t="s">
        <v>1005</v>
      </c>
      <c r="G6110" s="83">
        <v>46115.0</v>
      </c>
      <c r="H6110" s="76" t="s">
        <v>932</v>
      </c>
    </row>
    <row r="6111">
      <c r="A6111" s="76" t="s">
        <v>28</v>
      </c>
      <c r="B6111" s="76" t="s">
        <v>1006</v>
      </c>
      <c r="C6111" s="84">
        <v>14.21</v>
      </c>
      <c r="D6111" s="84">
        <v>1.0</v>
      </c>
      <c r="E6111" s="84">
        <v>14.21</v>
      </c>
      <c r="F6111" s="76" t="s">
        <v>1005</v>
      </c>
      <c r="G6111" s="83">
        <v>46115.0</v>
      </c>
      <c r="H6111" s="76" t="s">
        <v>933</v>
      </c>
    </row>
    <row r="6112">
      <c r="A6112" s="76" t="s">
        <v>45</v>
      </c>
      <c r="B6112" s="76" t="s">
        <v>1006</v>
      </c>
      <c r="C6112" s="84">
        <v>12.29</v>
      </c>
      <c r="D6112" s="84">
        <v>1.0</v>
      </c>
      <c r="E6112" s="84">
        <v>12.29</v>
      </c>
      <c r="F6112" s="76" t="s">
        <v>1005</v>
      </c>
      <c r="G6112" s="83">
        <v>46115.0</v>
      </c>
      <c r="H6112" s="76" t="s">
        <v>936</v>
      </c>
    </row>
    <row r="6113">
      <c r="A6113" s="76" t="s">
        <v>45</v>
      </c>
      <c r="B6113" s="76" t="s">
        <v>1006</v>
      </c>
      <c r="C6113" s="84">
        <v>3.43</v>
      </c>
      <c r="D6113" s="84">
        <v>1.0</v>
      </c>
      <c r="E6113" s="84">
        <v>3.43</v>
      </c>
      <c r="F6113" s="76" t="s">
        <v>1005</v>
      </c>
      <c r="G6113" s="83">
        <v>46115.0</v>
      </c>
      <c r="H6113" s="76" t="s">
        <v>937</v>
      </c>
    </row>
    <row r="6114">
      <c r="A6114" s="76" t="s">
        <v>45</v>
      </c>
      <c r="B6114" s="76" t="s">
        <v>1006</v>
      </c>
      <c r="C6114" s="84">
        <v>7.49</v>
      </c>
      <c r="D6114" s="84">
        <v>0.0</v>
      </c>
      <c r="E6114" s="84">
        <v>0.0</v>
      </c>
      <c r="F6114" s="76" t="s">
        <v>1005</v>
      </c>
      <c r="G6114" s="83">
        <v>46115.0</v>
      </c>
      <c r="H6114" s="76" t="s">
        <v>938</v>
      </c>
    </row>
    <row r="6115">
      <c r="A6115" s="76" t="s">
        <v>32</v>
      </c>
      <c r="B6115" s="76" t="s">
        <v>1006</v>
      </c>
      <c r="C6115" s="84">
        <v>28.95</v>
      </c>
      <c r="D6115" s="84">
        <v>12.0</v>
      </c>
      <c r="E6115" s="84">
        <v>2.41</v>
      </c>
      <c r="F6115" s="76" t="s">
        <v>1005</v>
      </c>
      <c r="G6115" s="83">
        <v>46115.0</v>
      </c>
      <c r="H6115" s="76" t="s">
        <v>941</v>
      </c>
    </row>
    <row r="6116">
      <c r="A6116" s="76" t="s">
        <v>32</v>
      </c>
      <c r="B6116" s="76" t="s">
        <v>1006</v>
      </c>
      <c r="C6116" s="84">
        <v>16.06</v>
      </c>
      <c r="D6116" s="84">
        <v>4.0</v>
      </c>
      <c r="E6116" s="84">
        <v>4.01</v>
      </c>
      <c r="F6116" s="76" t="s">
        <v>1005</v>
      </c>
      <c r="G6116" s="83">
        <v>46115.0</v>
      </c>
      <c r="H6116" s="76" t="s">
        <v>942</v>
      </c>
    </row>
    <row r="6117">
      <c r="A6117" s="76" t="s">
        <v>32</v>
      </c>
      <c r="B6117" s="76" t="s">
        <v>1006</v>
      </c>
      <c r="C6117" s="84">
        <v>13.88</v>
      </c>
      <c r="D6117" s="84">
        <v>4.0</v>
      </c>
      <c r="E6117" s="84">
        <v>3.47</v>
      </c>
      <c r="F6117" s="76" t="s">
        <v>1005</v>
      </c>
      <c r="G6117" s="83">
        <v>46115.0</v>
      </c>
      <c r="H6117" s="76" t="s">
        <v>943</v>
      </c>
    </row>
    <row r="6118">
      <c r="A6118" s="76" t="s">
        <v>944</v>
      </c>
      <c r="B6118" s="76" t="s">
        <v>1006</v>
      </c>
      <c r="C6118" s="84">
        <v>10.67</v>
      </c>
      <c r="D6118" s="84">
        <v>0.0</v>
      </c>
      <c r="E6118" s="84">
        <v>0.0</v>
      </c>
      <c r="F6118" s="76" t="s">
        <v>1005</v>
      </c>
      <c r="G6118" s="83">
        <v>46115.0</v>
      </c>
      <c r="H6118" s="76" t="s">
        <v>945</v>
      </c>
    </row>
    <row r="6119">
      <c r="A6119" s="76" t="s">
        <v>944</v>
      </c>
      <c r="B6119" s="76" t="s">
        <v>1006</v>
      </c>
      <c r="C6119" s="84">
        <v>10.33</v>
      </c>
      <c r="D6119" s="84">
        <v>1.0</v>
      </c>
      <c r="E6119" s="84">
        <v>10.33</v>
      </c>
      <c r="F6119" s="76" t="s">
        <v>1005</v>
      </c>
      <c r="G6119" s="83">
        <v>46115.0</v>
      </c>
      <c r="H6119" s="76" t="s">
        <v>946</v>
      </c>
    </row>
    <row r="6120">
      <c r="A6120" s="76" t="s">
        <v>944</v>
      </c>
      <c r="B6120" s="76" t="s">
        <v>1006</v>
      </c>
      <c r="C6120" s="84">
        <v>4.64</v>
      </c>
      <c r="D6120" s="84">
        <v>1.0</v>
      </c>
      <c r="E6120" s="84">
        <v>4.64</v>
      </c>
      <c r="F6120" s="76" t="s">
        <v>1005</v>
      </c>
      <c r="G6120" s="83">
        <v>46115.0</v>
      </c>
      <c r="H6120" s="76" t="s">
        <v>947</v>
      </c>
    </row>
    <row r="6121">
      <c r="A6121" s="76" t="s">
        <v>26</v>
      </c>
      <c r="B6121" s="76" t="s">
        <v>1006</v>
      </c>
      <c r="C6121" s="84">
        <v>13.8</v>
      </c>
      <c r="D6121" s="84">
        <v>2.0</v>
      </c>
      <c r="E6121" s="84">
        <v>6.9</v>
      </c>
      <c r="F6121" s="76" t="s">
        <v>1005</v>
      </c>
      <c r="G6121" s="83">
        <v>46115.0</v>
      </c>
      <c r="H6121" s="76" t="s">
        <v>1012</v>
      </c>
    </row>
    <row r="6122">
      <c r="A6122" s="76" t="s">
        <v>26</v>
      </c>
      <c r="B6122" s="76" t="s">
        <v>1006</v>
      </c>
      <c r="C6122" s="84">
        <v>8.37</v>
      </c>
      <c r="D6122" s="84">
        <v>1.0</v>
      </c>
      <c r="E6122" s="84">
        <v>8.37</v>
      </c>
      <c r="F6122" s="76" t="s">
        <v>1005</v>
      </c>
      <c r="G6122" s="83">
        <v>46115.0</v>
      </c>
      <c r="H6122" s="76" t="s">
        <v>1013</v>
      </c>
    </row>
    <row r="6123">
      <c r="A6123" s="76" t="s">
        <v>26</v>
      </c>
      <c r="B6123" s="76" t="s">
        <v>1006</v>
      </c>
      <c r="C6123" s="84">
        <v>5.75</v>
      </c>
      <c r="D6123" s="84">
        <v>3.0</v>
      </c>
      <c r="E6123" s="84">
        <v>1.92</v>
      </c>
      <c r="F6123" s="76" t="s">
        <v>1005</v>
      </c>
      <c r="G6123" s="83">
        <v>46115.0</v>
      </c>
      <c r="H6123" s="76" t="s">
        <v>1014</v>
      </c>
    </row>
    <row r="6124">
      <c r="A6124" s="76" t="s">
        <v>36</v>
      </c>
      <c r="B6124" s="76" t="s">
        <v>1006</v>
      </c>
      <c r="C6124" s="84">
        <v>1.3</v>
      </c>
      <c r="D6124" s="84">
        <v>0.0</v>
      </c>
      <c r="E6124" s="84">
        <v>0.0</v>
      </c>
      <c r="F6124" s="76" t="s">
        <v>996</v>
      </c>
      <c r="G6124" s="83">
        <v>46115.0</v>
      </c>
      <c r="H6124" s="76" t="s">
        <v>926</v>
      </c>
    </row>
    <row r="6125">
      <c r="A6125" s="76" t="s">
        <v>36</v>
      </c>
      <c r="B6125" s="76" t="s">
        <v>1006</v>
      </c>
      <c r="C6125" s="84">
        <v>2.87</v>
      </c>
      <c r="D6125" s="84">
        <v>0.0</v>
      </c>
      <c r="E6125" s="84">
        <v>0.0</v>
      </c>
      <c r="F6125" s="76" t="s">
        <v>996</v>
      </c>
      <c r="G6125" s="83">
        <v>46115.0</v>
      </c>
      <c r="H6125" s="76" t="s">
        <v>927</v>
      </c>
    </row>
    <row r="6126">
      <c r="A6126" s="76" t="s">
        <v>36</v>
      </c>
      <c r="B6126" s="76" t="s">
        <v>1006</v>
      </c>
      <c r="C6126" s="84">
        <v>0.47</v>
      </c>
      <c r="D6126" s="84">
        <v>0.0</v>
      </c>
      <c r="E6126" s="84">
        <v>0.0</v>
      </c>
      <c r="F6126" s="76" t="s">
        <v>996</v>
      </c>
      <c r="G6126" s="83">
        <v>46115.0</v>
      </c>
      <c r="H6126" s="76" t="s">
        <v>928</v>
      </c>
    </row>
    <row r="6127">
      <c r="A6127" s="76" t="s">
        <v>31</v>
      </c>
      <c r="B6127" s="76" t="s">
        <v>1006</v>
      </c>
      <c r="C6127" s="84">
        <v>2.49</v>
      </c>
      <c r="D6127" s="84">
        <v>0.0</v>
      </c>
      <c r="E6127" s="84">
        <v>0.0</v>
      </c>
      <c r="F6127" s="76" t="s">
        <v>996</v>
      </c>
      <c r="G6127" s="83">
        <v>46115.0</v>
      </c>
      <c r="H6127" s="76" t="s">
        <v>929</v>
      </c>
    </row>
    <row r="6128">
      <c r="A6128" s="76" t="s">
        <v>31</v>
      </c>
      <c r="B6128" s="76" t="s">
        <v>1006</v>
      </c>
      <c r="C6128" s="84">
        <v>15.83</v>
      </c>
      <c r="D6128" s="84">
        <v>1.0</v>
      </c>
      <c r="E6128" s="84">
        <v>15.83</v>
      </c>
      <c r="F6128" s="76" t="s">
        <v>996</v>
      </c>
      <c r="G6128" s="83">
        <v>46115.0</v>
      </c>
      <c r="H6128" s="76" t="s">
        <v>930</v>
      </c>
    </row>
    <row r="6129">
      <c r="A6129" s="76" t="s">
        <v>28</v>
      </c>
      <c r="B6129" s="76" t="s">
        <v>1006</v>
      </c>
      <c r="C6129" s="84">
        <v>1.75</v>
      </c>
      <c r="D6129" s="84">
        <v>0.0</v>
      </c>
      <c r="E6129" s="84">
        <v>0.0</v>
      </c>
      <c r="F6129" s="76" t="s">
        <v>996</v>
      </c>
      <c r="G6129" s="83">
        <v>46115.0</v>
      </c>
      <c r="H6129" s="76" t="s">
        <v>931</v>
      </c>
    </row>
    <row r="6130">
      <c r="A6130" s="76" t="s">
        <v>28</v>
      </c>
      <c r="B6130" s="76" t="s">
        <v>1006</v>
      </c>
      <c r="C6130" s="84">
        <v>0.51</v>
      </c>
      <c r="D6130" s="84">
        <v>0.0</v>
      </c>
      <c r="E6130" s="84">
        <v>0.0</v>
      </c>
      <c r="F6130" s="76" t="s">
        <v>996</v>
      </c>
      <c r="G6130" s="83">
        <v>46115.0</v>
      </c>
      <c r="H6130" s="76" t="s">
        <v>932</v>
      </c>
    </row>
    <row r="6131">
      <c r="A6131" s="76" t="s">
        <v>28</v>
      </c>
      <c r="B6131" s="76" t="s">
        <v>1006</v>
      </c>
      <c r="C6131" s="84">
        <v>2.17</v>
      </c>
      <c r="D6131" s="84">
        <v>0.0</v>
      </c>
      <c r="E6131" s="84">
        <v>0.0</v>
      </c>
      <c r="F6131" s="76" t="s">
        <v>996</v>
      </c>
      <c r="G6131" s="83">
        <v>46115.0</v>
      </c>
      <c r="H6131" s="76" t="s">
        <v>933</v>
      </c>
    </row>
    <row r="6132">
      <c r="A6132" s="76" t="s">
        <v>45</v>
      </c>
      <c r="B6132" s="76" t="s">
        <v>1006</v>
      </c>
      <c r="C6132" s="84">
        <v>2.3</v>
      </c>
      <c r="D6132" s="84">
        <v>0.0</v>
      </c>
      <c r="E6132" s="84">
        <v>0.0</v>
      </c>
      <c r="F6132" s="76" t="s">
        <v>996</v>
      </c>
      <c r="G6132" s="83">
        <v>46115.0</v>
      </c>
      <c r="H6132" s="76" t="s">
        <v>936</v>
      </c>
    </row>
    <row r="6133">
      <c r="A6133" s="76" t="s">
        <v>45</v>
      </c>
      <c r="B6133" s="76" t="s">
        <v>1006</v>
      </c>
      <c r="C6133" s="84">
        <v>0.27</v>
      </c>
      <c r="D6133" s="84">
        <v>0.0</v>
      </c>
      <c r="E6133" s="84">
        <v>0.0</v>
      </c>
      <c r="F6133" s="76" t="s">
        <v>996</v>
      </c>
      <c r="G6133" s="83">
        <v>46115.0</v>
      </c>
      <c r="H6133" s="76" t="s">
        <v>937</v>
      </c>
    </row>
    <row r="6134">
      <c r="A6134" s="76" t="s">
        <v>45</v>
      </c>
      <c r="B6134" s="76" t="s">
        <v>1006</v>
      </c>
      <c r="C6134" s="84">
        <v>1.37</v>
      </c>
      <c r="D6134" s="84">
        <v>0.0</v>
      </c>
      <c r="E6134" s="84">
        <v>0.0</v>
      </c>
      <c r="F6134" s="76" t="s">
        <v>996</v>
      </c>
      <c r="G6134" s="83">
        <v>46115.0</v>
      </c>
      <c r="H6134" s="76" t="s">
        <v>938</v>
      </c>
    </row>
    <row r="6135">
      <c r="A6135" s="76" t="s">
        <v>32</v>
      </c>
      <c r="B6135" s="76" t="s">
        <v>1006</v>
      </c>
      <c r="C6135" s="84">
        <v>1.32</v>
      </c>
      <c r="D6135" s="84">
        <v>0.0</v>
      </c>
      <c r="E6135" s="84">
        <v>0.0</v>
      </c>
      <c r="F6135" s="76" t="s">
        <v>996</v>
      </c>
      <c r="G6135" s="83">
        <v>46115.0</v>
      </c>
      <c r="H6135" s="76" t="s">
        <v>941</v>
      </c>
    </row>
    <row r="6136">
      <c r="A6136" s="76" t="s">
        <v>32</v>
      </c>
      <c r="B6136" s="76" t="s">
        <v>1006</v>
      </c>
      <c r="C6136" s="84">
        <v>2.71</v>
      </c>
      <c r="D6136" s="84">
        <v>0.0</v>
      </c>
      <c r="E6136" s="84">
        <v>0.0</v>
      </c>
      <c r="F6136" s="76" t="s">
        <v>996</v>
      </c>
      <c r="G6136" s="83">
        <v>46115.0</v>
      </c>
      <c r="H6136" s="76" t="s">
        <v>942</v>
      </c>
    </row>
    <row r="6137">
      <c r="A6137" s="76" t="s">
        <v>32</v>
      </c>
      <c r="B6137" s="76" t="s">
        <v>1006</v>
      </c>
      <c r="C6137" s="84">
        <v>3.02</v>
      </c>
      <c r="D6137" s="84">
        <v>0.0</v>
      </c>
      <c r="E6137" s="84">
        <v>0.0</v>
      </c>
      <c r="F6137" s="76" t="s">
        <v>996</v>
      </c>
      <c r="G6137" s="83">
        <v>46115.0</v>
      </c>
      <c r="H6137" s="76" t="s">
        <v>943</v>
      </c>
    </row>
    <row r="6138">
      <c r="A6138" s="76" t="s">
        <v>944</v>
      </c>
      <c r="B6138" s="76" t="s">
        <v>1006</v>
      </c>
      <c r="C6138" s="84">
        <v>1.85</v>
      </c>
      <c r="D6138" s="84">
        <v>0.0</v>
      </c>
      <c r="E6138" s="84">
        <v>0.0</v>
      </c>
      <c r="F6138" s="76" t="s">
        <v>996</v>
      </c>
      <c r="G6138" s="83">
        <v>46115.0</v>
      </c>
      <c r="H6138" s="76" t="s">
        <v>945</v>
      </c>
    </row>
    <row r="6139">
      <c r="A6139" s="76" t="s">
        <v>944</v>
      </c>
      <c r="B6139" s="76" t="s">
        <v>1006</v>
      </c>
      <c r="C6139" s="84">
        <v>2.46</v>
      </c>
      <c r="D6139" s="84">
        <v>0.0</v>
      </c>
      <c r="E6139" s="84">
        <v>0.0</v>
      </c>
      <c r="F6139" s="76" t="s">
        <v>996</v>
      </c>
      <c r="G6139" s="83">
        <v>46115.0</v>
      </c>
      <c r="H6139" s="76" t="s">
        <v>946</v>
      </c>
    </row>
    <row r="6140">
      <c r="A6140" s="76" t="s">
        <v>944</v>
      </c>
      <c r="B6140" s="76" t="s">
        <v>1006</v>
      </c>
      <c r="C6140" s="84">
        <v>0.4</v>
      </c>
      <c r="D6140" s="84">
        <v>0.0</v>
      </c>
      <c r="E6140" s="84">
        <v>0.0</v>
      </c>
      <c r="F6140" s="76" t="s">
        <v>996</v>
      </c>
      <c r="G6140" s="83">
        <v>46115.0</v>
      </c>
      <c r="H6140" s="76" t="s">
        <v>947</v>
      </c>
    </row>
    <row r="6141">
      <c r="A6141" s="76" t="s">
        <v>26</v>
      </c>
      <c r="B6141" s="76" t="s">
        <v>1006</v>
      </c>
      <c r="C6141" s="84">
        <v>2.95</v>
      </c>
      <c r="D6141" s="84">
        <v>0.0</v>
      </c>
      <c r="E6141" s="84">
        <v>0.0</v>
      </c>
      <c r="F6141" s="76" t="s">
        <v>996</v>
      </c>
      <c r="G6141" s="83">
        <v>46115.0</v>
      </c>
      <c r="H6141" s="76" t="s">
        <v>1012</v>
      </c>
    </row>
    <row r="6142">
      <c r="A6142" s="76" t="s">
        <v>26</v>
      </c>
      <c r="B6142" s="76" t="s">
        <v>1006</v>
      </c>
      <c r="C6142" s="84">
        <v>1.2</v>
      </c>
      <c r="D6142" s="84">
        <v>0.0</v>
      </c>
      <c r="E6142" s="84">
        <v>0.0</v>
      </c>
      <c r="F6142" s="76" t="s">
        <v>996</v>
      </c>
      <c r="G6142" s="83">
        <v>46115.0</v>
      </c>
      <c r="H6142" s="76" t="s">
        <v>1013</v>
      </c>
    </row>
    <row r="6143">
      <c r="A6143" s="76" t="s">
        <v>26</v>
      </c>
      <c r="B6143" s="76" t="s">
        <v>1006</v>
      </c>
      <c r="C6143" s="84">
        <v>0.36</v>
      </c>
      <c r="D6143" s="84">
        <v>0.0</v>
      </c>
      <c r="E6143" s="84">
        <v>0.0</v>
      </c>
      <c r="F6143" s="76" t="s">
        <v>996</v>
      </c>
      <c r="G6143" s="83">
        <v>46115.0</v>
      </c>
      <c r="H6143" s="76" t="s">
        <v>1014</v>
      </c>
    </row>
    <row r="6144">
      <c r="A6144" s="76" t="s">
        <v>36</v>
      </c>
      <c r="B6144" s="76" t="s">
        <v>1006</v>
      </c>
      <c r="C6144" s="84">
        <v>1.26</v>
      </c>
      <c r="D6144" s="84">
        <v>0.0</v>
      </c>
      <c r="E6144" s="84">
        <v>0.0</v>
      </c>
      <c r="F6144" s="76" t="s">
        <v>997</v>
      </c>
      <c r="G6144" s="83">
        <v>46115.0</v>
      </c>
      <c r="H6144" s="76" t="s">
        <v>926</v>
      </c>
    </row>
    <row r="6145">
      <c r="A6145" s="76" t="s">
        <v>36</v>
      </c>
      <c r="B6145" s="76" t="s">
        <v>1006</v>
      </c>
      <c r="C6145" s="84">
        <v>2.95</v>
      </c>
      <c r="D6145" s="84">
        <v>0.0</v>
      </c>
      <c r="E6145" s="84">
        <v>0.0</v>
      </c>
      <c r="F6145" s="76" t="s">
        <v>997</v>
      </c>
      <c r="G6145" s="83">
        <v>46115.0</v>
      </c>
      <c r="H6145" s="76" t="s">
        <v>927</v>
      </c>
    </row>
    <row r="6146">
      <c r="A6146" s="76" t="s">
        <v>36</v>
      </c>
      <c r="B6146" s="76" t="s">
        <v>1006</v>
      </c>
      <c r="C6146" s="84">
        <v>0.69</v>
      </c>
      <c r="D6146" s="84">
        <v>1.0</v>
      </c>
      <c r="E6146" s="84">
        <v>0.69</v>
      </c>
      <c r="F6146" s="76" t="s">
        <v>997</v>
      </c>
      <c r="G6146" s="83">
        <v>46115.0</v>
      </c>
      <c r="H6146" s="76" t="s">
        <v>928</v>
      </c>
    </row>
    <row r="6147">
      <c r="A6147" s="76" t="s">
        <v>31</v>
      </c>
      <c r="B6147" s="76" t="s">
        <v>1006</v>
      </c>
      <c r="C6147" s="84">
        <v>1.62</v>
      </c>
      <c r="D6147" s="84">
        <v>0.0</v>
      </c>
      <c r="E6147" s="84">
        <v>0.0</v>
      </c>
      <c r="F6147" s="76" t="s">
        <v>997</v>
      </c>
      <c r="G6147" s="83">
        <v>46115.0</v>
      </c>
      <c r="H6147" s="76" t="s">
        <v>929</v>
      </c>
    </row>
    <row r="6148">
      <c r="A6148" s="76" t="s">
        <v>31</v>
      </c>
      <c r="B6148" s="76" t="s">
        <v>1006</v>
      </c>
      <c r="C6148" s="84">
        <v>5.43</v>
      </c>
      <c r="D6148" s="84">
        <v>0.0</v>
      </c>
      <c r="E6148" s="84">
        <v>0.0</v>
      </c>
      <c r="F6148" s="76" t="s">
        <v>997</v>
      </c>
      <c r="G6148" s="83">
        <v>46115.0</v>
      </c>
      <c r="H6148" s="76" t="s">
        <v>930</v>
      </c>
    </row>
    <row r="6149">
      <c r="A6149" s="76" t="s">
        <v>28</v>
      </c>
      <c r="B6149" s="76" t="s">
        <v>1006</v>
      </c>
      <c r="C6149" s="84">
        <v>1.43</v>
      </c>
      <c r="D6149" s="84">
        <v>0.0</v>
      </c>
      <c r="E6149" s="84">
        <v>0.0</v>
      </c>
      <c r="F6149" s="76" t="s">
        <v>997</v>
      </c>
      <c r="G6149" s="83">
        <v>46115.0</v>
      </c>
      <c r="H6149" s="76" t="s">
        <v>931</v>
      </c>
    </row>
    <row r="6150">
      <c r="A6150" s="76" t="s">
        <v>28</v>
      </c>
      <c r="B6150" s="76" t="s">
        <v>1006</v>
      </c>
      <c r="C6150" s="84">
        <v>0.4</v>
      </c>
      <c r="D6150" s="84">
        <v>0.0</v>
      </c>
      <c r="E6150" s="84">
        <v>0.0</v>
      </c>
      <c r="F6150" s="76" t="s">
        <v>997</v>
      </c>
      <c r="G6150" s="83">
        <v>46115.0</v>
      </c>
      <c r="H6150" s="76" t="s">
        <v>932</v>
      </c>
    </row>
    <row r="6151">
      <c r="A6151" s="76" t="s">
        <v>28</v>
      </c>
      <c r="B6151" s="76" t="s">
        <v>1006</v>
      </c>
      <c r="C6151" s="84">
        <v>1.91</v>
      </c>
      <c r="D6151" s="84">
        <v>0.0</v>
      </c>
      <c r="E6151" s="84">
        <v>0.0</v>
      </c>
      <c r="F6151" s="76" t="s">
        <v>997</v>
      </c>
      <c r="G6151" s="83">
        <v>46115.0</v>
      </c>
      <c r="H6151" s="76" t="s">
        <v>933</v>
      </c>
    </row>
    <row r="6152">
      <c r="A6152" s="76" t="s">
        <v>45</v>
      </c>
      <c r="B6152" s="76" t="s">
        <v>1006</v>
      </c>
      <c r="C6152" s="84">
        <v>2.41</v>
      </c>
      <c r="D6152" s="84">
        <v>0.0</v>
      </c>
      <c r="E6152" s="84">
        <v>0.0</v>
      </c>
      <c r="F6152" s="76" t="s">
        <v>997</v>
      </c>
      <c r="G6152" s="83">
        <v>46115.0</v>
      </c>
      <c r="H6152" s="76" t="s">
        <v>936</v>
      </c>
    </row>
    <row r="6153">
      <c r="A6153" s="76" t="s">
        <v>45</v>
      </c>
      <c r="B6153" s="76" t="s">
        <v>1006</v>
      </c>
      <c r="C6153" s="84">
        <v>0.39</v>
      </c>
      <c r="D6153" s="84">
        <v>0.0</v>
      </c>
      <c r="E6153" s="84">
        <v>0.0</v>
      </c>
      <c r="F6153" s="76" t="s">
        <v>997</v>
      </c>
      <c r="G6153" s="83">
        <v>46115.0</v>
      </c>
      <c r="H6153" s="76" t="s">
        <v>937</v>
      </c>
    </row>
    <row r="6154">
      <c r="A6154" s="76" t="s">
        <v>45</v>
      </c>
      <c r="B6154" s="76" t="s">
        <v>1006</v>
      </c>
      <c r="C6154" s="84">
        <v>1.47</v>
      </c>
      <c r="D6154" s="84">
        <v>0.0</v>
      </c>
      <c r="E6154" s="84">
        <v>0.0</v>
      </c>
      <c r="F6154" s="76" t="s">
        <v>997</v>
      </c>
      <c r="G6154" s="83">
        <v>46115.0</v>
      </c>
      <c r="H6154" s="76" t="s">
        <v>938</v>
      </c>
    </row>
    <row r="6155">
      <c r="A6155" s="76" t="s">
        <v>32</v>
      </c>
      <c r="B6155" s="76" t="s">
        <v>1006</v>
      </c>
      <c r="C6155" s="84">
        <v>1.46</v>
      </c>
      <c r="D6155" s="84">
        <v>0.0</v>
      </c>
      <c r="E6155" s="84">
        <v>0.0</v>
      </c>
      <c r="F6155" s="76" t="s">
        <v>997</v>
      </c>
      <c r="G6155" s="83">
        <v>46115.0</v>
      </c>
      <c r="H6155" s="76" t="s">
        <v>941</v>
      </c>
    </row>
    <row r="6156">
      <c r="A6156" s="76" t="s">
        <v>32</v>
      </c>
      <c r="B6156" s="76" t="s">
        <v>1006</v>
      </c>
      <c r="C6156" s="84">
        <v>5.76</v>
      </c>
      <c r="D6156" s="84">
        <v>0.0</v>
      </c>
      <c r="E6156" s="84">
        <v>0.0</v>
      </c>
      <c r="F6156" s="76" t="s">
        <v>997</v>
      </c>
      <c r="G6156" s="83">
        <v>46115.0</v>
      </c>
      <c r="H6156" s="76" t="s">
        <v>942</v>
      </c>
    </row>
    <row r="6157">
      <c r="A6157" s="76" t="s">
        <v>32</v>
      </c>
      <c r="B6157" s="76" t="s">
        <v>1006</v>
      </c>
      <c r="C6157" s="84">
        <v>4.12</v>
      </c>
      <c r="D6157" s="84">
        <v>0.0</v>
      </c>
      <c r="E6157" s="84">
        <v>0.0</v>
      </c>
      <c r="F6157" s="76" t="s">
        <v>997</v>
      </c>
      <c r="G6157" s="83">
        <v>46115.0</v>
      </c>
      <c r="H6157" s="76" t="s">
        <v>943</v>
      </c>
    </row>
    <row r="6158">
      <c r="A6158" s="76" t="s">
        <v>944</v>
      </c>
      <c r="B6158" s="76" t="s">
        <v>1006</v>
      </c>
      <c r="C6158" s="84">
        <v>1.57</v>
      </c>
      <c r="D6158" s="84">
        <v>0.0</v>
      </c>
      <c r="E6158" s="84">
        <v>0.0</v>
      </c>
      <c r="F6158" s="76" t="s">
        <v>997</v>
      </c>
      <c r="G6158" s="83">
        <v>46115.0</v>
      </c>
      <c r="H6158" s="76" t="s">
        <v>945</v>
      </c>
    </row>
    <row r="6159">
      <c r="A6159" s="76" t="s">
        <v>944</v>
      </c>
      <c r="B6159" s="76" t="s">
        <v>1006</v>
      </c>
      <c r="C6159" s="84">
        <v>2.57</v>
      </c>
      <c r="D6159" s="84">
        <v>0.0</v>
      </c>
      <c r="E6159" s="84">
        <v>0.0</v>
      </c>
      <c r="F6159" s="76" t="s">
        <v>997</v>
      </c>
      <c r="G6159" s="83">
        <v>46115.0</v>
      </c>
      <c r="H6159" s="76" t="s">
        <v>946</v>
      </c>
    </row>
    <row r="6160">
      <c r="A6160" s="76" t="s">
        <v>944</v>
      </c>
      <c r="B6160" s="76" t="s">
        <v>1006</v>
      </c>
      <c r="C6160" s="84">
        <v>0.41</v>
      </c>
      <c r="D6160" s="84">
        <v>0.0</v>
      </c>
      <c r="E6160" s="84">
        <v>0.0</v>
      </c>
      <c r="F6160" s="76" t="s">
        <v>997</v>
      </c>
      <c r="G6160" s="83">
        <v>46115.0</v>
      </c>
      <c r="H6160" s="76" t="s">
        <v>947</v>
      </c>
    </row>
    <row r="6161">
      <c r="A6161" s="76" t="s">
        <v>26</v>
      </c>
      <c r="B6161" s="76" t="s">
        <v>1006</v>
      </c>
      <c r="C6161" s="84">
        <v>3.07</v>
      </c>
      <c r="D6161" s="84">
        <v>0.0</v>
      </c>
      <c r="E6161" s="84">
        <v>0.0</v>
      </c>
      <c r="F6161" s="76" t="s">
        <v>997</v>
      </c>
      <c r="G6161" s="83">
        <v>46115.0</v>
      </c>
      <c r="H6161" s="76" t="s">
        <v>1012</v>
      </c>
    </row>
    <row r="6162">
      <c r="A6162" s="76" t="s">
        <v>26</v>
      </c>
      <c r="B6162" s="76" t="s">
        <v>1006</v>
      </c>
      <c r="C6162" s="84">
        <v>1.28</v>
      </c>
      <c r="D6162" s="84">
        <v>0.0</v>
      </c>
      <c r="E6162" s="84">
        <v>0.0</v>
      </c>
      <c r="F6162" s="76" t="s">
        <v>997</v>
      </c>
      <c r="G6162" s="83">
        <v>46115.0</v>
      </c>
      <c r="H6162" s="76" t="s">
        <v>1013</v>
      </c>
    </row>
    <row r="6163">
      <c r="A6163" s="76" t="s">
        <v>26</v>
      </c>
      <c r="B6163" s="76" t="s">
        <v>1006</v>
      </c>
      <c r="C6163" s="84">
        <v>0.41</v>
      </c>
      <c r="D6163" s="84">
        <v>0.0</v>
      </c>
      <c r="E6163" s="84">
        <v>0.0</v>
      </c>
      <c r="F6163" s="76" t="s">
        <v>997</v>
      </c>
      <c r="G6163" s="83">
        <v>46115.0</v>
      </c>
      <c r="H6163" s="76" t="s">
        <v>1014</v>
      </c>
    </row>
    <row r="6164">
      <c r="A6164" s="76" t="s">
        <v>36</v>
      </c>
      <c r="B6164" s="76" t="s">
        <v>1006</v>
      </c>
      <c r="C6164" s="84">
        <v>8.61</v>
      </c>
      <c r="D6164" s="84">
        <v>1.0</v>
      </c>
      <c r="E6164" s="84">
        <v>8.61</v>
      </c>
      <c r="F6164" s="76" t="s">
        <v>998</v>
      </c>
      <c r="G6164" s="83">
        <v>46115.0</v>
      </c>
      <c r="H6164" s="76" t="s">
        <v>926</v>
      </c>
    </row>
    <row r="6165">
      <c r="A6165" s="76" t="s">
        <v>36</v>
      </c>
      <c r="B6165" s="76" t="s">
        <v>1006</v>
      </c>
      <c r="C6165" s="84">
        <v>11.72</v>
      </c>
      <c r="D6165" s="84">
        <v>1.0</v>
      </c>
      <c r="E6165" s="84">
        <v>11.72</v>
      </c>
      <c r="F6165" s="76" t="s">
        <v>998</v>
      </c>
      <c r="G6165" s="83">
        <v>46115.0</v>
      </c>
      <c r="H6165" s="76" t="s">
        <v>927</v>
      </c>
    </row>
    <row r="6166">
      <c r="A6166" s="76" t="s">
        <v>36</v>
      </c>
      <c r="B6166" s="76" t="s">
        <v>1006</v>
      </c>
      <c r="C6166" s="84">
        <v>1.96</v>
      </c>
      <c r="D6166" s="84">
        <v>1.0</v>
      </c>
      <c r="E6166" s="84">
        <v>1.96</v>
      </c>
      <c r="F6166" s="76" t="s">
        <v>998</v>
      </c>
      <c r="G6166" s="83">
        <v>46115.0</v>
      </c>
      <c r="H6166" s="76" t="s">
        <v>928</v>
      </c>
    </row>
    <row r="6167">
      <c r="A6167" s="76" t="s">
        <v>31</v>
      </c>
      <c r="B6167" s="76" t="s">
        <v>1006</v>
      </c>
      <c r="C6167" s="84">
        <v>8.11</v>
      </c>
      <c r="D6167" s="84">
        <v>3.0</v>
      </c>
      <c r="E6167" s="84">
        <v>2.7</v>
      </c>
      <c r="F6167" s="76" t="s">
        <v>998</v>
      </c>
      <c r="G6167" s="83">
        <v>46115.0</v>
      </c>
      <c r="H6167" s="76" t="s">
        <v>929</v>
      </c>
    </row>
    <row r="6168">
      <c r="A6168" s="76" t="s">
        <v>31</v>
      </c>
      <c r="B6168" s="76" t="s">
        <v>1006</v>
      </c>
      <c r="C6168" s="84">
        <v>94.28</v>
      </c>
      <c r="D6168" s="84">
        <v>3.0</v>
      </c>
      <c r="E6168" s="84">
        <v>31.43</v>
      </c>
      <c r="F6168" s="76" t="s">
        <v>998</v>
      </c>
      <c r="G6168" s="83">
        <v>46115.0</v>
      </c>
      <c r="H6168" s="76" t="s">
        <v>930</v>
      </c>
    </row>
    <row r="6169">
      <c r="A6169" s="76" t="s">
        <v>28</v>
      </c>
      <c r="B6169" s="76" t="s">
        <v>1006</v>
      </c>
      <c r="C6169" s="84">
        <v>8.83</v>
      </c>
      <c r="D6169" s="84">
        <v>1.0</v>
      </c>
      <c r="E6169" s="84">
        <v>8.83</v>
      </c>
      <c r="F6169" s="76" t="s">
        <v>998</v>
      </c>
      <c r="G6169" s="83">
        <v>46115.0</v>
      </c>
      <c r="H6169" s="76" t="s">
        <v>931</v>
      </c>
    </row>
    <row r="6170">
      <c r="A6170" s="76" t="s">
        <v>28</v>
      </c>
      <c r="B6170" s="76" t="s">
        <v>1006</v>
      </c>
      <c r="C6170" s="84">
        <v>1.72</v>
      </c>
      <c r="D6170" s="84">
        <v>1.0</v>
      </c>
      <c r="E6170" s="84">
        <v>1.72</v>
      </c>
      <c r="F6170" s="76" t="s">
        <v>998</v>
      </c>
      <c r="G6170" s="83">
        <v>46115.0</v>
      </c>
      <c r="H6170" s="76" t="s">
        <v>932</v>
      </c>
    </row>
    <row r="6171">
      <c r="A6171" s="76" t="s">
        <v>28</v>
      </c>
      <c r="B6171" s="76" t="s">
        <v>1006</v>
      </c>
      <c r="C6171" s="84">
        <v>11.76</v>
      </c>
      <c r="D6171" s="84">
        <v>3.0</v>
      </c>
      <c r="E6171" s="84">
        <v>3.92</v>
      </c>
      <c r="F6171" s="76" t="s">
        <v>998</v>
      </c>
      <c r="G6171" s="83">
        <v>46115.0</v>
      </c>
      <c r="H6171" s="76" t="s">
        <v>933</v>
      </c>
    </row>
    <row r="6172">
      <c r="A6172" s="76" t="s">
        <v>45</v>
      </c>
      <c r="B6172" s="76" t="s">
        <v>1006</v>
      </c>
      <c r="C6172" s="84">
        <v>10.28</v>
      </c>
      <c r="D6172" s="84">
        <v>0.0</v>
      </c>
      <c r="E6172" s="84">
        <v>0.0</v>
      </c>
      <c r="F6172" s="76" t="s">
        <v>998</v>
      </c>
      <c r="G6172" s="83">
        <v>46115.0</v>
      </c>
      <c r="H6172" s="76" t="s">
        <v>936</v>
      </c>
    </row>
    <row r="6173">
      <c r="A6173" s="76" t="s">
        <v>45</v>
      </c>
      <c r="B6173" s="76" t="s">
        <v>1006</v>
      </c>
      <c r="C6173" s="84">
        <v>1.54</v>
      </c>
      <c r="D6173" s="84">
        <v>0.0</v>
      </c>
      <c r="E6173" s="84">
        <v>0.0</v>
      </c>
      <c r="F6173" s="76" t="s">
        <v>998</v>
      </c>
      <c r="G6173" s="83">
        <v>46115.0</v>
      </c>
      <c r="H6173" s="76" t="s">
        <v>937</v>
      </c>
    </row>
    <row r="6174">
      <c r="A6174" s="76" t="s">
        <v>45</v>
      </c>
      <c r="B6174" s="76" t="s">
        <v>1006</v>
      </c>
      <c r="C6174" s="84">
        <v>3.74</v>
      </c>
      <c r="D6174" s="84">
        <v>0.0</v>
      </c>
      <c r="E6174" s="84">
        <v>0.0</v>
      </c>
      <c r="F6174" s="76" t="s">
        <v>998</v>
      </c>
      <c r="G6174" s="83">
        <v>46115.0</v>
      </c>
      <c r="H6174" s="76" t="s">
        <v>938</v>
      </c>
    </row>
    <row r="6175">
      <c r="A6175" s="76" t="s">
        <v>32</v>
      </c>
      <c r="B6175" s="76" t="s">
        <v>1006</v>
      </c>
      <c r="C6175" s="84">
        <v>10.38</v>
      </c>
      <c r="D6175" s="84">
        <v>5.0</v>
      </c>
      <c r="E6175" s="84">
        <v>2.08</v>
      </c>
      <c r="F6175" s="76" t="s">
        <v>998</v>
      </c>
      <c r="G6175" s="83">
        <v>46115.0</v>
      </c>
      <c r="H6175" s="76" t="s">
        <v>941</v>
      </c>
    </row>
    <row r="6176">
      <c r="A6176" s="76" t="s">
        <v>32</v>
      </c>
      <c r="B6176" s="76" t="s">
        <v>1006</v>
      </c>
      <c r="C6176" s="84">
        <v>27.61</v>
      </c>
      <c r="D6176" s="84">
        <v>0.0</v>
      </c>
      <c r="E6176" s="84">
        <v>0.0</v>
      </c>
      <c r="F6176" s="76" t="s">
        <v>998</v>
      </c>
      <c r="G6176" s="83">
        <v>46115.0</v>
      </c>
      <c r="H6176" s="76" t="s">
        <v>942</v>
      </c>
    </row>
    <row r="6177">
      <c r="A6177" s="76" t="s">
        <v>32</v>
      </c>
      <c r="B6177" s="76" t="s">
        <v>1006</v>
      </c>
      <c r="C6177" s="84">
        <v>22.49</v>
      </c>
      <c r="D6177" s="84">
        <v>0.0</v>
      </c>
      <c r="E6177" s="84">
        <v>0.0</v>
      </c>
      <c r="F6177" s="76" t="s">
        <v>998</v>
      </c>
      <c r="G6177" s="83">
        <v>46115.0</v>
      </c>
      <c r="H6177" s="76" t="s">
        <v>943</v>
      </c>
    </row>
    <row r="6178">
      <c r="A6178" s="76" t="s">
        <v>944</v>
      </c>
      <c r="B6178" s="76" t="s">
        <v>1006</v>
      </c>
      <c r="C6178" s="84">
        <v>9.2</v>
      </c>
      <c r="D6178" s="84">
        <v>0.0</v>
      </c>
      <c r="E6178" s="84">
        <v>0.0</v>
      </c>
      <c r="F6178" s="76" t="s">
        <v>998</v>
      </c>
      <c r="G6178" s="83">
        <v>46115.0</v>
      </c>
      <c r="H6178" s="76" t="s">
        <v>945</v>
      </c>
    </row>
    <row r="6179">
      <c r="A6179" s="76" t="s">
        <v>944</v>
      </c>
      <c r="B6179" s="76" t="s">
        <v>1006</v>
      </c>
      <c r="C6179" s="84">
        <v>13.36</v>
      </c>
      <c r="D6179" s="84">
        <v>0.0</v>
      </c>
      <c r="E6179" s="84">
        <v>0.0</v>
      </c>
      <c r="F6179" s="76" t="s">
        <v>998</v>
      </c>
      <c r="G6179" s="83">
        <v>46115.0</v>
      </c>
      <c r="H6179" s="76" t="s">
        <v>946</v>
      </c>
    </row>
    <row r="6180">
      <c r="A6180" s="76" t="s">
        <v>944</v>
      </c>
      <c r="B6180" s="76" t="s">
        <v>1006</v>
      </c>
      <c r="C6180" s="84">
        <v>3.01</v>
      </c>
      <c r="D6180" s="84">
        <v>1.0</v>
      </c>
      <c r="E6180" s="84">
        <v>3.01</v>
      </c>
      <c r="F6180" s="76" t="s">
        <v>998</v>
      </c>
      <c r="G6180" s="83">
        <v>46115.0</v>
      </c>
      <c r="H6180" s="76" t="s">
        <v>947</v>
      </c>
    </row>
    <row r="6181">
      <c r="A6181" s="76" t="s">
        <v>26</v>
      </c>
      <c r="B6181" s="76" t="s">
        <v>1006</v>
      </c>
      <c r="C6181" s="84">
        <v>13.21</v>
      </c>
      <c r="D6181" s="84">
        <v>0.0</v>
      </c>
      <c r="E6181" s="84">
        <v>0.0</v>
      </c>
      <c r="F6181" s="76" t="s">
        <v>998</v>
      </c>
      <c r="G6181" s="83">
        <v>46115.0</v>
      </c>
      <c r="H6181" s="76" t="s">
        <v>1012</v>
      </c>
    </row>
    <row r="6182">
      <c r="A6182" s="76" t="s">
        <v>26</v>
      </c>
      <c r="B6182" s="76" t="s">
        <v>1006</v>
      </c>
      <c r="C6182" s="84">
        <v>4.24</v>
      </c>
      <c r="D6182" s="84">
        <v>1.0</v>
      </c>
      <c r="E6182" s="84">
        <v>4.24</v>
      </c>
      <c r="F6182" s="76" t="s">
        <v>998</v>
      </c>
      <c r="G6182" s="83">
        <v>46115.0</v>
      </c>
      <c r="H6182" s="76" t="s">
        <v>1013</v>
      </c>
    </row>
    <row r="6183">
      <c r="A6183" s="76" t="s">
        <v>26</v>
      </c>
      <c r="B6183" s="76" t="s">
        <v>1006</v>
      </c>
      <c r="C6183" s="84">
        <v>3.02</v>
      </c>
      <c r="D6183" s="84">
        <v>1.0</v>
      </c>
      <c r="E6183" s="84">
        <v>3.02</v>
      </c>
      <c r="F6183" s="76" t="s">
        <v>998</v>
      </c>
      <c r="G6183" s="83">
        <v>46115.0</v>
      </c>
      <c r="H6183" s="76" t="s">
        <v>1014</v>
      </c>
    </row>
    <row r="6184">
      <c r="A6184" s="76" t="s">
        <v>36</v>
      </c>
      <c r="B6184" s="76" t="s">
        <v>1011</v>
      </c>
      <c r="C6184" s="84">
        <v>3.7</v>
      </c>
      <c r="D6184" s="84">
        <v>0.0</v>
      </c>
      <c r="E6184" s="84">
        <v>0.0</v>
      </c>
      <c r="F6184" s="76" t="s">
        <v>950</v>
      </c>
      <c r="G6184" s="83">
        <v>46115.0</v>
      </c>
      <c r="H6184" s="76" t="s">
        <v>926</v>
      </c>
    </row>
    <row r="6185">
      <c r="A6185" s="76" t="s">
        <v>36</v>
      </c>
      <c r="B6185" s="76" t="s">
        <v>1011</v>
      </c>
      <c r="C6185" s="84">
        <v>5.39</v>
      </c>
      <c r="D6185" s="84">
        <v>0.0</v>
      </c>
      <c r="E6185" s="84">
        <v>0.0</v>
      </c>
      <c r="F6185" s="76" t="s">
        <v>950</v>
      </c>
      <c r="G6185" s="83">
        <v>46115.0</v>
      </c>
      <c r="H6185" s="76" t="s">
        <v>927</v>
      </c>
    </row>
    <row r="6186">
      <c r="A6186" s="76" t="s">
        <v>36</v>
      </c>
      <c r="B6186" s="76" t="s">
        <v>1011</v>
      </c>
      <c r="C6186" s="84">
        <v>1.98</v>
      </c>
      <c r="D6186" s="84">
        <v>0.0</v>
      </c>
      <c r="E6186" s="84">
        <v>0.0</v>
      </c>
      <c r="F6186" s="76" t="s">
        <v>950</v>
      </c>
      <c r="G6186" s="83">
        <v>46115.0</v>
      </c>
      <c r="H6186" s="76" t="s">
        <v>928</v>
      </c>
    </row>
    <row r="6187">
      <c r="A6187" s="76" t="s">
        <v>31</v>
      </c>
      <c r="B6187" s="76" t="s">
        <v>1011</v>
      </c>
      <c r="C6187" s="84">
        <v>3.0</v>
      </c>
      <c r="D6187" s="84">
        <v>0.0</v>
      </c>
      <c r="E6187" s="84">
        <v>0.0</v>
      </c>
      <c r="F6187" s="76" t="s">
        <v>950</v>
      </c>
      <c r="G6187" s="83">
        <v>46115.0</v>
      </c>
      <c r="H6187" s="76" t="s">
        <v>929</v>
      </c>
    </row>
    <row r="6188">
      <c r="A6188" s="76" t="s">
        <v>31</v>
      </c>
      <c r="B6188" s="76" t="s">
        <v>1011</v>
      </c>
      <c r="C6188" s="84">
        <v>13.65</v>
      </c>
      <c r="D6188" s="84">
        <v>0.0</v>
      </c>
      <c r="E6188" s="84">
        <v>0.0</v>
      </c>
      <c r="F6188" s="76" t="s">
        <v>950</v>
      </c>
      <c r="G6188" s="83">
        <v>46115.0</v>
      </c>
      <c r="H6188" s="76" t="s">
        <v>930</v>
      </c>
    </row>
    <row r="6189">
      <c r="A6189" s="76" t="s">
        <v>28</v>
      </c>
      <c r="B6189" s="76" t="s">
        <v>1011</v>
      </c>
      <c r="C6189" s="84">
        <v>2.36</v>
      </c>
      <c r="D6189" s="84">
        <v>0.0</v>
      </c>
      <c r="E6189" s="84">
        <v>0.0</v>
      </c>
      <c r="F6189" s="76" t="s">
        <v>950</v>
      </c>
      <c r="G6189" s="83">
        <v>46115.0</v>
      </c>
      <c r="H6189" s="76" t="s">
        <v>931</v>
      </c>
    </row>
    <row r="6190">
      <c r="A6190" s="76" t="s">
        <v>28</v>
      </c>
      <c r="B6190" s="76" t="s">
        <v>1011</v>
      </c>
      <c r="C6190" s="84">
        <v>1.26</v>
      </c>
      <c r="D6190" s="84">
        <v>0.0</v>
      </c>
      <c r="E6190" s="84">
        <v>0.0</v>
      </c>
      <c r="F6190" s="76" t="s">
        <v>950</v>
      </c>
      <c r="G6190" s="83">
        <v>46115.0</v>
      </c>
      <c r="H6190" s="76" t="s">
        <v>932</v>
      </c>
    </row>
    <row r="6191">
      <c r="A6191" s="76" t="s">
        <v>28</v>
      </c>
      <c r="B6191" s="76" t="s">
        <v>1011</v>
      </c>
      <c r="C6191" s="84">
        <v>3.8</v>
      </c>
      <c r="D6191" s="84">
        <v>0.0</v>
      </c>
      <c r="E6191" s="84">
        <v>0.0</v>
      </c>
      <c r="F6191" s="76" t="s">
        <v>950</v>
      </c>
      <c r="G6191" s="83">
        <v>46115.0</v>
      </c>
      <c r="H6191" s="76" t="s">
        <v>933</v>
      </c>
    </row>
    <row r="6192">
      <c r="A6192" s="76" t="s">
        <v>42</v>
      </c>
      <c r="B6192" s="76" t="s">
        <v>1011</v>
      </c>
      <c r="C6192" s="84">
        <v>0.11</v>
      </c>
      <c r="D6192" s="84">
        <v>0.0</v>
      </c>
      <c r="E6192" s="84">
        <v>0.0</v>
      </c>
      <c r="F6192" s="76" t="s">
        <v>950</v>
      </c>
      <c r="G6192" s="83">
        <v>46115.0</v>
      </c>
      <c r="H6192" s="76" t="s">
        <v>991</v>
      </c>
    </row>
    <row r="6193">
      <c r="A6193" s="76" t="s">
        <v>42</v>
      </c>
      <c r="B6193" s="76" t="s">
        <v>1011</v>
      </c>
      <c r="C6193" s="84">
        <v>5.23</v>
      </c>
      <c r="D6193" s="84">
        <v>0.0</v>
      </c>
      <c r="E6193" s="84">
        <v>0.0</v>
      </c>
      <c r="F6193" s="76" t="s">
        <v>950</v>
      </c>
      <c r="G6193" s="83">
        <v>46115.0</v>
      </c>
      <c r="H6193" s="76" t="s">
        <v>935</v>
      </c>
    </row>
    <row r="6194">
      <c r="A6194" s="76" t="s">
        <v>45</v>
      </c>
      <c r="B6194" s="76" t="s">
        <v>1011</v>
      </c>
      <c r="C6194" s="84">
        <v>4.71</v>
      </c>
      <c r="D6194" s="84">
        <v>0.0</v>
      </c>
      <c r="E6194" s="84">
        <v>0.0</v>
      </c>
      <c r="F6194" s="76" t="s">
        <v>950</v>
      </c>
      <c r="G6194" s="83">
        <v>46115.0</v>
      </c>
      <c r="H6194" s="76" t="s">
        <v>936</v>
      </c>
    </row>
    <row r="6195">
      <c r="A6195" s="76" t="s">
        <v>45</v>
      </c>
      <c r="B6195" s="76" t="s">
        <v>1011</v>
      </c>
      <c r="C6195" s="84">
        <v>0.53</v>
      </c>
      <c r="D6195" s="84">
        <v>0.0</v>
      </c>
      <c r="E6195" s="84">
        <v>0.0</v>
      </c>
      <c r="F6195" s="76" t="s">
        <v>950</v>
      </c>
      <c r="G6195" s="83">
        <v>46115.0</v>
      </c>
      <c r="H6195" s="76" t="s">
        <v>937</v>
      </c>
    </row>
    <row r="6196">
      <c r="A6196" s="76" t="s">
        <v>45</v>
      </c>
      <c r="B6196" s="76" t="s">
        <v>1011</v>
      </c>
      <c r="C6196" s="84">
        <v>4.38</v>
      </c>
      <c r="D6196" s="84">
        <v>0.0</v>
      </c>
      <c r="E6196" s="84">
        <v>0.0</v>
      </c>
      <c r="F6196" s="76" t="s">
        <v>950</v>
      </c>
      <c r="G6196" s="83">
        <v>46115.0</v>
      </c>
      <c r="H6196" s="76" t="s">
        <v>938</v>
      </c>
    </row>
    <row r="6197">
      <c r="A6197" s="76" t="s">
        <v>50</v>
      </c>
      <c r="B6197" s="76" t="s">
        <v>1011</v>
      </c>
      <c r="C6197" s="84">
        <v>0.69</v>
      </c>
      <c r="D6197" s="84">
        <v>0.0</v>
      </c>
      <c r="E6197" s="84">
        <v>0.0</v>
      </c>
      <c r="F6197" s="76" t="s">
        <v>950</v>
      </c>
      <c r="G6197" s="83">
        <v>46115.0</v>
      </c>
      <c r="H6197" s="76" t="s">
        <v>939</v>
      </c>
    </row>
    <row r="6198">
      <c r="A6198" s="76" t="s">
        <v>50</v>
      </c>
      <c r="B6198" s="76" t="s">
        <v>1011</v>
      </c>
      <c r="C6198" s="84">
        <v>5.69</v>
      </c>
      <c r="D6198" s="84">
        <v>0.0</v>
      </c>
      <c r="E6198" s="84">
        <v>0.0</v>
      </c>
      <c r="F6198" s="76" t="s">
        <v>950</v>
      </c>
      <c r="G6198" s="83">
        <v>46115.0</v>
      </c>
      <c r="H6198" s="76" t="s">
        <v>940</v>
      </c>
    </row>
    <row r="6199">
      <c r="A6199" s="76" t="s">
        <v>32</v>
      </c>
      <c r="B6199" s="76" t="s">
        <v>1011</v>
      </c>
      <c r="C6199" s="84">
        <v>3.34</v>
      </c>
      <c r="D6199" s="84">
        <v>0.0</v>
      </c>
      <c r="E6199" s="84">
        <v>0.0</v>
      </c>
      <c r="F6199" s="76" t="s">
        <v>950</v>
      </c>
      <c r="G6199" s="83">
        <v>46115.0</v>
      </c>
      <c r="H6199" s="76" t="s">
        <v>941</v>
      </c>
    </row>
    <row r="6200">
      <c r="A6200" s="76" t="s">
        <v>32</v>
      </c>
      <c r="B6200" s="76" t="s">
        <v>1011</v>
      </c>
      <c r="C6200" s="84">
        <v>10.37</v>
      </c>
      <c r="D6200" s="84">
        <v>0.0</v>
      </c>
      <c r="E6200" s="84">
        <v>0.0</v>
      </c>
      <c r="F6200" s="76" t="s">
        <v>950</v>
      </c>
      <c r="G6200" s="83">
        <v>46115.0</v>
      </c>
      <c r="H6200" s="76" t="s">
        <v>942</v>
      </c>
    </row>
    <row r="6201">
      <c r="A6201" s="76" t="s">
        <v>32</v>
      </c>
      <c r="B6201" s="76" t="s">
        <v>1011</v>
      </c>
      <c r="C6201" s="84">
        <v>7.66</v>
      </c>
      <c r="D6201" s="84">
        <v>0.0</v>
      </c>
      <c r="E6201" s="84">
        <v>0.0</v>
      </c>
      <c r="F6201" s="76" t="s">
        <v>950</v>
      </c>
      <c r="G6201" s="83">
        <v>46115.0</v>
      </c>
      <c r="H6201" s="76" t="s">
        <v>943</v>
      </c>
    </row>
    <row r="6202">
      <c r="A6202" s="76" t="s">
        <v>944</v>
      </c>
      <c r="B6202" s="76" t="s">
        <v>1011</v>
      </c>
      <c r="C6202" s="84">
        <v>3.5</v>
      </c>
      <c r="D6202" s="84">
        <v>0.0</v>
      </c>
      <c r="E6202" s="84">
        <v>0.0</v>
      </c>
      <c r="F6202" s="76" t="s">
        <v>950</v>
      </c>
      <c r="G6202" s="83">
        <v>46115.0</v>
      </c>
      <c r="H6202" s="76" t="s">
        <v>945</v>
      </c>
    </row>
    <row r="6203">
      <c r="A6203" s="76" t="s">
        <v>944</v>
      </c>
      <c r="B6203" s="76" t="s">
        <v>1011</v>
      </c>
      <c r="C6203" s="84">
        <v>3.07</v>
      </c>
      <c r="D6203" s="84">
        <v>0.0</v>
      </c>
      <c r="E6203" s="84">
        <v>0.0</v>
      </c>
      <c r="F6203" s="76" t="s">
        <v>950</v>
      </c>
      <c r="G6203" s="83">
        <v>46115.0</v>
      </c>
      <c r="H6203" s="76" t="s">
        <v>946</v>
      </c>
    </row>
    <row r="6204">
      <c r="A6204" s="76" t="s">
        <v>944</v>
      </c>
      <c r="B6204" s="76" t="s">
        <v>1011</v>
      </c>
      <c r="C6204" s="84">
        <v>1.35</v>
      </c>
      <c r="D6204" s="84">
        <v>0.0</v>
      </c>
      <c r="E6204" s="84">
        <v>0.0</v>
      </c>
      <c r="F6204" s="76" t="s">
        <v>950</v>
      </c>
      <c r="G6204" s="83">
        <v>46115.0</v>
      </c>
      <c r="H6204" s="76" t="s">
        <v>947</v>
      </c>
    </row>
    <row r="6205">
      <c r="A6205" s="76" t="s">
        <v>26</v>
      </c>
      <c r="B6205" s="76" t="s">
        <v>1011</v>
      </c>
      <c r="C6205" s="84">
        <v>7.08</v>
      </c>
      <c r="D6205" s="84">
        <v>0.0</v>
      </c>
      <c r="E6205" s="84">
        <v>0.0</v>
      </c>
      <c r="F6205" s="76" t="s">
        <v>950</v>
      </c>
      <c r="G6205" s="83">
        <v>46115.0</v>
      </c>
      <c r="H6205" s="76" t="s">
        <v>1012</v>
      </c>
    </row>
    <row r="6206">
      <c r="A6206" s="76" t="s">
        <v>26</v>
      </c>
      <c r="B6206" s="76" t="s">
        <v>1011</v>
      </c>
      <c r="C6206" s="84">
        <v>1.69</v>
      </c>
      <c r="D6206" s="84">
        <v>0.0</v>
      </c>
      <c r="E6206" s="84">
        <v>0.0</v>
      </c>
      <c r="F6206" s="76" t="s">
        <v>950</v>
      </c>
      <c r="G6206" s="83">
        <v>46115.0</v>
      </c>
      <c r="H6206" s="76" t="s">
        <v>1013</v>
      </c>
    </row>
    <row r="6207">
      <c r="A6207" s="76" t="s">
        <v>26</v>
      </c>
      <c r="B6207" s="76" t="s">
        <v>1011</v>
      </c>
      <c r="C6207" s="84">
        <v>1.99</v>
      </c>
      <c r="D6207" s="84">
        <v>0.0</v>
      </c>
      <c r="E6207" s="84">
        <v>0.0</v>
      </c>
      <c r="F6207" s="76" t="s">
        <v>950</v>
      </c>
      <c r="G6207" s="83">
        <v>46115.0</v>
      </c>
      <c r="H6207" s="76" t="s">
        <v>1014</v>
      </c>
    </row>
    <row r="6208">
      <c r="A6208" s="76" t="s">
        <v>36</v>
      </c>
      <c r="B6208" s="76" t="s">
        <v>1011</v>
      </c>
      <c r="C6208" s="84">
        <v>1.55</v>
      </c>
      <c r="D6208" s="84">
        <v>0.0</v>
      </c>
      <c r="E6208" s="84">
        <v>0.0</v>
      </c>
      <c r="F6208" s="76" t="s">
        <v>974</v>
      </c>
      <c r="G6208" s="83">
        <v>46115.0</v>
      </c>
      <c r="H6208" s="76" t="s">
        <v>926</v>
      </c>
    </row>
    <row r="6209">
      <c r="A6209" s="76" t="s">
        <v>36</v>
      </c>
      <c r="B6209" s="76" t="s">
        <v>1011</v>
      </c>
      <c r="C6209" s="84">
        <v>2.89</v>
      </c>
      <c r="D6209" s="84">
        <v>0.0</v>
      </c>
      <c r="E6209" s="84">
        <v>0.0</v>
      </c>
      <c r="F6209" s="76" t="s">
        <v>974</v>
      </c>
      <c r="G6209" s="83">
        <v>46115.0</v>
      </c>
      <c r="H6209" s="76" t="s">
        <v>927</v>
      </c>
    </row>
    <row r="6210">
      <c r="A6210" s="76" t="s">
        <v>36</v>
      </c>
      <c r="B6210" s="76" t="s">
        <v>1011</v>
      </c>
      <c r="C6210" s="84">
        <v>1.35</v>
      </c>
      <c r="D6210" s="84">
        <v>0.0</v>
      </c>
      <c r="E6210" s="84">
        <v>0.0</v>
      </c>
      <c r="F6210" s="76" t="s">
        <v>974</v>
      </c>
      <c r="G6210" s="83">
        <v>46115.0</v>
      </c>
      <c r="H6210" s="76" t="s">
        <v>928</v>
      </c>
    </row>
    <row r="6211">
      <c r="A6211" s="76" t="s">
        <v>31</v>
      </c>
      <c r="B6211" s="76" t="s">
        <v>1011</v>
      </c>
      <c r="C6211" s="84">
        <v>1.59</v>
      </c>
      <c r="D6211" s="84">
        <v>0.0</v>
      </c>
      <c r="E6211" s="84">
        <v>0.0</v>
      </c>
      <c r="F6211" s="76" t="s">
        <v>974</v>
      </c>
      <c r="G6211" s="83">
        <v>46115.0</v>
      </c>
      <c r="H6211" s="76" t="s">
        <v>929</v>
      </c>
    </row>
    <row r="6212">
      <c r="A6212" s="76" t="s">
        <v>31</v>
      </c>
      <c r="B6212" s="76" t="s">
        <v>1011</v>
      </c>
      <c r="C6212" s="84">
        <v>6.98</v>
      </c>
      <c r="D6212" s="84">
        <v>0.0</v>
      </c>
      <c r="E6212" s="84">
        <v>0.0</v>
      </c>
      <c r="F6212" s="76" t="s">
        <v>974</v>
      </c>
      <c r="G6212" s="83">
        <v>46115.0</v>
      </c>
      <c r="H6212" s="76" t="s">
        <v>930</v>
      </c>
    </row>
    <row r="6213">
      <c r="A6213" s="76" t="s">
        <v>28</v>
      </c>
      <c r="B6213" s="76" t="s">
        <v>1011</v>
      </c>
      <c r="C6213" s="84">
        <v>1.16</v>
      </c>
      <c r="D6213" s="84">
        <v>0.0</v>
      </c>
      <c r="E6213" s="84">
        <v>0.0</v>
      </c>
      <c r="F6213" s="76" t="s">
        <v>974</v>
      </c>
      <c r="G6213" s="83">
        <v>46115.0</v>
      </c>
      <c r="H6213" s="76" t="s">
        <v>931</v>
      </c>
    </row>
    <row r="6214">
      <c r="A6214" s="76" t="s">
        <v>28</v>
      </c>
      <c r="B6214" s="76" t="s">
        <v>1011</v>
      </c>
      <c r="C6214" s="84">
        <v>0.82</v>
      </c>
      <c r="D6214" s="84">
        <v>0.0</v>
      </c>
      <c r="E6214" s="84">
        <v>0.0</v>
      </c>
      <c r="F6214" s="76" t="s">
        <v>974</v>
      </c>
      <c r="G6214" s="83">
        <v>46115.0</v>
      </c>
      <c r="H6214" s="76" t="s">
        <v>932</v>
      </c>
    </row>
    <row r="6215">
      <c r="A6215" s="76" t="s">
        <v>28</v>
      </c>
      <c r="B6215" s="76" t="s">
        <v>1011</v>
      </c>
      <c r="C6215" s="84">
        <v>2.04</v>
      </c>
      <c r="D6215" s="84">
        <v>0.0</v>
      </c>
      <c r="E6215" s="84">
        <v>0.0</v>
      </c>
      <c r="F6215" s="76" t="s">
        <v>974</v>
      </c>
      <c r="G6215" s="83">
        <v>46115.0</v>
      </c>
      <c r="H6215" s="76" t="s">
        <v>933</v>
      </c>
    </row>
    <row r="6216">
      <c r="A6216" s="76" t="s">
        <v>42</v>
      </c>
      <c r="B6216" s="76" t="s">
        <v>1011</v>
      </c>
      <c r="C6216" s="84">
        <v>0.07</v>
      </c>
      <c r="D6216" s="84">
        <v>0.0</v>
      </c>
      <c r="E6216" s="84">
        <v>0.0</v>
      </c>
      <c r="F6216" s="76" t="s">
        <v>974</v>
      </c>
      <c r="G6216" s="83">
        <v>46115.0</v>
      </c>
      <c r="H6216" s="76" t="s">
        <v>991</v>
      </c>
    </row>
    <row r="6217">
      <c r="A6217" s="76" t="s">
        <v>42</v>
      </c>
      <c r="B6217" s="76" t="s">
        <v>1011</v>
      </c>
      <c r="C6217" s="84">
        <v>3.56</v>
      </c>
      <c r="D6217" s="84">
        <v>0.0</v>
      </c>
      <c r="E6217" s="84">
        <v>0.0</v>
      </c>
      <c r="F6217" s="76" t="s">
        <v>974</v>
      </c>
      <c r="G6217" s="83">
        <v>46115.0</v>
      </c>
      <c r="H6217" s="76" t="s">
        <v>935</v>
      </c>
    </row>
    <row r="6218">
      <c r="A6218" s="76" t="s">
        <v>45</v>
      </c>
      <c r="B6218" s="76" t="s">
        <v>1011</v>
      </c>
      <c r="C6218" s="84">
        <v>2.37</v>
      </c>
      <c r="D6218" s="84">
        <v>0.0</v>
      </c>
      <c r="E6218" s="84">
        <v>0.0</v>
      </c>
      <c r="F6218" s="76" t="s">
        <v>974</v>
      </c>
      <c r="G6218" s="83">
        <v>46115.0</v>
      </c>
      <c r="H6218" s="76" t="s">
        <v>936</v>
      </c>
    </row>
    <row r="6219">
      <c r="A6219" s="76" t="s">
        <v>45</v>
      </c>
      <c r="B6219" s="76" t="s">
        <v>1011</v>
      </c>
      <c r="C6219" s="84">
        <v>0.26</v>
      </c>
      <c r="D6219" s="84">
        <v>0.0</v>
      </c>
      <c r="E6219" s="84">
        <v>0.0</v>
      </c>
      <c r="F6219" s="76" t="s">
        <v>974</v>
      </c>
      <c r="G6219" s="83">
        <v>46115.0</v>
      </c>
      <c r="H6219" s="76" t="s">
        <v>937</v>
      </c>
    </row>
    <row r="6220">
      <c r="A6220" s="76" t="s">
        <v>45</v>
      </c>
      <c r="B6220" s="76" t="s">
        <v>1011</v>
      </c>
      <c r="C6220" s="84">
        <v>2.38</v>
      </c>
      <c r="D6220" s="84">
        <v>0.0</v>
      </c>
      <c r="E6220" s="84">
        <v>0.0</v>
      </c>
      <c r="F6220" s="76" t="s">
        <v>974</v>
      </c>
      <c r="G6220" s="83">
        <v>46115.0</v>
      </c>
      <c r="H6220" s="76" t="s">
        <v>938</v>
      </c>
    </row>
    <row r="6221">
      <c r="A6221" s="76" t="s">
        <v>50</v>
      </c>
      <c r="B6221" s="76" t="s">
        <v>1011</v>
      </c>
      <c r="C6221" s="84">
        <v>0.32</v>
      </c>
      <c r="D6221" s="84">
        <v>0.0</v>
      </c>
      <c r="E6221" s="84">
        <v>0.0</v>
      </c>
      <c r="F6221" s="76" t="s">
        <v>974</v>
      </c>
      <c r="G6221" s="83">
        <v>46115.0</v>
      </c>
      <c r="H6221" s="76" t="s">
        <v>939</v>
      </c>
    </row>
    <row r="6222">
      <c r="A6222" s="76" t="s">
        <v>50</v>
      </c>
      <c r="B6222" s="76" t="s">
        <v>1011</v>
      </c>
      <c r="C6222" s="84">
        <v>2.94</v>
      </c>
      <c r="D6222" s="84">
        <v>0.0</v>
      </c>
      <c r="E6222" s="84">
        <v>0.0</v>
      </c>
      <c r="F6222" s="76" t="s">
        <v>974</v>
      </c>
      <c r="G6222" s="83">
        <v>46115.0</v>
      </c>
      <c r="H6222" s="76" t="s">
        <v>940</v>
      </c>
    </row>
    <row r="6223">
      <c r="A6223" s="76" t="s">
        <v>32</v>
      </c>
      <c r="B6223" s="76" t="s">
        <v>1011</v>
      </c>
      <c r="C6223" s="84">
        <v>1.73</v>
      </c>
      <c r="D6223" s="84">
        <v>0.0</v>
      </c>
      <c r="E6223" s="84">
        <v>0.0</v>
      </c>
      <c r="F6223" s="76" t="s">
        <v>974</v>
      </c>
      <c r="G6223" s="83">
        <v>46115.0</v>
      </c>
      <c r="H6223" s="76" t="s">
        <v>941</v>
      </c>
    </row>
    <row r="6224">
      <c r="A6224" s="76" t="s">
        <v>32</v>
      </c>
      <c r="B6224" s="76" t="s">
        <v>1011</v>
      </c>
      <c r="C6224" s="84">
        <v>5.04</v>
      </c>
      <c r="D6224" s="84">
        <v>0.0</v>
      </c>
      <c r="E6224" s="84">
        <v>0.0</v>
      </c>
      <c r="F6224" s="76" t="s">
        <v>974</v>
      </c>
      <c r="G6224" s="83">
        <v>46115.0</v>
      </c>
      <c r="H6224" s="76" t="s">
        <v>942</v>
      </c>
    </row>
    <row r="6225">
      <c r="A6225" s="76" t="s">
        <v>32</v>
      </c>
      <c r="B6225" s="76" t="s">
        <v>1011</v>
      </c>
      <c r="C6225" s="84">
        <v>5.07</v>
      </c>
      <c r="D6225" s="84">
        <v>0.0</v>
      </c>
      <c r="E6225" s="84">
        <v>0.0</v>
      </c>
      <c r="F6225" s="76" t="s">
        <v>974</v>
      </c>
      <c r="G6225" s="83">
        <v>46115.0</v>
      </c>
      <c r="H6225" s="76" t="s">
        <v>943</v>
      </c>
    </row>
    <row r="6226">
      <c r="A6226" s="76" t="s">
        <v>944</v>
      </c>
      <c r="B6226" s="76" t="s">
        <v>1011</v>
      </c>
      <c r="C6226" s="84">
        <v>1.92</v>
      </c>
      <c r="D6226" s="84">
        <v>0.0</v>
      </c>
      <c r="E6226" s="84">
        <v>0.0</v>
      </c>
      <c r="F6226" s="76" t="s">
        <v>974</v>
      </c>
      <c r="G6226" s="83">
        <v>46115.0</v>
      </c>
      <c r="H6226" s="76" t="s">
        <v>945</v>
      </c>
    </row>
    <row r="6227">
      <c r="A6227" s="76" t="s">
        <v>944</v>
      </c>
      <c r="B6227" s="76" t="s">
        <v>1011</v>
      </c>
      <c r="C6227" s="84">
        <v>1.73</v>
      </c>
      <c r="D6227" s="84">
        <v>0.0</v>
      </c>
      <c r="E6227" s="84">
        <v>0.0</v>
      </c>
      <c r="F6227" s="76" t="s">
        <v>974</v>
      </c>
      <c r="G6227" s="83">
        <v>46115.0</v>
      </c>
      <c r="H6227" s="76" t="s">
        <v>946</v>
      </c>
    </row>
    <row r="6228">
      <c r="A6228" s="76" t="s">
        <v>944</v>
      </c>
      <c r="B6228" s="76" t="s">
        <v>1011</v>
      </c>
      <c r="C6228" s="84">
        <v>0.86</v>
      </c>
      <c r="D6228" s="84">
        <v>0.0</v>
      </c>
      <c r="E6228" s="84">
        <v>0.0</v>
      </c>
      <c r="F6228" s="76" t="s">
        <v>974</v>
      </c>
      <c r="G6228" s="83">
        <v>46115.0</v>
      </c>
      <c r="H6228" s="76" t="s">
        <v>947</v>
      </c>
    </row>
    <row r="6229">
      <c r="A6229" s="76" t="s">
        <v>26</v>
      </c>
      <c r="B6229" s="76" t="s">
        <v>1011</v>
      </c>
      <c r="C6229" s="84">
        <v>3.93</v>
      </c>
      <c r="D6229" s="84">
        <v>0.0</v>
      </c>
      <c r="E6229" s="84">
        <v>0.0</v>
      </c>
      <c r="F6229" s="76" t="s">
        <v>974</v>
      </c>
      <c r="G6229" s="83">
        <v>46115.0</v>
      </c>
      <c r="H6229" s="76" t="s">
        <v>1012</v>
      </c>
    </row>
    <row r="6230">
      <c r="A6230" s="76" t="s">
        <v>26</v>
      </c>
      <c r="B6230" s="76" t="s">
        <v>1011</v>
      </c>
      <c r="C6230" s="84">
        <v>0.81</v>
      </c>
      <c r="D6230" s="84">
        <v>0.0</v>
      </c>
      <c r="E6230" s="84">
        <v>0.0</v>
      </c>
      <c r="F6230" s="76" t="s">
        <v>974</v>
      </c>
      <c r="G6230" s="83">
        <v>46115.0</v>
      </c>
      <c r="H6230" s="76" t="s">
        <v>1013</v>
      </c>
    </row>
    <row r="6231">
      <c r="A6231" s="76" t="s">
        <v>26</v>
      </c>
      <c r="B6231" s="76" t="s">
        <v>1011</v>
      </c>
      <c r="C6231" s="84">
        <v>1.02</v>
      </c>
      <c r="D6231" s="84">
        <v>0.0</v>
      </c>
      <c r="E6231" s="84">
        <v>0.0</v>
      </c>
      <c r="F6231" s="76" t="s">
        <v>974</v>
      </c>
      <c r="G6231" s="83">
        <v>46115.0</v>
      </c>
      <c r="H6231" s="76" t="s">
        <v>1014</v>
      </c>
    </row>
    <row r="6232">
      <c r="A6232" s="76" t="s">
        <v>36</v>
      </c>
      <c r="B6232" s="76" t="s">
        <v>1011</v>
      </c>
      <c r="C6232" s="84">
        <v>3.18</v>
      </c>
      <c r="D6232" s="84">
        <v>0.0</v>
      </c>
      <c r="E6232" s="84">
        <v>0.0</v>
      </c>
      <c r="F6232" s="76" t="s">
        <v>975</v>
      </c>
      <c r="G6232" s="83">
        <v>46115.0</v>
      </c>
      <c r="H6232" s="76" t="s">
        <v>926</v>
      </c>
    </row>
    <row r="6233">
      <c r="A6233" s="76" t="s">
        <v>36</v>
      </c>
      <c r="B6233" s="76" t="s">
        <v>1011</v>
      </c>
      <c r="C6233" s="84">
        <v>5.35</v>
      </c>
      <c r="D6233" s="84">
        <v>0.0</v>
      </c>
      <c r="E6233" s="84">
        <v>0.0</v>
      </c>
      <c r="F6233" s="76" t="s">
        <v>975</v>
      </c>
      <c r="G6233" s="83">
        <v>46115.0</v>
      </c>
      <c r="H6233" s="76" t="s">
        <v>927</v>
      </c>
    </row>
    <row r="6234">
      <c r="A6234" s="76" t="s">
        <v>36</v>
      </c>
      <c r="B6234" s="76" t="s">
        <v>1011</v>
      </c>
      <c r="C6234" s="84">
        <v>2.03</v>
      </c>
      <c r="D6234" s="84">
        <v>0.0</v>
      </c>
      <c r="E6234" s="84">
        <v>0.0</v>
      </c>
      <c r="F6234" s="76" t="s">
        <v>975</v>
      </c>
      <c r="G6234" s="83">
        <v>46115.0</v>
      </c>
      <c r="H6234" s="76" t="s">
        <v>928</v>
      </c>
    </row>
    <row r="6235">
      <c r="A6235" s="76" t="s">
        <v>31</v>
      </c>
      <c r="B6235" s="76" t="s">
        <v>1011</v>
      </c>
      <c r="C6235" s="84">
        <v>2.2</v>
      </c>
      <c r="D6235" s="84">
        <v>0.0</v>
      </c>
      <c r="E6235" s="84">
        <v>0.0</v>
      </c>
      <c r="F6235" s="76" t="s">
        <v>975</v>
      </c>
      <c r="G6235" s="83">
        <v>46115.0</v>
      </c>
      <c r="H6235" s="76" t="s">
        <v>929</v>
      </c>
    </row>
    <row r="6236">
      <c r="A6236" s="76" t="s">
        <v>31</v>
      </c>
      <c r="B6236" s="76" t="s">
        <v>1011</v>
      </c>
      <c r="C6236" s="84">
        <v>14.18</v>
      </c>
      <c r="D6236" s="84">
        <v>0.0</v>
      </c>
      <c r="E6236" s="84">
        <v>0.0</v>
      </c>
      <c r="F6236" s="76" t="s">
        <v>975</v>
      </c>
      <c r="G6236" s="83">
        <v>46115.0</v>
      </c>
      <c r="H6236" s="76" t="s">
        <v>930</v>
      </c>
    </row>
    <row r="6237">
      <c r="A6237" s="76" t="s">
        <v>28</v>
      </c>
      <c r="B6237" s="76" t="s">
        <v>1011</v>
      </c>
      <c r="C6237" s="84">
        <v>2.73</v>
      </c>
      <c r="D6237" s="84">
        <v>0.0</v>
      </c>
      <c r="E6237" s="84">
        <v>0.0</v>
      </c>
      <c r="F6237" s="76" t="s">
        <v>975</v>
      </c>
      <c r="G6237" s="83">
        <v>46115.0</v>
      </c>
      <c r="H6237" s="76" t="s">
        <v>931</v>
      </c>
    </row>
    <row r="6238">
      <c r="A6238" s="76" t="s">
        <v>28</v>
      </c>
      <c r="B6238" s="76" t="s">
        <v>1011</v>
      </c>
      <c r="C6238" s="84">
        <v>1.03</v>
      </c>
      <c r="D6238" s="84">
        <v>0.0</v>
      </c>
      <c r="E6238" s="84">
        <v>0.0</v>
      </c>
      <c r="F6238" s="76" t="s">
        <v>975</v>
      </c>
      <c r="G6238" s="83">
        <v>46115.0</v>
      </c>
      <c r="H6238" s="76" t="s">
        <v>932</v>
      </c>
    </row>
    <row r="6239">
      <c r="A6239" s="76" t="s">
        <v>28</v>
      </c>
      <c r="B6239" s="76" t="s">
        <v>1011</v>
      </c>
      <c r="C6239" s="84">
        <v>3.45</v>
      </c>
      <c r="D6239" s="84">
        <v>0.0</v>
      </c>
      <c r="E6239" s="84">
        <v>0.0</v>
      </c>
      <c r="F6239" s="76" t="s">
        <v>975</v>
      </c>
      <c r="G6239" s="83">
        <v>46115.0</v>
      </c>
      <c r="H6239" s="76" t="s">
        <v>933</v>
      </c>
    </row>
    <row r="6240">
      <c r="A6240" s="76" t="s">
        <v>42</v>
      </c>
      <c r="B6240" s="76" t="s">
        <v>1011</v>
      </c>
      <c r="C6240" s="84">
        <v>0.16</v>
      </c>
      <c r="D6240" s="84">
        <v>0.0</v>
      </c>
      <c r="E6240" s="84">
        <v>0.0</v>
      </c>
      <c r="F6240" s="76" t="s">
        <v>975</v>
      </c>
      <c r="G6240" s="83">
        <v>46115.0</v>
      </c>
      <c r="H6240" s="76" t="s">
        <v>991</v>
      </c>
    </row>
    <row r="6241">
      <c r="A6241" s="76" t="s">
        <v>42</v>
      </c>
      <c r="B6241" s="76" t="s">
        <v>1011</v>
      </c>
      <c r="C6241" s="84">
        <v>7.32</v>
      </c>
      <c r="D6241" s="84">
        <v>0.0</v>
      </c>
      <c r="E6241" s="84">
        <v>0.0</v>
      </c>
      <c r="F6241" s="76" t="s">
        <v>975</v>
      </c>
      <c r="G6241" s="83">
        <v>46115.0</v>
      </c>
      <c r="H6241" s="76" t="s">
        <v>935</v>
      </c>
    </row>
    <row r="6242">
      <c r="A6242" s="76" t="s">
        <v>45</v>
      </c>
      <c r="B6242" s="76" t="s">
        <v>1011</v>
      </c>
      <c r="C6242" s="84">
        <v>3.96</v>
      </c>
      <c r="D6242" s="84">
        <v>0.0</v>
      </c>
      <c r="E6242" s="84">
        <v>0.0</v>
      </c>
      <c r="F6242" s="76" t="s">
        <v>975</v>
      </c>
      <c r="G6242" s="83">
        <v>46115.0</v>
      </c>
      <c r="H6242" s="76" t="s">
        <v>936</v>
      </c>
    </row>
    <row r="6243">
      <c r="A6243" s="76" t="s">
        <v>45</v>
      </c>
      <c r="B6243" s="76" t="s">
        <v>1011</v>
      </c>
      <c r="C6243" s="84">
        <v>0.44</v>
      </c>
      <c r="D6243" s="84">
        <v>0.0</v>
      </c>
      <c r="E6243" s="84">
        <v>0.0</v>
      </c>
      <c r="F6243" s="76" t="s">
        <v>975</v>
      </c>
      <c r="G6243" s="83">
        <v>46115.0</v>
      </c>
      <c r="H6243" s="76" t="s">
        <v>937</v>
      </c>
    </row>
    <row r="6244">
      <c r="A6244" s="76" t="s">
        <v>45</v>
      </c>
      <c r="B6244" s="76" t="s">
        <v>1011</v>
      </c>
      <c r="C6244" s="84">
        <v>3.33</v>
      </c>
      <c r="D6244" s="84">
        <v>0.0</v>
      </c>
      <c r="E6244" s="84">
        <v>0.0</v>
      </c>
      <c r="F6244" s="76" t="s">
        <v>975</v>
      </c>
      <c r="G6244" s="83">
        <v>46115.0</v>
      </c>
      <c r="H6244" s="76" t="s">
        <v>938</v>
      </c>
    </row>
    <row r="6245">
      <c r="A6245" s="76" t="s">
        <v>50</v>
      </c>
      <c r="B6245" s="76" t="s">
        <v>1011</v>
      </c>
      <c r="C6245" s="84">
        <v>0.83</v>
      </c>
      <c r="D6245" s="84">
        <v>0.0</v>
      </c>
      <c r="E6245" s="84">
        <v>0.0</v>
      </c>
      <c r="F6245" s="76" t="s">
        <v>975</v>
      </c>
      <c r="G6245" s="83">
        <v>46115.0</v>
      </c>
      <c r="H6245" s="76" t="s">
        <v>939</v>
      </c>
    </row>
    <row r="6246">
      <c r="A6246" s="76" t="s">
        <v>50</v>
      </c>
      <c r="B6246" s="76" t="s">
        <v>1011</v>
      </c>
      <c r="C6246" s="84">
        <v>8.04</v>
      </c>
      <c r="D6246" s="84">
        <v>0.0</v>
      </c>
      <c r="E6246" s="84">
        <v>0.0</v>
      </c>
      <c r="F6246" s="76" t="s">
        <v>975</v>
      </c>
      <c r="G6246" s="83">
        <v>46115.0</v>
      </c>
      <c r="H6246" s="76" t="s">
        <v>940</v>
      </c>
    </row>
    <row r="6247">
      <c r="A6247" s="76" t="s">
        <v>32</v>
      </c>
      <c r="B6247" s="76" t="s">
        <v>1011</v>
      </c>
      <c r="C6247" s="84">
        <v>1.73</v>
      </c>
      <c r="D6247" s="84">
        <v>0.0</v>
      </c>
      <c r="E6247" s="84">
        <v>0.0</v>
      </c>
      <c r="F6247" s="76" t="s">
        <v>975</v>
      </c>
      <c r="G6247" s="83">
        <v>46115.0</v>
      </c>
      <c r="H6247" s="76" t="s">
        <v>941</v>
      </c>
    </row>
    <row r="6248">
      <c r="A6248" s="76" t="s">
        <v>32</v>
      </c>
      <c r="B6248" s="76" t="s">
        <v>1011</v>
      </c>
      <c r="C6248" s="84">
        <v>4.27</v>
      </c>
      <c r="D6248" s="84">
        <v>0.0</v>
      </c>
      <c r="E6248" s="84">
        <v>0.0</v>
      </c>
      <c r="F6248" s="76" t="s">
        <v>975</v>
      </c>
      <c r="G6248" s="83">
        <v>46115.0</v>
      </c>
      <c r="H6248" s="76" t="s">
        <v>942</v>
      </c>
    </row>
    <row r="6249">
      <c r="A6249" s="76" t="s">
        <v>32</v>
      </c>
      <c r="B6249" s="76" t="s">
        <v>1011</v>
      </c>
      <c r="C6249" s="84">
        <v>5.91</v>
      </c>
      <c r="D6249" s="84">
        <v>0.0</v>
      </c>
      <c r="E6249" s="84">
        <v>0.0</v>
      </c>
      <c r="F6249" s="76" t="s">
        <v>975</v>
      </c>
      <c r="G6249" s="83">
        <v>46115.0</v>
      </c>
      <c r="H6249" s="76" t="s">
        <v>943</v>
      </c>
    </row>
    <row r="6250">
      <c r="A6250" s="76" t="s">
        <v>944</v>
      </c>
      <c r="B6250" s="76" t="s">
        <v>1011</v>
      </c>
      <c r="C6250" s="84">
        <v>4.04</v>
      </c>
      <c r="D6250" s="84">
        <v>0.0</v>
      </c>
      <c r="E6250" s="84">
        <v>0.0</v>
      </c>
      <c r="F6250" s="76" t="s">
        <v>975</v>
      </c>
      <c r="G6250" s="83">
        <v>46115.0</v>
      </c>
      <c r="H6250" s="76" t="s">
        <v>945</v>
      </c>
    </row>
    <row r="6251">
      <c r="A6251" s="76" t="s">
        <v>944</v>
      </c>
      <c r="B6251" s="76" t="s">
        <v>1011</v>
      </c>
      <c r="C6251" s="84">
        <v>2.98</v>
      </c>
      <c r="D6251" s="84">
        <v>0.0</v>
      </c>
      <c r="E6251" s="84">
        <v>0.0</v>
      </c>
      <c r="F6251" s="76" t="s">
        <v>975</v>
      </c>
      <c r="G6251" s="83">
        <v>46115.0</v>
      </c>
      <c r="H6251" s="76" t="s">
        <v>946</v>
      </c>
    </row>
    <row r="6252">
      <c r="A6252" s="76" t="s">
        <v>944</v>
      </c>
      <c r="B6252" s="76" t="s">
        <v>1011</v>
      </c>
      <c r="C6252" s="84">
        <v>1.68</v>
      </c>
      <c r="D6252" s="84">
        <v>0.0</v>
      </c>
      <c r="E6252" s="84">
        <v>0.0</v>
      </c>
      <c r="F6252" s="76" t="s">
        <v>975</v>
      </c>
      <c r="G6252" s="83">
        <v>46115.0</v>
      </c>
      <c r="H6252" s="76" t="s">
        <v>947</v>
      </c>
    </row>
    <row r="6253">
      <c r="A6253" s="76" t="s">
        <v>26</v>
      </c>
      <c r="B6253" s="76" t="s">
        <v>1011</v>
      </c>
      <c r="C6253" s="84">
        <v>7.73</v>
      </c>
      <c r="D6253" s="84">
        <v>0.0</v>
      </c>
      <c r="E6253" s="84">
        <v>0.0</v>
      </c>
      <c r="F6253" s="76" t="s">
        <v>975</v>
      </c>
      <c r="G6253" s="83">
        <v>46115.0</v>
      </c>
      <c r="H6253" s="76" t="s">
        <v>1012</v>
      </c>
    </row>
    <row r="6254">
      <c r="A6254" s="76" t="s">
        <v>26</v>
      </c>
      <c r="B6254" s="76" t="s">
        <v>1011</v>
      </c>
      <c r="C6254" s="84">
        <v>2.02</v>
      </c>
      <c r="D6254" s="84">
        <v>0.0</v>
      </c>
      <c r="E6254" s="84">
        <v>0.0</v>
      </c>
      <c r="F6254" s="76" t="s">
        <v>975</v>
      </c>
      <c r="G6254" s="83">
        <v>46115.0</v>
      </c>
      <c r="H6254" s="76" t="s">
        <v>1013</v>
      </c>
    </row>
    <row r="6255">
      <c r="A6255" s="76" t="s">
        <v>26</v>
      </c>
      <c r="B6255" s="76" t="s">
        <v>1011</v>
      </c>
      <c r="C6255" s="84">
        <v>1.56</v>
      </c>
      <c r="D6255" s="84">
        <v>0.0</v>
      </c>
      <c r="E6255" s="84">
        <v>0.0</v>
      </c>
      <c r="F6255" s="76" t="s">
        <v>975</v>
      </c>
      <c r="G6255" s="83">
        <v>46115.0</v>
      </c>
      <c r="H6255" s="76" t="s">
        <v>1014</v>
      </c>
    </row>
    <row r="6256">
      <c r="A6256" s="76" t="s">
        <v>32</v>
      </c>
      <c r="B6256" s="76" t="s">
        <v>1032</v>
      </c>
      <c r="C6256" s="84">
        <v>0.54</v>
      </c>
      <c r="D6256" s="84">
        <v>0.0</v>
      </c>
      <c r="E6256" s="84">
        <v>0.0</v>
      </c>
      <c r="F6256" s="76" t="s">
        <v>996</v>
      </c>
      <c r="G6256" s="83">
        <v>46115.0</v>
      </c>
      <c r="H6256" s="76" t="s">
        <v>941</v>
      </c>
    </row>
    <row r="6257">
      <c r="A6257" s="76" t="s">
        <v>32</v>
      </c>
      <c r="B6257" s="76" t="s">
        <v>1032</v>
      </c>
      <c r="C6257" s="84">
        <v>0.97</v>
      </c>
      <c r="D6257" s="84">
        <v>0.0</v>
      </c>
      <c r="E6257" s="84">
        <v>0.0</v>
      </c>
      <c r="F6257" s="76" t="s">
        <v>996</v>
      </c>
      <c r="G6257" s="83">
        <v>46115.0</v>
      </c>
      <c r="H6257" s="76" t="s">
        <v>942</v>
      </c>
    </row>
    <row r="6258">
      <c r="A6258" s="76" t="s">
        <v>32</v>
      </c>
      <c r="B6258" s="76" t="s">
        <v>1032</v>
      </c>
      <c r="C6258" s="84">
        <v>0.52</v>
      </c>
      <c r="D6258" s="84">
        <v>0.0</v>
      </c>
      <c r="E6258" s="84">
        <v>0.0</v>
      </c>
      <c r="F6258" s="76" t="s">
        <v>996</v>
      </c>
      <c r="G6258" s="83">
        <v>46115.0</v>
      </c>
      <c r="H6258" s="76" t="s">
        <v>943</v>
      </c>
    </row>
    <row r="6259">
      <c r="A6259" s="76" t="s">
        <v>28</v>
      </c>
      <c r="B6259" s="76" t="s">
        <v>1032</v>
      </c>
      <c r="C6259" s="84">
        <v>0.28</v>
      </c>
      <c r="D6259" s="84">
        <v>0.0</v>
      </c>
      <c r="E6259" s="84">
        <v>0.0</v>
      </c>
      <c r="F6259" s="76" t="s">
        <v>996</v>
      </c>
      <c r="G6259" s="83">
        <v>46115.0</v>
      </c>
      <c r="H6259" s="76" t="s">
        <v>931</v>
      </c>
    </row>
    <row r="6260">
      <c r="A6260" s="76" t="s">
        <v>28</v>
      </c>
      <c r="B6260" s="76" t="s">
        <v>1032</v>
      </c>
      <c r="C6260" s="84">
        <v>0.11</v>
      </c>
      <c r="D6260" s="84">
        <v>0.0</v>
      </c>
      <c r="E6260" s="84">
        <v>0.0</v>
      </c>
      <c r="F6260" s="76" t="s">
        <v>996</v>
      </c>
      <c r="G6260" s="83">
        <v>46115.0</v>
      </c>
      <c r="H6260" s="76" t="s">
        <v>932</v>
      </c>
    </row>
    <row r="6261">
      <c r="A6261" s="76" t="s">
        <v>28</v>
      </c>
      <c r="B6261" s="76" t="s">
        <v>1032</v>
      </c>
      <c r="C6261" s="84">
        <v>0.66</v>
      </c>
      <c r="D6261" s="84">
        <v>0.0</v>
      </c>
      <c r="E6261" s="84">
        <v>0.0</v>
      </c>
      <c r="F6261" s="76" t="s">
        <v>996</v>
      </c>
      <c r="G6261" s="83">
        <v>46115.0</v>
      </c>
      <c r="H6261" s="76" t="s">
        <v>933</v>
      </c>
    </row>
    <row r="6262">
      <c r="A6262" s="76" t="s">
        <v>36</v>
      </c>
      <c r="B6262" s="76" t="s">
        <v>1032</v>
      </c>
      <c r="C6262" s="84">
        <v>0.25</v>
      </c>
      <c r="D6262" s="84">
        <v>0.0</v>
      </c>
      <c r="E6262" s="84">
        <v>0.0</v>
      </c>
      <c r="F6262" s="76" t="s">
        <v>996</v>
      </c>
      <c r="G6262" s="83">
        <v>46115.0</v>
      </c>
      <c r="H6262" s="76" t="s">
        <v>926</v>
      </c>
    </row>
    <row r="6263">
      <c r="A6263" s="76" t="s">
        <v>36</v>
      </c>
      <c r="B6263" s="76" t="s">
        <v>1032</v>
      </c>
      <c r="C6263" s="84">
        <v>0.7</v>
      </c>
      <c r="D6263" s="84">
        <v>0.0</v>
      </c>
      <c r="E6263" s="84">
        <v>0.0</v>
      </c>
      <c r="F6263" s="76" t="s">
        <v>996</v>
      </c>
      <c r="G6263" s="83">
        <v>46115.0</v>
      </c>
      <c r="H6263" s="76" t="s">
        <v>927</v>
      </c>
    </row>
    <row r="6264">
      <c r="A6264" s="76" t="s">
        <v>36</v>
      </c>
      <c r="B6264" s="76" t="s">
        <v>1032</v>
      </c>
      <c r="C6264" s="84">
        <v>0.15</v>
      </c>
      <c r="D6264" s="84">
        <v>0.0</v>
      </c>
      <c r="E6264" s="84">
        <v>0.0</v>
      </c>
      <c r="F6264" s="76" t="s">
        <v>996</v>
      </c>
      <c r="G6264" s="83">
        <v>46115.0</v>
      </c>
      <c r="H6264" s="76" t="s">
        <v>928</v>
      </c>
    </row>
    <row r="6265">
      <c r="A6265" s="76" t="s">
        <v>26</v>
      </c>
      <c r="B6265" s="76" t="s">
        <v>1032</v>
      </c>
      <c r="C6265" s="84">
        <v>0.44</v>
      </c>
      <c r="D6265" s="84">
        <v>0.0</v>
      </c>
      <c r="E6265" s="84">
        <v>0.0</v>
      </c>
      <c r="F6265" s="76" t="s">
        <v>996</v>
      </c>
      <c r="G6265" s="83">
        <v>46115.0</v>
      </c>
      <c r="H6265" s="76" t="s">
        <v>1012</v>
      </c>
    </row>
    <row r="6266">
      <c r="A6266" s="76" t="s">
        <v>26</v>
      </c>
      <c r="B6266" s="76" t="s">
        <v>1032</v>
      </c>
      <c r="C6266" s="84">
        <v>0.16</v>
      </c>
      <c r="D6266" s="84">
        <v>0.0</v>
      </c>
      <c r="E6266" s="84">
        <v>0.0</v>
      </c>
      <c r="F6266" s="76" t="s">
        <v>996</v>
      </c>
      <c r="G6266" s="83">
        <v>46115.0</v>
      </c>
      <c r="H6266" s="76" t="s">
        <v>1013</v>
      </c>
    </row>
    <row r="6267">
      <c r="A6267" s="76" t="s">
        <v>26</v>
      </c>
      <c r="B6267" s="76" t="s">
        <v>1032</v>
      </c>
      <c r="C6267" s="84">
        <v>0.13</v>
      </c>
      <c r="D6267" s="84">
        <v>0.0</v>
      </c>
      <c r="E6267" s="84">
        <v>0.0</v>
      </c>
      <c r="F6267" s="76" t="s">
        <v>996</v>
      </c>
      <c r="G6267" s="83">
        <v>46115.0</v>
      </c>
      <c r="H6267" s="76" t="s">
        <v>1014</v>
      </c>
    </row>
    <row r="6268">
      <c r="A6268" s="76" t="s">
        <v>45</v>
      </c>
      <c r="B6268" s="76" t="s">
        <v>1032</v>
      </c>
      <c r="C6268" s="84">
        <v>0.28</v>
      </c>
      <c r="D6268" s="84">
        <v>0.0</v>
      </c>
      <c r="E6268" s="84">
        <v>0.0</v>
      </c>
      <c r="F6268" s="76" t="s">
        <v>996</v>
      </c>
      <c r="G6268" s="83">
        <v>46115.0</v>
      </c>
      <c r="H6268" s="76" t="s">
        <v>936</v>
      </c>
    </row>
    <row r="6269">
      <c r="A6269" s="76" t="s">
        <v>45</v>
      </c>
      <c r="B6269" s="76" t="s">
        <v>1032</v>
      </c>
      <c r="C6269" s="84">
        <v>0.07</v>
      </c>
      <c r="D6269" s="84">
        <v>0.0</v>
      </c>
      <c r="E6269" s="84">
        <v>0.0</v>
      </c>
      <c r="F6269" s="76" t="s">
        <v>996</v>
      </c>
      <c r="G6269" s="83">
        <v>46115.0</v>
      </c>
      <c r="H6269" s="76" t="s">
        <v>937</v>
      </c>
    </row>
    <row r="6270">
      <c r="A6270" s="76" t="s">
        <v>45</v>
      </c>
      <c r="B6270" s="76" t="s">
        <v>1032</v>
      </c>
      <c r="C6270" s="84">
        <v>0.59</v>
      </c>
      <c r="D6270" s="84">
        <v>0.0</v>
      </c>
      <c r="E6270" s="84">
        <v>0.0</v>
      </c>
      <c r="F6270" s="76" t="s">
        <v>996</v>
      </c>
      <c r="G6270" s="83">
        <v>46115.0</v>
      </c>
      <c r="H6270" s="76" t="s">
        <v>938</v>
      </c>
    </row>
    <row r="6271">
      <c r="A6271" s="76" t="s">
        <v>31</v>
      </c>
      <c r="B6271" s="76" t="s">
        <v>1032</v>
      </c>
      <c r="C6271" s="84">
        <v>0.36</v>
      </c>
      <c r="D6271" s="84">
        <v>1.0</v>
      </c>
      <c r="E6271" s="84">
        <v>0.36</v>
      </c>
      <c r="F6271" s="76" t="s">
        <v>996</v>
      </c>
      <c r="G6271" s="83">
        <v>46115.0</v>
      </c>
      <c r="H6271" s="76" t="s">
        <v>929</v>
      </c>
    </row>
    <row r="6272">
      <c r="A6272" s="76" t="s">
        <v>31</v>
      </c>
      <c r="B6272" s="76" t="s">
        <v>1032</v>
      </c>
      <c r="C6272" s="84">
        <v>4.29</v>
      </c>
      <c r="D6272" s="84">
        <v>0.0</v>
      </c>
      <c r="E6272" s="84">
        <v>0.0</v>
      </c>
      <c r="F6272" s="76" t="s">
        <v>996</v>
      </c>
      <c r="G6272" s="83">
        <v>46115.0</v>
      </c>
      <c r="H6272" s="76" t="s">
        <v>930</v>
      </c>
    </row>
    <row r="6273">
      <c r="A6273" s="76" t="s">
        <v>944</v>
      </c>
      <c r="B6273" s="76" t="s">
        <v>1032</v>
      </c>
      <c r="C6273" s="84">
        <v>0.6</v>
      </c>
      <c r="D6273" s="84">
        <v>0.0</v>
      </c>
      <c r="E6273" s="84">
        <v>0.0</v>
      </c>
      <c r="F6273" s="76" t="s">
        <v>996</v>
      </c>
      <c r="G6273" s="83">
        <v>46115.0</v>
      </c>
      <c r="H6273" s="76" t="s">
        <v>945</v>
      </c>
    </row>
    <row r="6274">
      <c r="A6274" s="76" t="s">
        <v>944</v>
      </c>
      <c r="B6274" s="76" t="s">
        <v>1032</v>
      </c>
      <c r="C6274" s="84">
        <v>0.31</v>
      </c>
      <c r="D6274" s="84">
        <v>0.0</v>
      </c>
      <c r="E6274" s="84">
        <v>0.0</v>
      </c>
      <c r="F6274" s="76" t="s">
        <v>996</v>
      </c>
      <c r="G6274" s="83">
        <v>46115.0</v>
      </c>
      <c r="H6274" s="76" t="s">
        <v>946</v>
      </c>
    </row>
    <row r="6275">
      <c r="A6275" s="76" t="s">
        <v>944</v>
      </c>
      <c r="B6275" s="76" t="s">
        <v>1032</v>
      </c>
      <c r="C6275" s="84">
        <v>0.19</v>
      </c>
      <c r="D6275" s="84">
        <v>0.0</v>
      </c>
      <c r="E6275" s="84">
        <v>0.0</v>
      </c>
      <c r="F6275" s="76" t="s">
        <v>996</v>
      </c>
      <c r="G6275" s="83">
        <v>46115.0</v>
      </c>
      <c r="H6275" s="76" t="s">
        <v>947</v>
      </c>
    </row>
    <row r="6276">
      <c r="A6276" s="76" t="s">
        <v>28</v>
      </c>
      <c r="B6276" s="76" t="s">
        <v>1032</v>
      </c>
      <c r="C6276" s="84">
        <v>0.19</v>
      </c>
      <c r="D6276" s="84">
        <v>0.0</v>
      </c>
      <c r="E6276" s="84">
        <v>0.0</v>
      </c>
      <c r="F6276" s="76" t="s">
        <v>997</v>
      </c>
      <c r="G6276" s="83">
        <v>46115.0</v>
      </c>
      <c r="H6276" s="76" t="s">
        <v>931</v>
      </c>
    </row>
    <row r="6277">
      <c r="A6277" s="76" t="s">
        <v>28</v>
      </c>
      <c r="B6277" s="76" t="s">
        <v>1032</v>
      </c>
      <c r="C6277" s="84">
        <v>0.13</v>
      </c>
      <c r="D6277" s="84">
        <v>0.0</v>
      </c>
      <c r="E6277" s="84">
        <v>0.0</v>
      </c>
      <c r="F6277" s="76" t="s">
        <v>997</v>
      </c>
      <c r="G6277" s="83">
        <v>46115.0</v>
      </c>
      <c r="H6277" s="76" t="s">
        <v>932</v>
      </c>
    </row>
    <row r="6278">
      <c r="A6278" s="76" t="s">
        <v>28</v>
      </c>
      <c r="B6278" s="76" t="s">
        <v>1032</v>
      </c>
      <c r="C6278" s="84">
        <v>0.42</v>
      </c>
      <c r="D6278" s="84">
        <v>0.0</v>
      </c>
      <c r="E6278" s="84">
        <v>0.0</v>
      </c>
      <c r="F6278" s="76" t="s">
        <v>997</v>
      </c>
      <c r="G6278" s="83">
        <v>46115.0</v>
      </c>
      <c r="H6278" s="76" t="s">
        <v>933</v>
      </c>
    </row>
    <row r="6279">
      <c r="A6279" s="76" t="s">
        <v>45</v>
      </c>
      <c r="B6279" s="76" t="s">
        <v>1032</v>
      </c>
      <c r="C6279" s="84">
        <v>0.43</v>
      </c>
      <c r="D6279" s="84">
        <v>0.0</v>
      </c>
      <c r="E6279" s="84">
        <v>0.0</v>
      </c>
      <c r="F6279" s="76" t="s">
        <v>997</v>
      </c>
      <c r="G6279" s="83">
        <v>46115.0</v>
      </c>
      <c r="H6279" s="76" t="s">
        <v>936</v>
      </c>
    </row>
    <row r="6280">
      <c r="A6280" s="76" t="s">
        <v>45</v>
      </c>
      <c r="B6280" s="76" t="s">
        <v>1032</v>
      </c>
      <c r="C6280" s="84">
        <v>0.17</v>
      </c>
      <c r="D6280" s="84">
        <v>0.0</v>
      </c>
      <c r="E6280" s="84">
        <v>0.0</v>
      </c>
      <c r="F6280" s="76" t="s">
        <v>997</v>
      </c>
      <c r="G6280" s="83">
        <v>46115.0</v>
      </c>
      <c r="H6280" s="76" t="s">
        <v>937</v>
      </c>
    </row>
    <row r="6281">
      <c r="A6281" s="76" t="s">
        <v>45</v>
      </c>
      <c r="B6281" s="76" t="s">
        <v>1032</v>
      </c>
      <c r="C6281" s="84">
        <v>0.21</v>
      </c>
      <c r="D6281" s="84">
        <v>0.0</v>
      </c>
      <c r="E6281" s="84">
        <v>0.0</v>
      </c>
      <c r="F6281" s="76" t="s">
        <v>997</v>
      </c>
      <c r="G6281" s="83">
        <v>46115.0</v>
      </c>
      <c r="H6281" s="76" t="s">
        <v>938</v>
      </c>
    </row>
    <row r="6282">
      <c r="A6282" s="76" t="s">
        <v>32</v>
      </c>
      <c r="B6282" s="76" t="s">
        <v>1032</v>
      </c>
      <c r="C6282" s="84">
        <v>1.01</v>
      </c>
      <c r="D6282" s="84">
        <v>0.0</v>
      </c>
      <c r="E6282" s="84">
        <v>0.0</v>
      </c>
      <c r="F6282" s="76" t="s">
        <v>997</v>
      </c>
      <c r="G6282" s="83">
        <v>46115.0</v>
      </c>
      <c r="H6282" s="76" t="s">
        <v>941</v>
      </c>
    </row>
    <row r="6283">
      <c r="A6283" s="76" t="s">
        <v>32</v>
      </c>
      <c r="B6283" s="76" t="s">
        <v>1032</v>
      </c>
      <c r="C6283" s="84">
        <v>0.82</v>
      </c>
      <c r="D6283" s="84">
        <v>0.0</v>
      </c>
      <c r="E6283" s="84">
        <v>0.0</v>
      </c>
      <c r="F6283" s="76" t="s">
        <v>997</v>
      </c>
      <c r="G6283" s="83">
        <v>46115.0</v>
      </c>
      <c r="H6283" s="76" t="s">
        <v>942</v>
      </c>
    </row>
    <row r="6284">
      <c r="A6284" s="76" t="s">
        <v>32</v>
      </c>
      <c r="B6284" s="76" t="s">
        <v>1032</v>
      </c>
      <c r="C6284" s="84">
        <v>0.68</v>
      </c>
      <c r="D6284" s="84">
        <v>0.0</v>
      </c>
      <c r="E6284" s="84">
        <v>0.0</v>
      </c>
      <c r="F6284" s="76" t="s">
        <v>997</v>
      </c>
      <c r="G6284" s="83">
        <v>46115.0</v>
      </c>
      <c r="H6284" s="76" t="s">
        <v>943</v>
      </c>
    </row>
    <row r="6285">
      <c r="A6285" s="76" t="s">
        <v>944</v>
      </c>
      <c r="B6285" s="76" t="s">
        <v>1032</v>
      </c>
      <c r="C6285" s="84">
        <v>0.43</v>
      </c>
      <c r="D6285" s="84">
        <v>0.0</v>
      </c>
      <c r="E6285" s="84">
        <v>0.0</v>
      </c>
      <c r="F6285" s="76" t="s">
        <v>997</v>
      </c>
      <c r="G6285" s="83">
        <v>46115.0</v>
      </c>
      <c r="H6285" s="76" t="s">
        <v>945</v>
      </c>
    </row>
    <row r="6286">
      <c r="A6286" s="76" t="s">
        <v>944</v>
      </c>
      <c r="B6286" s="76" t="s">
        <v>1032</v>
      </c>
      <c r="C6286" s="84">
        <v>0.21</v>
      </c>
      <c r="D6286" s="84">
        <v>0.0</v>
      </c>
      <c r="E6286" s="84">
        <v>0.0</v>
      </c>
      <c r="F6286" s="76" t="s">
        <v>997</v>
      </c>
      <c r="G6286" s="83">
        <v>46115.0</v>
      </c>
      <c r="H6286" s="76" t="s">
        <v>946</v>
      </c>
    </row>
    <row r="6287">
      <c r="A6287" s="76" t="s">
        <v>944</v>
      </c>
      <c r="B6287" s="76" t="s">
        <v>1032</v>
      </c>
      <c r="C6287" s="84">
        <v>0.18</v>
      </c>
      <c r="D6287" s="84">
        <v>0.0</v>
      </c>
      <c r="E6287" s="84">
        <v>0.0</v>
      </c>
      <c r="F6287" s="76" t="s">
        <v>997</v>
      </c>
      <c r="G6287" s="83">
        <v>46115.0</v>
      </c>
      <c r="H6287" s="76" t="s">
        <v>947</v>
      </c>
    </row>
    <row r="6288">
      <c r="A6288" s="76" t="s">
        <v>36</v>
      </c>
      <c r="B6288" s="76" t="s">
        <v>1032</v>
      </c>
      <c r="C6288" s="84">
        <v>0.34</v>
      </c>
      <c r="D6288" s="84">
        <v>0.0</v>
      </c>
      <c r="E6288" s="84">
        <v>0.0</v>
      </c>
      <c r="F6288" s="76" t="s">
        <v>997</v>
      </c>
      <c r="G6288" s="83">
        <v>46115.0</v>
      </c>
      <c r="H6288" s="76" t="s">
        <v>926</v>
      </c>
    </row>
    <row r="6289">
      <c r="A6289" s="76" t="s">
        <v>36</v>
      </c>
      <c r="B6289" s="76" t="s">
        <v>1032</v>
      </c>
      <c r="C6289" s="84">
        <v>0.83</v>
      </c>
      <c r="D6289" s="84">
        <v>0.0</v>
      </c>
      <c r="E6289" s="84">
        <v>0.0</v>
      </c>
      <c r="F6289" s="76" t="s">
        <v>997</v>
      </c>
      <c r="G6289" s="83">
        <v>46115.0</v>
      </c>
      <c r="H6289" s="76" t="s">
        <v>927</v>
      </c>
    </row>
    <row r="6290">
      <c r="A6290" s="76" t="s">
        <v>36</v>
      </c>
      <c r="B6290" s="76" t="s">
        <v>1032</v>
      </c>
      <c r="C6290" s="84">
        <v>0.17</v>
      </c>
      <c r="D6290" s="84">
        <v>0.0</v>
      </c>
      <c r="E6290" s="84">
        <v>0.0</v>
      </c>
      <c r="F6290" s="76" t="s">
        <v>997</v>
      </c>
      <c r="G6290" s="83">
        <v>46115.0</v>
      </c>
      <c r="H6290" s="76" t="s">
        <v>928</v>
      </c>
    </row>
    <row r="6291">
      <c r="A6291" s="76" t="s">
        <v>31</v>
      </c>
      <c r="B6291" s="76" t="s">
        <v>1032</v>
      </c>
      <c r="C6291" s="84">
        <v>0.8</v>
      </c>
      <c r="D6291" s="84">
        <v>0.0</v>
      </c>
      <c r="E6291" s="84">
        <v>0.0</v>
      </c>
      <c r="F6291" s="76" t="s">
        <v>997</v>
      </c>
      <c r="G6291" s="83">
        <v>46115.0</v>
      </c>
      <c r="H6291" s="76" t="s">
        <v>929</v>
      </c>
    </row>
    <row r="6292">
      <c r="A6292" s="76" t="s">
        <v>31</v>
      </c>
      <c r="B6292" s="76" t="s">
        <v>1032</v>
      </c>
      <c r="C6292" s="84">
        <v>7.46</v>
      </c>
      <c r="D6292" s="84">
        <v>3.0</v>
      </c>
      <c r="E6292" s="84">
        <v>2.49</v>
      </c>
      <c r="F6292" s="76" t="s">
        <v>997</v>
      </c>
      <c r="G6292" s="83">
        <v>46115.0</v>
      </c>
      <c r="H6292" s="76" t="s">
        <v>930</v>
      </c>
    </row>
    <row r="6293">
      <c r="A6293" s="76" t="s">
        <v>26</v>
      </c>
      <c r="B6293" s="76" t="s">
        <v>1032</v>
      </c>
      <c r="C6293" s="84">
        <v>0.3</v>
      </c>
      <c r="D6293" s="84">
        <v>0.0</v>
      </c>
      <c r="E6293" s="84">
        <v>0.0</v>
      </c>
      <c r="F6293" s="76" t="s">
        <v>997</v>
      </c>
      <c r="G6293" s="83">
        <v>46115.0</v>
      </c>
      <c r="H6293" s="76" t="s">
        <v>1012</v>
      </c>
    </row>
    <row r="6294">
      <c r="A6294" s="76" t="s">
        <v>26</v>
      </c>
      <c r="B6294" s="76" t="s">
        <v>1032</v>
      </c>
      <c r="C6294" s="84">
        <v>0.16</v>
      </c>
      <c r="D6294" s="84">
        <v>0.0</v>
      </c>
      <c r="E6294" s="84">
        <v>0.0</v>
      </c>
      <c r="F6294" s="76" t="s">
        <v>997</v>
      </c>
      <c r="G6294" s="83">
        <v>46115.0</v>
      </c>
      <c r="H6294" s="76" t="s">
        <v>1013</v>
      </c>
    </row>
    <row r="6295">
      <c r="A6295" s="76" t="s">
        <v>26</v>
      </c>
      <c r="B6295" s="76" t="s">
        <v>1032</v>
      </c>
      <c r="C6295" s="84">
        <v>0.38</v>
      </c>
      <c r="D6295" s="84">
        <v>0.0</v>
      </c>
      <c r="E6295" s="84">
        <v>0.0</v>
      </c>
      <c r="F6295" s="76" t="s">
        <v>997</v>
      </c>
      <c r="G6295" s="83">
        <v>46115.0</v>
      </c>
      <c r="H6295" s="76" t="s">
        <v>1014</v>
      </c>
    </row>
    <row r="6296">
      <c r="A6296" s="76" t="s">
        <v>45</v>
      </c>
      <c r="B6296" s="76" t="s">
        <v>1032</v>
      </c>
      <c r="C6296" s="84">
        <v>1.13</v>
      </c>
      <c r="D6296" s="84">
        <v>0.0</v>
      </c>
      <c r="E6296" s="84">
        <v>0.0</v>
      </c>
      <c r="F6296" s="76" t="s">
        <v>990</v>
      </c>
      <c r="G6296" s="83">
        <v>46115.0</v>
      </c>
      <c r="H6296" s="76" t="s">
        <v>936</v>
      </c>
    </row>
    <row r="6297">
      <c r="A6297" s="76" t="s">
        <v>45</v>
      </c>
      <c r="B6297" s="76" t="s">
        <v>1032</v>
      </c>
      <c r="C6297" s="84">
        <v>0.52</v>
      </c>
      <c r="D6297" s="84">
        <v>1.0</v>
      </c>
      <c r="E6297" s="84">
        <v>0.52</v>
      </c>
      <c r="F6297" s="76" t="s">
        <v>990</v>
      </c>
      <c r="G6297" s="83">
        <v>46115.0</v>
      </c>
      <c r="H6297" s="76" t="s">
        <v>937</v>
      </c>
    </row>
    <row r="6298">
      <c r="A6298" s="76" t="s">
        <v>45</v>
      </c>
      <c r="B6298" s="76" t="s">
        <v>1032</v>
      </c>
      <c r="C6298" s="84">
        <v>0.88</v>
      </c>
      <c r="D6298" s="84">
        <v>0.0</v>
      </c>
      <c r="E6298" s="84">
        <v>0.0</v>
      </c>
      <c r="F6298" s="76" t="s">
        <v>990</v>
      </c>
      <c r="G6298" s="83">
        <v>46115.0</v>
      </c>
      <c r="H6298" s="76" t="s">
        <v>938</v>
      </c>
    </row>
    <row r="6299">
      <c r="A6299" s="76" t="s">
        <v>32</v>
      </c>
      <c r="B6299" s="76" t="s">
        <v>1032</v>
      </c>
      <c r="C6299" s="84">
        <v>2.15</v>
      </c>
      <c r="D6299" s="84">
        <v>1.0</v>
      </c>
      <c r="E6299" s="84">
        <v>2.15</v>
      </c>
      <c r="F6299" s="76" t="s">
        <v>990</v>
      </c>
      <c r="G6299" s="83">
        <v>46115.0</v>
      </c>
      <c r="H6299" s="76" t="s">
        <v>941</v>
      </c>
    </row>
    <row r="6300">
      <c r="A6300" s="76" t="s">
        <v>32</v>
      </c>
      <c r="B6300" s="76" t="s">
        <v>1032</v>
      </c>
      <c r="C6300" s="84">
        <v>2.15</v>
      </c>
      <c r="D6300" s="84">
        <v>1.0</v>
      </c>
      <c r="E6300" s="84">
        <v>2.15</v>
      </c>
      <c r="F6300" s="76" t="s">
        <v>990</v>
      </c>
      <c r="G6300" s="83">
        <v>46115.0</v>
      </c>
      <c r="H6300" s="76" t="s">
        <v>942</v>
      </c>
    </row>
    <row r="6301">
      <c r="A6301" s="76" t="s">
        <v>32</v>
      </c>
      <c r="B6301" s="76" t="s">
        <v>1032</v>
      </c>
      <c r="C6301" s="84">
        <v>1.69</v>
      </c>
      <c r="D6301" s="84">
        <v>0.0</v>
      </c>
      <c r="E6301" s="84">
        <v>0.0</v>
      </c>
      <c r="F6301" s="76" t="s">
        <v>990</v>
      </c>
      <c r="G6301" s="83">
        <v>46115.0</v>
      </c>
      <c r="H6301" s="76" t="s">
        <v>943</v>
      </c>
    </row>
    <row r="6302">
      <c r="A6302" s="76" t="s">
        <v>36</v>
      </c>
      <c r="B6302" s="76" t="s">
        <v>1032</v>
      </c>
      <c r="C6302" s="84">
        <v>1.18</v>
      </c>
      <c r="D6302" s="84">
        <v>0.0</v>
      </c>
      <c r="E6302" s="84">
        <v>0.0</v>
      </c>
      <c r="F6302" s="76" t="s">
        <v>990</v>
      </c>
      <c r="G6302" s="83">
        <v>46115.0</v>
      </c>
      <c r="H6302" s="76" t="s">
        <v>926</v>
      </c>
    </row>
    <row r="6303">
      <c r="A6303" s="76" t="s">
        <v>36</v>
      </c>
      <c r="B6303" s="76" t="s">
        <v>1032</v>
      </c>
      <c r="C6303" s="84">
        <v>1.21</v>
      </c>
      <c r="D6303" s="84">
        <v>1.0</v>
      </c>
      <c r="E6303" s="84">
        <v>1.21</v>
      </c>
      <c r="F6303" s="76" t="s">
        <v>990</v>
      </c>
      <c r="G6303" s="83">
        <v>46115.0</v>
      </c>
      <c r="H6303" s="76" t="s">
        <v>927</v>
      </c>
    </row>
    <row r="6304">
      <c r="A6304" s="76" t="s">
        <v>36</v>
      </c>
      <c r="B6304" s="76" t="s">
        <v>1032</v>
      </c>
      <c r="C6304" s="84">
        <v>0.49</v>
      </c>
      <c r="D6304" s="84">
        <v>0.0</v>
      </c>
      <c r="E6304" s="84">
        <v>0.0</v>
      </c>
      <c r="F6304" s="76" t="s">
        <v>990</v>
      </c>
      <c r="G6304" s="83">
        <v>46115.0</v>
      </c>
      <c r="H6304" s="76" t="s">
        <v>928</v>
      </c>
    </row>
    <row r="6305">
      <c r="A6305" s="76" t="s">
        <v>28</v>
      </c>
      <c r="B6305" s="76" t="s">
        <v>1032</v>
      </c>
      <c r="C6305" s="84">
        <v>0.78</v>
      </c>
      <c r="D6305" s="84">
        <v>0.0</v>
      </c>
      <c r="E6305" s="84">
        <v>0.0</v>
      </c>
      <c r="F6305" s="76" t="s">
        <v>990</v>
      </c>
      <c r="G6305" s="83">
        <v>46115.0</v>
      </c>
      <c r="H6305" s="76" t="s">
        <v>931</v>
      </c>
    </row>
    <row r="6306">
      <c r="A6306" s="76" t="s">
        <v>28</v>
      </c>
      <c r="B6306" s="76" t="s">
        <v>1032</v>
      </c>
      <c r="C6306" s="84">
        <v>0.33</v>
      </c>
      <c r="D6306" s="84">
        <v>0.0</v>
      </c>
      <c r="E6306" s="84">
        <v>0.0</v>
      </c>
      <c r="F6306" s="76" t="s">
        <v>990</v>
      </c>
      <c r="G6306" s="83">
        <v>46115.0</v>
      </c>
      <c r="H6306" s="76" t="s">
        <v>932</v>
      </c>
    </row>
    <row r="6307">
      <c r="A6307" s="76" t="s">
        <v>28</v>
      </c>
      <c r="B6307" s="76" t="s">
        <v>1032</v>
      </c>
      <c r="C6307" s="84">
        <v>1.95</v>
      </c>
      <c r="D6307" s="84">
        <v>0.0</v>
      </c>
      <c r="E6307" s="84">
        <v>0.0</v>
      </c>
      <c r="F6307" s="76" t="s">
        <v>990</v>
      </c>
      <c r="G6307" s="83">
        <v>46115.0</v>
      </c>
      <c r="H6307" s="76" t="s">
        <v>933</v>
      </c>
    </row>
    <row r="6308">
      <c r="A6308" s="76" t="s">
        <v>31</v>
      </c>
      <c r="B6308" s="76" t="s">
        <v>1032</v>
      </c>
      <c r="C6308" s="84">
        <v>1.34</v>
      </c>
      <c r="D6308" s="84">
        <v>0.0</v>
      </c>
      <c r="E6308" s="84">
        <v>0.0</v>
      </c>
      <c r="F6308" s="76" t="s">
        <v>990</v>
      </c>
      <c r="G6308" s="83">
        <v>46115.0</v>
      </c>
      <c r="H6308" s="76" t="s">
        <v>929</v>
      </c>
    </row>
    <row r="6309">
      <c r="A6309" s="76" t="s">
        <v>31</v>
      </c>
      <c r="B6309" s="76" t="s">
        <v>1032</v>
      </c>
      <c r="C6309" s="84">
        <v>6.75</v>
      </c>
      <c r="D6309" s="84">
        <v>0.0</v>
      </c>
      <c r="E6309" s="84">
        <v>0.0</v>
      </c>
      <c r="F6309" s="76" t="s">
        <v>990</v>
      </c>
      <c r="G6309" s="83">
        <v>46115.0</v>
      </c>
      <c r="H6309" s="76" t="s">
        <v>930</v>
      </c>
    </row>
    <row r="6310">
      <c r="A6310" s="76" t="s">
        <v>26</v>
      </c>
      <c r="B6310" s="76" t="s">
        <v>1032</v>
      </c>
      <c r="C6310" s="84">
        <v>1.0</v>
      </c>
      <c r="D6310" s="84">
        <v>0.0</v>
      </c>
      <c r="E6310" s="84">
        <v>0.0</v>
      </c>
      <c r="F6310" s="76" t="s">
        <v>990</v>
      </c>
      <c r="G6310" s="83">
        <v>46115.0</v>
      </c>
      <c r="H6310" s="76" t="s">
        <v>1012</v>
      </c>
    </row>
    <row r="6311">
      <c r="A6311" s="76" t="s">
        <v>26</v>
      </c>
      <c r="B6311" s="76" t="s">
        <v>1032</v>
      </c>
      <c r="C6311" s="84">
        <v>0.6</v>
      </c>
      <c r="D6311" s="84">
        <v>0.0</v>
      </c>
      <c r="E6311" s="84">
        <v>0.0</v>
      </c>
      <c r="F6311" s="76" t="s">
        <v>990</v>
      </c>
      <c r="G6311" s="83">
        <v>46115.0</v>
      </c>
      <c r="H6311" s="76" t="s">
        <v>1013</v>
      </c>
    </row>
    <row r="6312">
      <c r="A6312" s="76" t="s">
        <v>26</v>
      </c>
      <c r="B6312" s="76" t="s">
        <v>1032</v>
      </c>
      <c r="C6312" s="84">
        <v>1.08</v>
      </c>
      <c r="D6312" s="84">
        <v>0.0</v>
      </c>
      <c r="E6312" s="84">
        <v>0.0</v>
      </c>
      <c r="F6312" s="76" t="s">
        <v>990</v>
      </c>
      <c r="G6312" s="83">
        <v>46115.0</v>
      </c>
      <c r="H6312" s="76" t="s">
        <v>1014</v>
      </c>
    </row>
    <row r="6313">
      <c r="A6313" s="76" t="s">
        <v>944</v>
      </c>
      <c r="B6313" s="76" t="s">
        <v>1032</v>
      </c>
      <c r="C6313" s="84">
        <v>1.47</v>
      </c>
      <c r="D6313" s="84">
        <v>1.0</v>
      </c>
      <c r="E6313" s="84">
        <v>1.47</v>
      </c>
      <c r="F6313" s="76" t="s">
        <v>990</v>
      </c>
      <c r="G6313" s="83">
        <v>46115.0</v>
      </c>
      <c r="H6313" s="76" t="s">
        <v>945</v>
      </c>
    </row>
    <row r="6314">
      <c r="A6314" s="76" t="s">
        <v>944</v>
      </c>
      <c r="B6314" s="76" t="s">
        <v>1032</v>
      </c>
      <c r="C6314" s="84">
        <v>0.97</v>
      </c>
      <c r="D6314" s="84">
        <v>0.0</v>
      </c>
      <c r="E6314" s="84">
        <v>0.0</v>
      </c>
      <c r="F6314" s="76" t="s">
        <v>990</v>
      </c>
      <c r="G6314" s="83">
        <v>46115.0</v>
      </c>
      <c r="H6314" s="76" t="s">
        <v>946</v>
      </c>
    </row>
    <row r="6315">
      <c r="A6315" s="76" t="s">
        <v>944</v>
      </c>
      <c r="B6315" s="76" t="s">
        <v>1032</v>
      </c>
      <c r="C6315" s="84">
        <v>0.54</v>
      </c>
      <c r="D6315" s="84">
        <v>0.0</v>
      </c>
      <c r="E6315" s="84">
        <v>0.0</v>
      </c>
      <c r="F6315" s="76" t="s">
        <v>990</v>
      </c>
      <c r="G6315" s="83">
        <v>46115.0</v>
      </c>
      <c r="H6315" s="76" t="s">
        <v>947</v>
      </c>
    </row>
    <row r="6316">
      <c r="A6316" s="76" t="s">
        <v>26</v>
      </c>
      <c r="B6316" s="76" t="s">
        <v>1032</v>
      </c>
      <c r="C6316" s="84">
        <v>5.35</v>
      </c>
      <c r="D6316" s="84">
        <v>0.0</v>
      </c>
      <c r="E6316" s="84">
        <v>0.0</v>
      </c>
      <c r="F6316" s="76" t="s">
        <v>1005</v>
      </c>
      <c r="G6316" s="83">
        <v>46115.0</v>
      </c>
      <c r="H6316" s="76" t="s">
        <v>1012</v>
      </c>
    </row>
    <row r="6317">
      <c r="A6317" s="76" t="s">
        <v>26</v>
      </c>
      <c r="B6317" s="76" t="s">
        <v>1032</v>
      </c>
      <c r="C6317" s="84">
        <v>3.26</v>
      </c>
      <c r="D6317" s="84">
        <v>0.0</v>
      </c>
      <c r="E6317" s="84">
        <v>0.0</v>
      </c>
      <c r="F6317" s="76" t="s">
        <v>1005</v>
      </c>
      <c r="G6317" s="83">
        <v>46115.0</v>
      </c>
      <c r="H6317" s="76" t="s">
        <v>1013</v>
      </c>
    </row>
    <row r="6318">
      <c r="A6318" s="76" t="s">
        <v>26</v>
      </c>
      <c r="B6318" s="76" t="s">
        <v>1032</v>
      </c>
      <c r="C6318" s="84">
        <v>7.2</v>
      </c>
      <c r="D6318" s="84">
        <v>2.0</v>
      </c>
      <c r="E6318" s="84">
        <v>3.6</v>
      </c>
      <c r="F6318" s="76" t="s">
        <v>1005</v>
      </c>
      <c r="G6318" s="83">
        <v>46115.0</v>
      </c>
      <c r="H6318" s="76" t="s">
        <v>1014</v>
      </c>
    </row>
    <row r="6319">
      <c r="A6319" s="76" t="s">
        <v>28</v>
      </c>
      <c r="B6319" s="76" t="s">
        <v>1032</v>
      </c>
      <c r="C6319" s="84">
        <v>4.18</v>
      </c>
      <c r="D6319" s="84">
        <v>2.0</v>
      </c>
      <c r="E6319" s="84">
        <v>2.09</v>
      </c>
      <c r="F6319" s="76" t="s">
        <v>1005</v>
      </c>
      <c r="G6319" s="83">
        <v>46115.0</v>
      </c>
      <c r="H6319" s="76" t="s">
        <v>931</v>
      </c>
    </row>
    <row r="6320">
      <c r="A6320" s="76" t="s">
        <v>28</v>
      </c>
      <c r="B6320" s="76" t="s">
        <v>1032</v>
      </c>
      <c r="C6320" s="84">
        <v>2.57</v>
      </c>
      <c r="D6320" s="84">
        <v>1.0</v>
      </c>
      <c r="E6320" s="84">
        <v>2.57</v>
      </c>
      <c r="F6320" s="76" t="s">
        <v>1005</v>
      </c>
      <c r="G6320" s="83">
        <v>46115.0</v>
      </c>
      <c r="H6320" s="76" t="s">
        <v>932</v>
      </c>
    </row>
    <row r="6321">
      <c r="A6321" s="76" t="s">
        <v>28</v>
      </c>
      <c r="B6321" s="76" t="s">
        <v>1032</v>
      </c>
      <c r="C6321" s="84">
        <v>5.73</v>
      </c>
      <c r="D6321" s="84">
        <v>1.0</v>
      </c>
      <c r="E6321" s="84">
        <v>5.73</v>
      </c>
      <c r="F6321" s="76" t="s">
        <v>1005</v>
      </c>
      <c r="G6321" s="83">
        <v>46115.0</v>
      </c>
      <c r="H6321" s="76" t="s">
        <v>933</v>
      </c>
    </row>
    <row r="6322">
      <c r="A6322" s="76" t="s">
        <v>36</v>
      </c>
      <c r="B6322" s="76" t="s">
        <v>1032</v>
      </c>
      <c r="C6322" s="84">
        <v>4.24</v>
      </c>
      <c r="D6322" s="84">
        <v>1.0</v>
      </c>
      <c r="E6322" s="84">
        <v>4.24</v>
      </c>
      <c r="F6322" s="76" t="s">
        <v>1005</v>
      </c>
      <c r="G6322" s="83">
        <v>46115.0</v>
      </c>
      <c r="H6322" s="76" t="s">
        <v>926</v>
      </c>
    </row>
    <row r="6323">
      <c r="A6323" s="76" t="s">
        <v>36</v>
      </c>
      <c r="B6323" s="76" t="s">
        <v>1032</v>
      </c>
      <c r="C6323" s="84">
        <v>6.1</v>
      </c>
      <c r="D6323" s="84">
        <v>0.0</v>
      </c>
      <c r="E6323" s="84">
        <v>0.0</v>
      </c>
      <c r="F6323" s="76" t="s">
        <v>1005</v>
      </c>
      <c r="G6323" s="83">
        <v>46115.0</v>
      </c>
      <c r="H6323" s="76" t="s">
        <v>927</v>
      </c>
    </row>
    <row r="6324">
      <c r="A6324" s="76" t="s">
        <v>36</v>
      </c>
      <c r="B6324" s="76" t="s">
        <v>1032</v>
      </c>
      <c r="C6324" s="84">
        <v>3.3</v>
      </c>
      <c r="D6324" s="84">
        <v>2.0</v>
      </c>
      <c r="E6324" s="84">
        <v>1.65</v>
      </c>
      <c r="F6324" s="76" t="s">
        <v>1005</v>
      </c>
      <c r="G6324" s="83">
        <v>46115.0</v>
      </c>
      <c r="H6324" s="76" t="s">
        <v>928</v>
      </c>
    </row>
    <row r="6325">
      <c r="A6325" s="76" t="s">
        <v>31</v>
      </c>
      <c r="B6325" s="76" t="s">
        <v>1032</v>
      </c>
      <c r="C6325" s="84">
        <v>6.13</v>
      </c>
      <c r="D6325" s="84">
        <v>0.0</v>
      </c>
      <c r="E6325" s="84">
        <v>0.0</v>
      </c>
      <c r="F6325" s="76" t="s">
        <v>1005</v>
      </c>
      <c r="G6325" s="83">
        <v>46115.0</v>
      </c>
      <c r="H6325" s="76" t="s">
        <v>929</v>
      </c>
    </row>
    <row r="6326">
      <c r="A6326" s="76" t="s">
        <v>31</v>
      </c>
      <c r="B6326" s="76" t="s">
        <v>1032</v>
      </c>
      <c r="C6326" s="84">
        <v>30.2</v>
      </c>
      <c r="D6326" s="84">
        <v>10.0</v>
      </c>
      <c r="E6326" s="84">
        <v>3.02</v>
      </c>
      <c r="F6326" s="76" t="s">
        <v>1005</v>
      </c>
      <c r="G6326" s="83">
        <v>46115.0</v>
      </c>
      <c r="H6326" s="76" t="s">
        <v>930</v>
      </c>
    </row>
    <row r="6327">
      <c r="A6327" s="76" t="s">
        <v>944</v>
      </c>
      <c r="B6327" s="76" t="s">
        <v>1032</v>
      </c>
      <c r="C6327" s="84">
        <v>4.35</v>
      </c>
      <c r="D6327" s="84">
        <v>1.0</v>
      </c>
      <c r="E6327" s="84">
        <v>4.35</v>
      </c>
      <c r="F6327" s="76" t="s">
        <v>1005</v>
      </c>
      <c r="G6327" s="83">
        <v>46115.0</v>
      </c>
      <c r="H6327" s="76" t="s">
        <v>945</v>
      </c>
    </row>
    <row r="6328">
      <c r="A6328" s="76" t="s">
        <v>944</v>
      </c>
      <c r="B6328" s="76" t="s">
        <v>1032</v>
      </c>
      <c r="C6328" s="84">
        <v>3.57</v>
      </c>
      <c r="D6328" s="84">
        <v>1.0</v>
      </c>
      <c r="E6328" s="84">
        <v>3.57</v>
      </c>
      <c r="F6328" s="76" t="s">
        <v>1005</v>
      </c>
      <c r="G6328" s="83">
        <v>46115.0</v>
      </c>
      <c r="H6328" s="76" t="s">
        <v>946</v>
      </c>
    </row>
    <row r="6329">
      <c r="A6329" s="76" t="s">
        <v>944</v>
      </c>
      <c r="B6329" s="76" t="s">
        <v>1032</v>
      </c>
      <c r="C6329" s="84">
        <v>4.65</v>
      </c>
      <c r="D6329" s="84">
        <v>2.0</v>
      </c>
      <c r="E6329" s="84">
        <v>2.33</v>
      </c>
      <c r="F6329" s="76" t="s">
        <v>1005</v>
      </c>
      <c r="G6329" s="83">
        <v>46115.0</v>
      </c>
      <c r="H6329" s="76" t="s">
        <v>947</v>
      </c>
    </row>
    <row r="6330">
      <c r="A6330" s="76" t="s">
        <v>45</v>
      </c>
      <c r="B6330" s="76" t="s">
        <v>1032</v>
      </c>
      <c r="C6330" s="84">
        <v>3.82</v>
      </c>
      <c r="D6330" s="84">
        <v>0.0</v>
      </c>
      <c r="E6330" s="84">
        <v>0.0</v>
      </c>
      <c r="F6330" s="76" t="s">
        <v>1005</v>
      </c>
      <c r="G6330" s="83">
        <v>46115.0</v>
      </c>
      <c r="H6330" s="76" t="s">
        <v>936</v>
      </c>
    </row>
    <row r="6331">
      <c r="A6331" s="76" t="s">
        <v>45</v>
      </c>
      <c r="B6331" s="76" t="s">
        <v>1032</v>
      </c>
      <c r="C6331" s="84">
        <v>3.94</v>
      </c>
      <c r="D6331" s="84">
        <v>1.0</v>
      </c>
      <c r="E6331" s="84">
        <v>3.94</v>
      </c>
      <c r="F6331" s="76" t="s">
        <v>1005</v>
      </c>
      <c r="G6331" s="83">
        <v>46115.0</v>
      </c>
      <c r="H6331" s="76" t="s">
        <v>937</v>
      </c>
    </row>
    <row r="6332">
      <c r="A6332" s="76" t="s">
        <v>45</v>
      </c>
      <c r="B6332" s="76" t="s">
        <v>1032</v>
      </c>
      <c r="C6332" s="84">
        <v>2.39</v>
      </c>
      <c r="D6332" s="84">
        <v>0.0</v>
      </c>
      <c r="E6332" s="84">
        <v>0.0</v>
      </c>
      <c r="F6332" s="76" t="s">
        <v>1005</v>
      </c>
      <c r="G6332" s="83">
        <v>46115.0</v>
      </c>
      <c r="H6332" s="76" t="s">
        <v>938</v>
      </c>
    </row>
    <row r="6333">
      <c r="A6333" s="76" t="s">
        <v>32</v>
      </c>
      <c r="B6333" s="76" t="s">
        <v>1032</v>
      </c>
      <c r="C6333" s="84">
        <v>10.86</v>
      </c>
      <c r="D6333" s="84">
        <v>3.0</v>
      </c>
      <c r="E6333" s="84">
        <v>3.62</v>
      </c>
      <c r="F6333" s="76" t="s">
        <v>1005</v>
      </c>
      <c r="G6333" s="83">
        <v>46115.0</v>
      </c>
      <c r="H6333" s="76" t="s">
        <v>941</v>
      </c>
    </row>
    <row r="6334">
      <c r="A6334" s="76" t="s">
        <v>32</v>
      </c>
      <c r="B6334" s="76" t="s">
        <v>1032</v>
      </c>
      <c r="C6334" s="84">
        <v>10.55</v>
      </c>
      <c r="D6334" s="84">
        <v>0.0</v>
      </c>
      <c r="E6334" s="84">
        <v>0.0</v>
      </c>
      <c r="F6334" s="76" t="s">
        <v>1005</v>
      </c>
      <c r="G6334" s="83">
        <v>46115.0</v>
      </c>
      <c r="H6334" s="76" t="s">
        <v>942</v>
      </c>
    </row>
    <row r="6335">
      <c r="A6335" s="76" t="s">
        <v>32</v>
      </c>
      <c r="B6335" s="76" t="s">
        <v>1032</v>
      </c>
      <c r="C6335" s="84">
        <v>7.63</v>
      </c>
      <c r="D6335" s="84">
        <v>1.0</v>
      </c>
      <c r="E6335" s="84">
        <v>7.63</v>
      </c>
      <c r="F6335" s="76" t="s">
        <v>1005</v>
      </c>
      <c r="G6335" s="83">
        <v>46115.0</v>
      </c>
      <c r="H6335" s="76" t="s">
        <v>943</v>
      </c>
    </row>
    <row r="6336">
      <c r="A6336" s="76" t="s">
        <v>26</v>
      </c>
      <c r="B6336" s="76" t="s">
        <v>1032</v>
      </c>
      <c r="C6336" s="84">
        <v>0.41</v>
      </c>
      <c r="D6336" s="84">
        <v>0.0</v>
      </c>
      <c r="E6336" s="84">
        <v>0.0</v>
      </c>
      <c r="F6336" s="76" t="s">
        <v>993</v>
      </c>
      <c r="G6336" s="83">
        <v>46115.0</v>
      </c>
      <c r="H6336" s="76" t="s">
        <v>1012</v>
      </c>
    </row>
    <row r="6337">
      <c r="A6337" s="76" t="s">
        <v>26</v>
      </c>
      <c r="B6337" s="76" t="s">
        <v>1032</v>
      </c>
      <c r="C6337" s="84">
        <v>0.21</v>
      </c>
      <c r="D6337" s="84">
        <v>0.0</v>
      </c>
      <c r="E6337" s="84">
        <v>0.0</v>
      </c>
      <c r="F6337" s="76" t="s">
        <v>993</v>
      </c>
      <c r="G6337" s="83">
        <v>46115.0</v>
      </c>
      <c r="H6337" s="76" t="s">
        <v>1013</v>
      </c>
    </row>
    <row r="6338">
      <c r="A6338" s="76" t="s">
        <v>26</v>
      </c>
      <c r="B6338" s="76" t="s">
        <v>1032</v>
      </c>
      <c r="C6338" s="84">
        <v>0.19</v>
      </c>
      <c r="D6338" s="84">
        <v>0.0</v>
      </c>
      <c r="E6338" s="84">
        <v>0.0</v>
      </c>
      <c r="F6338" s="76" t="s">
        <v>993</v>
      </c>
      <c r="G6338" s="83">
        <v>46115.0</v>
      </c>
      <c r="H6338" s="76" t="s">
        <v>1014</v>
      </c>
    </row>
    <row r="6339">
      <c r="A6339" s="76" t="s">
        <v>944</v>
      </c>
      <c r="B6339" s="76" t="s">
        <v>1032</v>
      </c>
      <c r="C6339" s="84">
        <v>0.6</v>
      </c>
      <c r="D6339" s="84">
        <v>0.0</v>
      </c>
      <c r="E6339" s="84">
        <v>0.0</v>
      </c>
      <c r="F6339" s="76" t="s">
        <v>993</v>
      </c>
      <c r="G6339" s="83">
        <v>46115.0</v>
      </c>
      <c r="H6339" s="76" t="s">
        <v>945</v>
      </c>
    </row>
    <row r="6340">
      <c r="A6340" s="76" t="s">
        <v>944</v>
      </c>
      <c r="B6340" s="76" t="s">
        <v>1032</v>
      </c>
      <c r="C6340" s="84">
        <v>0.38</v>
      </c>
      <c r="D6340" s="84">
        <v>0.0</v>
      </c>
      <c r="E6340" s="84">
        <v>0.0</v>
      </c>
      <c r="F6340" s="76" t="s">
        <v>993</v>
      </c>
      <c r="G6340" s="83">
        <v>46115.0</v>
      </c>
      <c r="H6340" s="76" t="s">
        <v>946</v>
      </c>
    </row>
    <row r="6341">
      <c r="A6341" s="76" t="s">
        <v>944</v>
      </c>
      <c r="B6341" s="76" t="s">
        <v>1032</v>
      </c>
      <c r="C6341" s="84">
        <v>0.14</v>
      </c>
      <c r="D6341" s="84">
        <v>0.0</v>
      </c>
      <c r="E6341" s="84">
        <v>0.0</v>
      </c>
      <c r="F6341" s="76" t="s">
        <v>993</v>
      </c>
      <c r="G6341" s="83">
        <v>46115.0</v>
      </c>
      <c r="H6341" s="76" t="s">
        <v>947</v>
      </c>
    </row>
    <row r="6342">
      <c r="A6342" s="76" t="s">
        <v>45</v>
      </c>
      <c r="B6342" s="76" t="s">
        <v>1032</v>
      </c>
      <c r="C6342" s="84">
        <v>0.47</v>
      </c>
      <c r="D6342" s="84">
        <v>0.0</v>
      </c>
      <c r="E6342" s="84">
        <v>0.0</v>
      </c>
      <c r="F6342" s="76" t="s">
        <v>993</v>
      </c>
      <c r="G6342" s="83">
        <v>46115.0</v>
      </c>
      <c r="H6342" s="76" t="s">
        <v>936</v>
      </c>
    </row>
    <row r="6343">
      <c r="A6343" s="76" t="s">
        <v>45</v>
      </c>
      <c r="B6343" s="76" t="s">
        <v>1032</v>
      </c>
      <c r="C6343" s="84">
        <v>0.05</v>
      </c>
      <c r="D6343" s="84">
        <v>0.0</v>
      </c>
      <c r="E6343" s="84">
        <v>0.0</v>
      </c>
      <c r="F6343" s="76" t="s">
        <v>993</v>
      </c>
      <c r="G6343" s="83">
        <v>46115.0</v>
      </c>
      <c r="H6343" s="76" t="s">
        <v>937</v>
      </c>
    </row>
    <row r="6344">
      <c r="A6344" s="76" t="s">
        <v>45</v>
      </c>
      <c r="B6344" s="76" t="s">
        <v>1032</v>
      </c>
      <c r="C6344" s="84">
        <v>0.5</v>
      </c>
      <c r="D6344" s="84">
        <v>0.0</v>
      </c>
      <c r="E6344" s="84">
        <v>0.0</v>
      </c>
      <c r="F6344" s="76" t="s">
        <v>993</v>
      </c>
      <c r="G6344" s="83">
        <v>46115.0</v>
      </c>
      <c r="H6344" s="76" t="s">
        <v>938</v>
      </c>
    </row>
    <row r="6345">
      <c r="A6345" s="76" t="s">
        <v>32</v>
      </c>
      <c r="B6345" s="76" t="s">
        <v>1032</v>
      </c>
      <c r="C6345" s="84">
        <v>0.41</v>
      </c>
      <c r="D6345" s="84">
        <v>0.0</v>
      </c>
      <c r="E6345" s="84">
        <v>0.0</v>
      </c>
      <c r="F6345" s="76" t="s">
        <v>993</v>
      </c>
      <c r="G6345" s="83">
        <v>46115.0</v>
      </c>
      <c r="H6345" s="76" t="s">
        <v>941</v>
      </c>
    </row>
    <row r="6346">
      <c r="A6346" s="76" t="s">
        <v>32</v>
      </c>
      <c r="B6346" s="76" t="s">
        <v>1032</v>
      </c>
      <c r="C6346" s="84">
        <v>1.23</v>
      </c>
      <c r="D6346" s="84">
        <v>1.0</v>
      </c>
      <c r="E6346" s="84">
        <v>1.23</v>
      </c>
      <c r="F6346" s="76" t="s">
        <v>993</v>
      </c>
      <c r="G6346" s="83">
        <v>46115.0</v>
      </c>
      <c r="H6346" s="76" t="s">
        <v>942</v>
      </c>
    </row>
    <row r="6347">
      <c r="A6347" s="76" t="s">
        <v>32</v>
      </c>
      <c r="B6347" s="76" t="s">
        <v>1032</v>
      </c>
      <c r="C6347" s="84">
        <v>0.86</v>
      </c>
      <c r="D6347" s="84">
        <v>0.0</v>
      </c>
      <c r="E6347" s="84">
        <v>0.0</v>
      </c>
      <c r="F6347" s="76" t="s">
        <v>993</v>
      </c>
      <c r="G6347" s="83">
        <v>46115.0</v>
      </c>
      <c r="H6347" s="76" t="s">
        <v>943</v>
      </c>
    </row>
    <row r="6348">
      <c r="A6348" s="76" t="s">
        <v>36</v>
      </c>
      <c r="B6348" s="76" t="s">
        <v>1032</v>
      </c>
      <c r="C6348" s="84">
        <v>0.37</v>
      </c>
      <c r="D6348" s="84">
        <v>0.0</v>
      </c>
      <c r="E6348" s="84">
        <v>0.0</v>
      </c>
      <c r="F6348" s="76" t="s">
        <v>993</v>
      </c>
      <c r="G6348" s="83">
        <v>46115.0</v>
      </c>
      <c r="H6348" s="76" t="s">
        <v>926</v>
      </c>
    </row>
    <row r="6349">
      <c r="A6349" s="76" t="s">
        <v>36</v>
      </c>
      <c r="B6349" s="76" t="s">
        <v>1032</v>
      </c>
      <c r="C6349" s="84">
        <v>0.61</v>
      </c>
      <c r="D6349" s="84">
        <v>0.0</v>
      </c>
      <c r="E6349" s="84">
        <v>0.0</v>
      </c>
      <c r="F6349" s="76" t="s">
        <v>993</v>
      </c>
      <c r="G6349" s="83">
        <v>46115.0</v>
      </c>
      <c r="H6349" s="76" t="s">
        <v>927</v>
      </c>
    </row>
    <row r="6350">
      <c r="A6350" s="76" t="s">
        <v>36</v>
      </c>
      <c r="B6350" s="76" t="s">
        <v>1032</v>
      </c>
      <c r="C6350" s="84">
        <v>0.11</v>
      </c>
      <c r="D6350" s="84">
        <v>0.0</v>
      </c>
      <c r="E6350" s="84">
        <v>0.0</v>
      </c>
      <c r="F6350" s="76" t="s">
        <v>993</v>
      </c>
      <c r="G6350" s="83">
        <v>46115.0</v>
      </c>
      <c r="H6350" s="76" t="s">
        <v>928</v>
      </c>
    </row>
    <row r="6351">
      <c r="A6351" s="76" t="s">
        <v>28</v>
      </c>
      <c r="B6351" s="76" t="s">
        <v>1032</v>
      </c>
      <c r="C6351" s="84">
        <v>0.31</v>
      </c>
      <c r="D6351" s="84">
        <v>0.0</v>
      </c>
      <c r="E6351" s="84">
        <v>0.0</v>
      </c>
      <c r="F6351" s="76" t="s">
        <v>993</v>
      </c>
      <c r="G6351" s="83">
        <v>46115.0</v>
      </c>
      <c r="H6351" s="76" t="s">
        <v>931</v>
      </c>
    </row>
    <row r="6352">
      <c r="A6352" s="76" t="s">
        <v>28</v>
      </c>
      <c r="B6352" s="76" t="s">
        <v>1032</v>
      </c>
      <c r="C6352" s="84">
        <v>0.04</v>
      </c>
      <c r="D6352" s="84">
        <v>0.0</v>
      </c>
      <c r="E6352" s="84">
        <v>0.0</v>
      </c>
      <c r="F6352" s="76" t="s">
        <v>993</v>
      </c>
      <c r="G6352" s="83">
        <v>46115.0</v>
      </c>
      <c r="H6352" s="76" t="s">
        <v>932</v>
      </c>
    </row>
    <row r="6353">
      <c r="A6353" s="76" t="s">
        <v>28</v>
      </c>
      <c r="B6353" s="76" t="s">
        <v>1032</v>
      </c>
      <c r="C6353" s="84">
        <v>0.52</v>
      </c>
      <c r="D6353" s="84">
        <v>0.0</v>
      </c>
      <c r="E6353" s="84">
        <v>0.0</v>
      </c>
      <c r="F6353" s="76" t="s">
        <v>993</v>
      </c>
      <c r="G6353" s="83">
        <v>46115.0</v>
      </c>
      <c r="H6353" s="76" t="s">
        <v>933</v>
      </c>
    </row>
    <row r="6354">
      <c r="A6354" s="76" t="s">
        <v>31</v>
      </c>
      <c r="B6354" s="76" t="s">
        <v>1032</v>
      </c>
      <c r="C6354" s="84">
        <v>0.33</v>
      </c>
      <c r="D6354" s="84">
        <v>0.0</v>
      </c>
      <c r="E6354" s="84">
        <v>0.0</v>
      </c>
      <c r="F6354" s="76" t="s">
        <v>993</v>
      </c>
      <c r="G6354" s="83">
        <v>46115.0</v>
      </c>
      <c r="H6354" s="76" t="s">
        <v>929</v>
      </c>
    </row>
    <row r="6355">
      <c r="A6355" s="76" t="s">
        <v>31</v>
      </c>
      <c r="B6355" s="76" t="s">
        <v>1032</v>
      </c>
      <c r="C6355" s="84">
        <v>4.84</v>
      </c>
      <c r="D6355" s="84">
        <v>0.0</v>
      </c>
      <c r="E6355" s="84">
        <v>0.0</v>
      </c>
      <c r="F6355" s="76" t="s">
        <v>993</v>
      </c>
      <c r="G6355" s="83">
        <v>46115.0</v>
      </c>
      <c r="H6355" s="76" t="s">
        <v>930</v>
      </c>
    </row>
    <row r="6356">
      <c r="A6356" s="76" t="s">
        <v>36</v>
      </c>
      <c r="B6356" s="76" t="s">
        <v>1032</v>
      </c>
      <c r="C6356" s="84">
        <v>0.27</v>
      </c>
      <c r="D6356" s="84">
        <v>0.0</v>
      </c>
      <c r="E6356" s="84">
        <v>0.0</v>
      </c>
      <c r="F6356" s="76" t="s">
        <v>998</v>
      </c>
      <c r="G6356" s="83">
        <v>46115.0</v>
      </c>
      <c r="H6356" s="76" t="s">
        <v>926</v>
      </c>
    </row>
    <row r="6357">
      <c r="A6357" s="76" t="s">
        <v>36</v>
      </c>
      <c r="B6357" s="76" t="s">
        <v>1032</v>
      </c>
      <c r="C6357" s="84">
        <v>0.2</v>
      </c>
      <c r="D6357" s="84">
        <v>0.0</v>
      </c>
      <c r="E6357" s="84">
        <v>0.0</v>
      </c>
      <c r="F6357" s="76" t="s">
        <v>998</v>
      </c>
      <c r="G6357" s="83">
        <v>46115.0</v>
      </c>
      <c r="H6357" s="76" t="s">
        <v>927</v>
      </c>
    </row>
    <row r="6358">
      <c r="A6358" s="76" t="s">
        <v>36</v>
      </c>
      <c r="B6358" s="76" t="s">
        <v>1032</v>
      </c>
      <c r="C6358" s="84">
        <v>0.15</v>
      </c>
      <c r="D6358" s="84">
        <v>0.0</v>
      </c>
      <c r="E6358" s="84">
        <v>0.0</v>
      </c>
      <c r="F6358" s="76" t="s">
        <v>998</v>
      </c>
      <c r="G6358" s="83">
        <v>46115.0</v>
      </c>
      <c r="H6358" s="76" t="s">
        <v>928</v>
      </c>
    </row>
    <row r="6359">
      <c r="A6359" s="76" t="s">
        <v>31</v>
      </c>
      <c r="B6359" s="76" t="s">
        <v>1032</v>
      </c>
      <c r="C6359" s="84">
        <v>0.45</v>
      </c>
      <c r="D6359" s="84">
        <v>0.0</v>
      </c>
      <c r="E6359" s="84">
        <v>0.0</v>
      </c>
      <c r="F6359" s="76" t="s">
        <v>998</v>
      </c>
      <c r="G6359" s="83">
        <v>46115.0</v>
      </c>
      <c r="H6359" s="76" t="s">
        <v>929</v>
      </c>
    </row>
    <row r="6360">
      <c r="A6360" s="76" t="s">
        <v>31</v>
      </c>
      <c r="B6360" s="76" t="s">
        <v>1032</v>
      </c>
      <c r="C6360" s="84">
        <v>6.52</v>
      </c>
      <c r="D6360" s="84">
        <v>1.0</v>
      </c>
      <c r="E6360" s="84">
        <v>6.52</v>
      </c>
      <c r="F6360" s="76" t="s">
        <v>998</v>
      </c>
      <c r="G6360" s="83">
        <v>46115.0</v>
      </c>
      <c r="H6360" s="76" t="s">
        <v>930</v>
      </c>
    </row>
    <row r="6361">
      <c r="A6361" s="76" t="s">
        <v>28</v>
      </c>
      <c r="B6361" s="76" t="s">
        <v>1032</v>
      </c>
      <c r="C6361" s="84">
        <v>0.14</v>
      </c>
      <c r="D6361" s="84">
        <v>0.0</v>
      </c>
      <c r="E6361" s="84">
        <v>0.0</v>
      </c>
      <c r="F6361" s="76" t="s">
        <v>998</v>
      </c>
      <c r="G6361" s="83">
        <v>46115.0</v>
      </c>
      <c r="H6361" s="76" t="s">
        <v>931</v>
      </c>
    </row>
    <row r="6362">
      <c r="A6362" s="76" t="s">
        <v>28</v>
      </c>
      <c r="B6362" s="76" t="s">
        <v>1032</v>
      </c>
      <c r="C6362" s="84">
        <v>0.11</v>
      </c>
      <c r="D6362" s="84">
        <v>0.0</v>
      </c>
      <c r="E6362" s="84">
        <v>0.0</v>
      </c>
      <c r="F6362" s="76" t="s">
        <v>998</v>
      </c>
      <c r="G6362" s="83">
        <v>46115.0</v>
      </c>
      <c r="H6362" s="76" t="s">
        <v>932</v>
      </c>
    </row>
    <row r="6363">
      <c r="A6363" s="76" t="s">
        <v>28</v>
      </c>
      <c r="B6363" s="76" t="s">
        <v>1032</v>
      </c>
      <c r="C6363" s="84">
        <v>0.55</v>
      </c>
      <c r="D6363" s="84">
        <v>0.0</v>
      </c>
      <c r="E6363" s="84">
        <v>0.0</v>
      </c>
      <c r="F6363" s="76" t="s">
        <v>998</v>
      </c>
      <c r="G6363" s="83">
        <v>46115.0</v>
      </c>
      <c r="H6363" s="76" t="s">
        <v>933</v>
      </c>
    </row>
    <row r="6364">
      <c r="A6364" s="76" t="s">
        <v>944</v>
      </c>
      <c r="B6364" s="76" t="s">
        <v>1032</v>
      </c>
      <c r="C6364" s="84">
        <v>0.4</v>
      </c>
      <c r="D6364" s="84">
        <v>0.0</v>
      </c>
      <c r="E6364" s="84">
        <v>0.0</v>
      </c>
      <c r="F6364" s="76" t="s">
        <v>998</v>
      </c>
      <c r="G6364" s="83">
        <v>46115.0</v>
      </c>
      <c r="H6364" s="76" t="s">
        <v>945</v>
      </c>
    </row>
    <row r="6365">
      <c r="A6365" s="76" t="s">
        <v>944</v>
      </c>
      <c r="B6365" s="76" t="s">
        <v>1032</v>
      </c>
      <c r="C6365" s="84">
        <v>0.19</v>
      </c>
      <c r="D6365" s="84">
        <v>0.0</v>
      </c>
      <c r="E6365" s="84">
        <v>0.0</v>
      </c>
      <c r="F6365" s="76" t="s">
        <v>998</v>
      </c>
      <c r="G6365" s="83">
        <v>46115.0</v>
      </c>
      <c r="H6365" s="76" t="s">
        <v>946</v>
      </c>
    </row>
    <row r="6366">
      <c r="A6366" s="76" t="s">
        <v>944</v>
      </c>
      <c r="B6366" s="76" t="s">
        <v>1032</v>
      </c>
      <c r="C6366" s="84">
        <v>0.06</v>
      </c>
      <c r="D6366" s="84">
        <v>0.0</v>
      </c>
      <c r="E6366" s="84">
        <v>0.0</v>
      </c>
      <c r="F6366" s="76" t="s">
        <v>998</v>
      </c>
      <c r="G6366" s="83">
        <v>46115.0</v>
      </c>
      <c r="H6366" s="76" t="s">
        <v>947</v>
      </c>
    </row>
    <row r="6367">
      <c r="A6367" s="76" t="s">
        <v>45</v>
      </c>
      <c r="B6367" s="76" t="s">
        <v>1032</v>
      </c>
      <c r="C6367" s="84">
        <v>0.17</v>
      </c>
      <c r="D6367" s="84">
        <v>0.0</v>
      </c>
      <c r="E6367" s="84">
        <v>0.0</v>
      </c>
      <c r="F6367" s="76" t="s">
        <v>998</v>
      </c>
      <c r="G6367" s="83">
        <v>46115.0</v>
      </c>
      <c r="H6367" s="76" t="s">
        <v>936</v>
      </c>
    </row>
    <row r="6368">
      <c r="A6368" s="76" t="s">
        <v>45</v>
      </c>
      <c r="B6368" s="76" t="s">
        <v>1032</v>
      </c>
      <c r="C6368" s="84">
        <v>0.04</v>
      </c>
      <c r="D6368" s="84">
        <v>0.0</v>
      </c>
      <c r="E6368" s="84">
        <v>0.0</v>
      </c>
      <c r="F6368" s="76" t="s">
        <v>998</v>
      </c>
      <c r="G6368" s="83">
        <v>46115.0</v>
      </c>
      <c r="H6368" s="76" t="s">
        <v>937</v>
      </c>
    </row>
    <row r="6369">
      <c r="A6369" s="76" t="s">
        <v>45</v>
      </c>
      <c r="B6369" s="76" t="s">
        <v>1032</v>
      </c>
      <c r="C6369" s="84">
        <v>0.14</v>
      </c>
      <c r="D6369" s="84">
        <v>0.0</v>
      </c>
      <c r="E6369" s="84">
        <v>0.0</v>
      </c>
      <c r="F6369" s="76" t="s">
        <v>998</v>
      </c>
      <c r="G6369" s="83">
        <v>46115.0</v>
      </c>
      <c r="H6369" s="76" t="s">
        <v>938</v>
      </c>
    </row>
    <row r="6370">
      <c r="A6370" s="76" t="s">
        <v>32</v>
      </c>
      <c r="B6370" s="76" t="s">
        <v>1032</v>
      </c>
      <c r="C6370" s="84">
        <v>1.41</v>
      </c>
      <c r="D6370" s="84">
        <v>0.0</v>
      </c>
      <c r="E6370" s="84">
        <v>0.0</v>
      </c>
      <c r="F6370" s="76" t="s">
        <v>998</v>
      </c>
      <c r="G6370" s="83">
        <v>46115.0</v>
      </c>
      <c r="H6370" s="76" t="s">
        <v>941</v>
      </c>
    </row>
    <row r="6371">
      <c r="A6371" s="76" t="s">
        <v>32</v>
      </c>
      <c r="B6371" s="76" t="s">
        <v>1032</v>
      </c>
      <c r="C6371" s="84">
        <v>0.62</v>
      </c>
      <c r="D6371" s="84">
        <v>0.0</v>
      </c>
      <c r="E6371" s="84">
        <v>0.0</v>
      </c>
      <c r="F6371" s="76" t="s">
        <v>998</v>
      </c>
      <c r="G6371" s="83">
        <v>46115.0</v>
      </c>
      <c r="H6371" s="76" t="s">
        <v>942</v>
      </c>
    </row>
    <row r="6372">
      <c r="A6372" s="76" t="s">
        <v>32</v>
      </c>
      <c r="B6372" s="76" t="s">
        <v>1032</v>
      </c>
      <c r="C6372" s="84">
        <v>0.67</v>
      </c>
      <c r="D6372" s="84">
        <v>1.0</v>
      </c>
      <c r="E6372" s="84">
        <v>0.67</v>
      </c>
      <c r="F6372" s="76" t="s">
        <v>998</v>
      </c>
      <c r="G6372" s="83">
        <v>46115.0</v>
      </c>
      <c r="H6372" s="76" t="s">
        <v>943</v>
      </c>
    </row>
    <row r="6373">
      <c r="A6373" s="76" t="s">
        <v>26</v>
      </c>
      <c r="B6373" s="76" t="s">
        <v>1032</v>
      </c>
      <c r="C6373" s="84">
        <v>0.3</v>
      </c>
      <c r="D6373" s="84">
        <v>0.0</v>
      </c>
      <c r="E6373" s="84">
        <v>0.0</v>
      </c>
      <c r="F6373" s="76" t="s">
        <v>998</v>
      </c>
      <c r="G6373" s="83">
        <v>46115.0</v>
      </c>
      <c r="H6373" s="76" t="s">
        <v>1012</v>
      </c>
    </row>
    <row r="6374">
      <c r="A6374" s="76" t="s">
        <v>26</v>
      </c>
      <c r="B6374" s="76" t="s">
        <v>1032</v>
      </c>
      <c r="C6374" s="84">
        <v>0.11</v>
      </c>
      <c r="D6374" s="84">
        <v>0.0</v>
      </c>
      <c r="E6374" s="84">
        <v>0.0</v>
      </c>
      <c r="F6374" s="76" t="s">
        <v>998</v>
      </c>
      <c r="G6374" s="83">
        <v>46115.0</v>
      </c>
      <c r="H6374" s="76" t="s">
        <v>1013</v>
      </c>
    </row>
    <row r="6375">
      <c r="A6375" s="76" t="s">
        <v>26</v>
      </c>
      <c r="B6375" s="76" t="s">
        <v>1032</v>
      </c>
      <c r="C6375" s="84">
        <v>0.26</v>
      </c>
      <c r="D6375" s="84">
        <v>0.0</v>
      </c>
      <c r="E6375" s="84">
        <v>0.0</v>
      </c>
      <c r="F6375" s="76" t="s">
        <v>998</v>
      </c>
      <c r="G6375" s="83">
        <v>46115.0</v>
      </c>
      <c r="H6375" s="76" t="s">
        <v>1014</v>
      </c>
    </row>
    <row r="6376">
      <c r="A6376" s="76" t="s">
        <v>36</v>
      </c>
      <c r="B6376" s="76" t="s">
        <v>1033</v>
      </c>
      <c r="C6376" s="84">
        <v>3.27</v>
      </c>
      <c r="D6376" s="84">
        <v>0.0</v>
      </c>
      <c r="E6376" s="84">
        <v>0.0</v>
      </c>
      <c r="F6376" s="76" t="s">
        <v>1034</v>
      </c>
      <c r="G6376" s="83">
        <v>46115.0</v>
      </c>
      <c r="H6376" s="76" t="s">
        <v>926</v>
      </c>
    </row>
    <row r="6377">
      <c r="A6377" s="76" t="s">
        <v>36</v>
      </c>
      <c r="B6377" s="76" t="s">
        <v>1033</v>
      </c>
      <c r="C6377" s="84">
        <v>3.42</v>
      </c>
      <c r="D6377" s="84">
        <v>0.0</v>
      </c>
      <c r="E6377" s="84">
        <v>0.0</v>
      </c>
      <c r="F6377" s="76" t="s">
        <v>1034</v>
      </c>
      <c r="G6377" s="83">
        <v>46115.0</v>
      </c>
      <c r="H6377" s="76" t="s">
        <v>927</v>
      </c>
    </row>
    <row r="6378">
      <c r="A6378" s="76" t="s">
        <v>36</v>
      </c>
      <c r="B6378" s="76" t="s">
        <v>1033</v>
      </c>
      <c r="C6378" s="84">
        <v>1.35</v>
      </c>
      <c r="D6378" s="84">
        <v>0.0</v>
      </c>
      <c r="E6378" s="84">
        <v>0.0</v>
      </c>
      <c r="F6378" s="76" t="s">
        <v>1034</v>
      </c>
      <c r="G6378" s="83">
        <v>46115.0</v>
      </c>
      <c r="H6378" s="76" t="s">
        <v>928</v>
      </c>
    </row>
    <row r="6379">
      <c r="A6379" s="76" t="s">
        <v>31</v>
      </c>
      <c r="B6379" s="76" t="s">
        <v>1033</v>
      </c>
      <c r="C6379" s="84">
        <v>4.79</v>
      </c>
      <c r="D6379" s="84">
        <v>0.0</v>
      </c>
      <c r="E6379" s="84">
        <v>0.0</v>
      </c>
      <c r="F6379" s="76" t="s">
        <v>1034</v>
      </c>
      <c r="G6379" s="83">
        <v>46115.0</v>
      </c>
      <c r="H6379" s="76" t="s">
        <v>929</v>
      </c>
    </row>
    <row r="6380">
      <c r="A6380" s="76" t="s">
        <v>31</v>
      </c>
      <c r="B6380" s="76" t="s">
        <v>1033</v>
      </c>
      <c r="C6380" s="84">
        <v>23.57</v>
      </c>
      <c r="D6380" s="84">
        <v>5.0</v>
      </c>
      <c r="E6380" s="84">
        <v>4.71</v>
      </c>
      <c r="F6380" s="76" t="s">
        <v>1034</v>
      </c>
      <c r="G6380" s="83">
        <v>46115.0</v>
      </c>
      <c r="H6380" s="76" t="s">
        <v>930</v>
      </c>
    </row>
    <row r="6381">
      <c r="A6381" s="76" t="s">
        <v>28</v>
      </c>
      <c r="B6381" s="76" t="s">
        <v>1033</v>
      </c>
      <c r="C6381" s="84">
        <v>1.8</v>
      </c>
      <c r="D6381" s="84">
        <v>0.0</v>
      </c>
      <c r="E6381" s="84">
        <v>0.0</v>
      </c>
      <c r="F6381" s="76" t="s">
        <v>1034</v>
      </c>
      <c r="G6381" s="83">
        <v>46115.0</v>
      </c>
      <c r="H6381" s="76" t="s">
        <v>931</v>
      </c>
    </row>
    <row r="6382">
      <c r="A6382" s="76" t="s">
        <v>28</v>
      </c>
      <c r="B6382" s="76" t="s">
        <v>1033</v>
      </c>
      <c r="C6382" s="84">
        <v>1.06</v>
      </c>
      <c r="D6382" s="84">
        <v>0.0</v>
      </c>
      <c r="E6382" s="84">
        <v>0.0</v>
      </c>
      <c r="F6382" s="76" t="s">
        <v>1034</v>
      </c>
      <c r="G6382" s="83">
        <v>46115.0</v>
      </c>
      <c r="H6382" s="76" t="s">
        <v>932</v>
      </c>
    </row>
    <row r="6383">
      <c r="A6383" s="76" t="s">
        <v>28</v>
      </c>
      <c r="B6383" s="76" t="s">
        <v>1033</v>
      </c>
      <c r="C6383" s="84">
        <v>7.47</v>
      </c>
      <c r="D6383" s="84">
        <v>0.0</v>
      </c>
      <c r="E6383" s="84">
        <v>0.0</v>
      </c>
      <c r="F6383" s="76" t="s">
        <v>1034</v>
      </c>
      <c r="G6383" s="83">
        <v>46115.0</v>
      </c>
      <c r="H6383" s="76" t="s">
        <v>933</v>
      </c>
    </row>
    <row r="6384">
      <c r="A6384" s="76" t="s">
        <v>45</v>
      </c>
      <c r="B6384" s="76" t="s">
        <v>1033</v>
      </c>
      <c r="C6384" s="84">
        <v>2.19</v>
      </c>
      <c r="D6384" s="84">
        <v>0.0</v>
      </c>
      <c r="E6384" s="84">
        <v>0.0</v>
      </c>
      <c r="F6384" s="76" t="s">
        <v>1034</v>
      </c>
      <c r="G6384" s="83">
        <v>46115.0</v>
      </c>
      <c r="H6384" s="76" t="s">
        <v>936</v>
      </c>
    </row>
    <row r="6385">
      <c r="A6385" s="76" t="s">
        <v>45</v>
      </c>
      <c r="B6385" s="76" t="s">
        <v>1033</v>
      </c>
      <c r="C6385" s="84">
        <v>0.6</v>
      </c>
      <c r="D6385" s="84">
        <v>0.0</v>
      </c>
      <c r="E6385" s="84">
        <v>0.0</v>
      </c>
      <c r="F6385" s="76" t="s">
        <v>1034</v>
      </c>
      <c r="G6385" s="83">
        <v>46115.0</v>
      </c>
      <c r="H6385" s="76" t="s">
        <v>937</v>
      </c>
    </row>
    <row r="6386">
      <c r="A6386" s="76" t="s">
        <v>45</v>
      </c>
      <c r="B6386" s="76" t="s">
        <v>1033</v>
      </c>
      <c r="C6386" s="84">
        <v>3.32</v>
      </c>
      <c r="D6386" s="84">
        <v>0.0</v>
      </c>
      <c r="E6386" s="84">
        <v>0.0</v>
      </c>
      <c r="F6386" s="76" t="s">
        <v>1034</v>
      </c>
      <c r="G6386" s="83">
        <v>46115.0</v>
      </c>
      <c r="H6386" s="76" t="s">
        <v>938</v>
      </c>
    </row>
    <row r="6387">
      <c r="A6387" s="76" t="s">
        <v>32</v>
      </c>
      <c r="B6387" s="76" t="s">
        <v>1033</v>
      </c>
      <c r="C6387" s="84">
        <v>5.99</v>
      </c>
      <c r="D6387" s="84">
        <v>0.0</v>
      </c>
      <c r="E6387" s="84">
        <v>0.0</v>
      </c>
      <c r="F6387" s="76" t="s">
        <v>1034</v>
      </c>
      <c r="G6387" s="83">
        <v>46115.0</v>
      </c>
      <c r="H6387" s="76" t="s">
        <v>941</v>
      </c>
    </row>
    <row r="6388">
      <c r="A6388" s="76" t="s">
        <v>32</v>
      </c>
      <c r="B6388" s="76" t="s">
        <v>1033</v>
      </c>
      <c r="C6388" s="84">
        <v>5.08</v>
      </c>
      <c r="D6388" s="84">
        <v>0.0</v>
      </c>
      <c r="E6388" s="84">
        <v>0.0</v>
      </c>
      <c r="F6388" s="76" t="s">
        <v>1034</v>
      </c>
      <c r="G6388" s="83">
        <v>46115.0</v>
      </c>
      <c r="H6388" s="76" t="s">
        <v>942</v>
      </c>
    </row>
    <row r="6389">
      <c r="A6389" s="76" t="s">
        <v>32</v>
      </c>
      <c r="B6389" s="76" t="s">
        <v>1033</v>
      </c>
      <c r="C6389" s="84">
        <v>5.15</v>
      </c>
      <c r="D6389" s="84">
        <v>0.0</v>
      </c>
      <c r="E6389" s="84">
        <v>0.0</v>
      </c>
      <c r="F6389" s="76" t="s">
        <v>1034</v>
      </c>
      <c r="G6389" s="83">
        <v>46115.0</v>
      </c>
      <c r="H6389" s="76" t="s">
        <v>943</v>
      </c>
    </row>
    <row r="6390">
      <c r="A6390" s="76" t="s">
        <v>944</v>
      </c>
      <c r="B6390" s="76" t="s">
        <v>1033</v>
      </c>
      <c r="C6390" s="84">
        <v>3.27</v>
      </c>
      <c r="D6390" s="84">
        <v>0.0</v>
      </c>
      <c r="E6390" s="84">
        <v>0.0</v>
      </c>
      <c r="F6390" s="76" t="s">
        <v>1034</v>
      </c>
      <c r="G6390" s="83">
        <v>46115.0</v>
      </c>
      <c r="H6390" s="76" t="s">
        <v>945</v>
      </c>
    </row>
    <row r="6391">
      <c r="A6391" s="76" t="s">
        <v>944</v>
      </c>
      <c r="B6391" s="76" t="s">
        <v>1033</v>
      </c>
      <c r="C6391" s="84">
        <v>1.92</v>
      </c>
      <c r="D6391" s="84">
        <v>0.0</v>
      </c>
      <c r="E6391" s="84">
        <v>0.0</v>
      </c>
      <c r="F6391" s="76" t="s">
        <v>1034</v>
      </c>
      <c r="G6391" s="83">
        <v>46115.0</v>
      </c>
      <c r="H6391" s="76" t="s">
        <v>946</v>
      </c>
    </row>
    <row r="6392">
      <c r="A6392" s="76" t="s">
        <v>944</v>
      </c>
      <c r="B6392" s="76" t="s">
        <v>1033</v>
      </c>
      <c r="C6392" s="84">
        <v>2.18</v>
      </c>
      <c r="D6392" s="84">
        <v>0.0</v>
      </c>
      <c r="E6392" s="84">
        <v>0.0</v>
      </c>
      <c r="F6392" s="76" t="s">
        <v>1034</v>
      </c>
      <c r="G6392" s="83">
        <v>46115.0</v>
      </c>
      <c r="H6392" s="76" t="s">
        <v>947</v>
      </c>
    </row>
    <row r="6393">
      <c r="A6393" s="76" t="s">
        <v>26</v>
      </c>
      <c r="B6393" s="76" t="s">
        <v>1033</v>
      </c>
      <c r="C6393" s="84">
        <v>2.25</v>
      </c>
      <c r="D6393" s="84">
        <v>0.0</v>
      </c>
      <c r="E6393" s="84">
        <v>0.0</v>
      </c>
      <c r="F6393" s="76" t="s">
        <v>1034</v>
      </c>
      <c r="G6393" s="83">
        <v>46115.0</v>
      </c>
      <c r="H6393" s="76" t="s">
        <v>1012</v>
      </c>
    </row>
    <row r="6394">
      <c r="A6394" s="76" t="s">
        <v>26</v>
      </c>
      <c r="B6394" s="76" t="s">
        <v>1033</v>
      </c>
      <c r="C6394" s="84">
        <v>2.19</v>
      </c>
      <c r="D6394" s="84">
        <v>2.0</v>
      </c>
      <c r="E6394" s="84">
        <v>1.1</v>
      </c>
      <c r="F6394" s="76" t="s">
        <v>1034</v>
      </c>
      <c r="G6394" s="83">
        <v>46115.0</v>
      </c>
      <c r="H6394" s="76" t="s">
        <v>1013</v>
      </c>
    </row>
    <row r="6395">
      <c r="A6395" s="76" t="s">
        <v>26</v>
      </c>
      <c r="B6395" s="76" t="s">
        <v>1033</v>
      </c>
      <c r="C6395" s="84">
        <v>2.5</v>
      </c>
      <c r="D6395" s="84">
        <v>0.0</v>
      </c>
      <c r="E6395" s="84">
        <v>0.0</v>
      </c>
      <c r="F6395" s="76" t="s">
        <v>1034</v>
      </c>
      <c r="G6395" s="83">
        <v>46115.0</v>
      </c>
      <c r="H6395" s="76" t="s">
        <v>1014</v>
      </c>
    </row>
    <row r="6396">
      <c r="A6396" s="76" t="s">
        <v>34</v>
      </c>
      <c r="B6396" s="76" t="s">
        <v>1035</v>
      </c>
      <c r="C6396" s="84">
        <v>0.05</v>
      </c>
      <c r="D6396" s="84">
        <v>0.0</v>
      </c>
      <c r="E6396" s="84">
        <v>0.0</v>
      </c>
      <c r="F6396" s="76" t="s">
        <v>925</v>
      </c>
      <c r="G6396" s="83">
        <v>46115.0</v>
      </c>
      <c r="H6396" s="76" t="s">
        <v>951</v>
      </c>
    </row>
    <row r="6397">
      <c r="A6397" s="76" t="s">
        <v>34</v>
      </c>
      <c r="B6397" s="76" t="s">
        <v>1035</v>
      </c>
      <c r="C6397" s="84">
        <v>0.04</v>
      </c>
      <c r="D6397" s="84">
        <v>0.0</v>
      </c>
      <c r="E6397" s="84">
        <v>0.0</v>
      </c>
      <c r="F6397" s="76" t="s">
        <v>925</v>
      </c>
      <c r="G6397" s="83">
        <v>46115.0</v>
      </c>
      <c r="H6397" s="76" t="s">
        <v>952</v>
      </c>
    </row>
    <row r="6398">
      <c r="A6398" s="76" t="s">
        <v>34</v>
      </c>
      <c r="B6398" s="76" t="s">
        <v>1035</v>
      </c>
      <c r="C6398" s="84">
        <v>0.1</v>
      </c>
      <c r="D6398" s="84">
        <v>0.0</v>
      </c>
      <c r="E6398" s="84">
        <v>0.0</v>
      </c>
      <c r="F6398" s="76" t="s">
        <v>925</v>
      </c>
      <c r="G6398" s="83">
        <v>46115.0</v>
      </c>
      <c r="H6398" s="76" t="s">
        <v>953</v>
      </c>
    </row>
    <row r="6399">
      <c r="A6399" s="76" t="s">
        <v>43</v>
      </c>
      <c r="B6399" s="76" t="s">
        <v>1035</v>
      </c>
      <c r="C6399" s="84">
        <v>0.15</v>
      </c>
      <c r="D6399" s="84">
        <v>0.0</v>
      </c>
      <c r="E6399" s="84">
        <v>0.0</v>
      </c>
      <c r="F6399" s="76" t="s">
        <v>925</v>
      </c>
      <c r="G6399" s="83">
        <v>46115.0</v>
      </c>
      <c r="H6399" s="76" t="s">
        <v>963</v>
      </c>
    </row>
    <row r="6400">
      <c r="A6400" s="76" t="s">
        <v>43</v>
      </c>
      <c r="B6400" s="76" t="s">
        <v>1035</v>
      </c>
      <c r="C6400" s="84">
        <v>0.21</v>
      </c>
      <c r="D6400" s="84">
        <v>0.0</v>
      </c>
      <c r="E6400" s="84">
        <v>0.0</v>
      </c>
      <c r="F6400" s="76" t="s">
        <v>925</v>
      </c>
      <c r="G6400" s="83">
        <v>46115.0</v>
      </c>
      <c r="H6400" s="76" t="s">
        <v>964</v>
      </c>
    </row>
    <row r="6401">
      <c r="A6401" s="76" t="s">
        <v>43</v>
      </c>
      <c r="B6401" s="76" t="s">
        <v>1035</v>
      </c>
      <c r="C6401" s="84">
        <v>0.5</v>
      </c>
      <c r="D6401" s="84">
        <v>0.0</v>
      </c>
      <c r="E6401" s="84">
        <v>0.0</v>
      </c>
      <c r="F6401" s="76" t="s">
        <v>925</v>
      </c>
      <c r="G6401" s="83">
        <v>46115.0</v>
      </c>
      <c r="H6401" s="76" t="s">
        <v>965</v>
      </c>
    </row>
    <row r="6402">
      <c r="A6402" s="76" t="s">
        <v>970</v>
      </c>
      <c r="B6402" s="76" t="s">
        <v>1035</v>
      </c>
      <c r="C6402" s="84">
        <v>0.37</v>
      </c>
      <c r="D6402" s="84">
        <v>0.0</v>
      </c>
      <c r="E6402" s="84">
        <v>0.0</v>
      </c>
      <c r="F6402" s="76" t="s">
        <v>925</v>
      </c>
      <c r="G6402" s="83">
        <v>46115.0</v>
      </c>
      <c r="H6402" s="76" t="s">
        <v>971</v>
      </c>
    </row>
    <row r="6403">
      <c r="A6403" s="76" t="s">
        <v>970</v>
      </c>
      <c r="B6403" s="76" t="s">
        <v>1035</v>
      </c>
      <c r="C6403" s="84">
        <v>0.09</v>
      </c>
      <c r="D6403" s="84">
        <v>0.0</v>
      </c>
      <c r="E6403" s="84">
        <v>0.0</v>
      </c>
      <c r="F6403" s="76" t="s">
        <v>925</v>
      </c>
      <c r="G6403" s="83">
        <v>46115.0</v>
      </c>
      <c r="H6403" s="76" t="s">
        <v>972</v>
      </c>
    </row>
    <row r="6404">
      <c r="A6404" s="76" t="s">
        <v>970</v>
      </c>
      <c r="B6404" s="76" t="s">
        <v>1035</v>
      </c>
      <c r="C6404" s="84">
        <v>0.46</v>
      </c>
      <c r="D6404" s="84">
        <v>0.0</v>
      </c>
      <c r="E6404" s="84">
        <v>0.0</v>
      </c>
      <c r="F6404" s="76" t="s">
        <v>925</v>
      </c>
      <c r="G6404" s="83">
        <v>46115.0</v>
      </c>
      <c r="H6404" s="76" t="s">
        <v>973</v>
      </c>
    </row>
    <row r="6405">
      <c r="A6405" s="76" t="s">
        <v>966</v>
      </c>
      <c r="B6405" s="76" t="s">
        <v>1035</v>
      </c>
      <c r="C6405" s="84">
        <v>0.1</v>
      </c>
      <c r="D6405" s="84">
        <v>0.0</v>
      </c>
      <c r="E6405" s="84">
        <v>0.0</v>
      </c>
      <c r="F6405" s="76" t="s">
        <v>925</v>
      </c>
      <c r="G6405" s="83">
        <v>46115.0</v>
      </c>
      <c r="H6405" s="76" t="s">
        <v>967</v>
      </c>
    </row>
    <row r="6406">
      <c r="A6406" s="76" t="s">
        <v>966</v>
      </c>
      <c r="B6406" s="76" t="s">
        <v>1035</v>
      </c>
      <c r="C6406" s="84">
        <v>0.05</v>
      </c>
      <c r="D6406" s="84">
        <v>0.0</v>
      </c>
      <c r="E6406" s="84">
        <v>0.0</v>
      </c>
      <c r="F6406" s="76" t="s">
        <v>925</v>
      </c>
      <c r="G6406" s="83">
        <v>46115.0</v>
      </c>
      <c r="H6406" s="76" t="s">
        <v>968</v>
      </c>
    </row>
    <row r="6407">
      <c r="A6407" s="76" t="s">
        <v>966</v>
      </c>
      <c r="B6407" s="76" t="s">
        <v>1035</v>
      </c>
      <c r="C6407" s="84">
        <v>0.0</v>
      </c>
      <c r="D6407" s="84">
        <v>0.0</v>
      </c>
      <c r="E6407" s="84">
        <v>0.0</v>
      </c>
      <c r="F6407" s="76" t="s">
        <v>925</v>
      </c>
      <c r="G6407" s="83">
        <v>46115.0</v>
      </c>
      <c r="H6407" s="76" t="s">
        <v>969</v>
      </c>
    </row>
    <row r="6408">
      <c r="A6408" s="76" t="s">
        <v>40</v>
      </c>
      <c r="B6408" s="76" t="s">
        <v>1035</v>
      </c>
      <c r="C6408" s="84">
        <v>0.06</v>
      </c>
      <c r="D6408" s="84">
        <v>0.0</v>
      </c>
      <c r="E6408" s="84">
        <v>0.0</v>
      </c>
      <c r="F6408" s="76" t="s">
        <v>925</v>
      </c>
      <c r="G6408" s="83">
        <v>46115.0</v>
      </c>
      <c r="H6408" s="76" t="s">
        <v>954</v>
      </c>
    </row>
    <row r="6409">
      <c r="A6409" s="76" t="s">
        <v>40</v>
      </c>
      <c r="B6409" s="76" t="s">
        <v>1035</v>
      </c>
      <c r="C6409" s="84">
        <v>0.02</v>
      </c>
      <c r="D6409" s="84">
        <v>0.0</v>
      </c>
      <c r="E6409" s="84">
        <v>0.0</v>
      </c>
      <c r="F6409" s="76" t="s">
        <v>925</v>
      </c>
      <c r="G6409" s="83">
        <v>46115.0</v>
      </c>
      <c r="H6409" s="76" t="s">
        <v>955</v>
      </c>
    </row>
    <row r="6410">
      <c r="A6410" s="76" t="s">
        <v>40</v>
      </c>
      <c r="B6410" s="76" t="s">
        <v>1035</v>
      </c>
      <c r="C6410" s="84">
        <v>0.22</v>
      </c>
      <c r="D6410" s="84">
        <v>0.0</v>
      </c>
      <c r="E6410" s="84">
        <v>0.0</v>
      </c>
      <c r="F6410" s="76" t="s">
        <v>925</v>
      </c>
      <c r="G6410" s="83">
        <v>46115.0</v>
      </c>
      <c r="H6410" s="76" t="s">
        <v>956</v>
      </c>
    </row>
    <row r="6411">
      <c r="A6411" s="76" t="s">
        <v>29</v>
      </c>
      <c r="B6411" s="76" t="s">
        <v>1035</v>
      </c>
      <c r="C6411" s="84">
        <v>0.25</v>
      </c>
      <c r="D6411" s="84">
        <v>0.0</v>
      </c>
      <c r="E6411" s="84">
        <v>0.0</v>
      </c>
      <c r="F6411" s="76" t="s">
        <v>925</v>
      </c>
      <c r="G6411" s="83">
        <v>46115.0</v>
      </c>
      <c r="H6411" s="76" t="s">
        <v>971</v>
      </c>
    </row>
    <row r="6412">
      <c r="A6412" s="76" t="s">
        <v>29</v>
      </c>
      <c r="B6412" s="76" t="s">
        <v>1035</v>
      </c>
      <c r="C6412" s="84">
        <v>0.05</v>
      </c>
      <c r="D6412" s="84">
        <v>0.0</v>
      </c>
      <c r="E6412" s="84">
        <v>0.0</v>
      </c>
      <c r="F6412" s="76" t="s">
        <v>925</v>
      </c>
      <c r="G6412" s="83">
        <v>46115.0</v>
      </c>
      <c r="H6412" s="76" t="s">
        <v>972</v>
      </c>
    </row>
    <row r="6413">
      <c r="A6413" s="76" t="s">
        <v>29</v>
      </c>
      <c r="B6413" s="76" t="s">
        <v>1035</v>
      </c>
      <c r="C6413" s="84">
        <v>0.3</v>
      </c>
      <c r="D6413" s="84">
        <v>0.0</v>
      </c>
      <c r="E6413" s="84">
        <v>0.0</v>
      </c>
      <c r="F6413" s="76" t="s">
        <v>925</v>
      </c>
      <c r="G6413" s="83">
        <v>46115.0</v>
      </c>
      <c r="H6413" s="76" t="s">
        <v>973</v>
      </c>
    </row>
    <row r="6414">
      <c r="A6414" s="76" t="s">
        <v>46</v>
      </c>
      <c r="B6414" s="76" t="s">
        <v>1035</v>
      </c>
      <c r="C6414" s="84">
        <v>0.24</v>
      </c>
      <c r="D6414" s="84">
        <v>0.0</v>
      </c>
      <c r="E6414" s="84">
        <v>0.0</v>
      </c>
      <c r="F6414" s="76" t="s">
        <v>925</v>
      </c>
      <c r="G6414" s="83">
        <v>46115.0</v>
      </c>
      <c r="H6414" s="76" t="s">
        <v>960</v>
      </c>
    </row>
    <row r="6415">
      <c r="A6415" s="76" t="s">
        <v>46</v>
      </c>
      <c r="B6415" s="76" t="s">
        <v>1035</v>
      </c>
      <c r="C6415" s="84">
        <v>0.3</v>
      </c>
      <c r="D6415" s="84">
        <v>0.0</v>
      </c>
      <c r="E6415" s="84">
        <v>0.0</v>
      </c>
      <c r="F6415" s="76" t="s">
        <v>925</v>
      </c>
      <c r="G6415" s="83">
        <v>46115.0</v>
      </c>
      <c r="H6415" s="76" t="s">
        <v>961</v>
      </c>
    </row>
    <row r="6416">
      <c r="A6416" s="76" t="s">
        <v>46</v>
      </c>
      <c r="B6416" s="76" t="s">
        <v>1035</v>
      </c>
      <c r="C6416" s="84">
        <v>0.13</v>
      </c>
      <c r="D6416" s="84">
        <v>0.0</v>
      </c>
      <c r="E6416" s="84">
        <v>0.0</v>
      </c>
      <c r="F6416" s="76" t="s">
        <v>925</v>
      </c>
      <c r="G6416" s="83">
        <v>46115.0</v>
      </c>
      <c r="H6416" s="76" t="s">
        <v>962</v>
      </c>
    </row>
    <row r="6417">
      <c r="A6417" s="76" t="s">
        <v>36</v>
      </c>
      <c r="B6417" s="76" t="s">
        <v>1035</v>
      </c>
      <c r="C6417" s="84">
        <v>0.06</v>
      </c>
      <c r="D6417" s="84">
        <v>0.0</v>
      </c>
      <c r="E6417" s="84">
        <v>0.0</v>
      </c>
      <c r="F6417" s="76" t="s">
        <v>925</v>
      </c>
      <c r="G6417" s="83">
        <v>46115.0</v>
      </c>
      <c r="H6417" s="76" t="s">
        <v>926</v>
      </c>
    </row>
    <row r="6418">
      <c r="A6418" s="76" t="s">
        <v>36</v>
      </c>
      <c r="B6418" s="76" t="s">
        <v>1035</v>
      </c>
      <c r="C6418" s="84">
        <v>0.04</v>
      </c>
      <c r="D6418" s="84">
        <v>0.0</v>
      </c>
      <c r="E6418" s="84">
        <v>0.0</v>
      </c>
      <c r="F6418" s="76" t="s">
        <v>925</v>
      </c>
      <c r="G6418" s="83">
        <v>46115.0</v>
      </c>
      <c r="H6418" s="76" t="s">
        <v>927</v>
      </c>
    </row>
    <row r="6419">
      <c r="A6419" s="76" t="s">
        <v>36</v>
      </c>
      <c r="B6419" s="76" t="s">
        <v>1035</v>
      </c>
      <c r="C6419" s="84">
        <v>0.01</v>
      </c>
      <c r="D6419" s="84">
        <v>0.0</v>
      </c>
      <c r="E6419" s="84">
        <v>0.0</v>
      </c>
      <c r="F6419" s="76" t="s">
        <v>925</v>
      </c>
      <c r="G6419" s="83">
        <v>46115.0</v>
      </c>
      <c r="H6419" s="76" t="s">
        <v>928</v>
      </c>
    </row>
    <row r="6420">
      <c r="A6420" s="76" t="s">
        <v>33</v>
      </c>
      <c r="B6420" s="76" t="s">
        <v>1035</v>
      </c>
      <c r="C6420" s="84">
        <v>0.54</v>
      </c>
      <c r="D6420" s="84">
        <v>0.0</v>
      </c>
      <c r="E6420" s="84">
        <v>0.0</v>
      </c>
      <c r="F6420" s="76" t="s">
        <v>925</v>
      </c>
      <c r="G6420" s="83">
        <v>46115.0</v>
      </c>
      <c r="H6420" s="76" t="s">
        <v>957</v>
      </c>
    </row>
    <row r="6421">
      <c r="A6421" s="76" t="s">
        <v>33</v>
      </c>
      <c r="B6421" s="76" t="s">
        <v>1035</v>
      </c>
      <c r="C6421" s="84">
        <v>0.08</v>
      </c>
      <c r="D6421" s="84">
        <v>0.0</v>
      </c>
      <c r="E6421" s="84">
        <v>0.0</v>
      </c>
      <c r="F6421" s="76" t="s">
        <v>925</v>
      </c>
      <c r="G6421" s="83">
        <v>46115.0</v>
      </c>
      <c r="H6421" s="76" t="s">
        <v>958</v>
      </c>
    </row>
    <row r="6422">
      <c r="A6422" s="76" t="s">
        <v>33</v>
      </c>
      <c r="B6422" s="76" t="s">
        <v>1035</v>
      </c>
      <c r="C6422" s="84">
        <v>0.17</v>
      </c>
      <c r="D6422" s="84">
        <v>0.0</v>
      </c>
      <c r="E6422" s="84">
        <v>0.0</v>
      </c>
      <c r="F6422" s="76" t="s">
        <v>925</v>
      </c>
      <c r="G6422" s="83">
        <v>46115.0</v>
      </c>
      <c r="H6422" s="76" t="s">
        <v>959</v>
      </c>
    </row>
    <row r="6423">
      <c r="A6423" s="76" t="s">
        <v>36</v>
      </c>
      <c r="B6423" s="76" t="s">
        <v>1035</v>
      </c>
      <c r="C6423" s="84">
        <v>0.06</v>
      </c>
      <c r="D6423" s="84">
        <v>0.0</v>
      </c>
      <c r="E6423" s="84">
        <v>0.0</v>
      </c>
      <c r="F6423" s="76" t="s">
        <v>948</v>
      </c>
      <c r="G6423" s="83">
        <v>46115.0</v>
      </c>
      <c r="H6423" s="76" t="s">
        <v>926</v>
      </c>
    </row>
    <row r="6424">
      <c r="A6424" s="76" t="s">
        <v>36</v>
      </c>
      <c r="B6424" s="76" t="s">
        <v>1035</v>
      </c>
      <c r="C6424" s="84">
        <v>0.06</v>
      </c>
      <c r="D6424" s="84">
        <v>0.0</v>
      </c>
      <c r="E6424" s="84">
        <v>0.0</v>
      </c>
      <c r="F6424" s="76" t="s">
        <v>948</v>
      </c>
      <c r="G6424" s="83">
        <v>46115.0</v>
      </c>
      <c r="H6424" s="76" t="s">
        <v>927</v>
      </c>
    </row>
    <row r="6425">
      <c r="A6425" s="76" t="s">
        <v>36</v>
      </c>
      <c r="B6425" s="76" t="s">
        <v>1035</v>
      </c>
      <c r="C6425" s="84">
        <v>0.05</v>
      </c>
      <c r="D6425" s="84">
        <v>0.0</v>
      </c>
      <c r="E6425" s="84">
        <v>0.0</v>
      </c>
      <c r="F6425" s="76" t="s">
        <v>948</v>
      </c>
      <c r="G6425" s="83">
        <v>46115.0</v>
      </c>
      <c r="H6425" s="76" t="s">
        <v>928</v>
      </c>
    </row>
    <row r="6426">
      <c r="A6426" s="76" t="s">
        <v>40</v>
      </c>
      <c r="B6426" s="76" t="s">
        <v>1035</v>
      </c>
      <c r="C6426" s="84">
        <v>0.01</v>
      </c>
      <c r="D6426" s="84">
        <v>0.0</v>
      </c>
      <c r="E6426" s="84">
        <v>0.0</v>
      </c>
      <c r="F6426" s="76" t="s">
        <v>948</v>
      </c>
      <c r="G6426" s="83">
        <v>46115.0</v>
      </c>
      <c r="H6426" s="76" t="s">
        <v>954</v>
      </c>
    </row>
    <row r="6427">
      <c r="A6427" s="76" t="s">
        <v>40</v>
      </c>
      <c r="B6427" s="76" t="s">
        <v>1035</v>
      </c>
      <c r="C6427" s="84">
        <v>0.0</v>
      </c>
      <c r="D6427" s="84">
        <v>0.0</v>
      </c>
      <c r="E6427" s="84">
        <v>0.0</v>
      </c>
      <c r="F6427" s="76" t="s">
        <v>948</v>
      </c>
      <c r="G6427" s="83">
        <v>46115.0</v>
      </c>
      <c r="H6427" s="76" t="s">
        <v>955</v>
      </c>
    </row>
    <row r="6428">
      <c r="A6428" s="76" t="s">
        <v>40</v>
      </c>
      <c r="B6428" s="76" t="s">
        <v>1035</v>
      </c>
      <c r="C6428" s="84">
        <v>0.09</v>
      </c>
      <c r="D6428" s="84">
        <v>0.0</v>
      </c>
      <c r="E6428" s="84">
        <v>0.0</v>
      </c>
      <c r="F6428" s="76" t="s">
        <v>948</v>
      </c>
      <c r="G6428" s="83">
        <v>46115.0</v>
      </c>
      <c r="H6428" s="76" t="s">
        <v>956</v>
      </c>
    </row>
    <row r="6429">
      <c r="A6429" s="76" t="s">
        <v>970</v>
      </c>
      <c r="B6429" s="76" t="s">
        <v>1035</v>
      </c>
      <c r="C6429" s="84">
        <v>0.29</v>
      </c>
      <c r="D6429" s="84">
        <v>0.0</v>
      </c>
      <c r="E6429" s="84">
        <v>0.0</v>
      </c>
      <c r="F6429" s="76" t="s">
        <v>948</v>
      </c>
      <c r="G6429" s="83">
        <v>46115.0</v>
      </c>
      <c r="H6429" s="76" t="s">
        <v>971</v>
      </c>
    </row>
    <row r="6430">
      <c r="A6430" s="76" t="s">
        <v>970</v>
      </c>
      <c r="B6430" s="76" t="s">
        <v>1035</v>
      </c>
      <c r="C6430" s="84">
        <v>0.07</v>
      </c>
      <c r="D6430" s="84">
        <v>0.0</v>
      </c>
      <c r="E6430" s="84">
        <v>0.0</v>
      </c>
      <c r="F6430" s="76" t="s">
        <v>948</v>
      </c>
      <c r="G6430" s="83">
        <v>46115.0</v>
      </c>
      <c r="H6430" s="76" t="s">
        <v>972</v>
      </c>
    </row>
    <row r="6431">
      <c r="A6431" s="76" t="s">
        <v>970</v>
      </c>
      <c r="B6431" s="76" t="s">
        <v>1035</v>
      </c>
      <c r="C6431" s="84">
        <v>0.39</v>
      </c>
      <c r="D6431" s="84">
        <v>0.0</v>
      </c>
      <c r="E6431" s="84">
        <v>0.0</v>
      </c>
      <c r="F6431" s="76" t="s">
        <v>948</v>
      </c>
      <c r="G6431" s="83">
        <v>46115.0</v>
      </c>
      <c r="H6431" s="76" t="s">
        <v>973</v>
      </c>
    </row>
    <row r="6432">
      <c r="A6432" s="76" t="s">
        <v>33</v>
      </c>
      <c r="B6432" s="76" t="s">
        <v>1035</v>
      </c>
      <c r="C6432" s="84">
        <v>0.4</v>
      </c>
      <c r="D6432" s="84">
        <v>0.0</v>
      </c>
      <c r="E6432" s="84">
        <v>0.0</v>
      </c>
      <c r="F6432" s="76" t="s">
        <v>948</v>
      </c>
      <c r="G6432" s="83">
        <v>46115.0</v>
      </c>
      <c r="H6432" s="76" t="s">
        <v>957</v>
      </c>
    </row>
    <row r="6433">
      <c r="A6433" s="76" t="s">
        <v>33</v>
      </c>
      <c r="B6433" s="76" t="s">
        <v>1035</v>
      </c>
      <c r="C6433" s="84">
        <v>0.02</v>
      </c>
      <c r="D6433" s="84">
        <v>0.0</v>
      </c>
      <c r="E6433" s="84">
        <v>0.0</v>
      </c>
      <c r="F6433" s="76" t="s">
        <v>948</v>
      </c>
      <c r="G6433" s="83">
        <v>46115.0</v>
      </c>
      <c r="H6433" s="76" t="s">
        <v>958</v>
      </c>
    </row>
    <row r="6434">
      <c r="A6434" s="76" t="s">
        <v>33</v>
      </c>
      <c r="B6434" s="76" t="s">
        <v>1035</v>
      </c>
      <c r="C6434" s="84">
        <v>0.02</v>
      </c>
      <c r="D6434" s="84">
        <v>0.0</v>
      </c>
      <c r="E6434" s="84">
        <v>0.0</v>
      </c>
      <c r="F6434" s="76" t="s">
        <v>948</v>
      </c>
      <c r="G6434" s="83">
        <v>46115.0</v>
      </c>
      <c r="H6434" s="76" t="s">
        <v>959</v>
      </c>
    </row>
    <row r="6435">
      <c r="A6435" s="76" t="s">
        <v>966</v>
      </c>
      <c r="B6435" s="76" t="s">
        <v>1035</v>
      </c>
      <c r="C6435" s="84">
        <v>0.09</v>
      </c>
      <c r="D6435" s="84">
        <v>0.0</v>
      </c>
      <c r="E6435" s="84">
        <v>0.0</v>
      </c>
      <c r="F6435" s="76" t="s">
        <v>948</v>
      </c>
      <c r="G6435" s="83">
        <v>46115.0</v>
      </c>
      <c r="H6435" s="76" t="s">
        <v>967</v>
      </c>
    </row>
    <row r="6436">
      <c r="A6436" s="76" t="s">
        <v>966</v>
      </c>
      <c r="B6436" s="76" t="s">
        <v>1035</v>
      </c>
      <c r="C6436" s="84">
        <v>0.01</v>
      </c>
      <c r="D6436" s="84">
        <v>0.0</v>
      </c>
      <c r="E6436" s="84">
        <v>0.0</v>
      </c>
      <c r="F6436" s="76" t="s">
        <v>948</v>
      </c>
      <c r="G6436" s="83">
        <v>46115.0</v>
      </c>
      <c r="H6436" s="76" t="s">
        <v>968</v>
      </c>
    </row>
    <row r="6437">
      <c r="A6437" s="76" t="s">
        <v>966</v>
      </c>
      <c r="B6437" s="76" t="s">
        <v>1035</v>
      </c>
      <c r="C6437" s="84">
        <v>0.01</v>
      </c>
      <c r="D6437" s="84">
        <v>0.0</v>
      </c>
      <c r="E6437" s="84">
        <v>0.0</v>
      </c>
      <c r="F6437" s="76" t="s">
        <v>948</v>
      </c>
      <c r="G6437" s="83">
        <v>46115.0</v>
      </c>
      <c r="H6437" s="76" t="s">
        <v>969</v>
      </c>
    </row>
    <row r="6438">
      <c r="A6438" s="76" t="s">
        <v>43</v>
      </c>
      <c r="B6438" s="76" t="s">
        <v>1035</v>
      </c>
      <c r="C6438" s="84">
        <v>0.16</v>
      </c>
      <c r="D6438" s="84">
        <v>0.0</v>
      </c>
      <c r="E6438" s="84">
        <v>0.0</v>
      </c>
      <c r="F6438" s="76" t="s">
        <v>948</v>
      </c>
      <c r="G6438" s="83">
        <v>46115.0</v>
      </c>
      <c r="H6438" s="76" t="s">
        <v>963</v>
      </c>
    </row>
    <row r="6439">
      <c r="A6439" s="76" t="s">
        <v>43</v>
      </c>
      <c r="B6439" s="76" t="s">
        <v>1035</v>
      </c>
      <c r="C6439" s="84">
        <v>0.11</v>
      </c>
      <c r="D6439" s="84">
        <v>0.0</v>
      </c>
      <c r="E6439" s="84">
        <v>0.0</v>
      </c>
      <c r="F6439" s="76" t="s">
        <v>948</v>
      </c>
      <c r="G6439" s="83">
        <v>46115.0</v>
      </c>
      <c r="H6439" s="76" t="s">
        <v>964</v>
      </c>
    </row>
    <row r="6440">
      <c r="A6440" s="76" t="s">
        <v>43</v>
      </c>
      <c r="B6440" s="76" t="s">
        <v>1035</v>
      </c>
      <c r="C6440" s="84">
        <v>0.16</v>
      </c>
      <c r="D6440" s="84">
        <v>0.0</v>
      </c>
      <c r="E6440" s="84">
        <v>0.0</v>
      </c>
      <c r="F6440" s="76" t="s">
        <v>948</v>
      </c>
      <c r="G6440" s="83">
        <v>46115.0</v>
      </c>
      <c r="H6440" s="76" t="s">
        <v>965</v>
      </c>
    </row>
    <row r="6441">
      <c r="A6441" s="76" t="s">
        <v>46</v>
      </c>
      <c r="B6441" s="76" t="s">
        <v>1035</v>
      </c>
      <c r="C6441" s="84">
        <v>0.11</v>
      </c>
      <c r="D6441" s="84">
        <v>0.0</v>
      </c>
      <c r="E6441" s="84">
        <v>0.0</v>
      </c>
      <c r="F6441" s="76" t="s">
        <v>948</v>
      </c>
      <c r="G6441" s="83">
        <v>46115.0</v>
      </c>
      <c r="H6441" s="76" t="s">
        <v>960</v>
      </c>
    </row>
    <row r="6442">
      <c r="A6442" s="76" t="s">
        <v>46</v>
      </c>
      <c r="B6442" s="76" t="s">
        <v>1035</v>
      </c>
      <c r="C6442" s="84">
        <v>0.1</v>
      </c>
      <c r="D6442" s="84">
        <v>0.0</v>
      </c>
      <c r="E6442" s="84">
        <v>0.0</v>
      </c>
      <c r="F6442" s="76" t="s">
        <v>948</v>
      </c>
      <c r="G6442" s="83">
        <v>46115.0</v>
      </c>
      <c r="H6442" s="76" t="s">
        <v>961</v>
      </c>
    </row>
    <row r="6443">
      <c r="A6443" s="76" t="s">
        <v>46</v>
      </c>
      <c r="B6443" s="76" t="s">
        <v>1035</v>
      </c>
      <c r="C6443" s="84">
        <v>0.03</v>
      </c>
      <c r="D6443" s="84">
        <v>0.0</v>
      </c>
      <c r="E6443" s="84">
        <v>0.0</v>
      </c>
      <c r="F6443" s="76" t="s">
        <v>948</v>
      </c>
      <c r="G6443" s="83">
        <v>46115.0</v>
      </c>
      <c r="H6443" s="76" t="s">
        <v>962</v>
      </c>
    </row>
    <row r="6444">
      <c r="A6444" s="76" t="s">
        <v>34</v>
      </c>
      <c r="B6444" s="76" t="s">
        <v>1035</v>
      </c>
      <c r="C6444" s="84">
        <v>0.02</v>
      </c>
      <c r="D6444" s="84">
        <v>0.0</v>
      </c>
      <c r="E6444" s="84">
        <v>0.0</v>
      </c>
      <c r="F6444" s="76" t="s">
        <v>948</v>
      </c>
      <c r="G6444" s="83">
        <v>46115.0</v>
      </c>
      <c r="H6444" s="76" t="s">
        <v>951</v>
      </c>
    </row>
    <row r="6445">
      <c r="A6445" s="76" t="s">
        <v>34</v>
      </c>
      <c r="B6445" s="76" t="s">
        <v>1035</v>
      </c>
      <c r="C6445" s="84">
        <v>0.03</v>
      </c>
      <c r="D6445" s="84">
        <v>0.0</v>
      </c>
      <c r="E6445" s="84">
        <v>0.0</v>
      </c>
      <c r="F6445" s="76" t="s">
        <v>948</v>
      </c>
      <c r="G6445" s="83">
        <v>46115.0</v>
      </c>
      <c r="H6445" s="76" t="s">
        <v>952</v>
      </c>
    </row>
    <row r="6446">
      <c r="A6446" s="76" t="s">
        <v>29</v>
      </c>
      <c r="B6446" s="76" t="s">
        <v>1035</v>
      </c>
      <c r="C6446" s="84">
        <v>0.18</v>
      </c>
      <c r="D6446" s="84">
        <v>0.0</v>
      </c>
      <c r="E6446" s="84">
        <v>0.0</v>
      </c>
      <c r="F6446" s="76" t="s">
        <v>948</v>
      </c>
      <c r="G6446" s="83">
        <v>46115.0</v>
      </c>
      <c r="H6446" s="76" t="s">
        <v>971</v>
      </c>
    </row>
    <row r="6447">
      <c r="A6447" s="76" t="s">
        <v>29</v>
      </c>
      <c r="B6447" s="76" t="s">
        <v>1035</v>
      </c>
      <c r="C6447" s="84">
        <v>0.01</v>
      </c>
      <c r="D6447" s="84">
        <v>0.0</v>
      </c>
      <c r="E6447" s="84">
        <v>0.0</v>
      </c>
      <c r="F6447" s="76" t="s">
        <v>948</v>
      </c>
      <c r="G6447" s="83">
        <v>46115.0</v>
      </c>
      <c r="H6447" s="76" t="s">
        <v>972</v>
      </c>
    </row>
    <row r="6448">
      <c r="A6448" s="76" t="s">
        <v>29</v>
      </c>
      <c r="B6448" s="76" t="s">
        <v>1035</v>
      </c>
      <c r="C6448" s="84">
        <v>0.3</v>
      </c>
      <c r="D6448" s="84">
        <v>0.0</v>
      </c>
      <c r="E6448" s="84">
        <v>0.0</v>
      </c>
      <c r="F6448" s="76" t="s">
        <v>948</v>
      </c>
      <c r="G6448" s="83">
        <v>46115.0</v>
      </c>
      <c r="H6448" s="76" t="s">
        <v>973</v>
      </c>
    </row>
    <row r="6449">
      <c r="A6449" s="76" t="s">
        <v>34</v>
      </c>
      <c r="B6449" s="76" t="s">
        <v>1029</v>
      </c>
      <c r="C6449" s="84">
        <v>0.05</v>
      </c>
      <c r="D6449" s="84">
        <v>0.0</v>
      </c>
      <c r="E6449" s="84">
        <v>0.0</v>
      </c>
      <c r="F6449" s="76" t="s">
        <v>950</v>
      </c>
      <c r="G6449" s="83">
        <v>46116.0</v>
      </c>
      <c r="H6449" s="76" t="s">
        <v>951</v>
      </c>
    </row>
    <row r="6450">
      <c r="A6450" s="76" t="s">
        <v>34</v>
      </c>
      <c r="B6450" s="76" t="s">
        <v>1029</v>
      </c>
      <c r="C6450" s="84">
        <v>0.12</v>
      </c>
      <c r="D6450" s="84">
        <v>0.0</v>
      </c>
      <c r="E6450" s="84">
        <v>0.0</v>
      </c>
      <c r="F6450" s="76" t="s">
        <v>950</v>
      </c>
      <c r="G6450" s="83">
        <v>46116.0</v>
      </c>
      <c r="H6450" s="76" t="s">
        <v>952</v>
      </c>
    </row>
    <row r="6451">
      <c r="A6451" s="76" t="s">
        <v>34</v>
      </c>
      <c r="B6451" s="76" t="s">
        <v>1029</v>
      </c>
      <c r="C6451" s="84">
        <v>0.14</v>
      </c>
      <c r="D6451" s="84">
        <v>0.0</v>
      </c>
      <c r="E6451" s="84">
        <v>0.0</v>
      </c>
      <c r="F6451" s="76" t="s">
        <v>950</v>
      </c>
      <c r="G6451" s="83">
        <v>46116.0</v>
      </c>
      <c r="H6451" s="76" t="s">
        <v>953</v>
      </c>
    </row>
    <row r="6452">
      <c r="A6452" s="76" t="s">
        <v>46</v>
      </c>
      <c r="B6452" s="76" t="s">
        <v>1029</v>
      </c>
      <c r="C6452" s="84">
        <v>0.16</v>
      </c>
      <c r="D6452" s="84">
        <v>0.0</v>
      </c>
      <c r="E6452" s="84">
        <v>0.0</v>
      </c>
      <c r="F6452" s="76" t="s">
        <v>950</v>
      </c>
      <c r="G6452" s="83">
        <v>46116.0</v>
      </c>
      <c r="H6452" s="76" t="s">
        <v>960</v>
      </c>
    </row>
    <row r="6453">
      <c r="A6453" s="76" t="s">
        <v>46</v>
      </c>
      <c r="B6453" s="76" t="s">
        <v>1029</v>
      </c>
      <c r="C6453" s="84">
        <v>0.09</v>
      </c>
      <c r="D6453" s="84">
        <v>0.0</v>
      </c>
      <c r="E6453" s="84">
        <v>0.0</v>
      </c>
      <c r="F6453" s="76" t="s">
        <v>950</v>
      </c>
      <c r="G6453" s="83">
        <v>46116.0</v>
      </c>
      <c r="H6453" s="76" t="s">
        <v>961</v>
      </c>
    </row>
    <row r="6454">
      <c r="A6454" s="76" t="s">
        <v>46</v>
      </c>
      <c r="B6454" s="76" t="s">
        <v>1029</v>
      </c>
      <c r="C6454" s="84">
        <v>0.07</v>
      </c>
      <c r="D6454" s="84">
        <v>0.0</v>
      </c>
      <c r="E6454" s="84">
        <v>0.0</v>
      </c>
      <c r="F6454" s="76" t="s">
        <v>950</v>
      </c>
      <c r="G6454" s="83">
        <v>46116.0</v>
      </c>
      <c r="H6454" s="76" t="s">
        <v>962</v>
      </c>
    </row>
    <row r="6455">
      <c r="A6455" s="76" t="s">
        <v>29</v>
      </c>
      <c r="B6455" s="76" t="s">
        <v>1029</v>
      </c>
      <c r="C6455" s="84">
        <v>0.25</v>
      </c>
      <c r="D6455" s="84">
        <v>0.0</v>
      </c>
      <c r="E6455" s="84">
        <v>0.0</v>
      </c>
      <c r="F6455" s="76" t="s">
        <v>950</v>
      </c>
      <c r="G6455" s="83">
        <v>46116.0</v>
      </c>
      <c r="H6455" s="76" t="s">
        <v>971</v>
      </c>
    </row>
    <row r="6456">
      <c r="A6456" s="76" t="s">
        <v>29</v>
      </c>
      <c r="B6456" s="76" t="s">
        <v>1029</v>
      </c>
      <c r="C6456" s="84">
        <v>0.1</v>
      </c>
      <c r="D6456" s="84">
        <v>0.0</v>
      </c>
      <c r="E6456" s="84">
        <v>0.0</v>
      </c>
      <c r="F6456" s="76" t="s">
        <v>950</v>
      </c>
      <c r="G6456" s="83">
        <v>46116.0</v>
      </c>
      <c r="H6456" s="76" t="s">
        <v>972</v>
      </c>
    </row>
    <row r="6457">
      <c r="A6457" s="76" t="s">
        <v>29</v>
      </c>
      <c r="B6457" s="76" t="s">
        <v>1029</v>
      </c>
      <c r="C6457" s="84">
        <v>19.86</v>
      </c>
      <c r="D6457" s="84">
        <v>1.0</v>
      </c>
      <c r="E6457" s="84">
        <v>19.86</v>
      </c>
      <c r="F6457" s="76" t="s">
        <v>950</v>
      </c>
      <c r="G6457" s="83">
        <v>46116.0</v>
      </c>
      <c r="H6457" s="76" t="s">
        <v>973</v>
      </c>
    </row>
    <row r="6458">
      <c r="A6458" s="76" t="s">
        <v>33</v>
      </c>
      <c r="B6458" s="76" t="s">
        <v>1029</v>
      </c>
      <c r="C6458" s="84">
        <v>80.94</v>
      </c>
      <c r="D6458" s="84">
        <v>9.0</v>
      </c>
      <c r="E6458" s="84">
        <v>8.99</v>
      </c>
      <c r="F6458" s="76" t="s">
        <v>950</v>
      </c>
      <c r="G6458" s="83">
        <v>46116.0</v>
      </c>
      <c r="H6458" s="76" t="s">
        <v>957</v>
      </c>
    </row>
    <row r="6459">
      <c r="A6459" s="76" t="s">
        <v>33</v>
      </c>
      <c r="B6459" s="76" t="s">
        <v>1029</v>
      </c>
      <c r="C6459" s="84">
        <v>0.43</v>
      </c>
      <c r="D6459" s="84">
        <v>0.0</v>
      </c>
      <c r="E6459" s="84">
        <v>0.0</v>
      </c>
      <c r="F6459" s="76" t="s">
        <v>950</v>
      </c>
      <c r="G6459" s="83">
        <v>46116.0</v>
      </c>
      <c r="H6459" s="76" t="s">
        <v>958</v>
      </c>
    </row>
    <row r="6460">
      <c r="A6460" s="76" t="s">
        <v>33</v>
      </c>
      <c r="B6460" s="76" t="s">
        <v>1029</v>
      </c>
      <c r="C6460" s="84">
        <v>0.82</v>
      </c>
      <c r="D6460" s="84">
        <v>0.0</v>
      </c>
      <c r="E6460" s="84">
        <v>0.0</v>
      </c>
      <c r="F6460" s="76" t="s">
        <v>950</v>
      </c>
      <c r="G6460" s="83">
        <v>46116.0</v>
      </c>
      <c r="H6460" s="76" t="s">
        <v>959</v>
      </c>
    </row>
    <row r="6461">
      <c r="A6461" s="76" t="s">
        <v>970</v>
      </c>
      <c r="B6461" s="76" t="s">
        <v>1029</v>
      </c>
      <c r="C6461" s="84">
        <v>0.43</v>
      </c>
      <c r="D6461" s="84">
        <v>0.0</v>
      </c>
      <c r="E6461" s="84">
        <v>0.0</v>
      </c>
      <c r="F6461" s="76" t="s">
        <v>950</v>
      </c>
      <c r="G6461" s="83">
        <v>46116.0</v>
      </c>
      <c r="H6461" s="76" t="s">
        <v>971</v>
      </c>
    </row>
    <row r="6462">
      <c r="A6462" s="76" t="s">
        <v>970</v>
      </c>
      <c r="B6462" s="76" t="s">
        <v>1029</v>
      </c>
      <c r="C6462" s="84">
        <v>0.04</v>
      </c>
      <c r="D6462" s="84">
        <v>0.0</v>
      </c>
      <c r="E6462" s="84">
        <v>0.0</v>
      </c>
      <c r="F6462" s="76" t="s">
        <v>950</v>
      </c>
      <c r="G6462" s="83">
        <v>46116.0</v>
      </c>
      <c r="H6462" s="76" t="s">
        <v>972</v>
      </c>
    </row>
    <row r="6463">
      <c r="A6463" s="76" t="s">
        <v>970</v>
      </c>
      <c r="B6463" s="76" t="s">
        <v>1029</v>
      </c>
      <c r="C6463" s="84">
        <v>33.3</v>
      </c>
      <c r="D6463" s="84">
        <v>2.0</v>
      </c>
      <c r="E6463" s="84">
        <v>16.65</v>
      </c>
      <c r="F6463" s="76" t="s">
        <v>950</v>
      </c>
      <c r="G6463" s="83">
        <v>46116.0</v>
      </c>
      <c r="H6463" s="76" t="s">
        <v>973</v>
      </c>
    </row>
    <row r="6464">
      <c r="A6464" s="76" t="s">
        <v>43</v>
      </c>
      <c r="B6464" s="76" t="s">
        <v>1029</v>
      </c>
      <c r="C6464" s="84">
        <v>0.26</v>
      </c>
      <c r="D6464" s="84">
        <v>0.0</v>
      </c>
      <c r="E6464" s="84">
        <v>0.0</v>
      </c>
      <c r="F6464" s="76" t="s">
        <v>950</v>
      </c>
      <c r="G6464" s="83">
        <v>46116.0</v>
      </c>
      <c r="H6464" s="76" t="s">
        <v>963</v>
      </c>
    </row>
    <row r="6465">
      <c r="A6465" s="76" t="s">
        <v>43</v>
      </c>
      <c r="B6465" s="76" t="s">
        <v>1029</v>
      </c>
      <c r="C6465" s="84">
        <v>0.39</v>
      </c>
      <c r="D6465" s="84">
        <v>0.0</v>
      </c>
      <c r="E6465" s="84">
        <v>0.0</v>
      </c>
      <c r="F6465" s="76" t="s">
        <v>950</v>
      </c>
      <c r="G6465" s="83">
        <v>46116.0</v>
      </c>
      <c r="H6465" s="76" t="s">
        <v>964</v>
      </c>
    </row>
    <row r="6466">
      <c r="A6466" s="76" t="s">
        <v>43</v>
      </c>
      <c r="B6466" s="76" t="s">
        <v>1029</v>
      </c>
      <c r="C6466" s="84">
        <v>1.55</v>
      </c>
      <c r="D6466" s="84">
        <v>0.0</v>
      </c>
      <c r="E6466" s="84">
        <v>0.0</v>
      </c>
      <c r="F6466" s="76" t="s">
        <v>950</v>
      </c>
      <c r="G6466" s="83">
        <v>46116.0</v>
      </c>
      <c r="H6466" s="76" t="s">
        <v>965</v>
      </c>
    </row>
    <row r="6467">
      <c r="A6467" s="76" t="s">
        <v>966</v>
      </c>
      <c r="B6467" s="76" t="s">
        <v>1029</v>
      </c>
      <c r="C6467" s="84">
        <v>0.34</v>
      </c>
      <c r="D6467" s="84">
        <v>0.0</v>
      </c>
      <c r="E6467" s="84">
        <v>0.0</v>
      </c>
      <c r="F6467" s="76" t="s">
        <v>950</v>
      </c>
      <c r="G6467" s="83">
        <v>46116.0</v>
      </c>
      <c r="H6467" s="76" t="s">
        <v>967</v>
      </c>
    </row>
    <row r="6468">
      <c r="A6468" s="76" t="s">
        <v>966</v>
      </c>
      <c r="B6468" s="76" t="s">
        <v>1029</v>
      </c>
      <c r="C6468" s="84">
        <v>0.06</v>
      </c>
      <c r="D6468" s="84">
        <v>0.0</v>
      </c>
      <c r="E6468" s="84">
        <v>0.0</v>
      </c>
      <c r="F6468" s="76" t="s">
        <v>950</v>
      </c>
      <c r="G6468" s="83">
        <v>46116.0</v>
      </c>
      <c r="H6468" s="76" t="s">
        <v>968</v>
      </c>
    </row>
    <row r="6469">
      <c r="A6469" s="76" t="s">
        <v>966</v>
      </c>
      <c r="B6469" s="76" t="s">
        <v>1029</v>
      </c>
      <c r="C6469" s="84">
        <v>0.1</v>
      </c>
      <c r="D6469" s="84">
        <v>0.0</v>
      </c>
      <c r="E6469" s="84">
        <v>0.0</v>
      </c>
      <c r="F6469" s="76" t="s">
        <v>950</v>
      </c>
      <c r="G6469" s="83">
        <v>46116.0</v>
      </c>
      <c r="H6469" s="76" t="s">
        <v>969</v>
      </c>
    </row>
    <row r="6470">
      <c r="A6470" s="76" t="s">
        <v>36</v>
      </c>
      <c r="B6470" s="76" t="s">
        <v>1029</v>
      </c>
      <c r="C6470" s="84">
        <v>0.15</v>
      </c>
      <c r="D6470" s="84">
        <v>0.0</v>
      </c>
      <c r="E6470" s="84">
        <v>0.0</v>
      </c>
      <c r="F6470" s="76" t="s">
        <v>950</v>
      </c>
      <c r="G6470" s="83">
        <v>46116.0</v>
      </c>
      <c r="H6470" s="76" t="s">
        <v>926</v>
      </c>
    </row>
    <row r="6471">
      <c r="A6471" s="76" t="s">
        <v>36</v>
      </c>
      <c r="B6471" s="76" t="s">
        <v>1029</v>
      </c>
      <c r="C6471" s="84">
        <v>0.09</v>
      </c>
      <c r="D6471" s="84">
        <v>0.0</v>
      </c>
      <c r="E6471" s="84">
        <v>0.0</v>
      </c>
      <c r="F6471" s="76" t="s">
        <v>950</v>
      </c>
      <c r="G6471" s="83">
        <v>46116.0</v>
      </c>
      <c r="H6471" s="76" t="s">
        <v>927</v>
      </c>
    </row>
    <row r="6472">
      <c r="A6472" s="76" t="s">
        <v>36</v>
      </c>
      <c r="B6472" s="76" t="s">
        <v>1029</v>
      </c>
      <c r="C6472" s="84">
        <v>0.09</v>
      </c>
      <c r="D6472" s="84">
        <v>0.0</v>
      </c>
      <c r="E6472" s="84">
        <v>0.0</v>
      </c>
      <c r="F6472" s="76" t="s">
        <v>950</v>
      </c>
      <c r="G6472" s="83">
        <v>46116.0</v>
      </c>
      <c r="H6472" s="76" t="s">
        <v>928</v>
      </c>
    </row>
    <row r="6473">
      <c r="A6473" s="76" t="s">
        <v>40</v>
      </c>
      <c r="B6473" s="76" t="s">
        <v>1029</v>
      </c>
      <c r="C6473" s="84">
        <v>0.08</v>
      </c>
      <c r="D6473" s="84">
        <v>0.0</v>
      </c>
      <c r="E6473" s="84">
        <v>0.0</v>
      </c>
      <c r="F6473" s="76" t="s">
        <v>950</v>
      </c>
      <c r="G6473" s="83">
        <v>46116.0</v>
      </c>
      <c r="H6473" s="76" t="s">
        <v>954</v>
      </c>
    </row>
    <row r="6474">
      <c r="A6474" s="76" t="s">
        <v>40</v>
      </c>
      <c r="B6474" s="76" t="s">
        <v>1029</v>
      </c>
      <c r="C6474" s="84">
        <v>0.04</v>
      </c>
      <c r="D6474" s="84">
        <v>0.0</v>
      </c>
      <c r="E6474" s="84">
        <v>0.0</v>
      </c>
      <c r="F6474" s="76" t="s">
        <v>950</v>
      </c>
      <c r="G6474" s="83">
        <v>46116.0</v>
      </c>
      <c r="H6474" s="76" t="s">
        <v>955</v>
      </c>
    </row>
    <row r="6475">
      <c r="A6475" s="76" t="s">
        <v>40</v>
      </c>
      <c r="B6475" s="76" t="s">
        <v>1029</v>
      </c>
      <c r="C6475" s="84">
        <v>0.29</v>
      </c>
      <c r="D6475" s="84">
        <v>0.0</v>
      </c>
      <c r="E6475" s="84">
        <v>0.0</v>
      </c>
      <c r="F6475" s="76" t="s">
        <v>950</v>
      </c>
      <c r="G6475" s="83">
        <v>46116.0</v>
      </c>
      <c r="H6475" s="76" t="s">
        <v>956</v>
      </c>
    </row>
    <row r="6476">
      <c r="A6476" s="76" t="s">
        <v>966</v>
      </c>
      <c r="B6476" s="76" t="s">
        <v>1029</v>
      </c>
      <c r="C6476" s="84">
        <v>0.22</v>
      </c>
      <c r="D6476" s="84">
        <v>0.0</v>
      </c>
      <c r="E6476" s="84">
        <v>0.0</v>
      </c>
      <c r="F6476" s="76" t="s">
        <v>974</v>
      </c>
      <c r="G6476" s="83">
        <v>46116.0</v>
      </c>
      <c r="H6476" s="76" t="s">
        <v>967</v>
      </c>
    </row>
    <row r="6477">
      <c r="A6477" s="76" t="s">
        <v>966</v>
      </c>
      <c r="B6477" s="76" t="s">
        <v>1029</v>
      </c>
      <c r="C6477" s="84">
        <v>0.03</v>
      </c>
      <c r="D6477" s="84">
        <v>0.0</v>
      </c>
      <c r="E6477" s="84">
        <v>0.0</v>
      </c>
      <c r="F6477" s="76" t="s">
        <v>974</v>
      </c>
      <c r="G6477" s="83">
        <v>46116.0</v>
      </c>
      <c r="H6477" s="76" t="s">
        <v>968</v>
      </c>
    </row>
    <row r="6478">
      <c r="A6478" s="76" t="s">
        <v>966</v>
      </c>
      <c r="B6478" s="76" t="s">
        <v>1029</v>
      </c>
      <c r="C6478" s="84">
        <v>0.11</v>
      </c>
      <c r="D6478" s="84">
        <v>0.0</v>
      </c>
      <c r="E6478" s="84">
        <v>0.0</v>
      </c>
      <c r="F6478" s="76" t="s">
        <v>974</v>
      </c>
      <c r="G6478" s="83">
        <v>46116.0</v>
      </c>
      <c r="H6478" s="76" t="s">
        <v>969</v>
      </c>
    </row>
    <row r="6479">
      <c r="A6479" s="76" t="s">
        <v>43</v>
      </c>
      <c r="B6479" s="76" t="s">
        <v>1029</v>
      </c>
      <c r="C6479" s="84">
        <v>0.27</v>
      </c>
      <c r="D6479" s="84">
        <v>1.0</v>
      </c>
      <c r="E6479" s="84">
        <v>0.27</v>
      </c>
      <c r="F6479" s="76" t="s">
        <v>974</v>
      </c>
      <c r="G6479" s="83">
        <v>46116.0</v>
      </c>
      <c r="H6479" s="76" t="s">
        <v>963</v>
      </c>
    </row>
    <row r="6480">
      <c r="A6480" s="76" t="s">
        <v>43</v>
      </c>
      <c r="B6480" s="76" t="s">
        <v>1029</v>
      </c>
      <c r="C6480" s="84">
        <v>0.31</v>
      </c>
      <c r="D6480" s="84">
        <v>0.0</v>
      </c>
      <c r="E6480" s="84">
        <v>0.0</v>
      </c>
      <c r="F6480" s="76" t="s">
        <v>974</v>
      </c>
      <c r="G6480" s="83">
        <v>46116.0</v>
      </c>
      <c r="H6480" s="76" t="s">
        <v>964</v>
      </c>
    </row>
    <row r="6481">
      <c r="A6481" s="76" t="s">
        <v>43</v>
      </c>
      <c r="B6481" s="76" t="s">
        <v>1029</v>
      </c>
      <c r="C6481" s="84">
        <v>3.52</v>
      </c>
      <c r="D6481" s="84">
        <v>0.0</v>
      </c>
      <c r="E6481" s="84">
        <v>0.0</v>
      </c>
      <c r="F6481" s="76" t="s">
        <v>974</v>
      </c>
      <c r="G6481" s="83">
        <v>46116.0</v>
      </c>
      <c r="H6481" s="76" t="s">
        <v>965</v>
      </c>
    </row>
    <row r="6482">
      <c r="A6482" s="76" t="s">
        <v>36</v>
      </c>
      <c r="B6482" s="76" t="s">
        <v>1029</v>
      </c>
      <c r="C6482" s="84">
        <v>0.11</v>
      </c>
      <c r="D6482" s="84">
        <v>0.0</v>
      </c>
      <c r="E6482" s="84">
        <v>0.0</v>
      </c>
      <c r="F6482" s="76" t="s">
        <v>974</v>
      </c>
      <c r="G6482" s="83">
        <v>46116.0</v>
      </c>
      <c r="H6482" s="76" t="s">
        <v>926</v>
      </c>
    </row>
    <row r="6483">
      <c r="A6483" s="76" t="s">
        <v>36</v>
      </c>
      <c r="B6483" s="76" t="s">
        <v>1029</v>
      </c>
      <c r="C6483" s="84">
        <v>0.05</v>
      </c>
      <c r="D6483" s="84">
        <v>0.0</v>
      </c>
      <c r="E6483" s="84">
        <v>0.0</v>
      </c>
      <c r="F6483" s="76" t="s">
        <v>974</v>
      </c>
      <c r="G6483" s="83">
        <v>46116.0</v>
      </c>
      <c r="H6483" s="76" t="s">
        <v>927</v>
      </c>
    </row>
    <row r="6484">
      <c r="A6484" s="76" t="s">
        <v>36</v>
      </c>
      <c r="B6484" s="76" t="s">
        <v>1029</v>
      </c>
      <c r="C6484" s="84">
        <v>0.01</v>
      </c>
      <c r="D6484" s="84">
        <v>0.0</v>
      </c>
      <c r="E6484" s="84">
        <v>0.0</v>
      </c>
      <c r="F6484" s="76" t="s">
        <v>974</v>
      </c>
      <c r="G6484" s="83">
        <v>46116.0</v>
      </c>
      <c r="H6484" s="76" t="s">
        <v>928</v>
      </c>
    </row>
    <row r="6485">
      <c r="A6485" s="76" t="s">
        <v>33</v>
      </c>
      <c r="B6485" s="76" t="s">
        <v>1029</v>
      </c>
      <c r="C6485" s="84">
        <v>37.05</v>
      </c>
      <c r="D6485" s="84">
        <v>0.0</v>
      </c>
      <c r="E6485" s="84">
        <v>0.0</v>
      </c>
      <c r="F6485" s="76" t="s">
        <v>974</v>
      </c>
      <c r="G6485" s="83">
        <v>46116.0</v>
      </c>
      <c r="H6485" s="76" t="s">
        <v>957</v>
      </c>
    </row>
    <row r="6486">
      <c r="A6486" s="76" t="s">
        <v>33</v>
      </c>
      <c r="B6486" s="76" t="s">
        <v>1029</v>
      </c>
      <c r="C6486" s="84">
        <v>0.18</v>
      </c>
      <c r="D6486" s="84">
        <v>0.0</v>
      </c>
      <c r="E6486" s="84">
        <v>0.0</v>
      </c>
      <c r="F6486" s="76" t="s">
        <v>974</v>
      </c>
      <c r="G6486" s="83">
        <v>46116.0</v>
      </c>
      <c r="H6486" s="76" t="s">
        <v>958</v>
      </c>
    </row>
    <row r="6487">
      <c r="A6487" s="76" t="s">
        <v>33</v>
      </c>
      <c r="B6487" s="76" t="s">
        <v>1029</v>
      </c>
      <c r="C6487" s="84">
        <v>0.16</v>
      </c>
      <c r="D6487" s="84">
        <v>0.0</v>
      </c>
      <c r="E6487" s="84">
        <v>0.0</v>
      </c>
      <c r="F6487" s="76" t="s">
        <v>974</v>
      </c>
      <c r="G6487" s="83">
        <v>46116.0</v>
      </c>
      <c r="H6487" s="76" t="s">
        <v>959</v>
      </c>
    </row>
    <row r="6488">
      <c r="A6488" s="76" t="s">
        <v>29</v>
      </c>
      <c r="B6488" s="76" t="s">
        <v>1029</v>
      </c>
      <c r="C6488" s="84">
        <v>0.24</v>
      </c>
      <c r="D6488" s="84">
        <v>0.0</v>
      </c>
      <c r="E6488" s="84">
        <v>0.0</v>
      </c>
      <c r="F6488" s="76" t="s">
        <v>974</v>
      </c>
      <c r="G6488" s="83">
        <v>46116.0</v>
      </c>
      <c r="H6488" s="76" t="s">
        <v>971</v>
      </c>
    </row>
    <row r="6489">
      <c r="A6489" s="76" t="s">
        <v>29</v>
      </c>
      <c r="B6489" s="76" t="s">
        <v>1029</v>
      </c>
      <c r="C6489" s="84">
        <v>0.04</v>
      </c>
      <c r="D6489" s="84">
        <v>0.0</v>
      </c>
      <c r="E6489" s="84">
        <v>0.0</v>
      </c>
      <c r="F6489" s="76" t="s">
        <v>974</v>
      </c>
      <c r="G6489" s="83">
        <v>46116.0</v>
      </c>
      <c r="H6489" s="76" t="s">
        <v>972</v>
      </c>
    </row>
    <row r="6490">
      <c r="A6490" s="76" t="s">
        <v>29</v>
      </c>
      <c r="B6490" s="76" t="s">
        <v>1029</v>
      </c>
      <c r="C6490" s="84">
        <v>20.03</v>
      </c>
      <c r="D6490" s="84">
        <v>2.0</v>
      </c>
      <c r="E6490" s="84">
        <v>10.01</v>
      </c>
      <c r="F6490" s="76" t="s">
        <v>974</v>
      </c>
      <c r="G6490" s="83">
        <v>46116.0</v>
      </c>
      <c r="H6490" s="76" t="s">
        <v>973</v>
      </c>
    </row>
    <row r="6491">
      <c r="A6491" s="76" t="s">
        <v>46</v>
      </c>
      <c r="B6491" s="76" t="s">
        <v>1029</v>
      </c>
      <c r="C6491" s="84">
        <v>0.32</v>
      </c>
      <c r="D6491" s="84">
        <v>0.0</v>
      </c>
      <c r="E6491" s="84">
        <v>0.0</v>
      </c>
      <c r="F6491" s="76" t="s">
        <v>974</v>
      </c>
      <c r="G6491" s="83">
        <v>46116.0</v>
      </c>
      <c r="H6491" s="76" t="s">
        <v>960</v>
      </c>
    </row>
    <row r="6492">
      <c r="A6492" s="76" t="s">
        <v>46</v>
      </c>
      <c r="B6492" s="76" t="s">
        <v>1029</v>
      </c>
      <c r="C6492" s="84">
        <v>0.08</v>
      </c>
      <c r="D6492" s="84">
        <v>0.0</v>
      </c>
      <c r="E6492" s="84">
        <v>0.0</v>
      </c>
      <c r="F6492" s="76" t="s">
        <v>974</v>
      </c>
      <c r="G6492" s="83">
        <v>46116.0</v>
      </c>
      <c r="H6492" s="76" t="s">
        <v>961</v>
      </c>
    </row>
    <row r="6493">
      <c r="A6493" s="76" t="s">
        <v>46</v>
      </c>
      <c r="B6493" s="76" t="s">
        <v>1029</v>
      </c>
      <c r="C6493" s="84">
        <v>0.06</v>
      </c>
      <c r="D6493" s="84">
        <v>0.0</v>
      </c>
      <c r="E6493" s="84">
        <v>0.0</v>
      </c>
      <c r="F6493" s="76" t="s">
        <v>974</v>
      </c>
      <c r="G6493" s="83">
        <v>46116.0</v>
      </c>
      <c r="H6493" s="76" t="s">
        <v>962</v>
      </c>
    </row>
    <row r="6494">
      <c r="A6494" s="76" t="s">
        <v>34</v>
      </c>
      <c r="B6494" s="76" t="s">
        <v>1029</v>
      </c>
      <c r="C6494" s="84">
        <v>0.12</v>
      </c>
      <c r="D6494" s="84">
        <v>0.0</v>
      </c>
      <c r="E6494" s="84">
        <v>0.0</v>
      </c>
      <c r="F6494" s="76" t="s">
        <v>974</v>
      </c>
      <c r="G6494" s="83">
        <v>46116.0</v>
      </c>
      <c r="H6494" s="76" t="s">
        <v>951</v>
      </c>
    </row>
    <row r="6495">
      <c r="A6495" s="76" t="s">
        <v>34</v>
      </c>
      <c r="B6495" s="76" t="s">
        <v>1029</v>
      </c>
      <c r="C6495" s="84">
        <v>0.8</v>
      </c>
      <c r="D6495" s="84">
        <v>0.0</v>
      </c>
      <c r="E6495" s="84">
        <v>0.0</v>
      </c>
      <c r="F6495" s="76" t="s">
        <v>974</v>
      </c>
      <c r="G6495" s="83">
        <v>46116.0</v>
      </c>
      <c r="H6495" s="76" t="s">
        <v>952</v>
      </c>
    </row>
    <row r="6496">
      <c r="A6496" s="76" t="s">
        <v>34</v>
      </c>
      <c r="B6496" s="76" t="s">
        <v>1029</v>
      </c>
      <c r="C6496" s="84">
        <v>0.12</v>
      </c>
      <c r="D6496" s="84">
        <v>0.0</v>
      </c>
      <c r="E6496" s="84">
        <v>0.0</v>
      </c>
      <c r="F6496" s="76" t="s">
        <v>974</v>
      </c>
      <c r="G6496" s="83">
        <v>46116.0</v>
      </c>
      <c r="H6496" s="76" t="s">
        <v>953</v>
      </c>
    </row>
    <row r="6497">
      <c r="A6497" s="76" t="s">
        <v>970</v>
      </c>
      <c r="B6497" s="76" t="s">
        <v>1029</v>
      </c>
      <c r="C6497" s="84">
        <v>0.37</v>
      </c>
      <c r="D6497" s="84">
        <v>0.0</v>
      </c>
      <c r="E6497" s="84">
        <v>0.0</v>
      </c>
      <c r="F6497" s="76" t="s">
        <v>974</v>
      </c>
      <c r="G6497" s="83">
        <v>46116.0</v>
      </c>
      <c r="H6497" s="76" t="s">
        <v>971</v>
      </c>
    </row>
    <row r="6498">
      <c r="A6498" s="76" t="s">
        <v>970</v>
      </c>
      <c r="B6498" s="76" t="s">
        <v>1029</v>
      </c>
      <c r="C6498" s="84">
        <v>0.02</v>
      </c>
      <c r="D6498" s="84">
        <v>0.0</v>
      </c>
      <c r="E6498" s="84">
        <v>0.0</v>
      </c>
      <c r="F6498" s="76" t="s">
        <v>974</v>
      </c>
      <c r="G6498" s="83">
        <v>46116.0</v>
      </c>
      <c r="H6498" s="76" t="s">
        <v>972</v>
      </c>
    </row>
    <row r="6499">
      <c r="A6499" s="76" t="s">
        <v>970</v>
      </c>
      <c r="B6499" s="76" t="s">
        <v>1029</v>
      </c>
      <c r="C6499" s="84">
        <v>33.53</v>
      </c>
      <c r="D6499" s="84">
        <v>0.0</v>
      </c>
      <c r="E6499" s="84">
        <v>0.0</v>
      </c>
      <c r="F6499" s="76" t="s">
        <v>974</v>
      </c>
      <c r="G6499" s="83">
        <v>46116.0</v>
      </c>
      <c r="H6499" s="76" t="s">
        <v>973</v>
      </c>
    </row>
    <row r="6500">
      <c r="A6500" s="76" t="s">
        <v>40</v>
      </c>
      <c r="B6500" s="76" t="s">
        <v>1029</v>
      </c>
      <c r="C6500" s="84">
        <v>0.03</v>
      </c>
      <c r="D6500" s="84">
        <v>0.0</v>
      </c>
      <c r="E6500" s="84">
        <v>0.0</v>
      </c>
      <c r="F6500" s="76" t="s">
        <v>974</v>
      </c>
      <c r="G6500" s="83">
        <v>46116.0</v>
      </c>
      <c r="H6500" s="76" t="s">
        <v>954</v>
      </c>
    </row>
    <row r="6501">
      <c r="A6501" s="76" t="s">
        <v>40</v>
      </c>
      <c r="B6501" s="76" t="s">
        <v>1029</v>
      </c>
      <c r="C6501" s="84">
        <v>0.0</v>
      </c>
      <c r="D6501" s="84">
        <v>0.0</v>
      </c>
      <c r="E6501" s="84">
        <v>0.0</v>
      </c>
      <c r="F6501" s="76" t="s">
        <v>974</v>
      </c>
      <c r="G6501" s="83">
        <v>46116.0</v>
      </c>
      <c r="H6501" s="76" t="s">
        <v>955</v>
      </c>
    </row>
    <row r="6502">
      <c r="A6502" s="76" t="s">
        <v>40</v>
      </c>
      <c r="B6502" s="76" t="s">
        <v>1029</v>
      </c>
      <c r="C6502" s="84">
        <v>0.4</v>
      </c>
      <c r="D6502" s="84">
        <v>0.0</v>
      </c>
      <c r="E6502" s="84">
        <v>0.0</v>
      </c>
      <c r="F6502" s="76" t="s">
        <v>974</v>
      </c>
      <c r="G6502" s="83">
        <v>46116.0</v>
      </c>
      <c r="H6502" s="76" t="s">
        <v>956</v>
      </c>
    </row>
    <row r="6503">
      <c r="A6503" s="76" t="s">
        <v>29</v>
      </c>
      <c r="B6503" s="76" t="s">
        <v>1029</v>
      </c>
      <c r="C6503" s="84">
        <v>0.7</v>
      </c>
      <c r="D6503" s="84">
        <v>0.0</v>
      </c>
      <c r="E6503" s="84">
        <v>0.0</v>
      </c>
      <c r="F6503" s="76" t="s">
        <v>975</v>
      </c>
      <c r="G6503" s="83">
        <v>46116.0</v>
      </c>
      <c r="H6503" s="76" t="s">
        <v>971</v>
      </c>
    </row>
    <row r="6504">
      <c r="A6504" s="76" t="s">
        <v>29</v>
      </c>
      <c r="B6504" s="76" t="s">
        <v>1029</v>
      </c>
      <c r="C6504" s="84">
        <v>0.07</v>
      </c>
      <c r="D6504" s="84">
        <v>0.0</v>
      </c>
      <c r="E6504" s="84">
        <v>0.0</v>
      </c>
      <c r="F6504" s="76" t="s">
        <v>975</v>
      </c>
      <c r="G6504" s="83">
        <v>46116.0</v>
      </c>
      <c r="H6504" s="76" t="s">
        <v>972</v>
      </c>
    </row>
    <row r="6505">
      <c r="A6505" s="76" t="s">
        <v>29</v>
      </c>
      <c r="B6505" s="76" t="s">
        <v>1029</v>
      </c>
      <c r="C6505" s="84">
        <v>44.92</v>
      </c>
      <c r="D6505" s="84">
        <v>4.0</v>
      </c>
      <c r="E6505" s="84">
        <v>11.23</v>
      </c>
      <c r="F6505" s="76" t="s">
        <v>975</v>
      </c>
      <c r="G6505" s="83">
        <v>46116.0</v>
      </c>
      <c r="H6505" s="76" t="s">
        <v>973</v>
      </c>
    </row>
    <row r="6506">
      <c r="A6506" s="76" t="s">
        <v>46</v>
      </c>
      <c r="B6506" s="76" t="s">
        <v>1029</v>
      </c>
      <c r="C6506" s="84">
        <v>0.66</v>
      </c>
      <c r="D6506" s="84">
        <v>0.0</v>
      </c>
      <c r="E6506" s="84">
        <v>0.0</v>
      </c>
      <c r="F6506" s="76" t="s">
        <v>975</v>
      </c>
      <c r="G6506" s="83">
        <v>46116.0</v>
      </c>
      <c r="H6506" s="76" t="s">
        <v>960</v>
      </c>
    </row>
    <row r="6507">
      <c r="A6507" s="76" t="s">
        <v>46</v>
      </c>
      <c r="B6507" s="76" t="s">
        <v>1029</v>
      </c>
      <c r="C6507" s="84">
        <v>0.15</v>
      </c>
      <c r="D6507" s="84">
        <v>0.0</v>
      </c>
      <c r="E6507" s="84">
        <v>0.0</v>
      </c>
      <c r="F6507" s="76" t="s">
        <v>975</v>
      </c>
      <c r="G6507" s="83">
        <v>46116.0</v>
      </c>
      <c r="H6507" s="76" t="s">
        <v>961</v>
      </c>
    </row>
    <row r="6508">
      <c r="A6508" s="76" t="s">
        <v>46</v>
      </c>
      <c r="B6508" s="76" t="s">
        <v>1029</v>
      </c>
      <c r="C6508" s="84">
        <v>0.13</v>
      </c>
      <c r="D6508" s="84">
        <v>0.0</v>
      </c>
      <c r="E6508" s="84">
        <v>0.0</v>
      </c>
      <c r="F6508" s="76" t="s">
        <v>975</v>
      </c>
      <c r="G6508" s="83">
        <v>46116.0</v>
      </c>
      <c r="H6508" s="76" t="s">
        <v>962</v>
      </c>
    </row>
    <row r="6509">
      <c r="A6509" s="76" t="s">
        <v>36</v>
      </c>
      <c r="B6509" s="76" t="s">
        <v>1029</v>
      </c>
      <c r="C6509" s="84">
        <v>0.78</v>
      </c>
      <c r="D6509" s="84">
        <v>0.0</v>
      </c>
      <c r="E6509" s="84">
        <v>0.0</v>
      </c>
      <c r="F6509" s="76" t="s">
        <v>975</v>
      </c>
      <c r="G6509" s="83">
        <v>46116.0</v>
      </c>
      <c r="H6509" s="76" t="s">
        <v>926</v>
      </c>
    </row>
    <row r="6510">
      <c r="A6510" s="76" t="s">
        <v>36</v>
      </c>
      <c r="B6510" s="76" t="s">
        <v>1029</v>
      </c>
      <c r="C6510" s="84">
        <v>0.17</v>
      </c>
      <c r="D6510" s="84">
        <v>0.0</v>
      </c>
      <c r="E6510" s="84">
        <v>0.0</v>
      </c>
      <c r="F6510" s="76" t="s">
        <v>975</v>
      </c>
      <c r="G6510" s="83">
        <v>46116.0</v>
      </c>
      <c r="H6510" s="76" t="s">
        <v>927</v>
      </c>
    </row>
    <row r="6511">
      <c r="A6511" s="76" t="s">
        <v>36</v>
      </c>
      <c r="B6511" s="76" t="s">
        <v>1029</v>
      </c>
      <c r="C6511" s="84">
        <v>0.28</v>
      </c>
      <c r="D6511" s="84">
        <v>1.0</v>
      </c>
      <c r="E6511" s="84">
        <v>0.28</v>
      </c>
      <c r="F6511" s="76" t="s">
        <v>975</v>
      </c>
      <c r="G6511" s="83">
        <v>46116.0</v>
      </c>
      <c r="H6511" s="76" t="s">
        <v>928</v>
      </c>
    </row>
    <row r="6512">
      <c r="A6512" s="76" t="s">
        <v>43</v>
      </c>
      <c r="B6512" s="76" t="s">
        <v>1029</v>
      </c>
      <c r="C6512" s="84">
        <v>0.36</v>
      </c>
      <c r="D6512" s="84">
        <v>0.0</v>
      </c>
      <c r="E6512" s="84">
        <v>0.0</v>
      </c>
      <c r="F6512" s="76" t="s">
        <v>975</v>
      </c>
      <c r="G6512" s="83">
        <v>46116.0</v>
      </c>
      <c r="H6512" s="76" t="s">
        <v>963</v>
      </c>
    </row>
    <row r="6513">
      <c r="A6513" s="76" t="s">
        <v>43</v>
      </c>
      <c r="B6513" s="76" t="s">
        <v>1029</v>
      </c>
      <c r="C6513" s="84">
        <v>0.67</v>
      </c>
      <c r="D6513" s="84">
        <v>0.0</v>
      </c>
      <c r="E6513" s="84">
        <v>0.0</v>
      </c>
      <c r="F6513" s="76" t="s">
        <v>975</v>
      </c>
      <c r="G6513" s="83">
        <v>46116.0</v>
      </c>
      <c r="H6513" s="76" t="s">
        <v>964</v>
      </c>
    </row>
    <row r="6514">
      <c r="A6514" s="76" t="s">
        <v>43</v>
      </c>
      <c r="B6514" s="76" t="s">
        <v>1029</v>
      </c>
      <c r="C6514" s="84">
        <v>3.83</v>
      </c>
      <c r="D6514" s="84">
        <v>0.0</v>
      </c>
      <c r="E6514" s="84">
        <v>0.0</v>
      </c>
      <c r="F6514" s="76" t="s">
        <v>975</v>
      </c>
      <c r="G6514" s="83">
        <v>46116.0</v>
      </c>
      <c r="H6514" s="76" t="s">
        <v>965</v>
      </c>
    </row>
    <row r="6515">
      <c r="A6515" s="76" t="s">
        <v>34</v>
      </c>
      <c r="B6515" s="76" t="s">
        <v>1029</v>
      </c>
      <c r="C6515" s="84">
        <v>0.35</v>
      </c>
      <c r="D6515" s="84">
        <v>0.0</v>
      </c>
      <c r="E6515" s="84">
        <v>0.0</v>
      </c>
      <c r="F6515" s="76" t="s">
        <v>975</v>
      </c>
      <c r="G6515" s="83">
        <v>46116.0</v>
      </c>
      <c r="H6515" s="76" t="s">
        <v>951</v>
      </c>
    </row>
    <row r="6516">
      <c r="A6516" s="76" t="s">
        <v>34</v>
      </c>
      <c r="B6516" s="76" t="s">
        <v>1029</v>
      </c>
      <c r="C6516" s="84">
        <v>0.32</v>
      </c>
      <c r="D6516" s="84">
        <v>0.0</v>
      </c>
      <c r="E6516" s="84">
        <v>0.0</v>
      </c>
      <c r="F6516" s="76" t="s">
        <v>975</v>
      </c>
      <c r="G6516" s="83">
        <v>46116.0</v>
      </c>
      <c r="H6516" s="76" t="s">
        <v>952</v>
      </c>
    </row>
    <row r="6517">
      <c r="A6517" s="76" t="s">
        <v>34</v>
      </c>
      <c r="B6517" s="76" t="s">
        <v>1029</v>
      </c>
      <c r="C6517" s="84">
        <v>0.36</v>
      </c>
      <c r="D6517" s="84">
        <v>0.0</v>
      </c>
      <c r="E6517" s="84">
        <v>0.0</v>
      </c>
      <c r="F6517" s="76" t="s">
        <v>975</v>
      </c>
      <c r="G6517" s="83">
        <v>46116.0</v>
      </c>
      <c r="H6517" s="76" t="s">
        <v>953</v>
      </c>
    </row>
    <row r="6518">
      <c r="A6518" s="76" t="s">
        <v>40</v>
      </c>
      <c r="B6518" s="76" t="s">
        <v>1029</v>
      </c>
      <c r="C6518" s="84">
        <v>0.31</v>
      </c>
      <c r="D6518" s="84">
        <v>0.0</v>
      </c>
      <c r="E6518" s="84">
        <v>0.0</v>
      </c>
      <c r="F6518" s="76" t="s">
        <v>975</v>
      </c>
      <c r="G6518" s="83">
        <v>46116.0</v>
      </c>
      <c r="H6518" s="76" t="s">
        <v>954</v>
      </c>
    </row>
    <row r="6519">
      <c r="A6519" s="76" t="s">
        <v>40</v>
      </c>
      <c r="B6519" s="76" t="s">
        <v>1029</v>
      </c>
      <c r="C6519" s="84">
        <v>0.01</v>
      </c>
      <c r="D6519" s="84">
        <v>0.0</v>
      </c>
      <c r="E6519" s="84">
        <v>0.0</v>
      </c>
      <c r="F6519" s="76" t="s">
        <v>975</v>
      </c>
      <c r="G6519" s="83">
        <v>46116.0</v>
      </c>
      <c r="H6519" s="76" t="s">
        <v>955</v>
      </c>
    </row>
    <row r="6520">
      <c r="A6520" s="76" t="s">
        <v>40</v>
      </c>
      <c r="B6520" s="76" t="s">
        <v>1029</v>
      </c>
      <c r="C6520" s="84">
        <v>0.97</v>
      </c>
      <c r="D6520" s="84">
        <v>1.0</v>
      </c>
      <c r="E6520" s="84">
        <v>0.97</v>
      </c>
      <c r="F6520" s="76" t="s">
        <v>975</v>
      </c>
      <c r="G6520" s="83">
        <v>46116.0</v>
      </c>
      <c r="H6520" s="76" t="s">
        <v>956</v>
      </c>
    </row>
    <row r="6521">
      <c r="A6521" s="76" t="s">
        <v>970</v>
      </c>
      <c r="B6521" s="76" t="s">
        <v>1029</v>
      </c>
      <c r="C6521" s="84">
        <v>0.63</v>
      </c>
      <c r="D6521" s="84">
        <v>0.0</v>
      </c>
      <c r="E6521" s="84">
        <v>0.0</v>
      </c>
      <c r="F6521" s="76" t="s">
        <v>975</v>
      </c>
      <c r="G6521" s="83">
        <v>46116.0</v>
      </c>
      <c r="H6521" s="76" t="s">
        <v>971</v>
      </c>
    </row>
    <row r="6522">
      <c r="A6522" s="76" t="s">
        <v>970</v>
      </c>
      <c r="B6522" s="76" t="s">
        <v>1029</v>
      </c>
      <c r="C6522" s="84">
        <v>0.07</v>
      </c>
      <c r="D6522" s="84">
        <v>0.0</v>
      </c>
      <c r="E6522" s="84">
        <v>0.0</v>
      </c>
      <c r="F6522" s="76" t="s">
        <v>975</v>
      </c>
      <c r="G6522" s="83">
        <v>46116.0</v>
      </c>
      <c r="H6522" s="76" t="s">
        <v>972</v>
      </c>
    </row>
    <row r="6523">
      <c r="A6523" s="76" t="s">
        <v>970</v>
      </c>
      <c r="B6523" s="76" t="s">
        <v>1029</v>
      </c>
      <c r="C6523" s="84">
        <v>55.58</v>
      </c>
      <c r="D6523" s="84">
        <v>3.0</v>
      </c>
      <c r="E6523" s="84">
        <v>18.53</v>
      </c>
      <c r="F6523" s="76" t="s">
        <v>975</v>
      </c>
      <c r="G6523" s="83">
        <v>46116.0</v>
      </c>
      <c r="H6523" s="76" t="s">
        <v>973</v>
      </c>
    </row>
    <row r="6524">
      <c r="A6524" s="76" t="s">
        <v>966</v>
      </c>
      <c r="B6524" s="76" t="s">
        <v>1029</v>
      </c>
      <c r="C6524" s="84">
        <v>0.38</v>
      </c>
      <c r="D6524" s="84">
        <v>1.0</v>
      </c>
      <c r="E6524" s="84">
        <v>0.38</v>
      </c>
      <c r="F6524" s="76" t="s">
        <v>975</v>
      </c>
      <c r="G6524" s="83">
        <v>46116.0</v>
      </c>
      <c r="H6524" s="76" t="s">
        <v>967</v>
      </c>
    </row>
    <row r="6525">
      <c r="A6525" s="76" t="s">
        <v>966</v>
      </c>
      <c r="B6525" s="76" t="s">
        <v>1029</v>
      </c>
      <c r="C6525" s="84">
        <v>0.07</v>
      </c>
      <c r="D6525" s="84">
        <v>0.0</v>
      </c>
      <c r="E6525" s="84">
        <v>0.0</v>
      </c>
      <c r="F6525" s="76" t="s">
        <v>975</v>
      </c>
      <c r="G6525" s="83">
        <v>46116.0</v>
      </c>
      <c r="H6525" s="76" t="s">
        <v>968</v>
      </c>
    </row>
    <row r="6526">
      <c r="A6526" s="76" t="s">
        <v>966</v>
      </c>
      <c r="B6526" s="76" t="s">
        <v>1029</v>
      </c>
      <c r="C6526" s="84">
        <v>0.37</v>
      </c>
      <c r="D6526" s="84">
        <v>0.0</v>
      </c>
      <c r="E6526" s="84">
        <v>0.0</v>
      </c>
      <c r="F6526" s="76" t="s">
        <v>975</v>
      </c>
      <c r="G6526" s="83">
        <v>46116.0</v>
      </c>
      <c r="H6526" s="76" t="s">
        <v>969</v>
      </c>
    </row>
    <row r="6527">
      <c r="A6527" s="76" t="s">
        <v>33</v>
      </c>
      <c r="B6527" s="76" t="s">
        <v>1029</v>
      </c>
      <c r="C6527" s="84">
        <v>48.2</v>
      </c>
      <c r="D6527" s="84">
        <v>3.0</v>
      </c>
      <c r="E6527" s="84">
        <v>16.07</v>
      </c>
      <c r="F6527" s="76" t="s">
        <v>975</v>
      </c>
      <c r="G6527" s="83">
        <v>46116.0</v>
      </c>
      <c r="H6527" s="76" t="s">
        <v>957</v>
      </c>
    </row>
    <row r="6528">
      <c r="A6528" s="76" t="s">
        <v>33</v>
      </c>
      <c r="B6528" s="76" t="s">
        <v>1029</v>
      </c>
      <c r="C6528" s="84">
        <v>0.43</v>
      </c>
      <c r="D6528" s="84">
        <v>0.0</v>
      </c>
      <c r="E6528" s="84">
        <v>0.0</v>
      </c>
      <c r="F6528" s="76" t="s">
        <v>975</v>
      </c>
      <c r="G6528" s="83">
        <v>46116.0</v>
      </c>
      <c r="H6528" s="76" t="s">
        <v>958</v>
      </c>
    </row>
    <row r="6529">
      <c r="A6529" s="76" t="s">
        <v>33</v>
      </c>
      <c r="B6529" s="76" t="s">
        <v>1029</v>
      </c>
      <c r="C6529" s="84">
        <v>0.53</v>
      </c>
      <c r="D6529" s="84">
        <v>0.0</v>
      </c>
      <c r="E6529" s="84">
        <v>0.0</v>
      </c>
      <c r="F6529" s="76" t="s">
        <v>975</v>
      </c>
      <c r="G6529" s="83">
        <v>46116.0</v>
      </c>
      <c r="H6529" s="76" t="s">
        <v>959</v>
      </c>
    </row>
    <row r="6530">
      <c r="A6530" s="76" t="s">
        <v>36</v>
      </c>
      <c r="B6530" s="76" t="s">
        <v>1036</v>
      </c>
      <c r="C6530" s="84">
        <v>0.13</v>
      </c>
      <c r="D6530" s="84">
        <v>0.0</v>
      </c>
      <c r="E6530" s="84">
        <v>0.0</v>
      </c>
      <c r="F6530" s="76" t="s">
        <v>975</v>
      </c>
      <c r="G6530" s="83">
        <v>46116.0</v>
      </c>
      <c r="H6530" s="76" t="s">
        <v>926</v>
      </c>
    </row>
    <row r="6531">
      <c r="A6531" s="76" t="s">
        <v>36</v>
      </c>
      <c r="B6531" s="76" t="s">
        <v>1036</v>
      </c>
      <c r="C6531" s="84">
        <v>0.15</v>
      </c>
      <c r="D6531" s="84">
        <v>0.0</v>
      </c>
      <c r="E6531" s="84">
        <v>0.0</v>
      </c>
      <c r="F6531" s="76" t="s">
        <v>975</v>
      </c>
      <c r="G6531" s="83">
        <v>46116.0</v>
      </c>
      <c r="H6531" s="76" t="s">
        <v>927</v>
      </c>
    </row>
    <row r="6532">
      <c r="A6532" s="76" t="s">
        <v>36</v>
      </c>
      <c r="B6532" s="76" t="s">
        <v>1036</v>
      </c>
      <c r="C6532" s="84">
        <v>0.07</v>
      </c>
      <c r="D6532" s="84">
        <v>0.0</v>
      </c>
      <c r="E6532" s="84">
        <v>0.0</v>
      </c>
      <c r="F6532" s="76" t="s">
        <v>975</v>
      </c>
      <c r="G6532" s="83">
        <v>46116.0</v>
      </c>
      <c r="H6532" s="76" t="s">
        <v>928</v>
      </c>
    </row>
    <row r="6533">
      <c r="A6533" s="76" t="s">
        <v>50</v>
      </c>
      <c r="B6533" s="76" t="s">
        <v>1036</v>
      </c>
      <c r="C6533" s="84">
        <v>0.15</v>
      </c>
      <c r="D6533" s="84">
        <v>0.0</v>
      </c>
      <c r="E6533" s="84">
        <v>0.0</v>
      </c>
      <c r="F6533" s="76" t="s">
        <v>975</v>
      </c>
      <c r="G6533" s="83">
        <v>46116.0</v>
      </c>
      <c r="H6533" s="76" t="s">
        <v>939</v>
      </c>
    </row>
    <row r="6534">
      <c r="A6534" s="76" t="s">
        <v>50</v>
      </c>
      <c r="B6534" s="76" t="s">
        <v>1036</v>
      </c>
      <c r="C6534" s="84">
        <v>0.29</v>
      </c>
      <c r="D6534" s="84">
        <v>0.0</v>
      </c>
      <c r="E6534" s="84">
        <v>0.0</v>
      </c>
      <c r="F6534" s="76" t="s">
        <v>975</v>
      </c>
      <c r="G6534" s="83">
        <v>46116.0</v>
      </c>
      <c r="H6534" s="76" t="s">
        <v>940</v>
      </c>
    </row>
    <row r="6535">
      <c r="A6535" s="76" t="s">
        <v>944</v>
      </c>
      <c r="B6535" s="76" t="s">
        <v>1036</v>
      </c>
      <c r="C6535" s="84">
        <v>0.08</v>
      </c>
      <c r="D6535" s="84">
        <v>0.0</v>
      </c>
      <c r="E6535" s="84">
        <v>0.0</v>
      </c>
      <c r="F6535" s="76" t="s">
        <v>975</v>
      </c>
      <c r="G6535" s="83">
        <v>46116.0</v>
      </c>
      <c r="H6535" s="76" t="s">
        <v>945</v>
      </c>
    </row>
    <row r="6536">
      <c r="A6536" s="76" t="s">
        <v>944</v>
      </c>
      <c r="B6536" s="76" t="s">
        <v>1036</v>
      </c>
      <c r="C6536" s="84">
        <v>0.02</v>
      </c>
      <c r="D6536" s="84">
        <v>0.0</v>
      </c>
      <c r="E6536" s="84">
        <v>0.0</v>
      </c>
      <c r="F6536" s="76" t="s">
        <v>975</v>
      </c>
      <c r="G6536" s="83">
        <v>46116.0</v>
      </c>
      <c r="H6536" s="76" t="s">
        <v>946</v>
      </c>
    </row>
    <row r="6537">
      <c r="A6537" s="76" t="s">
        <v>944</v>
      </c>
      <c r="B6537" s="76" t="s">
        <v>1036</v>
      </c>
      <c r="C6537" s="84">
        <v>0.16</v>
      </c>
      <c r="D6537" s="84">
        <v>1.0</v>
      </c>
      <c r="E6537" s="84">
        <v>0.16</v>
      </c>
      <c r="F6537" s="76" t="s">
        <v>975</v>
      </c>
      <c r="G6537" s="83">
        <v>46116.0</v>
      </c>
      <c r="H6537" s="76" t="s">
        <v>947</v>
      </c>
    </row>
    <row r="6538">
      <c r="A6538" s="76" t="s">
        <v>26</v>
      </c>
      <c r="B6538" s="76" t="s">
        <v>1036</v>
      </c>
      <c r="C6538" s="84">
        <v>0.15</v>
      </c>
      <c r="D6538" s="84">
        <v>0.0</v>
      </c>
      <c r="E6538" s="84">
        <v>0.0</v>
      </c>
      <c r="F6538" s="76" t="s">
        <v>975</v>
      </c>
      <c r="G6538" s="83">
        <v>46116.0</v>
      </c>
      <c r="H6538" s="76" t="s">
        <v>1012</v>
      </c>
    </row>
    <row r="6539">
      <c r="A6539" s="76" t="s">
        <v>26</v>
      </c>
      <c r="B6539" s="76" t="s">
        <v>1036</v>
      </c>
      <c r="C6539" s="84">
        <v>0.09</v>
      </c>
      <c r="D6539" s="84">
        <v>0.0</v>
      </c>
      <c r="E6539" s="84">
        <v>0.0</v>
      </c>
      <c r="F6539" s="76" t="s">
        <v>975</v>
      </c>
      <c r="G6539" s="83">
        <v>46116.0</v>
      </c>
      <c r="H6539" s="76" t="s">
        <v>1013</v>
      </c>
    </row>
    <row r="6540">
      <c r="A6540" s="76" t="s">
        <v>26</v>
      </c>
      <c r="B6540" s="76" t="s">
        <v>1036</v>
      </c>
      <c r="C6540" s="84">
        <v>0.21</v>
      </c>
      <c r="D6540" s="84">
        <v>0.0</v>
      </c>
      <c r="E6540" s="84">
        <v>0.0</v>
      </c>
      <c r="F6540" s="76" t="s">
        <v>975</v>
      </c>
      <c r="G6540" s="83">
        <v>46116.0</v>
      </c>
      <c r="H6540" s="76" t="s">
        <v>1014</v>
      </c>
    </row>
    <row r="6541">
      <c r="A6541" s="76" t="s">
        <v>32</v>
      </c>
      <c r="B6541" s="76" t="s">
        <v>1036</v>
      </c>
      <c r="C6541" s="84">
        <v>0.33</v>
      </c>
      <c r="D6541" s="84">
        <v>0.0</v>
      </c>
      <c r="E6541" s="84">
        <v>0.0</v>
      </c>
      <c r="F6541" s="76" t="s">
        <v>975</v>
      </c>
      <c r="G6541" s="83">
        <v>46116.0</v>
      </c>
      <c r="H6541" s="76" t="s">
        <v>941</v>
      </c>
    </row>
    <row r="6542">
      <c r="A6542" s="76" t="s">
        <v>32</v>
      </c>
      <c r="B6542" s="76" t="s">
        <v>1036</v>
      </c>
      <c r="C6542" s="84">
        <v>0.3</v>
      </c>
      <c r="D6542" s="84">
        <v>0.0</v>
      </c>
      <c r="E6542" s="84">
        <v>0.0</v>
      </c>
      <c r="F6542" s="76" t="s">
        <v>975</v>
      </c>
      <c r="G6542" s="83">
        <v>46116.0</v>
      </c>
      <c r="H6542" s="76" t="s">
        <v>942</v>
      </c>
    </row>
    <row r="6543">
      <c r="A6543" s="76" t="s">
        <v>32</v>
      </c>
      <c r="B6543" s="76" t="s">
        <v>1036</v>
      </c>
      <c r="C6543" s="84">
        <v>0.29</v>
      </c>
      <c r="D6543" s="84">
        <v>0.0</v>
      </c>
      <c r="E6543" s="84">
        <v>0.0</v>
      </c>
      <c r="F6543" s="76" t="s">
        <v>975</v>
      </c>
      <c r="G6543" s="83">
        <v>46116.0</v>
      </c>
      <c r="H6543" s="76" t="s">
        <v>943</v>
      </c>
    </row>
    <row r="6544">
      <c r="A6544" s="76" t="s">
        <v>42</v>
      </c>
      <c r="B6544" s="76" t="s">
        <v>1036</v>
      </c>
      <c r="C6544" s="84">
        <v>0.14</v>
      </c>
      <c r="D6544" s="84">
        <v>0.0</v>
      </c>
      <c r="E6544" s="84">
        <v>0.0</v>
      </c>
      <c r="F6544" s="76" t="s">
        <v>975</v>
      </c>
      <c r="G6544" s="83">
        <v>46116.0</v>
      </c>
      <c r="H6544" s="76" t="s">
        <v>991</v>
      </c>
    </row>
    <row r="6545">
      <c r="A6545" s="76" t="s">
        <v>42</v>
      </c>
      <c r="B6545" s="76" t="s">
        <v>1036</v>
      </c>
      <c r="C6545" s="84">
        <v>0.37</v>
      </c>
      <c r="D6545" s="84">
        <v>0.0</v>
      </c>
      <c r="E6545" s="84">
        <v>0.0</v>
      </c>
      <c r="F6545" s="76" t="s">
        <v>975</v>
      </c>
      <c r="G6545" s="83">
        <v>46116.0</v>
      </c>
      <c r="H6545" s="76" t="s">
        <v>935</v>
      </c>
    </row>
    <row r="6546">
      <c r="A6546" s="76" t="s">
        <v>31</v>
      </c>
      <c r="B6546" s="76" t="s">
        <v>1036</v>
      </c>
      <c r="C6546" s="84">
        <v>0.08</v>
      </c>
      <c r="D6546" s="84">
        <v>0.0</v>
      </c>
      <c r="E6546" s="84">
        <v>0.0</v>
      </c>
      <c r="F6546" s="76" t="s">
        <v>975</v>
      </c>
      <c r="G6546" s="83">
        <v>46116.0</v>
      </c>
      <c r="H6546" s="76" t="s">
        <v>929</v>
      </c>
    </row>
    <row r="6547">
      <c r="A6547" s="76" t="s">
        <v>31</v>
      </c>
      <c r="B6547" s="76" t="s">
        <v>1036</v>
      </c>
      <c r="C6547" s="84">
        <v>0.61</v>
      </c>
      <c r="D6547" s="84">
        <v>0.0</v>
      </c>
      <c r="E6547" s="84">
        <v>0.0</v>
      </c>
      <c r="F6547" s="76" t="s">
        <v>975</v>
      </c>
      <c r="G6547" s="83">
        <v>46116.0</v>
      </c>
      <c r="H6547" s="76" t="s">
        <v>930</v>
      </c>
    </row>
    <row r="6548">
      <c r="A6548" s="76" t="s">
        <v>28</v>
      </c>
      <c r="B6548" s="76" t="s">
        <v>1036</v>
      </c>
      <c r="C6548" s="84">
        <v>0.08</v>
      </c>
      <c r="D6548" s="84">
        <v>0.0</v>
      </c>
      <c r="E6548" s="84">
        <v>0.0</v>
      </c>
      <c r="F6548" s="76" t="s">
        <v>975</v>
      </c>
      <c r="G6548" s="83">
        <v>46116.0</v>
      </c>
      <c r="H6548" s="76" t="s">
        <v>931</v>
      </c>
    </row>
    <row r="6549">
      <c r="A6549" s="76" t="s">
        <v>28</v>
      </c>
      <c r="B6549" s="76" t="s">
        <v>1036</v>
      </c>
      <c r="C6549" s="84">
        <v>0.13</v>
      </c>
      <c r="D6549" s="84">
        <v>0.0</v>
      </c>
      <c r="E6549" s="84">
        <v>0.0</v>
      </c>
      <c r="F6549" s="76" t="s">
        <v>975</v>
      </c>
      <c r="G6549" s="83">
        <v>46116.0</v>
      </c>
      <c r="H6549" s="76" t="s">
        <v>932</v>
      </c>
    </row>
    <row r="6550">
      <c r="A6550" s="76" t="s">
        <v>28</v>
      </c>
      <c r="B6550" s="76" t="s">
        <v>1036</v>
      </c>
      <c r="C6550" s="84">
        <v>0.5</v>
      </c>
      <c r="D6550" s="84">
        <v>0.0</v>
      </c>
      <c r="E6550" s="84">
        <v>0.0</v>
      </c>
      <c r="F6550" s="76" t="s">
        <v>975</v>
      </c>
      <c r="G6550" s="83">
        <v>46116.0</v>
      </c>
      <c r="H6550" s="76" t="s">
        <v>933</v>
      </c>
    </row>
    <row r="6551">
      <c r="A6551" s="76" t="s">
        <v>45</v>
      </c>
      <c r="B6551" s="76" t="s">
        <v>1036</v>
      </c>
      <c r="C6551" s="84">
        <v>0.09</v>
      </c>
      <c r="D6551" s="84">
        <v>0.0</v>
      </c>
      <c r="E6551" s="84">
        <v>0.0</v>
      </c>
      <c r="F6551" s="76" t="s">
        <v>975</v>
      </c>
      <c r="G6551" s="83">
        <v>46116.0</v>
      </c>
      <c r="H6551" s="76" t="s">
        <v>936</v>
      </c>
    </row>
    <row r="6552">
      <c r="A6552" s="76" t="s">
        <v>45</v>
      </c>
      <c r="B6552" s="76" t="s">
        <v>1036</v>
      </c>
      <c r="C6552" s="84">
        <v>0.04</v>
      </c>
      <c r="D6552" s="84">
        <v>0.0</v>
      </c>
      <c r="E6552" s="84">
        <v>0.0</v>
      </c>
      <c r="F6552" s="76" t="s">
        <v>975</v>
      </c>
      <c r="G6552" s="83">
        <v>46116.0</v>
      </c>
      <c r="H6552" s="76" t="s">
        <v>937</v>
      </c>
    </row>
    <row r="6553">
      <c r="A6553" s="76" t="s">
        <v>45</v>
      </c>
      <c r="B6553" s="76" t="s">
        <v>1036</v>
      </c>
      <c r="C6553" s="84">
        <v>0.13</v>
      </c>
      <c r="D6553" s="84">
        <v>0.0</v>
      </c>
      <c r="E6553" s="84">
        <v>0.0</v>
      </c>
      <c r="F6553" s="76" t="s">
        <v>975</v>
      </c>
      <c r="G6553" s="83">
        <v>46116.0</v>
      </c>
      <c r="H6553" s="76" t="s">
        <v>938</v>
      </c>
    </row>
    <row r="6554">
      <c r="A6554" s="76" t="s">
        <v>45</v>
      </c>
      <c r="B6554" s="76" t="s">
        <v>1036</v>
      </c>
      <c r="C6554" s="84">
        <v>0.05</v>
      </c>
      <c r="D6554" s="84">
        <v>0.0</v>
      </c>
      <c r="E6554" s="84">
        <v>0.0</v>
      </c>
      <c r="F6554" s="76" t="s">
        <v>950</v>
      </c>
      <c r="G6554" s="83">
        <v>46116.0</v>
      </c>
      <c r="H6554" s="76" t="s">
        <v>936</v>
      </c>
    </row>
    <row r="6555">
      <c r="A6555" s="76" t="s">
        <v>45</v>
      </c>
      <c r="B6555" s="76" t="s">
        <v>1036</v>
      </c>
      <c r="C6555" s="84">
        <v>0.02</v>
      </c>
      <c r="D6555" s="84">
        <v>0.0</v>
      </c>
      <c r="E6555" s="84">
        <v>0.0</v>
      </c>
      <c r="F6555" s="76" t="s">
        <v>950</v>
      </c>
      <c r="G6555" s="83">
        <v>46116.0</v>
      </c>
      <c r="H6555" s="76" t="s">
        <v>937</v>
      </c>
    </row>
    <row r="6556">
      <c r="A6556" s="76" t="s">
        <v>45</v>
      </c>
      <c r="B6556" s="76" t="s">
        <v>1036</v>
      </c>
      <c r="C6556" s="84">
        <v>0.05</v>
      </c>
      <c r="D6556" s="84">
        <v>0.0</v>
      </c>
      <c r="E6556" s="84">
        <v>0.0</v>
      </c>
      <c r="F6556" s="76" t="s">
        <v>950</v>
      </c>
      <c r="G6556" s="83">
        <v>46116.0</v>
      </c>
      <c r="H6556" s="76" t="s">
        <v>938</v>
      </c>
    </row>
    <row r="6557">
      <c r="A6557" s="76" t="s">
        <v>28</v>
      </c>
      <c r="B6557" s="76" t="s">
        <v>1036</v>
      </c>
      <c r="C6557" s="84">
        <v>0.03</v>
      </c>
      <c r="D6557" s="84">
        <v>0.0</v>
      </c>
      <c r="E6557" s="84">
        <v>0.0</v>
      </c>
      <c r="F6557" s="76" t="s">
        <v>950</v>
      </c>
      <c r="G6557" s="83">
        <v>46116.0</v>
      </c>
      <c r="H6557" s="76" t="s">
        <v>931</v>
      </c>
    </row>
    <row r="6558">
      <c r="A6558" s="76" t="s">
        <v>28</v>
      </c>
      <c r="B6558" s="76" t="s">
        <v>1036</v>
      </c>
      <c r="C6558" s="84">
        <v>0.03</v>
      </c>
      <c r="D6558" s="84">
        <v>0.0</v>
      </c>
      <c r="E6558" s="84">
        <v>0.0</v>
      </c>
      <c r="F6558" s="76" t="s">
        <v>950</v>
      </c>
      <c r="G6558" s="83">
        <v>46116.0</v>
      </c>
      <c r="H6558" s="76" t="s">
        <v>932</v>
      </c>
    </row>
    <row r="6559">
      <c r="A6559" s="76" t="s">
        <v>28</v>
      </c>
      <c r="B6559" s="76" t="s">
        <v>1036</v>
      </c>
      <c r="C6559" s="84">
        <v>0.29</v>
      </c>
      <c r="D6559" s="84">
        <v>0.0</v>
      </c>
      <c r="E6559" s="84">
        <v>0.0</v>
      </c>
      <c r="F6559" s="76" t="s">
        <v>950</v>
      </c>
      <c r="G6559" s="83">
        <v>46116.0</v>
      </c>
      <c r="H6559" s="76" t="s">
        <v>933</v>
      </c>
    </row>
    <row r="6560">
      <c r="A6560" s="76" t="s">
        <v>42</v>
      </c>
      <c r="B6560" s="76" t="s">
        <v>1036</v>
      </c>
      <c r="C6560" s="84">
        <v>0.14</v>
      </c>
      <c r="D6560" s="84">
        <v>0.0</v>
      </c>
      <c r="E6560" s="84">
        <v>0.0</v>
      </c>
      <c r="F6560" s="76" t="s">
        <v>950</v>
      </c>
      <c r="G6560" s="83">
        <v>46116.0</v>
      </c>
      <c r="H6560" s="76" t="s">
        <v>991</v>
      </c>
    </row>
    <row r="6561">
      <c r="A6561" s="76" t="s">
        <v>42</v>
      </c>
      <c r="B6561" s="76" t="s">
        <v>1036</v>
      </c>
      <c r="C6561" s="84">
        <v>0.25</v>
      </c>
      <c r="D6561" s="84">
        <v>0.0</v>
      </c>
      <c r="E6561" s="84">
        <v>0.0</v>
      </c>
      <c r="F6561" s="76" t="s">
        <v>950</v>
      </c>
      <c r="G6561" s="83">
        <v>46116.0</v>
      </c>
      <c r="H6561" s="76" t="s">
        <v>935</v>
      </c>
    </row>
    <row r="6562">
      <c r="A6562" s="76" t="s">
        <v>36</v>
      </c>
      <c r="B6562" s="76" t="s">
        <v>1036</v>
      </c>
      <c r="C6562" s="84">
        <v>0.08</v>
      </c>
      <c r="D6562" s="84">
        <v>0.0</v>
      </c>
      <c r="E6562" s="84">
        <v>0.0</v>
      </c>
      <c r="F6562" s="76" t="s">
        <v>950</v>
      </c>
      <c r="G6562" s="83">
        <v>46116.0</v>
      </c>
      <c r="H6562" s="76" t="s">
        <v>926</v>
      </c>
    </row>
    <row r="6563">
      <c r="A6563" s="76" t="s">
        <v>36</v>
      </c>
      <c r="B6563" s="76" t="s">
        <v>1036</v>
      </c>
      <c r="C6563" s="84">
        <v>0.05</v>
      </c>
      <c r="D6563" s="84">
        <v>0.0</v>
      </c>
      <c r="E6563" s="84">
        <v>0.0</v>
      </c>
      <c r="F6563" s="76" t="s">
        <v>950</v>
      </c>
      <c r="G6563" s="83">
        <v>46116.0</v>
      </c>
      <c r="H6563" s="76" t="s">
        <v>927</v>
      </c>
    </row>
    <row r="6564">
      <c r="A6564" s="76" t="s">
        <v>36</v>
      </c>
      <c r="B6564" s="76" t="s">
        <v>1036</v>
      </c>
      <c r="C6564" s="84">
        <v>0.03</v>
      </c>
      <c r="D6564" s="84">
        <v>0.0</v>
      </c>
      <c r="E6564" s="84">
        <v>0.0</v>
      </c>
      <c r="F6564" s="76" t="s">
        <v>950</v>
      </c>
      <c r="G6564" s="83">
        <v>46116.0</v>
      </c>
      <c r="H6564" s="76" t="s">
        <v>928</v>
      </c>
    </row>
    <row r="6565">
      <c r="A6565" s="76" t="s">
        <v>31</v>
      </c>
      <c r="B6565" s="76" t="s">
        <v>1036</v>
      </c>
      <c r="C6565" s="84">
        <v>0.06</v>
      </c>
      <c r="D6565" s="84">
        <v>0.0</v>
      </c>
      <c r="E6565" s="84">
        <v>0.0</v>
      </c>
      <c r="F6565" s="76" t="s">
        <v>950</v>
      </c>
      <c r="G6565" s="83">
        <v>46116.0</v>
      </c>
      <c r="H6565" s="76" t="s">
        <v>929</v>
      </c>
    </row>
    <row r="6566">
      <c r="A6566" s="76" t="s">
        <v>31</v>
      </c>
      <c r="B6566" s="76" t="s">
        <v>1036</v>
      </c>
      <c r="C6566" s="84">
        <v>0.72</v>
      </c>
      <c r="D6566" s="84">
        <v>0.0</v>
      </c>
      <c r="E6566" s="84">
        <v>0.0</v>
      </c>
      <c r="F6566" s="76" t="s">
        <v>950</v>
      </c>
      <c r="G6566" s="83">
        <v>46116.0</v>
      </c>
      <c r="H6566" s="76" t="s">
        <v>930</v>
      </c>
    </row>
    <row r="6567">
      <c r="A6567" s="76" t="s">
        <v>50</v>
      </c>
      <c r="B6567" s="76" t="s">
        <v>1036</v>
      </c>
      <c r="C6567" s="84">
        <v>0.16</v>
      </c>
      <c r="D6567" s="84">
        <v>0.0</v>
      </c>
      <c r="E6567" s="84">
        <v>0.0</v>
      </c>
      <c r="F6567" s="76" t="s">
        <v>950</v>
      </c>
      <c r="G6567" s="83">
        <v>46116.0</v>
      </c>
      <c r="H6567" s="76" t="s">
        <v>939</v>
      </c>
    </row>
    <row r="6568">
      <c r="A6568" s="76" t="s">
        <v>50</v>
      </c>
      <c r="B6568" s="76" t="s">
        <v>1036</v>
      </c>
      <c r="C6568" s="84">
        <v>0.13</v>
      </c>
      <c r="D6568" s="84">
        <v>0.0</v>
      </c>
      <c r="E6568" s="84">
        <v>0.0</v>
      </c>
      <c r="F6568" s="76" t="s">
        <v>950</v>
      </c>
      <c r="G6568" s="83">
        <v>46116.0</v>
      </c>
      <c r="H6568" s="76" t="s">
        <v>940</v>
      </c>
    </row>
    <row r="6569">
      <c r="A6569" s="76" t="s">
        <v>26</v>
      </c>
      <c r="B6569" s="76" t="s">
        <v>1036</v>
      </c>
      <c r="C6569" s="84">
        <v>0.03</v>
      </c>
      <c r="D6569" s="84">
        <v>0.0</v>
      </c>
      <c r="E6569" s="84">
        <v>0.0</v>
      </c>
      <c r="F6569" s="76" t="s">
        <v>950</v>
      </c>
      <c r="G6569" s="83">
        <v>46116.0</v>
      </c>
      <c r="H6569" s="76" t="s">
        <v>1012</v>
      </c>
    </row>
    <row r="6570">
      <c r="A6570" s="76" t="s">
        <v>26</v>
      </c>
      <c r="B6570" s="76" t="s">
        <v>1036</v>
      </c>
      <c r="C6570" s="84">
        <v>0.05</v>
      </c>
      <c r="D6570" s="84">
        <v>0.0</v>
      </c>
      <c r="E6570" s="84">
        <v>0.0</v>
      </c>
      <c r="F6570" s="76" t="s">
        <v>950</v>
      </c>
      <c r="G6570" s="83">
        <v>46116.0</v>
      </c>
      <c r="H6570" s="76" t="s">
        <v>1013</v>
      </c>
    </row>
    <row r="6571">
      <c r="A6571" s="76" t="s">
        <v>26</v>
      </c>
      <c r="B6571" s="76" t="s">
        <v>1036</v>
      </c>
      <c r="C6571" s="84">
        <v>0.18</v>
      </c>
      <c r="D6571" s="84">
        <v>0.0</v>
      </c>
      <c r="E6571" s="84">
        <v>0.0</v>
      </c>
      <c r="F6571" s="76" t="s">
        <v>950</v>
      </c>
      <c r="G6571" s="83">
        <v>46116.0</v>
      </c>
      <c r="H6571" s="76" t="s">
        <v>1014</v>
      </c>
    </row>
    <row r="6572">
      <c r="A6572" s="76" t="s">
        <v>944</v>
      </c>
      <c r="B6572" s="76" t="s">
        <v>1036</v>
      </c>
      <c r="C6572" s="84">
        <v>0.16</v>
      </c>
      <c r="D6572" s="84">
        <v>0.0</v>
      </c>
      <c r="E6572" s="84">
        <v>0.0</v>
      </c>
      <c r="F6572" s="76" t="s">
        <v>950</v>
      </c>
      <c r="G6572" s="83">
        <v>46116.0</v>
      </c>
      <c r="H6572" s="76" t="s">
        <v>945</v>
      </c>
    </row>
    <row r="6573">
      <c r="A6573" s="76" t="s">
        <v>944</v>
      </c>
      <c r="B6573" s="76" t="s">
        <v>1036</v>
      </c>
      <c r="C6573" s="84">
        <v>0.03</v>
      </c>
      <c r="D6573" s="84">
        <v>0.0</v>
      </c>
      <c r="E6573" s="84">
        <v>0.0</v>
      </c>
      <c r="F6573" s="76" t="s">
        <v>950</v>
      </c>
      <c r="G6573" s="83">
        <v>46116.0</v>
      </c>
      <c r="H6573" s="76" t="s">
        <v>946</v>
      </c>
    </row>
    <row r="6574">
      <c r="A6574" s="76" t="s">
        <v>944</v>
      </c>
      <c r="B6574" s="76" t="s">
        <v>1036</v>
      </c>
      <c r="C6574" s="84">
        <v>0.1</v>
      </c>
      <c r="D6574" s="84">
        <v>0.0</v>
      </c>
      <c r="E6574" s="84">
        <v>0.0</v>
      </c>
      <c r="F6574" s="76" t="s">
        <v>950</v>
      </c>
      <c r="G6574" s="83">
        <v>46116.0</v>
      </c>
      <c r="H6574" s="76" t="s">
        <v>947</v>
      </c>
    </row>
    <row r="6575">
      <c r="A6575" s="76" t="s">
        <v>32</v>
      </c>
      <c r="B6575" s="76" t="s">
        <v>1036</v>
      </c>
      <c r="C6575" s="84">
        <v>0.26</v>
      </c>
      <c r="D6575" s="84">
        <v>0.0</v>
      </c>
      <c r="E6575" s="84">
        <v>0.0</v>
      </c>
      <c r="F6575" s="76" t="s">
        <v>950</v>
      </c>
      <c r="G6575" s="83">
        <v>46116.0</v>
      </c>
      <c r="H6575" s="76" t="s">
        <v>941</v>
      </c>
    </row>
    <row r="6576">
      <c r="A6576" s="76" t="s">
        <v>32</v>
      </c>
      <c r="B6576" s="76" t="s">
        <v>1036</v>
      </c>
      <c r="C6576" s="84">
        <v>0.1</v>
      </c>
      <c r="D6576" s="84">
        <v>0.0</v>
      </c>
      <c r="E6576" s="84">
        <v>0.0</v>
      </c>
      <c r="F6576" s="76" t="s">
        <v>950</v>
      </c>
      <c r="G6576" s="83">
        <v>46116.0</v>
      </c>
      <c r="H6576" s="76" t="s">
        <v>942</v>
      </c>
    </row>
    <row r="6577">
      <c r="A6577" s="76" t="s">
        <v>32</v>
      </c>
      <c r="B6577" s="76" t="s">
        <v>1036</v>
      </c>
      <c r="C6577" s="84">
        <v>0.2</v>
      </c>
      <c r="D6577" s="84">
        <v>0.0</v>
      </c>
      <c r="E6577" s="84">
        <v>0.0</v>
      </c>
      <c r="F6577" s="76" t="s">
        <v>950</v>
      </c>
      <c r="G6577" s="83">
        <v>46116.0</v>
      </c>
      <c r="H6577" s="76" t="s">
        <v>943</v>
      </c>
    </row>
    <row r="6578">
      <c r="A6578" s="76" t="s">
        <v>31</v>
      </c>
      <c r="B6578" s="76" t="s">
        <v>1036</v>
      </c>
      <c r="C6578" s="84">
        <v>0.09</v>
      </c>
      <c r="D6578" s="84">
        <v>0.0</v>
      </c>
      <c r="E6578" s="84">
        <v>0.0</v>
      </c>
      <c r="F6578" s="76" t="s">
        <v>974</v>
      </c>
      <c r="G6578" s="83">
        <v>46116.0</v>
      </c>
      <c r="H6578" s="76" t="s">
        <v>929</v>
      </c>
    </row>
    <row r="6579">
      <c r="A6579" s="76" t="s">
        <v>31</v>
      </c>
      <c r="B6579" s="76" t="s">
        <v>1036</v>
      </c>
      <c r="C6579" s="84">
        <v>0.58</v>
      </c>
      <c r="D6579" s="84">
        <v>0.0</v>
      </c>
      <c r="E6579" s="84">
        <v>0.0</v>
      </c>
      <c r="F6579" s="76" t="s">
        <v>974</v>
      </c>
      <c r="G6579" s="83">
        <v>46116.0</v>
      </c>
      <c r="H6579" s="76" t="s">
        <v>930</v>
      </c>
    </row>
    <row r="6580">
      <c r="A6580" s="76" t="s">
        <v>45</v>
      </c>
      <c r="B6580" s="76" t="s">
        <v>1036</v>
      </c>
      <c r="C6580" s="84">
        <v>0.06</v>
      </c>
      <c r="D6580" s="84">
        <v>0.0</v>
      </c>
      <c r="E6580" s="84">
        <v>0.0</v>
      </c>
      <c r="F6580" s="76" t="s">
        <v>974</v>
      </c>
      <c r="G6580" s="83">
        <v>46116.0</v>
      </c>
      <c r="H6580" s="76" t="s">
        <v>936</v>
      </c>
    </row>
    <row r="6581">
      <c r="A6581" s="76" t="s">
        <v>45</v>
      </c>
      <c r="B6581" s="76" t="s">
        <v>1036</v>
      </c>
      <c r="C6581" s="84">
        <v>0.01</v>
      </c>
      <c r="D6581" s="84">
        <v>0.0</v>
      </c>
      <c r="E6581" s="84">
        <v>0.0</v>
      </c>
      <c r="F6581" s="76" t="s">
        <v>974</v>
      </c>
      <c r="G6581" s="83">
        <v>46116.0</v>
      </c>
      <c r="H6581" s="76" t="s">
        <v>937</v>
      </c>
    </row>
    <row r="6582">
      <c r="A6582" s="76" t="s">
        <v>45</v>
      </c>
      <c r="B6582" s="76" t="s">
        <v>1036</v>
      </c>
      <c r="C6582" s="84">
        <v>0.02</v>
      </c>
      <c r="D6582" s="84">
        <v>0.0</v>
      </c>
      <c r="E6582" s="84">
        <v>0.0</v>
      </c>
      <c r="F6582" s="76" t="s">
        <v>974</v>
      </c>
      <c r="G6582" s="83">
        <v>46116.0</v>
      </c>
      <c r="H6582" s="76" t="s">
        <v>938</v>
      </c>
    </row>
    <row r="6583">
      <c r="A6583" s="76" t="s">
        <v>42</v>
      </c>
      <c r="B6583" s="76" t="s">
        <v>1036</v>
      </c>
      <c r="C6583" s="84">
        <v>0.04</v>
      </c>
      <c r="D6583" s="84">
        <v>0.0</v>
      </c>
      <c r="E6583" s="84">
        <v>0.0</v>
      </c>
      <c r="F6583" s="76" t="s">
        <v>974</v>
      </c>
      <c r="G6583" s="83">
        <v>46116.0</v>
      </c>
      <c r="H6583" s="76" t="s">
        <v>991</v>
      </c>
    </row>
    <row r="6584">
      <c r="A6584" s="76" t="s">
        <v>42</v>
      </c>
      <c r="B6584" s="76" t="s">
        <v>1036</v>
      </c>
      <c r="C6584" s="84">
        <v>0.43</v>
      </c>
      <c r="D6584" s="84">
        <v>0.0</v>
      </c>
      <c r="E6584" s="84">
        <v>0.0</v>
      </c>
      <c r="F6584" s="76" t="s">
        <v>974</v>
      </c>
      <c r="G6584" s="83">
        <v>46116.0</v>
      </c>
      <c r="H6584" s="76" t="s">
        <v>935</v>
      </c>
    </row>
    <row r="6585">
      <c r="A6585" s="76" t="s">
        <v>28</v>
      </c>
      <c r="B6585" s="76" t="s">
        <v>1036</v>
      </c>
      <c r="C6585" s="84">
        <v>0.02</v>
      </c>
      <c r="D6585" s="84">
        <v>0.0</v>
      </c>
      <c r="E6585" s="84">
        <v>0.0</v>
      </c>
      <c r="F6585" s="76" t="s">
        <v>974</v>
      </c>
      <c r="G6585" s="83">
        <v>46116.0</v>
      </c>
      <c r="H6585" s="76" t="s">
        <v>931</v>
      </c>
    </row>
    <row r="6586">
      <c r="A6586" s="76" t="s">
        <v>28</v>
      </c>
      <c r="B6586" s="76" t="s">
        <v>1036</v>
      </c>
      <c r="C6586" s="84">
        <v>0.02</v>
      </c>
      <c r="D6586" s="84">
        <v>0.0</v>
      </c>
      <c r="E6586" s="84">
        <v>0.0</v>
      </c>
      <c r="F6586" s="76" t="s">
        <v>974</v>
      </c>
      <c r="G6586" s="83">
        <v>46116.0</v>
      </c>
      <c r="H6586" s="76" t="s">
        <v>932</v>
      </c>
    </row>
    <row r="6587">
      <c r="A6587" s="76" t="s">
        <v>28</v>
      </c>
      <c r="B6587" s="76" t="s">
        <v>1036</v>
      </c>
      <c r="C6587" s="84">
        <v>0.18</v>
      </c>
      <c r="D6587" s="84">
        <v>0.0</v>
      </c>
      <c r="E6587" s="84">
        <v>0.0</v>
      </c>
      <c r="F6587" s="76" t="s">
        <v>974</v>
      </c>
      <c r="G6587" s="83">
        <v>46116.0</v>
      </c>
      <c r="H6587" s="76" t="s">
        <v>933</v>
      </c>
    </row>
    <row r="6588">
      <c r="A6588" s="76" t="s">
        <v>50</v>
      </c>
      <c r="B6588" s="76" t="s">
        <v>1036</v>
      </c>
      <c r="C6588" s="84">
        <v>0.06</v>
      </c>
      <c r="D6588" s="84">
        <v>0.0</v>
      </c>
      <c r="E6588" s="84">
        <v>0.0</v>
      </c>
      <c r="F6588" s="76" t="s">
        <v>974</v>
      </c>
      <c r="G6588" s="83">
        <v>46116.0</v>
      </c>
      <c r="H6588" s="76" t="s">
        <v>939</v>
      </c>
    </row>
    <row r="6589">
      <c r="A6589" s="76" t="s">
        <v>50</v>
      </c>
      <c r="B6589" s="76" t="s">
        <v>1036</v>
      </c>
      <c r="C6589" s="84">
        <v>0.17</v>
      </c>
      <c r="D6589" s="84">
        <v>0.0</v>
      </c>
      <c r="E6589" s="84">
        <v>0.0</v>
      </c>
      <c r="F6589" s="76" t="s">
        <v>974</v>
      </c>
      <c r="G6589" s="83">
        <v>46116.0</v>
      </c>
      <c r="H6589" s="76" t="s">
        <v>940</v>
      </c>
    </row>
    <row r="6590">
      <c r="A6590" s="76" t="s">
        <v>26</v>
      </c>
      <c r="B6590" s="76" t="s">
        <v>1036</v>
      </c>
      <c r="C6590" s="84">
        <v>0.04</v>
      </c>
      <c r="D6590" s="84">
        <v>0.0</v>
      </c>
      <c r="E6590" s="84">
        <v>0.0</v>
      </c>
      <c r="F6590" s="76" t="s">
        <v>974</v>
      </c>
      <c r="G6590" s="83">
        <v>46116.0</v>
      </c>
      <c r="H6590" s="76" t="s">
        <v>1012</v>
      </c>
    </row>
    <row r="6591">
      <c r="A6591" s="76" t="s">
        <v>26</v>
      </c>
      <c r="B6591" s="76" t="s">
        <v>1036</v>
      </c>
      <c r="C6591" s="84">
        <v>0.05</v>
      </c>
      <c r="D6591" s="84">
        <v>0.0</v>
      </c>
      <c r="E6591" s="84">
        <v>0.0</v>
      </c>
      <c r="F6591" s="76" t="s">
        <v>974</v>
      </c>
      <c r="G6591" s="83">
        <v>46116.0</v>
      </c>
      <c r="H6591" s="76" t="s">
        <v>1013</v>
      </c>
    </row>
    <row r="6592">
      <c r="A6592" s="76" t="s">
        <v>26</v>
      </c>
      <c r="B6592" s="76" t="s">
        <v>1036</v>
      </c>
      <c r="C6592" s="84">
        <v>0.12</v>
      </c>
      <c r="D6592" s="84">
        <v>0.0</v>
      </c>
      <c r="E6592" s="84">
        <v>0.0</v>
      </c>
      <c r="F6592" s="76" t="s">
        <v>974</v>
      </c>
      <c r="G6592" s="83">
        <v>46116.0</v>
      </c>
      <c r="H6592" s="76" t="s">
        <v>1014</v>
      </c>
    </row>
    <row r="6593">
      <c r="A6593" s="76" t="s">
        <v>944</v>
      </c>
      <c r="B6593" s="76" t="s">
        <v>1036</v>
      </c>
      <c r="C6593" s="84">
        <v>0.11</v>
      </c>
      <c r="D6593" s="84">
        <v>0.0</v>
      </c>
      <c r="E6593" s="84">
        <v>0.0</v>
      </c>
      <c r="F6593" s="76" t="s">
        <v>974</v>
      </c>
      <c r="G6593" s="83">
        <v>46116.0</v>
      </c>
      <c r="H6593" s="76" t="s">
        <v>945</v>
      </c>
    </row>
    <row r="6594">
      <c r="A6594" s="76" t="s">
        <v>944</v>
      </c>
      <c r="B6594" s="76" t="s">
        <v>1036</v>
      </c>
      <c r="C6594" s="84">
        <v>0.03</v>
      </c>
      <c r="D6594" s="84">
        <v>0.0</v>
      </c>
      <c r="E6594" s="84">
        <v>0.0</v>
      </c>
      <c r="F6594" s="76" t="s">
        <v>974</v>
      </c>
      <c r="G6594" s="83">
        <v>46116.0</v>
      </c>
      <c r="H6594" s="76" t="s">
        <v>946</v>
      </c>
    </row>
    <row r="6595">
      <c r="A6595" s="76" t="s">
        <v>944</v>
      </c>
      <c r="B6595" s="76" t="s">
        <v>1036</v>
      </c>
      <c r="C6595" s="84">
        <v>0.04</v>
      </c>
      <c r="D6595" s="84">
        <v>0.0</v>
      </c>
      <c r="E6595" s="84">
        <v>0.0</v>
      </c>
      <c r="F6595" s="76" t="s">
        <v>974</v>
      </c>
      <c r="G6595" s="83">
        <v>46116.0</v>
      </c>
      <c r="H6595" s="76" t="s">
        <v>947</v>
      </c>
    </row>
    <row r="6596">
      <c r="A6596" s="76" t="s">
        <v>36</v>
      </c>
      <c r="B6596" s="76" t="s">
        <v>1036</v>
      </c>
      <c r="C6596" s="84">
        <v>0.04</v>
      </c>
      <c r="D6596" s="84">
        <v>0.0</v>
      </c>
      <c r="E6596" s="84">
        <v>0.0</v>
      </c>
      <c r="F6596" s="76" t="s">
        <v>974</v>
      </c>
      <c r="G6596" s="83">
        <v>46116.0</v>
      </c>
      <c r="H6596" s="76" t="s">
        <v>926</v>
      </c>
    </row>
    <row r="6597">
      <c r="A6597" s="76" t="s">
        <v>36</v>
      </c>
      <c r="B6597" s="76" t="s">
        <v>1036</v>
      </c>
      <c r="C6597" s="84">
        <v>0.02</v>
      </c>
      <c r="D6597" s="84">
        <v>0.0</v>
      </c>
      <c r="E6597" s="84">
        <v>0.0</v>
      </c>
      <c r="F6597" s="76" t="s">
        <v>974</v>
      </c>
      <c r="G6597" s="83">
        <v>46116.0</v>
      </c>
      <c r="H6597" s="76" t="s">
        <v>927</v>
      </c>
    </row>
    <row r="6598">
      <c r="A6598" s="76" t="s">
        <v>36</v>
      </c>
      <c r="B6598" s="76" t="s">
        <v>1036</v>
      </c>
      <c r="C6598" s="84">
        <v>0.02</v>
      </c>
      <c r="D6598" s="84">
        <v>0.0</v>
      </c>
      <c r="E6598" s="84">
        <v>0.0</v>
      </c>
      <c r="F6598" s="76" t="s">
        <v>974</v>
      </c>
      <c r="G6598" s="83">
        <v>46116.0</v>
      </c>
      <c r="H6598" s="76" t="s">
        <v>928</v>
      </c>
    </row>
    <row r="6599">
      <c r="A6599" s="76" t="s">
        <v>32</v>
      </c>
      <c r="B6599" s="76" t="s">
        <v>1036</v>
      </c>
      <c r="C6599" s="84">
        <v>0.12</v>
      </c>
      <c r="D6599" s="84">
        <v>0.0</v>
      </c>
      <c r="E6599" s="84">
        <v>0.0</v>
      </c>
      <c r="F6599" s="76" t="s">
        <v>974</v>
      </c>
      <c r="G6599" s="83">
        <v>46116.0</v>
      </c>
      <c r="H6599" s="76" t="s">
        <v>941</v>
      </c>
    </row>
    <row r="6600">
      <c r="A6600" s="76" t="s">
        <v>32</v>
      </c>
      <c r="B6600" s="76" t="s">
        <v>1036</v>
      </c>
      <c r="C6600" s="84">
        <v>0.06</v>
      </c>
      <c r="D6600" s="84">
        <v>0.0</v>
      </c>
      <c r="E6600" s="84">
        <v>0.0</v>
      </c>
      <c r="F6600" s="76" t="s">
        <v>974</v>
      </c>
      <c r="G6600" s="83">
        <v>46116.0</v>
      </c>
      <c r="H6600" s="76" t="s">
        <v>942</v>
      </c>
    </row>
    <row r="6601">
      <c r="A6601" s="76" t="s">
        <v>32</v>
      </c>
      <c r="B6601" s="76" t="s">
        <v>1036</v>
      </c>
      <c r="C6601" s="84">
        <v>0.1</v>
      </c>
      <c r="D6601" s="84">
        <v>0.0</v>
      </c>
      <c r="E6601" s="84">
        <v>0.0</v>
      </c>
      <c r="F6601" s="76" t="s">
        <v>974</v>
      </c>
      <c r="G6601" s="83">
        <v>46116.0</v>
      </c>
      <c r="H6601" s="76" t="s">
        <v>943</v>
      </c>
    </row>
    <row r="6602">
      <c r="A6602" s="76" t="s">
        <v>42</v>
      </c>
      <c r="B6602" s="76" t="s">
        <v>1037</v>
      </c>
      <c r="C6602" s="84">
        <v>0.12</v>
      </c>
      <c r="D6602" s="84">
        <v>0.0</v>
      </c>
      <c r="E6602" s="84">
        <v>0.0</v>
      </c>
      <c r="F6602" s="76" t="s">
        <v>925</v>
      </c>
      <c r="G6602" s="83">
        <v>46116.0</v>
      </c>
      <c r="H6602" s="76" t="s">
        <v>991</v>
      </c>
    </row>
    <row r="6603">
      <c r="A6603" s="76" t="s">
        <v>42</v>
      </c>
      <c r="B6603" s="76" t="s">
        <v>1037</v>
      </c>
      <c r="C6603" s="84">
        <v>1.14</v>
      </c>
      <c r="D6603" s="84">
        <v>0.0</v>
      </c>
      <c r="E6603" s="84">
        <v>0.0</v>
      </c>
      <c r="F6603" s="76" t="s">
        <v>925</v>
      </c>
      <c r="G6603" s="83">
        <v>46116.0</v>
      </c>
      <c r="H6603" s="76" t="s">
        <v>935</v>
      </c>
    </row>
    <row r="6604">
      <c r="A6604" s="76" t="s">
        <v>36</v>
      </c>
      <c r="B6604" s="76" t="s">
        <v>1037</v>
      </c>
      <c r="C6604" s="84">
        <v>0.3</v>
      </c>
      <c r="D6604" s="84">
        <v>0.0</v>
      </c>
      <c r="E6604" s="84">
        <v>0.0</v>
      </c>
      <c r="F6604" s="76" t="s">
        <v>925</v>
      </c>
      <c r="G6604" s="83">
        <v>46116.0</v>
      </c>
      <c r="H6604" s="76" t="s">
        <v>926</v>
      </c>
    </row>
    <row r="6605">
      <c r="A6605" s="76" t="s">
        <v>36</v>
      </c>
      <c r="B6605" s="76" t="s">
        <v>1037</v>
      </c>
      <c r="C6605" s="84">
        <v>0.23</v>
      </c>
      <c r="D6605" s="84">
        <v>0.0</v>
      </c>
      <c r="E6605" s="84">
        <v>0.0</v>
      </c>
      <c r="F6605" s="76" t="s">
        <v>925</v>
      </c>
      <c r="G6605" s="83">
        <v>46116.0</v>
      </c>
      <c r="H6605" s="76" t="s">
        <v>927</v>
      </c>
    </row>
    <row r="6606">
      <c r="A6606" s="76" t="s">
        <v>36</v>
      </c>
      <c r="B6606" s="76" t="s">
        <v>1037</v>
      </c>
      <c r="C6606" s="84">
        <v>0.11</v>
      </c>
      <c r="D6606" s="84">
        <v>0.0</v>
      </c>
      <c r="E6606" s="84">
        <v>0.0</v>
      </c>
      <c r="F6606" s="76" t="s">
        <v>925</v>
      </c>
      <c r="G6606" s="83">
        <v>46116.0</v>
      </c>
      <c r="H6606" s="76" t="s">
        <v>928</v>
      </c>
    </row>
    <row r="6607">
      <c r="A6607" s="76" t="s">
        <v>32</v>
      </c>
      <c r="B6607" s="76" t="s">
        <v>1037</v>
      </c>
      <c r="C6607" s="84">
        <v>0.56</v>
      </c>
      <c r="D6607" s="84">
        <v>0.0</v>
      </c>
      <c r="E6607" s="84">
        <v>0.0</v>
      </c>
      <c r="F6607" s="76" t="s">
        <v>925</v>
      </c>
      <c r="G6607" s="83">
        <v>46116.0</v>
      </c>
      <c r="H6607" s="76" t="s">
        <v>941</v>
      </c>
    </row>
    <row r="6608">
      <c r="A6608" s="76" t="s">
        <v>32</v>
      </c>
      <c r="B6608" s="76" t="s">
        <v>1037</v>
      </c>
      <c r="C6608" s="84">
        <v>0.32</v>
      </c>
      <c r="D6608" s="84">
        <v>0.0</v>
      </c>
      <c r="E6608" s="84">
        <v>0.0</v>
      </c>
      <c r="F6608" s="76" t="s">
        <v>925</v>
      </c>
      <c r="G6608" s="83">
        <v>46116.0</v>
      </c>
      <c r="H6608" s="76" t="s">
        <v>942</v>
      </c>
    </row>
    <row r="6609">
      <c r="A6609" s="76" t="s">
        <v>32</v>
      </c>
      <c r="B6609" s="76" t="s">
        <v>1037</v>
      </c>
      <c r="C6609" s="84">
        <v>0.41</v>
      </c>
      <c r="D6609" s="84">
        <v>0.0</v>
      </c>
      <c r="E6609" s="84">
        <v>0.0</v>
      </c>
      <c r="F6609" s="76" t="s">
        <v>925</v>
      </c>
      <c r="G6609" s="83">
        <v>46116.0</v>
      </c>
      <c r="H6609" s="76" t="s">
        <v>943</v>
      </c>
    </row>
    <row r="6610">
      <c r="A6610" s="76" t="s">
        <v>944</v>
      </c>
      <c r="B6610" s="76" t="s">
        <v>1037</v>
      </c>
      <c r="C6610" s="84">
        <v>0.5</v>
      </c>
      <c r="D6610" s="84">
        <v>1.0</v>
      </c>
      <c r="E6610" s="84">
        <v>0.5</v>
      </c>
      <c r="F6610" s="76" t="s">
        <v>925</v>
      </c>
      <c r="G6610" s="83">
        <v>46116.0</v>
      </c>
      <c r="H6610" s="76" t="s">
        <v>945</v>
      </c>
    </row>
    <row r="6611">
      <c r="A6611" s="76" t="s">
        <v>944</v>
      </c>
      <c r="B6611" s="76" t="s">
        <v>1037</v>
      </c>
      <c r="C6611" s="84">
        <v>0.18</v>
      </c>
      <c r="D6611" s="84">
        <v>0.0</v>
      </c>
      <c r="E6611" s="84">
        <v>0.0</v>
      </c>
      <c r="F6611" s="76" t="s">
        <v>925</v>
      </c>
      <c r="G6611" s="83">
        <v>46116.0</v>
      </c>
      <c r="H6611" s="76" t="s">
        <v>946</v>
      </c>
    </row>
    <row r="6612">
      <c r="A6612" s="76" t="s">
        <v>944</v>
      </c>
      <c r="B6612" s="76" t="s">
        <v>1037</v>
      </c>
      <c r="C6612" s="84">
        <v>0.26</v>
      </c>
      <c r="D6612" s="84">
        <v>0.0</v>
      </c>
      <c r="E6612" s="84">
        <v>0.0</v>
      </c>
      <c r="F6612" s="76" t="s">
        <v>925</v>
      </c>
      <c r="G6612" s="83">
        <v>46116.0</v>
      </c>
      <c r="H6612" s="76" t="s">
        <v>947</v>
      </c>
    </row>
    <row r="6613">
      <c r="A6613" s="76" t="s">
        <v>31</v>
      </c>
      <c r="B6613" s="76" t="s">
        <v>1037</v>
      </c>
      <c r="C6613" s="84">
        <v>0.17</v>
      </c>
      <c r="D6613" s="84">
        <v>0.0</v>
      </c>
      <c r="E6613" s="84">
        <v>0.0</v>
      </c>
      <c r="F6613" s="76" t="s">
        <v>925</v>
      </c>
      <c r="G6613" s="83">
        <v>46116.0</v>
      </c>
      <c r="H6613" s="76" t="s">
        <v>929</v>
      </c>
    </row>
    <row r="6614">
      <c r="A6614" s="76" t="s">
        <v>31</v>
      </c>
      <c r="B6614" s="76" t="s">
        <v>1037</v>
      </c>
      <c r="C6614" s="84">
        <v>3.07</v>
      </c>
      <c r="D6614" s="84">
        <v>2.0</v>
      </c>
      <c r="E6614" s="84">
        <v>1.53</v>
      </c>
      <c r="F6614" s="76" t="s">
        <v>925</v>
      </c>
      <c r="G6614" s="83">
        <v>46116.0</v>
      </c>
      <c r="H6614" s="76" t="s">
        <v>930</v>
      </c>
    </row>
    <row r="6615">
      <c r="A6615" s="76" t="s">
        <v>45</v>
      </c>
      <c r="B6615" s="76" t="s">
        <v>1037</v>
      </c>
      <c r="C6615" s="84">
        <v>0.17</v>
      </c>
      <c r="D6615" s="84">
        <v>0.0</v>
      </c>
      <c r="E6615" s="84">
        <v>0.0</v>
      </c>
      <c r="F6615" s="76" t="s">
        <v>925</v>
      </c>
      <c r="G6615" s="83">
        <v>46116.0</v>
      </c>
      <c r="H6615" s="76" t="s">
        <v>936</v>
      </c>
    </row>
    <row r="6616">
      <c r="A6616" s="76" t="s">
        <v>45</v>
      </c>
      <c r="B6616" s="76" t="s">
        <v>1037</v>
      </c>
      <c r="C6616" s="84">
        <v>0.06</v>
      </c>
      <c r="D6616" s="84">
        <v>0.0</v>
      </c>
      <c r="E6616" s="84">
        <v>0.0</v>
      </c>
      <c r="F6616" s="76" t="s">
        <v>925</v>
      </c>
      <c r="G6616" s="83">
        <v>46116.0</v>
      </c>
      <c r="H6616" s="76" t="s">
        <v>937</v>
      </c>
    </row>
    <row r="6617">
      <c r="A6617" s="76" t="s">
        <v>45</v>
      </c>
      <c r="B6617" s="76" t="s">
        <v>1037</v>
      </c>
      <c r="C6617" s="84">
        <v>0.13</v>
      </c>
      <c r="D6617" s="84">
        <v>0.0</v>
      </c>
      <c r="E6617" s="84">
        <v>0.0</v>
      </c>
      <c r="F6617" s="76" t="s">
        <v>925</v>
      </c>
      <c r="G6617" s="83">
        <v>46116.0</v>
      </c>
      <c r="H6617" s="76" t="s">
        <v>938</v>
      </c>
    </row>
    <row r="6618">
      <c r="A6618" s="76" t="s">
        <v>26</v>
      </c>
      <c r="B6618" s="76" t="s">
        <v>1037</v>
      </c>
      <c r="C6618" s="84">
        <v>0.26</v>
      </c>
      <c r="D6618" s="84">
        <v>0.0</v>
      </c>
      <c r="E6618" s="84">
        <v>0.0</v>
      </c>
      <c r="F6618" s="76" t="s">
        <v>925</v>
      </c>
      <c r="G6618" s="83">
        <v>46116.0</v>
      </c>
      <c r="H6618" s="76" t="s">
        <v>1012</v>
      </c>
    </row>
    <row r="6619">
      <c r="A6619" s="76" t="s">
        <v>26</v>
      </c>
      <c r="B6619" s="76" t="s">
        <v>1037</v>
      </c>
      <c r="C6619" s="84">
        <v>0.2</v>
      </c>
      <c r="D6619" s="84">
        <v>0.0</v>
      </c>
      <c r="E6619" s="84">
        <v>0.0</v>
      </c>
      <c r="F6619" s="76" t="s">
        <v>925</v>
      </c>
      <c r="G6619" s="83">
        <v>46116.0</v>
      </c>
      <c r="H6619" s="76" t="s">
        <v>1013</v>
      </c>
    </row>
    <row r="6620">
      <c r="A6620" s="76" t="s">
        <v>26</v>
      </c>
      <c r="B6620" s="76" t="s">
        <v>1037</v>
      </c>
      <c r="C6620" s="84">
        <v>0.43</v>
      </c>
      <c r="D6620" s="84">
        <v>0.0</v>
      </c>
      <c r="E6620" s="84">
        <v>0.0</v>
      </c>
      <c r="F6620" s="76" t="s">
        <v>925</v>
      </c>
      <c r="G6620" s="83">
        <v>46116.0</v>
      </c>
      <c r="H6620" s="76" t="s">
        <v>1014</v>
      </c>
    </row>
    <row r="6621">
      <c r="A6621" s="76" t="s">
        <v>28</v>
      </c>
      <c r="B6621" s="76" t="s">
        <v>1037</v>
      </c>
      <c r="C6621" s="84">
        <v>0.15</v>
      </c>
      <c r="D6621" s="84">
        <v>0.0</v>
      </c>
      <c r="E6621" s="84">
        <v>0.0</v>
      </c>
      <c r="F6621" s="76" t="s">
        <v>925</v>
      </c>
      <c r="G6621" s="83">
        <v>46116.0</v>
      </c>
      <c r="H6621" s="76" t="s">
        <v>931</v>
      </c>
    </row>
    <row r="6622">
      <c r="A6622" s="76" t="s">
        <v>28</v>
      </c>
      <c r="B6622" s="76" t="s">
        <v>1037</v>
      </c>
      <c r="C6622" s="84">
        <v>0.12</v>
      </c>
      <c r="D6622" s="84">
        <v>0.0</v>
      </c>
      <c r="E6622" s="84">
        <v>0.0</v>
      </c>
      <c r="F6622" s="76" t="s">
        <v>925</v>
      </c>
      <c r="G6622" s="83">
        <v>46116.0</v>
      </c>
      <c r="H6622" s="76" t="s">
        <v>932</v>
      </c>
    </row>
    <row r="6623">
      <c r="A6623" s="76" t="s">
        <v>28</v>
      </c>
      <c r="B6623" s="76" t="s">
        <v>1037</v>
      </c>
      <c r="C6623" s="84">
        <v>0.76</v>
      </c>
      <c r="D6623" s="84">
        <v>0.0</v>
      </c>
      <c r="E6623" s="84">
        <v>0.0</v>
      </c>
      <c r="F6623" s="76" t="s">
        <v>925</v>
      </c>
      <c r="G6623" s="83">
        <v>46116.0</v>
      </c>
      <c r="H6623" s="76" t="s">
        <v>933</v>
      </c>
    </row>
    <row r="6624">
      <c r="A6624" s="76" t="s">
        <v>31</v>
      </c>
      <c r="B6624" s="76" t="s">
        <v>1037</v>
      </c>
      <c r="C6624" s="84">
        <v>0.17</v>
      </c>
      <c r="D6624" s="84">
        <v>0.0</v>
      </c>
      <c r="E6624" s="84">
        <v>0.0</v>
      </c>
      <c r="F6624" s="76" t="s">
        <v>948</v>
      </c>
      <c r="G6624" s="83">
        <v>46116.0</v>
      </c>
      <c r="H6624" s="76" t="s">
        <v>929</v>
      </c>
    </row>
    <row r="6625">
      <c r="A6625" s="76" t="s">
        <v>31</v>
      </c>
      <c r="B6625" s="76" t="s">
        <v>1037</v>
      </c>
      <c r="C6625" s="84">
        <v>2.36</v>
      </c>
      <c r="D6625" s="84">
        <v>0.0</v>
      </c>
      <c r="E6625" s="84">
        <v>0.0</v>
      </c>
      <c r="F6625" s="76" t="s">
        <v>948</v>
      </c>
      <c r="G6625" s="83">
        <v>46116.0</v>
      </c>
      <c r="H6625" s="76" t="s">
        <v>930</v>
      </c>
    </row>
    <row r="6626">
      <c r="A6626" s="76" t="s">
        <v>944</v>
      </c>
      <c r="B6626" s="76" t="s">
        <v>1037</v>
      </c>
      <c r="C6626" s="84">
        <v>0.51</v>
      </c>
      <c r="D6626" s="84">
        <v>0.0</v>
      </c>
      <c r="E6626" s="84">
        <v>0.0</v>
      </c>
      <c r="F6626" s="76" t="s">
        <v>948</v>
      </c>
      <c r="G6626" s="83">
        <v>46116.0</v>
      </c>
      <c r="H6626" s="76" t="s">
        <v>945</v>
      </c>
    </row>
    <row r="6627">
      <c r="A6627" s="76" t="s">
        <v>944</v>
      </c>
      <c r="B6627" s="76" t="s">
        <v>1037</v>
      </c>
      <c r="C6627" s="84">
        <v>0.1</v>
      </c>
      <c r="D6627" s="84">
        <v>0.0</v>
      </c>
      <c r="E6627" s="84">
        <v>0.0</v>
      </c>
      <c r="F6627" s="76" t="s">
        <v>948</v>
      </c>
      <c r="G6627" s="83">
        <v>46116.0</v>
      </c>
      <c r="H6627" s="76" t="s">
        <v>946</v>
      </c>
    </row>
    <row r="6628">
      <c r="A6628" s="76" t="s">
        <v>944</v>
      </c>
      <c r="B6628" s="76" t="s">
        <v>1037</v>
      </c>
      <c r="C6628" s="84">
        <v>0.2</v>
      </c>
      <c r="D6628" s="84">
        <v>0.0</v>
      </c>
      <c r="E6628" s="84">
        <v>0.0</v>
      </c>
      <c r="F6628" s="76" t="s">
        <v>948</v>
      </c>
      <c r="G6628" s="83">
        <v>46116.0</v>
      </c>
      <c r="H6628" s="76" t="s">
        <v>947</v>
      </c>
    </row>
    <row r="6629">
      <c r="A6629" s="76" t="s">
        <v>32</v>
      </c>
      <c r="B6629" s="76" t="s">
        <v>1037</v>
      </c>
      <c r="C6629" s="84">
        <v>0.42</v>
      </c>
      <c r="D6629" s="84">
        <v>0.0</v>
      </c>
      <c r="E6629" s="84">
        <v>0.0</v>
      </c>
      <c r="F6629" s="76" t="s">
        <v>948</v>
      </c>
      <c r="G6629" s="83">
        <v>46116.0</v>
      </c>
      <c r="H6629" s="76" t="s">
        <v>941</v>
      </c>
    </row>
    <row r="6630">
      <c r="A6630" s="76" t="s">
        <v>32</v>
      </c>
      <c r="B6630" s="76" t="s">
        <v>1037</v>
      </c>
      <c r="C6630" s="84">
        <v>0.32</v>
      </c>
      <c r="D6630" s="84">
        <v>0.0</v>
      </c>
      <c r="E6630" s="84">
        <v>0.0</v>
      </c>
      <c r="F6630" s="76" t="s">
        <v>948</v>
      </c>
      <c r="G6630" s="83">
        <v>46116.0</v>
      </c>
      <c r="H6630" s="76" t="s">
        <v>942</v>
      </c>
    </row>
    <row r="6631">
      <c r="A6631" s="76" t="s">
        <v>32</v>
      </c>
      <c r="B6631" s="76" t="s">
        <v>1037</v>
      </c>
      <c r="C6631" s="84">
        <v>0.31</v>
      </c>
      <c r="D6631" s="84">
        <v>0.0</v>
      </c>
      <c r="E6631" s="84">
        <v>0.0</v>
      </c>
      <c r="F6631" s="76" t="s">
        <v>948</v>
      </c>
      <c r="G6631" s="83">
        <v>46116.0</v>
      </c>
      <c r="H6631" s="76" t="s">
        <v>943</v>
      </c>
    </row>
    <row r="6632">
      <c r="A6632" s="76" t="s">
        <v>26</v>
      </c>
      <c r="B6632" s="76" t="s">
        <v>1037</v>
      </c>
      <c r="C6632" s="84">
        <v>0.24</v>
      </c>
      <c r="D6632" s="84">
        <v>0.0</v>
      </c>
      <c r="E6632" s="84">
        <v>0.0</v>
      </c>
      <c r="F6632" s="76" t="s">
        <v>948</v>
      </c>
      <c r="G6632" s="83">
        <v>46116.0</v>
      </c>
      <c r="H6632" s="76" t="s">
        <v>1012</v>
      </c>
    </row>
    <row r="6633">
      <c r="A6633" s="76" t="s">
        <v>26</v>
      </c>
      <c r="B6633" s="76" t="s">
        <v>1037</v>
      </c>
      <c r="C6633" s="84">
        <v>0.08</v>
      </c>
      <c r="D6633" s="84">
        <v>0.0</v>
      </c>
      <c r="E6633" s="84">
        <v>0.0</v>
      </c>
      <c r="F6633" s="76" t="s">
        <v>948</v>
      </c>
      <c r="G6633" s="83">
        <v>46116.0</v>
      </c>
      <c r="H6633" s="76" t="s">
        <v>1013</v>
      </c>
    </row>
    <row r="6634">
      <c r="A6634" s="76" t="s">
        <v>26</v>
      </c>
      <c r="B6634" s="76" t="s">
        <v>1037</v>
      </c>
      <c r="C6634" s="84">
        <v>0.44</v>
      </c>
      <c r="D6634" s="84">
        <v>0.0</v>
      </c>
      <c r="E6634" s="84">
        <v>0.0</v>
      </c>
      <c r="F6634" s="76" t="s">
        <v>948</v>
      </c>
      <c r="G6634" s="83">
        <v>46116.0</v>
      </c>
      <c r="H6634" s="76" t="s">
        <v>1014</v>
      </c>
    </row>
    <row r="6635">
      <c r="A6635" s="76" t="s">
        <v>36</v>
      </c>
      <c r="B6635" s="76" t="s">
        <v>1037</v>
      </c>
      <c r="C6635" s="84">
        <v>0.19</v>
      </c>
      <c r="D6635" s="84">
        <v>0.0</v>
      </c>
      <c r="E6635" s="84">
        <v>0.0</v>
      </c>
      <c r="F6635" s="76" t="s">
        <v>948</v>
      </c>
      <c r="G6635" s="83">
        <v>46116.0</v>
      </c>
      <c r="H6635" s="76" t="s">
        <v>926</v>
      </c>
    </row>
    <row r="6636">
      <c r="A6636" s="76" t="s">
        <v>36</v>
      </c>
      <c r="B6636" s="76" t="s">
        <v>1037</v>
      </c>
      <c r="C6636" s="84">
        <v>0.22</v>
      </c>
      <c r="D6636" s="84">
        <v>0.0</v>
      </c>
      <c r="E6636" s="84">
        <v>0.0</v>
      </c>
      <c r="F6636" s="76" t="s">
        <v>948</v>
      </c>
      <c r="G6636" s="83">
        <v>46116.0</v>
      </c>
      <c r="H6636" s="76" t="s">
        <v>927</v>
      </c>
    </row>
    <row r="6637">
      <c r="A6637" s="76" t="s">
        <v>36</v>
      </c>
      <c r="B6637" s="76" t="s">
        <v>1037</v>
      </c>
      <c r="C6637" s="84">
        <v>0.09</v>
      </c>
      <c r="D6637" s="84">
        <v>0.0</v>
      </c>
      <c r="E6637" s="84">
        <v>0.0</v>
      </c>
      <c r="F6637" s="76" t="s">
        <v>948</v>
      </c>
      <c r="G6637" s="83">
        <v>46116.0</v>
      </c>
      <c r="H6637" s="76" t="s">
        <v>928</v>
      </c>
    </row>
    <row r="6638">
      <c r="A6638" s="76" t="s">
        <v>28</v>
      </c>
      <c r="B6638" s="76" t="s">
        <v>1037</v>
      </c>
      <c r="C6638" s="84">
        <v>0.04</v>
      </c>
      <c r="D6638" s="84">
        <v>0.0</v>
      </c>
      <c r="E6638" s="84">
        <v>0.0</v>
      </c>
      <c r="F6638" s="76" t="s">
        <v>948</v>
      </c>
      <c r="G6638" s="83">
        <v>46116.0</v>
      </c>
      <c r="H6638" s="76" t="s">
        <v>931</v>
      </c>
    </row>
    <row r="6639">
      <c r="A6639" s="76" t="s">
        <v>28</v>
      </c>
      <c r="B6639" s="76" t="s">
        <v>1037</v>
      </c>
      <c r="C6639" s="84">
        <v>0.13</v>
      </c>
      <c r="D6639" s="84">
        <v>0.0</v>
      </c>
      <c r="E6639" s="84">
        <v>0.0</v>
      </c>
      <c r="F6639" s="76" t="s">
        <v>948</v>
      </c>
      <c r="G6639" s="83">
        <v>46116.0</v>
      </c>
      <c r="H6639" s="76" t="s">
        <v>932</v>
      </c>
    </row>
    <row r="6640">
      <c r="A6640" s="76" t="s">
        <v>28</v>
      </c>
      <c r="B6640" s="76" t="s">
        <v>1037</v>
      </c>
      <c r="C6640" s="84">
        <v>0.76</v>
      </c>
      <c r="D6640" s="84">
        <v>0.0</v>
      </c>
      <c r="E6640" s="84">
        <v>0.0</v>
      </c>
      <c r="F6640" s="76" t="s">
        <v>948</v>
      </c>
      <c r="G6640" s="83">
        <v>46116.0</v>
      </c>
      <c r="H6640" s="76" t="s">
        <v>933</v>
      </c>
    </row>
    <row r="6641">
      <c r="A6641" s="76" t="s">
        <v>45</v>
      </c>
      <c r="B6641" s="76" t="s">
        <v>1037</v>
      </c>
      <c r="C6641" s="84">
        <v>0.07</v>
      </c>
      <c r="D6641" s="84">
        <v>0.0</v>
      </c>
      <c r="E6641" s="84">
        <v>0.0</v>
      </c>
      <c r="F6641" s="76" t="s">
        <v>948</v>
      </c>
      <c r="G6641" s="83">
        <v>46116.0</v>
      </c>
      <c r="H6641" s="76" t="s">
        <v>936</v>
      </c>
    </row>
    <row r="6642">
      <c r="A6642" s="76" t="s">
        <v>45</v>
      </c>
      <c r="B6642" s="76" t="s">
        <v>1037</v>
      </c>
      <c r="C6642" s="84">
        <v>0.05</v>
      </c>
      <c r="D6642" s="84">
        <v>0.0</v>
      </c>
      <c r="E6642" s="84">
        <v>0.0</v>
      </c>
      <c r="F6642" s="76" t="s">
        <v>948</v>
      </c>
      <c r="G6642" s="83">
        <v>46116.0</v>
      </c>
      <c r="H6642" s="76" t="s">
        <v>937</v>
      </c>
    </row>
    <row r="6643">
      <c r="A6643" s="76" t="s">
        <v>45</v>
      </c>
      <c r="B6643" s="76" t="s">
        <v>1037</v>
      </c>
      <c r="C6643" s="84">
        <v>0.14</v>
      </c>
      <c r="D6643" s="84">
        <v>0.0</v>
      </c>
      <c r="E6643" s="84">
        <v>0.0</v>
      </c>
      <c r="F6643" s="76" t="s">
        <v>948</v>
      </c>
      <c r="G6643" s="83">
        <v>46116.0</v>
      </c>
      <c r="H6643" s="76" t="s">
        <v>938</v>
      </c>
    </row>
    <row r="6644">
      <c r="A6644" s="76" t="s">
        <v>42</v>
      </c>
      <c r="B6644" s="76" t="s">
        <v>1037</v>
      </c>
      <c r="C6644" s="84">
        <v>0.11</v>
      </c>
      <c r="D6644" s="84">
        <v>0.0</v>
      </c>
      <c r="E6644" s="84">
        <v>0.0</v>
      </c>
      <c r="F6644" s="76" t="s">
        <v>948</v>
      </c>
      <c r="G6644" s="83">
        <v>46116.0</v>
      </c>
      <c r="H6644" s="76" t="s">
        <v>991</v>
      </c>
    </row>
    <row r="6645">
      <c r="A6645" s="76" t="s">
        <v>42</v>
      </c>
      <c r="B6645" s="76" t="s">
        <v>1037</v>
      </c>
      <c r="C6645" s="84">
        <v>1.39</v>
      </c>
      <c r="D6645" s="84">
        <v>0.0</v>
      </c>
      <c r="E6645" s="84">
        <v>0.0</v>
      </c>
      <c r="F6645" s="76" t="s">
        <v>948</v>
      </c>
      <c r="G6645" s="83">
        <v>46116.0</v>
      </c>
      <c r="H6645" s="76" t="s">
        <v>935</v>
      </c>
    </row>
    <row r="6646">
      <c r="A6646" s="76" t="s">
        <v>33</v>
      </c>
      <c r="B6646" s="76" t="s">
        <v>1030</v>
      </c>
      <c r="C6646" s="84">
        <v>223.81</v>
      </c>
      <c r="D6646" s="84">
        <v>11.0</v>
      </c>
      <c r="E6646" s="84">
        <v>20.35</v>
      </c>
      <c r="F6646" s="76" t="s">
        <v>950</v>
      </c>
      <c r="G6646" s="83">
        <v>46116.0</v>
      </c>
      <c r="H6646" s="76" t="s">
        <v>957</v>
      </c>
    </row>
    <row r="6647">
      <c r="A6647" s="76" t="s">
        <v>33</v>
      </c>
      <c r="B6647" s="76" t="s">
        <v>1030</v>
      </c>
      <c r="C6647" s="84">
        <v>0.35</v>
      </c>
      <c r="D6647" s="84">
        <v>0.0</v>
      </c>
      <c r="E6647" s="84">
        <v>0.0</v>
      </c>
      <c r="F6647" s="76" t="s">
        <v>950</v>
      </c>
      <c r="G6647" s="83">
        <v>46116.0</v>
      </c>
      <c r="H6647" s="76" t="s">
        <v>958</v>
      </c>
    </row>
    <row r="6648">
      <c r="A6648" s="76" t="s">
        <v>33</v>
      </c>
      <c r="B6648" s="76" t="s">
        <v>1030</v>
      </c>
      <c r="C6648" s="84">
        <v>0.28</v>
      </c>
      <c r="D6648" s="84">
        <v>0.0</v>
      </c>
      <c r="E6648" s="84">
        <v>0.0</v>
      </c>
      <c r="F6648" s="76" t="s">
        <v>950</v>
      </c>
      <c r="G6648" s="83">
        <v>46116.0</v>
      </c>
      <c r="H6648" s="76" t="s">
        <v>959</v>
      </c>
    </row>
    <row r="6649">
      <c r="A6649" s="76" t="s">
        <v>43</v>
      </c>
      <c r="B6649" s="76" t="s">
        <v>1030</v>
      </c>
      <c r="C6649" s="84">
        <v>0.13</v>
      </c>
      <c r="D6649" s="84">
        <v>0.0</v>
      </c>
      <c r="E6649" s="84">
        <v>0.0</v>
      </c>
      <c r="F6649" s="76" t="s">
        <v>950</v>
      </c>
      <c r="G6649" s="83">
        <v>46116.0</v>
      </c>
      <c r="H6649" s="76" t="s">
        <v>963</v>
      </c>
    </row>
    <row r="6650">
      <c r="A6650" s="76" t="s">
        <v>43</v>
      </c>
      <c r="B6650" s="76" t="s">
        <v>1030</v>
      </c>
      <c r="C6650" s="84">
        <v>0.25</v>
      </c>
      <c r="D6650" s="84">
        <v>0.0</v>
      </c>
      <c r="E6650" s="84">
        <v>0.0</v>
      </c>
      <c r="F6650" s="76" t="s">
        <v>950</v>
      </c>
      <c r="G6650" s="83">
        <v>46116.0</v>
      </c>
      <c r="H6650" s="76" t="s">
        <v>964</v>
      </c>
    </row>
    <row r="6651">
      <c r="A6651" s="76" t="s">
        <v>43</v>
      </c>
      <c r="B6651" s="76" t="s">
        <v>1030</v>
      </c>
      <c r="C6651" s="84">
        <v>5.81</v>
      </c>
      <c r="D6651" s="84">
        <v>0.0</v>
      </c>
      <c r="E6651" s="84">
        <v>0.0</v>
      </c>
      <c r="F6651" s="76" t="s">
        <v>950</v>
      </c>
      <c r="G6651" s="83">
        <v>46116.0</v>
      </c>
      <c r="H6651" s="76" t="s">
        <v>965</v>
      </c>
    </row>
    <row r="6652">
      <c r="A6652" s="76" t="s">
        <v>40</v>
      </c>
      <c r="B6652" s="76" t="s">
        <v>1030</v>
      </c>
      <c r="C6652" s="84">
        <v>0.06</v>
      </c>
      <c r="D6652" s="84">
        <v>1.0</v>
      </c>
      <c r="E6652" s="84">
        <v>0.06</v>
      </c>
      <c r="F6652" s="76" t="s">
        <v>950</v>
      </c>
      <c r="G6652" s="83">
        <v>46116.0</v>
      </c>
      <c r="H6652" s="76" t="s">
        <v>954</v>
      </c>
    </row>
    <row r="6653">
      <c r="A6653" s="76" t="s">
        <v>40</v>
      </c>
      <c r="B6653" s="76" t="s">
        <v>1030</v>
      </c>
      <c r="C6653" s="84">
        <v>0.84</v>
      </c>
      <c r="D6653" s="84">
        <v>0.0</v>
      </c>
      <c r="E6653" s="84">
        <v>0.0</v>
      </c>
      <c r="F6653" s="76" t="s">
        <v>950</v>
      </c>
      <c r="G6653" s="83">
        <v>46116.0</v>
      </c>
      <c r="H6653" s="76" t="s">
        <v>956</v>
      </c>
    </row>
    <row r="6654">
      <c r="A6654" s="76" t="s">
        <v>34</v>
      </c>
      <c r="B6654" s="76" t="s">
        <v>1030</v>
      </c>
      <c r="C6654" s="84">
        <v>0.08</v>
      </c>
      <c r="D6654" s="84">
        <v>0.0</v>
      </c>
      <c r="E6654" s="84">
        <v>0.0</v>
      </c>
      <c r="F6654" s="76" t="s">
        <v>950</v>
      </c>
      <c r="G6654" s="83">
        <v>46116.0</v>
      </c>
      <c r="H6654" s="76" t="s">
        <v>951</v>
      </c>
    </row>
    <row r="6655">
      <c r="A6655" s="76" t="s">
        <v>34</v>
      </c>
      <c r="B6655" s="76" t="s">
        <v>1030</v>
      </c>
      <c r="C6655" s="84">
        <v>0.08</v>
      </c>
      <c r="D6655" s="84">
        <v>0.0</v>
      </c>
      <c r="E6655" s="84">
        <v>0.0</v>
      </c>
      <c r="F6655" s="76" t="s">
        <v>950</v>
      </c>
      <c r="G6655" s="83">
        <v>46116.0</v>
      </c>
      <c r="H6655" s="76" t="s">
        <v>952</v>
      </c>
    </row>
    <row r="6656">
      <c r="A6656" s="76" t="s">
        <v>34</v>
      </c>
      <c r="B6656" s="76" t="s">
        <v>1030</v>
      </c>
      <c r="C6656" s="84">
        <v>0.1</v>
      </c>
      <c r="D6656" s="84">
        <v>0.0</v>
      </c>
      <c r="E6656" s="84">
        <v>0.0</v>
      </c>
      <c r="F6656" s="76" t="s">
        <v>950</v>
      </c>
      <c r="G6656" s="83">
        <v>46116.0</v>
      </c>
      <c r="H6656" s="76" t="s">
        <v>953</v>
      </c>
    </row>
    <row r="6657">
      <c r="A6657" s="76" t="s">
        <v>970</v>
      </c>
      <c r="B6657" s="76" t="s">
        <v>1030</v>
      </c>
      <c r="C6657" s="84">
        <v>0.67</v>
      </c>
      <c r="D6657" s="84">
        <v>0.0</v>
      </c>
      <c r="E6657" s="84">
        <v>0.0</v>
      </c>
      <c r="F6657" s="76" t="s">
        <v>950</v>
      </c>
      <c r="G6657" s="83">
        <v>46116.0</v>
      </c>
      <c r="H6657" s="76" t="s">
        <v>971</v>
      </c>
    </row>
    <row r="6658">
      <c r="A6658" s="76" t="s">
        <v>970</v>
      </c>
      <c r="B6658" s="76" t="s">
        <v>1030</v>
      </c>
      <c r="C6658" s="84">
        <v>0.03</v>
      </c>
      <c r="D6658" s="84">
        <v>0.0</v>
      </c>
      <c r="E6658" s="84">
        <v>0.0</v>
      </c>
      <c r="F6658" s="76" t="s">
        <v>950</v>
      </c>
      <c r="G6658" s="83">
        <v>46116.0</v>
      </c>
      <c r="H6658" s="76" t="s">
        <v>972</v>
      </c>
    </row>
    <row r="6659">
      <c r="A6659" s="76" t="s">
        <v>970</v>
      </c>
      <c r="B6659" s="76" t="s">
        <v>1030</v>
      </c>
      <c r="C6659" s="84">
        <v>106.88</v>
      </c>
      <c r="D6659" s="84">
        <v>9.0</v>
      </c>
      <c r="E6659" s="84">
        <v>11.88</v>
      </c>
      <c r="F6659" s="76" t="s">
        <v>950</v>
      </c>
      <c r="G6659" s="83">
        <v>46116.0</v>
      </c>
      <c r="H6659" s="76" t="s">
        <v>973</v>
      </c>
    </row>
    <row r="6660">
      <c r="A6660" s="76" t="s">
        <v>36</v>
      </c>
      <c r="B6660" s="76" t="s">
        <v>1030</v>
      </c>
      <c r="C6660" s="84">
        <v>0.48</v>
      </c>
      <c r="D6660" s="84">
        <v>0.0</v>
      </c>
      <c r="E6660" s="84">
        <v>0.0</v>
      </c>
      <c r="F6660" s="76" t="s">
        <v>950</v>
      </c>
      <c r="G6660" s="83">
        <v>46116.0</v>
      </c>
      <c r="H6660" s="76" t="s">
        <v>926</v>
      </c>
    </row>
    <row r="6661">
      <c r="A6661" s="76" t="s">
        <v>36</v>
      </c>
      <c r="B6661" s="76" t="s">
        <v>1030</v>
      </c>
      <c r="C6661" s="84">
        <v>0.11</v>
      </c>
      <c r="D6661" s="84">
        <v>0.0</v>
      </c>
      <c r="E6661" s="84">
        <v>0.0</v>
      </c>
      <c r="F6661" s="76" t="s">
        <v>950</v>
      </c>
      <c r="G6661" s="83">
        <v>46116.0</v>
      </c>
      <c r="H6661" s="76" t="s">
        <v>927</v>
      </c>
    </row>
    <row r="6662">
      <c r="A6662" s="76" t="s">
        <v>36</v>
      </c>
      <c r="B6662" s="76" t="s">
        <v>1030</v>
      </c>
      <c r="C6662" s="84">
        <v>0.03</v>
      </c>
      <c r="D6662" s="84">
        <v>0.0</v>
      </c>
      <c r="E6662" s="84">
        <v>0.0</v>
      </c>
      <c r="F6662" s="76" t="s">
        <v>950</v>
      </c>
      <c r="G6662" s="83">
        <v>46116.0</v>
      </c>
      <c r="H6662" s="76" t="s">
        <v>928</v>
      </c>
    </row>
    <row r="6663">
      <c r="A6663" s="76" t="s">
        <v>46</v>
      </c>
      <c r="B6663" s="76" t="s">
        <v>1030</v>
      </c>
      <c r="C6663" s="84">
        <v>5.47</v>
      </c>
      <c r="D6663" s="84">
        <v>0.0</v>
      </c>
      <c r="E6663" s="84">
        <v>0.0</v>
      </c>
      <c r="F6663" s="76" t="s">
        <v>950</v>
      </c>
      <c r="G6663" s="83">
        <v>46116.0</v>
      </c>
      <c r="H6663" s="76" t="s">
        <v>960</v>
      </c>
    </row>
    <row r="6664">
      <c r="A6664" s="76" t="s">
        <v>46</v>
      </c>
      <c r="B6664" s="76" t="s">
        <v>1030</v>
      </c>
      <c r="C6664" s="84">
        <v>0.08</v>
      </c>
      <c r="D6664" s="84">
        <v>0.0</v>
      </c>
      <c r="E6664" s="84">
        <v>0.0</v>
      </c>
      <c r="F6664" s="76" t="s">
        <v>950</v>
      </c>
      <c r="G6664" s="83">
        <v>46116.0</v>
      </c>
      <c r="H6664" s="76" t="s">
        <v>961</v>
      </c>
    </row>
    <row r="6665">
      <c r="A6665" s="76" t="s">
        <v>46</v>
      </c>
      <c r="B6665" s="76" t="s">
        <v>1030</v>
      </c>
      <c r="C6665" s="84">
        <v>0.08</v>
      </c>
      <c r="D6665" s="84">
        <v>0.0</v>
      </c>
      <c r="E6665" s="84">
        <v>0.0</v>
      </c>
      <c r="F6665" s="76" t="s">
        <v>950</v>
      </c>
      <c r="G6665" s="83">
        <v>46116.0</v>
      </c>
      <c r="H6665" s="76" t="s">
        <v>962</v>
      </c>
    </row>
    <row r="6666">
      <c r="A6666" s="76" t="s">
        <v>966</v>
      </c>
      <c r="B6666" s="76" t="s">
        <v>1030</v>
      </c>
      <c r="C6666" s="84">
        <v>0.24</v>
      </c>
      <c r="D6666" s="84">
        <v>0.0</v>
      </c>
      <c r="E6666" s="84">
        <v>0.0</v>
      </c>
      <c r="F6666" s="76" t="s">
        <v>950</v>
      </c>
      <c r="G6666" s="83">
        <v>46116.0</v>
      </c>
      <c r="H6666" s="76" t="s">
        <v>967</v>
      </c>
    </row>
    <row r="6667">
      <c r="A6667" s="76" t="s">
        <v>966</v>
      </c>
      <c r="B6667" s="76" t="s">
        <v>1030</v>
      </c>
      <c r="C6667" s="84">
        <v>0.03</v>
      </c>
      <c r="D6667" s="84">
        <v>0.0</v>
      </c>
      <c r="E6667" s="84">
        <v>0.0</v>
      </c>
      <c r="F6667" s="76" t="s">
        <v>950</v>
      </c>
      <c r="G6667" s="83">
        <v>46116.0</v>
      </c>
      <c r="H6667" s="76" t="s">
        <v>968</v>
      </c>
    </row>
    <row r="6668">
      <c r="A6668" s="76" t="s">
        <v>966</v>
      </c>
      <c r="B6668" s="76" t="s">
        <v>1030</v>
      </c>
      <c r="C6668" s="84">
        <v>0.06</v>
      </c>
      <c r="D6668" s="84">
        <v>0.0</v>
      </c>
      <c r="E6668" s="84">
        <v>0.0</v>
      </c>
      <c r="F6668" s="76" t="s">
        <v>950</v>
      </c>
      <c r="G6668" s="83">
        <v>46116.0</v>
      </c>
      <c r="H6668" s="76" t="s">
        <v>969</v>
      </c>
    </row>
    <row r="6669">
      <c r="A6669" s="76" t="s">
        <v>29</v>
      </c>
      <c r="B6669" s="76" t="s">
        <v>1030</v>
      </c>
      <c r="C6669" s="84">
        <v>0.54</v>
      </c>
      <c r="D6669" s="84">
        <v>0.0</v>
      </c>
      <c r="E6669" s="84">
        <v>0.0</v>
      </c>
      <c r="F6669" s="76" t="s">
        <v>950</v>
      </c>
      <c r="G6669" s="83">
        <v>46116.0</v>
      </c>
      <c r="H6669" s="76" t="s">
        <v>971</v>
      </c>
    </row>
    <row r="6670">
      <c r="A6670" s="76" t="s">
        <v>29</v>
      </c>
      <c r="B6670" s="76" t="s">
        <v>1030</v>
      </c>
      <c r="C6670" s="84">
        <v>0.04</v>
      </c>
      <c r="D6670" s="84">
        <v>0.0</v>
      </c>
      <c r="E6670" s="84">
        <v>0.0</v>
      </c>
      <c r="F6670" s="76" t="s">
        <v>950</v>
      </c>
      <c r="G6670" s="83">
        <v>46116.0</v>
      </c>
      <c r="H6670" s="76" t="s">
        <v>972</v>
      </c>
    </row>
    <row r="6671">
      <c r="A6671" s="76" t="s">
        <v>29</v>
      </c>
      <c r="B6671" s="76" t="s">
        <v>1030</v>
      </c>
      <c r="C6671" s="84">
        <v>67.75</v>
      </c>
      <c r="D6671" s="84">
        <v>1.0</v>
      </c>
      <c r="E6671" s="84">
        <v>67.75</v>
      </c>
      <c r="F6671" s="76" t="s">
        <v>950</v>
      </c>
      <c r="G6671" s="83">
        <v>46116.0</v>
      </c>
      <c r="H6671" s="76" t="s">
        <v>973</v>
      </c>
    </row>
    <row r="6672">
      <c r="A6672" s="76" t="s">
        <v>966</v>
      </c>
      <c r="B6672" s="76" t="s">
        <v>1030</v>
      </c>
      <c r="C6672" s="84">
        <v>0.27</v>
      </c>
      <c r="D6672" s="84">
        <v>0.0</v>
      </c>
      <c r="E6672" s="84">
        <v>0.0</v>
      </c>
      <c r="F6672" s="76" t="s">
        <v>975</v>
      </c>
      <c r="G6672" s="83">
        <v>46116.0</v>
      </c>
      <c r="H6672" s="76" t="s">
        <v>967</v>
      </c>
    </row>
    <row r="6673">
      <c r="A6673" s="76" t="s">
        <v>966</v>
      </c>
      <c r="B6673" s="76" t="s">
        <v>1030</v>
      </c>
      <c r="C6673" s="84">
        <v>0.04</v>
      </c>
      <c r="D6673" s="84">
        <v>0.0</v>
      </c>
      <c r="E6673" s="84">
        <v>0.0</v>
      </c>
      <c r="F6673" s="76" t="s">
        <v>975</v>
      </c>
      <c r="G6673" s="83">
        <v>46116.0</v>
      </c>
      <c r="H6673" s="76" t="s">
        <v>968</v>
      </c>
    </row>
    <row r="6674">
      <c r="A6674" s="76" t="s">
        <v>966</v>
      </c>
      <c r="B6674" s="76" t="s">
        <v>1030</v>
      </c>
      <c r="C6674" s="84">
        <v>0.1</v>
      </c>
      <c r="D6674" s="84">
        <v>0.0</v>
      </c>
      <c r="E6674" s="84">
        <v>0.0</v>
      </c>
      <c r="F6674" s="76" t="s">
        <v>975</v>
      </c>
      <c r="G6674" s="83">
        <v>46116.0</v>
      </c>
      <c r="H6674" s="76" t="s">
        <v>969</v>
      </c>
    </row>
    <row r="6675">
      <c r="A6675" s="76" t="s">
        <v>43</v>
      </c>
      <c r="B6675" s="76" t="s">
        <v>1030</v>
      </c>
      <c r="C6675" s="84">
        <v>0.17</v>
      </c>
      <c r="D6675" s="84">
        <v>0.0</v>
      </c>
      <c r="E6675" s="84">
        <v>0.0</v>
      </c>
      <c r="F6675" s="76" t="s">
        <v>975</v>
      </c>
      <c r="G6675" s="83">
        <v>46116.0</v>
      </c>
      <c r="H6675" s="76" t="s">
        <v>963</v>
      </c>
    </row>
    <row r="6676">
      <c r="A6676" s="76" t="s">
        <v>43</v>
      </c>
      <c r="B6676" s="76" t="s">
        <v>1030</v>
      </c>
      <c r="C6676" s="84">
        <v>0.19</v>
      </c>
      <c r="D6676" s="84">
        <v>0.0</v>
      </c>
      <c r="E6676" s="84">
        <v>0.0</v>
      </c>
      <c r="F6676" s="76" t="s">
        <v>975</v>
      </c>
      <c r="G6676" s="83">
        <v>46116.0</v>
      </c>
      <c r="H6676" s="76" t="s">
        <v>964</v>
      </c>
    </row>
    <row r="6677">
      <c r="A6677" s="76" t="s">
        <v>43</v>
      </c>
      <c r="B6677" s="76" t="s">
        <v>1030</v>
      </c>
      <c r="C6677" s="84">
        <v>0.65</v>
      </c>
      <c r="D6677" s="84">
        <v>1.0</v>
      </c>
      <c r="E6677" s="84">
        <v>0.65</v>
      </c>
      <c r="F6677" s="76" t="s">
        <v>975</v>
      </c>
      <c r="G6677" s="83">
        <v>46116.0</v>
      </c>
      <c r="H6677" s="76" t="s">
        <v>965</v>
      </c>
    </row>
    <row r="6678">
      <c r="A6678" s="76" t="s">
        <v>33</v>
      </c>
      <c r="B6678" s="76" t="s">
        <v>1030</v>
      </c>
      <c r="C6678" s="84">
        <v>5.6</v>
      </c>
      <c r="D6678" s="84">
        <v>1.0</v>
      </c>
      <c r="E6678" s="84">
        <v>5.6</v>
      </c>
      <c r="F6678" s="76" t="s">
        <v>975</v>
      </c>
      <c r="G6678" s="83">
        <v>46116.0</v>
      </c>
      <c r="H6678" s="76" t="s">
        <v>957</v>
      </c>
    </row>
    <row r="6679">
      <c r="A6679" s="76" t="s">
        <v>33</v>
      </c>
      <c r="B6679" s="76" t="s">
        <v>1030</v>
      </c>
      <c r="C6679" s="84">
        <v>0.19</v>
      </c>
      <c r="D6679" s="84">
        <v>0.0</v>
      </c>
      <c r="E6679" s="84">
        <v>0.0</v>
      </c>
      <c r="F6679" s="76" t="s">
        <v>975</v>
      </c>
      <c r="G6679" s="83">
        <v>46116.0</v>
      </c>
      <c r="H6679" s="76" t="s">
        <v>958</v>
      </c>
    </row>
    <row r="6680">
      <c r="A6680" s="76" t="s">
        <v>33</v>
      </c>
      <c r="B6680" s="76" t="s">
        <v>1030</v>
      </c>
      <c r="C6680" s="84">
        <v>0.26</v>
      </c>
      <c r="D6680" s="84">
        <v>0.0</v>
      </c>
      <c r="E6680" s="84">
        <v>0.0</v>
      </c>
      <c r="F6680" s="76" t="s">
        <v>975</v>
      </c>
      <c r="G6680" s="83">
        <v>46116.0</v>
      </c>
      <c r="H6680" s="76" t="s">
        <v>959</v>
      </c>
    </row>
    <row r="6681">
      <c r="A6681" s="76" t="s">
        <v>29</v>
      </c>
      <c r="B6681" s="76" t="s">
        <v>1030</v>
      </c>
      <c r="C6681" s="84">
        <v>0.73</v>
      </c>
      <c r="D6681" s="84">
        <v>0.0</v>
      </c>
      <c r="E6681" s="84">
        <v>0.0</v>
      </c>
      <c r="F6681" s="76" t="s">
        <v>975</v>
      </c>
      <c r="G6681" s="83">
        <v>46116.0</v>
      </c>
      <c r="H6681" s="76" t="s">
        <v>971</v>
      </c>
    </row>
    <row r="6682">
      <c r="A6682" s="76" t="s">
        <v>29</v>
      </c>
      <c r="B6682" s="76" t="s">
        <v>1030</v>
      </c>
      <c r="C6682" s="84">
        <v>0.09</v>
      </c>
      <c r="D6682" s="84">
        <v>0.0</v>
      </c>
      <c r="E6682" s="84">
        <v>0.0</v>
      </c>
      <c r="F6682" s="76" t="s">
        <v>975</v>
      </c>
      <c r="G6682" s="83">
        <v>46116.0</v>
      </c>
      <c r="H6682" s="76" t="s">
        <v>972</v>
      </c>
    </row>
    <row r="6683">
      <c r="A6683" s="76" t="s">
        <v>29</v>
      </c>
      <c r="B6683" s="76" t="s">
        <v>1030</v>
      </c>
      <c r="C6683" s="84">
        <v>2.81</v>
      </c>
      <c r="D6683" s="84">
        <v>0.0</v>
      </c>
      <c r="E6683" s="84">
        <v>0.0</v>
      </c>
      <c r="F6683" s="76" t="s">
        <v>975</v>
      </c>
      <c r="G6683" s="83">
        <v>46116.0</v>
      </c>
      <c r="H6683" s="76" t="s">
        <v>973</v>
      </c>
    </row>
    <row r="6684">
      <c r="A6684" s="76" t="s">
        <v>46</v>
      </c>
      <c r="B6684" s="76" t="s">
        <v>1030</v>
      </c>
      <c r="C6684" s="84">
        <v>0.29</v>
      </c>
      <c r="D6684" s="84">
        <v>0.0</v>
      </c>
      <c r="E6684" s="84">
        <v>0.0</v>
      </c>
      <c r="F6684" s="76" t="s">
        <v>975</v>
      </c>
      <c r="G6684" s="83">
        <v>46116.0</v>
      </c>
      <c r="H6684" s="76" t="s">
        <v>960</v>
      </c>
    </row>
    <row r="6685">
      <c r="A6685" s="76" t="s">
        <v>46</v>
      </c>
      <c r="B6685" s="76" t="s">
        <v>1030</v>
      </c>
      <c r="C6685" s="84">
        <v>0.19</v>
      </c>
      <c r="D6685" s="84">
        <v>0.0</v>
      </c>
      <c r="E6685" s="84">
        <v>0.0</v>
      </c>
      <c r="F6685" s="76" t="s">
        <v>975</v>
      </c>
      <c r="G6685" s="83">
        <v>46116.0</v>
      </c>
      <c r="H6685" s="76" t="s">
        <v>961</v>
      </c>
    </row>
    <row r="6686">
      <c r="A6686" s="76" t="s">
        <v>46</v>
      </c>
      <c r="B6686" s="76" t="s">
        <v>1030</v>
      </c>
      <c r="C6686" s="84">
        <v>0.13</v>
      </c>
      <c r="D6686" s="84">
        <v>0.0</v>
      </c>
      <c r="E6686" s="84">
        <v>0.0</v>
      </c>
      <c r="F6686" s="76" t="s">
        <v>975</v>
      </c>
      <c r="G6686" s="83">
        <v>46116.0</v>
      </c>
      <c r="H6686" s="76" t="s">
        <v>962</v>
      </c>
    </row>
    <row r="6687">
      <c r="A6687" s="76" t="s">
        <v>34</v>
      </c>
      <c r="B6687" s="76" t="s">
        <v>1030</v>
      </c>
      <c r="C6687" s="84">
        <v>0.09</v>
      </c>
      <c r="D6687" s="84">
        <v>0.0</v>
      </c>
      <c r="E6687" s="84">
        <v>0.0</v>
      </c>
      <c r="F6687" s="76" t="s">
        <v>975</v>
      </c>
      <c r="G6687" s="83">
        <v>46116.0</v>
      </c>
      <c r="H6687" s="76" t="s">
        <v>951</v>
      </c>
    </row>
    <row r="6688">
      <c r="A6688" s="76" t="s">
        <v>34</v>
      </c>
      <c r="B6688" s="76" t="s">
        <v>1030</v>
      </c>
      <c r="C6688" s="84">
        <v>0.09</v>
      </c>
      <c r="D6688" s="84">
        <v>0.0</v>
      </c>
      <c r="E6688" s="84">
        <v>0.0</v>
      </c>
      <c r="F6688" s="76" t="s">
        <v>975</v>
      </c>
      <c r="G6688" s="83">
        <v>46116.0</v>
      </c>
      <c r="H6688" s="76" t="s">
        <v>952</v>
      </c>
    </row>
    <row r="6689">
      <c r="A6689" s="76" t="s">
        <v>34</v>
      </c>
      <c r="B6689" s="76" t="s">
        <v>1030</v>
      </c>
      <c r="C6689" s="84">
        <v>0.18</v>
      </c>
      <c r="D6689" s="84">
        <v>0.0</v>
      </c>
      <c r="E6689" s="84">
        <v>0.0</v>
      </c>
      <c r="F6689" s="76" t="s">
        <v>975</v>
      </c>
      <c r="G6689" s="83">
        <v>46116.0</v>
      </c>
      <c r="H6689" s="76" t="s">
        <v>953</v>
      </c>
    </row>
    <row r="6690">
      <c r="A6690" s="76" t="s">
        <v>40</v>
      </c>
      <c r="B6690" s="76" t="s">
        <v>1030</v>
      </c>
      <c r="C6690" s="84">
        <v>0.02</v>
      </c>
      <c r="D6690" s="84">
        <v>0.0</v>
      </c>
      <c r="E6690" s="84">
        <v>0.0</v>
      </c>
      <c r="F6690" s="76" t="s">
        <v>975</v>
      </c>
      <c r="G6690" s="83">
        <v>46116.0</v>
      </c>
      <c r="H6690" s="76" t="s">
        <v>954</v>
      </c>
    </row>
    <row r="6691">
      <c r="A6691" s="76" t="s">
        <v>40</v>
      </c>
      <c r="B6691" s="76" t="s">
        <v>1030</v>
      </c>
      <c r="C6691" s="84">
        <v>0.01</v>
      </c>
      <c r="D6691" s="84">
        <v>0.0</v>
      </c>
      <c r="E6691" s="84">
        <v>0.0</v>
      </c>
      <c r="F6691" s="76" t="s">
        <v>975</v>
      </c>
      <c r="G6691" s="83">
        <v>46116.0</v>
      </c>
      <c r="H6691" s="76" t="s">
        <v>955</v>
      </c>
    </row>
    <row r="6692">
      <c r="A6692" s="76" t="s">
        <v>40</v>
      </c>
      <c r="B6692" s="76" t="s">
        <v>1030</v>
      </c>
      <c r="C6692" s="84">
        <v>0.39</v>
      </c>
      <c r="D6692" s="84">
        <v>0.0</v>
      </c>
      <c r="E6692" s="84">
        <v>0.0</v>
      </c>
      <c r="F6692" s="76" t="s">
        <v>975</v>
      </c>
      <c r="G6692" s="83">
        <v>46116.0</v>
      </c>
      <c r="H6692" s="76" t="s">
        <v>956</v>
      </c>
    </row>
    <row r="6693">
      <c r="A6693" s="76" t="s">
        <v>36</v>
      </c>
      <c r="B6693" s="76" t="s">
        <v>1030</v>
      </c>
      <c r="C6693" s="84">
        <v>0.07</v>
      </c>
      <c r="D6693" s="84">
        <v>0.0</v>
      </c>
      <c r="E6693" s="84">
        <v>0.0</v>
      </c>
      <c r="F6693" s="76" t="s">
        <v>975</v>
      </c>
      <c r="G6693" s="83">
        <v>46116.0</v>
      </c>
      <c r="H6693" s="76" t="s">
        <v>926</v>
      </c>
    </row>
    <row r="6694">
      <c r="A6694" s="76" t="s">
        <v>36</v>
      </c>
      <c r="B6694" s="76" t="s">
        <v>1030</v>
      </c>
      <c r="C6694" s="84">
        <v>0.03</v>
      </c>
      <c r="D6694" s="84">
        <v>0.0</v>
      </c>
      <c r="E6694" s="84">
        <v>0.0</v>
      </c>
      <c r="F6694" s="76" t="s">
        <v>975</v>
      </c>
      <c r="G6694" s="83">
        <v>46116.0</v>
      </c>
      <c r="H6694" s="76" t="s">
        <v>927</v>
      </c>
    </row>
    <row r="6695">
      <c r="A6695" s="76" t="s">
        <v>36</v>
      </c>
      <c r="B6695" s="76" t="s">
        <v>1030</v>
      </c>
      <c r="C6695" s="84">
        <v>0.01</v>
      </c>
      <c r="D6695" s="84">
        <v>0.0</v>
      </c>
      <c r="E6695" s="84">
        <v>0.0</v>
      </c>
      <c r="F6695" s="76" t="s">
        <v>975</v>
      </c>
      <c r="G6695" s="83">
        <v>46116.0</v>
      </c>
      <c r="H6695" s="76" t="s">
        <v>928</v>
      </c>
    </row>
    <row r="6696">
      <c r="A6696" s="76" t="s">
        <v>970</v>
      </c>
      <c r="B6696" s="76" t="s">
        <v>1030</v>
      </c>
      <c r="C6696" s="84">
        <v>0.44</v>
      </c>
      <c r="D6696" s="84">
        <v>0.0</v>
      </c>
      <c r="E6696" s="84">
        <v>0.0</v>
      </c>
      <c r="F6696" s="76" t="s">
        <v>975</v>
      </c>
      <c r="G6696" s="83">
        <v>46116.0</v>
      </c>
      <c r="H6696" s="76" t="s">
        <v>971</v>
      </c>
    </row>
    <row r="6697">
      <c r="A6697" s="76" t="s">
        <v>970</v>
      </c>
      <c r="B6697" s="76" t="s">
        <v>1030</v>
      </c>
      <c r="C6697" s="84">
        <v>0.08</v>
      </c>
      <c r="D6697" s="84">
        <v>0.0</v>
      </c>
      <c r="E6697" s="84">
        <v>0.0</v>
      </c>
      <c r="F6697" s="76" t="s">
        <v>975</v>
      </c>
      <c r="G6697" s="83">
        <v>46116.0</v>
      </c>
      <c r="H6697" s="76" t="s">
        <v>972</v>
      </c>
    </row>
    <row r="6698">
      <c r="A6698" s="76" t="s">
        <v>970</v>
      </c>
      <c r="B6698" s="76" t="s">
        <v>1030</v>
      </c>
      <c r="C6698" s="84">
        <v>4.1</v>
      </c>
      <c r="D6698" s="84">
        <v>0.0</v>
      </c>
      <c r="E6698" s="84">
        <v>0.0</v>
      </c>
      <c r="F6698" s="76" t="s">
        <v>975</v>
      </c>
      <c r="G6698" s="83">
        <v>46116.0</v>
      </c>
      <c r="H6698" s="76" t="s">
        <v>973</v>
      </c>
    </row>
    <row r="6699">
      <c r="A6699" s="76" t="s">
        <v>29</v>
      </c>
      <c r="B6699" s="76" t="s">
        <v>1031</v>
      </c>
      <c r="C6699" s="84">
        <v>4.48</v>
      </c>
      <c r="D6699" s="84">
        <v>1.0</v>
      </c>
      <c r="E6699" s="84">
        <v>4.48</v>
      </c>
      <c r="F6699" s="76" t="s">
        <v>925</v>
      </c>
      <c r="G6699" s="83">
        <v>46116.0</v>
      </c>
      <c r="H6699" s="76" t="s">
        <v>971</v>
      </c>
    </row>
    <row r="6700">
      <c r="A6700" s="76" t="s">
        <v>29</v>
      </c>
      <c r="B6700" s="76" t="s">
        <v>1031</v>
      </c>
      <c r="C6700" s="84">
        <v>0.17</v>
      </c>
      <c r="D6700" s="84">
        <v>0.0</v>
      </c>
      <c r="E6700" s="84">
        <v>0.0</v>
      </c>
      <c r="F6700" s="76" t="s">
        <v>925</v>
      </c>
      <c r="G6700" s="83">
        <v>46116.0</v>
      </c>
      <c r="H6700" s="76" t="s">
        <v>972</v>
      </c>
    </row>
    <row r="6701">
      <c r="A6701" s="76" t="s">
        <v>29</v>
      </c>
      <c r="B6701" s="76" t="s">
        <v>1031</v>
      </c>
      <c r="C6701" s="84">
        <v>34.63</v>
      </c>
      <c r="D6701" s="84">
        <v>1.0</v>
      </c>
      <c r="E6701" s="84">
        <v>34.63</v>
      </c>
      <c r="F6701" s="76" t="s">
        <v>925</v>
      </c>
      <c r="G6701" s="83">
        <v>46116.0</v>
      </c>
      <c r="H6701" s="76" t="s">
        <v>973</v>
      </c>
    </row>
    <row r="6702">
      <c r="A6702" s="76" t="s">
        <v>36</v>
      </c>
      <c r="B6702" s="76" t="s">
        <v>1031</v>
      </c>
      <c r="C6702" s="84">
        <v>0.81</v>
      </c>
      <c r="D6702" s="84">
        <v>0.0</v>
      </c>
      <c r="E6702" s="84">
        <v>0.0</v>
      </c>
      <c r="F6702" s="76" t="s">
        <v>925</v>
      </c>
      <c r="G6702" s="83">
        <v>46116.0</v>
      </c>
      <c r="H6702" s="76" t="s">
        <v>926</v>
      </c>
    </row>
    <row r="6703">
      <c r="A6703" s="76" t="s">
        <v>36</v>
      </c>
      <c r="B6703" s="76" t="s">
        <v>1031</v>
      </c>
      <c r="C6703" s="84">
        <v>0.22</v>
      </c>
      <c r="D6703" s="84">
        <v>0.0</v>
      </c>
      <c r="E6703" s="84">
        <v>0.0</v>
      </c>
      <c r="F6703" s="76" t="s">
        <v>925</v>
      </c>
      <c r="G6703" s="83">
        <v>46116.0</v>
      </c>
      <c r="H6703" s="76" t="s">
        <v>927</v>
      </c>
    </row>
    <row r="6704">
      <c r="A6704" s="76" t="s">
        <v>36</v>
      </c>
      <c r="B6704" s="76" t="s">
        <v>1031</v>
      </c>
      <c r="C6704" s="84">
        <v>0.12</v>
      </c>
      <c r="D6704" s="84">
        <v>0.0</v>
      </c>
      <c r="E6704" s="84">
        <v>0.0</v>
      </c>
      <c r="F6704" s="76" t="s">
        <v>925</v>
      </c>
      <c r="G6704" s="83">
        <v>46116.0</v>
      </c>
      <c r="H6704" s="76" t="s">
        <v>928</v>
      </c>
    </row>
    <row r="6705">
      <c r="A6705" s="76" t="s">
        <v>40</v>
      </c>
      <c r="B6705" s="76" t="s">
        <v>1031</v>
      </c>
      <c r="C6705" s="84">
        <v>0.28</v>
      </c>
      <c r="D6705" s="84">
        <v>0.0</v>
      </c>
      <c r="E6705" s="84">
        <v>0.0</v>
      </c>
      <c r="F6705" s="76" t="s">
        <v>925</v>
      </c>
      <c r="G6705" s="83">
        <v>46116.0</v>
      </c>
      <c r="H6705" s="76" t="s">
        <v>954</v>
      </c>
    </row>
    <row r="6706">
      <c r="A6706" s="76" t="s">
        <v>40</v>
      </c>
      <c r="B6706" s="76" t="s">
        <v>1031</v>
      </c>
      <c r="C6706" s="84">
        <v>0.02</v>
      </c>
      <c r="D6706" s="84">
        <v>0.0</v>
      </c>
      <c r="E6706" s="84">
        <v>0.0</v>
      </c>
      <c r="F6706" s="76" t="s">
        <v>925</v>
      </c>
      <c r="G6706" s="83">
        <v>46116.0</v>
      </c>
      <c r="H6706" s="76" t="s">
        <v>955</v>
      </c>
    </row>
    <row r="6707">
      <c r="A6707" s="76" t="s">
        <v>40</v>
      </c>
      <c r="B6707" s="76" t="s">
        <v>1031</v>
      </c>
      <c r="C6707" s="84">
        <v>2.12</v>
      </c>
      <c r="D6707" s="84">
        <v>0.0</v>
      </c>
      <c r="E6707" s="84">
        <v>0.0</v>
      </c>
      <c r="F6707" s="76" t="s">
        <v>925</v>
      </c>
      <c r="G6707" s="83">
        <v>46116.0</v>
      </c>
      <c r="H6707" s="76" t="s">
        <v>956</v>
      </c>
    </row>
    <row r="6708">
      <c r="A6708" s="76" t="s">
        <v>970</v>
      </c>
      <c r="B6708" s="76" t="s">
        <v>1031</v>
      </c>
      <c r="C6708" s="84">
        <v>2.95</v>
      </c>
      <c r="D6708" s="84">
        <v>0.0</v>
      </c>
      <c r="E6708" s="84">
        <v>0.0</v>
      </c>
      <c r="F6708" s="76" t="s">
        <v>925</v>
      </c>
      <c r="G6708" s="83">
        <v>46116.0</v>
      </c>
      <c r="H6708" s="76" t="s">
        <v>971</v>
      </c>
    </row>
    <row r="6709">
      <c r="A6709" s="76" t="s">
        <v>970</v>
      </c>
      <c r="B6709" s="76" t="s">
        <v>1031</v>
      </c>
      <c r="C6709" s="84">
        <v>0.17</v>
      </c>
      <c r="D6709" s="84">
        <v>0.0</v>
      </c>
      <c r="E6709" s="84">
        <v>0.0</v>
      </c>
      <c r="F6709" s="76" t="s">
        <v>925</v>
      </c>
      <c r="G6709" s="83">
        <v>46116.0</v>
      </c>
      <c r="H6709" s="76" t="s">
        <v>972</v>
      </c>
    </row>
    <row r="6710">
      <c r="A6710" s="76" t="s">
        <v>970</v>
      </c>
      <c r="B6710" s="76" t="s">
        <v>1031</v>
      </c>
      <c r="C6710" s="84">
        <v>49.08</v>
      </c>
      <c r="D6710" s="84">
        <v>1.0</v>
      </c>
      <c r="E6710" s="84">
        <v>49.08</v>
      </c>
      <c r="F6710" s="76" t="s">
        <v>925</v>
      </c>
      <c r="G6710" s="83">
        <v>46116.0</v>
      </c>
      <c r="H6710" s="76" t="s">
        <v>973</v>
      </c>
    </row>
    <row r="6711">
      <c r="A6711" s="76" t="s">
        <v>46</v>
      </c>
      <c r="B6711" s="76" t="s">
        <v>1031</v>
      </c>
      <c r="C6711" s="84">
        <v>9.04</v>
      </c>
      <c r="D6711" s="84">
        <v>0.0</v>
      </c>
      <c r="E6711" s="84">
        <v>0.0</v>
      </c>
      <c r="F6711" s="76" t="s">
        <v>925</v>
      </c>
      <c r="G6711" s="83">
        <v>46116.0</v>
      </c>
      <c r="H6711" s="76" t="s">
        <v>960</v>
      </c>
    </row>
    <row r="6712">
      <c r="A6712" s="76" t="s">
        <v>46</v>
      </c>
      <c r="B6712" s="76" t="s">
        <v>1031</v>
      </c>
      <c r="C6712" s="84">
        <v>0.31</v>
      </c>
      <c r="D6712" s="84">
        <v>0.0</v>
      </c>
      <c r="E6712" s="84">
        <v>0.0</v>
      </c>
      <c r="F6712" s="76" t="s">
        <v>925</v>
      </c>
      <c r="G6712" s="83">
        <v>46116.0</v>
      </c>
      <c r="H6712" s="76" t="s">
        <v>961</v>
      </c>
    </row>
    <row r="6713">
      <c r="A6713" s="76" t="s">
        <v>46</v>
      </c>
      <c r="B6713" s="76" t="s">
        <v>1031</v>
      </c>
      <c r="C6713" s="84">
        <v>0.41</v>
      </c>
      <c r="D6713" s="84">
        <v>0.0</v>
      </c>
      <c r="E6713" s="84">
        <v>0.0</v>
      </c>
      <c r="F6713" s="76" t="s">
        <v>925</v>
      </c>
      <c r="G6713" s="83">
        <v>46116.0</v>
      </c>
      <c r="H6713" s="76" t="s">
        <v>962</v>
      </c>
    </row>
    <row r="6714">
      <c r="A6714" s="76" t="s">
        <v>34</v>
      </c>
      <c r="B6714" s="76" t="s">
        <v>1031</v>
      </c>
      <c r="C6714" s="84">
        <v>0.36</v>
      </c>
      <c r="D6714" s="84">
        <v>1.0</v>
      </c>
      <c r="E6714" s="84">
        <v>0.36</v>
      </c>
      <c r="F6714" s="76" t="s">
        <v>925</v>
      </c>
      <c r="G6714" s="83">
        <v>46116.0</v>
      </c>
      <c r="H6714" s="76" t="s">
        <v>951</v>
      </c>
    </row>
    <row r="6715">
      <c r="A6715" s="76" t="s">
        <v>34</v>
      </c>
      <c r="B6715" s="76" t="s">
        <v>1031</v>
      </c>
      <c r="C6715" s="84">
        <v>0.3</v>
      </c>
      <c r="D6715" s="84">
        <v>0.0</v>
      </c>
      <c r="E6715" s="84">
        <v>0.0</v>
      </c>
      <c r="F6715" s="76" t="s">
        <v>925</v>
      </c>
      <c r="G6715" s="83">
        <v>46116.0</v>
      </c>
      <c r="H6715" s="76" t="s">
        <v>952</v>
      </c>
    </row>
    <row r="6716">
      <c r="A6716" s="76" t="s">
        <v>34</v>
      </c>
      <c r="B6716" s="76" t="s">
        <v>1031</v>
      </c>
      <c r="C6716" s="84">
        <v>0.83</v>
      </c>
      <c r="D6716" s="84">
        <v>0.0</v>
      </c>
      <c r="E6716" s="84">
        <v>0.0</v>
      </c>
      <c r="F6716" s="76" t="s">
        <v>925</v>
      </c>
      <c r="G6716" s="83">
        <v>46116.0</v>
      </c>
      <c r="H6716" s="76" t="s">
        <v>953</v>
      </c>
    </row>
    <row r="6717">
      <c r="A6717" s="76" t="s">
        <v>33</v>
      </c>
      <c r="B6717" s="76" t="s">
        <v>1031</v>
      </c>
      <c r="C6717" s="84">
        <v>310.5</v>
      </c>
      <c r="D6717" s="84">
        <v>14.0</v>
      </c>
      <c r="E6717" s="84">
        <v>22.18</v>
      </c>
      <c r="F6717" s="76" t="s">
        <v>925</v>
      </c>
      <c r="G6717" s="83">
        <v>46116.0</v>
      </c>
      <c r="H6717" s="76" t="s">
        <v>957</v>
      </c>
    </row>
    <row r="6718">
      <c r="A6718" s="76" t="s">
        <v>33</v>
      </c>
      <c r="B6718" s="76" t="s">
        <v>1031</v>
      </c>
      <c r="C6718" s="84">
        <v>1.02</v>
      </c>
      <c r="D6718" s="84">
        <v>1.0</v>
      </c>
      <c r="E6718" s="84">
        <v>1.02</v>
      </c>
      <c r="F6718" s="76" t="s">
        <v>925</v>
      </c>
      <c r="G6718" s="83">
        <v>46116.0</v>
      </c>
      <c r="H6718" s="76" t="s">
        <v>958</v>
      </c>
    </row>
    <row r="6719">
      <c r="A6719" s="76" t="s">
        <v>33</v>
      </c>
      <c r="B6719" s="76" t="s">
        <v>1031</v>
      </c>
      <c r="C6719" s="84">
        <v>1.13</v>
      </c>
      <c r="D6719" s="84">
        <v>0.0</v>
      </c>
      <c r="E6719" s="84">
        <v>0.0</v>
      </c>
      <c r="F6719" s="76" t="s">
        <v>925</v>
      </c>
      <c r="G6719" s="83">
        <v>46116.0</v>
      </c>
      <c r="H6719" s="76" t="s">
        <v>959</v>
      </c>
    </row>
    <row r="6720">
      <c r="A6720" s="76" t="s">
        <v>43</v>
      </c>
      <c r="B6720" s="76" t="s">
        <v>1031</v>
      </c>
      <c r="C6720" s="84">
        <v>0.26</v>
      </c>
      <c r="D6720" s="84">
        <v>0.0</v>
      </c>
      <c r="E6720" s="84">
        <v>0.0</v>
      </c>
      <c r="F6720" s="76" t="s">
        <v>925</v>
      </c>
      <c r="G6720" s="83">
        <v>46116.0</v>
      </c>
      <c r="H6720" s="76" t="s">
        <v>963</v>
      </c>
    </row>
    <row r="6721">
      <c r="A6721" s="76" t="s">
        <v>43</v>
      </c>
      <c r="B6721" s="76" t="s">
        <v>1031</v>
      </c>
      <c r="C6721" s="84">
        <v>0.8</v>
      </c>
      <c r="D6721" s="84">
        <v>0.0</v>
      </c>
      <c r="E6721" s="84">
        <v>0.0</v>
      </c>
      <c r="F6721" s="76" t="s">
        <v>925</v>
      </c>
      <c r="G6721" s="83">
        <v>46116.0</v>
      </c>
      <c r="H6721" s="76" t="s">
        <v>964</v>
      </c>
    </row>
    <row r="6722">
      <c r="A6722" s="76" t="s">
        <v>43</v>
      </c>
      <c r="B6722" s="76" t="s">
        <v>1031</v>
      </c>
      <c r="C6722" s="84">
        <v>11.67</v>
      </c>
      <c r="D6722" s="84">
        <v>2.0</v>
      </c>
      <c r="E6722" s="84">
        <v>5.83</v>
      </c>
      <c r="F6722" s="76" t="s">
        <v>925</v>
      </c>
      <c r="G6722" s="83">
        <v>46116.0</v>
      </c>
      <c r="H6722" s="76" t="s">
        <v>965</v>
      </c>
    </row>
    <row r="6723">
      <c r="A6723" s="76" t="s">
        <v>966</v>
      </c>
      <c r="B6723" s="76" t="s">
        <v>1031</v>
      </c>
      <c r="C6723" s="84">
        <v>5.36</v>
      </c>
      <c r="D6723" s="84">
        <v>1.0</v>
      </c>
      <c r="E6723" s="84">
        <v>5.36</v>
      </c>
      <c r="F6723" s="76" t="s">
        <v>925</v>
      </c>
      <c r="G6723" s="83">
        <v>46116.0</v>
      </c>
      <c r="H6723" s="76" t="s">
        <v>967</v>
      </c>
    </row>
    <row r="6724">
      <c r="A6724" s="76" t="s">
        <v>966</v>
      </c>
      <c r="B6724" s="76" t="s">
        <v>1031</v>
      </c>
      <c r="C6724" s="84">
        <v>0.32</v>
      </c>
      <c r="D6724" s="84">
        <v>0.0</v>
      </c>
      <c r="E6724" s="84">
        <v>0.0</v>
      </c>
      <c r="F6724" s="76" t="s">
        <v>925</v>
      </c>
      <c r="G6724" s="83">
        <v>46116.0</v>
      </c>
      <c r="H6724" s="76" t="s">
        <v>968</v>
      </c>
    </row>
    <row r="6725">
      <c r="A6725" s="76" t="s">
        <v>966</v>
      </c>
      <c r="B6725" s="76" t="s">
        <v>1031</v>
      </c>
      <c r="C6725" s="84">
        <v>11.58</v>
      </c>
      <c r="D6725" s="84">
        <v>4.0</v>
      </c>
      <c r="E6725" s="84">
        <v>2.89</v>
      </c>
      <c r="F6725" s="76" t="s">
        <v>925</v>
      </c>
      <c r="G6725" s="83">
        <v>46116.0</v>
      </c>
      <c r="H6725" s="76" t="s">
        <v>969</v>
      </c>
    </row>
    <row r="6726">
      <c r="A6726" s="76" t="s">
        <v>970</v>
      </c>
      <c r="B6726" s="76" t="s">
        <v>1031</v>
      </c>
      <c r="C6726" s="84">
        <v>1.24</v>
      </c>
      <c r="D6726" s="84">
        <v>0.0</v>
      </c>
      <c r="E6726" s="84">
        <v>0.0</v>
      </c>
      <c r="F6726" s="76" t="s">
        <v>948</v>
      </c>
      <c r="G6726" s="83">
        <v>46116.0</v>
      </c>
      <c r="H6726" s="76" t="s">
        <v>971</v>
      </c>
    </row>
    <row r="6727">
      <c r="A6727" s="76" t="s">
        <v>970</v>
      </c>
      <c r="B6727" s="76" t="s">
        <v>1031</v>
      </c>
      <c r="C6727" s="84">
        <v>0.16</v>
      </c>
      <c r="D6727" s="84">
        <v>0.0</v>
      </c>
      <c r="E6727" s="84">
        <v>0.0</v>
      </c>
      <c r="F6727" s="76" t="s">
        <v>948</v>
      </c>
      <c r="G6727" s="83">
        <v>46116.0</v>
      </c>
      <c r="H6727" s="76" t="s">
        <v>972</v>
      </c>
    </row>
    <row r="6728">
      <c r="A6728" s="76" t="s">
        <v>970</v>
      </c>
      <c r="B6728" s="76" t="s">
        <v>1031</v>
      </c>
      <c r="C6728" s="84">
        <v>4.5</v>
      </c>
      <c r="D6728" s="84">
        <v>1.0</v>
      </c>
      <c r="E6728" s="84">
        <v>4.5</v>
      </c>
      <c r="F6728" s="76" t="s">
        <v>948</v>
      </c>
      <c r="G6728" s="83">
        <v>46116.0</v>
      </c>
      <c r="H6728" s="76" t="s">
        <v>973</v>
      </c>
    </row>
    <row r="6729">
      <c r="A6729" s="76" t="s">
        <v>33</v>
      </c>
      <c r="B6729" s="76" t="s">
        <v>1031</v>
      </c>
      <c r="C6729" s="84">
        <v>35.02</v>
      </c>
      <c r="D6729" s="84">
        <v>3.0</v>
      </c>
      <c r="E6729" s="84">
        <v>11.67</v>
      </c>
      <c r="F6729" s="76" t="s">
        <v>948</v>
      </c>
      <c r="G6729" s="83">
        <v>46116.0</v>
      </c>
      <c r="H6729" s="76" t="s">
        <v>957</v>
      </c>
    </row>
    <row r="6730">
      <c r="A6730" s="76" t="s">
        <v>33</v>
      </c>
      <c r="B6730" s="76" t="s">
        <v>1031</v>
      </c>
      <c r="C6730" s="84">
        <v>0.79</v>
      </c>
      <c r="D6730" s="84">
        <v>0.0</v>
      </c>
      <c r="E6730" s="84">
        <v>0.0</v>
      </c>
      <c r="F6730" s="76" t="s">
        <v>948</v>
      </c>
      <c r="G6730" s="83">
        <v>46116.0</v>
      </c>
      <c r="H6730" s="76" t="s">
        <v>958</v>
      </c>
    </row>
    <row r="6731">
      <c r="A6731" s="76" t="s">
        <v>33</v>
      </c>
      <c r="B6731" s="76" t="s">
        <v>1031</v>
      </c>
      <c r="C6731" s="84">
        <v>1.24</v>
      </c>
      <c r="D6731" s="84">
        <v>1.0</v>
      </c>
      <c r="E6731" s="84">
        <v>1.24</v>
      </c>
      <c r="F6731" s="76" t="s">
        <v>948</v>
      </c>
      <c r="G6731" s="83">
        <v>46116.0</v>
      </c>
      <c r="H6731" s="76" t="s">
        <v>959</v>
      </c>
    </row>
    <row r="6732">
      <c r="A6732" s="76" t="s">
        <v>46</v>
      </c>
      <c r="B6732" s="76" t="s">
        <v>1031</v>
      </c>
      <c r="C6732" s="84">
        <v>2.81</v>
      </c>
      <c r="D6732" s="84">
        <v>0.0</v>
      </c>
      <c r="E6732" s="84">
        <v>0.0</v>
      </c>
      <c r="F6732" s="76" t="s">
        <v>948</v>
      </c>
      <c r="G6732" s="83">
        <v>46116.0</v>
      </c>
      <c r="H6732" s="76" t="s">
        <v>960</v>
      </c>
    </row>
    <row r="6733">
      <c r="A6733" s="76" t="s">
        <v>46</v>
      </c>
      <c r="B6733" s="76" t="s">
        <v>1031</v>
      </c>
      <c r="C6733" s="84">
        <v>0.33</v>
      </c>
      <c r="D6733" s="84">
        <v>0.0</v>
      </c>
      <c r="E6733" s="84">
        <v>0.0</v>
      </c>
      <c r="F6733" s="76" t="s">
        <v>948</v>
      </c>
      <c r="G6733" s="83">
        <v>46116.0</v>
      </c>
      <c r="H6733" s="76" t="s">
        <v>961</v>
      </c>
    </row>
    <row r="6734">
      <c r="A6734" s="76" t="s">
        <v>46</v>
      </c>
      <c r="B6734" s="76" t="s">
        <v>1031</v>
      </c>
      <c r="C6734" s="84">
        <v>0.43</v>
      </c>
      <c r="D6734" s="84">
        <v>0.0</v>
      </c>
      <c r="E6734" s="84">
        <v>0.0</v>
      </c>
      <c r="F6734" s="76" t="s">
        <v>948</v>
      </c>
      <c r="G6734" s="83">
        <v>46116.0</v>
      </c>
      <c r="H6734" s="76" t="s">
        <v>962</v>
      </c>
    </row>
    <row r="6735">
      <c r="A6735" s="76" t="s">
        <v>966</v>
      </c>
      <c r="B6735" s="76" t="s">
        <v>1031</v>
      </c>
      <c r="C6735" s="84">
        <v>0.62</v>
      </c>
      <c r="D6735" s="84">
        <v>0.0</v>
      </c>
      <c r="E6735" s="84">
        <v>0.0</v>
      </c>
      <c r="F6735" s="76" t="s">
        <v>948</v>
      </c>
      <c r="G6735" s="83">
        <v>46116.0</v>
      </c>
      <c r="H6735" s="76" t="s">
        <v>967</v>
      </c>
    </row>
    <row r="6736">
      <c r="A6736" s="76" t="s">
        <v>966</v>
      </c>
      <c r="B6736" s="76" t="s">
        <v>1031</v>
      </c>
      <c r="C6736" s="84">
        <v>0.1</v>
      </c>
      <c r="D6736" s="84">
        <v>0.0</v>
      </c>
      <c r="E6736" s="84">
        <v>0.0</v>
      </c>
      <c r="F6736" s="76" t="s">
        <v>948</v>
      </c>
      <c r="G6736" s="83">
        <v>46116.0</v>
      </c>
      <c r="H6736" s="76" t="s">
        <v>968</v>
      </c>
    </row>
    <row r="6737">
      <c r="A6737" s="76" t="s">
        <v>966</v>
      </c>
      <c r="B6737" s="76" t="s">
        <v>1031</v>
      </c>
      <c r="C6737" s="84">
        <v>0.3</v>
      </c>
      <c r="D6737" s="84">
        <v>0.0</v>
      </c>
      <c r="E6737" s="84">
        <v>0.0</v>
      </c>
      <c r="F6737" s="76" t="s">
        <v>948</v>
      </c>
      <c r="G6737" s="83">
        <v>46116.0</v>
      </c>
      <c r="H6737" s="76" t="s">
        <v>969</v>
      </c>
    </row>
    <row r="6738">
      <c r="A6738" s="76" t="s">
        <v>43</v>
      </c>
      <c r="B6738" s="76" t="s">
        <v>1031</v>
      </c>
      <c r="C6738" s="84">
        <v>0.38</v>
      </c>
      <c r="D6738" s="84">
        <v>0.0</v>
      </c>
      <c r="E6738" s="84">
        <v>0.0</v>
      </c>
      <c r="F6738" s="76" t="s">
        <v>948</v>
      </c>
      <c r="G6738" s="83">
        <v>46116.0</v>
      </c>
      <c r="H6738" s="76" t="s">
        <v>963</v>
      </c>
    </row>
    <row r="6739">
      <c r="A6739" s="76" t="s">
        <v>43</v>
      </c>
      <c r="B6739" s="76" t="s">
        <v>1031</v>
      </c>
      <c r="C6739" s="84">
        <v>0.58</v>
      </c>
      <c r="D6739" s="84">
        <v>1.0</v>
      </c>
      <c r="E6739" s="84">
        <v>0.58</v>
      </c>
      <c r="F6739" s="76" t="s">
        <v>948</v>
      </c>
      <c r="G6739" s="83">
        <v>46116.0</v>
      </c>
      <c r="H6739" s="76" t="s">
        <v>964</v>
      </c>
    </row>
    <row r="6740">
      <c r="A6740" s="76" t="s">
        <v>43</v>
      </c>
      <c r="B6740" s="76" t="s">
        <v>1031</v>
      </c>
      <c r="C6740" s="84">
        <v>3.01</v>
      </c>
      <c r="D6740" s="84">
        <v>2.0</v>
      </c>
      <c r="E6740" s="84">
        <v>1.51</v>
      </c>
      <c r="F6740" s="76" t="s">
        <v>948</v>
      </c>
      <c r="G6740" s="83">
        <v>46116.0</v>
      </c>
      <c r="H6740" s="76" t="s">
        <v>965</v>
      </c>
    </row>
    <row r="6741">
      <c r="A6741" s="76" t="s">
        <v>34</v>
      </c>
      <c r="B6741" s="76" t="s">
        <v>1031</v>
      </c>
      <c r="C6741" s="84">
        <v>1.38</v>
      </c>
      <c r="D6741" s="84">
        <v>0.0</v>
      </c>
      <c r="E6741" s="84">
        <v>0.0</v>
      </c>
      <c r="F6741" s="76" t="s">
        <v>948</v>
      </c>
      <c r="G6741" s="83">
        <v>46116.0</v>
      </c>
      <c r="H6741" s="76" t="s">
        <v>951</v>
      </c>
    </row>
    <row r="6742">
      <c r="A6742" s="76" t="s">
        <v>34</v>
      </c>
      <c r="B6742" s="76" t="s">
        <v>1031</v>
      </c>
      <c r="C6742" s="84">
        <v>8.53</v>
      </c>
      <c r="D6742" s="84">
        <v>3.0</v>
      </c>
      <c r="E6742" s="84">
        <v>2.84</v>
      </c>
      <c r="F6742" s="76" t="s">
        <v>948</v>
      </c>
      <c r="G6742" s="83">
        <v>46116.0</v>
      </c>
      <c r="H6742" s="76" t="s">
        <v>952</v>
      </c>
    </row>
    <row r="6743">
      <c r="A6743" s="76" t="s">
        <v>34</v>
      </c>
      <c r="B6743" s="76" t="s">
        <v>1031</v>
      </c>
      <c r="C6743" s="84">
        <v>1.08</v>
      </c>
      <c r="D6743" s="84">
        <v>0.0</v>
      </c>
      <c r="E6743" s="84">
        <v>0.0</v>
      </c>
      <c r="F6743" s="76" t="s">
        <v>948</v>
      </c>
      <c r="G6743" s="83">
        <v>46116.0</v>
      </c>
      <c r="H6743" s="76" t="s">
        <v>953</v>
      </c>
    </row>
    <row r="6744">
      <c r="A6744" s="76" t="s">
        <v>36</v>
      </c>
      <c r="B6744" s="76" t="s">
        <v>1031</v>
      </c>
      <c r="C6744" s="84">
        <v>0.79</v>
      </c>
      <c r="D6744" s="84">
        <v>0.0</v>
      </c>
      <c r="E6744" s="84">
        <v>0.0</v>
      </c>
      <c r="F6744" s="76" t="s">
        <v>948</v>
      </c>
      <c r="G6744" s="83">
        <v>46116.0</v>
      </c>
      <c r="H6744" s="76" t="s">
        <v>926</v>
      </c>
    </row>
    <row r="6745">
      <c r="A6745" s="76" t="s">
        <v>36</v>
      </c>
      <c r="B6745" s="76" t="s">
        <v>1031</v>
      </c>
      <c r="C6745" s="84">
        <v>0.33</v>
      </c>
      <c r="D6745" s="84">
        <v>0.0</v>
      </c>
      <c r="E6745" s="84">
        <v>0.0</v>
      </c>
      <c r="F6745" s="76" t="s">
        <v>948</v>
      </c>
      <c r="G6745" s="83">
        <v>46116.0</v>
      </c>
      <c r="H6745" s="76" t="s">
        <v>927</v>
      </c>
    </row>
    <row r="6746">
      <c r="A6746" s="76" t="s">
        <v>36</v>
      </c>
      <c r="B6746" s="76" t="s">
        <v>1031</v>
      </c>
      <c r="C6746" s="84">
        <v>0.16</v>
      </c>
      <c r="D6746" s="84">
        <v>0.0</v>
      </c>
      <c r="E6746" s="84">
        <v>0.0</v>
      </c>
      <c r="F6746" s="76" t="s">
        <v>948</v>
      </c>
      <c r="G6746" s="83">
        <v>46116.0</v>
      </c>
      <c r="H6746" s="76" t="s">
        <v>928</v>
      </c>
    </row>
    <row r="6747">
      <c r="A6747" s="76" t="s">
        <v>29</v>
      </c>
      <c r="B6747" s="76" t="s">
        <v>1031</v>
      </c>
      <c r="C6747" s="84">
        <v>1.6</v>
      </c>
      <c r="D6747" s="84">
        <v>0.0</v>
      </c>
      <c r="E6747" s="84">
        <v>0.0</v>
      </c>
      <c r="F6747" s="76" t="s">
        <v>948</v>
      </c>
      <c r="G6747" s="83">
        <v>46116.0</v>
      </c>
      <c r="H6747" s="76" t="s">
        <v>971</v>
      </c>
    </row>
    <row r="6748">
      <c r="A6748" s="76" t="s">
        <v>29</v>
      </c>
      <c r="B6748" s="76" t="s">
        <v>1031</v>
      </c>
      <c r="C6748" s="84">
        <v>0.16</v>
      </c>
      <c r="D6748" s="84">
        <v>0.0</v>
      </c>
      <c r="E6748" s="84">
        <v>0.0</v>
      </c>
      <c r="F6748" s="76" t="s">
        <v>948</v>
      </c>
      <c r="G6748" s="83">
        <v>46116.0</v>
      </c>
      <c r="H6748" s="76" t="s">
        <v>972</v>
      </c>
    </row>
    <row r="6749">
      <c r="A6749" s="76" t="s">
        <v>29</v>
      </c>
      <c r="B6749" s="76" t="s">
        <v>1031</v>
      </c>
      <c r="C6749" s="84">
        <v>21.18</v>
      </c>
      <c r="D6749" s="84">
        <v>0.0</v>
      </c>
      <c r="E6749" s="84">
        <v>0.0</v>
      </c>
      <c r="F6749" s="76" t="s">
        <v>948</v>
      </c>
      <c r="G6749" s="83">
        <v>46116.0</v>
      </c>
      <c r="H6749" s="76" t="s">
        <v>973</v>
      </c>
    </row>
    <row r="6750">
      <c r="A6750" s="76" t="s">
        <v>40</v>
      </c>
      <c r="B6750" s="76" t="s">
        <v>1031</v>
      </c>
      <c r="C6750" s="84">
        <v>0.46</v>
      </c>
      <c r="D6750" s="84">
        <v>0.0</v>
      </c>
      <c r="E6750" s="84">
        <v>0.0</v>
      </c>
      <c r="F6750" s="76" t="s">
        <v>948</v>
      </c>
      <c r="G6750" s="83">
        <v>46116.0</v>
      </c>
      <c r="H6750" s="76" t="s">
        <v>954</v>
      </c>
    </row>
    <row r="6751">
      <c r="A6751" s="76" t="s">
        <v>40</v>
      </c>
      <c r="B6751" s="76" t="s">
        <v>1031</v>
      </c>
      <c r="C6751" s="84">
        <v>0.02</v>
      </c>
      <c r="D6751" s="84">
        <v>0.0</v>
      </c>
      <c r="E6751" s="84">
        <v>0.0</v>
      </c>
      <c r="F6751" s="76" t="s">
        <v>948</v>
      </c>
      <c r="G6751" s="83">
        <v>46116.0</v>
      </c>
      <c r="H6751" s="76" t="s">
        <v>955</v>
      </c>
    </row>
    <row r="6752">
      <c r="A6752" s="76" t="s">
        <v>40</v>
      </c>
      <c r="B6752" s="76" t="s">
        <v>1031</v>
      </c>
      <c r="C6752" s="84">
        <v>35.16</v>
      </c>
      <c r="D6752" s="84">
        <v>8.0</v>
      </c>
      <c r="E6752" s="84">
        <v>4.39</v>
      </c>
      <c r="F6752" s="76" t="s">
        <v>948</v>
      </c>
      <c r="G6752" s="83">
        <v>46116.0</v>
      </c>
      <c r="H6752" s="76" t="s">
        <v>956</v>
      </c>
    </row>
    <row r="6753">
      <c r="A6753" s="76" t="s">
        <v>46</v>
      </c>
      <c r="B6753" s="76" t="s">
        <v>1030</v>
      </c>
      <c r="C6753" s="84">
        <v>1.04</v>
      </c>
      <c r="D6753" s="84">
        <v>0.0</v>
      </c>
      <c r="E6753" s="84">
        <v>0.0</v>
      </c>
      <c r="F6753" s="76" t="s">
        <v>974</v>
      </c>
      <c r="G6753" s="83">
        <v>46116.0</v>
      </c>
      <c r="H6753" s="76" t="s">
        <v>960</v>
      </c>
    </row>
    <row r="6754">
      <c r="A6754" s="76" t="s">
        <v>46</v>
      </c>
      <c r="B6754" s="76" t="s">
        <v>1030</v>
      </c>
      <c r="C6754" s="84">
        <v>0.08</v>
      </c>
      <c r="D6754" s="84">
        <v>0.0</v>
      </c>
      <c r="E6754" s="84">
        <v>0.0</v>
      </c>
      <c r="F6754" s="76" t="s">
        <v>974</v>
      </c>
      <c r="G6754" s="83">
        <v>46116.0</v>
      </c>
      <c r="H6754" s="76" t="s">
        <v>961</v>
      </c>
    </row>
    <row r="6755">
      <c r="A6755" s="76" t="s">
        <v>46</v>
      </c>
      <c r="B6755" s="76" t="s">
        <v>1030</v>
      </c>
      <c r="C6755" s="84">
        <v>0.12</v>
      </c>
      <c r="D6755" s="84">
        <v>0.0</v>
      </c>
      <c r="E6755" s="84">
        <v>0.0</v>
      </c>
      <c r="F6755" s="76" t="s">
        <v>974</v>
      </c>
      <c r="G6755" s="83">
        <v>46116.0</v>
      </c>
      <c r="H6755" s="76" t="s">
        <v>962</v>
      </c>
    </row>
    <row r="6756">
      <c r="A6756" s="76" t="s">
        <v>34</v>
      </c>
      <c r="B6756" s="76" t="s">
        <v>1030</v>
      </c>
      <c r="C6756" s="84">
        <v>0.12</v>
      </c>
      <c r="D6756" s="84">
        <v>0.0</v>
      </c>
      <c r="E6756" s="84">
        <v>0.0</v>
      </c>
      <c r="F6756" s="76" t="s">
        <v>974</v>
      </c>
      <c r="G6756" s="83">
        <v>46116.0</v>
      </c>
      <c r="H6756" s="76" t="s">
        <v>951</v>
      </c>
    </row>
    <row r="6757">
      <c r="A6757" s="76" t="s">
        <v>34</v>
      </c>
      <c r="B6757" s="76" t="s">
        <v>1030</v>
      </c>
      <c r="C6757" s="84">
        <v>0.15</v>
      </c>
      <c r="D6757" s="84">
        <v>0.0</v>
      </c>
      <c r="E6757" s="84">
        <v>0.0</v>
      </c>
      <c r="F6757" s="76" t="s">
        <v>974</v>
      </c>
      <c r="G6757" s="83">
        <v>46116.0</v>
      </c>
      <c r="H6757" s="76" t="s">
        <v>952</v>
      </c>
    </row>
    <row r="6758">
      <c r="A6758" s="76" t="s">
        <v>34</v>
      </c>
      <c r="B6758" s="76" t="s">
        <v>1030</v>
      </c>
      <c r="C6758" s="84">
        <v>0.17</v>
      </c>
      <c r="D6758" s="84">
        <v>0.0</v>
      </c>
      <c r="E6758" s="84">
        <v>0.0</v>
      </c>
      <c r="F6758" s="76" t="s">
        <v>974</v>
      </c>
      <c r="G6758" s="83">
        <v>46116.0</v>
      </c>
      <c r="H6758" s="76" t="s">
        <v>953</v>
      </c>
    </row>
    <row r="6759">
      <c r="A6759" s="76" t="s">
        <v>43</v>
      </c>
      <c r="B6759" s="76" t="s">
        <v>1030</v>
      </c>
      <c r="C6759" s="84">
        <v>0.15</v>
      </c>
      <c r="D6759" s="84">
        <v>0.0</v>
      </c>
      <c r="E6759" s="84">
        <v>0.0</v>
      </c>
      <c r="F6759" s="76" t="s">
        <v>974</v>
      </c>
      <c r="G6759" s="83">
        <v>46116.0</v>
      </c>
      <c r="H6759" s="76" t="s">
        <v>963</v>
      </c>
    </row>
    <row r="6760">
      <c r="A6760" s="76" t="s">
        <v>43</v>
      </c>
      <c r="B6760" s="76" t="s">
        <v>1030</v>
      </c>
      <c r="C6760" s="84">
        <v>0.22</v>
      </c>
      <c r="D6760" s="84">
        <v>0.0</v>
      </c>
      <c r="E6760" s="84">
        <v>0.0</v>
      </c>
      <c r="F6760" s="76" t="s">
        <v>974</v>
      </c>
      <c r="G6760" s="83">
        <v>46116.0</v>
      </c>
      <c r="H6760" s="76" t="s">
        <v>964</v>
      </c>
    </row>
    <row r="6761">
      <c r="A6761" s="76" t="s">
        <v>43</v>
      </c>
      <c r="B6761" s="76" t="s">
        <v>1030</v>
      </c>
      <c r="C6761" s="84">
        <v>0.94</v>
      </c>
      <c r="D6761" s="84">
        <v>0.0</v>
      </c>
      <c r="E6761" s="84">
        <v>0.0</v>
      </c>
      <c r="F6761" s="76" t="s">
        <v>974</v>
      </c>
      <c r="G6761" s="83">
        <v>46116.0</v>
      </c>
      <c r="H6761" s="76" t="s">
        <v>965</v>
      </c>
    </row>
    <row r="6762">
      <c r="A6762" s="76" t="s">
        <v>36</v>
      </c>
      <c r="B6762" s="76" t="s">
        <v>1030</v>
      </c>
      <c r="C6762" s="84">
        <v>0.1</v>
      </c>
      <c r="D6762" s="84">
        <v>0.0</v>
      </c>
      <c r="E6762" s="84">
        <v>0.0</v>
      </c>
      <c r="F6762" s="76" t="s">
        <v>974</v>
      </c>
      <c r="G6762" s="83">
        <v>46116.0</v>
      </c>
      <c r="H6762" s="76" t="s">
        <v>926</v>
      </c>
    </row>
    <row r="6763">
      <c r="A6763" s="76" t="s">
        <v>36</v>
      </c>
      <c r="B6763" s="76" t="s">
        <v>1030</v>
      </c>
      <c r="C6763" s="84">
        <v>0.05</v>
      </c>
      <c r="D6763" s="84">
        <v>0.0</v>
      </c>
      <c r="E6763" s="84">
        <v>0.0</v>
      </c>
      <c r="F6763" s="76" t="s">
        <v>974</v>
      </c>
      <c r="G6763" s="83">
        <v>46116.0</v>
      </c>
      <c r="H6763" s="76" t="s">
        <v>927</v>
      </c>
    </row>
    <row r="6764">
      <c r="A6764" s="76" t="s">
        <v>36</v>
      </c>
      <c r="B6764" s="76" t="s">
        <v>1030</v>
      </c>
      <c r="C6764" s="84">
        <v>0.03</v>
      </c>
      <c r="D6764" s="84">
        <v>0.0</v>
      </c>
      <c r="E6764" s="84">
        <v>0.0</v>
      </c>
      <c r="F6764" s="76" t="s">
        <v>974</v>
      </c>
      <c r="G6764" s="83">
        <v>46116.0</v>
      </c>
      <c r="H6764" s="76" t="s">
        <v>928</v>
      </c>
    </row>
    <row r="6765">
      <c r="A6765" s="76" t="s">
        <v>33</v>
      </c>
      <c r="B6765" s="76" t="s">
        <v>1030</v>
      </c>
      <c r="C6765" s="84">
        <v>27.47</v>
      </c>
      <c r="D6765" s="84">
        <v>1.0</v>
      </c>
      <c r="E6765" s="84">
        <v>27.47</v>
      </c>
      <c r="F6765" s="76" t="s">
        <v>974</v>
      </c>
      <c r="G6765" s="83">
        <v>46116.0</v>
      </c>
      <c r="H6765" s="76" t="s">
        <v>957</v>
      </c>
    </row>
    <row r="6766">
      <c r="A6766" s="76" t="s">
        <v>33</v>
      </c>
      <c r="B6766" s="76" t="s">
        <v>1030</v>
      </c>
      <c r="C6766" s="84">
        <v>0.14</v>
      </c>
      <c r="D6766" s="84">
        <v>0.0</v>
      </c>
      <c r="E6766" s="84">
        <v>0.0</v>
      </c>
      <c r="F6766" s="76" t="s">
        <v>974</v>
      </c>
      <c r="G6766" s="83">
        <v>46116.0</v>
      </c>
      <c r="H6766" s="76" t="s">
        <v>958</v>
      </c>
    </row>
    <row r="6767">
      <c r="A6767" s="76" t="s">
        <v>33</v>
      </c>
      <c r="B6767" s="76" t="s">
        <v>1030</v>
      </c>
      <c r="C6767" s="84">
        <v>0.27</v>
      </c>
      <c r="D6767" s="84">
        <v>0.0</v>
      </c>
      <c r="E6767" s="84">
        <v>0.0</v>
      </c>
      <c r="F6767" s="76" t="s">
        <v>974</v>
      </c>
      <c r="G6767" s="83">
        <v>46116.0</v>
      </c>
      <c r="H6767" s="76" t="s">
        <v>959</v>
      </c>
    </row>
    <row r="6768">
      <c r="A6768" s="76" t="s">
        <v>966</v>
      </c>
      <c r="B6768" s="76" t="s">
        <v>1030</v>
      </c>
      <c r="C6768" s="84">
        <v>0.34</v>
      </c>
      <c r="D6768" s="84">
        <v>0.0</v>
      </c>
      <c r="E6768" s="84">
        <v>0.0</v>
      </c>
      <c r="F6768" s="76" t="s">
        <v>974</v>
      </c>
      <c r="G6768" s="83">
        <v>46116.0</v>
      </c>
      <c r="H6768" s="76" t="s">
        <v>967</v>
      </c>
    </row>
    <row r="6769">
      <c r="A6769" s="76" t="s">
        <v>966</v>
      </c>
      <c r="B6769" s="76" t="s">
        <v>1030</v>
      </c>
      <c r="C6769" s="84">
        <v>0.02</v>
      </c>
      <c r="D6769" s="84">
        <v>0.0</v>
      </c>
      <c r="E6769" s="84">
        <v>0.0</v>
      </c>
      <c r="F6769" s="76" t="s">
        <v>974</v>
      </c>
      <c r="G6769" s="83">
        <v>46116.0</v>
      </c>
      <c r="H6769" s="76" t="s">
        <v>968</v>
      </c>
    </row>
    <row r="6770">
      <c r="A6770" s="76" t="s">
        <v>966</v>
      </c>
      <c r="B6770" s="76" t="s">
        <v>1030</v>
      </c>
      <c r="C6770" s="84">
        <v>0.45</v>
      </c>
      <c r="D6770" s="84">
        <v>0.0</v>
      </c>
      <c r="E6770" s="84">
        <v>0.0</v>
      </c>
      <c r="F6770" s="76" t="s">
        <v>974</v>
      </c>
      <c r="G6770" s="83">
        <v>46116.0</v>
      </c>
      <c r="H6770" s="76" t="s">
        <v>969</v>
      </c>
    </row>
    <row r="6771">
      <c r="A6771" s="76" t="s">
        <v>40</v>
      </c>
      <c r="B6771" s="76" t="s">
        <v>1030</v>
      </c>
      <c r="C6771" s="84">
        <v>0.1</v>
      </c>
      <c r="D6771" s="84">
        <v>0.0</v>
      </c>
      <c r="E6771" s="84">
        <v>0.0</v>
      </c>
      <c r="F6771" s="76" t="s">
        <v>974</v>
      </c>
      <c r="G6771" s="83">
        <v>46116.0</v>
      </c>
      <c r="H6771" s="76" t="s">
        <v>954</v>
      </c>
    </row>
    <row r="6772">
      <c r="A6772" s="76" t="s">
        <v>40</v>
      </c>
      <c r="B6772" s="76" t="s">
        <v>1030</v>
      </c>
      <c r="C6772" s="84">
        <v>0.01</v>
      </c>
      <c r="D6772" s="84">
        <v>0.0</v>
      </c>
      <c r="E6772" s="84">
        <v>0.0</v>
      </c>
      <c r="F6772" s="76" t="s">
        <v>974</v>
      </c>
      <c r="G6772" s="83">
        <v>46116.0</v>
      </c>
      <c r="H6772" s="76" t="s">
        <v>955</v>
      </c>
    </row>
    <row r="6773">
      <c r="A6773" s="76" t="s">
        <v>40</v>
      </c>
      <c r="B6773" s="76" t="s">
        <v>1030</v>
      </c>
      <c r="C6773" s="84">
        <v>0.3</v>
      </c>
      <c r="D6773" s="84">
        <v>0.0</v>
      </c>
      <c r="E6773" s="84">
        <v>0.0</v>
      </c>
      <c r="F6773" s="76" t="s">
        <v>974</v>
      </c>
      <c r="G6773" s="83">
        <v>46116.0</v>
      </c>
      <c r="H6773" s="76" t="s">
        <v>956</v>
      </c>
    </row>
    <row r="6774">
      <c r="A6774" s="76" t="s">
        <v>29</v>
      </c>
      <c r="B6774" s="76" t="s">
        <v>1030</v>
      </c>
      <c r="C6774" s="84">
        <v>0.45</v>
      </c>
      <c r="D6774" s="84">
        <v>0.0</v>
      </c>
      <c r="E6774" s="84">
        <v>0.0</v>
      </c>
      <c r="F6774" s="76" t="s">
        <v>974</v>
      </c>
      <c r="G6774" s="83">
        <v>46116.0</v>
      </c>
      <c r="H6774" s="76" t="s">
        <v>971</v>
      </c>
    </row>
    <row r="6775">
      <c r="A6775" s="76" t="s">
        <v>29</v>
      </c>
      <c r="B6775" s="76" t="s">
        <v>1030</v>
      </c>
      <c r="C6775" s="84">
        <v>0.01</v>
      </c>
      <c r="D6775" s="84">
        <v>0.0</v>
      </c>
      <c r="E6775" s="84">
        <v>0.0</v>
      </c>
      <c r="F6775" s="76" t="s">
        <v>974</v>
      </c>
      <c r="G6775" s="83">
        <v>46116.0</v>
      </c>
      <c r="H6775" s="76" t="s">
        <v>972</v>
      </c>
    </row>
    <row r="6776">
      <c r="A6776" s="76" t="s">
        <v>29</v>
      </c>
      <c r="B6776" s="76" t="s">
        <v>1030</v>
      </c>
      <c r="C6776" s="84">
        <v>10.43</v>
      </c>
      <c r="D6776" s="84">
        <v>0.0</v>
      </c>
      <c r="E6776" s="84">
        <v>0.0</v>
      </c>
      <c r="F6776" s="76" t="s">
        <v>974</v>
      </c>
      <c r="G6776" s="83">
        <v>46116.0</v>
      </c>
      <c r="H6776" s="76" t="s">
        <v>973</v>
      </c>
    </row>
    <row r="6777">
      <c r="A6777" s="76" t="s">
        <v>970</v>
      </c>
      <c r="B6777" s="76" t="s">
        <v>1030</v>
      </c>
      <c r="C6777" s="84">
        <v>0.36</v>
      </c>
      <c r="D6777" s="84">
        <v>0.0</v>
      </c>
      <c r="E6777" s="84">
        <v>0.0</v>
      </c>
      <c r="F6777" s="76" t="s">
        <v>974</v>
      </c>
      <c r="G6777" s="83">
        <v>46116.0</v>
      </c>
      <c r="H6777" s="76" t="s">
        <v>971</v>
      </c>
    </row>
    <row r="6778">
      <c r="A6778" s="76" t="s">
        <v>970</v>
      </c>
      <c r="B6778" s="76" t="s">
        <v>1030</v>
      </c>
      <c r="C6778" s="84">
        <v>0.01</v>
      </c>
      <c r="D6778" s="84">
        <v>0.0</v>
      </c>
      <c r="E6778" s="84">
        <v>0.0</v>
      </c>
      <c r="F6778" s="76" t="s">
        <v>974</v>
      </c>
      <c r="G6778" s="83">
        <v>46116.0</v>
      </c>
      <c r="H6778" s="76" t="s">
        <v>972</v>
      </c>
    </row>
    <row r="6779">
      <c r="A6779" s="76" t="s">
        <v>970</v>
      </c>
      <c r="B6779" s="76" t="s">
        <v>1030</v>
      </c>
      <c r="C6779" s="84">
        <v>3.64</v>
      </c>
      <c r="D6779" s="84">
        <v>0.0</v>
      </c>
      <c r="E6779" s="84">
        <v>0.0</v>
      </c>
      <c r="F6779" s="76" t="s">
        <v>974</v>
      </c>
      <c r="G6779" s="83">
        <v>46116.0</v>
      </c>
      <c r="H6779" s="76" t="s">
        <v>973</v>
      </c>
    </row>
    <row r="6780">
      <c r="A6780" s="76" t="s">
        <v>45</v>
      </c>
      <c r="B6780" s="76" t="s">
        <v>1038</v>
      </c>
      <c r="C6780" s="84">
        <v>0.03</v>
      </c>
      <c r="D6780" s="84">
        <v>0.0</v>
      </c>
      <c r="E6780" s="84">
        <v>0.0</v>
      </c>
      <c r="F6780" s="76" t="s">
        <v>975</v>
      </c>
      <c r="G6780" s="83">
        <v>46116.0</v>
      </c>
      <c r="H6780" s="76" t="s">
        <v>936</v>
      </c>
    </row>
    <row r="6781">
      <c r="A6781" s="76" t="s">
        <v>45</v>
      </c>
      <c r="B6781" s="76" t="s">
        <v>1038</v>
      </c>
      <c r="C6781" s="84">
        <v>0.04</v>
      </c>
      <c r="D6781" s="84">
        <v>0.0</v>
      </c>
      <c r="E6781" s="84">
        <v>0.0</v>
      </c>
      <c r="F6781" s="76" t="s">
        <v>975</v>
      </c>
      <c r="G6781" s="83">
        <v>46116.0</v>
      </c>
      <c r="H6781" s="76" t="s">
        <v>937</v>
      </c>
    </row>
    <row r="6782">
      <c r="A6782" s="76" t="s">
        <v>45</v>
      </c>
      <c r="B6782" s="76" t="s">
        <v>1038</v>
      </c>
      <c r="C6782" s="84">
        <v>0.06</v>
      </c>
      <c r="D6782" s="84">
        <v>0.0</v>
      </c>
      <c r="E6782" s="84">
        <v>0.0</v>
      </c>
      <c r="F6782" s="76" t="s">
        <v>975</v>
      </c>
      <c r="G6782" s="83">
        <v>46116.0</v>
      </c>
      <c r="H6782" s="76" t="s">
        <v>938</v>
      </c>
    </row>
    <row r="6783">
      <c r="A6783" s="76" t="s">
        <v>36</v>
      </c>
      <c r="B6783" s="76" t="s">
        <v>1038</v>
      </c>
      <c r="C6783" s="84">
        <v>0.14</v>
      </c>
      <c r="D6783" s="84">
        <v>0.0</v>
      </c>
      <c r="E6783" s="84">
        <v>0.0</v>
      </c>
      <c r="F6783" s="76" t="s">
        <v>975</v>
      </c>
      <c r="G6783" s="83">
        <v>46116.0</v>
      </c>
      <c r="H6783" s="76" t="s">
        <v>926</v>
      </c>
    </row>
    <row r="6784">
      <c r="A6784" s="76" t="s">
        <v>36</v>
      </c>
      <c r="B6784" s="76" t="s">
        <v>1038</v>
      </c>
      <c r="C6784" s="84">
        <v>0.1</v>
      </c>
      <c r="D6784" s="84">
        <v>0.0</v>
      </c>
      <c r="E6784" s="84">
        <v>0.0</v>
      </c>
      <c r="F6784" s="76" t="s">
        <v>975</v>
      </c>
      <c r="G6784" s="83">
        <v>46116.0</v>
      </c>
      <c r="H6784" s="76" t="s">
        <v>927</v>
      </c>
    </row>
    <row r="6785">
      <c r="A6785" s="76" t="s">
        <v>36</v>
      </c>
      <c r="B6785" s="76" t="s">
        <v>1038</v>
      </c>
      <c r="C6785" s="84">
        <v>0.1</v>
      </c>
      <c r="D6785" s="84">
        <v>0.0</v>
      </c>
      <c r="E6785" s="84">
        <v>0.0</v>
      </c>
      <c r="F6785" s="76" t="s">
        <v>975</v>
      </c>
      <c r="G6785" s="83">
        <v>46116.0</v>
      </c>
      <c r="H6785" s="76" t="s">
        <v>928</v>
      </c>
    </row>
    <row r="6786">
      <c r="A6786" s="76" t="s">
        <v>50</v>
      </c>
      <c r="B6786" s="76" t="s">
        <v>1038</v>
      </c>
      <c r="C6786" s="84">
        <v>0.15</v>
      </c>
      <c r="D6786" s="84">
        <v>0.0</v>
      </c>
      <c r="E6786" s="84">
        <v>0.0</v>
      </c>
      <c r="F6786" s="76" t="s">
        <v>975</v>
      </c>
      <c r="G6786" s="83">
        <v>46116.0</v>
      </c>
      <c r="H6786" s="76" t="s">
        <v>939</v>
      </c>
    </row>
    <row r="6787">
      <c r="A6787" s="76" t="s">
        <v>50</v>
      </c>
      <c r="B6787" s="76" t="s">
        <v>1038</v>
      </c>
      <c r="C6787" s="84">
        <v>0.43</v>
      </c>
      <c r="D6787" s="84">
        <v>0.0</v>
      </c>
      <c r="E6787" s="84">
        <v>0.0</v>
      </c>
      <c r="F6787" s="76" t="s">
        <v>975</v>
      </c>
      <c r="G6787" s="83">
        <v>46116.0</v>
      </c>
      <c r="H6787" s="76" t="s">
        <v>940</v>
      </c>
    </row>
    <row r="6788">
      <c r="A6788" s="76" t="s">
        <v>944</v>
      </c>
      <c r="B6788" s="76" t="s">
        <v>1038</v>
      </c>
      <c r="C6788" s="84">
        <v>0.27</v>
      </c>
      <c r="D6788" s="84">
        <v>0.0</v>
      </c>
      <c r="E6788" s="84">
        <v>0.0</v>
      </c>
      <c r="F6788" s="76" t="s">
        <v>975</v>
      </c>
      <c r="G6788" s="83">
        <v>46116.0</v>
      </c>
      <c r="H6788" s="76" t="s">
        <v>945</v>
      </c>
    </row>
    <row r="6789">
      <c r="A6789" s="76" t="s">
        <v>944</v>
      </c>
      <c r="B6789" s="76" t="s">
        <v>1038</v>
      </c>
      <c r="C6789" s="84">
        <v>0.09</v>
      </c>
      <c r="D6789" s="84">
        <v>0.0</v>
      </c>
      <c r="E6789" s="84">
        <v>0.0</v>
      </c>
      <c r="F6789" s="76" t="s">
        <v>975</v>
      </c>
      <c r="G6789" s="83">
        <v>46116.0</v>
      </c>
      <c r="H6789" s="76" t="s">
        <v>946</v>
      </c>
    </row>
    <row r="6790">
      <c r="A6790" s="76" t="s">
        <v>944</v>
      </c>
      <c r="B6790" s="76" t="s">
        <v>1038</v>
      </c>
      <c r="C6790" s="84">
        <v>0.16</v>
      </c>
      <c r="D6790" s="84">
        <v>0.0</v>
      </c>
      <c r="E6790" s="84">
        <v>0.0</v>
      </c>
      <c r="F6790" s="76" t="s">
        <v>975</v>
      </c>
      <c r="G6790" s="83">
        <v>46116.0</v>
      </c>
      <c r="H6790" s="76" t="s">
        <v>947</v>
      </c>
    </row>
    <row r="6791">
      <c r="A6791" s="76" t="s">
        <v>26</v>
      </c>
      <c r="B6791" s="76" t="s">
        <v>1038</v>
      </c>
      <c r="C6791" s="84">
        <v>0.18</v>
      </c>
      <c r="D6791" s="84">
        <v>0.0</v>
      </c>
      <c r="E6791" s="84">
        <v>0.0</v>
      </c>
      <c r="F6791" s="76" t="s">
        <v>975</v>
      </c>
      <c r="G6791" s="83">
        <v>46116.0</v>
      </c>
      <c r="H6791" s="76" t="s">
        <v>1012</v>
      </c>
    </row>
    <row r="6792">
      <c r="A6792" s="76" t="s">
        <v>26</v>
      </c>
      <c r="B6792" s="76" t="s">
        <v>1038</v>
      </c>
      <c r="C6792" s="84">
        <v>0.06</v>
      </c>
      <c r="D6792" s="84">
        <v>0.0</v>
      </c>
      <c r="E6792" s="84">
        <v>0.0</v>
      </c>
      <c r="F6792" s="76" t="s">
        <v>975</v>
      </c>
      <c r="G6792" s="83">
        <v>46116.0</v>
      </c>
      <c r="H6792" s="76" t="s">
        <v>1013</v>
      </c>
    </row>
    <row r="6793">
      <c r="A6793" s="76" t="s">
        <v>26</v>
      </c>
      <c r="B6793" s="76" t="s">
        <v>1038</v>
      </c>
      <c r="C6793" s="84">
        <v>0.32</v>
      </c>
      <c r="D6793" s="84">
        <v>0.0</v>
      </c>
      <c r="E6793" s="84">
        <v>0.0</v>
      </c>
      <c r="F6793" s="76" t="s">
        <v>975</v>
      </c>
      <c r="G6793" s="83">
        <v>46116.0</v>
      </c>
      <c r="H6793" s="76" t="s">
        <v>1014</v>
      </c>
    </row>
    <row r="6794">
      <c r="A6794" s="76" t="s">
        <v>32</v>
      </c>
      <c r="B6794" s="76" t="s">
        <v>1038</v>
      </c>
      <c r="C6794" s="84">
        <v>0.27</v>
      </c>
      <c r="D6794" s="84">
        <v>0.0</v>
      </c>
      <c r="E6794" s="84">
        <v>0.0</v>
      </c>
      <c r="F6794" s="76" t="s">
        <v>975</v>
      </c>
      <c r="G6794" s="83">
        <v>46116.0</v>
      </c>
      <c r="H6794" s="76" t="s">
        <v>941</v>
      </c>
    </row>
    <row r="6795">
      <c r="A6795" s="76" t="s">
        <v>32</v>
      </c>
      <c r="B6795" s="76" t="s">
        <v>1038</v>
      </c>
      <c r="C6795" s="84">
        <v>0.35</v>
      </c>
      <c r="D6795" s="84">
        <v>0.0</v>
      </c>
      <c r="E6795" s="84">
        <v>0.0</v>
      </c>
      <c r="F6795" s="76" t="s">
        <v>975</v>
      </c>
      <c r="G6795" s="83">
        <v>46116.0</v>
      </c>
      <c r="H6795" s="76" t="s">
        <v>942</v>
      </c>
    </row>
    <row r="6796">
      <c r="A6796" s="76" t="s">
        <v>32</v>
      </c>
      <c r="B6796" s="76" t="s">
        <v>1038</v>
      </c>
      <c r="C6796" s="84">
        <v>0.22</v>
      </c>
      <c r="D6796" s="84">
        <v>0.0</v>
      </c>
      <c r="E6796" s="84">
        <v>0.0</v>
      </c>
      <c r="F6796" s="76" t="s">
        <v>975</v>
      </c>
      <c r="G6796" s="83">
        <v>46116.0</v>
      </c>
      <c r="H6796" s="76" t="s">
        <v>943</v>
      </c>
    </row>
    <row r="6797">
      <c r="A6797" s="76" t="s">
        <v>42</v>
      </c>
      <c r="B6797" s="76" t="s">
        <v>1038</v>
      </c>
      <c r="C6797" s="84">
        <v>0.08</v>
      </c>
      <c r="D6797" s="84">
        <v>0.0</v>
      </c>
      <c r="E6797" s="84">
        <v>0.0</v>
      </c>
      <c r="F6797" s="76" t="s">
        <v>975</v>
      </c>
      <c r="G6797" s="83">
        <v>46116.0</v>
      </c>
      <c r="H6797" s="76" t="s">
        <v>991</v>
      </c>
    </row>
    <row r="6798">
      <c r="A6798" s="76" t="s">
        <v>42</v>
      </c>
      <c r="B6798" s="76" t="s">
        <v>1038</v>
      </c>
      <c r="C6798" s="84">
        <v>0.46</v>
      </c>
      <c r="D6798" s="84">
        <v>0.0</v>
      </c>
      <c r="E6798" s="84">
        <v>0.0</v>
      </c>
      <c r="F6798" s="76" t="s">
        <v>975</v>
      </c>
      <c r="G6798" s="83">
        <v>46116.0</v>
      </c>
      <c r="H6798" s="76" t="s">
        <v>935</v>
      </c>
    </row>
    <row r="6799">
      <c r="A6799" s="76" t="s">
        <v>31</v>
      </c>
      <c r="B6799" s="76" t="s">
        <v>1038</v>
      </c>
      <c r="C6799" s="84">
        <v>0.07</v>
      </c>
      <c r="D6799" s="84">
        <v>0.0</v>
      </c>
      <c r="E6799" s="84">
        <v>0.0</v>
      </c>
      <c r="F6799" s="76" t="s">
        <v>975</v>
      </c>
      <c r="G6799" s="83">
        <v>46116.0</v>
      </c>
      <c r="H6799" s="76" t="s">
        <v>929</v>
      </c>
    </row>
    <row r="6800">
      <c r="A6800" s="76" t="s">
        <v>31</v>
      </c>
      <c r="B6800" s="76" t="s">
        <v>1038</v>
      </c>
      <c r="C6800" s="84">
        <v>1.02</v>
      </c>
      <c r="D6800" s="84">
        <v>0.0</v>
      </c>
      <c r="E6800" s="84">
        <v>0.0</v>
      </c>
      <c r="F6800" s="76" t="s">
        <v>975</v>
      </c>
      <c r="G6800" s="83">
        <v>46116.0</v>
      </c>
      <c r="H6800" s="76" t="s">
        <v>930</v>
      </c>
    </row>
    <row r="6801">
      <c r="A6801" s="76" t="s">
        <v>28</v>
      </c>
      <c r="B6801" s="76" t="s">
        <v>1038</v>
      </c>
      <c r="C6801" s="84">
        <v>0.08</v>
      </c>
      <c r="D6801" s="84">
        <v>0.0</v>
      </c>
      <c r="E6801" s="84">
        <v>0.0</v>
      </c>
      <c r="F6801" s="76" t="s">
        <v>975</v>
      </c>
      <c r="G6801" s="83">
        <v>46116.0</v>
      </c>
      <c r="H6801" s="76" t="s">
        <v>931</v>
      </c>
    </row>
    <row r="6802">
      <c r="A6802" s="76" t="s">
        <v>28</v>
      </c>
      <c r="B6802" s="76" t="s">
        <v>1038</v>
      </c>
      <c r="C6802" s="84">
        <v>0.05</v>
      </c>
      <c r="D6802" s="84">
        <v>0.0</v>
      </c>
      <c r="E6802" s="84">
        <v>0.0</v>
      </c>
      <c r="F6802" s="76" t="s">
        <v>975</v>
      </c>
      <c r="G6802" s="83">
        <v>46116.0</v>
      </c>
      <c r="H6802" s="76" t="s">
        <v>932</v>
      </c>
    </row>
    <row r="6803">
      <c r="A6803" s="76" t="s">
        <v>28</v>
      </c>
      <c r="B6803" s="76" t="s">
        <v>1038</v>
      </c>
      <c r="C6803" s="84">
        <v>0.31</v>
      </c>
      <c r="D6803" s="84">
        <v>0.0</v>
      </c>
      <c r="E6803" s="84">
        <v>0.0</v>
      </c>
      <c r="F6803" s="76" t="s">
        <v>975</v>
      </c>
      <c r="G6803" s="83">
        <v>46116.0</v>
      </c>
      <c r="H6803" s="76" t="s">
        <v>933</v>
      </c>
    </row>
    <row r="6804">
      <c r="A6804" s="76" t="s">
        <v>45</v>
      </c>
      <c r="B6804" s="76" t="s">
        <v>1038</v>
      </c>
      <c r="C6804" s="84">
        <v>0.03</v>
      </c>
      <c r="D6804" s="84">
        <v>0.0</v>
      </c>
      <c r="E6804" s="84">
        <v>0.0</v>
      </c>
      <c r="F6804" s="76" t="s">
        <v>950</v>
      </c>
      <c r="G6804" s="83">
        <v>46116.0</v>
      </c>
      <c r="H6804" s="76" t="s">
        <v>936</v>
      </c>
    </row>
    <row r="6805">
      <c r="A6805" s="76" t="s">
        <v>45</v>
      </c>
      <c r="B6805" s="76" t="s">
        <v>1038</v>
      </c>
      <c r="C6805" s="84">
        <v>0.03</v>
      </c>
      <c r="D6805" s="84">
        <v>0.0</v>
      </c>
      <c r="E6805" s="84">
        <v>0.0</v>
      </c>
      <c r="F6805" s="76" t="s">
        <v>950</v>
      </c>
      <c r="G6805" s="83">
        <v>46116.0</v>
      </c>
      <c r="H6805" s="76" t="s">
        <v>937</v>
      </c>
    </row>
    <row r="6806">
      <c r="A6806" s="76" t="s">
        <v>45</v>
      </c>
      <c r="B6806" s="76" t="s">
        <v>1038</v>
      </c>
      <c r="C6806" s="84">
        <v>0.08</v>
      </c>
      <c r="D6806" s="84">
        <v>0.0</v>
      </c>
      <c r="E6806" s="84">
        <v>0.0</v>
      </c>
      <c r="F6806" s="76" t="s">
        <v>950</v>
      </c>
      <c r="G6806" s="83">
        <v>46116.0</v>
      </c>
      <c r="H6806" s="76" t="s">
        <v>938</v>
      </c>
    </row>
    <row r="6807">
      <c r="A6807" s="76" t="s">
        <v>28</v>
      </c>
      <c r="B6807" s="76" t="s">
        <v>1038</v>
      </c>
      <c r="C6807" s="84">
        <v>0.06</v>
      </c>
      <c r="D6807" s="84">
        <v>0.0</v>
      </c>
      <c r="E6807" s="84">
        <v>0.0</v>
      </c>
      <c r="F6807" s="76" t="s">
        <v>950</v>
      </c>
      <c r="G6807" s="83">
        <v>46116.0</v>
      </c>
      <c r="H6807" s="76" t="s">
        <v>931</v>
      </c>
    </row>
    <row r="6808">
      <c r="A6808" s="76" t="s">
        <v>28</v>
      </c>
      <c r="B6808" s="76" t="s">
        <v>1038</v>
      </c>
      <c r="C6808" s="84">
        <v>0.04</v>
      </c>
      <c r="D6808" s="84">
        <v>0.0</v>
      </c>
      <c r="E6808" s="84">
        <v>0.0</v>
      </c>
      <c r="F6808" s="76" t="s">
        <v>950</v>
      </c>
      <c r="G6808" s="83">
        <v>46116.0</v>
      </c>
      <c r="H6808" s="76" t="s">
        <v>932</v>
      </c>
    </row>
    <row r="6809">
      <c r="A6809" s="76" t="s">
        <v>28</v>
      </c>
      <c r="B6809" s="76" t="s">
        <v>1038</v>
      </c>
      <c r="C6809" s="84">
        <v>0.41</v>
      </c>
      <c r="D6809" s="84">
        <v>0.0</v>
      </c>
      <c r="E6809" s="84">
        <v>0.0</v>
      </c>
      <c r="F6809" s="76" t="s">
        <v>950</v>
      </c>
      <c r="G6809" s="83">
        <v>46116.0</v>
      </c>
      <c r="H6809" s="76" t="s">
        <v>933</v>
      </c>
    </row>
    <row r="6810">
      <c r="A6810" s="76" t="s">
        <v>42</v>
      </c>
      <c r="B6810" s="76" t="s">
        <v>1038</v>
      </c>
      <c r="C6810" s="84">
        <v>0.07</v>
      </c>
      <c r="D6810" s="84">
        <v>0.0</v>
      </c>
      <c r="E6810" s="84">
        <v>0.0</v>
      </c>
      <c r="F6810" s="76" t="s">
        <v>950</v>
      </c>
      <c r="G6810" s="83">
        <v>46116.0</v>
      </c>
      <c r="H6810" s="76" t="s">
        <v>991</v>
      </c>
    </row>
    <row r="6811">
      <c r="A6811" s="76" t="s">
        <v>42</v>
      </c>
      <c r="B6811" s="76" t="s">
        <v>1038</v>
      </c>
      <c r="C6811" s="84">
        <v>0.85</v>
      </c>
      <c r="D6811" s="84">
        <v>0.0</v>
      </c>
      <c r="E6811" s="84">
        <v>0.0</v>
      </c>
      <c r="F6811" s="76" t="s">
        <v>950</v>
      </c>
      <c r="G6811" s="83">
        <v>46116.0</v>
      </c>
      <c r="H6811" s="76" t="s">
        <v>935</v>
      </c>
    </row>
    <row r="6812">
      <c r="A6812" s="76" t="s">
        <v>36</v>
      </c>
      <c r="B6812" s="76" t="s">
        <v>1038</v>
      </c>
      <c r="C6812" s="84">
        <v>0.17</v>
      </c>
      <c r="D6812" s="84">
        <v>0.0</v>
      </c>
      <c r="E6812" s="84">
        <v>0.0</v>
      </c>
      <c r="F6812" s="76" t="s">
        <v>950</v>
      </c>
      <c r="G6812" s="83">
        <v>46116.0</v>
      </c>
      <c r="H6812" s="76" t="s">
        <v>926</v>
      </c>
    </row>
    <row r="6813">
      <c r="A6813" s="76" t="s">
        <v>36</v>
      </c>
      <c r="B6813" s="76" t="s">
        <v>1038</v>
      </c>
      <c r="C6813" s="84">
        <v>0.07</v>
      </c>
      <c r="D6813" s="84">
        <v>0.0</v>
      </c>
      <c r="E6813" s="84">
        <v>0.0</v>
      </c>
      <c r="F6813" s="76" t="s">
        <v>950</v>
      </c>
      <c r="G6813" s="83">
        <v>46116.0</v>
      </c>
      <c r="H6813" s="76" t="s">
        <v>927</v>
      </c>
    </row>
    <row r="6814">
      <c r="A6814" s="76" t="s">
        <v>36</v>
      </c>
      <c r="B6814" s="76" t="s">
        <v>1038</v>
      </c>
      <c r="C6814" s="84">
        <v>0.04</v>
      </c>
      <c r="D6814" s="84">
        <v>0.0</v>
      </c>
      <c r="E6814" s="84">
        <v>0.0</v>
      </c>
      <c r="F6814" s="76" t="s">
        <v>950</v>
      </c>
      <c r="G6814" s="83">
        <v>46116.0</v>
      </c>
      <c r="H6814" s="76" t="s">
        <v>928</v>
      </c>
    </row>
    <row r="6815">
      <c r="A6815" s="76" t="s">
        <v>31</v>
      </c>
      <c r="B6815" s="76" t="s">
        <v>1038</v>
      </c>
      <c r="C6815" s="84">
        <v>0.16</v>
      </c>
      <c r="D6815" s="84">
        <v>0.0</v>
      </c>
      <c r="E6815" s="84">
        <v>0.0</v>
      </c>
      <c r="F6815" s="76" t="s">
        <v>950</v>
      </c>
      <c r="G6815" s="83">
        <v>46116.0</v>
      </c>
      <c r="H6815" s="76" t="s">
        <v>929</v>
      </c>
    </row>
    <row r="6816">
      <c r="A6816" s="76" t="s">
        <v>31</v>
      </c>
      <c r="B6816" s="76" t="s">
        <v>1038</v>
      </c>
      <c r="C6816" s="84">
        <v>1.23</v>
      </c>
      <c r="D6816" s="84">
        <v>0.0</v>
      </c>
      <c r="E6816" s="84">
        <v>0.0</v>
      </c>
      <c r="F6816" s="76" t="s">
        <v>950</v>
      </c>
      <c r="G6816" s="83">
        <v>46116.0</v>
      </c>
      <c r="H6816" s="76" t="s">
        <v>930</v>
      </c>
    </row>
    <row r="6817">
      <c r="A6817" s="76" t="s">
        <v>50</v>
      </c>
      <c r="B6817" s="76" t="s">
        <v>1038</v>
      </c>
      <c r="C6817" s="84">
        <v>0.16</v>
      </c>
      <c r="D6817" s="84">
        <v>0.0</v>
      </c>
      <c r="E6817" s="84">
        <v>0.0</v>
      </c>
      <c r="F6817" s="76" t="s">
        <v>950</v>
      </c>
      <c r="G6817" s="83">
        <v>46116.0</v>
      </c>
      <c r="H6817" s="76" t="s">
        <v>939</v>
      </c>
    </row>
    <row r="6818">
      <c r="A6818" s="76" t="s">
        <v>50</v>
      </c>
      <c r="B6818" s="76" t="s">
        <v>1038</v>
      </c>
      <c r="C6818" s="84">
        <v>0.55</v>
      </c>
      <c r="D6818" s="84">
        <v>0.0</v>
      </c>
      <c r="E6818" s="84">
        <v>0.0</v>
      </c>
      <c r="F6818" s="76" t="s">
        <v>950</v>
      </c>
      <c r="G6818" s="83">
        <v>46116.0</v>
      </c>
      <c r="H6818" s="76" t="s">
        <v>940</v>
      </c>
    </row>
    <row r="6819">
      <c r="A6819" s="76" t="s">
        <v>26</v>
      </c>
      <c r="B6819" s="76" t="s">
        <v>1038</v>
      </c>
      <c r="C6819" s="84">
        <v>0.29</v>
      </c>
      <c r="D6819" s="84">
        <v>0.0</v>
      </c>
      <c r="E6819" s="84">
        <v>0.0</v>
      </c>
      <c r="F6819" s="76" t="s">
        <v>950</v>
      </c>
      <c r="G6819" s="83">
        <v>46116.0</v>
      </c>
      <c r="H6819" s="76" t="s">
        <v>1012</v>
      </c>
    </row>
    <row r="6820">
      <c r="A6820" s="76" t="s">
        <v>26</v>
      </c>
      <c r="B6820" s="76" t="s">
        <v>1038</v>
      </c>
      <c r="C6820" s="84">
        <v>0.16</v>
      </c>
      <c r="D6820" s="84">
        <v>0.0</v>
      </c>
      <c r="E6820" s="84">
        <v>0.0</v>
      </c>
      <c r="F6820" s="76" t="s">
        <v>950</v>
      </c>
      <c r="G6820" s="83">
        <v>46116.0</v>
      </c>
      <c r="H6820" s="76" t="s">
        <v>1013</v>
      </c>
    </row>
    <row r="6821">
      <c r="A6821" s="76" t="s">
        <v>26</v>
      </c>
      <c r="B6821" s="76" t="s">
        <v>1038</v>
      </c>
      <c r="C6821" s="84">
        <v>0.23</v>
      </c>
      <c r="D6821" s="84">
        <v>0.0</v>
      </c>
      <c r="E6821" s="84">
        <v>0.0</v>
      </c>
      <c r="F6821" s="76" t="s">
        <v>950</v>
      </c>
      <c r="G6821" s="83">
        <v>46116.0</v>
      </c>
      <c r="H6821" s="76" t="s">
        <v>1014</v>
      </c>
    </row>
    <row r="6822">
      <c r="A6822" s="76" t="s">
        <v>944</v>
      </c>
      <c r="B6822" s="76" t="s">
        <v>1038</v>
      </c>
      <c r="C6822" s="84">
        <v>0.21</v>
      </c>
      <c r="D6822" s="84">
        <v>0.0</v>
      </c>
      <c r="E6822" s="84">
        <v>0.0</v>
      </c>
      <c r="F6822" s="76" t="s">
        <v>950</v>
      </c>
      <c r="G6822" s="83">
        <v>46116.0</v>
      </c>
      <c r="H6822" s="76" t="s">
        <v>945</v>
      </c>
    </row>
    <row r="6823">
      <c r="A6823" s="76" t="s">
        <v>944</v>
      </c>
      <c r="B6823" s="76" t="s">
        <v>1038</v>
      </c>
      <c r="C6823" s="84">
        <v>0.12</v>
      </c>
      <c r="D6823" s="84">
        <v>0.0</v>
      </c>
      <c r="E6823" s="84">
        <v>0.0</v>
      </c>
      <c r="F6823" s="76" t="s">
        <v>950</v>
      </c>
      <c r="G6823" s="83">
        <v>46116.0</v>
      </c>
      <c r="H6823" s="76" t="s">
        <v>946</v>
      </c>
    </row>
    <row r="6824">
      <c r="A6824" s="76" t="s">
        <v>944</v>
      </c>
      <c r="B6824" s="76" t="s">
        <v>1038</v>
      </c>
      <c r="C6824" s="84">
        <v>0.15</v>
      </c>
      <c r="D6824" s="84">
        <v>0.0</v>
      </c>
      <c r="E6824" s="84">
        <v>0.0</v>
      </c>
      <c r="F6824" s="76" t="s">
        <v>950</v>
      </c>
      <c r="G6824" s="83">
        <v>46116.0</v>
      </c>
      <c r="H6824" s="76" t="s">
        <v>947</v>
      </c>
    </row>
    <row r="6825">
      <c r="A6825" s="76" t="s">
        <v>32</v>
      </c>
      <c r="B6825" s="76" t="s">
        <v>1038</v>
      </c>
      <c r="C6825" s="84">
        <v>0.31</v>
      </c>
      <c r="D6825" s="84">
        <v>0.0</v>
      </c>
      <c r="E6825" s="84">
        <v>0.0</v>
      </c>
      <c r="F6825" s="76" t="s">
        <v>950</v>
      </c>
      <c r="G6825" s="83">
        <v>46116.0</v>
      </c>
      <c r="H6825" s="76" t="s">
        <v>941</v>
      </c>
    </row>
    <row r="6826">
      <c r="A6826" s="76" t="s">
        <v>32</v>
      </c>
      <c r="B6826" s="76" t="s">
        <v>1038</v>
      </c>
      <c r="C6826" s="84">
        <v>0.54</v>
      </c>
      <c r="D6826" s="84">
        <v>0.0</v>
      </c>
      <c r="E6826" s="84">
        <v>0.0</v>
      </c>
      <c r="F6826" s="76" t="s">
        <v>950</v>
      </c>
      <c r="G6826" s="83">
        <v>46116.0</v>
      </c>
      <c r="H6826" s="76" t="s">
        <v>942</v>
      </c>
    </row>
    <row r="6827">
      <c r="A6827" s="76" t="s">
        <v>32</v>
      </c>
      <c r="B6827" s="76" t="s">
        <v>1038</v>
      </c>
      <c r="C6827" s="84">
        <v>0.27</v>
      </c>
      <c r="D6827" s="84">
        <v>0.0</v>
      </c>
      <c r="E6827" s="84">
        <v>0.0</v>
      </c>
      <c r="F6827" s="76" t="s">
        <v>950</v>
      </c>
      <c r="G6827" s="83">
        <v>46116.0</v>
      </c>
      <c r="H6827" s="76" t="s">
        <v>943</v>
      </c>
    </row>
    <row r="6828">
      <c r="A6828" s="76" t="s">
        <v>31</v>
      </c>
      <c r="B6828" s="76" t="s">
        <v>1038</v>
      </c>
      <c r="C6828" s="84">
        <v>0.07</v>
      </c>
      <c r="D6828" s="84">
        <v>0.0</v>
      </c>
      <c r="E6828" s="84">
        <v>0.0</v>
      </c>
      <c r="F6828" s="76" t="s">
        <v>974</v>
      </c>
      <c r="G6828" s="83">
        <v>46116.0</v>
      </c>
      <c r="H6828" s="76" t="s">
        <v>929</v>
      </c>
    </row>
    <row r="6829">
      <c r="A6829" s="76" t="s">
        <v>31</v>
      </c>
      <c r="B6829" s="76" t="s">
        <v>1038</v>
      </c>
      <c r="C6829" s="84">
        <v>0.7</v>
      </c>
      <c r="D6829" s="84">
        <v>0.0</v>
      </c>
      <c r="E6829" s="84">
        <v>0.0</v>
      </c>
      <c r="F6829" s="76" t="s">
        <v>974</v>
      </c>
      <c r="G6829" s="83">
        <v>46116.0</v>
      </c>
      <c r="H6829" s="76" t="s">
        <v>930</v>
      </c>
    </row>
    <row r="6830">
      <c r="A6830" s="76" t="s">
        <v>45</v>
      </c>
      <c r="B6830" s="76" t="s">
        <v>1038</v>
      </c>
      <c r="C6830" s="84">
        <v>0.01</v>
      </c>
      <c r="D6830" s="84">
        <v>0.0</v>
      </c>
      <c r="E6830" s="84">
        <v>0.0</v>
      </c>
      <c r="F6830" s="76" t="s">
        <v>974</v>
      </c>
      <c r="G6830" s="83">
        <v>46116.0</v>
      </c>
      <c r="H6830" s="76" t="s">
        <v>936</v>
      </c>
    </row>
    <row r="6831">
      <c r="A6831" s="76" t="s">
        <v>45</v>
      </c>
      <c r="B6831" s="76" t="s">
        <v>1038</v>
      </c>
      <c r="C6831" s="84">
        <v>0.01</v>
      </c>
      <c r="D6831" s="84">
        <v>0.0</v>
      </c>
      <c r="E6831" s="84">
        <v>0.0</v>
      </c>
      <c r="F6831" s="76" t="s">
        <v>974</v>
      </c>
      <c r="G6831" s="83">
        <v>46116.0</v>
      </c>
      <c r="H6831" s="76" t="s">
        <v>937</v>
      </c>
    </row>
    <row r="6832">
      <c r="A6832" s="76" t="s">
        <v>45</v>
      </c>
      <c r="B6832" s="76" t="s">
        <v>1038</v>
      </c>
      <c r="C6832" s="84">
        <v>0.05</v>
      </c>
      <c r="D6832" s="84">
        <v>0.0</v>
      </c>
      <c r="E6832" s="84">
        <v>0.0</v>
      </c>
      <c r="F6832" s="76" t="s">
        <v>974</v>
      </c>
      <c r="G6832" s="83">
        <v>46116.0</v>
      </c>
      <c r="H6832" s="76" t="s">
        <v>938</v>
      </c>
    </row>
    <row r="6833">
      <c r="A6833" s="76" t="s">
        <v>42</v>
      </c>
      <c r="B6833" s="76" t="s">
        <v>1038</v>
      </c>
      <c r="C6833" s="84">
        <v>0.12</v>
      </c>
      <c r="D6833" s="84">
        <v>0.0</v>
      </c>
      <c r="E6833" s="84">
        <v>0.0</v>
      </c>
      <c r="F6833" s="76" t="s">
        <v>974</v>
      </c>
      <c r="G6833" s="83">
        <v>46116.0</v>
      </c>
      <c r="H6833" s="76" t="s">
        <v>991</v>
      </c>
    </row>
    <row r="6834">
      <c r="A6834" s="76" t="s">
        <v>42</v>
      </c>
      <c r="B6834" s="76" t="s">
        <v>1038</v>
      </c>
      <c r="C6834" s="84">
        <v>0.24</v>
      </c>
      <c r="D6834" s="84">
        <v>0.0</v>
      </c>
      <c r="E6834" s="84">
        <v>0.0</v>
      </c>
      <c r="F6834" s="76" t="s">
        <v>974</v>
      </c>
      <c r="G6834" s="83">
        <v>46116.0</v>
      </c>
      <c r="H6834" s="76" t="s">
        <v>935</v>
      </c>
    </row>
    <row r="6835">
      <c r="A6835" s="76" t="s">
        <v>28</v>
      </c>
      <c r="B6835" s="76" t="s">
        <v>1038</v>
      </c>
      <c r="C6835" s="84">
        <v>0.02</v>
      </c>
      <c r="D6835" s="84">
        <v>0.0</v>
      </c>
      <c r="E6835" s="84">
        <v>0.0</v>
      </c>
      <c r="F6835" s="76" t="s">
        <v>974</v>
      </c>
      <c r="G6835" s="83">
        <v>46116.0</v>
      </c>
      <c r="H6835" s="76" t="s">
        <v>931</v>
      </c>
    </row>
    <row r="6836">
      <c r="A6836" s="76" t="s">
        <v>28</v>
      </c>
      <c r="B6836" s="76" t="s">
        <v>1038</v>
      </c>
      <c r="C6836" s="84">
        <v>0.08</v>
      </c>
      <c r="D6836" s="84">
        <v>0.0</v>
      </c>
      <c r="E6836" s="84">
        <v>0.0</v>
      </c>
      <c r="F6836" s="76" t="s">
        <v>974</v>
      </c>
      <c r="G6836" s="83">
        <v>46116.0</v>
      </c>
      <c r="H6836" s="76" t="s">
        <v>932</v>
      </c>
    </row>
    <row r="6837">
      <c r="A6837" s="76" t="s">
        <v>28</v>
      </c>
      <c r="B6837" s="76" t="s">
        <v>1038</v>
      </c>
      <c r="C6837" s="84">
        <v>0.21</v>
      </c>
      <c r="D6837" s="84">
        <v>0.0</v>
      </c>
      <c r="E6837" s="84">
        <v>0.0</v>
      </c>
      <c r="F6837" s="76" t="s">
        <v>974</v>
      </c>
      <c r="G6837" s="83">
        <v>46116.0</v>
      </c>
      <c r="H6837" s="76" t="s">
        <v>933</v>
      </c>
    </row>
    <row r="6838">
      <c r="A6838" s="76" t="s">
        <v>50</v>
      </c>
      <c r="B6838" s="76" t="s">
        <v>1038</v>
      </c>
      <c r="C6838" s="84">
        <v>0.07</v>
      </c>
      <c r="D6838" s="84">
        <v>0.0</v>
      </c>
      <c r="E6838" s="84">
        <v>0.0</v>
      </c>
      <c r="F6838" s="76" t="s">
        <v>974</v>
      </c>
      <c r="G6838" s="83">
        <v>46116.0</v>
      </c>
      <c r="H6838" s="76" t="s">
        <v>939</v>
      </c>
    </row>
    <row r="6839">
      <c r="A6839" s="76" t="s">
        <v>50</v>
      </c>
      <c r="B6839" s="76" t="s">
        <v>1038</v>
      </c>
      <c r="C6839" s="84">
        <v>0.25</v>
      </c>
      <c r="D6839" s="84">
        <v>0.0</v>
      </c>
      <c r="E6839" s="84">
        <v>0.0</v>
      </c>
      <c r="F6839" s="76" t="s">
        <v>974</v>
      </c>
      <c r="G6839" s="83">
        <v>46116.0</v>
      </c>
      <c r="H6839" s="76" t="s">
        <v>940</v>
      </c>
    </row>
    <row r="6840">
      <c r="A6840" s="76" t="s">
        <v>26</v>
      </c>
      <c r="B6840" s="76" t="s">
        <v>1038</v>
      </c>
      <c r="C6840" s="84">
        <v>0.18</v>
      </c>
      <c r="D6840" s="84">
        <v>0.0</v>
      </c>
      <c r="E6840" s="84">
        <v>0.0</v>
      </c>
      <c r="F6840" s="76" t="s">
        <v>974</v>
      </c>
      <c r="G6840" s="83">
        <v>46116.0</v>
      </c>
      <c r="H6840" s="76" t="s">
        <v>1012</v>
      </c>
    </row>
    <row r="6841">
      <c r="A6841" s="76" t="s">
        <v>26</v>
      </c>
      <c r="B6841" s="76" t="s">
        <v>1038</v>
      </c>
      <c r="C6841" s="84">
        <v>0.05</v>
      </c>
      <c r="D6841" s="84">
        <v>0.0</v>
      </c>
      <c r="E6841" s="84">
        <v>0.0</v>
      </c>
      <c r="F6841" s="76" t="s">
        <v>974</v>
      </c>
      <c r="G6841" s="83">
        <v>46116.0</v>
      </c>
      <c r="H6841" s="76" t="s">
        <v>1013</v>
      </c>
    </row>
    <row r="6842">
      <c r="A6842" s="76" t="s">
        <v>26</v>
      </c>
      <c r="B6842" s="76" t="s">
        <v>1038</v>
      </c>
      <c r="C6842" s="84">
        <v>0.08</v>
      </c>
      <c r="D6842" s="84">
        <v>0.0</v>
      </c>
      <c r="E6842" s="84">
        <v>0.0</v>
      </c>
      <c r="F6842" s="76" t="s">
        <v>974</v>
      </c>
      <c r="G6842" s="83">
        <v>46116.0</v>
      </c>
      <c r="H6842" s="76" t="s">
        <v>1014</v>
      </c>
    </row>
    <row r="6843">
      <c r="A6843" s="76" t="s">
        <v>944</v>
      </c>
      <c r="B6843" s="76" t="s">
        <v>1038</v>
      </c>
      <c r="C6843" s="84">
        <v>0.08</v>
      </c>
      <c r="D6843" s="84">
        <v>0.0</v>
      </c>
      <c r="E6843" s="84">
        <v>0.0</v>
      </c>
      <c r="F6843" s="76" t="s">
        <v>974</v>
      </c>
      <c r="G6843" s="83">
        <v>46116.0</v>
      </c>
      <c r="H6843" s="76" t="s">
        <v>945</v>
      </c>
    </row>
    <row r="6844">
      <c r="A6844" s="76" t="s">
        <v>944</v>
      </c>
      <c r="B6844" s="76" t="s">
        <v>1038</v>
      </c>
      <c r="C6844" s="84">
        <v>0.03</v>
      </c>
      <c r="D6844" s="84">
        <v>0.0</v>
      </c>
      <c r="E6844" s="84">
        <v>0.0</v>
      </c>
      <c r="F6844" s="76" t="s">
        <v>974</v>
      </c>
      <c r="G6844" s="83">
        <v>46116.0</v>
      </c>
      <c r="H6844" s="76" t="s">
        <v>946</v>
      </c>
    </row>
    <row r="6845">
      <c r="A6845" s="76" t="s">
        <v>944</v>
      </c>
      <c r="B6845" s="76" t="s">
        <v>1038</v>
      </c>
      <c r="C6845" s="84">
        <v>0.05</v>
      </c>
      <c r="D6845" s="84">
        <v>0.0</v>
      </c>
      <c r="E6845" s="84">
        <v>0.0</v>
      </c>
      <c r="F6845" s="76" t="s">
        <v>974</v>
      </c>
      <c r="G6845" s="83">
        <v>46116.0</v>
      </c>
      <c r="H6845" s="76" t="s">
        <v>947</v>
      </c>
    </row>
    <row r="6846">
      <c r="A6846" s="76" t="s">
        <v>36</v>
      </c>
      <c r="B6846" s="76" t="s">
        <v>1038</v>
      </c>
      <c r="C6846" s="84">
        <v>0.06</v>
      </c>
      <c r="D6846" s="84">
        <v>0.0</v>
      </c>
      <c r="E6846" s="84">
        <v>0.0</v>
      </c>
      <c r="F6846" s="76" t="s">
        <v>974</v>
      </c>
      <c r="G6846" s="83">
        <v>46116.0</v>
      </c>
      <c r="H6846" s="76" t="s">
        <v>926</v>
      </c>
    </row>
    <row r="6847">
      <c r="A6847" s="76" t="s">
        <v>36</v>
      </c>
      <c r="B6847" s="76" t="s">
        <v>1038</v>
      </c>
      <c r="C6847" s="84">
        <v>0.07</v>
      </c>
      <c r="D6847" s="84">
        <v>0.0</v>
      </c>
      <c r="E6847" s="84">
        <v>0.0</v>
      </c>
      <c r="F6847" s="76" t="s">
        <v>974</v>
      </c>
      <c r="G6847" s="83">
        <v>46116.0</v>
      </c>
      <c r="H6847" s="76" t="s">
        <v>927</v>
      </c>
    </row>
    <row r="6848">
      <c r="A6848" s="76" t="s">
        <v>36</v>
      </c>
      <c r="B6848" s="76" t="s">
        <v>1038</v>
      </c>
      <c r="C6848" s="84">
        <v>0.05</v>
      </c>
      <c r="D6848" s="84">
        <v>0.0</v>
      </c>
      <c r="E6848" s="84">
        <v>0.0</v>
      </c>
      <c r="F6848" s="76" t="s">
        <v>974</v>
      </c>
      <c r="G6848" s="83">
        <v>46116.0</v>
      </c>
      <c r="H6848" s="76" t="s">
        <v>928</v>
      </c>
    </row>
    <row r="6849">
      <c r="A6849" s="76" t="s">
        <v>32</v>
      </c>
      <c r="B6849" s="76" t="s">
        <v>1038</v>
      </c>
      <c r="C6849" s="84">
        <v>0.14</v>
      </c>
      <c r="D6849" s="84">
        <v>0.0</v>
      </c>
      <c r="E6849" s="84">
        <v>0.0</v>
      </c>
      <c r="F6849" s="76" t="s">
        <v>974</v>
      </c>
      <c r="G6849" s="83">
        <v>46116.0</v>
      </c>
      <c r="H6849" s="76" t="s">
        <v>941</v>
      </c>
    </row>
    <row r="6850">
      <c r="A6850" s="76" t="s">
        <v>32</v>
      </c>
      <c r="B6850" s="76" t="s">
        <v>1038</v>
      </c>
      <c r="C6850" s="84">
        <v>0.27</v>
      </c>
      <c r="D6850" s="84">
        <v>0.0</v>
      </c>
      <c r="E6850" s="84">
        <v>0.0</v>
      </c>
      <c r="F6850" s="76" t="s">
        <v>974</v>
      </c>
      <c r="G6850" s="83">
        <v>46116.0</v>
      </c>
      <c r="H6850" s="76" t="s">
        <v>942</v>
      </c>
    </row>
    <row r="6851">
      <c r="A6851" s="76" t="s">
        <v>32</v>
      </c>
      <c r="B6851" s="76" t="s">
        <v>1038</v>
      </c>
      <c r="C6851" s="84">
        <v>0.19</v>
      </c>
      <c r="D6851" s="84">
        <v>0.0</v>
      </c>
      <c r="E6851" s="84">
        <v>0.0</v>
      </c>
      <c r="F6851" s="76" t="s">
        <v>974</v>
      </c>
      <c r="G6851" s="83">
        <v>46116.0</v>
      </c>
      <c r="H6851" s="76" t="s">
        <v>943</v>
      </c>
    </row>
    <row r="6852">
      <c r="A6852" s="76" t="s">
        <v>36</v>
      </c>
      <c r="B6852" s="76" t="s">
        <v>1006</v>
      </c>
      <c r="C6852" s="84">
        <v>6.86</v>
      </c>
      <c r="D6852" s="84">
        <v>0.0</v>
      </c>
      <c r="E6852" s="84">
        <v>0.0</v>
      </c>
      <c r="F6852" s="76" t="s">
        <v>990</v>
      </c>
      <c r="G6852" s="83">
        <v>46116.0</v>
      </c>
      <c r="H6852" s="76" t="s">
        <v>926</v>
      </c>
    </row>
    <row r="6853">
      <c r="A6853" s="76" t="s">
        <v>36</v>
      </c>
      <c r="B6853" s="76" t="s">
        <v>1006</v>
      </c>
      <c r="C6853" s="84">
        <v>17.79</v>
      </c>
      <c r="D6853" s="84">
        <v>0.0</v>
      </c>
      <c r="E6853" s="84">
        <v>0.0</v>
      </c>
      <c r="F6853" s="76" t="s">
        <v>990</v>
      </c>
      <c r="G6853" s="83">
        <v>46116.0</v>
      </c>
      <c r="H6853" s="76" t="s">
        <v>927</v>
      </c>
    </row>
    <row r="6854">
      <c r="A6854" s="76" t="s">
        <v>36</v>
      </c>
      <c r="B6854" s="76" t="s">
        <v>1006</v>
      </c>
      <c r="C6854" s="84">
        <v>1.63</v>
      </c>
      <c r="D6854" s="84">
        <v>0.0</v>
      </c>
      <c r="E6854" s="84">
        <v>0.0</v>
      </c>
      <c r="F6854" s="76" t="s">
        <v>990</v>
      </c>
      <c r="G6854" s="83">
        <v>46116.0</v>
      </c>
      <c r="H6854" s="76" t="s">
        <v>928</v>
      </c>
    </row>
    <row r="6855">
      <c r="A6855" s="76" t="s">
        <v>31</v>
      </c>
      <c r="B6855" s="76" t="s">
        <v>1006</v>
      </c>
      <c r="C6855" s="84">
        <v>5.58</v>
      </c>
      <c r="D6855" s="84">
        <v>0.0</v>
      </c>
      <c r="E6855" s="84">
        <v>0.0</v>
      </c>
      <c r="F6855" s="76" t="s">
        <v>990</v>
      </c>
      <c r="G6855" s="83">
        <v>46116.0</v>
      </c>
      <c r="H6855" s="76" t="s">
        <v>929</v>
      </c>
    </row>
    <row r="6856">
      <c r="A6856" s="76" t="s">
        <v>31</v>
      </c>
      <c r="B6856" s="76" t="s">
        <v>1006</v>
      </c>
      <c r="C6856" s="84">
        <v>84.39</v>
      </c>
      <c r="D6856" s="84">
        <v>3.0</v>
      </c>
      <c r="E6856" s="84">
        <v>28.13</v>
      </c>
      <c r="F6856" s="76" t="s">
        <v>990</v>
      </c>
      <c r="G6856" s="83">
        <v>46116.0</v>
      </c>
      <c r="H6856" s="76" t="s">
        <v>930</v>
      </c>
    </row>
    <row r="6857">
      <c r="A6857" s="76" t="s">
        <v>28</v>
      </c>
      <c r="B6857" s="76" t="s">
        <v>1006</v>
      </c>
      <c r="C6857" s="84">
        <v>69.59</v>
      </c>
      <c r="D6857" s="84">
        <v>2.0</v>
      </c>
      <c r="E6857" s="84">
        <v>34.79</v>
      </c>
      <c r="F6857" s="76" t="s">
        <v>990</v>
      </c>
      <c r="G6857" s="83">
        <v>46116.0</v>
      </c>
      <c r="H6857" s="76" t="s">
        <v>931</v>
      </c>
    </row>
    <row r="6858">
      <c r="A6858" s="76" t="s">
        <v>28</v>
      </c>
      <c r="B6858" s="76" t="s">
        <v>1006</v>
      </c>
      <c r="C6858" s="84">
        <v>2.35</v>
      </c>
      <c r="D6858" s="84">
        <v>0.0</v>
      </c>
      <c r="E6858" s="84">
        <v>0.0</v>
      </c>
      <c r="F6858" s="76" t="s">
        <v>990</v>
      </c>
      <c r="G6858" s="83">
        <v>46116.0</v>
      </c>
      <c r="H6858" s="76" t="s">
        <v>932</v>
      </c>
    </row>
    <row r="6859">
      <c r="A6859" s="76" t="s">
        <v>28</v>
      </c>
      <c r="B6859" s="76" t="s">
        <v>1006</v>
      </c>
      <c r="C6859" s="84">
        <v>7.31</v>
      </c>
      <c r="D6859" s="84">
        <v>0.0</v>
      </c>
      <c r="E6859" s="84">
        <v>0.0</v>
      </c>
      <c r="F6859" s="76" t="s">
        <v>990</v>
      </c>
      <c r="G6859" s="83">
        <v>46116.0</v>
      </c>
      <c r="H6859" s="76" t="s">
        <v>933</v>
      </c>
    </row>
    <row r="6860">
      <c r="A6860" s="76" t="s">
        <v>45</v>
      </c>
      <c r="B6860" s="76" t="s">
        <v>1006</v>
      </c>
      <c r="C6860" s="84">
        <v>28.24</v>
      </c>
      <c r="D6860" s="84">
        <v>0.0</v>
      </c>
      <c r="E6860" s="84">
        <v>0.0</v>
      </c>
      <c r="F6860" s="76" t="s">
        <v>990</v>
      </c>
      <c r="G6860" s="83">
        <v>46116.0</v>
      </c>
      <c r="H6860" s="76" t="s">
        <v>936</v>
      </c>
    </row>
    <row r="6861">
      <c r="A6861" s="76" t="s">
        <v>45</v>
      </c>
      <c r="B6861" s="76" t="s">
        <v>1006</v>
      </c>
      <c r="C6861" s="84">
        <v>1.18</v>
      </c>
      <c r="D6861" s="84">
        <v>0.0</v>
      </c>
      <c r="E6861" s="84">
        <v>0.0</v>
      </c>
      <c r="F6861" s="76" t="s">
        <v>990</v>
      </c>
      <c r="G6861" s="83">
        <v>46116.0</v>
      </c>
      <c r="H6861" s="76" t="s">
        <v>937</v>
      </c>
    </row>
    <row r="6862">
      <c r="A6862" s="76" t="s">
        <v>45</v>
      </c>
      <c r="B6862" s="76" t="s">
        <v>1006</v>
      </c>
      <c r="C6862" s="84">
        <v>4.32</v>
      </c>
      <c r="D6862" s="84">
        <v>0.0</v>
      </c>
      <c r="E6862" s="84">
        <v>0.0</v>
      </c>
      <c r="F6862" s="76" t="s">
        <v>990</v>
      </c>
      <c r="G6862" s="83">
        <v>46116.0</v>
      </c>
      <c r="H6862" s="76" t="s">
        <v>938</v>
      </c>
    </row>
    <row r="6863">
      <c r="A6863" s="76" t="s">
        <v>32</v>
      </c>
      <c r="B6863" s="76" t="s">
        <v>1006</v>
      </c>
      <c r="C6863" s="84">
        <v>7.35</v>
      </c>
      <c r="D6863" s="84">
        <v>0.0</v>
      </c>
      <c r="E6863" s="84">
        <v>0.0</v>
      </c>
      <c r="F6863" s="76" t="s">
        <v>990</v>
      </c>
      <c r="G6863" s="83">
        <v>46116.0</v>
      </c>
      <c r="H6863" s="76" t="s">
        <v>941</v>
      </c>
    </row>
    <row r="6864">
      <c r="A6864" s="76" t="s">
        <v>32</v>
      </c>
      <c r="B6864" s="76" t="s">
        <v>1006</v>
      </c>
      <c r="C6864" s="84">
        <v>36.1</v>
      </c>
      <c r="D6864" s="84">
        <v>1.0</v>
      </c>
      <c r="E6864" s="84">
        <v>36.1</v>
      </c>
      <c r="F6864" s="76" t="s">
        <v>990</v>
      </c>
      <c r="G6864" s="83">
        <v>46116.0</v>
      </c>
      <c r="H6864" s="76" t="s">
        <v>942</v>
      </c>
    </row>
    <row r="6865">
      <c r="A6865" s="76" t="s">
        <v>32</v>
      </c>
      <c r="B6865" s="76" t="s">
        <v>1006</v>
      </c>
      <c r="C6865" s="84">
        <v>10.69</v>
      </c>
      <c r="D6865" s="84">
        <v>0.0</v>
      </c>
      <c r="E6865" s="84">
        <v>0.0</v>
      </c>
      <c r="F6865" s="76" t="s">
        <v>990</v>
      </c>
      <c r="G6865" s="83">
        <v>46116.0</v>
      </c>
      <c r="H6865" s="76" t="s">
        <v>943</v>
      </c>
    </row>
    <row r="6866">
      <c r="A6866" s="76" t="s">
        <v>944</v>
      </c>
      <c r="B6866" s="76" t="s">
        <v>1006</v>
      </c>
      <c r="C6866" s="84">
        <v>5.09</v>
      </c>
      <c r="D6866" s="84">
        <v>0.0</v>
      </c>
      <c r="E6866" s="84">
        <v>0.0</v>
      </c>
      <c r="F6866" s="76" t="s">
        <v>990</v>
      </c>
      <c r="G6866" s="83">
        <v>46116.0</v>
      </c>
      <c r="H6866" s="76" t="s">
        <v>945</v>
      </c>
    </row>
    <row r="6867">
      <c r="A6867" s="76" t="s">
        <v>944</v>
      </c>
      <c r="B6867" s="76" t="s">
        <v>1006</v>
      </c>
      <c r="C6867" s="84">
        <v>36.22</v>
      </c>
      <c r="D6867" s="84">
        <v>0.0</v>
      </c>
      <c r="E6867" s="84">
        <v>0.0</v>
      </c>
      <c r="F6867" s="76" t="s">
        <v>990</v>
      </c>
      <c r="G6867" s="83">
        <v>46116.0</v>
      </c>
      <c r="H6867" s="76" t="s">
        <v>946</v>
      </c>
    </row>
    <row r="6868">
      <c r="A6868" s="76" t="s">
        <v>944</v>
      </c>
      <c r="B6868" s="76" t="s">
        <v>1006</v>
      </c>
      <c r="C6868" s="84">
        <v>1.8</v>
      </c>
      <c r="D6868" s="84">
        <v>0.0</v>
      </c>
      <c r="E6868" s="84">
        <v>0.0</v>
      </c>
      <c r="F6868" s="76" t="s">
        <v>990</v>
      </c>
      <c r="G6868" s="83">
        <v>46116.0</v>
      </c>
      <c r="H6868" s="76" t="s">
        <v>947</v>
      </c>
    </row>
    <row r="6869">
      <c r="A6869" s="76" t="s">
        <v>26</v>
      </c>
      <c r="B6869" s="76" t="s">
        <v>1006</v>
      </c>
      <c r="C6869" s="84">
        <v>17.97</v>
      </c>
      <c r="D6869" s="84">
        <v>0.0</v>
      </c>
      <c r="E6869" s="84">
        <v>0.0</v>
      </c>
      <c r="F6869" s="76" t="s">
        <v>990</v>
      </c>
      <c r="G6869" s="83">
        <v>46116.0</v>
      </c>
      <c r="H6869" s="76" t="s">
        <v>1012</v>
      </c>
    </row>
    <row r="6870">
      <c r="A6870" s="76" t="s">
        <v>26</v>
      </c>
      <c r="B6870" s="76" t="s">
        <v>1006</v>
      </c>
      <c r="C6870" s="84">
        <v>7.74</v>
      </c>
      <c r="D6870" s="84">
        <v>0.0</v>
      </c>
      <c r="E6870" s="84">
        <v>0.0</v>
      </c>
      <c r="F6870" s="76" t="s">
        <v>990</v>
      </c>
      <c r="G6870" s="83">
        <v>46116.0</v>
      </c>
      <c r="H6870" s="76" t="s">
        <v>1013</v>
      </c>
    </row>
    <row r="6871">
      <c r="A6871" s="76" t="s">
        <v>26</v>
      </c>
      <c r="B6871" s="76" t="s">
        <v>1006</v>
      </c>
      <c r="C6871" s="84">
        <v>1.94</v>
      </c>
      <c r="D6871" s="84">
        <v>0.0</v>
      </c>
      <c r="E6871" s="84">
        <v>0.0</v>
      </c>
      <c r="F6871" s="76" t="s">
        <v>990</v>
      </c>
      <c r="G6871" s="83">
        <v>46116.0</v>
      </c>
      <c r="H6871" s="76" t="s">
        <v>1014</v>
      </c>
    </row>
    <row r="6872">
      <c r="A6872" s="76" t="s">
        <v>36</v>
      </c>
      <c r="B6872" s="76" t="s">
        <v>1006</v>
      </c>
      <c r="C6872" s="84">
        <v>0.29</v>
      </c>
      <c r="D6872" s="84">
        <v>0.0</v>
      </c>
      <c r="E6872" s="84">
        <v>0.0</v>
      </c>
      <c r="F6872" s="76" t="s">
        <v>993</v>
      </c>
      <c r="G6872" s="83">
        <v>46116.0</v>
      </c>
      <c r="H6872" s="76" t="s">
        <v>926</v>
      </c>
    </row>
    <row r="6873">
      <c r="A6873" s="76" t="s">
        <v>36</v>
      </c>
      <c r="B6873" s="76" t="s">
        <v>1006</v>
      </c>
      <c r="C6873" s="84">
        <v>0.51</v>
      </c>
      <c r="D6873" s="84">
        <v>0.0</v>
      </c>
      <c r="E6873" s="84">
        <v>0.0</v>
      </c>
      <c r="F6873" s="76" t="s">
        <v>993</v>
      </c>
      <c r="G6873" s="83">
        <v>46116.0</v>
      </c>
      <c r="H6873" s="76" t="s">
        <v>927</v>
      </c>
    </row>
    <row r="6874">
      <c r="A6874" s="76" t="s">
        <v>36</v>
      </c>
      <c r="B6874" s="76" t="s">
        <v>1006</v>
      </c>
      <c r="C6874" s="84">
        <v>0.06</v>
      </c>
      <c r="D6874" s="84">
        <v>0.0</v>
      </c>
      <c r="E6874" s="84">
        <v>0.0</v>
      </c>
      <c r="F6874" s="76" t="s">
        <v>993</v>
      </c>
      <c r="G6874" s="83">
        <v>46116.0</v>
      </c>
      <c r="H6874" s="76" t="s">
        <v>928</v>
      </c>
    </row>
    <row r="6875">
      <c r="A6875" s="76" t="s">
        <v>31</v>
      </c>
      <c r="B6875" s="76" t="s">
        <v>1006</v>
      </c>
      <c r="C6875" s="84">
        <v>0.28</v>
      </c>
      <c r="D6875" s="84">
        <v>0.0</v>
      </c>
      <c r="E6875" s="84">
        <v>0.0</v>
      </c>
      <c r="F6875" s="76" t="s">
        <v>993</v>
      </c>
      <c r="G6875" s="83">
        <v>46116.0</v>
      </c>
      <c r="H6875" s="76" t="s">
        <v>929</v>
      </c>
    </row>
    <row r="6876">
      <c r="A6876" s="76" t="s">
        <v>31</v>
      </c>
      <c r="B6876" s="76" t="s">
        <v>1006</v>
      </c>
      <c r="C6876" s="84">
        <v>1.7</v>
      </c>
      <c r="D6876" s="84">
        <v>0.0</v>
      </c>
      <c r="E6876" s="84">
        <v>0.0</v>
      </c>
      <c r="F6876" s="76" t="s">
        <v>993</v>
      </c>
      <c r="G6876" s="83">
        <v>46116.0</v>
      </c>
      <c r="H6876" s="76" t="s">
        <v>930</v>
      </c>
    </row>
    <row r="6877">
      <c r="A6877" s="76" t="s">
        <v>28</v>
      </c>
      <c r="B6877" s="76" t="s">
        <v>1006</v>
      </c>
      <c r="C6877" s="84">
        <v>0.36</v>
      </c>
      <c r="D6877" s="84">
        <v>0.0</v>
      </c>
      <c r="E6877" s="84">
        <v>0.0</v>
      </c>
      <c r="F6877" s="76" t="s">
        <v>993</v>
      </c>
      <c r="G6877" s="83">
        <v>46116.0</v>
      </c>
      <c r="H6877" s="76" t="s">
        <v>931</v>
      </c>
    </row>
    <row r="6878">
      <c r="A6878" s="76" t="s">
        <v>28</v>
      </c>
      <c r="B6878" s="76" t="s">
        <v>1006</v>
      </c>
      <c r="C6878" s="84">
        <v>0.07</v>
      </c>
      <c r="D6878" s="84">
        <v>0.0</v>
      </c>
      <c r="E6878" s="84">
        <v>0.0</v>
      </c>
      <c r="F6878" s="76" t="s">
        <v>993</v>
      </c>
      <c r="G6878" s="83">
        <v>46116.0</v>
      </c>
      <c r="H6878" s="76" t="s">
        <v>932</v>
      </c>
    </row>
    <row r="6879">
      <c r="A6879" s="76" t="s">
        <v>28</v>
      </c>
      <c r="B6879" s="76" t="s">
        <v>1006</v>
      </c>
      <c r="C6879" s="84">
        <v>0.51</v>
      </c>
      <c r="D6879" s="84">
        <v>0.0</v>
      </c>
      <c r="E6879" s="84">
        <v>0.0</v>
      </c>
      <c r="F6879" s="76" t="s">
        <v>993</v>
      </c>
      <c r="G6879" s="83">
        <v>46116.0</v>
      </c>
      <c r="H6879" s="76" t="s">
        <v>933</v>
      </c>
    </row>
    <row r="6880">
      <c r="A6880" s="76" t="s">
        <v>45</v>
      </c>
      <c r="B6880" s="76" t="s">
        <v>1006</v>
      </c>
      <c r="C6880" s="84">
        <v>1.08</v>
      </c>
      <c r="D6880" s="84">
        <v>0.0</v>
      </c>
      <c r="E6880" s="84">
        <v>0.0</v>
      </c>
      <c r="F6880" s="76" t="s">
        <v>993</v>
      </c>
      <c r="G6880" s="83">
        <v>46116.0</v>
      </c>
      <c r="H6880" s="76" t="s">
        <v>936</v>
      </c>
    </row>
    <row r="6881">
      <c r="A6881" s="76" t="s">
        <v>45</v>
      </c>
      <c r="B6881" s="76" t="s">
        <v>1006</v>
      </c>
      <c r="C6881" s="84">
        <v>0.06</v>
      </c>
      <c r="D6881" s="84">
        <v>0.0</v>
      </c>
      <c r="E6881" s="84">
        <v>0.0</v>
      </c>
      <c r="F6881" s="76" t="s">
        <v>993</v>
      </c>
      <c r="G6881" s="83">
        <v>46116.0</v>
      </c>
      <c r="H6881" s="76" t="s">
        <v>937</v>
      </c>
    </row>
    <row r="6882">
      <c r="A6882" s="76" t="s">
        <v>45</v>
      </c>
      <c r="B6882" s="76" t="s">
        <v>1006</v>
      </c>
      <c r="C6882" s="84">
        <v>0.2</v>
      </c>
      <c r="D6882" s="84">
        <v>0.0</v>
      </c>
      <c r="E6882" s="84">
        <v>0.0</v>
      </c>
      <c r="F6882" s="76" t="s">
        <v>993</v>
      </c>
      <c r="G6882" s="83">
        <v>46116.0</v>
      </c>
      <c r="H6882" s="76" t="s">
        <v>938</v>
      </c>
    </row>
    <row r="6883">
      <c r="A6883" s="76" t="s">
        <v>32</v>
      </c>
      <c r="B6883" s="76" t="s">
        <v>1006</v>
      </c>
      <c r="C6883" s="84">
        <v>0.29</v>
      </c>
      <c r="D6883" s="84">
        <v>0.0</v>
      </c>
      <c r="E6883" s="84">
        <v>0.0</v>
      </c>
      <c r="F6883" s="76" t="s">
        <v>993</v>
      </c>
      <c r="G6883" s="83">
        <v>46116.0</v>
      </c>
      <c r="H6883" s="76" t="s">
        <v>941</v>
      </c>
    </row>
    <row r="6884">
      <c r="A6884" s="76" t="s">
        <v>32</v>
      </c>
      <c r="B6884" s="76" t="s">
        <v>1006</v>
      </c>
      <c r="C6884" s="84">
        <v>0.78</v>
      </c>
      <c r="D6884" s="84">
        <v>0.0</v>
      </c>
      <c r="E6884" s="84">
        <v>0.0</v>
      </c>
      <c r="F6884" s="76" t="s">
        <v>993</v>
      </c>
      <c r="G6884" s="83">
        <v>46116.0</v>
      </c>
      <c r="H6884" s="76" t="s">
        <v>942</v>
      </c>
    </row>
    <row r="6885">
      <c r="A6885" s="76" t="s">
        <v>32</v>
      </c>
      <c r="B6885" s="76" t="s">
        <v>1006</v>
      </c>
      <c r="C6885" s="84">
        <v>0.3</v>
      </c>
      <c r="D6885" s="84">
        <v>0.0</v>
      </c>
      <c r="E6885" s="84">
        <v>0.0</v>
      </c>
      <c r="F6885" s="76" t="s">
        <v>993</v>
      </c>
      <c r="G6885" s="83">
        <v>46116.0</v>
      </c>
      <c r="H6885" s="76" t="s">
        <v>943</v>
      </c>
    </row>
    <row r="6886">
      <c r="A6886" s="76" t="s">
        <v>944</v>
      </c>
      <c r="B6886" s="76" t="s">
        <v>1006</v>
      </c>
      <c r="C6886" s="84">
        <v>0.17</v>
      </c>
      <c r="D6886" s="84">
        <v>0.0</v>
      </c>
      <c r="E6886" s="84">
        <v>0.0</v>
      </c>
      <c r="F6886" s="76" t="s">
        <v>993</v>
      </c>
      <c r="G6886" s="83">
        <v>46116.0</v>
      </c>
      <c r="H6886" s="76" t="s">
        <v>945</v>
      </c>
    </row>
    <row r="6887">
      <c r="A6887" s="76" t="s">
        <v>944</v>
      </c>
      <c r="B6887" s="76" t="s">
        <v>1006</v>
      </c>
      <c r="C6887" s="84">
        <v>0.6</v>
      </c>
      <c r="D6887" s="84">
        <v>1.0</v>
      </c>
      <c r="E6887" s="84">
        <v>0.6</v>
      </c>
      <c r="F6887" s="76" t="s">
        <v>993</v>
      </c>
      <c r="G6887" s="83">
        <v>46116.0</v>
      </c>
      <c r="H6887" s="76" t="s">
        <v>946</v>
      </c>
    </row>
    <row r="6888">
      <c r="A6888" s="76" t="s">
        <v>944</v>
      </c>
      <c r="B6888" s="76" t="s">
        <v>1006</v>
      </c>
      <c r="C6888" s="84">
        <v>0.07</v>
      </c>
      <c r="D6888" s="84">
        <v>0.0</v>
      </c>
      <c r="E6888" s="84">
        <v>0.0</v>
      </c>
      <c r="F6888" s="76" t="s">
        <v>993</v>
      </c>
      <c r="G6888" s="83">
        <v>46116.0</v>
      </c>
      <c r="H6888" s="76" t="s">
        <v>947</v>
      </c>
    </row>
    <row r="6889">
      <c r="A6889" s="76" t="s">
        <v>26</v>
      </c>
      <c r="B6889" s="76" t="s">
        <v>1006</v>
      </c>
      <c r="C6889" s="84">
        <v>0.52</v>
      </c>
      <c r="D6889" s="84">
        <v>0.0</v>
      </c>
      <c r="E6889" s="84">
        <v>0.0</v>
      </c>
      <c r="F6889" s="76" t="s">
        <v>993</v>
      </c>
      <c r="G6889" s="83">
        <v>46116.0</v>
      </c>
      <c r="H6889" s="76" t="s">
        <v>1012</v>
      </c>
    </row>
    <row r="6890">
      <c r="A6890" s="76" t="s">
        <v>26</v>
      </c>
      <c r="B6890" s="76" t="s">
        <v>1006</v>
      </c>
      <c r="C6890" s="84">
        <v>0.49</v>
      </c>
      <c r="D6890" s="84">
        <v>0.0</v>
      </c>
      <c r="E6890" s="84">
        <v>0.0</v>
      </c>
      <c r="F6890" s="76" t="s">
        <v>993</v>
      </c>
      <c r="G6890" s="83">
        <v>46116.0</v>
      </c>
      <c r="H6890" s="76" t="s">
        <v>1013</v>
      </c>
    </row>
    <row r="6891">
      <c r="A6891" s="76" t="s">
        <v>26</v>
      </c>
      <c r="B6891" s="76" t="s">
        <v>1006</v>
      </c>
      <c r="C6891" s="84">
        <v>0.17</v>
      </c>
      <c r="D6891" s="84">
        <v>0.0</v>
      </c>
      <c r="E6891" s="84">
        <v>0.0</v>
      </c>
      <c r="F6891" s="76" t="s">
        <v>993</v>
      </c>
      <c r="G6891" s="83">
        <v>46116.0</v>
      </c>
      <c r="H6891" s="76" t="s">
        <v>1014</v>
      </c>
    </row>
    <row r="6892">
      <c r="A6892" s="76" t="s">
        <v>36</v>
      </c>
      <c r="B6892" s="76" t="s">
        <v>1006</v>
      </c>
      <c r="C6892" s="84">
        <v>29.61</v>
      </c>
      <c r="D6892" s="84">
        <v>1.0</v>
      </c>
      <c r="E6892" s="84">
        <v>29.61</v>
      </c>
      <c r="F6892" s="76" t="s">
        <v>1005</v>
      </c>
      <c r="G6892" s="83">
        <v>46116.0</v>
      </c>
      <c r="H6892" s="76" t="s">
        <v>926</v>
      </c>
    </row>
    <row r="6893">
      <c r="A6893" s="76" t="s">
        <v>36</v>
      </c>
      <c r="B6893" s="76" t="s">
        <v>1006</v>
      </c>
      <c r="C6893" s="84">
        <v>39.5</v>
      </c>
      <c r="D6893" s="84">
        <v>0.0</v>
      </c>
      <c r="E6893" s="84">
        <v>0.0</v>
      </c>
      <c r="F6893" s="76" t="s">
        <v>1005</v>
      </c>
      <c r="G6893" s="83">
        <v>46116.0</v>
      </c>
      <c r="H6893" s="76" t="s">
        <v>927</v>
      </c>
    </row>
    <row r="6894">
      <c r="A6894" s="76" t="s">
        <v>36</v>
      </c>
      <c r="B6894" s="76" t="s">
        <v>1006</v>
      </c>
      <c r="C6894" s="84">
        <v>13.64</v>
      </c>
      <c r="D6894" s="84">
        <v>1.0</v>
      </c>
      <c r="E6894" s="84">
        <v>13.64</v>
      </c>
      <c r="F6894" s="76" t="s">
        <v>1005</v>
      </c>
      <c r="G6894" s="83">
        <v>46116.0</v>
      </c>
      <c r="H6894" s="76" t="s">
        <v>928</v>
      </c>
    </row>
    <row r="6895">
      <c r="A6895" s="76" t="s">
        <v>31</v>
      </c>
      <c r="B6895" s="76" t="s">
        <v>1006</v>
      </c>
      <c r="C6895" s="84">
        <v>11.66</v>
      </c>
      <c r="D6895" s="84">
        <v>3.0</v>
      </c>
      <c r="E6895" s="84">
        <v>3.89</v>
      </c>
      <c r="F6895" s="76" t="s">
        <v>1005</v>
      </c>
      <c r="G6895" s="83">
        <v>46116.0</v>
      </c>
      <c r="H6895" s="76" t="s">
        <v>929</v>
      </c>
    </row>
    <row r="6896">
      <c r="A6896" s="76" t="s">
        <v>31</v>
      </c>
      <c r="B6896" s="76" t="s">
        <v>1006</v>
      </c>
      <c r="C6896" s="84">
        <v>132.63</v>
      </c>
      <c r="D6896" s="84">
        <v>27.0</v>
      </c>
      <c r="E6896" s="84">
        <v>4.91</v>
      </c>
      <c r="F6896" s="76" t="s">
        <v>1005</v>
      </c>
      <c r="G6896" s="83">
        <v>46116.0</v>
      </c>
      <c r="H6896" s="76" t="s">
        <v>930</v>
      </c>
    </row>
    <row r="6897">
      <c r="A6897" s="76" t="s">
        <v>28</v>
      </c>
      <c r="B6897" s="76" t="s">
        <v>1006</v>
      </c>
      <c r="C6897" s="84">
        <v>23.68</v>
      </c>
      <c r="D6897" s="84">
        <v>1.0</v>
      </c>
      <c r="E6897" s="84">
        <v>23.68</v>
      </c>
      <c r="F6897" s="76" t="s">
        <v>1005</v>
      </c>
      <c r="G6897" s="83">
        <v>46116.0</v>
      </c>
      <c r="H6897" s="76" t="s">
        <v>931</v>
      </c>
    </row>
    <row r="6898">
      <c r="A6898" s="76" t="s">
        <v>28</v>
      </c>
      <c r="B6898" s="76" t="s">
        <v>1006</v>
      </c>
      <c r="C6898" s="84">
        <v>4.5</v>
      </c>
      <c r="D6898" s="84">
        <v>0.0</v>
      </c>
      <c r="E6898" s="84">
        <v>0.0</v>
      </c>
      <c r="F6898" s="76" t="s">
        <v>1005</v>
      </c>
      <c r="G6898" s="83">
        <v>46116.0</v>
      </c>
      <c r="H6898" s="76" t="s">
        <v>932</v>
      </c>
    </row>
    <row r="6899">
      <c r="A6899" s="76" t="s">
        <v>28</v>
      </c>
      <c r="B6899" s="76" t="s">
        <v>1006</v>
      </c>
      <c r="C6899" s="84">
        <v>71.2</v>
      </c>
      <c r="D6899" s="84">
        <v>11.0</v>
      </c>
      <c r="E6899" s="84">
        <v>6.47</v>
      </c>
      <c r="F6899" s="76" t="s">
        <v>1005</v>
      </c>
      <c r="G6899" s="83">
        <v>46116.0</v>
      </c>
      <c r="H6899" s="76" t="s">
        <v>933</v>
      </c>
    </row>
    <row r="6900">
      <c r="A6900" s="76" t="s">
        <v>45</v>
      </c>
      <c r="B6900" s="76" t="s">
        <v>1006</v>
      </c>
      <c r="C6900" s="84">
        <v>27.65</v>
      </c>
      <c r="D6900" s="84">
        <v>0.0</v>
      </c>
      <c r="E6900" s="84">
        <v>0.0</v>
      </c>
      <c r="F6900" s="76" t="s">
        <v>1005</v>
      </c>
      <c r="G6900" s="83">
        <v>46116.0</v>
      </c>
      <c r="H6900" s="76" t="s">
        <v>936</v>
      </c>
    </row>
    <row r="6901">
      <c r="A6901" s="76" t="s">
        <v>45</v>
      </c>
      <c r="B6901" s="76" t="s">
        <v>1006</v>
      </c>
      <c r="C6901" s="84">
        <v>8.52</v>
      </c>
      <c r="D6901" s="84">
        <v>2.0</v>
      </c>
      <c r="E6901" s="84">
        <v>4.26</v>
      </c>
      <c r="F6901" s="76" t="s">
        <v>1005</v>
      </c>
      <c r="G6901" s="83">
        <v>46116.0</v>
      </c>
      <c r="H6901" s="76" t="s">
        <v>937</v>
      </c>
    </row>
    <row r="6902">
      <c r="A6902" s="76" t="s">
        <v>45</v>
      </c>
      <c r="B6902" s="76" t="s">
        <v>1006</v>
      </c>
      <c r="C6902" s="84">
        <v>29.85</v>
      </c>
      <c r="D6902" s="84">
        <v>1.0</v>
      </c>
      <c r="E6902" s="84">
        <v>29.85</v>
      </c>
      <c r="F6902" s="76" t="s">
        <v>1005</v>
      </c>
      <c r="G6902" s="83">
        <v>46116.0</v>
      </c>
      <c r="H6902" s="76" t="s">
        <v>938</v>
      </c>
    </row>
    <row r="6903">
      <c r="A6903" s="76" t="s">
        <v>32</v>
      </c>
      <c r="B6903" s="76" t="s">
        <v>1006</v>
      </c>
      <c r="C6903" s="84">
        <v>142.56</v>
      </c>
      <c r="D6903" s="84">
        <v>16.0</v>
      </c>
      <c r="E6903" s="84">
        <v>8.91</v>
      </c>
      <c r="F6903" s="76" t="s">
        <v>1005</v>
      </c>
      <c r="G6903" s="83">
        <v>46116.0</v>
      </c>
      <c r="H6903" s="76" t="s">
        <v>941</v>
      </c>
    </row>
    <row r="6904">
      <c r="A6904" s="76" t="s">
        <v>32</v>
      </c>
      <c r="B6904" s="76" t="s">
        <v>1006</v>
      </c>
      <c r="C6904" s="84">
        <v>115.91</v>
      </c>
      <c r="D6904" s="84">
        <v>11.0</v>
      </c>
      <c r="E6904" s="84">
        <v>10.54</v>
      </c>
      <c r="F6904" s="76" t="s">
        <v>1005</v>
      </c>
      <c r="G6904" s="83">
        <v>46116.0</v>
      </c>
      <c r="H6904" s="76" t="s">
        <v>942</v>
      </c>
    </row>
    <row r="6905">
      <c r="A6905" s="76" t="s">
        <v>32</v>
      </c>
      <c r="B6905" s="76" t="s">
        <v>1006</v>
      </c>
      <c r="C6905" s="84">
        <v>136.21</v>
      </c>
      <c r="D6905" s="84">
        <v>14.0</v>
      </c>
      <c r="E6905" s="84">
        <v>9.73</v>
      </c>
      <c r="F6905" s="76" t="s">
        <v>1005</v>
      </c>
      <c r="G6905" s="83">
        <v>46116.0</v>
      </c>
      <c r="H6905" s="76" t="s">
        <v>943</v>
      </c>
    </row>
    <row r="6906">
      <c r="A6906" s="76" t="s">
        <v>944</v>
      </c>
      <c r="B6906" s="76" t="s">
        <v>1006</v>
      </c>
      <c r="C6906" s="84">
        <v>14.89</v>
      </c>
      <c r="D6906" s="84">
        <v>1.0</v>
      </c>
      <c r="E6906" s="84">
        <v>14.89</v>
      </c>
      <c r="F6906" s="76" t="s">
        <v>1005</v>
      </c>
      <c r="G6906" s="83">
        <v>46116.0</v>
      </c>
      <c r="H6906" s="76" t="s">
        <v>945</v>
      </c>
    </row>
    <row r="6907">
      <c r="A6907" s="76" t="s">
        <v>944</v>
      </c>
      <c r="B6907" s="76" t="s">
        <v>1006</v>
      </c>
      <c r="C6907" s="84">
        <v>13.23</v>
      </c>
      <c r="D6907" s="84">
        <v>0.0</v>
      </c>
      <c r="E6907" s="84">
        <v>0.0</v>
      </c>
      <c r="F6907" s="76" t="s">
        <v>1005</v>
      </c>
      <c r="G6907" s="83">
        <v>46116.0</v>
      </c>
      <c r="H6907" s="76" t="s">
        <v>946</v>
      </c>
    </row>
    <row r="6908">
      <c r="A6908" s="76" t="s">
        <v>944</v>
      </c>
      <c r="B6908" s="76" t="s">
        <v>1006</v>
      </c>
      <c r="C6908" s="84">
        <v>7.32</v>
      </c>
      <c r="D6908" s="84">
        <v>0.0</v>
      </c>
      <c r="E6908" s="84">
        <v>0.0</v>
      </c>
      <c r="F6908" s="76" t="s">
        <v>1005</v>
      </c>
      <c r="G6908" s="83">
        <v>46116.0</v>
      </c>
      <c r="H6908" s="76" t="s">
        <v>947</v>
      </c>
    </row>
    <row r="6909">
      <c r="A6909" s="76" t="s">
        <v>26</v>
      </c>
      <c r="B6909" s="76" t="s">
        <v>1006</v>
      </c>
      <c r="C6909" s="84">
        <v>13.72</v>
      </c>
      <c r="D6909" s="84">
        <v>0.0</v>
      </c>
      <c r="E6909" s="84">
        <v>0.0</v>
      </c>
      <c r="F6909" s="76" t="s">
        <v>1005</v>
      </c>
      <c r="G6909" s="83">
        <v>46116.0</v>
      </c>
      <c r="H6909" s="76" t="s">
        <v>1012</v>
      </c>
    </row>
    <row r="6910">
      <c r="A6910" s="76" t="s">
        <v>26</v>
      </c>
      <c r="B6910" s="76" t="s">
        <v>1006</v>
      </c>
      <c r="C6910" s="84">
        <v>11.76</v>
      </c>
      <c r="D6910" s="84">
        <v>1.0</v>
      </c>
      <c r="E6910" s="84">
        <v>11.76</v>
      </c>
      <c r="F6910" s="76" t="s">
        <v>1005</v>
      </c>
      <c r="G6910" s="83">
        <v>46116.0</v>
      </c>
      <c r="H6910" s="76" t="s">
        <v>1013</v>
      </c>
    </row>
    <row r="6911">
      <c r="A6911" s="76" t="s">
        <v>26</v>
      </c>
      <c r="B6911" s="76" t="s">
        <v>1006</v>
      </c>
      <c r="C6911" s="84">
        <v>8.53</v>
      </c>
      <c r="D6911" s="84">
        <v>4.0</v>
      </c>
      <c r="E6911" s="84">
        <v>2.13</v>
      </c>
      <c r="F6911" s="76" t="s">
        <v>1005</v>
      </c>
      <c r="G6911" s="83">
        <v>46116.0</v>
      </c>
      <c r="H6911" s="76" t="s">
        <v>1014</v>
      </c>
    </row>
    <row r="6912">
      <c r="A6912" s="76" t="s">
        <v>36</v>
      </c>
      <c r="B6912" s="76" t="s">
        <v>1006</v>
      </c>
      <c r="C6912" s="84">
        <v>0.19</v>
      </c>
      <c r="D6912" s="84">
        <v>0.0</v>
      </c>
      <c r="E6912" s="84">
        <v>0.0</v>
      </c>
      <c r="F6912" s="76" t="s">
        <v>996</v>
      </c>
      <c r="G6912" s="83">
        <v>46116.0</v>
      </c>
      <c r="H6912" s="76" t="s">
        <v>926</v>
      </c>
    </row>
    <row r="6913">
      <c r="A6913" s="76" t="s">
        <v>36</v>
      </c>
      <c r="B6913" s="76" t="s">
        <v>1006</v>
      </c>
      <c r="C6913" s="84">
        <v>0.39</v>
      </c>
      <c r="D6913" s="84">
        <v>0.0</v>
      </c>
      <c r="E6913" s="84">
        <v>0.0</v>
      </c>
      <c r="F6913" s="76" t="s">
        <v>996</v>
      </c>
      <c r="G6913" s="83">
        <v>46116.0</v>
      </c>
      <c r="H6913" s="76" t="s">
        <v>927</v>
      </c>
    </row>
    <row r="6914">
      <c r="A6914" s="76" t="s">
        <v>36</v>
      </c>
      <c r="B6914" s="76" t="s">
        <v>1006</v>
      </c>
      <c r="C6914" s="84">
        <v>0.06</v>
      </c>
      <c r="D6914" s="84">
        <v>0.0</v>
      </c>
      <c r="E6914" s="84">
        <v>0.0</v>
      </c>
      <c r="F6914" s="76" t="s">
        <v>996</v>
      </c>
      <c r="G6914" s="83">
        <v>46116.0</v>
      </c>
      <c r="H6914" s="76" t="s">
        <v>928</v>
      </c>
    </row>
    <row r="6915">
      <c r="A6915" s="76" t="s">
        <v>31</v>
      </c>
      <c r="B6915" s="76" t="s">
        <v>1006</v>
      </c>
      <c r="C6915" s="84">
        <v>0.22</v>
      </c>
      <c r="D6915" s="84">
        <v>0.0</v>
      </c>
      <c r="E6915" s="84">
        <v>0.0</v>
      </c>
      <c r="F6915" s="76" t="s">
        <v>996</v>
      </c>
      <c r="G6915" s="83">
        <v>46116.0</v>
      </c>
      <c r="H6915" s="76" t="s">
        <v>929</v>
      </c>
    </row>
    <row r="6916">
      <c r="A6916" s="76" t="s">
        <v>31</v>
      </c>
      <c r="B6916" s="76" t="s">
        <v>1006</v>
      </c>
      <c r="C6916" s="84">
        <v>2.67</v>
      </c>
      <c r="D6916" s="84">
        <v>0.0</v>
      </c>
      <c r="E6916" s="84">
        <v>0.0</v>
      </c>
      <c r="F6916" s="76" t="s">
        <v>996</v>
      </c>
      <c r="G6916" s="83">
        <v>46116.0</v>
      </c>
      <c r="H6916" s="76" t="s">
        <v>930</v>
      </c>
    </row>
    <row r="6917">
      <c r="A6917" s="76" t="s">
        <v>28</v>
      </c>
      <c r="B6917" s="76" t="s">
        <v>1006</v>
      </c>
      <c r="C6917" s="84">
        <v>0.27</v>
      </c>
      <c r="D6917" s="84">
        <v>0.0</v>
      </c>
      <c r="E6917" s="84">
        <v>0.0</v>
      </c>
      <c r="F6917" s="76" t="s">
        <v>996</v>
      </c>
      <c r="G6917" s="83">
        <v>46116.0</v>
      </c>
      <c r="H6917" s="76" t="s">
        <v>931</v>
      </c>
    </row>
    <row r="6918">
      <c r="A6918" s="76" t="s">
        <v>28</v>
      </c>
      <c r="B6918" s="76" t="s">
        <v>1006</v>
      </c>
      <c r="C6918" s="84">
        <v>0.06</v>
      </c>
      <c r="D6918" s="84">
        <v>0.0</v>
      </c>
      <c r="E6918" s="84">
        <v>0.0</v>
      </c>
      <c r="F6918" s="76" t="s">
        <v>996</v>
      </c>
      <c r="G6918" s="83">
        <v>46116.0</v>
      </c>
      <c r="H6918" s="76" t="s">
        <v>932</v>
      </c>
    </row>
    <row r="6919">
      <c r="A6919" s="76" t="s">
        <v>28</v>
      </c>
      <c r="B6919" s="76" t="s">
        <v>1006</v>
      </c>
      <c r="C6919" s="84">
        <v>0.32</v>
      </c>
      <c r="D6919" s="84">
        <v>0.0</v>
      </c>
      <c r="E6919" s="84">
        <v>0.0</v>
      </c>
      <c r="F6919" s="76" t="s">
        <v>996</v>
      </c>
      <c r="G6919" s="83">
        <v>46116.0</v>
      </c>
      <c r="H6919" s="76" t="s">
        <v>933</v>
      </c>
    </row>
    <row r="6920">
      <c r="A6920" s="76" t="s">
        <v>45</v>
      </c>
      <c r="B6920" s="76" t="s">
        <v>1006</v>
      </c>
      <c r="C6920" s="84">
        <v>0.4</v>
      </c>
      <c r="D6920" s="84">
        <v>0.0</v>
      </c>
      <c r="E6920" s="84">
        <v>0.0</v>
      </c>
      <c r="F6920" s="76" t="s">
        <v>996</v>
      </c>
      <c r="G6920" s="83">
        <v>46116.0</v>
      </c>
      <c r="H6920" s="76" t="s">
        <v>936</v>
      </c>
    </row>
    <row r="6921">
      <c r="A6921" s="76" t="s">
        <v>45</v>
      </c>
      <c r="B6921" s="76" t="s">
        <v>1006</v>
      </c>
      <c r="C6921" s="84">
        <v>0.06</v>
      </c>
      <c r="D6921" s="84">
        <v>0.0</v>
      </c>
      <c r="E6921" s="84">
        <v>0.0</v>
      </c>
      <c r="F6921" s="76" t="s">
        <v>996</v>
      </c>
      <c r="G6921" s="83">
        <v>46116.0</v>
      </c>
      <c r="H6921" s="76" t="s">
        <v>937</v>
      </c>
    </row>
    <row r="6922">
      <c r="A6922" s="76" t="s">
        <v>45</v>
      </c>
      <c r="B6922" s="76" t="s">
        <v>1006</v>
      </c>
      <c r="C6922" s="84">
        <v>0.1</v>
      </c>
      <c r="D6922" s="84">
        <v>0.0</v>
      </c>
      <c r="E6922" s="84">
        <v>0.0</v>
      </c>
      <c r="F6922" s="76" t="s">
        <v>996</v>
      </c>
      <c r="G6922" s="83">
        <v>46116.0</v>
      </c>
      <c r="H6922" s="76" t="s">
        <v>938</v>
      </c>
    </row>
    <row r="6923">
      <c r="A6923" s="76" t="s">
        <v>32</v>
      </c>
      <c r="B6923" s="76" t="s">
        <v>1006</v>
      </c>
      <c r="C6923" s="84">
        <v>0.35</v>
      </c>
      <c r="D6923" s="84">
        <v>0.0</v>
      </c>
      <c r="E6923" s="84">
        <v>0.0</v>
      </c>
      <c r="F6923" s="76" t="s">
        <v>996</v>
      </c>
      <c r="G6923" s="83">
        <v>46116.0</v>
      </c>
      <c r="H6923" s="76" t="s">
        <v>941</v>
      </c>
    </row>
    <row r="6924">
      <c r="A6924" s="76" t="s">
        <v>32</v>
      </c>
      <c r="B6924" s="76" t="s">
        <v>1006</v>
      </c>
      <c r="C6924" s="84">
        <v>0.22</v>
      </c>
      <c r="D6924" s="84">
        <v>0.0</v>
      </c>
      <c r="E6924" s="84">
        <v>0.0</v>
      </c>
      <c r="F6924" s="76" t="s">
        <v>996</v>
      </c>
      <c r="G6924" s="83">
        <v>46116.0</v>
      </c>
      <c r="H6924" s="76" t="s">
        <v>942</v>
      </c>
    </row>
    <row r="6925">
      <c r="A6925" s="76" t="s">
        <v>32</v>
      </c>
      <c r="B6925" s="76" t="s">
        <v>1006</v>
      </c>
      <c r="C6925" s="84">
        <v>0.19</v>
      </c>
      <c r="D6925" s="84">
        <v>0.0</v>
      </c>
      <c r="E6925" s="84">
        <v>0.0</v>
      </c>
      <c r="F6925" s="76" t="s">
        <v>996</v>
      </c>
      <c r="G6925" s="83">
        <v>46116.0</v>
      </c>
      <c r="H6925" s="76" t="s">
        <v>943</v>
      </c>
    </row>
    <row r="6926">
      <c r="A6926" s="76" t="s">
        <v>944</v>
      </c>
      <c r="B6926" s="76" t="s">
        <v>1006</v>
      </c>
      <c r="C6926" s="84">
        <v>0.21</v>
      </c>
      <c r="D6926" s="84">
        <v>0.0</v>
      </c>
      <c r="E6926" s="84">
        <v>0.0</v>
      </c>
      <c r="F6926" s="76" t="s">
        <v>996</v>
      </c>
      <c r="G6926" s="83">
        <v>46116.0</v>
      </c>
      <c r="H6926" s="76" t="s">
        <v>945</v>
      </c>
    </row>
    <row r="6927">
      <c r="A6927" s="76" t="s">
        <v>944</v>
      </c>
      <c r="B6927" s="76" t="s">
        <v>1006</v>
      </c>
      <c r="C6927" s="84">
        <v>0.27</v>
      </c>
      <c r="D6927" s="84">
        <v>0.0</v>
      </c>
      <c r="E6927" s="84">
        <v>0.0</v>
      </c>
      <c r="F6927" s="76" t="s">
        <v>996</v>
      </c>
      <c r="G6927" s="83">
        <v>46116.0</v>
      </c>
      <c r="H6927" s="76" t="s">
        <v>946</v>
      </c>
    </row>
    <row r="6928">
      <c r="A6928" s="76" t="s">
        <v>944</v>
      </c>
      <c r="B6928" s="76" t="s">
        <v>1006</v>
      </c>
      <c r="C6928" s="84">
        <v>0.09</v>
      </c>
      <c r="D6928" s="84">
        <v>0.0</v>
      </c>
      <c r="E6928" s="84">
        <v>0.0</v>
      </c>
      <c r="F6928" s="76" t="s">
        <v>996</v>
      </c>
      <c r="G6928" s="83">
        <v>46116.0</v>
      </c>
      <c r="H6928" s="76" t="s">
        <v>947</v>
      </c>
    </row>
    <row r="6929">
      <c r="A6929" s="76" t="s">
        <v>26</v>
      </c>
      <c r="B6929" s="76" t="s">
        <v>1006</v>
      </c>
      <c r="C6929" s="84">
        <v>0.24</v>
      </c>
      <c r="D6929" s="84">
        <v>0.0</v>
      </c>
      <c r="E6929" s="84">
        <v>0.0</v>
      </c>
      <c r="F6929" s="76" t="s">
        <v>996</v>
      </c>
      <c r="G6929" s="83">
        <v>46116.0</v>
      </c>
      <c r="H6929" s="76" t="s">
        <v>1012</v>
      </c>
    </row>
    <row r="6930">
      <c r="A6930" s="76" t="s">
        <v>26</v>
      </c>
      <c r="B6930" s="76" t="s">
        <v>1006</v>
      </c>
      <c r="C6930" s="84">
        <v>0.13</v>
      </c>
      <c r="D6930" s="84">
        <v>0.0</v>
      </c>
      <c r="E6930" s="84">
        <v>0.0</v>
      </c>
      <c r="F6930" s="76" t="s">
        <v>996</v>
      </c>
      <c r="G6930" s="83">
        <v>46116.0</v>
      </c>
      <c r="H6930" s="76" t="s">
        <v>1013</v>
      </c>
    </row>
    <row r="6931">
      <c r="A6931" s="76" t="s">
        <v>26</v>
      </c>
      <c r="B6931" s="76" t="s">
        <v>1006</v>
      </c>
      <c r="C6931" s="84">
        <v>0.07</v>
      </c>
      <c r="D6931" s="84">
        <v>0.0</v>
      </c>
      <c r="E6931" s="84">
        <v>0.0</v>
      </c>
      <c r="F6931" s="76" t="s">
        <v>996</v>
      </c>
      <c r="G6931" s="83">
        <v>46116.0</v>
      </c>
      <c r="H6931" s="76" t="s">
        <v>1014</v>
      </c>
    </row>
    <row r="6932">
      <c r="A6932" s="76" t="s">
        <v>36</v>
      </c>
      <c r="B6932" s="76" t="s">
        <v>1006</v>
      </c>
      <c r="C6932" s="84">
        <v>0.22</v>
      </c>
      <c r="D6932" s="84">
        <v>0.0</v>
      </c>
      <c r="E6932" s="84">
        <v>0.0</v>
      </c>
      <c r="F6932" s="76" t="s">
        <v>997</v>
      </c>
      <c r="G6932" s="83">
        <v>46116.0</v>
      </c>
      <c r="H6932" s="76" t="s">
        <v>926</v>
      </c>
    </row>
    <row r="6933">
      <c r="A6933" s="76" t="s">
        <v>36</v>
      </c>
      <c r="B6933" s="76" t="s">
        <v>1006</v>
      </c>
      <c r="C6933" s="84">
        <v>0.78</v>
      </c>
      <c r="D6933" s="84">
        <v>0.0</v>
      </c>
      <c r="E6933" s="84">
        <v>0.0</v>
      </c>
      <c r="F6933" s="76" t="s">
        <v>997</v>
      </c>
      <c r="G6933" s="83">
        <v>46116.0</v>
      </c>
      <c r="H6933" s="76" t="s">
        <v>927</v>
      </c>
    </row>
    <row r="6934">
      <c r="A6934" s="76" t="s">
        <v>36</v>
      </c>
      <c r="B6934" s="76" t="s">
        <v>1006</v>
      </c>
      <c r="C6934" s="84">
        <v>0.13</v>
      </c>
      <c r="D6934" s="84">
        <v>0.0</v>
      </c>
      <c r="E6934" s="84">
        <v>0.0</v>
      </c>
      <c r="F6934" s="76" t="s">
        <v>997</v>
      </c>
      <c r="G6934" s="83">
        <v>46116.0</v>
      </c>
      <c r="H6934" s="76" t="s">
        <v>928</v>
      </c>
    </row>
    <row r="6935">
      <c r="A6935" s="76" t="s">
        <v>31</v>
      </c>
      <c r="B6935" s="76" t="s">
        <v>1006</v>
      </c>
      <c r="C6935" s="84">
        <v>0.23</v>
      </c>
      <c r="D6935" s="84">
        <v>0.0</v>
      </c>
      <c r="E6935" s="84">
        <v>0.0</v>
      </c>
      <c r="F6935" s="76" t="s">
        <v>997</v>
      </c>
      <c r="G6935" s="83">
        <v>46116.0</v>
      </c>
      <c r="H6935" s="76" t="s">
        <v>929</v>
      </c>
    </row>
    <row r="6936">
      <c r="A6936" s="76" t="s">
        <v>31</v>
      </c>
      <c r="B6936" s="76" t="s">
        <v>1006</v>
      </c>
      <c r="C6936" s="84">
        <v>1.01</v>
      </c>
      <c r="D6936" s="84">
        <v>0.0</v>
      </c>
      <c r="E6936" s="84">
        <v>0.0</v>
      </c>
      <c r="F6936" s="76" t="s">
        <v>997</v>
      </c>
      <c r="G6936" s="83">
        <v>46116.0</v>
      </c>
      <c r="H6936" s="76" t="s">
        <v>930</v>
      </c>
    </row>
    <row r="6937">
      <c r="A6937" s="76" t="s">
        <v>28</v>
      </c>
      <c r="B6937" s="76" t="s">
        <v>1006</v>
      </c>
      <c r="C6937" s="84">
        <v>0.36</v>
      </c>
      <c r="D6937" s="84">
        <v>0.0</v>
      </c>
      <c r="E6937" s="84">
        <v>0.0</v>
      </c>
      <c r="F6937" s="76" t="s">
        <v>997</v>
      </c>
      <c r="G6937" s="83">
        <v>46116.0</v>
      </c>
      <c r="H6937" s="76" t="s">
        <v>931</v>
      </c>
    </row>
    <row r="6938">
      <c r="A6938" s="76" t="s">
        <v>28</v>
      </c>
      <c r="B6938" s="76" t="s">
        <v>1006</v>
      </c>
      <c r="C6938" s="84">
        <v>0.1</v>
      </c>
      <c r="D6938" s="84">
        <v>0.0</v>
      </c>
      <c r="E6938" s="84">
        <v>0.0</v>
      </c>
      <c r="F6938" s="76" t="s">
        <v>997</v>
      </c>
      <c r="G6938" s="83">
        <v>46116.0</v>
      </c>
      <c r="H6938" s="76" t="s">
        <v>932</v>
      </c>
    </row>
    <row r="6939">
      <c r="A6939" s="76" t="s">
        <v>28</v>
      </c>
      <c r="B6939" s="76" t="s">
        <v>1006</v>
      </c>
      <c r="C6939" s="84">
        <v>0.51</v>
      </c>
      <c r="D6939" s="84">
        <v>0.0</v>
      </c>
      <c r="E6939" s="84">
        <v>0.0</v>
      </c>
      <c r="F6939" s="76" t="s">
        <v>997</v>
      </c>
      <c r="G6939" s="83">
        <v>46116.0</v>
      </c>
      <c r="H6939" s="76" t="s">
        <v>933</v>
      </c>
    </row>
    <row r="6940">
      <c r="A6940" s="76" t="s">
        <v>45</v>
      </c>
      <c r="B6940" s="76" t="s">
        <v>1006</v>
      </c>
      <c r="C6940" s="84">
        <v>0.68</v>
      </c>
      <c r="D6940" s="84">
        <v>0.0</v>
      </c>
      <c r="E6940" s="84">
        <v>0.0</v>
      </c>
      <c r="F6940" s="76" t="s">
        <v>997</v>
      </c>
      <c r="G6940" s="83">
        <v>46116.0</v>
      </c>
      <c r="H6940" s="76" t="s">
        <v>936</v>
      </c>
    </row>
    <row r="6941">
      <c r="A6941" s="76" t="s">
        <v>45</v>
      </c>
      <c r="B6941" s="76" t="s">
        <v>1006</v>
      </c>
      <c r="C6941" s="84">
        <v>0.16</v>
      </c>
      <c r="D6941" s="84">
        <v>0.0</v>
      </c>
      <c r="E6941" s="84">
        <v>0.0</v>
      </c>
      <c r="F6941" s="76" t="s">
        <v>997</v>
      </c>
      <c r="G6941" s="83">
        <v>46116.0</v>
      </c>
      <c r="H6941" s="76" t="s">
        <v>937</v>
      </c>
    </row>
    <row r="6942">
      <c r="A6942" s="76" t="s">
        <v>45</v>
      </c>
      <c r="B6942" s="76" t="s">
        <v>1006</v>
      </c>
      <c r="C6942" s="84">
        <v>0.31</v>
      </c>
      <c r="D6942" s="84">
        <v>0.0</v>
      </c>
      <c r="E6942" s="84">
        <v>0.0</v>
      </c>
      <c r="F6942" s="76" t="s">
        <v>997</v>
      </c>
      <c r="G6942" s="83">
        <v>46116.0</v>
      </c>
      <c r="H6942" s="76" t="s">
        <v>938</v>
      </c>
    </row>
    <row r="6943">
      <c r="A6943" s="76" t="s">
        <v>32</v>
      </c>
      <c r="B6943" s="76" t="s">
        <v>1006</v>
      </c>
      <c r="C6943" s="84">
        <v>0.7</v>
      </c>
      <c r="D6943" s="84">
        <v>0.0</v>
      </c>
      <c r="E6943" s="84">
        <v>0.0</v>
      </c>
      <c r="F6943" s="76" t="s">
        <v>997</v>
      </c>
      <c r="G6943" s="83">
        <v>46116.0</v>
      </c>
      <c r="H6943" s="76" t="s">
        <v>941</v>
      </c>
    </row>
    <row r="6944">
      <c r="A6944" s="76" t="s">
        <v>32</v>
      </c>
      <c r="B6944" s="76" t="s">
        <v>1006</v>
      </c>
      <c r="C6944" s="84">
        <v>1.64</v>
      </c>
      <c r="D6944" s="84">
        <v>0.0</v>
      </c>
      <c r="E6944" s="84">
        <v>0.0</v>
      </c>
      <c r="F6944" s="76" t="s">
        <v>997</v>
      </c>
      <c r="G6944" s="83">
        <v>46116.0</v>
      </c>
      <c r="H6944" s="76" t="s">
        <v>942</v>
      </c>
    </row>
    <row r="6945">
      <c r="A6945" s="76" t="s">
        <v>32</v>
      </c>
      <c r="B6945" s="76" t="s">
        <v>1006</v>
      </c>
      <c r="C6945" s="84">
        <v>0.58</v>
      </c>
      <c r="D6945" s="84">
        <v>0.0</v>
      </c>
      <c r="E6945" s="84">
        <v>0.0</v>
      </c>
      <c r="F6945" s="76" t="s">
        <v>997</v>
      </c>
      <c r="G6945" s="83">
        <v>46116.0</v>
      </c>
      <c r="H6945" s="76" t="s">
        <v>943</v>
      </c>
    </row>
    <row r="6946">
      <c r="A6946" s="76" t="s">
        <v>944</v>
      </c>
      <c r="B6946" s="76" t="s">
        <v>1006</v>
      </c>
      <c r="C6946" s="84">
        <v>0.22</v>
      </c>
      <c r="D6946" s="84">
        <v>1.0</v>
      </c>
      <c r="E6946" s="84">
        <v>0.22</v>
      </c>
      <c r="F6946" s="76" t="s">
        <v>997</v>
      </c>
      <c r="G6946" s="83">
        <v>46116.0</v>
      </c>
      <c r="H6946" s="76" t="s">
        <v>945</v>
      </c>
    </row>
    <row r="6947">
      <c r="A6947" s="76" t="s">
        <v>944</v>
      </c>
      <c r="B6947" s="76" t="s">
        <v>1006</v>
      </c>
      <c r="C6947" s="84">
        <v>0.89</v>
      </c>
      <c r="D6947" s="84">
        <v>0.0</v>
      </c>
      <c r="E6947" s="84">
        <v>0.0</v>
      </c>
      <c r="F6947" s="76" t="s">
        <v>997</v>
      </c>
      <c r="G6947" s="83">
        <v>46116.0</v>
      </c>
      <c r="H6947" s="76" t="s">
        <v>946</v>
      </c>
    </row>
    <row r="6948">
      <c r="A6948" s="76" t="s">
        <v>944</v>
      </c>
      <c r="B6948" s="76" t="s">
        <v>1006</v>
      </c>
      <c r="C6948" s="84">
        <v>0.19</v>
      </c>
      <c r="D6948" s="84">
        <v>0.0</v>
      </c>
      <c r="E6948" s="84">
        <v>0.0</v>
      </c>
      <c r="F6948" s="76" t="s">
        <v>997</v>
      </c>
      <c r="G6948" s="83">
        <v>46116.0</v>
      </c>
      <c r="H6948" s="76" t="s">
        <v>947</v>
      </c>
    </row>
    <row r="6949">
      <c r="A6949" s="76" t="s">
        <v>26</v>
      </c>
      <c r="B6949" s="76" t="s">
        <v>1006</v>
      </c>
      <c r="C6949" s="84">
        <v>0.66</v>
      </c>
      <c r="D6949" s="84">
        <v>0.0</v>
      </c>
      <c r="E6949" s="84">
        <v>0.0</v>
      </c>
      <c r="F6949" s="76" t="s">
        <v>997</v>
      </c>
      <c r="G6949" s="83">
        <v>46116.0</v>
      </c>
      <c r="H6949" s="76" t="s">
        <v>1012</v>
      </c>
    </row>
    <row r="6950">
      <c r="A6950" s="76" t="s">
        <v>26</v>
      </c>
      <c r="B6950" s="76" t="s">
        <v>1006</v>
      </c>
      <c r="C6950" s="84">
        <v>0.31</v>
      </c>
      <c r="D6950" s="84">
        <v>0.0</v>
      </c>
      <c r="E6950" s="84">
        <v>0.0</v>
      </c>
      <c r="F6950" s="76" t="s">
        <v>997</v>
      </c>
      <c r="G6950" s="83">
        <v>46116.0</v>
      </c>
      <c r="H6950" s="76" t="s">
        <v>1013</v>
      </c>
    </row>
    <row r="6951">
      <c r="A6951" s="76" t="s">
        <v>26</v>
      </c>
      <c r="B6951" s="76" t="s">
        <v>1006</v>
      </c>
      <c r="C6951" s="84">
        <v>0.26</v>
      </c>
      <c r="D6951" s="84">
        <v>0.0</v>
      </c>
      <c r="E6951" s="84">
        <v>0.0</v>
      </c>
      <c r="F6951" s="76" t="s">
        <v>997</v>
      </c>
      <c r="G6951" s="83">
        <v>46116.0</v>
      </c>
      <c r="H6951" s="76" t="s">
        <v>1014</v>
      </c>
    </row>
    <row r="6952">
      <c r="A6952" s="76" t="s">
        <v>36</v>
      </c>
      <c r="B6952" s="76" t="s">
        <v>1006</v>
      </c>
      <c r="C6952" s="84">
        <v>5.95</v>
      </c>
      <c r="D6952" s="84">
        <v>2.0</v>
      </c>
      <c r="E6952" s="84">
        <v>2.97</v>
      </c>
      <c r="F6952" s="76" t="s">
        <v>998</v>
      </c>
      <c r="G6952" s="83">
        <v>46116.0</v>
      </c>
      <c r="H6952" s="76" t="s">
        <v>926</v>
      </c>
    </row>
    <row r="6953">
      <c r="A6953" s="76" t="s">
        <v>36</v>
      </c>
      <c r="B6953" s="76" t="s">
        <v>1006</v>
      </c>
      <c r="C6953" s="84">
        <v>6.15</v>
      </c>
      <c r="D6953" s="84">
        <v>1.0</v>
      </c>
      <c r="E6953" s="84">
        <v>6.15</v>
      </c>
      <c r="F6953" s="76" t="s">
        <v>998</v>
      </c>
      <c r="G6953" s="83">
        <v>46116.0</v>
      </c>
      <c r="H6953" s="76" t="s">
        <v>927</v>
      </c>
    </row>
    <row r="6954">
      <c r="A6954" s="76" t="s">
        <v>36</v>
      </c>
      <c r="B6954" s="76" t="s">
        <v>1006</v>
      </c>
      <c r="C6954" s="84">
        <v>2.28</v>
      </c>
      <c r="D6954" s="84">
        <v>2.0</v>
      </c>
      <c r="E6954" s="84">
        <v>1.14</v>
      </c>
      <c r="F6954" s="76" t="s">
        <v>998</v>
      </c>
      <c r="G6954" s="83">
        <v>46116.0</v>
      </c>
      <c r="H6954" s="76" t="s">
        <v>928</v>
      </c>
    </row>
    <row r="6955">
      <c r="A6955" s="76" t="s">
        <v>31</v>
      </c>
      <c r="B6955" s="76" t="s">
        <v>1006</v>
      </c>
      <c r="C6955" s="84">
        <v>4.26</v>
      </c>
      <c r="D6955" s="84">
        <v>0.0</v>
      </c>
      <c r="E6955" s="84">
        <v>0.0</v>
      </c>
      <c r="F6955" s="76" t="s">
        <v>998</v>
      </c>
      <c r="G6955" s="83">
        <v>46116.0</v>
      </c>
      <c r="H6955" s="76" t="s">
        <v>929</v>
      </c>
    </row>
    <row r="6956">
      <c r="A6956" s="76" t="s">
        <v>31</v>
      </c>
      <c r="B6956" s="76" t="s">
        <v>1006</v>
      </c>
      <c r="C6956" s="84">
        <v>39.22</v>
      </c>
      <c r="D6956" s="84">
        <v>10.0</v>
      </c>
      <c r="E6956" s="84">
        <v>3.92</v>
      </c>
      <c r="F6956" s="76" t="s">
        <v>998</v>
      </c>
      <c r="G6956" s="83">
        <v>46116.0</v>
      </c>
      <c r="H6956" s="76" t="s">
        <v>930</v>
      </c>
    </row>
    <row r="6957">
      <c r="A6957" s="76" t="s">
        <v>28</v>
      </c>
      <c r="B6957" s="76" t="s">
        <v>1006</v>
      </c>
      <c r="C6957" s="84">
        <v>5.2</v>
      </c>
      <c r="D6957" s="84">
        <v>0.0</v>
      </c>
      <c r="E6957" s="84">
        <v>0.0</v>
      </c>
      <c r="F6957" s="76" t="s">
        <v>998</v>
      </c>
      <c r="G6957" s="83">
        <v>46116.0</v>
      </c>
      <c r="H6957" s="76" t="s">
        <v>931</v>
      </c>
    </row>
    <row r="6958">
      <c r="A6958" s="76" t="s">
        <v>28</v>
      </c>
      <c r="B6958" s="76" t="s">
        <v>1006</v>
      </c>
      <c r="C6958" s="84">
        <v>1.73</v>
      </c>
      <c r="D6958" s="84">
        <v>1.0</v>
      </c>
      <c r="E6958" s="84">
        <v>1.73</v>
      </c>
      <c r="F6958" s="76" t="s">
        <v>998</v>
      </c>
      <c r="G6958" s="83">
        <v>46116.0</v>
      </c>
      <c r="H6958" s="76" t="s">
        <v>932</v>
      </c>
    </row>
    <row r="6959">
      <c r="A6959" s="76" t="s">
        <v>28</v>
      </c>
      <c r="B6959" s="76" t="s">
        <v>1006</v>
      </c>
      <c r="C6959" s="84">
        <v>13.48</v>
      </c>
      <c r="D6959" s="84">
        <v>4.0</v>
      </c>
      <c r="E6959" s="84">
        <v>3.37</v>
      </c>
      <c r="F6959" s="76" t="s">
        <v>998</v>
      </c>
      <c r="G6959" s="83">
        <v>46116.0</v>
      </c>
      <c r="H6959" s="76" t="s">
        <v>933</v>
      </c>
    </row>
    <row r="6960">
      <c r="A6960" s="76" t="s">
        <v>45</v>
      </c>
      <c r="B6960" s="76" t="s">
        <v>1006</v>
      </c>
      <c r="C6960" s="84">
        <v>7.96</v>
      </c>
      <c r="D6960" s="84">
        <v>1.0</v>
      </c>
      <c r="E6960" s="84">
        <v>7.96</v>
      </c>
      <c r="F6960" s="76" t="s">
        <v>998</v>
      </c>
      <c r="G6960" s="83">
        <v>46116.0</v>
      </c>
      <c r="H6960" s="76" t="s">
        <v>936</v>
      </c>
    </row>
    <row r="6961">
      <c r="A6961" s="76" t="s">
        <v>45</v>
      </c>
      <c r="B6961" s="76" t="s">
        <v>1006</v>
      </c>
      <c r="C6961" s="84">
        <v>2.58</v>
      </c>
      <c r="D6961" s="84">
        <v>0.0</v>
      </c>
      <c r="E6961" s="84">
        <v>0.0</v>
      </c>
      <c r="F6961" s="76" t="s">
        <v>998</v>
      </c>
      <c r="G6961" s="83">
        <v>46116.0</v>
      </c>
      <c r="H6961" s="76" t="s">
        <v>937</v>
      </c>
    </row>
    <row r="6962">
      <c r="A6962" s="76" t="s">
        <v>45</v>
      </c>
      <c r="B6962" s="76" t="s">
        <v>1006</v>
      </c>
      <c r="C6962" s="84">
        <v>1.92</v>
      </c>
      <c r="D6962" s="84">
        <v>0.0</v>
      </c>
      <c r="E6962" s="84">
        <v>0.0</v>
      </c>
      <c r="F6962" s="76" t="s">
        <v>998</v>
      </c>
      <c r="G6962" s="83">
        <v>46116.0</v>
      </c>
      <c r="H6962" s="76" t="s">
        <v>938</v>
      </c>
    </row>
    <row r="6963">
      <c r="A6963" s="76" t="s">
        <v>32</v>
      </c>
      <c r="B6963" s="76" t="s">
        <v>1006</v>
      </c>
      <c r="C6963" s="84">
        <v>17.94</v>
      </c>
      <c r="D6963" s="84">
        <v>5.0</v>
      </c>
      <c r="E6963" s="84">
        <v>3.59</v>
      </c>
      <c r="F6963" s="76" t="s">
        <v>998</v>
      </c>
      <c r="G6963" s="83">
        <v>46116.0</v>
      </c>
      <c r="H6963" s="76" t="s">
        <v>941</v>
      </c>
    </row>
    <row r="6964">
      <c r="A6964" s="76" t="s">
        <v>32</v>
      </c>
      <c r="B6964" s="76" t="s">
        <v>1006</v>
      </c>
      <c r="C6964" s="84">
        <v>8.39</v>
      </c>
      <c r="D6964" s="84">
        <v>0.0</v>
      </c>
      <c r="E6964" s="84">
        <v>0.0</v>
      </c>
      <c r="F6964" s="76" t="s">
        <v>998</v>
      </c>
      <c r="G6964" s="83">
        <v>46116.0</v>
      </c>
      <c r="H6964" s="76" t="s">
        <v>942</v>
      </c>
    </row>
    <row r="6965">
      <c r="A6965" s="76" t="s">
        <v>32</v>
      </c>
      <c r="B6965" s="76" t="s">
        <v>1006</v>
      </c>
      <c r="C6965" s="84">
        <v>10.13</v>
      </c>
      <c r="D6965" s="84">
        <v>3.0</v>
      </c>
      <c r="E6965" s="84">
        <v>3.38</v>
      </c>
      <c r="F6965" s="76" t="s">
        <v>998</v>
      </c>
      <c r="G6965" s="83">
        <v>46116.0</v>
      </c>
      <c r="H6965" s="76" t="s">
        <v>943</v>
      </c>
    </row>
    <row r="6966">
      <c r="A6966" s="76" t="s">
        <v>944</v>
      </c>
      <c r="B6966" s="76" t="s">
        <v>1006</v>
      </c>
      <c r="C6966" s="84">
        <v>6.85</v>
      </c>
      <c r="D6966" s="84">
        <v>0.0</v>
      </c>
      <c r="E6966" s="84">
        <v>0.0</v>
      </c>
      <c r="F6966" s="76" t="s">
        <v>998</v>
      </c>
      <c r="G6966" s="83">
        <v>46116.0</v>
      </c>
      <c r="H6966" s="76" t="s">
        <v>945</v>
      </c>
    </row>
    <row r="6967">
      <c r="A6967" s="76" t="s">
        <v>944</v>
      </c>
      <c r="B6967" s="76" t="s">
        <v>1006</v>
      </c>
      <c r="C6967" s="84">
        <v>9.17</v>
      </c>
      <c r="D6967" s="84">
        <v>1.0</v>
      </c>
      <c r="E6967" s="84">
        <v>9.17</v>
      </c>
      <c r="F6967" s="76" t="s">
        <v>998</v>
      </c>
      <c r="G6967" s="83">
        <v>46116.0</v>
      </c>
      <c r="H6967" s="76" t="s">
        <v>946</v>
      </c>
    </row>
    <row r="6968">
      <c r="A6968" s="76" t="s">
        <v>944</v>
      </c>
      <c r="B6968" s="76" t="s">
        <v>1006</v>
      </c>
      <c r="C6968" s="84">
        <v>5.94</v>
      </c>
      <c r="D6968" s="84">
        <v>2.0</v>
      </c>
      <c r="E6968" s="84">
        <v>2.97</v>
      </c>
      <c r="F6968" s="76" t="s">
        <v>998</v>
      </c>
      <c r="G6968" s="83">
        <v>46116.0</v>
      </c>
      <c r="H6968" s="76" t="s">
        <v>947</v>
      </c>
    </row>
    <row r="6969">
      <c r="A6969" s="76" t="s">
        <v>26</v>
      </c>
      <c r="B6969" s="76" t="s">
        <v>1006</v>
      </c>
      <c r="C6969" s="84">
        <v>4.99</v>
      </c>
      <c r="D6969" s="84">
        <v>1.0</v>
      </c>
      <c r="E6969" s="84">
        <v>4.99</v>
      </c>
      <c r="F6969" s="76" t="s">
        <v>998</v>
      </c>
      <c r="G6969" s="83">
        <v>46116.0</v>
      </c>
      <c r="H6969" s="76" t="s">
        <v>1012</v>
      </c>
    </row>
    <row r="6970">
      <c r="A6970" s="76" t="s">
        <v>26</v>
      </c>
      <c r="B6970" s="76" t="s">
        <v>1006</v>
      </c>
      <c r="C6970" s="84">
        <v>3.1</v>
      </c>
      <c r="D6970" s="84">
        <v>1.0</v>
      </c>
      <c r="E6970" s="84">
        <v>3.1</v>
      </c>
      <c r="F6970" s="76" t="s">
        <v>998</v>
      </c>
      <c r="G6970" s="83">
        <v>46116.0</v>
      </c>
      <c r="H6970" s="76" t="s">
        <v>1013</v>
      </c>
    </row>
    <row r="6971">
      <c r="A6971" s="76" t="s">
        <v>26</v>
      </c>
      <c r="B6971" s="76" t="s">
        <v>1006</v>
      </c>
      <c r="C6971" s="84">
        <v>5.8</v>
      </c>
      <c r="D6971" s="84">
        <v>0.0</v>
      </c>
      <c r="E6971" s="84">
        <v>0.0</v>
      </c>
      <c r="F6971" s="76" t="s">
        <v>998</v>
      </c>
      <c r="G6971" s="83">
        <v>46116.0</v>
      </c>
      <c r="H6971" s="76" t="s">
        <v>1014</v>
      </c>
    </row>
    <row r="6972">
      <c r="A6972" s="76" t="s">
        <v>40</v>
      </c>
      <c r="B6972" s="76" t="s">
        <v>1039</v>
      </c>
      <c r="C6972" s="84">
        <v>0.88</v>
      </c>
      <c r="D6972" s="84">
        <v>0.0</v>
      </c>
      <c r="E6972" s="84">
        <v>0.0</v>
      </c>
      <c r="F6972" s="76" t="s">
        <v>1005</v>
      </c>
      <c r="G6972" s="83">
        <v>46116.0</v>
      </c>
      <c r="H6972" s="76" t="s">
        <v>954</v>
      </c>
    </row>
    <row r="6973">
      <c r="A6973" s="76" t="s">
        <v>40</v>
      </c>
      <c r="B6973" s="76" t="s">
        <v>1039</v>
      </c>
      <c r="C6973" s="84">
        <v>0.28</v>
      </c>
      <c r="D6973" s="84">
        <v>0.0</v>
      </c>
      <c r="E6973" s="84">
        <v>0.0</v>
      </c>
      <c r="F6973" s="76" t="s">
        <v>1005</v>
      </c>
      <c r="G6973" s="83">
        <v>46116.0</v>
      </c>
      <c r="H6973" s="76" t="s">
        <v>955</v>
      </c>
    </row>
    <row r="6974">
      <c r="A6974" s="76" t="s">
        <v>40</v>
      </c>
      <c r="B6974" s="76" t="s">
        <v>1039</v>
      </c>
      <c r="C6974" s="84">
        <v>2.63</v>
      </c>
      <c r="D6974" s="84">
        <v>1.0</v>
      </c>
      <c r="E6974" s="84">
        <v>2.63</v>
      </c>
      <c r="F6974" s="76" t="s">
        <v>1005</v>
      </c>
      <c r="G6974" s="83">
        <v>46116.0</v>
      </c>
      <c r="H6974" s="76" t="s">
        <v>956</v>
      </c>
    </row>
    <row r="6975">
      <c r="A6975" s="76" t="s">
        <v>36</v>
      </c>
      <c r="B6975" s="76" t="s">
        <v>1039</v>
      </c>
      <c r="C6975" s="84">
        <v>0.78</v>
      </c>
      <c r="D6975" s="84">
        <v>0.0</v>
      </c>
      <c r="E6975" s="84">
        <v>0.0</v>
      </c>
      <c r="F6975" s="76" t="s">
        <v>1005</v>
      </c>
      <c r="G6975" s="83">
        <v>46116.0</v>
      </c>
      <c r="H6975" s="76" t="s">
        <v>926</v>
      </c>
    </row>
    <row r="6976">
      <c r="A6976" s="76" t="s">
        <v>36</v>
      </c>
      <c r="B6976" s="76" t="s">
        <v>1039</v>
      </c>
      <c r="C6976" s="84">
        <v>0.46</v>
      </c>
      <c r="D6976" s="84">
        <v>0.0</v>
      </c>
      <c r="E6976" s="84">
        <v>0.0</v>
      </c>
      <c r="F6976" s="76" t="s">
        <v>1005</v>
      </c>
      <c r="G6976" s="83">
        <v>46116.0</v>
      </c>
      <c r="H6976" s="76" t="s">
        <v>927</v>
      </c>
    </row>
    <row r="6977">
      <c r="A6977" s="76" t="s">
        <v>36</v>
      </c>
      <c r="B6977" s="76" t="s">
        <v>1039</v>
      </c>
      <c r="C6977" s="84">
        <v>0.98</v>
      </c>
      <c r="D6977" s="84">
        <v>0.0</v>
      </c>
      <c r="E6977" s="84">
        <v>0.0</v>
      </c>
      <c r="F6977" s="76" t="s">
        <v>1005</v>
      </c>
      <c r="G6977" s="83">
        <v>46116.0</v>
      </c>
      <c r="H6977" s="76" t="s">
        <v>928</v>
      </c>
    </row>
    <row r="6978">
      <c r="A6978" s="76" t="s">
        <v>46</v>
      </c>
      <c r="B6978" s="76" t="s">
        <v>1039</v>
      </c>
      <c r="C6978" s="84">
        <v>0.45</v>
      </c>
      <c r="D6978" s="84">
        <v>0.0</v>
      </c>
      <c r="E6978" s="84">
        <v>0.0</v>
      </c>
      <c r="F6978" s="76" t="s">
        <v>1005</v>
      </c>
      <c r="G6978" s="83">
        <v>46116.0</v>
      </c>
      <c r="H6978" s="76" t="s">
        <v>960</v>
      </c>
    </row>
    <row r="6979">
      <c r="A6979" s="76" t="s">
        <v>46</v>
      </c>
      <c r="B6979" s="76" t="s">
        <v>1039</v>
      </c>
      <c r="C6979" s="84">
        <v>0.69</v>
      </c>
      <c r="D6979" s="84">
        <v>1.0</v>
      </c>
      <c r="E6979" s="84">
        <v>0.69</v>
      </c>
      <c r="F6979" s="76" t="s">
        <v>1005</v>
      </c>
      <c r="G6979" s="83">
        <v>46116.0</v>
      </c>
      <c r="H6979" s="76" t="s">
        <v>961</v>
      </c>
    </row>
    <row r="6980">
      <c r="A6980" s="76" t="s">
        <v>46</v>
      </c>
      <c r="B6980" s="76" t="s">
        <v>1039</v>
      </c>
      <c r="C6980" s="84">
        <v>0.7</v>
      </c>
      <c r="D6980" s="84">
        <v>0.0</v>
      </c>
      <c r="E6980" s="84">
        <v>0.0</v>
      </c>
      <c r="F6980" s="76" t="s">
        <v>1005</v>
      </c>
      <c r="G6980" s="83">
        <v>46116.0</v>
      </c>
      <c r="H6980" s="76" t="s">
        <v>962</v>
      </c>
    </row>
    <row r="6981">
      <c r="A6981" s="76" t="s">
        <v>970</v>
      </c>
      <c r="B6981" s="76" t="s">
        <v>1039</v>
      </c>
      <c r="C6981" s="84">
        <v>2.22</v>
      </c>
      <c r="D6981" s="84">
        <v>1.0</v>
      </c>
      <c r="E6981" s="84">
        <v>2.22</v>
      </c>
      <c r="F6981" s="76" t="s">
        <v>1005</v>
      </c>
      <c r="G6981" s="83">
        <v>46116.0</v>
      </c>
      <c r="H6981" s="76" t="s">
        <v>971</v>
      </c>
    </row>
    <row r="6982">
      <c r="A6982" s="76" t="s">
        <v>970</v>
      </c>
      <c r="B6982" s="76" t="s">
        <v>1039</v>
      </c>
      <c r="C6982" s="84">
        <v>0.9</v>
      </c>
      <c r="D6982" s="84">
        <v>0.0</v>
      </c>
      <c r="E6982" s="84">
        <v>0.0</v>
      </c>
      <c r="F6982" s="76" t="s">
        <v>1005</v>
      </c>
      <c r="G6982" s="83">
        <v>46116.0</v>
      </c>
      <c r="H6982" s="76" t="s">
        <v>972</v>
      </c>
    </row>
    <row r="6983">
      <c r="A6983" s="76" t="s">
        <v>970</v>
      </c>
      <c r="B6983" s="76" t="s">
        <v>1039</v>
      </c>
      <c r="C6983" s="84">
        <v>2.14</v>
      </c>
      <c r="D6983" s="84">
        <v>0.0</v>
      </c>
      <c r="E6983" s="84">
        <v>0.0</v>
      </c>
      <c r="F6983" s="76" t="s">
        <v>1005</v>
      </c>
      <c r="G6983" s="83">
        <v>46116.0</v>
      </c>
      <c r="H6983" s="76" t="s">
        <v>973</v>
      </c>
    </row>
    <row r="6984">
      <c r="A6984" s="76" t="s">
        <v>29</v>
      </c>
      <c r="B6984" s="76" t="s">
        <v>1039</v>
      </c>
      <c r="C6984" s="84">
        <v>3.47</v>
      </c>
      <c r="D6984" s="84">
        <v>1.0</v>
      </c>
      <c r="E6984" s="84">
        <v>3.47</v>
      </c>
      <c r="F6984" s="76" t="s">
        <v>1005</v>
      </c>
      <c r="G6984" s="83">
        <v>46116.0</v>
      </c>
      <c r="H6984" s="76" t="s">
        <v>1015</v>
      </c>
    </row>
    <row r="6985">
      <c r="A6985" s="76" t="s">
        <v>29</v>
      </c>
      <c r="B6985" s="76" t="s">
        <v>1039</v>
      </c>
      <c r="C6985" s="84">
        <v>6.54</v>
      </c>
      <c r="D6985" s="84">
        <v>1.0</v>
      </c>
      <c r="E6985" s="84">
        <v>6.54</v>
      </c>
      <c r="F6985" s="76" t="s">
        <v>1005</v>
      </c>
      <c r="G6985" s="83">
        <v>46116.0</v>
      </c>
      <c r="H6985" s="76" t="s">
        <v>1016</v>
      </c>
    </row>
    <row r="6986">
      <c r="A6986" s="76" t="s">
        <v>29</v>
      </c>
      <c r="B6986" s="76" t="s">
        <v>1039</v>
      </c>
      <c r="C6986" s="84">
        <v>2.1</v>
      </c>
      <c r="D6986" s="84">
        <v>0.0</v>
      </c>
      <c r="E6986" s="84">
        <v>0.0</v>
      </c>
      <c r="F6986" s="76" t="s">
        <v>1005</v>
      </c>
      <c r="G6986" s="83">
        <v>46116.0</v>
      </c>
      <c r="H6986" s="76" t="s">
        <v>1017</v>
      </c>
    </row>
    <row r="6987">
      <c r="A6987" s="76" t="s">
        <v>34</v>
      </c>
      <c r="B6987" s="76" t="s">
        <v>1039</v>
      </c>
      <c r="C6987" s="84">
        <v>1.36</v>
      </c>
      <c r="D6987" s="84">
        <v>0.0</v>
      </c>
      <c r="E6987" s="84">
        <v>0.0</v>
      </c>
      <c r="F6987" s="76" t="s">
        <v>1005</v>
      </c>
      <c r="G6987" s="83">
        <v>46116.0</v>
      </c>
      <c r="H6987" s="76" t="s">
        <v>951</v>
      </c>
    </row>
    <row r="6988">
      <c r="A6988" s="76" t="s">
        <v>34</v>
      </c>
      <c r="B6988" s="76" t="s">
        <v>1039</v>
      </c>
      <c r="C6988" s="84">
        <v>1.07</v>
      </c>
      <c r="D6988" s="84">
        <v>0.0</v>
      </c>
      <c r="E6988" s="84">
        <v>0.0</v>
      </c>
      <c r="F6988" s="76" t="s">
        <v>1005</v>
      </c>
      <c r="G6988" s="83">
        <v>46116.0</v>
      </c>
      <c r="H6988" s="76" t="s">
        <v>952</v>
      </c>
    </row>
    <row r="6989">
      <c r="A6989" s="76" t="s">
        <v>34</v>
      </c>
      <c r="B6989" s="76" t="s">
        <v>1039</v>
      </c>
      <c r="C6989" s="84">
        <v>0.37</v>
      </c>
      <c r="D6989" s="84">
        <v>0.0</v>
      </c>
      <c r="E6989" s="84">
        <v>0.0</v>
      </c>
      <c r="F6989" s="76" t="s">
        <v>1005</v>
      </c>
      <c r="G6989" s="83">
        <v>46116.0</v>
      </c>
      <c r="H6989" s="76" t="s">
        <v>953</v>
      </c>
    </row>
    <row r="6990">
      <c r="A6990" s="76" t="s">
        <v>33</v>
      </c>
      <c r="B6990" s="76" t="s">
        <v>1039</v>
      </c>
      <c r="C6990" s="84">
        <v>3.6</v>
      </c>
      <c r="D6990" s="84">
        <v>1.0</v>
      </c>
      <c r="E6990" s="84">
        <v>3.6</v>
      </c>
      <c r="F6990" s="76" t="s">
        <v>1005</v>
      </c>
      <c r="G6990" s="83">
        <v>46116.0</v>
      </c>
      <c r="H6990" s="76" t="s">
        <v>957</v>
      </c>
    </row>
    <row r="6991">
      <c r="A6991" s="76" t="s">
        <v>33</v>
      </c>
      <c r="B6991" s="76" t="s">
        <v>1039</v>
      </c>
      <c r="C6991" s="84">
        <v>1.03</v>
      </c>
      <c r="D6991" s="84">
        <v>0.0</v>
      </c>
      <c r="E6991" s="84">
        <v>0.0</v>
      </c>
      <c r="F6991" s="76" t="s">
        <v>1005</v>
      </c>
      <c r="G6991" s="83">
        <v>46116.0</v>
      </c>
      <c r="H6991" s="76" t="s">
        <v>958</v>
      </c>
    </row>
    <row r="6992">
      <c r="A6992" s="76" t="s">
        <v>33</v>
      </c>
      <c r="B6992" s="76" t="s">
        <v>1039</v>
      </c>
      <c r="C6992" s="84">
        <v>1.71</v>
      </c>
      <c r="D6992" s="84">
        <v>1.0</v>
      </c>
      <c r="E6992" s="84">
        <v>1.71</v>
      </c>
      <c r="F6992" s="76" t="s">
        <v>1005</v>
      </c>
      <c r="G6992" s="83">
        <v>46116.0</v>
      </c>
      <c r="H6992" s="76" t="s">
        <v>959</v>
      </c>
    </row>
    <row r="6993">
      <c r="A6993" s="76" t="s">
        <v>43</v>
      </c>
      <c r="B6993" s="76" t="s">
        <v>1039</v>
      </c>
      <c r="C6993" s="84">
        <v>0.74</v>
      </c>
      <c r="D6993" s="84">
        <v>0.0</v>
      </c>
      <c r="E6993" s="84">
        <v>0.0</v>
      </c>
      <c r="F6993" s="76" t="s">
        <v>1005</v>
      </c>
      <c r="G6993" s="83">
        <v>46116.0</v>
      </c>
      <c r="H6993" s="76" t="s">
        <v>963</v>
      </c>
    </row>
    <row r="6994">
      <c r="A6994" s="76" t="s">
        <v>43</v>
      </c>
      <c r="B6994" s="76" t="s">
        <v>1039</v>
      </c>
      <c r="C6994" s="84">
        <v>1.25</v>
      </c>
      <c r="D6994" s="84">
        <v>0.0</v>
      </c>
      <c r="E6994" s="84">
        <v>0.0</v>
      </c>
      <c r="F6994" s="76" t="s">
        <v>1005</v>
      </c>
      <c r="G6994" s="83">
        <v>46116.0</v>
      </c>
      <c r="H6994" s="76" t="s">
        <v>964</v>
      </c>
    </row>
    <row r="6995">
      <c r="A6995" s="76" t="s">
        <v>43</v>
      </c>
      <c r="B6995" s="76" t="s">
        <v>1039</v>
      </c>
      <c r="C6995" s="84">
        <v>1.58</v>
      </c>
      <c r="D6995" s="84">
        <v>0.0</v>
      </c>
      <c r="E6995" s="84">
        <v>0.0</v>
      </c>
      <c r="F6995" s="76" t="s">
        <v>1005</v>
      </c>
      <c r="G6995" s="83">
        <v>46116.0</v>
      </c>
      <c r="H6995" s="76" t="s">
        <v>965</v>
      </c>
    </row>
    <row r="6996">
      <c r="A6996" s="76" t="s">
        <v>966</v>
      </c>
      <c r="B6996" s="76" t="s">
        <v>1039</v>
      </c>
      <c r="C6996" s="84">
        <v>1.35</v>
      </c>
      <c r="D6996" s="84">
        <v>1.0</v>
      </c>
      <c r="E6996" s="84">
        <v>1.35</v>
      </c>
      <c r="F6996" s="76" t="s">
        <v>1005</v>
      </c>
      <c r="G6996" s="83">
        <v>46116.0</v>
      </c>
      <c r="H6996" s="76" t="s">
        <v>967</v>
      </c>
    </row>
    <row r="6997">
      <c r="A6997" s="76" t="s">
        <v>966</v>
      </c>
      <c r="B6997" s="76" t="s">
        <v>1039</v>
      </c>
      <c r="C6997" s="84">
        <v>0.36</v>
      </c>
      <c r="D6997" s="84">
        <v>0.0</v>
      </c>
      <c r="E6997" s="84">
        <v>0.0</v>
      </c>
      <c r="F6997" s="76" t="s">
        <v>1005</v>
      </c>
      <c r="G6997" s="83">
        <v>46116.0</v>
      </c>
      <c r="H6997" s="76" t="s">
        <v>968</v>
      </c>
    </row>
    <row r="6998">
      <c r="A6998" s="76" t="s">
        <v>966</v>
      </c>
      <c r="B6998" s="76" t="s">
        <v>1039</v>
      </c>
      <c r="C6998" s="84">
        <v>0.85</v>
      </c>
      <c r="D6998" s="84">
        <v>0.0</v>
      </c>
      <c r="E6998" s="84">
        <v>0.0</v>
      </c>
      <c r="F6998" s="76" t="s">
        <v>1005</v>
      </c>
      <c r="G6998" s="83">
        <v>46116.0</v>
      </c>
      <c r="H6998" s="76" t="s">
        <v>969</v>
      </c>
    </row>
    <row r="6999">
      <c r="A6999" s="76" t="s">
        <v>970</v>
      </c>
      <c r="B6999" s="76" t="s">
        <v>1039</v>
      </c>
      <c r="C6999" s="84">
        <v>0.41</v>
      </c>
      <c r="D6999" s="84">
        <v>0.0</v>
      </c>
      <c r="E6999" s="84">
        <v>0.0</v>
      </c>
      <c r="F6999" s="76" t="s">
        <v>990</v>
      </c>
      <c r="G6999" s="83">
        <v>46116.0</v>
      </c>
      <c r="H6999" s="76" t="s">
        <v>971</v>
      </c>
    </row>
    <row r="7000">
      <c r="A7000" s="76" t="s">
        <v>970</v>
      </c>
      <c r="B7000" s="76" t="s">
        <v>1039</v>
      </c>
      <c r="C7000" s="84">
        <v>0.07</v>
      </c>
      <c r="D7000" s="84">
        <v>0.0</v>
      </c>
      <c r="E7000" s="84">
        <v>0.0</v>
      </c>
      <c r="F7000" s="76" t="s">
        <v>990</v>
      </c>
      <c r="G7000" s="83">
        <v>46116.0</v>
      </c>
      <c r="H7000" s="76" t="s">
        <v>972</v>
      </c>
    </row>
    <row r="7001">
      <c r="A7001" s="76" t="s">
        <v>970</v>
      </c>
      <c r="B7001" s="76" t="s">
        <v>1039</v>
      </c>
      <c r="C7001" s="84">
        <v>0.78</v>
      </c>
      <c r="D7001" s="84">
        <v>0.0</v>
      </c>
      <c r="E7001" s="84">
        <v>0.0</v>
      </c>
      <c r="F7001" s="76" t="s">
        <v>990</v>
      </c>
      <c r="G7001" s="83">
        <v>46116.0</v>
      </c>
      <c r="H7001" s="76" t="s">
        <v>973</v>
      </c>
    </row>
    <row r="7002">
      <c r="A7002" s="76" t="s">
        <v>29</v>
      </c>
      <c r="B7002" s="76" t="s">
        <v>1039</v>
      </c>
      <c r="C7002" s="84">
        <v>0.48</v>
      </c>
      <c r="D7002" s="84">
        <v>0.0</v>
      </c>
      <c r="E7002" s="84">
        <v>0.0</v>
      </c>
      <c r="F7002" s="76" t="s">
        <v>990</v>
      </c>
      <c r="G7002" s="83">
        <v>46116.0</v>
      </c>
      <c r="H7002" s="76" t="s">
        <v>971</v>
      </c>
    </row>
    <row r="7003">
      <c r="A7003" s="76" t="s">
        <v>29</v>
      </c>
      <c r="B7003" s="76" t="s">
        <v>1039</v>
      </c>
      <c r="C7003" s="84">
        <v>0.07</v>
      </c>
      <c r="D7003" s="84">
        <v>0.0</v>
      </c>
      <c r="E7003" s="84">
        <v>0.0</v>
      </c>
      <c r="F7003" s="76" t="s">
        <v>990</v>
      </c>
      <c r="G7003" s="83">
        <v>46116.0</v>
      </c>
      <c r="H7003" s="76" t="s">
        <v>972</v>
      </c>
    </row>
    <row r="7004">
      <c r="A7004" s="76" t="s">
        <v>29</v>
      </c>
      <c r="B7004" s="76" t="s">
        <v>1039</v>
      </c>
      <c r="C7004" s="84">
        <v>0.78</v>
      </c>
      <c r="D7004" s="84">
        <v>0.0</v>
      </c>
      <c r="E7004" s="84">
        <v>0.0</v>
      </c>
      <c r="F7004" s="76" t="s">
        <v>990</v>
      </c>
      <c r="G7004" s="83">
        <v>46116.0</v>
      </c>
      <c r="H7004" s="76" t="s">
        <v>973</v>
      </c>
    </row>
    <row r="7005">
      <c r="A7005" s="76" t="s">
        <v>46</v>
      </c>
      <c r="B7005" s="76" t="s">
        <v>1039</v>
      </c>
      <c r="C7005" s="84">
        <v>0.12</v>
      </c>
      <c r="D7005" s="84">
        <v>0.0</v>
      </c>
      <c r="E7005" s="84">
        <v>0.0</v>
      </c>
      <c r="F7005" s="76" t="s">
        <v>990</v>
      </c>
      <c r="G7005" s="83">
        <v>46116.0</v>
      </c>
      <c r="H7005" s="76" t="s">
        <v>960</v>
      </c>
    </row>
    <row r="7006">
      <c r="A7006" s="76" t="s">
        <v>46</v>
      </c>
      <c r="B7006" s="76" t="s">
        <v>1039</v>
      </c>
      <c r="C7006" s="84">
        <v>0.05</v>
      </c>
      <c r="D7006" s="84">
        <v>0.0</v>
      </c>
      <c r="E7006" s="84">
        <v>0.0</v>
      </c>
      <c r="F7006" s="76" t="s">
        <v>990</v>
      </c>
      <c r="G7006" s="83">
        <v>46116.0</v>
      </c>
      <c r="H7006" s="76" t="s">
        <v>961</v>
      </c>
    </row>
    <row r="7007">
      <c r="A7007" s="76" t="s">
        <v>46</v>
      </c>
      <c r="B7007" s="76" t="s">
        <v>1039</v>
      </c>
      <c r="C7007" s="84">
        <v>0.16</v>
      </c>
      <c r="D7007" s="84">
        <v>0.0</v>
      </c>
      <c r="E7007" s="84">
        <v>0.0</v>
      </c>
      <c r="F7007" s="76" t="s">
        <v>990</v>
      </c>
      <c r="G7007" s="83">
        <v>46116.0</v>
      </c>
      <c r="H7007" s="76" t="s">
        <v>962</v>
      </c>
    </row>
    <row r="7008">
      <c r="A7008" s="76" t="s">
        <v>36</v>
      </c>
      <c r="B7008" s="76" t="s">
        <v>1039</v>
      </c>
      <c r="C7008" s="84">
        <v>0.16</v>
      </c>
      <c r="D7008" s="84">
        <v>0.0</v>
      </c>
      <c r="E7008" s="84">
        <v>0.0</v>
      </c>
      <c r="F7008" s="76" t="s">
        <v>990</v>
      </c>
      <c r="G7008" s="83">
        <v>46116.0</v>
      </c>
      <c r="H7008" s="76" t="s">
        <v>926</v>
      </c>
    </row>
    <row r="7009">
      <c r="A7009" s="76" t="s">
        <v>36</v>
      </c>
      <c r="B7009" s="76" t="s">
        <v>1039</v>
      </c>
      <c r="C7009" s="84">
        <v>0.06</v>
      </c>
      <c r="D7009" s="84">
        <v>0.0</v>
      </c>
      <c r="E7009" s="84">
        <v>0.0</v>
      </c>
      <c r="F7009" s="76" t="s">
        <v>990</v>
      </c>
      <c r="G7009" s="83">
        <v>46116.0</v>
      </c>
      <c r="H7009" s="76" t="s">
        <v>927</v>
      </c>
    </row>
    <row r="7010">
      <c r="A7010" s="76" t="s">
        <v>36</v>
      </c>
      <c r="B7010" s="76" t="s">
        <v>1039</v>
      </c>
      <c r="C7010" s="84">
        <v>0.02</v>
      </c>
      <c r="D7010" s="84">
        <v>0.0</v>
      </c>
      <c r="E7010" s="84">
        <v>0.0</v>
      </c>
      <c r="F7010" s="76" t="s">
        <v>990</v>
      </c>
      <c r="G7010" s="83">
        <v>46116.0</v>
      </c>
      <c r="H7010" s="76" t="s">
        <v>928</v>
      </c>
    </row>
    <row r="7011">
      <c r="A7011" s="76" t="s">
        <v>34</v>
      </c>
      <c r="B7011" s="76" t="s">
        <v>1039</v>
      </c>
      <c r="C7011" s="84">
        <v>0.1</v>
      </c>
      <c r="D7011" s="84">
        <v>0.0</v>
      </c>
      <c r="E7011" s="84">
        <v>0.0</v>
      </c>
      <c r="F7011" s="76" t="s">
        <v>990</v>
      </c>
      <c r="G7011" s="83">
        <v>46116.0</v>
      </c>
      <c r="H7011" s="76" t="s">
        <v>951</v>
      </c>
    </row>
    <row r="7012">
      <c r="A7012" s="76" t="s">
        <v>34</v>
      </c>
      <c r="B7012" s="76" t="s">
        <v>1039</v>
      </c>
      <c r="C7012" s="84">
        <v>0.05</v>
      </c>
      <c r="D7012" s="84">
        <v>0.0</v>
      </c>
      <c r="E7012" s="84">
        <v>0.0</v>
      </c>
      <c r="F7012" s="76" t="s">
        <v>990</v>
      </c>
      <c r="G7012" s="83">
        <v>46116.0</v>
      </c>
      <c r="H7012" s="76" t="s">
        <v>952</v>
      </c>
    </row>
    <row r="7013">
      <c r="A7013" s="76" t="s">
        <v>34</v>
      </c>
      <c r="B7013" s="76" t="s">
        <v>1039</v>
      </c>
      <c r="C7013" s="84">
        <v>0.07</v>
      </c>
      <c r="D7013" s="84">
        <v>0.0</v>
      </c>
      <c r="E7013" s="84">
        <v>0.0</v>
      </c>
      <c r="F7013" s="76" t="s">
        <v>990</v>
      </c>
      <c r="G7013" s="83">
        <v>46116.0</v>
      </c>
      <c r="H7013" s="76" t="s">
        <v>953</v>
      </c>
    </row>
    <row r="7014">
      <c r="A7014" s="76" t="s">
        <v>33</v>
      </c>
      <c r="B7014" s="76" t="s">
        <v>1039</v>
      </c>
      <c r="C7014" s="84">
        <v>0.96</v>
      </c>
      <c r="D7014" s="84">
        <v>0.0</v>
      </c>
      <c r="E7014" s="84">
        <v>0.0</v>
      </c>
      <c r="F7014" s="76" t="s">
        <v>990</v>
      </c>
      <c r="G7014" s="83">
        <v>46116.0</v>
      </c>
      <c r="H7014" s="76" t="s">
        <v>957</v>
      </c>
    </row>
    <row r="7015">
      <c r="A7015" s="76" t="s">
        <v>33</v>
      </c>
      <c r="B7015" s="76" t="s">
        <v>1039</v>
      </c>
      <c r="C7015" s="84">
        <v>0.06</v>
      </c>
      <c r="D7015" s="84">
        <v>0.0</v>
      </c>
      <c r="E7015" s="84">
        <v>0.0</v>
      </c>
      <c r="F7015" s="76" t="s">
        <v>990</v>
      </c>
      <c r="G7015" s="83">
        <v>46116.0</v>
      </c>
      <c r="H7015" s="76" t="s">
        <v>958</v>
      </c>
    </row>
    <row r="7016">
      <c r="A7016" s="76" t="s">
        <v>33</v>
      </c>
      <c r="B7016" s="76" t="s">
        <v>1039</v>
      </c>
      <c r="C7016" s="84">
        <v>0.31</v>
      </c>
      <c r="D7016" s="84">
        <v>0.0</v>
      </c>
      <c r="E7016" s="84">
        <v>0.0</v>
      </c>
      <c r="F7016" s="76" t="s">
        <v>990</v>
      </c>
      <c r="G7016" s="83">
        <v>46116.0</v>
      </c>
      <c r="H7016" s="76" t="s">
        <v>959</v>
      </c>
    </row>
    <row r="7017">
      <c r="A7017" s="76" t="s">
        <v>40</v>
      </c>
      <c r="B7017" s="76" t="s">
        <v>1039</v>
      </c>
      <c r="C7017" s="84">
        <v>0.04</v>
      </c>
      <c r="D7017" s="84">
        <v>0.0</v>
      </c>
      <c r="E7017" s="84">
        <v>0.0</v>
      </c>
      <c r="F7017" s="76" t="s">
        <v>990</v>
      </c>
      <c r="G7017" s="83">
        <v>46116.0</v>
      </c>
      <c r="H7017" s="76" t="s">
        <v>954</v>
      </c>
    </row>
    <row r="7018">
      <c r="A7018" s="76" t="s">
        <v>40</v>
      </c>
      <c r="B7018" s="76" t="s">
        <v>1039</v>
      </c>
      <c r="C7018" s="84">
        <v>0.02</v>
      </c>
      <c r="D7018" s="84">
        <v>0.0</v>
      </c>
      <c r="E7018" s="84">
        <v>0.0</v>
      </c>
      <c r="F7018" s="76" t="s">
        <v>990</v>
      </c>
      <c r="G7018" s="83">
        <v>46116.0</v>
      </c>
      <c r="H7018" s="76" t="s">
        <v>955</v>
      </c>
    </row>
    <row r="7019">
      <c r="A7019" s="76" t="s">
        <v>40</v>
      </c>
      <c r="B7019" s="76" t="s">
        <v>1039</v>
      </c>
      <c r="C7019" s="84">
        <v>0.46</v>
      </c>
      <c r="D7019" s="84">
        <v>0.0</v>
      </c>
      <c r="E7019" s="84">
        <v>0.0</v>
      </c>
      <c r="F7019" s="76" t="s">
        <v>990</v>
      </c>
      <c r="G7019" s="83">
        <v>46116.0</v>
      </c>
      <c r="H7019" s="76" t="s">
        <v>956</v>
      </c>
    </row>
    <row r="7020">
      <c r="A7020" s="76" t="s">
        <v>43</v>
      </c>
      <c r="B7020" s="76" t="s">
        <v>1039</v>
      </c>
      <c r="C7020" s="84">
        <v>0.08</v>
      </c>
      <c r="D7020" s="84">
        <v>0.0</v>
      </c>
      <c r="E7020" s="84">
        <v>0.0</v>
      </c>
      <c r="F7020" s="76" t="s">
        <v>990</v>
      </c>
      <c r="G7020" s="83">
        <v>46116.0</v>
      </c>
      <c r="H7020" s="76" t="s">
        <v>963</v>
      </c>
    </row>
    <row r="7021">
      <c r="A7021" s="76" t="s">
        <v>43</v>
      </c>
      <c r="B7021" s="76" t="s">
        <v>1039</v>
      </c>
      <c r="C7021" s="84">
        <v>0.14</v>
      </c>
      <c r="D7021" s="84">
        <v>0.0</v>
      </c>
      <c r="E7021" s="84">
        <v>0.0</v>
      </c>
      <c r="F7021" s="76" t="s">
        <v>990</v>
      </c>
      <c r="G7021" s="83">
        <v>46116.0</v>
      </c>
      <c r="H7021" s="76" t="s">
        <v>964</v>
      </c>
    </row>
    <row r="7022">
      <c r="A7022" s="76" t="s">
        <v>43</v>
      </c>
      <c r="B7022" s="76" t="s">
        <v>1039</v>
      </c>
      <c r="C7022" s="84">
        <v>0.28</v>
      </c>
      <c r="D7022" s="84">
        <v>0.0</v>
      </c>
      <c r="E7022" s="84">
        <v>0.0</v>
      </c>
      <c r="F7022" s="76" t="s">
        <v>990</v>
      </c>
      <c r="G7022" s="83">
        <v>46116.0</v>
      </c>
      <c r="H7022" s="76" t="s">
        <v>965</v>
      </c>
    </row>
    <row r="7023">
      <c r="A7023" s="76" t="s">
        <v>966</v>
      </c>
      <c r="B7023" s="76" t="s">
        <v>1039</v>
      </c>
      <c r="C7023" s="84">
        <v>0.4</v>
      </c>
      <c r="D7023" s="84">
        <v>0.0</v>
      </c>
      <c r="E7023" s="84">
        <v>0.0</v>
      </c>
      <c r="F7023" s="76" t="s">
        <v>990</v>
      </c>
      <c r="G7023" s="83">
        <v>46116.0</v>
      </c>
      <c r="H7023" s="76" t="s">
        <v>967</v>
      </c>
    </row>
    <row r="7024">
      <c r="A7024" s="76" t="s">
        <v>966</v>
      </c>
      <c r="B7024" s="76" t="s">
        <v>1039</v>
      </c>
      <c r="C7024" s="84">
        <v>0.02</v>
      </c>
      <c r="D7024" s="84">
        <v>0.0</v>
      </c>
      <c r="E7024" s="84">
        <v>0.0</v>
      </c>
      <c r="F7024" s="76" t="s">
        <v>990</v>
      </c>
      <c r="G7024" s="83">
        <v>46116.0</v>
      </c>
      <c r="H7024" s="76" t="s">
        <v>968</v>
      </c>
    </row>
    <row r="7025">
      <c r="A7025" s="76" t="s">
        <v>966</v>
      </c>
      <c r="B7025" s="76" t="s">
        <v>1039</v>
      </c>
      <c r="C7025" s="84">
        <v>0.04</v>
      </c>
      <c r="D7025" s="84">
        <v>0.0</v>
      </c>
      <c r="E7025" s="84">
        <v>0.0</v>
      </c>
      <c r="F7025" s="76" t="s">
        <v>990</v>
      </c>
      <c r="G7025" s="83">
        <v>46116.0</v>
      </c>
      <c r="H7025" s="76" t="s">
        <v>969</v>
      </c>
    </row>
    <row r="7026">
      <c r="A7026" s="76" t="s">
        <v>970</v>
      </c>
      <c r="B7026" s="76" t="s">
        <v>1039</v>
      </c>
      <c r="C7026" s="84">
        <v>0.2</v>
      </c>
      <c r="D7026" s="84">
        <v>0.0</v>
      </c>
      <c r="E7026" s="84">
        <v>0.0</v>
      </c>
      <c r="F7026" s="76" t="s">
        <v>996</v>
      </c>
      <c r="G7026" s="83">
        <v>46116.0</v>
      </c>
      <c r="H7026" s="76" t="s">
        <v>971</v>
      </c>
    </row>
    <row r="7027">
      <c r="A7027" s="76" t="s">
        <v>970</v>
      </c>
      <c r="B7027" s="76" t="s">
        <v>1039</v>
      </c>
      <c r="C7027" s="84">
        <v>0.04</v>
      </c>
      <c r="D7027" s="84">
        <v>0.0</v>
      </c>
      <c r="E7027" s="84">
        <v>0.0</v>
      </c>
      <c r="F7027" s="76" t="s">
        <v>996</v>
      </c>
      <c r="G7027" s="83">
        <v>46116.0</v>
      </c>
      <c r="H7027" s="76" t="s">
        <v>972</v>
      </c>
    </row>
    <row r="7028">
      <c r="A7028" s="76" t="s">
        <v>970</v>
      </c>
      <c r="B7028" s="76" t="s">
        <v>1039</v>
      </c>
      <c r="C7028" s="84">
        <v>0.37</v>
      </c>
      <c r="D7028" s="84">
        <v>0.0</v>
      </c>
      <c r="E7028" s="84">
        <v>0.0</v>
      </c>
      <c r="F7028" s="76" t="s">
        <v>996</v>
      </c>
      <c r="G7028" s="83">
        <v>46116.0</v>
      </c>
      <c r="H7028" s="76" t="s">
        <v>973</v>
      </c>
    </row>
    <row r="7029">
      <c r="A7029" s="76" t="s">
        <v>29</v>
      </c>
      <c r="B7029" s="76" t="s">
        <v>1039</v>
      </c>
      <c r="C7029" s="84">
        <v>0.14</v>
      </c>
      <c r="D7029" s="84">
        <v>0.0</v>
      </c>
      <c r="E7029" s="84">
        <v>0.0</v>
      </c>
      <c r="F7029" s="76" t="s">
        <v>996</v>
      </c>
      <c r="G7029" s="83">
        <v>46116.0</v>
      </c>
      <c r="H7029" s="76" t="s">
        <v>971</v>
      </c>
    </row>
    <row r="7030">
      <c r="A7030" s="76" t="s">
        <v>29</v>
      </c>
      <c r="B7030" s="76" t="s">
        <v>1039</v>
      </c>
      <c r="C7030" s="84">
        <v>0.02</v>
      </c>
      <c r="D7030" s="84">
        <v>0.0</v>
      </c>
      <c r="E7030" s="84">
        <v>0.0</v>
      </c>
      <c r="F7030" s="76" t="s">
        <v>996</v>
      </c>
      <c r="G7030" s="83">
        <v>46116.0</v>
      </c>
      <c r="H7030" s="76" t="s">
        <v>972</v>
      </c>
    </row>
    <row r="7031">
      <c r="A7031" s="76" t="s">
        <v>29</v>
      </c>
      <c r="B7031" s="76" t="s">
        <v>1039</v>
      </c>
      <c r="C7031" s="84">
        <v>0.32</v>
      </c>
      <c r="D7031" s="84">
        <v>0.0</v>
      </c>
      <c r="E7031" s="84">
        <v>0.0</v>
      </c>
      <c r="F7031" s="76" t="s">
        <v>996</v>
      </c>
      <c r="G7031" s="83">
        <v>46116.0</v>
      </c>
      <c r="H7031" s="76" t="s">
        <v>973</v>
      </c>
    </row>
    <row r="7032">
      <c r="A7032" s="76" t="s">
        <v>43</v>
      </c>
      <c r="B7032" s="76" t="s">
        <v>1039</v>
      </c>
      <c r="C7032" s="84">
        <v>0.11</v>
      </c>
      <c r="D7032" s="84">
        <v>0.0</v>
      </c>
      <c r="E7032" s="84">
        <v>0.0</v>
      </c>
      <c r="F7032" s="76" t="s">
        <v>996</v>
      </c>
      <c r="G7032" s="83">
        <v>46116.0</v>
      </c>
      <c r="H7032" s="76" t="s">
        <v>963</v>
      </c>
    </row>
    <row r="7033">
      <c r="A7033" s="76" t="s">
        <v>43</v>
      </c>
      <c r="B7033" s="76" t="s">
        <v>1039</v>
      </c>
      <c r="C7033" s="84">
        <v>0.09</v>
      </c>
      <c r="D7033" s="84">
        <v>0.0</v>
      </c>
      <c r="E7033" s="84">
        <v>0.0</v>
      </c>
      <c r="F7033" s="76" t="s">
        <v>996</v>
      </c>
      <c r="G7033" s="83">
        <v>46116.0</v>
      </c>
      <c r="H7033" s="76" t="s">
        <v>964</v>
      </c>
    </row>
    <row r="7034">
      <c r="A7034" s="76" t="s">
        <v>43</v>
      </c>
      <c r="B7034" s="76" t="s">
        <v>1039</v>
      </c>
      <c r="C7034" s="84">
        <v>0.42</v>
      </c>
      <c r="D7034" s="84">
        <v>0.0</v>
      </c>
      <c r="E7034" s="84">
        <v>0.0</v>
      </c>
      <c r="F7034" s="76" t="s">
        <v>996</v>
      </c>
      <c r="G7034" s="83">
        <v>46116.0</v>
      </c>
      <c r="H7034" s="76" t="s">
        <v>965</v>
      </c>
    </row>
    <row r="7035">
      <c r="A7035" s="76" t="s">
        <v>46</v>
      </c>
      <c r="B7035" s="76" t="s">
        <v>1039</v>
      </c>
      <c r="C7035" s="84">
        <v>0.09</v>
      </c>
      <c r="D7035" s="84">
        <v>0.0</v>
      </c>
      <c r="E7035" s="84">
        <v>0.0</v>
      </c>
      <c r="F7035" s="76" t="s">
        <v>996</v>
      </c>
      <c r="G7035" s="83">
        <v>46116.0</v>
      </c>
      <c r="H7035" s="76" t="s">
        <v>960</v>
      </c>
    </row>
    <row r="7036">
      <c r="A7036" s="76" t="s">
        <v>46</v>
      </c>
      <c r="B7036" s="76" t="s">
        <v>1039</v>
      </c>
      <c r="C7036" s="84">
        <v>0.05</v>
      </c>
      <c r="D7036" s="84">
        <v>0.0</v>
      </c>
      <c r="E7036" s="84">
        <v>0.0</v>
      </c>
      <c r="F7036" s="76" t="s">
        <v>996</v>
      </c>
      <c r="G7036" s="83">
        <v>46116.0</v>
      </c>
      <c r="H7036" s="76" t="s">
        <v>961</v>
      </c>
    </row>
    <row r="7037">
      <c r="A7037" s="76" t="s">
        <v>46</v>
      </c>
      <c r="B7037" s="76" t="s">
        <v>1039</v>
      </c>
      <c r="C7037" s="84">
        <v>0.08</v>
      </c>
      <c r="D7037" s="84">
        <v>0.0</v>
      </c>
      <c r="E7037" s="84">
        <v>0.0</v>
      </c>
      <c r="F7037" s="76" t="s">
        <v>996</v>
      </c>
      <c r="G7037" s="83">
        <v>46116.0</v>
      </c>
      <c r="H7037" s="76" t="s">
        <v>962</v>
      </c>
    </row>
    <row r="7038">
      <c r="A7038" s="76" t="s">
        <v>966</v>
      </c>
      <c r="B7038" s="76" t="s">
        <v>1039</v>
      </c>
      <c r="C7038" s="84">
        <v>0.21</v>
      </c>
      <c r="D7038" s="84">
        <v>0.0</v>
      </c>
      <c r="E7038" s="84">
        <v>0.0</v>
      </c>
      <c r="F7038" s="76" t="s">
        <v>996</v>
      </c>
      <c r="G7038" s="83">
        <v>46116.0</v>
      </c>
      <c r="H7038" s="76" t="s">
        <v>967</v>
      </c>
    </row>
    <row r="7039">
      <c r="A7039" s="76" t="s">
        <v>966</v>
      </c>
      <c r="B7039" s="76" t="s">
        <v>1039</v>
      </c>
      <c r="C7039" s="84">
        <v>0.04</v>
      </c>
      <c r="D7039" s="84">
        <v>0.0</v>
      </c>
      <c r="E7039" s="84">
        <v>0.0</v>
      </c>
      <c r="F7039" s="76" t="s">
        <v>996</v>
      </c>
      <c r="G7039" s="83">
        <v>46116.0</v>
      </c>
      <c r="H7039" s="76" t="s">
        <v>968</v>
      </c>
    </row>
    <row r="7040">
      <c r="A7040" s="76" t="s">
        <v>966</v>
      </c>
      <c r="B7040" s="76" t="s">
        <v>1039</v>
      </c>
      <c r="C7040" s="84">
        <v>0.01</v>
      </c>
      <c r="D7040" s="84">
        <v>0.0</v>
      </c>
      <c r="E7040" s="84">
        <v>0.0</v>
      </c>
      <c r="F7040" s="76" t="s">
        <v>996</v>
      </c>
      <c r="G7040" s="83">
        <v>46116.0</v>
      </c>
      <c r="H7040" s="76" t="s">
        <v>969</v>
      </c>
    </row>
    <row r="7041">
      <c r="A7041" s="76" t="s">
        <v>33</v>
      </c>
      <c r="B7041" s="76" t="s">
        <v>1039</v>
      </c>
      <c r="C7041" s="84">
        <v>1.35</v>
      </c>
      <c r="D7041" s="84">
        <v>0.0</v>
      </c>
      <c r="E7041" s="84">
        <v>0.0</v>
      </c>
      <c r="F7041" s="76" t="s">
        <v>996</v>
      </c>
      <c r="G7041" s="83">
        <v>46116.0</v>
      </c>
      <c r="H7041" s="76" t="s">
        <v>957</v>
      </c>
    </row>
    <row r="7042">
      <c r="A7042" s="76" t="s">
        <v>33</v>
      </c>
      <c r="B7042" s="76" t="s">
        <v>1039</v>
      </c>
      <c r="C7042" s="84">
        <v>0.15</v>
      </c>
      <c r="D7042" s="84">
        <v>0.0</v>
      </c>
      <c r="E7042" s="84">
        <v>0.0</v>
      </c>
      <c r="F7042" s="76" t="s">
        <v>996</v>
      </c>
      <c r="G7042" s="83">
        <v>46116.0</v>
      </c>
      <c r="H7042" s="76" t="s">
        <v>958</v>
      </c>
    </row>
    <row r="7043">
      <c r="A7043" s="76" t="s">
        <v>33</v>
      </c>
      <c r="B7043" s="76" t="s">
        <v>1039</v>
      </c>
      <c r="C7043" s="84">
        <v>0.3</v>
      </c>
      <c r="D7043" s="84">
        <v>0.0</v>
      </c>
      <c r="E7043" s="84">
        <v>0.0</v>
      </c>
      <c r="F7043" s="76" t="s">
        <v>996</v>
      </c>
      <c r="G7043" s="83">
        <v>46116.0</v>
      </c>
      <c r="H7043" s="76" t="s">
        <v>959</v>
      </c>
    </row>
    <row r="7044">
      <c r="A7044" s="76" t="s">
        <v>34</v>
      </c>
      <c r="B7044" s="76" t="s">
        <v>1039</v>
      </c>
      <c r="C7044" s="84">
        <v>0.05</v>
      </c>
      <c r="D7044" s="84">
        <v>0.0</v>
      </c>
      <c r="E7044" s="84">
        <v>0.0</v>
      </c>
      <c r="F7044" s="76" t="s">
        <v>996</v>
      </c>
      <c r="G7044" s="83">
        <v>46116.0</v>
      </c>
      <c r="H7044" s="76" t="s">
        <v>951</v>
      </c>
    </row>
    <row r="7045">
      <c r="A7045" s="76" t="s">
        <v>34</v>
      </c>
      <c r="B7045" s="76" t="s">
        <v>1039</v>
      </c>
      <c r="C7045" s="84">
        <v>0.1</v>
      </c>
      <c r="D7045" s="84">
        <v>0.0</v>
      </c>
      <c r="E7045" s="84">
        <v>0.0</v>
      </c>
      <c r="F7045" s="76" t="s">
        <v>996</v>
      </c>
      <c r="G7045" s="83">
        <v>46116.0</v>
      </c>
      <c r="H7045" s="76" t="s">
        <v>952</v>
      </c>
    </row>
    <row r="7046">
      <c r="A7046" s="76" t="s">
        <v>34</v>
      </c>
      <c r="B7046" s="76" t="s">
        <v>1039</v>
      </c>
      <c r="C7046" s="84">
        <v>0.09</v>
      </c>
      <c r="D7046" s="84">
        <v>0.0</v>
      </c>
      <c r="E7046" s="84">
        <v>0.0</v>
      </c>
      <c r="F7046" s="76" t="s">
        <v>996</v>
      </c>
      <c r="G7046" s="83">
        <v>46116.0</v>
      </c>
      <c r="H7046" s="76" t="s">
        <v>953</v>
      </c>
    </row>
    <row r="7047">
      <c r="A7047" s="76" t="s">
        <v>36</v>
      </c>
      <c r="B7047" s="76" t="s">
        <v>1039</v>
      </c>
      <c r="C7047" s="84">
        <v>0.15</v>
      </c>
      <c r="D7047" s="84">
        <v>0.0</v>
      </c>
      <c r="E7047" s="84">
        <v>0.0</v>
      </c>
      <c r="F7047" s="76" t="s">
        <v>996</v>
      </c>
      <c r="G7047" s="83">
        <v>46116.0</v>
      </c>
      <c r="H7047" s="76" t="s">
        <v>926</v>
      </c>
    </row>
    <row r="7048">
      <c r="A7048" s="76" t="s">
        <v>36</v>
      </c>
      <c r="B7048" s="76" t="s">
        <v>1039</v>
      </c>
      <c r="C7048" s="84">
        <v>0.01</v>
      </c>
      <c r="D7048" s="84">
        <v>0.0</v>
      </c>
      <c r="E7048" s="84">
        <v>0.0</v>
      </c>
      <c r="F7048" s="76" t="s">
        <v>996</v>
      </c>
      <c r="G7048" s="83">
        <v>46116.0</v>
      </c>
      <c r="H7048" s="76" t="s">
        <v>927</v>
      </c>
    </row>
    <row r="7049">
      <c r="A7049" s="76" t="s">
        <v>36</v>
      </c>
      <c r="B7049" s="76" t="s">
        <v>1039</v>
      </c>
      <c r="C7049" s="84">
        <v>0.05</v>
      </c>
      <c r="D7049" s="84">
        <v>0.0</v>
      </c>
      <c r="E7049" s="84">
        <v>0.0</v>
      </c>
      <c r="F7049" s="76" t="s">
        <v>996</v>
      </c>
      <c r="G7049" s="83">
        <v>46116.0</v>
      </c>
      <c r="H7049" s="76" t="s">
        <v>928</v>
      </c>
    </row>
    <row r="7050">
      <c r="A7050" s="76" t="s">
        <v>40</v>
      </c>
      <c r="B7050" s="76" t="s">
        <v>1039</v>
      </c>
      <c r="C7050" s="84">
        <v>0.04</v>
      </c>
      <c r="D7050" s="84">
        <v>0.0</v>
      </c>
      <c r="E7050" s="84">
        <v>0.0</v>
      </c>
      <c r="F7050" s="76" t="s">
        <v>996</v>
      </c>
      <c r="G7050" s="83">
        <v>46116.0</v>
      </c>
      <c r="H7050" s="76" t="s">
        <v>954</v>
      </c>
    </row>
    <row r="7051">
      <c r="A7051" s="76" t="s">
        <v>40</v>
      </c>
      <c r="B7051" s="76" t="s">
        <v>1039</v>
      </c>
      <c r="C7051" s="84">
        <v>0.01</v>
      </c>
      <c r="D7051" s="84">
        <v>0.0</v>
      </c>
      <c r="E7051" s="84">
        <v>0.0</v>
      </c>
      <c r="F7051" s="76" t="s">
        <v>996</v>
      </c>
      <c r="G7051" s="83">
        <v>46116.0</v>
      </c>
      <c r="H7051" s="76" t="s">
        <v>955</v>
      </c>
    </row>
    <row r="7052">
      <c r="A7052" s="76" t="s">
        <v>40</v>
      </c>
      <c r="B7052" s="76" t="s">
        <v>1039</v>
      </c>
      <c r="C7052" s="84">
        <v>0.42</v>
      </c>
      <c r="D7052" s="84">
        <v>0.0</v>
      </c>
      <c r="E7052" s="84">
        <v>0.0</v>
      </c>
      <c r="F7052" s="76" t="s">
        <v>996</v>
      </c>
      <c r="G7052" s="83">
        <v>46116.0</v>
      </c>
      <c r="H7052" s="76" t="s">
        <v>956</v>
      </c>
    </row>
    <row r="7053">
      <c r="A7053" s="76" t="s">
        <v>40</v>
      </c>
      <c r="B7053" s="76" t="s">
        <v>1039</v>
      </c>
      <c r="C7053" s="84">
        <v>0.03</v>
      </c>
      <c r="D7053" s="84">
        <v>0.0</v>
      </c>
      <c r="E7053" s="84">
        <v>0.0</v>
      </c>
      <c r="F7053" s="76" t="s">
        <v>993</v>
      </c>
      <c r="G7053" s="83">
        <v>46116.0</v>
      </c>
      <c r="H7053" s="76" t="s">
        <v>954</v>
      </c>
    </row>
    <row r="7054">
      <c r="A7054" s="76" t="s">
        <v>40</v>
      </c>
      <c r="B7054" s="76" t="s">
        <v>1039</v>
      </c>
      <c r="C7054" s="84">
        <v>0.01</v>
      </c>
      <c r="D7054" s="84">
        <v>0.0</v>
      </c>
      <c r="E7054" s="84">
        <v>0.0</v>
      </c>
      <c r="F7054" s="76" t="s">
        <v>993</v>
      </c>
      <c r="G7054" s="83">
        <v>46116.0</v>
      </c>
      <c r="H7054" s="76" t="s">
        <v>955</v>
      </c>
    </row>
    <row r="7055">
      <c r="A7055" s="76" t="s">
        <v>40</v>
      </c>
      <c r="B7055" s="76" t="s">
        <v>1039</v>
      </c>
      <c r="C7055" s="84">
        <v>0.21</v>
      </c>
      <c r="D7055" s="84">
        <v>0.0</v>
      </c>
      <c r="E7055" s="84">
        <v>0.0</v>
      </c>
      <c r="F7055" s="76" t="s">
        <v>993</v>
      </c>
      <c r="G7055" s="83">
        <v>46116.0</v>
      </c>
      <c r="H7055" s="76" t="s">
        <v>956</v>
      </c>
    </row>
    <row r="7056">
      <c r="A7056" s="76" t="s">
        <v>36</v>
      </c>
      <c r="B7056" s="76" t="s">
        <v>1039</v>
      </c>
      <c r="C7056" s="84">
        <v>0.03</v>
      </c>
      <c r="D7056" s="84">
        <v>0.0</v>
      </c>
      <c r="E7056" s="84">
        <v>0.0</v>
      </c>
      <c r="F7056" s="76" t="s">
        <v>993</v>
      </c>
      <c r="G7056" s="83">
        <v>46116.0</v>
      </c>
      <c r="H7056" s="76" t="s">
        <v>926</v>
      </c>
    </row>
    <row r="7057">
      <c r="A7057" s="76" t="s">
        <v>36</v>
      </c>
      <c r="B7057" s="76" t="s">
        <v>1039</v>
      </c>
      <c r="C7057" s="84">
        <v>0.03</v>
      </c>
      <c r="D7057" s="84">
        <v>0.0</v>
      </c>
      <c r="E7057" s="84">
        <v>0.0</v>
      </c>
      <c r="F7057" s="76" t="s">
        <v>993</v>
      </c>
      <c r="G7057" s="83">
        <v>46116.0</v>
      </c>
      <c r="H7057" s="76" t="s">
        <v>927</v>
      </c>
    </row>
    <row r="7058">
      <c r="A7058" s="76" t="s">
        <v>36</v>
      </c>
      <c r="B7058" s="76" t="s">
        <v>1039</v>
      </c>
      <c r="C7058" s="84">
        <v>0.04</v>
      </c>
      <c r="D7058" s="84">
        <v>0.0</v>
      </c>
      <c r="E7058" s="84">
        <v>0.0</v>
      </c>
      <c r="F7058" s="76" t="s">
        <v>993</v>
      </c>
      <c r="G7058" s="83">
        <v>46116.0</v>
      </c>
      <c r="H7058" s="76" t="s">
        <v>928</v>
      </c>
    </row>
    <row r="7059">
      <c r="A7059" s="76" t="s">
        <v>46</v>
      </c>
      <c r="B7059" s="76" t="s">
        <v>1039</v>
      </c>
      <c r="C7059" s="84">
        <v>0.08</v>
      </c>
      <c r="D7059" s="84">
        <v>0.0</v>
      </c>
      <c r="E7059" s="84">
        <v>0.0</v>
      </c>
      <c r="F7059" s="76" t="s">
        <v>993</v>
      </c>
      <c r="G7059" s="83">
        <v>46116.0</v>
      </c>
      <c r="H7059" s="76" t="s">
        <v>960</v>
      </c>
    </row>
    <row r="7060">
      <c r="A7060" s="76" t="s">
        <v>46</v>
      </c>
      <c r="B7060" s="76" t="s">
        <v>1039</v>
      </c>
      <c r="C7060" s="84">
        <v>0.06</v>
      </c>
      <c r="D7060" s="84">
        <v>0.0</v>
      </c>
      <c r="E7060" s="84">
        <v>0.0</v>
      </c>
      <c r="F7060" s="76" t="s">
        <v>993</v>
      </c>
      <c r="G7060" s="83">
        <v>46116.0</v>
      </c>
      <c r="H7060" s="76" t="s">
        <v>961</v>
      </c>
    </row>
    <row r="7061">
      <c r="A7061" s="76" t="s">
        <v>46</v>
      </c>
      <c r="B7061" s="76" t="s">
        <v>1039</v>
      </c>
      <c r="C7061" s="84">
        <v>0.07</v>
      </c>
      <c r="D7061" s="84">
        <v>0.0</v>
      </c>
      <c r="E7061" s="84">
        <v>0.0</v>
      </c>
      <c r="F7061" s="76" t="s">
        <v>993</v>
      </c>
      <c r="G7061" s="83">
        <v>46116.0</v>
      </c>
      <c r="H7061" s="76" t="s">
        <v>962</v>
      </c>
    </row>
    <row r="7062">
      <c r="A7062" s="76" t="s">
        <v>970</v>
      </c>
      <c r="B7062" s="76" t="s">
        <v>1039</v>
      </c>
      <c r="C7062" s="84">
        <v>0.29</v>
      </c>
      <c r="D7062" s="84">
        <v>0.0</v>
      </c>
      <c r="E7062" s="84">
        <v>0.0</v>
      </c>
      <c r="F7062" s="76" t="s">
        <v>993</v>
      </c>
      <c r="G7062" s="83">
        <v>46116.0</v>
      </c>
      <c r="H7062" s="76" t="s">
        <v>971</v>
      </c>
    </row>
    <row r="7063">
      <c r="A7063" s="76" t="s">
        <v>970</v>
      </c>
      <c r="B7063" s="76" t="s">
        <v>1039</v>
      </c>
      <c r="C7063" s="84">
        <v>0.03</v>
      </c>
      <c r="D7063" s="84">
        <v>0.0</v>
      </c>
      <c r="E7063" s="84">
        <v>0.0</v>
      </c>
      <c r="F7063" s="76" t="s">
        <v>993</v>
      </c>
      <c r="G7063" s="83">
        <v>46116.0</v>
      </c>
      <c r="H7063" s="76" t="s">
        <v>972</v>
      </c>
    </row>
    <row r="7064">
      <c r="A7064" s="76" t="s">
        <v>970</v>
      </c>
      <c r="B7064" s="76" t="s">
        <v>1039</v>
      </c>
      <c r="C7064" s="84">
        <v>0.48</v>
      </c>
      <c r="D7064" s="84">
        <v>0.0</v>
      </c>
      <c r="E7064" s="84">
        <v>0.0</v>
      </c>
      <c r="F7064" s="76" t="s">
        <v>993</v>
      </c>
      <c r="G7064" s="83">
        <v>46116.0</v>
      </c>
      <c r="H7064" s="76" t="s">
        <v>973</v>
      </c>
    </row>
    <row r="7065">
      <c r="A7065" s="76" t="s">
        <v>33</v>
      </c>
      <c r="B7065" s="76" t="s">
        <v>1039</v>
      </c>
      <c r="C7065" s="84">
        <v>0.75</v>
      </c>
      <c r="D7065" s="84">
        <v>0.0</v>
      </c>
      <c r="E7065" s="84">
        <v>0.0</v>
      </c>
      <c r="F7065" s="76" t="s">
        <v>993</v>
      </c>
      <c r="G7065" s="83">
        <v>46116.0</v>
      </c>
      <c r="H7065" s="76" t="s">
        <v>957</v>
      </c>
    </row>
    <row r="7066">
      <c r="A7066" s="76" t="s">
        <v>33</v>
      </c>
      <c r="B7066" s="76" t="s">
        <v>1039</v>
      </c>
      <c r="C7066" s="84">
        <v>0.06</v>
      </c>
      <c r="D7066" s="84">
        <v>0.0</v>
      </c>
      <c r="E7066" s="84">
        <v>0.0</v>
      </c>
      <c r="F7066" s="76" t="s">
        <v>993</v>
      </c>
      <c r="G7066" s="83">
        <v>46116.0</v>
      </c>
      <c r="H7066" s="76" t="s">
        <v>958</v>
      </c>
    </row>
    <row r="7067">
      <c r="A7067" s="76" t="s">
        <v>33</v>
      </c>
      <c r="B7067" s="76" t="s">
        <v>1039</v>
      </c>
      <c r="C7067" s="84">
        <v>0.21</v>
      </c>
      <c r="D7067" s="84">
        <v>0.0</v>
      </c>
      <c r="E7067" s="84">
        <v>0.0</v>
      </c>
      <c r="F7067" s="76" t="s">
        <v>993</v>
      </c>
      <c r="G7067" s="83">
        <v>46116.0</v>
      </c>
      <c r="H7067" s="76" t="s">
        <v>959</v>
      </c>
    </row>
    <row r="7068">
      <c r="A7068" s="76" t="s">
        <v>966</v>
      </c>
      <c r="B7068" s="76" t="s">
        <v>1039</v>
      </c>
      <c r="C7068" s="84">
        <v>0.22</v>
      </c>
      <c r="D7068" s="84">
        <v>0.0</v>
      </c>
      <c r="E7068" s="84">
        <v>0.0</v>
      </c>
      <c r="F7068" s="76" t="s">
        <v>993</v>
      </c>
      <c r="G7068" s="83">
        <v>46116.0</v>
      </c>
      <c r="H7068" s="76" t="s">
        <v>967</v>
      </c>
    </row>
    <row r="7069">
      <c r="A7069" s="76" t="s">
        <v>966</v>
      </c>
      <c r="B7069" s="76" t="s">
        <v>1039</v>
      </c>
      <c r="C7069" s="84">
        <v>0.03</v>
      </c>
      <c r="D7069" s="84">
        <v>0.0</v>
      </c>
      <c r="E7069" s="84">
        <v>0.0</v>
      </c>
      <c r="F7069" s="76" t="s">
        <v>993</v>
      </c>
      <c r="G7069" s="83">
        <v>46116.0</v>
      </c>
      <c r="H7069" s="76" t="s">
        <v>968</v>
      </c>
    </row>
    <row r="7070">
      <c r="A7070" s="76" t="s">
        <v>966</v>
      </c>
      <c r="B7070" s="76" t="s">
        <v>1039</v>
      </c>
      <c r="C7070" s="84">
        <v>0.01</v>
      </c>
      <c r="D7070" s="84">
        <v>0.0</v>
      </c>
      <c r="E7070" s="84">
        <v>0.0</v>
      </c>
      <c r="F7070" s="76" t="s">
        <v>993</v>
      </c>
      <c r="G7070" s="83">
        <v>46116.0</v>
      </c>
      <c r="H7070" s="76" t="s">
        <v>969</v>
      </c>
    </row>
    <row r="7071">
      <c r="A7071" s="76" t="s">
        <v>29</v>
      </c>
      <c r="B7071" s="76" t="s">
        <v>1039</v>
      </c>
      <c r="C7071" s="84">
        <v>0.38</v>
      </c>
      <c r="D7071" s="84">
        <v>0.0</v>
      </c>
      <c r="E7071" s="84">
        <v>0.0</v>
      </c>
      <c r="F7071" s="76" t="s">
        <v>993</v>
      </c>
      <c r="G7071" s="83">
        <v>46116.0</v>
      </c>
      <c r="H7071" s="76" t="s">
        <v>971</v>
      </c>
    </row>
    <row r="7072">
      <c r="A7072" s="76" t="s">
        <v>29</v>
      </c>
      <c r="B7072" s="76" t="s">
        <v>1039</v>
      </c>
      <c r="C7072" s="84">
        <v>0.02</v>
      </c>
      <c r="D7072" s="84">
        <v>0.0</v>
      </c>
      <c r="E7072" s="84">
        <v>0.0</v>
      </c>
      <c r="F7072" s="76" t="s">
        <v>993</v>
      </c>
      <c r="G7072" s="83">
        <v>46116.0</v>
      </c>
      <c r="H7072" s="76" t="s">
        <v>972</v>
      </c>
    </row>
    <row r="7073">
      <c r="A7073" s="76" t="s">
        <v>29</v>
      </c>
      <c r="B7073" s="76" t="s">
        <v>1039</v>
      </c>
      <c r="C7073" s="84">
        <v>0.58</v>
      </c>
      <c r="D7073" s="84">
        <v>0.0</v>
      </c>
      <c r="E7073" s="84">
        <v>0.0</v>
      </c>
      <c r="F7073" s="76" t="s">
        <v>993</v>
      </c>
      <c r="G7073" s="83">
        <v>46116.0</v>
      </c>
      <c r="H7073" s="76" t="s">
        <v>973</v>
      </c>
    </row>
    <row r="7074">
      <c r="A7074" s="76" t="s">
        <v>34</v>
      </c>
      <c r="B7074" s="76" t="s">
        <v>1039</v>
      </c>
      <c r="C7074" s="84">
        <v>0.07</v>
      </c>
      <c r="D7074" s="84">
        <v>0.0</v>
      </c>
      <c r="E7074" s="84">
        <v>0.0</v>
      </c>
      <c r="F7074" s="76" t="s">
        <v>993</v>
      </c>
      <c r="G7074" s="83">
        <v>46116.0</v>
      </c>
      <c r="H7074" s="76" t="s">
        <v>951</v>
      </c>
    </row>
    <row r="7075">
      <c r="A7075" s="76" t="s">
        <v>34</v>
      </c>
      <c r="B7075" s="76" t="s">
        <v>1039</v>
      </c>
      <c r="C7075" s="84">
        <v>0.09</v>
      </c>
      <c r="D7075" s="84">
        <v>0.0</v>
      </c>
      <c r="E7075" s="84">
        <v>0.0</v>
      </c>
      <c r="F7075" s="76" t="s">
        <v>993</v>
      </c>
      <c r="G7075" s="83">
        <v>46116.0</v>
      </c>
      <c r="H7075" s="76" t="s">
        <v>952</v>
      </c>
    </row>
    <row r="7076">
      <c r="A7076" s="76" t="s">
        <v>34</v>
      </c>
      <c r="B7076" s="76" t="s">
        <v>1039</v>
      </c>
      <c r="C7076" s="84">
        <v>0.05</v>
      </c>
      <c r="D7076" s="84">
        <v>0.0</v>
      </c>
      <c r="E7076" s="84">
        <v>0.0</v>
      </c>
      <c r="F7076" s="76" t="s">
        <v>993</v>
      </c>
      <c r="G7076" s="83">
        <v>46116.0</v>
      </c>
      <c r="H7076" s="76" t="s">
        <v>953</v>
      </c>
    </row>
    <row r="7077">
      <c r="A7077" s="76" t="s">
        <v>43</v>
      </c>
      <c r="B7077" s="76" t="s">
        <v>1039</v>
      </c>
      <c r="C7077" s="84">
        <v>0.31</v>
      </c>
      <c r="D7077" s="84">
        <v>0.0</v>
      </c>
      <c r="E7077" s="84">
        <v>0.0</v>
      </c>
      <c r="F7077" s="76" t="s">
        <v>993</v>
      </c>
      <c r="G7077" s="83">
        <v>46116.0</v>
      </c>
      <c r="H7077" s="76" t="s">
        <v>963</v>
      </c>
    </row>
    <row r="7078">
      <c r="A7078" s="76" t="s">
        <v>43</v>
      </c>
      <c r="B7078" s="76" t="s">
        <v>1039</v>
      </c>
      <c r="C7078" s="84">
        <v>0.42</v>
      </c>
      <c r="D7078" s="84">
        <v>0.0</v>
      </c>
      <c r="E7078" s="84">
        <v>0.0</v>
      </c>
      <c r="F7078" s="76" t="s">
        <v>993</v>
      </c>
      <c r="G7078" s="83">
        <v>46116.0</v>
      </c>
      <c r="H7078" s="76" t="s">
        <v>964</v>
      </c>
    </row>
    <row r="7079">
      <c r="A7079" s="76" t="s">
        <v>43</v>
      </c>
      <c r="B7079" s="76" t="s">
        <v>1039</v>
      </c>
      <c r="C7079" s="84">
        <v>0.44</v>
      </c>
      <c r="D7079" s="84">
        <v>0.0</v>
      </c>
      <c r="E7079" s="84">
        <v>0.0</v>
      </c>
      <c r="F7079" s="76" t="s">
        <v>993</v>
      </c>
      <c r="G7079" s="83">
        <v>46116.0</v>
      </c>
      <c r="H7079" s="76" t="s">
        <v>965</v>
      </c>
    </row>
    <row r="7080">
      <c r="A7080" s="76" t="s">
        <v>36</v>
      </c>
      <c r="B7080" s="76" t="s">
        <v>1039</v>
      </c>
      <c r="C7080" s="84">
        <v>0.08</v>
      </c>
      <c r="D7080" s="84">
        <v>0.0</v>
      </c>
      <c r="E7080" s="84">
        <v>0.0</v>
      </c>
      <c r="F7080" s="76" t="s">
        <v>998</v>
      </c>
      <c r="G7080" s="83">
        <v>46116.0</v>
      </c>
      <c r="H7080" s="76" t="s">
        <v>926</v>
      </c>
    </row>
    <row r="7081">
      <c r="A7081" s="76" t="s">
        <v>36</v>
      </c>
      <c r="B7081" s="76" t="s">
        <v>1039</v>
      </c>
      <c r="C7081" s="84">
        <v>0.03</v>
      </c>
      <c r="D7081" s="84">
        <v>0.0</v>
      </c>
      <c r="E7081" s="84">
        <v>0.0</v>
      </c>
      <c r="F7081" s="76" t="s">
        <v>998</v>
      </c>
      <c r="G7081" s="83">
        <v>46116.0</v>
      </c>
      <c r="H7081" s="76" t="s">
        <v>927</v>
      </c>
    </row>
    <row r="7082">
      <c r="A7082" s="76" t="s">
        <v>36</v>
      </c>
      <c r="B7082" s="76" t="s">
        <v>1039</v>
      </c>
      <c r="C7082" s="84">
        <v>0.02</v>
      </c>
      <c r="D7082" s="84">
        <v>0.0</v>
      </c>
      <c r="E7082" s="84">
        <v>0.0</v>
      </c>
      <c r="F7082" s="76" t="s">
        <v>998</v>
      </c>
      <c r="G7082" s="83">
        <v>46116.0</v>
      </c>
      <c r="H7082" s="76" t="s">
        <v>928</v>
      </c>
    </row>
    <row r="7083">
      <c r="A7083" s="76" t="s">
        <v>34</v>
      </c>
      <c r="B7083" s="76" t="s">
        <v>1039</v>
      </c>
      <c r="C7083" s="84">
        <v>0.02</v>
      </c>
      <c r="D7083" s="84">
        <v>0.0</v>
      </c>
      <c r="E7083" s="84">
        <v>0.0</v>
      </c>
      <c r="F7083" s="76" t="s">
        <v>998</v>
      </c>
      <c r="G7083" s="83">
        <v>46116.0</v>
      </c>
      <c r="H7083" s="76" t="s">
        <v>951</v>
      </c>
    </row>
    <row r="7084">
      <c r="A7084" s="76" t="s">
        <v>34</v>
      </c>
      <c r="B7084" s="76" t="s">
        <v>1039</v>
      </c>
      <c r="C7084" s="84">
        <v>0.15</v>
      </c>
      <c r="D7084" s="84">
        <v>0.0</v>
      </c>
      <c r="E7084" s="84">
        <v>0.0</v>
      </c>
      <c r="F7084" s="76" t="s">
        <v>998</v>
      </c>
      <c r="G7084" s="83">
        <v>46116.0</v>
      </c>
      <c r="H7084" s="76" t="s">
        <v>952</v>
      </c>
    </row>
    <row r="7085">
      <c r="A7085" s="76" t="s">
        <v>34</v>
      </c>
      <c r="B7085" s="76" t="s">
        <v>1039</v>
      </c>
      <c r="C7085" s="84">
        <v>0.05</v>
      </c>
      <c r="D7085" s="84">
        <v>0.0</v>
      </c>
      <c r="E7085" s="84">
        <v>0.0</v>
      </c>
      <c r="F7085" s="76" t="s">
        <v>998</v>
      </c>
      <c r="G7085" s="83">
        <v>46116.0</v>
      </c>
      <c r="H7085" s="76" t="s">
        <v>953</v>
      </c>
    </row>
    <row r="7086">
      <c r="A7086" s="76" t="s">
        <v>33</v>
      </c>
      <c r="B7086" s="76" t="s">
        <v>1039</v>
      </c>
      <c r="C7086" s="84">
        <v>0.62</v>
      </c>
      <c r="D7086" s="84">
        <v>0.0</v>
      </c>
      <c r="E7086" s="84">
        <v>0.0</v>
      </c>
      <c r="F7086" s="76" t="s">
        <v>998</v>
      </c>
      <c r="G7086" s="83">
        <v>46116.0</v>
      </c>
      <c r="H7086" s="76" t="s">
        <v>957</v>
      </c>
    </row>
    <row r="7087">
      <c r="A7087" s="76" t="s">
        <v>33</v>
      </c>
      <c r="B7087" s="76" t="s">
        <v>1039</v>
      </c>
      <c r="C7087" s="84">
        <v>0.04</v>
      </c>
      <c r="D7087" s="84">
        <v>0.0</v>
      </c>
      <c r="E7087" s="84">
        <v>0.0</v>
      </c>
      <c r="F7087" s="76" t="s">
        <v>998</v>
      </c>
      <c r="G7087" s="83">
        <v>46116.0</v>
      </c>
      <c r="H7087" s="76" t="s">
        <v>958</v>
      </c>
    </row>
    <row r="7088">
      <c r="A7088" s="76" t="s">
        <v>33</v>
      </c>
      <c r="B7088" s="76" t="s">
        <v>1039</v>
      </c>
      <c r="C7088" s="84">
        <v>0.15</v>
      </c>
      <c r="D7088" s="84">
        <v>0.0</v>
      </c>
      <c r="E7088" s="84">
        <v>0.0</v>
      </c>
      <c r="F7088" s="76" t="s">
        <v>998</v>
      </c>
      <c r="G7088" s="83">
        <v>46116.0</v>
      </c>
      <c r="H7088" s="76" t="s">
        <v>959</v>
      </c>
    </row>
    <row r="7089">
      <c r="A7089" s="76" t="s">
        <v>29</v>
      </c>
      <c r="B7089" s="76" t="s">
        <v>1039</v>
      </c>
      <c r="C7089" s="84">
        <v>0.17</v>
      </c>
      <c r="D7089" s="84">
        <v>0.0</v>
      </c>
      <c r="E7089" s="84">
        <v>0.0</v>
      </c>
      <c r="F7089" s="76" t="s">
        <v>998</v>
      </c>
      <c r="G7089" s="83">
        <v>46116.0</v>
      </c>
      <c r="H7089" s="76" t="s">
        <v>971</v>
      </c>
    </row>
    <row r="7090">
      <c r="A7090" s="76" t="s">
        <v>29</v>
      </c>
      <c r="B7090" s="76" t="s">
        <v>1039</v>
      </c>
      <c r="C7090" s="84">
        <v>0.03</v>
      </c>
      <c r="D7090" s="84">
        <v>0.0</v>
      </c>
      <c r="E7090" s="84">
        <v>0.0</v>
      </c>
      <c r="F7090" s="76" t="s">
        <v>998</v>
      </c>
      <c r="G7090" s="83">
        <v>46116.0</v>
      </c>
      <c r="H7090" s="76" t="s">
        <v>972</v>
      </c>
    </row>
    <row r="7091">
      <c r="A7091" s="76" t="s">
        <v>29</v>
      </c>
      <c r="B7091" s="76" t="s">
        <v>1039</v>
      </c>
      <c r="C7091" s="84">
        <v>0.55</v>
      </c>
      <c r="D7091" s="84">
        <v>0.0</v>
      </c>
      <c r="E7091" s="84">
        <v>0.0</v>
      </c>
      <c r="F7091" s="76" t="s">
        <v>998</v>
      </c>
      <c r="G7091" s="83">
        <v>46116.0</v>
      </c>
      <c r="H7091" s="76" t="s">
        <v>973</v>
      </c>
    </row>
    <row r="7092">
      <c r="A7092" s="76" t="s">
        <v>46</v>
      </c>
      <c r="B7092" s="76" t="s">
        <v>1039</v>
      </c>
      <c r="C7092" s="84">
        <v>0.11</v>
      </c>
      <c r="D7092" s="84">
        <v>0.0</v>
      </c>
      <c r="E7092" s="84">
        <v>0.0</v>
      </c>
      <c r="F7092" s="76" t="s">
        <v>998</v>
      </c>
      <c r="G7092" s="83">
        <v>46116.0</v>
      </c>
      <c r="H7092" s="76" t="s">
        <v>960</v>
      </c>
    </row>
    <row r="7093">
      <c r="A7093" s="76" t="s">
        <v>46</v>
      </c>
      <c r="B7093" s="76" t="s">
        <v>1039</v>
      </c>
      <c r="C7093" s="84">
        <v>0.03</v>
      </c>
      <c r="D7093" s="84">
        <v>0.0</v>
      </c>
      <c r="E7093" s="84">
        <v>0.0</v>
      </c>
      <c r="F7093" s="76" t="s">
        <v>998</v>
      </c>
      <c r="G7093" s="83">
        <v>46116.0</v>
      </c>
      <c r="H7093" s="76" t="s">
        <v>961</v>
      </c>
    </row>
    <row r="7094">
      <c r="A7094" s="76" t="s">
        <v>46</v>
      </c>
      <c r="B7094" s="76" t="s">
        <v>1039</v>
      </c>
      <c r="C7094" s="84">
        <v>0.05</v>
      </c>
      <c r="D7094" s="84">
        <v>0.0</v>
      </c>
      <c r="E7094" s="84">
        <v>0.0</v>
      </c>
      <c r="F7094" s="76" t="s">
        <v>998</v>
      </c>
      <c r="G7094" s="83">
        <v>46116.0</v>
      </c>
      <c r="H7094" s="76" t="s">
        <v>962</v>
      </c>
    </row>
    <row r="7095">
      <c r="A7095" s="76" t="s">
        <v>40</v>
      </c>
      <c r="B7095" s="76" t="s">
        <v>1039</v>
      </c>
      <c r="C7095" s="84">
        <v>0.02</v>
      </c>
      <c r="D7095" s="84">
        <v>0.0</v>
      </c>
      <c r="E7095" s="84">
        <v>0.0</v>
      </c>
      <c r="F7095" s="76" t="s">
        <v>998</v>
      </c>
      <c r="G7095" s="83">
        <v>46116.0</v>
      </c>
      <c r="H7095" s="76" t="s">
        <v>954</v>
      </c>
    </row>
    <row r="7096">
      <c r="A7096" s="76" t="s">
        <v>40</v>
      </c>
      <c r="B7096" s="76" t="s">
        <v>1039</v>
      </c>
      <c r="C7096" s="84">
        <v>0.01</v>
      </c>
      <c r="D7096" s="84">
        <v>0.0</v>
      </c>
      <c r="E7096" s="84">
        <v>0.0</v>
      </c>
      <c r="F7096" s="76" t="s">
        <v>998</v>
      </c>
      <c r="G7096" s="83">
        <v>46116.0</v>
      </c>
      <c r="H7096" s="76" t="s">
        <v>955</v>
      </c>
    </row>
    <row r="7097">
      <c r="A7097" s="76" t="s">
        <v>40</v>
      </c>
      <c r="B7097" s="76" t="s">
        <v>1039</v>
      </c>
      <c r="C7097" s="84">
        <v>0.21</v>
      </c>
      <c r="D7097" s="84">
        <v>0.0</v>
      </c>
      <c r="E7097" s="84">
        <v>0.0</v>
      </c>
      <c r="F7097" s="76" t="s">
        <v>998</v>
      </c>
      <c r="G7097" s="83">
        <v>46116.0</v>
      </c>
      <c r="H7097" s="76" t="s">
        <v>956</v>
      </c>
    </row>
    <row r="7098">
      <c r="A7098" s="76" t="s">
        <v>966</v>
      </c>
      <c r="B7098" s="76" t="s">
        <v>1039</v>
      </c>
      <c r="C7098" s="84">
        <v>0.13</v>
      </c>
      <c r="D7098" s="84">
        <v>0.0</v>
      </c>
      <c r="E7098" s="84">
        <v>0.0</v>
      </c>
      <c r="F7098" s="76" t="s">
        <v>998</v>
      </c>
      <c r="G7098" s="83">
        <v>46116.0</v>
      </c>
      <c r="H7098" s="76" t="s">
        <v>967</v>
      </c>
    </row>
    <row r="7099">
      <c r="A7099" s="76" t="s">
        <v>966</v>
      </c>
      <c r="B7099" s="76" t="s">
        <v>1039</v>
      </c>
      <c r="C7099" s="84">
        <v>0.03</v>
      </c>
      <c r="D7099" s="84">
        <v>0.0</v>
      </c>
      <c r="E7099" s="84">
        <v>0.0</v>
      </c>
      <c r="F7099" s="76" t="s">
        <v>998</v>
      </c>
      <c r="G7099" s="83">
        <v>46116.0</v>
      </c>
      <c r="H7099" s="76" t="s">
        <v>968</v>
      </c>
    </row>
    <row r="7100">
      <c r="A7100" s="76" t="s">
        <v>966</v>
      </c>
      <c r="B7100" s="76" t="s">
        <v>1039</v>
      </c>
      <c r="C7100" s="84">
        <v>0.06</v>
      </c>
      <c r="D7100" s="84">
        <v>0.0</v>
      </c>
      <c r="E7100" s="84">
        <v>0.0</v>
      </c>
      <c r="F7100" s="76" t="s">
        <v>998</v>
      </c>
      <c r="G7100" s="83">
        <v>46116.0</v>
      </c>
      <c r="H7100" s="76" t="s">
        <v>969</v>
      </c>
    </row>
    <row r="7101">
      <c r="A7101" s="76" t="s">
        <v>43</v>
      </c>
      <c r="B7101" s="76" t="s">
        <v>1039</v>
      </c>
      <c r="C7101" s="84">
        <v>0.06</v>
      </c>
      <c r="D7101" s="84">
        <v>0.0</v>
      </c>
      <c r="E7101" s="84">
        <v>0.0</v>
      </c>
      <c r="F7101" s="76" t="s">
        <v>998</v>
      </c>
      <c r="G7101" s="83">
        <v>46116.0</v>
      </c>
      <c r="H7101" s="76" t="s">
        <v>963</v>
      </c>
    </row>
    <row r="7102">
      <c r="A7102" s="76" t="s">
        <v>43</v>
      </c>
      <c r="B7102" s="76" t="s">
        <v>1039</v>
      </c>
      <c r="C7102" s="84">
        <v>0.05</v>
      </c>
      <c r="D7102" s="84">
        <v>0.0</v>
      </c>
      <c r="E7102" s="84">
        <v>0.0</v>
      </c>
      <c r="F7102" s="76" t="s">
        <v>998</v>
      </c>
      <c r="G7102" s="83">
        <v>46116.0</v>
      </c>
      <c r="H7102" s="76" t="s">
        <v>964</v>
      </c>
    </row>
    <row r="7103">
      <c r="A7103" s="76" t="s">
        <v>43</v>
      </c>
      <c r="B7103" s="76" t="s">
        <v>1039</v>
      </c>
      <c r="C7103" s="84">
        <v>0.23</v>
      </c>
      <c r="D7103" s="84">
        <v>0.0</v>
      </c>
      <c r="E7103" s="84">
        <v>0.0</v>
      </c>
      <c r="F7103" s="76" t="s">
        <v>998</v>
      </c>
      <c r="G7103" s="83">
        <v>46116.0</v>
      </c>
      <c r="H7103" s="76" t="s">
        <v>965</v>
      </c>
    </row>
    <row r="7104">
      <c r="A7104" s="76" t="s">
        <v>970</v>
      </c>
      <c r="B7104" s="76" t="s">
        <v>1039</v>
      </c>
      <c r="C7104" s="84">
        <v>0.24</v>
      </c>
      <c r="D7104" s="84">
        <v>0.0</v>
      </c>
      <c r="E7104" s="84">
        <v>0.0</v>
      </c>
      <c r="F7104" s="76" t="s">
        <v>998</v>
      </c>
      <c r="G7104" s="83">
        <v>46116.0</v>
      </c>
      <c r="H7104" s="76" t="s">
        <v>971</v>
      </c>
    </row>
    <row r="7105">
      <c r="A7105" s="76" t="s">
        <v>970</v>
      </c>
      <c r="B7105" s="76" t="s">
        <v>1039</v>
      </c>
      <c r="C7105" s="84">
        <v>0.02</v>
      </c>
      <c r="D7105" s="84">
        <v>0.0</v>
      </c>
      <c r="E7105" s="84">
        <v>0.0</v>
      </c>
      <c r="F7105" s="76" t="s">
        <v>998</v>
      </c>
      <c r="G7105" s="83">
        <v>46116.0</v>
      </c>
      <c r="H7105" s="76" t="s">
        <v>972</v>
      </c>
    </row>
    <row r="7106">
      <c r="A7106" s="76" t="s">
        <v>970</v>
      </c>
      <c r="B7106" s="76" t="s">
        <v>1039</v>
      </c>
      <c r="C7106" s="84">
        <v>0.45</v>
      </c>
      <c r="D7106" s="84">
        <v>0.0</v>
      </c>
      <c r="E7106" s="84">
        <v>0.0</v>
      </c>
      <c r="F7106" s="76" t="s">
        <v>998</v>
      </c>
      <c r="G7106" s="83">
        <v>46116.0</v>
      </c>
      <c r="H7106" s="76" t="s">
        <v>973</v>
      </c>
    </row>
    <row r="7107">
      <c r="A7107" s="76" t="s">
        <v>46</v>
      </c>
      <c r="B7107" s="76" t="s">
        <v>1039</v>
      </c>
      <c r="C7107" s="84">
        <v>0.13</v>
      </c>
      <c r="D7107" s="84">
        <v>0.0</v>
      </c>
      <c r="E7107" s="84">
        <v>0.0</v>
      </c>
      <c r="F7107" s="76" t="s">
        <v>997</v>
      </c>
      <c r="G7107" s="83">
        <v>46116.0</v>
      </c>
      <c r="H7107" s="76" t="s">
        <v>960</v>
      </c>
    </row>
    <row r="7108">
      <c r="A7108" s="76" t="s">
        <v>46</v>
      </c>
      <c r="B7108" s="76" t="s">
        <v>1039</v>
      </c>
      <c r="C7108" s="84">
        <v>0.04</v>
      </c>
      <c r="D7108" s="84">
        <v>0.0</v>
      </c>
      <c r="E7108" s="84">
        <v>0.0</v>
      </c>
      <c r="F7108" s="76" t="s">
        <v>997</v>
      </c>
      <c r="G7108" s="83">
        <v>46116.0</v>
      </c>
      <c r="H7108" s="76" t="s">
        <v>961</v>
      </c>
    </row>
    <row r="7109">
      <c r="A7109" s="76" t="s">
        <v>46</v>
      </c>
      <c r="B7109" s="76" t="s">
        <v>1039</v>
      </c>
      <c r="C7109" s="84">
        <v>0.08</v>
      </c>
      <c r="D7109" s="84">
        <v>0.0</v>
      </c>
      <c r="E7109" s="84">
        <v>0.0</v>
      </c>
      <c r="F7109" s="76" t="s">
        <v>997</v>
      </c>
      <c r="G7109" s="83">
        <v>46116.0</v>
      </c>
      <c r="H7109" s="76" t="s">
        <v>962</v>
      </c>
    </row>
    <row r="7110">
      <c r="A7110" s="76" t="s">
        <v>34</v>
      </c>
      <c r="B7110" s="76" t="s">
        <v>1039</v>
      </c>
      <c r="C7110" s="84">
        <v>0.1</v>
      </c>
      <c r="D7110" s="84">
        <v>0.0</v>
      </c>
      <c r="E7110" s="84">
        <v>0.0</v>
      </c>
      <c r="F7110" s="76" t="s">
        <v>997</v>
      </c>
      <c r="G7110" s="83">
        <v>46116.0</v>
      </c>
      <c r="H7110" s="76" t="s">
        <v>951</v>
      </c>
    </row>
    <row r="7111">
      <c r="A7111" s="76" t="s">
        <v>34</v>
      </c>
      <c r="B7111" s="76" t="s">
        <v>1039</v>
      </c>
      <c r="C7111" s="84">
        <v>0.1</v>
      </c>
      <c r="D7111" s="84">
        <v>0.0</v>
      </c>
      <c r="E7111" s="84">
        <v>0.0</v>
      </c>
      <c r="F7111" s="76" t="s">
        <v>997</v>
      </c>
      <c r="G7111" s="83">
        <v>46116.0</v>
      </c>
      <c r="H7111" s="76" t="s">
        <v>952</v>
      </c>
    </row>
    <row r="7112">
      <c r="A7112" s="76" t="s">
        <v>34</v>
      </c>
      <c r="B7112" s="76" t="s">
        <v>1039</v>
      </c>
      <c r="C7112" s="84">
        <v>0.06</v>
      </c>
      <c r="D7112" s="84">
        <v>0.0</v>
      </c>
      <c r="E7112" s="84">
        <v>0.0</v>
      </c>
      <c r="F7112" s="76" t="s">
        <v>997</v>
      </c>
      <c r="G7112" s="83">
        <v>46116.0</v>
      </c>
      <c r="H7112" s="76" t="s">
        <v>953</v>
      </c>
    </row>
    <row r="7113">
      <c r="A7113" s="76" t="s">
        <v>40</v>
      </c>
      <c r="B7113" s="76" t="s">
        <v>1039</v>
      </c>
      <c r="C7113" s="84">
        <v>0.05</v>
      </c>
      <c r="D7113" s="84">
        <v>0.0</v>
      </c>
      <c r="E7113" s="84">
        <v>0.0</v>
      </c>
      <c r="F7113" s="76" t="s">
        <v>997</v>
      </c>
      <c r="G7113" s="83">
        <v>46116.0</v>
      </c>
      <c r="H7113" s="76" t="s">
        <v>954</v>
      </c>
    </row>
    <row r="7114">
      <c r="A7114" s="76" t="s">
        <v>40</v>
      </c>
      <c r="B7114" s="76" t="s">
        <v>1039</v>
      </c>
      <c r="C7114" s="84">
        <v>0.02</v>
      </c>
      <c r="D7114" s="84">
        <v>0.0</v>
      </c>
      <c r="E7114" s="84">
        <v>0.0</v>
      </c>
      <c r="F7114" s="76" t="s">
        <v>997</v>
      </c>
      <c r="G7114" s="83">
        <v>46116.0</v>
      </c>
      <c r="H7114" s="76" t="s">
        <v>955</v>
      </c>
    </row>
    <row r="7115">
      <c r="A7115" s="76" t="s">
        <v>40</v>
      </c>
      <c r="B7115" s="76" t="s">
        <v>1039</v>
      </c>
      <c r="C7115" s="84">
        <v>0.5</v>
      </c>
      <c r="D7115" s="84">
        <v>0.0</v>
      </c>
      <c r="E7115" s="84">
        <v>0.0</v>
      </c>
      <c r="F7115" s="76" t="s">
        <v>997</v>
      </c>
      <c r="G7115" s="83">
        <v>46116.0</v>
      </c>
      <c r="H7115" s="76" t="s">
        <v>956</v>
      </c>
    </row>
    <row r="7116">
      <c r="A7116" s="76" t="s">
        <v>36</v>
      </c>
      <c r="B7116" s="76" t="s">
        <v>1039</v>
      </c>
      <c r="C7116" s="84">
        <v>0.13</v>
      </c>
      <c r="D7116" s="84">
        <v>0.0</v>
      </c>
      <c r="E7116" s="84">
        <v>0.0</v>
      </c>
      <c r="F7116" s="76" t="s">
        <v>997</v>
      </c>
      <c r="G7116" s="83">
        <v>46116.0</v>
      </c>
      <c r="H7116" s="76" t="s">
        <v>926</v>
      </c>
    </row>
    <row r="7117">
      <c r="A7117" s="76" t="s">
        <v>36</v>
      </c>
      <c r="B7117" s="76" t="s">
        <v>1039</v>
      </c>
      <c r="C7117" s="84">
        <v>0.08</v>
      </c>
      <c r="D7117" s="84">
        <v>0.0</v>
      </c>
      <c r="E7117" s="84">
        <v>0.0</v>
      </c>
      <c r="F7117" s="76" t="s">
        <v>997</v>
      </c>
      <c r="G7117" s="83">
        <v>46116.0</v>
      </c>
      <c r="H7117" s="76" t="s">
        <v>927</v>
      </c>
    </row>
    <row r="7118">
      <c r="A7118" s="76" t="s">
        <v>36</v>
      </c>
      <c r="B7118" s="76" t="s">
        <v>1039</v>
      </c>
      <c r="C7118" s="84">
        <v>0.05</v>
      </c>
      <c r="D7118" s="84">
        <v>0.0</v>
      </c>
      <c r="E7118" s="84">
        <v>0.0</v>
      </c>
      <c r="F7118" s="76" t="s">
        <v>997</v>
      </c>
      <c r="G7118" s="83">
        <v>46116.0</v>
      </c>
      <c r="H7118" s="76" t="s">
        <v>928</v>
      </c>
    </row>
    <row r="7119">
      <c r="A7119" s="76" t="s">
        <v>970</v>
      </c>
      <c r="B7119" s="76" t="s">
        <v>1039</v>
      </c>
      <c r="C7119" s="84">
        <v>0.19</v>
      </c>
      <c r="D7119" s="84">
        <v>0.0</v>
      </c>
      <c r="E7119" s="84">
        <v>0.0</v>
      </c>
      <c r="F7119" s="76" t="s">
        <v>997</v>
      </c>
      <c r="G7119" s="83">
        <v>46116.0</v>
      </c>
      <c r="H7119" s="76" t="s">
        <v>971</v>
      </c>
    </row>
    <row r="7120">
      <c r="A7120" s="76" t="s">
        <v>970</v>
      </c>
      <c r="B7120" s="76" t="s">
        <v>1039</v>
      </c>
      <c r="C7120" s="84">
        <v>0.06</v>
      </c>
      <c r="D7120" s="84">
        <v>0.0</v>
      </c>
      <c r="E7120" s="84">
        <v>0.0</v>
      </c>
      <c r="F7120" s="76" t="s">
        <v>997</v>
      </c>
      <c r="G7120" s="83">
        <v>46116.0</v>
      </c>
      <c r="H7120" s="76" t="s">
        <v>972</v>
      </c>
    </row>
    <row r="7121">
      <c r="A7121" s="76" t="s">
        <v>970</v>
      </c>
      <c r="B7121" s="76" t="s">
        <v>1039</v>
      </c>
      <c r="C7121" s="84">
        <v>0.71</v>
      </c>
      <c r="D7121" s="84">
        <v>0.0</v>
      </c>
      <c r="E7121" s="84">
        <v>0.0</v>
      </c>
      <c r="F7121" s="76" t="s">
        <v>997</v>
      </c>
      <c r="G7121" s="83">
        <v>46116.0</v>
      </c>
      <c r="H7121" s="76" t="s">
        <v>973</v>
      </c>
    </row>
    <row r="7122">
      <c r="A7122" s="76" t="s">
        <v>33</v>
      </c>
      <c r="B7122" s="76" t="s">
        <v>1039</v>
      </c>
      <c r="C7122" s="84">
        <v>1.11</v>
      </c>
      <c r="D7122" s="84">
        <v>0.0</v>
      </c>
      <c r="E7122" s="84">
        <v>0.0</v>
      </c>
      <c r="F7122" s="76" t="s">
        <v>997</v>
      </c>
      <c r="G7122" s="83">
        <v>46116.0</v>
      </c>
      <c r="H7122" s="76" t="s">
        <v>957</v>
      </c>
    </row>
    <row r="7123">
      <c r="A7123" s="76" t="s">
        <v>33</v>
      </c>
      <c r="B7123" s="76" t="s">
        <v>1039</v>
      </c>
      <c r="C7123" s="84">
        <v>0.1</v>
      </c>
      <c r="D7123" s="84">
        <v>0.0</v>
      </c>
      <c r="E7123" s="84">
        <v>0.0</v>
      </c>
      <c r="F7123" s="76" t="s">
        <v>997</v>
      </c>
      <c r="G7123" s="83">
        <v>46116.0</v>
      </c>
      <c r="H7123" s="76" t="s">
        <v>958</v>
      </c>
    </row>
    <row r="7124">
      <c r="A7124" s="76" t="s">
        <v>33</v>
      </c>
      <c r="B7124" s="76" t="s">
        <v>1039</v>
      </c>
      <c r="C7124" s="84">
        <v>0.31</v>
      </c>
      <c r="D7124" s="84">
        <v>0.0</v>
      </c>
      <c r="E7124" s="84">
        <v>0.0</v>
      </c>
      <c r="F7124" s="76" t="s">
        <v>997</v>
      </c>
      <c r="G7124" s="83">
        <v>46116.0</v>
      </c>
      <c r="H7124" s="76" t="s">
        <v>959</v>
      </c>
    </row>
    <row r="7125">
      <c r="A7125" s="76" t="s">
        <v>29</v>
      </c>
      <c r="B7125" s="76" t="s">
        <v>1039</v>
      </c>
      <c r="C7125" s="84">
        <v>0.17</v>
      </c>
      <c r="D7125" s="84">
        <v>0.0</v>
      </c>
      <c r="E7125" s="84">
        <v>0.0</v>
      </c>
      <c r="F7125" s="76" t="s">
        <v>997</v>
      </c>
      <c r="G7125" s="83">
        <v>46116.0</v>
      </c>
      <c r="H7125" s="76" t="s">
        <v>971</v>
      </c>
    </row>
    <row r="7126">
      <c r="A7126" s="76" t="s">
        <v>29</v>
      </c>
      <c r="B7126" s="76" t="s">
        <v>1039</v>
      </c>
      <c r="C7126" s="84">
        <v>0.05</v>
      </c>
      <c r="D7126" s="84">
        <v>0.0</v>
      </c>
      <c r="E7126" s="84">
        <v>0.0</v>
      </c>
      <c r="F7126" s="76" t="s">
        <v>997</v>
      </c>
      <c r="G7126" s="83">
        <v>46116.0</v>
      </c>
      <c r="H7126" s="76" t="s">
        <v>972</v>
      </c>
    </row>
    <row r="7127">
      <c r="A7127" s="76" t="s">
        <v>29</v>
      </c>
      <c r="B7127" s="76" t="s">
        <v>1039</v>
      </c>
      <c r="C7127" s="84">
        <v>0.64</v>
      </c>
      <c r="D7127" s="84">
        <v>0.0</v>
      </c>
      <c r="E7127" s="84">
        <v>0.0</v>
      </c>
      <c r="F7127" s="76" t="s">
        <v>997</v>
      </c>
      <c r="G7127" s="83">
        <v>46116.0</v>
      </c>
      <c r="H7127" s="76" t="s">
        <v>973</v>
      </c>
    </row>
    <row r="7128">
      <c r="A7128" s="76" t="s">
        <v>43</v>
      </c>
      <c r="B7128" s="76" t="s">
        <v>1039</v>
      </c>
      <c r="C7128" s="84">
        <v>0.12</v>
      </c>
      <c r="D7128" s="84">
        <v>0.0</v>
      </c>
      <c r="E7128" s="84">
        <v>0.0</v>
      </c>
      <c r="F7128" s="76" t="s">
        <v>997</v>
      </c>
      <c r="G7128" s="83">
        <v>46116.0</v>
      </c>
      <c r="H7128" s="76" t="s">
        <v>963</v>
      </c>
    </row>
    <row r="7129">
      <c r="A7129" s="76" t="s">
        <v>43</v>
      </c>
      <c r="B7129" s="76" t="s">
        <v>1039</v>
      </c>
      <c r="C7129" s="84">
        <v>0.08</v>
      </c>
      <c r="D7129" s="84">
        <v>0.0</v>
      </c>
      <c r="E7129" s="84">
        <v>0.0</v>
      </c>
      <c r="F7129" s="76" t="s">
        <v>997</v>
      </c>
      <c r="G7129" s="83">
        <v>46116.0</v>
      </c>
      <c r="H7129" s="76" t="s">
        <v>964</v>
      </c>
    </row>
    <row r="7130">
      <c r="A7130" s="76" t="s">
        <v>43</v>
      </c>
      <c r="B7130" s="76" t="s">
        <v>1039</v>
      </c>
      <c r="C7130" s="84">
        <v>0.41</v>
      </c>
      <c r="D7130" s="84">
        <v>0.0</v>
      </c>
      <c r="E7130" s="84">
        <v>0.0</v>
      </c>
      <c r="F7130" s="76" t="s">
        <v>997</v>
      </c>
      <c r="G7130" s="83">
        <v>46116.0</v>
      </c>
      <c r="H7130" s="76" t="s">
        <v>965</v>
      </c>
    </row>
    <row r="7131">
      <c r="A7131" s="76" t="s">
        <v>966</v>
      </c>
      <c r="B7131" s="76" t="s">
        <v>1039</v>
      </c>
      <c r="C7131" s="84">
        <v>0.27</v>
      </c>
      <c r="D7131" s="84">
        <v>0.0</v>
      </c>
      <c r="E7131" s="84">
        <v>0.0</v>
      </c>
      <c r="F7131" s="76" t="s">
        <v>997</v>
      </c>
      <c r="G7131" s="83">
        <v>46116.0</v>
      </c>
      <c r="H7131" s="76" t="s">
        <v>967</v>
      </c>
    </row>
    <row r="7132">
      <c r="A7132" s="76" t="s">
        <v>966</v>
      </c>
      <c r="B7132" s="76" t="s">
        <v>1039</v>
      </c>
      <c r="C7132" s="84">
        <v>0.05</v>
      </c>
      <c r="D7132" s="84">
        <v>0.0</v>
      </c>
      <c r="E7132" s="84">
        <v>0.0</v>
      </c>
      <c r="F7132" s="76" t="s">
        <v>997</v>
      </c>
      <c r="G7132" s="83">
        <v>46116.0</v>
      </c>
      <c r="H7132" s="76" t="s">
        <v>968</v>
      </c>
    </row>
    <row r="7133">
      <c r="A7133" s="76" t="s">
        <v>966</v>
      </c>
      <c r="B7133" s="76" t="s">
        <v>1039</v>
      </c>
      <c r="C7133" s="84">
        <v>0.01</v>
      </c>
      <c r="D7133" s="84">
        <v>0.0</v>
      </c>
      <c r="E7133" s="84">
        <v>0.0</v>
      </c>
      <c r="F7133" s="76" t="s">
        <v>997</v>
      </c>
      <c r="G7133" s="83">
        <v>46116.0</v>
      </c>
      <c r="H7133" s="76" t="s">
        <v>969</v>
      </c>
    </row>
    <row r="7134">
      <c r="A7134" s="76" t="s">
        <v>42</v>
      </c>
      <c r="B7134" s="76" t="s">
        <v>1040</v>
      </c>
      <c r="C7134" s="84">
        <v>0.13</v>
      </c>
      <c r="D7134" s="84">
        <v>0.0</v>
      </c>
      <c r="E7134" s="84">
        <v>0.0</v>
      </c>
      <c r="F7134" s="76" t="s">
        <v>925</v>
      </c>
      <c r="G7134" s="83">
        <v>46116.0</v>
      </c>
      <c r="H7134" s="76" t="s">
        <v>991</v>
      </c>
    </row>
    <row r="7135">
      <c r="A7135" s="76" t="s">
        <v>42</v>
      </c>
      <c r="B7135" s="76" t="s">
        <v>1040</v>
      </c>
      <c r="C7135" s="84">
        <v>1.01</v>
      </c>
      <c r="D7135" s="84">
        <v>2.0</v>
      </c>
      <c r="E7135" s="84">
        <v>0.5</v>
      </c>
      <c r="F7135" s="76" t="s">
        <v>925</v>
      </c>
      <c r="G7135" s="83">
        <v>46116.0</v>
      </c>
      <c r="H7135" s="76" t="s">
        <v>935</v>
      </c>
    </row>
    <row r="7136">
      <c r="A7136" s="76" t="s">
        <v>36</v>
      </c>
      <c r="B7136" s="76" t="s">
        <v>1040</v>
      </c>
      <c r="C7136" s="84">
        <v>0.37</v>
      </c>
      <c r="D7136" s="84">
        <v>0.0</v>
      </c>
      <c r="E7136" s="84">
        <v>0.0</v>
      </c>
      <c r="F7136" s="76" t="s">
        <v>925</v>
      </c>
      <c r="G7136" s="83">
        <v>46116.0</v>
      </c>
      <c r="H7136" s="76" t="s">
        <v>926</v>
      </c>
    </row>
    <row r="7137">
      <c r="A7137" s="76" t="s">
        <v>36</v>
      </c>
      <c r="B7137" s="76" t="s">
        <v>1040</v>
      </c>
      <c r="C7137" s="84">
        <v>0.13</v>
      </c>
      <c r="D7137" s="84">
        <v>0.0</v>
      </c>
      <c r="E7137" s="84">
        <v>0.0</v>
      </c>
      <c r="F7137" s="76" t="s">
        <v>925</v>
      </c>
      <c r="G7137" s="83">
        <v>46116.0</v>
      </c>
      <c r="H7137" s="76" t="s">
        <v>927</v>
      </c>
    </row>
    <row r="7138">
      <c r="A7138" s="76" t="s">
        <v>36</v>
      </c>
      <c r="B7138" s="76" t="s">
        <v>1040</v>
      </c>
      <c r="C7138" s="84">
        <v>0.23</v>
      </c>
      <c r="D7138" s="84">
        <v>0.0</v>
      </c>
      <c r="E7138" s="84">
        <v>0.0</v>
      </c>
      <c r="F7138" s="76" t="s">
        <v>925</v>
      </c>
      <c r="G7138" s="83">
        <v>46116.0</v>
      </c>
      <c r="H7138" s="76" t="s">
        <v>928</v>
      </c>
    </row>
    <row r="7139">
      <c r="A7139" s="76" t="s">
        <v>32</v>
      </c>
      <c r="B7139" s="76" t="s">
        <v>1040</v>
      </c>
      <c r="C7139" s="84">
        <v>0.69</v>
      </c>
      <c r="D7139" s="84">
        <v>0.0</v>
      </c>
      <c r="E7139" s="84">
        <v>0.0</v>
      </c>
      <c r="F7139" s="76" t="s">
        <v>925</v>
      </c>
      <c r="G7139" s="83">
        <v>46116.0</v>
      </c>
      <c r="H7139" s="76" t="s">
        <v>941</v>
      </c>
    </row>
    <row r="7140">
      <c r="A7140" s="76" t="s">
        <v>32</v>
      </c>
      <c r="B7140" s="76" t="s">
        <v>1040</v>
      </c>
      <c r="C7140" s="84">
        <v>0.38</v>
      </c>
      <c r="D7140" s="84">
        <v>0.0</v>
      </c>
      <c r="E7140" s="84">
        <v>0.0</v>
      </c>
      <c r="F7140" s="76" t="s">
        <v>925</v>
      </c>
      <c r="G7140" s="83">
        <v>46116.0</v>
      </c>
      <c r="H7140" s="76" t="s">
        <v>942</v>
      </c>
    </row>
    <row r="7141">
      <c r="A7141" s="76" t="s">
        <v>32</v>
      </c>
      <c r="B7141" s="76" t="s">
        <v>1040</v>
      </c>
      <c r="C7141" s="84">
        <v>0.65</v>
      </c>
      <c r="D7141" s="84">
        <v>0.0</v>
      </c>
      <c r="E7141" s="84">
        <v>0.0</v>
      </c>
      <c r="F7141" s="76" t="s">
        <v>925</v>
      </c>
      <c r="G7141" s="83">
        <v>46116.0</v>
      </c>
      <c r="H7141" s="76" t="s">
        <v>943</v>
      </c>
    </row>
    <row r="7142">
      <c r="A7142" s="76" t="s">
        <v>944</v>
      </c>
      <c r="B7142" s="76" t="s">
        <v>1040</v>
      </c>
      <c r="C7142" s="84">
        <v>0.5</v>
      </c>
      <c r="D7142" s="84">
        <v>0.0</v>
      </c>
      <c r="E7142" s="84">
        <v>0.0</v>
      </c>
      <c r="F7142" s="76" t="s">
        <v>925</v>
      </c>
      <c r="G7142" s="83">
        <v>46116.0</v>
      </c>
      <c r="H7142" s="76" t="s">
        <v>945</v>
      </c>
    </row>
    <row r="7143">
      <c r="A7143" s="76" t="s">
        <v>944</v>
      </c>
      <c r="B7143" s="76" t="s">
        <v>1040</v>
      </c>
      <c r="C7143" s="84">
        <v>0.08</v>
      </c>
      <c r="D7143" s="84">
        <v>0.0</v>
      </c>
      <c r="E7143" s="84">
        <v>0.0</v>
      </c>
      <c r="F7143" s="76" t="s">
        <v>925</v>
      </c>
      <c r="G7143" s="83">
        <v>46116.0</v>
      </c>
      <c r="H7143" s="76" t="s">
        <v>946</v>
      </c>
    </row>
    <row r="7144">
      <c r="A7144" s="76" t="s">
        <v>944</v>
      </c>
      <c r="B7144" s="76" t="s">
        <v>1040</v>
      </c>
      <c r="C7144" s="84">
        <v>0.19</v>
      </c>
      <c r="D7144" s="84">
        <v>0.0</v>
      </c>
      <c r="E7144" s="84">
        <v>0.0</v>
      </c>
      <c r="F7144" s="76" t="s">
        <v>925</v>
      </c>
      <c r="G7144" s="83">
        <v>46116.0</v>
      </c>
      <c r="H7144" s="76" t="s">
        <v>947</v>
      </c>
    </row>
    <row r="7145">
      <c r="A7145" s="76" t="s">
        <v>31</v>
      </c>
      <c r="B7145" s="76" t="s">
        <v>1040</v>
      </c>
      <c r="C7145" s="84">
        <v>0.15</v>
      </c>
      <c r="D7145" s="84">
        <v>0.0</v>
      </c>
      <c r="E7145" s="84">
        <v>0.0</v>
      </c>
      <c r="F7145" s="76" t="s">
        <v>925</v>
      </c>
      <c r="G7145" s="83">
        <v>46116.0</v>
      </c>
      <c r="H7145" s="76" t="s">
        <v>929</v>
      </c>
    </row>
    <row r="7146">
      <c r="A7146" s="76" t="s">
        <v>31</v>
      </c>
      <c r="B7146" s="76" t="s">
        <v>1040</v>
      </c>
      <c r="C7146" s="84">
        <v>2.77</v>
      </c>
      <c r="D7146" s="84">
        <v>0.0</v>
      </c>
      <c r="E7146" s="84">
        <v>0.0</v>
      </c>
      <c r="F7146" s="76" t="s">
        <v>925</v>
      </c>
      <c r="G7146" s="83">
        <v>46116.0</v>
      </c>
      <c r="H7146" s="76" t="s">
        <v>930</v>
      </c>
    </row>
    <row r="7147">
      <c r="A7147" s="76" t="s">
        <v>45</v>
      </c>
      <c r="B7147" s="76" t="s">
        <v>1040</v>
      </c>
      <c r="C7147" s="84">
        <v>0.09</v>
      </c>
      <c r="D7147" s="84">
        <v>0.0</v>
      </c>
      <c r="E7147" s="84">
        <v>0.0</v>
      </c>
      <c r="F7147" s="76" t="s">
        <v>925</v>
      </c>
      <c r="G7147" s="83">
        <v>46116.0</v>
      </c>
      <c r="H7147" s="76" t="s">
        <v>936</v>
      </c>
    </row>
    <row r="7148">
      <c r="A7148" s="76" t="s">
        <v>45</v>
      </c>
      <c r="B7148" s="76" t="s">
        <v>1040</v>
      </c>
      <c r="C7148" s="84">
        <v>0.06</v>
      </c>
      <c r="D7148" s="84">
        <v>0.0</v>
      </c>
      <c r="E7148" s="84">
        <v>0.0</v>
      </c>
      <c r="F7148" s="76" t="s">
        <v>925</v>
      </c>
      <c r="G7148" s="83">
        <v>46116.0</v>
      </c>
      <c r="H7148" s="76" t="s">
        <v>937</v>
      </c>
    </row>
    <row r="7149">
      <c r="A7149" s="76" t="s">
        <v>45</v>
      </c>
      <c r="B7149" s="76" t="s">
        <v>1040</v>
      </c>
      <c r="C7149" s="84">
        <v>0.17</v>
      </c>
      <c r="D7149" s="84">
        <v>0.0</v>
      </c>
      <c r="E7149" s="84">
        <v>0.0</v>
      </c>
      <c r="F7149" s="76" t="s">
        <v>925</v>
      </c>
      <c r="G7149" s="83">
        <v>46116.0</v>
      </c>
      <c r="H7149" s="76" t="s">
        <v>938</v>
      </c>
    </row>
    <row r="7150">
      <c r="A7150" s="76" t="s">
        <v>26</v>
      </c>
      <c r="B7150" s="76" t="s">
        <v>1040</v>
      </c>
      <c r="C7150" s="84">
        <v>0.18</v>
      </c>
      <c r="D7150" s="84">
        <v>0.0</v>
      </c>
      <c r="E7150" s="84">
        <v>0.0</v>
      </c>
      <c r="F7150" s="76" t="s">
        <v>925</v>
      </c>
      <c r="G7150" s="83">
        <v>46116.0</v>
      </c>
      <c r="H7150" s="76" t="s">
        <v>1012</v>
      </c>
    </row>
    <row r="7151">
      <c r="A7151" s="76" t="s">
        <v>26</v>
      </c>
      <c r="B7151" s="76" t="s">
        <v>1040</v>
      </c>
      <c r="C7151" s="84">
        <v>0.19</v>
      </c>
      <c r="D7151" s="84">
        <v>0.0</v>
      </c>
      <c r="E7151" s="84">
        <v>0.0</v>
      </c>
      <c r="F7151" s="76" t="s">
        <v>925</v>
      </c>
      <c r="G7151" s="83">
        <v>46116.0</v>
      </c>
      <c r="H7151" s="76" t="s">
        <v>1013</v>
      </c>
    </row>
    <row r="7152">
      <c r="A7152" s="76" t="s">
        <v>26</v>
      </c>
      <c r="B7152" s="76" t="s">
        <v>1040</v>
      </c>
      <c r="C7152" s="84">
        <v>0.49</v>
      </c>
      <c r="D7152" s="84">
        <v>0.0</v>
      </c>
      <c r="E7152" s="84">
        <v>0.0</v>
      </c>
      <c r="F7152" s="76" t="s">
        <v>925</v>
      </c>
      <c r="G7152" s="83">
        <v>46116.0</v>
      </c>
      <c r="H7152" s="76" t="s">
        <v>1014</v>
      </c>
    </row>
    <row r="7153">
      <c r="A7153" s="76" t="s">
        <v>28</v>
      </c>
      <c r="B7153" s="76" t="s">
        <v>1040</v>
      </c>
      <c r="C7153" s="84">
        <v>0.11</v>
      </c>
      <c r="D7153" s="84">
        <v>0.0</v>
      </c>
      <c r="E7153" s="84">
        <v>0.0</v>
      </c>
      <c r="F7153" s="76" t="s">
        <v>925</v>
      </c>
      <c r="G7153" s="83">
        <v>46116.0</v>
      </c>
      <c r="H7153" s="76" t="s">
        <v>931</v>
      </c>
    </row>
    <row r="7154">
      <c r="A7154" s="76" t="s">
        <v>28</v>
      </c>
      <c r="B7154" s="76" t="s">
        <v>1040</v>
      </c>
      <c r="C7154" s="84">
        <v>0.14</v>
      </c>
      <c r="D7154" s="84">
        <v>0.0</v>
      </c>
      <c r="E7154" s="84">
        <v>0.0</v>
      </c>
      <c r="F7154" s="76" t="s">
        <v>925</v>
      </c>
      <c r="G7154" s="83">
        <v>46116.0</v>
      </c>
      <c r="H7154" s="76" t="s">
        <v>932</v>
      </c>
    </row>
    <row r="7155">
      <c r="A7155" s="76" t="s">
        <v>28</v>
      </c>
      <c r="B7155" s="76" t="s">
        <v>1040</v>
      </c>
      <c r="C7155" s="84">
        <v>1.3</v>
      </c>
      <c r="D7155" s="84">
        <v>0.0</v>
      </c>
      <c r="E7155" s="84">
        <v>0.0</v>
      </c>
      <c r="F7155" s="76" t="s">
        <v>925</v>
      </c>
      <c r="G7155" s="83">
        <v>46116.0</v>
      </c>
      <c r="H7155" s="76" t="s">
        <v>933</v>
      </c>
    </row>
    <row r="7156">
      <c r="A7156" s="76" t="s">
        <v>31</v>
      </c>
      <c r="B7156" s="76" t="s">
        <v>1040</v>
      </c>
      <c r="C7156" s="84">
        <v>0.1</v>
      </c>
      <c r="D7156" s="84">
        <v>0.0</v>
      </c>
      <c r="E7156" s="84">
        <v>0.0</v>
      </c>
      <c r="F7156" s="76" t="s">
        <v>948</v>
      </c>
      <c r="G7156" s="83">
        <v>46116.0</v>
      </c>
      <c r="H7156" s="76" t="s">
        <v>929</v>
      </c>
    </row>
    <row r="7157">
      <c r="A7157" s="76" t="s">
        <v>31</v>
      </c>
      <c r="B7157" s="76" t="s">
        <v>1040</v>
      </c>
      <c r="C7157" s="84">
        <v>1.64</v>
      </c>
      <c r="D7157" s="84">
        <v>0.0</v>
      </c>
      <c r="E7157" s="84">
        <v>0.0</v>
      </c>
      <c r="F7157" s="76" t="s">
        <v>948</v>
      </c>
      <c r="G7157" s="83">
        <v>46116.0</v>
      </c>
      <c r="H7157" s="76" t="s">
        <v>930</v>
      </c>
    </row>
    <row r="7158">
      <c r="A7158" s="76" t="s">
        <v>944</v>
      </c>
      <c r="B7158" s="76" t="s">
        <v>1040</v>
      </c>
      <c r="C7158" s="84">
        <v>0.35</v>
      </c>
      <c r="D7158" s="84">
        <v>0.0</v>
      </c>
      <c r="E7158" s="84">
        <v>0.0</v>
      </c>
      <c r="F7158" s="76" t="s">
        <v>948</v>
      </c>
      <c r="G7158" s="83">
        <v>46116.0</v>
      </c>
      <c r="H7158" s="76" t="s">
        <v>945</v>
      </c>
    </row>
    <row r="7159">
      <c r="A7159" s="76" t="s">
        <v>944</v>
      </c>
      <c r="B7159" s="76" t="s">
        <v>1040</v>
      </c>
      <c r="C7159" s="84">
        <v>0.07</v>
      </c>
      <c r="D7159" s="84">
        <v>0.0</v>
      </c>
      <c r="E7159" s="84">
        <v>0.0</v>
      </c>
      <c r="F7159" s="76" t="s">
        <v>948</v>
      </c>
      <c r="G7159" s="83">
        <v>46116.0</v>
      </c>
      <c r="H7159" s="76" t="s">
        <v>946</v>
      </c>
    </row>
    <row r="7160">
      <c r="A7160" s="76" t="s">
        <v>944</v>
      </c>
      <c r="B7160" s="76" t="s">
        <v>1040</v>
      </c>
      <c r="C7160" s="84">
        <v>0.15</v>
      </c>
      <c r="D7160" s="84">
        <v>0.0</v>
      </c>
      <c r="E7160" s="84">
        <v>0.0</v>
      </c>
      <c r="F7160" s="76" t="s">
        <v>948</v>
      </c>
      <c r="G7160" s="83">
        <v>46116.0</v>
      </c>
      <c r="H7160" s="76" t="s">
        <v>947</v>
      </c>
    </row>
    <row r="7161">
      <c r="A7161" s="76" t="s">
        <v>32</v>
      </c>
      <c r="B7161" s="76" t="s">
        <v>1040</v>
      </c>
      <c r="C7161" s="84">
        <v>0.32</v>
      </c>
      <c r="D7161" s="84">
        <v>0.0</v>
      </c>
      <c r="E7161" s="84">
        <v>0.0</v>
      </c>
      <c r="F7161" s="76" t="s">
        <v>948</v>
      </c>
      <c r="G7161" s="83">
        <v>46116.0</v>
      </c>
      <c r="H7161" s="76" t="s">
        <v>941</v>
      </c>
    </row>
    <row r="7162">
      <c r="A7162" s="76" t="s">
        <v>32</v>
      </c>
      <c r="B7162" s="76" t="s">
        <v>1040</v>
      </c>
      <c r="C7162" s="84">
        <v>0.23</v>
      </c>
      <c r="D7162" s="84">
        <v>0.0</v>
      </c>
      <c r="E7162" s="84">
        <v>0.0</v>
      </c>
      <c r="F7162" s="76" t="s">
        <v>948</v>
      </c>
      <c r="G7162" s="83">
        <v>46116.0</v>
      </c>
      <c r="H7162" s="76" t="s">
        <v>942</v>
      </c>
    </row>
    <row r="7163">
      <c r="A7163" s="76" t="s">
        <v>32</v>
      </c>
      <c r="B7163" s="76" t="s">
        <v>1040</v>
      </c>
      <c r="C7163" s="84">
        <v>0.21</v>
      </c>
      <c r="D7163" s="84">
        <v>0.0</v>
      </c>
      <c r="E7163" s="84">
        <v>0.0</v>
      </c>
      <c r="F7163" s="76" t="s">
        <v>948</v>
      </c>
      <c r="G7163" s="83">
        <v>46116.0</v>
      </c>
      <c r="H7163" s="76" t="s">
        <v>943</v>
      </c>
    </row>
    <row r="7164">
      <c r="A7164" s="76" t="s">
        <v>26</v>
      </c>
      <c r="B7164" s="76" t="s">
        <v>1040</v>
      </c>
      <c r="C7164" s="84">
        <v>0.14</v>
      </c>
      <c r="D7164" s="84">
        <v>0.0</v>
      </c>
      <c r="E7164" s="84">
        <v>0.0</v>
      </c>
      <c r="F7164" s="76" t="s">
        <v>948</v>
      </c>
      <c r="G7164" s="83">
        <v>46116.0</v>
      </c>
      <c r="H7164" s="76" t="s">
        <v>1012</v>
      </c>
    </row>
    <row r="7165">
      <c r="A7165" s="76" t="s">
        <v>26</v>
      </c>
      <c r="B7165" s="76" t="s">
        <v>1040</v>
      </c>
      <c r="C7165" s="84">
        <v>0.14</v>
      </c>
      <c r="D7165" s="84">
        <v>0.0</v>
      </c>
      <c r="E7165" s="84">
        <v>0.0</v>
      </c>
      <c r="F7165" s="76" t="s">
        <v>948</v>
      </c>
      <c r="G7165" s="83">
        <v>46116.0</v>
      </c>
      <c r="H7165" s="76" t="s">
        <v>1013</v>
      </c>
    </row>
    <row r="7166">
      <c r="A7166" s="76" t="s">
        <v>26</v>
      </c>
      <c r="B7166" s="76" t="s">
        <v>1040</v>
      </c>
      <c r="C7166" s="84">
        <v>0.27</v>
      </c>
      <c r="D7166" s="84">
        <v>0.0</v>
      </c>
      <c r="E7166" s="84">
        <v>0.0</v>
      </c>
      <c r="F7166" s="76" t="s">
        <v>948</v>
      </c>
      <c r="G7166" s="83">
        <v>46116.0</v>
      </c>
      <c r="H7166" s="76" t="s">
        <v>1014</v>
      </c>
    </row>
    <row r="7167">
      <c r="A7167" s="76" t="s">
        <v>36</v>
      </c>
      <c r="B7167" s="76" t="s">
        <v>1040</v>
      </c>
      <c r="C7167" s="84">
        <v>0.18</v>
      </c>
      <c r="D7167" s="84">
        <v>0.0</v>
      </c>
      <c r="E7167" s="84">
        <v>0.0</v>
      </c>
      <c r="F7167" s="76" t="s">
        <v>948</v>
      </c>
      <c r="G7167" s="83">
        <v>46116.0</v>
      </c>
      <c r="H7167" s="76" t="s">
        <v>926</v>
      </c>
    </row>
    <row r="7168">
      <c r="A7168" s="76" t="s">
        <v>36</v>
      </c>
      <c r="B7168" s="76" t="s">
        <v>1040</v>
      </c>
      <c r="C7168" s="84">
        <v>0.2</v>
      </c>
      <c r="D7168" s="84">
        <v>0.0</v>
      </c>
      <c r="E7168" s="84">
        <v>0.0</v>
      </c>
      <c r="F7168" s="76" t="s">
        <v>948</v>
      </c>
      <c r="G7168" s="83">
        <v>46116.0</v>
      </c>
      <c r="H7168" s="76" t="s">
        <v>927</v>
      </c>
    </row>
    <row r="7169">
      <c r="A7169" s="76" t="s">
        <v>36</v>
      </c>
      <c r="B7169" s="76" t="s">
        <v>1040</v>
      </c>
      <c r="C7169" s="84">
        <v>0.18</v>
      </c>
      <c r="D7169" s="84">
        <v>0.0</v>
      </c>
      <c r="E7169" s="84">
        <v>0.0</v>
      </c>
      <c r="F7169" s="76" t="s">
        <v>948</v>
      </c>
      <c r="G7169" s="83">
        <v>46116.0</v>
      </c>
      <c r="H7169" s="76" t="s">
        <v>928</v>
      </c>
    </row>
    <row r="7170">
      <c r="A7170" s="76" t="s">
        <v>28</v>
      </c>
      <c r="B7170" s="76" t="s">
        <v>1040</v>
      </c>
      <c r="C7170" s="84">
        <v>0.06</v>
      </c>
      <c r="D7170" s="84">
        <v>0.0</v>
      </c>
      <c r="E7170" s="84">
        <v>0.0</v>
      </c>
      <c r="F7170" s="76" t="s">
        <v>948</v>
      </c>
      <c r="G7170" s="83">
        <v>46116.0</v>
      </c>
      <c r="H7170" s="76" t="s">
        <v>931</v>
      </c>
    </row>
    <row r="7171">
      <c r="A7171" s="76" t="s">
        <v>28</v>
      </c>
      <c r="B7171" s="76" t="s">
        <v>1040</v>
      </c>
      <c r="C7171" s="84">
        <v>0.07</v>
      </c>
      <c r="D7171" s="84">
        <v>0.0</v>
      </c>
      <c r="E7171" s="84">
        <v>0.0</v>
      </c>
      <c r="F7171" s="76" t="s">
        <v>948</v>
      </c>
      <c r="G7171" s="83">
        <v>46116.0</v>
      </c>
      <c r="H7171" s="76" t="s">
        <v>932</v>
      </c>
    </row>
    <row r="7172">
      <c r="A7172" s="76" t="s">
        <v>28</v>
      </c>
      <c r="B7172" s="76" t="s">
        <v>1040</v>
      </c>
      <c r="C7172" s="84">
        <v>0.54</v>
      </c>
      <c r="D7172" s="84">
        <v>0.0</v>
      </c>
      <c r="E7172" s="84">
        <v>0.0</v>
      </c>
      <c r="F7172" s="76" t="s">
        <v>948</v>
      </c>
      <c r="G7172" s="83">
        <v>46116.0</v>
      </c>
      <c r="H7172" s="76" t="s">
        <v>933</v>
      </c>
    </row>
    <row r="7173">
      <c r="A7173" s="76" t="s">
        <v>45</v>
      </c>
      <c r="B7173" s="76" t="s">
        <v>1040</v>
      </c>
      <c r="C7173" s="84">
        <v>0.04</v>
      </c>
      <c r="D7173" s="84">
        <v>0.0</v>
      </c>
      <c r="E7173" s="84">
        <v>0.0</v>
      </c>
      <c r="F7173" s="76" t="s">
        <v>948</v>
      </c>
      <c r="G7173" s="83">
        <v>46116.0</v>
      </c>
      <c r="H7173" s="76" t="s">
        <v>936</v>
      </c>
    </row>
    <row r="7174">
      <c r="A7174" s="76" t="s">
        <v>45</v>
      </c>
      <c r="B7174" s="76" t="s">
        <v>1040</v>
      </c>
      <c r="C7174" s="84">
        <v>0.05</v>
      </c>
      <c r="D7174" s="84">
        <v>0.0</v>
      </c>
      <c r="E7174" s="84">
        <v>0.0</v>
      </c>
      <c r="F7174" s="76" t="s">
        <v>948</v>
      </c>
      <c r="G7174" s="83">
        <v>46116.0</v>
      </c>
      <c r="H7174" s="76" t="s">
        <v>937</v>
      </c>
    </row>
    <row r="7175">
      <c r="A7175" s="76" t="s">
        <v>45</v>
      </c>
      <c r="B7175" s="76" t="s">
        <v>1040</v>
      </c>
      <c r="C7175" s="84">
        <v>0.08</v>
      </c>
      <c r="D7175" s="84">
        <v>0.0</v>
      </c>
      <c r="E7175" s="84">
        <v>0.0</v>
      </c>
      <c r="F7175" s="76" t="s">
        <v>948</v>
      </c>
      <c r="G7175" s="83">
        <v>46116.0</v>
      </c>
      <c r="H7175" s="76" t="s">
        <v>938</v>
      </c>
    </row>
    <row r="7176">
      <c r="A7176" s="76" t="s">
        <v>42</v>
      </c>
      <c r="B7176" s="76" t="s">
        <v>1040</v>
      </c>
      <c r="C7176" s="84">
        <v>0.07</v>
      </c>
      <c r="D7176" s="84">
        <v>0.0</v>
      </c>
      <c r="E7176" s="84">
        <v>0.0</v>
      </c>
      <c r="F7176" s="76" t="s">
        <v>948</v>
      </c>
      <c r="G7176" s="83">
        <v>46116.0</v>
      </c>
      <c r="H7176" s="76" t="s">
        <v>991</v>
      </c>
    </row>
    <row r="7177">
      <c r="A7177" s="76" t="s">
        <v>42</v>
      </c>
      <c r="B7177" s="76" t="s">
        <v>1040</v>
      </c>
      <c r="C7177" s="84">
        <v>0.85</v>
      </c>
      <c r="D7177" s="84">
        <v>0.0</v>
      </c>
      <c r="E7177" s="84">
        <v>0.0</v>
      </c>
      <c r="F7177" s="76" t="s">
        <v>948</v>
      </c>
      <c r="G7177" s="83">
        <v>46116.0</v>
      </c>
      <c r="H7177" s="76" t="s">
        <v>935</v>
      </c>
    </row>
    <row r="7178">
      <c r="A7178" s="76" t="s">
        <v>40</v>
      </c>
      <c r="B7178" s="76" t="s">
        <v>1041</v>
      </c>
      <c r="C7178" s="84">
        <v>4.15</v>
      </c>
      <c r="D7178" s="84">
        <v>0.0</v>
      </c>
      <c r="E7178" s="84">
        <v>0.0</v>
      </c>
      <c r="F7178" s="76" t="s">
        <v>1005</v>
      </c>
      <c r="G7178" s="83">
        <v>46116.0</v>
      </c>
      <c r="H7178" s="76" t="s">
        <v>954</v>
      </c>
    </row>
    <row r="7179">
      <c r="A7179" s="76" t="s">
        <v>40</v>
      </c>
      <c r="B7179" s="76" t="s">
        <v>1041</v>
      </c>
      <c r="C7179" s="84">
        <v>1.12</v>
      </c>
      <c r="D7179" s="84">
        <v>1.0</v>
      </c>
      <c r="E7179" s="84">
        <v>1.12</v>
      </c>
      <c r="F7179" s="76" t="s">
        <v>1005</v>
      </c>
      <c r="G7179" s="83">
        <v>46116.0</v>
      </c>
      <c r="H7179" s="76" t="s">
        <v>955</v>
      </c>
    </row>
    <row r="7180">
      <c r="A7180" s="76" t="s">
        <v>40</v>
      </c>
      <c r="B7180" s="76" t="s">
        <v>1041</v>
      </c>
      <c r="C7180" s="84">
        <v>4.77</v>
      </c>
      <c r="D7180" s="84">
        <v>1.0</v>
      </c>
      <c r="E7180" s="84">
        <v>4.77</v>
      </c>
      <c r="F7180" s="76" t="s">
        <v>1005</v>
      </c>
      <c r="G7180" s="83">
        <v>46116.0</v>
      </c>
      <c r="H7180" s="76" t="s">
        <v>956</v>
      </c>
    </row>
    <row r="7181">
      <c r="A7181" s="76" t="s">
        <v>36</v>
      </c>
      <c r="B7181" s="76" t="s">
        <v>1041</v>
      </c>
      <c r="C7181" s="84">
        <v>1.71</v>
      </c>
      <c r="D7181" s="84">
        <v>0.0</v>
      </c>
      <c r="E7181" s="84">
        <v>0.0</v>
      </c>
      <c r="F7181" s="76" t="s">
        <v>1005</v>
      </c>
      <c r="G7181" s="83">
        <v>46116.0</v>
      </c>
      <c r="H7181" s="76" t="s">
        <v>926</v>
      </c>
    </row>
    <row r="7182">
      <c r="A7182" s="76" t="s">
        <v>36</v>
      </c>
      <c r="B7182" s="76" t="s">
        <v>1041</v>
      </c>
      <c r="C7182" s="84">
        <v>2.07</v>
      </c>
      <c r="D7182" s="84">
        <v>1.0</v>
      </c>
      <c r="E7182" s="84">
        <v>2.07</v>
      </c>
      <c r="F7182" s="76" t="s">
        <v>1005</v>
      </c>
      <c r="G7182" s="83">
        <v>46116.0</v>
      </c>
      <c r="H7182" s="76" t="s">
        <v>927</v>
      </c>
    </row>
    <row r="7183">
      <c r="A7183" s="76" t="s">
        <v>36</v>
      </c>
      <c r="B7183" s="76" t="s">
        <v>1041</v>
      </c>
      <c r="C7183" s="84">
        <v>3.75</v>
      </c>
      <c r="D7183" s="84">
        <v>2.0</v>
      </c>
      <c r="E7183" s="84">
        <v>1.88</v>
      </c>
      <c r="F7183" s="76" t="s">
        <v>1005</v>
      </c>
      <c r="G7183" s="83">
        <v>46116.0</v>
      </c>
      <c r="H7183" s="76" t="s">
        <v>928</v>
      </c>
    </row>
    <row r="7184">
      <c r="A7184" s="76" t="s">
        <v>46</v>
      </c>
      <c r="B7184" s="76" t="s">
        <v>1041</v>
      </c>
      <c r="C7184" s="84">
        <v>0.85</v>
      </c>
      <c r="D7184" s="84">
        <v>0.0</v>
      </c>
      <c r="E7184" s="84">
        <v>0.0</v>
      </c>
      <c r="F7184" s="76" t="s">
        <v>1005</v>
      </c>
      <c r="G7184" s="83">
        <v>46116.0</v>
      </c>
      <c r="H7184" s="76" t="s">
        <v>960</v>
      </c>
    </row>
    <row r="7185">
      <c r="A7185" s="76" t="s">
        <v>46</v>
      </c>
      <c r="B7185" s="76" t="s">
        <v>1041</v>
      </c>
      <c r="C7185" s="84">
        <v>2.21</v>
      </c>
      <c r="D7185" s="84">
        <v>1.0</v>
      </c>
      <c r="E7185" s="84">
        <v>2.21</v>
      </c>
      <c r="F7185" s="76" t="s">
        <v>1005</v>
      </c>
      <c r="G7185" s="83">
        <v>46116.0</v>
      </c>
      <c r="H7185" s="76" t="s">
        <v>961</v>
      </c>
    </row>
    <row r="7186">
      <c r="A7186" s="76" t="s">
        <v>46</v>
      </c>
      <c r="B7186" s="76" t="s">
        <v>1041</v>
      </c>
      <c r="C7186" s="84">
        <v>3.05</v>
      </c>
      <c r="D7186" s="84">
        <v>0.0</v>
      </c>
      <c r="E7186" s="84">
        <v>0.0</v>
      </c>
      <c r="F7186" s="76" t="s">
        <v>1005</v>
      </c>
      <c r="G7186" s="83">
        <v>46116.0</v>
      </c>
      <c r="H7186" s="76" t="s">
        <v>962</v>
      </c>
    </row>
    <row r="7187">
      <c r="A7187" s="76" t="s">
        <v>970</v>
      </c>
      <c r="B7187" s="76" t="s">
        <v>1041</v>
      </c>
      <c r="C7187" s="84">
        <v>10.34</v>
      </c>
      <c r="D7187" s="84">
        <v>2.0</v>
      </c>
      <c r="E7187" s="84">
        <v>5.17</v>
      </c>
      <c r="F7187" s="76" t="s">
        <v>1005</v>
      </c>
      <c r="G7187" s="83">
        <v>46116.0</v>
      </c>
      <c r="H7187" s="76" t="s">
        <v>971</v>
      </c>
    </row>
    <row r="7188">
      <c r="A7188" s="76" t="s">
        <v>970</v>
      </c>
      <c r="B7188" s="76" t="s">
        <v>1041</v>
      </c>
      <c r="C7188" s="84">
        <v>1.86</v>
      </c>
      <c r="D7188" s="84">
        <v>0.0</v>
      </c>
      <c r="E7188" s="84">
        <v>0.0</v>
      </c>
      <c r="F7188" s="76" t="s">
        <v>1005</v>
      </c>
      <c r="G7188" s="83">
        <v>46116.0</v>
      </c>
      <c r="H7188" s="76" t="s">
        <v>972</v>
      </c>
    </row>
    <row r="7189">
      <c r="A7189" s="76" t="s">
        <v>970</v>
      </c>
      <c r="B7189" s="76" t="s">
        <v>1041</v>
      </c>
      <c r="C7189" s="84">
        <v>14.41</v>
      </c>
      <c r="D7189" s="84">
        <v>2.0</v>
      </c>
      <c r="E7189" s="84">
        <v>7.21</v>
      </c>
      <c r="F7189" s="76" t="s">
        <v>1005</v>
      </c>
      <c r="G7189" s="83">
        <v>46116.0</v>
      </c>
      <c r="H7189" s="76" t="s">
        <v>973</v>
      </c>
    </row>
    <row r="7190">
      <c r="A7190" s="76" t="s">
        <v>29</v>
      </c>
      <c r="B7190" s="76" t="s">
        <v>1041</v>
      </c>
      <c r="C7190" s="84">
        <v>7.83</v>
      </c>
      <c r="D7190" s="84">
        <v>0.0</v>
      </c>
      <c r="E7190" s="84">
        <v>0.0</v>
      </c>
      <c r="F7190" s="76" t="s">
        <v>1005</v>
      </c>
      <c r="G7190" s="83">
        <v>46116.0</v>
      </c>
      <c r="H7190" s="76" t="s">
        <v>1015</v>
      </c>
    </row>
    <row r="7191">
      <c r="A7191" s="76" t="s">
        <v>29</v>
      </c>
      <c r="B7191" s="76" t="s">
        <v>1041</v>
      </c>
      <c r="C7191" s="84">
        <v>11.78</v>
      </c>
      <c r="D7191" s="84">
        <v>1.0</v>
      </c>
      <c r="E7191" s="84">
        <v>11.78</v>
      </c>
      <c r="F7191" s="76" t="s">
        <v>1005</v>
      </c>
      <c r="G7191" s="83">
        <v>46116.0</v>
      </c>
      <c r="H7191" s="76" t="s">
        <v>1016</v>
      </c>
    </row>
    <row r="7192">
      <c r="A7192" s="76" t="s">
        <v>29</v>
      </c>
      <c r="B7192" s="76" t="s">
        <v>1041</v>
      </c>
      <c r="C7192" s="84">
        <v>6.0</v>
      </c>
      <c r="D7192" s="84">
        <v>2.0</v>
      </c>
      <c r="E7192" s="84">
        <v>3.0</v>
      </c>
      <c r="F7192" s="76" t="s">
        <v>1005</v>
      </c>
      <c r="G7192" s="83">
        <v>46116.0</v>
      </c>
      <c r="H7192" s="76" t="s">
        <v>1017</v>
      </c>
    </row>
    <row r="7193">
      <c r="A7193" s="76" t="s">
        <v>34</v>
      </c>
      <c r="B7193" s="76" t="s">
        <v>1041</v>
      </c>
      <c r="C7193" s="84">
        <v>3.44</v>
      </c>
      <c r="D7193" s="84">
        <v>0.0</v>
      </c>
      <c r="E7193" s="84">
        <v>0.0</v>
      </c>
      <c r="F7193" s="76" t="s">
        <v>1005</v>
      </c>
      <c r="G7193" s="83">
        <v>46116.0</v>
      </c>
      <c r="H7193" s="76" t="s">
        <v>951</v>
      </c>
    </row>
    <row r="7194">
      <c r="A7194" s="76" t="s">
        <v>34</v>
      </c>
      <c r="B7194" s="76" t="s">
        <v>1041</v>
      </c>
      <c r="C7194" s="84">
        <v>3.36</v>
      </c>
      <c r="D7194" s="84">
        <v>2.0</v>
      </c>
      <c r="E7194" s="84">
        <v>1.68</v>
      </c>
      <c r="F7194" s="76" t="s">
        <v>1005</v>
      </c>
      <c r="G7194" s="83">
        <v>46116.0</v>
      </c>
      <c r="H7194" s="76" t="s">
        <v>952</v>
      </c>
    </row>
    <row r="7195">
      <c r="A7195" s="76" t="s">
        <v>34</v>
      </c>
      <c r="B7195" s="76" t="s">
        <v>1041</v>
      </c>
      <c r="C7195" s="84">
        <v>0.65</v>
      </c>
      <c r="D7195" s="84">
        <v>0.0</v>
      </c>
      <c r="E7195" s="84">
        <v>0.0</v>
      </c>
      <c r="F7195" s="76" t="s">
        <v>1005</v>
      </c>
      <c r="G7195" s="83">
        <v>46116.0</v>
      </c>
      <c r="H7195" s="76" t="s">
        <v>953</v>
      </c>
    </row>
    <row r="7196">
      <c r="A7196" s="76" t="s">
        <v>33</v>
      </c>
      <c r="B7196" s="76" t="s">
        <v>1041</v>
      </c>
      <c r="C7196" s="84">
        <v>12.51</v>
      </c>
      <c r="D7196" s="84">
        <v>3.0</v>
      </c>
      <c r="E7196" s="84">
        <v>4.17</v>
      </c>
      <c r="F7196" s="76" t="s">
        <v>1005</v>
      </c>
      <c r="G7196" s="83">
        <v>46116.0</v>
      </c>
      <c r="H7196" s="76" t="s">
        <v>957</v>
      </c>
    </row>
    <row r="7197">
      <c r="A7197" s="76" t="s">
        <v>33</v>
      </c>
      <c r="B7197" s="76" t="s">
        <v>1041</v>
      </c>
      <c r="C7197" s="84">
        <v>3.33</v>
      </c>
      <c r="D7197" s="84">
        <v>0.0</v>
      </c>
      <c r="E7197" s="84">
        <v>0.0</v>
      </c>
      <c r="F7197" s="76" t="s">
        <v>1005</v>
      </c>
      <c r="G7197" s="83">
        <v>46116.0</v>
      </c>
      <c r="H7197" s="76" t="s">
        <v>958</v>
      </c>
    </row>
    <row r="7198">
      <c r="A7198" s="76" t="s">
        <v>33</v>
      </c>
      <c r="B7198" s="76" t="s">
        <v>1041</v>
      </c>
      <c r="C7198" s="84">
        <v>7.42</v>
      </c>
      <c r="D7198" s="84">
        <v>0.0</v>
      </c>
      <c r="E7198" s="84">
        <v>0.0</v>
      </c>
      <c r="F7198" s="76" t="s">
        <v>1005</v>
      </c>
      <c r="G7198" s="83">
        <v>46116.0</v>
      </c>
      <c r="H7198" s="76" t="s">
        <v>959</v>
      </c>
    </row>
    <row r="7199">
      <c r="A7199" s="76" t="s">
        <v>43</v>
      </c>
      <c r="B7199" s="76" t="s">
        <v>1041</v>
      </c>
      <c r="C7199" s="84">
        <v>2.04</v>
      </c>
      <c r="D7199" s="84">
        <v>0.0</v>
      </c>
      <c r="E7199" s="84">
        <v>0.0</v>
      </c>
      <c r="F7199" s="76" t="s">
        <v>1005</v>
      </c>
      <c r="G7199" s="83">
        <v>46116.0</v>
      </c>
      <c r="H7199" s="76" t="s">
        <v>963</v>
      </c>
    </row>
    <row r="7200">
      <c r="A7200" s="76" t="s">
        <v>43</v>
      </c>
      <c r="B7200" s="76" t="s">
        <v>1041</v>
      </c>
      <c r="C7200" s="84">
        <v>3.3</v>
      </c>
      <c r="D7200" s="84">
        <v>0.0</v>
      </c>
      <c r="E7200" s="84">
        <v>0.0</v>
      </c>
      <c r="F7200" s="76" t="s">
        <v>1005</v>
      </c>
      <c r="G7200" s="83">
        <v>46116.0</v>
      </c>
      <c r="H7200" s="76" t="s">
        <v>964</v>
      </c>
    </row>
    <row r="7201">
      <c r="A7201" s="76" t="s">
        <v>43</v>
      </c>
      <c r="B7201" s="76" t="s">
        <v>1041</v>
      </c>
      <c r="C7201" s="84">
        <v>3.47</v>
      </c>
      <c r="D7201" s="84">
        <v>0.0</v>
      </c>
      <c r="E7201" s="84">
        <v>0.0</v>
      </c>
      <c r="F7201" s="76" t="s">
        <v>1005</v>
      </c>
      <c r="G7201" s="83">
        <v>46116.0</v>
      </c>
      <c r="H7201" s="76" t="s">
        <v>965</v>
      </c>
    </row>
    <row r="7202">
      <c r="A7202" s="76" t="s">
        <v>966</v>
      </c>
      <c r="B7202" s="76" t="s">
        <v>1041</v>
      </c>
      <c r="C7202" s="84">
        <v>3.19</v>
      </c>
      <c r="D7202" s="84">
        <v>1.0</v>
      </c>
      <c r="E7202" s="84">
        <v>3.19</v>
      </c>
      <c r="F7202" s="76" t="s">
        <v>1005</v>
      </c>
      <c r="G7202" s="83">
        <v>46116.0</v>
      </c>
      <c r="H7202" s="76" t="s">
        <v>967</v>
      </c>
    </row>
    <row r="7203">
      <c r="A7203" s="76" t="s">
        <v>966</v>
      </c>
      <c r="B7203" s="76" t="s">
        <v>1041</v>
      </c>
      <c r="C7203" s="84">
        <v>1.1</v>
      </c>
      <c r="D7203" s="84">
        <v>1.0</v>
      </c>
      <c r="E7203" s="84">
        <v>1.1</v>
      </c>
      <c r="F7203" s="76" t="s">
        <v>1005</v>
      </c>
      <c r="G7203" s="83">
        <v>46116.0</v>
      </c>
      <c r="H7203" s="76" t="s">
        <v>968</v>
      </c>
    </row>
    <row r="7204">
      <c r="A7204" s="76" t="s">
        <v>966</v>
      </c>
      <c r="B7204" s="76" t="s">
        <v>1041</v>
      </c>
      <c r="C7204" s="84">
        <v>1.96</v>
      </c>
      <c r="D7204" s="84">
        <v>0.0</v>
      </c>
      <c r="E7204" s="84">
        <v>0.0</v>
      </c>
      <c r="F7204" s="76" t="s">
        <v>1005</v>
      </c>
      <c r="G7204" s="83">
        <v>46116.0</v>
      </c>
      <c r="H7204" s="76" t="s">
        <v>969</v>
      </c>
    </row>
    <row r="7205">
      <c r="A7205" s="76" t="s">
        <v>970</v>
      </c>
      <c r="B7205" s="76" t="s">
        <v>1041</v>
      </c>
      <c r="C7205" s="84">
        <v>1.21</v>
      </c>
      <c r="D7205" s="84">
        <v>0.0</v>
      </c>
      <c r="E7205" s="84">
        <v>0.0</v>
      </c>
      <c r="F7205" s="76" t="s">
        <v>990</v>
      </c>
      <c r="G7205" s="83">
        <v>46116.0</v>
      </c>
      <c r="H7205" s="76" t="s">
        <v>971</v>
      </c>
    </row>
    <row r="7206">
      <c r="A7206" s="76" t="s">
        <v>970</v>
      </c>
      <c r="B7206" s="76" t="s">
        <v>1041</v>
      </c>
      <c r="C7206" s="84">
        <v>0.26</v>
      </c>
      <c r="D7206" s="84">
        <v>0.0</v>
      </c>
      <c r="E7206" s="84">
        <v>0.0</v>
      </c>
      <c r="F7206" s="76" t="s">
        <v>990</v>
      </c>
      <c r="G7206" s="83">
        <v>46116.0</v>
      </c>
      <c r="H7206" s="76" t="s">
        <v>972</v>
      </c>
    </row>
    <row r="7207">
      <c r="A7207" s="76" t="s">
        <v>970</v>
      </c>
      <c r="B7207" s="76" t="s">
        <v>1041</v>
      </c>
      <c r="C7207" s="84">
        <v>2.15</v>
      </c>
      <c r="D7207" s="84">
        <v>0.0</v>
      </c>
      <c r="E7207" s="84">
        <v>0.0</v>
      </c>
      <c r="F7207" s="76" t="s">
        <v>990</v>
      </c>
      <c r="G7207" s="83">
        <v>46116.0</v>
      </c>
      <c r="H7207" s="76" t="s">
        <v>973</v>
      </c>
    </row>
    <row r="7208">
      <c r="A7208" s="76" t="s">
        <v>29</v>
      </c>
      <c r="B7208" s="76" t="s">
        <v>1041</v>
      </c>
      <c r="C7208" s="84">
        <v>1.53</v>
      </c>
      <c r="D7208" s="84">
        <v>0.0</v>
      </c>
      <c r="E7208" s="84">
        <v>0.0</v>
      </c>
      <c r="F7208" s="76" t="s">
        <v>990</v>
      </c>
      <c r="G7208" s="83">
        <v>46116.0</v>
      </c>
      <c r="H7208" s="76" t="s">
        <v>971</v>
      </c>
    </row>
    <row r="7209">
      <c r="A7209" s="76" t="s">
        <v>29</v>
      </c>
      <c r="B7209" s="76" t="s">
        <v>1041</v>
      </c>
      <c r="C7209" s="84">
        <v>0.33</v>
      </c>
      <c r="D7209" s="84">
        <v>0.0</v>
      </c>
      <c r="E7209" s="84">
        <v>0.0</v>
      </c>
      <c r="F7209" s="76" t="s">
        <v>990</v>
      </c>
      <c r="G7209" s="83">
        <v>46116.0</v>
      </c>
      <c r="H7209" s="76" t="s">
        <v>972</v>
      </c>
    </row>
    <row r="7210">
      <c r="A7210" s="76" t="s">
        <v>29</v>
      </c>
      <c r="B7210" s="76" t="s">
        <v>1041</v>
      </c>
      <c r="C7210" s="84">
        <v>2.84</v>
      </c>
      <c r="D7210" s="84">
        <v>0.0</v>
      </c>
      <c r="E7210" s="84">
        <v>0.0</v>
      </c>
      <c r="F7210" s="76" t="s">
        <v>990</v>
      </c>
      <c r="G7210" s="83">
        <v>46116.0</v>
      </c>
      <c r="H7210" s="76" t="s">
        <v>973</v>
      </c>
    </row>
    <row r="7211">
      <c r="A7211" s="76" t="s">
        <v>46</v>
      </c>
      <c r="B7211" s="76" t="s">
        <v>1041</v>
      </c>
      <c r="C7211" s="84">
        <v>0.45</v>
      </c>
      <c r="D7211" s="84">
        <v>0.0</v>
      </c>
      <c r="E7211" s="84">
        <v>0.0</v>
      </c>
      <c r="F7211" s="76" t="s">
        <v>990</v>
      </c>
      <c r="G7211" s="83">
        <v>46116.0</v>
      </c>
      <c r="H7211" s="76" t="s">
        <v>960</v>
      </c>
    </row>
    <row r="7212">
      <c r="A7212" s="76" t="s">
        <v>46</v>
      </c>
      <c r="B7212" s="76" t="s">
        <v>1041</v>
      </c>
      <c r="C7212" s="84">
        <v>0.36</v>
      </c>
      <c r="D7212" s="84">
        <v>0.0</v>
      </c>
      <c r="E7212" s="84">
        <v>0.0</v>
      </c>
      <c r="F7212" s="76" t="s">
        <v>990</v>
      </c>
      <c r="G7212" s="83">
        <v>46116.0</v>
      </c>
      <c r="H7212" s="76" t="s">
        <v>961</v>
      </c>
    </row>
    <row r="7213">
      <c r="A7213" s="76" t="s">
        <v>46</v>
      </c>
      <c r="B7213" s="76" t="s">
        <v>1041</v>
      </c>
      <c r="C7213" s="84">
        <v>0.35</v>
      </c>
      <c r="D7213" s="84">
        <v>0.0</v>
      </c>
      <c r="E7213" s="84">
        <v>0.0</v>
      </c>
      <c r="F7213" s="76" t="s">
        <v>990</v>
      </c>
      <c r="G7213" s="83">
        <v>46116.0</v>
      </c>
      <c r="H7213" s="76" t="s">
        <v>962</v>
      </c>
    </row>
    <row r="7214">
      <c r="A7214" s="76" t="s">
        <v>36</v>
      </c>
      <c r="B7214" s="76" t="s">
        <v>1041</v>
      </c>
      <c r="C7214" s="84">
        <v>0.34</v>
      </c>
      <c r="D7214" s="84">
        <v>0.0</v>
      </c>
      <c r="E7214" s="84">
        <v>0.0</v>
      </c>
      <c r="F7214" s="76" t="s">
        <v>990</v>
      </c>
      <c r="G7214" s="83">
        <v>46116.0</v>
      </c>
      <c r="H7214" s="76" t="s">
        <v>926</v>
      </c>
    </row>
    <row r="7215">
      <c r="A7215" s="76" t="s">
        <v>36</v>
      </c>
      <c r="B7215" s="76" t="s">
        <v>1041</v>
      </c>
      <c r="C7215" s="84">
        <v>0.25</v>
      </c>
      <c r="D7215" s="84">
        <v>0.0</v>
      </c>
      <c r="E7215" s="84">
        <v>0.0</v>
      </c>
      <c r="F7215" s="76" t="s">
        <v>990</v>
      </c>
      <c r="G7215" s="83">
        <v>46116.0</v>
      </c>
      <c r="H7215" s="76" t="s">
        <v>927</v>
      </c>
    </row>
    <row r="7216">
      <c r="A7216" s="76" t="s">
        <v>36</v>
      </c>
      <c r="B7216" s="76" t="s">
        <v>1041</v>
      </c>
      <c r="C7216" s="84">
        <v>0.23</v>
      </c>
      <c r="D7216" s="84">
        <v>0.0</v>
      </c>
      <c r="E7216" s="84">
        <v>0.0</v>
      </c>
      <c r="F7216" s="76" t="s">
        <v>990</v>
      </c>
      <c r="G7216" s="83">
        <v>46116.0</v>
      </c>
      <c r="H7216" s="76" t="s">
        <v>928</v>
      </c>
    </row>
    <row r="7217">
      <c r="A7217" s="76" t="s">
        <v>34</v>
      </c>
      <c r="B7217" s="76" t="s">
        <v>1041</v>
      </c>
      <c r="C7217" s="84">
        <v>0.35</v>
      </c>
      <c r="D7217" s="84">
        <v>0.0</v>
      </c>
      <c r="E7217" s="84">
        <v>0.0</v>
      </c>
      <c r="F7217" s="76" t="s">
        <v>990</v>
      </c>
      <c r="G7217" s="83">
        <v>46116.0</v>
      </c>
      <c r="H7217" s="76" t="s">
        <v>951</v>
      </c>
    </row>
    <row r="7218">
      <c r="A7218" s="76" t="s">
        <v>34</v>
      </c>
      <c r="B7218" s="76" t="s">
        <v>1041</v>
      </c>
      <c r="C7218" s="84">
        <v>0.49</v>
      </c>
      <c r="D7218" s="84">
        <v>0.0</v>
      </c>
      <c r="E7218" s="84">
        <v>0.0</v>
      </c>
      <c r="F7218" s="76" t="s">
        <v>990</v>
      </c>
      <c r="G7218" s="83">
        <v>46116.0</v>
      </c>
      <c r="H7218" s="76" t="s">
        <v>952</v>
      </c>
    </row>
    <row r="7219">
      <c r="A7219" s="76" t="s">
        <v>34</v>
      </c>
      <c r="B7219" s="76" t="s">
        <v>1041</v>
      </c>
      <c r="C7219" s="84">
        <v>0.23</v>
      </c>
      <c r="D7219" s="84">
        <v>0.0</v>
      </c>
      <c r="E7219" s="84">
        <v>0.0</v>
      </c>
      <c r="F7219" s="76" t="s">
        <v>990</v>
      </c>
      <c r="G7219" s="83">
        <v>46116.0</v>
      </c>
      <c r="H7219" s="76" t="s">
        <v>953</v>
      </c>
    </row>
    <row r="7220">
      <c r="A7220" s="76" t="s">
        <v>33</v>
      </c>
      <c r="B7220" s="76" t="s">
        <v>1041</v>
      </c>
      <c r="C7220" s="84">
        <v>3.62</v>
      </c>
      <c r="D7220" s="84">
        <v>0.0</v>
      </c>
      <c r="E7220" s="84">
        <v>0.0</v>
      </c>
      <c r="F7220" s="76" t="s">
        <v>990</v>
      </c>
      <c r="G7220" s="83">
        <v>46116.0</v>
      </c>
      <c r="H7220" s="76" t="s">
        <v>957</v>
      </c>
    </row>
    <row r="7221">
      <c r="A7221" s="76" t="s">
        <v>33</v>
      </c>
      <c r="B7221" s="76" t="s">
        <v>1041</v>
      </c>
      <c r="C7221" s="84">
        <v>0.53</v>
      </c>
      <c r="D7221" s="84">
        <v>0.0</v>
      </c>
      <c r="E7221" s="84">
        <v>0.0</v>
      </c>
      <c r="F7221" s="76" t="s">
        <v>990</v>
      </c>
      <c r="G7221" s="83">
        <v>46116.0</v>
      </c>
      <c r="H7221" s="76" t="s">
        <v>958</v>
      </c>
    </row>
    <row r="7222">
      <c r="A7222" s="76" t="s">
        <v>33</v>
      </c>
      <c r="B7222" s="76" t="s">
        <v>1041</v>
      </c>
      <c r="C7222" s="84">
        <v>0.95</v>
      </c>
      <c r="D7222" s="84">
        <v>0.0</v>
      </c>
      <c r="E7222" s="84">
        <v>0.0</v>
      </c>
      <c r="F7222" s="76" t="s">
        <v>990</v>
      </c>
      <c r="G7222" s="83">
        <v>46116.0</v>
      </c>
      <c r="H7222" s="76" t="s">
        <v>959</v>
      </c>
    </row>
    <row r="7223">
      <c r="A7223" s="76" t="s">
        <v>40</v>
      </c>
      <c r="B7223" s="76" t="s">
        <v>1041</v>
      </c>
      <c r="C7223" s="84">
        <v>0.24</v>
      </c>
      <c r="D7223" s="84">
        <v>0.0</v>
      </c>
      <c r="E7223" s="84">
        <v>0.0</v>
      </c>
      <c r="F7223" s="76" t="s">
        <v>990</v>
      </c>
      <c r="G7223" s="83">
        <v>46116.0</v>
      </c>
      <c r="H7223" s="76" t="s">
        <v>954</v>
      </c>
    </row>
    <row r="7224">
      <c r="A7224" s="76" t="s">
        <v>40</v>
      </c>
      <c r="B7224" s="76" t="s">
        <v>1041</v>
      </c>
      <c r="C7224" s="84">
        <v>0.06</v>
      </c>
      <c r="D7224" s="84">
        <v>0.0</v>
      </c>
      <c r="E7224" s="84">
        <v>0.0</v>
      </c>
      <c r="F7224" s="76" t="s">
        <v>990</v>
      </c>
      <c r="G7224" s="83">
        <v>46116.0</v>
      </c>
      <c r="H7224" s="76" t="s">
        <v>955</v>
      </c>
    </row>
    <row r="7225">
      <c r="A7225" s="76" t="s">
        <v>40</v>
      </c>
      <c r="B7225" s="76" t="s">
        <v>1041</v>
      </c>
      <c r="C7225" s="84">
        <v>1.13</v>
      </c>
      <c r="D7225" s="84">
        <v>0.0</v>
      </c>
      <c r="E7225" s="84">
        <v>0.0</v>
      </c>
      <c r="F7225" s="76" t="s">
        <v>990</v>
      </c>
      <c r="G7225" s="83">
        <v>46116.0</v>
      </c>
      <c r="H7225" s="76" t="s">
        <v>956</v>
      </c>
    </row>
    <row r="7226">
      <c r="A7226" s="76" t="s">
        <v>43</v>
      </c>
      <c r="B7226" s="76" t="s">
        <v>1041</v>
      </c>
      <c r="C7226" s="84">
        <v>0.26</v>
      </c>
      <c r="D7226" s="84">
        <v>0.0</v>
      </c>
      <c r="E7226" s="84">
        <v>0.0</v>
      </c>
      <c r="F7226" s="76" t="s">
        <v>990</v>
      </c>
      <c r="G7226" s="83">
        <v>46116.0</v>
      </c>
      <c r="H7226" s="76" t="s">
        <v>963</v>
      </c>
    </row>
    <row r="7227">
      <c r="A7227" s="76" t="s">
        <v>43</v>
      </c>
      <c r="B7227" s="76" t="s">
        <v>1041</v>
      </c>
      <c r="C7227" s="84">
        <v>0.49</v>
      </c>
      <c r="D7227" s="84">
        <v>0.0</v>
      </c>
      <c r="E7227" s="84">
        <v>0.0</v>
      </c>
      <c r="F7227" s="76" t="s">
        <v>990</v>
      </c>
      <c r="G7227" s="83">
        <v>46116.0</v>
      </c>
      <c r="H7227" s="76" t="s">
        <v>964</v>
      </c>
    </row>
    <row r="7228">
      <c r="A7228" s="76" t="s">
        <v>43</v>
      </c>
      <c r="B7228" s="76" t="s">
        <v>1041</v>
      </c>
      <c r="C7228" s="84">
        <v>0.72</v>
      </c>
      <c r="D7228" s="84">
        <v>0.0</v>
      </c>
      <c r="E7228" s="84">
        <v>0.0</v>
      </c>
      <c r="F7228" s="76" t="s">
        <v>990</v>
      </c>
      <c r="G7228" s="83">
        <v>46116.0</v>
      </c>
      <c r="H7228" s="76" t="s">
        <v>965</v>
      </c>
    </row>
    <row r="7229">
      <c r="A7229" s="76" t="s">
        <v>966</v>
      </c>
      <c r="B7229" s="76" t="s">
        <v>1041</v>
      </c>
      <c r="C7229" s="84">
        <v>0.61</v>
      </c>
      <c r="D7229" s="84">
        <v>0.0</v>
      </c>
      <c r="E7229" s="84">
        <v>0.0</v>
      </c>
      <c r="F7229" s="76" t="s">
        <v>990</v>
      </c>
      <c r="G7229" s="83">
        <v>46116.0</v>
      </c>
      <c r="H7229" s="76" t="s">
        <v>967</v>
      </c>
    </row>
    <row r="7230">
      <c r="A7230" s="76" t="s">
        <v>966</v>
      </c>
      <c r="B7230" s="76" t="s">
        <v>1041</v>
      </c>
      <c r="C7230" s="84">
        <v>0.17</v>
      </c>
      <c r="D7230" s="84">
        <v>0.0</v>
      </c>
      <c r="E7230" s="84">
        <v>0.0</v>
      </c>
      <c r="F7230" s="76" t="s">
        <v>990</v>
      </c>
      <c r="G7230" s="83">
        <v>46116.0</v>
      </c>
      <c r="H7230" s="76" t="s">
        <v>968</v>
      </c>
    </row>
    <row r="7231">
      <c r="A7231" s="76" t="s">
        <v>966</v>
      </c>
      <c r="B7231" s="76" t="s">
        <v>1041</v>
      </c>
      <c r="C7231" s="84">
        <v>0.15</v>
      </c>
      <c r="D7231" s="84">
        <v>0.0</v>
      </c>
      <c r="E7231" s="84">
        <v>0.0</v>
      </c>
      <c r="F7231" s="76" t="s">
        <v>990</v>
      </c>
      <c r="G7231" s="83">
        <v>46116.0</v>
      </c>
      <c r="H7231" s="76" t="s">
        <v>969</v>
      </c>
    </row>
    <row r="7232">
      <c r="A7232" s="76" t="s">
        <v>970</v>
      </c>
      <c r="B7232" s="76" t="s">
        <v>1041</v>
      </c>
      <c r="C7232" s="84">
        <v>0.71</v>
      </c>
      <c r="D7232" s="84">
        <v>0.0</v>
      </c>
      <c r="E7232" s="84">
        <v>0.0</v>
      </c>
      <c r="F7232" s="76" t="s">
        <v>996</v>
      </c>
      <c r="G7232" s="83">
        <v>46116.0</v>
      </c>
      <c r="H7232" s="76" t="s">
        <v>971</v>
      </c>
    </row>
    <row r="7233">
      <c r="A7233" s="76" t="s">
        <v>970</v>
      </c>
      <c r="B7233" s="76" t="s">
        <v>1041</v>
      </c>
      <c r="C7233" s="84">
        <v>0.05</v>
      </c>
      <c r="D7233" s="84">
        <v>0.0</v>
      </c>
      <c r="E7233" s="84">
        <v>0.0</v>
      </c>
      <c r="F7233" s="76" t="s">
        <v>996</v>
      </c>
      <c r="G7233" s="83">
        <v>46116.0</v>
      </c>
      <c r="H7233" s="76" t="s">
        <v>972</v>
      </c>
    </row>
    <row r="7234">
      <c r="A7234" s="76" t="s">
        <v>970</v>
      </c>
      <c r="B7234" s="76" t="s">
        <v>1041</v>
      </c>
      <c r="C7234" s="84">
        <v>1.34</v>
      </c>
      <c r="D7234" s="84">
        <v>0.0</v>
      </c>
      <c r="E7234" s="84">
        <v>0.0</v>
      </c>
      <c r="F7234" s="76" t="s">
        <v>996</v>
      </c>
      <c r="G7234" s="83">
        <v>46116.0</v>
      </c>
      <c r="H7234" s="76" t="s">
        <v>973</v>
      </c>
    </row>
    <row r="7235">
      <c r="A7235" s="76" t="s">
        <v>29</v>
      </c>
      <c r="B7235" s="76" t="s">
        <v>1041</v>
      </c>
      <c r="C7235" s="84">
        <v>0.6</v>
      </c>
      <c r="D7235" s="84">
        <v>0.0</v>
      </c>
      <c r="E7235" s="84">
        <v>0.0</v>
      </c>
      <c r="F7235" s="76" t="s">
        <v>996</v>
      </c>
      <c r="G7235" s="83">
        <v>46116.0</v>
      </c>
      <c r="H7235" s="76" t="s">
        <v>971</v>
      </c>
    </row>
    <row r="7236">
      <c r="A7236" s="76" t="s">
        <v>29</v>
      </c>
      <c r="B7236" s="76" t="s">
        <v>1041</v>
      </c>
      <c r="C7236" s="84">
        <v>0.09</v>
      </c>
      <c r="D7236" s="84">
        <v>0.0</v>
      </c>
      <c r="E7236" s="84">
        <v>0.0</v>
      </c>
      <c r="F7236" s="76" t="s">
        <v>996</v>
      </c>
      <c r="G7236" s="83">
        <v>46116.0</v>
      </c>
      <c r="H7236" s="76" t="s">
        <v>972</v>
      </c>
    </row>
    <row r="7237">
      <c r="A7237" s="76" t="s">
        <v>29</v>
      </c>
      <c r="B7237" s="76" t="s">
        <v>1041</v>
      </c>
      <c r="C7237" s="84">
        <v>1.41</v>
      </c>
      <c r="D7237" s="84">
        <v>0.0</v>
      </c>
      <c r="E7237" s="84">
        <v>0.0</v>
      </c>
      <c r="F7237" s="76" t="s">
        <v>996</v>
      </c>
      <c r="G7237" s="83">
        <v>46116.0</v>
      </c>
      <c r="H7237" s="76" t="s">
        <v>973</v>
      </c>
    </row>
    <row r="7238">
      <c r="A7238" s="76" t="s">
        <v>43</v>
      </c>
      <c r="B7238" s="76" t="s">
        <v>1041</v>
      </c>
      <c r="C7238" s="84">
        <v>0.1</v>
      </c>
      <c r="D7238" s="84">
        <v>0.0</v>
      </c>
      <c r="E7238" s="84">
        <v>0.0</v>
      </c>
      <c r="F7238" s="76" t="s">
        <v>996</v>
      </c>
      <c r="G7238" s="83">
        <v>46116.0</v>
      </c>
      <c r="H7238" s="76" t="s">
        <v>963</v>
      </c>
    </row>
    <row r="7239">
      <c r="A7239" s="76" t="s">
        <v>43</v>
      </c>
      <c r="B7239" s="76" t="s">
        <v>1041</v>
      </c>
      <c r="C7239" s="84">
        <v>0.12</v>
      </c>
      <c r="D7239" s="84">
        <v>0.0</v>
      </c>
      <c r="E7239" s="84">
        <v>0.0</v>
      </c>
      <c r="F7239" s="76" t="s">
        <v>996</v>
      </c>
      <c r="G7239" s="83">
        <v>46116.0</v>
      </c>
      <c r="H7239" s="76" t="s">
        <v>964</v>
      </c>
    </row>
    <row r="7240">
      <c r="A7240" s="76" t="s">
        <v>43</v>
      </c>
      <c r="B7240" s="76" t="s">
        <v>1041</v>
      </c>
      <c r="C7240" s="84">
        <v>0.59</v>
      </c>
      <c r="D7240" s="84">
        <v>0.0</v>
      </c>
      <c r="E7240" s="84">
        <v>0.0</v>
      </c>
      <c r="F7240" s="76" t="s">
        <v>996</v>
      </c>
      <c r="G7240" s="83">
        <v>46116.0</v>
      </c>
      <c r="H7240" s="76" t="s">
        <v>965</v>
      </c>
    </row>
    <row r="7241">
      <c r="A7241" s="76" t="s">
        <v>46</v>
      </c>
      <c r="B7241" s="76" t="s">
        <v>1041</v>
      </c>
      <c r="C7241" s="84">
        <v>0.14</v>
      </c>
      <c r="D7241" s="84">
        <v>0.0</v>
      </c>
      <c r="E7241" s="84">
        <v>0.0</v>
      </c>
      <c r="F7241" s="76" t="s">
        <v>996</v>
      </c>
      <c r="G7241" s="83">
        <v>46116.0</v>
      </c>
      <c r="H7241" s="76" t="s">
        <v>960</v>
      </c>
    </row>
    <row r="7242">
      <c r="A7242" s="76" t="s">
        <v>46</v>
      </c>
      <c r="B7242" s="76" t="s">
        <v>1041</v>
      </c>
      <c r="C7242" s="84">
        <v>0.08</v>
      </c>
      <c r="D7242" s="84">
        <v>0.0</v>
      </c>
      <c r="E7242" s="84">
        <v>0.0</v>
      </c>
      <c r="F7242" s="76" t="s">
        <v>996</v>
      </c>
      <c r="G7242" s="83">
        <v>46116.0</v>
      </c>
      <c r="H7242" s="76" t="s">
        <v>961</v>
      </c>
    </row>
    <row r="7243">
      <c r="A7243" s="76" t="s">
        <v>46</v>
      </c>
      <c r="B7243" s="76" t="s">
        <v>1041</v>
      </c>
      <c r="C7243" s="84">
        <v>0.12</v>
      </c>
      <c r="D7243" s="84">
        <v>0.0</v>
      </c>
      <c r="E7243" s="84">
        <v>0.0</v>
      </c>
      <c r="F7243" s="76" t="s">
        <v>996</v>
      </c>
      <c r="G7243" s="83">
        <v>46116.0</v>
      </c>
      <c r="H7243" s="76" t="s">
        <v>962</v>
      </c>
    </row>
    <row r="7244">
      <c r="A7244" s="76" t="s">
        <v>966</v>
      </c>
      <c r="B7244" s="76" t="s">
        <v>1041</v>
      </c>
      <c r="C7244" s="84">
        <v>0.24</v>
      </c>
      <c r="D7244" s="84">
        <v>0.0</v>
      </c>
      <c r="E7244" s="84">
        <v>0.0</v>
      </c>
      <c r="F7244" s="76" t="s">
        <v>996</v>
      </c>
      <c r="G7244" s="83">
        <v>46116.0</v>
      </c>
      <c r="H7244" s="76" t="s">
        <v>967</v>
      </c>
    </row>
    <row r="7245">
      <c r="A7245" s="76" t="s">
        <v>966</v>
      </c>
      <c r="B7245" s="76" t="s">
        <v>1041</v>
      </c>
      <c r="C7245" s="84">
        <v>0.04</v>
      </c>
      <c r="D7245" s="84">
        <v>0.0</v>
      </c>
      <c r="E7245" s="84">
        <v>0.0</v>
      </c>
      <c r="F7245" s="76" t="s">
        <v>996</v>
      </c>
      <c r="G7245" s="83">
        <v>46116.0</v>
      </c>
      <c r="H7245" s="76" t="s">
        <v>968</v>
      </c>
    </row>
    <row r="7246">
      <c r="A7246" s="76" t="s">
        <v>966</v>
      </c>
      <c r="B7246" s="76" t="s">
        <v>1041</v>
      </c>
      <c r="C7246" s="84">
        <v>0.05</v>
      </c>
      <c r="D7246" s="84">
        <v>0.0</v>
      </c>
      <c r="E7246" s="84">
        <v>0.0</v>
      </c>
      <c r="F7246" s="76" t="s">
        <v>996</v>
      </c>
      <c r="G7246" s="83">
        <v>46116.0</v>
      </c>
      <c r="H7246" s="76" t="s">
        <v>969</v>
      </c>
    </row>
    <row r="7247">
      <c r="A7247" s="76" t="s">
        <v>33</v>
      </c>
      <c r="B7247" s="76" t="s">
        <v>1041</v>
      </c>
      <c r="C7247" s="84">
        <v>1.82</v>
      </c>
      <c r="D7247" s="84">
        <v>0.0</v>
      </c>
      <c r="E7247" s="84">
        <v>0.0</v>
      </c>
      <c r="F7247" s="76" t="s">
        <v>996</v>
      </c>
      <c r="G7247" s="83">
        <v>46116.0</v>
      </c>
      <c r="H7247" s="76" t="s">
        <v>957</v>
      </c>
    </row>
    <row r="7248">
      <c r="A7248" s="76" t="s">
        <v>33</v>
      </c>
      <c r="B7248" s="76" t="s">
        <v>1041</v>
      </c>
      <c r="C7248" s="84">
        <v>0.11</v>
      </c>
      <c r="D7248" s="84">
        <v>0.0</v>
      </c>
      <c r="E7248" s="84">
        <v>0.0</v>
      </c>
      <c r="F7248" s="76" t="s">
        <v>996</v>
      </c>
      <c r="G7248" s="83">
        <v>46116.0</v>
      </c>
      <c r="H7248" s="76" t="s">
        <v>958</v>
      </c>
    </row>
    <row r="7249">
      <c r="A7249" s="76" t="s">
        <v>33</v>
      </c>
      <c r="B7249" s="76" t="s">
        <v>1041</v>
      </c>
      <c r="C7249" s="84">
        <v>0.3</v>
      </c>
      <c r="D7249" s="84">
        <v>0.0</v>
      </c>
      <c r="E7249" s="84">
        <v>0.0</v>
      </c>
      <c r="F7249" s="76" t="s">
        <v>996</v>
      </c>
      <c r="G7249" s="83">
        <v>46116.0</v>
      </c>
      <c r="H7249" s="76" t="s">
        <v>959</v>
      </c>
    </row>
    <row r="7250">
      <c r="A7250" s="76" t="s">
        <v>34</v>
      </c>
      <c r="B7250" s="76" t="s">
        <v>1041</v>
      </c>
      <c r="C7250" s="84">
        <v>0.07</v>
      </c>
      <c r="D7250" s="84">
        <v>0.0</v>
      </c>
      <c r="E7250" s="84">
        <v>0.0</v>
      </c>
      <c r="F7250" s="76" t="s">
        <v>996</v>
      </c>
      <c r="G7250" s="83">
        <v>46116.0</v>
      </c>
      <c r="H7250" s="76" t="s">
        <v>951</v>
      </c>
    </row>
    <row r="7251">
      <c r="A7251" s="76" t="s">
        <v>34</v>
      </c>
      <c r="B7251" s="76" t="s">
        <v>1041</v>
      </c>
      <c r="C7251" s="84">
        <v>0.11</v>
      </c>
      <c r="D7251" s="84">
        <v>0.0</v>
      </c>
      <c r="E7251" s="84">
        <v>0.0</v>
      </c>
      <c r="F7251" s="76" t="s">
        <v>996</v>
      </c>
      <c r="G7251" s="83">
        <v>46116.0</v>
      </c>
      <c r="H7251" s="76" t="s">
        <v>952</v>
      </c>
    </row>
    <row r="7252">
      <c r="A7252" s="76" t="s">
        <v>34</v>
      </c>
      <c r="B7252" s="76" t="s">
        <v>1041</v>
      </c>
      <c r="C7252" s="84">
        <v>0.12</v>
      </c>
      <c r="D7252" s="84">
        <v>0.0</v>
      </c>
      <c r="E7252" s="84">
        <v>0.0</v>
      </c>
      <c r="F7252" s="76" t="s">
        <v>996</v>
      </c>
      <c r="G7252" s="83">
        <v>46116.0</v>
      </c>
      <c r="H7252" s="76" t="s">
        <v>953</v>
      </c>
    </row>
    <row r="7253">
      <c r="A7253" s="76" t="s">
        <v>36</v>
      </c>
      <c r="B7253" s="76" t="s">
        <v>1041</v>
      </c>
      <c r="C7253" s="84">
        <v>0.47</v>
      </c>
      <c r="D7253" s="84">
        <v>0.0</v>
      </c>
      <c r="E7253" s="84">
        <v>0.0</v>
      </c>
      <c r="F7253" s="76" t="s">
        <v>996</v>
      </c>
      <c r="G7253" s="83">
        <v>46116.0</v>
      </c>
      <c r="H7253" s="76" t="s">
        <v>926</v>
      </c>
    </row>
    <row r="7254">
      <c r="A7254" s="76" t="s">
        <v>36</v>
      </c>
      <c r="B7254" s="76" t="s">
        <v>1041</v>
      </c>
      <c r="C7254" s="84">
        <v>0.09</v>
      </c>
      <c r="D7254" s="84">
        <v>0.0</v>
      </c>
      <c r="E7254" s="84">
        <v>0.0</v>
      </c>
      <c r="F7254" s="76" t="s">
        <v>996</v>
      </c>
      <c r="G7254" s="83">
        <v>46116.0</v>
      </c>
      <c r="H7254" s="76" t="s">
        <v>927</v>
      </c>
    </row>
    <row r="7255">
      <c r="A7255" s="76" t="s">
        <v>36</v>
      </c>
      <c r="B7255" s="76" t="s">
        <v>1041</v>
      </c>
      <c r="C7255" s="84">
        <v>0.11</v>
      </c>
      <c r="D7255" s="84">
        <v>0.0</v>
      </c>
      <c r="E7255" s="84">
        <v>0.0</v>
      </c>
      <c r="F7255" s="76" t="s">
        <v>996</v>
      </c>
      <c r="G7255" s="83">
        <v>46116.0</v>
      </c>
      <c r="H7255" s="76" t="s">
        <v>928</v>
      </c>
    </row>
    <row r="7256">
      <c r="A7256" s="76" t="s">
        <v>40</v>
      </c>
      <c r="B7256" s="76" t="s">
        <v>1041</v>
      </c>
      <c r="C7256" s="84">
        <v>0.09</v>
      </c>
      <c r="D7256" s="84">
        <v>0.0</v>
      </c>
      <c r="E7256" s="84">
        <v>0.0</v>
      </c>
      <c r="F7256" s="76" t="s">
        <v>996</v>
      </c>
      <c r="G7256" s="83">
        <v>46116.0</v>
      </c>
      <c r="H7256" s="76" t="s">
        <v>954</v>
      </c>
    </row>
    <row r="7257">
      <c r="A7257" s="76" t="s">
        <v>40</v>
      </c>
      <c r="B7257" s="76" t="s">
        <v>1041</v>
      </c>
      <c r="C7257" s="84">
        <v>0.02</v>
      </c>
      <c r="D7257" s="84">
        <v>0.0</v>
      </c>
      <c r="E7257" s="84">
        <v>0.0</v>
      </c>
      <c r="F7257" s="76" t="s">
        <v>996</v>
      </c>
      <c r="G7257" s="83">
        <v>46116.0</v>
      </c>
      <c r="H7257" s="76" t="s">
        <v>955</v>
      </c>
    </row>
    <row r="7258">
      <c r="A7258" s="76" t="s">
        <v>40</v>
      </c>
      <c r="B7258" s="76" t="s">
        <v>1041</v>
      </c>
      <c r="C7258" s="84">
        <v>0.76</v>
      </c>
      <c r="D7258" s="84">
        <v>0.0</v>
      </c>
      <c r="E7258" s="84">
        <v>0.0</v>
      </c>
      <c r="F7258" s="76" t="s">
        <v>996</v>
      </c>
      <c r="G7258" s="83">
        <v>46116.0</v>
      </c>
      <c r="H7258" s="76" t="s">
        <v>956</v>
      </c>
    </row>
    <row r="7259">
      <c r="A7259" s="76" t="s">
        <v>40</v>
      </c>
      <c r="B7259" s="76" t="s">
        <v>1041</v>
      </c>
      <c r="C7259" s="84">
        <v>0.03</v>
      </c>
      <c r="D7259" s="84">
        <v>0.0</v>
      </c>
      <c r="E7259" s="84">
        <v>0.0</v>
      </c>
      <c r="F7259" s="76" t="s">
        <v>993</v>
      </c>
      <c r="G7259" s="83">
        <v>46116.0</v>
      </c>
      <c r="H7259" s="76" t="s">
        <v>954</v>
      </c>
    </row>
    <row r="7260">
      <c r="A7260" s="76" t="s">
        <v>40</v>
      </c>
      <c r="B7260" s="76" t="s">
        <v>1041</v>
      </c>
      <c r="C7260" s="84">
        <v>0.01</v>
      </c>
      <c r="D7260" s="84">
        <v>0.0</v>
      </c>
      <c r="E7260" s="84">
        <v>0.0</v>
      </c>
      <c r="F7260" s="76" t="s">
        <v>993</v>
      </c>
      <c r="G7260" s="83">
        <v>46116.0</v>
      </c>
      <c r="H7260" s="76" t="s">
        <v>955</v>
      </c>
    </row>
    <row r="7261">
      <c r="A7261" s="76" t="s">
        <v>40</v>
      </c>
      <c r="B7261" s="76" t="s">
        <v>1041</v>
      </c>
      <c r="C7261" s="84">
        <v>0.29</v>
      </c>
      <c r="D7261" s="84">
        <v>0.0</v>
      </c>
      <c r="E7261" s="84">
        <v>0.0</v>
      </c>
      <c r="F7261" s="76" t="s">
        <v>993</v>
      </c>
      <c r="G7261" s="83">
        <v>46116.0</v>
      </c>
      <c r="H7261" s="76" t="s">
        <v>956</v>
      </c>
    </row>
    <row r="7262">
      <c r="A7262" s="76" t="s">
        <v>36</v>
      </c>
      <c r="B7262" s="76" t="s">
        <v>1041</v>
      </c>
      <c r="C7262" s="84">
        <v>0.11</v>
      </c>
      <c r="D7262" s="84">
        <v>0.0</v>
      </c>
      <c r="E7262" s="84">
        <v>0.0</v>
      </c>
      <c r="F7262" s="76" t="s">
        <v>993</v>
      </c>
      <c r="G7262" s="83">
        <v>46116.0</v>
      </c>
      <c r="H7262" s="76" t="s">
        <v>926</v>
      </c>
    </row>
    <row r="7263">
      <c r="A7263" s="76" t="s">
        <v>36</v>
      </c>
      <c r="B7263" s="76" t="s">
        <v>1041</v>
      </c>
      <c r="C7263" s="84">
        <v>0.03</v>
      </c>
      <c r="D7263" s="84">
        <v>0.0</v>
      </c>
      <c r="E7263" s="84">
        <v>0.0</v>
      </c>
      <c r="F7263" s="76" t="s">
        <v>993</v>
      </c>
      <c r="G7263" s="83">
        <v>46116.0</v>
      </c>
      <c r="H7263" s="76" t="s">
        <v>927</v>
      </c>
    </row>
    <row r="7264">
      <c r="A7264" s="76" t="s">
        <v>36</v>
      </c>
      <c r="B7264" s="76" t="s">
        <v>1041</v>
      </c>
      <c r="C7264" s="84">
        <v>0.04</v>
      </c>
      <c r="D7264" s="84">
        <v>0.0</v>
      </c>
      <c r="E7264" s="84">
        <v>0.0</v>
      </c>
      <c r="F7264" s="76" t="s">
        <v>993</v>
      </c>
      <c r="G7264" s="83">
        <v>46116.0</v>
      </c>
      <c r="H7264" s="76" t="s">
        <v>928</v>
      </c>
    </row>
    <row r="7265">
      <c r="A7265" s="76" t="s">
        <v>46</v>
      </c>
      <c r="B7265" s="76" t="s">
        <v>1041</v>
      </c>
      <c r="C7265" s="84">
        <v>0.12</v>
      </c>
      <c r="D7265" s="84">
        <v>0.0</v>
      </c>
      <c r="E7265" s="84">
        <v>0.0</v>
      </c>
      <c r="F7265" s="76" t="s">
        <v>993</v>
      </c>
      <c r="G7265" s="83">
        <v>46116.0</v>
      </c>
      <c r="H7265" s="76" t="s">
        <v>960</v>
      </c>
    </row>
    <row r="7266">
      <c r="A7266" s="76" t="s">
        <v>46</v>
      </c>
      <c r="B7266" s="76" t="s">
        <v>1041</v>
      </c>
      <c r="C7266" s="84">
        <v>0.02</v>
      </c>
      <c r="D7266" s="84">
        <v>0.0</v>
      </c>
      <c r="E7266" s="84">
        <v>0.0</v>
      </c>
      <c r="F7266" s="76" t="s">
        <v>993</v>
      </c>
      <c r="G7266" s="83">
        <v>46116.0</v>
      </c>
      <c r="H7266" s="76" t="s">
        <v>961</v>
      </c>
    </row>
    <row r="7267">
      <c r="A7267" s="76" t="s">
        <v>46</v>
      </c>
      <c r="B7267" s="76" t="s">
        <v>1041</v>
      </c>
      <c r="C7267" s="84">
        <v>0.07</v>
      </c>
      <c r="D7267" s="84">
        <v>0.0</v>
      </c>
      <c r="E7267" s="84">
        <v>0.0</v>
      </c>
      <c r="F7267" s="76" t="s">
        <v>993</v>
      </c>
      <c r="G7267" s="83">
        <v>46116.0</v>
      </c>
      <c r="H7267" s="76" t="s">
        <v>962</v>
      </c>
    </row>
    <row r="7268">
      <c r="A7268" s="76" t="s">
        <v>970</v>
      </c>
      <c r="B7268" s="76" t="s">
        <v>1041</v>
      </c>
      <c r="C7268" s="84">
        <v>0.57</v>
      </c>
      <c r="D7268" s="84">
        <v>0.0</v>
      </c>
      <c r="E7268" s="84">
        <v>0.0</v>
      </c>
      <c r="F7268" s="76" t="s">
        <v>993</v>
      </c>
      <c r="G7268" s="83">
        <v>46116.0</v>
      </c>
      <c r="H7268" s="76" t="s">
        <v>971</v>
      </c>
    </row>
    <row r="7269">
      <c r="A7269" s="76" t="s">
        <v>970</v>
      </c>
      <c r="B7269" s="76" t="s">
        <v>1041</v>
      </c>
      <c r="C7269" s="84">
        <v>0.09</v>
      </c>
      <c r="D7269" s="84">
        <v>0.0</v>
      </c>
      <c r="E7269" s="84">
        <v>0.0</v>
      </c>
      <c r="F7269" s="76" t="s">
        <v>993</v>
      </c>
      <c r="G7269" s="83">
        <v>46116.0</v>
      </c>
      <c r="H7269" s="76" t="s">
        <v>972</v>
      </c>
    </row>
    <row r="7270">
      <c r="A7270" s="76" t="s">
        <v>970</v>
      </c>
      <c r="B7270" s="76" t="s">
        <v>1041</v>
      </c>
      <c r="C7270" s="84">
        <v>1.02</v>
      </c>
      <c r="D7270" s="84">
        <v>0.0</v>
      </c>
      <c r="E7270" s="84">
        <v>0.0</v>
      </c>
      <c r="F7270" s="76" t="s">
        <v>993</v>
      </c>
      <c r="G7270" s="83">
        <v>46116.0</v>
      </c>
      <c r="H7270" s="76" t="s">
        <v>973</v>
      </c>
    </row>
    <row r="7271">
      <c r="A7271" s="76" t="s">
        <v>33</v>
      </c>
      <c r="B7271" s="76" t="s">
        <v>1041</v>
      </c>
      <c r="C7271" s="84">
        <v>1.29</v>
      </c>
      <c r="D7271" s="84">
        <v>0.0</v>
      </c>
      <c r="E7271" s="84">
        <v>0.0</v>
      </c>
      <c r="F7271" s="76" t="s">
        <v>993</v>
      </c>
      <c r="G7271" s="83">
        <v>46116.0</v>
      </c>
      <c r="H7271" s="76" t="s">
        <v>957</v>
      </c>
    </row>
    <row r="7272">
      <c r="A7272" s="76" t="s">
        <v>33</v>
      </c>
      <c r="B7272" s="76" t="s">
        <v>1041</v>
      </c>
      <c r="C7272" s="84">
        <v>0.07</v>
      </c>
      <c r="D7272" s="84">
        <v>0.0</v>
      </c>
      <c r="E7272" s="84">
        <v>0.0</v>
      </c>
      <c r="F7272" s="76" t="s">
        <v>993</v>
      </c>
      <c r="G7272" s="83">
        <v>46116.0</v>
      </c>
      <c r="H7272" s="76" t="s">
        <v>958</v>
      </c>
    </row>
    <row r="7273">
      <c r="A7273" s="76" t="s">
        <v>33</v>
      </c>
      <c r="B7273" s="76" t="s">
        <v>1041</v>
      </c>
      <c r="C7273" s="84">
        <v>0.15</v>
      </c>
      <c r="D7273" s="84">
        <v>0.0</v>
      </c>
      <c r="E7273" s="84">
        <v>0.0</v>
      </c>
      <c r="F7273" s="76" t="s">
        <v>993</v>
      </c>
      <c r="G7273" s="83">
        <v>46116.0</v>
      </c>
      <c r="H7273" s="76" t="s">
        <v>959</v>
      </c>
    </row>
    <row r="7274">
      <c r="A7274" s="76" t="s">
        <v>966</v>
      </c>
      <c r="B7274" s="76" t="s">
        <v>1041</v>
      </c>
      <c r="C7274" s="84">
        <v>0.11</v>
      </c>
      <c r="D7274" s="84">
        <v>0.0</v>
      </c>
      <c r="E7274" s="84">
        <v>0.0</v>
      </c>
      <c r="F7274" s="76" t="s">
        <v>993</v>
      </c>
      <c r="G7274" s="83">
        <v>46116.0</v>
      </c>
      <c r="H7274" s="76" t="s">
        <v>967</v>
      </c>
    </row>
    <row r="7275">
      <c r="A7275" s="76" t="s">
        <v>966</v>
      </c>
      <c r="B7275" s="76" t="s">
        <v>1041</v>
      </c>
      <c r="C7275" s="84">
        <v>0.02</v>
      </c>
      <c r="D7275" s="84">
        <v>0.0</v>
      </c>
      <c r="E7275" s="84">
        <v>0.0</v>
      </c>
      <c r="F7275" s="76" t="s">
        <v>993</v>
      </c>
      <c r="G7275" s="83">
        <v>46116.0</v>
      </c>
      <c r="H7275" s="76" t="s">
        <v>968</v>
      </c>
    </row>
    <row r="7276">
      <c r="A7276" s="76" t="s">
        <v>966</v>
      </c>
      <c r="B7276" s="76" t="s">
        <v>1041</v>
      </c>
      <c r="C7276" s="84">
        <v>0.02</v>
      </c>
      <c r="D7276" s="84">
        <v>0.0</v>
      </c>
      <c r="E7276" s="84">
        <v>0.0</v>
      </c>
      <c r="F7276" s="76" t="s">
        <v>993</v>
      </c>
      <c r="G7276" s="83">
        <v>46116.0</v>
      </c>
      <c r="H7276" s="76" t="s">
        <v>969</v>
      </c>
    </row>
    <row r="7277">
      <c r="A7277" s="76" t="s">
        <v>29</v>
      </c>
      <c r="B7277" s="76" t="s">
        <v>1041</v>
      </c>
      <c r="C7277" s="84">
        <v>0.35</v>
      </c>
      <c r="D7277" s="84">
        <v>0.0</v>
      </c>
      <c r="E7277" s="84">
        <v>0.0</v>
      </c>
      <c r="F7277" s="76" t="s">
        <v>993</v>
      </c>
      <c r="G7277" s="83">
        <v>46116.0</v>
      </c>
      <c r="H7277" s="76" t="s">
        <v>971</v>
      </c>
    </row>
    <row r="7278">
      <c r="A7278" s="76" t="s">
        <v>29</v>
      </c>
      <c r="B7278" s="76" t="s">
        <v>1041</v>
      </c>
      <c r="C7278" s="84">
        <v>0.05</v>
      </c>
      <c r="D7278" s="84">
        <v>0.0</v>
      </c>
      <c r="E7278" s="84">
        <v>0.0</v>
      </c>
      <c r="F7278" s="76" t="s">
        <v>993</v>
      </c>
      <c r="G7278" s="83">
        <v>46116.0</v>
      </c>
      <c r="H7278" s="76" t="s">
        <v>972</v>
      </c>
    </row>
    <row r="7279">
      <c r="A7279" s="76" t="s">
        <v>29</v>
      </c>
      <c r="B7279" s="76" t="s">
        <v>1041</v>
      </c>
      <c r="C7279" s="84">
        <v>0.76</v>
      </c>
      <c r="D7279" s="84">
        <v>0.0</v>
      </c>
      <c r="E7279" s="84">
        <v>0.0</v>
      </c>
      <c r="F7279" s="76" t="s">
        <v>993</v>
      </c>
      <c r="G7279" s="83">
        <v>46116.0</v>
      </c>
      <c r="H7279" s="76" t="s">
        <v>973</v>
      </c>
    </row>
    <row r="7280">
      <c r="A7280" s="76" t="s">
        <v>34</v>
      </c>
      <c r="B7280" s="76" t="s">
        <v>1041</v>
      </c>
      <c r="C7280" s="84">
        <v>0.07</v>
      </c>
      <c r="D7280" s="84">
        <v>0.0</v>
      </c>
      <c r="E7280" s="84">
        <v>0.0</v>
      </c>
      <c r="F7280" s="76" t="s">
        <v>993</v>
      </c>
      <c r="G7280" s="83">
        <v>46116.0</v>
      </c>
      <c r="H7280" s="76" t="s">
        <v>951</v>
      </c>
    </row>
    <row r="7281">
      <c r="A7281" s="76" t="s">
        <v>34</v>
      </c>
      <c r="B7281" s="76" t="s">
        <v>1041</v>
      </c>
      <c r="C7281" s="84">
        <v>0.08</v>
      </c>
      <c r="D7281" s="84">
        <v>0.0</v>
      </c>
      <c r="E7281" s="84">
        <v>0.0</v>
      </c>
      <c r="F7281" s="76" t="s">
        <v>993</v>
      </c>
      <c r="G7281" s="83">
        <v>46116.0</v>
      </c>
      <c r="H7281" s="76" t="s">
        <v>952</v>
      </c>
    </row>
    <row r="7282">
      <c r="A7282" s="76" t="s">
        <v>34</v>
      </c>
      <c r="B7282" s="76" t="s">
        <v>1041</v>
      </c>
      <c r="C7282" s="84">
        <v>0.04</v>
      </c>
      <c r="D7282" s="84">
        <v>0.0</v>
      </c>
      <c r="E7282" s="84">
        <v>0.0</v>
      </c>
      <c r="F7282" s="76" t="s">
        <v>993</v>
      </c>
      <c r="G7282" s="83">
        <v>46116.0</v>
      </c>
      <c r="H7282" s="76" t="s">
        <v>953</v>
      </c>
    </row>
    <row r="7283">
      <c r="A7283" s="76" t="s">
        <v>43</v>
      </c>
      <c r="B7283" s="76" t="s">
        <v>1041</v>
      </c>
      <c r="C7283" s="84">
        <v>0.14</v>
      </c>
      <c r="D7283" s="84">
        <v>0.0</v>
      </c>
      <c r="E7283" s="84">
        <v>0.0</v>
      </c>
      <c r="F7283" s="76" t="s">
        <v>993</v>
      </c>
      <c r="G7283" s="83">
        <v>46116.0</v>
      </c>
      <c r="H7283" s="76" t="s">
        <v>963</v>
      </c>
    </row>
    <row r="7284">
      <c r="A7284" s="76" t="s">
        <v>43</v>
      </c>
      <c r="B7284" s="76" t="s">
        <v>1041</v>
      </c>
      <c r="C7284" s="84">
        <v>0.1</v>
      </c>
      <c r="D7284" s="84">
        <v>0.0</v>
      </c>
      <c r="E7284" s="84">
        <v>0.0</v>
      </c>
      <c r="F7284" s="76" t="s">
        <v>993</v>
      </c>
      <c r="G7284" s="83">
        <v>46116.0</v>
      </c>
      <c r="H7284" s="76" t="s">
        <v>964</v>
      </c>
    </row>
    <row r="7285">
      <c r="A7285" s="76" t="s">
        <v>43</v>
      </c>
      <c r="B7285" s="76" t="s">
        <v>1041</v>
      </c>
      <c r="C7285" s="84">
        <v>0.4</v>
      </c>
      <c r="D7285" s="84">
        <v>1.0</v>
      </c>
      <c r="E7285" s="84">
        <v>0.4</v>
      </c>
      <c r="F7285" s="76" t="s">
        <v>993</v>
      </c>
      <c r="G7285" s="83">
        <v>46116.0</v>
      </c>
      <c r="H7285" s="76" t="s">
        <v>965</v>
      </c>
    </row>
    <row r="7286">
      <c r="A7286" s="76" t="s">
        <v>36</v>
      </c>
      <c r="B7286" s="76" t="s">
        <v>1041</v>
      </c>
      <c r="C7286" s="84">
        <v>0.05</v>
      </c>
      <c r="D7286" s="84">
        <v>0.0</v>
      </c>
      <c r="E7286" s="84">
        <v>0.0</v>
      </c>
      <c r="F7286" s="76" t="s">
        <v>998</v>
      </c>
      <c r="G7286" s="83">
        <v>46116.0</v>
      </c>
      <c r="H7286" s="76" t="s">
        <v>926</v>
      </c>
    </row>
    <row r="7287">
      <c r="A7287" s="76" t="s">
        <v>36</v>
      </c>
      <c r="B7287" s="76" t="s">
        <v>1041</v>
      </c>
      <c r="C7287" s="84">
        <v>0.02</v>
      </c>
      <c r="D7287" s="84">
        <v>0.0</v>
      </c>
      <c r="E7287" s="84">
        <v>0.0</v>
      </c>
      <c r="F7287" s="76" t="s">
        <v>998</v>
      </c>
      <c r="G7287" s="83">
        <v>46116.0</v>
      </c>
      <c r="H7287" s="76" t="s">
        <v>927</v>
      </c>
    </row>
    <row r="7288">
      <c r="A7288" s="76" t="s">
        <v>36</v>
      </c>
      <c r="B7288" s="76" t="s">
        <v>1041</v>
      </c>
      <c r="C7288" s="84">
        <v>0.09</v>
      </c>
      <c r="D7288" s="84">
        <v>0.0</v>
      </c>
      <c r="E7288" s="84">
        <v>0.0</v>
      </c>
      <c r="F7288" s="76" t="s">
        <v>998</v>
      </c>
      <c r="G7288" s="83">
        <v>46116.0</v>
      </c>
      <c r="H7288" s="76" t="s">
        <v>928</v>
      </c>
    </row>
    <row r="7289">
      <c r="A7289" s="76" t="s">
        <v>34</v>
      </c>
      <c r="B7289" s="76" t="s">
        <v>1041</v>
      </c>
      <c r="C7289" s="84">
        <v>0.01</v>
      </c>
      <c r="D7289" s="84">
        <v>0.0</v>
      </c>
      <c r="E7289" s="84">
        <v>0.0</v>
      </c>
      <c r="F7289" s="76" t="s">
        <v>998</v>
      </c>
      <c r="G7289" s="83">
        <v>46116.0</v>
      </c>
      <c r="H7289" s="76" t="s">
        <v>951</v>
      </c>
    </row>
    <row r="7290">
      <c r="A7290" s="76" t="s">
        <v>34</v>
      </c>
      <c r="B7290" s="76" t="s">
        <v>1041</v>
      </c>
      <c r="C7290" s="84">
        <v>0.08</v>
      </c>
      <c r="D7290" s="84">
        <v>0.0</v>
      </c>
      <c r="E7290" s="84">
        <v>0.0</v>
      </c>
      <c r="F7290" s="76" t="s">
        <v>998</v>
      </c>
      <c r="G7290" s="83">
        <v>46116.0</v>
      </c>
      <c r="H7290" s="76" t="s">
        <v>952</v>
      </c>
    </row>
    <row r="7291">
      <c r="A7291" s="76" t="s">
        <v>34</v>
      </c>
      <c r="B7291" s="76" t="s">
        <v>1041</v>
      </c>
      <c r="C7291" s="84">
        <v>0.05</v>
      </c>
      <c r="D7291" s="84">
        <v>0.0</v>
      </c>
      <c r="E7291" s="84">
        <v>0.0</v>
      </c>
      <c r="F7291" s="76" t="s">
        <v>998</v>
      </c>
      <c r="G7291" s="83">
        <v>46116.0</v>
      </c>
      <c r="H7291" s="76" t="s">
        <v>953</v>
      </c>
    </row>
    <row r="7292">
      <c r="A7292" s="76" t="s">
        <v>33</v>
      </c>
      <c r="B7292" s="76" t="s">
        <v>1041</v>
      </c>
      <c r="C7292" s="84">
        <v>0.59</v>
      </c>
      <c r="D7292" s="84">
        <v>0.0</v>
      </c>
      <c r="E7292" s="84">
        <v>0.0</v>
      </c>
      <c r="F7292" s="76" t="s">
        <v>998</v>
      </c>
      <c r="G7292" s="83">
        <v>46116.0</v>
      </c>
      <c r="H7292" s="76" t="s">
        <v>957</v>
      </c>
    </row>
    <row r="7293">
      <c r="A7293" s="76" t="s">
        <v>33</v>
      </c>
      <c r="B7293" s="76" t="s">
        <v>1041</v>
      </c>
      <c r="C7293" s="84">
        <v>0.05</v>
      </c>
      <c r="D7293" s="84">
        <v>0.0</v>
      </c>
      <c r="E7293" s="84">
        <v>0.0</v>
      </c>
      <c r="F7293" s="76" t="s">
        <v>998</v>
      </c>
      <c r="G7293" s="83">
        <v>46116.0</v>
      </c>
      <c r="H7293" s="76" t="s">
        <v>958</v>
      </c>
    </row>
    <row r="7294">
      <c r="A7294" s="76" t="s">
        <v>33</v>
      </c>
      <c r="B7294" s="76" t="s">
        <v>1041</v>
      </c>
      <c r="C7294" s="84">
        <v>0.08</v>
      </c>
      <c r="D7294" s="84">
        <v>0.0</v>
      </c>
      <c r="E7294" s="84">
        <v>0.0</v>
      </c>
      <c r="F7294" s="76" t="s">
        <v>998</v>
      </c>
      <c r="G7294" s="83">
        <v>46116.0</v>
      </c>
      <c r="H7294" s="76" t="s">
        <v>959</v>
      </c>
    </row>
    <row r="7295">
      <c r="A7295" s="76" t="s">
        <v>29</v>
      </c>
      <c r="B7295" s="76" t="s">
        <v>1041</v>
      </c>
      <c r="C7295" s="84">
        <v>0.25</v>
      </c>
      <c r="D7295" s="84">
        <v>0.0</v>
      </c>
      <c r="E7295" s="84">
        <v>0.0</v>
      </c>
      <c r="F7295" s="76" t="s">
        <v>998</v>
      </c>
      <c r="G7295" s="83">
        <v>46116.0</v>
      </c>
      <c r="H7295" s="76" t="s">
        <v>971</v>
      </c>
    </row>
    <row r="7296">
      <c r="A7296" s="76" t="s">
        <v>29</v>
      </c>
      <c r="B7296" s="76" t="s">
        <v>1041</v>
      </c>
      <c r="C7296" s="84">
        <v>0.03</v>
      </c>
      <c r="D7296" s="84">
        <v>0.0</v>
      </c>
      <c r="E7296" s="84">
        <v>0.0</v>
      </c>
      <c r="F7296" s="76" t="s">
        <v>998</v>
      </c>
      <c r="G7296" s="83">
        <v>46116.0</v>
      </c>
      <c r="H7296" s="76" t="s">
        <v>972</v>
      </c>
    </row>
    <row r="7297">
      <c r="A7297" s="76" t="s">
        <v>29</v>
      </c>
      <c r="B7297" s="76" t="s">
        <v>1041</v>
      </c>
      <c r="C7297" s="84">
        <v>0.43</v>
      </c>
      <c r="D7297" s="84">
        <v>0.0</v>
      </c>
      <c r="E7297" s="84">
        <v>0.0</v>
      </c>
      <c r="F7297" s="76" t="s">
        <v>998</v>
      </c>
      <c r="G7297" s="83">
        <v>46116.0</v>
      </c>
      <c r="H7297" s="76" t="s">
        <v>973</v>
      </c>
    </row>
    <row r="7298">
      <c r="A7298" s="76" t="s">
        <v>46</v>
      </c>
      <c r="B7298" s="76" t="s">
        <v>1041</v>
      </c>
      <c r="C7298" s="84">
        <v>0.03</v>
      </c>
      <c r="D7298" s="84">
        <v>2.0</v>
      </c>
      <c r="E7298" s="84">
        <v>0.01</v>
      </c>
      <c r="F7298" s="76" t="s">
        <v>998</v>
      </c>
      <c r="G7298" s="83">
        <v>46116.0</v>
      </c>
      <c r="H7298" s="76" t="s">
        <v>960</v>
      </c>
    </row>
    <row r="7299">
      <c r="A7299" s="76" t="s">
        <v>46</v>
      </c>
      <c r="B7299" s="76" t="s">
        <v>1041</v>
      </c>
      <c r="C7299" s="84">
        <v>0.04</v>
      </c>
      <c r="D7299" s="84">
        <v>0.0</v>
      </c>
      <c r="E7299" s="84">
        <v>0.0</v>
      </c>
      <c r="F7299" s="76" t="s">
        <v>998</v>
      </c>
      <c r="G7299" s="83">
        <v>46116.0</v>
      </c>
      <c r="H7299" s="76" t="s">
        <v>961</v>
      </c>
    </row>
    <row r="7300">
      <c r="A7300" s="76" t="s">
        <v>46</v>
      </c>
      <c r="B7300" s="76" t="s">
        <v>1041</v>
      </c>
      <c r="C7300" s="84">
        <v>0.04</v>
      </c>
      <c r="D7300" s="84">
        <v>0.0</v>
      </c>
      <c r="E7300" s="84">
        <v>0.0</v>
      </c>
      <c r="F7300" s="76" t="s">
        <v>998</v>
      </c>
      <c r="G7300" s="83">
        <v>46116.0</v>
      </c>
      <c r="H7300" s="76" t="s">
        <v>962</v>
      </c>
    </row>
    <row r="7301">
      <c r="A7301" s="76" t="s">
        <v>40</v>
      </c>
      <c r="B7301" s="76" t="s">
        <v>1041</v>
      </c>
      <c r="C7301" s="84">
        <v>0.02</v>
      </c>
      <c r="D7301" s="84">
        <v>0.0</v>
      </c>
      <c r="E7301" s="84">
        <v>0.0</v>
      </c>
      <c r="F7301" s="76" t="s">
        <v>998</v>
      </c>
      <c r="G7301" s="83">
        <v>46116.0</v>
      </c>
      <c r="H7301" s="76" t="s">
        <v>954</v>
      </c>
    </row>
    <row r="7302">
      <c r="A7302" s="76" t="s">
        <v>40</v>
      </c>
      <c r="B7302" s="76" t="s">
        <v>1041</v>
      </c>
      <c r="C7302" s="84">
        <v>0.01</v>
      </c>
      <c r="D7302" s="84">
        <v>0.0</v>
      </c>
      <c r="E7302" s="84">
        <v>0.0</v>
      </c>
      <c r="F7302" s="76" t="s">
        <v>998</v>
      </c>
      <c r="G7302" s="83">
        <v>46116.0</v>
      </c>
      <c r="H7302" s="76" t="s">
        <v>955</v>
      </c>
    </row>
    <row r="7303">
      <c r="A7303" s="76" t="s">
        <v>40</v>
      </c>
      <c r="B7303" s="76" t="s">
        <v>1041</v>
      </c>
      <c r="C7303" s="84">
        <v>0.19</v>
      </c>
      <c r="D7303" s="84">
        <v>0.0</v>
      </c>
      <c r="E7303" s="84">
        <v>0.0</v>
      </c>
      <c r="F7303" s="76" t="s">
        <v>998</v>
      </c>
      <c r="G7303" s="83">
        <v>46116.0</v>
      </c>
      <c r="H7303" s="76" t="s">
        <v>956</v>
      </c>
    </row>
    <row r="7304">
      <c r="A7304" s="76" t="s">
        <v>966</v>
      </c>
      <c r="B7304" s="76" t="s">
        <v>1041</v>
      </c>
      <c r="C7304" s="84">
        <v>0.07</v>
      </c>
      <c r="D7304" s="84">
        <v>0.0</v>
      </c>
      <c r="E7304" s="84">
        <v>0.0</v>
      </c>
      <c r="F7304" s="76" t="s">
        <v>998</v>
      </c>
      <c r="G7304" s="83">
        <v>46116.0</v>
      </c>
      <c r="H7304" s="76" t="s">
        <v>967</v>
      </c>
    </row>
    <row r="7305">
      <c r="A7305" s="76" t="s">
        <v>966</v>
      </c>
      <c r="B7305" s="76" t="s">
        <v>1041</v>
      </c>
      <c r="C7305" s="84">
        <v>0.03</v>
      </c>
      <c r="D7305" s="84">
        <v>0.0</v>
      </c>
      <c r="E7305" s="84">
        <v>0.0</v>
      </c>
      <c r="F7305" s="76" t="s">
        <v>998</v>
      </c>
      <c r="G7305" s="83">
        <v>46116.0</v>
      </c>
      <c r="H7305" s="76" t="s">
        <v>968</v>
      </c>
    </row>
    <row r="7306">
      <c r="A7306" s="76" t="s">
        <v>966</v>
      </c>
      <c r="B7306" s="76" t="s">
        <v>1041</v>
      </c>
      <c r="C7306" s="84">
        <v>0.03</v>
      </c>
      <c r="D7306" s="84">
        <v>0.0</v>
      </c>
      <c r="E7306" s="84">
        <v>0.0</v>
      </c>
      <c r="F7306" s="76" t="s">
        <v>998</v>
      </c>
      <c r="G7306" s="83">
        <v>46116.0</v>
      </c>
      <c r="H7306" s="76" t="s">
        <v>969</v>
      </c>
    </row>
    <row r="7307">
      <c r="A7307" s="76" t="s">
        <v>43</v>
      </c>
      <c r="B7307" s="76" t="s">
        <v>1041</v>
      </c>
      <c r="C7307" s="84">
        <v>0.04</v>
      </c>
      <c r="D7307" s="84">
        <v>0.0</v>
      </c>
      <c r="E7307" s="84">
        <v>0.0</v>
      </c>
      <c r="F7307" s="76" t="s">
        <v>998</v>
      </c>
      <c r="G7307" s="83">
        <v>46116.0</v>
      </c>
      <c r="H7307" s="76" t="s">
        <v>963</v>
      </c>
    </row>
    <row r="7308">
      <c r="A7308" s="76" t="s">
        <v>43</v>
      </c>
      <c r="B7308" s="76" t="s">
        <v>1041</v>
      </c>
      <c r="C7308" s="84">
        <v>0.03</v>
      </c>
      <c r="D7308" s="84">
        <v>0.0</v>
      </c>
      <c r="E7308" s="84">
        <v>0.0</v>
      </c>
      <c r="F7308" s="76" t="s">
        <v>998</v>
      </c>
      <c r="G7308" s="83">
        <v>46116.0</v>
      </c>
      <c r="H7308" s="76" t="s">
        <v>964</v>
      </c>
    </row>
    <row r="7309">
      <c r="A7309" s="76" t="s">
        <v>43</v>
      </c>
      <c r="B7309" s="76" t="s">
        <v>1041</v>
      </c>
      <c r="C7309" s="84">
        <v>0.13</v>
      </c>
      <c r="D7309" s="84">
        <v>0.0</v>
      </c>
      <c r="E7309" s="84">
        <v>0.0</v>
      </c>
      <c r="F7309" s="76" t="s">
        <v>998</v>
      </c>
      <c r="G7309" s="83">
        <v>46116.0</v>
      </c>
      <c r="H7309" s="76" t="s">
        <v>965</v>
      </c>
    </row>
    <row r="7310">
      <c r="A7310" s="76" t="s">
        <v>970</v>
      </c>
      <c r="B7310" s="76" t="s">
        <v>1041</v>
      </c>
      <c r="C7310" s="84">
        <v>0.27</v>
      </c>
      <c r="D7310" s="84">
        <v>0.0</v>
      </c>
      <c r="E7310" s="84">
        <v>0.0</v>
      </c>
      <c r="F7310" s="76" t="s">
        <v>998</v>
      </c>
      <c r="G7310" s="83">
        <v>46116.0</v>
      </c>
      <c r="H7310" s="76" t="s">
        <v>971</v>
      </c>
    </row>
    <row r="7311">
      <c r="A7311" s="76" t="s">
        <v>970</v>
      </c>
      <c r="B7311" s="76" t="s">
        <v>1041</v>
      </c>
      <c r="C7311" s="84">
        <v>0.02</v>
      </c>
      <c r="D7311" s="84">
        <v>0.0</v>
      </c>
      <c r="E7311" s="84">
        <v>0.0</v>
      </c>
      <c r="F7311" s="76" t="s">
        <v>998</v>
      </c>
      <c r="G7311" s="83">
        <v>46116.0</v>
      </c>
      <c r="H7311" s="76" t="s">
        <v>972</v>
      </c>
    </row>
    <row r="7312">
      <c r="A7312" s="76" t="s">
        <v>970</v>
      </c>
      <c r="B7312" s="76" t="s">
        <v>1041</v>
      </c>
      <c r="C7312" s="84">
        <v>0.61</v>
      </c>
      <c r="D7312" s="84">
        <v>0.0</v>
      </c>
      <c r="E7312" s="84">
        <v>0.0</v>
      </c>
      <c r="F7312" s="76" t="s">
        <v>998</v>
      </c>
      <c r="G7312" s="83">
        <v>46116.0</v>
      </c>
      <c r="H7312" s="76" t="s">
        <v>973</v>
      </c>
    </row>
    <row r="7313">
      <c r="A7313" s="76" t="s">
        <v>46</v>
      </c>
      <c r="B7313" s="76" t="s">
        <v>1041</v>
      </c>
      <c r="C7313" s="84">
        <v>0.27</v>
      </c>
      <c r="D7313" s="84">
        <v>0.0</v>
      </c>
      <c r="E7313" s="84">
        <v>0.0</v>
      </c>
      <c r="F7313" s="76" t="s">
        <v>997</v>
      </c>
      <c r="G7313" s="83">
        <v>46116.0</v>
      </c>
      <c r="H7313" s="76" t="s">
        <v>960</v>
      </c>
    </row>
    <row r="7314">
      <c r="A7314" s="76" t="s">
        <v>46</v>
      </c>
      <c r="B7314" s="76" t="s">
        <v>1041</v>
      </c>
      <c r="C7314" s="84">
        <v>0.19</v>
      </c>
      <c r="D7314" s="84">
        <v>0.0</v>
      </c>
      <c r="E7314" s="84">
        <v>0.0</v>
      </c>
      <c r="F7314" s="76" t="s">
        <v>997</v>
      </c>
      <c r="G7314" s="83">
        <v>46116.0</v>
      </c>
      <c r="H7314" s="76" t="s">
        <v>961</v>
      </c>
    </row>
    <row r="7315">
      <c r="A7315" s="76" t="s">
        <v>46</v>
      </c>
      <c r="B7315" s="76" t="s">
        <v>1041</v>
      </c>
      <c r="C7315" s="84">
        <v>0.34</v>
      </c>
      <c r="D7315" s="84">
        <v>0.0</v>
      </c>
      <c r="E7315" s="84">
        <v>0.0</v>
      </c>
      <c r="F7315" s="76" t="s">
        <v>997</v>
      </c>
      <c r="G7315" s="83">
        <v>46116.0</v>
      </c>
      <c r="H7315" s="76" t="s">
        <v>962</v>
      </c>
    </row>
    <row r="7316">
      <c r="A7316" s="76" t="s">
        <v>34</v>
      </c>
      <c r="B7316" s="76" t="s">
        <v>1041</v>
      </c>
      <c r="C7316" s="84">
        <v>0.1</v>
      </c>
      <c r="D7316" s="84">
        <v>0.0</v>
      </c>
      <c r="E7316" s="84">
        <v>0.0</v>
      </c>
      <c r="F7316" s="76" t="s">
        <v>997</v>
      </c>
      <c r="G7316" s="83">
        <v>46116.0</v>
      </c>
      <c r="H7316" s="76" t="s">
        <v>951</v>
      </c>
    </row>
    <row r="7317">
      <c r="A7317" s="76" t="s">
        <v>34</v>
      </c>
      <c r="B7317" s="76" t="s">
        <v>1041</v>
      </c>
      <c r="C7317" s="84">
        <v>0.17</v>
      </c>
      <c r="D7317" s="84">
        <v>0.0</v>
      </c>
      <c r="E7317" s="84">
        <v>0.0</v>
      </c>
      <c r="F7317" s="76" t="s">
        <v>997</v>
      </c>
      <c r="G7317" s="83">
        <v>46116.0</v>
      </c>
      <c r="H7317" s="76" t="s">
        <v>952</v>
      </c>
    </row>
    <row r="7318">
      <c r="A7318" s="76" t="s">
        <v>34</v>
      </c>
      <c r="B7318" s="76" t="s">
        <v>1041</v>
      </c>
      <c r="C7318" s="84">
        <v>0.08</v>
      </c>
      <c r="D7318" s="84">
        <v>0.0</v>
      </c>
      <c r="E7318" s="84">
        <v>0.0</v>
      </c>
      <c r="F7318" s="76" t="s">
        <v>997</v>
      </c>
      <c r="G7318" s="83">
        <v>46116.0</v>
      </c>
      <c r="H7318" s="76" t="s">
        <v>953</v>
      </c>
    </row>
    <row r="7319">
      <c r="A7319" s="76" t="s">
        <v>40</v>
      </c>
      <c r="B7319" s="76" t="s">
        <v>1041</v>
      </c>
      <c r="C7319" s="84">
        <v>0.11</v>
      </c>
      <c r="D7319" s="84">
        <v>1.0</v>
      </c>
      <c r="E7319" s="84">
        <v>0.11</v>
      </c>
      <c r="F7319" s="76" t="s">
        <v>997</v>
      </c>
      <c r="G7319" s="83">
        <v>46116.0</v>
      </c>
      <c r="H7319" s="76" t="s">
        <v>954</v>
      </c>
    </row>
    <row r="7320">
      <c r="A7320" s="76" t="s">
        <v>40</v>
      </c>
      <c r="B7320" s="76" t="s">
        <v>1041</v>
      </c>
      <c r="C7320" s="84">
        <v>0.03</v>
      </c>
      <c r="D7320" s="84">
        <v>0.0</v>
      </c>
      <c r="E7320" s="84">
        <v>0.0</v>
      </c>
      <c r="F7320" s="76" t="s">
        <v>997</v>
      </c>
      <c r="G7320" s="83">
        <v>46116.0</v>
      </c>
      <c r="H7320" s="76" t="s">
        <v>955</v>
      </c>
    </row>
    <row r="7321">
      <c r="A7321" s="76" t="s">
        <v>40</v>
      </c>
      <c r="B7321" s="76" t="s">
        <v>1041</v>
      </c>
      <c r="C7321" s="84">
        <v>0.66</v>
      </c>
      <c r="D7321" s="84">
        <v>0.0</v>
      </c>
      <c r="E7321" s="84">
        <v>0.0</v>
      </c>
      <c r="F7321" s="76" t="s">
        <v>997</v>
      </c>
      <c r="G7321" s="83">
        <v>46116.0</v>
      </c>
      <c r="H7321" s="76" t="s">
        <v>956</v>
      </c>
    </row>
    <row r="7322">
      <c r="A7322" s="76" t="s">
        <v>36</v>
      </c>
      <c r="B7322" s="76" t="s">
        <v>1041</v>
      </c>
      <c r="C7322" s="84">
        <v>0.2</v>
      </c>
      <c r="D7322" s="84">
        <v>0.0</v>
      </c>
      <c r="E7322" s="84">
        <v>0.0</v>
      </c>
      <c r="F7322" s="76" t="s">
        <v>997</v>
      </c>
      <c r="G7322" s="83">
        <v>46116.0</v>
      </c>
      <c r="H7322" s="76" t="s">
        <v>926</v>
      </c>
    </row>
    <row r="7323">
      <c r="A7323" s="76" t="s">
        <v>36</v>
      </c>
      <c r="B7323" s="76" t="s">
        <v>1041</v>
      </c>
      <c r="C7323" s="84">
        <v>0.06</v>
      </c>
      <c r="D7323" s="84">
        <v>0.0</v>
      </c>
      <c r="E7323" s="84">
        <v>0.0</v>
      </c>
      <c r="F7323" s="76" t="s">
        <v>997</v>
      </c>
      <c r="G7323" s="83">
        <v>46116.0</v>
      </c>
      <c r="H7323" s="76" t="s">
        <v>927</v>
      </c>
    </row>
    <row r="7324">
      <c r="A7324" s="76" t="s">
        <v>36</v>
      </c>
      <c r="B7324" s="76" t="s">
        <v>1041</v>
      </c>
      <c r="C7324" s="84">
        <v>0.07</v>
      </c>
      <c r="D7324" s="84">
        <v>0.0</v>
      </c>
      <c r="E7324" s="84">
        <v>0.0</v>
      </c>
      <c r="F7324" s="76" t="s">
        <v>997</v>
      </c>
      <c r="G7324" s="83">
        <v>46116.0</v>
      </c>
      <c r="H7324" s="76" t="s">
        <v>928</v>
      </c>
    </row>
    <row r="7325">
      <c r="A7325" s="76" t="s">
        <v>970</v>
      </c>
      <c r="B7325" s="76" t="s">
        <v>1041</v>
      </c>
      <c r="C7325" s="84">
        <v>1.47</v>
      </c>
      <c r="D7325" s="84">
        <v>0.0</v>
      </c>
      <c r="E7325" s="84">
        <v>0.0</v>
      </c>
      <c r="F7325" s="76" t="s">
        <v>997</v>
      </c>
      <c r="G7325" s="83">
        <v>46116.0</v>
      </c>
      <c r="H7325" s="76" t="s">
        <v>971</v>
      </c>
    </row>
    <row r="7326">
      <c r="A7326" s="76" t="s">
        <v>970</v>
      </c>
      <c r="B7326" s="76" t="s">
        <v>1041</v>
      </c>
      <c r="C7326" s="84">
        <v>0.19</v>
      </c>
      <c r="D7326" s="84">
        <v>0.0</v>
      </c>
      <c r="E7326" s="84">
        <v>0.0</v>
      </c>
      <c r="F7326" s="76" t="s">
        <v>997</v>
      </c>
      <c r="G7326" s="83">
        <v>46116.0</v>
      </c>
      <c r="H7326" s="76" t="s">
        <v>972</v>
      </c>
    </row>
    <row r="7327">
      <c r="A7327" s="76" t="s">
        <v>970</v>
      </c>
      <c r="B7327" s="76" t="s">
        <v>1041</v>
      </c>
      <c r="C7327" s="84">
        <v>2.63</v>
      </c>
      <c r="D7327" s="84">
        <v>0.0</v>
      </c>
      <c r="E7327" s="84">
        <v>0.0</v>
      </c>
      <c r="F7327" s="76" t="s">
        <v>997</v>
      </c>
      <c r="G7327" s="83">
        <v>46116.0</v>
      </c>
      <c r="H7327" s="76" t="s">
        <v>973</v>
      </c>
    </row>
    <row r="7328">
      <c r="A7328" s="76" t="s">
        <v>33</v>
      </c>
      <c r="B7328" s="76" t="s">
        <v>1041</v>
      </c>
      <c r="C7328" s="84">
        <v>3.09</v>
      </c>
      <c r="D7328" s="84">
        <v>0.0</v>
      </c>
      <c r="E7328" s="84">
        <v>0.0</v>
      </c>
      <c r="F7328" s="76" t="s">
        <v>997</v>
      </c>
      <c r="G7328" s="83">
        <v>46116.0</v>
      </c>
      <c r="H7328" s="76" t="s">
        <v>957</v>
      </c>
    </row>
    <row r="7329">
      <c r="A7329" s="76" t="s">
        <v>33</v>
      </c>
      <c r="B7329" s="76" t="s">
        <v>1041</v>
      </c>
      <c r="C7329" s="84">
        <v>0.46</v>
      </c>
      <c r="D7329" s="84">
        <v>0.0</v>
      </c>
      <c r="E7329" s="84">
        <v>0.0</v>
      </c>
      <c r="F7329" s="76" t="s">
        <v>997</v>
      </c>
      <c r="G7329" s="83">
        <v>46116.0</v>
      </c>
      <c r="H7329" s="76" t="s">
        <v>958</v>
      </c>
    </row>
    <row r="7330">
      <c r="A7330" s="76" t="s">
        <v>33</v>
      </c>
      <c r="B7330" s="76" t="s">
        <v>1041</v>
      </c>
      <c r="C7330" s="84">
        <v>0.41</v>
      </c>
      <c r="D7330" s="84">
        <v>0.0</v>
      </c>
      <c r="E7330" s="84">
        <v>0.0</v>
      </c>
      <c r="F7330" s="76" t="s">
        <v>997</v>
      </c>
      <c r="G7330" s="83">
        <v>46116.0</v>
      </c>
      <c r="H7330" s="76" t="s">
        <v>959</v>
      </c>
    </row>
    <row r="7331">
      <c r="A7331" s="76" t="s">
        <v>29</v>
      </c>
      <c r="B7331" s="76" t="s">
        <v>1041</v>
      </c>
      <c r="C7331" s="84">
        <v>1.4</v>
      </c>
      <c r="D7331" s="84">
        <v>0.0</v>
      </c>
      <c r="E7331" s="84">
        <v>0.0</v>
      </c>
      <c r="F7331" s="76" t="s">
        <v>997</v>
      </c>
      <c r="G7331" s="83">
        <v>46116.0</v>
      </c>
      <c r="H7331" s="76" t="s">
        <v>971</v>
      </c>
    </row>
    <row r="7332">
      <c r="A7332" s="76" t="s">
        <v>29</v>
      </c>
      <c r="B7332" s="76" t="s">
        <v>1041</v>
      </c>
      <c r="C7332" s="84">
        <v>0.16</v>
      </c>
      <c r="D7332" s="84">
        <v>0.0</v>
      </c>
      <c r="E7332" s="84">
        <v>0.0</v>
      </c>
      <c r="F7332" s="76" t="s">
        <v>997</v>
      </c>
      <c r="G7332" s="83">
        <v>46116.0</v>
      </c>
      <c r="H7332" s="76" t="s">
        <v>972</v>
      </c>
    </row>
    <row r="7333">
      <c r="A7333" s="76" t="s">
        <v>29</v>
      </c>
      <c r="B7333" s="76" t="s">
        <v>1041</v>
      </c>
      <c r="C7333" s="84">
        <v>1.7</v>
      </c>
      <c r="D7333" s="84">
        <v>0.0</v>
      </c>
      <c r="E7333" s="84">
        <v>0.0</v>
      </c>
      <c r="F7333" s="76" t="s">
        <v>997</v>
      </c>
      <c r="G7333" s="83">
        <v>46116.0</v>
      </c>
      <c r="H7333" s="76" t="s">
        <v>973</v>
      </c>
    </row>
    <row r="7334">
      <c r="A7334" s="76" t="s">
        <v>43</v>
      </c>
      <c r="B7334" s="76" t="s">
        <v>1041</v>
      </c>
      <c r="C7334" s="84">
        <v>0.2</v>
      </c>
      <c r="D7334" s="84">
        <v>0.0</v>
      </c>
      <c r="E7334" s="84">
        <v>0.0</v>
      </c>
      <c r="F7334" s="76" t="s">
        <v>997</v>
      </c>
      <c r="G7334" s="83">
        <v>46116.0</v>
      </c>
      <c r="H7334" s="76" t="s">
        <v>963</v>
      </c>
    </row>
    <row r="7335">
      <c r="A7335" s="76" t="s">
        <v>43</v>
      </c>
      <c r="B7335" s="76" t="s">
        <v>1041</v>
      </c>
      <c r="C7335" s="84">
        <v>0.28</v>
      </c>
      <c r="D7335" s="84">
        <v>0.0</v>
      </c>
      <c r="E7335" s="84">
        <v>0.0</v>
      </c>
      <c r="F7335" s="76" t="s">
        <v>997</v>
      </c>
      <c r="G7335" s="83">
        <v>46116.0</v>
      </c>
      <c r="H7335" s="76" t="s">
        <v>964</v>
      </c>
    </row>
    <row r="7336">
      <c r="A7336" s="76" t="s">
        <v>43</v>
      </c>
      <c r="B7336" s="76" t="s">
        <v>1041</v>
      </c>
      <c r="C7336" s="84">
        <v>0.61</v>
      </c>
      <c r="D7336" s="84">
        <v>0.0</v>
      </c>
      <c r="E7336" s="84">
        <v>0.0</v>
      </c>
      <c r="F7336" s="76" t="s">
        <v>997</v>
      </c>
      <c r="G7336" s="83">
        <v>46116.0</v>
      </c>
      <c r="H7336" s="76" t="s">
        <v>965</v>
      </c>
    </row>
    <row r="7337">
      <c r="A7337" s="76" t="s">
        <v>966</v>
      </c>
      <c r="B7337" s="76" t="s">
        <v>1041</v>
      </c>
      <c r="C7337" s="84">
        <v>0.36</v>
      </c>
      <c r="D7337" s="84">
        <v>0.0</v>
      </c>
      <c r="E7337" s="84">
        <v>0.0</v>
      </c>
      <c r="F7337" s="76" t="s">
        <v>997</v>
      </c>
      <c r="G7337" s="83">
        <v>46116.0</v>
      </c>
      <c r="H7337" s="76" t="s">
        <v>967</v>
      </c>
    </row>
    <row r="7338">
      <c r="A7338" s="76" t="s">
        <v>966</v>
      </c>
      <c r="B7338" s="76" t="s">
        <v>1041</v>
      </c>
      <c r="C7338" s="84">
        <v>0.08</v>
      </c>
      <c r="D7338" s="84">
        <v>0.0</v>
      </c>
      <c r="E7338" s="84">
        <v>0.0</v>
      </c>
      <c r="F7338" s="76" t="s">
        <v>997</v>
      </c>
      <c r="G7338" s="83">
        <v>46116.0</v>
      </c>
      <c r="H7338" s="76" t="s">
        <v>968</v>
      </c>
    </row>
    <row r="7339">
      <c r="A7339" s="76" t="s">
        <v>966</v>
      </c>
      <c r="B7339" s="76" t="s">
        <v>1041</v>
      </c>
      <c r="C7339" s="84">
        <v>0.07</v>
      </c>
      <c r="D7339" s="84">
        <v>0.0</v>
      </c>
      <c r="E7339" s="84">
        <v>0.0</v>
      </c>
      <c r="F7339" s="76" t="s">
        <v>997</v>
      </c>
      <c r="G7339" s="83">
        <v>46116.0</v>
      </c>
      <c r="H7339" s="76" t="s">
        <v>969</v>
      </c>
    </row>
    <row r="7340">
      <c r="A7340" s="76" t="s">
        <v>32</v>
      </c>
      <c r="B7340" s="76" t="s">
        <v>1032</v>
      </c>
      <c r="C7340" s="84">
        <v>15.75</v>
      </c>
      <c r="D7340" s="84">
        <v>4.0</v>
      </c>
      <c r="E7340" s="84">
        <v>3.94</v>
      </c>
      <c r="F7340" s="76" t="s">
        <v>996</v>
      </c>
      <c r="G7340" s="83">
        <v>46116.0</v>
      </c>
      <c r="H7340" s="76" t="s">
        <v>941</v>
      </c>
    </row>
    <row r="7341">
      <c r="A7341" s="76" t="s">
        <v>32</v>
      </c>
      <c r="B7341" s="76" t="s">
        <v>1032</v>
      </c>
      <c r="C7341" s="84">
        <v>5.31</v>
      </c>
      <c r="D7341" s="84">
        <v>1.0</v>
      </c>
      <c r="E7341" s="84">
        <v>5.31</v>
      </c>
      <c r="F7341" s="76" t="s">
        <v>996</v>
      </c>
      <c r="G7341" s="83">
        <v>46116.0</v>
      </c>
      <c r="H7341" s="76" t="s">
        <v>942</v>
      </c>
    </row>
    <row r="7342">
      <c r="A7342" s="76" t="s">
        <v>32</v>
      </c>
      <c r="B7342" s="76" t="s">
        <v>1032</v>
      </c>
      <c r="C7342" s="84">
        <v>5.55</v>
      </c>
      <c r="D7342" s="84">
        <v>1.0</v>
      </c>
      <c r="E7342" s="84">
        <v>5.55</v>
      </c>
      <c r="F7342" s="76" t="s">
        <v>996</v>
      </c>
      <c r="G7342" s="83">
        <v>46116.0</v>
      </c>
      <c r="H7342" s="76" t="s">
        <v>943</v>
      </c>
    </row>
    <row r="7343">
      <c r="A7343" s="76" t="s">
        <v>28</v>
      </c>
      <c r="B7343" s="76" t="s">
        <v>1032</v>
      </c>
      <c r="C7343" s="84">
        <v>2.61</v>
      </c>
      <c r="D7343" s="84">
        <v>1.0</v>
      </c>
      <c r="E7343" s="84">
        <v>2.61</v>
      </c>
      <c r="F7343" s="76" t="s">
        <v>996</v>
      </c>
      <c r="G7343" s="83">
        <v>46116.0</v>
      </c>
      <c r="H7343" s="76" t="s">
        <v>931</v>
      </c>
    </row>
    <row r="7344">
      <c r="A7344" s="76" t="s">
        <v>28</v>
      </c>
      <c r="B7344" s="76" t="s">
        <v>1032</v>
      </c>
      <c r="C7344" s="84">
        <v>2.08</v>
      </c>
      <c r="D7344" s="84">
        <v>0.0</v>
      </c>
      <c r="E7344" s="84">
        <v>0.0</v>
      </c>
      <c r="F7344" s="76" t="s">
        <v>996</v>
      </c>
      <c r="G7344" s="83">
        <v>46116.0</v>
      </c>
      <c r="H7344" s="76" t="s">
        <v>932</v>
      </c>
    </row>
    <row r="7345">
      <c r="A7345" s="76" t="s">
        <v>28</v>
      </c>
      <c r="B7345" s="76" t="s">
        <v>1032</v>
      </c>
      <c r="C7345" s="84">
        <v>14.53</v>
      </c>
      <c r="D7345" s="84">
        <v>5.0</v>
      </c>
      <c r="E7345" s="84">
        <v>2.91</v>
      </c>
      <c r="F7345" s="76" t="s">
        <v>996</v>
      </c>
      <c r="G7345" s="83">
        <v>46116.0</v>
      </c>
      <c r="H7345" s="76" t="s">
        <v>933</v>
      </c>
    </row>
    <row r="7346">
      <c r="A7346" s="76" t="s">
        <v>36</v>
      </c>
      <c r="B7346" s="76" t="s">
        <v>1032</v>
      </c>
      <c r="C7346" s="84">
        <v>3.53</v>
      </c>
      <c r="D7346" s="84">
        <v>1.0</v>
      </c>
      <c r="E7346" s="84">
        <v>3.53</v>
      </c>
      <c r="F7346" s="76" t="s">
        <v>996</v>
      </c>
      <c r="G7346" s="83">
        <v>46116.0</v>
      </c>
      <c r="H7346" s="76" t="s">
        <v>926</v>
      </c>
    </row>
    <row r="7347">
      <c r="A7347" s="76" t="s">
        <v>36</v>
      </c>
      <c r="B7347" s="76" t="s">
        <v>1032</v>
      </c>
      <c r="C7347" s="84">
        <v>3.43</v>
      </c>
      <c r="D7347" s="84">
        <v>1.0</v>
      </c>
      <c r="E7347" s="84">
        <v>3.43</v>
      </c>
      <c r="F7347" s="76" t="s">
        <v>996</v>
      </c>
      <c r="G7347" s="83">
        <v>46116.0</v>
      </c>
      <c r="H7347" s="76" t="s">
        <v>927</v>
      </c>
    </row>
    <row r="7348">
      <c r="A7348" s="76" t="s">
        <v>36</v>
      </c>
      <c r="B7348" s="76" t="s">
        <v>1032</v>
      </c>
      <c r="C7348" s="84">
        <v>2.18</v>
      </c>
      <c r="D7348" s="84">
        <v>1.0</v>
      </c>
      <c r="E7348" s="84">
        <v>2.18</v>
      </c>
      <c r="F7348" s="76" t="s">
        <v>996</v>
      </c>
      <c r="G7348" s="83">
        <v>46116.0</v>
      </c>
      <c r="H7348" s="76" t="s">
        <v>928</v>
      </c>
    </row>
    <row r="7349">
      <c r="A7349" s="76" t="s">
        <v>26</v>
      </c>
      <c r="B7349" s="76" t="s">
        <v>1032</v>
      </c>
      <c r="C7349" s="84">
        <v>3.36</v>
      </c>
      <c r="D7349" s="84">
        <v>1.0</v>
      </c>
      <c r="E7349" s="84">
        <v>3.36</v>
      </c>
      <c r="F7349" s="76" t="s">
        <v>996</v>
      </c>
      <c r="G7349" s="83">
        <v>46116.0</v>
      </c>
      <c r="H7349" s="76" t="s">
        <v>1012</v>
      </c>
    </row>
    <row r="7350">
      <c r="A7350" s="76" t="s">
        <v>26</v>
      </c>
      <c r="B7350" s="76" t="s">
        <v>1032</v>
      </c>
      <c r="C7350" s="84">
        <v>2.74</v>
      </c>
      <c r="D7350" s="84">
        <v>1.0</v>
      </c>
      <c r="E7350" s="84">
        <v>2.74</v>
      </c>
      <c r="F7350" s="76" t="s">
        <v>996</v>
      </c>
      <c r="G7350" s="83">
        <v>46116.0</v>
      </c>
      <c r="H7350" s="76" t="s">
        <v>1013</v>
      </c>
    </row>
    <row r="7351">
      <c r="A7351" s="76" t="s">
        <v>26</v>
      </c>
      <c r="B7351" s="76" t="s">
        <v>1032</v>
      </c>
      <c r="C7351" s="84">
        <v>7.29</v>
      </c>
      <c r="D7351" s="84">
        <v>4.0</v>
      </c>
      <c r="E7351" s="84">
        <v>1.82</v>
      </c>
      <c r="F7351" s="76" t="s">
        <v>996</v>
      </c>
      <c r="G7351" s="83">
        <v>46116.0</v>
      </c>
      <c r="H7351" s="76" t="s">
        <v>1014</v>
      </c>
    </row>
    <row r="7352">
      <c r="A7352" s="76" t="s">
        <v>45</v>
      </c>
      <c r="B7352" s="76" t="s">
        <v>1032</v>
      </c>
      <c r="C7352" s="84">
        <v>1.98</v>
      </c>
      <c r="D7352" s="84">
        <v>0.0</v>
      </c>
      <c r="E7352" s="84">
        <v>0.0</v>
      </c>
      <c r="F7352" s="76" t="s">
        <v>996</v>
      </c>
      <c r="G7352" s="83">
        <v>46116.0</v>
      </c>
      <c r="H7352" s="76" t="s">
        <v>936</v>
      </c>
    </row>
    <row r="7353">
      <c r="A7353" s="76" t="s">
        <v>45</v>
      </c>
      <c r="B7353" s="76" t="s">
        <v>1032</v>
      </c>
      <c r="C7353" s="84">
        <v>4.4</v>
      </c>
      <c r="D7353" s="84">
        <v>0.0</v>
      </c>
      <c r="E7353" s="84">
        <v>0.0</v>
      </c>
      <c r="F7353" s="76" t="s">
        <v>996</v>
      </c>
      <c r="G7353" s="83">
        <v>46116.0</v>
      </c>
      <c r="H7353" s="76" t="s">
        <v>937</v>
      </c>
    </row>
    <row r="7354">
      <c r="A7354" s="76" t="s">
        <v>45</v>
      </c>
      <c r="B7354" s="76" t="s">
        <v>1032</v>
      </c>
      <c r="C7354" s="84">
        <v>0.68</v>
      </c>
      <c r="D7354" s="84">
        <v>0.0</v>
      </c>
      <c r="E7354" s="84">
        <v>0.0</v>
      </c>
      <c r="F7354" s="76" t="s">
        <v>996</v>
      </c>
      <c r="G7354" s="83">
        <v>46116.0</v>
      </c>
      <c r="H7354" s="76" t="s">
        <v>938</v>
      </c>
    </row>
    <row r="7355">
      <c r="A7355" s="76" t="s">
        <v>31</v>
      </c>
      <c r="B7355" s="76" t="s">
        <v>1032</v>
      </c>
      <c r="C7355" s="84">
        <v>2.84</v>
      </c>
      <c r="D7355" s="84">
        <v>0.0</v>
      </c>
      <c r="E7355" s="84">
        <v>0.0</v>
      </c>
      <c r="F7355" s="76" t="s">
        <v>996</v>
      </c>
      <c r="G7355" s="83">
        <v>46116.0</v>
      </c>
      <c r="H7355" s="76" t="s">
        <v>929</v>
      </c>
    </row>
    <row r="7356">
      <c r="A7356" s="76" t="s">
        <v>31</v>
      </c>
      <c r="B7356" s="76" t="s">
        <v>1032</v>
      </c>
      <c r="C7356" s="84">
        <v>31.38</v>
      </c>
      <c r="D7356" s="84">
        <v>5.0</v>
      </c>
      <c r="E7356" s="84">
        <v>6.28</v>
      </c>
      <c r="F7356" s="76" t="s">
        <v>996</v>
      </c>
      <c r="G7356" s="83">
        <v>46116.0</v>
      </c>
      <c r="H7356" s="76" t="s">
        <v>930</v>
      </c>
    </row>
    <row r="7357">
      <c r="A7357" s="76" t="s">
        <v>944</v>
      </c>
      <c r="B7357" s="76" t="s">
        <v>1032</v>
      </c>
      <c r="C7357" s="84">
        <v>3.13</v>
      </c>
      <c r="D7357" s="84">
        <v>1.0</v>
      </c>
      <c r="E7357" s="84">
        <v>3.13</v>
      </c>
      <c r="F7357" s="76" t="s">
        <v>996</v>
      </c>
      <c r="G7357" s="83">
        <v>46116.0</v>
      </c>
      <c r="H7357" s="76" t="s">
        <v>945</v>
      </c>
    </row>
    <row r="7358">
      <c r="A7358" s="76" t="s">
        <v>944</v>
      </c>
      <c r="B7358" s="76" t="s">
        <v>1032</v>
      </c>
      <c r="C7358" s="84">
        <v>3.18</v>
      </c>
      <c r="D7358" s="84">
        <v>0.0</v>
      </c>
      <c r="E7358" s="84">
        <v>0.0</v>
      </c>
      <c r="F7358" s="76" t="s">
        <v>996</v>
      </c>
      <c r="G7358" s="83">
        <v>46116.0</v>
      </c>
      <c r="H7358" s="76" t="s">
        <v>946</v>
      </c>
    </row>
    <row r="7359">
      <c r="A7359" s="76" t="s">
        <v>944</v>
      </c>
      <c r="B7359" s="76" t="s">
        <v>1032</v>
      </c>
      <c r="C7359" s="84">
        <v>3.62</v>
      </c>
      <c r="D7359" s="84">
        <v>1.0</v>
      </c>
      <c r="E7359" s="84">
        <v>3.62</v>
      </c>
      <c r="F7359" s="76" t="s">
        <v>996</v>
      </c>
      <c r="G7359" s="83">
        <v>46116.0</v>
      </c>
      <c r="H7359" s="76" t="s">
        <v>947</v>
      </c>
    </row>
    <row r="7360">
      <c r="A7360" s="76" t="s">
        <v>28</v>
      </c>
      <c r="B7360" s="76" t="s">
        <v>1032</v>
      </c>
      <c r="C7360" s="84">
        <v>1.48</v>
      </c>
      <c r="D7360" s="84">
        <v>0.0</v>
      </c>
      <c r="E7360" s="84">
        <v>0.0</v>
      </c>
      <c r="F7360" s="76" t="s">
        <v>997</v>
      </c>
      <c r="G7360" s="83">
        <v>46116.0</v>
      </c>
      <c r="H7360" s="76" t="s">
        <v>931</v>
      </c>
    </row>
    <row r="7361">
      <c r="A7361" s="76" t="s">
        <v>28</v>
      </c>
      <c r="B7361" s="76" t="s">
        <v>1032</v>
      </c>
      <c r="C7361" s="84">
        <v>0.98</v>
      </c>
      <c r="D7361" s="84">
        <v>0.0</v>
      </c>
      <c r="E7361" s="84">
        <v>0.0</v>
      </c>
      <c r="F7361" s="76" t="s">
        <v>997</v>
      </c>
      <c r="G7361" s="83">
        <v>46116.0</v>
      </c>
      <c r="H7361" s="76" t="s">
        <v>932</v>
      </c>
    </row>
    <row r="7362">
      <c r="A7362" s="76" t="s">
        <v>28</v>
      </c>
      <c r="B7362" s="76" t="s">
        <v>1032</v>
      </c>
      <c r="C7362" s="84">
        <v>10.24</v>
      </c>
      <c r="D7362" s="84">
        <v>2.0</v>
      </c>
      <c r="E7362" s="84">
        <v>5.12</v>
      </c>
      <c r="F7362" s="76" t="s">
        <v>997</v>
      </c>
      <c r="G7362" s="83">
        <v>46116.0</v>
      </c>
      <c r="H7362" s="76" t="s">
        <v>933</v>
      </c>
    </row>
    <row r="7363">
      <c r="A7363" s="76" t="s">
        <v>45</v>
      </c>
      <c r="B7363" s="76" t="s">
        <v>1032</v>
      </c>
      <c r="C7363" s="84">
        <v>1.88</v>
      </c>
      <c r="D7363" s="84">
        <v>0.0</v>
      </c>
      <c r="E7363" s="84">
        <v>0.0</v>
      </c>
      <c r="F7363" s="76" t="s">
        <v>997</v>
      </c>
      <c r="G7363" s="83">
        <v>46116.0</v>
      </c>
      <c r="H7363" s="76" t="s">
        <v>936</v>
      </c>
    </row>
    <row r="7364">
      <c r="A7364" s="76" t="s">
        <v>45</v>
      </c>
      <c r="B7364" s="76" t="s">
        <v>1032</v>
      </c>
      <c r="C7364" s="84">
        <v>2.36</v>
      </c>
      <c r="D7364" s="84">
        <v>0.0</v>
      </c>
      <c r="E7364" s="84">
        <v>0.0</v>
      </c>
      <c r="F7364" s="76" t="s">
        <v>997</v>
      </c>
      <c r="G7364" s="83">
        <v>46116.0</v>
      </c>
      <c r="H7364" s="76" t="s">
        <v>937</v>
      </c>
    </row>
    <row r="7365">
      <c r="A7365" s="76" t="s">
        <v>45</v>
      </c>
      <c r="B7365" s="76" t="s">
        <v>1032</v>
      </c>
      <c r="C7365" s="84">
        <v>0.48</v>
      </c>
      <c r="D7365" s="84">
        <v>0.0</v>
      </c>
      <c r="E7365" s="84">
        <v>0.0</v>
      </c>
      <c r="F7365" s="76" t="s">
        <v>997</v>
      </c>
      <c r="G7365" s="83">
        <v>46116.0</v>
      </c>
      <c r="H7365" s="76" t="s">
        <v>938</v>
      </c>
    </row>
    <row r="7366">
      <c r="A7366" s="76" t="s">
        <v>32</v>
      </c>
      <c r="B7366" s="76" t="s">
        <v>1032</v>
      </c>
      <c r="C7366" s="84">
        <v>19.33</v>
      </c>
      <c r="D7366" s="84">
        <v>8.0</v>
      </c>
      <c r="E7366" s="84">
        <v>2.42</v>
      </c>
      <c r="F7366" s="76" t="s">
        <v>997</v>
      </c>
      <c r="G7366" s="83">
        <v>46116.0</v>
      </c>
      <c r="H7366" s="76" t="s">
        <v>941</v>
      </c>
    </row>
    <row r="7367">
      <c r="A7367" s="76" t="s">
        <v>32</v>
      </c>
      <c r="B7367" s="76" t="s">
        <v>1032</v>
      </c>
      <c r="C7367" s="84">
        <v>2.68</v>
      </c>
      <c r="D7367" s="84">
        <v>1.0</v>
      </c>
      <c r="E7367" s="84">
        <v>2.68</v>
      </c>
      <c r="F7367" s="76" t="s">
        <v>997</v>
      </c>
      <c r="G7367" s="83">
        <v>46116.0</v>
      </c>
      <c r="H7367" s="76" t="s">
        <v>942</v>
      </c>
    </row>
    <row r="7368">
      <c r="A7368" s="76" t="s">
        <v>32</v>
      </c>
      <c r="B7368" s="76" t="s">
        <v>1032</v>
      </c>
      <c r="C7368" s="84">
        <v>5.76</v>
      </c>
      <c r="D7368" s="84">
        <v>2.0</v>
      </c>
      <c r="E7368" s="84">
        <v>2.88</v>
      </c>
      <c r="F7368" s="76" t="s">
        <v>997</v>
      </c>
      <c r="G7368" s="83">
        <v>46116.0</v>
      </c>
      <c r="H7368" s="76" t="s">
        <v>943</v>
      </c>
    </row>
    <row r="7369">
      <c r="A7369" s="76" t="s">
        <v>944</v>
      </c>
      <c r="B7369" s="76" t="s">
        <v>1032</v>
      </c>
      <c r="C7369" s="84">
        <v>1.86</v>
      </c>
      <c r="D7369" s="84">
        <v>0.0</v>
      </c>
      <c r="E7369" s="84">
        <v>0.0</v>
      </c>
      <c r="F7369" s="76" t="s">
        <v>997</v>
      </c>
      <c r="G7369" s="83">
        <v>46116.0</v>
      </c>
      <c r="H7369" s="76" t="s">
        <v>945</v>
      </c>
    </row>
    <row r="7370">
      <c r="A7370" s="76" t="s">
        <v>944</v>
      </c>
      <c r="B7370" s="76" t="s">
        <v>1032</v>
      </c>
      <c r="C7370" s="84">
        <v>1.68</v>
      </c>
      <c r="D7370" s="84">
        <v>0.0</v>
      </c>
      <c r="E7370" s="84">
        <v>0.0</v>
      </c>
      <c r="F7370" s="76" t="s">
        <v>997</v>
      </c>
      <c r="G7370" s="83">
        <v>46116.0</v>
      </c>
      <c r="H7370" s="76" t="s">
        <v>946</v>
      </c>
    </row>
    <row r="7371">
      <c r="A7371" s="76" t="s">
        <v>944</v>
      </c>
      <c r="B7371" s="76" t="s">
        <v>1032</v>
      </c>
      <c r="C7371" s="84">
        <v>2.58</v>
      </c>
      <c r="D7371" s="84">
        <v>0.0</v>
      </c>
      <c r="E7371" s="84">
        <v>0.0</v>
      </c>
      <c r="F7371" s="76" t="s">
        <v>997</v>
      </c>
      <c r="G7371" s="83">
        <v>46116.0</v>
      </c>
      <c r="H7371" s="76" t="s">
        <v>947</v>
      </c>
    </row>
    <row r="7372">
      <c r="A7372" s="76" t="s">
        <v>36</v>
      </c>
      <c r="B7372" s="76" t="s">
        <v>1032</v>
      </c>
      <c r="C7372" s="84">
        <v>2.84</v>
      </c>
      <c r="D7372" s="84">
        <v>2.0</v>
      </c>
      <c r="E7372" s="84">
        <v>1.42</v>
      </c>
      <c r="F7372" s="76" t="s">
        <v>997</v>
      </c>
      <c r="G7372" s="83">
        <v>46116.0</v>
      </c>
      <c r="H7372" s="76" t="s">
        <v>926</v>
      </c>
    </row>
    <row r="7373">
      <c r="A7373" s="76" t="s">
        <v>36</v>
      </c>
      <c r="B7373" s="76" t="s">
        <v>1032</v>
      </c>
      <c r="C7373" s="84">
        <v>1.25</v>
      </c>
      <c r="D7373" s="84">
        <v>0.0</v>
      </c>
      <c r="E7373" s="84">
        <v>0.0</v>
      </c>
      <c r="F7373" s="76" t="s">
        <v>997</v>
      </c>
      <c r="G7373" s="83">
        <v>46116.0</v>
      </c>
      <c r="H7373" s="76" t="s">
        <v>927</v>
      </c>
    </row>
    <row r="7374">
      <c r="A7374" s="76" t="s">
        <v>36</v>
      </c>
      <c r="B7374" s="76" t="s">
        <v>1032</v>
      </c>
      <c r="C7374" s="84">
        <v>1.49</v>
      </c>
      <c r="D7374" s="84">
        <v>0.0</v>
      </c>
      <c r="E7374" s="84">
        <v>0.0</v>
      </c>
      <c r="F7374" s="76" t="s">
        <v>997</v>
      </c>
      <c r="G7374" s="83">
        <v>46116.0</v>
      </c>
      <c r="H7374" s="76" t="s">
        <v>928</v>
      </c>
    </row>
    <row r="7375">
      <c r="A7375" s="76" t="s">
        <v>31</v>
      </c>
      <c r="B7375" s="76" t="s">
        <v>1032</v>
      </c>
      <c r="C7375" s="84">
        <v>1.46</v>
      </c>
      <c r="D7375" s="84">
        <v>0.0</v>
      </c>
      <c r="E7375" s="84">
        <v>0.0</v>
      </c>
      <c r="F7375" s="76" t="s">
        <v>997</v>
      </c>
      <c r="G7375" s="83">
        <v>46116.0</v>
      </c>
      <c r="H7375" s="76" t="s">
        <v>929</v>
      </c>
    </row>
    <row r="7376">
      <c r="A7376" s="76" t="s">
        <v>31</v>
      </c>
      <c r="B7376" s="76" t="s">
        <v>1032</v>
      </c>
      <c r="C7376" s="84">
        <v>20.16</v>
      </c>
      <c r="D7376" s="84">
        <v>8.0</v>
      </c>
      <c r="E7376" s="84">
        <v>2.52</v>
      </c>
      <c r="F7376" s="76" t="s">
        <v>997</v>
      </c>
      <c r="G7376" s="83">
        <v>46116.0</v>
      </c>
      <c r="H7376" s="76" t="s">
        <v>930</v>
      </c>
    </row>
    <row r="7377">
      <c r="A7377" s="76" t="s">
        <v>26</v>
      </c>
      <c r="B7377" s="76" t="s">
        <v>1032</v>
      </c>
      <c r="C7377" s="84">
        <v>1.28</v>
      </c>
      <c r="D7377" s="84">
        <v>0.0</v>
      </c>
      <c r="E7377" s="84">
        <v>0.0</v>
      </c>
      <c r="F7377" s="76" t="s">
        <v>997</v>
      </c>
      <c r="G7377" s="83">
        <v>46116.0</v>
      </c>
      <c r="H7377" s="76" t="s">
        <v>1012</v>
      </c>
    </row>
    <row r="7378">
      <c r="A7378" s="76" t="s">
        <v>26</v>
      </c>
      <c r="B7378" s="76" t="s">
        <v>1032</v>
      </c>
      <c r="C7378" s="84">
        <v>1.59</v>
      </c>
      <c r="D7378" s="84">
        <v>0.0</v>
      </c>
      <c r="E7378" s="84">
        <v>0.0</v>
      </c>
      <c r="F7378" s="76" t="s">
        <v>997</v>
      </c>
      <c r="G7378" s="83">
        <v>46116.0</v>
      </c>
      <c r="H7378" s="76" t="s">
        <v>1013</v>
      </c>
    </row>
    <row r="7379">
      <c r="A7379" s="76" t="s">
        <v>26</v>
      </c>
      <c r="B7379" s="76" t="s">
        <v>1032</v>
      </c>
      <c r="C7379" s="84">
        <v>4.52</v>
      </c>
      <c r="D7379" s="84">
        <v>0.0</v>
      </c>
      <c r="E7379" s="84">
        <v>0.0</v>
      </c>
      <c r="F7379" s="76" t="s">
        <v>997</v>
      </c>
      <c r="G7379" s="83">
        <v>46116.0</v>
      </c>
      <c r="H7379" s="76" t="s">
        <v>1014</v>
      </c>
    </row>
    <row r="7380">
      <c r="A7380" s="76" t="s">
        <v>45</v>
      </c>
      <c r="B7380" s="76" t="s">
        <v>1032</v>
      </c>
      <c r="C7380" s="84">
        <v>2.1</v>
      </c>
      <c r="D7380" s="84">
        <v>1.0</v>
      </c>
      <c r="E7380" s="84">
        <v>2.1</v>
      </c>
      <c r="F7380" s="76" t="s">
        <v>990</v>
      </c>
      <c r="G7380" s="83">
        <v>46116.0</v>
      </c>
      <c r="H7380" s="76" t="s">
        <v>936</v>
      </c>
    </row>
    <row r="7381">
      <c r="A7381" s="76" t="s">
        <v>45</v>
      </c>
      <c r="B7381" s="76" t="s">
        <v>1032</v>
      </c>
      <c r="C7381" s="84">
        <v>3.67</v>
      </c>
      <c r="D7381" s="84">
        <v>0.0</v>
      </c>
      <c r="E7381" s="84">
        <v>0.0</v>
      </c>
      <c r="F7381" s="76" t="s">
        <v>990</v>
      </c>
      <c r="G7381" s="83">
        <v>46116.0</v>
      </c>
      <c r="H7381" s="76" t="s">
        <v>937</v>
      </c>
    </row>
    <row r="7382">
      <c r="A7382" s="76" t="s">
        <v>45</v>
      </c>
      <c r="B7382" s="76" t="s">
        <v>1032</v>
      </c>
      <c r="C7382" s="84">
        <v>1.11</v>
      </c>
      <c r="D7382" s="84">
        <v>0.0</v>
      </c>
      <c r="E7382" s="84">
        <v>0.0</v>
      </c>
      <c r="F7382" s="76" t="s">
        <v>990</v>
      </c>
      <c r="G7382" s="83">
        <v>46116.0</v>
      </c>
      <c r="H7382" s="76" t="s">
        <v>938</v>
      </c>
    </row>
    <row r="7383">
      <c r="A7383" s="76" t="s">
        <v>32</v>
      </c>
      <c r="B7383" s="76" t="s">
        <v>1032</v>
      </c>
      <c r="C7383" s="84">
        <v>23.44</v>
      </c>
      <c r="D7383" s="84">
        <v>4.0</v>
      </c>
      <c r="E7383" s="84">
        <v>5.86</v>
      </c>
      <c r="F7383" s="76" t="s">
        <v>990</v>
      </c>
      <c r="G7383" s="83">
        <v>46116.0</v>
      </c>
      <c r="H7383" s="76" t="s">
        <v>941</v>
      </c>
    </row>
    <row r="7384">
      <c r="A7384" s="76" t="s">
        <v>32</v>
      </c>
      <c r="B7384" s="76" t="s">
        <v>1032</v>
      </c>
      <c r="C7384" s="84">
        <v>5.19</v>
      </c>
      <c r="D7384" s="84">
        <v>1.0</v>
      </c>
      <c r="E7384" s="84">
        <v>5.19</v>
      </c>
      <c r="F7384" s="76" t="s">
        <v>990</v>
      </c>
      <c r="G7384" s="83">
        <v>46116.0</v>
      </c>
      <c r="H7384" s="76" t="s">
        <v>942</v>
      </c>
    </row>
    <row r="7385">
      <c r="A7385" s="76" t="s">
        <v>32</v>
      </c>
      <c r="B7385" s="76" t="s">
        <v>1032</v>
      </c>
      <c r="C7385" s="84">
        <v>7.88</v>
      </c>
      <c r="D7385" s="84">
        <v>2.0</v>
      </c>
      <c r="E7385" s="84">
        <v>3.94</v>
      </c>
      <c r="F7385" s="76" t="s">
        <v>990</v>
      </c>
      <c r="G7385" s="83">
        <v>46116.0</v>
      </c>
      <c r="H7385" s="76" t="s">
        <v>943</v>
      </c>
    </row>
    <row r="7386">
      <c r="A7386" s="76" t="s">
        <v>36</v>
      </c>
      <c r="B7386" s="76" t="s">
        <v>1032</v>
      </c>
      <c r="C7386" s="84">
        <v>4.49</v>
      </c>
      <c r="D7386" s="84">
        <v>0.0</v>
      </c>
      <c r="E7386" s="84">
        <v>0.0</v>
      </c>
      <c r="F7386" s="76" t="s">
        <v>990</v>
      </c>
      <c r="G7386" s="83">
        <v>46116.0</v>
      </c>
      <c r="H7386" s="76" t="s">
        <v>926</v>
      </c>
    </row>
    <row r="7387">
      <c r="A7387" s="76" t="s">
        <v>36</v>
      </c>
      <c r="B7387" s="76" t="s">
        <v>1032</v>
      </c>
      <c r="C7387" s="84">
        <v>2.27</v>
      </c>
      <c r="D7387" s="84">
        <v>0.0</v>
      </c>
      <c r="E7387" s="84">
        <v>0.0</v>
      </c>
      <c r="F7387" s="76" t="s">
        <v>990</v>
      </c>
      <c r="G7387" s="83">
        <v>46116.0</v>
      </c>
      <c r="H7387" s="76" t="s">
        <v>927</v>
      </c>
    </row>
    <row r="7388">
      <c r="A7388" s="76" t="s">
        <v>36</v>
      </c>
      <c r="B7388" s="76" t="s">
        <v>1032</v>
      </c>
      <c r="C7388" s="84">
        <v>2.17</v>
      </c>
      <c r="D7388" s="84">
        <v>0.0</v>
      </c>
      <c r="E7388" s="84">
        <v>0.0</v>
      </c>
      <c r="F7388" s="76" t="s">
        <v>990</v>
      </c>
      <c r="G7388" s="83">
        <v>46116.0</v>
      </c>
      <c r="H7388" s="76" t="s">
        <v>928</v>
      </c>
    </row>
    <row r="7389">
      <c r="A7389" s="76" t="s">
        <v>28</v>
      </c>
      <c r="B7389" s="76" t="s">
        <v>1032</v>
      </c>
      <c r="C7389" s="84">
        <v>2.42</v>
      </c>
      <c r="D7389" s="84">
        <v>0.0</v>
      </c>
      <c r="E7389" s="84">
        <v>0.0</v>
      </c>
      <c r="F7389" s="76" t="s">
        <v>990</v>
      </c>
      <c r="G7389" s="83">
        <v>46116.0</v>
      </c>
      <c r="H7389" s="76" t="s">
        <v>931</v>
      </c>
    </row>
    <row r="7390">
      <c r="A7390" s="76" t="s">
        <v>28</v>
      </c>
      <c r="B7390" s="76" t="s">
        <v>1032</v>
      </c>
      <c r="C7390" s="84">
        <v>1.09</v>
      </c>
      <c r="D7390" s="84">
        <v>0.0</v>
      </c>
      <c r="E7390" s="84">
        <v>0.0</v>
      </c>
      <c r="F7390" s="76" t="s">
        <v>990</v>
      </c>
      <c r="G7390" s="83">
        <v>46116.0</v>
      </c>
      <c r="H7390" s="76" t="s">
        <v>932</v>
      </c>
    </row>
    <row r="7391">
      <c r="A7391" s="76" t="s">
        <v>28</v>
      </c>
      <c r="B7391" s="76" t="s">
        <v>1032</v>
      </c>
      <c r="C7391" s="84">
        <v>14.77</v>
      </c>
      <c r="D7391" s="84">
        <v>4.0</v>
      </c>
      <c r="E7391" s="84">
        <v>3.69</v>
      </c>
      <c r="F7391" s="76" t="s">
        <v>990</v>
      </c>
      <c r="G7391" s="83">
        <v>46116.0</v>
      </c>
      <c r="H7391" s="76" t="s">
        <v>933</v>
      </c>
    </row>
    <row r="7392">
      <c r="A7392" s="76" t="s">
        <v>31</v>
      </c>
      <c r="B7392" s="76" t="s">
        <v>1032</v>
      </c>
      <c r="C7392" s="84">
        <v>4.91</v>
      </c>
      <c r="D7392" s="84">
        <v>0.0</v>
      </c>
      <c r="E7392" s="84">
        <v>0.0</v>
      </c>
      <c r="F7392" s="76" t="s">
        <v>990</v>
      </c>
      <c r="G7392" s="83">
        <v>46116.0</v>
      </c>
      <c r="H7392" s="76" t="s">
        <v>929</v>
      </c>
    </row>
    <row r="7393">
      <c r="A7393" s="76" t="s">
        <v>31</v>
      </c>
      <c r="B7393" s="76" t="s">
        <v>1032</v>
      </c>
      <c r="C7393" s="84">
        <v>29.58</v>
      </c>
      <c r="D7393" s="84">
        <v>2.0</v>
      </c>
      <c r="E7393" s="84">
        <v>14.79</v>
      </c>
      <c r="F7393" s="76" t="s">
        <v>990</v>
      </c>
      <c r="G7393" s="83">
        <v>46116.0</v>
      </c>
      <c r="H7393" s="76" t="s">
        <v>930</v>
      </c>
    </row>
    <row r="7394">
      <c r="A7394" s="76" t="s">
        <v>26</v>
      </c>
      <c r="B7394" s="76" t="s">
        <v>1032</v>
      </c>
      <c r="C7394" s="84">
        <v>2.77</v>
      </c>
      <c r="D7394" s="84">
        <v>0.0</v>
      </c>
      <c r="E7394" s="84">
        <v>0.0</v>
      </c>
      <c r="F7394" s="76" t="s">
        <v>990</v>
      </c>
      <c r="G7394" s="83">
        <v>46116.0</v>
      </c>
      <c r="H7394" s="76" t="s">
        <v>1012</v>
      </c>
    </row>
    <row r="7395">
      <c r="A7395" s="76" t="s">
        <v>26</v>
      </c>
      <c r="B7395" s="76" t="s">
        <v>1032</v>
      </c>
      <c r="C7395" s="84">
        <v>2.66</v>
      </c>
      <c r="D7395" s="84">
        <v>0.0</v>
      </c>
      <c r="E7395" s="84">
        <v>0.0</v>
      </c>
      <c r="F7395" s="76" t="s">
        <v>990</v>
      </c>
      <c r="G7395" s="83">
        <v>46116.0</v>
      </c>
      <c r="H7395" s="76" t="s">
        <v>1013</v>
      </c>
    </row>
    <row r="7396">
      <c r="A7396" s="76" t="s">
        <v>26</v>
      </c>
      <c r="B7396" s="76" t="s">
        <v>1032</v>
      </c>
      <c r="C7396" s="84">
        <v>9.51</v>
      </c>
      <c r="D7396" s="84">
        <v>2.0</v>
      </c>
      <c r="E7396" s="84">
        <v>4.75</v>
      </c>
      <c r="F7396" s="76" t="s">
        <v>990</v>
      </c>
      <c r="G7396" s="83">
        <v>46116.0</v>
      </c>
      <c r="H7396" s="76" t="s">
        <v>1014</v>
      </c>
    </row>
    <row r="7397">
      <c r="A7397" s="76" t="s">
        <v>944</v>
      </c>
      <c r="B7397" s="76" t="s">
        <v>1032</v>
      </c>
      <c r="C7397" s="84">
        <v>5.82</v>
      </c>
      <c r="D7397" s="84">
        <v>1.0</v>
      </c>
      <c r="E7397" s="84">
        <v>5.82</v>
      </c>
      <c r="F7397" s="76" t="s">
        <v>990</v>
      </c>
      <c r="G7397" s="83">
        <v>46116.0</v>
      </c>
      <c r="H7397" s="76" t="s">
        <v>945</v>
      </c>
    </row>
    <row r="7398">
      <c r="A7398" s="76" t="s">
        <v>944</v>
      </c>
      <c r="B7398" s="76" t="s">
        <v>1032</v>
      </c>
      <c r="C7398" s="84">
        <v>2.59</v>
      </c>
      <c r="D7398" s="84">
        <v>1.0</v>
      </c>
      <c r="E7398" s="84">
        <v>2.59</v>
      </c>
      <c r="F7398" s="76" t="s">
        <v>990</v>
      </c>
      <c r="G7398" s="83">
        <v>46116.0</v>
      </c>
      <c r="H7398" s="76" t="s">
        <v>946</v>
      </c>
    </row>
    <row r="7399">
      <c r="A7399" s="76" t="s">
        <v>944</v>
      </c>
      <c r="B7399" s="76" t="s">
        <v>1032</v>
      </c>
      <c r="C7399" s="84">
        <v>4.17</v>
      </c>
      <c r="D7399" s="84">
        <v>0.0</v>
      </c>
      <c r="E7399" s="84">
        <v>0.0</v>
      </c>
      <c r="F7399" s="76" t="s">
        <v>990</v>
      </c>
      <c r="G7399" s="83">
        <v>46116.0</v>
      </c>
      <c r="H7399" s="76" t="s">
        <v>947</v>
      </c>
    </row>
    <row r="7400">
      <c r="A7400" s="76" t="s">
        <v>26</v>
      </c>
      <c r="B7400" s="76" t="s">
        <v>1032</v>
      </c>
      <c r="C7400" s="84">
        <v>33.42</v>
      </c>
      <c r="D7400" s="84">
        <v>6.0</v>
      </c>
      <c r="E7400" s="84">
        <v>5.57</v>
      </c>
      <c r="F7400" s="76" t="s">
        <v>1005</v>
      </c>
      <c r="G7400" s="83">
        <v>46116.0</v>
      </c>
      <c r="H7400" s="76" t="s">
        <v>1012</v>
      </c>
    </row>
    <row r="7401">
      <c r="A7401" s="76" t="s">
        <v>26</v>
      </c>
      <c r="B7401" s="76" t="s">
        <v>1032</v>
      </c>
      <c r="C7401" s="84">
        <v>31.63</v>
      </c>
      <c r="D7401" s="84">
        <v>10.0</v>
      </c>
      <c r="E7401" s="84">
        <v>3.16</v>
      </c>
      <c r="F7401" s="76" t="s">
        <v>1005</v>
      </c>
      <c r="G7401" s="83">
        <v>46116.0</v>
      </c>
      <c r="H7401" s="76" t="s">
        <v>1013</v>
      </c>
    </row>
    <row r="7402">
      <c r="A7402" s="76" t="s">
        <v>26</v>
      </c>
      <c r="B7402" s="76" t="s">
        <v>1032</v>
      </c>
      <c r="C7402" s="84">
        <v>55.0</v>
      </c>
      <c r="D7402" s="84">
        <v>13.0</v>
      </c>
      <c r="E7402" s="84">
        <v>4.23</v>
      </c>
      <c r="F7402" s="76" t="s">
        <v>1005</v>
      </c>
      <c r="G7402" s="83">
        <v>46116.0</v>
      </c>
      <c r="H7402" s="76" t="s">
        <v>1014</v>
      </c>
    </row>
    <row r="7403">
      <c r="A7403" s="76" t="s">
        <v>28</v>
      </c>
      <c r="B7403" s="76" t="s">
        <v>1032</v>
      </c>
      <c r="C7403" s="84">
        <v>32.34</v>
      </c>
      <c r="D7403" s="84">
        <v>16.0</v>
      </c>
      <c r="E7403" s="84">
        <v>2.02</v>
      </c>
      <c r="F7403" s="76" t="s">
        <v>1005</v>
      </c>
      <c r="G7403" s="83">
        <v>46116.0</v>
      </c>
      <c r="H7403" s="76" t="s">
        <v>931</v>
      </c>
    </row>
    <row r="7404">
      <c r="A7404" s="76" t="s">
        <v>28</v>
      </c>
      <c r="B7404" s="76" t="s">
        <v>1032</v>
      </c>
      <c r="C7404" s="84">
        <v>17.62</v>
      </c>
      <c r="D7404" s="84">
        <v>6.0</v>
      </c>
      <c r="E7404" s="84">
        <v>2.94</v>
      </c>
      <c r="F7404" s="76" t="s">
        <v>1005</v>
      </c>
      <c r="G7404" s="83">
        <v>46116.0</v>
      </c>
      <c r="H7404" s="76" t="s">
        <v>932</v>
      </c>
    </row>
    <row r="7405">
      <c r="A7405" s="76" t="s">
        <v>28</v>
      </c>
      <c r="B7405" s="76" t="s">
        <v>1032</v>
      </c>
      <c r="C7405" s="84">
        <v>89.25</v>
      </c>
      <c r="D7405" s="84">
        <v>28.0</v>
      </c>
      <c r="E7405" s="84">
        <v>3.19</v>
      </c>
      <c r="F7405" s="76" t="s">
        <v>1005</v>
      </c>
      <c r="G7405" s="83">
        <v>46116.0</v>
      </c>
      <c r="H7405" s="76" t="s">
        <v>933</v>
      </c>
    </row>
    <row r="7406">
      <c r="A7406" s="76" t="s">
        <v>36</v>
      </c>
      <c r="B7406" s="76" t="s">
        <v>1032</v>
      </c>
      <c r="C7406" s="84">
        <v>37.16</v>
      </c>
      <c r="D7406" s="84">
        <v>14.0</v>
      </c>
      <c r="E7406" s="84">
        <v>2.65</v>
      </c>
      <c r="F7406" s="76" t="s">
        <v>1005</v>
      </c>
      <c r="G7406" s="83">
        <v>46116.0</v>
      </c>
      <c r="H7406" s="76" t="s">
        <v>926</v>
      </c>
    </row>
    <row r="7407">
      <c r="A7407" s="76" t="s">
        <v>36</v>
      </c>
      <c r="B7407" s="76" t="s">
        <v>1032</v>
      </c>
      <c r="C7407" s="84">
        <v>25.3</v>
      </c>
      <c r="D7407" s="84">
        <v>5.0</v>
      </c>
      <c r="E7407" s="84">
        <v>5.06</v>
      </c>
      <c r="F7407" s="76" t="s">
        <v>1005</v>
      </c>
      <c r="G7407" s="83">
        <v>46116.0</v>
      </c>
      <c r="H7407" s="76" t="s">
        <v>927</v>
      </c>
    </row>
    <row r="7408">
      <c r="A7408" s="76" t="s">
        <v>36</v>
      </c>
      <c r="B7408" s="76" t="s">
        <v>1032</v>
      </c>
      <c r="C7408" s="84">
        <v>21.08</v>
      </c>
      <c r="D7408" s="84">
        <v>4.0</v>
      </c>
      <c r="E7408" s="84">
        <v>5.27</v>
      </c>
      <c r="F7408" s="76" t="s">
        <v>1005</v>
      </c>
      <c r="G7408" s="83">
        <v>46116.0</v>
      </c>
      <c r="H7408" s="76" t="s">
        <v>928</v>
      </c>
    </row>
    <row r="7409">
      <c r="A7409" s="76" t="s">
        <v>31</v>
      </c>
      <c r="B7409" s="76" t="s">
        <v>1032</v>
      </c>
      <c r="C7409" s="84">
        <v>32.54</v>
      </c>
      <c r="D7409" s="84">
        <v>7.0</v>
      </c>
      <c r="E7409" s="84">
        <v>4.65</v>
      </c>
      <c r="F7409" s="76" t="s">
        <v>1005</v>
      </c>
      <c r="G7409" s="83">
        <v>46116.0</v>
      </c>
      <c r="H7409" s="76" t="s">
        <v>929</v>
      </c>
    </row>
    <row r="7410">
      <c r="A7410" s="76" t="s">
        <v>31</v>
      </c>
      <c r="B7410" s="76" t="s">
        <v>1032</v>
      </c>
      <c r="C7410" s="84">
        <v>359.1</v>
      </c>
      <c r="D7410" s="84">
        <v>70.0</v>
      </c>
      <c r="E7410" s="84">
        <v>5.13</v>
      </c>
      <c r="F7410" s="76" t="s">
        <v>1005</v>
      </c>
      <c r="G7410" s="83">
        <v>46116.0</v>
      </c>
      <c r="H7410" s="76" t="s">
        <v>930</v>
      </c>
    </row>
    <row r="7411">
      <c r="A7411" s="76" t="s">
        <v>944</v>
      </c>
      <c r="B7411" s="76" t="s">
        <v>1032</v>
      </c>
      <c r="C7411" s="84">
        <v>36.67</v>
      </c>
      <c r="D7411" s="84">
        <v>5.0</v>
      </c>
      <c r="E7411" s="84">
        <v>7.33</v>
      </c>
      <c r="F7411" s="76" t="s">
        <v>1005</v>
      </c>
      <c r="G7411" s="83">
        <v>46116.0</v>
      </c>
      <c r="H7411" s="76" t="s">
        <v>945</v>
      </c>
    </row>
    <row r="7412">
      <c r="A7412" s="76" t="s">
        <v>944</v>
      </c>
      <c r="B7412" s="76" t="s">
        <v>1032</v>
      </c>
      <c r="C7412" s="84">
        <v>24.84</v>
      </c>
      <c r="D7412" s="84">
        <v>6.0</v>
      </c>
      <c r="E7412" s="84">
        <v>4.14</v>
      </c>
      <c r="F7412" s="76" t="s">
        <v>1005</v>
      </c>
      <c r="G7412" s="83">
        <v>46116.0</v>
      </c>
      <c r="H7412" s="76" t="s">
        <v>946</v>
      </c>
    </row>
    <row r="7413">
      <c r="A7413" s="76" t="s">
        <v>944</v>
      </c>
      <c r="B7413" s="76" t="s">
        <v>1032</v>
      </c>
      <c r="C7413" s="84">
        <v>36.33</v>
      </c>
      <c r="D7413" s="84">
        <v>8.0</v>
      </c>
      <c r="E7413" s="84">
        <v>4.54</v>
      </c>
      <c r="F7413" s="76" t="s">
        <v>1005</v>
      </c>
      <c r="G7413" s="83">
        <v>46116.0</v>
      </c>
      <c r="H7413" s="76" t="s">
        <v>947</v>
      </c>
    </row>
    <row r="7414">
      <c r="A7414" s="76" t="s">
        <v>45</v>
      </c>
      <c r="B7414" s="76" t="s">
        <v>1032</v>
      </c>
      <c r="C7414" s="84">
        <v>23.17</v>
      </c>
      <c r="D7414" s="84">
        <v>0.0</v>
      </c>
      <c r="E7414" s="84">
        <v>0.0</v>
      </c>
      <c r="F7414" s="76" t="s">
        <v>1005</v>
      </c>
      <c r="G7414" s="83">
        <v>46116.0</v>
      </c>
      <c r="H7414" s="76" t="s">
        <v>936</v>
      </c>
    </row>
    <row r="7415">
      <c r="A7415" s="76" t="s">
        <v>45</v>
      </c>
      <c r="B7415" s="76" t="s">
        <v>1032</v>
      </c>
      <c r="C7415" s="84">
        <v>27.13</v>
      </c>
      <c r="D7415" s="84">
        <v>4.0</v>
      </c>
      <c r="E7415" s="84">
        <v>6.78</v>
      </c>
      <c r="F7415" s="76" t="s">
        <v>1005</v>
      </c>
      <c r="G7415" s="83">
        <v>46116.0</v>
      </c>
      <c r="H7415" s="76" t="s">
        <v>937</v>
      </c>
    </row>
    <row r="7416">
      <c r="A7416" s="76" t="s">
        <v>45</v>
      </c>
      <c r="B7416" s="76" t="s">
        <v>1032</v>
      </c>
      <c r="C7416" s="84">
        <v>10.87</v>
      </c>
      <c r="D7416" s="84">
        <v>2.0</v>
      </c>
      <c r="E7416" s="84">
        <v>5.44</v>
      </c>
      <c r="F7416" s="76" t="s">
        <v>1005</v>
      </c>
      <c r="G7416" s="83">
        <v>46116.0</v>
      </c>
      <c r="H7416" s="76" t="s">
        <v>938</v>
      </c>
    </row>
    <row r="7417">
      <c r="A7417" s="76" t="s">
        <v>32</v>
      </c>
      <c r="B7417" s="76" t="s">
        <v>1032</v>
      </c>
      <c r="C7417" s="84">
        <v>99.13</v>
      </c>
      <c r="D7417" s="84">
        <v>38.0</v>
      </c>
      <c r="E7417" s="84">
        <v>2.61</v>
      </c>
      <c r="F7417" s="76" t="s">
        <v>1005</v>
      </c>
      <c r="G7417" s="83">
        <v>46116.0</v>
      </c>
      <c r="H7417" s="76" t="s">
        <v>941</v>
      </c>
    </row>
    <row r="7418">
      <c r="A7418" s="76" t="s">
        <v>32</v>
      </c>
      <c r="B7418" s="76" t="s">
        <v>1032</v>
      </c>
      <c r="C7418" s="84">
        <v>43.38</v>
      </c>
      <c r="D7418" s="84">
        <v>8.0</v>
      </c>
      <c r="E7418" s="84">
        <v>5.42</v>
      </c>
      <c r="F7418" s="76" t="s">
        <v>1005</v>
      </c>
      <c r="G7418" s="83">
        <v>46116.0</v>
      </c>
      <c r="H7418" s="76" t="s">
        <v>942</v>
      </c>
    </row>
    <row r="7419">
      <c r="A7419" s="76" t="s">
        <v>32</v>
      </c>
      <c r="B7419" s="76" t="s">
        <v>1032</v>
      </c>
      <c r="C7419" s="84">
        <v>69.04</v>
      </c>
      <c r="D7419" s="84">
        <v>13.0</v>
      </c>
      <c r="E7419" s="84">
        <v>5.31</v>
      </c>
      <c r="F7419" s="76" t="s">
        <v>1005</v>
      </c>
      <c r="G7419" s="83">
        <v>46116.0</v>
      </c>
      <c r="H7419" s="76" t="s">
        <v>943</v>
      </c>
    </row>
    <row r="7420">
      <c r="A7420" s="76" t="s">
        <v>26</v>
      </c>
      <c r="B7420" s="76" t="s">
        <v>1032</v>
      </c>
      <c r="C7420" s="84">
        <v>1.12</v>
      </c>
      <c r="D7420" s="84">
        <v>0.0</v>
      </c>
      <c r="E7420" s="84">
        <v>0.0</v>
      </c>
      <c r="F7420" s="76" t="s">
        <v>993</v>
      </c>
      <c r="G7420" s="83">
        <v>46116.0</v>
      </c>
      <c r="H7420" s="76" t="s">
        <v>1012</v>
      </c>
    </row>
    <row r="7421">
      <c r="A7421" s="76" t="s">
        <v>26</v>
      </c>
      <c r="B7421" s="76" t="s">
        <v>1032</v>
      </c>
      <c r="C7421" s="84">
        <v>0.73</v>
      </c>
      <c r="D7421" s="84">
        <v>0.0</v>
      </c>
      <c r="E7421" s="84">
        <v>0.0</v>
      </c>
      <c r="F7421" s="76" t="s">
        <v>993</v>
      </c>
      <c r="G7421" s="83">
        <v>46116.0</v>
      </c>
      <c r="H7421" s="76" t="s">
        <v>1013</v>
      </c>
    </row>
    <row r="7422">
      <c r="A7422" s="76" t="s">
        <v>26</v>
      </c>
      <c r="B7422" s="76" t="s">
        <v>1032</v>
      </c>
      <c r="C7422" s="84">
        <v>1.5</v>
      </c>
      <c r="D7422" s="84">
        <v>0.0</v>
      </c>
      <c r="E7422" s="84">
        <v>0.0</v>
      </c>
      <c r="F7422" s="76" t="s">
        <v>993</v>
      </c>
      <c r="G7422" s="83">
        <v>46116.0</v>
      </c>
      <c r="H7422" s="76" t="s">
        <v>1014</v>
      </c>
    </row>
    <row r="7423">
      <c r="A7423" s="76" t="s">
        <v>944</v>
      </c>
      <c r="B7423" s="76" t="s">
        <v>1032</v>
      </c>
      <c r="C7423" s="84">
        <v>1.31</v>
      </c>
      <c r="D7423" s="84">
        <v>0.0</v>
      </c>
      <c r="E7423" s="84">
        <v>0.0</v>
      </c>
      <c r="F7423" s="76" t="s">
        <v>993</v>
      </c>
      <c r="G7423" s="83">
        <v>46116.0</v>
      </c>
      <c r="H7423" s="76" t="s">
        <v>945</v>
      </c>
    </row>
    <row r="7424">
      <c r="A7424" s="76" t="s">
        <v>944</v>
      </c>
      <c r="B7424" s="76" t="s">
        <v>1032</v>
      </c>
      <c r="C7424" s="84">
        <v>1.66</v>
      </c>
      <c r="D7424" s="84">
        <v>1.0</v>
      </c>
      <c r="E7424" s="84">
        <v>1.66</v>
      </c>
      <c r="F7424" s="76" t="s">
        <v>993</v>
      </c>
      <c r="G7424" s="83">
        <v>46116.0</v>
      </c>
      <c r="H7424" s="76" t="s">
        <v>946</v>
      </c>
    </row>
    <row r="7425">
      <c r="A7425" s="76" t="s">
        <v>944</v>
      </c>
      <c r="B7425" s="76" t="s">
        <v>1032</v>
      </c>
      <c r="C7425" s="84">
        <v>1.26</v>
      </c>
      <c r="D7425" s="84">
        <v>1.0</v>
      </c>
      <c r="E7425" s="84">
        <v>1.26</v>
      </c>
      <c r="F7425" s="76" t="s">
        <v>993</v>
      </c>
      <c r="G7425" s="83">
        <v>46116.0</v>
      </c>
      <c r="H7425" s="76" t="s">
        <v>947</v>
      </c>
    </row>
    <row r="7426">
      <c r="A7426" s="76" t="s">
        <v>45</v>
      </c>
      <c r="B7426" s="76" t="s">
        <v>1032</v>
      </c>
      <c r="C7426" s="84">
        <v>1.03</v>
      </c>
      <c r="D7426" s="84">
        <v>0.0</v>
      </c>
      <c r="E7426" s="84">
        <v>0.0</v>
      </c>
      <c r="F7426" s="76" t="s">
        <v>993</v>
      </c>
      <c r="G7426" s="83">
        <v>46116.0</v>
      </c>
      <c r="H7426" s="76" t="s">
        <v>936</v>
      </c>
    </row>
    <row r="7427">
      <c r="A7427" s="76" t="s">
        <v>45</v>
      </c>
      <c r="B7427" s="76" t="s">
        <v>1032</v>
      </c>
      <c r="C7427" s="84">
        <v>1.2</v>
      </c>
      <c r="D7427" s="84">
        <v>0.0</v>
      </c>
      <c r="E7427" s="84">
        <v>0.0</v>
      </c>
      <c r="F7427" s="76" t="s">
        <v>993</v>
      </c>
      <c r="G7427" s="83">
        <v>46116.0</v>
      </c>
      <c r="H7427" s="76" t="s">
        <v>937</v>
      </c>
    </row>
    <row r="7428">
      <c r="A7428" s="76" t="s">
        <v>45</v>
      </c>
      <c r="B7428" s="76" t="s">
        <v>1032</v>
      </c>
      <c r="C7428" s="84">
        <v>0.39</v>
      </c>
      <c r="D7428" s="84">
        <v>0.0</v>
      </c>
      <c r="E7428" s="84">
        <v>0.0</v>
      </c>
      <c r="F7428" s="76" t="s">
        <v>993</v>
      </c>
      <c r="G7428" s="83">
        <v>46116.0</v>
      </c>
      <c r="H7428" s="76" t="s">
        <v>938</v>
      </c>
    </row>
    <row r="7429">
      <c r="A7429" s="76" t="s">
        <v>32</v>
      </c>
      <c r="B7429" s="76" t="s">
        <v>1032</v>
      </c>
      <c r="C7429" s="84">
        <v>7.75</v>
      </c>
      <c r="D7429" s="84">
        <v>0.0</v>
      </c>
      <c r="E7429" s="84">
        <v>0.0</v>
      </c>
      <c r="F7429" s="76" t="s">
        <v>993</v>
      </c>
      <c r="G7429" s="83">
        <v>46116.0</v>
      </c>
      <c r="H7429" s="76" t="s">
        <v>941</v>
      </c>
    </row>
    <row r="7430">
      <c r="A7430" s="76" t="s">
        <v>32</v>
      </c>
      <c r="B7430" s="76" t="s">
        <v>1032</v>
      </c>
      <c r="C7430" s="84">
        <v>2.13</v>
      </c>
      <c r="D7430" s="84">
        <v>0.0</v>
      </c>
      <c r="E7430" s="84">
        <v>0.0</v>
      </c>
      <c r="F7430" s="76" t="s">
        <v>993</v>
      </c>
      <c r="G7430" s="83">
        <v>46116.0</v>
      </c>
      <c r="H7430" s="76" t="s">
        <v>942</v>
      </c>
    </row>
    <row r="7431">
      <c r="A7431" s="76" t="s">
        <v>32</v>
      </c>
      <c r="B7431" s="76" t="s">
        <v>1032</v>
      </c>
      <c r="C7431" s="84">
        <v>1.44</v>
      </c>
      <c r="D7431" s="84">
        <v>1.0</v>
      </c>
      <c r="E7431" s="84">
        <v>1.44</v>
      </c>
      <c r="F7431" s="76" t="s">
        <v>993</v>
      </c>
      <c r="G7431" s="83">
        <v>46116.0</v>
      </c>
      <c r="H7431" s="76" t="s">
        <v>943</v>
      </c>
    </row>
    <row r="7432">
      <c r="A7432" s="76" t="s">
        <v>36</v>
      </c>
      <c r="B7432" s="76" t="s">
        <v>1032</v>
      </c>
      <c r="C7432" s="84">
        <v>0.69</v>
      </c>
      <c r="D7432" s="84">
        <v>0.0</v>
      </c>
      <c r="E7432" s="84">
        <v>0.0</v>
      </c>
      <c r="F7432" s="76" t="s">
        <v>993</v>
      </c>
      <c r="G7432" s="83">
        <v>46116.0</v>
      </c>
      <c r="H7432" s="76" t="s">
        <v>926</v>
      </c>
    </row>
    <row r="7433">
      <c r="A7433" s="76" t="s">
        <v>36</v>
      </c>
      <c r="B7433" s="76" t="s">
        <v>1032</v>
      </c>
      <c r="C7433" s="84">
        <v>1.65</v>
      </c>
      <c r="D7433" s="84">
        <v>0.0</v>
      </c>
      <c r="E7433" s="84">
        <v>0.0</v>
      </c>
      <c r="F7433" s="76" t="s">
        <v>993</v>
      </c>
      <c r="G7433" s="83">
        <v>46116.0</v>
      </c>
      <c r="H7433" s="76" t="s">
        <v>927</v>
      </c>
    </row>
    <row r="7434">
      <c r="A7434" s="76" t="s">
        <v>36</v>
      </c>
      <c r="B7434" s="76" t="s">
        <v>1032</v>
      </c>
      <c r="C7434" s="84">
        <v>0.58</v>
      </c>
      <c r="D7434" s="84">
        <v>0.0</v>
      </c>
      <c r="E7434" s="84">
        <v>0.0</v>
      </c>
      <c r="F7434" s="76" t="s">
        <v>993</v>
      </c>
      <c r="G7434" s="83">
        <v>46116.0</v>
      </c>
      <c r="H7434" s="76" t="s">
        <v>928</v>
      </c>
    </row>
    <row r="7435">
      <c r="A7435" s="76" t="s">
        <v>28</v>
      </c>
      <c r="B7435" s="76" t="s">
        <v>1032</v>
      </c>
      <c r="C7435" s="84">
        <v>0.58</v>
      </c>
      <c r="D7435" s="84">
        <v>0.0</v>
      </c>
      <c r="E7435" s="84">
        <v>0.0</v>
      </c>
      <c r="F7435" s="76" t="s">
        <v>993</v>
      </c>
      <c r="G7435" s="83">
        <v>46116.0</v>
      </c>
      <c r="H7435" s="76" t="s">
        <v>931</v>
      </c>
    </row>
    <row r="7436">
      <c r="A7436" s="76" t="s">
        <v>28</v>
      </c>
      <c r="B7436" s="76" t="s">
        <v>1032</v>
      </c>
      <c r="C7436" s="84">
        <v>0.23</v>
      </c>
      <c r="D7436" s="84">
        <v>1.0</v>
      </c>
      <c r="E7436" s="84">
        <v>0.23</v>
      </c>
      <c r="F7436" s="76" t="s">
        <v>993</v>
      </c>
      <c r="G7436" s="83">
        <v>46116.0</v>
      </c>
      <c r="H7436" s="76" t="s">
        <v>932</v>
      </c>
    </row>
    <row r="7437">
      <c r="A7437" s="76" t="s">
        <v>28</v>
      </c>
      <c r="B7437" s="76" t="s">
        <v>1032</v>
      </c>
      <c r="C7437" s="84">
        <v>2.45</v>
      </c>
      <c r="D7437" s="84">
        <v>1.0</v>
      </c>
      <c r="E7437" s="84">
        <v>2.45</v>
      </c>
      <c r="F7437" s="76" t="s">
        <v>993</v>
      </c>
      <c r="G7437" s="83">
        <v>46116.0</v>
      </c>
      <c r="H7437" s="76" t="s">
        <v>933</v>
      </c>
    </row>
    <row r="7438">
      <c r="A7438" s="76" t="s">
        <v>31</v>
      </c>
      <c r="B7438" s="76" t="s">
        <v>1032</v>
      </c>
      <c r="C7438" s="84">
        <v>0.91</v>
      </c>
      <c r="D7438" s="84">
        <v>0.0</v>
      </c>
      <c r="E7438" s="84">
        <v>0.0</v>
      </c>
      <c r="F7438" s="76" t="s">
        <v>993</v>
      </c>
      <c r="G7438" s="83">
        <v>46116.0</v>
      </c>
      <c r="H7438" s="76" t="s">
        <v>929</v>
      </c>
    </row>
    <row r="7439">
      <c r="A7439" s="76" t="s">
        <v>31</v>
      </c>
      <c r="B7439" s="76" t="s">
        <v>1032</v>
      </c>
      <c r="C7439" s="84">
        <v>8.83</v>
      </c>
      <c r="D7439" s="84">
        <v>1.0</v>
      </c>
      <c r="E7439" s="84">
        <v>8.83</v>
      </c>
      <c r="F7439" s="76" t="s">
        <v>993</v>
      </c>
      <c r="G7439" s="83">
        <v>46116.0</v>
      </c>
      <c r="H7439" s="76" t="s">
        <v>930</v>
      </c>
    </row>
    <row r="7440">
      <c r="A7440" s="76" t="s">
        <v>36</v>
      </c>
      <c r="B7440" s="76" t="s">
        <v>1032</v>
      </c>
      <c r="C7440" s="84">
        <v>0.52</v>
      </c>
      <c r="D7440" s="84">
        <v>1.0</v>
      </c>
      <c r="E7440" s="84">
        <v>0.52</v>
      </c>
      <c r="F7440" s="76" t="s">
        <v>998</v>
      </c>
      <c r="G7440" s="83">
        <v>46116.0</v>
      </c>
      <c r="H7440" s="76" t="s">
        <v>926</v>
      </c>
    </row>
    <row r="7441">
      <c r="A7441" s="76" t="s">
        <v>36</v>
      </c>
      <c r="B7441" s="76" t="s">
        <v>1032</v>
      </c>
      <c r="C7441" s="84">
        <v>0.26</v>
      </c>
      <c r="D7441" s="84">
        <v>0.0</v>
      </c>
      <c r="E7441" s="84">
        <v>0.0</v>
      </c>
      <c r="F7441" s="76" t="s">
        <v>998</v>
      </c>
      <c r="G7441" s="83">
        <v>46116.0</v>
      </c>
      <c r="H7441" s="76" t="s">
        <v>927</v>
      </c>
    </row>
    <row r="7442">
      <c r="A7442" s="76" t="s">
        <v>36</v>
      </c>
      <c r="B7442" s="76" t="s">
        <v>1032</v>
      </c>
      <c r="C7442" s="84">
        <v>0.43</v>
      </c>
      <c r="D7442" s="84">
        <v>0.0</v>
      </c>
      <c r="E7442" s="84">
        <v>0.0</v>
      </c>
      <c r="F7442" s="76" t="s">
        <v>998</v>
      </c>
      <c r="G7442" s="83">
        <v>46116.0</v>
      </c>
      <c r="H7442" s="76" t="s">
        <v>928</v>
      </c>
    </row>
    <row r="7443">
      <c r="A7443" s="76" t="s">
        <v>31</v>
      </c>
      <c r="B7443" s="76" t="s">
        <v>1032</v>
      </c>
      <c r="C7443" s="84">
        <v>0.47</v>
      </c>
      <c r="D7443" s="84">
        <v>0.0</v>
      </c>
      <c r="E7443" s="84">
        <v>0.0</v>
      </c>
      <c r="F7443" s="76" t="s">
        <v>998</v>
      </c>
      <c r="G7443" s="83">
        <v>46116.0</v>
      </c>
      <c r="H7443" s="76" t="s">
        <v>929</v>
      </c>
    </row>
    <row r="7444">
      <c r="A7444" s="76" t="s">
        <v>31</v>
      </c>
      <c r="B7444" s="76" t="s">
        <v>1032</v>
      </c>
      <c r="C7444" s="84">
        <v>4.55</v>
      </c>
      <c r="D7444" s="84">
        <v>1.0</v>
      </c>
      <c r="E7444" s="84">
        <v>4.55</v>
      </c>
      <c r="F7444" s="76" t="s">
        <v>998</v>
      </c>
      <c r="G7444" s="83">
        <v>46116.0</v>
      </c>
      <c r="H7444" s="76" t="s">
        <v>930</v>
      </c>
    </row>
    <row r="7445">
      <c r="A7445" s="76" t="s">
        <v>28</v>
      </c>
      <c r="B7445" s="76" t="s">
        <v>1032</v>
      </c>
      <c r="C7445" s="84">
        <v>0.19</v>
      </c>
      <c r="D7445" s="84">
        <v>0.0</v>
      </c>
      <c r="E7445" s="84">
        <v>0.0</v>
      </c>
      <c r="F7445" s="76" t="s">
        <v>998</v>
      </c>
      <c r="G7445" s="83">
        <v>46116.0</v>
      </c>
      <c r="H7445" s="76" t="s">
        <v>931</v>
      </c>
    </row>
    <row r="7446">
      <c r="A7446" s="76" t="s">
        <v>28</v>
      </c>
      <c r="B7446" s="76" t="s">
        <v>1032</v>
      </c>
      <c r="C7446" s="84">
        <v>0.14</v>
      </c>
      <c r="D7446" s="84">
        <v>0.0</v>
      </c>
      <c r="E7446" s="84">
        <v>0.0</v>
      </c>
      <c r="F7446" s="76" t="s">
        <v>998</v>
      </c>
      <c r="G7446" s="83">
        <v>46116.0</v>
      </c>
      <c r="H7446" s="76" t="s">
        <v>932</v>
      </c>
    </row>
    <row r="7447">
      <c r="A7447" s="76" t="s">
        <v>28</v>
      </c>
      <c r="B7447" s="76" t="s">
        <v>1032</v>
      </c>
      <c r="C7447" s="84">
        <v>4.33</v>
      </c>
      <c r="D7447" s="84">
        <v>1.0</v>
      </c>
      <c r="E7447" s="84">
        <v>4.33</v>
      </c>
      <c r="F7447" s="76" t="s">
        <v>998</v>
      </c>
      <c r="G7447" s="83">
        <v>46116.0</v>
      </c>
      <c r="H7447" s="76" t="s">
        <v>933</v>
      </c>
    </row>
    <row r="7448">
      <c r="A7448" s="76" t="s">
        <v>944</v>
      </c>
      <c r="B7448" s="76" t="s">
        <v>1032</v>
      </c>
      <c r="C7448" s="84">
        <v>1.16</v>
      </c>
      <c r="D7448" s="84">
        <v>0.0</v>
      </c>
      <c r="E7448" s="84">
        <v>0.0</v>
      </c>
      <c r="F7448" s="76" t="s">
        <v>998</v>
      </c>
      <c r="G7448" s="83">
        <v>46116.0</v>
      </c>
      <c r="H7448" s="76" t="s">
        <v>945</v>
      </c>
    </row>
    <row r="7449">
      <c r="A7449" s="76" t="s">
        <v>944</v>
      </c>
      <c r="B7449" s="76" t="s">
        <v>1032</v>
      </c>
      <c r="C7449" s="84">
        <v>0.19</v>
      </c>
      <c r="D7449" s="84">
        <v>0.0</v>
      </c>
      <c r="E7449" s="84">
        <v>0.0</v>
      </c>
      <c r="F7449" s="76" t="s">
        <v>998</v>
      </c>
      <c r="G7449" s="83">
        <v>46116.0</v>
      </c>
      <c r="H7449" s="76" t="s">
        <v>946</v>
      </c>
    </row>
    <row r="7450">
      <c r="A7450" s="76" t="s">
        <v>944</v>
      </c>
      <c r="B7450" s="76" t="s">
        <v>1032</v>
      </c>
      <c r="C7450" s="84">
        <v>0.58</v>
      </c>
      <c r="D7450" s="84">
        <v>0.0</v>
      </c>
      <c r="E7450" s="84">
        <v>0.0</v>
      </c>
      <c r="F7450" s="76" t="s">
        <v>998</v>
      </c>
      <c r="G7450" s="83">
        <v>46116.0</v>
      </c>
      <c r="H7450" s="76" t="s">
        <v>947</v>
      </c>
    </row>
    <row r="7451">
      <c r="A7451" s="76" t="s">
        <v>45</v>
      </c>
      <c r="B7451" s="76" t="s">
        <v>1032</v>
      </c>
      <c r="C7451" s="84">
        <v>0.06</v>
      </c>
      <c r="D7451" s="84">
        <v>0.0</v>
      </c>
      <c r="E7451" s="84">
        <v>0.0</v>
      </c>
      <c r="F7451" s="76" t="s">
        <v>998</v>
      </c>
      <c r="G7451" s="83">
        <v>46116.0</v>
      </c>
      <c r="H7451" s="76" t="s">
        <v>936</v>
      </c>
    </row>
    <row r="7452">
      <c r="A7452" s="76" t="s">
        <v>45</v>
      </c>
      <c r="B7452" s="76" t="s">
        <v>1032</v>
      </c>
      <c r="C7452" s="84">
        <v>0.58</v>
      </c>
      <c r="D7452" s="84">
        <v>0.0</v>
      </c>
      <c r="E7452" s="84">
        <v>0.0</v>
      </c>
      <c r="F7452" s="76" t="s">
        <v>998</v>
      </c>
      <c r="G7452" s="83">
        <v>46116.0</v>
      </c>
      <c r="H7452" s="76" t="s">
        <v>937</v>
      </c>
    </row>
    <row r="7453">
      <c r="A7453" s="76" t="s">
        <v>45</v>
      </c>
      <c r="B7453" s="76" t="s">
        <v>1032</v>
      </c>
      <c r="C7453" s="84">
        <v>0.06</v>
      </c>
      <c r="D7453" s="84">
        <v>0.0</v>
      </c>
      <c r="E7453" s="84">
        <v>0.0</v>
      </c>
      <c r="F7453" s="76" t="s">
        <v>998</v>
      </c>
      <c r="G7453" s="83">
        <v>46116.0</v>
      </c>
      <c r="H7453" s="76" t="s">
        <v>938</v>
      </c>
    </row>
    <row r="7454">
      <c r="A7454" s="76" t="s">
        <v>32</v>
      </c>
      <c r="B7454" s="76" t="s">
        <v>1032</v>
      </c>
      <c r="C7454" s="84">
        <v>3.96</v>
      </c>
      <c r="D7454" s="84">
        <v>0.0</v>
      </c>
      <c r="E7454" s="84">
        <v>0.0</v>
      </c>
      <c r="F7454" s="76" t="s">
        <v>998</v>
      </c>
      <c r="G7454" s="83">
        <v>46116.0</v>
      </c>
      <c r="H7454" s="76" t="s">
        <v>941</v>
      </c>
    </row>
    <row r="7455">
      <c r="A7455" s="76" t="s">
        <v>32</v>
      </c>
      <c r="B7455" s="76" t="s">
        <v>1032</v>
      </c>
      <c r="C7455" s="84">
        <v>0.59</v>
      </c>
      <c r="D7455" s="84">
        <v>0.0</v>
      </c>
      <c r="E7455" s="84">
        <v>0.0</v>
      </c>
      <c r="F7455" s="76" t="s">
        <v>998</v>
      </c>
      <c r="G7455" s="83">
        <v>46116.0</v>
      </c>
      <c r="H7455" s="76" t="s">
        <v>942</v>
      </c>
    </row>
    <row r="7456">
      <c r="A7456" s="76" t="s">
        <v>32</v>
      </c>
      <c r="B7456" s="76" t="s">
        <v>1032</v>
      </c>
      <c r="C7456" s="84">
        <v>0.75</v>
      </c>
      <c r="D7456" s="84">
        <v>0.0</v>
      </c>
      <c r="E7456" s="84">
        <v>0.0</v>
      </c>
      <c r="F7456" s="76" t="s">
        <v>998</v>
      </c>
      <c r="G7456" s="83">
        <v>46116.0</v>
      </c>
      <c r="H7456" s="76" t="s">
        <v>943</v>
      </c>
    </row>
    <row r="7457">
      <c r="A7457" s="76" t="s">
        <v>26</v>
      </c>
      <c r="B7457" s="76" t="s">
        <v>1032</v>
      </c>
      <c r="C7457" s="84">
        <v>0.24</v>
      </c>
      <c r="D7457" s="84">
        <v>0.0</v>
      </c>
      <c r="E7457" s="84">
        <v>0.0</v>
      </c>
      <c r="F7457" s="76" t="s">
        <v>998</v>
      </c>
      <c r="G7457" s="83">
        <v>46116.0</v>
      </c>
      <c r="H7457" s="76" t="s">
        <v>1012</v>
      </c>
    </row>
    <row r="7458">
      <c r="A7458" s="76" t="s">
        <v>26</v>
      </c>
      <c r="B7458" s="76" t="s">
        <v>1032</v>
      </c>
      <c r="C7458" s="84">
        <v>0.14</v>
      </c>
      <c r="D7458" s="84">
        <v>0.0</v>
      </c>
      <c r="E7458" s="84">
        <v>0.0</v>
      </c>
      <c r="F7458" s="76" t="s">
        <v>998</v>
      </c>
      <c r="G7458" s="83">
        <v>46116.0</v>
      </c>
      <c r="H7458" s="76" t="s">
        <v>1013</v>
      </c>
    </row>
    <row r="7459">
      <c r="A7459" s="76" t="s">
        <v>26</v>
      </c>
      <c r="B7459" s="76" t="s">
        <v>1032</v>
      </c>
      <c r="C7459" s="84">
        <v>0.67</v>
      </c>
      <c r="D7459" s="84">
        <v>0.0</v>
      </c>
      <c r="E7459" s="84">
        <v>0.0</v>
      </c>
      <c r="F7459" s="76" t="s">
        <v>998</v>
      </c>
      <c r="G7459" s="83">
        <v>46116.0</v>
      </c>
      <c r="H7459" s="76" t="s">
        <v>1014</v>
      </c>
    </row>
    <row r="7460">
      <c r="A7460" s="76" t="s">
        <v>34</v>
      </c>
      <c r="B7460" s="76" t="s">
        <v>1035</v>
      </c>
      <c r="C7460" s="84">
        <v>0.3</v>
      </c>
      <c r="D7460" s="84">
        <v>0.0</v>
      </c>
      <c r="E7460" s="84">
        <v>0.0</v>
      </c>
      <c r="F7460" s="76" t="s">
        <v>925</v>
      </c>
      <c r="G7460" s="83">
        <v>46116.0</v>
      </c>
      <c r="H7460" s="76" t="s">
        <v>951</v>
      </c>
    </row>
    <row r="7461">
      <c r="A7461" s="76" t="s">
        <v>34</v>
      </c>
      <c r="B7461" s="76" t="s">
        <v>1035</v>
      </c>
      <c r="C7461" s="84">
        <v>0.61</v>
      </c>
      <c r="D7461" s="84">
        <v>1.0</v>
      </c>
      <c r="E7461" s="84">
        <v>0.61</v>
      </c>
      <c r="F7461" s="76" t="s">
        <v>925</v>
      </c>
      <c r="G7461" s="83">
        <v>46116.0</v>
      </c>
      <c r="H7461" s="76" t="s">
        <v>952</v>
      </c>
    </row>
    <row r="7462">
      <c r="A7462" s="76" t="s">
        <v>34</v>
      </c>
      <c r="B7462" s="76" t="s">
        <v>1035</v>
      </c>
      <c r="C7462" s="84">
        <v>0.13</v>
      </c>
      <c r="D7462" s="84">
        <v>0.0</v>
      </c>
      <c r="E7462" s="84">
        <v>0.0</v>
      </c>
      <c r="F7462" s="76" t="s">
        <v>925</v>
      </c>
      <c r="G7462" s="83">
        <v>46116.0</v>
      </c>
      <c r="H7462" s="76" t="s">
        <v>953</v>
      </c>
    </row>
    <row r="7463">
      <c r="A7463" s="76" t="s">
        <v>43</v>
      </c>
      <c r="B7463" s="76" t="s">
        <v>1035</v>
      </c>
      <c r="C7463" s="84">
        <v>0.46</v>
      </c>
      <c r="D7463" s="84">
        <v>0.0</v>
      </c>
      <c r="E7463" s="84">
        <v>0.0</v>
      </c>
      <c r="F7463" s="76" t="s">
        <v>925</v>
      </c>
      <c r="G7463" s="83">
        <v>46116.0</v>
      </c>
      <c r="H7463" s="76" t="s">
        <v>963</v>
      </c>
    </row>
    <row r="7464">
      <c r="A7464" s="76" t="s">
        <v>43</v>
      </c>
      <c r="B7464" s="76" t="s">
        <v>1035</v>
      </c>
      <c r="C7464" s="84">
        <v>0.66</v>
      </c>
      <c r="D7464" s="84">
        <v>0.0</v>
      </c>
      <c r="E7464" s="84">
        <v>0.0</v>
      </c>
      <c r="F7464" s="76" t="s">
        <v>925</v>
      </c>
      <c r="G7464" s="83">
        <v>46116.0</v>
      </c>
      <c r="H7464" s="76" t="s">
        <v>964</v>
      </c>
    </row>
    <row r="7465">
      <c r="A7465" s="76" t="s">
        <v>43</v>
      </c>
      <c r="B7465" s="76" t="s">
        <v>1035</v>
      </c>
      <c r="C7465" s="84">
        <v>14.14</v>
      </c>
      <c r="D7465" s="84">
        <v>0.0</v>
      </c>
      <c r="E7465" s="84">
        <v>0.0</v>
      </c>
      <c r="F7465" s="76" t="s">
        <v>925</v>
      </c>
      <c r="G7465" s="83">
        <v>46116.0</v>
      </c>
      <c r="H7465" s="76" t="s">
        <v>965</v>
      </c>
    </row>
    <row r="7466">
      <c r="A7466" s="76" t="s">
        <v>970</v>
      </c>
      <c r="B7466" s="76" t="s">
        <v>1035</v>
      </c>
      <c r="C7466" s="84">
        <v>1.24</v>
      </c>
      <c r="D7466" s="84">
        <v>0.0</v>
      </c>
      <c r="E7466" s="84">
        <v>0.0</v>
      </c>
      <c r="F7466" s="76" t="s">
        <v>925</v>
      </c>
      <c r="G7466" s="83">
        <v>46116.0</v>
      </c>
      <c r="H7466" s="76" t="s">
        <v>971</v>
      </c>
    </row>
    <row r="7467">
      <c r="A7467" s="76" t="s">
        <v>970</v>
      </c>
      <c r="B7467" s="76" t="s">
        <v>1035</v>
      </c>
      <c r="C7467" s="84">
        <v>0.08</v>
      </c>
      <c r="D7467" s="84">
        <v>0.0</v>
      </c>
      <c r="E7467" s="84">
        <v>0.0</v>
      </c>
      <c r="F7467" s="76" t="s">
        <v>925</v>
      </c>
      <c r="G7467" s="83">
        <v>46116.0</v>
      </c>
      <c r="H7467" s="76" t="s">
        <v>972</v>
      </c>
    </row>
    <row r="7468">
      <c r="A7468" s="76" t="s">
        <v>970</v>
      </c>
      <c r="B7468" s="76" t="s">
        <v>1035</v>
      </c>
      <c r="C7468" s="84">
        <v>105.47</v>
      </c>
      <c r="D7468" s="84">
        <v>5.0</v>
      </c>
      <c r="E7468" s="84">
        <v>21.09</v>
      </c>
      <c r="F7468" s="76" t="s">
        <v>925</v>
      </c>
      <c r="G7468" s="83">
        <v>46116.0</v>
      </c>
      <c r="H7468" s="76" t="s">
        <v>973</v>
      </c>
    </row>
    <row r="7469">
      <c r="A7469" s="76" t="s">
        <v>966</v>
      </c>
      <c r="B7469" s="76" t="s">
        <v>1035</v>
      </c>
      <c r="C7469" s="84">
        <v>0.44</v>
      </c>
      <c r="D7469" s="84">
        <v>0.0</v>
      </c>
      <c r="E7469" s="84">
        <v>0.0</v>
      </c>
      <c r="F7469" s="76" t="s">
        <v>925</v>
      </c>
      <c r="G7469" s="83">
        <v>46116.0</v>
      </c>
      <c r="H7469" s="76" t="s">
        <v>967</v>
      </c>
    </row>
    <row r="7470">
      <c r="A7470" s="76" t="s">
        <v>966</v>
      </c>
      <c r="B7470" s="76" t="s">
        <v>1035</v>
      </c>
      <c r="C7470" s="84">
        <v>0.04</v>
      </c>
      <c r="D7470" s="84">
        <v>0.0</v>
      </c>
      <c r="E7470" s="84">
        <v>0.0</v>
      </c>
      <c r="F7470" s="76" t="s">
        <v>925</v>
      </c>
      <c r="G7470" s="83">
        <v>46116.0</v>
      </c>
      <c r="H7470" s="76" t="s">
        <v>968</v>
      </c>
    </row>
    <row r="7471">
      <c r="A7471" s="76" t="s">
        <v>966</v>
      </c>
      <c r="B7471" s="76" t="s">
        <v>1035</v>
      </c>
      <c r="C7471" s="84">
        <v>0.12</v>
      </c>
      <c r="D7471" s="84">
        <v>0.0</v>
      </c>
      <c r="E7471" s="84">
        <v>0.0</v>
      </c>
      <c r="F7471" s="76" t="s">
        <v>925</v>
      </c>
      <c r="G7471" s="83">
        <v>46116.0</v>
      </c>
      <c r="H7471" s="76" t="s">
        <v>969</v>
      </c>
    </row>
    <row r="7472">
      <c r="A7472" s="76" t="s">
        <v>40</v>
      </c>
      <c r="B7472" s="76" t="s">
        <v>1035</v>
      </c>
      <c r="C7472" s="84">
        <v>0.13</v>
      </c>
      <c r="D7472" s="84">
        <v>0.0</v>
      </c>
      <c r="E7472" s="84">
        <v>0.0</v>
      </c>
      <c r="F7472" s="76" t="s">
        <v>925</v>
      </c>
      <c r="G7472" s="83">
        <v>46116.0</v>
      </c>
      <c r="H7472" s="76" t="s">
        <v>954</v>
      </c>
    </row>
    <row r="7473">
      <c r="A7473" s="76" t="s">
        <v>40</v>
      </c>
      <c r="B7473" s="76" t="s">
        <v>1035</v>
      </c>
      <c r="C7473" s="84">
        <v>0.04</v>
      </c>
      <c r="D7473" s="84">
        <v>0.0</v>
      </c>
      <c r="E7473" s="84">
        <v>0.0</v>
      </c>
      <c r="F7473" s="76" t="s">
        <v>925</v>
      </c>
      <c r="G7473" s="83">
        <v>46116.0</v>
      </c>
      <c r="H7473" s="76" t="s">
        <v>955</v>
      </c>
    </row>
    <row r="7474">
      <c r="A7474" s="76" t="s">
        <v>40</v>
      </c>
      <c r="B7474" s="76" t="s">
        <v>1035</v>
      </c>
      <c r="C7474" s="84">
        <v>1.5</v>
      </c>
      <c r="D7474" s="84">
        <v>0.0</v>
      </c>
      <c r="E7474" s="84">
        <v>0.0</v>
      </c>
      <c r="F7474" s="76" t="s">
        <v>925</v>
      </c>
      <c r="G7474" s="83">
        <v>46116.0</v>
      </c>
      <c r="H7474" s="76" t="s">
        <v>956</v>
      </c>
    </row>
    <row r="7475">
      <c r="A7475" s="76" t="s">
        <v>29</v>
      </c>
      <c r="B7475" s="76" t="s">
        <v>1035</v>
      </c>
      <c r="C7475" s="84">
        <v>0.96</v>
      </c>
      <c r="D7475" s="84">
        <v>0.0</v>
      </c>
      <c r="E7475" s="84">
        <v>0.0</v>
      </c>
      <c r="F7475" s="76" t="s">
        <v>925</v>
      </c>
      <c r="G7475" s="83">
        <v>46116.0</v>
      </c>
      <c r="H7475" s="76" t="s">
        <v>971</v>
      </c>
    </row>
    <row r="7476">
      <c r="A7476" s="76" t="s">
        <v>29</v>
      </c>
      <c r="B7476" s="76" t="s">
        <v>1035</v>
      </c>
      <c r="C7476" s="84">
        <v>0.04</v>
      </c>
      <c r="D7476" s="84">
        <v>0.0</v>
      </c>
      <c r="E7476" s="84">
        <v>0.0</v>
      </c>
      <c r="F7476" s="76" t="s">
        <v>925</v>
      </c>
      <c r="G7476" s="83">
        <v>46116.0</v>
      </c>
      <c r="H7476" s="76" t="s">
        <v>972</v>
      </c>
    </row>
    <row r="7477">
      <c r="A7477" s="76" t="s">
        <v>29</v>
      </c>
      <c r="B7477" s="76" t="s">
        <v>1035</v>
      </c>
      <c r="C7477" s="84">
        <v>12.22</v>
      </c>
      <c r="D7477" s="84">
        <v>0.0</v>
      </c>
      <c r="E7477" s="84">
        <v>0.0</v>
      </c>
      <c r="F7477" s="76" t="s">
        <v>925</v>
      </c>
      <c r="G7477" s="83">
        <v>46116.0</v>
      </c>
      <c r="H7477" s="76" t="s">
        <v>973</v>
      </c>
    </row>
    <row r="7478">
      <c r="A7478" s="76" t="s">
        <v>46</v>
      </c>
      <c r="B7478" s="76" t="s">
        <v>1035</v>
      </c>
      <c r="C7478" s="84">
        <v>1.54</v>
      </c>
      <c r="D7478" s="84">
        <v>0.0</v>
      </c>
      <c r="E7478" s="84">
        <v>0.0</v>
      </c>
      <c r="F7478" s="76" t="s">
        <v>925</v>
      </c>
      <c r="G7478" s="83">
        <v>46116.0</v>
      </c>
      <c r="H7478" s="76" t="s">
        <v>960</v>
      </c>
    </row>
    <row r="7479">
      <c r="A7479" s="76" t="s">
        <v>46</v>
      </c>
      <c r="B7479" s="76" t="s">
        <v>1035</v>
      </c>
      <c r="C7479" s="84">
        <v>0.33</v>
      </c>
      <c r="D7479" s="84">
        <v>0.0</v>
      </c>
      <c r="E7479" s="84">
        <v>0.0</v>
      </c>
      <c r="F7479" s="76" t="s">
        <v>925</v>
      </c>
      <c r="G7479" s="83">
        <v>46116.0</v>
      </c>
      <c r="H7479" s="76" t="s">
        <v>961</v>
      </c>
    </row>
    <row r="7480">
      <c r="A7480" s="76" t="s">
        <v>46</v>
      </c>
      <c r="B7480" s="76" t="s">
        <v>1035</v>
      </c>
      <c r="C7480" s="84">
        <v>0.2</v>
      </c>
      <c r="D7480" s="84">
        <v>0.0</v>
      </c>
      <c r="E7480" s="84">
        <v>0.0</v>
      </c>
      <c r="F7480" s="76" t="s">
        <v>925</v>
      </c>
      <c r="G7480" s="83">
        <v>46116.0</v>
      </c>
      <c r="H7480" s="76" t="s">
        <v>962</v>
      </c>
    </row>
    <row r="7481">
      <c r="A7481" s="76" t="s">
        <v>36</v>
      </c>
      <c r="B7481" s="76" t="s">
        <v>1035</v>
      </c>
      <c r="C7481" s="84">
        <v>0.48</v>
      </c>
      <c r="D7481" s="84">
        <v>0.0</v>
      </c>
      <c r="E7481" s="84">
        <v>0.0</v>
      </c>
      <c r="F7481" s="76" t="s">
        <v>925</v>
      </c>
      <c r="G7481" s="83">
        <v>46116.0</v>
      </c>
      <c r="H7481" s="76" t="s">
        <v>926</v>
      </c>
    </row>
    <row r="7482">
      <c r="A7482" s="76" t="s">
        <v>36</v>
      </c>
      <c r="B7482" s="76" t="s">
        <v>1035</v>
      </c>
      <c r="C7482" s="84">
        <v>0.32</v>
      </c>
      <c r="D7482" s="84">
        <v>0.0</v>
      </c>
      <c r="E7482" s="84">
        <v>0.0</v>
      </c>
      <c r="F7482" s="76" t="s">
        <v>925</v>
      </c>
      <c r="G7482" s="83">
        <v>46116.0</v>
      </c>
      <c r="H7482" s="76" t="s">
        <v>927</v>
      </c>
    </row>
    <row r="7483">
      <c r="A7483" s="76" t="s">
        <v>36</v>
      </c>
      <c r="B7483" s="76" t="s">
        <v>1035</v>
      </c>
      <c r="C7483" s="84">
        <v>0.05</v>
      </c>
      <c r="D7483" s="84">
        <v>0.0</v>
      </c>
      <c r="E7483" s="84">
        <v>0.0</v>
      </c>
      <c r="F7483" s="76" t="s">
        <v>925</v>
      </c>
      <c r="G7483" s="83">
        <v>46116.0</v>
      </c>
      <c r="H7483" s="76" t="s">
        <v>928</v>
      </c>
    </row>
    <row r="7484">
      <c r="A7484" s="76" t="s">
        <v>33</v>
      </c>
      <c r="B7484" s="76" t="s">
        <v>1035</v>
      </c>
      <c r="C7484" s="84">
        <v>101.16</v>
      </c>
      <c r="D7484" s="84">
        <v>9.0</v>
      </c>
      <c r="E7484" s="84">
        <v>11.24</v>
      </c>
      <c r="F7484" s="76" t="s">
        <v>925</v>
      </c>
      <c r="G7484" s="83">
        <v>46116.0</v>
      </c>
      <c r="H7484" s="76" t="s">
        <v>957</v>
      </c>
    </row>
    <row r="7485">
      <c r="A7485" s="76" t="s">
        <v>33</v>
      </c>
      <c r="B7485" s="76" t="s">
        <v>1035</v>
      </c>
      <c r="C7485" s="84">
        <v>1.09</v>
      </c>
      <c r="D7485" s="84">
        <v>0.0</v>
      </c>
      <c r="E7485" s="84">
        <v>0.0</v>
      </c>
      <c r="F7485" s="76" t="s">
        <v>925</v>
      </c>
      <c r="G7485" s="83">
        <v>46116.0</v>
      </c>
      <c r="H7485" s="76" t="s">
        <v>958</v>
      </c>
    </row>
    <row r="7486">
      <c r="A7486" s="76" t="s">
        <v>33</v>
      </c>
      <c r="B7486" s="76" t="s">
        <v>1035</v>
      </c>
      <c r="C7486" s="84">
        <v>0.42</v>
      </c>
      <c r="D7486" s="84">
        <v>0.0</v>
      </c>
      <c r="E7486" s="84">
        <v>0.0</v>
      </c>
      <c r="F7486" s="76" t="s">
        <v>925</v>
      </c>
      <c r="G7486" s="83">
        <v>46116.0</v>
      </c>
      <c r="H7486" s="76" t="s">
        <v>959</v>
      </c>
    </row>
    <row r="7487">
      <c r="A7487" s="76" t="s">
        <v>36</v>
      </c>
      <c r="B7487" s="76" t="s">
        <v>1035</v>
      </c>
      <c r="C7487" s="84">
        <v>0.2</v>
      </c>
      <c r="D7487" s="84">
        <v>0.0</v>
      </c>
      <c r="E7487" s="84">
        <v>0.0</v>
      </c>
      <c r="F7487" s="76" t="s">
        <v>948</v>
      </c>
      <c r="G7487" s="83">
        <v>46116.0</v>
      </c>
      <c r="H7487" s="76" t="s">
        <v>926</v>
      </c>
    </row>
    <row r="7488">
      <c r="A7488" s="76" t="s">
        <v>36</v>
      </c>
      <c r="B7488" s="76" t="s">
        <v>1035</v>
      </c>
      <c r="C7488" s="84">
        <v>0.06</v>
      </c>
      <c r="D7488" s="84">
        <v>0.0</v>
      </c>
      <c r="E7488" s="84">
        <v>0.0</v>
      </c>
      <c r="F7488" s="76" t="s">
        <v>948</v>
      </c>
      <c r="G7488" s="83">
        <v>46116.0</v>
      </c>
      <c r="H7488" s="76" t="s">
        <v>927</v>
      </c>
    </row>
    <row r="7489">
      <c r="A7489" s="76" t="s">
        <v>36</v>
      </c>
      <c r="B7489" s="76" t="s">
        <v>1035</v>
      </c>
      <c r="C7489" s="84">
        <v>0.08</v>
      </c>
      <c r="D7489" s="84">
        <v>0.0</v>
      </c>
      <c r="E7489" s="84">
        <v>0.0</v>
      </c>
      <c r="F7489" s="76" t="s">
        <v>948</v>
      </c>
      <c r="G7489" s="83">
        <v>46116.0</v>
      </c>
      <c r="H7489" s="76" t="s">
        <v>928</v>
      </c>
    </row>
    <row r="7490">
      <c r="A7490" s="76" t="s">
        <v>40</v>
      </c>
      <c r="B7490" s="76" t="s">
        <v>1035</v>
      </c>
      <c r="C7490" s="84">
        <v>0.14</v>
      </c>
      <c r="D7490" s="84">
        <v>0.0</v>
      </c>
      <c r="E7490" s="84">
        <v>0.0</v>
      </c>
      <c r="F7490" s="76" t="s">
        <v>948</v>
      </c>
      <c r="G7490" s="83">
        <v>46116.0</v>
      </c>
      <c r="H7490" s="76" t="s">
        <v>954</v>
      </c>
    </row>
    <row r="7491">
      <c r="A7491" s="76" t="s">
        <v>40</v>
      </c>
      <c r="B7491" s="76" t="s">
        <v>1035</v>
      </c>
      <c r="C7491" s="84">
        <v>0.0</v>
      </c>
      <c r="D7491" s="84">
        <v>0.0</v>
      </c>
      <c r="E7491" s="84">
        <v>0.0</v>
      </c>
      <c r="F7491" s="76" t="s">
        <v>948</v>
      </c>
      <c r="G7491" s="83">
        <v>46116.0</v>
      </c>
      <c r="H7491" s="76" t="s">
        <v>955</v>
      </c>
    </row>
    <row r="7492">
      <c r="A7492" s="76" t="s">
        <v>40</v>
      </c>
      <c r="B7492" s="76" t="s">
        <v>1035</v>
      </c>
      <c r="C7492" s="84">
        <v>0.52</v>
      </c>
      <c r="D7492" s="84">
        <v>0.0</v>
      </c>
      <c r="E7492" s="84">
        <v>0.0</v>
      </c>
      <c r="F7492" s="76" t="s">
        <v>948</v>
      </c>
      <c r="G7492" s="83">
        <v>46116.0</v>
      </c>
      <c r="H7492" s="76" t="s">
        <v>956</v>
      </c>
    </row>
    <row r="7493">
      <c r="A7493" s="76" t="s">
        <v>970</v>
      </c>
      <c r="B7493" s="76" t="s">
        <v>1035</v>
      </c>
      <c r="C7493" s="84">
        <v>0.64</v>
      </c>
      <c r="D7493" s="84">
        <v>0.0</v>
      </c>
      <c r="E7493" s="84">
        <v>0.0</v>
      </c>
      <c r="F7493" s="76" t="s">
        <v>948</v>
      </c>
      <c r="G7493" s="83">
        <v>46116.0</v>
      </c>
      <c r="H7493" s="76" t="s">
        <v>971</v>
      </c>
    </row>
    <row r="7494">
      <c r="A7494" s="76" t="s">
        <v>970</v>
      </c>
      <c r="B7494" s="76" t="s">
        <v>1035</v>
      </c>
      <c r="C7494" s="84">
        <v>0.08</v>
      </c>
      <c r="D7494" s="84">
        <v>0.0</v>
      </c>
      <c r="E7494" s="84">
        <v>0.0</v>
      </c>
      <c r="F7494" s="76" t="s">
        <v>948</v>
      </c>
      <c r="G7494" s="83">
        <v>46116.0</v>
      </c>
      <c r="H7494" s="76" t="s">
        <v>972</v>
      </c>
    </row>
    <row r="7495">
      <c r="A7495" s="76" t="s">
        <v>970</v>
      </c>
      <c r="B7495" s="76" t="s">
        <v>1035</v>
      </c>
      <c r="C7495" s="84">
        <v>17.39</v>
      </c>
      <c r="D7495" s="84">
        <v>3.0</v>
      </c>
      <c r="E7495" s="84">
        <v>5.8</v>
      </c>
      <c r="F7495" s="76" t="s">
        <v>948</v>
      </c>
      <c r="G7495" s="83">
        <v>46116.0</v>
      </c>
      <c r="H7495" s="76" t="s">
        <v>973</v>
      </c>
    </row>
    <row r="7496">
      <c r="A7496" s="76" t="s">
        <v>33</v>
      </c>
      <c r="B7496" s="76" t="s">
        <v>1035</v>
      </c>
      <c r="C7496" s="84">
        <v>24.77</v>
      </c>
      <c r="D7496" s="84">
        <v>1.0</v>
      </c>
      <c r="E7496" s="84">
        <v>24.77</v>
      </c>
      <c r="F7496" s="76" t="s">
        <v>948</v>
      </c>
      <c r="G7496" s="83">
        <v>46116.0</v>
      </c>
      <c r="H7496" s="76" t="s">
        <v>957</v>
      </c>
    </row>
    <row r="7497">
      <c r="A7497" s="76" t="s">
        <v>33</v>
      </c>
      <c r="B7497" s="76" t="s">
        <v>1035</v>
      </c>
      <c r="C7497" s="84">
        <v>0.54</v>
      </c>
      <c r="D7497" s="84">
        <v>0.0</v>
      </c>
      <c r="E7497" s="84">
        <v>0.0</v>
      </c>
      <c r="F7497" s="76" t="s">
        <v>948</v>
      </c>
      <c r="G7497" s="83">
        <v>46116.0</v>
      </c>
      <c r="H7497" s="76" t="s">
        <v>958</v>
      </c>
    </row>
    <row r="7498">
      <c r="A7498" s="76" t="s">
        <v>33</v>
      </c>
      <c r="B7498" s="76" t="s">
        <v>1035</v>
      </c>
      <c r="C7498" s="84">
        <v>0.26</v>
      </c>
      <c r="D7498" s="84">
        <v>0.0</v>
      </c>
      <c r="E7498" s="84">
        <v>0.0</v>
      </c>
      <c r="F7498" s="76" t="s">
        <v>948</v>
      </c>
      <c r="G7498" s="83">
        <v>46116.0</v>
      </c>
      <c r="H7498" s="76" t="s">
        <v>959</v>
      </c>
    </row>
    <row r="7499">
      <c r="A7499" s="76" t="s">
        <v>966</v>
      </c>
      <c r="B7499" s="76" t="s">
        <v>1035</v>
      </c>
      <c r="C7499" s="84">
        <v>0.29</v>
      </c>
      <c r="D7499" s="84">
        <v>0.0</v>
      </c>
      <c r="E7499" s="84">
        <v>0.0</v>
      </c>
      <c r="F7499" s="76" t="s">
        <v>948</v>
      </c>
      <c r="G7499" s="83">
        <v>46116.0</v>
      </c>
      <c r="H7499" s="76" t="s">
        <v>967</v>
      </c>
    </row>
    <row r="7500">
      <c r="A7500" s="76" t="s">
        <v>966</v>
      </c>
      <c r="B7500" s="76" t="s">
        <v>1035</v>
      </c>
      <c r="C7500" s="84">
        <v>0.02</v>
      </c>
      <c r="D7500" s="84">
        <v>0.0</v>
      </c>
      <c r="E7500" s="84">
        <v>0.0</v>
      </c>
      <c r="F7500" s="76" t="s">
        <v>948</v>
      </c>
      <c r="G7500" s="83">
        <v>46116.0</v>
      </c>
      <c r="H7500" s="76" t="s">
        <v>968</v>
      </c>
    </row>
    <row r="7501">
      <c r="A7501" s="76" t="s">
        <v>966</v>
      </c>
      <c r="B7501" s="76" t="s">
        <v>1035</v>
      </c>
      <c r="C7501" s="84">
        <v>0.13</v>
      </c>
      <c r="D7501" s="84">
        <v>0.0</v>
      </c>
      <c r="E7501" s="84">
        <v>0.0</v>
      </c>
      <c r="F7501" s="76" t="s">
        <v>948</v>
      </c>
      <c r="G7501" s="83">
        <v>46116.0</v>
      </c>
      <c r="H7501" s="76" t="s">
        <v>969</v>
      </c>
    </row>
    <row r="7502">
      <c r="A7502" s="76" t="s">
        <v>43</v>
      </c>
      <c r="B7502" s="76" t="s">
        <v>1035</v>
      </c>
      <c r="C7502" s="84">
        <v>0.13</v>
      </c>
      <c r="D7502" s="84">
        <v>0.0</v>
      </c>
      <c r="E7502" s="84">
        <v>0.0</v>
      </c>
      <c r="F7502" s="76" t="s">
        <v>948</v>
      </c>
      <c r="G7502" s="83">
        <v>46116.0</v>
      </c>
      <c r="H7502" s="76" t="s">
        <v>963</v>
      </c>
    </row>
    <row r="7503">
      <c r="A7503" s="76" t="s">
        <v>43</v>
      </c>
      <c r="B7503" s="76" t="s">
        <v>1035</v>
      </c>
      <c r="C7503" s="84">
        <v>0.26</v>
      </c>
      <c r="D7503" s="84">
        <v>0.0</v>
      </c>
      <c r="E7503" s="84">
        <v>0.0</v>
      </c>
      <c r="F7503" s="76" t="s">
        <v>948</v>
      </c>
      <c r="G7503" s="83">
        <v>46116.0</v>
      </c>
      <c r="H7503" s="76" t="s">
        <v>964</v>
      </c>
    </row>
    <row r="7504">
      <c r="A7504" s="76" t="s">
        <v>43</v>
      </c>
      <c r="B7504" s="76" t="s">
        <v>1035</v>
      </c>
      <c r="C7504" s="84">
        <v>4.05</v>
      </c>
      <c r="D7504" s="84">
        <v>0.0</v>
      </c>
      <c r="E7504" s="84">
        <v>0.0</v>
      </c>
      <c r="F7504" s="76" t="s">
        <v>948</v>
      </c>
      <c r="G7504" s="83">
        <v>46116.0</v>
      </c>
      <c r="H7504" s="76" t="s">
        <v>965</v>
      </c>
    </row>
    <row r="7505">
      <c r="A7505" s="76" t="s">
        <v>46</v>
      </c>
      <c r="B7505" s="76" t="s">
        <v>1035</v>
      </c>
      <c r="C7505" s="84">
        <v>1.64</v>
      </c>
      <c r="D7505" s="84">
        <v>0.0</v>
      </c>
      <c r="E7505" s="84">
        <v>0.0</v>
      </c>
      <c r="F7505" s="76" t="s">
        <v>948</v>
      </c>
      <c r="G7505" s="83">
        <v>46116.0</v>
      </c>
      <c r="H7505" s="76" t="s">
        <v>960</v>
      </c>
    </row>
    <row r="7506">
      <c r="A7506" s="76" t="s">
        <v>46</v>
      </c>
      <c r="B7506" s="76" t="s">
        <v>1035</v>
      </c>
      <c r="C7506" s="84">
        <v>0.17</v>
      </c>
      <c r="D7506" s="84">
        <v>0.0</v>
      </c>
      <c r="E7506" s="84">
        <v>0.0</v>
      </c>
      <c r="F7506" s="76" t="s">
        <v>948</v>
      </c>
      <c r="G7506" s="83">
        <v>46116.0</v>
      </c>
      <c r="H7506" s="76" t="s">
        <v>961</v>
      </c>
    </row>
    <row r="7507">
      <c r="A7507" s="76" t="s">
        <v>46</v>
      </c>
      <c r="B7507" s="76" t="s">
        <v>1035</v>
      </c>
      <c r="C7507" s="84">
        <v>0.11</v>
      </c>
      <c r="D7507" s="84">
        <v>0.0</v>
      </c>
      <c r="E7507" s="84">
        <v>0.0</v>
      </c>
      <c r="F7507" s="76" t="s">
        <v>948</v>
      </c>
      <c r="G7507" s="83">
        <v>46116.0</v>
      </c>
      <c r="H7507" s="76" t="s">
        <v>962</v>
      </c>
    </row>
    <row r="7508">
      <c r="A7508" s="76" t="s">
        <v>34</v>
      </c>
      <c r="B7508" s="76" t="s">
        <v>1035</v>
      </c>
      <c r="C7508" s="84">
        <v>0.19</v>
      </c>
      <c r="D7508" s="84">
        <v>0.0</v>
      </c>
      <c r="E7508" s="84">
        <v>0.0</v>
      </c>
      <c r="F7508" s="76" t="s">
        <v>948</v>
      </c>
      <c r="G7508" s="83">
        <v>46116.0</v>
      </c>
      <c r="H7508" s="76" t="s">
        <v>951</v>
      </c>
    </row>
    <row r="7509">
      <c r="A7509" s="76" t="s">
        <v>34</v>
      </c>
      <c r="B7509" s="76" t="s">
        <v>1035</v>
      </c>
      <c r="C7509" s="84">
        <v>0.28</v>
      </c>
      <c r="D7509" s="84">
        <v>1.0</v>
      </c>
      <c r="E7509" s="84">
        <v>0.28</v>
      </c>
      <c r="F7509" s="76" t="s">
        <v>948</v>
      </c>
      <c r="G7509" s="83">
        <v>46116.0</v>
      </c>
      <c r="H7509" s="76" t="s">
        <v>952</v>
      </c>
    </row>
    <row r="7510">
      <c r="A7510" s="76" t="s">
        <v>34</v>
      </c>
      <c r="B7510" s="76" t="s">
        <v>1035</v>
      </c>
      <c r="C7510" s="84">
        <v>0.23</v>
      </c>
      <c r="D7510" s="84">
        <v>0.0</v>
      </c>
      <c r="E7510" s="84">
        <v>0.0</v>
      </c>
      <c r="F7510" s="76" t="s">
        <v>948</v>
      </c>
      <c r="G7510" s="83">
        <v>46116.0</v>
      </c>
      <c r="H7510" s="76" t="s">
        <v>953</v>
      </c>
    </row>
    <row r="7511">
      <c r="A7511" s="76" t="s">
        <v>29</v>
      </c>
      <c r="B7511" s="76" t="s">
        <v>1035</v>
      </c>
      <c r="C7511" s="84">
        <v>0.85</v>
      </c>
      <c r="D7511" s="84">
        <v>0.0</v>
      </c>
      <c r="E7511" s="84">
        <v>0.0</v>
      </c>
      <c r="F7511" s="76" t="s">
        <v>948</v>
      </c>
      <c r="G7511" s="83">
        <v>46116.0</v>
      </c>
      <c r="H7511" s="76" t="s">
        <v>971</v>
      </c>
    </row>
    <row r="7512">
      <c r="A7512" s="76" t="s">
        <v>29</v>
      </c>
      <c r="B7512" s="76" t="s">
        <v>1035</v>
      </c>
      <c r="C7512" s="84">
        <v>0.11</v>
      </c>
      <c r="D7512" s="84">
        <v>0.0</v>
      </c>
      <c r="E7512" s="84">
        <v>0.0</v>
      </c>
      <c r="F7512" s="76" t="s">
        <v>948</v>
      </c>
      <c r="G7512" s="83">
        <v>46116.0</v>
      </c>
      <c r="H7512" s="76" t="s">
        <v>972</v>
      </c>
    </row>
    <row r="7513">
      <c r="A7513" s="76" t="s">
        <v>29</v>
      </c>
      <c r="B7513" s="76" t="s">
        <v>1035</v>
      </c>
      <c r="C7513" s="84">
        <v>18.06</v>
      </c>
      <c r="D7513" s="84">
        <v>0.0</v>
      </c>
      <c r="E7513" s="84">
        <v>0.0</v>
      </c>
      <c r="F7513" s="76" t="s">
        <v>948</v>
      </c>
      <c r="G7513" s="83">
        <v>46116.0</v>
      </c>
      <c r="H7513" s="76" t="s">
        <v>973</v>
      </c>
    </row>
    <row r="7514">
      <c r="A7514" s="76" t="s">
        <v>34</v>
      </c>
      <c r="B7514" s="76" t="s">
        <v>1029</v>
      </c>
      <c r="C7514" s="84">
        <v>0.13</v>
      </c>
      <c r="D7514" s="84">
        <v>0.0</v>
      </c>
      <c r="E7514" s="84">
        <v>0.0</v>
      </c>
      <c r="F7514" s="76" t="s">
        <v>950</v>
      </c>
      <c r="G7514" s="83">
        <v>46117.0</v>
      </c>
      <c r="H7514" s="76" t="s">
        <v>951</v>
      </c>
    </row>
    <row r="7515">
      <c r="A7515" s="76" t="s">
        <v>34</v>
      </c>
      <c r="B7515" s="76" t="s">
        <v>1029</v>
      </c>
      <c r="C7515" s="84">
        <v>0.8</v>
      </c>
      <c r="D7515" s="84">
        <v>0.0</v>
      </c>
      <c r="E7515" s="84">
        <v>0.0</v>
      </c>
      <c r="F7515" s="76" t="s">
        <v>950</v>
      </c>
      <c r="G7515" s="83">
        <v>46117.0</v>
      </c>
      <c r="H7515" s="76" t="s">
        <v>952</v>
      </c>
    </row>
    <row r="7516">
      <c r="A7516" s="76" t="s">
        <v>34</v>
      </c>
      <c r="B7516" s="76" t="s">
        <v>1029</v>
      </c>
      <c r="C7516" s="84">
        <v>0.16</v>
      </c>
      <c r="D7516" s="84">
        <v>0.0</v>
      </c>
      <c r="E7516" s="84">
        <v>0.0</v>
      </c>
      <c r="F7516" s="76" t="s">
        <v>950</v>
      </c>
      <c r="G7516" s="83">
        <v>46117.0</v>
      </c>
      <c r="H7516" s="76" t="s">
        <v>953</v>
      </c>
    </row>
    <row r="7517">
      <c r="A7517" s="76" t="s">
        <v>46</v>
      </c>
      <c r="B7517" s="76" t="s">
        <v>1029</v>
      </c>
      <c r="C7517" s="84">
        <v>0.59</v>
      </c>
      <c r="D7517" s="84">
        <v>0.0</v>
      </c>
      <c r="E7517" s="84">
        <v>0.0</v>
      </c>
      <c r="F7517" s="76" t="s">
        <v>950</v>
      </c>
      <c r="G7517" s="83">
        <v>46117.0</v>
      </c>
      <c r="H7517" s="76" t="s">
        <v>960</v>
      </c>
    </row>
    <row r="7518">
      <c r="A7518" s="76" t="s">
        <v>46</v>
      </c>
      <c r="B7518" s="76" t="s">
        <v>1029</v>
      </c>
      <c r="C7518" s="84">
        <v>0.1</v>
      </c>
      <c r="D7518" s="84">
        <v>0.0</v>
      </c>
      <c r="E7518" s="84">
        <v>0.0</v>
      </c>
      <c r="F7518" s="76" t="s">
        <v>950</v>
      </c>
      <c r="G7518" s="83">
        <v>46117.0</v>
      </c>
      <c r="H7518" s="76" t="s">
        <v>961</v>
      </c>
    </row>
    <row r="7519">
      <c r="A7519" s="76" t="s">
        <v>46</v>
      </c>
      <c r="B7519" s="76" t="s">
        <v>1029</v>
      </c>
      <c r="C7519" s="84">
        <v>0.05</v>
      </c>
      <c r="D7519" s="84">
        <v>0.0</v>
      </c>
      <c r="E7519" s="84">
        <v>0.0</v>
      </c>
      <c r="F7519" s="76" t="s">
        <v>950</v>
      </c>
      <c r="G7519" s="83">
        <v>46117.0</v>
      </c>
      <c r="H7519" s="76" t="s">
        <v>962</v>
      </c>
    </row>
    <row r="7520">
      <c r="A7520" s="76" t="s">
        <v>29</v>
      </c>
      <c r="B7520" s="76" t="s">
        <v>1029</v>
      </c>
      <c r="C7520" s="84">
        <v>0.56</v>
      </c>
      <c r="D7520" s="84">
        <v>0.0</v>
      </c>
      <c r="E7520" s="84">
        <v>0.0</v>
      </c>
      <c r="F7520" s="76" t="s">
        <v>950</v>
      </c>
      <c r="G7520" s="83">
        <v>46117.0</v>
      </c>
      <c r="H7520" s="76" t="s">
        <v>971</v>
      </c>
    </row>
    <row r="7521">
      <c r="A7521" s="76" t="s">
        <v>29</v>
      </c>
      <c r="B7521" s="76" t="s">
        <v>1029</v>
      </c>
      <c r="C7521" s="84">
        <v>0.11</v>
      </c>
      <c r="D7521" s="84">
        <v>0.0</v>
      </c>
      <c r="E7521" s="84">
        <v>0.0</v>
      </c>
      <c r="F7521" s="76" t="s">
        <v>950</v>
      </c>
      <c r="G7521" s="83">
        <v>46117.0</v>
      </c>
      <c r="H7521" s="76" t="s">
        <v>972</v>
      </c>
    </row>
    <row r="7522">
      <c r="A7522" s="76" t="s">
        <v>29</v>
      </c>
      <c r="B7522" s="76" t="s">
        <v>1029</v>
      </c>
      <c r="C7522" s="84">
        <v>4.53</v>
      </c>
      <c r="D7522" s="84">
        <v>1.0</v>
      </c>
      <c r="E7522" s="84">
        <v>4.53</v>
      </c>
      <c r="F7522" s="76" t="s">
        <v>950</v>
      </c>
      <c r="G7522" s="83">
        <v>46117.0</v>
      </c>
      <c r="H7522" s="76" t="s">
        <v>973</v>
      </c>
    </row>
    <row r="7523">
      <c r="A7523" s="76" t="s">
        <v>33</v>
      </c>
      <c r="B7523" s="76" t="s">
        <v>1029</v>
      </c>
      <c r="C7523" s="84">
        <v>12.54</v>
      </c>
      <c r="D7523" s="84">
        <v>1.0</v>
      </c>
      <c r="E7523" s="84">
        <v>12.54</v>
      </c>
      <c r="F7523" s="76" t="s">
        <v>950</v>
      </c>
      <c r="G7523" s="83">
        <v>46117.0</v>
      </c>
      <c r="H7523" s="76" t="s">
        <v>957</v>
      </c>
    </row>
    <row r="7524">
      <c r="A7524" s="76" t="s">
        <v>33</v>
      </c>
      <c r="B7524" s="76" t="s">
        <v>1029</v>
      </c>
      <c r="C7524" s="84">
        <v>0.35</v>
      </c>
      <c r="D7524" s="84">
        <v>0.0</v>
      </c>
      <c r="E7524" s="84">
        <v>0.0</v>
      </c>
      <c r="F7524" s="76" t="s">
        <v>950</v>
      </c>
      <c r="G7524" s="83">
        <v>46117.0</v>
      </c>
      <c r="H7524" s="76" t="s">
        <v>958</v>
      </c>
    </row>
    <row r="7525">
      <c r="A7525" s="76" t="s">
        <v>33</v>
      </c>
      <c r="B7525" s="76" t="s">
        <v>1029</v>
      </c>
      <c r="C7525" s="84">
        <v>1.79</v>
      </c>
      <c r="D7525" s="84">
        <v>0.0</v>
      </c>
      <c r="E7525" s="84">
        <v>0.0</v>
      </c>
      <c r="F7525" s="76" t="s">
        <v>950</v>
      </c>
      <c r="G7525" s="83">
        <v>46117.0</v>
      </c>
      <c r="H7525" s="76" t="s">
        <v>959</v>
      </c>
    </row>
    <row r="7526">
      <c r="A7526" s="76" t="s">
        <v>970</v>
      </c>
      <c r="B7526" s="76" t="s">
        <v>1029</v>
      </c>
      <c r="C7526" s="84">
        <v>0.42</v>
      </c>
      <c r="D7526" s="84">
        <v>0.0</v>
      </c>
      <c r="E7526" s="84">
        <v>0.0</v>
      </c>
      <c r="F7526" s="76" t="s">
        <v>950</v>
      </c>
      <c r="G7526" s="83">
        <v>46117.0</v>
      </c>
      <c r="H7526" s="76" t="s">
        <v>971</v>
      </c>
    </row>
    <row r="7527">
      <c r="A7527" s="76" t="s">
        <v>970</v>
      </c>
      <c r="B7527" s="76" t="s">
        <v>1029</v>
      </c>
      <c r="C7527" s="84">
        <v>0.04</v>
      </c>
      <c r="D7527" s="84">
        <v>0.0</v>
      </c>
      <c r="E7527" s="84">
        <v>0.0</v>
      </c>
      <c r="F7527" s="76" t="s">
        <v>950</v>
      </c>
      <c r="G7527" s="83">
        <v>46117.0</v>
      </c>
      <c r="H7527" s="76" t="s">
        <v>972</v>
      </c>
    </row>
    <row r="7528">
      <c r="A7528" s="76" t="s">
        <v>970</v>
      </c>
      <c r="B7528" s="76" t="s">
        <v>1029</v>
      </c>
      <c r="C7528" s="84">
        <v>2.86</v>
      </c>
      <c r="D7528" s="84">
        <v>1.0</v>
      </c>
      <c r="E7528" s="84">
        <v>2.86</v>
      </c>
      <c r="F7528" s="76" t="s">
        <v>950</v>
      </c>
      <c r="G7528" s="83">
        <v>46117.0</v>
      </c>
      <c r="H7528" s="76" t="s">
        <v>973</v>
      </c>
    </row>
    <row r="7529">
      <c r="A7529" s="76" t="s">
        <v>43</v>
      </c>
      <c r="B7529" s="76" t="s">
        <v>1029</v>
      </c>
      <c r="C7529" s="84">
        <v>0.42</v>
      </c>
      <c r="D7529" s="84">
        <v>0.0</v>
      </c>
      <c r="E7529" s="84">
        <v>0.0</v>
      </c>
      <c r="F7529" s="76" t="s">
        <v>950</v>
      </c>
      <c r="G7529" s="83">
        <v>46117.0</v>
      </c>
      <c r="H7529" s="76" t="s">
        <v>963</v>
      </c>
    </row>
    <row r="7530">
      <c r="A7530" s="76" t="s">
        <v>43</v>
      </c>
      <c r="B7530" s="76" t="s">
        <v>1029</v>
      </c>
      <c r="C7530" s="84">
        <v>0.49</v>
      </c>
      <c r="D7530" s="84">
        <v>0.0</v>
      </c>
      <c r="E7530" s="84">
        <v>0.0</v>
      </c>
      <c r="F7530" s="76" t="s">
        <v>950</v>
      </c>
      <c r="G7530" s="83">
        <v>46117.0</v>
      </c>
      <c r="H7530" s="76" t="s">
        <v>964</v>
      </c>
    </row>
    <row r="7531">
      <c r="A7531" s="76" t="s">
        <v>43</v>
      </c>
      <c r="B7531" s="76" t="s">
        <v>1029</v>
      </c>
      <c r="C7531" s="84">
        <v>1.11</v>
      </c>
      <c r="D7531" s="84">
        <v>1.0</v>
      </c>
      <c r="E7531" s="84">
        <v>1.11</v>
      </c>
      <c r="F7531" s="76" t="s">
        <v>950</v>
      </c>
      <c r="G7531" s="83">
        <v>46117.0</v>
      </c>
      <c r="H7531" s="76" t="s">
        <v>965</v>
      </c>
    </row>
    <row r="7532">
      <c r="A7532" s="76" t="s">
        <v>966</v>
      </c>
      <c r="B7532" s="76" t="s">
        <v>1029</v>
      </c>
      <c r="C7532" s="84">
        <v>2.31</v>
      </c>
      <c r="D7532" s="84">
        <v>1.0</v>
      </c>
      <c r="E7532" s="84">
        <v>2.31</v>
      </c>
      <c r="F7532" s="76" t="s">
        <v>950</v>
      </c>
      <c r="G7532" s="83">
        <v>46117.0</v>
      </c>
      <c r="H7532" s="76" t="s">
        <v>967</v>
      </c>
    </row>
    <row r="7533">
      <c r="A7533" s="76" t="s">
        <v>966</v>
      </c>
      <c r="B7533" s="76" t="s">
        <v>1029</v>
      </c>
      <c r="C7533" s="84">
        <v>0.11</v>
      </c>
      <c r="D7533" s="84">
        <v>0.0</v>
      </c>
      <c r="E7533" s="84">
        <v>0.0</v>
      </c>
      <c r="F7533" s="76" t="s">
        <v>950</v>
      </c>
      <c r="G7533" s="83">
        <v>46117.0</v>
      </c>
      <c r="H7533" s="76" t="s">
        <v>968</v>
      </c>
    </row>
    <row r="7534">
      <c r="A7534" s="76" t="s">
        <v>966</v>
      </c>
      <c r="B7534" s="76" t="s">
        <v>1029</v>
      </c>
      <c r="C7534" s="84">
        <v>0.48</v>
      </c>
      <c r="D7534" s="84">
        <v>0.0</v>
      </c>
      <c r="E7534" s="84">
        <v>0.0</v>
      </c>
      <c r="F7534" s="76" t="s">
        <v>950</v>
      </c>
      <c r="G7534" s="83">
        <v>46117.0</v>
      </c>
      <c r="H7534" s="76" t="s">
        <v>969</v>
      </c>
    </row>
    <row r="7535">
      <c r="A7535" s="76" t="s">
        <v>36</v>
      </c>
      <c r="B7535" s="76" t="s">
        <v>1029</v>
      </c>
      <c r="C7535" s="84">
        <v>0.97</v>
      </c>
      <c r="D7535" s="84">
        <v>0.0</v>
      </c>
      <c r="E7535" s="84">
        <v>0.0</v>
      </c>
      <c r="F7535" s="76" t="s">
        <v>950</v>
      </c>
      <c r="G7535" s="83">
        <v>46117.0</v>
      </c>
      <c r="H7535" s="76" t="s">
        <v>926</v>
      </c>
    </row>
    <row r="7536">
      <c r="A7536" s="76" t="s">
        <v>36</v>
      </c>
      <c r="B7536" s="76" t="s">
        <v>1029</v>
      </c>
      <c r="C7536" s="84">
        <v>0.16</v>
      </c>
      <c r="D7536" s="84">
        <v>0.0</v>
      </c>
      <c r="E7536" s="84">
        <v>0.0</v>
      </c>
      <c r="F7536" s="76" t="s">
        <v>950</v>
      </c>
      <c r="G7536" s="83">
        <v>46117.0</v>
      </c>
      <c r="H7536" s="76" t="s">
        <v>927</v>
      </c>
    </row>
    <row r="7537">
      <c r="A7537" s="76" t="s">
        <v>36</v>
      </c>
      <c r="B7537" s="76" t="s">
        <v>1029</v>
      </c>
      <c r="C7537" s="84">
        <v>0.18</v>
      </c>
      <c r="D7537" s="84">
        <v>0.0</v>
      </c>
      <c r="E7537" s="84">
        <v>0.0</v>
      </c>
      <c r="F7537" s="76" t="s">
        <v>950</v>
      </c>
      <c r="G7537" s="83">
        <v>46117.0</v>
      </c>
      <c r="H7537" s="76" t="s">
        <v>928</v>
      </c>
    </row>
    <row r="7538">
      <c r="A7538" s="76" t="s">
        <v>40</v>
      </c>
      <c r="B7538" s="76" t="s">
        <v>1029</v>
      </c>
      <c r="C7538" s="84">
        <v>0.29</v>
      </c>
      <c r="D7538" s="84">
        <v>0.0</v>
      </c>
      <c r="E7538" s="84">
        <v>0.0</v>
      </c>
      <c r="F7538" s="76" t="s">
        <v>950</v>
      </c>
      <c r="G7538" s="83">
        <v>46117.0</v>
      </c>
      <c r="H7538" s="76" t="s">
        <v>954</v>
      </c>
    </row>
    <row r="7539">
      <c r="A7539" s="76" t="s">
        <v>40</v>
      </c>
      <c r="B7539" s="76" t="s">
        <v>1029</v>
      </c>
      <c r="C7539" s="84">
        <v>0.01</v>
      </c>
      <c r="D7539" s="84">
        <v>0.0</v>
      </c>
      <c r="E7539" s="84">
        <v>0.0</v>
      </c>
      <c r="F7539" s="76" t="s">
        <v>950</v>
      </c>
      <c r="G7539" s="83">
        <v>46117.0</v>
      </c>
      <c r="H7539" s="76" t="s">
        <v>955</v>
      </c>
    </row>
    <row r="7540">
      <c r="A7540" s="76" t="s">
        <v>40</v>
      </c>
      <c r="B7540" s="76" t="s">
        <v>1029</v>
      </c>
      <c r="C7540" s="84">
        <v>0.92</v>
      </c>
      <c r="D7540" s="84">
        <v>1.0</v>
      </c>
      <c r="E7540" s="84">
        <v>0.92</v>
      </c>
      <c r="F7540" s="76" t="s">
        <v>950</v>
      </c>
      <c r="G7540" s="83">
        <v>46117.0</v>
      </c>
      <c r="H7540" s="76" t="s">
        <v>956</v>
      </c>
    </row>
    <row r="7541">
      <c r="A7541" s="76" t="s">
        <v>966</v>
      </c>
      <c r="B7541" s="76" t="s">
        <v>1029</v>
      </c>
      <c r="C7541" s="84">
        <v>0.58</v>
      </c>
      <c r="D7541" s="84">
        <v>0.0</v>
      </c>
      <c r="E7541" s="84">
        <v>0.0</v>
      </c>
      <c r="F7541" s="76" t="s">
        <v>974</v>
      </c>
      <c r="G7541" s="83">
        <v>46117.0</v>
      </c>
      <c r="H7541" s="76" t="s">
        <v>967</v>
      </c>
    </row>
    <row r="7542">
      <c r="A7542" s="76" t="s">
        <v>966</v>
      </c>
      <c r="B7542" s="76" t="s">
        <v>1029</v>
      </c>
      <c r="C7542" s="84">
        <v>0.02</v>
      </c>
      <c r="D7542" s="84">
        <v>0.0</v>
      </c>
      <c r="E7542" s="84">
        <v>0.0</v>
      </c>
      <c r="F7542" s="76" t="s">
        <v>974</v>
      </c>
      <c r="G7542" s="83">
        <v>46117.0</v>
      </c>
      <c r="H7542" s="76" t="s">
        <v>968</v>
      </c>
    </row>
    <row r="7543">
      <c r="A7543" s="76" t="s">
        <v>966</v>
      </c>
      <c r="B7543" s="76" t="s">
        <v>1029</v>
      </c>
      <c r="C7543" s="84">
        <v>0.46</v>
      </c>
      <c r="D7543" s="84">
        <v>0.0</v>
      </c>
      <c r="E7543" s="84">
        <v>0.0</v>
      </c>
      <c r="F7543" s="76" t="s">
        <v>974</v>
      </c>
      <c r="G7543" s="83">
        <v>46117.0</v>
      </c>
      <c r="H7543" s="76" t="s">
        <v>969</v>
      </c>
    </row>
    <row r="7544">
      <c r="A7544" s="76" t="s">
        <v>43</v>
      </c>
      <c r="B7544" s="76" t="s">
        <v>1029</v>
      </c>
      <c r="C7544" s="84">
        <v>0.66</v>
      </c>
      <c r="D7544" s="84">
        <v>0.0</v>
      </c>
      <c r="E7544" s="84">
        <v>0.0</v>
      </c>
      <c r="F7544" s="76" t="s">
        <v>974</v>
      </c>
      <c r="G7544" s="83">
        <v>46117.0</v>
      </c>
      <c r="H7544" s="76" t="s">
        <v>963</v>
      </c>
    </row>
    <row r="7545">
      <c r="A7545" s="76" t="s">
        <v>43</v>
      </c>
      <c r="B7545" s="76" t="s">
        <v>1029</v>
      </c>
      <c r="C7545" s="84">
        <v>0.15</v>
      </c>
      <c r="D7545" s="84">
        <v>0.0</v>
      </c>
      <c r="E7545" s="84">
        <v>0.0</v>
      </c>
      <c r="F7545" s="76" t="s">
        <v>974</v>
      </c>
      <c r="G7545" s="83">
        <v>46117.0</v>
      </c>
      <c r="H7545" s="76" t="s">
        <v>964</v>
      </c>
    </row>
    <row r="7546">
      <c r="A7546" s="76" t="s">
        <v>43</v>
      </c>
      <c r="B7546" s="76" t="s">
        <v>1029</v>
      </c>
      <c r="C7546" s="84">
        <v>0.67</v>
      </c>
      <c r="D7546" s="84">
        <v>0.0</v>
      </c>
      <c r="E7546" s="84">
        <v>0.0</v>
      </c>
      <c r="F7546" s="76" t="s">
        <v>974</v>
      </c>
      <c r="G7546" s="83">
        <v>46117.0</v>
      </c>
      <c r="H7546" s="76" t="s">
        <v>965</v>
      </c>
    </row>
    <row r="7547">
      <c r="A7547" s="76" t="s">
        <v>36</v>
      </c>
      <c r="B7547" s="76" t="s">
        <v>1029</v>
      </c>
      <c r="C7547" s="84">
        <v>0.41</v>
      </c>
      <c r="D7547" s="84">
        <v>0.0</v>
      </c>
      <c r="E7547" s="84">
        <v>0.0</v>
      </c>
      <c r="F7547" s="76" t="s">
        <v>974</v>
      </c>
      <c r="G7547" s="83">
        <v>46117.0</v>
      </c>
      <c r="H7547" s="76" t="s">
        <v>926</v>
      </c>
    </row>
    <row r="7548">
      <c r="A7548" s="76" t="s">
        <v>36</v>
      </c>
      <c r="B7548" s="76" t="s">
        <v>1029</v>
      </c>
      <c r="C7548" s="84">
        <v>0.05</v>
      </c>
      <c r="D7548" s="84">
        <v>0.0</v>
      </c>
      <c r="E7548" s="84">
        <v>0.0</v>
      </c>
      <c r="F7548" s="76" t="s">
        <v>974</v>
      </c>
      <c r="G7548" s="83">
        <v>46117.0</v>
      </c>
      <c r="H7548" s="76" t="s">
        <v>927</v>
      </c>
    </row>
    <row r="7549">
      <c r="A7549" s="76" t="s">
        <v>36</v>
      </c>
      <c r="B7549" s="76" t="s">
        <v>1029</v>
      </c>
      <c r="C7549" s="84">
        <v>0.06</v>
      </c>
      <c r="D7549" s="84">
        <v>0.0</v>
      </c>
      <c r="E7549" s="84">
        <v>0.0</v>
      </c>
      <c r="F7549" s="76" t="s">
        <v>974</v>
      </c>
      <c r="G7549" s="83">
        <v>46117.0</v>
      </c>
      <c r="H7549" s="76" t="s">
        <v>928</v>
      </c>
    </row>
    <row r="7550">
      <c r="A7550" s="76" t="s">
        <v>33</v>
      </c>
      <c r="B7550" s="76" t="s">
        <v>1029</v>
      </c>
      <c r="C7550" s="84">
        <v>3.56</v>
      </c>
      <c r="D7550" s="84">
        <v>1.0</v>
      </c>
      <c r="E7550" s="84">
        <v>3.56</v>
      </c>
      <c r="F7550" s="76" t="s">
        <v>974</v>
      </c>
      <c r="G7550" s="83">
        <v>46117.0</v>
      </c>
      <c r="H7550" s="76" t="s">
        <v>957</v>
      </c>
    </row>
    <row r="7551">
      <c r="A7551" s="76" t="s">
        <v>33</v>
      </c>
      <c r="B7551" s="76" t="s">
        <v>1029</v>
      </c>
      <c r="C7551" s="84">
        <v>0.33</v>
      </c>
      <c r="D7551" s="84">
        <v>0.0</v>
      </c>
      <c r="E7551" s="84">
        <v>0.0</v>
      </c>
      <c r="F7551" s="76" t="s">
        <v>974</v>
      </c>
      <c r="G7551" s="83">
        <v>46117.0</v>
      </c>
      <c r="H7551" s="76" t="s">
        <v>958</v>
      </c>
    </row>
    <row r="7552">
      <c r="A7552" s="76" t="s">
        <v>33</v>
      </c>
      <c r="B7552" s="76" t="s">
        <v>1029</v>
      </c>
      <c r="C7552" s="84">
        <v>0.43</v>
      </c>
      <c r="D7552" s="84">
        <v>0.0</v>
      </c>
      <c r="E7552" s="84">
        <v>0.0</v>
      </c>
      <c r="F7552" s="76" t="s">
        <v>974</v>
      </c>
      <c r="G7552" s="83">
        <v>46117.0</v>
      </c>
      <c r="H7552" s="76" t="s">
        <v>959</v>
      </c>
    </row>
    <row r="7553">
      <c r="A7553" s="76" t="s">
        <v>29</v>
      </c>
      <c r="B7553" s="76" t="s">
        <v>1029</v>
      </c>
      <c r="C7553" s="84">
        <v>0.57</v>
      </c>
      <c r="D7553" s="84">
        <v>0.0</v>
      </c>
      <c r="E7553" s="84">
        <v>0.0</v>
      </c>
      <c r="F7553" s="76" t="s">
        <v>974</v>
      </c>
      <c r="G7553" s="83">
        <v>46117.0</v>
      </c>
      <c r="H7553" s="76" t="s">
        <v>971</v>
      </c>
    </row>
    <row r="7554">
      <c r="A7554" s="76" t="s">
        <v>29</v>
      </c>
      <c r="B7554" s="76" t="s">
        <v>1029</v>
      </c>
      <c r="C7554" s="84">
        <v>0.16</v>
      </c>
      <c r="D7554" s="84">
        <v>0.0</v>
      </c>
      <c r="E7554" s="84">
        <v>0.0</v>
      </c>
      <c r="F7554" s="76" t="s">
        <v>974</v>
      </c>
      <c r="G7554" s="83">
        <v>46117.0</v>
      </c>
      <c r="H7554" s="76" t="s">
        <v>972</v>
      </c>
    </row>
    <row r="7555">
      <c r="A7555" s="76" t="s">
        <v>29</v>
      </c>
      <c r="B7555" s="76" t="s">
        <v>1029</v>
      </c>
      <c r="C7555" s="84">
        <v>1.37</v>
      </c>
      <c r="D7555" s="84">
        <v>0.0</v>
      </c>
      <c r="E7555" s="84">
        <v>0.0</v>
      </c>
      <c r="F7555" s="76" t="s">
        <v>974</v>
      </c>
      <c r="G7555" s="83">
        <v>46117.0</v>
      </c>
      <c r="H7555" s="76" t="s">
        <v>973</v>
      </c>
    </row>
    <row r="7556">
      <c r="A7556" s="76" t="s">
        <v>46</v>
      </c>
      <c r="B7556" s="76" t="s">
        <v>1029</v>
      </c>
      <c r="C7556" s="84">
        <v>0.01</v>
      </c>
      <c r="D7556" s="84">
        <v>0.0</v>
      </c>
      <c r="E7556" s="84">
        <v>0.0</v>
      </c>
      <c r="F7556" s="76" t="s">
        <v>974</v>
      </c>
      <c r="G7556" s="83">
        <v>46117.0</v>
      </c>
      <c r="H7556" s="76" t="s">
        <v>960</v>
      </c>
    </row>
    <row r="7557">
      <c r="A7557" s="76" t="s">
        <v>46</v>
      </c>
      <c r="B7557" s="76" t="s">
        <v>1029</v>
      </c>
      <c r="C7557" s="84">
        <v>0.03</v>
      </c>
      <c r="D7557" s="84">
        <v>0.0</v>
      </c>
      <c r="E7557" s="84">
        <v>0.0</v>
      </c>
      <c r="F7557" s="76" t="s">
        <v>974</v>
      </c>
      <c r="G7557" s="83">
        <v>46117.0</v>
      </c>
      <c r="H7557" s="76" t="s">
        <v>961</v>
      </c>
    </row>
    <row r="7558">
      <c r="A7558" s="76" t="s">
        <v>46</v>
      </c>
      <c r="B7558" s="76" t="s">
        <v>1029</v>
      </c>
      <c r="C7558" s="84">
        <v>0.03</v>
      </c>
      <c r="D7558" s="84">
        <v>0.0</v>
      </c>
      <c r="E7558" s="84">
        <v>0.0</v>
      </c>
      <c r="F7558" s="76" t="s">
        <v>974</v>
      </c>
      <c r="G7558" s="83">
        <v>46117.0</v>
      </c>
      <c r="H7558" s="76" t="s">
        <v>962</v>
      </c>
    </row>
    <row r="7559">
      <c r="A7559" s="76" t="s">
        <v>34</v>
      </c>
      <c r="B7559" s="76" t="s">
        <v>1029</v>
      </c>
      <c r="C7559" s="84">
        <v>0.24</v>
      </c>
      <c r="D7559" s="84">
        <v>0.0</v>
      </c>
      <c r="E7559" s="84">
        <v>0.0</v>
      </c>
      <c r="F7559" s="76" t="s">
        <v>974</v>
      </c>
      <c r="G7559" s="83">
        <v>46117.0</v>
      </c>
      <c r="H7559" s="76" t="s">
        <v>951</v>
      </c>
    </row>
    <row r="7560">
      <c r="A7560" s="76" t="s">
        <v>34</v>
      </c>
      <c r="B7560" s="76" t="s">
        <v>1029</v>
      </c>
      <c r="C7560" s="84">
        <v>0.21</v>
      </c>
      <c r="D7560" s="84">
        <v>1.0</v>
      </c>
      <c r="E7560" s="84">
        <v>0.21</v>
      </c>
      <c r="F7560" s="76" t="s">
        <v>974</v>
      </c>
      <c r="G7560" s="83">
        <v>46117.0</v>
      </c>
      <c r="H7560" s="76" t="s">
        <v>952</v>
      </c>
    </row>
    <row r="7561">
      <c r="A7561" s="76" t="s">
        <v>34</v>
      </c>
      <c r="B7561" s="76" t="s">
        <v>1029</v>
      </c>
      <c r="C7561" s="84">
        <v>0.16</v>
      </c>
      <c r="D7561" s="84">
        <v>0.0</v>
      </c>
      <c r="E7561" s="84">
        <v>0.0</v>
      </c>
      <c r="F7561" s="76" t="s">
        <v>974</v>
      </c>
      <c r="G7561" s="83">
        <v>46117.0</v>
      </c>
      <c r="H7561" s="76" t="s">
        <v>953</v>
      </c>
    </row>
    <row r="7562">
      <c r="A7562" s="76" t="s">
        <v>970</v>
      </c>
      <c r="B7562" s="76" t="s">
        <v>1029</v>
      </c>
      <c r="C7562" s="84">
        <v>0.61</v>
      </c>
      <c r="D7562" s="84">
        <v>0.0</v>
      </c>
      <c r="E7562" s="84">
        <v>0.0</v>
      </c>
      <c r="F7562" s="76" t="s">
        <v>974</v>
      </c>
      <c r="G7562" s="83">
        <v>46117.0</v>
      </c>
      <c r="H7562" s="76" t="s">
        <v>971</v>
      </c>
    </row>
    <row r="7563">
      <c r="A7563" s="76" t="s">
        <v>970</v>
      </c>
      <c r="B7563" s="76" t="s">
        <v>1029</v>
      </c>
      <c r="C7563" s="84">
        <v>0.26</v>
      </c>
      <c r="D7563" s="84">
        <v>0.0</v>
      </c>
      <c r="E7563" s="84">
        <v>0.0</v>
      </c>
      <c r="F7563" s="76" t="s">
        <v>974</v>
      </c>
      <c r="G7563" s="83">
        <v>46117.0</v>
      </c>
      <c r="H7563" s="76" t="s">
        <v>972</v>
      </c>
    </row>
    <row r="7564">
      <c r="A7564" s="76" t="s">
        <v>970</v>
      </c>
      <c r="B7564" s="76" t="s">
        <v>1029</v>
      </c>
      <c r="C7564" s="84">
        <v>2.43</v>
      </c>
      <c r="D7564" s="84">
        <v>0.0</v>
      </c>
      <c r="E7564" s="84">
        <v>0.0</v>
      </c>
      <c r="F7564" s="76" t="s">
        <v>974</v>
      </c>
      <c r="G7564" s="83">
        <v>46117.0</v>
      </c>
      <c r="H7564" s="76" t="s">
        <v>973</v>
      </c>
    </row>
    <row r="7565">
      <c r="A7565" s="76" t="s">
        <v>40</v>
      </c>
      <c r="B7565" s="76" t="s">
        <v>1029</v>
      </c>
      <c r="C7565" s="84">
        <v>0.04</v>
      </c>
      <c r="D7565" s="84">
        <v>0.0</v>
      </c>
      <c r="E7565" s="84">
        <v>0.0</v>
      </c>
      <c r="F7565" s="76" t="s">
        <v>974</v>
      </c>
      <c r="G7565" s="83">
        <v>46117.0</v>
      </c>
      <c r="H7565" s="76" t="s">
        <v>954</v>
      </c>
    </row>
    <row r="7566">
      <c r="A7566" s="76" t="s">
        <v>40</v>
      </c>
      <c r="B7566" s="76" t="s">
        <v>1029</v>
      </c>
      <c r="C7566" s="84">
        <v>0.0</v>
      </c>
      <c r="D7566" s="84">
        <v>0.0</v>
      </c>
      <c r="E7566" s="84">
        <v>0.0</v>
      </c>
      <c r="F7566" s="76" t="s">
        <v>974</v>
      </c>
      <c r="G7566" s="83">
        <v>46117.0</v>
      </c>
      <c r="H7566" s="76" t="s">
        <v>955</v>
      </c>
    </row>
    <row r="7567">
      <c r="A7567" s="76" t="s">
        <v>40</v>
      </c>
      <c r="B7567" s="76" t="s">
        <v>1029</v>
      </c>
      <c r="C7567" s="84">
        <v>1.1</v>
      </c>
      <c r="D7567" s="84">
        <v>0.0</v>
      </c>
      <c r="E7567" s="84">
        <v>0.0</v>
      </c>
      <c r="F7567" s="76" t="s">
        <v>974</v>
      </c>
      <c r="G7567" s="83">
        <v>46117.0</v>
      </c>
      <c r="H7567" s="76" t="s">
        <v>956</v>
      </c>
    </row>
    <row r="7568">
      <c r="A7568" s="76" t="s">
        <v>29</v>
      </c>
      <c r="B7568" s="76" t="s">
        <v>1029</v>
      </c>
      <c r="C7568" s="84">
        <v>3.22</v>
      </c>
      <c r="D7568" s="84">
        <v>1.0</v>
      </c>
      <c r="E7568" s="84">
        <v>3.22</v>
      </c>
      <c r="F7568" s="76" t="s">
        <v>975</v>
      </c>
      <c r="G7568" s="83">
        <v>46117.0</v>
      </c>
      <c r="H7568" s="76" t="s">
        <v>971</v>
      </c>
    </row>
    <row r="7569">
      <c r="A7569" s="76" t="s">
        <v>29</v>
      </c>
      <c r="B7569" s="76" t="s">
        <v>1029</v>
      </c>
      <c r="C7569" s="84">
        <v>0.54</v>
      </c>
      <c r="D7569" s="84">
        <v>0.0</v>
      </c>
      <c r="E7569" s="84">
        <v>0.0</v>
      </c>
      <c r="F7569" s="76" t="s">
        <v>975</v>
      </c>
      <c r="G7569" s="83">
        <v>46117.0</v>
      </c>
      <c r="H7569" s="76" t="s">
        <v>972</v>
      </c>
    </row>
    <row r="7570">
      <c r="A7570" s="76" t="s">
        <v>29</v>
      </c>
      <c r="B7570" s="76" t="s">
        <v>1029</v>
      </c>
      <c r="C7570" s="84">
        <v>11.23</v>
      </c>
      <c r="D7570" s="84">
        <v>1.0</v>
      </c>
      <c r="E7570" s="84">
        <v>11.23</v>
      </c>
      <c r="F7570" s="76" t="s">
        <v>975</v>
      </c>
      <c r="G7570" s="83">
        <v>46117.0</v>
      </c>
      <c r="H7570" s="76" t="s">
        <v>973</v>
      </c>
    </row>
    <row r="7571">
      <c r="A7571" s="76" t="s">
        <v>46</v>
      </c>
      <c r="B7571" s="76" t="s">
        <v>1029</v>
      </c>
      <c r="C7571" s="84">
        <v>2.62</v>
      </c>
      <c r="D7571" s="84">
        <v>0.0</v>
      </c>
      <c r="E7571" s="84">
        <v>0.0</v>
      </c>
      <c r="F7571" s="76" t="s">
        <v>975</v>
      </c>
      <c r="G7571" s="83">
        <v>46117.0</v>
      </c>
      <c r="H7571" s="76" t="s">
        <v>960</v>
      </c>
    </row>
    <row r="7572">
      <c r="A7572" s="76" t="s">
        <v>46</v>
      </c>
      <c r="B7572" s="76" t="s">
        <v>1029</v>
      </c>
      <c r="C7572" s="84">
        <v>0.38</v>
      </c>
      <c r="D7572" s="84">
        <v>0.0</v>
      </c>
      <c r="E7572" s="84">
        <v>0.0</v>
      </c>
      <c r="F7572" s="76" t="s">
        <v>975</v>
      </c>
      <c r="G7572" s="83">
        <v>46117.0</v>
      </c>
      <c r="H7572" s="76" t="s">
        <v>961</v>
      </c>
    </row>
    <row r="7573">
      <c r="A7573" s="76" t="s">
        <v>46</v>
      </c>
      <c r="B7573" s="76" t="s">
        <v>1029</v>
      </c>
      <c r="C7573" s="84">
        <v>1.14</v>
      </c>
      <c r="D7573" s="84">
        <v>0.0</v>
      </c>
      <c r="E7573" s="84">
        <v>0.0</v>
      </c>
      <c r="F7573" s="76" t="s">
        <v>975</v>
      </c>
      <c r="G7573" s="83">
        <v>46117.0</v>
      </c>
      <c r="H7573" s="76" t="s">
        <v>962</v>
      </c>
    </row>
    <row r="7574">
      <c r="A7574" s="76" t="s">
        <v>36</v>
      </c>
      <c r="B7574" s="76" t="s">
        <v>1029</v>
      </c>
      <c r="C7574" s="84">
        <v>1.43</v>
      </c>
      <c r="D7574" s="84">
        <v>0.0</v>
      </c>
      <c r="E7574" s="84">
        <v>0.0</v>
      </c>
      <c r="F7574" s="76" t="s">
        <v>975</v>
      </c>
      <c r="G7574" s="83">
        <v>46117.0</v>
      </c>
      <c r="H7574" s="76" t="s">
        <v>926</v>
      </c>
    </row>
    <row r="7575">
      <c r="A7575" s="76" t="s">
        <v>36</v>
      </c>
      <c r="B7575" s="76" t="s">
        <v>1029</v>
      </c>
      <c r="C7575" s="84">
        <v>0.32</v>
      </c>
      <c r="D7575" s="84">
        <v>0.0</v>
      </c>
      <c r="E7575" s="84">
        <v>0.0</v>
      </c>
      <c r="F7575" s="76" t="s">
        <v>975</v>
      </c>
      <c r="G7575" s="83">
        <v>46117.0</v>
      </c>
      <c r="H7575" s="76" t="s">
        <v>927</v>
      </c>
    </row>
    <row r="7576">
      <c r="A7576" s="76" t="s">
        <v>36</v>
      </c>
      <c r="B7576" s="76" t="s">
        <v>1029</v>
      </c>
      <c r="C7576" s="84">
        <v>1.6</v>
      </c>
      <c r="D7576" s="84">
        <v>0.0</v>
      </c>
      <c r="E7576" s="84">
        <v>0.0</v>
      </c>
      <c r="F7576" s="76" t="s">
        <v>975</v>
      </c>
      <c r="G7576" s="83">
        <v>46117.0</v>
      </c>
      <c r="H7576" s="76" t="s">
        <v>928</v>
      </c>
    </row>
    <row r="7577">
      <c r="A7577" s="76" t="s">
        <v>43</v>
      </c>
      <c r="B7577" s="76" t="s">
        <v>1029</v>
      </c>
      <c r="C7577" s="84">
        <v>1.37</v>
      </c>
      <c r="D7577" s="84">
        <v>0.0</v>
      </c>
      <c r="E7577" s="84">
        <v>0.0</v>
      </c>
      <c r="F7577" s="76" t="s">
        <v>975</v>
      </c>
      <c r="G7577" s="83">
        <v>46117.0</v>
      </c>
      <c r="H7577" s="76" t="s">
        <v>963</v>
      </c>
    </row>
    <row r="7578">
      <c r="A7578" s="76" t="s">
        <v>43</v>
      </c>
      <c r="B7578" s="76" t="s">
        <v>1029</v>
      </c>
      <c r="C7578" s="84">
        <v>2.02</v>
      </c>
      <c r="D7578" s="84">
        <v>0.0</v>
      </c>
      <c r="E7578" s="84">
        <v>0.0</v>
      </c>
      <c r="F7578" s="76" t="s">
        <v>975</v>
      </c>
      <c r="G7578" s="83">
        <v>46117.0</v>
      </c>
      <c r="H7578" s="76" t="s">
        <v>964</v>
      </c>
    </row>
    <row r="7579">
      <c r="A7579" s="76" t="s">
        <v>43</v>
      </c>
      <c r="B7579" s="76" t="s">
        <v>1029</v>
      </c>
      <c r="C7579" s="84">
        <v>5.44</v>
      </c>
      <c r="D7579" s="84">
        <v>1.0</v>
      </c>
      <c r="E7579" s="84">
        <v>5.44</v>
      </c>
      <c r="F7579" s="76" t="s">
        <v>975</v>
      </c>
      <c r="G7579" s="83">
        <v>46117.0</v>
      </c>
      <c r="H7579" s="76" t="s">
        <v>965</v>
      </c>
    </row>
    <row r="7580">
      <c r="A7580" s="76" t="s">
        <v>34</v>
      </c>
      <c r="B7580" s="76" t="s">
        <v>1029</v>
      </c>
      <c r="C7580" s="84">
        <v>0.54</v>
      </c>
      <c r="D7580" s="84">
        <v>0.0</v>
      </c>
      <c r="E7580" s="84">
        <v>0.0</v>
      </c>
      <c r="F7580" s="76" t="s">
        <v>975</v>
      </c>
      <c r="G7580" s="83">
        <v>46117.0</v>
      </c>
      <c r="H7580" s="76" t="s">
        <v>951</v>
      </c>
    </row>
    <row r="7581">
      <c r="A7581" s="76" t="s">
        <v>34</v>
      </c>
      <c r="B7581" s="76" t="s">
        <v>1029</v>
      </c>
      <c r="C7581" s="84">
        <v>1.2</v>
      </c>
      <c r="D7581" s="84">
        <v>0.0</v>
      </c>
      <c r="E7581" s="84">
        <v>0.0</v>
      </c>
      <c r="F7581" s="76" t="s">
        <v>975</v>
      </c>
      <c r="G7581" s="83">
        <v>46117.0</v>
      </c>
      <c r="H7581" s="76" t="s">
        <v>952</v>
      </c>
    </row>
    <row r="7582">
      <c r="A7582" s="76" t="s">
        <v>34</v>
      </c>
      <c r="B7582" s="76" t="s">
        <v>1029</v>
      </c>
      <c r="C7582" s="84">
        <v>0.56</v>
      </c>
      <c r="D7582" s="84">
        <v>0.0</v>
      </c>
      <c r="E7582" s="84">
        <v>0.0</v>
      </c>
      <c r="F7582" s="76" t="s">
        <v>975</v>
      </c>
      <c r="G7582" s="83">
        <v>46117.0</v>
      </c>
      <c r="H7582" s="76" t="s">
        <v>953</v>
      </c>
    </row>
    <row r="7583">
      <c r="A7583" s="76" t="s">
        <v>40</v>
      </c>
      <c r="B7583" s="76" t="s">
        <v>1029</v>
      </c>
      <c r="C7583" s="84">
        <v>0.98</v>
      </c>
      <c r="D7583" s="84">
        <v>0.0</v>
      </c>
      <c r="E7583" s="84">
        <v>0.0</v>
      </c>
      <c r="F7583" s="76" t="s">
        <v>975</v>
      </c>
      <c r="G7583" s="83">
        <v>46117.0</v>
      </c>
      <c r="H7583" s="76" t="s">
        <v>954</v>
      </c>
    </row>
    <row r="7584">
      <c r="A7584" s="76" t="s">
        <v>40</v>
      </c>
      <c r="B7584" s="76" t="s">
        <v>1029</v>
      </c>
      <c r="C7584" s="84">
        <v>0.23</v>
      </c>
      <c r="D7584" s="84">
        <v>0.0</v>
      </c>
      <c r="E7584" s="84">
        <v>0.0</v>
      </c>
      <c r="F7584" s="76" t="s">
        <v>975</v>
      </c>
      <c r="G7584" s="83">
        <v>46117.0</v>
      </c>
      <c r="H7584" s="76" t="s">
        <v>955</v>
      </c>
    </row>
    <row r="7585">
      <c r="A7585" s="76" t="s">
        <v>40</v>
      </c>
      <c r="B7585" s="76" t="s">
        <v>1029</v>
      </c>
      <c r="C7585" s="84">
        <v>5.86</v>
      </c>
      <c r="D7585" s="84">
        <v>0.0</v>
      </c>
      <c r="E7585" s="84">
        <v>0.0</v>
      </c>
      <c r="F7585" s="76" t="s">
        <v>975</v>
      </c>
      <c r="G7585" s="83">
        <v>46117.0</v>
      </c>
      <c r="H7585" s="76" t="s">
        <v>956</v>
      </c>
    </row>
    <row r="7586">
      <c r="A7586" s="76" t="s">
        <v>970</v>
      </c>
      <c r="B7586" s="76" t="s">
        <v>1029</v>
      </c>
      <c r="C7586" s="84">
        <v>2.81</v>
      </c>
      <c r="D7586" s="84">
        <v>0.0</v>
      </c>
      <c r="E7586" s="84">
        <v>0.0</v>
      </c>
      <c r="F7586" s="76" t="s">
        <v>975</v>
      </c>
      <c r="G7586" s="83">
        <v>46117.0</v>
      </c>
      <c r="H7586" s="76" t="s">
        <v>971</v>
      </c>
    </row>
    <row r="7587">
      <c r="A7587" s="76" t="s">
        <v>970</v>
      </c>
      <c r="B7587" s="76" t="s">
        <v>1029</v>
      </c>
      <c r="C7587" s="84">
        <v>0.62</v>
      </c>
      <c r="D7587" s="84">
        <v>0.0</v>
      </c>
      <c r="E7587" s="84">
        <v>0.0</v>
      </c>
      <c r="F7587" s="76" t="s">
        <v>975</v>
      </c>
      <c r="G7587" s="83">
        <v>46117.0</v>
      </c>
      <c r="H7587" s="76" t="s">
        <v>972</v>
      </c>
    </row>
    <row r="7588">
      <c r="A7588" s="76" t="s">
        <v>970</v>
      </c>
      <c r="B7588" s="76" t="s">
        <v>1029</v>
      </c>
      <c r="C7588" s="84">
        <v>23.91</v>
      </c>
      <c r="D7588" s="84">
        <v>3.0</v>
      </c>
      <c r="E7588" s="84">
        <v>7.97</v>
      </c>
      <c r="F7588" s="76" t="s">
        <v>975</v>
      </c>
      <c r="G7588" s="83">
        <v>46117.0</v>
      </c>
      <c r="H7588" s="76" t="s">
        <v>973</v>
      </c>
    </row>
    <row r="7589">
      <c r="A7589" s="76" t="s">
        <v>966</v>
      </c>
      <c r="B7589" s="76" t="s">
        <v>1029</v>
      </c>
      <c r="C7589" s="84">
        <v>1.31</v>
      </c>
      <c r="D7589" s="84">
        <v>2.0</v>
      </c>
      <c r="E7589" s="84">
        <v>0.65</v>
      </c>
      <c r="F7589" s="76" t="s">
        <v>975</v>
      </c>
      <c r="G7589" s="83">
        <v>46117.0</v>
      </c>
      <c r="H7589" s="76" t="s">
        <v>967</v>
      </c>
    </row>
    <row r="7590">
      <c r="A7590" s="76" t="s">
        <v>966</v>
      </c>
      <c r="B7590" s="76" t="s">
        <v>1029</v>
      </c>
      <c r="C7590" s="84">
        <v>0.28</v>
      </c>
      <c r="D7590" s="84">
        <v>0.0</v>
      </c>
      <c r="E7590" s="84">
        <v>0.0</v>
      </c>
      <c r="F7590" s="76" t="s">
        <v>975</v>
      </c>
      <c r="G7590" s="83">
        <v>46117.0</v>
      </c>
      <c r="H7590" s="76" t="s">
        <v>968</v>
      </c>
    </row>
    <row r="7591">
      <c r="A7591" s="76" t="s">
        <v>966</v>
      </c>
      <c r="B7591" s="76" t="s">
        <v>1029</v>
      </c>
      <c r="C7591" s="84">
        <v>1.61</v>
      </c>
      <c r="D7591" s="84">
        <v>0.0</v>
      </c>
      <c r="E7591" s="84">
        <v>0.0</v>
      </c>
      <c r="F7591" s="76" t="s">
        <v>975</v>
      </c>
      <c r="G7591" s="83">
        <v>46117.0</v>
      </c>
      <c r="H7591" s="76" t="s">
        <v>969</v>
      </c>
    </row>
    <row r="7592">
      <c r="A7592" s="76" t="s">
        <v>33</v>
      </c>
      <c r="B7592" s="76" t="s">
        <v>1029</v>
      </c>
      <c r="C7592" s="84">
        <v>23.09</v>
      </c>
      <c r="D7592" s="84">
        <v>2.0</v>
      </c>
      <c r="E7592" s="84">
        <v>11.54</v>
      </c>
      <c r="F7592" s="76" t="s">
        <v>975</v>
      </c>
      <c r="G7592" s="83">
        <v>46117.0</v>
      </c>
      <c r="H7592" s="76" t="s">
        <v>957</v>
      </c>
    </row>
    <row r="7593">
      <c r="A7593" s="76" t="s">
        <v>33</v>
      </c>
      <c r="B7593" s="76" t="s">
        <v>1029</v>
      </c>
      <c r="C7593" s="84">
        <v>2.58</v>
      </c>
      <c r="D7593" s="84">
        <v>0.0</v>
      </c>
      <c r="E7593" s="84">
        <v>0.0</v>
      </c>
      <c r="F7593" s="76" t="s">
        <v>975</v>
      </c>
      <c r="G7593" s="83">
        <v>46117.0</v>
      </c>
      <c r="H7593" s="76" t="s">
        <v>958</v>
      </c>
    </row>
    <row r="7594">
      <c r="A7594" s="76" t="s">
        <v>33</v>
      </c>
      <c r="B7594" s="76" t="s">
        <v>1029</v>
      </c>
      <c r="C7594" s="84">
        <v>2.9</v>
      </c>
      <c r="D7594" s="84">
        <v>0.0</v>
      </c>
      <c r="E7594" s="84">
        <v>0.0</v>
      </c>
      <c r="F7594" s="76" t="s">
        <v>975</v>
      </c>
      <c r="G7594" s="83">
        <v>46117.0</v>
      </c>
      <c r="H7594" s="76" t="s">
        <v>959</v>
      </c>
    </row>
    <row r="7595">
      <c r="A7595" s="76" t="s">
        <v>36</v>
      </c>
      <c r="B7595" s="76" t="s">
        <v>1036</v>
      </c>
      <c r="C7595" s="84">
        <v>10.55</v>
      </c>
      <c r="D7595" s="84">
        <v>1.0</v>
      </c>
      <c r="E7595" s="84">
        <v>10.55</v>
      </c>
      <c r="F7595" s="76" t="s">
        <v>975</v>
      </c>
      <c r="G7595" s="83">
        <v>46117.0</v>
      </c>
      <c r="H7595" s="76" t="s">
        <v>926</v>
      </c>
    </row>
    <row r="7596">
      <c r="A7596" s="76" t="s">
        <v>36</v>
      </c>
      <c r="B7596" s="76" t="s">
        <v>1036</v>
      </c>
      <c r="C7596" s="84">
        <v>0.33</v>
      </c>
      <c r="D7596" s="84">
        <v>0.0</v>
      </c>
      <c r="E7596" s="84">
        <v>0.0</v>
      </c>
      <c r="F7596" s="76" t="s">
        <v>975</v>
      </c>
      <c r="G7596" s="83">
        <v>46117.0</v>
      </c>
      <c r="H7596" s="76" t="s">
        <v>927</v>
      </c>
    </row>
    <row r="7597">
      <c r="A7597" s="76" t="s">
        <v>36</v>
      </c>
      <c r="B7597" s="76" t="s">
        <v>1036</v>
      </c>
      <c r="C7597" s="84">
        <v>0.35</v>
      </c>
      <c r="D7597" s="84">
        <v>0.0</v>
      </c>
      <c r="E7597" s="84">
        <v>0.0</v>
      </c>
      <c r="F7597" s="76" t="s">
        <v>975</v>
      </c>
      <c r="G7597" s="83">
        <v>46117.0</v>
      </c>
      <c r="H7597" s="76" t="s">
        <v>928</v>
      </c>
    </row>
    <row r="7598">
      <c r="A7598" s="76" t="s">
        <v>50</v>
      </c>
      <c r="B7598" s="76" t="s">
        <v>1036</v>
      </c>
      <c r="C7598" s="84">
        <v>0.3</v>
      </c>
      <c r="D7598" s="84">
        <v>0.0</v>
      </c>
      <c r="E7598" s="84">
        <v>0.0</v>
      </c>
      <c r="F7598" s="76" t="s">
        <v>975</v>
      </c>
      <c r="G7598" s="83">
        <v>46117.0</v>
      </c>
      <c r="H7598" s="76" t="s">
        <v>939</v>
      </c>
    </row>
    <row r="7599">
      <c r="A7599" s="76" t="s">
        <v>50</v>
      </c>
      <c r="B7599" s="76" t="s">
        <v>1036</v>
      </c>
      <c r="C7599" s="84">
        <v>0.48</v>
      </c>
      <c r="D7599" s="84">
        <v>1.0</v>
      </c>
      <c r="E7599" s="84">
        <v>0.48</v>
      </c>
      <c r="F7599" s="76" t="s">
        <v>975</v>
      </c>
      <c r="G7599" s="83">
        <v>46117.0</v>
      </c>
      <c r="H7599" s="76" t="s">
        <v>940</v>
      </c>
    </row>
    <row r="7600">
      <c r="A7600" s="76" t="s">
        <v>944</v>
      </c>
      <c r="B7600" s="76" t="s">
        <v>1036</v>
      </c>
      <c r="C7600" s="84">
        <v>3.16</v>
      </c>
      <c r="D7600" s="84">
        <v>0.0</v>
      </c>
      <c r="E7600" s="84">
        <v>0.0</v>
      </c>
      <c r="F7600" s="76" t="s">
        <v>975</v>
      </c>
      <c r="G7600" s="83">
        <v>46117.0</v>
      </c>
      <c r="H7600" s="76" t="s">
        <v>945</v>
      </c>
    </row>
    <row r="7601">
      <c r="A7601" s="76" t="s">
        <v>944</v>
      </c>
      <c r="B7601" s="76" t="s">
        <v>1036</v>
      </c>
      <c r="C7601" s="84">
        <v>0.22</v>
      </c>
      <c r="D7601" s="84">
        <v>0.0</v>
      </c>
      <c r="E7601" s="84">
        <v>0.0</v>
      </c>
      <c r="F7601" s="76" t="s">
        <v>975</v>
      </c>
      <c r="G7601" s="83">
        <v>46117.0</v>
      </c>
      <c r="H7601" s="76" t="s">
        <v>946</v>
      </c>
    </row>
    <row r="7602">
      <c r="A7602" s="76" t="s">
        <v>944</v>
      </c>
      <c r="B7602" s="76" t="s">
        <v>1036</v>
      </c>
      <c r="C7602" s="84">
        <v>0.41</v>
      </c>
      <c r="D7602" s="84">
        <v>0.0</v>
      </c>
      <c r="E7602" s="84">
        <v>0.0</v>
      </c>
      <c r="F7602" s="76" t="s">
        <v>975</v>
      </c>
      <c r="G7602" s="83">
        <v>46117.0</v>
      </c>
      <c r="H7602" s="76" t="s">
        <v>947</v>
      </c>
    </row>
    <row r="7603">
      <c r="A7603" s="76" t="s">
        <v>26</v>
      </c>
      <c r="B7603" s="76" t="s">
        <v>1036</v>
      </c>
      <c r="C7603" s="84">
        <v>0.26</v>
      </c>
      <c r="D7603" s="84">
        <v>0.0</v>
      </c>
      <c r="E7603" s="84">
        <v>0.0</v>
      </c>
      <c r="F7603" s="76" t="s">
        <v>975</v>
      </c>
      <c r="G7603" s="83">
        <v>46117.0</v>
      </c>
      <c r="H7603" s="76" t="s">
        <v>1012</v>
      </c>
    </row>
    <row r="7604">
      <c r="A7604" s="76" t="s">
        <v>26</v>
      </c>
      <c r="B7604" s="76" t="s">
        <v>1036</v>
      </c>
      <c r="C7604" s="84">
        <v>1.07</v>
      </c>
      <c r="D7604" s="84">
        <v>0.0</v>
      </c>
      <c r="E7604" s="84">
        <v>0.0</v>
      </c>
      <c r="F7604" s="76" t="s">
        <v>975</v>
      </c>
      <c r="G7604" s="83">
        <v>46117.0</v>
      </c>
      <c r="H7604" s="76" t="s">
        <v>1013</v>
      </c>
    </row>
    <row r="7605">
      <c r="A7605" s="76" t="s">
        <v>26</v>
      </c>
      <c r="B7605" s="76" t="s">
        <v>1036</v>
      </c>
      <c r="C7605" s="84">
        <v>1.07</v>
      </c>
      <c r="D7605" s="84">
        <v>0.0</v>
      </c>
      <c r="E7605" s="84">
        <v>0.0</v>
      </c>
      <c r="F7605" s="76" t="s">
        <v>975</v>
      </c>
      <c r="G7605" s="83">
        <v>46117.0</v>
      </c>
      <c r="H7605" s="76" t="s">
        <v>1014</v>
      </c>
    </row>
    <row r="7606">
      <c r="A7606" s="76" t="s">
        <v>32</v>
      </c>
      <c r="B7606" s="76" t="s">
        <v>1036</v>
      </c>
      <c r="C7606" s="84">
        <v>1.98</v>
      </c>
      <c r="D7606" s="84">
        <v>2.0</v>
      </c>
      <c r="E7606" s="84">
        <v>0.99</v>
      </c>
      <c r="F7606" s="76" t="s">
        <v>975</v>
      </c>
      <c r="G7606" s="83">
        <v>46117.0</v>
      </c>
      <c r="H7606" s="76" t="s">
        <v>941</v>
      </c>
    </row>
    <row r="7607">
      <c r="A7607" s="76" t="s">
        <v>32</v>
      </c>
      <c r="B7607" s="76" t="s">
        <v>1036</v>
      </c>
      <c r="C7607" s="84">
        <v>0.69</v>
      </c>
      <c r="D7607" s="84">
        <v>0.0</v>
      </c>
      <c r="E7607" s="84">
        <v>0.0</v>
      </c>
      <c r="F7607" s="76" t="s">
        <v>975</v>
      </c>
      <c r="G7607" s="83">
        <v>46117.0</v>
      </c>
      <c r="H7607" s="76" t="s">
        <v>942</v>
      </c>
    </row>
    <row r="7608">
      <c r="A7608" s="76" t="s">
        <v>32</v>
      </c>
      <c r="B7608" s="76" t="s">
        <v>1036</v>
      </c>
      <c r="C7608" s="84">
        <v>29.41</v>
      </c>
      <c r="D7608" s="84">
        <v>2.0</v>
      </c>
      <c r="E7608" s="84">
        <v>14.7</v>
      </c>
      <c r="F7608" s="76" t="s">
        <v>975</v>
      </c>
      <c r="G7608" s="83">
        <v>46117.0</v>
      </c>
      <c r="H7608" s="76" t="s">
        <v>943</v>
      </c>
    </row>
    <row r="7609">
      <c r="A7609" s="76" t="s">
        <v>42</v>
      </c>
      <c r="B7609" s="76" t="s">
        <v>1036</v>
      </c>
      <c r="C7609" s="84">
        <v>0.1</v>
      </c>
      <c r="D7609" s="84">
        <v>0.0</v>
      </c>
      <c r="E7609" s="84">
        <v>0.0</v>
      </c>
      <c r="F7609" s="76" t="s">
        <v>975</v>
      </c>
      <c r="G7609" s="83">
        <v>46117.0</v>
      </c>
      <c r="H7609" s="76" t="s">
        <v>991</v>
      </c>
    </row>
    <row r="7610">
      <c r="A7610" s="76" t="s">
        <v>42</v>
      </c>
      <c r="B7610" s="76" t="s">
        <v>1036</v>
      </c>
      <c r="C7610" s="84">
        <v>3.03</v>
      </c>
      <c r="D7610" s="84">
        <v>0.0</v>
      </c>
      <c r="E7610" s="84">
        <v>0.0</v>
      </c>
      <c r="F7610" s="76" t="s">
        <v>975</v>
      </c>
      <c r="G7610" s="83">
        <v>46117.0</v>
      </c>
      <c r="H7610" s="76" t="s">
        <v>935</v>
      </c>
    </row>
    <row r="7611">
      <c r="A7611" s="76" t="s">
        <v>31</v>
      </c>
      <c r="B7611" s="76" t="s">
        <v>1036</v>
      </c>
      <c r="C7611" s="84">
        <v>0.19</v>
      </c>
      <c r="D7611" s="84">
        <v>0.0</v>
      </c>
      <c r="E7611" s="84">
        <v>0.0</v>
      </c>
      <c r="F7611" s="76" t="s">
        <v>975</v>
      </c>
      <c r="G7611" s="83">
        <v>46117.0</v>
      </c>
      <c r="H7611" s="76" t="s">
        <v>929</v>
      </c>
    </row>
    <row r="7612">
      <c r="A7612" s="76" t="s">
        <v>31</v>
      </c>
      <c r="B7612" s="76" t="s">
        <v>1036</v>
      </c>
      <c r="C7612" s="84">
        <v>17.79</v>
      </c>
      <c r="D7612" s="84">
        <v>4.0</v>
      </c>
      <c r="E7612" s="84">
        <v>4.45</v>
      </c>
      <c r="F7612" s="76" t="s">
        <v>975</v>
      </c>
      <c r="G7612" s="83">
        <v>46117.0</v>
      </c>
      <c r="H7612" s="76" t="s">
        <v>930</v>
      </c>
    </row>
    <row r="7613">
      <c r="A7613" s="76" t="s">
        <v>28</v>
      </c>
      <c r="B7613" s="76" t="s">
        <v>1036</v>
      </c>
      <c r="C7613" s="84">
        <v>0.35</v>
      </c>
      <c r="D7613" s="84">
        <v>0.0</v>
      </c>
      <c r="E7613" s="84">
        <v>0.0</v>
      </c>
      <c r="F7613" s="76" t="s">
        <v>975</v>
      </c>
      <c r="G7613" s="83">
        <v>46117.0</v>
      </c>
      <c r="H7613" s="76" t="s">
        <v>931</v>
      </c>
    </row>
    <row r="7614">
      <c r="A7614" s="76" t="s">
        <v>28</v>
      </c>
      <c r="B7614" s="76" t="s">
        <v>1036</v>
      </c>
      <c r="C7614" s="84">
        <v>0.13</v>
      </c>
      <c r="D7614" s="84">
        <v>0.0</v>
      </c>
      <c r="E7614" s="84">
        <v>0.0</v>
      </c>
      <c r="F7614" s="76" t="s">
        <v>975</v>
      </c>
      <c r="G7614" s="83">
        <v>46117.0</v>
      </c>
      <c r="H7614" s="76" t="s">
        <v>932</v>
      </c>
    </row>
    <row r="7615">
      <c r="A7615" s="76" t="s">
        <v>28</v>
      </c>
      <c r="B7615" s="76" t="s">
        <v>1036</v>
      </c>
      <c r="C7615" s="84">
        <v>2.03</v>
      </c>
      <c r="D7615" s="84">
        <v>0.0</v>
      </c>
      <c r="E7615" s="84">
        <v>0.0</v>
      </c>
      <c r="F7615" s="76" t="s">
        <v>975</v>
      </c>
      <c r="G7615" s="83">
        <v>46117.0</v>
      </c>
      <c r="H7615" s="76" t="s">
        <v>933</v>
      </c>
    </row>
    <row r="7616">
      <c r="A7616" s="76" t="s">
        <v>45</v>
      </c>
      <c r="B7616" s="76" t="s">
        <v>1036</v>
      </c>
      <c r="C7616" s="84">
        <v>0.2</v>
      </c>
      <c r="D7616" s="84">
        <v>0.0</v>
      </c>
      <c r="E7616" s="84">
        <v>0.0</v>
      </c>
      <c r="F7616" s="76" t="s">
        <v>975</v>
      </c>
      <c r="G7616" s="83">
        <v>46117.0</v>
      </c>
      <c r="H7616" s="76" t="s">
        <v>936</v>
      </c>
    </row>
    <row r="7617">
      <c r="A7617" s="76" t="s">
        <v>45</v>
      </c>
      <c r="B7617" s="76" t="s">
        <v>1036</v>
      </c>
      <c r="C7617" s="84">
        <v>0.36</v>
      </c>
      <c r="D7617" s="84">
        <v>0.0</v>
      </c>
      <c r="E7617" s="84">
        <v>0.0</v>
      </c>
      <c r="F7617" s="76" t="s">
        <v>975</v>
      </c>
      <c r="G7617" s="83">
        <v>46117.0</v>
      </c>
      <c r="H7617" s="76" t="s">
        <v>937</v>
      </c>
    </row>
    <row r="7618">
      <c r="A7618" s="76" t="s">
        <v>45</v>
      </c>
      <c r="B7618" s="76" t="s">
        <v>1036</v>
      </c>
      <c r="C7618" s="84">
        <v>1.46</v>
      </c>
      <c r="D7618" s="84">
        <v>0.0</v>
      </c>
      <c r="E7618" s="84">
        <v>0.0</v>
      </c>
      <c r="F7618" s="76" t="s">
        <v>975</v>
      </c>
      <c r="G7618" s="83">
        <v>46117.0</v>
      </c>
      <c r="H7618" s="76" t="s">
        <v>938</v>
      </c>
    </row>
    <row r="7619">
      <c r="A7619" s="76" t="s">
        <v>45</v>
      </c>
      <c r="B7619" s="76" t="s">
        <v>1036</v>
      </c>
      <c r="C7619" s="84">
        <v>0.08</v>
      </c>
      <c r="D7619" s="84">
        <v>0.0</v>
      </c>
      <c r="E7619" s="84">
        <v>0.0</v>
      </c>
      <c r="F7619" s="76" t="s">
        <v>950</v>
      </c>
      <c r="G7619" s="83">
        <v>46117.0</v>
      </c>
      <c r="H7619" s="76" t="s">
        <v>936</v>
      </c>
    </row>
    <row r="7620">
      <c r="A7620" s="76" t="s">
        <v>45</v>
      </c>
      <c r="B7620" s="76" t="s">
        <v>1036</v>
      </c>
      <c r="C7620" s="84">
        <v>1.56</v>
      </c>
      <c r="D7620" s="84">
        <v>0.0</v>
      </c>
      <c r="E7620" s="84">
        <v>0.0</v>
      </c>
      <c r="F7620" s="76" t="s">
        <v>950</v>
      </c>
      <c r="G7620" s="83">
        <v>46117.0</v>
      </c>
      <c r="H7620" s="76" t="s">
        <v>937</v>
      </c>
    </row>
    <row r="7621">
      <c r="A7621" s="76" t="s">
        <v>45</v>
      </c>
      <c r="B7621" s="76" t="s">
        <v>1036</v>
      </c>
      <c r="C7621" s="84">
        <v>0.61</v>
      </c>
      <c r="D7621" s="84">
        <v>1.0</v>
      </c>
      <c r="E7621" s="84">
        <v>0.61</v>
      </c>
      <c r="F7621" s="76" t="s">
        <v>950</v>
      </c>
      <c r="G7621" s="83">
        <v>46117.0</v>
      </c>
      <c r="H7621" s="76" t="s">
        <v>938</v>
      </c>
    </row>
    <row r="7622">
      <c r="A7622" s="76" t="s">
        <v>28</v>
      </c>
      <c r="B7622" s="76" t="s">
        <v>1036</v>
      </c>
      <c r="C7622" s="84">
        <v>0.13</v>
      </c>
      <c r="D7622" s="84">
        <v>0.0</v>
      </c>
      <c r="E7622" s="84">
        <v>0.0</v>
      </c>
      <c r="F7622" s="76" t="s">
        <v>950</v>
      </c>
      <c r="G7622" s="83">
        <v>46117.0</v>
      </c>
      <c r="H7622" s="76" t="s">
        <v>931</v>
      </c>
    </row>
    <row r="7623">
      <c r="A7623" s="76" t="s">
        <v>28</v>
      </c>
      <c r="B7623" s="76" t="s">
        <v>1036</v>
      </c>
      <c r="C7623" s="84">
        <v>0.06</v>
      </c>
      <c r="D7623" s="84">
        <v>0.0</v>
      </c>
      <c r="E7623" s="84">
        <v>0.0</v>
      </c>
      <c r="F7623" s="76" t="s">
        <v>950</v>
      </c>
      <c r="G7623" s="83">
        <v>46117.0</v>
      </c>
      <c r="H7623" s="76" t="s">
        <v>932</v>
      </c>
    </row>
    <row r="7624">
      <c r="A7624" s="76" t="s">
        <v>28</v>
      </c>
      <c r="B7624" s="76" t="s">
        <v>1036</v>
      </c>
      <c r="C7624" s="84">
        <v>1.17</v>
      </c>
      <c r="D7624" s="84">
        <v>2.0</v>
      </c>
      <c r="E7624" s="84">
        <v>0.59</v>
      </c>
      <c r="F7624" s="76" t="s">
        <v>950</v>
      </c>
      <c r="G7624" s="83">
        <v>46117.0</v>
      </c>
      <c r="H7624" s="76" t="s">
        <v>933</v>
      </c>
    </row>
    <row r="7625">
      <c r="A7625" s="76" t="s">
        <v>42</v>
      </c>
      <c r="B7625" s="76" t="s">
        <v>1036</v>
      </c>
      <c r="C7625" s="84">
        <v>0.07</v>
      </c>
      <c r="D7625" s="84">
        <v>0.0</v>
      </c>
      <c r="E7625" s="84">
        <v>0.0</v>
      </c>
      <c r="F7625" s="76" t="s">
        <v>950</v>
      </c>
      <c r="G7625" s="83">
        <v>46117.0</v>
      </c>
      <c r="H7625" s="76" t="s">
        <v>991</v>
      </c>
    </row>
    <row r="7626">
      <c r="A7626" s="76" t="s">
        <v>42</v>
      </c>
      <c r="B7626" s="76" t="s">
        <v>1036</v>
      </c>
      <c r="C7626" s="84">
        <v>0.44</v>
      </c>
      <c r="D7626" s="84">
        <v>0.0</v>
      </c>
      <c r="E7626" s="84">
        <v>0.0</v>
      </c>
      <c r="F7626" s="76" t="s">
        <v>950</v>
      </c>
      <c r="G7626" s="83">
        <v>46117.0</v>
      </c>
      <c r="H7626" s="76" t="s">
        <v>935</v>
      </c>
    </row>
    <row r="7627">
      <c r="A7627" s="76" t="s">
        <v>36</v>
      </c>
      <c r="B7627" s="76" t="s">
        <v>1036</v>
      </c>
      <c r="C7627" s="84">
        <v>0.3</v>
      </c>
      <c r="D7627" s="84">
        <v>0.0</v>
      </c>
      <c r="E7627" s="84">
        <v>0.0</v>
      </c>
      <c r="F7627" s="76" t="s">
        <v>950</v>
      </c>
      <c r="G7627" s="83">
        <v>46117.0</v>
      </c>
      <c r="H7627" s="76" t="s">
        <v>926</v>
      </c>
    </row>
    <row r="7628">
      <c r="A7628" s="76" t="s">
        <v>36</v>
      </c>
      <c r="B7628" s="76" t="s">
        <v>1036</v>
      </c>
      <c r="C7628" s="84">
        <v>0.07</v>
      </c>
      <c r="D7628" s="84">
        <v>0.0</v>
      </c>
      <c r="E7628" s="84">
        <v>0.0</v>
      </c>
      <c r="F7628" s="76" t="s">
        <v>950</v>
      </c>
      <c r="G7628" s="83">
        <v>46117.0</v>
      </c>
      <c r="H7628" s="76" t="s">
        <v>927</v>
      </c>
    </row>
    <row r="7629">
      <c r="A7629" s="76" t="s">
        <v>36</v>
      </c>
      <c r="B7629" s="76" t="s">
        <v>1036</v>
      </c>
      <c r="C7629" s="84">
        <v>0.14</v>
      </c>
      <c r="D7629" s="84">
        <v>0.0</v>
      </c>
      <c r="E7629" s="84">
        <v>0.0</v>
      </c>
      <c r="F7629" s="76" t="s">
        <v>950</v>
      </c>
      <c r="G7629" s="83">
        <v>46117.0</v>
      </c>
      <c r="H7629" s="76" t="s">
        <v>928</v>
      </c>
    </row>
    <row r="7630">
      <c r="A7630" s="76" t="s">
        <v>31</v>
      </c>
      <c r="B7630" s="76" t="s">
        <v>1036</v>
      </c>
      <c r="C7630" s="84">
        <v>0.11</v>
      </c>
      <c r="D7630" s="84">
        <v>0.0</v>
      </c>
      <c r="E7630" s="84">
        <v>0.0</v>
      </c>
      <c r="F7630" s="76" t="s">
        <v>950</v>
      </c>
      <c r="G7630" s="83">
        <v>46117.0</v>
      </c>
      <c r="H7630" s="76" t="s">
        <v>929</v>
      </c>
    </row>
    <row r="7631">
      <c r="A7631" s="76" t="s">
        <v>31</v>
      </c>
      <c r="B7631" s="76" t="s">
        <v>1036</v>
      </c>
      <c r="C7631" s="84">
        <v>6.61</v>
      </c>
      <c r="D7631" s="84">
        <v>0.0</v>
      </c>
      <c r="E7631" s="84">
        <v>0.0</v>
      </c>
      <c r="F7631" s="76" t="s">
        <v>950</v>
      </c>
      <c r="G7631" s="83">
        <v>46117.0</v>
      </c>
      <c r="H7631" s="76" t="s">
        <v>930</v>
      </c>
    </row>
    <row r="7632">
      <c r="A7632" s="76" t="s">
        <v>50</v>
      </c>
      <c r="B7632" s="76" t="s">
        <v>1036</v>
      </c>
      <c r="C7632" s="84">
        <v>0.31</v>
      </c>
      <c r="D7632" s="84">
        <v>0.0</v>
      </c>
      <c r="E7632" s="84">
        <v>0.0</v>
      </c>
      <c r="F7632" s="76" t="s">
        <v>950</v>
      </c>
      <c r="G7632" s="83">
        <v>46117.0</v>
      </c>
      <c r="H7632" s="76" t="s">
        <v>939</v>
      </c>
    </row>
    <row r="7633">
      <c r="A7633" s="76" t="s">
        <v>50</v>
      </c>
      <c r="B7633" s="76" t="s">
        <v>1036</v>
      </c>
      <c r="C7633" s="84">
        <v>0.1</v>
      </c>
      <c r="D7633" s="84">
        <v>0.0</v>
      </c>
      <c r="E7633" s="84">
        <v>0.0</v>
      </c>
      <c r="F7633" s="76" t="s">
        <v>950</v>
      </c>
      <c r="G7633" s="83">
        <v>46117.0</v>
      </c>
      <c r="H7633" s="76" t="s">
        <v>940</v>
      </c>
    </row>
    <row r="7634">
      <c r="A7634" s="76" t="s">
        <v>26</v>
      </c>
      <c r="B7634" s="76" t="s">
        <v>1036</v>
      </c>
      <c r="C7634" s="84">
        <v>0.07</v>
      </c>
      <c r="D7634" s="84">
        <v>0.0</v>
      </c>
      <c r="E7634" s="84">
        <v>0.0</v>
      </c>
      <c r="F7634" s="76" t="s">
        <v>950</v>
      </c>
      <c r="G7634" s="83">
        <v>46117.0</v>
      </c>
      <c r="H7634" s="76" t="s">
        <v>1012</v>
      </c>
    </row>
    <row r="7635">
      <c r="A7635" s="76" t="s">
        <v>26</v>
      </c>
      <c r="B7635" s="76" t="s">
        <v>1036</v>
      </c>
      <c r="C7635" s="84">
        <v>0.89</v>
      </c>
      <c r="D7635" s="84">
        <v>0.0</v>
      </c>
      <c r="E7635" s="84">
        <v>0.0</v>
      </c>
      <c r="F7635" s="76" t="s">
        <v>950</v>
      </c>
      <c r="G7635" s="83">
        <v>46117.0</v>
      </c>
      <c r="H7635" s="76" t="s">
        <v>1013</v>
      </c>
    </row>
    <row r="7636">
      <c r="A7636" s="76" t="s">
        <v>26</v>
      </c>
      <c r="B7636" s="76" t="s">
        <v>1036</v>
      </c>
      <c r="C7636" s="84">
        <v>0.47</v>
      </c>
      <c r="D7636" s="84">
        <v>0.0</v>
      </c>
      <c r="E7636" s="84">
        <v>0.0</v>
      </c>
      <c r="F7636" s="76" t="s">
        <v>950</v>
      </c>
      <c r="G7636" s="83">
        <v>46117.0</v>
      </c>
      <c r="H7636" s="76" t="s">
        <v>1014</v>
      </c>
    </row>
    <row r="7637">
      <c r="A7637" s="76" t="s">
        <v>944</v>
      </c>
      <c r="B7637" s="76" t="s">
        <v>1036</v>
      </c>
      <c r="C7637" s="84">
        <v>0.86</v>
      </c>
      <c r="D7637" s="84">
        <v>0.0</v>
      </c>
      <c r="E7637" s="84">
        <v>0.0</v>
      </c>
      <c r="F7637" s="76" t="s">
        <v>950</v>
      </c>
      <c r="G7637" s="83">
        <v>46117.0</v>
      </c>
      <c r="H7637" s="76" t="s">
        <v>945</v>
      </c>
    </row>
    <row r="7638">
      <c r="A7638" s="76" t="s">
        <v>944</v>
      </c>
      <c r="B7638" s="76" t="s">
        <v>1036</v>
      </c>
      <c r="C7638" s="84">
        <v>0.07</v>
      </c>
      <c r="D7638" s="84">
        <v>0.0</v>
      </c>
      <c r="E7638" s="84">
        <v>0.0</v>
      </c>
      <c r="F7638" s="76" t="s">
        <v>950</v>
      </c>
      <c r="G7638" s="83">
        <v>46117.0</v>
      </c>
      <c r="H7638" s="76" t="s">
        <v>946</v>
      </c>
    </row>
    <row r="7639">
      <c r="A7639" s="76" t="s">
        <v>944</v>
      </c>
      <c r="B7639" s="76" t="s">
        <v>1036</v>
      </c>
      <c r="C7639" s="84">
        <v>0.22</v>
      </c>
      <c r="D7639" s="84">
        <v>0.0</v>
      </c>
      <c r="E7639" s="84">
        <v>0.0</v>
      </c>
      <c r="F7639" s="76" t="s">
        <v>950</v>
      </c>
      <c r="G7639" s="83">
        <v>46117.0</v>
      </c>
      <c r="H7639" s="76" t="s">
        <v>947</v>
      </c>
    </row>
    <row r="7640">
      <c r="A7640" s="76" t="s">
        <v>32</v>
      </c>
      <c r="B7640" s="76" t="s">
        <v>1036</v>
      </c>
      <c r="C7640" s="84">
        <v>2.7</v>
      </c>
      <c r="D7640" s="84">
        <v>0.0</v>
      </c>
      <c r="E7640" s="84">
        <v>0.0</v>
      </c>
      <c r="F7640" s="76" t="s">
        <v>950</v>
      </c>
      <c r="G7640" s="83">
        <v>46117.0</v>
      </c>
      <c r="H7640" s="76" t="s">
        <v>941</v>
      </c>
    </row>
    <row r="7641">
      <c r="A7641" s="76" t="s">
        <v>32</v>
      </c>
      <c r="B7641" s="76" t="s">
        <v>1036</v>
      </c>
      <c r="C7641" s="84">
        <v>0.28</v>
      </c>
      <c r="D7641" s="84">
        <v>0.0</v>
      </c>
      <c r="E7641" s="84">
        <v>0.0</v>
      </c>
      <c r="F7641" s="76" t="s">
        <v>950</v>
      </c>
      <c r="G7641" s="83">
        <v>46117.0</v>
      </c>
      <c r="H7641" s="76" t="s">
        <v>942</v>
      </c>
    </row>
    <row r="7642">
      <c r="A7642" s="76" t="s">
        <v>32</v>
      </c>
      <c r="B7642" s="76" t="s">
        <v>1036</v>
      </c>
      <c r="C7642" s="84">
        <v>2.59</v>
      </c>
      <c r="D7642" s="84">
        <v>0.0</v>
      </c>
      <c r="E7642" s="84">
        <v>0.0</v>
      </c>
      <c r="F7642" s="76" t="s">
        <v>950</v>
      </c>
      <c r="G7642" s="83">
        <v>46117.0</v>
      </c>
      <c r="H7642" s="76" t="s">
        <v>943</v>
      </c>
    </row>
    <row r="7643">
      <c r="A7643" s="76" t="s">
        <v>31</v>
      </c>
      <c r="B7643" s="76" t="s">
        <v>1036</v>
      </c>
      <c r="C7643" s="84">
        <v>0.33</v>
      </c>
      <c r="D7643" s="84">
        <v>0.0</v>
      </c>
      <c r="E7643" s="84">
        <v>0.0</v>
      </c>
      <c r="F7643" s="76" t="s">
        <v>974</v>
      </c>
      <c r="G7643" s="83">
        <v>46117.0</v>
      </c>
      <c r="H7643" s="76" t="s">
        <v>929</v>
      </c>
    </row>
    <row r="7644">
      <c r="A7644" s="76" t="s">
        <v>31</v>
      </c>
      <c r="B7644" s="76" t="s">
        <v>1036</v>
      </c>
      <c r="C7644" s="84">
        <v>7.09</v>
      </c>
      <c r="D7644" s="84">
        <v>1.0</v>
      </c>
      <c r="E7644" s="84">
        <v>7.09</v>
      </c>
      <c r="F7644" s="76" t="s">
        <v>974</v>
      </c>
      <c r="G7644" s="83">
        <v>46117.0</v>
      </c>
      <c r="H7644" s="76" t="s">
        <v>930</v>
      </c>
    </row>
    <row r="7645">
      <c r="A7645" s="76" t="s">
        <v>45</v>
      </c>
      <c r="B7645" s="76" t="s">
        <v>1036</v>
      </c>
      <c r="C7645" s="84">
        <v>0.15</v>
      </c>
      <c r="D7645" s="84">
        <v>0.0</v>
      </c>
      <c r="E7645" s="84">
        <v>0.0</v>
      </c>
      <c r="F7645" s="76" t="s">
        <v>974</v>
      </c>
      <c r="G7645" s="83">
        <v>46117.0</v>
      </c>
      <c r="H7645" s="76" t="s">
        <v>936</v>
      </c>
    </row>
    <row r="7646">
      <c r="A7646" s="76" t="s">
        <v>45</v>
      </c>
      <c r="B7646" s="76" t="s">
        <v>1036</v>
      </c>
      <c r="C7646" s="84">
        <v>0.34</v>
      </c>
      <c r="D7646" s="84">
        <v>0.0</v>
      </c>
      <c r="E7646" s="84">
        <v>0.0</v>
      </c>
      <c r="F7646" s="76" t="s">
        <v>974</v>
      </c>
      <c r="G7646" s="83">
        <v>46117.0</v>
      </c>
      <c r="H7646" s="76" t="s">
        <v>937</v>
      </c>
    </row>
    <row r="7647">
      <c r="A7647" s="76" t="s">
        <v>45</v>
      </c>
      <c r="B7647" s="76" t="s">
        <v>1036</v>
      </c>
      <c r="C7647" s="84">
        <v>0.77</v>
      </c>
      <c r="D7647" s="84">
        <v>0.0</v>
      </c>
      <c r="E7647" s="84">
        <v>0.0</v>
      </c>
      <c r="F7647" s="76" t="s">
        <v>974</v>
      </c>
      <c r="G7647" s="83">
        <v>46117.0</v>
      </c>
      <c r="H7647" s="76" t="s">
        <v>938</v>
      </c>
    </row>
    <row r="7648">
      <c r="A7648" s="76" t="s">
        <v>42</v>
      </c>
      <c r="B7648" s="76" t="s">
        <v>1036</v>
      </c>
      <c r="C7648" s="84">
        <v>0.1</v>
      </c>
      <c r="D7648" s="84">
        <v>0.0</v>
      </c>
      <c r="E7648" s="84">
        <v>0.0</v>
      </c>
      <c r="F7648" s="76" t="s">
        <v>974</v>
      </c>
      <c r="G7648" s="83">
        <v>46117.0</v>
      </c>
      <c r="H7648" s="76" t="s">
        <v>991</v>
      </c>
    </row>
    <row r="7649">
      <c r="A7649" s="76" t="s">
        <v>42</v>
      </c>
      <c r="B7649" s="76" t="s">
        <v>1036</v>
      </c>
      <c r="C7649" s="84">
        <v>0.83</v>
      </c>
      <c r="D7649" s="84">
        <v>1.0</v>
      </c>
      <c r="E7649" s="84">
        <v>0.83</v>
      </c>
      <c r="F7649" s="76" t="s">
        <v>974</v>
      </c>
      <c r="G7649" s="83">
        <v>46117.0</v>
      </c>
      <c r="H7649" s="76" t="s">
        <v>935</v>
      </c>
    </row>
    <row r="7650">
      <c r="A7650" s="76" t="s">
        <v>28</v>
      </c>
      <c r="B7650" s="76" t="s">
        <v>1036</v>
      </c>
      <c r="C7650" s="84">
        <v>0.2</v>
      </c>
      <c r="D7650" s="84">
        <v>0.0</v>
      </c>
      <c r="E7650" s="84">
        <v>0.0</v>
      </c>
      <c r="F7650" s="76" t="s">
        <v>974</v>
      </c>
      <c r="G7650" s="83">
        <v>46117.0</v>
      </c>
      <c r="H7650" s="76" t="s">
        <v>931</v>
      </c>
    </row>
    <row r="7651">
      <c r="A7651" s="76" t="s">
        <v>28</v>
      </c>
      <c r="B7651" s="76" t="s">
        <v>1036</v>
      </c>
      <c r="C7651" s="84">
        <v>0.17</v>
      </c>
      <c r="D7651" s="84">
        <v>0.0</v>
      </c>
      <c r="E7651" s="84">
        <v>0.0</v>
      </c>
      <c r="F7651" s="76" t="s">
        <v>974</v>
      </c>
      <c r="G7651" s="83">
        <v>46117.0</v>
      </c>
      <c r="H7651" s="76" t="s">
        <v>932</v>
      </c>
    </row>
    <row r="7652">
      <c r="A7652" s="76" t="s">
        <v>28</v>
      </c>
      <c r="B7652" s="76" t="s">
        <v>1036</v>
      </c>
      <c r="C7652" s="84">
        <v>1.63</v>
      </c>
      <c r="D7652" s="84">
        <v>0.0</v>
      </c>
      <c r="E7652" s="84">
        <v>0.0</v>
      </c>
      <c r="F7652" s="76" t="s">
        <v>974</v>
      </c>
      <c r="G7652" s="83">
        <v>46117.0</v>
      </c>
      <c r="H7652" s="76" t="s">
        <v>933</v>
      </c>
    </row>
    <row r="7653">
      <c r="A7653" s="76" t="s">
        <v>50</v>
      </c>
      <c r="B7653" s="76" t="s">
        <v>1036</v>
      </c>
      <c r="C7653" s="84">
        <v>0.12</v>
      </c>
      <c r="D7653" s="84">
        <v>0.0</v>
      </c>
      <c r="E7653" s="84">
        <v>0.0</v>
      </c>
      <c r="F7653" s="76" t="s">
        <v>974</v>
      </c>
      <c r="G7653" s="83">
        <v>46117.0</v>
      </c>
      <c r="H7653" s="76" t="s">
        <v>939</v>
      </c>
    </row>
    <row r="7654">
      <c r="A7654" s="76" t="s">
        <v>50</v>
      </c>
      <c r="B7654" s="76" t="s">
        <v>1036</v>
      </c>
      <c r="C7654" s="84">
        <v>0.26</v>
      </c>
      <c r="D7654" s="84">
        <v>0.0</v>
      </c>
      <c r="E7654" s="84">
        <v>0.0</v>
      </c>
      <c r="F7654" s="76" t="s">
        <v>974</v>
      </c>
      <c r="G7654" s="83">
        <v>46117.0</v>
      </c>
      <c r="H7654" s="76" t="s">
        <v>940</v>
      </c>
    </row>
    <row r="7655">
      <c r="A7655" s="76" t="s">
        <v>26</v>
      </c>
      <c r="B7655" s="76" t="s">
        <v>1036</v>
      </c>
      <c r="C7655" s="84">
        <v>0.15</v>
      </c>
      <c r="D7655" s="84">
        <v>0.0</v>
      </c>
      <c r="E7655" s="84">
        <v>0.0</v>
      </c>
      <c r="F7655" s="76" t="s">
        <v>974</v>
      </c>
      <c r="G7655" s="83">
        <v>46117.0</v>
      </c>
      <c r="H7655" s="76" t="s">
        <v>1012</v>
      </c>
    </row>
    <row r="7656">
      <c r="A7656" s="76" t="s">
        <v>26</v>
      </c>
      <c r="B7656" s="76" t="s">
        <v>1036</v>
      </c>
      <c r="C7656" s="84">
        <v>0.55</v>
      </c>
      <c r="D7656" s="84">
        <v>0.0</v>
      </c>
      <c r="E7656" s="84">
        <v>0.0</v>
      </c>
      <c r="F7656" s="76" t="s">
        <v>974</v>
      </c>
      <c r="G7656" s="83">
        <v>46117.0</v>
      </c>
      <c r="H7656" s="76" t="s">
        <v>1013</v>
      </c>
    </row>
    <row r="7657">
      <c r="A7657" s="76" t="s">
        <v>26</v>
      </c>
      <c r="B7657" s="76" t="s">
        <v>1036</v>
      </c>
      <c r="C7657" s="84">
        <v>0.91</v>
      </c>
      <c r="D7657" s="84">
        <v>0.0</v>
      </c>
      <c r="E7657" s="84">
        <v>0.0</v>
      </c>
      <c r="F7657" s="76" t="s">
        <v>974</v>
      </c>
      <c r="G7657" s="83">
        <v>46117.0</v>
      </c>
      <c r="H7657" s="76" t="s">
        <v>1014</v>
      </c>
    </row>
    <row r="7658">
      <c r="A7658" s="76" t="s">
        <v>944</v>
      </c>
      <c r="B7658" s="76" t="s">
        <v>1036</v>
      </c>
      <c r="C7658" s="84">
        <v>0.93</v>
      </c>
      <c r="D7658" s="84">
        <v>0.0</v>
      </c>
      <c r="E7658" s="84">
        <v>0.0</v>
      </c>
      <c r="F7658" s="76" t="s">
        <v>974</v>
      </c>
      <c r="G7658" s="83">
        <v>46117.0</v>
      </c>
      <c r="H7658" s="76" t="s">
        <v>945</v>
      </c>
    </row>
    <row r="7659">
      <c r="A7659" s="76" t="s">
        <v>944</v>
      </c>
      <c r="B7659" s="76" t="s">
        <v>1036</v>
      </c>
      <c r="C7659" s="84">
        <v>0.14</v>
      </c>
      <c r="D7659" s="84">
        <v>0.0</v>
      </c>
      <c r="E7659" s="84">
        <v>0.0</v>
      </c>
      <c r="F7659" s="76" t="s">
        <v>974</v>
      </c>
      <c r="G7659" s="83">
        <v>46117.0</v>
      </c>
      <c r="H7659" s="76" t="s">
        <v>946</v>
      </c>
    </row>
    <row r="7660">
      <c r="A7660" s="76" t="s">
        <v>944</v>
      </c>
      <c r="B7660" s="76" t="s">
        <v>1036</v>
      </c>
      <c r="C7660" s="84">
        <v>0.52</v>
      </c>
      <c r="D7660" s="84">
        <v>0.0</v>
      </c>
      <c r="E7660" s="84">
        <v>0.0</v>
      </c>
      <c r="F7660" s="76" t="s">
        <v>974</v>
      </c>
      <c r="G7660" s="83">
        <v>46117.0</v>
      </c>
      <c r="H7660" s="76" t="s">
        <v>947</v>
      </c>
    </row>
    <row r="7661">
      <c r="A7661" s="76" t="s">
        <v>36</v>
      </c>
      <c r="B7661" s="76" t="s">
        <v>1036</v>
      </c>
      <c r="C7661" s="84">
        <v>1.74</v>
      </c>
      <c r="D7661" s="84">
        <v>0.0</v>
      </c>
      <c r="E7661" s="84">
        <v>0.0</v>
      </c>
      <c r="F7661" s="76" t="s">
        <v>974</v>
      </c>
      <c r="G7661" s="83">
        <v>46117.0</v>
      </c>
      <c r="H7661" s="76" t="s">
        <v>926</v>
      </c>
    </row>
    <row r="7662">
      <c r="A7662" s="76" t="s">
        <v>36</v>
      </c>
      <c r="B7662" s="76" t="s">
        <v>1036</v>
      </c>
      <c r="C7662" s="84">
        <v>0.19</v>
      </c>
      <c r="D7662" s="84">
        <v>0.0</v>
      </c>
      <c r="E7662" s="84">
        <v>0.0</v>
      </c>
      <c r="F7662" s="76" t="s">
        <v>974</v>
      </c>
      <c r="G7662" s="83">
        <v>46117.0</v>
      </c>
      <c r="H7662" s="76" t="s">
        <v>927</v>
      </c>
    </row>
    <row r="7663">
      <c r="A7663" s="76" t="s">
        <v>36</v>
      </c>
      <c r="B7663" s="76" t="s">
        <v>1036</v>
      </c>
      <c r="C7663" s="84">
        <v>0.25</v>
      </c>
      <c r="D7663" s="84">
        <v>0.0</v>
      </c>
      <c r="E7663" s="84">
        <v>0.0</v>
      </c>
      <c r="F7663" s="76" t="s">
        <v>974</v>
      </c>
      <c r="G7663" s="83">
        <v>46117.0</v>
      </c>
      <c r="H7663" s="76" t="s">
        <v>928</v>
      </c>
    </row>
    <row r="7664">
      <c r="A7664" s="76" t="s">
        <v>32</v>
      </c>
      <c r="B7664" s="76" t="s">
        <v>1036</v>
      </c>
      <c r="C7664" s="84">
        <v>1.75</v>
      </c>
      <c r="D7664" s="84">
        <v>0.0</v>
      </c>
      <c r="E7664" s="84">
        <v>0.0</v>
      </c>
      <c r="F7664" s="76" t="s">
        <v>974</v>
      </c>
      <c r="G7664" s="83">
        <v>46117.0</v>
      </c>
      <c r="H7664" s="76" t="s">
        <v>941</v>
      </c>
    </row>
    <row r="7665">
      <c r="A7665" s="76" t="s">
        <v>32</v>
      </c>
      <c r="B7665" s="76" t="s">
        <v>1036</v>
      </c>
      <c r="C7665" s="84">
        <v>0.3</v>
      </c>
      <c r="D7665" s="84">
        <v>0.0</v>
      </c>
      <c r="E7665" s="84">
        <v>0.0</v>
      </c>
      <c r="F7665" s="76" t="s">
        <v>974</v>
      </c>
      <c r="G7665" s="83">
        <v>46117.0</v>
      </c>
      <c r="H7665" s="76" t="s">
        <v>942</v>
      </c>
    </row>
    <row r="7666">
      <c r="A7666" s="76" t="s">
        <v>32</v>
      </c>
      <c r="B7666" s="76" t="s">
        <v>1036</v>
      </c>
      <c r="C7666" s="84">
        <v>1.3</v>
      </c>
      <c r="D7666" s="84">
        <v>0.0</v>
      </c>
      <c r="E7666" s="84">
        <v>0.0</v>
      </c>
      <c r="F7666" s="76" t="s">
        <v>974</v>
      </c>
      <c r="G7666" s="83">
        <v>46117.0</v>
      </c>
      <c r="H7666" s="76" t="s">
        <v>943</v>
      </c>
    </row>
    <row r="7667">
      <c r="A7667" s="76" t="s">
        <v>42</v>
      </c>
      <c r="B7667" s="76" t="s">
        <v>1037</v>
      </c>
      <c r="C7667" s="84">
        <v>0.47</v>
      </c>
      <c r="D7667" s="84">
        <v>0.0</v>
      </c>
      <c r="E7667" s="84">
        <v>0.0</v>
      </c>
      <c r="F7667" s="76" t="s">
        <v>925</v>
      </c>
      <c r="G7667" s="83">
        <v>46117.0</v>
      </c>
      <c r="H7667" s="76" t="s">
        <v>991</v>
      </c>
    </row>
    <row r="7668">
      <c r="A7668" s="76" t="s">
        <v>42</v>
      </c>
      <c r="B7668" s="76" t="s">
        <v>1037</v>
      </c>
      <c r="C7668" s="84">
        <v>5.64</v>
      </c>
      <c r="D7668" s="84">
        <v>5.0</v>
      </c>
      <c r="E7668" s="84">
        <v>1.13</v>
      </c>
      <c r="F7668" s="76" t="s">
        <v>925</v>
      </c>
      <c r="G7668" s="83">
        <v>46117.0</v>
      </c>
      <c r="H7668" s="76" t="s">
        <v>935</v>
      </c>
    </row>
    <row r="7669">
      <c r="A7669" s="76" t="s">
        <v>36</v>
      </c>
      <c r="B7669" s="76" t="s">
        <v>1037</v>
      </c>
      <c r="C7669" s="84">
        <v>7.01</v>
      </c>
      <c r="D7669" s="84">
        <v>0.0</v>
      </c>
      <c r="E7669" s="84">
        <v>0.0</v>
      </c>
      <c r="F7669" s="76" t="s">
        <v>925</v>
      </c>
      <c r="G7669" s="83">
        <v>46117.0</v>
      </c>
      <c r="H7669" s="76" t="s">
        <v>926</v>
      </c>
    </row>
    <row r="7670">
      <c r="A7670" s="76" t="s">
        <v>36</v>
      </c>
      <c r="B7670" s="76" t="s">
        <v>1037</v>
      </c>
      <c r="C7670" s="84">
        <v>0.72</v>
      </c>
      <c r="D7670" s="84">
        <v>0.0</v>
      </c>
      <c r="E7670" s="84">
        <v>0.0</v>
      </c>
      <c r="F7670" s="76" t="s">
        <v>925</v>
      </c>
      <c r="G7670" s="83">
        <v>46117.0</v>
      </c>
      <c r="H7670" s="76" t="s">
        <v>927</v>
      </c>
    </row>
    <row r="7671">
      <c r="A7671" s="76" t="s">
        <v>36</v>
      </c>
      <c r="B7671" s="76" t="s">
        <v>1037</v>
      </c>
      <c r="C7671" s="84">
        <v>1.32</v>
      </c>
      <c r="D7671" s="84">
        <v>0.0</v>
      </c>
      <c r="E7671" s="84">
        <v>0.0</v>
      </c>
      <c r="F7671" s="76" t="s">
        <v>925</v>
      </c>
      <c r="G7671" s="83">
        <v>46117.0</v>
      </c>
      <c r="H7671" s="76" t="s">
        <v>928</v>
      </c>
    </row>
    <row r="7672">
      <c r="A7672" s="76" t="s">
        <v>32</v>
      </c>
      <c r="B7672" s="76" t="s">
        <v>1037</v>
      </c>
      <c r="C7672" s="84">
        <v>3.99</v>
      </c>
      <c r="D7672" s="84">
        <v>1.0</v>
      </c>
      <c r="E7672" s="84">
        <v>3.99</v>
      </c>
      <c r="F7672" s="76" t="s">
        <v>925</v>
      </c>
      <c r="G7672" s="83">
        <v>46117.0</v>
      </c>
      <c r="H7672" s="76" t="s">
        <v>941</v>
      </c>
    </row>
    <row r="7673">
      <c r="A7673" s="76" t="s">
        <v>32</v>
      </c>
      <c r="B7673" s="76" t="s">
        <v>1037</v>
      </c>
      <c r="C7673" s="84">
        <v>0.9</v>
      </c>
      <c r="D7673" s="84">
        <v>0.0</v>
      </c>
      <c r="E7673" s="84">
        <v>0.0</v>
      </c>
      <c r="F7673" s="76" t="s">
        <v>925</v>
      </c>
      <c r="G7673" s="83">
        <v>46117.0</v>
      </c>
      <c r="H7673" s="76" t="s">
        <v>942</v>
      </c>
    </row>
    <row r="7674">
      <c r="A7674" s="76" t="s">
        <v>32</v>
      </c>
      <c r="B7674" s="76" t="s">
        <v>1037</v>
      </c>
      <c r="C7674" s="84">
        <v>49.28</v>
      </c>
      <c r="D7674" s="84">
        <v>4.0</v>
      </c>
      <c r="E7674" s="84">
        <v>12.32</v>
      </c>
      <c r="F7674" s="76" t="s">
        <v>925</v>
      </c>
      <c r="G7674" s="83">
        <v>46117.0</v>
      </c>
      <c r="H7674" s="76" t="s">
        <v>943</v>
      </c>
    </row>
    <row r="7675">
      <c r="A7675" s="76" t="s">
        <v>944</v>
      </c>
      <c r="B7675" s="76" t="s">
        <v>1037</v>
      </c>
      <c r="C7675" s="84">
        <v>8.18</v>
      </c>
      <c r="D7675" s="84">
        <v>2.0</v>
      </c>
      <c r="E7675" s="84">
        <v>4.09</v>
      </c>
      <c r="F7675" s="76" t="s">
        <v>925</v>
      </c>
      <c r="G7675" s="83">
        <v>46117.0</v>
      </c>
      <c r="H7675" s="76" t="s">
        <v>945</v>
      </c>
    </row>
    <row r="7676">
      <c r="A7676" s="76" t="s">
        <v>944</v>
      </c>
      <c r="B7676" s="76" t="s">
        <v>1037</v>
      </c>
      <c r="C7676" s="84">
        <v>0.45</v>
      </c>
      <c r="D7676" s="84">
        <v>0.0</v>
      </c>
      <c r="E7676" s="84">
        <v>0.0</v>
      </c>
      <c r="F7676" s="76" t="s">
        <v>925</v>
      </c>
      <c r="G7676" s="83">
        <v>46117.0</v>
      </c>
      <c r="H7676" s="76" t="s">
        <v>946</v>
      </c>
    </row>
    <row r="7677">
      <c r="A7677" s="76" t="s">
        <v>944</v>
      </c>
      <c r="B7677" s="76" t="s">
        <v>1037</v>
      </c>
      <c r="C7677" s="84">
        <v>0.99</v>
      </c>
      <c r="D7677" s="84">
        <v>0.0</v>
      </c>
      <c r="E7677" s="84">
        <v>0.0</v>
      </c>
      <c r="F7677" s="76" t="s">
        <v>925</v>
      </c>
      <c r="G7677" s="83">
        <v>46117.0</v>
      </c>
      <c r="H7677" s="76" t="s">
        <v>947</v>
      </c>
    </row>
    <row r="7678">
      <c r="A7678" s="76" t="s">
        <v>31</v>
      </c>
      <c r="B7678" s="76" t="s">
        <v>1037</v>
      </c>
      <c r="C7678" s="84">
        <v>0.76</v>
      </c>
      <c r="D7678" s="84">
        <v>0.0</v>
      </c>
      <c r="E7678" s="84">
        <v>0.0</v>
      </c>
      <c r="F7678" s="76" t="s">
        <v>925</v>
      </c>
      <c r="G7678" s="83">
        <v>46117.0</v>
      </c>
      <c r="H7678" s="76" t="s">
        <v>929</v>
      </c>
    </row>
    <row r="7679">
      <c r="A7679" s="76" t="s">
        <v>31</v>
      </c>
      <c r="B7679" s="76" t="s">
        <v>1037</v>
      </c>
      <c r="C7679" s="84">
        <v>34.36</v>
      </c>
      <c r="D7679" s="84">
        <v>3.0</v>
      </c>
      <c r="E7679" s="84">
        <v>11.45</v>
      </c>
      <c r="F7679" s="76" t="s">
        <v>925</v>
      </c>
      <c r="G7679" s="83">
        <v>46117.0</v>
      </c>
      <c r="H7679" s="76" t="s">
        <v>930</v>
      </c>
    </row>
    <row r="7680">
      <c r="A7680" s="76" t="s">
        <v>45</v>
      </c>
      <c r="B7680" s="76" t="s">
        <v>1037</v>
      </c>
      <c r="C7680" s="84">
        <v>0.98</v>
      </c>
      <c r="D7680" s="84">
        <v>0.0</v>
      </c>
      <c r="E7680" s="84">
        <v>0.0</v>
      </c>
      <c r="F7680" s="76" t="s">
        <v>925</v>
      </c>
      <c r="G7680" s="83">
        <v>46117.0</v>
      </c>
      <c r="H7680" s="76" t="s">
        <v>936</v>
      </c>
    </row>
    <row r="7681">
      <c r="A7681" s="76" t="s">
        <v>45</v>
      </c>
      <c r="B7681" s="76" t="s">
        <v>1037</v>
      </c>
      <c r="C7681" s="84">
        <v>0.41</v>
      </c>
      <c r="D7681" s="84">
        <v>0.0</v>
      </c>
      <c r="E7681" s="84">
        <v>0.0</v>
      </c>
      <c r="F7681" s="76" t="s">
        <v>925</v>
      </c>
      <c r="G7681" s="83">
        <v>46117.0</v>
      </c>
      <c r="H7681" s="76" t="s">
        <v>937</v>
      </c>
    </row>
    <row r="7682">
      <c r="A7682" s="76" t="s">
        <v>45</v>
      </c>
      <c r="B7682" s="76" t="s">
        <v>1037</v>
      </c>
      <c r="C7682" s="84">
        <v>25.61</v>
      </c>
      <c r="D7682" s="84">
        <v>3.0</v>
      </c>
      <c r="E7682" s="84">
        <v>8.54</v>
      </c>
      <c r="F7682" s="76" t="s">
        <v>925</v>
      </c>
      <c r="G7682" s="83">
        <v>46117.0</v>
      </c>
      <c r="H7682" s="76" t="s">
        <v>938</v>
      </c>
    </row>
    <row r="7683">
      <c r="A7683" s="76" t="s">
        <v>26</v>
      </c>
      <c r="B7683" s="76" t="s">
        <v>1037</v>
      </c>
      <c r="C7683" s="84">
        <v>0.52</v>
      </c>
      <c r="D7683" s="84">
        <v>0.0</v>
      </c>
      <c r="E7683" s="84">
        <v>0.0</v>
      </c>
      <c r="F7683" s="76" t="s">
        <v>925</v>
      </c>
      <c r="G7683" s="83">
        <v>46117.0</v>
      </c>
      <c r="H7683" s="76" t="s">
        <v>1012</v>
      </c>
    </row>
    <row r="7684">
      <c r="A7684" s="76" t="s">
        <v>26</v>
      </c>
      <c r="B7684" s="76" t="s">
        <v>1037</v>
      </c>
      <c r="C7684" s="84">
        <v>4.48</v>
      </c>
      <c r="D7684" s="84">
        <v>1.0</v>
      </c>
      <c r="E7684" s="84">
        <v>4.48</v>
      </c>
      <c r="F7684" s="76" t="s">
        <v>925</v>
      </c>
      <c r="G7684" s="83">
        <v>46117.0</v>
      </c>
      <c r="H7684" s="76" t="s">
        <v>1013</v>
      </c>
    </row>
    <row r="7685">
      <c r="A7685" s="76" t="s">
        <v>26</v>
      </c>
      <c r="B7685" s="76" t="s">
        <v>1037</v>
      </c>
      <c r="C7685" s="84">
        <v>2.39</v>
      </c>
      <c r="D7685" s="84">
        <v>1.0</v>
      </c>
      <c r="E7685" s="84">
        <v>2.39</v>
      </c>
      <c r="F7685" s="76" t="s">
        <v>925</v>
      </c>
      <c r="G7685" s="83">
        <v>46117.0</v>
      </c>
      <c r="H7685" s="76" t="s">
        <v>1014</v>
      </c>
    </row>
    <row r="7686">
      <c r="A7686" s="76" t="s">
        <v>28</v>
      </c>
      <c r="B7686" s="76" t="s">
        <v>1037</v>
      </c>
      <c r="C7686" s="84">
        <v>0.42</v>
      </c>
      <c r="D7686" s="84">
        <v>0.0</v>
      </c>
      <c r="E7686" s="84">
        <v>0.0</v>
      </c>
      <c r="F7686" s="76" t="s">
        <v>925</v>
      </c>
      <c r="G7686" s="83">
        <v>46117.0</v>
      </c>
      <c r="H7686" s="76" t="s">
        <v>931</v>
      </c>
    </row>
    <row r="7687">
      <c r="A7687" s="76" t="s">
        <v>28</v>
      </c>
      <c r="B7687" s="76" t="s">
        <v>1037</v>
      </c>
      <c r="C7687" s="84">
        <v>0.33</v>
      </c>
      <c r="D7687" s="84">
        <v>0.0</v>
      </c>
      <c r="E7687" s="84">
        <v>0.0</v>
      </c>
      <c r="F7687" s="76" t="s">
        <v>925</v>
      </c>
      <c r="G7687" s="83">
        <v>46117.0</v>
      </c>
      <c r="H7687" s="76" t="s">
        <v>932</v>
      </c>
    </row>
    <row r="7688">
      <c r="A7688" s="76" t="s">
        <v>28</v>
      </c>
      <c r="B7688" s="76" t="s">
        <v>1037</v>
      </c>
      <c r="C7688" s="84">
        <v>13.66</v>
      </c>
      <c r="D7688" s="84">
        <v>2.0</v>
      </c>
      <c r="E7688" s="84">
        <v>6.83</v>
      </c>
      <c r="F7688" s="76" t="s">
        <v>925</v>
      </c>
      <c r="G7688" s="83">
        <v>46117.0</v>
      </c>
      <c r="H7688" s="76" t="s">
        <v>933</v>
      </c>
    </row>
    <row r="7689">
      <c r="A7689" s="76" t="s">
        <v>31</v>
      </c>
      <c r="B7689" s="76" t="s">
        <v>1037</v>
      </c>
      <c r="C7689" s="84">
        <v>2.42</v>
      </c>
      <c r="D7689" s="84">
        <v>0.0</v>
      </c>
      <c r="E7689" s="84">
        <v>0.0</v>
      </c>
      <c r="F7689" s="76" t="s">
        <v>948</v>
      </c>
      <c r="G7689" s="83">
        <v>46117.0</v>
      </c>
      <c r="H7689" s="76" t="s">
        <v>929</v>
      </c>
    </row>
    <row r="7690">
      <c r="A7690" s="76" t="s">
        <v>31</v>
      </c>
      <c r="B7690" s="76" t="s">
        <v>1037</v>
      </c>
      <c r="C7690" s="84">
        <v>43.84</v>
      </c>
      <c r="D7690" s="84">
        <v>18.0</v>
      </c>
      <c r="E7690" s="84">
        <v>2.44</v>
      </c>
      <c r="F7690" s="76" t="s">
        <v>948</v>
      </c>
      <c r="G7690" s="83">
        <v>46117.0</v>
      </c>
      <c r="H7690" s="76" t="s">
        <v>930</v>
      </c>
    </row>
    <row r="7691">
      <c r="A7691" s="76" t="s">
        <v>944</v>
      </c>
      <c r="B7691" s="76" t="s">
        <v>1037</v>
      </c>
      <c r="C7691" s="84">
        <v>5.09</v>
      </c>
      <c r="D7691" s="84">
        <v>0.0</v>
      </c>
      <c r="E7691" s="84">
        <v>0.0</v>
      </c>
      <c r="F7691" s="76" t="s">
        <v>948</v>
      </c>
      <c r="G7691" s="83">
        <v>46117.0</v>
      </c>
      <c r="H7691" s="76" t="s">
        <v>945</v>
      </c>
    </row>
    <row r="7692">
      <c r="A7692" s="76" t="s">
        <v>944</v>
      </c>
      <c r="B7692" s="76" t="s">
        <v>1037</v>
      </c>
      <c r="C7692" s="84">
        <v>4.0</v>
      </c>
      <c r="D7692" s="84">
        <v>0.0</v>
      </c>
      <c r="E7692" s="84">
        <v>0.0</v>
      </c>
      <c r="F7692" s="76" t="s">
        <v>948</v>
      </c>
      <c r="G7692" s="83">
        <v>46117.0</v>
      </c>
      <c r="H7692" s="76" t="s">
        <v>946</v>
      </c>
    </row>
    <row r="7693">
      <c r="A7693" s="76" t="s">
        <v>944</v>
      </c>
      <c r="B7693" s="76" t="s">
        <v>1037</v>
      </c>
      <c r="C7693" s="84">
        <v>5.13</v>
      </c>
      <c r="D7693" s="84">
        <v>1.0</v>
      </c>
      <c r="E7693" s="84">
        <v>5.13</v>
      </c>
      <c r="F7693" s="76" t="s">
        <v>948</v>
      </c>
      <c r="G7693" s="83">
        <v>46117.0</v>
      </c>
      <c r="H7693" s="76" t="s">
        <v>947</v>
      </c>
    </row>
    <row r="7694">
      <c r="A7694" s="76" t="s">
        <v>32</v>
      </c>
      <c r="B7694" s="76" t="s">
        <v>1037</v>
      </c>
      <c r="C7694" s="84">
        <v>10.9</v>
      </c>
      <c r="D7694" s="84">
        <v>1.0</v>
      </c>
      <c r="E7694" s="84">
        <v>10.9</v>
      </c>
      <c r="F7694" s="76" t="s">
        <v>948</v>
      </c>
      <c r="G7694" s="83">
        <v>46117.0</v>
      </c>
      <c r="H7694" s="76" t="s">
        <v>941</v>
      </c>
    </row>
    <row r="7695">
      <c r="A7695" s="76" t="s">
        <v>32</v>
      </c>
      <c r="B7695" s="76" t="s">
        <v>1037</v>
      </c>
      <c r="C7695" s="84">
        <v>8.51</v>
      </c>
      <c r="D7695" s="84">
        <v>0.0</v>
      </c>
      <c r="E7695" s="84">
        <v>0.0</v>
      </c>
      <c r="F7695" s="76" t="s">
        <v>948</v>
      </c>
      <c r="G7695" s="83">
        <v>46117.0</v>
      </c>
      <c r="H7695" s="76" t="s">
        <v>942</v>
      </c>
    </row>
    <row r="7696">
      <c r="A7696" s="76" t="s">
        <v>32</v>
      </c>
      <c r="B7696" s="76" t="s">
        <v>1037</v>
      </c>
      <c r="C7696" s="84">
        <v>7.77</v>
      </c>
      <c r="D7696" s="84">
        <v>2.0</v>
      </c>
      <c r="E7696" s="84">
        <v>3.89</v>
      </c>
      <c r="F7696" s="76" t="s">
        <v>948</v>
      </c>
      <c r="G7696" s="83">
        <v>46117.0</v>
      </c>
      <c r="H7696" s="76" t="s">
        <v>943</v>
      </c>
    </row>
    <row r="7697">
      <c r="A7697" s="76" t="s">
        <v>26</v>
      </c>
      <c r="B7697" s="76" t="s">
        <v>1037</v>
      </c>
      <c r="C7697" s="84">
        <v>2.32</v>
      </c>
      <c r="D7697" s="84">
        <v>0.0</v>
      </c>
      <c r="E7697" s="84">
        <v>0.0</v>
      </c>
      <c r="F7697" s="76" t="s">
        <v>948</v>
      </c>
      <c r="G7697" s="83">
        <v>46117.0</v>
      </c>
      <c r="H7697" s="76" t="s">
        <v>1012</v>
      </c>
    </row>
    <row r="7698">
      <c r="A7698" s="76" t="s">
        <v>26</v>
      </c>
      <c r="B7698" s="76" t="s">
        <v>1037</v>
      </c>
      <c r="C7698" s="84">
        <v>3.99</v>
      </c>
      <c r="D7698" s="84">
        <v>2.0</v>
      </c>
      <c r="E7698" s="84">
        <v>2.0</v>
      </c>
      <c r="F7698" s="76" t="s">
        <v>948</v>
      </c>
      <c r="G7698" s="83">
        <v>46117.0</v>
      </c>
      <c r="H7698" s="76" t="s">
        <v>1013</v>
      </c>
    </row>
    <row r="7699">
      <c r="A7699" s="76" t="s">
        <v>26</v>
      </c>
      <c r="B7699" s="76" t="s">
        <v>1037</v>
      </c>
      <c r="C7699" s="84">
        <v>9.17</v>
      </c>
      <c r="D7699" s="84">
        <v>3.0</v>
      </c>
      <c r="E7699" s="84">
        <v>3.06</v>
      </c>
      <c r="F7699" s="76" t="s">
        <v>948</v>
      </c>
      <c r="G7699" s="83">
        <v>46117.0</v>
      </c>
      <c r="H7699" s="76" t="s">
        <v>1014</v>
      </c>
    </row>
    <row r="7700">
      <c r="A7700" s="76" t="s">
        <v>36</v>
      </c>
      <c r="B7700" s="76" t="s">
        <v>1037</v>
      </c>
      <c r="C7700" s="84">
        <v>8.5</v>
      </c>
      <c r="D7700" s="84">
        <v>2.0</v>
      </c>
      <c r="E7700" s="84">
        <v>4.25</v>
      </c>
      <c r="F7700" s="76" t="s">
        <v>948</v>
      </c>
      <c r="G7700" s="83">
        <v>46117.0</v>
      </c>
      <c r="H7700" s="76" t="s">
        <v>926</v>
      </c>
    </row>
    <row r="7701">
      <c r="A7701" s="76" t="s">
        <v>36</v>
      </c>
      <c r="B7701" s="76" t="s">
        <v>1037</v>
      </c>
      <c r="C7701" s="84">
        <v>2.16</v>
      </c>
      <c r="D7701" s="84">
        <v>0.0</v>
      </c>
      <c r="E7701" s="84">
        <v>0.0</v>
      </c>
      <c r="F7701" s="76" t="s">
        <v>948</v>
      </c>
      <c r="G7701" s="83">
        <v>46117.0</v>
      </c>
      <c r="H7701" s="76" t="s">
        <v>927</v>
      </c>
    </row>
    <row r="7702">
      <c r="A7702" s="76" t="s">
        <v>36</v>
      </c>
      <c r="B7702" s="76" t="s">
        <v>1037</v>
      </c>
      <c r="C7702" s="84">
        <v>4.09</v>
      </c>
      <c r="D7702" s="84">
        <v>0.0</v>
      </c>
      <c r="E7702" s="84">
        <v>0.0</v>
      </c>
      <c r="F7702" s="76" t="s">
        <v>948</v>
      </c>
      <c r="G7702" s="83">
        <v>46117.0</v>
      </c>
      <c r="H7702" s="76" t="s">
        <v>928</v>
      </c>
    </row>
    <row r="7703">
      <c r="A7703" s="76" t="s">
        <v>28</v>
      </c>
      <c r="B7703" s="76" t="s">
        <v>1037</v>
      </c>
      <c r="C7703" s="84">
        <v>2.46</v>
      </c>
      <c r="D7703" s="84">
        <v>0.0</v>
      </c>
      <c r="E7703" s="84">
        <v>0.0</v>
      </c>
      <c r="F7703" s="76" t="s">
        <v>948</v>
      </c>
      <c r="G7703" s="83">
        <v>46117.0</v>
      </c>
      <c r="H7703" s="76" t="s">
        <v>931</v>
      </c>
    </row>
    <row r="7704">
      <c r="A7704" s="76" t="s">
        <v>28</v>
      </c>
      <c r="B7704" s="76" t="s">
        <v>1037</v>
      </c>
      <c r="C7704" s="84">
        <v>2.31</v>
      </c>
      <c r="D7704" s="84">
        <v>0.0</v>
      </c>
      <c r="E7704" s="84">
        <v>0.0</v>
      </c>
      <c r="F7704" s="76" t="s">
        <v>948</v>
      </c>
      <c r="G7704" s="83">
        <v>46117.0</v>
      </c>
      <c r="H7704" s="76" t="s">
        <v>932</v>
      </c>
    </row>
    <row r="7705">
      <c r="A7705" s="76" t="s">
        <v>28</v>
      </c>
      <c r="B7705" s="76" t="s">
        <v>1037</v>
      </c>
      <c r="C7705" s="84">
        <v>20.5</v>
      </c>
      <c r="D7705" s="84">
        <v>6.0</v>
      </c>
      <c r="E7705" s="84">
        <v>3.42</v>
      </c>
      <c r="F7705" s="76" t="s">
        <v>948</v>
      </c>
      <c r="G7705" s="83">
        <v>46117.0</v>
      </c>
      <c r="H7705" s="76" t="s">
        <v>933</v>
      </c>
    </row>
    <row r="7706">
      <c r="A7706" s="76" t="s">
        <v>45</v>
      </c>
      <c r="B7706" s="76" t="s">
        <v>1037</v>
      </c>
      <c r="C7706" s="84">
        <v>2.06</v>
      </c>
      <c r="D7706" s="84">
        <v>0.0</v>
      </c>
      <c r="E7706" s="84">
        <v>0.0</v>
      </c>
      <c r="F7706" s="76" t="s">
        <v>948</v>
      </c>
      <c r="G7706" s="83">
        <v>46117.0</v>
      </c>
      <c r="H7706" s="76" t="s">
        <v>936</v>
      </c>
    </row>
    <row r="7707">
      <c r="A7707" s="76" t="s">
        <v>45</v>
      </c>
      <c r="B7707" s="76" t="s">
        <v>1037</v>
      </c>
      <c r="C7707" s="84">
        <v>1.37</v>
      </c>
      <c r="D7707" s="84">
        <v>0.0</v>
      </c>
      <c r="E7707" s="84">
        <v>0.0</v>
      </c>
      <c r="F7707" s="76" t="s">
        <v>948</v>
      </c>
      <c r="G7707" s="83">
        <v>46117.0</v>
      </c>
      <c r="H7707" s="76" t="s">
        <v>937</v>
      </c>
    </row>
    <row r="7708">
      <c r="A7708" s="76" t="s">
        <v>45</v>
      </c>
      <c r="B7708" s="76" t="s">
        <v>1037</v>
      </c>
      <c r="C7708" s="84">
        <v>7.82</v>
      </c>
      <c r="D7708" s="84">
        <v>0.0</v>
      </c>
      <c r="E7708" s="84">
        <v>0.0</v>
      </c>
      <c r="F7708" s="76" t="s">
        <v>948</v>
      </c>
      <c r="G7708" s="83">
        <v>46117.0</v>
      </c>
      <c r="H7708" s="76" t="s">
        <v>938</v>
      </c>
    </row>
    <row r="7709">
      <c r="A7709" s="76" t="s">
        <v>42</v>
      </c>
      <c r="B7709" s="76" t="s">
        <v>1037</v>
      </c>
      <c r="C7709" s="84">
        <v>0.43</v>
      </c>
      <c r="D7709" s="84">
        <v>1.0</v>
      </c>
      <c r="E7709" s="84">
        <v>0.43</v>
      </c>
      <c r="F7709" s="76" t="s">
        <v>948</v>
      </c>
      <c r="G7709" s="83">
        <v>46117.0</v>
      </c>
      <c r="H7709" s="76" t="s">
        <v>991</v>
      </c>
    </row>
    <row r="7710">
      <c r="A7710" s="76" t="s">
        <v>42</v>
      </c>
      <c r="B7710" s="76" t="s">
        <v>1037</v>
      </c>
      <c r="C7710" s="84">
        <v>7.82</v>
      </c>
      <c r="D7710" s="84">
        <v>5.0</v>
      </c>
      <c r="E7710" s="84">
        <v>1.56</v>
      </c>
      <c r="F7710" s="76" t="s">
        <v>948</v>
      </c>
      <c r="G7710" s="83">
        <v>46117.0</v>
      </c>
      <c r="H7710" s="76" t="s">
        <v>935</v>
      </c>
    </row>
    <row r="7711">
      <c r="A7711" s="76" t="s">
        <v>33</v>
      </c>
      <c r="B7711" s="76" t="s">
        <v>1030</v>
      </c>
      <c r="C7711" s="84">
        <v>1.69</v>
      </c>
      <c r="D7711" s="84">
        <v>1.0</v>
      </c>
      <c r="E7711" s="84">
        <v>1.69</v>
      </c>
      <c r="F7711" s="76" t="s">
        <v>950</v>
      </c>
      <c r="G7711" s="83">
        <v>46117.0</v>
      </c>
      <c r="H7711" s="76" t="s">
        <v>957</v>
      </c>
    </row>
    <row r="7712">
      <c r="A7712" s="76" t="s">
        <v>33</v>
      </c>
      <c r="B7712" s="76" t="s">
        <v>1030</v>
      </c>
      <c r="C7712" s="84">
        <v>0.05</v>
      </c>
      <c r="D7712" s="84">
        <v>0.0</v>
      </c>
      <c r="E7712" s="84">
        <v>0.0</v>
      </c>
      <c r="F7712" s="76" t="s">
        <v>950</v>
      </c>
      <c r="G7712" s="83">
        <v>46117.0</v>
      </c>
      <c r="H7712" s="76" t="s">
        <v>958</v>
      </c>
    </row>
    <row r="7713">
      <c r="A7713" s="76" t="s">
        <v>33</v>
      </c>
      <c r="B7713" s="76" t="s">
        <v>1030</v>
      </c>
      <c r="C7713" s="84">
        <v>0.27</v>
      </c>
      <c r="D7713" s="84">
        <v>0.0</v>
      </c>
      <c r="E7713" s="84">
        <v>0.0</v>
      </c>
      <c r="F7713" s="76" t="s">
        <v>950</v>
      </c>
      <c r="G7713" s="83">
        <v>46117.0</v>
      </c>
      <c r="H7713" s="76" t="s">
        <v>959</v>
      </c>
    </row>
    <row r="7714">
      <c r="A7714" s="76" t="s">
        <v>43</v>
      </c>
      <c r="B7714" s="76" t="s">
        <v>1030</v>
      </c>
      <c r="C7714" s="84">
        <v>0.02</v>
      </c>
      <c r="D7714" s="84">
        <v>0.0</v>
      </c>
      <c r="E7714" s="84">
        <v>0.0</v>
      </c>
      <c r="F7714" s="76" t="s">
        <v>950</v>
      </c>
      <c r="G7714" s="83">
        <v>46117.0</v>
      </c>
      <c r="H7714" s="76" t="s">
        <v>963</v>
      </c>
    </row>
    <row r="7715">
      <c r="A7715" s="76" t="s">
        <v>43</v>
      </c>
      <c r="B7715" s="76" t="s">
        <v>1030</v>
      </c>
      <c r="C7715" s="84">
        <v>0.04</v>
      </c>
      <c r="D7715" s="84">
        <v>0.0</v>
      </c>
      <c r="E7715" s="84">
        <v>0.0</v>
      </c>
      <c r="F7715" s="76" t="s">
        <v>950</v>
      </c>
      <c r="G7715" s="83">
        <v>46117.0</v>
      </c>
      <c r="H7715" s="76" t="s">
        <v>964</v>
      </c>
    </row>
    <row r="7716">
      <c r="A7716" s="76" t="s">
        <v>43</v>
      </c>
      <c r="B7716" s="76" t="s">
        <v>1030</v>
      </c>
      <c r="C7716" s="84">
        <v>0.31</v>
      </c>
      <c r="D7716" s="84">
        <v>0.0</v>
      </c>
      <c r="E7716" s="84">
        <v>0.0</v>
      </c>
      <c r="F7716" s="76" t="s">
        <v>950</v>
      </c>
      <c r="G7716" s="83">
        <v>46117.0</v>
      </c>
      <c r="H7716" s="76" t="s">
        <v>965</v>
      </c>
    </row>
    <row r="7717">
      <c r="A7717" s="76" t="s">
        <v>40</v>
      </c>
      <c r="B7717" s="76" t="s">
        <v>1030</v>
      </c>
      <c r="C7717" s="84">
        <v>0.01</v>
      </c>
      <c r="D7717" s="84">
        <v>0.0</v>
      </c>
      <c r="E7717" s="84">
        <v>0.0</v>
      </c>
      <c r="F7717" s="76" t="s">
        <v>950</v>
      </c>
      <c r="G7717" s="83">
        <v>46117.0</v>
      </c>
      <c r="H7717" s="76" t="s">
        <v>954</v>
      </c>
    </row>
    <row r="7718">
      <c r="A7718" s="76" t="s">
        <v>40</v>
      </c>
      <c r="B7718" s="76" t="s">
        <v>1030</v>
      </c>
      <c r="C7718" s="84">
        <v>0.38</v>
      </c>
      <c r="D7718" s="84">
        <v>0.0</v>
      </c>
      <c r="E7718" s="84">
        <v>0.0</v>
      </c>
      <c r="F7718" s="76" t="s">
        <v>950</v>
      </c>
      <c r="G7718" s="83">
        <v>46117.0</v>
      </c>
      <c r="H7718" s="76" t="s">
        <v>956</v>
      </c>
    </row>
    <row r="7719">
      <c r="A7719" s="76" t="s">
        <v>34</v>
      </c>
      <c r="B7719" s="76" t="s">
        <v>1030</v>
      </c>
      <c r="C7719" s="84">
        <v>0.04</v>
      </c>
      <c r="D7719" s="84">
        <v>0.0</v>
      </c>
      <c r="E7719" s="84">
        <v>0.0</v>
      </c>
      <c r="F7719" s="76" t="s">
        <v>950</v>
      </c>
      <c r="G7719" s="83">
        <v>46117.0</v>
      </c>
      <c r="H7719" s="76" t="s">
        <v>951</v>
      </c>
    </row>
    <row r="7720">
      <c r="A7720" s="76" t="s">
        <v>34</v>
      </c>
      <c r="B7720" s="76" t="s">
        <v>1030</v>
      </c>
      <c r="C7720" s="84">
        <v>0.48</v>
      </c>
      <c r="D7720" s="84">
        <v>0.0</v>
      </c>
      <c r="E7720" s="84">
        <v>0.0</v>
      </c>
      <c r="F7720" s="76" t="s">
        <v>950</v>
      </c>
      <c r="G7720" s="83">
        <v>46117.0</v>
      </c>
      <c r="H7720" s="76" t="s">
        <v>952</v>
      </c>
    </row>
    <row r="7721">
      <c r="A7721" s="76" t="s">
        <v>34</v>
      </c>
      <c r="B7721" s="76" t="s">
        <v>1030</v>
      </c>
      <c r="C7721" s="84">
        <v>0.08</v>
      </c>
      <c r="D7721" s="84">
        <v>0.0</v>
      </c>
      <c r="E7721" s="84">
        <v>0.0</v>
      </c>
      <c r="F7721" s="76" t="s">
        <v>950</v>
      </c>
      <c r="G7721" s="83">
        <v>46117.0</v>
      </c>
      <c r="H7721" s="76" t="s">
        <v>953</v>
      </c>
    </row>
    <row r="7722">
      <c r="A7722" s="76" t="s">
        <v>970</v>
      </c>
      <c r="B7722" s="76" t="s">
        <v>1030</v>
      </c>
      <c r="C7722" s="84">
        <v>0.13</v>
      </c>
      <c r="D7722" s="84">
        <v>0.0</v>
      </c>
      <c r="E7722" s="84">
        <v>0.0</v>
      </c>
      <c r="F7722" s="76" t="s">
        <v>950</v>
      </c>
      <c r="G7722" s="83">
        <v>46117.0</v>
      </c>
      <c r="H7722" s="76" t="s">
        <v>971</v>
      </c>
    </row>
    <row r="7723">
      <c r="A7723" s="76" t="s">
        <v>970</v>
      </c>
      <c r="B7723" s="76" t="s">
        <v>1030</v>
      </c>
      <c r="C7723" s="84">
        <v>0.03</v>
      </c>
      <c r="D7723" s="84">
        <v>0.0</v>
      </c>
      <c r="E7723" s="84">
        <v>0.0</v>
      </c>
      <c r="F7723" s="76" t="s">
        <v>950</v>
      </c>
      <c r="G7723" s="83">
        <v>46117.0</v>
      </c>
      <c r="H7723" s="76" t="s">
        <v>972</v>
      </c>
    </row>
    <row r="7724">
      <c r="A7724" s="76" t="s">
        <v>970</v>
      </c>
      <c r="B7724" s="76" t="s">
        <v>1030</v>
      </c>
      <c r="C7724" s="84">
        <v>0.73</v>
      </c>
      <c r="D7724" s="84">
        <v>0.0</v>
      </c>
      <c r="E7724" s="84">
        <v>0.0</v>
      </c>
      <c r="F7724" s="76" t="s">
        <v>950</v>
      </c>
      <c r="G7724" s="83">
        <v>46117.0</v>
      </c>
      <c r="H7724" s="76" t="s">
        <v>973</v>
      </c>
    </row>
    <row r="7725">
      <c r="A7725" s="76" t="s">
        <v>36</v>
      </c>
      <c r="B7725" s="76" t="s">
        <v>1030</v>
      </c>
      <c r="C7725" s="84">
        <v>0.04</v>
      </c>
      <c r="D7725" s="84">
        <v>0.0</v>
      </c>
      <c r="E7725" s="84">
        <v>0.0</v>
      </c>
      <c r="F7725" s="76" t="s">
        <v>950</v>
      </c>
      <c r="G7725" s="83">
        <v>46117.0</v>
      </c>
      <c r="H7725" s="76" t="s">
        <v>926</v>
      </c>
    </row>
    <row r="7726">
      <c r="A7726" s="76" t="s">
        <v>36</v>
      </c>
      <c r="B7726" s="76" t="s">
        <v>1030</v>
      </c>
      <c r="C7726" s="84">
        <v>0.02</v>
      </c>
      <c r="D7726" s="84">
        <v>0.0</v>
      </c>
      <c r="E7726" s="84">
        <v>0.0</v>
      </c>
      <c r="F7726" s="76" t="s">
        <v>950</v>
      </c>
      <c r="G7726" s="83">
        <v>46117.0</v>
      </c>
      <c r="H7726" s="76" t="s">
        <v>927</v>
      </c>
    </row>
    <row r="7727">
      <c r="A7727" s="76" t="s">
        <v>36</v>
      </c>
      <c r="B7727" s="76" t="s">
        <v>1030</v>
      </c>
      <c r="C7727" s="84">
        <v>0.12</v>
      </c>
      <c r="D7727" s="84">
        <v>0.0</v>
      </c>
      <c r="E7727" s="84">
        <v>0.0</v>
      </c>
      <c r="F7727" s="76" t="s">
        <v>950</v>
      </c>
      <c r="G7727" s="83">
        <v>46117.0</v>
      </c>
      <c r="H7727" s="76" t="s">
        <v>928</v>
      </c>
    </row>
    <row r="7728">
      <c r="A7728" s="76" t="s">
        <v>46</v>
      </c>
      <c r="B7728" s="76" t="s">
        <v>1030</v>
      </c>
      <c r="C7728" s="84">
        <v>0.15</v>
      </c>
      <c r="D7728" s="84">
        <v>0.0</v>
      </c>
      <c r="E7728" s="84">
        <v>0.0</v>
      </c>
      <c r="F7728" s="76" t="s">
        <v>950</v>
      </c>
      <c r="G7728" s="83">
        <v>46117.0</v>
      </c>
      <c r="H7728" s="76" t="s">
        <v>960</v>
      </c>
    </row>
    <row r="7729">
      <c r="A7729" s="76" t="s">
        <v>46</v>
      </c>
      <c r="B7729" s="76" t="s">
        <v>1030</v>
      </c>
      <c r="C7729" s="84">
        <v>0.01</v>
      </c>
      <c r="D7729" s="84">
        <v>0.0</v>
      </c>
      <c r="E7729" s="84">
        <v>0.0</v>
      </c>
      <c r="F7729" s="76" t="s">
        <v>950</v>
      </c>
      <c r="G7729" s="83">
        <v>46117.0</v>
      </c>
      <c r="H7729" s="76" t="s">
        <v>961</v>
      </c>
    </row>
    <row r="7730">
      <c r="A7730" s="76" t="s">
        <v>46</v>
      </c>
      <c r="B7730" s="76" t="s">
        <v>1030</v>
      </c>
      <c r="C7730" s="84">
        <v>0.03</v>
      </c>
      <c r="D7730" s="84">
        <v>0.0</v>
      </c>
      <c r="E7730" s="84">
        <v>0.0</v>
      </c>
      <c r="F7730" s="76" t="s">
        <v>950</v>
      </c>
      <c r="G7730" s="83">
        <v>46117.0</v>
      </c>
      <c r="H7730" s="76" t="s">
        <v>962</v>
      </c>
    </row>
    <row r="7731">
      <c r="A7731" s="76" t="s">
        <v>966</v>
      </c>
      <c r="B7731" s="76" t="s">
        <v>1030</v>
      </c>
      <c r="C7731" s="84">
        <v>0.31</v>
      </c>
      <c r="D7731" s="84">
        <v>0.0</v>
      </c>
      <c r="E7731" s="84">
        <v>0.0</v>
      </c>
      <c r="F7731" s="76" t="s">
        <v>950</v>
      </c>
      <c r="G7731" s="83">
        <v>46117.0</v>
      </c>
      <c r="H7731" s="76" t="s">
        <v>967</v>
      </c>
    </row>
    <row r="7732">
      <c r="A7732" s="76" t="s">
        <v>966</v>
      </c>
      <c r="B7732" s="76" t="s">
        <v>1030</v>
      </c>
      <c r="C7732" s="84">
        <v>0.02</v>
      </c>
      <c r="D7732" s="84">
        <v>0.0</v>
      </c>
      <c r="E7732" s="84">
        <v>0.0</v>
      </c>
      <c r="F7732" s="76" t="s">
        <v>950</v>
      </c>
      <c r="G7732" s="83">
        <v>46117.0</v>
      </c>
      <c r="H7732" s="76" t="s">
        <v>968</v>
      </c>
    </row>
    <row r="7733">
      <c r="A7733" s="76" t="s">
        <v>966</v>
      </c>
      <c r="B7733" s="76" t="s">
        <v>1030</v>
      </c>
      <c r="C7733" s="84">
        <v>0.03</v>
      </c>
      <c r="D7733" s="84">
        <v>0.0</v>
      </c>
      <c r="E7733" s="84">
        <v>0.0</v>
      </c>
      <c r="F7733" s="76" t="s">
        <v>950</v>
      </c>
      <c r="G7733" s="83">
        <v>46117.0</v>
      </c>
      <c r="H7733" s="76" t="s">
        <v>969</v>
      </c>
    </row>
    <row r="7734">
      <c r="A7734" s="76" t="s">
        <v>29</v>
      </c>
      <c r="B7734" s="76" t="s">
        <v>1030</v>
      </c>
      <c r="C7734" s="84">
        <v>0.14</v>
      </c>
      <c r="D7734" s="84">
        <v>0.0</v>
      </c>
      <c r="E7734" s="84">
        <v>0.0</v>
      </c>
      <c r="F7734" s="76" t="s">
        <v>950</v>
      </c>
      <c r="G7734" s="83">
        <v>46117.0</v>
      </c>
      <c r="H7734" s="76" t="s">
        <v>971</v>
      </c>
    </row>
    <row r="7735">
      <c r="A7735" s="76" t="s">
        <v>29</v>
      </c>
      <c r="B7735" s="76" t="s">
        <v>1030</v>
      </c>
      <c r="C7735" s="84">
        <v>0.02</v>
      </c>
      <c r="D7735" s="84">
        <v>0.0</v>
      </c>
      <c r="E7735" s="84">
        <v>0.0</v>
      </c>
      <c r="F7735" s="76" t="s">
        <v>950</v>
      </c>
      <c r="G7735" s="83">
        <v>46117.0</v>
      </c>
      <c r="H7735" s="76" t="s">
        <v>972</v>
      </c>
    </row>
    <row r="7736">
      <c r="A7736" s="76" t="s">
        <v>29</v>
      </c>
      <c r="B7736" s="76" t="s">
        <v>1030</v>
      </c>
      <c r="C7736" s="84">
        <v>0.43</v>
      </c>
      <c r="D7736" s="84">
        <v>0.0</v>
      </c>
      <c r="E7736" s="84">
        <v>0.0</v>
      </c>
      <c r="F7736" s="76" t="s">
        <v>950</v>
      </c>
      <c r="G7736" s="83">
        <v>46117.0</v>
      </c>
      <c r="H7736" s="76" t="s">
        <v>973</v>
      </c>
    </row>
    <row r="7737">
      <c r="A7737" s="76" t="s">
        <v>966</v>
      </c>
      <c r="B7737" s="76" t="s">
        <v>1030</v>
      </c>
      <c r="C7737" s="84">
        <v>0.72</v>
      </c>
      <c r="D7737" s="84">
        <v>0.0</v>
      </c>
      <c r="E7737" s="84">
        <v>0.0</v>
      </c>
      <c r="F7737" s="76" t="s">
        <v>975</v>
      </c>
      <c r="G7737" s="83">
        <v>46117.0</v>
      </c>
      <c r="H7737" s="76" t="s">
        <v>967</v>
      </c>
    </row>
    <row r="7738">
      <c r="A7738" s="76" t="s">
        <v>966</v>
      </c>
      <c r="B7738" s="76" t="s">
        <v>1030</v>
      </c>
      <c r="C7738" s="84">
        <v>0.08</v>
      </c>
      <c r="D7738" s="84">
        <v>0.0</v>
      </c>
      <c r="E7738" s="84">
        <v>0.0</v>
      </c>
      <c r="F7738" s="76" t="s">
        <v>975</v>
      </c>
      <c r="G7738" s="83">
        <v>46117.0</v>
      </c>
      <c r="H7738" s="76" t="s">
        <v>968</v>
      </c>
    </row>
    <row r="7739">
      <c r="A7739" s="76" t="s">
        <v>966</v>
      </c>
      <c r="B7739" s="76" t="s">
        <v>1030</v>
      </c>
      <c r="C7739" s="84">
        <v>0.15</v>
      </c>
      <c r="D7739" s="84">
        <v>0.0</v>
      </c>
      <c r="E7739" s="84">
        <v>0.0</v>
      </c>
      <c r="F7739" s="76" t="s">
        <v>975</v>
      </c>
      <c r="G7739" s="83">
        <v>46117.0</v>
      </c>
      <c r="H7739" s="76" t="s">
        <v>969</v>
      </c>
    </row>
    <row r="7740">
      <c r="A7740" s="76" t="s">
        <v>43</v>
      </c>
      <c r="B7740" s="76" t="s">
        <v>1030</v>
      </c>
      <c r="C7740" s="84">
        <v>0.28</v>
      </c>
      <c r="D7740" s="84">
        <v>0.0</v>
      </c>
      <c r="E7740" s="84">
        <v>0.0</v>
      </c>
      <c r="F7740" s="76" t="s">
        <v>975</v>
      </c>
      <c r="G7740" s="83">
        <v>46117.0</v>
      </c>
      <c r="H7740" s="76" t="s">
        <v>963</v>
      </c>
    </row>
    <row r="7741">
      <c r="A7741" s="76" t="s">
        <v>43</v>
      </c>
      <c r="B7741" s="76" t="s">
        <v>1030</v>
      </c>
      <c r="C7741" s="84">
        <v>0.5</v>
      </c>
      <c r="D7741" s="84">
        <v>0.0</v>
      </c>
      <c r="E7741" s="84">
        <v>0.0</v>
      </c>
      <c r="F7741" s="76" t="s">
        <v>975</v>
      </c>
      <c r="G7741" s="83">
        <v>46117.0</v>
      </c>
      <c r="H7741" s="76" t="s">
        <v>964</v>
      </c>
    </row>
    <row r="7742">
      <c r="A7742" s="76" t="s">
        <v>43</v>
      </c>
      <c r="B7742" s="76" t="s">
        <v>1030</v>
      </c>
      <c r="C7742" s="84">
        <v>0.63</v>
      </c>
      <c r="D7742" s="84">
        <v>0.0</v>
      </c>
      <c r="E7742" s="84">
        <v>0.0</v>
      </c>
      <c r="F7742" s="76" t="s">
        <v>975</v>
      </c>
      <c r="G7742" s="83">
        <v>46117.0</v>
      </c>
      <c r="H7742" s="76" t="s">
        <v>965</v>
      </c>
    </row>
    <row r="7743">
      <c r="A7743" s="76" t="s">
        <v>33</v>
      </c>
      <c r="B7743" s="76" t="s">
        <v>1030</v>
      </c>
      <c r="C7743" s="84">
        <v>2.53</v>
      </c>
      <c r="D7743" s="84">
        <v>0.0</v>
      </c>
      <c r="E7743" s="84">
        <v>0.0</v>
      </c>
      <c r="F7743" s="76" t="s">
        <v>975</v>
      </c>
      <c r="G7743" s="83">
        <v>46117.0</v>
      </c>
      <c r="H7743" s="76" t="s">
        <v>957</v>
      </c>
    </row>
    <row r="7744">
      <c r="A7744" s="76" t="s">
        <v>33</v>
      </c>
      <c r="B7744" s="76" t="s">
        <v>1030</v>
      </c>
      <c r="C7744" s="84">
        <v>0.69</v>
      </c>
      <c r="D7744" s="84">
        <v>0.0</v>
      </c>
      <c r="E7744" s="84">
        <v>0.0</v>
      </c>
      <c r="F7744" s="76" t="s">
        <v>975</v>
      </c>
      <c r="G7744" s="83">
        <v>46117.0</v>
      </c>
      <c r="H7744" s="76" t="s">
        <v>958</v>
      </c>
    </row>
    <row r="7745">
      <c r="A7745" s="76" t="s">
        <v>33</v>
      </c>
      <c r="B7745" s="76" t="s">
        <v>1030</v>
      </c>
      <c r="C7745" s="84">
        <v>0.99</v>
      </c>
      <c r="D7745" s="84">
        <v>0.0</v>
      </c>
      <c r="E7745" s="84">
        <v>0.0</v>
      </c>
      <c r="F7745" s="76" t="s">
        <v>975</v>
      </c>
      <c r="G7745" s="83">
        <v>46117.0</v>
      </c>
      <c r="H7745" s="76" t="s">
        <v>959</v>
      </c>
    </row>
    <row r="7746">
      <c r="A7746" s="76" t="s">
        <v>29</v>
      </c>
      <c r="B7746" s="76" t="s">
        <v>1030</v>
      </c>
      <c r="C7746" s="84">
        <v>1.21</v>
      </c>
      <c r="D7746" s="84">
        <v>0.0</v>
      </c>
      <c r="E7746" s="84">
        <v>0.0</v>
      </c>
      <c r="F7746" s="76" t="s">
        <v>975</v>
      </c>
      <c r="G7746" s="83">
        <v>46117.0</v>
      </c>
      <c r="H7746" s="76" t="s">
        <v>971</v>
      </c>
    </row>
    <row r="7747">
      <c r="A7747" s="76" t="s">
        <v>29</v>
      </c>
      <c r="B7747" s="76" t="s">
        <v>1030</v>
      </c>
      <c r="C7747" s="84">
        <v>0.31</v>
      </c>
      <c r="D7747" s="84">
        <v>0.0</v>
      </c>
      <c r="E7747" s="84">
        <v>0.0</v>
      </c>
      <c r="F7747" s="76" t="s">
        <v>975</v>
      </c>
      <c r="G7747" s="83">
        <v>46117.0</v>
      </c>
      <c r="H7747" s="76" t="s">
        <v>972</v>
      </c>
    </row>
    <row r="7748">
      <c r="A7748" s="76" t="s">
        <v>29</v>
      </c>
      <c r="B7748" s="76" t="s">
        <v>1030</v>
      </c>
      <c r="C7748" s="84">
        <v>2.18</v>
      </c>
      <c r="D7748" s="84">
        <v>0.0</v>
      </c>
      <c r="E7748" s="84">
        <v>0.0</v>
      </c>
      <c r="F7748" s="76" t="s">
        <v>975</v>
      </c>
      <c r="G7748" s="83">
        <v>46117.0</v>
      </c>
      <c r="H7748" s="76" t="s">
        <v>973</v>
      </c>
    </row>
    <row r="7749">
      <c r="A7749" s="76" t="s">
        <v>46</v>
      </c>
      <c r="B7749" s="76" t="s">
        <v>1030</v>
      </c>
      <c r="C7749" s="84">
        <v>0.34</v>
      </c>
      <c r="D7749" s="84">
        <v>0.0</v>
      </c>
      <c r="E7749" s="84">
        <v>0.0</v>
      </c>
      <c r="F7749" s="76" t="s">
        <v>975</v>
      </c>
      <c r="G7749" s="83">
        <v>46117.0</v>
      </c>
      <c r="H7749" s="76" t="s">
        <v>960</v>
      </c>
    </row>
    <row r="7750">
      <c r="A7750" s="76" t="s">
        <v>46</v>
      </c>
      <c r="B7750" s="76" t="s">
        <v>1030</v>
      </c>
      <c r="C7750" s="84">
        <v>0.09</v>
      </c>
      <c r="D7750" s="84">
        <v>0.0</v>
      </c>
      <c r="E7750" s="84">
        <v>0.0</v>
      </c>
      <c r="F7750" s="76" t="s">
        <v>975</v>
      </c>
      <c r="G7750" s="83">
        <v>46117.0</v>
      </c>
      <c r="H7750" s="76" t="s">
        <v>961</v>
      </c>
    </row>
    <row r="7751">
      <c r="A7751" s="76" t="s">
        <v>46</v>
      </c>
      <c r="B7751" s="76" t="s">
        <v>1030</v>
      </c>
      <c r="C7751" s="84">
        <v>0.25</v>
      </c>
      <c r="D7751" s="84">
        <v>0.0</v>
      </c>
      <c r="E7751" s="84">
        <v>0.0</v>
      </c>
      <c r="F7751" s="76" t="s">
        <v>975</v>
      </c>
      <c r="G7751" s="83">
        <v>46117.0</v>
      </c>
      <c r="H7751" s="76" t="s">
        <v>962</v>
      </c>
    </row>
    <row r="7752">
      <c r="A7752" s="76" t="s">
        <v>34</v>
      </c>
      <c r="B7752" s="76" t="s">
        <v>1030</v>
      </c>
      <c r="C7752" s="84">
        <v>0.63</v>
      </c>
      <c r="D7752" s="84">
        <v>0.0</v>
      </c>
      <c r="E7752" s="84">
        <v>0.0</v>
      </c>
      <c r="F7752" s="76" t="s">
        <v>975</v>
      </c>
      <c r="G7752" s="83">
        <v>46117.0</v>
      </c>
      <c r="H7752" s="76" t="s">
        <v>951</v>
      </c>
    </row>
    <row r="7753">
      <c r="A7753" s="76" t="s">
        <v>34</v>
      </c>
      <c r="B7753" s="76" t="s">
        <v>1030</v>
      </c>
      <c r="C7753" s="84">
        <v>0.6</v>
      </c>
      <c r="D7753" s="84">
        <v>0.0</v>
      </c>
      <c r="E7753" s="84">
        <v>0.0</v>
      </c>
      <c r="F7753" s="76" t="s">
        <v>975</v>
      </c>
      <c r="G7753" s="83">
        <v>46117.0</v>
      </c>
      <c r="H7753" s="76" t="s">
        <v>952</v>
      </c>
    </row>
    <row r="7754">
      <c r="A7754" s="76" t="s">
        <v>34</v>
      </c>
      <c r="B7754" s="76" t="s">
        <v>1030</v>
      </c>
      <c r="C7754" s="84">
        <v>0.1</v>
      </c>
      <c r="D7754" s="84">
        <v>0.0</v>
      </c>
      <c r="E7754" s="84">
        <v>0.0</v>
      </c>
      <c r="F7754" s="76" t="s">
        <v>975</v>
      </c>
      <c r="G7754" s="83">
        <v>46117.0</v>
      </c>
      <c r="H7754" s="76" t="s">
        <v>953</v>
      </c>
    </row>
    <row r="7755">
      <c r="A7755" s="76" t="s">
        <v>40</v>
      </c>
      <c r="B7755" s="76" t="s">
        <v>1030</v>
      </c>
      <c r="C7755" s="84">
        <v>0.14</v>
      </c>
      <c r="D7755" s="84">
        <v>0.0</v>
      </c>
      <c r="E7755" s="84">
        <v>0.0</v>
      </c>
      <c r="F7755" s="76" t="s">
        <v>975</v>
      </c>
      <c r="G7755" s="83">
        <v>46117.0</v>
      </c>
      <c r="H7755" s="76" t="s">
        <v>954</v>
      </c>
    </row>
    <row r="7756">
      <c r="A7756" s="76" t="s">
        <v>40</v>
      </c>
      <c r="B7756" s="76" t="s">
        <v>1030</v>
      </c>
      <c r="C7756" s="84">
        <v>0.05</v>
      </c>
      <c r="D7756" s="84">
        <v>0.0</v>
      </c>
      <c r="E7756" s="84">
        <v>0.0</v>
      </c>
      <c r="F7756" s="76" t="s">
        <v>975</v>
      </c>
      <c r="G7756" s="83">
        <v>46117.0</v>
      </c>
      <c r="H7756" s="76" t="s">
        <v>955</v>
      </c>
    </row>
    <row r="7757">
      <c r="A7757" s="76" t="s">
        <v>40</v>
      </c>
      <c r="B7757" s="76" t="s">
        <v>1030</v>
      </c>
      <c r="C7757" s="84">
        <v>0.86</v>
      </c>
      <c r="D7757" s="84">
        <v>0.0</v>
      </c>
      <c r="E7757" s="84">
        <v>0.0</v>
      </c>
      <c r="F7757" s="76" t="s">
        <v>975</v>
      </c>
      <c r="G7757" s="83">
        <v>46117.0</v>
      </c>
      <c r="H7757" s="76" t="s">
        <v>956</v>
      </c>
    </row>
    <row r="7758">
      <c r="A7758" s="76" t="s">
        <v>36</v>
      </c>
      <c r="B7758" s="76" t="s">
        <v>1030</v>
      </c>
      <c r="C7758" s="84">
        <v>0.28</v>
      </c>
      <c r="D7758" s="84">
        <v>0.0</v>
      </c>
      <c r="E7758" s="84">
        <v>0.0</v>
      </c>
      <c r="F7758" s="76" t="s">
        <v>975</v>
      </c>
      <c r="G7758" s="83">
        <v>46117.0</v>
      </c>
      <c r="H7758" s="76" t="s">
        <v>926</v>
      </c>
    </row>
    <row r="7759">
      <c r="A7759" s="76" t="s">
        <v>36</v>
      </c>
      <c r="B7759" s="76" t="s">
        <v>1030</v>
      </c>
      <c r="C7759" s="84">
        <v>0.08</v>
      </c>
      <c r="D7759" s="84">
        <v>0.0</v>
      </c>
      <c r="E7759" s="84">
        <v>0.0</v>
      </c>
      <c r="F7759" s="76" t="s">
        <v>975</v>
      </c>
      <c r="G7759" s="83">
        <v>46117.0</v>
      </c>
      <c r="H7759" s="76" t="s">
        <v>927</v>
      </c>
    </row>
    <row r="7760">
      <c r="A7760" s="76" t="s">
        <v>36</v>
      </c>
      <c r="B7760" s="76" t="s">
        <v>1030</v>
      </c>
      <c r="C7760" s="84">
        <v>0.31</v>
      </c>
      <c r="D7760" s="84">
        <v>0.0</v>
      </c>
      <c r="E7760" s="84">
        <v>0.0</v>
      </c>
      <c r="F7760" s="76" t="s">
        <v>975</v>
      </c>
      <c r="G7760" s="83">
        <v>46117.0</v>
      </c>
      <c r="H7760" s="76" t="s">
        <v>928</v>
      </c>
    </row>
    <row r="7761">
      <c r="A7761" s="76" t="s">
        <v>970</v>
      </c>
      <c r="B7761" s="76" t="s">
        <v>1030</v>
      </c>
      <c r="C7761" s="84">
        <v>0.87</v>
      </c>
      <c r="D7761" s="84">
        <v>0.0</v>
      </c>
      <c r="E7761" s="84">
        <v>0.0</v>
      </c>
      <c r="F7761" s="76" t="s">
        <v>975</v>
      </c>
      <c r="G7761" s="83">
        <v>46117.0</v>
      </c>
      <c r="H7761" s="76" t="s">
        <v>971</v>
      </c>
    </row>
    <row r="7762">
      <c r="A7762" s="76" t="s">
        <v>970</v>
      </c>
      <c r="B7762" s="76" t="s">
        <v>1030</v>
      </c>
      <c r="C7762" s="84">
        <v>0.17</v>
      </c>
      <c r="D7762" s="84">
        <v>0.0</v>
      </c>
      <c r="E7762" s="84">
        <v>0.0</v>
      </c>
      <c r="F7762" s="76" t="s">
        <v>975</v>
      </c>
      <c r="G7762" s="83">
        <v>46117.0</v>
      </c>
      <c r="H7762" s="76" t="s">
        <v>972</v>
      </c>
    </row>
    <row r="7763">
      <c r="A7763" s="76" t="s">
        <v>970</v>
      </c>
      <c r="B7763" s="76" t="s">
        <v>1030</v>
      </c>
      <c r="C7763" s="84">
        <v>1.54</v>
      </c>
      <c r="D7763" s="84">
        <v>0.0</v>
      </c>
      <c r="E7763" s="84">
        <v>0.0</v>
      </c>
      <c r="F7763" s="76" t="s">
        <v>975</v>
      </c>
      <c r="G7763" s="83">
        <v>46117.0</v>
      </c>
      <c r="H7763" s="76" t="s">
        <v>973</v>
      </c>
    </row>
    <row r="7764">
      <c r="A7764" s="76" t="s">
        <v>29</v>
      </c>
      <c r="B7764" s="76" t="s">
        <v>1031</v>
      </c>
      <c r="C7764" s="84">
        <v>4.01</v>
      </c>
      <c r="D7764" s="84">
        <v>1.0</v>
      </c>
      <c r="E7764" s="84">
        <v>4.01</v>
      </c>
      <c r="F7764" s="76" t="s">
        <v>925</v>
      </c>
      <c r="G7764" s="83">
        <v>46117.0</v>
      </c>
      <c r="H7764" s="76" t="s">
        <v>971</v>
      </c>
    </row>
    <row r="7765">
      <c r="A7765" s="76" t="s">
        <v>29</v>
      </c>
      <c r="B7765" s="76" t="s">
        <v>1031</v>
      </c>
      <c r="C7765" s="84">
        <v>0.57</v>
      </c>
      <c r="D7765" s="84">
        <v>0.0</v>
      </c>
      <c r="E7765" s="84">
        <v>0.0</v>
      </c>
      <c r="F7765" s="76" t="s">
        <v>925</v>
      </c>
      <c r="G7765" s="83">
        <v>46117.0</v>
      </c>
      <c r="H7765" s="76" t="s">
        <v>972</v>
      </c>
    </row>
    <row r="7766">
      <c r="A7766" s="76" t="s">
        <v>29</v>
      </c>
      <c r="B7766" s="76" t="s">
        <v>1031</v>
      </c>
      <c r="C7766" s="84">
        <v>6.98</v>
      </c>
      <c r="D7766" s="84">
        <v>0.0</v>
      </c>
      <c r="E7766" s="84">
        <v>0.0</v>
      </c>
      <c r="F7766" s="76" t="s">
        <v>925</v>
      </c>
      <c r="G7766" s="83">
        <v>46117.0</v>
      </c>
      <c r="H7766" s="76" t="s">
        <v>973</v>
      </c>
    </row>
    <row r="7767">
      <c r="A7767" s="76" t="s">
        <v>36</v>
      </c>
      <c r="B7767" s="76" t="s">
        <v>1031</v>
      </c>
      <c r="C7767" s="84">
        <v>1.61</v>
      </c>
      <c r="D7767" s="84">
        <v>0.0</v>
      </c>
      <c r="E7767" s="84">
        <v>0.0</v>
      </c>
      <c r="F7767" s="76" t="s">
        <v>925</v>
      </c>
      <c r="G7767" s="83">
        <v>46117.0</v>
      </c>
      <c r="H7767" s="76" t="s">
        <v>926</v>
      </c>
    </row>
    <row r="7768">
      <c r="A7768" s="76" t="s">
        <v>36</v>
      </c>
      <c r="B7768" s="76" t="s">
        <v>1031</v>
      </c>
      <c r="C7768" s="84">
        <v>0.57</v>
      </c>
      <c r="D7768" s="84">
        <v>0.0</v>
      </c>
      <c r="E7768" s="84">
        <v>0.0</v>
      </c>
      <c r="F7768" s="76" t="s">
        <v>925</v>
      </c>
      <c r="G7768" s="83">
        <v>46117.0</v>
      </c>
      <c r="H7768" s="76" t="s">
        <v>927</v>
      </c>
    </row>
    <row r="7769">
      <c r="A7769" s="76" t="s">
        <v>36</v>
      </c>
      <c r="B7769" s="76" t="s">
        <v>1031</v>
      </c>
      <c r="C7769" s="84">
        <v>1.28</v>
      </c>
      <c r="D7769" s="84">
        <v>0.0</v>
      </c>
      <c r="E7769" s="84">
        <v>0.0</v>
      </c>
      <c r="F7769" s="76" t="s">
        <v>925</v>
      </c>
      <c r="G7769" s="83">
        <v>46117.0</v>
      </c>
      <c r="H7769" s="76" t="s">
        <v>928</v>
      </c>
    </row>
    <row r="7770">
      <c r="A7770" s="76" t="s">
        <v>40</v>
      </c>
      <c r="B7770" s="76" t="s">
        <v>1031</v>
      </c>
      <c r="C7770" s="84">
        <v>0.76</v>
      </c>
      <c r="D7770" s="84">
        <v>0.0</v>
      </c>
      <c r="E7770" s="84">
        <v>0.0</v>
      </c>
      <c r="F7770" s="76" t="s">
        <v>925</v>
      </c>
      <c r="G7770" s="83">
        <v>46117.0</v>
      </c>
      <c r="H7770" s="76" t="s">
        <v>954</v>
      </c>
    </row>
    <row r="7771">
      <c r="A7771" s="76" t="s">
        <v>40</v>
      </c>
      <c r="B7771" s="76" t="s">
        <v>1031</v>
      </c>
      <c r="C7771" s="84">
        <v>0.4</v>
      </c>
      <c r="D7771" s="84">
        <v>0.0</v>
      </c>
      <c r="E7771" s="84">
        <v>0.0</v>
      </c>
      <c r="F7771" s="76" t="s">
        <v>925</v>
      </c>
      <c r="G7771" s="83">
        <v>46117.0</v>
      </c>
      <c r="H7771" s="76" t="s">
        <v>955</v>
      </c>
    </row>
    <row r="7772">
      <c r="A7772" s="76" t="s">
        <v>40</v>
      </c>
      <c r="B7772" s="76" t="s">
        <v>1031</v>
      </c>
      <c r="C7772" s="84">
        <v>2.7</v>
      </c>
      <c r="D7772" s="84">
        <v>0.0</v>
      </c>
      <c r="E7772" s="84">
        <v>0.0</v>
      </c>
      <c r="F7772" s="76" t="s">
        <v>925</v>
      </c>
      <c r="G7772" s="83">
        <v>46117.0</v>
      </c>
      <c r="H7772" s="76" t="s">
        <v>956</v>
      </c>
    </row>
    <row r="7773">
      <c r="A7773" s="76" t="s">
        <v>970</v>
      </c>
      <c r="B7773" s="76" t="s">
        <v>1031</v>
      </c>
      <c r="C7773" s="84">
        <v>3.49</v>
      </c>
      <c r="D7773" s="84">
        <v>0.0</v>
      </c>
      <c r="E7773" s="84">
        <v>0.0</v>
      </c>
      <c r="F7773" s="76" t="s">
        <v>925</v>
      </c>
      <c r="G7773" s="83">
        <v>46117.0</v>
      </c>
      <c r="H7773" s="76" t="s">
        <v>971</v>
      </c>
    </row>
    <row r="7774">
      <c r="A7774" s="76" t="s">
        <v>970</v>
      </c>
      <c r="B7774" s="76" t="s">
        <v>1031</v>
      </c>
      <c r="C7774" s="84">
        <v>0.87</v>
      </c>
      <c r="D7774" s="84">
        <v>0.0</v>
      </c>
      <c r="E7774" s="84">
        <v>0.0</v>
      </c>
      <c r="F7774" s="76" t="s">
        <v>925</v>
      </c>
      <c r="G7774" s="83">
        <v>46117.0</v>
      </c>
      <c r="H7774" s="76" t="s">
        <v>972</v>
      </c>
    </row>
    <row r="7775">
      <c r="A7775" s="76" t="s">
        <v>970</v>
      </c>
      <c r="B7775" s="76" t="s">
        <v>1031</v>
      </c>
      <c r="C7775" s="84">
        <v>6.44</v>
      </c>
      <c r="D7775" s="84">
        <v>2.0</v>
      </c>
      <c r="E7775" s="84">
        <v>3.22</v>
      </c>
      <c r="F7775" s="76" t="s">
        <v>925</v>
      </c>
      <c r="G7775" s="83">
        <v>46117.0</v>
      </c>
      <c r="H7775" s="76" t="s">
        <v>973</v>
      </c>
    </row>
    <row r="7776">
      <c r="A7776" s="76" t="s">
        <v>46</v>
      </c>
      <c r="B7776" s="76" t="s">
        <v>1031</v>
      </c>
      <c r="C7776" s="84">
        <v>1.83</v>
      </c>
      <c r="D7776" s="84">
        <v>0.0</v>
      </c>
      <c r="E7776" s="84">
        <v>0.0</v>
      </c>
      <c r="F7776" s="76" t="s">
        <v>925</v>
      </c>
      <c r="G7776" s="83">
        <v>46117.0</v>
      </c>
      <c r="H7776" s="76" t="s">
        <v>960</v>
      </c>
    </row>
    <row r="7777">
      <c r="A7777" s="76" t="s">
        <v>46</v>
      </c>
      <c r="B7777" s="76" t="s">
        <v>1031</v>
      </c>
      <c r="C7777" s="84">
        <v>0.36</v>
      </c>
      <c r="D7777" s="84">
        <v>0.0</v>
      </c>
      <c r="E7777" s="84">
        <v>0.0</v>
      </c>
      <c r="F7777" s="76" t="s">
        <v>925</v>
      </c>
      <c r="G7777" s="83">
        <v>46117.0</v>
      </c>
      <c r="H7777" s="76" t="s">
        <v>961</v>
      </c>
    </row>
    <row r="7778">
      <c r="A7778" s="76" t="s">
        <v>46</v>
      </c>
      <c r="B7778" s="76" t="s">
        <v>1031</v>
      </c>
      <c r="C7778" s="84">
        <v>0.95</v>
      </c>
      <c r="D7778" s="84">
        <v>0.0</v>
      </c>
      <c r="E7778" s="84">
        <v>0.0</v>
      </c>
      <c r="F7778" s="76" t="s">
        <v>925</v>
      </c>
      <c r="G7778" s="83">
        <v>46117.0</v>
      </c>
      <c r="H7778" s="76" t="s">
        <v>962</v>
      </c>
    </row>
    <row r="7779">
      <c r="A7779" s="76" t="s">
        <v>34</v>
      </c>
      <c r="B7779" s="76" t="s">
        <v>1031</v>
      </c>
      <c r="C7779" s="84">
        <v>0.71</v>
      </c>
      <c r="D7779" s="84">
        <v>0.0</v>
      </c>
      <c r="E7779" s="84">
        <v>0.0</v>
      </c>
      <c r="F7779" s="76" t="s">
        <v>925</v>
      </c>
      <c r="G7779" s="83">
        <v>46117.0</v>
      </c>
      <c r="H7779" s="76" t="s">
        <v>951</v>
      </c>
    </row>
    <row r="7780">
      <c r="A7780" s="76" t="s">
        <v>34</v>
      </c>
      <c r="B7780" s="76" t="s">
        <v>1031</v>
      </c>
      <c r="C7780" s="84">
        <v>2.69</v>
      </c>
      <c r="D7780" s="84">
        <v>1.0</v>
      </c>
      <c r="E7780" s="84">
        <v>2.69</v>
      </c>
      <c r="F7780" s="76" t="s">
        <v>925</v>
      </c>
      <c r="G7780" s="83">
        <v>46117.0</v>
      </c>
      <c r="H7780" s="76" t="s">
        <v>952</v>
      </c>
    </row>
    <row r="7781">
      <c r="A7781" s="76" t="s">
        <v>34</v>
      </c>
      <c r="B7781" s="76" t="s">
        <v>1031</v>
      </c>
      <c r="C7781" s="84">
        <v>0.67</v>
      </c>
      <c r="D7781" s="84">
        <v>0.0</v>
      </c>
      <c r="E7781" s="84">
        <v>0.0</v>
      </c>
      <c r="F7781" s="76" t="s">
        <v>925</v>
      </c>
      <c r="G7781" s="83">
        <v>46117.0</v>
      </c>
      <c r="H7781" s="76" t="s">
        <v>953</v>
      </c>
    </row>
    <row r="7782">
      <c r="A7782" s="76" t="s">
        <v>33</v>
      </c>
      <c r="B7782" s="76" t="s">
        <v>1031</v>
      </c>
      <c r="C7782" s="84">
        <v>11.82</v>
      </c>
      <c r="D7782" s="84">
        <v>2.0</v>
      </c>
      <c r="E7782" s="84">
        <v>5.91</v>
      </c>
      <c r="F7782" s="76" t="s">
        <v>925</v>
      </c>
      <c r="G7782" s="83">
        <v>46117.0</v>
      </c>
      <c r="H7782" s="76" t="s">
        <v>957</v>
      </c>
    </row>
    <row r="7783">
      <c r="A7783" s="76" t="s">
        <v>33</v>
      </c>
      <c r="B7783" s="76" t="s">
        <v>1031</v>
      </c>
      <c r="C7783" s="84">
        <v>3.25</v>
      </c>
      <c r="D7783" s="84">
        <v>1.0</v>
      </c>
      <c r="E7783" s="84">
        <v>3.25</v>
      </c>
      <c r="F7783" s="76" t="s">
        <v>925</v>
      </c>
      <c r="G7783" s="83">
        <v>46117.0</v>
      </c>
      <c r="H7783" s="76" t="s">
        <v>958</v>
      </c>
    </row>
    <row r="7784">
      <c r="A7784" s="76" t="s">
        <v>33</v>
      </c>
      <c r="B7784" s="76" t="s">
        <v>1031</v>
      </c>
      <c r="C7784" s="84">
        <v>5.91</v>
      </c>
      <c r="D7784" s="84">
        <v>1.0</v>
      </c>
      <c r="E7784" s="84">
        <v>5.91</v>
      </c>
      <c r="F7784" s="76" t="s">
        <v>925</v>
      </c>
      <c r="G7784" s="83">
        <v>46117.0</v>
      </c>
      <c r="H7784" s="76" t="s">
        <v>959</v>
      </c>
    </row>
    <row r="7785">
      <c r="A7785" s="76" t="s">
        <v>43</v>
      </c>
      <c r="B7785" s="76" t="s">
        <v>1031</v>
      </c>
      <c r="C7785" s="84">
        <v>1.14</v>
      </c>
      <c r="D7785" s="84">
        <v>0.0</v>
      </c>
      <c r="E7785" s="84">
        <v>0.0</v>
      </c>
      <c r="F7785" s="76" t="s">
        <v>925</v>
      </c>
      <c r="G7785" s="83">
        <v>46117.0</v>
      </c>
      <c r="H7785" s="76" t="s">
        <v>963</v>
      </c>
    </row>
    <row r="7786">
      <c r="A7786" s="76" t="s">
        <v>43</v>
      </c>
      <c r="B7786" s="76" t="s">
        <v>1031</v>
      </c>
      <c r="C7786" s="84">
        <v>1.04</v>
      </c>
      <c r="D7786" s="84">
        <v>0.0</v>
      </c>
      <c r="E7786" s="84">
        <v>0.0</v>
      </c>
      <c r="F7786" s="76" t="s">
        <v>925</v>
      </c>
      <c r="G7786" s="83">
        <v>46117.0</v>
      </c>
      <c r="H7786" s="76" t="s">
        <v>964</v>
      </c>
    </row>
    <row r="7787">
      <c r="A7787" s="76" t="s">
        <v>43</v>
      </c>
      <c r="B7787" s="76" t="s">
        <v>1031</v>
      </c>
      <c r="C7787" s="84">
        <v>1.8</v>
      </c>
      <c r="D7787" s="84">
        <v>0.0</v>
      </c>
      <c r="E7787" s="84">
        <v>0.0</v>
      </c>
      <c r="F7787" s="76" t="s">
        <v>925</v>
      </c>
      <c r="G7787" s="83">
        <v>46117.0</v>
      </c>
      <c r="H7787" s="76" t="s">
        <v>965</v>
      </c>
    </row>
    <row r="7788">
      <c r="A7788" s="76" t="s">
        <v>966</v>
      </c>
      <c r="B7788" s="76" t="s">
        <v>1031</v>
      </c>
      <c r="C7788" s="84">
        <v>1.11</v>
      </c>
      <c r="D7788" s="84">
        <v>0.0</v>
      </c>
      <c r="E7788" s="84">
        <v>0.0</v>
      </c>
      <c r="F7788" s="76" t="s">
        <v>925</v>
      </c>
      <c r="G7788" s="83">
        <v>46117.0</v>
      </c>
      <c r="H7788" s="76" t="s">
        <v>967</v>
      </c>
    </row>
    <row r="7789">
      <c r="A7789" s="76" t="s">
        <v>966</v>
      </c>
      <c r="B7789" s="76" t="s">
        <v>1031</v>
      </c>
      <c r="C7789" s="84">
        <v>0.19</v>
      </c>
      <c r="D7789" s="84">
        <v>0.0</v>
      </c>
      <c r="E7789" s="84">
        <v>0.0</v>
      </c>
      <c r="F7789" s="76" t="s">
        <v>925</v>
      </c>
      <c r="G7789" s="83">
        <v>46117.0</v>
      </c>
      <c r="H7789" s="76" t="s">
        <v>968</v>
      </c>
    </row>
    <row r="7790">
      <c r="A7790" s="76" t="s">
        <v>966</v>
      </c>
      <c r="B7790" s="76" t="s">
        <v>1031</v>
      </c>
      <c r="C7790" s="84">
        <v>0.98</v>
      </c>
      <c r="D7790" s="84">
        <v>0.0</v>
      </c>
      <c r="E7790" s="84">
        <v>0.0</v>
      </c>
      <c r="F7790" s="76" t="s">
        <v>925</v>
      </c>
      <c r="G7790" s="83">
        <v>46117.0</v>
      </c>
      <c r="H7790" s="76" t="s">
        <v>969</v>
      </c>
    </row>
    <row r="7791">
      <c r="A7791" s="76" t="s">
        <v>970</v>
      </c>
      <c r="B7791" s="76" t="s">
        <v>1031</v>
      </c>
      <c r="C7791" s="84">
        <v>3.98</v>
      </c>
      <c r="D7791" s="84">
        <v>0.0</v>
      </c>
      <c r="E7791" s="84">
        <v>0.0</v>
      </c>
      <c r="F7791" s="76" t="s">
        <v>948</v>
      </c>
      <c r="G7791" s="83">
        <v>46117.0</v>
      </c>
      <c r="H7791" s="76" t="s">
        <v>971</v>
      </c>
    </row>
    <row r="7792">
      <c r="A7792" s="76" t="s">
        <v>970</v>
      </c>
      <c r="B7792" s="76" t="s">
        <v>1031</v>
      </c>
      <c r="C7792" s="84">
        <v>1.59</v>
      </c>
      <c r="D7792" s="84">
        <v>1.0</v>
      </c>
      <c r="E7792" s="84">
        <v>1.59</v>
      </c>
      <c r="F7792" s="76" t="s">
        <v>948</v>
      </c>
      <c r="G7792" s="83">
        <v>46117.0</v>
      </c>
      <c r="H7792" s="76" t="s">
        <v>972</v>
      </c>
    </row>
    <row r="7793">
      <c r="A7793" s="76" t="s">
        <v>970</v>
      </c>
      <c r="B7793" s="76" t="s">
        <v>1031</v>
      </c>
      <c r="C7793" s="84">
        <v>5.89</v>
      </c>
      <c r="D7793" s="84">
        <v>2.0</v>
      </c>
      <c r="E7793" s="84">
        <v>2.95</v>
      </c>
      <c r="F7793" s="76" t="s">
        <v>948</v>
      </c>
      <c r="G7793" s="83">
        <v>46117.0</v>
      </c>
      <c r="H7793" s="76" t="s">
        <v>973</v>
      </c>
    </row>
    <row r="7794">
      <c r="A7794" s="76" t="s">
        <v>33</v>
      </c>
      <c r="B7794" s="76" t="s">
        <v>1031</v>
      </c>
      <c r="C7794" s="84">
        <v>15.23</v>
      </c>
      <c r="D7794" s="84">
        <v>2.0</v>
      </c>
      <c r="E7794" s="84">
        <v>7.61</v>
      </c>
      <c r="F7794" s="76" t="s">
        <v>948</v>
      </c>
      <c r="G7794" s="83">
        <v>46117.0</v>
      </c>
      <c r="H7794" s="76" t="s">
        <v>957</v>
      </c>
    </row>
    <row r="7795">
      <c r="A7795" s="76" t="s">
        <v>33</v>
      </c>
      <c r="B7795" s="76" t="s">
        <v>1031</v>
      </c>
      <c r="C7795" s="84">
        <v>2.28</v>
      </c>
      <c r="D7795" s="84">
        <v>0.0</v>
      </c>
      <c r="E7795" s="84">
        <v>0.0</v>
      </c>
      <c r="F7795" s="76" t="s">
        <v>948</v>
      </c>
      <c r="G7795" s="83">
        <v>46117.0</v>
      </c>
      <c r="H7795" s="76" t="s">
        <v>958</v>
      </c>
    </row>
    <row r="7796">
      <c r="A7796" s="76" t="s">
        <v>33</v>
      </c>
      <c r="B7796" s="76" t="s">
        <v>1031</v>
      </c>
      <c r="C7796" s="84">
        <v>4.6</v>
      </c>
      <c r="D7796" s="84">
        <v>1.0</v>
      </c>
      <c r="E7796" s="84">
        <v>4.6</v>
      </c>
      <c r="F7796" s="76" t="s">
        <v>948</v>
      </c>
      <c r="G7796" s="83">
        <v>46117.0</v>
      </c>
      <c r="H7796" s="76" t="s">
        <v>959</v>
      </c>
    </row>
    <row r="7797">
      <c r="A7797" s="76" t="s">
        <v>46</v>
      </c>
      <c r="B7797" s="76" t="s">
        <v>1031</v>
      </c>
      <c r="C7797" s="84">
        <v>1.19</v>
      </c>
      <c r="D7797" s="84">
        <v>0.0</v>
      </c>
      <c r="E7797" s="84">
        <v>0.0</v>
      </c>
      <c r="F7797" s="76" t="s">
        <v>948</v>
      </c>
      <c r="G7797" s="83">
        <v>46117.0</v>
      </c>
      <c r="H7797" s="76" t="s">
        <v>960</v>
      </c>
    </row>
    <row r="7798">
      <c r="A7798" s="76" t="s">
        <v>46</v>
      </c>
      <c r="B7798" s="76" t="s">
        <v>1031</v>
      </c>
      <c r="C7798" s="84">
        <v>0.49</v>
      </c>
      <c r="D7798" s="84">
        <v>0.0</v>
      </c>
      <c r="E7798" s="84">
        <v>0.0</v>
      </c>
      <c r="F7798" s="76" t="s">
        <v>948</v>
      </c>
      <c r="G7798" s="83">
        <v>46117.0</v>
      </c>
      <c r="H7798" s="76" t="s">
        <v>961</v>
      </c>
    </row>
    <row r="7799">
      <c r="A7799" s="76" t="s">
        <v>46</v>
      </c>
      <c r="B7799" s="76" t="s">
        <v>1031</v>
      </c>
      <c r="C7799" s="84">
        <v>1.56</v>
      </c>
      <c r="D7799" s="84">
        <v>0.0</v>
      </c>
      <c r="E7799" s="84">
        <v>0.0</v>
      </c>
      <c r="F7799" s="76" t="s">
        <v>948</v>
      </c>
      <c r="G7799" s="83">
        <v>46117.0</v>
      </c>
      <c r="H7799" s="76" t="s">
        <v>962</v>
      </c>
    </row>
    <row r="7800">
      <c r="A7800" s="76" t="s">
        <v>966</v>
      </c>
      <c r="B7800" s="76" t="s">
        <v>1031</v>
      </c>
      <c r="C7800" s="84">
        <v>1.85</v>
      </c>
      <c r="D7800" s="84">
        <v>1.0</v>
      </c>
      <c r="E7800" s="84">
        <v>1.85</v>
      </c>
      <c r="F7800" s="76" t="s">
        <v>948</v>
      </c>
      <c r="G7800" s="83">
        <v>46117.0</v>
      </c>
      <c r="H7800" s="76" t="s">
        <v>967</v>
      </c>
    </row>
    <row r="7801">
      <c r="A7801" s="76" t="s">
        <v>966</v>
      </c>
      <c r="B7801" s="76" t="s">
        <v>1031</v>
      </c>
      <c r="C7801" s="84">
        <v>0.32</v>
      </c>
      <c r="D7801" s="84">
        <v>0.0</v>
      </c>
      <c r="E7801" s="84">
        <v>0.0</v>
      </c>
      <c r="F7801" s="76" t="s">
        <v>948</v>
      </c>
      <c r="G7801" s="83">
        <v>46117.0</v>
      </c>
      <c r="H7801" s="76" t="s">
        <v>968</v>
      </c>
    </row>
    <row r="7802">
      <c r="A7802" s="76" t="s">
        <v>966</v>
      </c>
      <c r="B7802" s="76" t="s">
        <v>1031</v>
      </c>
      <c r="C7802" s="84">
        <v>1.21</v>
      </c>
      <c r="D7802" s="84">
        <v>2.0</v>
      </c>
      <c r="E7802" s="84">
        <v>0.6</v>
      </c>
      <c r="F7802" s="76" t="s">
        <v>948</v>
      </c>
      <c r="G7802" s="83">
        <v>46117.0</v>
      </c>
      <c r="H7802" s="76" t="s">
        <v>969</v>
      </c>
    </row>
    <row r="7803">
      <c r="A7803" s="76" t="s">
        <v>43</v>
      </c>
      <c r="B7803" s="76" t="s">
        <v>1031</v>
      </c>
      <c r="C7803" s="84">
        <v>0.83</v>
      </c>
      <c r="D7803" s="84">
        <v>0.0</v>
      </c>
      <c r="E7803" s="84">
        <v>0.0</v>
      </c>
      <c r="F7803" s="76" t="s">
        <v>948</v>
      </c>
      <c r="G7803" s="83">
        <v>46117.0</v>
      </c>
      <c r="H7803" s="76" t="s">
        <v>963</v>
      </c>
    </row>
    <row r="7804">
      <c r="A7804" s="76" t="s">
        <v>43</v>
      </c>
      <c r="B7804" s="76" t="s">
        <v>1031</v>
      </c>
      <c r="C7804" s="84">
        <v>1.18</v>
      </c>
      <c r="D7804" s="84">
        <v>0.0</v>
      </c>
      <c r="E7804" s="84">
        <v>0.0</v>
      </c>
      <c r="F7804" s="76" t="s">
        <v>948</v>
      </c>
      <c r="G7804" s="83">
        <v>46117.0</v>
      </c>
      <c r="H7804" s="76" t="s">
        <v>964</v>
      </c>
    </row>
    <row r="7805">
      <c r="A7805" s="76" t="s">
        <v>43</v>
      </c>
      <c r="B7805" s="76" t="s">
        <v>1031</v>
      </c>
      <c r="C7805" s="84">
        <v>2.04</v>
      </c>
      <c r="D7805" s="84">
        <v>0.0</v>
      </c>
      <c r="E7805" s="84">
        <v>0.0</v>
      </c>
      <c r="F7805" s="76" t="s">
        <v>948</v>
      </c>
      <c r="G7805" s="83">
        <v>46117.0</v>
      </c>
      <c r="H7805" s="76" t="s">
        <v>965</v>
      </c>
    </row>
    <row r="7806">
      <c r="A7806" s="76" t="s">
        <v>34</v>
      </c>
      <c r="B7806" s="76" t="s">
        <v>1031</v>
      </c>
      <c r="C7806" s="84">
        <v>1.12</v>
      </c>
      <c r="D7806" s="84">
        <v>0.0</v>
      </c>
      <c r="E7806" s="84">
        <v>0.0</v>
      </c>
      <c r="F7806" s="76" t="s">
        <v>948</v>
      </c>
      <c r="G7806" s="83">
        <v>46117.0</v>
      </c>
      <c r="H7806" s="76" t="s">
        <v>951</v>
      </c>
    </row>
    <row r="7807">
      <c r="A7807" s="76" t="s">
        <v>34</v>
      </c>
      <c r="B7807" s="76" t="s">
        <v>1031</v>
      </c>
      <c r="C7807" s="84">
        <v>5.87</v>
      </c>
      <c r="D7807" s="84">
        <v>1.0</v>
      </c>
      <c r="E7807" s="84">
        <v>5.87</v>
      </c>
      <c r="F7807" s="76" t="s">
        <v>948</v>
      </c>
      <c r="G7807" s="83">
        <v>46117.0</v>
      </c>
      <c r="H7807" s="76" t="s">
        <v>952</v>
      </c>
    </row>
    <row r="7808">
      <c r="A7808" s="76" t="s">
        <v>34</v>
      </c>
      <c r="B7808" s="76" t="s">
        <v>1031</v>
      </c>
      <c r="C7808" s="84">
        <v>1.45</v>
      </c>
      <c r="D7808" s="84">
        <v>1.0</v>
      </c>
      <c r="E7808" s="84">
        <v>1.45</v>
      </c>
      <c r="F7808" s="76" t="s">
        <v>948</v>
      </c>
      <c r="G7808" s="83">
        <v>46117.0</v>
      </c>
      <c r="H7808" s="76" t="s">
        <v>953</v>
      </c>
    </row>
    <row r="7809">
      <c r="A7809" s="76" t="s">
        <v>36</v>
      </c>
      <c r="B7809" s="76" t="s">
        <v>1031</v>
      </c>
      <c r="C7809" s="84">
        <v>1.77</v>
      </c>
      <c r="D7809" s="84">
        <v>2.0</v>
      </c>
      <c r="E7809" s="84">
        <v>0.88</v>
      </c>
      <c r="F7809" s="76" t="s">
        <v>948</v>
      </c>
      <c r="G7809" s="83">
        <v>46117.0</v>
      </c>
      <c r="H7809" s="76" t="s">
        <v>926</v>
      </c>
    </row>
    <row r="7810">
      <c r="A7810" s="76" t="s">
        <v>36</v>
      </c>
      <c r="B7810" s="76" t="s">
        <v>1031</v>
      </c>
      <c r="C7810" s="84">
        <v>0.22</v>
      </c>
      <c r="D7810" s="84">
        <v>0.0</v>
      </c>
      <c r="E7810" s="84">
        <v>0.0</v>
      </c>
      <c r="F7810" s="76" t="s">
        <v>948</v>
      </c>
      <c r="G7810" s="83">
        <v>46117.0</v>
      </c>
      <c r="H7810" s="76" t="s">
        <v>927</v>
      </c>
    </row>
    <row r="7811">
      <c r="A7811" s="76" t="s">
        <v>36</v>
      </c>
      <c r="B7811" s="76" t="s">
        <v>1031</v>
      </c>
      <c r="C7811" s="84">
        <v>1.26</v>
      </c>
      <c r="D7811" s="84">
        <v>0.0</v>
      </c>
      <c r="E7811" s="84">
        <v>0.0</v>
      </c>
      <c r="F7811" s="76" t="s">
        <v>948</v>
      </c>
      <c r="G7811" s="83">
        <v>46117.0</v>
      </c>
      <c r="H7811" s="76" t="s">
        <v>928</v>
      </c>
    </row>
    <row r="7812">
      <c r="A7812" s="76" t="s">
        <v>29</v>
      </c>
      <c r="B7812" s="76" t="s">
        <v>1031</v>
      </c>
      <c r="C7812" s="84">
        <v>4.3</v>
      </c>
      <c r="D7812" s="84">
        <v>0.0</v>
      </c>
      <c r="E7812" s="84">
        <v>0.0</v>
      </c>
      <c r="F7812" s="76" t="s">
        <v>948</v>
      </c>
      <c r="G7812" s="83">
        <v>46117.0</v>
      </c>
      <c r="H7812" s="76" t="s">
        <v>971</v>
      </c>
    </row>
    <row r="7813">
      <c r="A7813" s="76" t="s">
        <v>29</v>
      </c>
      <c r="B7813" s="76" t="s">
        <v>1031</v>
      </c>
      <c r="C7813" s="84">
        <v>1.02</v>
      </c>
      <c r="D7813" s="84">
        <v>0.0</v>
      </c>
      <c r="E7813" s="84">
        <v>0.0</v>
      </c>
      <c r="F7813" s="76" t="s">
        <v>948</v>
      </c>
      <c r="G7813" s="83">
        <v>46117.0</v>
      </c>
      <c r="H7813" s="76" t="s">
        <v>972</v>
      </c>
    </row>
    <row r="7814">
      <c r="A7814" s="76" t="s">
        <v>29</v>
      </c>
      <c r="B7814" s="76" t="s">
        <v>1031</v>
      </c>
      <c r="C7814" s="84">
        <v>9.16</v>
      </c>
      <c r="D7814" s="84">
        <v>1.0</v>
      </c>
      <c r="E7814" s="84">
        <v>9.16</v>
      </c>
      <c r="F7814" s="76" t="s">
        <v>948</v>
      </c>
      <c r="G7814" s="83">
        <v>46117.0</v>
      </c>
      <c r="H7814" s="76" t="s">
        <v>973</v>
      </c>
    </row>
    <row r="7815">
      <c r="A7815" s="76" t="s">
        <v>40</v>
      </c>
      <c r="B7815" s="76" t="s">
        <v>1031</v>
      </c>
      <c r="C7815" s="84">
        <v>0.87</v>
      </c>
      <c r="D7815" s="84">
        <v>0.0</v>
      </c>
      <c r="E7815" s="84">
        <v>0.0</v>
      </c>
      <c r="F7815" s="76" t="s">
        <v>948</v>
      </c>
      <c r="G7815" s="83">
        <v>46117.0</v>
      </c>
      <c r="H7815" s="76" t="s">
        <v>954</v>
      </c>
    </row>
    <row r="7816">
      <c r="A7816" s="76" t="s">
        <v>40</v>
      </c>
      <c r="B7816" s="76" t="s">
        <v>1031</v>
      </c>
      <c r="C7816" s="84">
        <v>0.19</v>
      </c>
      <c r="D7816" s="84">
        <v>0.0</v>
      </c>
      <c r="E7816" s="84">
        <v>0.0</v>
      </c>
      <c r="F7816" s="76" t="s">
        <v>948</v>
      </c>
      <c r="G7816" s="83">
        <v>46117.0</v>
      </c>
      <c r="H7816" s="76" t="s">
        <v>955</v>
      </c>
    </row>
    <row r="7817">
      <c r="A7817" s="76" t="s">
        <v>40</v>
      </c>
      <c r="B7817" s="76" t="s">
        <v>1031</v>
      </c>
      <c r="C7817" s="84">
        <v>9.15</v>
      </c>
      <c r="D7817" s="84">
        <v>2.0</v>
      </c>
      <c r="E7817" s="84">
        <v>4.58</v>
      </c>
      <c r="F7817" s="76" t="s">
        <v>948</v>
      </c>
      <c r="G7817" s="83">
        <v>46117.0</v>
      </c>
      <c r="H7817" s="76" t="s">
        <v>956</v>
      </c>
    </row>
    <row r="7818">
      <c r="A7818" s="76" t="s">
        <v>46</v>
      </c>
      <c r="B7818" s="76" t="s">
        <v>1030</v>
      </c>
      <c r="C7818" s="84">
        <v>0.46</v>
      </c>
      <c r="D7818" s="84">
        <v>0.0</v>
      </c>
      <c r="E7818" s="84">
        <v>0.0</v>
      </c>
      <c r="F7818" s="76" t="s">
        <v>974</v>
      </c>
      <c r="G7818" s="83">
        <v>46117.0</v>
      </c>
      <c r="H7818" s="76" t="s">
        <v>960</v>
      </c>
    </row>
    <row r="7819">
      <c r="A7819" s="76" t="s">
        <v>46</v>
      </c>
      <c r="B7819" s="76" t="s">
        <v>1030</v>
      </c>
      <c r="C7819" s="84">
        <v>0.02</v>
      </c>
      <c r="D7819" s="84">
        <v>0.0</v>
      </c>
      <c r="E7819" s="84">
        <v>0.0</v>
      </c>
      <c r="F7819" s="76" t="s">
        <v>974</v>
      </c>
      <c r="G7819" s="83">
        <v>46117.0</v>
      </c>
      <c r="H7819" s="76" t="s">
        <v>962</v>
      </c>
    </row>
    <row r="7820">
      <c r="A7820" s="76" t="s">
        <v>34</v>
      </c>
      <c r="B7820" s="76" t="s">
        <v>1030</v>
      </c>
      <c r="C7820" s="84">
        <v>0.12</v>
      </c>
      <c r="D7820" s="84">
        <v>0.0</v>
      </c>
      <c r="E7820" s="84">
        <v>0.0</v>
      </c>
      <c r="F7820" s="76" t="s">
        <v>974</v>
      </c>
      <c r="G7820" s="83">
        <v>46117.0</v>
      </c>
      <c r="H7820" s="76" t="s">
        <v>951</v>
      </c>
    </row>
    <row r="7821">
      <c r="A7821" s="76" t="s">
        <v>34</v>
      </c>
      <c r="B7821" s="76" t="s">
        <v>1030</v>
      </c>
      <c r="C7821" s="84">
        <v>0.16</v>
      </c>
      <c r="D7821" s="84">
        <v>0.0</v>
      </c>
      <c r="E7821" s="84">
        <v>0.0</v>
      </c>
      <c r="F7821" s="76" t="s">
        <v>974</v>
      </c>
      <c r="G7821" s="83">
        <v>46117.0</v>
      </c>
      <c r="H7821" s="76" t="s">
        <v>952</v>
      </c>
    </row>
    <row r="7822">
      <c r="A7822" s="76" t="s">
        <v>34</v>
      </c>
      <c r="B7822" s="76" t="s">
        <v>1030</v>
      </c>
      <c r="C7822" s="84">
        <v>0.04</v>
      </c>
      <c r="D7822" s="84">
        <v>0.0</v>
      </c>
      <c r="E7822" s="84">
        <v>0.0</v>
      </c>
      <c r="F7822" s="76" t="s">
        <v>974</v>
      </c>
      <c r="G7822" s="83">
        <v>46117.0</v>
      </c>
      <c r="H7822" s="76" t="s">
        <v>953</v>
      </c>
    </row>
    <row r="7823">
      <c r="A7823" s="76" t="s">
        <v>43</v>
      </c>
      <c r="B7823" s="76" t="s">
        <v>1030</v>
      </c>
      <c r="C7823" s="84">
        <v>0.01</v>
      </c>
      <c r="D7823" s="84">
        <v>0.0</v>
      </c>
      <c r="E7823" s="84">
        <v>0.0</v>
      </c>
      <c r="F7823" s="76" t="s">
        <v>974</v>
      </c>
      <c r="G7823" s="83">
        <v>46117.0</v>
      </c>
      <c r="H7823" s="76" t="s">
        <v>963</v>
      </c>
    </row>
    <row r="7824">
      <c r="A7824" s="76" t="s">
        <v>43</v>
      </c>
      <c r="B7824" s="76" t="s">
        <v>1030</v>
      </c>
      <c r="C7824" s="84">
        <v>0.07</v>
      </c>
      <c r="D7824" s="84">
        <v>0.0</v>
      </c>
      <c r="E7824" s="84">
        <v>0.0</v>
      </c>
      <c r="F7824" s="76" t="s">
        <v>974</v>
      </c>
      <c r="G7824" s="83">
        <v>46117.0</v>
      </c>
      <c r="H7824" s="76" t="s">
        <v>964</v>
      </c>
    </row>
    <row r="7825">
      <c r="A7825" s="76" t="s">
        <v>43</v>
      </c>
      <c r="B7825" s="76" t="s">
        <v>1030</v>
      </c>
      <c r="C7825" s="84">
        <v>0.21</v>
      </c>
      <c r="D7825" s="84">
        <v>0.0</v>
      </c>
      <c r="E7825" s="84">
        <v>0.0</v>
      </c>
      <c r="F7825" s="76" t="s">
        <v>974</v>
      </c>
      <c r="G7825" s="83">
        <v>46117.0</v>
      </c>
      <c r="H7825" s="76" t="s">
        <v>965</v>
      </c>
    </row>
    <row r="7826">
      <c r="A7826" s="76" t="s">
        <v>36</v>
      </c>
      <c r="B7826" s="76" t="s">
        <v>1030</v>
      </c>
      <c r="C7826" s="84">
        <v>0.07</v>
      </c>
      <c r="D7826" s="84">
        <v>0.0</v>
      </c>
      <c r="E7826" s="84">
        <v>0.0</v>
      </c>
      <c r="F7826" s="76" t="s">
        <v>974</v>
      </c>
      <c r="G7826" s="83">
        <v>46117.0</v>
      </c>
      <c r="H7826" s="76" t="s">
        <v>926</v>
      </c>
    </row>
    <row r="7827">
      <c r="A7827" s="76" t="s">
        <v>36</v>
      </c>
      <c r="B7827" s="76" t="s">
        <v>1030</v>
      </c>
      <c r="C7827" s="84">
        <v>0.06</v>
      </c>
      <c r="D7827" s="84">
        <v>0.0</v>
      </c>
      <c r="E7827" s="84">
        <v>0.0</v>
      </c>
      <c r="F7827" s="76" t="s">
        <v>974</v>
      </c>
      <c r="G7827" s="83">
        <v>46117.0</v>
      </c>
      <c r="H7827" s="76" t="s">
        <v>927</v>
      </c>
    </row>
    <row r="7828">
      <c r="A7828" s="76" t="s">
        <v>36</v>
      </c>
      <c r="B7828" s="76" t="s">
        <v>1030</v>
      </c>
      <c r="C7828" s="84">
        <v>0.07</v>
      </c>
      <c r="D7828" s="84">
        <v>0.0</v>
      </c>
      <c r="E7828" s="84">
        <v>0.0</v>
      </c>
      <c r="F7828" s="76" t="s">
        <v>974</v>
      </c>
      <c r="G7828" s="83">
        <v>46117.0</v>
      </c>
      <c r="H7828" s="76" t="s">
        <v>928</v>
      </c>
    </row>
    <row r="7829">
      <c r="A7829" s="76" t="s">
        <v>33</v>
      </c>
      <c r="B7829" s="76" t="s">
        <v>1030</v>
      </c>
      <c r="C7829" s="84">
        <v>0.59</v>
      </c>
      <c r="D7829" s="84">
        <v>0.0</v>
      </c>
      <c r="E7829" s="84">
        <v>0.0</v>
      </c>
      <c r="F7829" s="76" t="s">
        <v>974</v>
      </c>
      <c r="G7829" s="83">
        <v>46117.0</v>
      </c>
      <c r="H7829" s="76" t="s">
        <v>957</v>
      </c>
    </row>
    <row r="7830">
      <c r="A7830" s="76" t="s">
        <v>33</v>
      </c>
      <c r="B7830" s="76" t="s">
        <v>1030</v>
      </c>
      <c r="C7830" s="84">
        <v>0.17</v>
      </c>
      <c r="D7830" s="84">
        <v>0.0</v>
      </c>
      <c r="E7830" s="84">
        <v>0.0</v>
      </c>
      <c r="F7830" s="76" t="s">
        <v>974</v>
      </c>
      <c r="G7830" s="83">
        <v>46117.0</v>
      </c>
      <c r="H7830" s="76" t="s">
        <v>958</v>
      </c>
    </row>
    <row r="7831">
      <c r="A7831" s="76" t="s">
        <v>33</v>
      </c>
      <c r="B7831" s="76" t="s">
        <v>1030</v>
      </c>
      <c r="C7831" s="84">
        <v>0.35</v>
      </c>
      <c r="D7831" s="84">
        <v>0.0</v>
      </c>
      <c r="E7831" s="84">
        <v>0.0</v>
      </c>
      <c r="F7831" s="76" t="s">
        <v>974</v>
      </c>
      <c r="G7831" s="83">
        <v>46117.0</v>
      </c>
      <c r="H7831" s="76" t="s">
        <v>959</v>
      </c>
    </row>
    <row r="7832">
      <c r="A7832" s="76" t="s">
        <v>966</v>
      </c>
      <c r="B7832" s="76" t="s">
        <v>1030</v>
      </c>
      <c r="C7832" s="84">
        <v>0.14</v>
      </c>
      <c r="D7832" s="84">
        <v>0.0</v>
      </c>
      <c r="E7832" s="84">
        <v>0.0</v>
      </c>
      <c r="F7832" s="76" t="s">
        <v>974</v>
      </c>
      <c r="G7832" s="83">
        <v>46117.0</v>
      </c>
      <c r="H7832" s="76" t="s">
        <v>967</v>
      </c>
    </row>
    <row r="7833">
      <c r="A7833" s="76" t="s">
        <v>966</v>
      </c>
      <c r="B7833" s="76" t="s">
        <v>1030</v>
      </c>
      <c r="C7833" s="84">
        <v>0.02</v>
      </c>
      <c r="D7833" s="84">
        <v>0.0</v>
      </c>
      <c r="E7833" s="84">
        <v>0.0</v>
      </c>
      <c r="F7833" s="76" t="s">
        <v>974</v>
      </c>
      <c r="G7833" s="83">
        <v>46117.0</v>
      </c>
      <c r="H7833" s="76" t="s">
        <v>968</v>
      </c>
    </row>
    <row r="7834">
      <c r="A7834" s="76" t="s">
        <v>966</v>
      </c>
      <c r="B7834" s="76" t="s">
        <v>1030</v>
      </c>
      <c r="C7834" s="84">
        <v>0.03</v>
      </c>
      <c r="D7834" s="84">
        <v>0.0</v>
      </c>
      <c r="E7834" s="84">
        <v>0.0</v>
      </c>
      <c r="F7834" s="76" t="s">
        <v>974</v>
      </c>
      <c r="G7834" s="83">
        <v>46117.0</v>
      </c>
      <c r="H7834" s="76" t="s">
        <v>969</v>
      </c>
    </row>
    <row r="7835">
      <c r="A7835" s="76" t="s">
        <v>40</v>
      </c>
      <c r="B7835" s="76" t="s">
        <v>1030</v>
      </c>
      <c r="C7835" s="84">
        <v>0.06</v>
      </c>
      <c r="D7835" s="84">
        <v>0.0</v>
      </c>
      <c r="E7835" s="84">
        <v>0.0</v>
      </c>
      <c r="F7835" s="76" t="s">
        <v>974</v>
      </c>
      <c r="G7835" s="83">
        <v>46117.0</v>
      </c>
      <c r="H7835" s="76" t="s">
        <v>954</v>
      </c>
    </row>
    <row r="7836">
      <c r="A7836" s="76" t="s">
        <v>40</v>
      </c>
      <c r="B7836" s="76" t="s">
        <v>1030</v>
      </c>
      <c r="C7836" s="84">
        <v>0.01</v>
      </c>
      <c r="D7836" s="84">
        <v>0.0</v>
      </c>
      <c r="E7836" s="84">
        <v>0.0</v>
      </c>
      <c r="F7836" s="76" t="s">
        <v>974</v>
      </c>
      <c r="G7836" s="83">
        <v>46117.0</v>
      </c>
      <c r="H7836" s="76" t="s">
        <v>955</v>
      </c>
    </row>
    <row r="7837">
      <c r="A7837" s="76" t="s">
        <v>40</v>
      </c>
      <c r="B7837" s="76" t="s">
        <v>1030</v>
      </c>
      <c r="C7837" s="84">
        <v>0.19</v>
      </c>
      <c r="D7837" s="84">
        <v>0.0</v>
      </c>
      <c r="E7837" s="84">
        <v>0.0</v>
      </c>
      <c r="F7837" s="76" t="s">
        <v>974</v>
      </c>
      <c r="G7837" s="83">
        <v>46117.0</v>
      </c>
      <c r="H7837" s="76" t="s">
        <v>956</v>
      </c>
    </row>
    <row r="7838">
      <c r="A7838" s="76" t="s">
        <v>29</v>
      </c>
      <c r="B7838" s="76" t="s">
        <v>1030</v>
      </c>
      <c r="C7838" s="84">
        <v>0.18</v>
      </c>
      <c r="D7838" s="84">
        <v>0.0</v>
      </c>
      <c r="E7838" s="84">
        <v>0.0</v>
      </c>
      <c r="F7838" s="76" t="s">
        <v>974</v>
      </c>
      <c r="G7838" s="83">
        <v>46117.0</v>
      </c>
      <c r="H7838" s="76" t="s">
        <v>971</v>
      </c>
    </row>
    <row r="7839">
      <c r="A7839" s="76" t="s">
        <v>29</v>
      </c>
      <c r="B7839" s="76" t="s">
        <v>1030</v>
      </c>
      <c r="C7839" s="84">
        <v>0.03</v>
      </c>
      <c r="D7839" s="84">
        <v>0.0</v>
      </c>
      <c r="E7839" s="84">
        <v>0.0</v>
      </c>
      <c r="F7839" s="76" t="s">
        <v>974</v>
      </c>
      <c r="G7839" s="83">
        <v>46117.0</v>
      </c>
      <c r="H7839" s="76" t="s">
        <v>972</v>
      </c>
    </row>
    <row r="7840">
      <c r="A7840" s="76" t="s">
        <v>29</v>
      </c>
      <c r="B7840" s="76" t="s">
        <v>1030</v>
      </c>
      <c r="C7840" s="84">
        <v>0.36</v>
      </c>
      <c r="D7840" s="84">
        <v>0.0</v>
      </c>
      <c r="E7840" s="84">
        <v>0.0</v>
      </c>
      <c r="F7840" s="76" t="s">
        <v>974</v>
      </c>
      <c r="G7840" s="83">
        <v>46117.0</v>
      </c>
      <c r="H7840" s="76" t="s">
        <v>973</v>
      </c>
    </row>
    <row r="7841">
      <c r="A7841" s="76" t="s">
        <v>970</v>
      </c>
      <c r="B7841" s="76" t="s">
        <v>1030</v>
      </c>
      <c r="C7841" s="84">
        <v>0.09</v>
      </c>
      <c r="D7841" s="84">
        <v>0.0</v>
      </c>
      <c r="E7841" s="84">
        <v>0.0</v>
      </c>
      <c r="F7841" s="76" t="s">
        <v>974</v>
      </c>
      <c r="G7841" s="83">
        <v>46117.0</v>
      </c>
      <c r="H7841" s="76" t="s">
        <v>971</v>
      </c>
    </row>
    <row r="7842">
      <c r="A7842" s="76" t="s">
        <v>970</v>
      </c>
      <c r="B7842" s="76" t="s">
        <v>1030</v>
      </c>
      <c r="C7842" s="84">
        <v>0.0</v>
      </c>
      <c r="D7842" s="84">
        <v>0.0</v>
      </c>
      <c r="E7842" s="84">
        <v>0.0</v>
      </c>
      <c r="F7842" s="76" t="s">
        <v>974</v>
      </c>
      <c r="G7842" s="83">
        <v>46117.0</v>
      </c>
      <c r="H7842" s="76" t="s">
        <v>972</v>
      </c>
    </row>
    <row r="7843">
      <c r="A7843" s="76" t="s">
        <v>970</v>
      </c>
      <c r="B7843" s="76" t="s">
        <v>1030</v>
      </c>
      <c r="C7843" s="84">
        <v>0.38</v>
      </c>
      <c r="D7843" s="84">
        <v>0.0</v>
      </c>
      <c r="E7843" s="84">
        <v>0.0</v>
      </c>
      <c r="F7843" s="76" t="s">
        <v>974</v>
      </c>
      <c r="G7843" s="83">
        <v>46117.0</v>
      </c>
      <c r="H7843" s="76" t="s">
        <v>973</v>
      </c>
    </row>
    <row r="7844">
      <c r="A7844" s="76" t="s">
        <v>45</v>
      </c>
      <c r="B7844" s="76" t="s">
        <v>1038</v>
      </c>
      <c r="C7844" s="84">
        <v>0.24</v>
      </c>
      <c r="D7844" s="84">
        <v>0.0</v>
      </c>
      <c r="E7844" s="84">
        <v>0.0</v>
      </c>
      <c r="F7844" s="76" t="s">
        <v>975</v>
      </c>
      <c r="G7844" s="83">
        <v>46117.0</v>
      </c>
      <c r="H7844" s="76" t="s">
        <v>936</v>
      </c>
    </row>
    <row r="7845">
      <c r="A7845" s="76" t="s">
        <v>45</v>
      </c>
      <c r="B7845" s="76" t="s">
        <v>1038</v>
      </c>
      <c r="C7845" s="84">
        <v>1.11</v>
      </c>
      <c r="D7845" s="84">
        <v>0.0</v>
      </c>
      <c r="E7845" s="84">
        <v>0.0</v>
      </c>
      <c r="F7845" s="76" t="s">
        <v>975</v>
      </c>
      <c r="G7845" s="83">
        <v>46117.0</v>
      </c>
      <c r="H7845" s="76" t="s">
        <v>937</v>
      </c>
    </row>
    <row r="7846">
      <c r="A7846" s="76" t="s">
        <v>45</v>
      </c>
      <c r="B7846" s="76" t="s">
        <v>1038</v>
      </c>
      <c r="C7846" s="84">
        <v>4.44</v>
      </c>
      <c r="D7846" s="84">
        <v>1.0</v>
      </c>
      <c r="E7846" s="84">
        <v>4.44</v>
      </c>
      <c r="F7846" s="76" t="s">
        <v>975</v>
      </c>
      <c r="G7846" s="83">
        <v>46117.0</v>
      </c>
      <c r="H7846" s="76" t="s">
        <v>938</v>
      </c>
    </row>
    <row r="7847">
      <c r="A7847" s="76" t="s">
        <v>36</v>
      </c>
      <c r="B7847" s="76" t="s">
        <v>1038</v>
      </c>
      <c r="C7847" s="84">
        <v>16.95</v>
      </c>
      <c r="D7847" s="84">
        <v>0.0</v>
      </c>
      <c r="E7847" s="84">
        <v>0.0</v>
      </c>
      <c r="F7847" s="76" t="s">
        <v>975</v>
      </c>
      <c r="G7847" s="83">
        <v>46117.0</v>
      </c>
      <c r="H7847" s="76" t="s">
        <v>926</v>
      </c>
    </row>
    <row r="7848">
      <c r="A7848" s="76" t="s">
        <v>36</v>
      </c>
      <c r="B7848" s="76" t="s">
        <v>1038</v>
      </c>
      <c r="C7848" s="84">
        <v>0.39</v>
      </c>
      <c r="D7848" s="84">
        <v>0.0</v>
      </c>
      <c r="E7848" s="84">
        <v>0.0</v>
      </c>
      <c r="F7848" s="76" t="s">
        <v>975</v>
      </c>
      <c r="G7848" s="83">
        <v>46117.0</v>
      </c>
      <c r="H7848" s="76" t="s">
        <v>927</v>
      </c>
    </row>
    <row r="7849">
      <c r="A7849" s="76" t="s">
        <v>36</v>
      </c>
      <c r="B7849" s="76" t="s">
        <v>1038</v>
      </c>
      <c r="C7849" s="84">
        <v>0.45</v>
      </c>
      <c r="D7849" s="84">
        <v>0.0</v>
      </c>
      <c r="E7849" s="84">
        <v>0.0</v>
      </c>
      <c r="F7849" s="76" t="s">
        <v>975</v>
      </c>
      <c r="G7849" s="83">
        <v>46117.0</v>
      </c>
      <c r="H7849" s="76" t="s">
        <v>928</v>
      </c>
    </row>
    <row r="7850">
      <c r="A7850" s="76" t="s">
        <v>50</v>
      </c>
      <c r="B7850" s="76" t="s">
        <v>1038</v>
      </c>
      <c r="C7850" s="84">
        <v>0.55</v>
      </c>
      <c r="D7850" s="84">
        <v>0.0</v>
      </c>
      <c r="E7850" s="84">
        <v>0.0</v>
      </c>
      <c r="F7850" s="76" t="s">
        <v>975</v>
      </c>
      <c r="G7850" s="83">
        <v>46117.0</v>
      </c>
      <c r="H7850" s="76" t="s">
        <v>939</v>
      </c>
    </row>
    <row r="7851">
      <c r="A7851" s="76" t="s">
        <v>50</v>
      </c>
      <c r="B7851" s="76" t="s">
        <v>1038</v>
      </c>
      <c r="C7851" s="84">
        <v>0.41</v>
      </c>
      <c r="D7851" s="84">
        <v>0.0</v>
      </c>
      <c r="E7851" s="84">
        <v>0.0</v>
      </c>
      <c r="F7851" s="76" t="s">
        <v>975</v>
      </c>
      <c r="G7851" s="83">
        <v>46117.0</v>
      </c>
      <c r="H7851" s="76" t="s">
        <v>940</v>
      </c>
    </row>
    <row r="7852">
      <c r="A7852" s="76" t="s">
        <v>944</v>
      </c>
      <c r="B7852" s="76" t="s">
        <v>1038</v>
      </c>
      <c r="C7852" s="84">
        <v>0.83</v>
      </c>
      <c r="D7852" s="84">
        <v>0.0</v>
      </c>
      <c r="E7852" s="84">
        <v>0.0</v>
      </c>
      <c r="F7852" s="76" t="s">
        <v>975</v>
      </c>
      <c r="G7852" s="83">
        <v>46117.0</v>
      </c>
      <c r="H7852" s="76" t="s">
        <v>945</v>
      </c>
    </row>
    <row r="7853">
      <c r="A7853" s="76" t="s">
        <v>944</v>
      </c>
      <c r="B7853" s="76" t="s">
        <v>1038</v>
      </c>
      <c r="C7853" s="84">
        <v>0.28</v>
      </c>
      <c r="D7853" s="84">
        <v>0.0</v>
      </c>
      <c r="E7853" s="84">
        <v>0.0</v>
      </c>
      <c r="F7853" s="76" t="s">
        <v>975</v>
      </c>
      <c r="G7853" s="83">
        <v>46117.0</v>
      </c>
      <c r="H7853" s="76" t="s">
        <v>946</v>
      </c>
    </row>
    <row r="7854">
      <c r="A7854" s="76" t="s">
        <v>944</v>
      </c>
      <c r="B7854" s="76" t="s">
        <v>1038</v>
      </c>
      <c r="C7854" s="84">
        <v>1.37</v>
      </c>
      <c r="D7854" s="84">
        <v>0.0</v>
      </c>
      <c r="E7854" s="84">
        <v>0.0</v>
      </c>
      <c r="F7854" s="76" t="s">
        <v>975</v>
      </c>
      <c r="G7854" s="83">
        <v>46117.0</v>
      </c>
      <c r="H7854" s="76" t="s">
        <v>947</v>
      </c>
    </row>
    <row r="7855">
      <c r="A7855" s="76" t="s">
        <v>26</v>
      </c>
      <c r="B7855" s="76" t="s">
        <v>1038</v>
      </c>
      <c r="C7855" s="84">
        <v>0.23</v>
      </c>
      <c r="D7855" s="84">
        <v>0.0</v>
      </c>
      <c r="E7855" s="84">
        <v>0.0</v>
      </c>
      <c r="F7855" s="76" t="s">
        <v>975</v>
      </c>
      <c r="G7855" s="83">
        <v>46117.0</v>
      </c>
      <c r="H7855" s="76" t="s">
        <v>1012</v>
      </c>
    </row>
    <row r="7856">
      <c r="A7856" s="76" t="s">
        <v>26</v>
      </c>
      <c r="B7856" s="76" t="s">
        <v>1038</v>
      </c>
      <c r="C7856" s="84">
        <v>6.21</v>
      </c>
      <c r="D7856" s="84">
        <v>2.0</v>
      </c>
      <c r="E7856" s="84">
        <v>3.1</v>
      </c>
      <c r="F7856" s="76" t="s">
        <v>975</v>
      </c>
      <c r="G7856" s="83">
        <v>46117.0</v>
      </c>
      <c r="H7856" s="76" t="s">
        <v>1013</v>
      </c>
    </row>
    <row r="7857">
      <c r="A7857" s="76" t="s">
        <v>26</v>
      </c>
      <c r="B7857" s="76" t="s">
        <v>1038</v>
      </c>
      <c r="C7857" s="84">
        <v>1.37</v>
      </c>
      <c r="D7857" s="84">
        <v>0.0</v>
      </c>
      <c r="E7857" s="84">
        <v>0.0</v>
      </c>
      <c r="F7857" s="76" t="s">
        <v>975</v>
      </c>
      <c r="G7857" s="83">
        <v>46117.0</v>
      </c>
      <c r="H7857" s="76" t="s">
        <v>1014</v>
      </c>
    </row>
    <row r="7858">
      <c r="A7858" s="76" t="s">
        <v>32</v>
      </c>
      <c r="B7858" s="76" t="s">
        <v>1038</v>
      </c>
      <c r="C7858" s="84">
        <v>3.47</v>
      </c>
      <c r="D7858" s="84">
        <v>2.0</v>
      </c>
      <c r="E7858" s="84">
        <v>1.73</v>
      </c>
      <c r="F7858" s="76" t="s">
        <v>975</v>
      </c>
      <c r="G7858" s="83">
        <v>46117.0</v>
      </c>
      <c r="H7858" s="76" t="s">
        <v>941</v>
      </c>
    </row>
    <row r="7859">
      <c r="A7859" s="76" t="s">
        <v>32</v>
      </c>
      <c r="B7859" s="76" t="s">
        <v>1038</v>
      </c>
      <c r="C7859" s="84">
        <v>0.69</v>
      </c>
      <c r="D7859" s="84">
        <v>0.0</v>
      </c>
      <c r="E7859" s="84">
        <v>0.0</v>
      </c>
      <c r="F7859" s="76" t="s">
        <v>975</v>
      </c>
      <c r="G7859" s="83">
        <v>46117.0</v>
      </c>
      <c r="H7859" s="76" t="s">
        <v>942</v>
      </c>
    </row>
    <row r="7860">
      <c r="A7860" s="76" t="s">
        <v>32</v>
      </c>
      <c r="B7860" s="76" t="s">
        <v>1038</v>
      </c>
      <c r="C7860" s="84">
        <v>27.26</v>
      </c>
      <c r="D7860" s="84">
        <v>1.0</v>
      </c>
      <c r="E7860" s="84">
        <v>27.26</v>
      </c>
      <c r="F7860" s="76" t="s">
        <v>975</v>
      </c>
      <c r="G7860" s="83">
        <v>46117.0</v>
      </c>
      <c r="H7860" s="76" t="s">
        <v>943</v>
      </c>
    </row>
    <row r="7861">
      <c r="A7861" s="76" t="s">
        <v>42</v>
      </c>
      <c r="B7861" s="76" t="s">
        <v>1038</v>
      </c>
      <c r="C7861" s="84">
        <v>0.39</v>
      </c>
      <c r="D7861" s="84">
        <v>0.0</v>
      </c>
      <c r="E7861" s="84">
        <v>0.0</v>
      </c>
      <c r="F7861" s="76" t="s">
        <v>975</v>
      </c>
      <c r="G7861" s="83">
        <v>46117.0</v>
      </c>
      <c r="H7861" s="76" t="s">
        <v>991</v>
      </c>
    </row>
    <row r="7862">
      <c r="A7862" s="76" t="s">
        <v>42</v>
      </c>
      <c r="B7862" s="76" t="s">
        <v>1038</v>
      </c>
      <c r="C7862" s="84">
        <v>0.62</v>
      </c>
      <c r="D7862" s="84">
        <v>1.0</v>
      </c>
      <c r="E7862" s="84">
        <v>0.62</v>
      </c>
      <c r="F7862" s="76" t="s">
        <v>975</v>
      </c>
      <c r="G7862" s="83">
        <v>46117.0</v>
      </c>
      <c r="H7862" s="76" t="s">
        <v>935</v>
      </c>
    </row>
    <row r="7863">
      <c r="A7863" s="76" t="s">
        <v>31</v>
      </c>
      <c r="B7863" s="76" t="s">
        <v>1038</v>
      </c>
      <c r="C7863" s="84">
        <v>1.59</v>
      </c>
      <c r="D7863" s="84">
        <v>0.0</v>
      </c>
      <c r="E7863" s="84">
        <v>0.0</v>
      </c>
      <c r="F7863" s="76" t="s">
        <v>975</v>
      </c>
      <c r="G7863" s="83">
        <v>46117.0</v>
      </c>
      <c r="H7863" s="76" t="s">
        <v>929</v>
      </c>
    </row>
    <row r="7864">
      <c r="A7864" s="76" t="s">
        <v>31</v>
      </c>
      <c r="B7864" s="76" t="s">
        <v>1038</v>
      </c>
      <c r="C7864" s="84">
        <v>26.2</v>
      </c>
      <c r="D7864" s="84">
        <v>0.0</v>
      </c>
      <c r="E7864" s="84">
        <v>0.0</v>
      </c>
      <c r="F7864" s="76" t="s">
        <v>975</v>
      </c>
      <c r="G7864" s="83">
        <v>46117.0</v>
      </c>
      <c r="H7864" s="76" t="s">
        <v>930</v>
      </c>
    </row>
    <row r="7865">
      <c r="A7865" s="76" t="s">
        <v>28</v>
      </c>
      <c r="B7865" s="76" t="s">
        <v>1038</v>
      </c>
      <c r="C7865" s="84">
        <v>0.35</v>
      </c>
      <c r="D7865" s="84">
        <v>0.0</v>
      </c>
      <c r="E7865" s="84">
        <v>0.0</v>
      </c>
      <c r="F7865" s="76" t="s">
        <v>975</v>
      </c>
      <c r="G7865" s="83">
        <v>46117.0</v>
      </c>
      <c r="H7865" s="76" t="s">
        <v>931</v>
      </c>
    </row>
    <row r="7866">
      <c r="A7866" s="76" t="s">
        <v>28</v>
      </c>
      <c r="B7866" s="76" t="s">
        <v>1038</v>
      </c>
      <c r="C7866" s="84">
        <v>0.17</v>
      </c>
      <c r="D7866" s="84">
        <v>0.0</v>
      </c>
      <c r="E7866" s="84">
        <v>0.0</v>
      </c>
      <c r="F7866" s="76" t="s">
        <v>975</v>
      </c>
      <c r="G7866" s="83">
        <v>46117.0</v>
      </c>
      <c r="H7866" s="76" t="s">
        <v>932</v>
      </c>
    </row>
    <row r="7867">
      <c r="A7867" s="76" t="s">
        <v>28</v>
      </c>
      <c r="B7867" s="76" t="s">
        <v>1038</v>
      </c>
      <c r="C7867" s="84">
        <v>5.93</v>
      </c>
      <c r="D7867" s="84">
        <v>0.0</v>
      </c>
      <c r="E7867" s="84">
        <v>0.0</v>
      </c>
      <c r="F7867" s="76" t="s">
        <v>975</v>
      </c>
      <c r="G7867" s="83">
        <v>46117.0</v>
      </c>
      <c r="H7867" s="76" t="s">
        <v>933</v>
      </c>
    </row>
    <row r="7868">
      <c r="A7868" s="76" t="s">
        <v>45</v>
      </c>
      <c r="B7868" s="76" t="s">
        <v>1038</v>
      </c>
      <c r="C7868" s="84">
        <v>0.05</v>
      </c>
      <c r="D7868" s="84">
        <v>0.0</v>
      </c>
      <c r="E7868" s="84">
        <v>0.0</v>
      </c>
      <c r="F7868" s="76" t="s">
        <v>950</v>
      </c>
      <c r="G7868" s="83">
        <v>46117.0</v>
      </c>
      <c r="H7868" s="76" t="s">
        <v>936</v>
      </c>
    </row>
    <row r="7869">
      <c r="A7869" s="76" t="s">
        <v>45</v>
      </c>
      <c r="B7869" s="76" t="s">
        <v>1038</v>
      </c>
      <c r="C7869" s="84">
        <v>0.06</v>
      </c>
      <c r="D7869" s="84">
        <v>0.0</v>
      </c>
      <c r="E7869" s="84">
        <v>0.0</v>
      </c>
      <c r="F7869" s="76" t="s">
        <v>950</v>
      </c>
      <c r="G7869" s="83">
        <v>46117.0</v>
      </c>
      <c r="H7869" s="76" t="s">
        <v>937</v>
      </c>
    </row>
    <row r="7870">
      <c r="A7870" s="76" t="s">
        <v>45</v>
      </c>
      <c r="B7870" s="76" t="s">
        <v>1038</v>
      </c>
      <c r="C7870" s="84">
        <v>9.47</v>
      </c>
      <c r="D7870" s="84">
        <v>1.0</v>
      </c>
      <c r="E7870" s="84">
        <v>9.47</v>
      </c>
      <c r="F7870" s="76" t="s">
        <v>950</v>
      </c>
      <c r="G7870" s="83">
        <v>46117.0</v>
      </c>
      <c r="H7870" s="76" t="s">
        <v>938</v>
      </c>
    </row>
    <row r="7871">
      <c r="A7871" s="76" t="s">
        <v>28</v>
      </c>
      <c r="B7871" s="76" t="s">
        <v>1038</v>
      </c>
      <c r="C7871" s="84">
        <v>0.08</v>
      </c>
      <c r="D7871" s="84">
        <v>0.0</v>
      </c>
      <c r="E7871" s="84">
        <v>0.0</v>
      </c>
      <c r="F7871" s="76" t="s">
        <v>950</v>
      </c>
      <c r="G7871" s="83">
        <v>46117.0</v>
      </c>
      <c r="H7871" s="76" t="s">
        <v>931</v>
      </c>
    </row>
    <row r="7872">
      <c r="A7872" s="76" t="s">
        <v>28</v>
      </c>
      <c r="B7872" s="76" t="s">
        <v>1038</v>
      </c>
      <c r="C7872" s="84">
        <v>0.04</v>
      </c>
      <c r="D7872" s="84">
        <v>0.0</v>
      </c>
      <c r="E7872" s="84">
        <v>0.0</v>
      </c>
      <c r="F7872" s="76" t="s">
        <v>950</v>
      </c>
      <c r="G7872" s="83">
        <v>46117.0</v>
      </c>
      <c r="H7872" s="76" t="s">
        <v>932</v>
      </c>
    </row>
    <row r="7873">
      <c r="A7873" s="76" t="s">
        <v>28</v>
      </c>
      <c r="B7873" s="76" t="s">
        <v>1038</v>
      </c>
      <c r="C7873" s="84">
        <v>2.25</v>
      </c>
      <c r="D7873" s="84">
        <v>0.0</v>
      </c>
      <c r="E7873" s="84">
        <v>0.0</v>
      </c>
      <c r="F7873" s="76" t="s">
        <v>950</v>
      </c>
      <c r="G7873" s="83">
        <v>46117.0</v>
      </c>
      <c r="H7873" s="76" t="s">
        <v>933</v>
      </c>
    </row>
    <row r="7874">
      <c r="A7874" s="76" t="s">
        <v>42</v>
      </c>
      <c r="B7874" s="76" t="s">
        <v>1038</v>
      </c>
      <c r="C7874" s="84">
        <v>0.27</v>
      </c>
      <c r="D7874" s="84">
        <v>0.0</v>
      </c>
      <c r="E7874" s="84">
        <v>0.0</v>
      </c>
      <c r="F7874" s="76" t="s">
        <v>950</v>
      </c>
      <c r="G7874" s="83">
        <v>46117.0</v>
      </c>
      <c r="H7874" s="76" t="s">
        <v>991</v>
      </c>
    </row>
    <row r="7875">
      <c r="A7875" s="76" t="s">
        <v>42</v>
      </c>
      <c r="B7875" s="76" t="s">
        <v>1038</v>
      </c>
      <c r="C7875" s="84">
        <v>0.87</v>
      </c>
      <c r="D7875" s="84">
        <v>0.0</v>
      </c>
      <c r="E7875" s="84">
        <v>0.0</v>
      </c>
      <c r="F7875" s="76" t="s">
        <v>950</v>
      </c>
      <c r="G7875" s="83">
        <v>46117.0</v>
      </c>
      <c r="H7875" s="76" t="s">
        <v>935</v>
      </c>
    </row>
    <row r="7876">
      <c r="A7876" s="76" t="s">
        <v>36</v>
      </c>
      <c r="B7876" s="76" t="s">
        <v>1038</v>
      </c>
      <c r="C7876" s="84">
        <v>4.28</v>
      </c>
      <c r="D7876" s="84">
        <v>1.0</v>
      </c>
      <c r="E7876" s="84">
        <v>4.28</v>
      </c>
      <c r="F7876" s="76" t="s">
        <v>950</v>
      </c>
      <c r="G7876" s="83">
        <v>46117.0</v>
      </c>
      <c r="H7876" s="76" t="s">
        <v>926</v>
      </c>
    </row>
    <row r="7877">
      <c r="A7877" s="76" t="s">
        <v>36</v>
      </c>
      <c r="B7877" s="76" t="s">
        <v>1038</v>
      </c>
      <c r="C7877" s="84">
        <v>0.18</v>
      </c>
      <c r="D7877" s="84">
        <v>0.0</v>
      </c>
      <c r="E7877" s="84">
        <v>0.0</v>
      </c>
      <c r="F7877" s="76" t="s">
        <v>950</v>
      </c>
      <c r="G7877" s="83">
        <v>46117.0</v>
      </c>
      <c r="H7877" s="76" t="s">
        <v>927</v>
      </c>
    </row>
    <row r="7878">
      <c r="A7878" s="76" t="s">
        <v>36</v>
      </c>
      <c r="B7878" s="76" t="s">
        <v>1038</v>
      </c>
      <c r="C7878" s="84">
        <v>0.15</v>
      </c>
      <c r="D7878" s="84">
        <v>0.0</v>
      </c>
      <c r="E7878" s="84">
        <v>0.0</v>
      </c>
      <c r="F7878" s="76" t="s">
        <v>950</v>
      </c>
      <c r="G7878" s="83">
        <v>46117.0</v>
      </c>
      <c r="H7878" s="76" t="s">
        <v>928</v>
      </c>
    </row>
    <row r="7879">
      <c r="A7879" s="76" t="s">
        <v>31</v>
      </c>
      <c r="B7879" s="76" t="s">
        <v>1038</v>
      </c>
      <c r="C7879" s="84">
        <v>0.41</v>
      </c>
      <c r="D7879" s="84">
        <v>0.0</v>
      </c>
      <c r="E7879" s="84">
        <v>0.0</v>
      </c>
      <c r="F7879" s="76" t="s">
        <v>950</v>
      </c>
      <c r="G7879" s="83">
        <v>46117.0</v>
      </c>
      <c r="H7879" s="76" t="s">
        <v>929</v>
      </c>
    </row>
    <row r="7880">
      <c r="A7880" s="76" t="s">
        <v>31</v>
      </c>
      <c r="B7880" s="76" t="s">
        <v>1038</v>
      </c>
      <c r="C7880" s="84">
        <v>18.76</v>
      </c>
      <c r="D7880" s="84">
        <v>1.0</v>
      </c>
      <c r="E7880" s="84">
        <v>18.76</v>
      </c>
      <c r="F7880" s="76" t="s">
        <v>950</v>
      </c>
      <c r="G7880" s="83">
        <v>46117.0</v>
      </c>
      <c r="H7880" s="76" t="s">
        <v>930</v>
      </c>
    </row>
    <row r="7881">
      <c r="A7881" s="76" t="s">
        <v>50</v>
      </c>
      <c r="B7881" s="76" t="s">
        <v>1038</v>
      </c>
      <c r="C7881" s="84">
        <v>0.11</v>
      </c>
      <c r="D7881" s="84">
        <v>0.0</v>
      </c>
      <c r="E7881" s="84">
        <v>0.0</v>
      </c>
      <c r="F7881" s="76" t="s">
        <v>950</v>
      </c>
      <c r="G7881" s="83">
        <v>46117.0</v>
      </c>
      <c r="H7881" s="76" t="s">
        <v>939</v>
      </c>
    </row>
    <row r="7882">
      <c r="A7882" s="76" t="s">
        <v>50</v>
      </c>
      <c r="B7882" s="76" t="s">
        <v>1038</v>
      </c>
      <c r="C7882" s="84">
        <v>0.19</v>
      </c>
      <c r="D7882" s="84">
        <v>0.0</v>
      </c>
      <c r="E7882" s="84">
        <v>0.0</v>
      </c>
      <c r="F7882" s="76" t="s">
        <v>950</v>
      </c>
      <c r="G7882" s="83">
        <v>46117.0</v>
      </c>
      <c r="H7882" s="76" t="s">
        <v>940</v>
      </c>
    </row>
    <row r="7883">
      <c r="A7883" s="76" t="s">
        <v>26</v>
      </c>
      <c r="B7883" s="76" t="s">
        <v>1038</v>
      </c>
      <c r="C7883" s="84">
        <v>0.19</v>
      </c>
      <c r="D7883" s="84">
        <v>0.0</v>
      </c>
      <c r="E7883" s="84">
        <v>0.0</v>
      </c>
      <c r="F7883" s="76" t="s">
        <v>950</v>
      </c>
      <c r="G7883" s="83">
        <v>46117.0</v>
      </c>
      <c r="H7883" s="76" t="s">
        <v>1012</v>
      </c>
    </row>
    <row r="7884">
      <c r="A7884" s="76" t="s">
        <v>26</v>
      </c>
      <c r="B7884" s="76" t="s">
        <v>1038</v>
      </c>
      <c r="C7884" s="84">
        <v>7.88</v>
      </c>
      <c r="D7884" s="84">
        <v>1.0</v>
      </c>
      <c r="E7884" s="84">
        <v>7.88</v>
      </c>
      <c r="F7884" s="76" t="s">
        <v>950</v>
      </c>
      <c r="G7884" s="83">
        <v>46117.0</v>
      </c>
      <c r="H7884" s="76" t="s">
        <v>1013</v>
      </c>
    </row>
    <row r="7885">
      <c r="A7885" s="76" t="s">
        <v>26</v>
      </c>
      <c r="B7885" s="76" t="s">
        <v>1038</v>
      </c>
      <c r="C7885" s="84">
        <v>0.53</v>
      </c>
      <c r="D7885" s="84">
        <v>0.0</v>
      </c>
      <c r="E7885" s="84">
        <v>0.0</v>
      </c>
      <c r="F7885" s="76" t="s">
        <v>950</v>
      </c>
      <c r="G7885" s="83">
        <v>46117.0</v>
      </c>
      <c r="H7885" s="76" t="s">
        <v>1014</v>
      </c>
    </row>
    <row r="7886">
      <c r="A7886" s="76" t="s">
        <v>944</v>
      </c>
      <c r="B7886" s="76" t="s">
        <v>1038</v>
      </c>
      <c r="C7886" s="84">
        <v>0.6</v>
      </c>
      <c r="D7886" s="84">
        <v>0.0</v>
      </c>
      <c r="E7886" s="84">
        <v>0.0</v>
      </c>
      <c r="F7886" s="76" t="s">
        <v>950</v>
      </c>
      <c r="G7886" s="83">
        <v>46117.0</v>
      </c>
      <c r="H7886" s="76" t="s">
        <v>945</v>
      </c>
    </row>
    <row r="7887">
      <c r="A7887" s="76" t="s">
        <v>944</v>
      </c>
      <c r="B7887" s="76" t="s">
        <v>1038</v>
      </c>
      <c r="C7887" s="84">
        <v>0.21</v>
      </c>
      <c r="D7887" s="84">
        <v>0.0</v>
      </c>
      <c r="E7887" s="84">
        <v>0.0</v>
      </c>
      <c r="F7887" s="76" t="s">
        <v>950</v>
      </c>
      <c r="G7887" s="83">
        <v>46117.0</v>
      </c>
      <c r="H7887" s="76" t="s">
        <v>946</v>
      </c>
    </row>
    <row r="7888">
      <c r="A7888" s="76" t="s">
        <v>944</v>
      </c>
      <c r="B7888" s="76" t="s">
        <v>1038</v>
      </c>
      <c r="C7888" s="84">
        <v>0.39</v>
      </c>
      <c r="D7888" s="84">
        <v>0.0</v>
      </c>
      <c r="E7888" s="84">
        <v>0.0</v>
      </c>
      <c r="F7888" s="76" t="s">
        <v>950</v>
      </c>
      <c r="G7888" s="83">
        <v>46117.0</v>
      </c>
      <c r="H7888" s="76" t="s">
        <v>947</v>
      </c>
    </row>
    <row r="7889">
      <c r="A7889" s="76" t="s">
        <v>32</v>
      </c>
      <c r="B7889" s="76" t="s">
        <v>1038</v>
      </c>
      <c r="C7889" s="84">
        <v>1.49</v>
      </c>
      <c r="D7889" s="84">
        <v>0.0</v>
      </c>
      <c r="E7889" s="84">
        <v>0.0</v>
      </c>
      <c r="F7889" s="76" t="s">
        <v>950</v>
      </c>
      <c r="G7889" s="83">
        <v>46117.0</v>
      </c>
      <c r="H7889" s="76" t="s">
        <v>941</v>
      </c>
    </row>
    <row r="7890">
      <c r="A7890" s="76" t="s">
        <v>32</v>
      </c>
      <c r="B7890" s="76" t="s">
        <v>1038</v>
      </c>
      <c r="C7890" s="84">
        <v>0.44</v>
      </c>
      <c r="D7890" s="84">
        <v>1.0</v>
      </c>
      <c r="E7890" s="84">
        <v>0.44</v>
      </c>
      <c r="F7890" s="76" t="s">
        <v>950</v>
      </c>
      <c r="G7890" s="83">
        <v>46117.0</v>
      </c>
      <c r="H7890" s="76" t="s">
        <v>942</v>
      </c>
    </row>
    <row r="7891">
      <c r="A7891" s="76" t="s">
        <v>32</v>
      </c>
      <c r="B7891" s="76" t="s">
        <v>1038</v>
      </c>
      <c r="C7891" s="84">
        <v>34.1</v>
      </c>
      <c r="D7891" s="84">
        <v>0.0</v>
      </c>
      <c r="E7891" s="84">
        <v>0.0</v>
      </c>
      <c r="F7891" s="76" t="s">
        <v>950</v>
      </c>
      <c r="G7891" s="83">
        <v>46117.0</v>
      </c>
      <c r="H7891" s="76" t="s">
        <v>943</v>
      </c>
    </row>
    <row r="7892">
      <c r="A7892" s="76" t="s">
        <v>31</v>
      </c>
      <c r="B7892" s="76" t="s">
        <v>1038</v>
      </c>
      <c r="C7892" s="84">
        <v>0.18</v>
      </c>
      <c r="D7892" s="84">
        <v>0.0</v>
      </c>
      <c r="E7892" s="84">
        <v>0.0</v>
      </c>
      <c r="F7892" s="76" t="s">
        <v>974</v>
      </c>
      <c r="G7892" s="83">
        <v>46117.0</v>
      </c>
      <c r="H7892" s="76" t="s">
        <v>929</v>
      </c>
    </row>
    <row r="7893">
      <c r="A7893" s="76" t="s">
        <v>31</v>
      </c>
      <c r="B7893" s="76" t="s">
        <v>1038</v>
      </c>
      <c r="C7893" s="84">
        <v>12.09</v>
      </c>
      <c r="D7893" s="84">
        <v>0.0</v>
      </c>
      <c r="E7893" s="84">
        <v>0.0</v>
      </c>
      <c r="F7893" s="76" t="s">
        <v>974</v>
      </c>
      <c r="G7893" s="83">
        <v>46117.0</v>
      </c>
      <c r="H7893" s="76" t="s">
        <v>930</v>
      </c>
    </row>
    <row r="7894">
      <c r="A7894" s="76" t="s">
        <v>45</v>
      </c>
      <c r="B7894" s="76" t="s">
        <v>1038</v>
      </c>
      <c r="C7894" s="84">
        <v>0.1</v>
      </c>
      <c r="D7894" s="84">
        <v>0.0</v>
      </c>
      <c r="E7894" s="84">
        <v>0.0</v>
      </c>
      <c r="F7894" s="76" t="s">
        <v>974</v>
      </c>
      <c r="G7894" s="83">
        <v>46117.0</v>
      </c>
      <c r="H7894" s="76" t="s">
        <v>936</v>
      </c>
    </row>
    <row r="7895">
      <c r="A7895" s="76" t="s">
        <v>45</v>
      </c>
      <c r="B7895" s="76" t="s">
        <v>1038</v>
      </c>
      <c r="C7895" s="84">
        <v>0.06</v>
      </c>
      <c r="D7895" s="84">
        <v>0.0</v>
      </c>
      <c r="E7895" s="84">
        <v>0.0</v>
      </c>
      <c r="F7895" s="76" t="s">
        <v>974</v>
      </c>
      <c r="G7895" s="83">
        <v>46117.0</v>
      </c>
      <c r="H7895" s="76" t="s">
        <v>937</v>
      </c>
    </row>
    <row r="7896">
      <c r="A7896" s="76" t="s">
        <v>45</v>
      </c>
      <c r="B7896" s="76" t="s">
        <v>1038</v>
      </c>
      <c r="C7896" s="84">
        <v>1.93</v>
      </c>
      <c r="D7896" s="84">
        <v>0.0</v>
      </c>
      <c r="E7896" s="84">
        <v>0.0</v>
      </c>
      <c r="F7896" s="76" t="s">
        <v>974</v>
      </c>
      <c r="G7896" s="83">
        <v>46117.0</v>
      </c>
      <c r="H7896" s="76" t="s">
        <v>938</v>
      </c>
    </row>
    <row r="7897">
      <c r="A7897" s="76" t="s">
        <v>42</v>
      </c>
      <c r="B7897" s="76" t="s">
        <v>1038</v>
      </c>
      <c r="C7897" s="84">
        <v>0.06</v>
      </c>
      <c r="D7897" s="84">
        <v>0.0</v>
      </c>
      <c r="E7897" s="84">
        <v>0.0</v>
      </c>
      <c r="F7897" s="76" t="s">
        <v>974</v>
      </c>
      <c r="G7897" s="83">
        <v>46117.0</v>
      </c>
      <c r="H7897" s="76" t="s">
        <v>991</v>
      </c>
    </row>
    <row r="7898">
      <c r="A7898" s="76" t="s">
        <v>42</v>
      </c>
      <c r="B7898" s="76" t="s">
        <v>1038</v>
      </c>
      <c r="C7898" s="84">
        <v>1.85</v>
      </c>
      <c r="D7898" s="84">
        <v>0.0</v>
      </c>
      <c r="E7898" s="84">
        <v>0.0</v>
      </c>
      <c r="F7898" s="76" t="s">
        <v>974</v>
      </c>
      <c r="G7898" s="83">
        <v>46117.0</v>
      </c>
      <c r="H7898" s="76" t="s">
        <v>935</v>
      </c>
    </row>
    <row r="7899">
      <c r="A7899" s="76" t="s">
        <v>28</v>
      </c>
      <c r="B7899" s="76" t="s">
        <v>1038</v>
      </c>
      <c r="C7899" s="84">
        <v>0.09</v>
      </c>
      <c r="D7899" s="84">
        <v>0.0</v>
      </c>
      <c r="E7899" s="84">
        <v>0.0</v>
      </c>
      <c r="F7899" s="76" t="s">
        <v>974</v>
      </c>
      <c r="G7899" s="83">
        <v>46117.0</v>
      </c>
      <c r="H7899" s="76" t="s">
        <v>931</v>
      </c>
    </row>
    <row r="7900">
      <c r="A7900" s="76" t="s">
        <v>28</v>
      </c>
      <c r="B7900" s="76" t="s">
        <v>1038</v>
      </c>
      <c r="C7900" s="84">
        <v>0.04</v>
      </c>
      <c r="D7900" s="84">
        <v>0.0</v>
      </c>
      <c r="E7900" s="84">
        <v>0.0</v>
      </c>
      <c r="F7900" s="76" t="s">
        <v>974</v>
      </c>
      <c r="G7900" s="83">
        <v>46117.0</v>
      </c>
      <c r="H7900" s="76" t="s">
        <v>932</v>
      </c>
    </row>
    <row r="7901">
      <c r="A7901" s="76" t="s">
        <v>28</v>
      </c>
      <c r="B7901" s="76" t="s">
        <v>1038</v>
      </c>
      <c r="C7901" s="84">
        <v>2.91</v>
      </c>
      <c r="D7901" s="84">
        <v>0.0</v>
      </c>
      <c r="E7901" s="84">
        <v>0.0</v>
      </c>
      <c r="F7901" s="76" t="s">
        <v>974</v>
      </c>
      <c r="G7901" s="83">
        <v>46117.0</v>
      </c>
      <c r="H7901" s="76" t="s">
        <v>933</v>
      </c>
    </row>
    <row r="7902">
      <c r="A7902" s="76" t="s">
        <v>50</v>
      </c>
      <c r="B7902" s="76" t="s">
        <v>1038</v>
      </c>
      <c r="C7902" s="84">
        <v>0.23</v>
      </c>
      <c r="D7902" s="84">
        <v>0.0</v>
      </c>
      <c r="E7902" s="84">
        <v>0.0</v>
      </c>
      <c r="F7902" s="76" t="s">
        <v>974</v>
      </c>
      <c r="G7902" s="83">
        <v>46117.0</v>
      </c>
      <c r="H7902" s="76" t="s">
        <v>939</v>
      </c>
    </row>
    <row r="7903">
      <c r="A7903" s="76" t="s">
        <v>50</v>
      </c>
      <c r="B7903" s="76" t="s">
        <v>1038</v>
      </c>
      <c r="C7903" s="84">
        <v>0.48</v>
      </c>
      <c r="D7903" s="84">
        <v>0.0</v>
      </c>
      <c r="E7903" s="84">
        <v>0.0</v>
      </c>
      <c r="F7903" s="76" t="s">
        <v>974</v>
      </c>
      <c r="G7903" s="83">
        <v>46117.0</v>
      </c>
      <c r="H7903" s="76" t="s">
        <v>940</v>
      </c>
    </row>
    <row r="7904">
      <c r="A7904" s="76" t="s">
        <v>26</v>
      </c>
      <c r="B7904" s="76" t="s">
        <v>1038</v>
      </c>
      <c r="C7904" s="84">
        <v>0.11</v>
      </c>
      <c r="D7904" s="84">
        <v>0.0</v>
      </c>
      <c r="E7904" s="84">
        <v>0.0</v>
      </c>
      <c r="F7904" s="76" t="s">
        <v>974</v>
      </c>
      <c r="G7904" s="83">
        <v>46117.0</v>
      </c>
      <c r="H7904" s="76" t="s">
        <v>1012</v>
      </c>
    </row>
    <row r="7905">
      <c r="A7905" s="76" t="s">
        <v>26</v>
      </c>
      <c r="B7905" s="76" t="s">
        <v>1038</v>
      </c>
      <c r="C7905" s="84">
        <v>0.68</v>
      </c>
      <c r="D7905" s="84">
        <v>0.0</v>
      </c>
      <c r="E7905" s="84">
        <v>0.0</v>
      </c>
      <c r="F7905" s="76" t="s">
        <v>974</v>
      </c>
      <c r="G7905" s="83">
        <v>46117.0</v>
      </c>
      <c r="H7905" s="76" t="s">
        <v>1013</v>
      </c>
    </row>
    <row r="7906">
      <c r="A7906" s="76" t="s">
        <v>26</v>
      </c>
      <c r="B7906" s="76" t="s">
        <v>1038</v>
      </c>
      <c r="C7906" s="84">
        <v>0.26</v>
      </c>
      <c r="D7906" s="84">
        <v>0.0</v>
      </c>
      <c r="E7906" s="84">
        <v>0.0</v>
      </c>
      <c r="F7906" s="76" t="s">
        <v>974</v>
      </c>
      <c r="G7906" s="83">
        <v>46117.0</v>
      </c>
      <c r="H7906" s="76" t="s">
        <v>1014</v>
      </c>
    </row>
    <row r="7907">
      <c r="A7907" s="76" t="s">
        <v>944</v>
      </c>
      <c r="B7907" s="76" t="s">
        <v>1038</v>
      </c>
      <c r="C7907" s="84">
        <v>0.41</v>
      </c>
      <c r="D7907" s="84">
        <v>0.0</v>
      </c>
      <c r="E7907" s="84">
        <v>0.0</v>
      </c>
      <c r="F7907" s="76" t="s">
        <v>974</v>
      </c>
      <c r="G7907" s="83">
        <v>46117.0</v>
      </c>
      <c r="H7907" s="76" t="s">
        <v>945</v>
      </c>
    </row>
    <row r="7908">
      <c r="A7908" s="76" t="s">
        <v>944</v>
      </c>
      <c r="B7908" s="76" t="s">
        <v>1038</v>
      </c>
      <c r="C7908" s="84">
        <v>0.14</v>
      </c>
      <c r="D7908" s="84">
        <v>0.0</v>
      </c>
      <c r="E7908" s="84">
        <v>0.0</v>
      </c>
      <c r="F7908" s="76" t="s">
        <v>974</v>
      </c>
      <c r="G7908" s="83">
        <v>46117.0</v>
      </c>
      <c r="H7908" s="76" t="s">
        <v>946</v>
      </c>
    </row>
    <row r="7909">
      <c r="A7909" s="76" t="s">
        <v>944</v>
      </c>
      <c r="B7909" s="76" t="s">
        <v>1038</v>
      </c>
      <c r="C7909" s="84">
        <v>0.08</v>
      </c>
      <c r="D7909" s="84">
        <v>0.0</v>
      </c>
      <c r="E7909" s="84">
        <v>0.0</v>
      </c>
      <c r="F7909" s="76" t="s">
        <v>974</v>
      </c>
      <c r="G7909" s="83">
        <v>46117.0</v>
      </c>
      <c r="H7909" s="76" t="s">
        <v>947</v>
      </c>
    </row>
    <row r="7910">
      <c r="A7910" s="76" t="s">
        <v>36</v>
      </c>
      <c r="B7910" s="76" t="s">
        <v>1038</v>
      </c>
      <c r="C7910" s="84">
        <v>2.45</v>
      </c>
      <c r="D7910" s="84">
        <v>0.0</v>
      </c>
      <c r="E7910" s="84">
        <v>0.0</v>
      </c>
      <c r="F7910" s="76" t="s">
        <v>974</v>
      </c>
      <c r="G7910" s="83">
        <v>46117.0</v>
      </c>
      <c r="H7910" s="76" t="s">
        <v>926</v>
      </c>
    </row>
    <row r="7911">
      <c r="A7911" s="76" t="s">
        <v>36</v>
      </c>
      <c r="B7911" s="76" t="s">
        <v>1038</v>
      </c>
      <c r="C7911" s="84">
        <v>0.11</v>
      </c>
      <c r="D7911" s="84">
        <v>0.0</v>
      </c>
      <c r="E7911" s="84">
        <v>0.0</v>
      </c>
      <c r="F7911" s="76" t="s">
        <v>974</v>
      </c>
      <c r="G7911" s="83">
        <v>46117.0</v>
      </c>
      <c r="H7911" s="76" t="s">
        <v>927</v>
      </c>
    </row>
    <row r="7912">
      <c r="A7912" s="76" t="s">
        <v>36</v>
      </c>
      <c r="B7912" s="76" t="s">
        <v>1038</v>
      </c>
      <c r="C7912" s="84">
        <v>0.08</v>
      </c>
      <c r="D7912" s="84">
        <v>0.0</v>
      </c>
      <c r="E7912" s="84">
        <v>0.0</v>
      </c>
      <c r="F7912" s="76" t="s">
        <v>974</v>
      </c>
      <c r="G7912" s="83">
        <v>46117.0</v>
      </c>
      <c r="H7912" s="76" t="s">
        <v>928</v>
      </c>
    </row>
    <row r="7913">
      <c r="A7913" s="76" t="s">
        <v>32</v>
      </c>
      <c r="B7913" s="76" t="s">
        <v>1038</v>
      </c>
      <c r="C7913" s="84">
        <v>0.79</v>
      </c>
      <c r="D7913" s="84">
        <v>1.0</v>
      </c>
      <c r="E7913" s="84">
        <v>0.79</v>
      </c>
      <c r="F7913" s="76" t="s">
        <v>974</v>
      </c>
      <c r="G7913" s="83">
        <v>46117.0</v>
      </c>
      <c r="H7913" s="76" t="s">
        <v>941</v>
      </c>
    </row>
    <row r="7914">
      <c r="A7914" s="76" t="s">
        <v>32</v>
      </c>
      <c r="B7914" s="76" t="s">
        <v>1038</v>
      </c>
      <c r="C7914" s="84">
        <v>0.24</v>
      </c>
      <c r="D7914" s="84">
        <v>0.0</v>
      </c>
      <c r="E7914" s="84">
        <v>0.0</v>
      </c>
      <c r="F7914" s="76" t="s">
        <v>974</v>
      </c>
      <c r="G7914" s="83">
        <v>46117.0</v>
      </c>
      <c r="H7914" s="76" t="s">
        <v>942</v>
      </c>
    </row>
    <row r="7915">
      <c r="A7915" s="76" t="s">
        <v>32</v>
      </c>
      <c r="B7915" s="76" t="s">
        <v>1038</v>
      </c>
      <c r="C7915" s="84">
        <v>3.01</v>
      </c>
      <c r="D7915" s="84">
        <v>0.0</v>
      </c>
      <c r="E7915" s="84">
        <v>0.0</v>
      </c>
      <c r="F7915" s="76" t="s">
        <v>974</v>
      </c>
      <c r="G7915" s="83">
        <v>46117.0</v>
      </c>
      <c r="H7915" s="76" t="s">
        <v>943</v>
      </c>
    </row>
    <row r="7916">
      <c r="A7916" s="76" t="s">
        <v>36</v>
      </c>
      <c r="B7916" s="76" t="s">
        <v>1006</v>
      </c>
      <c r="C7916" s="84">
        <v>5.64</v>
      </c>
      <c r="D7916" s="84">
        <v>0.0</v>
      </c>
      <c r="E7916" s="84">
        <v>0.0</v>
      </c>
      <c r="F7916" s="76" t="s">
        <v>990</v>
      </c>
      <c r="G7916" s="83">
        <v>46117.0</v>
      </c>
      <c r="H7916" s="76" t="s">
        <v>926</v>
      </c>
    </row>
    <row r="7917">
      <c r="A7917" s="76" t="s">
        <v>36</v>
      </c>
      <c r="B7917" s="76" t="s">
        <v>1006</v>
      </c>
      <c r="C7917" s="84">
        <v>18.88</v>
      </c>
      <c r="D7917" s="84">
        <v>1.0</v>
      </c>
      <c r="E7917" s="84">
        <v>18.88</v>
      </c>
      <c r="F7917" s="76" t="s">
        <v>990</v>
      </c>
      <c r="G7917" s="83">
        <v>46117.0</v>
      </c>
      <c r="H7917" s="76" t="s">
        <v>927</v>
      </c>
    </row>
    <row r="7918">
      <c r="A7918" s="76" t="s">
        <v>36</v>
      </c>
      <c r="B7918" s="76" t="s">
        <v>1006</v>
      </c>
      <c r="C7918" s="84">
        <v>2.28</v>
      </c>
      <c r="D7918" s="84">
        <v>1.0</v>
      </c>
      <c r="E7918" s="84">
        <v>2.28</v>
      </c>
      <c r="F7918" s="76" t="s">
        <v>990</v>
      </c>
      <c r="G7918" s="83">
        <v>46117.0</v>
      </c>
      <c r="H7918" s="76" t="s">
        <v>928</v>
      </c>
    </row>
    <row r="7919">
      <c r="A7919" s="76" t="s">
        <v>31</v>
      </c>
      <c r="B7919" s="76" t="s">
        <v>1006</v>
      </c>
      <c r="C7919" s="84">
        <v>5.6</v>
      </c>
      <c r="D7919" s="84">
        <v>1.0</v>
      </c>
      <c r="E7919" s="84">
        <v>5.6</v>
      </c>
      <c r="F7919" s="76" t="s">
        <v>990</v>
      </c>
      <c r="G7919" s="83">
        <v>46117.0</v>
      </c>
      <c r="H7919" s="76" t="s">
        <v>929</v>
      </c>
    </row>
    <row r="7920">
      <c r="A7920" s="76" t="s">
        <v>31</v>
      </c>
      <c r="B7920" s="76" t="s">
        <v>1006</v>
      </c>
      <c r="C7920" s="84">
        <v>101.0</v>
      </c>
      <c r="D7920" s="84">
        <v>7.0</v>
      </c>
      <c r="E7920" s="84">
        <v>14.43</v>
      </c>
      <c r="F7920" s="76" t="s">
        <v>990</v>
      </c>
      <c r="G7920" s="83">
        <v>46117.0</v>
      </c>
      <c r="H7920" s="76" t="s">
        <v>930</v>
      </c>
    </row>
    <row r="7921">
      <c r="A7921" s="76" t="s">
        <v>28</v>
      </c>
      <c r="B7921" s="76" t="s">
        <v>1006</v>
      </c>
      <c r="C7921" s="84">
        <v>165.71</v>
      </c>
      <c r="D7921" s="84">
        <v>0.0</v>
      </c>
      <c r="E7921" s="84">
        <v>0.0</v>
      </c>
      <c r="F7921" s="76" t="s">
        <v>990</v>
      </c>
      <c r="G7921" s="83">
        <v>46117.0</v>
      </c>
      <c r="H7921" s="76" t="s">
        <v>931</v>
      </c>
    </row>
    <row r="7922">
      <c r="A7922" s="76" t="s">
        <v>28</v>
      </c>
      <c r="B7922" s="76" t="s">
        <v>1006</v>
      </c>
      <c r="C7922" s="84">
        <v>2.06</v>
      </c>
      <c r="D7922" s="84">
        <v>0.0</v>
      </c>
      <c r="E7922" s="84">
        <v>0.0</v>
      </c>
      <c r="F7922" s="76" t="s">
        <v>990</v>
      </c>
      <c r="G7922" s="83">
        <v>46117.0</v>
      </c>
      <c r="H7922" s="76" t="s">
        <v>932</v>
      </c>
    </row>
    <row r="7923">
      <c r="A7923" s="76" t="s">
        <v>28</v>
      </c>
      <c r="B7923" s="76" t="s">
        <v>1006</v>
      </c>
      <c r="C7923" s="84">
        <v>7.75</v>
      </c>
      <c r="D7923" s="84">
        <v>1.0</v>
      </c>
      <c r="E7923" s="84">
        <v>7.75</v>
      </c>
      <c r="F7923" s="76" t="s">
        <v>990</v>
      </c>
      <c r="G7923" s="83">
        <v>46117.0</v>
      </c>
      <c r="H7923" s="76" t="s">
        <v>933</v>
      </c>
    </row>
    <row r="7924">
      <c r="A7924" s="76" t="s">
        <v>45</v>
      </c>
      <c r="B7924" s="76" t="s">
        <v>1006</v>
      </c>
      <c r="C7924" s="84">
        <v>50.95</v>
      </c>
      <c r="D7924" s="84">
        <v>1.0</v>
      </c>
      <c r="E7924" s="84">
        <v>50.95</v>
      </c>
      <c r="F7924" s="76" t="s">
        <v>990</v>
      </c>
      <c r="G7924" s="83">
        <v>46117.0</v>
      </c>
      <c r="H7924" s="76" t="s">
        <v>936</v>
      </c>
    </row>
    <row r="7925">
      <c r="A7925" s="76" t="s">
        <v>45</v>
      </c>
      <c r="B7925" s="76" t="s">
        <v>1006</v>
      </c>
      <c r="C7925" s="84">
        <v>1.79</v>
      </c>
      <c r="D7925" s="84">
        <v>0.0</v>
      </c>
      <c r="E7925" s="84">
        <v>0.0</v>
      </c>
      <c r="F7925" s="76" t="s">
        <v>990</v>
      </c>
      <c r="G7925" s="83">
        <v>46117.0</v>
      </c>
      <c r="H7925" s="76" t="s">
        <v>937</v>
      </c>
    </row>
    <row r="7926">
      <c r="A7926" s="76" t="s">
        <v>45</v>
      </c>
      <c r="B7926" s="76" t="s">
        <v>1006</v>
      </c>
      <c r="C7926" s="84">
        <v>8.05</v>
      </c>
      <c r="D7926" s="84">
        <v>0.0</v>
      </c>
      <c r="E7926" s="84">
        <v>0.0</v>
      </c>
      <c r="F7926" s="76" t="s">
        <v>990</v>
      </c>
      <c r="G7926" s="83">
        <v>46117.0</v>
      </c>
      <c r="H7926" s="76" t="s">
        <v>938</v>
      </c>
    </row>
    <row r="7927">
      <c r="A7927" s="76" t="s">
        <v>32</v>
      </c>
      <c r="B7927" s="76" t="s">
        <v>1006</v>
      </c>
      <c r="C7927" s="84">
        <v>5.79</v>
      </c>
      <c r="D7927" s="84">
        <v>1.0</v>
      </c>
      <c r="E7927" s="84">
        <v>5.79</v>
      </c>
      <c r="F7927" s="76" t="s">
        <v>990</v>
      </c>
      <c r="G7927" s="83">
        <v>46117.0</v>
      </c>
      <c r="H7927" s="76" t="s">
        <v>941</v>
      </c>
    </row>
    <row r="7928">
      <c r="A7928" s="76" t="s">
        <v>32</v>
      </c>
      <c r="B7928" s="76" t="s">
        <v>1006</v>
      </c>
      <c r="C7928" s="84">
        <v>32.11</v>
      </c>
      <c r="D7928" s="84">
        <v>0.0</v>
      </c>
      <c r="E7928" s="84">
        <v>0.0</v>
      </c>
      <c r="F7928" s="76" t="s">
        <v>990</v>
      </c>
      <c r="G7928" s="83">
        <v>46117.0</v>
      </c>
      <c r="H7928" s="76" t="s">
        <v>942</v>
      </c>
    </row>
    <row r="7929">
      <c r="A7929" s="76" t="s">
        <v>32</v>
      </c>
      <c r="B7929" s="76" t="s">
        <v>1006</v>
      </c>
      <c r="C7929" s="84">
        <v>49.76</v>
      </c>
      <c r="D7929" s="84">
        <v>1.0</v>
      </c>
      <c r="E7929" s="84">
        <v>49.76</v>
      </c>
      <c r="F7929" s="76" t="s">
        <v>990</v>
      </c>
      <c r="G7929" s="83">
        <v>46117.0</v>
      </c>
      <c r="H7929" s="76" t="s">
        <v>943</v>
      </c>
    </row>
    <row r="7930">
      <c r="A7930" s="76" t="s">
        <v>944</v>
      </c>
      <c r="B7930" s="76" t="s">
        <v>1006</v>
      </c>
      <c r="C7930" s="84">
        <v>5.05</v>
      </c>
      <c r="D7930" s="84">
        <v>1.0</v>
      </c>
      <c r="E7930" s="84">
        <v>5.05</v>
      </c>
      <c r="F7930" s="76" t="s">
        <v>990</v>
      </c>
      <c r="G7930" s="83">
        <v>46117.0</v>
      </c>
      <c r="H7930" s="76" t="s">
        <v>945</v>
      </c>
    </row>
    <row r="7931">
      <c r="A7931" s="76" t="s">
        <v>944</v>
      </c>
      <c r="B7931" s="76" t="s">
        <v>1006</v>
      </c>
      <c r="C7931" s="84">
        <v>35.83</v>
      </c>
      <c r="D7931" s="84">
        <v>0.0</v>
      </c>
      <c r="E7931" s="84">
        <v>0.0</v>
      </c>
      <c r="F7931" s="76" t="s">
        <v>990</v>
      </c>
      <c r="G7931" s="83">
        <v>46117.0</v>
      </c>
      <c r="H7931" s="76" t="s">
        <v>946</v>
      </c>
    </row>
    <row r="7932">
      <c r="A7932" s="76" t="s">
        <v>944</v>
      </c>
      <c r="B7932" s="76" t="s">
        <v>1006</v>
      </c>
      <c r="C7932" s="84">
        <v>2.42</v>
      </c>
      <c r="D7932" s="84">
        <v>1.0</v>
      </c>
      <c r="E7932" s="84">
        <v>2.42</v>
      </c>
      <c r="F7932" s="76" t="s">
        <v>990</v>
      </c>
      <c r="G7932" s="83">
        <v>46117.0</v>
      </c>
      <c r="H7932" s="76" t="s">
        <v>947</v>
      </c>
    </row>
    <row r="7933">
      <c r="A7933" s="76" t="s">
        <v>26</v>
      </c>
      <c r="B7933" s="76" t="s">
        <v>1006</v>
      </c>
      <c r="C7933" s="84">
        <v>40.22</v>
      </c>
      <c r="D7933" s="84">
        <v>0.0</v>
      </c>
      <c r="E7933" s="84">
        <v>0.0</v>
      </c>
      <c r="F7933" s="76" t="s">
        <v>990</v>
      </c>
      <c r="G7933" s="83">
        <v>46117.0</v>
      </c>
      <c r="H7933" s="76" t="s">
        <v>1012</v>
      </c>
    </row>
    <row r="7934">
      <c r="A7934" s="76" t="s">
        <v>26</v>
      </c>
      <c r="B7934" s="76" t="s">
        <v>1006</v>
      </c>
      <c r="C7934" s="84">
        <v>7.51</v>
      </c>
      <c r="D7934" s="84">
        <v>1.0</v>
      </c>
      <c r="E7934" s="84">
        <v>7.51</v>
      </c>
      <c r="F7934" s="76" t="s">
        <v>990</v>
      </c>
      <c r="G7934" s="83">
        <v>46117.0</v>
      </c>
      <c r="H7934" s="76" t="s">
        <v>1013</v>
      </c>
    </row>
    <row r="7935">
      <c r="A7935" s="76" t="s">
        <v>26</v>
      </c>
      <c r="B7935" s="76" t="s">
        <v>1006</v>
      </c>
      <c r="C7935" s="84">
        <v>3.71</v>
      </c>
      <c r="D7935" s="84">
        <v>0.0</v>
      </c>
      <c r="E7935" s="84">
        <v>0.0</v>
      </c>
      <c r="F7935" s="76" t="s">
        <v>990</v>
      </c>
      <c r="G7935" s="83">
        <v>46117.0</v>
      </c>
      <c r="H7935" s="76" t="s">
        <v>1014</v>
      </c>
    </row>
    <row r="7936">
      <c r="A7936" s="76" t="s">
        <v>36</v>
      </c>
      <c r="B7936" s="76" t="s">
        <v>1006</v>
      </c>
      <c r="C7936" s="84">
        <v>0.58</v>
      </c>
      <c r="D7936" s="84">
        <v>0.0</v>
      </c>
      <c r="E7936" s="84">
        <v>0.0</v>
      </c>
      <c r="F7936" s="76" t="s">
        <v>993</v>
      </c>
      <c r="G7936" s="83">
        <v>46117.0</v>
      </c>
      <c r="H7936" s="76" t="s">
        <v>926</v>
      </c>
    </row>
    <row r="7937">
      <c r="A7937" s="76" t="s">
        <v>36</v>
      </c>
      <c r="B7937" s="76" t="s">
        <v>1006</v>
      </c>
      <c r="C7937" s="84">
        <v>0.5</v>
      </c>
      <c r="D7937" s="84">
        <v>0.0</v>
      </c>
      <c r="E7937" s="84">
        <v>0.0</v>
      </c>
      <c r="F7937" s="76" t="s">
        <v>993</v>
      </c>
      <c r="G7937" s="83">
        <v>46117.0</v>
      </c>
      <c r="H7937" s="76" t="s">
        <v>927</v>
      </c>
    </row>
    <row r="7938">
      <c r="A7938" s="76" t="s">
        <v>36</v>
      </c>
      <c r="B7938" s="76" t="s">
        <v>1006</v>
      </c>
      <c r="C7938" s="84">
        <v>0.31</v>
      </c>
      <c r="D7938" s="84">
        <v>0.0</v>
      </c>
      <c r="E7938" s="84">
        <v>0.0</v>
      </c>
      <c r="F7938" s="76" t="s">
        <v>993</v>
      </c>
      <c r="G7938" s="83">
        <v>46117.0</v>
      </c>
      <c r="H7938" s="76" t="s">
        <v>928</v>
      </c>
    </row>
    <row r="7939">
      <c r="A7939" s="76" t="s">
        <v>31</v>
      </c>
      <c r="B7939" s="76" t="s">
        <v>1006</v>
      </c>
      <c r="C7939" s="84">
        <v>0.76</v>
      </c>
      <c r="D7939" s="84">
        <v>0.0</v>
      </c>
      <c r="E7939" s="84">
        <v>0.0</v>
      </c>
      <c r="F7939" s="76" t="s">
        <v>993</v>
      </c>
      <c r="G7939" s="83">
        <v>46117.0</v>
      </c>
      <c r="H7939" s="76" t="s">
        <v>929</v>
      </c>
    </row>
    <row r="7940">
      <c r="A7940" s="76" t="s">
        <v>31</v>
      </c>
      <c r="B7940" s="76" t="s">
        <v>1006</v>
      </c>
      <c r="C7940" s="84">
        <v>3.92</v>
      </c>
      <c r="D7940" s="84">
        <v>0.0</v>
      </c>
      <c r="E7940" s="84">
        <v>0.0</v>
      </c>
      <c r="F7940" s="76" t="s">
        <v>993</v>
      </c>
      <c r="G7940" s="83">
        <v>46117.0</v>
      </c>
      <c r="H7940" s="76" t="s">
        <v>930</v>
      </c>
    </row>
    <row r="7941">
      <c r="A7941" s="76" t="s">
        <v>28</v>
      </c>
      <c r="B7941" s="76" t="s">
        <v>1006</v>
      </c>
      <c r="C7941" s="84">
        <v>0.4</v>
      </c>
      <c r="D7941" s="84">
        <v>0.0</v>
      </c>
      <c r="E7941" s="84">
        <v>0.0</v>
      </c>
      <c r="F7941" s="76" t="s">
        <v>993</v>
      </c>
      <c r="G7941" s="83">
        <v>46117.0</v>
      </c>
      <c r="H7941" s="76" t="s">
        <v>931</v>
      </c>
    </row>
    <row r="7942">
      <c r="A7942" s="76" t="s">
        <v>28</v>
      </c>
      <c r="B7942" s="76" t="s">
        <v>1006</v>
      </c>
      <c r="C7942" s="84">
        <v>0.22</v>
      </c>
      <c r="D7942" s="84">
        <v>0.0</v>
      </c>
      <c r="E7942" s="84">
        <v>0.0</v>
      </c>
      <c r="F7942" s="76" t="s">
        <v>993</v>
      </c>
      <c r="G7942" s="83">
        <v>46117.0</v>
      </c>
      <c r="H7942" s="76" t="s">
        <v>932</v>
      </c>
    </row>
    <row r="7943">
      <c r="A7943" s="76" t="s">
        <v>28</v>
      </c>
      <c r="B7943" s="76" t="s">
        <v>1006</v>
      </c>
      <c r="C7943" s="84">
        <v>1.45</v>
      </c>
      <c r="D7943" s="84">
        <v>0.0</v>
      </c>
      <c r="E7943" s="84">
        <v>0.0</v>
      </c>
      <c r="F7943" s="76" t="s">
        <v>993</v>
      </c>
      <c r="G7943" s="83">
        <v>46117.0</v>
      </c>
      <c r="H7943" s="76" t="s">
        <v>933</v>
      </c>
    </row>
    <row r="7944">
      <c r="A7944" s="76" t="s">
        <v>45</v>
      </c>
      <c r="B7944" s="76" t="s">
        <v>1006</v>
      </c>
      <c r="C7944" s="84">
        <v>0.94</v>
      </c>
      <c r="D7944" s="84">
        <v>0.0</v>
      </c>
      <c r="E7944" s="84">
        <v>0.0</v>
      </c>
      <c r="F7944" s="76" t="s">
        <v>993</v>
      </c>
      <c r="G7944" s="83">
        <v>46117.0</v>
      </c>
      <c r="H7944" s="76" t="s">
        <v>936</v>
      </c>
    </row>
    <row r="7945">
      <c r="A7945" s="76" t="s">
        <v>45</v>
      </c>
      <c r="B7945" s="76" t="s">
        <v>1006</v>
      </c>
      <c r="C7945" s="84">
        <v>0.28</v>
      </c>
      <c r="D7945" s="84">
        <v>0.0</v>
      </c>
      <c r="E7945" s="84">
        <v>0.0</v>
      </c>
      <c r="F7945" s="76" t="s">
        <v>993</v>
      </c>
      <c r="G7945" s="83">
        <v>46117.0</v>
      </c>
      <c r="H7945" s="76" t="s">
        <v>937</v>
      </c>
    </row>
    <row r="7946">
      <c r="A7946" s="76" t="s">
        <v>45</v>
      </c>
      <c r="B7946" s="76" t="s">
        <v>1006</v>
      </c>
      <c r="C7946" s="84">
        <v>0.56</v>
      </c>
      <c r="D7946" s="84">
        <v>0.0</v>
      </c>
      <c r="E7946" s="84">
        <v>0.0</v>
      </c>
      <c r="F7946" s="76" t="s">
        <v>993</v>
      </c>
      <c r="G7946" s="83">
        <v>46117.0</v>
      </c>
      <c r="H7946" s="76" t="s">
        <v>938</v>
      </c>
    </row>
    <row r="7947">
      <c r="A7947" s="76" t="s">
        <v>32</v>
      </c>
      <c r="B7947" s="76" t="s">
        <v>1006</v>
      </c>
      <c r="C7947" s="84">
        <v>1.69</v>
      </c>
      <c r="D7947" s="84">
        <v>0.0</v>
      </c>
      <c r="E7947" s="84">
        <v>0.0</v>
      </c>
      <c r="F7947" s="76" t="s">
        <v>993</v>
      </c>
      <c r="G7947" s="83">
        <v>46117.0</v>
      </c>
      <c r="H7947" s="76" t="s">
        <v>941</v>
      </c>
    </row>
    <row r="7948">
      <c r="A7948" s="76" t="s">
        <v>32</v>
      </c>
      <c r="B7948" s="76" t="s">
        <v>1006</v>
      </c>
      <c r="C7948" s="84">
        <v>1.45</v>
      </c>
      <c r="D7948" s="84">
        <v>0.0</v>
      </c>
      <c r="E7948" s="84">
        <v>0.0</v>
      </c>
      <c r="F7948" s="76" t="s">
        <v>993</v>
      </c>
      <c r="G7948" s="83">
        <v>46117.0</v>
      </c>
      <c r="H7948" s="76" t="s">
        <v>942</v>
      </c>
    </row>
    <row r="7949">
      <c r="A7949" s="76" t="s">
        <v>32</v>
      </c>
      <c r="B7949" s="76" t="s">
        <v>1006</v>
      </c>
      <c r="C7949" s="84">
        <v>2.82</v>
      </c>
      <c r="D7949" s="84">
        <v>0.0</v>
      </c>
      <c r="E7949" s="84">
        <v>0.0</v>
      </c>
      <c r="F7949" s="76" t="s">
        <v>993</v>
      </c>
      <c r="G7949" s="83">
        <v>46117.0</v>
      </c>
      <c r="H7949" s="76" t="s">
        <v>943</v>
      </c>
    </row>
    <row r="7950">
      <c r="A7950" s="76" t="s">
        <v>944</v>
      </c>
      <c r="B7950" s="76" t="s">
        <v>1006</v>
      </c>
      <c r="C7950" s="84">
        <v>0.41</v>
      </c>
      <c r="D7950" s="84">
        <v>0.0</v>
      </c>
      <c r="E7950" s="84">
        <v>0.0</v>
      </c>
      <c r="F7950" s="76" t="s">
        <v>993</v>
      </c>
      <c r="G7950" s="83">
        <v>46117.0</v>
      </c>
      <c r="H7950" s="76" t="s">
        <v>945</v>
      </c>
    </row>
    <row r="7951">
      <c r="A7951" s="76" t="s">
        <v>944</v>
      </c>
      <c r="B7951" s="76" t="s">
        <v>1006</v>
      </c>
      <c r="C7951" s="84">
        <v>0.84</v>
      </c>
      <c r="D7951" s="84">
        <v>0.0</v>
      </c>
      <c r="E7951" s="84">
        <v>0.0</v>
      </c>
      <c r="F7951" s="76" t="s">
        <v>993</v>
      </c>
      <c r="G7951" s="83">
        <v>46117.0</v>
      </c>
      <c r="H7951" s="76" t="s">
        <v>946</v>
      </c>
    </row>
    <row r="7952">
      <c r="A7952" s="76" t="s">
        <v>944</v>
      </c>
      <c r="B7952" s="76" t="s">
        <v>1006</v>
      </c>
      <c r="C7952" s="84">
        <v>0.43</v>
      </c>
      <c r="D7952" s="84">
        <v>0.0</v>
      </c>
      <c r="E7952" s="84">
        <v>0.0</v>
      </c>
      <c r="F7952" s="76" t="s">
        <v>993</v>
      </c>
      <c r="G7952" s="83">
        <v>46117.0</v>
      </c>
      <c r="H7952" s="76" t="s">
        <v>947</v>
      </c>
    </row>
    <row r="7953">
      <c r="A7953" s="76" t="s">
        <v>26</v>
      </c>
      <c r="B7953" s="76" t="s">
        <v>1006</v>
      </c>
      <c r="C7953" s="84">
        <v>1.5</v>
      </c>
      <c r="D7953" s="84">
        <v>1.0</v>
      </c>
      <c r="E7953" s="84">
        <v>1.5</v>
      </c>
      <c r="F7953" s="76" t="s">
        <v>993</v>
      </c>
      <c r="G7953" s="83">
        <v>46117.0</v>
      </c>
      <c r="H7953" s="76" t="s">
        <v>1012</v>
      </c>
    </row>
    <row r="7954">
      <c r="A7954" s="76" t="s">
        <v>26</v>
      </c>
      <c r="B7954" s="76" t="s">
        <v>1006</v>
      </c>
      <c r="C7954" s="84">
        <v>1.16</v>
      </c>
      <c r="D7954" s="84">
        <v>0.0</v>
      </c>
      <c r="E7954" s="84">
        <v>0.0</v>
      </c>
      <c r="F7954" s="76" t="s">
        <v>993</v>
      </c>
      <c r="G7954" s="83">
        <v>46117.0</v>
      </c>
      <c r="H7954" s="76" t="s">
        <v>1013</v>
      </c>
    </row>
    <row r="7955">
      <c r="A7955" s="76" t="s">
        <v>26</v>
      </c>
      <c r="B7955" s="76" t="s">
        <v>1006</v>
      </c>
      <c r="C7955" s="84">
        <v>0.96</v>
      </c>
      <c r="D7955" s="84">
        <v>0.0</v>
      </c>
      <c r="E7955" s="84">
        <v>0.0</v>
      </c>
      <c r="F7955" s="76" t="s">
        <v>993</v>
      </c>
      <c r="G7955" s="83">
        <v>46117.0</v>
      </c>
      <c r="H7955" s="76" t="s">
        <v>1014</v>
      </c>
    </row>
    <row r="7956">
      <c r="A7956" s="76" t="s">
        <v>36</v>
      </c>
      <c r="B7956" s="76" t="s">
        <v>1006</v>
      </c>
      <c r="C7956" s="84">
        <v>14.75</v>
      </c>
      <c r="D7956" s="84">
        <v>2.0</v>
      </c>
      <c r="E7956" s="84">
        <v>7.38</v>
      </c>
      <c r="F7956" s="76" t="s">
        <v>1005</v>
      </c>
      <c r="G7956" s="83">
        <v>46117.0</v>
      </c>
      <c r="H7956" s="76" t="s">
        <v>926</v>
      </c>
    </row>
    <row r="7957">
      <c r="A7957" s="76" t="s">
        <v>36</v>
      </c>
      <c r="B7957" s="76" t="s">
        <v>1006</v>
      </c>
      <c r="C7957" s="84">
        <v>12.44</v>
      </c>
      <c r="D7957" s="84">
        <v>2.0</v>
      </c>
      <c r="E7957" s="84">
        <v>6.22</v>
      </c>
      <c r="F7957" s="76" t="s">
        <v>1005</v>
      </c>
      <c r="G7957" s="83">
        <v>46117.0</v>
      </c>
      <c r="H7957" s="76" t="s">
        <v>927</v>
      </c>
    </row>
    <row r="7958">
      <c r="A7958" s="76" t="s">
        <v>36</v>
      </c>
      <c r="B7958" s="76" t="s">
        <v>1006</v>
      </c>
      <c r="C7958" s="84">
        <v>7.72</v>
      </c>
      <c r="D7958" s="84">
        <v>3.0</v>
      </c>
      <c r="E7958" s="84">
        <v>2.57</v>
      </c>
      <c r="F7958" s="76" t="s">
        <v>1005</v>
      </c>
      <c r="G7958" s="83">
        <v>46117.0</v>
      </c>
      <c r="H7958" s="76" t="s">
        <v>928</v>
      </c>
    </row>
    <row r="7959">
      <c r="A7959" s="76" t="s">
        <v>31</v>
      </c>
      <c r="B7959" s="76" t="s">
        <v>1006</v>
      </c>
      <c r="C7959" s="84">
        <v>6.99</v>
      </c>
      <c r="D7959" s="84">
        <v>0.0</v>
      </c>
      <c r="E7959" s="84">
        <v>0.0</v>
      </c>
      <c r="F7959" s="76" t="s">
        <v>1005</v>
      </c>
      <c r="G7959" s="83">
        <v>46117.0</v>
      </c>
      <c r="H7959" s="76" t="s">
        <v>929</v>
      </c>
    </row>
    <row r="7960">
      <c r="A7960" s="76" t="s">
        <v>31</v>
      </c>
      <c r="B7960" s="76" t="s">
        <v>1006</v>
      </c>
      <c r="C7960" s="84">
        <v>45.13</v>
      </c>
      <c r="D7960" s="84">
        <v>4.0</v>
      </c>
      <c r="E7960" s="84">
        <v>11.28</v>
      </c>
      <c r="F7960" s="76" t="s">
        <v>1005</v>
      </c>
      <c r="G7960" s="83">
        <v>46117.0</v>
      </c>
      <c r="H7960" s="76" t="s">
        <v>930</v>
      </c>
    </row>
    <row r="7961">
      <c r="A7961" s="76" t="s">
        <v>28</v>
      </c>
      <c r="B7961" s="76" t="s">
        <v>1006</v>
      </c>
      <c r="C7961" s="84">
        <v>7.4</v>
      </c>
      <c r="D7961" s="84">
        <v>1.0</v>
      </c>
      <c r="E7961" s="84">
        <v>7.4</v>
      </c>
      <c r="F7961" s="76" t="s">
        <v>1005</v>
      </c>
      <c r="G7961" s="83">
        <v>46117.0</v>
      </c>
      <c r="H7961" s="76" t="s">
        <v>931</v>
      </c>
    </row>
    <row r="7962">
      <c r="A7962" s="76" t="s">
        <v>28</v>
      </c>
      <c r="B7962" s="76" t="s">
        <v>1006</v>
      </c>
      <c r="C7962" s="84">
        <v>4.47</v>
      </c>
      <c r="D7962" s="84">
        <v>1.0</v>
      </c>
      <c r="E7962" s="84">
        <v>4.47</v>
      </c>
      <c r="F7962" s="76" t="s">
        <v>1005</v>
      </c>
      <c r="G7962" s="83">
        <v>46117.0</v>
      </c>
      <c r="H7962" s="76" t="s">
        <v>932</v>
      </c>
    </row>
    <row r="7963">
      <c r="A7963" s="76" t="s">
        <v>28</v>
      </c>
      <c r="B7963" s="76" t="s">
        <v>1006</v>
      </c>
      <c r="C7963" s="84">
        <v>18.65</v>
      </c>
      <c r="D7963" s="84">
        <v>7.0</v>
      </c>
      <c r="E7963" s="84">
        <v>2.66</v>
      </c>
      <c r="F7963" s="76" t="s">
        <v>1005</v>
      </c>
      <c r="G7963" s="83">
        <v>46117.0</v>
      </c>
      <c r="H7963" s="76" t="s">
        <v>933</v>
      </c>
    </row>
    <row r="7964">
      <c r="A7964" s="76" t="s">
        <v>45</v>
      </c>
      <c r="B7964" s="76" t="s">
        <v>1006</v>
      </c>
      <c r="C7964" s="84">
        <v>16.24</v>
      </c>
      <c r="D7964" s="84">
        <v>0.0</v>
      </c>
      <c r="E7964" s="84">
        <v>0.0</v>
      </c>
      <c r="F7964" s="76" t="s">
        <v>1005</v>
      </c>
      <c r="G7964" s="83">
        <v>46117.0</v>
      </c>
      <c r="H7964" s="76" t="s">
        <v>936</v>
      </c>
    </row>
    <row r="7965">
      <c r="A7965" s="76" t="s">
        <v>45</v>
      </c>
      <c r="B7965" s="76" t="s">
        <v>1006</v>
      </c>
      <c r="C7965" s="84">
        <v>5.42</v>
      </c>
      <c r="D7965" s="84">
        <v>0.0</v>
      </c>
      <c r="E7965" s="84">
        <v>0.0</v>
      </c>
      <c r="F7965" s="76" t="s">
        <v>1005</v>
      </c>
      <c r="G7965" s="83">
        <v>46117.0</v>
      </c>
      <c r="H7965" s="76" t="s">
        <v>937</v>
      </c>
    </row>
    <row r="7966">
      <c r="A7966" s="76" t="s">
        <v>45</v>
      </c>
      <c r="B7966" s="76" t="s">
        <v>1006</v>
      </c>
      <c r="C7966" s="84">
        <v>16.51</v>
      </c>
      <c r="D7966" s="84">
        <v>1.0</v>
      </c>
      <c r="E7966" s="84">
        <v>16.51</v>
      </c>
      <c r="F7966" s="76" t="s">
        <v>1005</v>
      </c>
      <c r="G7966" s="83">
        <v>46117.0</v>
      </c>
      <c r="H7966" s="76" t="s">
        <v>938</v>
      </c>
    </row>
    <row r="7967">
      <c r="A7967" s="76" t="s">
        <v>32</v>
      </c>
      <c r="B7967" s="76" t="s">
        <v>1006</v>
      </c>
      <c r="C7967" s="84">
        <v>53.37</v>
      </c>
      <c r="D7967" s="84">
        <v>11.0</v>
      </c>
      <c r="E7967" s="84">
        <v>4.85</v>
      </c>
      <c r="F7967" s="76" t="s">
        <v>1005</v>
      </c>
      <c r="G7967" s="83">
        <v>46117.0</v>
      </c>
      <c r="H7967" s="76" t="s">
        <v>941</v>
      </c>
    </row>
    <row r="7968">
      <c r="A7968" s="76" t="s">
        <v>32</v>
      </c>
      <c r="B7968" s="76" t="s">
        <v>1006</v>
      </c>
      <c r="C7968" s="84">
        <v>171.17</v>
      </c>
      <c r="D7968" s="84">
        <v>11.0</v>
      </c>
      <c r="E7968" s="84">
        <v>15.56</v>
      </c>
      <c r="F7968" s="76" t="s">
        <v>1005</v>
      </c>
      <c r="G7968" s="83">
        <v>46117.0</v>
      </c>
      <c r="H7968" s="76" t="s">
        <v>942</v>
      </c>
    </row>
    <row r="7969">
      <c r="A7969" s="76" t="s">
        <v>32</v>
      </c>
      <c r="B7969" s="76" t="s">
        <v>1006</v>
      </c>
      <c r="C7969" s="84">
        <v>233.12</v>
      </c>
      <c r="D7969" s="84">
        <v>18.0</v>
      </c>
      <c r="E7969" s="84">
        <v>12.95</v>
      </c>
      <c r="F7969" s="76" t="s">
        <v>1005</v>
      </c>
      <c r="G7969" s="83">
        <v>46117.0</v>
      </c>
      <c r="H7969" s="76" t="s">
        <v>943</v>
      </c>
    </row>
    <row r="7970">
      <c r="A7970" s="76" t="s">
        <v>944</v>
      </c>
      <c r="B7970" s="76" t="s">
        <v>1006</v>
      </c>
      <c r="C7970" s="84">
        <v>10.63</v>
      </c>
      <c r="D7970" s="84">
        <v>1.0</v>
      </c>
      <c r="E7970" s="84">
        <v>10.63</v>
      </c>
      <c r="F7970" s="76" t="s">
        <v>1005</v>
      </c>
      <c r="G7970" s="83">
        <v>46117.0</v>
      </c>
      <c r="H7970" s="76" t="s">
        <v>945</v>
      </c>
    </row>
    <row r="7971">
      <c r="A7971" s="76" t="s">
        <v>944</v>
      </c>
      <c r="B7971" s="76" t="s">
        <v>1006</v>
      </c>
      <c r="C7971" s="84">
        <v>12.89</v>
      </c>
      <c r="D7971" s="84">
        <v>0.0</v>
      </c>
      <c r="E7971" s="84">
        <v>0.0</v>
      </c>
      <c r="F7971" s="76" t="s">
        <v>1005</v>
      </c>
      <c r="G7971" s="83">
        <v>46117.0</v>
      </c>
      <c r="H7971" s="76" t="s">
        <v>946</v>
      </c>
    </row>
    <row r="7972">
      <c r="A7972" s="76" t="s">
        <v>944</v>
      </c>
      <c r="B7972" s="76" t="s">
        <v>1006</v>
      </c>
      <c r="C7972" s="84">
        <v>9.12</v>
      </c>
      <c r="D7972" s="84">
        <v>4.0</v>
      </c>
      <c r="E7972" s="84">
        <v>2.28</v>
      </c>
      <c r="F7972" s="76" t="s">
        <v>1005</v>
      </c>
      <c r="G7972" s="83">
        <v>46117.0</v>
      </c>
      <c r="H7972" s="76" t="s">
        <v>947</v>
      </c>
    </row>
    <row r="7973">
      <c r="A7973" s="76" t="s">
        <v>26</v>
      </c>
      <c r="B7973" s="76" t="s">
        <v>1006</v>
      </c>
      <c r="C7973" s="84">
        <v>18.65</v>
      </c>
      <c r="D7973" s="84">
        <v>2.0</v>
      </c>
      <c r="E7973" s="84">
        <v>9.32</v>
      </c>
      <c r="F7973" s="76" t="s">
        <v>1005</v>
      </c>
      <c r="G7973" s="83">
        <v>46117.0</v>
      </c>
      <c r="H7973" s="76" t="s">
        <v>1012</v>
      </c>
    </row>
    <row r="7974">
      <c r="A7974" s="76" t="s">
        <v>26</v>
      </c>
      <c r="B7974" s="76" t="s">
        <v>1006</v>
      </c>
      <c r="C7974" s="84">
        <v>12.51</v>
      </c>
      <c r="D7974" s="84">
        <v>2.0</v>
      </c>
      <c r="E7974" s="84">
        <v>6.25</v>
      </c>
      <c r="F7974" s="76" t="s">
        <v>1005</v>
      </c>
      <c r="G7974" s="83">
        <v>46117.0</v>
      </c>
      <c r="H7974" s="76" t="s">
        <v>1013</v>
      </c>
    </row>
    <row r="7975">
      <c r="A7975" s="76" t="s">
        <v>26</v>
      </c>
      <c r="B7975" s="76" t="s">
        <v>1006</v>
      </c>
      <c r="C7975" s="84">
        <v>17.22</v>
      </c>
      <c r="D7975" s="84">
        <v>2.0</v>
      </c>
      <c r="E7975" s="84">
        <v>8.61</v>
      </c>
      <c r="F7975" s="76" t="s">
        <v>1005</v>
      </c>
      <c r="G7975" s="83">
        <v>46117.0</v>
      </c>
      <c r="H7975" s="76" t="s">
        <v>1014</v>
      </c>
    </row>
    <row r="7976">
      <c r="A7976" s="76" t="s">
        <v>36</v>
      </c>
      <c r="B7976" s="76" t="s">
        <v>1006</v>
      </c>
      <c r="C7976" s="84">
        <v>0.43</v>
      </c>
      <c r="D7976" s="84">
        <v>0.0</v>
      </c>
      <c r="E7976" s="84">
        <v>0.0</v>
      </c>
      <c r="F7976" s="76" t="s">
        <v>996</v>
      </c>
      <c r="G7976" s="83">
        <v>46117.0</v>
      </c>
      <c r="H7976" s="76" t="s">
        <v>926</v>
      </c>
    </row>
    <row r="7977">
      <c r="A7977" s="76" t="s">
        <v>36</v>
      </c>
      <c r="B7977" s="76" t="s">
        <v>1006</v>
      </c>
      <c r="C7977" s="84">
        <v>0.9</v>
      </c>
      <c r="D7977" s="84">
        <v>0.0</v>
      </c>
      <c r="E7977" s="84">
        <v>0.0</v>
      </c>
      <c r="F7977" s="76" t="s">
        <v>996</v>
      </c>
      <c r="G7977" s="83">
        <v>46117.0</v>
      </c>
      <c r="H7977" s="76" t="s">
        <v>927</v>
      </c>
    </row>
    <row r="7978">
      <c r="A7978" s="76" t="s">
        <v>36</v>
      </c>
      <c r="B7978" s="76" t="s">
        <v>1006</v>
      </c>
      <c r="C7978" s="84">
        <v>0.24</v>
      </c>
      <c r="D7978" s="84">
        <v>0.0</v>
      </c>
      <c r="E7978" s="84">
        <v>0.0</v>
      </c>
      <c r="F7978" s="76" t="s">
        <v>996</v>
      </c>
      <c r="G7978" s="83">
        <v>46117.0</v>
      </c>
      <c r="H7978" s="76" t="s">
        <v>928</v>
      </c>
    </row>
    <row r="7979">
      <c r="A7979" s="76" t="s">
        <v>31</v>
      </c>
      <c r="B7979" s="76" t="s">
        <v>1006</v>
      </c>
      <c r="C7979" s="84">
        <v>0.45</v>
      </c>
      <c r="D7979" s="84">
        <v>0.0</v>
      </c>
      <c r="E7979" s="84">
        <v>0.0</v>
      </c>
      <c r="F7979" s="76" t="s">
        <v>996</v>
      </c>
      <c r="G7979" s="83">
        <v>46117.0</v>
      </c>
      <c r="H7979" s="76" t="s">
        <v>929</v>
      </c>
    </row>
    <row r="7980">
      <c r="A7980" s="76" t="s">
        <v>31</v>
      </c>
      <c r="B7980" s="76" t="s">
        <v>1006</v>
      </c>
      <c r="C7980" s="84">
        <v>3.58</v>
      </c>
      <c r="D7980" s="84">
        <v>0.0</v>
      </c>
      <c r="E7980" s="84">
        <v>0.0</v>
      </c>
      <c r="F7980" s="76" t="s">
        <v>996</v>
      </c>
      <c r="G7980" s="83">
        <v>46117.0</v>
      </c>
      <c r="H7980" s="76" t="s">
        <v>930</v>
      </c>
    </row>
    <row r="7981">
      <c r="A7981" s="76" t="s">
        <v>28</v>
      </c>
      <c r="B7981" s="76" t="s">
        <v>1006</v>
      </c>
      <c r="C7981" s="84">
        <v>0.93</v>
      </c>
      <c r="D7981" s="84">
        <v>0.0</v>
      </c>
      <c r="E7981" s="84">
        <v>0.0</v>
      </c>
      <c r="F7981" s="76" t="s">
        <v>996</v>
      </c>
      <c r="G7981" s="83">
        <v>46117.0</v>
      </c>
      <c r="H7981" s="76" t="s">
        <v>931</v>
      </c>
    </row>
    <row r="7982">
      <c r="A7982" s="76" t="s">
        <v>28</v>
      </c>
      <c r="B7982" s="76" t="s">
        <v>1006</v>
      </c>
      <c r="C7982" s="84">
        <v>0.15</v>
      </c>
      <c r="D7982" s="84">
        <v>0.0</v>
      </c>
      <c r="E7982" s="84">
        <v>0.0</v>
      </c>
      <c r="F7982" s="76" t="s">
        <v>996</v>
      </c>
      <c r="G7982" s="83">
        <v>46117.0</v>
      </c>
      <c r="H7982" s="76" t="s">
        <v>932</v>
      </c>
    </row>
    <row r="7983">
      <c r="A7983" s="76" t="s">
        <v>28</v>
      </c>
      <c r="B7983" s="76" t="s">
        <v>1006</v>
      </c>
      <c r="C7983" s="84">
        <v>0.84</v>
      </c>
      <c r="D7983" s="84">
        <v>0.0</v>
      </c>
      <c r="E7983" s="84">
        <v>0.0</v>
      </c>
      <c r="F7983" s="76" t="s">
        <v>996</v>
      </c>
      <c r="G7983" s="83">
        <v>46117.0</v>
      </c>
      <c r="H7983" s="76" t="s">
        <v>933</v>
      </c>
    </row>
    <row r="7984">
      <c r="A7984" s="76" t="s">
        <v>45</v>
      </c>
      <c r="B7984" s="76" t="s">
        <v>1006</v>
      </c>
      <c r="C7984" s="84">
        <v>1.24</v>
      </c>
      <c r="D7984" s="84">
        <v>0.0</v>
      </c>
      <c r="E7984" s="84">
        <v>0.0</v>
      </c>
      <c r="F7984" s="76" t="s">
        <v>996</v>
      </c>
      <c r="G7984" s="83">
        <v>46117.0</v>
      </c>
      <c r="H7984" s="76" t="s">
        <v>936</v>
      </c>
    </row>
    <row r="7985">
      <c r="A7985" s="76" t="s">
        <v>45</v>
      </c>
      <c r="B7985" s="76" t="s">
        <v>1006</v>
      </c>
      <c r="C7985" s="84">
        <v>0.34</v>
      </c>
      <c r="D7985" s="84">
        <v>0.0</v>
      </c>
      <c r="E7985" s="84">
        <v>0.0</v>
      </c>
      <c r="F7985" s="76" t="s">
        <v>996</v>
      </c>
      <c r="G7985" s="83">
        <v>46117.0</v>
      </c>
      <c r="H7985" s="76" t="s">
        <v>937</v>
      </c>
    </row>
    <row r="7986">
      <c r="A7986" s="76" t="s">
        <v>45</v>
      </c>
      <c r="B7986" s="76" t="s">
        <v>1006</v>
      </c>
      <c r="C7986" s="84">
        <v>0.37</v>
      </c>
      <c r="D7986" s="84">
        <v>0.0</v>
      </c>
      <c r="E7986" s="84">
        <v>0.0</v>
      </c>
      <c r="F7986" s="76" t="s">
        <v>996</v>
      </c>
      <c r="G7986" s="83">
        <v>46117.0</v>
      </c>
      <c r="H7986" s="76" t="s">
        <v>938</v>
      </c>
    </row>
    <row r="7987">
      <c r="A7987" s="76" t="s">
        <v>32</v>
      </c>
      <c r="B7987" s="76" t="s">
        <v>1006</v>
      </c>
      <c r="C7987" s="84">
        <v>1.15</v>
      </c>
      <c r="D7987" s="84">
        <v>0.0</v>
      </c>
      <c r="E7987" s="84">
        <v>0.0</v>
      </c>
      <c r="F7987" s="76" t="s">
        <v>996</v>
      </c>
      <c r="G7987" s="83">
        <v>46117.0</v>
      </c>
      <c r="H7987" s="76" t="s">
        <v>941</v>
      </c>
    </row>
    <row r="7988">
      <c r="A7988" s="76" t="s">
        <v>32</v>
      </c>
      <c r="B7988" s="76" t="s">
        <v>1006</v>
      </c>
      <c r="C7988" s="84">
        <v>0.45</v>
      </c>
      <c r="D7988" s="84">
        <v>0.0</v>
      </c>
      <c r="E7988" s="84">
        <v>0.0</v>
      </c>
      <c r="F7988" s="76" t="s">
        <v>996</v>
      </c>
      <c r="G7988" s="83">
        <v>46117.0</v>
      </c>
      <c r="H7988" s="76" t="s">
        <v>942</v>
      </c>
    </row>
    <row r="7989">
      <c r="A7989" s="76" t="s">
        <v>32</v>
      </c>
      <c r="B7989" s="76" t="s">
        <v>1006</v>
      </c>
      <c r="C7989" s="84">
        <v>0.93</v>
      </c>
      <c r="D7989" s="84">
        <v>0.0</v>
      </c>
      <c r="E7989" s="84">
        <v>0.0</v>
      </c>
      <c r="F7989" s="76" t="s">
        <v>996</v>
      </c>
      <c r="G7989" s="83">
        <v>46117.0</v>
      </c>
      <c r="H7989" s="76" t="s">
        <v>943</v>
      </c>
    </row>
    <row r="7990">
      <c r="A7990" s="76" t="s">
        <v>944</v>
      </c>
      <c r="B7990" s="76" t="s">
        <v>1006</v>
      </c>
      <c r="C7990" s="84">
        <v>0.42</v>
      </c>
      <c r="D7990" s="84">
        <v>0.0</v>
      </c>
      <c r="E7990" s="84">
        <v>0.0</v>
      </c>
      <c r="F7990" s="76" t="s">
        <v>996</v>
      </c>
      <c r="G7990" s="83">
        <v>46117.0</v>
      </c>
      <c r="H7990" s="76" t="s">
        <v>945</v>
      </c>
    </row>
    <row r="7991">
      <c r="A7991" s="76" t="s">
        <v>944</v>
      </c>
      <c r="B7991" s="76" t="s">
        <v>1006</v>
      </c>
      <c r="C7991" s="84">
        <v>0.75</v>
      </c>
      <c r="D7991" s="84">
        <v>0.0</v>
      </c>
      <c r="E7991" s="84">
        <v>0.0</v>
      </c>
      <c r="F7991" s="76" t="s">
        <v>996</v>
      </c>
      <c r="G7991" s="83">
        <v>46117.0</v>
      </c>
      <c r="H7991" s="76" t="s">
        <v>946</v>
      </c>
    </row>
    <row r="7992">
      <c r="A7992" s="76" t="s">
        <v>944</v>
      </c>
      <c r="B7992" s="76" t="s">
        <v>1006</v>
      </c>
      <c r="C7992" s="84">
        <v>0.61</v>
      </c>
      <c r="D7992" s="84">
        <v>0.0</v>
      </c>
      <c r="E7992" s="84">
        <v>0.0</v>
      </c>
      <c r="F7992" s="76" t="s">
        <v>996</v>
      </c>
      <c r="G7992" s="83">
        <v>46117.0</v>
      </c>
      <c r="H7992" s="76" t="s">
        <v>947</v>
      </c>
    </row>
    <row r="7993">
      <c r="A7993" s="76" t="s">
        <v>26</v>
      </c>
      <c r="B7993" s="76" t="s">
        <v>1006</v>
      </c>
      <c r="C7993" s="84">
        <v>2.61</v>
      </c>
      <c r="D7993" s="84">
        <v>0.0</v>
      </c>
      <c r="E7993" s="84">
        <v>0.0</v>
      </c>
      <c r="F7993" s="76" t="s">
        <v>996</v>
      </c>
      <c r="G7993" s="83">
        <v>46117.0</v>
      </c>
      <c r="H7993" s="76" t="s">
        <v>1012</v>
      </c>
    </row>
    <row r="7994">
      <c r="A7994" s="76" t="s">
        <v>26</v>
      </c>
      <c r="B7994" s="76" t="s">
        <v>1006</v>
      </c>
      <c r="C7994" s="84">
        <v>0.3</v>
      </c>
      <c r="D7994" s="84">
        <v>0.0</v>
      </c>
      <c r="E7994" s="84">
        <v>0.0</v>
      </c>
      <c r="F7994" s="76" t="s">
        <v>996</v>
      </c>
      <c r="G7994" s="83">
        <v>46117.0</v>
      </c>
      <c r="H7994" s="76" t="s">
        <v>1013</v>
      </c>
    </row>
    <row r="7995">
      <c r="A7995" s="76" t="s">
        <v>26</v>
      </c>
      <c r="B7995" s="76" t="s">
        <v>1006</v>
      </c>
      <c r="C7995" s="84">
        <v>0.71</v>
      </c>
      <c r="D7995" s="84">
        <v>0.0</v>
      </c>
      <c r="E7995" s="84">
        <v>0.0</v>
      </c>
      <c r="F7995" s="76" t="s">
        <v>996</v>
      </c>
      <c r="G7995" s="83">
        <v>46117.0</v>
      </c>
      <c r="H7995" s="76" t="s">
        <v>1014</v>
      </c>
    </row>
    <row r="7996">
      <c r="A7996" s="76" t="s">
        <v>36</v>
      </c>
      <c r="B7996" s="76" t="s">
        <v>1006</v>
      </c>
      <c r="C7996" s="84">
        <v>0.39</v>
      </c>
      <c r="D7996" s="84">
        <v>0.0</v>
      </c>
      <c r="E7996" s="84">
        <v>0.0</v>
      </c>
      <c r="F7996" s="76" t="s">
        <v>997</v>
      </c>
      <c r="G7996" s="83">
        <v>46117.0</v>
      </c>
      <c r="H7996" s="76" t="s">
        <v>926</v>
      </c>
    </row>
    <row r="7997">
      <c r="A7997" s="76" t="s">
        <v>36</v>
      </c>
      <c r="B7997" s="76" t="s">
        <v>1006</v>
      </c>
      <c r="C7997" s="84">
        <v>0.44</v>
      </c>
      <c r="D7997" s="84">
        <v>1.0</v>
      </c>
      <c r="E7997" s="84">
        <v>0.44</v>
      </c>
      <c r="F7997" s="76" t="s">
        <v>997</v>
      </c>
      <c r="G7997" s="83">
        <v>46117.0</v>
      </c>
      <c r="H7997" s="76" t="s">
        <v>927</v>
      </c>
    </row>
    <row r="7998">
      <c r="A7998" s="76" t="s">
        <v>36</v>
      </c>
      <c r="B7998" s="76" t="s">
        <v>1006</v>
      </c>
      <c r="C7998" s="84">
        <v>0.63</v>
      </c>
      <c r="D7998" s="84">
        <v>1.0</v>
      </c>
      <c r="E7998" s="84">
        <v>0.63</v>
      </c>
      <c r="F7998" s="76" t="s">
        <v>997</v>
      </c>
      <c r="G7998" s="83">
        <v>46117.0</v>
      </c>
      <c r="H7998" s="76" t="s">
        <v>928</v>
      </c>
    </row>
    <row r="7999">
      <c r="A7999" s="76" t="s">
        <v>31</v>
      </c>
      <c r="B7999" s="76" t="s">
        <v>1006</v>
      </c>
      <c r="C7999" s="84">
        <v>0.97</v>
      </c>
      <c r="D7999" s="84">
        <v>0.0</v>
      </c>
      <c r="E7999" s="84">
        <v>0.0</v>
      </c>
      <c r="F7999" s="76" t="s">
        <v>997</v>
      </c>
      <c r="G7999" s="83">
        <v>46117.0</v>
      </c>
      <c r="H7999" s="76" t="s">
        <v>929</v>
      </c>
    </row>
    <row r="8000">
      <c r="A8000" s="76" t="s">
        <v>31</v>
      </c>
      <c r="B8000" s="76" t="s">
        <v>1006</v>
      </c>
      <c r="C8000" s="84">
        <v>2.84</v>
      </c>
      <c r="D8000" s="84">
        <v>2.0</v>
      </c>
      <c r="E8000" s="84">
        <v>1.42</v>
      </c>
      <c r="F8000" s="76" t="s">
        <v>997</v>
      </c>
      <c r="G8000" s="83">
        <v>46117.0</v>
      </c>
      <c r="H8000" s="76" t="s">
        <v>930</v>
      </c>
    </row>
    <row r="8001">
      <c r="A8001" s="76" t="s">
        <v>28</v>
      </c>
      <c r="B8001" s="76" t="s">
        <v>1006</v>
      </c>
      <c r="C8001" s="84">
        <v>0.28</v>
      </c>
      <c r="D8001" s="84">
        <v>0.0</v>
      </c>
      <c r="E8001" s="84">
        <v>0.0</v>
      </c>
      <c r="F8001" s="76" t="s">
        <v>997</v>
      </c>
      <c r="G8001" s="83">
        <v>46117.0</v>
      </c>
      <c r="H8001" s="76" t="s">
        <v>931</v>
      </c>
    </row>
    <row r="8002">
      <c r="A8002" s="76" t="s">
        <v>28</v>
      </c>
      <c r="B8002" s="76" t="s">
        <v>1006</v>
      </c>
      <c r="C8002" s="84">
        <v>0.22</v>
      </c>
      <c r="D8002" s="84">
        <v>0.0</v>
      </c>
      <c r="E8002" s="84">
        <v>0.0</v>
      </c>
      <c r="F8002" s="76" t="s">
        <v>997</v>
      </c>
      <c r="G8002" s="83">
        <v>46117.0</v>
      </c>
      <c r="H8002" s="76" t="s">
        <v>932</v>
      </c>
    </row>
    <row r="8003">
      <c r="A8003" s="76" t="s">
        <v>28</v>
      </c>
      <c r="B8003" s="76" t="s">
        <v>1006</v>
      </c>
      <c r="C8003" s="84">
        <v>1.28</v>
      </c>
      <c r="D8003" s="84">
        <v>0.0</v>
      </c>
      <c r="E8003" s="84">
        <v>0.0</v>
      </c>
      <c r="F8003" s="76" t="s">
        <v>997</v>
      </c>
      <c r="G8003" s="83">
        <v>46117.0</v>
      </c>
      <c r="H8003" s="76" t="s">
        <v>933</v>
      </c>
    </row>
    <row r="8004">
      <c r="A8004" s="76" t="s">
        <v>45</v>
      </c>
      <c r="B8004" s="76" t="s">
        <v>1006</v>
      </c>
      <c r="C8004" s="84">
        <v>0.39</v>
      </c>
      <c r="D8004" s="84">
        <v>0.0</v>
      </c>
      <c r="E8004" s="84">
        <v>0.0</v>
      </c>
      <c r="F8004" s="76" t="s">
        <v>997</v>
      </c>
      <c r="G8004" s="83">
        <v>46117.0</v>
      </c>
      <c r="H8004" s="76" t="s">
        <v>936</v>
      </c>
    </row>
    <row r="8005">
      <c r="A8005" s="76" t="s">
        <v>45</v>
      </c>
      <c r="B8005" s="76" t="s">
        <v>1006</v>
      </c>
      <c r="C8005" s="84">
        <v>0.66</v>
      </c>
      <c r="D8005" s="84">
        <v>0.0</v>
      </c>
      <c r="E8005" s="84">
        <v>0.0</v>
      </c>
      <c r="F8005" s="76" t="s">
        <v>997</v>
      </c>
      <c r="G8005" s="83">
        <v>46117.0</v>
      </c>
      <c r="H8005" s="76" t="s">
        <v>937</v>
      </c>
    </row>
    <row r="8006">
      <c r="A8006" s="76" t="s">
        <v>45</v>
      </c>
      <c r="B8006" s="76" t="s">
        <v>1006</v>
      </c>
      <c r="C8006" s="84">
        <v>0.26</v>
      </c>
      <c r="D8006" s="84">
        <v>0.0</v>
      </c>
      <c r="E8006" s="84">
        <v>0.0</v>
      </c>
      <c r="F8006" s="76" t="s">
        <v>997</v>
      </c>
      <c r="G8006" s="83">
        <v>46117.0</v>
      </c>
      <c r="H8006" s="76" t="s">
        <v>938</v>
      </c>
    </row>
    <row r="8007">
      <c r="A8007" s="76" t="s">
        <v>32</v>
      </c>
      <c r="B8007" s="76" t="s">
        <v>1006</v>
      </c>
      <c r="C8007" s="84">
        <v>2.62</v>
      </c>
      <c r="D8007" s="84">
        <v>1.0</v>
      </c>
      <c r="E8007" s="84">
        <v>2.62</v>
      </c>
      <c r="F8007" s="76" t="s">
        <v>997</v>
      </c>
      <c r="G8007" s="83">
        <v>46117.0</v>
      </c>
      <c r="H8007" s="76" t="s">
        <v>941</v>
      </c>
    </row>
    <row r="8008">
      <c r="A8008" s="76" t="s">
        <v>32</v>
      </c>
      <c r="B8008" s="76" t="s">
        <v>1006</v>
      </c>
      <c r="C8008" s="84">
        <v>0.96</v>
      </c>
      <c r="D8008" s="84">
        <v>0.0</v>
      </c>
      <c r="E8008" s="84">
        <v>0.0</v>
      </c>
      <c r="F8008" s="76" t="s">
        <v>997</v>
      </c>
      <c r="G8008" s="83">
        <v>46117.0</v>
      </c>
      <c r="H8008" s="76" t="s">
        <v>942</v>
      </c>
    </row>
    <row r="8009">
      <c r="A8009" s="76" t="s">
        <v>32</v>
      </c>
      <c r="B8009" s="76" t="s">
        <v>1006</v>
      </c>
      <c r="C8009" s="84">
        <v>1.74</v>
      </c>
      <c r="D8009" s="84">
        <v>0.0</v>
      </c>
      <c r="E8009" s="84">
        <v>0.0</v>
      </c>
      <c r="F8009" s="76" t="s">
        <v>997</v>
      </c>
      <c r="G8009" s="83">
        <v>46117.0</v>
      </c>
      <c r="H8009" s="76" t="s">
        <v>943</v>
      </c>
    </row>
    <row r="8010">
      <c r="A8010" s="76" t="s">
        <v>944</v>
      </c>
      <c r="B8010" s="76" t="s">
        <v>1006</v>
      </c>
      <c r="C8010" s="84">
        <v>0.44</v>
      </c>
      <c r="D8010" s="84">
        <v>0.0</v>
      </c>
      <c r="E8010" s="84">
        <v>0.0</v>
      </c>
      <c r="F8010" s="76" t="s">
        <v>997</v>
      </c>
      <c r="G8010" s="83">
        <v>46117.0</v>
      </c>
      <c r="H8010" s="76" t="s">
        <v>945</v>
      </c>
    </row>
    <row r="8011">
      <c r="A8011" s="76" t="s">
        <v>944</v>
      </c>
      <c r="B8011" s="76" t="s">
        <v>1006</v>
      </c>
      <c r="C8011" s="84">
        <v>0.57</v>
      </c>
      <c r="D8011" s="84">
        <v>0.0</v>
      </c>
      <c r="E8011" s="84">
        <v>0.0</v>
      </c>
      <c r="F8011" s="76" t="s">
        <v>997</v>
      </c>
      <c r="G8011" s="83">
        <v>46117.0</v>
      </c>
      <c r="H8011" s="76" t="s">
        <v>946</v>
      </c>
    </row>
    <row r="8012">
      <c r="A8012" s="76" t="s">
        <v>944</v>
      </c>
      <c r="B8012" s="76" t="s">
        <v>1006</v>
      </c>
      <c r="C8012" s="84">
        <v>0.91</v>
      </c>
      <c r="D8012" s="84">
        <v>0.0</v>
      </c>
      <c r="E8012" s="84">
        <v>0.0</v>
      </c>
      <c r="F8012" s="76" t="s">
        <v>997</v>
      </c>
      <c r="G8012" s="83">
        <v>46117.0</v>
      </c>
      <c r="H8012" s="76" t="s">
        <v>947</v>
      </c>
    </row>
    <row r="8013">
      <c r="A8013" s="76" t="s">
        <v>26</v>
      </c>
      <c r="B8013" s="76" t="s">
        <v>1006</v>
      </c>
      <c r="C8013" s="84">
        <v>1.25</v>
      </c>
      <c r="D8013" s="84">
        <v>0.0</v>
      </c>
      <c r="E8013" s="84">
        <v>0.0</v>
      </c>
      <c r="F8013" s="76" t="s">
        <v>997</v>
      </c>
      <c r="G8013" s="83">
        <v>46117.0</v>
      </c>
      <c r="H8013" s="76" t="s">
        <v>1012</v>
      </c>
    </row>
    <row r="8014">
      <c r="A8014" s="76" t="s">
        <v>26</v>
      </c>
      <c r="B8014" s="76" t="s">
        <v>1006</v>
      </c>
      <c r="C8014" s="84">
        <v>0.35</v>
      </c>
      <c r="D8014" s="84">
        <v>0.0</v>
      </c>
      <c r="E8014" s="84">
        <v>0.0</v>
      </c>
      <c r="F8014" s="76" t="s">
        <v>997</v>
      </c>
      <c r="G8014" s="83">
        <v>46117.0</v>
      </c>
      <c r="H8014" s="76" t="s">
        <v>1013</v>
      </c>
    </row>
    <row r="8015">
      <c r="A8015" s="76" t="s">
        <v>26</v>
      </c>
      <c r="B8015" s="76" t="s">
        <v>1006</v>
      </c>
      <c r="C8015" s="84">
        <v>1.58</v>
      </c>
      <c r="D8015" s="84">
        <v>1.0</v>
      </c>
      <c r="E8015" s="84">
        <v>1.58</v>
      </c>
      <c r="F8015" s="76" t="s">
        <v>997</v>
      </c>
      <c r="G8015" s="83">
        <v>46117.0</v>
      </c>
      <c r="H8015" s="76" t="s">
        <v>1014</v>
      </c>
    </row>
    <row r="8016">
      <c r="A8016" s="76" t="s">
        <v>36</v>
      </c>
      <c r="B8016" s="76" t="s">
        <v>1006</v>
      </c>
      <c r="C8016" s="84">
        <v>3.25</v>
      </c>
      <c r="D8016" s="84">
        <v>1.0</v>
      </c>
      <c r="E8016" s="84">
        <v>3.25</v>
      </c>
      <c r="F8016" s="76" t="s">
        <v>998</v>
      </c>
      <c r="G8016" s="83">
        <v>46117.0</v>
      </c>
      <c r="H8016" s="76" t="s">
        <v>926</v>
      </c>
    </row>
    <row r="8017">
      <c r="A8017" s="76" t="s">
        <v>36</v>
      </c>
      <c r="B8017" s="76" t="s">
        <v>1006</v>
      </c>
      <c r="C8017" s="84">
        <v>1.64</v>
      </c>
      <c r="D8017" s="84">
        <v>1.0</v>
      </c>
      <c r="E8017" s="84">
        <v>1.64</v>
      </c>
      <c r="F8017" s="76" t="s">
        <v>998</v>
      </c>
      <c r="G8017" s="83">
        <v>46117.0</v>
      </c>
      <c r="H8017" s="76" t="s">
        <v>927</v>
      </c>
    </row>
    <row r="8018">
      <c r="A8018" s="76" t="s">
        <v>36</v>
      </c>
      <c r="B8018" s="76" t="s">
        <v>1006</v>
      </c>
      <c r="C8018" s="84">
        <v>1.36</v>
      </c>
      <c r="D8018" s="84">
        <v>0.0</v>
      </c>
      <c r="E8018" s="84">
        <v>0.0</v>
      </c>
      <c r="F8018" s="76" t="s">
        <v>998</v>
      </c>
      <c r="G8018" s="83">
        <v>46117.0</v>
      </c>
      <c r="H8018" s="76" t="s">
        <v>928</v>
      </c>
    </row>
    <row r="8019">
      <c r="A8019" s="76" t="s">
        <v>31</v>
      </c>
      <c r="B8019" s="76" t="s">
        <v>1006</v>
      </c>
      <c r="C8019" s="84">
        <v>2.28</v>
      </c>
      <c r="D8019" s="84">
        <v>0.0</v>
      </c>
      <c r="E8019" s="84">
        <v>0.0</v>
      </c>
      <c r="F8019" s="76" t="s">
        <v>998</v>
      </c>
      <c r="G8019" s="83">
        <v>46117.0</v>
      </c>
      <c r="H8019" s="76" t="s">
        <v>929</v>
      </c>
    </row>
    <row r="8020">
      <c r="A8020" s="76" t="s">
        <v>31</v>
      </c>
      <c r="B8020" s="76" t="s">
        <v>1006</v>
      </c>
      <c r="C8020" s="84">
        <v>22.11</v>
      </c>
      <c r="D8020" s="84">
        <v>7.0</v>
      </c>
      <c r="E8020" s="84">
        <v>3.16</v>
      </c>
      <c r="F8020" s="76" t="s">
        <v>998</v>
      </c>
      <c r="G8020" s="83">
        <v>46117.0</v>
      </c>
      <c r="H8020" s="76" t="s">
        <v>930</v>
      </c>
    </row>
    <row r="8021">
      <c r="A8021" s="76" t="s">
        <v>28</v>
      </c>
      <c r="B8021" s="76" t="s">
        <v>1006</v>
      </c>
      <c r="C8021" s="84">
        <v>2.29</v>
      </c>
      <c r="D8021" s="84">
        <v>0.0</v>
      </c>
      <c r="E8021" s="84">
        <v>0.0</v>
      </c>
      <c r="F8021" s="76" t="s">
        <v>998</v>
      </c>
      <c r="G8021" s="83">
        <v>46117.0</v>
      </c>
      <c r="H8021" s="76" t="s">
        <v>931</v>
      </c>
    </row>
    <row r="8022">
      <c r="A8022" s="76" t="s">
        <v>28</v>
      </c>
      <c r="B8022" s="76" t="s">
        <v>1006</v>
      </c>
      <c r="C8022" s="84">
        <v>1.01</v>
      </c>
      <c r="D8022" s="84">
        <v>0.0</v>
      </c>
      <c r="E8022" s="84">
        <v>0.0</v>
      </c>
      <c r="F8022" s="76" t="s">
        <v>998</v>
      </c>
      <c r="G8022" s="83">
        <v>46117.0</v>
      </c>
      <c r="H8022" s="76" t="s">
        <v>932</v>
      </c>
    </row>
    <row r="8023">
      <c r="A8023" s="76" t="s">
        <v>28</v>
      </c>
      <c r="B8023" s="76" t="s">
        <v>1006</v>
      </c>
      <c r="C8023" s="84">
        <v>7.82</v>
      </c>
      <c r="D8023" s="84">
        <v>4.0</v>
      </c>
      <c r="E8023" s="84">
        <v>1.95</v>
      </c>
      <c r="F8023" s="76" t="s">
        <v>998</v>
      </c>
      <c r="G8023" s="83">
        <v>46117.0</v>
      </c>
      <c r="H8023" s="76" t="s">
        <v>933</v>
      </c>
    </row>
    <row r="8024">
      <c r="A8024" s="76" t="s">
        <v>45</v>
      </c>
      <c r="B8024" s="76" t="s">
        <v>1006</v>
      </c>
      <c r="C8024" s="84">
        <v>2.63</v>
      </c>
      <c r="D8024" s="84">
        <v>0.0</v>
      </c>
      <c r="E8024" s="84">
        <v>0.0</v>
      </c>
      <c r="F8024" s="76" t="s">
        <v>998</v>
      </c>
      <c r="G8024" s="83">
        <v>46117.0</v>
      </c>
      <c r="H8024" s="76" t="s">
        <v>936</v>
      </c>
    </row>
    <row r="8025">
      <c r="A8025" s="76" t="s">
        <v>45</v>
      </c>
      <c r="B8025" s="76" t="s">
        <v>1006</v>
      </c>
      <c r="C8025" s="84">
        <v>1.37</v>
      </c>
      <c r="D8025" s="84">
        <v>0.0</v>
      </c>
      <c r="E8025" s="84">
        <v>0.0</v>
      </c>
      <c r="F8025" s="76" t="s">
        <v>998</v>
      </c>
      <c r="G8025" s="83">
        <v>46117.0</v>
      </c>
      <c r="H8025" s="76" t="s">
        <v>937</v>
      </c>
    </row>
    <row r="8026">
      <c r="A8026" s="76" t="s">
        <v>45</v>
      </c>
      <c r="B8026" s="76" t="s">
        <v>1006</v>
      </c>
      <c r="C8026" s="84">
        <v>0.45</v>
      </c>
      <c r="D8026" s="84">
        <v>0.0</v>
      </c>
      <c r="E8026" s="84">
        <v>0.0</v>
      </c>
      <c r="F8026" s="76" t="s">
        <v>998</v>
      </c>
      <c r="G8026" s="83">
        <v>46117.0</v>
      </c>
      <c r="H8026" s="76" t="s">
        <v>938</v>
      </c>
    </row>
    <row r="8027">
      <c r="A8027" s="76" t="s">
        <v>32</v>
      </c>
      <c r="B8027" s="76" t="s">
        <v>1006</v>
      </c>
      <c r="C8027" s="84">
        <v>14.86</v>
      </c>
      <c r="D8027" s="84">
        <v>2.0</v>
      </c>
      <c r="E8027" s="84">
        <v>7.43</v>
      </c>
      <c r="F8027" s="76" t="s">
        <v>998</v>
      </c>
      <c r="G8027" s="83">
        <v>46117.0</v>
      </c>
      <c r="H8027" s="76" t="s">
        <v>941</v>
      </c>
    </row>
    <row r="8028">
      <c r="A8028" s="76" t="s">
        <v>32</v>
      </c>
      <c r="B8028" s="76" t="s">
        <v>1006</v>
      </c>
      <c r="C8028" s="84">
        <v>2.56</v>
      </c>
      <c r="D8028" s="84">
        <v>0.0</v>
      </c>
      <c r="E8028" s="84">
        <v>0.0</v>
      </c>
      <c r="F8028" s="76" t="s">
        <v>998</v>
      </c>
      <c r="G8028" s="83">
        <v>46117.0</v>
      </c>
      <c r="H8028" s="76" t="s">
        <v>942</v>
      </c>
    </row>
    <row r="8029">
      <c r="A8029" s="76" t="s">
        <v>32</v>
      </c>
      <c r="B8029" s="76" t="s">
        <v>1006</v>
      </c>
      <c r="C8029" s="84">
        <v>6.68</v>
      </c>
      <c r="D8029" s="84">
        <v>2.0</v>
      </c>
      <c r="E8029" s="84">
        <v>3.34</v>
      </c>
      <c r="F8029" s="76" t="s">
        <v>998</v>
      </c>
      <c r="G8029" s="83">
        <v>46117.0</v>
      </c>
      <c r="H8029" s="76" t="s">
        <v>943</v>
      </c>
    </row>
    <row r="8030">
      <c r="A8030" s="76" t="s">
        <v>944</v>
      </c>
      <c r="B8030" s="76" t="s">
        <v>1006</v>
      </c>
      <c r="C8030" s="84">
        <v>3.67</v>
      </c>
      <c r="D8030" s="84">
        <v>0.0</v>
      </c>
      <c r="E8030" s="84">
        <v>0.0</v>
      </c>
      <c r="F8030" s="76" t="s">
        <v>998</v>
      </c>
      <c r="G8030" s="83">
        <v>46117.0</v>
      </c>
      <c r="H8030" s="76" t="s">
        <v>945</v>
      </c>
    </row>
    <row r="8031">
      <c r="A8031" s="76" t="s">
        <v>944</v>
      </c>
      <c r="B8031" s="76" t="s">
        <v>1006</v>
      </c>
      <c r="C8031" s="84">
        <v>2.45</v>
      </c>
      <c r="D8031" s="84">
        <v>0.0</v>
      </c>
      <c r="E8031" s="84">
        <v>0.0</v>
      </c>
      <c r="F8031" s="76" t="s">
        <v>998</v>
      </c>
      <c r="G8031" s="83">
        <v>46117.0</v>
      </c>
      <c r="H8031" s="76" t="s">
        <v>946</v>
      </c>
    </row>
    <row r="8032">
      <c r="A8032" s="76" t="s">
        <v>944</v>
      </c>
      <c r="B8032" s="76" t="s">
        <v>1006</v>
      </c>
      <c r="C8032" s="84">
        <v>4.19</v>
      </c>
      <c r="D8032" s="84">
        <v>0.0</v>
      </c>
      <c r="E8032" s="84">
        <v>0.0</v>
      </c>
      <c r="F8032" s="76" t="s">
        <v>998</v>
      </c>
      <c r="G8032" s="83">
        <v>46117.0</v>
      </c>
      <c r="H8032" s="76" t="s">
        <v>947</v>
      </c>
    </row>
    <row r="8033">
      <c r="A8033" s="76" t="s">
        <v>26</v>
      </c>
      <c r="B8033" s="76" t="s">
        <v>1006</v>
      </c>
      <c r="C8033" s="84">
        <v>3.33</v>
      </c>
      <c r="D8033" s="84">
        <v>0.0</v>
      </c>
      <c r="E8033" s="84">
        <v>0.0</v>
      </c>
      <c r="F8033" s="76" t="s">
        <v>998</v>
      </c>
      <c r="G8033" s="83">
        <v>46117.0</v>
      </c>
      <c r="H8033" s="76" t="s">
        <v>1012</v>
      </c>
    </row>
    <row r="8034">
      <c r="A8034" s="76" t="s">
        <v>26</v>
      </c>
      <c r="B8034" s="76" t="s">
        <v>1006</v>
      </c>
      <c r="C8034" s="84">
        <v>1.72</v>
      </c>
      <c r="D8034" s="84">
        <v>0.0</v>
      </c>
      <c r="E8034" s="84">
        <v>0.0</v>
      </c>
      <c r="F8034" s="76" t="s">
        <v>998</v>
      </c>
      <c r="G8034" s="83">
        <v>46117.0</v>
      </c>
      <c r="H8034" s="76" t="s">
        <v>1013</v>
      </c>
    </row>
    <row r="8035">
      <c r="A8035" s="76" t="s">
        <v>26</v>
      </c>
      <c r="B8035" s="76" t="s">
        <v>1006</v>
      </c>
      <c r="C8035" s="84">
        <v>4.62</v>
      </c>
      <c r="D8035" s="84">
        <v>1.0</v>
      </c>
      <c r="E8035" s="84">
        <v>4.62</v>
      </c>
      <c r="F8035" s="76" t="s">
        <v>998</v>
      </c>
      <c r="G8035" s="83">
        <v>46117.0</v>
      </c>
      <c r="H8035" s="76" t="s">
        <v>1014</v>
      </c>
    </row>
    <row r="8036">
      <c r="A8036" s="76" t="s">
        <v>40</v>
      </c>
      <c r="B8036" s="76" t="s">
        <v>1039</v>
      </c>
      <c r="C8036" s="84">
        <v>2.05</v>
      </c>
      <c r="D8036" s="84">
        <v>1.0</v>
      </c>
      <c r="E8036" s="84">
        <v>2.05</v>
      </c>
      <c r="F8036" s="76" t="s">
        <v>1005</v>
      </c>
      <c r="G8036" s="83">
        <v>46117.0</v>
      </c>
      <c r="H8036" s="76" t="s">
        <v>954</v>
      </c>
    </row>
    <row r="8037">
      <c r="A8037" s="76" t="s">
        <v>40</v>
      </c>
      <c r="B8037" s="76" t="s">
        <v>1039</v>
      </c>
      <c r="C8037" s="84">
        <v>0.71</v>
      </c>
      <c r="D8037" s="84">
        <v>0.0</v>
      </c>
      <c r="E8037" s="84">
        <v>0.0</v>
      </c>
      <c r="F8037" s="76" t="s">
        <v>1005</v>
      </c>
      <c r="G8037" s="83">
        <v>46117.0</v>
      </c>
      <c r="H8037" s="76" t="s">
        <v>955</v>
      </c>
    </row>
    <row r="8038">
      <c r="A8038" s="76" t="s">
        <v>40</v>
      </c>
      <c r="B8038" s="76" t="s">
        <v>1039</v>
      </c>
      <c r="C8038" s="84">
        <v>9.32</v>
      </c>
      <c r="D8038" s="84">
        <v>1.0</v>
      </c>
      <c r="E8038" s="84">
        <v>9.32</v>
      </c>
      <c r="F8038" s="76" t="s">
        <v>1005</v>
      </c>
      <c r="G8038" s="83">
        <v>46117.0</v>
      </c>
      <c r="H8038" s="76" t="s">
        <v>956</v>
      </c>
    </row>
    <row r="8039">
      <c r="A8039" s="76" t="s">
        <v>36</v>
      </c>
      <c r="B8039" s="76" t="s">
        <v>1039</v>
      </c>
      <c r="C8039" s="84">
        <v>2.67</v>
      </c>
      <c r="D8039" s="84">
        <v>0.0</v>
      </c>
      <c r="E8039" s="84">
        <v>0.0</v>
      </c>
      <c r="F8039" s="76" t="s">
        <v>1005</v>
      </c>
      <c r="G8039" s="83">
        <v>46117.0</v>
      </c>
      <c r="H8039" s="76" t="s">
        <v>926</v>
      </c>
    </row>
    <row r="8040">
      <c r="A8040" s="76" t="s">
        <v>36</v>
      </c>
      <c r="B8040" s="76" t="s">
        <v>1039</v>
      </c>
      <c r="C8040" s="84">
        <v>1.3</v>
      </c>
      <c r="D8040" s="84">
        <v>0.0</v>
      </c>
      <c r="E8040" s="84">
        <v>0.0</v>
      </c>
      <c r="F8040" s="76" t="s">
        <v>1005</v>
      </c>
      <c r="G8040" s="83">
        <v>46117.0</v>
      </c>
      <c r="H8040" s="76" t="s">
        <v>927</v>
      </c>
    </row>
    <row r="8041">
      <c r="A8041" s="76" t="s">
        <v>36</v>
      </c>
      <c r="B8041" s="76" t="s">
        <v>1039</v>
      </c>
      <c r="C8041" s="84">
        <v>3.28</v>
      </c>
      <c r="D8041" s="84">
        <v>1.0</v>
      </c>
      <c r="E8041" s="84">
        <v>3.28</v>
      </c>
      <c r="F8041" s="76" t="s">
        <v>1005</v>
      </c>
      <c r="G8041" s="83">
        <v>46117.0</v>
      </c>
      <c r="H8041" s="76" t="s">
        <v>928</v>
      </c>
    </row>
    <row r="8042">
      <c r="A8042" s="76" t="s">
        <v>46</v>
      </c>
      <c r="B8042" s="76" t="s">
        <v>1039</v>
      </c>
      <c r="C8042" s="84">
        <v>0.85</v>
      </c>
      <c r="D8042" s="84">
        <v>0.0</v>
      </c>
      <c r="E8042" s="84">
        <v>0.0</v>
      </c>
      <c r="F8042" s="76" t="s">
        <v>1005</v>
      </c>
      <c r="G8042" s="83">
        <v>46117.0</v>
      </c>
      <c r="H8042" s="76" t="s">
        <v>960</v>
      </c>
    </row>
    <row r="8043">
      <c r="A8043" s="76" t="s">
        <v>46</v>
      </c>
      <c r="B8043" s="76" t="s">
        <v>1039</v>
      </c>
      <c r="C8043" s="84">
        <v>1.25</v>
      </c>
      <c r="D8043" s="84">
        <v>0.0</v>
      </c>
      <c r="E8043" s="84">
        <v>0.0</v>
      </c>
      <c r="F8043" s="76" t="s">
        <v>1005</v>
      </c>
      <c r="G8043" s="83">
        <v>46117.0</v>
      </c>
      <c r="H8043" s="76" t="s">
        <v>961</v>
      </c>
    </row>
    <row r="8044">
      <c r="A8044" s="76" t="s">
        <v>46</v>
      </c>
      <c r="B8044" s="76" t="s">
        <v>1039</v>
      </c>
      <c r="C8044" s="84">
        <v>1.63</v>
      </c>
      <c r="D8044" s="84">
        <v>1.0</v>
      </c>
      <c r="E8044" s="84">
        <v>1.63</v>
      </c>
      <c r="F8044" s="76" t="s">
        <v>1005</v>
      </c>
      <c r="G8044" s="83">
        <v>46117.0</v>
      </c>
      <c r="H8044" s="76" t="s">
        <v>962</v>
      </c>
    </row>
    <row r="8045">
      <c r="A8045" s="76" t="s">
        <v>970</v>
      </c>
      <c r="B8045" s="76" t="s">
        <v>1039</v>
      </c>
      <c r="C8045" s="84">
        <v>9.97</v>
      </c>
      <c r="D8045" s="84">
        <v>2.0</v>
      </c>
      <c r="E8045" s="84">
        <v>4.98</v>
      </c>
      <c r="F8045" s="76" t="s">
        <v>1005</v>
      </c>
      <c r="G8045" s="83">
        <v>46117.0</v>
      </c>
      <c r="H8045" s="76" t="s">
        <v>971</v>
      </c>
    </row>
    <row r="8046">
      <c r="A8046" s="76" t="s">
        <v>970</v>
      </c>
      <c r="B8046" s="76" t="s">
        <v>1039</v>
      </c>
      <c r="C8046" s="84">
        <v>2.28</v>
      </c>
      <c r="D8046" s="84">
        <v>0.0</v>
      </c>
      <c r="E8046" s="84">
        <v>0.0</v>
      </c>
      <c r="F8046" s="76" t="s">
        <v>1005</v>
      </c>
      <c r="G8046" s="83">
        <v>46117.0</v>
      </c>
      <c r="H8046" s="76" t="s">
        <v>972</v>
      </c>
    </row>
    <row r="8047">
      <c r="A8047" s="76" t="s">
        <v>970</v>
      </c>
      <c r="B8047" s="76" t="s">
        <v>1039</v>
      </c>
      <c r="C8047" s="84">
        <v>9.17</v>
      </c>
      <c r="D8047" s="84">
        <v>2.0</v>
      </c>
      <c r="E8047" s="84">
        <v>4.59</v>
      </c>
      <c r="F8047" s="76" t="s">
        <v>1005</v>
      </c>
      <c r="G8047" s="83">
        <v>46117.0</v>
      </c>
      <c r="H8047" s="76" t="s">
        <v>973</v>
      </c>
    </row>
    <row r="8048">
      <c r="A8048" s="76" t="s">
        <v>29</v>
      </c>
      <c r="B8048" s="76" t="s">
        <v>1039</v>
      </c>
      <c r="C8048" s="84">
        <v>10.72</v>
      </c>
      <c r="D8048" s="84">
        <v>3.0</v>
      </c>
      <c r="E8048" s="84">
        <v>3.57</v>
      </c>
      <c r="F8048" s="76" t="s">
        <v>1005</v>
      </c>
      <c r="G8048" s="83">
        <v>46117.0</v>
      </c>
      <c r="H8048" s="76" t="s">
        <v>1015</v>
      </c>
    </row>
    <row r="8049">
      <c r="A8049" s="76" t="s">
        <v>29</v>
      </c>
      <c r="B8049" s="76" t="s">
        <v>1039</v>
      </c>
      <c r="C8049" s="84">
        <v>8.05</v>
      </c>
      <c r="D8049" s="84">
        <v>1.0</v>
      </c>
      <c r="E8049" s="84">
        <v>8.05</v>
      </c>
      <c r="F8049" s="76" t="s">
        <v>1005</v>
      </c>
      <c r="G8049" s="83">
        <v>46117.0</v>
      </c>
      <c r="H8049" s="76" t="s">
        <v>1016</v>
      </c>
    </row>
    <row r="8050">
      <c r="A8050" s="76" t="s">
        <v>29</v>
      </c>
      <c r="B8050" s="76" t="s">
        <v>1039</v>
      </c>
      <c r="C8050" s="84">
        <v>2.73</v>
      </c>
      <c r="D8050" s="84">
        <v>1.0</v>
      </c>
      <c r="E8050" s="84">
        <v>2.73</v>
      </c>
      <c r="F8050" s="76" t="s">
        <v>1005</v>
      </c>
      <c r="G8050" s="83">
        <v>46117.0</v>
      </c>
      <c r="H8050" s="76" t="s">
        <v>1017</v>
      </c>
    </row>
    <row r="8051">
      <c r="A8051" s="76" t="s">
        <v>34</v>
      </c>
      <c r="B8051" s="76" t="s">
        <v>1039</v>
      </c>
      <c r="C8051" s="84">
        <v>2.53</v>
      </c>
      <c r="D8051" s="84">
        <v>0.0</v>
      </c>
      <c r="E8051" s="84">
        <v>0.0</v>
      </c>
      <c r="F8051" s="76" t="s">
        <v>1005</v>
      </c>
      <c r="G8051" s="83">
        <v>46117.0</v>
      </c>
      <c r="H8051" s="76" t="s">
        <v>951</v>
      </c>
    </row>
    <row r="8052">
      <c r="A8052" s="76" t="s">
        <v>34</v>
      </c>
      <c r="B8052" s="76" t="s">
        <v>1039</v>
      </c>
      <c r="C8052" s="84">
        <v>2.66</v>
      </c>
      <c r="D8052" s="84">
        <v>0.0</v>
      </c>
      <c r="E8052" s="84">
        <v>0.0</v>
      </c>
      <c r="F8052" s="76" t="s">
        <v>1005</v>
      </c>
      <c r="G8052" s="83">
        <v>46117.0</v>
      </c>
      <c r="H8052" s="76" t="s">
        <v>952</v>
      </c>
    </row>
    <row r="8053">
      <c r="A8053" s="76" t="s">
        <v>34</v>
      </c>
      <c r="B8053" s="76" t="s">
        <v>1039</v>
      </c>
      <c r="C8053" s="84">
        <v>1.4</v>
      </c>
      <c r="D8053" s="84">
        <v>0.0</v>
      </c>
      <c r="E8053" s="84">
        <v>0.0</v>
      </c>
      <c r="F8053" s="76" t="s">
        <v>1005</v>
      </c>
      <c r="G8053" s="83">
        <v>46117.0</v>
      </c>
      <c r="H8053" s="76" t="s">
        <v>953</v>
      </c>
    </row>
    <row r="8054">
      <c r="A8054" s="76" t="s">
        <v>33</v>
      </c>
      <c r="B8054" s="76" t="s">
        <v>1039</v>
      </c>
      <c r="C8054" s="84">
        <v>17.68</v>
      </c>
      <c r="D8054" s="84">
        <v>1.0</v>
      </c>
      <c r="E8054" s="84">
        <v>17.68</v>
      </c>
      <c r="F8054" s="76" t="s">
        <v>1005</v>
      </c>
      <c r="G8054" s="83">
        <v>46117.0</v>
      </c>
      <c r="H8054" s="76" t="s">
        <v>957</v>
      </c>
    </row>
    <row r="8055">
      <c r="A8055" s="76" t="s">
        <v>33</v>
      </c>
      <c r="B8055" s="76" t="s">
        <v>1039</v>
      </c>
      <c r="C8055" s="84">
        <v>5.71</v>
      </c>
      <c r="D8055" s="84">
        <v>1.0</v>
      </c>
      <c r="E8055" s="84">
        <v>5.71</v>
      </c>
      <c r="F8055" s="76" t="s">
        <v>1005</v>
      </c>
      <c r="G8055" s="83">
        <v>46117.0</v>
      </c>
      <c r="H8055" s="76" t="s">
        <v>958</v>
      </c>
    </row>
    <row r="8056">
      <c r="A8056" s="76" t="s">
        <v>33</v>
      </c>
      <c r="B8056" s="76" t="s">
        <v>1039</v>
      </c>
      <c r="C8056" s="84">
        <v>7.7</v>
      </c>
      <c r="D8056" s="84">
        <v>0.0</v>
      </c>
      <c r="E8056" s="84">
        <v>0.0</v>
      </c>
      <c r="F8056" s="76" t="s">
        <v>1005</v>
      </c>
      <c r="G8056" s="83">
        <v>46117.0</v>
      </c>
      <c r="H8056" s="76" t="s">
        <v>959</v>
      </c>
    </row>
    <row r="8057">
      <c r="A8057" s="76" t="s">
        <v>43</v>
      </c>
      <c r="B8057" s="76" t="s">
        <v>1039</v>
      </c>
      <c r="C8057" s="84">
        <v>2.14</v>
      </c>
      <c r="D8057" s="84">
        <v>1.0</v>
      </c>
      <c r="E8057" s="84">
        <v>2.14</v>
      </c>
      <c r="F8057" s="76" t="s">
        <v>1005</v>
      </c>
      <c r="G8057" s="83">
        <v>46117.0</v>
      </c>
      <c r="H8057" s="76" t="s">
        <v>963</v>
      </c>
    </row>
    <row r="8058">
      <c r="A8058" s="76" t="s">
        <v>43</v>
      </c>
      <c r="B8058" s="76" t="s">
        <v>1039</v>
      </c>
      <c r="C8058" s="84">
        <v>4.98</v>
      </c>
      <c r="D8058" s="84">
        <v>0.0</v>
      </c>
      <c r="E8058" s="84">
        <v>0.0</v>
      </c>
      <c r="F8058" s="76" t="s">
        <v>1005</v>
      </c>
      <c r="G8058" s="83">
        <v>46117.0</v>
      </c>
      <c r="H8058" s="76" t="s">
        <v>964</v>
      </c>
    </row>
    <row r="8059">
      <c r="A8059" s="76" t="s">
        <v>43</v>
      </c>
      <c r="B8059" s="76" t="s">
        <v>1039</v>
      </c>
      <c r="C8059" s="84">
        <v>6.03</v>
      </c>
      <c r="D8059" s="84">
        <v>1.0</v>
      </c>
      <c r="E8059" s="84">
        <v>6.03</v>
      </c>
      <c r="F8059" s="76" t="s">
        <v>1005</v>
      </c>
      <c r="G8059" s="83">
        <v>46117.0</v>
      </c>
      <c r="H8059" s="76" t="s">
        <v>965</v>
      </c>
    </row>
    <row r="8060">
      <c r="A8060" s="76" t="s">
        <v>966</v>
      </c>
      <c r="B8060" s="76" t="s">
        <v>1039</v>
      </c>
      <c r="C8060" s="84">
        <v>2.86</v>
      </c>
      <c r="D8060" s="84">
        <v>0.0</v>
      </c>
      <c r="E8060" s="84">
        <v>0.0</v>
      </c>
      <c r="F8060" s="76" t="s">
        <v>1005</v>
      </c>
      <c r="G8060" s="83">
        <v>46117.0</v>
      </c>
      <c r="H8060" s="76" t="s">
        <v>967</v>
      </c>
    </row>
    <row r="8061">
      <c r="A8061" s="76" t="s">
        <v>966</v>
      </c>
      <c r="B8061" s="76" t="s">
        <v>1039</v>
      </c>
      <c r="C8061" s="84">
        <v>1.15</v>
      </c>
      <c r="D8061" s="84">
        <v>0.0</v>
      </c>
      <c r="E8061" s="84">
        <v>0.0</v>
      </c>
      <c r="F8061" s="76" t="s">
        <v>1005</v>
      </c>
      <c r="G8061" s="83">
        <v>46117.0</v>
      </c>
      <c r="H8061" s="76" t="s">
        <v>968</v>
      </c>
    </row>
    <row r="8062">
      <c r="A8062" s="76" t="s">
        <v>966</v>
      </c>
      <c r="B8062" s="76" t="s">
        <v>1039</v>
      </c>
      <c r="C8062" s="84">
        <v>2.84</v>
      </c>
      <c r="D8062" s="84">
        <v>0.0</v>
      </c>
      <c r="E8062" s="84">
        <v>0.0</v>
      </c>
      <c r="F8062" s="76" t="s">
        <v>1005</v>
      </c>
      <c r="G8062" s="83">
        <v>46117.0</v>
      </c>
      <c r="H8062" s="76" t="s">
        <v>969</v>
      </c>
    </row>
    <row r="8063">
      <c r="A8063" s="76" t="s">
        <v>970</v>
      </c>
      <c r="B8063" s="76" t="s">
        <v>1039</v>
      </c>
      <c r="C8063" s="84">
        <v>0.98</v>
      </c>
      <c r="D8063" s="84">
        <v>0.0</v>
      </c>
      <c r="E8063" s="84">
        <v>0.0</v>
      </c>
      <c r="F8063" s="76" t="s">
        <v>990</v>
      </c>
      <c r="G8063" s="83">
        <v>46117.0</v>
      </c>
      <c r="H8063" s="76" t="s">
        <v>971</v>
      </c>
    </row>
    <row r="8064">
      <c r="A8064" s="76" t="s">
        <v>970</v>
      </c>
      <c r="B8064" s="76" t="s">
        <v>1039</v>
      </c>
      <c r="C8064" s="84">
        <v>0.24</v>
      </c>
      <c r="D8064" s="84">
        <v>0.0</v>
      </c>
      <c r="E8064" s="84">
        <v>0.0</v>
      </c>
      <c r="F8064" s="76" t="s">
        <v>990</v>
      </c>
      <c r="G8064" s="83">
        <v>46117.0</v>
      </c>
      <c r="H8064" s="76" t="s">
        <v>972</v>
      </c>
    </row>
    <row r="8065">
      <c r="A8065" s="76" t="s">
        <v>970</v>
      </c>
      <c r="B8065" s="76" t="s">
        <v>1039</v>
      </c>
      <c r="C8065" s="84">
        <v>2.12</v>
      </c>
      <c r="D8065" s="84">
        <v>1.0</v>
      </c>
      <c r="E8065" s="84">
        <v>2.12</v>
      </c>
      <c r="F8065" s="76" t="s">
        <v>990</v>
      </c>
      <c r="G8065" s="83">
        <v>46117.0</v>
      </c>
      <c r="H8065" s="76" t="s">
        <v>973</v>
      </c>
    </row>
    <row r="8066">
      <c r="A8066" s="76" t="s">
        <v>29</v>
      </c>
      <c r="B8066" s="76" t="s">
        <v>1039</v>
      </c>
      <c r="C8066" s="84">
        <v>1.69</v>
      </c>
      <c r="D8066" s="84">
        <v>0.0</v>
      </c>
      <c r="E8066" s="84">
        <v>0.0</v>
      </c>
      <c r="F8066" s="76" t="s">
        <v>990</v>
      </c>
      <c r="G8066" s="83">
        <v>46117.0</v>
      </c>
      <c r="H8066" s="76" t="s">
        <v>971</v>
      </c>
    </row>
    <row r="8067">
      <c r="A8067" s="76" t="s">
        <v>29</v>
      </c>
      <c r="B8067" s="76" t="s">
        <v>1039</v>
      </c>
      <c r="C8067" s="84">
        <v>0.15</v>
      </c>
      <c r="D8067" s="84">
        <v>0.0</v>
      </c>
      <c r="E8067" s="84">
        <v>0.0</v>
      </c>
      <c r="F8067" s="76" t="s">
        <v>990</v>
      </c>
      <c r="G8067" s="83">
        <v>46117.0</v>
      </c>
      <c r="H8067" s="76" t="s">
        <v>972</v>
      </c>
    </row>
    <row r="8068">
      <c r="A8068" s="76" t="s">
        <v>29</v>
      </c>
      <c r="B8068" s="76" t="s">
        <v>1039</v>
      </c>
      <c r="C8068" s="84">
        <v>2.44</v>
      </c>
      <c r="D8068" s="84">
        <v>0.0</v>
      </c>
      <c r="E8068" s="84">
        <v>0.0</v>
      </c>
      <c r="F8068" s="76" t="s">
        <v>990</v>
      </c>
      <c r="G8068" s="83">
        <v>46117.0</v>
      </c>
      <c r="H8068" s="76" t="s">
        <v>973</v>
      </c>
    </row>
    <row r="8069">
      <c r="A8069" s="76" t="s">
        <v>46</v>
      </c>
      <c r="B8069" s="76" t="s">
        <v>1039</v>
      </c>
      <c r="C8069" s="84">
        <v>0.16</v>
      </c>
      <c r="D8069" s="84">
        <v>0.0</v>
      </c>
      <c r="E8069" s="84">
        <v>0.0</v>
      </c>
      <c r="F8069" s="76" t="s">
        <v>990</v>
      </c>
      <c r="G8069" s="83">
        <v>46117.0</v>
      </c>
      <c r="H8069" s="76" t="s">
        <v>960</v>
      </c>
    </row>
    <row r="8070">
      <c r="A8070" s="76" t="s">
        <v>46</v>
      </c>
      <c r="B8070" s="76" t="s">
        <v>1039</v>
      </c>
      <c r="C8070" s="84">
        <v>0.09</v>
      </c>
      <c r="D8070" s="84">
        <v>0.0</v>
      </c>
      <c r="E8070" s="84">
        <v>0.0</v>
      </c>
      <c r="F8070" s="76" t="s">
        <v>990</v>
      </c>
      <c r="G8070" s="83">
        <v>46117.0</v>
      </c>
      <c r="H8070" s="76" t="s">
        <v>961</v>
      </c>
    </row>
    <row r="8071">
      <c r="A8071" s="76" t="s">
        <v>46</v>
      </c>
      <c r="B8071" s="76" t="s">
        <v>1039</v>
      </c>
      <c r="C8071" s="84">
        <v>0.19</v>
      </c>
      <c r="D8071" s="84">
        <v>0.0</v>
      </c>
      <c r="E8071" s="84">
        <v>0.0</v>
      </c>
      <c r="F8071" s="76" t="s">
        <v>990</v>
      </c>
      <c r="G8071" s="83">
        <v>46117.0</v>
      </c>
      <c r="H8071" s="76" t="s">
        <v>962</v>
      </c>
    </row>
    <row r="8072">
      <c r="A8072" s="76" t="s">
        <v>36</v>
      </c>
      <c r="B8072" s="76" t="s">
        <v>1039</v>
      </c>
      <c r="C8072" s="84">
        <v>0.48</v>
      </c>
      <c r="D8072" s="84">
        <v>0.0</v>
      </c>
      <c r="E8072" s="84">
        <v>0.0</v>
      </c>
      <c r="F8072" s="76" t="s">
        <v>990</v>
      </c>
      <c r="G8072" s="83">
        <v>46117.0</v>
      </c>
      <c r="H8072" s="76" t="s">
        <v>926</v>
      </c>
    </row>
    <row r="8073">
      <c r="A8073" s="76" t="s">
        <v>36</v>
      </c>
      <c r="B8073" s="76" t="s">
        <v>1039</v>
      </c>
      <c r="C8073" s="84">
        <v>0.06</v>
      </c>
      <c r="D8073" s="84">
        <v>0.0</v>
      </c>
      <c r="E8073" s="84">
        <v>0.0</v>
      </c>
      <c r="F8073" s="76" t="s">
        <v>990</v>
      </c>
      <c r="G8073" s="83">
        <v>46117.0</v>
      </c>
      <c r="H8073" s="76" t="s">
        <v>927</v>
      </c>
    </row>
    <row r="8074">
      <c r="A8074" s="76" t="s">
        <v>36</v>
      </c>
      <c r="B8074" s="76" t="s">
        <v>1039</v>
      </c>
      <c r="C8074" s="84">
        <v>0.12</v>
      </c>
      <c r="D8074" s="84">
        <v>0.0</v>
      </c>
      <c r="E8074" s="84">
        <v>0.0</v>
      </c>
      <c r="F8074" s="76" t="s">
        <v>990</v>
      </c>
      <c r="G8074" s="83">
        <v>46117.0</v>
      </c>
      <c r="H8074" s="76" t="s">
        <v>928</v>
      </c>
    </row>
    <row r="8075">
      <c r="A8075" s="76" t="s">
        <v>34</v>
      </c>
      <c r="B8075" s="76" t="s">
        <v>1039</v>
      </c>
      <c r="C8075" s="84">
        <v>0.31</v>
      </c>
      <c r="D8075" s="84">
        <v>1.0</v>
      </c>
      <c r="E8075" s="84">
        <v>0.31</v>
      </c>
      <c r="F8075" s="76" t="s">
        <v>990</v>
      </c>
      <c r="G8075" s="83">
        <v>46117.0</v>
      </c>
      <c r="H8075" s="76" t="s">
        <v>951</v>
      </c>
    </row>
    <row r="8076">
      <c r="A8076" s="76" t="s">
        <v>34</v>
      </c>
      <c r="B8076" s="76" t="s">
        <v>1039</v>
      </c>
      <c r="C8076" s="84">
        <v>0.25</v>
      </c>
      <c r="D8076" s="84">
        <v>0.0</v>
      </c>
      <c r="E8076" s="84">
        <v>0.0</v>
      </c>
      <c r="F8076" s="76" t="s">
        <v>990</v>
      </c>
      <c r="G8076" s="83">
        <v>46117.0</v>
      </c>
      <c r="H8076" s="76" t="s">
        <v>952</v>
      </c>
    </row>
    <row r="8077">
      <c r="A8077" s="76" t="s">
        <v>34</v>
      </c>
      <c r="B8077" s="76" t="s">
        <v>1039</v>
      </c>
      <c r="C8077" s="84">
        <v>0.24</v>
      </c>
      <c r="D8077" s="84">
        <v>0.0</v>
      </c>
      <c r="E8077" s="84">
        <v>0.0</v>
      </c>
      <c r="F8077" s="76" t="s">
        <v>990</v>
      </c>
      <c r="G8077" s="83">
        <v>46117.0</v>
      </c>
      <c r="H8077" s="76" t="s">
        <v>953</v>
      </c>
    </row>
    <row r="8078">
      <c r="A8078" s="76" t="s">
        <v>33</v>
      </c>
      <c r="B8078" s="76" t="s">
        <v>1039</v>
      </c>
      <c r="C8078" s="84">
        <v>2.79</v>
      </c>
      <c r="D8078" s="84">
        <v>1.0</v>
      </c>
      <c r="E8078" s="84">
        <v>2.79</v>
      </c>
      <c r="F8078" s="76" t="s">
        <v>990</v>
      </c>
      <c r="G8078" s="83">
        <v>46117.0</v>
      </c>
      <c r="H8078" s="76" t="s">
        <v>957</v>
      </c>
    </row>
    <row r="8079">
      <c r="A8079" s="76" t="s">
        <v>33</v>
      </c>
      <c r="B8079" s="76" t="s">
        <v>1039</v>
      </c>
      <c r="C8079" s="84">
        <v>0.46</v>
      </c>
      <c r="D8079" s="84">
        <v>1.0</v>
      </c>
      <c r="E8079" s="84">
        <v>0.46</v>
      </c>
      <c r="F8079" s="76" t="s">
        <v>990</v>
      </c>
      <c r="G8079" s="83">
        <v>46117.0</v>
      </c>
      <c r="H8079" s="76" t="s">
        <v>958</v>
      </c>
    </row>
    <row r="8080">
      <c r="A8080" s="76" t="s">
        <v>33</v>
      </c>
      <c r="B8080" s="76" t="s">
        <v>1039</v>
      </c>
      <c r="C8080" s="84">
        <v>0.95</v>
      </c>
      <c r="D8080" s="84">
        <v>0.0</v>
      </c>
      <c r="E8080" s="84">
        <v>0.0</v>
      </c>
      <c r="F8080" s="76" t="s">
        <v>990</v>
      </c>
      <c r="G8080" s="83">
        <v>46117.0</v>
      </c>
      <c r="H8080" s="76" t="s">
        <v>959</v>
      </c>
    </row>
    <row r="8081">
      <c r="A8081" s="76" t="s">
        <v>40</v>
      </c>
      <c r="B8081" s="76" t="s">
        <v>1039</v>
      </c>
      <c r="C8081" s="84">
        <v>0.13</v>
      </c>
      <c r="D8081" s="84">
        <v>0.0</v>
      </c>
      <c r="E8081" s="84">
        <v>0.0</v>
      </c>
      <c r="F8081" s="76" t="s">
        <v>990</v>
      </c>
      <c r="G8081" s="83">
        <v>46117.0</v>
      </c>
      <c r="H8081" s="76" t="s">
        <v>954</v>
      </c>
    </row>
    <row r="8082">
      <c r="A8082" s="76" t="s">
        <v>40</v>
      </c>
      <c r="B8082" s="76" t="s">
        <v>1039</v>
      </c>
      <c r="C8082" s="84">
        <v>0.01</v>
      </c>
      <c r="D8082" s="84">
        <v>0.0</v>
      </c>
      <c r="E8082" s="84">
        <v>0.0</v>
      </c>
      <c r="F8082" s="76" t="s">
        <v>990</v>
      </c>
      <c r="G8082" s="83">
        <v>46117.0</v>
      </c>
      <c r="H8082" s="76" t="s">
        <v>955</v>
      </c>
    </row>
    <row r="8083">
      <c r="A8083" s="76" t="s">
        <v>40</v>
      </c>
      <c r="B8083" s="76" t="s">
        <v>1039</v>
      </c>
      <c r="C8083" s="84">
        <v>0.9</v>
      </c>
      <c r="D8083" s="84">
        <v>1.0</v>
      </c>
      <c r="E8083" s="84">
        <v>0.9</v>
      </c>
      <c r="F8083" s="76" t="s">
        <v>990</v>
      </c>
      <c r="G8083" s="83">
        <v>46117.0</v>
      </c>
      <c r="H8083" s="76" t="s">
        <v>956</v>
      </c>
    </row>
    <row r="8084">
      <c r="A8084" s="76" t="s">
        <v>43</v>
      </c>
      <c r="B8084" s="76" t="s">
        <v>1039</v>
      </c>
      <c r="C8084" s="84">
        <v>0.11</v>
      </c>
      <c r="D8084" s="84">
        <v>0.0</v>
      </c>
      <c r="E8084" s="84">
        <v>0.0</v>
      </c>
      <c r="F8084" s="76" t="s">
        <v>990</v>
      </c>
      <c r="G8084" s="83">
        <v>46117.0</v>
      </c>
      <c r="H8084" s="76" t="s">
        <v>963</v>
      </c>
    </row>
    <row r="8085">
      <c r="A8085" s="76" t="s">
        <v>43</v>
      </c>
      <c r="B8085" s="76" t="s">
        <v>1039</v>
      </c>
      <c r="C8085" s="84">
        <v>0.37</v>
      </c>
      <c r="D8085" s="84">
        <v>0.0</v>
      </c>
      <c r="E8085" s="84">
        <v>0.0</v>
      </c>
      <c r="F8085" s="76" t="s">
        <v>990</v>
      </c>
      <c r="G8085" s="83">
        <v>46117.0</v>
      </c>
      <c r="H8085" s="76" t="s">
        <v>964</v>
      </c>
    </row>
    <row r="8086">
      <c r="A8086" s="76" t="s">
        <v>43</v>
      </c>
      <c r="B8086" s="76" t="s">
        <v>1039</v>
      </c>
      <c r="C8086" s="84">
        <v>1.22</v>
      </c>
      <c r="D8086" s="84">
        <v>0.0</v>
      </c>
      <c r="E8086" s="84">
        <v>0.0</v>
      </c>
      <c r="F8086" s="76" t="s">
        <v>990</v>
      </c>
      <c r="G8086" s="83">
        <v>46117.0</v>
      </c>
      <c r="H8086" s="76" t="s">
        <v>965</v>
      </c>
    </row>
    <row r="8087">
      <c r="A8087" s="76" t="s">
        <v>966</v>
      </c>
      <c r="B8087" s="76" t="s">
        <v>1039</v>
      </c>
      <c r="C8087" s="84">
        <v>0.59</v>
      </c>
      <c r="D8087" s="84">
        <v>0.0</v>
      </c>
      <c r="E8087" s="84">
        <v>0.0</v>
      </c>
      <c r="F8087" s="76" t="s">
        <v>990</v>
      </c>
      <c r="G8087" s="83">
        <v>46117.0</v>
      </c>
      <c r="H8087" s="76" t="s">
        <v>967</v>
      </c>
    </row>
    <row r="8088">
      <c r="A8088" s="76" t="s">
        <v>966</v>
      </c>
      <c r="B8088" s="76" t="s">
        <v>1039</v>
      </c>
      <c r="C8088" s="84">
        <v>0.07</v>
      </c>
      <c r="D8088" s="84">
        <v>0.0</v>
      </c>
      <c r="E8088" s="84">
        <v>0.0</v>
      </c>
      <c r="F8088" s="76" t="s">
        <v>990</v>
      </c>
      <c r="G8088" s="83">
        <v>46117.0</v>
      </c>
      <c r="H8088" s="76" t="s">
        <v>968</v>
      </c>
    </row>
    <row r="8089">
      <c r="A8089" s="76" t="s">
        <v>966</v>
      </c>
      <c r="B8089" s="76" t="s">
        <v>1039</v>
      </c>
      <c r="C8089" s="84">
        <v>0.1</v>
      </c>
      <c r="D8089" s="84">
        <v>0.0</v>
      </c>
      <c r="E8089" s="84">
        <v>0.0</v>
      </c>
      <c r="F8089" s="76" t="s">
        <v>990</v>
      </c>
      <c r="G8089" s="83">
        <v>46117.0</v>
      </c>
      <c r="H8089" s="76" t="s">
        <v>969</v>
      </c>
    </row>
    <row r="8090">
      <c r="A8090" s="76" t="s">
        <v>970</v>
      </c>
      <c r="B8090" s="76" t="s">
        <v>1039</v>
      </c>
      <c r="C8090" s="84">
        <v>1.17</v>
      </c>
      <c r="D8090" s="84">
        <v>0.0</v>
      </c>
      <c r="E8090" s="84">
        <v>0.0</v>
      </c>
      <c r="F8090" s="76" t="s">
        <v>996</v>
      </c>
      <c r="G8090" s="83">
        <v>46117.0</v>
      </c>
      <c r="H8090" s="76" t="s">
        <v>971</v>
      </c>
    </row>
    <row r="8091">
      <c r="A8091" s="76" t="s">
        <v>970</v>
      </c>
      <c r="B8091" s="76" t="s">
        <v>1039</v>
      </c>
      <c r="C8091" s="84">
        <v>0.53</v>
      </c>
      <c r="D8091" s="84">
        <v>0.0</v>
      </c>
      <c r="E8091" s="84">
        <v>0.0</v>
      </c>
      <c r="F8091" s="76" t="s">
        <v>996</v>
      </c>
      <c r="G8091" s="83">
        <v>46117.0</v>
      </c>
      <c r="H8091" s="76" t="s">
        <v>972</v>
      </c>
    </row>
    <row r="8092">
      <c r="A8092" s="76" t="s">
        <v>970</v>
      </c>
      <c r="B8092" s="76" t="s">
        <v>1039</v>
      </c>
      <c r="C8092" s="84">
        <v>2.16</v>
      </c>
      <c r="D8092" s="84">
        <v>1.0</v>
      </c>
      <c r="E8092" s="84">
        <v>2.16</v>
      </c>
      <c r="F8092" s="76" t="s">
        <v>996</v>
      </c>
      <c r="G8092" s="83">
        <v>46117.0</v>
      </c>
      <c r="H8092" s="76" t="s">
        <v>973</v>
      </c>
    </row>
    <row r="8093">
      <c r="A8093" s="76" t="s">
        <v>29</v>
      </c>
      <c r="B8093" s="76" t="s">
        <v>1039</v>
      </c>
      <c r="C8093" s="84">
        <v>1.25</v>
      </c>
      <c r="D8093" s="84">
        <v>0.0</v>
      </c>
      <c r="E8093" s="84">
        <v>0.0</v>
      </c>
      <c r="F8093" s="76" t="s">
        <v>996</v>
      </c>
      <c r="G8093" s="83">
        <v>46117.0</v>
      </c>
      <c r="H8093" s="76" t="s">
        <v>971</v>
      </c>
    </row>
    <row r="8094">
      <c r="A8094" s="76" t="s">
        <v>29</v>
      </c>
      <c r="B8094" s="76" t="s">
        <v>1039</v>
      </c>
      <c r="C8094" s="84">
        <v>0.35</v>
      </c>
      <c r="D8094" s="84">
        <v>0.0</v>
      </c>
      <c r="E8094" s="84">
        <v>0.0</v>
      </c>
      <c r="F8094" s="76" t="s">
        <v>996</v>
      </c>
      <c r="G8094" s="83">
        <v>46117.0</v>
      </c>
      <c r="H8094" s="76" t="s">
        <v>972</v>
      </c>
    </row>
    <row r="8095">
      <c r="A8095" s="76" t="s">
        <v>29</v>
      </c>
      <c r="B8095" s="76" t="s">
        <v>1039</v>
      </c>
      <c r="C8095" s="84">
        <v>2.11</v>
      </c>
      <c r="D8095" s="84">
        <v>0.0</v>
      </c>
      <c r="E8095" s="84">
        <v>0.0</v>
      </c>
      <c r="F8095" s="76" t="s">
        <v>996</v>
      </c>
      <c r="G8095" s="83">
        <v>46117.0</v>
      </c>
      <c r="H8095" s="76" t="s">
        <v>973</v>
      </c>
    </row>
    <row r="8096">
      <c r="A8096" s="76" t="s">
        <v>43</v>
      </c>
      <c r="B8096" s="76" t="s">
        <v>1039</v>
      </c>
      <c r="C8096" s="84">
        <v>0.45</v>
      </c>
      <c r="D8096" s="84">
        <v>0.0</v>
      </c>
      <c r="E8096" s="84">
        <v>0.0</v>
      </c>
      <c r="F8096" s="76" t="s">
        <v>996</v>
      </c>
      <c r="G8096" s="83">
        <v>46117.0</v>
      </c>
      <c r="H8096" s="76" t="s">
        <v>963</v>
      </c>
    </row>
    <row r="8097">
      <c r="A8097" s="76" t="s">
        <v>43</v>
      </c>
      <c r="B8097" s="76" t="s">
        <v>1039</v>
      </c>
      <c r="C8097" s="84">
        <v>1.37</v>
      </c>
      <c r="D8097" s="84">
        <v>2.0</v>
      </c>
      <c r="E8097" s="84">
        <v>0.69</v>
      </c>
      <c r="F8097" s="76" t="s">
        <v>996</v>
      </c>
      <c r="G8097" s="83">
        <v>46117.0</v>
      </c>
      <c r="H8097" s="76" t="s">
        <v>964</v>
      </c>
    </row>
    <row r="8098">
      <c r="A8098" s="76" t="s">
        <v>43</v>
      </c>
      <c r="B8098" s="76" t="s">
        <v>1039</v>
      </c>
      <c r="C8098" s="84">
        <v>1.08</v>
      </c>
      <c r="D8098" s="84">
        <v>0.0</v>
      </c>
      <c r="E8098" s="84">
        <v>0.0</v>
      </c>
      <c r="F8098" s="76" t="s">
        <v>996</v>
      </c>
      <c r="G8098" s="83">
        <v>46117.0</v>
      </c>
      <c r="H8098" s="76" t="s">
        <v>965</v>
      </c>
    </row>
    <row r="8099">
      <c r="A8099" s="76" t="s">
        <v>46</v>
      </c>
      <c r="B8099" s="76" t="s">
        <v>1039</v>
      </c>
      <c r="C8099" s="84">
        <v>0.15</v>
      </c>
      <c r="D8099" s="84">
        <v>0.0</v>
      </c>
      <c r="E8099" s="84">
        <v>0.0</v>
      </c>
      <c r="F8099" s="76" t="s">
        <v>996</v>
      </c>
      <c r="G8099" s="83">
        <v>46117.0</v>
      </c>
      <c r="H8099" s="76" t="s">
        <v>960</v>
      </c>
    </row>
    <row r="8100">
      <c r="A8100" s="76" t="s">
        <v>46</v>
      </c>
      <c r="B8100" s="76" t="s">
        <v>1039</v>
      </c>
      <c r="C8100" s="84">
        <v>0.21</v>
      </c>
      <c r="D8100" s="84">
        <v>0.0</v>
      </c>
      <c r="E8100" s="84">
        <v>0.0</v>
      </c>
      <c r="F8100" s="76" t="s">
        <v>996</v>
      </c>
      <c r="G8100" s="83">
        <v>46117.0</v>
      </c>
      <c r="H8100" s="76" t="s">
        <v>961</v>
      </c>
    </row>
    <row r="8101">
      <c r="A8101" s="76" t="s">
        <v>46</v>
      </c>
      <c r="B8101" s="76" t="s">
        <v>1039</v>
      </c>
      <c r="C8101" s="84">
        <v>0.17</v>
      </c>
      <c r="D8101" s="84">
        <v>0.0</v>
      </c>
      <c r="E8101" s="84">
        <v>0.0</v>
      </c>
      <c r="F8101" s="76" t="s">
        <v>996</v>
      </c>
      <c r="G8101" s="83">
        <v>46117.0</v>
      </c>
      <c r="H8101" s="76" t="s">
        <v>962</v>
      </c>
    </row>
    <row r="8102">
      <c r="A8102" s="76" t="s">
        <v>966</v>
      </c>
      <c r="B8102" s="76" t="s">
        <v>1039</v>
      </c>
      <c r="C8102" s="84">
        <v>0.62</v>
      </c>
      <c r="D8102" s="84">
        <v>0.0</v>
      </c>
      <c r="E8102" s="84">
        <v>0.0</v>
      </c>
      <c r="F8102" s="76" t="s">
        <v>996</v>
      </c>
      <c r="G8102" s="83">
        <v>46117.0</v>
      </c>
      <c r="H8102" s="76" t="s">
        <v>967</v>
      </c>
    </row>
    <row r="8103">
      <c r="A8103" s="76" t="s">
        <v>966</v>
      </c>
      <c r="B8103" s="76" t="s">
        <v>1039</v>
      </c>
      <c r="C8103" s="84">
        <v>0.11</v>
      </c>
      <c r="D8103" s="84">
        <v>0.0</v>
      </c>
      <c r="E8103" s="84">
        <v>0.0</v>
      </c>
      <c r="F8103" s="76" t="s">
        <v>996</v>
      </c>
      <c r="G8103" s="83">
        <v>46117.0</v>
      </c>
      <c r="H8103" s="76" t="s">
        <v>968</v>
      </c>
    </row>
    <row r="8104">
      <c r="A8104" s="76" t="s">
        <v>966</v>
      </c>
      <c r="B8104" s="76" t="s">
        <v>1039</v>
      </c>
      <c r="C8104" s="84">
        <v>0.27</v>
      </c>
      <c r="D8104" s="84">
        <v>0.0</v>
      </c>
      <c r="E8104" s="84">
        <v>0.0</v>
      </c>
      <c r="F8104" s="76" t="s">
        <v>996</v>
      </c>
      <c r="G8104" s="83">
        <v>46117.0</v>
      </c>
      <c r="H8104" s="76" t="s">
        <v>969</v>
      </c>
    </row>
    <row r="8105">
      <c r="A8105" s="76" t="s">
        <v>33</v>
      </c>
      <c r="B8105" s="76" t="s">
        <v>1039</v>
      </c>
      <c r="C8105" s="84">
        <v>4.98</v>
      </c>
      <c r="D8105" s="84">
        <v>0.0</v>
      </c>
      <c r="E8105" s="84">
        <v>0.0</v>
      </c>
      <c r="F8105" s="76" t="s">
        <v>996</v>
      </c>
      <c r="G8105" s="83">
        <v>46117.0</v>
      </c>
      <c r="H8105" s="76" t="s">
        <v>957</v>
      </c>
    </row>
    <row r="8106">
      <c r="A8106" s="76" t="s">
        <v>33</v>
      </c>
      <c r="B8106" s="76" t="s">
        <v>1039</v>
      </c>
      <c r="C8106" s="84">
        <v>0.59</v>
      </c>
      <c r="D8106" s="84">
        <v>0.0</v>
      </c>
      <c r="E8106" s="84">
        <v>0.0</v>
      </c>
      <c r="F8106" s="76" t="s">
        <v>996</v>
      </c>
      <c r="G8106" s="83">
        <v>46117.0</v>
      </c>
      <c r="H8106" s="76" t="s">
        <v>958</v>
      </c>
    </row>
    <row r="8107">
      <c r="A8107" s="76" t="s">
        <v>33</v>
      </c>
      <c r="B8107" s="76" t="s">
        <v>1039</v>
      </c>
      <c r="C8107" s="84">
        <v>1.69</v>
      </c>
      <c r="D8107" s="84">
        <v>1.0</v>
      </c>
      <c r="E8107" s="84">
        <v>1.69</v>
      </c>
      <c r="F8107" s="76" t="s">
        <v>996</v>
      </c>
      <c r="G8107" s="83">
        <v>46117.0</v>
      </c>
      <c r="H8107" s="76" t="s">
        <v>959</v>
      </c>
    </row>
    <row r="8108">
      <c r="A8108" s="76" t="s">
        <v>34</v>
      </c>
      <c r="B8108" s="76" t="s">
        <v>1039</v>
      </c>
      <c r="C8108" s="84">
        <v>0.29</v>
      </c>
      <c r="D8108" s="84">
        <v>0.0</v>
      </c>
      <c r="E8108" s="84">
        <v>0.0</v>
      </c>
      <c r="F8108" s="76" t="s">
        <v>996</v>
      </c>
      <c r="G8108" s="83">
        <v>46117.0</v>
      </c>
      <c r="H8108" s="76" t="s">
        <v>951</v>
      </c>
    </row>
    <row r="8109">
      <c r="A8109" s="76" t="s">
        <v>34</v>
      </c>
      <c r="B8109" s="76" t="s">
        <v>1039</v>
      </c>
      <c r="C8109" s="84">
        <v>0.47</v>
      </c>
      <c r="D8109" s="84">
        <v>1.0</v>
      </c>
      <c r="E8109" s="84">
        <v>0.47</v>
      </c>
      <c r="F8109" s="76" t="s">
        <v>996</v>
      </c>
      <c r="G8109" s="83">
        <v>46117.0</v>
      </c>
      <c r="H8109" s="76" t="s">
        <v>952</v>
      </c>
    </row>
    <row r="8110">
      <c r="A8110" s="76" t="s">
        <v>34</v>
      </c>
      <c r="B8110" s="76" t="s">
        <v>1039</v>
      </c>
      <c r="C8110" s="84">
        <v>0.41</v>
      </c>
      <c r="D8110" s="84">
        <v>0.0</v>
      </c>
      <c r="E8110" s="84">
        <v>0.0</v>
      </c>
      <c r="F8110" s="76" t="s">
        <v>996</v>
      </c>
      <c r="G8110" s="83">
        <v>46117.0</v>
      </c>
      <c r="H8110" s="76" t="s">
        <v>953</v>
      </c>
    </row>
    <row r="8111">
      <c r="A8111" s="76" t="s">
        <v>36</v>
      </c>
      <c r="B8111" s="76" t="s">
        <v>1039</v>
      </c>
      <c r="C8111" s="84">
        <v>0.67</v>
      </c>
      <c r="D8111" s="84">
        <v>0.0</v>
      </c>
      <c r="E8111" s="84">
        <v>0.0</v>
      </c>
      <c r="F8111" s="76" t="s">
        <v>996</v>
      </c>
      <c r="G8111" s="83">
        <v>46117.0</v>
      </c>
      <c r="H8111" s="76" t="s">
        <v>926</v>
      </c>
    </row>
    <row r="8112">
      <c r="A8112" s="76" t="s">
        <v>36</v>
      </c>
      <c r="B8112" s="76" t="s">
        <v>1039</v>
      </c>
      <c r="C8112" s="84">
        <v>0.13</v>
      </c>
      <c r="D8112" s="84">
        <v>0.0</v>
      </c>
      <c r="E8112" s="84">
        <v>0.0</v>
      </c>
      <c r="F8112" s="76" t="s">
        <v>996</v>
      </c>
      <c r="G8112" s="83">
        <v>46117.0</v>
      </c>
      <c r="H8112" s="76" t="s">
        <v>927</v>
      </c>
    </row>
    <row r="8113">
      <c r="A8113" s="76" t="s">
        <v>36</v>
      </c>
      <c r="B8113" s="76" t="s">
        <v>1039</v>
      </c>
      <c r="C8113" s="84">
        <v>0.58</v>
      </c>
      <c r="D8113" s="84">
        <v>1.0</v>
      </c>
      <c r="E8113" s="84">
        <v>0.58</v>
      </c>
      <c r="F8113" s="76" t="s">
        <v>996</v>
      </c>
      <c r="G8113" s="83">
        <v>46117.0</v>
      </c>
      <c r="H8113" s="76" t="s">
        <v>928</v>
      </c>
    </row>
    <row r="8114">
      <c r="A8114" s="76" t="s">
        <v>40</v>
      </c>
      <c r="B8114" s="76" t="s">
        <v>1039</v>
      </c>
      <c r="C8114" s="84">
        <v>0.34</v>
      </c>
      <c r="D8114" s="84">
        <v>0.0</v>
      </c>
      <c r="E8114" s="84">
        <v>0.0</v>
      </c>
      <c r="F8114" s="76" t="s">
        <v>996</v>
      </c>
      <c r="G8114" s="83">
        <v>46117.0</v>
      </c>
      <c r="H8114" s="76" t="s">
        <v>954</v>
      </c>
    </row>
    <row r="8115">
      <c r="A8115" s="76" t="s">
        <v>40</v>
      </c>
      <c r="B8115" s="76" t="s">
        <v>1039</v>
      </c>
      <c r="C8115" s="84">
        <v>0.05</v>
      </c>
      <c r="D8115" s="84">
        <v>0.0</v>
      </c>
      <c r="E8115" s="84">
        <v>0.0</v>
      </c>
      <c r="F8115" s="76" t="s">
        <v>996</v>
      </c>
      <c r="G8115" s="83">
        <v>46117.0</v>
      </c>
      <c r="H8115" s="76" t="s">
        <v>955</v>
      </c>
    </row>
    <row r="8116">
      <c r="A8116" s="76" t="s">
        <v>40</v>
      </c>
      <c r="B8116" s="76" t="s">
        <v>1039</v>
      </c>
      <c r="C8116" s="84">
        <v>2.13</v>
      </c>
      <c r="D8116" s="84">
        <v>0.0</v>
      </c>
      <c r="E8116" s="84">
        <v>0.0</v>
      </c>
      <c r="F8116" s="76" t="s">
        <v>996</v>
      </c>
      <c r="G8116" s="83">
        <v>46117.0</v>
      </c>
      <c r="H8116" s="76" t="s">
        <v>956</v>
      </c>
    </row>
    <row r="8117">
      <c r="A8117" s="76" t="s">
        <v>40</v>
      </c>
      <c r="B8117" s="76" t="s">
        <v>1039</v>
      </c>
      <c r="C8117" s="84">
        <v>0.07</v>
      </c>
      <c r="D8117" s="84">
        <v>0.0</v>
      </c>
      <c r="E8117" s="84">
        <v>0.0</v>
      </c>
      <c r="F8117" s="76" t="s">
        <v>993</v>
      </c>
      <c r="G8117" s="83">
        <v>46117.0</v>
      </c>
      <c r="H8117" s="76" t="s">
        <v>954</v>
      </c>
    </row>
    <row r="8118">
      <c r="A8118" s="76" t="s">
        <v>40</v>
      </c>
      <c r="B8118" s="76" t="s">
        <v>1039</v>
      </c>
      <c r="C8118" s="84">
        <v>0.01</v>
      </c>
      <c r="D8118" s="84">
        <v>0.0</v>
      </c>
      <c r="E8118" s="84">
        <v>0.0</v>
      </c>
      <c r="F8118" s="76" t="s">
        <v>993</v>
      </c>
      <c r="G8118" s="83">
        <v>46117.0</v>
      </c>
      <c r="H8118" s="76" t="s">
        <v>955</v>
      </c>
    </row>
    <row r="8119">
      <c r="A8119" s="76" t="s">
        <v>40</v>
      </c>
      <c r="B8119" s="76" t="s">
        <v>1039</v>
      </c>
      <c r="C8119" s="84">
        <v>0.51</v>
      </c>
      <c r="D8119" s="84">
        <v>1.0</v>
      </c>
      <c r="E8119" s="84">
        <v>0.51</v>
      </c>
      <c r="F8119" s="76" t="s">
        <v>993</v>
      </c>
      <c r="G8119" s="83">
        <v>46117.0</v>
      </c>
      <c r="H8119" s="76" t="s">
        <v>956</v>
      </c>
    </row>
    <row r="8120">
      <c r="A8120" s="76" t="s">
        <v>36</v>
      </c>
      <c r="B8120" s="76" t="s">
        <v>1039</v>
      </c>
      <c r="C8120" s="84">
        <v>0.15</v>
      </c>
      <c r="D8120" s="84">
        <v>0.0</v>
      </c>
      <c r="E8120" s="84">
        <v>0.0</v>
      </c>
      <c r="F8120" s="76" t="s">
        <v>993</v>
      </c>
      <c r="G8120" s="83">
        <v>46117.0</v>
      </c>
      <c r="H8120" s="76" t="s">
        <v>926</v>
      </c>
    </row>
    <row r="8121">
      <c r="A8121" s="76" t="s">
        <v>36</v>
      </c>
      <c r="B8121" s="76" t="s">
        <v>1039</v>
      </c>
      <c r="C8121" s="84">
        <v>0.07</v>
      </c>
      <c r="D8121" s="84">
        <v>0.0</v>
      </c>
      <c r="E8121" s="84">
        <v>0.0</v>
      </c>
      <c r="F8121" s="76" t="s">
        <v>993</v>
      </c>
      <c r="G8121" s="83">
        <v>46117.0</v>
      </c>
      <c r="H8121" s="76" t="s">
        <v>927</v>
      </c>
    </row>
    <row r="8122">
      <c r="A8122" s="76" t="s">
        <v>36</v>
      </c>
      <c r="B8122" s="76" t="s">
        <v>1039</v>
      </c>
      <c r="C8122" s="84">
        <v>0.08</v>
      </c>
      <c r="D8122" s="84">
        <v>0.0</v>
      </c>
      <c r="E8122" s="84">
        <v>0.0</v>
      </c>
      <c r="F8122" s="76" t="s">
        <v>993</v>
      </c>
      <c r="G8122" s="83">
        <v>46117.0</v>
      </c>
      <c r="H8122" s="76" t="s">
        <v>928</v>
      </c>
    </row>
    <row r="8123">
      <c r="A8123" s="76" t="s">
        <v>46</v>
      </c>
      <c r="B8123" s="76" t="s">
        <v>1039</v>
      </c>
      <c r="C8123" s="84">
        <v>0.08</v>
      </c>
      <c r="D8123" s="84">
        <v>0.0</v>
      </c>
      <c r="E8123" s="84">
        <v>0.0</v>
      </c>
      <c r="F8123" s="76" t="s">
        <v>993</v>
      </c>
      <c r="G8123" s="83">
        <v>46117.0</v>
      </c>
      <c r="H8123" s="76" t="s">
        <v>960</v>
      </c>
    </row>
    <row r="8124">
      <c r="A8124" s="76" t="s">
        <v>46</v>
      </c>
      <c r="B8124" s="76" t="s">
        <v>1039</v>
      </c>
      <c r="C8124" s="84">
        <v>0.08</v>
      </c>
      <c r="D8124" s="84">
        <v>0.0</v>
      </c>
      <c r="E8124" s="84">
        <v>0.0</v>
      </c>
      <c r="F8124" s="76" t="s">
        <v>993</v>
      </c>
      <c r="G8124" s="83">
        <v>46117.0</v>
      </c>
      <c r="H8124" s="76" t="s">
        <v>961</v>
      </c>
    </row>
    <row r="8125">
      <c r="A8125" s="76" t="s">
        <v>46</v>
      </c>
      <c r="B8125" s="76" t="s">
        <v>1039</v>
      </c>
      <c r="C8125" s="84">
        <v>0.06</v>
      </c>
      <c r="D8125" s="84">
        <v>0.0</v>
      </c>
      <c r="E8125" s="84">
        <v>0.0</v>
      </c>
      <c r="F8125" s="76" t="s">
        <v>993</v>
      </c>
      <c r="G8125" s="83">
        <v>46117.0</v>
      </c>
      <c r="H8125" s="76" t="s">
        <v>962</v>
      </c>
    </row>
    <row r="8126">
      <c r="A8126" s="76" t="s">
        <v>970</v>
      </c>
      <c r="B8126" s="76" t="s">
        <v>1039</v>
      </c>
      <c r="C8126" s="84">
        <v>0.87</v>
      </c>
      <c r="D8126" s="84">
        <v>0.0</v>
      </c>
      <c r="E8126" s="84">
        <v>0.0</v>
      </c>
      <c r="F8126" s="76" t="s">
        <v>993</v>
      </c>
      <c r="G8126" s="83">
        <v>46117.0</v>
      </c>
      <c r="H8126" s="76" t="s">
        <v>971</v>
      </c>
    </row>
    <row r="8127">
      <c r="A8127" s="76" t="s">
        <v>970</v>
      </c>
      <c r="B8127" s="76" t="s">
        <v>1039</v>
      </c>
      <c r="C8127" s="84">
        <v>0.12</v>
      </c>
      <c r="D8127" s="84">
        <v>0.0</v>
      </c>
      <c r="E8127" s="84">
        <v>0.0</v>
      </c>
      <c r="F8127" s="76" t="s">
        <v>993</v>
      </c>
      <c r="G8127" s="83">
        <v>46117.0</v>
      </c>
      <c r="H8127" s="76" t="s">
        <v>972</v>
      </c>
    </row>
    <row r="8128">
      <c r="A8128" s="76" t="s">
        <v>970</v>
      </c>
      <c r="B8128" s="76" t="s">
        <v>1039</v>
      </c>
      <c r="C8128" s="84">
        <v>1.8</v>
      </c>
      <c r="D8128" s="84">
        <v>0.0</v>
      </c>
      <c r="E8128" s="84">
        <v>0.0</v>
      </c>
      <c r="F8128" s="76" t="s">
        <v>993</v>
      </c>
      <c r="G8128" s="83">
        <v>46117.0</v>
      </c>
      <c r="H8128" s="76" t="s">
        <v>973</v>
      </c>
    </row>
    <row r="8129">
      <c r="A8129" s="76" t="s">
        <v>33</v>
      </c>
      <c r="B8129" s="76" t="s">
        <v>1039</v>
      </c>
      <c r="C8129" s="84">
        <v>1.82</v>
      </c>
      <c r="D8129" s="84">
        <v>0.0</v>
      </c>
      <c r="E8129" s="84">
        <v>0.0</v>
      </c>
      <c r="F8129" s="76" t="s">
        <v>993</v>
      </c>
      <c r="G8129" s="83">
        <v>46117.0</v>
      </c>
      <c r="H8129" s="76" t="s">
        <v>957</v>
      </c>
    </row>
    <row r="8130">
      <c r="A8130" s="76" t="s">
        <v>33</v>
      </c>
      <c r="B8130" s="76" t="s">
        <v>1039</v>
      </c>
      <c r="C8130" s="84">
        <v>0.38</v>
      </c>
      <c r="D8130" s="84">
        <v>0.0</v>
      </c>
      <c r="E8130" s="84">
        <v>0.0</v>
      </c>
      <c r="F8130" s="76" t="s">
        <v>993</v>
      </c>
      <c r="G8130" s="83">
        <v>46117.0</v>
      </c>
      <c r="H8130" s="76" t="s">
        <v>958</v>
      </c>
    </row>
    <row r="8131">
      <c r="A8131" s="76" t="s">
        <v>33</v>
      </c>
      <c r="B8131" s="76" t="s">
        <v>1039</v>
      </c>
      <c r="C8131" s="84">
        <v>0.8</v>
      </c>
      <c r="D8131" s="84">
        <v>0.0</v>
      </c>
      <c r="E8131" s="84">
        <v>0.0</v>
      </c>
      <c r="F8131" s="76" t="s">
        <v>993</v>
      </c>
      <c r="G8131" s="83">
        <v>46117.0</v>
      </c>
      <c r="H8131" s="76" t="s">
        <v>959</v>
      </c>
    </row>
    <row r="8132">
      <c r="A8132" s="76" t="s">
        <v>966</v>
      </c>
      <c r="B8132" s="76" t="s">
        <v>1039</v>
      </c>
      <c r="C8132" s="84">
        <v>0.32</v>
      </c>
      <c r="D8132" s="84">
        <v>0.0</v>
      </c>
      <c r="E8132" s="84">
        <v>0.0</v>
      </c>
      <c r="F8132" s="76" t="s">
        <v>993</v>
      </c>
      <c r="G8132" s="83">
        <v>46117.0</v>
      </c>
      <c r="H8132" s="76" t="s">
        <v>967</v>
      </c>
    </row>
    <row r="8133">
      <c r="A8133" s="76" t="s">
        <v>966</v>
      </c>
      <c r="B8133" s="76" t="s">
        <v>1039</v>
      </c>
      <c r="C8133" s="84">
        <v>0.01</v>
      </c>
      <c r="D8133" s="84">
        <v>0.0</v>
      </c>
      <c r="E8133" s="84">
        <v>0.0</v>
      </c>
      <c r="F8133" s="76" t="s">
        <v>993</v>
      </c>
      <c r="G8133" s="83">
        <v>46117.0</v>
      </c>
      <c r="H8133" s="76" t="s">
        <v>968</v>
      </c>
    </row>
    <row r="8134">
      <c r="A8134" s="76" t="s">
        <v>966</v>
      </c>
      <c r="B8134" s="76" t="s">
        <v>1039</v>
      </c>
      <c r="C8134" s="84">
        <v>0.06</v>
      </c>
      <c r="D8134" s="84">
        <v>0.0</v>
      </c>
      <c r="E8134" s="84">
        <v>0.0</v>
      </c>
      <c r="F8134" s="76" t="s">
        <v>993</v>
      </c>
      <c r="G8134" s="83">
        <v>46117.0</v>
      </c>
      <c r="H8134" s="76" t="s">
        <v>969</v>
      </c>
    </row>
    <row r="8135">
      <c r="A8135" s="76" t="s">
        <v>29</v>
      </c>
      <c r="B8135" s="76" t="s">
        <v>1039</v>
      </c>
      <c r="C8135" s="84">
        <v>1.1</v>
      </c>
      <c r="D8135" s="84">
        <v>0.0</v>
      </c>
      <c r="E8135" s="84">
        <v>0.0</v>
      </c>
      <c r="F8135" s="76" t="s">
        <v>993</v>
      </c>
      <c r="G8135" s="83">
        <v>46117.0</v>
      </c>
      <c r="H8135" s="76" t="s">
        <v>971</v>
      </c>
    </row>
    <row r="8136">
      <c r="A8136" s="76" t="s">
        <v>29</v>
      </c>
      <c r="B8136" s="76" t="s">
        <v>1039</v>
      </c>
      <c r="C8136" s="84">
        <v>0.05</v>
      </c>
      <c r="D8136" s="84">
        <v>0.0</v>
      </c>
      <c r="E8136" s="84">
        <v>0.0</v>
      </c>
      <c r="F8136" s="76" t="s">
        <v>993</v>
      </c>
      <c r="G8136" s="83">
        <v>46117.0</v>
      </c>
      <c r="H8136" s="76" t="s">
        <v>972</v>
      </c>
    </row>
    <row r="8137">
      <c r="A8137" s="76" t="s">
        <v>29</v>
      </c>
      <c r="B8137" s="76" t="s">
        <v>1039</v>
      </c>
      <c r="C8137" s="84">
        <v>1.48</v>
      </c>
      <c r="D8137" s="84">
        <v>0.0</v>
      </c>
      <c r="E8137" s="84">
        <v>0.0</v>
      </c>
      <c r="F8137" s="76" t="s">
        <v>993</v>
      </c>
      <c r="G8137" s="83">
        <v>46117.0</v>
      </c>
      <c r="H8137" s="76" t="s">
        <v>973</v>
      </c>
    </row>
    <row r="8138">
      <c r="A8138" s="76" t="s">
        <v>34</v>
      </c>
      <c r="B8138" s="76" t="s">
        <v>1039</v>
      </c>
      <c r="C8138" s="84">
        <v>0.12</v>
      </c>
      <c r="D8138" s="84">
        <v>0.0</v>
      </c>
      <c r="E8138" s="84">
        <v>0.0</v>
      </c>
      <c r="F8138" s="76" t="s">
        <v>993</v>
      </c>
      <c r="G8138" s="83">
        <v>46117.0</v>
      </c>
      <c r="H8138" s="76" t="s">
        <v>951</v>
      </c>
    </row>
    <row r="8139">
      <c r="A8139" s="76" t="s">
        <v>34</v>
      </c>
      <c r="B8139" s="76" t="s">
        <v>1039</v>
      </c>
      <c r="C8139" s="84">
        <v>0.24</v>
      </c>
      <c r="D8139" s="84">
        <v>0.0</v>
      </c>
      <c r="E8139" s="84">
        <v>0.0</v>
      </c>
      <c r="F8139" s="76" t="s">
        <v>993</v>
      </c>
      <c r="G8139" s="83">
        <v>46117.0</v>
      </c>
      <c r="H8139" s="76" t="s">
        <v>952</v>
      </c>
    </row>
    <row r="8140">
      <c r="A8140" s="76" t="s">
        <v>34</v>
      </c>
      <c r="B8140" s="76" t="s">
        <v>1039</v>
      </c>
      <c r="C8140" s="84">
        <v>0.11</v>
      </c>
      <c r="D8140" s="84">
        <v>0.0</v>
      </c>
      <c r="E8140" s="84">
        <v>0.0</v>
      </c>
      <c r="F8140" s="76" t="s">
        <v>993</v>
      </c>
      <c r="G8140" s="83">
        <v>46117.0</v>
      </c>
      <c r="H8140" s="76" t="s">
        <v>953</v>
      </c>
    </row>
    <row r="8141">
      <c r="A8141" s="76" t="s">
        <v>43</v>
      </c>
      <c r="B8141" s="76" t="s">
        <v>1039</v>
      </c>
      <c r="C8141" s="84">
        <v>0.53</v>
      </c>
      <c r="D8141" s="84">
        <v>0.0</v>
      </c>
      <c r="E8141" s="84">
        <v>0.0</v>
      </c>
      <c r="F8141" s="76" t="s">
        <v>993</v>
      </c>
      <c r="G8141" s="83">
        <v>46117.0</v>
      </c>
      <c r="H8141" s="76" t="s">
        <v>963</v>
      </c>
    </row>
    <row r="8142">
      <c r="A8142" s="76" t="s">
        <v>43</v>
      </c>
      <c r="B8142" s="76" t="s">
        <v>1039</v>
      </c>
      <c r="C8142" s="84">
        <v>0.34</v>
      </c>
      <c r="D8142" s="84">
        <v>0.0</v>
      </c>
      <c r="E8142" s="84">
        <v>0.0</v>
      </c>
      <c r="F8142" s="76" t="s">
        <v>993</v>
      </c>
      <c r="G8142" s="83">
        <v>46117.0</v>
      </c>
      <c r="H8142" s="76" t="s">
        <v>964</v>
      </c>
    </row>
    <row r="8143">
      <c r="A8143" s="76" t="s">
        <v>43</v>
      </c>
      <c r="B8143" s="76" t="s">
        <v>1039</v>
      </c>
      <c r="C8143" s="84">
        <v>0.68</v>
      </c>
      <c r="D8143" s="84">
        <v>0.0</v>
      </c>
      <c r="E8143" s="84">
        <v>0.0</v>
      </c>
      <c r="F8143" s="76" t="s">
        <v>993</v>
      </c>
      <c r="G8143" s="83">
        <v>46117.0</v>
      </c>
      <c r="H8143" s="76" t="s">
        <v>965</v>
      </c>
    </row>
    <row r="8144">
      <c r="A8144" s="76" t="s">
        <v>36</v>
      </c>
      <c r="B8144" s="76" t="s">
        <v>1039</v>
      </c>
      <c r="C8144" s="84">
        <v>0.18</v>
      </c>
      <c r="D8144" s="84">
        <v>0.0</v>
      </c>
      <c r="E8144" s="84">
        <v>0.0</v>
      </c>
      <c r="F8144" s="76" t="s">
        <v>998</v>
      </c>
      <c r="G8144" s="83">
        <v>46117.0</v>
      </c>
      <c r="H8144" s="76" t="s">
        <v>926</v>
      </c>
    </row>
    <row r="8145">
      <c r="A8145" s="76" t="s">
        <v>36</v>
      </c>
      <c r="B8145" s="76" t="s">
        <v>1039</v>
      </c>
      <c r="C8145" s="84">
        <v>0.01</v>
      </c>
      <c r="D8145" s="84">
        <v>0.0</v>
      </c>
      <c r="E8145" s="84">
        <v>0.0</v>
      </c>
      <c r="F8145" s="76" t="s">
        <v>998</v>
      </c>
      <c r="G8145" s="83">
        <v>46117.0</v>
      </c>
      <c r="H8145" s="76" t="s">
        <v>927</v>
      </c>
    </row>
    <row r="8146">
      <c r="A8146" s="76" t="s">
        <v>36</v>
      </c>
      <c r="B8146" s="76" t="s">
        <v>1039</v>
      </c>
      <c r="C8146" s="84">
        <v>0.16</v>
      </c>
      <c r="D8146" s="84">
        <v>0.0</v>
      </c>
      <c r="E8146" s="84">
        <v>0.0</v>
      </c>
      <c r="F8146" s="76" t="s">
        <v>998</v>
      </c>
      <c r="G8146" s="83">
        <v>46117.0</v>
      </c>
      <c r="H8146" s="76" t="s">
        <v>928</v>
      </c>
    </row>
    <row r="8147">
      <c r="A8147" s="76" t="s">
        <v>34</v>
      </c>
      <c r="B8147" s="76" t="s">
        <v>1039</v>
      </c>
      <c r="C8147" s="84">
        <v>0.08</v>
      </c>
      <c r="D8147" s="84">
        <v>0.0</v>
      </c>
      <c r="E8147" s="84">
        <v>0.0</v>
      </c>
      <c r="F8147" s="76" t="s">
        <v>998</v>
      </c>
      <c r="G8147" s="83">
        <v>46117.0</v>
      </c>
      <c r="H8147" s="76" t="s">
        <v>951</v>
      </c>
    </row>
    <row r="8148">
      <c r="A8148" s="76" t="s">
        <v>34</v>
      </c>
      <c r="B8148" s="76" t="s">
        <v>1039</v>
      </c>
      <c r="C8148" s="84">
        <v>0.46</v>
      </c>
      <c r="D8148" s="84">
        <v>0.0</v>
      </c>
      <c r="E8148" s="84">
        <v>0.0</v>
      </c>
      <c r="F8148" s="76" t="s">
        <v>998</v>
      </c>
      <c r="G8148" s="83">
        <v>46117.0</v>
      </c>
      <c r="H8148" s="76" t="s">
        <v>952</v>
      </c>
    </row>
    <row r="8149">
      <c r="A8149" s="76" t="s">
        <v>34</v>
      </c>
      <c r="B8149" s="76" t="s">
        <v>1039</v>
      </c>
      <c r="C8149" s="84">
        <v>0.11</v>
      </c>
      <c r="D8149" s="84">
        <v>0.0</v>
      </c>
      <c r="E8149" s="84">
        <v>0.0</v>
      </c>
      <c r="F8149" s="76" t="s">
        <v>998</v>
      </c>
      <c r="G8149" s="83">
        <v>46117.0</v>
      </c>
      <c r="H8149" s="76" t="s">
        <v>953</v>
      </c>
    </row>
    <row r="8150">
      <c r="A8150" s="76" t="s">
        <v>33</v>
      </c>
      <c r="B8150" s="76" t="s">
        <v>1039</v>
      </c>
      <c r="C8150" s="84">
        <v>1.17</v>
      </c>
      <c r="D8150" s="84">
        <v>0.0</v>
      </c>
      <c r="E8150" s="84">
        <v>0.0</v>
      </c>
      <c r="F8150" s="76" t="s">
        <v>998</v>
      </c>
      <c r="G8150" s="83">
        <v>46117.0</v>
      </c>
      <c r="H8150" s="76" t="s">
        <v>957</v>
      </c>
    </row>
    <row r="8151">
      <c r="A8151" s="76" t="s">
        <v>33</v>
      </c>
      <c r="B8151" s="76" t="s">
        <v>1039</v>
      </c>
      <c r="C8151" s="84">
        <v>0.3</v>
      </c>
      <c r="D8151" s="84">
        <v>0.0</v>
      </c>
      <c r="E8151" s="84">
        <v>0.0</v>
      </c>
      <c r="F8151" s="76" t="s">
        <v>998</v>
      </c>
      <c r="G8151" s="83">
        <v>46117.0</v>
      </c>
      <c r="H8151" s="76" t="s">
        <v>958</v>
      </c>
    </row>
    <row r="8152">
      <c r="A8152" s="76" t="s">
        <v>33</v>
      </c>
      <c r="B8152" s="76" t="s">
        <v>1039</v>
      </c>
      <c r="C8152" s="84">
        <v>0.32</v>
      </c>
      <c r="D8152" s="84">
        <v>0.0</v>
      </c>
      <c r="E8152" s="84">
        <v>0.0</v>
      </c>
      <c r="F8152" s="76" t="s">
        <v>998</v>
      </c>
      <c r="G8152" s="83">
        <v>46117.0</v>
      </c>
      <c r="H8152" s="76" t="s">
        <v>959</v>
      </c>
    </row>
    <row r="8153">
      <c r="A8153" s="76" t="s">
        <v>29</v>
      </c>
      <c r="B8153" s="76" t="s">
        <v>1039</v>
      </c>
      <c r="C8153" s="84">
        <v>0.52</v>
      </c>
      <c r="D8153" s="84">
        <v>0.0</v>
      </c>
      <c r="E8153" s="84">
        <v>0.0</v>
      </c>
      <c r="F8153" s="76" t="s">
        <v>998</v>
      </c>
      <c r="G8153" s="83">
        <v>46117.0</v>
      </c>
      <c r="H8153" s="76" t="s">
        <v>971</v>
      </c>
    </row>
    <row r="8154">
      <c r="A8154" s="76" t="s">
        <v>29</v>
      </c>
      <c r="B8154" s="76" t="s">
        <v>1039</v>
      </c>
      <c r="C8154" s="84">
        <v>0.1</v>
      </c>
      <c r="D8154" s="84">
        <v>0.0</v>
      </c>
      <c r="E8154" s="84">
        <v>0.0</v>
      </c>
      <c r="F8154" s="76" t="s">
        <v>998</v>
      </c>
      <c r="G8154" s="83">
        <v>46117.0</v>
      </c>
      <c r="H8154" s="76" t="s">
        <v>972</v>
      </c>
    </row>
    <row r="8155">
      <c r="A8155" s="76" t="s">
        <v>29</v>
      </c>
      <c r="B8155" s="76" t="s">
        <v>1039</v>
      </c>
      <c r="C8155" s="84">
        <v>0.78</v>
      </c>
      <c r="D8155" s="84">
        <v>0.0</v>
      </c>
      <c r="E8155" s="84">
        <v>0.0</v>
      </c>
      <c r="F8155" s="76" t="s">
        <v>998</v>
      </c>
      <c r="G8155" s="83">
        <v>46117.0</v>
      </c>
      <c r="H8155" s="76" t="s">
        <v>973</v>
      </c>
    </row>
    <row r="8156">
      <c r="A8156" s="76" t="s">
        <v>46</v>
      </c>
      <c r="B8156" s="76" t="s">
        <v>1039</v>
      </c>
      <c r="C8156" s="84">
        <v>0.08</v>
      </c>
      <c r="D8156" s="84">
        <v>0.0</v>
      </c>
      <c r="E8156" s="84">
        <v>0.0</v>
      </c>
      <c r="F8156" s="76" t="s">
        <v>998</v>
      </c>
      <c r="G8156" s="83">
        <v>46117.0</v>
      </c>
      <c r="H8156" s="76" t="s">
        <v>960</v>
      </c>
    </row>
    <row r="8157">
      <c r="A8157" s="76" t="s">
        <v>46</v>
      </c>
      <c r="B8157" s="76" t="s">
        <v>1039</v>
      </c>
      <c r="C8157" s="84">
        <v>0.08</v>
      </c>
      <c r="D8157" s="84">
        <v>0.0</v>
      </c>
      <c r="E8157" s="84">
        <v>0.0</v>
      </c>
      <c r="F8157" s="76" t="s">
        <v>998</v>
      </c>
      <c r="G8157" s="83">
        <v>46117.0</v>
      </c>
      <c r="H8157" s="76" t="s">
        <v>961</v>
      </c>
    </row>
    <row r="8158">
      <c r="A8158" s="76" t="s">
        <v>46</v>
      </c>
      <c r="B8158" s="76" t="s">
        <v>1039</v>
      </c>
      <c r="C8158" s="84">
        <v>0.22</v>
      </c>
      <c r="D8158" s="84">
        <v>0.0</v>
      </c>
      <c r="E8158" s="84">
        <v>0.0</v>
      </c>
      <c r="F8158" s="76" t="s">
        <v>998</v>
      </c>
      <c r="G8158" s="83">
        <v>46117.0</v>
      </c>
      <c r="H8158" s="76" t="s">
        <v>962</v>
      </c>
    </row>
    <row r="8159">
      <c r="A8159" s="76" t="s">
        <v>40</v>
      </c>
      <c r="B8159" s="76" t="s">
        <v>1039</v>
      </c>
      <c r="C8159" s="84">
        <v>0.17</v>
      </c>
      <c r="D8159" s="84">
        <v>0.0</v>
      </c>
      <c r="E8159" s="84">
        <v>0.0</v>
      </c>
      <c r="F8159" s="76" t="s">
        <v>998</v>
      </c>
      <c r="G8159" s="83">
        <v>46117.0</v>
      </c>
      <c r="H8159" s="76" t="s">
        <v>954</v>
      </c>
    </row>
    <row r="8160">
      <c r="A8160" s="76" t="s">
        <v>40</v>
      </c>
      <c r="B8160" s="76" t="s">
        <v>1039</v>
      </c>
      <c r="C8160" s="84">
        <v>0.48</v>
      </c>
      <c r="D8160" s="84">
        <v>0.0</v>
      </c>
      <c r="E8160" s="84">
        <v>0.0</v>
      </c>
      <c r="F8160" s="76" t="s">
        <v>998</v>
      </c>
      <c r="G8160" s="83">
        <v>46117.0</v>
      </c>
      <c r="H8160" s="76" t="s">
        <v>956</v>
      </c>
    </row>
    <row r="8161">
      <c r="A8161" s="76" t="s">
        <v>966</v>
      </c>
      <c r="B8161" s="76" t="s">
        <v>1039</v>
      </c>
      <c r="C8161" s="84">
        <v>0.16</v>
      </c>
      <c r="D8161" s="84">
        <v>0.0</v>
      </c>
      <c r="E8161" s="84">
        <v>0.0</v>
      </c>
      <c r="F8161" s="76" t="s">
        <v>998</v>
      </c>
      <c r="G8161" s="83">
        <v>46117.0</v>
      </c>
      <c r="H8161" s="76" t="s">
        <v>967</v>
      </c>
    </row>
    <row r="8162">
      <c r="A8162" s="76" t="s">
        <v>966</v>
      </c>
      <c r="B8162" s="76" t="s">
        <v>1039</v>
      </c>
      <c r="C8162" s="84">
        <v>0.06</v>
      </c>
      <c r="D8162" s="84">
        <v>0.0</v>
      </c>
      <c r="E8162" s="84">
        <v>0.0</v>
      </c>
      <c r="F8162" s="76" t="s">
        <v>998</v>
      </c>
      <c r="G8162" s="83">
        <v>46117.0</v>
      </c>
      <c r="H8162" s="76" t="s">
        <v>968</v>
      </c>
    </row>
    <row r="8163">
      <c r="A8163" s="76" t="s">
        <v>966</v>
      </c>
      <c r="B8163" s="76" t="s">
        <v>1039</v>
      </c>
      <c r="C8163" s="84">
        <v>0.01</v>
      </c>
      <c r="D8163" s="84">
        <v>0.0</v>
      </c>
      <c r="E8163" s="84">
        <v>0.0</v>
      </c>
      <c r="F8163" s="76" t="s">
        <v>998</v>
      </c>
      <c r="G8163" s="83">
        <v>46117.0</v>
      </c>
      <c r="H8163" s="76" t="s">
        <v>969</v>
      </c>
    </row>
    <row r="8164">
      <c r="A8164" s="76" t="s">
        <v>43</v>
      </c>
      <c r="B8164" s="76" t="s">
        <v>1039</v>
      </c>
      <c r="C8164" s="84">
        <v>0.08</v>
      </c>
      <c r="D8164" s="84">
        <v>0.0</v>
      </c>
      <c r="E8164" s="84">
        <v>0.0</v>
      </c>
      <c r="F8164" s="76" t="s">
        <v>998</v>
      </c>
      <c r="G8164" s="83">
        <v>46117.0</v>
      </c>
      <c r="H8164" s="76" t="s">
        <v>963</v>
      </c>
    </row>
    <row r="8165">
      <c r="A8165" s="76" t="s">
        <v>43</v>
      </c>
      <c r="B8165" s="76" t="s">
        <v>1039</v>
      </c>
      <c r="C8165" s="84">
        <v>0.23</v>
      </c>
      <c r="D8165" s="84">
        <v>0.0</v>
      </c>
      <c r="E8165" s="84">
        <v>0.0</v>
      </c>
      <c r="F8165" s="76" t="s">
        <v>998</v>
      </c>
      <c r="G8165" s="83">
        <v>46117.0</v>
      </c>
      <c r="H8165" s="76" t="s">
        <v>964</v>
      </c>
    </row>
    <row r="8166">
      <c r="A8166" s="76" t="s">
        <v>43</v>
      </c>
      <c r="B8166" s="76" t="s">
        <v>1039</v>
      </c>
      <c r="C8166" s="84">
        <v>0.3</v>
      </c>
      <c r="D8166" s="84">
        <v>0.0</v>
      </c>
      <c r="E8166" s="84">
        <v>0.0</v>
      </c>
      <c r="F8166" s="76" t="s">
        <v>998</v>
      </c>
      <c r="G8166" s="83">
        <v>46117.0</v>
      </c>
      <c r="H8166" s="76" t="s">
        <v>965</v>
      </c>
    </row>
    <row r="8167">
      <c r="A8167" s="76" t="s">
        <v>970</v>
      </c>
      <c r="B8167" s="76" t="s">
        <v>1039</v>
      </c>
      <c r="C8167" s="84">
        <v>0.76</v>
      </c>
      <c r="D8167" s="84">
        <v>0.0</v>
      </c>
      <c r="E8167" s="84">
        <v>0.0</v>
      </c>
      <c r="F8167" s="76" t="s">
        <v>998</v>
      </c>
      <c r="G8167" s="83">
        <v>46117.0</v>
      </c>
      <c r="H8167" s="76" t="s">
        <v>971</v>
      </c>
    </row>
    <row r="8168">
      <c r="A8168" s="76" t="s">
        <v>970</v>
      </c>
      <c r="B8168" s="76" t="s">
        <v>1039</v>
      </c>
      <c r="C8168" s="84">
        <v>0.01</v>
      </c>
      <c r="D8168" s="84">
        <v>0.0</v>
      </c>
      <c r="E8168" s="84">
        <v>0.0</v>
      </c>
      <c r="F8168" s="76" t="s">
        <v>998</v>
      </c>
      <c r="G8168" s="83">
        <v>46117.0</v>
      </c>
      <c r="H8168" s="76" t="s">
        <v>972</v>
      </c>
    </row>
    <row r="8169">
      <c r="A8169" s="76" t="s">
        <v>970</v>
      </c>
      <c r="B8169" s="76" t="s">
        <v>1039</v>
      </c>
      <c r="C8169" s="84">
        <v>0.86</v>
      </c>
      <c r="D8169" s="84">
        <v>0.0</v>
      </c>
      <c r="E8169" s="84">
        <v>0.0</v>
      </c>
      <c r="F8169" s="76" t="s">
        <v>998</v>
      </c>
      <c r="G8169" s="83">
        <v>46117.0</v>
      </c>
      <c r="H8169" s="76" t="s">
        <v>973</v>
      </c>
    </row>
    <row r="8170">
      <c r="A8170" s="76" t="s">
        <v>46</v>
      </c>
      <c r="B8170" s="76" t="s">
        <v>1039</v>
      </c>
      <c r="C8170" s="84">
        <v>0.05</v>
      </c>
      <c r="D8170" s="84">
        <v>0.0</v>
      </c>
      <c r="E8170" s="84">
        <v>0.0</v>
      </c>
      <c r="F8170" s="76" t="s">
        <v>997</v>
      </c>
      <c r="G8170" s="83">
        <v>46117.0</v>
      </c>
      <c r="H8170" s="76" t="s">
        <v>960</v>
      </c>
    </row>
    <row r="8171">
      <c r="A8171" s="76" t="s">
        <v>46</v>
      </c>
      <c r="B8171" s="76" t="s">
        <v>1039</v>
      </c>
      <c r="C8171" s="84">
        <v>0.17</v>
      </c>
      <c r="D8171" s="84">
        <v>0.0</v>
      </c>
      <c r="E8171" s="84">
        <v>0.0</v>
      </c>
      <c r="F8171" s="76" t="s">
        <v>997</v>
      </c>
      <c r="G8171" s="83">
        <v>46117.0</v>
      </c>
      <c r="H8171" s="76" t="s">
        <v>961</v>
      </c>
    </row>
    <row r="8172">
      <c r="A8172" s="76" t="s">
        <v>46</v>
      </c>
      <c r="B8172" s="76" t="s">
        <v>1039</v>
      </c>
      <c r="C8172" s="84">
        <v>0.11</v>
      </c>
      <c r="D8172" s="84">
        <v>0.0</v>
      </c>
      <c r="E8172" s="84">
        <v>0.0</v>
      </c>
      <c r="F8172" s="76" t="s">
        <v>997</v>
      </c>
      <c r="G8172" s="83">
        <v>46117.0</v>
      </c>
      <c r="H8172" s="76" t="s">
        <v>962</v>
      </c>
    </row>
    <row r="8173">
      <c r="A8173" s="76" t="s">
        <v>34</v>
      </c>
      <c r="B8173" s="76" t="s">
        <v>1039</v>
      </c>
      <c r="C8173" s="84">
        <v>0.11</v>
      </c>
      <c r="D8173" s="84">
        <v>0.0</v>
      </c>
      <c r="E8173" s="84">
        <v>0.0</v>
      </c>
      <c r="F8173" s="76" t="s">
        <v>997</v>
      </c>
      <c r="G8173" s="83">
        <v>46117.0</v>
      </c>
      <c r="H8173" s="76" t="s">
        <v>951</v>
      </c>
    </row>
    <row r="8174">
      <c r="A8174" s="76" t="s">
        <v>34</v>
      </c>
      <c r="B8174" s="76" t="s">
        <v>1039</v>
      </c>
      <c r="C8174" s="84">
        <v>0.25</v>
      </c>
      <c r="D8174" s="84">
        <v>0.0</v>
      </c>
      <c r="E8174" s="84">
        <v>0.0</v>
      </c>
      <c r="F8174" s="76" t="s">
        <v>997</v>
      </c>
      <c r="G8174" s="83">
        <v>46117.0</v>
      </c>
      <c r="H8174" s="76" t="s">
        <v>952</v>
      </c>
    </row>
    <row r="8175">
      <c r="A8175" s="76" t="s">
        <v>34</v>
      </c>
      <c r="B8175" s="76" t="s">
        <v>1039</v>
      </c>
      <c r="C8175" s="84">
        <v>0.19</v>
      </c>
      <c r="D8175" s="84">
        <v>0.0</v>
      </c>
      <c r="E8175" s="84">
        <v>0.0</v>
      </c>
      <c r="F8175" s="76" t="s">
        <v>997</v>
      </c>
      <c r="G8175" s="83">
        <v>46117.0</v>
      </c>
      <c r="H8175" s="76" t="s">
        <v>953</v>
      </c>
    </row>
    <row r="8176">
      <c r="A8176" s="76" t="s">
        <v>40</v>
      </c>
      <c r="B8176" s="76" t="s">
        <v>1039</v>
      </c>
      <c r="C8176" s="84">
        <v>0.17</v>
      </c>
      <c r="D8176" s="84">
        <v>0.0</v>
      </c>
      <c r="E8176" s="84">
        <v>0.0</v>
      </c>
      <c r="F8176" s="76" t="s">
        <v>997</v>
      </c>
      <c r="G8176" s="83">
        <v>46117.0</v>
      </c>
      <c r="H8176" s="76" t="s">
        <v>954</v>
      </c>
    </row>
    <row r="8177">
      <c r="A8177" s="76" t="s">
        <v>40</v>
      </c>
      <c r="B8177" s="76" t="s">
        <v>1039</v>
      </c>
      <c r="C8177" s="84">
        <v>0.01</v>
      </c>
      <c r="D8177" s="84">
        <v>0.0</v>
      </c>
      <c r="E8177" s="84">
        <v>0.0</v>
      </c>
      <c r="F8177" s="76" t="s">
        <v>997</v>
      </c>
      <c r="G8177" s="83">
        <v>46117.0</v>
      </c>
      <c r="H8177" s="76" t="s">
        <v>955</v>
      </c>
    </row>
    <row r="8178">
      <c r="A8178" s="76" t="s">
        <v>40</v>
      </c>
      <c r="B8178" s="76" t="s">
        <v>1039</v>
      </c>
      <c r="C8178" s="84">
        <v>0.58</v>
      </c>
      <c r="D8178" s="84">
        <v>0.0</v>
      </c>
      <c r="E8178" s="84">
        <v>0.0</v>
      </c>
      <c r="F8178" s="76" t="s">
        <v>997</v>
      </c>
      <c r="G8178" s="83">
        <v>46117.0</v>
      </c>
      <c r="H8178" s="76" t="s">
        <v>956</v>
      </c>
    </row>
    <row r="8179">
      <c r="A8179" s="76" t="s">
        <v>36</v>
      </c>
      <c r="B8179" s="76" t="s">
        <v>1039</v>
      </c>
      <c r="C8179" s="84">
        <v>0.18</v>
      </c>
      <c r="D8179" s="84">
        <v>0.0</v>
      </c>
      <c r="E8179" s="84">
        <v>0.0</v>
      </c>
      <c r="F8179" s="76" t="s">
        <v>997</v>
      </c>
      <c r="G8179" s="83">
        <v>46117.0</v>
      </c>
      <c r="H8179" s="76" t="s">
        <v>926</v>
      </c>
    </row>
    <row r="8180">
      <c r="A8180" s="76" t="s">
        <v>36</v>
      </c>
      <c r="B8180" s="76" t="s">
        <v>1039</v>
      </c>
      <c r="C8180" s="84">
        <v>0.23</v>
      </c>
      <c r="D8180" s="84">
        <v>0.0</v>
      </c>
      <c r="E8180" s="84">
        <v>0.0</v>
      </c>
      <c r="F8180" s="76" t="s">
        <v>997</v>
      </c>
      <c r="G8180" s="83">
        <v>46117.0</v>
      </c>
      <c r="H8180" s="76" t="s">
        <v>927</v>
      </c>
    </row>
    <row r="8181">
      <c r="A8181" s="76" t="s">
        <v>36</v>
      </c>
      <c r="B8181" s="76" t="s">
        <v>1039</v>
      </c>
      <c r="C8181" s="84">
        <v>0.26</v>
      </c>
      <c r="D8181" s="84">
        <v>0.0</v>
      </c>
      <c r="E8181" s="84">
        <v>0.0</v>
      </c>
      <c r="F8181" s="76" t="s">
        <v>997</v>
      </c>
      <c r="G8181" s="83">
        <v>46117.0</v>
      </c>
      <c r="H8181" s="76" t="s">
        <v>928</v>
      </c>
    </row>
    <row r="8182">
      <c r="A8182" s="76" t="s">
        <v>970</v>
      </c>
      <c r="B8182" s="76" t="s">
        <v>1039</v>
      </c>
      <c r="C8182" s="84">
        <v>0.82</v>
      </c>
      <c r="D8182" s="84">
        <v>0.0</v>
      </c>
      <c r="E8182" s="84">
        <v>0.0</v>
      </c>
      <c r="F8182" s="76" t="s">
        <v>997</v>
      </c>
      <c r="G8182" s="83">
        <v>46117.0</v>
      </c>
      <c r="H8182" s="76" t="s">
        <v>971</v>
      </c>
    </row>
    <row r="8183">
      <c r="A8183" s="76" t="s">
        <v>970</v>
      </c>
      <c r="B8183" s="76" t="s">
        <v>1039</v>
      </c>
      <c r="C8183" s="84">
        <v>0.11</v>
      </c>
      <c r="D8183" s="84">
        <v>0.0</v>
      </c>
      <c r="E8183" s="84">
        <v>0.0</v>
      </c>
      <c r="F8183" s="76" t="s">
        <v>997</v>
      </c>
      <c r="G8183" s="83">
        <v>46117.0</v>
      </c>
      <c r="H8183" s="76" t="s">
        <v>972</v>
      </c>
    </row>
    <row r="8184">
      <c r="A8184" s="76" t="s">
        <v>970</v>
      </c>
      <c r="B8184" s="76" t="s">
        <v>1039</v>
      </c>
      <c r="C8184" s="84">
        <v>0.87</v>
      </c>
      <c r="D8184" s="84">
        <v>0.0</v>
      </c>
      <c r="E8184" s="84">
        <v>0.0</v>
      </c>
      <c r="F8184" s="76" t="s">
        <v>997</v>
      </c>
      <c r="G8184" s="83">
        <v>46117.0</v>
      </c>
      <c r="H8184" s="76" t="s">
        <v>973</v>
      </c>
    </row>
    <row r="8185">
      <c r="A8185" s="76" t="s">
        <v>33</v>
      </c>
      <c r="B8185" s="76" t="s">
        <v>1039</v>
      </c>
      <c r="C8185" s="84">
        <v>2.97</v>
      </c>
      <c r="D8185" s="84">
        <v>0.0</v>
      </c>
      <c r="E8185" s="84">
        <v>0.0</v>
      </c>
      <c r="F8185" s="76" t="s">
        <v>997</v>
      </c>
      <c r="G8185" s="83">
        <v>46117.0</v>
      </c>
      <c r="H8185" s="76" t="s">
        <v>957</v>
      </c>
    </row>
    <row r="8186">
      <c r="A8186" s="76" t="s">
        <v>33</v>
      </c>
      <c r="B8186" s="76" t="s">
        <v>1039</v>
      </c>
      <c r="C8186" s="84">
        <v>0.38</v>
      </c>
      <c r="D8186" s="84">
        <v>0.0</v>
      </c>
      <c r="E8186" s="84">
        <v>0.0</v>
      </c>
      <c r="F8186" s="76" t="s">
        <v>997</v>
      </c>
      <c r="G8186" s="83">
        <v>46117.0</v>
      </c>
      <c r="H8186" s="76" t="s">
        <v>958</v>
      </c>
    </row>
    <row r="8187">
      <c r="A8187" s="76" t="s">
        <v>33</v>
      </c>
      <c r="B8187" s="76" t="s">
        <v>1039</v>
      </c>
      <c r="C8187" s="84">
        <v>0.49</v>
      </c>
      <c r="D8187" s="84">
        <v>0.0</v>
      </c>
      <c r="E8187" s="84">
        <v>0.0</v>
      </c>
      <c r="F8187" s="76" t="s">
        <v>997</v>
      </c>
      <c r="G8187" s="83">
        <v>46117.0</v>
      </c>
      <c r="H8187" s="76" t="s">
        <v>959</v>
      </c>
    </row>
    <row r="8188">
      <c r="A8188" s="76" t="s">
        <v>29</v>
      </c>
      <c r="B8188" s="76" t="s">
        <v>1039</v>
      </c>
      <c r="C8188" s="84">
        <v>0.66</v>
      </c>
      <c r="D8188" s="84">
        <v>0.0</v>
      </c>
      <c r="E8188" s="84">
        <v>0.0</v>
      </c>
      <c r="F8188" s="76" t="s">
        <v>997</v>
      </c>
      <c r="G8188" s="83">
        <v>46117.0</v>
      </c>
      <c r="H8188" s="76" t="s">
        <v>971</v>
      </c>
    </row>
    <row r="8189">
      <c r="A8189" s="76" t="s">
        <v>29</v>
      </c>
      <c r="B8189" s="76" t="s">
        <v>1039</v>
      </c>
      <c r="C8189" s="84">
        <v>0.21</v>
      </c>
      <c r="D8189" s="84">
        <v>0.0</v>
      </c>
      <c r="E8189" s="84">
        <v>0.0</v>
      </c>
      <c r="F8189" s="76" t="s">
        <v>997</v>
      </c>
      <c r="G8189" s="83">
        <v>46117.0</v>
      </c>
      <c r="H8189" s="76" t="s">
        <v>972</v>
      </c>
    </row>
    <row r="8190">
      <c r="A8190" s="76" t="s">
        <v>29</v>
      </c>
      <c r="B8190" s="76" t="s">
        <v>1039</v>
      </c>
      <c r="C8190" s="84">
        <v>0.81</v>
      </c>
      <c r="D8190" s="84">
        <v>0.0</v>
      </c>
      <c r="E8190" s="84">
        <v>0.0</v>
      </c>
      <c r="F8190" s="76" t="s">
        <v>997</v>
      </c>
      <c r="G8190" s="83">
        <v>46117.0</v>
      </c>
      <c r="H8190" s="76" t="s">
        <v>973</v>
      </c>
    </row>
    <row r="8191">
      <c r="A8191" s="76" t="s">
        <v>43</v>
      </c>
      <c r="B8191" s="76" t="s">
        <v>1039</v>
      </c>
      <c r="C8191" s="84">
        <v>0.07</v>
      </c>
      <c r="D8191" s="84">
        <v>0.0</v>
      </c>
      <c r="E8191" s="84">
        <v>0.0</v>
      </c>
      <c r="F8191" s="76" t="s">
        <v>997</v>
      </c>
      <c r="G8191" s="83">
        <v>46117.0</v>
      </c>
      <c r="H8191" s="76" t="s">
        <v>963</v>
      </c>
    </row>
    <row r="8192">
      <c r="A8192" s="76" t="s">
        <v>43</v>
      </c>
      <c r="B8192" s="76" t="s">
        <v>1039</v>
      </c>
      <c r="C8192" s="84">
        <v>0.22</v>
      </c>
      <c r="D8192" s="84">
        <v>0.0</v>
      </c>
      <c r="E8192" s="84">
        <v>0.0</v>
      </c>
      <c r="F8192" s="76" t="s">
        <v>997</v>
      </c>
      <c r="G8192" s="83">
        <v>46117.0</v>
      </c>
      <c r="H8192" s="76" t="s">
        <v>964</v>
      </c>
    </row>
    <row r="8193">
      <c r="A8193" s="76" t="s">
        <v>43</v>
      </c>
      <c r="B8193" s="76" t="s">
        <v>1039</v>
      </c>
      <c r="C8193" s="84">
        <v>0.47</v>
      </c>
      <c r="D8193" s="84">
        <v>0.0</v>
      </c>
      <c r="E8193" s="84">
        <v>0.0</v>
      </c>
      <c r="F8193" s="76" t="s">
        <v>997</v>
      </c>
      <c r="G8193" s="83">
        <v>46117.0</v>
      </c>
      <c r="H8193" s="76" t="s">
        <v>965</v>
      </c>
    </row>
    <row r="8194">
      <c r="A8194" s="76" t="s">
        <v>966</v>
      </c>
      <c r="B8194" s="76" t="s">
        <v>1039</v>
      </c>
      <c r="C8194" s="84">
        <v>0.19</v>
      </c>
      <c r="D8194" s="84">
        <v>0.0</v>
      </c>
      <c r="E8194" s="84">
        <v>0.0</v>
      </c>
      <c r="F8194" s="76" t="s">
        <v>997</v>
      </c>
      <c r="G8194" s="83">
        <v>46117.0</v>
      </c>
      <c r="H8194" s="76" t="s">
        <v>967</v>
      </c>
    </row>
    <row r="8195">
      <c r="A8195" s="76" t="s">
        <v>966</v>
      </c>
      <c r="B8195" s="76" t="s">
        <v>1039</v>
      </c>
      <c r="C8195" s="84">
        <v>0.02</v>
      </c>
      <c r="D8195" s="84">
        <v>0.0</v>
      </c>
      <c r="E8195" s="84">
        <v>0.0</v>
      </c>
      <c r="F8195" s="76" t="s">
        <v>997</v>
      </c>
      <c r="G8195" s="83">
        <v>46117.0</v>
      </c>
      <c r="H8195" s="76" t="s">
        <v>968</v>
      </c>
    </row>
    <row r="8196">
      <c r="A8196" s="76" t="s">
        <v>966</v>
      </c>
      <c r="B8196" s="76" t="s">
        <v>1039</v>
      </c>
      <c r="C8196" s="84">
        <v>0.06</v>
      </c>
      <c r="D8196" s="84">
        <v>0.0</v>
      </c>
      <c r="E8196" s="84">
        <v>0.0</v>
      </c>
      <c r="F8196" s="76" t="s">
        <v>997</v>
      </c>
      <c r="G8196" s="83">
        <v>46117.0</v>
      </c>
      <c r="H8196" s="76" t="s">
        <v>969</v>
      </c>
    </row>
    <row r="8197">
      <c r="A8197" s="76" t="s">
        <v>42</v>
      </c>
      <c r="B8197" s="76" t="s">
        <v>1040</v>
      </c>
      <c r="C8197" s="84">
        <v>0.47</v>
      </c>
      <c r="D8197" s="84">
        <v>0.0</v>
      </c>
      <c r="E8197" s="84">
        <v>0.0</v>
      </c>
      <c r="F8197" s="76" t="s">
        <v>925</v>
      </c>
      <c r="G8197" s="83">
        <v>46117.0</v>
      </c>
      <c r="H8197" s="76" t="s">
        <v>991</v>
      </c>
    </row>
    <row r="8198">
      <c r="A8198" s="76" t="s">
        <v>42</v>
      </c>
      <c r="B8198" s="76" t="s">
        <v>1040</v>
      </c>
      <c r="C8198" s="84">
        <v>4.29</v>
      </c>
      <c r="D8198" s="84">
        <v>0.0</v>
      </c>
      <c r="E8198" s="84">
        <v>0.0</v>
      </c>
      <c r="F8198" s="76" t="s">
        <v>925</v>
      </c>
      <c r="G8198" s="83">
        <v>46117.0</v>
      </c>
      <c r="H8198" s="76" t="s">
        <v>935</v>
      </c>
    </row>
    <row r="8199">
      <c r="A8199" s="76" t="s">
        <v>36</v>
      </c>
      <c r="B8199" s="76" t="s">
        <v>1040</v>
      </c>
      <c r="C8199" s="84">
        <v>8.97</v>
      </c>
      <c r="D8199" s="84">
        <v>2.0</v>
      </c>
      <c r="E8199" s="84">
        <v>4.49</v>
      </c>
      <c r="F8199" s="76" t="s">
        <v>925</v>
      </c>
      <c r="G8199" s="83">
        <v>46117.0</v>
      </c>
      <c r="H8199" s="76" t="s">
        <v>926</v>
      </c>
    </row>
    <row r="8200">
      <c r="A8200" s="76" t="s">
        <v>36</v>
      </c>
      <c r="B8200" s="76" t="s">
        <v>1040</v>
      </c>
      <c r="C8200" s="84">
        <v>2.64</v>
      </c>
      <c r="D8200" s="84">
        <v>1.0</v>
      </c>
      <c r="E8200" s="84">
        <v>2.64</v>
      </c>
      <c r="F8200" s="76" t="s">
        <v>925</v>
      </c>
      <c r="G8200" s="83">
        <v>46117.0</v>
      </c>
      <c r="H8200" s="76" t="s">
        <v>927</v>
      </c>
    </row>
    <row r="8201">
      <c r="A8201" s="76" t="s">
        <v>36</v>
      </c>
      <c r="B8201" s="76" t="s">
        <v>1040</v>
      </c>
      <c r="C8201" s="84">
        <v>1.41</v>
      </c>
      <c r="D8201" s="84">
        <v>0.0</v>
      </c>
      <c r="E8201" s="84">
        <v>0.0</v>
      </c>
      <c r="F8201" s="76" t="s">
        <v>925</v>
      </c>
      <c r="G8201" s="83">
        <v>46117.0</v>
      </c>
      <c r="H8201" s="76" t="s">
        <v>928</v>
      </c>
    </row>
    <row r="8202">
      <c r="A8202" s="76" t="s">
        <v>32</v>
      </c>
      <c r="B8202" s="76" t="s">
        <v>1040</v>
      </c>
      <c r="C8202" s="84">
        <v>7.71</v>
      </c>
      <c r="D8202" s="84">
        <v>1.0</v>
      </c>
      <c r="E8202" s="84">
        <v>7.71</v>
      </c>
      <c r="F8202" s="76" t="s">
        <v>925</v>
      </c>
      <c r="G8202" s="83">
        <v>46117.0</v>
      </c>
      <c r="H8202" s="76" t="s">
        <v>941</v>
      </c>
    </row>
    <row r="8203">
      <c r="A8203" s="76" t="s">
        <v>32</v>
      </c>
      <c r="B8203" s="76" t="s">
        <v>1040</v>
      </c>
      <c r="C8203" s="84">
        <v>1.51</v>
      </c>
      <c r="D8203" s="84">
        <v>0.0</v>
      </c>
      <c r="E8203" s="84">
        <v>0.0</v>
      </c>
      <c r="F8203" s="76" t="s">
        <v>925</v>
      </c>
      <c r="G8203" s="83">
        <v>46117.0</v>
      </c>
      <c r="H8203" s="76" t="s">
        <v>942</v>
      </c>
    </row>
    <row r="8204">
      <c r="A8204" s="76" t="s">
        <v>32</v>
      </c>
      <c r="B8204" s="76" t="s">
        <v>1040</v>
      </c>
      <c r="C8204" s="84">
        <v>97.55</v>
      </c>
      <c r="D8204" s="84">
        <v>3.0</v>
      </c>
      <c r="E8204" s="84">
        <v>32.52</v>
      </c>
      <c r="F8204" s="76" t="s">
        <v>925</v>
      </c>
      <c r="G8204" s="83">
        <v>46117.0</v>
      </c>
      <c r="H8204" s="76" t="s">
        <v>943</v>
      </c>
    </row>
    <row r="8205">
      <c r="A8205" s="76" t="s">
        <v>944</v>
      </c>
      <c r="B8205" s="76" t="s">
        <v>1040</v>
      </c>
      <c r="C8205" s="84">
        <v>8.2</v>
      </c>
      <c r="D8205" s="84">
        <v>0.0</v>
      </c>
      <c r="E8205" s="84">
        <v>0.0</v>
      </c>
      <c r="F8205" s="76" t="s">
        <v>925</v>
      </c>
      <c r="G8205" s="83">
        <v>46117.0</v>
      </c>
      <c r="H8205" s="76" t="s">
        <v>945</v>
      </c>
    </row>
    <row r="8206">
      <c r="A8206" s="76" t="s">
        <v>944</v>
      </c>
      <c r="B8206" s="76" t="s">
        <v>1040</v>
      </c>
      <c r="C8206" s="84">
        <v>0.71</v>
      </c>
      <c r="D8206" s="84">
        <v>0.0</v>
      </c>
      <c r="E8206" s="84">
        <v>0.0</v>
      </c>
      <c r="F8206" s="76" t="s">
        <v>925</v>
      </c>
      <c r="G8206" s="83">
        <v>46117.0</v>
      </c>
      <c r="H8206" s="76" t="s">
        <v>946</v>
      </c>
    </row>
    <row r="8207">
      <c r="A8207" s="76" t="s">
        <v>944</v>
      </c>
      <c r="B8207" s="76" t="s">
        <v>1040</v>
      </c>
      <c r="C8207" s="84">
        <v>1.2</v>
      </c>
      <c r="D8207" s="84">
        <v>0.0</v>
      </c>
      <c r="E8207" s="84">
        <v>0.0</v>
      </c>
      <c r="F8207" s="76" t="s">
        <v>925</v>
      </c>
      <c r="G8207" s="83">
        <v>46117.0</v>
      </c>
      <c r="H8207" s="76" t="s">
        <v>947</v>
      </c>
    </row>
    <row r="8208">
      <c r="A8208" s="76" t="s">
        <v>31</v>
      </c>
      <c r="B8208" s="76" t="s">
        <v>1040</v>
      </c>
      <c r="C8208" s="84">
        <v>0.96</v>
      </c>
      <c r="D8208" s="84">
        <v>0.0</v>
      </c>
      <c r="E8208" s="84">
        <v>0.0</v>
      </c>
      <c r="F8208" s="76" t="s">
        <v>925</v>
      </c>
      <c r="G8208" s="83">
        <v>46117.0</v>
      </c>
      <c r="H8208" s="76" t="s">
        <v>929</v>
      </c>
    </row>
    <row r="8209">
      <c r="A8209" s="76" t="s">
        <v>31</v>
      </c>
      <c r="B8209" s="76" t="s">
        <v>1040</v>
      </c>
      <c r="C8209" s="84">
        <v>62.88</v>
      </c>
      <c r="D8209" s="84">
        <v>10.0</v>
      </c>
      <c r="E8209" s="84">
        <v>6.29</v>
      </c>
      <c r="F8209" s="76" t="s">
        <v>925</v>
      </c>
      <c r="G8209" s="83">
        <v>46117.0</v>
      </c>
      <c r="H8209" s="76" t="s">
        <v>930</v>
      </c>
    </row>
    <row r="8210">
      <c r="A8210" s="76" t="s">
        <v>45</v>
      </c>
      <c r="B8210" s="76" t="s">
        <v>1040</v>
      </c>
      <c r="C8210" s="84">
        <v>0.78</v>
      </c>
      <c r="D8210" s="84">
        <v>1.0</v>
      </c>
      <c r="E8210" s="84">
        <v>0.78</v>
      </c>
      <c r="F8210" s="76" t="s">
        <v>925</v>
      </c>
      <c r="G8210" s="83">
        <v>46117.0</v>
      </c>
      <c r="H8210" s="76" t="s">
        <v>936</v>
      </c>
    </row>
    <row r="8211">
      <c r="A8211" s="76" t="s">
        <v>45</v>
      </c>
      <c r="B8211" s="76" t="s">
        <v>1040</v>
      </c>
      <c r="C8211" s="84">
        <v>1.21</v>
      </c>
      <c r="D8211" s="84">
        <v>0.0</v>
      </c>
      <c r="E8211" s="84">
        <v>0.0</v>
      </c>
      <c r="F8211" s="76" t="s">
        <v>925</v>
      </c>
      <c r="G8211" s="83">
        <v>46117.0</v>
      </c>
      <c r="H8211" s="76" t="s">
        <v>937</v>
      </c>
    </row>
    <row r="8212">
      <c r="A8212" s="76" t="s">
        <v>45</v>
      </c>
      <c r="B8212" s="76" t="s">
        <v>1040</v>
      </c>
      <c r="C8212" s="84">
        <v>42.29</v>
      </c>
      <c r="D8212" s="84">
        <v>3.0</v>
      </c>
      <c r="E8212" s="84">
        <v>14.1</v>
      </c>
      <c r="F8212" s="76" t="s">
        <v>925</v>
      </c>
      <c r="G8212" s="83">
        <v>46117.0</v>
      </c>
      <c r="H8212" s="76" t="s">
        <v>938</v>
      </c>
    </row>
    <row r="8213">
      <c r="A8213" s="76" t="s">
        <v>26</v>
      </c>
      <c r="B8213" s="76" t="s">
        <v>1040</v>
      </c>
      <c r="C8213" s="84">
        <v>0.93</v>
      </c>
      <c r="D8213" s="84">
        <v>1.0</v>
      </c>
      <c r="E8213" s="84">
        <v>0.93</v>
      </c>
      <c r="F8213" s="76" t="s">
        <v>925</v>
      </c>
      <c r="G8213" s="83">
        <v>46117.0</v>
      </c>
      <c r="H8213" s="76" t="s">
        <v>1012</v>
      </c>
    </row>
    <row r="8214">
      <c r="A8214" s="76" t="s">
        <v>26</v>
      </c>
      <c r="B8214" s="76" t="s">
        <v>1040</v>
      </c>
      <c r="C8214" s="84">
        <v>7.25</v>
      </c>
      <c r="D8214" s="84">
        <v>1.0</v>
      </c>
      <c r="E8214" s="84">
        <v>7.25</v>
      </c>
      <c r="F8214" s="76" t="s">
        <v>925</v>
      </c>
      <c r="G8214" s="83">
        <v>46117.0</v>
      </c>
      <c r="H8214" s="76" t="s">
        <v>1013</v>
      </c>
    </row>
    <row r="8215">
      <c r="A8215" s="76" t="s">
        <v>26</v>
      </c>
      <c r="B8215" s="76" t="s">
        <v>1040</v>
      </c>
      <c r="C8215" s="84">
        <v>2.45</v>
      </c>
      <c r="D8215" s="84">
        <v>0.0</v>
      </c>
      <c r="E8215" s="84">
        <v>0.0</v>
      </c>
      <c r="F8215" s="76" t="s">
        <v>925</v>
      </c>
      <c r="G8215" s="83">
        <v>46117.0</v>
      </c>
      <c r="H8215" s="76" t="s">
        <v>1014</v>
      </c>
    </row>
    <row r="8216">
      <c r="A8216" s="76" t="s">
        <v>28</v>
      </c>
      <c r="B8216" s="76" t="s">
        <v>1040</v>
      </c>
      <c r="C8216" s="84">
        <v>0.82</v>
      </c>
      <c r="D8216" s="84">
        <v>0.0</v>
      </c>
      <c r="E8216" s="84">
        <v>0.0</v>
      </c>
      <c r="F8216" s="76" t="s">
        <v>925</v>
      </c>
      <c r="G8216" s="83">
        <v>46117.0</v>
      </c>
      <c r="H8216" s="76" t="s">
        <v>931</v>
      </c>
    </row>
    <row r="8217">
      <c r="A8217" s="76" t="s">
        <v>28</v>
      </c>
      <c r="B8217" s="76" t="s">
        <v>1040</v>
      </c>
      <c r="C8217" s="84">
        <v>0.49</v>
      </c>
      <c r="D8217" s="84">
        <v>0.0</v>
      </c>
      <c r="E8217" s="84">
        <v>0.0</v>
      </c>
      <c r="F8217" s="76" t="s">
        <v>925</v>
      </c>
      <c r="G8217" s="83">
        <v>46117.0</v>
      </c>
      <c r="H8217" s="76" t="s">
        <v>932</v>
      </c>
    </row>
    <row r="8218">
      <c r="A8218" s="76" t="s">
        <v>28</v>
      </c>
      <c r="B8218" s="76" t="s">
        <v>1040</v>
      </c>
      <c r="C8218" s="84">
        <v>11.83</v>
      </c>
      <c r="D8218" s="84">
        <v>6.0</v>
      </c>
      <c r="E8218" s="84">
        <v>1.97</v>
      </c>
      <c r="F8218" s="76" t="s">
        <v>925</v>
      </c>
      <c r="G8218" s="83">
        <v>46117.0</v>
      </c>
      <c r="H8218" s="76" t="s">
        <v>933</v>
      </c>
    </row>
    <row r="8219">
      <c r="A8219" s="76" t="s">
        <v>31</v>
      </c>
      <c r="B8219" s="76" t="s">
        <v>1040</v>
      </c>
      <c r="C8219" s="84">
        <v>0.44</v>
      </c>
      <c r="D8219" s="84">
        <v>0.0</v>
      </c>
      <c r="E8219" s="84">
        <v>0.0</v>
      </c>
      <c r="F8219" s="76" t="s">
        <v>948</v>
      </c>
      <c r="G8219" s="83">
        <v>46117.0</v>
      </c>
      <c r="H8219" s="76" t="s">
        <v>929</v>
      </c>
    </row>
    <row r="8220">
      <c r="A8220" s="76" t="s">
        <v>31</v>
      </c>
      <c r="B8220" s="76" t="s">
        <v>1040</v>
      </c>
      <c r="C8220" s="84">
        <v>10.96</v>
      </c>
      <c r="D8220" s="84">
        <v>1.0</v>
      </c>
      <c r="E8220" s="84">
        <v>10.96</v>
      </c>
      <c r="F8220" s="76" t="s">
        <v>948</v>
      </c>
      <c r="G8220" s="83">
        <v>46117.0</v>
      </c>
      <c r="H8220" s="76" t="s">
        <v>930</v>
      </c>
    </row>
    <row r="8221">
      <c r="A8221" s="76" t="s">
        <v>944</v>
      </c>
      <c r="B8221" s="76" t="s">
        <v>1040</v>
      </c>
      <c r="C8221" s="84">
        <v>1.41</v>
      </c>
      <c r="D8221" s="84">
        <v>1.0</v>
      </c>
      <c r="E8221" s="84">
        <v>1.41</v>
      </c>
      <c r="F8221" s="76" t="s">
        <v>948</v>
      </c>
      <c r="G8221" s="83">
        <v>46117.0</v>
      </c>
      <c r="H8221" s="76" t="s">
        <v>945</v>
      </c>
    </row>
    <row r="8222">
      <c r="A8222" s="76" t="s">
        <v>944</v>
      </c>
      <c r="B8222" s="76" t="s">
        <v>1040</v>
      </c>
      <c r="C8222" s="84">
        <v>0.23</v>
      </c>
      <c r="D8222" s="84">
        <v>1.0</v>
      </c>
      <c r="E8222" s="84">
        <v>0.23</v>
      </c>
      <c r="F8222" s="76" t="s">
        <v>948</v>
      </c>
      <c r="G8222" s="83">
        <v>46117.0</v>
      </c>
      <c r="H8222" s="76" t="s">
        <v>946</v>
      </c>
    </row>
    <row r="8223">
      <c r="A8223" s="76" t="s">
        <v>944</v>
      </c>
      <c r="B8223" s="76" t="s">
        <v>1040</v>
      </c>
      <c r="C8223" s="84">
        <v>0.35</v>
      </c>
      <c r="D8223" s="84">
        <v>0.0</v>
      </c>
      <c r="E8223" s="84">
        <v>0.0</v>
      </c>
      <c r="F8223" s="76" t="s">
        <v>948</v>
      </c>
      <c r="G8223" s="83">
        <v>46117.0</v>
      </c>
      <c r="H8223" s="76" t="s">
        <v>947</v>
      </c>
    </row>
    <row r="8224">
      <c r="A8224" s="76" t="s">
        <v>32</v>
      </c>
      <c r="B8224" s="76" t="s">
        <v>1040</v>
      </c>
      <c r="C8224" s="84">
        <v>4.09</v>
      </c>
      <c r="D8224" s="84">
        <v>0.0</v>
      </c>
      <c r="E8224" s="84">
        <v>0.0</v>
      </c>
      <c r="F8224" s="76" t="s">
        <v>948</v>
      </c>
      <c r="G8224" s="83">
        <v>46117.0</v>
      </c>
      <c r="H8224" s="76" t="s">
        <v>941</v>
      </c>
    </row>
    <row r="8225">
      <c r="A8225" s="76" t="s">
        <v>32</v>
      </c>
      <c r="B8225" s="76" t="s">
        <v>1040</v>
      </c>
      <c r="C8225" s="84">
        <v>0.59</v>
      </c>
      <c r="D8225" s="84">
        <v>0.0</v>
      </c>
      <c r="E8225" s="84">
        <v>0.0</v>
      </c>
      <c r="F8225" s="76" t="s">
        <v>948</v>
      </c>
      <c r="G8225" s="83">
        <v>46117.0</v>
      </c>
      <c r="H8225" s="76" t="s">
        <v>942</v>
      </c>
    </row>
    <row r="8226">
      <c r="A8226" s="76" t="s">
        <v>32</v>
      </c>
      <c r="B8226" s="76" t="s">
        <v>1040</v>
      </c>
      <c r="C8226" s="84">
        <v>2.6</v>
      </c>
      <c r="D8226" s="84">
        <v>0.0</v>
      </c>
      <c r="E8226" s="84">
        <v>0.0</v>
      </c>
      <c r="F8226" s="76" t="s">
        <v>948</v>
      </c>
      <c r="G8226" s="83">
        <v>46117.0</v>
      </c>
      <c r="H8226" s="76" t="s">
        <v>943</v>
      </c>
    </row>
    <row r="8227">
      <c r="A8227" s="76" t="s">
        <v>26</v>
      </c>
      <c r="B8227" s="76" t="s">
        <v>1040</v>
      </c>
      <c r="C8227" s="84">
        <v>0.37</v>
      </c>
      <c r="D8227" s="84">
        <v>0.0</v>
      </c>
      <c r="E8227" s="84">
        <v>0.0</v>
      </c>
      <c r="F8227" s="76" t="s">
        <v>948</v>
      </c>
      <c r="G8227" s="83">
        <v>46117.0</v>
      </c>
      <c r="H8227" s="76" t="s">
        <v>1012</v>
      </c>
    </row>
    <row r="8228">
      <c r="A8228" s="76" t="s">
        <v>26</v>
      </c>
      <c r="B8228" s="76" t="s">
        <v>1040</v>
      </c>
      <c r="C8228" s="84">
        <v>0.47</v>
      </c>
      <c r="D8228" s="84">
        <v>0.0</v>
      </c>
      <c r="E8228" s="84">
        <v>0.0</v>
      </c>
      <c r="F8228" s="76" t="s">
        <v>948</v>
      </c>
      <c r="G8228" s="83">
        <v>46117.0</v>
      </c>
      <c r="H8228" s="76" t="s">
        <v>1013</v>
      </c>
    </row>
    <row r="8229">
      <c r="A8229" s="76" t="s">
        <v>26</v>
      </c>
      <c r="B8229" s="76" t="s">
        <v>1040</v>
      </c>
      <c r="C8229" s="84">
        <v>1.26</v>
      </c>
      <c r="D8229" s="84">
        <v>0.0</v>
      </c>
      <c r="E8229" s="84">
        <v>0.0</v>
      </c>
      <c r="F8229" s="76" t="s">
        <v>948</v>
      </c>
      <c r="G8229" s="83">
        <v>46117.0</v>
      </c>
      <c r="H8229" s="76" t="s">
        <v>1014</v>
      </c>
    </row>
    <row r="8230">
      <c r="A8230" s="76" t="s">
        <v>36</v>
      </c>
      <c r="B8230" s="76" t="s">
        <v>1040</v>
      </c>
      <c r="C8230" s="84">
        <v>0.46</v>
      </c>
      <c r="D8230" s="84">
        <v>0.0</v>
      </c>
      <c r="E8230" s="84">
        <v>0.0</v>
      </c>
      <c r="F8230" s="76" t="s">
        <v>948</v>
      </c>
      <c r="G8230" s="83">
        <v>46117.0</v>
      </c>
      <c r="H8230" s="76" t="s">
        <v>926</v>
      </c>
    </row>
    <row r="8231">
      <c r="A8231" s="76" t="s">
        <v>36</v>
      </c>
      <c r="B8231" s="76" t="s">
        <v>1040</v>
      </c>
      <c r="C8231" s="84">
        <v>0.22</v>
      </c>
      <c r="D8231" s="84">
        <v>0.0</v>
      </c>
      <c r="E8231" s="84">
        <v>0.0</v>
      </c>
      <c r="F8231" s="76" t="s">
        <v>948</v>
      </c>
      <c r="G8231" s="83">
        <v>46117.0</v>
      </c>
      <c r="H8231" s="76" t="s">
        <v>927</v>
      </c>
    </row>
    <row r="8232">
      <c r="A8232" s="76" t="s">
        <v>36</v>
      </c>
      <c r="B8232" s="76" t="s">
        <v>1040</v>
      </c>
      <c r="C8232" s="84">
        <v>0.46</v>
      </c>
      <c r="D8232" s="84">
        <v>0.0</v>
      </c>
      <c r="E8232" s="84">
        <v>0.0</v>
      </c>
      <c r="F8232" s="76" t="s">
        <v>948</v>
      </c>
      <c r="G8232" s="83">
        <v>46117.0</v>
      </c>
      <c r="H8232" s="76" t="s">
        <v>928</v>
      </c>
    </row>
    <row r="8233">
      <c r="A8233" s="76" t="s">
        <v>28</v>
      </c>
      <c r="B8233" s="76" t="s">
        <v>1040</v>
      </c>
      <c r="C8233" s="84">
        <v>0.17</v>
      </c>
      <c r="D8233" s="84">
        <v>0.0</v>
      </c>
      <c r="E8233" s="84">
        <v>0.0</v>
      </c>
      <c r="F8233" s="76" t="s">
        <v>948</v>
      </c>
      <c r="G8233" s="83">
        <v>46117.0</v>
      </c>
      <c r="H8233" s="76" t="s">
        <v>931</v>
      </c>
    </row>
    <row r="8234">
      <c r="A8234" s="76" t="s">
        <v>28</v>
      </c>
      <c r="B8234" s="76" t="s">
        <v>1040</v>
      </c>
      <c r="C8234" s="84">
        <v>0.12</v>
      </c>
      <c r="D8234" s="84">
        <v>0.0</v>
      </c>
      <c r="E8234" s="84">
        <v>0.0</v>
      </c>
      <c r="F8234" s="76" t="s">
        <v>948</v>
      </c>
      <c r="G8234" s="83">
        <v>46117.0</v>
      </c>
      <c r="H8234" s="76" t="s">
        <v>932</v>
      </c>
    </row>
    <row r="8235">
      <c r="A8235" s="76" t="s">
        <v>28</v>
      </c>
      <c r="B8235" s="76" t="s">
        <v>1040</v>
      </c>
      <c r="C8235" s="84">
        <v>2.01</v>
      </c>
      <c r="D8235" s="84">
        <v>0.0</v>
      </c>
      <c r="E8235" s="84">
        <v>0.0</v>
      </c>
      <c r="F8235" s="76" t="s">
        <v>948</v>
      </c>
      <c r="G8235" s="83">
        <v>46117.0</v>
      </c>
      <c r="H8235" s="76" t="s">
        <v>933</v>
      </c>
    </row>
    <row r="8236">
      <c r="A8236" s="76" t="s">
        <v>45</v>
      </c>
      <c r="B8236" s="76" t="s">
        <v>1040</v>
      </c>
      <c r="C8236" s="84">
        <v>0.3</v>
      </c>
      <c r="D8236" s="84">
        <v>0.0</v>
      </c>
      <c r="E8236" s="84">
        <v>0.0</v>
      </c>
      <c r="F8236" s="76" t="s">
        <v>948</v>
      </c>
      <c r="G8236" s="83">
        <v>46117.0</v>
      </c>
      <c r="H8236" s="76" t="s">
        <v>936</v>
      </c>
    </row>
    <row r="8237">
      <c r="A8237" s="76" t="s">
        <v>45</v>
      </c>
      <c r="B8237" s="76" t="s">
        <v>1040</v>
      </c>
      <c r="C8237" s="84">
        <v>0.54</v>
      </c>
      <c r="D8237" s="84">
        <v>0.0</v>
      </c>
      <c r="E8237" s="84">
        <v>0.0</v>
      </c>
      <c r="F8237" s="76" t="s">
        <v>948</v>
      </c>
      <c r="G8237" s="83">
        <v>46117.0</v>
      </c>
      <c r="H8237" s="76" t="s">
        <v>937</v>
      </c>
    </row>
    <row r="8238">
      <c r="A8238" s="76" t="s">
        <v>45</v>
      </c>
      <c r="B8238" s="76" t="s">
        <v>1040</v>
      </c>
      <c r="C8238" s="84">
        <v>2.36</v>
      </c>
      <c r="D8238" s="84">
        <v>0.0</v>
      </c>
      <c r="E8238" s="84">
        <v>0.0</v>
      </c>
      <c r="F8238" s="76" t="s">
        <v>948</v>
      </c>
      <c r="G8238" s="83">
        <v>46117.0</v>
      </c>
      <c r="H8238" s="76" t="s">
        <v>938</v>
      </c>
    </row>
    <row r="8239">
      <c r="A8239" s="76" t="s">
        <v>42</v>
      </c>
      <c r="B8239" s="76" t="s">
        <v>1040</v>
      </c>
      <c r="C8239" s="84">
        <v>0.09</v>
      </c>
      <c r="D8239" s="84">
        <v>0.0</v>
      </c>
      <c r="E8239" s="84">
        <v>0.0</v>
      </c>
      <c r="F8239" s="76" t="s">
        <v>948</v>
      </c>
      <c r="G8239" s="83">
        <v>46117.0</v>
      </c>
      <c r="H8239" s="76" t="s">
        <v>991</v>
      </c>
    </row>
    <row r="8240">
      <c r="A8240" s="76" t="s">
        <v>42</v>
      </c>
      <c r="B8240" s="76" t="s">
        <v>1040</v>
      </c>
      <c r="C8240" s="84">
        <v>1.2</v>
      </c>
      <c r="D8240" s="84">
        <v>0.0</v>
      </c>
      <c r="E8240" s="84">
        <v>0.0</v>
      </c>
      <c r="F8240" s="76" t="s">
        <v>948</v>
      </c>
      <c r="G8240" s="83">
        <v>46117.0</v>
      </c>
      <c r="H8240" s="76" t="s">
        <v>935</v>
      </c>
    </row>
    <row r="8241">
      <c r="A8241" s="76" t="s">
        <v>40</v>
      </c>
      <c r="B8241" s="76" t="s">
        <v>1041</v>
      </c>
      <c r="C8241" s="84">
        <v>10.56</v>
      </c>
      <c r="D8241" s="84">
        <v>2.0</v>
      </c>
      <c r="E8241" s="84">
        <v>5.28</v>
      </c>
      <c r="F8241" s="76" t="s">
        <v>1005</v>
      </c>
      <c r="G8241" s="83">
        <v>46117.0</v>
      </c>
      <c r="H8241" s="76" t="s">
        <v>954</v>
      </c>
    </row>
    <row r="8242">
      <c r="A8242" s="76" t="s">
        <v>40</v>
      </c>
      <c r="B8242" s="76" t="s">
        <v>1041</v>
      </c>
      <c r="C8242" s="84">
        <v>2.23</v>
      </c>
      <c r="D8242" s="84">
        <v>0.0</v>
      </c>
      <c r="E8242" s="84">
        <v>0.0</v>
      </c>
      <c r="F8242" s="76" t="s">
        <v>1005</v>
      </c>
      <c r="G8242" s="83">
        <v>46117.0</v>
      </c>
      <c r="H8242" s="76" t="s">
        <v>955</v>
      </c>
    </row>
    <row r="8243">
      <c r="A8243" s="76" t="s">
        <v>40</v>
      </c>
      <c r="B8243" s="76" t="s">
        <v>1041</v>
      </c>
      <c r="C8243" s="84">
        <v>12.96</v>
      </c>
      <c r="D8243" s="84">
        <v>4.0</v>
      </c>
      <c r="E8243" s="84">
        <v>3.24</v>
      </c>
      <c r="F8243" s="76" t="s">
        <v>1005</v>
      </c>
      <c r="G8243" s="83">
        <v>46117.0</v>
      </c>
      <c r="H8243" s="76" t="s">
        <v>956</v>
      </c>
    </row>
    <row r="8244">
      <c r="A8244" s="76" t="s">
        <v>36</v>
      </c>
      <c r="B8244" s="76" t="s">
        <v>1041</v>
      </c>
      <c r="C8244" s="84">
        <v>6.33</v>
      </c>
      <c r="D8244" s="84">
        <v>1.0</v>
      </c>
      <c r="E8244" s="84">
        <v>6.33</v>
      </c>
      <c r="F8244" s="76" t="s">
        <v>1005</v>
      </c>
      <c r="G8244" s="83">
        <v>46117.0</v>
      </c>
      <c r="H8244" s="76" t="s">
        <v>926</v>
      </c>
    </row>
    <row r="8245">
      <c r="A8245" s="76" t="s">
        <v>36</v>
      </c>
      <c r="B8245" s="76" t="s">
        <v>1041</v>
      </c>
      <c r="C8245" s="84">
        <v>4.49</v>
      </c>
      <c r="D8245" s="84">
        <v>1.0</v>
      </c>
      <c r="E8245" s="84">
        <v>4.49</v>
      </c>
      <c r="F8245" s="76" t="s">
        <v>1005</v>
      </c>
      <c r="G8245" s="83">
        <v>46117.0</v>
      </c>
      <c r="H8245" s="76" t="s">
        <v>927</v>
      </c>
    </row>
    <row r="8246">
      <c r="A8246" s="76" t="s">
        <v>36</v>
      </c>
      <c r="B8246" s="76" t="s">
        <v>1041</v>
      </c>
      <c r="C8246" s="84">
        <v>12.85</v>
      </c>
      <c r="D8246" s="84">
        <v>2.0</v>
      </c>
      <c r="E8246" s="84">
        <v>6.42</v>
      </c>
      <c r="F8246" s="76" t="s">
        <v>1005</v>
      </c>
      <c r="G8246" s="83">
        <v>46117.0</v>
      </c>
      <c r="H8246" s="76" t="s">
        <v>928</v>
      </c>
    </row>
    <row r="8247">
      <c r="A8247" s="76" t="s">
        <v>46</v>
      </c>
      <c r="B8247" s="76" t="s">
        <v>1041</v>
      </c>
      <c r="C8247" s="84">
        <v>2.2</v>
      </c>
      <c r="D8247" s="84">
        <v>2.0</v>
      </c>
      <c r="E8247" s="84">
        <v>1.1</v>
      </c>
      <c r="F8247" s="76" t="s">
        <v>1005</v>
      </c>
      <c r="G8247" s="83">
        <v>46117.0</v>
      </c>
      <c r="H8247" s="76" t="s">
        <v>960</v>
      </c>
    </row>
    <row r="8248">
      <c r="A8248" s="76" t="s">
        <v>46</v>
      </c>
      <c r="B8248" s="76" t="s">
        <v>1041</v>
      </c>
      <c r="C8248" s="84">
        <v>7.07</v>
      </c>
      <c r="D8248" s="84">
        <v>4.0</v>
      </c>
      <c r="E8248" s="84">
        <v>1.77</v>
      </c>
      <c r="F8248" s="76" t="s">
        <v>1005</v>
      </c>
      <c r="G8248" s="83">
        <v>46117.0</v>
      </c>
      <c r="H8248" s="76" t="s">
        <v>961</v>
      </c>
    </row>
    <row r="8249">
      <c r="A8249" s="76" t="s">
        <v>46</v>
      </c>
      <c r="B8249" s="76" t="s">
        <v>1041</v>
      </c>
      <c r="C8249" s="84">
        <v>7.48</v>
      </c>
      <c r="D8249" s="84">
        <v>1.0</v>
      </c>
      <c r="E8249" s="84">
        <v>7.48</v>
      </c>
      <c r="F8249" s="76" t="s">
        <v>1005</v>
      </c>
      <c r="G8249" s="83">
        <v>46117.0</v>
      </c>
      <c r="H8249" s="76" t="s">
        <v>962</v>
      </c>
    </row>
    <row r="8250">
      <c r="A8250" s="76" t="s">
        <v>970</v>
      </c>
      <c r="B8250" s="76" t="s">
        <v>1041</v>
      </c>
      <c r="C8250" s="84">
        <v>37.24</v>
      </c>
      <c r="D8250" s="84">
        <v>7.0</v>
      </c>
      <c r="E8250" s="84">
        <v>5.32</v>
      </c>
      <c r="F8250" s="76" t="s">
        <v>1005</v>
      </c>
      <c r="G8250" s="83">
        <v>46117.0</v>
      </c>
      <c r="H8250" s="76" t="s">
        <v>971</v>
      </c>
    </row>
    <row r="8251">
      <c r="A8251" s="76" t="s">
        <v>970</v>
      </c>
      <c r="B8251" s="76" t="s">
        <v>1041</v>
      </c>
      <c r="C8251" s="84">
        <v>5.73</v>
      </c>
      <c r="D8251" s="84">
        <v>0.0</v>
      </c>
      <c r="E8251" s="84">
        <v>0.0</v>
      </c>
      <c r="F8251" s="76" t="s">
        <v>1005</v>
      </c>
      <c r="G8251" s="83">
        <v>46117.0</v>
      </c>
      <c r="H8251" s="76" t="s">
        <v>972</v>
      </c>
    </row>
    <row r="8252">
      <c r="A8252" s="76" t="s">
        <v>970</v>
      </c>
      <c r="B8252" s="76" t="s">
        <v>1041</v>
      </c>
      <c r="C8252" s="84">
        <v>36.76</v>
      </c>
      <c r="D8252" s="84">
        <v>7.0</v>
      </c>
      <c r="E8252" s="84">
        <v>5.25</v>
      </c>
      <c r="F8252" s="76" t="s">
        <v>1005</v>
      </c>
      <c r="G8252" s="83">
        <v>46117.0</v>
      </c>
      <c r="H8252" s="76" t="s">
        <v>973</v>
      </c>
    </row>
    <row r="8253">
      <c r="A8253" s="76" t="s">
        <v>29</v>
      </c>
      <c r="B8253" s="76" t="s">
        <v>1041</v>
      </c>
      <c r="C8253" s="84">
        <v>27.16</v>
      </c>
      <c r="D8253" s="84">
        <v>5.0</v>
      </c>
      <c r="E8253" s="84">
        <v>5.43</v>
      </c>
      <c r="F8253" s="76" t="s">
        <v>1005</v>
      </c>
      <c r="G8253" s="83">
        <v>46117.0</v>
      </c>
      <c r="H8253" s="76" t="s">
        <v>1015</v>
      </c>
    </row>
    <row r="8254">
      <c r="A8254" s="76" t="s">
        <v>29</v>
      </c>
      <c r="B8254" s="76" t="s">
        <v>1041</v>
      </c>
      <c r="C8254" s="84">
        <v>24.19</v>
      </c>
      <c r="D8254" s="84">
        <v>1.0</v>
      </c>
      <c r="E8254" s="84">
        <v>24.19</v>
      </c>
      <c r="F8254" s="76" t="s">
        <v>1005</v>
      </c>
      <c r="G8254" s="83">
        <v>46117.0</v>
      </c>
      <c r="H8254" s="76" t="s">
        <v>1016</v>
      </c>
    </row>
    <row r="8255">
      <c r="A8255" s="76" t="s">
        <v>29</v>
      </c>
      <c r="B8255" s="76" t="s">
        <v>1041</v>
      </c>
      <c r="C8255" s="84">
        <v>16.07</v>
      </c>
      <c r="D8255" s="84">
        <v>6.0</v>
      </c>
      <c r="E8255" s="84">
        <v>2.68</v>
      </c>
      <c r="F8255" s="76" t="s">
        <v>1005</v>
      </c>
      <c r="G8255" s="83">
        <v>46117.0</v>
      </c>
      <c r="H8255" s="76" t="s">
        <v>1017</v>
      </c>
    </row>
    <row r="8256">
      <c r="A8256" s="76" t="s">
        <v>34</v>
      </c>
      <c r="B8256" s="76" t="s">
        <v>1041</v>
      </c>
      <c r="C8256" s="84">
        <v>8.8</v>
      </c>
      <c r="D8256" s="84">
        <v>3.0</v>
      </c>
      <c r="E8256" s="84">
        <v>2.93</v>
      </c>
      <c r="F8256" s="76" t="s">
        <v>1005</v>
      </c>
      <c r="G8256" s="83">
        <v>46117.0</v>
      </c>
      <c r="H8256" s="76" t="s">
        <v>951</v>
      </c>
    </row>
    <row r="8257">
      <c r="A8257" s="76" t="s">
        <v>34</v>
      </c>
      <c r="B8257" s="76" t="s">
        <v>1041</v>
      </c>
      <c r="C8257" s="84">
        <v>13.37</v>
      </c>
      <c r="D8257" s="84">
        <v>2.0</v>
      </c>
      <c r="E8257" s="84">
        <v>6.69</v>
      </c>
      <c r="F8257" s="76" t="s">
        <v>1005</v>
      </c>
      <c r="G8257" s="83">
        <v>46117.0</v>
      </c>
      <c r="H8257" s="76" t="s">
        <v>952</v>
      </c>
    </row>
    <row r="8258">
      <c r="A8258" s="76" t="s">
        <v>34</v>
      </c>
      <c r="B8258" s="76" t="s">
        <v>1041</v>
      </c>
      <c r="C8258" s="84">
        <v>2.39</v>
      </c>
      <c r="D8258" s="84">
        <v>0.0</v>
      </c>
      <c r="E8258" s="84">
        <v>0.0</v>
      </c>
      <c r="F8258" s="76" t="s">
        <v>1005</v>
      </c>
      <c r="G8258" s="83">
        <v>46117.0</v>
      </c>
      <c r="H8258" s="76" t="s">
        <v>953</v>
      </c>
    </row>
    <row r="8259">
      <c r="A8259" s="76" t="s">
        <v>33</v>
      </c>
      <c r="B8259" s="76" t="s">
        <v>1041</v>
      </c>
      <c r="C8259" s="84">
        <v>95.59</v>
      </c>
      <c r="D8259" s="84">
        <v>18.0</v>
      </c>
      <c r="E8259" s="84">
        <v>5.31</v>
      </c>
      <c r="F8259" s="76" t="s">
        <v>1005</v>
      </c>
      <c r="G8259" s="83">
        <v>46117.0</v>
      </c>
      <c r="H8259" s="76" t="s">
        <v>957</v>
      </c>
    </row>
    <row r="8260">
      <c r="A8260" s="76" t="s">
        <v>33</v>
      </c>
      <c r="B8260" s="76" t="s">
        <v>1041</v>
      </c>
      <c r="C8260" s="84">
        <v>36.26</v>
      </c>
      <c r="D8260" s="84">
        <v>7.0</v>
      </c>
      <c r="E8260" s="84">
        <v>5.18</v>
      </c>
      <c r="F8260" s="76" t="s">
        <v>1005</v>
      </c>
      <c r="G8260" s="83">
        <v>46117.0</v>
      </c>
      <c r="H8260" s="76" t="s">
        <v>958</v>
      </c>
    </row>
    <row r="8261">
      <c r="A8261" s="76" t="s">
        <v>33</v>
      </c>
      <c r="B8261" s="76" t="s">
        <v>1041</v>
      </c>
      <c r="C8261" s="84">
        <v>90.81</v>
      </c>
      <c r="D8261" s="84">
        <v>16.0</v>
      </c>
      <c r="E8261" s="84">
        <v>5.68</v>
      </c>
      <c r="F8261" s="76" t="s">
        <v>1005</v>
      </c>
      <c r="G8261" s="83">
        <v>46117.0</v>
      </c>
      <c r="H8261" s="76" t="s">
        <v>959</v>
      </c>
    </row>
    <row r="8262">
      <c r="A8262" s="76" t="s">
        <v>43</v>
      </c>
      <c r="B8262" s="76" t="s">
        <v>1041</v>
      </c>
      <c r="C8262" s="84">
        <v>8.54</v>
      </c>
      <c r="D8262" s="84">
        <v>1.0</v>
      </c>
      <c r="E8262" s="84">
        <v>8.54</v>
      </c>
      <c r="F8262" s="76" t="s">
        <v>1005</v>
      </c>
      <c r="G8262" s="83">
        <v>46117.0</v>
      </c>
      <c r="H8262" s="76" t="s">
        <v>963</v>
      </c>
    </row>
    <row r="8263">
      <c r="A8263" s="76" t="s">
        <v>43</v>
      </c>
      <c r="B8263" s="76" t="s">
        <v>1041</v>
      </c>
      <c r="C8263" s="84">
        <v>12.82</v>
      </c>
      <c r="D8263" s="84">
        <v>1.0</v>
      </c>
      <c r="E8263" s="84">
        <v>12.82</v>
      </c>
      <c r="F8263" s="76" t="s">
        <v>1005</v>
      </c>
      <c r="G8263" s="83">
        <v>46117.0</v>
      </c>
      <c r="H8263" s="76" t="s">
        <v>964</v>
      </c>
    </row>
    <row r="8264">
      <c r="A8264" s="76" t="s">
        <v>43</v>
      </c>
      <c r="B8264" s="76" t="s">
        <v>1041</v>
      </c>
      <c r="C8264" s="84">
        <v>10.69</v>
      </c>
      <c r="D8264" s="84">
        <v>1.0</v>
      </c>
      <c r="E8264" s="84">
        <v>10.69</v>
      </c>
      <c r="F8264" s="76" t="s">
        <v>1005</v>
      </c>
      <c r="G8264" s="83">
        <v>46117.0</v>
      </c>
      <c r="H8264" s="76" t="s">
        <v>965</v>
      </c>
    </row>
    <row r="8265">
      <c r="A8265" s="76" t="s">
        <v>966</v>
      </c>
      <c r="B8265" s="76" t="s">
        <v>1041</v>
      </c>
      <c r="C8265" s="84">
        <v>7.39</v>
      </c>
      <c r="D8265" s="84">
        <v>1.0</v>
      </c>
      <c r="E8265" s="84">
        <v>7.39</v>
      </c>
      <c r="F8265" s="76" t="s">
        <v>1005</v>
      </c>
      <c r="G8265" s="83">
        <v>46117.0</v>
      </c>
      <c r="H8265" s="76" t="s">
        <v>967</v>
      </c>
    </row>
    <row r="8266">
      <c r="A8266" s="76" t="s">
        <v>966</v>
      </c>
      <c r="B8266" s="76" t="s">
        <v>1041</v>
      </c>
      <c r="C8266" s="84">
        <v>3.65</v>
      </c>
      <c r="D8266" s="84">
        <v>1.0</v>
      </c>
      <c r="E8266" s="84">
        <v>3.65</v>
      </c>
      <c r="F8266" s="76" t="s">
        <v>1005</v>
      </c>
      <c r="G8266" s="83">
        <v>46117.0</v>
      </c>
      <c r="H8266" s="76" t="s">
        <v>968</v>
      </c>
    </row>
    <row r="8267">
      <c r="A8267" s="76" t="s">
        <v>966</v>
      </c>
      <c r="B8267" s="76" t="s">
        <v>1041</v>
      </c>
      <c r="C8267" s="84">
        <v>8.94</v>
      </c>
      <c r="D8267" s="84">
        <v>1.0</v>
      </c>
      <c r="E8267" s="84">
        <v>8.94</v>
      </c>
      <c r="F8267" s="76" t="s">
        <v>1005</v>
      </c>
      <c r="G8267" s="83">
        <v>46117.0</v>
      </c>
      <c r="H8267" s="76" t="s">
        <v>969</v>
      </c>
    </row>
    <row r="8268">
      <c r="A8268" s="76" t="s">
        <v>970</v>
      </c>
      <c r="B8268" s="76" t="s">
        <v>1041</v>
      </c>
      <c r="C8268" s="84">
        <v>4.45</v>
      </c>
      <c r="D8268" s="84">
        <v>0.0</v>
      </c>
      <c r="E8268" s="84">
        <v>0.0</v>
      </c>
      <c r="F8268" s="76" t="s">
        <v>990</v>
      </c>
      <c r="G8268" s="83">
        <v>46117.0</v>
      </c>
      <c r="H8268" s="76" t="s">
        <v>971</v>
      </c>
    </row>
    <row r="8269">
      <c r="A8269" s="76" t="s">
        <v>970</v>
      </c>
      <c r="B8269" s="76" t="s">
        <v>1041</v>
      </c>
      <c r="C8269" s="84">
        <v>0.4</v>
      </c>
      <c r="D8269" s="84">
        <v>0.0</v>
      </c>
      <c r="E8269" s="84">
        <v>0.0</v>
      </c>
      <c r="F8269" s="76" t="s">
        <v>990</v>
      </c>
      <c r="G8269" s="83">
        <v>46117.0</v>
      </c>
      <c r="H8269" s="76" t="s">
        <v>972</v>
      </c>
    </row>
    <row r="8270">
      <c r="A8270" s="76" t="s">
        <v>970</v>
      </c>
      <c r="B8270" s="76" t="s">
        <v>1041</v>
      </c>
      <c r="C8270" s="84">
        <v>4.67</v>
      </c>
      <c r="D8270" s="84">
        <v>0.0</v>
      </c>
      <c r="E8270" s="84">
        <v>0.0</v>
      </c>
      <c r="F8270" s="76" t="s">
        <v>990</v>
      </c>
      <c r="G8270" s="83">
        <v>46117.0</v>
      </c>
      <c r="H8270" s="76" t="s">
        <v>973</v>
      </c>
    </row>
    <row r="8271">
      <c r="A8271" s="76" t="s">
        <v>29</v>
      </c>
      <c r="B8271" s="76" t="s">
        <v>1041</v>
      </c>
      <c r="C8271" s="84">
        <v>3.83</v>
      </c>
      <c r="D8271" s="84">
        <v>1.0</v>
      </c>
      <c r="E8271" s="84">
        <v>3.83</v>
      </c>
      <c r="F8271" s="76" t="s">
        <v>990</v>
      </c>
      <c r="G8271" s="83">
        <v>46117.0</v>
      </c>
      <c r="H8271" s="76" t="s">
        <v>971</v>
      </c>
    </row>
    <row r="8272">
      <c r="A8272" s="76" t="s">
        <v>29</v>
      </c>
      <c r="B8272" s="76" t="s">
        <v>1041</v>
      </c>
      <c r="C8272" s="84">
        <v>0.37</v>
      </c>
      <c r="D8272" s="84">
        <v>0.0</v>
      </c>
      <c r="E8272" s="84">
        <v>0.0</v>
      </c>
      <c r="F8272" s="76" t="s">
        <v>990</v>
      </c>
      <c r="G8272" s="83">
        <v>46117.0</v>
      </c>
      <c r="H8272" s="76" t="s">
        <v>972</v>
      </c>
    </row>
    <row r="8273">
      <c r="A8273" s="76" t="s">
        <v>29</v>
      </c>
      <c r="B8273" s="76" t="s">
        <v>1041</v>
      </c>
      <c r="C8273" s="84">
        <v>4.14</v>
      </c>
      <c r="D8273" s="84">
        <v>0.0</v>
      </c>
      <c r="E8273" s="84">
        <v>0.0</v>
      </c>
      <c r="F8273" s="76" t="s">
        <v>990</v>
      </c>
      <c r="G8273" s="83">
        <v>46117.0</v>
      </c>
      <c r="H8273" s="76" t="s">
        <v>973</v>
      </c>
    </row>
    <row r="8274">
      <c r="A8274" s="76" t="s">
        <v>46</v>
      </c>
      <c r="B8274" s="76" t="s">
        <v>1041</v>
      </c>
      <c r="C8274" s="84">
        <v>0.43</v>
      </c>
      <c r="D8274" s="84">
        <v>0.0</v>
      </c>
      <c r="E8274" s="84">
        <v>0.0</v>
      </c>
      <c r="F8274" s="76" t="s">
        <v>990</v>
      </c>
      <c r="G8274" s="83">
        <v>46117.0</v>
      </c>
      <c r="H8274" s="76" t="s">
        <v>960</v>
      </c>
    </row>
    <row r="8275">
      <c r="A8275" s="76" t="s">
        <v>46</v>
      </c>
      <c r="B8275" s="76" t="s">
        <v>1041</v>
      </c>
      <c r="C8275" s="84">
        <v>0.61</v>
      </c>
      <c r="D8275" s="84">
        <v>0.0</v>
      </c>
      <c r="E8275" s="84">
        <v>0.0</v>
      </c>
      <c r="F8275" s="76" t="s">
        <v>990</v>
      </c>
      <c r="G8275" s="83">
        <v>46117.0</v>
      </c>
      <c r="H8275" s="76" t="s">
        <v>961</v>
      </c>
    </row>
    <row r="8276">
      <c r="A8276" s="76" t="s">
        <v>46</v>
      </c>
      <c r="B8276" s="76" t="s">
        <v>1041</v>
      </c>
      <c r="C8276" s="84">
        <v>0.44</v>
      </c>
      <c r="D8276" s="84">
        <v>0.0</v>
      </c>
      <c r="E8276" s="84">
        <v>0.0</v>
      </c>
      <c r="F8276" s="76" t="s">
        <v>990</v>
      </c>
      <c r="G8276" s="83">
        <v>46117.0</v>
      </c>
      <c r="H8276" s="76" t="s">
        <v>962</v>
      </c>
    </row>
    <row r="8277">
      <c r="A8277" s="76" t="s">
        <v>36</v>
      </c>
      <c r="B8277" s="76" t="s">
        <v>1041</v>
      </c>
      <c r="C8277" s="84">
        <v>0.72</v>
      </c>
      <c r="D8277" s="84">
        <v>0.0</v>
      </c>
      <c r="E8277" s="84">
        <v>0.0</v>
      </c>
      <c r="F8277" s="76" t="s">
        <v>990</v>
      </c>
      <c r="G8277" s="83">
        <v>46117.0</v>
      </c>
      <c r="H8277" s="76" t="s">
        <v>926</v>
      </c>
    </row>
    <row r="8278">
      <c r="A8278" s="76" t="s">
        <v>36</v>
      </c>
      <c r="B8278" s="76" t="s">
        <v>1041</v>
      </c>
      <c r="C8278" s="84">
        <v>0.38</v>
      </c>
      <c r="D8278" s="84">
        <v>0.0</v>
      </c>
      <c r="E8278" s="84">
        <v>0.0</v>
      </c>
      <c r="F8278" s="76" t="s">
        <v>990</v>
      </c>
      <c r="G8278" s="83">
        <v>46117.0</v>
      </c>
      <c r="H8278" s="76" t="s">
        <v>927</v>
      </c>
    </row>
    <row r="8279">
      <c r="A8279" s="76" t="s">
        <v>36</v>
      </c>
      <c r="B8279" s="76" t="s">
        <v>1041</v>
      </c>
      <c r="C8279" s="84">
        <v>0.37</v>
      </c>
      <c r="D8279" s="84">
        <v>0.0</v>
      </c>
      <c r="E8279" s="84">
        <v>0.0</v>
      </c>
      <c r="F8279" s="76" t="s">
        <v>990</v>
      </c>
      <c r="G8279" s="83">
        <v>46117.0</v>
      </c>
      <c r="H8279" s="76" t="s">
        <v>928</v>
      </c>
    </row>
    <row r="8280">
      <c r="A8280" s="76" t="s">
        <v>34</v>
      </c>
      <c r="B8280" s="76" t="s">
        <v>1041</v>
      </c>
      <c r="C8280" s="84">
        <v>0.53</v>
      </c>
      <c r="D8280" s="84">
        <v>0.0</v>
      </c>
      <c r="E8280" s="84">
        <v>0.0</v>
      </c>
      <c r="F8280" s="76" t="s">
        <v>990</v>
      </c>
      <c r="G8280" s="83">
        <v>46117.0</v>
      </c>
      <c r="H8280" s="76" t="s">
        <v>951</v>
      </c>
    </row>
    <row r="8281">
      <c r="A8281" s="76" t="s">
        <v>34</v>
      </c>
      <c r="B8281" s="76" t="s">
        <v>1041</v>
      </c>
      <c r="C8281" s="84">
        <v>0.78</v>
      </c>
      <c r="D8281" s="84">
        <v>0.0</v>
      </c>
      <c r="E8281" s="84">
        <v>0.0</v>
      </c>
      <c r="F8281" s="76" t="s">
        <v>990</v>
      </c>
      <c r="G8281" s="83">
        <v>46117.0</v>
      </c>
      <c r="H8281" s="76" t="s">
        <v>952</v>
      </c>
    </row>
    <row r="8282">
      <c r="A8282" s="76" t="s">
        <v>34</v>
      </c>
      <c r="B8282" s="76" t="s">
        <v>1041</v>
      </c>
      <c r="C8282" s="84">
        <v>0.39</v>
      </c>
      <c r="D8282" s="84">
        <v>0.0</v>
      </c>
      <c r="E8282" s="84">
        <v>0.0</v>
      </c>
      <c r="F8282" s="76" t="s">
        <v>990</v>
      </c>
      <c r="G8282" s="83">
        <v>46117.0</v>
      </c>
      <c r="H8282" s="76" t="s">
        <v>953</v>
      </c>
    </row>
    <row r="8283">
      <c r="A8283" s="76" t="s">
        <v>33</v>
      </c>
      <c r="B8283" s="76" t="s">
        <v>1041</v>
      </c>
      <c r="C8283" s="84">
        <v>7.73</v>
      </c>
      <c r="D8283" s="84">
        <v>1.0</v>
      </c>
      <c r="E8283" s="84">
        <v>7.73</v>
      </c>
      <c r="F8283" s="76" t="s">
        <v>990</v>
      </c>
      <c r="G8283" s="83">
        <v>46117.0</v>
      </c>
      <c r="H8283" s="76" t="s">
        <v>957</v>
      </c>
    </row>
    <row r="8284">
      <c r="A8284" s="76" t="s">
        <v>33</v>
      </c>
      <c r="B8284" s="76" t="s">
        <v>1041</v>
      </c>
      <c r="C8284" s="84">
        <v>2.71</v>
      </c>
      <c r="D8284" s="84">
        <v>0.0</v>
      </c>
      <c r="E8284" s="84">
        <v>0.0</v>
      </c>
      <c r="F8284" s="76" t="s">
        <v>990</v>
      </c>
      <c r="G8284" s="83">
        <v>46117.0</v>
      </c>
      <c r="H8284" s="76" t="s">
        <v>958</v>
      </c>
    </row>
    <row r="8285">
      <c r="A8285" s="76" t="s">
        <v>33</v>
      </c>
      <c r="B8285" s="76" t="s">
        <v>1041</v>
      </c>
      <c r="C8285" s="84">
        <v>1.97</v>
      </c>
      <c r="D8285" s="84">
        <v>0.0</v>
      </c>
      <c r="E8285" s="84">
        <v>0.0</v>
      </c>
      <c r="F8285" s="76" t="s">
        <v>990</v>
      </c>
      <c r="G8285" s="83">
        <v>46117.0</v>
      </c>
      <c r="H8285" s="76" t="s">
        <v>959</v>
      </c>
    </row>
    <row r="8286">
      <c r="A8286" s="76" t="s">
        <v>40</v>
      </c>
      <c r="B8286" s="76" t="s">
        <v>1041</v>
      </c>
      <c r="C8286" s="84">
        <v>0.47</v>
      </c>
      <c r="D8286" s="84">
        <v>0.0</v>
      </c>
      <c r="E8286" s="84">
        <v>0.0</v>
      </c>
      <c r="F8286" s="76" t="s">
        <v>990</v>
      </c>
      <c r="G8286" s="83">
        <v>46117.0</v>
      </c>
      <c r="H8286" s="76" t="s">
        <v>954</v>
      </c>
    </row>
    <row r="8287">
      <c r="A8287" s="76" t="s">
        <v>40</v>
      </c>
      <c r="B8287" s="76" t="s">
        <v>1041</v>
      </c>
      <c r="C8287" s="84">
        <v>0.06</v>
      </c>
      <c r="D8287" s="84">
        <v>0.0</v>
      </c>
      <c r="E8287" s="84">
        <v>0.0</v>
      </c>
      <c r="F8287" s="76" t="s">
        <v>990</v>
      </c>
      <c r="G8287" s="83">
        <v>46117.0</v>
      </c>
      <c r="H8287" s="76" t="s">
        <v>955</v>
      </c>
    </row>
    <row r="8288">
      <c r="A8288" s="76" t="s">
        <v>40</v>
      </c>
      <c r="B8288" s="76" t="s">
        <v>1041</v>
      </c>
      <c r="C8288" s="84">
        <v>2.14</v>
      </c>
      <c r="D8288" s="84">
        <v>0.0</v>
      </c>
      <c r="E8288" s="84">
        <v>0.0</v>
      </c>
      <c r="F8288" s="76" t="s">
        <v>990</v>
      </c>
      <c r="G8288" s="83">
        <v>46117.0</v>
      </c>
      <c r="H8288" s="76" t="s">
        <v>956</v>
      </c>
    </row>
    <row r="8289">
      <c r="A8289" s="76" t="s">
        <v>43</v>
      </c>
      <c r="B8289" s="76" t="s">
        <v>1041</v>
      </c>
      <c r="C8289" s="84">
        <v>0.61</v>
      </c>
      <c r="D8289" s="84">
        <v>0.0</v>
      </c>
      <c r="E8289" s="84">
        <v>0.0</v>
      </c>
      <c r="F8289" s="76" t="s">
        <v>990</v>
      </c>
      <c r="G8289" s="83">
        <v>46117.0</v>
      </c>
      <c r="H8289" s="76" t="s">
        <v>963</v>
      </c>
    </row>
    <row r="8290">
      <c r="A8290" s="76" t="s">
        <v>43</v>
      </c>
      <c r="B8290" s="76" t="s">
        <v>1041</v>
      </c>
      <c r="C8290" s="84">
        <v>0.99</v>
      </c>
      <c r="D8290" s="84">
        <v>0.0</v>
      </c>
      <c r="E8290" s="84">
        <v>0.0</v>
      </c>
      <c r="F8290" s="76" t="s">
        <v>990</v>
      </c>
      <c r="G8290" s="83">
        <v>46117.0</v>
      </c>
      <c r="H8290" s="76" t="s">
        <v>964</v>
      </c>
    </row>
    <row r="8291">
      <c r="A8291" s="76" t="s">
        <v>43</v>
      </c>
      <c r="B8291" s="76" t="s">
        <v>1041</v>
      </c>
      <c r="C8291" s="84">
        <v>1.52</v>
      </c>
      <c r="D8291" s="84">
        <v>0.0</v>
      </c>
      <c r="E8291" s="84">
        <v>0.0</v>
      </c>
      <c r="F8291" s="76" t="s">
        <v>990</v>
      </c>
      <c r="G8291" s="83">
        <v>46117.0</v>
      </c>
      <c r="H8291" s="76" t="s">
        <v>965</v>
      </c>
    </row>
    <row r="8292">
      <c r="A8292" s="76" t="s">
        <v>966</v>
      </c>
      <c r="B8292" s="76" t="s">
        <v>1041</v>
      </c>
      <c r="C8292" s="84">
        <v>0.6</v>
      </c>
      <c r="D8292" s="84">
        <v>0.0</v>
      </c>
      <c r="E8292" s="84">
        <v>0.0</v>
      </c>
      <c r="F8292" s="76" t="s">
        <v>990</v>
      </c>
      <c r="G8292" s="83">
        <v>46117.0</v>
      </c>
      <c r="H8292" s="76" t="s">
        <v>967</v>
      </c>
    </row>
    <row r="8293">
      <c r="A8293" s="76" t="s">
        <v>966</v>
      </c>
      <c r="B8293" s="76" t="s">
        <v>1041</v>
      </c>
      <c r="C8293" s="84">
        <v>0.2</v>
      </c>
      <c r="D8293" s="84">
        <v>0.0</v>
      </c>
      <c r="E8293" s="84">
        <v>0.0</v>
      </c>
      <c r="F8293" s="76" t="s">
        <v>990</v>
      </c>
      <c r="G8293" s="83">
        <v>46117.0</v>
      </c>
      <c r="H8293" s="76" t="s">
        <v>968</v>
      </c>
    </row>
    <row r="8294">
      <c r="A8294" s="76" t="s">
        <v>966</v>
      </c>
      <c r="B8294" s="76" t="s">
        <v>1041</v>
      </c>
      <c r="C8294" s="84">
        <v>0.47</v>
      </c>
      <c r="D8294" s="84">
        <v>0.0</v>
      </c>
      <c r="E8294" s="84">
        <v>0.0</v>
      </c>
      <c r="F8294" s="76" t="s">
        <v>990</v>
      </c>
      <c r="G8294" s="83">
        <v>46117.0</v>
      </c>
      <c r="H8294" s="76" t="s">
        <v>969</v>
      </c>
    </row>
    <row r="8295">
      <c r="A8295" s="76" t="s">
        <v>970</v>
      </c>
      <c r="B8295" s="76" t="s">
        <v>1041</v>
      </c>
      <c r="C8295" s="84">
        <v>1.2</v>
      </c>
      <c r="D8295" s="84">
        <v>0.0</v>
      </c>
      <c r="E8295" s="84">
        <v>0.0</v>
      </c>
      <c r="F8295" s="76" t="s">
        <v>996</v>
      </c>
      <c r="G8295" s="83">
        <v>46117.0</v>
      </c>
      <c r="H8295" s="76" t="s">
        <v>971</v>
      </c>
    </row>
    <row r="8296">
      <c r="A8296" s="76" t="s">
        <v>970</v>
      </c>
      <c r="B8296" s="76" t="s">
        <v>1041</v>
      </c>
      <c r="C8296" s="84">
        <v>0.21</v>
      </c>
      <c r="D8296" s="84">
        <v>0.0</v>
      </c>
      <c r="E8296" s="84">
        <v>0.0</v>
      </c>
      <c r="F8296" s="76" t="s">
        <v>996</v>
      </c>
      <c r="G8296" s="83">
        <v>46117.0</v>
      </c>
      <c r="H8296" s="76" t="s">
        <v>972</v>
      </c>
    </row>
    <row r="8297">
      <c r="A8297" s="76" t="s">
        <v>970</v>
      </c>
      <c r="B8297" s="76" t="s">
        <v>1041</v>
      </c>
      <c r="C8297" s="84">
        <v>2.92</v>
      </c>
      <c r="D8297" s="84">
        <v>0.0</v>
      </c>
      <c r="E8297" s="84">
        <v>0.0</v>
      </c>
      <c r="F8297" s="76" t="s">
        <v>996</v>
      </c>
      <c r="G8297" s="83">
        <v>46117.0</v>
      </c>
      <c r="H8297" s="76" t="s">
        <v>973</v>
      </c>
    </row>
    <row r="8298">
      <c r="A8298" s="76" t="s">
        <v>29</v>
      </c>
      <c r="B8298" s="76" t="s">
        <v>1041</v>
      </c>
      <c r="C8298" s="84">
        <v>2.49</v>
      </c>
      <c r="D8298" s="84">
        <v>0.0</v>
      </c>
      <c r="E8298" s="84">
        <v>0.0</v>
      </c>
      <c r="F8298" s="76" t="s">
        <v>996</v>
      </c>
      <c r="G8298" s="83">
        <v>46117.0</v>
      </c>
      <c r="H8298" s="76" t="s">
        <v>971</v>
      </c>
    </row>
    <row r="8299">
      <c r="A8299" s="76" t="s">
        <v>29</v>
      </c>
      <c r="B8299" s="76" t="s">
        <v>1041</v>
      </c>
      <c r="C8299" s="84">
        <v>0.28</v>
      </c>
      <c r="D8299" s="84">
        <v>0.0</v>
      </c>
      <c r="E8299" s="84">
        <v>0.0</v>
      </c>
      <c r="F8299" s="76" t="s">
        <v>996</v>
      </c>
      <c r="G8299" s="83">
        <v>46117.0</v>
      </c>
      <c r="H8299" s="76" t="s">
        <v>972</v>
      </c>
    </row>
    <row r="8300">
      <c r="A8300" s="76" t="s">
        <v>29</v>
      </c>
      <c r="B8300" s="76" t="s">
        <v>1041</v>
      </c>
      <c r="C8300" s="84">
        <v>2.94</v>
      </c>
      <c r="D8300" s="84">
        <v>0.0</v>
      </c>
      <c r="E8300" s="84">
        <v>0.0</v>
      </c>
      <c r="F8300" s="76" t="s">
        <v>996</v>
      </c>
      <c r="G8300" s="83">
        <v>46117.0</v>
      </c>
      <c r="H8300" s="76" t="s">
        <v>973</v>
      </c>
    </row>
    <row r="8301">
      <c r="A8301" s="76" t="s">
        <v>43</v>
      </c>
      <c r="B8301" s="76" t="s">
        <v>1041</v>
      </c>
      <c r="C8301" s="84">
        <v>0.35</v>
      </c>
      <c r="D8301" s="84">
        <v>0.0</v>
      </c>
      <c r="E8301" s="84">
        <v>0.0</v>
      </c>
      <c r="F8301" s="76" t="s">
        <v>996</v>
      </c>
      <c r="G8301" s="83">
        <v>46117.0</v>
      </c>
      <c r="H8301" s="76" t="s">
        <v>963</v>
      </c>
    </row>
    <row r="8302">
      <c r="A8302" s="76" t="s">
        <v>43</v>
      </c>
      <c r="B8302" s="76" t="s">
        <v>1041</v>
      </c>
      <c r="C8302" s="84">
        <v>1.14</v>
      </c>
      <c r="D8302" s="84">
        <v>1.0</v>
      </c>
      <c r="E8302" s="84">
        <v>1.14</v>
      </c>
      <c r="F8302" s="76" t="s">
        <v>996</v>
      </c>
      <c r="G8302" s="83">
        <v>46117.0</v>
      </c>
      <c r="H8302" s="76" t="s">
        <v>964</v>
      </c>
    </row>
    <row r="8303">
      <c r="A8303" s="76" t="s">
        <v>43</v>
      </c>
      <c r="B8303" s="76" t="s">
        <v>1041</v>
      </c>
      <c r="C8303" s="84">
        <v>2.24</v>
      </c>
      <c r="D8303" s="84">
        <v>0.0</v>
      </c>
      <c r="E8303" s="84">
        <v>0.0</v>
      </c>
      <c r="F8303" s="76" t="s">
        <v>996</v>
      </c>
      <c r="G8303" s="83">
        <v>46117.0</v>
      </c>
      <c r="H8303" s="76" t="s">
        <v>965</v>
      </c>
    </row>
    <row r="8304">
      <c r="A8304" s="76" t="s">
        <v>46</v>
      </c>
      <c r="B8304" s="76" t="s">
        <v>1041</v>
      </c>
      <c r="C8304" s="84">
        <v>0.2</v>
      </c>
      <c r="D8304" s="84">
        <v>0.0</v>
      </c>
      <c r="E8304" s="84">
        <v>0.0</v>
      </c>
      <c r="F8304" s="76" t="s">
        <v>996</v>
      </c>
      <c r="G8304" s="83">
        <v>46117.0</v>
      </c>
      <c r="H8304" s="76" t="s">
        <v>960</v>
      </c>
    </row>
    <row r="8305">
      <c r="A8305" s="76" t="s">
        <v>46</v>
      </c>
      <c r="B8305" s="76" t="s">
        <v>1041</v>
      </c>
      <c r="C8305" s="84">
        <v>0.3</v>
      </c>
      <c r="D8305" s="84">
        <v>0.0</v>
      </c>
      <c r="E8305" s="84">
        <v>0.0</v>
      </c>
      <c r="F8305" s="76" t="s">
        <v>996</v>
      </c>
      <c r="G8305" s="83">
        <v>46117.0</v>
      </c>
      <c r="H8305" s="76" t="s">
        <v>961</v>
      </c>
    </row>
    <row r="8306">
      <c r="A8306" s="76" t="s">
        <v>46</v>
      </c>
      <c r="B8306" s="76" t="s">
        <v>1041</v>
      </c>
      <c r="C8306" s="84">
        <v>0.68</v>
      </c>
      <c r="D8306" s="84">
        <v>0.0</v>
      </c>
      <c r="E8306" s="84">
        <v>0.0</v>
      </c>
      <c r="F8306" s="76" t="s">
        <v>996</v>
      </c>
      <c r="G8306" s="83">
        <v>46117.0</v>
      </c>
      <c r="H8306" s="76" t="s">
        <v>962</v>
      </c>
    </row>
    <row r="8307">
      <c r="A8307" s="76" t="s">
        <v>966</v>
      </c>
      <c r="B8307" s="76" t="s">
        <v>1041</v>
      </c>
      <c r="C8307" s="84">
        <v>0.85</v>
      </c>
      <c r="D8307" s="84">
        <v>0.0</v>
      </c>
      <c r="E8307" s="84">
        <v>0.0</v>
      </c>
      <c r="F8307" s="76" t="s">
        <v>996</v>
      </c>
      <c r="G8307" s="83">
        <v>46117.0</v>
      </c>
      <c r="H8307" s="76" t="s">
        <v>967</v>
      </c>
    </row>
    <row r="8308">
      <c r="A8308" s="76" t="s">
        <v>966</v>
      </c>
      <c r="B8308" s="76" t="s">
        <v>1041</v>
      </c>
      <c r="C8308" s="84">
        <v>0.22</v>
      </c>
      <c r="D8308" s="84">
        <v>0.0</v>
      </c>
      <c r="E8308" s="84">
        <v>0.0</v>
      </c>
      <c r="F8308" s="76" t="s">
        <v>996</v>
      </c>
      <c r="G8308" s="83">
        <v>46117.0</v>
      </c>
      <c r="H8308" s="76" t="s">
        <v>968</v>
      </c>
    </row>
    <row r="8309">
      <c r="A8309" s="76" t="s">
        <v>966</v>
      </c>
      <c r="B8309" s="76" t="s">
        <v>1041</v>
      </c>
      <c r="C8309" s="84">
        <v>0.45</v>
      </c>
      <c r="D8309" s="84">
        <v>0.0</v>
      </c>
      <c r="E8309" s="84">
        <v>0.0</v>
      </c>
      <c r="F8309" s="76" t="s">
        <v>996</v>
      </c>
      <c r="G8309" s="83">
        <v>46117.0</v>
      </c>
      <c r="H8309" s="76" t="s">
        <v>969</v>
      </c>
    </row>
    <row r="8310">
      <c r="A8310" s="76" t="s">
        <v>33</v>
      </c>
      <c r="B8310" s="76" t="s">
        <v>1041</v>
      </c>
      <c r="C8310" s="84">
        <v>6.69</v>
      </c>
      <c r="D8310" s="84">
        <v>1.0</v>
      </c>
      <c r="E8310" s="84">
        <v>6.69</v>
      </c>
      <c r="F8310" s="76" t="s">
        <v>996</v>
      </c>
      <c r="G8310" s="83">
        <v>46117.0</v>
      </c>
      <c r="H8310" s="76" t="s">
        <v>957</v>
      </c>
    </row>
    <row r="8311">
      <c r="A8311" s="76" t="s">
        <v>33</v>
      </c>
      <c r="B8311" s="76" t="s">
        <v>1041</v>
      </c>
      <c r="C8311" s="84">
        <v>2.13</v>
      </c>
      <c r="D8311" s="84">
        <v>1.0</v>
      </c>
      <c r="E8311" s="84">
        <v>2.13</v>
      </c>
      <c r="F8311" s="76" t="s">
        <v>996</v>
      </c>
      <c r="G8311" s="83">
        <v>46117.0</v>
      </c>
      <c r="H8311" s="76" t="s">
        <v>958</v>
      </c>
    </row>
    <row r="8312">
      <c r="A8312" s="76" t="s">
        <v>33</v>
      </c>
      <c r="B8312" s="76" t="s">
        <v>1041</v>
      </c>
      <c r="C8312" s="84">
        <v>4.67</v>
      </c>
      <c r="D8312" s="84">
        <v>0.0</v>
      </c>
      <c r="E8312" s="84">
        <v>0.0</v>
      </c>
      <c r="F8312" s="76" t="s">
        <v>996</v>
      </c>
      <c r="G8312" s="83">
        <v>46117.0</v>
      </c>
      <c r="H8312" s="76" t="s">
        <v>959</v>
      </c>
    </row>
    <row r="8313">
      <c r="A8313" s="76" t="s">
        <v>34</v>
      </c>
      <c r="B8313" s="76" t="s">
        <v>1041</v>
      </c>
      <c r="C8313" s="84">
        <v>0.7</v>
      </c>
      <c r="D8313" s="84">
        <v>1.0</v>
      </c>
      <c r="E8313" s="84">
        <v>0.7</v>
      </c>
      <c r="F8313" s="76" t="s">
        <v>996</v>
      </c>
      <c r="G8313" s="83">
        <v>46117.0</v>
      </c>
      <c r="H8313" s="76" t="s">
        <v>951</v>
      </c>
    </row>
    <row r="8314">
      <c r="A8314" s="76" t="s">
        <v>34</v>
      </c>
      <c r="B8314" s="76" t="s">
        <v>1041</v>
      </c>
      <c r="C8314" s="84">
        <v>0.84</v>
      </c>
      <c r="D8314" s="84">
        <v>0.0</v>
      </c>
      <c r="E8314" s="84">
        <v>0.0</v>
      </c>
      <c r="F8314" s="76" t="s">
        <v>996</v>
      </c>
      <c r="G8314" s="83">
        <v>46117.0</v>
      </c>
      <c r="H8314" s="76" t="s">
        <v>952</v>
      </c>
    </row>
    <row r="8315">
      <c r="A8315" s="76" t="s">
        <v>34</v>
      </c>
      <c r="B8315" s="76" t="s">
        <v>1041</v>
      </c>
      <c r="C8315" s="84">
        <v>0.4</v>
      </c>
      <c r="D8315" s="84">
        <v>0.0</v>
      </c>
      <c r="E8315" s="84">
        <v>0.0</v>
      </c>
      <c r="F8315" s="76" t="s">
        <v>996</v>
      </c>
      <c r="G8315" s="83">
        <v>46117.0</v>
      </c>
      <c r="H8315" s="76" t="s">
        <v>953</v>
      </c>
    </row>
    <row r="8316">
      <c r="A8316" s="76" t="s">
        <v>36</v>
      </c>
      <c r="B8316" s="76" t="s">
        <v>1041</v>
      </c>
      <c r="C8316" s="84">
        <v>0.78</v>
      </c>
      <c r="D8316" s="84">
        <v>0.0</v>
      </c>
      <c r="E8316" s="84">
        <v>0.0</v>
      </c>
      <c r="F8316" s="76" t="s">
        <v>996</v>
      </c>
      <c r="G8316" s="83">
        <v>46117.0</v>
      </c>
      <c r="H8316" s="76" t="s">
        <v>926</v>
      </c>
    </row>
    <row r="8317">
      <c r="A8317" s="76" t="s">
        <v>36</v>
      </c>
      <c r="B8317" s="76" t="s">
        <v>1041</v>
      </c>
      <c r="C8317" s="84">
        <v>0.25</v>
      </c>
      <c r="D8317" s="84">
        <v>0.0</v>
      </c>
      <c r="E8317" s="84">
        <v>0.0</v>
      </c>
      <c r="F8317" s="76" t="s">
        <v>996</v>
      </c>
      <c r="G8317" s="83">
        <v>46117.0</v>
      </c>
      <c r="H8317" s="76" t="s">
        <v>927</v>
      </c>
    </row>
    <row r="8318">
      <c r="A8318" s="76" t="s">
        <v>36</v>
      </c>
      <c r="B8318" s="76" t="s">
        <v>1041</v>
      </c>
      <c r="C8318" s="84">
        <v>1.17</v>
      </c>
      <c r="D8318" s="84">
        <v>0.0</v>
      </c>
      <c r="E8318" s="84">
        <v>0.0</v>
      </c>
      <c r="F8318" s="76" t="s">
        <v>996</v>
      </c>
      <c r="G8318" s="83">
        <v>46117.0</v>
      </c>
      <c r="H8318" s="76" t="s">
        <v>928</v>
      </c>
    </row>
    <row r="8319">
      <c r="A8319" s="76" t="s">
        <v>40</v>
      </c>
      <c r="B8319" s="76" t="s">
        <v>1041</v>
      </c>
      <c r="C8319" s="84">
        <v>0.62</v>
      </c>
      <c r="D8319" s="84">
        <v>0.0</v>
      </c>
      <c r="E8319" s="84">
        <v>0.0</v>
      </c>
      <c r="F8319" s="76" t="s">
        <v>996</v>
      </c>
      <c r="G8319" s="83">
        <v>46117.0</v>
      </c>
      <c r="H8319" s="76" t="s">
        <v>954</v>
      </c>
    </row>
    <row r="8320">
      <c r="A8320" s="76" t="s">
        <v>40</v>
      </c>
      <c r="B8320" s="76" t="s">
        <v>1041</v>
      </c>
      <c r="C8320" s="84">
        <v>0.05</v>
      </c>
      <c r="D8320" s="84">
        <v>0.0</v>
      </c>
      <c r="E8320" s="84">
        <v>0.0</v>
      </c>
      <c r="F8320" s="76" t="s">
        <v>996</v>
      </c>
      <c r="G8320" s="83">
        <v>46117.0</v>
      </c>
      <c r="H8320" s="76" t="s">
        <v>955</v>
      </c>
    </row>
    <row r="8321">
      <c r="A8321" s="76" t="s">
        <v>40</v>
      </c>
      <c r="B8321" s="76" t="s">
        <v>1041</v>
      </c>
      <c r="C8321" s="84">
        <v>1.99</v>
      </c>
      <c r="D8321" s="84">
        <v>1.0</v>
      </c>
      <c r="E8321" s="84">
        <v>1.99</v>
      </c>
      <c r="F8321" s="76" t="s">
        <v>996</v>
      </c>
      <c r="G8321" s="83">
        <v>46117.0</v>
      </c>
      <c r="H8321" s="76" t="s">
        <v>956</v>
      </c>
    </row>
    <row r="8322">
      <c r="A8322" s="76" t="s">
        <v>40</v>
      </c>
      <c r="B8322" s="76" t="s">
        <v>1041</v>
      </c>
      <c r="C8322" s="84">
        <v>0.04</v>
      </c>
      <c r="D8322" s="84">
        <v>0.0</v>
      </c>
      <c r="E8322" s="84">
        <v>0.0</v>
      </c>
      <c r="F8322" s="76" t="s">
        <v>993</v>
      </c>
      <c r="G8322" s="83">
        <v>46117.0</v>
      </c>
      <c r="H8322" s="76" t="s">
        <v>954</v>
      </c>
    </row>
    <row r="8323">
      <c r="A8323" s="76" t="s">
        <v>40</v>
      </c>
      <c r="B8323" s="76" t="s">
        <v>1041</v>
      </c>
      <c r="C8323" s="84">
        <v>0.01</v>
      </c>
      <c r="D8323" s="84">
        <v>0.0</v>
      </c>
      <c r="E8323" s="84">
        <v>0.0</v>
      </c>
      <c r="F8323" s="76" t="s">
        <v>993</v>
      </c>
      <c r="G8323" s="83">
        <v>46117.0</v>
      </c>
      <c r="H8323" s="76" t="s">
        <v>955</v>
      </c>
    </row>
    <row r="8324">
      <c r="A8324" s="76" t="s">
        <v>40</v>
      </c>
      <c r="B8324" s="76" t="s">
        <v>1041</v>
      </c>
      <c r="C8324" s="84">
        <v>1.56</v>
      </c>
      <c r="D8324" s="84">
        <v>1.0</v>
      </c>
      <c r="E8324" s="84">
        <v>1.56</v>
      </c>
      <c r="F8324" s="76" t="s">
        <v>993</v>
      </c>
      <c r="G8324" s="83">
        <v>46117.0</v>
      </c>
      <c r="H8324" s="76" t="s">
        <v>956</v>
      </c>
    </row>
    <row r="8325">
      <c r="A8325" s="76" t="s">
        <v>36</v>
      </c>
      <c r="B8325" s="76" t="s">
        <v>1041</v>
      </c>
      <c r="C8325" s="84">
        <v>0.39</v>
      </c>
      <c r="D8325" s="84">
        <v>0.0</v>
      </c>
      <c r="E8325" s="84">
        <v>0.0</v>
      </c>
      <c r="F8325" s="76" t="s">
        <v>993</v>
      </c>
      <c r="G8325" s="83">
        <v>46117.0</v>
      </c>
      <c r="H8325" s="76" t="s">
        <v>926</v>
      </c>
    </row>
    <row r="8326">
      <c r="A8326" s="76" t="s">
        <v>36</v>
      </c>
      <c r="B8326" s="76" t="s">
        <v>1041</v>
      </c>
      <c r="C8326" s="84">
        <v>0.03</v>
      </c>
      <c r="D8326" s="84">
        <v>0.0</v>
      </c>
      <c r="E8326" s="84">
        <v>0.0</v>
      </c>
      <c r="F8326" s="76" t="s">
        <v>993</v>
      </c>
      <c r="G8326" s="83">
        <v>46117.0</v>
      </c>
      <c r="H8326" s="76" t="s">
        <v>927</v>
      </c>
    </row>
    <row r="8327">
      <c r="A8327" s="76" t="s">
        <v>36</v>
      </c>
      <c r="B8327" s="76" t="s">
        <v>1041</v>
      </c>
      <c r="C8327" s="84">
        <v>0.05</v>
      </c>
      <c r="D8327" s="84">
        <v>0.0</v>
      </c>
      <c r="E8327" s="84">
        <v>0.0</v>
      </c>
      <c r="F8327" s="76" t="s">
        <v>993</v>
      </c>
      <c r="G8327" s="83">
        <v>46117.0</v>
      </c>
      <c r="H8327" s="76" t="s">
        <v>928</v>
      </c>
    </row>
    <row r="8328">
      <c r="A8328" s="76" t="s">
        <v>46</v>
      </c>
      <c r="B8328" s="76" t="s">
        <v>1041</v>
      </c>
      <c r="C8328" s="84">
        <v>0.2</v>
      </c>
      <c r="D8328" s="84">
        <v>0.0</v>
      </c>
      <c r="E8328" s="84">
        <v>0.0</v>
      </c>
      <c r="F8328" s="76" t="s">
        <v>993</v>
      </c>
      <c r="G8328" s="83">
        <v>46117.0</v>
      </c>
      <c r="H8328" s="76" t="s">
        <v>960</v>
      </c>
    </row>
    <row r="8329">
      <c r="A8329" s="76" t="s">
        <v>46</v>
      </c>
      <c r="B8329" s="76" t="s">
        <v>1041</v>
      </c>
      <c r="C8329" s="84">
        <v>0.13</v>
      </c>
      <c r="D8329" s="84">
        <v>0.0</v>
      </c>
      <c r="E8329" s="84">
        <v>0.0</v>
      </c>
      <c r="F8329" s="76" t="s">
        <v>993</v>
      </c>
      <c r="G8329" s="83">
        <v>46117.0</v>
      </c>
      <c r="H8329" s="76" t="s">
        <v>961</v>
      </c>
    </row>
    <row r="8330">
      <c r="A8330" s="76" t="s">
        <v>46</v>
      </c>
      <c r="B8330" s="76" t="s">
        <v>1041</v>
      </c>
      <c r="C8330" s="84">
        <v>0.06</v>
      </c>
      <c r="D8330" s="84">
        <v>0.0</v>
      </c>
      <c r="E8330" s="84">
        <v>0.0</v>
      </c>
      <c r="F8330" s="76" t="s">
        <v>993</v>
      </c>
      <c r="G8330" s="83">
        <v>46117.0</v>
      </c>
      <c r="H8330" s="76" t="s">
        <v>962</v>
      </c>
    </row>
    <row r="8331">
      <c r="A8331" s="76" t="s">
        <v>970</v>
      </c>
      <c r="B8331" s="76" t="s">
        <v>1041</v>
      </c>
      <c r="C8331" s="84">
        <v>0.36</v>
      </c>
      <c r="D8331" s="84">
        <v>0.0</v>
      </c>
      <c r="E8331" s="84">
        <v>0.0</v>
      </c>
      <c r="F8331" s="76" t="s">
        <v>993</v>
      </c>
      <c r="G8331" s="83">
        <v>46117.0</v>
      </c>
      <c r="H8331" s="76" t="s">
        <v>971</v>
      </c>
    </row>
    <row r="8332">
      <c r="A8332" s="76" t="s">
        <v>970</v>
      </c>
      <c r="B8332" s="76" t="s">
        <v>1041</v>
      </c>
      <c r="C8332" s="84">
        <v>0.03</v>
      </c>
      <c r="D8332" s="84">
        <v>0.0</v>
      </c>
      <c r="E8332" s="84">
        <v>0.0</v>
      </c>
      <c r="F8332" s="76" t="s">
        <v>993</v>
      </c>
      <c r="G8332" s="83">
        <v>46117.0</v>
      </c>
      <c r="H8332" s="76" t="s">
        <v>972</v>
      </c>
    </row>
    <row r="8333">
      <c r="A8333" s="76" t="s">
        <v>970</v>
      </c>
      <c r="B8333" s="76" t="s">
        <v>1041</v>
      </c>
      <c r="C8333" s="84">
        <v>0.99</v>
      </c>
      <c r="D8333" s="84">
        <v>0.0</v>
      </c>
      <c r="E8333" s="84">
        <v>0.0</v>
      </c>
      <c r="F8333" s="76" t="s">
        <v>993</v>
      </c>
      <c r="G8333" s="83">
        <v>46117.0</v>
      </c>
      <c r="H8333" s="76" t="s">
        <v>973</v>
      </c>
    </row>
    <row r="8334">
      <c r="A8334" s="76" t="s">
        <v>33</v>
      </c>
      <c r="B8334" s="76" t="s">
        <v>1041</v>
      </c>
      <c r="C8334" s="84">
        <v>4.5</v>
      </c>
      <c r="D8334" s="84">
        <v>0.0</v>
      </c>
      <c r="E8334" s="84">
        <v>0.0</v>
      </c>
      <c r="F8334" s="76" t="s">
        <v>993</v>
      </c>
      <c r="G8334" s="83">
        <v>46117.0</v>
      </c>
      <c r="H8334" s="76" t="s">
        <v>957</v>
      </c>
    </row>
    <row r="8335">
      <c r="A8335" s="76" t="s">
        <v>33</v>
      </c>
      <c r="B8335" s="76" t="s">
        <v>1041</v>
      </c>
      <c r="C8335" s="84">
        <v>0.31</v>
      </c>
      <c r="D8335" s="84">
        <v>0.0</v>
      </c>
      <c r="E8335" s="84">
        <v>0.0</v>
      </c>
      <c r="F8335" s="76" t="s">
        <v>993</v>
      </c>
      <c r="G8335" s="83">
        <v>46117.0</v>
      </c>
      <c r="H8335" s="76" t="s">
        <v>958</v>
      </c>
    </row>
    <row r="8336">
      <c r="A8336" s="76" t="s">
        <v>33</v>
      </c>
      <c r="B8336" s="76" t="s">
        <v>1041</v>
      </c>
      <c r="C8336" s="84">
        <v>0.59</v>
      </c>
      <c r="D8336" s="84">
        <v>0.0</v>
      </c>
      <c r="E8336" s="84">
        <v>0.0</v>
      </c>
      <c r="F8336" s="76" t="s">
        <v>993</v>
      </c>
      <c r="G8336" s="83">
        <v>46117.0</v>
      </c>
      <c r="H8336" s="76" t="s">
        <v>959</v>
      </c>
    </row>
    <row r="8337">
      <c r="A8337" s="76" t="s">
        <v>966</v>
      </c>
      <c r="B8337" s="76" t="s">
        <v>1041</v>
      </c>
      <c r="C8337" s="84">
        <v>0.42</v>
      </c>
      <c r="D8337" s="84">
        <v>0.0</v>
      </c>
      <c r="E8337" s="84">
        <v>0.0</v>
      </c>
      <c r="F8337" s="76" t="s">
        <v>993</v>
      </c>
      <c r="G8337" s="83">
        <v>46117.0</v>
      </c>
      <c r="H8337" s="76" t="s">
        <v>967</v>
      </c>
    </row>
    <row r="8338">
      <c r="A8338" s="76" t="s">
        <v>966</v>
      </c>
      <c r="B8338" s="76" t="s">
        <v>1041</v>
      </c>
      <c r="C8338" s="84">
        <v>0.08</v>
      </c>
      <c r="D8338" s="84">
        <v>0.0</v>
      </c>
      <c r="E8338" s="84">
        <v>0.0</v>
      </c>
      <c r="F8338" s="76" t="s">
        <v>993</v>
      </c>
      <c r="G8338" s="83">
        <v>46117.0</v>
      </c>
      <c r="H8338" s="76" t="s">
        <v>968</v>
      </c>
    </row>
    <row r="8339">
      <c r="A8339" s="76" t="s">
        <v>966</v>
      </c>
      <c r="B8339" s="76" t="s">
        <v>1041</v>
      </c>
      <c r="C8339" s="84">
        <v>0.05</v>
      </c>
      <c r="D8339" s="84">
        <v>0.0</v>
      </c>
      <c r="E8339" s="84">
        <v>0.0</v>
      </c>
      <c r="F8339" s="76" t="s">
        <v>993</v>
      </c>
      <c r="G8339" s="83">
        <v>46117.0</v>
      </c>
      <c r="H8339" s="76" t="s">
        <v>969</v>
      </c>
    </row>
    <row r="8340">
      <c r="A8340" s="76" t="s">
        <v>29</v>
      </c>
      <c r="B8340" s="76" t="s">
        <v>1041</v>
      </c>
      <c r="C8340" s="84">
        <v>0.33</v>
      </c>
      <c r="D8340" s="84">
        <v>0.0</v>
      </c>
      <c r="E8340" s="84">
        <v>0.0</v>
      </c>
      <c r="F8340" s="76" t="s">
        <v>993</v>
      </c>
      <c r="G8340" s="83">
        <v>46117.0</v>
      </c>
      <c r="H8340" s="76" t="s">
        <v>971</v>
      </c>
    </row>
    <row r="8341">
      <c r="A8341" s="76" t="s">
        <v>29</v>
      </c>
      <c r="B8341" s="76" t="s">
        <v>1041</v>
      </c>
      <c r="C8341" s="84">
        <v>0.04</v>
      </c>
      <c r="D8341" s="84">
        <v>0.0</v>
      </c>
      <c r="E8341" s="84">
        <v>0.0</v>
      </c>
      <c r="F8341" s="76" t="s">
        <v>993</v>
      </c>
      <c r="G8341" s="83">
        <v>46117.0</v>
      </c>
      <c r="H8341" s="76" t="s">
        <v>972</v>
      </c>
    </row>
    <row r="8342">
      <c r="A8342" s="76" t="s">
        <v>29</v>
      </c>
      <c r="B8342" s="76" t="s">
        <v>1041</v>
      </c>
      <c r="C8342" s="84">
        <v>1.29</v>
      </c>
      <c r="D8342" s="84">
        <v>0.0</v>
      </c>
      <c r="E8342" s="84">
        <v>0.0</v>
      </c>
      <c r="F8342" s="76" t="s">
        <v>993</v>
      </c>
      <c r="G8342" s="83">
        <v>46117.0</v>
      </c>
      <c r="H8342" s="76" t="s">
        <v>973</v>
      </c>
    </row>
    <row r="8343">
      <c r="A8343" s="76" t="s">
        <v>34</v>
      </c>
      <c r="B8343" s="76" t="s">
        <v>1041</v>
      </c>
      <c r="C8343" s="84">
        <v>0.12</v>
      </c>
      <c r="D8343" s="84">
        <v>0.0</v>
      </c>
      <c r="E8343" s="84">
        <v>0.0</v>
      </c>
      <c r="F8343" s="76" t="s">
        <v>993</v>
      </c>
      <c r="G8343" s="83">
        <v>46117.0</v>
      </c>
      <c r="H8343" s="76" t="s">
        <v>951</v>
      </c>
    </row>
    <row r="8344">
      <c r="A8344" s="76" t="s">
        <v>34</v>
      </c>
      <c r="B8344" s="76" t="s">
        <v>1041</v>
      </c>
      <c r="C8344" s="84">
        <v>0.3</v>
      </c>
      <c r="D8344" s="84">
        <v>0.0</v>
      </c>
      <c r="E8344" s="84">
        <v>0.0</v>
      </c>
      <c r="F8344" s="76" t="s">
        <v>993</v>
      </c>
      <c r="G8344" s="83">
        <v>46117.0</v>
      </c>
      <c r="H8344" s="76" t="s">
        <v>952</v>
      </c>
    </row>
    <row r="8345">
      <c r="A8345" s="76" t="s">
        <v>34</v>
      </c>
      <c r="B8345" s="76" t="s">
        <v>1041</v>
      </c>
      <c r="C8345" s="84">
        <v>0.15</v>
      </c>
      <c r="D8345" s="84">
        <v>0.0</v>
      </c>
      <c r="E8345" s="84">
        <v>0.0</v>
      </c>
      <c r="F8345" s="76" t="s">
        <v>993</v>
      </c>
      <c r="G8345" s="83">
        <v>46117.0</v>
      </c>
      <c r="H8345" s="76" t="s">
        <v>953</v>
      </c>
    </row>
    <row r="8346">
      <c r="A8346" s="76" t="s">
        <v>43</v>
      </c>
      <c r="B8346" s="76" t="s">
        <v>1041</v>
      </c>
      <c r="C8346" s="84">
        <v>0.17</v>
      </c>
      <c r="D8346" s="84">
        <v>0.0</v>
      </c>
      <c r="E8346" s="84">
        <v>0.0</v>
      </c>
      <c r="F8346" s="76" t="s">
        <v>993</v>
      </c>
      <c r="G8346" s="83">
        <v>46117.0</v>
      </c>
      <c r="H8346" s="76" t="s">
        <v>963</v>
      </c>
    </row>
    <row r="8347">
      <c r="A8347" s="76" t="s">
        <v>43</v>
      </c>
      <c r="B8347" s="76" t="s">
        <v>1041</v>
      </c>
      <c r="C8347" s="84">
        <v>0.31</v>
      </c>
      <c r="D8347" s="84">
        <v>0.0</v>
      </c>
      <c r="E8347" s="84">
        <v>0.0</v>
      </c>
      <c r="F8347" s="76" t="s">
        <v>993</v>
      </c>
      <c r="G8347" s="83">
        <v>46117.0</v>
      </c>
      <c r="H8347" s="76" t="s">
        <v>964</v>
      </c>
    </row>
    <row r="8348">
      <c r="A8348" s="76" t="s">
        <v>43</v>
      </c>
      <c r="B8348" s="76" t="s">
        <v>1041</v>
      </c>
      <c r="C8348" s="84">
        <v>1.73</v>
      </c>
      <c r="D8348" s="84">
        <v>0.0</v>
      </c>
      <c r="E8348" s="84">
        <v>0.0</v>
      </c>
      <c r="F8348" s="76" t="s">
        <v>993</v>
      </c>
      <c r="G8348" s="83">
        <v>46117.0</v>
      </c>
      <c r="H8348" s="76" t="s">
        <v>965</v>
      </c>
    </row>
    <row r="8349">
      <c r="A8349" s="76" t="s">
        <v>36</v>
      </c>
      <c r="B8349" s="76" t="s">
        <v>1041</v>
      </c>
      <c r="C8349" s="84">
        <v>0.27</v>
      </c>
      <c r="D8349" s="84">
        <v>0.0</v>
      </c>
      <c r="E8349" s="84">
        <v>0.0</v>
      </c>
      <c r="F8349" s="76" t="s">
        <v>998</v>
      </c>
      <c r="G8349" s="83">
        <v>46117.0</v>
      </c>
      <c r="H8349" s="76" t="s">
        <v>926</v>
      </c>
    </row>
    <row r="8350">
      <c r="A8350" s="76" t="s">
        <v>36</v>
      </c>
      <c r="B8350" s="76" t="s">
        <v>1041</v>
      </c>
      <c r="C8350" s="84">
        <v>0.05</v>
      </c>
      <c r="D8350" s="84">
        <v>0.0</v>
      </c>
      <c r="E8350" s="84">
        <v>0.0</v>
      </c>
      <c r="F8350" s="76" t="s">
        <v>998</v>
      </c>
      <c r="G8350" s="83">
        <v>46117.0</v>
      </c>
      <c r="H8350" s="76" t="s">
        <v>927</v>
      </c>
    </row>
    <row r="8351">
      <c r="A8351" s="76" t="s">
        <v>36</v>
      </c>
      <c r="B8351" s="76" t="s">
        <v>1041</v>
      </c>
      <c r="C8351" s="84">
        <v>0.08</v>
      </c>
      <c r="D8351" s="84">
        <v>0.0</v>
      </c>
      <c r="E8351" s="84">
        <v>0.0</v>
      </c>
      <c r="F8351" s="76" t="s">
        <v>998</v>
      </c>
      <c r="G8351" s="83">
        <v>46117.0</v>
      </c>
      <c r="H8351" s="76" t="s">
        <v>928</v>
      </c>
    </row>
    <row r="8352">
      <c r="A8352" s="76" t="s">
        <v>34</v>
      </c>
      <c r="B8352" s="76" t="s">
        <v>1041</v>
      </c>
      <c r="C8352" s="84">
        <v>0.07</v>
      </c>
      <c r="D8352" s="84">
        <v>0.0</v>
      </c>
      <c r="E8352" s="84">
        <v>0.0</v>
      </c>
      <c r="F8352" s="76" t="s">
        <v>998</v>
      </c>
      <c r="G8352" s="83">
        <v>46117.0</v>
      </c>
      <c r="H8352" s="76" t="s">
        <v>951</v>
      </c>
    </row>
    <row r="8353">
      <c r="A8353" s="76" t="s">
        <v>34</v>
      </c>
      <c r="B8353" s="76" t="s">
        <v>1041</v>
      </c>
      <c r="C8353" s="84">
        <v>0.2</v>
      </c>
      <c r="D8353" s="84">
        <v>0.0</v>
      </c>
      <c r="E8353" s="84">
        <v>0.0</v>
      </c>
      <c r="F8353" s="76" t="s">
        <v>998</v>
      </c>
      <c r="G8353" s="83">
        <v>46117.0</v>
      </c>
      <c r="H8353" s="76" t="s">
        <v>952</v>
      </c>
    </row>
    <row r="8354">
      <c r="A8354" s="76" t="s">
        <v>34</v>
      </c>
      <c r="B8354" s="76" t="s">
        <v>1041</v>
      </c>
      <c r="C8354" s="84">
        <v>0.16</v>
      </c>
      <c r="D8354" s="84">
        <v>0.0</v>
      </c>
      <c r="E8354" s="84">
        <v>0.0</v>
      </c>
      <c r="F8354" s="76" t="s">
        <v>998</v>
      </c>
      <c r="G8354" s="83">
        <v>46117.0</v>
      </c>
      <c r="H8354" s="76" t="s">
        <v>953</v>
      </c>
    </row>
    <row r="8355">
      <c r="A8355" s="76" t="s">
        <v>33</v>
      </c>
      <c r="B8355" s="76" t="s">
        <v>1041</v>
      </c>
      <c r="C8355" s="84">
        <v>1.36</v>
      </c>
      <c r="D8355" s="84">
        <v>0.0</v>
      </c>
      <c r="E8355" s="84">
        <v>0.0</v>
      </c>
      <c r="F8355" s="76" t="s">
        <v>998</v>
      </c>
      <c r="G8355" s="83">
        <v>46117.0</v>
      </c>
      <c r="H8355" s="76" t="s">
        <v>957</v>
      </c>
    </row>
    <row r="8356">
      <c r="A8356" s="76" t="s">
        <v>33</v>
      </c>
      <c r="B8356" s="76" t="s">
        <v>1041</v>
      </c>
      <c r="C8356" s="84">
        <v>0.6</v>
      </c>
      <c r="D8356" s="84">
        <v>0.0</v>
      </c>
      <c r="E8356" s="84">
        <v>0.0</v>
      </c>
      <c r="F8356" s="76" t="s">
        <v>998</v>
      </c>
      <c r="G8356" s="83">
        <v>46117.0</v>
      </c>
      <c r="H8356" s="76" t="s">
        <v>958</v>
      </c>
    </row>
    <row r="8357">
      <c r="A8357" s="76" t="s">
        <v>33</v>
      </c>
      <c r="B8357" s="76" t="s">
        <v>1041</v>
      </c>
      <c r="C8357" s="84">
        <v>0.68</v>
      </c>
      <c r="D8357" s="84">
        <v>0.0</v>
      </c>
      <c r="E8357" s="84">
        <v>0.0</v>
      </c>
      <c r="F8357" s="76" t="s">
        <v>998</v>
      </c>
      <c r="G8357" s="83">
        <v>46117.0</v>
      </c>
      <c r="H8357" s="76" t="s">
        <v>959</v>
      </c>
    </row>
    <row r="8358">
      <c r="A8358" s="76" t="s">
        <v>29</v>
      </c>
      <c r="B8358" s="76" t="s">
        <v>1041</v>
      </c>
      <c r="C8358" s="84">
        <v>0.89</v>
      </c>
      <c r="D8358" s="84">
        <v>0.0</v>
      </c>
      <c r="E8358" s="84">
        <v>0.0</v>
      </c>
      <c r="F8358" s="76" t="s">
        <v>998</v>
      </c>
      <c r="G8358" s="83">
        <v>46117.0</v>
      </c>
      <c r="H8358" s="76" t="s">
        <v>971</v>
      </c>
    </row>
    <row r="8359">
      <c r="A8359" s="76" t="s">
        <v>29</v>
      </c>
      <c r="B8359" s="76" t="s">
        <v>1041</v>
      </c>
      <c r="C8359" s="84">
        <v>0.16</v>
      </c>
      <c r="D8359" s="84">
        <v>0.0</v>
      </c>
      <c r="E8359" s="84">
        <v>0.0</v>
      </c>
      <c r="F8359" s="76" t="s">
        <v>998</v>
      </c>
      <c r="G8359" s="83">
        <v>46117.0</v>
      </c>
      <c r="H8359" s="76" t="s">
        <v>972</v>
      </c>
    </row>
    <row r="8360">
      <c r="A8360" s="76" t="s">
        <v>29</v>
      </c>
      <c r="B8360" s="76" t="s">
        <v>1041</v>
      </c>
      <c r="C8360" s="84">
        <v>1.03</v>
      </c>
      <c r="D8360" s="84">
        <v>1.0</v>
      </c>
      <c r="E8360" s="84">
        <v>1.03</v>
      </c>
      <c r="F8360" s="76" t="s">
        <v>998</v>
      </c>
      <c r="G8360" s="83">
        <v>46117.0</v>
      </c>
      <c r="H8360" s="76" t="s">
        <v>973</v>
      </c>
    </row>
    <row r="8361">
      <c r="A8361" s="76" t="s">
        <v>46</v>
      </c>
      <c r="B8361" s="76" t="s">
        <v>1041</v>
      </c>
      <c r="C8361" s="84">
        <v>0.24</v>
      </c>
      <c r="D8361" s="84">
        <v>0.0</v>
      </c>
      <c r="E8361" s="84">
        <v>0.0</v>
      </c>
      <c r="F8361" s="76" t="s">
        <v>998</v>
      </c>
      <c r="G8361" s="83">
        <v>46117.0</v>
      </c>
      <c r="H8361" s="76" t="s">
        <v>960</v>
      </c>
    </row>
    <row r="8362">
      <c r="A8362" s="76" t="s">
        <v>46</v>
      </c>
      <c r="B8362" s="76" t="s">
        <v>1041</v>
      </c>
      <c r="C8362" s="84">
        <v>0.04</v>
      </c>
      <c r="D8362" s="84">
        <v>0.0</v>
      </c>
      <c r="E8362" s="84">
        <v>0.0</v>
      </c>
      <c r="F8362" s="76" t="s">
        <v>998</v>
      </c>
      <c r="G8362" s="83">
        <v>46117.0</v>
      </c>
      <c r="H8362" s="76" t="s">
        <v>961</v>
      </c>
    </row>
    <row r="8363">
      <c r="A8363" s="76" t="s">
        <v>46</v>
      </c>
      <c r="B8363" s="76" t="s">
        <v>1041</v>
      </c>
      <c r="C8363" s="84">
        <v>0.08</v>
      </c>
      <c r="D8363" s="84">
        <v>0.0</v>
      </c>
      <c r="E8363" s="84">
        <v>0.0</v>
      </c>
      <c r="F8363" s="76" t="s">
        <v>998</v>
      </c>
      <c r="G8363" s="83">
        <v>46117.0</v>
      </c>
      <c r="H8363" s="76" t="s">
        <v>962</v>
      </c>
    </row>
    <row r="8364">
      <c r="A8364" s="76" t="s">
        <v>40</v>
      </c>
      <c r="B8364" s="76" t="s">
        <v>1041</v>
      </c>
      <c r="C8364" s="84">
        <v>0.38</v>
      </c>
      <c r="D8364" s="84">
        <v>0.0</v>
      </c>
      <c r="E8364" s="84">
        <v>0.0</v>
      </c>
      <c r="F8364" s="76" t="s">
        <v>998</v>
      </c>
      <c r="G8364" s="83">
        <v>46117.0</v>
      </c>
      <c r="H8364" s="76" t="s">
        <v>954</v>
      </c>
    </row>
    <row r="8365">
      <c r="A8365" s="76" t="s">
        <v>40</v>
      </c>
      <c r="B8365" s="76" t="s">
        <v>1041</v>
      </c>
      <c r="C8365" s="84">
        <v>0.0</v>
      </c>
      <c r="D8365" s="84">
        <v>0.0</v>
      </c>
      <c r="E8365" s="84">
        <v>0.0</v>
      </c>
      <c r="F8365" s="76" t="s">
        <v>998</v>
      </c>
      <c r="G8365" s="83">
        <v>46117.0</v>
      </c>
      <c r="H8365" s="76" t="s">
        <v>955</v>
      </c>
    </row>
    <row r="8366">
      <c r="A8366" s="76" t="s">
        <v>40</v>
      </c>
      <c r="B8366" s="76" t="s">
        <v>1041</v>
      </c>
      <c r="C8366" s="84">
        <v>0.37</v>
      </c>
      <c r="D8366" s="84">
        <v>0.0</v>
      </c>
      <c r="E8366" s="84">
        <v>0.0</v>
      </c>
      <c r="F8366" s="76" t="s">
        <v>998</v>
      </c>
      <c r="G8366" s="83">
        <v>46117.0</v>
      </c>
      <c r="H8366" s="76" t="s">
        <v>956</v>
      </c>
    </row>
    <row r="8367">
      <c r="A8367" s="76" t="s">
        <v>966</v>
      </c>
      <c r="B8367" s="76" t="s">
        <v>1041</v>
      </c>
      <c r="C8367" s="84">
        <v>0.1</v>
      </c>
      <c r="D8367" s="84">
        <v>0.0</v>
      </c>
      <c r="E8367" s="84">
        <v>0.0</v>
      </c>
      <c r="F8367" s="76" t="s">
        <v>998</v>
      </c>
      <c r="G8367" s="83">
        <v>46117.0</v>
      </c>
      <c r="H8367" s="76" t="s">
        <v>967</v>
      </c>
    </row>
    <row r="8368">
      <c r="A8368" s="76" t="s">
        <v>966</v>
      </c>
      <c r="B8368" s="76" t="s">
        <v>1041</v>
      </c>
      <c r="C8368" s="84">
        <v>0.01</v>
      </c>
      <c r="D8368" s="84">
        <v>0.0</v>
      </c>
      <c r="E8368" s="84">
        <v>0.0</v>
      </c>
      <c r="F8368" s="76" t="s">
        <v>998</v>
      </c>
      <c r="G8368" s="83">
        <v>46117.0</v>
      </c>
      <c r="H8368" s="76" t="s">
        <v>968</v>
      </c>
    </row>
    <row r="8369">
      <c r="A8369" s="76" t="s">
        <v>966</v>
      </c>
      <c r="B8369" s="76" t="s">
        <v>1041</v>
      </c>
      <c r="C8369" s="84">
        <v>0.09</v>
      </c>
      <c r="D8369" s="84">
        <v>0.0</v>
      </c>
      <c r="E8369" s="84">
        <v>0.0</v>
      </c>
      <c r="F8369" s="76" t="s">
        <v>998</v>
      </c>
      <c r="G8369" s="83">
        <v>46117.0</v>
      </c>
      <c r="H8369" s="76" t="s">
        <v>969</v>
      </c>
    </row>
    <row r="8370">
      <c r="A8370" s="76" t="s">
        <v>43</v>
      </c>
      <c r="B8370" s="76" t="s">
        <v>1041</v>
      </c>
      <c r="C8370" s="84">
        <v>0.11</v>
      </c>
      <c r="D8370" s="84">
        <v>0.0</v>
      </c>
      <c r="E8370" s="84">
        <v>0.0</v>
      </c>
      <c r="F8370" s="76" t="s">
        <v>998</v>
      </c>
      <c r="G8370" s="83">
        <v>46117.0</v>
      </c>
      <c r="H8370" s="76" t="s">
        <v>963</v>
      </c>
    </row>
    <row r="8371">
      <c r="A8371" s="76" t="s">
        <v>43</v>
      </c>
      <c r="B8371" s="76" t="s">
        <v>1041</v>
      </c>
      <c r="C8371" s="84">
        <v>0.13</v>
      </c>
      <c r="D8371" s="84">
        <v>0.0</v>
      </c>
      <c r="E8371" s="84">
        <v>0.0</v>
      </c>
      <c r="F8371" s="76" t="s">
        <v>998</v>
      </c>
      <c r="G8371" s="83">
        <v>46117.0</v>
      </c>
      <c r="H8371" s="76" t="s">
        <v>964</v>
      </c>
    </row>
    <row r="8372">
      <c r="A8372" s="76" t="s">
        <v>43</v>
      </c>
      <c r="B8372" s="76" t="s">
        <v>1041</v>
      </c>
      <c r="C8372" s="84">
        <v>0.5</v>
      </c>
      <c r="D8372" s="84">
        <v>0.0</v>
      </c>
      <c r="E8372" s="84">
        <v>0.0</v>
      </c>
      <c r="F8372" s="76" t="s">
        <v>998</v>
      </c>
      <c r="G8372" s="83">
        <v>46117.0</v>
      </c>
      <c r="H8372" s="76" t="s">
        <v>965</v>
      </c>
    </row>
    <row r="8373">
      <c r="A8373" s="76" t="s">
        <v>970</v>
      </c>
      <c r="B8373" s="76" t="s">
        <v>1041</v>
      </c>
      <c r="C8373" s="84">
        <v>11.68</v>
      </c>
      <c r="D8373" s="84">
        <v>0.0</v>
      </c>
      <c r="E8373" s="84">
        <v>0.0</v>
      </c>
      <c r="F8373" s="76" t="s">
        <v>998</v>
      </c>
      <c r="G8373" s="83">
        <v>46117.0</v>
      </c>
      <c r="H8373" s="76" t="s">
        <v>971</v>
      </c>
    </row>
    <row r="8374">
      <c r="A8374" s="76" t="s">
        <v>970</v>
      </c>
      <c r="B8374" s="76" t="s">
        <v>1041</v>
      </c>
      <c r="C8374" s="84">
        <v>0.07</v>
      </c>
      <c r="D8374" s="84">
        <v>0.0</v>
      </c>
      <c r="E8374" s="84">
        <v>0.0</v>
      </c>
      <c r="F8374" s="76" t="s">
        <v>998</v>
      </c>
      <c r="G8374" s="83">
        <v>46117.0</v>
      </c>
      <c r="H8374" s="76" t="s">
        <v>972</v>
      </c>
    </row>
    <row r="8375">
      <c r="A8375" s="76" t="s">
        <v>970</v>
      </c>
      <c r="B8375" s="76" t="s">
        <v>1041</v>
      </c>
      <c r="C8375" s="84">
        <v>1.02</v>
      </c>
      <c r="D8375" s="84">
        <v>1.0</v>
      </c>
      <c r="E8375" s="84">
        <v>1.02</v>
      </c>
      <c r="F8375" s="76" t="s">
        <v>998</v>
      </c>
      <c r="G8375" s="83">
        <v>46117.0</v>
      </c>
      <c r="H8375" s="76" t="s">
        <v>973</v>
      </c>
    </row>
    <row r="8376">
      <c r="A8376" s="76" t="s">
        <v>46</v>
      </c>
      <c r="B8376" s="76" t="s">
        <v>1041</v>
      </c>
      <c r="C8376" s="84">
        <v>0.09</v>
      </c>
      <c r="D8376" s="84">
        <v>0.0</v>
      </c>
      <c r="E8376" s="84">
        <v>0.0</v>
      </c>
      <c r="F8376" s="76" t="s">
        <v>997</v>
      </c>
      <c r="G8376" s="83">
        <v>46117.0</v>
      </c>
      <c r="H8376" s="76" t="s">
        <v>960</v>
      </c>
    </row>
    <row r="8377">
      <c r="A8377" s="76" t="s">
        <v>46</v>
      </c>
      <c r="B8377" s="76" t="s">
        <v>1041</v>
      </c>
      <c r="C8377" s="84">
        <v>0.06</v>
      </c>
      <c r="D8377" s="84">
        <v>0.0</v>
      </c>
      <c r="E8377" s="84">
        <v>0.0</v>
      </c>
      <c r="F8377" s="76" t="s">
        <v>997</v>
      </c>
      <c r="G8377" s="83">
        <v>46117.0</v>
      </c>
      <c r="H8377" s="76" t="s">
        <v>961</v>
      </c>
    </row>
    <row r="8378">
      <c r="A8378" s="76" t="s">
        <v>46</v>
      </c>
      <c r="B8378" s="76" t="s">
        <v>1041</v>
      </c>
      <c r="C8378" s="84">
        <v>0.15</v>
      </c>
      <c r="D8378" s="84">
        <v>0.0</v>
      </c>
      <c r="E8378" s="84">
        <v>0.0</v>
      </c>
      <c r="F8378" s="76" t="s">
        <v>997</v>
      </c>
      <c r="G8378" s="83">
        <v>46117.0</v>
      </c>
      <c r="H8378" s="76" t="s">
        <v>962</v>
      </c>
    </row>
    <row r="8379">
      <c r="A8379" s="76" t="s">
        <v>34</v>
      </c>
      <c r="B8379" s="76" t="s">
        <v>1041</v>
      </c>
      <c r="C8379" s="84">
        <v>0.09</v>
      </c>
      <c r="D8379" s="84">
        <v>0.0</v>
      </c>
      <c r="E8379" s="84">
        <v>0.0</v>
      </c>
      <c r="F8379" s="76" t="s">
        <v>997</v>
      </c>
      <c r="G8379" s="83">
        <v>46117.0</v>
      </c>
      <c r="H8379" s="76" t="s">
        <v>951</v>
      </c>
    </row>
    <row r="8380">
      <c r="A8380" s="76" t="s">
        <v>34</v>
      </c>
      <c r="B8380" s="76" t="s">
        <v>1041</v>
      </c>
      <c r="C8380" s="84">
        <v>0.37</v>
      </c>
      <c r="D8380" s="84">
        <v>0.0</v>
      </c>
      <c r="E8380" s="84">
        <v>0.0</v>
      </c>
      <c r="F8380" s="76" t="s">
        <v>997</v>
      </c>
      <c r="G8380" s="83">
        <v>46117.0</v>
      </c>
      <c r="H8380" s="76" t="s">
        <v>952</v>
      </c>
    </row>
    <row r="8381">
      <c r="A8381" s="76" t="s">
        <v>34</v>
      </c>
      <c r="B8381" s="76" t="s">
        <v>1041</v>
      </c>
      <c r="C8381" s="84">
        <v>0.38</v>
      </c>
      <c r="D8381" s="84">
        <v>0.0</v>
      </c>
      <c r="E8381" s="84">
        <v>0.0</v>
      </c>
      <c r="F8381" s="76" t="s">
        <v>997</v>
      </c>
      <c r="G8381" s="83">
        <v>46117.0</v>
      </c>
      <c r="H8381" s="76" t="s">
        <v>953</v>
      </c>
    </row>
    <row r="8382">
      <c r="A8382" s="76" t="s">
        <v>40</v>
      </c>
      <c r="B8382" s="76" t="s">
        <v>1041</v>
      </c>
      <c r="C8382" s="84">
        <v>0.1</v>
      </c>
      <c r="D8382" s="84">
        <v>0.0</v>
      </c>
      <c r="E8382" s="84">
        <v>0.0</v>
      </c>
      <c r="F8382" s="76" t="s">
        <v>997</v>
      </c>
      <c r="G8382" s="83">
        <v>46117.0</v>
      </c>
      <c r="H8382" s="76" t="s">
        <v>954</v>
      </c>
    </row>
    <row r="8383">
      <c r="A8383" s="76" t="s">
        <v>40</v>
      </c>
      <c r="B8383" s="76" t="s">
        <v>1041</v>
      </c>
      <c r="C8383" s="84">
        <v>0.02</v>
      </c>
      <c r="D8383" s="84">
        <v>0.0</v>
      </c>
      <c r="E8383" s="84">
        <v>0.0</v>
      </c>
      <c r="F8383" s="76" t="s">
        <v>997</v>
      </c>
      <c r="G8383" s="83">
        <v>46117.0</v>
      </c>
      <c r="H8383" s="76" t="s">
        <v>955</v>
      </c>
    </row>
    <row r="8384">
      <c r="A8384" s="76" t="s">
        <v>40</v>
      </c>
      <c r="B8384" s="76" t="s">
        <v>1041</v>
      </c>
      <c r="C8384" s="84">
        <v>0.94</v>
      </c>
      <c r="D8384" s="84">
        <v>0.0</v>
      </c>
      <c r="E8384" s="84">
        <v>0.0</v>
      </c>
      <c r="F8384" s="76" t="s">
        <v>997</v>
      </c>
      <c r="G8384" s="83">
        <v>46117.0</v>
      </c>
      <c r="H8384" s="76" t="s">
        <v>956</v>
      </c>
    </row>
    <row r="8385">
      <c r="A8385" s="76" t="s">
        <v>36</v>
      </c>
      <c r="B8385" s="76" t="s">
        <v>1041</v>
      </c>
      <c r="C8385" s="84">
        <v>0.37</v>
      </c>
      <c r="D8385" s="84">
        <v>0.0</v>
      </c>
      <c r="E8385" s="84">
        <v>0.0</v>
      </c>
      <c r="F8385" s="76" t="s">
        <v>997</v>
      </c>
      <c r="G8385" s="83">
        <v>46117.0</v>
      </c>
      <c r="H8385" s="76" t="s">
        <v>926</v>
      </c>
    </row>
    <row r="8386">
      <c r="A8386" s="76" t="s">
        <v>36</v>
      </c>
      <c r="B8386" s="76" t="s">
        <v>1041</v>
      </c>
      <c r="C8386" s="84">
        <v>0.05</v>
      </c>
      <c r="D8386" s="84">
        <v>0.0</v>
      </c>
      <c r="E8386" s="84">
        <v>0.0</v>
      </c>
      <c r="F8386" s="76" t="s">
        <v>997</v>
      </c>
      <c r="G8386" s="83">
        <v>46117.0</v>
      </c>
      <c r="H8386" s="76" t="s">
        <v>927</v>
      </c>
    </row>
    <row r="8387">
      <c r="A8387" s="76" t="s">
        <v>36</v>
      </c>
      <c r="B8387" s="76" t="s">
        <v>1041</v>
      </c>
      <c r="C8387" s="84">
        <v>0.11</v>
      </c>
      <c r="D8387" s="84">
        <v>0.0</v>
      </c>
      <c r="E8387" s="84">
        <v>0.0</v>
      </c>
      <c r="F8387" s="76" t="s">
        <v>997</v>
      </c>
      <c r="G8387" s="83">
        <v>46117.0</v>
      </c>
      <c r="H8387" s="76" t="s">
        <v>928</v>
      </c>
    </row>
    <row r="8388">
      <c r="A8388" s="76" t="s">
        <v>970</v>
      </c>
      <c r="B8388" s="76" t="s">
        <v>1041</v>
      </c>
      <c r="C8388" s="84">
        <v>2.01</v>
      </c>
      <c r="D8388" s="84">
        <v>0.0</v>
      </c>
      <c r="E8388" s="84">
        <v>0.0</v>
      </c>
      <c r="F8388" s="76" t="s">
        <v>997</v>
      </c>
      <c r="G8388" s="83">
        <v>46117.0</v>
      </c>
      <c r="H8388" s="76" t="s">
        <v>971</v>
      </c>
    </row>
    <row r="8389">
      <c r="A8389" s="76" t="s">
        <v>970</v>
      </c>
      <c r="B8389" s="76" t="s">
        <v>1041</v>
      </c>
      <c r="C8389" s="84">
        <v>0.08</v>
      </c>
      <c r="D8389" s="84">
        <v>0.0</v>
      </c>
      <c r="E8389" s="84">
        <v>0.0</v>
      </c>
      <c r="F8389" s="76" t="s">
        <v>997</v>
      </c>
      <c r="G8389" s="83">
        <v>46117.0</v>
      </c>
      <c r="H8389" s="76" t="s">
        <v>972</v>
      </c>
    </row>
    <row r="8390">
      <c r="A8390" s="76" t="s">
        <v>970</v>
      </c>
      <c r="B8390" s="76" t="s">
        <v>1041</v>
      </c>
      <c r="C8390" s="84">
        <v>3.45</v>
      </c>
      <c r="D8390" s="84">
        <v>0.0</v>
      </c>
      <c r="E8390" s="84">
        <v>0.0</v>
      </c>
      <c r="F8390" s="76" t="s">
        <v>997</v>
      </c>
      <c r="G8390" s="83">
        <v>46117.0</v>
      </c>
      <c r="H8390" s="76" t="s">
        <v>973</v>
      </c>
    </row>
    <row r="8391">
      <c r="A8391" s="76" t="s">
        <v>33</v>
      </c>
      <c r="B8391" s="76" t="s">
        <v>1041</v>
      </c>
      <c r="C8391" s="84">
        <v>3.93</v>
      </c>
      <c r="D8391" s="84">
        <v>0.0</v>
      </c>
      <c r="E8391" s="84">
        <v>0.0</v>
      </c>
      <c r="F8391" s="76" t="s">
        <v>997</v>
      </c>
      <c r="G8391" s="83">
        <v>46117.0</v>
      </c>
      <c r="H8391" s="76" t="s">
        <v>957</v>
      </c>
    </row>
    <row r="8392">
      <c r="A8392" s="76" t="s">
        <v>33</v>
      </c>
      <c r="B8392" s="76" t="s">
        <v>1041</v>
      </c>
      <c r="C8392" s="84">
        <v>0.72</v>
      </c>
      <c r="D8392" s="84">
        <v>0.0</v>
      </c>
      <c r="E8392" s="84">
        <v>0.0</v>
      </c>
      <c r="F8392" s="76" t="s">
        <v>997</v>
      </c>
      <c r="G8392" s="83">
        <v>46117.0</v>
      </c>
      <c r="H8392" s="76" t="s">
        <v>958</v>
      </c>
    </row>
    <row r="8393">
      <c r="A8393" s="76" t="s">
        <v>33</v>
      </c>
      <c r="B8393" s="76" t="s">
        <v>1041</v>
      </c>
      <c r="C8393" s="84">
        <v>0.43</v>
      </c>
      <c r="D8393" s="84">
        <v>1.0</v>
      </c>
      <c r="E8393" s="84">
        <v>0.43</v>
      </c>
      <c r="F8393" s="76" t="s">
        <v>997</v>
      </c>
      <c r="G8393" s="83">
        <v>46117.0</v>
      </c>
      <c r="H8393" s="76" t="s">
        <v>959</v>
      </c>
    </row>
    <row r="8394">
      <c r="A8394" s="76" t="s">
        <v>29</v>
      </c>
      <c r="B8394" s="76" t="s">
        <v>1041</v>
      </c>
      <c r="C8394" s="84">
        <v>2.3</v>
      </c>
      <c r="D8394" s="84">
        <v>0.0</v>
      </c>
      <c r="E8394" s="84">
        <v>0.0</v>
      </c>
      <c r="F8394" s="76" t="s">
        <v>997</v>
      </c>
      <c r="G8394" s="83">
        <v>46117.0</v>
      </c>
      <c r="H8394" s="76" t="s">
        <v>971</v>
      </c>
    </row>
    <row r="8395">
      <c r="A8395" s="76" t="s">
        <v>29</v>
      </c>
      <c r="B8395" s="76" t="s">
        <v>1041</v>
      </c>
      <c r="C8395" s="84">
        <v>0.09</v>
      </c>
      <c r="D8395" s="84">
        <v>0.0</v>
      </c>
      <c r="E8395" s="84">
        <v>0.0</v>
      </c>
      <c r="F8395" s="76" t="s">
        <v>997</v>
      </c>
      <c r="G8395" s="83">
        <v>46117.0</v>
      </c>
      <c r="H8395" s="76" t="s">
        <v>972</v>
      </c>
    </row>
    <row r="8396">
      <c r="A8396" s="76" t="s">
        <v>29</v>
      </c>
      <c r="B8396" s="76" t="s">
        <v>1041</v>
      </c>
      <c r="C8396" s="84">
        <v>2.94</v>
      </c>
      <c r="D8396" s="84">
        <v>0.0</v>
      </c>
      <c r="E8396" s="84">
        <v>0.0</v>
      </c>
      <c r="F8396" s="76" t="s">
        <v>997</v>
      </c>
      <c r="G8396" s="83">
        <v>46117.0</v>
      </c>
      <c r="H8396" s="76" t="s">
        <v>973</v>
      </c>
    </row>
    <row r="8397">
      <c r="A8397" s="76" t="s">
        <v>43</v>
      </c>
      <c r="B8397" s="76" t="s">
        <v>1041</v>
      </c>
      <c r="C8397" s="84">
        <v>0.08</v>
      </c>
      <c r="D8397" s="84">
        <v>0.0</v>
      </c>
      <c r="E8397" s="84">
        <v>0.0</v>
      </c>
      <c r="F8397" s="76" t="s">
        <v>997</v>
      </c>
      <c r="G8397" s="83">
        <v>46117.0</v>
      </c>
      <c r="H8397" s="76" t="s">
        <v>963</v>
      </c>
    </row>
    <row r="8398">
      <c r="A8398" s="76" t="s">
        <v>43</v>
      </c>
      <c r="B8398" s="76" t="s">
        <v>1041</v>
      </c>
      <c r="C8398" s="84">
        <v>0.39</v>
      </c>
      <c r="D8398" s="84">
        <v>0.0</v>
      </c>
      <c r="E8398" s="84">
        <v>0.0</v>
      </c>
      <c r="F8398" s="76" t="s">
        <v>997</v>
      </c>
      <c r="G8398" s="83">
        <v>46117.0</v>
      </c>
      <c r="H8398" s="76" t="s">
        <v>964</v>
      </c>
    </row>
    <row r="8399">
      <c r="A8399" s="76" t="s">
        <v>43</v>
      </c>
      <c r="B8399" s="76" t="s">
        <v>1041</v>
      </c>
      <c r="C8399" s="84">
        <v>0.53</v>
      </c>
      <c r="D8399" s="84">
        <v>0.0</v>
      </c>
      <c r="E8399" s="84">
        <v>0.0</v>
      </c>
      <c r="F8399" s="76" t="s">
        <v>997</v>
      </c>
      <c r="G8399" s="83">
        <v>46117.0</v>
      </c>
      <c r="H8399" s="76" t="s">
        <v>965</v>
      </c>
    </row>
    <row r="8400">
      <c r="A8400" s="76" t="s">
        <v>966</v>
      </c>
      <c r="B8400" s="76" t="s">
        <v>1041</v>
      </c>
      <c r="C8400" s="84">
        <v>0.2</v>
      </c>
      <c r="D8400" s="84">
        <v>0.0</v>
      </c>
      <c r="E8400" s="84">
        <v>0.0</v>
      </c>
      <c r="F8400" s="76" t="s">
        <v>997</v>
      </c>
      <c r="G8400" s="83">
        <v>46117.0</v>
      </c>
      <c r="H8400" s="76" t="s">
        <v>967</v>
      </c>
    </row>
    <row r="8401">
      <c r="A8401" s="76" t="s">
        <v>966</v>
      </c>
      <c r="B8401" s="76" t="s">
        <v>1041</v>
      </c>
      <c r="C8401" s="84">
        <v>0.02</v>
      </c>
      <c r="D8401" s="84">
        <v>0.0</v>
      </c>
      <c r="E8401" s="84">
        <v>0.0</v>
      </c>
      <c r="F8401" s="76" t="s">
        <v>997</v>
      </c>
      <c r="G8401" s="83">
        <v>46117.0</v>
      </c>
      <c r="H8401" s="76" t="s">
        <v>968</v>
      </c>
    </row>
    <row r="8402">
      <c r="A8402" s="76" t="s">
        <v>966</v>
      </c>
      <c r="B8402" s="76" t="s">
        <v>1041</v>
      </c>
      <c r="C8402" s="84">
        <v>0.16</v>
      </c>
      <c r="D8402" s="84">
        <v>0.0</v>
      </c>
      <c r="E8402" s="84">
        <v>0.0</v>
      </c>
      <c r="F8402" s="76" t="s">
        <v>997</v>
      </c>
      <c r="G8402" s="83">
        <v>46117.0</v>
      </c>
      <c r="H8402" s="76" t="s">
        <v>969</v>
      </c>
    </row>
    <row r="8403">
      <c r="A8403" s="76" t="s">
        <v>32</v>
      </c>
      <c r="B8403" s="76" t="s">
        <v>1032</v>
      </c>
      <c r="C8403" s="84">
        <v>50.77</v>
      </c>
      <c r="D8403" s="84">
        <v>10.0</v>
      </c>
      <c r="E8403" s="84">
        <v>5.08</v>
      </c>
      <c r="F8403" s="76" t="s">
        <v>996</v>
      </c>
      <c r="G8403" s="83">
        <v>46117.0</v>
      </c>
      <c r="H8403" s="76" t="s">
        <v>941</v>
      </c>
    </row>
    <row r="8404">
      <c r="A8404" s="76" t="s">
        <v>32</v>
      </c>
      <c r="B8404" s="76" t="s">
        <v>1032</v>
      </c>
      <c r="C8404" s="84">
        <v>10.4</v>
      </c>
      <c r="D8404" s="84">
        <v>4.0</v>
      </c>
      <c r="E8404" s="84">
        <v>2.6</v>
      </c>
      <c r="F8404" s="76" t="s">
        <v>996</v>
      </c>
      <c r="G8404" s="83">
        <v>46117.0</v>
      </c>
      <c r="H8404" s="76" t="s">
        <v>942</v>
      </c>
    </row>
    <row r="8405">
      <c r="A8405" s="76" t="s">
        <v>32</v>
      </c>
      <c r="B8405" s="76" t="s">
        <v>1032</v>
      </c>
      <c r="C8405" s="84">
        <v>17.78</v>
      </c>
      <c r="D8405" s="84">
        <v>4.0</v>
      </c>
      <c r="E8405" s="84">
        <v>4.45</v>
      </c>
      <c r="F8405" s="76" t="s">
        <v>996</v>
      </c>
      <c r="G8405" s="83">
        <v>46117.0</v>
      </c>
      <c r="H8405" s="76" t="s">
        <v>943</v>
      </c>
    </row>
    <row r="8406">
      <c r="A8406" s="76" t="s">
        <v>28</v>
      </c>
      <c r="B8406" s="76" t="s">
        <v>1032</v>
      </c>
      <c r="C8406" s="84">
        <v>6.48</v>
      </c>
      <c r="D8406" s="84">
        <v>2.0</v>
      </c>
      <c r="E8406" s="84">
        <v>3.24</v>
      </c>
      <c r="F8406" s="76" t="s">
        <v>996</v>
      </c>
      <c r="G8406" s="83">
        <v>46117.0</v>
      </c>
      <c r="H8406" s="76" t="s">
        <v>931</v>
      </c>
    </row>
    <row r="8407">
      <c r="A8407" s="76" t="s">
        <v>28</v>
      </c>
      <c r="B8407" s="76" t="s">
        <v>1032</v>
      </c>
      <c r="C8407" s="84">
        <v>4.12</v>
      </c>
      <c r="D8407" s="84">
        <v>0.0</v>
      </c>
      <c r="E8407" s="84">
        <v>0.0</v>
      </c>
      <c r="F8407" s="76" t="s">
        <v>996</v>
      </c>
      <c r="G8407" s="83">
        <v>46117.0</v>
      </c>
      <c r="H8407" s="76" t="s">
        <v>932</v>
      </c>
    </row>
    <row r="8408">
      <c r="A8408" s="76" t="s">
        <v>28</v>
      </c>
      <c r="B8408" s="76" t="s">
        <v>1032</v>
      </c>
      <c r="C8408" s="84">
        <v>34.59</v>
      </c>
      <c r="D8408" s="84">
        <v>9.0</v>
      </c>
      <c r="E8408" s="84">
        <v>3.84</v>
      </c>
      <c r="F8408" s="76" t="s">
        <v>996</v>
      </c>
      <c r="G8408" s="83">
        <v>46117.0</v>
      </c>
      <c r="H8408" s="76" t="s">
        <v>933</v>
      </c>
    </row>
    <row r="8409">
      <c r="A8409" s="76" t="s">
        <v>36</v>
      </c>
      <c r="B8409" s="76" t="s">
        <v>1032</v>
      </c>
      <c r="C8409" s="84">
        <v>9.31</v>
      </c>
      <c r="D8409" s="84">
        <v>1.0</v>
      </c>
      <c r="E8409" s="84">
        <v>9.31</v>
      </c>
      <c r="F8409" s="76" t="s">
        <v>996</v>
      </c>
      <c r="G8409" s="83">
        <v>46117.0</v>
      </c>
      <c r="H8409" s="76" t="s">
        <v>926</v>
      </c>
    </row>
    <row r="8410">
      <c r="A8410" s="76" t="s">
        <v>36</v>
      </c>
      <c r="B8410" s="76" t="s">
        <v>1032</v>
      </c>
      <c r="C8410" s="84">
        <v>7.7</v>
      </c>
      <c r="D8410" s="84">
        <v>2.0</v>
      </c>
      <c r="E8410" s="84">
        <v>3.85</v>
      </c>
      <c r="F8410" s="76" t="s">
        <v>996</v>
      </c>
      <c r="G8410" s="83">
        <v>46117.0</v>
      </c>
      <c r="H8410" s="76" t="s">
        <v>927</v>
      </c>
    </row>
    <row r="8411">
      <c r="A8411" s="76" t="s">
        <v>36</v>
      </c>
      <c r="B8411" s="76" t="s">
        <v>1032</v>
      </c>
      <c r="C8411" s="84">
        <v>7.67</v>
      </c>
      <c r="D8411" s="84">
        <v>3.0</v>
      </c>
      <c r="E8411" s="84">
        <v>2.56</v>
      </c>
      <c r="F8411" s="76" t="s">
        <v>996</v>
      </c>
      <c r="G8411" s="83">
        <v>46117.0</v>
      </c>
      <c r="H8411" s="76" t="s">
        <v>928</v>
      </c>
    </row>
    <row r="8412">
      <c r="A8412" s="76" t="s">
        <v>26</v>
      </c>
      <c r="B8412" s="76" t="s">
        <v>1032</v>
      </c>
      <c r="C8412" s="84">
        <v>7.89</v>
      </c>
      <c r="D8412" s="84">
        <v>1.0</v>
      </c>
      <c r="E8412" s="84">
        <v>7.89</v>
      </c>
      <c r="F8412" s="76" t="s">
        <v>996</v>
      </c>
      <c r="G8412" s="83">
        <v>46117.0</v>
      </c>
      <c r="H8412" s="76" t="s">
        <v>1012</v>
      </c>
    </row>
    <row r="8413">
      <c r="A8413" s="76" t="s">
        <v>26</v>
      </c>
      <c r="B8413" s="76" t="s">
        <v>1032</v>
      </c>
      <c r="C8413" s="84">
        <v>5.56</v>
      </c>
      <c r="D8413" s="84">
        <v>3.0</v>
      </c>
      <c r="E8413" s="84">
        <v>1.85</v>
      </c>
      <c r="F8413" s="76" t="s">
        <v>996</v>
      </c>
      <c r="G8413" s="83">
        <v>46117.0</v>
      </c>
      <c r="H8413" s="76" t="s">
        <v>1013</v>
      </c>
    </row>
    <row r="8414">
      <c r="A8414" s="76" t="s">
        <v>26</v>
      </c>
      <c r="B8414" s="76" t="s">
        <v>1032</v>
      </c>
      <c r="C8414" s="84">
        <v>22.42</v>
      </c>
      <c r="D8414" s="84">
        <v>9.0</v>
      </c>
      <c r="E8414" s="84">
        <v>2.49</v>
      </c>
      <c r="F8414" s="76" t="s">
        <v>996</v>
      </c>
      <c r="G8414" s="83">
        <v>46117.0</v>
      </c>
      <c r="H8414" s="76" t="s">
        <v>1014</v>
      </c>
    </row>
    <row r="8415">
      <c r="A8415" s="76" t="s">
        <v>45</v>
      </c>
      <c r="B8415" s="76" t="s">
        <v>1032</v>
      </c>
      <c r="C8415" s="84">
        <v>5.48</v>
      </c>
      <c r="D8415" s="84">
        <v>1.0</v>
      </c>
      <c r="E8415" s="84">
        <v>5.48</v>
      </c>
      <c r="F8415" s="76" t="s">
        <v>996</v>
      </c>
      <c r="G8415" s="83">
        <v>46117.0</v>
      </c>
      <c r="H8415" s="76" t="s">
        <v>936</v>
      </c>
    </row>
    <row r="8416">
      <c r="A8416" s="76" t="s">
        <v>45</v>
      </c>
      <c r="B8416" s="76" t="s">
        <v>1032</v>
      </c>
      <c r="C8416" s="84">
        <v>8.8</v>
      </c>
      <c r="D8416" s="84">
        <v>1.0</v>
      </c>
      <c r="E8416" s="84">
        <v>8.8</v>
      </c>
      <c r="F8416" s="76" t="s">
        <v>996</v>
      </c>
      <c r="G8416" s="83">
        <v>46117.0</v>
      </c>
      <c r="H8416" s="76" t="s">
        <v>937</v>
      </c>
    </row>
    <row r="8417">
      <c r="A8417" s="76" t="s">
        <v>45</v>
      </c>
      <c r="B8417" s="76" t="s">
        <v>1032</v>
      </c>
      <c r="C8417" s="84">
        <v>2.2</v>
      </c>
      <c r="D8417" s="84">
        <v>0.0</v>
      </c>
      <c r="E8417" s="84">
        <v>0.0</v>
      </c>
      <c r="F8417" s="76" t="s">
        <v>996</v>
      </c>
      <c r="G8417" s="83">
        <v>46117.0</v>
      </c>
      <c r="H8417" s="76" t="s">
        <v>938</v>
      </c>
    </row>
    <row r="8418">
      <c r="A8418" s="76" t="s">
        <v>31</v>
      </c>
      <c r="B8418" s="76" t="s">
        <v>1032</v>
      </c>
      <c r="C8418" s="84">
        <v>6.32</v>
      </c>
      <c r="D8418" s="84">
        <v>1.0</v>
      </c>
      <c r="E8418" s="84">
        <v>6.32</v>
      </c>
      <c r="F8418" s="76" t="s">
        <v>996</v>
      </c>
      <c r="G8418" s="83">
        <v>46117.0</v>
      </c>
      <c r="H8418" s="76" t="s">
        <v>929</v>
      </c>
    </row>
    <row r="8419">
      <c r="A8419" s="76" t="s">
        <v>31</v>
      </c>
      <c r="B8419" s="76" t="s">
        <v>1032</v>
      </c>
      <c r="C8419" s="84">
        <v>74.92</v>
      </c>
      <c r="D8419" s="84">
        <v>23.0</v>
      </c>
      <c r="E8419" s="84">
        <v>3.26</v>
      </c>
      <c r="F8419" s="76" t="s">
        <v>996</v>
      </c>
      <c r="G8419" s="83">
        <v>46117.0</v>
      </c>
      <c r="H8419" s="76" t="s">
        <v>930</v>
      </c>
    </row>
    <row r="8420">
      <c r="A8420" s="76" t="s">
        <v>944</v>
      </c>
      <c r="B8420" s="76" t="s">
        <v>1032</v>
      </c>
      <c r="C8420" s="84">
        <v>9.74</v>
      </c>
      <c r="D8420" s="84">
        <v>1.0</v>
      </c>
      <c r="E8420" s="84">
        <v>9.74</v>
      </c>
      <c r="F8420" s="76" t="s">
        <v>996</v>
      </c>
      <c r="G8420" s="83">
        <v>46117.0</v>
      </c>
      <c r="H8420" s="76" t="s">
        <v>945</v>
      </c>
    </row>
    <row r="8421">
      <c r="A8421" s="76" t="s">
        <v>944</v>
      </c>
      <c r="B8421" s="76" t="s">
        <v>1032</v>
      </c>
      <c r="C8421" s="84">
        <v>6.74</v>
      </c>
      <c r="D8421" s="84">
        <v>4.0</v>
      </c>
      <c r="E8421" s="84">
        <v>1.68</v>
      </c>
      <c r="F8421" s="76" t="s">
        <v>996</v>
      </c>
      <c r="G8421" s="83">
        <v>46117.0</v>
      </c>
      <c r="H8421" s="76" t="s">
        <v>946</v>
      </c>
    </row>
    <row r="8422">
      <c r="A8422" s="76" t="s">
        <v>944</v>
      </c>
      <c r="B8422" s="76" t="s">
        <v>1032</v>
      </c>
      <c r="C8422" s="84">
        <v>9.41</v>
      </c>
      <c r="D8422" s="84">
        <v>3.0</v>
      </c>
      <c r="E8422" s="84">
        <v>3.14</v>
      </c>
      <c r="F8422" s="76" t="s">
        <v>996</v>
      </c>
      <c r="G8422" s="83">
        <v>46117.0</v>
      </c>
      <c r="H8422" s="76" t="s">
        <v>947</v>
      </c>
    </row>
    <row r="8423">
      <c r="A8423" s="76" t="s">
        <v>28</v>
      </c>
      <c r="B8423" s="76" t="s">
        <v>1032</v>
      </c>
      <c r="C8423" s="84">
        <v>2.91</v>
      </c>
      <c r="D8423" s="84">
        <v>0.0</v>
      </c>
      <c r="E8423" s="84">
        <v>0.0</v>
      </c>
      <c r="F8423" s="76" t="s">
        <v>997</v>
      </c>
      <c r="G8423" s="83">
        <v>46117.0</v>
      </c>
      <c r="H8423" s="76" t="s">
        <v>931</v>
      </c>
    </row>
    <row r="8424">
      <c r="A8424" s="76" t="s">
        <v>28</v>
      </c>
      <c r="B8424" s="76" t="s">
        <v>1032</v>
      </c>
      <c r="C8424" s="84">
        <v>3.51</v>
      </c>
      <c r="D8424" s="84">
        <v>0.0</v>
      </c>
      <c r="E8424" s="84">
        <v>0.0</v>
      </c>
      <c r="F8424" s="76" t="s">
        <v>997</v>
      </c>
      <c r="G8424" s="83">
        <v>46117.0</v>
      </c>
      <c r="H8424" s="76" t="s">
        <v>932</v>
      </c>
    </row>
    <row r="8425">
      <c r="A8425" s="76" t="s">
        <v>28</v>
      </c>
      <c r="B8425" s="76" t="s">
        <v>1032</v>
      </c>
      <c r="C8425" s="84">
        <v>18.99</v>
      </c>
      <c r="D8425" s="84">
        <v>4.0</v>
      </c>
      <c r="E8425" s="84">
        <v>4.75</v>
      </c>
      <c r="F8425" s="76" t="s">
        <v>997</v>
      </c>
      <c r="G8425" s="83">
        <v>46117.0</v>
      </c>
      <c r="H8425" s="76" t="s">
        <v>933</v>
      </c>
    </row>
    <row r="8426">
      <c r="A8426" s="76" t="s">
        <v>45</v>
      </c>
      <c r="B8426" s="76" t="s">
        <v>1032</v>
      </c>
      <c r="C8426" s="84">
        <v>5.12</v>
      </c>
      <c r="D8426" s="84">
        <v>0.0</v>
      </c>
      <c r="E8426" s="84">
        <v>0.0</v>
      </c>
      <c r="F8426" s="76" t="s">
        <v>997</v>
      </c>
      <c r="G8426" s="83">
        <v>46117.0</v>
      </c>
      <c r="H8426" s="76" t="s">
        <v>936</v>
      </c>
    </row>
    <row r="8427">
      <c r="A8427" s="76" t="s">
        <v>45</v>
      </c>
      <c r="B8427" s="76" t="s">
        <v>1032</v>
      </c>
      <c r="C8427" s="84">
        <v>5.67</v>
      </c>
      <c r="D8427" s="84">
        <v>0.0</v>
      </c>
      <c r="E8427" s="84">
        <v>0.0</v>
      </c>
      <c r="F8427" s="76" t="s">
        <v>997</v>
      </c>
      <c r="G8427" s="83">
        <v>46117.0</v>
      </c>
      <c r="H8427" s="76" t="s">
        <v>937</v>
      </c>
    </row>
    <row r="8428">
      <c r="A8428" s="76" t="s">
        <v>45</v>
      </c>
      <c r="B8428" s="76" t="s">
        <v>1032</v>
      </c>
      <c r="C8428" s="84">
        <v>2.17</v>
      </c>
      <c r="D8428" s="84">
        <v>0.0</v>
      </c>
      <c r="E8428" s="84">
        <v>0.0</v>
      </c>
      <c r="F8428" s="76" t="s">
        <v>997</v>
      </c>
      <c r="G8428" s="83">
        <v>46117.0</v>
      </c>
      <c r="H8428" s="76" t="s">
        <v>938</v>
      </c>
    </row>
    <row r="8429">
      <c r="A8429" s="76" t="s">
        <v>32</v>
      </c>
      <c r="B8429" s="76" t="s">
        <v>1032</v>
      </c>
      <c r="C8429" s="84">
        <v>41.24</v>
      </c>
      <c r="D8429" s="84">
        <v>7.0</v>
      </c>
      <c r="E8429" s="84">
        <v>5.89</v>
      </c>
      <c r="F8429" s="76" t="s">
        <v>997</v>
      </c>
      <c r="G8429" s="83">
        <v>46117.0</v>
      </c>
      <c r="H8429" s="76" t="s">
        <v>941</v>
      </c>
    </row>
    <row r="8430">
      <c r="A8430" s="76" t="s">
        <v>32</v>
      </c>
      <c r="B8430" s="76" t="s">
        <v>1032</v>
      </c>
      <c r="C8430" s="84">
        <v>6.33</v>
      </c>
      <c r="D8430" s="84">
        <v>0.0</v>
      </c>
      <c r="E8430" s="84">
        <v>0.0</v>
      </c>
      <c r="F8430" s="76" t="s">
        <v>997</v>
      </c>
      <c r="G8430" s="83">
        <v>46117.0</v>
      </c>
      <c r="H8430" s="76" t="s">
        <v>942</v>
      </c>
    </row>
    <row r="8431">
      <c r="A8431" s="76" t="s">
        <v>32</v>
      </c>
      <c r="B8431" s="76" t="s">
        <v>1032</v>
      </c>
      <c r="C8431" s="84">
        <v>11.21</v>
      </c>
      <c r="D8431" s="84">
        <v>2.0</v>
      </c>
      <c r="E8431" s="84">
        <v>5.61</v>
      </c>
      <c r="F8431" s="76" t="s">
        <v>997</v>
      </c>
      <c r="G8431" s="83">
        <v>46117.0</v>
      </c>
      <c r="H8431" s="76" t="s">
        <v>943</v>
      </c>
    </row>
    <row r="8432">
      <c r="A8432" s="76" t="s">
        <v>944</v>
      </c>
      <c r="B8432" s="76" t="s">
        <v>1032</v>
      </c>
      <c r="C8432" s="84">
        <v>4.69</v>
      </c>
      <c r="D8432" s="84">
        <v>0.0</v>
      </c>
      <c r="E8432" s="84">
        <v>0.0</v>
      </c>
      <c r="F8432" s="76" t="s">
        <v>997</v>
      </c>
      <c r="G8432" s="83">
        <v>46117.0</v>
      </c>
      <c r="H8432" s="76" t="s">
        <v>945</v>
      </c>
    </row>
    <row r="8433">
      <c r="A8433" s="76" t="s">
        <v>944</v>
      </c>
      <c r="B8433" s="76" t="s">
        <v>1032</v>
      </c>
      <c r="C8433" s="84">
        <v>3.6</v>
      </c>
      <c r="D8433" s="84">
        <v>0.0</v>
      </c>
      <c r="E8433" s="84">
        <v>0.0</v>
      </c>
      <c r="F8433" s="76" t="s">
        <v>997</v>
      </c>
      <c r="G8433" s="83">
        <v>46117.0</v>
      </c>
      <c r="H8433" s="76" t="s">
        <v>946</v>
      </c>
    </row>
    <row r="8434">
      <c r="A8434" s="76" t="s">
        <v>944</v>
      </c>
      <c r="B8434" s="76" t="s">
        <v>1032</v>
      </c>
      <c r="C8434" s="84">
        <v>6.18</v>
      </c>
      <c r="D8434" s="84">
        <v>0.0</v>
      </c>
      <c r="E8434" s="84">
        <v>0.0</v>
      </c>
      <c r="F8434" s="76" t="s">
        <v>997</v>
      </c>
      <c r="G8434" s="83">
        <v>46117.0</v>
      </c>
      <c r="H8434" s="76" t="s">
        <v>947</v>
      </c>
    </row>
    <row r="8435">
      <c r="A8435" s="76" t="s">
        <v>36</v>
      </c>
      <c r="B8435" s="76" t="s">
        <v>1032</v>
      </c>
      <c r="C8435" s="84">
        <v>8.47</v>
      </c>
      <c r="D8435" s="84">
        <v>1.0</v>
      </c>
      <c r="E8435" s="84">
        <v>8.47</v>
      </c>
      <c r="F8435" s="76" t="s">
        <v>997</v>
      </c>
      <c r="G8435" s="83">
        <v>46117.0</v>
      </c>
      <c r="H8435" s="76" t="s">
        <v>926</v>
      </c>
    </row>
    <row r="8436">
      <c r="A8436" s="76" t="s">
        <v>36</v>
      </c>
      <c r="B8436" s="76" t="s">
        <v>1032</v>
      </c>
      <c r="C8436" s="84">
        <v>2.46</v>
      </c>
      <c r="D8436" s="84">
        <v>1.0</v>
      </c>
      <c r="E8436" s="84">
        <v>2.46</v>
      </c>
      <c r="F8436" s="76" t="s">
        <v>997</v>
      </c>
      <c r="G8436" s="83">
        <v>46117.0</v>
      </c>
      <c r="H8436" s="76" t="s">
        <v>927</v>
      </c>
    </row>
    <row r="8437">
      <c r="A8437" s="76" t="s">
        <v>36</v>
      </c>
      <c r="B8437" s="76" t="s">
        <v>1032</v>
      </c>
      <c r="C8437" s="84">
        <v>5.8</v>
      </c>
      <c r="D8437" s="84">
        <v>1.0</v>
      </c>
      <c r="E8437" s="84">
        <v>5.8</v>
      </c>
      <c r="F8437" s="76" t="s">
        <v>997</v>
      </c>
      <c r="G8437" s="83">
        <v>46117.0</v>
      </c>
      <c r="H8437" s="76" t="s">
        <v>928</v>
      </c>
    </row>
    <row r="8438">
      <c r="A8438" s="76" t="s">
        <v>31</v>
      </c>
      <c r="B8438" s="76" t="s">
        <v>1032</v>
      </c>
      <c r="C8438" s="84">
        <v>2.34</v>
      </c>
      <c r="D8438" s="84">
        <v>0.0</v>
      </c>
      <c r="E8438" s="84">
        <v>0.0</v>
      </c>
      <c r="F8438" s="76" t="s">
        <v>997</v>
      </c>
      <c r="G8438" s="83">
        <v>46117.0</v>
      </c>
      <c r="H8438" s="76" t="s">
        <v>929</v>
      </c>
    </row>
    <row r="8439">
      <c r="A8439" s="76" t="s">
        <v>31</v>
      </c>
      <c r="B8439" s="76" t="s">
        <v>1032</v>
      </c>
      <c r="C8439" s="84">
        <v>63.0</v>
      </c>
      <c r="D8439" s="84">
        <v>11.0</v>
      </c>
      <c r="E8439" s="84">
        <v>5.73</v>
      </c>
      <c r="F8439" s="76" t="s">
        <v>997</v>
      </c>
      <c r="G8439" s="83">
        <v>46117.0</v>
      </c>
      <c r="H8439" s="76" t="s">
        <v>930</v>
      </c>
    </row>
    <row r="8440">
      <c r="A8440" s="76" t="s">
        <v>26</v>
      </c>
      <c r="B8440" s="76" t="s">
        <v>1032</v>
      </c>
      <c r="C8440" s="84">
        <v>2.75</v>
      </c>
      <c r="D8440" s="84">
        <v>0.0</v>
      </c>
      <c r="E8440" s="84">
        <v>0.0</v>
      </c>
      <c r="F8440" s="76" t="s">
        <v>997</v>
      </c>
      <c r="G8440" s="83">
        <v>46117.0</v>
      </c>
      <c r="H8440" s="76" t="s">
        <v>1012</v>
      </c>
    </row>
    <row r="8441">
      <c r="A8441" s="76" t="s">
        <v>26</v>
      </c>
      <c r="B8441" s="76" t="s">
        <v>1032</v>
      </c>
      <c r="C8441" s="84">
        <v>4.87</v>
      </c>
      <c r="D8441" s="84">
        <v>0.0</v>
      </c>
      <c r="E8441" s="84">
        <v>0.0</v>
      </c>
      <c r="F8441" s="76" t="s">
        <v>997</v>
      </c>
      <c r="G8441" s="83">
        <v>46117.0</v>
      </c>
      <c r="H8441" s="76" t="s">
        <v>1013</v>
      </c>
    </row>
    <row r="8442">
      <c r="A8442" s="76" t="s">
        <v>26</v>
      </c>
      <c r="B8442" s="76" t="s">
        <v>1032</v>
      </c>
      <c r="C8442" s="84">
        <v>15.57</v>
      </c>
      <c r="D8442" s="84">
        <v>3.0</v>
      </c>
      <c r="E8442" s="84">
        <v>5.19</v>
      </c>
      <c r="F8442" s="76" t="s">
        <v>997</v>
      </c>
      <c r="G8442" s="83">
        <v>46117.0</v>
      </c>
      <c r="H8442" s="76" t="s">
        <v>1014</v>
      </c>
    </row>
    <row r="8443">
      <c r="A8443" s="76" t="s">
        <v>45</v>
      </c>
      <c r="B8443" s="76" t="s">
        <v>1032</v>
      </c>
      <c r="C8443" s="84">
        <v>2.36</v>
      </c>
      <c r="D8443" s="84">
        <v>0.0</v>
      </c>
      <c r="E8443" s="84">
        <v>0.0</v>
      </c>
      <c r="F8443" s="76" t="s">
        <v>990</v>
      </c>
      <c r="G8443" s="83">
        <v>46117.0</v>
      </c>
      <c r="H8443" s="76" t="s">
        <v>936</v>
      </c>
    </row>
    <row r="8444">
      <c r="A8444" s="76" t="s">
        <v>45</v>
      </c>
      <c r="B8444" s="76" t="s">
        <v>1032</v>
      </c>
      <c r="C8444" s="84">
        <v>6.36</v>
      </c>
      <c r="D8444" s="84">
        <v>1.0</v>
      </c>
      <c r="E8444" s="84">
        <v>6.36</v>
      </c>
      <c r="F8444" s="76" t="s">
        <v>990</v>
      </c>
      <c r="G8444" s="83">
        <v>46117.0</v>
      </c>
      <c r="H8444" s="76" t="s">
        <v>937</v>
      </c>
    </row>
    <row r="8445">
      <c r="A8445" s="76" t="s">
        <v>45</v>
      </c>
      <c r="B8445" s="76" t="s">
        <v>1032</v>
      </c>
      <c r="C8445" s="84">
        <v>1.42</v>
      </c>
      <c r="D8445" s="84">
        <v>0.0</v>
      </c>
      <c r="E8445" s="84">
        <v>0.0</v>
      </c>
      <c r="F8445" s="76" t="s">
        <v>990</v>
      </c>
      <c r="G8445" s="83">
        <v>46117.0</v>
      </c>
      <c r="H8445" s="76" t="s">
        <v>938</v>
      </c>
    </row>
    <row r="8446">
      <c r="A8446" s="76" t="s">
        <v>32</v>
      </c>
      <c r="B8446" s="76" t="s">
        <v>1032</v>
      </c>
      <c r="C8446" s="84">
        <v>56.19</v>
      </c>
      <c r="D8446" s="84">
        <v>13.0</v>
      </c>
      <c r="E8446" s="84">
        <v>4.32</v>
      </c>
      <c r="F8446" s="76" t="s">
        <v>990</v>
      </c>
      <c r="G8446" s="83">
        <v>46117.0</v>
      </c>
      <c r="H8446" s="76" t="s">
        <v>941</v>
      </c>
    </row>
    <row r="8447">
      <c r="A8447" s="76" t="s">
        <v>32</v>
      </c>
      <c r="B8447" s="76" t="s">
        <v>1032</v>
      </c>
      <c r="C8447" s="84">
        <v>4.47</v>
      </c>
      <c r="D8447" s="84">
        <v>0.0</v>
      </c>
      <c r="E8447" s="84">
        <v>0.0</v>
      </c>
      <c r="F8447" s="76" t="s">
        <v>990</v>
      </c>
      <c r="G8447" s="83">
        <v>46117.0</v>
      </c>
      <c r="H8447" s="76" t="s">
        <v>942</v>
      </c>
    </row>
    <row r="8448">
      <c r="A8448" s="76" t="s">
        <v>32</v>
      </c>
      <c r="B8448" s="76" t="s">
        <v>1032</v>
      </c>
      <c r="C8448" s="84">
        <v>6.53</v>
      </c>
      <c r="D8448" s="84">
        <v>1.0</v>
      </c>
      <c r="E8448" s="84">
        <v>6.53</v>
      </c>
      <c r="F8448" s="76" t="s">
        <v>990</v>
      </c>
      <c r="G8448" s="83">
        <v>46117.0</v>
      </c>
      <c r="H8448" s="76" t="s">
        <v>943</v>
      </c>
    </row>
    <row r="8449">
      <c r="A8449" s="76" t="s">
        <v>36</v>
      </c>
      <c r="B8449" s="76" t="s">
        <v>1032</v>
      </c>
      <c r="C8449" s="84">
        <v>4.46</v>
      </c>
      <c r="D8449" s="84">
        <v>2.0</v>
      </c>
      <c r="E8449" s="84">
        <v>2.23</v>
      </c>
      <c r="F8449" s="76" t="s">
        <v>990</v>
      </c>
      <c r="G8449" s="83">
        <v>46117.0</v>
      </c>
      <c r="H8449" s="76" t="s">
        <v>926</v>
      </c>
    </row>
    <row r="8450">
      <c r="A8450" s="76" t="s">
        <v>36</v>
      </c>
      <c r="B8450" s="76" t="s">
        <v>1032</v>
      </c>
      <c r="C8450" s="84">
        <v>1.62</v>
      </c>
      <c r="D8450" s="84">
        <v>0.0</v>
      </c>
      <c r="E8450" s="84">
        <v>0.0</v>
      </c>
      <c r="F8450" s="76" t="s">
        <v>990</v>
      </c>
      <c r="G8450" s="83">
        <v>46117.0</v>
      </c>
      <c r="H8450" s="76" t="s">
        <v>927</v>
      </c>
    </row>
    <row r="8451">
      <c r="A8451" s="76" t="s">
        <v>36</v>
      </c>
      <c r="B8451" s="76" t="s">
        <v>1032</v>
      </c>
      <c r="C8451" s="84">
        <v>6.38</v>
      </c>
      <c r="D8451" s="84">
        <v>0.0</v>
      </c>
      <c r="E8451" s="84">
        <v>0.0</v>
      </c>
      <c r="F8451" s="76" t="s">
        <v>990</v>
      </c>
      <c r="G8451" s="83">
        <v>46117.0</v>
      </c>
      <c r="H8451" s="76" t="s">
        <v>928</v>
      </c>
    </row>
    <row r="8452">
      <c r="A8452" s="76" t="s">
        <v>28</v>
      </c>
      <c r="B8452" s="76" t="s">
        <v>1032</v>
      </c>
      <c r="C8452" s="84">
        <v>2.62</v>
      </c>
      <c r="D8452" s="84">
        <v>1.0</v>
      </c>
      <c r="E8452" s="84">
        <v>2.62</v>
      </c>
      <c r="F8452" s="76" t="s">
        <v>990</v>
      </c>
      <c r="G8452" s="83">
        <v>46117.0</v>
      </c>
      <c r="H8452" s="76" t="s">
        <v>931</v>
      </c>
    </row>
    <row r="8453">
      <c r="A8453" s="76" t="s">
        <v>28</v>
      </c>
      <c r="B8453" s="76" t="s">
        <v>1032</v>
      </c>
      <c r="C8453" s="84">
        <v>2.37</v>
      </c>
      <c r="D8453" s="84">
        <v>0.0</v>
      </c>
      <c r="E8453" s="84">
        <v>0.0</v>
      </c>
      <c r="F8453" s="76" t="s">
        <v>990</v>
      </c>
      <c r="G8453" s="83">
        <v>46117.0</v>
      </c>
      <c r="H8453" s="76" t="s">
        <v>932</v>
      </c>
    </row>
    <row r="8454">
      <c r="A8454" s="76" t="s">
        <v>28</v>
      </c>
      <c r="B8454" s="76" t="s">
        <v>1032</v>
      </c>
      <c r="C8454" s="84">
        <v>12.46</v>
      </c>
      <c r="D8454" s="84">
        <v>1.0</v>
      </c>
      <c r="E8454" s="84">
        <v>12.46</v>
      </c>
      <c r="F8454" s="76" t="s">
        <v>990</v>
      </c>
      <c r="G8454" s="83">
        <v>46117.0</v>
      </c>
      <c r="H8454" s="76" t="s">
        <v>933</v>
      </c>
    </row>
    <row r="8455">
      <c r="A8455" s="76" t="s">
        <v>31</v>
      </c>
      <c r="B8455" s="76" t="s">
        <v>1032</v>
      </c>
      <c r="C8455" s="84">
        <v>3.81</v>
      </c>
      <c r="D8455" s="84">
        <v>0.0</v>
      </c>
      <c r="E8455" s="84">
        <v>0.0</v>
      </c>
      <c r="F8455" s="76" t="s">
        <v>990</v>
      </c>
      <c r="G8455" s="83">
        <v>46117.0</v>
      </c>
      <c r="H8455" s="76" t="s">
        <v>929</v>
      </c>
    </row>
    <row r="8456">
      <c r="A8456" s="76" t="s">
        <v>31</v>
      </c>
      <c r="B8456" s="76" t="s">
        <v>1032</v>
      </c>
      <c r="C8456" s="84">
        <v>28.6</v>
      </c>
      <c r="D8456" s="84">
        <v>1.0</v>
      </c>
      <c r="E8456" s="84">
        <v>28.6</v>
      </c>
      <c r="F8456" s="76" t="s">
        <v>990</v>
      </c>
      <c r="G8456" s="83">
        <v>46117.0</v>
      </c>
      <c r="H8456" s="76" t="s">
        <v>930</v>
      </c>
    </row>
    <row r="8457">
      <c r="A8457" s="76" t="s">
        <v>26</v>
      </c>
      <c r="B8457" s="76" t="s">
        <v>1032</v>
      </c>
      <c r="C8457" s="84">
        <v>3.11</v>
      </c>
      <c r="D8457" s="84">
        <v>0.0</v>
      </c>
      <c r="E8457" s="84">
        <v>0.0</v>
      </c>
      <c r="F8457" s="76" t="s">
        <v>990</v>
      </c>
      <c r="G8457" s="83">
        <v>46117.0</v>
      </c>
      <c r="H8457" s="76" t="s">
        <v>1012</v>
      </c>
    </row>
    <row r="8458">
      <c r="A8458" s="76" t="s">
        <v>26</v>
      </c>
      <c r="B8458" s="76" t="s">
        <v>1032</v>
      </c>
      <c r="C8458" s="84">
        <v>2.8</v>
      </c>
      <c r="D8458" s="84">
        <v>1.0</v>
      </c>
      <c r="E8458" s="84">
        <v>2.8</v>
      </c>
      <c r="F8458" s="76" t="s">
        <v>990</v>
      </c>
      <c r="G8458" s="83">
        <v>46117.0</v>
      </c>
      <c r="H8458" s="76" t="s">
        <v>1013</v>
      </c>
    </row>
    <row r="8459">
      <c r="A8459" s="76" t="s">
        <v>26</v>
      </c>
      <c r="B8459" s="76" t="s">
        <v>1032</v>
      </c>
      <c r="C8459" s="84">
        <v>21.25</v>
      </c>
      <c r="D8459" s="84">
        <v>3.0</v>
      </c>
      <c r="E8459" s="84">
        <v>7.08</v>
      </c>
      <c r="F8459" s="76" t="s">
        <v>990</v>
      </c>
      <c r="G8459" s="83">
        <v>46117.0</v>
      </c>
      <c r="H8459" s="76" t="s">
        <v>1014</v>
      </c>
    </row>
    <row r="8460">
      <c r="A8460" s="76" t="s">
        <v>944</v>
      </c>
      <c r="B8460" s="76" t="s">
        <v>1032</v>
      </c>
      <c r="C8460" s="84">
        <v>4.64</v>
      </c>
      <c r="D8460" s="84">
        <v>1.0</v>
      </c>
      <c r="E8460" s="84">
        <v>4.64</v>
      </c>
      <c r="F8460" s="76" t="s">
        <v>990</v>
      </c>
      <c r="G8460" s="83">
        <v>46117.0</v>
      </c>
      <c r="H8460" s="76" t="s">
        <v>945</v>
      </c>
    </row>
    <row r="8461">
      <c r="A8461" s="76" t="s">
        <v>944</v>
      </c>
      <c r="B8461" s="76" t="s">
        <v>1032</v>
      </c>
      <c r="C8461" s="84">
        <v>2.8</v>
      </c>
      <c r="D8461" s="84">
        <v>1.0</v>
      </c>
      <c r="E8461" s="84">
        <v>2.8</v>
      </c>
      <c r="F8461" s="76" t="s">
        <v>990</v>
      </c>
      <c r="G8461" s="83">
        <v>46117.0</v>
      </c>
      <c r="H8461" s="76" t="s">
        <v>946</v>
      </c>
    </row>
    <row r="8462">
      <c r="A8462" s="76" t="s">
        <v>944</v>
      </c>
      <c r="B8462" s="76" t="s">
        <v>1032</v>
      </c>
      <c r="C8462" s="84">
        <v>5.64</v>
      </c>
      <c r="D8462" s="84">
        <v>0.0</v>
      </c>
      <c r="E8462" s="84">
        <v>0.0</v>
      </c>
      <c r="F8462" s="76" t="s">
        <v>990</v>
      </c>
      <c r="G8462" s="83">
        <v>46117.0</v>
      </c>
      <c r="H8462" s="76" t="s">
        <v>947</v>
      </c>
    </row>
    <row r="8463">
      <c r="A8463" s="76" t="s">
        <v>26</v>
      </c>
      <c r="B8463" s="76" t="s">
        <v>1032</v>
      </c>
      <c r="C8463" s="84">
        <v>32.25</v>
      </c>
      <c r="D8463" s="84">
        <v>7.0</v>
      </c>
      <c r="E8463" s="84">
        <v>4.61</v>
      </c>
      <c r="F8463" s="76" t="s">
        <v>1005</v>
      </c>
      <c r="G8463" s="83">
        <v>46117.0</v>
      </c>
      <c r="H8463" s="76" t="s">
        <v>1012</v>
      </c>
    </row>
    <row r="8464">
      <c r="A8464" s="76" t="s">
        <v>26</v>
      </c>
      <c r="B8464" s="76" t="s">
        <v>1032</v>
      </c>
      <c r="C8464" s="84">
        <v>39.26</v>
      </c>
      <c r="D8464" s="84">
        <v>8.0</v>
      </c>
      <c r="E8464" s="84">
        <v>4.91</v>
      </c>
      <c r="F8464" s="76" t="s">
        <v>1005</v>
      </c>
      <c r="G8464" s="83">
        <v>46117.0</v>
      </c>
      <c r="H8464" s="76" t="s">
        <v>1013</v>
      </c>
    </row>
    <row r="8465">
      <c r="A8465" s="76" t="s">
        <v>26</v>
      </c>
      <c r="B8465" s="76" t="s">
        <v>1032</v>
      </c>
      <c r="C8465" s="84">
        <v>131.08</v>
      </c>
      <c r="D8465" s="84">
        <v>27.0</v>
      </c>
      <c r="E8465" s="84">
        <v>4.85</v>
      </c>
      <c r="F8465" s="76" t="s">
        <v>1005</v>
      </c>
      <c r="G8465" s="83">
        <v>46117.0</v>
      </c>
      <c r="H8465" s="76" t="s">
        <v>1014</v>
      </c>
    </row>
    <row r="8466">
      <c r="A8466" s="76" t="s">
        <v>28</v>
      </c>
      <c r="B8466" s="76" t="s">
        <v>1032</v>
      </c>
      <c r="C8466" s="84">
        <v>36.44</v>
      </c>
      <c r="D8466" s="84">
        <v>9.0</v>
      </c>
      <c r="E8466" s="84">
        <v>4.05</v>
      </c>
      <c r="F8466" s="76" t="s">
        <v>1005</v>
      </c>
      <c r="G8466" s="83">
        <v>46117.0</v>
      </c>
      <c r="H8466" s="76" t="s">
        <v>931</v>
      </c>
    </row>
    <row r="8467">
      <c r="A8467" s="76" t="s">
        <v>28</v>
      </c>
      <c r="B8467" s="76" t="s">
        <v>1032</v>
      </c>
      <c r="C8467" s="84">
        <v>22.14</v>
      </c>
      <c r="D8467" s="84">
        <v>4.0</v>
      </c>
      <c r="E8467" s="84">
        <v>5.54</v>
      </c>
      <c r="F8467" s="76" t="s">
        <v>1005</v>
      </c>
      <c r="G8467" s="83">
        <v>46117.0</v>
      </c>
      <c r="H8467" s="76" t="s">
        <v>932</v>
      </c>
    </row>
    <row r="8468">
      <c r="A8468" s="76" t="s">
        <v>28</v>
      </c>
      <c r="B8468" s="76" t="s">
        <v>1032</v>
      </c>
      <c r="C8468" s="84">
        <v>321.82</v>
      </c>
      <c r="D8468" s="84">
        <v>79.0</v>
      </c>
      <c r="E8468" s="84">
        <v>4.07</v>
      </c>
      <c r="F8468" s="76" t="s">
        <v>1005</v>
      </c>
      <c r="G8468" s="83">
        <v>46117.0</v>
      </c>
      <c r="H8468" s="76" t="s">
        <v>933</v>
      </c>
    </row>
    <row r="8469">
      <c r="A8469" s="76" t="s">
        <v>36</v>
      </c>
      <c r="B8469" s="76" t="s">
        <v>1032</v>
      </c>
      <c r="C8469" s="84">
        <v>66.67</v>
      </c>
      <c r="D8469" s="84">
        <v>16.0</v>
      </c>
      <c r="E8469" s="84">
        <v>4.17</v>
      </c>
      <c r="F8469" s="76" t="s">
        <v>1005</v>
      </c>
      <c r="G8469" s="83">
        <v>46117.0</v>
      </c>
      <c r="H8469" s="76" t="s">
        <v>926</v>
      </c>
    </row>
    <row r="8470">
      <c r="A8470" s="76" t="s">
        <v>36</v>
      </c>
      <c r="B8470" s="76" t="s">
        <v>1032</v>
      </c>
      <c r="C8470" s="84">
        <v>27.01</v>
      </c>
      <c r="D8470" s="84">
        <v>4.0</v>
      </c>
      <c r="E8470" s="84">
        <v>6.75</v>
      </c>
      <c r="F8470" s="76" t="s">
        <v>1005</v>
      </c>
      <c r="G8470" s="83">
        <v>46117.0</v>
      </c>
      <c r="H8470" s="76" t="s">
        <v>927</v>
      </c>
    </row>
    <row r="8471">
      <c r="A8471" s="76" t="s">
        <v>36</v>
      </c>
      <c r="B8471" s="76" t="s">
        <v>1032</v>
      </c>
      <c r="C8471" s="84">
        <v>31.66</v>
      </c>
      <c r="D8471" s="84">
        <v>14.0</v>
      </c>
      <c r="E8471" s="84">
        <v>2.26</v>
      </c>
      <c r="F8471" s="76" t="s">
        <v>1005</v>
      </c>
      <c r="G8471" s="83">
        <v>46117.0</v>
      </c>
      <c r="H8471" s="76" t="s">
        <v>928</v>
      </c>
    </row>
    <row r="8472">
      <c r="A8472" s="76" t="s">
        <v>31</v>
      </c>
      <c r="B8472" s="76" t="s">
        <v>1032</v>
      </c>
      <c r="C8472" s="84">
        <v>38.14</v>
      </c>
      <c r="D8472" s="84">
        <v>9.0</v>
      </c>
      <c r="E8472" s="84">
        <v>4.24</v>
      </c>
      <c r="F8472" s="76" t="s">
        <v>1005</v>
      </c>
      <c r="G8472" s="83">
        <v>46117.0</v>
      </c>
      <c r="H8472" s="76" t="s">
        <v>929</v>
      </c>
    </row>
    <row r="8473">
      <c r="A8473" s="76" t="s">
        <v>31</v>
      </c>
      <c r="B8473" s="76" t="s">
        <v>1032</v>
      </c>
      <c r="C8473" s="84">
        <v>488.16</v>
      </c>
      <c r="D8473" s="84">
        <v>123.0</v>
      </c>
      <c r="E8473" s="84">
        <v>3.97</v>
      </c>
      <c r="F8473" s="76" t="s">
        <v>1005</v>
      </c>
      <c r="G8473" s="83">
        <v>46117.0</v>
      </c>
      <c r="H8473" s="76" t="s">
        <v>930</v>
      </c>
    </row>
    <row r="8474">
      <c r="A8474" s="76" t="s">
        <v>944</v>
      </c>
      <c r="B8474" s="76" t="s">
        <v>1032</v>
      </c>
      <c r="C8474" s="84">
        <v>50.15</v>
      </c>
      <c r="D8474" s="84">
        <v>12.0</v>
      </c>
      <c r="E8474" s="84">
        <v>4.18</v>
      </c>
      <c r="F8474" s="76" t="s">
        <v>1005</v>
      </c>
      <c r="G8474" s="83">
        <v>46117.0</v>
      </c>
      <c r="H8474" s="76" t="s">
        <v>945</v>
      </c>
    </row>
    <row r="8475">
      <c r="A8475" s="76" t="s">
        <v>944</v>
      </c>
      <c r="B8475" s="76" t="s">
        <v>1032</v>
      </c>
      <c r="C8475" s="84">
        <v>29.94</v>
      </c>
      <c r="D8475" s="84">
        <v>4.0</v>
      </c>
      <c r="E8475" s="84">
        <v>7.48</v>
      </c>
      <c r="F8475" s="76" t="s">
        <v>1005</v>
      </c>
      <c r="G8475" s="83">
        <v>46117.0</v>
      </c>
      <c r="H8475" s="76" t="s">
        <v>946</v>
      </c>
    </row>
    <row r="8476">
      <c r="A8476" s="76" t="s">
        <v>944</v>
      </c>
      <c r="B8476" s="76" t="s">
        <v>1032</v>
      </c>
      <c r="C8476" s="84">
        <v>58.13</v>
      </c>
      <c r="D8476" s="84">
        <v>14.0</v>
      </c>
      <c r="E8476" s="84">
        <v>4.15</v>
      </c>
      <c r="F8476" s="76" t="s">
        <v>1005</v>
      </c>
      <c r="G8476" s="83">
        <v>46117.0</v>
      </c>
      <c r="H8476" s="76" t="s">
        <v>947</v>
      </c>
    </row>
    <row r="8477">
      <c r="A8477" s="76" t="s">
        <v>45</v>
      </c>
      <c r="B8477" s="76" t="s">
        <v>1032</v>
      </c>
      <c r="C8477" s="84">
        <v>28.41</v>
      </c>
      <c r="D8477" s="84">
        <v>5.0</v>
      </c>
      <c r="E8477" s="84">
        <v>5.68</v>
      </c>
      <c r="F8477" s="76" t="s">
        <v>1005</v>
      </c>
      <c r="G8477" s="83">
        <v>46117.0</v>
      </c>
      <c r="H8477" s="76" t="s">
        <v>936</v>
      </c>
    </row>
    <row r="8478">
      <c r="A8478" s="76" t="s">
        <v>45</v>
      </c>
      <c r="B8478" s="76" t="s">
        <v>1032</v>
      </c>
      <c r="C8478" s="84">
        <v>37.63</v>
      </c>
      <c r="D8478" s="84">
        <v>4.0</v>
      </c>
      <c r="E8478" s="84">
        <v>9.41</v>
      </c>
      <c r="F8478" s="76" t="s">
        <v>1005</v>
      </c>
      <c r="G8478" s="83">
        <v>46117.0</v>
      </c>
      <c r="H8478" s="76" t="s">
        <v>937</v>
      </c>
    </row>
    <row r="8479">
      <c r="A8479" s="76" t="s">
        <v>45</v>
      </c>
      <c r="B8479" s="76" t="s">
        <v>1032</v>
      </c>
      <c r="C8479" s="84">
        <v>14.92</v>
      </c>
      <c r="D8479" s="84">
        <v>2.0</v>
      </c>
      <c r="E8479" s="84">
        <v>7.46</v>
      </c>
      <c r="F8479" s="76" t="s">
        <v>1005</v>
      </c>
      <c r="G8479" s="83">
        <v>46117.0</v>
      </c>
      <c r="H8479" s="76" t="s">
        <v>938</v>
      </c>
    </row>
    <row r="8480">
      <c r="A8480" s="76" t="s">
        <v>32</v>
      </c>
      <c r="B8480" s="76" t="s">
        <v>1032</v>
      </c>
      <c r="C8480" s="84">
        <v>187.88</v>
      </c>
      <c r="D8480" s="84">
        <v>34.0</v>
      </c>
      <c r="E8480" s="84">
        <v>5.53</v>
      </c>
      <c r="F8480" s="76" t="s">
        <v>1005</v>
      </c>
      <c r="G8480" s="83">
        <v>46117.0</v>
      </c>
      <c r="H8480" s="76" t="s">
        <v>941</v>
      </c>
    </row>
    <row r="8481">
      <c r="A8481" s="76" t="s">
        <v>32</v>
      </c>
      <c r="B8481" s="76" t="s">
        <v>1032</v>
      </c>
      <c r="C8481" s="84">
        <v>37.82</v>
      </c>
      <c r="D8481" s="84">
        <v>1.0</v>
      </c>
      <c r="E8481" s="84">
        <v>37.82</v>
      </c>
      <c r="F8481" s="76" t="s">
        <v>1005</v>
      </c>
      <c r="G8481" s="83">
        <v>46117.0</v>
      </c>
      <c r="H8481" s="76" t="s">
        <v>942</v>
      </c>
    </row>
    <row r="8482">
      <c r="A8482" s="76" t="s">
        <v>32</v>
      </c>
      <c r="B8482" s="76" t="s">
        <v>1032</v>
      </c>
      <c r="C8482" s="84">
        <v>78.75</v>
      </c>
      <c r="D8482" s="84">
        <v>14.0</v>
      </c>
      <c r="E8482" s="84">
        <v>5.62</v>
      </c>
      <c r="F8482" s="76" t="s">
        <v>1005</v>
      </c>
      <c r="G8482" s="83">
        <v>46117.0</v>
      </c>
      <c r="H8482" s="76" t="s">
        <v>943</v>
      </c>
    </row>
    <row r="8483">
      <c r="A8483" s="76" t="s">
        <v>26</v>
      </c>
      <c r="B8483" s="76" t="s">
        <v>1032</v>
      </c>
      <c r="C8483" s="84">
        <v>1.85</v>
      </c>
      <c r="D8483" s="84">
        <v>0.0</v>
      </c>
      <c r="E8483" s="84">
        <v>0.0</v>
      </c>
      <c r="F8483" s="76" t="s">
        <v>993</v>
      </c>
      <c r="G8483" s="83">
        <v>46117.0</v>
      </c>
      <c r="H8483" s="76" t="s">
        <v>1012</v>
      </c>
    </row>
    <row r="8484">
      <c r="A8484" s="76" t="s">
        <v>26</v>
      </c>
      <c r="B8484" s="76" t="s">
        <v>1032</v>
      </c>
      <c r="C8484" s="84">
        <v>0.68</v>
      </c>
      <c r="D8484" s="84">
        <v>0.0</v>
      </c>
      <c r="E8484" s="84">
        <v>0.0</v>
      </c>
      <c r="F8484" s="76" t="s">
        <v>993</v>
      </c>
      <c r="G8484" s="83">
        <v>46117.0</v>
      </c>
      <c r="H8484" s="76" t="s">
        <v>1013</v>
      </c>
    </row>
    <row r="8485">
      <c r="A8485" s="76" t="s">
        <v>26</v>
      </c>
      <c r="B8485" s="76" t="s">
        <v>1032</v>
      </c>
      <c r="C8485" s="84">
        <v>1.46</v>
      </c>
      <c r="D8485" s="84">
        <v>0.0</v>
      </c>
      <c r="E8485" s="84">
        <v>0.0</v>
      </c>
      <c r="F8485" s="76" t="s">
        <v>993</v>
      </c>
      <c r="G8485" s="83">
        <v>46117.0</v>
      </c>
      <c r="H8485" s="76" t="s">
        <v>1014</v>
      </c>
    </row>
    <row r="8486">
      <c r="A8486" s="76" t="s">
        <v>944</v>
      </c>
      <c r="B8486" s="76" t="s">
        <v>1032</v>
      </c>
      <c r="C8486" s="84">
        <v>1.7</v>
      </c>
      <c r="D8486" s="84">
        <v>0.0</v>
      </c>
      <c r="E8486" s="84">
        <v>0.0</v>
      </c>
      <c r="F8486" s="76" t="s">
        <v>993</v>
      </c>
      <c r="G8486" s="83">
        <v>46117.0</v>
      </c>
      <c r="H8486" s="76" t="s">
        <v>945</v>
      </c>
    </row>
    <row r="8487">
      <c r="A8487" s="76" t="s">
        <v>944</v>
      </c>
      <c r="B8487" s="76" t="s">
        <v>1032</v>
      </c>
      <c r="C8487" s="84">
        <v>4.64</v>
      </c>
      <c r="D8487" s="84">
        <v>0.0</v>
      </c>
      <c r="E8487" s="84">
        <v>0.0</v>
      </c>
      <c r="F8487" s="76" t="s">
        <v>993</v>
      </c>
      <c r="G8487" s="83">
        <v>46117.0</v>
      </c>
      <c r="H8487" s="76" t="s">
        <v>946</v>
      </c>
    </row>
    <row r="8488">
      <c r="A8488" s="76" t="s">
        <v>944</v>
      </c>
      <c r="B8488" s="76" t="s">
        <v>1032</v>
      </c>
      <c r="C8488" s="84">
        <v>0.68</v>
      </c>
      <c r="D8488" s="84">
        <v>0.0</v>
      </c>
      <c r="E8488" s="84">
        <v>0.0</v>
      </c>
      <c r="F8488" s="76" t="s">
        <v>993</v>
      </c>
      <c r="G8488" s="83">
        <v>46117.0</v>
      </c>
      <c r="H8488" s="76" t="s">
        <v>947</v>
      </c>
    </row>
    <row r="8489">
      <c r="A8489" s="76" t="s">
        <v>45</v>
      </c>
      <c r="B8489" s="76" t="s">
        <v>1032</v>
      </c>
      <c r="C8489" s="84">
        <v>2.86</v>
      </c>
      <c r="D8489" s="84">
        <v>0.0</v>
      </c>
      <c r="E8489" s="84">
        <v>0.0</v>
      </c>
      <c r="F8489" s="76" t="s">
        <v>993</v>
      </c>
      <c r="G8489" s="83">
        <v>46117.0</v>
      </c>
      <c r="H8489" s="76" t="s">
        <v>936</v>
      </c>
    </row>
    <row r="8490">
      <c r="A8490" s="76" t="s">
        <v>45</v>
      </c>
      <c r="B8490" s="76" t="s">
        <v>1032</v>
      </c>
      <c r="C8490" s="84">
        <v>1.03</v>
      </c>
      <c r="D8490" s="84">
        <v>0.0</v>
      </c>
      <c r="E8490" s="84">
        <v>0.0</v>
      </c>
      <c r="F8490" s="76" t="s">
        <v>993</v>
      </c>
      <c r="G8490" s="83">
        <v>46117.0</v>
      </c>
      <c r="H8490" s="76" t="s">
        <v>937</v>
      </c>
    </row>
    <row r="8491">
      <c r="A8491" s="76" t="s">
        <v>45</v>
      </c>
      <c r="B8491" s="76" t="s">
        <v>1032</v>
      </c>
      <c r="C8491" s="84">
        <v>0.9</v>
      </c>
      <c r="D8491" s="84">
        <v>0.0</v>
      </c>
      <c r="E8491" s="84">
        <v>0.0</v>
      </c>
      <c r="F8491" s="76" t="s">
        <v>993</v>
      </c>
      <c r="G8491" s="83">
        <v>46117.0</v>
      </c>
      <c r="H8491" s="76" t="s">
        <v>938</v>
      </c>
    </row>
    <row r="8492">
      <c r="A8492" s="76" t="s">
        <v>32</v>
      </c>
      <c r="B8492" s="76" t="s">
        <v>1032</v>
      </c>
      <c r="C8492" s="84">
        <v>12.85</v>
      </c>
      <c r="D8492" s="84">
        <v>4.0</v>
      </c>
      <c r="E8492" s="84">
        <v>3.21</v>
      </c>
      <c r="F8492" s="76" t="s">
        <v>993</v>
      </c>
      <c r="G8492" s="83">
        <v>46117.0</v>
      </c>
      <c r="H8492" s="76" t="s">
        <v>941</v>
      </c>
    </row>
    <row r="8493">
      <c r="A8493" s="76" t="s">
        <v>32</v>
      </c>
      <c r="B8493" s="76" t="s">
        <v>1032</v>
      </c>
      <c r="C8493" s="84">
        <v>2.2</v>
      </c>
      <c r="D8493" s="84">
        <v>0.0</v>
      </c>
      <c r="E8493" s="84">
        <v>0.0</v>
      </c>
      <c r="F8493" s="76" t="s">
        <v>993</v>
      </c>
      <c r="G8493" s="83">
        <v>46117.0</v>
      </c>
      <c r="H8493" s="76" t="s">
        <v>942</v>
      </c>
    </row>
    <row r="8494">
      <c r="A8494" s="76" t="s">
        <v>32</v>
      </c>
      <c r="B8494" s="76" t="s">
        <v>1032</v>
      </c>
      <c r="C8494" s="84">
        <v>0.91</v>
      </c>
      <c r="D8494" s="84">
        <v>1.0</v>
      </c>
      <c r="E8494" s="84">
        <v>0.91</v>
      </c>
      <c r="F8494" s="76" t="s">
        <v>993</v>
      </c>
      <c r="G8494" s="83">
        <v>46117.0</v>
      </c>
      <c r="H8494" s="76" t="s">
        <v>943</v>
      </c>
    </row>
    <row r="8495">
      <c r="A8495" s="76" t="s">
        <v>36</v>
      </c>
      <c r="B8495" s="76" t="s">
        <v>1032</v>
      </c>
      <c r="C8495" s="84">
        <v>0.85</v>
      </c>
      <c r="D8495" s="84">
        <v>0.0</v>
      </c>
      <c r="E8495" s="84">
        <v>0.0</v>
      </c>
      <c r="F8495" s="76" t="s">
        <v>993</v>
      </c>
      <c r="G8495" s="83">
        <v>46117.0</v>
      </c>
      <c r="H8495" s="76" t="s">
        <v>926</v>
      </c>
    </row>
    <row r="8496">
      <c r="A8496" s="76" t="s">
        <v>36</v>
      </c>
      <c r="B8496" s="76" t="s">
        <v>1032</v>
      </c>
      <c r="C8496" s="84">
        <v>1.83</v>
      </c>
      <c r="D8496" s="84">
        <v>0.0</v>
      </c>
      <c r="E8496" s="84">
        <v>0.0</v>
      </c>
      <c r="F8496" s="76" t="s">
        <v>993</v>
      </c>
      <c r="G8496" s="83">
        <v>46117.0</v>
      </c>
      <c r="H8496" s="76" t="s">
        <v>927</v>
      </c>
    </row>
    <row r="8497">
      <c r="A8497" s="76" t="s">
        <v>36</v>
      </c>
      <c r="B8497" s="76" t="s">
        <v>1032</v>
      </c>
      <c r="C8497" s="84">
        <v>0.83</v>
      </c>
      <c r="D8497" s="84">
        <v>0.0</v>
      </c>
      <c r="E8497" s="84">
        <v>0.0</v>
      </c>
      <c r="F8497" s="76" t="s">
        <v>993</v>
      </c>
      <c r="G8497" s="83">
        <v>46117.0</v>
      </c>
      <c r="H8497" s="76" t="s">
        <v>928</v>
      </c>
    </row>
    <row r="8498">
      <c r="A8498" s="76" t="s">
        <v>28</v>
      </c>
      <c r="B8498" s="76" t="s">
        <v>1032</v>
      </c>
      <c r="C8498" s="84">
        <v>0.92</v>
      </c>
      <c r="D8498" s="84">
        <v>0.0</v>
      </c>
      <c r="E8498" s="84">
        <v>0.0</v>
      </c>
      <c r="F8498" s="76" t="s">
        <v>993</v>
      </c>
      <c r="G8498" s="83">
        <v>46117.0</v>
      </c>
      <c r="H8498" s="76" t="s">
        <v>931</v>
      </c>
    </row>
    <row r="8499">
      <c r="A8499" s="76" t="s">
        <v>28</v>
      </c>
      <c r="B8499" s="76" t="s">
        <v>1032</v>
      </c>
      <c r="C8499" s="84">
        <v>0.14</v>
      </c>
      <c r="D8499" s="84">
        <v>0.0</v>
      </c>
      <c r="E8499" s="84">
        <v>0.0</v>
      </c>
      <c r="F8499" s="76" t="s">
        <v>993</v>
      </c>
      <c r="G8499" s="83">
        <v>46117.0</v>
      </c>
      <c r="H8499" s="76" t="s">
        <v>932</v>
      </c>
    </row>
    <row r="8500">
      <c r="A8500" s="76" t="s">
        <v>28</v>
      </c>
      <c r="B8500" s="76" t="s">
        <v>1032</v>
      </c>
      <c r="C8500" s="84">
        <v>1.45</v>
      </c>
      <c r="D8500" s="84">
        <v>2.0</v>
      </c>
      <c r="E8500" s="84">
        <v>0.73</v>
      </c>
      <c r="F8500" s="76" t="s">
        <v>993</v>
      </c>
      <c r="G8500" s="83">
        <v>46117.0</v>
      </c>
      <c r="H8500" s="76" t="s">
        <v>933</v>
      </c>
    </row>
    <row r="8501">
      <c r="A8501" s="76" t="s">
        <v>31</v>
      </c>
      <c r="B8501" s="76" t="s">
        <v>1032</v>
      </c>
      <c r="C8501" s="84">
        <v>0.58</v>
      </c>
      <c r="D8501" s="84">
        <v>0.0</v>
      </c>
      <c r="E8501" s="84">
        <v>0.0</v>
      </c>
      <c r="F8501" s="76" t="s">
        <v>993</v>
      </c>
      <c r="G8501" s="83">
        <v>46117.0</v>
      </c>
      <c r="H8501" s="76" t="s">
        <v>929</v>
      </c>
    </row>
    <row r="8502">
      <c r="A8502" s="76" t="s">
        <v>31</v>
      </c>
      <c r="B8502" s="76" t="s">
        <v>1032</v>
      </c>
      <c r="C8502" s="84">
        <v>6.27</v>
      </c>
      <c r="D8502" s="84">
        <v>1.0</v>
      </c>
      <c r="E8502" s="84">
        <v>6.27</v>
      </c>
      <c r="F8502" s="76" t="s">
        <v>993</v>
      </c>
      <c r="G8502" s="83">
        <v>46117.0</v>
      </c>
      <c r="H8502" s="76" t="s">
        <v>930</v>
      </c>
    </row>
    <row r="8503">
      <c r="A8503" s="76" t="s">
        <v>36</v>
      </c>
      <c r="B8503" s="76" t="s">
        <v>1032</v>
      </c>
      <c r="C8503" s="84">
        <v>0.91</v>
      </c>
      <c r="D8503" s="84">
        <v>0.0</v>
      </c>
      <c r="E8503" s="84">
        <v>0.0</v>
      </c>
      <c r="F8503" s="76" t="s">
        <v>998</v>
      </c>
      <c r="G8503" s="83">
        <v>46117.0</v>
      </c>
      <c r="H8503" s="76" t="s">
        <v>926</v>
      </c>
    </row>
    <row r="8504">
      <c r="A8504" s="76" t="s">
        <v>36</v>
      </c>
      <c r="B8504" s="76" t="s">
        <v>1032</v>
      </c>
      <c r="C8504" s="84">
        <v>0.26</v>
      </c>
      <c r="D8504" s="84">
        <v>0.0</v>
      </c>
      <c r="E8504" s="84">
        <v>0.0</v>
      </c>
      <c r="F8504" s="76" t="s">
        <v>998</v>
      </c>
      <c r="G8504" s="83">
        <v>46117.0</v>
      </c>
      <c r="H8504" s="76" t="s">
        <v>927</v>
      </c>
    </row>
    <row r="8505">
      <c r="A8505" s="76" t="s">
        <v>36</v>
      </c>
      <c r="B8505" s="76" t="s">
        <v>1032</v>
      </c>
      <c r="C8505" s="84">
        <v>0.42</v>
      </c>
      <c r="D8505" s="84">
        <v>0.0</v>
      </c>
      <c r="E8505" s="84">
        <v>0.0</v>
      </c>
      <c r="F8505" s="76" t="s">
        <v>998</v>
      </c>
      <c r="G8505" s="83">
        <v>46117.0</v>
      </c>
      <c r="H8505" s="76" t="s">
        <v>928</v>
      </c>
    </row>
    <row r="8506">
      <c r="A8506" s="76" t="s">
        <v>31</v>
      </c>
      <c r="B8506" s="76" t="s">
        <v>1032</v>
      </c>
      <c r="C8506" s="84">
        <v>0.19</v>
      </c>
      <c r="D8506" s="84">
        <v>2.0</v>
      </c>
      <c r="E8506" s="84">
        <v>0.09</v>
      </c>
      <c r="F8506" s="76" t="s">
        <v>998</v>
      </c>
      <c r="G8506" s="83">
        <v>46117.0</v>
      </c>
      <c r="H8506" s="76" t="s">
        <v>929</v>
      </c>
    </row>
    <row r="8507">
      <c r="A8507" s="76" t="s">
        <v>31</v>
      </c>
      <c r="B8507" s="76" t="s">
        <v>1032</v>
      </c>
      <c r="C8507" s="84">
        <v>3.35</v>
      </c>
      <c r="D8507" s="84">
        <v>2.0</v>
      </c>
      <c r="E8507" s="84">
        <v>1.68</v>
      </c>
      <c r="F8507" s="76" t="s">
        <v>998</v>
      </c>
      <c r="G8507" s="83">
        <v>46117.0</v>
      </c>
      <c r="H8507" s="76" t="s">
        <v>930</v>
      </c>
    </row>
    <row r="8508">
      <c r="A8508" s="76" t="s">
        <v>28</v>
      </c>
      <c r="B8508" s="76" t="s">
        <v>1032</v>
      </c>
      <c r="C8508" s="84">
        <v>0.31</v>
      </c>
      <c r="D8508" s="84">
        <v>0.0</v>
      </c>
      <c r="E8508" s="84">
        <v>0.0</v>
      </c>
      <c r="F8508" s="76" t="s">
        <v>998</v>
      </c>
      <c r="G8508" s="83">
        <v>46117.0</v>
      </c>
      <c r="H8508" s="76" t="s">
        <v>931</v>
      </c>
    </row>
    <row r="8509">
      <c r="A8509" s="76" t="s">
        <v>28</v>
      </c>
      <c r="B8509" s="76" t="s">
        <v>1032</v>
      </c>
      <c r="C8509" s="84">
        <v>0.26</v>
      </c>
      <c r="D8509" s="84">
        <v>0.0</v>
      </c>
      <c r="E8509" s="84">
        <v>0.0</v>
      </c>
      <c r="F8509" s="76" t="s">
        <v>998</v>
      </c>
      <c r="G8509" s="83">
        <v>46117.0</v>
      </c>
      <c r="H8509" s="76" t="s">
        <v>932</v>
      </c>
    </row>
    <row r="8510">
      <c r="A8510" s="76" t="s">
        <v>28</v>
      </c>
      <c r="B8510" s="76" t="s">
        <v>1032</v>
      </c>
      <c r="C8510" s="84">
        <v>2.2</v>
      </c>
      <c r="D8510" s="84">
        <v>0.0</v>
      </c>
      <c r="E8510" s="84">
        <v>0.0</v>
      </c>
      <c r="F8510" s="76" t="s">
        <v>998</v>
      </c>
      <c r="G8510" s="83">
        <v>46117.0</v>
      </c>
      <c r="H8510" s="76" t="s">
        <v>933</v>
      </c>
    </row>
    <row r="8511">
      <c r="A8511" s="76" t="s">
        <v>944</v>
      </c>
      <c r="B8511" s="76" t="s">
        <v>1032</v>
      </c>
      <c r="C8511" s="84">
        <v>0.93</v>
      </c>
      <c r="D8511" s="84">
        <v>1.0</v>
      </c>
      <c r="E8511" s="84">
        <v>0.93</v>
      </c>
      <c r="F8511" s="76" t="s">
        <v>998</v>
      </c>
      <c r="G8511" s="83">
        <v>46117.0</v>
      </c>
      <c r="H8511" s="76" t="s">
        <v>945</v>
      </c>
    </row>
    <row r="8512">
      <c r="A8512" s="76" t="s">
        <v>944</v>
      </c>
      <c r="B8512" s="76" t="s">
        <v>1032</v>
      </c>
      <c r="C8512" s="84">
        <v>0.17</v>
      </c>
      <c r="D8512" s="84">
        <v>0.0</v>
      </c>
      <c r="E8512" s="84">
        <v>0.0</v>
      </c>
      <c r="F8512" s="76" t="s">
        <v>998</v>
      </c>
      <c r="G8512" s="83">
        <v>46117.0</v>
      </c>
      <c r="H8512" s="76" t="s">
        <v>946</v>
      </c>
    </row>
    <row r="8513">
      <c r="A8513" s="76" t="s">
        <v>944</v>
      </c>
      <c r="B8513" s="76" t="s">
        <v>1032</v>
      </c>
      <c r="C8513" s="84">
        <v>0.28</v>
      </c>
      <c r="D8513" s="84">
        <v>0.0</v>
      </c>
      <c r="E8513" s="84">
        <v>0.0</v>
      </c>
      <c r="F8513" s="76" t="s">
        <v>998</v>
      </c>
      <c r="G8513" s="83">
        <v>46117.0</v>
      </c>
      <c r="H8513" s="76" t="s">
        <v>947</v>
      </c>
    </row>
    <row r="8514">
      <c r="A8514" s="76" t="s">
        <v>45</v>
      </c>
      <c r="B8514" s="76" t="s">
        <v>1032</v>
      </c>
      <c r="C8514" s="84">
        <v>0.22</v>
      </c>
      <c r="D8514" s="84">
        <v>0.0</v>
      </c>
      <c r="E8514" s="84">
        <v>0.0</v>
      </c>
      <c r="F8514" s="76" t="s">
        <v>998</v>
      </c>
      <c r="G8514" s="83">
        <v>46117.0</v>
      </c>
      <c r="H8514" s="76" t="s">
        <v>936</v>
      </c>
    </row>
    <row r="8515">
      <c r="A8515" s="76" t="s">
        <v>45</v>
      </c>
      <c r="B8515" s="76" t="s">
        <v>1032</v>
      </c>
      <c r="C8515" s="84">
        <v>0.7</v>
      </c>
      <c r="D8515" s="84">
        <v>0.0</v>
      </c>
      <c r="E8515" s="84">
        <v>0.0</v>
      </c>
      <c r="F8515" s="76" t="s">
        <v>998</v>
      </c>
      <c r="G8515" s="83">
        <v>46117.0</v>
      </c>
      <c r="H8515" s="76" t="s">
        <v>937</v>
      </c>
    </row>
    <row r="8516">
      <c r="A8516" s="76" t="s">
        <v>45</v>
      </c>
      <c r="B8516" s="76" t="s">
        <v>1032</v>
      </c>
      <c r="C8516" s="84">
        <v>0.13</v>
      </c>
      <c r="D8516" s="84">
        <v>0.0</v>
      </c>
      <c r="E8516" s="84">
        <v>0.0</v>
      </c>
      <c r="F8516" s="76" t="s">
        <v>998</v>
      </c>
      <c r="G8516" s="83">
        <v>46117.0</v>
      </c>
      <c r="H8516" s="76" t="s">
        <v>938</v>
      </c>
    </row>
    <row r="8517">
      <c r="A8517" s="76" t="s">
        <v>32</v>
      </c>
      <c r="B8517" s="76" t="s">
        <v>1032</v>
      </c>
      <c r="C8517" s="84">
        <v>2.7</v>
      </c>
      <c r="D8517" s="84">
        <v>1.0</v>
      </c>
      <c r="E8517" s="84">
        <v>2.7</v>
      </c>
      <c r="F8517" s="76" t="s">
        <v>998</v>
      </c>
      <c r="G8517" s="83">
        <v>46117.0</v>
      </c>
      <c r="H8517" s="76" t="s">
        <v>941</v>
      </c>
    </row>
    <row r="8518">
      <c r="A8518" s="76" t="s">
        <v>32</v>
      </c>
      <c r="B8518" s="76" t="s">
        <v>1032</v>
      </c>
      <c r="C8518" s="84">
        <v>0.43</v>
      </c>
      <c r="D8518" s="84">
        <v>0.0</v>
      </c>
      <c r="E8518" s="84">
        <v>0.0</v>
      </c>
      <c r="F8518" s="76" t="s">
        <v>998</v>
      </c>
      <c r="G8518" s="83">
        <v>46117.0</v>
      </c>
      <c r="H8518" s="76" t="s">
        <v>942</v>
      </c>
    </row>
    <row r="8519">
      <c r="A8519" s="76" t="s">
        <v>32</v>
      </c>
      <c r="B8519" s="76" t="s">
        <v>1032</v>
      </c>
      <c r="C8519" s="84">
        <v>1.12</v>
      </c>
      <c r="D8519" s="84">
        <v>0.0</v>
      </c>
      <c r="E8519" s="84">
        <v>0.0</v>
      </c>
      <c r="F8519" s="76" t="s">
        <v>998</v>
      </c>
      <c r="G8519" s="83">
        <v>46117.0</v>
      </c>
      <c r="H8519" s="76" t="s">
        <v>943</v>
      </c>
    </row>
    <row r="8520">
      <c r="A8520" s="76" t="s">
        <v>26</v>
      </c>
      <c r="B8520" s="76" t="s">
        <v>1032</v>
      </c>
      <c r="C8520" s="84">
        <v>0.17</v>
      </c>
      <c r="D8520" s="84">
        <v>0.0</v>
      </c>
      <c r="E8520" s="84">
        <v>0.0</v>
      </c>
      <c r="F8520" s="76" t="s">
        <v>998</v>
      </c>
      <c r="G8520" s="83">
        <v>46117.0</v>
      </c>
      <c r="H8520" s="76" t="s">
        <v>1012</v>
      </c>
    </row>
    <row r="8521">
      <c r="A8521" s="76" t="s">
        <v>26</v>
      </c>
      <c r="B8521" s="76" t="s">
        <v>1032</v>
      </c>
      <c r="C8521" s="84">
        <v>0.37</v>
      </c>
      <c r="D8521" s="84">
        <v>0.0</v>
      </c>
      <c r="E8521" s="84">
        <v>0.0</v>
      </c>
      <c r="F8521" s="76" t="s">
        <v>998</v>
      </c>
      <c r="G8521" s="83">
        <v>46117.0</v>
      </c>
      <c r="H8521" s="76" t="s">
        <v>1013</v>
      </c>
    </row>
    <row r="8522">
      <c r="A8522" s="76" t="s">
        <v>26</v>
      </c>
      <c r="B8522" s="76" t="s">
        <v>1032</v>
      </c>
      <c r="C8522" s="84">
        <v>0.54</v>
      </c>
      <c r="D8522" s="84">
        <v>0.0</v>
      </c>
      <c r="E8522" s="84">
        <v>0.0</v>
      </c>
      <c r="F8522" s="76" t="s">
        <v>998</v>
      </c>
      <c r="G8522" s="83">
        <v>46117.0</v>
      </c>
      <c r="H8522" s="76" t="s">
        <v>1014</v>
      </c>
    </row>
    <row r="8523">
      <c r="A8523" s="76" t="s">
        <v>34</v>
      </c>
      <c r="B8523" s="76" t="s">
        <v>1035</v>
      </c>
      <c r="C8523" s="84">
        <v>0.37</v>
      </c>
      <c r="D8523" s="84">
        <v>0.0</v>
      </c>
      <c r="E8523" s="84">
        <v>0.0</v>
      </c>
      <c r="F8523" s="76" t="s">
        <v>925</v>
      </c>
      <c r="G8523" s="83">
        <v>46117.0</v>
      </c>
      <c r="H8523" s="76" t="s">
        <v>951</v>
      </c>
    </row>
    <row r="8524">
      <c r="A8524" s="76" t="s">
        <v>34</v>
      </c>
      <c r="B8524" s="76" t="s">
        <v>1035</v>
      </c>
      <c r="C8524" s="84">
        <v>1.04</v>
      </c>
      <c r="D8524" s="84">
        <v>1.0</v>
      </c>
      <c r="E8524" s="84">
        <v>1.04</v>
      </c>
      <c r="F8524" s="76" t="s">
        <v>925</v>
      </c>
      <c r="G8524" s="83">
        <v>46117.0</v>
      </c>
      <c r="H8524" s="76" t="s">
        <v>952</v>
      </c>
    </row>
    <row r="8525">
      <c r="A8525" s="76" t="s">
        <v>34</v>
      </c>
      <c r="B8525" s="76" t="s">
        <v>1035</v>
      </c>
      <c r="C8525" s="84">
        <v>0.34</v>
      </c>
      <c r="D8525" s="84">
        <v>0.0</v>
      </c>
      <c r="E8525" s="84">
        <v>0.0</v>
      </c>
      <c r="F8525" s="76" t="s">
        <v>925</v>
      </c>
      <c r="G8525" s="83">
        <v>46117.0</v>
      </c>
      <c r="H8525" s="76" t="s">
        <v>953</v>
      </c>
    </row>
    <row r="8526">
      <c r="A8526" s="76" t="s">
        <v>43</v>
      </c>
      <c r="B8526" s="76" t="s">
        <v>1035</v>
      </c>
      <c r="C8526" s="84">
        <v>0.59</v>
      </c>
      <c r="D8526" s="84">
        <v>0.0</v>
      </c>
      <c r="E8526" s="84">
        <v>0.0</v>
      </c>
      <c r="F8526" s="76" t="s">
        <v>925</v>
      </c>
      <c r="G8526" s="83">
        <v>46117.0</v>
      </c>
      <c r="H8526" s="76" t="s">
        <v>963</v>
      </c>
    </row>
    <row r="8527">
      <c r="A8527" s="76" t="s">
        <v>43</v>
      </c>
      <c r="B8527" s="76" t="s">
        <v>1035</v>
      </c>
      <c r="C8527" s="84">
        <v>1.4</v>
      </c>
      <c r="D8527" s="84">
        <v>1.0</v>
      </c>
      <c r="E8527" s="84">
        <v>1.4</v>
      </c>
      <c r="F8527" s="76" t="s">
        <v>925</v>
      </c>
      <c r="G8527" s="83">
        <v>46117.0</v>
      </c>
      <c r="H8527" s="76" t="s">
        <v>964</v>
      </c>
    </row>
    <row r="8528">
      <c r="A8528" s="76" t="s">
        <v>43</v>
      </c>
      <c r="B8528" s="76" t="s">
        <v>1035</v>
      </c>
      <c r="C8528" s="84">
        <v>2.13</v>
      </c>
      <c r="D8528" s="84">
        <v>1.0</v>
      </c>
      <c r="E8528" s="84">
        <v>2.13</v>
      </c>
      <c r="F8528" s="76" t="s">
        <v>925</v>
      </c>
      <c r="G8528" s="83">
        <v>46117.0</v>
      </c>
      <c r="H8528" s="76" t="s">
        <v>965</v>
      </c>
    </row>
    <row r="8529">
      <c r="A8529" s="76" t="s">
        <v>970</v>
      </c>
      <c r="B8529" s="76" t="s">
        <v>1035</v>
      </c>
      <c r="C8529" s="84">
        <v>6.42</v>
      </c>
      <c r="D8529" s="84">
        <v>0.0</v>
      </c>
      <c r="E8529" s="84">
        <v>0.0</v>
      </c>
      <c r="F8529" s="76" t="s">
        <v>925</v>
      </c>
      <c r="G8529" s="83">
        <v>46117.0</v>
      </c>
      <c r="H8529" s="76" t="s">
        <v>971</v>
      </c>
    </row>
    <row r="8530">
      <c r="A8530" s="76" t="s">
        <v>970</v>
      </c>
      <c r="B8530" s="76" t="s">
        <v>1035</v>
      </c>
      <c r="C8530" s="84">
        <v>0.55</v>
      </c>
      <c r="D8530" s="84">
        <v>0.0</v>
      </c>
      <c r="E8530" s="84">
        <v>0.0</v>
      </c>
      <c r="F8530" s="76" t="s">
        <v>925</v>
      </c>
      <c r="G8530" s="83">
        <v>46117.0</v>
      </c>
      <c r="H8530" s="76" t="s">
        <v>972</v>
      </c>
    </row>
    <row r="8531">
      <c r="A8531" s="76" t="s">
        <v>970</v>
      </c>
      <c r="B8531" s="76" t="s">
        <v>1035</v>
      </c>
      <c r="C8531" s="84">
        <v>10.04</v>
      </c>
      <c r="D8531" s="84">
        <v>3.0</v>
      </c>
      <c r="E8531" s="84">
        <v>3.35</v>
      </c>
      <c r="F8531" s="76" t="s">
        <v>925</v>
      </c>
      <c r="G8531" s="83">
        <v>46117.0</v>
      </c>
      <c r="H8531" s="76" t="s">
        <v>973</v>
      </c>
    </row>
    <row r="8532">
      <c r="A8532" s="76" t="s">
        <v>966</v>
      </c>
      <c r="B8532" s="76" t="s">
        <v>1035</v>
      </c>
      <c r="C8532" s="84">
        <v>1.24</v>
      </c>
      <c r="D8532" s="84">
        <v>0.0</v>
      </c>
      <c r="E8532" s="84">
        <v>0.0</v>
      </c>
      <c r="F8532" s="76" t="s">
        <v>925</v>
      </c>
      <c r="G8532" s="83">
        <v>46117.0</v>
      </c>
      <c r="H8532" s="76" t="s">
        <v>967</v>
      </c>
    </row>
    <row r="8533">
      <c r="A8533" s="76" t="s">
        <v>966</v>
      </c>
      <c r="B8533" s="76" t="s">
        <v>1035</v>
      </c>
      <c r="C8533" s="84">
        <v>0.07</v>
      </c>
      <c r="D8533" s="84">
        <v>0.0</v>
      </c>
      <c r="E8533" s="84">
        <v>0.0</v>
      </c>
      <c r="F8533" s="76" t="s">
        <v>925</v>
      </c>
      <c r="G8533" s="83">
        <v>46117.0</v>
      </c>
      <c r="H8533" s="76" t="s">
        <v>968</v>
      </c>
    </row>
    <row r="8534">
      <c r="A8534" s="76" t="s">
        <v>966</v>
      </c>
      <c r="B8534" s="76" t="s">
        <v>1035</v>
      </c>
      <c r="C8534" s="84">
        <v>0.64</v>
      </c>
      <c r="D8534" s="84">
        <v>0.0</v>
      </c>
      <c r="E8534" s="84">
        <v>0.0</v>
      </c>
      <c r="F8534" s="76" t="s">
        <v>925</v>
      </c>
      <c r="G8534" s="83">
        <v>46117.0</v>
      </c>
      <c r="H8534" s="76" t="s">
        <v>969</v>
      </c>
    </row>
    <row r="8535">
      <c r="A8535" s="76" t="s">
        <v>40</v>
      </c>
      <c r="B8535" s="76" t="s">
        <v>1035</v>
      </c>
      <c r="C8535" s="84">
        <v>0.37</v>
      </c>
      <c r="D8535" s="84">
        <v>0.0</v>
      </c>
      <c r="E8535" s="84">
        <v>0.0</v>
      </c>
      <c r="F8535" s="76" t="s">
        <v>925</v>
      </c>
      <c r="G8535" s="83">
        <v>46117.0</v>
      </c>
      <c r="H8535" s="76" t="s">
        <v>954</v>
      </c>
    </row>
    <row r="8536">
      <c r="A8536" s="76" t="s">
        <v>40</v>
      </c>
      <c r="B8536" s="76" t="s">
        <v>1035</v>
      </c>
      <c r="C8536" s="84">
        <v>0.25</v>
      </c>
      <c r="D8536" s="84">
        <v>0.0</v>
      </c>
      <c r="E8536" s="84">
        <v>0.0</v>
      </c>
      <c r="F8536" s="76" t="s">
        <v>925</v>
      </c>
      <c r="G8536" s="83">
        <v>46117.0</v>
      </c>
      <c r="H8536" s="76" t="s">
        <v>955</v>
      </c>
    </row>
    <row r="8537">
      <c r="A8537" s="76" t="s">
        <v>40</v>
      </c>
      <c r="B8537" s="76" t="s">
        <v>1035</v>
      </c>
      <c r="C8537" s="84">
        <v>3.09</v>
      </c>
      <c r="D8537" s="84">
        <v>1.0</v>
      </c>
      <c r="E8537" s="84">
        <v>3.09</v>
      </c>
      <c r="F8537" s="76" t="s">
        <v>925</v>
      </c>
      <c r="G8537" s="83">
        <v>46117.0</v>
      </c>
      <c r="H8537" s="76" t="s">
        <v>956</v>
      </c>
    </row>
    <row r="8538">
      <c r="A8538" s="76" t="s">
        <v>29</v>
      </c>
      <c r="B8538" s="76" t="s">
        <v>1035</v>
      </c>
      <c r="C8538" s="84">
        <v>6.75</v>
      </c>
      <c r="D8538" s="84">
        <v>0.0</v>
      </c>
      <c r="E8538" s="84">
        <v>0.0</v>
      </c>
      <c r="F8538" s="76" t="s">
        <v>925</v>
      </c>
      <c r="G8538" s="83">
        <v>46117.0</v>
      </c>
      <c r="H8538" s="76" t="s">
        <v>971</v>
      </c>
    </row>
    <row r="8539">
      <c r="A8539" s="76" t="s">
        <v>29</v>
      </c>
      <c r="B8539" s="76" t="s">
        <v>1035</v>
      </c>
      <c r="C8539" s="84">
        <v>0.98</v>
      </c>
      <c r="D8539" s="84">
        <v>0.0</v>
      </c>
      <c r="E8539" s="84">
        <v>0.0</v>
      </c>
      <c r="F8539" s="76" t="s">
        <v>925</v>
      </c>
      <c r="G8539" s="83">
        <v>46117.0</v>
      </c>
      <c r="H8539" s="76" t="s">
        <v>972</v>
      </c>
    </row>
    <row r="8540">
      <c r="A8540" s="76" t="s">
        <v>29</v>
      </c>
      <c r="B8540" s="76" t="s">
        <v>1035</v>
      </c>
      <c r="C8540" s="84">
        <v>6.04</v>
      </c>
      <c r="D8540" s="84">
        <v>0.0</v>
      </c>
      <c r="E8540" s="84">
        <v>0.0</v>
      </c>
      <c r="F8540" s="76" t="s">
        <v>925</v>
      </c>
      <c r="G8540" s="83">
        <v>46117.0</v>
      </c>
      <c r="H8540" s="76" t="s">
        <v>973</v>
      </c>
    </row>
    <row r="8541">
      <c r="A8541" s="76" t="s">
        <v>46</v>
      </c>
      <c r="B8541" s="76" t="s">
        <v>1035</v>
      </c>
      <c r="C8541" s="84">
        <v>0.38</v>
      </c>
      <c r="D8541" s="84">
        <v>0.0</v>
      </c>
      <c r="E8541" s="84">
        <v>0.0</v>
      </c>
      <c r="F8541" s="76" t="s">
        <v>925</v>
      </c>
      <c r="G8541" s="83">
        <v>46117.0</v>
      </c>
      <c r="H8541" s="76" t="s">
        <v>960</v>
      </c>
    </row>
    <row r="8542">
      <c r="A8542" s="76" t="s">
        <v>46</v>
      </c>
      <c r="B8542" s="76" t="s">
        <v>1035</v>
      </c>
      <c r="C8542" s="84">
        <v>0.18</v>
      </c>
      <c r="D8542" s="84">
        <v>0.0</v>
      </c>
      <c r="E8542" s="84">
        <v>0.0</v>
      </c>
      <c r="F8542" s="76" t="s">
        <v>925</v>
      </c>
      <c r="G8542" s="83">
        <v>46117.0</v>
      </c>
      <c r="H8542" s="76" t="s">
        <v>961</v>
      </c>
    </row>
    <row r="8543">
      <c r="A8543" s="76" t="s">
        <v>46</v>
      </c>
      <c r="B8543" s="76" t="s">
        <v>1035</v>
      </c>
      <c r="C8543" s="84">
        <v>0.24</v>
      </c>
      <c r="D8543" s="84">
        <v>0.0</v>
      </c>
      <c r="E8543" s="84">
        <v>0.0</v>
      </c>
      <c r="F8543" s="76" t="s">
        <v>925</v>
      </c>
      <c r="G8543" s="83">
        <v>46117.0</v>
      </c>
      <c r="H8543" s="76" t="s">
        <v>962</v>
      </c>
    </row>
    <row r="8544">
      <c r="A8544" s="76" t="s">
        <v>36</v>
      </c>
      <c r="B8544" s="76" t="s">
        <v>1035</v>
      </c>
      <c r="C8544" s="84">
        <v>1.23</v>
      </c>
      <c r="D8544" s="84">
        <v>0.0</v>
      </c>
      <c r="E8544" s="84">
        <v>0.0</v>
      </c>
      <c r="F8544" s="76" t="s">
        <v>925</v>
      </c>
      <c r="G8544" s="83">
        <v>46117.0</v>
      </c>
      <c r="H8544" s="76" t="s">
        <v>926</v>
      </c>
    </row>
    <row r="8545">
      <c r="A8545" s="76" t="s">
        <v>36</v>
      </c>
      <c r="B8545" s="76" t="s">
        <v>1035</v>
      </c>
      <c r="C8545" s="84">
        <v>0.33</v>
      </c>
      <c r="D8545" s="84">
        <v>0.0</v>
      </c>
      <c r="E8545" s="84">
        <v>0.0</v>
      </c>
      <c r="F8545" s="76" t="s">
        <v>925</v>
      </c>
      <c r="G8545" s="83">
        <v>46117.0</v>
      </c>
      <c r="H8545" s="76" t="s">
        <v>927</v>
      </c>
    </row>
    <row r="8546">
      <c r="A8546" s="76" t="s">
        <v>36</v>
      </c>
      <c r="B8546" s="76" t="s">
        <v>1035</v>
      </c>
      <c r="C8546" s="84">
        <v>0.45</v>
      </c>
      <c r="D8546" s="84">
        <v>0.0</v>
      </c>
      <c r="E8546" s="84">
        <v>0.0</v>
      </c>
      <c r="F8546" s="76" t="s">
        <v>925</v>
      </c>
      <c r="G8546" s="83">
        <v>46117.0</v>
      </c>
      <c r="H8546" s="76" t="s">
        <v>928</v>
      </c>
    </row>
    <row r="8547">
      <c r="A8547" s="76" t="s">
        <v>33</v>
      </c>
      <c r="B8547" s="76" t="s">
        <v>1035</v>
      </c>
      <c r="C8547" s="84">
        <v>11.27</v>
      </c>
      <c r="D8547" s="84">
        <v>3.0</v>
      </c>
      <c r="E8547" s="84">
        <v>3.76</v>
      </c>
      <c r="F8547" s="76" t="s">
        <v>925</v>
      </c>
      <c r="G8547" s="83">
        <v>46117.0</v>
      </c>
      <c r="H8547" s="76" t="s">
        <v>957</v>
      </c>
    </row>
    <row r="8548">
      <c r="A8548" s="76" t="s">
        <v>33</v>
      </c>
      <c r="B8548" s="76" t="s">
        <v>1035</v>
      </c>
      <c r="C8548" s="84">
        <v>3.25</v>
      </c>
      <c r="D8548" s="84">
        <v>0.0</v>
      </c>
      <c r="E8548" s="84">
        <v>0.0</v>
      </c>
      <c r="F8548" s="76" t="s">
        <v>925</v>
      </c>
      <c r="G8548" s="83">
        <v>46117.0</v>
      </c>
      <c r="H8548" s="76" t="s">
        <v>958</v>
      </c>
    </row>
    <row r="8549">
      <c r="A8549" s="76" t="s">
        <v>33</v>
      </c>
      <c r="B8549" s="76" t="s">
        <v>1035</v>
      </c>
      <c r="C8549" s="84">
        <v>2.31</v>
      </c>
      <c r="D8549" s="84">
        <v>0.0</v>
      </c>
      <c r="E8549" s="84">
        <v>0.0</v>
      </c>
      <c r="F8549" s="76" t="s">
        <v>925</v>
      </c>
      <c r="G8549" s="83">
        <v>46117.0</v>
      </c>
      <c r="H8549" s="76" t="s">
        <v>959</v>
      </c>
    </row>
    <row r="8550">
      <c r="A8550" s="76" t="s">
        <v>36</v>
      </c>
      <c r="B8550" s="76" t="s">
        <v>1035</v>
      </c>
      <c r="C8550" s="84">
        <v>0.69</v>
      </c>
      <c r="D8550" s="84">
        <v>0.0</v>
      </c>
      <c r="E8550" s="84">
        <v>0.0</v>
      </c>
      <c r="F8550" s="76" t="s">
        <v>948</v>
      </c>
      <c r="G8550" s="83">
        <v>46117.0</v>
      </c>
      <c r="H8550" s="76" t="s">
        <v>926</v>
      </c>
    </row>
    <row r="8551">
      <c r="A8551" s="76" t="s">
        <v>36</v>
      </c>
      <c r="B8551" s="76" t="s">
        <v>1035</v>
      </c>
      <c r="C8551" s="84">
        <v>0.1</v>
      </c>
      <c r="D8551" s="84">
        <v>0.0</v>
      </c>
      <c r="E8551" s="84">
        <v>0.0</v>
      </c>
      <c r="F8551" s="76" t="s">
        <v>948</v>
      </c>
      <c r="G8551" s="83">
        <v>46117.0</v>
      </c>
      <c r="H8551" s="76" t="s">
        <v>927</v>
      </c>
    </row>
    <row r="8552">
      <c r="A8552" s="76" t="s">
        <v>36</v>
      </c>
      <c r="B8552" s="76" t="s">
        <v>1035</v>
      </c>
      <c r="C8552" s="84">
        <v>0.23</v>
      </c>
      <c r="D8552" s="84">
        <v>0.0</v>
      </c>
      <c r="E8552" s="84">
        <v>0.0</v>
      </c>
      <c r="F8552" s="76" t="s">
        <v>948</v>
      </c>
      <c r="G8552" s="83">
        <v>46117.0</v>
      </c>
      <c r="H8552" s="76" t="s">
        <v>928</v>
      </c>
    </row>
    <row r="8553">
      <c r="A8553" s="76" t="s">
        <v>40</v>
      </c>
      <c r="B8553" s="76" t="s">
        <v>1035</v>
      </c>
      <c r="C8553" s="84">
        <v>0.18</v>
      </c>
      <c r="D8553" s="84">
        <v>0.0</v>
      </c>
      <c r="E8553" s="84">
        <v>0.0</v>
      </c>
      <c r="F8553" s="76" t="s">
        <v>948</v>
      </c>
      <c r="G8553" s="83">
        <v>46117.0</v>
      </c>
      <c r="H8553" s="76" t="s">
        <v>954</v>
      </c>
    </row>
    <row r="8554">
      <c r="A8554" s="76" t="s">
        <v>40</v>
      </c>
      <c r="B8554" s="76" t="s">
        <v>1035</v>
      </c>
      <c r="C8554" s="84">
        <v>0.08</v>
      </c>
      <c r="D8554" s="84">
        <v>0.0</v>
      </c>
      <c r="E8554" s="84">
        <v>0.0</v>
      </c>
      <c r="F8554" s="76" t="s">
        <v>948</v>
      </c>
      <c r="G8554" s="83">
        <v>46117.0</v>
      </c>
      <c r="H8554" s="76" t="s">
        <v>955</v>
      </c>
    </row>
    <row r="8555">
      <c r="A8555" s="76" t="s">
        <v>40</v>
      </c>
      <c r="B8555" s="76" t="s">
        <v>1035</v>
      </c>
      <c r="C8555" s="84">
        <v>1.81</v>
      </c>
      <c r="D8555" s="84">
        <v>1.0</v>
      </c>
      <c r="E8555" s="84">
        <v>1.81</v>
      </c>
      <c r="F8555" s="76" t="s">
        <v>948</v>
      </c>
      <c r="G8555" s="83">
        <v>46117.0</v>
      </c>
      <c r="H8555" s="76" t="s">
        <v>956</v>
      </c>
    </row>
    <row r="8556">
      <c r="A8556" s="76" t="s">
        <v>970</v>
      </c>
      <c r="B8556" s="76" t="s">
        <v>1035</v>
      </c>
      <c r="C8556" s="84">
        <v>2.8</v>
      </c>
      <c r="D8556" s="84">
        <v>0.0</v>
      </c>
      <c r="E8556" s="84">
        <v>0.0</v>
      </c>
      <c r="F8556" s="76" t="s">
        <v>948</v>
      </c>
      <c r="G8556" s="83">
        <v>46117.0</v>
      </c>
      <c r="H8556" s="76" t="s">
        <v>971</v>
      </c>
    </row>
    <row r="8557">
      <c r="A8557" s="76" t="s">
        <v>970</v>
      </c>
      <c r="B8557" s="76" t="s">
        <v>1035</v>
      </c>
      <c r="C8557" s="84">
        <v>0.16</v>
      </c>
      <c r="D8557" s="84">
        <v>0.0</v>
      </c>
      <c r="E8557" s="84">
        <v>0.0</v>
      </c>
      <c r="F8557" s="76" t="s">
        <v>948</v>
      </c>
      <c r="G8557" s="83">
        <v>46117.0</v>
      </c>
      <c r="H8557" s="76" t="s">
        <v>972</v>
      </c>
    </row>
    <row r="8558">
      <c r="A8558" s="76" t="s">
        <v>970</v>
      </c>
      <c r="B8558" s="76" t="s">
        <v>1035</v>
      </c>
      <c r="C8558" s="84">
        <v>4.02</v>
      </c>
      <c r="D8558" s="84">
        <v>0.0</v>
      </c>
      <c r="E8558" s="84">
        <v>0.0</v>
      </c>
      <c r="F8558" s="76" t="s">
        <v>948</v>
      </c>
      <c r="G8558" s="83">
        <v>46117.0</v>
      </c>
      <c r="H8558" s="76" t="s">
        <v>973</v>
      </c>
    </row>
    <row r="8559">
      <c r="A8559" s="76" t="s">
        <v>33</v>
      </c>
      <c r="B8559" s="76" t="s">
        <v>1035</v>
      </c>
      <c r="C8559" s="84">
        <v>7.41</v>
      </c>
      <c r="D8559" s="84">
        <v>1.0</v>
      </c>
      <c r="E8559" s="84">
        <v>7.41</v>
      </c>
      <c r="F8559" s="76" t="s">
        <v>948</v>
      </c>
      <c r="G8559" s="83">
        <v>46117.0</v>
      </c>
      <c r="H8559" s="76" t="s">
        <v>957</v>
      </c>
    </row>
    <row r="8560">
      <c r="A8560" s="76" t="s">
        <v>33</v>
      </c>
      <c r="B8560" s="76" t="s">
        <v>1035</v>
      </c>
      <c r="C8560" s="84">
        <v>1.5</v>
      </c>
      <c r="D8560" s="84">
        <v>0.0</v>
      </c>
      <c r="E8560" s="84">
        <v>0.0</v>
      </c>
      <c r="F8560" s="76" t="s">
        <v>948</v>
      </c>
      <c r="G8560" s="83">
        <v>46117.0</v>
      </c>
      <c r="H8560" s="76" t="s">
        <v>958</v>
      </c>
    </row>
    <row r="8561">
      <c r="A8561" s="76" t="s">
        <v>33</v>
      </c>
      <c r="B8561" s="76" t="s">
        <v>1035</v>
      </c>
      <c r="C8561" s="84">
        <v>1.2</v>
      </c>
      <c r="D8561" s="84">
        <v>1.0</v>
      </c>
      <c r="E8561" s="84">
        <v>1.2</v>
      </c>
      <c r="F8561" s="76" t="s">
        <v>948</v>
      </c>
      <c r="G8561" s="83">
        <v>46117.0</v>
      </c>
      <c r="H8561" s="76" t="s">
        <v>959</v>
      </c>
    </row>
    <row r="8562">
      <c r="A8562" s="76" t="s">
        <v>966</v>
      </c>
      <c r="B8562" s="76" t="s">
        <v>1035</v>
      </c>
      <c r="C8562" s="84">
        <v>0.79</v>
      </c>
      <c r="D8562" s="84">
        <v>0.0</v>
      </c>
      <c r="E8562" s="84">
        <v>0.0</v>
      </c>
      <c r="F8562" s="76" t="s">
        <v>948</v>
      </c>
      <c r="G8562" s="83">
        <v>46117.0</v>
      </c>
      <c r="H8562" s="76" t="s">
        <v>967</v>
      </c>
    </row>
    <row r="8563">
      <c r="A8563" s="76" t="s">
        <v>966</v>
      </c>
      <c r="B8563" s="76" t="s">
        <v>1035</v>
      </c>
      <c r="C8563" s="84">
        <v>0.04</v>
      </c>
      <c r="D8563" s="84">
        <v>0.0</v>
      </c>
      <c r="E8563" s="84">
        <v>0.0</v>
      </c>
      <c r="F8563" s="76" t="s">
        <v>948</v>
      </c>
      <c r="G8563" s="83">
        <v>46117.0</v>
      </c>
      <c r="H8563" s="76" t="s">
        <v>968</v>
      </c>
    </row>
    <row r="8564">
      <c r="A8564" s="76" t="s">
        <v>966</v>
      </c>
      <c r="B8564" s="76" t="s">
        <v>1035</v>
      </c>
      <c r="C8564" s="84">
        <v>0.48</v>
      </c>
      <c r="D8564" s="84">
        <v>0.0</v>
      </c>
      <c r="E8564" s="84">
        <v>0.0</v>
      </c>
      <c r="F8564" s="76" t="s">
        <v>948</v>
      </c>
      <c r="G8564" s="83">
        <v>46117.0</v>
      </c>
      <c r="H8564" s="76" t="s">
        <v>969</v>
      </c>
    </row>
    <row r="8565">
      <c r="A8565" s="76" t="s">
        <v>43</v>
      </c>
      <c r="B8565" s="76" t="s">
        <v>1035</v>
      </c>
      <c r="C8565" s="84">
        <v>0.22</v>
      </c>
      <c r="D8565" s="84">
        <v>0.0</v>
      </c>
      <c r="E8565" s="84">
        <v>0.0</v>
      </c>
      <c r="F8565" s="76" t="s">
        <v>948</v>
      </c>
      <c r="G8565" s="83">
        <v>46117.0</v>
      </c>
      <c r="H8565" s="76" t="s">
        <v>963</v>
      </c>
    </row>
    <row r="8566">
      <c r="A8566" s="76" t="s">
        <v>43</v>
      </c>
      <c r="B8566" s="76" t="s">
        <v>1035</v>
      </c>
      <c r="C8566" s="84">
        <v>0.8</v>
      </c>
      <c r="D8566" s="84">
        <v>0.0</v>
      </c>
      <c r="E8566" s="84">
        <v>0.0</v>
      </c>
      <c r="F8566" s="76" t="s">
        <v>948</v>
      </c>
      <c r="G8566" s="83">
        <v>46117.0</v>
      </c>
      <c r="H8566" s="76" t="s">
        <v>964</v>
      </c>
    </row>
    <row r="8567">
      <c r="A8567" s="76" t="s">
        <v>43</v>
      </c>
      <c r="B8567" s="76" t="s">
        <v>1035</v>
      </c>
      <c r="C8567" s="84">
        <v>0.73</v>
      </c>
      <c r="D8567" s="84">
        <v>0.0</v>
      </c>
      <c r="E8567" s="84">
        <v>0.0</v>
      </c>
      <c r="F8567" s="76" t="s">
        <v>948</v>
      </c>
      <c r="G8567" s="83">
        <v>46117.0</v>
      </c>
      <c r="H8567" s="76" t="s">
        <v>965</v>
      </c>
    </row>
    <row r="8568">
      <c r="A8568" s="76" t="s">
        <v>46</v>
      </c>
      <c r="B8568" s="76" t="s">
        <v>1035</v>
      </c>
      <c r="C8568" s="84">
        <v>0.11</v>
      </c>
      <c r="D8568" s="84">
        <v>0.0</v>
      </c>
      <c r="E8568" s="84">
        <v>0.0</v>
      </c>
      <c r="F8568" s="76" t="s">
        <v>948</v>
      </c>
      <c r="G8568" s="83">
        <v>46117.0</v>
      </c>
      <c r="H8568" s="76" t="s">
        <v>960</v>
      </c>
    </row>
    <row r="8569">
      <c r="A8569" s="76" t="s">
        <v>46</v>
      </c>
      <c r="B8569" s="76" t="s">
        <v>1035</v>
      </c>
      <c r="C8569" s="84">
        <v>0.1</v>
      </c>
      <c r="D8569" s="84">
        <v>0.0</v>
      </c>
      <c r="E8569" s="84">
        <v>0.0</v>
      </c>
      <c r="F8569" s="76" t="s">
        <v>948</v>
      </c>
      <c r="G8569" s="83">
        <v>46117.0</v>
      </c>
      <c r="H8569" s="76" t="s">
        <v>961</v>
      </c>
    </row>
    <row r="8570">
      <c r="A8570" s="76" t="s">
        <v>46</v>
      </c>
      <c r="B8570" s="76" t="s">
        <v>1035</v>
      </c>
      <c r="C8570" s="84">
        <v>0.14</v>
      </c>
      <c r="D8570" s="84">
        <v>0.0</v>
      </c>
      <c r="E8570" s="84">
        <v>0.0</v>
      </c>
      <c r="F8570" s="76" t="s">
        <v>948</v>
      </c>
      <c r="G8570" s="83">
        <v>46117.0</v>
      </c>
      <c r="H8570" s="76" t="s">
        <v>962</v>
      </c>
    </row>
    <row r="8571">
      <c r="A8571" s="76" t="s">
        <v>34</v>
      </c>
      <c r="B8571" s="76" t="s">
        <v>1035</v>
      </c>
      <c r="C8571" s="84">
        <v>0.46</v>
      </c>
      <c r="D8571" s="84">
        <v>0.0</v>
      </c>
      <c r="E8571" s="84">
        <v>0.0</v>
      </c>
      <c r="F8571" s="76" t="s">
        <v>948</v>
      </c>
      <c r="G8571" s="83">
        <v>46117.0</v>
      </c>
      <c r="H8571" s="76" t="s">
        <v>951</v>
      </c>
    </row>
    <row r="8572">
      <c r="A8572" s="76" t="s">
        <v>34</v>
      </c>
      <c r="B8572" s="76" t="s">
        <v>1035</v>
      </c>
      <c r="C8572" s="84">
        <v>1.27</v>
      </c>
      <c r="D8572" s="84">
        <v>0.0</v>
      </c>
      <c r="E8572" s="84">
        <v>0.0</v>
      </c>
      <c r="F8572" s="76" t="s">
        <v>948</v>
      </c>
      <c r="G8572" s="83">
        <v>46117.0</v>
      </c>
      <c r="H8572" s="76" t="s">
        <v>952</v>
      </c>
    </row>
    <row r="8573">
      <c r="A8573" s="76" t="s">
        <v>34</v>
      </c>
      <c r="B8573" s="76" t="s">
        <v>1035</v>
      </c>
      <c r="C8573" s="84">
        <v>0.26</v>
      </c>
      <c r="D8573" s="84">
        <v>0.0</v>
      </c>
      <c r="E8573" s="84">
        <v>0.0</v>
      </c>
      <c r="F8573" s="76" t="s">
        <v>948</v>
      </c>
      <c r="G8573" s="83">
        <v>46117.0</v>
      </c>
      <c r="H8573" s="76" t="s">
        <v>953</v>
      </c>
    </row>
    <row r="8574">
      <c r="A8574" s="76" t="s">
        <v>29</v>
      </c>
      <c r="B8574" s="76" t="s">
        <v>1035</v>
      </c>
      <c r="C8574" s="84">
        <v>3.1</v>
      </c>
      <c r="D8574" s="84">
        <v>0.0</v>
      </c>
      <c r="E8574" s="84">
        <v>0.0</v>
      </c>
      <c r="F8574" s="76" t="s">
        <v>948</v>
      </c>
      <c r="G8574" s="83">
        <v>46117.0</v>
      </c>
      <c r="H8574" s="76" t="s">
        <v>971</v>
      </c>
    </row>
    <row r="8575">
      <c r="A8575" s="76" t="s">
        <v>29</v>
      </c>
      <c r="B8575" s="76" t="s">
        <v>1035</v>
      </c>
      <c r="C8575" s="84">
        <v>0.18</v>
      </c>
      <c r="D8575" s="84">
        <v>0.0</v>
      </c>
      <c r="E8575" s="84">
        <v>0.0</v>
      </c>
      <c r="F8575" s="76" t="s">
        <v>948</v>
      </c>
      <c r="G8575" s="83">
        <v>46117.0</v>
      </c>
      <c r="H8575" s="76" t="s">
        <v>972</v>
      </c>
    </row>
    <row r="8576">
      <c r="A8576" s="76" t="s">
        <v>29</v>
      </c>
      <c r="B8576" s="76" t="s">
        <v>1035</v>
      </c>
      <c r="C8576" s="84">
        <v>4.29</v>
      </c>
      <c r="D8576" s="84">
        <v>0.0</v>
      </c>
      <c r="E8576" s="84">
        <v>0.0</v>
      </c>
      <c r="F8576" s="76" t="s">
        <v>948</v>
      </c>
      <c r="G8576" s="83">
        <v>46117.0</v>
      </c>
      <c r="H8576" s="76" t="s">
        <v>973</v>
      </c>
    </row>
    <row r="8577">
      <c r="A8577" s="76" t="s">
        <v>34</v>
      </c>
      <c r="B8577" s="76" t="s">
        <v>1029</v>
      </c>
      <c r="C8577" s="84">
        <v>0.28</v>
      </c>
      <c r="D8577" s="84">
        <v>0.0</v>
      </c>
      <c r="E8577" s="84">
        <v>0.0</v>
      </c>
      <c r="F8577" s="76" t="s">
        <v>950</v>
      </c>
      <c r="G8577" s="83">
        <v>46118.0</v>
      </c>
      <c r="H8577" s="76" t="s">
        <v>951</v>
      </c>
    </row>
    <row r="8578">
      <c r="A8578" s="76" t="s">
        <v>34</v>
      </c>
      <c r="B8578" s="76" t="s">
        <v>1029</v>
      </c>
      <c r="C8578" s="84">
        <v>0.41</v>
      </c>
      <c r="D8578" s="84">
        <v>0.0</v>
      </c>
      <c r="E8578" s="84">
        <v>0.0</v>
      </c>
      <c r="F8578" s="76" t="s">
        <v>950</v>
      </c>
      <c r="G8578" s="83">
        <v>46118.0</v>
      </c>
      <c r="H8578" s="76" t="s">
        <v>952</v>
      </c>
    </row>
    <row r="8579">
      <c r="A8579" s="76" t="s">
        <v>34</v>
      </c>
      <c r="B8579" s="76" t="s">
        <v>1029</v>
      </c>
      <c r="C8579" s="84">
        <v>0.36</v>
      </c>
      <c r="D8579" s="84">
        <v>0.0</v>
      </c>
      <c r="E8579" s="84">
        <v>0.0</v>
      </c>
      <c r="F8579" s="76" t="s">
        <v>950</v>
      </c>
      <c r="G8579" s="83">
        <v>46118.0</v>
      </c>
      <c r="H8579" s="76" t="s">
        <v>953</v>
      </c>
    </row>
    <row r="8580">
      <c r="A8580" s="76" t="s">
        <v>46</v>
      </c>
      <c r="B8580" s="76" t="s">
        <v>1029</v>
      </c>
      <c r="C8580" s="84">
        <v>0.95</v>
      </c>
      <c r="D8580" s="84">
        <v>2.0</v>
      </c>
      <c r="E8580" s="84">
        <v>0.48</v>
      </c>
      <c r="F8580" s="76" t="s">
        <v>950</v>
      </c>
      <c r="G8580" s="83">
        <v>46118.0</v>
      </c>
      <c r="H8580" s="76" t="s">
        <v>960</v>
      </c>
    </row>
    <row r="8581">
      <c r="A8581" s="76" t="s">
        <v>46</v>
      </c>
      <c r="B8581" s="76" t="s">
        <v>1029</v>
      </c>
      <c r="C8581" s="84">
        <v>0.3</v>
      </c>
      <c r="D8581" s="84">
        <v>0.0</v>
      </c>
      <c r="E8581" s="84">
        <v>0.0</v>
      </c>
      <c r="F8581" s="76" t="s">
        <v>950</v>
      </c>
      <c r="G8581" s="83">
        <v>46118.0</v>
      </c>
      <c r="H8581" s="76" t="s">
        <v>961</v>
      </c>
    </row>
    <row r="8582">
      <c r="A8582" s="76" t="s">
        <v>46</v>
      </c>
      <c r="B8582" s="76" t="s">
        <v>1029</v>
      </c>
      <c r="C8582" s="84">
        <v>0.72</v>
      </c>
      <c r="D8582" s="84">
        <v>0.0</v>
      </c>
      <c r="E8582" s="84">
        <v>0.0</v>
      </c>
      <c r="F8582" s="76" t="s">
        <v>950</v>
      </c>
      <c r="G8582" s="83">
        <v>46118.0</v>
      </c>
      <c r="H8582" s="76" t="s">
        <v>962</v>
      </c>
    </row>
    <row r="8583">
      <c r="A8583" s="76" t="s">
        <v>29</v>
      </c>
      <c r="B8583" s="76" t="s">
        <v>1029</v>
      </c>
      <c r="C8583" s="84">
        <v>1.22</v>
      </c>
      <c r="D8583" s="84">
        <v>0.0</v>
      </c>
      <c r="E8583" s="84">
        <v>0.0</v>
      </c>
      <c r="F8583" s="76" t="s">
        <v>950</v>
      </c>
      <c r="G8583" s="83">
        <v>46118.0</v>
      </c>
      <c r="H8583" s="76" t="s">
        <v>971</v>
      </c>
    </row>
    <row r="8584">
      <c r="A8584" s="76" t="s">
        <v>29</v>
      </c>
      <c r="B8584" s="76" t="s">
        <v>1029</v>
      </c>
      <c r="C8584" s="84">
        <v>0.58</v>
      </c>
      <c r="D8584" s="84">
        <v>0.0</v>
      </c>
      <c r="E8584" s="84">
        <v>0.0</v>
      </c>
      <c r="F8584" s="76" t="s">
        <v>950</v>
      </c>
      <c r="G8584" s="83">
        <v>46118.0</v>
      </c>
      <c r="H8584" s="76" t="s">
        <v>972</v>
      </c>
    </row>
    <row r="8585">
      <c r="A8585" s="76" t="s">
        <v>29</v>
      </c>
      <c r="B8585" s="76" t="s">
        <v>1029</v>
      </c>
      <c r="C8585" s="84">
        <v>6.02</v>
      </c>
      <c r="D8585" s="84">
        <v>0.0</v>
      </c>
      <c r="E8585" s="84">
        <v>0.0</v>
      </c>
      <c r="F8585" s="76" t="s">
        <v>950</v>
      </c>
      <c r="G8585" s="83">
        <v>46118.0</v>
      </c>
      <c r="H8585" s="76" t="s">
        <v>973</v>
      </c>
    </row>
    <row r="8586">
      <c r="A8586" s="76" t="s">
        <v>33</v>
      </c>
      <c r="B8586" s="76" t="s">
        <v>1029</v>
      </c>
      <c r="C8586" s="84">
        <v>18.38</v>
      </c>
      <c r="D8586" s="84">
        <v>3.0</v>
      </c>
      <c r="E8586" s="84">
        <v>6.13</v>
      </c>
      <c r="F8586" s="76" t="s">
        <v>950</v>
      </c>
      <c r="G8586" s="83">
        <v>46118.0</v>
      </c>
      <c r="H8586" s="76" t="s">
        <v>957</v>
      </c>
    </row>
    <row r="8587">
      <c r="A8587" s="76" t="s">
        <v>33</v>
      </c>
      <c r="B8587" s="76" t="s">
        <v>1029</v>
      </c>
      <c r="C8587" s="84">
        <v>0.59</v>
      </c>
      <c r="D8587" s="84">
        <v>0.0</v>
      </c>
      <c r="E8587" s="84">
        <v>0.0</v>
      </c>
      <c r="F8587" s="76" t="s">
        <v>950</v>
      </c>
      <c r="G8587" s="83">
        <v>46118.0</v>
      </c>
      <c r="H8587" s="76" t="s">
        <v>958</v>
      </c>
    </row>
    <row r="8588">
      <c r="A8588" s="76" t="s">
        <v>33</v>
      </c>
      <c r="B8588" s="76" t="s">
        <v>1029</v>
      </c>
      <c r="C8588" s="84">
        <v>3.37</v>
      </c>
      <c r="D8588" s="84">
        <v>0.0</v>
      </c>
      <c r="E8588" s="84">
        <v>0.0</v>
      </c>
      <c r="F8588" s="76" t="s">
        <v>950</v>
      </c>
      <c r="G8588" s="83">
        <v>46118.0</v>
      </c>
      <c r="H8588" s="76" t="s">
        <v>959</v>
      </c>
    </row>
    <row r="8589">
      <c r="A8589" s="76" t="s">
        <v>970</v>
      </c>
      <c r="B8589" s="76" t="s">
        <v>1029</v>
      </c>
      <c r="C8589" s="84">
        <v>1.55</v>
      </c>
      <c r="D8589" s="84">
        <v>0.0</v>
      </c>
      <c r="E8589" s="84">
        <v>0.0</v>
      </c>
      <c r="F8589" s="76" t="s">
        <v>950</v>
      </c>
      <c r="G8589" s="83">
        <v>46118.0</v>
      </c>
      <c r="H8589" s="76" t="s">
        <v>971</v>
      </c>
    </row>
    <row r="8590">
      <c r="A8590" s="76" t="s">
        <v>970</v>
      </c>
      <c r="B8590" s="76" t="s">
        <v>1029</v>
      </c>
      <c r="C8590" s="84">
        <v>0.42</v>
      </c>
      <c r="D8590" s="84">
        <v>0.0</v>
      </c>
      <c r="E8590" s="84">
        <v>0.0</v>
      </c>
      <c r="F8590" s="76" t="s">
        <v>950</v>
      </c>
      <c r="G8590" s="83">
        <v>46118.0</v>
      </c>
      <c r="H8590" s="76" t="s">
        <v>972</v>
      </c>
    </row>
    <row r="8591">
      <c r="A8591" s="76" t="s">
        <v>970</v>
      </c>
      <c r="B8591" s="76" t="s">
        <v>1029</v>
      </c>
      <c r="C8591" s="84">
        <v>5.87</v>
      </c>
      <c r="D8591" s="84">
        <v>0.0</v>
      </c>
      <c r="E8591" s="84">
        <v>0.0</v>
      </c>
      <c r="F8591" s="76" t="s">
        <v>950</v>
      </c>
      <c r="G8591" s="83">
        <v>46118.0</v>
      </c>
      <c r="H8591" s="76" t="s">
        <v>973</v>
      </c>
    </row>
    <row r="8592">
      <c r="A8592" s="76" t="s">
        <v>43</v>
      </c>
      <c r="B8592" s="76" t="s">
        <v>1029</v>
      </c>
      <c r="C8592" s="84">
        <v>1.64</v>
      </c>
      <c r="D8592" s="84">
        <v>1.0</v>
      </c>
      <c r="E8592" s="84">
        <v>1.64</v>
      </c>
      <c r="F8592" s="76" t="s">
        <v>950</v>
      </c>
      <c r="G8592" s="83">
        <v>46118.0</v>
      </c>
      <c r="H8592" s="76" t="s">
        <v>963</v>
      </c>
    </row>
    <row r="8593">
      <c r="A8593" s="76" t="s">
        <v>43</v>
      </c>
      <c r="B8593" s="76" t="s">
        <v>1029</v>
      </c>
      <c r="C8593" s="84">
        <v>1.07</v>
      </c>
      <c r="D8593" s="84">
        <v>0.0</v>
      </c>
      <c r="E8593" s="84">
        <v>0.0</v>
      </c>
      <c r="F8593" s="76" t="s">
        <v>950</v>
      </c>
      <c r="G8593" s="83">
        <v>46118.0</v>
      </c>
      <c r="H8593" s="76" t="s">
        <v>964</v>
      </c>
    </row>
    <row r="8594">
      <c r="A8594" s="76" t="s">
        <v>43</v>
      </c>
      <c r="B8594" s="76" t="s">
        <v>1029</v>
      </c>
      <c r="C8594" s="84">
        <v>4.88</v>
      </c>
      <c r="D8594" s="84">
        <v>2.0</v>
      </c>
      <c r="E8594" s="84">
        <v>2.44</v>
      </c>
      <c r="F8594" s="76" t="s">
        <v>950</v>
      </c>
      <c r="G8594" s="83">
        <v>46118.0</v>
      </c>
      <c r="H8594" s="76" t="s">
        <v>965</v>
      </c>
    </row>
    <row r="8595">
      <c r="A8595" s="76" t="s">
        <v>966</v>
      </c>
      <c r="B8595" s="76" t="s">
        <v>1029</v>
      </c>
      <c r="C8595" s="84">
        <v>9.58</v>
      </c>
      <c r="D8595" s="84">
        <v>2.0</v>
      </c>
      <c r="E8595" s="84">
        <v>4.79</v>
      </c>
      <c r="F8595" s="76" t="s">
        <v>950</v>
      </c>
      <c r="G8595" s="83">
        <v>46118.0</v>
      </c>
      <c r="H8595" s="76" t="s">
        <v>967</v>
      </c>
    </row>
    <row r="8596">
      <c r="A8596" s="76" t="s">
        <v>966</v>
      </c>
      <c r="B8596" s="76" t="s">
        <v>1029</v>
      </c>
      <c r="C8596" s="84">
        <v>0.33</v>
      </c>
      <c r="D8596" s="84">
        <v>0.0</v>
      </c>
      <c r="E8596" s="84">
        <v>0.0</v>
      </c>
      <c r="F8596" s="76" t="s">
        <v>950</v>
      </c>
      <c r="G8596" s="83">
        <v>46118.0</v>
      </c>
      <c r="H8596" s="76" t="s">
        <v>968</v>
      </c>
    </row>
    <row r="8597">
      <c r="A8597" s="76" t="s">
        <v>966</v>
      </c>
      <c r="B8597" s="76" t="s">
        <v>1029</v>
      </c>
      <c r="C8597" s="84">
        <v>1.37</v>
      </c>
      <c r="D8597" s="84">
        <v>0.0</v>
      </c>
      <c r="E8597" s="84">
        <v>0.0</v>
      </c>
      <c r="F8597" s="76" t="s">
        <v>950</v>
      </c>
      <c r="G8597" s="83">
        <v>46118.0</v>
      </c>
      <c r="H8597" s="76" t="s">
        <v>969</v>
      </c>
    </row>
    <row r="8598">
      <c r="A8598" s="76" t="s">
        <v>36</v>
      </c>
      <c r="B8598" s="76" t="s">
        <v>1029</v>
      </c>
      <c r="C8598" s="84">
        <v>3.84</v>
      </c>
      <c r="D8598" s="84">
        <v>0.0</v>
      </c>
      <c r="E8598" s="84">
        <v>0.0</v>
      </c>
      <c r="F8598" s="76" t="s">
        <v>950</v>
      </c>
      <c r="G8598" s="83">
        <v>46118.0</v>
      </c>
      <c r="H8598" s="76" t="s">
        <v>926</v>
      </c>
    </row>
    <row r="8599">
      <c r="A8599" s="76" t="s">
        <v>36</v>
      </c>
      <c r="B8599" s="76" t="s">
        <v>1029</v>
      </c>
      <c r="C8599" s="84">
        <v>0.8</v>
      </c>
      <c r="D8599" s="84">
        <v>0.0</v>
      </c>
      <c r="E8599" s="84">
        <v>0.0</v>
      </c>
      <c r="F8599" s="76" t="s">
        <v>950</v>
      </c>
      <c r="G8599" s="83">
        <v>46118.0</v>
      </c>
      <c r="H8599" s="76" t="s">
        <v>927</v>
      </c>
    </row>
    <row r="8600">
      <c r="A8600" s="76" t="s">
        <v>36</v>
      </c>
      <c r="B8600" s="76" t="s">
        <v>1029</v>
      </c>
      <c r="C8600" s="84">
        <v>0.71</v>
      </c>
      <c r="D8600" s="84">
        <v>0.0</v>
      </c>
      <c r="E8600" s="84">
        <v>0.0</v>
      </c>
      <c r="F8600" s="76" t="s">
        <v>950</v>
      </c>
      <c r="G8600" s="83">
        <v>46118.0</v>
      </c>
      <c r="H8600" s="76" t="s">
        <v>928</v>
      </c>
    </row>
    <row r="8601">
      <c r="A8601" s="76" t="s">
        <v>40</v>
      </c>
      <c r="B8601" s="76" t="s">
        <v>1029</v>
      </c>
      <c r="C8601" s="84">
        <v>0.48</v>
      </c>
      <c r="D8601" s="84">
        <v>0.0</v>
      </c>
      <c r="E8601" s="84">
        <v>0.0</v>
      </c>
      <c r="F8601" s="76" t="s">
        <v>950</v>
      </c>
      <c r="G8601" s="83">
        <v>46118.0</v>
      </c>
      <c r="H8601" s="76" t="s">
        <v>954</v>
      </c>
    </row>
    <row r="8602">
      <c r="A8602" s="76" t="s">
        <v>40</v>
      </c>
      <c r="B8602" s="76" t="s">
        <v>1029</v>
      </c>
      <c r="C8602" s="84">
        <v>0.02</v>
      </c>
      <c r="D8602" s="84">
        <v>0.0</v>
      </c>
      <c r="E8602" s="84">
        <v>0.0</v>
      </c>
      <c r="F8602" s="76" t="s">
        <v>950</v>
      </c>
      <c r="G8602" s="83">
        <v>46118.0</v>
      </c>
      <c r="H8602" s="76" t="s">
        <v>955</v>
      </c>
    </row>
    <row r="8603">
      <c r="A8603" s="76" t="s">
        <v>40</v>
      </c>
      <c r="B8603" s="76" t="s">
        <v>1029</v>
      </c>
      <c r="C8603" s="84">
        <v>3.33</v>
      </c>
      <c r="D8603" s="84">
        <v>1.0</v>
      </c>
      <c r="E8603" s="84">
        <v>3.33</v>
      </c>
      <c r="F8603" s="76" t="s">
        <v>950</v>
      </c>
      <c r="G8603" s="83">
        <v>46118.0</v>
      </c>
      <c r="H8603" s="76" t="s">
        <v>956</v>
      </c>
    </row>
    <row r="8604">
      <c r="A8604" s="76" t="s">
        <v>966</v>
      </c>
      <c r="B8604" s="76" t="s">
        <v>1029</v>
      </c>
      <c r="C8604" s="84">
        <v>2.77</v>
      </c>
      <c r="D8604" s="84">
        <v>0.0</v>
      </c>
      <c r="E8604" s="84">
        <v>0.0</v>
      </c>
      <c r="F8604" s="76" t="s">
        <v>974</v>
      </c>
      <c r="G8604" s="83">
        <v>46118.0</v>
      </c>
      <c r="H8604" s="76" t="s">
        <v>967</v>
      </c>
    </row>
    <row r="8605">
      <c r="A8605" s="76" t="s">
        <v>966</v>
      </c>
      <c r="B8605" s="76" t="s">
        <v>1029</v>
      </c>
      <c r="C8605" s="84">
        <v>0.3</v>
      </c>
      <c r="D8605" s="84">
        <v>0.0</v>
      </c>
      <c r="E8605" s="84">
        <v>0.0</v>
      </c>
      <c r="F8605" s="76" t="s">
        <v>974</v>
      </c>
      <c r="G8605" s="83">
        <v>46118.0</v>
      </c>
      <c r="H8605" s="76" t="s">
        <v>968</v>
      </c>
    </row>
    <row r="8606">
      <c r="A8606" s="76" t="s">
        <v>966</v>
      </c>
      <c r="B8606" s="76" t="s">
        <v>1029</v>
      </c>
      <c r="C8606" s="84">
        <v>0.71</v>
      </c>
      <c r="D8606" s="84">
        <v>1.0</v>
      </c>
      <c r="E8606" s="84">
        <v>0.71</v>
      </c>
      <c r="F8606" s="76" t="s">
        <v>974</v>
      </c>
      <c r="G8606" s="83">
        <v>46118.0</v>
      </c>
      <c r="H8606" s="76" t="s">
        <v>969</v>
      </c>
    </row>
    <row r="8607">
      <c r="A8607" s="76" t="s">
        <v>43</v>
      </c>
      <c r="B8607" s="76" t="s">
        <v>1029</v>
      </c>
      <c r="C8607" s="84">
        <v>1.51</v>
      </c>
      <c r="D8607" s="84">
        <v>1.0</v>
      </c>
      <c r="E8607" s="84">
        <v>1.51</v>
      </c>
      <c r="F8607" s="76" t="s">
        <v>974</v>
      </c>
      <c r="G8607" s="83">
        <v>46118.0</v>
      </c>
      <c r="H8607" s="76" t="s">
        <v>963</v>
      </c>
    </row>
    <row r="8608">
      <c r="A8608" s="76" t="s">
        <v>43</v>
      </c>
      <c r="B8608" s="76" t="s">
        <v>1029</v>
      </c>
      <c r="C8608" s="84">
        <v>0.52</v>
      </c>
      <c r="D8608" s="84">
        <v>1.0</v>
      </c>
      <c r="E8608" s="84">
        <v>0.52</v>
      </c>
      <c r="F8608" s="76" t="s">
        <v>974</v>
      </c>
      <c r="G8608" s="83">
        <v>46118.0</v>
      </c>
      <c r="H8608" s="76" t="s">
        <v>964</v>
      </c>
    </row>
    <row r="8609">
      <c r="A8609" s="76" t="s">
        <v>43</v>
      </c>
      <c r="B8609" s="76" t="s">
        <v>1029</v>
      </c>
      <c r="C8609" s="84">
        <v>2.57</v>
      </c>
      <c r="D8609" s="84">
        <v>2.0</v>
      </c>
      <c r="E8609" s="84">
        <v>1.29</v>
      </c>
      <c r="F8609" s="76" t="s">
        <v>974</v>
      </c>
      <c r="G8609" s="83">
        <v>46118.0</v>
      </c>
      <c r="H8609" s="76" t="s">
        <v>965</v>
      </c>
    </row>
    <row r="8610">
      <c r="A8610" s="76" t="s">
        <v>36</v>
      </c>
      <c r="B8610" s="76" t="s">
        <v>1029</v>
      </c>
      <c r="C8610" s="84">
        <v>1.37</v>
      </c>
      <c r="D8610" s="84">
        <v>1.0</v>
      </c>
      <c r="E8610" s="84">
        <v>1.37</v>
      </c>
      <c r="F8610" s="76" t="s">
        <v>974</v>
      </c>
      <c r="G8610" s="83">
        <v>46118.0</v>
      </c>
      <c r="H8610" s="76" t="s">
        <v>926</v>
      </c>
    </row>
    <row r="8611">
      <c r="A8611" s="76" t="s">
        <v>36</v>
      </c>
      <c r="B8611" s="76" t="s">
        <v>1029</v>
      </c>
      <c r="C8611" s="84">
        <v>0.54</v>
      </c>
      <c r="D8611" s="84">
        <v>0.0</v>
      </c>
      <c r="E8611" s="84">
        <v>0.0</v>
      </c>
      <c r="F8611" s="76" t="s">
        <v>974</v>
      </c>
      <c r="G8611" s="83">
        <v>46118.0</v>
      </c>
      <c r="H8611" s="76" t="s">
        <v>927</v>
      </c>
    </row>
    <row r="8612">
      <c r="A8612" s="76" t="s">
        <v>36</v>
      </c>
      <c r="B8612" s="76" t="s">
        <v>1029</v>
      </c>
      <c r="C8612" s="84">
        <v>0.35</v>
      </c>
      <c r="D8612" s="84">
        <v>0.0</v>
      </c>
      <c r="E8612" s="84">
        <v>0.0</v>
      </c>
      <c r="F8612" s="76" t="s">
        <v>974</v>
      </c>
      <c r="G8612" s="83">
        <v>46118.0</v>
      </c>
      <c r="H8612" s="76" t="s">
        <v>928</v>
      </c>
    </row>
    <row r="8613">
      <c r="A8613" s="76" t="s">
        <v>33</v>
      </c>
      <c r="B8613" s="76" t="s">
        <v>1029</v>
      </c>
      <c r="C8613" s="84">
        <v>8.76</v>
      </c>
      <c r="D8613" s="84">
        <v>1.0</v>
      </c>
      <c r="E8613" s="84">
        <v>8.76</v>
      </c>
      <c r="F8613" s="76" t="s">
        <v>974</v>
      </c>
      <c r="G8613" s="83">
        <v>46118.0</v>
      </c>
      <c r="H8613" s="76" t="s">
        <v>957</v>
      </c>
    </row>
    <row r="8614">
      <c r="A8614" s="76" t="s">
        <v>33</v>
      </c>
      <c r="B8614" s="76" t="s">
        <v>1029</v>
      </c>
      <c r="C8614" s="84">
        <v>0.54</v>
      </c>
      <c r="D8614" s="84">
        <v>0.0</v>
      </c>
      <c r="E8614" s="84">
        <v>0.0</v>
      </c>
      <c r="F8614" s="76" t="s">
        <v>974</v>
      </c>
      <c r="G8614" s="83">
        <v>46118.0</v>
      </c>
      <c r="H8614" s="76" t="s">
        <v>958</v>
      </c>
    </row>
    <row r="8615">
      <c r="A8615" s="76" t="s">
        <v>33</v>
      </c>
      <c r="B8615" s="76" t="s">
        <v>1029</v>
      </c>
      <c r="C8615" s="84">
        <v>1.46</v>
      </c>
      <c r="D8615" s="84">
        <v>0.0</v>
      </c>
      <c r="E8615" s="84">
        <v>0.0</v>
      </c>
      <c r="F8615" s="76" t="s">
        <v>974</v>
      </c>
      <c r="G8615" s="83">
        <v>46118.0</v>
      </c>
      <c r="H8615" s="76" t="s">
        <v>959</v>
      </c>
    </row>
    <row r="8616">
      <c r="A8616" s="76" t="s">
        <v>29</v>
      </c>
      <c r="B8616" s="76" t="s">
        <v>1029</v>
      </c>
      <c r="C8616" s="84">
        <v>0.79</v>
      </c>
      <c r="D8616" s="84">
        <v>0.0</v>
      </c>
      <c r="E8616" s="84">
        <v>0.0</v>
      </c>
      <c r="F8616" s="76" t="s">
        <v>974</v>
      </c>
      <c r="G8616" s="83">
        <v>46118.0</v>
      </c>
      <c r="H8616" s="76" t="s">
        <v>971</v>
      </c>
    </row>
    <row r="8617">
      <c r="A8617" s="76" t="s">
        <v>29</v>
      </c>
      <c r="B8617" s="76" t="s">
        <v>1029</v>
      </c>
      <c r="C8617" s="84">
        <v>0.05</v>
      </c>
      <c r="D8617" s="84">
        <v>0.0</v>
      </c>
      <c r="E8617" s="84">
        <v>0.0</v>
      </c>
      <c r="F8617" s="76" t="s">
        <v>974</v>
      </c>
      <c r="G8617" s="83">
        <v>46118.0</v>
      </c>
      <c r="H8617" s="76" t="s">
        <v>972</v>
      </c>
    </row>
    <row r="8618">
      <c r="A8618" s="76" t="s">
        <v>29</v>
      </c>
      <c r="B8618" s="76" t="s">
        <v>1029</v>
      </c>
      <c r="C8618" s="84">
        <v>3.43</v>
      </c>
      <c r="D8618" s="84">
        <v>0.0</v>
      </c>
      <c r="E8618" s="84">
        <v>0.0</v>
      </c>
      <c r="F8618" s="76" t="s">
        <v>974</v>
      </c>
      <c r="G8618" s="83">
        <v>46118.0</v>
      </c>
      <c r="H8618" s="76" t="s">
        <v>973</v>
      </c>
    </row>
    <row r="8619">
      <c r="A8619" s="76" t="s">
        <v>46</v>
      </c>
      <c r="B8619" s="76" t="s">
        <v>1029</v>
      </c>
      <c r="C8619" s="84">
        <v>0.43</v>
      </c>
      <c r="D8619" s="84">
        <v>0.0</v>
      </c>
      <c r="E8619" s="84">
        <v>0.0</v>
      </c>
      <c r="F8619" s="76" t="s">
        <v>974</v>
      </c>
      <c r="G8619" s="83">
        <v>46118.0</v>
      </c>
      <c r="H8619" s="76" t="s">
        <v>960</v>
      </c>
    </row>
    <row r="8620">
      <c r="A8620" s="76" t="s">
        <v>46</v>
      </c>
      <c r="B8620" s="76" t="s">
        <v>1029</v>
      </c>
      <c r="C8620" s="84">
        <v>0.29</v>
      </c>
      <c r="D8620" s="84">
        <v>0.0</v>
      </c>
      <c r="E8620" s="84">
        <v>0.0</v>
      </c>
      <c r="F8620" s="76" t="s">
        <v>974</v>
      </c>
      <c r="G8620" s="83">
        <v>46118.0</v>
      </c>
      <c r="H8620" s="76" t="s">
        <v>961</v>
      </c>
    </row>
    <row r="8621">
      <c r="A8621" s="76" t="s">
        <v>46</v>
      </c>
      <c r="B8621" s="76" t="s">
        <v>1029</v>
      </c>
      <c r="C8621" s="84">
        <v>0.1</v>
      </c>
      <c r="D8621" s="84">
        <v>0.0</v>
      </c>
      <c r="E8621" s="84">
        <v>0.0</v>
      </c>
      <c r="F8621" s="76" t="s">
        <v>974</v>
      </c>
      <c r="G8621" s="83">
        <v>46118.0</v>
      </c>
      <c r="H8621" s="76" t="s">
        <v>962</v>
      </c>
    </row>
    <row r="8622">
      <c r="A8622" s="76" t="s">
        <v>34</v>
      </c>
      <c r="B8622" s="76" t="s">
        <v>1029</v>
      </c>
      <c r="C8622" s="84">
        <v>0.46</v>
      </c>
      <c r="D8622" s="84">
        <v>0.0</v>
      </c>
      <c r="E8622" s="84">
        <v>0.0</v>
      </c>
      <c r="F8622" s="76" t="s">
        <v>974</v>
      </c>
      <c r="G8622" s="83">
        <v>46118.0</v>
      </c>
      <c r="H8622" s="76" t="s">
        <v>951</v>
      </c>
    </row>
    <row r="8623">
      <c r="A8623" s="76" t="s">
        <v>34</v>
      </c>
      <c r="B8623" s="76" t="s">
        <v>1029</v>
      </c>
      <c r="C8623" s="84">
        <v>0.36</v>
      </c>
      <c r="D8623" s="84">
        <v>0.0</v>
      </c>
      <c r="E8623" s="84">
        <v>0.0</v>
      </c>
      <c r="F8623" s="76" t="s">
        <v>974</v>
      </c>
      <c r="G8623" s="83">
        <v>46118.0</v>
      </c>
      <c r="H8623" s="76" t="s">
        <v>952</v>
      </c>
    </row>
    <row r="8624">
      <c r="A8624" s="76" t="s">
        <v>34</v>
      </c>
      <c r="B8624" s="76" t="s">
        <v>1029</v>
      </c>
      <c r="C8624" s="84">
        <v>0.44</v>
      </c>
      <c r="D8624" s="84">
        <v>0.0</v>
      </c>
      <c r="E8624" s="84">
        <v>0.0</v>
      </c>
      <c r="F8624" s="76" t="s">
        <v>974</v>
      </c>
      <c r="G8624" s="83">
        <v>46118.0</v>
      </c>
      <c r="H8624" s="76" t="s">
        <v>953</v>
      </c>
    </row>
    <row r="8625">
      <c r="A8625" s="76" t="s">
        <v>970</v>
      </c>
      <c r="B8625" s="76" t="s">
        <v>1029</v>
      </c>
      <c r="C8625" s="84">
        <v>1.42</v>
      </c>
      <c r="D8625" s="84">
        <v>0.0</v>
      </c>
      <c r="E8625" s="84">
        <v>0.0</v>
      </c>
      <c r="F8625" s="76" t="s">
        <v>974</v>
      </c>
      <c r="G8625" s="83">
        <v>46118.0</v>
      </c>
      <c r="H8625" s="76" t="s">
        <v>971</v>
      </c>
    </row>
    <row r="8626">
      <c r="A8626" s="76" t="s">
        <v>970</v>
      </c>
      <c r="B8626" s="76" t="s">
        <v>1029</v>
      </c>
      <c r="C8626" s="84">
        <v>0.04</v>
      </c>
      <c r="D8626" s="84">
        <v>0.0</v>
      </c>
      <c r="E8626" s="84">
        <v>0.0</v>
      </c>
      <c r="F8626" s="76" t="s">
        <v>974</v>
      </c>
      <c r="G8626" s="83">
        <v>46118.0</v>
      </c>
      <c r="H8626" s="76" t="s">
        <v>972</v>
      </c>
    </row>
    <row r="8627">
      <c r="A8627" s="76" t="s">
        <v>970</v>
      </c>
      <c r="B8627" s="76" t="s">
        <v>1029</v>
      </c>
      <c r="C8627" s="84">
        <v>3.49</v>
      </c>
      <c r="D8627" s="84">
        <v>2.0</v>
      </c>
      <c r="E8627" s="84">
        <v>1.75</v>
      </c>
      <c r="F8627" s="76" t="s">
        <v>974</v>
      </c>
      <c r="G8627" s="83">
        <v>46118.0</v>
      </c>
      <c r="H8627" s="76" t="s">
        <v>973</v>
      </c>
    </row>
    <row r="8628">
      <c r="A8628" s="76" t="s">
        <v>40</v>
      </c>
      <c r="B8628" s="76" t="s">
        <v>1029</v>
      </c>
      <c r="C8628" s="84">
        <v>0.26</v>
      </c>
      <c r="D8628" s="84">
        <v>0.0</v>
      </c>
      <c r="E8628" s="84">
        <v>0.0</v>
      </c>
      <c r="F8628" s="76" t="s">
        <v>974</v>
      </c>
      <c r="G8628" s="83">
        <v>46118.0</v>
      </c>
      <c r="H8628" s="76" t="s">
        <v>954</v>
      </c>
    </row>
    <row r="8629">
      <c r="A8629" s="76" t="s">
        <v>40</v>
      </c>
      <c r="B8629" s="76" t="s">
        <v>1029</v>
      </c>
      <c r="C8629" s="84">
        <v>0.02</v>
      </c>
      <c r="D8629" s="84">
        <v>0.0</v>
      </c>
      <c r="E8629" s="84">
        <v>0.0</v>
      </c>
      <c r="F8629" s="76" t="s">
        <v>974</v>
      </c>
      <c r="G8629" s="83">
        <v>46118.0</v>
      </c>
      <c r="H8629" s="76" t="s">
        <v>955</v>
      </c>
    </row>
    <row r="8630">
      <c r="A8630" s="76" t="s">
        <v>40</v>
      </c>
      <c r="B8630" s="76" t="s">
        <v>1029</v>
      </c>
      <c r="C8630" s="84">
        <v>4.71</v>
      </c>
      <c r="D8630" s="84">
        <v>2.0</v>
      </c>
      <c r="E8630" s="84">
        <v>2.35</v>
      </c>
      <c r="F8630" s="76" t="s">
        <v>974</v>
      </c>
      <c r="G8630" s="83">
        <v>46118.0</v>
      </c>
      <c r="H8630" s="76" t="s">
        <v>956</v>
      </c>
    </row>
    <row r="8631">
      <c r="A8631" s="76" t="s">
        <v>29</v>
      </c>
      <c r="B8631" s="76" t="s">
        <v>1029</v>
      </c>
      <c r="C8631" s="84">
        <v>2.93</v>
      </c>
      <c r="D8631" s="84">
        <v>2.0</v>
      </c>
      <c r="E8631" s="84">
        <v>1.46</v>
      </c>
      <c r="F8631" s="76" t="s">
        <v>975</v>
      </c>
      <c r="G8631" s="83">
        <v>46118.0</v>
      </c>
      <c r="H8631" s="76" t="s">
        <v>971</v>
      </c>
    </row>
    <row r="8632">
      <c r="A8632" s="76" t="s">
        <v>29</v>
      </c>
      <c r="B8632" s="76" t="s">
        <v>1029</v>
      </c>
      <c r="C8632" s="84">
        <v>1.21</v>
      </c>
      <c r="D8632" s="84">
        <v>0.0</v>
      </c>
      <c r="E8632" s="84">
        <v>0.0</v>
      </c>
      <c r="F8632" s="76" t="s">
        <v>975</v>
      </c>
      <c r="G8632" s="83">
        <v>46118.0</v>
      </c>
      <c r="H8632" s="76" t="s">
        <v>972</v>
      </c>
    </row>
    <row r="8633">
      <c r="A8633" s="76" t="s">
        <v>29</v>
      </c>
      <c r="B8633" s="76" t="s">
        <v>1029</v>
      </c>
      <c r="C8633" s="84">
        <v>10.37</v>
      </c>
      <c r="D8633" s="84">
        <v>3.0</v>
      </c>
      <c r="E8633" s="84">
        <v>3.46</v>
      </c>
      <c r="F8633" s="76" t="s">
        <v>975</v>
      </c>
      <c r="G8633" s="83">
        <v>46118.0</v>
      </c>
      <c r="H8633" s="76" t="s">
        <v>973</v>
      </c>
    </row>
    <row r="8634">
      <c r="A8634" s="76" t="s">
        <v>46</v>
      </c>
      <c r="B8634" s="76" t="s">
        <v>1029</v>
      </c>
      <c r="C8634" s="84">
        <v>2.84</v>
      </c>
      <c r="D8634" s="84">
        <v>0.0</v>
      </c>
      <c r="E8634" s="84">
        <v>0.0</v>
      </c>
      <c r="F8634" s="76" t="s">
        <v>975</v>
      </c>
      <c r="G8634" s="83">
        <v>46118.0</v>
      </c>
      <c r="H8634" s="76" t="s">
        <v>960</v>
      </c>
    </row>
    <row r="8635">
      <c r="A8635" s="76" t="s">
        <v>46</v>
      </c>
      <c r="B8635" s="76" t="s">
        <v>1029</v>
      </c>
      <c r="C8635" s="84">
        <v>1.78</v>
      </c>
      <c r="D8635" s="84">
        <v>0.0</v>
      </c>
      <c r="E8635" s="84">
        <v>0.0</v>
      </c>
      <c r="F8635" s="76" t="s">
        <v>975</v>
      </c>
      <c r="G8635" s="83">
        <v>46118.0</v>
      </c>
      <c r="H8635" s="76" t="s">
        <v>961</v>
      </c>
    </row>
    <row r="8636">
      <c r="A8636" s="76" t="s">
        <v>46</v>
      </c>
      <c r="B8636" s="76" t="s">
        <v>1029</v>
      </c>
      <c r="C8636" s="84">
        <v>1.77</v>
      </c>
      <c r="D8636" s="84">
        <v>0.0</v>
      </c>
      <c r="E8636" s="84">
        <v>0.0</v>
      </c>
      <c r="F8636" s="76" t="s">
        <v>975</v>
      </c>
      <c r="G8636" s="83">
        <v>46118.0</v>
      </c>
      <c r="H8636" s="76" t="s">
        <v>962</v>
      </c>
    </row>
    <row r="8637">
      <c r="A8637" s="76" t="s">
        <v>36</v>
      </c>
      <c r="B8637" s="76" t="s">
        <v>1029</v>
      </c>
      <c r="C8637" s="84">
        <v>4.77</v>
      </c>
      <c r="D8637" s="84">
        <v>2.0</v>
      </c>
      <c r="E8637" s="84">
        <v>2.38</v>
      </c>
      <c r="F8637" s="76" t="s">
        <v>975</v>
      </c>
      <c r="G8637" s="83">
        <v>46118.0</v>
      </c>
      <c r="H8637" s="76" t="s">
        <v>926</v>
      </c>
    </row>
    <row r="8638">
      <c r="A8638" s="76" t="s">
        <v>36</v>
      </c>
      <c r="B8638" s="76" t="s">
        <v>1029</v>
      </c>
      <c r="C8638" s="84">
        <v>1.25</v>
      </c>
      <c r="D8638" s="84">
        <v>0.0</v>
      </c>
      <c r="E8638" s="84">
        <v>0.0</v>
      </c>
      <c r="F8638" s="76" t="s">
        <v>975</v>
      </c>
      <c r="G8638" s="83">
        <v>46118.0</v>
      </c>
      <c r="H8638" s="76" t="s">
        <v>927</v>
      </c>
    </row>
    <row r="8639">
      <c r="A8639" s="76" t="s">
        <v>36</v>
      </c>
      <c r="B8639" s="76" t="s">
        <v>1029</v>
      </c>
      <c r="C8639" s="84">
        <v>3.35</v>
      </c>
      <c r="D8639" s="84">
        <v>4.0</v>
      </c>
      <c r="E8639" s="84">
        <v>0.84</v>
      </c>
      <c r="F8639" s="76" t="s">
        <v>975</v>
      </c>
      <c r="G8639" s="83">
        <v>46118.0</v>
      </c>
      <c r="H8639" s="76" t="s">
        <v>928</v>
      </c>
    </row>
    <row r="8640">
      <c r="A8640" s="76" t="s">
        <v>43</v>
      </c>
      <c r="B8640" s="76" t="s">
        <v>1029</v>
      </c>
      <c r="C8640" s="84">
        <v>4.17</v>
      </c>
      <c r="D8640" s="84">
        <v>1.0</v>
      </c>
      <c r="E8640" s="84">
        <v>4.17</v>
      </c>
      <c r="F8640" s="76" t="s">
        <v>975</v>
      </c>
      <c r="G8640" s="83">
        <v>46118.0</v>
      </c>
      <c r="H8640" s="76" t="s">
        <v>963</v>
      </c>
    </row>
    <row r="8641">
      <c r="A8641" s="76" t="s">
        <v>43</v>
      </c>
      <c r="B8641" s="76" t="s">
        <v>1029</v>
      </c>
      <c r="C8641" s="84">
        <v>2.12</v>
      </c>
      <c r="D8641" s="84">
        <v>0.0</v>
      </c>
      <c r="E8641" s="84">
        <v>0.0</v>
      </c>
      <c r="F8641" s="76" t="s">
        <v>975</v>
      </c>
      <c r="G8641" s="83">
        <v>46118.0</v>
      </c>
      <c r="H8641" s="76" t="s">
        <v>964</v>
      </c>
    </row>
    <row r="8642">
      <c r="A8642" s="76" t="s">
        <v>43</v>
      </c>
      <c r="B8642" s="76" t="s">
        <v>1029</v>
      </c>
      <c r="C8642" s="84">
        <v>13.88</v>
      </c>
      <c r="D8642" s="84">
        <v>2.0</v>
      </c>
      <c r="E8642" s="84">
        <v>6.94</v>
      </c>
      <c r="F8642" s="76" t="s">
        <v>975</v>
      </c>
      <c r="G8642" s="83">
        <v>46118.0</v>
      </c>
      <c r="H8642" s="76" t="s">
        <v>965</v>
      </c>
    </row>
    <row r="8643">
      <c r="A8643" s="76" t="s">
        <v>34</v>
      </c>
      <c r="B8643" s="76" t="s">
        <v>1029</v>
      </c>
      <c r="C8643" s="84">
        <v>1.22</v>
      </c>
      <c r="D8643" s="84">
        <v>0.0</v>
      </c>
      <c r="E8643" s="84">
        <v>0.0</v>
      </c>
      <c r="F8643" s="76" t="s">
        <v>975</v>
      </c>
      <c r="G8643" s="83">
        <v>46118.0</v>
      </c>
      <c r="H8643" s="76" t="s">
        <v>951</v>
      </c>
    </row>
    <row r="8644">
      <c r="A8644" s="76" t="s">
        <v>34</v>
      </c>
      <c r="B8644" s="76" t="s">
        <v>1029</v>
      </c>
      <c r="C8644" s="84">
        <v>2.51</v>
      </c>
      <c r="D8644" s="84">
        <v>1.0</v>
      </c>
      <c r="E8644" s="84">
        <v>2.51</v>
      </c>
      <c r="F8644" s="76" t="s">
        <v>975</v>
      </c>
      <c r="G8644" s="83">
        <v>46118.0</v>
      </c>
      <c r="H8644" s="76" t="s">
        <v>952</v>
      </c>
    </row>
    <row r="8645">
      <c r="A8645" s="76" t="s">
        <v>34</v>
      </c>
      <c r="B8645" s="76" t="s">
        <v>1029</v>
      </c>
      <c r="C8645" s="84">
        <v>1.3</v>
      </c>
      <c r="D8645" s="84">
        <v>0.0</v>
      </c>
      <c r="E8645" s="84">
        <v>0.0</v>
      </c>
      <c r="F8645" s="76" t="s">
        <v>975</v>
      </c>
      <c r="G8645" s="83">
        <v>46118.0</v>
      </c>
      <c r="H8645" s="76" t="s">
        <v>953</v>
      </c>
    </row>
    <row r="8646">
      <c r="A8646" s="76" t="s">
        <v>40</v>
      </c>
      <c r="B8646" s="76" t="s">
        <v>1029</v>
      </c>
      <c r="C8646" s="84">
        <v>2.46</v>
      </c>
      <c r="D8646" s="84">
        <v>1.0</v>
      </c>
      <c r="E8646" s="84">
        <v>2.46</v>
      </c>
      <c r="F8646" s="76" t="s">
        <v>975</v>
      </c>
      <c r="G8646" s="83">
        <v>46118.0</v>
      </c>
      <c r="H8646" s="76" t="s">
        <v>954</v>
      </c>
    </row>
    <row r="8647">
      <c r="A8647" s="76" t="s">
        <v>40</v>
      </c>
      <c r="B8647" s="76" t="s">
        <v>1029</v>
      </c>
      <c r="C8647" s="84">
        <v>1.0</v>
      </c>
      <c r="D8647" s="84">
        <v>0.0</v>
      </c>
      <c r="E8647" s="84">
        <v>0.0</v>
      </c>
      <c r="F8647" s="76" t="s">
        <v>975</v>
      </c>
      <c r="G8647" s="83">
        <v>46118.0</v>
      </c>
      <c r="H8647" s="76" t="s">
        <v>955</v>
      </c>
    </row>
    <row r="8648">
      <c r="A8648" s="76" t="s">
        <v>40</v>
      </c>
      <c r="B8648" s="76" t="s">
        <v>1029</v>
      </c>
      <c r="C8648" s="84">
        <v>14.48</v>
      </c>
      <c r="D8648" s="84">
        <v>0.0</v>
      </c>
      <c r="E8648" s="84">
        <v>0.0</v>
      </c>
      <c r="F8648" s="76" t="s">
        <v>975</v>
      </c>
      <c r="G8648" s="83">
        <v>46118.0</v>
      </c>
      <c r="H8648" s="76" t="s">
        <v>956</v>
      </c>
    </row>
    <row r="8649">
      <c r="A8649" s="76" t="s">
        <v>970</v>
      </c>
      <c r="B8649" s="76" t="s">
        <v>1029</v>
      </c>
      <c r="C8649" s="84">
        <v>3.04</v>
      </c>
      <c r="D8649" s="84">
        <v>2.0</v>
      </c>
      <c r="E8649" s="84">
        <v>1.52</v>
      </c>
      <c r="F8649" s="76" t="s">
        <v>975</v>
      </c>
      <c r="G8649" s="83">
        <v>46118.0</v>
      </c>
      <c r="H8649" s="76" t="s">
        <v>971</v>
      </c>
    </row>
    <row r="8650">
      <c r="A8650" s="76" t="s">
        <v>970</v>
      </c>
      <c r="B8650" s="76" t="s">
        <v>1029</v>
      </c>
      <c r="C8650" s="84">
        <v>1.64</v>
      </c>
      <c r="D8650" s="84">
        <v>0.0</v>
      </c>
      <c r="E8650" s="84">
        <v>0.0</v>
      </c>
      <c r="F8650" s="76" t="s">
        <v>975</v>
      </c>
      <c r="G8650" s="83">
        <v>46118.0</v>
      </c>
      <c r="H8650" s="76" t="s">
        <v>972</v>
      </c>
    </row>
    <row r="8651">
      <c r="A8651" s="76" t="s">
        <v>970</v>
      </c>
      <c r="B8651" s="76" t="s">
        <v>1029</v>
      </c>
      <c r="C8651" s="84">
        <v>13.33</v>
      </c>
      <c r="D8651" s="84">
        <v>1.0</v>
      </c>
      <c r="E8651" s="84">
        <v>13.33</v>
      </c>
      <c r="F8651" s="76" t="s">
        <v>975</v>
      </c>
      <c r="G8651" s="83">
        <v>46118.0</v>
      </c>
      <c r="H8651" s="76" t="s">
        <v>973</v>
      </c>
    </row>
    <row r="8652">
      <c r="A8652" s="76" t="s">
        <v>966</v>
      </c>
      <c r="B8652" s="76" t="s">
        <v>1029</v>
      </c>
      <c r="C8652" s="84">
        <v>3.96</v>
      </c>
      <c r="D8652" s="84">
        <v>2.0</v>
      </c>
      <c r="E8652" s="84">
        <v>1.98</v>
      </c>
      <c r="F8652" s="76" t="s">
        <v>975</v>
      </c>
      <c r="G8652" s="83">
        <v>46118.0</v>
      </c>
      <c r="H8652" s="76" t="s">
        <v>967</v>
      </c>
    </row>
    <row r="8653">
      <c r="A8653" s="76" t="s">
        <v>966</v>
      </c>
      <c r="B8653" s="76" t="s">
        <v>1029</v>
      </c>
      <c r="C8653" s="84">
        <v>1.03</v>
      </c>
      <c r="D8653" s="84">
        <v>0.0</v>
      </c>
      <c r="E8653" s="84">
        <v>0.0</v>
      </c>
      <c r="F8653" s="76" t="s">
        <v>975</v>
      </c>
      <c r="G8653" s="83">
        <v>46118.0</v>
      </c>
      <c r="H8653" s="76" t="s">
        <v>968</v>
      </c>
    </row>
    <row r="8654">
      <c r="A8654" s="76" t="s">
        <v>966</v>
      </c>
      <c r="B8654" s="76" t="s">
        <v>1029</v>
      </c>
      <c r="C8654" s="84">
        <v>3.27</v>
      </c>
      <c r="D8654" s="84">
        <v>2.0</v>
      </c>
      <c r="E8654" s="84">
        <v>1.63</v>
      </c>
      <c r="F8654" s="76" t="s">
        <v>975</v>
      </c>
      <c r="G8654" s="83">
        <v>46118.0</v>
      </c>
      <c r="H8654" s="76" t="s">
        <v>969</v>
      </c>
    </row>
    <row r="8655">
      <c r="A8655" s="76" t="s">
        <v>33</v>
      </c>
      <c r="B8655" s="76" t="s">
        <v>1029</v>
      </c>
      <c r="C8655" s="84">
        <v>20.18</v>
      </c>
      <c r="D8655" s="84">
        <v>3.0</v>
      </c>
      <c r="E8655" s="84">
        <v>6.73</v>
      </c>
      <c r="F8655" s="76" t="s">
        <v>975</v>
      </c>
      <c r="G8655" s="83">
        <v>46118.0</v>
      </c>
      <c r="H8655" s="76" t="s">
        <v>957</v>
      </c>
    </row>
    <row r="8656">
      <c r="A8656" s="76" t="s">
        <v>33</v>
      </c>
      <c r="B8656" s="76" t="s">
        <v>1029</v>
      </c>
      <c r="C8656" s="84">
        <v>3.94</v>
      </c>
      <c r="D8656" s="84">
        <v>1.0</v>
      </c>
      <c r="E8656" s="84">
        <v>3.94</v>
      </c>
      <c r="F8656" s="76" t="s">
        <v>975</v>
      </c>
      <c r="G8656" s="83">
        <v>46118.0</v>
      </c>
      <c r="H8656" s="76" t="s">
        <v>958</v>
      </c>
    </row>
    <row r="8657">
      <c r="A8657" s="76" t="s">
        <v>33</v>
      </c>
      <c r="B8657" s="76" t="s">
        <v>1029</v>
      </c>
      <c r="C8657" s="84">
        <v>6.56</v>
      </c>
      <c r="D8657" s="84">
        <v>1.0</v>
      </c>
      <c r="E8657" s="84">
        <v>6.56</v>
      </c>
      <c r="F8657" s="76" t="s">
        <v>975</v>
      </c>
      <c r="G8657" s="83">
        <v>46118.0</v>
      </c>
      <c r="H8657" s="76" t="s">
        <v>959</v>
      </c>
    </row>
    <row r="8658">
      <c r="A8658" s="76" t="s">
        <v>36</v>
      </c>
      <c r="B8658" s="76" t="s">
        <v>1036</v>
      </c>
      <c r="C8658" s="84">
        <v>1.74</v>
      </c>
      <c r="D8658" s="84">
        <v>1.0</v>
      </c>
      <c r="E8658" s="84">
        <v>1.74</v>
      </c>
      <c r="F8658" s="76" t="s">
        <v>975</v>
      </c>
      <c r="G8658" s="83">
        <v>46118.0</v>
      </c>
      <c r="H8658" s="76" t="s">
        <v>926</v>
      </c>
    </row>
    <row r="8659">
      <c r="A8659" s="76" t="s">
        <v>36</v>
      </c>
      <c r="B8659" s="76" t="s">
        <v>1036</v>
      </c>
      <c r="C8659" s="84">
        <v>0.33</v>
      </c>
      <c r="D8659" s="84">
        <v>0.0</v>
      </c>
      <c r="E8659" s="84">
        <v>0.0</v>
      </c>
      <c r="F8659" s="76" t="s">
        <v>975</v>
      </c>
      <c r="G8659" s="83">
        <v>46118.0</v>
      </c>
      <c r="H8659" s="76" t="s">
        <v>927</v>
      </c>
    </row>
    <row r="8660">
      <c r="A8660" s="76" t="s">
        <v>36</v>
      </c>
      <c r="B8660" s="76" t="s">
        <v>1036</v>
      </c>
      <c r="C8660" s="84">
        <v>0.56</v>
      </c>
      <c r="D8660" s="84">
        <v>0.0</v>
      </c>
      <c r="E8660" s="84">
        <v>0.0</v>
      </c>
      <c r="F8660" s="76" t="s">
        <v>975</v>
      </c>
      <c r="G8660" s="83">
        <v>46118.0</v>
      </c>
      <c r="H8660" s="76" t="s">
        <v>928</v>
      </c>
    </row>
    <row r="8661">
      <c r="A8661" s="76" t="s">
        <v>50</v>
      </c>
      <c r="B8661" s="76" t="s">
        <v>1036</v>
      </c>
      <c r="C8661" s="84">
        <v>0.55</v>
      </c>
      <c r="D8661" s="84">
        <v>0.0</v>
      </c>
      <c r="E8661" s="84">
        <v>0.0</v>
      </c>
      <c r="F8661" s="76" t="s">
        <v>975</v>
      </c>
      <c r="G8661" s="83">
        <v>46118.0</v>
      </c>
      <c r="H8661" s="76" t="s">
        <v>939</v>
      </c>
    </row>
    <row r="8662">
      <c r="A8662" s="76" t="s">
        <v>50</v>
      </c>
      <c r="B8662" s="76" t="s">
        <v>1036</v>
      </c>
      <c r="C8662" s="84">
        <v>0.22</v>
      </c>
      <c r="D8662" s="84">
        <v>0.0</v>
      </c>
      <c r="E8662" s="84">
        <v>0.0</v>
      </c>
      <c r="F8662" s="76" t="s">
        <v>975</v>
      </c>
      <c r="G8662" s="83">
        <v>46118.0</v>
      </c>
      <c r="H8662" s="76" t="s">
        <v>940</v>
      </c>
    </row>
    <row r="8663">
      <c r="A8663" s="76" t="s">
        <v>944</v>
      </c>
      <c r="B8663" s="76" t="s">
        <v>1036</v>
      </c>
      <c r="C8663" s="84">
        <v>1.55</v>
      </c>
      <c r="D8663" s="84">
        <v>1.0</v>
      </c>
      <c r="E8663" s="84">
        <v>1.55</v>
      </c>
      <c r="F8663" s="76" t="s">
        <v>975</v>
      </c>
      <c r="G8663" s="83">
        <v>46118.0</v>
      </c>
      <c r="H8663" s="76" t="s">
        <v>945</v>
      </c>
    </row>
    <row r="8664">
      <c r="A8664" s="76" t="s">
        <v>944</v>
      </c>
      <c r="B8664" s="76" t="s">
        <v>1036</v>
      </c>
      <c r="C8664" s="84">
        <v>0.41</v>
      </c>
      <c r="D8664" s="84">
        <v>0.0</v>
      </c>
      <c r="E8664" s="84">
        <v>0.0</v>
      </c>
      <c r="F8664" s="76" t="s">
        <v>975</v>
      </c>
      <c r="G8664" s="83">
        <v>46118.0</v>
      </c>
      <c r="H8664" s="76" t="s">
        <v>946</v>
      </c>
    </row>
    <row r="8665">
      <c r="A8665" s="76" t="s">
        <v>944</v>
      </c>
      <c r="B8665" s="76" t="s">
        <v>1036</v>
      </c>
      <c r="C8665" s="84">
        <v>0.81</v>
      </c>
      <c r="D8665" s="84">
        <v>0.0</v>
      </c>
      <c r="E8665" s="84">
        <v>0.0</v>
      </c>
      <c r="F8665" s="76" t="s">
        <v>975</v>
      </c>
      <c r="G8665" s="83">
        <v>46118.0</v>
      </c>
      <c r="H8665" s="76" t="s">
        <v>947</v>
      </c>
    </row>
    <row r="8666">
      <c r="A8666" s="76" t="s">
        <v>26</v>
      </c>
      <c r="B8666" s="76" t="s">
        <v>1036</v>
      </c>
      <c r="C8666" s="84">
        <v>0.12</v>
      </c>
      <c r="D8666" s="84">
        <v>0.0</v>
      </c>
      <c r="E8666" s="84">
        <v>0.0</v>
      </c>
      <c r="F8666" s="76" t="s">
        <v>975</v>
      </c>
      <c r="G8666" s="83">
        <v>46118.0</v>
      </c>
      <c r="H8666" s="76" t="s">
        <v>1012</v>
      </c>
    </row>
    <row r="8667">
      <c r="A8667" s="76" t="s">
        <v>26</v>
      </c>
      <c r="B8667" s="76" t="s">
        <v>1036</v>
      </c>
      <c r="C8667" s="84">
        <v>0.5</v>
      </c>
      <c r="D8667" s="84">
        <v>0.0</v>
      </c>
      <c r="E8667" s="84">
        <v>0.0</v>
      </c>
      <c r="F8667" s="76" t="s">
        <v>975</v>
      </c>
      <c r="G8667" s="83">
        <v>46118.0</v>
      </c>
      <c r="H8667" s="76" t="s">
        <v>1013</v>
      </c>
    </row>
    <row r="8668">
      <c r="A8668" s="76" t="s">
        <v>26</v>
      </c>
      <c r="B8668" s="76" t="s">
        <v>1036</v>
      </c>
      <c r="C8668" s="84">
        <v>1.77</v>
      </c>
      <c r="D8668" s="84">
        <v>0.0</v>
      </c>
      <c r="E8668" s="84">
        <v>0.0</v>
      </c>
      <c r="F8668" s="76" t="s">
        <v>975</v>
      </c>
      <c r="G8668" s="83">
        <v>46118.0</v>
      </c>
      <c r="H8668" s="76" t="s">
        <v>1014</v>
      </c>
    </row>
    <row r="8669">
      <c r="A8669" s="76" t="s">
        <v>32</v>
      </c>
      <c r="B8669" s="76" t="s">
        <v>1036</v>
      </c>
      <c r="C8669" s="84">
        <v>2.3</v>
      </c>
      <c r="D8669" s="84">
        <v>0.0</v>
      </c>
      <c r="E8669" s="84">
        <v>0.0</v>
      </c>
      <c r="F8669" s="76" t="s">
        <v>975</v>
      </c>
      <c r="G8669" s="83">
        <v>46118.0</v>
      </c>
      <c r="H8669" s="76" t="s">
        <v>941</v>
      </c>
    </row>
    <row r="8670">
      <c r="A8670" s="76" t="s">
        <v>32</v>
      </c>
      <c r="B8670" s="76" t="s">
        <v>1036</v>
      </c>
      <c r="C8670" s="84">
        <v>0.43</v>
      </c>
      <c r="D8670" s="84">
        <v>0.0</v>
      </c>
      <c r="E8670" s="84">
        <v>0.0</v>
      </c>
      <c r="F8670" s="76" t="s">
        <v>975</v>
      </c>
      <c r="G8670" s="83">
        <v>46118.0</v>
      </c>
      <c r="H8670" s="76" t="s">
        <v>942</v>
      </c>
    </row>
    <row r="8671">
      <c r="A8671" s="76" t="s">
        <v>32</v>
      </c>
      <c r="B8671" s="76" t="s">
        <v>1036</v>
      </c>
      <c r="C8671" s="84">
        <v>1.89</v>
      </c>
      <c r="D8671" s="84">
        <v>1.0</v>
      </c>
      <c r="E8671" s="84">
        <v>1.89</v>
      </c>
      <c r="F8671" s="76" t="s">
        <v>975</v>
      </c>
      <c r="G8671" s="83">
        <v>46118.0</v>
      </c>
      <c r="H8671" s="76" t="s">
        <v>943</v>
      </c>
    </row>
    <row r="8672">
      <c r="A8672" s="76" t="s">
        <v>42</v>
      </c>
      <c r="B8672" s="76" t="s">
        <v>1036</v>
      </c>
      <c r="C8672" s="84">
        <v>0.08</v>
      </c>
      <c r="D8672" s="84">
        <v>0.0</v>
      </c>
      <c r="E8672" s="84">
        <v>0.0</v>
      </c>
      <c r="F8672" s="76" t="s">
        <v>975</v>
      </c>
      <c r="G8672" s="83">
        <v>46118.0</v>
      </c>
      <c r="H8672" s="76" t="s">
        <v>991</v>
      </c>
    </row>
    <row r="8673">
      <c r="A8673" s="76" t="s">
        <v>42</v>
      </c>
      <c r="B8673" s="76" t="s">
        <v>1036</v>
      </c>
      <c r="C8673" s="84">
        <v>2.62</v>
      </c>
      <c r="D8673" s="84">
        <v>0.0</v>
      </c>
      <c r="E8673" s="84">
        <v>0.0</v>
      </c>
      <c r="F8673" s="76" t="s">
        <v>975</v>
      </c>
      <c r="G8673" s="83">
        <v>46118.0</v>
      </c>
      <c r="H8673" s="76" t="s">
        <v>935</v>
      </c>
    </row>
    <row r="8674">
      <c r="A8674" s="76" t="s">
        <v>31</v>
      </c>
      <c r="B8674" s="76" t="s">
        <v>1036</v>
      </c>
      <c r="C8674" s="84">
        <v>0.21</v>
      </c>
      <c r="D8674" s="84">
        <v>0.0</v>
      </c>
      <c r="E8674" s="84">
        <v>0.0</v>
      </c>
      <c r="F8674" s="76" t="s">
        <v>975</v>
      </c>
      <c r="G8674" s="83">
        <v>46118.0</v>
      </c>
      <c r="H8674" s="76" t="s">
        <v>929</v>
      </c>
    </row>
    <row r="8675">
      <c r="A8675" s="76" t="s">
        <v>31</v>
      </c>
      <c r="B8675" s="76" t="s">
        <v>1036</v>
      </c>
      <c r="C8675" s="84">
        <v>7.67</v>
      </c>
      <c r="D8675" s="84">
        <v>1.0</v>
      </c>
      <c r="E8675" s="84">
        <v>7.67</v>
      </c>
      <c r="F8675" s="76" t="s">
        <v>975</v>
      </c>
      <c r="G8675" s="83">
        <v>46118.0</v>
      </c>
      <c r="H8675" s="76" t="s">
        <v>930</v>
      </c>
    </row>
    <row r="8676">
      <c r="A8676" s="76" t="s">
        <v>28</v>
      </c>
      <c r="B8676" s="76" t="s">
        <v>1036</v>
      </c>
      <c r="C8676" s="84">
        <v>0.27</v>
      </c>
      <c r="D8676" s="84">
        <v>0.0</v>
      </c>
      <c r="E8676" s="84">
        <v>0.0</v>
      </c>
      <c r="F8676" s="76" t="s">
        <v>975</v>
      </c>
      <c r="G8676" s="83">
        <v>46118.0</v>
      </c>
      <c r="H8676" s="76" t="s">
        <v>931</v>
      </c>
    </row>
    <row r="8677">
      <c r="A8677" s="76" t="s">
        <v>28</v>
      </c>
      <c r="B8677" s="76" t="s">
        <v>1036</v>
      </c>
      <c r="C8677" s="84">
        <v>0.25</v>
      </c>
      <c r="D8677" s="84">
        <v>0.0</v>
      </c>
      <c r="E8677" s="84">
        <v>0.0</v>
      </c>
      <c r="F8677" s="76" t="s">
        <v>975</v>
      </c>
      <c r="G8677" s="83">
        <v>46118.0</v>
      </c>
      <c r="H8677" s="76" t="s">
        <v>932</v>
      </c>
    </row>
    <row r="8678">
      <c r="A8678" s="76" t="s">
        <v>28</v>
      </c>
      <c r="B8678" s="76" t="s">
        <v>1036</v>
      </c>
      <c r="C8678" s="84">
        <v>3.89</v>
      </c>
      <c r="D8678" s="84">
        <v>1.0</v>
      </c>
      <c r="E8678" s="84">
        <v>3.89</v>
      </c>
      <c r="F8678" s="76" t="s">
        <v>975</v>
      </c>
      <c r="G8678" s="83">
        <v>46118.0</v>
      </c>
      <c r="H8678" s="76" t="s">
        <v>933</v>
      </c>
    </row>
    <row r="8679">
      <c r="A8679" s="76" t="s">
        <v>45</v>
      </c>
      <c r="B8679" s="76" t="s">
        <v>1036</v>
      </c>
      <c r="C8679" s="84">
        <v>0.3</v>
      </c>
      <c r="D8679" s="84">
        <v>0.0</v>
      </c>
      <c r="E8679" s="84">
        <v>0.0</v>
      </c>
      <c r="F8679" s="76" t="s">
        <v>975</v>
      </c>
      <c r="G8679" s="83">
        <v>46118.0</v>
      </c>
      <c r="H8679" s="76" t="s">
        <v>936</v>
      </c>
    </row>
    <row r="8680">
      <c r="A8680" s="76" t="s">
        <v>45</v>
      </c>
      <c r="B8680" s="76" t="s">
        <v>1036</v>
      </c>
      <c r="C8680" s="84">
        <v>0.36</v>
      </c>
      <c r="D8680" s="84">
        <v>0.0</v>
      </c>
      <c r="E8680" s="84">
        <v>0.0</v>
      </c>
      <c r="F8680" s="76" t="s">
        <v>975</v>
      </c>
      <c r="G8680" s="83">
        <v>46118.0</v>
      </c>
      <c r="H8680" s="76" t="s">
        <v>937</v>
      </c>
    </row>
    <row r="8681">
      <c r="A8681" s="76" t="s">
        <v>45</v>
      </c>
      <c r="B8681" s="76" t="s">
        <v>1036</v>
      </c>
      <c r="C8681" s="84">
        <v>0.16</v>
      </c>
      <c r="D8681" s="84">
        <v>0.0</v>
      </c>
      <c r="E8681" s="84">
        <v>0.0</v>
      </c>
      <c r="F8681" s="76" t="s">
        <v>975</v>
      </c>
      <c r="G8681" s="83">
        <v>46118.0</v>
      </c>
      <c r="H8681" s="76" t="s">
        <v>938</v>
      </c>
    </row>
    <row r="8682">
      <c r="A8682" s="76" t="s">
        <v>45</v>
      </c>
      <c r="B8682" s="76" t="s">
        <v>1036</v>
      </c>
      <c r="C8682" s="84">
        <v>0.08</v>
      </c>
      <c r="D8682" s="84">
        <v>0.0</v>
      </c>
      <c r="E8682" s="84">
        <v>0.0</v>
      </c>
      <c r="F8682" s="76" t="s">
        <v>950</v>
      </c>
      <c r="G8682" s="83">
        <v>46118.0</v>
      </c>
      <c r="H8682" s="76" t="s">
        <v>936</v>
      </c>
    </row>
    <row r="8683">
      <c r="A8683" s="76" t="s">
        <v>45</v>
      </c>
      <c r="B8683" s="76" t="s">
        <v>1036</v>
      </c>
      <c r="C8683" s="84">
        <v>0.78</v>
      </c>
      <c r="D8683" s="84">
        <v>0.0</v>
      </c>
      <c r="E8683" s="84">
        <v>0.0</v>
      </c>
      <c r="F8683" s="76" t="s">
        <v>950</v>
      </c>
      <c r="G8683" s="83">
        <v>46118.0</v>
      </c>
      <c r="H8683" s="76" t="s">
        <v>937</v>
      </c>
    </row>
    <row r="8684">
      <c r="A8684" s="76" t="s">
        <v>45</v>
      </c>
      <c r="B8684" s="76" t="s">
        <v>1036</v>
      </c>
      <c r="C8684" s="84">
        <v>0.99</v>
      </c>
      <c r="D8684" s="84">
        <v>0.0</v>
      </c>
      <c r="E8684" s="84">
        <v>0.0</v>
      </c>
      <c r="F8684" s="76" t="s">
        <v>950</v>
      </c>
      <c r="G8684" s="83">
        <v>46118.0</v>
      </c>
      <c r="H8684" s="76" t="s">
        <v>938</v>
      </c>
    </row>
    <row r="8685">
      <c r="A8685" s="76" t="s">
        <v>28</v>
      </c>
      <c r="B8685" s="76" t="s">
        <v>1036</v>
      </c>
      <c r="C8685" s="84">
        <v>0.35</v>
      </c>
      <c r="D8685" s="84">
        <v>0.0</v>
      </c>
      <c r="E8685" s="84">
        <v>0.0</v>
      </c>
      <c r="F8685" s="76" t="s">
        <v>950</v>
      </c>
      <c r="G8685" s="83">
        <v>46118.0</v>
      </c>
      <c r="H8685" s="76" t="s">
        <v>931</v>
      </c>
    </row>
    <row r="8686">
      <c r="A8686" s="76" t="s">
        <v>28</v>
      </c>
      <c r="B8686" s="76" t="s">
        <v>1036</v>
      </c>
      <c r="C8686" s="84">
        <v>0.09</v>
      </c>
      <c r="D8686" s="84">
        <v>0.0</v>
      </c>
      <c r="E8686" s="84">
        <v>0.0</v>
      </c>
      <c r="F8686" s="76" t="s">
        <v>950</v>
      </c>
      <c r="G8686" s="83">
        <v>46118.0</v>
      </c>
      <c r="H8686" s="76" t="s">
        <v>932</v>
      </c>
    </row>
    <row r="8687">
      <c r="A8687" s="76" t="s">
        <v>28</v>
      </c>
      <c r="B8687" s="76" t="s">
        <v>1036</v>
      </c>
      <c r="C8687" s="84">
        <v>1.68</v>
      </c>
      <c r="D8687" s="84">
        <v>0.0</v>
      </c>
      <c r="E8687" s="84">
        <v>0.0</v>
      </c>
      <c r="F8687" s="76" t="s">
        <v>950</v>
      </c>
      <c r="G8687" s="83">
        <v>46118.0</v>
      </c>
      <c r="H8687" s="76" t="s">
        <v>933</v>
      </c>
    </row>
    <row r="8688">
      <c r="A8688" s="76" t="s">
        <v>42</v>
      </c>
      <c r="B8688" s="76" t="s">
        <v>1036</v>
      </c>
      <c r="C8688" s="84">
        <v>0.71</v>
      </c>
      <c r="D8688" s="84">
        <v>0.0</v>
      </c>
      <c r="E8688" s="84">
        <v>0.0</v>
      </c>
      <c r="F8688" s="76" t="s">
        <v>950</v>
      </c>
      <c r="G8688" s="83">
        <v>46118.0</v>
      </c>
      <c r="H8688" s="76" t="s">
        <v>991</v>
      </c>
    </row>
    <row r="8689">
      <c r="A8689" s="76" t="s">
        <v>42</v>
      </c>
      <c r="B8689" s="76" t="s">
        <v>1036</v>
      </c>
      <c r="C8689" s="84">
        <v>0.57</v>
      </c>
      <c r="D8689" s="84">
        <v>0.0</v>
      </c>
      <c r="E8689" s="84">
        <v>0.0</v>
      </c>
      <c r="F8689" s="76" t="s">
        <v>950</v>
      </c>
      <c r="G8689" s="83">
        <v>46118.0</v>
      </c>
      <c r="H8689" s="76" t="s">
        <v>935</v>
      </c>
    </row>
    <row r="8690">
      <c r="A8690" s="76" t="s">
        <v>36</v>
      </c>
      <c r="B8690" s="76" t="s">
        <v>1036</v>
      </c>
      <c r="C8690" s="84">
        <v>0.68</v>
      </c>
      <c r="D8690" s="84">
        <v>0.0</v>
      </c>
      <c r="E8690" s="84">
        <v>0.0</v>
      </c>
      <c r="F8690" s="76" t="s">
        <v>950</v>
      </c>
      <c r="G8690" s="83">
        <v>46118.0</v>
      </c>
      <c r="H8690" s="76" t="s">
        <v>926</v>
      </c>
    </row>
    <row r="8691">
      <c r="A8691" s="76" t="s">
        <v>36</v>
      </c>
      <c r="B8691" s="76" t="s">
        <v>1036</v>
      </c>
      <c r="C8691" s="84">
        <v>0.08</v>
      </c>
      <c r="D8691" s="84">
        <v>0.0</v>
      </c>
      <c r="E8691" s="84">
        <v>0.0</v>
      </c>
      <c r="F8691" s="76" t="s">
        <v>950</v>
      </c>
      <c r="G8691" s="83">
        <v>46118.0</v>
      </c>
      <c r="H8691" s="76" t="s">
        <v>927</v>
      </c>
    </row>
    <row r="8692">
      <c r="A8692" s="76" t="s">
        <v>36</v>
      </c>
      <c r="B8692" s="76" t="s">
        <v>1036</v>
      </c>
      <c r="C8692" s="84">
        <v>0.25</v>
      </c>
      <c r="D8692" s="84">
        <v>0.0</v>
      </c>
      <c r="E8692" s="84">
        <v>0.0</v>
      </c>
      <c r="F8692" s="76" t="s">
        <v>950</v>
      </c>
      <c r="G8692" s="83">
        <v>46118.0</v>
      </c>
      <c r="H8692" s="76" t="s">
        <v>928</v>
      </c>
    </row>
    <row r="8693">
      <c r="A8693" s="76" t="s">
        <v>31</v>
      </c>
      <c r="B8693" s="76" t="s">
        <v>1036</v>
      </c>
      <c r="C8693" s="84">
        <v>0.43</v>
      </c>
      <c r="D8693" s="84">
        <v>0.0</v>
      </c>
      <c r="E8693" s="84">
        <v>0.0</v>
      </c>
      <c r="F8693" s="76" t="s">
        <v>950</v>
      </c>
      <c r="G8693" s="83">
        <v>46118.0</v>
      </c>
      <c r="H8693" s="76" t="s">
        <v>929</v>
      </c>
    </row>
    <row r="8694">
      <c r="A8694" s="76" t="s">
        <v>31</v>
      </c>
      <c r="B8694" s="76" t="s">
        <v>1036</v>
      </c>
      <c r="C8694" s="84">
        <v>3.93</v>
      </c>
      <c r="D8694" s="84">
        <v>1.0</v>
      </c>
      <c r="E8694" s="84">
        <v>3.93</v>
      </c>
      <c r="F8694" s="76" t="s">
        <v>950</v>
      </c>
      <c r="G8694" s="83">
        <v>46118.0</v>
      </c>
      <c r="H8694" s="76" t="s">
        <v>930</v>
      </c>
    </row>
    <row r="8695">
      <c r="A8695" s="76" t="s">
        <v>50</v>
      </c>
      <c r="B8695" s="76" t="s">
        <v>1036</v>
      </c>
      <c r="C8695" s="84">
        <v>0.78</v>
      </c>
      <c r="D8695" s="84">
        <v>0.0</v>
      </c>
      <c r="E8695" s="84">
        <v>0.0</v>
      </c>
      <c r="F8695" s="76" t="s">
        <v>950</v>
      </c>
      <c r="G8695" s="83">
        <v>46118.0</v>
      </c>
      <c r="H8695" s="76" t="s">
        <v>939</v>
      </c>
    </row>
    <row r="8696">
      <c r="A8696" s="76" t="s">
        <v>50</v>
      </c>
      <c r="B8696" s="76" t="s">
        <v>1036</v>
      </c>
      <c r="C8696" s="84">
        <v>0.2</v>
      </c>
      <c r="D8696" s="84">
        <v>0.0</v>
      </c>
      <c r="E8696" s="84">
        <v>0.0</v>
      </c>
      <c r="F8696" s="76" t="s">
        <v>950</v>
      </c>
      <c r="G8696" s="83">
        <v>46118.0</v>
      </c>
      <c r="H8696" s="76" t="s">
        <v>940</v>
      </c>
    </row>
    <row r="8697">
      <c r="A8697" s="76" t="s">
        <v>26</v>
      </c>
      <c r="B8697" s="76" t="s">
        <v>1036</v>
      </c>
      <c r="C8697" s="84">
        <v>0.27</v>
      </c>
      <c r="D8697" s="84">
        <v>0.0</v>
      </c>
      <c r="E8697" s="84">
        <v>0.0</v>
      </c>
      <c r="F8697" s="76" t="s">
        <v>950</v>
      </c>
      <c r="G8697" s="83">
        <v>46118.0</v>
      </c>
      <c r="H8697" s="76" t="s">
        <v>1012</v>
      </c>
    </row>
    <row r="8698">
      <c r="A8698" s="76" t="s">
        <v>26</v>
      </c>
      <c r="B8698" s="76" t="s">
        <v>1036</v>
      </c>
      <c r="C8698" s="84">
        <v>0.26</v>
      </c>
      <c r="D8698" s="84">
        <v>0.0</v>
      </c>
      <c r="E8698" s="84">
        <v>0.0</v>
      </c>
      <c r="F8698" s="76" t="s">
        <v>950</v>
      </c>
      <c r="G8698" s="83">
        <v>46118.0</v>
      </c>
      <c r="H8698" s="76" t="s">
        <v>1013</v>
      </c>
    </row>
    <row r="8699">
      <c r="A8699" s="76" t="s">
        <v>26</v>
      </c>
      <c r="B8699" s="76" t="s">
        <v>1036</v>
      </c>
      <c r="C8699" s="84">
        <v>2.43</v>
      </c>
      <c r="D8699" s="84">
        <v>2.0</v>
      </c>
      <c r="E8699" s="84">
        <v>1.22</v>
      </c>
      <c r="F8699" s="76" t="s">
        <v>950</v>
      </c>
      <c r="G8699" s="83">
        <v>46118.0</v>
      </c>
      <c r="H8699" s="76" t="s">
        <v>1014</v>
      </c>
    </row>
    <row r="8700">
      <c r="A8700" s="76" t="s">
        <v>944</v>
      </c>
      <c r="B8700" s="76" t="s">
        <v>1036</v>
      </c>
      <c r="C8700" s="84">
        <v>0.76</v>
      </c>
      <c r="D8700" s="84">
        <v>0.0</v>
      </c>
      <c r="E8700" s="84">
        <v>0.0</v>
      </c>
      <c r="F8700" s="76" t="s">
        <v>950</v>
      </c>
      <c r="G8700" s="83">
        <v>46118.0</v>
      </c>
      <c r="H8700" s="76" t="s">
        <v>945</v>
      </c>
    </row>
    <row r="8701">
      <c r="A8701" s="76" t="s">
        <v>944</v>
      </c>
      <c r="B8701" s="76" t="s">
        <v>1036</v>
      </c>
      <c r="C8701" s="84">
        <v>0.93</v>
      </c>
      <c r="D8701" s="84">
        <v>0.0</v>
      </c>
      <c r="E8701" s="84">
        <v>0.0</v>
      </c>
      <c r="F8701" s="76" t="s">
        <v>950</v>
      </c>
      <c r="G8701" s="83">
        <v>46118.0</v>
      </c>
      <c r="H8701" s="76" t="s">
        <v>946</v>
      </c>
    </row>
    <row r="8702">
      <c r="A8702" s="76" t="s">
        <v>944</v>
      </c>
      <c r="B8702" s="76" t="s">
        <v>1036</v>
      </c>
      <c r="C8702" s="84">
        <v>0.91</v>
      </c>
      <c r="D8702" s="84">
        <v>0.0</v>
      </c>
      <c r="E8702" s="84">
        <v>0.0</v>
      </c>
      <c r="F8702" s="76" t="s">
        <v>950</v>
      </c>
      <c r="G8702" s="83">
        <v>46118.0</v>
      </c>
      <c r="H8702" s="76" t="s">
        <v>947</v>
      </c>
    </row>
    <row r="8703">
      <c r="A8703" s="76" t="s">
        <v>32</v>
      </c>
      <c r="B8703" s="76" t="s">
        <v>1036</v>
      </c>
      <c r="C8703" s="84">
        <v>4.58</v>
      </c>
      <c r="D8703" s="84">
        <v>1.0</v>
      </c>
      <c r="E8703" s="84">
        <v>4.58</v>
      </c>
      <c r="F8703" s="76" t="s">
        <v>950</v>
      </c>
      <c r="G8703" s="83">
        <v>46118.0</v>
      </c>
      <c r="H8703" s="76" t="s">
        <v>941</v>
      </c>
    </row>
    <row r="8704">
      <c r="A8704" s="76" t="s">
        <v>32</v>
      </c>
      <c r="B8704" s="76" t="s">
        <v>1036</v>
      </c>
      <c r="C8704" s="84">
        <v>0.18</v>
      </c>
      <c r="D8704" s="84">
        <v>0.0</v>
      </c>
      <c r="E8704" s="84">
        <v>0.0</v>
      </c>
      <c r="F8704" s="76" t="s">
        <v>950</v>
      </c>
      <c r="G8704" s="83">
        <v>46118.0</v>
      </c>
      <c r="H8704" s="76" t="s">
        <v>942</v>
      </c>
    </row>
    <row r="8705">
      <c r="A8705" s="76" t="s">
        <v>32</v>
      </c>
      <c r="B8705" s="76" t="s">
        <v>1036</v>
      </c>
      <c r="C8705" s="84">
        <v>0.91</v>
      </c>
      <c r="D8705" s="84">
        <v>0.0</v>
      </c>
      <c r="E8705" s="84">
        <v>0.0</v>
      </c>
      <c r="F8705" s="76" t="s">
        <v>950</v>
      </c>
      <c r="G8705" s="83">
        <v>46118.0</v>
      </c>
      <c r="H8705" s="76" t="s">
        <v>943</v>
      </c>
    </row>
    <row r="8706">
      <c r="A8706" s="76" t="s">
        <v>31</v>
      </c>
      <c r="B8706" s="76" t="s">
        <v>1036</v>
      </c>
      <c r="C8706" s="84">
        <v>0.39</v>
      </c>
      <c r="D8706" s="84">
        <v>0.0</v>
      </c>
      <c r="E8706" s="84">
        <v>0.0</v>
      </c>
      <c r="F8706" s="76" t="s">
        <v>974</v>
      </c>
      <c r="G8706" s="83">
        <v>46118.0</v>
      </c>
      <c r="H8706" s="76" t="s">
        <v>929</v>
      </c>
    </row>
    <row r="8707">
      <c r="A8707" s="76" t="s">
        <v>31</v>
      </c>
      <c r="B8707" s="76" t="s">
        <v>1036</v>
      </c>
      <c r="C8707" s="84">
        <v>8.26</v>
      </c>
      <c r="D8707" s="84">
        <v>2.0</v>
      </c>
      <c r="E8707" s="84">
        <v>4.13</v>
      </c>
      <c r="F8707" s="76" t="s">
        <v>974</v>
      </c>
      <c r="G8707" s="83">
        <v>46118.0</v>
      </c>
      <c r="H8707" s="76" t="s">
        <v>930</v>
      </c>
    </row>
    <row r="8708">
      <c r="A8708" s="76" t="s">
        <v>45</v>
      </c>
      <c r="B8708" s="76" t="s">
        <v>1036</v>
      </c>
      <c r="C8708" s="84">
        <v>0.18</v>
      </c>
      <c r="D8708" s="84">
        <v>0.0</v>
      </c>
      <c r="E8708" s="84">
        <v>0.0</v>
      </c>
      <c r="F8708" s="76" t="s">
        <v>974</v>
      </c>
      <c r="G8708" s="83">
        <v>46118.0</v>
      </c>
      <c r="H8708" s="76" t="s">
        <v>936</v>
      </c>
    </row>
    <row r="8709">
      <c r="A8709" s="76" t="s">
        <v>45</v>
      </c>
      <c r="B8709" s="76" t="s">
        <v>1036</v>
      </c>
      <c r="C8709" s="84">
        <v>0.57</v>
      </c>
      <c r="D8709" s="84">
        <v>0.0</v>
      </c>
      <c r="E8709" s="84">
        <v>0.0</v>
      </c>
      <c r="F8709" s="76" t="s">
        <v>974</v>
      </c>
      <c r="G8709" s="83">
        <v>46118.0</v>
      </c>
      <c r="H8709" s="76" t="s">
        <v>937</v>
      </c>
    </row>
    <row r="8710">
      <c r="A8710" s="76" t="s">
        <v>45</v>
      </c>
      <c r="B8710" s="76" t="s">
        <v>1036</v>
      </c>
      <c r="C8710" s="84">
        <v>5.74</v>
      </c>
      <c r="D8710" s="84">
        <v>1.0</v>
      </c>
      <c r="E8710" s="84">
        <v>5.74</v>
      </c>
      <c r="F8710" s="76" t="s">
        <v>974</v>
      </c>
      <c r="G8710" s="83">
        <v>46118.0</v>
      </c>
      <c r="H8710" s="76" t="s">
        <v>938</v>
      </c>
    </row>
    <row r="8711">
      <c r="A8711" s="76" t="s">
        <v>42</v>
      </c>
      <c r="B8711" s="76" t="s">
        <v>1036</v>
      </c>
      <c r="C8711" s="84">
        <v>0.94</v>
      </c>
      <c r="D8711" s="84">
        <v>0.0</v>
      </c>
      <c r="E8711" s="84">
        <v>0.0</v>
      </c>
      <c r="F8711" s="76" t="s">
        <v>974</v>
      </c>
      <c r="G8711" s="83">
        <v>46118.0</v>
      </c>
      <c r="H8711" s="76" t="s">
        <v>991</v>
      </c>
    </row>
    <row r="8712">
      <c r="A8712" s="76" t="s">
        <v>42</v>
      </c>
      <c r="B8712" s="76" t="s">
        <v>1036</v>
      </c>
      <c r="C8712" s="84">
        <v>2.42</v>
      </c>
      <c r="D8712" s="84">
        <v>1.0</v>
      </c>
      <c r="E8712" s="84">
        <v>2.42</v>
      </c>
      <c r="F8712" s="76" t="s">
        <v>974</v>
      </c>
      <c r="G8712" s="83">
        <v>46118.0</v>
      </c>
      <c r="H8712" s="76" t="s">
        <v>935</v>
      </c>
    </row>
    <row r="8713">
      <c r="A8713" s="76" t="s">
        <v>28</v>
      </c>
      <c r="B8713" s="76" t="s">
        <v>1036</v>
      </c>
      <c r="C8713" s="84">
        <v>0.36</v>
      </c>
      <c r="D8713" s="84">
        <v>0.0</v>
      </c>
      <c r="E8713" s="84">
        <v>0.0</v>
      </c>
      <c r="F8713" s="76" t="s">
        <v>974</v>
      </c>
      <c r="G8713" s="83">
        <v>46118.0</v>
      </c>
      <c r="H8713" s="76" t="s">
        <v>931</v>
      </c>
    </row>
    <row r="8714">
      <c r="A8714" s="76" t="s">
        <v>28</v>
      </c>
      <c r="B8714" s="76" t="s">
        <v>1036</v>
      </c>
      <c r="C8714" s="84">
        <v>0.18</v>
      </c>
      <c r="D8714" s="84">
        <v>0.0</v>
      </c>
      <c r="E8714" s="84">
        <v>0.0</v>
      </c>
      <c r="F8714" s="76" t="s">
        <v>974</v>
      </c>
      <c r="G8714" s="83">
        <v>46118.0</v>
      </c>
      <c r="H8714" s="76" t="s">
        <v>932</v>
      </c>
    </row>
    <row r="8715">
      <c r="A8715" s="76" t="s">
        <v>28</v>
      </c>
      <c r="B8715" s="76" t="s">
        <v>1036</v>
      </c>
      <c r="C8715" s="84">
        <v>4.08</v>
      </c>
      <c r="D8715" s="84">
        <v>1.0</v>
      </c>
      <c r="E8715" s="84">
        <v>4.08</v>
      </c>
      <c r="F8715" s="76" t="s">
        <v>974</v>
      </c>
      <c r="G8715" s="83">
        <v>46118.0</v>
      </c>
      <c r="H8715" s="76" t="s">
        <v>933</v>
      </c>
    </row>
    <row r="8716">
      <c r="A8716" s="76" t="s">
        <v>50</v>
      </c>
      <c r="B8716" s="76" t="s">
        <v>1036</v>
      </c>
      <c r="C8716" s="84">
        <v>0.62</v>
      </c>
      <c r="D8716" s="84">
        <v>0.0</v>
      </c>
      <c r="E8716" s="84">
        <v>0.0</v>
      </c>
      <c r="F8716" s="76" t="s">
        <v>974</v>
      </c>
      <c r="G8716" s="83">
        <v>46118.0</v>
      </c>
      <c r="H8716" s="76" t="s">
        <v>939</v>
      </c>
    </row>
    <row r="8717">
      <c r="A8717" s="76" t="s">
        <v>50</v>
      </c>
      <c r="B8717" s="76" t="s">
        <v>1036</v>
      </c>
      <c r="C8717" s="84">
        <v>0.46</v>
      </c>
      <c r="D8717" s="84">
        <v>0.0</v>
      </c>
      <c r="E8717" s="84">
        <v>0.0</v>
      </c>
      <c r="F8717" s="76" t="s">
        <v>974</v>
      </c>
      <c r="G8717" s="83">
        <v>46118.0</v>
      </c>
      <c r="H8717" s="76" t="s">
        <v>940</v>
      </c>
    </row>
    <row r="8718">
      <c r="A8718" s="76" t="s">
        <v>26</v>
      </c>
      <c r="B8718" s="76" t="s">
        <v>1036</v>
      </c>
      <c r="C8718" s="84">
        <v>0.33</v>
      </c>
      <c r="D8718" s="84">
        <v>0.0</v>
      </c>
      <c r="E8718" s="84">
        <v>0.0</v>
      </c>
      <c r="F8718" s="76" t="s">
        <v>974</v>
      </c>
      <c r="G8718" s="83">
        <v>46118.0</v>
      </c>
      <c r="H8718" s="76" t="s">
        <v>1012</v>
      </c>
    </row>
    <row r="8719">
      <c r="A8719" s="76" t="s">
        <v>26</v>
      </c>
      <c r="B8719" s="76" t="s">
        <v>1036</v>
      </c>
      <c r="C8719" s="84">
        <v>3.46</v>
      </c>
      <c r="D8719" s="84">
        <v>0.0</v>
      </c>
      <c r="E8719" s="84">
        <v>0.0</v>
      </c>
      <c r="F8719" s="76" t="s">
        <v>974</v>
      </c>
      <c r="G8719" s="83">
        <v>46118.0</v>
      </c>
      <c r="H8719" s="76" t="s">
        <v>1013</v>
      </c>
    </row>
    <row r="8720">
      <c r="A8720" s="76" t="s">
        <v>26</v>
      </c>
      <c r="B8720" s="76" t="s">
        <v>1036</v>
      </c>
      <c r="C8720" s="84">
        <v>2.27</v>
      </c>
      <c r="D8720" s="84">
        <v>0.0</v>
      </c>
      <c r="E8720" s="84">
        <v>0.0</v>
      </c>
      <c r="F8720" s="76" t="s">
        <v>974</v>
      </c>
      <c r="G8720" s="83">
        <v>46118.0</v>
      </c>
      <c r="H8720" s="76" t="s">
        <v>1014</v>
      </c>
    </row>
    <row r="8721">
      <c r="A8721" s="76" t="s">
        <v>944</v>
      </c>
      <c r="B8721" s="76" t="s">
        <v>1036</v>
      </c>
      <c r="C8721" s="84">
        <v>1.49</v>
      </c>
      <c r="D8721" s="84">
        <v>0.0</v>
      </c>
      <c r="E8721" s="84">
        <v>0.0</v>
      </c>
      <c r="F8721" s="76" t="s">
        <v>974</v>
      </c>
      <c r="G8721" s="83">
        <v>46118.0</v>
      </c>
      <c r="H8721" s="76" t="s">
        <v>945</v>
      </c>
    </row>
    <row r="8722">
      <c r="A8722" s="76" t="s">
        <v>944</v>
      </c>
      <c r="B8722" s="76" t="s">
        <v>1036</v>
      </c>
      <c r="C8722" s="84">
        <v>0.56</v>
      </c>
      <c r="D8722" s="84">
        <v>0.0</v>
      </c>
      <c r="E8722" s="84">
        <v>0.0</v>
      </c>
      <c r="F8722" s="76" t="s">
        <v>974</v>
      </c>
      <c r="G8722" s="83">
        <v>46118.0</v>
      </c>
      <c r="H8722" s="76" t="s">
        <v>946</v>
      </c>
    </row>
    <row r="8723">
      <c r="A8723" s="76" t="s">
        <v>944</v>
      </c>
      <c r="B8723" s="76" t="s">
        <v>1036</v>
      </c>
      <c r="C8723" s="84">
        <v>1.47</v>
      </c>
      <c r="D8723" s="84">
        <v>1.0</v>
      </c>
      <c r="E8723" s="84">
        <v>1.47</v>
      </c>
      <c r="F8723" s="76" t="s">
        <v>974</v>
      </c>
      <c r="G8723" s="83">
        <v>46118.0</v>
      </c>
      <c r="H8723" s="76" t="s">
        <v>947</v>
      </c>
    </row>
    <row r="8724">
      <c r="A8724" s="76" t="s">
        <v>36</v>
      </c>
      <c r="B8724" s="76" t="s">
        <v>1036</v>
      </c>
      <c r="C8724" s="84">
        <v>2.84</v>
      </c>
      <c r="D8724" s="84">
        <v>0.0</v>
      </c>
      <c r="E8724" s="84">
        <v>0.0</v>
      </c>
      <c r="F8724" s="76" t="s">
        <v>974</v>
      </c>
      <c r="G8724" s="83">
        <v>46118.0</v>
      </c>
      <c r="H8724" s="76" t="s">
        <v>926</v>
      </c>
    </row>
    <row r="8725">
      <c r="A8725" s="76" t="s">
        <v>36</v>
      </c>
      <c r="B8725" s="76" t="s">
        <v>1036</v>
      </c>
      <c r="C8725" s="84">
        <v>0.61</v>
      </c>
      <c r="D8725" s="84">
        <v>0.0</v>
      </c>
      <c r="E8725" s="84">
        <v>0.0</v>
      </c>
      <c r="F8725" s="76" t="s">
        <v>974</v>
      </c>
      <c r="G8725" s="83">
        <v>46118.0</v>
      </c>
      <c r="H8725" s="76" t="s">
        <v>927</v>
      </c>
    </row>
    <row r="8726">
      <c r="A8726" s="76" t="s">
        <v>36</v>
      </c>
      <c r="B8726" s="76" t="s">
        <v>1036</v>
      </c>
      <c r="C8726" s="84">
        <v>1.1</v>
      </c>
      <c r="D8726" s="84">
        <v>1.0</v>
      </c>
      <c r="E8726" s="84">
        <v>1.1</v>
      </c>
      <c r="F8726" s="76" t="s">
        <v>974</v>
      </c>
      <c r="G8726" s="83">
        <v>46118.0</v>
      </c>
      <c r="H8726" s="76" t="s">
        <v>928</v>
      </c>
    </row>
    <row r="8727">
      <c r="A8727" s="76" t="s">
        <v>32</v>
      </c>
      <c r="B8727" s="76" t="s">
        <v>1036</v>
      </c>
      <c r="C8727" s="84">
        <v>6.78</v>
      </c>
      <c r="D8727" s="84">
        <v>1.0</v>
      </c>
      <c r="E8727" s="84">
        <v>6.78</v>
      </c>
      <c r="F8727" s="76" t="s">
        <v>974</v>
      </c>
      <c r="G8727" s="83">
        <v>46118.0</v>
      </c>
      <c r="H8727" s="76" t="s">
        <v>941</v>
      </c>
    </row>
    <row r="8728">
      <c r="A8728" s="76" t="s">
        <v>32</v>
      </c>
      <c r="B8728" s="76" t="s">
        <v>1036</v>
      </c>
      <c r="C8728" s="84">
        <v>0.61</v>
      </c>
      <c r="D8728" s="84">
        <v>0.0</v>
      </c>
      <c r="E8728" s="84">
        <v>0.0</v>
      </c>
      <c r="F8728" s="76" t="s">
        <v>974</v>
      </c>
      <c r="G8728" s="83">
        <v>46118.0</v>
      </c>
      <c r="H8728" s="76" t="s">
        <v>942</v>
      </c>
    </row>
    <row r="8729">
      <c r="A8729" s="76" t="s">
        <v>32</v>
      </c>
      <c r="B8729" s="76" t="s">
        <v>1036</v>
      </c>
      <c r="C8729" s="84">
        <v>2.2</v>
      </c>
      <c r="D8729" s="84">
        <v>1.0</v>
      </c>
      <c r="E8729" s="84">
        <v>2.2</v>
      </c>
      <c r="F8729" s="76" t="s">
        <v>974</v>
      </c>
      <c r="G8729" s="83">
        <v>46118.0</v>
      </c>
      <c r="H8729" s="76" t="s">
        <v>943</v>
      </c>
    </row>
    <row r="8730">
      <c r="A8730" s="76" t="s">
        <v>42</v>
      </c>
      <c r="B8730" s="76" t="s">
        <v>1037</v>
      </c>
      <c r="C8730" s="84">
        <v>0.61</v>
      </c>
      <c r="D8730" s="84">
        <v>0.0</v>
      </c>
      <c r="E8730" s="84">
        <v>0.0</v>
      </c>
      <c r="F8730" s="76" t="s">
        <v>925</v>
      </c>
      <c r="G8730" s="83">
        <v>46118.0</v>
      </c>
      <c r="H8730" s="76" t="s">
        <v>991</v>
      </c>
    </row>
    <row r="8731">
      <c r="A8731" s="76" t="s">
        <v>42</v>
      </c>
      <c r="B8731" s="76" t="s">
        <v>1037</v>
      </c>
      <c r="C8731" s="84">
        <v>16.74</v>
      </c>
      <c r="D8731" s="84">
        <v>7.0</v>
      </c>
      <c r="E8731" s="84">
        <v>2.39</v>
      </c>
      <c r="F8731" s="76" t="s">
        <v>925</v>
      </c>
      <c r="G8731" s="83">
        <v>46118.0</v>
      </c>
      <c r="H8731" s="76" t="s">
        <v>935</v>
      </c>
    </row>
    <row r="8732">
      <c r="A8732" s="76" t="s">
        <v>36</v>
      </c>
      <c r="B8732" s="76" t="s">
        <v>1037</v>
      </c>
      <c r="C8732" s="84">
        <v>10.71</v>
      </c>
      <c r="D8732" s="84">
        <v>5.0</v>
      </c>
      <c r="E8732" s="84">
        <v>2.14</v>
      </c>
      <c r="F8732" s="76" t="s">
        <v>925</v>
      </c>
      <c r="G8732" s="83">
        <v>46118.0</v>
      </c>
      <c r="H8732" s="76" t="s">
        <v>926</v>
      </c>
    </row>
    <row r="8733">
      <c r="A8733" s="76" t="s">
        <v>36</v>
      </c>
      <c r="B8733" s="76" t="s">
        <v>1037</v>
      </c>
      <c r="C8733" s="84">
        <v>2.31</v>
      </c>
      <c r="D8733" s="84">
        <v>1.0</v>
      </c>
      <c r="E8733" s="84">
        <v>2.31</v>
      </c>
      <c r="F8733" s="76" t="s">
        <v>925</v>
      </c>
      <c r="G8733" s="83">
        <v>46118.0</v>
      </c>
      <c r="H8733" s="76" t="s">
        <v>927</v>
      </c>
    </row>
    <row r="8734">
      <c r="A8734" s="76" t="s">
        <v>36</v>
      </c>
      <c r="B8734" s="76" t="s">
        <v>1037</v>
      </c>
      <c r="C8734" s="84">
        <v>2.4</v>
      </c>
      <c r="D8734" s="84">
        <v>0.0</v>
      </c>
      <c r="E8734" s="84">
        <v>0.0</v>
      </c>
      <c r="F8734" s="76" t="s">
        <v>925</v>
      </c>
      <c r="G8734" s="83">
        <v>46118.0</v>
      </c>
      <c r="H8734" s="76" t="s">
        <v>928</v>
      </c>
    </row>
    <row r="8735">
      <c r="A8735" s="76" t="s">
        <v>32</v>
      </c>
      <c r="B8735" s="76" t="s">
        <v>1037</v>
      </c>
      <c r="C8735" s="84">
        <v>10.87</v>
      </c>
      <c r="D8735" s="84">
        <v>2.0</v>
      </c>
      <c r="E8735" s="84">
        <v>5.43</v>
      </c>
      <c r="F8735" s="76" t="s">
        <v>925</v>
      </c>
      <c r="G8735" s="83">
        <v>46118.0</v>
      </c>
      <c r="H8735" s="76" t="s">
        <v>941</v>
      </c>
    </row>
    <row r="8736">
      <c r="A8736" s="76" t="s">
        <v>32</v>
      </c>
      <c r="B8736" s="76" t="s">
        <v>1037</v>
      </c>
      <c r="C8736" s="84">
        <v>4.35</v>
      </c>
      <c r="D8736" s="84">
        <v>0.0</v>
      </c>
      <c r="E8736" s="84">
        <v>0.0</v>
      </c>
      <c r="F8736" s="76" t="s">
        <v>925</v>
      </c>
      <c r="G8736" s="83">
        <v>46118.0</v>
      </c>
      <c r="H8736" s="76" t="s">
        <v>942</v>
      </c>
    </row>
    <row r="8737">
      <c r="A8737" s="76" t="s">
        <v>32</v>
      </c>
      <c r="B8737" s="76" t="s">
        <v>1037</v>
      </c>
      <c r="C8737" s="84">
        <v>12.47</v>
      </c>
      <c r="D8737" s="84">
        <v>6.0</v>
      </c>
      <c r="E8737" s="84">
        <v>2.08</v>
      </c>
      <c r="F8737" s="76" t="s">
        <v>925</v>
      </c>
      <c r="G8737" s="83">
        <v>46118.0</v>
      </c>
      <c r="H8737" s="76" t="s">
        <v>943</v>
      </c>
    </row>
    <row r="8738">
      <c r="A8738" s="76" t="s">
        <v>944</v>
      </c>
      <c r="B8738" s="76" t="s">
        <v>1037</v>
      </c>
      <c r="C8738" s="84">
        <v>9.41</v>
      </c>
      <c r="D8738" s="84">
        <v>4.0</v>
      </c>
      <c r="E8738" s="84">
        <v>2.35</v>
      </c>
      <c r="F8738" s="76" t="s">
        <v>925</v>
      </c>
      <c r="G8738" s="83">
        <v>46118.0</v>
      </c>
      <c r="H8738" s="76" t="s">
        <v>945</v>
      </c>
    </row>
    <row r="8739">
      <c r="A8739" s="76" t="s">
        <v>944</v>
      </c>
      <c r="B8739" s="76" t="s">
        <v>1037</v>
      </c>
      <c r="C8739" s="84">
        <v>2.55</v>
      </c>
      <c r="D8739" s="84">
        <v>1.0</v>
      </c>
      <c r="E8739" s="84">
        <v>2.55</v>
      </c>
      <c r="F8739" s="76" t="s">
        <v>925</v>
      </c>
      <c r="G8739" s="83">
        <v>46118.0</v>
      </c>
      <c r="H8739" s="76" t="s">
        <v>946</v>
      </c>
    </row>
    <row r="8740">
      <c r="A8740" s="76" t="s">
        <v>944</v>
      </c>
      <c r="B8740" s="76" t="s">
        <v>1037</v>
      </c>
      <c r="C8740" s="84">
        <v>3.59</v>
      </c>
      <c r="D8740" s="84">
        <v>0.0</v>
      </c>
      <c r="E8740" s="84">
        <v>0.0</v>
      </c>
      <c r="F8740" s="76" t="s">
        <v>925</v>
      </c>
      <c r="G8740" s="83">
        <v>46118.0</v>
      </c>
      <c r="H8740" s="76" t="s">
        <v>947</v>
      </c>
    </row>
    <row r="8741">
      <c r="A8741" s="76" t="s">
        <v>31</v>
      </c>
      <c r="B8741" s="76" t="s">
        <v>1037</v>
      </c>
      <c r="C8741" s="84">
        <v>1.88</v>
      </c>
      <c r="D8741" s="84">
        <v>2.0</v>
      </c>
      <c r="E8741" s="84">
        <v>0.94</v>
      </c>
      <c r="F8741" s="76" t="s">
        <v>925</v>
      </c>
      <c r="G8741" s="83">
        <v>46118.0</v>
      </c>
      <c r="H8741" s="76" t="s">
        <v>929</v>
      </c>
    </row>
    <row r="8742">
      <c r="A8742" s="76" t="s">
        <v>31</v>
      </c>
      <c r="B8742" s="76" t="s">
        <v>1037</v>
      </c>
      <c r="C8742" s="84">
        <v>110.65</v>
      </c>
      <c r="D8742" s="84">
        <v>18.0</v>
      </c>
      <c r="E8742" s="84">
        <v>6.15</v>
      </c>
      <c r="F8742" s="76" t="s">
        <v>925</v>
      </c>
      <c r="G8742" s="83">
        <v>46118.0</v>
      </c>
      <c r="H8742" s="76" t="s">
        <v>930</v>
      </c>
    </row>
    <row r="8743">
      <c r="A8743" s="76" t="s">
        <v>45</v>
      </c>
      <c r="B8743" s="76" t="s">
        <v>1037</v>
      </c>
      <c r="C8743" s="84">
        <v>1.49</v>
      </c>
      <c r="D8743" s="84">
        <v>0.0</v>
      </c>
      <c r="E8743" s="84">
        <v>0.0</v>
      </c>
      <c r="F8743" s="76" t="s">
        <v>925</v>
      </c>
      <c r="G8743" s="83">
        <v>46118.0</v>
      </c>
      <c r="H8743" s="76" t="s">
        <v>936</v>
      </c>
    </row>
    <row r="8744">
      <c r="A8744" s="76" t="s">
        <v>45</v>
      </c>
      <c r="B8744" s="76" t="s">
        <v>1037</v>
      </c>
      <c r="C8744" s="84">
        <v>2.22</v>
      </c>
      <c r="D8744" s="84">
        <v>0.0</v>
      </c>
      <c r="E8744" s="84">
        <v>0.0</v>
      </c>
      <c r="F8744" s="76" t="s">
        <v>925</v>
      </c>
      <c r="G8744" s="83">
        <v>46118.0</v>
      </c>
      <c r="H8744" s="76" t="s">
        <v>937</v>
      </c>
    </row>
    <row r="8745">
      <c r="A8745" s="76" t="s">
        <v>45</v>
      </c>
      <c r="B8745" s="76" t="s">
        <v>1037</v>
      </c>
      <c r="C8745" s="84">
        <v>2.37</v>
      </c>
      <c r="D8745" s="84">
        <v>2.0</v>
      </c>
      <c r="E8745" s="84">
        <v>1.19</v>
      </c>
      <c r="F8745" s="76" t="s">
        <v>925</v>
      </c>
      <c r="G8745" s="83">
        <v>46118.0</v>
      </c>
      <c r="H8745" s="76" t="s">
        <v>938</v>
      </c>
    </row>
    <row r="8746">
      <c r="A8746" s="76" t="s">
        <v>26</v>
      </c>
      <c r="B8746" s="76" t="s">
        <v>1037</v>
      </c>
      <c r="C8746" s="84">
        <v>0.79</v>
      </c>
      <c r="D8746" s="84">
        <v>0.0</v>
      </c>
      <c r="E8746" s="84">
        <v>0.0</v>
      </c>
      <c r="F8746" s="76" t="s">
        <v>925</v>
      </c>
      <c r="G8746" s="83">
        <v>46118.0</v>
      </c>
      <c r="H8746" s="76" t="s">
        <v>1012</v>
      </c>
    </row>
    <row r="8747">
      <c r="A8747" s="76" t="s">
        <v>26</v>
      </c>
      <c r="B8747" s="76" t="s">
        <v>1037</v>
      </c>
      <c r="C8747" s="84">
        <v>2.81</v>
      </c>
      <c r="D8747" s="84">
        <v>0.0</v>
      </c>
      <c r="E8747" s="84">
        <v>0.0</v>
      </c>
      <c r="F8747" s="76" t="s">
        <v>925</v>
      </c>
      <c r="G8747" s="83">
        <v>46118.0</v>
      </c>
      <c r="H8747" s="76" t="s">
        <v>1013</v>
      </c>
    </row>
    <row r="8748">
      <c r="A8748" s="76" t="s">
        <v>26</v>
      </c>
      <c r="B8748" s="76" t="s">
        <v>1037</v>
      </c>
      <c r="C8748" s="84">
        <v>10.04</v>
      </c>
      <c r="D8748" s="84">
        <v>3.0</v>
      </c>
      <c r="E8748" s="84">
        <v>3.35</v>
      </c>
      <c r="F8748" s="76" t="s">
        <v>925</v>
      </c>
      <c r="G8748" s="83">
        <v>46118.0</v>
      </c>
      <c r="H8748" s="76" t="s">
        <v>1014</v>
      </c>
    </row>
    <row r="8749">
      <c r="A8749" s="76" t="s">
        <v>28</v>
      </c>
      <c r="B8749" s="76" t="s">
        <v>1037</v>
      </c>
      <c r="C8749" s="84">
        <v>1.33</v>
      </c>
      <c r="D8749" s="84">
        <v>0.0</v>
      </c>
      <c r="E8749" s="84">
        <v>0.0</v>
      </c>
      <c r="F8749" s="76" t="s">
        <v>925</v>
      </c>
      <c r="G8749" s="83">
        <v>46118.0</v>
      </c>
      <c r="H8749" s="76" t="s">
        <v>931</v>
      </c>
    </row>
    <row r="8750">
      <c r="A8750" s="76" t="s">
        <v>28</v>
      </c>
      <c r="B8750" s="76" t="s">
        <v>1037</v>
      </c>
      <c r="C8750" s="84">
        <v>1.17</v>
      </c>
      <c r="D8750" s="84">
        <v>0.0</v>
      </c>
      <c r="E8750" s="84">
        <v>0.0</v>
      </c>
      <c r="F8750" s="76" t="s">
        <v>925</v>
      </c>
      <c r="G8750" s="83">
        <v>46118.0</v>
      </c>
      <c r="H8750" s="76" t="s">
        <v>932</v>
      </c>
    </row>
    <row r="8751">
      <c r="A8751" s="76" t="s">
        <v>28</v>
      </c>
      <c r="B8751" s="76" t="s">
        <v>1037</v>
      </c>
      <c r="C8751" s="84">
        <v>58.21</v>
      </c>
      <c r="D8751" s="84">
        <v>14.0</v>
      </c>
      <c r="E8751" s="84">
        <v>4.16</v>
      </c>
      <c r="F8751" s="76" t="s">
        <v>925</v>
      </c>
      <c r="G8751" s="83">
        <v>46118.0</v>
      </c>
      <c r="H8751" s="76" t="s">
        <v>933</v>
      </c>
    </row>
    <row r="8752">
      <c r="A8752" s="76" t="s">
        <v>31</v>
      </c>
      <c r="B8752" s="76" t="s">
        <v>1037</v>
      </c>
      <c r="C8752" s="84">
        <v>6.93</v>
      </c>
      <c r="D8752" s="84">
        <v>1.0</v>
      </c>
      <c r="E8752" s="84">
        <v>6.93</v>
      </c>
      <c r="F8752" s="76" t="s">
        <v>948</v>
      </c>
      <c r="G8752" s="83">
        <v>46118.0</v>
      </c>
      <c r="H8752" s="76" t="s">
        <v>929</v>
      </c>
    </row>
    <row r="8753">
      <c r="A8753" s="76" t="s">
        <v>31</v>
      </c>
      <c r="B8753" s="76" t="s">
        <v>1037</v>
      </c>
      <c r="C8753" s="84">
        <v>724.5</v>
      </c>
      <c r="D8753" s="84">
        <v>141.0</v>
      </c>
      <c r="E8753" s="84">
        <v>5.14</v>
      </c>
      <c r="F8753" s="76" t="s">
        <v>948</v>
      </c>
      <c r="G8753" s="83">
        <v>46118.0</v>
      </c>
      <c r="H8753" s="76" t="s">
        <v>930</v>
      </c>
    </row>
    <row r="8754">
      <c r="A8754" s="76" t="s">
        <v>944</v>
      </c>
      <c r="B8754" s="76" t="s">
        <v>1037</v>
      </c>
      <c r="C8754" s="84">
        <v>22.25</v>
      </c>
      <c r="D8754" s="84">
        <v>3.0</v>
      </c>
      <c r="E8754" s="84">
        <v>7.42</v>
      </c>
      <c r="F8754" s="76" t="s">
        <v>948</v>
      </c>
      <c r="G8754" s="83">
        <v>46118.0</v>
      </c>
      <c r="H8754" s="76" t="s">
        <v>945</v>
      </c>
    </row>
    <row r="8755">
      <c r="A8755" s="76" t="s">
        <v>944</v>
      </c>
      <c r="B8755" s="76" t="s">
        <v>1037</v>
      </c>
      <c r="C8755" s="84">
        <v>11.74</v>
      </c>
      <c r="D8755" s="84">
        <v>4.0</v>
      </c>
      <c r="E8755" s="84">
        <v>2.93</v>
      </c>
      <c r="F8755" s="76" t="s">
        <v>948</v>
      </c>
      <c r="G8755" s="83">
        <v>46118.0</v>
      </c>
      <c r="H8755" s="76" t="s">
        <v>946</v>
      </c>
    </row>
    <row r="8756">
      <c r="A8756" s="76" t="s">
        <v>944</v>
      </c>
      <c r="B8756" s="76" t="s">
        <v>1037</v>
      </c>
      <c r="C8756" s="84">
        <v>26.44</v>
      </c>
      <c r="D8756" s="84">
        <v>6.0</v>
      </c>
      <c r="E8756" s="84">
        <v>4.41</v>
      </c>
      <c r="F8756" s="76" t="s">
        <v>948</v>
      </c>
      <c r="G8756" s="83">
        <v>46118.0</v>
      </c>
      <c r="H8756" s="76" t="s">
        <v>947</v>
      </c>
    </row>
    <row r="8757">
      <c r="A8757" s="76" t="s">
        <v>32</v>
      </c>
      <c r="B8757" s="76" t="s">
        <v>1037</v>
      </c>
      <c r="C8757" s="84">
        <v>47.95</v>
      </c>
      <c r="D8757" s="84">
        <v>4.0</v>
      </c>
      <c r="E8757" s="84">
        <v>11.99</v>
      </c>
      <c r="F8757" s="76" t="s">
        <v>948</v>
      </c>
      <c r="G8757" s="83">
        <v>46118.0</v>
      </c>
      <c r="H8757" s="76" t="s">
        <v>941</v>
      </c>
    </row>
    <row r="8758">
      <c r="A8758" s="76" t="s">
        <v>32</v>
      </c>
      <c r="B8758" s="76" t="s">
        <v>1037</v>
      </c>
      <c r="C8758" s="84">
        <v>30.07</v>
      </c>
      <c r="D8758" s="84">
        <v>6.0</v>
      </c>
      <c r="E8758" s="84">
        <v>5.01</v>
      </c>
      <c r="F8758" s="76" t="s">
        <v>948</v>
      </c>
      <c r="G8758" s="83">
        <v>46118.0</v>
      </c>
      <c r="H8758" s="76" t="s">
        <v>942</v>
      </c>
    </row>
    <row r="8759">
      <c r="A8759" s="76" t="s">
        <v>32</v>
      </c>
      <c r="B8759" s="76" t="s">
        <v>1037</v>
      </c>
      <c r="C8759" s="84">
        <v>35.9</v>
      </c>
      <c r="D8759" s="84">
        <v>5.0</v>
      </c>
      <c r="E8759" s="84">
        <v>7.18</v>
      </c>
      <c r="F8759" s="76" t="s">
        <v>948</v>
      </c>
      <c r="G8759" s="83">
        <v>46118.0</v>
      </c>
      <c r="H8759" s="76" t="s">
        <v>943</v>
      </c>
    </row>
    <row r="8760">
      <c r="A8760" s="76" t="s">
        <v>26</v>
      </c>
      <c r="B8760" s="76" t="s">
        <v>1037</v>
      </c>
      <c r="C8760" s="84">
        <v>6.11</v>
      </c>
      <c r="D8760" s="84">
        <v>3.0</v>
      </c>
      <c r="E8760" s="84">
        <v>2.04</v>
      </c>
      <c r="F8760" s="76" t="s">
        <v>948</v>
      </c>
      <c r="G8760" s="83">
        <v>46118.0</v>
      </c>
      <c r="H8760" s="76" t="s">
        <v>1012</v>
      </c>
    </row>
    <row r="8761">
      <c r="A8761" s="76" t="s">
        <v>26</v>
      </c>
      <c r="B8761" s="76" t="s">
        <v>1037</v>
      </c>
      <c r="C8761" s="84">
        <v>11.4</v>
      </c>
      <c r="D8761" s="84">
        <v>1.0</v>
      </c>
      <c r="E8761" s="84">
        <v>11.4</v>
      </c>
      <c r="F8761" s="76" t="s">
        <v>948</v>
      </c>
      <c r="G8761" s="83">
        <v>46118.0</v>
      </c>
      <c r="H8761" s="76" t="s">
        <v>1013</v>
      </c>
    </row>
    <row r="8762">
      <c r="A8762" s="76" t="s">
        <v>26</v>
      </c>
      <c r="B8762" s="76" t="s">
        <v>1037</v>
      </c>
      <c r="C8762" s="84">
        <v>48.12</v>
      </c>
      <c r="D8762" s="84">
        <v>8.0</v>
      </c>
      <c r="E8762" s="84">
        <v>6.01</v>
      </c>
      <c r="F8762" s="76" t="s">
        <v>948</v>
      </c>
      <c r="G8762" s="83">
        <v>46118.0</v>
      </c>
      <c r="H8762" s="76" t="s">
        <v>1014</v>
      </c>
    </row>
    <row r="8763">
      <c r="A8763" s="76" t="s">
        <v>36</v>
      </c>
      <c r="B8763" s="76" t="s">
        <v>1037</v>
      </c>
      <c r="C8763" s="84">
        <v>32.84</v>
      </c>
      <c r="D8763" s="84">
        <v>7.0</v>
      </c>
      <c r="E8763" s="84">
        <v>4.69</v>
      </c>
      <c r="F8763" s="76" t="s">
        <v>948</v>
      </c>
      <c r="G8763" s="83">
        <v>46118.0</v>
      </c>
      <c r="H8763" s="76" t="s">
        <v>926</v>
      </c>
    </row>
    <row r="8764">
      <c r="A8764" s="76" t="s">
        <v>36</v>
      </c>
      <c r="B8764" s="76" t="s">
        <v>1037</v>
      </c>
      <c r="C8764" s="84">
        <v>6.91</v>
      </c>
      <c r="D8764" s="84">
        <v>3.0</v>
      </c>
      <c r="E8764" s="84">
        <v>2.3</v>
      </c>
      <c r="F8764" s="76" t="s">
        <v>948</v>
      </c>
      <c r="G8764" s="83">
        <v>46118.0</v>
      </c>
      <c r="H8764" s="76" t="s">
        <v>927</v>
      </c>
    </row>
    <row r="8765">
      <c r="A8765" s="76" t="s">
        <v>36</v>
      </c>
      <c r="B8765" s="76" t="s">
        <v>1037</v>
      </c>
      <c r="C8765" s="84">
        <v>9.63</v>
      </c>
      <c r="D8765" s="84">
        <v>3.0</v>
      </c>
      <c r="E8765" s="84">
        <v>3.21</v>
      </c>
      <c r="F8765" s="76" t="s">
        <v>948</v>
      </c>
      <c r="G8765" s="83">
        <v>46118.0</v>
      </c>
      <c r="H8765" s="76" t="s">
        <v>928</v>
      </c>
    </row>
    <row r="8766">
      <c r="A8766" s="76" t="s">
        <v>28</v>
      </c>
      <c r="B8766" s="76" t="s">
        <v>1037</v>
      </c>
      <c r="C8766" s="84">
        <v>9.68</v>
      </c>
      <c r="D8766" s="84">
        <v>1.0</v>
      </c>
      <c r="E8766" s="84">
        <v>9.68</v>
      </c>
      <c r="F8766" s="76" t="s">
        <v>948</v>
      </c>
      <c r="G8766" s="83">
        <v>46118.0</v>
      </c>
      <c r="H8766" s="76" t="s">
        <v>931</v>
      </c>
    </row>
    <row r="8767">
      <c r="A8767" s="76" t="s">
        <v>28</v>
      </c>
      <c r="B8767" s="76" t="s">
        <v>1037</v>
      </c>
      <c r="C8767" s="84">
        <v>3.8</v>
      </c>
      <c r="D8767" s="84">
        <v>2.0</v>
      </c>
      <c r="E8767" s="84">
        <v>1.9</v>
      </c>
      <c r="F8767" s="76" t="s">
        <v>948</v>
      </c>
      <c r="G8767" s="83">
        <v>46118.0</v>
      </c>
      <c r="H8767" s="76" t="s">
        <v>932</v>
      </c>
    </row>
    <row r="8768">
      <c r="A8768" s="76" t="s">
        <v>28</v>
      </c>
      <c r="B8768" s="76" t="s">
        <v>1037</v>
      </c>
      <c r="C8768" s="84">
        <v>142.73</v>
      </c>
      <c r="D8768" s="84">
        <v>32.0</v>
      </c>
      <c r="E8768" s="84">
        <v>4.46</v>
      </c>
      <c r="F8768" s="76" t="s">
        <v>948</v>
      </c>
      <c r="G8768" s="83">
        <v>46118.0</v>
      </c>
      <c r="H8768" s="76" t="s">
        <v>933</v>
      </c>
    </row>
    <row r="8769">
      <c r="A8769" s="76" t="s">
        <v>45</v>
      </c>
      <c r="B8769" s="76" t="s">
        <v>1037</v>
      </c>
      <c r="C8769" s="84">
        <v>6.26</v>
      </c>
      <c r="D8769" s="84">
        <v>2.0</v>
      </c>
      <c r="E8769" s="84">
        <v>3.13</v>
      </c>
      <c r="F8769" s="76" t="s">
        <v>948</v>
      </c>
      <c r="G8769" s="83">
        <v>46118.0</v>
      </c>
      <c r="H8769" s="76" t="s">
        <v>936</v>
      </c>
    </row>
    <row r="8770">
      <c r="A8770" s="76" t="s">
        <v>45</v>
      </c>
      <c r="B8770" s="76" t="s">
        <v>1037</v>
      </c>
      <c r="C8770" s="84">
        <v>3.71</v>
      </c>
      <c r="D8770" s="84">
        <v>0.0</v>
      </c>
      <c r="E8770" s="84">
        <v>0.0</v>
      </c>
      <c r="F8770" s="76" t="s">
        <v>948</v>
      </c>
      <c r="G8770" s="83">
        <v>46118.0</v>
      </c>
      <c r="H8770" s="76" t="s">
        <v>937</v>
      </c>
    </row>
    <row r="8771">
      <c r="A8771" s="76" t="s">
        <v>45</v>
      </c>
      <c r="B8771" s="76" t="s">
        <v>1037</v>
      </c>
      <c r="C8771" s="84">
        <v>5.06</v>
      </c>
      <c r="D8771" s="84">
        <v>1.0</v>
      </c>
      <c r="E8771" s="84">
        <v>5.06</v>
      </c>
      <c r="F8771" s="76" t="s">
        <v>948</v>
      </c>
      <c r="G8771" s="83">
        <v>46118.0</v>
      </c>
      <c r="H8771" s="76" t="s">
        <v>938</v>
      </c>
    </row>
    <row r="8772">
      <c r="A8772" s="76" t="s">
        <v>42</v>
      </c>
      <c r="B8772" s="76" t="s">
        <v>1037</v>
      </c>
      <c r="C8772" s="84">
        <v>0.45</v>
      </c>
      <c r="D8772" s="84">
        <v>0.0</v>
      </c>
      <c r="E8772" s="84">
        <v>0.0</v>
      </c>
      <c r="F8772" s="76" t="s">
        <v>948</v>
      </c>
      <c r="G8772" s="83">
        <v>46118.0</v>
      </c>
      <c r="H8772" s="76" t="s">
        <v>991</v>
      </c>
    </row>
    <row r="8773">
      <c r="A8773" s="76" t="s">
        <v>42</v>
      </c>
      <c r="B8773" s="76" t="s">
        <v>1037</v>
      </c>
      <c r="C8773" s="84">
        <v>36.27</v>
      </c>
      <c r="D8773" s="84">
        <v>2.0</v>
      </c>
      <c r="E8773" s="84">
        <v>18.13</v>
      </c>
      <c r="F8773" s="76" t="s">
        <v>948</v>
      </c>
      <c r="G8773" s="83">
        <v>46118.0</v>
      </c>
      <c r="H8773" s="76" t="s">
        <v>935</v>
      </c>
    </row>
    <row r="8774">
      <c r="A8774" s="76" t="s">
        <v>33</v>
      </c>
      <c r="B8774" s="76" t="s">
        <v>1030</v>
      </c>
      <c r="C8774" s="84">
        <v>2.38</v>
      </c>
      <c r="D8774" s="84">
        <v>0.0</v>
      </c>
      <c r="E8774" s="84">
        <v>0.0</v>
      </c>
      <c r="F8774" s="76" t="s">
        <v>950</v>
      </c>
      <c r="G8774" s="83">
        <v>46118.0</v>
      </c>
      <c r="H8774" s="76" t="s">
        <v>957</v>
      </c>
    </row>
    <row r="8775">
      <c r="A8775" s="76" t="s">
        <v>33</v>
      </c>
      <c r="B8775" s="76" t="s">
        <v>1030</v>
      </c>
      <c r="C8775" s="84">
        <v>0.13</v>
      </c>
      <c r="D8775" s="84">
        <v>0.0</v>
      </c>
      <c r="E8775" s="84">
        <v>0.0</v>
      </c>
      <c r="F8775" s="76" t="s">
        <v>950</v>
      </c>
      <c r="G8775" s="83">
        <v>46118.0</v>
      </c>
      <c r="H8775" s="76" t="s">
        <v>958</v>
      </c>
    </row>
    <row r="8776">
      <c r="A8776" s="76" t="s">
        <v>33</v>
      </c>
      <c r="B8776" s="76" t="s">
        <v>1030</v>
      </c>
      <c r="C8776" s="84">
        <v>0.19</v>
      </c>
      <c r="D8776" s="84">
        <v>0.0</v>
      </c>
      <c r="E8776" s="84">
        <v>0.0</v>
      </c>
      <c r="F8776" s="76" t="s">
        <v>950</v>
      </c>
      <c r="G8776" s="83">
        <v>46118.0</v>
      </c>
      <c r="H8776" s="76" t="s">
        <v>959</v>
      </c>
    </row>
    <row r="8777">
      <c r="A8777" s="76" t="s">
        <v>43</v>
      </c>
      <c r="B8777" s="76" t="s">
        <v>1030</v>
      </c>
      <c r="C8777" s="84">
        <v>0.11</v>
      </c>
      <c r="D8777" s="84">
        <v>0.0</v>
      </c>
      <c r="E8777" s="84">
        <v>0.0</v>
      </c>
      <c r="F8777" s="76" t="s">
        <v>950</v>
      </c>
      <c r="G8777" s="83">
        <v>46118.0</v>
      </c>
      <c r="H8777" s="76" t="s">
        <v>963</v>
      </c>
    </row>
    <row r="8778">
      <c r="A8778" s="76" t="s">
        <v>43</v>
      </c>
      <c r="B8778" s="76" t="s">
        <v>1030</v>
      </c>
      <c r="C8778" s="84">
        <v>0.05</v>
      </c>
      <c r="D8778" s="84">
        <v>0.0</v>
      </c>
      <c r="E8778" s="84">
        <v>0.0</v>
      </c>
      <c r="F8778" s="76" t="s">
        <v>950</v>
      </c>
      <c r="G8778" s="83">
        <v>46118.0</v>
      </c>
      <c r="H8778" s="76" t="s">
        <v>964</v>
      </c>
    </row>
    <row r="8779">
      <c r="A8779" s="76" t="s">
        <v>43</v>
      </c>
      <c r="B8779" s="76" t="s">
        <v>1030</v>
      </c>
      <c r="C8779" s="84">
        <v>0.35</v>
      </c>
      <c r="D8779" s="84">
        <v>0.0</v>
      </c>
      <c r="E8779" s="84">
        <v>0.0</v>
      </c>
      <c r="F8779" s="76" t="s">
        <v>950</v>
      </c>
      <c r="G8779" s="83">
        <v>46118.0</v>
      </c>
      <c r="H8779" s="76" t="s">
        <v>965</v>
      </c>
    </row>
    <row r="8780">
      <c r="A8780" s="76" t="s">
        <v>40</v>
      </c>
      <c r="B8780" s="76" t="s">
        <v>1030</v>
      </c>
      <c r="C8780" s="84">
        <v>0.02</v>
      </c>
      <c r="D8780" s="84">
        <v>0.0</v>
      </c>
      <c r="E8780" s="84">
        <v>0.0</v>
      </c>
      <c r="F8780" s="76" t="s">
        <v>950</v>
      </c>
      <c r="G8780" s="83">
        <v>46118.0</v>
      </c>
      <c r="H8780" s="76" t="s">
        <v>954</v>
      </c>
    </row>
    <row r="8781">
      <c r="A8781" s="76" t="s">
        <v>40</v>
      </c>
      <c r="B8781" s="76" t="s">
        <v>1030</v>
      </c>
      <c r="C8781" s="84">
        <v>0.02</v>
      </c>
      <c r="D8781" s="84">
        <v>0.0</v>
      </c>
      <c r="E8781" s="84">
        <v>0.0</v>
      </c>
      <c r="F8781" s="76" t="s">
        <v>950</v>
      </c>
      <c r="G8781" s="83">
        <v>46118.0</v>
      </c>
      <c r="H8781" s="76" t="s">
        <v>955</v>
      </c>
    </row>
    <row r="8782">
      <c r="A8782" s="76" t="s">
        <v>40</v>
      </c>
      <c r="B8782" s="76" t="s">
        <v>1030</v>
      </c>
      <c r="C8782" s="84">
        <v>0.67</v>
      </c>
      <c r="D8782" s="84">
        <v>0.0</v>
      </c>
      <c r="E8782" s="84">
        <v>0.0</v>
      </c>
      <c r="F8782" s="76" t="s">
        <v>950</v>
      </c>
      <c r="G8782" s="83">
        <v>46118.0</v>
      </c>
      <c r="H8782" s="76" t="s">
        <v>956</v>
      </c>
    </row>
    <row r="8783">
      <c r="A8783" s="76" t="s">
        <v>34</v>
      </c>
      <c r="B8783" s="76" t="s">
        <v>1030</v>
      </c>
      <c r="C8783" s="84">
        <v>0.04</v>
      </c>
      <c r="D8783" s="84">
        <v>0.0</v>
      </c>
      <c r="E8783" s="84">
        <v>0.0</v>
      </c>
      <c r="F8783" s="76" t="s">
        <v>950</v>
      </c>
      <c r="G8783" s="83">
        <v>46118.0</v>
      </c>
      <c r="H8783" s="76" t="s">
        <v>951</v>
      </c>
    </row>
    <row r="8784">
      <c r="A8784" s="76" t="s">
        <v>34</v>
      </c>
      <c r="B8784" s="76" t="s">
        <v>1030</v>
      </c>
      <c r="C8784" s="84">
        <v>0.32</v>
      </c>
      <c r="D8784" s="84">
        <v>0.0</v>
      </c>
      <c r="E8784" s="84">
        <v>0.0</v>
      </c>
      <c r="F8784" s="76" t="s">
        <v>950</v>
      </c>
      <c r="G8784" s="83">
        <v>46118.0</v>
      </c>
      <c r="H8784" s="76" t="s">
        <v>952</v>
      </c>
    </row>
    <row r="8785">
      <c r="A8785" s="76" t="s">
        <v>34</v>
      </c>
      <c r="B8785" s="76" t="s">
        <v>1030</v>
      </c>
      <c r="C8785" s="84">
        <v>0.1</v>
      </c>
      <c r="D8785" s="84">
        <v>0.0</v>
      </c>
      <c r="E8785" s="84">
        <v>0.0</v>
      </c>
      <c r="F8785" s="76" t="s">
        <v>950</v>
      </c>
      <c r="G8785" s="83">
        <v>46118.0</v>
      </c>
      <c r="H8785" s="76" t="s">
        <v>953</v>
      </c>
    </row>
    <row r="8786">
      <c r="A8786" s="76" t="s">
        <v>970</v>
      </c>
      <c r="B8786" s="76" t="s">
        <v>1030</v>
      </c>
      <c r="C8786" s="84">
        <v>0.05</v>
      </c>
      <c r="D8786" s="84">
        <v>0.0</v>
      </c>
      <c r="E8786" s="84">
        <v>0.0</v>
      </c>
      <c r="F8786" s="76" t="s">
        <v>950</v>
      </c>
      <c r="G8786" s="83">
        <v>46118.0</v>
      </c>
      <c r="H8786" s="76" t="s">
        <v>971</v>
      </c>
    </row>
    <row r="8787">
      <c r="A8787" s="76" t="s">
        <v>970</v>
      </c>
      <c r="B8787" s="76" t="s">
        <v>1030</v>
      </c>
      <c r="C8787" s="84">
        <v>0.01</v>
      </c>
      <c r="D8787" s="84">
        <v>0.0</v>
      </c>
      <c r="E8787" s="84">
        <v>0.0</v>
      </c>
      <c r="F8787" s="76" t="s">
        <v>950</v>
      </c>
      <c r="G8787" s="83">
        <v>46118.0</v>
      </c>
      <c r="H8787" s="76" t="s">
        <v>972</v>
      </c>
    </row>
    <row r="8788">
      <c r="A8788" s="76" t="s">
        <v>970</v>
      </c>
      <c r="B8788" s="76" t="s">
        <v>1030</v>
      </c>
      <c r="C8788" s="84">
        <v>0.49</v>
      </c>
      <c r="D8788" s="84">
        <v>0.0</v>
      </c>
      <c r="E8788" s="84">
        <v>0.0</v>
      </c>
      <c r="F8788" s="76" t="s">
        <v>950</v>
      </c>
      <c r="G8788" s="83">
        <v>46118.0</v>
      </c>
      <c r="H8788" s="76" t="s">
        <v>973</v>
      </c>
    </row>
    <row r="8789">
      <c r="A8789" s="76" t="s">
        <v>36</v>
      </c>
      <c r="B8789" s="76" t="s">
        <v>1030</v>
      </c>
      <c r="C8789" s="84">
        <v>0.23</v>
      </c>
      <c r="D8789" s="84">
        <v>1.0</v>
      </c>
      <c r="E8789" s="84">
        <v>0.23</v>
      </c>
      <c r="F8789" s="76" t="s">
        <v>950</v>
      </c>
      <c r="G8789" s="83">
        <v>46118.0</v>
      </c>
      <c r="H8789" s="76" t="s">
        <v>926</v>
      </c>
    </row>
    <row r="8790">
      <c r="A8790" s="76" t="s">
        <v>36</v>
      </c>
      <c r="B8790" s="76" t="s">
        <v>1030</v>
      </c>
      <c r="C8790" s="84">
        <v>0.0</v>
      </c>
      <c r="D8790" s="84">
        <v>0.0</v>
      </c>
      <c r="E8790" s="84">
        <v>0.0</v>
      </c>
      <c r="F8790" s="76" t="s">
        <v>950</v>
      </c>
      <c r="G8790" s="83">
        <v>46118.0</v>
      </c>
      <c r="H8790" s="76" t="s">
        <v>927</v>
      </c>
    </row>
    <row r="8791">
      <c r="A8791" s="76" t="s">
        <v>36</v>
      </c>
      <c r="B8791" s="76" t="s">
        <v>1030</v>
      </c>
      <c r="C8791" s="84">
        <v>0.17</v>
      </c>
      <c r="D8791" s="84">
        <v>0.0</v>
      </c>
      <c r="E8791" s="84">
        <v>0.0</v>
      </c>
      <c r="F8791" s="76" t="s">
        <v>950</v>
      </c>
      <c r="G8791" s="83">
        <v>46118.0</v>
      </c>
      <c r="H8791" s="76" t="s">
        <v>928</v>
      </c>
    </row>
    <row r="8792">
      <c r="A8792" s="76" t="s">
        <v>46</v>
      </c>
      <c r="B8792" s="76" t="s">
        <v>1030</v>
      </c>
      <c r="C8792" s="84">
        <v>0.54</v>
      </c>
      <c r="D8792" s="84">
        <v>0.0</v>
      </c>
      <c r="E8792" s="84">
        <v>0.0</v>
      </c>
      <c r="F8792" s="76" t="s">
        <v>950</v>
      </c>
      <c r="G8792" s="83">
        <v>46118.0</v>
      </c>
      <c r="H8792" s="76" t="s">
        <v>960</v>
      </c>
    </row>
    <row r="8793">
      <c r="A8793" s="76" t="s">
        <v>46</v>
      </c>
      <c r="B8793" s="76" t="s">
        <v>1030</v>
      </c>
      <c r="C8793" s="84">
        <v>0.02</v>
      </c>
      <c r="D8793" s="84">
        <v>0.0</v>
      </c>
      <c r="E8793" s="84">
        <v>0.0</v>
      </c>
      <c r="F8793" s="76" t="s">
        <v>950</v>
      </c>
      <c r="G8793" s="83">
        <v>46118.0</v>
      </c>
      <c r="H8793" s="76" t="s">
        <v>961</v>
      </c>
    </row>
    <row r="8794">
      <c r="A8794" s="76" t="s">
        <v>46</v>
      </c>
      <c r="B8794" s="76" t="s">
        <v>1030</v>
      </c>
      <c r="C8794" s="84">
        <v>0.07</v>
      </c>
      <c r="D8794" s="84">
        <v>0.0</v>
      </c>
      <c r="E8794" s="84">
        <v>0.0</v>
      </c>
      <c r="F8794" s="76" t="s">
        <v>950</v>
      </c>
      <c r="G8794" s="83">
        <v>46118.0</v>
      </c>
      <c r="H8794" s="76" t="s">
        <v>962</v>
      </c>
    </row>
    <row r="8795">
      <c r="A8795" s="76" t="s">
        <v>966</v>
      </c>
      <c r="B8795" s="76" t="s">
        <v>1030</v>
      </c>
      <c r="C8795" s="84">
        <v>0.56</v>
      </c>
      <c r="D8795" s="84">
        <v>1.0</v>
      </c>
      <c r="E8795" s="84">
        <v>0.56</v>
      </c>
      <c r="F8795" s="76" t="s">
        <v>950</v>
      </c>
      <c r="G8795" s="83">
        <v>46118.0</v>
      </c>
      <c r="H8795" s="76" t="s">
        <v>967</v>
      </c>
    </row>
    <row r="8796">
      <c r="A8796" s="76" t="s">
        <v>966</v>
      </c>
      <c r="B8796" s="76" t="s">
        <v>1030</v>
      </c>
      <c r="C8796" s="84">
        <v>0.03</v>
      </c>
      <c r="D8796" s="84">
        <v>0.0</v>
      </c>
      <c r="E8796" s="84">
        <v>0.0</v>
      </c>
      <c r="F8796" s="76" t="s">
        <v>950</v>
      </c>
      <c r="G8796" s="83">
        <v>46118.0</v>
      </c>
      <c r="H8796" s="76" t="s">
        <v>968</v>
      </c>
    </row>
    <row r="8797">
      <c r="A8797" s="76" t="s">
        <v>966</v>
      </c>
      <c r="B8797" s="76" t="s">
        <v>1030</v>
      </c>
      <c r="C8797" s="84">
        <v>0.25</v>
      </c>
      <c r="D8797" s="84">
        <v>0.0</v>
      </c>
      <c r="E8797" s="84">
        <v>0.0</v>
      </c>
      <c r="F8797" s="76" t="s">
        <v>950</v>
      </c>
      <c r="G8797" s="83">
        <v>46118.0</v>
      </c>
      <c r="H8797" s="76" t="s">
        <v>969</v>
      </c>
    </row>
    <row r="8798">
      <c r="A8798" s="76" t="s">
        <v>29</v>
      </c>
      <c r="B8798" s="76" t="s">
        <v>1030</v>
      </c>
      <c r="C8798" s="84">
        <v>0.14</v>
      </c>
      <c r="D8798" s="84">
        <v>0.0</v>
      </c>
      <c r="E8798" s="84">
        <v>0.0</v>
      </c>
      <c r="F8798" s="76" t="s">
        <v>950</v>
      </c>
      <c r="G8798" s="83">
        <v>46118.0</v>
      </c>
      <c r="H8798" s="76" t="s">
        <v>971</v>
      </c>
    </row>
    <row r="8799">
      <c r="A8799" s="76" t="s">
        <v>29</v>
      </c>
      <c r="B8799" s="76" t="s">
        <v>1030</v>
      </c>
      <c r="C8799" s="84">
        <v>0.04</v>
      </c>
      <c r="D8799" s="84">
        <v>0.0</v>
      </c>
      <c r="E8799" s="84">
        <v>0.0</v>
      </c>
      <c r="F8799" s="76" t="s">
        <v>950</v>
      </c>
      <c r="G8799" s="83">
        <v>46118.0</v>
      </c>
      <c r="H8799" s="76" t="s">
        <v>972</v>
      </c>
    </row>
    <row r="8800">
      <c r="A8800" s="76" t="s">
        <v>29</v>
      </c>
      <c r="B8800" s="76" t="s">
        <v>1030</v>
      </c>
      <c r="C8800" s="84">
        <v>0.35</v>
      </c>
      <c r="D8800" s="84">
        <v>0.0</v>
      </c>
      <c r="E8800" s="84">
        <v>0.0</v>
      </c>
      <c r="F8800" s="76" t="s">
        <v>950</v>
      </c>
      <c r="G8800" s="83">
        <v>46118.0</v>
      </c>
      <c r="H8800" s="76" t="s">
        <v>973</v>
      </c>
    </row>
    <row r="8801">
      <c r="A8801" s="76" t="s">
        <v>966</v>
      </c>
      <c r="B8801" s="76" t="s">
        <v>1030</v>
      </c>
      <c r="C8801" s="84">
        <v>0.78</v>
      </c>
      <c r="D8801" s="84">
        <v>0.0</v>
      </c>
      <c r="E8801" s="84">
        <v>0.0</v>
      </c>
      <c r="F8801" s="76" t="s">
        <v>975</v>
      </c>
      <c r="G8801" s="83">
        <v>46118.0</v>
      </c>
      <c r="H8801" s="76" t="s">
        <v>967</v>
      </c>
    </row>
    <row r="8802">
      <c r="A8802" s="76" t="s">
        <v>966</v>
      </c>
      <c r="B8802" s="76" t="s">
        <v>1030</v>
      </c>
      <c r="C8802" s="84">
        <v>0.18</v>
      </c>
      <c r="D8802" s="84">
        <v>0.0</v>
      </c>
      <c r="E8802" s="84">
        <v>0.0</v>
      </c>
      <c r="F8802" s="76" t="s">
        <v>975</v>
      </c>
      <c r="G8802" s="83">
        <v>46118.0</v>
      </c>
      <c r="H8802" s="76" t="s">
        <v>968</v>
      </c>
    </row>
    <row r="8803">
      <c r="A8803" s="76" t="s">
        <v>966</v>
      </c>
      <c r="B8803" s="76" t="s">
        <v>1030</v>
      </c>
      <c r="C8803" s="84">
        <v>0.29</v>
      </c>
      <c r="D8803" s="84">
        <v>1.0</v>
      </c>
      <c r="E8803" s="84">
        <v>0.29</v>
      </c>
      <c r="F8803" s="76" t="s">
        <v>975</v>
      </c>
      <c r="G8803" s="83">
        <v>46118.0</v>
      </c>
      <c r="H8803" s="76" t="s">
        <v>969</v>
      </c>
    </row>
    <row r="8804">
      <c r="A8804" s="76" t="s">
        <v>43</v>
      </c>
      <c r="B8804" s="76" t="s">
        <v>1030</v>
      </c>
      <c r="C8804" s="84">
        <v>0.34</v>
      </c>
      <c r="D8804" s="84">
        <v>0.0</v>
      </c>
      <c r="E8804" s="84">
        <v>0.0</v>
      </c>
      <c r="F8804" s="76" t="s">
        <v>975</v>
      </c>
      <c r="G8804" s="83">
        <v>46118.0</v>
      </c>
      <c r="H8804" s="76" t="s">
        <v>963</v>
      </c>
    </row>
    <row r="8805">
      <c r="A8805" s="76" t="s">
        <v>43</v>
      </c>
      <c r="B8805" s="76" t="s">
        <v>1030</v>
      </c>
      <c r="C8805" s="84">
        <v>0.39</v>
      </c>
      <c r="D8805" s="84">
        <v>0.0</v>
      </c>
      <c r="E8805" s="84">
        <v>0.0</v>
      </c>
      <c r="F8805" s="76" t="s">
        <v>975</v>
      </c>
      <c r="G8805" s="83">
        <v>46118.0</v>
      </c>
      <c r="H8805" s="76" t="s">
        <v>964</v>
      </c>
    </row>
    <row r="8806">
      <c r="A8806" s="76" t="s">
        <v>43</v>
      </c>
      <c r="B8806" s="76" t="s">
        <v>1030</v>
      </c>
      <c r="C8806" s="84">
        <v>1.34</v>
      </c>
      <c r="D8806" s="84">
        <v>0.0</v>
      </c>
      <c r="E8806" s="84">
        <v>0.0</v>
      </c>
      <c r="F8806" s="76" t="s">
        <v>975</v>
      </c>
      <c r="G8806" s="83">
        <v>46118.0</v>
      </c>
      <c r="H8806" s="76" t="s">
        <v>965</v>
      </c>
    </row>
    <row r="8807">
      <c r="A8807" s="76" t="s">
        <v>33</v>
      </c>
      <c r="B8807" s="76" t="s">
        <v>1030</v>
      </c>
      <c r="C8807" s="84">
        <v>2.21</v>
      </c>
      <c r="D8807" s="84">
        <v>0.0</v>
      </c>
      <c r="E8807" s="84">
        <v>0.0</v>
      </c>
      <c r="F8807" s="76" t="s">
        <v>975</v>
      </c>
      <c r="G8807" s="83">
        <v>46118.0</v>
      </c>
      <c r="H8807" s="76" t="s">
        <v>957</v>
      </c>
    </row>
    <row r="8808">
      <c r="A8808" s="76" t="s">
        <v>33</v>
      </c>
      <c r="B8808" s="76" t="s">
        <v>1030</v>
      </c>
      <c r="C8808" s="84">
        <v>0.45</v>
      </c>
      <c r="D8808" s="84">
        <v>0.0</v>
      </c>
      <c r="E8808" s="84">
        <v>0.0</v>
      </c>
      <c r="F8808" s="76" t="s">
        <v>975</v>
      </c>
      <c r="G8808" s="83">
        <v>46118.0</v>
      </c>
      <c r="H8808" s="76" t="s">
        <v>958</v>
      </c>
    </row>
    <row r="8809">
      <c r="A8809" s="76" t="s">
        <v>33</v>
      </c>
      <c r="B8809" s="76" t="s">
        <v>1030</v>
      </c>
      <c r="C8809" s="84">
        <v>0.83</v>
      </c>
      <c r="D8809" s="84">
        <v>0.0</v>
      </c>
      <c r="E8809" s="84">
        <v>0.0</v>
      </c>
      <c r="F8809" s="76" t="s">
        <v>975</v>
      </c>
      <c r="G8809" s="83">
        <v>46118.0</v>
      </c>
      <c r="H8809" s="76" t="s">
        <v>959</v>
      </c>
    </row>
    <row r="8810">
      <c r="A8810" s="76" t="s">
        <v>29</v>
      </c>
      <c r="B8810" s="76" t="s">
        <v>1030</v>
      </c>
      <c r="C8810" s="84">
        <v>0.54</v>
      </c>
      <c r="D8810" s="84">
        <v>0.0</v>
      </c>
      <c r="E8810" s="84">
        <v>0.0</v>
      </c>
      <c r="F8810" s="76" t="s">
        <v>975</v>
      </c>
      <c r="G8810" s="83">
        <v>46118.0</v>
      </c>
      <c r="H8810" s="76" t="s">
        <v>971</v>
      </c>
    </row>
    <row r="8811">
      <c r="A8811" s="76" t="s">
        <v>29</v>
      </c>
      <c r="B8811" s="76" t="s">
        <v>1030</v>
      </c>
      <c r="C8811" s="84">
        <v>0.13</v>
      </c>
      <c r="D8811" s="84">
        <v>0.0</v>
      </c>
      <c r="E8811" s="84">
        <v>0.0</v>
      </c>
      <c r="F8811" s="76" t="s">
        <v>975</v>
      </c>
      <c r="G8811" s="83">
        <v>46118.0</v>
      </c>
      <c r="H8811" s="76" t="s">
        <v>972</v>
      </c>
    </row>
    <row r="8812">
      <c r="A8812" s="76" t="s">
        <v>29</v>
      </c>
      <c r="B8812" s="76" t="s">
        <v>1030</v>
      </c>
      <c r="C8812" s="84">
        <v>2.51</v>
      </c>
      <c r="D8812" s="84">
        <v>0.0</v>
      </c>
      <c r="E8812" s="84">
        <v>0.0</v>
      </c>
      <c r="F8812" s="76" t="s">
        <v>975</v>
      </c>
      <c r="G8812" s="83">
        <v>46118.0</v>
      </c>
      <c r="H8812" s="76" t="s">
        <v>973</v>
      </c>
    </row>
    <row r="8813">
      <c r="A8813" s="76" t="s">
        <v>46</v>
      </c>
      <c r="B8813" s="76" t="s">
        <v>1030</v>
      </c>
      <c r="C8813" s="84">
        <v>0.22</v>
      </c>
      <c r="D8813" s="84">
        <v>0.0</v>
      </c>
      <c r="E8813" s="84">
        <v>0.0</v>
      </c>
      <c r="F8813" s="76" t="s">
        <v>975</v>
      </c>
      <c r="G8813" s="83">
        <v>46118.0</v>
      </c>
      <c r="H8813" s="76" t="s">
        <v>960</v>
      </c>
    </row>
    <row r="8814">
      <c r="A8814" s="76" t="s">
        <v>46</v>
      </c>
      <c r="B8814" s="76" t="s">
        <v>1030</v>
      </c>
      <c r="C8814" s="84">
        <v>0.18</v>
      </c>
      <c r="D8814" s="84">
        <v>0.0</v>
      </c>
      <c r="E8814" s="84">
        <v>0.0</v>
      </c>
      <c r="F8814" s="76" t="s">
        <v>975</v>
      </c>
      <c r="G8814" s="83">
        <v>46118.0</v>
      </c>
      <c r="H8814" s="76" t="s">
        <v>961</v>
      </c>
    </row>
    <row r="8815">
      <c r="A8815" s="76" t="s">
        <v>46</v>
      </c>
      <c r="B8815" s="76" t="s">
        <v>1030</v>
      </c>
      <c r="C8815" s="84">
        <v>0.19</v>
      </c>
      <c r="D8815" s="84">
        <v>0.0</v>
      </c>
      <c r="E8815" s="84">
        <v>0.0</v>
      </c>
      <c r="F8815" s="76" t="s">
        <v>975</v>
      </c>
      <c r="G8815" s="83">
        <v>46118.0</v>
      </c>
      <c r="H8815" s="76" t="s">
        <v>962</v>
      </c>
    </row>
    <row r="8816">
      <c r="A8816" s="76" t="s">
        <v>34</v>
      </c>
      <c r="B8816" s="76" t="s">
        <v>1030</v>
      </c>
      <c r="C8816" s="84">
        <v>0.3</v>
      </c>
      <c r="D8816" s="84">
        <v>0.0</v>
      </c>
      <c r="E8816" s="84">
        <v>0.0</v>
      </c>
      <c r="F8816" s="76" t="s">
        <v>975</v>
      </c>
      <c r="G8816" s="83">
        <v>46118.0</v>
      </c>
      <c r="H8816" s="76" t="s">
        <v>951</v>
      </c>
    </row>
    <row r="8817">
      <c r="A8817" s="76" t="s">
        <v>34</v>
      </c>
      <c r="B8817" s="76" t="s">
        <v>1030</v>
      </c>
      <c r="C8817" s="84">
        <v>0.3</v>
      </c>
      <c r="D8817" s="84">
        <v>0.0</v>
      </c>
      <c r="E8817" s="84">
        <v>0.0</v>
      </c>
      <c r="F8817" s="76" t="s">
        <v>975</v>
      </c>
      <c r="G8817" s="83">
        <v>46118.0</v>
      </c>
      <c r="H8817" s="76" t="s">
        <v>952</v>
      </c>
    </row>
    <row r="8818">
      <c r="A8818" s="76" t="s">
        <v>34</v>
      </c>
      <c r="B8818" s="76" t="s">
        <v>1030</v>
      </c>
      <c r="C8818" s="84">
        <v>0.14</v>
      </c>
      <c r="D8818" s="84">
        <v>0.0</v>
      </c>
      <c r="E8818" s="84">
        <v>0.0</v>
      </c>
      <c r="F8818" s="76" t="s">
        <v>975</v>
      </c>
      <c r="G8818" s="83">
        <v>46118.0</v>
      </c>
      <c r="H8818" s="76" t="s">
        <v>953</v>
      </c>
    </row>
    <row r="8819">
      <c r="A8819" s="76" t="s">
        <v>40</v>
      </c>
      <c r="B8819" s="76" t="s">
        <v>1030</v>
      </c>
      <c r="C8819" s="84">
        <v>0.37</v>
      </c>
      <c r="D8819" s="84">
        <v>0.0</v>
      </c>
      <c r="E8819" s="84">
        <v>0.0</v>
      </c>
      <c r="F8819" s="76" t="s">
        <v>975</v>
      </c>
      <c r="G8819" s="83">
        <v>46118.0</v>
      </c>
      <c r="H8819" s="76" t="s">
        <v>954</v>
      </c>
    </row>
    <row r="8820">
      <c r="A8820" s="76" t="s">
        <v>40</v>
      </c>
      <c r="B8820" s="76" t="s">
        <v>1030</v>
      </c>
      <c r="C8820" s="84">
        <v>0.11</v>
      </c>
      <c r="D8820" s="84">
        <v>0.0</v>
      </c>
      <c r="E8820" s="84">
        <v>0.0</v>
      </c>
      <c r="F8820" s="76" t="s">
        <v>975</v>
      </c>
      <c r="G8820" s="83">
        <v>46118.0</v>
      </c>
      <c r="H8820" s="76" t="s">
        <v>955</v>
      </c>
    </row>
    <row r="8821">
      <c r="A8821" s="76" t="s">
        <v>40</v>
      </c>
      <c r="B8821" s="76" t="s">
        <v>1030</v>
      </c>
      <c r="C8821" s="84">
        <v>1.43</v>
      </c>
      <c r="D8821" s="84">
        <v>1.0</v>
      </c>
      <c r="E8821" s="84">
        <v>1.43</v>
      </c>
      <c r="F8821" s="76" t="s">
        <v>975</v>
      </c>
      <c r="G8821" s="83">
        <v>46118.0</v>
      </c>
      <c r="H8821" s="76" t="s">
        <v>956</v>
      </c>
    </row>
    <row r="8822">
      <c r="A8822" s="76" t="s">
        <v>36</v>
      </c>
      <c r="B8822" s="76" t="s">
        <v>1030</v>
      </c>
      <c r="C8822" s="84">
        <v>0.53</v>
      </c>
      <c r="D8822" s="84">
        <v>0.0</v>
      </c>
      <c r="E8822" s="84">
        <v>0.0</v>
      </c>
      <c r="F8822" s="76" t="s">
        <v>975</v>
      </c>
      <c r="G8822" s="83">
        <v>46118.0</v>
      </c>
      <c r="H8822" s="76" t="s">
        <v>926</v>
      </c>
    </row>
    <row r="8823">
      <c r="A8823" s="76" t="s">
        <v>36</v>
      </c>
      <c r="B8823" s="76" t="s">
        <v>1030</v>
      </c>
      <c r="C8823" s="84">
        <v>0.2</v>
      </c>
      <c r="D8823" s="84">
        <v>0.0</v>
      </c>
      <c r="E8823" s="84">
        <v>0.0</v>
      </c>
      <c r="F8823" s="76" t="s">
        <v>975</v>
      </c>
      <c r="G8823" s="83">
        <v>46118.0</v>
      </c>
      <c r="H8823" s="76" t="s">
        <v>927</v>
      </c>
    </row>
    <row r="8824">
      <c r="A8824" s="76" t="s">
        <v>36</v>
      </c>
      <c r="B8824" s="76" t="s">
        <v>1030</v>
      </c>
      <c r="C8824" s="84">
        <v>0.27</v>
      </c>
      <c r="D8824" s="84">
        <v>0.0</v>
      </c>
      <c r="E8824" s="84">
        <v>0.0</v>
      </c>
      <c r="F8824" s="76" t="s">
        <v>975</v>
      </c>
      <c r="G8824" s="83">
        <v>46118.0</v>
      </c>
      <c r="H8824" s="76" t="s">
        <v>928</v>
      </c>
    </row>
    <row r="8825">
      <c r="A8825" s="76" t="s">
        <v>970</v>
      </c>
      <c r="B8825" s="76" t="s">
        <v>1030</v>
      </c>
      <c r="C8825" s="84">
        <v>0.42</v>
      </c>
      <c r="D8825" s="84">
        <v>0.0</v>
      </c>
      <c r="E8825" s="84">
        <v>0.0</v>
      </c>
      <c r="F8825" s="76" t="s">
        <v>975</v>
      </c>
      <c r="G8825" s="83">
        <v>46118.0</v>
      </c>
      <c r="H8825" s="76" t="s">
        <v>971</v>
      </c>
    </row>
    <row r="8826">
      <c r="A8826" s="76" t="s">
        <v>970</v>
      </c>
      <c r="B8826" s="76" t="s">
        <v>1030</v>
      </c>
      <c r="C8826" s="84">
        <v>0.09</v>
      </c>
      <c r="D8826" s="84">
        <v>0.0</v>
      </c>
      <c r="E8826" s="84">
        <v>0.0</v>
      </c>
      <c r="F8826" s="76" t="s">
        <v>975</v>
      </c>
      <c r="G8826" s="83">
        <v>46118.0</v>
      </c>
      <c r="H8826" s="76" t="s">
        <v>972</v>
      </c>
    </row>
    <row r="8827">
      <c r="A8827" s="76" t="s">
        <v>970</v>
      </c>
      <c r="B8827" s="76" t="s">
        <v>1030</v>
      </c>
      <c r="C8827" s="84">
        <v>1.84</v>
      </c>
      <c r="D8827" s="84">
        <v>1.0</v>
      </c>
      <c r="E8827" s="84">
        <v>1.84</v>
      </c>
      <c r="F8827" s="76" t="s">
        <v>975</v>
      </c>
      <c r="G8827" s="83">
        <v>46118.0</v>
      </c>
      <c r="H8827" s="76" t="s">
        <v>973</v>
      </c>
    </row>
    <row r="8828">
      <c r="A8828" s="76" t="s">
        <v>29</v>
      </c>
      <c r="B8828" s="76" t="s">
        <v>1031</v>
      </c>
      <c r="C8828" s="84">
        <v>1.35</v>
      </c>
      <c r="D8828" s="84">
        <v>0.0</v>
      </c>
      <c r="E8828" s="84">
        <v>0.0</v>
      </c>
      <c r="F8828" s="76" t="s">
        <v>925</v>
      </c>
      <c r="G8828" s="83">
        <v>46118.0</v>
      </c>
      <c r="H8828" s="76" t="s">
        <v>971</v>
      </c>
    </row>
    <row r="8829">
      <c r="A8829" s="76" t="s">
        <v>29</v>
      </c>
      <c r="B8829" s="76" t="s">
        <v>1031</v>
      </c>
      <c r="C8829" s="84">
        <v>0.73</v>
      </c>
      <c r="D8829" s="84">
        <v>0.0</v>
      </c>
      <c r="E8829" s="84">
        <v>0.0</v>
      </c>
      <c r="F8829" s="76" t="s">
        <v>925</v>
      </c>
      <c r="G8829" s="83">
        <v>46118.0</v>
      </c>
      <c r="H8829" s="76" t="s">
        <v>972</v>
      </c>
    </row>
    <row r="8830">
      <c r="A8830" s="76" t="s">
        <v>29</v>
      </c>
      <c r="B8830" s="76" t="s">
        <v>1031</v>
      </c>
      <c r="C8830" s="84">
        <v>6.51</v>
      </c>
      <c r="D8830" s="84">
        <v>1.0</v>
      </c>
      <c r="E8830" s="84">
        <v>6.51</v>
      </c>
      <c r="F8830" s="76" t="s">
        <v>925</v>
      </c>
      <c r="G8830" s="83">
        <v>46118.0</v>
      </c>
      <c r="H8830" s="76" t="s">
        <v>973</v>
      </c>
    </row>
    <row r="8831">
      <c r="A8831" s="76" t="s">
        <v>36</v>
      </c>
      <c r="B8831" s="76" t="s">
        <v>1031</v>
      </c>
      <c r="C8831" s="84">
        <v>2.42</v>
      </c>
      <c r="D8831" s="84">
        <v>1.0</v>
      </c>
      <c r="E8831" s="84">
        <v>2.42</v>
      </c>
      <c r="F8831" s="76" t="s">
        <v>925</v>
      </c>
      <c r="G8831" s="83">
        <v>46118.0</v>
      </c>
      <c r="H8831" s="76" t="s">
        <v>926</v>
      </c>
    </row>
    <row r="8832">
      <c r="A8832" s="76" t="s">
        <v>36</v>
      </c>
      <c r="B8832" s="76" t="s">
        <v>1031</v>
      </c>
      <c r="C8832" s="84">
        <v>0.53</v>
      </c>
      <c r="D8832" s="84">
        <v>0.0</v>
      </c>
      <c r="E8832" s="84">
        <v>0.0</v>
      </c>
      <c r="F8832" s="76" t="s">
        <v>925</v>
      </c>
      <c r="G8832" s="83">
        <v>46118.0</v>
      </c>
      <c r="H8832" s="76" t="s">
        <v>927</v>
      </c>
    </row>
    <row r="8833">
      <c r="A8833" s="76" t="s">
        <v>36</v>
      </c>
      <c r="B8833" s="76" t="s">
        <v>1031</v>
      </c>
      <c r="C8833" s="84">
        <v>1.13</v>
      </c>
      <c r="D8833" s="84">
        <v>0.0</v>
      </c>
      <c r="E8833" s="84">
        <v>0.0</v>
      </c>
      <c r="F8833" s="76" t="s">
        <v>925</v>
      </c>
      <c r="G8833" s="83">
        <v>46118.0</v>
      </c>
      <c r="H8833" s="76" t="s">
        <v>928</v>
      </c>
    </row>
    <row r="8834">
      <c r="A8834" s="76" t="s">
        <v>40</v>
      </c>
      <c r="B8834" s="76" t="s">
        <v>1031</v>
      </c>
      <c r="C8834" s="84">
        <v>1.17</v>
      </c>
      <c r="D8834" s="84">
        <v>0.0</v>
      </c>
      <c r="E8834" s="84">
        <v>0.0</v>
      </c>
      <c r="F8834" s="76" t="s">
        <v>925</v>
      </c>
      <c r="G8834" s="83">
        <v>46118.0</v>
      </c>
      <c r="H8834" s="76" t="s">
        <v>954</v>
      </c>
    </row>
    <row r="8835">
      <c r="A8835" s="76" t="s">
        <v>40</v>
      </c>
      <c r="B8835" s="76" t="s">
        <v>1031</v>
      </c>
      <c r="C8835" s="84">
        <v>0.57</v>
      </c>
      <c r="D8835" s="84">
        <v>0.0</v>
      </c>
      <c r="E8835" s="84">
        <v>0.0</v>
      </c>
      <c r="F8835" s="76" t="s">
        <v>925</v>
      </c>
      <c r="G8835" s="83">
        <v>46118.0</v>
      </c>
      <c r="H8835" s="76" t="s">
        <v>955</v>
      </c>
    </row>
    <row r="8836">
      <c r="A8836" s="76" t="s">
        <v>40</v>
      </c>
      <c r="B8836" s="76" t="s">
        <v>1031</v>
      </c>
      <c r="C8836" s="84">
        <v>3.86</v>
      </c>
      <c r="D8836" s="84">
        <v>0.0</v>
      </c>
      <c r="E8836" s="84">
        <v>0.0</v>
      </c>
      <c r="F8836" s="76" t="s">
        <v>925</v>
      </c>
      <c r="G8836" s="83">
        <v>46118.0</v>
      </c>
      <c r="H8836" s="76" t="s">
        <v>956</v>
      </c>
    </row>
    <row r="8837">
      <c r="A8837" s="76" t="s">
        <v>970</v>
      </c>
      <c r="B8837" s="76" t="s">
        <v>1031</v>
      </c>
      <c r="C8837" s="84">
        <v>1.75</v>
      </c>
      <c r="D8837" s="84">
        <v>1.0</v>
      </c>
      <c r="E8837" s="84">
        <v>1.75</v>
      </c>
      <c r="F8837" s="76" t="s">
        <v>925</v>
      </c>
      <c r="G8837" s="83">
        <v>46118.0</v>
      </c>
      <c r="H8837" s="76" t="s">
        <v>971</v>
      </c>
    </row>
    <row r="8838">
      <c r="A8838" s="76" t="s">
        <v>970</v>
      </c>
      <c r="B8838" s="76" t="s">
        <v>1031</v>
      </c>
      <c r="C8838" s="84">
        <v>0.64</v>
      </c>
      <c r="D8838" s="84">
        <v>1.0</v>
      </c>
      <c r="E8838" s="84">
        <v>0.64</v>
      </c>
      <c r="F8838" s="76" t="s">
        <v>925</v>
      </c>
      <c r="G8838" s="83">
        <v>46118.0</v>
      </c>
      <c r="H8838" s="76" t="s">
        <v>972</v>
      </c>
    </row>
    <row r="8839">
      <c r="A8839" s="76" t="s">
        <v>970</v>
      </c>
      <c r="B8839" s="76" t="s">
        <v>1031</v>
      </c>
      <c r="C8839" s="84">
        <v>5.08</v>
      </c>
      <c r="D8839" s="84">
        <v>1.0</v>
      </c>
      <c r="E8839" s="84">
        <v>5.08</v>
      </c>
      <c r="F8839" s="76" t="s">
        <v>925</v>
      </c>
      <c r="G8839" s="83">
        <v>46118.0</v>
      </c>
      <c r="H8839" s="76" t="s">
        <v>973</v>
      </c>
    </row>
    <row r="8840">
      <c r="A8840" s="76" t="s">
        <v>46</v>
      </c>
      <c r="B8840" s="76" t="s">
        <v>1031</v>
      </c>
      <c r="C8840" s="84">
        <v>1.68</v>
      </c>
      <c r="D8840" s="84">
        <v>0.0</v>
      </c>
      <c r="E8840" s="84">
        <v>0.0</v>
      </c>
      <c r="F8840" s="76" t="s">
        <v>925</v>
      </c>
      <c r="G8840" s="83">
        <v>46118.0</v>
      </c>
      <c r="H8840" s="76" t="s">
        <v>960</v>
      </c>
    </row>
    <row r="8841">
      <c r="A8841" s="76" t="s">
        <v>46</v>
      </c>
      <c r="B8841" s="76" t="s">
        <v>1031</v>
      </c>
      <c r="C8841" s="84">
        <v>0.66</v>
      </c>
      <c r="D8841" s="84">
        <v>0.0</v>
      </c>
      <c r="E8841" s="84">
        <v>0.0</v>
      </c>
      <c r="F8841" s="76" t="s">
        <v>925</v>
      </c>
      <c r="G8841" s="83">
        <v>46118.0</v>
      </c>
      <c r="H8841" s="76" t="s">
        <v>961</v>
      </c>
    </row>
    <row r="8842">
      <c r="A8842" s="76" t="s">
        <v>46</v>
      </c>
      <c r="B8842" s="76" t="s">
        <v>1031</v>
      </c>
      <c r="C8842" s="84">
        <v>1.28</v>
      </c>
      <c r="D8842" s="84">
        <v>1.0</v>
      </c>
      <c r="E8842" s="84">
        <v>1.28</v>
      </c>
      <c r="F8842" s="76" t="s">
        <v>925</v>
      </c>
      <c r="G8842" s="83">
        <v>46118.0</v>
      </c>
      <c r="H8842" s="76" t="s">
        <v>962</v>
      </c>
    </row>
    <row r="8843">
      <c r="A8843" s="76" t="s">
        <v>34</v>
      </c>
      <c r="B8843" s="76" t="s">
        <v>1031</v>
      </c>
      <c r="C8843" s="84">
        <v>0.67</v>
      </c>
      <c r="D8843" s="84">
        <v>0.0</v>
      </c>
      <c r="E8843" s="84">
        <v>0.0</v>
      </c>
      <c r="F8843" s="76" t="s">
        <v>925</v>
      </c>
      <c r="G8843" s="83">
        <v>46118.0</v>
      </c>
      <c r="H8843" s="76" t="s">
        <v>951</v>
      </c>
    </row>
    <row r="8844">
      <c r="A8844" s="76" t="s">
        <v>34</v>
      </c>
      <c r="B8844" s="76" t="s">
        <v>1031</v>
      </c>
      <c r="C8844" s="84">
        <v>3.14</v>
      </c>
      <c r="D8844" s="84">
        <v>0.0</v>
      </c>
      <c r="E8844" s="84">
        <v>0.0</v>
      </c>
      <c r="F8844" s="76" t="s">
        <v>925</v>
      </c>
      <c r="G8844" s="83">
        <v>46118.0</v>
      </c>
      <c r="H8844" s="76" t="s">
        <v>952</v>
      </c>
    </row>
    <row r="8845">
      <c r="A8845" s="76" t="s">
        <v>34</v>
      </c>
      <c r="B8845" s="76" t="s">
        <v>1031</v>
      </c>
      <c r="C8845" s="84">
        <v>0.55</v>
      </c>
      <c r="D8845" s="84">
        <v>0.0</v>
      </c>
      <c r="E8845" s="84">
        <v>0.0</v>
      </c>
      <c r="F8845" s="76" t="s">
        <v>925</v>
      </c>
      <c r="G8845" s="83">
        <v>46118.0</v>
      </c>
      <c r="H8845" s="76" t="s">
        <v>953</v>
      </c>
    </row>
    <row r="8846">
      <c r="A8846" s="76" t="s">
        <v>33</v>
      </c>
      <c r="B8846" s="76" t="s">
        <v>1031</v>
      </c>
      <c r="C8846" s="84">
        <v>9.09</v>
      </c>
      <c r="D8846" s="84">
        <v>5.0</v>
      </c>
      <c r="E8846" s="84">
        <v>1.82</v>
      </c>
      <c r="F8846" s="76" t="s">
        <v>925</v>
      </c>
      <c r="G8846" s="83">
        <v>46118.0</v>
      </c>
      <c r="H8846" s="76" t="s">
        <v>957</v>
      </c>
    </row>
    <row r="8847">
      <c r="A8847" s="76" t="s">
        <v>33</v>
      </c>
      <c r="B8847" s="76" t="s">
        <v>1031</v>
      </c>
      <c r="C8847" s="84">
        <v>2.32</v>
      </c>
      <c r="D8847" s="84">
        <v>0.0</v>
      </c>
      <c r="E8847" s="84">
        <v>0.0</v>
      </c>
      <c r="F8847" s="76" t="s">
        <v>925</v>
      </c>
      <c r="G8847" s="83">
        <v>46118.0</v>
      </c>
      <c r="H8847" s="76" t="s">
        <v>958</v>
      </c>
    </row>
    <row r="8848">
      <c r="A8848" s="76" t="s">
        <v>33</v>
      </c>
      <c r="B8848" s="76" t="s">
        <v>1031</v>
      </c>
      <c r="C8848" s="84">
        <v>4.44</v>
      </c>
      <c r="D8848" s="84">
        <v>2.0</v>
      </c>
      <c r="E8848" s="84">
        <v>2.22</v>
      </c>
      <c r="F8848" s="76" t="s">
        <v>925</v>
      </c>
      <c r="G8848" s="83">
        <v>46118.0</v>
      </c>
      <c r="H8848" s="76" t="s">
        <v>959</v>
      </c>
    </row>
    <row r="8849">
      <c r="A8849" s="76" t="s">
        <v>43</v>
      </c>
      <c r="B8849" s="76" t="s">
        <v>1031</v>
      </c>
      <c r="C8849" s="84">
        <v>0.95</v>
      </c>
      <c r="D8849" s="84">
        <v>0.0</v>
      </c>
      <c r="E8849" s="84">
        <v>0.0</v>
      </c>
      <c r="F8849" s="76" t="s">
        <v>925</v>
      </c>
      <c r="G8849" s="83">
        <v>46118.0</v>
      </c>
      <c r="H8849" s="76" t="s">
        <v>963</v>
      </c>
    </row>
    <row r="8850">
      <c r="A8850" s="76" t="s">
        <v>43</v>
      </c>
      <c r="B8850" s="76" t="s">
        <v>1031</v>
      </c>
      <c r="C8850" s="84">
        <v>1.05</v>
      </c>
      <c r="D8850" s="84">
        <v>1.0</v>
      </c>
      <c r="E8850" s="84">
        <v>1.05</v>
      </c>
      <c r="F8850" s="76" t="s">
        <v>925</v>
      </c>
      <c r="G8850" s="83">
        <v>46118.0</v>
      </c>
      <c r="H8850" s="76" t="s">
        <v>964</v>
      </c>
    </row>
    <row r="8851">
      <c r="A8851" s="76" t="s">
        <v>43</v>
      </c>
      <c r="B8851" s="76" t="s">
        <v>1031</v>
      </c>
      <c r="C8851" s="84">
        <v>2.81</v>
      </c>
      <c r="D8851" s="84">
        <v>1.0</v>
      </c>
      <c r="E8851" s="84">
        <v>2.81</v>
      </c>
      <c r="F8851" s="76" t="s">
        <v>925</v>
      </c>
      <c r="G8851" s="83">
        <v>46118.0</v>
      </c>
      <c r="H8851" s="76" t="s">
        <v>965</v>
      </c>
    </row>
    <row r="8852">
      <c r="A8852" s="76" t="s">
        <v>966</v>
      </c>
      <c r="B8852" s="76" t="s">
        <v>1031</v>
      </c>
      <c r="C8852" s="84">
        <v>1.86</v>
      </c>
      <c r="D8852" s="84">
        <v>0.0</v>
      </c>
      <c r="E8852" s="84">
        <v>0.0</v>
      </c>
      <c r="F8852" s="76" t="s">
        <v>925</v>
      </c>
      <c r="G8852" s="83">
        <v>46118.0</v>
      </c>
      <c r="H8852" s="76" t="s">
        <v>967</v>
      </c>
    </row>
    <row r="8853">
      <c r="A8853" s="76" t="s">
        <v>966</v>
      </c>
      <c r="B8853" s="76" t="s">
        <v>1031</v>
      </c>
      <c r="C8853" s="84">
        <v>0.33</v>
      </c>
      <c r="D8853" s="84">
        <v>0.0</v>
      </c>
      <c r="E8853" s="84">
        <v>0.0</v>
      </c>
      <c r="F8853" s="76" t="s">
        <v>925</v>
      </c>
      <c r="G8853" s="83">
        <v>46118.0</v>
      </c>
      <c r="H8853" s="76" t="s">
        <v>968</v>
      </c>
    </row>
    <row r="8854">
      <c r="A8854" s="76" t="s">
        <v>966</v>
      </c>
      <c r="B8854" s="76" t="s">
        <v>1031</v>
      </c>
      <c r="C8854" s="84">
        <v>0.72</v>
      </c>
      <c r="D8854" s="84">
        <v>0.0</v>
      </c>
      <c r="E8854" s="84">
        <v>0.0</v>
      </c>
      <c r="F8854" s="76" t="s">
        <v>925</v>
      </c>
      <c r="G8854" s="83">
        <v>46118.0</v>
      </c>
      <c r="H8854" s="76" t="s">
        <v>969</v>
      </c>
    </row>
    <row r="8855">
      <c r="A8855" s="76" t="s">
        <v>970</v>
      </c>
      <c r="B8855" s="76" t="s">
        <v>1031</v>
      </c>
      <c r="C8855" s="84">
        <v>3.85</v>
      </c>
      <c r="D8855" s="84">
        <v>1.0</v>
      </c>
      <c r="E8855" s="84">
        <v>3.85</v>
      </c>
      <c r="F8855" s="76" t="s">
        <v>948</v>
      </c>
      <c r="G8855" s="83">
        <v>46118.0</v>
      </c>
      <c r="H8855" s="76" t="s">
        <v>971</v>
      </c>
    </row>
    <row r="8856">
      <c r="A8856" s="76" t="s">
        <v>970</v>
      </c>
      <c r="B8856" s="76" t="s">
        <v>1031</v>
      </c>
      <c r="C8856" s="84">
        <v>2.0</v>
      </c>
      <c r="D8856" s="84">
        <v>1.0</v>
      </c>
      <c r="E8856" s="84">
        <v>2.0</v>
      </c>
      <c r="F8856" s="76" t="s">
        <v>948</v>
      </c>
      <c r="G8856" s="83">
        <v>46118.0</v>
      </c>
      <c r="H8856" s="76" t="s">
        <v>972</v>
      </c>
    </row>
    <row r="8857">
      <c r="A8857" s="76" t="s">
        <v>970</v>
      </c>
      <c r="B8857" s="76" t="s">
        <v>1031</v>
      </c>
      <c r="C8857" s="84">
        <v>10.34</v>
      </c>
      <c r="D8857" s="84">
        <v>2.0</v>
      </c>
      <c r="E8857" s="84">
        <v>5.17</v>
      </c>
      <c r="F8857" s="76" t="s">
        <v>948</v>
      </c>
      <c r="G8857" s="83">
        <v>46118.0</v>
      </c>
      <c r="H8857" s="76" t="s">
        <v>973</v>
      </c>
    </row>
    <row r="8858">
      <c r="A8858" s="76" t="s">
        <v>33</v>
      </c>
      <c r="B8858" s="76" t="s">
        <v>1031</v>
      </c>
      <c r="C8858" s="84">
        <v>27.54</v>
      </c>
      <c r="D8858" s="84">
        <v>7.0</v>
      </c>
      <c r="E8858" s="84">
        <v>3.93</v>
      </c>
      <c r="F8858" s="76" t="s">
        <v>948</v>
      </c>
      <c r="G8858" s="83">
        <v>46118.0</v>
      </c>
      <c r="H8858" s="76" t="s">
        <v>957</v>
      </c>
    </row>
    <row r="8859">
      <c r="A8859" s="76" t="s">
        <v>33</v>
      </c>
      <c r="B8859" s="76" t="s">
        <v>1031</v>
      </c>
      <c r="C8859" s="84">
        <v>4.59</v>
      </c>
      <c r="D8859" s="84">
        <v>0.0</v>
      </c>
      <c r="E8859" s="84">
        <v>0.0</v>
      </c>
      <c r="F8859" s="76" t="s">
        <v>948</v>
      </c>
      <c r="G8859" s="83">
        <v>46118.0</v>
      </c>
      <c r="H8859" s="76" t="s">
        <v>958</v>
      </c>
    </row>
    <row r="8860">
      <c r="A8860" s="76" t="s">
        <v>33</v>
      </c>
      <c r="B8860" s="76" t="s">
        <v>1031</v>
      </c>
      <c r="C8860" s="84">
        <v>8.25</v>
      </c>
      <c r="D8860" s="84">
        <v>2.0</v>
      </c>
      <c r="E8860" s="84">
        <v>4.13</v>
      </c>
      <c r="F8860" s="76" t="s">
        <v>948</v>
      </c>
      <c r="G8860" s="83">
        <v>46118.0</v>
      </c>
      <c r="H8860" s="76" t="s">
        <v>959</v>
      </c>
    </row>
    <row r="8861">
      <c r="A8861" s="76" t="s">
        <v>46</v>
      </c>
      <c r="B8861" s="76" t="s">
        <v>1031</v>
      </c>
      <c r="C8861" s="84">
        <v>12.09</v>
      </c>
      <c r="D8861" s="84">
        <v>1.0</v>
      </c>
      <c r="E8861" s="84">
        <v>12.09</v>
      </c>
      <c r="F8861" s="76" t="s">
        <v>948</v>
      </c>
      <c r="G8861" s="83">
        <v>46118.0</v>
      </c>
      <c r="H8861" s="76" t="s">
        <v>960</v>
      </c>
    </row>
    <row r="8862">
      <c r="A8862" s="76" t="s">
        <v>46</v>
      </c>
      <c r="B8862" s="76" t="s">
        <v>1031</v>
      </c>
      <c r="C8862" s="84">
        <v>1.29</v>
      </c>
      <c r="D8862" s="84">
        <v>0.0</v>
      </c>
      <c r="E8862" s="84">
        <v>0.0</v>
      </c>
      <c r="F8862" s="76" t="s">
        <v>948</v>
      </c>
      <c r="G8862" s="83">
        <v>46118.0</v>
      </c>
      <c r="H8862" s="76" t="s">
        <v>961</v>
      </c>
    </row>
    <row r="8863">
      <c r="A8863" s="76" t="s">
        <v>46</v>
      </c>
      <c r="B8863" s="76" t="s">
        <v>1031</v>
      </c>
      <c r="C8863" s="84">
        <v>2.17</v>
      </c>
      <c r="D8863" s="84">
        <v>0.0</v>
      </c>
      <c r="E8863" s="84">
        <v>0.0</v>
      </c>
      <c r="F8863" s="76" t="s">
        <v>948</v>
      </c>
      <c r="G8863" s="83">
        <v>46118.0</v>
      </c>
      <c r="H8863" s="76" t="s">
        <v>962</v>
      </c>
    </row>
    <row r="8864">
      <c r="A8864" s="76" t="s">
        <v>966</v>
      </c>
      <c r="B8864" s="76" t="s">
        <v>1031</v>
      </c>
      <c r="C8864" s="84">
        <v>4.1</v>
      </c>
      <c r="D8864" s="84">
        <v>0.0</v>
      </c>
      <c r="E8864" s="84">
        <v>0.0</v>
      </c>
      <c r="F8864" s="76" t="s">
        <v>948</v>
      </c>
      <c r="G8864" s="83">
        <v>46118.0</v>
      </c>
      <c r="H8864" s="76" t="s">
        <v>967</v>
      </c>
    </row>
    <row r="8865">
      <c r="A8865" s="76" t="s">
        <v>966</v>
      </c>
      <c r="B8865" s="76" t="s">
        <v>1031</v>
      </c>
      <c r="C8865" s="84">
        <v>0.98</v>
      </c>
      <c r="D8865" s="84">
        <v>0.0</v>
      </c>
      <c r="E8865" s="84">
        <v>0.0</v>
      </c>
      <c r="F8865" s="76" t="s">
        <v>948</v>
      </c>
      <c r="G8865" s="83">
        <v>46118.0</v>
      </c>
      <c r="H8865" s="76" t="s">
        <v>968</v>
      </c>
    </row>
    <row r="8866">
      <c r="A8866" s="76" t="s">
        <v>966</v>
      </c>
      <c r="B8866" s="76" t="s">
        <v>1031</v>
      </c>
      <c r="C8866" s="84">
        <v>2.67</v>
      </c>
      <c r="D8866" s="84">
        <v>1.0</v>
      </c>
      <c r="E8866" s="84">
        <v>2.67</v>
      </c>
      <c r="F8866" s="76" t="s">
        <v>948</v>
      </c>
      <c r="G8866" s="83">
        <v>46118.0</v>
      </c>
      <c r="H8866" s="76" t="s">
        <v>969</v>
      </c>
    </row>
    <row r="8867">
      <c r="A8867" s="76" t="s">
        <v>43</v>
      </c>
      <c r="B8867" s="76" t="s">
        <v>1031</v>
      </c>
      <c r="C8867" s="84">
        <v>3.18</v>
      </c>
      <c r="D8867" s="84">
        <v>0.0</v>
      </c>
      <c r="E8867" s="84">
        <v>0.0</v>
      </c>
      <c r="F8867" s="76" t="s">
        <v>948</v>
      </c>
      <c r="G8867" s="83">
        <v>46118.0</v>
      </c>
      <c r="H8867" s="76" t="s">
        <v>963</v>
      </c>
    </row>
    <row r="8868">
      <c r="A8868" s="76" t="s">
        <v>43</v>
      </c>
      <c r="B8868" s="76" t="s">
        <v>1031</v>
      </c>
      <c r="C8868" s="84">
        <v>0.87</v>
      </c>
      <c r="D8868" s="84">
        <v>0.0</v>
      </c>
      <c r="E8868" s="84">
        <v>0.0</v>
      </c>
      <c r="F8868" s="76" t="s">
        <v>948</v>
      </c>
      <c r="G8868" s="83">
        <v>46118.0</v>
      </c>
      <c r="H8868" s="76" t="s">
        <v>964</v>
      </c>
    </row>
    <row r="8869">
      <c r="A8869" s="76" t="s">
        <v>43</v>
      </c>
      <c r="B8869" s="76" t="s">
        <v>1031</v>
      </c>
      <c r="C8869" s="84">
        <v>6.22</v>
      </c>
      <c r="D8869" s="84">
        <v>2.0</v>
      </c>
      <c r="E8869" s="84">
        <v>3.11</v>
      </c>
      <c r="F8869" s="76" t="s">
        <v>948</v>
      </c>
      <c r="G8869" s="83">
        <v>46118.0</v>
      </c>
      <c r="H8869" s="76" t="s">
        <v>965</v>
      </c>
    </row>
    <row r="8870">
      <c r="A8870" s="76" t="s">
        <v>34</v>
      </c>
      <c r="B8870" s="76" t="s">
        <v>1031</v>
      </c>
      <c r="C8870" s="84">
        <v>1.22</v>
      </c>
      <c r="D8870" s="84">
        <v>1.0</v>
      </c>
      <c r="E8870" s="84">
        <v>1.22</v>
      </c>
      <c r="F8870" s="76" t="s">
        <v>948</v>
      </c>
      <c r="G8870" s="83">
        <v>46118.0</v>
      </c>
      <c r="H8870" s="76" t="s">
        <v>951</v>
      </c>
    </row>
    <row r="8871">
      <c r="A8871" s="76" t="s">
        <v>34</v>
      </c>
      <c r="B8871" s="76" t="s">
        <v>1031</v>
      </c>
      <c r="C8871" s="84">
        <v>8.95</v>
      </c>
      <c r="D8871" s="84">
        <v>1.0</v>
      </c>
      <c r="E8871" s="84">
        <v>8.95</v>
      </c>
      <c r="F8871" s="76" t="s">
        <v>948</v>
      </c>
      <c r="G8871" s="83">
        <v>46118.0</v>
      </c>
      <c r="H8871" s="76" t="s">
        <v>952</v>
      </c>
    </row>
    <row r="8872">
      <c r="A8872" s="76" t="s">
        <v>34</v>
      </c>
      <c r="B8872" s="76" t="s">
        <v>1031</v>
      </c>
      <c r="C8872" s="84">
        <v>1.58</v>
      </c>
      <c r="D8872" s="84">
        <v>1.0</v>
      </c>
      <c r="E8872" s="84">
        <v>1.58</v>
      </c>
      <c r="F8872" s="76" t="s">
        <v>948</v>
      </c>
      <c r="G8872" s="83">
        <v>46118.0</v>
      </c>
      <c r="H8872" s="76" t="s">
        <v>953</v>
      </c>
    </row>
    <row r="8873">
      <c r="A8873" s="76" t="s">
        <v>36</v>
      </c>
      <c r="B8873" s="76" t="s">
        <v>1031</v>
      </c>
      <c r="C8873" s="84">
        <v>3.79</v>
      </c>
      <c r="D8873" s="84">
        <v>0.0</v>
      </c>
      <c r="E8873" s="84">
        <v>0.0</v>
      </c>
      <c r="F8873" s="76" t="s">
        <v>948</v>
      </c>
      <c r="G8873" s="83">
        <v>46118.0</v>
      </c>
      <c r="H8873" s="76" t="s">
        <v>926</v>
      </c>
    </row>
    <row r="8874">
      <c r="A8874" s="76" t="s">
        <v>36</v>
      </c>
      <c r="B8874" s="76" t="s">
        <v>1031</v>
      </c>
      <c r="C8874" s="84">
        <v>0.58</v>
      </c>
      <c r="D8874" s="84">
        <v>0.0</v>
      </c>
      <c r="E8874" s="84">
        <v>0.0</v>
      </c>
      <c r="F8874" s="76" t="s">
        <v>948</v>
      </c>
      <c r="G8874" s="83">
        <v>46118.0</v>
      </c>
      <c r="H8874" s="76" t="s">
        <v>927</v>
      </c>
    </row>
    <row r="8875">
      <c r="A8875" s="76" t="s">
        <v>36</v>
      </c>
      <c r="B8875" s="76" t="s">
        <v>1031</v>
      </c>
      <c r="C8875" s="84">
        <v>2.74</v>
      </c>
      <c r="D8875" s="84">
        <v>0.0</v>
      </c>
      <c r="E8875" s="84">
        <v>0.0</v>
      </c>
      <c r="F8875" s="76" t="s">
        <v>948</v>
      </c>
      <c r="G8875" s="83">
        <v>46118.0</v>
      </c>
      <c r="H8875" s="76" t="s">
        <v>928</v>
      </c>
    </row>
    <row r="8876">
      <c r="A8876" s="76" t="s">
        <v>29</v>
      </c>
      <c r="B8876" s="76" t="s">
        <v>1031</v>
      </c>
      <c r="C8876" s="84">
        <v>2.5</v>
      </c>
      <c r="D8876" s="84">
        <v>0.0</v>
      </c>
      <c r="E8876" s="84">
        <v>0.0</v>
      </c>
      <c r="F8876" s="76" t="s">
        <v>948</v>
      </c>
      <c r="G8876" s="83">
        <v>46118.0</v>
      </c>
      <c r="H8876" s="76" t="s">
        <v>971</v>
      </c>
    </row>
    <row r="8877">
      <c r="A8877" s="76" t="s">
        <v>29</v>
      </c>
      <c r="B8877" s="76" t="s">
        <v>1031</v>
      </c>
      <c r="C8877" s="84">
        <v>1.75</v>
      </c>
      <c r="D8877" s="84">
        <v>0.0</v>
      </c>
      <c r="E8877" s="84">
        <v>0.0</v>
      </c>
      <c r="F8877" s="76" t="s">
        <v>948</v>
      </c>
      <c r="G8877" s="83">
        <v>46118.0</v>
      </c>
      <c r="H8877" s="76" t="s">
        <v>972</v>
      </c>
    </row>
    <row r="8878">
      <c r="A8878" s="76" t="s">
        <v>29</v>
      </c>
      <c r="B8878" s="76" t="s">
        <v>1031</v>
      </c>
      <c r="C8878" s="84">
        <v>15.34</v>
      </c>
      <c r="D8878" s="84">
        <v>3.0</v>
      </c>
      <c r="E8878" s="84">
        <v>5.11</v>
      </c>
      <c r="F8878" s="76" t="s">
        <v>948</v>
      </c>
      <c r="G8878" s="83">
        <v>46118.0</v>
      </c>
      <c r="H8878" s="76" t="s">
        <v>973</v>
      </c>
    </row>
    <row r="8879">
      <c r="A8879" s="76" t="s">
        <v>40</v>
      </c>
      <c r="B8879" s="76" t="s">
        <v>1031</v>
      </c>
      <c r="C8879" s="84">
        <v>2.32</v>
      </c>
      <c r="D8879" s="84">
        <v>1.0</v>
      </c>
      <c r="E8879" s="84">
        <v>2.32</v>
      </c>
      <c r="F8879" s="76" t="s">
        <v>948</v>
      </c>
      <c r="G8879" s="83">
        <v>46118.0</v>
      </c>
      <c r="H8879" s="76" t="s">
        <v>954</v>
      </c>
    </row>
    <row r="8880">
      <c r="A8880" s="76" t="s">
        <v>40</v>
      </c>
      <c r="B8880" s="76" t="s">
        <v>1031</v>
      </c>
      <c r="C8880" s="84">
        <v>1.65</v>
      </c>
      <c r="D8880" s="84">
        <v>1.0</v>
      </c>
      <c r="E8880" s="84">
        <v>1.65</v>
      </c>
      <c r="F8880" s="76" t="s">
        <v>948</v>
      </c>
      <c r="G8880" s="83">
        <v>46118.0</v>
      </c>
      <c r="H8880" s="76" t="s">
        <v>955</v>
      </c>
    </row>
    <row r="8881">
      <c r="A8881" s="76" t="s">
        <v>40</v>
      </c>
      <c r="B8881" s="76" t="s">
        <v>1031</v>
      </c>
      <c r="C8881" s="84">
        <v>12.24</v>
      </c>
      <c r="D8881" s="84">
        <v>2.0</v>
      </c>
      <c r="E8881" s="84">
        <v>6.12</v>
      </c>
      <c r="F8881" s="76" t="s">
        <v>948</v>
      </c>
      <c r="G8881" s="83">
        <v>46118.0</v>
      </c>
      <c r="H8881" s="76" t="s">
        <v>956</v>
      </c>
    </row>
    <row r="8882">
      <c r="A8882" s="76" t="s">
        <v>46</v>
      </c>
      <c r="B8882" s="76" t="s">
        <v>1030</v>
      </c>
      <c r="C8882" s="84">
        <v>1.63</v>
      </c>
      <c r="D8882" s="84">
        <v>0.0</v>
      </c>
      <c r="E8882" s="84">
        <v>0.0</v>
      </c>
      <c r="F8882" s="76" t="s">
        <v>974</v>
      </c>
      <c r="G8882" s="83">
        <v>46118.0</v>
      </c>
      <c r="H8882" s="76" t="s">
        <v>960</v>
      </c>
    </row>
    <row r="8883">
      <c r="A8883" s="76" t="s">
        <v>46</v>
      </c>
      <c r="B8883" s="76" t="s">
        <v>1030</v>
      </c>
      <c r="C8883" s="84">
        <v>0.05</v>
      </c>
      <c r="D8883" s="84">
        <v>0.0</v>
      </c>
      <c r="E8883" s="84">
        <v>0.0</v>
      </c>
      <c r="F8883" s="76" t="s">
        <v>974</v>
      </c>
      <c r="G8883" s="83">
        <v>46118.0</v>
      </c>
      <c r="H8883" s="76" t="s">
        <v>961</v>
      </c>
    </row>
    <row r="8884">
      <c r="A8884" s="76" t="s">
        <v>46</v>
      </c>
      <c r="B8884" s="76" t="s">
        <v>1030</v>
      </c>
      <c r="C8884" s="84">
        <v>0.04</v>
      </c>
      <c r="D8884" s="84">
        <v>0.0</v>
      </c>
      <c r="E8884" s="84">
        <v>0.0</v>
      </c>
      <c r="F8884" s="76" t="s">
        <v>974</v>
      </c>
      <c r="G8884" s="83">
        <v>46118.0</v>
      </c>
      <c r="H8884" s="76" t="s">
        <v>962</v>
      </c>
    </row>
    <row r="8885">
      <c r="A8885" s="76" t="s">
        <v>34</v>
      </c>
      <c r="B8885" s="76" t="s">
        <v>1030</v>
      </c>
      <c r="C8885" s="84">
        <v>0.11</v>
      </c>
      <c r="D8885" s="84">
        <v>0.0</v>
      </c>
      <c r="E8885" s="84">
        <v>0.0</v>
      </c>
      <c r="F8885" s="76" t="s">
        <v>974</v>
      </c>
      <c r="G8885" s="83">
        <v>46118.0</v>
      </c>
      <c r="H8885" s="76" t="s">
        <v>951</v>
      </c>
    </row>
    <row r="8886">
      <c r="A8886" s="76" t="s">
        <v>34</v>
      </c>
      <c r="B8886" s="76" t="s">
        <v>1030</v>
      </c>
      <c r="C8886" s="84">
        <v>0.2</v>
      </c>
      <c r="D8886" s="84">
        <v>0.0</v>
      </c>
      <c r="E8886" s="84">
        <v>0.0</v>
      </c>
      <c r="F8886" s="76" t="s">
        <v>974</v>
      </c>
      <c r="G8886" s="83">
        <v>46118.0</v>
      </c>
      <c r="H8886" s="76" t="s">
        <v>952</v>
      </c>
    </row>
    <row r="8887">
      <c r="A8887" s="76" t="s">
        <v>34</v>
      </c>
      <c r="B8887" s="76" t="s">
        <v>1030</v>
      </c>
      <c r="C8887" s="84">
        <v>0.24</v>
      </c>
      <c r="D8887" s="84">
        <v>0.0</v>
      </c>
      <c r="E8887" s="84">
        <v>0.0</v>
      </c>
      <c r="F8887" s="76" t="s">
        <v>974</v>
      </c>
      <c r="G8887" s="83">
        <v>46118.0</v>
      </c>
      <c r="H8887" s="76" t="s">
        <v>953</v>
      </c>
    </row>
    <row r="8888">
      <c r="A8888" s="76" t="s">
        <v>43</v>
      </c>
      <c r="B8888" s="76" t="s">
        <v>1030</v>
      </c>
      <c r="C8888" s="84">
        <v>0.13</v>
      </c>
      <c r="D8888" s="84">
        <v>0.0</v>
      </c>
      <c r="E8888" s="84">
        <v>0.0</v>
      </c>
      <c r="F8888" s="76" t="s">
        <v>974</v>
      </c>
      <c r="G8888" s="83">
        <v>46118.0</v>
      </c>
      <c r="H8888" s="76" t="s">
        <v>963</v>
      </c>
    </row>
    <row r="8889">
      <c r="A8889" s="76" t="s">
        <v>43</v>
      </c>
      <c r="B8889" s="76" t="s">
        <v>1030</v>
      </c>
      <c r="C8889" s="84">
        <v>0.04</v>
      </c>
      <c r="D8889" s="84">
        <v>0.0</v>
      </c>
      <c r="E8889" s="84">
        <v>0.0</v>
      </c>
      <c r="F8889" s="76" t="s">
        <v>974</v>
      </c>
      <c r="G8889" s="83">
        <v>46118.0</v>
      </c>
      <c r="H8889" s="76" t="s">
        <v>964</v>
      </c>
    </row>
    <row r="8890">
      <c r="A8890" s="76" t="s">
        <v>43</v>
      </c>
      <c r="B8890" s="76" t="s">
        <v>1030</v>
      </c>
      <c r="C8890" s="84">
        <v>0.39</v>
      </c>
      <c r="D8890" s="84">
        <v>0.0</v>
      </c>
      <c r="E8890" s="84">
        <v>0.0</v>
      </c>
      <c r="F8890" s="76" t="s">
        <v>974</v>
      </c>
      <c r="G8890" s="83">
        <v>46118.0</v>
      </c>
      <c r="H8890" s="76" t="s">
        <v>965</v>
      </c>
    </row>
    <row r="8891">
      <c r="A8891" s="76" t="s">
        <v>36</v>
      </c>
      <c r="B8891" s="76" t="s">
        <v>1030</v>
      </c>
      <c r="C8891" s="84">
        <v>0.22</v>
      </c>
      <c r="D8891" s="84">
        <v>0.0</v>
      </c>
      <c r="E8891" s="84">
        <v>0.0</v>
      </c>
      <c r="F8891" s="76" t="s">
        <v>974</v>
      </c>
      <c r="G8891" s="83">
        <v>46118.0</v>
      </c>
      <c r="H8891" s="76" t="s">
        <v>926</v>
      </c>
    </row>
    <row r="8892">
      <c r="A8892" s="76" t="s">
        <v>36</v>
      </c>
      <c r="B8892" s="76" t="s">
        <v>1030</v>
      </c>
      <c r="C8892" s="84">
        <v>0.04</v>
      </c>
      <c r="D8892" s="84">
        <v>0.0</v>
      </c>
      <c r="E8892" s="84">
        <v>0.0</v>
      </c>
      <c r="F8892" s="76" t="s">
        <v>974</v>
      </c>
      <c r="G8892" s="83">
        <v>46118.0</v>
      </c>
      <c r="H8892" s="76" t="s">
        <v>927</v>
      </c>
    </row>
    <row r="8893">
      <c r="A8893" s="76" t="s">
        <v>36</v>
      </c>
      <c r="B8893" s="76" t="s">
        <v>1030</v>
      </c>
      <c r="C8893" s="84">
        <v>0.05</v>
      </c>
      <c r="D8893" s="84">
        <v>0.0</v>
      </c>
      <c r="E8893" s="84">
        <v>0.0</v>
      </c>
      <c r="F8893" s="76" t="s">
        <v>974</v>
      </c>
      <c r="G8893" s="83">
        <v>46118.0</v>
      </c>
      <c r="H8893" s="76" t="s">
        <v>928</v>
      </c>
    </row>
    <row r="8894">
      <c r="A8894" s="76" t="s">
        <v>33</v>
      </c>
      <c r="B8894" s="76" t="s">
        <v>1030</v>
      </c>
      <c r="C8894" s="84">
        <v>0.54</v>
      </c>
      <c r="D8894" s="84">
        <v>0.0</v>
      </c>
      <c r="E8894" s="84">
        <v>0.0</v>
      </c>
      <c r="F8894" s="76" t="s">
        <v>974</v>
      </c>
      <c r="G8894" s="83">
        <v>46118.0</v>
      </c>
      <c r="H8894" s="76" t="s">
        <v>957</v>
      </c>
    </row>
    <row r="8895">
      <c r="A8895" s="76" t="s">
        <v>33</v>
      </c>
      <c r="B8895" s="76" t="s">
        <v>1030</v>
      </c>
      <c r="C8895" s="84">
        <v>0.05</v>
      </c>
      <c r="D8895" s="84">
        <v>0.0</v>
      </c>
      <c r="E8895" s="84">
        <v>0.0</v>
      </c>
      <c r="F8895" s="76" t="s">
        <v>974</v>
      </c>
      <c r="G8895" s="83">
        <v>46118.0</v>
      </c>
      <c r="H8895" s="76" t="s">
        <v>958</v>
      </c>
    </row>
    <row r="8896">
      <c r="A8896" s="76" t="s">
        <v>33</v>
      </c>
      <c r="B8896" s="76" t="s">
        <v>1030</v>
      </c>
      <c r="C8896" s="84">
        <v>0.16</v>
      </c>
      <c r="D8896" s="84">
        <v>0.0</v>
      </c>
      <c r="E8896" s="84">
        <v>0.0</v>
      </c>
      <c r="F8896" s="76" t="s">
        <v>974</v>
      </c>
      <c r="G8896" s="83">
        <v>46118.0</v>
      </c>
      <c r="H8896" s="76" t="s">
        <v>959</v>
      </c>
    </row>
    <row r="8897">
      <c r="A8897" s="76" t="s">
        <v>966</v>
      </c>
      <c r="B8897" s="76" t="s">
        <v>1030</v>
      </c>
      <c r="C8897" s="84">
        <v>0.53</v>
      </c>
      <c r="D8897" s="84">
        <v>1.0</v>
      </c>
      <c r="E8897" s="84">
        <v>0.53</v>
      </c>
      <c r="F8897" s="76" t="s">
        <v>974</v>
      </c>
      <c r="G8897" s="83">
        <v>46118.0</v>
      </c>
      <c r="H8897" s="76" t="s">
        <v>967</v>
      </c>
    </row>
    <row r="8898">
      <c r="A8898" s="76" t="s">
        <v>966</v>
      </c>
      <c r="B8898" s="76" t="s">
        <v>1030</v>
      </c>
      <c r="C8898" s="84">
        <v>0.02</v>
      </c>
      <c r="D8898" s="84">
        <v>0.0</v>
      </c>
      <c r="E8898" s="84">
        <v>0.0</v>
      </c>
      <c r="F8898" s="76" t="s">
        <v>974</v>
      </c>
      <c r="G8898" s="83">
        <v>46118.0</v>
      </c>
      <c r="H8898" s="76" t="s">
        <v>968</v>
      </c>
    </row>
    <row r="8899">
      <c r="A8899" s="76" t="s">
        <v>966</v>
      </c>
      <c r="B8899" s="76" t="s">
        <v>1030</v>
      </c>
      <c r="C8899" s="84">
        <v>0.26</v>
      </c>
      <c r="D8899" s="84">
        <v>0.0</v>
      </c>
      <c r="E8899" s="84">
        <v>0.0</v>
      </c>
      <c r="F8899" s="76" t="s">
        <v>974</v>
      </c>
      <c r="G8899" s="83">
        <v>46118.0</v>
      </c>
      <c r="H8899" s="76" t="s">
        <v>969</v>
      </c>
    </row>
    <row r="8900">
      <c r="A8900" s="76" t="s">
        <v>40</v>
      </c>
      <c r="B8900" s="76" t="s">
        <v>1030</v>
      </c>
      <c r="C8900" s="84">
        <v>0.09</v>
      </c>
      <c r="D8900" s="84">
        <v>0.0</v>
      </c>
      <c r="E8900" s="84">
        <v>0.0</v>
      </c>
      <c r="F8900" s="76" t="s">
        <v>974</v>
      </c>
      <c r="G8900" s="83">
        <v>46118.0</v>
      </c>
      <c r="H8900" s="76" t="s">
        <v>954</v>
      </c>
    </row>
    <row r="8901">
      <c r="A8901" s="76" t="s">
        <v>40</v>
      </c>
      <c r="B8901" s="76" t="s">
        <v>1030</v>
      </c>
      <c r="C8901" s="84">
        <v>0.01</v>
      </c>
      <c r="D8901" s="84">
        <v>0.0</v>
      </c>
      <c r="E8901" s="84">
        <v>0.0</v>
      </c>
      <c r="F8901" s="76" t="s">
        <v>974</v>
      </c>
      <c r="G8901" s="83">
        <v>46118.0</v>
      </c>
      <c r="H8901" s="76" t="s">
        <v>955</v>
      </c>
    </row>
    <row r="8902">
      <c r="A8902" s="76" t="s">
        <v>40</v>
      </c>
      <c r="B8902" s="76" t="s">
        <v>1030</v>
      </c>
      <c r="C8902" s="84">
        <v>0.75</v>
      </c>
      <c r="D8902" s="84">
        <v>0.0</v>
      </c>
      <c r="E8902" s="84">
        <v>0.0</v>
      </c>
      <c r="F8902" s="76" t="s">
        <v>974</v>
      </c>
      <c r="G8902" s="83">
        <v>46118.0</v>
      </c>
      <c r="H8902" s="76" t="s">
        <v>956</v>
      </c>
    </row>
    <row r="8903">
      <c r="A8903" s="76" t="s">
        <v>29</v>
      </c>
      <c r="B8903" s="76" t="s">
        <v>1030</v>
      </c>
      <c r="C8903" s="84">
        <v>0.07</v>
      </c>
      <c r="D8903" s="84">
        <v>0.0</v>
      </c>
      <c r="E8903" s="84">
        <v>0.0</v>
      </c>
      <c r="F8903" s="76" t="s">
        <v>974</v>
      </c>
      <c r="G8903" s="83">
        <v>46118.0</v>
      </c>
      <c r="H8903" s="76" t="s">
        <v>971</v>
      </c>
    </row>
    <row r="8904">
      <c r="A8904" s="76" t="s">
        <v>29</v>
      </c>
      <c r="B8904" s="76" t="s">
        <v>1030</v>
      </c>
      <c r="C8904" s="84">
        <v>0.01</v>
      </c>
      <c r="D8904" s="84">
        <v>0.0</v>
      </c>
      <c r="E8904" s="84">
        <v>0.0</v>
      </c>
      <c r="F8904" s="76" t="s">
        <v>974</v>
      </c>
      <c r="G8904" s="83">
        <v>46118.0</v>
      </c>
      <c r="H8904" s="76" t="s">
        <v>972</v>
      </c>
    </row>
    <row r="8905">
      <c r="A8905" s="76" t="s">
        <v>29</v>
      </c>
      <c r="B8905" s="76" t="s">
        <v>1030</v>
      </c>
      <c r="C8905" s="84">
        <v>0.41</v>
      </c>
      <c r="D8905" s="84">
        <v>1.0</v>
      </c>
      <c r="E8905" s="84">
        <v>0.41</v>
      </c>
      <c r="F8905" s="76" t="s">
        <v>974</v>
      </c>
      <c r="G8905" s="83">
        <v>46118.0</v>
      </c>
      <c r="H8905" s="76" t="s">
        <v>973</v>
      </c>
    </row>
    <row r="8906">
      <c r="A8906" s="76" t="s">
        <v>970</v>
      </c>
      <c r="B8906" s="76" t="s">
        <v>1030</v>
      </c>
      <c r="C8906" s="84">
        <v>0.03</v>
      </c>
      <c r="D8906" s="84">
        <v>0.0</v>
      </c>
      <c r="E8906" s="84">
        <v>0.0</v>
      </c>
      <c r="F8906" s="76" t="s">
        <v>974</v>
      </c>
      <c r="G8906" s="83">
        <v>46118.0</v>
      </c>
      <c r="H8906" s="76" t="s">
        <v>971</v>
      </c>
    </row>
    <row r="8907">
      <c r="A8907" s="76" t="s">
        <v>970</v>
      </c>
      <c r="B8907" s="76" t="s">
        <v>1030</v>
      </c>
      <c r="C8907" s="84">
        <v>0.01</v>
      </c>
      <c r="D8907" s="84">
        <v>0.0</v>
      </c>
      <c r="E8907" s="84">
        <v>0.0</v>
      </c>
      <c r="F8907" s="76" t="s">
        <v>974</v>
      </c>
      <c r="G8907" s="83">
        <v>46118.0</v>
      </c>
      <c r="H8907" s="76" t="s">
        <v>972</v>
      </c>
    </row>
    <row r="8908">
      <c r="A8908" s="76" t="s">
        <v>970</v>
      </c>
      <c r="B8908" s="76" t="s">
        <v>1030</v>
      </c>
      <c r="C8908" s="84">
        <v>0.36</v>
      </c>
      <c r="D8908" s="84">
        <v>0.0</v>
      </c>
      <c r="E8908" s="84">
        <v>0.0</v>
      </c>
      <c r="F8908" s="76" t="s">
        <v>974</v>
      </c>
      <c r="G8908" s="83">
        <v>46118.0</v>
      </c>
      <c r="H8908" s="76" t="s">
        <v>973</v>
      </c>
    </row>
    <row r="8909">
      <c r="A8909" s="76" t="s">
        <v>45</v>
      </c>
      <c r="B8909" s="76" t="s">
        <v>1038</v>
      </c>
      <c r="C8909" s="84">
        <v>0.49</v>
      </c>
      <c r="D8909" s="84">
        <v>0.0</v>
      </c>
      <c r="E8909" s="84">
        <v>0.0</v>
      </c>
      <c r="F8909" s="76" t="s">
        <v>975</v>
      </c>
      <c r="G8909" s="83">
        <v>46118.0</v>
      </c>
      <c r="H8909" s="76" t="s">
        <v>936</v>
      </c>
    </row>
    <row r="8910">
      <c r="A8910" s="76" t="s">
        <v>45</v>
      </c>
      <c r="B8910" s="76" t="s">
        <v>1038</v>
      </c>
      <c r="C8910" s="84">
        <v>3.07</v>
      </c>
      <c r="D8910" s="84">
        <v>0.0</v>
      </c>
      <c r="E8910" s="84">
        <v>0.0</v>
      </c>
      <c r="F8910" s="76" t="s">
        <v>975</v>
      </c>
      <c r="G8910" s="83">
        <v>46118.0</v>
      </c>
      <c r="H8910" s="76" t="s">
        <v>937</v>
      </c>
    </row>
    <row r="8911">
      <c r="A8911" s="76" t="s">
        <v>45</v>
      </c>
      <c r="B8911" s="76" t="s">
        <v>1038</v>
      </c>
      <c r="C8911" s="84">
        <v>0.29</v>
      </c>
      <c r="D8911" s="84">
        <v>0.0</v>
      </c>
      <c r="E8911" s="84">
        <v>0.0</v>
      </c>
      <c r="F8911" s="76" t="s">
        <v>975</v>
      </c>
      <c r="G8911" s="83">
        <v>46118.0</v>
      </c>
      <c r="H8911" s="76" t="s">
        <v>938</v>
      </c>
    </row>
    <row r="8912">
      <c r="A8912" s="76" t="s">
        <v>36</v>
      </c>
      <c r="B8912" s="76" t="s">
        <v>1038</v>
      </c>
      <c r="C8912" s="84">
        <v>2.52</v>
      </c>
      <c r="D8912" s="84">
        <v>0.0</v>
      </c>
      <c r="E8912" s="84">
        <v>0.0</v>
      </c>
      <c r="F8912" s="76" t="s">
        <v>975</v>
      </c>
      <c r="G8912" s="83">
        <v>46118.0</v>
      </c>
      <c r="H8912" s="76" t="s">
        <v>926</v>
      </c>
    </row>
    <row r="8913">
      <c r="A8913" s="76" t="s">
        <v>36</v>
      </c>
      <c r="B8913" s="76" t="s">
        <v>1038</v>
      </c>
      <c r="C8913" s="84">
        <v>0.55</v>
      </c>
      <c r="D8913" s="84">
        <v>1.0</v>
      </c>
      <c r="E8913" s="84">
        <v>0.55</v>
      </c>
      <c r="F8913" s="76" t="s">
        <v>975</v>
      </c>
      <c r="G8913" s="83">
        <v>46118.0</v>
      </c>
      <c r="H8913" s="76" t="s">
        <v>927</v>
      </c>
    </row>
    <row r="8914">
      <c r="A8914" s="76" t="s">
        <v>36</v>
      </c>
      <c r="B8914" s="76" t="s">
        <v>1038</v>
      </c>
      <c r="C8914" s="84">
        <v>1.41</v>
      </c>
      <c r="D8914" s="84">
        <v>0.0</v>
      </c>
      <c r="E8914" s="84">
        <v>0.0</v>
      </c>
      <c r="F8914" s="76" t="s">
        <v>975</v>
      </c>
      <c r="G8914" s="83">
        <v>46118.0</v>
      </c>
      <c r="H8914" s="76" t="s">
        <v>928</v>
      </c>
    </row>
    <row r="8915">
      <c r="A8915" s="76" t="s">
        <v>50</v>
      </c>
      <c r="B8915" s="76" t="s">
        <v>1038</v>
      </c>
      <c r="C8915" s="84">
        <v>1.53</v>
      </c>
      <c r="D8915" s="84">
        <v>0.0</v>
      </c>
      <c r="E8915" s="84">
        <v>0.0</v>
      </c>
      <c r="F8915" s="76" t="s">
        <v>975</v>
      </c>
      <c r="G8915" s="83">
        <v>46118.0</v>
      </c>
      <c r="H8915" s="76" t="s">
        <v>939</v>
      </c>
    </row>
    <row r="8916">
      <c r="A8916" s="76" t="s">
        <v>50</v>
      </c>
      <c r="B8916" s="76" t="s">
        <v>1038</v>
      </c>
      <c r="C8916" s="84">
        <v>0.51</v>
      </c>
      <c r="D8916" s="84">
        <v>0.0</v>
      </c>
      <c r="E8916" s="84">
        <v>0.0</v>
      </c>
      <c r="F8916" s="76" t="s">
        <v>975</v>
      </c>
      <c r="G8916" s="83">
        <v>46118.0</v>
      </c>
      <c r="H8916" s="76" t="s">
        <v>940</v>
      </c>
    </row>
    <row r="8917">
      <c r="A8917" s="76" t="s">
        <v>944</v>
      </c>
      <c r="B8917" s="76" t="s">
        <v>1038</v>
      </c>
      <c r="C8917" s="84">
        <v>1.51</v>
      </c>
      <c r="D8917" s="84">
        <v>2.0</v>
      </c>
      <c r="E8917" s="84">
        <v>0.76</v>
      </c>
      <c r="F8917" s="76" t="s">
        <v>975</v>
      </c>
      <c r="G8917" s="83">
        <v>46118.0</v>
      </c>
      <c r="H8917" s="76" t="s">
        <v>945</v>
      </c>
    </row>
    <row r="8918">
      <c r="A8918" s="76" t="s">
        <v>944</v>
      </c>
      <c r="B8918" s="76" t="s">
        <v>1038</v>
      </c>
      <c r="C8918" s="84">
        <v>1.76</v>
      </c>
      <c r="D8918" s="84">
        <v>0.0</v>
      </c>
      <c r="E8918" s="84">
        <v>0.0</v>
      </c>
      <c r="F8918" s="76" t="s">
        <v>975</v>
      </c>
      <c r="G8918" s="83">
        <v>46118.0</v>
      </c>
      <c r="H8918" s="76" t="s">
        <v>946</v>
      </c>
    </row>
    <row r="8919">
      <c r="A8919" s="76" t="s">
        <v>944</v>
      </c>
      <c r="B8919" s="76" t="s">
        <v>1038</v>
      </c>
      <c r="C8919" s="84">
        <v>4.54</v>
      </c>
      <c r="D8919" s="84">
        <v>3.0</v>
      </c>
      <c r="E8919" s="84">
        <v>1.51</v>
      </c>
      <c r="F8919" s="76" t="s">
        <v>975</v>
      </c>
      <c r="G8919" s="83">
        <v>46118.0</v>
      </c>
      <c r="H8919" s="76" t="s">
        <v>947</v>
      </c>
    </row>
    <row r="8920">
      <c r="A8920" s="76" t="s">
        <v>26</v>
      </c>
      <c r="B8920" s="76" t="s">
        <v>1038</v>
      </c>
      <c r="C8920" s="84">
        <v>0.3</v>
      </c>
      <c r="D8920" s="84">
        <v>0.0</v>
      </c>
      <c r="E8920" s="84">
        <v>0.0</v>
      </c>
      <c r="F8920" s="76" t="s">
        <v>975</v>
      </c>
      <c r="G8920" s="83">
        <v>46118.0</v>
      </c>
      <c r="H8920" s="76" t="s">
        <v>1012</v>
      </c>
    </row>
    <row r="8921">
      <c r="A8921" s="76" t="s">
        <v>26</v>
      </c>
      <c r="B8921" s="76" t="s">
        <v>1038</v>
      </c>
      <c r="C8921" s="84">
        <v>1.71</v>
      </c>
      <c r="D8921" s="84">
        <v>0.0</v>
      </c>
      <c r="E8921" s="84">
        <v>0.0</v>
      </c>
      <c r="F8921" s="76" t="s">
        <v>975</v>
      </c>
      <c r="G8921" s="83">
        <v>46118.0</v>
      </c>
      <c r="H8921" s="76" t="s">
        <v>1013</v>
      </c>
    </row>
    <row r="8922">
      <c r="A8922" s="76" t="s">
        <v>26</v>
      </c>
      <c r="B8922" s="76" t="s">
        <v>1038</v>
      </c>
      <c r="C8922" s="84">
        <v>5.14</v>
      </c>
      <c r="D8922" s="84">
        <v>3.0</v>
      </c>
      <c r="E8922" s="84">
        <v>1.71</v>
      </c>
      <c r="F8922" s="76" t="s">
        <v>975</v>
      </c>
      <c r="G8922" s="83">
        <v>46118.0</v>
      </c>
      <c r="H8922" s="76" t="s">
        <v>1014</v>
      </c>
    </row>
    <row r="8923">
      <c r="A8923" s="76" t="s">
        <v>32</v>
      </c>
      <c r="B8923" s="76" t="s">
        <v>1038</v>
      </c>
      <c r="C8923" s="84">
        <v>12.36</v>
      </c>
      <c r="D8923" s="84">
        <v>2.0</v>
      </c>
      <c r="E8923" s="84">
        <v>6.18</v>
      </c>
      <c r="F8923" s="76" t="s">
        <v>975</v>
      </c>
      <c r="G8923" s="83">
        <v>46118.0</v>
      </c>
      <c r="H8923" s="76" t="s">
        <v>941</v>
      </c>
    </row>
    <row r="8924">
      <c r="A8924" s="76" t="s">
        <v>32</v>
      </c>
      <c r="B8924" s="76" t="s">
        <v>1038</v>
      </c>
      <c r="C8924" s="84">
        <v>0.71</v>
      </c>
      <c r="D8924" s="84">
        <v>1.0</v>
      </c>
      <c r="E8924" s="84">
        <v>0.71</v>
      </c>
      <c r="F8924" s="76" t="s">
        <v>975</v>
      </c>
      <c r="G8924" s="83">
        <v>46118.0</v>
      </c>
      <c r="H8924" s="76" t="s">
        <v>942</v>
      </c>
    </row>
    <row r="8925">
      <c r="A8925" s="76" t="s">
        <v>32</v>
      </c>
      <c r="B8925" s="76" t="s">
        <v>1038</v>
      </c>
      <c r="C8925" s="84">
        <v>1.82</v>
      </c>
      <c r="D8925" s="84">
        <v>2.0</v>
      </c>
      <c r="E8925" s="84">
        <v>0.91</v>
      </c>
      <c r="F8925" s="76" t="s">
        <v>975</v>
      </c>
      <c r="G8925" s="83">
        <v>46118.0</v>
      </c>
      <c r="H8925" s="76" t="s">
        <v>943</v>
      </c>
    </row>
    <row r="8926">
      <c r="A8926" s="76" t="s">
        <v>42</v>
      </c>
      <c r="B8926" s="76" t="s">
        <v>1038</v>
      </c>
      <c r="C8926" s="84">
        <v>1.58</v>
      </c>
      <c r="D8926" s="84">
        <v>0.0</v>
      </c>
      <c r="E8926" s="84">
        <v>0.0</v>
      </c>
      <c r="F8926" s="76" t="s">
        <v>975</v>
      </c>
      <c r="G8926" s="83">
        <v>46118.0</v>
      </c>
      <c r="H8926" s="76" t="s">
        <v>991</v>
      </c>
    </row>
    <row r="8927">
      <c r="A8927" s="76" t="s">
        <v>42</v>
      </c>
      <c r="B8927" s="76" t="s">
        <v>1038</v>
      </c>
      <c r="C8927" s="84">
        <v>1.73</v>
      </c>
      <c r="D8927" s="84">
        <v>0.0</v>
      </c>
      <c r="E8927" s="84">
        <v>0.0</v>
      </c>
      <c r="F8927" s="76" t="s">
        <v>975</v>
      </c>
      <c r="G8927" s="83">
        <v>46118.0</v>
      </c>
      <c r="H8927" s="76" t="s">
        <v>935</v>
      </c>
    </row>
    <row r="8928">
      <c r="A8928" s="76" t="s">
        <v>31</v>
      </c>
      <c r="B8928" s="76" t="s">
        <v>1038</v>
      </c>
      <c r="C8928" s="84">
        <v>2.94</v>
      </c>
      <c r="D8928" s="84">
        <v>0.0</v>
      </c>
      <c r="E8928" s="84">
        <v>0.0</v>
      </c>
      <c r="F8928" s="76" t="s">
        <v>975</v>
      </c>
      <c r="G8928" s="83">
        <v>46118.0</v>
      </c>
      <c r="H8928" s="76" t="s">
        <v>929</v>
      </c>
    </row>
    <row r="8929">
      <c r="A8929" s="76" t="s">
        <v>31</v>
      </c>
      <c r="B8929" s="76" t="s">
        <v>1038</v>
      </c>
      <c r="C8929" s="84">
        <v>7.48</v>
      </c>
      <c r="D8929" s="84">
        <v>2.0</v>
      </c>
      <c r="E8929" s="84">
        <v>3.74</v>
      </c>
      <c r="F8929" s="76" t="s">
        <v>975</v>
      </c>
      <c r="G8929" s="83">
        <v>46118.0</v>
      </c>
      <c r="H8929" s="76" t="s">
        <v>930</v>
      </c>
    </row>
    <row r="8930">
      <c r="A8930" s="76" t="s">
        <v>28</v>
      </c>
      <c r="B8930" s="76" t="s">
        <v>1038</v>
      </c>
      <c r="C8930" s="84">
        <v>0.91</v>
      </c>
      <c r="D8930" s="84">
        <v>0.0</v>
      </c>
      <c r="E8930" s="84">
        <v>0.0</v>
      </c>
      <c r="F8930" s="76" t="s">
        <v>975</v>
      </c>
      <c r="G8930" s="83">
        <v>46118.0</v>
      </c>
      <c r="H8930" s="76" t="s">
        <v>931</v>
      </c>
    </row>
    <row r="8931">
      <c r="A8931" s="76" t="s">
        <v>28</v>
      </c>
      <c r="B8931" s="76" t="s">
        <v>1038</v>
      </c>
      <c r="C8931" s="84">
        <v>0.35</v>
      </c>
      <c r="D8931" s="84">
        <v>0.0</v>
      </c>
      <c r="E8931" s="84">
        <v>0.0</v>
      </c>
      <c r="F8931" s="76" t="s">
        <v>975</v>
      </c>
      <c r="G8931" s="83">
        <v>46118.0</v>
      </c>
      <c r="H8931" s="76" t="s">
        <v>932</v>
      </c>
    </row>
    <row r="8932">
      <c r="A8932" s="76" t="s">
        <v>28</v>
      </c>
      <c r="B8932" s="76" t="s">
        <v>1038</v>
      </c>
      <c r="C8932" s="84">
        <v>5.33</v>
      </c>
      <c r="D8932" s="84">
        <v>0.0</v>
      </c>
      <c r="E8932" s="84">
        <v>0.0</v>
      </c>
      <c r="F8932" s="76" t="s">
        <v>975</v>
      </c>
      <c r="G8932" s="83">
        <v>46118.0</v>
      </c>
      <c r="H8932" s="76" t="s">
        <v>933</v>
      </c>
    </row>
    <row r="8933">
      <c r="A8933" s="76" t="s">
        <v>45</v>
      </c>
      <c r="B8933" s="76" t="s">
        <v>1038</v>
      </c>
      <c r="C8933" s="84">
        <v>0.15</v>
      </c>
      <c r="D8933" s="84">
        <v>0.0</v>
      </c>
      <c r="E8933" s="84">
        <v>0.0</v>
      </c>
      <c r="F8933" s="76" t="s">
        <v>950</v>
      </c>
      <c r="G8933" s="83">
        <v>46118.0</v>
      </c>
      <c r="H8933" s="76" t="s">
        <v>936</v>
      </c>
    </row>
    <row r="8934">
      <c r="A8934" s="76" t="s">
        <v>45</v>
      </c>
      <c r="B8934" s="76" t="s">
        <v>1038</v>
      </c>
      <c r="C8934" s="84">
        <v>0.18</v>
      </c>
      <c r="D8934" s="84">
        <v>1.0</v>
      </c>
      <c r="E8934" s="84">
        <v>0.18</v>
      </c>
      <c r="F8934" s="76" t="s">
        <v>950</v>
      </c>
      <c r="G8934" s="83">
        <v>46118.0</v>
      </c>
      <c r="H8934" s="76" t="s">
        <v>937</v>
      </c>
    </row>
    <row r="8935">
      <c r="A8935" s="76" t="s">
        <v>45</v>
      </c>
      <c r="B8935" s="76" t="s">
        <v>1038</v>
      </c>
      <c r="C8935" s="84">
        <v>3.96</v>
      </c>
      <c r="D8935" s="84">
        <v>0.0</v>
      </c>
      <c r="E8935" s="84">
        <v>0.0</v>
      </c>
      <c r="F8935" s="76" t="s">
        <v>950</v>
      </c>
      <c r="G8935" s="83">
        <v>46118.0</v>
      </c>
      <c r="H8935" s="76" t="s">
        <v>938</v>
      </c>
    </row>
    <row r="8936">
      <c r="A8936" s="76" t="s">
        <v>28</v>
      </c>
      <c r="B8936" s="76" t="s">
        <v>1038</v>
      </c>
      <c r="C8936" s="84">
        <v>0.3</v>
      </c>
      <c r="D8936" s="84">
        <v>0.0</v>
      </c>
      <c r="E8936" s="84">
        <v>0.0</v>
      </c>
      <c r="F8936" s="76" t="s">
        <v>950</v>
      </c>
      <c r="G8936" s="83">
        <v>46118.0</v>
      </c>
      <c r="H8936" s="76" t="s">
        <v>931</v>
      </c>
    </row>
    <row r="8937">
      <c r="A8937" s="76" t="s">
        <v>28</v>
      </c>
      <c r="B8937" s="76" t="s">
        <v>1038</v>
      </c>
      <c r="C8937" s="84">
        <v>0.07</v>
      </c>
      <c r="D8937" s="84">
        <v>0.0</v>
      </c>
      <c r="E8937" s="84">
        <v>0.0</v>
      </c>
      <c r="F8937" s="76" t="s">
        <v>950</v>
      </c>
      <c r="G8937" s="83">
        <v>46118.0</v>
      </c>
      <c r="H8937" s="76" t="s">
        <v>932</v>
      </c>
    </row>
    <row r="8938">
      <c r="A8938" s="76" t="s">
        <v>28</v>
      </c>
      <c r="B8938" s="76" t="s">
        <v>1038</v>
      </c>
      <c r="C8938" s="84">
        <v>2.57</v>
      </c>
      <c r="D8938" s="84">
        <v>3.0</v>
      </c>
      <c r="E8938" s="84">
        <v>0.86</v>
      </c>
      <c r="F8938" s="76" t="s">
        <v>950</v>
      </c>
      <c r="G8938" s="83">
        <v>46118.0</v>
      </c>
      <c r="H8938" s="76" t="s">
        <v>933</v>
      </c>
    </row>
    <row r="8939">
      <c r="A8939" s="76" t="s">
        <v>42</v>
      </c>
      <c r="B8939" s="76" t="s">
        <v>1038</v>
      </c>
      <c r="C8939" s="84">
        <v>0.44</v>
      </c>
      <c r="D8939" s="84">
        <v>0.0</v>
      </c>
      <c r="E8939" s="84">
        <v>0.0</v>
      </c>
      <c r="F8939" s="76" t="s">
        <v>950</v>
      </c>
      <c r="G8939" s="83">
        <v>46118.0</v>
      </c>
      <c r="H8939" s="76" t="s">
        <v>991</v>
      </c>
    </row>
    <row r="8940">
      <c r="A8940" s="76" t="s">
        <v>42</v>
      </c>
      <c r="B8940" s="76" t="s">
        <v>1038</v>
      </c>
      <c r="C8940" s="84">
        <v>2.55</v>
      </c>
      <c r="D8940" s="84">
        <v>0.0</v>
      </c>
      <c r="E8940" s="84">
        <v>0.0</v>
      </c>
      <c r="F8940" s="76" t="s">
        <v>950</v>
      </c>
      <c r="G8940" s="83">
        <v>46118.0</v>
      </c>
      <c r="H8940" s="76" t="s">
        <v>935</v>
      </c>
    </row>
    <row r="8941">
      <c r="A8941" s="76" t="s">
        <v>36</v>
      </c>
      <c r="B8941" s="76" t="s">
        <v>1038</v>
      </c>
      <c r="C8941" s="84">
        <v>1.29</v>
      </c>
      <c r="D8941" s="84">
        <v>0.0</v>
      </c>
      <c r="E8941" s="84">
        <v>0.0</v>
      </c>
      <c r="F8941" s="76" t="s">
        <v>950</v>
      </c>
      <c r="G8941" s="83">
        <v>46118.0</v>
      </c>
      <c r="H8941" s="76" t="s">
        <v>926</v>
      </c>
    </row>
    <row r="8942">
      <c r="A8942" s="76" t="s">
        <v>36</v>
      </c>
      <c r="B8942" s="76" t="s">
        <v>1038</v>
      </c>
      <c r="C8942" s="84">
        <v>0.21</v>
      </c>
      <c r="D8942" s="84">
        <v>0.0</v>
      </c>
      <c r="E8942" s="84">
        <v>0.0</v>
      </c>
      <c r="F8942" s="76" t="s">
        <v>950</v>
      </c>
      <c r="G8942" s="83">
        <v>46118.0</v>
      </c>
      <c r="H8942" s="76" t="s">
        <v>927</v>
      </c>
    </row>
    <row r="8943">
      <c r="A8943" s="76" t="s">
        <v>36</v>
      </c>
      <c r="B8943" s="76" t="s">
        <v>1038</v>
      </c>
      <c r="C8943" s="84">
        <v>0.29</v>
      </c>
      <c r="D8943" s="84">
        <v>0.0</v>
      </c>
      <c r="E8943" s="84">
        <v>0.0</v>
      </c>
      <c r="F8943" s="76" t="s">
        <v>950</v>
      </c>
      <c r="G8943" s="83">
        <v>46118.0</v>
      </c>
      <c r="H8943" s="76" t="s">
        <v>928</v>
      </c>
    </row>
    <row r="8944">
      <c r="A8944" s="76" t="s">
        <v>31</v>
      </c>
      <c r="B8944" s="76" t="s">
        <v>1038</v>
      </c>
      <c r="C8944" s="84">
        <v>0.43</v>
      </c>
      <c r="D8944" s="84">
        <v>0.0</v>
      </c>
      <c r="E8944" s="84">
        <v>0.0</v>
      </c>
      <c r="F8944" s="76" t="s">
        <v>950</v>
      </c>
      <c r="G8944" s="83">
        <v>46118.0</v>
      </c>
      <c r="H8944" s="76" t="s">
        <v>929</v>
      </c>
    </row>
    <row r="8945">
      <c r="A8945" s="76" t="s">
        <v>31</v>
      </c>
      <c r="B8945" s="76" t="s">
        <v>1038</v>
      </c>
      <c r="C8945" s="84">
        <v>7.01</v>
      </c>
      <c r="D8945" s="84">
        <v>2.0</v>
      </c>
      <c r="E8945" s="84">
        <v>3.51</v>
      </c>
      <c r="F8945" s="76" t="s">
        <v>950</v>
      </c>
      <c r="G8945" s="83">
        <v>46118.0</v>
      </c>
      <c r="H8945" s="76" t="s">
        <v>930</v>
      </c>
    </row>
    <row r="8946">
      <c r="A8946" s="76" t="s">
        <v>50</v>
      </c>
      <c r="B8946" s="76" t="s">
        <v>1038</v>
      </c>
      <c r="C8946" s="84">
        <v>0.35</v>
      </c>
      <c r="D8946" s="84">
        <v>0.0</v>
      </c>
      <c r="E8946" s="84">
        <v>0.0</v>
      </c>
      <c r="F8946" s="76" t="s">
        <v>950</v>
      </c>
      <c r="G8946" s="83">
        <v>46118.0</v>
      </c>
      <c r="H8946" s="76" t="s">
        <v>939</v>
      </c>
    </row>
    <row r="8947">
      <c r="A8947" s="76" t="s">
        <v>50</v>
      </c>
      <c r="B8947" s="76" t="s">
        <v>1038</v>
      </c>
      <c r="C8947" s="84">
        <v>0.16</v>
      </c>
      <c r="D8947" s="84">
        <v>0.0</v>
      </c>
      <c r="E8947" s="84">
        <v>0.0</v>
      </c>
      <c r="F8947" s="76" t="s">
        <v>950</v>
      </c>
      <c r="G8947" s="83">
        <v>46118.0</v>
      </c>
      <c r="H8947" s="76" t="s">
        <v>940</v>
      </c>
    </row>
    <row r="8948">
      <c r="A8948" s="76" t="s">
        <v>26</v>
      </c>
      <c r="B8948" s="76" t="s">
        <v>1038</v>
      </c>
      <c r="C8948" s="84">
        <v>0.22</v>
      </c>
      <c r="D8948" s="84">
        <v>0.0</v>
      </c>
      <c r="E8948" s="84">
        <v>0.0</v>
      </c>
      <c r="F8948" s="76" t="s">
        <v>950</v>
      </c>
      <c r="G8948" s="83">
        <v>46118.0</v>
      </c>
      <c r="H8948" s="76" t="s">
        <v>1012</v>
      </c>
    </row>
    <row r="8949">
      <c r="A8949" s="76" t="s">
        <v>26</v>
      </c>
      <c r="B8949" s="76" t="s">
        <v>1038</v>
      </c>
      <c r="C8949" s="84">
        <v>3.21</v>
      </c>
      <c r="D8949" s="84">
        <v>1.0</v>
      </c>
      <c r="E8949" s="84">
        <v>3.21</v>
      </c>
      <c r="F8949" s="76" t="s">
        <v>950</v>
      </c>
      <c r="G8949" s="83">
        <v>46118.0</v>
      </c>
      <c r="H8949" s="76" t="s">
        <v>1013</v>
      </c>
    </row>
    <row r="8950">
      <c r="A8950" s="76" t="s">
        <v>26</v>
      </c>
      <c r="B8950" s="76" t="s">
        <v>1038</v>
      </c>
      <c r="C8950" s="84">
        <v>1.24</v>
      </c>
      <c r="D8950" s="84">
        <v>1.0</v>
      </c>
      <c r="E8950" s="84">
        <v>1.24</v>
      </c>
      <c r="F8950" s="76" t="s">
        <v>950</v>
      </c>
      <c r="G8950" s="83">
        <v>46118.0</v>
      </c>
      <c r="H8950" s="76" t="s">
        <v>1014</v>
      </c>
    </row>
    <row r="8951">
      <c r="A8951" s="76" t="s">
        <v>944</v>
      </c>
      <c r="B8951" s="76" t="s">
        <v>1038</v>
      </c>
      <c r="C8951" s="84">
        <v>1.37</v>
      </c>
      <c r="D8951" s="84">
        <v>1.0</v>
      </c>
      <c r="E8951" s="84">
        <v>1.37</v>
      </c>
      <c r="F8951" s="76" t="s">
        <v>950</v>
      </c>
      <c r="G8951" s="83">
        <v>46118.0</v>
      </c>
      <c r="H8951" s="76" t="s">
        <v>945</v>
      </c>
    </row>
    <row r="8952">
      <c r="A8952" s="76" t="s">
        <v>944</v>
      </c>
      <c r="B8952" s="76" t="s">
        <v>1038</v>
      </c>
      <c r="C8952" s="84">
        <v>0.41</v>
      </c>
      <c r="D8952" s="84">
        <v>0.0</v>
      </c>
      <c r="E8952" s="84">
        <v>0.0</v>
      </c>
      <c r="F8952" s="76" t="s">
        <v>950</v>
      </c>
      <c r="G8952" s="83">
        <v>46118.0</v>
      </c>
      <c r="H8952" s="76" t="s">
        <v>946</v>
      </c>
    </row>
    <row r="8953">
      <c r="A8953" s="76" t="s">
        <v>944</v>
      </c>
      <c r="B8953" s="76" t="s">
        <v>1038</v>
      </c>
      <c r="C8953" s="84">
        <v>0.95</v>
      </c>
      <c r="D8953" s="84">
        <v>0.0</v>
      </c>
      <c r="E8953" s="84">
        <v>0.0</v>
      </c>
      <c r="F8953" s="76" t="s">
        <v>950</v>
      </c>
      <c r="G8953" s="83">
        <v>46118.0</v>
      </c>
      <c r="H8953" s="76" t="s">
        <v>947</v>
      </c>
    </row>
    <row r="8954">
      <c r="A8954" s="76" t="s">
        <v>32</v>
      </c>
      <c r="B8954" s="76" t="s">
        <v>1038</v>
      </c>
      <c r="C8954" s="84">
        <v>2.65</v>
      </c>
      <c r="D8954" s="84">
        <v>0.0</v>
      </c>
      <c r="E8954" s="84">
        <v>0.0</v>
      </c>
      <c r="F8954" s="76" t="s">
        <v>950</v>
      </c>
      <c r="G8954" s="83">
        <v>46118.0</v>
      </c>
      <c r="H8954" s="76" t="s">
        <v>941</v>
      </c>
    </row>
    <row r="8955">
      <c r="A8955" s="76" t="s">
        <v>32</v>
      </c>
      <c r="B8955" s="76" t="s">
        <v>1038</v>
      </c>
      <c r="C8955" s="84">
        <v>0.62</v>
      </c>
      <c r="D8955" s="84">
        <v>0.0</v>
      </c>
      <c r="E8955" s="84">
        <v>0.0</v>
      </c>
      <c r="F8955" s="76" t="s">
        <v>950</v>
      </c>
      <c r="G8955" s="83">
        <v>46118.0</v>
      </c>
      <c r="H8955" s="76" t="s">
        <v>942</v>
      </c>
    </row>
    <row r="8956">
      <c r="A8956" s="76" t="s">
        <v>32</v>
      </c>
      <c r="B8956" s="76" t="s">
        <v>1038</v>
      </c>
      <c r="C8956" s="84">
        <v>1.51</v>
      </c>
      <c r="D8956" s="84">
        <v>0.0</v>
      </c>
      <c r="E8956" s="84">
        <v>0.0</v>
      </c>
      <c r="F8956" s="76" t="s">
        <v>950</v>
      </c>
      <c r="G8956" s="83">
        <v>46118.0</v>
      </c>
      <c r="H8956" s="76" t="s">
        <v>943</v>
      </c>
    </row>
    <row r="8957">
      <c r="A8957" s="76" t="s">
        <v>31</v>
      </c>
      <c r="B8957" s="76" t="s">
        <v>1038</v>
      </c>
      <c r="C8957" s="84">
        <v>0.27</v>
      </c>
      <c r="D8957" s="84">
        <v>0.0</v>
      </c>
      <c r="E8957" s="84">
        <v>0.0</v>
      </c>
      <c r="F8957" s="76" t="s">
        <v>974</v>
      </c>
      <c r="G8957" s="83">
        <v>46118.0</v>
      </c>
      <c r="H8957" s="76" t="s">
        <v>929</v>
      </c>
    </row>
    <row r="8958">
      <c r="A8958" s="76" t="s">
        <v>31</v>
      </c>
      <c r="B8958" s="76" t="s">
        <v>1038</v>
      </c>
      <c r="C8958" s="84">
        <v>2.23</v>
      </c>
      <c r="D8958" s="84">
        <v>0.0</v>
      </c>
      <c r="E8958" s="84">
        <v>0.0</v>
      </c>
      <c r="F8958" s="76" t="s">
        <v>974</v>
      </c>
      <c r="G8958" s="83">
        <v>46118.0</v>
      </c>
      <c r="H8958" s="76" t="s">
        <v>930</v>
      </c>
    </row>
    <row r="8959">
      <c r="A8959" s="76" t="s">
        <v>45</v>
      </c>
      <c r="B8959" s="76" t="s">
        <v>1038</v>
      </c>
      <c r="C8959" s="84">
        <v>0.1</v>
      </c>
      <c r="D8959" s="84">
        <v>0.0</v>
      </c>
      <c r="E8959" s="84">
        <v>0.0</v>
      </c>
      <c r="F8959" s="76" t="s">
        <v>974</v>
      </c>
      <c r="G8959" s="83">
        <v>46118.0</v>
      </c>
      <c r="H8959" s="76" t="s">
        <v>936</v>
      </c>
    </row>
    <row r="8960">
      <c r="A8960" s="76" t="s">
        <v>45</v>
      </c>
      <c r="B8960" s="76" t="s">
        <v>1038</v>
      </c>
      <c r="C8960" s="84">
        <v>0.3</v>
      </c>
      <c r="D8960" s="84">
        <v>0.0</v>
      </c>
      <c r="E8960" s="84">
        <v>0.0</v>
      </c>
      <c r="F8960" s="76" t="s">
        <v>974</v>
      </c>
      <c r="G8960" s="83">
        <v>46118.0</v>
      </c>
      <c r="H8960" s="76" t="s">
        <v>937</v>
      </c>
    </row>
    <row r="8961">
      <c r="A8961" s="76" t="s">
        <v>45</v>
      </c>
      <c r="B8961" s="76" t="s">
        <v>1038</v>
      </c>
      <c r="C8961" s="84">
        <v>0.06</v>
      </c>
      <c r="D8961" s="84">
        <v>0.0</v>
      </c>
      <c r="E8961" s="84">
        <v>0.0</v>
      </c>
      <c r="F8961" s="76" t="s">
        <v>974</v>
      </c>
      <c r="G8961" s="83">
        <v>46118.0</v>
      </c>
      <c r="H8961" s="76" t="s">
        <v>938</v>
      </c>
    </row>
    <row r="8962">
      <c r="A8962" s="76" t="s">
        <v>42</v>
      </c>
      <c r="B8962" s="76" t="s">
        <v>1038</v>
      </c>
      <c r="C8962" s="84">
        <v>0.42</v>
      </c>
      <c r="D8962" s="84">
        <v>0.0</v>
      </c>
      <c r="E8962" s="84">
        <v>0.0</v>
      </c>
      <c r="F8962" s="76" t="s">
        <v>974</v>
      </c>
      <c r="G8962" s="83">
        <v>46118.0</v>
      </c>
      <c r="H8962" s="76" t="s">
        <v>991</v>
      </c>
    </row>
    <row r="8963">
      <c r="A8963" s="76" t="s">
        <v>42</v>
      </c>
      <c r="B8963" s="76" t="s">
        <v>1038</v>
      </c>
      <c r="C8963" s="84">
        <v>0.54</v>
      </c>
      <c r="D8963" s="84">
        <v>0.0</v>
      </c>
      <c r="E8963" s="84">
        <v>0.0</v>
      </c>
      <c r="F8963" s="76" t="s">
        <v>974</v>
      </c>
      <c r="G8963" s="83">
        <v>46118.0</v>
      </c>
      <c r="H8963" s="76" t="s">
        <v>935</v>
      </c>
    </row>
    <row r="8964">
      <c r="A8964" s="76" t="s">
        <v>28</v>
      </c>
      <c r="B8964" s="76" t="s">
        <v>1038</v>
      </c>
      <c r="C8964" s="84">
        <v>0.24</v>
      </c>
      <c r="D8964" s="84">
        <v>0.0</v>
      </c>
      <c r="E8964" s="84">
        <v>0.0</v>
      </c>
      <c r="F8964" s="76" t="s">
        <v>974</v>
      </c>
      <c r="G8964" s="83">
        <v>46118.0</v>
      </c>
      <c r="H8964" s="76" t="s">
        <v>931</v>
      </c>
    </row>
    <row r="8965">
      <c r="A8965" s="76" t="s">
        <v>28</v>
      </c>
      <c r="B8965" s="76" t="s">
        <v>1038</v>
      </c>
      <c r="C8965" s="84">
        <v>0.11</v>
      </c>
      <c r="D8965" s="84">
        <v>0.0</v>
      </c>
      <c r="E8965" s="84">
        <v>0.0</v>
      </c>
      <c r="F8965" s="76" t="s">
        <v>974</v>
      </c>
      <c r="G8965" s="83">
        <v>46118.0</v>
      </c>
      <c r="H8965" s="76" t="s">
        <v>932</v>
      </c>
    </row>
    <row r="8966">
      <c r="A8966" s="76" t="s">
        <v>28</v>
      </c>
      <c r="B8966" s="76" t="s">
        <v>1038</v>
      </c>
      <c r="C8966" s="84">
        <v>2.39</v>
      </c>
      <c r="D8966" s="84">
        <v>0.0</v>
      </c>
      <c r="E8966" s="84">
        <v>0.0</v>
      </c>
      <c r="F8966" s="76" t="s">
        <v>974</v>
      </c>
      <c r="G8966" s="83">
        <v>46118.0</v>
      </c>
      <c r="H8966" s="76" t="s">
        <v>933</v>
      </c>
    </row>
    <row r="8967">
      <c r="A8967" s="76" t="s">
        <v>50</v>
      </c>
      <c r="B8967" s="76" t="s">
        <v>1038</v>
      </c>
      <c r="C8967" s="84">
        <v>0.35</v>
      </c>
      <c r="D8967" s="84">
        <v>0.0</v>
      </c>
      <c r="E8967" s="84">
        <v>0.0</v>
      </c>
      <c r="F8967" s="76" t="s">
        <v>974</v>
      </c>
      <c r="G8967" s="83">
        <v>46118.0</v>
      </c>
      <c r="H8967" s="76" t="s">
        <v>939</v>
      </c>
    </row>
    <row r="8968">
      <c r="A8968" s="76" t="s">
        <v>50</v>
      </c>
      <c r="B8968" s="76" t="s">
        <v>1038</v>
      </c>
      <c r="C8968" s="84">
        <v>0.08</v>
      </c>
      <c r="D8968" s="84">
        <v>0.0</v>
      </c>
      <c r="E8968" s="84">
        <v>0.0</v>
      </c>
      <c r="F8968" s="76" t="s">
        <v>974</v>
      </c>
      <c r="G8968" s="83">
        <v>46118.0</v>
      </c>
      <c r="H8968" s="76" t="s">
        <v>940</v>
      </c>
    </row>
    <row r="8969">
      <c r="A8969" s="76" t="s">
        <v>26</v>
      </c>
      <c r="B8969" s="76" t="s">
        <v>1038</v>
      </c>
      <c r="C8969" s="84">
        <v>0.05</v>
      </c>
      <c r="D8969" s="84">
        <v>0.0</v>
      </c>
      <c r="E8969" s="84">
        <v>0.0</v>
      </c>
      <c r="F8969" s="76" t="s">
        <v>974</v>
      </c>
      <c r="G8969" s="83">
        <v>46118.0</v>
      </c>
      <c r="H8969" s="76" t="s">
        <v>1012</v>
      </c>
    </row>
    <row r="8970">
      <c r="A8970" s="76" t="s">
        <v>26</v>
      </c>
      <c r="B8970" s="76" t="s">
        <v>1038</v>
      </c>
      <c r="C8970" s="84">
        <v>0.16</v>
      </c>
      <c r="D8970" s="84">
        <v>0.0</v>
      </c>
      <c r="E8970" s="84">
        <v>0.0</v>
      </c>
      <c r="F8970" s="76" t="s">
        <v>974</v>
      </c>
      <c r="G8970" s="83">
        <v>46118.0</v>
      </c>
      <c r="H8970" s="76" t="s">
        <v>1013</v>
      </c>
    </row>
    <row r="8971">
      <c r="A8971" s="76" t="s">
        <v>26</v>
      </c>
      <c r="B8971" s="76" t="s">
        <v>1038</v>
      </c>
      <c r="C8971" s="84">
        <v>0.53</v>
      </c>
      <c r="D8971" s="84">
        <v>0.0</v>
      </c>
      <c r="E8971" s="84">
        <v>0.0</v>
      </c>
      <c r="F8971" s="76" t="s">
        <v>974</v>
      </c>
      <c r="G8971" s="83">
        <v>46118.0</v>
      </c>
      <c r="H8971" s="76" t="s">
        <v>1014</v>
      </c>
    </row>
    <row r="8972">
      <c r="A8972" s="76" t="s">
        <v>944</v>
      </c>
      <c r="B8972" s="76" t="s">
        <v>1038</v>
      </c>
      <c r="C8972" s="84">
        <v>0.41</v>
      </c>
      <c r="D8972" s="84">
        <v>0.0</v>
      </c>
      <c r="E8972" s="84">
        <v>0.0</v>
      </c>
      <c r="F8972" s="76" t="s">
        <v>974</v>
      </c>
      <c r="G8972" s="83">
        <v>46118.0</v>
      </c>
      <c r="H8972" s="76" t="s">
        <v>945</v>
      </c>
    </row>
    <row r="8973">
      <c r="A8973" s="76" t="s">
        <v>944</v>
      </c>
      <c r="B8973" s="76" t="s">
        <v>1038</v>
      </c>
      <c r="C8973" s="84">
        <v>0.13</v>
      </c>
      <c r="D8973" s="84">
        <v>0.0</v>
      </c>
      <c r="E8973" s="84">
        <v>0.0</v>
      </c>
      <c r="F8973" s="76" t="s">
        <v>974</v>
      </c>
      <c r="G8973" s="83">
        <v>46118.0</v>
      </c>
      <c r="H8973" s="76" t="s">
        <v>946</v>
      </c>
    </row>
    <row r="8974">
      <c r="A8974" s="76" t="s">
        <v>944</v>
      </c>
      <c r="B8974" s="76" t="s">
        <v>1038</v>
      </c>
      <c r="C8974" s="84">
        <v>0.39</v>
      </c>
      <c r="D8974" s="84">
        <v>0.0</v>
      </c>
      <c r="E8974" s="84">
        <v>0.0</v>
      </c>
      <c r="F8974" s="76" t="s">
        <v>974</v>
      </c>
      <c r="G8974" s="83">
        <v>46118.0</v>
      </c>
      <c r="H8974" s="76" t="s">
        <v>947</v>
      </c>
    </row>
    <row r="8975">
      <c r="A8975" s="76" t="s">
        <v>36</v>
      </c>
      <c r="B8975" s="76" t="s">
        <v>1038</v>
      </c>
      <c r="C8975" s="84">
        <v>0.63</v>
      </c>
      <c r="D8975" s="84">
        <v>0.0</v>
      </c>
      <c r="E8975" s="84">
        <v>0.0</v>
      </c>
      <c r="F8975" s="76" t="s">
        <v>974</v>
      </c>
      <c r="G8975" s="83">
        <v>46118.0</v>
      </c>
      <c r="H8975" s="76" t="s">
        <v>926</v>
      </c>
    </row>
    <row r="8976">
      <c r="A8976" s="76" t="s">
        <v>36</v>
      </c>
      <c r="B8976" s="76" t="s">
        <v>1038</v>
      </c>
      <c r="C8976" s="84">
        <v>0.08</v>
      </c>
      <c r="D8976" s="84">
        <v>0.0</v>
      </c>
      <c r="E8976" s="84">
        <v>0.0</v>
      </c>
      <c r="F8976" s="76" t="s">
        <v>974</v>
      </c>
      <c r="G8976" s="83">
        <v>46118.0</v>
      </c>
      <c r="H8976" s="76" t="s">
        <v>927</v>
      </c>
    </row>
    <row r="8977">
      <c r="A8977" s="76" t="s">
        <v>36</v>
      </c>
      <c r="B8977" s="76" t="s">
        <v>1038</v>
      </c>
      <c r="C8977" s="84">
        <v>0.37</v>
      </c>
      <c r="D8977" s="84">
        <v>0.0</v>
      </c>
      <c r="E8977" s="84">
        <v>0.0</v>
      </c>
      <c r="F8977" s="76" t="s">
        <v>974</v>
      </c>
      <c r="G8977" s="83">
        <v>46118.0</v>
      </c>
      <c r="H8977" s="76" t="s">
        <v>928</v>
      </c>
    </row>
    <row r="8978">
      <c r="A8978" s="76" t="s">
        <v>32</v>
      </c>
      <c r="B8978" s="76" t="s">
        <v>1038</v>
      </c>
      <c r="C8978" s="84">
        <v>2.03</v>
      </c>
      <c r="D8978" s="84">
        <v>1.0</v>
      </c>
      <c r="E8978" s="84">
        <v>2.03</v>
      </c>
      <c r="F8978" s="76" t="s">
        <v>974</v>
      </c>
      <c r="G8978" s="83">
        <v>46118.0</v>
      </c>
      <c r="H8978" s="76" t="s">
        <v>941</v>
      </c>
    </row>
    <row r="8979">
      <c r="A8979" s="76" t="s">
        <v>32</v>
      </c>
      <c r="B8979" s="76" t="s">
        <v>1038</v>
      </c>
      <c r="C8979" s="84">
        <v>0.07</v>
      </c>
      <c r="D8979" s="84">
        <v>0.0</v>
      </c>
      <c r="E8979" s="84">
        <v>0.0</v>
      </c>
      <c r="F8979" s="76" t="s">
        <v>974</v>
      </c>
      <c r="G8979" s="83">
        <v>46118.0</v>
      </c>
      <c r="H8979" s="76" t="s">
        <v>942</v>
      </c>
    </row>
    <row r="8980">
      <c r="A8980" s="76" t="s">
        <v>32</v>
      </c>
      <c r="B8980" s="76" t="s">
        <v>1038</v>
      </c>
      <c r="C8980" s="84">
        <v>0.47</v>
      </c>
      <c r="D8980" s="84">
        <v>0.0</v>
      </c>
      <c r="E8980" s="84">
        <v>0.0</v>
      </c>
      <c r="F8980" s="76" t="s">
        <v>974</v>
      </c>
      <c r="G8980" s="83">
        <v>46118.0</v>
      </c>
      <c r="H8980" s="76" t="s">
        <v>943</v>
      </c>
    </row>
    <row r="8981">
      <c r="A8981" s="76" t="s">
        <v>36</v>
      </c>
      <c r="B8981" s="76" t="s">
        <v>1006</v>
      </c>
      <c r="C8981" s="84">
        <v>2.97</v>
      </c>
      <c r="D8981" s="84">
        <v>1.0</v>
      </c>
      <c r="E8981" s="84">
        <v>2.97</v>
      </c>
      <c r="F8981" s="76" t="s">
        <v>990</v>
      </c>
      <c r="G8981" s="83">
        <v>46118.0</v>
      </c>
      <c r="H8981" s="76" t="s">
        <v>926</v>
      </c>
    </row>
    <row r="8982">
      <c r="A8982" s="76" t="s">
        <v>36</v>
      </c>
      <c r="B8982" s="76" t="s">
        <v>1006</v>
      </c>
      <c r="C8982" s="84">
        <v>11.86</v>
      </c>
      <c r="D8982" s="84">
        <v>0.0</v>
      </c>
      <c r="E8982" s="84">
        <v>0.0</v>
      </c>
      <c r="F8982" s="76" t="s">
        <v>990</v>
      </c>
      <c r="G8982" s="83">
        <v>46118.0</v>
      </c>
      <c r="H8982" s="76" t="s">
        <v>927</v>
      </c>
    </row>
    <row r="8983">
      <c r="A8983" s="76" t="s">
        <v>36</v>
      </c>
      <c r="B8983" s="76" t="s">
        <v>1006</v>
      </c>
      <c r="C8983" s="84">
        <v>1.05</v>
      </c>
      <c r="D8983" s="84">
        <v>0.0</v>
      </c>
      <c r="E8983" s="84">
        <v>0.0</v>
      </c>
      <c r="F8983" s="76" t="s">
        <v>990</v>
      </c>
      <c r="G8983" s="83">
        <v>46118.0</v>
      </c>
      <c r="H8983" s="76" t="s">
        <v>928</v>
      </c>
    </row>
    <row r="8984">
      <c r="A8984" s="76" t="s">
        <v>31</v>
      </c>
      <c r="B8984" s="76" t="s">
        <v>1006</v>
      </c>
      <c r="C8984" s="84">
        <v>2.24</v>
      </c>
      <c r="D8984" s="84">
        <v>0.0</v>
      </c>
      <c r="E8984" s="84">
        <v>0.0</v>
      </c>
      <c r="F8984" s="76" t="s">
        <v>990</v>
      </c>
      <c r="G8984" s="83">
        <v>46118.0</v>
      </c>
      <c r="H8984" s="76" t="s">
        <v>929</v>
      </c>
    </row>
    <row r="8985">
      <c r="A8985" s="76" t="s">
        <v>31</v>
      </c>
      <c r="B8985" s="76" t="s">
        <v>1006</v>
      </c>
      <c r="C8985" s="84">
        <v>84.18</v>
      </c>
      <c r="D8985" s="84">
        <v>9.0</v>
      </c>
      <c r="E8985" s="84">
        <v>9.35</v>
      </c>
      <c r="F8985" s="76" t="s">
        <v>990</v>
      </c>
      <c r="G8985" s="83">
        <v>46118.0</v>
      </c>
      <c r="H8985" s="76" t="s">
        <v>930</v>
      </c>
    </row>
    <row r="8986">
      <c r="A8986" s="76" t="s">
        <v>28</v>
      </c>
      <c r="B8986" s="76" t="s">
        <v>1006</v>
      </c>
      <c r="C8986" s="84">
        <v>21.62</v>
      </c>
      <c r="D8986" s="84">
        <v>0.0</v>
      </c>
      <c r="E8986" s="84">
        <v>0.0</v>
      </c>
      <c r="F8986" s="76" t="s">
        <v>990</v>
      </c>
      <c r="G8986" s="83">
        <v>46118.0</v>
      </c>
      <c r="H8986" s="76" t="s">
        <v>931</v>
      </c>
    </row>
    <row r="8987">
      <c r="A8987" s="76" t="s">
        <v>28</v>
      </c>
      <c r="B8987" s="76" t="s">
        <v>1006</v>
      </c>
      <c r="C8987" s="84">
        <v>1.37</v>
      </c>
      <c r="D8987" s="84">
        <v>0.0</v>
      </c>
      <c r="E8987" s="84">
        <v>0.0</v>
      </c>
      <c r="F8987" s="76" t="s">
        <v>990</v>
      </c>
      <c r="G8987" s="83">
        <v>46118.0</v>
      </c>
      <c r="H8987" s="76" t="s">
        <v>932</v>
      </c>
    </row>
    <row r="8988">
      <c r="A8988" s="76" t="s">
        <v>28</v>
      </c>
      <c r="B8988" s="76" t="s">
        <v>1006</v>
      </c>
      <c r="C8988" s="84">
        <v>5.31</v>
      </c>
      <c r="D8988" s="84">
        <v>2.0</v>
      </c>
      <c r="E8988" s="84">
        <v>2.66</v>
      </c>
      <c r="F8988" s="76" t="s">
        <v>990</v>
      </c>
      <c r="G8988" s="83">
        <v>46118.0</v>
      </c>
      <c r="H8988" s="76" t="s">
        <v>933</v>
      </c>
    </row>
    <row r="8989">
      <c r="A8989" s="76" t="s">
        <v>45</v>
      </c>
      <c r="B8989" s="76" t="s">
        <v>1006</v>
      </c>
      <c r="C8989" s="84">
        <v>45.94</v>
      </c>
      <c r="D8989" s="84">
        <v>0.0</v>
      </c>
      <c r="E8989" s="84">
        <v>0.0</v>
      </c>
      <c r="F8989" s="76" t="s">
        <v>990</v>
      </c>
      <c r="G8989" s="83">
        <v>46118.0</v>
      </c>
      <c r="H8989" s="76" t="s">
        <v>936</v>
      </c>
    </row>
    <row r="8990">
      <c r="A8990" s="76" t="s">
        <v>45</v>
      </c>
      <c r="B8990" s="76" t="s">
        <v>1006</v>
      </c>
      <c r="C8990" s="84">
        <v>1.39</v>
      </c>
      <c r="D8990" s="84">
        <v>0.0</v>
      </c>
      <c r="E8990" s="84">
        <v>0.0</v>
      </c>
      <c r="F8990" s="76" t="s">
        <v>990</v>
      </c>
      <c r="G8990" s="83">
        <v>46118.0</v>
      </c>
      <c r="H8990" s="76" t="s">
        <v>937</v>
      </c>
    </row>
    <row r="8991">
      <c r="A8991" s="76" t="s">
        <v>45</v>
      </c>
      <c r="B8991" s="76" t="s">
        <v>1006</v>
      </c>
      <c r="C8991" s="84">
        <v>2.38</v>
      </c>
      <c r="D8991" s="84">
        <v>0.0</v>
      </c>
      <c r="E8991" s="84">
        <v>0.0</v>
      </c>
      <c r="F8991" s="76" t="s">
        <v>990</v>
      </c>
      <c r="G8991" s="83">
        <v>46118.0</v>
      </c>
      <c r="H8991" s="76" t="s">
        <v>938</v>
      </c>
    </row>
    <row r="8992">
      <c r="A8992" s="76" t="s">
        <v>32</v>
      </c>
      <c r="B8992" s="76" t="s">
        <v>1006</v>
      </c>
      <c r="C8992" s="84">
        <v>4.89</v>
      </c>
      <c r="D8992" s="84">
        <v>1.0</v>
      </c>
      <c r="E8992" s="84">
        <v>4.89</v>
      </c>
      <c r="F8992" s="76" t="s">
        <v>990</v>
      </c>
      <c r="G8992" s="83">
        <v>46118.0</v>
      </c>
      <c r="H8992" s="76" t="s">
        <v>941</v>
      </c>
    </row>
    <row r="8993">
      <c r="A8993" s="76" t="s">
        <v>32</v>
      </c>
      <c r="B8993" s="76" t="s">
        <v>1006</v>
      </c>
      <c r="C8993" s="84">
        <v>51.76</v>
      </c>
      <c r="D8993" s="84">
        <v>1.0</v>
      </c>
      <c r="E8993" s="84">
        <v>51.76</v>
      </c>
      <c r="F8993" s="76" t="s">
        <v>990</v>
      </c>
      <c r="G8993" s="83">
        <v>46118.0</v>
      </c>
      <c r="H8993" s="76" t="s">
        <v>942</v>
      </c>
    </row>
    <row r="8994">
      <c r="A8994" s="76" t="s">
        <v>32</v>
      </c>
      <c r="B8994" s="76" t="s">
        <v>1006</v>
      </c>
      <c r="C8994" s="84">
        <v>15.95</v>
      </c>
      <c r="D8994" s="84">
        <v>0.0</v>
      </c>
      <c r="E8994" s="84">
        <v>0.0</v>
      </c>
      <c r="F8994" s="76" t="s">
        <v>990</v>
      </c>
      <c r="G8994" s="83">
        <v>46118.0</v>
      </c>
      <c r="H8994" s="76" t="s">
        <v>943</v>
      </c>
    </row>
    <row r="8995">
      <c r="A8995" s="76" t="s">
        <v>944</v>
      </c>
      <c r="B8995" s="76" t="s">
        <v>1006</v>
      </c>
      <c r="C8995" s="84">
        <v>0.77</v>
      </c>
      <c r="D8995" s="84">
        <v>0.0</v>
      </c>
      <c r="E8995" s="84">
        <v>0.0</v>
      </c>
      <c r="F8995" s="76" t="s">
        <v>990</v>
      </c>
      <c r="G8995" s="83">
        <v>46118.0</v>
      </c>
      <c r="H8995" s="76" t="s">
        <v>945</v>
      </c>
    </row>
    <row r="8996">
      <c r="A8996" s="76" t="s">
        <v>944</v>
      </c>
      <c r="B8996" s="76" t="s">
        <v>1006</v>
      </c>
      <c r="C8996" s="84">
        <v>11.26</v>
      </c>
      <c r="D8996" s="84">
        <v>1.0</v>
      </c>
      <c r="E8996" s="84">
        <v>11.26</v>
      </c>
      <c r="F8996" s="76" t="s">
        <v>990</v>
      </c>
      <c r="G8996" s="83">
        <v>46118.0</v>
      </c>
      <c r="H8996" s="76" t="s">
        <v>946</v>
      </c>
    </row>
    <row r="8997">
      <c r="A8997" s="76" t="s">
        <v>944</v>
      </c>
      <c r="B8997" s="76" t="s">
        <v>1006</v>
      </c>
      <c r="C8997" s="84">
        <v>0.74</v>
      </c>
      <c r="D8997" s="84">
        <v>0.0</v>
      </c>
      <c r="E8997" s="84">
        <v>0.0</v>
      </c>
      <c r="F8997" s="76" t="s">
        <v>990</v>
      </c>
      <c r="G8997" s="83">
        <v>46118.0</v>
      </c>
      <c r="H8997" s="76" t="s">
        <v>947</v>
      </c>
    </row>
    <row r="8998">
      <c r="A8998" s="76" t="s">
        <v>26</v>
      </c>
      <c r="B8998" s="76" t="s">
        <v>1006</v>
      </c>
      <c r="C8998" s="84">
        <v>41.1</v>
      </c>
      <c r="D8998" s="84">
        <v>0.0</v>
      </c>
      <c r="E8998" s="84">
        <v>0.0</v>
      </c>
      <c r="F8998" s="76" t="s">
        <v>990</v>
      </c>
      <c r="G8998" s="83">
        <v>46118.0</v>
      </c>
      <c r="H8998" s="76" t="s">
        <v>1012</v>
      </c>
    </row>
    <row r="8999">
      <c r="A8999" s="76" t="s">
        <v>26</v>
      </c>
      <c r="B8999" s="76" t="s">
        <v>1006</v>
      </c>
      <c r="C8999" s="84">
        <v>3.64</v>
      </c>
      <c r="D8999" s="84">
        <v>0.0</v>
      </c>
      <c r="E8999" s="84">
        <v>0.0</v>
      </c>
      <c r="F8999" s="76" t="s">
        <v>990</v>
      </c>
      <c r="G8999" s="83">
        <v>46118.0</v>
      </c>
      <c r="H8999" s="76" t="s">
        <v>1013</v>
      </c>
    </row>
    <row r="9000">
      <c r="A9000" s="76" t="s">
        <v>26</v>
      </c>
      <c r="B9000" s="76" t="s">
        <v>1006</v>
      </c>
      <c r="C9000" s="84">
        <v>1.8</v>
      </c>
      <c r="D9000" s="84">
        <v>0.0</v>
      </c>
      <c r="E9000" s="84">
        <v>0.0</v>
      </c>
      <c r="F9000" s="76" t="s">
        <v>990</v>
      </c>
      <c r="G9000" s="83">
        <v>46118.0</v>
      </c>
      <c r="H9000" s="76" t="s">
        <v>1014</v>
      </c>
    </row>
    <row r="9001">
      <c r="A9001" s="76" t="s">
        <v>36</v>
      </c>
      <c r="B9001" s="76" t="s">
        <v>1006</v>
      </c>
      <c r="C9001" s="84">
        <v>0.62</v>
      </c>
      <c r="D9001" s="84">
        <v>0.0</v>
      </c>
      <c r="E9001" s="84">
        <v>0.0</v>
      </c>
      <c r="F9001" s="76" t="s">
        <v>993</v>
      </c>
      <c r="G9001" s="83">
        <v>46118.0</v>
      </c>
      <c r="H9001" s="76" t="s">
        <v>926</v>
      </c>
    </row>
    <row r="9002">
      <c r="A9002" s="76" t="s">
        <v>36</v>
      </c>
      <c r="B9002" s="76" t="s">
        <v>1006</v>
      </c>
      <c r="C9002" s="84">
        <v>0.5</v>
      </c>
      <c r="D9002" s="84">
        <v>0.0</v>
      </c>
      <c r="E9002" s="84">
        <v>0.0</v>
      </c>
      <c r="F9002" s="76" t="s">
        <v>993</v>
      </c>
      <c r="G9002" s="83">
        <v>46118.0</v>
      </c>
      <c r="H9002" s="76" t="s">
        <v>927</v>
      </c>
    </row>
    <row r="9003">
      <c r="A9003" s="76" t="s">
        <v>36</v>
      </c>
      <c r="B9003" s="76" t="s">
        <v>1006</v>
      </c>
      <c r="C9003" s="84">
        <v>0.19</v>
      </c>
      <c r="D9003" s="84">
        <v>0.0</v>
      </c>
      <c r="E9003" s="84">
        <v>0.0</v>
      </c>
      <c r="F9003" s="76" t="s">
        <v>993</v>
      </c>
      <c r="G9003" s="83">
        <v>46118.0</v>
      </c>
      <c r="H9003" s="76" t="s">
        <v>928</v>
      </c>
    </row>
    <row r="9004">
      <c r="A9004" s="76" t="s">
        <v>31</v>
      </c>
      <c r="B9004" s="76" t="s">
        <v>1006</v>
      </c>
      <c r="C9004" s="84">
        <v>0.79</v>
      </c>
      <c r="D9004" s="84">
        <v>0.0</v>
      </c>
      <c r="E9004" s="84">
        <v>0.0</v>
      </c>
      <c r="F9004" s="76" t="s">
        <v>993</v>
      </c>
      <c r="G9004" s="83">
        <v>46118.0</v>
      </c>
      <c r="H9004" s="76" t="s">
        <v>929</v>
      </c>
    </row>
    <row r="9005">
      <c r="A9005" s="76" t="s">
        <v>31</v>
      </c>
      <c r="B9005" s="76" t="s">
        <v>1006</v>
      </c>
      <c r="C9005" s="84">
        <v>29.75</v>
      </c>
      <c r="D9005" s="84">
        <v>6.0</v>
      </c>
      <c r="E9005" s="84">
        <v>4.96</v>
      </c>
      <c r="F9005" s="76" t="s">
        <v>993</v>
      </c>
      <c r="G9005" s="83">
        <v>46118.0</v>
      </c>
      <c r="H9005" s="76" t="s">
        <v>930</v>
      </c>
    </row>
    <row r="9006">
      <c r="A9006" s="76" t="s">
        <v>28</v>
      </c>
      <c r="B9006" s="76" t="s">
        <v>1006</v>
      </c>
      <c r="C9006" s="84">
        <v>0.71</v>
      </c>
      <c r="D9006" s="84">
        <v>0.0</v>
      </c>
      <c r="E9006" s="84">
        <v>0.0</v>
      </c>
      <c r="F9006" s="76" t="s">
        <v>993</v>
      </c>
      <c r="G9006" s="83">
        <v>46118.0</v>
      </c>
      <c r="H9006" s="76" t="s">
        <v>931</v>
      </c>
    </row>
    <row r="9007">
      <c r="A9007" s="76" t="s">
        <v>28</v>
      </c>
      <c r="B9007" s="76" t="s">
        <v>1006</v>
      </c>
      <c r="C9007" s="84">
        <v>0.15</v>
      </c>
      <c r="D9007" s="84">
        <v>0.0</v>
      </c>
      <c r="E9007" s="84">
        <v>0.0</v>
      </c>
      <c r="F9007" s="76" t="s">
        <v>993</v>
      </c>
      <c r="G9007" s="83">
        <v>46118.0</v>
      </c>
      <c r="H9007" s="76" t="s">
        <v>932</v>
      </c>
    </row>
    <row r="9008">
      <c r="A9008" s="76" t="s">
        <v>28</v>
      </c>
      <c r="B9008" s="76" t="s">
        <v>1006</v>
      </c>
      <c r="C9008" s="84">
        <v>1.82</v>
      </c>
      <c r="D9008" s="84">
        <v>0.0</v>
      </c>
      <c r="E9008" s="84">
        <v>0.0</v>
      </c>
      <c r="F9008" s="76" t="s">
        <v>993</v>
      </c>
      <c r="G9008" s="83">
        <v>46118.0</v>
      </c>
      <c r="H9008" s="76" t="s">
        <v>933</v>
      </c>
    </row>
    <row r="9009">
      <c r="A9009" s="76" t="s">
        <v>45</v>
      </c>
      <c r="B9009" s="76" t="s">
        <v>1006</v>
      </c>
      <c r="C9009" s="84">
        <v>0.57</v>
      </c>
      <c r="D9009" s="84">
        <v>0.0</v>
      </c>
      <c r="E9009" s="84">
        <v>0.0</v>
      </c>
      <c r="F9009" s="76" t="s">
        <v>993</v>
      </c>
      <c r="G9009" s="83">
        <v>46118.0</v>
      </c>
      <c r="H9009" s="76" t="s">
        <v>936</v>
      </c>
    </row>
    <row r="9010">
      <c r="A9010" s="76" t="s">
        <v>45</v>
      </c>
      <c r="B9010" s="76" t="s">
        <v>1006</v>
      </c>
      <c r="C9010" s="84">
        <v>0.21</v>
      </c>
      <c r="D9010" s="84">
        <v>0.0</v>
      </c>
      <c r="E9010" s="84">
        <v>0.0</v>
      </c>
      <c r="F9010" s="76" t="s">
        <v>993</v>
      </c>
      <c r="G9010" s="83">
        <v>46118.0</v>
      </c>
      <c r="H9010" s="76" t="s">
        <v>937</v>
      </c>
    </row>
    <row r="9011">
      <c r="A9011" s="76" t="s">
        <v>45</v>
      </c>
      <c r="B9011" s="76" t="s">
        <v>1006</v>
      </c>
      <c r="C9011" s="84">
        <v>0.21</v>
      </c>
      <c r="D9011" s="84">
        <v>0.0</v>
      </c>
      <c r="E9011" s="84">
        <v>0.0</v>
      </c>
      <c r="F9011" s="76" t="s">
        <v>993</v>
      </c>
      <c r="G9011" s="83">
        <v>46118.0</v>
      </c>
      <c r="H9011" s="76" t="s">
        <v>938</v>
      </c>
    </row>
    <row r="9012">
      <c r="A9012" s="76" t="s">
        <v>32</v>
      </c>
      <c r="B9012" s="76" t="s">
        <v>1006</v>
      </c>
      <c r="C9012" s="84">
        <v>1.21</v>
      </c>
      <c r="D9012" s="84">
        <v>1.0</v>
      </c>
      <c r="E9012" s="84">
        <v>1.21</v>
      </c>
      <c r="F9012" s="76" t="s">
        <v>993</v>
      </c>
      <c r="G9012" s="83">
        <v>46118.0</v>
      </c>
      <c r="H9012" s="76" t="s">
        <v>941</v>
      </c>
    </row>
    <row r="9013">
      <c r="A9013" s="76" t="s">
        <v>32</v>
      </c>
      <c r="B9013" s="76" t="s">
        <v>1006</v>
      </c>
      <c r="C9013" s="84">
        <v>2.86</v>
      </c>
      <c r="D9013" s="84">
        <v>0.0</v>
      </c>
      <c r="E9013" s="84">
        <v>0.0</v>
      </c>
      <c r="F9013" s="76" t="s">
        <v>993</v>
      </c>
      <c r="G9013" s="83">
        <v>46118.0</v>
      </c>
      <c r="H9013" s="76" t="s">
        <v>942</v>
      </c>
    </row>
    <row r="9014">
      <c r="A9014" s="76" t="s">
        <v>32</v>
      </c>
      <c r="B9014" s="76" t="s">
        <v>1006</v>
      </c>
      <c r="C9014" s="84">
        <v>1.73</v>
      </c>
      <c r="D9014" s="84">
        <v>0.0</v>
      </c>
      <c r="E9014" s="84">
        <v>0.0</v>
      </c>
      <c r="F9014" s="76" t="s">
        <v>993</v>
      </c>
      <c r="G9014" s="83">
        <v>46118.0</v>
      </c>
      <c r="H9014" s="76" t="s">
        <v>943</v>
      </c>
    </row>
    <row r="9015">
      <c r="A9015" s="76" t="s">
        <v>944</v>
      </c>
      <c r="B9015" s="76" t="s">
        <v>1006</v>
      </c>
      <c r="C9015" s="84">
        <v>0.36</v>
      </c>
      <c r="D9015" s="84">
        <v>0.0</v>
      </c>
      <c r="E9015" s="84">
        <v>0.0</v>
      </c>
      <c r="F9015" s="76" t="s">
        <v>993</v>
      </c>
      <c r="G9015" s="83">
        <v>46118.0</v>
      </c>
      <c r="H9015" s="76" t="s">
        <v>945</v>
      </c>
    </row>
    <row r="9016">
      <c r="A9016" s="76" t="s">
        <v>944</v>
      </c>
      <c r="B9016" s="76" t="s">
        <v>1006</v>
      </c>
      <c r="C9016" s="84">
        <v>0.84</v>
      </c>
      <c r="D9016" s="84">
        <v>0.0</v>
      </c>
      <c r="E9016" s="84">
        <v>0.0</v>
      </c>
      <c r="F9016" s="76" t="s">
        <v>993</v>
      </c>
      <c r="G9016" s="83">
        <v>46118.0</v>
      </c>
      <c r="H9016" s="76" t="s">
        <v>946</v>
      </c>
    </row>
    <row r="9017">
      <c r="A9017" s="76" t="s">
        <v>944</v>
      </c>
      <c r="B9017" s="76" t="s">
        <v>1006</v>
      </c>
      <c r="C9017" s="84">
        <v>0.41</v>
      </c>
      <c r="D9017" s="84">
        <v>0.0</v>
      </c>
      <c r="E9017" s="84">
        <v>0.0</v>
      </c>
      <c r="F9017" s="76" t="s">
        <v>993</v>
      </c>
      <c r="G9017" s="83">
        <v>46118.0</v>
      </c>
      <c r="H9017" s="76" t="s">
        <v>947</v>
      </c>
    </row>
    <row r="9018">
      <c r="A9018" s="76" t="s">
        <v>26</v>
      </c>
      <c r="B9018" s="76" t="s">
        <v>1006</v>
      </c>
      <c r="C9018" s="84">
        <v>1.14</v>
      </c>
      <c r="D9018" s="84">
        <v>0.0</v>
      </c>
      <c r="E9018" s="84">
        <v>0.0</v>
      </c>
      <c r="F9018" s="76" t="s">
        <v>993</v>
      </c>
      <c r="G9018" s="83">
        <v>46118.0</v>
      </c>
      <c r="H9018" s="76" t="s">
        <v>1012</v>
      </c>
    </row>
    <row r="9019">
      <c r="A9019" s="76" t="s">
        <v>26</v>
      </c>
      <c r="B9019" s="76" t="s">
        <v>1006</v>
      </c>
      <c r="C9019" s="84">
        <v>0.96</v>
      </c>
      <c r="D9019" s="84">
        <v>0.0</v>
      </c>
      <c r="E9019" s="84">
        <v>0.0</v>
      </c>
      <c r="F9019" s="76" t="s">
        <v>993</v>
      </c>
      <c r="G9019" s="83">
        <v>46118.0</v>
      </c>
      <c r="H9019" s="76" t="s">
        <v>1013</v>
      </c>
    </row>
    <row r="9020">
      <c r="A9020" s="76" t="s">
        <v>26</v>
      </c>
      <c r="B9020" s="76" t="s">
        <v>1006</v>
      </c>
      <c r="C9020" s="84">
        <v>1.06</v>
      </c>
      <c r="D9020" s="84">
        <v>2.0</v>
      </c>
      <c r="E9020" s="84">
        <v>0.53</v>
      </c>
      <c r="F9020" s="76" t="s">
        <v>993</v>
      </c>
      <c r="G9020" s="83">
        <v>46118.0</v>
      </c>
      <c r="H9020" s="76" t="s">
        <v>1014</v>
      </c>
    </row>
    <row r="9021">
      <c r="A9021" s="76" t="s">
        <v>36</v>
      </c>
      <c r="B9021" s="76" t="s">
        <v>1006</v>
      </c>
      <c r="C9021" s="84">
        <v>35.5</v>
      </c>
      <c r="D9021" s="84">
        <v>9.0</v>
      </c>
      <c r="E9021" s="84">
        <v>3.94</v>
      </c>
      <c r="F9021" s="76" t="s">
        <v>1005</v>
      </c>
      <c r="G9021" s="83">
        <v>46118.0</v>
      </c>
      <c r="H9021" s="76" t="s">
        <v>926</v>
      </c>
    </row>
    <row r="9022">
      <c r="A9022" s="76" t="s">
        <v>36</v>
      </c>
      <c r="B9022" s="76" t="s">
        <v>1006</v>
      </c>
      <c r="C9022" s="84">
        <v>20.85</v>
      </c>
      <c r="D9022" s="84">
        <v>1.0</v>
      </c>
      <c r="E9022" s="84">
        <v>20.85</v>
      </c>
      <c r="F9022" s="76" t="s">
        <v>1005</v>
      </c>
      <c r="G9022" s="83">
        <v>46118.0</v>
      </c>
      <c r="H9022" s="76" t="s">
        <v>927</v>
      </c>
    </row>
    <row r="9023">
      <c r="A9023" s="76" t="s">
        <v>36</v>
      </c>
      <c r="B9023" s="76" t="s">
        <v>1006</v>
      </c>
      <c r="C9023" s="84">
        <v>8.2</v>
      </c>
      <c r="D9023" s="84">
        <v>0.0</v>
      </c>
      <c r="E9023" s="84">
        <v>0.0</v>
      </c>
      <c r="F9023" s="76" t="s">
        <v>1005</v>
      </c>
      <c r="G9023" s="83">
        <v>46118.0</v>
      </c>
      <c r="H9023" s="76" t="s">
        <v>928</v>
      </c>
    </row>
    <row r="9024">
      <c r="A9024" s="76" t="s">
        <v>31</v>
      </c>
      <c r="B9024" s="76" t="s">
        <v>1006</v>
      </c>
      <c r="C9024" s="84">
        <v>6.85</v>
      </c>
      <c r="D9024" s="84">
        <v>2.0</v>
      </c>
      <c r="E9024" s="84">
        <v>3.42</v>
      </c>
      <c r="F9024" s="76" t="s">
        <v>1005</v>
      </c>
      <c r="G9024" s="83">
        <v>46118.0</v>
      </c>
      <c r="H9024" s="76" t="s">
        <v>929</v>
      </c>
    </row>
    <row r="9025">
      <c r="A9025" s="76" t="s">
        <v>31</v>
      </c>
      <c r="B9025" s="76" t="s">
        <v>1006</v>
      </c>
      <c r="C9025" s="84">
        <v>336.79</v>
      </c>
      <c r="D9025" s="84">
        <v>98.0</v>
      </c>
      <c r="E9025" s="84">
        <v>3.44</v>
      </c>
      <c r="F9025" s="76" t="s">
        <v>1005</v>
      </c>
      <c r="G9025" s="83">
        <v>46118.0</v>
      </c>
      <c r="H9025" s="76" t="s">
        <v>930</v>
      </c>
    </row>
    <row r="9026">
      <c r="A9026" s="76" t="s">
        <v>28</v>
      </c>
      <c r="B9026" s="76" t="s">
        <v>1006</v>
      </c>
      <c r="C9026" s="84">
        <v>8.94</v>
      </c>
      <c r="D9026" s="84">
        <v>1.0</v>
      </c>
      <c r="E9026" s="84">
        <v>8.94</v>
      </c>
      <c r="F9026" s="76" t="s">
        <v>1005</v>
      </c>
      <c r="G9026" s="83">
        <v>46118.0</v>
      </c>
      <c r="H9026" s="76" t="s">
        <v>931</v>
      </c>
    </row>
    <row r="9027">
      <c r="A9027" s="76" t="s">
        <v>28</v>
      </c>
      <c r="B9027" s="76" t="s">
        <v>1006</v>
      </c>
      <c r="C9027" s="84">
        <v>5.13</v>
      </c>
      <c r="D9027" s="84">
        <v>1.0</v>
      </c>
      <c r="E9027" s="84">
        <v>5.13</v>
      </c>
      <c r="F9027" s="76" t="s">
        <v>1005</v>
      </c>
      <c r="G9027" s="83">
        <v>46118.0</v>
      </c>
      <c r="H9027" s="76" t="s">
        <v>932</v>
      </c>
    </row>
    <row r="9028">
      <c r="A9028" s="76" t="s">
        <v>28</v>
      </c>
      <c r="B9028" s="76" t="s">
        <v>1006</v>
      </c>
      <c r="C9028" s="84">
        <v>155.62</v>
      </c>
      <c r="D9028" s="84">
        <v>39.0</v>
      </c>
      <c r="E9028" s="84">
        <v>3.99</v>
      </c>
      <c r="F9028" s="76" t="s">
        <v>1005</v>
      </c>
      <c r="G9028" s="83">
        <v>46118.0</v>
      </c>
      <c r="H9028" s="76" t="s">
        <v>933</v>
      </c>
    </row>
    <row r="9029">
      <c r="A9029" s="76" t="s">
        <v>45</v>
      </c>
      <c r="B9029" s="76" t="s">
        <v>1006</v>
      </c>
      <c r="C9029" s="84">
        <v>52.32</v>
      </c>
      <c r="D9029" s="84">
        <v>1.0</v>
      </c>
      <c r="E9029" s="84">
        <v>52.32</v>
      </c>
      <c r="F9029" s="76" t="s">
        <v>1005</v>
      </c>
      <c r="G9029" s="83">
        <v>46118.0</v>
      </c>
      <c r="H9029" s="76" t="s">
        <v>936</v>
      </c>
    </row>
    <row r="9030">
      <c r="A9030" s="76" t="s">
        <v>45</v>
      </c>
      <c r="B9030" s="76" t="s">
        <v>1006</v>
      </c>
      <c r="C9030" s="84">
        <v>9.48</v>
      </c>
      <c r="D9030" s="84">
        <v>0.0</v>
      </c>
      <c r="E9030" s="84">
        <v>0.0</v>
      </c>
      <c r="F9030" s="76" t="s">
        <v>1005</v>
      </c>
      <c r="G9030" s="83">
        <v>46118.0</v>
      </c>
      <c r="H9030" s="76" t="s">
        <v>937</v>
      </c>
    </row>
    <row r="9031">
      <c r="A9031" s="76" t="s">
        <v>45</v>
      </c>
      <c r="B9031" s="76" t="s">
        <v>1006</v>
      </c>
      <c r="C9031" s="84">
        <v>51.75</v>
      </c>
      <c r="D9031" s="84">
        <v>1.0</v>
      </c>
      <c r="E9031" s="84">
        <v>51.75</v>
      </c>
      <c r="F9031" s="76" t="s">
        <v>1005</v>
      </c>
      <c r="G9031" s="83">
        <v>46118.0</v>
      </c>
      <c r="H9031" s="76" t="s">
        <v>938</v>
      </c>
    </row>
    <row r="9032">
      <c r="A9032" s="76" t="s">
        <v>32</v>
      </c>
      <c r="B9032" s="76" t="s">
        <v>1006</v>
      </c>
      <c r="C9032" s="84">
        <v>130.45</v>
      </c>
      <c r="D9032" s="84">
        <v>20.0</v>
      </c>
      <c r="E9032" s="84">
        <v>6.52</v>
      </c>
      <c r="F9032" s="76" t="s">
        <v>1005</v>
      </c>
      <c r="G9032" s="83">
        <v>46118.0</v>
      </c>
      <c r="H9032" s="76" t="s">
        <v>941</v>
      </c>
    </row>
    <row r="9033">
      <c r="A9033" s="76" t="s">
        <v>32</v>
      </c>
      <c r="B9033" s="76" t="s">
        <v>1006</v>
      </c>
      <c r="C9033" s="84">
        <v>505.46</v>
      </c>
      <c r="D9033" s="84">
        <v>44.0</v>
      </c>
      <c r="E9033" s="84">
        <v>11.49</v>
      </c>
      <c r="F9033" s="76" t="s">
        <v>1005</v>
      </c>
      <c r="G9033" s="83">
        <v>46118.0</v>
      </c>
      <c r="H9033" s="76" t="s">
        <v>942</v>
      </c>
    </row>
    <row r="9034">
      <c r="A9034" s="76" t="s">
        <v>32</v>
      </c>
      <c r="B9034" s="76" t="s">
        <v>1006</v>
      </c>
      <c r="C9034" s="84">
        <v>362.0</v>
      </c>
      <c r="D9034" s="84">
        <v>56.0</v>
      </c>
      <c r="E9034" s="84">
        <v>6.46</v>
      </c>
      <c r="F9034" s="76" t="s">
        <v>1005</v>
      </c>
      <c r="G9034" s="83">
        <v>46118.0</v>
      </c>
      <c r="H9034" s="76" t="s">
        <v>943</v>
      </c>
    </row>
    <row r="9035">
      <c r="A9035" s="76" t="s">
        <v>944</v>
      </c>
      <c r="B9035" s="76" t="s">
        <v>1006</v>
      </c>
      <c r="C9035" s="84">
        <v>12.84</v>
      </c>
      <c r="D9035" s="84">
        <v>2.0</v>
      </c>
      <c r="E9035" s="84">
        <v>6.42</v>
      </c>
      <c r="F9035" s="76" t="s">
        <v>1005</v>
      </c>
      <c r="G9035" s="83">
        <v>46118.0</v>
      </c>
      <c r="H9035" s="76" t="s">
        <v>945</v>
      </c>
    </row>
    <row r="9036">
      <c r="A9036" s="76" t="s">
        <v>944</v>
      </c>
      <c r="B9036" s="76" t="s">
        <v>1006</v>
      </c>
      <c r="C9036" s="84">
        <v>24.55</v>
      </c>
      <c r="D9036" s="84">
        <v>3.0</v>
      </c>
      <c r="E9036" s="84">
        <v>8.18</v>
      </c>
      <c r="F9036" s="76" t="s">
        <v>1005</v>
      </c>
      <c r="G9036" s="83">
        <v>46118.0</v>
      </c>
      <c r="H9036" s="76" t="s">
        <v>946</v>
      </c>
    </row>
    <row r="9037">
      <c r="A9037" s="76" t="s">
        <v>944</v>
      </c>
      <c r="B9037" s="76" t="s">
        <v>1006</v>
      </c>
      <c r="C9037" s="84">
        <v>10.92</v>
      </c>
      <c r="D9037" s="84">
        <v>2.0</v>
      </c>
      <c r="E9037" s="84">
        <v>5.46</v>
      </c>
      <c r="F9037" s="76" t="s">
        <v>1005</v>
      </c>
      <c r="G9037" s="83">
        <v>46118.0</v>
      </c>
      <c r="H9037" s="76" t="s">
        <v>947</v>
      </c>
    </row>
    <row r="9038">
      <c r="A9038" s="76" t="s">
        <v>26</v>
      </c>
      <c r="B9038" s="76" t="s">
        <v>1006</v>
      </c>
      <c r="C9038" s="84">
        <v>36.62</v>
      </c>
      <c r="D9038" s="84">
        <v>3.0</v>
      </c>
      <c r="E9038" s="84">
        <v>12.21</v>
      </c>
      <c r="F9038" s="76" t="s">
        <v>1005</v>
      </c>
      <c r="G9038" s="83">
        <v>46118.0</v>
      </c>
      <c r="H9038" s="76" t="s">
        <v>1012</v>
      </c>
    </row>
    <row r="9039">
      <c r="A9039" s="76" t="s">
        <v>26</v>
      </c>
      <c r="B9039" s="76" t="s">
        <v>1006</v>
      </c>
      <c r="C9039" s="84">
        <v>12.27</v>
      </c>
      <c r="D9039" s="84">
        <v>2.0</v>
      </c>
      <c r="E9039" s="84">
        <v>6.14</v>
      </c>
      <c r="F9039" s="76" t="s">
        <v>1005</v>
      </c>
      <c r="G9039" s="83">
        <v>46118.0</v>
      </c>
      <c r="H9039" s="76" t="s">
        <v>1013</v>
      </c>
    </row>
    <row r="9040">
      <c r="A9040" s="76" t="s">
        <v>26</v>
      </c>
      <c r="B9040" s="76" t="s">
        <v>1006</v>
      </c>
      <c r="C9040" s="84">
        <v>42.79</v>
      </c>
      <c r="D9040" s="84">
        <v>11.0</v>
      </c>
      <c r="E9040" s="84">
        <v>3.89</v>
      </c>
      <c r="F9040" s="76" t="s">
        <v>1005</v>
      </c>
      <c r="G9040" s="83">
        <v>46118.0</v>
      </c>
      <c r="H9040" s="76" t="s">
        <v>1014</v>
      </c>
    </row>
    <row r="9041">
      <c r="A9041" s="76" t="s">
        <v>36</v>
      </c>
      <c r="B9041" s="76" t="s">
        <v>1006</v>
      </c>
      <c r="C9041" s="84">
        <v>0.48</v>
      </c>
      <c r="D9041" s="84">
        <v>0.0</v>
      </c>
      <c r="E9041" s="84">
        <v>0.0</v>
      </c>
      <c r="F9041" s="76" t="s">
        <v>996</v>
      </c>
      <c r="G9041" s="83">
        <v>46118.0</v>
      </c>
      <c r="H9041" s="76" t="s">
        <v>926</v>
      </c>
    </row>
    <row r="9042">
      <c r="A9042" s="76" t="s">
        <v>36</v>
      </c>
      <c r="B9042" s="76" t="s">
        <v>1006</v>
      </c>
      <c r="C9042" s="84">
        <v>0.64</v>
      </c>
      <c r="D9042" s="84">
        <v>0.0</v>
      </c>
      <c r="E9042" s="84">
        <v>0.0</v>
      </c>
      <c r="F9042" s="76" t="s">
        <v>996</v>
      </c>
      <c r="G9042" s="83">
        <v>46118.0</v>
      </c>
      <c r="H9042" s="76" t="s">
        <v>927</v>
      </c>
    </row>
    <row r="9043">
      <c r="A9043" s="76" t="s">
        <v>36</v>
      </c>
      <c r="B9043" s="76" t="s">
        <v>1006</v>
      </c>
      <c r="C9043" s="84">
        <v>0.25</v>
      </c>
      <c r="D9043" s="84">
        <v>0.0</v>
      </c>
      <c r="E9043" s="84">
        <v>0.0</v>
      </c>
      <c r="F9043" s="76" t="s">
        <v>996</v>
      </c>
      <c r="G9043" s="83">
        <v>46118.0</v>
      </c>
      <c r="H9043" s="76" t="s">
        <v>928</v>
      </c>
    </row>
    <row r="9044">
      <c r="A9044" s="76" t="s">
        <v>31</v>
      </c>
      <c r="B9044" s="76" t="s">
        <v>1006</v>
      </c>
      <c r="C9044" s="84">
        <v>0.25</v>
      </c>
      <c r="D9044" s="84">
        <v>0.0</v>
      </c>
      <c r="E9044" s="84">
        <v>0.0</v>
      </c>
      <c r="F9044" s="76" t="s">
        <v>996</v>
      </c>
      <c r="G9044" s="83">
        <v>46118.0</v>
      </c>
      <c r="H9044" s="76" t="s">
        <v>929</v>
      </c>
    </row>
    <row r="9045">
      <c r="A9045" s="76" t="s">
        <v>31</v>
      </c>
      <c r="B9045" s="76" t="s">
        <v>1006</v>
      </c>
      <c r="C9045" s="84">
        <v>5.05</v>
      </c>
      <c r="D9045" s="84">
        <v>2.0</v>
      </c>
      <c r="E9045" s="84">
        <v>2.53</v>
      </c>
      <c r="F9045" s="76" t="s">
        <v>996</v>
      </c>
      <c r="G9045" s="83">
        <v>46118.0</v>
      </c>
      <c r="H9045" s="76" t="s">
        <v>930</v>
      </c>
    </row>
    <row r="9046">
      <c r="A9046" s="76" t="s">
        <v>28</v>
      </c>
      <c r="B9046" s="76" t="s">
        <v>1006</v>
      </c>
      <c r="C9046" s="84">
        <v>0.33</v>
      </c>
      <c r="D9046" s="84">
        <v>0.0</v>
      </c>
      <c r="E9046" s="84">
        <v>0.0</v>
      </c>
      <c r="F9046" s="76" t="s">
        <v>996</v>
      </c>
      <c r="G9046" s="83">
        <v>46118.0</v>
      </c>
      <c r="H9046" s="76" t="s">
        <v>931</v>
      </c>
    </row>
    <row r="9047">
      <c r="A9047" s="76" t="s">
        <v>28</v>
      </c>
      <c r="B9047" s="76" t="s">
        <v>1006</v>
      </c>
      <c r="C9047" s="84">
        <v>0.18</v>
      </c>
      <c r="D9047" s="84">
        <v>0.0</v>
      </c>
      <c r="E9047" s="84">
        <v>0.0</v>
      </c>
      <c r="F9047" s="76" t="s">
        <v>996</v>
      </c>
      <c r="G9047" s="83">
        <v>46118.0</v>
      </c>
      <c r="H9047" s="76" t="s">
        <v>932</v>
      </c>
    </row>
    <row r="9048">
      <c r="A9048" s="76" t="s">
        <v>28</v>
      </c>
      <c r="B9048" s="76" t="s">
        <v>1006</v>
      </c>
      <c r="C9048" s="84">
        <v>0.93</v>
      </c>
      <c r="D9048" s="84">
        <v>0.0</v>
      </c>
      <c r="E9048" s="84">
        <v>0.0</v>
      </c>
      <c r="F9048" s="76" t="s">
        <v>996</v>
      </c>
      <c r="G9048" s="83">
        <v>46118.0</v>
      </c>
      <c r="H9048" s="76" t="s">
        <v>933</v>
      </c>
    </row>
    <row r="9049">
      <c r="A9049" s="76" t="s">
        <v>45</v>
      </c>
      <c r="B9049" s="76" t="s">
        <v>1006</v>
      </c>
      <c r="C9049" s="84">
        <v>0.37</v>
      </c>
      <c r="D9049" s="84">
        <v>0.0</v>
      </c>
      <c r="E9049" s="84">
        <v>0.0</v>
      </c>
      <c r="F9049" s="76" t="s">
        <v>996</v>
      </c>
      <c r="G9049" s="83">
        <v>46118.0</v>
      </c>
      <c r="H9049" s="76" t="s">
        <v>936</v>
      </c>
    </row>
    <row r="9050">
      <c r="A9050" s="76" t="s">
        <v>45</v>
      </c>
      <c r="B9050" s="76" t="s">
        <v>1006</v>
      </c>
      <c r="C9050" s="84">
        <v>0.28</v>
      </c>
      <c r="D9050" s="84">
        <v>0.0</v>
      </c>
      <c r="E9050" s="84">
        <v>0.0</v>
      </c>
      <c r="F9050" s="76" t="s">
        <v>996</v>
      </c>
      <c r="G9050" s="83">
        <v>46118.0</v>
      </c>
      <c r="H9050" s="76" t="s">
        <v>937</v>
      </c>
    </row>
    <row r="9051">
      <c r="A9051" s="76" t="s">
        <v>45</v>
      </c>
      <c r="B9051" s="76" t="s">
        <v>1006</v>
      </c>
      <c r="C9051" s="84">
        <v>0.23</v>
      </c>
      <c r="D9051" s="84">
        <v>0.0</v>
      </c>
      <c r="E9051" s="84">
        <v>0.0</v>
      </c>
      <c r="F9051" s="76" t="s">
        <v>996</v>
      </c>
      <c r="G9051" s="83">
        <v>46118.0</v>
      </c>
      <c r="H9051" s="76" t="s">
        <v>938</v>
      </c>
    </row>
    <row r="9052">
      <c r="A9052" s="76" t="s">
        <v>32</v>
      </c>
      <c r="B9052" s="76" t="s">
        <v>1006</v>
      </c>
      <c r="C9052" s="84">
        <v>1.26</v>
      </c>
      <c r="D9052" s="84">
        <v>1.0</v>
      </c>
      <c r="E9052" s="84">
        <v>1.26</v>
      </c>
      <c r="F9052" s="76" t="s">
        <v>996</v>
      </c>
      <c r="G9052" s="83">
        <v>46118.0</v>
      </c>
      <c r="H9052" s="76" t="s">
        <v>941</v>
      </c>
    </row>
    <row r="9053">
      <c r="A9053" s="76" t="s">
        <v>32</v>
      </c>
      <c r="B9053" s="76" t="s">
        <v>1006</v>
      </c>
      <c r="C9053" s="84">
        <v>0.66</v>
      </c>
      <c r="D9053" s="84">
        <v>0.0</v>
      </c>
      <c r="E9053" s="84">
        <v>0.0</v>
      </c>
      <c r="F9053" s="76" t="s">
        <v>996</v>
      </c>
      <c r="G9053" s="83">
        <v>46118.0</v>
      </c>
      <c r="H9053" s="76" t="s">
        <v>942</v>
      </c>
    </row>
    <row r="9054">
      <c r="A9054" s="76" t="s">
        <v>32</v>
      </c>
      <c r="B9054" s="76" t="s">
        <v>1006</v>
      </c>
      <c r="C9054" s="84">
        <v>0.83</v>
      </c>
      <c r="D9054" s="84">
        <v>1.0</v>
      </c>
      <c r="E9054" s="84">
        <v>0.83</v>
      </c>
      <c r="F9054" s="76" t="s">
        <v>996</v>
      </c>
      <c r="G9054" s="83">
        <v>46118.0</v>
      </c>
      <c r="H9054" s="76" t="s">
        <v>943</v>
      </c>
    </row>
    <row r="9055">
      <c r="A9055" s="76" t="s">
        <v>944</v>
      </c>
      <c r="B9055" s="76" t="s">
        <v>1006</v>
      </c>
      <c r="C9055" s="84">
        <v>0.27</v>
      </c>
      <c r="D9055" s="84">
        <v>0.0</v>
      </c>
      <c r="E9055" s="84">
        <v>0.0</v>
      </c>
      <c r="F9055" s="76" t="s">
        <v>996</v>
      </c>
      <c r="G9055" s="83">
        <v>46118.0</v>
      </c>
      <c r="H9055" s="76" t="s">
        <v>945</v>
      </c>
    </row>
    <row r="9056">
      <c r="A9056" s="76" t="s">
        <v>944</v>
      </c>
      <c r="B9056" s="76" t="s">
        <v>1006</v>
      </c>
      <c r="C9056" s="84">
        <v>0.52</v>
      </c>
      <c r="D9056" s="84">
        <v>0.0</v>
      </c>
      <c r="E9056" s="84">
        <v>0.0</v>
      </c>
      <c r="F9056" s="76" t="s">
        <v>996</v>
      </c>
      <c r="G9056" s="83">
        <v>46118.0</v>
      </c>
      <c r="H9056" s="76" t="s">
        <v>946</v>
      </c>
    </row>
    <row r="9057">
      <c r="A9057" s="76" t="s">
        <v>944</v>
      </c>
      <c r="B9057" s="76" t="s">
        <v>1006</v>
      </c>
      <c r="C9057" s="84">
        <v>0.63</v>
      </c>
      <c r="D9057" s="84">
        <v>0.0</v>
      </c>
      <c r="E9057" s="84">
        <v>0.0</v>
      </c>
      <c r="F9057" s="76" t="s">
        <v>996</v>
      </c>
      <c r="G9057" s="83">
        <v>46118.0</v>
      </c>
      <c r="H9057" s="76" t="s">
        <v>947</v>
      </c>
    </row>
    <row r="9058">
      <c r="A9058" s="76" t="s">
        <v>26</v>
      </c>
      <c r="B9058" s="76" t="s">
        <v>1006</v>
      </c>
      <c r="C9058" s="84">
        <v>0.93</v>
      </c>
      <c r="D9058" s="84">
        <v>0.0</v>
      </c>
      <c r="E9058" s="84">
        <v>0.0</v>
      </c>
      <c r="F9058" s="76" t="s">
        <v>996</v>
      </c>
      <c r="G9058" s="83">
        <v>46118.0</v>
      </c>
      <c r="H9058" s="76" t="s">
        <v>1012</v>
      </c>
    </row>
    <row r="9059">
      <c r="A9059" s="76" t="s">
        <v>26</v>
      </c>
      <c r="B9059" s="76" t="s">
        <v>1006</v>
      </c>
      <c r="C9059" s="84">
        <v>0.27</v>
      </c>
      <c r="D9059" s="84">
        <v>0.0</v>
      </c>
      <c r="E9059" s="84">
        <v>0.0</v>
      </c>
      <c r="F9059" s="76" t="s">
        <v>996</v>
      </c>
      <c r="G9059" s="83">
        <v>46118.0</v>
      </c>
      <c r="H9059" s="76" t="s">
        <v>1013</v>
      </c>
    </row>
    <row r="9060">
      <c r="A9060" s="76" t="s">
        <v>26</v>
      </c>
      <c r="B9060" s="76" t="s">
        <v>1006</v>
      </c>
      <c r="C9060" s="84">
        <v>0.87</v>
      </c>
      <c r="D9060" s="84">
        <v>0.0</v>
      </c>
      <c r="E9060" s="84">
        <v>0.0</v>
      </c>
      <c r="F9060" s="76" t="s">
        <v>996</v>
      </c>
      <c r="G9060" s="83">
        <v>46118.0</v>
      </c>
      <c r="H9060" s="76" t="s">
        <v>1014</v>
      </c>
    </row>
    <row r="9061">
      <c r="A9061" s="76" t="s">
        <v>36</v>
      </c>
      <c r="B9061" s="76" t="s">
        <v>1006</v>
      </c>
      <c r="C9061" s="84">
        <v>0.93</v>
      </c>
      <c r="D9061" s="84">
        <v>0.0</v>
      </c>
      <c r="E9061" s="84">
        <v>0.0</v>
      </c>
      <c r="F9061" s="76" t="s">
        <v>997</v>
      </c>
      <c r="G9061" s="83">
        <v>46118.0</v>
      </c>
      <c r="H9061" s="76" t="s">
        <v>926</v>
      </c>
    </row>
    <row r="9062">
      <c r="A9062" s="76" t="s">
        <v>36</v>
      </c>
      <c r="B9062" s="76" t="s">
        <v>1006</v>
      </c>
      <c r="C9062" s="84">
        <v>0.54</v>
      </c>
      <c r="D9062" s="84">
        <v>0.0</v>
      </c>
      <c r="E9062" s="84">
        <v>0.0</v>
      </c>
      <c r="F9062" s="76" t="s">
        <v>997</v>
      </c>
      <c r="G9062" s="83">
        <v>46118.0</v>
      </c>
      <c r="H9062" s="76" t="s">
        <v>927</v>
      </c>
    </row>
    <row r="9063">
      <c r="A9063" s="76" t="s">
        <v>36</v>
      </c>
      <c r="B9063" s="76" t="s">
        <v>1006</v>
      </c>
      <c r="C9063" s="84">
        <v>1.1</v>
      </c>
      <c r="D9063" s="84">
        <v>0.0</v>
      </c>
      <c r="E9063" s="84">
        <v>0.0</v>
      </c>
      <c r="F9063" s="76" t="s">
        <v>997</v>
      </c>
      <c r="G9063" s="83">
        <v>46118.0</v>
      </c>
      <c r="H9063" s="76" t="s">
        <v>928</v>
      </c>
    </row>
    <row r="9064">
      <c r="A9064" s="76" t="s">
        <v>31</v>
      </c>
      <c r="B9064" s="76" t="s">
        <v>1006</v>
      </c>
      <c r="C9064" s="84">
        <v>0.81</v>
      </c>
      <c r="D9064" s="84">
        <v>1.0</v>
      </c>
      <c r="E9064" s="84">
        <v>0.81</v>
      </c>
      <c r="F9064" s="76" t="s">
        <v>997</v>
      </c>
      <c r="G9064" s="83">
        <v>46118.0</v>
      </c>
      <c r="H9064" s="76" t="s">
        <v>929</v>
      </c>
    </row>
    <row r="9065">
      <c r="A9065" s="76" t="s">
        <v>31</v>
      </c>
      <c r="B9065" s="76" t="s">
        <v>1006</v>
      </c>
      <c r="C9065" s="84">
        <v>16.7</v>
      </c>
      <c r="D9065" s="84">
        <v>2.0</v>
      </c>
      <c r="E9065" s="84">
        <v>8.35</v>
      </c>
      <c r="F9065" s="76" t="s">
        <v>997</v>
      </c>
      <c r="G9065" s="83">
        <v>46118.0</v>
      </c>
      <c r="H9065" s="76" t="s">
        <v>930</v>
      </c>
    </row>
    <row r="9066">
      <c r="A9066" s="76" t="s">
        <v>28</v>
      </c>
      <c r="B9066" s="76" t="s">
        <v>1006</v>
      </c>
      <c r="C9066" s="84">
        <v>0.49</v>
      </c>
      <c r="D9066" s="84">
        <v>0.0</v>
      </c>
      <c r="E9066" s="84">
        <v>0.0</v>
      </c>
      <c r="F9066" s="76" t="s">
        <v>997</v>
      </c>
      <c r="G9066" s="83">
        <v>46118.0</v>
      </c>
      <c r="H9066" s="76" t="s">
        <v>931</v>
      </c>
    </row>
    <row r="9067">
      <c r="A9067" s="76" t="s">
        <v>28</v>
      </c>
      <c r="B9067" s="76" t="s">
        <v>1006</v>
      </c>
      <c r="C9067" s="84">
        <v>0.44</v>
      </c>
      <c r="D9067" s="84">
        <v>0.0</v>
      </c>
      <c r="E9067" s="84">
        <v>0.0</v>
      </c>
      <c r="F9067" s="76" t="s">
        <v>997</v>
      </c>
      <c r="G9067" s="83">
        <v>46118.0</v>
      </c>
      <c r="H9067" s="76" t="s">
        <v>932</v>
      </c>
    </row>
    <row r="9068">
      <c r="A9068" s="76" t="s">
        <v>28</v>
      </c>
      <c r="B9068" s="76" t="s">
        <v>1006</v>
      </c>
      <c r="C9068" s="84">
        <v>2.2</v>
      </c>
      <c r="D9068" s="84">
        <v>0.0</v>
      </c>
      <c r="E9068" s="84">
        <v>0.0</v>
      </c>
      <c r="F9068" s="76" t="s">
        <v>997</v>
      </c>
      <c r="G9068" s="83">
        <v>46118.0</v>
      </c>
      <c r="H9068" s="76" t="s">
        <v>933</v>
      </c>
    </row>
    <row r="9069">
      <c r="A9069" s="76" t="s">
        <v>45</v>
      </c>
      <c r="B9069" s="76" t="s">
        <v>1006</v>
      </c>
      <c r="C9069" s="84">
        <v>0.52</v>
      </c>
      <c r="D9069" s="84">
        <v>0.0</v>
      </c>
      <c r="E9069" s="84">
        <v>0.0</v>
      </c>
      <c r="F9069" s="76" t="s">
        <v>997</v>
      </c>
      <c r="G9069" s="83">
        <v>46118.0</v>
      </c>
      <c r="H9069" s="76" t="s">
        <v>936</v>
      </c>
    </row>
    <row r="9070">
      <c r="A9070" s="76" t="s">
        <v>45</v>
      </c>
      <c r="B9070" s="76" t="s">
        <v>1006</v>
      </c>
      <c r="C9070" s="84">
        <v>1.32</v>
      </c>
      <c r="D9070" s="84">
        <v>0.0</v>
      </c>
      <c r="E9070" s="84">
        <v>0.0</v>
      </c>
      <c r="F9070" s="76" t="s">
        <v>997</v>
      </c>
      <c r="G9070" s="83">
        <v>46118.0</v>
      </c>
      <c r="H9070" s="76" t="s">
        <v>937</v>
      </c>
    </row>
    <row r="9071">
      <c r="A9071" s="76" t="s">
        <v>45</v>
      </c>
      <c r="B9071" s="76" t="s">
        <v>1006</v>
      </c>
      <c r="C9071" s="84">
        <v>0.32</v>
      </c>
      <c r="D9071" s="84">
        <v>0.0</v>
      </c>
      <c r="E9071" s="84">
        <v>0.0</v>
      </c>
      <c r="F9071" s="76" t="s">
        <v>997</v>
      </c>
      <c r="G9071" s="83">
        <v>46118.0</v>
      </c>
      <c r="H9071" s="76" t="s">
        <v>938</v>
      </c>
    </row>
    <row r="9072">
      <c r="A9072" s="76" t="s">
        <v>32</v>
      </c>
      <c r="B9072" s="76" t="s">
        <v>1006</v>
      </c>
      <c r="C9072" s="84">
        <v>4.87</v>
      </c>
      <c r="D9072" s="84">
        <v>1.0</v>
      </c>
      <c r="E9072" s="84">
        <v>4.87</v>
      </c>
      <c r="F9072" s="76" t="s">
        <v>997</v>
      </c>
      <c r="G9072" s="83">
        <v>46118.0</v>
      </c>
      <c r="H9072" s="76" t="s">
        <v>941</v>
      </c>
    </row>
    <row r="9073">
      <c r="A9073" s="76" t="s">
        <v>32</v>
      </c>
      <c r="B9073" s="76" t="s">
        <v>1006</v>
      </c>
      <c r="C9073" s="84">
        <v>1.2</v>
      </c>
      <c r="D9073" s="84">
        <v>0.0</v>
      </c>
      <c r="E9073" s="84">
        <v>0.0</v>
      </c>
      <c r="F9073" s="76" t="s">
        <v>997</v>
      </c>
      <c r="G9073" s="83">
        <v>46118.0</v>
      </c>
      <c r="H9073" s="76" t="s">
        <v>942</v>
      </c>
    </row>
    <row r="9074">
      <c r="A9074" s="76" t="s">
        <v>32</v>
      </c>
      <c r="B9074" s="76" t="s">
        <v>1006</v>
      </c>
      <c r="C9074" s="84">
        <v>2.04</v>
      </c>
      <c r="D9074" s="84">
        <v>1.0</v>
      </c>
      <c r="E9074" s="84">
        <v>2.04</v>
      </c>
      <c r="F9074" s="76" t="s">
        <v>997</v>
      </c>
      <c r="G9074" s="83">
        <v>46118.0</v>
      </c>
      <c r="H9074" s="76" t="s">
        <v>943</v>
      </c>
    </row>
    <row r="9075">
      <c r="A9075" s="76" t="s">
        <v>944</v>
      </c>
      <c r="B9075" s="76" t="s">
        <v>1006</v>
      </c>
      <c r="C9075" s="84">
        <v>0.63</v>
      </c>
      <c r="D9075" s="84">
        <v>1.0</v>
      </c>
      <c r="E9075" s="84">
        <v>0.63</v>
      </c>
      <c r="F9075" s="76" t="s">
        <v>997</v>
      </c>
      <c r="G9075" s="83">
        <v>46118.0</v>
      </c>
      <c r="H9075" s="76" t="s">
        <v>945</v>
      </c>
    </row>
    <row r="9076">
      <c r="A9076" s="76" t="s">
        <v>944</v>
      </c>
      <c r="B9076" s="76" t="s">
        <v>1006</v>
      </c>
      <c r="C9076" s="84">
        <v>0.91</v>
      </c>
      <c r="D9076" s="84">
        <v>0.0</v>
      </c>
      <c r="E9076" s="84">
        <v>0.0</v>
      </c>
      <c r="F9076" s="76" t="s">
        <v>997</v>
      </c>
      <c r="G9076" s="83">
        <v>46118.0</v>
      </c>
      <c r="H9076" s="76" t="s">
        <v>946</v>
      </c>
    </row>
    <row r="9077">
      <c r="A9077" s="76" t="s">
        <v>944</v>
      </c>
      <c r="B9077" s="76" t="s">
        <v>1006</v>
      </c>
      <c r="C9077" s="84">
        <v>1.72</v>
      </c>
      <c r="D9077" s="84">
        <v>2.0</v>
      </c>
      <c r="E9077" s="84">
        <v>0.86</v>
      </c>
      <c r="F9077" s="76" t="s">
        <v>997</v>
      </c>
      <c r="G9077" s="83">
        <v>46118.0</v>
      </c>
      <c r="H9077" s="76" t="s">
        <v>947</v>
      </c>
    </row>
    <row r="9078">
      <c r="A9078" s="76" t="s">
        <v>26</v>
      </c>
      <c r="B9078" s="76" t="s">
        <v>1006</v>
      </c>
      <c r="C9078" s="84">
        <v>0.69</v>
      </c>
      <c r="D9078" s="84">
        <v>0.0</v>
      </c>
      <c r="E9078" s="84">
        <v>0.0</v>
      </c>
      <c r="F9078" s="76" t="s">
        <v>997</v>
      </c>
      <c r="G9078" s="83">
        <v>46118.0</v>
      </c>
      <c r="H9078" s="76" t="s">
        <v>1012</v>
      </c>
    </row>
    <row r="9079">
      <c r="A9079" s="76" t="s">
        <v>26</v>
      </c>
      <c r="B9079" s="76" t="s">
        <v>1006</v>
      </c>
      <c r="C9079" s="84">
        <v>0.53</v>
      </c>
      <c r="D9079" s="84">
        <v>0.0</v>
      </c>
      <c r="E9079" s="84">
        <v>0.0</v>
      </c>
      <c r="F9079" s="76" t="s">
        <v>997</v>
      </c>
      <c r="G9079" s="83">
        <v>46118.0</v>
      </c>
      <c r="H9079" s="76" t="s">
        <v>1013</v>
      </c>
    </row>
    <row r="9080">
      <c r="A9080" s="76" t="s">
        <v>26</v>
      </c>
      <c r="B9080" s="76" t="s">
        <v>1006</v>
      </c>
      <c r="C9080" s="84">
        <v>3.8</v>
      </c>
      <c r="D9080" s="84">
        <v>0.0</v>
      </c>
      <c r="E9080" s="84">
        <v>0.0</v>
      </c>
      <c r="F9080" s="76" t="s">
        <v>997</v>
      </c>
      <c r="G9080" s="83">
        <v>46118.0</v>
      </c>
      <c r="H9080" s="76" t="s">
        <v>1014</v>
      </c>
    </row>
    <row r="9081">
      <c r="A9081" s="76" t="s">
        <v>36</v>
      </c>
      <c r="B9081" s="76" t="s">
        <v>1006</v>
      </c>
      <c r="C9081" s="84">
        <v>2.07</v>
      </c>
      <c r="D9081" s="84">
        <v>0.0</v>
      </c>
      <c r="E9081" s="84">
        <v>0.0</v>
      </c>
      <c r="F9081" s="76" t="s">
        <v>998</v>
      </c>
      <c r="G9081" s="83">
        <v>46118.0</v>
      </c>
      <c r="H9081" s="76" t="s">
        <v>926</v>
      </c>
    </row>
    <row r="9082">
      <c r="A9082" s="76" t="s">
        <v>36</v>
      </c>
      <c r="B9082" s="76" t="s">
        <v>1006</v>
      </c>
      <c r="C9082" s="84">
        <v>0.78</v>
      </c>
      <c r="D9082" s="84">
        <v>0.0</v>
      </c>
      <c r="E9082" s="84">
        <v>0.0</v>
      </c>
      <c r="F9082" s="76" t="s">
        <v>998</v>
      </c>
      <c r="G9082" s="83">
        <v>46118.0</v>
      </c>
      <c r="H9082" s="76" t="s">
        <v>927</v>
      </c>
    </row>
    <row r="9083">
      <c r="A9083" s="76" t="s">
        <v>36</v>
      </c>
      <c r="B9083" s="76" t="s">
        <v>1006</v>
      </c>
      <c r="C9083" s="84">
        <v>1.01</v>
      </c>
      <c r="D9083" s="84">
        <v>0.0</v>
      </c>
      <c r="E9083" s="84">
        <v>0.0</v>
      </c>
      <c r="F9083" s="76" t="s">
        <v>998</v>
      </c>
      <c r="G9083" s="83">
        <v>46118.0</v>
      </c>
      <c r="H9083" s="76" t="s">
        <v>928</v>
      </c>
    </row>
    <row r="9084">
      <c r="A9084" s="76" t="s">
        <v>31</v>
      </c>
      <c r="B9084" s="76" t="s">
        <v>1006</v>
      </c>
      <c r="C9084" s="84">
        <v>1.03</v>
      </c>
      <c r="D9084" s="84">
        <v>0.0</v>
      </c>
      <c r="E9084" s="84">
        <v>0.0</v>
      </c>
      <c r="F9084" s="76" t="s">
        <v>998</v>
      </c>
      <c r="G9084" s="83">
        <v>46118.0</v>
      </c>
      <c r="H9084" s="76" t="s">
        <v>929</v>
      </c>
    </row>
    <row r="9085">
      <c r="A9085" s="76" t="s">
        <v>31</v>
      </c>
      <c r="B9085" s="76" t="s">
        <v>1006</v>
      </c>
      <c r="C9085" s="84">
        <v>57.81</v>
      </c>
      <c r="D9085" s="84">
        <v>15.0</v>
      </c>
      <c r="E9085" s="84">
        <v>3.85</v>
      </c>
      <c r="F9085" s="76" t="s">
        <v>998</v>
      </c>
      <c r="G9085" s="83">
        <v>46118.0</v>
      </c>
      <c r="H9085" s="76" t="s">
        <v>930</v>
      </c>
    </row>
    <row r="9086">
      <c r="A9086" s="76" t="s">
        <v>28</v>
      </c>
      <c r="B9086" s="76" t="s">
        <v>1006</v>
      </c>
      <c r="C9086" s="84">
        <v>1.35</v>
      </c>
      <c r="D9086" s="84">
        <v>0.0</v>
      </c>
      <c r="E9086" s="84">
        <v>0.0</v>
      </c>
      <c r="F9086" s="76" t="s">
        <v>998</v>
      </c>
      <c r="G9086" s="83">
        <v>46118.0</v>
      </c>
      <c r="H9086" s="76" t="s">
        <v>931</v>
      </c>
    </row>
    <row r="9087">
      <c r="A9087" s="76" t="s">
        <v>28</v>
      </c>
      <c r="B9087" s="76" t="s">
        <v>1006</v>
      </c>
      <c r="C9087" s="84">
        <v>0.56</v>
      </c>
      <c r="D9087" s="84">
        <v>0.0</v>
      </c>
      <c r="E9087" s="84">
        <v>0.0</v>
      </c>
      <c r="F9087" s="76" t="s">
        <v>998</v>
      </c>
      <c r="G9087" s="83">
        <v>46118.0</v>
      </c>
      <c r="H9087" s="76" t="s">
        <v>932</v>
      </c>
    </row>
    <row r="9088">
      <c r="A9088" s="76" t="s">
        <v>28</v>
      </c>
      <c r="B9088" s="76" t="s">
        <v>1006</v>
      </c>
      <c r="C9088" s="84">
        <v>6.86</v>
      </c>
      <c r="D9088" s="84">
        <v>2.0</v>
      </c>
      <c r="E9088" s="84">
        <v>3.43</v>
      </c>
      <c r="F9088" s="76" t="s">
        <v>998</v>
      </c>
      <c r="G9088" s="83">
        <v>46118.0</v>
      </c>
      <c r="H9088" s="76" t="s">
        <v>933</v>
      </c>
    </row>
    <row r="9089">
      <c r="A9089" s="76" t="s">
        <v>45</v>
      </c>
      <c r="B9089" s="76" t="s">
        <v>1006</v>
      </c>
      <c r="C9089" s="84">
        <v>1.04</v>
      </c>
      <c r="D9089" s="84">
        <v>0.0</v>
      </c>
      <c r="E9089" s="84">
        <v>0.0</v>
      </c>
      <c r="F9089" s="76" t="s">
        <v>998</v>
      </c>
      <c r="G9089" s="83">
        <v>46118.0</v>
      </c>
      <c r="H9089" s="76" t="s">
        <v>936</v>
      </c>
    </row>
    <row r="9090">
      <c r="A9090" s="76" t="s">
        <v>45</v>
      </c>
      <c r="B9090" s="76" t="s">
        <v>1006</v>
      </c>
      <c r="C9090" s="84">
        <v>1.26</v>
      </c>
      <c r="D9090" s="84">
        <v>0.0</v>
      </c>
      <c r="E9090" s="84">
        <v>0.0</v>
      </c>
      <c r="F9090" s="76" t="s">
        <v>998</v>
      </c>
      <c r="G9090" s="83">
        <v>46118.0</v>
      </c>
      <c r="H9090" s="76" t="s">
        <v>937</v>
      </c>
    </row>
    <row r="9091">
      <c r="A9091" s="76" t="s">
        <v>45</v>
      </c>
      <c r="B9091" s="76" t="s">
        <v>1006</v>
      </c>
      <c r="C9091" s="84">
        <v>0.6</v>
      </c>
      <c r="D9091" s="84">
        <v>0.0</v>
      </c>
      <c r="E9091" s="84">
        <v>0.0</v>
      </c>
      <c r="F9091" s="76" t="s">
        <v>998</v>
      </c>
      <c r="G9091" s="83">
        <v>46118.0</v>
      </c>
      <c r="H9091" s="76" t="s">
        <v>938</v>
      </c>
    </row>
    <row r="9092">
      <c r="A9092" s="76" t="s">
        <v>32</v>
      </c>
      <c r="B9092" s="76" t="s">
        <v>1006</v>
      </c>
      <c r="C9092" s="84">
        <v>59.06</v>
      </c>
      <c r="D9092" s="84">
        <v>20.0</v>
      </c>
      <c r="E9092" s="84">
        <v>2.95</v>
      </c>
      <c r="F9092" s="76" t="s">
        <v>998</v>
      </c>
      <c r="G9092" s="83">
        <v>46118.0</v>
      </c>
      <c r="H9092" s="76" t="s">
        <v>941</v>
      </c>
    </row>
    <row r="9093">
      <c r="A9093" s="76" t="s">
        <v>32</v>
      </c>
      <c r="B9093" s="76" t="s">
        <v>1006</v>
      </c>
      <c r="C9093" s="84">
        <v>2.24</v>
      </c>
      <c r="D9093" s="84">
        <v>0.0</v>
      </c>
      <c r="E9093" s="84">
        <v>0.0</v>
      </c>
      <c r="F9093" s="76" t="s">
        <v>998</v>
      </c>
      <c r="G9093" s="83">
        <v>46118.0</v>
      </c>
      <c r="H9093" s="76" t="s">
        <v>942</v>
      </c>
    </row>
    <row r="9094">
      <c r="A9094" s="76" t="s">
        <v>32</v>
      </c>
      <c r="B9094" s="76" t="s">
        <v>1006</v>
      </c>
      <c r="C9094" s="84">
        <v>2.67</v>
      </c>
      <c r="D9094" s="84">
        <v>1.0</v>
      </c>
      <c r="E9094" s="84">
        <v>2.67</v>
      </c>
      <c r="F9094" s="76" t="s">
        <v>998</v>
      </c>
      <c r="G9094" s="83">
        <v>46118.0</v>
      </c>
      <c r="H9094" s="76" t="s">
        <v>943</v>
      </c>
    </row>
    <row r="9095">
      <c r="A9095" s="76" t="s">
        <v>944</v>
      </c>
      <c r="B9095" s="76" t="s">
        <v>1006</v>
      </c>
      <c r="C9095" s="84">
        <v>1.99</v>
      </c>
      <c r="D9095" s="84">
        <v>0.0</v>
      </c>
      <c r="E9095" s="84">
        <v>0.0</v>
      </c>
      <c r="F9095" s="76" t="s">
        <v>998</v>
      </c>
      <c r="G9095" s="83">
        <v>46118.0</v>
      </c>
      <c r="H9095" s="76" t="s">
        <v>945</v>
      </c>
    </row>
    <row r="9096">
      <c r="A9096" s="76" t="s">
        <v>944</v>
      </c>
      <c r="B9096" s="76" t="s">
        <v>1006</v>
      </c>
      <c r="C9096" s="84">
        <v>1.45</v>
      </c>
      <c r="D9096" s="84">
        <v>0.0</v>
      </c>
      <c r="E9096" s="84">
        <v>0.0</v>
      </c>
      <c r="F9096" s="76" t="s">
        <v>998</v>
      </c>
      <c r="G9096" s="83">
        <v>46118.0</v>
      </c>
      <c r="H9096" s="76" t="s">
        <v>946</v>
      </c>
    </row>
    <row r="9097">
      <c r="A9097" s="76" t="s">
        <v>944</v>
      </c>
      <c r="B9097" s="76" t="s">
        <v>1006</v>
      </c>
      <c r="C9097" s="84">
        <v>3.6</v>
      </c>
      <c r="D9097" s="84">
        <v>0.0</v>
      </c>
      <c r="E9097" s="84">
        <v>0.0</v>
      </c>
      <c r="F9097" s="76" t="s">
        <v>998</v>
      </c>
      <c r="G9097" s="83">
        <v>46118.0</v>
      </c>
      <c r="H9097" s="76" t="s">
        <v>947</v>
      </c>
    </row>
    <row r="9098">
      <c r="A9098" s="76" t="s">
        <v>26</v>
      </c>
      <c r="B9098" s="76" t="s">
        <v>1006</v>
      </c>
      <c r="C9098" s="84">
        <v>1.16</v>
      </c>
      <c r="D9098" s="84">
        <v>1.0</v>
      </c>
      <c r="E9098" s="84">
        <v>1.16</v>
      </c>
      <c r="F9098" s="76" t="s">
        <v>998</v>
      </c>
      <c r="G9098" s="83">
        <v>46118.0</v>
      </c>
      <c r="H9098" s="76" t="s">
        <v>1012</v>
      </c>
    </row>
    <row r="9099">
      <c r="A9099" s="76" t="s">
        <v>26</v>
      </c>
      <c r="B9099" s="76" t="s">
        <v>1006</v>
      </c>
      <c r="C9099" s="84">
        <v>0.83</v>
      </c>
      <c r="D9099" s="84">
        <v>0.0</v>
      </c>
      <c r="E9099" s="84">
        <v>0.0</v>
      </c>
      <c r="F9099" s="76" t="s">
        <v>998</v>
      </c>
      <c r="G9099" s="83">
        <v>46118.0</v>
      </c>
      <c r="H9099" s="76" t="s">
        <v>1013</v>
      </c>
    </row>
    <row r="9100">
      <c r="A9100" s="76" t="s">
        <v>26</v>
      </c>
      <c r="B9100" s="76" t="s">
        <v>1006</v>
      </c>
      <c r="C9100" s="84">
        <v>5.31</v>
      </c>
      <c r="D9100" s="84">
        <v>1.0</v>
      </c>
      <c r="E9100" s="84">
        <v>5.31</v>
      </c>
      <c r="F9100" s="76" t="s">
        <v>998</v>
      </c>
      <c r="G9100" s="83">
        <v>46118.0</v>
      </c>
      <c r="H9100" s="76" t="s">
        <v>1014</v>
      </c>
    </row>
    <row r="9101">
      <c r="A9101" s="76" t="s">
        <v>40</v>
      </c>
      <c r="B9101" s="76" t="s">
        <v>1039</v>
      </c>
      <c r="C9101" s="84">
        <v>7.69</v>
      </c>
      <c r="D9101" s="84">
        <v>3.0</v>
      </c>
      <c r="E9101" s="84">
        <v>2.56</v>
      </c>
      <c r="F9101" s="76" t="s">
        <v>1005</v>
      </c>
      <c r="G9101" s="83">
        <v>46118.0</v>
      </c>
      <c r="H9101" s="76" t="s">
        <v>954</v>
      </c>
    </row>
    <row r="9102">
      <c r="A9102" s="76" t="s">
        <v>40</v>
      </c>
      <c r="B9102" s="76" t="s">
        <v>1039</v>
      </c>
      <c r="C9102" s="84">
        <v>3.04</v>
      </c>
      <c r="D9102" s="84">
        <v>0.0</v>
      </c>
      <c r="E9102" s="84">
        <v>0.0</v>
      </c>
      <c r="F9102" s="76" t="s">
        <v>1005</v>
      </c>
      <c r="G9102" s="83">
        <v>46118.0</v>
      </c>
      <c r="H9102" s="76" t="s">
        <v>955</v>
      </c>
    </row>
    <row r="9103">
      <c r="A9103" s="76" t="s">
        <v>40</v>
      </c>
      <c r="B9103" s="76" t="s">
        <v>1039</v>
      </c>
      <c r="C9103" s="84">
        <v>45.61</v>
      </c>
      <c r="D9103" s="84">
        <v>10.0</v>
      </c>
      <c r="E9103" s="84">
        <v>4.56</v>
      </c>
      <c r="F9103" s="76" t="s">
        <v>1005</v>
      </c>
      <c r="G9103" s="83">
        <v>46118.0</v>
      </c>
      <c r="H9103" s="76" t="s">
        <v>956</v>
      </c>
    </row>
    <row r="9104">
      <c r="A9104" s="76" t="s">
        <v>36</v>
      </c>
      <c r="B9104" s="76" t="s">
        <v>1039</v>
      </c>
      <c r="C9104" s="84">
        <v>13.0</v>
      </c>
      <c r="D9104" s="84">
        <v>0.0</v>
      </c>
      <c r="E9104" s="84">
        <v>0.0</v>
      </c>
      <c r="F9104" s="76" t="s">
        <v>1005</v>
      </c>
      <c r="G9104" s="83">
        <v>46118.0</v>
      </c>
      <c r="H9104" s="76" t="s">
        <v>926</v>
      </c>
    </row>
    <row r="9105">
      <c r="A9105" s="76" t="s">
        <v>36</v>
      </c>
      <c r="B9105" s="76" t="s">
        <v>1039</v>
      </c>
      <c r="C9105" s="84">
        <v>4.35</v>
      </c>
      <c r="D9105" s="84">
        <v>0.0</v>
      </c>
      <c r="E9105" s="84">
        <v>0.0</v>
      </c>
      <c r="F9105" s="76" t="s">
        <v>1005</v>
      </c>
      <c r="G9105" s="83">
        <v>46118.0</v>
      </c>
      <c r="H9105" s="76" t="s">
        <v>927</v>
      </c>
    </row>
    <row r="9106">
      <c r="A9106" s="76" t="s">
        <v>36</v>
      </c>
      <c r="B9106" s="76" t="s">
        <v>1039</v>
      </c>
      <c r="C9106" s="84">
        <v>10.28</v>
      </c>
      <c r="D9106" s="84">
        <v>3.0</v>
      </c>
      <c r="E9106" s="84">
        <v>3.43</v>
      </c>
      <c r="F9106" s="76" t="s">
        <v>1005</v>
      </c>
      <c r="G9106" s="83">
        <v>46118.0</v>
      </c>
      <c r="H9106" s="76" t="s">
        <v>928</v>
      </c>
    </row>
    <row r="9107">
      <c r="A9107" s="76" t="s">
        <v>46</v>
      </c>
      <c r="B9107" s="76" t="s">
        <v>1039</v>
      </c>
      <c r="C9107" s="84">
        <v>1.63</v>
      </c>
      <c r="D9107" s="84">
        <v>1.0</v>
      </c>
      <c r="E9107" s="84">
        <v>1.63</v>
      </c>
      <c r="F9107" s="76" t="s">
        <v>1005</v>
      </c>
      <c r="G9107" s="83">
        <v>46118.0</v>
      </c>
      <c r="H9107" s="76" t="s">
        <v>960</v>
      </c>
    </row>
    <row r="9108">
      <c r="A9108" s="76" t="s">
        <v>46</v>
      </c>
      <c r="B9108" s="76" t="s">
        <v>1039</v>
      </c>
      <c r="C9108" s="84">
        <v>4.32</v>
      </c>
      <c r="D9108" s="84">
        <v>1.0</v>
      </c>
      <c r="E9108" s="84">
        <v>4.32</v>
      </c>
      <c r="F9108" s="76" t="s">
        <v>1005</v>
      </c>
      <c r="G9108" s="83">
        <v>46118.0</v>
      </c>
      <c r="H9108" s="76" t="s">
        <v>961</v>
      </c>
    </row>
    <row r="9109">
      <c r="A9109" s="76" t="s">
        <v>46</v>
      </c>
      <c r="B9109" s="76" t="s">
        <v>1039</v>
      </c>
      <c r="C9109" s="84">
        <v>6.09</v>
      </c>
      <c r="D9109" s="84">
        <v>0.0</v>
      </c>
      <c r="E9109" s="84">
        <v>0.0</v>
      </c>
      <c r="F9109" s="76" t="s">
        <v>1005</v>
      </c>
      <c r="G9109" s="83">
        <v>46118.0</v>
      </c>
      <c r="H9109" s="76" t="s">
        <v>962</v>
      </c>
    </row>
    <row r="9110">
      <c r="A9110" s="76" t="s">
        <v>970</v>
      </c>
      <c r="B9110" s="76" t="s">
        <v>1039</v>
      </c>
      <c r="C9110" s="84">
        <v>26.17</v>
      </c>
      <c r="D9110" s="84">
        <v>4.0</v>
      </c>
      <c r="E9110" s="84">
        <v>6.54</v>
      </c>
      <c r="F9110" s="76" t="s">
        <v>1005</v>
      </c>
      <c r="G9110" s="83">
        <v>46118.0</v>
      </c>
      <c r="H9110" s="76" t="s">
        <v>971</v>
      </c>
    </row>
    <row r="9111">
      <c r="A9111" s="76" t="s">
        <v>970</v>
      </c>
      <c r="B9111" s="76" t="s">
        <v>1039</v>
      </c>
      <c r="C9111" s="84">
        <v>7.77</v>
      </c>
      <c r="D9111" s="84">
        <v>0.0</v>
      </c>
      <c r="E9111" s="84">
        <v>0.0</v>
      </c>
      <c r="F9111" s="76" t="s">
        <v>1005</v>
      </c>
      <c r="G9111" s="83">
        <v>46118.0</v>
      </c>
      <c r="H9111" s="76" t="s">
        <v>972</v>
      </c>
    </row>
    <row r="9112">
      <c r="A9112" s="76" t="s">
        <v>970</v>
      </c>
      <c r="B9112" s="76" t="s">
        <v>1039</v>
      </c>
      <c r="C9112" s="84">
        <v>25.43</v>
      </c>
      <c r="D9112" s="84">
        <v>4.0</v>
      </c>
      <c r="E9112" s="84">
        <v>6.36</v>
      </c>
      <c r="F9112" s="76" t="s">
        <v>1005</v>
      </c>
      <c r="G9112" s="83">
        <v>46118.0</v>
      </c>
      <c r="H9112" s="76" t="s">
        <v>973</v>
      </c>
    </row>
    <row r="9113">
      <c r="A9113" s="76" t="s">
        <v>29</v>
      </c>
      <c r="B9113" s="76" t="s">
        <v>1039</v>
      </c>
      <c r="C9113" s="84">
        <v>20.0</v>
      </c>
      <c r="D9113" s="84">
        <v>4.0</v>
      </c>
      <c r="E9113" s="84">
        <v>5.0</v>
      </c>
      <c r="F9113" s="76" t="s">
        <v>1005</v>
      </c>
      <c r="G9113" s="83">
        <v>46118.0</v>
      </c>
      <c r="H9113" s="76" t="s">
        <v>1015</v>
      </c>
    </row>
    <row r="9114">
      <c r="A9114" s="76" t="s">
        <v>29</v>
      </c>
      <c r="B9114" s="76" t="s">
        <v>1039</v>
      </c>
      <c r="C9114" s="84">
        <v>16.71</v>
      </c>
      <c r="D9114" s="84">
        <v>3.0</v>
      </c>
      <c r="E9114" s="84">
        <v>5.57</v>
      </c>
      <c r="F9114" s="76" t="s">
        <v>1005</v>
      </c>
      <c r="G9114" s="83">
        <v>46118.0</v>
      </c>
      <c r="H9114" s="76" t="s">
        <v>1016</v>
      </c>
    </row>
    <row r="9115">
      <c r="A9115" s="76" t="s">
        <v>29</v>
      </c>
      <c r="B9115" s="76" t="s">
        <v>1039</v>
      </c>
      <c r="C9115" s="84">
        <v>6.4</v>
      </c>
      <c r="D9115" s="84">
        <v>1.0</v>
      </c>
      <c r="E9115" s="84">
        <v>6.4</v>
      </c>
      <c r="F9115" s="76" t="s">
        <v>1005</v>
      </c>
      <c r="G9115" s="83">
        <v>46118.0</v>
      </c>
      <c r="H9115" s="76" t="s">
        <v>1017</v>
      </c>
    </row>
    <row r="9116">
      <c r="A9116" s="76" t="s">
        <v>34</v>
      </c>
      <c r="B9116" s="76" t="s">
        <v>1039</v>
      </c>
      <c r="C9116" s="84">
        <v>7.09</v>
      </c>
      <c r="D9116" s="84">
        <v>2.0</v>
      </c>
      <c r="E9116" s="84">
        <v>3.55</v>
      </c>
      <c r="F9116" s="76" t="s">
        <v>1005</v>
      </c>
      <c r="G9116" s="83">
        <v>46118.0</v>
      </c>
      <c r="H9116" s="76" t="s">
        <v>951</v>
      </c>
    </row>
    <row r="9117">
      <c r="A9117" s="76" t="s">
        <v>34</v>
      </c>
      <c r="B9117" s="76" t="s">
        <v>1039</v>
      </c>
      <c r="C9117" s="84">
        <v>7.0</v>
      </c>
      <c r="D9117" s="84">
        <v>1.0</v>
      </c>
      <c r="E9117" s="84">
        <v>7.0</v>
      </c>
      <c r="F9117" s="76" t="s">
        <v>1005</v>
      </c>
      <c r="G9117" s="83">
        <v>46118.0</v>
      </c>
      <c r="H9117" s="76" t="s">
        <v>952</v>
      </c>
    </row>
    <row r="9118">
      <c r="A9118" s="76" t="s">
        <v>34</v>
      </c>
      <c r="B9118" s="76" t="s">
        <v>1039</v>
      </c>
      <c r="C9118" s="84">
        <v>2.84</v>
      </c>
      <c r="D9118" s="84">
        <v>0.0</v>
      </c>
      <c r="E9118" s="84">
        <v>0.0</v>
      </c>
      <c r="F9118" s="76" t="s">
        <v>1005</v>
      </c>
      <c r="G9118" s="83">
        <v>46118.0</v>
      </c>
      <c r="H9118" s="76" t="s">
        <v>953</v>
      </c>
    </row>
    <row r="9119">
      <c r="A9119" s="76" t="s">
        <v>33</v>
      </c>
      <c r="B9119" s="76" t="s">
        <v>1039</v>
      </c>
      <c r="C9119" s="84">
        <v>109.95</v>
      </c>
      <c r="D9119" s="84">
        <v>31.0</v>
      </c>
      <c r="E9119" s="84">
        <v>3.55</v>
      </c>
      <c r="F9119" s="76" t="s">
        <v>1005</v>
      </c>
      <c r="G9119" s="83">
        <v>46118.0</v>
      </c>
      <c r="H9119" s="76" t="s">
        <v>957</v>
      </c>
    </row>
    <row r="9120">
      <c r="A9120" s="76" t="s">
        <v>33</v>
      </c>
      <c r="B9120" s="76" t="s">
        <v>1039</v>
      </c>
      <c r="C9120" s="84">
        <v>24.55</v>
      </c>
      <c r="D9120" s="84">
        <v>5.0</v>
      </c>
      <c r="E9120" s="84">
        <v>4.91</v>
      </c>
      <c r="F9120" s="76" t="s">
        <v>1005</v>
      </c>
      <c r="G9120" s="83">
        <v>46118.0</v>
      </c>
      <c r="H9120" s="76" t="s">
        <v>958</v>
      </c>
    </row>
    <row r="9121">
      <c r="A9121" s="76" t="s">
        <v>33</v>
      </c>
      <c r="B9121" s="76" t="s">
        <v>1039</v>
      </c>
      <c r="C9121" s="84">
        <v>22.69</v>
      </c>
      <c r="D9121" s="84">
        <v>5.0</v>
      </c>
      <c r="E9121" s="84">
        <v>4.54</v>
      </c>
      <c r="F9121" s="76" t="s">
        <v>1005</v>
      </c>
      <c r="G9121" s="83">
        <v>46118.0</v>
      </c>
      <c r="H9121" s="76" t="s">
        <v>959</v>
      </c>
    </row>
    <row r="9122">
      <c r="A9122" s="76" t="s">
        <v>43</v>
      </c>
      <c r="B9122" s="76" t="s">
        <v>1039</v>
      </c>
      <c r="C9122" s="84">
        <v>8.03</v>
      </c>
      <c r="D9122" s="84">
        <v>0.0</v>
      </c>
      <c r="E9122" s="84">
        <v>0.0</v>
      </c>
      <c r="F9122" s="76" t="s">
        <v>1005</v>
      </c>
      <c r="G9122" s="83">
        <v>46118.0</v>
      </c>
      <c r="H9122" s="76" t="s">
        <v>963</v>
      </c>
    </row>
    <row r="9123">
      <c r="A9123" s="76" t="s">
        <v>43</v>
      </c>
      <c r="B9123" s="76" t="s">
        <v>1039</v>
      </c>
      <c r="C9123" s="84">
        <v>10.78</v>
      </c>
      <c r="D9123" s="84">
        <v>1.0</v>
      </c>
      <c r="E9123" s="84">
        <v>10.78</v>
      </c>
      <c r="F9123" s="76" t="s">
        <v>1005</v>
      </c>
      <c r="G9123" s="83">
        <v>46118.0</v>
      </c>
      <c r="H9123" s="76" t="s">
        <v>964</v>
      </c>
    </row>
    <row r="9124">
      <c r="A9124" s="76" t="s">
        <v>43</v>
      </c>
      <c r="B9124" s="76" t="s">
        <v>1039</v>
      </c>
      <c r="C9124" s="84">
        <v>19.5</v>
      </c>
      <c r="D9124" s="84">
        <v>4.0</v>
      </c>
      <c r="E9124" s="84">
        <v>4.87</v>
      </c>
      <c r="F9124" s="76" t="s">
        <v>1005</v>
      </c>
      <c r="G9124" s="83">
        <v>46118.0</v>
      </c>
      <c r="H9124" s="76" t="s">
        <v>965</v>
      </c>
    </row>
    <row r="9125">
      <c r="A9125" s="76" t="s">
        <v>966</v>
      </c>
      <c r="B9125" s="76" t="s">
        <v>1039</v>
      </c>
      <c r="C9125" s="84">
        <v>10.2</v>
      </c>
      <c r="D9125" s="84">
        <v>6.0</v>
      </c>
      <c r="E9125" s="84">
        <v>1.7</v>
      </c>
      <c r="F9125" s="76" t="s">
        <v>1005</v>
      </c>
      <c r="G9125" s="83">
        <v>46118.0</v>
      </c>
      <c r="H9125" s="76" t="s">
        <v>967</v>
      </c>
    </row>
    <row r="9126">
      <c r="A9126" s="76" t="s">
        <v>966</v>
      </c>
      <c r="B9126" s="76" t="s">
        <v>1039</v>
      </c>
      <c r="C9126" s="84">
        <v>3.39</v>
      </c>
      <c r="D9126" s="84">
        <v>0.0</v>
      </c>
      <c r="E9126" s="84">
        <v>0.0</v>
      </c>
      <c r="F9126" s="76" t="s">
        <v>1005</v>
      </c>
      <c r="G9126" s="83">
        <v>46118.0</v>
      </c>
      <c r="H9126" s="76" t="s">
        <v>968</v>
      </c>
    </row>
    <row r="9127">
      <c r="A9127" s="76" t="s">
        <v>966</v>
      </c>
      <c r="B9127" s="76" t="s">
        <v>1039</v>
      </c>
      <c r="C9127" s="84">
        <v>10.29</v>
      </c>
      <c r="D9127" s="84">
        <v>3.0</v>
      </c>
      <c r="E9127" s="84">
        <v>3.43</v>
      </c>
      <c r="F9127" s="76" t="s">
        <v>1005</v>
      </c>
      <c r="G9127" s="83">
        <v>46118.0</v>
      </c>
      <c r="H9127" s="76" t="s">
        <v>969</v>
      </c>
    </row>
    <row r="9128">
      <c r="A9128" s="76" t="s">
        <v>970</v>
      </c>
      <c r="B9128" s="76" t="s">
        <v>1039</v>
      </c>
      <c r="C9128" s="84">
        <v>1.12</v>
      </c>
      <c r="D9128" s="84">
        <v>0.0</v>
      </c>
      <c r="E9128" s="84">
        <v>0.0</v>
      </c>
      <c r="F9128" s="76" t="s">
        <v>990</v>
      </c>
      <c r="G9128" s="83">
        <v>46118.0</v>
      </c>
      <c r="H9128" s="76" t="s">
        <v>971</v>
      </c>
    </row>
    <row r="9129">
      <c r="A9129" s="76" t="s">
        <v>970</v>
      </c>
      <c r="B9129" s="76" t="s">
        <v>1039</v>
      </c>
      <c r="C9129" s="84">
        <v>0.34</v>
      </c>
      <c r="D9129" s="84">
        <v>0.0</v>
      </c>
      <c r="E9129" s="84">
        <v>0.0</v>
      </c>
      <c r="F9129" s="76" t="s">
        <v>990</v>
      </c>
      <c r="G9129" s="83">
        <v>46118.0</v>
      </c>
      <c r="H9129" s="76" t="s">
        <v>972</v>
      </c>
    </row>
    <row r="9130">
      <c r="A9130" s="76" t="s">
        <v>970</v>
      </c>
      <c r="B9130" s="76" t="s">
        <v>1039</v>
      </c>
      <c r="C9130" s="84">
        <v>3.28</v>
      </c>
      <c r="D9130" s="84">
        <v>1.0</v>
      </c>
      <c r="E9130" s="84">
        <v>3.28</v>
      </c>
      <c r="F9130" s="76" t="s">
        <v>990</v>
      </c>
      <c r="G9130" s="83">
        <v>46118.0</v>
      </c>
      <c r="H9130" s="76" t="s">
        <v>973</v>
      </c>
    </row>
    <row r="9131">
      <c r="A9131" s="76" t="s">
        <v>29</v>
      </c>
      <c r="B9131" s="76" t="s">
        <v>1039</v>
      </c>
      <c r="C9131" s="84">
        <v>0.94</v>
      </c>
      <c r="D9131" s="84">
        <v>0.0</v>
      </c>
      <c r="E9131" s="84">
        <v>0.0</v>
      </c>
      <c r="F9131" s="76" t="s">
        <v>990</v>
      </c>
      <c r="G9131" s="83">
        <v>46118.0</v>
      </c>
      <c r="H9131" s="76" t="s">
        <v>971</v>
      </c>
    </row>
    <row r="9132">
      <c r="A9132" s="76" t="s">
        <v>29</v>
      </c>
      <c r="B9132" s="76" t="s">
        <v>1039</v>
      </c>
      <c r="C9132" s="84">
        <v>0.13</v>
      </c>
      <c r="D9132" s="84">
        <v>0.0</v>
      </c>
      <c r="E9132" s="84">
        <v>0.0</v>
      </c>
      <c r="F9132" s="76" t="s">
        <v>990</v>
      </c>
      <c r="G9132" s="83">
        <v>46118.0</v>
      </c>
      <c r="H9132" s="76" t="s">
        <v>972</v>
      </c>
    </row>
    <row r="9133">
      <c r="A9133" s="76" t="s">
        <v>29</v>
      </c>
      <c r="B9133" s="76" t="s">
        <v>1039</v>
      </c>
      <c r="C9133" s="84">
        <v>2.72</v>
      </c>
      <c r="D9133" s="84">
        <v>0.0</v>
      </c>
      <c r="E9133" s="84">
        <v>0.0</v>
      </c>
      <c r="F9133" s="76" t="s">
        <v>990</v>
      </c>
      <c r="G9133" s="83">
        <v>46118.0</v>
      </c>
      <c r="H9133" s="76" t="s">
        <v>973</v>
      </c>
    </row>
    <row r="9134">
      <c r="A9134" s="76" t="s">
        <v>46</v>
      </c>
      <c r="B9134" s="76" t="s">
        <v>1039</v>
      </c>
      <c r="C9134" s="84">
        <v>0.24</v>
      </c>
      <c r="D9134" s="84">
        <v>0.0</v>
      </c>
      <c r="E9134" s="84">
        <v>0.0</v>
      </c>
      <c r="F9134" s="76" t="s">
        <v>990</v>
      </c>
      <c r="G9134" s="83">
        <v>46118.0</v>
      </c>
      <c r="H9134" s="76" t="s">
        <v>960</v>
      </c>
    </row>
    <row r="9135">
      <c r="A9135" s="76" t="s">
        <v>46</v>
      </c>
      <c r="B9135" s="76" t="s">
        <v>1039</v>
      </c>
      <c r="C9135" s="84">
        <v>0.61</v>
      </c>
      <c r="D9135" s="84">
        <v>0.0</v>
      </c>
      <c r="E9135" s="84">
        <v>0.0</v>
      </c>
      <c r="F9135" s="76" t="s">
        <v>990</v>
      </c>
      <c r="G9135" s="83">
        <v>46118.0</v>
      </c>
      <c r="H9135" s="76" t="s">
        <v>961</v>
      </c>
    </row>
    <row r="9136">
      <c r="A9136" s="76" t="s">
        <v>46</v>
      </c>
      <c r="B9136" s="76" t="s">
        <v>1039</v>
      </c>
      <c r="C9136" s="84">
        <v>0.3</v>
      </c>
      <c r="D9136" s="84">
        <v>0.0</v>
      </c>
      <c r="E9136" s="84">
        <v>0.0</v>
      </c>
      <c r="F9136" s="76" t="s">
        <v>990</v>
      </c>
      <c r="G9136" s="83">
        <v>46118.0</v>
      </c>
      <c r="H9136" s="76" t="s">
        <v>962</v>
      </c>
    </row>
    <row r="9137">
      <c r="A9137" s="76" t="s">
        <v>36</v>
      </c>
      <c r="B9137" s="76" t="s">
        <v>1039</v>
      </c>
      <c r="C9137" s="84">
        <v>2.14</v>
      </c>
      <c r="D9137" s="84">
        <v>1.0</v>
      </c>
      <c r="E9137" s="84">
        <v>2.14</v>
      </c>
      <c r="F9137" s="76" t="s">
        <v>990</v>
      </c>
      <c r="G9137" s="83">
        <v>46118.0</v>
      </c>
      <c r="H9137" s="76" t="s">
        <v>926</v>
      </c>
    </row>
    <row r="9138">
      <c r="A9138" s="76" t="s">
        <v>36</v>
      </c>
      <c r="B9138" s="76" t="s">
        <v>1039</v>
      </c>
      <c r="C9138" s="84">
        <v>0.32</v>
      </c>
      <c r="D9138" s="84">
        <v>0.0</v>
      </c>
      <c r="E9138" s="84">
        <v>0.0</v>
      </c>
      <c r="F9138" s="76" t="s">
        <v>990</v>
      </c>
      <c r="G9138" s="83">
        <v>46118.0</v>
      </c>
      <c r="H9138" s="76" t="s">
        <v>927</v>
      </c>
    </row>
    <row r="9139">
      <c r="A9139" s="76" t="s">
        <v>36</v>
      </c>
      <c r="B9139" s="76" t="s">
        <v>1039</v>
      </c>
      <c r="C9139" s="84">
        <v>0.44</v>
      </c>
      <c r="D9139" s="84">
        <v>0.0</v>
      </c>
      <c r="E9139" s="84">
        <v>0.0</v>
      </c>
      <c r="F9139" s="76" t="s">
        <v>990</v>
      </c>
      <c r="G9139" s="83">
        <v>46118.0</v>
      </c>
      <c r="H9139" s="76" t="s">
        <v>928</v>
      </c>
    </row>
    <row r="9140">
      <c r="A9140" s="76" t="s">
        <v>34</v>
      </c>
      <c r="B9140" s="76" t="s">
        <v>1039</v>
      </c>
      <c r="C9140" s="84">
        <v>0.47</v>
      </c>
      <c r="D9140" s="84">
        <v>0.0</v>
      </c>
      <c r="E9140" s="84">
        <v>0.0</v>
      </c>
      <c r="F9140" s="76" t="s">
        <v>990</v>
      </c>
      <c r="G9140" s="83">
        <v>46118.0</v>
      </c>
      <c r="H9140" s="76" t="s">
        <v>951</v>
      </c>
    </row>
    <row r="9141">
      <c r="A9141" s="76" t="s">
        <v>34</v>
      </c>
      <c r="B9141" s="76" t="s">
        <v>1039</v>
      </c>
      <c r="C9141" s="84">
        <v>0.58</v>
      </c>
      <c r="D9141" s="84">
        <v>0.0</v>
      </c>
      <c r="E9141" s="84">
        <v>0.0</v>
      </c>
      <c r="F9141" s="76" t="s">
        <v>990</v>
      </c>
      <c r="G9141" s="83">
        <v>46118.0</v>
      </c>
      <c r="H9141" s="76" t="s">
        <v>952</v>
      </c>
    </row>
    <row r="9142">
      <c r="A9142" s="76" t="s">
        <v>34</v>
      </c>
      <c r="B9142" s="76" t="s">
        <v>1039</v>
      </c>
      <c r="C9142" s="84">
        <v>0.41</v>
      </c>
      <c r="D9142" s="84">
        <v>0.0</v>
      </c>
      <c r="E9142" s="84">
        <v>0.0</v>
      </c>
      <c r="F9142" s="76" t="s">
        <v>990</v>
      </c>
      <c r="G9142" s="83">
        <v>46118.0</v>
      </c>
      <c r="H9142" s="76" t="s">
        <v>953</v>
      </c>
    </row>
    <row r="9143">
      <c r="A9143" s="76" t="s">
        <v>33</v>
      </c>
      <c r="B9143" s="76" t="s">
        <v>1039</v>
      </c>
      <c r="C9143" s="84">
        <v>3.42</v>
      </c>
      <c r="D9143" s="84">
        <v>0.0</v>
      </c>
      <c r="E9143" s="84">
        <v>0.0</v>
      </c>
      <c r="F9143" s="76" t="s">
        <v>990</v>
      </c>
      <c r="G9143" s="83">
        <v>46118.0</v>
      </c>
      <c r="H9143" s="76" t="s">
        <v>957</v>
      </c>
    </row>
    <row r="9144">
      <c r="A9144" s="76" t="s">
        <v>33</v>
      </c>
      <c r="B9144" s="76" t="s">
        <v>1039</v>
      </c>
      <c r="C9144" s="84">
        <v>0.69</v>
      </c>
      <c r="D9144" s="84">
        <v>0.0</v>
      </c>
      <c r="E9144" s="84">
        <v>0.0</v>
      </c>
      <c r="F9144" s="76" t="s">
        <v>990</v>
      </c>
      <c r="G9144" s="83">
        <v>46118.0</v>
      </c>
      <c r="H9144" s="76" t="s">
        <v>958</v>
      </c>
    </row>
    <row r="9145">
      <c r="A9145" s="76" t="s">
        <v>33</v>
      </c>
      <c r="B9145" s="76" t="s">
        <v>1039</v>
      </c>
      <c r="C9145" s="84">
        <v>1.35</v>
      </c>
      <c r="D9145" s="84">
        <v>0.0</v>
      </c>
      <c r="E9145" s="84">
        <v>0.0</v>
      </c>
      <c r="F9145" s="76" t="s">
        <v>990</v>
      </c>
      <c r="G9145" s="83">
        <v>46118.0</v>
      </c>
      <c r="H9145" s="76" t="s">
        <v>959</v>
      </c>
    </row>
    <row r="9146">
      <c r="A9146" s="76" t="s">
        <v>40</v>
      </c>
      <c r="B9146" s="76" t="s">
        <v>1039</v>
      </c>
      <c r="C9146" s="84">
        <v>0.72</v>
      </c>
      <c r="D9146" s="84">
        <v>0.0</v>
      </c>
      <c r="E9146" s="84">
        <v>0.0</v>
      </c>
      <c r="F9146" s="76" t="s">
        <v>990</v>
      </c>
      <c r="G9146" s="83">
        <v>46118.0</v>
      </c>
      <c r="H9146" s="76" t="s">
        <v>954</v>
      </c>
    </row>
    <row r="9147">
      <c r="A9147" s="76" t="s">
        <v>40</v>
      </c>
      <c r="B9147" s="76" t="s">
        <v>1039</v>
      </c>
      <c r="C9147" s="84">
        <v>0.23</v>
      </c>
      <c r="D9147" s="84">
        <v>0.0</v>
      </c>
      <c r="E9147" s="84">
        <v>0.0</v>
      </c>
      <c r="F9147" s="76" t="s">
        <v>990</v>
      </c>
      <c r="G9147" s="83">
        <v>46118.0</v>
      </c>
      <c r="H9147" s="76" t="s">
        <v>955</v>
      </c>
    </row>
    <row r="9148">
      <c r="A9148" s="76" t="s">
        <v>40</v>
      </c>
      <c r="B9148" s="76" t="s">
        <v>1039</v>
      </c>
      <c r="C9148" s="84">
        <v>2.5</v>
      </c>
      <c r="D9148" s="84">
        <v>0.0</v>
      </c>
      <c r="E9148" s="84">
        <v>0.0</v>
      </c>
      <c r="F9148" s="76" t="s">
        <v>990</v>
      </c>
      <c r="G9148" s="83">
        <v>46118.0</v>
      </c>
      <c r="H9148" s="76" t="s">
        <v>956</v>
      </c>
    </row>
    <row r="9149">
      <c r="A9149" s="76" t="s">
        <v>43</v>
      </c>
      <c r="B9149" s="76" t="s">
        <v>1039</v>
      </c>
      <c r="C9149" s="84">
        <v>0.35</v>
      </c>
      <c r="D9149" s="84">
        <v>0.0</v>
      </c>
      <c r="E9149" s="84">
        <v>0.0</v>
      </c>
      <c r="F9149" s="76" t="s">
        <v>990</v>
      </c>
      <c r="G9149" s="83">
        <v>46118.0</v>
      </c>
      <c r="H9149" s="76" t="s">
        <v>963</v>
      </c>
    </row>
    <row r="9150">
      <c r="A9150" s="76" t="s">
        <v>43</v>
      </c>
      <c r="B9150" s="76" t="s">
        <v>1039</v>
      </c>
      <c r="C9150" s="84">
        <v>0.64</v>
      </c>
      <c r="D9150" s="84">
        <v>0.0</v>
      </c>
      <c r="E9150" s="84">
        <v>0.0</v>
      </c>
      <c r="F9150" s="76" t="s">
        <v>990</v>
      </c>
      <c r="G9150" s="83">
        <v>46118.0</v>
      </c>
      <c r="H9150" s="76" t="s">
        <v>964</v>
      </c>
    </row>
    <row r="9151">
      <c r="A9151" s="76" t="s">
        <v>43</v>
      </c>
      <c r="B9151" s="76" t="s">
        <v>1039</v>
      </c>
      <c r="C9151" s="84">
        <v>2.01</v>
      </c>
      <c r="D9151" s="84">
        <v>0.0</v>
      </c>
      <c r="E9151" s="84">
        <v>0.0</v>
      </c>
      <c r="F9151" s="76" t="s">
        <v>990</v>
      </c>
      <c r="G9151" s="83">
        <v>46118.0</v>
      </c>
      <c r="H9151" s="76" t="s">
        <v>965</v>
      </c>
    </row>
    <row r="9152">
      <c r="A9152" s="76" t="s">
        <v>966</v>
      </c>
      <c r="B9152" s="76" t="s">
        <v>1039</v>
      </c>
      <c r="C9152" s="84">
        <v>1.97</v>
      </c>
      <c r="D9152" s="84">
        <v>0.0</v>
      </c>
      <c r="E9152" s="84">
        <v>0.0</v>
      </c>
      <c r="F9152" s="76" t="s">
        <v>990</v>
      </c>
      <c r="G9152" s="83">
        <v>46118.0</v>
      </c>
      <c r="H9152" s="76" t="s">
        <v>967</v>
      </c>
    </row>
    <row r="9153">
      <c r="A9153" s="76" t="s">
        <v>966</v>
      </c>
      <c r="B9153" s="76" t="s">
        <v>1039</v>
      </c>
      <c r="C9153" s="84">
        <v>0.14</v>
      </c>
      <c r="D9153" s="84">
        <v>0.0</v>
      </c>
      <c r="E9153" s="84">
        <v>0.0</v>
      </c>
      <c r="F9153" s="76" t="s">
        <v>990</v>
      </c>
      <c r="G9153" s="83">
        <v>46118.0</v>
      </c>
      <c r="H9153" s="76" t="s">
        <v>968</v>
      </c>
    </row>
    <row r="9154">
      <c r="A9154" s="76" t="s">
        <v>966</v>
      </c>
      <c r="B9154" s="76" t="s">
        <v>1039</v>
      </c>
      <c r="C9154" s="84">
        <v>0.28</v>
      </c>
      <c r="D9154" s="84">
        <v>0.0</v>
      </c>
      <c r="E9154" s="84">
        <v>0.0</v>
      </c>
      <c r="F9154" s="76" t="s">
        <v>990</v>
      </c>
      <c r="G9154" s="83">
        <v>46118.0</v>
      </c>
      <c r="H9154" s="76" t="s">
        <v>969</v>
      </c>
    </row>
    <row r="9155">
      <c r="A9155" s="76" t="s">
        <v>970</v>
      </c>
      <c r="B9155" s="76" t="s">
        <v>1039</v>
      </c>
      <c r="C9155" s="84">
        <v>1.53</v>
      </c>
      <c r="D9155" s="84">
        <v>0.0</v>
      </c>
      <c r="E9155" s="84">
        <v>0.0</v>
      </c>
      <c r="F9155" s="76" t="s">
        <v>996</v>
      </c>
      <c r="G9155" s="83">
        <v>46118.0</v>
      </c>
      <c r="H9155" s="76" t="s">
        <v>971</v>
      </c>
    </row>
    <row r="9156">
      <c r="A9156" s="76" t="s">
        <v>970</v>
      </c>
      <c r="B9156" s="76" t="s">
        <v>1039</v>
      </c>
      <c r="C9156" s="84">
        <v>0.55</v>
      </c>
      <c r="D9156" s="84">
        <v>1.0</v>
      </c>
      <c r="E9156" s="84">
        <v>0.55</v>
      </c>
      <c r="F9156" s="76" t="s">
        <v>996</v>
      </c>
      <c r="G9156" s="83">
        <v>46118.0</v>
      </c>
      <c r="H9156" s="76" t="s">
        <v>972</v>
      </c>
    </row>
    <row r="9157">
      <c r="A9157" s="76" t="s">
        <v>970</v>
      </c>
      <c r="B9157" s="76" t="s">
        <v>1039</v>
      </c>
      <c r="C9157" s="84">
        <v>3.11</v>
      </c>
      <c r="D9157" s="84">
        <v>0.0</v>
      </c>
      <c r="E9157" s="84">
        <v>0.0</v>
      </c>
      <c r="F9157" s="76" t="s">
        <v>996</v>
      </c>
      <c r="G9157" s="83">
        <v>46118.0</v>
      </c>
      <c r="H9157" s="76" t="s">
        <v>973</v>
      </c>
    </row>
    <row r="9158">
      <c r="A9158" s="76" t="s">
        <v>29</v>
      </c>
      <c r="B9158" s="76" t="s">
        <v>1039</v>
      </c>
      <c r="C9158" s="84">
        <v>2.74</v>
      </c>
      <c r="D9158" s="84">
        <v>1.0</v>
      </c>
      <c r="E9158" s="84">
        <v>2.74</v>
      </c>
      <c r="F9158" s="76" t="s">
        <v>996</v>
      </c>
      <c r="G9158" s="83">
        <v>46118.0</v>
      </c>
      <c r="H9158" s="76" t="s">
        <v>971</v>
      </c>
    </row>
    <row r="9159">
      <c r="A9159" s="76" t="s">
        <v>29</v>
      </c>
      <c r="B9159" s="76" t="s">
        <v>1039</v>
      </c>
      <c r="C9159" s="84">
        <v>0.49</v>
      </c>
      <c r="D9159" s="84">
        <v>0.0</v>
      </c>
      <c r="E9159" s="84">
        <v>0.0</v>
      </c>
      <c r="F9159" s="76" t="s">
        <v>996</v>
      </c>
      <c r="G9159" s="83">
        <v>46118.0</v>
      </c>
      <c r="H9159" s="76" t="s">
        <v>972</v>
      </c>
    </row>
    <row r="9160">
      <c r="A9160" s="76" t="s">
        <v>29</v>
      </c>
      <c r="B9160" s="76" t="s">
        <v>1039</v>
      </c>
      <c r="C9160" s="84">
        <v>3.24</v>
      </c>
      <c r="D9160" s="84">
        <v>1.0</v>
      </c>
      <c r="E9160" s="84">
        <v>3.24</v>
      </c>
      <c r="F9160" s="76" t="s">
        <v>996</v>
      </c>
      <c r="G9160" s="83">
        <v>46118.0</v>
      </c>
      <c r="H9160" s="76" t="s">
        <v>973</v>
      </c>
    </row>
    <row r="9161">
      <c r="A9161" s="76" t="s">
        <v>43</v>
      </c>
      <c r="B9161" s="76" t="s">
        <v>1039</v>
      </c>
      <c r="C9161" s="84">
        <v>1.11</v>
      </c>
      <c r="D9161" s="84">
        <v>0.0</v>
      </c>
      <c r="E9161" s="84">
        <v>0.0</v>
      </c>
      <c r="F9161" s="76" t="s">
        <v>996</v>
      </c>
      <c r="G9161" s="83">
        <v>46118.0</v>
      </c>
      <c r="H9161" s="76" t="s">
        <v>963</v>
      </c>
    </row>
    <row r="9162">
      <c r="A9162" s="76" t="s">
        <v>43</v>
      </c>
      <c r="B9162" s="76" t="s">
        <v>1039</v>
      </c>
      <c r="C9162" s="84">
        <v>0.66</v>
      </c>
      <c r="D9162" s="84">
        <v>0.0</v>
      </c>
      <c r="E9162" s="84">
        <v>0.0</v>
      </c>
      <c r="F9162" s="76" t="s">
        <v>996</v>
      </c>
      <c r="G9162" s="83">
        <v>46118.0</v>
      </c>
      <c r="H9162" s="76" t="s">
        <v>964</v>
      </c>
    </row>
    <row r="9163">
      <c r="A9163" s="76" t="s">
        <v>43</v>
      </c>
      <c r="B9163" s="76" t="s">
        <v>1039</v>
      </c>
      <c r="C9163" s="84">
        <v>2.11</v>
      </c>
      <c r="D9163" s="84">
        <v>0.0</v>
      </c>
      <c r="E9163" s="84">
        <v>0.0</v>
      </c>
      <c r="F9163" s="76" t="s">
        <v>996</v>
      </c>
      <c r="G9163" s="83">
        <v>46118.0</v>
      </c>
      <c r="H9163" s="76" t="s">
        <v>965</v>
      </c>
    </row>
    <row r="9164">
      <c r="A9164" s="76" t="s">
        <v>46</v>
      </c>
      <c r="B9164" s="76" t="s">
        <v>1039</v>
      </c>
      <c r="C9164" s="84">
        <v>0.24</v>
      </c>
      <c r="D9164" s="84">
        <v>0.0</v>
      </c>
      <c r="E9164" s="84">
        <v>0.0</v>
      </c>
      <c r="F9164" s="76" t="s">
        <v>996</v>
      </c>
      <c r="G9164" s="83">
        <v>46118.0</v>
      </c>
      <c r="H9164" s="76" t="s">
        <v>960</v>
      </c>
    </row>
    <row r="9165">
      <c r="A9165" s="76" t="s">
        <v>46</v>
      </c>
      <c r="B9165" s="76" t="s">
        <v>1039</v>
      </c>
      <c r="C9165" s="84">
        <v>0.46</v>
      </c>
      <c r="D9165" s="84">
        <v>0.0</v>
      </c>
      <c r="E9165" s="84">
        <v>0.0</v>
      </c>
      <c r="F9165" s="76" t="s">
        <v>996</v>
      </c>
      <c r="G9165" s="83">
        <v>46118.0</v>
      </c>
      <c r="H9165" s="76" t="s">
        <v>961</v>
      </c>
    </row>
    <row r="9166">
      <c r="A9166" s="76" t="s">
        <v>46</v>
      </c>
      <c r="B9166" s="76" t="s">
        <v>1039</v>
      </c>
      <c r="C9166" s="84">
        <v>0.54</v>
      </c>
      <c r="D9166" s="84">
        <v>0.0</v>
      </c>
      <c r="E9166" s="84">
        <v>0.0</v>
      </c>
      <c r="F9166" s="76" t="s">
        <v>996</v>
      </c>
      <c r="G9166" s="83">
        <v>46118.0</v>
      </c>
      <c r="H9166" s="76" t="s">
        <v>962</v>
      </c>
    </row>
    <row r="9167">
      <c r="A9167" s="76" t="s">
        <v>966</v>
      </c>
      <c r="B9167" s="76" t="s">
        <v>1039</v>
      </c>
      <c r="C9167" s="84">
        <v>2.28</v>
      </c>
      <c r="D9167" s="84">
        <v>0.0</v>
      </c>
      <c r="E9167" s="84">
        <v>0.0</v>
      </c>
      <c r="F9167" s="76" t="s">
        <v>996</v>
      </c>
      <c r="G9167" s="83">
        <v>46118.0</v>
      </c>
      <c r="H9167" s="76" t="s">
        <v>967</v>
      </c>
    </row>
    <row r="9168">
      <c r="A9168" s="76" t="s">
        <v>966</v>
      </c>
      <c r="B9168" s="76" t="s">
        <v>1039</v>
      </c>
      <c r="C9168" s="84">
        <v>0.45</v>
      </c>
      <c r="D9168" s="84">
        <v>0.0</v>
      </c>
      <c r="E9168" s="84">
        <v>0.0</v>
      </c>
      <c r="F9168" s="76" t="s">
        <v>996</v>
      </c>
      <c r="G9168" s="83">
        <v>46118.0</v>
      </c>
      <c r="H9168" s="76" t="s">
        <v>968</v>
      </c>
    </row>
    <row r="9169">
      <c r="A9169" s="76" t="s">
        <v>966</v>
      </c>
      <c r="B9169" s="76" t="s">
        <v>1039</v>
      </c>
      <c r="C9169" s="84">
        <v>1.12</v>
      </c>
      <c r="D9169" s="84">
        <v>2.0</v>
      </c>
      <c r="E9169" s="84">
        <v>0.56</v>
      </c>
      <c r="F9169" s="76" t="s">
        <v>996</v>
      </c>
      <c r="G9169" s="83">
        <v>46118.0</v>
      </c>
      <c r="H9169" s="76" t="s">
        <v>969</v>
      </c>
    </row>
    <row r="9170">
      <c r="A9170" s="76" t="s">
        <v>33</v>
      </c>
      <c r="B9170" s="76" t="s">
        <v>1039</v>
      </c>
      <c r="C9170" s="84">
        <v>7.93</v>
      </c>
      <c r="D9170" s="84">
        <v>1.0</v>
      </c>
      <c r="E9170" s="84">
        <v>7.93</v>
      </c>
      <c r="F9170" s="76" t="s">
        <v>996</v>
      </c>
      <c r="G9170" s="83">
        <v>46118.0</v>
      </c>
      <c r="H9170" s="76" t="s">
        <v>957</v>
      </c>
    </row>
    <row r="9171">
      <c r="A9171" s="76" t="s">
        <v>33</v>
      </c>
      <c r="B9171" s="76" t="s">
        <v>1039</v>
      </c>
      <c r="C9171" s="84">
        <v>1.6</v>
      </c>
      <c r="D9171" s="84">
        <v>0.0</v>
      </c>
      <c r="E9171" s="84">
        <v>0.0</v>
      </c>
      <c r="F9171" s="76" t="s">
        <v>996</v>
      </c>
      <c r="G9171" s="83">
        <v>46118.0</v>
      </c>
      <c r="H9171" s="76" t="s">
        <v>958</v>
      </c>
    </row>
    <row r="9172">
      <c r="A9172" s="76" t="s">
        <v>33</v>
      </c>
      <c r="B9172" s="76" t="s">
        <v>1039</v>
      </c>
      <c r="C9172" s="84">
        <v>3.71</v>
      </c>
      <c r="D9172" s="84">
        <v>1.0</v>
      </c>
      <c r="E9172" s="84">
        <v>3.71</v>
      </c>
      <c r="F9172" s="76" t="s">
        <v>996</v>
      </c>
      <c r="G9172" s="83">
        <v>46118.0</v>
      </c>
      <c r="H9172" s="76" t="s">
        <v>959</v>
      </c>
    </row>
    <row r="9173">
      <c r="A9173" s="76" t="s">
        <v>34</v>
      </c>
      <c r="B9173" s="76" t="s">
        <v>1039</v>
      </c>
      <c r="C9173" s="84">
        <v>0.4</v>
      </c>
      <c r="D9173" s="84">
        <v>0.0</v>
      </c>
      <c r="E9173" s="84">
        <v>0.0</v>
      </c>
      <c r="F9173" s="76" t="s">
        <v>996</v>
      </c>
      <c r="G9173" s="83">
        <v>46118.0</v>
      </c>
      <c r="H9173" s="76" t="s">
        <v>951</v>
      </c>
    </row>
    <row r="9174">
      <c r="A9174" s="76" t="s">
        <v>34</v>
      </c>
      <c r="B9174" s="76" t="s">
        <v>1039</v>
      </c>
      <c r="C9174" s="84">
        <v>1.23</v>
      </c>
      <c r="D9174" s="84">
        <v>0.0</v>
      </c>
      <c r="E9174" s="84">
        <v>0.0</v>
      </c>
      <c r="F9174" s="76" t="s">
        <v>996</v>
      </c>
      <c r="G9174" s="83">
        <v>46118.0</v>
      </c>
      <c r="H9174" s="76" t="s">
        <v>952</v>
      </c>
    </row>
    <row r="9175">
      <c r="A9175" s="76" t="s">
        <v>34</v>
      </c>
      <c r="B9175" s="76" t="s">
        <v>1039</v>
      </c>
      <c r="C9175" s="84">
        <v>0.6</v>
      </c>
      <c r="D9175" s="84">
        <v>0.0</v>
      </c>
      <c r="E9175" s="84">
        <v>0.0</v>
      </c>
      <c r="F9175" s="76" t="s">
        <v>996</v>
      </c>
      <c r="G9175" s="83">
        <v>46118.0</v>
      </c>
      <c r="H9175" s="76" t="s">
        <v>953</v>
      </c>
    </row>
    <row r="9176">
      <c r="A9176" s="76" t="s">
        <v>36</v>
      </c>
      <c r="B9176" s="76" t="s">
        <v>1039</v>
      </c>
      <c r="C9176" s="84">
        <v>2.07</v>
      </c>
      <c r="D9176" s="84">
        <v>2.0</v>
      </c>
      <c r="E9176" s="84">
        <v>1.04</v>
      </c>
      <c r="F9176" s="76" t="s">
        <v>996</v>
      </c>
      <c r="G9176" s="83">
        <v>46118.0</v>
      </c>
      <c r="H9176" s="76" t="s">
        <v>926</v>
      </c>
    </row>
    <row r="9177">
      <c r="A9177" s="76" t="s">
        <v>36</v>
      </c>
      <c r="B9177" s="76" t="s">
        <v>1039</v>
      </c>
      <c r="C9177" s="84">
        <v>0.62</v>
      </c>
      <c r="D9177" s="84">
        <v>0.0</v>
      </c>
      <c r="E9177" s="84">
        <v>0.0</v>
      </c>
      <c r="F9177" s="76" t="s">
        <v>996</v>
      </c>
      <c r="G9177" s="83">
        <v>46118.0</v>
      </c>
      <c r="H9177" s="76" t="s">
        <v>927</v>
      </c>
    </row>
    <row r="9178">
      <c r="A9178" s="76" t="s">
        <v>36</v>
      </c>
      <c r="B9178" s="76" t="s">
        <v>1039</v>
      </c>
      <c r="C9178" s="84">
        <v>2.19</v>
      </c>
      <c r="D9178" s="84">
        <v>1.0</v>
      </c>
      <c r="E9178" s="84">
        <v>2.19</v>
      </c>
      <c r="F9178" s="76" t="s">
        <v>996</v>
      </c>
      <c r="G9178" s="83">
        <v>46118.0</v>
      </c>
      <c r="H9178" s="76" t="s">
        <v>928</v>
      </c>
    </row>
    <row r="9179">
      <c r="A9179" s="76" t="s">
        <v>40</v>
      </c>
      <c r="B9179" s="76" t="s">
        <v>1039</v>
      </c>
      <c r="C9179" s="84">
        <v>0.65</v>
      </c>
      <c r="D9179" s="84">
        <v>0.0</v>
      </c>
      <c r="E9179" s="84">
        <v>0.0</v>
      </c>
      <c r="F9179" s="76" t="s">
        <v>996</v>
      </c>
      <c r="G9179" s="83">
        <v>46118.0</v>
      </c>
      <c r="H9179" s="76" t="s">
        <v>954</v>
      </c>
    </row>
    <row r="9180">
      <c r="A9180" s="76" t="s">
        <v>40</v>
      </c>
      <c r="B9180" s="76" t="s">
        <v>1039</v>
      </c>
      <c r="C9180" s="84">
        <v>0.23</v>
      </c>
      <c r="D9180" s="84">
        <v>0.0</v>
      </c>
      <c r="E9180" s="84">
        <v>0.0</v>
      </c>
      <c r="F9180" s="76" t="s">
        <v>996</v>
      </c>
      <c r="G9180" s="83">
        <v>46118.0</v>
      </c>
      <c r="H9180" s="76" t="s">
        <v>955</v>
      </c>
    </row>
    <row r="9181">
      <c r="A9181" s="76" t="s">
        <v>40</v>
      </c>
      <c r="B9181" s="76" t="s">
        <v>1039</v>
      </c>
      <c r="C9181" s="84">
        <v>3.86</v>
      </c>
      <c r="D9181" s="84">
        <v>0.0</v>
      </c>
      <c r="E9181" s="84">
        <v>0.0</v>
      </c>
      <c r="F9181" s="76" t="s">
        <v>996</v>
      </c>
      <c r="G9181" s="83">
        <v>46118.0</v>
      </c>
      <c r="H9181" s="76" t="s">
        <v>956</v>
      </c>
    </row>
    <row r="9182">
      <c r="A9182" s="76" t="s">
        <v>40</v>
      </c>
      <c r="B9182" s="76" t="s">
        <v>1039</v>
      </c>
      <c r="C9182" s="84">
        <v>0.61</v>
      </c>
      <c r="D9182" s="84">
        <v>0.0</v>
      </c>
      <c r="E9182" s="84">
        <v>0.0</v>
      </c>
      <c r="F9182" s="76" t="s">
        <v>993</v>
      </c>
      <c r="G9182" s="83">
        <v>46118.0</v>
      </c>
      <c r="H9182" s="76" t="s">
        <v>954</v>
      </c>
    </row>
    <row r="9183">
      <c r="A9183" s="76" t="s">
        <v>40</v>
      </c>
      <c r="B9183" s="76" t="s">
        <v>1039</v>
      </c>
      <c r="C9183" s="84">
        <v>0.01</v>
      </c>
      <c r="D9183" s="84">
        <v>0.0</v>
      </c>
      <c r="E9183" s="84">
        <v>0.0</v>
      </c>
      <c r="F9183" s="76" t="s">
        <v>993</v>
      </c>
      <c r="G9183" s="83">
        <v>46118.0</v>
      </c>
      <c r="H9183" s="76" t="s">
        <v>955</v>
      </c>
    </row>
    <row r="9184">
      <c r="A9184" s="76" t="s">
        <v>40</v>
      </c>
      <c r="B9184" s="76" t="s">
        <v>1039</v>
      </c>
      <c r="C9184" s="84">
        <v>0.83</v>
      </c>
      <c r="D9184" s="84">
        <v>1.0</v>
      </c>
      <c r="E9184" s="84">
        <v>0.83</v>
      </c>
      <c r="F9184" s="76" t="s">
        <v>993</v>
      </c>
      <c r="G9184" s="83">
        <v>46118.0</v>
      </c>
      <c r="H9184" s="76" t="s">
        <v>956</v>
      </c>
    </row>
    <row r="9185">
      <c r="A9185" s="76" t="s">
        <v>36</v>
      </c>
      <c r="B9185" s="76" t="s">
        <v>1039</v>
      </c>
      <c r="C9185" s="84">
        <v>0.32</v>
      </c>
      <c r="D9185" s="84">
        <v>0.0</v>
      </c>
      <c r="E9185" s="84">
        <v>0.0</v>
      </c>
      <c r="F9185" s="76" t="s">
        <v>993</v>
      </c>
      <c r="G9185" s="83">
        <v>46118.0</v>
      </c>
      <c r="H9185" s="76" t="s">
        <v>926</v>
      </c>
    </row>
    <row r="9186">
      <c r="A9186" s="76" t="s">
        <v>36</v>
      </c>
      <c r="B9186" s="76" t="s">
        <v>1039</v>
      </c>
      <c r="C9186" s="84">
        <v>0.11</v>
      </c>
      <c r="D9186" s="84">
        <v>0.0</v>
      </c>
      <c r="E9186" s="84">
        <v>0.0</v>
      </c>
      <c r="F9186" s="76" t="s">
        <v>993</v>
      </c>
      <c r="G9186" s="83">
        <v>46118.0</v>
      </c>
      <c r="H9186" s="76" t="s">
        <v>927</v>
      </c>
    </row>
    <row r="9187">
      <c r="A9187" s="76" t="s">
        <v>36</v>
      </c>
      <c r="B9187" s="76" t="s">
        <v>1039</v>
      </c>
      <c r="C9187" s="84">
        <v>0.14</v>
      </c>
      <c r="D9187" s="84">
        <v>0.0</v>
      </c>
      <c r="E9187" s="84">
        <v>0.0</v>
      </c>
      <c r="F9187" s="76" t="s">
        <v>993</v>
      </c>
      <c r="G9187" s="83">
        <v>46118.0</v>
      </c>
      <c r="H9187" s="76" t="s">
        <v>928</v>
      </c>
    </row>
    <row r="9188">
      <c r="A9188" s="76" t="s">
        <v>46</v>
      </c>
      <c r="B9188" s="76" t="s">
        <v>1039</v>
      </c>
      <c r="C9188" s="84">
        <v>0.11</v>
      </c>
      <c r="D9188" s="84">
        <v>0.0</v>
      </c>
      <c r="E9188" s="84">
        <v>0.0</v>
      </c>
      <c r="F9188" s="76" t="s">
        <v>993</v>
      </c>
      <c r="G9188" s="83">
        <v>46118.0</v>
      </c>
      <c r="H9188" s="76" t="s">
        <v>960</v>
      </c>
    </row>
    <row r="9189">
      <c r="A9189" s="76" t="s">
        <v>46</v>
      </c>
      <c r="B9189" s="76" t="s">
        <v>1039</v>
      </c>
      <c r="C9189" s="84">
        <v>0.03</v>
      </c>
      <c r="D9189" s="84">
        <v>0.0</v>
      </c>
      <c r="E9189" s="84">
        <v>0.0</v>
      </c>
      <c r="F9189" s="76" t="s">
        <v>993</v>
      </c>
      <c r="G9189" s="83">
        <v>46118.0</v>
      </c>
      <c r="H9189" s="76" t="s">
        <v>961</v>
      </c>
    </row>
    <row r="9190">
      <c r="A9190" s="76" t="s">
        <v>46</v>
      </c>
      <c r="B9190" s="76" t="s">
        <v>1039</v>
      </c>
      <c r="C9190" s="84">
        <v>0.09</v>
      </c>
      <c r="D9190" s="84">
        <v>0.0</v>
      </c>
      <c r="E9190" s="84">
        <v>0.0</v>
      </c>
      <c r="F9190" s="76" t="s">
        <v>993</v>
      </c>
      <c r="G9190" s="83">
        <v>46118.0</v>
      </c>
      <c r="H9190" s="76" t="s">
        <v>962</v>
      </c>
    </row>
    <row r="9191">
      <c r="A9191" s="76" t="s">
        <v>970</v>
      </c>
      <c r="B9191" s="76" t="s">
        <v>1039</v>
      </c>
      <c r="C9191" s="84">
        <v>0.87</v>
      </c>
      <c r="D9191" s="84">
        <v>0.0</v>
      </c>
      <c r="E9191" s="84">
        <v>0.0</v>
      </c>
      <c r="F9191" s="76" t="s">
        <v>993</v>
      </c>
      <c r="G9191" s="83">
        <v>46118.0</v>
      </c>
      <c r="H9191" s="76" t="s">
        <v>971</v>
      </c>
    </row>
    <row r="9192">
      <c r="A9192" s="76" t="s">
        <v>970</v>
      </c>
      <c r="B9192" s="76" t="s">
        <v>1039</v>
      </c>
      <c r="C9192" s="84">
        <v>0.05</v>
      </c>
      <c r="D9192" s="84">
        <v>0.0</v>
      </c>
      <c r="E9192" s="84">
        <v>0.0</v>
      </c>
      <c r="F9192" s="76" t="s">
        <v>993</v>
      </c>
      <c r="G9192" s="83">
        <v>46118.0</v>
      </c>
      <c r="H9192" s="76" t="s">
        <v>972</v>
      </c>
    </row>
    <row r="9193">
      <c r="A9193" s="76" t="s">
        <v>970</v>
      </c>
      <c r="B9193" s="76" t="s">
        <v>1039</v>
      </c>
      <c r="C9193" s="84">
        <v>1.28</v>
      </c>
      <c r="D9193" s="84">
        <v>0.0</v>
      </c>
      <c r="E9193" s="84">
        <v>0.0</v>
      </c>
      <c r="F9193" s="76" t="s">
        <v>993</v>
      </c>
      <c r="G9193" s="83">
        <v>46118.0</v>
      </c>
      <c r="H9193" s="76" t="s">
        <v>973</v>
      </c>
    </row>
    <row r="9194">
      <c r="A9194" s="76" t="s">
        <v>33</v>
      </c>
      <c r="B9194" s="76" t="s">
        <v>1039</v>
      </c>
      <c r="C9194" s="84">
        <v>1.53</v>
      </c>
      <c r="D9194" s="84">
        <v>1.0</v>
      </c>
      <c r="E9194" s="84">
        <v>1.53</v>
      </c>
      <c r="F9194" s="76" t="s">
        <v>993</v>
      </c>
      <c r="G9194" s="83">
        <v>46118.0</v>
      </c>
      <c r="H9194" s="76" t="s">
        <v>957</v>
      </c>
    </row>
    <row r="9195">
      <c r="A9195" s="76" t="s">
        <v>33</v>
      </c>
      <c r="B9195" s="76" t="s">
        <v>1039</v>
      </c>
      <c r="C9195" s="84">
        <v>0.47</v>
      </c>
      <c r="D9195" s="84">
        <v>0.0</v>
      </c>
      <c r="E9195" s="84">
        <v>0.0</v>
      </c>
      <c r="F9195" s="76" t="s">
        <v>993</v>
      </c>
      <c r="G9195" s="83">
        <v>46118.0</v>
      </c>
      <c r="H9195" s="76" t="s">
        <v>958</v>
      </c>
    </row>
    <row r="9196">
      <c r="A9196" s="76" t="s">
        <v>33</v>
      </c>
      <c r="B9196" s="76" t="s">
        <v>1039</v>
      </c>
      <c r="C9196" s="84">
        <v>0.62</v>
      </c>
      <c r="D9196" s="84">
        <v>0.0</v>
      </c>
      <c r="E9196" s="84">
        <v>0.0</v>
      </c>
      <c r="F9196" s="76" t="s">
        <v>993</v>
      </c>
      <c r="G9196" s="83">
        <v>46118.0</v>
      </c>
      <c r="H9196" s="76" t="s">
        <v>959</v>
      </c>
    </row>
    <row r="9197">
      <c r="A9197" s="76" t="s">
        <v>966</v>
      </c>
      <c r="B9197" s="76" t="s">
        <v>1039</v>
      </c>
      <c r="C9197" s="84">
        <v>0.71</v>
      </c>
      <c r="D9197" s="84">
        <v>1.0</v>
      </c>
      <c r="E9197" s="84">
        <v>0.71</v>
      </c>
      <c r="F9197" s="76" t="s">
        <v>993</v>
      </c>
      <c r="G9197" s="83">
        <v>46118.0</v>
      </c>
      <c r="H9197" s="76" t="s">
        <v>967</v>
      </c>
    </row>
    <row r="9198">
      <c r="A9198" s="76" t="s">
        <v>966</v>
      </c>
      <c r="B9198" s="76" t="s">
        <v>1039</v>
      </c>
      <c r="C9198" s="84">
        <v>0.06</v>
      </c>
      <c r="D9198" s="84">
        <v>0.0</v>
      </c>
      <c r="E9198" s="84">
        <v>0.0</v>
      </c>
      <c r="F9198" s="76" t="s">
        <v>993</v>
      </c>
      <c r="G9198" s="83">
        <v>46118.0</v>
      </c>
      <c r="H9198" s="76" t="s">
        <v>968</v>
      </c>
    </row>
    <row r="9199">
      <c r="A9199" s="76" t="s">
        <v>966</v>
      </c>
      <c r="B9199" s="76" t="s">
        <v>1039</v>
      </c>
      <c r="C9199" s="84">
        <v>0.21</v>
      </c>
      <c r="D9199" s="84">
        <v>0.0</v>
      </c>
      <c r="E9199" s="84">
        <v>0.0</v>
      </c>
      <c r="F9199" s="76" t="s">
        <v>993</v>
      </c>
      <c r="G9199" s="83">
        <v>46118.0</v>
      </c>
      <c r="H9199" s="76" t="s">
        <v>969</v>
      </c>
    </row>
    <row r="9200">
      <c r="A9200" s="76" t="s">
        <v>29</v>
      </c>
      <c r="B9200" s="76" t="s">
        <v>1039</v>
      </c>
      <c r="C9200" s="84">
        <v>0.44</v>
      </c>
      <c r="D9200" s="84">
        <v>0.0</v>
      </c>
      <c r="E9200" s="84">
        <v>0.0</v>
      </c>
      <c r="F9200" s="76" t="s">
        <v>993</v>
      </c>
      <c r="G9200" s="83">
        <v>46118.0</v>
      </c>
      <c r="H9200" s="76" t="s">
        <v>971</v>
      </c>
    </row>
    <row r="9201">
      <c r="A9201" s="76" t="s">
        <v>29</v>
      </c>
      <c r="B9201" s="76" t="s">
        <v>1039</v>
      </c>
      <c r="C9201" s="84">
        <v>0.07</v>
      </c>
      <c r="D9201" s="84">
        <v>0.0</v>
      </c>
      <c r="E9201" s="84">
        <v>0.0</v>
      </c>
      <c r="F9201" s="76" t="s">
        <v>993</v>
      </c>
      <c r="G9201" s="83">
        <v>46118.0</v>
      </c>
      <c r="H9201" s="76" t="s">
        <v>972</v>
      </c>
    </row>
    <row r="9202">
      <c r="A9202" s="76" t="s">
        <v>29</v>
      </c>
      <c r="B9202" s="76" t="s">
        <v>1039</v>
      </c>
      <c r="C9202" s="84">
        <v>1.31</v>
      </c>
      <c r="D9202" s="84">
        <v>0.0</v>
      </c>
      <c r="E9202" s="84">
        <v>0.0</v>
      </c>
      <c r="F9202" s="76" t="s">
        <v>993</v>
      </c>
      <c r="G9202" s="83">
        <v>46118.0</v>
      </c>
      <c r="H9202" s="76" t="s">
        <v>973</v>
      </c>
    </row>
    <row r="9203">
      <c r="A9203" s="76" t="s">
        <v>34</v>
      </c>
      <c r="B9203" s="76" t="s">
        <v>1039</v>
      </c>
      <c r="C9203" s="84">
        <v>0.2</v>
      </c>
      <c r="D9203" s="84">
        <v>0.0</v>
      </c>
      <c r="E9203" s="84">
        <v>0.0</v>
      </c>
      <c r="F9203" s="76" t="s">
        <v>993</v>
      </c>
      <c r="G9203" s="83">
        <v>46118.0</v>
      </c>
      <c r="H9203" s="76" t="s">
        <v>951</v>
      </c>
    </row>
    <row r="9204">
      <c r="A9204" s="76" t="s">
        <v>34</v>
      </c>
      <c r="B9204" s="76" t="s">
        <v>1039</v>
      </c>
      <c r="C9204" s="84">
        <v>0.35</v>
      </c>
      <c r="D9204" s="84">
        <v>0.0</v>
      </c>
      <c r="E9204" s="84">
        <v>0.0</v>
      </c>
      <c r="F9204" s="76" t="s">
        <v>993</v>
      </c>
      <c r="G9204" s="83">
        <v>46118.0</v>
      </c>
      <c r="H9204" s="76" t="s">
        <v>952</v>
      </c>
    </row>
    <row r="9205">
      <c r="A9205" s="76" t="s">
        <v>34</v>
      </c>
      <c r="B9205" s="76" t="s">
        <v>1039</v>
      </c>
      <c r="C9205" s="84">
        <v>0.23</v>
      </c>
      <c r="D9205" s="84">
        <v>0.0</v>
      </c>
      <c r="E9205" s="84">
        <v>0.0</v>
      </c>
      <c r="F9205" s="76" t="s">
        <v>993</v>
      </c>
      <c r="G9205" s="83">
        <v>46118.0</v>
      </c>
      <c r="H9205" s="76" t="s">
        <v>953</v>
      </c>
    </row>
    <row r="9206">
      <c r="A9206" s="76" t="s">
        <v>43</v>
      </c>
      <c r="B9206" s="76" t="s">
        <v>1039</v>
      </c>
      <c r="C9206" s="84">
        <v>0.49</v>
      </c>
      <c r="D9206" s="84">
        <v>0.0</v>
      </c>
      <c r="E9206" s="84">
        <v>0.0</v>
      </c>
      <c r="F9206" s="76" t="s">
        <v>993</v>
      </c>
      <c r="G9206" s="83">
        <v>46118.0</v>
      </c>
      <c r="H9206" s="76" t="s">
        <v>963</v>
      </c>
    </row>
    <row r="9207">
      <c r="A9207" s="76" t="s">
        <v>43</v>
      </c>
      <c r="B9207" s="76" t="s">
        <v>1039</v>
      </c>
      <c r="C9207" s="84">
        <v>0.27</v>
      </c>
      <c r="D9207" s="84">
        <v>0.0</v>
      </c>
      <c r="E9207" s="84">
        <v>0.0</v>
      </c>
      <c r="F9207" s="76" t="s">
        <v>993</v>
      </c>
      <c r="G9207" s="83">
        <v>46118.0</v>
      </c>
      <c r="H9207" s="76" t="s">
        <v>964</v>
      </c>
    </row>
    <row r="9208">
      <c r="A9208" s="76" t="s">
        <v>43</v>
      </c>
      <c r="B9208" s="76" t="s">
        <v>1039</v>
      </c>
      <c r="C9208" s="84">
        <v>0.84</v>
      </c>
      <c r="D9208" s="84">
        <v>0.0</v>
      </c>
      <c r="E9208" s="84">
        <v>0.0</v>
      </c>
      <c r="F9208" s="76" t="s">
        <v>993</v>
      </c>
      <c r="G9208" s="83">
        <v>46118.0</v>
      </c>
      <c r="H9208" s="76" t="s">
        <v>965</v>
      </c>
    </row>
    <row r="9209">
      <c r="A9209" s="76" t="s">
        <v>36</v>
      </c>
      <c r="B9209" s="76" t="s">
        <v>1039</v>
      </c>
      <c r="C9209" s="84">
        <v>0.64</v>
      </c>
      <c r="D9209" s="84">
        <v>0.0</v>
      </c>
      <c r="E9209" s="84">
        <v>0.0</v>
      </c>
      <c r="F9209" s="76" t="s">
        <v>998</v>
      </c>
      <c r="G9209" s="83">
        <v>46118.0</v>
      </c>
      <c r="H9209" s="76" t="s">
        <v>926</v>
      </c>
    </row>
    <row r="9210">
      <c r="A9210" s="76" t="s">
        <v>36</v>
      </c>
      <c r="B9210" s="76" t="s">
        <v>1039</v>
      </c>
      <c r="C9210" s="84">
        <v>0.03</v>
      </c>
      <c r="D9210" s="84">
        <v>0.0</v>
      </c>
      <c r="E9210" s="84">
        <v>0.0</v>
      </c>
      <c r="F9210" s="76" t="s">
        <v>998</v>
      </c>
      <c r="G9210" s="83">
        <v>46118.0</v>
      </c>
      <c r="H9210" s="76" t="s">
        <v>927</v>
      </c>
    </row>
    <row r="9211">
      <c r="A9211" s="76" t="s">
        <v>36</v>
      </c>
      <c r="B9211" s="76" t="s">
        <v>1039</v>
      </c>
      <c r="C9211" s="84">
        <v>0.4</v>
      </c>
      <c r="D9211" s="84">
        <v>0.0</v>
      </c>
      <c r="E9211" s="84">
        <v>0.0</v>
      </c>
      <c r="F9211" s="76" t="s">
        <v>998</v>
      </c>
      <c r="G9211" s="83">
        <v>46118.0</v>
      </c>
      <c r="H9211" s="76" t="s">
        <v>928</v>
      </c>
    </row>
    <row r="9212">
      <c r="A9212" s="76" t="s">
        <v>34</v>
      </c>
      <c r="B9212" s="76" t="s">
        <v>1039</v>
      </c>
      <c r="C9212" s="84">
        <v>0.41</v>
      </c>
      <c r="D9212" s="84">
        <v>0.0</v>
      </c>
      <c r="E9212" s="84">
        <v>0.0</v>
      </c>
      <c r="F9212" s="76" t="s">
        <v>998</v>
      </c>
      <c r="G9212" s="83">
        <v>46118.0</v>
      </c>
      <c r="H9212" s="76" t="s">
        <v>951</v>
      </c>
    </row>
    <row r="9213">
      <c r="A9213" s="76" t="s">
        <v>34</v>
      </c>
      <c r="B9213" s="76" t="s">
        <v>1039</v>
      </c>
      <c r="C9213" s="84">
        <v>0.17</v>
      </c>
      <c r="D9213" s="84">
        <v>0.0</v>
      </c>
      <c r="E9213" s="84">
        <v>0.0</v>
      </c>
      <c r="F9213" s="76" t="s">
        <v>998</v>
      </c>
      <c r="G9213" s="83">
        <v>46118.0</v>
      </c>
      <c r="H9213" s="76" t="s">
        <v>952</v>
      </c>
    </row>
    <row r="9214">
      <c r="A9214" s="76" t="s">
        <v>34</v>
      </c>
      <c r="B9214" s="76" t="s">
        <v>1039</v>
      </c>
      <c r="C9214" s="84">
        <v>0.16</v>
      </c>
      <c r="D9214" s="84">
        <v>0.0</v>
      </c>
      <c r="E9214" s="84">
        <v>0.0</v>
      </c>
      <c r="F9214" s="76" t="s">
        <v>998</v>
      </c>
      <c r="G9214" s="83">
        <v>46118.0</v>
      </c>
      <c r="H9214" s="76" t="s">
        <v>953</v>
      </c>
    </row>
    <row r="9215">
      <c r="A9215" s="76" t="s">
        <v>33</v>
      </c>
      <c r="B9215" s="76" t="s">
        <v>1039</v>
      </c>
      <c r="C9215" s="84">
        <v>2.11</v>
      </c>
      <c r="D9215" s="84">
        <v>1.0</v>
      </c>
      <c r="E9215" s="84">
        <v>2.11</v>
      </c>
      <c r="F9215" s="76" t="s">
        <v>998</v>
      </c>
      <c r="G9215" s="83">
        <v>46118.0</v>
      </c>
      <c r="H9215" s="76" t="s">
        <v>957</v>
      </c>
    </row>
    <row r="9216">
      <c r="A9216" s="76" t="s">
        <v>33</v>
      </c>
      <c r="B9216" s="76" t="s">
        <v>1039</v>
      </c>
      <c r="C9216" s="84">
        <v>1.01</v>
      </c>
      <c r="D9216" s="84">
        <v>0.0</v>
      </c>
      <c r="E9216" s="84">
        <v>0.0</v>
      </c>
      <c r="F9216" s="76" t="s">
        <v>998</v>
      </c>
      <c r="G9216" s="83">
        <v>46118.0</v>
      </c>
      <c r="H9216" s="76" t="s">
        <v>958</v>
      </c>
    </row>
    <row r="9217">
      <c r="A9217" s="76" t="s">
        <v>33</v>
      </c>
      <c r="B9217" s="76" t="s">
        <v>1039</v>
      </c>
      <c r="C9217" s="84">
        <v>0.71</v>
      </c>
      <c r="D9217" s="84">
        <v>0.0</v>
      </c>
      <c r="E9217" s="84">
        <v>0.0</v>
      </c>
      <c r="F9217" s="76" t="s">
        <v>998</v>
      </c>
      <c r="G9217" s="83">
        <v>46118.0</v>
      </c>
      <c r="H9217" s="76" t="s">
        <v>959</v>
      </c>
    </row>
    <row r="9218">
      <c r="A9218" s="76" t="s">
        <v>29</v>
      </c>
      <c r="B9218" s="76" t="s">
        <v>1039</v>
      </c>
      <c r="C9218" s="84">
        <v>0.29</v>
      </c>
      <c r="D9218" s="84">
        <v>0.0</v>
      </c>
      <c r="E9218" s="84">
        <v>0.0</v>
      </c>
      <c r="F9218" s="76" t="s">
        <v>998</v>
      </c>
      <c r="G9218" s="83">
        <v>46118.0</v>
      </c>
      <c r="H9218" s="76" t="s">
        <v>971</v>
      </c>
    </row>
    <row r="9219">
      <c r="A9219" s="76" t="s">
        <v>29</v>
      </c>
      <c r="B9219" s="76" t="s">
        <v>1039</v>
      </c>
      <c r="C9219" s="84">
        <v>0.1</v>
      </c>
      <c r="D9219" s="84">
        <v>0.0</v>
      </c>
      <c r="E9219" s="84">
        <v>0.0</v>
      </c>
      <c r="F9219" s="76" t="s">
        <v>998</v>
      </c>
      <c r="G9219" s="83">
        <v>46118.0</v>
      </c>
      <c r="H9219" s="76" t="s">
        <v>972</v>
      </c>
    </row>
    <row r="9220">
      <c r="A9220" s="76" t="s">
        <v>29</v>
      </c>
      <c r="B9220" s="76" t="s">
        <v>1039</v>
      </c>
      <c r="C9220" s="84">
        <v>0.82</v>
      </c>
      <c r="D9220" s="84">
        <v>1.0</v>
      </c>
      <c r="E9220" s="84">
        <v>0.82</v>
      </c>
      <c r="F9220" s="76" t="s">
        <v>998</v>
      </c>
      <c r="G9220" s="83">
        <v>46118.0</v>
      </c>
      <c r="H9220" s="76" t="s">
        <v>973</v>
      </c>
    </row>
    <row r="9221">
      <c r="A9221" s="76" t="s">
        <v>46</v>
      </c>
      <c r="B9221" s="76" t="s">
        <v>1039</v>
      </c>
      <c r="C9221" s="84">
        <v>0.26</v>
      </c>
      <c r="D9221" s="84">
        <v>0.0</v>
      </c>
      <c r="E9221" s="84">
        <v>0.0</v>
      </c>
      <c r="F9221" s="76" t="s">
        <v>998</v>
      </c>
      <c r="G9221" s="83">
        <v>46118.0</v>
      </c>
      <c r="H9221" s="76" t="s">
        <v>960</v>
      </c>
    </row>
    <row r="9222">
      <c r="A9222" s="76" t="s">
        <v>46</v>
      </c>
      <c r="B9222" s="76" t="s">
        <v>1039</v>
      </c>
      <c r="C9222" s="84">
        <v>0.3</v>
      </c>
      <c r="D9222" s="84">
        <v>0.0</v>
      </c>
      <c r="E9222" s="84">
        <v>0.0</v>
      </c>
      <c r="F9222" s="76" t="s">
        <v>998</v>
      </c>
      <c r="G9222" s="83">
        <v>46118.0</v>
      </c>
      <c r="H9222" s="76" t="s">
        <v>961</v>
      </c>
    </row>
    <row r="9223">
      <c r="A9223" s="76" t="s">
        <v>46</v>
      </c>
      <c r="B9223" s="76" t="s">
        <v>1039</v>
      </c>
      <c r="C9223" s="84">
        <v>0.2</v>
      </c>
      <c r="D9223" s="84">
        <v>0.0</v>
      </c>
      <c r="E9223" s="84">
        <v>0.0</v>
      </c>
      <c r="F9223" s="76" t="s">
        <v>998</v>
      </c>
      <c r="G9223" s="83">
        <v>46118.0</v>
      </c>
      <c r="H9223" s="76" t="s">
        <v>962</v>
      </c>
    </row>
    <row r="9224">
      <c r="A9224" s="76" t="s">
        <v>40</v>
      </c>
      <c r="B9224" s="76" t="s">
        <v>1039</v>
      </c>
      <c r="C9224" s="84">
        <v>0.58</v>
      </c>
      <c r="D9224" s="84">
        <v>1.0</v>
      </c>
      <c r="E9224" s="84">
        <v>0.58</v>
      </c>
      <c r="F9224" s="76" t="s">
        <v>998</v>
      </c>
      <c r="G9224" s="83">
        <v>46118.0</v>
      </c>
      <c r="H9224" s="76" t="s">
        <v>954</v>
      </c>
    </row>
    <row r="9225">
      <c r="A9225" s="76" t="s">
        <v>40</v>
      </c>
      <c r="B9225" s="76" t="s">
        <v>1039</v>
      </c>
      <c r="C9225" s="84">
        <v>0.03</v>
      </c>
      <c r="D9225" s="84">
        <v>0.0</v>
      </c>
      <c r="E9225" s="84">
        <v>0.0</v>
      </c>
      <c r="F9225" s="76" t="s">
        <v>998</v>
      </c>
      <c r="G9225" s="83">
        <v>46118.0</v>
      </c>
      <c r="H9225" s="76" t="s">
        <v>955</v>
      </c>
    </row>
    <row r="9226">
      <c r="A9226" s="76" t="s">
        <v>40</v>
      </c>
      <c r="B9226" s="76" t="s">
        <v>1039</v>
      </c>
      <c r="C9226" s="84">
        <v>0.86</v>
      </c>
      <c r="D9226" s="84">
        <v>0.0</v>
      </c>
      <c r="E9226" s="84">
        <v>0.0</v>
      </c>
      <c r="F9226" s="76" t="s">
        <v>998</v>
      </c>
      <c r="G9226" s="83">
        <v>46118.0</v>
      </c>
      <c r="H9226" s="76" t="s">
        <v>956</v>
      </c>
    </row>
    <row r="9227">
      <c r="A9227" s="76" t="s">
        <v>966</v>
      </c>
      <c r="B9227" s="76" t="s">
        <v>1039</v>
      </c>
      <c r="C9227" s="84">
        <v>0.42</v>
      </c>
      <c r="D9227" s="84">
        <v>0.0</v>
      </c>
      <c r="E9227" s="84">
        <v>0.0</v>
      </c>
      <c r="F9227" s="76" t="s">
        <v>998</v>
      </c>
      <c r="G9227" s="83">
        <v>46118.0</v>
      </c>
      <c r="H9227" s="76" t="s">
        <v>967</v>
      </c>
    </row>
    <row r="9228">
      <c r="A9228" s="76" t="s">
        <v>966</v>
      </c>
      <c r="B9228" s="76" t="s">
        <v>1039</v>
      </c>
      <c r="C9228" s="84">
        <v>0.04</v>
      </c>
      <c r="D9228" s="84">
        <v>0.0</v>
      </c>
      <c r="E9228" s="84">
        <v>0.0</v>
      </c>
      <c r="F9228" s="76" t="s">
        <v>998</v>
      </c>
      <c r="G9228" s="83">
        <v>46118.0</v>
      </c>
      <c r="H9228" s="76" t="s">
        <v>968</v>
      </c>
    </row>
    <row r="9229">
      <c r="A9229" s="76" t="s">
        <v>966</v>
      </c>
      <c r="B9229" s="76" t="s">
        <v>1039</v>
      </c>
      <c r="C9229" s="84">
        <v>0.39</v>
      </c>
      <c r="D9229" s="84">
        <v>0.0</v>
      </c>
      <c r="E9229" s="84">
        <v>0.0</v>
      </c>
      <c r="F9229" s="76" t="s">
        <v>998</v>
      </c>
      <c r="G9229" s="83">
        <v>46118.0</v>
      </c>
      <c r="H9229" s="76" t="s">
        <v>969</v>
      </c>
    </row>
    <row r="9230">
      <c r="A9230" s="76" t="s">
        <v>43</v>
      </c>
      <c r="B9230" s="76" t="s">
        <v>1039</v>
      </c>
      <c r="C9230" s="84">
        <v>0.12</v>
      </c>
      <c r="D9230" s="84">
        <v>0.0</v>
      </c>
      <c r="E9230" s="84">
        <v>0.0</v>
      </c>
      <c r="F9230" s="76" t="s">
        <v>998</v>
      </c>
      <c r="G9230" s="83">
        <v>46118.0</v>
      </c>
      <c r="H9230" s="76" t="s">
        <v>963</v>
      </c>
    </row>
    <row r="9231">
      <c r="A9231" s="76" t="s">
        <v>43</v>
      </c>
      <c r="B9231" s="76" t="s">
        <v>1039</v>
      </c>
      <c r="C9231" s="84">
        <v>0.52</v>
      </c>
      <c r="D9231" s="84">
        <v>0.0</v>
      </c>
      <c r="E9231" s="84">
        <v>0.0</v>
      </c>
      <c r="F9231" s="76" t="s">
        <v>998</v>
      </c>
      <c r="G9231" s="83">
        <v>46118.0</v>
      </c>
      <c r="H9231" s="76" t="s">
        <v>964</v>
      </c>
    </row>
    <row r="9232">
      <c r="A9232" s="76" t="s">
        <v>43</v>
      </c>
      <c r="B9232" s="76" t="s">
        <v>1039</v>
      </c>
      <c r="C9232" s="84">
        <v>0.56</v>
      </c>
      <c r="D9232" s="84">
        <v>0.0</v>
      </c>
      <c r="E9232" s="84">
        <v>0.0</v>
      </c>
      <c r="F9232" s="76" t="s">
        <v>998</v>
      </c>
      <c r="G9232" s="83">
        <v>46118.0</v>
      </c>
      <c r="H9232" s="76" t="s">
        <v>965</v>
      </c>
    </row>
    <row r="9233">
      <c r="A9233" s="76" t="s">
        <v>970</v>
      </c>
      <c r="B9233" s="76" t="s">
        <v>1039</v>
      </c>
      <c r="C9233" s="84">
        <v>0.73</v>
      </c>
      <c r="D9233" s="84">
        <v>0.0</v>
      </c>
      <c r="E9233" s="84">
        <v>0.0</v>
      </c>
      <c r="F9233" s="76" t="s">
        <v>998</v>
      </c>
      <c r="G9233" s="83">
        <v>46118.0</v>
      </c>
      <c r="H9233" s="76" t="s">
        <v>971</v>
      </c>
    </row>
    <row r="9234">
      <c r="A9234" s="76" t="s">
        <v>970</v>
      </c>
      <c r="B9234" s="76" t="s">
        <v>1039</v>
      </c>
      <c r="C9234" s="84">
        <v>0.18</v>
      </c>
      <c r="D9234" s="84">
        <v>0.0</v>
      </c>
      <c r="E9234" s="84">
        <v>0.0</v>
      </c>
      <c r="F9234" s="76" t="s">
        <v>998</v>
      </c>
      <c r="G9234" s="83">
        <v>46118.0</v>
      </c>
      <c r="H9234" s="76" t="s">
        <v>972</v>
      </c>
    </row>
    <row r="9235">
      <c r="A9235" s="76" t="s">
        <v>970</v>
      </c>
      <c r="B9235" s="76" t="s">
        <v>1039</v>
      </c>
      <c r="C9235" s="84">
        <v>0.84</v>
      </c>
      <c r="D9235" s="84">
        <v>0.0</v>
      </c>
      <c r="E9235" s="84">
        <v>0.0</v>
      </c>
      <c r="F9235" s="76" t="s">
        <v>998</v>
      </c>
      <c r="G9235" s="83">
        <v>46118.0</v>
      </c>
      <c r="H9235" s="76" t="s">
        <v>973</v>
      </c>
    </row>
    <row r="9236">
      <c r="A9236" s="76" t="s">
        <v>46</v>
      </c>
      <c r="B9236" s="76" t="s">
        <v>1039</v>
      </c>
      <c r="C9236" s="84">
        <v>0.02</v>
      </c>
      <c r="D9236" s="84">
        <v>0.0</v>
      </c>
      <c r="E9236" s="84">
        <v>0.0</v>
      </c>
      <c r="F9236" s="76" t="s">
        <v>997</v>
      </c>
      <c r="G9236" s="83">
        <v>46118.0</v>
      </c>
      <c r="H9236" s="76" t="s">
        <v>960</v>
      </c>
    </row>
    <row r="9237">
      <c r="A9237" s="76" t="s">
        <v>46</v>
      </c>
      <c r="B9237" s="76" t="s">
        <v>1039</v>
      </c>
      <c r="C9237" s="84">
        <v>0.05</v>
      </c>
      <c r="D9237" s="84">
        <v>0.0</v>
      </c>
      <c r="E9237" s="84">
        <v>0.0</v>
      </c>
      <c r="F9237" s="76" t="s">
        <v>997</v>
      </c>
      <c r="G9237" s="83">
        <v>46118.0</v>
      </c>
      <c r="H9237" s="76" t="s">
        <v>961</v>
      </c>
    </row>
    <row r="9238">
      <c r="A9238" s="76" t="s">
        <v>46</v>
      </c>
      <c r="B9238" s="76" t="s">
        <v>1039</v>
      </c>
      <c r="C9238" s="84">
        <v>0.03</v>
      </c>
      <c r="D9238" s="84">
        <v>0.0</v>
      </c>
      <c r="E9238" s="84">
        <v>0.0</v>
      </c>
      <c r="F9238" s="76" t="s">
        <v>997</v>
      </c>
      <c r="G9238" s="83">
        <v>46118.0</v>
      </c>
      <c r="H9238" s="76" t="s">
        <v>962</v>
      </c>
    </row>
    <row r="9239">
      <c r="A9239" s="76" t="s">
        <v>34</v>
      </c>
      <c r="B9239" s="76" t="s">
        <v>1039</v>
      </c>
      <c r="C9239" s="84">
        <v>0.08</v>
      </c>
      <c r="D9239" s="84">
        <v>0.0</v>
      </c>
      <c r="E9239" s="84">
        <v>0.0</v>
      </c>
      <c r="F9239" s="76" t="s">
        <v>997</v>
      </c>
      <c r="G9239" s="83">
        <v>46118.0</v>
      </c>
      <c r="H9239" s="76" t="s">
        <v>951</v>
      </c>
    </row>
    <row r="9240">
      <c r="A9240" s="76" t="s">
        <v>34</v>
      </c>
      <c r="B9240" s="76" t="s">
        <v>1039</v>
      </c>
      <c r="C9240" s="84">
        <v>0.14</v>
      </c>
      <c r="D9240" s="84">
        <v>0.0</v>
      </c>
      <c r="E9240" s="84">
        <v>0.0</v>
      </c>
      <c r="F9240" s="76" t="s">
        <v>997</v>
      </c>
      <c r="G9240" s="83">
        <v>46118.0</v>
      </c>
      <c r="H9240" s="76" t="s">
        <v>952</v>
      </c>
    </row>
    <row r="9241">
      <c r="A9241" s="76" t="s">
        <v>34</v>
      </c>
      <c r="B9241" s="76" t="s">
        <v>1039</v>
      </c>
      <c r="C9241" s="84">
        <v>0.15</v>
      </c>
      <c r="D9241" s="84">
        <v>0.0</v>
      </c>
      <c r="E9241" s="84">
        <v>0.0</v>
      </c>
      <c r="F9241" s="76" t="s">
        <v>997</v>
      </c>
      <c r="G9241" s="83">
        <v>46118.0</v>
      </c>
      <c r="H9241" s="76" t="s">
        <v>953</v>
      </c>
    </row>
    <row r="9242">
      <c r="A9242" s="76" t="s">
        <v>40</v>
      </c>
      <c r="B9242" s="76" t="s">
        <v>1039</v>
      </c>
      <c r="C9242" s="84">
        <v>0.09</v>
      </c>
      <c r="D9242" s="84">
        <v>0.0</v>
      </c>
      <c r="E9242" s="84">
        <v>0.0</v>
      </c>
      <c r="F9242" s="76" t="s">
        <v>997</v>
      </c>
      <c r="G9242" s="83">
        <v>46118.0</v>
      </c>
      <c r="H9242" s="76" t="s">
        <v>954</v>
      </c>
    </row>
    <row r="9243">
      <c r="A9243" s="76" t="s">
        <v>40</v>
      </c>
      <c r="B9243" s="76" t="s">
        <v>1039</v>
      </c>
      <c r="C9243" s="84">
        <v>0.03</v>
      </c>
      <c r="D9243" s="84">
        <v>0.0</v>
      </c>
      <c r="E9243" s="84">
        <v>0.0</v>
      </c>
      <c r="F9243" s="76" t="s">
        <v>997</v>
      </c>
      <c r="G9243" s="83">
        <v>46118.0</v>
      </c>
      <c r="H9243" s="76" t="s">
        <v>955</v>
      </c>
    </row>
    <row r="9244">
      <c r="A9244" s="76" t="s">
        <v>40</v>
      </c>
      <c r="B9244" s="76" t="s">
        <v>1039</v>
      </c>
      <c r="C9244" s="84">
        <v>0.48</v>
      </c>
      <c r="D9244" s="84">
        <v>0.0</v>
      </c>
      <c r="E9244" s="84">
        <v>0.0</v>
      </c>
      <c r="F9244" s="76" t="s">
        <v>997</v>
      </c>
      <c r="G9244" s="83">
        <v>46118.0</v>
      </c>
      <c r="H9244" s="76" t="s">
        <v>956</v>
      </c>
    </row>
    <row r="9245">
      <c r="A9245" s="76" t="s">
        <v>36</v>
      </c>
      <c r="B9245" s="76" t="s">
        <v>1039</v>
      </c>
      <c r="C9245" s="84">
        <v>0.24</v>
      </c>
      <c r="D9245" s="84">
        <v>0.0</v>
      </c>
      <c r="E9245" s="84">
        <v>0.0</v>
      </c>
      <c r="F9245" s="76" t="s">
        <v>997</v>
      </c>
      <c r="G9245" s="83">
        <v>46118.0</v>
      </c>
      <c r="H9245" s="76" t="s">
        <v>926</v>
      </c>
    </row>
    <row r="9246">
      <c r="A9246" s="76" t="s">
        <v>36</v>
      </c>
      <c r="B9246" s="76" t="s">
        <v>1039</v>
      </c>
      <c r="C9246" s="84">
        <v>0.05</v>
      </c>
      <c r="D9246" s="84">
        <v>0.0</v>
      </c>
      <c r="E9246" s="84">
        <v>0.0</v>
      </c>
      <c r="F9246" s="76" t="s">
        <v>997</v>
      </c>
      <c r="G9246" s="83">
        <v>46118.0</v>
      </c>
      <c r="H9246" s="76" t="s">
        <v>927</v>
      </c>
    </row>
    <row r="9247">
      <c r="A9247" s="76" t="s">
        <v>36</v>
      </c>
      <c r="B9247" s="76" t="s">
        <v>1039</v>
      </c>
      <c r="C9247" s="84">
        <v>0.09</v>
      </c>
      <c r="D9247" s="84">
        <v>0.0</v>
      </c>
      <c r="E9247" s="84">
        <v>0.0</v>
      </c>
      <c r="F9247" s="76" t="s">
        <v>997</v>
      </c>
      <c r="G9247" s="83">
        <v>46118.0</v>
      </c>
      <c r="H9247" s="76" t="s">
        <v>928</v>
      </c>
    </row>
    <row r="9248">
      <c r="A9248" s="76" t="s">
        <v>970</v>
      </c>
      <c r="B9248" s="76" t="s">
        <v>1039</v>
      </c>
      <c r="C9248" s="84">
        <v>0.24</v>
      </c>
      <c r="D9248" s="84">
        <v>0.0</v>
      </c>
      <c r="E9248" s="84">
        <v>0.0</v>
      </c>
      <c r="F9248" s="76" t="s">
        <v>997</v>
      </c>
      <c r="G9248" s="83">
        <v>46118.0</v>
      </c>
      <c r="H9248" s="76" t="s">
        <v>971</v>
      </c>
    </row>
    <row r="9249">
      <c r="A9249" s="76" t="s">
        <v>970</v>
      </c>
      <c r="B9249" s="76" t="s">
        <v>1039</v>
      </c>
      <c r="C9249" s="84">
        <v>0.04</v>
      </c>
      <c r="D9249" s="84">
        <v>0.0</v>
      </c>
      <c r="E9249" s="84">
        <v>0.0</v>
      </c>
      <c r="F9249" s="76" t="s">
        <v>997</v>
      </c>
      <c r="G9249" s="83">
        <v>46118.0</v>
      </c>
      <c r="H9249" s="76" t="s">
        <v>972</v>
      </c>
    </row>
    <row r="9250">
      <c r="A9250" s="76" t="s">
        <v>970</v>
      </c>
      <c r="B9250" s="76" t="s">
        <v>1039</v>
      </c>
      <c r="C9250" s="84">
        <v>0.34</v>
      </c>
      <c r="D9250" s="84">
        <v>0.0</v>
      </c>
      <c r="E9250" s="84">
        <v>0.0</v>
      </c>
      <c r="F9250" s="76" t="s">
        <v>997</v>
      </c>
      <c r="G9250" s="83">
        <v>46118.0</v>
      </c>
      <c r="H9250" s="76" t="s">
        <v>973</v>
      </c>
    </row>
    <row r="9251">
      <c r="A9251" s="76" t="s">
        <v>33</v>
      </c>
      <c r="B9251" s="76" t="s">
        <v>1039</v>
      </c>
      <c r="C9251" s="84">
        <v>0.78</v>
      </c>
      <c r="D9251" s="84">
        <v>1.0</v>
      </c>
      <c r="E9251" s="84">
        <v>0.78</v>
      </c>
      <c r="F9251" s="76" t="s">
        <v>997</v>
      </c>
      <c r="G9251" s="83">
        <v>46118.0</v>
      </c>
      <c r="H9251" s="76" t="s">
        <v>957</v>
      </c>
    </row>
    <row r="9252">
      <c r="A9252" s="76" t="s">
        <v>33</v>
      </c>
      <c r="B9252" s="76" t="s">
        <v>1039</v>
      </c>
      <c r="C9252" s="84">
        <v>0.15</v>
      </c>
      <c r="D9252" s="84">
        <v>0.0</v>
      </c>
      <c r="E9252" s="84">
        <v>0.0</v>
      </c>
      <c r="F9252" s="76" t="s">
        <v>997</v>
      </c>
      <c r="G9252" s="83">
        <v>46118.0</v>
      </c>
      <c r="H9252" s="76" t="s">
        <v>958</v>
      </c>
    </row>
    <row r="9253">
      <c r="A9253" s="76" t="s">
        <v>33</v>
      </c>
      <c r="B9253" s="76" t="s">
        <v>1039</v>
      </c>
      <c r="C9253" s="84">
        <v>0.22</v>
      </c>
      <c r="D9253" s="84">
        <v>0.0</v>
      </c>
      <c r="E9253" s="84">
        <v>0.0</v>
      </c>
      <c r="F9253" s="76" t="s">
        <v>997</v>
      </c>
      <c r="G9253" s="83">
        <v>46118.0</v>
      </c>
      <c r="H9253" s="76" t="s">
        <v>959</v>
      </c>
    </row>
    <row r="9254">
      <c r="A9254" s="76" t="s">
        <v>29</v>
      </c>
      <c r="B9254" s="76" t="s">
        <v>1039</v>
      </c>
      <c r="C9254" s="84">
        <v>0.14</v>
      </c>
      <c r="D9254" s="84">
        <v>0.0</v>
      </c>
      <c r="E9254" s="84">
        <v>0.0</v>
      </c>
      <c r="F9254" s="76" t="s">
        <v>997</v>
      </c>
      <c r="G9254" s="83">
        <v>46118.0</v>
      </c>
      <c r="H9254" s="76" t="s">
        <v>971</v>
      </c>
    </row>
    <row r="9255">
      <c r="A9255" s="76" t="s">
        <v>29</v>
      </c>
      <c r="B9255" s="76" t="s">
        <v>1039</v>
      </c>
      <c r="C9255" s="84">
        <v>0.01</v>
      </c>
      <c r="D9255" s="84">
        <v>0.0</v>
      </c>
      <c r="E9255" s="84">
        <v>0.0</v>
      </c>
      <c r="F9255" s="76" t="s">
        <v>997</v>
      </c>
      <c r="G9255" s="83">
        <v>46118.0</v>
      </c>
      <c r="H9255" s="76" t="s">
        <v>972</v>
      </c>
    </row>
    <row r="9256">
      <c r="A9256" s="76" t="s">
        <v>29</v>
      </c>
      <c r="B9256" s="76" t="s">
        <v>1039</v>
      </c>
      <c r="C9256" s="84">
        <v>0.27</v>
      </c>
      <c r="D9256" s="84">
        <v>0.0</v>
      </c>
      <c r="E9256" s="84">
        <v>0.0</v>
      </c>
      <c r="F9256" s="76" t="s">
        <v>997</v>
      </c>
      <c r="G9256" s="83">
        <v>46118.0</v>
      </c>
      <c r="H9256" s="76" t="s">
        <v>973</v>
      </c>
    </row>
    <row r="9257">
      <c r="A9257" s="76" t="s">
        <v>43</v>
      </c>
      <c r="B9257" s="76" t="s">
        <v>1039</v>
      </c>
      <c r="C9257" s="84">
        <v>0.06</v>
      </c>
      <c r="D9257" s="84">
        <v>0.0</v>
      </c>
      <c r="E9257" s="84">
        <v>0.0</v>
      </c>
      <c r="F9257" s="76" t="s">
        <v>997</v>
      </c>
      <c r="G9257" s="83">
        <v>46118.0</v>
      </c>
      <c r="H9257" s="76" t="s">
        <v>963</v>
      </c>
    </row>
    <row r="9258">
      <c r="A9258" s="76" t="s">
        <v>43</v>
      </c>
      <c r="B9258" s="76" t="s">
        <v>1039</v>
      </c>
      <c r="C9258" s="84">
        <v>0.1</v>
      </c>
      <c r="D9258" s="84">
        <v>0.0</v>
      </c>
      <c r="E9258" s="84">
        <v>0.0</v>
      </c>
      <c r="F9258" s="76" t="s">
        <v>997</v>
      </c>
      <c r="G9258" s="83">
        <v>46118.0</v>
      </c>
      <c r="H9258" s="76" t="s">
        <v>964</v>
      </c>
    </row>
    <row r="9259">
      <c r="A9259" s="76" t="s">
        <v>43</v>
      </c>
      <c r="B9259" s="76" t="s">
        <v>1039</v>
      </c>
      <c r="C9259" s="84">
        <v>0.26</v>
      </c>
      <c r="D9259" s="84">
        <v>0.0</v>
      </c>
      <c r="E9259" s="84">
        <v>0.0</v>
      </c>
      <c r="F9259" s="76" t="s">
        <v>997</v>
      </c>
      <c r="G9259" s="83">
        <v>46118.0</v>
      </c>
      <c r="H9259" s="76" t="s">
        <v>965</v>
      </c>
    </row>
    <row r="9260">
      <c r="A9260" s="76" t="s">
        <v>966</v>
      </c>
      <c r="B9260" s="76" t="s">
        <v>1039</v>
      </c>
      <c r="C9260" s="84">
        <v>0.14</v>
      </c>
      <c r="D9260" s="84">
        <v>0.0</v>
      </c>
      <c r="E9260" s="84">
        <v>0.0</v>
      </c>
      <c r="F9260" s="76" t="s">
        <v>997</v>
      </c>
      <c r="G9260" s="83">
        <v>46118.0</v>
      </c>
      <c r="H9260" s="76" t="s">
        <v>967</v>
      </c>
    </row>
    <row r="9261">
      <c r="A9261" s="76" t="s">
        <v>966</v>
      </c>
      <c r="B9261" s="76" t="s">
        <v>1039</v>
      </c>
      <c r="C9261" s="84">
        <v>0.09</v>
      </c>
      <c r="D9261" s="84">
        <v>0.0</v>
      </c>
      <c r="E9261" s="84">
        <v>0.0</v>
      </c>
      <c r="F9261" s="76" t="s">
        <v>997</v>
      </c>
      <c r="G9261" s="83">
        <v>46118.0</v>
      </c>
      <c r="H9261" s="76" t="s">
        <v>968</v>
      </c>
    </row>
    <row r="9262">
      <c r="A9262" s="76" t="s">
        <v>966</v>
      </c>
      <c r="B9262" s="76" t="s">
        <v>1039</v>
      </c>
      <c r="C9262" s="84">
        <v>0.05</v>
      </c>
      <c r="D9262" s="84">
        <v>0.0</v>
      </c>
      <c r="E9262" s="84">
        <v>0.0</v>
      </c>
      <c r="F9262" s="76" t="s">
        <v>997</v>
      </c>
      <c r="G9262" s="83">
        <v>46118.0</v>
      </c>
      <c r="H9262" s="76" t="s">
        <v>969</v>
      </c>
    </row>
    <row r="9263">
      <c r="A9263" s="76" t="s">
        <v>42</v>
      </c>
      <c r="B9263" s="76" t="s">
        <v>1040</v>
      </c>
      <c r="C9263" s="84">
        <v>1.85</v>
      </c>
      <c r="D9263" s="84">
        <v>0.0</v>
      </c>
      <c r="E9263" s="84">
        <v>0.0</v>
      </c>
      <c r="F9263" s="76" t="s">
        <v>925</v>
      </c>
      <c r="G9263" s="83">
        <v>46118.0</v>
      </c>
      <c r="H9263" s="76" t="s">
        <v>991</v>
      </c>
    </row>
    <row r="9264">
      <c r="A9264" s="76" t="s">
        <v>42</v>
      </c>
      <c r="B9264" s="76" t="s">
        <v>1040</v>
      </c>
      <c r="C9264" s="84">
        <v>26.22</v>
      </c>
      <c r="D9264" s="84">
        <v>5.0</v>
      </c>
      <c r="E9264" s="84">
        <v>5.24</v>
      </c>
      <c r="F9264" s="76" t="s">
        <v>925</v>
      </c>
      <c r="G9264" s="83">
        <v>46118.0</v>
      </c>
      <c r="H9264" s="76" t="s">
        <v>935</v>
      </c>
    </row>
    <row r="9265">
      <c r="A9265" s="76" t="s">
        <v>36</v>
      </c>
      <c r="B9265" s="76" t="s">
        <v>1040</v>
      </c>
      <c r="C9265" s="84">
        <v>41.55</v>
      </c>
      <c r="D9265" s="84">
        <v>7.0</v>
      </c>
      <c r="E9265" s="84">
        <v>5.94</v>
      </c>
      <c r="F9265" s="76" t="s">
        <v>925</v>
      </c>
      <c r="G9265" s="83">
        <v>46118.0</v>
      </c>
      <c r="H9265" s="76" t="s">
        <v>926</v>
      </c>
    </row>
    <row r="9266">
      <c r="A9266" s="76" t="s">
        <v>36</v>
      </c>
      <c r="B9266" s="76" t="s">
        <v>1040</v>
      </c>
      <c r="C9266" s="84">
        <v>3.15</v>
      </c>
      <c r="D9266" s="84">
        <v>1.0</v>
      </c>
      <c r="E9266" s="84">
        <v>3.15</v>
      </c>
      <c r="F9266" s="76" t="s">
        <v>925</v>
      </c>
      <c r="G9266" s="83">
        <v>46118.0</v>
      </c>
      <c r="H9266" s="76" t="s">
        <v>927</v>
      </c>
    </row>
    <row r="9267">
      <c r="A9267" s="76" t="s">
        <v>36</v>
      </c>
      <c r="B9267" s="76" t="s">
        <v>1040</v>
      </c>
      <c r="C9267" s="84">
        <v>5.88</v>
      </c>
      <c r="D9267" s="84">
        <v>4.0</v>
      </c>
      <c r="E9267" s="84">
        <v>1.47</v>
      </c>
      <c r="F9267" s="76" t="s">
        <v>925</v>
      </c>
      <c r="G9267" s="83">
        <v>46118.0</v>
      </c>
      <c r="H9267" s="76" t="s">
        <v>928</v>
      </c>
    </row>
    <row r="9268">
      <c r="A9268" s="76" t="s">
        <v>32</v>
      </c>
      <c r="B9268" s="76" t="s">
        <v>1040</v>
      </c>
      <c r="C9268" s="84">
        <v>26.09</v>
      </c>
      <c r="D9268" s="84">
        <v>9.0</v>
      </c>
      <c r="E9268" s="84">
        <v>2.9</v>
      </c>
      <c r="F9268" s="76" t="s">
        <v>925</v>
      </c>
      <c r="G9268" s="83">
        <v>46118.0</v>
      </c>
      <c r="H9268" s="76" t="s">
        <v>941</v>
      </c>
    </row>
    <row r="9269">
      <c r="A9269" s="76" t="s">
        <v>32</v>
      </c>
      <c r="B9269" s="76" t="s">
        <v>1040</v>
      </c>
      <c r="C9269" s="84">
        <v>6.69</v>
      </c>
      <c r="D9269" s="84">
        <v>3.0</v>
      </c>
      <c r="E9269" s="84">
        <v>2.23</v>
      </c>
      <c r="F9269" s="76" t="s">
        <v>925</v>
      </c>
      <c r="G9269" s="83">
        <v>46118.0</v>
      </c>
      <c r="H9269" s="76" t="s">
        <v>942</v>
      </c>
    </row>
    <row r="9270">
      <c r="A9270" s="76" t="s">
        <v>32</v>
      </c>
      <c r="B9270" s="76" t="s">
        <v>1040</v>
      </c>
      <c r="C9270" s="84">
        <v>15.57</v>
      </c>
      <c r="D9270" s="84">
        <v>3.0</v>
      </c>
      <c r="E9270" s="84">
        <v>5.19</v>
      </c>
      <c r="F9270" s="76" t="s">
        <v>925</v>
      </c>
      <c r="G9270" s="83">
        <v>46118.0</v>
      </c>
      <c r="H9270" s="76" t="s">
        <v>943</v>
      </c>
    </row>
    <row r="9271">
      <c r="A9271" s="76" t="s">
        <v>944</v>
      </c>
      <c r="B9271" s="76" t="s">
        <v>1040</v>
      </c>
      <c r="C9271" s="84">
        <v>20.1</v>
      </c>
      <c r="D9271" s="84">
        <v>5.0</v>
      </c>
      <c r="E9271" s="84">
        <v>4.02</v>
      </c>
      <c r="F9271" s="76" t="s">
        <v>925</v>
      </c>
      <c r="G9271" s="83">
        <v>46118.0</v>
      </c>
      <c r="H9271" s="76" t="s">
        <v>945</v>
      </c>
    </row>
    <row r="9272">
      <c r="A9272" s="76" t="s">
        <v>944</v>
      </c>
      <c r="B9272" s="76" t="s">
        <v>1040</v>
      </c>
      <c r="C9272" s="84">
        <v>3.69</v>
      </c>
      <c r="D9272" s="84">
        <v>2.0</v>
      </c>
      <c r="E9272" s="84">
        <v>1.84</v>
      </c>
      <c r="F9272" s="76" t="s">
        <v>925</v>
      </c>
      <c r="G9272" s="83">
        <v>46118.0</v>
      </c>
      <c r="H9272" s="76" t="s">
        <v>946</v>
      </c>
    </row>
    <row r="9273">
      <c r="A9273" s="76" t="s">
        <v>944</v>
      </c>
      <c r="B9273" s="76" t="s">
        <v>1040</v>
      </c>
      <c r="C9273" s="84">
        <v>8.61</v>
      </c>
      <c r="D9273" s="84">
        <v>2.0</v>
      </c>
      <c r="E9273" s="84">
        <v>4.31</v>
      </c>
      <c r="F9273" s="76" t="s">
        <v>925</v>
      </c>
      <c r="G9273" s="83">
        <v>46118.0</v>
      </c>
      <c r="H9273" s="76" t="s">
        <v>947</v>
      </c>
    </row>
    <row r="9274">
      <c r="A9274" s="76" t="s">
        <v>31</v>
      </c>
      <c r="B9274" s="76" t="s">
        <v>1040</v>
      </c>
      <c r="C9274" s="84">
        <v>4.78</v>
      </c>
      <c r="D9274" s="84">
        <v>0.0</v>
      </c>
      <c r="E9274" s="84">
        <v>0.0</v>
      </c>
      <c r="F9274" s="76" t="s">
        <v>925</v>
      </c>
      <c r="G9274" s="83">
        <v>46118.0</v>
      </c>
      <c r="H9274" s="76" t="s">
        <v>929</v>
      </c>
    </row>
    <row r="9275">
      <c r="A9275" s="76" t="s">
        <v>31</v>
      </c>
      <c r="B9275" s="76" t="s">
        <v>1040</v>
      </c>
      <c r="C9275" s="84">
        <v>533.42</v>
      </c>
      <c r="D9275" s="84">
        <v>124.0</v>
      </c>
      <c r="E9275" s="84">
        <v>4.3</v>
      </c>
      <c r="F9275" s="76" t="s">
        <v>925</v>
      </c>
      <c r="G9275" s="83">
        <v>46118.0</v>
      </c>
      <c r="H9275" s="76" t="s">
        <v>930</v>
      </c>
    </row>
    <row r="9276">
      <c r="A9276" s="76" t="s">
        <v>45</v>
      </c>
      <c r="B9276" s="76" t="s">
        <v>1040</v>
      </c>
      <c r="C9276" s="84">
        <v>3.44</v>
      </c>
      <c r="D9276" s="84">
        <v>0.0</v>
      </c>
      <c r="E9276" s="84">
        <v>0.0</v>
      </c>
      <c r="F9276" s="76" t="s">
        <v>925</v>
      </c>
      <c r="G9276" s="83">
        <v>46118.0</v>
      </c>
      <c r="H9276" s="76" t="s">
        <v>936</v>
      </c>
    </row>
    <row r="9277">
      <c r="A9277" s="76" t="s">
        <v>45</v>
      </c>
      <c r="B9277" s="76" t="s">
        <v>1040</v>
      </c>
      <c r="C9277" s="84">
        <v>2.94</v>
      </c>
      <c r="D9277" s="84">
        <v>1.0</v>
      </c>
      <c r="E9277" s="84">
        <v>2.94</v>
      </c>
      <c r="F9277" s="76" t="s">
        <v>925</v>
      </c>
      <c r="G9277" s="83">
        <v>46118.0</v>
      </c>
      <c r="H9277" s="76" t="s">
        <v>937</v>
      </c>
    </row>
    <row r="9278">
      <c r="A9278" s="76" t="s">
        <v>45</v>
      </c>
      <c r="B9278" s="76" t="s">
        <v>1040</v>
      </c>
      <c r="C9278" s="84">
        <v>3.78</v>
      </c>
      <c r="D9278" s="84">
        <v>2.0</v>
      </c>
      <c r="E9278" s="84">
        <v>1.89</v>
      </c>
      <c r="F9278" s="76" t="s">
        <v>925</v>
      </c>
      <c r="G9278" s="83">
        <v>46118.0</v>
      </c>
      <c r="H9278" s="76" t="s">
        <v>938</v>
      </c>
    </row>
    <row r="9279">
      <c r="A9279" s="76" t="s">
        <v>26</v>
      </c>
      <c r="B9279" s="76" t="s">
        <v>1040</v>
      </c>
      <c r="C9279" s="84">
        <v>2.08</v>
      </c>
      <c r="D9279" s="84">
        <v>0.0</v>
      </c>
      <c r="E9279" s="84">
        <v>0.0</v>
      </c>
      <c r="F9279" s="76" t="s">
        <v>925</v>
      </c>
      <c r="G9279" s="83">
        <v>46118.0</v>
      </c>
      <c r="H9279" s="76" t="s">
        <v>1012</v>
      </c>
    </row>
    <row r="9280">
      <c r="A9280" s="76" t="s">
        <v>26</v>
      </c>
      <c r="B9280" s="76" t="s">
        <v>1040</v>
      </c>
      <c r="C9280" s="84">
        <v>5.53</v>
      </c>
      <c r="D9280" s="84">
        <v>0.0</v>
      </c>
      <c r="E9280" s="84">
        <v>0.0</v>
      </c>
      <c r="F9280" s="76" t="s">
        <v>925</v>
      </c>
      <c r="G9280" s="83">
        <v>46118.0</v>
      </c>
      <c r="H9280" s="76" t="s">
        <v>1013</v>
      </c>
    </row>
    <row r="9281">
      <c r="A9281" s="76" t="s">
        <v>26</v>
      </c>
      <c r="B9281" s="76" t="s">
        <v>1040</v>
      </c>
      <c r="C9281" s="84">
        <v>14.18</v>
      </c>
      <c r="D9281" s="84">
        <v>4.0</v>
      </c>
      <c r="E9281" s="84">
        <v>3.55</v>
      </c>
      <c r="F9281" s="76" t="s">
        <v>925</v>
      </c>
      <c r="G9281" s="83">
        <v>46118.0</v>
      </c>
      <c r="H9281" s="76" t="s">
        <v>1014</v>
      </c>
    </row>
    <row r="9282">
      <c r="A9282" s="76" t="s">
        <v>28</v>
      </c>
      <c r="B9282" s="76" t="s">
        <v>1040</v>
      </c>
      <c r="C9282" s="84">
        <v>3.87</v>
      </c>
      <c r="D9282" s="84">
        <v>0.0</v>
      </c>
      <c r="E9282" s="84">
        <v>0.0</v>
      </c>
      <c r="F9282" s="76" t="s">
        <v>925</v>
      </c>
      <c r="G9282" s="83">
        <v>46118.0</v>
      </c>
      <c r="H9282" s="76" t="s">
        <v>931</v>
      </c>
    </row>
    <row r="9283">
      <c r="A9283" s="76" t="s">
        <v>28</v>
      </c>
      <c r="B9283" s="76" t="s">
        <v>1040</v>
      </c>
      <c r="C9283" s="84">
        <v>2.22</v>
      </c>
      <c r="D9283" s="84">
        <v>0.0</v>
      </c>
      <c r="E9283" s="84">
        <v>0.0</v>
      </c>
      <c r="F9283" s="76" t="s">
        <v>925</v>
      </c>
      <c r="G9283" s="83">
        <v>46118.0</v>
      </c>
      <c r="H9283" s="76" t="s">
        <v>932</v>
      </c>
    </row>
    <row r="9284">
      <c r="A9284" s="76" t="s">
        <v>28</v>
      </c>
      <c r="B9284" s="76" t="s">
        <v>1040</v>
      </c>
      <c r="C9284" s="84">
        <v>92.74</v>
      </c>
      <c r="D9284" s="84">
        <v>19.0</v>
      </c>
      <c r="E9284" s="84">
        <v>4.88</v>
      </c>
      <c r="F9284" s="76" t="s">
        <v>925</v>
      </c>
      <c r="G9284" s="83">
        <v>46118.0</v>
      </c>
      <c r="H9284" s="76" t="s">
        <v>933</v>
      </c>
    </row>
    <row r="9285">
      <c r="A9285" s="76" t="s">
        <v>31</v>
      </c>
      <c r="B9285" s="76" t="s">
        <v>1040</v>
      </c>
      <c r="C9285" s="84">
        <v>0.46</v>
      </c>
      <c r="D9285" s="84">
        <v>0.0</v>
      </c>
      <c r="E9285" s="84">
        <v>0.0</v>
      </c>
      <c r="F9285" s="76" t="s">
        <v>948</v>
      </c>
      <c r="G9285" s="83">
        <v>46118.0</v>
      </c>
      <c r="H9285" s="76" t="s">
        <v>929</v>
      </c>
    </row>
    <row r="9286">
      <c r="A9286" s="76" t="s">
        <v>31</v>
      </c>
      <c r="B9286" s="76" t="s">
        <v>1040</v>
      </c>
      <c r="C9286" s="84">
        <v>15.75</v>
      </c>
      <c r="D9286" s="84">
        <v>4.0</v>
      </c>
      <c r="E9286" s="84">
        <v>3.94</v>
      </c>
      <c r="F9286" s="76" t="s">
        <v>948</v>
      </c>
      <c r="G9286" s="83">
        <v>46118.0</v>
      </c>
      <c r="H9286" s="76" t="s">
        <v>930</v>
      </c>
    </row>
    <row r="9287">
      <c r="A9287" s="76" t="s">
        <v>944</v>
      </c>
      <c r="B9287" s="76" t="s">
        <v>1040</v>
      </c>
      <c r="C9287" s="84">
        <v>4.64</v>
      </c>
      <c r="D9287" s="84">
        <v>0.0</v>
      </c>
      <c r="E9287" s="84">
        <v>0.0</v>
      </c>
      <c r="F9287" s="76" t="s">
        <v>948</v>
      </c>
      <c r="G9287" s="83">
        <v>46118.0</v>
      </c>
      <c r="H9287" s="76" t="s">
        <v>945</v>
      </c>
    </row>
    <row r="9288">
      <c r="A9288" s="76" t="s">
        <v>944</v>
      </c>
      <c r="B9288" s="76" t="s">
        <v>1040</v>
      </c>
      <c r="C9288" s="84">
        <v>0.53</v>
      </c>
      <c r="D9288" s="84">
        <v>0.0</v>
      </c>
      <c r="E9288" s="84">
        <v>0.0</v>
      </c>
      <c r="F9288" s="76" t="s">
        <v>948</v>
      </c>
      <c r="G9288" s="83">
        <v>46118.0</v>
      </c>
      <c r="H9288" s="76" t="s">
        <v>946</v>
      </c>
    </row>
    <row r="9289">
      <c r="A9289" s="76" t="s">
        <v>944</v>
      </c>
      <c r="B9289" s="76" t="s">
        <v>1040</v>
      </c>
      <c r="C9289" s="84">
        <v>2.05</v>
      </c>
      <c r="D9289" s="84">
        <v>1.0</v>
      </c>
      <c r="E9289" s="84">
        <v>2.05</v>
      </c>
      <c r="F9289" s="76" t="s">
        <v>948</v>
      </c>
      <c r="G9289" s="83">
        <v>46118.0</v>
      </c>
      <c r="H9289" s="76" t="s">
        <v>947</v>
      </c>
    </row>
    <row r="9290">
      <c r="A9290" s="76" t="s">
        <v>32</v>
      </c>
      <c r="B9290" s="76" t="s">
        <v>1040</v>
      </c>
      <c r="C9290" s="84">
        <v>4.64</v>
      </c>
      <c r="D9290" s="84">
        <v>1.0</v>
      </c>
      <c r="E9290" s="84">
        <v>4.64</v>
      </c>
      <c r="F9290" s="76" t="s">
        <v>948</v>
      </c>
      <c r="G9290" s="83">
        <v>46118.0</v>
      </c>
      <c r="H9290" s="76" t="s">
        <v>941</v>
      </c>
    </row>
    <row r="9291">
      <c r="A9291" s="76" t="s">
        <v>32</v>
      </c>
      <c r="B9291" s="76" t="s">
        <v>1040</v>
      </c>
      <c r="C9291" s="84">
        <v>1.98</v>
      </c>
      <c r="D9291" s="84">
        <v>0.0</v>
      </c>
      <c r="E9291" s="84">
        <v>0.0</v>
      </c>
      <c r="F9291" s="76" t="s">
        <v>948</v>
      </c>
      <c r="G9291" s="83">
        <v>46118.0</v>
      </c>
      <c r="H9291" s="76" t="s">
        <v>942</v>
      </c>
    </row>
    <row r="9292">
      <c r="A9292" s="76" t="s">
        <v>32</v>
      </c>
      <c r="B9292" s="76" t="s">
        <v>1040</v>
      </c>
      <c r="C9292" s="84">
        <v>4.1</v>
      </c>
      <c r="D9292" s="84">
        <v>0.0</v>
      </c>
      <c r="E9292" s="84">
        <v>0.0</v>
      </c>
      <c r="F9292" s="76" t="s">
        <v>948</v>
      </c>
      <c r="G9292" s="83">
        <v>46118.0</v>
      </c>
      <c r="H9292" s="76" t="s">
        <v>943</v>
      </c>
    </row>
    <row r="9293">
      <c r="A9293" s="76" t="s">
        <v>26</v>
      </c>
      <c r="B9293" s="76" t="s">
        <v>1040</v>
      </c>
      <c r="C9293" s="84">
        <v>0.71</v>
      </c>
      <c r="D9293" s="84">
        <v>0.0</v>
      </c>
      <c r="E9293" s="84">
        <v>0.0</v>
      </c>
      <c r="F9293" s="76" t="s">
        <v>948</v>
      </c>
      <c r="G9293" s="83">
        <v>46118.0</v>
      </c>
      <c r="H9293" s="76" t="s">
        <v>1012</v>
      </c>
    </row>
    <row r="9294">
      <c r="A9294" s="76" t="s">
        <v>26</v>
      </c>
      <c r="B9294" s="76" t="s">
        <v>1040</v>
      </c>
      <c r="C9294" s="84">
        <v>2.88</v>
      </c>
      <c r="D9294" s="84">
        <v>4.0</v>
      </c>
      <c r="E9294" s="84">
        <v>0.72</v>
      </c>
      <c r="F9294" s="76" t="s">
        <v>948</v>
      </c>
      <c r="G9294" s="83">
        <v>46118.0</v>
      </c>
      <c r="H9294" s="76" t="s">
        <v>1013</v>
      </c>
    </row>
    <row r="9295">
      <c r="A9295" s="76" t="s">
        <v>26</v>
      </c>
      <c r="B9295" s="76" t="s">
        <v>1040</v>
      </c>
      <c r="C9295" s="84">
        <v>4.38</v>
      </c>
      <c r="D9295" s="84">
        <v>1.0</v>
      </c>
      <c r="E9295" s="84">
        <v>4.38</v>
      </c>
      <c r="F9295" s="76" t="s">
        <v>948</v>
      </c>
      <c r="G9295" s="83">
        <v>46118.0</v>
      </c>
      <c r="H9295" s="76" t="s">
        <v>1014</v>
      </c>
    </row>
    <row r="9296">
      <c r="A9296" s="76" t="s">
        <v>36</v>
      </c>
      <c r="B9296" s="76" t="s">
        <v>1040</v>
      </c>
      <c r="C9296" s="84">
        <v>3.3</v>
      </c>
      <c r="D9296" s="84">
        <v>1.0</v>
      </c>
      <c r="E9296" s="84">
        <v>3.3</v>
      </c>
      <c r="F9296" s="76" t="s">
        <v>948</v>
      </c>
      <c r="G9296" s="83">
        <v>46118.0</v>
      </c>
      <c r="H9296" s="76" t="s">
        <v>926</v>
      </c>
    </row>
    <row r="9297">
      <c r="A9297" s="76" t="s">
        <v>36</v>
      </c>
      <c r="B9297" s="76" t="s">
        <v>1040</v>
      </c>
      <c r="C9297" s="84">
        <v>0.55</v>
      </c>
      <c r="D9297" s="84">
        <v>0.0</v>
      </c>
      <c r="E9297" s="84">
        <v>0.0</v>
      </c>
      <c r="F9297" s="76" t="s">
        <v>948</v>
      </c>
      <c r="G9297" s="83">
        <v>46118.0</v>
      </c>
      <c r="H9297" s="76" t="s">
        <v>927</v>
      </c>
    </row>
    <row r="9298">
      <c r="A9298" s="76" t="s">
        <v>36</v>
      </c>
      <c r="B9298" s="76" t="s">
        <v>1040</v>
      </c>
      <c r="C9298" s="84">
        <v>1.22</v>
      </c>
      <c r="D9298" s="84">
        <v>0.0</v>
      </c>
      <c r="E9298" s="84">
        <v>0.0</v>
      </c>
      <c r="F9298" s="76" t="s">
        <v>948</v>
      </c>
      <c r="G9298" s="83">
        <v>46118.0</v>
      </c>
      <c r="H9298" s="76" t="s">
        <v>928</v>
      </c>
    </row>
    <row r="9299">
      <c r="A9299" s="76" t="s">
        <v>28</v>
      </c>
      <c r="B9299" s="76" t="s">
        <v>1040</v>
      </c>
      <c r="C9299" s="84">
        <v>0.82</v>
      </c>
      <c r="D9299" s="84">
        <v>1.0</v>
      </c>
      <c r="E9299" s="84">
        <v>0.82</v>
      </c>
      <c r="F9299" s="76" t="s">
        <v>948</v>
      </c>
      <c r="G9299" s="83">
        <v>46118.0</v>
      </c>
      <c r="H9299" s="76" t="s">
        <v>931</v>
      </c>
    </row>
    <row r="9300">
      <c r="A9300" s="76" t="s">
        <v>28</v>
      </c>
      <c r="B9300" s="76" t="s">
        <v>1040</v>
      </c>
      <c r="C9300" s="84">
        <v>0.46</v>
      </c>
      <c r="D9300" s="84">
        <v>0.0</v>
      </c>
      <c r="E9300" s="84">
        <v>0.0</v>
      </c>
      <c r="F9300" s="76" t="s">
        <v>948</v>
      </c>
      <c r="G9300" s="83">
        <v>46118.0</v>
      </c>
      <c r="H9300" s="76" t="s">
        <v>932</v>
      </c>
    </row>
    <row r="9301">
      <c r="A9301" s="76" t="s">
        <v>28</v>
      </c>
      <c r="B9301" s="76" t="s">
        <v>1040</v>
      </c>
      <c r="C9301" s="84">
        <v>9.75</v>
      </c>
      <c r="D9301" s="84">
        <v>3.0</v>
      </c>
      <c r="E9301" s="84">
        <v>3.25</v>
      </c>
      <c r="F9301" s="76" t="s">
        <v>948</v>
      </c>
      <c r="G9301" s="83">
        <v>46118.0</v>
      </c>
      <c r="H9301" s="76" t="s">
        <v>933</v>
      </c>
    </row>
    <row r="9302">
      <c r="A9302" s="76" t="s">
        <v>45</v>
      </c>
      <c r="B9302" s="76" t="s">
        <v>1040</v>
      </c>
      <c r="C9302" s="84">
        <v>1.08</v>
      </c>
      <c r="D9302" s="84">
        <v>0.0</v>
      </c>
      <c r="E9302" s="84">
        <v>0.0</v>
      </c>
      <c r="F9302" s="76" t="s">
        <v>948</v>
      </c>
      <c r="G9302" s="83">
        <v>46118.0</v>
      </c>
      <c r="H9302" s="76" t="s">
        <v>936</v>
      </c>
    </row>
    <row r="9303">
      <c r="A9303" s="76" t="s">
        <v>45</v>
      </c>
      <c r="B9303" s="76" t="s">
        <v>1040</v>
      </c>
      <c r="C9303" s="84">
        <v>0.89</v>
      </c>
      <c r="D9303" s="84">
        <v>0.0</v>
      </c>
      <c r="E9303" s="84">
        <v>0.0</v>
      </c>
      <c r="F9303" s="76" t="s">
        <v>948</v>
      </c>
      <c r="G9303" s="83">
        <v>46118.0</v>
      </c>
      <c r="H9303" s="76" t="s">
        <v>937</v>
      </c>
    </row>
    <row r="9304">
      <c r="A9304" s="76" t="s">
        <v>45</v>
      </c>
      <c r="B9304" s="76" t="s">
        <v>1040</v>
      </c>
      <c r="C9304" s="84">
        <v>3.27</v>
      </c>
      <c r="D9304" s="84">
        <v>0.0</v>
      </c>
      <c r="E9304" s="84">
        <v>0.0</v>
      </c>
      <c r="F9304" s="76" t="s">
        <v>948</v>
      </c>
      <c r="G9304" s="83">
        <v>46118.0</v>
      </c>
      <c r="H9304" s="76" t="s">
        <v>938</v>
      </c>
    </row>
    <row r="9305">
      <c r="A9305" s="76" t="s">
        <v>42</v>
      </c>
      <c r="B9305" s="76" t="s">
        <v>1040</v>
      </c>
      <c r="C9305" s="84">
        <v>0.27</v>
      </c>
      <c r="D9305" s="84">
        <v>0.0</v>
      </c>
      <c r="E9305" s="84">
        <v>0.0</v>
      </c>
      <c r="F9305" s="76" t="s">
        <v>948</v>
      </c>
      <c r="G9305" s="83">
        <v>46118.0</v>
      </c>
      <c r="H9305" s="76" t="s">
        <v>991</v>
      </c>
    </row>
    <row r="9306">
      <c r="A9306" s="76" t="s">
        <v>42</v>
      </c>
      <c r="B9306" s="76" t="s">
        <v>1040</v>
      </c>
      <c r="C9306" s="84">
        <v>4.57</v>
      </c>
      <c r="D9306" s="84">
        <v>0.0</v>
      </c>
      <c r="E9306" s="84">
        <v>0.0</v>
      </c>
      <c r="F9306" s="76" t="s">
        <v>948</v>
      </c>
      <c r="G9306" s="83">
        <v>46118.0</v>
      </c>
      <c r="H9306" s="76" t="s">
        <v>935</v>
      </c>
    </row>
    <row r="9307">
      <c r="A9307" s="76" t="s">
        <v>40</v>
      </c>
      <c r="B9307" s="76" t="s">
        <v>1041</v>
      </c>
      <c r="C9307" s="84">
        <v>12.2</v>
      </c>
      <c r="D9307" s="84">
        <v>6.0</v>
      </c>
      <c r="E9307" s="84">
        <v>2.03</v>
      </c>
      <c r="F9307" s="76" t="s">
        <v>1005</v>
      </c>
      <c r="G9307" s="83">
        <v>46118.0</v>
      </c>
      <c r="H9307" s="76" t="s">
        <v>954</v>
      </c>
    </row>
    <row r="9308">
      <c r="A9308" s="76" t="s">
        <v>40</v>
      </c>
      <c r="B9308" s="76" t="s">
        <v>1041</v>
      </c>
      <c r="C9308" s="84">
        <v>3.56</v>
      </c>
      <c r="D9308" s="84">
        <v>0.0</v>
      </c>
      <c r="E9308" s="84">
        <v>0.0</v>
      </c>
      <c r="F9308" s="76" t="s">
        <v>1005</v>
      </c>
      <c r="G9308" s="83">
        <v>46118.0</v>
      </c>
      <c r="H9308" s="76" t="s">
        <v>955</v>
      </c>
    </row>
    <row r="9309">
      <c r="A9309" s="76" t="s">
        <v>40</v>
      </c>
      <c r="B9309" s="76" t="s">
        <v>1041</v>
      </c>
      <c r="C9309" s="84">
        <v>21.75</v>
      </c>
      <c r="D9309" s="84">
        <v>9.0</v>
      </c>
      <c r="E9309" s="84">
        <v>2.42</v>
      </c>
      <c r="F9309" s="76" t="s">
        <v>1005</v>
      </c>
      <c r="G9309" s="83">
        <v>46118.0</v>
      </c>
      <c r="H9309" s="76" t="s">
        <v>956</v>
      </c>
    </row>
    <row r="9310">
      <c r="A9310" s="76" t="s">
        <v>36</v>
      </c>
      <c r="B9310" s="76" t="s">
        <v>1041</v>
      </c>
      <c r="C9310" s="84">
        <v>10.84</v>
      </c>
      <c r="D9310" s="84">
        <v>1.0</v>
      </c>
      <c r="E9310" s="84">
        <v>10.84</v>
      </c>
      <c r="F9310" s="76" t="s">
        <v>1005</v>
      </c>
      <c r="G9310" s="83">
        <v>46118.0</v>
      </c>
      <c r="H9310" s="76" t="s">
        <v>926</v>
      </c>
    </row>
    <row r="9311">
      <c r="A9311" s="76" t="s">
        <v>36</v>
      </c>
      <c r="B9311" s="76" t="s">
        <v>1041</v>
      </c>
      <c r="C9311" s="84">
        <v>7.38</v>
      </c>
      <c r="D9311" s="84">
        <v>2.0</v>
      </c>
      <c r="E9311" s="84">
        <v>3.69</v>
      </c>
      <c r="F9311" s="76" t="s">
        <v>1005</v>
      </c>
      <c r="G9311" s="83">
        <v>46118.0</v>
      </c>
      <c r="H9311" s="76" t="s">
        <v>927</v>
      </c>
    </row>
    <row r="9312">
      <c r="A9312" s="76" t="s">
        <v>36</v>
      </c>
      <c r="B9312" s="76" t="s">
        <v>1041</v>
      </c>
      <c r="C9312" s="84">
        <v>13.43</v>
      </c>
      <c r="D9312" s="84">
        <v>8.0</v>
      </c>
      <c r="E9312" s="84">
        <v>1.68</v>
      </c>
      <c r="F9312" s="76" t="s">
        <v>1005</v>
      </c>
      <c r="G9312" s="83">
        <v>46118.0</v>
      </c>
      <c r="H9312" s="76" t="s">
        <v>928</v>
      </c>
    </row>
    <row r="9313">
      <c r="A9313" s="76" t="s">
        <v>46</v>
      </c>
      <c r="B9313" s="76" t="s">
        <v>1041</v>
      </c>
      <c r="C9313" s="84">
        <v>2.95</v>
      </c>
      <c r="D9313" s="84">
        <v>1.0</v>
      </c>
      <c r="E9313" s="84">
        <v>2.95</v>
      </c>
      <c r="F9313" s="76" t="s">
        <v>1005</v>
      </c>
      <c r="G9313" s="83">
        <v>46118.0</v>
      </c>
      <c r="H9313" s="76" t="s">
        <v>960</v>
      </c>
    </row>
    <row r="9314">
      <c r="A9314" s="76" t="s">
        <v>46</v>
      </c>
      <c r="B9314" s="76" t="s">
        <v>1041</v>
      </c>
      <c r="C9314" s="84">
        <v>7.72</v>
      </c>
      <c r="D9314" s="84">
        <v>1.0</v>
      </c>
      <c r="E9314" s="84">
        <v>7.72</v>
      </c>
      <c r="F9314" s="76" t="s">
        <v>1005</v>
      </c>
      <c r="G9314" s="83">
        <v>46118.0</v>
      </c>
      <c r="H9314" s="76" t="s">
        <v>961</v>
      </c>
    </row>
    <row r="9315">
      <c r="A9315" s="76" t="s">
        <v>46</v>
      </c>
      <c r="B9315" s="76" t="s">
        <v>1041</v>
      </c>
      <c r="C9315" s="84">
        <v>6.8</v>
      </c>
      <c r="D9315" s="84">
        <v>5.0</v>
      </c>
      <c r="E9315" s="84">
        <v>1.36</v>
      </c>
      <c r="F9315" s="76" t="s">
        <v>1005</v>
      </c>
      <c r="G9315" s="83">
        <v>46118.0</v>
      </c>
      <c r="H9315" s="76" t="s">
        <v>962</v>
      </c>
    </row>
    <row r="9316">
      <c r="A9316" s="76" t="s">
        <v>970</v>
      </c>
      <c r="B9316" s="76" t="s">
        <v>1041</v>
      </c>
      <c r="C9316" s="84">
        <v>33.16</v>
      </c>
      <c r="D9316" s="84">
        <v>6.0</v>
      </c>
      <c r="E9316" s="84">
        <v>5.53</v>
      </c>
      <c r="F9316" s="76" t="s">
        <v>1005</v>
      </c>
      <c r="G9316" s="83">
        <v>46118.0</v>
      </c>
      <c r="H9316" s="76" t="s">
        <v>971</v>
      </c>
    </row>
    <row r="9317">
      <c r="A9317" s="76" t="s">
        <v>970</v>
      </c>
      <c r="B9317" s="76" t="s">
        <v>1041</v>
      </c>
      <c r="C9317" s="84">
        <v>4.94</v>
      </c>
      <c r="D9317" s="84">
        <v>0.0</v>
      </c>
      <c r="E9317" s="84">
        <v>0.0</v>
      </c>
      <c r="F9317" s="76" t="s">
        <v>1005</v>
      </c>
      <c r="G9317" s="83">
        <v>46118.0</v>
      </c>
      <c r="H9317" s="76" t="s">
        <v>972</v>
      </c>
    </row>
    <row r="9318">
      <c r="A9318" s="76" t="s">
        <v>970</v>
      </c>
      <c r="B9318" s="76" t="s">
        <v>1041</v>
      </c>
      <c r="C9318" s="84">
        <v>44.13</v>
      </c>
      <c r="D9318" s="84">
        <v>8.0</v>
      </c>
      <c r="E9318" s="84">
        <v>5.52</v>
      </c>
      <c r="F9318" s="76" t="s">
        <v>1005</v>
      </c>
      <c r="G9318" s="83">
        <v>46118.0</v>
      </c>
      <c r="H9318" s="76" t="s">
        <v>973</v>
      </c>
    </row>
    <row r="9319">
      <c r="A9319" s="76" t="s">
        <v>29</v>
      </c>
      <c r="B9319" s="76" t="s">
        <v>1041</v>
      </c>
      <c r="C9319" s="84">
        <v>18.53</v>
      </c>
      <c r="D9319" s="84">
        <v>3.0</v>
      </c>
      <c r="E9319" s="84">
        <v>6.18</v>
      </c>
      <c r="F9319" s="76" t="s">
        <v>1005</v>
      </c>
      <c r="G9319" s="83">
        <v>46118.0</v>
      </c>
      <c r="H9319" s="76" t="s">
        <v>1015</v>
      </c>
    </row>
    <row r="9320">
      <c r="A9320" s="76" t="s">
        <v>29</v>
      </c>
      <c r="B9320" s="76" t="s">
        <v>1041</v>
      </c>
      <c r="C9320" s="84">
        <v>13.94</v>
      </c>
      <c r="D9320" s="84">
        <v>2.0</v>
      </c>
      <c r="E9320" s="84">
        <v>6.97</v>
      </c>
      <c r="F9320" s="76" t="s">
        <v>1005</v>
      </c>
      <c r="G9320" s="83">
        <v>46118.0</v>
      </c>
      <c r="H9320" s="76" t="s">
        <v>1016</v>
      </c>
    </row>
    <row r="9321">
      <c r="A9321" s="76" t="s">
        <v>29</v>
      </c>
      <c r="B9321" s="76" t="s">
        <v>1041</v>
      </c>
      <c r="C9321" s="84">
        <v>10.41</v>
      </c>
      <c r="D9321" s="84">
        <v>5.0</v>
      </c>
      <c r="E9321" s="84">
        <v>2.08</v>
      </c>
      <c r="F9321" s="76" t="s">
        <v>1005</v>
      </c>
      <c r="G9321" s="83">
        <v>46118.0</v>
      </c>
      <c r="H9321" s="76" t="s">
        <v>1017</v>
      </c>
    </row>
    <row r="9322">
      <c r="A9322" s="76" t="s">
        <v>34</v>
      </c>
      <c r="B9322" s="76" t="s">
        <v>1041</v>
      </c>
      <c r="C9322" s="84">
        <v>6.3</v>
      </c>
      <c r="D9322" s="84">
        <v>2.0</v>
      </c>
      <c r="E9322" s="84">
        <v>3.15</v>
      </c>
      <c r="F9322" s="76" t="s">
        <v>1005</v>
      </c>
      <c r="G9322" s="83">
        <v>46118.0</v>
      </c>
      <c r="H9322" s="76" t="s">
        <v>951</v>
      </c>
    </row>
    <row r="9323">
      <c r="A9323" s="76" t="s">
        <v>34</v>
      </c>
      <c r="B9323" s="76" t="s">
        <v>1041</v>
      </c>
      <c r="C9323" s="84">
        <v>17.77</v>
      </c>
      <c r="D9323" s="84">
        <v>4.0</v>
      </c>
      <c r="E9323" s="84">
        <v>4.44</v>
      </c>
      <c r="F9323" s="76" t="s">
        <v>1005</v>
      </c>
      <c r="G9323" s="83">
        <v>46118.0</v>
      </c>
      <c r="H9323" s="76" t="s">
        <v>952</v>
      </c>
    </row>
    <row r="9324">
      <c r="A9324" s="76" t="s">
        <v>34</v>
      </c>
      <c r="B9324" s="76" t="s">
        <v>1041</v>
      </c>
      <c r="C9324" s="84">
        <v>2.88</v>
      </c>
      <c r="D9324" s="84">
        <v>0.0</v>
      </c>
      <c r="E9324" s="84">
        <v>0.0</v>
      </c>
      <c r="F9324" s="76" t="s">
        <v>1005</v>
      </c>
      <c r="G9324" s="83">
        <v>46118.0</v>
      </c>
      <c r="H9324" s="76" t="s">
        <v>953</v>
      </c>
    </row>
    <row r="9325">
      <c r="A9325" s="76" t="s">
        <v>33</v>
      </c>
      <c r="B9325" s="76" t="s">
        <v>1041</v>
      </c>
      <c r="C9325" s="84">
        <v>107.71</v>
      </c>
      <c r="D9325" s="84">
        <v>21.0</v>
      </c>
      <c r="E9325" s="84">
        <v>5.13</v>
      </c>
      <c r="F9325" s="76" t="s">
        <v>1005</v>
      </c>
      <c r="G9325" s="83">
        <v>46118.0</v>
      </c>
      <c r="H9325" s="76" t="s">
        <v>957</v>
      </c>
    </row>
    <row r="9326">
      <c r="A9326" s="76" t="s">
        <v>33</v>
      </c>
      <c r="B9326" s="76" t="s">
        <v>1041</v>
      </c>
      <c r="C9326" s="84">
        <v>37.02</v>
      </c>
      <c r="D9326" s="84">
        <v>5.0</v>
      </c>
      <c r="E9326" s="84">
        <v>7.4</v>
      </c>
      <c r="F9326" s="76" t="s">
        <v>1005</v>
      </c>
      <c r="G9326" s="83">
        <v>46118.0</v>
      </c>
      <c r="H9326" s="76" t="s">
        <v>958</v>
      </c>
    </row>
    <row r="9327">
      <c r="A9327" s="76" t="s">
        <v>33</v>
      </c>
      <c r="B9327" s="76" t="s">
        <v>1041</v>
      </c>
      <c r="C9327" s="84">
        <v>54.44</v>
      </c>
      <c r="D9327" s="84">
        <v>13.0</v>
      </c>
      <c r="E9327" s="84">
        <v>4.19</v>
      </c>
      <c r="F9327" s="76" t="s">
        <v>1005</v>
      </c>
      <c r="G9327" s="83">
        <v>46118.0</v>
      </c>
      <c r="H9327" s="76" t="s">
        <v>959</v>
      </c>
    </row>
    <row r="9328">
      <c r="A9328" s="76" t="s">
        <v>43</v>
      </c>
      <c r="B9328" s="76" t="s">
        <v>1041</v>
      </c>
      <c r="C9328" s="84">
        <v>7.56</v>
      </c>
      <c r="D9328" s="84">
        <v>3.0</v>
      </c>
      <c r="E9328" s="84">
        <v>2.52</v>
      </c>
      <c r="F9328" s="76" t="s">
        <v>1005</v>
      </c>
      <c r="G9328" s="83">
        <v>46118.0</v>
      </c>
      <c r="H9328" s="76" t="s">
        <v>963</v>
      </c>
    </row>
    <row r="9329">
      <c r="A9329" s="76" t="s">
        <v>43</v>
      </c>
      <c r="B9329" s="76" t="s">
        <v>1041</v>
      </c>
      <c r="C9329" s="84">
        <v>6.47</v>
      </c>
      <c r="D9329" s="84">
        <v>2.0</v>
      </c>
      <c r="E9329" s="84">
        <v>3.23</v>
      </c>
      <c r="F9329" s="76" t="s">
        <v>1005</v>
      </c>
      <c r="G9329" s="83">
        <v>46118.0</v>
      </c>
      <c r="H9329" s="76" t="s">
        <v>964</v>
      </c>
    </row>
    <row r="9330">
      <c r="A9330" s="76" t="s">
        <v>43</v>
      </c>
      <c r="B9330" s="76" t="s">
        <v>1041</v>
      </c>
      <c r="C9330" s="84">
        <v>13.61</v>
      </c>
      <c r="D9330" s="84">
        <v>2.0</v>
      </c>
      <c r="E9330" s="84">
        <v>6.81</v>
      </c>
      <c r="F9330" s="76" t="s">
        <v>1005</v>
      </c>
      <c r="G9330" s="83">
        <v>46118.0</v>
      </c>
      <c r="H9330" s="76" t="s">
        <v>965</v>
      </c>
    </row>
    <row r="9331">
      <c r="A9331" s="76" t="s">
        <v>966</v>
      </c>
      <c r="B9331" s="76" t="s">
        <v>1041</v>
      </c>
      <c r="C9331" s="84">
        <v>7.0</v>
      </c>
      <c r="D9331" s="84">
        <v>4.0</v>
      </c>
      <c r="E9331" s="84">
        <v>1.75</v>
      </c>
      <c r="F9331" s="76" t="s">
        <v>1005</v>
      </c>
      <c r="G9331" s="83">
        <v>46118.0</v>
      </c>
      <c r="H9331" s="76" t="s">
        <v>967</v>
      </c>
    </row>
    <row r="9332">
      <c r="A9332" s="76" t="s">
        <v>966</v>
      </c>
      <c r="B9332" s="76" t="s">
        <v>1041</v>
      </c>
      <c r="C9332" s="84">
        <v>2.93</v>
      </c>
      <c r="D9332" s="84">
        <v>0.0</v>
      </c>
      <c r="E9332" s="84">
        <v>0.0</v>
      </c>
      <c r="F9332" s="76" t="s">
        <v>1005</v>
      </c>
      <c r="G9332" s="83">
        <v>46118.0</v>
      </c>
      <c r="H9332" s="76" t="s">
        <v>968</v>
      </c>
    </row>
    <row r="9333">
      <c r="A9333" s="76" t="s">
        <v>966</v>
      </c>
      <c r="B9333" s="76" t="s">
        <v>1041</v>
      </c>
      <c r="C9333" s="84">
        <v>11.26</v>
      </c>
      <c r="D9333" s="84">
        <v>1.0</v>
      </c>
      <c r="E9333" s="84">
        <v>11.26</v>
      </c>
      <c r="F9333" s="76" t="s">
        <v>1005</v>
      </c>
      <c r="G9333" s="83">
        <v>46118.0</v>
      </c>
      <c r="H9333" s="76" t="s">
        <v>969</v>
      </c>
    </row>
    <row r="9334">
      <c r="A9334" s="76" t="s">
        <v>970</v>
      </c>
      <c r="B9334" s="76" t="s">
        <v>1041</v>
      </c>
      <c r="C9334" s="84">
        <v>2.46</v>
      </c>
      <c r="D9334" s="84">
        <v>1.0</v>
      </c>
      <c r="E9334" s="84">
        <v>2.46</v>
      </c>
      <c r="F9334" s="76" t="s">
        <v>990</v>
      </c>
      <c r="G9334" s="83">
        <v>46118.0</v>
      </c>
      <c r="H9334" s="76" t="s">
        <v>971</v>
      </c>
    </row>
    <row r="9335">
      <c r="A9335" s="76" t="s">
        <v>970</v>
      </c>
      <c r="B9335" s="76" t="s">
        <v>1041</v>
      </c>
      <c r="C9335" s="84">
        <v>0.62</v>
      </c>
      <c r="D9335" s="84">
        <v>0.0</v>
      </c>
      <c r="E9335" s="84">
        <v>0.0</v>
      </c>
      <c r="F9335" s="76" t="s">
        <v>990</v>
      </c>
      <c r="G9335" s="83">
        <v>46118.0</v>
      </c>
      <c r="H9335" s="76" t="s">
        <v>972</v>
      </c>
    </row>
    <row r="9336">
      <c r="A9336" s="76" t="s">
        <v>970</v>
      </c>
      <c r="B9336" s="76" t="s">
        <v>1041</v>
      </c>
      <c r="C9336" s="84">
        <v>3.62</v>
      </c>
      <c r="D9336" s="84">
        <v>0.0</v>
      </c>
      <c r="E9336" s="84">
        <v>0.0</v>
      </c>
      <c r="F9336" s="76" t="s">
        <v>990</v>
      </c>
      <c r="G9336" s="83">
        <v>46118.0</v>
      </c>
      <c r="H9336" s="76" t="s">
        <v>973</v>
      </c>
    </row>
    <row r="9337">
      <c r="A9337" s="76" t="s">
        <v>29</v>
      </c>
      <c r="B9337" s="76" t="s">
        <v>1041</v>
      </c>
      <c r="C9337" s="84">
        <v>2.41</v>
      </c>
      <c r="D9337" s="84">
        <v>0.0</v>
      </c>
      <c r="E9337" s="84">
        <v>0.0</v>
      </c>
      <c r="F9337" s="76" t="s">
        <v>990</v>
      </c>
      <c r="G9337" s="83">
        <v>46118.0</v>
      </c>
      <c r="H9337" s="76" t="s">
        <v>971</v>
      </c>
    </row>
    <row r="9338">
      <c r="A9338" s="76" t="s">
        <v>29</v>
      </c>
      <c r="B9338" s="76" t="s">
        <v>1041</v>
      </c>
      <c r="C9338" s="84">
        <v>1.13</v>
      </c>
      <c r="D9338" s="84">
        <v>0.0</v>
      </c>
      <c r="E9338" s="84">
        <v>0.0</v>
      </c>
      <c r="F9338" s="76" t="s">
        <v>990</v>
      </c>
      <c r="G9338" s="83">
        <v>46118.0</v>
      </c>
      <c r="H9338" s="76" t="s">
        <v>972</v>
      </c>
    </row>
    <row r="9339">
      <c r="A9339" s="76" t="s">
        <v>29</v>
      </c>
      <c r="B9339" s="76" t="s">
        <v>1041</v>
      </c>
      <c r="C9339" s="84">
        <v>3.22</v>
      </c>
      <c r="D9339" s="84">
        <v>0.0</v>
      </c>
      <c r="E9339" s="84">
        <v>0.0</v>
      </c>
      <c r="F9339" s="76" t="s">
        <v>990</v>
      </c>
      <c r="G9339" s="83">
        <v>46118.0</v>
      </c>
      <c r="H9339" s="76" t="s">
        <v>973</v>
      </c>
    </row>
    <row r="9340">
      <c r="A9340" s="76" t="s">
        <v>46</v>
      </c>
      <c r="B9340" s="76" t="s">
        <v>1041</v>
      </c>
      <c r="C9340" s="84">
        <v>0.4</v>
      </c>
      <c r="D9340" s="84">
        <v>0.0</v>
      </c>
      <c r="E9340" s="84">
        <v>0.0</v>
      </c>
      <c r="F9340" s="76" t="s">
        <v>990</v>
      </c>
      <c r="G9340" s="83">
        <v>46118.0</v>
      </c>
      <c r="H9340" s="76" t="s">
        <v>960</v>
      </c>
    </row>
    <row r="9341">
      <c r="A9341" s="76" t="s">
        <v>46</v>
      </c>
      <c r="B9341" s="76" t="s">
        <v>1041</v>
      </c>
      <c r="C9341" s="84">
        <v>0.68</v>
      </c>
      <c r="D9341" s="84">
        <v>0.0</v>
      </c>
      <c r="E9341" s="84">
        <v>0.0</v>
      </c>
      <c r="F9341" s="76" t="s">
        <v>990</v>
      </c>
      <c r="G9341" s="83">
        <v>46118.0</v>
      </c>
      <c r="H9341" s="76" t="s">
        <v>961</v>
      </c>
    </row>
    <row r="9342">
      <c r="A9342" s="76" t="s">
        <v>46</v>
      </c>
      <c r="B9342" s="76" t="s">
        <v>1041</v>
      </c>
      <c r="C9342" s="84">
        <v>0.74</v>
      </c>
      <c r="D9342" s="84">
        <v>1.0</v>
      </c>
      <c r="E9342" s="84">
        <v>0.74</v>
      </c>
      <c r="F9342" s="76" t="s">
        <v>990</v>
      </c>
      <c r="G9342" s="83">
        <v>46118.0</v>
      </c>
      <c r="H9342" s="76" t="s">
        <v>962</v>
      </c>
    </row>
    <row r="9343">
      <c r="A9343" s="76" t="s">
        <v>36</v>
      </c>
      <c r="B9343" s="76" t="s">
        <v>1041</v>
      </c>
      <c r="C9343" s="84">
        <v>1.62</v>
      </c>
      <c r="D9343" s="84">
        <v>0.0</v>
      </c>
      <c r="E9343" s="84">
        <v>0.0</v>
      </c>
      <c r="F9343" s="76" t="s">
        <v>990</v>
      </c>
      <c r="G9343" s="83">
        <v>46118.0</v>
      </c>
      <c r="H9343" s="76" t="s">
        <v>926</v>
      </c>
    </row>
    <row r="9344">
      <c r="A9344" s="76" t="s">
        <v>36</v>
      </c>
      <c r="B9344" s="76" t="s">
        <v>1041</v>
      </c>
      <c r="C9344" s="84">
        <v>0.29</v>
      </c>
      <c r="D9344" s="84">
        <v>0.0</v>
      </c>
      <c r="E9344" s="84">
        <v>0.0</v>
      </c>
      <c r="F9344" s="76" t="s">
        <v>990</v>
      </c>
      <c r="G9344" s="83">
        <v>46118.0</v>
      </c>
      <c r="H9344" s="76" t="s">
        <v>927</v>
      </c>
    </row>
    <row r="9345">
      <c r="A9345" s="76" t="s">
        <v>36</v>
      </c>
      <c r="B9345" s="76" t="s">
        <v>1041</v>
      </c>
      <c r="C9345" s="84">
        <v>0.74</v>
      </c>
      <c r="D9345" s="84">
        <v>0.0</v>
      </c>
      <c r="E9345" s="84">
        <v>0.0</v>
      </c>
      <c r="F9345" s="76" t="s">
        <v>990</v>
      </c>
      <c r="G9345" s="83">
        <v>46118.0</v>
      </c>
      <c r="H9345" s="76" t="s">
        <v>928</v>
      </c>
    </row>
    <row r="9346">
      <c r="A9346" s="76" t="s">
        <v>34</v>
      </c>
      <c r="B9346" s="76" t="s">
        <v>1041</v>
      </c>
      <c r="C9346" s="84">
        <v>0.56</v>
      </c>
      <c r="D9346" s="84">
        <v>0.0</v>
      </c>
      <c r="E9346" s="84">
        <v>0.0</v>
      </c>
      <c r="F9346" s="76" t="s">
        <v>990</v>
      </c>
      <c r="G9346" s="83">
        <v>46118.0</v>
      </c>
      <c r="H9346" s="76" t="s">
        <v>951</v>
      </c>
    </row>
    <row r="9347">
      <c r="A9347" s="76" t="s">
        <v>34</v>
      </c>
      <c r="B9347" s="76" t="s">
        <v>1041</v>
      </c>
      <c r="C9347" s="84">
        <v>1.36</v>
      </c>
      <c r="D9347" s="84">
        <v>1.0</v>
      </c>
      <c r="E9347" s="84">
        <v>1.36</v>
      </c>
      <c r="F9347" s="76" t="s">
        <v>990</v>
      </c>
      <c r="G9347" s="83">
        <v>46118.0</v>
      </c>
      <c r="H9347" s="76" t="s">
        <v>952</v>
      </c>
    </row>
    <row r="9348">
      <c r="A9348" s="76" t="s">
        <v>34</v>
      </c>
      <c r="B9348" s="76" t="s">
        <v>1041</v>
      </c>
      <c r="C9348" s="84">
        <v>0.51</v>
      </c>
      <c r="D9348" s="84">
        <v>0.0</v>
      </c>
      <c r="E9348" s="84">
        <v>0.0</v>
      </c>
      <c r="F9348" s="76" t="s">
        <v>990</v>
      </c>
      <c r="G9348" s="83">
        <v>46118.0</v>
      </c>
      <c r="H9348" s="76" t="s">
        <v>953</v>
      </c>
    </row>
    <row r="9349">
      <c r="A9349" s="76" t="s">
        <v>33</v>
      </c>
      <c r="B9349" s="76" t="s">
        <v>1041</v>
      </c>
      <c r="C9349" s="84">
        <v>9.71</v>
      </c>
      <c r="D9349" s="84">
        <v>2.0</v>
      </c>
      <c r="E9349" s="84">
        <v>4.86</v>
      </c>
      <c r="F9349" s="76" t="s">
        <v>990</v>
      </c>
      <c r="G9349" s="83">
        <v>46118.0</v>
      </c>
      <c r="H9349" s="76" t="s">
        <v>957</v>
      </c>
    </row>
    <row r="9350">
      <c r="A9350" s="76" t="s">
        <v>33</v>
      </c>
      <c r="B9350" s="76" t="s">
        <v>1041</v>
      </c>
      <c r="C9350" s="84">
        <v>1.57</v>
      </c>
      <c r="D9350" s="84">
        <v>0.0</v>
      </c>
      <c r="E9350" s="84">
        <v>0.0</v>
      </c>
      <c r="F9350" s="76" t="s">
        <v>990</v>
      </c>
      <c r="G9350" s="83">
        <v>46118.0</v>
      </c>
      <c r="H9350" s="76" t="s">
        <v>958</v>
      </c>
    </row>
    <row r="9351">
      <c r="A9351" s="76" t="s">
        <v>33</v>
      </c>
      <c r="B9351" s="76" t="s">
        <v>1041</v>
      </c>
      <c r="C9351" s="84">
        <v>2.92</v>
      </c>
      <c r="D9351" s="84">
        <v>1.0</v>
      </c>
      <c r="E9351" s="84">
        <v>2.92</v>
      </c>
      <c r="F9351" s="76" t="s">
        <v>990</v>
      </c>
      <c r="G9351" s="83">
        <v>46118.0</v>
      </c>
      <c r="H9351" s="76" t="s">
        <v>959</v>
      </c>
    </row>
    <row r="9352">
      <c r="A9352" s="76" t="s">
        <v>40</v>
      </c>
      <c r="B9352" s="76" t="s">
        <v>1041</v>
      </c>
      <c r="C9352" s="84">
        <v>1.08</v>
      </c>
      <c r="D9352" s="84">
        <v>0.0</v>
      </c>
      <c r="E9352" s="84">
        <v>0.0</v>
      </c>
      <c r="F9352" s="76" t="s">
        <v>990</v>
      </c>
      <c r="G9352" s="83">
        <v>46118.0</v>
      </c>
      <c r="H9352" s="76" t="s">
        <v>954</v>
      </c>
    </row>
    <row r="9353">
      <c r="A9353" s="76" t="s">
        <v>40</v>
      </c>
      <c r="B9353" s="76" t="s">
        <v>1041</v>
      </c>
      <c r="C9353" s="84">
        <v>0.11</v>
      </c>
      <c r="D9353" s="84">
        <v>0.0</v>
      </c>
      <c r="E9353" s="84">
        <v>0.0</v>
      </c>
      <c r="F9353" s="76" t="s">
        <v>990</v>
      </c>
      <c r="G9353" s="83">
        <v>46118.0</v>
      </c>
      <c r="H9353" s="76" t="s">
        <v>955</v>
      </c>
    </row>
    <row r="9354">
      <c r="A9354" s="76" t="s">
        <v>40</v>
      </c>
      <c r="B9354" s="76" t="s">
        <v>1041</v>
      </c>
      <c r="C9354" s="84">
        <v>7.51</v>
      </c>
      <c r="D9354" s="84">
        <v>2.0</v>
      </c>
      <c r="E9354" s="84">
        <v>3.76</v>
      </c>
      <c r="F9354" s="76" t="s">
        <v>990</v>
      </c>
      <c r="G9354" s="83">
        <v>46118.0</v>
      </c>
      <c r="H9354" s="76" t="s">
        <v>956</v>
      </c>
    </row>
    <row r="9355">
      <c r="A9355" s="76" t="s">
        <v>43</v>
      </c>
      <c r="B9355" s="76" t="s">
        <v>1041</v>
      </c>
      <c r="C9355" s="84">
        <v>0.96</v>
      </c>
      <c r="D9355" s="84">
        <v>0.0</v>
      </c>
      <c r="E9355" s="84">
        <v>0.0</v>
      </c>
      <c r="F9355" s="76" t="s">
        <v>990</v>
      </c>
      <c r="G9355" s="83">
        <v>46118.0</v>
      </c>
      <c r="H9355" s="76" t="s">
        <v>963</v>
      </c>
    </row>
    <row r="9356">
      <c r="A9356" s="76" t="s">
        <v>43</v>
      </c>
      <c r="B9356" s="76" t="s">
        <v>1041</v>
      </c>
      <c r="C9356" s="84">
        <v>0.63</v>
      </c>
      <c r="D9356" s="84">
        <v>0.0</v>
      </c>
      <c r="E9356" s="84">
        <v>0.0</v>
      </c>
      <c r="F9356" s="76" t="s">
        <v>990</v>
      </c>
      <c r="G9356" s="83">
        <v>46118.0</v>
      </c>
      <c r="H9356" s="76" t="s">
        <v>964</v>
      </c>
    </row>
    <row r="9357">
      <c r="A9357" s="76" t="s">
        <v>43</v>
      </c>
      <c r="B9357" s="76" t="s">
        <v>1041</v>
      </c>
      <c r="C9357" s="84">
        <v>3.11</v>
      </c>
      <c r="D9357" s="84">
        <v>0.0</v>
      </c>
      <c r="E9357" s="84">
        <v>0.0</v>
      </c>
      <c r="F9357" s="76" t="s">
        <v>990</v>
      </c>
      <c r="G9357" s="83">
        <v>46118.0</v>
      </c>
      <c r="H9357" s="76" t="s">
        <v>965</v>
      </c>
    </row>
    <row r="9358">
      <c r="A9358" s="76" t="s">
        <v>966</v>
      </c>
      <c r="B9358" s="76" t="s">
        <v>1041</v>
      </c>
      <c r="C9358" s="84">
        <v>1.71</v>
      </c>
      <c r="D9358" s="84">
        <v>0.0</v>
      </c>
      <c r="E9358" s="84">
        <v>0.0</v>
      </c>
      <c r="F9358" s="76" t="s">
        <v>990</v>
      </c>
      <c r="G9358" s="83">
        <v>46118.0</v>
      </c>
      <c r="H9358" s="76" t="s">
        <v>967</v>
      </c>
    </row>
    <row r="9359">
      <c r="A9359" s="76" t="s">
        <v>966</v>
      </c>
      <c r="B9359" s="76" t="s">
        <v>1041</v>
      </c>
      <c r="C9359" s="84">
        <v>0.24</v>
      </c>
      <c r="D9359" s="84">
        <v>0.0</v>
      </c>
      <c r="E9359" s="84">
        <v>0.0</v>
      </c>
      <c r="F9359" s="76" t="s">
        <v>990</v>
      </c>
      <c r="G9359" s="83">
        <v>46118.0</v>
      </c>
      <c r="H9359" s="76" t="s">
        <v>968</v>
      </c>
    </row>
    <row r="9360">
      <c r="A9360" s="76" t="s">
        <v>966</v>
      </c>
      <c r="B9360" s="76" t="s">
        <v>1041</v>
      </c>
      <c r="C9360" s="84">
        <v>0.44</v>
      </c>
      <c r="D9360" s="84">
        <v>0.0</v>
      </c>
      <c r="E9360" s="84">
        <v>0.0</v>
      </c>
      <c r="F9360" s="76" t="s">
        <v>990</v>
      </c>
      <c r="G9360" s="83">
        <v>46118.0</v>
      </c>
      <c r="H9360" s="76" t="s">
        <v>969</v>
      </c>
    </row>
    <row r="9361">
      <c r="A9361" s="76" t="s">
        <v>970</v>
      </c>
      <c r="B9361" s="76" t="s">
        <v>1041</v>
      </c>
      <c r="C9361" s="84">
        <v>5.14</v>
      </c>
      <c r="D9361" s="84">
        <v>1.0</v>
      </c>
      <c r="E9361" s="84">
        <v>5.14</v>
      </c>
      <c r="F9361" s="76" t="s">
        <v>996</v>
      </c>
      <c r="G9361" s="83">
        <v>46118.0</v>
      </c>
      <c r="H9361" s="76" t="s">
        <v>971</v>
      </c>
    </row>
    <row r="9362">
      <c r="A9362" s="76" t="s">
        <v>970</v>
      </c>
      <c r="B9362" s="76" t="s">
        <v>1041</v>
      </c>
      <c r="C9362" s="84">
        <v>2.51</v>
      </c>
      <c r="D9362" s="84">
        <v>2.0</v>
      </c>
      <c r="E9362" s="84">
        <v>1.26</v>
      </c>
      <c r="F9362" s="76" t="s">
        <v>996</v>
      </c>
      <c r="G9362" s="83">
        <v>46118.0</v>
      </c>
      <c r="H9362" s="76" t="s">
        <v>972</v>
      </c>
    </row>
    <row r="9363">
      <c r="A9363" s="76" t="s">
        <v>970</v>
      </c>
      <c r="B9363" s="76" t="s">
        <v>1041</v>
      </c>
      <c r="C9363" s="84">
        <v>9.06</v>
      </c>
      <c r="D9363" s="84">
        <v>1.0</v>
      </c>
      <c r="E9363" s="84">
        <v>9.06</v>
      </c>
      <c r="F9363" s="76" t="s">
        <v>996</v>
      </c>
      <c r="G9363" s="83">
        <v>46118.0</v>
      </c>
      <c r="H9363" s="76" t="s">
        <v>973</v>
      </c>
    </row>
    <row r="9364">
      <c r="A9364" s="76" t="s">
        <v>29</v>
      </c>
      <c r="B9364" s="76" t="s">
        <v>1041</v>
      </c>
      <c r="C9364" s="84">
        <v>5.75</v>
      </c>
      <c r="D9364" s="84">
        <v>1.0</v>
      </c>
      <c r="E9364" s="84">
        <v>5.75</v>
      </c>
      <c r="F9364" s="76" t="s">
        <v>996</v>
      </c>
      <c r="G9364" s="83">
        <v>46118.0</v>
      </c>
      <c r="H9364" s="76" t="s">
        <v>971</v>
      </c>
    </row>
    <row r="9365">
      <c r="A9365" s="76" t="s">
        <v>29</v>
      </c>
      <c r="B9365" s="76" t="s">
        <v>1041</v>
      </c>
      <c r="C9365" s="84">
        <v>1.97</v>
      </c>
      <c r="D9365" s="84">
        <v>1.0</v>
      </c>
      <c r="E9365" s="84">
        <v>1.97</v>
      </c>
      <c r="F9365" s="76" t="s">
        <v>996</v>
      </c>
      <c r="G9365" s="83">
        <v>46118.0</v>
      </c>
      <c r="H9365" s="76" t="s">
        <v>972</v>
      </c>
    </row>
    <row r="9366">
      <c r="A9366" s="76" t="s">
        <v>29</v>
      </c>
      <c r="B9366" s="76" t="s">
        <v>1041</v>
      </c>
      <c r="C9366" s="84">
        <v>9.53</v>
      </c>
      <c r="D9366" s="84">
        <v>0.0</v>
      </c>
      <c r="E9366" s="84">
        <v>0.0</v>
      </c>
      <c r="F9366" s="76" t="s">
        <v>996</v>
      </c>
      <c r="G9366" s="83">
        <v>46118.0</v>
      </c>
      <c r="H9366" s="76" t="s">
        <v>973</v>
      </c>
    </row>
    <row r="9367">
      <c r="A9367" s="76" t="s">
        <v>43</v>
      </c>
      <c r="B9367" s="76" t="s">
        <v>1041</v>
      </c>
      <c r="C9367" s="84">
        <v>2.5</v>
      </c>
      <c r="D9367" s="84">
        <v>0.0</v>
      </c>
      <c r="E9367" s="84">
        <v>0.0</v>
      </c>
      <c r="F9367" s="76" t="s">
        <v>996</v>
      </c>
      <c r="G9367" s="83">
        <v>46118.0</v>
      </c>
      <c r="H9367" s="76" t="s">
        <v>963</v>
      </c>
    </row>
    <row r="9368">
      <c r="A9368" s="76" t="s">
        <v>43</v>
      </c>
      <c r="B9368" s="76" t="s">
        <v>1041</v>
      </c>
      <c r="C9368" s="84">
        <v>2.76</v>
      </c>
      <c r="D9368" s="84">
        <v>0.0</v>
      </c>
      <c r="E9368" s="84">
        <v>0.0</v>
      </c>
      <c r="F9368" s="76" t="s">
        <v>996</v>
      </c>
      <c r="G9368" s="83">
        <v>46118.0</v>
      </c>
      <c r="H9368" s="76" t="s">
        <v>964</v>
      </c>
    </row>
    <row r="9369">
      <c r="A9369" s="76" t="s">
        <v>43</v>
      </c>
      <c r="B9369" s="76" t="s">
        <v>1041</v>
      </c>
      <c r="C9369" s="84">
        <v>8.41</v>
      </c>
      <c r="D9369" s="84">
        <v>0.0</v>
      </c>
      <c r="E9369" s="84">
        <v>0.0</v>
      </c>
      <c r="F9369" s="76" t="s">
        <v>996</v>
      </c>
      <c r="G9369" s="83">
        <v>46118.0</v>
      </c>
      <c r="H9369" s="76" t="s">
        <v>965</v>
      </c>
    </row>
    <row r="9370">
      <c r="A9370" s="76" t="s">
        <v>46</v>
      </c>
      <c r="B9370" s="76" t="s">
        <v>1041</v>
      </c>
      <c r="C9370" s="84">
        <v>0.94</v>
      </c>
      <c r="D9370" s="84">
        <v>0.0</v>
      </c>
      <c r="E9370" s="84">
        <v>0.0</v>
      </c>
      <c r="F9370" s="76" t="s">
        <v>996</v>
      </c>
      <c r="G9370" s="83">
        <v>46118.0</v>
      </c>
      <c r="H9370" s="76" t="s">
        <v>960</v>
      </c>
    </row>
    <row r="9371">
      <c r="A9371" s="76" t="s">
        <v>46</v>
      </c>
      <c r="B9371" s="76" t="s">
        <v>1041</v>
      </c>
      <c r="C9371" s="84">
        <v>1.79</v>
      </c>
      <c r="D9371" s="84">
        <v>0.0</v>
      </c>
      <c r="E9371" s="84">
        <v>0.0</v>
      </c>
      <c r="F9371" s="76" t="s">
        <v>996</v>
      </c>
      <c r="G9371" s="83">
        <v>46118.0</v>
      </c>
      <c r="H9371" s="76" t="s">
        <v>961</v>
      </c>
    </row>
    <row r="9372">
      <c r="A9372" s="76" t="s">
        <v>46</v>
      </c>
      <c r="B9372" s="76" t="s">
        <v>1041</v>
      </c>
      <c r="C9372" s="84">
        <v>2.29</v>
      </c>
      <c r="D9372" s="84">
        <v>1.0</v>
      </c>
      <c r="E9372" s="84">
        <v>2.29</v>
      </c>
      <c r="F9372" s="76" t="s">
        <v>996</v>
      </c>
      <c r="G9372" s="83">
        <v>46118.0</v>
      </c>
      <c r="H9372" s="76" t="s">
        <v>962</v>
      </c>
    </row>
    <row r="9373">
      <c r="A9373" s="76" t="s">
        <v>966</v>
      </c>
      <c r="B9373" s="76" t="s">
        <v>1041</v>
      </c>
      <c r="C9373" s="84">
        <v>3.44</v>
      </c>
      <c r="D9373" s="84">
        <v>1.0</v>
      </c>
      <c r="E9373" s="84">
        <v>3.44</v>
      </c>
      <c r="F9373" s="76" t="s">
        <v>996</v>
      </c>
      <c r="G9373" s="83">
        <v>46118.0</v>
      </c>
      <c r="H9373" s="76" t="s">
        <v>967</v>
      </c>
    </row>
    <row r="9374">
      <c r="A9374" s="76" t="s">
        <v>966</v>
      </c>
      <c r="B9374" s="76" t="s">
        <v>1041</v>
      </c>
      <c r="C9374" s="84">
        <v>0.91</v>
      </c>
      <c r="D9374" s="84">
        <v>1.0</v>
      </c>
      <c r="E9374" s="84">
        <v>0.91</v>
      </c>
      <c r="F9374" s="76" t="s">
        <v>996</v>
      </c>
      <c r="G9374" s="83">
        <v>46118.0</v>
      </c>
      <c r="H9374" s="76" t="s">
        <v>968</v>
      </c>
    </row>
    <row r="9375">
      <c r="A9375" s="76" t="s">
        <v>966</v>
      </c>
      <c r="B9375" s="76" t="s">
        <v>1041</v>
      </c>
      <c r="C9375" s="84">
        <v>2.19</v>
      </c>
      <c r="D9375" s="84">
        <v>0.0</v>
      </c>
      <c r="E9375" s="84">
        <v>0.0</v>
      </c>
      <c r="F9375" s="76" t="s">
        <v>996</v>
      </c>
      <c r="G9375" s="83">
        <v>46118.0</v>
      </c>
      <c r="H9375" s="76" t="s">
        <v>969</v>
      </c>
    </row>
    <row r="9376">
      <c r="A9376" s="76" t="s">
        <v>33</v>
      </c>
      <c r="B9376" s="76" t="s">
        <v>1041</v>
      </c>
      <c r="C9376" s="84">
        <v>22.71</v>
      </c>
      <c r="D9376" s="84">
        <v>3.0</v>
      </c>
      <c r="E9376" s="84">
        <v>7.57</v>
      </c>
      <c r="F9376" s="76" t="s">
        <v>996</v>
      </c>
      <c r="G9376" s="83">
        <v>46118.0</v>
      </c>
      <c r="H9376" s="76" t="s">
        <v>957</v>
      </c>
    </row>
    <row r="9377">
      <c r="A9377" s="76" t="s">
        <v>33</v>
      </c>
      <c r="B9377" s="76" t="s">
        <v>1041</v>
      </c>
      <c r="C9377" s="84">
        <v>8.21</v>
      </c>
      <c r="D9377" s="84">
        <v>3.0</v>
      </c>
      <c r="E9377" s="84">
        <v>2.74</v>
      </c>
      <c r="F9377" s="76" t="s">
        <v>996</v>
      </c>
      <c r="G9377" s="83">
        <v>46118.0</v>
      </c>
      <c r="H9377" s="76" t="s">
        <v>958</v>
      </c>
    </row>
    <row r="9378">
      <c r="A9378" s="76" t="s">
        <v>33</v>
      </c>
      <c r="B9378" s="76" t="s">
        <v>1041</v>
      </c>
      <c r="C9378" s="84">
        <v>14.2</v>
      </c>
      <c r="D9378" s="84">
        <v>0.0</v>
      </c>
      <c r="E9378" s="84">
        <v>0.0</v>
      </c>
      <c r="F9378" s="76" t="s">
        <v>996</v>
      </c>
      <c r="G9378" s="83">
        <v>46118.0</v>
      </c>
      <c r="H9378" s="76" t="s">
        <v>959</v>
      </c>
    </row>
    <row r="9379">
      <c r="A9379" s="76" t="s">
        <v>34</v>
      </c>
      <c r="B9379" s="76" t="s">
        <v>1041</v>
      </c>
      <c r="C9379" s="84">
        <v>0.99</v>
      </c>
      <c r="D9379" s="84">
        <v>1.0</v>
      </c>
      <c r="E9379" s="84">
        <v>0.99</v>
      </c>
      <c r="F9379" s="76" t="s">
        <v>996</v>
      </c>
      <c r="G9379" s="83">
        <v>46118.0</v>
      </c>
      <c r="H9379" s="76" t="s">
        <v>951</v>
      </c>
    </row>
    <row r="9380">
      <c r="A9380" s="76" t="s">
        <v>34</v>
      </c>
      <c r="B9380" s="76" t="s">
        <v>1041</v>
      </c>
      <c r="C9380" s="84">
        <v>3.99</v>
      </c>
      <c r="D9380" s="84">
        <v>0.0</v>
      </c>
      <c r="E9380" s="84">
        <v>0.0</v>
      </c>
      <c r="F9380" s="76" t="s">
        <v>996</v>
      </c>
      <c r="G9380" s="83">
        <v>46118.0</v>
      </c>
      <c r="H9380" s="76" t="s">
        <v>952</v>
      </c>
    </row>
    <row r="9381">
      <c r="A9381" s="76" t="s">
        <v>34</v>
      </c>
      <c r="B9381" s="76" t="s">
        <v>1041</v>
      </c>
      <c r="C9381" s="84">
        <v>0.93</v>
      </c>
      <c r="D9381" s="84">
        <v>0.0</v>
      </c>
      <c r="E9381" s="84">
        <v>0.0</v>
      </c>
      <c r="F9381" s="76" t="s">
        <v>996</v>
      </c>
      <c r="G9381" s="83">
        <v>46118.0</v>
      </c>
      <c r="H9381" s="76" t="s">
        <v>953</v>
      </c>
    </row>
    <row r="9382">
      <c r="A9382" s="76" t="s">
        <v>36</v>
      </c>
      <c r="B9382" s="76" t="s">
        <v>1041</v>
      </c>
      <c r="C9382" s="84">
        <v>3.85</v>
      </c>
      <c r="D9382" s="84">
        <v>0.0</v>
      </c>
      <c r="E9382" s="84">
        <v>0.0</v>
      </c>
      <c r="F9382" s="76" t="s">
        <v>996</v>
      </c>
      <c r="G9382" s="83">
        <v>46118.0</v>
      </c>
      <c r="H9382" s="76" t="s">
        <v>926</v>
      </c>
    </row>
    <row r="9383">
      <c r="A9383" s="76" t="s">
        <v>36</v>
      </c>
      <c r="B9383" s="76" t="s">
        <v>1041</v>
      </c>
      <c r="C9383" s="84">
        <v>0.94</v>
      </c>
      <c r="D9383" s="84">
        <v>0.0</v>
      </c>
      <c r="E9383" s="84">
        <v>0.0</v>
      </c>
      <c r="F9383" s="76" t="s">
        <v>996</v>
      </c>
      <c r="G9383" s="83">
        <v>46118.0</v>
      </c>
      <c r="H9383" s="76" t="s">
        <v>927</v>
      </c>
    </row>
    <row r="9384">
      <c r="A9384" s="76" t="s">
        <v>36</v>
      </c>
      <c r="B9384" s="76" t="s">
        <v>1041</v>
      </c>
      <c r="C9384" s="84">
        <v>5.56</v>
      </c>
      <c r="D9384" s="84">
        <v>0.0</v>
      </c>
      <c r="E9384" s="84">
        <v>0.0</v>
      </c>
      <c r="F9384" s="76" t="s">
        <v>996</v>
      </c>
      <c r="G9384" s="83">
        <v>46118.0</v>
      </c>
      <c r="H9384" s="76" t="s">
        <v>928</v>
      </c>
    </row>
    <row r="9385">
      <c r="A9385" s="76" t="s">
        <v>40</v>
      </c>
      <c r="B9385" s="76" t="s">
        <v>1041</v>
      </c>
      <c r="C9385" s="84">
        <v>3.49</v>
      </c>
      <c r="D9385" s="84">
        <v>0.0</v>
      </c>
      <c r="E9385" s="84">
        <v>0.0</v>
      </c>
      <c r="F9385" s="76" t="s">
        <v>996</v>
      </c>
      <c r="G9385" s="83">
        <v>46118.0</v>
      </c>
      <c r="H9385" s="76" t="s">
        <v>954</v>
      </c>
    </row>
    <row r="9386">
      <c r="A9386" s="76" t="s">
        <v>40</v>
      </c>
      <c r="B9386" s="76" t="s">
        <v>1041</v>
      </c>
      <c r="C9386" s="84">
        <v>0.77</v>
      </c>
      <c r="D9386" s="84">
        <v>0.0</v>
      </c>
      <c r="E9386" s="84">
        <v>0.0</v>
      </c>
      <c r="F9386" s="76" t="s">
        <v>996</v>
      </c>
      <c r="G9386" s="83">
        <v>46118.0</v>
      </c>
      <c r="H9386" s="76" t="s">
        <v>955</v>
      </c>
    </row>
    <row r="9387">
      <c r="A9387" s="76" t="s">
        <v>40</v>
      </c>
      <c r="B9387" s="76" t="s">
        <v>1041</v>
      </c>
      <c r="C9387" s="84">
        <v>10.96</v>
      </c>
      <c r="D9387" s="84">
        <v>1.0</v>
      </c>
      <c r="E9387" s="84">
        <v>10.96</v>
      </c>
      <c r="F9387" s="76" t="s">
        <v>996</v>
      </c>
      <c r="G9387" s="83">
        <v>46118.0</v>
      </c>
      <c r="H9387" s="76" t="s">
        <v>956</v>
      </c>
    </row>
    <row r="9388">
      <c r="A9388" s="76" t="s">
        <v>40</v>
      </c>
      <c r="B9388" s="76" t="s">
        <v>1041</v>
      </c>
      <c r="C9388" s="84">
        <v>1.37</v>
      </c>
      <c r="D9388" s="84">
        <v>0.0</v>
      </c>
      <c r="E9388" s="84">
        <v>0.0</v>
      </c>
      <c r="F9388" s="76" t="s">
        <v>993</v>
      </c>
      <c r="G9388" s="83">
        <v>46118.0</v>
      </c>
      <c r="H9388" s="76" t="s">
        <v>954</v>
      </c>
    </row>
    <row r="9389">
      <c r="A9389" s="76" t="s">
        <v>40</v>
      </c>
      <c r="B9389" s="76" t="s">
        <v>1041</v>
      </c>
      <c r="C9389" s="84">
        <v>0.11</v>
      </c>
      <c r="D9389" s="84">
        <v>0.0</v>
      </c>
      <c r="E9389" s="84">
        <v>0.0</v>
      </c>
      <c r="F9389" s="76" t="s">
        <v>993</v>
      </c>
      <c r="G9389" s="83">
        <v>46118.0</v>
      </c>
      <c r="H9389" s="76" t="s">
        <v>955</v>
      </c>
    </row>
    <row r="9390">
      <c r="A9390" s="76" t="s">
        <v>40</v>
      </c>
      <c r="B9390" s="76" t="s">
        <v>1041</v>
      </c>
      <c r="C9390" s="84">
        <v>27.57</v>
      </c>
      <c r="D9390" s="84">
        <v>5.0</v>
      </c>
      <c r="E9390" s="84">
        <v>5.51</v>
      </c>
      <c r="F9390" s="76" t="s">
        <v>993</v>
      </c>
      <c r="G9390" s="83">
        <v>46118.0</v>
      </c>
      <c r="H9390" s="76" t="s">
        <v>956</v>
      </c>
    </row>
    <row r="9391">
      <c r="A9391" s="76" t="s">
        <v>36</v>
      </c>
      <c r="B9391" s="76" t="s">
        <v>1041</v>
      </c>
      <c r="C9391" s="84">
        <v>10.24</v>
      </c>
      <c r="D9391" s="84">
        <v>1.0</v>
      </c>
      <c r="E9391" s="84">
        <v>10.24</v>
      </c>
      <c r="F9391" s="76" t="s">
        <v>993</v>
      </c>
      <c r="G9391" s="83">
        <v>46118.0</v>
      </c>
      <c r="H9391" s="76" t="s">
        <v>926</v>
      </c>
    </row>
    <row r="9392">
      <c r="A9392" s="76" t="s">
        <v>36</v>
      </c>
      <c r="B9392" s="76" t="s">
        <v>1041</v>
      </c>
      <c r="C9392" s="84">
        <v>0.63</v>
      </c>
      <c r="D9392" s="84">
        <v>0.0</v>
      </c>
      <c r="E9392" s="84">
        <v>0.0</v>
      </c>
      <c r="F9392" s="76" t="s">
        <v>993</v>
      </c>
      <c r="G9392" s="83">
        <v>46118.0</v>
      </c>
      <c r="H9392" s="76" t="s">
        <v>927</v>
      </c>
    </row>
    <row r="9393">
      <c r="A9393" s="76" t="s">
        <v>36</v>
      </c>
      <c r="B9393" s="76" t="s">
        <v>1041</v>
      </c>
      <c r="C9393" s="84">
        <v>1.8</v>
      </c>
      <c r="D9393" s="84">
        <v>0.0</v>
      </c>
      <c r="E9393" s="84">
        <v>0.0</v>
      </c>
      <c r="F9393" s="76" t="s">
        <v>993</v>
      </c>
      <c r="G9393" s="83">
        <v>46118.0</v>
      </c>
      <c r="H9393" s="76" t="s">
        <v>928</v>
      </c>
    </row>
    <row r="9394">
      <c r="A9394" s="76" t="s">
        <v>46</v>
      </c>
      <c r="B9394" s="76" t="s">
        <v>1041</v>
      </c>
      <c r="C9394" s="84">
        <v>1.31</v>
      </c>
      <c r="D9394" s="84">
        <v>0.0</v>
      </c>
      <c r="E9394" s="84">
        <v>0.0</v>
      </c>
      <c r="F9394" s="76" t="s">
        <v>993</v>
      </c>
      <c r="G9394" s="83">
        <v>46118.0</v>
      </c>
      <c r="H9394" s="76" t="s">
        <v>960</v>
      </c>
    </row>
    <row r="9395">
      <c r="A9395" s="76" t="s">
        <v>46</v>
      </c>
      <c r="B9395" s="76" t="s">
        <v>1041</v>
      </c>
      <c r="C9395" s="84">
        <v>0.48</v>
      </c>
      <c r="D9395" s="84">
        <v>0.0</v>
      </c>
      <c r="E9395" s="84">
        <v>0.0</v>
      </c>
      <c r="F9395" s="76" t="s">
        <v>993</v>
      </c>
      <c r="G9395" s="83">
        <v>46118.0</v>
      </c>
      <c r="H9395" s="76" t="s">
        <v>961</v>
      </c>
    </row>
    <row r="9396">
      <c r="A9396" s="76" t="s">
        <v>46</v>
      </c>
      <c r="B9396" s="76" t="s">
        <v>1041</v>
      </c>
      <c r="C9396" s="84">
        <v>0.73</v>
      </c>
      <c r="D9396" s="84">
        <v>0.0</v>
      </c>
      <c r="E9396" s="84">
        <v>0.0</v>
      </c>
      <c r="F9396" s="76" t="s">
        <v>993</v>
      </c>
      <c r="G9396" s="83">
        <v>46118.0</v>
      </c>
      <c r="H9396" s="76" t="s">
        <v>962</v>
      </c>
    </row>
    <row r="9397">
      <c r="A9397" s="76" t="s">
        <v>970</v>
      </c>
      <c r="B9397" s="76" t="s">
        <v>1041</v>
      </c>
      <c r="C9397" s="84">
        <v>6.91</v>
      </c>
      <c r="D9397" s="84">
        <v>1.0</v>
      </c>
      <c r="E9397" s="84">
        <v>6.91</v>
      </c>
      <c r="F9397" s="76" t="s">
        <v>993</v>
      </c>
      <c r="G9397" s="83">
        <v>46118.0</v>
      </c>
      <c r="H9397" s="76" t="s">
        <v>971</v>
      </c>
    </row>
    <row r="9398">
      <c r="A9398" s="76" t="s">
        <v>970</v>
      </c>
      <c r="B9398" s="76" t="s">
        <v>1041</v>
      </c>
      <c r="C9398" s="84">
        <v>1.97</v>
      </c>
      <c r="D9398" s="84">
        <v>0.0</v>
      </c>
      <c r="E9398" s="84">
        <v>0.0</v>
      </c>
      <c r="F9398" s="76" t="s">
        <v>993</v>
      </c>
      <c r="G9398" s="83">
        <v>46118.0</v>
      </c>
      <c r="H9398" s="76" t="s">
        <v>972</v>
      </c>
    </row>
    <row r="9399">
      <c r="A9399" s="76" t="s">
        <v>970</v>
      </c>
      <c r="B9399" s="76" t="s">
        <v>1041</v>
      </c>
      <c r="C9399" s="84">
        <v>13.45</v>
      </c>
      <c r="D9399" s="84">
        <v>1.0</v>
      </c>
      <c r="E9399" s="84">
        <v>13.45</v>
      </c>
      <c r="F9399" s="76" t="s">
        <v>993</v>
      </c>
      <c r="G9399" s="83">
        <v>46118.0</v>
      </c>
      <c r="H9399" s="76" t="s">
        <v>973</v>
      </c>
    </row>
    <row r="9400">
      <c r="A9400" s="76" t="s">
        <v>33</v>
      </c>
      <c r="B9400" s="76" t="s">
        <v>1041</v>
      </c>
      <c r="C9400" s="84">
        <v>26.27</v>
      </c>
      <c r="D9400" s="84">
        <v>4.0</v>
      </c>
      <c r="E9400" s="84">
        <v>6.57</v>
      </c>
      <c r="F9400" s="76" t="s">
        <v>993</v>
      </c>
      <c r="G9400" s="83">
        <v>46118.0</v>
      </c>
      <c r="H9400" s="76" t="s">
        <v>957</v>
      </c>
    </row>
    <row r="9401">
      <c r="A9401" s="76" t="s">
        <v>33</v>
      </c>
      <c r="B9401" s="76" t="s">
        <v>1041</v>
      </c>
      <c r="C9401" s="84">
        <v>2.58</v>
      </c>
      <c r="D9401" s="84">
        <v>0.0</v>
      </c>
      <c r="E9401" s="84">
        <v>0.0</v>
      </c>
      <c r="F9401" s="76" t="s">
        <v>993</v>
      </c>
      <c r="G9401" s="83">
        <v>46118.0</v>
      </c>
      <c r="H9401" s="76" t="s">
        <v>958</v>
      </c>
    </row>
    <row r="9402">
      <c r="A9402" s="76" t="s">
        <v>33</v>
      </c>
      <c r="B9402" s="76" t="s">
        <v>1041</v>
      </c>
      <c r="C9402" s="84">
        <v>5.48</v>
      </c>
      <c r="D9402" s="84">
        <v>1.0</v>
      </c>
      <c r="E9402" s="84">
        <v>5.48</v>
      </c>
      <c r="F9402" s="76" t="s">
        <v>993</v>
      </c>
      <c r="G9402" s="83">
        <v>46118.0</v>
      </c>
      <c r="H9402" s="76" t="s">
        <v>959</v>
      </c>
    </row>
    <row r="9403">
      <c r="A9403" s="76" t="s">
        <v>966</v>
      </c>
      <c r="B9403" s="76" t="s">
        <v>1041</v>
      </c>
      <c r="C9403" s="84">
        <v>4.15</v>
      </c>
      <c r="D9403" s="84">
        <v>0.0</v>
      </c>
      <c r="E9403" s="84">
        <v>0.0</v>
      </c>
      <c r="F9403" s="76" t="s">
        <v>993</v>
      </c>
      <c r="G9403" s="83">
        <v>46118.0</v>
      </c>
      <c r="H9403" s="76" t="s">
        <v>967</v>
      </c>
    </row>
    <row r="9404">
      <c r="A9404" s="76" t="s">
        <v>966</v>
      </c>
      <c r="B9404" s="76" t="s">
        <v>1041</v>
      </c>
      <c r="C9404" s="84">
        <v>0.57</v>
      </c>
      <c r="D9404" s="84">
        <v>0.0</v>
      </c>
      <c r="E9404" s="84">
        <v>0.0</v>
      </c>
      <c r="F9404" s="76" t="s">
        <v>993</v>
      </c>
      <c r="G9404" s="83">
        <v>46118.0</v>
      </c>
      <c r="H9404" s="76" t="s">
        <v>968</v>
      </c>
    </row>
    <row r="9405">
      <c r="A9405" s="76" t="s">
        <v>966</v>
      </c>
      <c r="B9405" s="76" t="s">
        <v>1041</v>
      </c>
      <c r="C9405" s="84">
        <v>2.88</v>
      </c>
      <c r="D9405" s="84">
        <v>0.0</v>
      </c>
      <c r="E9405" s="84">
        <v>0.0</v>
      </c>
      <c r="F9405" s="76" t="s">
        <v>993</v>
      </c>
      <c r="G9405" s="83">
        <v>46118.0</v>
      </c>
      <c r="H9405" s="76" t="s">
        <v>969</v>
      </c>
    </row>
    <row r="9406">
      <c r="A9406" s="76" t="s">
        <v>29</v>
      </c>
      <c r="B9406" s="76" t="s">
        <v>1041</v>
      </c>
      <c r="C9406" s="84">
        <v>10.54</v>
      </c>
      <c r="D9406" s="84">
        <v>3.0</v>
      </c>
      <c r="E9406" s="84">
        <v>3.51</v>
      </c>
      <c r="F9406" s="76" t="s">
        <v>993</v>
      </c>
      <c r="G9406" s="83">
        <v>46118.0</v>
      </c>
      <c r="H9406" s="76" t="s">
        <v>971</v>
      </c>
    </row>
    <row r="9407">
      <c r="A9407" s="76" t="s">
        <v>29</v>
      </c>
      <c r="B9407" s="76" t="s">
        <v>1041</v>
      </c>
      <c r="C9407" s="84">
        <v>3.31</v>
      </c>
      <c r="D9407" s="84">
        <v>1.0</v>
      </c>
      <c r="E9407" s="84">
        <v>3.31</v>
      </c>
      <c r="F9407" s="76" t="s">
        <v>993</v>
      </c>
      <c r="G9407" s="83">
        <v>46118.0</v>
      </c>
      <c r="H9407" s="76" t="s">
        <v>972</v>
      </c>
    </row>
    <row r="9408">
      <c r="A9408" s="76" t="s">
        <v>29</v>
      </c>
      <c r="B9408" s="76" t="s">
        <v>1041</v>
      </c>
      <c r="C9408" s="84">
        <v>13.47</v>
      </c>
      <c r="D9408" s="84">
        <v>0.0</v>
      </c>
      <c r="E9408" s="84">
        <v>0.0</v>
      </c>
      <c r="F9408" s="76" t="s">
        <v>993</v>
      </c>
      <c r="G9408" s="83">
        <v>46118.0</v>
      </c>
      <c r="H9408" s="76" t="s">
        <v>973</v>
      </c>
    </row>
    <row r="9409">
      <c r="A9409" s="76" t="s">
        <v>34</v>
      </c>
      <c r="B9409" s="76" t="s">
        <v>1041</v>
      </c>
      <c r="C9409" s="84">
        <v>0.93</v>
      </c>
      <c r="D9409" s="84">
        <v>0.0</v>
      </c>
      <c r="E9409" s="84">
        <v>0.0</v>
      </c>
      <c r="F9409" s="76" t="s">
        <v>993</v>
      </c>
      <c r="G9409" s="83">
        <v>46118.0</v>
      </c>
      <c r="H9409" s="76" t="s">
        <v>951</v>
      </c>
    </row>
    <row r="9410">
      <c r="A9410" s="76" t="s">
        <v>34</v>
      </c>
      <c r="B9410" s="76" t="s">
        <v>1041</v>
      </c>
      <c r="C9410" s="84">
        <v>3.5</v>
      </c>
      <c r="D9410" s="84">
        <v>1.0</v>
      </c>
      <c r="E9410" s="84">
        <v>3.5</v>
      </c>
      <c r="F9410" s="76" t="s">
        <v>993</v>
      </c>
      <c r="G9410" s="83">
        <v>46118.0</v>
      </c>
      <c r="H9410" s="76" t="s">
        <v>952</v>
      </c>
    </row>
    <row r="9411">
      <c r="A9411" s="76" t="s">
        <v>34</v>
      </c>
      <c r="B9411" s="76" t="s">
        <v>1041</v>
      </c>
      <c r="C9411" s="84">
        <v>0.92</v>
      </c>
      <c r="D9411" s="84">
        <v>0.0</v>
      </c>
      <c r="E9411" s="84">
        <v>0.0</v>
      </c>
      <c r="F9411" s="76" t="s">
        <v>993</v>
      </c>
      <c r="G9411" s="83">
        <v>46118.0</v>
      </c>
      <c r="H9411" s="76" t="s">
        <v>953</v>
      </c>
    </row>
    <row r="9412">
      <c r="A9412" s="76" t="s">
        <v>43</v>
      </c>
      <c r="B9412" s="76" t="s">
        <v>1041</v>
      </c>
      <c r="C9412" s="84">
        <v>2.13</v>
      </c>
      <c r="D9412" s="84">
        <v>0.0</v>
      </c>
      <c r="E9412" s="84">
        <v>0.0</v>
      </c>
      <c r="F9412" s="76" t="s">
        <v>993</v>
      </c>
      <c r="G9412" s="83">
        <v>46118.0</v>
      </c>
      <c r="H9412" s="76" t="s">
        <v>963</v>
      </c>
    </row>
    <row r="9413">
      <c r="A9413" s="76" t="s">
        <v>43</v>
      </c>
      <c r="B9413" s="76" t="s">
        <v>1041</v>
      </c>
      <c r="C9413" s="84">
        <v>1.69</v>
      </c>
      <c r="D9413" s="84">
        <v>0.0</v>
      </c>
      <c r="E9413" s="84">
        <v>0.0</v>
      </c>
      <c r="F9413" s="76" t="s">
        <v>993</v>
      </c>
      <c r="G9413" s="83">
        <v>46118.0</v>
      </c>
      <c r="H9413" s="76" t="s">
        <v>964</v>
      </c>
    </row>
    <row r="9414">
      <c r="A9414" s="76" t="s">
        <v>43</v>
      </c>
      <c r="B9414" s="76" t="s">
        <v>1041</v>
      </c>
      <c r="C9414" s="84">
        <v>14.12</v>
      </c>
      <c r="D9414" s="84">
        <v>1.0</v>
      </c>
      <c r="E9414" s="84">
        <v>14.12</v>
      </c>
      <c r="F9414" s="76" t="s">
        <v>993</v>
      </c>
      <c r="G9414" s="83">
        <v>46118.0</v>
      </c>
      <c r="H9414" s="76" t="s">
        <v>965</v>
      </c>
    </row>
    <row r="9415">
      <c r="A9415" s="76" t="s">
        <v>36</v>
      </c>
      <c r="B9415" s="76" t="s">
        <v>1041</v>
      </c>
      <c r="C9415" s="84">
        <v>1.77</v>
      </c>
      <c r="D9415" s="84">
        <v>0.0</v>
      </c>
      <c r="E9415" s="84">
        <v>0.0</v>
      </c>
      <c r="F9415" s="76" t="s">
        <v>998</v>
      </c>
      <c r="G9415" s="83">
        <v>46118.0</v>
      </c>
      <c r="H9415" s="76" t="s">
        <v>926</v>
      </c>
    </row>
    <row r="9416">
      <c r="A9416" s="76" t="s">
        <v>36</v>
      </c>
      <c r="B9416" s="76" t="s">
        <v>1041</v>
      </c>
      <c r="C9416" s="84">
        <v>0.16</v>
      </c>
      <c r="D9416" s="84">
        <v>0.0</v>
      </c>
      <c r="E9416" s="84">
        <v>0.0</v>
      </c>
      <c r="F9416" s="76" t="s">
        <v>998</v>
      </c>
      <c r="G9416" s="83">
        <v>46118.0</v>
      </c>
      <c r="H9416" s="76" t="s">
        <v>927</v>
      </c>
    </row>
    <row r="9417">
      <c r="A9417" s="76" t="s">
        <v>36</v>
      </c>
      <c r="B9417" s="76" t="s">
        <v>1041</v>
      </c>
      <c r="C9417" s="84">
        <v>0.55</v>
      </c>
      <c r="D9417" s="84">
        <v>0.0</v>
      </c>
      <c r="E9417" s="84">
        <v>0.0</v>
      </c>
      <c r="F9417" s="76" t="s">
        <v>998</v>
      </c>
      <c r="G9417" s="83">
        <v>46118.0</v>
      </c>
      <c r="H9417" s="76" t="s">
        <v>928</v>
      </c>
    </row>
    <row r="9418">
      <c r="A9418" s="76" t="s">
        <v>34</v>
      </c>
      <c r="B9418" s="76" t="s">
        <v>1041</v>
      </c>
      <c r="C9418" s="84">
        <v>0.14</v>
      </c>
      <c r="D9418" s="84">
        <v>0.0</v>
      </c>
      <c r="E9418" s="84">
        <v>0.0</v>
      </c>
      <c r="F9418" s="76" t="s">
        <v>998</v>
      </c>
      <c r="G9418" s="83">
        <v>46118.0</v>
      </c>
      <c r="H9418" s="76" t="s">
        <v>951</v>
      </c>
    </row>
    <row r="9419">
      <c r="A9419" s="76" t="s">
        <v>34</v>
      </c>
      <c r="B9419" s="76" t="s">
        <v>1041</v>
      </c>
      <c r="C9419" s="84">
        <v>0.99</v>
      </c>
      <c r="D9419" s="84">
        <v>2.0</v>
      </c>
      <c r="E9419" s="84">
        <v>0.5</v>
      </c>
      <c r="F9419" s="76" t="s">
        <v>998</v>
      </c>
      <c r="G9419" s="83">
        <v>46118.0</v>
      </c>
      <c r="H9419" s="76" t="s">
        <v>952</v>
      </c>
    </row>
    <row r="9420">
      <c r="A9420" s="76" t="s">
        <v>34</v>
      </c>
      <c r="B9420" s="76" t="s">
        <v>1041</v>
      </c>
      <c r="C9420" s="84">
        <v>0.34</v>
      </c>
      <c r="D9420" s="84">
        <v>1.0</v>
      </c>
      <c r="E9420" s="84">
        <v>0.34</v>
      </c>
      <c r="F9420" s="76" t="s">
        <v>998</v>
      </c>
      <c r="G9420" s="83">
        <v>46118.0</v>
      </c>
      <c r="H9420" s="76" t="s">
        <v>953</v>
      </c>
    </row>
    <row r="9421">
      <c r="A9421" s="76" t="s">
        <v>33</v>
      </c>
      <c r="B9421" s="76" t="s">
        <v>1041</v>
      </c>
      <c r="C9421" s="84">
        <v>3.84</v>
      </c>
      <c r="D9421" s="84">
        <v>0.0</v>
      </c>
      <c r="E9421" s="84">
        <v>0.0</v>
      </c>
      <c r="F9421" s="76" t="s">
        <v>998</v>
      </c>
      <c r="G9421" s="83">
        <v>46118.0</v>
      </c>
      <c r="H9421" s="76" t="s">
        <v>957</v>
      </c>
    </row>
    <row r="9422">
      <c r="A9422" s="76" t="s">
        <v>33</v>
      </c>
      <c r="B9422" s="76" t="s">
        <v>1041</v>
      </c>
      <c r="C9422" s="84">
        <v>1.43</v>
      </c>
      <c r="D9422" s="84">
        <v>0.0</v>
      </c>
      <c r="E9422" s="84">
        <v>0.0</v>
      </c>
      <c r="F9422" s="76" t="s">
        <v>998</v>
      </c>
      <c r="G9422" s="83">
        <v>46118.0</v>
      </c>
      <c r="H9422" s="76" t="s">
        <v>958</v>
      </c>
    </row>
    <row r="9423">
      <c r="A9423" s="76" t="s">
        <v>33</v>
      </c>
      <c r="B9423" s="76" t="s">
        <v>1041</v>
      </c>
      <c r="C9423" s="84">
        <v>1.06</v>
      </c>
      <c r="D9423" s="84">
        <v>0.0</v>
      </c>
      <c r="E9423" s="84">
        <v>0.0</v>
      </c>
      <c r="F9423" s="76" t="s">
        <v>998</v>
      </c>
      <c r="G9423" s="83">
        <v>46118.0</v>
      </c>
      <c r="H9423" s="76" t="s">
        <v>959</v>
      </c>
    </row>
    <row r="9424">
      <c r="A9424" s="76" t="s">
        <v>29</v>
      </c>
      <c r="B9424" s="76" t="s">
        <v>1041</v>
      </c>
      <c r="C9424" s="84">
        <v>0.72</v>
      </c>
      <c r="D9424" s="84">
        <v>0.0</v>
      </c>
      <c r="E9424" s="84">
        <v>0.0</v>
      </c>
      <c r="F9424" s="76" t="s">
        <v>998</v>
      </c>
      <c r="G9424" s="83">
        <v>46118.0</v>
      </c>
      <c r="H9424" s="76" t="s">
        <v>971</v>
      </c>
    </row>
    <row r="9425">
      <c r="A9425" s="76" t="s">
        <v>29</v>
      </c>
      <c r="B9425" s="76" t="s">
        <v>1041</v>
      </c>
      <c r="C9425" s="84">
        <v>0.23</v>
      </c>
      <c r="D9425" s="84">
        <v>0.0</v>
      </c>
      <c r="E9425" s="84">
        <v>0.0</v>
      </c>
      <c r="F9425" s="76" t="s">
        <v>998</v>
      </c>
      <c r="G9425" s="83">
        <v>46118.0</v>
      </c>
      <c r="H9425" s="76" t="s">
        <v>972</v>
      </c>
    </row>
    <row r="9426">
      <c r="A9426" s="76" t="s">
        <v>29</v>
      </c>
      <c r="B9426" s="76" t="s">
        <v>1041</v>
      </c>
      <c r="C9426" s="84">
        <v>1.49</v>
      </c>
      <c r="D9426" s="84">
        <v>0.0</v>
      </c>
      <c r="E9426" s="84">
        <v>0.0</v>
      </c>
      <c r="F9426" s="76" t="s">
        <v>998</v>
      </c>
      <c r="G9426" s="83">
        <v>46118.0</v>
      </c>
      <c r="H9426" s="76" t="s">
        <v>973</v>
      </c>
    </row>
    <row r="9427">
      <c r="A9427" s="76" t="s">
        <v>46</v>
      </c>
      <c r="B9427" s="76" t="s">
        <v>1041</v>
      </c>
      <c r="C9427" s="84">
        <v>0.34</v>
      </c>
      <c r="D9427" s="84">
        <v>0.0</v>
      </c>
      <c r="E9427" s="84">
        <v>0.0</v>
      </c>
      <c r="F9427" s="76" t="s">
        <v>998</v>
      </c>
      <c r="G9427" s="83">
        <v>46118.0</v>
      </c>
      <c r="H9427" s="76" t="s">
        <v>960</v>
      </c>
    </row>
    <row r="9428">
      <c r="A9428" s="76" t="s">
        <v>46</v>
      </c>
      <c r="B9428" s="76" t="s">
        <v>1041</v>
      </c>
      <c r="C9428" s="84">
        <v>0.37</v>
      </c>
      <c r="D9428" s="84">
        <v>0.0</v>
      </c>
      <c r="E9428" s="84">
        <v>0.0</v>
      </c>
      <c r="F9428" s="76" t="s">
        <v>998</v>
      </c>
      <c r="G9428" s="83">
        <v>46118.0</v>
      </c>
      <c r="H9428" s="76" t="s">
        <v>961</v>
      </c>
    </row>
    <row r="9429">
      <c r="A9429" s="76" t="s">
        <v>46</v>
      </c>
      <c r="B9429" s="76" t="s">
        <v>1041</v>
      </c>
      <c r="C9429" s="84">
        <v>0.38</v>
      </c>
      <c r="D9429" s="84">
        <v>0.0</v>
      </c>
      <c r="E9429" s="84">
        <v>0.0</v>
      </c>
      <c r="F9429" s="76" t="s">
        <v>998</v>
      </c>
      <c r="G9429" s="83">
        <v>46118.0</v>
      </c>
      <c r="H9429" s="76" t="s">
        <v>962</v>
      </c>
    </row>
    <row r="9430">
      <c r="A9430" s="76" t="s">
        <v>40</v>
      </c>
      <c r="B9430" s="76" t="s">
        <v>1041</v>
      </c>
      <c r="C9430" s="84">
        <v>0.44</v>
      </c>
      <c r="D9430" s="84">
        <v>0.0</v>
      </c>
      <c r="E9430" s="84">
        <v>0.0</v>
      </c>
      <c r="F9430" s="76" t="s">
        <v>998</v>
      </c>
      <c r="G9430" s="83">
        <v>46118.0</v>
      </c>
      <c r="H9430" s="76" t="s">
        <v>954</v>
      </c>
    </row>
    <row r="9431">
      <c r="A9431" s="76" t="s">
        <v>40</v>
      </c>
      <c r="B9431" s="76" t="s">
        <v>1041</v>
      </c>
      <c r="C9431" s="84">
        <v>0.61</v>
      </c>
      <c r="D9431" s="84">
        <v>0.0</v>
      </c>
      <c r="E9431" s="84">
        <v>0.0</v>
      </c>
      <c r="F9431" s="76" t="s">
        <v>998</v>
      </c>
      <c r="G9431" s="83">
        <v>46118.0</v>
      </c>
      <c r="H9431" s="76" t="s">
        <v>955</v>
      </c>
    </row>
    <row r="9432">
      <c r="A9432" s="76" t="s">
        <v>40</v>
      </c>
      <c r="B9432" s="76" t="s">
        <v>1041</v>
      </c>
      <c r="C9432" s="84">
        <v>3.23</v>
      </c>
      <c r="D9432" s="84">
        <v>5.0</v>
      </c>
      <c r="E9432" s="84">
        <v>0.65</v>
      </c>
      <c r="F9432" s="76" t="s">
        <v>998</v>
      </c>
      <c r="G9432" s="83">
        <v>46118.0</v>
      </c>
      <c r="H9432" s="76" t="s">
        <v>956</v>
      </c>
    </row>
    <row r="9433">
      <c r="A9433" s="76" t="s">
        <v>966</v>
      </c>
      <c r="B9433" s="76" t="s">
        <v>1041</v>
      </c>
      <c r="C9433" s="84">
        <v>0.86</v>
      </c>
      <c r="D9433" s="84">
        <v>1.0</v>
      </c>
      <c r="E9433" s="84">
        <v>0.86</v>
      </c>
      <c r="F9433" s="76" t="s">
        <v>998</v>
      </c>
      <c r="G9433" s="83">
        <v>46118.0</v>
      </c>
      <c r="H9433" s="76" t="s">
        <v>967</v>
      </c>
    </row>
    <row r="9434">
      <c r="A9434" s="76" t="s">
        <v>966</v>
      </c>
      <c r="B9434" s="76" t="s">
        <v>1041</v>
      </c>
      <c r="C9434" s="84">
        <v>0.12</v>
      </c>
      <c r="D9434" s="84">
        <v>0.0</v>
      </c>
      <c r="E9434" s="84">
        <v>0.0</v>
      </c>
      <c r="F9434" s="76" t="s">
        <v>998</v>
      </c>
      <c r="G9434" s="83">
        <v>46118.0</v>
      </c>
      <c r="H9434" s="76" t="s">
        <v>968</v>
      </c>
    </row>
    <row r="9435">
      <c r="A9435" s="76" t="s">
        <v>966</v>
      </c>
      <c r="B9435" s="76" t="s">
        <v>1041</v>
      </c>
      <c r="C9435" s="84">
        <v>0.38</v>
      </c>
      <c r="D9435" s="84">
        <v>0.0</v>
      </c>
      <c r="E9435" s="84">
        <v>0.0</v>
      </c>
      <c r="F9435" s="76" t="s">
        <v>998</v>
      </c>
      <c r="G9435" s="83">
        <v>46118.0</v>
      </c>
      <c r="H9435" s="76" t="s">
        <v>969</v>
      </c>
    </row>
    <row r="9436">
      <c r="A9436" s="76" t="s">
        <v>43</v>
      </c>
      <c r="B9436" s="76" t="s">
        <v>1041</v>
      </c>
      <c r="C9436" s="84">
        <v>0.21</v>
      </c>
      <c r="D9436" s="84">
        <v>0.0</v>
      </c>
      <c r="E9436" s="84">
        <v>0.0</v>
      </c>
      <c r="F9436" s="76" t="s">
        <v>998</v>
      </c>
      <c r="G9436" s="83">
        <v>46118.0</v>
      </c>
      <c r="H9436" s="76" t="s">
        <v>963</v>
      </c>
    </row>
    <row r="9437">
      <c r="A9437" s="76" t="s">
        <v>43</v>
      </c>
      <c r="B9437" s="76" t="s">
        <v>1041</v>
      </c>
      <c r="C9437" s="84">
        <v>0.25</v>
      </c>
      <c r="D9437" s="84">
        <v>0.0</v>
      </c>
      <c r="E9437" s="84">
        <v>0.0</v>
      </c>
      <c r="F9437" s="76" t="s">
        <v>998</v>
      </c>
      <c r="G9437" s="83">
        <v>46118.0</v>
      </c>
      <c r="H9437" s="76" t="s">
        <v>964</v>
      </c>
    </row>
    <row r="9438">
      <c r="A9438" s="76" t="s">
        <v>43</v>
      </c>
      <c r="B9438" s="76" t="s">
        <v>1041</v>
      </c>
      <c r="C9438" s="84">
        <v>1.44</v>
      </c>
      <c r="D9438" s="84">
        <v>0.0</v>
      </c>
      <c r="E9438" s="84">
        <v>0.0</v>
      </c>
      <c r="F9438" s="76" t="s">
        <v>998</v>
      </c>
      <c r="G9438" s="83">
        <v>46118.0</v>
      </c>
      <c r="H9438" s="76" t="s">
        <v>965</v>
      </c>
    </row>
    <row r="9439">
      <c r="A9439" s="76" t="s">
        <v>970</v>
      </c>
      <c r="B9439" s="76" t="s">
        <v>1041</v>
      </c>
      <c r="C9439" s="84">
        <v>0.74</v>
      </c>
      <c r="D9439" s="84">
        <v>0.0</v>
      </c>
      <c r="E9439" s="84">
        <v>0.0</v>
      </c>
      <c r="F9439" s="76" t="s">
        <v>998</v>
      </c>
      <c r="G9439" s="83">
        <v>46118.0</v>
      </c>
      <c r="H9439" s="76" t="s">
        <v>971</v>
      </c>
    </row>
    <row r="9440">
      <c r="A9440" s="76" t="s">
        <v>970</v>
      </c>
      <c r="B9440" s="76" t="s">
        <v>1041</v>
      </c>
      <c r="C9440" s="84">
        <v>0.35</v>
      </c>
      <c r="D9440" s="84">
        <v>0.0</v>
      </c>
      <c r="E9440" s="84">
        <v>0.0</v>
      </c>
      <c r="F9440" s="76" t="s">
        <v>998</v>
      </c>
      <c r="G9440" s="83">
        <v>46118.0</v>
      </c>
      <c r="H9440" s="76" t="s">
        <v>972</v>
      </c>
    </row>
    <row r="9441">
      <c r="A9441" s="76" t="s">
        <v>970</v>
      </c>
      <c r="B9441" s="76" t="s">
        <v>1041</v>
      </c>
      <c r="C9441" s="84">
        <v>1.97</v>
      </c>
      <c r="D9441" s="84">
        <v>0.0</v>
      </c>
      <c r="E9441" s="84">
        <v>0.0</v>
      </c>
      <c r="F9441" s="76" t="s">
        <v>998</v>
      </c>
      <c r="G9441" s="83">
        <v>46118.0</v>
      </c>
      <c r="H9441" s="76" t="s">
        <v>973</v>
      </c>
    </row>
    <row r="9442">
      <c r="A9442" s="76" t="s">
        <v>46</v>
      </c>
      <c r="B9442" s="76" t="s">
        <v>1041</v>
      </c>
      <c r="C9442" s="84">
        <v>0.45</v>
      </c>
      <c r="D9442" s="84">
        <v>0.0</v>
      </c>
      <c r="E9442" s="84">
        <v>0.0</v>
      </c>
      <c r="F9442" s="76" t="s">
        <v>997</v>
      </c>
      <c r="G9442" s="83">
        <v>46118.0</v>
      </c>
      <c r="H9442" s="76" t="s">
        <v>960</v>
      </c>
    </row>
    <row r="9443">
      <c r="A9443" s="76" t="s">
        <v>46</v>
      </c>
      <c r="B9443" s="76" t="s">
        <v>1041</v>
      </c>
      <c r="C9443" s="84">
        <v>0.15</v>
      </c>
      <c r="D9443" s="84">
        <v>0.0</v>
      </c>
      <c r="E9443" s="84">
        <v>0.0</v>
      </c>
      <c r="F9443" s="76" t="s">
        <v>997</v>
      </c>
      <c r="G9443" s="83">
        <v>46118.0</v>
      </c>
      <c r="H9443" s="76" t="s">
        <v>961</v>
      </c>
    </row>
    <row r="9444">
      <c r="A9444" s="76" t="s">
        <v>46</v>
      </c>
      <c r="B9444" s="76" t="s">
        <v>1041</v>
      </c>
      <c r="C9444" s="84">
        <v>0.15</v>
      </c>
      <c r="D9444" s="84">
        <v>0.0</v>
      </c>
      <c r="E9444" s="84">
        <v>0.0</v>
      </c>
      <c r="F9444" s="76" t="s">
        <v>997</v>
      </c>
      <c r="G9444" s="83">
        <v>46118.0</v>
      </c>
      <c r="H9444" s="76" t="s">
        <v>962</v>
      </c>
    </row>
    <row r="9445">
      <c r="A9445" s="76" t="s">
        <v>34</v>
      </c>
      <c r="B9445" s="76" t="s">
        <v>1041</v>
      </c>
      <c r="C9445" s="84">
        <v>0.26</v>
      </c>
      <c r="D9445" s="84">
        <v>0.0</v>
      </c>
      <c r="E9445" s="84">
        <v>0.0</v>
      </c>
      <c r="F9445" s="76" t="s">
        <v>997</v>
      </c>
      <c r="G9445" s="83">
        <v>46118.0</v>
      </c>
      <c r="H9445" s="76" t="s">
        <v>951</v>
      </c>
    </row>
    <row r="9446">
      <c r="A9446" s="76" t="s">
        <v>34</v>
      </c>
      <c r="B9446" s="76" t="s">
        <v>1041</v>
      </c>
      <c r="C9446" s="84">
        <v>0.88</v>
      </c>
      <c r="D9446" s="84">
        <v>0.0</v>
      </c>
      <c r="E9446" s="84">
        <v>0.0</v>
      </c>
      <c r="F9446" s="76" t="s">
        <v>997</v>
      </c>
      <c r="G9446" s="83">
        <v>46118.0</v>
      </c>
      <c r="H9446" s="76" t="s">
        <v>952</v>
      </c>
    </row>
    <row r="9447">
      <c r="A9447" s="76" t="s">
        <v>34</v>
      </c>
      <c r="B9447" s="76" t="s">
        <v>1041</v>
      </c>
      <c r="C9447" s="84">
        <v>0.29</v>
      </c>
      <c r="D9447" s="84">
        <v>0.0</v>
      </c>
      <c r="E9447" s="84">
        <v>0.0</v>
      </c>
      <c r="F9447" s="76" t="s">
        <v>997</v>
      </c>
      <c r="G9447" s="83">
        <v>46118.0</v>
      </c>
      <c r="H9447" s="76" t="s">
        <v>953</v>
      </c>
    </row>
    <row r="9448">
      <c r="A9448" s="76" t="s">
        <v>40</v>
      </c>
      <c r="B9448" s="76" t="s">
        <v>1041</v>
      </c>
      <c r="C9448" s="84">
        <v>0.32</v>
      </c>
      <c r="D9448" s="84">
        <v>0.0</v>
      </c>
      <c r="E9448" s="84">
        <v>0.0</v>
      </c>
      <c r="F9448" s="76" t="s">
        <v>997</v>
      </c>
      <c r="G9448" s="83">
        <v>46118.0</v>
      </c>
      <c r="H9448" s="76" t="s">
        <v>954</v>
      </c>
    </row>
    <row r="9449">
      <c r="A9449" s="76" t="s">
        <v>40</v>
      </c>
      <c r="B9449" s="76" t="s">
        <v>1041</v>
      </c>
      <c r="C9449" s="84">
        <v>0.1</v>
      </c>
      <c r="D9449" s="84">
        <v>0.0</v>
      </c>
      <c r="E9449" s="84">
        <v>0.0</v>
      </c>
      <c r="F9449" s="76" t="s">
        <v>997</v>
      </c>
      <c r="G9449" s="83">
        <v>46118.0</v>
      </c>
      <c r="H9449" s="76" t="s">
        <v>955</v>
      </c>
    </row>
    <row r="9450">
      <c r="A9450" s="76" t="s">
        <v>40</v>
      </c>
      <c r="B9450" s="76" t="s">
        <v>1041</v>
      </c>
      <c r="C9450" s="84">
        <v>3.04</v>
      </c>
      <c r="D9450" s="84">
        <v>0.0</v>
      </c>
      <c r="E9450" s="84">
        <v>0.0</v>
      </c>
      <c r="F9450" s="76" t="s">
        <v>997</v>
      </c>
      <c r="G9450" s="83">
        <v>46118.0</v>
      </c>
      <c r="H9450" s="76" t="s">
        <v>956</v>
      </c>
    </row>
    <row r="9451">
      <c r="A9451" s="76" t="s">
        <v>36</v>
      </c>
      <c r="B9451" s="76" t="s">
        <v>1041</v>
      </c>
      <c r="C9451" s="84">
        <v>1.86</v>
      </c>
      <c r="D9451" s="84">
        <v>1.0</v>
      </c>
      <c r="E9451" s="84">
        <v>1.86</v>
      </c>
      <c r="F9451" s="76" t="s">
        <v>997</v>
      </c>
      <c r="G9451" s="83">
        <v>46118.0</v>
      </c>
      <c r="H9451" s="76" t="s">
        <v>926</v>
      </c>
    </row>
    <row r="9452">
      <c r="A9452" s="76" t="s">
        <v>36</v>
      </c>
      <c r="B9452" s="76" t="s">
        <v>1041</v>
      </c>
      <c r="C9452" s="84">
        <v>0.14</v>
      </c>
      <c r="D9452" s="84">
        <v>0.0</v>
      </c>
      <c r="E9452" s="84">
        <v>0.0</v>
      </c>
      <c r="F9452" s="76" t="s">
        <v>997</v>
      </c>
      <c r="G9452" s="83">
        <v>46118.0</v>
      </c>
      <c r="H9452" s="76" t="s">
        <v>927</v>
      </c>
    </row>
    <row r="9453">
      <c r="A9453" s="76" t="s">
        <v>36</v>
      </c>
      <c r="B9453" s="76" t="s">
        <v>1041</v>
      </c>
      <c r="C9453" s="84">
        <v>0.29</v>
      </c>
      <c r="D9453" s="84">
        <v>0.0</v>
      </c>
      <c r="E9453" s="84">
        <v>0.0</v>
      </c>
      <c r="F9453" s="76" t="s">
        <v>997</v>
      </c>
      <c r="G9453" s="83">
        <v>46118.0</v>
      </c>
      <c r="H9453" s="76" t="s">
        <v>928</v>
      </c>
    </row>
    <row r="9454">
      <c r="A9454" s="76" t="s">
        <v>970</v>
      </c>
      <c r="B9454" s="76" t="s">
        <v>1041</v>
      </c>
      <c r="C9454" s="84">
        <v>1.0</v>
      </c>
      <c r="D9454" s="84">
        <v>0.0</v>
      </c>
      <c r="E9454" s="84">
        <v>0.0</v>
      </c>
      <c r="F9454" s="76" t="s">
        <v>997</v>
      </c>
      <c r="G9454" s="83">
        <v>46118.0</v>
      </c>
      <c r="H9454" s="76" t="s">
        <v>971</v>
      </c>
    </row>
    <row r="9455">
      <c r="A9455" s="76" t="s">
        <v>970</v>
      </c>
      <c r="B9455" s="76" t="s">
        <v>1041</v>
      </c>
      <c r="C9455" s="84">
        <v>0.08</v>
      </c>
      <c r="D9455" s="84">
        <v>0.0</v>
      </c>
      <c r="E9455" s="84">
        <v>0.0</v>
      </c>
      <c r="F9455" s="76" t="s">
        <v>997</v>
      </c>
      <c r="G9455" s="83">
        <v>46118.0</v>
      </c>
      <c r="H9455" s="76" t="s">
        <v>972</v>
      </c>
    </row>
    <row r="9456">
      <c r="A9456" s="76" t="s">
        <v>970</v>
      </c>
      <c r="B9456" s="76" t="s">
        <v>1041</v>
      </c>
      <c r="C9456" s="84">
        <v>3.05</v>
      </c>
      <c r="D9456" s="84">
        <v>0.0</v>
      </c>
      <c r="E9456" s="84">
        <v>0.0</v>
      </c>
      <c r="F9456" s="76" t="s">
        <v>997</v>
      </c>
      <c r="G9456" s="83">
        <v>46118.0</v>
      </c>
      <c r="H9456" s="76" t="s">
        <v>973</v>
      </c>
    </row>
    <row r="9457">
      <c r="A9457" s="76" t="s">
        <v>33</v>
      </c>
      <c r="B9457" s="76" t="s">
        <v>1041</v>
      </c>
      <c r="C9457" s="84">
        <v>3.31</v>
      </c>
      <c r="D9457" s="84">
        <v>1.0</v>
      </c>
      <c r="E9457" s="84">
        <v>3.31</v>
      </c>
      <c r="F9457" s="76" t="s">
        <v>997</v>
      </c>
      <c r="G9457" s="83">
        <v>46118.0</v>
      </c>
      <c r="H9457" s="76" t="s">
        <v>957</v>
      </c>
    </row>
    <row r="9458">
      <c r="A9458" s="76" t="s">
        <v>33</v>
      </c>
      <c r="B9458" s="76" t="s">
        <v>1041</v>
      </c>
      <c r="C9458" s="84">
        <v>0.63</v>
      </c>
      <c r="D9458" s="84">
        <v>0.0</v>
      </c>
      <c r="E9458" s="84">
        <v>0.0</v>
      </c>
      <c r="F9458" s="76" t="s">
        <v>997</v>
      </c>
      <c r="G9458" s="83">
        <v>46118.0</v>
      </c>
      <c r="H9458" s="76" t="s">
        <v>958</v>
      </c>
    </row>
    <row r="9459">
      <c r="A9459" s="76" t="s">
        <v>33</v>
      </c>
      <c r="B9459" s="76" t="s">
        <v>1041</v>
      </c>
      <c r="C9459" s="84">
        <v>1.08</v>
      </c>
      <c r="D9459" s="84">
        <v>0.0</v>
      </c>
      <c r="E9459" s="84">
        <v>0.0</v>
      </c>
      <c r="F9459" s="76" t="s">
        <v>997</v>
      </c>
      <c r="G9459" s="83">
        <v>46118.0</v>
      </c>
      <c r="H9459" s="76" t="s">
        <v>959</v>
      </c>
    </row>
    <row r="9460">
      <c r="A9460" s="76" t="s">
        <v>29</v>
      </c>
      <c r="B9460" s="76" t="s">
        <v>1041</v>
      </c>
      <c r="C9460" s="84">
        <v>0.9</v>
      </c>
      <c r="D9460" s="84">
        <v>0.0</v>
      </c>
      <c r="E9460" s="84">
        <v>0.0</v>
      </c>
      <c r="F9460" s="76" t="s">
        <v>997</v>
      </c>
      <c r="G9460" s="83">
        <v>46118.0</v>
      </c>
      <c r="H9460" s="76" t="s">
        <v>971</v>
      </c>
    </row>
    <row r="9461">
      <c r="A9461" s="76" t="s">
        <v>29</v>
      </c>
      <c r="B9461" s="76" t="s">
        <v>1041</v>
      </c>
      <c r="C9461" s="84">
        <v>0.33</v>
      </c>
      <c r="D9461" s="84">
        <v>0.0</v>
      </c>
      <c r="E9461" s="84">
        <v>0.0</v>
      </c>
      <c r="F9461" s="76" t="s">
        <v>997</v>
      </c>
      <c r="G9461" s="83">
        <v>46118.0</v>
      </c>
      <c r="H9461" s="76" t="s">
        <v>972</v>
      </c>
    </row>
    <row r="9462">
      <c r="A9462" s="76" t="s">
        <v>29</v>
      </c>
      <c r="B9462" s="76" t="s">
        <v>1041</v>
      </c>
      <c r="C9462" s="84">
        <v>2.43</v>
      </c>
      <c r="D9462" s="84">
        <v>0.0</v>
      </c>
      <c r="E9462" s="84">
        <v>0.0</v>
      </c>
      <c r="F9462" s="76" t="s">
        <v>997</v>
      </c>
      <c r="G9462" s="83">
        <v>46118.0</v>
      </c>
      <c r="H9462" s="76" t="s">
        <v>973</v>
      </c>
    </row>
    <row r="9463">
      <c r="A9463" s="76" t="s">
        <v>43</v>
      </c>
      <c r="B9463" s="76" t="s">
        <v>1041</v>
      </c>
      <c r="C9463" s="84">
        <v>0.18</v>
      </c>
      <c r="D9463" s="84">
        <v>0.0</v>
      </c>
      <c r="E9463" s="84">
        <v>0.0</v>
      </c>
      <c r="F9463" s="76" t="s">
        <v>997</v>
      </c>
      <c r="G9463" s="83">
        <v>46118.0</v>
      </c>
      <c r="H9463" s="76" t="s">
        <v>963</v>
      </c>
    </row>
    <row r="9464">
      <c r="A9464" s="76" t="s">
        <v>43</v>
      </c>
      <c r="B9464" s="76" t="s">
        <v>1041</v>
      </c>
      <c r="C9464" s="84">
        <v>0.45</v>
      </c>
      <c r="D9464" s="84">
        <v>0.0</v>
      </c>
      <c r="E9464" s="84">
        <v>0.0</v>
      </c>
      <c r="F9464" s="76" t="s">
        <v>997</v>
      </c>
      <c r="G9464" s="83">
        <v>46118.0</v>
      </c>
      <c r="H9464" s="76" t="s">
        <v>964</v>
      </c>
    </row>
    <row r="9465">
      <c r="A9465" s="76" t="s">
        <v>43</v>
      </c>
      <c r="B9465" s="76" t="s">
        <v>1041</v>
      </c>
      <c r="C9465" s="84">
        <v>2.03</v>
      </c>
      <c r="D9465" s="84">
        <v>2.0</v>
      </c>
      <c r="E9465" s="84">
        <v>1.02</v>
      </c>
      <c r="F9465" s="76" t="s">
        <v>997</v>
      </c>
      <c r="G9465" s="83">
        <v>46118.0</v>
      </c>
      <c r="H9465" s="76" t="s">
        <v>965</v>
      </c>
    </row>
    <row r="9466">
      <c r="A9466" s="76" t="s">
        <v>966</v>
      </c>
      <c r="B9466" s="76" t="s">
        <v>1041</v>
      </c>
      <c r="C9466" s="84">
        <v>0.83</v>
      </c>
      <c r="D9466" s="84">
        <v>1.0</v>
      </c>
      <c r="E9466" s="84">
        <v>0.83</v>
      </c>
      <c r="F9466" s="76" t="s">
        <v>997</v>
      </c>
      <c r="G9466" s="83">
        <v>46118.0</v>
      </c>
      <c r="H9466" s="76" t="s">
        <v>967</v>
      </c>
    </row>
    <row r="9467">
      <c r="A9467" s="76" t="s">
        <v>966</v>
      </c>
      <c r="B9467" s="76" t="s">
        <v>1041</v>
      </c>
      <c r="C9467" s="84">
        <v>0.11</v>
      </c>
      <c r="D9467" s="84">
        <v>0.0</v>
      </c>
      <c r="E9467" s="84">
        <v>0.0</v>
      </c>
      <c r="F9467" s="76" t="s">
        <v>997</v>
      </c>
      <c r="G9467" s="83">
        <v>46118.0</v>
      </c>
      <c r="H9467" s="76" t="s">
        <v>968</v>
      </c>
    </row>
    <row r="9468">
      <c r="A9468" s="76" t="s">
        <v>966</v>
      </c>
      <c r="B9468" s="76" t="s">
        <v>1041</v>
      </c>
      <c r="C9468" s="84">
        <v>0.31</v>
      </c>
      <c r="D9468" s="84">
        <v>0.0</v>
      </c>
      <c r="E9468" s="84">
        <v>0.0</v>
      </c>
      <c r="F9468" s="76" t="s">
        <v>997</v>
      </c>
      <c r="G9468" s="83">
        <v>46118.0</v>
      </c>
      <c r="H9468" s="76" t="s">
        <v>969</v>
      </c>
    </row>
    <row r="9469">
      <c r="A9469" s="76" t="s">
        <v>32</v>
      </c>
      <c r="B9469" s="76" t="s">
        <v>1032</v>
      </c>
      <c r="C9469" s="84">
        <v>70.13</v>
      </c>
      <c r="D9469" s="84">
        <v>9.0</v>
      </c>
      <c r="E9469" s="84">
        <v>7.79</v>
      </c>
      <c r="F9469" s="76" t="s">
        <v>996</v>
      </c>
      <c r="G9469" s="83">
        <v>46118.0</v>
      </c>
      <c r="H9469" s="76" t="s">
        <v>941</v>
      </c>
    </row>
    <row r="9470">
      <c r="A9470" s="76" t="s">
        <v>32</v>
      </c>
      <c r="B9470" s="76" t="s">
        <v>1032</v>
      </c>
      <c r="C9470" s="84">
        <v>14.38</v>
      </c>
      <c r="D9470" s="84">
        <v>2.0</v>
      </c>
      <c r="E9470" s="84">
        <v>7.19</v>
      </c>
      <c r="F9470" s="76" t="s">
        <v>996</v>
      </c>
      <c r="G9470" s="83">
        <v>46118.0</v>
      </c>
      <c r="H9470" s="76" t="s">
        <v>942</v>
      </c>
    </row>
    <row r="9471">
      <c r="A9471" s="76" t="s">
        <v>32</v>
      </c>
      <c r="B9471" s="76" t="s">
        <v>1032</v>
      </c>
      <c r="C9471" s="84">
        <v>33.15</v>
      </c>
      <c r="D9471" s="84">
        <v>8.0</v>
      </c>
      <c r="E9471" s="84">
        <v>4.14</v>
      </c>
      <c r="F9471" s="76" t="s">
        <v>996</v>
      </c>
      <c r="G9471" s="83">
        <v>46118.0</v>
      </c>
      <c r="H9471" s="76" t="s">
        <v>943</v>
      </c>
    </row>
    <row r="9472">
      <c r="A9472" s="76" t="s">
        <v>28</v>
      </c>
      <c r="B9472" s="76" t="s">
        <v>1032</v>
      </c>
      <c r="C9472" s="84">
        <v>7.09</v>
      </c>
      <c r="D9472" s="84">
        <v>6.0</v>
      </c>
      <c r="E9472" s="84">
        <v>1.18</v>
      </c>
      <c r="F9472" s="76" t="s">
        <v>996</v>
      </c>
      <c r="G9472" s="83">
        <v>46118.0</v>
      </c>
      <c r="H9472" s="76" t="s">
        <v>931</v>
      </c>
    </row>
    <row r="9473">
      <c r="A9473" s="76" t="s">
        <v>28</v>
      </c>
      <c r="B9473" s="76" t="s">
        <v>1032</v>
      </c>
      <c r="C9473" s="84">
        <v>7.7</v>
      </c>
      <c r="D9473" s="84">
        <v>1.0</v>
      </c>
      <c r="E9473" s="84">
        <v>7.7</v>
      </c>
      <c r="F9473" s="76" t="s">
        <v>996</v>
      </c>
      <c r="G9473" s="83">
        <v>46118.0</v>
      </c>
      <c r="H9473" s="76" t="s">
        <v>932</v>
      </c>
    </row>
    <row r="9474">
      <c r="A9474" s="76" t="s">
        <v>28</v>
      </c>
      <c r="B9474" s="76" t="s">
        <v>1032</v>
      </c>
      <c r="C9474" s="84">
        <v>84.79</v>
      </c>
      <c r="D9474" s="84">
        <v>10.0</v>
      </c>
      <c r="E9474" s="84">
        <v>8.48</v>
      </c>
      <c r="F9474" s="76" t="s">
        <v>996</v>
      </c>
      <c r="G9474" s="83">
        <v>46118.0</v>
      </c>
      <c r="H9474" s="76" t="s">
        <v>933</v>
      </c>
    </row>
    <row r="9475">
      <c r="A9475" s="76" t="s">
        <v>36</v>
      </c>
      <c r="B9475" s="76" t="s">
        <v>1032</v>
      </c>
      <c r="C9475" s="84">
        <v>17.84</v>
      </c>
      <c r="D9475" s="84">
        <v>0.0</v>
      </c>
      <c r="E9475" s="84">
        <v>0.0</v>
      </c>
      <c r="F9475" s="76" t="s">
        <v>996</v>
      </c>
      <c r="G9475" s="83">
        <v>46118.0</v>
      </c>
      <c r="H9475" s="76" t="s">
        <v>926</v>
      </c>
    </row>
    <row r="9476">
      <c r="A9476" s="76" t="s">
        <v>36</v>
      </c>
      <c r="B9476" s="76" t="s">
        <v>1032</v>
      </c>
      <c r="C9476" s="84">
        <v>5.09</v>
      </c>
      <c r="D9476" s="84">
        <v>2.0</v>
      </c>
      <c r="E9476" s="84">
        <v>2.55</v>
      </c>
      <c r="F9476" s="76" t="s">
        <v>996</v>
      </c>
      <c r="G9476" s="83">
        <v>46118.0</v>
      </c>
      <c r="H9476" s="76" t="s">
        <v>927</v>
      </c>
    </row>
    <row r="9477">
      <c r="A9477" s="76" t="s">
        <v>36</v>
      </c>
      <c r="B9477" s="76" t="s">
        <v>1032</v>
      </c>
      <c r="C9477" s="84">
        <v>8.23</v>
      </c>
      <c r="D9477" s="84">
        <v>3.0</v>
      </c>
      <c r="E9477" s="84">
        <v>2.74</v>
      </c>
      <c r="F9477" s="76" t="s">
        <v>996</v>
      </c>
      <c r="G9477" s="83">
        <v>46118.0</v>
      </c>
      <c r="H9477" s="76" t="s">
        <v>928</v>
      </c>
    </row>
    <row r="9478">
      <c r="A9478" s="76" t="s">
        <v>26</v>
      </c>
      <c r="B9478" s="76" t="s">
        <v>1032</v>
      </c>
      <c r="C9478" s="84">
        <v>7.0</v>
      </c>
      <c r="D9478" s="84">
        <v>1.0</v>
      </c>
      <c r="E9478" s="84">
        <v>7.0</v>
      </c>
      <c r="F9478" s="76" t="s">
        <v>996</v>
      </c>
      <c r="G9478" s="83">
        <v>46118.0</v>
      </c>
      <c r="H9478" s="76" t="s">
        <v>1012</v>
      </c>
    </row>
    <row r="9479">
      <c r="A9479" s="76" t="s">
        <v>26</v>
      </c>
      <c r="B9479" s="76" t="s">
        <v>1032</v>
      </c>
      <c r="C9479" s="84">
        <v>10.46</v>
      </c>
      <c r="D9479" s="84">
        <v>3.0</v>
      </c>
      <c r="E9479" s="84">
        <v>3.49</v>
      </c>
      <c r="F9479" s="76" t="s">
        <v>996</v>
      </c>
      <c r="G9479" s="83">
        <v>46118.0</v>
      </c>
      <c r="H9479" s="76" t="s">
        <v>1013</v>
      </c>
    </row>
    <row r="9480">
      <c r="A9480" s="76" t="s">
        <v>26</v>
      </c>
      <c r="B9480" s="76" t="s">
        <v>1032</v>
      </c>
      <c r="C9480" s="84">
        <v>68.34</v>
      </c>
      <c r="D9480" s="84">
        <v>5.0</v>
      </c>
      <c r="E9480" s="84">
        <v>13.67</v>
      </c>
      <c r="F9480" s="76" t="s">
        <v>996</v>
      </c>
      <c r="G9480" s="83">
        <v>46118.0</v>
      </c>
      <c r="H9480" s="76" t="s">
        <v>1014</v>
      </c>
    </row>
    <row r="9481">
      <c r="A9481" s="76" t="s">
        <v>45</v>
      </c>
      <c r="B9481" s="76" t="s">
        <v>1032</v>
      </c>
      <c r="C9481" s="84">
        <v>4.37</v>
      </c>
      <c r="D9481" s="84">
        <v>1.0</v>
      </c>
      <c r="E9481" s="84">
        <v>4.37</v>
      </c>
      <c r="F9481" s="76" t="s">
        <v>996</v>
      </c>
      <c r="G9481" s="83">
        <v>46118.0</v>
      </c>
      <c r="H9481" s="76" t="s">
        <v>936</v>
      </c>
    </row>
    <row r="9482">
      <c r="A9482" s="76" t="s">
        <v>45</v>
      </c>
      <c r="B9482" s="76" t="s">
        <v>1032</v>
      </c>
      <c r="C9482" s="84">
        <v>7.36</v>
      </c>
      <c r="D9482" s="84">
        <v>0.0</v>
      </c>
      <c r="E9482" s="84">
        <v>0.0</v>
      </c>
      <c r="F9482" s="76" t="s">
        <v>996</v>
      </c>
      <c r="G9482" s="83">
        <v>46118.0</v>
      </c>
      <c r="H9482" s="76" t="s">
        <v>937</v>
      </c>
    </row>
    <row r="9483">
      <c r="A9483" s="76" t="s">
        <v>45</v>
      </c>
      <c r="B9483" s="76" t="s">
        <v>1032</v>
      </c>
      <c r="C9483" s="84">
        <v>4.11</v>
      </c>
      <c r="D9483" s="84">
        <v>0.0</v>
      </c>
      <c r="E9483" s="84">
        <v>0.0</v>
      </c>
      <c r="F9483" s="76" t="s">
        <v>996</v>
      </c>
      <c r="G9483" s="83">
        <v>46118.0</v>
      </c>
      <c r="H9483" s="76" t="s">
        <v>938</v>
      </c>
    </row>
    <row r="9484">
      <c r="A9484" s="76" t="s">
        <v>31</v>
      </c>
      <c r="B9484" s="76" t="s">
        <v>1032</v>
      </c>
      <c r="C9484" s="84">
        <v>5.81</v>
      </c>
      <c r="D9484" s="84">
        <v>0.0</v>
      </c>
      <c r="E9484" s="84">
        <v>0.0</v>
      </c>
      <c r="F9484" s="76" t="s">
        <v>996</v>
      </c>
      <c r="G9484" s="83">
        <v>46118.0</v>
      </c>
      <c r="H9484" s="76" t="s">
        <v>929</v>
      </c>
    </row>
    <row r="9485">
      <c r="A9485" s="76" t="s">
        <v>31</v>
      </c>
      <c r="B9485" s="76" t="s">
        <v>1032</v>
      </c>
      <c r="C9485" s="84">
        <v>125.72</v>
      </c>
      <c r="D9485" s="84">
        <v>26.0</v>
      </c>
      <c r="E9485" s="84">
        <v>4.84</v>
      </c>
      <c r="F9485" s="76" t="s">
        <v>996</v>
      </c>
      <c r="G9485" s="83">
        <v>46118.0</v>
      </c>
      <c r="H9485" s="76" t="s">
        <v>930</v>
      </c>
    </row>
    <row r="9486">
      <c r="A9486" s="76" t="s">
        <v>944</v>
      </c>
      <c r="B9486" s="76" t="s">
        <v>1032</v>
      </c>
      <c r="C9486" s="84">
        <v>15.72</v>
      </c>
      <c r="D9486" s="84">
        <v>1.0</v>
      </c>
      <c r="E9486" s="84">
        <v>15.72</v>
      </c>
      <c r="F9486" s="76" t="s">
        <v>996</v>
      </c>
      <c r="G9486" s="83">
        <v>46118.0</v>
      </c>
      <c r="H9486" s="76" t="s">
        <v>945</v>
      </c>
    </row>
    <row r="9487">
      <c r="A9487" s="76" t="s">
        <v>944</v>
      </c>
      <c r="B9487" s="76" t="s">
        <v>1032</v>
      </c>
      <c r="C9487" s="84">
        <v>6.64</v>
      </c>
      <c r="D9487" s="84">
        <v>1.0</v>
      </c>
      <c r="E9487" s="84">
        <v>6.64</v>
      </c>
      <c r="F9487" s="76" t="s">
        <v>996</v>
      </c>
      <c r="G9487" s="83">
        <v>46118.0</v>
      </c>
      <c r="H9487" s="76" t="s">
        <v>946</v>
      </c>
    </row>
    <row r="9488">
      <c r="A9488" s="76" t="s">
        <v>944</v>
      </c>
      <c r="B9488" s="76" t="s">
        <v>1032</v>
      </c>
      <c r="C9488" s="84">
        <v>12.38</v>
      </c>
      <c r="D9488" s="84">
        <v>2.0</v>
      </c>
      <c r="E9488" s="84">
        <v>6.19</v>
      </c>
      <c r="F9488" s="76" t="s">
        <v>996</v>
      </c>
      <c r="G9488" s="83">
        <v>46118.0</v>
      </c>
      <c r="H9488" s="76" t="s">
        <v>947</v>
      </c>
    </row>
    <row r="9489">
      <c r="A9489" s="76" t="s">
        <v>28</v>
      </c>
      <c r="B9489" s="76" t="s">
        <v>1032</v>
      </c>
      <c r="C9489" s="84">
        <v>6.47</v>
      </c>
      <c r="D9489" s="84">
        <v>1.0</v>
      </c>
      <c r="E9489" s="84">
        <v>6.47</v>
      </c>
      <c r="F9489" s="76" t="s">
        <v>997</v>
      </c>
      <c r="G9489" s="83">
        <v>46118.0</v>
      </c>
      <c r="H9489" s="76" t="s">
        <v>931</v>
      </c>
    </row>
    <row r="9490">
      <c r="A9490" s="76" t="s">
        <v>28</v>
      </c>
      <c r="B9490" s="76" t="s">
        <v>1032</v>
      </c>
      <c r="C9490" s="84">
        <v>5.03</v>
      </c>
      <c r="D9490" s="84">
        <v>1.0</v>
      </c>
      <c r="E9490" s="84">
        <v>5.03</v>
      </c>
      <c r="F9490" s="76" t="s">
        <v>997</v>
      </c>
      <c r="G9490" s="83">
        <v>46118.0</v>
      </c>
      <c r="H9490" s="76" t="s">
        <v>932</v>
      </c>
    </row>
    <row r="9491">
      <c r="A9491" s="76" t="s">
        <v>28</v>
      </c>
      <c r="B9491" s="76" t="s">
        <v>1032</v>
      </c>
      <c r="C9491" s="84">
        <v>47.37</v>
      </c>
      <c r="D9491" s="84">
        <v>8.0</v>
      </c>
      <c r="E9491" s="84">
        <v>5.92</v>
      </c>
      <c r="F9491" s="76" t="s">
        <v>997</v>
      </c>
      <c r="G9491" s="83">
        <v>46118.0</v>
      </c>
      <c r="H9491" s="76" t="s">
        <v>933</v>
      </c>
    </row>
    <row r="9492">
      <c r="A9492" s="76" t="s">
        <v>45</v>
      </c>
      <c r="B9492" s="76" t="s">
        <v>1032</v>
      </c>
      <c r="C9492" s="84">
        <v>3.72</v>
      </c>
      <c r="D9492" s="84">
        <v>1.0</v>
      </c>
      <c r="E9492" s="84">
        <v>3.72</v>
      </c>
      <c r="F9492" s="76" t="s">
        <v>997</v>
      </c>
      <c r="G9492" s="83">
        <v>46118.0</v>
      </c>
      <c r="H9492" s="76" t="s">
        <v>936</v>
      </c>
    </row>
    <row r="9493">
      <c r="A9493" s="76" t="s">
        <v>45</v>
      </c>
      <c r="B9493" s="76" t="s">
        <v>1032</v>
      </c>
      <c r="C9493" s="84">
        <v>5.87</v>
      </c>
      <c r="D9493" s="84">
        <v>1.0</v>
      </c>
      <c r="E9493" s="84">
        <v>5.87</v>
      </c>
      <c r="F9493" s="76" t="s">
        <v>997</v>
      </c>
      <c r="G9493" s="83">
        <v>46118.0</v>
      </c>
      <c r="H9493" s="76" t="s">
        <v>937</v>
      </c>
    </row>
    <row r="9494">
      <c r="A9494" s="76" t="s">
        <v>45</v>
      </c>
      <c r="B9494" s="76" t="s">
        <v>1032</v>
      </c>
      <c r="C9494" s="84">
        <v>3.33</v>
      </c>
      <c r="D9494" s="84">
        <v>0.0</v>
      </c>
      <c r="E9494" s="84">
        <v>0.0</v>
      </c>
      <c r="F9494" s="76" t="s">
        <v>997</v>
      </c>
      <c r="G9494" s="83">
        <v>46118.0</v>
      </c>
      <c r="H9494" s="76" t="s">
        <v>938</v>
      </c>
    </row>
    <row r="9495">
      <c r="A9495" s="76" t="s">
        <v>32</v>
      </c>
      <c r="B9495" s="76" t="s">
        <v>1032</v>
      </c>
      <c r="C9495" s="84">
        <v>38.1</v>
      </c>
      <c r="D9495" s="84">
        <v>8.0</v>
      </c>
      <c r="E9495" s="84">
        <v>4.76</v>
      </c>
      <c r="F9495" s="76" t="s">
        <v>997</v>
      </c>
      <c r="G9495" s="83">
        <v>46118.0</v>
      </c>
      <c r="H9495" s="76" t="s">
        <v>941</v>
      </c>
    </row>
    <row r="9496">
      <c r="A9496" s="76" t="s">
        <v>32</v>
      </c>
      <c r="B9496" s="76" t="s">
        <v>1032</v>
      </c>
      <c r="C9496" s="84">
        <v>9.83</v>
      </c>
      <c r="D9496" s="84">
        <v>1.0</v>
      </c>
      <c r="E9496" s="84">
        <v>9.83</v>
      </c>
      <c r="F9496" s="76" t="s">
        <v>997</v>
      </c>
      <c r="G9496" s="83">
        <v>46118.0</v>
      </c>
      <c r="H9496" s="76" t="s">
        <v>942</v>
      </c>
    </row>
    <row r="9497">
      <c r="A9497" s="76" t="s">
        <v>32</v>
      </c>
      <c r="B9497" s="76" t="s">
        <v>1032</v>
      </c>
      <c r="C9497" s="84">
        <v>21.36</v>
      </c>
      <c r="D9497" s="84">
        <v>5.0</v>
      </c>
      <c r="E9497" s="84">
        <v>4.27</v>
      </c>
      <c r="F9497" s="76" t="s">
        <v>997</v>
      </c>
      <c r="G9497" s="83">
        <v>46118.0</v>
      </c>
      <c r="H9497" s="76" t="s">
        <v>943</v>
      </c>
    </row>
    <row r="9498">
      <c r="A9498" s="76" t="s">
        <v>944</v>
      </c>
      <c r="B9498" s="76" t="s">
        <v>1032</v>
      </c>
      <c r="C9498" s="84">
        <v>9.17</v>
      </c>
      <c r="D9498" s="84">
        <v>1.0</v>
      </c>
      <c r="E9498" s="84">
        <v>9.17</v>
      </c>
      <c r="F9498" s="76" t="s">
        <v>997</v>
      </c>
      <c r="G9498" s="83">
        <v>46118.0</v>
      </c>
      <c r="H9498" s="76" t="s">
        <v>945</v>
      </c>
    </row>
    <row r="9499">
      <c r="A9499" s="76" t="s">
        <v>944</v>
      </c>
      <c r="B9499" s="76" t="s">
        <v>1032</v>
      </c>
      <c r="C9499" s="84">
        <v>6.22</v>
      </c>
      <c r="D9499" s="84">
        <v>3.0</v>
      </c>
      <c r="E9499" s="84">
        <v>2.07</v>
      </c>
      <c r="F9499" s="76" t="s">
        <v>997</v>
      </c>
      <c r="G9499" s="83">
        <v>46118.0</v>
      </c>
      <c r="H9499" s="76" t="s">
        <v>946</v>
      </c>
    </row>
    <row r="9500">
      <c r="A9500" s="76" t="s">
        <v>944</v>
      </c>
      <c r="B9500" s="76" t="s">
        <v>1032</v>
      </c>
      <c r="C9500" s="84">
        <v>9.39</v>
      </c>
      <c r="D9500" s="84">
        <v>0.0</v>
      </c>
      <c r="E9500" s="84">
        <v>0.0</v>
      </c>
      <c r="F9500" s="76" t="s">
        <v>997</v>
      </c>
      <c r="G9500" s="83">
        <v>46118.0</v>
      </c>
      <c r="H9500" s="76" t="s">
        <v>947</v>
      </c>
    </row>
    <row r="9501">
      <c r="A9501" s="76" t="s">
        <v>36</v>
      </c>
      <c r="B9501" s="76" t="s">
        <v>1032</v>
      </c>
      <c r="C9501" s="84">
        <v>21.13</v>
      </c>
      <c r="D9501" s="84">
        <v>4.0</v>
      </c>
      <c r="E9501" s="84">
        <v>5.28</v>
      </c>
      <c r="F9501" s="76" t="s">
        <v>997</v>
      </c>
      <c r="G9501" s="83">
        <v>46118.0</v>
      </c>
      <c r="H9501" s="76" t="s">
        <v>926</v>
      </c>
    </row>
    <row r="9502">
      <c r="A9502" s="76" t="s">
        <v>36</v>
      </c>
      <c r="B9502" s="76" t="s">
        <v>1032</v>
      </c>
      <c r="C9502" s="84">
        <v>3.2</v>
      </c>
      <c r="D9502" s="84">
        <v>0.0</v>
      </c>
      <c r="E9502" s="84">
        <v>0.0</v>
      </c>
      <c r="F9502" s="76" t="s">
        <v>997</v>
      </c>
      <c r="G9502" s="83">
        <v>46118.0</v>
      </c>
      <c r="H9502" s="76" t="s">
        <v>927</v>
      </c>
    </row>
    <row r="9503">
      <c r="A9503" s="76" t="s">
        <v>36</v>
      </c>
      <c r="B9503" s="76" t="s">
        <v>1032</v>
      </c>
      <c r="C9503" s="84">
        <v>10.03</v>
      </c>
      <c r="D9503" s="84">
        <v>2.0</v>
      </c>
      <c r="E9503" s="84">
        <v>5.02</v>
      </c>
      <c r="F9503" s="76" t="s">
        <v>997</v>
      </c>
      <c r="G9503" s="83">
        <v>46118.0</v>
      </c>
      <c r="H9503" s="76" t="s">
        <v>928</v>
      </c>
    </row>
    <row r="9504">
      <c r="A9504" s="76" t="s">
        <v>31</v>
      </c>
      <c r="B9504" s="76" t="s">
        <v>1032</v>
      </c>
      <c r="C9504" s="84">
        <v>4.09</v>
      </c>
      <c r="D9504" s="84">
        <v>0.0</v>
      </c>
      <c r="E9504" s="84">
        <v>0.0</v>
      </c>
      <c r="F9504" s="76" t="s">
        <v>997</v>
      </c>
      <c r="G9504" s="83">
        <v>46118.0</v>
      </c>
      <c r="H9504" s="76" t="s">
        <v>929</v>
      </c>
    </row>
    <row r="9505">
      <c r="A9505" s="76" t="s">
        <v>31</v>
      </c>
      <c r="B9505" s="76" t="s">
        <v>1032</v>
      </c>
      <c r="C9505" s="84">
        <v>103.18</v>
      </c>
      <c r="D9505" s="84">
        <v>20.0</v>
      </c>
      <c r="E9505" s="84">
        <v>5.16</v>
      </c>
      <c r="F9505" s="76" t="s">
        <v>997</v>
      </c>
      <c r="G9505" s="83">
        <v>46118.0</v>
      </c>
      <c r="H9505" s="76" t="s">
        <v>930</v>
      </c>
    </row>
    <row r="9506">
      <c r="A9506" s="76" t="s">
        <v>26</v>
      </c>
      <c r="B9506" s="76" t="s">
        <v>1032</v>
      </c>
      <c r="C9506" s="84">
        <v>2.81</v>
      </c>
      <c r="D9506" s="84">
        <v>0.0</v>
      </c>
      <c r="E9506" s="84">
        <v>0.0</v>
      </c>
      <c r="F9506" s="76" t="s">
        <v>997</v>
      </c>
      <c r="G9506" s="83">
        <v>46118.0</v>
      </c>
      <c r="H9506" s="76" t="s">
        <v>1012</v>
      </c>
    </row>
    <row r="9507">
      <c r="A9507" s="76" t="s">
        <v>26</v>
      </c>
      <c r="B9507" s="76" t="s">
        <v>1032</v>
      </c>
      <c r="C9507" s="84">
        <v>8.8</v>
      </c>
      <c r="D9507" s="84">
        <v>1.0</v>
      </c>
      <c r="E9507" s="84">
        <v>8.8</v>
      </c>
      <c r="F9507" s="76" t="s">
        <v>997</v>
      </c>
      <c r="G9507" s="83">
        <v>46118.0</v>
      </c>
      <c r="H9507" s="76" t="s">
        <v>1013</v>
      </c>
    </row>
    <row r="9508">
      <c r="A9508" s="76" t="s">
        <v>26</v>
      </c>
      <c r="B9508" s="76" t="s">
        <v>1032</v>
      </c>
      <c r="C9508" s="84">
        <v>25.68</v>
      </c>
      <c r="D9508" s="84">
        <v>3.0</v>
      </c>
      <c r="E9508" s="84">
        <v>8.56</v>
      </c>
      <c r="F9508" s="76" t="s">
        <v>997</v>
      </c>
      <c r="G9508" s="83">
        <v>46118.0</v>
      </c>
      <c r="H9508" s="76" t="s">
        <v>1014</v>
      </c>
    </row>
    <row r="9509">
      <c r="A9509" s="76" t="s">
        <v>45</v>
      </c>
      <c r="B9509" s="76" t="s">
        <v>1032</v>
      </c>
      <c r="C9509" s="84">
        <v>0.77</v>
      </c>
      <c r="D9509" s="84">
        <v>0.0</v>
      </c>
      <c r="E9509" s="84">
        <v>0.0</v>
      </c>
      <c r="F9509" s="76" t="s">
        <v>990</v>
      </c>
      <c r="G9509" s="83">
        <v>46118.0</v>
      </c>
      <c r="H9509" s="76" t="s">
        <v>936</v>
      </c>
    </row>
    <row r="9510">
      <c r="A9510" s="76" t="s">
        <v>45</v>
      </c>
      <c r="B9510" s="76" t="s">
        <v>1032</v>
      </c>
      <c r="C9510" s="84">
        <v>2.1</v>
      </c>
      <c r="D9510" s="84">
        <v>1.0</v>
      </c>
      <c r="E9510" s="84">
        <v>2.1</v>
      </c>
      <c r="F9510" s="76" t="s">
        <v>990</v>
      </c>
      <c r="G9510" s="83">
        <v>46118.0</v>
      </c>
      <c r="H9510" s="76" t="s">
        <v>937</v>
      </c>
    </row>
    <row r="9511">
      <c r="A9511" s="76" t="s">
        <v>45</v>
      </c>
      <c r="B9511" s="76" t="s">
        <v>1032</v>
      </c>
      <c r="C9511" s="84">
        <v>0.99</v>
      </c>
      <c r="D9511" s="84">
        <v>0.0</v>
      </c>
      <c r="E9511" s="84">
        <v>0.0</v>
      </c>
      <c r="F9511" s="76" t="s">
        <v>990</v>
      </c>
      <c r="G9511" s="83">
        <v>46118.0</v>
      </c>
      <c r="H9511" s="76" t="s">
        <v>938</v>
      </c>
    </row>
    <row r="9512">
      <c r="A9512" s="76" t="s">
        <v>32</v>
      </c>
      <c r="B9512" s="76" t="s">
        <v>1032</v>
      </c>
      <c r="C9512" s="84">
        <v>104.21</v>
      </c>
      <c r="D9512" s="84">
        <v>18.0</v>
      </c>
      <c r="E9512" s="84">
        <v>5.79</v>
      </c>
      <c r="F9512" s="76" t="s">
        <v>990</v>
      </c>
      <c r="G9512" s="83">
        <v>46118.0</v>
      </c>
      <c r="H9512" s="76" t="s">
        <v>941</v>
      </c>
    </row>
    <row r="9513">
      <c r="A9513" s="76" t="s">
        <v>32</v>
      </c>
      <c r="B9513" s="76" t="s">
        <v>1032</v>
      </c>
      <c r="C9513" s="84">
        <v>1.87</v>
      </c>
      <c r="D9513" s="84">
        <v>1.0</v>
      </c>
      <c r="E9513" s="84">
        <v>1.87</v>
      </c>
      <c r="F9513" s="76" t="s">
        <v>990</v>
      </c>
      <c r="G9513" s="83">
        <v>46118.0</v>
      </c>
      <c r="H9513" s="76" t="s">
        <v>942</v>
      </c>
    </row>
    <row r="9514">
      <c r="A9514" s="76" t="s">
        <v>32</v>
      </c>
      <c r="B9514" s="76" t="s">
        <v>1032</v>
      </c>
      <c r="C9514" s="84">
        <v>3.5</v>
      </c>
      <c r="D9514" s="84">
        <v>0.0</v>
      </c>
      <c r="E9514" s="84">
        <v>0.0</v>
      </c>
      <c r="F9514" s="76" t="s">
        <v>990</v>
      </c>
      <c r="G9514" s="83">
        <v>46118.0</v>
      </c>
      <c r="H9514" s="76" t="s">
        <v>943</v>
      </c>
    </row>
    <row r="9515">
      <c r="A9515" s="76" t="s">
        <v>36</v>
      </c>
      <c r="B9515" s="76" t="s">
        <v>1032</v>
      </c>
      <c r="C9515" s="84">
        <v>2.87</v>
      </c>
      <c r="D9515" s="84">
        <v>1.0</v>
      </c>
      <c r="E9515" s="84">
        <v>2.87</v>
      </c>
      <c r="F9515" s="76" t="s">
        <v>990</v>
      </c>
      <c r="G9515" s="83">
        <v>46118.0</v>
      </c>
      <c r="H9515" s="76" t="s">
        <v>926</v>
      </c>
    </row>
    <row r="9516">
      <c r="A9516" s="76" t="s">
        <v>36</v>
      </c>
      <c r="B9516" s="76" t="s">
        <v>1032</v>
      </c>
      <c r="C9516" s="84">
        <v>0.81</v>
      </c>
      <c r="D9516" s="84">
        <v>0.0</v>
      </c>
      <c r="E9516" s="84">
        <v>0.0</v>
      </c>
      <c r="F9516" s="76" t="s">
        <v>990</v>
      </c>
      <c r="G9516" s="83">
        <v>46118.0</v>
      </c>
      <c r="H9516" s="76" t="s">
        <v>927</v>
      </c>
    </row>
    <row r="9517">
      <c r="A9517" s="76" t="s">
        <v>36</v>
      </c>
      <c r="B9517" s="76" t="s">
        <v>1032</v>
      </c>
      <c r="C9517" s="84">
        <v>2.27</v>
      </c>
      <c r="D9517" s="84">
        <v>1.0</v>
      </c>
      <c r="E9517" s="84">
        <v>2.27</v>
      </c>
      <c r="F9517" s="76" t="s">
        <v>990</v>
      </c>
      <c r="G9517" s="83">
        <v>46118.0</v>
      </c>
      <c r="H9517" s="76" t="s">
        <v>928</v>
      </c>
    </row>
    <row r="9518">
      <c r="A9518" s="76" t="s">
        <v>28</v>
      </c>
      <c r="B9518" s="76" t="s">
        <v>1032</v>
      </c>
      <c r="C9518" s="84">
        <v>1.31</v>
      </c>
      <c r="D9518" s="84">
        <v>0.0</v>
      </c>
      <c r="E9518" s="84">
        <v>0.0</v>
      </c>
      <c r="F9518" s="76" t="s">
        <v>990</v>
      </c>
      <c r="G9518" s="83">
        <v>46118.0</v>
      </c>
      <c r="H9518" s="76" t="s">
        <v>931</v>
      </c>
    </row>
    <row r="9519">
      <c r="A9519" s="76" t="s">
        <v>28</v>
      </c>
      <c r="B9519" s="76" t="s">
        <v>1032</v>
      </c>
      <c r="C9519" s="84">
        <v>0.69</v>
      </c>
      <c r="D9519" s="84">
        <v>0.0</v>
      </c>
      <c r="E9519" s="84">
        <v>0.0</v>
      </c>
      <c r="F9519" s="76" t="s">
        <v>990</v>
      </c>
      <c r="G9519" s="83">
        <v>46118.0</v>
      </c>
      <c r="H9519" s="76" t="s">
        <v>932</v>
      </c>
    </row>
    <row r="9520">
      <c r="A9520" s="76" t="s">
        <v>28</v>
      </c>
      <c r="B9520" s="76" t="s">
        <v>1032</v>
      </c>
      <c r="C9520" s="84">
        <v>8.33</v>
      </c>
      <c r="D9520" s="84">
        <v>1.0</v>
      </c>
      <c r="E9520" s="84">
        <v>8.33</v>
      </c>
      <c r="F9520" s="76" t="s">
        <v>990</v>
      </c>
      <c r="G9520" s="83">
        <v>46118.0</v>
      </c>
      <c r="H9520" s="76" t="s">
        <v>933</v>
      </c>
    </row>
    <row r="9521">
      <c r="A9521" s="76" t="s">
        <v>31</v>
      </c>
      <c r="B9521" s="76" t="s">
        <v>1032</v>
      </c>
      <c r="C9521" s="84">
        <v>1.5</v>
      </c>
      <c r="D9521" s="84">
        <v>0.0</v>
      </c>
      <c r="E9521" s="84">
        <v>0.0</v>
      </c>
      <c r="F9521" s="76" t="s">
        <v>990</v>
      </c>
      <c r="G9521" s="83">
        <v>46118.0</v>
      </c>
      <c r="H9521" s="76" t="s">
        <v>929</v>
      </c>
    </row>
    <row r="9522">
      <c r="A9522" s="76" t="s">
        <v>31</v>
      </c>
      <c r="B9522" s="76" t="s">
        <v>1032</v>
      </c>
      <c r="C9522" s="84">
        <v>15.16</v>
      </c>
      <c r="D9522" s="84">
        <v>1.0</v>
      </c>
      <c r="E9522" s="84">
        <v>15.16</v>
      </c>
      <c r="F9522" s="76" t="s">
        <v>990</v>
      </c>
      <c r="G9522" s="83">
        <v>46118.0</v>
      </c>
      <c r="H9522" s="76" t="s">
        <v>930</v>
      </c>
    </row>
    <row r="9523">
      <c r="A9523" s="76" t="s">
        <v>26</v>
      </c>
      <c r="B9523" s="76" t="s">
        <v>1032</v>
      </c>
      <c r="C9523" s="84">
        <v>1.91</v>
      </c>
      <c r="D9523" s="84">
        <v>1.0</v>
      </c>
      <c r="E9523" s="84">
        <v>1.91</v>
      </c>
      <c r="F9523" s="76" t="s">
        <v>990</v>
      </c>
      <c r="G9523" s="83">
        <v>46118.0</v>
      </c>
      <c r="H9523" s="76" t="s">
        <v>1012</v>
      </c>
    </row>
    <row r="9524">
      <c r="A9524" s="76" t="s">
        <v>26</v>
      </c>
      <c r="B9524" s="76" t="s">
        <v>1032</v>
      </c>
      <c r="C9524" s="84">
        <v>1.1</v>
      </c>
      <c r="D9524" s="84">
        <v>1.0</v>
      </c>
      <c r="E9524" s="84">
        <v>1.1</v>
      </c>
      <c r="F9524" s="76" t="s">
        <v>990</v>
      </c>
      <c r="G9524" s="83">
        <v>46118.0</v>
      </c>
      <c r="H9524" s="76" t="s">
        <v>1013</v>
      </c>
    </row>
    <row r="9525">
      <c r="A9525" s="76" t="s">
        <v>26</v>
      </c>
      <c r="B9525" s="76" t="s">
        <v>1032</v>
      </c>
      <c r="C9525" s="84">
        <v>11.87</v>
      </c>
      <c r="D9525" s="84">
        <v>1.0</v>
      </c>
      <c r="E9525" s="84">
        <v>11.87</v>
      </c>
      <c r="F9525" s="76" t="s">
        <v>990</v>
      </c>
      <c r="G9525" s="83">
        <v>46118.0</v>
      </c>
      <c r="H9525" s="76" t="s">
        <v>1014</v>
      </c>
    </row>
    <row r="9526">
      <c r="A9526" s="76" t="s">
        <v>944</v>
      </c>
      <c r="B9526" s="76" t="s">
        <v>1032</v>
      </c>
      <c r="C9526" s="84">
        <v>3.19</v>
      </c>
      <c r="D9526" s="84">
        <v>0.0</v>
      </c>
      <c r="E9526" s="84">
        <v>0.0</v>
      </c>
      <c r="F9526" s="76" t="s">
        <v>990</v>
      </c>
      <c r="G9526" s="83">
        <v>46118.0</v>
      </c>
      <c r="H9526" s="76" t="s">
        <v>945</v>
      </c>
    </row>
    <row r="9527">
      <c r="A9527" s="76" t="s">
        <v>944</v>
      </c>
      <c r="B9527" s="76" t="s">
        <v>1032</v>
      </c>
      <c r="C9527" s="84">
        <v>1.17</v>
      </c>
      <c r="D9527" s="84">
        <v>0.0</v>
      </c>
      <c r="E9527" s="84">
        <v>0.0</v>
      </c>
      <c r="F9527" s="76" t="s">
        <v>990</v>
      </c>
      <c r="G9527" s="83">
        <v>46118.0</v>
      </c>
      <c r="H9527" s="76" t="s">
        <v>946</v>
      </c>
    </row>
    <row r="9528">
      <c r="A9528" s="76" t="s">
        <v>944</v>
      </c>
      <c r="B9528" s="76" t="s">
        <v>1032</v>
      </c>
      <c r="C9528" s="84">
        <v>3.05</v>
      </c>
      <c r="D9528" s="84">
        <v>1.0</v>
      </c>
      <c r="E9528" s="84">
        <v>3.05</v>
      </c>
      <c r="F9528" s="76" t="s">
        <v>990</v>
      </c>
      <c r="G9528" s="83">
        <v>46118.0</v>
      </c>
      <c r="H9528" s="76" t="s">
        <v>947</v>
      </c>
    </row>
    <row r="9529">
      <c r="A9529" s="76" t="s">
        <v>26</v>
      </c>
      <c r="B9529" s="76" t="s">
        <v>1032</v>
      </c>
      <c r="C9529" s="84">
        <v>16.29</v>
      </c>
      <c r="D9529" s="84">
        <v>3.0</v>
      </c>
      <c r="E9529" s="84">
        <v>5.43</v>
      </c>
      <c r="F9529" s="76" t="s">
        <v>1005</v>
      </c>
      <c r="G9529" s="83">
        <v>46118.0</v>
      </c>
      <c r="H9529" s="76" t="s">
        <v>1012</v>
      </c>
    </row>
    <row r="9530">
      <c r="A9530" s="76" t="s">
        <v>26</v>
      </c>
      <c r="B9530" s="76" t="s">
        <v>1032</v>
      </c>
      <c r="C9530" s="84">
        <v>19.73</v>
      </c>
      <c r="D9530" s="84">
        <v>3.0</v>
      </c>
      <c r="E9530" s="84">
        <v>6.58</v>
      </c>
      <c r="F9530" s="76" t="s">
        <v>1005</v>
      </c>
      <c r="G9530" s="83">
        <v>46118.0</v>
      </c>
      <c r="H9530" s="76" t="s">
        <v>1013</v>
      </c>
    </row>
    <row r="9531">
      <c r="A9531" s="76" t="s">
        <v>26</v>
      </c>
      <c r="B9531" s="76" t="s">
        <v>1032</v>
      </c>
      <c r="C9531" s="84">
        <v>190.88</v>
      </c>
      <c r="D9531" s="84">
        <v>27.0</v>
      </c>
      <c r="E9531" s="84">
        <v>7.07</v>
      </c>
      <c r="F9531" s="76" t="s">
        <v>1005</v>
      </c>
      <c r="G9531" s="83">
        <v>46118.0</v>
      </c>
      <c r="H9531" s="76" t="s">
        <v>1014</v>
      </c>
    </row>
    <row r="9532">
      <c r="A9532" s="76" t="s">
        <v>28</v>
      </c>
      <c r="B9532" s="76" t="s">
        <v>1032</v>
      </c>
      <c r="C9532" s="84">
        <v>13.95</v>
      </c>
      <c r="D9532" s="84">
        <v>6.0</v>
      </c>
      <c r="E9532" s="84">
        <v>2.32</v>
      </c>
      <c r="F9532" s="76" t="s">
        <v>1005</v>
      </c>
      <c r="G9532" s="83">
        <v>46118.0</v>
      </c>
      <c r="H9532" s="76" t="s">
        <v>931</v>
      </c>
    </row>
    <row r="9533">
      <c r="A9533" s="76" t="s">
        <v>28</v>
      </c>
      <c r="B9533" s="76" t="s">
        <v>1032</v>
      </c>
      <c r="C9533" s="84">
        <v>8.19</v>
      </c>
      <c r="D9533" s="84">
        <v>0.0</v>
      </c>
      <c r="E9533" s="84">
        <v>0.0</v>
      </c>
      <c r="F9533" s="76" t="s">
        <v>1005</v>
      </c>
      <c r="G9533" s="83">
        <v>46118.0</v>
      </c>
      <c r="H9533" s="76" t="s">
        <v>932</v>
      </c>
    </row>
    <row r="9534">
      <c r="A9534" s="76" t="s">
        <v>28</v>
      </c>
      <c r="B9534" s="76" t="s">
        <v>1032</v>
      </c>
      <c r="C9534" s="84">
        <v>153.16</v>
      </c>
      <c r="D9534" s="84">
        <v>32.0</v>
      </c>
      <c r="E9534" s="84">
        <v>4.79</v>
      </c>
      <c r="F9534" s="76" t="s">
        <v>1005</v>
      </c>
      <c r="G9534" s="83">
        <v>46118.0</v>
      </c>
      <c r="H9534" s="76" t="s">
        <v>933</v>
      </c>
    </row>
    <row r="9535">
      <c r="A9535" s="76" t="s">
        <v>36</v>
      </c>
      <c r="B9535" s="76" t="s">
        <v>1032</v>
      </c>
      <c r="C9535" s="84">
        <v>36.45</v>
      </c>
      <c r="D9535" s="84">
        <v>4.0</v>
      </c>
      <c r="E9535" s="84">
        <v>9.11</v>
      </c>
      <c r="F9535" s="76" t="s">
        <v>1005</v>
      </c>
      <c r="G9535" s="83">
        <v>46118.0</v>
      </c>
      <c r="H9535" s="76" t="s">
        <v>926</v>
      </c>
    </row>
    <row r="9536">
      <c r="A9536" s="76" t="s">
        <v>36</v>
      </c>
      <c r="B9536" s="76" t="s">
        <v>1032</v>
      </c>
      <c r="C9536" s="84">
        <v>13.16</v>
      </c>
      <c r="D9536" s="84">
        <v>3.0</v>
      </c>
      <c r="E9536" s="84">
        <v>4.39</v>
      </c>
      <c r="F9536" s="76" t="s">
        <v>1005</v>
      </c>
      <c r="G9536" s="83">
        <v>46118.0</v>
      </c>
      <c r="H9536" s="76" t="s">
        <v>927</v>
      </c>
    </row>
    <row r="9537">
      <c r="A9537" s="76" t="s">
        <v>36</v>
      </c>
      <c r="B9537" s="76" t="s">
        <v>1032</v>
      </c>
      <c r="C9537" s="84">
        <v>17.07</v>
      </c>
      <c r="D9537" s="84">
        <v>3.0</v>
      </c>
      <c r="E9537" s="84">
        <v>5.69</v>
      </c>
      <c r="F9537" s="76" t="s">
        <v>1005</v>
      </c>
      <c r="G9537" s="83">
        <v>46118.0</v>
      </c>
      <c r="H9537" s="76" t="s">
        <v>928</v>
      </c>
    </row>
    <row r="9538">
      <c r="A9538" s="76" t="s">
        <v>31</v>
      </c>
      <c r="B9538" s="76" t="s">
        <v>1032</v>
      </c>
      <c r="C9538" s="84">
        <v>14.3</v>
      </c>
      <c r="D9538" s="84">
        <v>2.0</v>
      </c>
      <c r="E9538" s="84">
        <v>7.15</v>
      </c>
      <c r="F9538" s="76" t="s">
        <v>1005</v>
      </c>
      <c r="G9538" s="83">
        <v>46118.0</v>
      </c>
      <c r="H9538" s="76" t="s">
        <v>929</v>
      </c>
    </row>
    <row r="9539">
      <c r="A9539" s="76" t="s">
        <v>31</v>
      </c>
      <c r="B9539" s="76" t="s">
        <v>1032</v>
      </c>
      <c r="C9539" s="84">
        <v>478.3</v>
      </c>
      <c r="D9539" s="84">
        <v>101.0</v>
      </c>
      <c r="E9539" s="84">
        <v>4.74</v>
      </c>
      <c r="F9539" s="76" t="s">
        <v>1005</v>
      </c>
      <c r="G9539" s="83">
        <v>46118.0</v>
      </c>
      <c r="H9539" s="76" t="s">
        <v>930</v>
      </c>
    </row>
    <row r="9540">
      <c r="A9540" s="76" t="s">
        <v>944</v>
      </c>
      <c r="B9540" s="76" t="s">
        <v>1032</v>
      </c>
      <c r="C9540" s="84">
        <v>26.98</v>
      </c>
      <c r="D9540" s="84">
        <v>5.0</v>
      </c>
      <c r="E9540" s="84">
        <v>5.4</v>
      </c>
      <c r="F9540" s="76" t="s">
        <v>1005</v>
      </c>
      <c r="G9540" s="83">
        <v>46118.0</v>
      </c>
      <c r="H9540" s="76" t="s">
        <v>945</v>
      </c>
    </row>
    <row r="9541">
      <c r="A9541" s="76" t="s">
        <v>944</v>
      </c>
      <c r="B9541" s="76" t="s">
        <v>1032</v>
      </c>
      <c r="C9541" s="84">
        <v>15.7</v>
      </c>
      <c r="D9541" s="84">
        <v>1.0</v>
      </c>
      <c r="E9541" s="84">
        <v>15.7</v>
      </c>
      <c r="F9541" s="76" t="s">
        <v>1005</v>
      </c>
      <c r="G9541" s="83">
        <v>46118.0</v>
      </c>
      <c r="H9541" s="76" t="s">
        <v>946</v>
      </c>
    </row>
    <row r="9542">
      <c r="A9542" s="76" t="s">
        <v>944</v>
      </c>
      <c r="B9542" s="76" t="s">
        <v>1032</v>
      </c>
      <c r="C9542" s="84">
        <v>63.68</v>
      </c>
      <c r="D9542" s="84">
        <v>14.0</v>
      </c>
      <c r="E9542" s="84">
        <v>4.55</v>
      </c>
      <c r="F9542" s="76" t="s">
        <v>1005</v>
      </c>
      <c r="G9542" s="83">
        <v>46118.0</v>
      </c>
      <c r="H9542" s="76" t="s">
        <v>947</v>
      </c>
    </row>
    <row r="9543">
      <c r="A9543" s="76" t="s">
        <v>45</v>
      </c>
      <c r="B9543" s="76" t="s">
        <v>1032</v>
      </c>
      <c r="C9543" s="84">
        <v>11.78</v>
      </c>
      <c r="D9543" s="84">
        <v>1.0</v>
      </c>
      <c r="E9543" s="84">
        <v>11.78</v>
      </c>
      <c r="F9543" s="76" t="s">
        <v>1005</v>
      </c>
      <c r="G9543" s="83">
        <v>46118.0</v>
      </c>
      <c r="H9543" s="76" t="s">
        <v>936</v>
      </c>
    </row>
    <row r="9544">
      <c r="A9544" s="76" t="s">
        <v>45</v>
      </c>
      <c r="B9544" s="76" t="s">
        <v>1032</v>
      </c>
      <c r="C9544" s="84">
        <v>18.51</v>
      </c>
      <c r="D9544" s="84">
        <v>3.0</v>
      </c>
      <c r="E9544" s="84">
        <v>6.17</v>
      </c>
      <c r="F9544" s="76" t="s">
        <v>1005</v>
      </c>
      <c r="G9544" s="83">
        <v>46118.0</v>
      </c>
      <c r="H9544" s="76" t="s">
        <v>937</v>
      </c>
    </row>
    <row r="9545">
      <c r="A9545" s="76" t="s">
        <v>45</v>
      </c>
      <c r="B9545" s="76" t="s">
        <v>1032</v>
      </c>
      <c r="C9545" s="84">
        <v>9.23</v>
      </c>
      <c r="D9545" s="84">
        <v>1.0</v>
      </c>
      <c r="E9545" s="84">
        <v>9.23</v>
      </c>
      <c r="F9545" s="76" t="s">
        <v>1005</v>
      </c>
      <c r="G9545" s="83">
        <v>46118.0</v>
      </c>
      <c r="H9545" s="76" t="s">
        <v>938</v>
      </c>
    </row>
    <row r="9546">
      <c r="A9546" s="76" t="s">
        <v>32</v>
      </c>
      <c r="B9546" s="76" t="s">
        <v>1032</v>
      </c>
      <c r="C9546" s="84">
        <v>450.42</v>
      </c>
      <c r="D9546" s="84">
        <v>78.0</v>
      </c>
      <c r="E9546" s="84">
        <v>5.77</v>
      </c>
      <c r="F9546" s="76" t="s">
        <v>1005</v>
      </c>
      <c r="G9546" s="83">
        <v>46118.0</v>
      </c>
      <c r="H9546" s="76" t="s">
        <v>941</v>
      </c>
    </row>
    <row r="9547">
      <c r="A9547" s="76" t="s">
        <v>32</v>
      </c>
      <c r="B9547" s="76" t="s">
        <v>1032</v>
      </c>
      <c r="C9547" s="84">
        <v>25.24</v>
      </c>
      <c r="D9547" s="84">
        <v>6.0</v>
      </c>
      <c r="E9547" s="84">
        <v>4.21</v>
      </c>
      <c r="F9547" s="76" t="s">
        <v>1005</v>
      </c>
      <c r="G9547" s="83">
        <v>46118.0</v>
      </c>
      <c r="H9547" s="76" t="s">
        <v>942</v>
      </c>
    </row>
    <row r="9548">
      <c r="A9548" s="76" t="s">
        <v>32</v>
      </c>
      <c r="B9548" s="76" t="s">
        <v>1032</v>
      </c>
      <c r="C9548" s="84">
        <v>49.46</v>
      </c>
      <c r="D9548" s="84">
        <v>9.0</v>
      </c>
      <c r="E9548" s="84">
        <v>5.5</v>
      </c>
      <c r="F9548" s="76" t="s">
        <v>1005</v>
      </c>
      <c r="G9548" s="83">
        <v>46118.0</v>
      </c>
      <c r="H9548" s="76" t="s">
        <v>943</v>
      </c>
    </row>
    <row r="9549">
      <c r="A9549" s="76" t="s">
        <v>26</v>
      </c>
      <c r="B9549" s="76" t="s">
        <v>1032</v>
      </c>
      <c r="C9549" s="84">
        <v>1.78</v>
      </c>
      <c r="D9549" s="84">
        <v>0.0</v>
      </c>
      <c r="E9549" s="84">
        <v>0.0</v>
      </c>
      <c r="F9549" s="76" t="s">
        <v>993</v>
      </c>
      <c r="G9549" s="83">
        <v>46118.0</v>
      </c>
      <c r="H9549" s="76" t="s">
        <v>1012</v>
      </c>
    </row>
    <row r="9550">
      <c r="A9550" s="76" t="s">
        <v>26</v>
      </c>
      <c r="B9550" s="76" t="s">
        <v>1032</v>
      </c>
      <c r="C9550" s="84">
        <v>1.47</v>
      </c>
      <c r="D9550" s="84">
        <v>0.0</v>
      </c>
      <c r="E9550" s="84">
        <v>0.0</v>
      </c>
      <c r="F9550" s="76" t="s">
        <v>993</v>
      </c>
      <c r="G9550" s="83">
        <v>46118.0</v>
      </c>
      <c r="H9550" s="76" t="s">
        <v>1013</v>
      </c>
    </row>
    <row r="9551">
      <c r="A9551" s="76" t="s">
        <v>26</v>
      </c>
      <c r="B9551" s="76" t="s">
        <v>1032</v>
      </c>
      <c r="C9551" s="84">
        <v>3.64</v>
      </c>
      <c r="D9551" s="84">
        <v>0.0</v>
      </c>
      <c r="E9551" s="84">
        <v>0.0</v>
      </c>
      <c r="F9551" s="76" t="s">
        <v>993</v>
      </c>
      <c r="G9551" s="83">
        <v>46118.0</v>
      </c>
      <c r="H9551" s="76" t="s">
        <v>1014</v>
      </c>
    </row>
    <row r="9552">
      <c r="A9552" s="76" t="s">
        <v>944</v>
      </c>
      <c r="B9552" s="76" t="s">
        <v>1032</v>
      </c>
      <c r="C9552" s="84">
        <v>3.37</v>
      </c>
      <c r="D9552" s="84">
        <v>0.0</v>
      </c>
      <c r="E9552" s="84">
        <v>0.0</v>
      </c>
      <c r="F9552" s="76" t="s">
        <v>993</v>
      </c>
      <c r="G9552" s="83">
        <v>46118.0</v>
      </c>
      <c r="H9552" s="76" t="s">
        <v>945</v>
      </c>
    </row>
    <row r="9553">
      <c r="A9553" s="76" t="s">
        <v>944</v>
      </c>
      <c r="B9553" s="76" t="s">
        <v>1032</v>
      </c>
      <c r="C9553" s="84">
        <v>1.89</v>
      </c>
      <c r="D9553" s="84">
        <v>0.0</v>
      </c>
      <c r="E9553" s="84">
        <v>0.0</v>
      </c>
      <c r="F9553" s="76" t="s">
        <v>993</v>
      </c>
      <c r="G9553" s="83">
        <v>46118.0</v>
      </c>
      <c r="H9553" s="76" t="s">
        <v>946</v>
      </c>
    </row>
    <row r="9554">
      <c r="A9554" s="76" t="s">
        <v>944</v>
      </c>
      <c r="B9554" s="76" t="s">
        <v>1032</v>
      </c>
      <c r="C9554" s="84">
        <v>1.82</v>
      </c>
      <c r="D9554" s="84">
        <v>0.0</v>
      </c>
      <c r="E9554" s="84">
        <v>0.0</v>
      </c>
      <c r="F9554" s="76" t="s">
        <v>993</v>
      </c>
      <c r="G9554" s="83">
        <v>46118.0</v>
      </c>
      <c r="H9554" s="76" t="s">
        <v>947</v>
      </c>
    </row>
    <row r="9555">
      <c r="A9555" s="76" t="s">
        <v>45</v>
      </c>
      <c r="B9555" s="76" t="s">
        <v>1032</v>
      </c>
      <c r="C9555" s="84">
        <v>1.44</v>
      </c>
      <c r="D9555" s="84">
        <v>0.0</v>
      </c>
      <c r="E9555" s="84">
        <v>0.0</v>
      </c>
      <c r="F9555" s="76" t="s">
        <v>993</v>
      </c>
      <c r="G9555" s="83">
        <v>46118.0</v>
      </c>
      <c r="H9555" s="76" t="s">
        <v>936</v>
      </c>
    </row>
    <row r="9556">
      <c r="A9556" s="76" t="s">
        <v>45</v>
      </c>
      <c r="B9556" s="76" t="s">
        <v>1032</v>
      </c>
      <c r="C9556" s="84">
        <v>0.86</v>
      </c>
      <c r="D9556" s="84">
        <v>0.0</v>
      </c>
      <c r="E9556" s="84">
        <v>0.0</v>
      </c>
      <c r="F9556" s="76" t="s">
        <v>993</v>
      </c>
      <c r="G9556" s="83">
        <v>46118.0</v>
      </c>
      <c r="H9556" s="76" t="s">
        <v>937</v>
      </c>
    </row>
    <row r="9557">
      <c r="A9557" s="76" t="s">
        <v>45</v>
      </c>
      <c r="B9557" s="76" t="s">
        <v>1032</v>
      </c>
      <c r="C9557" s="84">
        <v>0.92</v>
      </c>
      <c r="D9557" s="84">
        <v>0.0</v>
      </c>
      <c r="E9557" s="84">
        <v>0.0</v>
      </c>
      <c r="F9557" s="76" t="s">
        <v>993</v>
      </c>
      <c r="G9557" s="83">
        <v>46118.0</v>
      </c>
      <c r="H9557" s="76" t="s">
        <v>938</v>
      </c>
    </row>
    <row r="9558">
      <c r="A9558" s="76" t="s">
        <v>32</v>
      </c>
      <c r="B9558" s="76" t="s">
        <v>1032</v>
      </c>
      <c r="C9558" s="84">
        <v>5.4</v>
      </c>
      <c r="D9558" s="84">
        <v>0.0</v>
      </c>
      <c r="E9558" s="84">
        <v>0.0</v>
      </c>
      <c r="F9558" s="76" t="s">
        <v>993</v>
      </c>
      <c r="G9558" s="83">
        <v>46118.0</v>
      </c>
      <c r="H9558" s="76" t="s">
        <v>941</v>
      </c>
    </row>
    <row r="9559">
      <c r="A9559" s="76" t="s">
        <v>32</v>
      </c>
      <c r="B9559" s="76" t="s">
        <v>1032</v>
      </c>
      <c r="C9559" s="84">
        <v>2.34</v>
      </c>
      <c r="D9559" s="84">
        <v>0.0</v>
      </c>
      <c r="E9559" s="84">
        <v>0.0</v>
      </c>
      <c r="F9559" s="76" t="s">
        <v>993</v>
      </c>
      <c r="G9559" s="83">
        <v>46118.0</v>
      </c>
      <c r="H9559" s="76" t="s">
        <v>942</v>
      </c>
    </row>
    <row r="9560">
      <c r="A9560" s="76" t="s">
        <v>32</v>
      </c>
      <c r="B9560" s="76" t="s">
        <v>1032</v>
      </c>
      <c r="C9560" s="84">
        <v>4.7</v>
      </c>
      <c r="D9560" s="84">
        <v>0.0</v>
      </c>
      <c r="E9560" s="84">
        <v>0.0</v>
      </c>
      <c r="F9560" s="76" t="s">
        <v>993</v>
      </c>
      <c r="G9560" s="83">
        <v>46118.0</v>
      </c>
      <c r="H9560" s="76" t="s">
        <v>943</v>
      </c>
    </row>
    <row r="9561">
      <c r="A9561" s="76" t="s">
        <v>36</v>
      </c>
      <c r="B9561" s="76" t="s">
        <v>1032</v>
      </c>
      <c r="C9561" s="84">
        <v>3.44</v>
      </c>
      <c r="D9561" s="84">
        <v>1.0</v>
      </c>
      <c r="E9561" s="84">
        <v>3.44</v>
      </c>
      <c r="F9561" s="76" t="s">
        <v>993</v>
      </c>
      <c r="G9561" s="83">
        <v>46118.0</v>
      </c>
      <c r="H9561" s="76" t="s">
        <v>926</v>
      </c>
    </row>
    <row r="9562">
      <c r="A9562" s="76" t="s">
        <v>36</v>
      </c>
      <c r="B9562" s="76" t="s">
        <v>1032</v>
      </c>
      <c r="C9562" s="84">
        <v>1.6</v>
      </c>
      <c r="D9562" s="84">
        <v>0.0</v>
      </c>
      <c r="E9562" s="84">
        <v>0.0</v>
      </c>
      <c r="F9562" s="76" t="s">
        <v>993</v>
      </c>
      <c r="G9562" s="83">
        <v>46118.0</v>
      </c>
      <c r="H9562" s="76" t="s">
        <v>927</v>
      </c>
    </row>
    <row r="9563">
      <c r="A9563" s="76" t="s">
        <v>36</v>
      </c>
      <c r="B9563" s="76" t="s">
        <v>1032</v>
      </c>
      <c r="C9563" s="84">
        <v>0.82</v>
      </c>
      <c r="D9563" s="84">
        <v>0.0</v>
      </c>
      <c r="E9563" s="84">
        <v>0.0</v>
      </c>
      <c r="F9563" s="76" t="s">
        <v>993</v>
      </c>
      <c r="G9563" s="83">
        <v>46118.0</v>
      </c>
      <c r="H9563" s="76" t="s">
        <v>928</v>
      </c>
    </row>
    <row r="9564">
      <c r="A9564" s="76" t="s">
        <v>28</v>
      </c>
      <c r="B9564" s="76" t="s">
        <v>1032</v>
      </c>
      <c r="C9564" s="84">
        <v>1.59</v>
      </c>
      <c r="D9564" s="84">
        <v>0.0</v>
      </c>
      <c r="E9564" s="84">
        <v>0.0</v>
      </c>
      <c r="F9564" s="76" t="s">
        <v>993</v>
      </c>
      <c r="G9564" s="83">
        <v>46118.0</v>
      </c>
      <c r="H9564" s="76" t="s">
        <v>931</v>
      </c>
    </row>
    <row r="9565">
      <c r="A9565" s="76" t="s">
        <v>28</v>
      </c>
      <c r="B9565" s="76" t="s">
        <v>1032</v>
      </c>
      <c r="C9565" s="84">
        <v>0.39</v>
      </c>
      <c r="D9565" s="84">
        <v>0.0</v>
      </c>
      <c r="E9565" s="84">
        <v>0.0</v>
      </c>
      <c r="F9565" s="76" t="s">
        <v>993</v>
      </c>
      <c r="G9565" s="83">
        <v>46118.0</v>
      </c>
      <c r="H9565" s="76" t="s">
        <v>932</v>
      </c>
    </row>
    <row r="9566">
      <c r="A9566" s="76" t="s">
        <v>28</v>
      </c>
      <c r="B9566" s="76" t="s">
        <v>1032</v>
      </c>
      <c r="C9566" s="84">
        <v>11.41</v>
      </c>
      <c r="D9566" s="84">
        <v>0.0</v>
      </c>
      <c r="E9566" s="84">
        <v>0.0</v>
      </c>
      <c r="F9566" s="76" t="s">
        <v>993</v>
      </c>
      <c r="G9566" s="83">
        <v>46118.0</v>
      </c>
      <c r="H9566" s="76" t="s">
        <v>933</v>
      </c>
    </row>
    <row r="9567">
      <c r="A9567" s="76" t="s">
        <v>31</v>
      </c>
      <c r="B9567" s="76" t="s">
        <v>1032</v>
      </c>
      <c r="C9567" s="84">
        <v>2.49</v>
      </c>
      <c r="D9567" s="84">
        <v>0.0</v>
      </c>
      <c r="E9567" s="84">
        <v>0.0</v>
      </c>
      <c r="F9567" s="76" t="s">
        <v>993</v>
      </c>
      <c r="G9567" s="83">
        <v>46118.0</v>
      </c>
      <c r="H9567" s="76" t="s">
        <v>929</v>
      </c>
    </row>
    <row r="9568">
      <c r="A9568" s="76" t="s">
        <v>31</v>
      </c>
      <c r="B9568" s="76" t="s">
        <v>1032</v>
      </c>
      <c r="C9568" s="84">
        <v>31.07</v>
      </c>
      <c r="D9568" s="84">
        <v>4.0</v>
      </c>
      <c r="E9568" s="84">
        <v>7.77</v>
      </c>
      <c r="F9568" s="76" t="s">
        <v>993</v>
      </c>
      <c r="G9568" s="83">
        <v>46118.0</v>
      </c>
      <c r="H9568" s="76" t="s">
        <v>930</v>
      </c>
    </row>
    <row r="9569">
      <c r="A9569" s="76" t="s">
        <v>45</v>
      </c>
      <c r="B9569" s="76" t="s">
        <v>1032</v>
      </c>
      <c r="C9569" s="84">
        <v>0.04</v>
      </c>
      <c r="D9569" s="84">
        <v>0.0</v>
      </c>
      <c r="E9569" s="84">
        <v>0.0</v>
      </c>
      <c r="F9569" s="76" t="s">
        <v>994</v>
      </c>
      <c r="G9569" s="83">
        <v>46118.0</v>
      </c>
      <c r="H9569" s="76" t="s">
        <v>936</v>
      </c>
    </row>
    <row r="9570">
      <c r="A9570" s="76" t="s">
        <v>45</v>
      </c>
      <c r="B9570" s="76" t="s">
        <v>1032</v>
      </c>
      <c r="C9570" s="84">
        <v>0.05</v>
      </c>
      <c r="D9570" s="84">
        <v>0.0</v>
      </c>
      <c r="E9570" s="84">
        <v>0.0</v>
      </c>
      <c r="F9570" s="76" t="s">
        <v>994</v>
      </c>
      <c r="G9570" s="83">
        <v>46118.0</v>
      </c>
      <c r="H9570" s="76" t="s">
        <v>937</v>
      </c>
    </row>
    <row r="9571">
      <c r="A9571" s="76" t="s">
        <v>45</v>
      </c>
      <c r="B9571" s="76" t="s">
        <v>1032</v>
      </c>
      <c r="C9571" s="84">
        <v>0.04</v>
      </c>
      <c r="D9571" s="84">
        <v>0.0</v>
      </c>
      <c r="E9571" s="84">
        <v>0.0</v>
      </c>
      <c r="F9571" s="76" t="s">
        <v>994</v>
      </c>
      <c r="G9571" s="83">
        <v>46118.0</v>
      </c>
      <c r="H9571" s="76" t="s">
        <v>938</v>
      </c>
    </row>
    <row r="9572">
      <c r="A9572" s="76" t="s">
        <v>36</v>
      </c>
      <c r="B9572" s="76" t="s">
        <v>1032</v>
      </c>
      <c r="C9572" s="84">
        <v>0.17</v>
      </c>
      <c r="D9572" s="84">
        <v>0.0</v>
      </c>
      <c r="E9572" s="84">
        <v>0.0</v>
      </c>
      <c r="F9572" s="76" t="s">
        <v>994</v>
      </c>
      <c r="G9572" s="83">
        <v>46118.0</v>
      </c>
      <c r="H9572" s="76" t="s">
        <v>926</v>
      </c>
    </row>
    <row r="9573">
      <c r="A9573" s="76" t="s">
        <v>36</v>
      </c>
      <c r="B9573" s="76" t="s">
        <v>1032</v>
      </c>
      <c r="C9573" s="84">
        <v>0.03</v>
      </c>
      <c r="D9573" s="84">
        <v>0.0</v>
      </c>
      <c r="E9573" s="84">
        <v>0.0</v>
      </c>
      <c r="F9573" s="76" t="s">
        <v>994</v>
      </c>
      <c r="G9573" s="83">
        <v>46118.0</v>
      </c>
      <c r="H9573" s="76" t="s">
        <v>927</v>
      </c>
    </row>
    <row r="9574">
      <c r="A9574" s="76" t="s">
        <v>36</v>
      </c>
      <c r="B9574" s="76" t="s">
        <v>1032</v>
      </c>
      <c r="C9574" s="84">
        <v>0.01</v>
      </c>
      <c r="D9574" s="84">
        <v>0.0</v>
      </c>
      <c r="E9574" s="84">
        <v>0.0</v>
      </c>
      <c r="F9574" s="76" t="s">
        <v>994</v>
      </c>
      <c r="G9574" s="83">
        <v>46118.0</v>
      </c>
      <c r="H9574" s="76" t="s">
        <v>928</v>
      </c>
    </row>
    <row r="9575">
      <c r="A9575" s="76" t="s">
        <v>31</v>
      </c>
      <c r="B9575" s="76" t="s">
        <v>1032</v>
      </c>
      <c r="C9575" s="84">
        <v>0.02</v>
      </c>
      <c r="D9575" s="84">
        <v>0.0</v>
      </c>
      <c r="E9575" s="84">
        <v>0.0</v>
      </c>
      <c r="F9575" s="76" t="s">
        <v>994</v>
      </c>
      <c r="G9575" s="83">
        <v>46118.0</v>
      </c>
      <c r="H9575" s="76" t="s">
        <v>929</v>
      </c>
    </row>
    <row r="9576">
      <c r="A9576" s="76" t="s">
        <v>31</v>
      </c>
      <c r="B9576" s="76" t="s">
        <v>1032</v>
      </c>
      <c r="C9576" s="84">
        <v>1.03</v>
      </c>
      <c r="D9576" s="84">
        <v>0.0</v>
      </c>
      <c r="E9576" s="84">
        <v>0.0</v>
      </c>
      <c r="F9576" s="76" t="s">
        <v>994</v>
      </c>
      <c r="G9576" s="83">
        <v>46118.0</v>
      </c>
      <c r="H9576" s="76" t="s">
        <v>930</v>
      </c>
    </row>
    <row r="9577">
      <c r="A9577" s="76" t="s">
        <v>944</v>
      </c>
      <c r="B9577" s="76" t="s">
        <v>1032</v>
      </c>
      <c r="C9577" s="84">
        <v>0.4</v>
      </c>
      <c r="D9577" s="84">
        <v>0.0</v>
      </c>
      <c r="E9577" s="84">
        <v>0.0</v>
      </c>
      <c r="F9577" s="76" t="s">
        <v>994</v>
      </c>
      <c r="G9577" s="83">
        <v>46118.0</v>
      </c>
      <c r="H9577" s="76" t="s">
        <v>945</v>
      </c>
    </row>
    <row r="9578">
      <c r="A9578" s="76" t="s">
        <v>944</v>
      </c>
      <c r="B9578" s="76" t="s">
        <v>1032</v>
      </c>
      <c r="C9578" s="84">
        <v>0.02</v>
      </c>
      <c r="D9578" s="84">
        <v>0.0</v>
      </c>
      <c r="E9578" s="84">
        <v>0.0</v>
      </c>
      <c r="F9578" s="76" t="s">
        <v>994</v>
      </c>
      <c r="G9578" s="83">
        <v>46118.0</v>
      </c>
      <c r="H9578" s="76" t="s">
        <v>946</v>
      </c>
    </row>
    <row r="9579">
      <c r="A9579" s="76" t="s">
        <v>944</v>
      </c>
      <c r="B9579" s="76" t="s">
        <v>1032</v>
      </c>
      <c r="C9579" s="84">
        <v>0.07</v>
      </c>
      <c r="D9579" s="84">
        <v>0.0</v>
      </c>
      <c r="E9579" s="84">
        <v>0.0</v>
      </c>
      <c r="F9579" s="76" t="s">
        <v>994</v>
      </c>
      <c r="G9579" s="83">
        <v>46118.0</v>
      </c>
      <c r="H9579" s="76" t="s">
        <v>947</v>
      </c>
    </row>
    <row r="9580">
      <c r="A9580" s="76" t="s">
        <v>32</v>
      </c>
      <c r="B9580" s="76" t="s">
        <v>1032</v>
      </c>
      <c r="C9580" s="84">
        <v>0.24</v>
      </c>
      <c r="D9580" s="84">
        <v>0.0</v>
      </c>
      <c r="E9580" s="84">
        <v>0.0</v>
      </c>
      <c r="F9580" s="76" t="s">
        <v>994</v>
      </c>
      <c r="G9580" s="83">
        <v>46118.0</v>
      </c>
      <c r="H9580" s="76" t="s">
        <v>941</v>
      </c>
    </row>
    <row r="9581">
      <c r="A9581" s="76" t="s">
        <v>32</v>
      </c>
      <c r="B9581" s="76" t="s">
        <v>1032</v>
      </c>
      <c r="C9581" s="84">
        <v>0.05</v>
      </c>
      <c r="D9581" s="84">
        <v>0.0</v>
      </c>
      <c r="E9581" s="84">
        <v>0.0</v>
      </c>
      <c r="F9581" s="76" t="s">
        <v>994</v>
      </c>
      <c r="G9581" s="83">
        <v>46118.0</v>
      </c>
      <c r="H9581" s="76" t="s">
        <v>942</v>
      </c>
    </row>
    <row r="9582">
      <c r="A9582" s="76" t="s">
        <v>32</v>
      </c>
      <c r="B9582" s="76" t="s">
        <v>1032</v>
      </c>
      <c r="C9582" s="84">
        <v>0.22</v>
      </c>
      <c r="D9582" s="84">
        <v>0.0</v>
      </c>
      <c r="E9582" s="84">
        <v>0.0</v>
      </c>
      <c r="F9582" s="76" t="s">
        <v>994</v>
      </c>
      <c r="G9582" s="83">
        <v>46118.0</v>
      </c>
      <c r="H9582" s="76" t="s">
        <v>943</v>
      </c>
    </row>
    <row r="9583">
      <c r="A9583" s="76" t="s">
        <v>26</v>
      </c>
      <c r="B9583" s="76" t="s">
        <v>1032</v>
      </c>
      <c r="C9583" s="84">
        <v>0.04</v>
      </c>
      <c r="D9583" s="84">
        <v>0.0</v>
      </c>
      <c r="E9583" s="84">
        <v>0.0</v>
      </c>
      <c r="F9583" s="76" t="s">
        <v>994</v>
      </c>
      <c r="G9583" s="83">
        <v>46118.0</v>
      </c>
      <c r="H9583" s="76" t="s">
        <v>1012</v>
      </c>
    </row>
    <row r="9584">
      <c r="A9584" s="76" t="s">
        <v>26</v>
      </c>
      <c r="B9584" s="76" t="s">
        <v>1032</v>
      </c>
      <c r="C9584" s="84">
        <v>0.07</v>
      </c>
      <c r="D9584" s="84">
        <v>0.0</v>
      </c>
      <c r="E9584" s="84">
        <v>0.0</v>
      </c>
      <c r="F9584" s="76" t="s">
        <v>994</v>
      </c>
      <c r="G9584" s="83">
        <v>46118.0</v>
      </c>
      <c r="H9584" s="76" t="s">
        <v>1013</v>
      </c>
    </row>
    <row r="9585">
      <c r="A9585" s="76" t="s">
        <v>26</v>
      </c>
      <c r="B9585" s="76" t="s">
        <v>1032</v>
      </c>
      <c r="C9585" s="84">
        <v>0.16</v>
      </c>
      <c r="D9585" s="84">
        <v>0.0</v>
      </c>
      <c r="E9585" s="84">
        <v>0.0</v>
      </c>
      <c r="F9585" s="76" t="s">
        <v>994</v>
      </c>
      <c r="G9585" s="83">
        <v>46118.0</v>
      </c>
      <c r="H9585" s="76" t="s">
        <v>1014</v>
      </c>
    </row>
    <row r="9586">
      <c r="A9586" s="76" t="s">
        <v>28</v>
      </c>
      <c r="B9586" s="76" t="s">
        <v>1032</v>
      </c>
      <c r="C9586" s="84">
        <v>0.02</v>
      </c>
      <c r="D9586" s="84">
        <v>0.0</v>
      </c>
      <c r="E9586" s="84">
        <v>0.0</v>
      </c>
      <c r="F9586" s="76" t="s">
        <v>994</v>
      </c>
      <c r="G9586" s="83">
        <v>46118.0</v>
      </c>
      <c r="H9586" s="76" t="s">
        <v>931</v>
      </c>
    </row>
    <row r="9587">
      <c r="A9587" s="76" t="s">
        <v>28</v>
      </c>
      <c r="B9587" s="76" t="s">
        <v>1032</v>
      </c>
      <c r="C9587" s="84">
        <v>0.02</v>
      </c>
      <c r="D9587" s="84">
        <v>0.0</v>
      </c>
      <c r="E9587" s="84">
        <v>0.0</v>
      </c>
      <c r="F9587" s="76" t="s">
        <v>994</v>
      </c>
      <c r="G9587" s="83">
        <v>46118.0</v>
      </c>
      <c r="H9587" s="76" t="s">
        <v>932</v>
      </c>
    </row>
    <row r="9588">
      <c r="A9588" s="76" t="s">
        <v>28</v>
      </c>
      <c r="B9588" s="76" t="s">
        <v>1032</v>
      </c>
      <c r="C9588" s="84">
        <v>0.77</v>
      </c>
      <c r="D9588" s="84">
        <v>1.0</v>
      </c>
      <c r="E9588" s="84">
        <v>0.77</v>
      </c>
      <c r="F9588" s="76" t="s">
        <v>994</v>
      </c>
      <c r="G9588" s="83">
        <v>46118.0</v>
      </c>
      <c r="H9588" s="76" t="s">
        <v>933</v>
      </c>
    </row>
    <row r="9589">
      <c r="A9589" s="76" t="s">
        <v>36</v>
      </c>
      <c r="B9589" s="76" t="s">
        <v>1032</v>
      </c>
      <c r="C9589" s="84">
        <v>3.81</v>
      </c>
      <c r="D9589" s="84">
        <v>1.0</v>
      </c>
      <c r="E9589" s="84">
        <v>3.81</v>
      </c>
      <c r="F9589" s="76" t="s">
        <v>998</v>
      </c>
      <c r="G9589" s="83">
        <v>46118.0</v>
      </c>
      <c r="H9589" s="76" t="s">
        <v>926</v>
      </c>
    </row>
    <row r="9590">
      <c r="A9590" s="76" t="s">
        <v>36</v>
      </c>
      <c r="B9590" s="76" t="s">
        <v>1032</v>
      </c>
      <c r="C9590" s="84">
        <v>0.51</v>
      </c>
      <c r="D9590" s="84">
        <v>0.0</v>
      </c>
      <c r="E9590" s="84">
        <v>0.0</v>
      </c>
      <c r="F9590" s="76" t="s">
        <v>998</v>
      </c>
      <c r="G9590" s="83">
        <v>46118.0</v>
      </c>
      <c r="H9590" s="76" t="s">
        <v>927</v>
      </c>
    </row>
    <row r="9591">
      <c r="A9591" s="76" t="s">
        <v>36</v>
      </c>
      <c r="B9591" s="76" t="s">
        <v>1032</v>
      </c>
      <c r="C9591" s="84">
        <v>1.32</v>
      </c>
      <c r="D9591" s="84">
        <v>0.0</v>
      </c>
      <c r="E9591" s="84">
        <v>0.0</v>
      </c>
      <c r="F9591" s="76" t="s">
        <v>998</v>
      </c>
      <c r="G9591" s="83">
        <v>46118.0</v>
      </c>
      <c r="H9591" s="76" t="s">
        <v>928</v>
      </c>
    </row>
    <row r="9592">
      <c r="A9592" s="76" t="s">
        <v>31</v>
      </c>
      <c r="B9592" s="76" t="s">
        <v>1032</v>
      </c>
      <c r="C9592" s="84">
        <v>1.0</v>
      </c>
      <c r="D9592" s="84">
        <v>0.0</v>
      </c>
      <c r="E9592" s="84">
        <v>0.0</v>
      </c>
      <c r="F9592" s="76" t="s">
        <v>998</v>
      </c>
      <c r="G9592" s="83">
        <v>46118.0</v>
      </c>
      <c r="H9592" s="76" t="s">
        <v>929</v>
      </c>
    </row>
    <row r="9593">
      <c r="A9593" s="76" t="s">
        <v>31</v>
      </c>
      <c r="B9593" s="76" t="s">
        <v>1032</v>
      </c>
      <c r="C9593" s="84">
        <v>11.52</v>
      </c>
      <c r="D9593" s="84">
        <v>1.0</v>
      </c>
      <c r="E9593" s="84">
        <v>11.52</v>
      </c>
      <c r="F9593" s="76" t="s">
        <v>998</v>
      </c>
      <c r="G9593" s="83">
        <v>46118.0</v>
      </c>
      <c r="H9593" s="76" t="s">
        <v>930</v>
      </c>
    </row>
    <row r="9594">
      <c r="A9594" s="76" t="s">
        <v>28</v>
      </c>
      <c r="B9594" s="76" t="s">
        <v>1032</v>
      </c>
      <c r="C9594" s="84">
        <v>1.18</v>
      </c>
      <c r="D9594" s="84">
        <v>0.0</v>
      </c>
      <c r="E9594" s="84">
        <v>0.0</v>
      </c>
      <c r="F9594" s="76" t="s">
        <v>998</v>
      </c>
      <c r="G9594" s="83">
        <v>46118.0</v>
      </c>
      <c r="H9594" s="76" t="s">
        <v>931</v>
      </c>
    </row>
    <row r="9595">
      <c r="A9595" s="76" t="s">
        <v>28</v>
      </c>
      <c r="B9595" s="76" t="s">
        <v>1032</v>
      </c>
      <c r="C9595" s="84">
        <v>0.74</v>
      </c>
      <c r="D9595" s="84">
        <v>0.0</v>
      </c>
      <c r="E9595" s="84">
        <v>0.0</v>
      </c>
      <c r="F9595" s="76" t="s">
        <v>998</v>
      </c>
      <c r="G9595" s="83">
        <v>46118.0</v>
      </c>
      <c r="H9595" s="76" t="s">
        <v>932</v>
      </c>
    </row>
    <row r="9596">
      <c r="A9596" s="76" t="s">
        <v>28</v>
      </c>
      <c r="B9596" s="76" t="s">
        <v>1032</v>
      </c>
      <c r="C9596" s="84">
        <v>11.24</v>
      </c>
      <c r="D9596" s="84">
        <v>3.0</v>
      </c>
      <c r="E9596" s="84">
        <v>3.75</v>
      </c>
      <c r="F9596" s="76" t="s">
        <v>998</v>
      </c>
      <c r="G9596" s="83">
        <v>46118.0</v>
      </c>
      <c r="H9596" s="76" t="s">
        <v>933</v>
      </c>
    </row>
    <row r="9597">
      <c r="A9597" s="76" t="s">
        <v>944</v>
      </c>
      <c r="B9597" s="76" t="s">
        <v>1032</v>
      </c>
      <c r="C9597" s="84">
        <v>2.74</v>
      </c>
      <c r="D9597" s="84">
        <v>0.0</v>
      </c>
      <c r="E9597" s="84">
        <v>0.0</v>
      </c>
      <c r="F9597" s="76" t="s">
        <v>998</v>
      </c>
      <c r="G9597" s="83">
        <v>46118.0</v>
      </c>
      <c r="H9597" s="76" t="s">
        <v>945</v>
      </c>
    </row>
    <row r="9598">
      <c r="A9598" s="76" t="s">
        <v>944</v>
      </c>
      <c r="B9598" s="76" t="s">
        <v>1032</v>
      </c>
      <c r="C9598" s="84">
        <v>0.54</v>
      </c>
      <c r="D9598" s="84">
        <v>0.0</v>
      </c>
      <c r="E9598" s="84">
        <v>0.0</v>
      </c>
      <c r="F9598" s="76" t="s">
        <v>998</v>
      </c>
      <c r="G9598" s="83">
        <v>46118.0</v>
      </c>
      <c r="H9598" s="76" t="s">
        <v>946</v>
      </c>
    </row>
    <row r="9599">
      <c r="A9599" s="76" t="s">
        <v>944</v>
      </c>
      <c r="B9599" s="76" t="s">
        <v>1032</v>
      </c>
      <c r="C9599" s="84">
        <v>1.16</v>
      </c>
      <c r="D9599" s="84">
        <v>0.0</v>
      </c>
      <c r="E9599" s="84">
        <v>0.0</v>
      </c>
      <c r="F9599" s="76" t="s">
        <v>998</v>
      </c>
      <c r="G9599" s="83">
        <v>46118.0</v>
      </c>
      <c r="H9599" s="76" t="s">
        <v>947</v>
      </c>
    </row>
    <row r="9600">
      <c r="A9600" s="76" t="s">
        <v>45</v>
      </c>
      <c r="B9600" s="76" t="s">
        <v>1032</v>
      </c>
      <c r="C9600" s="84">
        <v>0.81</v>
      </c>
      <c r="D9600" s="84">
        <v>0.0</v>
      </c>
      <c r="E9600" s="84">
        <v>0.0</v>
      </c>
      <c r="F9600" s="76" t="s">
        <v>998</v>
      </c>
      <c r="G9600" s="83">
        <v>46118.0</v>
      </c>
      <c r="H9600" s="76" t="s">
        <v>936</v>
      </c>
    </row>
    <row r="9601">
      <c r="A9601" s="76" t="s">
        <v>45</v>
      </c>
      <c r="B9601" s="76" t="s">
        <v>1032</v>
      </c>
      <c r="C9601" s="84">
        <v>0.58</v>
      </c>
      <c r="D9601" s="84">
        <v>0.0</v>
      </c>
      <c r="E9601" s="84">
        <v>0.0</v>
      </c>
      <c r="F9601" s="76" t="s">
        <v>998</v>
      </c>
      <c r="G9601" s="83">
        <v>46118.0</v>
      </c>
      <c r="H9601" s="76" t="s">
        <v>937</v>
      </c>
    </row>
    <row r="9602">
      <c r="A9602" s="76" t="s">
        <v>45</v>
      </c>
      <c r="B9602" s="76" t="s">
        <v>1032</v>
      </c>
      <c r="C9602" s="84">
        <v>0.93</v>
      </c>
      <c r="D9602" s="84">
        <v>0.0</v>
      </c>
      <c r="E9602" s="84">
        <v>0.0</v>
      </c>
      <c r="F9602" s="76" t="s">
        <v>998</v>
      </c>
      <c r="G9602" s="83">
        <v>46118.0</v>
      </c>
      <c r="H9602" s="76" t="s">
        <v>938</v>
      </c>
    </row>
    <row r="9603">
      <c r="A9603" s="76" t="s">
        <v>32</v>
      </c>
      <c r="B9603" s="76" t="s">
        <v>1032</v>
      </c>
      <c r="C9603" s="84">
        <v>3.02</v>
      </c>
      <c r="D9603" s="84">
        <v>0.0</v>
      </c>
      <c r="E9603" s="84">
        <v>0.0</v>
      </c>
      <c r="F9603" s="76" t="s">
        <v>998</v>
      </c>
      <c r="G9603" s="83">
        <v>46118.0</v>
      </c>
      <c r="H9603" s="76" t="s">
        <v>941</v>
      </c>
    </row>
    <row r="9604">
      <c r="A9604" s="76" t="s">
        <v>32</v>
      </c>
      <c r="B9604" s="76" t="s">
        <v>1032</v>
      </c>
      <c r="C9604" s="84">
        <v>0.94</v>
      </c>
      <c r="D9604" s="84">
        <v>0.0</v>
      </c>
      <c r="E9604" s="84">
        <v>0.0</v>
      </c>
      <c r="F9604" s="76" t="s">
        <v>998</v>
      </c>
      <c r="G9604" s="83">
        <v>46118.0</v>
      </c>
      <c r="H9604" s="76" t="s">
        <v>942</v>
      </c>
    </row>
    <row r="9605">
      <c r="A9605" s="76" t="s">
        <v>32</v>
      </c>
      <c r="B9605" s="76" t="s">
        <v>1032</v>
      </c>
      <c r="C9605" s="84">
        <v>2.76</v>
      </c>
      <c r="D9605" s="84">
        <v>0.0</v>
      </c>
      <c r="E9605" s="84">
        <v>0.0</v>
      </c>
      <c r="F9605" s="76" t="s">
        <v>998</v>
      </c>
      <c r="G9605" s="83">
        <v>46118.0</v>
      </c>
      <c r="H9605" s="76" t="s">
        <v>943</v>
      </c>
    </row>
    <row r="9606">
      <c r="A9606" s="76" t="s">
        <v>26</v>
      </c>
      <c r="B9606" s="76" t="s">
        <v>1032</v>
      </c>
      <c r="C9606" s="84">
        <v>0.66</v>
      </c>
      <c r="D9606" s="84">
        <v>0.0</v>
      </c>
      <c r="E9606" s="84">
        <v>0.0</v>
      </c>
      <c r="F9606" s="76" t="s">
        <v>998</v>
      </c>
      <c r="G9606" s="83">
        <v>46118.0</v>
      </c>
      <c r="H9606" s="76" t="s">
        <v>1012</v>
      </c>
    </row>
    <row r="9607">
      <c r="A9607" s="76" t="s">
        <v>26</v>
      </c>
      <c r="B9607" s="76" t="s">
        <v>1032</v>
      </c>
      <c r="C9607" s="84">
        <v>0.8</v>
      </c>
      <c r="D9607" s="84">
        <v>1.0</v>
      </c>
      <c r="E9607" s="84">
        <v>0.8</v>
      </c>
      <c r="F9607" s="76" t="s">
        <v>998</v>
      </c>
      <c r="G9607" s="83">
        <v>46118.0</v>
      </c>
      <c r="H9607" s="76" t="s">
        <v>1013</v>
      </c>
    </row>
    <row r="9608">
      <c r="A9608" s="76" t="s">
        <v>26</v>
      </c>
      <c r="B9608" s="76" t="s">
        <v>1032</v>
      </c>
      <c r="C9608" s="84">
        <v>2.65</v>
      </c>
      <c r="D9608" s="84">
        <v>1.0</v>
      </c>
      <c r="E9608" s="84">
        <v>2.65</v>
      </c>
      <c r="F9608" s="76" t="s">
        <v>998</v>
      </c>
      <c r="G9608" s="83">
        <v>46118.0</v>
      </c>
      <c r="H9608" s="76" t="s">
        <v>1014</v>
      </c>
    </row>
    <row r="9609">
      <c r="A9609" s="76" t="s">
        <v>34</v>
      </c>
      <c r="B9609" s="76" t="s">
        <v>1035</v>
      </c>
      <c r="C9609" s="84">
        <v>0.35</v>
      </c>
      <c r="D9609" s="84">
        <v>0.0</v>
      </c>
      <c r="E9609" s="84">
        <v>0.0</v>
      </c>
      <c r="F9609" s="76" t="s">
        <v>925</v>
      </c>
      <c r="G9609" s="83">
        <v>46118.0</v>
      </c>
      <c r="H9609" s="76" t="s">
        <v>951</v>
      </c>
    </row>
    <row r="9610">
      <c r="A9610" s="76" t="s">
        <v>34</v>
      </c>
      <c r="B9610" s="76" t="s">
        <v>1035</v>
      </c>
      <c r="C9610" s="84">
        <v>1.03</v>
      </c>
      <c r="D9610" s="84">
        <v>0.0</v>
      </c>
      <c r="E9610" s="84">
        <v>0.0</v>
      </c>
      <c r="F9610" s="76" t="s">
        <v>925</v>
      </c>
      <c r="G9610" s="83">
        <v>46118.0</v>
      </c>
      <c r="H9610" s="76" t="s">
        <v>952</v>
      </c>
    </row>
    <row r="9611">
      <c r="A9611" s="76" t="s">
        <v>34</v>
      </c>
      <c r="B9611" s="76" t="s">
        <v>1035</v>
      </c>
      <c r="C9611" s="84">
        <v>0.39</v>
      </c>
      <c r="D9611" s="84">
        <v>0.0</v>
      </c>
      <c r="E9611" s="84">
        <v>0.0</v>
      </c>
      <c r="F9611" s="76" t="s">
        <v>925</v>
      </c>
      <c r="G9611" s="83">
        <v>46118.0</v>
      </c>
      <c r="H9611" s="76" t="s">
        <v>953</v>
      </c>
    </row>
    <row r="9612">
      <c r="A9612" s="76" t="s">
        <v>43</v>
      </c>
      <c r="B9612" s="76" t="s">
        <v>1035</v>
      </c>
      <c r="C9612" s="84">
        <v>0.89</v>
      </c>
      <c r="D9612" s="84">
        <v>0.0</v>
      </c>
      <c r="E9612" s="84">
        <v>0.0</v>
      </c>
      <c r="F9612" s="76" t="s">
        <v>925</v>
      </c>
      <c r="G9612" s="83">
        <v>46118.0</v>
      </c>
      <c r="H9612" s="76" t="s">
        <v>963</v>
      </c>
    </row>
    <row r="9613">
      <c r="A9613" s="76" t="s">
        <v>43</v>
      </c>
      <c r="B9613" s="76" t="s">
        <v>1035</v>
      </c>
      <c r="C9613" s="84">
        <v>1.21</v>
      </c>
      <c r="D9613" s="84">
        <v>1.0</v>
      </c>
      <c r="E9613" s="84">
        <v>1.21</v>
      </c>
      <c r="F9613" s="76" t="s">
        <v>925</v>
      </c>
      <c r="G9613" s="83">
        <v>46118.0</v>
      </c>
      <c r="H9613" s="76" t="s">
        <v>964</v>
      </c>
    </row>
    <row r="9614">
      <c r="A9614" s="76" t="s">
        <v>43</v>
      </c>
      <c r="B9614" s="76" t="s">
        <v>1035</v>
      </c>
      <c r="C9614" s="84">
        <v>2.67</v>
      </c>
      <c r="D9614" s="84">
        <v>2.0</v>
      </c>
      <c r="E9614" s="84">
        <v>1.33</v>
      </c>
      <c r="F9614" s="76" t="s">
        <v>925</v>
      </c>
      <c r="G9614" s="83">
        <v>46118.0</v>
      </c>
      <c r="H9614" s="76" t="s">
        <v>965</v>
      </c>
    </row>
    <row r="9615">
      <c r="A9615" s="76" t="s">
        <v>970</v>
      </c>
      <c r="B9615" s="76" t="s">
        <v>1035</v>
      </c>
      <c r="C9615" s="84">
        <v>3.13</v>
      </c>
      <c r="D9615" s="84">
        <v>1.0</v>
      </c>
      <c r="E9615" s="84">
        <v>3.13</v>
      </c>
      <c r="F9615" s="76" t="s">
        <v>925</v>
      </c>
      <c r="G9615" s="83">
        <v>46118.0</v>
      </c>
      <c r="H9615" s="76" t="s">
        <v>971</v>
      </c>
    </row>
    <row r="9616">
      <c r="A9616" s="76" t="s">
        <v>970</v>
      </c>
      <c r="B9616" s="76" t="s">
        <v>1035</v>
      </c>
      <c r="C9616" s="84">
        <v>0.36</v>
      </c>
      <c r="D9616" s="84">
        <v>0.0</v>
      </c>
      <c r="E9616" s="84">
        <v>0.0</v>
      </c>
      <c r="F9616" s="76" t="s">
        <v>925</v>
      </c>
      <c r="G9616" s="83">
        <v>46118.0</v>
      </c>
      <c r="H9616" s="76" t="s">
        <v>972</v>
      </c>
    </row>
    <row r="9617">
      <c r="A9617" s="76" t="s">
        <v>970</v>
      </c>
      <c r="B9617" s="76" t="s">
        <v>1035</v>
      </c>
      <c r="C9617" s="84">
        <v>4.68</v>
      </c>
      <c r="D9617" s="84">
        <v>0.0</v>
      </c>
      <c r="E9617" s="84">
        <v>0.0</v>
      </c>
      <c r="F9617" s="76" t="s">
        <v>925</v>
      </c>
      <c r="G9617" s="83">
        <v>46118.0</v>
      </c>
      <c r="H9617" s="76" t="s">
        <v>973</v>
      </c>
    </row>
    <row r="9618">
      <c r="A9618" s="76" t="s">
        <v>966</v>
      </c>
      <c r="B9618" s="76" t="s">
        <v>1035</v>
      </c>
      <c r="C9618" s="84">
        <v>1.45</v>
      </c>
      <c r="D9618" s="84">
        <v>1.0</v>
      </c>
      <c r="E9618" s="84">
        <v>1.45</v>
      </c>
      <c r="F9618" s="76" t="s">
        <v>925</v>
      </c>
      <c r="G9618" s="83">
        <v>46118.0</v>
      </c>
      <c r="H9618" s="76" t="s">
        <v>967</v>
      </c>
    </row>
    <row r="9619">
      <c r="A9619" s="76" t="s">
        <v>966</v>
      </c>
      <c r="B9619" s="76" t="s">
        <v>1035</v>
      </c>
      <c r="C9619" s="84">
        <v>0.24</v>
      </c>
      <c r="D9619" s="84">
        <v>0.0</v>
      </c>
      <c r="E9619" s="84">
        <v>0.0</v>
      </c>
      <c r="F9619" s="76" t="s">
        <v>925</v>
      </c>
      <c r="G9619" s="83">
        <v>46118.0</v>
      </c>
      <c r="H9619" s="76" t="s">
        <v>968</v>
      </c>
    </row>
    <row r="9620">
      <c r="A9620" s="76" t="s">
        <v>966</v>
      </c>
      <c r="B9620" s="76" t="s">
        <v>1035</v>
      </c>
      <c r="C9620" s="84">
        <v>0.51</v>
      </c>
      <c r="D9620" s="84">
        <v>0.0</v>
      </c>
      <c r="E9620" s="84">
        <v>0.0</v>
      </c>
      <c r="F9620" s="76" t="s">
        <v>925</v>
      </c>
      <c r="G9620" s="83">
        <v>46118.0</v>
      </c>
      <c r="H9620" s="76" t="s">
        <v>969</v>
      </c>
    </row>
    <row r="9621">
      <c r="A9621" s="76" t="s">
        <v>40</v>
      </c>
      <c r="B9621" s="76" t="s">
        <v>1035</v>
      </c>
      <c r="C9621" s="84">
        <v>0.67</v>
      </c>
      <c r="D9621" s="84">
        <v>0.0</v>
      </c>
      <c r="E9621" s="84">
        <v>0.0</v>
      </c>
      <c r="F9621" s="76" t="s">
        <v>925</v>
      </c>
      <c r="G9621" s="83">
        <v>46118.0</v>
      </c>
      <c r="H9621" s="76" t="s">
        <v>954</v>
      </c>
    </row>
    <row r="9622">
      <c r="A9622" s="76" t="s">
        <v>40</v>
      </c>
      <c r="B9622" s="76" t="s">
        <v>1035</v>
      </c>
      <c r="C9622" s="84">
        <v>0.46</v>
      </c>
      <c r="D9622" s="84">
        <v>1.0</v>
      </c>
      <c r="E9622" s="84">
        <v>0.46</v>
      </c>
      <c r="F9622" s="76" t="s">
        <v>925</v>
      </c>
      <c r="G9622" s="83">
        <v>46118.0</v>
      </c>
      <c r="H9622" s="76" t="s">
        <v>955</v>
      </c>
    </row>
    <row r="9623">
      <c r="A9623" s="76" t="s">
        <v>40</v>
      </c>
      <c r="B9623" s="76" t="s">
        <v>1035</v>
      </c>
      <c r="C9623" s="84">
        <v>4.14</v>
      </c>
      <c r="D9623" s="84">
        <v>0.0</v>
      </c>
      <c r="E9623" s="84">
        <v>0.0</v>
      </c>
      <c r="F9623" s="76" t="s">
        <v>925</v>
      </c>
      <c r="G9623" s="83">
        <v>46118.0</v>
      </c>
      <c r="H9623" s="76" t="s">
        <v>956</v>
      </c>
    </row>
    <row r="9624">
      <c r="A9624" s="76" t="s">
        <v>29</v>
      </c>
      <c r="B9624" s="76" t="s">
        <v>1035</v>
      </c>
      <c r="C9624" s="84">
        <v>2.76</v>
      </c>
      <c r="D9624" s="84">
        <v>0.0</v>
      </c>
      <c r="E9624" s="84">
        <v>0.0</v>
      </c>
      <c r="F9624" s="76" t="s">
        <v>925</v>
      </c>
      <c r="G9624" s="83">
        <v>46118.0</v>
      </c>
      <c r="H9624" s="76" t="s">
        <v>971</v>
      </c>
    </row>
    <row r="9625">
      <c r="A9625" s="76" t="s">
        <v>29</v>
      </c>
      <c r="B9625" s="76" t="s">
        <v>1035</v>
      </c>
      <c r="C9625" s="84">
        <v>0.43</v>
      </c>
      <c r="D9625" s="84">
        <v>0.0</v>
      </c>
      <c r="E9625" s="84">
        <v>0.0</v>
      </c>
      <c r="F9625" s="76" t="s">
        <v>925</v>
      </c>
      <c r="G9625" s="83">
        <v>46118.0</v>
      </c>
      <c r="H9625" s="76" t="s">
        <v>972</v>
      </c>
    </row>
    <row r="9626">
      <c r="A9626" s="76" t="s">
        <v>29</v>
      </c>
      <c r="B9626" s="76" t="s">
        <v>1035</v>
      </c>
      <c r="C9626" s="84">
        <v>3.93</v>
      </c>
      <c r="D9626" s="84">
        <v>0.0</v>
      </c>
      <c r="E9626" s="84">
        <v>0.0</v>
      </c>
      <c r="F9626" s="76" t="s">
        <v>925</v>
      </c>
      <c r="G9626" s="83">
        <v>46118.0</v>
      </c>
      <c r="H9626" s="76" t="s">
        <v>973</v>
      </c>
    </row>
    <row r="9627">
      <c r="A9627" s="76" t="s">
        <v>46</v>
      </c>
      <c r="B9627" s="76" t="s">
        <v>1035</v>
      </c>
      <c r="C9627" s="84">
        <v>0.63</v>
      </c>
      <c r="D9627" s="84">
        <v>1.0</v>
      </c>
      <c r="E9627" s="84">
        <v>0.63</v>
      </c>
      <c r="F9627" s="76" t="s">
        <v>925</v>
      </c>
      <c r="G9627" s="83">
        <v>46118.0</v>
      </c>
      <c r="H9627" s="76" t="s">
        <v>960</v>
      </c>
    </row>
    <row r="9628">
      <c r="A9628" s="76" t="s">
        <v>46</v>
      </c>
      <c r="B9628" s="76" t="s">
        <v>1035</v>
      </c>
      <c r="C9628" s="84">
        <v>0.29</v>
      </c>
      <c r="D9628" s="84">
        <v>0.0</v>
      </c>
      <c r="E9628" s="84">
        <v>0.0</v>
      </c>
      <c r="F9628" s="76" t="s">
        <v>925</v>
      </c>
      <c r="G9628" s="83">
        <v>46118.0</v>
      </c>
      <c r="H9628" s="76" t="s">
        <v>961</v>
      </c>
    </row>
    <row r="9629">
      <c r="A9629" s="76" t="s">
        <v>46</v>
      </c>
      <c r="B9629" s="76" t="s">
        <v>1035</v>
      </c>
      <c r="C9629" s="84">
        <v>0.71</v>
      </c>
      <c r="D9629" s="84">
        <v>1.0</v>
      </c>
      <c r="E9629" s="84">
        <v>0.71</v>
      </c>
      <c r="F9629" s="76" t="s">
        <v>925</v>
      </c>
      <c r="G9629" s="83">
        <v>46118.0</v>
      </c>
      <c r="H9629" s="76" t="s">
        <v>962</v>
      </c>
    </row>
    <row r="9630">
      <c r="A9630" s="76" t="s">
        <v>36</v>
      </c>
      <c r="B9630" s="76" t="s">
        <v>1035</v>
      </c>
      <c r="C9630" s="84">
        <v>1.49</v>
      </c>
      <c r="D9630" s="84">
        <v>1.0</v>
      </c>
      <c r="E9630" s="84">
        <v>1.49</v>
      </c>
      <c r="F9630" s="76" t="s">
        <v>925</v>
      </c>
      <c r="G9630" s="83">
        <v>46118.0</v>
      </c>
      <c r="H9630" s="76" t="s">
        <v>926</v>
      </c>
    </row>
    <row r="9631">
      <c r="A9631" s="76" t="s">
        <v>36</v>
      </c>
      <c r="B9631" s="76" t="s">
        <v>1035</v>
      </c>
      <c r="C9631" s="84">
        <v>0.31</v>
      </c>
      <c r="D9631" s="84">
        <v>0.0</v>
      </c>
      <c r="E9631" s="84">
        <v>0.0</v>
      </c>
      <c r="F9631" s="76" t="s">
        <v>925</v>
      </c>
      <c r="G9631" s="83">
        <v>46118.0</v>
      </c>
      <c r="H9631" s="76" t="s">
        <v>927</v>
      </c>
    </row>
    <row r="9632">
      <c r="A9632" s="76" t="s">
        <v>36</v>
      </c>
      <c r="B9632" s="76" t="s">
        <v>1035</v>
      </c>
      <c r="C9632" s="84">
        <v>0.53</v>
      </c>
      <c r="D9632" s="84">
        <v>0.0</v>
      </c>
      <c r="E9632" s="84">
        <v>0.0</v>
      </c>
      <c r="F9632" s="76" t="s">
        <v>925</v>
      </c>
      <c r="G9632" s="83">
        <v>46118.0</v>
      </c>
      <c r="H9632" s="76" t="s">
        <v>928</v>
      </c>
    </row>
    <row r="9633">
      <c r="A9633" s="76" t="s">
        <v>33</v>
      </c>
      <c r="B9633" s="76" t="s">
        <v>1035</v>
      </c>
      <c r="C9633" s="84">
        <v>7.76</v>
      </c>
      <c r="D9633" s="84">
        <v>4.0</v>
      </c>
      <c r="E9633" s="84">
        <v>1.94</v>
      </c>
      <c r="F9633" s="76" t="s">
        <v>925</v>
      </c>
      <c r="G9633" s="83">
        <v>46118.0</v>
      </c>
      <c r="H9633" s="76" t="s">
        <v>957</v>
      </c>
    </row>
    <row r="9634">
      <c r="A9634" s="76" t="s">
        <v>33</v>
      </c>
      <c r="B9634" s="76" t="s">
        <v>1035</v>
      </c>
      <c r="C9634" s="84">
        <v>2.24</v>
      </c>
      <c r="D9634" s="84">
        <v>1.0</v>
      </c>
      <c r="E9634" s="84">
        <v>2.24</v>
      </c>
      <c r="F9634" s="76" t="s">
        <v>925</v>
      </c>
      <c r="G9634" s="83">
        <v>46118.0</v>
      </c>
      <c r="H9634" s="76" t="s">
        <v>958</v>
      </c>
    </row>
    <row r="9635">
      <c r="A9635" s="76" t="s">
        <v>33</v>
      </c>
      <c r="B9635" s="76" t="s">
        <v>1035</v>
      </c>
      <c r="C9635" s="84">
        <v>1.93</v>
      </c>
      <c r="D9635" s="84">
        <v>1.0</v>
      </c>
      <c r="E9635" s="84">
        <v>1.93</v>
      </c>
      <c r="F9635" s="76" t="s">
        <v>925</v>
      </c>
      <c r="G9635" s="83">
        <v>46118.0</v>
      </c>
      <c r="H9635" s="76" t="s">
        <v>959</v>
      </c>
    </row>
    <row r="9636">
      <c r="A9636" s="76" t="s">
        <v>36</v>
      </c>
      <c r="B9636" s="76" t="s">
        <v>1035</v>
      </c>
      <c r="C9636" s="84">
        <v>0.7</v>
      </c>
      <c r="D9636" s="84">
        <v>0.0</v>
      </c>
      <c r="E9636" s="84">
        <v>0.0</v>
      </c>
      <c r="F9636" s="76" t="s">
        <v>948</v>
      </c>
      <c r="G9636" s="83">
        <v>46118.0</v>
      </c>
      <c r="H9636" s="76" t="s">
        <v>926</v>
      </c>
    </row>
    <row r="9637">
      <c r="A9637" s="76" t="s">
        <v>36</v>
      </c>
      <c r="B9637" s="76" t="s">
        <v>1035</v>
      </c>
      <c r="C9637" s="84">
        <v>0.09</v>
      </c>
      <c r="D9637" s="84">
        <v>0.0</v>
      </c>
      <c r="E9637" s="84">
        <v>0.0</v>
      </c>
      <c r="F9637" s="76" t="s">
        <v>948</v>
      </c>
      <c r="G9637" s="83">
        <v>46118.0</v>
      </c>
      <c r="H9637" s="76" t="s">
        <v>927</v>
      </c>
    </row>
    <row r="9638">
      <c r="A9638" s="76" t="s">
        <v>36</v>
      </c>
      <c r="B9638" s="76" t="s">
        <v>1035</v>
      </c>
      <c r="C9638" s="84">
        <v>0.28</v>
      </c>
      <c r="D9638" s="84">
        <v>0.0</v>
      </c>
      <c r="E9638" s="84">
        <v>0.0</v>
      </c>
      <c r="F9638" s="76" t="s">
        <v>948</v>
      </c>
      <c r="G9638" s="83">
        <v>46118.0</v>
      </c>
      <c r="H9638" s="76" t="s">
        <v>928</v>
      </c>
    </row>
    <row r="9639">
      <c r="A9639" s="76" t="s">
        <v>40</v>
      </c>
      <c r="B9639" s="76" t="s">
        <v>1035</v>
      </c>
      <c r="C9639" s="84">
        <v>0.21</v>
      </c>
      <c r="D9639" s="84">
        <v>0.0</v>
      </c>
      <c r="E9639" s="84">
        <v>0.0</v>
      </c>
      <c r="F9639" s="76" t="s">
        <v>948</v>
      </c>
      <c r="G9639" s="83">
        <v>46118.0</v>
      </c>
      <c r="H9639" s="76" t="s">
        <v>954</v>
      </c>
    </row>
    <row r="9640">
      <c r="A9640" s="76" t="s">
        <v>40</v>
      </c>
      <c r="B9640" s="76" t="s">
        <v>1035</v>
      </c>
      <c r="C9640" s="84">
        <v>0.05</v>
      </c>
      <c r="D9640" s="84">
        <v>0.0</v>
      </c>
      <c r="E9640" s="84">
        <v>0.0</v>
      </c>
      <c r="F9640" s="76" t="s">
        <v>948</v>
      </c>
      <c r="G9640" s="83">
        <v>46118.0</v>
      </c>
      <c r="H9640" s="76" t="s">
        <v>955</v>
      </c>
    </row>
    <row r="9641">
      <c r="A9641" s="76" t="s">
        <v>40</v>
      </c>
      <c r="B9641" s="76" t="s">
        <v>1035</v>
      </c>
      <c r="C9641" s="84">
        <v>1.66</v>
      </c>
      <c r="D9641" s="84">
        <v>0.0</v>
      </c>
      <c r="E9641" s="84">
        <v>0.0</v>
      </c>
      <c r="F9641" s="76" t="s">
        <v>948</v>
      </c>
      <c r="G9641" s="83">
        <v>46118.0</v>
      </c>
      <c r="H9641" s="76" t="s">
        <v>956</v>
      </c>
    </row>
    <row r="9642">
      <c r="A9642" s="76" t="s">
        <v>970</v>
      </c>
      <c r="B9642" s="76" t="s">
        <v>1035</v>
      </c>
      <c r="C9642" s="84">
        <v>0.48</v>
      </c>
      <c r="D9642" s="84">
        <v>0.0</v>
      </c>
      <c r="E9642" s="84">
        <v>0.0</v>
      </c>
      <c r="F9642" s="76" t="s">
        <v>948</v>
      </c>
      <c r="G9642" s="83">
        <v>46118.0</v>
      </c>
      <c r="H9642" s="76" t="s">
        <v>971</v>
      </c>
    </row>
    <row r="9643">
      <c r="A9643" s="76" t="s">
        <v>970</v>
      </c>
      <c r="B9643" s="76" t="s">
        <v>1035</v>
      </c>
      <c r="C9643" s="84">
        <v>0.3</v>
      </c>
      <c r="D9643" s="84">
        <v>0.0</v>
      </c>
      <c r="E9643" s="84">
        <v>0.0</v>
      </c>
      <c r="F9643" s="76" t="s">
        <v>948</v>
      </c>
      <c r="G9643" s="83">
        <v>46118.0</v>
      </c>
      <c r="H9643" s="76" t="s">
        <v>972</v>
      </c>
    </row>
    <row r="9644">
      <c r="A9644" s="76" t="s">
        <v>970</v>
      </c>
      <c r="B9644" s="76" t="s">
        <v>1035</v>
      </c>
      <c r="C9644" s="84">
        <v>1.73</v>
      </c>
      <c r="D9644" s="84">
        <v>0.0</v>
      </c>
      <c r="E9644" s="84">
        <v>0.0</v>
      </c>
      <c r="F9644" s="76" t="s">
        <v>948</v>
      </c>
      <c r="G9644" s="83">
        <v>46118.0</v>
      </c>
      <c r="H9644" s="76" t="s">
        <v>973</v>
      </c>
    </row>
    <row r="9645">
      <c r="A9645" s="76" t="s">
        <v>33</v>
      </c>
      <c r="B9645" s="76" t="s">
        <v>1035</v>
      </c>
      <c r="C9645" s="84">
        <v>3.96</v>
      </c>
      <c r="D9645" s="84">
        <v>0.0</v>
      </c>
      <c r="E9645" s="84">
        <v>0.0</v>
      </c>
      <c r="F9645" s="76" t="s">
        <v>948</v>
      </c>
      <c r="G9645" s="83">
        <v>46118.0</v>
      </c>
      <c r="H9645" s="76" t="s">
        <v>957</v>
      </c>
    </row>
    <row r="9646">
      <c r="A9646" s="76" t="s">
        <v>33</v>
      </c>
      <c r="B9646" s="76" t="s">
        <v>1035</v>
      </c>
      <c r="C9646" s="84">
        <v>0.48</v>
      </c>
      <c r="D9646" s="84">
        <v>0.0</v>
      </c>
      <c r="E9646" s="84">
        <v>0.0</v>
      </c>
      <c r="F9646" s="76" t="s">
        <v>948</v>
      </c>
      <c r="G9646" s="83">
        <v>46118.0</v>
      </c>
      <c r="H9646" s="76" t="s">
        <v>958</v>
      </c>
    </row>
    <row r="9647">
      <c r="A9647" s="76" t="s">
        <v>33</v>
      </c>
      <c r="B9647" s="76" t="s">
        <v>1035</v>
      </c>
      <c r="C9647" s="84">
        <v>0.63</v>
      </c>
      <c r="D9647" s="84">
        <v>1.0</v>
      </c>
      <c r="E9647" s="84">
        <v>0.63</v>
      </c>
      <c r="F9647" s="76" t="s">
        <v>948</v>
      </c>
      <c r="G9647" s="83">
        <v>46118.0</v>
      </c>
      <c r="H9647" s="76" t="s">
        <v>959</v>
      </c>
    </row>
    <row r="9648">
      <c r="A9648" s="76" t="s">
        <v>966</v>
      </c>
      <c r="B9648" s="76" t="s">
        <v>1035</v>
      </c>
      <c r="C9648" s="84">
        <v>0.67</v>
      </c>
      <c r="D9648" s="84">
        <v>0.0</v>
      </c>
      <c r="E9648" s="84">
        <v>0.0</v>
      </c>
      <c r="F9648" s="76" t="s">
        <v>948</v>
      </c>
      <c r="G9648" s="83">
        <v>46118.0</v>
      </c>
      <c r="H9648" s="76" t="s">
        <v>967</v>
      </c>
    </row>
    <row r="9649">
      <c r="A9649" s="76" t="s">
        <v>966</v>
      </c>
      <c r="B9649" s="76" t="s">
        <v>1035</v>
      </c>
      <c r="C9649" s="84">
        <v>0.04</v>
      </c>
      <c r="D9649" s="84">
        <v>0.0</v>
      </c>
      <c r="E9649" s="84">
        <v>0.0</v>
      </c>
      <c r="F9649" s="76" t="s">
        <v>948</v>
      </c>
      <c r="G9649" s="83">
        <v>46118.0</v>
      </c>
      <c r="H9649" s="76" t="s">
        <v>968</v>
      </c>
    </row>
    <row r="9650">
      <c r="A9650" s="76" t="s">
        <v>966</v>
      </c>
      <c r="B9650" s="76" t="s">
        <v>1035</v>
      </c>
      <c r="C9650" s="84">
        <v>0.24</v>
      </c>
      <c r="D9650" s="84">
        <v>0.0</v>
      </c>
      <c r="E9650" s="84">
        <v>0.0</v>
      </c>
      <c r="F9650" s="76" t="s">
        <v>948</v>
      </c>
      <c r="G9650" s="83">
        <v>46118.0</v>
      </c>
      <c r="H9650" s="76" t="s">
        <v>969</v>
      </c>
    </row>
    <row r="9651">
      <c r="A9651" s="76" t="s">
        <v>43</v>
      </c>
      <c r="B9651" s="76" t="s">
        <v>1035</v>
      </c>
      <c r="C9651" s="84">
        <v>0.11</v>
      </c>
      <c r="D9651" s="84">
        <v>0.0</v>
      </c>
      <c r="E9651" s="84">
        <v>0.0</v>
      </c>
      <c r="F9651" s="76" t="s">
        <v>948</v>
      </c>
      <c r="G9651" s="83">
        <v>46118.0</v>
      </c>
      <c r="H9651" s="76" t="s">
        <v>963</v>
      </c>
    </row>
    <row r="9652">
      <c r="A9652" s="76" t="s">
        <v>43</v>
      </c>
      <c r="B9652" s="76" t="s">
        <v>1035</v>
      </c>
      <c r="C9652" s="84">
        <v>0.14</v>
      </c>
      <c r="D9652" s="84">
        <v>0.0</v>
      </c>
      <c r="E9652" s="84">
        <v>0.0</v>
      </c>
      <c r="F9652" s="76" t="s">
        <v>948</v>
      </c>
      <c r="G9652" s="83">
        <v>46118.0</v>
      </c>
      <c r="H9652" s="76" t="s">
        <v>964</v>
      </c>
    </row>
    <row r="9653">
      <c r="A9653" s="76" t="s">
        <v>43</v>
      </c>
      <c r="B9653" s="76" t="s">
        <v>1035</v>
      </c>
      <c r="C9653" s="84">
        <v>0.51</v>
      </c>
      <c r="D9653" s="84">
        <v>0.0</v>
      </c>
      <c r="E9653" s="84">
        <v>0.0</v>
      </c>
      <c r="F9653" s="76" t="s">
        <v>948</v>
      </c>
      <c r="G9653" s="83">
        <v>46118.0</v>
      </c>
      <c r="H9653" s="76" t="s">
        <v>965</v>
      </c>
    </row>
    <row r="9654">
      <c r="A9654" s="76" t="s">
        <v>46</v>
      </c>
      <c r="B9654" s="76" t="s">
        <v>1035</v>
      </c>
      <c r="C9654" s="84">
        <v>0.1</v>
      </c>
      <c r="D9654" s="84">
        <v>0.0</v>
      </c>
      <c r="E9654" s="84">
        <v>0.0</v>
      </c>
      <c r="F9654" s="76" t="s">
        <v>948</v>
      </c>
      <c r="G9654" s="83">
        <v>46118.0</v>
      </c>
      <c r="H9654" s="76" t="s">
        <v>960</v>
      </c>
    </row>
    <row r="9655">
      <c r="A9655" s="76" t="s">
        <v>46</v>
      </c>
      <c r="B9655" s="76" t="s">
        <v>1035</v>
      </c>
      <c r="C9655" s="84">
        <v>0.07</v>
      </c>
      <c r="D9655" s="84">
        <v>0.0</v>
      </c>
      <c r="E9655" s="84">
        <v>0.0</v>
      </c>
      <c r="F9655" s="76" t="s">
        <v>948</v>
      </c>
      <c r="G9655" s="83">
        <v>46118.0</v>
      </c>
      <c r="H9655" s="76" t="s">
        <v>961</v>
      </c>
    </row>
    <row r="9656">
      <c r="A9656" s="76" t="s">
        <v>46</v>
      </c>
      <c r="B9656" s="76" t="s">
        <v>1035</v>
      </c>
      <c r="C9656" s="84">
        <v>0.05</v>
      </c>
      <c r="D9656" s="84">
        <v>0.0</v>
      </c>
      <c r="E9656" s="84">
        <v>0.0</v>
      </c>
      <c r="F9656" s="76" t="s">
        <v>948</v>
      </c>
      <c r="G9656" s="83">
        <v>46118.0</v>
      </c>
      <c r="H9656" s="76" t="s">
        <v>962</v>
      </c>
    </row>
    <row r="9657">
      <c r="A9657" s="76" t="s">
        <v>34</v>
      </c>
      <c r="B9657" s="76" t="s">
        <v>1035</v>
      </c>
      <c r="C9657" s="84">
        <v>0.13</v>
      </c>
      <c r="D9657" s="84">
        <v>0.0</v>
      </c>
      <c r="E9657" s="84">
        <v>0.0</v>
      </c>
      <c r="F9657" s="76" t="s">
        <v>948</v>
      </c>
      <c r="G9657" s="83">
        <v>46118.0</v>
      </c>
      <c r="H9657" s="76" t="s">
        <v>951</v>
      </c>
    </row>
    <row r="9658">
      <c r="A9658" s="76" t="s">
        <v>34</v>
      </c>
      <c r="B9658" s="76" t="s">
        <v>1035</v>
      </c>
      <c r="C9658" s="84">
        <v>0.45</v>
      </c>
      <c r="D9658" s="84">
        <v>0.0</v>
      </c>
      <c r="E9658" s="84">
        <v>0.0</v>
      </c>
      <c r="F9658" s="76" t="s">
        <v>948</v>
      </c>
      <c r="G9658" s="83">
        <v>46118.0</v>
      </c>
      <c r="H9658" s="76" t="s">
        <v>952</v>
      </c>
    </row>
    <row r="9659">
      <c r="A9659" s="76" t="s">
        <v>34</v>
      </c>
      <c r="B9659" s="76" t="s">
        <v>1035</v>
      </c>
      <c r="C9659" s="84">
        <v>0.13</v>
      </c>
      <c r="D9659" s="84">
        <v>0.0</v>
      </c>
      <c r="E9659" s="84">
        <v>0.0</v>
      </c>
      <c r="F9659" s="76" t="s">
        <v>948</v>
      </c>
      <c r="G9659" s="83">
        <v>46118.0</v>
      </c>
      <c r="H9659" s="76" t="s">
        <v>953</v>
      </c>
    </row>
    <row r="9660">
      <c r="A9660" s="76" t="s">
        <v>29</v>
      </c>
      <c r="B9660" s="76" t="s">
        <v>1035</v>
      </c>
      <c r="C9660" s="84">
        <v>0.83</v>
      </c>
      <c r="D9660" s="84">
        <v>0.0</v>
      </c>
      <c r="E9660" s="84">
        <v>0.0</v>
      </c>
      <c r="F9660" s="76" t="s">
        <v>948</v>
      </c>
      <c r="G9660" s="83">
        <v>46118.0</v>
      </c>
      <c r="H9660" s="76" t="s">
        <v>971</v>
      </c>
    </row>
    <row r="9661">
      <c r="A9661" s="76" t="s">
        <v>29</v>
      </c>
      <c r="B9661" s="76" t="s">
        <v>1035</v>
      </c>
      <c r="C9661" s="84">
        <v>0.17</v>
      </c>
      <c r="D9661" s="84">
        <v>0.0</v>
      </c>
      <c r="E9661" s="84">
        <v>0.0</v>
      </c>
      <c r="F9661" s="76" t="s">
        <v>948</v>
      </c>
      <c r="G9661" s="83">
        <v>46118.0</v>
      </c>
      <c r="H9661" s="76" t="s">
        <v>972</v>
      </c>
    </row>
    <row r="9662">
      <c r="A9662" s="76" t="s">
        <v>29</v>
      </c>
      <c r="B9662" s="76" t="s">
        <v>1035</v>
      </c>
      <c r="C9662" s="84">
        <v>2.02</v>
      </c>
      <c r="D9662" s="84">
        <v>0.0</v>
      </c>
      <c r="E9662" s="84">
        <v>0.0</v>
      </c>
      <c r="F9662" s="76" t="s">
        <v>948</v>
      </c>
      <c r="G9662" s="83">
        <v>46118.0</v>
      </c>
      <c r="H9662" s="76" t="s">
        <v>973</v>
      </c>
    </row>
    <row r="9663">
      <c r="A9663" s="76" t="s">
        <v>34</v>
      </c>
      <c r="B9663" s="76" t="s">
        <v>1029</v>
      </c>
      <c r="C9663" s="84">
        <v>1.68</v>
      </c>
      <c r="D9663" s="84">
        <v>0.0</v>
      </c>
      <c r="E9663" s="84">
        <v>0.0</v>
      </c>
      <c r="F9663" s="76" t="s">
        <v>950</v>
      </c>
      <c r="G9663" s="83">
        <v>46119.0</v>
      </c>
      <c r="H9663" s="76" t="s">
        <v>951</v>
      </c>
    </row>
    <row r="9664">
      <c r="A9664" s="76" t="s">
        <v>34</v>
      </c>
      <c r="B9664" s="76" t="s">
        <v>1029</v>
      </c>
      <c r="C9664" s="84">
        <v>3.2</v>
      </c>
      <c r="D9664" s="84">
        <v>0.0</v>
      </c>
      <c r="E9664" s="84">
        <v>0.0</v>
      </c>
      <c r="F9664" s="76" t="s">
        <v>950</v>
      </c>
      <c r="G9664" s="83">
        <v>46119.0</v>
      </c>
      <c r="H9664" s="76" t="s">
        <v>952</v>
      </c>
    </row>
    <row r="9665">
      <c r="A9665" s="76" t="s">
        <v>34</v>
      </c>
      <c r="B9665" s="76" t="s">
        <v>1029</v>
      </c>
      <c r="C9665" s="84">
        <v>2.02</v>
      </c>
      <c r="D9665" s="84">
        <v>1.0</v>
      </c>
      <c r="E9665" s="84">
        <v>2.02</v>
      </c>
      <c r="F9665" s="76" t="s">
        <v>950</v>
      </c>
      <c r="G9665" s="83">
        <v>46119.0</v>
      </c>
      <c r="H9665" s="76" t="s">
        <v>953</v>
      </c>
    </row>
    <row r="9666">
      <c r="A9666" s="76" t="s">
        <v>46</v>
      </c>
      <c r="B9666" s="76" t="s">
        <v>1029</v>
      </c>
      <c r="C9666" s="84">
        <v>6.73</v>
      </c>
      <c r="D9666" s="84">
        <v>0.0</v>
      </c>
      <c r="E9666" s="84">
        <v>0.0</v>
      </c>
      <c r="F9666" s="76" t="s">
        <v>950</v>
      </c>
      <c r="G9666" s="83">
        <v>46119.0</v>
      </c>
      <c r="H9666" s="76" t="s">
        <v>960</v>
      </c>
    </row>
    <row r="9667">
      <c r="A9667" s="76" t="s">
        <v>46</v>
      </c>
      <c r="B9667" s="76" t="s">
        <v>1029</v>
      </c>
      <c r="C9667" s="84">
        <v>1.06</v>
      </c>
      <c r="D9667" s="84">
        <v>0.0</v>
      </c>
      <c r="E9667" s="84">
        <v>0.0</v>
      </c>
      <c r="F9667" s="76" t="s">
        <v>950</v>
      </c>
      <c r="G9667" s="83">
        <v>46119.0</v>
      </c>
      <c r="H9667" s="76" t="s">
        <v>961</v>
      </c>
    </row>
    <row r="9668">
      <c r="A9668" s="76" t="s">
        <v>46</v>
      </c>
      <c r="B9668" s="76" t="s">
        <v>1029</v>
      </c>
      <c r="C9668" s="84">
        <v>1.03</v>
      </c>
      <c r="D9668" s="84">
        <v>1.0</v>
      </c>
      <c r="E9668" s="84">
        <v>1.03</v>
      </c>
      <c r="F9668" s="76" t="s">
        <v>950</v>
      </c>
      <c r="G9668" s="83">
        <v>46119.0</v>
      </c>
      <c r="H9668" s="76" t="s">
        <v>962</v>
      </c>
    </row>
    <row r="9669">
      <c r="A9669" s="76" t="s">
        <v>29</v>
      </c>
      <c r="B9669" s="76" t="s">
        <v>1029</v>
      </c>
      <c r="C9669" s="84">
        <v>3.42</v>
      </c>
      <c r="D9669" s="84">
        <v>0.0</v>
      </c>
      <c r="E9669" s="84">
        <v>0.0</v>
      </c>
      <c r="F9669" s="76" t="s">
        <v>950</v>
      </c>
      <c r="G9669" s="83">
        <v>46119.0</v>
      </c>
      <c r="H9669" s="76" t="s">
        <v>971</v>
      </c>
    </row>
    <row r="9670">
      <c r="A9670" s="76" t="s">
        <v>29</v>
      </c>
      <c r="B9670" s="76" t="s">
        <v>1029</v>
      </c>
      <c r="C9670" s="84">
        <v>0.58</v>
      </c>
      <c r="D9670" s="84">
        <v>0.0</v>
      </c>
      <c r="E9670" s="84">
        <v>0.0</v>
      </c>
      <c r="F9670" s="76" t="s">
        <v>950</v>
      </c>
      <c r="G9670" s="83">
        <v>46119.0</v>
      </c>
      <c r="H9670" s="76" t="s">
        <v>972</v>
      </c>
    </row>
    <row r="9671">
      <c r="A9671" s="76" t="s">
        <v>29</v>
      </c>
      <c r="B9671" s="76" t="s">
        <v>1029</v>
      </c>
      <c r="C9671" s="84">
        <v>5.37</v>
      </c>
      <c r="D9671" s="84">
        <v>0.0</v>
      </c>
      <c r="E9671" s="84">
        <v>0.0</v>
      </c>
      <c r="F9671" s="76" t="s">
        <v>950</v>
      </c>
      <c r="G9671" s="83">
        <v>46119.0</v>
      </c>
      <c r="H9671" s="76" t="s">
        <v>973</v>
      </c>
    </row>
    <row r="9672">
      <c r="A9672" s="76" t="s">
        <v>33</v>
      </c>
      <c r="B9672" s="76" t="s">
        <v>1029</v>
      </c>
      <c r="C9672" s="84">
        <v>48.38</v>
      </c>
      <c r="D9672" s="84">
        <v>5.0</v>
      </c>
      <c r="E9672" s="84">
        <v>9.68</v>
      </c>
      <c r="F9672" s="76" t="s">
        <v>950</v>
      </c>
      <c r="G9672" s="83">
        <v>46119.0</v>
      </c>
      <c r="H9672" s="76" t="s">
        <v>957</v>
      </c>
    </row>
    <row r="9673">
      <c r="A9673" s="76" t="s">
        <v>33</v>
      </c>
      <c r="B9673" s="76" t="s">
        <v>1029</v>
      </c>
      <c r="C9673" s="84">
        <v>3.47</v>
      </c>
      <c r="D9673" s="84">
        <v>1.0</v>
      </c>
      <c r="E9673" s="84">
        <v>3.47</v>
      </c>
      <c r="F9673" s="76" t="s">
        <v>950</v>
      </c>
      <c r="G9673" s="83">
        <v>46119.0</v>
      </c>
      <c r="H9673" s="76" t="s">
        <v>958</v>
      </c>
    </row>
    <row r="9674">
      <c r="A9674" s="76" t="s">
        <v>33</v>
      </c>
      <c r="B9674" s="76" t="s">
        <v>1029</v>
      </c>
      <c r="C9674" s="84">
        <v>63.24</v>
      </c>
      <c r="D9674" s="84">
        <v>18.0</v>
      </c>
      <c r="E9674" s="84">
        <v>3.51</v>
      </c>
      <c r="F9674" s="76" t="s">
        <v>950</v>
      </c>
      <c r="G9674" s="83">
        <v>46119.0</v>
      </c>
      <c r="H9674" s="76" t="s">
        <v>959</v>
      </c>
    </row>
    <row r="9675">
      <c r="A9675" s="76" t="s">
        <v>970</v>
      </c>
      <c r="B9675" s="76" t="s">
        <v>1029</v>
      </c>
      <c r="C9675" s="84">
        <v>4.83</v>
      </c>
      <c r="D9675" s="84">
        <v>1.0</v>
      </c>
      <c r="E9675" s="84">
        <v>4.83</v>
      </c>
      <c r="F9675" s="76" t="s">
        <v>950</v>
      </c>
      <c r="G9675" s="83">
        <v>46119.0</v>
      </c>
      <c r="H9675" s="76" t="s">
        <v>971</v>
      </c>
    </row>
    <row r="9676">
      <c r="A9676" s="76" t="s">
        <v>970</v>
      </c>
      <c r="B9676" s="76" t="s">
        <v>1029</v>
      </c>
      <c r="C9676" s="84">
        <v>0.67</v>
      </c>
      <c r="D9676" s="84">
        <v>2.0</v>
      </c>
      <c r="E9676" s="84">
        <v>0.33</v>
      </c>
      <c r="F9676" s="76" t="s">
        <v>950</v>
      </c>
      <c r="G9676" s="83">
        <v>46119.0</v>
      </c>
      <c r="H9676" s="76" t="s">
        <v>972</v>
      </c>
    </row>
    <row r="9677">
      <c r="A9677" s="76" t="s">
        <v>970</v>
      </c>
      <c r="B9677" s="76" t="s">
        <v>1029</v>
      </c>
      <c r="C9677" s="84">
        <v>6.42</v>
      </c>
      <c r="D9677" s="84">
        <v>0.0</v>
      </c>
      <c r="E9677" s="84">
        <v>0.0</v>
      </c>
      <c r="F9677" s="76" t="s">
        <v>950</v>
      </c>
      <c r="G9677" s="83">
        <v>46119.0</v>
      </c>
      <c r="H9677" s="76" t="s">
        <v>973</v>
      </c>
    </row>
    <row r="9678">
      <c r="A9678" s="76" t="s">
        <v>43</v>
      </c>
      <c r="B9678" s="76" t="s">
        <v>1029</v>
      </c>
      <c r="C9678" s="84">
        <v>4.52</v>
      </c>
      <c r="D9678" s="84">
        <v>1.0</v>
      </c>
      <c r="E9678" s="84">
        <v>4.52</v>
      </c>
      <c r="F9678" s="76" t="s">
        <v>950</v>
      </c>
      <c r="G9678" s="83">
        <v>46119.0</v>
      </c>
      <c r="H9678" s="76" t="s">
        <v>963</v>
      </c>
    </row>
    <row r="9679">
      <c r="A9679" s="76" t="s">
        <v>43</v>
      </c>
      <c r="B9679" s="76" t="s">
        <v>1029</v>
      </c>
      <c r="C9679" s="84">
        <v>4.41</v>
      </c>
      <c r="D9679" s="84">
        <v>1.0</v>
      </c>
      <c r="E9679" s="84">
        <v>4.41</v>
      </c>
      <c r="F9679" s="76" t="s">
        <v>950</v>
      </c>
      <c r="G9679" s="83">
        <v>46119.0</v>
      </c>
      <c r="H9679" s="76" t="s">
        <v>964</v>
      </c>
    </row>
    <row r="9680">
      <c r="A9680" s="76" t="s">
        <v>43</v>
      </c>
      <c r="B9680" s="76" t="s">
        <v>1029</v>
      </c>
      <c r="C9680" s="84">
        <v>10.86</v>
      </c>
      <c r="D9680" s="84">
        <v>0.0</v>
      </c>
      <c r="E9680" s="84">
        <v>0.0</v>
      </c>
      <c r="F9680" s="76" t="s">
        <v>950</v>
      </c>
      <c r="G9680" s="83">
        <v>46119.0</v>
      </c>
      <c r="H9680" s="76" t="s">
        <v>965</v>
      </c>
    </row>
    <row r="9681">
      <c r="A9681" s="76" t="s">
        <v>966</v>
      </c>
      <c r="B9681" s="76" t="s">
        <v>1029</v>
      </c>
      <c r="C9681" s="84">
        <v>19.45</v>
      </c>
      <c r="D9681" s="84">
        <v>1.0</v>
      </c>
      <c r="E9681" s="84">
        <v>19.45</v>
      </c>
      <c r="F9681" s="76" t="s">
        <v>950</v>
      </c>
      <c r="G9681" s="83">
        <v>46119.0</v>
      </c>
      <c r="H9681" s="76" t="s">
        <v>967</v>
      </c>
    </row>
    <row r="9682">
      <c r="A9682" s="76" t="s">
        <v>966</v>
      </c>
      <c r="B9682" s="76" t="s">
        <v>1029</v>
      </c>
      <c r="C9682" s="84">
        <v>2.9</v>
      </c>
      <c r="D9682" s="84">
        <v>1.0</v>
      </c>
      <c r="E9682" s="84">
        <v>2.9</v>
      </c>
      <c r="F9682" s="76" t="s">
        <v>950</v>
      </c>
      <c r="G9682" s="83">
        <v>46119.0</v>
      </c>
      <c r="H9682" s="76" t="s">
        <v>968</v>
      </c>
    </row>
    <row r="9683">
      <c r="A9683" s="76" t="s">
        <v>966</v>
      </c>
      <c r="B9683" s="76" t="s">
        <v>1029</v>
      </c>
      <c r="C9683" s="84">
        <v>11.66</v>
      </c>
      <c r="D9683" s="84">
        <v>0.0</v>
      </c>
      <c r="E9683" s="84">
        <v>0.0</v>
      </c>
      <c r="F9683" s="76" t="s">
        <v>950</v>
      </c>
      <c r="G9683" s="83">
        <v>46119.0</v>
      </c>
      <c r="H9683" s="76" t="s">
        <v>969</v>
      </c>
    </row>
    <row r="9684">
      <c r="A9684" s="76" t="s">
        <v>36</v>
      </c>
      <c r="B9684" s="76" t="s">
        <v>1029</v>
      </c>
      <c r="C9684" s="84">
        <v>16.25</v>
      </c>
      <c r="D9684" s="84">
        <v>3.0</v>
      </c>
      <c r="E9684" s="84">
        <v>5.42</v>
      </c>
      <c r="F9684" s="76" t="s">
        <v>950</v>
      </c>
      <c r="G9684" s="83">
        <v>46119.0</v>
      </c>
      <c r="H9684" s="76" t="s">
        <v>926</v>
      </c>
    </row>
    <row r="9685">
      <c r="A9685" s="76" t="s">
        <v>36</v>
      </c>
      <c r="B9685" s="76" t="s">
        <v>1029</v>
      </c>
      <c r="C9685" s="84">
        <v>1.79</v>
      </c>
      <c r="D9685" s="84">
        <v>0.0</v>
      </c>
      <c r="E9685" s="84">
        <v>0.0</v>
      </c>
      <c r="F9685" s="76" t="s">
        <v>950</v>
      </c>
      <c r="G9685" s="83">
        <v>46119.0</v>
      </c>
      <c r="H9685" s="76" t="s">
        <v>927</v>
      </c>
    </row>
    <row r="9686">
      <c r="A9686" s="76" t="s">
        <v>36</v>
      </c>
      <c r="B9686" s="76" t="s">
        <v>1029</v>
      </c>
      <c r="C9686" s="84">
        <v>3.3</v>
      </c>
      <c r="D9686" s="84">
        <v>1.0</v>
      </c>
      <c r="E9686" s="84">
        <v>3.3</v>
      </c>
      <c r="F9686" s="76" t="s">
        <v>950</v>
      </c>
      <c r="G9686" s="83">
        <v>46119.0</v>
      </c>
      <c r="H9686" s="76" t="s">
        <v>928</v>
      </c>
    </row>
    <row r="9687">
      <c r="A9687" s="76" t="s">
        <v>40</v>
      </c>
      <c r="B9687" s="76" t="s">
        <v>1029</v>
      </c>
      <c r="C9687" s="84">
        <v>1.34</v>
      </c>
      <c r="D9687" s="84">
        <v>0.0</v>
      </c>
      <c r="E9687" s="84">
        <v>0.0</v>
      </c>
      <c r="F9687" s="76" t="s">
        <v>950</v>
      </c>
      <c r="G9687" s="83">
        <v>46119.0</v>
      </c>
      <c r="H9687" s="76" t="s">
        <v>954</v>
      </c>
    </row>
    <row r="9688">
      <c r="A9688" s="76" t="s">
        <v>40</v>
      </c>
      <c r="B9688" s="76" t="s">
        <v>1029</v>
      </c>
      <c r="C9688" s="84">
        <v>0.48</v>
      </c>
      <c r="D9688" s="84">
        <v>0.0</v>
      </c>
      <c r="E9688" s="84">
        <v>0.0</v>
      </c>
      <c r="F9688" s="76" t="s">
        <v>950</v>
      </c>
      <c r="G9688" s="83">
        <v>46119.0</v>
      </c>
      <c r="H9688" s="76" t="s">
        <v>955</v>
      </c>
    </row>
    <row r="9689">
      <c r="A9689" s="76" t="s">
        <v>40</v>
      </c>
      <c r="B9689" s="76" t="s">
        <v>1029</v>
      </c>
      <c r="C9689" s="84">
        <v>12.13</v>
      </c>
      <c r="D9689" s="84">
        <v>3.0</v>
      </c>
      <c r="E9689" s="84">
        <v>4.04</v>
      </c>
      <c r="F9689" s="76" t="s">
        <v>950</v>
      </c>
      <c r="G9689" s="83">
        <v>46119.0</v>
      </c>
      <c r="H9689" s="76" t="s">
        <v>956</v>
      </c>
    </row>
    <row r="9690">
      <c r="A9690" s="76" t="s">
        <v>966</v>
      </c>
      <c r="B9690" s="76" t="s">
        <v>1029</v>
      </c>
      <c r="C9690" s="84">
        <v>14.78</v>
      </c>
      <c r="D9690" s="84">
        <v>5.0</v>
      </c>
      <c r="E9690" s="84">
        <v>2.96</v>
      </c>
      <c r="F9690" s="76" t="s">
        <v>974</v>
      </c>
      <c r="G9690" s="83">
        <v>46119.0</v>
      </c>
      <c r="H9690" s="76" t="s">
        <v>967</v>
      </c>
    </row>
    <row r="9691">
      <c r="A9691" s="76" t="s">
        <v>966</v>
      </c>
      <c r="B9691" s="76" t="s">
        <v>1029</v>
      </c>
      <c r="C9691" s="84">
        <v>2.5</v>
      </c>
      <c r="D9691" s="84">
        <v>1.0</v>
      </c>
      <c r="E9691" s="84">
        <v>2.5</v>
      </c>
      <c r="F9691" s="76" t="s">
        <v>974</v>
      </c>
      <c r="G9691" s="83">
        <v>46119.0</v>
      </c>
      <c r="H9691" s="76" t="s">
        <v>968</v>
      </c>
    </row>
    <row r="9692">
      <c r="A9692" s="76" t="s">
        <v>966</v>
      </c>
      <c r="B9692" s="76" t="s">
        <v>1029</v>
      </c>
      <c r="C9692" s="84">
        <v>11.35</v>
      </c>
      <c r="D9692" s="84">
        <v>3.0</v>
      </c>
      <c r="E9692" s="84">
        <v>3.78</v>
      </c>
      <c r="F9692" s="76" t="s">
        <v>974</v>
      </c>
      <c r="G9692" s="83">
        <v>46119.0</v>
      </c>
      <c r="H9692" s="76" t="s">
        <v>969</v>
      </c>
    </row>
    <row r="9693">
      <c r="A9693" s="76" t="s">
        <v>43</v>
      </c>
      <c r="B9693" s="76" t="s">
        <v>1029</v>
      </c>
      <c r="C9693" s="84">
        <v>3.21</v>
      </c>
      <c r="D9693" s="84">
        <v>0.0</v>
      </c>
      <c r="E9693" s="84">
        <v>0.0</v>
      </c>
      <c r="F9693" s="76" t="s">
        <v>974</v>
      </c>
      <c r="G9693" s="83">
        <v>46119.0</v>
      </c>
      <c r="H9693" s="76" t="s">
        <v>963</v>
      </c>
    </row>
    <row r="9694">
      <c r="A9694" s="76" t="s">
        <v>43</v>
      </c>
      <c r="B9694" s="76" t="s">
        <v>1029</v>
      </c>
      <c r="C9694" s="84">
        <v>4.11</v>
      </c>
      <c r="D9694" s="84">
        <v>0.0</v>
      </c>
      <c r="E9694" s="84">
        <v>0.0</v>
      </c>
      <c r="F9694" s="76" t="s">
        <v>974</v>
      </c>
      <c r="G9694" s="83">
        <v>46119.0</v>
      </c>
      <c r="H9694" s="76" t="s">
        <v>964</v>
      </c>
    </row>
    <row r="9695">
      <c r="A9695" s="76" t="s">
        <v>43</v>
      </c>
      <c r="B9695" s="76" t="s">
        <v>1029</v>
      </c>
      <c r="C9695" s="84">
        <v>9.45</v>
      </c>
      <c r="D9695" s="84">
        <v>3.0</v>
      </c>
      <c r="E9695" s="84">
        <v>3.15</v>
      </c>
      <c r="F9695" s="76" t="s">
        <v>974</v>
      </c>
      <c r="G9695" s="83">
        <v>46119.0</v>
      </c>
      <c r="H9695" s="76" t="s">
        <v>965</v>
      </c>
    </row>
    <row r="9696">
      <c r="A9696" s="76" t="s">
        <v>36</v>
      </c>
      <c r="B9696" s="76" t="s">
        <v>1029</v>
      </c>
      <c r="C9696" s="84">
        <v>8.67</v>
      </c>
      <c r="D9696" s="84">
        <v>4.0</v>
      </c>
      <c r="E9696" s="84">
        <v>2.17</v>
      </c>
      <c r="F9696" s="76" t="s">
        <v>974</v>
      </c>
      <c r="G9696" s="83">
        <v>46119.0</v>
      </c>
      <c r="H9696" s="76" t="s">
        <v>926</v>
      </c>
    </row>
    <row r="9697">
      <c r="A9697" s="76" t="s">
        <v>36</v>
      </c>
      <c r="B9697" s="76" t="s">
        <v>1029</v>
      </c>
      <c r="C9697" s="84">
        <v>2.26</v>
      </c>
      <c r="D9697" s="84">
        <v>0.0</v>
      </c>
      <c r="E9697" s="84">
        <v>0.0</v>
      </c>
      <c r="F9697" s="76" t="s">
        <v>974</v>
      </c>
      <c r="G9697" s="83">
        <v>46119.0</v>
      </c>
      <c r="H9697" s="76" t="s">
        <v>927</v>
      </c>
    </row>
    <row r="9698">
      <c r="A9698" s="76" t="s">
        <v>36</v>
      </c>
      <c r="B9698" s="76" t="s">
        <v>1029</v>
      </c>
      <c r="C9698" s="84">
        <v>5.52</v>
      </c>
      <c r="D9698" s="84">
        <v>1.0</v>
      </c>
      <c r="E9698" s="84">
        <v>5.52</v>
      </c>
      <c r="F9698" s="76" t="s">
        <v>974</v>
      </c>
      <c r="G9698" s="83">
        <v>46119.0</v>
      </c>
      <c r="H9698" s="76" t="s">
        <v>928</v>
      </c>
    </row>
    <row r="9699">
      <c r="A9699" s="76" t="s">
        <v>33</v>
      </c>
      <c r="B9699" s="76" t="s">
        <v>1029</v>
      </c>
      <c r="C9699" s="84">
        <v>68.2</v>
      </c>
      <c r="D9699" s="84">
        <v>11.0</v>
      </c>
      <c r="E9699" s="84">
        <v>6.2</v>
      </c>
      <c r="F9699" s="76" t="s">
        <v>974</v>
      </c>
      <c r="G9699" s="83">
        <v>46119.0</v>
      </c>
      <c r="H9699" s="76" t="s">
        <v>957</v>
      </c>
    </row>
    <row r="9700">
      <c r="A9700" s="76" t="s">
        <v>33</v>
      </c>
      <c r="B9700" s="76" t="s">
        <v>1029</v>
      </c>
      <c r="C9700" s="84">
        <v>4.58</v>
      </c>
      <c r="D9700" s="84">
        <v>1.0</v>
      </c>
      <c r="E9700" s="84">
        <v>4.58</v>
      </c>
      <c r="F9700" s="76" t="s">
        <v>974</v>
      </c>
      <c r="G9700" s="83">
        <v>46119.0</v>
      </c>
      <c r="H9700" s="76" t="s">
        <v>958</v>
      </c>
    </row>
    <row r="9701">
      <c r="A9701" s="76" t="s">
        <v>33</v>
      </c>
      <c r="B9701" s="76" t="s">
        <v>1029</v>
      </c>
      <c r="C9701" s="84">
        <v>23.66</v>
      </c>
      <c r="D9701" s="84">
        <v>5.0</v>
      </c>
      <c r="E9701" s="84">
        <v>4.73</v>
      </c>
      <c r="F9701" s="76" t="s">
        <v>974</v>
      </c>
      <c r="G9701" s="83">
        <v>46119.0</v>
      </c>
      <c r="H9701" s="76" t="s">
        <v>959</v>
      </c>
    </row>
    <row r="9702">
      <c r="A9702" s="76" t="s">
        <v>29</v>
      </c>
      <c r="B9702" s="76" t="s">
        <v>1029</v>
      </c>
      <c r="C9702" s="84">
        <v>3.25</v>
      </c>
      <c r="D9702" s="84">
        <v>0.0</v>
      </c>
      <c r="E9702" s="84">
        <v>0.0</v>
      </c>
      <c r="F9702" s="76" t="s">
        <v>974</v>
      </c>
      <c r="G9702" s="83">
        <v>46119.0</v>
      </c>
      <c r="H9702" s="76" t="s">
        <v>971</v>
      </c>
    </row>
    <row r="9703">
      <c r="A9703" s="76" t="s">
        <v>29</v>
      </c>
      <c r="B9703" s="76" t="s">
        <v>1029</v>
      </c>
      <c r="C9703" s="84">
        <v>1.13</v>
      </c>
      <c r="D9703" s="84">
        <v>0.0</v>
      </c>
      <c r="E9703" s="84">
        <v>0.0</v>
      </c>
      <c r="F9703" s="76" t="s">
        <v>974</v>
      </c>
      <c r="G9703" s="83">
        <v>46119.0</v>
      </c>
      <c r="H9703" s="76" t="s">
        <v>972</v>
      </c>
    </row>
    <row r="9704">
      <c r="A9704" s="76" t="s">
        <v>29</v>
      </c>
      <c r="B9704" s="76" t="s">
        <v>1029</v>
      </c>
      <c r="C9704" s="84">
        <v>4.11</v>
      </c>
      <c r="D9704" s="84">
        <v>0.0</v>
      </c>
      <c r="E9704" s="84">
        <v>0.0</v>
      </c>
      <c r="F9704" s="76" t="s">
        <v>974</v>
      </c>
      <c r="G9704" s="83">
        <v>46119.0</v>
      </c>
      <c r="H9704" s="76" t="s">
        <v>973</v>
      </c>
    </row>
    <row r="9705">
      <c r="A9705" s="76" t="s">
        <v>46</v>
      </c>
      <c r="B9705" s="76" t="s">
        <v>1029</v>
      </c>
      <c r="C9705" s="84">
        <v>1.54</v>
      </c>
      <c r="D9705" s="84">
        <v>1.0</v>
      </c>
      <c r="E9705" s="84">
        <v>1.54</v>
      </c>
      <c r="F9705" s="76" t="s">
        <v>974</v>
      </c>
      <c r="G9705" s="83">
        <v>46119.0</v>
      </c>
      <c r="H9705" s="76" t="s">
        <v>960</v>
      </c>
    </row>
    <row r="9706">
      <c r="A9706" s="76" t="s">
        <v>46</v>
      </c>
      <c r="B9706" s="76" t="s">
        <v>1029</v>
      </c>
      <c r="C9706" s="84">
        <v>1.99</v>
      </c>
      <c r="D9706" s="84">
        <v>1.0</v>
      </c>
      <c r="E9706" s="84">
        <v>1.99</v>
      </c>
      <c r="F9706" s="76" t="s">
        <v>974</v>
      </c>
      <c r="G9706" s="83">
        <v>46119.0</v>
      </c>
      <c r="H9706" s="76" t="s">
        <v>961</v>
      </c>
    </row>
    <row r="9707">
      <c r="A9707" s="76" t="s">
        <v>46</v>
      </c>
      <c r="B9707" s="76" t="s">
        <v>1029</v>
      </c>
      <c r="C9707" s="84">
        <v>1.89</v>
      </c>
      <c r="D9707" s="84">
        <v>1.0</v>
      </c>
      <c r="E9707" s="84">
        <v>1.89</v>
      </c>
      <c r="F9707" s="76" t="s">
        <v>974</v>
      </c>
      <c r="G9707" s="83">
        <v>46119.0</v>
      </c>
      <c r="H9707" s="76" t="s">
        <v>962</v>
      </c>
    </row>
    <row r="9708">
      <c r="A9708" s="76" t="s">
        <v>34</v>
      </c>
      <c r="B9708" s="76" t="s">
        <v>1029</v>
      </c>
      <c r="C9708" s="84">
        <v>3.3</v>
      </c>
      <c r="D9708" s="84">
        <v>0.0</v>
      </c>
      <c r="E9708" s="84">
        <v>0.0</v>
      </c>
      <c r="F9708" s="76" t="s">
        <v>974</v>
      </c>
      <c r="G9708" s="83">
        <v>46119.0</v>
      </c>
      <c r="H9708" s="76" t="s">
        <v>951</v>
      </c>
    </row>
    <row r="9709">
      <c r="A9709" s="76" t="s">
        <v>34</v>
      </c>
      <c r="B9709" s="76" t="s">
        <v>1029</v>
      </c>
      <c r="C9709" s="84">
        <v>6.48</v>
      </c>
      <c r="D9709" s="84">
        <v>0.0</v>
      </c>
      <c r="E9709" s="84">
        <v>0.0</v>
      </c>
      <c r="F9709" s="76" t="s">
        <v>974</v>
      </c>
      <c r="G9709" s="83">
        <v>46119.0</v>
      </c>
      <c r="H9709" s="76" t="s">
        <v>952</v>
      </c>
    </row>
    <row r="9710">
      <c r="A9710" s="76" t="s">
        <v>34</v>
      </c>
      <c r="B9710" s="76" t="s">
        <v>1029</v>
      </c>
      <c r="C9710" s="84">
        <v>2.21</v>
      </c>
      <c r="D9710" s="84">
        <v>0.0</v>
      </c>
      <c r="E9710" s="84">
        <v>0.0</v>
      </c>
      <c r="F9710" s="76" t="s">
        <v>974</v>
      </c>
      <c r="G9710" s="83">
        <v>46119.0</v>
      </c>
      <c r="H9710" s="76" t="s">
        <v>953</v>
      </c>
    </row>
    <row r="9711">
      <c r="A9711" s="76" t="s">
        <v>970</v>
      </c>
      <c r="B9711" s="76" t="s">
        <v>1029</v>
      </c>
      <c r="C9711" s="84">
        <v>5.11</v>
      </c>
      <c r="D9711" s="84">
        <v>0.0</v>
      </c>
      <c r="E9711" s="84">
        <v>0.0</v>
      </c>
      <c r="F9711" s="76" t="s">
        <v>974</v>
      </c>
      <c r="G9711" s="83">
        <v>46119.0</v>
      </c>
      <c r="H9711" s="76" t="s">
        <v>971</v>
      </c>
    </row>
    <row r="9712">
      <c r="A9712" s="76" t="s">
        <v>970</v>
      </c>
      <c r="B9712" s="76" t="s">
        <v>1029</v>
      </c>
      <c r="C9712" s="84">
        <v>1.32</v>
      </c>
      <c r="D9712" s="84">
        <v>0.0</v>
      </c>
      <c r="E9712" s="84">
        <v>0.0</v>
      </c>
      <c r="F9712" s="76" t="s">
        <v>974</v>
      </c>
      <c r="G9712" s="83">
        <v>46119.0</v>
      </c>
      <c r="H9712" s="76" t="s">
        <v>972</v>
      </c>
    </row>
    <row r="9713">
      <c r="A9713" s="76" t="s">
        <v>970</v>
      </c>
      <c r="B9713" s="76" t="s">
        <v>1029</v>
      </c>
      <c r="C9713" s="84">
        <v>6.42</v>
      </c>
      <c r="D9713" s="84">
        <v>0.0</v>
      </c>
      <c r="E9713" s="84">
        <v>0.0</v>
      </c>
      <c r="F9713" s="76" t="s">
        <v>974</v>
      </c>
      <c r="G9713" s="83">
        <v>46119.0</v>
      </c>
      <c r="H9713" s="76" t="s">
        <v>973</v>
      </c>
    </row>
    <row r="9714">
      <c r="A9714" s="76" t="s">
        <v>40</v>
      </c>
      <c r="B9714" s="76" t="s">
        <v>1029</v>
      </c>
      <c r="C9714" s="84">
        <v>1.72</v>
      </c>
      <c r="D9714" s="84">
        <v>0.0</v>
      </c>
      <c r="E9714" s="84">
        <v>0.0</v>
      </c>
      <c r="F9714" s="76" t="s">
        <v>974</v>
      </c>
      <c r="G9714" s="83">
        <v>46119.0</v>
      </c>
      <c r="H9714" s="76" t="s">
        <v>954</v>
      </c>
    </row>
    <row r="9715">
      <c r="A9715" s="76" t="s">
        <v>40</v>
      </c>
      <c r="B9715" s="76" t="s">
        <v>1029</v>
      </c>
      <c r="C9715" s="84">
        <v>0.76</v>
      </c>
      <c r="D9715" s="84">
        <v>0.0</v>
      </c>
      <c r="E9715" s="84">
        <v>0.0</v>
      </c>
      <c r="F9715" s="76" t="s">
        <v>974</v>
      </c>
      <c r="G9715" s="83">
        <v>46119.0</v>
      </c>
      <c r="H9715" s="76" t="s">
        <v>955</v>
      </c>
    </row>
    <row r="9716">
      <c r="A9716" s="76" t="s">
        <v>40</v>
      </c>
      <c r="B9716" s="76" t="s">
        <v>1029</v>
      </c>
      <c r="C9716" s="84">
        <v>22.42</v>
      </c>
      <c r="D9716" s="84">
        <v>3.0</v>
      </c>
      <c r="E9716" s="84">
        <v>7.47</v>
      </c>
      <c r="F9716" s="76" t="s">
        <v>974</v>
      </c>
      <c r="G9716" s="83">
        <v>46119.0</v>
      </c>
      <c r="H9716" s="76" t="s">
        <v>956</v>
      </c>
    </row>
    <row r="9717">
      <c r="A9717" s="76" t="s">
        <v>29</v>
      </c>
      <c r="B9717" s="76" t="s">
        <v>1029</v>
      </c>
      <c r="C9717" s="84">
        <v>7.01</v>
      </c>
      <c r="D9717" s="84">
        <v>1.0</v>
      </c>
      <c r="E9717" s="84">
        <v>7.01</v>
      </c>
      <c r="F9717" s="76" t="s">
        <v>975</v>
      </c>
      <c r="G9717" s="83">
        <v>46119.0</v>
      </c>
      <c r="H9717" s="76" t="s">
        <v>971</v>
      </c>
    </row>
    <row r="9718">
      <c r="A9718" s="76" t="s">
        <v>29</v>
      </c>
      <c r="B9718" s="76" t="s">
        <v>1029</v>
      </c>
      <c r="C9718" s="84">
        <v>4.04</v>
      </c>
      <c r="D9718" s="84">
        <v>1.0</v>
      </c>
      <c r="E9718" s="84">
        <v>4.04</v>
      </c>
      <c r="F9718" s="76" t="s">
        <v>975</v>
      </c>
      <c r="G9718" s="83">
        <v>46119.0</v>
      </c>
      <c r="H9718" s="76" t="s">
        <v>972</v>
      </c>
    </row>
    <row r="9719">
      <c r="A9719" s="76" t="s">
        <v>29</v>
      </c>
      <c r="B9719" s="76" t="s">
        <v>1029</v>
      </c>
      <c r="C9719" s="84">
        <v>14.08</v>
      </c>
      <c r="D9719" s="84">
        <v>2.0</v>
      </c>
      <c r="E9719" s="84">
        <v>7.04</v>
      </c>
      <c r="F9719" s="76" t="s">
        <v>975</v>
      </c>
      <c r="G9719" s="83">
        <v>46119.0</v>
      </c>
      <c r="H9719" s="76" t="s">
        <v>973</v>
      </c>
    </row>
    <row r="9720">
      <c r="A9720" s="76" t="s">
        <v>46</v>
      </c>
      <c r="B9720" s="76" t="s">
        <v>1029</v>
      </c>
      <c r="C9720" s="84">
        <v>4.76</v>
      </c>
      <c r="D9720" s="84">
        <v>1.0</v>
      </c>
      <c r="E9720" s="84">
        <v>4.76</v>
      </c>
      <c r="F9720" s="76" t="s">
        <v>975</v>
      </c>
      <c r="G9720" s="83">
        <v>46119.0</v>
      </c>
      <c r="H9720" s="76" t="s">
        <v>960</v>
      </c>
    </row>
    <row r="9721">
      <c r="A9721" s="76" t="s">
        <v>46</v>
      </c>
      <c r="B9721" s="76" t="s">
        <v>1029</v>
      </c>
      <c r="C9721" s="84">
        <v>3.1</v>
      </c>
      <c r="D9721" s="84">
        <v>0.0</v>
      </c>
      <c r="E9721" s="84">
        <v>0.0</v>
      </c>
      <c r="F9721" s="76" t="s">
        <v>975</v>
      </c>
      <c r="G9721" s="83">
        <v>46119.0</v>
      </c>
      <c r="H9721" s="76" t="s">
        <v>961</v>
      </c>
    </row>
    <row r="9722">
      <c r="A9722" s="76" t="s">
        <v>46</v>
      </c>
      <c r="B9722" s="76" t="s">
        <v>1029</v>
      </c>
      <c r="C9722" s="84">
        <v>5.82</v>
      </c>
      <c r="D9722" s="84">
        <v>1.0</v>
      </c>
      <c r="E9722" s="84">
        <v>5.82</v>
      </c>
      <c r="F9722" s="76" t="s">
        <v>975</v>
      </c>
      <c r="G9722" s="83">
        <v>46119.0</v>
      </c>
      <c r="H9722" s="76" t="s">
        <v>962</v>
      </c>
    </row>
    <row r="9723">
      <c r="A9723" s="76" t="s">
        <v>36</v>
      </c>
      <c r="B9723" s="76" t="s">
        <v>1029</v>
      </c>
      <c r="C9723" s="84">
        <v>14.66</v>
      </c>
      <c r="D9723" s="84">
        <v>7.0</v>
      </c>
      <c r="E9723" s="84">
        <v>2.09</v>
      </c>
      <c r="F9723" s="76" t="s">
        <v>975</v>
      </c>
      <c r="G9723" s="83">
        <v>46119.0</v>
      </c>
      <c r="H9723" s="76" t="s">
        <v>926</v>
      </c>
    </row>
    <row r="9724">
      <c r="A9724" s="76" t="s">
        <v>36</v>
      </c>
      <c r="B9724" s="76" t="s">
        <v>1029</v>
      </c>
      <c r="C9724" s="84">
        <v>2.43</v>
      </c>
      <c r="D9724" s="84">
        <v>1.0</v>
      </c>
      <c r="E9724" s="84">
        <v>2.43</v>
      </c>
      <c r="F9724" s="76" t="s">
        <v>975</v>
      </c>
      <c r="G9724" s="83">
        <v>46119.0</v>
      </c>
      <c r="H9724" s="76" t="s">
        <v>927</v>
      </c>
    </row>
    <row r="9725">
      <c r="A9725" s="76" t="s">
        <v>36</v>
      </c>
      <c r="B9725" s="76" t="s">
        <v>1029</v>
      </c>
      <c r="C9725" s="84">
        <v>10.76</v>
      </c>
      <c r="D9725" s="84">
        <v>2.0</v>
      </c>
      <c r="E9725" s="84">
        <v>5.38</v>
      </c>
      <c r="F9725" s="76" t="s">
        <v>975</v>
      </c>
      <c r="G9725" s="83">
        <v>46119.0</v>
      </c>
      <c r="H9725" s="76" t="s">
        <v>928</v>
      </c>
    </row>
    <row r="9726">
      <c r="A9726" s="76" t="s">
        <v>43</v>
      </c>
      <c r="B9726" s="76" t="s">
        <v>1029</v>
      </c>
      <c r="C9726" s="84">
        <v>7.88</v>
      </c>
      <c r="D9726" s="84">
        <v>2.0</v>
      </c>
      <c r="E9726" s="84">
        <v>3.94</v>
      </c>
      <c r="F9726" s="76" t="s">
        <v>975</v>
      </c>
      <c r="G9726" s="83">
        <v>46119.0</v>
      </c>
      <c r="H9726" s="76" t="s">
        <v>963</v>
      </c>
    </row>
    <row r="9727">
      <c r="A9727" s="76" t="s">
        <v>43</v>
      </c>
      <c r="B9727" s="76" t="s">
        <v>1029</v>
      </c>
      <c r="C9727" s="84">
        <v>6.89</v>
      </c>
      <c r="D9727" s="84">
        <v>1.0</v>
      </c>
      <c r="E9727" s="84">
        <v>6.89</v>
      </c>
      <c r="F9727" s="76" t="s">
        <v>975</v>
      </c>
      <c r="G9727" s="83">
        <v>46119.0</v>
      </c>
      <c r="H9727" s="76" t="s">
        <v>964</v>
      </c>
    </row>
    <row r="9728">
      <c r="A9728" s="76" t="s">
        <v>43</v>
      </c>
      <c r="B9728" s="76" t="s">
        <v>1029</v>
      </c>
      <c r="C9728" s="84">
        <v>33.12</v>
      </c>
      <c r="D9728" s="84">
        <v>4.0</v>
      </c>
      <c r="E9728" s="84">
        <v>8.28</v>
      </c>
      <c r="F9728" s="76" t="s">
        <v>975</v>
      </c>
      <c r="G9728" s="83">
        <v>46119.0</v>
      </c>
      <c r="H9728" s="76" t="s">
        <v>965</v>
      </c>
    </row>
    <row r="9729">
      <c r="A9729" s="76" t="s">
        <v>34</v>
      </c>
      <c r="B9729" s="76" t="s">
        <v>1029</v>
      </c>
      <c r="C9729" s="84">
        <v>3.55</v>
      </c>
      <c r="D9729" s="84">
        <v>1.0</v>
      </c>
      <c r="E9729" s="84">
        <v>3.55</v>
      </c>
      <c r="F9729" s="76" t="s">
        <v>975</v>
      </c>
      <c r="G9729" s="83">
        <v>46119.0</v>
      </c>
      <c r="H9729" s="76" t="s">
        <v>951</v>
      </c>
    </row>
    <row r="9730">
      <c r="A9730" s="76" t="s">
        <v>34</v>
      </c>
      <c r="B9730" s="76" t="s">
        <v>1029</v>
      </c>
      <c r="C9730" s="84">
        <v>8.61</v>
      </c>
      <c r="D9730" s="84">
        <v>0.0</v>
      </c>
      <c r="E9730" s="84">
        <v>0.0</v>
      </c>
      <c r="F9730" s="76" t="s">
        <v>975</v>
      </c>
      <c r="G9730" s="83">
        <v>46119.0</v>
      </c>
      <c r="H9730" s="76" t="s">
        <v>952</v>
      </c>
    </row>
    <row r="9731">
      <c r="A9731" s="76" t="s">
        <v>34</v>
      </c>
      <c r="B9731" s="76" t="s">
        <v>1029</v>
      </c>
      <c r="C9731" s="84">
        <v>5.91</v>
      </c>
      <c r="D9731" s="84">
        <v>0.0</v>
      </c>
      <c r="E9731" s="84">
        <v>0.0</v>
      </c>
      <c r="F9731" s="76" t="s">
        <v>975</v>
      </c>
      <c r="G9731" s="83">
        <v>46119.0</v>
      </c>
      <c r="H9731" s="76" t="s">
        <v>953</v>
      </c>
    </row>
    <row r="9732">
      <c r="A9732" s="76" t="s">
        <v>40</v>
      </c>
      <c r="B9732" s="76" t="s">
        <v>1029</v>
      </c>
      <c r="C9732" s="84">
        <v>6.25</v>
      </c>
      <c r="D9732" s="84">
        <v>3.0</v>
      </c>
      <c r="E9732" s="84">
        <v>2.08</v>
      </c>
      <c r="F9732" s="76" t="s">
        <v>975</v>
      </c>
      <c r="G9732" s="83">
        <v>46119.0</v>
      </c>
      <c r="H9732" s="76" t="s">
        <v>954</v>
      </c>
    </row>
    <row r="9733">
      <c r="A9733" s="76" t="s">
        <v>40</v>
      </c>
      <c r="B9733" s="76" t="s">
        <v>1029</v>
      </c>
      <c r="C9733" s="84">
        <v>4.2</v>
      </c>
      <c r="D9733" s="84">
        <v>0.0</v>
      </c>
      <c r="E9733" s="84">
        <v>0.0</v>
      </c>
      <c r="F9733" s="76" t="s">
        <v>975</v>
      </c>
      <c r="G9733" s="83">
        <v>46119.0</v>
      </c>
      <c r="H9733" s="76" t="s">
        <v>955</v>
      </c>
    </row>
    <row r="9734">
      <c r="A9734" s="76" t="s">
        <v>40</v>
      </c>
      <c r="B9734" s="76" t="s">
        <v>1029</v>
      </c>
      <c r="C9734" s="84">
        <v>68.38</v>
      </c>
      <c r="D9734" s="84">
        <v>14.0</v>
      </c>
      <c r="E9734" s="84">
        <v>4.88</v>
      </c>
      <c r="F9734" s="76" t="s">
        <v>975</v>
      </c>
      <c r="G9734" s="83">
        <v>46119.0</v>
      </c>
      <c r="H9734" s="76" t="s">
        <v>956</v>
      </c>
    </row>
    <row r="9735">
      <c r="A9735" s="76" t="s">
        <v>970</v>
      </c>
      <c r="B9735" s="76" t="s">
        <v>1029</v>
      </c>
      <c r="C9735" s="84">
        <v>8.37</v>
      </c>
      <c r="D9735" s="84">
        <v>1.0</v>
      </c>
      <c r="E9735" s="84">
        <v>8.37</v>
      </c>
      <c r="F9735" s="76" t="s">
        <v>975</v>
      </c>
      <c r="G9735" s="83">
        <v>46119.0</v>
      </c>
      <c r="H9735" s="76" t="s">
        <v>971</v>
      </c>
    </row>
    <row r="9736">
      <c r="A9736" s="76" t="s">
        <v>970</v>
      </c>
      <c r="B9736" s="76" t="s">
        <v>1029</v>
      </c>
      <c r="C9736" s="84">
        <v>3.93</v>
      </c>
      <c r="D9736" s="84">
        <v>0.0</v>
      </c>
      <c r="E9736" s="84">
        <v>0.0</v>
      </c>
      <c r="F9736" s="76" t="s">
        <v>975</v>
      </c>
      <c r="G9736" s="83">
        <v>46119.0</v>
      </c>
      <c r="H9736" s="76" t="s">
        <v>972</v>
      </c>
    </row>
    <row r="9737">
      <c r="A9737" s="76" t="s">
        <v>970</v>
      </c>
      <c r="B9737" s="76" t="s">
        <v>1029</v>
      </c>
      <c r="C9737" s="84">
        <v>14.53</v>
      </c>
      <c r="D9737" s="84">
        <v>2.0</v>
      </c>
      <c r="E9737" s="84">
        <v>7.27</v>
      </c>
      <c r="F9737" s="76" t="s">
        <v>975</v>
      </c>
      <c r="G9737" s="83">
        <v>46119.0</v>
      </c>
      <c r="H9737" s="76" t="s">
        <v>973</v>
      </c>
    </row>
    <row r="9738">
      <c r="A9738" s="76" t="s">
        <v>966</v>
      </c>
      <c r="B9738" s="76" t="s">
        <v>1029</v>
      </c>
      <c r="C9738" s="84">
        <v>8.74</v>
      </c>
      <c r="D9738" s="84">
        <v>1.0</v>
      </c>
      <c r="E9738" s="84">
        <v>8.74</v>
      </c>
      <c r="F9738" s="76" t="s">
        <v>975</v>
      </c>
      <c r="G9738" s="83">
        <v>46119.0</v>
      </c>
      <c r="H9738" s="76" t="s">
        <v>967</v>
      </c>
    </row>
    <row r="9739">
      <c r="A9739" s="76" t="s">
        <v>966</v>
      </c>
      <c r="B9739" s="76" t="s">
        <v>1029</v>
      </c>
      <c r="C9739" s="84">
        <v>3.63</v>
      </c>
      <c r="D9739" s="84">
        <v>1.0</v>
      </c>
      <c r="E9739" s="84">
        <v>3.63</v>
      </c>
      <c r="F9739" s="76" t="s">
        <v>975</v>
      </c>
      <c r="G9739" s="83">
        <v>46119.0</v>
      </c>
      <c r="H9739" s="76" t="s">
        <v>968</v>
      </c>
    </row>
    <row r="9740">
      <c r="A9740" s="76" t="s">
        <v>966</v>
      </c>
      <c r="B9740" s="76" t="s">
        <v>1029</v>
      </c>
      <c r="C9740" s="84">
        <v>13.15</v>
      </c>
      <c r="D9740" s="84">
        <v>1.0</v>
      </c>
      <c r="E9740" s="84">
        <v>13.15</v>
      </c>
      <c r="F9740" s="76" t="s">
        <v>975</v>
      </c>
      <c r="G9740" s="83">
        <v>46119.0</v>
      </c>
      <c r="H9740" s="76" t="s">
        <v>969</v>
      </c>
    </row>
    <row r="9741">
      <c r="A9741" s="76" t="s">
        <v>33</v>
      </c>
      <c r="B9741" s="76" t="s">
        <v>1029</v>
      </c>
      <c r="C9741" s="84">
        <v>90.49</v>
      </c>
      <c r="D9741" s="84">
        <v>22.0</v>
      </c>
      <c r="E9741" s="84">
        <v>4.11</v>
      </c>
      <c r="F9741" s="76" t="s">
        <v>975</v>
      </c>
      <c r="G9741" s="83">
        <v>46119.0</v>
      </c>
      <c r="H9741" s="76" t="s">
        <v>957</v>
      </c>
    </row>
    <row r="9742">
      <c r="A9742" s="76" t="s">
        <v>33</v>
      </c>
      <c r="B9742" s="76" t="s">
        <v>1029</v>
      </c>
      <c r="C9742" s="84">
        <v>8.09</v>
      </c>
      <c r="D9742" s="84">
        <v>0.0</v>
      </c>
      <c r="E9742" s="84">
        <v>0.0</v>
      </c>
      <c r="F9742" s="76" t="s">
        <v>975</v>
      </c>
      <c r="G9742" s="83">
        <v>46119.0</v>
      </c>
      <c r="H9742" s="76" t="s">
        <v>958</v>
      </c>
    </row>
    <row r="9743">
      <c r="A9743" s="76" t="s">
        <v>33</v>
      </c>
      <c r="B9743" s="76" t="s">
        <v>1029</v>
      </c>
      <c r="C9743" s="84">
        <v>28.21</v>
      </c>
      <c r="D9743" s="84">
        <v>5.0</v>
      </c>
      <c r="E9743" s="84">
        <v>5.64</v>
      </c>
      <c r="F9743" s="76" t="s">
        <v>975</v>
      </c>
      <c r="G9743" s="83">
        <v>46119.0</v>
      </c>
      <c r="H9743" s="76" t="s">
        <v>959</v>
      </c>
    </row>
    <row r="9744">
      <c r="A9744" s="76" t="s">
        <v>36</v>
      </c>
      <c r="B9744" s="76" t="s">
        <v>1036</v>
      </c>
      <c r="C9744" s="84">
        <v>0.39</v>
      </c>
      <c r="D9744" s="84">
        <v>0.0</v>
      </c>
      <c r="E9744" s="84">
        <v>0.0</v>
      </c>
      <c r="F9744" s="76" t="s">
        <v>975</v>
      </c>
      <c r="G9744" s="83">
        <v>46119.0</v>
      </c>
      <c r="H9744" s="76" t="s">
        <v>926</v>
      </c>
    </row>
    <row r="9745">
      <c r="A9745" s="76" t="s">
        <v>36</v>
      </c>
      <c r="B9745" s="76" t="s">
        <v>1036</v>
      </c>
      <c r="C9745" s="84">
        <v>0.06</v>
      </c>
      <c r="D9745" s="84">
        <v>0.0</v>
      </c>
      <c r="E9745" s="84">
        <v>0.0</v>
      </c>
      <c r="F9745" s="76" t="s">
        <v>975</v>
      </c>
      <c r="G9745" s="83">
        <v>46119.0</v>
      </c>
      <c r="H9745" s="76" t="s">
        <v>927</v>
      </c>
    </row>
    <row r="9746">
      <c r="A9746" s="76" t="s">
        <v>36</v>
      </c>
      <c r="B9746" s="76" t="s">
        <v>1036</v>
      </c>
      <c r="C9746" s="84">
        <v>0.39</v>
      </c>
      <c r="D9746" s="84">
        <v>0.0</v>
      </c>
      <c r="E9746" s="84">
        <v>0.0</v>
      </c>
      <c r="F9746" s="76" t="s">
        <v>975</v>
      </c>
      <c r="G9746" s="83">
        <v>46119.0</v>
      </c>
      <c r="H9746" s="76" t="s">
        <v>928</v>
      </c>
    </row>
    <row r="9747">
      <c r="A9747" s="76" t="s">
        <v>50</v>
      </c>
      <c r="B9747" s="76" t="s">
        <v>1036</v>
      </c>
      <c r="C9747" s="84">
        <v>0.23</v>
      </c>
      <c r="D9747" s="84">
        <v>0.0</v>
      </c>
      <c r="E9747" s="84">
        <v>0.0</v>
      </c>
      <c r="F9747" s="76" t="s">
        <v>975</v>
      </c>
      <c r="G9747" s="83">
        <v>46119.0</v>
      </c>
      <c r="H9747" s="76" t="s">
        <v>939</v>
      </c>
    </row>
    <row r="9748">
      <c r="A9748" s="76" t="s">
        <v>50</v>
      </c>
      <c r="B9748" s="76" t="s">
        <v>1036</v>
      </c>
      <c r="C9748" s="84">
        <v>0.09</v>
      </c>
      <c r="D9748" s="84">
        <v>0.0</v>
      </c>
      <c r="E9748" s="84">
        <v>0.0</v>
      </c>
      <c r="F9748" s="76" t="s">
        <v>975</v>
      </c>
      <c r="G9748" s="83">
        <v>46119.0</v>
      </c>
      <c r="H9748" s="76" t="s">
        <v>940</v>
      </c>
    </row>
    <row r="9749">
      <c r="A9749" s="76" t="s">
        <v>944</v>
      </c>
      <c r="B9749" s="76" t="s">
        <v>1036</v>
      </c>
      <c r="C9749" s="84">
        <v>0.68</v>
      </c>
      <c r="D9749" s="84">
        <v>0.0</v>
      </c>
      <c r="E9749" s="84">
        <v>0.0</v>
      </c>
      <c r="F9749" s="76" t="s">
        <v>975</v>
      </c>
      <c r="G9749" s="83">
        <v>46119.0</v>
      </c>
      <c r="H9749" s="76" t="s">
        <v>945</v>
      </c>
    </row>
    <row r="9750">
      <c r="A9750" s="76" t="s">
        <v>944</v>
      </c>
      <c r="B9750" s="76" t="s">
        <v>1036</v>
      </c>
      <c r="C9750" s="84">
        <v>0.18</v>
      </c>
      <c r="D9750" s="84">
        <v>0.0</v>
      </c>
      <c r="E9750" s="84">
        <v>0.0</v>
      </c>
      <c r="F9750" s="76" t="s">
        <v>975</v>
      </c>
      <c r="G9750" s="83">
        <v>46119.0</v>
      </c>
      <c r="H9750" s="76" t="s">
        <v>946</v>
      </c>
    </row>
    <row r="9751">
      <c r="A9751" s="76" t="s">
        <v>944</v>
      </c>
      <c r="B9751" s="76" t="s">
        <v>1036</v>
      </c>
      <c r="C9751" s="84">
        <v>0.42</v>
      </c>
      <c r="D9751" s="84">
        <v>1.0</v>
      </c>
      <c r="E9751" s="84">
        <v>0.42</v>
      </c>
      <c r="F9751" s="76" t="s">
        <v>975</v>
      </c>
      <c r="G9751" s="83">
        <v>46119.0</v>
      </c>
      <c r="H9751" s="76" t="s">
        <v>947</v>
      </c>
    </row>
    <row r="9752">
      <c r="A9752" s="76" t="s">
        <v>26</v>
      </c>
      <c r="B9752" s="76" t="s">
        <v>1036</v>
      </c>
      <c r="C9752" s="84">
        <v>0.07</v>
      </c>
      <c r="D9752" s="84">
        <v>0.0</v>
      </c>
      <c r="E9752" s="84">
        <v>0.0</v>
      </c>
      <c r="F9752" s="76" t="s">
        <v>975</v>
      </c>
      <c r="G9752" s="83">
        <v>46119.0</v>
      </c>
      <c r="H9752" s="76" t="s">
        <v>1012</v>
      </c>
    </row>
    <row r="9753">
      <c r="A9753" s="76" t="s">
        <v>26</v>
      </c>
      <c r="B9753" s="76" t="s">
        <v>1036</v>
      </c>
      <c r="C9753" s="84">
        <v>0.1</v>
      </c>
      <c r="D9753" s="84">
        <v>0.0</v>
      </c>
      <c r="E9753" s="84">
        <v>0.0</v>
      </c>
      <c r="F9753" s="76" t="s">
        <v>975</v>
      </c>
      <c r="G9753" s="83">
        <v>46119.0</v>
      </c>
      <c r="H9753" s="76" t="s">
        <v>1013</v>
      </c>
    </row>
    <row r="9754">
      <c r="A9754" s="76" t="s">
        <v>26</v>
      </c>
      <c r="B9754" s="76" t="s">
        <v>1036</v>
      </c>
      <c r="C9754" s="84">
        <v>0.88</v>
      </c>
      <c r="D9754" s="84">
        <v>0.0</v>
      </c>
      <c r="E9754" s="84">
        <v>0.0</v>
      </c>
      <c r="F9754" s="76" t="s">
        <v>975</v>
      </c>
      <c r="G9754" s="83">
        <v>46119.0</v>
      </c>
      <c r="H9754" s="76" t="s">
        <v>1014</v>
      </c>
    </row>
    <row r="9755">
      <c r="A9755" s="76" t="s">
        <v>32</v>
      </c>
      <c r="B9755" s="76" t="s">
        <v>1036</v>
      </c>
      <c r="C9755" s="84">
        <v>1.57</v>
      </c>
      <c r="D9755" s="84">
        <v>0.0</v>
      </c>
      <c r="E9755" s="84">
        <v>0.0</v>
      </c>
      <c r="F9755" s="76" t="s">
        <v>975</v>
      </c>
      <c r="G9755" s="83">
        <v>46119.0</v>
      </c>
      <c r="H9755" s="76" t="s">
        <v>941</v>
      </c>
    </row>
    <row r="9756">
      <c r="A9756" s="76" t="s">
        <v>32</v>
      </c>
      <c r="B9756" s="76" t="s">
        <v>1036</v>
      </c>
      <c r="C9756" s="84">
        <v>0.2</v>
      </c>
      <c r="D9756" s="84">
        <v>1.0</v>
      </c>
      <c r="E9756" s="84">
        <v>0.2</v>
      </c>
      <c r="F9756" s="76" t="s">
        <v>975</v>
      </c>
      <c r="G9756" s="83">
        <v>46119.0</v>
      </c>
      <c r="H9756" s="76" t="s">
        <v>942</v>
      </c>
    </row>
    <row r="9757">
      <c r="A9757" s="76" t="s">
        <v>32</v>
      </c>
      <c r="B9757" s="76" t="s">
        <v>1036</v>
      </c>
      <c r="C9757" s="84">
        <v>0.41</v>
      </c>
      <c r="D9757" s="84">
        <v>0.0</v>
      </c>
      <c r="E9757" s="84">
        <v>0.0</v>
      </c>
      <c r="F9757" s="76" t="s">
        <v>975</v>
      </c>
      <c r="G9757" s="83">
        <v>46119.0</v>
      </c>
      <c r="H9757" s="76" t="s">
        <v>943</v>
      </c>
    </row>
    <row r="9758">
      <c r="A9758" s="76" t="s">
        <v>42</v>
      </c>
      <c r="B9758" s="76" t="s">
        <v>1036</v>
      </c>
      <c r="C9758" s="84">
        <v>0.4</v>
      </c>
      <c r="D9758" s="84">
        <v>0.0</v>
      </c>
      <c r="E9758" s="84">
        <v>0.0</v>
      </c>
      <c r="F9758" s="76" t="s">
        <v>975</v>
      </c>
      <c r="G9758" s="83">
        <v>46119.0</v>
      </c>
      <c r="H9758" s="76" t="s">
        <v>991</v>
      </c>
    </row>
    <row r="9759">
      <c r="A9759" s="76" t="s">
        <v>42</v>
      </c>
      <c r="B9759" s="76" t="s">
        <v>1036</v>
      </c>
      <c r="C9759" s="84">
        <v>0.24</v>
      </c>
      <c r="D9759" s="84">
        <v>0.0</v>
      </c>
      <c r="E9759" s="84">
        <v>0.0</v>
      </c>
      <c r="F9759" s="76" t="s">
        <v>975</v>
      </c>
      <c r="G9759" s="83">
        <v>46119.0</v>
      </c>
      <c r="H9759" s="76" t="s">
        <v>935</v>
      </c>
    </row>
    <row r="9760">
      <c r="A9760" s="76" t="s">
        <v>31</v>
      </c>
      <c r="B9760" s="76" t="s">
        <v>1036</v>
      </c>
      <c r="C9760" s="84">
        <v>0.32</v>
      </c>
      <c r="D9760" s="84">
        <v>0.0</v>
      </c>
      <c r="E9760" s="84">
        <v>0.0</v>
      </c>
      <c r="F9760" s="76" t="s">
        <v>975</v>
      </c>
      <c r="G9760" s="83">
        <v>46119.0</v>
      </c>
      <c r="H9760" s="76" t="s">
        <v>929</v>
      </c>
    </row>
    <row r="9761">
      <c r="A9761" s="76" t="s">
        <v>31</v>
      </c>
      <c r="B9761" s="76" t="s">
        <v>1036</v>
      </c>
      <c r="C9761" s="84">
        <v>4.84</v>
      </c>
      <c r="D9761" s="84">
        <v>0.0</v>
      </c>
      <c r="E9761" s="84">
        <v>0.0</v>
      </c>
      <c r="F9761" s="76" t="s">
        <v>975</v>
      </c>
      <c r="G9761" s="83">
        <v>46119.0</v>
      </c>
      <c r="H9761" s="76" t="s">
        <v>930</v>
      </c>
    </row>
    <row r="9762">
      <c r="A9762" s="76" t="s">
        <v>28</v>
      </c>
      <c r="B9762" s="76" t="s">
        <v>1036</v>
      </c>
      <c r="C9762" s="84">
        <v>0.04</v>
      </c>
      <c r="D9762" s="84">
        <v>0.0</v>
      </c>
      <c r="E9762" s="84">
        <v>0.0</v>
      </c>
      <c r="F9762" s="76" t="s">
        <v>975</v>
      </c>
      <c r="G9762" s="83">
        <v>46119.0</v>
      </c>
      <c r="H9762" s="76" t="s">
        <v>931</v>
      </c>
    </row>
    <row r="9763">
      <c r="A9763" s="76" t="s">
        <v>28</v>
      </c>
      <c r="B9763" s="76" t="s">
        <v>1036</v>
      </c>
      <c r="C9763" s="84">
        <v>0.04</v>
      </c>
      <c r="D9763" s="84">
        <v>0.0</v>
      </c>
      <c r="E9763" s="84">
        <v>0.0</v>
      </c>
      <c r="F9763" s="76" t="s">
        <v>975</v>
      </c>
      <c r="G9763" s="83">
        <v>46119.0</v>
      </c>
      <c r="H9763" s="76" t="s">
        <v>932</v>
      </c>
    </row>
    <row r="9764">
      <c r="A9764" s="76" t="s">
        <v>28</v>
      </c>
      <c r="B9764" s="76" t="s">
        <v>1036</v>
      </c>
      <c r="C9764" s="84">
        <v>2.11</v>
      </c>
      <c r="D9764" s="84">
        <v>0.0</v>
      </c>
      <c r="E9764" s="84">
        <v>0.0</v>
      </c>
      <c r="F9764" s="76" t="s">
        <v>975</v>
      </c>
      <c r="G9764" s="83">
        <v>46119.0</v>
      </c>
      <c r="H9764" s="76" t="s">
        <v>933</v>
      </c>
    </row>
    <row r="9765">
      <c r="A9765" s="76" t="s">
        <v>45</v>
      </c>
      <c r="B9765" s="76" t="s">
        <v>1036</v>
      </c>
      <c r="C9765" s="84">
        <v>0.04</v>
      </c>
      <c r="D9765" s="84">
        <v>0.0</v>
      </c>
      <c r="E9765" s="84">
        <v>0.0</v>
      </c>
      <c r="F9765" s="76" t="s">
        <v>975</v>
      </c>
      <c r="G9765" s="83">
        <v>46119.0</v>
      </c>
      <c r="H9765" s="76" t="s">
        <v>936</v>
      </c>
    </row>
    <row r="9766">
      <c r="A9766" s="76" t="s">
        <v>45</v>
      </c>
      <c r="B9766" s="76" t="s">
        <v>1036</v>
      </c>
      <c r="C9766" s="84">
        <v>0.06</v>
      </c>
      <c r="D9766" s="84">
        <v>0.0</v>
      </c>
      <c r="E9766" s="84">
        <v>0.0</v>
      </c>
      <c r="F9766" s="76" t="s">
        <v>975</v>
      </c>
      <c r="G9766" s="83">
        <v>46119.0</v>
      </c>
      <c r="H9766" s="76" t="s">
        <v>937</v>
      </c>
    </row>
    <row r="9767">
      <c r="A9767" s="76" t="s">
        <v>45</v>
      </c>
      <c r="B9767" s="76" t="s">
        <v>1036</v>
      </c>
      <c r="C9767" s="84">
        <v>0.07</v>
      </c>
      <c r="D9767" s="84">
        <v>0.0</v>
      </c>
      <c r="E9767" s="84">
        <v>0.0</v>
      </c>
      <c r="F9767" s="76" t="s">
        <v>975</v>
      </c>
      <c r="G9767" s="83">
        <v>46119.0</v>
      </c>
      <c r="H9767" s="76" t="s">
        <v>938</v>
      </c>
    </row>
    <row r="9768">
      <c r="A9768" s="76" t="s">
        <v>45</v>
      </c>
      <c r="B9768" s="76" t="s">
        <v>1036</v>
      </c>
      <c r="C9768" s="84">
        <v>0.09</v>
      </c>
      <c r="D9768" s="84">
        <v>0.0</v>
      </c>
      <c r="E9768" s="84">
        <v>0.0</v>
      </c>
      <c r="F9768" s="76" t="s">
        <v>950</v>
      </c>
      <c r="G9768" s="83">
        <v>46119.0</v>
      </c>
      <c r="H9768" s="76" t="s">
        <v>936</v>
      </c>
    </row>
    <row r="9769">
      <c r="A9769" s="76" t="s">
        <v>45</v>
      </c>
      <c r="B9769" s="76" t="s">
        <v>1036</v>
      </c>
      <c r="C9769" s="84">
        <v>0.37</v>
      </c>
      <c r="D9769" s="84">
        <v>0.0</v>
      </c>
      <c r="E9769" s="84">
        <v>0.0</v>
      </c>
      <c r="F9769" s="76" t="s">
        <v>950</v>
      </c>
      <c r="G9769" s="83">
        <v>46119.0</v>
      </c>
      <c r="H9769" s="76" t="s">
        <v>937</v>
      </c>
    </row>
    <row r="9770">
      <c r="A9770" s="76" t="s">
        <v>45</v>
      </c>
      <c r="B9770" s="76" t="s">
        <v>1036</v>
      </c>
      <c r="C9770" s="84">
        <v>0.55</v>
      </c>
      <c r="D9770" s="84">
        <v>0.0</v>
      </c>
      <c r="E9770" s="84">
        <v>0.0</v>
      </c>
      <c r="F9770" s="76" t="s">
        <v>950</v>
      </c>
      <c r="G9770" s="83">
        <v>46119.0</v>
      </c>
      <c r="H9770" s="76" t="s">
        <v>938</v>
      </c>
    </row>
    <row r="9771">
      <c r="A9771" s="76" t="s">
        <v>28</v>
      </c>
      <c r="B9771" s="76" t="s">
        <v>1036</v>
      </c>
      <c r="C9771" s="84">
        <v>0.04</v>
      </c>
      <c r="D9771" s="84">
        <v>0.0</v>
      </c>
      <c r="E9771" s="84">
        <v>0.0</v>
      </c>
      <c r="F9771" s="76" t="s">
        <v>950</v>
      </c>
      <c r="G9771" s="83">
        <v>46119.0</v>
      </c>
      <c r="H9771" s="76" t="s">
        <v>931</v>
      </c>
    </row>
    <row r="9772">
      <c r="A9772" s="76" t="s">
        <v>28</v>
      </c>
      <c r="B9772" s="76" t="s">
        <v>1036</v>
      </c>
      <c r="C9772" s="84">
        <v>0.02</v>
      </c>
      <c r="D9772" s="84">
        <v>0.0</v>
      </c>
      <c r="E9772" s="84">
        <v>0.0</v>
      </c>
      <c r="F9772" s="76" t="s">
        <v>950</v>
      </c>
      <c r="G9772" s="83">
        <v>46119.0</v>
      </c>
      <c r="H9772" s="76" t="s">
        <v>932</v>
      </c>
    </row>
    <row r="9773">
      <c r="A9773" s="76" t="s">
        <v>28</v>
      </c>
      <c r="B9773" s="76" t="s">
        <v>1036</v>
      </c>
      <c r="C9773" s="84">
        <v>0.53</v>
      </c>
      <c r="D9773" s="84">
        <v>0.0</v>
      </c>
      <c r="E9773" s="84">
        <v>0.0</v>
      </c>
      <c r="F9773" s="76" t="s">
        <v>950</v>
      </c>
      <c r="G9773" s="83">
        <v>46119.0</v>
      </c>
      <c r="H9773" s="76" t="s">
        <v>933</v>
      </c>
    </row>
    <row r="9774">
      <c r="A9774" s="76" t="s">
        <v>42</v>
      </c>
      <c r="B9774" s="76" t="s">
        <v>1036</v>
      </c>
      <c r="C9774" s="84">
        <v>0.58</v>
      </c>
      <c r="D9774" s="84">
        <v>0.0</v>
      </c>
      <c r="E9774" s="84">
        <v>0.0</v>
      </c>
      <c r="F9774" s="76" t="s">
        <v>950</v>
      </c>
      <c r="G9774" s="83">
        <v>46119.0</v>
      </c>
      <c r="H9774" s="76" t="s">
        <v>991</v>
      </c>
    </row>
    <row r="9775">
      <c r="A9775" s="76" t="s">
        <v>42</v>
      </c>
      <c r="B9775" s="76" t="s">
        <v>1036</v>
      </c>
      <c r="C9775" s="84">
        <v>0.07</v>
      </c>
      <c r="D9775" s="84">
        <v>0.0</v>
      </c>
      <c r="E9775" s="84">
        <v>0.0</v>
      </c>
      <c r="F9775" s="76" t="s">
        <v>950</v>
      </c>
      <c r="G9775" s="83">
        <v>46119.0</v>
      </c>
      <c r="H9775" s="76" t="s">
        <v>935</v>
      </c>
    </row>
    <row r="9776">
      <c r="A9776" s="76" t="s">
        <v>36</v>
      </c>
      <c r="B9776" s="76" t="s">
        <v>1036</v>
      </c>
      <c r="C9776" s="84">
        <v>0.94</v>
      </c>
      <c r="D9776" s="84">
        <v>0.0</v>
      </c>
      <c r="E9776" s="84">
        <v>0.0</v>
      </c>
      <c r="F9776" s="76" t="s">
        <v>950</v>
      </c>
      <c r="G9776" s="83">
        <v>46119.0</v>
      </c>
      <c r="H9776" s="76" t="s">
        <v>926</v>
      </c>
    </row>
    <row r="9777">
      <c r="A9777" s="76" t="s">
        <v>36</v>
      </c>
      <c r="B9777" s="76" t="s">
        <v>1036</v>
      </c>
      <c r="C9777" s="84">
        <v>0.06</v>
      </c>
      <c r="D9777" s="84">
        <v>0.0</v>
      </c>
      <c r="E9777" s="84">
        <v>0.0</v>
      </c>
      <c r="F9777" s="76" t="s">
        <v>950</v>
      </c>
      <c r="G9777" s="83">
        <v>46119.0</v>
      </c>
      <c r="H9777" s="76" t="s">
        <v>927</v>
      </c>
    </row>
    <row r="9778">
      <c r="A9778" s="76" t="s">
        <v>36</v>
      </c>
      <c r="B9778" s="76" t="s">
        <v>1036</v>
      </c>
      <c r="C9778" s="84">
        <v>0.49</v>
      </c>
      <c r="D9778" s="84">
        <v>0.0</v>
      </c>
      <c r="E9778" s="84">
        <v>0.0</v>
      </c>
      <c r="F9778" s="76" t="s">
        <v>950</v>
      </c>
      <c r="G9778" s="83">
        <v>46119.0</v>
      </c>
      <c r="H9778" s="76" t="s">
        <v>928</v>
      </c>
    </row>
    <row r="9779">
      <c r="A9779" s="76" t="s">
        <v>31</v>
      </c>
      <c r="B9779" s="76" t="s">
        <v>1036</v>
      </c>
      <c r="C9779" s="84">
        <v>0.27</v>
      </c>
      <c r="D9779" s="84">
        <v>0.0</v>
      </c>
      <c r="E9779" s="84">
        <v>0.0</v>
      </c>
      <c r="F9779" s="76" t="s">
        <v>950</v>
      </c>
      <c r="G9779" s="83">
        <v>46119.0</v>
      </c>
      <c r="H9779" s="76" t="s">
        <v>929</v>
      </c>
    </row>
    <row r="9780">
      <c r="A9780" s="76" t="s">
        <v>31</v>
      </c>
      <c r="B9780" s="76" t="s">
        <v>1036</v>
      </c>
      <c r="C9780" s="84">
        <v>9.65</v>
      </c>
      <c r="D9780" s="84">
        <v>4.0</v>
      </c>
      <c r="E9780" s="84">
        <v>2.41</v>
      </c>
      <c r="F9780" s="76" t="s">
        <v>950</v>
      </c>
      <c r="G9780" s="83">
        <v>46119.0</v>
      </c>
      <c r="H9780" s="76" t="s">
        <v>930</v>
      </c>
    </row>
    <row r="9781">
      <c r="A9781" s="76" t="s">
        <v>50</v>
      </c>
      <c r="B9781" s="76" t="s">
        <v>1036</v>
      </c>
      <c r="C9781" s="84">
        <v>0.43</v>
      </c>
      <c r="D9781" s="84">
        <v>0.0</v>
      </c>
      <c r="E9781" s="84">
        <v>0.0</v>
      </c>
      <c r="F9781" s="76" t="s">
        <v>950</v>
      </c>
      <c r="G9781" s="83">
        <v>46119.0</v>
      </c>
      <c r="H9781" s="76" t="s">
        <v>939</v>
      </c>
    </row>
    <row r="9782">
      <c r="A9782" s="76" t="s">
        <v>50</v>
      </c>
      <c r="B9782" s="76" t="s">
        <v>1036</v>
      </c>
      <c r="C9782" s="84">
        <v>0.03</v>
      </c>
      <c r="D9782" s="84">
        <v>0.0</v>
      </c>
      <c r="E9782" s="84">
        <v>0.0</v>
      </c>
      <c r="F9782" s="76" t="s">
        <v>950</v>
      </c>
      <c r="G9782" s="83">
        <v>46119.0</v>
      </c>
      <c r="H9782" s="76" t="s">
        <v>940</v>
      </c>
    </row>
    <row r="9783">
      <c r="A9783" s="76" t="s">
        <v>26</v>
      </c>
      <c r="B9783" s="76" t="s">
        <v>1036</v>
      </c>
      <c r="C9783" s="84">
        <v>0.06</v>
      </c>
      <c r="D9783" s="84">
        <v>0.0</v>
      </c>
      <c r="E9783" s="84">
        <v>0.0</v>
      </c>
      <c r="F9783" s="76" t="s">
        <v>950</v>
      </c>
      <c r="G9783" s="83">
        <v>46119.0</v>
      </c>
      <c r="H9783" s="76" t="s">
        <v>1012</v>
      </c>
    </row>
    <row r="9784">
      <c r="A9784" s="76" t="s">
        <v>26</v>
      </c>
      <c r="B9784" s="76" t="s">
        <v>1036</v>
      </c>
      <c r="C9784" s="84">
        <v>0.03</v>
      </c>
      <c r="D9784" s="84">
        <v>0.0</v>
      </c>
      <c r="E9784" s="84">
        <v>0.0</v>
      </c>
      <c r="F9784" s="76" t="s">
        <v>950</v>
      </c>
      <c r="G9784" s="83">
        <v>46119.0</v>
      </c>
      <c r="H9784" s="76" t="s">
        <v>1013</v>
      </c>
    </row>
    <row r="9785">
      <c r="A9785" s="76" t="s">
        <v>26</v>
      </c>
      <c r="B9785" s="76" t="s">
        <v>1036</v>
      </c>
      <c r="C9785" s="84">
        <v>1.64</v>
      </c>
      <c r="D9785" s="84">
        <v>0.0</v>
      </c>
      <c r="E9785" s="84">
        <v>0.0</v>
      </c>
      <c r="F9785" s="76" t="s">
        <v>950</v>
      </c>
      <c r="G9785" s="83">
        <v>46119.0</v>
      </c>
      <c r="H9785" s="76" t="s">
        <v>1014</v>
      </c>
    </row>
    <row r="9786">
      <c r="A9786" s="76" t="s">
        <v>944</v>
      </c>
      <c r="B9786" s="76" t="s">
        <v>1036</v>
      </c>
      <c r="C9786" s="84">
        <v>0.51</v>
      </c>
      <c r="D9786" s="84">
        <v>0.0</v>
      </c>
      <c r="E9786" s="84">
        <v>0.0</v>
      </c>
      <c r="F9786" s="76" t="s">
        <v>950</v>
      </c>
      <c r="G9786" s="83">
        <v>46119.0</v>
      </c>
      <c r="H9786" s="76" t="s">
        <v>945</v>
      </c>
    </row>
    <row r="9787">
      <c r="A9787" s="76" t="s">
        <v>944</v>
      </c>
      <c r="B9787" s="76" t="s">
        <v>1036</v>
      </c>
      <c r="C9787" s="84">
        <v>0.24</v>
      </c>
      <c r="D9787" s="84">
        <v>0.0</v>
      </c>
      <c r="E9787" s="84">
        <v>0.0</v>
      </c>
      <c r="F9787" s="76" t="s">
        <v>950</v>
      </c>
      <c r="G9787" s="83">
        <v>46119.0</v>
      </c>
      <c r="H9787" s="76" t="s">
        <v>946</v>
      </c>
    </row>
    <row r="9788">
      <c r="A9788" s="76" t="s">
        <v>944</v>
      </c>
      <c r="B9788" s="76" t="s">
        <v>1036</v>
      </c>
      <c r="C9788" s="84">
        <v>0.43</v>
      </c>
      <c r="D9788" s="84">
        <v>0.0</v>
      </c>
      <c r="E9788" s="84">
        <v>0.0</v>
      </c>
      <c r="F9788" s="76" t="s">
        <v>950</v>
      </c>
      <c r="G9788" s="83">
        <v>46119.0</v>
      </c>
      <c r="H9788" s="76" t="s">
        <v>947</v>
      </c>
    </row>
    <row r="9789">
      <c r="A9789" s="76" t="s">
        <v>32</v>
      </c>
      <c r="B9789" s="76" t="s">
        <v>1036</v>
      </c>
      <c r="C9789" s="84">
        <v>3.35</v>
      </c>
      <c r="D9789" s="84">
        <v>2.0</v>
      </c>
      <c r="E9789" s="84">
        <v>1.67</v>
      </c>
      <c r="F9789" s="76" t="s">
        <v>950</v>
      </c>
      <c r="G9789" s="83">
        <v>46119.0</v>
      </c>
      <c r="H9789" s="76" t="s">
        <v>941</v>
      </c>
    </row>
    <row r="9790">
      <c r="A9790" s="76" t="s">
        <v>32</v>
      </c>
      <c r="B9790" s="76" t="s">
        <v>1036</v>
      </c>
      <c r="C9790" s="84">
        <v>0.08</v>
      </c>
      <c r="D9790" s="84">
        <v>0.0</v>
      </c>
      <c r="E9790" s="84">
        <v>0.0</v>
      </c>
      <c r="F9790" s="76" t="s">
        <v>950</v>
      </c>
      <c r="G9790" s="83">
        <v>46119.0</v>
      </c>
      <c r="H9790" s="76" t="s">
        <v>942</v>
      </c>
    </row>
    <row r="9791">
      <c r="A9791" s="76" t="s">
        <v>32</v>
      </c>
      <c r="B9791" s="76" t="s">
        <v>1036</v>
      </c>
      <c r="C9791" s="84">
        <v>0.22</v>
      </c>
      <c r="D9791" s="84">
        <v>0.0</v>
      </c>
      <c r="E9791" s="84">
        <v>0.0</v>
      </c>
      <c r="F9791" s="76" t="s">
        <v>950</v>
      </c>
      <c r="G9791" s="83">
        <v>46119.0</v>
      </c>
      <c r="H9791" s="76" t="s">
        <v>943</v>
      </c>
    </row>
    <row r="9792">
      <c r="A9792" s="76" t="s">
        <v>31</v>
      </c>
      <c r="B9792" s="76" t="s">
        <v>1036</v>
      </c>
      <c r="C9792" s="84">
        <v>0.32</v>
      </c>
      <c r="D9792" s="84">
        <v>0.0</v>
      </c>
      <c r="E9792" s="84">
        <v>0.0</v>
      </c>
      <c r="F9792" s="76" t="s">
        <v>974</v>
      </c>
      <c r="G9792" s="83">
        <v>46119.0</v>
      </c>
      <c r="H9792" s="76" t="s">
        <v>929</v>
      </c>
    </row>
    <row r="9793">
      <c r="A9793" s="76" t="s">
        <v>31</v>
      </c>
      <c r="B9793" s="76" t="s">
        <v>1036</v>
      </c>
      <c r="C9793" s="84">
        <v>7.26</v>
      </c>
      <c r="D9793" s="84">
        <v>0.0</v>
      </c>
      <c r="E9793" s="84">
        <v>0.0</v>
      </c>
      <c r="F9793" s="76" t="s">
        <v>974</v>
      </c>
      <c r="G9793" s="83">
        <v>46119.0</v>
      </c>
      <c r="H9793" s="76" t="s">
        <v>930</v>
      </c>
    </row>
    <row r="9794">
      <c r="A9794" s="76" t="s">
        <v>45</v>
      </c>
      <c r="B9794" s="76" t="s">
        <v>1036</v>
      </c>
      <c r="C9794" s="84">
        <v>0.08</v>
      </c>
      <c r="D9794" s="84">
        <v>0.0</v>
      </c>
      <c r="E9794" s="84">
        <v>0.0</v>
      </c>
      <c r="F9794" s="76" t="s">
        <v>974</v>
      </c>
      <c r="G9794" s="83">
        <v>46119.0</v>
      </c>
      <c r="H9794" s="76" t="s">
        <v>936</v>
      </c>
    </row>
    <row r="9795">
      <c r="A9795" s="76" t="s">
        <v>45</v>
      </c>
      <c r="B9795" s="76" t="s">
        <v>1036</v>
      </c>
      <c r="C9795" s="84">
        <v>0.41</v>
      </c>
      <c r="D9795" s="84">
        <v>0.0</v>
      </c>
      <c r="E9795" s="84">
        <v>0.0</v>
      </c>
      <c r="F9795" s="76" t="s">
        <v>974</v>
      </c>
      <c r="G9795" s="83">
        <v>46119.0</v>
      </c>
      <c r="H9795" s="76" t="s">
        <v>937</v>
      </c>
    </row>
    <row r="9796">
      <c r="A9796" s="76" t="s">
        <v>45</v>
      </c>
      <c r="B9796" s="76" t="s">
        <v>1036</v>
      </c>
      <c r="C9796" s="84">
        <v>14.71</v>
      </c>
      <c r="D9796" s="84">
        <v>0.0</v>
      </c>
      <c r="E9796" s="84">
        <v>0.0</v>
      </c>
      <c r="F9796" s="76" t="s">
        <v>974</v>
      </c>
      <c r="G9796" s="83">
        <v>46119.0</v>
      </c>
      <c r="H9796" s="76" t="s">
        <v>938</v>
      </c>
    </row>
    <row r="9797">
      <c r="A9797" s="76" t="s">
        <v>42</v>
      </c>
      <c r="B9797" s="76" t="s">
        <v>1036</v>
      </c>
      <c r="C9797" s="84">
        <v>0.45</v>
      </c>
      <c r="D9797" s="84">
        <v>0.0</v>
      </c>
      <c r="E9797" s="84">
        <v>0.0</v>
      </c>
      <c r="F9797" s="76" t="s">
        <v>974</v>
      </c>
      <c r="G9797" s="83">
        <v>46119.0</v>
      </c>
      <c r="H9797" s="76" t="s">
        <v>991</v>
      </c>
    </row>
    <row r="9798">
      <c r="A9798" s="76" t="s">
        <v>42</v>
      </c>
      <c r="B9798" s="76" t="s">
        <v>1036</v>
      </c>
      <c r="C9798" s="84">
        <v>0.42</v>
      </c>
      <c r="D9798" s="84">
        <v>0.0</v>
      </c>
      <c r="E9798" s="84">
        <v>0.0</v>
      </c>
      <c r="F9798" s="76" t="s">
        <v>974</v>
      </c>
      <c r="G9798" s="83">
        <v>46119.0</v>
      </c>
      <c r="H9798" s="76" t="s">
        <v>935</v>
      </c>
    </row>
    <row r="9799">
      <c r="A9799" s="76" t="s">
        <v>28</v>
      </c>
      <c r="B9799" s="76" t="s">
        <v>1036</v>
      </c>
      <c r="C9799" s="84">
        <v>0.26</v>
      </c>
      <c r="D9799" s="84">
        <v>0.0</v>
      </c>
      <c r="E9799" s="84">
        <v>0.0</v>
      </c>
      <c r="F9799" s="76" t="s">
        <v>974</v>
      </c>
      <c r="G9799" s="83">
        <v>46119.0</v>
      </c>
      <c r="H9799" s="76" t="s">
        <v>931</v>
      </c>
    </row>
    <row r="9800">
      <c r="A9800" s="76" t="s">
        <v>28</v>
      </c>
      <c r="B9800" s="76" t="s">
        <v>1036</v>
      </c>
      <c r="C9800" s="84">
        <v>0.12</v>
      </c>
      <c r="D9800" s="84">
        <v>0.0</v>
      </c>
      <c r="E9800" s="84">
        <v>0.0</v>
      </c>
      <c r="F9800" s="76" t="s">
        <v>974</v>
      </c>
      <c r="G9800" s="83">
        <v>46119.0</v>
      </c>
      <c r="H9800" s="76" t="s">
        <v>932</v>
      </c>
    </row>
    <row r="9801">
      <c r="A9801" s="76" t="s">
        <v>28</v>
      </c>
      <c r="B9801" s="76" t="s">
        <v>1036</v>
      </c>
      <c r="C9801" s="84">
        <v>2.25</v>
      </c>
      <c r="D9801" s="84">
        <v>0.0</v>
      </c>
      <c r="E9801" s="84">
        <v>0.0</v>
      </c>
      <c r="F9801" s="76" t="s">
        <v>974</v>
      </c>
      <c r="G9801" s="83">
        <v>46119.0</v>
      </c>
      <c r="H9801" s="76" t="s">
        <v>933</v>
      </c>
    </row>
    <row r="9802">
      <c r="A9802" s="76" t="s">
        <v>50</v>
      </c>
      <c r="B9802" s="76" t="s">
        <v>1036</v>
      </c>
      <c r="C9802" s="84">
        <v>0.47</v>
      </c>
      <c r="D9802" s="84">
        <v>0.0</v>
      </c>
      <c r="E9802" s="84">
        <v>0.0</v>
      </c>
      <c r="F9802" s="76" t="s">
        <v>974</v>
      </c>
      <c r="G9802" s="83">
        <v>46119.0</v>
      </c>
      <c r="H9802" s="76" t="s">
        <v>939</v>
      </c>
    </row>
    <row r="9803">
      <c r="A9803" s="76" t="s">
        <v>50</v>
      </c>
      <c r="B9803" s="76" t="s">
        <v>1036</v>
      </c>
      <c r="C9803" s="84">
        <v>0.13</v>
      </c>
      <c r="D9803" s="84">
        <v>0.0</v>
      </c>
      <c r="E9803" s="84">
        <v>0.0</v>
      </c>
      <c r="F9803" s="76" t="s">
        <v>974</v>
      </c>
      <c r="G9803" s="83">
        <v>46119.0</v>
      </c>
      <c r="H9803" s="76" t="s">
        <v>940</v>
      </c>
    </row>
    <row r="9804">
      <c r="A9804" s="76" t="s">
        <v>26</v>
      </c>
      <c r="B9804" s="76" t="s">
        <v>1036</v>
      </c>
      <c r="C9804" s="84">
        <v>0.15</v>
      </c>
      <c r="D9804" s="84">
        <v>0.0</v>
      </c>
      <c r="E9804" s="84">
        <v>0.0</v>
      </c>
      <c r="F9804" s="76" t="s">
        <v>974</v>
      </c>
      <c r="G9804" s="83">
        <v>46119.0</v>
      </c>
      <c r="H9804" s="76" t="s">
        <v>1012</v>
      </c>
    </row>
    <row r="9805">
      <c r="A9805" s="76" t="s">
        <v>26</v>
      </c>
      <c r="B9805" s="76" t="s">
        <v>1036</v>
      </c>
      <c r="C9805" s="84">
        <v>3.8</v>
      </c>
      <c r="D9805" s="84">
        <v>1.0</v>
      </c>
      <c r="E9805" s="84">
        <v>3.8</v>
      </c>
      <c r="F9805" s="76" t="s">
        <v>974</v>
      </c>
      <c r="G9805" s="83">
        <v>46119.0</v>
      </c>
      <c r="H9805" s="76" t="s">
        <v>1013</v>
      </c>
    </row>
    <row r="9806">
      <c r="A9806" s="76" t="s">
        <v>26</v>
      </c>
      <c r="B9806" s="76" t="s">
        <v>1036</v>
      </c>
      <c r="C9806" s="84">
        <v>1.23</v>
      </c>
      <c r="D9806" s="84">
        <v>1.0</v>
      </c>
      <c r="E9806" s="84">
        <v>1.23</v>
      </c>
      <c r="F9806" s="76" t="s">
        <v>974</v>
      </c>
      <c r="G9806" s="83">
        <v>46119.0</v>
      </c>
      <c r="H9806" s="76" t="s">
        <v>1014</v>
      </c>
    </row>
    <row r="9807">
      <c r="A9807" s="76" t="s">
        <v>944</v>
      </c>
      <c r="B9807" s="76" t="s">
        <v>1036</v>
      </c>
      <c r="C9807" s="84">
        <v>0.69</v>
      </c>
      <c r="D9807" s="84">
        <v>0.0</v>
      </c>
      <c r="E9807" s="84">
        <v>0.0</v>
      </c>
      <c r="F9807" s="76" t="s">
        <v>974</v>
      </c>
      <c r="G9807" s="83">
        <v>46119.0</v>
      </c>
      <c r="H9807" s="76" t="s">
        <v>945</v>
      </c>
    </row>
    <row r="9808">
      <c r="A9808" s="76" t="s">
        <v>944</v>
      </c>
      <c r="B9808" s="76" t="s">
        <v>1036</v>
      </c>
      <c r="C9808" s="84">
        <v>0.14</v>
      </c>
      <c r="D9808" s="84">
        <v>0.0</v>
      </c>
      <c r="E9808" s="84">
        <v>0.0</v>
      </c>
      <c r="F9808" s="76" t="s">
        <v>974</v>
      </c>
      <c r="G9808" s="83">
        <v>46119.0</v>
      </c>
      <c r="H9808" s="76" t="s">
        <v>946</v>
      </c>
    </row>
    <row r="9809">
      <c r="A9809" s="76" t="s">
        <v>944</v>
      </c>
      <c r="B9809" s="76" t="s">
        <v>1036</v>
      </c>
      <c r="C9809" s="84">
        <v>0.57</v>
      </c>
      <c r="D9809" s="84">
        <v>0.0</v>
      </c>
      <c r="E9809" s="84">
        <v>0.0</v>
      </c>
      <c r="F9809" s="76" t="s">
        <v>974</v>
      </c>
      <c r="G9809" s="83">
        <v>46119.0</v>
      </c>
      <c r="H9809" s="76" t="s">
        <v>947</v>
      </c>
    </row>
    <row r="9810">
      <c r="A9810" s="76" t="s">
        <v>36</v>
      </c>
      <c r="B9810" s="76" t="s">
        <v>1036</v>
      </c>
      <c r="C9810" s="84">
        <v>2.53</v>
      </c>
      <c r="D9810" s="84">
        <v>1.0</v>
      </c>
      <c r="E9810" s="84">
        <v>2.53</v>
      </c>
      <c r="F9810" s="76" t="s">
        <v>974</v>
      </c>
      <c r="G9810" s="83">
        <v>46119.0</v>
      </c>
      <c r="H9810" s="76" t="s">
        <v>926</v>
      </c>
    </row>
    <row r="9811">
      <c r="A9811" s="76" t="s">
        <v>36</v>
      </c>
      <c r="B9811" s="76" t="s">
        <v>1036</v>
      </c>
      <c r="C9811" s="84">
        <v>0.06</v>
      </c>
      <c r="D9811" s="84">
        <v>0.0</v>
      </c>
      <c r="E9811" s="84">
        <v>0.0</v>
      </c>
      <c r="F9811" s="76" t="s">
        <v>974</v>
      </c>
      <c r="G9811" s="83">
        <v>46119.0</v>
      </c>
      <c r="H9811" s="76" t="s">
        <v>927</v>
      </c>
    </row>
    <row r="9812">
      <c r="A9812" s="76" t="s">
        <v>36</v>
      </c>
      <c r="B9812" s="76" t="s">
        <v>1036</v>
      </c>
      <c r="C9812" s="84">
        <v>0.37</v>
      </c>
      <c r="D9812" s="84">
        <v>0.0</v>
      </c>
      <c r="E9812" s="84">
        <v>0.0</v>
      </c>
      <c r="F9812" s="76" t="s">
        <v>974</v>
      </c>
      <c r="G9812" s="83">
        <v>46119.0</v>
      </c>
      <c r="H9812" s="76" t="s">
        <v>928</v>
      </c>
    </row>
    <row r="9813">
      <c r="A9813" s="76" t="s">
        <v>32</v>
      </c>
      <c r="B9813" s="76" t="s">
        <v>1036</v>
      </c>
      <c r="C9813" s="84">
        <v>4.49</v>
      </c>
      <c r="D9813" s="84">
        <v>1.0</v>
      </c>
      <c r="E9813" s="84">
        <v>4.49</v>
      </c>
      <c r="F9813" s="76" t="s">
        <v>974</v>
      </c>
      <c r="G9813" s="83">
        <v>46119.0</v>
      </c>
      <c r="H9813" s="76" t="s">
        <v>941</v>
      </c>
    </row>
    <row r="9814">
      <c r="A9814" s="76" t="s">
        <v>32</v>
      </c>
      <c r="B9814" s="76" t="s">
        <v>1036</v>
      </c>
      <c r="C9814" s="84">
        <v>0.18</v>
      </c>
      <c r="D9814" s="84">
        <v>0.0</v>
      </c>
      <c r="E9814" s="84">
        <v>0.0</v>
      </c>
      <c r="F9814" s="76" t="s">
        <v>974</v>
      </c>
      <c r="G9814" s="83">
        <v>46119.0</v>
      </c>
      <c r="H9814" s="76" t="s">
        <v>942</v>
      </c>
    </row>
    <row r="9815">
      <c r="A9815" s="76" t="s">
        <v>32</v>
      </c>
      <c r="B9815" s="76" t="s">
        <v>1036</v>
      </c>
      <c r="C9815" s="84">
        <v>0.46</v>
      </c>
      <c r="D9815" s="84">
        <v>0.0</v>
      </c>
      <c r="E9815" s="84">
        <v>0.0</v>
      </c>
      <c r="F9815" s="76" t="s">
        <v>974</v>
      </c>
      <c r="G9815" s="83">
        <v>46119.0</v>
      </c>
      <c r="H9815" s="76" t="s">
        <v>943</v>
      </c>
    </row>
    <row r="9816">
      <c r="A9816" s="76" t="s">
        <v>42</v>
      </c>
      <c r="B9816" s="76" t="s">
        <v>1037</v>
      </c>
      <c r="C9816" s="84">
        <v>0.81</v>
      </c>
      <c r="D9816" s="84">
        <v>0.0</v>
      </c>
      <c r="E9816" s="84">
        <v>0.0</v>
      </c>
      <c r="F9816" s="76" t="s">
        <v>925</v>
      </c>
      <c r="G9816" s="83">
        <v>46119.0</v>
      </c>
      <c r="H9816" s="76" t="s">
        <v>991</v>
      </c>
    </row>
    <row r="9817">
      <c r="A9817" s="76" t="s">
        <v>42</v>
      </c>
      <c r="B9817" s="76" t="s">
        <v>1037</v>
      </c>
      <c r="C9817" s="84">
        <v>11.16</v>
      </c>
      <c r="D9817" s="84">
        <v>2.0</v>
      </c>
      <c r="E9817" s="84">
        <v>5.58</v>
      </c>
      <c r="F9817" s="76" t="s">
        <v>925</v>
      </c>
      <c r="G9817" s="83">
        <v>46119.0</v>
      </c>
      <c r="H9817" s="76" t="s">
        <v>935</v>
      </c>
    </row>
    <row r="9818">
      <c r="A9818" s="76" t="s">
        <v>36</v>
      </c>
      <c r="B9818" s="76" t="s">
        <v>1037</v>
      </c>
      <c r="C9818" s="84">
        <v>21.04</v>
      </c>
      <c r="D9818" s="84">
        <v>4.0</v>
      </c>
      <c r="E9818" s="84">
        <v>5.26</v>
      </c>
      <c r="F9818" s="76" t="s">
        <v>925</v>
      </c>
      <c r="G9818" s="83">
        <v>46119.0</v>
      </c>
      <c r="H9818" s="76" t="s">
        <v>926</v>
      </c>
    </row>
    <row r="9819">
      <c r="A9819" s="76" t="s">
        <v>36</v>
      </c>
      <c r="B9819" s="76" t="s">
        <v>1037</v>
      </c>
      <c r="C9819" s="84">
        <v>3.16</v>
      </c>
      <c r="D9819" s="84">
        <v>0.0</v>
      </c>
      <c r="E9819" s="84">
        <v>0.0</v>
      </c>
      <c r="F9819" s="76" t="s">
        <v>925</v>
      </c>
      <c r="G9819" s="83">
        <v>46119.0</v>
      </c>
      <c r="H9819" s="76" t="s">
        <v>927</v>
      </c>
    </row>
    <row r="9820">
      <c r="A9820" s="76" t="s">
        <v>36</v>
      </c>
      <c r="B9820" s="76" t="s">
        <v>1037</v>
      </c>
      <c r="C9820" s="84">
        <v>5.25</v>
      </c>
      <c r="D9820" s="84">
        <v>1.0</v>
      </c>
      <c r="E9820" s="84">
        <v>5.25</v>
      </c>
      <c r="F9820" s="76" t="s">
        <v>925</v>
      </c>
      <c r="G9820" s="83">
        <v>46119.0</v>
      </c>
      <c r="H9820" s="76" t="s">
        <v>928</v>
      </c>
    </row>
    <row r="9821">
      <c r="A9821" s="76" t="s">
        <v>32</v>
      </c>
      <c r="B9821" s="76" t="s">
        <v>1037</v>
      </c>
      <c r="C9821" s="84">
        <v>33.42</v>
      </c>
      <c r="D9821" s="84">
        <v>7.0</v>
      </c>
      <c r="E9821" s="84">
        <v>4.77</v>
      </c>
      <c r="F9821" s="76" t="s">
        <v>925</v>
      </c>
      <c r="G9821" s="83">
        <v>46119.0</v>
      </c>
      <c r="H9821" s="76" t="s">
        <v>941</v>
      </c>
    </row>
    <row r="9822">
      <c r="A9822" s="76" t="s">
        <v>32</v>
      </c>
      <c r="B9822" s="76" t="s">
        <v>1037</v>
      </c>
      <c r="C9822" s="84">
        <v>13.83</v>
      </c>
      <c r="D9822" s="84">
        <v>3.0</v>
      </c>
      <c r="E9822" s="84">
        <v>4.61</v>
      </c>
      <c r="F9822" s="76" t="s">
        <v>925</v>
      </c>
      <c r="G9822" s="83">
        <v>46119.0</v>
      </c>
      <c r="H9822" s="76" t="s">
        <v>942</v>
      </c>
    </row>
    <row r="9823">
      <c r="A9823" s="76" t="s">
        <v>32</v>
      </c>
      <c r="B9823" s="76" t="s">
        <v>1037</v>
      </c>
      <c r="C9823" s="84">
        <v>18.53</v>
      </c>
      <c r="D9823" s="84">
        <v>3.0</v>
      </c>
      <c r="E9823" s="84">
        <v>6.18</v>
      </c>
      <c r="F9823" s="76" t="s">
        <v>925</v>
      </c>
      <c r="G9823" s="83">
        <v>46119.0</v>
      </c>
      <c r="H9823" s="76" t="s">
        <v>943</v>
      </c>
    </row>
    <row r="9824">
      <c r="A9824" s="76" t="s">
        <v>944</v>
      </c>
      <c r="B9824" s="76" t="s">
        <v>1037</v>
      </c>
      <c r="C9824" s="84">
        <v>8.51</v>
      </c>
      <c r="D9824" s="84">
        <v>1.0</v>
      </c>
      <c r="E9824" s="84">
        <v>8.51</v>
      </c>
      <c r="F9824" s="76" t="s">
        <v>925</v>
      </c>
      <c r="G9824" s="83">
        <v>46119.0</v>
      </c>
      <c r="H9824" s="76" t="s">
        <v>945</v>
      </c>
    </row>
    <row r="9825">
      <c r="A9825" s="76" t="s">
        <v>944</v>
      </c>
      <c r="B9825" s="76" t="s">
        <v>1037</v>
      </c>
      <c r="C9825" s="84">
        <v>6.43</v>
      </c>
      <c r="D9825" s="84">
        <v>0.0</v>
      </c>
      <c r="E9825" s="84">
        <v>0.0</v>
      </c>
      <c r="F9825" s="76" t="s">
        <v>925</v>
      </c>
      <c r="G9825" s="83">
        <v>46119.0</v>
      </c>
      <c r="H9825" s="76" t="s">
        <v>946</v>
      </c>
    </row>
    <row r="9826">
      <c r="A9826" s="76" t="s">
        <v>944</v>
      </c>
      <c r="B9826" s="76" t="s">
        <v>1037</v>
      </c>
      <c r="C9826" s="84">
        <v>14.39</v>
      </c>
      <c r="D9826" s="84">
        <v>2.0</v>
      </c>
      <c r="E9826" s="84">
        <v>7.19</v>
      </c>
      <c r="F9826" s="76" t="s">
        <v>925</v>
      </c>
      <c r="G9826" s="83">
        <v>46119.0</v>
      </c>
      <c r="H9826" s="76" t="s">
        <v>947</v>
      </c>
    </row>
    <row r="9827">
      <c r="A9827" s="76" t="s">
        <v>31</v>
      </c>
      <c r="B9827" s="76" t="s">
        <v>1037</v>
      </c>
      <c r="C9827" s="84">
        <v>7.38</v>
      </c>
      <c r="D9827" s="84">
        <v>0.0</v>
      </c>
      <c r="E9827" s="84">
        <v>0.0</v>
      </c>
      <c r="F9827" s="76" t="s">
        <v>925</v>
      </c>
      <c r="G9827" s="83">
        <v>46119.0</v>
      </c>
      <c r="H9827" s="76" t="s">
        <v>929</v>
      </c>
    </row>
    <row r="9828">
      <c r="A9828" s="76" t="s">
        <v>31</v>
      </c>
      <c r="B9828" s="76" t="s">
        <v>1037</v>
      </c>
      <c r="C9828" s="84">
        <v>154.27</v>
      </c>
      <c r="D9828" s="84">
        <v>33.0</v>
      </c>
      <c r="E9828" s="84">
        <v>4.67</v>
      </c>
      <c r="F9828" s="76" t="s">
        <v>925</v>
      </c>
      <c r="G9828" s="83">
        <v>46119.0</v>
      </c>
      <c r="H9828" s="76" t="s">
        <v>930</v>
      </c>
    </row>
    <row r="9829">
      <c r="A9829" s="76" t="s">
        <v>45</v>
      </c>
      <c r="B9829" s="76" t="s">
        <v>1037</v>
      </c>
      <c r="C9829" s="84">
        <v>3.06</v>
      </c>
      <c r="D9829" s="84">
        <v>0.0</v>
      </c>
      <c r="E9829" s="84">
        <v>0.0</v>
      </c>
      <c r="F9829" s="76" t="s">
        <v>925</v>
      </c>
      <c r="G9829" s="83">
        <v>46119.0</v>
      </c>
      <c r="H9829" s="76" t="s">
        <v>936</v>
      </c>
    </row>
    <row r="9830">
      <c r="A9830" s="76" t="s">
        <v>45</v>
      </c>
      <c r="B9830" s="76" t="s">
        <v>1037</v>
      </c>
      <c r="C9830" s="84">
        <v>5.08</v>
      </c>
      <c r="D9830" s="84">
        <v>1.0</v>
      </c>
      <c r="E9830" s="84">
        <v>5.08</v>
      </c>
      <c r="F9830" s="76" t="s">
        <v>925</v>
      </c>
      <c r="G9830" s="83">
        <v>46119.0</v>
      </c>
      <c r="H9830" s="76" t="s">
        <v>937</v>
      </c>
    </row>
    <row r="9831">
      <c r="A9831" s="76" t="s">
        <v>45</v>
      </c>
      <c r="B9831" s="76" t="s">
        <v>1037</v>
      </c>
      <c r="C9831" s="84">
        <v>3.36</v>
      </c>
      <c r="D9831" s="84">
        <v>0.0</v>
      </c>
      <c r="E9831" s="84">
        <v>0.0</v>
      </c>
      <c r="F9831" s="76" t="s">
        <v>925</v>
      </c>
      <c r="G9831" s="83">
        <v>46119.0</v>
      </c>
      <c r="H9831" s="76" t="s">
        <v>938</v>
      </c>
    </row>
    <row r="9832">
      <c r="A9832" s="76" t="s">
        <v>26</v>
      </c>
      <c r="B9832" s="76" t="s">
        <v>1037</v>
      </c>
      <c r="C9832" s="84">
        <v>2.51</v>
      </c>
      <c r="D9832" s="84">
        <v>1.0</v>
      </c>
      <c r="E9832" s="84">
        <v>2.51</v>
      </c>
      <c r="F9832" s="76" t="s">
        <v>925</v>
      </c>
      <c r="G9832" s="83">
        <v>46119.0</v>
      </c>
      <c r="H9832" s="76" t="s">
        <v>1012</v>
      </c>
    </row>
    <row r="9833">
      <c r="A9833" s="76" t="s">
        <v>26</v>
      </c>
      <c r="B9833" s="76" t="s">
        <v>1037</v>
      </c>
      <c r="C9833" s="84">
        <v>3.5</v>
      </c>
      <c r="D9833" s="84">
        <v>2.0</v>
      </c>
      <c r="E9833" s="84">
        <v>1.75</v>
      </c>
      <c r="F9833" s="76" t="s">
        <v>925</v>
      </c>
      <c r="G9833" s="83">
        <v>46119.0</v>
      </c>
      <c r="H9833" s="76" t="s">
        <v>1013</v>
      </c>
    </row>
    <row r="9834">
      <c r="A9834" s="76" t="s">
        <v>26</v>
      </c>
      <c r="B9834" s="76" t="s">
        <v>1037</v>
      </c>
      <c r="C9834" s="84">
        <v>32.0</v>
      </c>
      <c r="D9834" s="84">
        <v>3.0</v>
      </c>
      <c r="E9834" s="84">
        <v>10.67</v>
      </c>
      <c r="F9834" s="76" t="s">
        <v>925</v>
      </c>
      <c r="G9834" s="83">
        <v>46119.0</v>
      </c>
      <c r="H9834" s="76" t="s">
        <v>1014</v>
      </c>
    </row>
    <row r="9835">
      <c r="A9835" s="76" t="s">
        <v>28</v>
      </c>
      <c r="B9835" s="76" t="s">
        <v>1037</v>
      </c>
      <c r="C9835" s="84">
        <v>4.17</v>
      </c>
      <c r="D9835" s="84">
        <v>1.0</v>
      </c>
      <c r="E9835" s="84">
        <v>4.17</v>
      </c>
      <c r="F9835" s="76" t="s">
        <v>925</v>
      </c>
      <c r="G9835" s="83">
        <v>46119.0</v>
      </c>
      <c r="H9835" s="76" t="s">
        <v>931</v>
      </c>
    </row>
    <row r="9836">
      <c r="A9836" s="76" t="s">
        <v>28</v>
      </c>
      <c r="B9836" s="76" t="s">
        <v>1037</v>
      </c>
      <c r="C9836" s="84">
        <v>3.38</v>
      </c>
      <c r="D9836" s="84">
        <v>1.0</v>
      </c>
      <c r="E9836" s="84">
        <v>3.38</v>
      </c>
      <c r="F9836" s="76" t="s">
        <v>925</v>
      </c>
      <c r="G9836" s="83">
        <v>46119.0</v>
      </c>
      <c r="H9836" s="76" t="s">
        <v>932</v>
      </c>
    </row>
    <row r="9837">
      <c r="A9837" s="76" t="s">
        <v>28</v>
      </c>
      <c r="B9837" s="76" t="s">
        <v>1037</v>
      </c>
      <c r="C9837" s="84">
        <v>90.79</v>
      </c>
      <c r="D9837" s="84">
        <v>14.0</v>
      </c>
      <c r="E9837" s="84">
        <v>6.49</v>
      </c>
      <c r="F9837" s="76" t="s">
        <v>925</v>
      </c>
      <c r="G9837" s="83">
        <v>46119.0</v>
      </c>
      <c r="H9837" s="76" t="s">
        <v>933</v>
      </c>
    </row>
    <row r="9838">
      <c r="A9838" s="76" t="s">
        <v>31</v>
      </c>
      <c r="B9838" s="76" t="s">
        <v>1037</v>
      </c>
      <c r="C9838" s="84">
        <v>9.4</v>
      </c>
      <c r="D9838" s="84">
        <v>1.0</v>
      </c>
      <c r="E9838" s="84">
        <v>9.4</v>
      </c>
      <c r="F9838" s="76" t="s">
        <v>948</v>
      </c>
      <c r="G9838" s="83">
        <v>46119.0</v>
      </c>
      <c r="H9838" s="76" t="s">
        <v>929</v>
      </c>
    </row>
    <row r="9839">
      <c r="A9839" s="76" t="s">
        <v>31</v>
      </c>
      <c r="B9839" s="76" t="s">
        <v>1037</v>
      </c>
      <c r="C9839" s="84">
        <v>452.61</v>
      </c>
      <c r="D9839" s="84">
        <v>133.0</v>
      </c>
      <c r="E9839" s="84">
        <v>3.4</v>
      </c>
      <c r="F9839" s="76" t="s">
        <v>948</v>
      </c>
      <c r="G9839" s="83">
        <v>46119.0</v>
      </c>
      <c r="H9839" s="76" t="s">
        <v>930</v>
      </c>
    </row>
    <row r="9840">
      <c r="A9840" s="76" t="s">
        <v>944</v>
      </c>
      <c r="B9840" s="76" t="s">
        <v>1037</v>
      </c>
      <c r="C9840" s="84">
        <v>19.0</v>
      </c>
      <c r="D9840" s="84">
        <v>7.0</v>
      </c>
      <c r="E9840" s="84">
        <v>2.71</v>
      </c>
      <c r="F9840" s="76" t="s">
        <v>948</v>
      </c>
      <c r="G9840" s="83">
        <v>46119.0</v>
      </c>
      <c r="H9840" s="76" t="s">
        <v>945</v>
      </c>
    </row>
    <row r="9841">
      <c r="A9841" s="76" t="s">
        <v>944</v>
      </c>
      <c r="B9841" s="76" t="s">
        <v>1037</v>
      </c>
      <c r="C9841" s="84">
        <v>14.94</v>
      </c>
      <c r="D9841" s="84">
        <v>4.0</v>
      </c>
      <c r="E9841" s="84">
        <v>3.73</v>
      </c>
      <c r="F9841" s="76" t="s">
        <v>948</v>
      </c>
      <c r="G9841" s="83">
        <v>46119.0</v>
      </c>
      <c r="H9841" s="76" t="s">
        <v>946</v>
      </c>
    </row>
    <row r="9842">
      <c r="A9842" s="76" t="s">
        <v>944</v>
      </c>
      <c r="B9842" s="76" t="s">
        <v>1037</v>
      </c>
      <c r="C9842" s="84">
        <v>32.41</v>
      </c>
      <c r="D9842" s="84">
        <v>10.0</v>
      </c>
      <c r="E9842" s="84">
        <v>3.24</v>
      </c>
      <c r="F9842" s="76" t="s">
        <v>948</v>
      </c>
      <c r="G9842" s="83">
        <v>46119.0</v>
      </c>
      <c r="H9842" s="76" t="s">
        <v>947</v>
      </c>
    </row>
    <row r="9843">
      <c r="A9843" s="76" t="s">
        <v>32</v>
      </c>
      <c r="B9843" s="76" t="s">
        <v>1037</v>
      </c>
      <c r="C9843" s="84">
        <v>150.67</v>
      </c>
      <c r="D9843" s="84">
        <v>31.0</v>
      </c>
      <c r="E9843" s="84">
        <v>4.86</v>
      </c>
      <c r="F9843" s="76" t="s">
        <v>948</v>
      </c>
      <c r="G9843" s="83">
        <v>46119.0</v>
      </c>
      <c r="H9843" s="76" t="s">
        <v>941</v>
      </c>
    </row>
    <row r="9844">
      <c r="A9844" s="76" t="s">
        <v>32</v>
      </c>
      <c r="B9844" s="76" t="s">
        <v>1037</v>
      </c>
      <c r="C9844" s="84">
        <v>49.23</v>
      </c>
      <c r="D9844" s="84">
        <v>11.0</v>
      </c>
      <c r="E9844" s="84">
        <v>4.48</v>
      </c>
      <c r="F9844" s="76" t="s">
        <v>948</v>
      </c>
      <c r="G9844" s="83">
        <v>46119.0</v>
      </c>
      <c r="H9844" s="76" t="s">
        <v>942</v>
      </c>
    </row>
    <row r="9845">
      <c r="A9845" s="76" t="s">
        <v>32</v>
      </c>
      <c r="B9845" s="76" t="s">
        <v>1037</v>
      </c>
      <c r="C9845" s="84">
        <v>47.81</v>
      </c>
      <c r="D9845" s="84">
        <v>12.0</v>
      </c>
      <c r="E9845" s="84">
        <v>3.98</v>
      </c>
      <c r="F9845" s="76" t="s">
        <v>948</v>
      </c>
      <c r="G9845" s="83">
        <v>46119.0</v>
      </c>
      <c r="H9845" s="76" t="s">
        <v>943</v>
      </c>
    </row>
    <row r="9846">
      <c r="A9846" s="76" t="s">
        <v>26</v>
      </c>
      <c r="B9846" s="76" t="s">
        <v>1037</v>
      </c>
      <c r="C9846" s="84">
        <v>4.24</v>
      </c>
      <c r="D9846" s="84">
        <v>2.0</v>
      </c>
      <c r="E9846" s="84">
        <v>2.12</v>
      </c>
      <c r="F9846" s="76" t="s">
        <v>948</v>
      </c>
      <c r="G9846" s="83">
        <v>46119.0</v>
      </c>
      <c r="H9846" s="76" t="s">
        <v>1012</v>
      </c>
    </row>
    <row r="9847">
      <c r="A9847" s="76" t="s">
        <v>26</v>
      </c>
      <c r="B9847" s="76" t="s">
        <v>1037</v>
      </c>
      <c r="C9847" s="84">
        <v>5.3</v>
      </c>
      <c r="D9847" s="84">
        <v>2.0</v>
      </c>
      <c r="E9847" s="84">
        <v>2.65</v>
      </c>
      <c r="F9847" s="76" t="s">
        <v>948</v>
      </c>
      <c r="G9847" s="83">
        <v>46119.0</v>
      </c>
      <c r="H9847" s="76" t="s">
        <v>1013</v>
      </c>
    </row>
    <row r="9848">
      <c r="A9848" s="76" t="s">
        <v>26</v>
      </c>
      <c r="B9848" s="76" t="s">
        <v>1037</v>
      </c>
      <c r="C9848" s="84">
        <v>55.51</v>
      </c>
      <c r="D9848" s="84">
        <v>10.0</v>
      </c>
      <c r="E9848" s="84">
        <v>5.55</v>
      </c>
      <c r="F9848" s="76" t="s">
        <v>948</v>
      </c>
      <c r="G9848" s="83">
        <v>46119.0</v>
      </c>
      <c r="H9848" s="76" t="s">
        <v>1014</v>
      </c>
    </row>
    <row r="9849">
      <c r="A9849" s="76" t="s">
        <v>36</v>
      </c>
      <c r="B9849" s="76" t="s">
        <v>1037</v>
      </c>
      <c r="C9849" s="84">
        <v>35.07</v>
      </c>
      <c r="D9849" s="84">
        <v>11.0</v>
      </c>
      <c r="E9849" s="84">
        <v>3.19</v>
      </c>
      <c r="F9849" s="76" t="s">
        <v>948</v>
      </c>
      <c r="G9849" s="83">
        <v>46119.0</v>
      </c>
      <c r="H9849" s="76" t="s">
        <v>926</v>
      </c>
    </row>
    <row r="9850">
      <c r="A9850" s="76" t="s">
        <v>36</v>
      </c>
      <c r="B9850" s="76" t="s">
        <v>1037</v>
      </c>
      <c r="C9850" s="84">
        <v>4.02</v>
      </c>
      <c r="D9850" s="84">
        <v>1.0</v>
      </c>
      <c r="E9850" s="84">
        <v>4.02</v>
      </c>
      <c r="F9850" s="76" t="s">
        <v>948</v>
      </c>
      <c r="G9850" s="83">
        <v>46119.0</v>
      </c>
      <c r="H9850" s="76" t="s">
        <v>927</v>
      </c>
    </row>
    <row r="9851">
      <c r="A9851" s="76" t="s">
        <v>36</v>
      </c>
      <c r="B9851" s="76" t="s">
        <v>1037</v>
      </c>
      <c r="C9851" s="84">
        <v>5.8</v>
      </c>
      <c r="D9851" s="84">
        <v>3.0</v>
      </c>
      <c r="E9851" s="84">
        <v>1.93</v>
      </c>
      <c r="F9851" s="76" t="s">
        <v>948</v>
      </c>
      <c r="G9851" s="83">
        <v>46119.0</v>
      </c>
      <c r="H9851" s="76" t="s">
        <v>928</v>
      </c>
    </row>
    <row r="9852">
      <c r="A9852" s="76" t="s">
        <v>28</v>
      </c>
      <c r="B9852" s="76" t="s">
        <v>1037</v>
      </c>
      <c r="C9852" s="84">
        <v>6.39</v>
      </c>
      <c r="D9852" s="84">
        <v>3.0</v>
      </c>
      <c r="E9852" s="84">
        <v>2.13</v>
      </c>
      <c r="F9852" s="76" t="s">
        <v>948</v>
      </c>
      <c r="G9852" s="83">
        <v>46119.0</v>
      </c>
      <c r="H9852" s="76" t="s">
        <v>931</v>
      </c>
    </row>
    <row r="9853">
      <c r="A9853" s="76" t="s">
        <v>28</v>
      </c>
      <c r="B9853" s="76" t="s">
        <v>1037</v>
      </c>
      <c r="C9853" s="84">
        <v>4.49</v>
      </c>
      <c r="D9853" s="84">
        <v>1.0</v>
      </c>
      <c r="E9853" s="84">
        <v>4.49</v>
      </c>
      <c r="F9853" s="76" t="s">
        <v>948</v>
      </c>
      <c r="G9853" s="83">
        <v>46119.0</v>
      </c>
      <c r="H9853" s="76" t="s">
        <v>932</v>
      </c>
    </row>
    <row r="9854">
      <c r="A9854" s="76" t="s">
        <v>28</v>
      </c>
      <c r="B9854" s="76" t="s">
        <v>1037</v>
      </c>
      <c r="C9854" s="84">
        <v>235.16</v>
      </c>
      <c r="D9854" s="84">
        <v>41.0</v>
      </c>
      <c r="E9854" s="84">
        <v>5.74</v>
      </c>
      <c r="F9854" s="76" t="s">
        <v>948</v>
      </c>
      <c r="G9854" s="83">
        <v>46119.0</v>
      </c>
      <c r="H9854" s="76" t="s">
        <v>933</v>
      </c>
    </row>
    <row r="9855">
      <c r="A9855" s="76" t="s">
        <v>45</v>
      </c>
      <c r="B9855" s="76" t="s">
        <v>1037</v>
      </c>
      <c r="C9855" s="84">
        <v>2.38</v>
      </c>
      <c r="D9855" s="84">
        <v>1.0</v>
      </c>
      <c r="E9855" s="84">
        <v>2.38</v>
      </c>
      <c r="F9855" s="76" t="s">
        <v>948</v>
      </c>
      <c r="G9855" s="83">
        <v>46119.0</v>
      </c>
      <c r="H9855" s="76" t="s">
        <v>936</v>
      </c>
    </row>
    <row r="9856">
      <c r="A9856" s="76" t="s">
        <v>45</v>
      </c>
      <c r="B9856" s="76" t="s">
        <v>1037</v>
      </c>
      <c r="C9856" s="84">
        <v>2.91</v>
      </c>
      <c r="D9856" s="84">
        <v>0.0</v>
      </c>
      <c r="E9856" s="84">
        <v>0.0</v>
      </c>
      <c r="F9856" s="76" t="s">
        <v>948</v>
      </c>
      <c r="G9856" s="83">
        <v>46119.0</v>
      </c>
      <c r="H9856" s="76" t="s">
        <v>937</v>
      </c>
    </row>
    <row r="9857">
      <c r="A9857" s="76" t="s">
        <v>45</v>
      </c>
      <c r="B9857" s="76" t="s">
        <v>1037</v>
      </c>
      <c r="C9857" s="84">
        <v>7.12</v>
      </c>
      <c r="D9857" s="84">
        <v>1.0</v>
      </c>
      <c r="E9857" s="84">
        <v>7.12</v>
      </c>
      <c r="F9857" s="76" t="s">
        <v>948</v>
      </c>
      <c r="G9857" s="83">
        <v>46119.0</v>
      </c>
      <c r="H9857" s="76" t="s">
        <v>938</v>
      </c>
    </row>
    <row r="9858">
      <c r="A9858" s="76" t="s">
        <v>42</v>
      </c>
      <c r="B9858" s="76" t="s">
        <v>1037</v>
      </c>
      <c r="C9858" s="84">
        <v>0.58</v>
      </c>
      <c r="D9858" s="84">
        <v>1.0</v>
      </c>
      <c r="E9858" s="84">
        <v>0.58</v>
      </c>
      <c r="F9858" s="76" t="s">
        <v>948</v>
      </c>
      <c r="G9858" s="83">
        <v>46119.0</v>
      </c>
      <c r="H9858" s="76" t="s">
        <v>991</v>
      </c>
    </row>
    <row r="9859">
      <c r="A9859" s="76" t="s">
        <v>42</v>
      </c>
      <c r="B9859" s="76" t="s">
        <v>1037</v>
      </c>
      <c r="C9859" s="84">
        <v>9.36</v>
      </c>
      <c r="D9859" s="84">
        <v>1.0</v>
      </c>
      <c r="E9859" s="84">
        <v>9.36</v>
      </c>
      <c r="F9859" s="76" t="s">
        <v>948</v>
      </c>
      <c r="G9859" s="83">
        <v>46119.0</v>
      </c>
      <c r="H9859" s="76" t="s">
        <v>935</v>
      </c>
    </row>
    <row r="9860">
      <c r="A9860" s="76" t="s">
        <v>33</v>
      </c>
      <c r="B9860" s="76" t="s">
        <v>1030</v>
      </c>
      <c r="C9860" s="84">
        <v>3.59</v>
      </c>
      <c r="D9860" s="84">
        <v>1.0</v>
      </c>
      <c r="E9860" s="84">
        <v>3.59</v>
      </c>
      <c r="F9860" s="76" t="s">
        <v>950</v>
      </c>
      <c r="G9860" s="83">
        <v>46119.0</v>
      </c>
      <c r="H9860" s="76" t="s">
        <v>957</v>
      </c>
    </row>
    <row r="9861">
      <c r="A9861" s="76" t="s">
        <v>33</v>
      </c>
      <c r="B9861" s="76" t="s">
        <v>1030</v>
      </c>
      <c r="C9861" s="84">
        <v>0.09</v>
      </c>
      <c r="D9861" s="84">
        <v>0.0</v>
      </c>
      <c r="E9861" s="84">
        <v>0.0</v>
      </c>
      <c r="F9861" s="76" t="s">
        <v>950</v>
      </c>
      <c r="G9861" s="83">
        <v>46119.0</v>
      </c>
      <c r="H9861" s="76" t="s">
        <v>958</v>
      </c>
    </row>
    <row r="9862">
      <c r="A9862" s="76" t="s">
        <v>33</v>
      </c>
      <c r="B9862" s="76" t="s">
        <v>1030</v>
      </c>
      <c r="C9862" s="84">
        <v>0.64</v>
      </c>
      <c r="D9862" s="84">
        <v>0.0</v>
      </c>
      <c r="E9862" s="84">
        <v>0.0</v>
      </c>
      <c r="F9862" s="76" t="s">
        <v>950</v>
      </c>
      <c r="G9862" s="83">
        <v>46119.0</v>
      </c>
      <c r="H9862" s="76" t="s">
        <v>959</v>
      </c>
    </row>
    <row r="9863">
      <c r="A9863" s="76" t="s">
        <v>43</v>
      </c>
      <c r="B9863" s="76" t="s">
        <v>1030</v>
      </c>
      <c r="C9863" s="84">
        <v>0.18</v>
      </c>
      <c r="D9863" s="84">
        <v>0.0</v>
      </c>
      <c r="E9863" s="84">
        <v>0.0</v>
      </c>
      <c r="F9863" s="76" t="s">
        <v>950</v>
      </c>
      <c r="G9863" s="83">
        <v>46119.0</v>
      </c>
      <c r="H9863" s="76" t="s">
        <v>963</v>
      </c>
    </row>
    <row r="9864">
      <c r="A9864" s="76" t="s">
        <v>43</v>
      </c>
      <c r="B9864" s="76" t="s">
        <v>1030</v>
      </c>
      <c r="C9864" s="84">
        <v>0.1</v>
      </c>
      <c r="D9864" s="84">
        <v>0.0</v>
      </c>
      <c r="E9864" s="84">
        <v>0.0</v>
      </c>
      <c r="F9864" s="76" t="s">
        <v>950</v>
      </c>
      <c r="G9864" s="83">
        <v>46119.0</v>
      </c>
      <c r="H9864" s="76" t="s">
        <v>964</v>
      </c>
    </row>
    <row r="9865">
      <c r="A9865" s="76" t="s">
        <v>43</v>
      </c>
      <c r="B9865" s="76" t="s">
        <v>1030</v>
      </c>
      <c r="C9865" s="84">
        <v>1.96</v>
      </c>
      <c r="D9865" s="84">
        <v>0.0</v>
      </c>
      <c r="E9865" s="84">
        <v>0.0</v>
      </c>
      <c r="F9865" s="76" t="s">
        <v>950</v>
      </c>
      <c r="G9865" s="83">
        <v>46119.0</v>
      </c>
      <c r="H9865" s="76" t="s">
        <v>965</v>
      </c>
    </row>
    <row r="9866">
      <c r="A9866" s="76" t="s">
        <v>40</v>
      </c>
      <c r="B9866" s="76" t="s">
        <v>1030</v>
      </c>
      <c r="C9866" s="84">
        <v>0.03</v>
      </c>
      <c r="D9866" s="84">
        <v>0.0</v>
      </c>
      <c r="E9866" s="84">
        <v>0.0</v>
      </c>
      <c r="F9866" s="76" t="s">
        <v>950</v>
      </c>
      <c r="G9866" s="83">
        <v>46119.0</v>
      </c>
      <c r="H9866" s="76" t="s">
        <v>954</v>
      </c>
    </row>
    <row r="9867">
      <c r="A9867" s="76" t="s">
        <v>40</v>
      </c>
      <c r="B9867" s="76" t="s">
        <v>1030</v>
      </c>
      <c r="C9867" s="84">
        <v>0.06</v>
      </c>
      <c r="D9867" s="84">
        <v>0.0</v>
      </c>
      <c r="E9867" s="84">
        <v>0.0</v>
      </c>
      <c r="F9867" s="76" t="s">
        <v>950</v>
      </c>
      <c r="G9867" s="83">
        <v>46119.0</v>
      </c>
      <c r="H9867" s="76" t="s">
        <v>955</v>
      </c>
    </row>
    <row r="9868">
      <c r="A9868" s="76" t="s">
        <v>40</v>
      </c>
      <c r="B9868" s="76" t="s">
        <v>1030</v>
      </c>
      <c r="C9868" s="84">
        <v>0.5</v>
      </c>
      <c r="D9868" s="84">
        <v>0.0</v>
      </c>
      <c r="E9868" s="84">
        <v>0.0</v>
      </c>
      <c r="F9868" s="76" t="s">
        <v>950</v>
      </c>
      <c r="G9868" s="83">
        <v>46119.0</v>
      </c>
      <c r="H9868" s="76" t="s">
        <v>956</v>
      </c>
    </row>
    <row r="9869">
      <c r="A9869" s="76" t="s">
        <v>34</v>
      </c>
      <c r="B9869" s="76" t="s">
        <v>1030</v>
      </c>
      <c r="C9869" s="84">
        <v>0.05</v>
      </c>
      <c r="D9869" s="84">
        <v>0.0</v>
      </c>
      <c r="E9869" s="84">
        <v>0.0</v>
      </c>
      <c r="F9869" s="76" t="s">
        <v>950</v>
      </c>
      <c r="G9869" s="83">
        <v>46119.0</v>
      </c>
      <c r="H9869" s="76" t="s">
        <v>951</v>
      </c>
    </row>
    <row r="9870">
      <c r="A9870" s="76" t="s">
        <v>34</v>
      </c>
      <c r="B9870" s="76" t="s">
        <v>1030</v>
      </c>
      <c r="C9870" s="84">
        <v>0.19</v>
      </c>
      <c r="D9870" s="84">
        <v>0.0</v>
      </c>
      <c r="E9870" s="84">
        <v>0.0</v>
      </c>
      <c r="F9870" s="76" t="s">
        <v>950</v>
      </c>
      <c r="G9870" s="83">
        <v>46119.0</v>
      </c>
      <c r="H9870" s="76" t="s">
        <v>952</v>
      </c>
    </row>
    <row r="9871">
      <c r="A9871" s="76" t="s">
        <v>34</v>
      </c>
      <c r="B9871" s="76" t="s">
        <v>1030</v>
      </c>
      <c r="C9871" s="84">
        <v>0.06</v>
      </c>
      <c r="D9871" s="84">
        <v>0.0</v>
      </c>
      <c r="E9871" s="84">
        <v>0.0</v>
      </c>
      <c r="F9871" s="76" t="s">
        <v>950</v>
      </c>
      <c r="G9871" s="83">
        <v>46119.0</v>
      </c>
      <c r="H9871" s="76" t="s">
        <v>953</v>
      </c>
    </row>
    <row r="9872">
      <c r="A9872" s="76" t="s">
        <v>970</v>
      </c>
      <c r="B9872" s="76" t="s">
        <v>1030</v>
      </c>
      <c r="C9872" s="84">
        <v>0.11</v>
      </c>
      <c r="D9872" s="84">
        <v>0.0</v>
      </c>
      <c r="E9872" s="84">
        <v>0.0</v>
      </c>
      <c r="F9872" s="76" t="s">
        <v>950</v>
      </c>
      <c r="G9872" s="83">
        <v>46119.0</v>
      </c>
      <c r="H9872" s="76" t="s">
        <v>971</v>
      </c>
    </row>
    <row r="9873">
      <c r="A9873" s="76" t="s">
        <v>970</v>
      </c>
      <c r="B9873" s="76" t="s">
        <v>1030</v>
      </c>
      <c r="C9873" s="84">
        <v>0.03</v>
      </c>
      <c r="D9873" s="84">
        <v>0.0</v>
      </c>
      <c r="E9873" s="84">
        <v>0.0</v>
      </c>
      <c r="F9873" s="76" t="s">
        <v>950</v>
      </c>
      <c r="G9873" s="83">
        <v>46119.0</v>
      </c>
      <c r="H9873" s="76" t="s">
        <v>972</v>
      </c>
    </row>
    <row r="9874">
      <c r="A9874" s="76" t="s">
        <v>970</v>
      </c>
      <c r="B9874" s="76" t="s">
        <v>1030</v>
      </c>
      <c r="C9874" s="84">
        <v>0.46</v>
      </c>
      <c r="D9874" s="84">
        <v>0.0</v>
      </c>
      <c r="E9874" s="84">
        <v>0.0</v>
      </c>
      <c r="F9874" s="76" t="s">
        <v>950</v>
      </c>
      <c r="G9874" s="83">
        <v>46119.0</v>
      </c>
      <c r="H9874" s="76" t="s">
        <v>973</v>
      </c>
    </row>
    <row r="9875">
      <c r="A9875" s="76" t="s">
        <v>36</v>
      </c>
      <c r="B9875" s="76" t="s">
        <v>1030</v>
      </c>
      <c r="C9875" s="84">
        <v>0.2</v>
      </c>
      <c r="D9875" s="84">
        <v>0.0</v>
      </c>
      <c r="E9875" s="84">
        <v>0.0</v>
      </c>
      <c r="F9875" s="76" t="s">
        <v>950</v>
      </c>
      <c r="G9875" s="83">
        <v>46119.0</v>
      </c>
      <c r="H9875" s="76" t="s">
        <v>926</v>
      </c>
    </row>
    <row r="9876">
      <c r="A9876" s="76" t="s">
        <v>36</v>
      </c>
      <c r="B9876" s="76" t="s">
        <v>1030</v>
      </c>
      <c r="C9876" s="84">
        <v>0.24</v>
      </c>
      <c r="D9876" s="84">
        <v>0.0</v>
      </c>
      <c r="E9876" s="84">
        <v>0.0</v>
      </c>
      <c r="F9876" s="76" t="s">
        <v>950</v>
      </c>
      <c r="G9876" s="83">
        <v>46119.0</v>
      </c>
      <c r="H9876" s="76" t="s">
        <v>927</v>
      </c>
    </row>
    <row r="9877">
      <c r="A9877" s="76" t="s">
        <v>36</v>
      </c>
      <c r="B9877" s="76" t="s">
        <v>1030</v>
      </c>
      <c r="C9877" s="84">
        <v>0.12</v>
      </c>
      <c r="D9877" s="84">
        <v>0.0</v>
      </c>
      <c r="E9877" s="84">
        <v>0.0</v>
      </c>
      <c r="F9877" s="76" t="s">
        <v>950</v>
      </c>
      <c r="G9877" s="83">
        <v>46119.0</v>
      </c>
      <c r="H9877" s="76" t="s">
        <v>928</v>
      </c>
    </row>
    <row r="9878">
      <c r="A9878" s="76" t="s">
        <v>46</v>
      </c>
      <c r="B9878" s="76" t="s">
        <v>1030</v>
      </c>
      <c r="C9878" s="84">
        <v>1.08</v>
      </c>
      <c r="D9878" s="84">
        <v>0.0</v>
      </c>
      <c r="E9878" s="84">
        <v>0.0</v>
      </c>
      <c r="F9878" s="76" t="s">
        <v>950</v>
      </c>
      <c r="G9878" s="83">
        <v>46119.0</v>
      </c>
      <c r="H9878" s="76" t="s">
        <v>960</v>
      </c>
    </row>
    <row r="9879">
      <c r="A9879" s="76" t="s">
        <v>46</v>
      </c>
      <c r="B9879" s="76" t="s">
        <v>1030</v>
      </c>
      <c r="C9879" s="84">
        <v>0.03</v>
      </c>
      <c r="D9879" s="84">
        <v>0.0</v>
      </c>
      <c r="E9879" s="84">
        <v>0.0</v>
      </c>
      <c r="F9879" s="76" t="s">
        <v>950</v>
      </c>
      <c r="G9879" s="83">
        <v>46119.0</v>
      </c>
      <c r="H9879" s="76" t="s">
        <v>961</v>
      </c>
    </row>
    <row r="9880">
      <c r="A9880" s="76" t="s">
        <v>46</v>
      </c>
      <c r="B9880" s="76" t="s">
        <v>1030</v>
      </c>
      <c r="C9880" s="84">
        <v>0.07</v>
      </c>
      <c r="D9880" s="84">
        <v>0.0</v>
      </c>
      <c r="E9880" s="84">
        <v>0.0</v>
      </c>
      <c r="F9880" s="76" t="s">
        <v>950</v>
      </c>
      <c r="G9880" s="83">
        <v>46119.0</v>
      </c>
      <c r="H9880" s="76" t="s">
        <v>962</v>
      </c>
    </row>
    <row r="9881">
      <c r="A9881" s="76" t="s">
        <v>966</v>
      </c>
      <c r="B9881" s="76" t="s">
        <v>1030</v>
      </c>
      <c r="C9881" s="84">
        <v>0.68</v>
      </c>
      <c r="D9881" s="84">
        <v>0.0</v>
      </c>
      <c r="E9881" s="84">
        <v>0.0</v>
      </c>
      <c r="F9881" s="76" t="s">
        <v>950</v>
      </c>
      <c r="G9881" s="83">
        <v>46119.0</v>
      </c>
      <c r="H9881" s="76" t="s">
        <v>967</v>
      </c>
    </row>
    <row r="9882">
      <c r="A9882" s="76" t="s">
        <v>966</v>
      </c>
      <c r="B9882" s="76" t="s">
        <v>1030</v>
      </c>
      <c r="C9882" s="84">
        <v>0.13</v>
      </c>
      <c r="D9882" s="84">
        <v>1.0</v>
      </c>
      <c r="E9882" s="84">
        <v>0.13</v>
      </c>
      <c r="F9882" s="76" t="s">
        <v>950</v>
      </c>
      <c r="G9882" s="83">
        <v>46119.0</v>
      </c>
      <c r="H9882" s="76" t="s">
        <v>968</v>
      </c>
    </row>
    <row r="9883">
      <c r="A9883" s="76" t="s">
        <v>966</v>
      </c>
      <c r="B9883" s="76" t="s">
        <v>1030</v>
      </c>
      <c r="C9883" s="84">
        <v>0.42</v>
      </c>
      <c r="D9883" s="84">
        <v>0.0</v>
      </c>
      <c r="E9883" s="84">
        <v>0.0</v>
      </c>
      <c r="F9883" s="76" t="s">
        <v>950</v>
      </c>
      <c r="G9883" s="83">
        <v>46119.0</v>
      </c>
      <c r="H9883" s="76" t="s">
        <v>969</v>
      </c>
    </row>
    <row r="9884">
      <c r="A9884" s="76" t="s">
        <v>29</v>
      </c>
      <c r="B9884" s="76" t="s">
        <v>1030</v>
      </c>
      <c r="C9884" s="84">
        <v>0.03</v>
      </c>
      <c r="D9884" s="84">
        <v>0.0</v>
      </c>
      <c r="E9884" s="84">
        <v>0.0</v>
      </c>
      <c r="F9884" s="76" t="s">
        <v>950</v>
      </c>
      <c r="G9884" s="83">
        <v>46119.0</v>
      </c>
      <c r="H9884" s="76" t="s">
        <v>971</v>
      </c>
    </row>
    <row r="9885">
      <c r="A9885" s="76" t="s">
        <v>29</v>
      </c>
      <c r="B9885" s="76" t="s">
        <v>1030</v>
      </c>
      <c r="C9885" s="84">
        <v>0.1</v>
      </c>
      <c r="D9885" s="84">
        <v>0.0</v>
      </c>
      <c r="E9885" s="84">
        <v>0.0</v>
      </c>
      <c r="F9885" s="76" t="s">
        <v>950</v>
      </c>
      <c r="G9885" s="83">
        <v>46119.0</v>
      </c>
      <c r="H9885" s="76" t="s">
        <v>972</v>
      </c>
    </row>
    <row r="9886">
      <c r="A9886" s="76" t="s">
        <v>29</v>
      </c>
      <c r="B9886" s="76" t="s">
        <v>1030</v>
      </c>
      <c r="C9886" s="84">
        <v>0.45</v>
      </c>
      <c r="D9886" s="84">
        <v>0.0</v>
      </c>
      <c r="E9886" s="84">
        <v>0.0</v>
      </c>
      <c r="F9886" s="76" t="s">
        <v>950</v>
      </c>
      <c r="G9886" s="83">
        <v>46119.0</v>
      </c>
      <c r="H9886" s="76" t="s">
        <v>973</v>
      </c>
    </row>
    <row r="9887">
      <c r="A9887" s="76" t="s">
        <v>966</v>
      </c>
      <c r="B9887" s="76" t="s">
        <v>1030</v>
      </c>
      <c r="C9887" s="84">
        <v>0.61</v>
      </c>
      <c r="D9887" s="84">
        <v>0.0</v>
      </c>
      <c r="E9887" s="84">
        <v>0.0</v>
      </c>
      <c r="F9887" s="76" t="s">
        <v>975</v>
      </c>
      <c r="G9887" s="83">
        <v>46119.0</v>
      </c>
      <c r="H9887" s="76" t="s">
        <v>967</v>
      </c>
    </row>
    <row r="9888">
      <c r="A9888" s="76" t="s">
        <v>966</v>
      </c>
      <c r="B9888" s="76" t="s">
        <v>1030</v>
      </c>
      <c r="C9888" s="84">
        <v>0.4</v>
      </c>
      <c r="D9888" s="84">
        <v>0.0</v>
      </c>
      <c r="E9888" s="84">
        <v>0.0</v>
      </c>
      <c r="F9888" s="76" t="s">
        <v>975</v>
      </c>
      <c r="G9888" s="83">
        <v>46119.0</v>
      </c>
      <c r="H9888" s="76" t="s">
        <v>968</v>
      </c>
    </row>
    <row r="9889">
      <c r="A9889" s="76" t="s">
        <v>966</v>
      </c>
      <c r="B9889" s="76" t="s">
        <v>1030</v>
      </c>
      <c r="C9889" s="84">
        <v>0.73</v>
      </c>
      <c r="D9889" s="84">
        <v>0.0</v>
      </c>
      <c r="E9889" s="84">
        <v>0.0</v>
      </c>
      <c r="F9889" s="76" t="s">
        <v>975</v>
      </c>
      <c r="G9889" s="83">
        <v>46119.0</v>
      </c>
      <c r="H9889" s="76" t="s">
        <v>969</v>
      </c>
    </row>
    <row r="9890">
      <c r="A9890" s="76" t="s">
        <v>43</v>
      </c>
      <c r="B9890" s="76" t="s">
        <v>1030</v>
      </c>
      <c r="C9890" s="84">
        <v>0.47</v>
      </c>
      <c r="D9890" s="84">
        <v>0.0</v>
      </c>
      <c r="E9890" s="84">
        <v>0.0</v>
      </c>
      <c r="F9890" s="76" t="s">
        <v>975</v>
      </c>
      <c r="G9890" s="83">
        <v>46119.0</v>
      </c>
      <c r="H9890" s="76" t="s">
        <v>963</v>
      </c>
    </row>
    <row r="9891">
      <c r="A9891" s="76" t="s">
        <v>43</v>
      </c>
      <c r="B9891" s="76" t="s">
        <v>1030</v>
      </c>
      <c r="C9891" s="84">
        <v>0.32</v>
      </c>
      <c r="D9891" s="84">
        <v>0.0</v>
      </c>
      <c r="E9891" s="84">
        <v>0.0</v>
      </c>
      <c r="F9891" s="76" t="s">
        <v>975</v>
      </c>
      <c r="G9891" s="83">
        <v>46119.0</v>
      </c>
      <c r="H9891" s="76" t="s">
        <v>964</v>
      </c>
    </row>
    <row r="9892">
      <c r="A9892" s="76" t="s">
        <v>43</v>
      </c>
      <c r="B9892" s="76" t="s">
        <v>1030</v>
      </c>
      <c r="C9892" s="84">
        <v>1.99</v>
      </c>
      <c r="D9892" s="84">
        <v>0.0</v>
      </c>
      <c r="E9892" s="84">
        <v>0.0</v>
      </c>
      <c r="F9892" s="76" t="s">
        <v>975</v>
      </c>
      <c r="G9892" s="83">
        <v>46119.0</v>
      </c>
      <c r="H9892" s="76" t="s">
        <v>965</v>
      </c>
    </row>
    <row r="9893">
      <c r="A9893" s="76" t="s">
        <v>33</v>
      </c>
      <c r="B9893" s="76" t="s">
        <v>1030</v>
      </c>
      <c r="C9893" s="84">
        <v>2.19</v>
      </c>
      <c r="D9893" s="84">
        <v>1.0</v>
      </c>
      <c r="E9893" s="84">
        <v>2.19</v>
      </c>
      <c r="F9893" s="76" t="s">
        <v>975</v>
      </c>
      <c r="G9893" s="83">
        <v>46119.0</v>
      </c>
      <c r="H9893" s="76" t="s">
        <v>957</v>
      </c>
    </row>
    <row r="9894">
      <c r="A9894" s="76" t="s">
        <v>33</v>
      </c>
      <c r="B9894" s="76" t="s">
        <v>1030</v>
      </c>
      <c r="C9894" s="84">
        <v>0.58</v>
      </c>
      <c r="D9894" s="84">
        <v>0.0</v>
      </c>
      <c r="E9894" s="84">
        <v>0.0</v>
      </c>
      <c r="F9894" s="76" t="s">
        <v>975</v>
      </c>
      <c r="G9894" s="83">
        <v>46119.0</v>
      </c>
      <c r="H9894" s="76" t="s">
        <v>958</v>
      </c>
    </row>
    <row r="9895">
      <c r="A9895" s="76" t="s">
        <v>33</v>
      </c>
      <c r="B9895" s="76" t="s">
        <v>1030</v>
      </c>
      <c r="C9895" s="84">
        <v>0.63</v>
      </c>
      <c r="D9895" s="84">
        <v>0.0</v>
      </c>
      <c r="E9895" s="84">
        <v>0.0</v>
      </c>
      <c r="F9895" s="76" t="s">
        <v>975</v>
      </c>
      <c r="G9895" s="83">
        <v>46119.0</v>
      </c>
      <c r="H9895" s="76" t="s">
        <v>959</v>
      </c>
    </row>
    <row r="9896">
      <c r="A9896" s="76" t="s">
        <v>29</v>
      </c>
      <c r="B9896" s="76" t="s">
        <v>1030</v>
      </c>
      <c r="C9896" s="84">
        <v>0.24</v>
      </c>
      <c r="D9896" s="84">
        <v>0.0</v>
      </c>
      <c r="E9896" s="84">
        <v>0.0</v>
      </c>
      <c r="F9896" s="76" t="s">
        <v>975</v>
      </c>
      <c r="G9896" s="83">
        <v>46119.0</v>
      </c>
      <c r="H9896" s="76" t="s">
        <v>971</v>
      </c>
    </row>
    <row r="9897">
      <c r="A9897" s="76" t="s">
        <v>29</v>
      </c>
      <c r="B9897" s="76" t="s">
        <v>1030</v>
      </c>
      <c r="C9897" s="84">
        <v>0.27</v>
      </c>
      <c r="D9897" s="84">
        <v>0.0</v>
      </c>
      <c r="E9897" s="84">
        <v>0.0</v>
      </c>
      <c r="F9897" s="76" t="s">
        <v>975</v>
      </c>
      <c r="G9897" s="83">
        <v>46119.0</v>
      </c>
      <c r="H9897" s="76" t="s">
        <v>972</v>
      </c>
    </row>
    <row r="9898">
      <c r="A9898" s="76" t="s">
        <v>29</v>
      </c>
      <c r="B9898" s="76" t="s">
        <v>1030</v>
      </c>
      <c r="C9898" s="84">
        <v>1.35</v>
      </c>
      <c r="D9898" s="84">
        <v>0.0</v>
      </c>
      <c r="E9898" s="84">
        <v>0.0</v>
      </c>
      <c r="F9898" s="76" t="s">
        <v>975</v>
      </c>
      <c r="G9898" s="83">
        <v>46119.0</v>
      </c>
      <c r="H9898" s="76" t="s">
        <v>973</v>
      </c>
    </row>
    <row r="9899">
      <c r="A9899" s="76" t="s">
        <v>46</v>
      </c>
      <c r="B9899" s="76" t="s">
        <v>1030</v>
      </c>
      <c r="C9899" s="84">
        <v>0.22</v>
      </c>
      <c r="D9899" s="84">
        <v>0.0</v>
      </c>
      <c r="E9899" s="84">
        <v>0.0</v>
      </c>
      <c r="F9899" s="76" t="s">
        <v>975</v>
      </c>
      <c r="G9899" s="83">
        <v>46119.0</v>
      </c>
      <c r="H9899" s="76" t="s">
        <v>960</v>
      </c>
    </row>
    <row r="9900">
      <c r="A9900" s="76" t="s">
        <v>46</v>
      </c>
      <c r="B9900" s="76" t="s">
        <v>1030</v>
      </c>
      <c r="C9900" s="84">
        <v>0.14</v>
      </c>
      <c r="D9900" s="84">
        <v>0.0</v>
      </c>
      <c r="E9900" s="84">
        <v>0.0</v>
      </c>
      <c r="F9900" s="76" t="s">
        <v>975</v>
      </c>
      <c r="G9900" s="83">
        <v>46119.0</v>
      </c>
      <c r="H9900" s="76" t="s">
        <v>961</v>
      </c>
    </row>
    <row r="9901">
      <c r="A9901" s="76" t="s">
        <v>46</v>
      </c>
      <c r="B9901" s="76" t="s">
        <v>1030</v>
      </c>
      <c r="C9901" s="84">
        <v>0.18</v>
      </c>
      <c r="D9901" s="84">
        <v>0.0</v>
      </c>
      <c r="E9901" s="84">
        <v>0.0</v>
      </c>
      <c r="F9901" s="76" t="s">
        <v>975</v>
      </c>
      <c r="G9901" s="83">
        <v>46119.0</v>
      </c>
      <c r="H9901" s="76" t="s">
        <v>962</v>
      </c>
    </row>
    <row r="9902">
      <c r="A9902" s="76" t="s">
        <v>34</v>
      </c>
      <c r="B9902" s="76" t="s">
        <v>1030</v>
      </c>
      <c r="C9902" s="84">
        <v>0.19</v>
      </c>
      <c r="D9902" s="84">
        <v>0.0</v>
      </c>
      <c r="E9902" s="84">
        <v>0.0</v>
      </c>
      <c r="F9902" s="76" t="s">
        <v>975</v>
      </c>
      <c r="G9902" s="83">
        <v>46119.0</v>
      </c>
      <c r="H9902" s="76" t="s">
        <v>951</v>
      </c>
    </row>
    <row r="9903">
      <c r="A9903" s="76" t="s">
        <v>34</v>
      </c>
      <c r="B9903" s="76" t="s">
        <v>1030</v>
      </c>
      <c r="C9903" s="84">
        <v>0.28</v>
      </c>
      <c r="D9903" s="84">
        <v>0.0</v>
      </c>
      <c r="E9903" s="84">
        <v>0.0</v>
      </c>
      <c r="F9903" s="76" t="s">
        <v>975</v>
      </c>
      <c r="G9903" s="83">
        <v>46119.0</v>
      </c>
      <c r="H9903" s="76" t="s">
        <v>952</v>
      </c>
    </row>
    <row r="9904">
      <c r="A9904" s="76" t="s">
        <v>34</v>
      </c>
      <c r="B9904" s="76" t="s">
        <v>1030</v>
      </c>
      <c r="C9904" s="84">
        <v>0.11</v>
      </c>
      <c r="D9904" s="84">
        <v>0.0</v>
      </c>
      <c r="E9904" s="84">
        <v>0.0</v>
      </c>
      <c r="F9904" s="76" t="s">
        <v>975</v>
      </c>
      <c r="G9904" s="83">
        <v>46119.0</v>
      </c>
      <c r="H9904" s="76" t="s">
        <v>953</v>
      </c>
    </row>
    <row r="9905">
      <c r="A9905" s="76" t="s">
        <v>40</v>
      </c>
      <c r="B9905" s="76" t="s">
        <v>1030</v>
      </c>
      <c r="C9905" s="84">
        <v>0.35</v>
      </c>
      <c r="D9905" s="84">
        <v>0.0</v>
      </c>
      <c r="E9905" s="84">
        <v>0.0</v>
      </c>
      <c r="F9905" s="76" t="s">
        <v>975</v>
      </c>
      <c r="G9905" s="83">
        <v>46119.0</v>
      </c>
      <c r="H9905" s="76" t="s">
        <v>954</v>
      </c>
    </row>
    <row r="9906">
      <c r="A9906" s="76" t="s">
        <v>40</v>
      </c>
      <c r="B9906" s="76" t="s">
        <v>1030</v>
      </c>
      <c r="C9906" s="84">
        <v>0.1</v>
      </c>
      <c r="D9906" s="84">
        <v>0.0</v>
      </c>
      <c r="E9906" s="84">
        <v>0.0</v>
      </c>
      <c r="F9906" s="76" t="s">
        <v>975</v>
      </c>
      <c r="G9906" s="83">
        <v>46119.0</v>
      </c>
      <c r="H9906" s="76" t="s">
        <v>955</v>
      </c>
    </row>
    <row r="9907">
      <c r="A9907" s="76" t="s">
        <v>40</v>
      </c>
      <c r="B9907" s="76" t="s">
        <v>1030</v>
      </c>
      <c r="C9907" s="84">
        <v>1.13</v>
      </c>
      <c r="D9907" s="84">
        <v>0.0</v>
      </c>
      <c r="E9907" s="84">
        <v>0.0</v>
      </c>
      <c r="F9907" s="76" t="s">
        <v>975</v>
      </c>
      <c r="G9907" s="83">
        <v>46119.0</v>
      </c>
      <c r="H9907" s="76" t="s">
        <v>956</v>
      </c>
    </row>
    <row r="9908">
      <c r="A9908" s="76" t="s">
        <v>36</v>
      </c>
      <c r="B9908" s="76" t="s">
        <v>1030</v>
      </c>
      <c r="C9908" s="84">
        <v>0.38</v>
      </c>
      <c r="D9908" s="84">
        <v>0.0</v>
      </c>
      <c r="E9908" s="84">
        <v>0.0</v>
      </c>
      <c r="F9908" s="76" t="s">
        <v>975</v>
      </c>
      <c r="G9908" s="83">
        <v>46119.0</v>
      </c>
      <c r="H9908" s="76" t="s">
        <v>926</v>
      </c>
    </row>
    <row r="9909">
      <c r="A9909" s="76" t="s">
        <v>36</v>
      </c>
      <c r="B9909" s="76" t="s">
        <v>1030</v>
      </c>
      <c r="C9909" s="84">
        <v>0.15</v>
      </c>
      <c r="D9909" s="84">
        <v>0.0</v>
      </c>
      <c r="E9909" s="84">
        <v>0.0</v>
      </c>
      <c r="F9909" s="76" t="s">
        <v>975</v>
      </c>
      <c r="G9909" s="83">
        <v>46119.0</v>
      </c>
      <c r="H9909" s="76" t="s">
        <v>927</v>
      </c>
    </row>
    <row r="9910">
      <c r="A9910" s="76" t="s">
        <v>36</v>
      </c>
      <c r="B9910" s="76" t="s">
        <v>1030</v>
      </c>
      <c r="C9910" s="84">
        <v>0.26</v>
      </c>
      <c r="D9910" s="84">
        <v>0.0</v>
      </c>
      <c r="E9910" s="84">
        <v>0.0</v>
      </c>
      <c r="F9910" s="76" t="s">
        <v>975</v>
      </c>
      <c r="G9910" s="83">
        <v>46119.0</v>
      </c>
      <c r="H9910" s="76" t="s">
        <v>928</v>
      </c>
    </row>
    <row r="9911">
      <c r="A9911" s="76" t="s">
        <v>970</v>
      </c>
      <c r="B9911" s="76" t="s">
        <v>1030</v>
      </c>
      <c r="C9911" s="84">
        <v>0.22</v>
      </c>
      <c r="D9911" s="84">
        <v>0.0</v>
      </c>
      <c r="E9911" s="84">
        <v>0.0</v>
      </c>
      <c r="F9911" s="76" t="s">
        <v>975</v>
      </c>
      <c r="G9911" s="83">
        <v>46119.0</v>
      </c>
      <c r="H9911" s="76" t="s">
        <v>971</v>
      </c>
    </row>
    <row r="9912">
      <c r="A9912" s="76" t="s">
        <v>970</v>
      </c>
      <c r="B9912" s="76" t="s">
        <v>1030</v>
      </c>
      <c r="C9912" s="84">
        <v>0.1</v>
      </c>
      <c r="D9912" s="84">
        <v>0.0</v>
      </c>
      <c r="E9912" s="84">
        <v>0.0</v>
      </c>
      <c r="F9912" s="76" t="s">
        <v>975</v>
      </c>
      <c r="G9912" s="83">
        <v>46119.0</v>
      </c>
      <c r="H9912" s="76" t="s">
        <v>972</v>
      </c>
    </row>
    <row r="9913">
      <c r="A9913" s="76" t="s">
        <v>970</v>
      </c>
      <c r="B9913" s="76" t="s">
        <v>1030</v>
      </c>
      <c r="C9913" s="84">
        <v>1.53</v>
      </c>
      <c r="D9913" s="84">
        <v>1.0</v>
      </c>
      <c r="E9913" s="84">
        <v>1.53</v>
      </c>
      <c r="F9913" s="76" t="s">
        <v>975</v>
      </c>
      <c r="G9913" s="83">
        <v>46119.0</v>
      </c>
      <c r="H9913" s="76" t="s">
        <v>973</v>
      </c>
    </row>
    <row r="9914">
      <c r="A9914" s="76" t="s">
        <v>29</v>
      </c>
      <c r="B9914" s="76" t="s">
        <v>1031</v>
      </c>
      <c r="C9914" s="84">
        <v>2.97</v>
      </c>
      <c r="D9914" s="84">
        <v>0.0</v>
      </c>
      <c r="E9914" s="84">
        <v>0.0</v>
      </c>
      <c r="F9914" s="76" t="s">
        <v>925</v>
      </c>
      <c r="G9914" s="83">
        <v>46119.0</v>
      </c>
      <c r="H9914" s="76" t="s">
        <v>971</v>
      </c>
    </row>
    <row r="9915">
      <c r="A9915" s="76" t="s">
        <v>29</v>
      </c>
      <c r="B9915" s="76" t="s">
        <v>1031</v>
      </c>
      <c r="C9915" s="84">
        <v>1.75</v>
      </c>
      <c r="D9915" s="84">
        <v>0.0</v>
      </c>
      <c r="E9915" s="84">
        <v>0.0</v>
      </c>
      <c r="F9915" s="76" t="s">
        <v>925</v>
      </c>
      <c r="G9915" s="83">
        <v>46119.0</v>
      </c>
      <c r="H9915" s="76" t="s">
        <v>972</v>
      </c>
    </row>
    <row r="9916">
      <c r="A9916" s="76" t="s">
        <v>29</v>
      </c>
      <c r="B9916" s="76" t="s">
        <v>1031</v>
      </c>
      <c r="C9916" s="84">
        <v>5.77</v>
      </c>
      <c r="D9916" s="84">
        <v>1.0</v>
      </c>
      <c r="E9916" s="84">
        <v>5.77</v>
      </c>
      <c r="F9916" s="76" t="s">
        <v>925</v>
      </c>
      <c r="G9916" s="83">
        <v>46119.0</v>
      </c>
      <c r="H9916" s="76" t="s">
        <v>973</v>
      </c>
    </row>
    <row r="9917">
      <c r="A9917" s="76" t="s">
        <v>36</v>
      </c>
      <c r="B9917" s="76" t="s">
        <v>1031</v>
      </c>
      <c r="C9917" s="84">
        <v>3.42</v>
      </c>
      <c r="D9917" s="84">
        <v>0.0</v>
      </c>
      <c r="E9917" s="84">
        <v>0.0</v>
      </c>
      <c r="F9917" s="76" t="s">
        <v>925</v>
      </c>
      <c r="G9917" s="83">
        <v>46119.0</v>
      </c>
      <c r="H9917" s="76" t="s">
        <v>926</v>
      </c>
    </row>
    <row r="9918">
      <c r="A9918" s="76" t="s">
        <v>36</v>
      </c>
      <c r="B9918" s="76" t="s">
        <v>1031</v>
      </c>
      <c r="C9918" s="84">
        <v>0.63</v>
      </c>
      <c r="D9918" s="84">
        <v>1.0</v>
      </c>
      <c r="E9918" s="84">
        <v>0.63</v>
      </c>
      <c r="F9918" s="76" t="s">
        <v>925</v>
      </c>
      <c r="G9918" s="83">
        <v>46119.0</v>
      </c>
      <c r="H9918" s="76" t="s">
        <v>927</v>
      </c>
    </row>
    <row r="9919">
      <c r="A9919" s="76" t="s">
        <v>36</v>
      </c>
      <c r="B9919" s="76" t="s">
        <v>1031</v>
      </c>
      <c r="C9919" s="84">
        <v>1.47</v>
      </c>
      <c r="D9919" s="84">
        <v>1.0</v>
      </c>
      <c r="E9919" s="84">
        <v>1.47</v>
      </c>
      <c r="F9919" s="76" t="s">
        <v>925</v>
      </c>
      <c r="G9919" s="83">
        <v>46119.0</v>
      </c>
      <c r="H9919" s="76" t="s">
        <v>928</v>
      </c>
    </row>
    <row r="9920">
      <c r="A9920" s="76" t="s">
        <v>40</v>
      </c>
      <c r="B9920" s="76" t="s">
        <v>1031</v>
      </c>
      <c r="C9920" s="84">
        <v>1.16</v>
      </c>
      <c r="D9920" s="84">
        <v>0.0</v>
      </c>
      <c r="E9920" s="84">
        <v>0.0</v>
      </c>
      <c r="F9920" s="76" t="s">
        <v>925</v>
      </c>
      <c r="G9920" s="83">
        <v>46119.0</v>
      </c>
      <c r="H9920" s="76" t="s">
        <v>954</v>
      </c>
    </row>
    <row r="9921">
      <c r="A9921" s="76" t="s">
        <v>40</v>
      </c>
      <c r="B9921" s="76" t="s">
        <v>1031</v>
      </c>
      <c r="C9921" s="84">
        <v>1.06</v>
      </c>
      <c r="D9921" s="84">
        <v>0.0</v>
      </c>
      <c r="E9921" s="84">
        <v>0.0</v>
      </c>
      <c r="F9921" s="76" t="s">
        <v>925</v>
      </c>
      <c r="G9921" s="83">
        <v>46119.0</v>
      </c>
      <c r="H9921" s="76" t="s">
        <v>955</v>
      </c>
    </row>
    <row r="9922">
      <c r="A9922" s="76" t="s">
        <v>40</v>
      </c>
      <c r="B9922" s="76" t="s">
        <v>1031</v>
      </c>
      <c r="C9922" s="84">
        <v>5.04</v>
      </c>
      <c r="D9922" s="84">
        <v>2.0</v>
      </c>
      <c r="E9922" s="84">
        <v>2.52</v>
      </c>
      <c r="F9922" s="76" t="s">
        <v>925</v>
      </c>
      <c r="G9922" s="83">
        <v>46119.0</v>
      </c>
      <c r="H9922" s="76" t="s">
        <v>956</v>
      </c>
    </row>
    <row r="9923">
      <c r="A9923" s="76" t="s">
        <v>970</v>
      </c>
      <c r="B9923" s="76" t="s">
        <v>1031</v>
      </c>
      <c r="C9923" s="84">
        <v>2.86</v>
      </c>
      <c r="D9923" s="84">
        <v>1.0</v>
      </c>
      <c r="E9923" s="84">
        <v>2.86</v>
      </c>
      <c r="F9923" s="76" t="s">
        <v>925</v>
      </c>
      <c r="G9923" s="83">
        <v>46119.0</v>
      </c>
      <c r="H9923" s="76" t="s">
        <v>971</v>
      </c>
    </row>
    <row r="9924">
      <c r="A9924" s="76" t="s">
        <v>970</v>
      </c>
      <c r="B9924" s="76" t="s">
        <v>1031</v>
      </c>
      <c r="C9924" s="84">
        <v>1.97</v>
      </c>
      <c r="D9924" s="84">
        <v>1.0</v>
      </c>
      <c r="E9924" s="84">
        <v>1.97</v>
      </c>
      <c r="F9924" s="76" t="s">
        <v>925</v>
      </c>
      <c r="G9924" s="83">
        <v>46119.0</v>
      </c>
      <c r="H9924" s="76" t="s">
        <v>972</v>
      </c>
    </row>
    <row r="9925">
      <c r="A9925" s="76" t="s">
        <v>970</v>
      </c>
      <c r="B9925" s="76" t="s">
        <v>1031</v>
      </c>
      <c r="C9925" s="84">
        <v>5.97</v>
      </c>
      <c r="D9925" s="84">
        <v>0.0</v>
      </c>
      <c r="E9925" s="84">
        <v>0.0</v>
      </c>
      <c r="F9925" s="76" t="s">
        <v>925</v>
      </c>
      <c r="G9925" s="83">
        <v>46119.0</v>
      </c>
      <c r="H9925" s="76" t="s">
        <v>973</v>
      </c>
    </row>
    <row r="9926">
      <c r="A9926" s="76" t="s">
        <v>46</v>
      </c>
      <c r="B9926" s="76" t="s">
        <v>1031</v>
      </c>
      <c r="C9926" s="84">
        <v>1.55</v>
      </c>
      <c r="D9926" s="84">
        <v>0.0</v>
      </c>
      <c r="E9926" s="84">
        <v>0.0</v>
      </c>
      <c r="F9926" s="76" t="s">
        <v>925</v>
      </c>
      <c r="G9926" s="83">
        <v>46119.0</v>
      </c>
      <c r="H9926" s="76" t="s">
        <v>960</v>
      </c>
    </row>
    <row r="9927">
      <c r="A9927" s="76" t="s">
        <v>46</v>
      </c>
      <c r="B9927" s="76" t="s">
        <v>1031</v>
      </c>
      <c r="C9927" s="84">
        <v>1.16</v>
      </c>
      <c r="D9927" s="84">
        <v>0.0</v>
      </c>
      <c r="E9927" s="84">
        <v>0.0</v>
      </c>
      <c r="F9927" s="76" t="s">
        <v>925</v>
      </c>
      <c r="G9927" s="83">
        <v>46119.0</v>
      </c>
      <c r="H9927" s="76" t="s">
        <v>961</v>
      </c>
    </row>
    <row r="9928">
      <c r="A9928" s="76" t="s">
        <v>46</v>
      </c>
      <c r="B9928" s="76" t="s">
        <v>1031</v>
      </c>
      <c r="C9928" s="84">
        <v>1.84</v>
      </c>
      <c r="D9928" s="84">
        <v>0.0</v>
      </c>
      <c r="E9928" s="84">
        <v>0.0</v>
      </c>
      <c r="F9928" s="76" t="s">
        <v>925</v>
      </c>
      <c r="G9928" s="83">
        <v>46119.0</v>
      </c>
      <c r="H9928" s="76" t="s">
        <v>962</v>
      </c>
    </row>
    <row r="9929">
      <c r="A9929" s="76" t="s">
        <v>34</v>
      </c>
      <c r="B9929" s="76" t="s">
        <v>1031</v>
      </c>
      <c r="C9929" s="84">
        <v>0.98</v>
      </c>
      <c r="D9929" s="84">
        <v>0.0</v>
      </c>
      <c r="E9929" s="84">
        <v>0.0</v>
      </c>
      <c r="F9929" s="76" t="s">
        <v>925</v>
      </c>
      <c r="G9929" s="83">
        <v>46119.0</v>
      </c>
      <c r="H9929" s="76" t="s">
        <v>951</v>
      </c>
    </row>
    <row r="9930">
      <c r="A9930" s="76" t="s">
        <v>34</v>
      </c>
      <c r="B9930" s="76" t="s">
        <v>1031</v>
      </c>
      <c r="C9930" s="84">
        <v>2.23</v>
      </c>
      <c r="D9930" s="84">
        <v>0.0</v>
      </c>
      <c r="E9930" s="84">
        <v>0.0</v>
      </c>
      <c r="F9930" s="76" t="s">
        <v>925</v>
      </c>
      <c r="G9930" s="83">
        <v>46119.0</v>
      </c>
      <c r="H9930" s="76" t="s">
        <v>952</v>
      </c>
    </row>
    <row r="9931">
      <c r="A9931" s="76" t="s">
        <v>34</v>
      </c>
      <c r="B9931" s="76" t="s">
        <v>1031</v>
      </c>
      <c r="C9931" s="84">
        <v>1.0</v>
      </c>
      <c r="D9931" s="84">
        <v>0.0</v>
      </c>
      <c r="E9931" s="84">
        <v>0.0</v>
      </c>
      <c r="F9931" s="76" t="s">
        <v>925</v>
      </c>
      <c r="G9931" s="83">
        <v>46119.0</v>
      </c>
      <c r="H9931" s="76" t="s">
        <v>953</v>
      </c>
    </row>
    <row r="9932">
      <c r="A9932" s="76" t="s">
        <v>33</v>
      </c>
      <c r="B9932" s="76" t="s">
        <v>1031</v>
      </c>
      <c r="C9932" s="84">
        <v>13.69</v>
      </c>
      <c r="D9932" s="84">
        <v>2.0</v>
      </c>
      <c r="E9932" s="84">
        <v>6.85</v>
      </c>
      <c r="F9932" s="76" t="s">
        <v>925</v>
      </c>
      <c r="G9932" s="83">
        <v>46119.0</v>
      </c>
      <c r="H9932" s="76" t="s">
        <v>957</v>
      </c>
    </row>
    <row r="9933">
      <c r="A9933" s="76" t="s">
        <v>33</v>
      </c>
      <c r="B9933" s="76" t="s">
        <v>1031</v>
      </c>
      <c r="C9933" s="84">
        <v>3.16</v>
      </c>
      <c r="D9933" s="84">
        <v>0.0</v>
      </c>
      <c r="E9933" s="84">
        <v>0.0</v>
      </c>
      <c r="F9933" s="76" t="s">
        <v>925</v>
      </c>
      <c r="G9933" s="83">
        <v>46119.0</v>
      </c>
      <c r="H9933" s="76" t="s">
        <v>958</v>
      </c>
    </row>
    <row r="9934">
      <c r="A9934" s="76" t="s">
        <v>33</v>
      </c>
      <c r="B9934" s="76" t="s">
        <v>1031</v>
      </c>
      <c r="C9934" s="84">
        <v>7.48</v>
      </c>
      <c r="D9934" s="84">
        <v>4.0</v>
      </c>
      <c r="E9934" s="84">
        <v>1.87</v>
      </c>
      <c r="F9934" s="76" t="s">
        <v>925</v>
      </c>
      <c r="G9934" s="83">
        <v>46119.0</v>
      </c>
      <c r="H9934" s="76" t="s">
        <v>959</v>
      </c>
    </row>
    <row r="9935">
      <c r="A9935" s="76" t="s">
        <v>43</v>
      </c>
      <c r="B9935" s="76" t="s">
        <v>1031</v>
      </c>
      <c r="C9935" s="84">
        <v>1.28</v>
      </c>
      <c r="D9935" s="84">
        <v>0.0</v>
      </c>
      <c r="E9935" s="84">
        <v>0.0</v>
      </c>
      <c r="F9935" s="76" t="s">
        <v>925</v>
      </c>
      <c r="G9935" s="83">
        <v>46119.0</v>
      </c>
      <c r="H9935" s="76" t="s">
        <v>963</v>
      </c>
    </row>
    <row r="9936">
      <c r="A9936" s="76" t="s">
        <v>43</v>
      </c>
      <c r="B9936" s="76" t="s">
        <v>1031</v>
      </c>
      <c r="C9936" s="84">
        <v>2.15</v>
      </c>
      <c r="D9936" s="84">
        <v>0.0</v>
      </c>
      <c r="E9936" s="84">
        <v>0.0</v>
      </c>
      <c r="F9936" s="76" t="s">
        <v>925</v>
      </c>
      <c r="G9936" s="83">
        <v>46119.0</v>
      </c>
      <c r="H9936" s="76" t="s">
        <v>964</v>
      </c>
    </row>
    <row r="9937">
      <c r="A9937" s="76" t="s">
        <v>43</v>
      </c>
      <c r="B9937" s="76" t="s">
        <v>1031</v>
      </c>
      <c r="C9937" s="84">
        <v>4.28</v>
      </c>
      <c r="D9937" s="84">
        <v>0.0</v>
      </c>
      <c r="E9937" s="84">
        <v>0.0</v>
      </c>
      <c r="F9937" s="76" t="s">
        <v>925</v>
      </c>
      <c r="G9937" s="83">
        <v>46119.0</v>
      </c>
      <c r="H9937" s="76" t="s">
        <v>965</v>
      </c>
    </row>
    <row r="9938">
      <c r="A9938" s="76" t="s">
        <v>966</v>
      </c>
      <c r="B9938" s="76" t="s">
        <v>1031</v>
      </c>
      <c r="C9938" s="84">
        <v>3.84</v>
      </c>
      <c r="D9938" s="84">
        <v>1.0</v>
      </c>
      <c r="E9938" s="84">
        <v>3.84</v>
      </c>
      <c r="F9938" s="76" t="s">
        <v>925</v>
      </c>
      <c r="G9938" s="83">
        <v>46119.0</v>
      </c>
      <c r="H9938" s="76" t="s">
        <v>967</v>
      </c>
    </row>
    <row r="9939">
      <c r="A9939" s="76" t="s">
        <v>966</v>
      </c>
      <c r="B9939" s="76" t="s">
        <v>1031</v>
      </c>
      <c r="C9939" s="84">
        <v>1.18</v>
      </c>
      <c r="D9939" s="84">
        <v>0.0</v>
      </c>
      <c r="E9939" s="84">
        <v>0.0</v>
      </c>
      <c r="F9939" s="76" t="s">
        <v>925</v>
      </c>
      <c r="G9939" s="83">
        <v>46119.0</v>
      </c>
      <c r="H9939" s="76" t="s">
        <v>968</v>
      </c>
    </row>
    <row r="9940">
      <c r="A9940" s="76" t="s">
        <v>966</v>
      </c>
      <c r="B9940" s="76" t="s">
        <v>1031</v>
      </c>
      <c r="C9940" s="84">
        <v>2.97</v>
      </c>
      <c r="D9940" s="84">
        <v>0.0</v>
      </c>
      <c r="E9940" s="84">
        <v>0.0</v>
      </c>
      <c r="F9940" s="76" t="s">
        <v>925</v>
      </c>
      <c r="G9940" s="83">
        <v>46119.0</v>
      </c>
      <c r="H9940" s="76" t="s">
        <v>969</v>
      </c>
    </row>
    <row r="9941">
      <c r="A9941" s="76" t="s">
        <v>970</v>
      </c>
      <c r="B9941" s="76" t="s">
        <v>1031</v>
      </c>
      <c r="C9941" s="84">
        <v>4.28</v>
      </c>
      <c r="D9941" s="84">
        <v>1.0</v>
      </c>
      <c r="E9941" s="84">
        <v>4.28</v>
      </c>
      <c r="F9941" s="76" t="s">
        <v>948</v>
      </c>
      <c r="G9941" s="83">
        <v>46119.0</v>
      </c>
      <c r="H9941" s="76" t="s">
        <v>971</v>
      </c>
    </row>
    <row r="9942">
      <c r="A9942" s="76" t="s">
        <v>970</v>
      </c>
      <c r="B9942" s="76" t="s">
        <v>1031</v>
      </c>
      <c r="C9942" s="84">
        <v>3.65</v>
      </c>
      <c r="D9942" s="84">
        <v>0.0</v>
      </c>
      <c r="E9942" s="84">
        <v>0.0</v>
      </c>
      <c r="F9942" s="76" t="s">
        <v>948</v>
      </c>
      <c r="G9942" s="83">
        <v>46119.0</v>
      </c>
      <c r="H9942" s="76" t="s">
        <v>972</v>
      </c>
    </row>
    <row r="9943">
      <c r="A9943" s="76" t="s">
        <v>970</v>
      </c>
      <c r="B9943" s="76" t="s">
        <v>1031</v>
      </c>
      <c r="C9943" s="84">
        <v>6.34</v>
      </c>
      <c r="D9943" s="84">
        <v>1.0</v>
      </c>
      <c r="E9943" s="84">
        <v>6.34</v>
      </c>
      <c r="F9943" s="76" t="s">
        <v>948</v>
      </c>
      <c r="G9943" s="83">
        <v>46119.0</v>
      </c>
      <c r="H9943" s="76" t="s">
        <v>973</v>
      </c>
    </row>
    <row r="9944">
      <c r="A9944" s="76" t="s">
        <v>33</v>
      </c>
      <c r="B9944" s="76" t="s">
        <v>1031</v>
      </c>
      <c r="C9944" s="84">
        <v>45.76</v>
      </c>
      <c r="D9944" s="84">
        <v>8.0</v>
      </c>
      <c r="E9944" s="84">
        <v>5.72</v>
      </c>
      <c r="F9944" s="76" t="s">
        <v>948</v>
      </c>
      <c r="G9944" s="83">
        <v>46119.0</v>
      </c>
      <c r="H9944" s="76" t="s">
        <v>957</v>
      </c>
    </row>
    <row r="9945">
      <c r="A9945" s="76" t="s">
        <v>33</v>
      </c>
      <c r="B9945" s="76" t="s">
        <v>1031</v>
      </c>
      <c r="C9945" s="84">
        <v>6.34</v>
      </c>
      <c r="D9945" s="84">
        <v>3.0</v>
      </c>
      <c r="E9945" s="84">
        <v>2.11</v>
      </c>
      <c r="F9945" s="76" t="s">
        <v>948</v>
      </c>
      <c r="G9945" s="83">
        <v>46119.0</v>
      </c>
      <c r="H9945" s="76" t="s">
        <v>958</v>
      </c>
    </row>
    <row r="9946">
      <c r="A9946" s="76" t="s">
        <v>33</v>
      </c>
      <c r="B9946" s="76" t="s">
        <v>1031</v>
      </c>
      <c r="C9946" s="84">
        <v>19.41</v>
      </c>
      <c r="D9946" s="84">
        <v>6.0</v>
      </c>
      <c r="E9946" s="84">
        <v>3.23</v>
      </c>
      <c r="F9946" s="76" t="s">
        <v>948</v>
      </c>
      <c r="G9946" s="83">
        <v>46119.0</v>
      </c>
      <c r="H9946" s="76" t="s">
        <v>959</v>
      </c>
    </row>
    <row r="9947">
      <c r="A9947" s="76" t="s">
        <v>46</v>
      </c>
      <c r="B9947" s="76" t="s">
        <v>1031</v>
      </c>
      <c r="C9947" s="84">
        <v>19.89</v>
      </c>
      <c r="D9947" s="84">
        <v>1.0</v>
      </c>
      <c r="E9947" s="84">
        <v>19.89</v>
      </c>
      <c r="F9947" s="76" t="s">
        <v>948</v>
      </c>
      <c r="G9947" s="83">
        <v>46119.0</v>
      </c>
      <c r="H9947" s="76" t="s">
        <v>960</v>
      </c>
    </row>
    <row r="9948">
      <c r="A9948" s="76" t="s">
        <v>46</v>
      </c>
      <c r="B9948" s="76" t="s">
        <v>1031</v>
      </c>
      <c r="C9948" s="84">
        <v>2.05</v>
      </c>
      <c r="D9948" s="84">
        <v>0.0</v>
      </c>
      <c r="E9948" s="84">
        <v>0.0</v>
      </c>
      <c r="F9948" s="76" t="s">
        <v>948</v>
      </c>
      <c r="G9948" s="83">
        <v>46119.0</v>
      </c>
      <c r="H9948" s="76" t="s">
        <v>961</v>
      </c>
    </row>
    <row r="9949">
      <c r="A9949" s="76" t="s">
        <v>46</v>
      </c>
      <c r="B9949" s="76" t="s">
        <v>1031</v>
      </c>
      <c r="C9949" s="84">
        <v>4.22</v>
      </c>
      <c r="D9949" s="84">
        <v>0.0</v>
      </c>
      <c r="E9949" s="84">
        <v>0.0</v>
      </c>
      <c r="F9949" s="76" t="s">
        <v>948</v>
      </c>
      <c r="G9949" s="83">
        <v>46119.0</v>
      </c>
      <c r="H9949" s="76" t="s">
        <v>962</v>
      </c>
    </row>
    <row r="9950">
      <c r="A9950" s="76" t="s">
        <v>966</v>
      </c>
      <c r="B9950" s="76" t="s">
        <v>1031</v>
      </c>
      <c r="C9950" s="84">
        <v>5.52</v>
      </c>
      <c r="D9950" s="84">
        <v>1.0</v>
      </c>
      <c r="E9950" s="84">
        <v>5.52</v>
      </c>
      <c r="F9950" s="76" t="s">
        <v>948</v>
      </c>
      <c r="G9950" s="83">
        <v>46119.0</v>
      </c>
      <c r="H9950" s="76" t="s">
        <v>967</v>
      </c>
    </row>
    <row r="9951">
      <c r="A9951" s="76" t="s">
        <v>966</v>
      </c>
      <c r="B9951" s="76" t="s">
        <v>1031</v>
      </c>
      <c r="C9951" s="84">
        <v>2.86</v>
      </c>
      <c r="D9951" s="84">
        <v>0.0</v>
      </c>
      <c r="E9951" s="84">
        <v>0.0</v>
      </c>
      <c r="F9951" s="76" t="s">
        <v>948</v>
      </c>
      <c r="G9951" s="83">
        <v>46119.0</v>
      </c>
      <c r="H9951" s="76" t="s">
        <v>968</v>
      </c>
    </row>
    <row r="9952">
      <c r="A9952" s="76" t="s">
        <v>966</v>
      </c>
      <c r="B9952" s="76" t="s">
        <v>1031</v>
      </c>
      <c r="C9952" s="84">
        <v>5.54</v>
      </c>
      <c r="D9952" s="84">
        <v>3.0</v>
      </c>
      <c r="E9952" s="84">
        <v>1.85</v>
      </c>
      <c r="F9952" s="76" t="s">
        <v>948</v>
      </c>
      <c r="G9952" s="83">
        <v>46119.0</v>
      </c>
      <c r="H9952" s="76" t="s">
        <v>969</v>
      </c>
    </row>
    <row r="9953">
      <c r="A9953" s="76" t="s">
        <v>43</v>
      </c>
      <c r="B9953" s="76" t="s">
        <v>1031</v>
      </c>
      <c r="C9953" s="84">
        <v>3.43</v>
      </c>
      <c r="D9953" s="84">
        <v>1.0</v>
      </c>
      <c r="E9953" s="84">
        <v>3.43</v>
      </c>
      <c r="F9953" s="76" t="s">
        <v>948</v>
      </c>
      <c r="G9953" s="83">
        <v>46119.0</v>
      </c>
      <c r="H9953" s="76" t="s">
        <v>963</v>
      </c>
    </row>
    <row r="9954">
      <c r="A9954" s="76" t="s">
        <v>43</v>
      </c>
      <c r="B9954" s="76" t="s">
        <v>1031</v>
      </c>
      <c r="C9954" s="84">
        <v>2.76</v>
      </c>
      <c r="D9954" s="84">
        <v>0.0</v>
      </c>
      <c r="E9954" s="84">
        <v>0.0</v>
      </c>
      <c r="F9954" s="76" t="s">
        <v>948</v>
      </c>
      <c r="G9954" s="83">
        <v>46119.0</v>
      </c>
      <c r="H9954" s="76" t="s">
        <v>964</v>
      </c>
    </row>
    <row r="9955">
      <c r="A9955" s="76" t="s">
        <v>43</v>
      </c>
      <c r="B9955" s="76" t="s">
        <v>1031</v>
      </c>
      <c r="C9955" s="84">
        <v>25.92</v>
      </c>
      <c r="D9955" s="84">
        <v>2.0</v>
      </c>
      <c r="E9955" s="84">
        <v>12.96</v>
      </c>
      <c r="F9955" s="76" t="s">
        <v>948</v>
      </c>
      <c r="G9955" s="83">
        <v>46119.0</v>
      </c>
      <c r="H9955" s="76" t="s">
        <v>965</v>
      </c>
    </row>
    <row r="9956">
      <c r="A9956" s="76" t="s">
        <v>34</v>
      </c>
      <c r="B9956" s="76" t="s">
        <v>1031</v>
      </c>
      <c r="C9956" s="84">
        <v>2.93</v>
      </c>
      <c r="D9956" s="84">
        <v>1.0</v>
      </c>
      <c r="E9956" s="84">
        <v>2.93</v>
      </c>
      <c r="F9956" s="76" t="s">
        <v>948</v>
      </c>
      <c r="G9956" s="83">
        <v>46119.0</v>
      </c>
      <c r="H9956" s="76" t="s">
        <v>951</v>
      </c>
    </row>
    <row r="9957">
      <c r="A9957" s="76" t="s">
        <v>34</v>
      </c>
      <c r="B9957" s="76" t="s">
        <v>1031</v>
      </c>
      <c r="C9957" s="84">
        <v>15.9</v>
      </c>
      <c r="D9957" s="84">
        <v>6.0</v>
      </c>
      <c r="E9957" s="84">
        <v>2.65</v>
      </c>
      <c r="F9957" s="76" t="s">
        <v>948</v>
      </c>
      <c r="G9957" s="83">
        <v>46119.0</v>
      </c>
      <c r="H9957" s="76" t="s">
        <v>952</v>
      </c>
    </row>
    <row r="9958">
      <c r="A9958" s="76" t="s">
        <v>34</v>
      </c>
      <c r="B9958" s="76" t="s">
        <v>1031</v>
      </c>
      <c r="C9958" s="84">
        <v>3.52</v>
      </c>
      <c r="D9958" s="84">
        <v>0.0</v>
      </c>
      <c r="E9958" s="84">
        <v>0.0</v>
      </c>
      <c r="F9958" s="76" t="s">
        <v>948</v>
      </c>
      <c r="G9958" s="83">
        <v>46119.0</v>
      </c>
      <c r="H9958" s="76" t="s">
        <v>953</v>
      </c>
    </row>
    <row r="9959">
      <c r="A9959" s="76" t="s">
        <v>36</v>
      </c>
      <c r="B9959" s="76" t="s">
        <v>1031</v>
      </c>
      <c r="C9959" s="84">
        <v>8.15</v>
      </c>
      <c r="D9959" s="84">
        <v>1.0</v>
      </c>
      <c r="E9959" s="84">
        <v>8.15</v>
      </c>
      <c r="F9959" s="76" t="s">
        <v>948</v>
      </c>
      <c r="G9959" s="83">
        <v>46119.0</v>
      </c>
      <c r="H9959" s="76" t="s">
        <v>926</v>
      </c>
    </row>
    <row r="9960">
      <c r="A9960" s="76" t="s">
        <v>36</v>
      </c>
      <c r="B9960" s="76" t="s">
        <v>1031</v>
      </c>
      <c r="C9960" s="84">
        <v>1.3</v>
      </c>
      <c r="D9960" s="84">
        <v>0.0</v>
      </c>
      <c r="E9960" s="84">
        <v>0.0</v>
      </c>
      <c r="F9960" s="76" t="s">
        <v>948</v>
      </c>
      <c r="G9960" s="83">
        <v>46119.0</v>
      </c>
      <c r="H9960" s="76" t="s">
        <v>927</v>
      </c>
    </row>
    <row r="9961">
      <c r="A9961" s="76" t="s">
        <v>36</v>
      </c>
      <c r="B9961" s="76" t="s">
        <v>1031</v>
      </c>
      <c r="C9961" s="84">
        <v>4.9</v>
      </c>
      <c r="D9961" s="84">
        <v>0.0</v>
      </c>
      <c r="E9961" s="84">
        <v>0.0</v>
      </c>
      <c r="F9961" s="76" t="s">
        <v>948</v>
      </c>
      <c r="G9961" s="83">
        <v>46119.0</v>
      </c>
      <c r="H9961" s="76" t="s">
        <v>928</v>
      </c>
    </row>
    <row r="9962">
      <c r="A9962" s="76" t="s">
        <v>29</v>
      </c>
      <c r="B9962" s="76" t="s">
        <v>1031</v>
      </c>
      <c r="C9962" s="84">
        <v>4.81</v>
      </c>
      <c r="D9962" s="84">
        <v>2.0</v>
      </c>
      <c r="E9962" s="84">
        <v>2.41</v>
      </c>
      <c r="F9962" s="76" t="s">
        <v>948</v>
      </c>
      <c r="G9962" s="83">
        <v>46119.0</v>
      </c>
      <c r="H9962" s="76" t="s">
        <v>971</v>
      </c>
    </row>
    <row r="9963">
      <c r="A9963" s="76" t="s">
        <v>29</v>
      </c>
      <c r="B9963" s="76" t="s">
        <v>1031</v>
      </c>
      <c r="C9963" s="84">
        <v>3.54</v>
      </c>
      <c r="D9963" s="84">
        <v>1.0</v>
      </c>
      <c r="E9963" s="84">
        <v>3.54</v>
      </c>
      <c r="F9963" s="76" t="s">
        <v>948</v>
      </c>
      <c r="G9963" s="83">
        <v>46119.0</v>
      </c>
      <c r="H9963" s="76" t="s">
        <v>972</v>
      </c>
    </row>
    <row r="9964">
      <c r="A9964" s="76" t="s">
        <v>29</v>
      </c>
      <c r="B9964" s="76" t="s">
        <v>1031</v>
      </c>
      <c r="C9964" s="84">
        <v>10.36</v>
      </c>
      <c r="D9964" s="84">
        <v>4.0</v>
      </c>
      <c r="E9964" s="84">
        <v>2.59</v>
      </c>
      <c r="F9964" s="76" t="s">
        <v>948</v>
      </c>
      <c r="G9964" s="83">
        <v>46119.0</v>
      </c>
      <c r="H9964" s="76" t="s">
        <v>973</v>
      </c>
    </row>
    <row r="9965">
      <c r="A9965" s="76" t="s">
        <v>40</v>
      </c>
      <c r="B9965" s="76" t="s">
        <v>1031</v>
      </c>
      <c r="C9965" s="84">
        <v>3.6</v>
      </c>
      <c r="D9965" s="84">
        <v>1.0</v>
      </c>
      <c r="E9965" s="84">
        <v>3.6</v>
      </c>
      <c r="F9965" s="76" t="s">
        <v>948</v>
      </c>
      <c r="G9965" s="83">
        <v>46119.0</v>
      </c>
      <c r="H9965" s="76" t="s">
        <v>954</v>
      </c>
    </row>
    <row r="9966">
      <c r="A9966" s="76" t="s">
        <v>40</v>
      </c>
      <c r="B9966" s="76" t="s">
        <v>1031</v>
      </c>
      <c r="C9966" s="84">
        <v>3.62</v>
      </c>
      <c r="D9966" s="84">
        <v>1.0</v>
      </c>
      <c r="E9966" s="84">
        <v>3.62</v>
      </c>
      <c r="F9966" s="76" t="s">
        <v>948</v>
      </c>
      <c r="G9966" s="83">
        <v>46119.0</v>
      </c>
      <c r="H9966" s="76" t="s">
        <v>955</v>
      </c>
    </row>
    <row r="9967">
      <c r="A9967" s="76" t="s">
        <v>40</v>
      </c>
      <c r="B9967" s="76" t="s">
        <v>1031</v>
      </c>
      <c r="C9967" s="84">
        <v>22.29</v>
      </c>
      <c r="D9967" s="84">
        <v>10.0</v>
      </c>
      <c r="E9967" s="84">
        <v>2.23</v>
      </c>
      <c r="F9967" s="76" t="s">
        <v>948</v>
      </c>
      <c r="G9967" s="83">
        <v>46119.0</v>
      </c>
      <c r="H9967" s="76" t="s">
        <v>956</v>
      </c>
    </row>
    <row r="9968">
      <c r="A9968" s="76" t="s">
        <v>46</v>
      </c>
      <c r="B9968" s="76" t="s">
        <v>1030</v>
      </c>
      <c r="C9968" s="84">
        <v>4.25</v>
      </c>
      <c r="D9968" s="84">
        <v>0.0</v>
      </c>
      <c r="E9968" s="84">
        <v>0.0</v>
      </c>
      <c r="F9968" s="76" t="s">
        <v>974</v>
      </c>
      <c r="G9968" s="83">
        <v>46119.0</v>
      </c>
      <c r="H9968" s="76" t="s">
        <v>960</v>
      </c>
    </row>
    <row r="9969">
      <c r="A9969" s="76" t="s">
        <v>46</v>
      </c>
      <c r="B9969" s="76" t="s">
        <v>1030</v>
      </c>
      <c r="C9969" s="84">
        <v>0.01</v>
      </c>
      <c r="D9969" s="84">
        <v>0.0</v>
      </c>
      <c r="E9969" s="84">
        <v>0.0</v>
      </c>
      <c r="F9969" s="76" t="s">
        <v>974</v>
      </c>
      <c r="G9969" s="83">
        <v>46119.0</v>
      </c>
      <c r="H9969" s="76" t="s">
        <v>961</v>
      </c>
    </row>
    <row r="9970">
      <c r="A9970" s="76" t="s">
        <v>46</v>
      </c>
      <c r="B9970" s="76" t="s">
        <v>1030</v>
      </c>
      <c r="C9970" s="84">
        <v>0.13</v>
      </c>
      <c r="D9970" s="84">
        <v>0.0</v>
      </c>
      <c r="E9970" s="84">
        <v>0.0</v>
      </c>
      <c r="F9970" s="76" t="s">
        <v>974</v>
      </c>
      <c r="G9970" s="83">
        <v>46119.0</v>
      </c>
      <c r="H9970" s="76" t="s">
        <v>962</v>
      </c>
    </row>
    <row r="9971">
      <c r="A9971" s="76" t="s">
        <v>34</v>
      </c>
      <c r="B9971" s="76" t="s">
        <v>1030</v>
      </c>
      <c r="C9971" s="84">
        <v>0.15</v>
      </c>
      <c r="D9971" s="84">
        <v>0.0</v>
      </c>
      <c r="E9971" s="84">
        <v>0.0</v>
      </c>
      <c r="F9971" s="76" t="s">
        <v>974</v>
      </c>
      <c r="G9971" s="83">
        <v>46119.0</v>
      </c>
      <c r="H9971" s="76" t="s">
        <v>951</v>
      </c>
    </row>
    <row r="9972">
      <c r="A9972" s="76" t="s">
        <v>34</v>
      </c>
      <c r="B9972" s="76" t="s">
        <v>1030</v>
      </c>
      <c r="C9972" s="84">
        <v>0.38</v>
      </c>
      <c r="D9972" s="84">
        <v>0.0</v>
      </c>
      <c r="E9972" s="84">
        <v>0.0</v>
      </c>
      <c r="F9972" s="76" t="s">
        <v>974</v>
      </c>
      <c r="G9972" s="83">
        <v>46119.0</v>
      </c>
      <c r="H9972" s="76" t="s">
        <v>952</v>
      </c>
    </row>
    <row r="9973">
      <c r="A9973" s="76" t="s">
        <v>34</v>
      </c>
      <c r="B9973" s="76" t="s">
        <v>1030</v>
      </c>
      <c r="C9973" s="84">
        <v>0.17</v>
      </c>
      <c r="D9973" s="84">
        <v>0.0</v>
      </c>
      <c r="E9973" s="84">
        <v>0.0</v>
      </c>
      <c r="F9973" s="76" t="s">
        <v>974</v>
      </c>
      <c r="G9973" s="83">
        <v>46119.0</v>
      </c>
      <c r="H9973" s="76" t="s">
        <v>953</v>
      </c>
    </row>
    <row r="9974">
      <c r="A9974" s="76" t="s">
        <v>43</v>
      </c>
      <c r="B9974" s="76" t="s">
        <v>1030</v>
      </c>
      <c r="C9974" s="84">
        <v>0.11</v>
      </c>
      <c r="D9974" s="84">
        <v>0.0</v>
      </c>
      <c r="E9974" s="84">
        <v>0.0</v>
      </c>
      <c r="F9974" s="76" t="s">
        <v>974</v>
      </c>
      <c r="G9974" s="83">
        <v>46119.0</v>
      </c>
      <c r="H9974" s="76" t="s">
        <v>963</v>
      </c>
    </row>
    <row r="9975">
      <c r="A9975" s="76" t="s">
        <v>43</v>
      </c>
      <c r="B9975" s="76" t="s">
        <v>1030</v>
      </c>
      <c r="C9975" s="84">
        <v>0.07</v>
      </c>
      <c r="D9975" s="84">
        <v>0.0</v>
      </c>
      <c r="E9975" s="84">
        <v>0.0</v>
      </c>
      <c r="F9975" s="76" t="s">
        <v>974</v>
      </c>
      <c r="G9975" s="83">
        <v>46119.0</v>
      </c>
      <c r="H9975" s="76" t="s">
        <v>964</v>
      </c>
    </row>
    <row r="9976">
      <c r="A9976" s="76" t="s">
        <v>43</v>
      </c>
      <c r="B9976" s="76" t="s">
        <v>1030</v>
      </c>
      <c r="C9976" s="84">
        <v>0.6</v>
      </c>
      <c r="D9976" s="84">
        <v>0.0</v>
      </c>
      <c r="E9976" s="84">
        <v>0.0</v>
      </c>
      <c r="F9976" s="76" t="s">
        <v>974</v>
      </c>
      <c r="G9976" s="83">
        <v>46119.0</v>
      </c>
      <c r="H9976" s="76" t="s">
        <v>965</v>
      </c>
    </row>
    <row r="9977">
      <c r="A9977" s="76" t="s">
        <v>36</v>
      </c>
      <c r="B9977" s="76" t="s">
        <v>1030</v>
      </c>
      <c r="C9977" s="84">
        <v>0.47</v>
      </c>
      <c r="D9977" s="84">
        <v>0.0</v>
      </c>
      <c r="E9977" s="84">
        <v>0.0</v>
      </c>
      <c r="F9977" s="76" t="s">
        <v>974</v>
      </c>
      <c r="G9977" s="83">
        <v>46119.0</v>
      </c>
      <c r="H9977" s="76" t="s">
        <v>926</v>
      </c>
    </row>
    <row r="9978">
      <c r="A9978" s="76" t="s">
        <v>36</v>
      </c>
      <c r="B9978" s="76" t="s">
        <v>1030</v>
      </c>
      <c r="C9978" s="84">
        <v>0.06</v>
      </c>
      <c r="D9978" s="84">
        <v>0.0</v>
      </c>
      <c r="E9978" s="84">
        <v>0.0</v>
      </c>
      <c r="F9978" s="76" t="s">
        <v>974</v>
      </c>
      <c r="G9978" s="83">
        <v>46119.0</v>
      </c>
      <c r="H9978" s="76" t="s">
        <v>927</v>
      </c>
    </row>
    <row r="9979">
      <c r="A9979" s="76" t="s">
        <v>36</v>
      </c>
      <c r="B9979" s="76" t="s">
        <v>1030</v>
      </c>
      <c r="C9979" s="84">
        <v>0.19</v>
      </c>
      <c r="D9979" s="84">
        <v>0.0</v>
      </c>
      <c r="E9979" s="84">
        <v>0.0</v>
      </c>
      <c r="F9979" s="76" t="s">
        <v>974</v>
      </c>
      <c r="G9979" s="83">
        <v>46119.0</v>
      </c>
      <c r="H9979" s="76" t="s">
        <v>928</v>
      </c>
    </row>
    <row r="9980">
      <c r="A9980" s="76" t="s">
        <v>33</v>
      </c>
      <c r="B9980" s="76" t="s">
        <v>1030</v>
      </c>
      <c r="C9980" s="84">
        <v>0.73</v>
      </c>
      <c r="D9980" s="84">
        <v>0.0</v>
      </c>
      <c r="E9980" s="84">
        <v>0.0</v>
      </c>
      <c r="F9980" s="76" t="s">
        <v>974</v>
      </c>
      <c r="G9980" s="83">
        <v>46119.0</v>
      </c>
      <c r="H9980" s="76" t="s">
        <v>957</v>
      </c>
    </row>
    <row r="9981">
      <c r="A9981" s="76" t="s">
        <v>33</v>
      </c>
      <c r="B9981" s="76" t="s">
        <v>1030</v>
      </c>
      <c r="C9981" s="84">
        <v>0.05</v>
      </c>
      <c r="D9981" s="84">
        <v>0.0</v>
      </c>
      <c r="E9981" s="84">
        <v>0.0</v>
      </c>
      <c r="F9981" s="76" t="s">
        <v>974</v>
      </c>
      <c r="G9981" s="83">
        <v>46119.0</v>
      </c>
      <c r="H9981" s="76" t="s">
        <v>958</v>
      </c>
    </row>
    <row r="9982">
      <c r="A9982" s="76" t="s">
        <v>33</v>
      </c>
      <c r="B9982" s="76" t="s">
        <v>1030</v>
      </c>
      <c r="C9982" s="84">
        <v>0.29</v>
      </c>
      <c r="D9982" s="84">
        <v>0.0</v>
      </c>
      <c r="E9982" s="84">
        <v>0.0</v>
      </c>
      <c r="F9982" s="76" t="s">
        <v>974</v>
      </c>
      <c r="G9982" s="83">
        <v>46119.0</v>
      </c>
      <c r="H9982" s="76" t="s">
        <v>959</v>
      </c>
    </row>
    <row r="9983">
      <c r="A9983" s="76" t="s">
        <v>966</v>
      </c>
      <c r="B9983" s="76" t="s">
        <v>1030</v>
      </c>
      <c r="C9983" s="84">
        <v>0.54</v>
      </c>
      <c r="D9983" s="84">
        <v>0.0</v>
      </c>
      <c r="E9983" s="84">
        <v>0.0</v>
      </c>
      <c r="F9983" s="76" t="s">
        <v>974</v>
      </c>
      <c r="G9983" s="83">
        <v>46119.0</v>
      </c>
      <c r="H9983" s="76" t="s">
        <v>967</v>
      </c>
    </row>
    <row r="9984">
      <c r="A9984" s="76" t="s">
        <v>966</v>
      </c>
      <c r="B9984" s="76" t="s">
        <v>1030</v>
      </c>
      <c r="C9984" s="84">
        <v>0.06</v>
      </c>
      <c r="D9984" s="84">
        <v>0.0</v>
      </c>
      <c r="E9984" s="84">
        <v>0.0</v>
      </c>
      <c r="F9984" s="76" t="s">
        <v>974</v>
      </c>
      <c r="G9984" s="83">
        <v>46119.0</v>
      </c>
      <c r="H9984" s="76" t="s">
        <v>968</v>
      </c>
    </row>
    <row r="9985">
      <c r="A9985" s="76" t="s">
        <v>966</v>
      </c>
      <c r="B9985" s="76" t="s">
        <v>1030</v>
      </c>
      <c r="C9985" s="84">
        <v>0.52</v>
      </c>
      <c r="D9985" s="84">
        <v>1.0</v>
      </c>
      <c r="E9985" s="84">
        <v>0.52</v>
      </c>
      <c r="F9985" s="76" t="s">
        <v>974</v>
      </c>
      <c r="G9985" s="83">
        <v>46119.0</v>
      </c>
      <c r="H9985" s="76" t="s">
        <v>969</v>
      </c>
    </row>
    <row r="9986">
      <c r="A9986" s="76" t="s">
        <v>40</v>
      </c>
      <c r="B9986" s="76" t="s">
        <v>1030</v>
      </c>
      <c r="C9986" s="84">
        <v>0.07</v>
      </c>
      <c r="D9986" s="84">
        <v>0.0</v>
      </c>
      <c r="E9986" s="84">
        <v>0.0</v>
      </c>
      <c r="F9986" s="76" t="s">
        <v>974</v>
      </c>
      <c r="G9986" s="83">
        <v>46119.0</v>
      </c>
      <c r="H9986" s="76" t="s">
        <v>954</v>
      </c>
    </row>
    <row r="9987">
      <c r="A9987" s="76" t="s">
        <v>40</v>
      </c>
      <c r="B9987" s="76" t="s">
        <v>1030</v>
      </c>
      <c r="C9987" s="84">
        <v>0.01</v>
      </c>
      <c r="D9987" s="84">
        <v>0.0</v>
      </c>
      <c r="E9987" s="84">
        <v>0.0</v>
      </c>
      <c r="F9987" s="76" t="s">
        <v>974</v>
      </c>
      <c r="G9987" s="83">
        <v>46119.0</v>
      </c>
      <c r="H9987" s="76" t="s">
        <v>955</v>
      </c>
    </row>
    <row r="9988">
      <c r="A9988" s="76" t="s">
        <v>40</v>
      </c>
      <c r="B9988" s="76" t="s">
        <v>1030</v>
      </c>
      <c r="C9988" s="84">
        <v>0.98</v>
      </c>
      <c r="D9988" s="84">
        <v>0.0</v>
      </c>
      <c r="E9988" s="84">
        <v>0.0</v>
      </c>
      <c r="F9988" s="76" t="s">
        <v>974</v>
      </c>
      <c r="G9988" s="83">
        <v>46119.0</v>
      </c>
      <c r="H9988" s="76" t="s">
        <v>956</v>
      </c>
    </row>
    <row r="9989">
      <c r="A9989" s="76" t="s">
        <v>29</v>
      </c>
      <c r="B9989" s="76" t="s">
        <v>1030</v>
      </c>
      <c r="C9989" s="84">
        <v>0.06</v>
      </c>
      <c r="D9989" s="84">
        <v>0.0</v>
      </c>
      <c r="E9989" s="84">
        <v>0.0</v>
      </c>
      <c r="F9989" s="76" t="s">
        <v>974</v>
      </c>
      <c r="G9989" s="83">
        <v>46119.0</v>
      </c>
      <c r="H9989" s="76" t="s">
        <v>971</v>
      </c>
    </row>
    <row r="9990">
      <c r="A9990" s="76" t="s">
        <v>29</v>
      </c>
      <c r="B9990" s="76" t="s">
        <v>1030</v>
      </c>
      <c r="C9990" s="84">
        <v>0.01</v>
      </c>
      <c r="D9990" s="84">
        <v>0.0</v>
      </c>
      <c r="E9990" s="84">
        <v>0.0</v>
      </c>
      <c r="F9990" s="76" t="s">
        <v>974</v>
      </c>
      <c r="G9990" s="83">
        <v>46119.0</v>
      </c>
      <c r="H9990" s="76" t="s">
        <v>972</v>
      </c>
    </row>
    <row r="9991">
      <c r="A9991" s="76" t="s">
        <v>29</v>
      </c>
      <c r="B9991" s="76" t="s">
        <v>1030</v>
      </c>
      <c r="C9991" s="84">
        <v>0.3</v>
      </c>
      <c r="D9991" s="84">
        <v>0.0</v>
      </c>
      <c r="E9991" s="84">
        <v>0.0</v>
      </c>
      <c r="F9991" s="76" t="s">
        <v>974</v>
      </c>
      <c r="G9991" s="83">
        <v>46119.0</v>
      </c>
      <c r="H9991" s="76" t="s">
        <v>973</v>
      </c>
    </row>
    <row r="9992">
      <c r="A9992" s="76" t="s">
        <v>970</v>
      </c>
      <c r="B9992" s="76" t="s">
        <v>1030</v>
      </c>
      <c r="C9992" s="84">
        <v>0.06</v>
      </c>
      <c r="D9992" s="84">
        <v>0.0</v>
      </c>
      <c r="E9992" s="84">
        <v>0.0</v>
      </c>
      <c r="F9992" s="76" t="s">
        <v>974</v>
      </c>
      <c r="G9992" s="83">
        <v>46119.0</v>
      </c>
      <c r="H9992" s="76" t="s">
        <v>971</v>
      </c>
    </row>
    <row r="9993">
      <c r="A9993" s="76" t="s">
        <v>970</v>
      </c>
      <c r="B9993" s="76" t="s">
        <v>1030</v>
      </c>
      <c r="C9993" s="84">
        <v>0.07</v>
      </c>
      <c r="D9993" s="84">
        <v>0.0</v>
      </c>
      <c r="E9993" s="84">
        <v>0.0</v>
      </c>
      <c r="F9993" s="76" t="s">
        <v>974</v>
      </c>
      <c r="G9993" s="83">
        <v>46119.0</v>
      </c>
      <c r="H9993" s="76" t="s">
        <v>972</v>
      </c>
    </row>
    <row r="9994">
      <c r="A9994" s="76" t="s">
        <v>970</v>
      </c>
      <c r="B9994" s="76" t="s">
        <v>1030</v>
      </c>
      <c r="C9994" s="84">
        <v>0.39</v>
      </c>
      <c r="D9994" s="84">
        <v>0.0</v>
      </c>
      <c r="E9994" s="84">
        <v>0.0</v>
      </c>
      <c r="F9994" s="76" t="s">
        <v>974</v>
      </c>
      <c r="G9994" s="83">
        <v>46119.0</v>
      </c>
      <c r="H9994" s="76" t="s">
        <v>973</v>
      </c>
    </row>
    <row r="9995">
      <c r="A9995" s="76" t="s">
        <v>45</v>
      </c>
      <c r="B9995" s="76" t="s">
        <v>1038</v>
      </c>
      <c r="C9995" s="84">
        <v>0.38</v>
      </c>
      <c r="D9995" s="84">
        <v>0.0</v>
      </c>
      <c r="E9995" s="84">
        <v>0.0</v>
      </c>
      <c r="F9995" s="76" t="s">
        <v>975</v>
      </c>
      <c r="G9995" s="83">
        <v>46119.0</v>
      </c>
      <c r="H9995" s="76" t="s">
        <v>936</v>
      </c>
    </row>
    <row r="9996">
      <c r="A9996" s="76" t="s">
        <v>45</v>
      </c>
      <c r="B9996" s="76" t="s">
        <v>1038</v>
      </c>
      <c r="C9996" s="84">
        <v>1.32</v>
      </c>
      <c r="D9996" s="84">
        <v>0.0</v>
      </c>
      <c r="E9996" s="84">
        <v>0.0</v>
      </c>
      <c r="F9996" s="76" t="s">
        <v>975</v>
      </c>
      <c r="G9996" s="83">
        <v>46119.0</v>
      </c>
      <c r="H9996" s="76" t="s">
        <v>937</v>
      </c>
    </row>
    <row r="9997">
      <c r="A9997" s="76" t="s">
        <v>45</v>
      </c>
      <c r="B9997" s="76" t="s">
        <v>1038</v>
      </c>
      <c r="C9997" s="84">
        <v>1.0</v>
      </c>
      <c r="D9997" s="84">
        <v>0.0</v>
      </c>
      <c r="E9997" s="84">
        <v>0.0</v>
      </c>
      <c r="F9997" s="76" t="s">
        <v>975</v>
      </c>
      <c r="G9997" s="83">
        <v>46119.0</v>
      </c>
      <c r="H9997" s="76" t="s">
        <v>938</v>
      </c>
    </row>
    <row r="9998">
      <c r="A9998" s="76" t="s">
        <v>36</v>
      </c>
      <c r="B9998" s="76" t="s">
        <v>1038</v>
      </c>
      <c r="C9998" s="84">
        <v>1.15</v>
      </c>
      <c r="D9998" s="84">
        <v>0.0</v>
      </c>
      <c r="E9998" s="84">
        <v>0.0</v>
      </c>
      <c r="F9998" s="76" t="s">
        <v>975</v>
      </c>
      <c r="G9998" s="83">
        <v>46119.0</v>
      </c>
      <c r="H9998" s="76" t="s">
        <v>926</v>
      </c>
    </row>
    <row r="9999">
      <c r="A9999" s="76" t="s">
        <v>36</v>
      </c>
      <c r="B9999" s="76" t="s">
        <v>1038</v>
      </c>
      <c r="C9999" s="84">
        <v>0.16</v>
      </c>
      <c r="D9999" s="84">
        <v>0.0</v>
      </c>
      <c r="E9999" s="84">
        <v>0.0</v>
      </c>
      <c r="F9999" s="76" t="s">
        <v>975</v>
      </c>
      <c r="G9999" s="83">
        <v>46119.0</v>
      </c>
      <c r="H9999" s="76" t="s">
        <v>927</v>
      </c>
    </row>
    <row r="10000">
      <c r="A10000" s="76" t="s">
        <v>36</v>
      </c>
      <c r="B10000" s="76" t="s">
        <v>1038</v>
      </c>
      <c r="C10000" s="84">
        <v>0.75</v>
      </c>
      <c r="D10000" s="84">
        <v>1.0</v>
      </c>
      <c r="E10000" s="84">
        <v>0.75</v>
      </c>
      <c r="F10000" s="76" t="s">
        <v>975</v>
      </c>
      <c r="G10000" s="83">
        <v>46119.0</v>
      </c>
      <c r="H10000" s="76" t="s">
        <v>928</v>
      </c>
    </row>
    <row r="10001">
      <c r="A10001" s="76" t="s">
        <v>50</v>
      </c>
      <c r="B10001" s="76" t="s">
        <v>1038</v>
      </c>
      <c r="C10001" s="84">
        <v>0.79</v>
      </c>
      <c r="D10001" s="84">
        <v>0.0</v>
      </c>
      <c r="E10001" s="84">
        <v>0.0</v>
      </c>
      <c r="F10001" s="76" t="s">
        <v>975</v>
      </c>
      <c r="G10001" s="83">
        <v>46119.0</v>
      </c>
      <c r="H10001" s="76" t="s">
        <v>939</v>
      </c>
    </row>
    <row r="10002">
      <c r="A10002" s="76" t="s">
        <v>50</v>
      </c>
      <c r="B10002" s="76" t="s">
        <v>1038</v>
      </c>
      <c r="C10002" s="84">
        <v>0.17</v>
      </c>
      <c r="D10002" s="84">
        <v>0.0</v>
      </c>
      <c r="E10002" s="84">
        <v>0.0</v>
      </c>
      <c r="F10002" s="76" t="s">
        <v>975</v>
      </c>
      <c r="G10002" s="83">
        <v>46119.0</v>
      </c>
      <c r="H10002" s="76" t="s">
        <v>940</v>
      </c>
    </row>
    <row r="10003">
      <c r="A10003" s="76" t="s">
        <v>944</v>
      </c>
      <c r="B10003" s="76" t="s">
        <v>1038</v>
      </c>
      <c r="C10003" s="84">
        <v>0.51</v>
      </c>
      <c r="D10003" s="84">
        <v>0.0</v>
      </c>
      <c r="E10003" s="84">
        <v>0.0</v>
      </c>
      <c r="F10003" s="76" t="s">
        <v>975</v>
      </c>
      <c r="G10003" s="83">
        <v>46119.0</v>
      </c>
      <c r="H10003" s="76" t="s">
        <v>945</v>
      </c>
    </row>
    <row r="10004">
      <c r="A10004" s="76" t="s">
        <v>944</v>
      </c>
      <c r="B10004" s="76" t="s">
        <v>1038</v>
      </c>
      <c r="C10004" s="84">
        <v>0.69</v>
      </c>
      <c r="D10004" s="84">
        <v>0.0</v>
      </c>
      <c r="E10004" s="84">
        <v>0.0</v>
      </c>
      <c r="F10004" s="76" t="s">
        <v>975</v>
      </c>
      <c r="G10004" s="83">
        <v>46119.0</v>
      </c>
      <c r="H10004" s="76" t="s">
        <v>946</v>
      </c>
    </row>
    <row r="10005">
      <c r="A10005" s="76" t="s">
        <v>944</v>
      </c>
      <c r="B10005" s="76" t="s">
        <v>1038</v>
      </c>
      <c r="C10005" s="84">
        <v>3.0</v>
      </c>
      <c r="D10005" s="84">
        <v>0.0</v>
      </c>
      <c r="E10005" s="84">
        <v>0.0</v>
      </c>
      <c r="F10005" s="76" t="s">
        <v>975</v>
      </c>
      <c r="G10005" s="83">
        <v>46119.0</v>
      </c>
      <c r="H10005" s="76" t="s">
        <v>947</v>
      </c>
    </row>
    <row r="10006">
      <c r="A10006" s="76" t="s">
        <v>26</v>
      </c>
      <c r="B10006" s="76" t="s">
        <v>1038</v>
      </c>
      <c r="C10006" s="84">
        <v>0.22</v>
      </c>
      <c r="D10006" s="84">
        <v>0.0</v>
      </c>
      <c r="E10006" s="84">
        <v>0.0</v>
      </c>
      <c r="F10006" s="76" t="s">
        <v>975</v>
      </c>
      <c r="G10006" s="83">
        <v>46119.0</v>
      </c>
      <c r="H10006" s="76" t="s">
        <v>1012</v>
      </c>
    </row>
    <row r="10007">
      <c r="A10007" s="76" t="s">
        <v>26</v>
      </c>
      <c r="B10007" s="76" t="s">
        <v>1038</v>
      </c>
      <c r="C10007" s="84">
        <v>0.55</v>
      </c>
      <c r="D10007" s="84">
        <v>0.0</v>
      </c>
      <c r="E10007" s="84">
        <v>0.0</v>
      </c>
      <c r="F10007" s="76" t="s">
        <v>975</v>
      </c>
      <c r="G10007" s="83">
        <v>46119.0</v>
      </c>
      <c r="H10007" s="76" t="s">
        <v>1013</v>
      </c>
    </row>
    <row r="10008">
      <c r="A10008" s="76" t="s">
        <v>26</v>
      </c>
      <c r="B10008" s="76" t="s">
        <v>1038</v>
      </c>
      <c r="C10008" s="84">
        <v>3.73</v>
      </c>
      <c r="D10008" s="84">
        <v>0.0</v>
      </c>
      <c r="E10008" s="84">
        <v>0.0</v>
      </c>
      <c r="F10008" s="76" t="s">
        <v>975</v>
      </c>
      <c r="G10008" s="83">
        <v>46119.0</v>
      </c>
      <c r="H10008" s="76" t="s">
        <v>1014</v>
      </c>
    </row>
    <row r="10009">
      <c r="A10009" s="76" t="s">
        <v>32</v>
      </c>
      <c r="B10009" s="76" t="s">
        <v>1038</v>
      </c>
      <c r="C10009" s="84">
        <v>5.95</v>
      </c>
      <c r="D10009" s="84">
        <v>3.0</v>
      </c>
      <c r="E10009" s="84">
        <v>1.98</v>
      </c>
      <c r="F10009" s="76" t="s">
        <v>975</v>
      </c>
      <c r="G10009" s="83">
        <v>46119.0</v>
      </c>
      <c r="H10009" s="76" t="s">
        <v>941</v>
      </c>
    </row>
    <row r="10010">
      <c r="A10010" s="76" t="s">
        <v>32</v>
      </c>
      <c r="B10010" s="76" t="s">
        <v>1038</v>
      </c>
      <c r="C10010" s="84">
        <v>0.44</v>
      </c>
      <c r="D10010" s="84">
        <v>0.0</v>
      </c>
      <c r="E10010" s="84">
        <v>0.0</v>
      </c>
      <c r="F10010" s="76" t="s">
        <v>975</v>
      </c>
      <c r="G10010" s="83">
        <v>46119.0</v>
      </c>
      <c r="H10010" s="76" t="s">
        <v>942</v>
      </c>
    </row>
    <row r="10011">
      <c r="A10011" s="76" t="s">
        <v>32</v>
      </c>
      <c r="B10011" s="76" t="s">
        <v>1038</v>
      </c>
      <c r="C10011" s="84">
        <v>1.17</v>
      </c>
      <c r="D10011" s="84">
        <v>0.0</v>
      </c>
      <c r="E10011" s="84">
        <v>0.0</v>
      </c>
      <c r="F10011" s="76" t="s">
        <v>975</v>
      </c>
      <c r="G10011" s="83">
        <v>46119.0</v>
      </c>
      <c r="H10011" s="76" t="s">
        <v>943</v>
      </c>
    </row>
    <row r="10012">
      <c r="A10012" s="76" t="s">
        <v>42</v>
      </c>
      <c r="B10012" s="76" t="s">
        <v>1038</v>
      </c>
      <c r="C10012" s="84">
        <v>0.79</v>
      </c>
      <c r="D10012" s="84">
        <v>0.0</v>
      </c>
      <c r="E10012" s="84">
        <v>0.0</v>
      </c>
      <c r="F10012" s="76" t="s">
        <v>975</v>
      </c>
      <c r="G10012" s="83">
        <v>46119.0</v>
      </c>
      <c r="H10012" s="76" t="s">
        <v>991</v>
      </c>
    </row>
    <row r="10013">
      <c r="A10013" s="76" t="s">
        <v>42</v>
      </c>
      <c r="B10013" s="76" t="s">
        <v>1038</v>
      </c>
      <c r="C10013" s="84">
        <v>0.35</v>
      </c>
      <c r="D10013" s="84">
        <v>0.0</v>
      </c>
      <c r="E10013" s="84">
        <v>0.0</v>
      </c>
      <c r="F10013" s="76" t="s">
        <v>975</v>
      </c>
      <c r="G10013" s="83">
        <v>46119.0</v>
      </c>
      <c r="H10013" s="76" t="s">
        <v>935</v>
      </c>
    </row>
    <row r="10014">
      <c r="A10014" s="76" t="s">
        <v>31</v>
      </c>
      <c r="B10014" s="76" t="s">
        <v>1038</v>
      </c>
      <c r="C10014" s="84">
        <v>1.32</v>
      </c>
      <c r="D10014" s="84">
        <v>0.0</v>
      </c>
      <c r="E10014" s="84">
        <v>0.0</v>
      </c>
      <c r="F10014" s="76" t="s">
        <v>975</v>
      </c>
      <c r="G10014" s="83">
        <v>46119.0</v>
      </c>
      <c r="H10014" s="76" t="s">
        <v>929</v>
      </c>
    </row>
    <row r="10015">
      <c r="A10015" s="76" t="s">
        <v>31</v>
      </c>
      <c r="B10015" s="76" t="s">
        <v>1038</v>
      </c>
      <c r="C10015" s="84">
        <v>15.62</v>
      </c>
      <c r="D10015" s="84">
        <v>4.0</v>
      </c>
      <c r="E10015" s="84">
        <v>3.9</v>
      </c>
      <c r="F10015" s="76" t="s">
        <v>975</v>
      </c>
      <c r="G10015" s="83">
        <v>46119.0</v>
      </c>
      <c r="H10015" s="76" t="s">
        <v>930</v>
      </c>
    </row>
    <row r="10016">
      <c r="A10016" s="76" t="s">
        <v>28</v>
      </c>
      <c r="B10016" s="76" t="s">
        <v>1038</v>
      </c>
      <c r="C10016" s="84">
        <v>0.3</v>
      </c>
      <c r="D10016" s="84">
        <v>0.0</v>
      </c>
      <c r="E10016" s="84">
        <v>0.0</v>
      </c>
      <c r="F10016" s="76" t="s">
        <v>975</v>
      </c>
      <c r="G10016" s="83">
        <v>46119.0</v>
      </c>
      <c r="H10016" s="76" t="s">
        <v>931</v>
      </c>
    </row>
    <row r="10017">
      <c r="A10017" s="76" t="s">
        <v>28</v>
      </c>
      <c r="B10017" s="76" t="s">
        <v>1038</v>
      </c>
      <c r="C10017" s="84">
        <v>0.18</v>
      </c>
      <c r="D10017" s="84">
        <v>0.0</v>
      </c>
      <c r="E10017" s="84">
        <v>0.0</v>
      </c>
      <c r="F10017" s="76" t="s">
        <v>975</v>
      </c>
      <c r="G10017" s="83">
        <v>46119.0</v>
      </c>
      <c r="H10017" s="76" t="s">
        <v>932</v>
      </c>
    </row>
    <row r="10018">
      <c r="A10018" s="76" t="s">
        <v>28</v>
      </c>
      <c r="B10018" s="76" t="s">
        <v>1038</v>
      </c>
      <c r="C10018" s="84">
        <v>2.16</v>
      </c>
      <c r="D10018" s="84">
        <v>1.0</v>
      </c>
      <c r="E10018" s="84">
        <v>2.16</v>
      </c>
      <c r="F10018" s="76" t="s">
        <v>975</v>
      </c>
      <c r="G10018" s="83">
        <v>46119.0</v>
      </c>
      <c r="H10018" s="76" t="s">
        <v>933</v>
      </c>
    </row>
    <row r="10019">
      <c r="A10019" s="76" t="s">
        <v>45</v>
      </c>
      <c r="B10019" s="76" t="s">
        <v>1038</v>
      </c>
      <c r="C10019" s="84">
        <v>0.1</v>
      </c>
      <c r="D10019" s="84">
        <v>0.0</v>
      </c>
      <c r="E10019" s="84">
        <v>0.0</v>
      </c>
      <c r="F10019" s="76" t="s">
        <v>950</v>
      </c>
      <c r="G10019" s="83">
        <v>46119.0</v>
      </c>
      <c r="H10019" s="76" t="s">
        <v>936</v>
      </c>
    </row>
    <row r="10020">
      <c r="A10020" s="76" t="s">
        <v>45</v>
      </c>
      <c r="B10020" s="76" t="s">
        <v>1038</v>
      </c>
      <c r="C10020" s="84">
        <v>0.25</v>
      </c>
      <c r="D10020" s="84">
        <v>0.0</v>
      </c>
      <c r="E10020" s="84">
        <v>0.0</v>
      </c>
      <c r="F10020" s="76" t="s">
        <v>950</v>
      </c>
      <c r="G10020" s="83">
        <v>46119.0</v>
      </c>
      <c r="H10020" s="76" t="s">
        <v>937</v>
      </c>
    </row>
    <row r="10021">
      <c r="A10021" s="76" t="s">
        <v>45</v>
      </c>
      <c r="B10021" s="76" t="s">
        <v>1038</v>
      </c>
      <c r="C10021" s="84">
        <v>4.98</v>
      </c>
      <c r="D10021" s="84">
        <v>0.0</v>
      </c>
      <c r="E10021" s="84">
        <v>0.0</v>
      </c>
      <c r="F10021" s="76" t="s">
        <v>950</v>
      </c>
      <c r="G10021" s="83">
        <v>46119.0</v>
      </c>
      <c r="H10021" s="76" t="s">
        <v>938</v>
      </c>
    </row>
    <row r="10022">
      <c r="A10022" s="76" t="s">
        <v>28</v>
      </c>
      <c r="B10022" s="76" t="s">
        <v>1038</v>
      </c>
      <c r="C10022" s="84">
        <v>0.07</v>
      </c>
      <c r="D10022" s="84">
        <v>0.0</v>
      </c>
      <c r="E10022" s="84">
        <v>0.0</v>
      </c>
      <c r="F10022" s="76" t="s">
        <v>950</v>
      </c>
      <c r="G10022" s="83">
        <v>46119.0</v>
      </c>
      <c r="H10022" s="76" t="s">
        <v>931</v>
      </c>
    </row>
    <row r="10023">
      <c r="A10023" s="76" t="s">
        <v>28</v>
      </c>
      <c r="B10023" s="76" t="s">
        <v>1038</v>
      </c>
      <c r="C10023" s="84">
        <v>0.07</v>
      </c>
      <c r="D10023" s="84">
        <v>0.0</v>
      </c>
      <c r="E10023" s="84">
        <v>0.0</v>
      </c>
      <c r="F10023" s="76" t="s">
        <v>950</v>
      </c>
      <c r="G10023" s="83">
        <v>46119.0</v>
      </c>
      <c r="H10023" s="76" t="s">
        <v>932</v>
      </c>
    </row>
    <row r="10024">
      <c r="A10024" s="76" t="s">
        <v>28</v>
      </c>
      <c r="B10024" s="76" t="s">
        <v>1038</v>
      </c>
      <c r="C10024" s="84">
        <v>0.65</v>
      </c>
      <c r="D10024" s="84">
        <v>0.0</v>
      </c>
      <c r="E10024" s="84">
        <v>0.0</v>
      </c>
      <c r="F10024" s="76" t="s">
        <v>950</v>
      </c>
      <c r="G10024" s="83">
        <v>46119.0</v>
      </c>
      <c r="H10024" s="76" t="s">
        <v>933</v>
      </c>
    </row>
    <row r="10025">
      <c r="A10025" s="76" t="s">
        <v>42</v>
      </c>
      <c r="B10025" s="76" t="s">
        <v>1038</v>
      </c>
      <c r="C10025" s="84">
        <v>0.07</v>
      </c>
      <c r="D10025" s="84">
        <v>0.0</v>
      </c>
      <c r="E10025" s="84">
        <v>0.0</v>
      </c>
      <c r="F10025" s="76" t="s">
        <v>950</v>
      </c>
      <c r="G10025" s="83">
        <v>46119.0</v>
      </c>
      <c r="H10025" s="76" t="s">
        <v>991</v>
      </c>
    </row>
    <row r="10026">
      <c r="A10026" s="76" t="s">
        <v>42</v>
      </c>
      <c r="B10026" s="76" t="s">
        <v>1038</v>
      </c>
      <c r="C10026" s="84">
        <v>0.12</v>
      </c>
      <c r="D10026" s="84">
        <v>0.0</v>
      </c>
      <c r="E10026" s="84">
        <v>0.0</v>
      </c>
      <c r="F10026" s="76" t="s">
        <v>950</v>
      </c>
      <c r="G10026" s="83">
        <v>46119.0</v>
      </c>
      <c r="H10026" s="76" t="s">
        <v>935</v>
      </c>
    </row>
    <row r="10027">
      <c r="A10027" s="76" t="s">
        <v>36</v>
      </c>
      <c r="B10027" s="76" t="s">
        <v>1038</v>
      </c>
      <c r="C10027" s="84">
        <v>1.88</v>
      </c>
      <c r="D10027" s="84">
        <v>0.0</v>
      </c>
      <c r="E10027" s="84">
        <v>0.0</v>
      </c>
      <c r="F10027" s="76" t="s">
        <v>950</v>
      </c>
      <c r="G10027" s="83">
        <v>46119.0</v>
      </c>
      <c r="H10027" s="76" t="s">
        <v>926</v>
      </c>
    </row>
    <row r="10028">
      <c r="A10028" s="76" t="s">
        <v>36</v>
      </c>
      <c r="B10028" s="76" t="s">
        <v>1038</v>
      </c>
      <c r="C10028" s="84">
        <v>0.07</v>
      </c>
      <c r="D10028" s="84">
        <v>0.0</v>
      </c>
      <c r="E10028" s="84">
        <v>0.0</v>
      </c>
      <c r="F10028" s="76" t="s">
        <v>950</v>
      </c>
      <c r="G10028" s="83">
        <v>46119.0</v>
      </c>
      <c r="H10028" s="76" t="s">
        <v>927</v>
      </c>
    </row>
    <row r="10029">
      <c r="A10029" s="76" t="s">
        <v>36</v>
      </c>
      <c r="B10029" s="76" t="s">
        <v>1038</v>
      </c>
      <c r="C10029" s="84">
        <v>0.2</v>
      </c>
      <c r="D10029" s="84">
        <v>0.0</v>
      </c>
      <c r="E10029" s="84">
        <v>0.0</v>
      </c>
      <c r="F10029" s="76" t="s">
        <v>950</v>
      </c>
      <c r="G10029" s="83">
        <v>46119.0</v>
      </c>
      <c r="H10029" s="76" t="s">
        <v>928</v>
      </c>
    </row>
    <row r="10030">
      <c r="A10030" s="76" t="s">
        <v>31</v>
      </c>
      <c r="B10030" s="76" t="s">
        <v>1038</v>
      </c>
      <c r="C10030" s="84">
        <v>0.2</v>
      </c>
      <c r="D10030" s="84">
        <v>0.0</v>
      </c>
      <c r="E10030" s="84">
        <v>0.0</v>
      </c>
      <c r="F10030" s="76" t="s">
        <v>950</v>
      </c>
      <c r="G10030" s="83">
        <v>46119.0</v>
      </c>
      <c r="H10030" s="76" t="s">
        <v>929</v>
      </c>
    </row>
    <row r="10031">
      <c r="A10031" s="76" t="s">
        <v>31</v>
      </c>
      <c r="B10031" s="76" t="s">
        <v>1038</v>
      </c>
      <c r="C10031" s="84">
        <v>2.94</v>
      </c>
      <c r="D10031" s="84">
        <v>2.0</v>
      </c>
      <c r="E10031" s="84">
        <v>1.47</v>
      </c>
      <c r="F10031" s="76" t="s">
        <v>950</v>
      </c>
      <c r="G10031" s="83">
        <v>46119.0</v>
      </c>
      <c r="H10031" s="76" t="s">
        <v>930</v>
      </c>
    </row>
    <row r="10032">
      <c r="A10032" s="76" t="s">
        <v>50</v>
      </c>
      <c r="B10032" s="76" t="s">
        <v>1038</v>
      </c>
      <c r="C10032" s="84">
        <v>0.26</v>
      </c>
      <c r="D10032" s="84">
        <v>0.0</v>
      </c>
      <c r="E10032" s="84">
        <v>0.0</v>
      </c>
      <c r="F10032" s="76" t="s">
        <v>950</v>
      </c>
      <c r="G10032" s="83">
        <v>46119.0</v>
      </c>
      <c r="H10032" s="76" t="s">
        <v>939</v>
      </c>
    </row>
    <row r="10033">
      <c r="A10033" s="76" t="s">
        <v>50</v>
      </c>
      <c r="B10033" s="76" t="s">
        <v>1038</v>
      </c>
      <c r="C10033" s="84">
        <v>0.12</v>
      </c>
      <c r="D10033" s="84">
        <v>0.0</v>
      </c>
      <c r="E10033" s="84">
        <v>0.0</v>
      </c>
      <c r="F10033" s="76" t="s">
        <v>950</v>
      </c>
      <c r="G10033" s="83">
        <v>46119.0</v>
      </c>
      <c r="H10033" s="76" t="s">
        <v>940</v>
      </c>
    </row>
    <row r="10034">
      <c r="A10034" s="76" t="s">
        <v>26</v>
      </c>
      <c r="B10034" s="76" t="s">
        <v>1038</v>
      </c>
      <c r="C10034" s="84">
        <v>0.09</v>
      </c>
      <c r="D10034" s="84">
        <v>0.0</v>
      </c>
      <c r="E10034" s="84">
        <v>0.0</v>
      </c>
      <c r="F10034" s="76" t="s">
        <v>950</v>
      </c>
      <c r="G10034" s="83">
        <v>46119.0</v>
      </c>
      <c r="H10034" s="76" t="s">
        <v>1012</v>
      </c>
    </row>
    <row r="10035">
      <c r="A10035" s="76" t="s">
        <v>26</v>
      </c>
      <c r="B10035" s="76" t="s">
        <v>1038</v>
      </c>
      <c r="C10035" s="84">
        <v>0.04</v>
      </c>
      <c r="D10035" s="84">
        <v>0.0</v>
      </c>
      <c r="E10035" s="84">
        <v>0.0</v>
      </c>
      <c r="F10035" s="76" t="s">
        <v>950</v>
      </c>
      <c r="G10035" s="83">
        <v>46119.0</v>
      </c>
      <c r="H10035" s="76" t="s">
        <v>1013</v>
      </c>
    </row>
    <row r="10036">
      <c r="A10036" s="76" t="s">
        <v>26</v>
      </c>
      <c r="B10036" s="76" t="s">
        <v>1038</v>
      </c>
      <c r="C10036" s="84">
        <v>1.12</v>
      </c>
      <c r="D10036" s="84">
        <v>0.0</v>
      </c>
      <c r="E10036" s="84">
        <v>0.0</v>
      </c>
      <c r="F10036" s="76" t="s">
        <v>950</v>
      </c>
      <c r="G10036" s="83">
        <v>46119.0</v>
      </c>
      <c r="H10036" s="76" t="s">
        <v>1014</v>
      </c>
    </row>
    <row r="10037">
      <c r="A10037" s="76" t="s">
        <v>944</v>
      </c>
      <c r="B10037" s="76" t="s">
        <v>1038</v>
      </c>
      <c r="C10037" s="84">
        <v>0.25</v>
      </c>
      <c r="D10037" s="84">
        <v>0.0</v>
      </c>
      <c r="E10037" s="84">
        <v>0.0</v>
      </c>
      <c r="F10037" s="76" t="s">
        <v>950</v>
      </c>
      <c r="G10037" s="83">
        <v>46119.0</v>
      </c>
      <c r="H10037" s="76" t="s">
        <v>945</v>
      </c>
    </row>
    <row r="10038">
      <c r="A10038" s="76" t="s">
        <v>944</v>
      </c>
      <c r="B10038" s="76" t="s">
        <v>1038</v>
      </c>
      <c r="C10038" s="84">
        <v>0.34</v>
      </c>
      <c r="D10038" s="84">
        <v>0.0</v>
      </c>
      <c r="E10038" s="84">
        <v>0.0</v>
      </c>
      <c r="F10038" s="76" t="s">
        <v>950</v>
      </c>
      <c r="G10038" s="83">
        <v>46119.0</v>
      </c>
      <c r="H10038" s="76" t="s">
        <v>946</v>
      </c>
    </row>
    <row r="10039">
      <c r="A10039" s="76" t="s">
        <v>944</v>
      </c>
      <c r="B10039" s="76" t="s">
        <v>1038</v>
      </c>
      <c r="C10039" s="84">
        <v>0.64</v>
      </c>
      <c r="D10039" s="84">
        <v>0.0</v>
      </c>
      <c r="E10039" s="84">
        <v>0.0</v>
      </c>
      <c r="F10039" s="76" t="s">
        <v>950</v>
      </c>
      <c r="G10039" s="83">
        <v>46119.0</v>
      </c>
      <c r="H10039" s="76" t="s">
        <v>947</v>
      </c>
    </row>
    <row r="10040">
      <c r="A10040" s="76" t="s">
        <v>32</v>
      </c>
      <c r="B10040" s="76" t="s">
        <v>1038</v>
      </c>
      <c r="C10040" s="84">
        <v>1.3</v>
      </c>
      <c r="D10040" s="84">
        <v>1.0</v>
      </c>
      <c r="E10040" s="84">
        <v>1.3</v>
      </c>
      <c r="F10040" s="76" t="s">
        <v>950</v>
      </c>
      <c r="G10040" s="83">
        <v>46119.0</v>
      </c>
      <c r="H10040" s="76" t="s">
        <v>941</v>
      </c>
    </row>
    <row r="10041">
      <c r="A10041" s="76" t="s">
        <v>32</v>
      </c>
      <c r="B10041" s="76" t="s">
        <v>1038</v>
      </c>
      <c r="C10041" s="84">
        <v>0.29</v>
      </c>
      <c r="D10041" s="84">
        <v>0.0</v>
      </c>
      <c r="E10041" s="84">
        <v>0.0</v>
      </c>
      <c r="F10041" s="76" t="s">
        <v>950</v>
      </c>
      <c r="G10041" s="83">
        <v>46119.0</v>
      </c>
      <c r="H10041" s="76" t="s">
        <v>942</v>
      </c>
    </row>
    <row r="10042">
      <c r="A10042" s="76" t="s">
        <v>32</v>
      </c>
      <c r="B10042" s="76" t="s">
        <v>1038</v>
      </c>
      <c r="C10042" s="84">
        <v>0.72</v>
      </c>
      <c r="D10042" s="84">
        <v>0.0</v>
      </c>
      <c r="E10042" s="84">
        <v>0.0</v>
      </c>
      <c r="F10042" s="76" t="s">
        <v>950</v>
      </c>
      <c r="G10042" s="83">
        <v>46119.0</v>
      </c>
      <c r="H10042" s="76" t="s">
        <v>943</v>
      </c>
    </row>
    <row r="10043">
      <c r="A10043" s="76" t="s">
        <v>31</v>
      </c>
      <c r="B10043" s="76" t="s">
        <v>1038</v>
      </c>
      <c r="C10043" s="84">
        <v>0.24</v>
      </c>
      <c r="D10043" s="84">
        <v>0.0</v>
      </c>
      <c r="E10043" s="84">
        <v>0.0</v>
      </c>
      <c r="F10043" s="76" t="s">
        <v>974</v>
      </c>
      <c r="G10043" s="83">
        <v>46119.0</v>
      </c>
      <c r="H10043" s="76" t="s">
        <v>929</v>
      </c>
    </row>
    <row r="10044">
      <c r="A10044" s="76" t="s">
        <v>31</v>
      </c>
      <c r="B10044" s="76" t="s">
        <v>1038</v>
      </c>
      <c r="C10044" s="84">
        <v>2.3</v>
      </c>
      <c r="D10044" s="84">
        <v>1.0</v>
      </c>
      <c r="E10044" s="84">
        <v>2.3</v>
      </c>
      <c r="F10044" s="76" t="s">
        <v>974</v>
      </c>
      <c r="G10044" s="83">
        <v>46119.0</v>
      </c>
      <c r="H10044" s="76" t="s">
        <v>930</v>
      </c>
    </row>
    <row r="10045">
      <c r="A10045" s="76" t="s">
        <v>45</v>
      </c>
      <c r="B10045" s="76" t="s">
        <v>1038</v>
      </c>
      <c r="C10045" s="84">
        <v>0.03</v>
      </c>
      <c r="D10045" s="84">
        <v>0.0</v>
      </c>
      <c r="E10045" s="84">
        <v>0.0</v>
      </c>
      <c r="F10045" s="76" t="s">
        <v>974</v>
      </c>
      <c r="G10045" s="83">
        <v>46119.0</v>
      </c>
      <c r="H10045" s="76" t="s">
        <v>936</v>
      </c>
    </row>
    <row r="10046">
      <c r="A10046" s="76" t="s">
        <v>45</v>
      </c>
      <c r="B10046" s="76" t="s">
        <v>1038</v>
      </c>
      <c r="C10046" s="84">
        <v>0.19</v>
      </c>
      <c r="D10046" s="84">
        <v>0.0</v>
      </c>
      <c r="E10046" s="84">
        <v>0.0</v>
      </c>
      <c r="F10046" s="76" t="s">
        <v>974</v>
      </c>
      <c r="G10046" s="83">
        <v>46119.0</v>
      </c>
      <c r="H10046" s="76" t="s">
        <v>937</v>
      </c>
    </row>
    <row r="10047">
      <c r="A10047" s="76" t="s">
        <v>45</v>
      </c>
      <c r="B10047" s="76" t="s">
        <v>1038</v>
      </c>
      <c r="C10047" s="84">
        <v>0.05</v>
      </c>
      <c r="D10047" s="84">
        <v>0.0</v>
      </c>
      <c r="E10047" s="84">
        <v>0.0</v>
      </c>
      <c r="F10047" s="76" t="s">
        <v>974</v>
      </c>
      <c r="G10047" s="83">
        <v>46119.0</v>
      </c>
      <c r="H10047" s="76" t="s">
        <v>938</v>
      </c>
    </row>
    <row r="10048">
      <c r="A10048" s="76" t="s">
        <v>42</v>
      </c>
      <c r="B10048" s="76" t="s">
        <v>1038</v>
      </c>
      <c r="C10048" s="84">
        <v>0.07</v>
      </c>
      <c r="D10048" s="84">
        <v>0.0</v>
      </c>
      <c r="E10048" s="84">
        <v>0.0</v>
      </c>
      <c r="F10048" s="76" t="s">
        <v>974</v>
      </c>
      <c r="G10048" s="83">
        <v>46119.0</v>
      </c>
      <c r="H10048" s="76" t="s">
        <v>991</v>
      </c>
    </row>
    <row r="10049">
      <c r="A10049" s="76" t="s">
        <v>42</v>
      </c>
      <c r="B10049" s="76" t="s">
        <v>1038</v>
      </c>
      <c r="C10049" s="84">
        <v>0.07</v>
      </c>
      <c r="D10049" s="84">
        <v>0.0</v>
      </c>
      <c r="E10049" s="84">
        <v>0.0</v>
      </c>
      <c r="F10049" s="76" t="s">
        <v>974</v>
      </c>
      <c r="G10049" s="83">
        <v>46119.0</v>
      </c>
      <c r="H10049" s="76" t="s">
        <v>935</v>
      </c>
    </row>
    <row r="10050">
      <c r="A10050" s="76" t="s">
        <v>28</v>
      </c>
      <c r="B10050" s="76" t="s">
        <v>1038</v>
      </c>
      <c r="C10050" s="84">
        <v>0.08</v>
      </c>
      <c r="D10050" s="84">
        <v>0.0</v>
      </c>
      <c r="E10050" s="84">
        <v>0.0</v>
      </c>
      <c r="F10050" s="76" t="s">
        <v>974</v>
      </c>
      <c r="G10050" s="83">
        <v>46119.0</v>
      </c>
      <c r="H10050" s="76" t="s">
        <v>931</v>
      </c>
    </row>
    <row r="10051">
      <c r="A10051" s="76" t="s">
        <v>28</v>
      </c>
      <c r="B10051" s="76" t="s">
        <v>1038</v>
      </c>
      <c r="C10051" s="84">
        <v>0.03</v>
      </c>
      <c r="D10051" s="84">
        <v>0.0</v>
      </c>
      <c r="E10051" s="84">
        <v>0.0</v>
      </c>
      <c r="F10051" s="76" t="s">
        <v>974</v>
      </c>
      <c r="G10051" s="83">
        <v>46119.0</v>
      </c>
      <c r="H10051" s="76" t="s">
        <v>932</v>
      </c>
    </row>
    <row r="10052">
      <c r="A10052" s="76" t="s">
        <v>28</v>
      </c>
      <c r="B10052" s="76" t="s">
        <v>1038</v>
      </c>
      <c r="C10052" s="84">
        <v>0.89</v>
      </c>
      <c r="D10052" s="84">
        <v>0.0</v>
      </c>
      <c r="E10052" s="84">
        <v>0.0</v>
      </c>
      <c r="F10052" s="76" t="s">
        <v>974</v>
      </c>
      <c r="G10052" s="83">
        <v>46119.0</v>
      </c>
      <c r="H10052" s="76" t="s">
        <v>933</v>
      </c>
    </row>
    <row r="10053">
      <c r="A10053" s="76" t="s">
        <v>50</v>
      </c>
      <c r="B10053" s="76" t="s">
        <v>1038</v>
      </c>
      <c r="C10053" s="84">
        <v>0.04</v>
      </c>
      <c r="D10053" s="84">
        <v>0.0</v>
      </c>
      <c r="E10053" s="84">
        <v>0.0</v>
      </c>
      <c r="F10053" s="76" t="s">
        <v>974</v>
      </c>
      <c r="G10053" s="83">
        <v>46119.0</v>
      </c>
      <c r="H10053" s="76" t="s">
        <v>939</v>
      </c>
    </row>
    <row r="10054">
      <c r="A10054" s="76" t="s">
        <v>50</v>
      </c>
      <c r="B10054" s="76" t="s">
        <v>1038</v>
      </c>
      <c r="C10054" s="84">
        <v>0.04</v>
      </c>
      <c r="D10054" s="84">
        <v>0.0</v>
      </c>
      <c r="E10054" s="84">
        <v>0.0</v>
      </c>
      <c r="F10054" s="76" t="s">
        <v>974</v>
      </c>
      <c r="G10054" s="83">
        <v>46119.0</v>
      </c>
      <c r="H10054" s="76" t="s">
        <v>940</v>
      </c>
    </row>
    <row r="10055">
      <c r="A10055" s="76" t="s">
        <v>26</v>
      </c>
      <c r="B10055" s="76" t="s">
        <v>1038</v>
      </c>
      <c r="C10055" s="84">
        <v>0.06</v>
      </c>
      <c r="D10055" s="84">
        <v>0.0</v>
      </c>
      <c r="E10055" s="84">
        <v>0.0</v>
      </c>
      <c r="F10055" s="76" t="s">
        <v>974</v>
      </c>
      <c r="G10055" s="83">
        <v>46119.0</v>
      </c>
      <c r="H10055" s="76" t="s">
        <v>1012</v>
      </c>
    </row>
    <row r="10056">
      <c r="A10056" s="76" t="s">
        <v>26</v>
      </c>
      <c r="B10056" s="76" t="s">
        <v>1038</v>
      </c>
      <c r="C10056" s="84">
        <v>0.06</v>
      </c>
      <c r="D10056" s="84">
        <v>0.0</v>
      </c>
      <c r="E10056" s="84">
        <v>0.0</v>
      </c>
      <c r="F10056" s="76" t="s">
        <v>974</v>
      </c>
      <c r="G10056" s="83">
        <v>46119.0</v>
      </c>
      <c r="H10056" s="76" t="s">
        <v>1013</v>
      </c>
    </row>
    <row r="10057">
      <c r="A10057" s="76" t="s">
        <v>26</v>
      </c>
      <c r="B10057" s="76" t="s">
        <v>1038</v>
      </c>
      <c r="C10057" s="84">
        <v>0.35</v>
      </c>
      <c r="D10057" s="84">
        <v>1.0</v>
      </c>
      <c r="E10057" s="84">
        <v>0.35</v>
      </c>
      <c r="F10057" s="76" t="s">
        <v>974</v>
      </c>
      <c r="G10057" s="83">
        <v>46119.0</v>
      </c>
      <c r="H10057" s="76" t="s">
        <v>1014</v>
      </c>
    </row>
    <row r="10058">
      <c r="A10058" s="76" t="s">
        <v>944</v>
      </c>
      <c r="B10058" s="76" t="s">
        <v>1038</v>
      </c>
      <c r="C10058" s="84">
        <v>0.95</v>
      </c>
      <c r="D10058" s="84">
        <v>0.0</v>
      </c>
      <c r="E10058" s="84">
        <v>0.0</v>
      </c>
      <c r="F10058" s="76" t="s">
        <v>974</v>
      </c>
      <c r="G10058" s="83">
        <v>46119.0</v>
      </c>
      <c r="H10058" s="76" t="s">
        <v>945</v>
      </c>
    </row>
    <row r="10059">
      <c r="A10059" s="76" t="s">
        <v>944</v>
      </c>
      <c r="B10059" s="76" t="s">
        <v>1038</v>
      </c>
      <c r="C10059" s="84">
        <v>0.1</v>
      </c>
      <c r="D10059" s="84">
        <v>0.0</v>
      </c>
      <c r="E10059" s="84">
        <v>0.0</v>
      </c>
      <c r="F10059" s="76" t="s">
        <v>974</v>
      </c>
      <c r="G10059" s="83">
        <v>46119.0</v>
      </c>
      <c r="H10059" s="76" t="s">
        <v>946</v>
      </c>
    </row>
    <row r="10060">
      <c r="A10060" s="76" t="s">
        <v>944</v>
      </c>
      <c r="B10060" s="76" t="s">
        <v>1038</v>
      </c>
      <c r="C10060" s="84">
        <v>0.28</v>
      </c>
      <c r="D10060" s="84">
        <v>0.0</v>
      </c>
      <c r="E10060" s="84">
        <v>0.0</v>
      </c>
      <c r="F10060" s="76" t="s">
        <v>974</v>
      </c>
      <c r="G10060" s="83">
        <v>46119.0</v>
      </c>
      <c r="H10060" s="76" t="s">
        <v>947</v>
      </c>
    </row>
    <row r="10061">
      <c r="A10061" s="76" t="s">
        <v>36</v>
      </c>
      <c r="B10061" s="76" t="s">
        <v>1038</v>
      </c>
      <c r="C10061" s="84">
        <v>0.48</v>
      </c>
      <c r="D10061" s="84">
        <v>0.0</v>
      </c>
      <c r="E10061" s="84">
        <v>0.0</v>
      </c>
      <c r="F10061" s="76" t="s">
        <v>974</v>
      </c>
      <c r="G10061" s="83">
        <v>46119.0</v>
      </c>
      <c r="H10061" s="76" t="s">
        <v>926</v>
      </c>
    </row>
    <row r="10062">
      <c r="A10062" s="76" t="s">
        <v>36</v>
      </c>
      <c r="B10062" s="76" t="s">
        <v>1038</v>
      </c>
      <c r="C10062" s="84">
        <v>0.02</v>
      </c>
      <c r="D10062" s="84">
        <v>0.0</v>
      </c>
      <c r="E10062" s="84">
        <v>0.0</v>
      </c>
      <c r="F10062" s="76" t="s">
        <v>974</v>
      </c>
      <c r="G10062" s="83">
        <v>46119.0</v>
      </c>
      <c r="H10062" s="76" t="s">
        <v>927</v>
      </c>
    </row>
    <row r="10063">
      <c r="A10063" s="76" t="s">
        <v>36</v>
      </c>
      <c r="B10063" s="76" t="s">
        <v>1038</v>
      </c>
      <c r="C10063" s="84">
        <v>0.07</v>
      </c>
      <c r="D10063" s="84">
        <v>0.0</v>
      </c>
      <c r="E10063" s="84">
        <v>0.0</v>
      </c>
      <c r="F10063" s="76" t="s">
        <v>974</v>
      </c>
      <c r="G10063" s="83">
        <v>46119.0</v>
      </c>
      <c r="H10063" s="76" t="s">
        <v>928</v>
      </c>
    </row>
    <row r="10064">
      <c r="A10064" s="76" t="s">
        <v>32</v>
      </c>
      <c r="B10064" s="76" t="s">
        <v>1038</v>
      </c>
      <c r="C10064" s="84">
        <v>0.69</v>
      </c>
      <c r="D10064" s="84">
        <v>0.0</v>
      </c>
      <c r="E10064" s="84">
        <v>0.0</v>
      </c>
      <c r="F10064" s="76" t="s">
        <v>974</v>
      </c>
      <c r="G10064" s="83">
        <v>46119.0</v>
      </c>
      <c r="H10064" s="76" t="s">
        <v>941</v>
      </c>
    </row>
    <row r="10065">
      <c r="A10065" s="76" t="s">
        <v>32</v>
      </c>
      <c r="B10065" s="76" t="s">
        <v>1038</v>
      </c>
      <c r="C10065" s="84">
        <v>0.05</v>
      </c>
      <c r="D10065" s="84">
        <v>0.0</v>
      </c>
      <c r="E10065" s="84">
        <v>0.0</v>
      </c>
      <c r="F10065" s="76" t="s">
        <v>974</v>
      </c>
      <c r="G10065" s="83">
        <v>46119.0</v>
      </c>
      <c r="H10065" s="76" t="s">
        <v>942</v>
      </c>
    </row>
    <row r="10066">
      <c r="A10066" s="76" t="s">
        <v>32</v>
      </c>
      <c r="B10066" s="76" t="s">
        <v>1038</v>
      </c>
      <c r="C10066" s="84">
        <v>0.23</v>
      </c>
      <c r="D10066" s="84">
        <v>0.0</v>
      </c>
      <c r="E10066" s="84">
        <v>0.0</v>
      </c>
      <c r="F10066" s="76" t="s">
        <v>974</v>
      </c>
      <c r="G10066" s="83">
        <v>46119.0</v>
      </c>
      <c r="H10066" s="76" t="s">
        <v>943</v>
      </c>
    </row>
    <row r="10067">
      <c r="A10067" s="76" t="s">
        <v>36</v>
      </c>
      <c r="B10067" s="76" t="s">
        <v>1006</v>
      </c>
      <c r="C10067" s="84">
        <v>0.03</v>
      </c>
      <c r="D10067" s="84">
        <v>0.0</v>
      </c>
      <c r="E10067" s="84">
        <v>0.0</v>
      </c>
      <c r="F10067" s="76" t="s">
        <v>990</v>
      </c>
      <c r="G10067" s="83">
        <v>46119.0</v>
      </c>
      <c r="H10067" s="76" t="s">
        <v>926</v>
      </c>
    </row>
    <row r="10068">
      <c r="A10068" s="76" t="s">
        <v>36</v>
      </c>
      <c r="B10068" s="76" t="s">
        <v>1006</v>
      </c>
      <c r="C10068" s="84">
        <v>0.05</v>
      </c>
      <c r="D10068" s="84">
        <v>0.0</v>
      </c>
      <c r="E10068" s="84">
        <v>0.0</v>
      </c>
      <c r="F10068" s="76" t="s">
        <v>990</v>
      </c>
      <c r="G10068" s="83">
        <v>46119.0</v>
      </c>
      <c r="H10068" s="76" t="s">
        <v>927</v>
      </c>
    </row>
    <row r="10069">
      <c r="A10069" s="76" t="s">
        <v>36</v>
      </c>
      <c r="B10069" s="76" t="s">
        <v>1006</v>
      </c>
      <c r="C10069" s="84">
        <v>0.05</v>
      </c>
      <c r="D10069" s="84">
        <v>1.0</v>
      </c>
      <c r="E10069" s="84">
        <v>0.05</v>
      </c>
      <c r="F10069" s="76" t="s">
        <v>990</v>
      </c>
      <c r="G10069" s="83">
        <v>46119.0</v>
      </c>
      <c r="H10069" s="76" t="s">
        <v>928</v>
      </c>
    </row>
    <row r="10070">
      <c r="A10070" s="76" t="s">
        <v>31</v>
      </c>
      <c r="B10070" s="76" t="s">
        <v>1006</v>
      </c>
      <c r="C10070" s="84">
        <v>0.1</v>
      </c>
      <c r="D10070" s="84">
        <v>0.0</v>
      </c>
      <c r="E10070" s="84">
        <v>0.0</v>
      </c>
      <c r="F10070" s="76" t="s">
        <v>990</v>
      </c>
      <c r="G10070" s="83">
        <v>46119.0</v>
      </c>
      <c r="H10070" s="76" t="s">
        <v>929</v>
      </c>
    </row>
    <row r="10071">
      <c r="A10071" s="76" t="s">
        <v>31</v>
      </c>
      <c r="B10071" s="76" t="s">
        <v>1006</v>
      </c>
      <c r="C10071" s="84">
        <v>0.99</v>
      </c>
      <c r="D10071" s="84">
        <v>0.0</v>
      </c>
      <c r="E10071" s="84">
        <v>0.0</v>
      </c>
      <c r="F10071" s="76" t="s">
        <v>990</v>
      </c>
      <c r="G10071" s="83">
        <v>46119.0</v>
      </c>
      <c r="H10071" s="76" t="s">
        <v>930</v>
      </c>
    </row>
    <row r="10072">
      <c r="A10072" s="76" t="s">
        <v>28</v>
      </c>
      <c r="B10072" s="76" t="s">
        <v>1006</v>
      </c>
      <c r="C10072" s="84">
        <v>0.04</v>
      </c>
      <c r="D10072" s="84">
        <v>0.0</v>
      </c>
      <c r="E10072" s="84">
        <v>0.0</v>
      </c>
      <c r="F10072" s="76" t="s">
        <v>990</v>
      </c>
      <c r="G10072" s="83">
        <v>46119.0</v>
      </c>
      <c r="H10072" s="76" t="s">
        <v>931</v>
      </c>
    </row>
    <row r="10073">
      <c r="A10073" s="76" t="s">
        <v>28</v>
      </c>
      <c r="B10073" s="76" t="s">
        <v>1006</v>
      </c>
      <c r="C10073" s="84">
        <v>0.04</v>
      </c>
      <c r="D10073" s="84">
        <v>0.0</v>
      </c>
      <c r="E10073" s="84">
        <v>0.0</v>
      </c>
      <c r="F10073" s="76" t="s">
        <v>990</v>
      </c>
      <c r="G10073" s="83">
        <v>46119.0</v>
      </c>
      <c r="H10073" s="76" t="s">
        <v>932</v>
      </c>
    </row>
    <row r="10074">
      <c r="A10074" s="76" t="s">
        <v>28</v>
      </c>
      <c r="B10074" s="76" t="s">
        <v>1006</v>
      </c>
      <c r="C10074" s="84">
        <v>0.13</v>
      </c>
      <c r="D10074" s="84">
        <v>0.0</v>
      </c>
      <c r="E10074" s="84">
        <v>0.0</v>
      </c>
      <c r="F10074" s="76" t="s">
        <v>990</v>
      </c>
      <c r="G10074" s="83">
        <v>46119.0</v>
      </c>
      <c r="H10074" s="76" t="s">
        <v>933</v>
      </c>
    </row>
    <row r="10075">
      <c r="A10075" s="76" t="s">
        <v>45</v>
      </c>
      <c r="B10075" s="76" t="s">
        <v>1006</v>
      </c>
      <c r="C10075" s="84">
        <v>0.06</v>
      </c>
      <c r="D10075" s="84">
        <v>0.0</v>
      </c>
      <c r="E10075" s="84">
        <v>0.0</v>
      </c>
      <c r="F10075" s="76" t="s">
        <v>990</v>
      </c>
      <c r="G10075" s="83">
        <v>46119.0</v>
      </c>
      <c r="H10075" s="76" t="s">
        <v>936</v>
      </c>
    </row>
    <row r="10076">
      <c r="A10076" s="76" t="s">
        <v>45</v>
      </c>
      <c r="B10076" s="76" t="s">
        <v>1006</v>
      </c>
      <c r="C10076" s="84">
        <v>0.06</v>
      </c>
      <c r="D10076" s="84">
        <v>0.0</v>
      </c>
      <c r="E10076" s="84">
        <v>0.0</v>
      </c>
      <c r="F10076" s="76" t="s">
        <v>990</v>
      </c>
      <c r="G10076" s="83">
        <v>46119.0</v>
      </c>
      <c r="H10076" s="76" t="s">
        <v>937</v>
      </c>
    </row>
    <row r="10077">
      <c r="A10077" s="76" t="s">
        <v>45</v>
      </c>
      <c r="B10077" s="76" t="s">
        <v>1006</v>
      </c>
      <c r="C10077" s="84">
        <v>0.02</v>
      </c>
      <c r="D10077" s="84">
        <v>0.0</v>
      </c>
      <c r="E10077" s="84">
        <v>0.0</v>
      </c>
      <c r="F10077" s="76" t="s">
        <v>990</v>
      </c>
      <c r="G10077" s="83">
        <v>46119.0</v>
      </c>
      <c r="H10077" s="76" t="s">
        <v>938</v>
      </c>
    </row>
    <row r="10078">
      <c r="A10078" s="76" t="s">
        <v>32</v>
      </c>
      <c r="B10078" s="76" t="s">
        <v>1006</v>
      </c>
      <c r="C10078" s="84">
        <v>0.27</v>
      </c>
      <c r="D10078" s="84">
        <v>0.0</v>
      </c>
      <c r="E10078" s="84">
        <v>0.0</v>
      </c>
      <c r="F10078" s="76" t="s">
        <v>990</v>
      </c>
      <c r="G10078" s="83">
        <v>46119.0</v>
      </c>
      <c r="H10078" s="76" t="s">
        <v>941</v>
      </c>
    </row>
    <row r="10079">
      <c r="A10079" s="76" t="s">
        <v>32</v>
      </c>
      <c r="B10079" s="76" t="s">
        <v>1006</v>
      </c>
      <c r="C10079" s="84">
        <v>0.16</v>
      </c>
      <c r="D10079" s="84">
        <v>0.0</v>
      </c>
      <c r="E10079" s="84">
        <v>0.0</v>
      </c>
      <c r="F10079" s="76" t="s">
        <v>990</v>
      </c>
      <c r="G10079" s="83">
        <v>46119.0</v>
      </c>
      <c r="H10079" s="76" t="s">
        <v>942</v>
      </c>
    </row>
    <row r="10080">
      <c r="A10080" s="76" t="s">
        <v>32</v>
      </c>
      <c r="B10080" s="76" t="s">
        <v>1006</v>
      </c>
      <c r="C10080" s="84">
        <v>0.18</v>
      </c>
      <c r="D10080" s="84">
        <v>0.0</v>
      </c>
      <c r="E10080" s="84">
        <v>0.0</v>
      </c>
      <c r="F10080" s="76" t="s">
        <v>990</v>
      </c>
      <c r="G10080" s="83">
        <v>46119.0</v>
      </c>
      <c r="H10080" s="76" t="s">
        <v>943</v>
      </c>
    </row>
    <row r="10081">
      <c r="A10081" s="76" t="s">
        <v>944</v>
      </c>
      <c r="B10081" s="76" t="s">
        <v>1006</v>
      </c>
      <c r="C10081" s="84">
        <v>0.02</v>
      </c>
      <c r="D10081" s="84">
        <v>0.0</v>
      </c>
      <c r="E10081" s="84">
        <v>0.0</v>
      </c>
      <c r="F10081" s="76" t="s">
        <v>990</v>
      </c>
      <c r="G10081" s="83">
        <v>46119.0</v>
      </c>
      <c r="H10081" s="76" t="s">
        <v>945</v>
      </c>
    </row>
    <row r="10082">
      <c r="A10082" s="76" t="s">
        <v>944</v>
      </c>
      <c r="B10082" s="76" t="s">
        <v>1006</v>
      </c>
      <c r="C10082" s="84">
        <v>0.12</v>
      </c>
      <c r="D10082" s="84">
        <v>0.0</v>
      </c>
      <c r="E10082" s="84">
        <v>0.0</v>
      </c>
      <c r="F10082" s="76" t="s">
        <v>990</v>
      </c>
      <c r="G10082" s="83">
        <v>46119.0</v>
      </c>
      <c r="H10082" s="76" t="s">
        <v>946</v>
      </c>
    </row>
    <row r="10083">
      <c r="A10083" s="76" t="s">
        <v>944</v>
      </c>
      <c r="B10083" s="76" t="s">
        <v>1006</v>
      </c>
      <c r="C10083" s="84">
        <v>0.05</v>
      </c>
      <c r="D10083" s="84">
        <v>0.0</v>
      </c>
      <c r="E10083" s="84">
        <v>0.0</v>
      </c>
      <c r="F10083" s="76" t="s">
        <v>990</v>
      </c>
      <c r="G10083" s="83">
        <v>46119.0</v>
      </c>
      <c r="H10083" s="76" t="s">
        <v>947</v>
      </c>
    </row>
    <row r="10084">
      <c r="A10084" s="76" t="s">
        <v>26</v>
      </c>
      <c r="B10084" s="76" t="s">
        <v>1006</v>
      </c>
      <c r="C10084" s="84">
        <v>0.08</v>
      </c>
      <c r="D10084" s="84">
        <v>0.0</v>
      </c>
      <c r="E10084" s="84">
        <v>0.0</v>
      </c>
      <c r="F10084" s="76" t="s">
        <v>990</v>
      </c>
      <c r="G10084" s="83">
        <v>46119.0</v>
      </c>
      <c r="H10084" s="76" t="s">
        <v>1012</v>
      </c>
    </row>
    <row r="10085">
      <c r="A10085" s="76" t="s">
        <v>26</v>
      </c>
      <c r="B10085" s="76" t="s">
        <v>1006</v>
      </c>
      <c r="C10085" s="84">
        <v>0.04</v>
      </c>
      <c r="D10085" s="84">
        <v>0.0</v>
      </c>
      <c r="E10085" s="84">
        <v>0.0</v>
      </c>
      <c r="F10085" s="76" t="s">
        <v>990</v>
      </c>
      <c r="G10085" s="83">
        <v>46119.0</v>
      </c>
      <c r="H10085" s="76" t="s">
        <v>1013</v>
      </c>
    </row>
    <row r="10086">
      <c r="A10086" s="76" t="s">
        <v>26</v>
      </c>
      <c r="B10086" s="76" t="s">
        <v>1006</v>
      </c>
      <c r="C10086" s="84">
        <v>0.17</v>
      </c>
      <c r="D10086" s="84">
        <v>0.0</v>
      </c>
      <c r="E10086" s="84">
        <v>0.0</v>
      </c>
      <c r="F10086" s="76" t="s">
        <v>990</v>
      </c>
      <c r="G10086" s="83">
        <v>46119.0</v>
      </c>
      <c r="H10086" s="76" t="s">
        <v>1014</v>
      </c>
    </row>
    <row r="10087">
      <c r="A10087" s="76" t="s">
        <v>36</v>
      </c>
      <c r="B10087" s="76" t="s">
        <v>1006</v>
      </c>
      <c r="C10087" s="84">
        <v>0.16</v>
      </c>
      <c r="D10087" s="84">
        <v>0.0</v>
      </c>
      <c r="E10087" s="84">
        <v>0.0</v>
      </c>
      <c r="F10087" s="76" t="s">
        <v>993</v>
      </c>
      <c r="G10087" s="83">
        <v>46119.0</v>
      </c>
      <c r="H10087" s="76" t="s">
        <v>926</v>
      </c>
    </row>
    <row r="10088">
      <c r="A10088" s="76" t="s">
        <v>36</v>
      </c>
      <c r="B10088" s="76" t="s">
        <v>1006</v>
      </c>
      <c r="C10088" s="84">
        <v>0.07</v>
      </c>
      <c r="D10088" s="84">
        <v>0.0</v>
      </c>
      <c r="E10088" s="84">
        <v>0.0</v>
      </c>
      <c r="F10088" s="76" t="s">
        <v>993</v>
      </c>
      <c r="G10088" s="83">
        <v>46119.0</v>
      </c>
      <c r="H10088" s="76" t="s">
        <v>927</v>
      </c>
    </row>
    <row r="10089">
      <c r="A10089" s="76" t="s">
        <v>36</v>
      </c>
      <c r="B10089" s="76" t="s">
        <v>1006</v>
      </c>
      <c r="C10089" s="84">
        <v>0.2</v>
      </c>
      <c r="D10089" s="84">
        <v>0.0</v>
      </c>
      <c r="E10089" s="84">
        <v>0.0</v>
      </c>
      <c r="F10089" s="76" t="s">
        <v>993</v>
      </c>
      <c r="G10089" s="83">
        <v>46119.0</v>
      </c>
      <c r="H10089" s="76" t="s">
        <v>928</v>
      </c>
    </row>
    <row r="10090">
      <c r="A10090" s="76" t="s">
        <v>31</v>
      </c>
      <c r="B10090" s="76" t="s">
        <v>1006</v>
      </c>
      <c r="C10090" s="84">
        <v>0.42</v>
      </c>
      <c r="D10090" s="84">
        <v>0.0</v>
      </c>
      <c r="E10090" s="84">
        <v>0.0</v>
      </c>
      <c r="F10090" s="76" t="s">
        <v>993</v>
      </c>
      <c r="G10090" s="83">
        <v>46119.0</v>
      </c>
      <c r="H10090" s="76" t="s">
        <v>929</v>
      </c>
    </row>
    <row r="10091">
      <c r="A10091" s="76" t="s">
        <v>31</v>
      </c>
      <c r="B10091" s="76" t="s">
        <v>1006</v>
      </c>
      <c r="C10091" s="84">
        <v>1.46</v>
      </c>
      <c r="D10091" s="84">
        <v>0.0</v>
      </c>
      <c r="E10091" s="84">
        <v>0.0</v>
      </c>
      <c r="F10091" s="76" t="s">
        <v>993</v>
      </c>
      <c r="G10091" s="83">
        <v>46119.0</v>
      </c>
      <c r="H10091" s="76" t="s">
        <v>930</v>
      </c>
    </row>
    <row r="10092">
      <c r="A10092" s="76" t="s">
        <v>28</v>
      </c>
      <c r="B10092" s="76" t="s">
        <v>1006</v>
      </c>
      <c r="C10092" s="84">
        <v>0.16</v>
      </c>
      <c r="D10092" s="84">
        <v>0.0</v>
      </c>
      <c r="E10092" s="84">
        <v>0.0</v>
      </c>
      <c r="F10092" s="76" t="s">
        <v>993</v>
      </c>
      <c r="G10092" s="83">
        <v>46119.0</v>
      </c>
      <c r="H10092" s="76" t="s">
        <v>931</v>
      </c>
    </row>
    <row r="10093">
      <c r="A10093" s="76" t="s">
        <v>28</v>
      </c>
      <c r="B10093" s="76" t="s">
        <v>1006</v>
      </c>
      <c r="C10093" s="84">
        <v>0.23</v>
      </c>
      <c r="D10093" s="84">
        <v>0.0</v>
      </c>
      <c r="E10093" s="84">
        <v>0.0</v>
      </c>
      <c r="F10093" s="76" t="s">
        <v>993</v>
      </c>
      <c r="G10093" s="83">
        <v>46119.0</v>
      </c>
      <c r="H10093" s="76" t="s">
        <v>932</v>
      </c>
    </row>
    <row r="10094">
      <c r="A10094" s="76" t="s">
        <v>28</v>
      </c>
      <c r="B10094" s="76" t="s">
        <v>1006</v>
      </c>
      <c r="C10094" s="84">
        <v>0.51</v>
      </c>
      <c r="D10094" s="84">
        <v>0.0</v>
      </c>
      <c r="E10094" s="84">
        <v>0.0</v>
      </c>
      <c r="F10094" s="76" t="s">
        <v>993</v>
      </c>
      <c r="G10094" s="83">
        <v>46119.0</v>
      </c>
      <c r="H10094" s="76" t="s">
        <v>933</v>
      </c>
    </row>
    <row r="10095">
      <c r="A10095" s="76" t="s">
        <v>45</v>
      </c>
      <c r="B10095" s="76" t="s">
        <v>1006</v>
      </c>
      <c r="C10095" s="84">
        <v>0.1</v>
      </c>
      <c r="D10095" s="84">
        <v>0.0</v>
      </c>
      <c r="E10095" s="84">
        <v>0.0</v>
      </c>
      <c r="F10095" s="76" t="s">
        <v>993</v>
      </c>
      <c r="G10095" s="83">
        <v>46119.0</v>
      </c>
      <c r="H10095" s="76" t="s">
        <v>936</v>
      </c>
    </row>
    <row r="10096">
      <c r="A10096" s="76" t="s">
        <v>45</v>
      </c>
      <c r="B10096" s="76" t="s">
        <v>1006</v>
      </c>
      <c r="C10096" s="84">
        <v>0.16</v>
      </c>
      <c r="D10096" s="84">
        <v>0.0</v>
      </c>
      <c r="E10096" s="84">
        <v>0.0</v>
      </c>
      <c r="F10096" s="76" t="s">
        <v>993</v>
      </c>
      <c r="G10096" s="83">
        <v>46119.0</v>
      </c>
      <c r="H10096" s="76" t="s">
        <v>937</v>
      </c>
    </row>
    <row r="10097">
      <c r="A10097" s="76" t="s">
        <v>45</v>
      </c>
      <c r="B10097" s="76" t="s">
        <v>1006</v>
      </c>
      <c r="C10097" s="84">
        <v>0.08</v>
      </c>
      <c r="D10097" s="84">
        <v>0.0</v>
      </c>
      <c r="E10097" s="84">
        <v>0.0</v>
      </c>
      <c r="F10097" s="76" t="s">
        <v>993</v>
      </c>
      <c r="G10097" s="83">
        <v>46119.0</v>
      </c>
      <c r="H10097" s="76" t="s">
        <v>938</v>
      </c>
    </row>
    <row r="10098">
      <c r="A10098" s="76" t="s">
        <v>32</v>
      </c>
      <c r="B10098" s="76" t="s">
        <v>1006</v>
      </c>
      <c r="C10098" s="84">
        <v>0.74</v>
      </c>
      <c r="D10098" s="84">
        <v>0.0</v>
      </c>
      <c r="E10098" s="84">
        <v>0.0</v>
      </c>
      <c r="F10098" s="76" t="s">
        <v>993</v>
      </c>
      <c r="G10098" s="83">
        <v>46119.0</v>
      </c>
      <c r="H10098" s="76" t="s">
        <v>941</v>
      </c>
    </row>
    <row r="10099">
      <c r="A10099" s="76" t="s">
        <v>32</v>
      </c>
      <c r="B10099" s="76" t="s">
        <v>1006</v>
      </c>
      <c r="C10099" s="84">
        <v>0.75</v>
      </c>
      <c r="D10099" s="84">
        <v>0.0</v>
      </c>
      <c r="E10099" s="84">
        <v>0.0</v>
      </c>
      <c r="F10099" s="76" t="s">
        <v>993</v>
      </c>
      <c r="G10099" s="83">
        <v>46119.0</v>
      </c>
      <c r="H10099" s="76" t="s">
        <v>942</v>
      </c>
    </row>
    <row r="10100">
      <c r="A10100" s="76" t="s">
        <v>32</v>
      </c>
      <c r="B10100" s="76" t="s">
        <v>1006</v>
      </c>
      <c r="C10100" s="84">
        <v>0.43</v>
      </c>
      <c r="D10100" s="84">
        <v>0.0</v>
      </c>
      <c r="E10100" s="84">
        <v>0.0</v>
      </c>
      <c r="F10100" s="76" t="s">
        <v>993</v>
      </c>
      <c r="G10100" s="83">
        <v>46119.0</v>
      </c>
      <c r="H10100" s="76" t="s">
        <v>943</v>
      </c>
    </row>
    <row r="10101">
      <c r="A10101" s="76" t="s">
        <v>944</v>
      </c>
      <c r="B10101" s="76" t="s">
        <v>1006</v>
      </c>
      <c r="C10101" s="84">
        <v>0.07</v>
      </c>
      <c r="D10101" s="84">
        <v>0.0</v>
      </c>
      <c r="E10101" s="84">
        <v>0.0</v>
      </c>
      <c r="F10101" s="76" t="s">
        <v>993</v>
      </c>
      <c r="G10101" s="83">
        <v>46119.0</v>
      </c>
      <c r="H10101" s="76" t="s">
        <v>945</v>
      </c>
    </row>
    <row r="10102">
      <c r="A10102" s="76" t="s">
        <v>944</v>
      </c>
      <c r="B10102" s="76" t="s">
        <v>1006</v>
      </c>
      <c r="C10102" s="84">
        <v>0.41</v>
      </c>
      <c r="D10102" s="84">
        <v>0.0</v>
      </c>
      <c r="E10102" s="84">
        <v>0.0</v>
      </c>
      <c r="F10102" s="76" t="s">
        <v>993</v>
      </c>
      <c r="G10102" s="83">
        <v>46119.0</v>
      </c>
      <c r="H10102" s="76" t="s">
        <v>946</v>
      </c>
    </row>
    <row r="10103">
      <c r="A10103" s="76" t="s">
        <v>944</v>
      </c>
      <c r="B10103" s="76" t="s">
        <v>1006</v>
      </c>
      <c r="C10103" s="84">
        <v>0.33</v>
      </c>
      <c r="D10103" s="84">
        <v>0.0</v>
      </c>
      <c r="E10103" s="84">
        <v>0.0</v>
      </c>
      <c r="F10103" s="76" t="s">
        <v>993</v>
      </c>
      <c r="G10103" s="83">
        <v>46119.0</v>
      </c>
      <c r="H10103" s="76" t="s">
        <v>947</v>
      </c>
    </row>
    <row r="10104">
      <c r="A10104" s="76" t="s">
        <v>26</v>
      </c>
      <c r="B10104" s="76" t="s">
        <v>1006</v>
      </c>
      <c r="C10104" s="84">
        <v>0.18</v>
      </c>
      <c r="D10104" s="84">
        <v>0.0</v>
      </c>
      <c r="E10104" s="84">
        <v>0.0</v>
      </c>
      <c r="F10104" s="76" t="s">
        <v>993</v>
      </c>
      <c r="G10104" s="83">
        <v>46119.0</v>
      </c>
      <c r="H10104" s="76" t="s">
        <v>1012</v>
      </c>
    </row>
    <row r="10105">
      <c r="A10105" s="76" t="s">
        <v>26</v>
      </c>
      <c r="B10105" s="76" t="s">
        <v>1006</v>
      </c>
      <c r="C10105" s="84">
        <v>0.11</v>
      </c>
      <c r="D10105" s="84">
        <v>0.0</v>
      </c>
      <c r="E10105" s="84">
        <v>0.0</v>
      </c>
      <c r="F10105" s="76" t="s">
        <v>993</v>
      </c>
      <c r="G10105" s="83">
        <v>46119.0</v>
      </c>
      <c r="H10105" s="76" t="s">
        <v>1013</v>
      </c>
    </row>
    <row r="10106">
      <c r="A10106" s="76" t="s">
        <v>26</v>
      </c>
      <c r="B10106" s="76" t="s">
        <v>1006</v>
      </c>
      <c r="C10106" s="84">
        <v>0.89</v>
      </c>
      <c r="D10106" s="84">
        <v>0.0</v>
      </c>
      <c r="E10106" s="84">
        <v>0.0</v>
      </c>
      <c r="F10106" s="76" t="s">
        <v>993</v>
      </c>
      <c r="G10106" s="83">
        <v>46119.0</v>
      </c>
      <c r="H10106" s="76" t="s">
        <v>1014</v>
      </c>
    </row>
    <row r="10107">
      <c r="A10107" s="76" t="s">
        <v>36</v>
      </c>
      <c r="B10107" s="76" t="s">
        <v>1006</v>
      </c>
      <c r="C10107" s="84">
        <v>33.47</v>
      </c>
      <c r="D10107" s="84">
        <v>11.0</v>
      </c>
      <c r="E10107" s="84">
        <v>3.04</v>
      </c>
      <c r="F10107" s="76" t="s">
        <v>1005</v>
      </c>
      <c r="G10107" s="83">
        <v>46119.0</v>
      </c>
      <c r="H10107" s="76" t="s">
        <v>926</v>
      </c>
    </row>
    <row r="10108">
      <c r="A10108" s="76" t="s">
        <v>36</v>
      </c>
      <c r="B10108" s="76" t="s">
        <v>1006</v>
      </c>
      <c r="C10108" s="84">
        <v>7.47</v>
      </c>
      <c r="D10108" s="84">
        <v>1.0</v>
      </c>
      <c r="E10108" s="84">
        <v>7.47</v>
      </c>
      <c r="F10108" s="76" t="s">
        <v>1005</v>
      </c>
      <c r="G10108" s="83">
        <v>46119.0</v>
      </c>
      <c r="H10108" s="76" t="s">
        <v>927</v>
      </c>
    </row>
    <row r="10109">
      <c r="A10109" s="76" t="s">
        <v>36</v>
      </c>
      <c r="B10109" s="76" t="s">
        <v>1006</v>
      </c>
      <c r="C10109" s="84">
        <v>14.95</v>
      </c>
      <c r="D10109" s="84">
        <v>4.0</v>
      </c>
      <c r="E10109" s="84">
        <v>3.74</v>
      </c>
      <c r="F10109" s="76" t="s">
        <v>1005</v>
      </c>
      <c r="G10109" s="83">
        <v>46119.0</v>
      </c>
      <c r="H10109" s="76" t="s">
        <v>928</v>
      </c>
    </row>
    <row r="10110">
      <c r="A10110" s="76" t="s">
        <v>31</v>
      </c>
      <c r="B10110" s="76" t="s">
        <v>1006</v>
      </c>
      <c r="C10110" s="84">
        <v>11.47</v>
      </c>
      <c r="D10110" s="84">
        <v>3.0</v>
      </c>
      <c r="E10110" s="84">
        <v>3.82</v>
      </c>
      <c r="F10110" s="76" t="s">
        <v>1005</v>
      </c>
      <c r="G10110" s="83">
        <v>46119.0</v>
      </c>
      <c r="H10110" s="76" t="s">
        <v>929</v>
      </c>
    </row>
    <row r="10111">
      <c r="A10111" s="76" t="s">
        <v>31</v>
      </c>
      <c r="B10111" s="76" t="s">
        <v>1006</v>
      </c>
      <c r="C10111" s="84">
        <v>291.62</v>
      </c>
      <c r="D10111" s="84">
        <v>58.0</v>
      </c>
      <c r="E10111" s="84">
        <v>5.03</v>
      </c>
      <c r="F10111" s="76" t="s">
        <v>1005</v>
      </c>
      <c r="G10111" s="83">
        <v>46119.0</v>
      </c>
      <c r="H10111" s="76" t="s">
        <v>930</v>
      </c>
    </row>
    <row r="10112">
      <c r="A10112" s="76" t="s">
        <v>28</v>
      </c>
      <c r="B10112" s="76" t="s">
        <v>1006</v>
      </c>
      <c r="C10112" s="84">
        <v>9.83</v>
      </c>
      <c r="D10112" s="84">
        <v>0.0</v>
      </c>
      <c r="E10112" s="84">
        <v>0.0</v>
      </c>
      <c r="F10112" s="76" t="s">
        <v>1005</v>
      </c>
      <c r="G10112" s="83">
        <v>46119.0</v>
      </c>
      <c r="H10112" s="76" t="s">
        <v>931</v>
      </c>
    </row>
    <row r="10113">
      <c r="A10113" s="76" t="s">
        <v>28</v>
      </c>
      <c r="B10113" s="76" t="s">
        <v>1006</v>
      </c>
      <c r="C10113" s="84">
        <v>9.16</v>
      </c>
      <c r="D10113" s="84">
        <v>1.0</v>
      </c>
      <c r="E10113" s="84">
        <v>9.16</v>
      </c>
      <c r="F10113" s="76" t="s">
        <v>1005</v>
      </c>
      <c r="G10113" s="83">
        <v>46119.0</v>
      </c>
      <c r="H10113" s="76" t="s">
        <v>932</v>
      </c>
    </row>
    <row r="10114">
      <c r="A10114" s="76" t="s">
        <v>28</v>
      </c>
      <c r="B10114" s="76" t="s">
        <v>1006</v>
      </c>
      <c r="C10114" s="84">
        <v>202.42</v>
      </c>
      <c r="D10114" s="84">
        <v>55.0</v>
      </c>
      <c r="E10114" s="84">
        <v>3.68</v>
      </c>
      <c r="F10114" s="76" t="s">
        <v>1005</v>
      </c>
      <c r="G10114" s="83">
        <v>46119.0</v>
      </c>
      <c r="H10114" s="76" t="s">
        <v>933</v>
      </c>
    </row>
    <row r="10115">
      <c r="A10115" s="76" t="s">
        <v>45</v>
      </c>
      <c r="B10115" s="76" t="s">
        <v>1006</v>
      </c>
      <c r="C10115" s="84">
        <v>7.81</v>
      </c>
      <c r="D10115" s="84">
        <v>0.0</v>
      </c>
      <c r="E10115" s="84">
        <v>0.0</v>
      </c>
      <c r="F10115" s="76" t="s">
        <v>1005</v>
      </c>
      <c r="G10115" s="83">
        <v>46119.0</v>
      </c>
      <c r="H10115" s="76" t="s">
        <v>936</v>
      </c>
    </row>
    <row r="10116">
      <c r="A10116" s="76" t="s">
        <v>45</v>
      </c>
      <c r="B10116" s="76" t="s">
        <v>1006</v>
      </c>
      <c r="C10116" s="84">
        <v>9.93</v>
      </c>
      <c r="D10116" s="84">
        <v>0.0</v>
      </c>
      <c r="E10116" s="84">
        <v>0.0</v>
      </c>
      <c r="F10116" s="76" t="s">
        <v>1005</v>
      </c>
      <c r="G10116" s="83">
        <v>46119.0</v>
      </c>
      <c r="H10116" s="76" t="s">
        <v>937</v>
      </c>
    </row>
    <row r="10117">
      <c r="A10117" s="76" t="s">
        <v>45</v>
      </c>
      <c r="B10117" s="76" t="s">
        <v>1006</v>
      </c>
      <c r="C10117" s="84">
        <v>13.01</v>
      </c>
      <c r="D10117" s="84">
        <v>1.0</v>
      </c>
      <c r="E10117" s="84">
        <v>13.01</v>
      </c>
      <c r="F10117" s="76" t="s">
        <v>1005</v>
      </c>
      <c r="G10117" s="83">
        <v>46119.0</v>
      </c>
      <c r="H10117" s="76" t="s">
        <v>938</v>
      </c>
    </row>
    <row r="10118">
      <c r="A10118" s="76" t="s">
        <v>32</v>
      </c>
      <c r="B10118" s="76" t="s">
        <v>1006</v>
      </c>
      <c r="C10118" s="84">
        <v>349.46</v>
      </c>
      <c r="D10118" s="84">
        <v>73.0</v>
      </c>
      <c r="E10118" s="84">
        <v>4.79</v>
      </c>
      <c r="F10118" s="76" t="s">
        <v>1005</v>
      </c>
      <c r="G10118" s="83">
        <v>46119.0</v>
      </c>
      <c r="H10118" s="76" t="s">
        <v>941</v>
      </c>
    </row>
    <row r="10119">
      <c r="A10119" s="76" t="s">
        <v>32</v>
      </c>
      <c r="B10119" s="76" t="s">
        <v>1006</v>
      </c>
      <c r="C10119" s="84">
        <v>276.14</v>
      </c>
      <c r="D10119" s="84">
        <v>46.0</v>
      </c>
      <c r="E10119" s="84">
        <v>6.0</v>
      </c>
      <c r="F10119" s="76" t="s">
        <v>1005</v>
      </c>
      <c r="G10119" s="83">
        <v>46119.0</v>
      </c>
      <c r="H10119" s="76" t="s">
        <v>942</v>
      </c>
    </row>
    <row r="10120">
      <c r="A10120" s="76" t="s">
        <v>32</v>
      </c>
      <c r="B10120" s="76" t="s">
        <v>1006</v>
      </c>
      <c r="C10120" s="84">
        <v>306.52</v>
      </c>
      <c r="D10120" s="84">
        <v>72.0</v>
      </c>
      <c r="E10120" s="84">
        <v>4.26</v>
      </c>
      <c r="F10120" s="76" t="s">
        <v>1005</v>
      </c>
      <c r="G10120" s="83">
        <v>46119.0</v>
      </c>
      <c r="H10120" s="76" t="s">
        <v>943</v>
      </c>
    </row>
    <row r="10121">
      <c r="A10121" s="76" t="s">
        <v>944</v>
      </c>
      <c r="B10121" s="76" t="s">
        <v>1006</v>
      </c>
      <c r="C10121" s="84">
        <v>6.59</v>
      </c>
      <c r="D10121" s="84">
        <v>1.0</v>
      </c>
      <c r="E10121" s="84">
        <v>6.59</v>
      </c>
      <c r="F10121" s="76" t="s">
        <v>1005</v>
      </c>
      <c r="G10121" s="83">
        <v>46119.0</v>
      </c>
      <c r="H10121" s="76" t="s">
        <v>945</v>
      </c>
    </row>
    <row r="10122">
      <c r="A10122" s="76" t="s">
        <v>944</v>
      </c>
      <c r="B10122" s="76" t="s">
        <v>1006</v>
      </c>
      <c r="C10122" s="84">
        <v>13.95</v>
      </c>
      <c r="D10122" s="84">
        <v>0.0</v>
      </c>
      <c r="E10122" s="84">
        <v>0.0</v>
      </c>
      <c r="F10122" s="76" t="s">
        <v>1005</v>
      </c>
      <c r="G10122" s="83">
        <v>46119.0</v>
      </c>
      <c r="H10122" s="76" t="s">
        <v>946</v>
      </c>
    </row>
    <row r="10123">
      <c r="A10123" s="76" t="s">
        <v>944</v>
      </c>
      <c r="B10123" s="76" t="s">
        <v>1006</v>
      </c>
      <c r="C10123" s="84">
        <v>16.13</v>
      </c>
      <c r="D10123" s="84">
        <v>5.0</v>
      </c>
      <c r="E10123" s="84">
        <v>3.23</v>
      </c>
      <c r="F10123" s="76" t="s">
        <v>1005</v>
      </c>
      <c r="G10123" s="83">
        <v>46119.0</v>
      </c>
      <c r="H10123" s="76" t="s">
        <v>947</v>
      </c>
    </row>
    <row r="10124">
      <c r="A10124" s="76" t="s">
        <v>26</v>
      </c>
      <c r="B10124" s="76" t="s">
        <v>1006</v>
      </c>
      <c r="C10124" s="84">
        <v>9.04</v>
      </c>
      <c r="D10124" s="84">
        <v>4.0</v>
      </c>
      <c r="E10124" s="84">
        <v>2.26</v>
      </c>
      <c r="F10124" s="76" t="s">
        <v>1005</v>
      </c>
      <c r="G10124" s="83">
        <v>46119.0</v>
      </c>
      <c r="H10124" s="76" t="s">
        <v>1012</v>
      </c>
    </row>
    <row r="10125">
      <c r="A10125" s="76" t="s">
        <v>26</v>
      </c>
      <c r="B10125" s="76" t="s">
        <v>1006</v>
      </c>
      <c r="C10125" s="84">
        <v>8.52</v>
      </c>
      <c r="D10125" s="84">
        <v>1.0</v>
      </c>
      <c r="E10125" s="84">
        <v>8.52</v>
      </c>
      <c r="F10125" s="76" t="s">
        <v>1005</v>
      </c>
      <c r="G10125" s="83">
        <v>46119.0</v>
      </c>
      <c r="H10125" s="76" t="s">
        <v>1013</v>
      </c>
    </row>
    <row r="10126">
      <c r="A10126" s="76" t="s">
        <v>26</v>
      </c>
      <c r="B10126" s="76" t="s">
        <v>1006</v>
      </c>
      <c r="C10126" s="84">
        <v>85.83</v>
      </c>
      <c r="D10126" s="84">
        <v>14.0</v>
      </c>
      <c r="E10126" s="84">
        <v>6.13</v>
      </c>
      <c r="F10126" s="76" t="s">
        <v>1005</v>
      </c>
      <c r="G10126" s="83">
        <v>46119.0</v>
      </c>
      <c r="H10126" s="76" t="s">
        <v>1014</v>
      </c>
    </row>
    <row r="10127">
      <c r="A10127" s="76" t="s">
        <v>36</v>
      </c>
      <c r="B10127" s="76" t="s">
        <v>1006</v>
      </c>
      <c r="C10127" s="84">
        <v>0.6</v>
      </c>
      <c r="D10127" s="84">
        <v>0.0</v>
      </c>
      <c r="E10127" s="84">
        <v>0.0</v>
      </c>
      <c r="F10127" s="76" t="s">
        <v>996</v>
      </c>
      <c r="G10127" s="83">
        <v>46119.0</v>
      </c>
      <c r="H10127" s="76" t="s">
        <v>926</v>
      </c>
    </row>
    <row r="10128">
      <c r="A10128" s="76" t="s">
        <v>36</v>
      </c>
      <c r="B10128" s="76" t="s">
        <v>1006</v>
      </c>
      <c r="C10128" s="84">
        <v>0.28</v>
      </c>
      <c r="D10128" s="84">
        <v>2.0</v>
      </c>
      <c r="E10128" s="84">
        <v>0.14</v>
      </c>
      <c r="F10128" s="76" t="s">
        <v>996</v>
      </c>
      <c r="G10128" s="83">
        <v>46119.0</v>
      </c>
      <c r="H10128" s="76" t="s">
        <v>927</v>
      </c>
    </row>
    <row r="10129">
      <c r="A10129" s="76" t="s">
        <v>36</v>
      </c>
      <c r="B10129" s="76" t="s">
        <v>1006</v>
      </c>
      <c r="C10129" s="84">
        <v>0.8</v>
      </c>
      <c r="D10129" s="84">
        <v>0.0</v>
      </c>
      <c r="E10129" s="84">
        <v>0.0</v>
      </c>
      <c r="F10129" s="76" t="s">
        <v>996</v>
      </c>
      <c r="G10129" s="83">
        <v>46119.0</v>
      </c>
      <c r="H10129" s="76" t="s">
        <v>928</v>
      </c>
    </row>
    <row r="10130">
      <c r="A10130" s="76" t="s">
        <v>31</v>
      </c>
      <c r="B10130" s="76" t="s">
        <v>1006</v>
      </c>
      <c r="C10130" s="84">
        <v>0.77</v>
      </c>
      <c r="D10130" s="84">
        <v>0.0</v>
      </c>
      <c r="E10130" s="84">
        <v>0.0</v>
      </c>
      <c r="F10130" s="76" t="s">
        <v>996</v>
      </c>
      <c r="G10130" s="83">
        <v>46119.0</v>
      </c>
      <c r="H10130" s="76" t="s">
        <v>929</v>
      </c>
    </row>
    <row r="10131">
      <c r="A10131" s="76" t="s">
        <v>31</v>
      </c>
      <c r="B10131" s="76" t="s">
        <v>1006</v>
      </c>
      <c r="C10131" s="84">
        <v>2.75</v>
      </c>
      <c r="D10131" s="84">
        <v>0.0</v>
      </c>
      <c r="E10131" s="84">
        <v>0.0</v>
      </c>
      <c r="F10131" s="76" t="s">
        <v>996</v>
      </c>
      <c r="G10131" s="83">
        <v>46119.0</v>
      </c>
      <c r="H10131" s="76" t="s">
        <v>930</v>
      </c>
    </row>
    <row r="10132">
      <c r="A10132" s="76" t="s">
        <v>28</v>
      </c>
      <c r="B10132" s="76" t="s">
        <v>1006</v>
      </c>
      <c r="C10132" s="84">
        <v>0.56</v>
      </c>
      <c r="D10132" s="84">
        <v>0.0</v>
      </c>
      <c r="E10132" s="84">
        <v>0.0</v>
      </c>
      <c r="F10132" s="76" t="s">
        <v>996</v>
      </c>
      <c r="G10132" s="83">
        <v>46119.0</v>
      </c>
      <c r="H10132" s="76" t="s">
        <v>931</v>
      </c>
    </row>
    <row r="10133">
      <c r="A10133" s="76" t="s">
        <v>28</v>
      </c>
      <c r="B10133" s="76" t="s">
        <v>1006</v>
      </c>
      <c r="C10133" s="84">
        <v>0.47</v>
      </c>
      <c r="D10133" s="84">
        <v>0.0</v>
      </c>
      <c r="E10133" s="84">
        <v>0.0</v>
      </c>
      <c r="F10133" s="76" t="s">
        <v>996</v>
      </c>
      <c r="G10133" s="83">
        <v>46119.0</v>
      </c>
      <c r="H10133" s="76" t="s">
        <v>932</v>
      </c>
    </row>
    <row r="10134">
      <c r="A10134" s="76" t="s">
        <v>28</v>
      </c>
      <c r="B10134" s="76" t="s">
        <v>1006</v>
      </c>
      <c r="C10134" s="84">
        <v>1.57</v>
      </c>
      <c r="D10134" s="84">
        <v>0.0</v>
      </c>
      <c r="E10134" s="84">
        <v>0.0</v>
      </c>
      <c r="F10134" s="76" t="s">
        <v>996</v>
      </c>
      <c r="G10134" s="83">
        <v>46119.0</v>
      </c>
      <c r="H10134" s="76" t="s">
        <v>933</v>
      </c>
    </row>
    <row r="10135">
      <c r="A10135" s="76" t="s">
        <v>45</v>
      </c>
      <c r="B10135" s="76" t="s">
        <v>1006</v>
      </c>
      <c r="C10135" s="84">
        <v>0.38</v>
      </c>
      <c r="D10135" s="84">
        <v>0.0</v>
      </c>
      <c r="E10135" s="84">
        <v>0.0</v>
      </c>
      <c r="F10135" s="76" t="s">
        <v>996</v>
      </c>
      <c r="G10135" s="83">
        <v>46119.0</v>
      </c>
      <c r="H10135" s="76" t="s">
        <v>936</v>
      </c>
    </row>
    <row r="10136">
      <c r="A10136" s="76" t="s">
        <v>45</v>
      </c>
      <c r="B10136" s="76" t="s">
        <v>1006</v>
      </c>
      <c r="C10136" s="84">
        <v>0.6</v>
      </c>
      <c r="D10136" s="84">
        <v>0.0</v>
      </c>
      <c r="E10136" s="84">
        <v>0.0</v>
      </c>
      <c r="F10136" s="76" t="s">
        <v>996</v>
      </c>
      <c r="G10136" s="83">
        <v>46119.0</v>
      </c>
      <c r="H10136" s="76" t="s">
        <v>937</v>
      </c>
    </row>
    <row r="10137">
      <c r="A10137" s="76" t="s">
        <v>45</v>
      </c>
      <c r="B10137" s="76" t="s">
        <v>1006</v>
      </c>
      <c r="C10137" s="84">
        <v>0.27</v>
      </c>
      <c r="D10137" s="84">
        <v>0.0</v>
      </c>
      <c r="E10137" s="84">
        <v>0.0</v>
      </c>
      <c r="F10137" s="76" t="s">
        <v>996</v>
      </c>
      <c r="G10137" s="83">
        <v>46119.0</v>
      </c>
      <c r="H10137" s="76" t="s">
        <v>938</v>
      </c>
    </row>
    <row r="10138">
      <c r="A10138" s="76" t="s">
        <v>32</v>
      </c>
      <c r="B10138" s="76" t="s">
        <v>1006</v>
      </c>
      <c r="C10138" s="84">
        <v>2.12</v>
      </c>
      <c r="D10138" s="84">
        <v>1.0</v>
      </c>
      <c r="E10138" s="84">
        <v>2.12</v>
      </c>
      <c r="F10138" s="76" t="s">
        <v>996</v>
      </c>
      <c r="G10138" s="83">
        <v>46119.0</v>
      </c>
      <c r="H10138" s="76" t="s">
        <v>941</v>
      </c>
    </row>
    <row r="10139">
      <c r="A10139" s="76" t="s">
        <v>32</v>
      </c>
      <c r="B10139" s="76" t="s">
        <v>1006</v>
      </c>
      <c r="C10139" s="84">
        <v>1.13</v>
      </c>
      <c r="D10139" s="84">
        <v>0.0</v>
      </c>
      <c r="E10139" s="84">
        <v>0.0</v>
      </c>
      <c r="F10139" s="76" t="s">
        <v>996</v>
      </c>
      <c r="G10139" s="83">
        <v>46119.0</v>
      </c>
      <c r="H10139" s="76" t="s">
        <v>942</v>
      </c>
    </row>
    <row r="10140">
      <c r="A10140" s="76" t="s">
        <v>32</v>
      </c>
      <c r="B10140" s="76" t="s">
        <v>1006</v>
      </c>
      <c r="C10140" s="84">
        <v>0.83</v>
      </c>
      <c r="D10140" s="84">
        <v>0.0</v>
      </c>
      <c r="E10140" s="84">
        <v>0.0</v>
      </c>
      <c r="F10140" s="76" t="s">
        <v>996</v>
      </c>
      <c r="G10140" s="83">
        <v>46119.0</v>
      </c>
      <c r="H10140" s="76" t="s">
        <v>943</v>
      </c>
    </row>
    <row r="10141">
      <c r="A10141" s="76" t="s">
        <v>944</v>
      </c>
      <c r="B10141" s="76" t="s">
        <v>1006</v>
      </c>
      <c r="C10141" s="84">
        <v>0.24</v>
      </c>
      <c r="D10141" s="84">
        <v>0.0</v>
      </c>
      <c r="E10141" s="84">
        <v>0.0</v>
      </c>
      <c r="F10141" s="76" t="s">
        <v>996</v>
      </c>
      <c r="G10141" s="83">
        <v>46119.0</v>
      </c>
      <c r="H10141" s="76" t="s">
        <v>945</v>
      </c>
    </row>
    <row r="10142">
      <c r="A10142" s="76" t="s">
        <v>944</v>
      </c>
      <c r="B10142" s="76" t="s">
        <v>1006</v>
      </c>
      <c r="C10142" s="84">
        <v>1.11</v>
      </c>
      <c r="D10142" s="84">
        <v>0.0</v>
      </c>
      <c r="E10142" s="84">
        <v>0.0</v>
      </c>
      <c r="F10142" s="76" t="s">
        <v>996</v>
      </c>
      <c r="G10142" s="83">
        <v>46119.0</v>
      </c>
      <c r="H10142" s="76" t="s">
        <v>946</v>
      </c>
    </row>
    <row r="10143">
      <c r="A10143" s="76" t="s">
        <v>944</v>
      </c>
      <c r="B10143" s="76" t="s">
        <v>1006</v>
      </c>
      <c r="C10143" s="84">
        <v>1.2</v>
      </c>
      <c r="D10143" s="84">
        <v>0.0</v>
      </c>
      <c r="E10143" s="84">
        <v>0.0</v>
      </c>
      <c r="F10143" s="76" t="s">
        <v>996</v>
      </c>
      <c r="G10143" s="83">
        <v>46119.0</v>
      </c>
      <c r="H10143" s="76" t="s">
        <v>947</v>
      </c>
    </row>
    <row r="10144">
      <c r="A10144" s="76" t="s">
        <v>26</v>
      </c>
      <c r="B10144" s="76" t="s">
        <v>1006</v>
      </c>
      <c r="C10144" s="84">
        <v>0.4</v>
      </c>
      <c r="D10144" s="84">
        <v>0.0</v>
      </c>
      <c r="E10144" s="84">
        <v>0.0</v>
      </c>
      <c r="F10144" s="76" t="s">
        <v>996</v>
      </c>
      <c r="G10144" s="83">
        <v>46119.0</v>
      </c>
      <c r="H10144" s="76" t="s">
        <v>1012</v>
      </c>
    </row>
    <row r="10145">
      <c r="A10145" s="76" t="s">
        <v>26</v>
      </c>
      <c r="B10145" s="76" t="s">
        <v>1006</v>
      </c>
      <c r="C10145" s="84">
        <v>0.28</v>
      </c>
      <c r="D10145" s="84">
        <v>0.0</v>
      </c>
      <c r="E10145" s="84">
        <v>0.0</v>
      </c>
      <c r="F10145" s="76" t="s">
        <v>996</v>
      </c>
      <c r="G10145" s="83">
        <v>46119.0</v>
      </c>
      <c r="H10145" s="76" t="s">
        <v>1013</v>
      </c>
    </row>
    <row r="10146">
      <c r="A10146" s="76" t="s">
        <v>26</v>
      </c>
      <c r="B10146" s="76" t="s">
        <v>1006</v>
      </c>
      <c r="C10146" s="84">
        <v>2.22</v>
      </c>
      <c r="D10146" s="84">
        <v>0.0</v>
      </c>
      <c r="E10146" s="84">
        <v>0.0</v>
      </c>
      <c r="F10146" s="76" t="s">
        <v>996</v>
      </c>
      <c r="G10146" s="83">
        <v>46119.0</v>
      </c>
      <c r="H10146" s="76" t="s">
        <v>1014</v>
      </c>
    </row>
    <row r="10147">
      <c r="A10147" s="76" t="s">
        <v>36</v>
      </c>
      <c r="B10147" s="76" t="s">
        <v>1006</v>
      </c>
      <c r="C10147" s="84">
        <v>1.94</v>
      </c>
      <c r="D10147" s="84">
        <v>0.0</v>
      </c>
      <c r="E10147" s="84">
        <v>0.0</v>
      </c>
      <c r="F10147" s="76" t="s">
        <v>997</v>
      </c>
      <c r="G10147" s="83">
        <v>46119.0</v>
      </c>
      <c r="H10147" s="76" t="s">
        <v>926</v>
      </c>
    </row>
    <row r="10148">
      <c r="A10148" s="76" t="s">
        <v>36</v>
      </c>
      <c r="B10148" s="76" t="s">
        <v>1006</v>
      </c>
      <c r="C10148" s="84">
        <v>0.94</v>
      </c>
      <c r="D10148" s="84">
        <v>0.0</v>
      </c>
      <c r="E10148" s="84">
        <v>0.0</v>
      </c>
      <c r="F10148" s="76" t="s">
        <v>997</v>
      </c>
      <c r="G10148" s="83">
        <v>46119.0</v>
      </c>
      <c r="H10148" s="76" t="s">
        <v>927</v>
      </c>
    </row>
    <row r="10149">
      <c r="A10149" s="76" t="s">
        <v>36</v>
      </c>
      <c r="B10149" s="76" t="s">
        <v>1006</v>
      </c>
      <c r="C10149" s="84">
        <v>3.1</v>
      </c>
      <c r="D10149" s="84">
        <v>0.0</v>
      </c>
      <c r="E10149" s="84">
        <v>0.0</v>
      </c>
      <c r="F10149" s="76" t="s">
        <v>997</v>
      </c>
      <c r="G10149" s="83">
        <v>46119.0</v>
      </c>
      <c r="H10149" s="76" t="s">
        <v>928</v>
      </c>
    </row>
    <row r="10150">
      <c r="A10150" s="76" t="s">
        <v>31</v>
      </c>
      <c r="B10150" s="76" t="s">
        <v>1006</v>
      </c>
      <c r="C10150" s="84">
        <v>3.01</v>
      </c>
      <c r="D10150" s="84">
        <v>0.0</v>
      </c>
      <c r="E10150" s="84">
        <v>0.0</v>
      </c>
      <c r="F10150" s="76" t="s">
        <v>997</v>
      </c>
      <c r="G10150" s="83">
        <v>46119.0</v>
      </c>
      <c r="H10150" s="76" t="s">
        <v>929</v>
      </c>
    </row>
    <row r="10151">
      <c r="A10151" s="76" t="s">
        <v>31</v>
      </c>
      <c r="B10151" s="76" t="s">
        <v>1006</v>
      </c>
      <c r="C10151" s="84">
        <v>33.65</v>
      </c>
      <c r="D10151" s="84">
        <v>12.0</v>
      </c>
      <c r="E10151" s="84">
        <v>2.8</v>
      </c>
      <c r="F10151" s="76" t="s">
        <v>997</v>
      </c>
      <c r="G10151" s="83">
        <v>46119.0</v>
      </c>
      <c r="H10151" s="76" t="s">
        <v>930</v>
      </c>
    </row>
    <row r="10152">
      <c r="A10152" s="76" t="s">
        <v>28</v>
      </c>
      <c r="B10152" s="76" t="s">
        <v>1006</v>
      </c>
      <c r="C10152" s="84">
        <v>1.84</v>
      </c>
      <c r="D10152" s="84">
        <v>0.0</v>
      </c>
      <c r="E10152" s="84">
        <v>0.0</v>
      </c>
      <c r="F10152" s="76" t="s">
        <v>997</v>
      </c>
      <c r="G10152" s="83">
        <v>46119.0</v>
      </c>
      <c r="H10152" s="76" t="s">
        <v>931</v>
      </c>
    </row>
    <row r="10153">
      <c r="A10153" s="76" t="s">
        <v>28</v>
      </c>
      <c r="B10153" s="76" t="s">
        <v>1006</v>
      </c>
      <c r="C10153" s="84">
        <v>1.52</v>
      </c>
      <c r="D10153" s="84">
        <v>0.0</v>
      </c>
      <c r="E10153" s="84">
        <v>0.0</v>
      </c>
      <c r="F10153" s="76" t="s">
        <v>997</v>
      </c>
      <c r="G10153" s="83">
        <v>46119.0</v>
      </c>
      <c r="H10153" s="76" t="s">
        <v>932</v>
      </c>
    </row>
    <row r="10154">
      <c r="A10154" s="76" t="s">
        <v>28</v>
      </c>
      <c r="B10154" s="76" t="s">
        <v>1006</v>
      </c>
      <c r="C10154" s="84">
        <v>5.83</v>
      </c>
      <c r="D10154" s="84">
        <v>0.0</v>
      </c>
      <c r="E10154" s="84">
        <v>0.0</v>
      </c>
      <c r="F10154" s="76" t="s">
        <v>997</v>
      </c>
      <c r="G10154" s="83">
        <v>46119.0</v>
      </c>
      <c r="H10154" s="76" t="s">
        <v>933</v>
      </c>
    </row>
    <row r="10155">
      <c r="A10155" s="76" t="s">
        <v>45</v>
      </c>
      <c r="B10155" s="76" t="s">
        <v>1006</v>
      </c>
      <c r="C10155" s="84">
        <v>0.85</v>
      </c>
      <c r="D10155" s="84">
        <v>2.0</v>
      </c>
      <c r="E10155" s="84">
        <v>0.43</v>
      </c>
      <c r="F10155" s="76" t="s">
        <v>997</v>
      </c>
      <c r="G10155" s="83">
        <v>46119.0</v>
      </c>
      <c r="H10155" s="76" t="s">
        <v>936</v>
      </c>
    </row>
    <row r="10156">
      <c r="A10156" s="76" t="s">
        <v>45</v>
      </c>
      <c r="B10156" s="76" t="s">
        <v>1006</v>
      </c>
      <c r="C10156" s="84">
        <v>3.14</v>
      </c>
      <c r="D10156" s="84">
        <v>0.0</v>
      </c>
      <c r="E10156" s="84">
        <v>0.0</v>
      </c>
      <c r="F10156" s="76" t="s">
        <v>997</v>
      </c>
      <c r="G10156" s="83">
        <v>46119.0</v>
      </c>
      <c r="H10156" s="76" t="s">
        <v>937</v>
      </c>
    </row>
    <row r="10157">
      <c r="A10157" s="76" t="s">
        <v>45</v>
      </c>
      <c r="B10157" s="76" t="s">
        <v>1006</v>
      </c>
      <c r="C10157" s="84">
        <v>1.11</v>
      </c>
      <c r="D10157" s="84">
        <v>1.0</v>
      </c>
      <c r="E10157" s="84">
        <v>1.11</v>
      </c>
      <c r="F10157" s="76" t="s">
        <v>997</v>
      </c>
      <c r="G10157" s="83">
        <v>46119.0</v>
      </c>
      <c r="H10157" s="76" t="s">
        <v>938</v>
      </c>
    </row>
    <row r="10158">
      <c r="A10158" s="76" t="s">
        <v>32</v>
      </c>
      <c r="B10158" s="76" t="s">
        <v>1006</v>
      </c>
      <c r="C10158" s="84">
        <v>17.54</v>
      </c>
      <c r="D10158" s="84">
        <v>6.0</v>
      </c>
      <c r="E10158" s="84">
        <v>2.92</v>
      </c>
      <c r="F10158" s="76" t="s">
        <v>997</v>
      </c>
      <c r="G10158" s="83">
        <v>46119.0</v>
      </c>
      <c r="H10158" s="76" t="s">
        <v>941</v>
      </c>
    </row>
    <row r="10159">
      <c r="A10159" s="76" t="s">
        <v>32</v>
      </c>
      <c r="B10159" s="76" t="s">
        <v>1006</v>
      </c>
      <c r="C10159" s="84">
        <v>3.16</v>
      </c>
      <c r="D10159" s="84">
        <v>0.0</v>
      </c>
      <c r="E10159" s="84">
        <v>0.0</v>
      </c>
      <c r="F10159" s="76" t="s">
        <v>997</v>
      </c>
      <c r="G10159" s="83">
        <v>46119.0</v>
      </c>
      <c r="H10159" s="76" t="s">
        <v>942</v>
      </c>
    </row>
    <row r="10160">
      <c r="A10160" s="76" t="s">
        <v>32</v>
      </c>
      <c r="B10160" s="76" t="s">
        <v>1006</v>
      </c>
      <c r="C10160" s="84">
        <v>4.41</v>
      </c>
      <c r="D10160" s="84">
        <v>0.0</v>
      </c>
      <c r="E10160" s="84">
        <v>0.0</v>
      </c>
      <c r="F10160" s="76" t="s">
        <v>997</v>
      </c>
      <c r="G10160" s="83">
        <v>46119.0</v>
      </c>
      <c r="H10160" s="76" t="s">
        <v>943</v>
      </c>
    </row>
    <row r="10161">
      <c r="A10161" s="76" t="s">
        <v>944</v>
      </c>
      <c r="B10161" s="76" t="s">
        <v>1006</v>
      </c>
      <c r="C10161" s="84">
        <v>0.74</v>
      </c>
      <c r="D10161" s="84">
        <v>0.0</v>
      </c>
      <c r="E10161" s="84">
        <v>0.0</v>
      </c>
      <c r="F10161" s="76" t="s">
        <v>997</v>
      </c>
      <c r="G10161" s="83">
        <v>46119.0</v>
      </c>
      <c r="H10161" s="76" t="s">
        <v>945</v>
      </c>
    </row>
    <row r="10162">
      <c r="A10162" s="76" t="s">
        <v>944</v>
      </c>
      <c r="B10162" s="76" t="s">
        <v>1006</v>
      </c>
      <c r="C10162" s="84">
        <v>2.56</v>
      </c>
      <c r="D10162" s="84">
        <v>1.0</v>
      </c>
      <c r="E10162" s="84">
        <v>2.56</v>
      </c>
      <c r="F10162" s="76" t="s">
        <v>997</v>
      </c>
      <c r="G10162" s="83">
        <v>46119.0</v>
      </c>
      <c r="H10162" s="76" t="s">
        <v>946</v>
      </c>
    </row>
    <row r="10163">
      <c r="A10163" s="76" t="s">
        <v>944</v>
      </c>
      <c r="B10163" s="76" t="s">
        <v>1006</v>
      </c>
      <c r="C10163" s="84">
        <v>8.09</v>
      </c>
      <c r="D10163" s="84">
        <v>2.0</v>
      </c>
      <c r="E10163" s="84">
        <v>4.05</v>
      </c>
      <c r="F10163" s="76" t="s">
        <v>997</v>
      </c>
      <c r="G10163" s="83">
        <v>46119.0</v>
      </c>
      <c r="H10163" s="76" t="s">
        <v>947</v>
      </c>
    </row>
    <row r="10164">
      <c r="A10164" s="76" t="s">
        <v>26</v>
      </c>
      <c r="B10164" s="76" t="s">
        <v>1006</v>
      </c>
      <c r="C10164" s="84">
        <v>1.53</v>
      </c>
      <c r="D10164" s="84">
        <v>0.0</v>
      </c>
      <c r="E10164" s="84">
        <v>0.0</v>
      </c>
      <c r="F10164" s="76" t="s">
        <v>997</v>
      </c>
      <c r="G10164" s="83">
        <v>46119.0</v>
      </c>
      <c r="H10164" s="76" t="s">
        <v>1012</v>
      </c>
    </row>
    <row r="10165">
      <c r="A10165" s="76" t="s">
        <v>26</v>
      </c>
      <c r="B10165" s="76" t="s">
        <v>1006</v>
      </c>
      <c r="C10165" s="84">
        <v>1.1</v>
      </c>
      <c r="D10165" s="84">
        <v>0.0</v>
      </c>
      <c r="E10165" s="84">
        <v>0.0</v>
      </c>
      <c r="F10165" s="76" t="s">
        <v>997</v>
      </c>
      <c r="G10165" s="83">
        <v>46119.0</v>
      </c>
      <c r="H10165" s="76" t="s">
        <v>1013</v>
      </c>
    </row>
    <row r="10166">
      <c r="A10166" s="76" t="s">
        <v>26</v>
      </c>
      <c r="B10166" s="76" t="s">
        <v>1006</v>
      </c>
      <c r="C10166" s="84">
        <v>10.62</v>
      </c>
      <c r="D10166" s="84">
        <v>2.0</v>
      </c>
      <c r="E10166" s="84">
        <v>5.31</v>
      </c>
      <c r="F10166" s="76" t="s">
        <v>997</v>
      </c>
      <c r="G10166" s="83">
        <v>46119.0</v>
      </c>
      <c r="H10166" s="76" t="s">
        <v>1014</v>
      </c>
    </row>
    <row r="10167">
      <c r="A10167" s="76" t="s">
        <v>36</v>
      </c>
      <c r="B10167" s="76" t="s">
        <v>1006</v>
      </c>
      <c r="C10167" s="84">
        <v>1.25</v>
      </c>
      <c r="D10167" s="84">
        <v>1.0</v>
      </c>
      <c r="E10167" s="84">
        <v>1.25</v>
      </c>
      <c r="F10167" s="76" t="s">
        <v>998</v>
      </c>
      <c r="G10167" s="83">
        <v>46119.0</v>
      </c>
      <c r="H10167" s="76" t="s">
        <v>926</v>
      </c>
    </row>
    <row r="10168">
      <c r="A10168" s="76" t="s">
        <v>36</v>
      </c>
      <c r="B10168" s="76" t="s">
        <v>1006</v>
      </c>
      <c r="C10168" s="84">
        <v>0.38</v>
      </c>
      <c r="D10168" s="84">
        <v>0.0</v>
      </c>
      <c r="E10168" s="84">
        <v>0.0</v>
      </c>
      <c r="F10168" s="76" t="s">
        <v>998</v>
      </c>
      <c r="G10168" s="83">
        <v>46119.0</v>
      </c>
      <c r="H10168" s="76" t="s">
        <v>927</v>
      </c>
    </row>
    <row r="10169">
      <c r="A10169" s="76" t="s">
        <v>36</v>
      </c>
      <c r="B10169" s="76" t="s">
        <v>1006</v>
      </c>
      <c r="C10169" s="84">
        <v>1.06</v>
      </c>
      <c r="D10169" s="84">
        <v>0.0</v>
      </c>
      <c r="E10169" s="84">
        <v>0.0</v>
      </c>
      <c r="F10169" s="76" t="s">
        <v>998</v>
      </c>
      <c r="G10169" s="83">
        <v>46119.0</v>
      </c>
      <c r="H10169" s="76" t="s">
        <v>928</v>
      </c>
    </row>
    <row r="10170">
      <c r="A10170" s="76" t="s">
        <v>31</v>
      </c>
      <c r="B10170" s="76" t="s">
        <v>1006</v>
      </c>
      <c r="C10170" s="84">
        <v>1.22</v>
      </c>
      <c r="D10170" s="84">
        <v>0.0</v>
      </c>
      <c r="E10170" s="84">
        <v>0.0</v>
      </c>
      <c r="F10170" s="76" t="s">
        <v>998</v>
      </c>
      <c r="G10170" s="83">
        <v>46119.0</v>
      </c>
      <c r="H10170" s="76" t="s">
        <v>929</v>
      </c>
    </row>
    <row r="10171">
      <c r="A10171" s="76" t="s">
        <v>31</v>
      </c>
      <c r="B10171" s="76" t="s">
        <v>1006</v>
      </c>
      <c r="C10171" s="84">
        <v>7.79</v>
      </c>
      <c r="D10171" s="84">
        <v>3.0</v>
      </c>
      <c r="E10171" s="84">
        <v>2.6</v>
      </c>
      <c r="F10171" s="76" t="s">
        <v>998</v>
      </c>
      <c r="G10171" s="83">
        <v>46119.0</v>
      </c>
      <c r="H10171" s="76" t="s">
        <v>930</v>
      </c>
    </row>
    <row r="10172">
      <c r="A10172" s="76" t="s">
        <v>28</v>
      </c>
      <c r="B10172" s="76" t="s">
        <v>1006</v>
      </c>
      <c r="C10172" s="84">
        <v>0.99</v>
      </c>
      <c r="D10172" s="84">
        <v>0.0</v>
      </c>
      <c r="E10172" s="84">
        <v>0.0</v>
      </c>
      <c r="F10172" s="76" t="s">
        <v>998</v>
      </c>
      <c r="G10172" s="83">
        <v>46119.0</v>
      </c>
      <c r="H10172" s="76" t="s">
        <v>931</v>
      </c>
    </row>
    <row r="10173">
      <c r="A10173" s="76" t="s">
        <v>28</v>
      </c>
      <c r="B10173" s="76" t="s">
        <v>1006</v>
      </c>
      <c r="C10173" s="84">
        <v>1.03</v>
      </c>
      <c r="D10173" s="84">
        <v>0.0</v>
      </c>
      <c r="E10173" s="84">
        <v>0.0</v>
      </c>
      <c r="F10173" s="76" t="s">
        <v>998</v>
      </c>
      <c r="G10173" s="83">
        <v>46119.0</v>
      </c>
      <c r="H10173" s="76" t="s">
        <v>932</v>
      </c>
    </row>
    <row r="10174">
      <c r="A10174" s="76" t="s">
        <v>28</v>
      </c>
      <c r="B10174" s="76" t="s">
        <v>1006</v>
      </c>
      <c r="C10174" s="84">
        <v>3.47</v>
      </c>
      <c r="D10174" s="84">
        <v>2.0</v>
      </c>
      <c r="E10174" s="84">
        <v>1.73</v>
      </c>
      <c r="F10174" s="76" t="s">
        <v>998</v>
      </c>
      <c r="G10174" s="83">
        <v>46119.0</v>
      </c>
      <c r="H10174" s="76" t="s">
        <v>933</v>
      </c>
    </row>
    <row r="10175">
      <c r="A10175" s="76" t="s">
        <v>45</v>
      </c>
      <c r="B10175" s="76" t="s">
        <v>1006</v>
      </c>
      <c r="C10175" s="84">
        <v>0.6</v>
      </c>
      <c r="D10175" s="84">
        <v>0.0</v>
      </c>
      <c r="E10175" s="84">
        <v>0.0</v>
      </c>
      <c r="F10175" s="76" t="s">
        <v>998</v>
      </c>
      <c r="G10175" s="83">
        <v>46119.0</v>
      </c>
      <c r="H10175" s="76" t="s">
        <v>936</v>
      </c>
    </row>
    <row r="10176">
      <c r="A10176" s="76" t="s">
        <v>45</v>
      </c>
      <c r="B10176" s="76" t="s">
        <v>1006</v>
      </c>
      <c r="C10176" s="84">
        <v>1.18</v>
      </c>
      <c r="D10176" s="84">
        <v>0.0</v>
      </c>
      <c r="E10176" s="84">
        <v>0.0</v>
      </c>
      <c r="F10176" s="76" t="s">
        <v>998</v>
      </c>
      <c r="G10176" s="83">
        <v>46119.0</v>
      </c>
      <c r="H10176" s="76" t="s">
        <v>937</v>
      </c>
    </row>
    <row r="10177">
      <c r="A10177" s="76" t="s">
        <v>45</v>
      </c>
      <c r="B10177" s="76" t="s">
        <v>1006</v>
      </c>
      <c r="C10177" s="84">
        <v>0.25</v>
      </c>
      <c r="D10177" s="84">
        <v>0.0</v>
      </c>
      <c r="E10177" s="84">
        <v>0.0</v>
      </c>
      <c r="F10177" s="76" t="s">
        <v>998</v>
      </c>
      <c r="G10177" s="83">
        <v>46119.0</v>
      </c>
      <c r="H10177" s="76" t="s">
        <v>938</v>
      </c>
    </row>
    <row r="10178">
      <c r="A10178" s="76" t="s">
        <v>32</v>
      </c>
      <c r="B10178" s="76" t="s">
        <v>1006</v>
      </c>
      <c r="C10178" s="84">
        <v>36.45</v>
      </c>
      <c r="D10178" s="84">
        <v>4.0</v>
      </c>
      <c r="E10178" s="84">
        <v>9.11</v>
      </c>
      <c r="F10178" s="76" t="s">
        <v>998</v>
      </c>
      <c r="G10178" s="83">
        <v>46119.0</v>
      </c>
      <c r="H10178" s="76" t="s">
        <v>941</v>
      </c>
    </row>
    <row r="10179">
      <c r="A10179" s="76" t="s">
        <v>32</v>
      </c>
      <c r="B10179" s="76" t="s">
        <v>1006</v>
      </c>
      <c r="C10179" s="84">
        <v>1.86</v>
      </c>
      <c r="D10179" s="84">
        <v>3.0</v>
      </c>
      <c r="E10179" s="84">
        <v>0.62</v>
      </c>
      <c r="F10179" s="76" t="s">
        <v>998</v>
      </c>
      <c r="G10179" s="83">
        <v>46119.0</v>
      </c>
      <c r="H10179" s="76" t="s">
        <v>942</v>
      </c>
    </row>
    <row r="10180">
      <c r="A10180" s="76" t="s">
        <v>32</v>
      </c>
      <c r="B10180" s="76" t="s">
        <v>1006</v>
      </c>
      <c r="C10180" s="84">
        <v>1.98</v>
      </c>
      <c r="D10180" s="84">
        <v>1.0</v>
      </c>
      <c r="E10180" s="84">
        <v>1.98</v>
      </c>
      <c r="F10180" s="76" t="s">
        <v>998</v>
      </c>
      <c r="G10180" s="83">
        <v>46119.0</v>
      </c>
      <c r="H10180" s="76" t="s">
        <v>943</v>
      </c>
    </row>
    <row r="10181">
      <c r="A10181" s="76" t="s">
        <v>944</v>
      </c>
      <c r="B10181" s="76" t="s">
        <v>1006</v>
      </c>
      <c r="C10181" s="84">
        <v>0.63</v>
      </c>
      <c r="D10181" s="84">
        <v>0.0</v>
      </c>
      <c r="E10181" s="84">
        <v>0.0</v>
      </c>
      <c r="F10181" s="76" t="s">
        <v>998</v>
      </c>
      <c r="G10181" s="83">
        <v>46119.0</v>
      </c>
      <c r="H10181" s="76" t="s">
        <v>945</v>
      </c>
    </row>
    <row r="10182">
      <c r="A10182" s="76" t="s">
        <v>944</v>
      </c>
      <c r="B10182" s="76" t="s">
        <v>1006</v>
      </c>
      <c r="C10182" s="84">
        <v>1.65</v>
      </c>
      <c r="D10182" s="84">
        <v>0.0</v>
      </c>
      <c r="E10182" s="84">
        <v>0.0</v>
      </c>
      <c r="F10182" s="76" t="s">
        <v>998</v>
      </c>
      <c r="G10182" s="83">
        <v>46119.0</v>
      </c>
      <c r="H10182" s="76" t="s">
        <v>946</v>
      </c>
    </row>
    <row r="10183">
      <c r="A10183" s="76" t="s">
        <v>944</v>
      </c>
      <c r="B10183" s="76" t="s">
        <v>1006</v>
      </c>
      <c r="C10183" s="84">
        <v>10.48</v>
      </c>
      <c r="D10183" s="84">
        <v>1.0</v>
      </c>
      <c r="E10183" s="84">
        <v>10.48</v>
      </c>
      <c r="F10183" s="76" t="s">
        <v>998</v>
      </c>
      <c r="G10183" s="83">
        <v>46119.0</v>
      </c>
      <c r="H10183" s="76" t="s">
        <v>947</v>
      </c>
    </row>
    <row r="10184">
      <c r="A10184" s="76" t="s">
        <v>26</v>
      </c>
      <c r="B10184" s="76" t="s">
        <v>1006</v>
      </c>
      <c r="C10184" s="84">
        <v>0.81</v>
      </c>
      <c r="D10184" s="84">
        <v>0.0</v>
      </c>
      <c r="E10184" s="84">
        <v>0.0</v>
      </c>
      <c r="F10184" s="76" t="s">
        <v>998</v>
      </c>
      <c r="G10184" s="83">
        <v>46119.0</v>
      </c>
      <c r="H10184" s="76" t="s">
        <v>1012</v>
      </c>
    </row>
    <row r="10185">
      <c r="A10185" s="76" t="s">
        <v>26</v>
      </c>
      <c r="B10185" s="76" t="s">
        <v>1006</v>
      </c>
      <c r="C10185" s="84">
        <v>0.64</v>
      </c>
      <c r="D10185" s="84">
        <v>0.0</v>
      </c>
      <c r="E10185" s="84">
        <v>0.0</v>
      </c>
      <c r="F10185" s="76" t="s">
        <v>998</v>
      </c>
      <c r="G10185" s="83">
        <v>46119.0</v>
      </c>
      <c r="H10185" s="76" t="s">
        <v>1013</v>
      </c>
    </row>
    <row r="10186">
      <c r="A10186" s="76" t="s">
        <v>26</v>
      </c>
      <c r="B10186" s="76" t="s">
        <v>1006</v>
      </c>
      <c r="C10186" s="84">
        <v>4.65</v>
      </c>
      <c r="D10186" s="84">
        <v>0.0</v>
      </c>
      <c r="E10186" s="84">
        <v>0.0</v>
      </c>
      <c r="F10186" s="76" t="s">
        <v>998</v>
      </c>
      <c r="G10186" s="83">
        <v>46119.0</v>
      </c>
      <c r="H10186" s="76" t="s">
        <v>1014</v>
      </c>
    </row>
    <row r="10187">
      <c r="A10187" s="76" t="s">
        <v>40</v>
      </c>
      <c r="B10187" s="76" t="s">
        <v>1039</v>
      </c>
      <c r="C10187" s="84">
        <v>6.32</v>
      </c>
      <c r="D10187" s="84">
        <v>1.0</v>
      </c>
      <c r="E10187" s="84">
        <v>6.32</v>
      </c>
      <c r="F10187" s="76" t="s">
        <v>1005</v>
      </c>
      <c r="G10187" s="83">
        <v>46119.0</v>
      </c>
      <c r="H10187" s="76" t="s">
        <v>954</v>
      </c>
    </row>
    <row r="10188">
      <c r="A10188" s="76" t="s">
        <v>40</v>
      </c>
      <c r="B10188" s="76" t="s">
        <v>1039</v>
      </c>
      <c r="C10188" s="84">
        <v>2.33</v>
      </c>
      <c r="D10188" s="84">
        <v>1.0</v>
      </c>
      <c r="E10188" s="84">
        <v>2.33</v>
      </c>
      <c r="F10188" s="76" t="s">
        <v>1005</v>
      </c>
      <c r="G10188" s="83">
        <v>46119.0</v>
      </c>
      <c r="H10188" s="76" t="s">
        <v>955</v>
      </c>
    </row>
    <row r="10189">
      <c r="A10189" s="76" t="s">
        <v>40</v>
      </c>
      <c r="B10189" s="76" t="s">
        <v>1039</v>
      </c>
      <c r="C10189" s="84">
        <v>106.49</v>
      </c>
      <c r="D10189" s="84">
        <v>21.0</v>
      </c>
      <c r="E10189" s="84">
        <v>5.07</v>
      </c>
      <c r="F10189" s="76" t="s">
        <v>1005</v>
      </c>
      <c r="G10189" s="83">
        <v>46119.0</v>
      </c>
      <c r="H10189" s="76" t="s">
        <v>956</v>
      </c>
    </row>
    <row r="10190">
      <c r="A10190" s="76" t="s">
        <v>36</v>
      </c>
      <c r="B10190" s="76" t="s">
        <v>1039</v>
      </c>
      <c r="C10190" s="84">
        <v>11.74</v>
      </c>
      <c r="D10190" s="84">
        <v>6.0</v>
      </c>
      <c r="E10190" s="84">
        <v>1.96</v>
      </c>
      <c r="F10190" s="76" t="s">
        <v>1005</v>
      </c>
      <c r="G10190" s="83">
        <v>46119.0</v>
      </c>
      <c r="H10190" s="76" t="s">
        <v>926</v>
      </c>
    </row>
    <row r="10191">
      <c r="A10191" s="76" t="s">
        <v>36</v>
      </c>
      <c r="B10191" s="76" t="s">
        <v>1039</v>
      </c>
      <c r="C10191" s="84">
        <v>2.99</v>
      </c>
      <c r="D10191" s="84">
        <v>1.0</v>
      </c>
      <c r="E10191" s="84">
        <v>2.99</v>
      </c>
      <c r="F10191" s="76" t="s">
        <v>1005</v>
      </c>
      <c r="G10191" s="83">
        <v>46119.0</v>
      </c>
      <c r="H10191" s="76" t="s">
        <v>927</v>
      </c>
    </row>
    <row r="10192">
      <c r="A10192" s="76" t="s">
        <v>36</v>
      </c>
      <c r="B10192" s="76" t="s">
        <v>1039</v>
      </c>
      <c r="C10192" s="84">
        <v>8.04</v>
      </c>
      <c r="D10192" s="84">
        <v>5.0</v>
      </c>
      <c r="E10192" s="84">
        <v>1.61</v>
      </c>
      <c r="F10192" s="76" t="s">
        <v>1005</v>
      </c>
      <c r="G10192" s="83">
        <v>46119.0</v>
      </c>
      <c r="H10192" s="76" t="s">
        <v>928</v>
      </c>
    </row>
    <row r="10193">
      <c r="A10193" s="76" t="s">
        <v>46</v>
      </c>
      <c r="B10193" s="76" t="s">
        <v>1039</v>
      </c>
      <c r="C10193" s="84">
        <v>1.24</v>
      </c>
      <c r="D10193" s="84">
        <v>2.0</v>
      </c>
      <c r="E10193" s="84">
        <v>0.62</v>
      </c>
      <c r="F10193" s="76" t="s">
        <v>1005</v>
      </c>
      <c r="G10193" s="83">
        <v>46119.0</v>
      </c>
      <c r="H10193" s="76" t="s">
        <v>960</v>
      </c>
    </row>
    <row r="10194">
      <c r="A10194" s="76" t="s">
        <v>46</v>
      </c>
      <c r="B10194" s="76" t="s">
        <v>1039</v>
      </c>
      <c r="C10194" s="84">
        <v>3.65</v>
      </c>
      <c r="D10194" s="84">
        <v>1.0</v>
      </c>
      <c r="E10194" s="84">
        <v>3.65</v>
      </c>
      <c r="F10194" s="76" t="s">
        <v>1005</v>
      </c>
      <c r="G10194" s="83">
        <v>46119.0</v>
      </c>
      <c r="H10194" s="76" t="s">
        <v>961</v>
      </c>
    </row>
    <row r="10195">
      <c r="A10195" s="76" t="s">
        <v>46</v>
      </c>
      <c r="B10195" s="76" t="s">
        <v>1039</v>
      </c>
      <c r="C10195" s="84">
        <v>5.03</v>
      </c>
      <c r="D10195" s="84">
        <v>2.0</v>
      </c>
      <c r="E10195" s="84">
        <v>2.52</v>
      </c>
      <c r="F10195" s="76" t="s">
        <v>1005</v>
      </c>
      <c r="G10195" s="83">
        <v>46119.0</v>
      </c>
      <c r="H10195" s="76" t="s">
        <v>962</v>
      </c>
    </row>
    <row r="10196">
      <c r="A10196" s="76" t="s">
        <v>970</v>
      </c>
      <c r="B10196" s="76" t="s">
        <v>1039</v>
      </c>
      <c r="C10196" s="84">
        <v>16.14</v>
      </c>
      <c r="D10196" s="84">
        <v>2.0</v>
      </c>
      <c r="E10196" s="84">
        <v>8.07</v>
      </c>
      <c r="F10196" s="76" t="s">
        <v>1005</v>
      </c>
      <c r="G10196" s="83">
        <v>46119.0</v>
      </c>
      <c r="H10196" s="76" t="s">
        <v>971</v>
      </c>
    </row>
    <row r="10197">
      <c r="A10197" s="76" t="s">
        <v>970</v>
      </c>
      <c r="B10197" s="76" t="s">
        <v>1039</v>
      </c>
      <c r="C10197" s="84">
        <v>4.85</v>
      </c>
      <c r="D10197" s="84">
        <v>0.0</v>
      </c>
      <c r="E10197" s="84">
        <v>0.0</v>
      </c>
      <c r="F10197" s="76" t="s">
        <v>1005</v>
      </c>
      <c r="G10197" s="83">
        <v>46119.0</v>
      </c>
      <c r="H10197" s="76" t="s">
        <v>972</v>
      </c>
    </row>
    <row r="10198">
      <c r="A10198" s="76" t="s">
        <v>970</v>
      </c>
      <c r="B10198" s="76" t="s">
        <v>1039</v>
      </c>
      <c r="C10198" s="84">
        <v>15.37</v>
      </c>
      <c r="D10198" s="84">
        <v>0.0</v>
      </c>
      <c r="E10198" s="84">
        <v>0.0</v>
      </c>
      <c r="F10198" s="76" t="s">
        <v>1005</v>
      </c>
      <c r="G10198" s="83">
        <v>46119.0</v>
      </c>
      <c r="H10198" s="76" t="s">
        <v>973</v>
      </c>
    </row>
    <row r="10199">
      <c r="A10199" s="76" t="s">
        <v>29</v>
      </c>
      <c r="B10199" s="76" t="s">
        <v>1039</v>
      </c>
      <c r="C10199" s="84">
        <v>14.04</v>
      </c>
      <c r="D10199" s="84">
        <v>3.0</v>
      </c>
      <c r="E10199" s="84">
        <v>4.68</v>
      </c>
      <c r="F10199" s="76" t="s">
        <v>1005</v>
      </c>
      <c r="G10199" s="83">
        <v>46119.0</v>
      </c>
      <c r="H10199" s="76" t="s">
        <v>1015</v>
      </c>
    </row>
    <row r="10200">
      <c r="A10200" s="76" t="s">
        <v>29</v>
      </c>
      <c r="B10200" s="76" t="s">
        <v>1039</v>
      </c>
      <c r="C10200" s="84">
        <v>14.69</v>
      </c>
      <c r="D10200" s="84">
        <v>3.0</v>
      </c>
      <c r="E10200" s="84">
        <v>4.9</v>
      </c>
      <c r="F10200" s="76" t="s">
        <v>1005</v>
      </c>
      <c r="G10200" s="83">
        <v>46119.0</v>
      </c>
      <c r="H10200" s="76" t="s">
        <v>1016</v>
      </c>
    </row>
    <row r="10201">
      <c r="A10201" s="76" t="s">
        <v>29</v>
      </c>
      <c r="B10201" s="76" t="s">
        <v>1039</v>
      </c>
      <c r="C10201" s="84">
        <v>5.33</v>
      </c>
      <c r="D10201" s="84">
        <v>2.0</v>
      </c>
      <c r="E10201" s="84">
        <v>2.67</v>
      </c>
      <c r="F10201" s="76" t="s">
        <v>1005</v>
      </c>
      <c r="G10201" s="83">
        <v>46119.0</v>
      </c>
      <c r="H10201" s="76" t="s">
        <v>1017</v>
      </c>
    </row>
    <row r="10202">
      <c r="A10202" s="76" t="s">
        <v>34</v>
      </c>
      <c r="B10202" s="76" t="s">
        <v>1039</v>
      </c>
      <c r="C10202" s="84">
        <v>7.45</v>
      </c>
      <c r="D10202" s="84">
        <v>3.0</v>
      </c>
      <c r="E10202" s="84">
        <v>2.48</v>
      </c>
      <c r="F10202" s="76" t="s">
        <v>1005</v>
      </c>
      <c r="G10202" s="83">
        <v>46119.0</v>
      </c>
      <c r="H10202" s="76" t="s">
        <v>951</v>
      </c>
    </row>
    <row r="10203">
      <c r="A10203" s="76" t="s">
        <v>34</v>
      </c>
      <c r="B10203" s="76" t="s">
        <v>1039</v>
      </c>
      <c r="C10203" s="84">
        <v>6.77</v>
      </c>
      <c r="D10203" s="84">
        <v>2.0</v>
      </c>
      <c r="E10203" s="84">
        <v>3.39</v>
      </c>
      <c r="F10203" s="76" t="s">
        <v>1005</v>
      </c>
      <c r="G10203" s="83">
        <v>46119.0</v>
      </c>
      <c r="H10203" s="76" t="s">
        <v>952</v>
      </c>
    </row>
    <row r="10204">
      <c r="A10204" s="76" t="s">
        <v>34</v>
      </c>
      <c r="B10204" s="76" t="s">
        <v>1039</v>
      </c>
      <c r="C10204" s="84">
        <v>3.24</v>
      </c>
      <c r="D10204" s="84">
        <v>2.0</v>
      </c>
      <c r="E10204" s="84">
        <v>1.62</v>
      </c>
      <c r="F10204" s="76" t="s">
        <v>1005</v>
      </c>
      <c r="G10204" s="83">
        <v>46119.0</v>
      </c>
      <c r="H10204" s="76" t="s">
        <v>953</v>
      </c>
    </row>
    <row r="10205">
      <c r="A10205" s="76" t="s">
        <v>33</v>
      </c>
      <c r="B10205" s="76" t="s">
        <v>1039</v>
      </c>
      <c r="C10205" s="84">
        <v>75.53</v>
      </c>
      <c r="D10205" s="84">
        <v>10.0</v>
      </c>
      <c r="E10205" s="84">
        <v>7.55</v>
      </c>
      <c r="F10205" s="76" t="s">
        <v>1005</v>
      </c>
      <c r="G10205" s="83">
        <v>46119.0</v>
      </c>
      <c r="H10205" s="76" t="s">
        <v>957</v>
      </c>
    </row>
    <row r="10206">
      <c r="A10206" s="76" t="s">
        <v>33</v>
      </c>
      <c r="B10206" s="76" t="s">
        <v>1039</v>
      </c>
      <c r="C10206" s="84">
        <v>25.97</v>
      </c>
      <c r="D10206" s="84">
        <v>11.0</v>
      </c>
      <c r="E10206" s="84">
        <v>2.36</v>
      </c>
      <c r="F10206" s="76" t="s">
        <v>1005</v>
      </c>
      <c r="G10206" s="83">
        <v>46119.0</v>
      </c>
      <c r="H10206" s="76" t="s">
        <v>958</v>
      </c>
    </row>
    <row r="10207">
      <c r="A10207" s="76" t="s">
        <v>33</v>
      </c>
      <c r="B10207" s="76" t="s">
        <v>1039</v>
      </c>
      <c r="C10207" s="84">
        <v>27.01</v>
      </c>
      <c r="D10207" s="84">
        <v>8.0</v>
      </c>
      <c r="E10207" s="84">
        <v>3.38</v>
      </c>
      <c r="F10207" s="76" t="s">
        <v>1005</v>
      </c>
      <c r="G10207" s="83">
        <v>46119.0</v>
      </c>
      <c r="H10207" s="76" t="s">
        <v>959</v>
      </c>
    </row>
    <row r="10208">
      <c r="A10208" s="76" t="s">
        <v>43</v>
      </c>
      <c r="B10208" s="76" t="s">
        <v>1039</v>
      </c>
      <c r="C10208" s="84">
        <v>9.23</v>
      </c>
      <c r="D10208" s="84">
        <v>0.0</v>
      </c>
      <c r="E10208" s="84">
        <v>0.0</v>
      </c>
      <c r="F10208" s="76" t="s">
        <v>1005</v>
      </c>
      <c r="G10208" s="83">
        <v>46119.0</v>
      </c>
      <c r="H10208" s="76" t="s">
        <v>963</v>
      </c>
    </row>
    <row r="10209">
      <c r="A10209" s="76" t="s">
        <v>43</v>
      </c>
      <c r="B10209" s="76" t="s">
        <v>1039</v>
      </c>
      <c r="C10209" s="84">
        <v>7.1</v>
      </c>
      <c r="D10209" s="84">
        <v>0.0</v>
      </c>
      <c r="E10209" s="84">
        <v>0.0</v>
      </c>
      <c r="F10209" s="76" t="s">
        <v>1005</v>
      </c>
      <c r="G10209" s="83">
        <v>46119.0</v>
      </c>
      <c r="H10209" s="76" t="s">
        <v>964</v>
      </c>
    </row>
    <row r="10210">
      <c r="A10210" s="76" t="s">
        <v>43</v>
      </c>
      <c r="B10210" s="76" t="s">
        <v>1039</v>
      </c>
      <c r="C10210" s="84">
        <v>15.97</v>
      </c>
      <c r="D10210" s="84">
        <v>5.0</v>
      </c>
      <c r="E10210" s="84">
        <v>3.19</v>
      </c>
      <c r="F10210" s="76" t="s">
        <v>1005</v>
      </c>
      <c r="G10210" s="83">
        <v>46119.0</v>
      </c>
      <c r="H10210" s="76" t="s">
        <v>965</v>
      </c>
    </row>
    <row r="10211">
      <c r="A10211" s="76" t="s">
        <v>966</v>
      </c>
      <c r="B10211" s="76" t="s">
        <v>1039</v>
      </c>
      <c r="C10211" s="84">
        <v>7.8</v>
      </c>
      <c r="D10211" s="84">
        <v>2.0</v>
      </c>
      <c r="E10211" s="84">
        <v>3.9</v>
      </c>
      <c r="F10211" s="76" t="s">
        <v>1005</v>
      </c>
      <c r="G10211" s="83">
        <v>46119.0</v>
      </c>
      <c r="H10211" s="76" t="s">
        <v>967</v>
      </c>
    </row>
    <row r="10212">
      <c r="A10212" s="76" t="s">
        <v>966</v>
      </c>
      <c r="B10212" s="76" t="s">
        <v>1039</v>
      </c>
      <c r="C10212" s="84">
        <v>3.69</v>
      </c>
      <c r="D10212" s="84">
        <v>0.0</v>
      </c>
      <c r="E10212" s="84">
        <v>0.0</v>
      </c>
      <c r="F10212" s="76" t="s">
        <v>1005</v>
      </c>
      <c r="G10212" s="83">
        <v>46119.0</v>
      </c>
      <c r="H10212" s="76" t="s">
        <v>968</v>
      </c>
    </row>
    <row r="10213">
      <c r="A10213" s="76" t="s">
        <v>966</v>
      </c>
      <c r="B10213" s="76" t="s">
        <v>1039</v>
      </c>
      <c r="C10213" s="84">
        <v>7.95</v>
      </c>
      <c r="D10213" s="84">
        <v>1.0</v>
      </c>
      <c r="E10213" s="84">
        <v>7.95</v>
      </c>
      <c r="F10213" s="76" t="s">
        <v>1005</v>
      </c>
      <c r="G10213" s="83">
        <v>46119.0</v>
      </c>
      <c r="H10213" s="76" t="s">
        <v>969</v>
      </c>
    </row>
    <row r="10214">
      <c r="A10214" s="76" t="s">
        <v>970</v>
      </c>
      <c r="B10214" s="76" t="s">
        <v>1039</v>
      </c>
      <c r="C10214" s="84">
        <v>0.99</v>
      </c>
      <c r="D10214" s="84">
        <v>0.0</v>
      </c>
      <c r="E10214" s="84">
        <v>0.0</v>
      </c>
      <c r="F10214" s="76" t="s">
        <v>990</v>
      </c>
      <c r="G10214" s="83">
        <v>46119.0</v>
      </c>
      <c r="H10214" s="76" t="s">
        <v>971</v>
      </c>
    </row>
    <row r="10215">
      <c r="A10215" s="76" t="s">
        <v>970</v>
      </c>
      <c r="B10215" s="76" t="s">
        <v>1039</v>
      </c>
      <c r="C10215" s="84">
        <v>0.43</v>
      </c>
      <c r="D10215" s="84">
        <v>0.0</v>
      </c>
      <c r="E10215" s="84">
        <v>0.0</v>
      </c>
      <c r="F10215" s="76" t="s">
        <v>990</v>
      </c>
      <c r="G10215" s="83">
        <v>46119.0</v>
      </c>
      <c r="H10215" s="76" t="s">
        <v>972</v>
      </c>
    </row>
    <row r="10216">
      <c r="A10216" s="76" t="s">
        <v>970</v>
      </c>
      <c r="B10216" s="76" t="s">
        <v>1039</v>
      </c>
      <c r="C10216" s="84">
        <v>2.96</v>
      </c>
      <c r="D10216" s="84">
        <v>0.0</v>
      </c>
      <c r="E10216" s="84">
        <v>0.0</v>
      </c>
      <c r="F10216" s="76" t="s">
        <v>990</v>
      </c>
      <c r="G10216" s="83">
        <v>46119.0</v>
      </c>
      <c r="H10216" s="76" t="s">
        <v>973</v>
      </c>
    </row>
    <row r="10217">
      <c r="A10217" s="76" t="s">
        <v>29</v>
      </c>
      <c r="B10217" s="76" t="s">
        <v>1039</v>
      </c>
      <c r="C10217" s="84">
        <v>1.06</v>
      </c>
      <c r="D10217" s="84">
        <v>1.0</v>
      </c>
      <c r="E10217" s="84">
        <v>1.06</v>
      </c>
      <c r="F10217" s="76" t="s">
        <v>990</v>
      </c>
      <c r="G10217" s="83">
        <v>46119.0</v>
      </c>
      <c r="H10217" s="76" t="s">
        <v>971</v>
      </c>
    </row>
    <row r="10218">
      <c r="A10218" s="76" t="s">
        <v>29</v>
      </c>
      <c r="B10218" s="76" t="s">
        <v>1039</v>
      </c>
      <c r="C10218" s="84">
        <v>0.28</v>
      </c>
      <c r="D10218" s="84">
        <v>0.0</v>
      </c>
      <c r="E10218" s="84">
        <v>0.0</v>
      </c>
      <c r="F10218" s="76" t="s">
        <v>990</v>
      </c>
      <c r="G10218" s="83">
        <v>46119.0</v>
      </c>
      <c r="H10218" s="76" t="s">
        <v>972</v>
      </c>
    </row>
    <row r="10219">
      <c r="A10219" s="76" t="s">
        <v>29</v>
      </c>
      <c r="B10219" s="76" t="s">
        <v>1039</v>
      </c>
      <c r="C10219" s="84">
        <v>2.31</v>
      </c>
      <c r="D10219" s="84">
        <v>1.0</v>
      </c>
      <c r="E10219" s="84">
        <v>2.31</v>
      </c>
      <c r="F10219" s="76" t="s">
        <v>990</v>
      </c>
      <c r="G10219" s="83">
        <v>46119.0</v>
      </c>
      <c r="H10219" s="76" t="s">
        <v>973</v>
      </c>
    </row>
    <row r="10220">
      <c r="A10220" s="76" t="s">
        <v>46</v>
      </c>
      <c r="B10220" s="76" t="s">
        <v>1039</v>
      </c>
      <c r="C10220" s="84">
        <v>0.07</v>
      </c>
      <c r="D10220" s="84">
        <v>0.0</v>
      </c>
      <c r="E10220" s="84">
        <v>0.0</v>
      </c>
      <c r="F10220" s="76" t="s">
        <v>990</v>
      </c>
      <c r="G10220" s="83">
        <v>46119.0</v>
      </c>
      <c r="H10220" s="76" t="s">
        <v>960</v>
      </c>
    </row>
    <row r="10221">
      <c r="A10221" s="76" t="s">
        <v>46</v>
      </c>
      <c r="B10221" s="76" t="s">
        <v>1039</v>
      </c>
      <c r="C10221" s="84">
        <v>0.3</v>
      </c>
      <c r="D10221" s="84">
        <v>0.0</v>
      </c>
      <c r="E10221" s="84">
        <v>0.0</v>
      </c>
      <c r="F10221" s="76" t="s">
        <v>990</v>
      </c>
      <c r="G10221" s="83">
        <v>46119.0</v>
      </c>
      <c r="H10221" s="76" t="s">
        <v>961</v>
      </c>
    </row>
    <row r="10222">
      <c r="A10222" s="76" t="s">
        <v>46</v>
      </c>
      <c r="B10222" s="76" t="s">
        <v>1039</v>
      </c>
      <c r="C10222" s="84">
        <v>0.2</v>
      </c>
      <c r="D10222" s="84">
        <v>0.0</v>
      </c>
      <c r="E10222" s="84">
        <v>0.0</v>
      </c>
      <c r="F10222" s="76" t="s">
        <v>990</v>
      </c>
      <c r="G10222" s="83">
        <v>46119.0</v>
      </c>
      <c r="H10222" s="76" t="s">
        <v>962</v>
      </c>
    </row>
    <row r="10223">
      <c r="A10223" s="76" t="s">
        <v>36</v>
      </c>
      <c r="B10223" s="76" t="s">
        <v>1039</v>
      </c>
      <c r="C10223" s="84">
        <v>1.17</v>
      </c>
      <c r="D10223" s="84">
        <v>0.0</v>
      </c>
      <c r="E10223" s="84">
        <v>0.0</v>
      </c>
      <c r="F10223" s="76" t="s">
        <v>990</v>
      </c>
      <c r="G10223" s="83">
        <v>46119.0</v>
      </c>
      <c r="H10223" s="76" t="s">
        <v>926</v>
      </c>
    </row>
    <row r="10224">
      <c r="A10224" s="76" t="s">
        <v>36</v>
      </c>
      <c r="B10224" s="76" t="s">
        <v>1039</v>
      </c>
      <c r="C10224" s="84">
        <v>0.31</v>
      </c>
      <c r="D10224" s="84">
        <v>0.0</v>
      </c>
      <c r="E10224" s="84">
        <v>0.0</v>
      </c>
      <c r="F10224" s="76" t="s">
        <v>990</v>
      </c>
      <c r="G10224" s="83">
        <v>46119.0</v>
      </c>
      <c r="H10224" s="76" t="s">
        <v>927</v>
      </c>
    </row>
    <row r="10225">
      <c r="A10225" s="76" t="s">
        <v>36</v>
      </c>
      <c r="B10225" s="76" t="s">
        <v>1039</v>
      </c>
      <c r="C10225" s="84">
        <v>0.58</v>
      </c>
      <c r="D10225" s="84">
        <v>1.0</v>
      </c>
      <c r="E10225" s="84">
        <v>0.58</v>
      </c>
      <c r="F10225" s="76" t="s">
        <v>990</v>
      </c>
      <c r="G10225" s="83">
        <v>46119.0</v>
      </c>
      <c r="H10225" s="76" t="s">
        <v>928</v>
      </c>
    </row>
    <row r="10226">
      <c r="A10226" s="76" t="s">
        <v>34</v>
      </c>
      <c r="B10226" s="76" t="s">
        <v>1039</v>
      </c>
      <c r="C10226" s="84">
        <v>0.37</v>
      </c>
      <c r="D10226" s="84">
        <v>0.0</v>
      </c>
      <c r="E10226" s="84">
        <v>0.0</v>
      </c>
      <c r="F10226" s="76" t="s">
        <v>990</v>
      </c>
      <c r="G10226" s="83">
        <v>46119.0</v>
      </c>
      <c r="H10226" s="76" t="s">
        <v>951</v>
      </c>
    </row>
    <row r="10227">
      <c r="A10227" s="76" t="s">
        <v>34</v>
      </c>
      <c r="B10227" s="76" t="s">
        <v>1039</v>
      </c>
      <c r="C10227" s="84">
        <v>0.55</v>
      </c>
      <c r="D10227" s="84">
        <v>0.0</v>
      </c>
      <c r="E10227" s="84">
        <v>0.0</v>
      </c>
      <c r="F10227" s="76" t="s">
        <v>990</v>
      </c>
      <c r="G10227" s="83">
        <v>46119.0</v>
      </c>
      <c r="H10227" s="76" t="s">
        <v>952</v>
      </c>
    </row>
    <row r="10228">
      <c r="A10228" s="76" t="s">
        <v>34</v>
      </c>
      <c r="B10228" s="76" t="s">
        <v>1039</v>
      </c>
      <c r="C10228" s="84">
        <v>0.21</v>
      </c>
      <c r="D10228" s="84">
        <v>0.0</v>
      </c>
      <c r="E10228" s="84">
        <v>0.0</v>
      </c>
      <c r="F10228" s="76" t="s">
        <v>990</v>
      </c>
      <c r="G10228" s="83">
        <v>46119.0</v>
      </c>
      <c r="H10228" s="76" t="s">
        <v>953</v>
      </c>
    </row>
    <row r="10229">
      <c r="A10229" s="76" t="s">
        <v>33</v>
      </c>
      <c r="B10229" s="76" t="s">
        <v>1039</v>
      </c>
      <c r="C10229" s="84">
        <v>4.0</v>
      </c>
      <c r="D10229" s="84">
        <v>0.0</v>
      </c>
      <c r="E10229" s="84">
        <v>0.0</v>
      </c>
      <c r="F10229" s="76" t="s">
        <v>990</v>
      </c>
      <c r="G10229" s="83">
        <v>46119.0</v>
      </c>
      <c r="H10229" s="76" t="s">
        <v>957</v>
      </c>
    </row>
    <row r="10230">
      <c r="A10230" s="76" t="s">
        <v>33</v>
      </c>
      <c r="B10230" s="76" t="s">
        <v>1039</v>
      </c>
      <c r="C10230" s="84">
        <v>0.86</v>
      </c>
      <c r="D10230" s="84">
        <v>0.0</v>
      </c>
      <c r="E10230" s="84">
        <v>0.0</v>
      </c>
      <c r="F10230" s="76" t="s">
        <v>990</v>
      </c>
      <c r="G10230" s="83">
        <v>46119.0</v>
      </c>
      <c r="H10230" s="76" t="s">
        <v>958</v>
      </c>
    </row>
    <row r="10231">
      <c r="A10231" s="76" t="s">
        <v>33</v>
      </c>
      <c r="B10231" s="76" t="s">
        <v>1039</v>
      </c>
      <c r="C10231" s="84">
        <v>2.07</v>
      </c>
      <c r="D10231" s="84">
        <v>0.0</v>
      </c>
      <c r="E10231" s="84">
        <v>0.0</v>
      </c>
      <c r="F10231" s="76" t="s">
        <v>990</v>
      </c>
      <c r="G10231" s="83">
        <v>46119.0</v>
      </c>
      <c r="H10231" s="76" t="s">
        <v>959</v>
      </c>
    </row>
    <row r="10232">
      <c r="A10232" s="76" t="s">
        <v>40</v>
      </c>
      <c r="B10232" s="76" t="s">
        <v>1039</v>
      </c>
      <c r="C10232" s="84">
        <v>0.32</v>
      </c>
      <c r="D10232" s="84">
        <v>1.0</v>
      </c>
      <c r="E10232" s="84">
        <v>0.32</v>
      </c>
      <c r="F10232" s="76" t="s">
        <v>990</v>
      </c>
      <c r="G10232" s="83">
        <v>46119.0</v>
      </c>
      <c r="H10232" s="76" t="s">
        <v>954</v>
      </c>
    </row>
    <row r="10233">
      <c r="A10233" s="76" t="s">
        <v>40</v>
      </c>
      <c r="B10233" s="76" t="s">
        <v>1039</v>
      </c>
      <c r="C10233" s="84">
        <v>0.11</v>
      </c>
      <c r="D10233" s="84">
        <v>0.0</v>
      </c>
      <c r="E10233" s="84">
        <v>0.0</v>
      </c>
      <c r="F10233" s="76" t="s">
        <v>990</v>
      </c>
      <c r="G10233" s="83">
        <v>46119.0</v>
      </c>
      <c r="H10233" s="76" t="s">
        <v>955</v>
      </c>
    </row>
    <row r="10234">
      <c r="A10234" s="76" t="s">
        <v>40</v>
      </c>
      <c r="B10234" s="76" t="s">
        <v>1039</v>
      </c>
      <c r="C10234" s="84">
        <v>1.46</v>
      </c>
      <c r="D10234" s="84">
        <v>1.0</v>
      </c>
      <c r="E10234" s="84">
        <v>1.46</v>
      </c>
      <c r="F10234" s="76" t="s">
        <v>990</v>
      </c>
      <c r="G10234" s="83">
        <v>46119.0</v>
      </c>
      <c r="H10234" s="76" t="s">
        <v>956</v>
      </c>
    </row>
    <row r="10235">
      <c r="A10235" s="76" t="s">
        <v>43</v>
      </c>
      <c r="B10235" s="76" t="s">
        <v>1039</v>
      </c>
      <c r="C10235" s="84">
        <v>0.82</v>
      </c>
      <c r="D10235" s="84">
        <v>0.0</v>
      </c>
      <c r="E10235" s="84">
        <v>0.0</v>
      </c>
      <c r="F10235" s="76" t="s">
        <v>990</v>
      </c>
      <c r="G10235" s="83">
        <v>46119.0</v>
      </c>
      <c r="H10235" s="76" t="s">
        <v>963</v>
      </c>
    </row>
    <row r="10236">
      <c r="A10236" s="76" t="s">
        <v>43</v>
      </c>
      <c r="B10236" s="76" t="s">
        <v>1039</v>
      </c>
      <c r="C10236" s="84">
        <v>0.65</v>
      </c>
      <c r="D10236" s="84">
        <v>0.0</v>
      </c>
      <c r="E10236" s="84">
        <v>0.0</v>
      </c>
      <c r="F10236" s="76" t="s">
        <v>990</v>
      </c>
      <c r="G10236" s="83">
        <v>46119.0</v>
      </c>
      <c r="H10236" s="76" t="s">
        <v>964</v>
      </c>
    </row>
    <row r="10237">
      <c r="A10237" s="76" t="s">
        <v>43</v>
      </c>
      <c r="B10237" s="76" t="s">
        <v>1039</v>
      </c>
      <c r="C10237" s="84">
        <v>1.29</v>
      </c>
      <c r="D10237" s="84">
        <v>0.0</v>
      </c>
      <c r="E10237" s="84">
        <v>0.0</v>
      </c>
      <c r="F10237" s="76" t="s">
        <v>990</v>
      </c>
      <c r="G10237" s="83">
        <v>46119.0</v>
      </c>
      <c r="H10237" s="76" t="s">
        <v>965</v>
      </c>
    </row>
    <row r="10238">
      <c r="A10238" s="76" t="s">
        <v>966</v>
      </c>
      <c r="B10238" s="76" t="s">
        <v>1039</v>
      </c>
      <c r="C10238" s="84">
        <v>1.12</v>
      </c>
      <c r="D10238" s="84">
        <v>0.0</v>
      </c>
      <c r="E10238" s="84">
        <v>0.0</v>
      </c>
      <c r="F10238" s="76" t="s">
        <v>990</v>
      </c>
      <c r="G10238" s="83">
        <v>46119.0</v>
      </c>
      <c r="H10238" s="76" t="s">
        <v>967</v>
      </c>
    </row>
    <row r="10239">
      <c r="A10239" s="76" t="s">
        <v>966</v>
      </c>
      <c r="B10239" s="76" t="s">
        <v>1039</v>
      </c>
      <c r="C10239" s="84">
        <v>0.25</v>
      </c>
      <c r="D10239" s="84">
        <v>0.0</v>
      </c>
      <c r="E10239" s="84">
        <v>0.0</v>
      </c>
      <c r="F10239" s="76" t="s">
        <v>990</v>
      </c>
      <c r="G10239" s="83">
        <v>46119.0</v>
      </c>
      <c r="H10239" s="76" t="s">
        <v>968</v>
      </c>
    </row>
    <row r="10240">
      <c r="A10240" s="76" t="s">
        <v>966</v>
      </c>
      <c r="B10240" s="76" t="s">
        <v>1039</v>
      </c>
      <c r="C10240" s="84">
        <v>0.55</v>
      </c>
      <c r="D10240" s="84">
        <v>0.0</v>
      </c>
      <c r="E10240" s="84">
        <v>0.0</v>
      </c>
      <c r="F10240" s="76" t="s">
        <v>990</v>
      </c>
      <c r="G10240" s="83">
        <v>46119.0</v>
      </c>
      <c r="H10240" s="76" t="s">
        <v>969</v>
      </c>
    </row>
    <row r="10241">
      <c r="A10241" s="76" t="s">
        <v>970</v>
      </c>
      <c r="B10241" s="76" t="s">
        <v>1039</v>
      </c>
      <c r="C10241" s="84">
        <v>1.26</v>
      </c>
      <c r="D10241" s="84">
        <v>0.0</v>
      </c>
      <c r="E10241" s="84">
        <v>0.0</v>
      </c>
      <c r="F10241" s="76" t="s">
        <v>996</v>
      </c>
      <c r="G10241" s="83">
        <v>46119.0</v>
      </c>
      <c r="H10241" s="76" t="s">
        <v>971</v>
      </c>
    </row>
    <row r="10242">
      <c r="A10242" s="76" t="s">
        <v>970</v>
      </c>
      <c r="B10242" s="76" t="s">
        <v>1039</v>
      </c>
      <c r="C10242" s="84">
        <v>0.59</v>
      </c>
      <c r="D10242" s="84">
        <v>0.0</v>
      </c>
      <c r="E10242" s="84">
        <v>0.0</v>
      </c>
      <c r="F10242" s="76" t="s">
        <v>996</v>
      </c>
      <c r="G10242" s="83">
        <v>46119.0</v>
      </c>
      <c r="H10242" s="76" t="s">
        <v>972</v>
      </c>
    </row>
    <row r="10243">
      <c r="A10243" s="76" t="s">
        <v>970</v>
      </c>
      <c r="B10243" s="76" t="s">
        <v>1039</v>
      </c>
      <c r="C10243" s="84">
        <v>2.28</v>
      </c>
      <c r="D10243" s="84">
        <v>0.0</v>
      </c>
      <c r="E10243" s="84">
        <v>0.0</v>
      </c>
      <c r="F10243" s="76" t="s">
        <v>996</v>
      </c>
      <c r="G10243" s="83">
        <v>46119.0</v>
      </c>
      <c r="H10243" s="76" t="s">
        <v>973</v>
      </c>
    </row>
    <row r="10244">
      <c r="A10244" s="76" t="s">
        <v>29</v>
      </c>
      <c r="B10244" s="76" t="s">
        <v>1039</v>
      </c>
      <c r="C10244" s="84">
        <v>1.41</v>
      </c>
      <c r="D10244" s="84">
        <v>0.0</v>
      </c>
      <c r="E10244" s="84">
        <v>0.0</v>
      </c>
      <c r="F10244" s="76" t="s">
        <v>996</v>
      </c>
      <c r="G10244" s="83">
        <v>46119.0</v>
      </c>
      <c r="H10244" s="76" t="s">
        <v>971</v>
      </c>
    </row>
    <row r="10245">
      <c r="A10245" s="76" t="s">
        <v>29</v>
      </c>
      <c r="B10245" s="76" t="s">
        <v>1039</v>
      </c>
      <c r="C10245" s="84">
        <v>0.76</v>
      </c>
      <c r="D10245" s="84">
        <v>0.0</v>
      </c>
      <c r="E10245" s="84">
        <v>0.0</v>
      </c>
      <c r="F10245" s="76" t="s">
        <v>996</v>
      </c>
      <c r="G10245" s="83">
        <v>46119.0</v>
      </c>
      <c r="H10245" s="76" t="s">
        <v>972</v>
      </c>
    </row>
    <row r="10246">
      <c r="A10246" s="76" t="s">
        <v>29</v>
      </c>
      <c r="B10246" s="76" t="s">
        <v>1039</v>
      </c>
      <c r="C10246" s="84">
        <v>2.22</v>
      </c>
      <c r="D10246" s="84">
        <v>1.0</v>
      </c>
      <c r="E10246" s="84">
        <v>2.22</v>
      </c>
      <c r="F10246" s="76" t="s">
        <v>996</v>
      </c>
      <c r="G10246" s="83">
        <v>46119.0</v>
      </c>
      <c r="H10246" s="76" t="s">
        <v>973</v>
      </c>
    </row>
    <row r="10247">
      <c r="A10247" s="76" t="s">
        <v>43</v>
      </c>
      <c r="B10247" s="76" t="s">
        <v>1039</v>
      </c>
      <c r="C10247" s="84">
        <v>1.77</v>
      </c>
      <c r="D10247" s="84">
        <v>0.0</v>
      </c>
      <c r="E10247" s="84">
        <v>0.0</v>
      </c>
      <c r="F10247" s="76" t="s">
        <v>996</v>
      </c>
      <c r="G10247" s="83">
        <v>46119.0</v>
      </c>
      <c r="H10247" s="76" t="s">
        <v>963</v>
      </c>
    </row>
    <row r="10248">
      <c r="A10248" s="76" t="s">
        <v>43</v>
      </c>
      <c r="B10248" s="76" t="s">
        <v>1039</v>
      </c>
      <c r="C10248" s="84">
        <v>1.14</v>
      </c>
      <c r="D10248" s="84">
        <v>0.0</v>
      </c>
      <c r="E10248" s="84">
        <v>0.0</v>
      </c>
      <c r="F10248" s="76" t="s">
        <v>996</v>
      </c>
      <c r="G10248" s="83">
        <v>46119.0</v>
      </c>
      <c r="H10248" s="76" t="s">
        <v>964</v>
      </c>
    </row>
    <row r="10249">
      <c r="A10249" s="76" t="s">
        <v>43</v>
      </c>
      <c r="B10249" s="76" t="s">
        <v>1039</v>
      </c>
      <c r="C10249" s="84">
        <v>1.42</v>
      </c>
      <c r="D10249" s="84">
        <v>0.0</v>
      </c>
      <c r="E10249" s="84">
        <v>0.0</v>
      </c>
      <c r="F10249" s="76" t="s">
        <v>996</v>
      </c>
      <c r="G10249" s="83">
        <v>46119.0</v>
      </c>
      <c r="H10249" s="76" t="s">
        <v>965</v>
      </c>
    </row>
    <row r="10250">
      <c r="A10250" s="76" t="s">
        <v>46</v>
      </c>
      <c r="B10250" s="76" t="s">
        <v>1039</v>
      </c>
      <c r="C10250" s="84">
        <v>0.16</v>
      </c>
      <c r="D10250" s="84">
        <v>0.0</v>
      </c>
      <c r="E10250" s="84">
        <v>0.0</v>
      </c>
      <c r="F10250" s="76" t="s">
        <v>996</v>
      </c>
      <c r="G10250" s="83">
        <v>46119.0</v>
      </c>
      <c r="H10250" s="76" t="s">
        <v>960</v>
      </c>
    </row>
    <row r="10251">
      <c r="A10251" s="76" t="s">
        <v>46</v>
      </c>
      <c r="B10251" s="76" t="s">
        <v>1039</v>
      </c>
      <c r="C10251" s="84">
        <v>0.51</v>
      </c>
      <c r="D10251" s="84">
        <v>0.0</v>
      </c>
      <c r="E10251" s="84">
        <v>0.0</v>
      </c>
      <c r="F10251" s="76" t="s">
        <v>996</v>
      </c>
      <c r="G10251" s="83">
        <v>46119.0</v>
      </c>
      <c r="H10251" s="76" t="s">
        <v>961</v>
      </c>
    </row>
    <row r="10252">
      <c r="A10252" s="76" t="s">
        <v>46</v>
      </c>
      <c r="B10252" s="76" t="s">
        <v>1039</v>
      </c>
      <c r="C10252" s="84">
        <v>0.69</v>
      </c>
      <c r="D10252" s="84">
        <v>0.0</v>
      </c>
      <c r="E10252" s="84">
        <v>0.0</v>
      </c>
      <c r="F10252" s="76" t="s">
        <v>996</v>
      </c>
      <c r="G10252" s="83">
        <v>46119.0</v>
      </c>
      <c r="H10252" s="76" t="s">
        <v>962</v>
      </c>
    </row>
    <row r="10253">
      <c r="A10253" s="76" t="s">
        <v>966</v>
      </c>
      <c r="B10253" s="76" t="s">
        <v>1039</v>
      </c>
      <c r="C10253" s="84">
        <v>2.04</v>
      </c>
      <c r="D10253" s="84">
        <v>0.0</v>
      </c>
      <c r="E10253" s="84">
        <v>0.0</v>
      </c>
      <c r="F10253" s="76" t="s">
        <v>996</v>
      </c>
      <c r="G10253" s="83">
        <v>46119.0</v>
      </c>
      <c r="H10253" s="76" t="s">
        <v>967</v>
      </c>
    </row>
    <row r="10254">
      <c r="A10254" s="76" t="s">
        <v>966</v>
      </c>
      <c r="B10254" s="76" t="s">
        <v>1039</v>
      </c>
      <c r="C10254" s="84">
        <v>0.41</v>
      </c>
      <c r="D10254" s="84">
        <v>0.0</v>
      </c>
      <c r="E10254" s="84">
        <v>0.0</v>
      </c>
      <c r="F10254" s="76" t="s">
        <v>996</v>
      </c>
      <c r="G10254" s="83">
        <v>46119.0</v>
      </c>
      <c r="H10254" s="76" t="s">
        <v>968</v>
      </c>
    </row>
    <row r="10255">
      <c r="A10255" s="76" t="s">
        <v>966</v>
      </c>
      <c r="B10255" s="76" t="s">
        <v>1039</v>
      </c>
      <c r="C10255" s="84">
        <v>1.65</v>
      </c>
      <c r="D10255" s="84">
        <v>0.0</v>
      </c>
      <c r="E10255" s="84">
        <v>0.0</v>
      </c>
      <c r="F10255" s="76" t="s">
        <v>996</v>
      </c>
      <c r="G10255" s="83">
        <v>46119.0</v>
      </c>
      <c r="H10255" s="76" t="s">
        <v>969</v>
      </c>
    </row>
    <row r="10256">
      <c r="A10256" s="76" t="s">
        <v>33</v>
      </c>
      <c r="B10256" s="76" t="s">
        <v>1039</v>
      </c>
      <c r="C10256" s="84">
        <v>12.03</v>
      </c>
      <c r="D10256" s="84">
        <v>1.0</v>
      </c>
      <c r="E10256" s="84">
        <v>12.03</v>
      </c>
      <c r="F10256" s="76" t="s">
        <v>996</v>
      </c>
      <c r="G10256" s="83">
        <v>46119.0</v>
      </c>
      <c r="H10256" s="76" t="s">
        <v>957</v>
      </c>
    </row>
    <row r="10257">
      <c r="A10257" s="76" t="s">
        <v>33</v>
      </c>
      <c r="B10257" s="76" t="s">
        <v>1039</v>
      </c>
      <c r="C10257" s="84">
        <v>1.7</v>
      </c>
      <c r="D10257" s="84">
        <v>1.0</v>
      </c>
      <c r="E10257" s="84">
        <v>1.7</v>
      </c>
      <c r="F10257" s="76" t="s">
        <v>996</v>
      </c>
      <c r="G10257" s="83">
        <v>46119.0</v>
      </c>
      <c r="H10257" s="76" t="s">
        <v>958</v>
      </c>
    </row>
    <row r="10258">
      <c r="A10258" s="76" t="s">
        <v>33</v>
      </c>
      <c r="B10258" s="76" t="s">
        <v>1039</v>
      </c>
      <c r="C10258" s="84">
        <v>10.53</v>
      </c>
      <c r="D10258" s="84">
        <v>1.0</v>
      </c>
      <c r="E10258" s="84">
        <v>10.53</v>
      </c>
      <c r="F10258" s="76" t="s">
        <v>996</v>
      </c>
      <c r="G10258" s="83">
        <v>46119.0</v>
      </c>
      <c r="H10258" s="76" t="s">
        <v>959</v>
      </c>
    </row>
    <row r="10259">
      <c r="A10259" s="76" t="s">
        <v>34</v>
      </c>
      <c r="B10259" s="76" t="s">
        <v>1039</v>
      </c>
      <c r="C10259" s="84">
        <v>0.57</v>
      </c>
      <c r="D10259" s="84">
        <v>0.0</v>
      </c>
      <c r="E10259" s="84">
        <v>0.0</v>
      </c>
      <c r="F10259" s="76" t="s">
        <v>996</v>
      </c>
      <c r="G10259" s="83">
        <v>46119.0</v>
      </c>
      <c r="H10259" s="76" t="s">
        <v>951</v>
      </c>
    </row>
    <row r="10260">
      <c r="A10260" s="76" t="s">
        <v>34</v>
      </c>
      <c r="B10260" s="76" t="s">
        <v>1039</v>
      </c>
      <c r="C10260" s="84">
        <v>0.96</v>
      </c>
      <c r="D10260" s="84">
        <v>0.0</v>
      </c>
      <c r="E10260" s="84">
        <v>0.0</v>
      </c>
      <c r="F10260" s="76" t="s">
        <v>996</v>
      </c>
      <c r="G10260" s="83">
        <v>46119.0</v>
      </c>
      <c r="H10260" s="76" t="s">
        <v>952</v>
      </c>
    </row>
    <row r="10261">
      <c r="A10261" s="76" t="s">
        <v>34</v>
      </c>
      <c r="B10261" s="76" t="s">
        <v>1039</v>
      </c>
      <c r="C10261" s="84">
        <v>0.55</v>
      </c>
      <c r="D10261" s="84">
        <v>0.0</v>
      </c>
      <c r="E10261" s="84">
        <v>0.0</v>
      </c>
      <c r="F10261" s="76" t="s">
        <v>996</v>
      </c>
      <c r="G10261" s="83">
        <v>46119.0</v>
      </c>
      <c r="H10261" s="76" t="s">
        <v>953</v>
      </c>
    </row>
    <row r="10262">
      <c r="A10262" s="76" t="s">
        <v>36</v>
      </c>
      <c r="B10262" s="76" t="s">
        <v>1039</v>
      </c>
      <c r="C10262" s="84">
        <v>1.67</v>
      </c>
      <c r="D10262" s="84">
        <v>0.0</v>
      </c>
      <c r="E10262" s="84">
        <v>0.0</v>
      </c>
      <c r="F10262" s="76" t="s">
        <v>996</v>
      </c>
      <c r="G10262" s="83">
        <v>46119.0</v>
      </c>
      <c r="H10262" s="76" t="s">
        <v>926</v>
      </c>
    </row>
    <row r="10263">
      <c r="A10263" s="76" t="s">
        <v>36</v>
      </c>
      <c r="B10263" s="76" t="s">
        <v>1039</v>
      </c>
      <c r="C10263" s="84">
        <v>0.58</v>
      </c>
      <c r="D10263" s="84">
        <v>0.0</v>
      </c>
      <c r="E10263" s="84">
        <v>0.0</v>
      </c>
      <c r="F10263" s="76" t="s">
        <v>996</v>
      </c>
      <c r="G10263" s="83">
        <v>46119.0</v>
      </c>
      <c r="H10263" s="76" t="s">
        <v>927</v>
      </c>
    </row>
    <row r="10264">
      <c r="A10264" s="76" t="s">
        <v>36</v>
      </c>
      <c r="B10264" s="76" t="s">
        <v>1039</v>
      </c>
      <c r="C10264" s="84">
        <v>1.46</v>
      </c>
      <c r="D10264" s="84">
        <v>0.0</v>
      </c>
      <c r="E10264" s="84">
        <v>0.0</v>
      </c>
      <c r="F10264" s="76" t="s">
        <v>996</v>
      </c>
      <c r="G10264" s="83">
        <v>46119.0</v>
      </c>
      <c r="H10264" s="76" t="s">
        <v>928</v>
      </c>
    </row>
    <row r="10265">
      <c r="A10265" s="76" t="s">
        <v>40</v>
      </c>
      <c r="B10265" s="76" t="s">
        <v>1039</v>
      </c>
      <c r="C10265" s="84">
        <v>0.72</v>
      </c>
      <c r="D10265" s="84">
        <v>2.0</v>
      </c>
      <c r="E10265" s="84">
        <v>0.36</v>
      </c>
      <c r="F10265" s="76" t="s">
        <v>996</v>
      </c>
      <c r="G10265" s="83">
        <v>46119.0</v>
      </c>
      <c r="H10265" s="76" t="s">
        <v>954</v>
      </c>
    </row>
    <row r="10266">
      <c r="A10266" s="76" t="s">
        <v>40</v>
      </c>
      <c r="B10266" s="76" t="s">
        <v>1039</v>
      </c>
      <c r="C10266" s="84">
        <v>0.32</v>
      </c>
      <c r="D10266" s="84">
        <v>0.0</v>
      </c>
      <c r="E10266" s="84">
        <v>0.0</v>
      </c>
      <c r="F10266" s="76" t="s">
        <v>996</v>
      </c>
      <c r="G10266" s="83">
        <v>46119.0</v>
      </c>
      <c r="H10266" s="76" t="s">
        <v>955</v>
      </c>
    </row>
    <row r="10267">
      <c r="A10267" s="76" t="s">
        <v>40</v>
      </c>
      <c r="B10267" s="76" t="s">
        <v>1039</v>
      </c>
      <c r="C10267" s="84">
        <v>3.94</v>
      </c>
      <c r="D10267" s="84">
        <v>0.0</v>
      </c>
      <c r="E10267" s="84">
        <v>0.0</v>
      </c>
      <c r="F10267" s="76" t="s">
        <v>996</v>
      </c>
      <c r="G10267" s="83">
        <v>46119.0</v>
      </c>
      <c r="H10267" s="76" t="s">
        <v>956</v>
      </c>
    </row>
    <row r="10268">
      <c r="A10268" s="76" t="s">
        <v>40</v>
      </c>
      <c r="B10268" s="76" t="s">
        <v>1039</v>
      </c>
      <c r="C10268" s="84">
        <v>0.09</v>
      </c>
      <c r="D10268" s="84">
        <v>0.0</v>
      </c>
      <c r="E10268" s="84">
        <v>0.0</v>
      </c>
      <c r="F10268" s="76" t="s">
        <v>993</v>
      </c>
      <c r="G10268" s="83">
        <v>46119.0</v>
      </c>
      <c r="H10268" s="76" t="s">
        <v>954</v>
      </c>
    </row>
    <row r="10269">
      <c r="A10269" s="76" t="s">
        <v>40</v>
      </c>
      <c r="B10269" s="76" t="s">
        <v>1039</v>
      </c>
      <c r="C10269" s="84">
        <v>0.07</v>
      </c>
      <c r="D10269" s="84">
        <v>0.0</v>
      </c>
      <c r="E10269" s="84">
        <v>0.0</v>
      </c>
      <c r="F10269" s="76" t="s">
        <v>993</v>
      </c>
      <c r="G10269" s="83">
        <v>46119.0</v>
      </c>
      <c r="H10269" s="76" t="s">
        <v>955</v>
      </c>
    </row>
    <row r="10270">
      <c r="A10270" s="76" t="s">
        <v>40</v>
      </c>
      <c r="B10270" s="76" t="s">
        <v>1039</v>
      </c>
      <c r="C10270" s="84">
        <v>0.55</v>
      </c>
      <c r="D10270" s="84">
        <v>0.0</v>
      </c>
      <c r="E10270" s="84">
        <v>0.0</v>
      </c>
      <c r="F10270" s="76" t="s">
        <v>993</v>
      </c>
      <c r="G10270" s="83">
        <v>46119.0</v>
      </c>
      <c r="H10270" s="76" t="s">
        <v>956</v>
      </c>
    </row>
    <row r="10271">
      <c r="A10271" s="76" t="s">
        <v>36</v>
      </c>
      <c r="B10271" s="76" t="s">
        <v>1039</v>
      </c>
      <c r="C10271" s="84">
        <v>0.31</v>
      </c>
      <c r="D10271" s="84">
        <v>1.0</v>
      </c>
      <c r="E10271" s="84">
        <v>0.31</v>
      </c>
      <c r="F10271" s="76" t="s">
        <v>993</v>
      </c>
      <c r="G10271" s="83">
        <v>46119.0</v>
      </c>
      <c r="H10271" s="76" t="s">
        <v>926</v>
      </c>
    </row>
    <row r="10272">
      <c r="A10272" s="76" t="s">
        <v>36</v>
      </c>
      <c r="B10272" s="76" t="s">
        <v>1039</v>
      </c>
      <c r="C10272" s="84">
        <v>0.07</v>
      </c>
      <c r="D10272" s="84">
        <v>0.0</v>
      </c>
      <c r="E10272" s="84">
        <v>0.0</v>
      </c>
      <c r="F10272" s="76" t="s">
        <v>993</v>
      </c>
      <c r="G10272" s="83">
        <v>46119.0</v>
      </c>
      <c r="H10272" s="76" t="s">
        <v>927</v>
      </c>
    </row>
    <row r="10273">
      <c r="A10273" s="76" t="s">
        <v>36</v>
      </c>
      <c r="B10273" s="76" t="s">
        <v>1039</v>
      </c>
      <c r="C10273" s="84">
        <v>0.1</v>
      </c>
      <c r="D10273" s="84">
        <v>0.0</v>
      </c>
      <c r="E10273" s="84">
        <v>0.0</v>
      </c>
      <c r="F10273" s="76" t="s">
        <v>993</v>
      </c>
      <c r="G10273" s="83">
        <v>46119.0</v>
      </c>
      <c r="H10273" s="76" t="s">
        <v>928</v>
      </c>
    </row>
    <row r="10274">
      <c r="A10274" s="76" t="s">
        <v>46</v>
      </c>
      <c r="B10274" s="76" t="s">
        <v>1039</v>
      </c>
      <c r="C10274" s="84">
        <v>0.12</v>
      </c>
      <c r="D10274" s="84">
        <v>0.0</v>
      </c>
      <c r="E10274" s="84">
        <v>0.0</v>
      </c>
      <c r="F10274" s="76" t="s">
        <v>993</v>
      </c>
      <c r="G10274" s="83">
        <v>46119.0</v>
      </c>
      <c r="H10274" s="76" t="s">
        <v>960</v>
      </c>
    </row>
    <row r="10275">
      <c r="A10275" s="76" t="s">
        <v>46</v>
      </c>
      <c r="B10275" s="76" t="s">
        <v>1039</v>
      </c>
      <c r="C10275" s="84">
        <v>0.03</v>
      </c>
      <c r="D10275" s="84">
        <v>0.0</v>
      </c>
      <c r="E10275" s="84">
        <v>0.0</v>
      </c>
      <c r="F10275" s="76" t="s">
        <v>993</v>
      </c>
      <c r="G10275" s="83">
        <v>46119.0</v>
      </c>
      <c r="H10275" s="76" t="s">
        <v>961</v>
      </c>
    </row>
    <row r="10276">
      <c r="A10276" s="76" t="s">
        <v>46</v>
      </c>
      <c r="B10276" s="76" t="s">
        <v>1039</v>
      </c>
      <c r="C10276" s="84">
        <v>0.1</v>
      </c>
      <c r="D10276" s="84">
        <v>0.0</v>
      </c>
      <c r="E10276" s="84">
        <v>0.0</v>
      </c>
      <c r="F10276" s="76" t="s">
        <v>993</v>
      </c>
      <c r="G10276" s="83">
        <v>46119.0</v>
      </c>
      <c r="H10276" s="76" t="s">
        <v>962</v>
      </c>
    </row>
    <row r="10277">
      <c r="A10277" s="76" t="s">
        <v>970</v>
      </c>
      <c r="B10277" s="76" t="s">
        <v>1039</v>
      </c>
      <c r="C10277" s="84">
        <v>0.48</v>
      </c>
      <c r="D10277" s="84">
        <v>0.0</v>
      </c>
      <c r="E10277" s="84">
        <v>0.0</v>
      </c>
      <c r="F10277" s="76" t="s">
        <v>993</v>
      </c>
      <c r="G10277" s="83">
        <v>46119.0</v>
      </c>
      <c r="H10277" s="76" t="s">
        <v>971</v>
      </c>
    </row>
    <row r="10278">
      <c r="A10278" s="76" t="s">
        <v>970</v>
      </c>
      <c r="B10278" s="76" t="s">
        <v>1039</v>
      </c>
      <c r="C10278" s="84">
        <v>0.19</v>
      </c>
      <c r="D10278" s="84">
        <v>0.0</v>
      </c>
      <c r="E10278" s="84">
        <v>0.0</v>
      </c>
      <c r="F10278" s="76" t="s">
        <v>993</v>
      </c>
      <c r="G10278" s="83">
        <v>46119.0</v>
      </c>
      <c r="H10278" s="76" t="s">
        <v>972</v>
      </c>
    </row>
    <row r="10279">
      <c r="A10279" s="76" t="s">
        <v>970</v>
      </c>
      <c r="B10279" s="76" t="s">
        <v>1039</v>
      </c>
      <c r="C10279" s="84">
        <v>0.65</v>
      </c>
      <c r="D10279" s="84">
        <v>0.0</v>
      </c>
      <c r="E10279" s="84">
        <v>0.0</v>
      </c>
      <c r="F10279" s="76" t="s">
        <v>993</v>
      </c>
      <c r="G10279" s="83">
        <v>46119.0</v>
      </c>
      <c r="H10279" s="76" t="s">
        <v>973</v>
      </c>
    </row>
    <row r="10280">
      <c r="A10280" s="76" t="s">
        <v>33</v>
      </c>
      <c r="B10280" s="76" t="s">
        <v>1039</v>
      </c>
      <c r="C10280" s="84">
        <v>0.94</v>
      </c>
      <c r="D10280" s="84">
        <v>0.0</v>
      </c>
      <c r="E10280" s="84">
        <v>0.0</v>
      </c>
      <c r="F10280" s="76" t="s">
        <v>993</v>
      </c>
      <c r="G10280" s="83">
        <v>46119.0</v>
      </c>
      <c r="H10280" s="76" t="s">
        <v>957</v>
      </c>
    </row>
    <row r="10281">
      <c r="A10281" s="76" t="s">
        <v>33</v>
      </c>
      <c r="B10281" s="76" t="s">
        <v>1039</v>
      </c>
      <c r="C10281" s="84">
        <v>0.2</v>
      </c>
      <c r="D10281" s="84">
        <v>0.0</v>
      </c>
      <c r="E10281" s="84">
        <v>0.0</v>
      </c>
      <c r="F10281" s="76" t="s">
        <v>993</v>
      </c>
      <c r="G10281" s="83">
        <v>46119.0</v>
      </c>
      <c r="H10281" s="76" t="s">
        <v>958</v>
      </c>
    </row>
    <row r="10282">
      <c r="A10282" s="76" t="s">
        <v>33</v>
      </c>
      <c r="B10282" s="76" t="s">
        <v>1039</v>
      </c>
      <c r="C10282" s="84">
        <v>0.76</v>
      </c>
      <c r="D10282" s="84">
        <v>0.0</v>
      </c>
      <c r="E10282" s="84">
        <v>0.0</v>
      </c>
      <c r="F10282" s="76" t="s">
        <v>993</v>
      </c>
      <c r="G10282" s="83">
        <v>46119.0</v>
      </c>
      <c r="H10282" s="76" t="s">
        <v>959</v>
      </c>
    </row>
    <row r="10283">
      <c r="A10283" s="76" t="s">
        <v>966</v>
      </c>
      <c r="B10283" s="76" t="s">
        <v>1039</v>
      </c>
      <c r="C10283" s="84">
        <v>0.34</v>
      </c>
      <c r="D10283" s="84">
        <v>0.0</v>
      </c>
      <c r="E10283" s="84">
        <v>0.0</v>
      </c>
      <c r="F10283" s="76" t="s">
        <v>993</v>
      </c>
      <c r="G10283" s="83">
        <v>46119.0</v>
      </c>
      <c r="H10283" s="76" t="s">
        <v>967</v>
      </c>
    </row>
    <row r="10284">
      <c r="A10284" s="76" t="s">
        <v>966</v>
      </c>
      <c r="B10284" s="76" t="s">
        <v>1039</v>
      </c>
      <c r="C10284" s="84">
        <v>0.09</v>
      </c>
      <c r="D10284" s="84">
        <v>0.0</v>
      </c>
      <c r="E10284" s="84">
        <v>0.0</v>
      </c>
      <c r="F10284" s="76" t="s">
        <v>993</v>
      </c>
      <c r="G10284" s="83">
        <v>46119.0</v>
      </c>
      <c r="H10284" s="76" t="s">
        <v>968</v>
      </c>
    </row>
    <row r="10285">
      <c r="A10285" s="76" t="s">
        <v>966</v>
      </c>
      <c r="B10285" s="76" t="s">
        <v>1039</v>
      </c>
      <c r="C10285" s="84">
        <v>0.22</v>
      </c>
      <c r="D10285" s="84">
        <v>0.0</v>
      </c>
      <c r="E10285" s="84">
        <v>0.0</v>
      </c>
      <c r="F10285" s="76" t="s">
        <v>993</v>
      </c>
      <c r="G10285" s="83">
        <v>46119.0</v>
      </c>
      <c r="H10285" s="76" t="s">
        <v>969</v>
      </c>
    </row>
    <row r="10286">
      <c r="A10286" s="76" t="s">
        <v>29</v>
      </c>
      <c r="B10286" s="76" t="s">
        <v>1039</v>
      </c>
      <c r="C10286" s="84">
        <v>0.57</v>
      </c>
      <c r="D10286" s="84">
        <v>0.0</v>
      </c>
      <c r="E10286" s="84">
        <v>0.0</v>
      </c>
      <c r="F10286" s="76" t="s">
        <v>993</v>
      </c>
      <c r="G10286" s="83">
        <v>46119.0</v>
      </c>
      <c r="H10286" s="76" t="s">
        <v>971</v>
      </c>
    </row>
    <row r="10287">
      <c r="A10287" s="76" t="s">
        <v>29</v>
      </c>
      <c r="B10287" s="76" t="s">
        <v>1039</v>
      </c>
      <c r="C10287" s="84">
        <v>0.2</v>
      </c>
      <c r="D10287" s="84">
        <v>0.0</v>
      </c>
      <c r="E10287" s="84">
        <v>0.0</v>
      </c>
      <c r="F10287" s="76" t="s">
        <v>993</v>
      </c>
      <c r="G10287" s="83">
        <v>46119.0</v>
      </c>
      <c r="H10287" s="76" t="s">
        <v>972</v>
      </c>
    </row>
    <row r="10288">
      <c r="A10288" s="76" t="s">
        <v>29</v>
      </c>
      <c r="B10288" s="76" t="s">
        <v>1039</v>
      </c>
      <c r="C10288" s="84">
        <v>0.49</v>
      </c>
      <c r="D10288" s="84">
        <v>0.0</v>
      </c>
      <c r="E10288" s="84">
        <v>0.0</v>
      </c>
      <c r="F10288" s="76" t="s">
        <v>993</v>
      </c>
      <c r="G10288" s="83">
        <v>46119.0</v>
      </c>
      <c r="H10288" s="76" t="s">
        <v>973</v>
      </c>
    </row>
    <row r="10289">
      <c r="A10289" s="76" t="s">
        <v>34</v>
      </c>
      <c r="B10289" s="76" t="s">
        <v>1039</v>
      </c>
      <c r="C10289" s="84">
        <v>0.17</v>
      </c>
      <c r="D10289" s="84">
        <v>0.0</v>
      </c>
      <c r="E10289" s="84">
        <v>0.0</v>
      </c>
      <c r="F10289" s="76" t="s">
        <v>993</v>
      </c>
      <c r="G10289" s="83">
        <v>46119.0</v>
      </c>
      <c r="H10289" s="76" t="s">
        <v>951</v>
      </c>
    </row>
    <row r="10290">
      <c r="A10290" s="76" t="s">
        <v>34</v>
      </c>
      <c r="B10290" s="76" t="s">
        <v>1039</v>
      </c>
      <c r="C10290" s="84">
        <v>0.11</v>
      </c>
      <c r="D10290" s="84">
        <v>0.0</v>
      </c>
      <c r="E10290" s="84">
        <v>0.0</v>
      </c>
      <c r="F10290" s="76" t="s">
        <v>993</v>
      </c>
      <c r="G10290" s="83">
        <v>46119.0</v>
      </c>
      <c r="H10290" s="76" t="s">
        <v>952</v>
      </c>
    </row>
    <row r="10291">
      <c r="A10291" s="76" t="s">
        <v>34</v>
      </c>
      <c r="B10291" s="76" t="s">
        <v>1039</v>
      </c>
      <c r="C10291" s="84">
        <v>0.12</v>
      </c>
      <c r="D10291" s="84">
        <v>0.0</v>
      </c>
      <c r="E10291" s="84">
        <v>0.0</v>
      </c>
      <c r="F10291" s="76" t="s">
        <v>993</v>
      </c>
      <c r="G10291" s="83">
        <v>46119.0</v>
      </c>
      <c r="H10291" s="76" t="s">
        <v>953</v>
      </c>
    </row>
    <row r="10292">
      <c r="A10292" s="76" t="s">
        <v>43</v>
      </c>
      <c r="B10292" s="76" t="s">
        <v>1039</v>
      </c>
      <c r="C10292" s="84">
        <v>0.36</v>
      </c>
      <c r="D10292" s="84">
        <v>0.0</v>
      </c>
      <c r="E10292" s="84">
        <v>0.0</v>
      </c>
      <c r="F10292" s="76" t="s">
        <v>993</v>
      </c>
      <c r="G10292" s="83">
        <v>46119.0</v>
      </c>
      <c r="H10292" s="76" t="s">
        <v>963</v>
      </c>
    </row>
    <row r="10293">
      <c r="A10293" s="76" t="s">
        <v>43</v>
      </c>
      <c r="B10293" s="76" t="s">
        <v>1039</v>
      </c>
      <c r="C10293" s="84">
        <v>0.33</v>
      </c>
      <c r="D10293" s="84">
        <v>1.0</v>
      </c>
      <c r="E10293" s="84">
        <v>0.33</v>
      </c>
      <c r="F10293" s="76" t="s">
        <v>993</v>
      </c>
      <c r="G10293" s="83">
        <v>46119.0</v>
      </c>
      <c r="H10293" s="76" t="s">
        <v>964</v>
      </c>
    </row>
    <row r="10294">
      <c r="A10294" s="76" t="s">
        <v>43</v>
      </c>
      <c r="B10294" s="76" t="s">
        <v>1039</v>
      </c>
      <c r="C10294" s="84">
        <v>0.34</v>
      </c>
      <c r="D10294" s="84">
        <v>0.0</v>
      </c>
      <c r="E10294" s="84">
        <v>0.0</v>
      </c>
      <c r="F10294" s="76" t="s">
        <v>993</v>
      </c>
      <c r="G10294" s="83">
        <v>46119.0</v>
      </c>
      <c r="H10294" s="76" t="s">
        <v>965</v>
      </c>
    </row>
    <row r="10295">
      <c r="A10295" s="76" t="s">
        <v>36</v>
      </c>
      <c r="B10295" s="76" t="s">
        <v>1039</v>
      </c>
      <c r="C10295" s="84">
        <v>0.2</v>
      </c>
      <c r="D10295" s="84">
        <v>0.0</v>
      </c>
      <c r="E10295" s="84">
        <v>0.0</v>
      </c>
      <c r="F10295" s="76" t="s">
        <v>998</v>
      </c>
      <c r="G10295" s="83">
        <v>46119.0</v>
      </c>
      <c r="H10295" s="76" t="s">
        <v>926</v>
      </c>
    </row>
    <row r="10296">
      <c r="A10296" s="76" t="s">
        <v>36</v>
      </c>
      <c r="B10296" s="76" t="s">
        <v>1039</v>
      </c>
      <c r="C10296" s="84">
        <v>0.28</v>
      </c>
      <c r="D10296" s="84">
        <v>0.0</v>
      </c>
      <c r="E10296" s="84">
        <v>0.0</v>
      </c>
      <c r="F10296" s="76" t="s">
        <v>998</v>
      </c>
      <c r="G10296" s="83">
        <v>46119.0</v>
      </c>
      <c r="H10296" s="76" t="s">
        <v>927</v>
      </c>
    </row>
    <row r="10297">
      <c r="A10297" s="76" t="s">
        <v>36</v>
      </c>
      <c r="B10297" s="76" t="s">
        <v>1039</v>
      </c>
      <c r="C10297" s="84">
        <v>0.55</v>
      </c>
      <c r="D10297" s="84">
        <v>0.0</v>
      </c>
      <c r="E10297" s="84">
        <v>0.0</v>
      </c>
      <c r="F10297" s="76" t="s">
        <v>998</v>
      </c>
      <c r="G10297" s="83">
        <v>46119.0</v>
      </c>
      <c r="H10297" s="76" t="s">
        <v>928</v>
      </c>
    </row>
    <row r="10298">
      <c r="A10298" s="76" t="s">
        <v>34</v>
      </c>
      <c r="B10298" s="76" t="s">
        <v>1039</v>
      </c>
      <c r="C10298" s="84">
        <v>0.27</v>
      </c>
      <c r="D10298" s="84">
        <v>0.0</v>
      </c>
      <c r="E10298" s="84">
        <v>0.0</v>
      </c>
      <c r="F10298" s="76" t="s">
        <v>998</v>
      </c>
      <c r="G10298" s="83">
        <v>46119.0</v>
      </c>
      <c r="H10298" s="76" t="s">
        <v>951</v>
      </c>
    </row>
    <row r="10299">
      <c r="A10299" s="76" t="s">
        <v>34</v>
      </c>
      <c r="B10299" s="76" t="s">
        <v>1039</v>
      </c>
      <c r="C10299" s="84">
        <v>0.3</v>
      </c>
      <c r="D10299" s="84">
        <v>1.0</v>
      </c>
      <c r="E10299" s="84">
        <v>0.3</v>
      </c>
      <c r="F10299" s="76" t="s">
        <v>998</v>
      </c>
      <c r="G10299" s="83">
        <v>46119.0</v>
      </c>
      <c r="H10299" s="76" t="s">
        <v>952</v>
      </c>
    </row>
    <row r="10300">
      <c r="A10300" s="76" t="s">
        <v>34</v>
      </c>
      <c r="B10300" s="76" t="s">
        <v>1039</v>
      </c>
      <c r="C10300" s="84">
        <v>0.46</v>
      </c>
      <c r="D10300" s="84">
        <v>0.0</v>
      </c>
      <c r="E10300" s="84">
        <v>0.0</v>
      </c>
      <c r="F10300" s="76" t="s">
        <v>998</v>
      </c>
      <c r="G10300" s="83">
        <v>46119.0</v>
      </c>
      <c r="H10300" s="76" t="s">
        <v>953</v>
      </c>
    </row>
    <row r="10301">
      <c r="A10301" s="76" t="s">
        <v>33</v>
      </c>
      <c r="B10301" s="76" t="s">
        <v>1039</v>
      </c>
      <c r="C10301" s="84">
        <v>1.25</v>
      </c>
      <c r="D10301" s="84">
        <v>1.0</v>
      </c>
      <c r="E10301" s="84">
        <v>1.25</v>
      </c>
      <c r="F10301" s="76" t="s">
        <v>998</v>
      </c>
      <c r="G10301" s="83">
        <v>46119.0</v>
      </c>
      <c r="H10301" s="76" t="s">
        <v>957</v>
      </c>
    </row>
    <row r="10302">
      <c r="A10302" s="76" t="s">
        <v>33</v>
      </c>
      <c r="B10302" s="76" t="s">
        <v>1039</v>
      </c>
      <c r="C10302" s="84">
        <v>0.76</v>
      </c>
      <c r="D10302" s="84">
        <v>0.0</v>
      </c>
      <c r="E10302" s="84">
        <v>0.0</v>
      </c>
      <c r="F10302" s="76" t="s">
        <v>998</v>
      </c>
      <c r="G10302" s="83">
        <v>46119.0</v>
      </c>
      <c r="H10302" s="76" t="s">
        <v>958</v>
      </c>
    </row>
    <row r="10303">
      <c r="A10303" s="76" t="s">
        <v>33</v>
      </c>
      <c r="B10303" s="76" t="s">
        <v>1039</v>
      </c>
      <c r="C10303" s="84">
        <v>1.06</v>
      </c>
      <c r="D10303" s="84">
        <v>0.0</v>
      </c>
      <c r="E10303" s="84">
        <v>0.0</v>
      </c>
      <c r="F10303" s="76" t="s">
        <v>998</v>
      </c>
      <c r="G10303" s="83">
        <v>46119.0</v>
      </c>
      <c r="H10303" s="76" t="s">
        <v>959</v>
      </c>
    </row>
    <row r="10304">
      <c r="A10304" s="76" t="s">
        <v>29</v>
      </c>
      <c r="B10304" s="76" t="s">
        <v>1039</v>
      </c>
      <c r="C10304" s="84">
        <v>0.45</v>
      </c>
      <c r="D10304" s="84">
        <v>0.0</v>
      </c>
      <c r="E10304" s="84">
        <v>0.0</v>
      </c>
      <c r="F10304" s="76" t="s">
        <v>998</v>
      </c>
      <c r="G10304" s="83">
        <v>46119.0</v>
      </c>
      <c r="H10304" s="76" t="s">
        <v>971</v>
      </c>
    </row>
    <row r="10305">
      <c r="A10305" s="76" t="s">
        <v>29</v>
      </c>
      <c r="B10305" s="76" t="s">
        <v>1039</v>
      </c>
      <c r="C10305" s="84">
        <v>0.17</v>
      </c>
      <c r="D10305" s="84">
        <v>0.0</v>
      </c>
      <c r="E10305" s="84">
        <v>0.0</v>
      </c>
      <c r="F10305" s="76" t="s">
        <v>998</v>
      </c>
      <c r="G10305" s="83">
        <v>46119.0</v>
      </c>
      <c r="H10305" s="76" t="s">
        <v>972</v>
      </c>
    </row>
    <row r="10306">
      <c r="A10306" s="76" t="s">
        <v>29</v>
      </c>
      <c r="B10306" s="76" t="s">
        <v>1039</v>
      </c>
      <c r="C10306" s="84">
        <v>0.59</v>
      </c>
      <c r="D10306" s="84">
        <v>1.0</v>
      </c>
      <c r="E10306" s="84">
        <v>0.59</v>
      </c>
      <c r="F10306" s="76" t="s">
        <v>998</v>
      </c>
      <c r="G10306" s="83">
        <v>46119.0</v>
      </c>
      <c r="H10306" s="76" t="s">
        <v>973</v>
      </c>
    </row>
    <row r="10307">
      <c r="A10307" s="76" t="s">
        <v>46</v>
      </c>
      <c r="B10307" s="76" t="s">
        <v>1039</v>
      </c>
      <c r="C10307" s="84">
        <v>0.11</v>
      </c>
      <c r="D10307" s="84">
        <v>0.0</v>
      </c>
      <c r="E10307" s="84">
        <v>0.0</v>
      </c>
      <c r="F10307" s="76" t="s">
        <v>998</v>
      </c>
      <c r="G10307" s="83">
        <v>46119.0</v>
      </c>
      <c r="H10307" s="76" t="s">
        <v>960</v>
      </c>
    </row>
    <row r="10308">
      <c r="A10308" s="76" t="s">
        <v>46</v>
      </c>
      <c r="B10308" s="76" t="s">
        <v>1039</v>
      </c>
      <c r="C10308" s="84">
        <v>0.28</v>
      </c>
      <c r="D10308" s="84">
        <v>0.0</v>
      </c>
      <c r="E10308" s="84">
        <v>0.0</v>
      </c>
      <c r="F10308" s="76" t="s">
        <v>998</v>
      </c>
      <c r="G10308" s="83">
        <v>46119.0</v>
      </c>
      <c r="H10308" s="76" t="s">
        <v>961</v>
      </c>
    </row>
    <row r="10309">
      <c r="A10309" s="76" t="s">
        <v>46</v>
      </c>
      <c r="B10309" s="76" t="s">
        <v>1039</v>
      </c>
      <c r="C10309" s="84">
        <v>0.16</v>
      </c>
      <c r="D10309" s="84">
        <v>0.0</v>
      </c>
      <c r="E10309" s="84">
        <v>0.0</v>
      </c>
      <c r="F10309" s="76" t="s">
        <v>998</v>
      </c>
      <c r="G10309" s="83">
        <v>46119.0</v>
      </c>
      <c r="H10309" s="76" t="s">
        <v>962</v>
      </c>
    </row>
    <row r="10310">
      <c r="A10310" s="76" t="s">
        <v>40</v>
      </c>
      <c r="B10310" s="76" t="s">
        <v>1039</v>
      </c>
      <c r="C10310" s="84">
        <v>0.45</v>
      </c>
      <c r="D10310" s="84">
        <v>0.0</v>
      </c>
      <c r="E10310" s="84">
        <v>0.0</v>
      </c>
      <c r="F10310" s="76" t="s">
        <v>998</v>
      </c>
      <c r="G10310" s="83">
        <v>46119.0</v>
      </c>
      <c r="H10310" s="76" t="s">
        <v>954</v>
      </c>
    </row>
    <row r="10311">
      <c r="A10311" s="76" t="s">
        <v>40</v>
      </c>
      <c r="B10311" s="76" t="s">
        <v>1039</v>
      </c>
      <c r="C10311" s="84">
        <v>0.1</v>
      </c>
      <c r="D10311" s="84">
        <v>0.0</v>
      </c>
      <c r="E10311" s="84">
        <v>0.0</v>
      </c>
      <c r="F10311" s="76" t="s">
        <v>998</v>
      </c>
      <c r="G10311" s="83">
        <v>46119.0</v>
      </c>
      <c r="H10311" s="76" t="s">
        <v>955</v>
      </c>
    </row>
    <row r="10312">
      <c r="A10312" s="76" t="s">
        <v>40</v>
      </c>
      <c r="B10312" s="76" t="s">
        <v>1039</v>
      </c>
      <c r="C10312" s="84">
        <v>0.93</v>
      </c>
      <c r="D10312" s="84">
        <v>1.0</v>
      </c>
      <c r="E10312" s="84">
        <v>0.93</v>
      </c>
      <c r="F10312" s="76" t="s">
        <v>998</v>
      </c>
      <c r="G10312" s="83">
        <v>46119.0</v>
      </c>
      <c r="H10312" s="76" t="s">
        <v>956</v>
      </c>
    </row>
    <row r="10313">
      <c r="A10313" s="76" t="s">
        <v>966</v>
      </c>
      <c r="B10313" s="76" t="s">
        <v>1039</v>
      </c>
      <c r="C10313" s="84">
        <v>0.37</v>
      </c>
      <c r="D10313" s="84">
        <v>0.0</v>
      </c>
      <c r="E10313" s="84">
        <v>0.0</v>
      </c>
      <c r="F10313" s="76" t="s">
        <v>998</v>
      </c>
      <c r="G10313" s="83">
        <v>46119.0</v>
      </c>
      <c r="H10313" s="76" t="s">
        <v>967</v>
      </c>
    </row>
    <row r="10314">
      <c r="A10314" s="76" t="s">
        <v>966</v>
      </c>
      <c r="B10314" s="76" t="s">
        <v>1039</v>
      </c>
      <c r="C10314" s="84">
        <v>0.12</v>
      </c>
      <c r="D10314" s="84">
        <v>0.0</v>
      </c>
      <c r="E10314" s="84">
        <v>0.0</v>
      </c>
      <c r="F10314" s="76" t="s">
        <v>998</v>
      </c>
      <c r="G10314" s="83">
        <v>46119.0</v>
      </c>
      <c r="H10314" s="76" t="s">
        <v>968</v>
      </c>
    </row>
    <row r="10315">
      <c r="A10315" s="76" t="s">
        <v>966</v>
      </c>
      <c r="B10315" s="76" t="s">
        <v>1039</v>
      </c>
      <c r="C10315" s="84">
        <v>0.45</v>
      </c>
      <c r="D10315" s="84">
        <v>0.0</v>
      </c>
      <c r="E10315" s="84">
        <v>0.0</v>
      </c>
      <c r="F10315" s="76" t="s">
        <v>998</v>
      </c>
      <c r="G10315" s="83">
        <v>46119.0</v>
      </c>
      <c r="H10315" s="76" t="s">
        <v>969</v>
      </c>
    </row>
    <row r="10316">
      <c r="A10316" s="76" t="s">
        <v>43</v>
      </c>
      <c r="B10316" s="76" t="s">
        <v>1039</v>
      </c>
      <c r="C10316" s="84">
        <v>0.37</v>
      </c>
      <c r="D10316" s="84">
        <v>0.0</v>
      </c>
      <c r="E10316" s="84">
        <v>0.0</v>
      </c>
      <c r="F10316" s="76" t="s">
        <v>998</v>
      </c>
      <c r="G10316" s="83">
        <v>46119.0</v>
      </c>
      <c r="H10316" s="76" t="s">
        <v>963</v>
      </c>
    </row>
    <row r="10317">
      <c r="A10317" s="76" t="s">
        <v>43</v>
      </c>
      <c r="B10317" s="76" t="s">
        <v>1039</v>
      </c>
      <c r="C10317" s="84">
        <v>0.6</v>
      </c>
      <c r="D10317" s="84">
        <v>0.0</v>
      </c>
      <c r="E10317" s="84">
        <v>0.0</v>
      </c>
      <c r="F10317" s="76" t="s">
        <v>998</v>
      </c>
      <c r="G10317" s="83">
        <v>46119.0</v>
      </c>
      <c r="H10317" s="76" t="s">
        <v>964</v>
      </c>
    </row>
    <row r="10318">
      <c r="A10318" s="76" t="s">
        <v>43</v>
      </c>
      <c r="B10318" s="76" t="s">
        <v>1039</v>
      </c>
      <c r="C10318" s="84">
        <v>0.55</v>
      </c>
      <c r="D10318" s="84">
        <v>0.0</v>
      </c>
      <c r="E10318" s="84">
        <v>0.0</v>
      </c>
      <c r="F10318" s="76" t="s">
        <v>998</v>
      </c>
      <c r="G10318" s="83">
        <v>46119.0</v>
      </c>
      <c r="H10318" s="76" t="s">
        <v>965</v>
      </c>
    </row>
    <row r="10319">
      <c r="A10319" s="76" t="s">
        <v>970</v>
      </c>
      <c r="B10319" s="76" t="s">
        <v>1039</v>
      </c>
      <c r="C10319" s="84">
        <v>0.51</v>
      </c>
      <c r="D10319" s="84">
        <v>0.0</v>
      </c>
      <c r="E10319" s="84">
        <v>0.0</v>
      </c>
      <c r="F10319" s="76" t="s">
        <v>998</v>
      </c>
      <c r="G10319" s="83">
        <v>46119.0</v>
      </c>
      <c r="H10319" s="76" t="s">
        <v>971</v>
      </c>
    </row>
    <row r="10320">
      <c r="A10320" s="76" t="s">
        <v>970</v>
      </c>
      <c r="B10320" s="76" t="s">
        <v>1039</v>
      </c>
      <c r="C10320" s="84">
        <v>0.31</v>
      </c>
      <c r="D10320" s="84">
        <v>0.0</v>
      </c>
      <c r="E10320" s="84">
        <v>0.0</v>
      </c>
      <c r="F10320" s="76" t="s">
        <v>998</v>
      </c>
      <c r="G10320" s="83">
        <v>46119.0</v>
      </c>
      <c r="H10320" s="76" t="s">
        <v>972</v>
      </c>
    </row>
    <row r="10321">
      <c r="A10321" s="76" t="s">
        <v>970</v>
      </c>
      <c r="B10321" s="76" t="s">
        <v>1039</v>
      </c>
      <c r="C10321" s="84">
        <v>1.3</v>
      </c>
      <c r="D10321" s="84">
        <v>0.0</v>
      </c>
      <c r="E10321" s="84">
        <v>0.0</v>
      </c>
      <c r="F10321" s="76" t="s">
        <v>998</v>
      </c>
      <c r="G10321" s="83">
        <v>46119.0</v>
      </c>
      <c r="H10321" s="76" t="s">
        <v>973</v>
      </c>
    </row>
    <row r="10322">
      <c r="A10322" s="76" t="s">
        <v>46</v>
      </c>
      <c r="B10322" s="76" t="s">
        <v>1039</v>
      </c>
      <c r="C10322" s="84">
        <v>0.08</v>
      </c>
      <c r="D10322" s="84">
        <v>0.0</v>
      </c>
      <c r="E10322" s="84">
        <v>0.0</v>
      </c>
      <c r="F10322" s="76" t="s">
        <v>997</v>
      </c>
      <c r="G10322" s="83">
        <v>46119.0</v>
      </c>
      <c r="H10322" s="76" t="s">
        <v>960</v>
      </c>
    </row>
    <row r="10323">
      <c r="A10323" s="76" t="s">
        <v>46</v>
      </c>
      <c r="B10323" s="76" t="s">
        <v>1039</v>
      </c>
      <c r="C10323" s="84">
        <v>0.01</v>
      </c>
      <c r="D10323" s="84">
        <v>0.0</v>
      </c>
      <c r="E10323" s="84">
        <v>0.0</v>
      </c>
      <c r="F10323" s="76" t="s">
        <v>997</v>
      </c>
      <c r="G10323" s="83">
        <v>46119.0</v>
      </c>
      <c r="H10323" s="76" t="s">
        <v>961</v>
      </c>
    </row>
    <row r="10324">
      <c r="A10324" s="76" t="s">
        <v>46</v>
      </c>
      <c r="B10324" s="76" t="s">
        <v>1039</v>
      </c>
      <c r="C10324" s="84">
        <v>0.03</v>
      </c>
      <c r="D10324" s="84">
        <v>0.0</v>
      </c>
      <c r="E10324" s="84">
        <v>0.0</v>
      </c>
      <c r="F10324" s="76" t="s">
        <v>997</v>
      </c>
      <c r="G10324" s="83">
        <v>46119.0</v>
      </c>
      <c r="H10324" s="76" t="s">
        <v>962</v>
      </c>
    </row>
    <row r="10325">
      <c r="A10325" s="76" t="s">
        <v>34</v>
      </c>
      <c r="B10325" s="76" t="s">
        <v>1039</v>
      </c>
      <c r="C10325" s="84">
        <v>0.06</v>
      </c>
      <c r="D10325" s="84">
        <v>0.0</v>
      </c>
      <c r="E10325" s="84">
        <v>0.0</v>
      </c>
      <c r="F10325" s="76" t="s">
        <v>997</v>
      </c>
      <c r="G10325" s="83">
        <v>46119.0</v>
      </c>
      <c r="H10325" s="76" t="s">
        <v>951</v>
      </c>
    </row>
    <row r="10326">
      <c r="A10326" s="76" t="s">
        <v>34</v>
      </c>
      <c r="B10326" s="76" t="s">
        <v>1039</v>
      </c>
      <c r="C10326" s="84">
        <v>0.12</v>
      </c>
      <c r="D10326" s="84">
        <v>0.0</v>
      </c>
      <c r="E10326" s="84">
        <v>0.0</v>
      </c>
      <c r="F10326" s="76" t="s">
        <v>997</v>
      </c>
      <c r="G10326" s="83">
        <v>46119.0</v>
      </c>
      <c r="H10326" s="76" t="s">
        <v>952</v>
      </c>
    </row>
    <row r="10327">
      <c r="A10327" s="76" t="s">
        <v>34</v>
      </c>
      <c r="B10327" s="76" t="s">
        <v>1039</v>
      </c>
      <c r="C10327" s="84">
        <v>0.12</v>
      </c>
      <c r="D10327" s="84">
        <v>0.0</v>
      </c>
      <c r="E10327" s="84">
        <v>0.0</v>
      </c>
      <c r="F10327" s="76" t="s">
        <v>997</v>
      </c>
      <c r="G10327" s="83">
        <v>46119.0</v>
      </c>
      <c r="H10327" s="76" t="s">
        <v>953</v>
      </c>
    </row>
    <row r="10328">
      <c r="A10328" s="76" t="s">
        <v>40</v>
      </c>
      <c r="B10328" s="76" t="s">
        <v>1039</v>
      </c>
      <c r="C10328" s="84">
        <v>0.05</v>
      </c>
      <c r="D10328" s="84">
        <v>0.0</v>
      </c>
      <c r="E10328" s="84">
        <v>0.0</v>
      </c>
      <c r="F10328" s="76" t="s">
        <v>997</v>
      </c>
      <c r="G10328" s="83">
        <v>46119.0</v>
      </c>
      <c r="H10328" s="76" t="s">
        <v>954</v>
      </c>
    </row>
    <row r="10329">
      <c r="A10329" s="76" t="s">
        <v>40</v>
      </c>
      <c r="B10329" s="76" t="s">
        <v>1039</v>
      </c>
      <c r="C10329" s="84">
        <v>0.02</v>
      </c>
      <c r="D10329" s="84">
        <v>0.0</v>
      </c>
      <c r="E10329" s="84">
        <v>0.0</v>
      </c>
      <c r="F10329" s="76" t="s">
        <v>997</v>
      </c>
      <c r="G10329" s="83">
        <v>46119.0</v>
      </c>
      <c r="H10329" s="76" t="s">
        <v>955</v>
      </c>
    </row>
    <row r="10330">
      <c r="A10330" s="76" t="s">
        <v>40</v>
      </c>
      <c r="B10330" s="76" t="s">
        <v>1039</v>
      </c>
      <c r="C10330" s="84">
        <v>0.24</v>
      </c>
      <c r="D10330" s="84">
        <v>0.0</v>
      </c>
      <c r="E10330" s="84">
        <v>0.0</v>
      </c>
      <c r="F10330" s="76" t="s">
        <v>997</v>
      </c>
      <c r="G10330" s="83">
        <v>46119.0</v>
      </c>
      <c r="H10330" s="76" t="s">
        <v>956</v>
      </c>
    </row>
    <row r="10331">
      <c r="A10331" s="76" t="s">
        <v>36</v>
      </c>
      <c r="B10331" s="76" t="s">
        <v>1039</v>
      </c>
      <c r="C10331" s="84">
        <v>0.07</v>
      </c>
      <c r="D10331" s="84">
        <v>0.0</v>
      </c>
      <c r="E10331" s="84">
        <v>0.0</v>
      </c>
      <c r="F10331" s="76" t="s">
        <v>997</v>
      </c>
      <c r="G10331" s="83">
        <v>46119.0</v>
      </c>
      <c r="H10331" s="76" t="s">
        <v>926</v>
      </c>
    </row>
    <row r="10332">
      <c r="A10332" s="76" t="s">
        <v>36</v>
      </c>
      <c r="B10332" s="76" t="s">
        <v>1039</v>
      </c>
      <c r="C10332" s="84">
        <v>0.02</v>
      </c>
      <c r="D10332" s="84">
        <v>0.0</v>
      </c>
      <c r="E10332" s="84">
        <v>0.0</v>
      </c>
      <c r="F10332" s="76" t="s">
        <v>997</v>
      </c>
      <c r="G10332" s="83">
        <v>46119.0</v>
      </c>
      <c r="H10332" s="76" t="s">
        <v>927</v>
      </c>
    </row>
    <row r="10333">
      <c r="A10333" s="76" t="s">
        <v>36</v>
      </c>
      <c r="B10333" s="76" t="s">
        <v>1039</v>
      </c>
      <c r="C10333" s="84">
        <v>0.08</v>
      </c>
      <c r="D10333" s="84">
        <v>0.0</v>
      </c>
      <c r="E10333" s="84">
        <v>0.0</v>
      </c>
      <c r="F10333" s="76" t="s">
        <v>997</v>
      </c>
      <c r="G10333" s="83">
        <v>46119.0</v>
      </c>
      <c r="H10333" s="76" t="s">
        <v>928</v>
      </c>
    </row>
    <row r="10334">
      <c r="A10334" s="76" t="s">
        <v>970</v>
      </c>
      <c r="B10334" s="76" t="s">
        <v>1039</v>
      </c>
      <c r="C10334" s="84">
        <v>0.03</v>
      </c>
      <c r="D10334" s="84">
        <v>0.0</v>
      </c>
      <c r="E10334" s="84">
        <v>0.0</v>
      </c>
      <c r="F10334" s="76" t="s">
        <v>997</v>
      </c>
      <c r="G10334" s="83">
        <v>46119.0</v>
      </c>
      <c r="H10334" s="76" t="s">
        <v>971</v>
      </c>
    </row>
    <row r="10335">
      <c r="A10335" s="76" t="s">
        <v>970</v>
      </c>
      <c r="B10335" s="76" t="s">
        <v>1039</v>
      </c>
      <c r="C10335" s="84">
        <v>0.05</v>
      </c>
      <c r="D10335" s="84">
        <v>0.0</v>
      </c>
      <c r="E10335" s="84">
        <v>0.0</v>
      </c>
      <c r="F10335" s="76" t="s">
        <v>997</v>
      </c>
      <c r="G10335" s="83">
        <v>46119.0</v>
      </c>
      <c r="H10335" s="76" t="s">
        <v>972</v>
      </c>
    </row>
    <row r="10336">
      <c r="A10336" s="76" t="s">
        <v>970</v>
      </c>
      <c r="B10336" s="76" t="s">
        <v>1039</v>
      </c>
      <c r="C10336" s="84">
        <v>0.18</v>
      </c>
      <c r="D10336" s="84">
        <v>0.0</v>
      </c>
      <c r="E10336" s="84">
        <v>0.0</v>
      </c>
      <c r="F10336" s="76" t="s">
        <v>997</v>
      </c>
      <c r="G10336" s="83">
        <v>46119.0</v>
      </c>
      <c r="H10336" s="76" t="s">
        <v>973</v>
      </c>
    </row>
    <row r="10337">
      <c r="A10337" s="76" t="s">
        <v>33</v>
      </c>
      <c r="B10337" s="76" t="s">
        <v>1039</v>
      </c>
      <c r="C10337" s="84">
        <v>0.3</v>
      </c>
      <c r="D10337" s="84">
        <v>0.0</v>
      </c>
      <c r="E10337" s="84">
        <v>0.0</v>
      </c>
      <c r="F10337" s="76" t="s">
        <v>997</v>
      </c>
      <c r="G10337" s="83">
        <v>46119.0</v>
      </c>
      <c r="H10337" s="76" t="s">
        <v>957</v>
      </c>
    </row>
    <row r="10338">
      <c r="A10338" s="76" t="s">
        <v>33</v>
      </c>
      <c r="B10338" s="76" t="s">
        <v>1039</v>
      </c>
      <c r="C10338" s="84">
        <v>0.06</v>
      </c>
      <c r="D10338" s="84">
        <v>0.0</v>
      </c>
      <c r="E10338" s="84">
        <v>0.0</v>
      </c>
      <c r="F10338" s="76" t="s">
        <v>997</v>
      </c>
      <c r="G10338" s="83">
        <v>46119.0</v>
      </c>
      <c r="H10338" s="76" t="s">
        <v>958</v>
      </c>
    </row>
    <row r="10339">
      <c r="A10339" s="76" t="s">
        <v>33</v>
      </c>
      <c r="B10339" s="76" t="s">
        <v>1039</v>
      </c>
      <c r="C10339" s="84">
        <v>0.14</v>
      </c>
      <c r="D10339" s="84">
        <v>0.0</v>
      </c>
      <c r="E10339" s="84">
        <v>0.0</v>
      </c>
      <c r="F10339" s="76" t="s">
        <v>997</v>
      </c>
      <c r="G10339" s="83">
        <v>46119.0</v>
      </c>
      <c r="H10339" s="76" t="s">
        <v>959</v>
      </c>
    </row>
    <row r="10340">
      <c r="A10340" s="76" t="s">
        <v>29</v>
      </c>
      <c r="B10340" s="76" t="s">
        <v>1039</v>
      </c>
      <c r="C10340" s="84">
        <v>0.07</v>
      </c>
      <c r="D10340" s="84">
        <v>0.0</v>
      </c>
      <c r="E10340" s="84">
        <v>0.0</v>
      </c>
      <c r="F10340" s="76" t="s">
        <v>997</v>
      </c>
      <c r="G10340" s="83">
        <v>46119.0</v>
      </c>
      <c r="H10340" s="76" t="s">
        <v>971</v>
      </c>
    </row>
    <row r="10341">
      <c r="A10341" s="76" t="s">
        <v>29</v>
      </c>
      <c r="B10341" s="76" t="s">
        <v>1039</v>
      </c>
      <c r="C10341" s="84">
        <v>0.02</v>
      </c>
      <c r="D10341" s="84">
        <v>0.0</v>
      </c>
      <c r="E10341" s="84">
        <v>0.0</v>
      </c>
      <c r="F10341" s="76" t="s">
        <v>997</v>
      </c>
      <c r="G10341" s="83">
        <v>46119.0</v>
      </c>
      <c r="H10341" s="76" t="s">
        <v>972</v>
      </c>
    </row>
    <row r="10342">
      <c r="A10342" s="76" t="s">
        <v>29</v>
      </c>
      <c r="B10342" s="76" t="s">
        <v>1039</v>
      </c>
      <c r="C10342" s="84">
        <v>0.09</v>
      </c>
      <c r="D10342" s="84">
        <v>0.0</v>
      </c>
      <c r="E10342" s="84">
        <v>0.0</v>
      </c>
      <c r="F10342" s="76" t="s">
        <v>997</v>
      </c>
      <c r="G10342" s="83">
        <v>46119.0</v>
      </c>
      <c r="H10342" s="76" t="s">
        <v>973</v>
      </c>
    </row>
    <row r="10343">
      <c r="A10343" s="76" t="s">
        <v>43</v>
      </c>
      <c r="B10343" s="76" t="s">
        <v>1039</v>
      </c>
      <c r="C10343" s="84">
        <v>0.03</v>
      </c>
      <c r="D10343" s="84">
        <v>0.0</v>
      </c>
      <c r="E10343" s="84">
        <v>0.0</v>
      </c>
      <c r="F10343" s="76" t="s">
        <v>997</v>
      </c>
      <c r="G10343" s="83">
        <v>46119.0</v>
      </c>
      <c r="H10343" s="76" t="s">
        <v>963</v>
      </c>
    </row>
    <row r="10344">
      <c r="A10344" s="76" t="s">
        <v>43</v>
      </c>
      <c r="B10344" s="76" t="s">
        <v>1039</v>
      </c>
      <c r="C10344" s="84">
        <v>0.03</v>
      </c>
      <c r="D10344" s="84">
        <v>0.0</v>
      </c>
      <c r="E10344" s="84">
        <v>0.0</v>
      </c>
      <c r="F10344" s="76" t="s">
        <v>997</v>
      </c>
      <c r="G10344" s="83">
        <v>46119.0</v>
      </c>
      <c r="H10344" s="76" t="s">
        <v>964</v>
      </c>
    </row>
    <row r="10345">
      <c r="A10345" s="76" t="s">
        <v>43</v>
      </c>
      <c r="B10345" s="76" t="s">
        <v>1039</v>
      </c>
      <c r="C10345" s="84">
        <v>0.12</v>
      </c>
      <c r="D10345" s="84">
        <v>0.0</v>
      </c>
      <c r="E10345" s="84">
        <v>0.0</v>
      </c>
      <c r="F10345" s="76" t="s">
        <v>997</v>
      </c>
      <c r="G10345" s="83">
        <v>46119.0</v>
      </c>
      <c r="H10345" s="76" t="s">
        <v>965</v>
      </c>
    </row>
    <row r="10346">
      <c r="A10346" s="76" t="s">
        <v>966</v>
      </c>
      <c r="B10346" s="76" t="s">
        <v>1039</v>
      </c>
      <c r="C10346" s="84">
        <v>0.04</v>
      </c>
      <c r="D10346" s="84">
        <v>0.0</v>
      </c>
      <c r="E10346" s="84">
        <v>0.0</v>
      </c>
      <c r="F10346" s="76" t="s">
        <v>997</v>
      </c>
      <c r="G10346" s="83">
        <v>46119.0</v>
      </c>
      <c r="H10346" s="76" t="s">
        <v>967</v>
      </c>
    </row>
    <row r="10347">
      <c r="A10347" s="76" t="s">
        <v>966</v>
      </c>
      <c r="B10347" s="76" t="s">
        <v>1039</v>
      </c>
      <c r="C10347" s="84">
        <v>0.02</v>
      </c>
      <c r="D10347" s="84">
        <v>0.0</v>
      </c>
      <c r="E10347" s="84">
        <v>0.0</v>
      </c>
      <c r="F10347" s="76" t="s">
        <v>997</v>
      </c>
      <c r="G10347" s="83">
        <v>46119.0</v>
      </c>
      <c r="H10347" s="76" t="s">
        <v>968</v>
      </c>
    </row>
    <row r="10348">
      <c r="A10348" s="76" t="s">
        <v>966</v>
      </c>
      <c r="B10348" s="76" t="s">
        <v>1039</v>
      </c>
      <c r="C10348" s="84">
        <v>0.04</v>
      </c>
      <c r="D10348" s="84">
        <v>0.0</v>
      </c>
      <c r="E10348" s="84">
        <v>0.0</v>
      </c>
      <c r="F10348" s="76" t="s">
        <v>997</v>
      </c>
      <c r="G10348" s="83">
        <v>46119.0</v>
      </c>
      <c r="H10348" s="76" t="s">
        <v>969</v>
      </c>
    </row>
    <row r="10349">
      <c r="A10349" s="76" t="s">
        <v>42</v>
      </c>
      <c r="B10349" s="76" t="s">
        <v>1040</v>
      </c>
      <c r="C10349" s="84">
        <v>2.6</v>
      </c>
      <c r="D10349" s="84">
        <v>1.0</v>
      </c>
      <c r="E10349" s="84">
        <v>2.6</v>
      </c>
      <c r="F10349" s="76" t="s">
        <v>925</v>
      </c>
      <c r="G10349" s="83">
        <v>46119.0</v>
      </c>
      <c r="H10349" s="76" t="s">
        <v>991</v>
      </c>
    </row>
    <row r="10350">
      <c r="A10350" s="76" t="s">
        <v>42</v>
      </c>
      <c r="B10350" s="76" t="s">
        <v>1040</v>
      </c>
      <c r="C10350" s="84">
        <v>10.79</v>
      </c>
      <c r="D10350" s="84">
        <v>0.0</v>
      </c>
      <c r="E10350" s="84">
        <v>0.0</v>
      </c>
      <c r="F10350" s="76" t="s">
        <v>925</v>
      </c>
      <c r="G10350" s="83">
        <v>46119.0</v>
      </c>
      <c r="H10350" s="76" t="s">
        <v>935</v>
      </c>
    </row>
    <row r="10351">
      <c r="A10351" s="76" t="s">
        <v>36</v>
      </c>
      <c r="B10351" s="76" t="s">
        <v>1040</v>
      </c>
      <c r="C10351" s="84">
        <v>44.11</v>
      </c>
      <c r="D10351" s="84">
        <v>9.0</v>
      </c>
      <c r="E10351" s="84">
        <v>4.9</v>
      </c>
      <c r="F10351" s="76" t="s">
        <v>925</v>
      </c>
      <c r="G10351" s="83">
        <v>46119.0</v>
      </c>
      <c r="H10351" s="76" t="s">
        <v>926</v>
      </c>
    </row>
    <row r="10352">
      <c r="A10352" s="76" t="s">
        <v>36</v>
      </c>
      <c r="B10352" s="76" t="s">
        <v>1040</v>
      </c>
      <c r="C10352" s="84">
        <v>4.02</v>
      </c>
      <c r="D10352" s="84">
        <v>0.0</v>
      </c>
      <c r="E10352" s="84">
        <v>0.0</v>
      </c>
      <c r="F10352" s="76" t="s">
        <v>925</v>
      </c>
      <c r="G10352" s="83">
        <v>46119.0</v>
      </c>
      <c r="H10352" s="76" t="s">
        <v>927</v>
      </c>
    </row>
    <row r="10353">
      <c r="A10353" s="76" t="s">
        <v>36</v>
      </c>
      <c r="B10353" s="76" t="s">
        <v>1040</v>
      </c>
      <c r="C10353" s="84">
        <v>14.36</v>
      </c>
      <c r="D10353" s="84">
        <v>2.0</v>
      </c>
      <c r="E10353" s="84">
        <v>7.18</v>
      </c>
      <c r="F10353" s="76" t="s">
        <v>925</v>
      </c>
      <c r="G10353" s="83">
        <v>46119.0</v>
      </c>
      <c r="H10353" s="76" t="s">
        <v>928</v>
      </c>
    </row>
    <row r="10354">
      <c r="A10354" s="76" t="s">
        <v>32</v>
      </c>
      <c r="B10354" s="76" t="s">
        <v>1040</v>
      </c>
      <c r="C10354" s="84">
        <v>43.79</v>
      </c>
      <c r="D10354" s="84">
        <v>8.0</v>
      </c>
      <c r="E10354" s="84">
        <v>5.47</v>
      </c>
      <c r="F10354" s="76" t="s">
        <v>925</v>
      </c>
      <c r="G10354" s="83">
        <v>46119.0</v>
      </c>
      <c r="H10354" s="76" t="s">
        <v>941</v>
      </c>
    </row>
    <row r="10355">
      <c r="A10355" s="76" t="s">
        <v>32</v>
      </c>
      <c r="B10355" s="76" t="s">
        <v>1040</v>
      </c>
      <c r="C10355" s="84">
        <v>10.87</v>
      </c>
      <c r="D10355" s="84">
        <v>2.0</v>
      </c>
      <c r="E10355" s="84">
        <v>5.44</v>
      </c>
      <c r="F10355" s="76" t="s">
        <v>925</v>
      </c>
      <c r="G10355" s="83">
        <v>46119.0</v>
      </c>
      <c r="H10355" s="76" t="s">
        <v>942</v>
      </c>
    </row>
    <row r="10356">
      <c r="A10356" s="76" t="s">
        <v>32</v>
      </c>
      <c r="B10356" s="76" t="s">
        <v>1040</v>
      </c>
      <c r="C10356" s="84">
        <v>25.2</v>
      </c>
      <c r="D10356" s="84">
        <v>5.0</v>
      </c>
      <c r="E10356" s="84">
        <v>5.04</v>
      </c>
      <c r="F10356" s="76" t="s">
        <v>925</v>
      </c>
      <c r="G10356" s="83">
        <v>46119.0</v>
      </c>
      <c r="H10356" s="76" t="s">
        <v>943</v>
      </c>
    </row>
    <row r="10357">
      <c r="A10357" s="76" t="s">
        <v>944</v>
      </c>
      <c r="B10357" s="76" t="s">
        <v>1040</v>
      </c>
      <c r="C10357" s="84">
        <v>22.51</v>
      </c>
      <c r="D10357" s="84">
        <v>3.0</v>
      </c>
      <c r="E10357" s="84">
        <v>7.5</v>
      </c>
      <c r="F10357" s="76" t="s">
        <v>925</v>
      </c>
      <c r="G10357" s="83">
        <v>46119.0</v>
      </c>
      <c r="H10357" s="76" t="s">
        <v>945</v>
      </c>
    </row>
    <row r="10358">
      <c r="A10358" s="76" t="s">
        <v>944</v>
      </c>
      <c r="B10358" s="76" t="s">
        <v>1040</v>
      </c>
      <c r="C10358" s="84">
        <v>10.07</v>
      </c>
      <c r="D10358" s="84">
        <v>3.0</v>
      </c>
      <c r="E10358" s="84">
        <v>3.36</v>
      </c>
      <c r="F10358" s="76" t="s">
        <v>925</v>
      </c>
      <c r="G10358" s="83">
        <v>46119.0</v>
      </c>
      <c r="H10358" s="76" t="s">
        <v>946</v>
      </c>
    </row>
    <row r="10359">
      <c r="A10359" s="76" t="s">
        <v>944</v>
      </c>
      <c r="B10359" s="76" t="s">
        <v>1040</v>
      </c>
      <c r="C10359" s="84">
        <v>11.5</v>
      </c>
      <c r="D10359" s="84">
        <v>1.0</v>
      </c>
      <c r="E10359" s="84">
        <v>11.5</v>
      </c>
      <c r="F10359" s="76" t="s">
        <v>925</v>
      </c>
      <c r="G10359" s="83">
        <v>46119.0</v>
      </c>
      <c r="H10359" s="76" t="s">
        <v>947</v>
      </c>
    </row>
    <row r="10360">
      <c r="A10360" s="76" t="s">
        <v>31</v>
      </c>
      <c r="B10360" s="76" t="s">
        <v>1040</v>
      </c>
      <c r="C10360" s="84">
        <v>11.02</v>
      </c>
      <c r="D10360" s="84">
        <v>2.0</v>
      </c>
      <c r="E10360" s="84">
        <v>5.51</v>
      </c>
      <c r="F10360" s="76" t="s">
        <v>925</v>
      </c>
      <c r="G10360" s="83">
        <v>46119.0</v>
      </c>
      <c r="H10360" s="76" t="s">
        <v>929</v>
      </c>
    </row>
    <row r="10361">
      <c r="A10361" s="76" t="s">
        <v>31</v>
      </c>
      <c r="B10361" s="76" t="s">
        <v>1040</v>
      </c>
      <c r="C10361" s="84">
        <v>664.24</v>
      </c>
      <c r="D10361" s="84">
        <v>158.0</v>
      </c>
      <c r="E10361" s="84">
        <v>4.2</v>
      </c>
      <c r="F10361" s="76" t="s">
        <v>925</v>
      </c>
      <c r="G10361" s="83">
        <v>46119.0</v>
      </c>
      <c r="H10361" s="76" t="s">
        <v>930</v>
      </c>
    </row>
    <row r="10362">
      <c r="A10362" s="76" t="s">
        <v>45</v>
      </c>
      <c r="B10362" s="76" t="s">
        <v>1040</v>
      </c>
      <c r="C10362" s="84">
        <v>2.85</v>
      </c>
      <c r="D10362" s="84">
        <v>1.0</v>
      </c>
      <c r="E10362" s="84">
        <v>2.85</v>
      </c>
      <c r="F10362" s="76" t="s">
        <v>925</v>
      </c>
      <c r="G10362" s="83">
        <v>46119.0</v>
      </c>
      <c r="H10362" s="76" t="s">
        <v>936</v>
      </c>
    </row>
    <row r="10363">
      <c r="A10363" s="76" t="s">
        <v>45</v>
      </c>
      <c r="B10363" s="76" t="s">
        <v>1040</v>
      </c>
      <c r="C10363" s="84">
        <v>4.77</v>
      </c>
      <c r="D10363" s="84">
        <v>0.0</v>
      </c>
      <c r="E10363" s="84">
        <v>0.0</v>
      </c>
      <c r="F10363" s="76" t="s">
        <v>925</v>
      </c>
      <c r="G10363" s="83">
        <v>46119.0</v>
      </c>
      <c r="H10363" s="76" t="s">
        <v>937</v>
      </c>
    </row>
    <row r="10364">
      <c r="A10364" s="76" t="s">
        <v>45</v>
      </c>
      <c r="B10364" s="76" t="s">
        <v>1040</v>
      </c>
      <c r="C10364" s="84">
        <v>2.97</v>
      </c>
      <c r="D10364" s="84">
        <v>1.0</v>
      </c>
      <c r="E10364" s="84">
        <v>2.97</v>
      </c>
      <c r="F10364" s="76" t="s">
        <v>925</v>
      </c>
      <c r="G10364" s="83">
        <v>46119.0</v>
      </c>
      <c r="H10364" s="76" t="s">
        <v>938</v>
      </c>
    </row>
    <row r="10365">
      <c r="A10365" s="76" t="s">
        <v>26</v>
      </c>
      <c r="B10365" s="76" t="s">
        <v>1040</v>
      </c>
      <c r="C10365" s="84">
        <v>3.33</v>
      </c>
      <c r="D10365" s="84">
        <v>1.0</v>
      </c>
      <c r="E10365" s="84">
        <v>3.33</v>
      </c>
      <c r="F10365" s="76" t="s">
        <v>925</v>
      </c>
      <c r="G10365" s="83">
        <v>46119.0</v>
      </c>
      <c r="H10365" s="76" t="s">
        <v>1012</v>
      </c>
    </row>
    <row r="10366">
      <c r="A10366" s="76" t="s">
        <v>26</v>
      </c>
      <c r="B10366" s="76" t="s">
        <v>1040</v>
      </c>
      <c r="C10366" s="84">
        <v>5.04</v>
      </c>
      <c r="D10366" s="84">
        <v>2.0</v>
      </c>
      <c r="E10366" s="84">
        <v>2.52</v>
      </c>
      <c r="F10366" s="76" t="s">
        <v>925</v>
      </c>
      <c r="G10366" s="83">
        <v>46119.0</v>
      </c>
      <c r="H10366" s="76" t="s">
        <v>1013</v>
      </c>
    </row>
    <row r="10367">
      <c r="A10367" s="76" t="s">
        <v>26</v>
      </c>
      <c r="B10367" s="76" t="s">
        <v>1040</v>
      </c>
      <c r="C10367" s="84">
        <v>59.83</v>
      </c>
      <c r="D10367" s="84">
        <v>12.0</v>
      </c>
      <c r="E10367" s="84">
        <v>4.99</v>
      </c>
      <c r="F10367" s="76" t="s">
        <v>925</v>
      </c>
      <c r="G10367" s="83">
        <v>46119.0</v>
      </c>
      <c r="H10367" s="76" t="s">
        <v>1014</v>
      </c>
    </row>
    <row r="10368">
      <c r="A10368" s="76" t="s">
        <v>28</v>
      </c>
      <c r="B10368" s="76" t="s">
        <v>1040</v>
      </c>
      <c r="C10368" s="84">
        <v>6.36</v>
      </c>
      <c r="D10368" s="84">
        <v>3.0</v>
      </c>
      <c r="E10368" s="84">
        <v>2.12</v>
      </c>
      <c r="F10368" s="76" t="s">
        <v>925</v>
      </c>
      <c r="G10368" s="83">
        <v>46119.0</v>
      </c>
      <c r="H10368" s="76" t="s">
        <v>931</v>
      </c>
    </row>
    <row r="10369">
      <c r="A10369" s="76" t="s">
        <v>28</v>
      </c>
      <c r="B10369" s="76" t="s">
        <v>1040</v>
      </c>
      <c r="C10369" s="84">
        <v>4.89</v>
      </c>
      <c r="D10369" s="84">
        <v>0.0</v>
      </c>
      <c r="E10369" s="84">
        <v>0.0</v>
      </c>
      <c r="F10369" s="76" t="s">
        <v>925</v>
      </c>
      <c r="G10369" s="83">
        <v>46119.0</v>
      </c>
      <c r="H10369" s="76" t="s">
        <v>932</v>
      </c>
    </row>
    <row r="10370">
      <c r="A10370" s="76" t="s">
        <v>28</v>
      </c>
      <c r="B10370" s="76" t="s">
        <v>1040</v>
      </c>
      <c r="C10370" s="84">
        <v>177.44</v>
      </c>
      <c r="D10370" s="84">
        <v>36.0</v>
      </c>
      <c r="E10370" s="84">
        <v>4.93</v>
      </c>
      <c r="F10370" s="76" t="s">
        <v>925</v>
      </c>
      <c r="G10370" s="83">
        <v>46119.0</v>
      </c>
      <c r="H10370" s="76" t="s">
        <v>933</v>
      </c>
    </row>
    <row r="10371">
      <c r="A10371" s="76" t="s">
        <v>31</v>
      </c>
      <c r="B10371" s="76" t="s">
        <v>1040</v>
      </c>
      <c r="C10371" s="84">
        <v>1.93</v>
      </c>
      <c r="D10371" s="84">
        <v>0.0</v>
      </c>
      <c r="E10371" s="84">
        <v>0.0</v>
      </c>
      <c r="F10371" s="76" t="s">
        <v>948</v>
      </c>
      <c r="G10371" s="83">
        <v>46119.0</v>
      </c>
      <c r="H10371" s="76" t="s">
        <v>929</v>
      </c>
    </row>
    <row r="10372">
      <c r="A10372" s="76" t="s">
        <v>31</v>
      </c>
      <c r="B10372" s="76" t="s">
        <v>1040</v>
      </c>
      <c r="C10372" s="84">
        <v>45.15</v>
      </c>
      <c r="D10372" s="84">
        <v>12.0</v>
      </c>
      <c r="E10372" s="84">
        <v>3.76</v>
      </c>
      <c r="F10372" s="76" t="s">
        <v>948</v>
      </c>
      <c r="G10372" s="83">
        <v>46119.0</v>
      </c>
      <c r="H10372" s="76" t="s">
        <v>930</v>
      </c>
    </row>
    <row r="10373">
      <c r="A10373" s="76" t="s">
        <v>944</v>
      </c>
      <c r="B10373" s="76" t="s">
        <v>1040</v>
      </c>
      <c r="C10373" s="84">
        <v>2.39</v>
      </c>
      <c r="D10373" s="84">
        <v>1.0</v>
      </c>
      <c r="E10373" s="84">
        <v>2.39</v>
      </c>
      <c r="F10373" s="76" t="s">
        <v>948</v>
      </c>
      <c r="G10373" s="83">
        <v>46119.0</v>
      </c>
      <c r="H10373" s="76" t="s">
        <v>945</v>
      </c>
    </row>
    <row r="10374">
      <c r="A10374" s="76" t="s">
        <v>944</v>
      </c>
      <c r="B10374" s="76" t="s">
        <v>1040</v>
      </c>
      <c r="C10374" s="84">
        <v>1.64</v>
      </c>
      <c r="D10374" s="84">
        <v>1.0</v>
      </c>
      <c r="E10374" s="84">
        <v>1.64</v>
      </c>
      <c r="F10374" s="76" t="s">
        <v>948</v>
      </c>
      <c r="G10374" s="83">
        <v>46119.0</v>
      </c>
      <c r="H10374" s="76" t="s">
        <v>946</v>
      </c>
    </row>
    <row r="10375">
      <c r="A10375" s="76" t="s">
        <v>944</v>
      </c>
      <c r="B10375" s="76" t="s">
        <v>1040</v>
      </c>
      <c r="C10375" s="84">
        <v>3.02</v>
      </c>
      <c r="D10375" s="84">
        <v>0.0</v>
      </c>
      <c r="E10375" s="84">
        <v>0.0</v>
      </c>
      <c r="F10375" s="76" t="s">
        <v>948</v>
      </c>
      <c r="G10375" s="83">
        <v>46119.0</v>
      </c>
      <c r="H10375" s="76" t="s">
        <v>947</v>
      </c>
    </row>
    <row r="10376">
      <c r="A10376" s="76" t="s">
        <v>32</v>
      </c>
      <c r="B10376" s="76" t="s">
        <v>1040</v>
      </c>
      <c r="C10376" s="84">
        <v>44.38</v>
      </c>
      <c r="D10376" s="84">
        <v>7.0</v>
      </c>
      <c r="E10376" s="84">
        <v>6.34</v>
      </c>
      <c r="F10376" s="76" t="s">
        <v>948</v>
      </c>
      <c r="G10376" s="83">
        <v>46119.0</v>
      </c>
      <c r="H10376" s="76" t="s">
        <v>941</v>
      </c>
    </row>
    <row r="10377">
      <c r="A10377" s="76" t="s">
        <v>32</v>
      </c>
      <c r="B10377" s="76" t="s">
        <v>1040</v>
      </c>
      <c r="C10377" s="84">
        <v>3.68</v>
      </c>
      <c r="D10377" s="84">
        <v>1.0</v>
      </c>
      <c r="E10377" s="84">
        <v>3.68</v>
      </c>
      <c r="F10377" s="76" t="s">
        <v>948</v>
      </c>
      <c r="G10377" s="83">
        <v>46119.0</v>
      </c>
      <c r="H10377" s="76" t="s">
        <v>942</v>
      </c>
    </row>
    <row r="10378">
      <c r="A10378" s="76" t="s">
        <v>32</v>
      </c>
      <c r="B10378" s="76" t="s">
        <v>1040</v>
      </c>
      <c r="C10378" s="84">
        <v>4.63</v>
      </c>
      <c r="D10378" s="84">
        <v>1.0</v>
      </c>
      <c r="E10378" s="84">
        <v>4.63</v>
      </c>
      <c r="F10378" s="76" t="s">
        <v>948</v>
      </c>
      <c r="G10378" s="83">
        <v>46119.0</v>
      </c>
      <c r="H10378" s="76" t="s">
        <v>943</v>
      </c>
    </row>
    <row r="10379">
      <c r="A10379" s="76" t="s">
        <v>26</v>
      </c>
      <c r="B10379" s="76" t="s">
        <v>1040</v>
      </c>
      <c r="C10379" s="84">
        <v>1.03</v>
      </c>
      <c r="D10379" s="84">
        <v>0.0</v>
      </c>
      <c r="E10379" s="84">
        <v>0.0</v>
      </c>
      <c r="F10379" s="76" t="s">
        <v>948</v>
      </c>
      <c r="G10379" s="83">
        <v>46119.0</v>
      </c>
      <c r="H10379" s="76" t="s">
        <v>1012</v>
      </c>
    </row>
    <row r="10380">
      <c r="A10380" s="76" t="s">
        <v>26</v>
      </c>
      <c r="B10380" s="76" t="s">
        <v>1040</v>
      </c>
      <c r="C10380" s="84">
        <v>0.76</v>
      </c>
      <c r="D10380" s="84">
        <v>1.0</v>
      </c>
      <c r="E10380" s="84">
        <v>0.76</v>
      </c>
      <c r="F10380" s="76" t="s">
        <v>948</v>
      </c>
      <c r="G10380" s="83">
        <v>46119.0</v>
      </c>
      <c r="H10380" s="76" t="s">
        <v>1013</v>
      </c>
    </row>
    <row r="10381">
      <c r="A10381" s="76" t="s">
        <v>26</v>
      </c>
      <c r="B10381" s="76" t="s">
        <v>1040</v>
      </c>
      <c r="C10381" s="84">
        <v>13.34</v>
      </c>
      <c r="D10381" s="84">
        <v>0.0</v>
      </c>
      <c r="E10381" s="84">
        <v>0.0</v>
      </c>
      <c r="F10381" s="76" t="s">
        <v>948</v>
      </c>
      <c r="G10381" s="83">
        <v>46119.0</v>
      </c>
      <c r="H10381" s="76" t="s">
        <v>1014</v>
      </c>
    </row>
    <row r="10382">
      <c r="A10382" s="76" t="s">
        <v>36</v>
      </c>
      <c r="B10382" s="76" t="s">
        <v>1040</v>
      </c>
      <c r="C10382" s="84">
        <v>3.47</v>
      </c>
      <c r="D10382" s="84">
        <v>1.0</v>
      </c>
      <c r="E10382" s="84">
        <v>3.47</v>
      </c>
      <c r="F10382" s="76" t="s">
        <v>948</v>
      </c>
      <c r="G10382" s="83">
        <v>46119.0</v>
      </c>
      <c r="H10382" s="76" t="s">
        <v>926</v>
      </c>
    </row>
    <row r="10383">
      <c r="A10383" s="76" t="s">
        <v>36</v>
      </c>
      <c r="B10383" s="76" t="s">
        <v>1040</v>
      </c>
      <c r="C10383" s="84">
        <v>0.69</v>
      </c>
      <c r="D10383" s="84">
        <v>0.0</v>
      </c>
      <c r="E10383" s="84">
        <v>0.0</v>
      </c>
      <c r="F10383" s="76" t="s">
        <v>948</v>
      </c>
      <c r="G10383" s="83">
        <v>46119.0</v>
      </c>
      <c r="H10383" s="76" t="s">
        <v>927</v>
      </c>
    </row>
    <row r="10384">
      <c r="A10384" s="76" t="s">
        <v>36</v>
      </c>
      <c r="B10384" s="76" t="s">
        <v>1040</v>
      </c>
      <c r="C10384" s="84">
        <v>2.73</v>
      </c>
      <c r="D10384" s="84">
        <v>0.0</v>
      </c>
      <c r="E10384" s="84">
        <v>0.0</v>
      </c>
      <c r="F10384" s="76" t="s">
        <v>948</v>
      </c>
      <c r="G10384" s="83">
        <v>46119.0</v>
      </c>
      <c r="H10384" s="76" t="s">
        <v>928</v>
      </c>
    </row>
    <row r="10385">
      <c r="A10385" s="76" t="s">
        <v>28</v>
      </c>
      <c r="B10385" s="76" t="s">
        <v>1040</v>
      </c>
      <c r="C10385" s="84">
        <v>0.66</v>
      </c>
      <c r="D10385" s="84">
        <v>0.0</v>
      </c>
      <c r="E10385" s="84">
        <v>0.0</v>
      </c>
      <c r="F10385" s="76" t="s">
        <v>948</v>
      </c>
      <c r="G10385" s="83">
        <v>46119.0</v>
      </c>
      <c r="H10385" s="76" t="s">
        <v>931</v>
      </c>
    </row>
    <row r="10386">
      <c r="A10386" s="76" t="s">
        <v>28</v>
      </c>
      <c r="B10386" s="76" t="s">
        <v>1040</v>
      </c>
      <c r="C10386" s="84">
        <v>0.81</v>
      </c>
      <c r="D10386" s="84">
        <v>1.0</v>
      </c>
      <c r="E10386" s="84">
        <v>0.81</v>
      </c>
      <c r="F10386" s="76" t="s">
        <v>948</v>
      </c>
      <c r="G10386" s="83">
        <v>46119.0</v>
      </c>
      <c r="H10386" s="76" t="s">
        <v>932</v>
      </c>
    </row>
    <row r="10387">
      <c r="A10387" s="76" t="s">
        <v>28</v>
      </c>
      <c r="B10387" s="76" t="s">
        <v>1040</v>
      </c>
      <c r="C10387" s="84">
        <v>11.86</v>
      </c>
      <c r="D10387" s="84">
        <v>1.0</v>
      </c>
      <c r="E10387" s="84">
        <v>11.86</v>
      </c>
      <c r="F10387" s="76" t="s">
        <v>948</v>
      </c>
      <c r="G10387" s="83">
        <v>46119.0</v>
      </c>
      <c r="H10387" s="76" t="s">
        <v>933</v>
      </c>
    </row>
    <row r="10388">
      <c r="A10388" s="76" t="s">
        <v>45</v>
      </c>
      <c r="B10388" s="76" t="s">
        <v>1040</v>
      </c>
      <c r="C10388" s="84">
        <v>0.53</v>
      </c>
      <c r="D10388" s="84">
        <v>0.0</v>
      </c>
      <c r="E10388" s="84">
        <v>0.0</v>
      </c>
      <c r="F10388" s="76" t="s">
        <v>948</v>
      </c>
      <c r="G10388" s="83">
        <v>46119.0</v>
      </c>
      <c r="H10388" s="76" t="s">
        <v>936</v>
      </c>
    </row>
    <row r="10389">
      <c r="A10389" s="76" t="s">
        <v>45</v>
      </c>
      <c r="B10389" s="76" t="s">
        <v>1040</v>
      </c>
      <c r="C10389" s="84">
        <v>0.75</v>
      </c>
      <c r="D10389" s="84">
        <v>0.0</v>
      </c>
      <c r="E10389" s="84">
        <v>0.0</v>
      </c>
      <c r="F10389" s="76" t="s">
        <v>948</v>
      </c>
      <c r="G10389" s="83">
        <v>46119.0</v>
      </c>
      <c r="H10389" s="76" t="s">
        <v>937</v>
      </c>
    </row>
    <row r="10390">
      <c r="A10390" s="76" t="s">
        <v>45</v>
      </c>
      <c r="B10390" s="76" t="s">
        <v>1040</v>
      </c>
      <c r="C10390" s="84">
        <v>0.49</v>
      </c>
      <c r="D10390" s="84">
        <v>0.0</v>
      </c>
      <c r="E10390" s="84">
        <v>0.0</v>
      </c>
      <c r="F10390" s="76" t="s">
        <v>948</v>
      </c>
      <c r="G10390" s="83">
        <v>46119.0</v>
      </c>
      <c r="H10390" s="76" t="s">
        <v>938</v>
      </c>
    </row>
    <row r="10391">
      <c r="A10391" s="76" t="s">
        <v>42</v>
      </c>
      <c r="B10391" s="76" t="s">
        <v>1040</v>
      </c>
      <c r="C10391" s="84">
        <v>0.5</v>
      </c>
      <c r="D10391" s="84">
        <v>0.0</v>
      </c>
      <c r="E10391" s="84">
        <v>0.0</v>
      </c>
      <c r="F10391" s="76" t="s">
        <v>948</v>
      </c>
      <c r="G10391" s="83">
        <v>46119.0</v>
      </c>
      <c r="H10391" s="76" t="s">
        <v>991</v>
      </c>
    </row>
    <row r="10392">
      <c r="A10392" s="76" t="s">
        <v>42</v>
      </c>
      <c r="B10392" s="76" t="s">
        <v>1040</v>
      </c>
      <c r="C10392" s="84">
        <v>1.2</v>
      </c>
      <c r="D10392" s="84">
        <v>0.0</v>
      </c>
      <c r="E10392" s="84">
        <v>0.0</v>
      </c>
      <c r="F10392" s="76" t="s">
        <v>948</v>
      </c>
      <c r="G10392" s="83">
        <v>46119.0</v>
      </c>
      <c r="H10392" s="76" t="s">
        <v>935</v>
      </c>
    </row>
    <row r="10393">
      <c r="A10393" s="76" t="s">
        <v>40</v>
      </c>
      <c r="B10393" s="76" t="s">
        <v>1041</v>
      </c>
      <c r="C10393" s="84">
        <v>7.75</v>
      </c>
      <c r="D10393" s="84">
        <v>0.0</v>
      </c>
      <c r="E10393" s="84">
        <v>0.0</v>
      </c>
      <c r="F10393" s="76" t="s">
        <v>1005</v>
      </c>
      <c r="G10393" s="83">
        <v>46119.0</v>
      </c>
      <c r="H10393" s="76" t="s">
        <v>954</v>
      </c>
    </row>
    <row r="10394">
      <c r="A10394" s="76" t="s">
        <v>40</v>
      </c>
      <c r="B10394" s="76" t="s">
        <v>1041</v>
      </c>
      <c r="C10394" s="84">
        <v>3.98</v>
      </c>
      <c r="D10394" s="84">
        <v>1.0</v>
      </c>
      <c r="E10394" s="84">
        <v>3.98</v>
      </c>
      <c r="F10394" s="76" t="s">
        <v>1005</v>
      </c>
      <c r="G10394" s="83">
        <v>46119.0</v>
      </c>
      <c r="H10394" s="76" t="s">
        <v>955</v>
      </c>
    </row>
    <row r="10395">
      <c r="A10395" s="76" t="s">
        <v>40</v>
      </c>
      <c r="B10395" s="76" t="s">
        <v>1041</v>
      </c>
      <c r="C10395" s="84">
        <v>24.17</v>
      </c>
      <c r="D10395" s="84">
        <v>5.0</v>
      </c>
      <c r="E10395" s="84">
        <v>4.83</v>
      </c>
      <c r="F10395" s="76" t="s">
        <v>1005</v>
      </c>
      <c r="G10395" s="83">
        <v>46119.0</v>
      </c>
      <c r="H10395" s="76" t="s">
        <v>956</v>
      </c>
    </row>
    <row r="10396">
      <c r="A10396" s="76" t="s">
        <v>36</v>
      </c>
      <c r="B10396" s="76" t="s">
        <v>1041</v>
      </c>
      <c r="C10396" s="84">
        <v>11.01</v>
      </c>
      <c r="D10396" s="84">
        <v>1.0</v>
      </c>
      <c r="E10396" s="84">
        <v>11.01</v>
      </c>
      <c r="F10396" s="76" t="s">
        <v>1005</v>
      </c>
      <c r="G10396" s="83">
        <v>46119.0</v>
      </c>
      <c r="H10396" s="76" t="s">
        <v>926</v>
      </c>
    </row>
    <row r="10397">
      <c r="A10397" s="76" t="s">
        <v>36</v>
      </c>
      <c r="B10397" s="76" t="s">
        <v>1041</v>
      </c>
      <c r="C10397" s="84">
        <v>3.07</v>
      </c>
      <c r="D10397" s="84">
        <v>0.0</v>
      </c>
      <c r="E10397" s="84">
        <v>0.0</v>
      </c>
      <c r="F10397" s="76" t="s">
        <v>1005</v>
      </c>
      <c r="G10397" s="83">
        <v>46119.0</v>
      </c>
      <c r="H10397" s="76" t="s">
        <v>927</v>
      </c>
    </row>
    <row r="10398">
      <c r="A10398" s="76" t="s">
        <v>36</v>
      </c>
      <c r="B10398" s="76" t="s">
        <v>1041</v>
      </c>
      <c r="C10398" s="84">
        <v>11.18</v>
      </c>
      <c r="D10398" s="84">
        <v>0.0</v>
      </c>
      <c r="E10398" s="84">
        <v>0.0</v>
      </c>
      <c r="F10398" s="76" t="s">
        <v>1005</v>
      </c>
      <c r="G10398" s="83">
        <v>46119.0</v>
      </c>
      <c r="H10398" s="76" t="s">
        <v>928</v>
      </c>
    </row>
    <row r="10399">
      <c r="A10399" s="76" t="s">
        <v>46</v>
      </c>
      <c r="B10399" s="76" t="s">
        <v>1041</v>
      </c>
      <c r="C10399" s="84">
        <v>2.0</v>
      </c>
      <c r="D10399" s="84">
        <v>1.0</v>
      </c>
      <c r="E10399" s="84">
        <v>2.0</v>
      </c>
      <c r="F10399" s="76" t="s">
        <v>1005</v>
      </c>
      <c r="G10399" s="83">
        <v>46119.0</v>
      </c>
      <c r="H10399" s="76" t="s">
        <v>960</v>
      </c>
    </row>
    <row r="10400">
      <c r="A10400" s="76" t="s">
        <v>46</v>
      </c>
      <c r="B10400" s="76" t="s">
        <v>1041</v>
      </c>
      <c r="C10400" s="84">
        <v>6.18</v>
      </c>
      <c r="D10400" s="84">
        <v>1.0</v>
      </c>
      <c r="E10400" s="84">
        <v>6.18</v>
      </c>
      <c r="F10400" s="76" t="s">
        <v>1005</v>
      </c>
      <c r="G10400" s="83">
        <v>46119.0</v>
      </c>
      <c r="H10400" s="76" t="s">
        <v>961</v>
      </c>
    </row>
    <row r="10401">
      <c r="A10401" s="76" t="s">
        <v>46</v>
      </c>
      <c r="B10401" s="76" t="s">
        <v>1041</v>
      </c>
      <c r="C10401" s="84">
        <v>4.67</v>
      </c>
      <c r="D10401" s="84">
        <v>0.0</v>
      </c>
      <c r="E10401" s="84">
        <v>0.0</v>
      </c>
      <c r="F10401" s="76" t="s">
        <v>1005</v>
      </c>
      <c r="G10401" s="83">
        <v>46119.0</v>
      </c>
      <c r="H10401" s="76" t="s">
        <v>962</v>
      </c>
    </row>
    <row r="10402">
      <c r="A10402" s="76" t="s">
        <v>970</v>
      </c>
      <c r="B10402" s="76" t="s">
        <v>1041</v>
      </c>
      <c r="C10402" s="84">
        <v>14.7</v>
      </c>
      <c r="D10402" s="84">
        <v>2.0</v>
      </c>
      <c r="E10402" s="84">
        <v>7.35</v>
      </c>
      <c r="F10402" s="76" t="s">
        <v>1005</v>
      </c>
      <c r="G10402" s="83">
        <v>46119.0</v>
      </c>
      <c r="H10402" s="76" t="s">
        <v>971</v>
      </c>
    </row>
    <row r="10403">
      <c r="A10403" s="76" t="s">
        <v>970</v>
      </c>
      <c r="B10403" s="76" t="s">
        <v>1041</v>
      </c>
      <c r="C10403" s="84">
        <v>4.79</v>
      </c>
      <c r="D10403" s="84">
        <v>1.0</v>
      </c>
      <c r="E10403" s="84">
        <v>4.79</v>
      </c>
      <c r="F10403" s="76" t="s">
        <v>1005</v>
      </c>
      <c r="G10403" s="83">
        <v>46119.0</v>
      </c>
      <c r="H10403" s="76" t="s">
        <v>972</v>
      </c>
    </row>
    <row r="10404">
      <c r="A10404" s="76" t="s">
        <v>970</v>
      </c>
      <c r="B10404" s="76" t="s">
        <v>1041</v>
      </c>
      <c r="C10404" s="84">
        <v>17.71</v>
      </c>
      <c r="D10404" s="84">
        <v>4.0</v>
      </c>
      <c r="E10404" s="84">
        <v>4.43</v>
      </c>
      <c r="F10404" s="76" t="s">
        <v>1005</v>
      </c>
      <c r="G10404" s="83">
        <v>46119.0</v>
      </c>
      <c r="H10404" s="76" t="s">
        <v>973</v>
      </c>
    </row>
    <row r="10405">
      <c r="A10405" s="76" t="s">
        <v>29</v>
      </c>
      <c r="B10405" s="76" t="s">
        <v>1041</v>
      </c>
      <c r="C10405" s="84">
        <v>10.02</v>
      </c>
      <c r="D10405" s="84">
        <v>1.0</v>
      </c>
      <c r="E10405" s="84">
        <v>10.02</v>
      </c>
      <c r="F10405" s="76" t="s">
        <v>1005</v>
      </c>
      <c r="G10405" s="83">
        <v>46119.0</v>
      </c>
      <c r="H10405" s="76" t="s">
        <v>1015</v>
      </c>
    </row>
    <row r="10406">
      <c r="A10406" s="76" t="s">
        <v>29</v>
      </c>
      <c r="B10406" s="76" t="s">
        <v>1041</v>
      </c>
      <c r="C10406" s="84">
        <v>8.72</v>
      </c>
      <c r="D10406" s="84">
        <v>3.0</v>
      </c>
      <c r="E10406" s="84">
        <v>2.91</v>
      </c>
      <c r="F10406" s="76" t="s">
        <v>1005</v>
      </c>
      <c r="G10406" s="83">
        <v>46119.0</v>
      </c>
      <c r="H10406" s="76" t="s">
        <v>1016</v>
      </c>
    </row>
    <row r="10407">
      <c r="A10407" s="76" t="s">
        <v>29</v>
      </c>
      <c r="B10407" s="76" t="s">
        <v>1041</v>
      </c>
      <c r="C10407" s="84">
        <v>8.25</v>
      </c>
      <c r="D10407" s="84">
        <v>0.0</v>
      </c>
      <c r="E10407" s="84">
        <v>0.0</v>
      </c>
      <c r="F10407" s="76" t="s">
        <v>1005</v>
      </c>
      <c r="G10407" s="83">
        <v>46119.0</v>
      </c>
      <c r="H10407" s="76" t="s">
        <v>1017</v>
      </c>
    </row>
    <row r="10408">
      <c r="A10408" s="76" t="s">
        <v>34</v>
      </c>
      <c r="B10408" s="76" t="s">
        <v>1041</v>
      </c>
      <c r="C10408" s="84">
        <v>4.21</v>
      </c>
      <c r="D10408" s="84">
        <v>1.0</v>
      </c>
      <c r="E10408" s="84">
        <v>4.21</v>
      </c>
      <c r="F10408" s="76" t="s">
        <v>1005</v>
      </c>
      <c r="G10408" s="83">
        <v>46119.0</v>
      </c>
      <c r="H10408" s="76" t="s">
        <v>951</v>
      </c>
    </row>
    <row r="10409">
      <c r="A10409" s="76" t="s">
        <v>34</v>
      </c>
      <c r="B10409" s="76" t="s">
        <v>1041</v>
      </c>
      <c r="C10409" s="84">
        <v>12.55</v>
      </c>
      <c r="D10409" s="84">
        <v>1.0</v>
      </c>
      <c r="E10409" s="84">
        <v>12.55</v>
      </c>
      <c r="F10409" s="76" t="s">
        <v>1005</v>
      </c>
      <c r="G10409" s="83">
        <v>46119.0</v>
      </c>
      <c r="H10409" s="76" t="s">
        <v>952</v>
      </c>
    </row>
    <row r="10410">
      <c r="A10410" s="76" t="s">
        <v>34</v>
      </c>
      <c r="B10410" s="76" t="s">
        <v>1041</v>
      </c>
      <c r="C10410" s="84">
        <v>2.48</v>
      </c>
      <c r="D10410" s="84">
        <v>0.0</v>
      </c>
      <c r="E10410" s="84">
        <v>0.0</v>
      </c>
      <c r="F10410" s="76" t="s">
        <v>1005</v>
      </c>
      <c r="G10410" s="83">
        <v>46119.0</v>
      </c>
      <c r="H10410" s="76" t="s">
        <v>953</v>
      </c>
    </row>
    <row r="10411">
      <c r="A10411" s="76" t="s">
        <v>33</v>
      </c>
      <c r="B10411" s="76" t="s">
        <v>1041</v>
      </c>
      <c r="C10411" s="84">
        <v>76.97</v>
      </c>
      <c r="D10411" s="84">
        <v>13.0</v>
      </c>
      <c r="E10411" s="84">
        <v>5.92</v>
      </c>
      <c r="F10411" s="76" t="s">
        <v>1005</v>
      </c>
      <c r="G10411" s="83">
        <v>46119.0</v>
      </c>
      <c r="H10411" s="76" t="s">
        <v>957</v>
      </c>
    </row>
    <row r="10412">
      <c r="A10412" s="76" t="s">
        <v>33</v>
      </c>
      <c r="B10412" s="76" t="s">
        <v>1041</v>
      </c>
      <c r="C10412" s="84">
        <v>14.73</v>
      </c>
      <c r="D10412" s="84">
        <v>1.0</v>
      </c>
      <c r="E10412" s="84">
        <v>14.73</v>
      </c>
      <c r="F10412" s="76" t="s">
        <v>1005</v>
      </c>
      <c r="G10412" s="83">
        <v>46119.0</v>
      </c>
      <c r="H10412" s="76" t="s">
        <v>958</v>
      </c>
    </row>
    <row r="10413">
      <c r="A10413" s="76" t="s">
        <v>33</v>
      </c>
      <c r="B10413" s="76" t="s">
        <v>1041</v>
      </c>
      <c r="C10413" s="84">
        <v>92.43</v>
      </c>
      <c r="D10413" s="84">
        <v>18.0</v>
      </c>
      <c r="E10413" s="84">
        <v>5.13</v>
      </c>
      <c r="F10413" s="76" t="s">
        <v>1005</v>
      </c>
      <c r="G10413" s="83">
        <v>46119.0</v>
      </c>
      <c r="H10413" s="76" t="s">
        <v>959</v>
      </c>
    </row>
    <row r="10414">
      <c r="A10414" s="76" t="s">
        <v>43</v>
      </c>
      <c r="B10414" s="76" t="s">
        <v>1041</v>
      </c>
      <c r="C10414" s="84">
        <v>5.3</v>
      </c>
      <c r="D10414" s="84">
        <v>0.0</v>
      </c>
      <c r="E10414" s="84">
        <v>0.0</v>
      </c>
      <c r="F10414" s="76" t="s">
        <v>1005</v>
      </c>
      <c r="G10414" s="83">
        <v>46119.0</v>
      </c>
      <c r="H10414" s="76" t="s">
        <v>963</v>
      </c>
    </row>
    <row r="10415">
      <c r="A10415" s="76" t="s">
        <v>43</v>
      </c>
      <c r="B10415" s="76" t="s">
        <v>1041</v>
      </c>
      <c r="C10415" s="84">
        <v>6.82</v>
      </c>
      <c r="D10415" s="84">
        <v>3.0</v>
      </c>
      <c r="E10415" s="84">
        <v>2.27</v>
      </c>
      <c r="F10415" s="76" t="s">
        <v>1005</v>
      </c>
      <c r="G10415" s="83">
        <v>46119.0</v>
      </c>
      <c r="H10415" s="76" t="s">
        <v>964</v>
      </c>
    </row>
    <row r="10416">
      <c r="A10416" s="76" t="s">
        <v>43</v>
      </c>
      <c r="B10416" s="76" t="s">
        <v>1041</v>
      </c>
      <c r="C10416" s="84">
        <v>10.98</v>
      </c>
      <c r="D10416" s="84">
        <v>1.0</v>
      </c>
      <c r="E10416" s="84">
        <v>10.98</v>
      </c>
      <c r="F10416" s="76" t="s">
        <v>1005</v>
      </c>
      <c r="G10416" s="83">
        <v>46119.0</v>
      </c>
      <c r="H10416" s="76" t="s">
        <v>965</v>
      </c>
    </row>
    <row r="10417">
      <c r="A10417" s="76" t="s">
        <v>966</v>
      </c>
      <c r="B10417" s="76" t="s">
        <v>1041</v>
      </c>
      <c r="C10417" s="84">
        <v>7.46</v>
      </c>
      <c r="D10417" s="84">
        <v>0.0</v>
      </c>
      <c r="E10417" s="84">
        <v>0.0</v>
      </c>
      <c r="F10417" s="76" t="s">
        <v>1005</v>
      </c>
      <c r="G10417" s="83">
        <v>46119.0</v>
      </c>
      <c r="H10417" s="76" t="s">
        <v>967</v>
      </c>
    </row>
    <row r="10418">
      <c r="A10418" s="76" t="s">
        <v>966</v>
      </c>
      <c r="B10418" s="76" t="s">
        <v>1041</v>
      </c>
      <c r="C10418" s="84">
        <v>2.84</v>
      </c>
      <c r="D10418" s="84">
        <v>1.0</v>
      </c>
      <c r="E10418" s="84">
        <v>2.84</v>
      </c>
      <c r="F10418" s="76" t="s">
        <v>1005</v>
      </c>
      <c r="G10418" s="83">
        <v>46119.0</v>
      </c>
      <c r="H10418" s="76" t="s">
        <v>968</v>
      </c>
    </row>
    <row r="10419">
      <c r="A10419" s="76" t="s">
        <v>966</v>
      </c>
      <c r="B10419" s="76" t="s">
        <v>1041</v>
      </c>
      <c r="C10419" s="84">
        <v>9.24</v>
      </c>
      <c r="D10419" s="84">
        <v>2.0</v>
      </c>
      <c r="E10419" s="84">
        <v>4.62</v>
      </c>
      <c r="F10419" s="76" t="s">
        <v>1005</v>
      </c>
      <c r="G10419" s="83">
        <v>46119.0</v>
      </c>
      <c r="H10419" s="76" t="s">
        <v>969</v>
      </c>
    </row>
    <row r="10420">
      <c r="A10420" s="76" t="s">
        <v>970</v>
      </c>
      <c r="B10420" s="76" t="s">
        <v>1041</v>
      </c>
      <c r="C10420" s="84">
        <v>1.59</v>
      </c>
      <c r="D10420" s="84">
        <v>1.0</v>
      </c>
      <c r="E10420" s="84">
        <v>1.59</v>
      </c>
      <c r="F10420" s="76" t="s">
        <v>990</v>
      </c>
      <c r="G10420" s="83">
        <v>46119.0</v>
      </c>
      <c r="H10420" s="76" t="s">
        <v>971</v>
      </c>
    </row>
    <row r="10421">
      <c r="A10421" s="76" t="s">
        <v>970</v>
      </c>
      <c r="B10421" s="76" t="s">
        <v>1041</v>
      </c>
      <c r="C10421" s="84">
        <v>0.82</v>
      </c>
      <c r="D10421" s="84">
        <v>0.0</v>
      </c>
      <c r="E10421" s="84">
        <v>0.0</v>
      </c>
      <c r="F10421" s="76" t="s">
        <v>990</v>
      </c>
      <c r="G10421" s="83">
        <v>46119.0</v>
      </c>
      <c r="H10421" s="76" t="s">
        <v>972</v>
      </c>
    </row>
    <row r="10422">
      <c r="A10422" s="76" t="s">
        <v>970</v>
      </c>
      <c r="B10422" s="76" t="s">
        <v>1041</v>
      </c>
      <c r="C10422" s="84">
        <v>1.56</v>
      </c>
      <c r="D10422" s="84">
        <v>1.0</v>
      </c>
      <c r="E10422" s="84">
        <v>1.56</v>
      </c>
      <c r="F10422" s="76" t="s">
        <v>990</v>
      </c>
      <c r="G10422" s="83">
        <v>46119.0</v>
      </c>
      <c r="H10422" s="76" t="s">
        <v>973</v>
      </c>
    </row>
    <row r="10423">
      <c r="A10423" s="76" t="s">
        <v>29</v>
      </c>
      <c r="B10423" s="76" t="s">
        <v>1041</v>
      </c>
      <c r="C10423" s="84">
        <v>3.07</v>
      </c>
      <c r="D10423" s="84">
        <v>0.0</v>
      </c>
      <c r="E10423" s="84">
        <v>0.0</v>
      </c>
      <c r="F10423" s="76" t="s">
        <v>990</v>
      </c>
      <c r="G10423" s="83">
        <v>46119.0</v>
      </c>
      <c r="H10423" s="76" t="s">
        <v>971</v>
      </c>
    </row>
    <row r="10424">
      <c r="A10424" s="76" t="s">
        <v>29</v>
      </c>
      <c r="B10424" s="76" t="s">
        <v>1041</v>
      </c>
      <c r="C10424" s="84">
        <v>0.78</v>
      </c>
      <c r="D10424" s="84">
        <v>0.0</v>
      </c>
      <c r="E10424" s="84">
        <v>0.0</v>
      </c>
      <c r="F10424" s="76" t="s">
        <v>990</v>
      </c>
      <c r="G10424" s="83">
        <v>46119.0</v>
      </c>
      <c r="H10424" s="76" t="s">
        <v>972</v>
      </c>
    </row>
    <row r="10425">
      <c r="A10425" s="76" t="s">
        <v>29</v>
      </c>
      <c r="B10425" s="76" t="s">
        <v>1041</v>
      </c>
      <c r="C10425" s="84">
        <v>2.2</v>
      </c>
      <c r="D10425" s="84">
        <v>0.0</v>
      </c>
      <c r="E10425" s="84">
        <v>0.0</v>
      </c>
      <c r="F10425" s="76" t="s">
        <v>990</v>
      </c>
      <c r="G10425" s="83">
        <v>46119.0</v>
      </c>
      <c r="H10425" s="76" t="s">
        <v>973</v>
      </c>
    </row>
    <row r="10426">
      <c r="A10426" s="76" t="s">
        <v>46</v>
      </c>
      <c r="B10426" s="76" t="s">
        <v>1041</v>
      </c>
      <c r="C10426" s="84">
        <v>0.3</v>
      </c>
      <c r="D10426" s="84">
        <v>0.0</v>
      </c>
      <c r="E10426" s="84">
        <v>0.0</v>
      </c>
      <c r="F10426" s="76" t="s">
        <v>990</v>
      </c>
      <c r="G10426" s="83">
        <v>46119.0</v>
      </c>
      <c r="H10426" s="76" t="s">
        <v>960</v>
      </c>
    </row>
    <row r="10427">
      <c r="A10427" s="76" t="s">
        <v>46</v>
      </c>
      <c r="B10427" s="76" t="s">
        <v>1041</v>
      </c>
      <c r="C10427" s="84">
        <v>0.49</v>
      </c>
      <c r="D10427" s="84">
        <v>0.0</v>
      </c>
      <c r="E10427" s="84">
        <v>0.0</v>
      </c>
      <c r="F10427" s="76" t="s">
        <v>990</v>
      </c>
      <c r="G10427" s="83">
        <v>46119.0</v>
      </c>
      <c r="H10427" s="76" t="s">
        <v>961</v>
      </c>
    </row>
    <row r="10428">
      <c r="A10428" s="76" t="s">
        <v>46</v>
      </c>
      <c r="B10428" s="76" t="s">
        <v>1041</v>
      </c>
      <c r="C10428" s="84">
        <v>0.55</v>
      </c>
      <c r="D10428" s="84">
        <v>2.0</v>
      </c>
      <c r="E10428" s="84">
        <v>0.27</v>
      </c>
      <c r="F10428" s="76" t="s">
        <v>990</v>
      </c>
      <c r="G10428" s="83">
        <v>46119.0</v>
      </c>
      <c r="H10428" s="76" t="s">
        <v>962</v>
      </c>
    </row>
    <row r="10429">
      <c r="A10429" s="76" t="s">
        <v>36</v>
      </c>
      <c r="B10429" s="76" t="s">
        <v>1041</v>
      </c>
      <c r="C10429" s="84">
        <v>1.27</v>
      </c>
      <c r="D10429" s="84">
        <v>0.0</v>
      </c>
      <c r="E10429" s="84">
        <v>0.0</v>
      </c>
      <c r="F10429" s="76" t="s">
        <v>990</v>
      </c>
      <c r="G10429" s="83">
        <v>46119.0</v>
      </c>
      <c r="H10429" s="76" t="s">
        <v>926</v>
      </c>
    </row>
    <row r="10430">
      <c r="A10430" s="76" t="s">
        <v>36</v>
      </c>
      <c r="B10430" s="76" t="s">
        <v>1041</v>
      </c>
      <c r="C10430" s="84">
        <v>0.32</v>
      </c>
      <c r="D10430" s="84">
        <v>0.0</v>
      </c>
      <c r="E10430" s="84">
        <v>0.0</v>
      </c>
      <c r="F10430" s="76" t="s">
        <v>990</v>
      </c>
      <c r="G10430" s="83">
        <v>46119.0</v>
      </c>
      <c r="H10430" s="76" t="s">
        <v>927</v>
      </c>
    </row>
    <row r="10431">
      <c r="A10431" s="76" t="s">
        <v>36</v>
      </c>
      <c r="B10431" s="76" t="s">
        <v>1041</v>
      </c>
      <c r="C10431" s="84">
        <v>1.82</v>
      </c>
      <c r="D10431" s="84">
        <v>0.0</v>
      </c>
      <c r="E10431" s="84">
        <v>0.0</v>
      </c>
      <c r="F10431" s="76" t="s">
        <v>990</v>
      </c>
      <c r="G10431" s="83">
        <v>46119.0</v>
      </c>
      <c r="H10431" s="76" t="s">
        <v>928</v>
      </c>
    </row>
    <row r="10432">
      <c r="A10432" s="76" t="s">
        <v>34</v>
      </c>
      <c r="B10432" s="76" t="s">
        <v>1041</v>
      </c>
      <c r="C10432" s="84">
        <v>0.71</v>
      </c>
      <c r="D10432" s="84">
        <v>0.0</v>
      </c>
      <c r="E10432" s="84">
        <v>0.0</v>
      </c>
      <c r="F10432" s="76" t="s">
        <v>990</v>
      </c>
      <c r="G10432" s="83">
        <v>46119.0</v>
      </c>
      <c r="H10432" s="76" t="s">
        <v>951</v>
      </c>
    </row>
    <row r="10433">
      <c r="A10433" s="76" t="s">
        <v>34</v>
      </c>
      <c r="B10433" s="76" t="s">
        <v>1041</v>
      </c>
      <c r="C10433" s="84">
        <v>1.69</v>
      </c>
      <c r="D10433" s="84">
        <v>1.0</v>
      </c>
      <c r="E10433" s="84">
        <v>1.69</v>
      </c>
      <c r="F10433" s="76" t="s">
        <v>990</v>
      </c>
      <c r="G10433" s="83">
        <v>46119.0</v>
      </c>
      <c r="H10433" s="76" t="s">
        <v>952</v>
      </c>
    </row>
    <row r="10434">
      <c r="A10434" s="76" t="s">
        <v>34</v>
      </c>
      <c r="B10434" s="76" t="s">
        <v>1041</v>
      </c>
      <c r="C10434" s="84">
        <v>0.77</v>
      </c>
      <c r="D10434" s="84">
        <v>0.0</v>
      </c>
      <c r="E10434" s="84">
        <v>0.0</v>
      </c>
      <c r="F10434" s="76" t="s">
        <v>990</v>
      </c>
      <c r="G10434" s="83">
        <v>46119.0</v>
      </c>
      <c r="H10434" s="76" t="s">
        <v>953</v>
      </c>
    </row>
    <row r="10435">
      <c r="A10435" s="76" t="s">
        <v>33</v>
      </c>
      <c r="B10435" s="76" t="s">
        <v>1041</v>
      </c>
      <c r="C10435" s="84">
        <v>8.71</v>
      </c>
      <c r="D10435" s="84">
        <v>2.0</v>
      </c>
      <c r="E10435" s="84">
        <v>4.35</v>
      </c>
      <c r="F10435" s="76" t="s">
        <v>990</v>
      </c>
      <c r="G10435" s="83">
        <v>46119.0</v>
      </c>
      <c r="H10435" s="76" t="s">
        <v>957</v>
      </c>
    </row>
    <row r="10436">
      <c r="A10436" s="76" t="s">
        <v>33</v>
      </c>
      <c r="B10436" s="76" t="s">
        <v>1041</v>
      </c>
      <c r="C10436" s="84">
        <v>1.64</v>
      </c>
      <c r="D10436" s="84">
        <v>0.0</v>
      </c>
      <c r="E10436" s="84">
        <v>0.0</v>
      </c>
      <c r="F10436" s="76" t="s">
        <v>990</v>
      </c>
      <c r="G10436" s="83">
        <v>46119.0</v>
      </c>
      <c r="H10436" s="76" t="s">
        <v>958</v>
      </c>
    </row>
    <row r="10437">
      <c r="A10437" s="76" t="s">
        <v>33</v>
      </c>
      <c r="B10437" s="76" t="s">
        <v>1041</v>
      </c>
      <c r="C10437" s="84">
        <v>3.56</v>
      </c>
      <c r="D10437" s="84">
        <v>0.0</v>
      </c>
      <c r="E10437" s="84">
        <v>0.0</v>
      </c>
      <c r="F10437" s="76" t="s">
        <v>990</v>
      </c>
      <c r="G10437" s="83">
        <v>46119.0</v>
      </c>
      <c r="H10437" s="76" t="s">
        <v>959</v>
      </c>
    </row>
    <row r="10438">
      <c r="A10438" s="76" t="s">
        <v>40</v>
      </c>
      <c r="B10438" s="76" t="s">
        <v>1041</v>
      </c>
      <c r="C10438" s="84">
        <v>0.84</v>
      </c>
      <c r="D10438" s="84">
        <v>0.0</v>
      </c>
      <c r="E10438" s="84">
        <v>0.0</v>
      </c>
      <c r="F10438" s="76" t="s">
        <v>990</v>
      </c>
      <c r="G10438" s="83">
        <v>46119.0</v>
      </c>
      <c r="H10438" s="76" t="s">
        <v>954</v>
      </c>
    </row>
    <row r="10439">
      <c r="A10439" s="76" t="s">
        <v>40</v>
      </c>
      <c r="B10439" s="76" t="s">
        <v>1041</v>
      </c>
      <c r="C10439" s="84">
        <v>0.54</v>
      </c>
      <c r="D10439" s="84">
        <v>0.0</v>
      </c>
      <c r="E10439" s="84">
        <v>0.0</v>
      </c>
      <c r="F10439" s="76" t="s">
        <v>990</v>
      </c>
      <c r="G10439" s="83">
        <v>46119.0</v>
      </c>
      <c r="H10439" s="76" t="s">
        <v>955</v>
      </c>
    </row>
    <row r="10440">
      <c r="A10440" s="76" t="s">
        <v>40</v>
      </c>
      <c r="B10440" s="76" t="s">
        <v>1041</v>
      </c>
      <c r="C10440" s="84">
        <v>6.52</v>
      </c>
      <c r="D10440" s="84">
        <v>0.0</v>
      </c>
      <c r="E10440" s="84">
        <v>0.0</v>
      </c>
      <c r="F10440" s="76" t="s">
        <v>990</v>
      </c>
      <c r="G10440" s="83">
        <v>46119.0</v>
      </c>
      <c r="H10440" s="76" t="s">
        <v>956</v>
      </c>
    </row>
    <row r="10441">
      <c r="A10441" s="76" t="s">
        <v>43</v>
      </c>
      <c r="B10441" s="76" t="s">
        <v>1041</v>
      </c>
      <c r="C10441" s="84">
        <v>0.79</v>
      </c>
      <c r="D10441" s="84">
        <v>0.0</v>
      </c>
      <c r="E10441" s="84">
        <v>0.0</v>
      </c>
      <c r="F10441" s="76" t="s">
        <v>990</v>
      </c>
      <c r="G10441" s="83">
        <v>46119.0</v>
      </c>
      <c r="H10441" s="76" t="s">
        <v>963</v>
      </c>
    </row>
    <row r="10442">
      <c r="A10442" s="76" t="s">
        <v>43</v>
      </c>
      <c r="B10442" s="76" t="s">
        <v>1041</v>
      </c>
      <c r="C10442" s="84">
        <v>0.38</v>
      </c>
      <c r="D10442" s="84">
        <v>0.0</v>
      </c>
      <c r="E10442" s="84">
        <v>0.0</v>
      </c>
      <c r="F10442" s="76" t="s">
        <v>990</v>
      </c>
      <c r="G10442" s="83">
        <v>46119.0</v>
      </c>
      <c r="H10442" s="76" t="s">
        <v>964</v>
      </c>
    </row>
    <row r="10443">
      <c r="A10443" s="76" t="s">
        <v>43</v>
      </c>
      <c r="B10443" s="76" t="s">
        <v>1041</v>
      </c>
      <c r="C10443" s="84">
        <v>1.48</v>
      </c>
      <c r="D10443" s="84">
        <v>1.0</v>
      </c>
      <c r="E10443" s="84">
        <v>1.48</v>
      </c>
      <c r="F10443" s="76" t="s">
        <v>990</v>
      </c>
      <c r="G10443" s="83">
        <v>46119.0</v>
      </c>
      <c r="H10443" s="76" t="s">
        <v>965</v>
      </c>
    </row>
    <row r="10444">
      <c r="A10444" s="76" t="s">
        <v>966</v>
      </c>
      <c r="B10444" s="76" t="s">
        <v>1041</v>
      </c>
      <c r="C10444" s="84">
        <v>0.9</v>
      </c>
      <c r="D10444" s="84">
        <v>0.0</v>
      </c>
      <c r="E10444" s="84">
        <v>0.0</v>
      </c>
      <c r="F10444" s="76" t="s">
        <v>990</v>
      </c>
      <c r="G10444" s="83">
        <v>46119.0</v>
      </c>
      <c r="H10444" s="76" t="s">
        <v>967</v>
      </c>
    </row>
    <row r="10445">
      <c r="A10445" s="76" t="s">
        <v>966</v>
      </c>
      <c r="B10445" s="76" t="s">
        <v>1041</v>
      </c>
      <c r="C10445" s="84">
        <v>0.47</v>
      </c>
      <c r="D10445" s="84">
        <v>0.0</v>
      </c>
      <c r="E10445" s="84">
        <v>0.0</v>
      </c>
      <c r="F10445" s="76" t="s">
        <v>990</v>
      </c>
      <c r="G10445" s="83">
        <v>46119.0</v>
      </c>
      <c r="H10445" s="76" t="s">
        <v>968</v>
      </c>
    </row>
    <row r="10446">
      <c r="A10446" s="76" t="s">
        <v>966</v>
      </c>
      <c r="B10446" s="76" t="s">
        <v>1041</v>
      </c>
      <c r="C10446" s="84">
        <v>1.08</v>
      </c>
      <c r="D10446" s="84">
        <v>0.0</v>
      </c>
      <c r="E10446" s="84">
        <v>0.0</v>
      </c>
      <c r="F10446" s="76" t="s">
        <v>990</v>
      </c>
      <c r="G10446" s="83">
        <v>46119.0</v>
      </c>
      <c r="H10446" s="76" t="s">
        <v>969</v>
      </c>
    </row>
    <row r="10447">
      <c r="A10447" s="76" t="s">
        <v>970</v>
      </c>
      <c r="B10447" s="76" t="s">
        <v>1041</v>
      </c>
      <c r="C10447" s="84">
        <v>6.79</v>
      </c>
      <c r="D10447" s="84">
        <v>3.0</v>
      </c>
      <c r="E10447" s="84">
        <v>2.26</v>
      </c>
      <c r="F10447" s="76" t="s">
        <v>996</v>
      </c>
      <c r="G10447" s="83">
        <v>46119.0</v>
      </c>
      <c r="H10447" s="76" t="s">
        <v>971</v>
      </c>
    </row>
    <row r="10448">
      <c r="A10448" s="76" t="s">
        <v>970</v>
      </c>
      <c r="B10448" s="76" t="s">
        <v>1041</v>
      </c>
      <c r="C10448" s="84">
        <v>3.93</v>
      </c>
      <c r="D10448" s="84">
        <v>0.0</v>
      </c>
      <c r="E10448" s="84">
        <v>0.0</v>
      </c>
      <c r="F10448" s="76" t="s">
        <v>996</v>
      </c>
      <c r="G10448" s="83">
        <v>46119.0</v>
      </c>
      <c r="H10448" s="76" t="s">
        <v>972</v>
      </c>
    </row>
    <row r="10449">
      <c r="A10449" s="76" t="s">
        <v>970</v>
      </c>
      <c r="B10449" s="76" t="s">
        <v>1041</v>
      </c>
      <c r="C10449" s="84">
        <v>6.5</v>
      </c>
      <c r="D10449" s="84">
        <v>0.0</v>
      </c>
      <c r="E10449" s="84">
        <v>0.0</v>
      </c>
      <c r="F10449" s="76" t="s">
        <v>996</v>
      </c>
      <c r="G10449" s="83">
        <v>46119.0</v>
      </c>
      <c r="H10449" s="76" t="s">
        <v>973</v>
      </c>
    </row>
    <row r="10450">
      <c r="A10450" s="76" t="s">
        <v>29</v>
      </c>
      <c r="B10450" s="76" t="s">
        <v>1041</v>
      </c>
      <c r="C10450" s="84">
        <v>6.29</v>
      </c>
      <c r="D10450" s="84">
        <v>1.0</v>
      </c>
      <c r="E10450" s="84">
        <v>6.29</v>
      </c>
      <c r="F10450" s="76" t="s">
        <v>996</v>
      </c>
      <c r="G10450" s="83">
        <v>46119.0</v>
      </c>
      <c r="H10450" s="76" t="s">
        <v>971</v>
      </c>
    </row>
    <row r="10451">
      <c r="A10451" s="76" t="s">
        <v>29</v>
      </c>
      <c r="B10451" s="76" t="s">
        <v>1041</v>
      </c>
      <c r="C10451" s="84">
        <v>3.82</v>
      </c>
      <c r="D10451" s="84">
        <v>0.0</v>
      </c>
      <c r="E10451" s="84">
        <v>0.0</v>
      </c>
      <c r="F10451" s="76" t="s">
        <v>996</v>
      </c>
      <c r="G10451" s="83">
        <v>46119.0</v>
      </c>
      <c r="H10451" s="76" t="s">
        <v>972</v>
      </c>
    </row>
    <row r="10452">
      <c r="A10452" s="76" t="s">
        <v>29</v>
      </c>
      <c r="B10452" s="76" t="s">
        <v>1041</v>
      </c>
      <c r="C10452" s="84">
        <v>5.4</v>
      </c>
      <c r="D10452" s="84">
        <v>1.0</v>
      </c>
      <c r="E10452" s="84">
        <v>5.4</v>
      </c>
      <c r="F10452" s="76" t="s">
        <v>996</v>
      </c>
      <c r="G10452" s="83">
        <v>46119.0</v>
      </c>
      <c r="H10452" s="76" t="s">
        <v>973</v>
      </c>
    </row>
    <row r="10453">
      <c r="A10453" s="76" t="s">
        <v>43</v>
      </c>
      <c r="B10453" s="76" t="s">
        <v>1041</v>
      </c>
      <c r="C10453" s="84">
        <v>4.58</v>
      </c>
      <c r="D10453" s="84">
        <v>0.0</v>
      </c>
      <c r="E10453" s="84">
        <v>0.0</v>
      </c>
      <c r="F10453" s="76" t="s">
        <v>996</v>
      </c>
      <c r="G10453" s="83">
        <v>46119.0</v>
      </c>
      <c r="H10453" s="76" t="s">
        <v>963</v>
      </c>
    </row>
    <row r="10454">
      <c r="A10454" s="76" t="s">
        <v>43</v>
      </c>
      <c r="B10454" s="76" t="s">
        <v>1041</v>
      </c>
      <c r="C10454" s="84">
        <v>2.61</v>
      </c>
      <c r="D10454" s="84">
        <v>1.0</v>
      </c>
      <c r="E10454" s="84">
        <v>2.61</v>
      </c>
      <c r="F10454" s="76" t="s">
        <v>996</v>
      </c>
      <c r="G10454" s="83">
        <v>46119.0</v>
      </c>
      <c r="H10454" s="76" t="s">
        <v>964</v>
      </c>
    </row>
    <row r="10455">
      <c r="A10455" s="76" t="s">
        <v>43</v>
      </c>
      <c r="B10455" s="76" t="s">
        <v>1041</v>
      </c>
      <c r="C10455" s="84">
        <v>6.88</v>
      </c>
      <c r="D10455" s="84">
        <v>0.0</v>
      </c>
      <c r="E10455" s="84">
        <v>0.0</v>
      </c>
      <c r="F10455" s="76" t="s">
        <v>996</v>
      </c>
      <c r="G10455" s="83">
        <v>46119.0</v>
      </c>
      <c r="H10455" s="76" t="s">
        <v>965</v>
      </c>
    </row>
    <row r="10456">
      <c r="A10456" s="76" t="s">
        <v>46</v>
      </c>
      <c r="B10456" s="76" t="s">
        <v>1041</v>
      </c>
      <c r="C10456" s="84">
        <v>1.29</v>
      </c>
      <c r="D10456" s="84">
        <v>0.0</v>
      </c>
      <c r="E10456" s="84">
        <v>0.0</v>
      </c>
      <c r="F10456" s="76" t="s">
        <v>996</v>
      </c>
      <c r="G10456" s="83">
        <v>46119.0</v>
      </c>
      <c r="H10456" s="76" t="s">
        <v>960</v>
      </c>
    </row>
    <row r="10457">
      <c r="A10457" s="76" t="s">
        <v>46</v>
      </c>
      <c r="B10457" s="76" t="s">
        <v>1041</v>
      </c>
      <c r="C10457" s="84">
        <v>2.81</v>
      </c>
      <c r="D10457" s="84">
        <v>0.0</v>
      </c>
      <c r="E10457" s="84">
        <v>0.0</v>
      </c>
      <c r="F10457" s="76" t="s">
        <v>996</v>
      </c>
      <c r="G10457" s="83">
        <v>46119.0</v>
      </c>
      <c r="H10457" s="76" t="s">
        <v>961</v>
      </c>
    </row>
    <row r="10458">
      <c r="A10458" s="76" t="s">
        <v>46</v>
      </c>
      <c r="B10458" s="76" t="s">
        <v>1041</v>
      </c>
      <c r="C10458" s="84">
        <v>3.88</v>
      </c>
      <c r="D10458" s="84">
        <v>2.0</v>
      </c>
      <c r="E10458" s="84">
        <v>1.94</v>
      </c>
      <c r="F10458" s="76" t="s">
        <v>996</v>
      </c>
      <c r="G10458" s="83">
        <v>46119.0</v>
      </c>
      <c r="H10458" s="76" t="s">
        <v>962</v>
      </c>
    </row>
    <row r="10459">
      <c r="A10459" s="76" t="s">
        <v>966</v>
      </c>
      <c r="B10459" s="76" t="s">
        <v>1041</v>
      </c>
      <c r="C10459" s="84">
        <v>3.76</v>
      </c>
      <c r="D10459" s="84">
        <v>0.0</v>
      </c>
      <c r="E10459" s="84">
        <v>0.0</v>
      </c>
      <c r="F10459" s="76" t="s">
        <v>996</v>
      </c>
      <c r="G10459" s="83">
        <v>46119.0</v>
      </c>
      <c r="H10459" s="76" t="s">
        <v>967</v>
      </c>
    </row>
    <row r="10460">
      <c r="A10460" s="76" t="s">
        <v>966</v>
      </c>
      <c r="B10460" s="76" t="s">
        <v>1041</v>
      </c>
      <c r="C10460" s="84">
        <v>2.89</v>
      </c>
      <c r="D10460" s="84">
        <v>0.0</v>
      </c>
      <c r="E10460" s="84">
        <v>0.0</v>
      </c>
      <c r="F10460" s="76" t="s">
        <v>996</v>
      </c>
      <c r="G10460" s="83">
        <v>46119.0</v>
      </c>
      <c r="H10460" s="76" t="s">
        <v>968</v>
      </c>
    </row>
    <row r="10461">
      <c r="A10461" s="76" t="s">
        <v>966</v>
      </c>
      <c r="B10461" s="76" t="s">
        <v>1041</v>
      </c>
      <c r="C10461" s="84">
        <v>4.94</v>
      </c>
      <c r="D10461" s="84">
        <v>1.0</v>
      </c>
      <c r="E10461" s="84">
        <v>4.94</v>
      </c>
      <c r="F10461" s="76" t="s">
        <v>996</v>
      </c>
      <c r="G10461" s="83">
        <v>46119.0</v>
      </c>
      <c r="H10461" s="76" t="s">
        <v>969</v>
      </c>
    </row>
    <row r="10462">
      <c r="A10462" s="76" t="s">
        <v>33</v>
      </c>
      <c r="B10462" s="76" t="s">
        <v>1041</v>
      </c>
      <c r="C10462" s="84">
        <v>57.21</v>
      </c>
      <c r="D10462" s="84">
        <v>14.0</v>
      </c>
      <c r="E10462" s="84">
        <v>4.09</v>
      </c>
      <c r="F10462" s="76" t="s">
        <v>996</v>
      </c>
      <c r="G10462" s="83">
        <v>46119.0</v>
      </c>
      <c r="H10462" s="76" t="s">
        <v>957</v>
      </c>
    </row>
    <row r="10463">
      <c r="A10463" s="76" t="s">
        <v>33</v>
      </c>
      <c r="B10463" s="76" t="s">
        <v>1041</v>
      </c>
      <c r="C10463" s="84">
        <v>13.93</v>
      </c>
      <c r="D10463" s="84">
        <v>3.0</v>
      </c>
      <c r="E10463" s="84">
        <v>4.64</v>
      </c>
      <c r="F10463" s="76" t="s">
        <v>996</v>
      </c>
      <c r="G10463" s="83">
        <v>46119.0</v>
      </c>
      <c r="H10463" s="76" t="s">
        <v>958</v>
      </c>
    </row>
    <row r="10464">
      <c r="A10464" s="76" t="s">
        <v>33</v>
      </c>
      <c r="B10464" s="76" t="s">
        <v>1041</v>
      </c>
      <c r="C10464" s="84">
        <v>36.39</v>
      </c>
      <c r="D10464" s="84">
        <v>9.0</v>
      </c>
      <c r="E10464" s="84">
        <v>4.04</v>
      </c>
      <c r="F10464" s="76" t="s">
        <v>996</v>
      </c>
      <c r="G10464" s="83">
        <v>46119.0</v>
      </c>
      <c r="H10464" s="76" t="s">
        <v>959</v>
      </c>
    </row>
    <row r="10465">
      <c r="A10465" s="76" t="s">
        <v>34</v>
      </c>
      <c r="B10465" s="76" t="s">
        <v>1041</v>
      </c>
      <c r="C10465" s="84">
        <v>1.99</v>
      </c>
      <c r="D10465" s="84">
        <v>0.0</v>
      </c>
      <c r="E10465" s="84">
        <v>0.0</v>
      </c>
      <c r="F10465" s="76" t="s">
        <v>996</v>
      </c>
      <c r="G10465" s="83">
        <v>46119.0</v>
      </c>
      <c r="H10465" s="76" t="s">
        <v>951</v>
      </c>
    </row>
    <row r="10466">
      <c r="A10466" s="76" t="s">
        <v>34</v>
      </c>
      <c r="B10466" s="76" t="s">
        <v>1041</v>
      </c>
      <c r="C10466" s="84">
        <v>9.48</v>
      </c>
      <c r="D10466" s="84">
        <v>0.0</v>
      </c>
      <c r="E10466" s="84">
        <v>0.0</v>
      </c>
      <c r="F10466" s="76" t="s">
        <v>996</v>
      </c>
      <c r="G10466" s="83">
        <v>46119.0</v>
      </c>
      <c r="H10466" s="76" t="s">
        <v>952</v>
      </c>
    </row>
    <row r="10467">
      <c r="A10467" s="76" t="s">
        <v>34</v>
      </c>
      <c r="B10467" s="76" t="s">
        <v>1041</v>
      </c>
      <c r="C10467" s="84">
        <v>3.04</v>
      </c>
      <c r="D10467" s="84">
        <v>0.0</v>
      </c>
      <c r="E10467" s="84">
        <v>0.0</v>
      </c>
      <c r="F10467" s="76" t="s">
        <v>996</v>
      </c>
      <c r="G10467" s="83">
        <v>46119.0</v>
      </c>
      <c r="H10467" s="76" t="s">
        <v>953</v>
      </c>
    </row>
    <row r="10468">
      <c r="A10468" s="76" t="s">
        <v>36</v>
      </c>
      <c r="B10468" s="76" t="s">
        <v>1041</v>
      </c>
      <c r="C10468" s="84">
        <v>6.5</v>
      </c>
      <c r="D10468" s="84">
        <v>1.0</v>
      </c>
      <c r="E10468" s="84">
        <v>6.5</v>
      </c>
      <c r="F10468" s="76" t="s">
        <v>996</v>
      </c>
      <c r="G10468" s="83">
        <v>46119.0</v>
      </c>
      <c r="H10468" s="76" t="s">
        <v>926</v>
      </c>
    </row>
    <row r="10469">
      <c r="A10469" s="76" t="s">
        <v>36</v>
      </c>
      <c r="B10469" s="76" t="s">
        <v>1041</v>
      </c>
      <c r="C10469" s="84">
        <v>1.07</v>
      </c>
      <c r="D10469" s="84">
        <v>1.0</v>
      </c>
      <c r="E10469" s="84">
        <v>1.07</v>
      </c>
      <c r="F10469" s="76" t="s">
        <v>996</v>
      </c>
      <c r="G10469" s="83">
        <v>46119.0</v>
      </c>
      <c r="H10469" s="76" t="s">
        <v>927</v>
      </c>
    </row>
    <row r="10470">
      <c r="A10470" s="76" t="s">
        <v>36</v>
      </c>
      <c r="B10470" s="76" t="s">
        <v>1041</v>
      </c>
      <c r="C10470" s="84">
        <v>9.89</v>
      </c>
      <c r="D10470" s="84">
        <v>0.0</v>
      </c>
      <c r="E10470" s="84">
        <v>0.0</v>
      </c>
      <c r="F10470" s="76" t="s">
        <v>996</v>
      </c>
      <c r="G10470" s="83">
        <v>46119.0</v>
      </c>
      <c r="H10470" s="76" t="s">
        <v>928</v>
      </c>
    </row>
    <row r="10471">
      <c r="A10471" s="76" t="s">
        <v>40</v>
      </c>
      <c r="B10471" s="76" t="s">
        <v>1041</v>
      </c>
      <c r="C10471" s="84">
        <v>3.69</v>
      </c>
      <c r="D10471" s="84">
        <v>0.0</v>
      </c>
      <c r="E10471" s="84">
        <v>0.0</v>
      </c>
      <c r="F10471" s="76" t="s">
        <v>996</v>
      </c>
      <c r="G10471" s="83">
        <v>46119.0</v>
      </c>
      <c r="H10471" s="76" t="s">
        <v>954</v>
      </c>
    </row>
    <row r="10472">
      <c r="A10472" s="76" t="s">
        <v>40</v>
      </c>
      <c r="B10472" s="76" t="s">
        <v>1041</v>
      </c>
      <c r="C10472" s="84">
        <v>3.41</v>
      </c>
      <c r="D10472" s="84">
        <v>0.0</v>
      </c>
      <c r="E10472" s="84">
        <v>0.0</v>
      </c>
      <c r="F10472" s="76" t="s">
        <v>996</v>
      </c>
      <c r="G10472" s="83">
        <v>46119.0</v>
      </c>
      <c r="H10472" s="76" t="s">
        <v>955</v>
      </c>
    </row>
    <row r="10473">
      <c r="A10473" s="76" t="s">
        <v>40</v>
      </c>
      <c r="B10473" s="76" t="s">
        <v>1041</v>
      </c>
      <c r="C10473" s="84">
        <v>17.82</v>
      </c>
      <c r="D10473" s="84">
        <v>3.0</v>
      </c>
      <c r="E10473" s="84">
        <v>5.94</v>
      </c>
      <c r="F10473" s="76" t="s">
        <v>996</v>
      </c>
      <c r="G10473" s="83">
        <v>46119.0</v>
      </c>
      <c r="H10473" s="76" t="s">
        <v>956</v>
      </c>
    </row>
    <row r="10474">
      <c r="A10474" s="76" t="s">
        <v>40</v>
      </c>
      <c r="B10474" s="76" t="s">
        <v>1041</v>
      </c>
      <c r="C10474" s="84">
        <v>2.47</v>
      </c>
      <c r="D10474" s="84">
        <v>0.0</v>
      </c>
      <c r="E10474" s="84">
        <v>0.0</v>
      </c>
      <c r="F10474" s="76" t="s">
        <v>993</v>
      </c>
      <c r="G10474" s="83">
        <v>46119.0</v>
      </c>
      <c r="H10474" s="76" t="s">
        <v>954</v>
      </c>
    </row>
    <row r="10475">
      <c r="A10475" s="76" t="s">
        <v>40</v>
      </c>
      <c r="B10475" s="76" t="s">
        <v>1041</v>
      </c>
      <c r="C10475" s="84">
        <v>1.52</v>
      </c>
      <c r="D10475" s="84">
        <v>0.0</v>
      </c>
      <c r="E10475" s="84">
        <v>0.0</v>
      </c>
      <c r="F10475" s="76" t="s">
        <v>993</v>
      </c>
      <c r="G10475" s="83">
        <v>46119.0</v>
      </c>
      <c r="H10475" s="76" t="s">
        <v>955</v>
      </c>
    </row>
    <row r="10476">
      <c r="A10476" s="76" t="s">
        <v>40</v>
      </c>
      <c r="B10476" s="76" t="s">
        <v>1041</v>
      </c>
      <c r="C10476" s="84">
        <v>81.37</v>
      </c>
      <c r="D10476" s="84">
        <v>11.0</v>
      </c>
      <c r="E10476" s="84">
        <v>7.4</v>
      </c>
      <c r="F10476" s="76" t="s">
        <v>993</v>
      </c>
      <c r="G10476" s="83">
        <v>46119.0</v>
      </c>
      <c r="H10476" s="76" t="s">
        <v>956</v>
      </c>
    </row>
    <row r="10477">
      <c r="A10477" s="76" t="s">
        <v>36</v>
      </c>
      <c r="B10477" s="76" t="s">
        <v>1041</v>
      </c>
      <c r="C10477" s="84">
        <v>14.59</v>
      </c>
      <c r="D10477" s="84">
        <v>4.0</v>
      </c>
      <c r="E10477" s="84">
        <v>3.65</v>
      </c>
      <c r="F10477" s="76" t="s">
        <v>993</v>
      </c>
      <c r="G10477" s="83">
        <v>46119.0</v>
      </c>
      <c r="H10477" s="76" t="s">
        <v>926</v>
      </c>
    </row>
    <row r="10478">
      <c r="A10478" s="76" t="s">
        <v>36</v>
      </c>
      <c r="B10478" s="76" t="s">
        <v>1041</v>
      </c>
      <c r="C10478" s="84">
        <v>3.2</v>
      </c>
      <c r="D10478" s="84">
        <v>0.0</v>
      </c>
      <c r="E10478" s="84">
        <v>0.0</v>
      </c>
      <c r="F10478" s="76" t="s">
        <v>993</v>
      </c>
      <c r="G10478" s="83">
        <v>46119.0</v>
      </c>
      <c r="H10478" s="76" t="s">
        <v>927</v>
      </c>
    </row>
    <row r="10479">
      <c r="A10479" s="76" t="s">
        <v>36</v>
      </c>
      <c r="B10479" s="76" t="s">
        <v>1041</v>
      </c>
      <c r="C10479" s="84">
        <v>10.23</v>
      </c>
      <c r="D10479" s="84">
        <v>1.0</v>
      </c>
      <c r="E10479" s="84">
        <v>10.23</v>
      </c>
      <c r="F10479" s="76" t="s">
        <v>993</v>
      </c>
      <c r="G10479" s="83">
        <v>46119.0</v>
      </c>
      <c r="H10479" s="76" t="s">
        <v>928</v>
      </c>
    </row>
    <row r="10480">
      <c r="A10480" s="76" t="s">
        <v>46</v>
      </c>
      <c r="B10480" s="76" t="s">
        <v>1041</v>
      </c>
      <c r="C10480" s="84">
        <v>1.97</v>
      </c>
      <c r="D10480" s="84">
        <v>0.0</v>
      </c>
      <c r="E10480" s="84">
        <v>0.0</v>
      </c>
      <c r="F10480" s="76" t="s">
        <v>993</v>
      </c>
      <c r="G10480" s="83">
        <v>46119.0</v>
      </c>
      <c r="H10480" s="76" t="s">
        <v>960</v>
      </c>
    </row>
    <row r="10481">
      <c r="A10481" s="76" t="s">
        <v>46</v>
      </c>
      <c r="B10481" s="76" t="s">
        <v>1041</v>
      </c>
      <c r="C10481" s="84">
        <v>3.34</v>
      </c>
      <c r="D10481" s="84">
        <v>0.0</v>
      </c>
      <c r="E10481" s="84">
        <v>0.0</v>
      </c>
      <c r="F10481" s="76" t="s">
        <v>993</v>
      </c>
      <c r="G10481" s="83">
        <v>46119.0</v>
      </c>
      <c r="H10481" s="76" t="s">
        <v>961</v>
      </c>
    </row>
    <row r="10482">
      <c r="A10482" s="76" t="s">
        <v>46</v>
      </c>
      <c r="B10482" s="76" t="s">
        <v>1041</v>
      </c>
      <c r="C10482" s="84">
        <v>1.35</v>
      </c>
      <c r="D10482" s="84">
        <v>0.0</v>
      </c>
      <c r="E10482" s="84">
        <v>0.0</v>
      </c>
      <c r="F10482" s="76" t="s">
        <v>993</v>
      </c>
      <c r="G10482" s="83">
        <v>46119.0</v>
      </c>
      <c r="H10482" s="76" t="s">
        <v>962</v>
      </c>
    </row>
    <row r="10483">
      <c r="A10483" s="76" t="s">
        <v>970</v>
      </c>
      <c r="B10483" s="76" t="s">
        <v>1041</v>
      </c>
      <c r="C10483" s="84">
        <v>10.21</v>
      </c>
      <c r="D10483" s="84">
        <v>1.0</v>
      </c>
      <c r="E10483" s="84">
        <v>10.21</v>
      </c>
      <c r="F10483" s="76" t="s">
        <v>993</v>
      </c>
      <c r="G10483" s="83">
        <v>46119.0</v>
      </c>
      <c r="H10483" s="76" t="s">
        <v>971</v>
      </c>
    </row>
    <row r="10484">
      <c r="A10484" s="76" t="s">
        <v>970</v>
      </c>
      <c r="B10484" s="76" t="s">
        <v>1041</v>
      </c>
      <c r="C10484" s="84">
        <v>3.16</v>
      </c>
      <c r="D10484" s="84">
        <v>1.0</v>
      </c>
      <c r="E10484" s="84">
        <v>3.16</v>
      </c>
      <c r="F10484" s="76" t="s">
        <v>993</v>
      </c>
      <c r="G10484" s="83">
        <v>46119.0</v>
      </c>
      <c r="H10484" s="76" t="s">
        <v>972</v>
      </c>
    </row>
    <row r="10485">
      <c r="A10485" s="76" t="s">
        <v>970</v>
      </c>
      <c r="B10485" s="76" t="s">
        <v>1041</v>
      </c>
      <c r="C10485" s="84">
        <v>10.87</v>
      </c>
      <c r="D10485" s="84">
        <v>1.0</v>
      </c>
      <c r="E10485" s="84">
        <v>10.87</v>
      </c>
      <c r="F10485" s="76" t="s">
        <v>993</v>
      </c>
      <c r="G10485" s="83">
        <v>46119.0</v>
      </c>
      <c r="H10485" s="76" t="s">
        <v>973</v>
      </c>
    </row>
    <row r="10486">
      <c r="A10486" s="76" t="s">
        <v>33</v>
      </c>
      <c r="B10486" s="76" t="s">
        <v>1041</v>
      </c>
      <c r="C10486" s="84">
        <v>63.85</v>
      </c>
      <c r="D10486" s="84">
        <v>14.0</v>
      </c>
      <c r="E10486" s="84">
        <v>4.56</v>
      </c>
      <c r="F10486" s="76" t="s">
        <v>993</v>
      </c>
      <c r="G10486" s="83">
        <v>46119.0</v>
      </c>
      <c r="H10486" s="76" t="s">
        <v>957</v>
      </c>
    </row>
    <row r="10487">
      <c r="A10487" s="76" t="s">
        <v>33</v>
      </c>
      <c r="B10487" s="76" t="s">
        <v>1041</v>
      </c>
      <c r="C10487" s="84">
        <v>11.43</v>
      </c>
      <c r="D10487" s="84">
        <v>2.0</v>
      </c>
      <c r="E10487" s="84">
        <v>5.71</v>
      </c>
      <c r="F10487" s="76" t="s">
        <v>993</v>
      </c>
      <c r="G10487" s="83">
        <v>46119.0</v>
      </c>
      <c r="H10487" s="76" t="s">
        <v>958</v>
      </c>
    </row>
    <row r="10488">
      <c r="A10488" s="76" t="s">
        <v>33</v>
      </c>
      <c r="B10488" s="76" t="s">
        <v>1041</v>
      </c>
      <c r="C10488" s="84">
        <v>43.73</v>
      </c>
      <c r="D10488" s="84">
        <v>6.0</v>
      </c>
      <c r="E10488" s="84">
        <v>7.29</v>
      </c>
      <c r="F10488" s="76" t="s">
        <v>993</v>
      </c>
      <c r="G10488" s="83">
        <v>46119.0</v>
      </c>
      <c r="H10488" s="76" t="s">
        <v>959</v>
      </c>
    </row>
    <row r="10489">
      <c r="A10489" s="76" t="s">
        <v>966</v>
      </c>
      <c r="B10489" s="76" t="s">
        <v>1041</v>
      </c>
      <c r="C10489" s="84">
        <v>7.42</v>
      </c>
      <c r="D10489" s="84">
        <v>0.0</v>
      </c>
      <c r="E10489" s="84">
        <v>0.0</v>
      </c>
      <c r="F10489" s="76" t="s">
        <v>993</v>
      </c>
      <c r="G10489" s="83">
        <v>46119.0</v>
      </c>
      <c r="H10489" s="76" t="s">
        <v>967</v>
      </c>
    </row>
    <row r="10490">
      <c r="A10490" s="76" t="s">
        <v>966</v>
      </c>
      <c r="B10490" s="76" t="s">
        <v>1041</v>
      </c>
      <c r="C10490" s="84">
        <v>3.17</v>
      </c>
      <c r="D10490" s="84">
        <v>1.0</v>
      </c>
      <c r="E10490" s="84">
        <v>3.17</v>
      </c>
      <c r="F10490" s="76" t="s">
        <v>993</v>
      </c>
      <c r="G10490" s="83">
        <v>46119.0</v>
      </c>
      <c r="H10490" s="76" t="s">
        <v>968</v>
      </c>
    </row>
    <row r="10491">
      <c r="A10491" s="76" t="s">
        <v>966</v>
      </c>
      <c r="B10491" s="76" t="s">
        <v>1041</v>
      </c>
      <c r="C10491" s="84">
        <v>11.1</v>
      </c>
      <c r="D10491" s="84">
        <v>4.0</v>
      </c>
      <c r="E10491" s="84">
        <v>2.77</v>
      </c>
      <c r="F10491" s="76" t="s">
        <v>993</v>
      </c>
      <c r="G10491" s="83">
        <v>46119.0</v>
      </c>
      <c r="H10491" s="76" t="s">
        <v>969</v>
      </c>
    </row>
    <row r="10492">
      <c r="A10492" s="76" t="s">
        <v>29</v>
      </c>
      <c r="B10492" s="76" t="s">
        <v>1041</v>
      </c>
      <c r="C10492" s="84">
        <v>12.33</v>
      </c>
      <c r="D10492" s="84">
        <v>1.0</v>
      </c>
      <c r="E10492" s="84">
        <v>12.33</v>
      </c>
      <c r="F10492" s="76" t="s">
        <v>993</v>
      </c>
      <c r="G10492" s="83">
        <v>46119.0</v>
      </c>
      <c r="H10492" s="76" t="s">
        <v>971</v>
      </c>
    </row>
    <row r="10493">
      <c r="A10493" s="76" t="s">
        <v>29</v>
      </c>
      <c r="B10493" s="76" t="s">
        <v>1041</v>
      </c>
      <c r="C10493" s="84">
        <v>4.9</v>
      </c>
      <c r="D10493" s="84">
        <v>0.0</v>
      </c>
      <c r="E10493" s="84">
        <v>0.0</v>
      </c>
      <c r="F10493" s="76" t="s">
        <v>993</v>
      </c>
      <c r="G10493" s="83">
        <v>46119.0</v>
      </c>
      <c r="H10493" s="76" t="s">
        <v>972</v>
      </c>
    </row>
    <row r="10494">
      <c r="A10494" s="76" t="s">
        <v>29</v>
      </c>
      <c r="B10494" s="76" t="s">
        <v>1041</v>
      </c>
      <c r="C10494" s="84">
        <v>9.78</v>
      </c>
      <c r="D10494" s="84">
        <v>5.0</v>
      </c>
      <c r="E10494" s="84">
        <v>1.96</v>
      </c>
      <c r="F10494" s="76" t="s">
        <v>993</v>
      </c>
      <c r="G10494" s="83">
        <v>46119.0</v>
      </c>
      <c r="H10494" s="76" t="s">
        <v>973</v>
      </c>
    </row>
    <row r="10495">
      <c r="A10495" s="76" t="s">
        <v>34</v>
      </c>
      <c r="B10495" s="76" t="s">
        <v>1041</v>
      </c>
      <c r="C10495" s="84">
        <v>3.37</v>
      </c>
      <c r="D10495" s="84">
        <v>0.0</v>
      </c>
      <c r="E10495" s="84">
        <v>0.0</v>
      </c>
      <c r="F10495" s="76" t="s">
        <v>993</v>
      </c>
      <c r="G10495" s="83">
        <v>46119.0</v>
      </c>
      <c r="H10495" s="76" t="s">
        <v>951</v>
      </c>
    </row>
    <row r="10496">
      <c r="A10496" s="76" t="s">
        <v>34</v>
      </c>
      <c r="B10496" s="76" t="s">
        <v>1041</v>
      </c>
      <c r="C10496" s="84">
        <v>12.61</v>
      </c>
      <c r="D10496" s="84">
        <v>1.0</v>
      </c>
      <c r="E10496" s="84">
        <v>12.61</v>
      </c>
      <c r="F10496" s="76" t="s">
        <v>993</v>
      </c>
      <c r="G10496" s="83">
        <v>46119.0</v>
      </c>
      <c r="H10496" s="76" t="s">
        <v>952</v>
      </c>
    </row>
    <row r="10497">
      <c r="A10497" s="76" t="s">
        <v>34</v>
      </c>
      <c r="B10497" s="76" t="s">
        <v>1041</v>
      </c>
      <c r="C10497" s="84">
        <v>4.91</v>
      </c>
      <c r="D10497" s="84">
        <v>0.0</v>
      </c>
      <c r="E10497" s="84">
        <v>0.0</v>
      </c>
      <c r="F10497" s="76" t="s">
        <v>993</v>
      </c>
      <c r="G10497" s="83">
        <v>46119.0</v>
      </c>
      <c r="H10497" s="76" t="s">
        <v>953</v>
      </c>
    </row>
    <row r="10498">
      <c r="A10498" s="76" t="s">
        <v>43</v>
      </c>
      <c r="B10498" s="76" t="s">
        <v>1041</v>
      </c>
      <c r="C10498" s="84">
        <v>7.26</v>
      </c>
      <c r="D10498" s="84">
        <v>0.0</v>
      </c>
      <c r="E10498" s="84">
        <v>0.0</v>
      </c>
      <c r="F10498" s="76" t="s">
        <v>993</v>
      </c>
      <c r="G10498" s="83">
        <v>46119.0</v>
      </c>
      <c r="H10498" s="76" t="s">
        <v>963</v>
      </c>
    </row>
    <row r="10499">
      <c r="A10499" s="76" t="s">
        <v>43</v>
      </c>
      <c r="B10499" s="76" t="s">
        <v>1041</v>
      </c>
      <c r="C10499" s="84">
        <v>5.71</v>
      </c>
      <c r="D10499" s="84">
        <v>1.0</v>
      </c>
      <c r="E10499" s="84">
        <v>5.71</v>
      </c>
      <c r="F10499" s="76" t="s">
        <v>993</v>
      </c>
      <c r="G10499" s="83">
        <v>46119.0</v>
      </c>
      <c r="H10499" s="76" t="s">
        <v>964</v>
      </c>
    </row>
    <row r="10500">
      <c r="A10500" s="76" t="s">
        <v>43</v>
      </c>
      <c r="B10500" s="76" t="s">
        <v>1041</v>
      </c>
      <c r="C10500" s="84">
        <v>17.02</v>
      </c>
      <c r="D10500" s="84">
        <v>5.0</v>
      </c>
      <c r="E10500" s="84">
        <v>3.4</v>
      </c>
      <c r="F10500" s="76" t="s">
        <v>993</v>
      </c>
      <c r="G10500" s="83">
        <v>46119.0</v>
      </c>
      <c r="H10500" s="76" t="s">
        <v>965</v>
      </c>
    </row>
    <row r="10501">
      <c r="A10501" s="76" t="s">
        <v>36</v>
      </c>
      <c r="B10501" s="76" t="s">
        <v>1041</v>
      </c>
      <c r="C10501" s="84">
        <v>2.26</v>
      </c>
      <c r="D10501" s="84">
        <v>0.0</v>
      </c>
      <c r="E10501" s="84">
        <v>0.0</v>
      </c>
      <c r="F10501" s="76" t="s">
        <v>998</v>
      </c>
      <c r="G10501" s="83">
        <v>46119.0</v>
      </c>
      <c r="H10501" s="76" t="s">
        <v>926</v>
      </c>
    </row>
    <row r="10502">
      <c r="A10502" s="76" t="s">
        <v>36</v>
      </c>
      <c r="B10502" s="76" t="s">
        <v>1041</v>
      </c>
      <c r="C10502" s="84">
        <v>0.27</v>
      </c>
      <c r="D10502" s="84">
        <v>0.0</v>
      </c>
      <c r="E10502" s="84">
        <v>0.0</v>
      </c>
      <c r="F10502" s="76" t="s">
        <v>998</v>
      </c>
      <c r="G10502" s="83">
        <v>46119.0</v>
      </c>
      <c r="H10502" s="76" t="s">
        <v>927</v>
      </c>
    </row>
    <row r="10503">
      <c r="A10503" s="76" t="s">
        <v>36</v>
      </c>
      <c r="B10503" s="76" t="s">
        <v>1041</v>
      </c>
      <c r="C10503" s="84">
        <v>1.66</v>
      </c>
      <c r="D10503" s="84">
        <v>0.0</v>
      </c>
      <c r="E10503" s="84">
        <v>0.0</v>
      </c>
      <c r="F10503" s="76" t="s">
        <v>998</v>
      </c>
      <c r="G10503" s="83">
        <v>46119.0</v>
      </c>
      <c r="H10503" s="76" t="s">
        <v>928</v>
      </c>
    </row>
    <row r="10504">
      <c r="A10504" s="76" t="s">
        <v>34</v>
      </c>
      <c r="B10504" s="76" t="s">
        <v>1041</v>
      </c>
      <c r="C10504" s="84">
        <v>0.47</v>
      </c>
      <c r="D10504" s="84">
        <v>0.0</v>
      </c>
      <c r="E10504" s="84">
        <v>0.0</v>
      </c>
      <c r="F10504" s="76" t="s">
        <v>998</v>
      </c>
      <c r="G10504" s="83">
        <v>46119.0</v>
      </c>
      <c r="H10504" s="76" t="s">
        <v>951</v>
      </c>
    </row>
    <row r="10505">
      <c r="A10505" s="76" t="s">
        <v>34</v>
      </c>
      <c r="B10505" s="76" t="s">
        <v>1041</v>
      </c>
      <c r="C10505" s="84">
        <v>1.3</v>
      </c>
      <c r="D10505" s="84">
        <v>0.0</v>
      </c>
      <c r="E10505" s="84">
        <v>0.0</v>
      </c>
      <c r="F10505" s="76" t="s">
        <v>998</v>
      </c>
      <c r="G10505" s="83">
        <v>46119.0</v>
      </c>
      <c r="H10505" s="76" t="s">
        <v>952</v>
      </c>
    </row>
    <row r="10506">
      <c r="A10506" s="76" t="s">
        <v>34</v>
      </c>
      <c r="B10506" s="76" t="s">
        <v>1041</v>
      </c>
      <c r="C10506" s="84">
        <v>1.0</v>
      </c>
      <c r="D10506" s="84">
        <v>0.0</v>
      </c>
      <c r="E10506" s="84">
        <v>0.0</v>
      </c>
      <c r="F10506" s="76" t="s">
        <v>998</v>
      </c>
      <c r="G10506" s="83">
        <v>46119.0</v>
      </c>
      <c r="H10506" s="76" t="s">
        <v>953</v>
      </c>
    </row>
    <row r="10507">
      <c r="A10507" s="76" t="s">
        <v>33</v>
      </c>
      <c r="B10507" s="76" t="s">
        <v>1041</v>
      </c>
      <c r="C10507" s="84">
        <v>5.79</v>
      </c>
      <c r="D10507" s="84">
        <v>1.0</v>
      </c>
      <c r="E10507" s="84">
        <v>5.79</v>
      </c>
      <c r="F10507" s="76" t="s">
        <v>998</v>
      </c>
      <c r="G10507" s="83">
        <v>46119.0</v>
      </c>
      <c r="H10507" s="76" t="s">
        <v>957</v>
      </c>
    </row>
    <row r="10508">
      <c r="A10508" s="76" t="s">
        <v>33</v>
      </c>
      <c r="B10508" s="76" t="s">
        <v>1041</v>
      </c>
      <c r="C10508" s="84">
        <v>1.12</v>
      </c>
      <c r="D10508" s="84">
        <v>0.0</v>
      </c>
      <c r="E10508" s="84">
        <v>0.0</v>
      </c>
      <c r="F10508" s="76" t="s">
        <v>998</v>
      </c>
      <c r="G10508" s="83">
        <v>46119.0</v>
      </c>
      <c r="H10508" s="76" t="s">
        <v>958</v>
      </c>
    </row>
    <row r="10509">
      <c r="A10509" s="76" t="s">
        <v>33</v>
      </c>
      <c r="B10509" s="76" t="s">
        <v>1041</v>
      </c>
      <c r="C10509" s="84">
        <v>3.22</v>
      </c>
      <c r="D10509" s="84">
        <v>2.0</v>
      </c>
      <c r="E10509" s="84">
        <v>1.61</v>
      </c>
      <c r="F10509" s="76" t="s">
        <v>998</v>
      </c>
      <c r="G10509" s="83">
        <v>46119.0</v>
      </c>
      <c r="H10509" s="76" t="s">
        <v>959</v>
      </c>
    </row>
    <row r="10510">
      <c r="A10510" s="76" t="s">
        <v>29</v>
      </c>
      <c r="B10510" s="76" t="s">
        <v>1041</v>
      </c>
      <c r="C10510" s="84">
        <v>2.25</v>
      </c>
      <c r="D10510" s="84">
        <v>1.0</v>
      </c>
      <c r="E10510" s="84">
        <v>2.25</v>
      </c>
      <c r="F10510" s="76" t="s">
        <v>998</v>
      </c>
      <c r="G10510" s="83">
        <v>46119.0</v>
      </c>
      <c r="H10510" s="76" t="s">
        <v>971</v>
      </c>
    </row>
    <row r="10511">
      <c r="A10511" s="76" t="s">
        <v>29</v>
      </c>
      <c r="B10511" s="76" t="s">
        <v>1041</v>
      </c>
      <c r="C10511" s="84">
        <v>0.65</v>
      </c>
      <c r="D10511" s="84">
        <v>0.0</v>
      </c>
      <c r="E10511" s="84">
        <v>0.0</v>
      </c>
      <c r="F10511" s="76" t="s">
        <v>998</v>
      </c>
      <c r="G10511" s="83">
        <v>46119.0</v>
      </c>
      <c r="H10511" s="76" t="s">
        <v>972</v>
      </c>
    </row>
    <row r="10512">
      <c r="A10512" s="76" t="s">
        <v>29</v>
      </c>
      <c r="B10512" s="76" t="s">
        <v>1041</v>
      </c>
      <c r="C10512" s="84">
        <v>1.47</v>
      </c>
      <c r="D10512" s="84">
        <v>1.0</v>
      </c>
      <c r="E10512" s="84">
        <v>1.47</v>
      </c>
      <c r="F10512" s="76" t="s">
        <v>998</v>
      </c>
      <c r="G10512" s="83">
        <v>46119.0</v>
      </c>
      <c r="H10512" s="76" t="s">
        <v>973</v>
      </c>
    </row>
    <row r="10513">
      <c r="A10513" s="76" t="s">
        <v>46</v>
      </c>
      <c r="B10513" s="76" t="s">
        <v>1041</v>
      </c>
      <c r="C10513" s="84">
        <v>0.69</v>
      </c>
      <c r="D10513" s="84">
        <v>1.0</v>
      </c>
      <c r="E10513" s="84">
        <v>0.69</v>
      </c>
      <c r="F10513" s="76" t="s">
        <v>998</v>
      </c>
      <c r="G10513" s="83">
        <v>46119.0</v>
      </c>
      <c r="H10513" s="76" t="s">
        <v>960</v>
      </c>
    </row>
    <row r="10514">
      <c r="A10514" s="76" t="s">
        <v>46</v>
      </c>
      <c r="B10514" s="76" t="s">
        <v>1041</v>
      </c>
      <c r="C10514" s="84">
        <v>0.58</v>
      </c>
      <c r="D10514" s="84">
        <v>0.0</v>
      </c>
      <c r="E10514" s="84">
        <v>0.0</v>
      </c>
      <c r="F10514" s="76" t="s">
        <v>998</v>
      </c>
      <c r="G10514" s="83">
        <v>46119.0</v>
      </c>
      <c r="H10514" s="76" t="s">
        <v>961</v>
      </c>
    </row>
    <row r="10515">
      <c r="A10515" s="76" t="s">
        <v>46</v>
      </c>
      <c r="B10515" s="76" t="s">
        <v>1041</v>
      </c>
      <c r="C10515" s="84">
        <v>0.9</v>
      </c>
      <c r="D10515" s="84">
        <v>0.0</v>
      </c>
      <c r="E10515" s="84">
        <v>0.0</v>
      </c>
      <c r="F10515" s="76" t="s">
        <v>998</v>
      </c>
      <c r="G10515" s="83">
        <v>46119.0</v>
      </c>
      <c r="H10515" s="76" t="s">
        <v>962</v>
      </c>
    </row>
    <row r="10516">
      <c r="A10516" s="76" t="s">
        <v>40</v>
      </c>
      <c r="B10516" s="76" t="s">
        <v>1041</v>
      </c>
      <c r="C10516" s="84">
        <v>0.47</v>
      </c>
      <c r="D10516" s="84">
        <v>0.0</v>
      </c>
      <c r="E10516" s="84">
        <v>0.0</v>
      </c>
      <c r="F10516" s="76" t="s">
        <v>998</v>
      </c>
      <c r="G10516" s="83">
        <v>46119.0</v>
      </c>
      <c r="H10516" s="76" t="s">
        <v>954</v>
      </c>
    </row>
    <row r="10517">
      <c r="A10517" s="76" t="s">
        <v>40</v>
      </c>
      <c r="B10517" s="76" t="s">
        <v>1041</v>
      </c>
      <c r="C10517" s="84">
        <v>1.14</v>
      </c>
      <c r="D10517" s="84">
        <v>0.0</v>
      </c>
      <c r="E10517" s="84">
        <v>0.0</v>
      </c>
      <c r="F10517" s="76" t="s">
        <v>998</v>
      </c>
      <c r="G10517" s="83">
        <v>46119.0</v>
      </c>
      <c r="H10517" s="76" t="s">
        <v>955</v>
      </c>
    </row>
    <row r="10518">
      <c r="A10518" s="76" t="s">
        <v>40</v>
      </c>
      <c r="B10518" s="76" t="s">
        <v>1041</v>
      </c>
      <c r="C10518" s="84">
        <v>5.06</v>
      </c>
      <c r="D10518" s="84">
        <v>2.0</v>
      </c>
      <c r="E10518" s="84">
        <v>2.53</v>
      </c>
      <c r="F10518" s="76" t="s">
        <v>998</v>
      </c>
      <c r="G10518" s="83">
        <v>46119.0</v>
      </c>
      <c r="H10518" s="76" t="s">
        <v>956</v>
      </c>
    </row>
    <row r="10519">
      <c r="A10519" s="76" t="s">
        <v>966</v>
      </c>
      <c r="B10519" s="76" t="s">
        <v>1041</v>
      </c>
      <c r="C10519" s="84">
        <v>1.28</v>
      </c>
      <c r="D10519" s="84">
        <v>0.0</v>
      </c>
      <c r="E10519" s="84">
        <v>0.0</v>
      </c>
      <c r="F10519" s="76" t="s">
        <v>998</v>
      </c>
      <c r="G10519" s="83">
        <v>46119.0</v>
      </c>
      <c r="H10519" s="76" t="s">
        <v>967</v>
      </c>
    </row>
    <row r="10520">
      <c r="A10520" s="76" t="s">
        <v>966</v>
      </c>
      <c r="B10520" s="76" t="s">
        <v>1041</v>
      </c>
      <c r="C10520" s="84">
        <v>0.42</v>
      </c>
      <c r="D10520" s="84">
        <v>0.0</v>
      </c>
      <c r="E10520" s="84">
        <v>0.0</v>
      </c>
      <c r="F10520" s="76" t="s">
        <v>998</v>
      </c>
      <c r="G10520" s="83">
        <v>46119.0</v>
      </c>
      <c r="H10520" s="76" t="s">
        <v>968</v>
      </c>
    </row>
    <row r="10521">
      <c r="A10521" s="76" t="s">
        <v>966</v>
      </c>
      <c r="B10521" s="76" t="s">
        <v>1041</v>
      </c>
      <c r="C10521" s="84">
        <v>2.08</v>
      </c>
      <c r="D10521" s="84">
        <v>0.0</v>
      </c>
      <c r="E10521" s="84">
        <v>0.0</v>
      </c>
      <c r="F10521" s="76" t="s">
        <v>998</v>
      </c>
      <c r="G10521" s="83">
        <v>46119.0</v>
      </c>
      <c r="H10521" s="76" t="s">
        <v>969</v>
      </c>
    </row>
    <row r="10522">
      <c r="A10522" s="76" t="s">
        <v>43</v>
      </c>
      <c r="B10522" s="76" t="s">
        <v>1041</v>
      </c>
      <c r="C10522" s="84">
        <v>1.06</v>
      </c>
      <c r="D10522" s="84">
        <v>0.0</v>
      </c>
      <c r="E10522" s="84">
        <v>0.0</v>
      </c>
      <c r="F10522" s="76" t="s">
        <v>998</v>
      </c>
      <c r="G10522" s="83">
        <v>46119.0</v>
      </c>
      <c r="H10522" s="76" t="s">
        <v>963</v>
      </c>
    </row>
    <row r="10523">
      <c r="A10523" s="76" t="s">
        <v>43</v>
      </c>
      <c r="B10523" s="76" t="s">
        <v>1041</v>
      </c>
      <c r="C10523" s="84">
        <v>0.99</v>
      </c>
      <c r="D10523" s="84">
        <v>0.0</v>
      </c>
      <c r="E10523" s="84">
        <v>0.0</v>
      </c>
      <c r="F10523" s="76" t="s">
        <v>998</v>
      </c>
      <c r="G10523" s="83">
        <v>46119.0</v>
      </c>
      <c r="H10523" s="76" t="s">
        <v>964</v>
      </c>
    </row>
    <row r="10524">
      <c r="A10524" s="76" t="s">
        <v>43</v>
      </c>
      <c r="B10524" s="76" t="s">
        <v>1041</v>
      </c>
      <c r="C10524" s="84">
        <v>3.06</v>
      </c>
      <c r="D10524" s="84">
        <v>0.0</v>
      </c>
      <c r="E10524" s="84">
        <v>0.0</v>
      </c>
      <c r="F10524" s="76" t="s">
        <v>998</v>
      </c>
      <c r="G10524" s="83">
        <v>46119.0</v>
      </c>
      <c r="H10524" s="76" t="s">
        <v>965</v>
      </c>
    </row>
    <row r="10525">
      <c r="A10525" s="76" t="s">
        <v>970</v>
      </c>
      <c r="B10525" s="76" t="s">
        <v>1041</v>
      </c>
      <c r="C10525" s="84">
        <v>1.57</v>
      </c>
      <c r="D10525" s="84">
        <v>0.0</v>
      </c>
      <c r="E10525" s="84">
        <v>0.0</v>
      </c>
      <c r="F10525" s="76" t="s">
        <v>998</v>
      </c>
      <c r="G10525" s="83">
        <v>46119.0</v>
      </c>
      <c r="H10525" s="76" t="s">
        <v>971</v>
      </c>
    </row>
    <row r="10526">
      <c r="A10526" s="76" t="s">
        <v>970</v>
      </c>
      <c r="B10526" s="76" t="s">
        <v>1041</v>
      </c>
      <c r="C10526" s="84">
        <v>1.33</v>
      </c>
      <c r="D10526" s="84">
        <v>0.0</v>
      </c>
      <c r="E10526" s="84">
        <v>0.0</v>
      </c>
      <c r="F10526" s="76" t="s">
        <v>998</v>
      </c>
      <c r="G10526" s="83">
        <v>46119.0</v>
      </c>
      <c r="H10526" s="76" t="s">
        <v>972</v>
      </c>
    </row>
    <row r="10527">
      <c r="A10527" s="76" t="s">
        <v>970</v>
      </c>
      <c r="B10527" s="76" t="s">
        <v>1041</v>
      </c>
      <c r="C10527" s="84">
        <v>3.68</v>
      </c>
      <c r="D10527" s="84">
        <v>1.0</v>
      </c>
      <c r="E10527" s="84">
        <v>3.68</v>
      </c>
      <c r="F10527" s="76" t="s">
        <v>998</v>
      </c>
      <c r="G10527" s="83">
        <v>46119.0</v>
      </c>
      <c r="H10527" s="76" t="s">
        <v>973</v>
      </c>
    </row>
    <row r="10528">
      <c r="A10528" s="76" t="s">
        <v>46</v>
      </c>
      <c r="B10528" s="76" t="s">
        <v>1041</v>
      </c>
      <c r="C10528" s="84">
        <v>0.26</v>
      </c>
      <c r="D10528" s="84">
        <v>0.0</v>
      </c>
      <c r="E10528" s="84">
        <v>0.0</v>
      </c>
      <c r="F10528" s="76" t="s">
        <v>997</v>
      </c>
      <c r="G10528" s="83">
        <v>46119.0</v>
      </c>
      <c r="H10528" s="76" t="s">
        <v>960</v>
      </c>
    </row>
    <row r="10529">
      <c r="A10529" s="76" t="s">
        <v>46</v>
      </c>
      <c r="B10529" s="76" t="s">
        <v>1041</v>
      </c>
      <c r="C10529" s="84">
        <v>0.14</v>
      </c>
      <c r="D10529" s="84">
        <v>0.0</v>
      </c>
      <c r="E10529" s="84">
        <v>0.0</v>
      </c>
      <c r="F10529" s="76" t="s">
        <v>997</v>
      </c>
      <c r="G10529" s="83">
        <v>46119.0</v>
      </c>
      <c r="H10529" s="76" t="s">
        <v>961</v>
      </c>
    </row>
    <row r="10530">
      <c r="A10530" s="76" t="s">
        <v>46</v>
      </c>
      <c r="B10530" s="76" t="s">
        <v>1041</v>
      </c>
      <c r="C10530" s="84">
        <v>0.32</v>
      </c>
      <c r="D10530" s="84">
        <v>0.0</v>
      </c>
      <c r="E10530" s="84">
        <v>0.0</v>
      </c>
      <c r="F10530" s="76" t="s">
        <v>997</v>
      </c>
      <c r="G10530" s="83">
        <v>46119.0</v>
      </c>
      <c r="H10530" s="76" t="s">
        <v>962</v>
      </c>
    </row>
    <row r="10531">
      <c r="A10531" s="76" t="s">
        <v>34</v>
      </c>
      <c r="B10531" s="76" t="s">
        <v>1041</v>
      </c>
      <c r="C10531" s="84">
        <v>0.52</v>
      </c>
      <c r="D10531" s="84">
        <v>0.0</v>
      </c>
      <c r="E10531" s="84">
        <v>0.0</v>
      </c>
      <c r="F10531" s="76" t="s">
        <v>997</v>
      </c>
      <c r="G10531" s="83">
        <v>46119.0</v>
      </c>
      <c r="H10531" s="76" t="s">
        <v>951</v>
      </c>
    </row>
    <row r="10532">
      <c r="A10532" s="76" t="s">
        <v>34</v>
      </c>
      <c r="B10532" s="76" t="s">
        <v>1041</v>
      </c>
      <c r="C10532" s="84">
        <v>2.73</v>
      </c>
      <c r="D10532" s="84">
        <v>0.0</v>
      </c>
      <c r="E10532" s="84">
        <v>0.0</v>
      </c>
      <c r="F10532" s="76" t="s">
        <v>997</v>
      </c>
      <c r="G10532" s="83">
        <v>46119.0</v>
      </c>
      <c r="H10532" s="76" t="s">
        <v>952</v>
      </c>
    </row>
    <row r="10533">
      <c r="A10533" s="76" t="s">
        <v>34</v>
      </c>
      <c r="B10533" s="76" t="s">
        <v>1041</v>
      </c>
      <c r="C10533" s="84">
        <v>0.28</v>
      </c>
      <c r="D10533" s="84">
        <v>0.0</v>
      </c>
      <c r="E10533" s="84">
        <v>0.0</v>
      </c>
      <c r="F10533" s="76" t="s">
        <v>997</v>
      </c>
      <c r="G10533" s="83">
        <v>46119.0</v>
      </c>
      <c r="H10533" s="76" t="s">
        <v>953</v>
      </c>
    </row>
    <row r="10534">
      <c r="A10534" s="76" t="s">
        <v>40</v>
      </c>
      <c r="B10534" s="76" t="s">
        <v>1041</v>
      </c>
      <c r="C10534" s="84">
        <v>0.27</v>
      </c>
      <c r="D10534" s="84">
        <v>0.0</v>
      </c>
      <c r="E10534" s="84">
        <v>0.0</v>
      </c>
      <c r="F10534" s="76" t="s">
        <v>997</v>
      </c>
      <c r="G10534" s="83">
        <v>46119.0</v>
      </c>
      <c r="H10534" s="76" t="s">
        <v>954</v>
      </c>
    </row>
    <row r="10535">
      <c r="A10535" s="76" t="s">
        <v>40</v>
      </c>
      <c r="B10535" s="76" t="s">
        <v>1041</v>
      </c>
      <c r="C10535" s="84">
        <v>0.21</v>
      </c>
      <c r="D10535" s="84">
        <v>0.0</v>
      </c>
      <c r="E10535" s="84">
        <v>0.0</v>
      </c>
      <c r="F10535" s="76" t="s">
        <v>997</v>
      </c>
      <c r="G10535" s="83">
        <v>46119.0</v>
      </c>
      <c r="H10535" s="76" t="s">
        <v>955</v>
      </c>
    </row>
    <row r="10536">
      <c r="A10536" s="76" t="s">
        <v>40</v>
      </c>
      <c r="B10536" s="76" t="s">
        <v>1041</v>
      </c>
      <c r="C10536" s="84">
        <v>3.85</v>
      </c>
      <c r="D10536" s="84">
        <v>0.0</v>
      </c>
      <c r="E10536" s="84">
        <v>0.0</v>
      </c>
      <c r="F10536" s="76" t="s">
        <v>997</v>
      </c>
      <c r="G10536" s="83">
        <v>46119.0</v>
      </c>
      <c r="H10536" s="76" t="s">
        <v>956</v>
      </c>
    </row>
    <row r="10537">
      <c r="A10537" s="76" t="s">
        <v>36</v>
      </c>
      <c r="B10537" s="76" t="s">
        <v>1041</v>
      </c>
      <c r="C10537" s="84">
        <v>1.69</v>
      </c>
      <c r="D10537" s="84">
        <v>0.0</v>
      </c>
      <c r="E10537" s="84">
        <v>0.0</v>
      </c>
      <c r="F10537" s="76" t="s">
        <v>997</v>
      </c>
      <c r="G10537" s="83">
        <v>46119.0</v>
      </c>
      <c r="H10537" s="76" t="s">
        <v>926</v>
      </c>
    </row>
    <row r="10538">
      <c r="A10538" s="76" t="s">
        <v>36</v>
      </c>
      <c r="B10538" s="76" t="s">
        <v>1041</v>
      </c>
      <c r="C10538" s="84">
        <v>0.23</v>
      </c>
      <c r="D10538" s="84">
        <v>0.0</v>
      </c>
      <c r="E10538" s="84">
        <v>0.0</v>
      </c>
      <c r="F10538" s="76" t="s">
        <v>997</v>
      </c>
      <c r="G10538" s="83">
        <v>46119.0</v>
      </c>
      <c r="H10538" s="76" t="s">
        <v>927</v>
      </c>
    </row>
    <row r="10539">
      <c r="A10539" s="76" t="s">
        <v>36</v>
      </c>
      <c r="B10539" s="76" t="s">
        <v>1041</v>
      </c>
      <c r="C10539" s="84">
        <v>0.6</v>
      </c>
      <c r="D10539" s="84">
        <v>0.0</v>
      </c>
      <c r="E10539" s="84">
        <v>0.0</v>
      </c>
      <c r="F10539" s="76" t="s">
        <v>997</v>
      </c>
      <c r="G10539" s="83">
        <v>46119.0</v>
      </c>
      <c r="H10539" s="76" t="s">
        <v>928</v>
      </c>
    </row>
    <row r="10540">
      <c r="A10540" s="76" t="s">
        <v>970</v>
      </c>
      <c r="B10540" s="76" t="s">
        <v>1041</v>
      </c>
      <c r="C10540" s="84">
        <v>1.96</v>
      </c>
      <c r="D10540" s="84">
        <v>0.0</v>
      </c>
      <c r="E10540" s="84">
        <v>0.0</v>
      </c>
      <c r="F10540" s="76" t="s">
        <v>997</v>
      </c>
      <c r="G10540" s="83">
        <v>46119.0</v>
      </c>
      <c r="H10540" s="76" t="s">
        <v>971</v>
      </c>
    </row>
    <row r="10541">
      <c r="A10541" s="76" t="s">
        <v>970</v>
      </c>
      <c r="B10541" s="76" t="s">
        <v>1041</v>
      </c>
      <c r="C10541" s="84">
        <v>0.25</v>
      </c>
      <c r="D10541" s="84">
        <v>0.0</v>
      </c>
      <c r="E10541" s="84">
        <v>0.0</v>
      </c>
      <c r="F10541" s="76" t="s">
        <v>997</v>
      </c>
      <c r="G10541" s="83">
        <v>46119.0</v>
      </c>
      <c r="H10541" s="76" t="s">
        <v>972</v>
      </c>
    </row>
    <row r="10542">
      <c r="A10542" s="76" t="s">
        <v>970</v>
      </c>
      <c r="B10542" s="76" t="s">
        <v>1041</v>
      </c>
      <c r="C10542" s="84">
        <v>2.49</v>
      </c>
      <c r="D10542" s="84">
        <v>0.0</v>
      </c>
      <c r="E10542" s="84">
        <v>0.0</v>
      </c>
      <c r="F10542" s="76" t="s">
        <v>997</v>
      </c>
      <c r="G10542" s="83">
        <v>46119.0</v>
      </c>
      <c r="H10542" s="76" t="s">
        <v>973</v>
      </c>
    </row>
    <row r="10543">
      <c r="A10543" s="76" t="s">
        <v>33</v>
      </c>
      <c r="B10543" s="76" t="s">
        <v>1041</v>
      </c>
      <c r="C10543" s="84">
        <v>3.42</v>
      </c>
      <c r="D10543" s="84">
        <v>0.0</v>
      </c>
      <c r="E10543" s="84">
        <v>0.0</v>
      </c>
      <c r="F10543" s="76" t="s">
        <v>997</v>
      </c>
      <c r="G10543" s="83">
        <v>46119.0</v>
      </c>
      <c r="H10543" s="76" t="s">
        <v>957</v>
      </c>
    </row>
    <row r="10544">
      <c r="A10544" s="76" t="s">
        <v>33</v>
      </c>
      <c r="B10544" s="76" t="s">
        <v>1041</v>
      </c>
      <c r="C10544" s="84">
        <v>0.32</v>
      </c>
      <c r="D10544" s="84">
        <v>0.0</v>
      </c>
      <c r="E10544" s="84">
        <v>0.0</v>
      </c>
      <c r="F10544" s="76" t="s">
        <v>997</v>
      </c>
      <c r="G10544" s="83">
        <v>46119.0</v>
      </c>
      <c r="H10544" s="76" t="s">
        <v>958</v>
      </c>
    </row>
    <row r="10545">
      <c r="A10545" s="76" t="s">
        <v>33</v>
      </c>
      <c r="B10545" s="76" t="s">
        <v>1041</v>
      </c>
      <c r="C10545" s="84">
        <v>2.78</v>
      </c>
      <c r="D10545" s="84">
        <v>1.0</v>
      </c>
      <c r="E10545" s="84">
        <v>2.78</v>
      </c>
      <c r="F10545" s="76" t="s">
        <v>997</v>
      </c>
      <c r="G10545" s="83">
        <v>46119.0</v>
      </c>
      <c r="H10545" s="76" t="s">
        <v>959</v>
      </c>
    </row>
    <row r="10546">
      <c r="A10546" s="76" t="s">
        <v>29</v>
      </c>
      <c r="B10546" s="76" t="s">
        <v>1041</v>
      </c>
      <c r="C10546" s="84">
        <v>0.98</v>
      </c>
      <c r="D10546" s="84">
        <v>0.0</v>
      </c>
      <c r="E10546" s="84">
        <v>0.0</v>
      </c>
      <c r="F10546" s="76" t="s">
        <v>997</v>
      </c>
      <c r="G10546" s="83">
        <v>46119.0</v>
      </c>
      <c r="H10546" s="76" t="s">
        <v>971</v>
      </c>
    </row>
    <row r="10547">
      <c r="A10547" s="76" t="s">
        <v>29</v>
      </c>
      <c r="B10547" s="76" t="s">
        <v>1041</v>
      </c>
      <c r="C10547" s="84">
        <v>0.4</v>
      </c>
      <c r="D10547" s="84">
        <v>0.0</v>
      </c>
      <c r="E10547" s="84">
        <v>0.0</v>
      </c>
      <c r="F10547" s="76" t="s">
        <v>997</v>
      </c>
      <c r="G10547" s="83">
        <v>46119.0</v>
      </c>
      <c r="H10547" s="76" t="s">
        <v>972</v>
      </c>
    </row>
    <row r="10548">
      <c r="A10548" s="76" t="s">
        <v>29</v>
      </c>
      <c r="B10548" s="76" t="s">
        <v>1041</v>
      </c>
      <c r="C10548" s="84">
        <v>2.24</v>
      </c>
      <c r="D10548" s="84">
        <v>0.0</v>
      </c>
      <c r="E10548" s="84">
        <v>0.0</v>
      </c>
      <c r="F10548" s="76" t="s">
        <v>997</v>
      </c>
      <c r="G10548" s="83">
        <v>46119.0</v>
      </c>
      <c r="H10548" s="76" t="s">
        <v>973</v>
      </c>
    </row>
    <row r="10549">
      <c r="A10549" s="76" t="s">
        <v>43</v>
      </c>
      <c r="B10549" s="76" t="s">
        <v>1041</v>
      </c>
      <c r="C10549" s="84">
        <v>0.98</v>
      </c>
      <c r="D10549" s="84">
        <v>0.0</v>
      </c>
      <c r="E10549" s="84">
        <v>0.0</v>
      </c>
      <c r="F10549" s="76" t="s">
        <v>997</v>
      </c>
      <c r="G10549" s="83">
        <v>46119.0</v>
      </c>
      <c r="H10549" s="76" t="s">
        <v>963</v>
      </c>
    </row>
    <row r="10550">
      <c r="A10550" s="76" t="s">
        <v>43</v>
      </c>
      <c r="B10550" s="76" t="s">
        <v>1041</v>
      </c>
      <c r="C10550" s="84">
        <v>0.7</v>
      </c>
      <c r="D10550" s="84">
        <v>0.0</v>
      </c>
      <c r="E10550" s="84">
        <v>0.0</v>
      </c>
      <c r="F10550" s="76" t="s">
        <v>997</v>
      </c>
      <c r="G10550" s="83">
        <v>46119.0</v>
      </c>
      <c r="H10550" s="76" t="s">
        <v>964</v>
      </c>
    </row>
    <row r="10551">
      <c r="A10551" s="76" t="s">
        <v>43</v>
      </c>
      <c r="B10551" s="76" t="s">
        <v>1041</v>
      </c>
      <c r="C10551" s="84">
        <v>1.3</v>
      </c>
      <c r="D10551" s="84">
        <v>0.0</v>
      </c>
      <c r="E10551" s="84">
        <v>0.0</v>
      </c>
      <c r="F10551" s="76" t="s">
        <v>997</v>
      </c>
      <c r="G10551" s="83">
        <v>46119.0</v>
      </c>
      <c r="H10551" s="76" t="s">
        <v>965</v>
      </c>
    </row>
    <row r="10552">
      <c r="A10552" s="76" t="s">
        <v>966</v>
      </c>
      <c r="B10552" s="76" t="s">
        <v>1041</v>
      </c>
      <c r="C10552" s="84">
        <v>0.87</v>
      </c>
      <c r="D10552" s="84">
        <v>0.0</v>
      </c>
      <c r="E10552" s="84">
        <v>0.0</v>
      </c>
      <c r="F10552" s="76" t="s">
        <v>997</v>
      </c>
      <c r="G10552" s="83">
        <v>46119.0</v>
      </c>
      <c r="H10552" s="76" t="s">
        <v>967</v>
      </c>
    </row>
    <row r="10553">
      <c r="A10553" s="76" t="s">
        <v>966</v>
      </c>
      <c r="B10553" s="76" t="s">
        <v>1041</v>
      </c>
      <c r="C10553" s="84">
        <v>0.34</v>
      </c>
      <c r="D10553" s="84">
        <v>0.0</v>
      </c>
      <c r="E10553" s="84">
        <v>0.0</v>
      </c>
      <c r="F10553" s="76" t="s">
        <v>997</v>
      </c>
      <c r="G10553" s="83">
        <v>46119.0</v>
      </c>
      <c r="H10553" s="76" t="s">
        <v>968</v>
      </c>
    </row>
    <row r="10554">
      <c r="A10554" s="76" t="s">
        <v>966</v>
      </c>
      <c r="B10554" s="76" t="s">
        <v>1041</v>
      </c>
      <c r="C10554" s="84">
        <v>0.93</v>
      </c>
      <c r="D10554" s="84">
        <v>0.0</v>
      </c>
      <c r="E10554" s="84">
        <v>0.0</v>
      </c>
      <c r="F10554" s="76" t="s">
        <v>997</v>
      </c>
      <c r="G10554" s="83">
        <v>46119.0</v>
      </c>
      <c r="H10554" s="76" t="s">
        <v>969</v>
      </c>
    </row>
    <row r="10555">
      <c r="A10555" s="76" t="s">
        <v>32</v>
      </c>
      <c r="B10555" s="76" t="s">
        <v>1032</v>
      </c>
      <c r="C10555" s="84">
        <v>42.44</v>
      </c>
      <c r="D10555" s="84">
        <v>13.0</v>
      </c>
      <c r="E10555" s="84">
        <v>3.26</v>
      </c>
      <c r="F10555" s="76" t="s">
        <v>996</v>
      </c>
      <c r="G10555" s="83">
        <v>46119.0</v>
      </c>
      <c r="H10555" s="76" t="s">
        <v>941</v>
      </c>
    </row>
    <row r="10556">
      <c r="A10556" s="76" t="s">
        <v>32</v>
      </c>
      <c r="B10556" s="76" t="s">
        <v>1032</v>
      </c>
      <c r="C10556" s="84">
        <v>10.84</v>
      </c>
      <c r="D10556" s="84">
        <v>1.0</v>
      </c>
      <c r="E10556" s="84">
        <v>10.84</v>
      </c>
      <c r="F10556" s="76" t="s">
        <v>996</v>
      </c>
      <c r="G10556" s="83">
        <v>46119.0</v>
      </c>
      <c r="H10556" s="76" t="s">
        <v>942</v>
      </c>
    </row>
    <row r="10557">
      <c r="A10557" s="76" t="s">
        <v>32</v>
      </c>
      <c r="B10557" s="76" t="s">
        <v>1032</v>
      </c>
      <c r="C10557" s="84">
        <v>14.72</v>
      </c>
      <c r="D10557" s="84">
        <v>2.0</v>
      </c>
      <c r="E10557" s="84">
        <v>7.36</v>
      </c>
      <c r="F10557" s="76" t="s">
        <v>996</v>
      </c>
      <c r="G10557" s="83">
        <v>46119.0</v>
      </c>
      <c r="H10557" s="76" t="s">
        <v>943</v>
      </c>
    </row>
    <row r="10558">
      <c r="A10558" s="76" t="s">
        <v>28</v>
      </c>
      <c r="B10558" s="76" t="s">
        <v>1032</v>
      </c>
      <c r="C10558" s="84">
        <v>4.03</v>
      </c>
      <c r="D10558" s="84">
        <v>1.0</v>
      </c>
      <c r="E10558" s="84">
        <v>4.03</v>
      </c>
      <c r="F10558" s="76" t="s">
        <v>996</v>
      </c>
      <c r="G10558" s="83">
        <v>46119.0</v>
      </c>
      <c r="H10558" s="76" t="s">
        <v>931</v>
      </c>
    </row>
    <row r="10559">
      <c r="A10559" s="76" t="s">
        <v>28</v>
      </c>
      <c r="B10559" s="76" t="s">
        <v>1032</v>
      </c>
      <c r="C10559" s="84">
        <v>2.91</v>
      </c>
      <c r="D10559" s="84">
        <v>1.0</v>
      </c>
      <c r="E10559" s="84">
        <v>2.91</v>
      </c>
      <c r="F10559" s="76" t="s">
        <v>996</v>
      </c>
      <c r="G10559" s="83">
        <v>46119.0</v>
      </c>
      <c r="H10559" s="76" t="s">
        <v>932</v>
      </c>
    </row>
    <row r="10560">
      <c r="A10560" s="76" t="s">
        <v>28</v>
      </c>
      <c r="B10560" s="76" t="s">
        <v>1032</v>
      </c>
      <c r="C10560" s="84">
        <v>92.66</v>
      </c>
      <c r="D10560" s="84">
        <v>14.0</v>
      </c>
      <c r="E10560" s="84">
        <v>6.62</v>
      </c>
      <c r="F10560" s="76" t="s">
        <v>996</v>
      </c>
      <c r="G10560" s="83">
        <v>46119.0</v>
      </c>
      <c r="H10560" s="76" t="s">
        <v>933</v>
      </c>
    </row>
    <row r="10561">
      <c r="A10561" s="76" t="s">
        <v>36</v>
      </c>
      <c r="B10561" s="76" t="s">
        <v>1032</v>
      </c>
      <c r="C10561" s="84">
        <v>9.9</v>
      </c>
      <c r="D10561" s="84">
        <v>2.0</v>
      </c>
      <c r="E10561" s="84">
        <v>4.95</v>
      </c>
      <c r="F10561" s="76" t="s">
        <v>996</v>
      </c>
      <c r="G10561" s="83">
        <v>46119.0</v>
      </c>
      <c r="H10561" s="76" t="s">
        <v>926</v>
      </c>
    </row>
    <row r="10562">
      <c r="A10562" s="76" t="s">
        <v>36</v>
      </c>
      <c r="B10562" s="76" t="s">
        <v>1032</v>
      </c>
      <c r="C10562" s="84">
        <v>2.01</v>
      </c>
      <c r="D10562" s="84">
        <v>0.0</v>
      </c>
      <c r="E10562" s="84">
        <v>0.0</v>
      </c>
      <c r="F10562" s="76" t="s">
        <v>996</v>
      </c>
      <c r="G10562" s="83">
        <v>46119.0</v>
      </c>
      <c r="H10562" s="76" t="s">
        <v>927</v>
      </c>
    </row>
    <row r="10563">
      <c r="A10563" s="76" t="s">
        <v>36</v>
      </c>
      <c r="B10563" s="76" t="s">
        <v>1032</v>
      </c>
      <c r="C10563" s="84">
        <v>3.96</v>
      </c>
      <c r="D10563" s="84">
        <v>0.0</v>
      </c>
      <c r="E10563" s="84">
        <v>0.0</v>
      </c>
      <c r="F10563" s="76" t="s">
        <v>996</v>
      </c>
      <c r="G10563" s="83">
        <v>46119.0</v>
      </c>
      <c r="H10563" s="76" t="s">
        <v>928</v>
      </c>
    </row>
    <row r="10564">
      <c r="A10564" s="76" t="s">
        <v>26</v>
      </c>
      <c r="B10564" s="76" t="s">
        <v>1032</v>
      </c>
      <c r="C10564" s="84">
        <v>2.32</v>
      </c>
      <c r="D10564" s="84">
        <v>0.0</v>
      </c>
      <c r="E10564" s="84">
        <v>0.0</v>
      </c>
      <c r="F10564" s="76" t="s">
        <v>996</v>
      </c>
      <c r="G10564" s="83">
        <v>46119.0</v>
      </c>
      <c r="H10564" s="76" t="s">
        <v>1012</v>
      </c>
    </row>
    <row r="10565">
      <c r="A10565" s="76" t="s">
        <v>26</v>
      </c>
      <c r="B10565" s="76" t="s">
        <v>1032</v>
      </c>
      <c r="C10565" s="84">
        <v>4.06</v>
      </c>
      <c r="D10565" s="84">
        <v>1.0</v>
      </c>
      <c r="E10565" s="84">
        <v>4.06</v>
      </c>
      <c r="F10565" s="76" t="s">
        <v>996</v>
      </c>
      <c r="G10565" s="83">
        <v>46119.0</v>
      </c>
      <c r="H10565" s="76" t="s">
        <v>1013</v>
      </c>
    </row>
    <row r="10566">
      <c r="A10566" s="76" t="s">
        <v>26</v>
      </c>
      <c r="B10566" s="76" t="s">
        <v>1032</v>
      </c>
      <c r="C10566" s="84">
        <v>74.09</v>
      </c>
      <c r="D10566" s="84">
        <v>13.0</v>
      </c>
      <c r="E10566" s="84">
        <v>5.7</v>
      </c>
      <c r="F10566" s="76" t="s">
        <v>996</v>
      </c>
      <c r="G10566" s="83">
        <v>46119.0</v>
      </c>
      <c r="H10566" s="76" t="s">
        <v>1014</v>
      </c>
    </row>
    <row r="10567">
      <c r="A10567" s="76" t="s">
        <v>45</v>
      </c>
      <c r="B10567" s="76" t="s">
        <v>1032</v>
      </c>
      <c r="C10567" s="84">
        <v>1.57</v>
      </c>
      <c r="D10567" s="84">
        <v>0.0</v>
      </c>
      <c r="E10567" s="84">
        <v>0.0</v>
      </c>
      <c r="F10567" s="76" t="s">
        <v>996</v>
      </c>
      <c r="G10567" s="83">
        <v>46119.0</v>
      </c>
      <c r="H10567" s="76" t="s">
        <v>936</v>
      </c>
    </row>
    <row r="10568">
      <c r="A10568" s="76" t="s">
        <v>45</v>
      </c>
      <c r="B10568" s="76" t="s">
        <v>1032</v>
      </c>
      <c r="C10568" s="84">
        <v>3.06</v>
      </c>
      <c r="D10568" s="84">
        <v>1.0</v>
      </c>
      <c r="E10568" s="84">
        <v>3.06</v>
      </c>
      <c r="F10568" s="76" t="s">
        <v>996</v>
      </c>
      <c r="G10568" s="83">
        <v>46119.0</v>
      </c>
      <c r="H10568" s="76" t="s">
        <v>937</v>
      </c>
    </row>
    <row r="10569">
      <c r="A10569" s="76" t="s">
        <v>45</v>
      </c>
      <c r="B10569" s="76" t="s">
        <v>1032</v>
      </c>
      <c r="C10569" s="84">
        <v>0.81</v>
      </c>
      <c r="D10569" s="84">
        <v>0.0</v>
      </c>
      <c r="E10569" s="84">
        <v>0.0</v>
      </c>
      <c r="F10569" s="76" t="s">
        <v>996</v>
      </c>
      <c r="G10569" s="83">
        <v>46119.0</v>
      </c>
      <c r="H10569" s="76" t="s">
        <v>938</v>
      </c>
    </row>
    <row r="10570">
      <c r="A10570" s="76" t="s">
        <v>31</v>
      </c>
      <c r="B10570" s="76" t="s">
        <v>1032</v>
      </c>
      <c r="C10570" s="84">
        <v>3.78</v>
      </c>
      <c r="D10570" s="84">
        <v>1.0</v>
      </c>
      <c r="E10570" s="84">
        <v>3.78</v>
      </c>
      <c r="F10570" s="76" t="s">
        <v>996</v>
      </c>
      <c r="G10570" s="83">
        <v>46119.0</v>
      </c>
      <c r="H10570" s="76" t="s">
        <v>929</v>
      </c>
    </row>
    <row r="10571">
      <c r="A10571" s="76" t="s">
        <v>31</v>
      </c>
      <c r="B10571" s="76" t="s">
        <v>1032</v>
      </c>
      <c r="C10571" s="84">
        <v>135.18</v>
      </c>
      <c r="D10571" s="84">
        <v>40.0</v>
      </c>
      <c r="E10571" s="84">
        <v>3.38</v>
      </c>
      <c r="F10571" s="76" t="s">
        <v>996</v>
      </c>
      <c r="G10571" s="83">
        <v>46119.0</v>
      </c>
      <c r="H10571" s="76" t="s">
        <v>930</v>
      </c>
    </row>
    <row r="10572">
      <c r="A10572" s="76" t="s">
        <v>944</v>
      </c>
      <c r="B10572" s="76" t="s">
        <v>1032</v>
      </c>
      <c r="C10572" s="84">
        <v>5.61</v>
      </c>
      <c r="D10572" s="84">
        <v>2.0</v>
      </c>
      <c r="E10572" s="84">
        <v>2.8</v>
      </c>
      <c r="F10572" s="76" t="s">
        <v>996</v>
      </c>
      <c r="G10572" s="83">
        <v>46119.0</v>
      </c>
      <c r="H10572" s="76" t="s">
        <v>945</v>
      </c>
    </row>
    <row r="10573">
      <c r="A10573" s="76" t="s">
        <v>944</v>
      </c>
      <c r="B10573" s="76" t="s">
        <v>1032</v>
      </c>
      <c r="C10573" s="84">
        <v>3.13</v>
      </c>
      <c r="D10573" s="84">
        <v>1.0</v>
      </c>
      <c r="E10573" s="84">
        <v>3.13</v>
      </c>
      <c r="F10573" s="76" t="s">
        <v>996</v>
      </c>
      <c r="G10573" s="83">
        <v>46119.0</v>
      </c>
      <c r="H10573" s="76" t="s">
        <v>946</v>
      </c>
    </row>
    <row r="10574">
      <c r="A10574" s="76" t="s">
        <v>944</v>
      </c>
      <c r="B10574" s="76" t="s">
        <v>1032</v>
      </c>
      <c r="C10574" s="84">
        <v>6.51</v>
      </c>
      <c r="D10574" s="84">
        <v>1.0</v>
      </c>
      <c r="E10574" s="84">
        <v>6.51</v>
      </c>
      <c r="F10574" s="76" t="s">
        <v>996</v>
      </c>
      <c r="G10574" s="83">
        <v>46119.0</v>
      </c>
      <c r="H10574" s="76" t="s">
        <v>947</v>
      </c>
    </row>
    <row r="10575">
      <c r="A10575" s="76" t="s">
        <v>28</v>
      </c>
      <c r="B10575" s="76" t="s">
        <v>1032</v>
      </c>
      <c r="C10575" s="84">
        <v>5.09</v>
      </c>
      <c r="D10575" s="84">
        <v>2.0</v>
      </c>
      <c r="E10575" s="84">
        <v>2.55</v>
      </c>
      <c r="F10575" s="76" t="s">
        <v>997</v>
      </c>
      <c r="G10575" s="83">
        <v>46119.0</v>
      </c>
      <c r="H10575" s="76" t="s">
        <v>931</v>
      </c>
    </row>
    <row r="10576">
      <c r="A10576" s="76" t="s">
        <v>28</v>
      </c>
      <c r="B10576" s="76" t="s">
        <v>1032</v>
      </c>
      <c r="C10576" s="84">
        <v>3.28</v>
      </c>
      <c r="D10576" s="84">
        <v>0.0</v>
      </c>
      <c r="E10576" s="84">
        <v>0.0</v>
      </c>
      <c r="F10576" s="76" t="s">
        <v>997</v>
      </c>
      <c r="G10576" s="83">
        <v>46119.0</v>
      </c>
      <c r="H10576" s="76" t="s">
        <v>932</v>
      </c>
    </row>
    <row r="10577">
      <c r="A10577" s="76" t="s">
        <v>28</v>
      </c>
      <c r="B10577" s="76" t="s">
        <v>1032</v>
      </c>
      <c r="C10577" s="84">
        <v>71.83</v>
      </c>
      <c r="D10577" s="84">
        <v>8.0</v>
      </c>
      <c r="E10577" s="84">
        <v>8.98</v>
      </c>
      <c r="F10577" s="76" t="s">
        <v>997</v>
      </c>
      <c r="G10577" s="83">
        <v>46119.0</v>
      </c>
      <c r="H10577" s="76" t="s">
        <v>933</v>
      </c>
    </row>
    <row r="10578">
      <c r="A10578" s="76" t="s">
        <v>45</v>
      </c>
      <c r="B10578" s="76" t="s">
        <v>1032</v>
      </c>
      <c r="C10578" s="84">
        <v>2.46</v>
      </c>
      <c r="D10578" s="84">
        <v>0.0</v>
      </c>
      <c r="E10578" s="84">
        <v>0.0</v>
      </c>
      <c r="F10578" s="76" t="s">
        <v>997</v>
      </c>
      <c r="G10578" s="83">
        <v>46119.0</v>
      </c>
      <c r="H10578" s="76" t="s">
        <v>936</v>
      </c>
    </row>
    <row r="10579">
      <c r="A10579" s="76" t="s">
        <v>45</v>
      </c>
      <c r="B10579" s="76" t="s">
        <v>1032</v>
      </c>
      <c r="C10579" s="84">
        <v>4.02</v>
      </c>
      <c r="D10579" s="84">
        <v>0.0</v>
      </c>
      <c r="E10579" s="84">
        <v>0.0</v>
      </c>
      <c r="F10579" s="76" t="s">
        <v>997</v>
      </c>
      <c r="G10579" s="83">
        <v>46119.0</v>
      </c>
      <c r="H10579" s="76" t="s">
        <v>937</v>
      </c>
    </row>
    <row r="10580">
      <c r="A10580" s="76" t="s">
        <v>45</v>
      </c>
      <c r="B10580" s="76" t="s">
        <v>1032</v>
      </c>
      <c r="C10580" s="84">
        <v>1.33</v>
      </c>
      <c r="D10580" s="84">
        <v>1.0</v>
      </c>
      <c r="E10580" s="84">
        <v>1.33</v>
      </c>
      <c r="F10580" s="76" t="s">
        <v>997</v>
      </c>
      <c r="G10580" s="83">
        <v>46119.0</v>
      </c>
      <c r="H10580" s="76" t="s">
        <v>938</v>
      </c>
    </row>
    <row r="10581">
      <c r="A10581" s="76" t="s">
        <v>32</v>
      </c>
      <c r="B10581" s="76" t="s">
        <v>1032</v>
      </c>
      <c r="C10581" s="84">
        <v>45.22</v>
      </c>
      <c r="D10581" s="84">
        <v>12.0</v>
      </c>
      <c r="E10581" s="84">
        <v>3.77</v>
      </c>
      <c r="F10581" s="76" t="s">
        <v>997</v>
      </c>
      <c r="G10581" s="83">
        <v>46119.0</v>
      </c>
      <c r="H10581" s="76" t="s">
        <v>941</v>
      </c>
    </row>
    <row r="10582">
      <c r="A10582" s="76" t="s">
        <v>32</v>
      </c>
      <c r="B10582" s="76" t="s">
        <v>1032</v>
      </c>
      <c r="C10582" s="84">
        <v>19.48</v>
      </c>
      <c r="D10582" s="84">
        <v>4.0</v>
      </c>
      <c r="E10582" s="84">
        <v>4.87</v>
      </c>
      <c r="F10582" s="76" t="s">
        <v>997</v>
      </c>
      <c r="G10582" s="83">
        <v>46119.0</v>
      </c>
      <c r="H10582" s="76" t="s">
        <v>942</v>
      </c>
    </row>
    <row r="10583">
      <c r="A10583" s="76" t="s">
        <v>32</v>
      </c>
      <c r="B10583" s="76" t="s">
        <v>1032</v>
      </c>
      <c r="C10583" s="84">
        <v>19.55</v>
      </c>
      <c r="D10583" s="84">
        <v>2.0</v>
      </c>
      <c r="E10583" s="84">
        <v>9.78</v>
      </c>
      <c r="F10583" s="76" t="s">
        <v>997</v>
      </c>
      <c r="G10583" s="83">
        <v>46119.0</v>
      </c>
      <c r="H10583" s="76" t="s">
        <v>943</v>
      </c>
    </row>
    <row r="10584">
      <c r="A10584" s="76" t="s">
        <v>944</v>
      </c>
      <c r="B10584" s="76" t="s">
        <v>1032</v>
      </c>
      <c r="C10584" s="84">
        <v>5.72</v>
      </c>
      <c r="D10584" s="84">
        <v>3.0</v>
      </c>
      <c r="E10584" s="84">
        <v>1.91</v>
      </c>
      <c r="F10584" s="76" t="s">
        <v>997</v>
      </c>
      <c r="G10584" s="83">
        <v>46119.0</v>
      </c>
      <c r="H10584" s="76" t="s">
        <v>945</v>
      </c>
    </row>
    <row r="10585">
      <c r="A10585" s="76" t="s">
        <v>944</v>
      </c>
      <c r="B10585" s="76" t="s">
        <v>1032</v>
      </c>
      <c r="C10585" s="84">
        <v>6.45</v>
      </c>
      <c r="D10585" s="84">
        <v>3.0</v>
      </c>
      <c r="E10585" s="84">
        <v>2.15</v>
      </c>
      <c r="F10585" s="76" t="s">
        <v>997</v>
      </c>
      <c r="G10585" s="83">
        <v>46119.0</v>
      </c>
      <c r="H10585" s="76" t="s">
        <v>946</v>
      </c>
    </row>
    <row r="10586">
      <c r="A10586" s="76" t="s">
        <v>944</v>
      </c>
      <c r="B10586" s="76" t="s">
        <v>1032</v>
      </c>
      <c r="C10586" s="84">
        <v>8.01</v>
      </c>
      <c r="D10586" s="84">
        <v>1.0</v>
      </c>
      <c r="E10586" s="84">
        <v>8.01</v>
      </c>
      <c r="F10586" s="76" t="s">
        <v>997</v>
      </c>
      <c r="G10586" s="83">
        <v>46119.0</v>
      </c>
      <c r="H10586" s="76" t="s">
        <v>947</v>
      </c>
    </row>
    <row r="10587">
      <c r="A10587" s="76" t="s">
        <v>36</v>
      </c>
      <c r="B10587" s="76" t="s">
        <v>1032</v>
      </c>
      <c r="C10587" s="84">
        <v>9.99</v>
      </c>
      <c r="D10587" s="84">
        <v>2.0</v>
      </c>
      <c r="E10587" s="84">
        <v>4.99</v>
      </c>
      <c r="F10587" s="76" t="s">
        <v>997</v>
      </c>
      <c r="G10587" s="83">
        <v>46119.0</v>
      </c>
      <c r="H10587" s="76" t="s">
        <v>926</v>
      </c>
    </row>
    <row r="10588">
      <c r="A10588" s="76" t="s">
        <v>36</v>
      </c>
      <c r="B10588" s="76" t="s">
        <v>1032</v>
      </c>
      <c r="C10588" s="84">
        <v>2.7</v>
      </c>
      <c r="D10588" s="84">
        <v>0.0</v>
      </c>
      <c r="E10588" s="84">
        <v>0.0</v>
      </c>
      <c r="F10588" s="76" t="s">
        <v>997</v>
      </c>
      <c r="G10588" s="83">
        <v>46119.0</v>
      </c>
      <c r="H10588" s="76" t="s">
        <v>927</v>
      </c>
    </row>
    <row r="10589">
      <c r="A10589" s="76" t="s">
        <v>36</v>
      </c>
      <c r="B10589" s="76" t="s">
        <v>1032</v>
      </c>
      <c r="C10589" s="84">
        <v>5.89</v>
      </c>
      <c r="D10589" s="84">
        <v>3.0</v>
      </c>
      <c r="E10589" s="84">
        <v>1.96</v>
      </c>
      <c r="F10589" s="76" t="s">
        <v>997</v>
      </c>
      <c r="G10589" s="83">
        <v>46119.0</v>
      </c>
      <c r="H10589" s="76" t="s">
        <v>928</v>
      </c>
    </row>
    <row r="10590">
      <c r="A10590" s="76" t="s">
        <v>31</v>
      </c>
      <c r="B10590" s="76" t="s">
        <v>1032</v>
      </c>
      <c r="C10590" s="84">
        <v>7.83</v>
      </c>
      <c r="D10590" s="84">
        <v>5.0</v>
      </c>
      <c r="E10590" s="84">
        <v>1.57</v>
      </c>
      <c r="F10590" s="76" t="s">
        <v>997</v>
      </c>
      <c r="G10590" s="83">
        <v>46119.0</v>
      </c>
      <c r="H10590" s="76" t="s">
        <v>929</v>
      </c>
    </row>
    <row r="10591">
      <c r="A10591" s="76" t="s">
        <v>31</v>
      </c>
      <c r="B10591" s="76" t="s">
        <v>1032</v>
      </c>
      <c r="C10591" s="84">
        <v>165.16</v>
      </c>
      <c r="D10591" s="84">
        <v>43.0</v>
      </c>
      <c r="E10591" s="84">
        <v>3.84</v>
      </c>
      <c r="F10591" s="76" t="s">
        <v>997</v>
      </c>
      <c r="G10591" s="83">
        <v>46119.0</v>
      </c>
      <c r="H10591" s="76" t="s">
        <v>930</v>
      </c>
    </row>
    <row r="10592">
      <c r="A10592" s="76" t="s">
        <v>26</v>
      </c>
      <c r="B10592" s="76" t="s">
        <v>1032</v>
      </c>
      <c r="C10592" s="84">
        <v>2.29</v>
      </c>
      <c r="D10592" s="84">
        <v>0.0</v>
      </c>
      <c r="E10592" s="84">
        <v>0.0</v>
      </c>
      <c r="F10592" s="76" t="s">
        <v>997</v>
      </c>
      <c r="G10592" s="83">
        <v>46119.0</v>
      </c>
      <c r="H10592" s="76" t="s">
        <v>1012</v>
      </c>
    </row>
    <row r="10593">
      <c r="A10593" s="76" t="s">
        <v>26</v>
      </c>
      <c r="B10593" s="76" t="s">
        <v>1032</v>
      </c>
      <c r="C10593" s="84">
        <v>5.34</v>
      </c>
      <c r="D10593" s="84">
        <v>1.0</v>
      </c>
      <c r="E10593" s="84">
        <v>5.34</v>
      </c>
      <c r="F10593" s="76" t="s">
        <v>997</v>
      </c>
      <c r="G10593" s="83">
        <v>46119.0</v>
      </c>
      <c r="H10593" s="76" t="s">
        <v>1013</v>
      </c>
    </row>
    <row r="10594">
      <c r="A10594" s="76" t="s">
        <v>26</v>
      </c>
      <c r="B10594" s="76" t="s">
        <v>1032</v>
      </c>
      <c r="C10594" s="84">
        <v>57.55</v>
      </c>
      <c r="D10594" s="84">
        <v>9.0</v>
      </c>
      <c r="E10594" s="84">
        <v>6.39</v>
      </c>
      <c r="F10594" s="76" t="s">
        <v>997</v>
      </c>
      <c r="G10594" s="83">
        <v>46119.0</v>
      </c>
      <c r="H10594" s="76" t="s">
        <v>1014</v>
      </c>
    </row>
    <row r="10595">
      <c r="A10595" s="76" t="s">
        <v>45</v>
      </c>
      <c r="B10595" s="76" t="s">
        <v>1032</v>
      </c>
      <c r="C10595" s="84">
        <v>0.86</v>
      </c>
      <c r="D10595" s="84">
        <v>0.0</v>
      </c>
      <c r="E10595" s="84">
        <v>0.0</v>
      </c>
      <c r="F10595" s="76" t="s">
        <v>990</v>
      </c>
      <c r="G10595" s="83">
        <v>46119.0</v>
      </c>
      <c r="H10595" s="76" t="s">
        <v>936</v>
      </c>
    </row>
    <row r="10596">
      <c r="A10596" s="76" t="s">
        <v>45</v>
      </c>
      <c r="B10596" s="76" t="s">
        <v>1032</v>
      </c>
      <c r="C10596" s="84">
        <v>0.69</v>
      </c>
      <c r="D10596" s="84">
        <v>0.0</v>
      </c>
      <c r="E10596" s="84">
        <v>0.0</v>
      </c>
      <c r="F10596" s="76" t="s">
        <v>990</v>
      </c>
      <c r="G10596" s="83">
        <v>46119.0</v>
      </c>
      <c r="H10596" s="76" t="s">
        <v>937</v>
      </c>
    </row>
    <row r="10597">
      <c r="A10597" s="76" t="s">
        <v>45</v>
      </c>
      <c r="B10597" s="76" t="s">
        <v>1032</v>
      </c>
      <c r="C10597" s="84">
        <v>0.48</v>
      </c>
      <c r="D10597" s="84">
        <v>0.0</v>
      </c>
      <c r="E10597" s="84">
        <v>0.0</v>
      </c>
      <c r="F10597" s="76" t="s">
        <v>990</v>
      </c>
      <c r="G10597" s="83">
        <v>46119.0</v>
      </c>
      <c r="H10597" s="76" t="s">
        <v>938</v>
      </c>
    </row>
    <row r="10598">
      <c r="A10598" s="76" t="s">
        <v>32</v>
      </c>
      <c r="B10598" s="76" t="s">
        <v>1032</v>
      </c>
      <c r="C10598" s="84">
        <v>15.04</v>
      </c>
      <c r="D10598" s="84">
        <v>3.0</v>
      </c>
      <c r="E10598" s="84">
        <v>5.01</v>
      </c>
      <c r="F10598" s="76" t="s">
        <v>990</v>
      </c>
      <c r="G10598" s="83">
        <v>46119.0</v>
      </c>
      <c r="H10598" s="76" t="s">
        <v>941</v>
      </c>
    </row>
    <row r="10599">
      <c r="A10599" s="76" t="s">
        <v>32</v>
      </c>
      <c r="B10599" s="76" t="s">
        <v>1032</v>
      </c>
      <c r="C10599" s="84">
        <v>5.44</v>
      </c>
      <c r="D10599" s="84">
        <v>1.0</v>
      </c>
      <c r="E10599" s="84">
        <v>5.44</v>
      </c>
      <c r="F10599" s="76" t="s">
        <v>990</v>
      </c>
      <c r="G10599" s="83">
        <v>46119.0</v>
      </c>
      <c r="H10599" s="76" t="s">
        <v>942</v>
      </c>
    </row>
    <row r="10600">
      <c r="A10600" s="76" t="s">
        <v>32</v>
      </c>
      <c r="B10600" s="76" t="s">
        <v>1032</v>
      </c>
      <c r="C10600" s="84">
        <v>2.88</v>
      </c>
      <c r="D10600" s="84">
        <v>0.0</v>
      </c>
      <c r="E10600" s="84">
        <v>0.0</v>
      </c>
      <c r="F10600" s="76" t="s">
        <v>990</v>
      </c>
      <c r="G10600" s="83">
        <v>46119.0</v>
      </c>
      <c r="H10600" s="76" t="s">
        <v>943</v>
      </c>
    </row>
    <row r="10601">
      <c r="A10601" s="76" t="s">
        <v>36</v>
      </c>
      <c r="B10601" s="76" t="s">
        <v>1032</v>
      </c>
      <c r="C10601" s="84">
        <v>1.42</v>
      </c>
      <c r="D10601" s="84">
        <v>0.0</v>
      </c>
      <c r="E10601" s="84">
        <v>0.0</v>
      </c>
      <c r="F10601" s="76" t="s">
        <v>990</v>
      </c>
      <c r="G10601" s="83">
        <v>46119.0</v>
      </c>
      <c r="H10601" s="76" t="s">
        <v>926</v>
      </c>
    </row>
    <row r="10602">
      <c r="A10602" s="76" t="s">
        <v>36</v>
      </c>
      <c r="B10602" s="76" t="s">
        <v>1032</v>
      </c>
      <c r="C10602" s="84">
        <v>0.49</v>
      </c>
      <c r="D10602" s="84">
        <v>0.0</v>
      </c>
      <c r="E10602" s="84">
        <v>0.0</v>
      </c>
      <c r="F10602" s="76" t="s">
        <v>990</v>
      </c>
      <c r="G10602" s="83">
        <v>46119.0</v>
      </c>
      <c r="H10602" s="76" t="s">
        <v>927</v>
      </c>
    </row>
    <row r="10603">
      <c r="A10603" s="76" t="s">
        <v>36</v>
      </c>
      <c r="B10603" s="76" t="s">
        <v>1032</v>
      </c>
      <c r="C10603" s="84">
        <v>1.11</v>
      </c>
      <c r="D10603" s="84">
        <v>0.0</v>
      </c>
      <c r="E10603" s="84">
        <v>0.0</v>
      </c>
      <c r="F10603" s="76" t="s">
        <v>990</v>
      </c>
      <c r="G10603" s="83">
        <v>46119.0</v>
      </c>
      <c r="H10603" s="76" t="s">
        <v>928</v>
      </c>
    </row>
    <row r="10604">
      <c r="A10604" s="76" t="s">
        <v>28</v>
      </c>
      <c r="B10604" s="76" t="s">
        <v>1032</v>
      </c>
      <c r="C10604" s="84">
        <v>0.81</v>
      </c>
      <c r="D10604" s="84">
        <v>0.0</v>
      </c>
      <c r="E10604" s="84">
        <v>0.0</v>
      </c>
      <c r="F10604" s="76" t="s">
        <v>990</v>
      </c>
      <c r="G10604" s="83">
        <v>46119.0</v>
      </c>
      <c r="H10604" s="76" t="s">
        <v>931</v>
      </c>
    </row>
    <row r="10605">
      <c r="A10605" s="76" t="s">
        <v>28</v>
      </c>
      <c r="B10605" s="76" t="s">
        <v>1032</v>
      </c>
      <c r="C10605" s="84">
        <v>0.37</v>
      </c>
      <c r="D10605" s="84">
        <v>0.0</v>
      </c>
      <c r="E10605" s="84">
        <v>0.0</v>
      </c>
      <c r="F10605" s="76" t="s">
        <v>990</v>
      </c>
      <c r="G10605" s="83">
        <v>46119.0</v>
      </c>
      <c r="H10605" s="76" t="s">
        <v>932</v>
      </c>
    </row>
    <row r="10606">
      <c r="A10606" s="76" t="s">
        <v>28</v>
      </c>
      <c r="B10606" s="76" t="s">
        <v>1032</v>
      </c>
      <c r="C10606" s="84">
        <v>6.7</v>
      </c>
      <c r="D10606" s="84">
        <v>2.0</v>
      </c>
      <c r="E10606" s="84">
        <v>3.35</v>
      </c>
      <c r="F10606" s="76" t="s">
        <v>990</v>
      </c>
      <c r="G10606" s="83">
        <v>46119.0</v>
      </c>
      <c r="H10606" s="76" t="s">
        <v>933</v>
      </c>
    </row>
    <row r="10607">
      <c r="A10607" s="76" t="s">
        <v>31</v>
      </c>
      <c r="B10607" s="76" t="s">
        <v>1032</v>
      </c>
      <c r="C10607" s="84">
        <v>2.71</v>
      </c>
      <c r="D10607" s="84">
        <v>2.0</v>
      </c>
      <c r="E10607" s="84">
        <v>1.36</v>
      </c>
      <c r="F10607" s="76" t="s">
        <v>990</v>
      </c>
      <c r="G10607" s="83">
        <v>46119.0</v>
      </c>
      <c r="H10607" s="76" t="s">
        <v>929</v>
      </c>
    </row>
    <row r="10608">
      <c r="A10608" s="76" t="s">
        <v>31</v>
      </c>
      <c r="B10608" s="76" t="s">
        <v>1032</v>
      </c>
      <c r="C10608" s="84">
        <v>29.5</v>
      </c>
      <c r="D10608" s="84">
        <v>5.0</v>
      </c>
      <c r="E10608" s="84">
        <v>5.9</v>
      </c>
      <c r="F10608" s="76" t="s">
        <v>990</v>
      </c>
      <c r="G10608" s="83">
        <v>46119.0</v>
      </c>
      <c r="H10608" s="76" t="s">
        <v>930</v>
      </c>
    </row>
    <row r="10609">
      <c r="A10609" s="76" t="s">
        <v>26</v>
      </c>
      <c r="B10609" s="76" t="s">
        <v>1032</v>
      </c>
      <c r="C10609" s="84">
        <v>0.63</v>
      </c>
      <c r="D10609" s="84">
        <v>0.0</v>
      </c>
      <c r="E10609" s="84">
        <v>0.0</v>
      </c>
      <c r="F10609" s="76" t="s">
        <v>990</v>
      </c>
      <c r="G10609" s="83">
        <v>46119.0</v>
      </c>
      <c r="H10609" s="76" t="s">
        <v>1012</v>
      </c>
    </row>
    <row r="10610">
      <c r="A10610" s="76" t="s">
        <v>26</v>
      </c>
      <c r="B10610" s="76" t="s">
        <v>1032</v>
      </c>
      <c r="C10610" s="84">
        <v>1.38</v>
      </c>
      <c r="D10610" s="84">
        <v>0.0</v>
      </c>
      <c r="E10610" s="84">
        <v>0.0</v>
      </c>
      <c r="F10610" s="76" t="s">
        <v>990</v>
      </c>
      <c r="G10610" s="83">
        <v>46119.0</v>
      </c>
      <c r="H10610" s="76" t="s">
        <v>1013</v>
      </c>
    </row>
    <row r="10611">
      <c r="A10611" s="76" t="s">
        <v>26</v>
      </c>
      <c r="B10611" s="76" t="s">
        <v>1032</v>
      </c>
      <c r="C10611" s="84">
        <v>9.55</v>
      </c>
      <c r="D10611" s="84">
        <v>3.0</v>
      </c>
      <c r="E10611" s="84">
        <v>3.18</v>
      </c>
      <c r="F10611" s="76" t="s">
        <v>990</v>
      </c>
      <c r="G10611" s="83">
        <v>46119.0</v>
      </c>
      <c r="H10611" s="76" t="s">
        <v>1014</v>
      </c>
    </row>
    <row r="10612">
      <c r="A10612" s="76" t="s">
        <v>944</v>
      </c>
      <c r="B10612" s="76" t="s">
        <v>1032</v>
      </c>
      <c r="C10612" s="84">
        <v>1.49</v>
      </c>
      <c r="D10612" s="84">
        <v>1.0</v>
      </c>
      <c r="E10612" s="84">
        <v>1.49</v>
      </c>
      <c r="F10612" s="76" t="s">
        <v>990</v>
      </c>
      <c r="G10612" s="83">
        <v>46119.0</v>
      </c>
      <c r="H10612" s="76" t="s">
        <v>945</v>
      </c>
    </row>
    <row r="10613">
      <c r="A10613" s="76" t="s">
        <v>944</v>
      </c>
      <c r="B10613" s="76" t="s">
        <v>1032</v>
      </c>
      <c r="C10613" s="84">
        <v>0.99</v>
      </c>
      <c r="D10613" s="84">
        <v>1.0</v>
      </c>
      <c r="E10613" s="84">
        <v>0.99</v>
      </c>
      <c r="F10613" s="76" t="s">
        <v>990</v>
      </c>
      <c r="G10613" s="83">
        <v>46119.0</v>
      </c>
      <c r="H10613" s="76" t="s">
        <v>946</v>
      </c>
    </row>
    <row r="10614">
      <c r="A10614" s="76" t="s">
        <v>944</v>
      </c>
      <c r="B10614" s="76" t="s">
        <v>1032</v>
      </c>
      <c r="C10614" s="84">
        <v>2.86</v>
      </c>
      <c r="D10614" s="84">
        <v>3.0</v>
      </c>
      <c r="E10614" s="84">
        <v>0.95</v>
      </c>
      <c r="F10614" s="76" t="s">
        <v>990</v>
      </c>
      <c r="G10614" s="83">
        <v>46119.0</v>
      </c>
      <c r="H10614" s="76" t="s">
        <v>947</v>
      </c>
    </row>
    <row r="10615">
      <c r="A10615" s="76" t="s">
        <v>26</v>
      </c>
      <c r="B10615" s="76" t="s">
        <v>1032</v>
      </c>
      <c r="C10615" s="84">
        <v>9.59</v>
      </c>
      <c r="D10615" s="84">
        <v>2.0</v>
      </c>
      <c r="E10615" s="84">
        <v>4.79</v>
      </c>
      <c r="F10615" s="76" t="s">
        <v>1005</v>
      </c>
      <c r="G10615" s="83">
        <v>46119.0</v>
      </c>
      <c r="H10615" s="76" t="s">
        <v>1012</v>
      </c>
    </row>
    <row r="10616">
      <c r="A10616" s="76" t="s">
        <v>26</v>
      </c>
      <c r="B10616" s="76" t="s">
        <v>1032</v>
      </c>
      <c r="C10616" s="84">
        <v>22.41</v>
      </c>
      <c r="D10616" s="84">
        <v>9.0</v>
      </c>
      <c r="E10616" s="84">
        <v>2.49</v>
      </c>
      <c r="F10616" s="76" t="s">
        <v>1005</v>
      </c>
      <c r="G10616" s="83">
        <v>46119.0</v>
      </c>
      <c r="H10616" s="76" t="s">
        <v>1013</v>
      </c>
    </row>
    <row r="10617">
      <c r="A10617" s="76" t="s">
        <v>26</v>
      </c>
      <c r="B10617" s="76" t="s">
        <v>1032</v>
      </c>
      <c r="C10617" s="84">
        <v>167.89</v>
      </c>
      <c r="D10617" s="84">
        <v>46.0</v>
      </c>
      <c r="E10617" s="84">
        <v>3.65</v>
      </c>
      <c r="F10617" s="76" t="s">
        <v>1005</v>
      </c>
      <c r="G10617" s="83">
        <v>46119.0</v>
      </c>
      <c r="H10617" s="76" t="s">
        <v>1014</v>
      </c>
    </row>
    <row r="10618">
      <c r="A10618" s="76" t="s">
        <v>28</v>
      </c>
      <c r="B10618" s="76" t="s">
        <v>1032</v>
      </c>
      <c r="C10618" s="84">
        <v>7.23</v>
      </c>
      <c r="D10618" s="84">
        <v>0.0</v>
      </c>
      <c r="E10618" s="84">
        <v>0.0</v>
      </c>
      <c r="F10618" s="76" t="s">
        <v>1005</v>
      </c>
      <c r="G10618" s="83">
        <v>46119.0</v>
      </c>
      <c r="H10618" s="76" t="s">
        <v>931</v>
      </c>
    </row>
    <row r="10619">
      <c r="A10619" s="76" t="s">
        <v>28</v>
      </c>
      <c r="B10619" s="76" t="s">
        <v>1032</v>
      </c>
      <c r="C10619" s="84">
        <v>6.26</v>
      </c>
      <c r="D10619" s="84">
        <v>2.0</v>
      </c>
      <c r="E10619" s="84">
        <v>3.13</v>
      </c>
      <c r="F10619" s="76" t="s">
        <v>1005</v>
      </c>
      <c r="G10619" s="83">
        <v>46119.0</v>
      </c>
      <c r="H10619" s="76" t="s">
        <v>932</v>
      </c>
    </row>
    <row r="10620">
      <c r="A10620" s="76" t="s">
        <v>28</v>
      </c>
      <c r="B10620" s="76" t="s">
        <v>1032</v>
      </c>
      <c r="C10620" s="84">
        <v>212.54</v>
      </c>
      <c r="D10620" s="84">
        <v>40.0</v>
      </c>
      <c r="E10620" s="84">
        <v>5.31</v>
      </c>
      <c r="F10620" s="76" t="s">
        <v>1005</v>
      </c>
      <c r="G10620" s="83">
        <v>46119.0</v>
      </c>
      <c r="H10620" s="76" t="s">
        <v>933</v>
      </c>
    </row>
    <row r="10621">
      <c r="A10621" s="76" t="s">
        <v>36</v>
      </c>
      <c r="B10621" s="76" t="s">
        <v>1032</v>
      </c>
      <c r="C10621" s="84">
        <v>28.99</v>
      </c>
      <c r="D10621" s="84">
        <v>6.0</v>
      </c>
      <c r="E10621" s="84">
        <v>4.83</v>
      </c>
      <c r="F10621" s="76" t="s">
        <v>1005</v>
      </c>
      <c r="G10621" s="83">
        <v>46119.0</v>
      </c>
      <c r="H10621" s="76" t="s">
        <v>926</v>
      </c>
    </row>
    <row r="10622">
      <c r="A10622" s="76" t="s">
        <v>36</v>
      </c>
      <c r="B10622" s="76" t="s">
        <v>1032</v>
      </c>
      <c r="C10622" s="84">
        <v>7.07</v>
      </c>
      <c r="D10622" s="84">
        <v>1.0</v>
      </c>
      <c r="E10622" s="84">
        <v>7.07</v>
      </c>
      <c r="F10622" s="76" t="s">
        <v>1005</v>
      </c>
      <c r="G10622" s="83">
        <v>46119.0</v>
      </c>
      <c r="H10622" s="76" t="s">
        <v>927</v>
      </c>
    </row>
    <row r="10623">
      <c r="A10623" s="76" t="s">
        <v>36</v>
      </c>
      <c r="B10623" s="76" t="s">
        <v>1032</v>
      </c>
      <c r="C10623" s="84">
        <v>8.83</v>
      </c>
      <c r="D10623" s="84">
        <v>4.0</v>
      </c>
      <c r="E10623" s="84">
        <v>2.21</v>
      </c>
      <c r="F10623" s="76" t="s">
        <v>1005</v>
      </c>
      <c r="G10623" s="83">
        <v>46119.0</v>
      </c>
      <c r="H10623" s="76" t="s">
        <v>928</v>
      </c>
    </row>
    <row r="10624">
      <c r="A10624" s="76" t="s">
        <v>31</v>
      </c>
      <c r="B10624" s="76" t="s">
        <v>1032</v>
      </c>
      <c r="C10624" s="84">
        <v>13.85</v>
      </c>
      <c r="D10624" s="84">
        <v>2.0</v>
      </c>
      <c r="E10624" s="84">
        <v>6.93</v>
      </c>
      <c r="F10624" s="76" t="s">
        <v>1005</v>
      </c>
      <c r="G10624" s="83">
        <v>46119.0</v>
      </c>
      <c r="H10624" s="76" t="s">
        <v>929</v>
      </c>
    </row>
    <row r="10625">
      <c r="A10625" s="76" t="s">
        <v>31</v>
      </c>
      <c r="B10625" s="76" t="s">
        <v>1032</v>
      </c>
      <c r="C10625" s="84">
        <v>569.66</v>
      </c>
      <c r="D10625" s="84">
        <v>129.0</v>
      </c>
      <c r="E10625" s="84">
        <v>4.42</v>
      </c>
      <c r="F10625" s="76" t="s">
        <v>1005</v>
      </c>
      <c r="G10625" s="83">
        <v>46119.0</v>
      </c>
      <c r="H10625" s="76" t="s">
        <v>930</v>
      </c>
    </row>
    <row r="10626">
      <c r="A10626" s="76" t="s">
        <v>944</v>
      </c>
      <c r="B10626" s="76" t="s">
        <v>1032</v>
      </c>
      <c r="C10626" s="84">
        <v>24.35</v>
      </c>
      <c r="D10626" s="84">
        <v>4.0</v>
      </c>
      <c r="E10626" s="84">
        <v>6.09</v>
      </c>
      <c r="F10626" s="76" t="s">
        <v>1005</v>
      </c>
      <c r="G10626" s="83">
        <v>46119.0</v>
      </c>
      <c r="H10626" s="76" t="s">
        <v>945</v>
      </c>
    </row>
    <row r="10627">
      <c r="A10627" s="76" t="s">
        <v>944</v>
      </c>
      <c r="B10627" s="76" t="s">
        <v>1032</v>
      </c>
      <c r="C10627" s="84">
        <v>12.97</v>
      </c>
      <c r="D10627" s="84">
        <v>2.0</v>
      </c>
      <c r="E10627" s="84">
        <v>6.49</v>
      </c>
      <c r="F10627" s="76" t="s">
        <v>1005</v>
      </c>
      <c r="G10627" s="83">
        <v>46119.0</v>
      </c>
      <c r="H10627" s="76" t="s">
        <v>946</v>
      </c>
    </row>
    <row r="10628">
      <c r="A10628" s="76" t="s">
        <v>944</v>
      </c>
      <c r="B10628" s="76" t="s">
        <v>1032</v>
      </c>
      <c r="C10628" s="84">
        <v>28.09</v>
      </c>
      <c r="D10628" s="84">
        <v>6.0</v>
      </c>
      <c r="E10628" s="84">
        <v>4.68</v>
      </c>
      <c r="F10628" s="76" t="s">
        <v>1005</v>
      </c>
      <c r="G10628" s="83">
        <v>46119.0</v>
      </c>
      <c r="H10628" s="76" t="s">
        <v>947</v>
      </c>
    </row>
    <row r="10629">
      <c r="A10629" s="76" t="s">
        <v>45</v>
      </c>
      <c r="B10629" s="76" t="s">
        <v>1032</v>
      </c>
      <c r="C10629" s="84">
        <v>3.65</v>
      </c>
      <c r="D10629" s="84">
        <v>0.0</v>
      </c>
      <c r="E10629" s="84">
        <v>0.0</v>
      </c>
      <c r="F10629" s="76" t="s">
        <v>1005</v>
      </c>
      <c r="G10629" s="83">
        <v>46119.0</v>
      </c>
      <c r="H10629" s="76" t="s">
        <v>936</v>
      </c>
    </row>
    <row r="10630">
      <c r="A10630" s="76" t="s">
        <v>45</v>
      </c>
      <c r="B10630" s="76" t="s">
        <v>1032</v>
      </c>
      <c r="C10630" s="84">
        <v>8.96</v>
      </c>
      <c r="D10630" s="84">
        <v>0.0</v>
      </c>
      <c r="E10630" s="84">
        <v>0.0</v>
      </c>
      <c r="F10630" s="76" t="s">
        <v>1005</v>
      </c>
      <c r="G10630" s="83">
        <v>46119.0</v>
      </c>
      <c r="H10630" s="76" t="s">
        <v>937</v>
      </c>
    </row>
    <row r="10631">
      <c r="A10631" s="76" t="s">
        <v>45</v>
      </c>
      <c r="B10631" s="76" t="s">
        <v>1032</v>
      </c>
      <c r="C10631" s="84">
        <v>3.44</v>
      </c>
      <c r="D10631" s="84">
        <v>3.0</v>
      </c>
      <c r="E10631" s="84">
        <v>1.15</v>
      </c>
      <c r="F10631" s="76" t="s">
        <v>1005</v>
      </c>
      <c r="G10631" s="83">
        <v>46119.0</v>
      </c>
      <c r="H10631" s="76" t="s">
        <v>938</v>
      </c>
    </row>
    <row r="10632">
      <c r="A10632" s="76" t="s">
        <v>32</v>
      </c>
      <c r="B10632" s="76" t="s">
        <v>1032</v>
      </c>
      <c r="C10632" s="84">
        <v>90.89</v>
      </c>
      <c r="D10632" s="84">
        <v>20.0</v>
      </c>
      <c r="E10632" s="84">
        <v>4.54</v>
      </c>
      <c r="F10632" s="76" t="s">
        <v>1005</v>
      </c>
      <c r="G10632" s="83">
        <v>46119.0</v>
      </c>
      <c r="H10632" s="76" t="s">
        <v>941</v>
      </c>
    </row>
    <row r="10633">
      <c r="A10633" s="76" t="s">
        <v>32</v>
      </c>
      <c r="B10633" s="76" t="s">
        <v>1032</v>
      </c>
      <c r="C10633" s="84">
        <v>30.62</v>
      </c>
      <c r="D10633" s="84">
        <v>7.0</v>
      </c>
      <c r="E10633" s="84">
        <v>4.37</v>
      </c>
      <c r="F10633" s="76" t="s">
        <v>1005</v>
      </c>
      <c r="G10633" s="83">
        <v>46119.0</v>
      </c>
      <c r="H10633" s="76" t="s">
        <v>942</v>
      </c>
    </row>
    <row r="10634">
      <c r="A10634" s="76" t="s">
        <v>32</v>
      </c>
      <c r="B10634" s="76" t="s">
        <v>1032</v>
      </c>
      <c r="C10634" s="84">
        <v>24.75</v>
      </c>
      <c r="D10634" s="84">
        <v>4.0</v>
      </c>
      <c r="E10634" s="84">
        <v>6.19</v>
      </c>
      <c r="F10634" s="76" t="s">
        <v>1005</v>
      </c>
      <c r="G10634" s="83">
        <v>46119.0</v>
      </c>
      <c r="H10634" s="76" t="s">
        <v>943</v>
      </c>
    </row>
    <row r="10635">
      <c r="A10635" s="76" t="s">
        <v>26</v>
      </c>
      <c r="B10635" s="76" t="s">
        <v>1032</v>
      </c>
      <c r="C10635" s="84">
        <v>0.06</v>
      </c>
      <c r="D10635" s="84">
        <v>0.0</v>
      </c>
      <c r="E10635" s="84">
        <v>0.0</v>
      </c>
      <c r="F10635" s="76" t="s">
        <v>993</v>
      </c>
      <c r="G10635" s="83">
        <v>46119.0</v>
      </c>
      <c r="H10635" s="76" t="s">
        <v>1012</v>
      </c>
    </row>
    <row r="10636">
      <c r="A10636" s="76" t="s">
        <v>26</v>
      </c>
      <c r="B10636" s="76" t="s">
        <v>1032</v>
      </c>
      <c r="C10636" s="84">
        <v>0.08</v>
      </c>
      <c r="D10636" s="84">
        <v>0.0</v>
      </c>
      <c r="E10636" s="84">
        <v>0.0</v>
      </c>
      <c r="F10636" s="76" t="s">
        <v>993</v>
      </c>
      <c r="G10636" s="83">
        <v>46119.0</v>
      </c>
      <c r="H10636" s="76" t="s">
        <v>1013</v>
      </c>
    </row>
    <row r="10637">
      <c r="A10637" s="76" t="s">
        <v>26</v>
      </c>
      <c r="B10637" s="76" t="s">
        <v>1032</v>
      </c>
      <c r="C10637" s="84">
        <v>1.26</v>
      </c>
      <c r="D10637" s="84">
        <v>0.0</v>
      </c>
      <c r="E10637" s="84">
        <v>0.0</v>
      </c>
      <c r="F10637" s="76" t="s">
        <v>993</v>
      </c>
      <c r="G10637" s="83">
        <v>46119.0</v>
      </c>
      <c r="H10637" s="76" t="s">
        <v>1014</v>
      </c>
    </row>
    <row r="10638">
      <c r="A10638" s="76" t="s">
        <v>944</v>
      </c>
      <c r="B10638" s="76" t="s">
        <v>1032</v>
      </c>
      <c r="C10638" s="84">
        <v>0.09</v>
      </c>
      <c r="D10638" s="84">
        <v>0.0</v>
      </c>
      <c r="E10638" s="84">
        <v>0.0</v>
      </c>
      <c r="F10638" s="76" t="s">
        <v>993</v>
      </c>
      <c r="G10638" s="83">
        <v>46119.0</v>
      </c>
      <c r="H10638" s="76" t="s">
        <v>945</v>
      </c>
    </row>
    <row r="10639">
      <c r="A10639" s="76" t="s">
        <v>944</v>
      </c>
      <c r="B10639" s="76" t="s">
        <v>1032</v>
      </c>
      <c r="C10639" s="84">
        <v>0.08</v>
      </c>
      <c r="D10639" s="84">
        <v>0.0</v>
      </c>
      <c r="E10639" s="84">
        <v>0.0</v>
      </c>
      <c r="F10639" s="76" t="s">
        <v>993</v>
      </c>
      <c r="G10639" s="83">
        <v>46119.0</v>
      </c>
      <c r="H10639" s="76" t="s">
        <v>946</v>
      </c>
    </row>
    <row r="10640">
      <c r="A10640" s="76" t="s">
        <v>944</v>
      </c>
      <c r="B10640" s="76" t="s">
        <v>1032</v>
      </c>
      <c r="C10640" s="84">
        <v>0.3</v>
      </c>
      <c r="D10640" s="84">
        <v>0.0</v>
      </c>
      <c r="E10640" s="84">
        <v>0.0</v>
      </c>
      <c r="F10640" s="76" t="s">
        <v>993</v>
      </c>
      <c r="G10640" s="83">
        <v>46119.0</v>
      </c>
      <c r="H10640" s="76" t="s">
        <v>947</v>
      </c>
    </row>
    <row r="10641">
      <c r="A10641" s="76" t="s">
        <v>45</v>
      </c>
      <c r="B10641" s="76" t="s">
        <v>1032</v>
      </c>
      <c r="C10641" s="84">
        <v>0.13</v>
      </c>
      <c r="D10641" s="84">
        <v>0.0</v>
      </c>
      <c r="E10641" s="84">
        <v>0.0</v>
      </c>
      <c r="F10641" s="76" t="s">
        <v>993</v>
      </c>
      <c r="G10641" s="83">
        <v>46119.0</v>
      </c>
      <c r="H10641" s="76" t="s">
        <v>936</v>
      </c>
    </row>
    <row r="10642">
      <c r="A10642" s="76" t="s">
        <v>45</v>
      </c>
      <c r="B10642" s="76" t="s">
        <v>1032</v>
      </c>
      <c r="C10642" s="84">
        <v>0.07</v>
      </c>
      <c r="D10642" s="84">
        <v>0.0</v>
      </c>
      <c r="E10642" s="84">
        <v>0.0</v>
      </c>
      <c r="F10642" s="76" t="s">
        <v>993</v>
      </c>
      <c r="G10642" s="83">
        <v>46119.0</v>
      </c>
      <c r="H10642" s="76" t="s">
        <v>937</v>
      </c>
    </row>
    <row r="10643">
      <c r="A10643" s="76" t="s">
        <v>45</v>
      </c>
      <c r="B10643" s="76" t="s">
        <v>1032</v>
      </c>
      <c r="C10643" s="84">
        <v>0.03</v>
      </c>
      <c r="D10643" s="84">
        <v>0.0</v>
      </c>
      <c r="E10643" s="84">
        <v>0.0</v>
      </c>
      <c r="F10643" s="76" t="s">
        <v>993</v>
      </c>
      <c r="G10643" s="83">
        <v>46119.0</v>
      </c>
      <c r="H10643" s="76" t="s">
        <v>938</v>
      </c>
    </row>
    <row r="10644">
      <c r="A10644" s="76" t="s">
        <v>32</v>
      </c>
      <c r="B10644" s="76" t="s">
        <v>1032</v>
      </c>
      <c r="C10644" s="84">
        <v>0.62</v>
      </c>
      <c r="D10644" s="84">
        <v>0.0</v>
      </c>
      <c r="E10644" s="84">
        <v>0.0</v>
      </c>
      <c r="F10644" s="76" t="s">
        <v>993</v>
      </c>
      <c r="G10644" s="83">
        <v>46119.0</v>
      </c>
      <c r="H10644" s="76" t="s">
        <v>941</v>
      </c>
    </row>
    <row r="10645">
      <c r="A10645" s="76" t="s">
        <v>32</v>
      </c>
      <c r="B10645" s="76" t="s">
        <v>1032</v>
      </c>
      <c r="C10645" s="84">
        <v>0.46</v>
      </c>
      <c r="D10645" s="84">
        <v>0.0</v>
      </c>
      <c r="E10645" s="84">
        <v>0.0</v>
      </c>
      <c r="F10645" s="76" t="s">
        <v>993</v>
      </c>
      <c r="G10645" s="83">
        <v>46119.0</v>
      </c>
      <c r="H10645" s="76" t="s">
        <v>942</v>
      </c>
    </row>
    <row r="10646">
      <c r="A10646" s="76" t="s">
        <v>32</v>
      </c>
      <c r="B10646" s="76" t="s">
        <v>1032</v>
      </c>
      <c r="C10646" s="84">
        <v>0.38</v>
      </c>
      <c r="D10646" s="84">
        <v>0.0</v>
      </c>
      <c r="E10646" s="84">
        <v>0.0</v>
      </c>
      <c r="F10646" s="76" t="s">
        <v>993</v>
      </c>
      <c r="G10646" s="83">
        <v>46119.0</v>
      </c>
      <c r="H10646" s="76" t="s">
        <v>943</v>
      </c>
    </row>
    <row r="10647">
      <c r="A10647" s="76" t="s">
        <v>36</v>
      </c>
      <c r="B10647" s="76" t="s">
        <v>1032</v>
      </c>
      <c r="C10647" s="84">
        <v>0.21</v>
      </c>
      <c r="D10647" s="84">
        <v>0.0</v>
      </c>
      <c r="E10647" s="84">
        <v>0.0</v>
      </c>
      <c r="F10647" s="76" t="s">
        <v>993</v>
      </c>
      <c r="G10647" s="83">
        <v>46119.0</v>
      </c>
      <c r="H10647" s="76" t="s">
        <v>926</v>
      </c>
    </row>
    <row r="10648">
      <c r="A10648" s="76" t="s">
        <v>36</v>
      </c>
      <c r="B10648" s="76" t="s">
        <v>1032</v>
      </c>
      <c r="C10648" s="84">
        <v>1.04</v>
      </c>
      <c r="D10648" s="84">
        <v>0.0</v>
      </c>
      <c r="E10648" s="84">
        <v>0.0</v>
      </c>
      <c r="F10648" s="76" t="s">
        <v>993</v>
      </c>
      <c r="G10648" s="83">
        <v>46119.0</v>
      </c>
      <c r="H10648" s="76" t="s">
        <v>927</v>
      </c>
    </row>
    <row r="10649">
      <c r="A10649" s="76" t="s">
        <v>36</v>
      </c>
      <c r="B10649" s="76" t="s">
        <v>1032</v>
      </c>
      <c r="C10649" s="84">
        <v>0.16</v>
      </c>
      <c r="D10649" s="84">
        <v>0.0</v>
      </c>
      <c r="E10649" s="84">
        <v>0.0</v>
      </c>
      <c r="F10649" s="76" t="s">
        <v>993</v>
      </c>
      <c r="G10649" s="83">
        <v>46119.0</v>
      </c>
      <c r="H10649" s="76" t="s">
        <v>928</v>
      </c>
    </row>
    <row r="10650">
      <c r="A10650" s="76" t="s">
        <v>28</v>
      </c>
      <c r="B10650" s="76" t="s">
        <v>1032</v>
      </c>
      <c r="C10650" s="84">
        <v>0.11</v>
      </c>
      <c r="D10650" s="84">
        <v>0.0</v>
      </c>
      <c r="E10650" s="84">
        <v>0.0</v>
      </c>
      <c r="F10650" s="76" t="s">
        <v>993</v>
      </c>
      <c r="G10650" s="83">
        <v>46119.0</v>
      </c>
      <c r="H10650" s="76" t="s">
        <v>931</v>
      </c>
    </row>
    <row r="10651">
      <c r="A10651" s="76" t="s">
        <v>28</v>
      </c>
      <c r="B10651" s="76" t="s">
        <v>1032</v>
      </c>
      <c r="C10651" s="84">
        <v>0.07</v>
      </c>
      <c r="D10651" s="84">
        <v>0.0</v>
      </c>
      <c r="E10651" s="84">
        <v>0.0</v>
      </c>
      <c r="F10651" s="76" t="s">
        <v>993</v>
      </c>
      <c r="G10651" s="83">
        <v>46119.0</v>
      </c>
      <c r="H10651" s="76" t="s">
        <v>932</v>
      </c>
    </row>
    <row r="10652">
      <c r="A10652" s="76" t="s">
        <v>28</v>
      </c>
      <c r="B10652" s="76" t="s">
        <v>1032</v>
      </c>
      <c r="C10652" s="84">
        <v>1.29</v>
      </c>
      <c r="D10652" s="84">
        <v>0.0</v>
      </c>
      <c r="E10652" s="84">
        <v>0.0</v>
      </c>
      <c r="F10652" s="76" t="s">
        <v>993</v>
      </c>
      <c r="G10652" s="83">
        <v>46119.0</v>
      </c>
      <c r="H10652" s="76" t="s">
        <v>933</v>
      </c>
    </row>
    <row r="10653">
      <c r="A10653" s="76" t="s">
        <v>31</v>
      </c>
      <c r="B10653" s="76" t="s">
        <v>1032</v>
      </c>
      <c r="C10653" s="84">
        <v>0.4</v>
      </c>
      <c r="D10653" s="84">
        <v>0.0</v>
      </c>
      <c r="E10653" s="84">
        <v>0.0</v>
      </c>
      <c r="F10653" s="76" t="s">
        <v>993</v>
      </c>
      <c r="G10653" s="83">
        <v>46119.0</v>
      </c>
      <c r="H10653" s="76" t="s">
        <v>929</v>
      </c>
    </row>
    <row r="10654">
      <c r="A10654" s="76" t="s">
        <v>31</v>
      </c>
      <c r="B10654" s="76" t="s">
        <v>1032</v>
      </c>
      <c r="C10654" s="84">
        <v>6.38</v>
      </c>
      <c r="D10654" s="84">
        <v>2.0</v>
      </c>
      <c r="E10654" s="84">
        <v>3.19</v>
      </c>
      <c r="F10654" s="76" t="s">
        <v>993</v>
      </c>
      <c r="G10654" s="83">
        <v>46119.0</v>
      </c>
      <c r="H10654" s="76" t="s">
        <v>930</v>
      </c>
    </row>
    <row r="10655">
      <c r="A10655" s="76" t="s">
        <v>45</v>
      </c>
      <c r="B10655" s="76" t="s">
        <v>1032</v>
      </c>
      <c r="C10655" s="84">
        <v>0.0</v>
      </c>
      <c r="D10655" s="84">
        <v>0.0</v>
      </c>
      <c r="E10655" s="84">
        <v>0.0</v>
      </c>
      <c r="F10655" s="76" t="s">
        <v>994</v>
      </c>
      <c r="G10655" s="83">
        <v>46119.0</v>
      </c>
      <c r="H10655" s="76" t="s">
        <v>936</v>
      </c>
    </row>
    <row r="10656">
      <c r="A10656" s="76" t="s">
        <v>45</v>
      </c>
      <c r="B10656" s="76" t="s">
        <v>1032</v>
      </c>
      <c r="C10656" s="84">
        <v>0.03</v>
      </c>
      <c r="D10656" s="84">
        <v>0.0</v>
      </c>
      <c r="E10656" s="84">
        <v>0.0</v>
      </c>
      <c r="F10656" s="76" t="s">
        <v>994</v>
      </c>
      <c r="G10656" s="83">
        <v>46119.0</v>
      </c>
      <c r="H10656" s="76" t="s">
        <v>937</v>
      </c>
    </row>
    <row r="10657">
      <c r="A10657" s="76" t="s">
        <v>45</v>
      </c>
      <c r="B10657" s="76" t="s">
        <v>1032</v>
      </c>
      <c r="C10657" s="84">
        <v>0.12</v>
      </c>
      <c r="D10657" s="84">
        <v>0.0</v>
      </c>
      <c r="E10657" s="84">
        <v>0.0</v>
      </c>
      <c r="F10657" s="76" t="s">
        <v>994</v>
      </c>
      <c r="G10657" s="83">
        <v>46119.0</v>
      </c>
      <c r="H10657" s="76" t="s">
        <v>938</v>
      </c>
    </row>
    <row r="10658">
      <c r="A10658" s="76" t="s">
        <v>36</v>
      </c>
      <c r="B10658" s="76" t="s">
        <v>1032</v>
      </c>
      <c r="C10658" s="84">
        <v>0.62</v>
      </c>
      <c r="D10658" s="84">
        <v>1.0</v>
      </c>
      <c r="E10658" s="84">
        <v>0.62</v>
      </c>
      <c r="F10658" s="76" t="s">
        <v>994</v>
      </c>
      <c r="G10658" s="83">
        <v>46119.0</v>
      </c>
      <c r="H10658" s="76" t="s">
        <v>926</v>
      </c>
    </row>
    <row r="10659">
      <c r="A10659" s="76" t="s">
        <v>36</v>
      </c>
      <c r="B10659" s="76" t="s">
        <v>1032</v>
      </c>
      <c r="C10659" s="84">
        <v>0.03</v>
      </c>
      <c r="D10659" s="84">
        <v>0.0</v>
      </c>
      <c r="E10659" s="84">
        <v>0.0</v>
      </c>
      <c r="F10659" s="76" t="s">
        <v>994</v>
      </c>
      <c r="G10659" s="83">
        <v>46119.0</v>
      </c>
      <c r="H10659" s="76" t="s">
        <v>927</v>
      </c>
    </row>
    <row r="10660">
      <c r="A10660" s="76" t="s">
        <v>36</v>
      </c>
      <c r="B10660" s="76" t="s">
        <v>1032</v>
      </c>
      <c r="C10660" s="84">
        <v>0.02</v>
      </c>
      <c r="D10660" s="84">
        <v>0.0</v>
      </c>
      <c r="E10660" s="84">
        <v>0.0</v>
      </c>
      <c r="F10660" s="76" t="s">
        <v>994</v>
      </c>
      <c r="G10660" s="83">
        <v>46119.0</v>
      </c>
      <c r="H10660" s="76" t="s">
        <v>928</v>
      </c>
    </row>
    <row r="10661">
      <c r="A10661" s="76" t="s">
        <v>31</v>
      </c>
      <c r="B10661" s="76" t="s">
        <v>1032</v>
      </c>
      <c r="C10661" s="84">
        <v>0.04</v>
      </c>
      <c r="D10661" s="84">
        <v>0.0</v>
      </c>
      <c r="E10661" s="84">
        <v>0.0</v>
      </c>
      <c r="F10661" s="76" t="s">
        <v>994</v>
      </c>
      <c r="G10661" s="83">
        <v>46119.0</v>
      </c>
      <c r="H10661" s="76" t="s">
        <v>929</v>
      </c>
    </row>
    <row r="10662">
      <c r="A10662" s="76" t="s">
        <v>31</v>
      </c>
      <c r="B10662" s="76" t="s">
        <v>1032</v>
      </c>
      <c r="C10662" s="84">
        <v>1.07</v>
      </c>
      <c r="D10662" s="84">
        <v>1.0</v>
      </c>
      <c r="E10662" s="84">
        <v>1.07</v>
      </c>
      <c r="F10662" s="76" t="s">
        <v>994</v>
      </c>
      <c r="G10662" s="83">
        <v>46119.0</v>
      </c>
      <c r="H10662" s="76" t="s">
        <v>930</v>
      </c>
    </row>
    <row r="10663">
      <c r="A10663" s="76" t="s">
        <v>944</v>
      </c>
      <c r="B10663" s="76" t="s">
        <v>1032</v>
      </c>
      <c r="C10663" s="84">
        <v>0.19</v>
      </c>
      <c r="D10663" s="84">
        <v>0.0</v>
      </c>
      <c r="E10663" s="84">
        <v>0.0</v>
      </c>
      <c r="F10663" s="76" t="s">
        <v>994</v>
      </c>
      <c r="G10663" s="83">
        <v>46119.0</v>
      </c>
      <c r="H10663" s="76" t="s">
        <v>945</v>
      </c>
    </row>
    <row r="10664">
      <c r="A10664" s="76" t="s">
        <v>944</v>
      </c>
      <c r="B10664" s="76" t="s">
        <v>1032</v>
      </c>
      <c r="C10664" s="84">
        <v>0.03</v>
      </c>
      <c r="D10664" s="84">
        <v>0.0</v>
      </c>
      <c r="E10664" s="84">
        <v>0.0</v>
      </c>
      <c r="F10664" s="76" t="s">
        <v>994</v>
      </c>
      <c r="G10664" s="83">
        <v>46119.0</v>
      </c>
      <c r="H10664" s="76" t="s">
        <v>946</v>
      </c>
    </row>
    <row r="10665">
      <c r="A10665" s="76" t="s">
        <v>944</v>
      </c>
      <c r="B10665" s="76" t="s">
        <v>1032</v>
      </c>
      <c r="C10665" s="84">
        <v>0.05</v>
      </c>
      <c r="D10665" s="84">
        <v>0.0</v>
      </c>
      <c r="E10665" s="84">
        <v>0.0</v>
      </c>
      <c r="F10665" s="76" t="s">
        <v>994</v>
      </c>
      <c r="G10665" s="83">
        <v>46119.0</v>
      </c>
      <c r="H10665" s="76" t="s">
        <v>947</v>
      </c>
    </row>
    <row r="10666">
      <c r="A10666" s="76" t="s">
        <v>32</v>
      </c>
      <c r="B10666" s="76" t="s">
        <v>1032</v>
      </c>
      <c r="C10666" s="84">
        <v>0.08</v>
      </c>
      <c r="D10666" s="84">
        <v>0.0</v>
      </c>
      <c r="E10666" s="84">
        <v>0.0</v>
      </c>
      <c r="F10666" s="76" t="s">
        <v>994</v>
      </c>
      <c r="G10666" s="83">
        <v>46119.0</v>
      </c>
      <c r="H10666" s="76" t="s">
        <v>941</v>
      </c>
    </row>
    <row r="10667">
      <c r="A10667" s="76" t="s">
        <v>32</v>
      </c>
      <c r="B10667" s="76" t="s">
        <v>1032</v>
      </c>
      <c r="C10667" s="84">
        <v>0.09</v>
      </c>
      <c r="D10667" s="84">
        <v>1.0</v>
      </c>
      <c r="E10667" s="84">
        <v>0.09</v>
      </c>
      <c r="F10667" s="76" t="s">
        <v>994</v>
      </c>
      <c r="G10667" s="83">
        <v>46119.0</v>
      </c>
      <c r="H10667" s="76" t="s">
        <v>942</v>
      </c>
    </row>
    <row r="10668">
      <c r="A10668" s="76" t="s">
        <v>32</v>
      </c>
      <c r="B10668" s="76" t="s">
        <v>1032</v>
      </c>
      <c r="C10668" s="84">
        <v>0.11</v>
      </c>
      <c r="D10668" s="84">
        <v>0.0</v>
      </c>
      <c r="E10668" s="84">
        <v>0.0</v>
      </c>
      <c r="F10668" s="76" t="s">
        <v>994</v>
      </c>
      <c r="G10668" s="83">
        <v>46119.0</v>
      </c>
      <c r="H10668" s="76" t="s">
        <v>943</v>
      </c>
    </row>
    <row r="10669">
      <c r="A10669" s="76" t="s">
        <v>26</v>
      </c>
      <c r="B10669" s="76" t="s">
        <v>1032</v>
      </c>
      <c r="C10669" s="84">
        <v>0.03</v>
      </c>
      <c r="D10669" s="84">
        <v>0.0</v>
      </c>
      <c r="E10669" s="84">
        <v>0.0</v>
      </c>
      <c r="F10669" s="76" t="s">
        <v>994</v>
      </c>
      <c r="G10669" s="83">
        <v>46119.0</v>
      </c>
      <c r="H10669" s="76" t="s">
        <v>1012</v>
      </c>
    </row>
    <row r="10670">
      <c r="A10670" s="76" t="s">
        <v>26</v>
      </c>
      <c r="B10670" s="76" t="s">
        <v>1032</v>
      </c>
      <c r="C10670" s="84">
        <v>0.44</v>
      </c>
      <c r="D10670" s="84">
        <v>0.0</v>
      </c>
      <c r="E10670" s="84">
        <v>0.0</v>
      </c>
      <c r="F10670" s="76" t="s">
        <v>994</v>
      </c>
      <c r="G10670" s="83">
        <v>46119.0</v>
      </c>
      <c r="H10670" s="76" t="s">
        <v>1013</v>
      </c>
    </row>
    <row r="10671">
      <c r="A10671" s="76" t="s">
        <v>26</v>
      </c>
      <c r="B10671" s="76" t="s">
        <v>1032</v>
      </c>
      <c r="C10671" s="84">
        <v>0.13</v>
      </c>
      <c r="D10671" s="84">
        <v>0.0</v>
      </c>
      <c r="E10671" s="84">
        <v>0.0</v>
      </c>
      <c r="F10671" s="76" t="s">
        <v>994</v>
      </c>
      <c r="G10671" s="83">
        <v>46119.0</v>
      </c>
      <c r="H10671" s="76" t="s">
        <v>1014</v>
      </c>
    </row>
    <row r="10672">
      <c r="A10672" s="76" t="s">
        <v>28</v>
      </c>
      <c r="B10672" s="76" t="s">
        <v>1032</v>
      </c>
      <c r="C10672" s="84">
        <v>0.02</v>
      </c>
      <c r="D10672" s="84">
        <v>0.0</v>
      </c>
      <c r="E10672" s="84">
        <v>0.0</v>
      </c>
      <c r="F10672" s="76" t="s">
        <v>994</v>
      </c>
      <c r="G10672" s="83">
        <v>46119.0</v>
      </c>
      <c r="H10672" s="76" t="s">
        <v>931</v>
      </c>
    </row>
    <row r="10673">
      <c r="A10673" s="76" t="s">
        <v>28</v>
      </c>
      <c r="B10673" s="76" t="s">
        <v>1032</v>
      </c>
      <c r="C10673" s="84">
        <v>0.03</v>
      </c>
      <c r="D10673" s="84">
        <v>0.0</v>
      </c>
      <c r="E10673" s="84">
        <v>0.0</v>
      </c>
      <c r="F10673" s="76" t="s">
        <v>994</v>
      </c>
      <c r="G10673" s="83">
        <v>46119.0</v>
      </c>
      <c r="H10673" s="76" t="s">
        <v>932</v>
      </c>
    </row>
    <row r="10674">
      <c r="A10674" s="76" t="s">
        <v>28</v>
      </c>
      <c r="B10674" s="76" t="s">
        <v>1032</v>
      </c>
      <c r="C10674" s="84">
        <v>0.24</v>
      </c>
      <c r="D10674" s="84">
        <v>0.0</v>
      </c>
      <c r="E10674" s="84">
        <v>0.0</v>
      </c>
      <c r="F10674" s="76" t="s">
        <v>994</v>
      </c>
      <c r="G10674" s="83">
        <v>46119.0</v>
      </c>
      <c r="H10674" s="76" t="s">
        <v>933</v>
      </c>
    </row>
    <row r="10675">
      <c r="A10675" s="76" t="s">
        <v>36</v>
      </c>
      <c r="B10675" s="76" t="s">
        <v>1032</v>
      </c>
      <c r="C10675" s="84">
        <v>1.83</v>
      </c>
      <c r="D10675" s="84">
        <v>1.0</v>
      </c>
      <c r="E10675" s="84">
        <v>1.83</v>
      </c>
      <c r="F10675" s="76" t="s">
        <v>998</v>
      </c>
      <c r="G10675" s="83">
        <v>46119.0</v>
      </c>
      <c r="H10675" s="76" t="s">
        <v>926</v>
      </c>
    </row>
    <row r="10676">
      <c r="A10676" s="76" t="s">
        <v>36</v>
      </c>
      <c r="B10676" s="76" t="s">
        <v>1032</v>
      </c>
      <c r="C10676" s="84">
        <v>0.79</v>
      </c>
      <c r="D10676" s="84">
        <v>1.0</v>
      </c>
      <c r="E10676" s="84">
        <v>0.79</v>
      </c>
      <c r="F10676" s="76" t="s">
        <v>998</v>
      </c>
      <c r="G10676" s="83">
        <v>46119.0</v>
      </c>
      <c r="H10676" s="76" t="s">
        <v>927</v>
      </c>
    </row>
    <row r="10677">
      <c r="A10677" s="76" t="s">
        <v>36</v>
      </c>
      <c r="B10677" s="76" t="s">
        <v>1032</v>
      </c>
      <c r="C10677" s="84">
        <v>0.75</v>
      </c>
      <c r="D10677" s="84">
        <v>0.0</v>
      </c>
      <c r="E10677" s="84">
        <v>0.0</v>
      </c>
      <c r="F10677" s="76" t="s">
        <v>998</v>
      </c>
      <c r="G10677" s="83">
        <v>46119.0</v>
      </c>
      <c r="H10677" s="76" t="s">
        <v>928</v>
      </c>
    </row>
    <row r="10678">
      <c r="A10678" s="76" t="s">
        <v>31</v>
      </c>
      <c r="B10678" s="76" t="s">
        <v>1032</v>
      </c>
      <c r="C10678" s="84">
        <v>1.62</v>
      </c>
      <c r="D10678" s="84">
        <v>0.0</v>
      </c>
      <c r="E10678" s="84">
        <v>0.0</v>
      </c>
      <c r="F10678" s="76" t="s">
        <v>998</v>
      </c>
      <c r="G10678" s="83">
        <v>46119.0</v>
      </c>
      <c r="H10678" s="76" t="s">
        <v>929</v>
      </c>
    </row>
    <row r="10679">
      <c r="A10679" s="76" t="s">
        <v>31</v>
      </c>
      <c r="B10679" s="76" t="s">
        <v>1032</v>
      </c>
      <c r="C10679" s="84">
        <v>12.79</v>
      </c>
      <c r="D10679" s="84">
        <v>3.0</v>
      </c>
      <c r="E10679" s="84">
        <v>4.26</v>
      </c>
      <c r="F10679" s="76" t="s">
        <v>998</v>
      </c>
      <c r="G10679" s="83">
        <v>46119.0</v>
      </c>
      <c r="H10679" s="76" t="s">
        <v>930</v>
      </c>
    </row>
    <row r="10680">
      <c r="A10680" s="76" t="s">
        <v>28</v>
      </c>
      <c r="B10680" s="76" t="s">
        <v>1032</v>
      </c>
      <c r="C10680" s="84">
        <v>0.98</v>
      </c>
      <c r="D10680" s="84">
        <v>0.0</v>
      </c>
      <c r="E10680" s="84">
        <v>0.0</v>
      </c>
      <c r="F10680" s="76" t="s">
        <v>998</v>
      </c>
      <c r="G10680" s="83">
        <v>46119.0</v>
      </c>
      <c r="H10680" s="76" t="s">
        <v>931</v>
      </c>
    </row>
    <row r="10681">
      <c r="A10681" s="76" t="s">
        <v>28</v>
      </c>
      <c r="B10681" s="76" t="s">
        <v>1032</v>
      </c>
      <c r="C10681" s="84">
        <v>0.57</v>
      </c>
      <c r="D10681" s="84">
        <v>0.0</v>
      </c>
      <c r="E10681" s="84">
        <v>0.0</v>
      </c>
      <c r="F10681" s="76" t="s">
        <v>998</v>
      </c>
      <c r="G10681" s="83">
        <v>46119.0</v>
      </c>
      <c r="H10681" s="76" t="s">
        <v>932</v>
      </c>
    </row>
    <row r="10682">
      <c r="A10682" s="76" t="s">
        <v>28</v>
      </c>
      <c r="B10682" s="76" t="s">
        <v>1032</v>
      </c>
      <c r="C10682" s="84">
        <v>5.46</v>
      </c>
      <c r="D10682" s="84">
        <v>0.0</v>
      </c>
      <c r="E10682" s="84">
        <v>0.0</v>
      </c>
      <c r="F10682" s="76" t="s">
        <v>998</v>
      </c>
      <c r="G10682" s="83">
        <v>46119.0</v>
      </c>
      <c r="H10682" s="76" t="s">
        <v>933</v>
      </c>
    </row>
    <row r="10683">
      <c r="A10683" s="76" t="s">
        <v>944</v>
      </c>
      <c r="B10683" s="76" t="s">
        <v>1032</v>
      </c>
      <c r="C10683" s="84">
        <v>1.2</v>
      </c>
      <c r="D10683" s="84">
        <v>0.0</v>
      </c>
      <c r="E10683" s="84">
        <v>0.0</v>
      </c>
      <c r="F10683" s="76" t="s">
        <v>998</v>
      </c>
      <c r="G10683" s="83">
        <v>46119.0</v>
      </c>
      <c r="H10683" s="76" t="s">
        <v>945</v>
      </c>
    </row>
    <row r="10684">
      <c r="A10684" s="76" t="s">
        <v>944</v>
      </c>
      <c r="B10684" s="76" t="s">
        <v>1032</v>
      </c>
      <c r="C10684" s="84">
        <v>0.75</v>
      </c>
      <c r="D10684" s="84">
        <v>1.0</v>
      </c>
      <c r="E10684" s="84">
        <v>0.75</v>
      </c>
      <c r="F10684" s="76" t="s">
        <v>998</v>
      </c>
      <c r="G10684" s="83">
        <v>46119.0</v>
      </c>
      <c r="H10684" s="76" t="s">
        <v>946</v>
      </c>
    </row>
    <row r="10685">
      <c r="A10685" s="76" t="s">
        <v>944</v>
      </c>
      <c r="B10685" s="76" t="s">
        <v>1032</v>
      </c>
      <c r="C10685" s="84">
        <v>1.29</v>
      </c>
      <c r="D10685" s="84">
        <v>0.0</v>
      </c>
      <c r="E10685" s="84">
        <v>0.0</v>
      </c>
      <c r="F10685" s="76" t="s">
        <v>998</v>
      </c>
      <c r="G10685" s="83">
        <v>46119.0</v>
      </c>
      <c r="H10685" s="76" t="s">
        <v>947</v>
      </c>
    </row>
    <row r="10686">
      <c r="A10686" s="76" t="s">
        <v>45</v>
      </c>
      <c r="B10686" s="76" t="s">
        <v>1032</v>
      </c>
      <c r="C10686" s="84">
        <v>0.39</v>
      </c>
      <c r="D10686" s="84">
        <v>0.0</v>
      </c>
      <c r="E10686" s="84">
        <v>0.0</v>
      </c>
      <c r="F10686" s="76" t="s">
        <v>998</v>
      </c>
      <c r="G10686" s="83">
        <v>46119.0</v>
      </c>
      <c r="H10686" s="76" t="s">
        <v>936</v>
      </c>
    </row>
    <row r="10687">
      <c r="A10687" s="76" t="s">
        <v>45</v>
      </c>
      <c r="B10687" s="76" t="s">
        <v>1032</v>
      </c>
      <c r="C10687" s="84">
        <v>0.62</v>
      </c>
      <c r="D10687" s="84">
        <v>1.0</v>
      </c>
      <c r="E10687" s="84">
        <v>0.62</v>
      </c>
      <c r="F10687" s="76" t="s">
        <v>998</v>
      </c>
      <c r="G10687" s="83">
        <v>46119.0</v>
      </c>
      <c r="H10687" s="76" t="s">
        <v>937</v>
      </c>
    </row>
    <row r="10688">
      <c r="A10688" s="76" t="s">
        <v>45</v>
      </c>
      <c r="B10688" s="76" t="s">
        <v>1032</v>
      </c>
      <c r="C10688" s="84">
        <v>0.38</v>
      </c>
      <c r="D10688" s="84">
        <v>0.0</v>
      </c>
      <c r="E10688" s="84">
        <v>0.0</v>
      </c>
      <c r="F10688" s="76" t="s">
        <v>998</v>
      </c>
      <c r="G10688" s="83">
        <v>46119.0</v>
      </c>
      <c r="H10688" s="76" t="s">
        <v>938</v>
      </c>
    </row>
    <row r="10689">
      <c r="A10689" s="76" t="s">
        <v>32</v>
      </c>
      <c r="B10689" s="76" t="s">
        <v>1032</v>
      </c>
      <c r="C10689" s="84">
        <v>2.21</v>
      </c>
      <c r="D10689" s="84">
        <v>0.0</v>
      </c>
      <c r="E10689" s="84">
        <v>0.0</v>
      </c>
      <c r="F10689" s="76" t="s">
        <v>998</v>
      </c>
      <c r="G10689" s="83">
        <v>46119.0</v>
      </c>
      <c r="H10689" s="76" t="s">
        <v>941</v>
      </c>
    </row>
    <row r="10690">
      <c r="A10690" s="76" t="s">
        <v>32</v>
      </c>
      <c r="B10690" s="76" t="s">
        <v>1032</v>
      </c>
      <c r="C10690" s="84">
        <v>1.06</v>
      </c>
      <c r="D10690" s="84">
        <v>0.0</v>
      </c>
      <c r="E10690" s="84">
        <v>0.0</v>
      </c>
      <c r="F10690" s="76" t="s">
        <v>998</v>
      </c>
      <c r="G10690" s="83">
        <v>46119.0</v>
      </c>
      <c r="H10690" s="76" t="s">
        <v>942</v>
      </c>
    </row>
    <row r="10691">
      <c r="A10691" s="76" t="s">
        <v>32</v>
      </c>
      <c r="B10691" s="76" t="s">
        <v>1032</v>
      </c>
      <c r="C10691" s="84">
        <v>1.49</v>
      </c>
      <c r="D10691" s="84">
        <v>0.0</v>
      </c>
      <c r="E10691" s="84">
        <v>0.0</v>
      </c>
      <c r="F10691" s="76" t="s">
        <v>998</v>
      </c>
      <c r="G10691" s="83">
        <v>46119.0</v>
      </c>
      <c r="H10691" s="76" t="s">
        <v>943</v>
      </c>
    </row>
    <row r="10692">
      <c r="A10692" s="76" t="s">
        <v>26</v>
      </c>
      <c r="B10692" s="76" t="s">
        <v>1032</v>
      </c>
      <c r="C10692" s="84">
        <v>0.56</v>
      </c>
      <c r="D10692" s="84">
        <v>0.0</v>
      </c>
      <c r="E10692" s="84">
        <v>0.0</v>
      </c>
      <c r="F10692" s="76" t="s">
        <v>998</v>
      </c>
      <c r="G10692" s="83">
        <v>46119.0</v>
      </c>
      <c r="H10692" s="76" t="s">
        <v>1012</v>
      </c>
    </row>
    <row r="10693">
      <c r="A10693" s="76" t="s">
        <v>26</v>
      </c>
      <c r="B10693" s="76" t="s">
        <v>1032</v>
      </c>
      <c r="C10693" s="84">
        <v>0.27</v>
      </c>
      <c r="D10693" s="84">
        <v>0.0</v>
      </c>
      <c r="E10693" s="84">
        <v>0.0</v>
      </c>
      <c r="F10693" s="76" t="s">
        <v>998</v>
      </c>
      <c r="G10693" s="83">
        <v>46119.0</v>
      </c>
      <c r="H10693" s="76" t="s">
        <v>1013</v>
      </c>
    </row>
    <row r="10694">
      <c r="A10694" s="76" t="s">
        <v>26</v>
      </c>
      <c r="B10694" s="76" t="s">
        <v>1032</v>
      </c>
      <c r="C10694" s="84">
        <v>5.78</v>
      </c>
      <c r="D10694" s="84">
        <v>1.0</v>
      </c>
      <c r="E10694" s="84">
        <v>5.78</v>
      </c>
      <c r="F10694" s="76" t="s">
        <v>998</v>
      </c>
      <c r="G10694" s="83">
        <v>46119.0</v>
      </c>
      <c r="H10694" s="76" t="s">
        <v>1014</v>
      </c>
    </row>
    <row r="10695">
      <c r="A10695" s="76" t="s">
        <v>36</v>
      </c>
      <c r="B10695" s="76" t="s">
        <v>1042</v>
      </c>
      <c r="C10695" s="84">
        <v>2.22</v>
      </c>
      <c r="D10695" s="84">
        <v>0.0</v>
      </c>
      <c r="E10695" s="84">
        <v>0.0</v>
      </c>
      <c r="F10695" s="76" t="s">
        <v>996</v>
      </c>
      <c r="G10695" s="83">
        <v>46119.0</v>
      </c>
      <c r="H10695" s="76" t="s">
        <v>926</v>
      </c>
    </row>
    <row r="10696">
      <c r="A10696" s="76" t="s">
        <v>36</v>
      </c>
      <c r="B10696" s="76" t="s">
        <v>1042</v>
      </c>
      <c r="C10696" s="84">
        <v>0.59</v>
      </c>
      <c r="D10696" s="84">
        <v>0.0</v>
      </c>
      <c r="E10696" s="84">
        <v>0.0</v>
      </c>
      <c r="F10696" s="76" t="s">
        <v>996</v>
      </c>
      <c r="G10696" s="83">
        <v>46119.0</v>
      </c>
      <c r="H10696" s="76" t="s">
        <v>927</v>
      </c>
    </row>
    <row r="10697">
      <c r="A10697" s="76" t="s">
        <v>36</v>
      </c>
      <c r="B10697" s="76" t="s">
        <v>1042</v>
      </c>
      <c r="C10697" s="84">
        <v>0.74</v>
      </c>
      <c r="D10697" s="84">
        <v>0.0</v>
      </c>
      <c r="E10697" s="84">
        <v>0.0</v>
      </c>
      <c r="F10697" s="76" t="s">
        <v>996</v>
      </c>
      <c r="G10697" s="83">
        <v>46119.0</v>
      </c>
      <c r="H10697" s="76" t="s">
        <v>928</v>
      </c>
    </row>
    <row r="10698">
      <c r="A10698" s="76" t="s">
        <v>28</v>
      </c>
      <c r="B10698" s="76" t="s">
        <v>1042</v>
      </c>
      <c r="C10698" s="84">
        <v>2.56</v>
      </c>
      <c r="D10698" s="84">
        <v>0.0</v>
      </c>
      <c r="E10698" s="84">
        <v>0.0</v>
      </c>
      <c r="F10698" s="76" t="s">
        <v>996</v>
      </c>
      <c r="G10698" s="83">
        <v>46119.0</v>
      </c>
      <c r="H10698" s="76" t="s">
        <v>931</v>
      </c>
    </row>
    <row r="10699">
      <c r="A10699" s="76" t="s">
        <v>28</v>
      </c>
      <c r="B10699" s="76" t="s">
        <v>1042</v>
      </c>
      <c r="C10699" s="84">
        <v>1.53</v>
      </c>
      <c r="D10699" s="84">
        <v>0.0</v>
      </c>
      <c r="E10699" s="84">
        <v>0.0</v>
      </c>
      <c r="F10699" s="76" t="s">
        <v>996</v>
      </c>
      <c r="G10699" s="83">
        <v>46119.0</v>
      </c>
      <c r="H10699" s="76" t="s">
        <v>932</v>
      </c>
    </row>
    <row r="10700">
      <c r="A10700" s="76" t="s">
        <v>28</v>
      </c>
      <c r="B10700" s="76" t="s">
        <v>1042</v>
      </c>
      <c r="C10700" s="84">
        <v>37.03</v>
      </c>
      <c r="D10700" s="84">
        <v>6.0</v>
      </c>
      <c r="E10700" s="84">
        <v>6.17</v>
      </c>
      <c r="F10700" s="76" t="s">
        <v>996</v>
      </c>
      <c r="G10700" s="83">
        <v>46119.0</v>
      </c>
      <c r="H10700" s="76" t="s">
        <v>933</v>
      </c>
    </row>
    <row r="10701">
      <c r="A10701" s="76" t="s">
        <v>34</v>
      </c>
      <c r="B10701" s="76" t="s">
        <v>1042</v>
      </c>
      <c r="C10701" s="84">
        <v>2.65</v>
      </c>
      <c r="D10701" s="84">
        <v>0.0</v>
      </c>
      <c r="E10701" s="84">
        <v>0.0</v>
      </c>
      <c r="F10701" s="76" t="s">
        <v>996</v>
      </c>
      <c r="G10701" s="83">
        <v>46119.0</v>
      </c>
      <c r="H10701" s="76" t="s">
        <v>951</v>
      </c>
    </row>
    <row r="10702">
      <c r="A10702" s="76" t="s">
        <v>34</v>
      </c>
      <c r="B10702" s="76" t="s">
        <v>1042</v>
      </c>
      <c r="C10702" s="84">
        <v>4.01</v>
      </c>
      <c r="D10702" s="84">
        <v>2.0</v>
      </c>
      <c r="E10702" s="84">
        <v>2.0</v>
      </c>
      <c r="F10702" s="76" t="s">
        <v>996</v>
      </c>
      <c r="G10702" s="83">
        <v>46119.0</v>
      </c>
      <c r="H10702" s="76" t="s">
        <v>952</v>
      </c>
    </row>
    <row r="10703">
      <c r="A10703" s="76" t="s">
        <v>34</v>
      </c>
      <c r="B10703" s="76" t="s">
        <v>1042</v>
      </c>
      <c r="C10703" s="84">
        <v>1.04</v>
      </c>
      <c r="D10703" s="84">
        <v>0.0</v>
      </c>
      <c r="E10703" s="84">
        <v>0.0</v>
      </c>
      <c r="F10703" s="76" t="s">
        <v>996</v>
      </c>
      <c r="G10703" s="83">
        <v>46119.0</v>
      </c>
      <c r="H10703" s="76" t="s">
        <v>953</v>
      </c>
    </row>
    <row r="10704">
      <c r="A10704" s="76" t="s">
        <v>36</v>
      </c>
      <c r="B10704" s="76" t="s">
        <v>1042</v>
      </c>
      <c r="C10704" s="84">
        <v>29.9</v>
      </c>
      <c r="D10704" s="84">
        <v>9.0</v>
      </c>
      <c r="E10704" s="84">
        <v>3.32</v>
      </c>
      <c r="F10704" s="76" t="s">
        <v>1005</v>
      </c>
      <c r="G10704" s="83">
        <v>46119.0</v>
      </c>
      <c r="H10704" s="76" t="s">
        <v>926</v>
      </c>
    </row>
    <row r="10705">
      <c r="A10705" s="76" t="s">
        <v>36</v>
      </c>
      <c r="B10705" s="76" t="s">
        <v>1042</v>
      </c>
      <c r="C10705" s="84">
        <v>16.47</v>
      </c>
      <c r="D10705" s="84">
        <v>4.0</v>
      </c>
      <c r="E10705" s="84">
        <v>4.12</v>
      </c>
      <c r="F10705" s="76" t="s">
        <v>1005</v>
      </c>
      <c r="G10705" s="83">
        <v>46119.0</v>
      </c>
      <c r="H10705" s="76" t="s">
        <v>927</v>
      </c>
    </row>
    <row r="10706">
      <c r="A10706" s="76" t="s">
        <v>36</v>
      </c>
      <c r="B10706" s="76" t="s">
        <v>1042</v>
      </c>
      <c r="C10706" s="84">
        <v>28.45</v>
      </c>
      <c r="D10706" s="84">
        <v>9.0</v>
      </c>
      <c r="E10706" s="84">
        <v>3.16</v>
      </c>
      <c r="F10706" s="76" t="s">
        <v>1005</v>
      </c>
      <c r="G10706" s="83">
        <v>46119.0</v>
      </c>
      <c r="H10706" s="76" t="s">
        <v>928</v>
      </c>
    </row>
    <row r="10707">
      <c r="A10707" s="76" t="s">
        <v>28</v>
      </c>
      <c r="B10707" s="76" t="s">
        <v>1042</v>
      </c>
      <c r="C10707" s="84">
        <v>21.61</v>
      </c>
      <c r="D10707" s="84">
        <v>5.0</v>
      </c>
      <c r="E10707" s="84">
        <v>4.32</v>
      </c>
      <c r="F10707" s="76" t="s">
        <v>1005</v>
      </c>
      <c r="G10707" s="83">
        <v>46119.0</v>
      </c>
      <c r="H10707" s="76" t="s">
        <v>931</v>
      </c>
    </row>
    <row r="10708">
      <c r="A10708" s="76" t="s">
        <v>28</v>
      </c>
      <c r="B10708" s="76" t="s">
        <v>1042</v>
      </c>
      <c r="C10708" s="84">
        <v>17.14</v>
      </c>
      <c r="D10708" s="84">
        <v>3.0</v>
      </c>
      <c r="E10708" s="84">
        <v>5.71</v>
      </c>
      <c r="F10708" s="76" t="s">
        <v>1005</v>
      </c>
      <c r="G10708" s="83">
        <v>46119.0</v>
      </c>
      <c r="H10708" s="76" t="s">
        <v>932</v>
      </c>
    </row>
    <row r="10709">
      <c r="A10709" s="76" t="s">
        <v>28</v>
      </c>
      <c r="B10709" s="76" t="s">
        <v>1042</v>
      </c>
      <c r="C10709" s="84">
        <v>46.95</v>
      </c>
      <c r="D10709" s="84">
        <v>18.0</v>
      </c>
      <c r="E10709" s="84">
        <v>2.61</v>
      </c>
      <c r="F10709" s="76" t="s">
        <v>1005</v>
      </c>
      <c r="G10709" s="83">
        <v>46119.0</v>
      </c>
      <c r="H10709" s="76" t="s">
        <v>933</v>
      </c>
    </row>
    <row r="10710">
      <c r="A10710" s="76" t="s">
        <v>34</v>
      </c>
      <c r="B10710" s="76" t="s">
        <v>1042</v>
      </c>
      <c r="C10710" s="84">
        <v>21.64</v>
      </c>
      <c r="D10710" s="84">
        <v>2.0</v>
      </c>
      <c r="E10710" s="84">
        <v>10.82</v>
      </c>
      <c r="F10710" s="76" t="s">
        <v>1005</v>
      </c>
      <c r="G10710" s="83">
        <v>46119.0</v>
      </c>
      <c r="H10710" s="76" t="s">
        <v>951</v>
      </c>
    </row>
    <row r="10711">
      <c r="A10711" s="76" t="s">
        <v>34</v>
      </c>
      <c r="B10711" s="76" t="s">
        <v>1042</v>
      </c>
      <c r="C10711" s="84">
        <v>36.98</v>
      </c>
      <c r="D10711" s="84">
        <v>4.0</v>
      </c>
      <c r="E10711" s="84">
        <v>9.25</v>
      </c>
      <c r="F10711" s="76" t="s">
        <v>1005</v>
      </c>
      <c r="G10711" s="83">
        <v>46119.0</v>
      </c>
      <c r="H10711" s="76" t="s">
        <v>952</v>
      </c>
    </row>
    <row r="10712">
      <c r="A10712" s="76" t="s">
        <v>34</v>
      </c>
      <c r="B10712" s="76" t="s">
        <v>1042</v>
      </c>
      <c r="C10712" s="84">
        <v>13.31</v>
      </c>
      <c r="D10712" s="84">
        <v>3.0</v>
      </c>
      <c r="E10712" s="84">
        <v>4.44</v>
      </c>
      <c r="F10712" s="76" t="s">
        <v>1005</v>
      </c>
      <c r="G10712" s="83">
        <v>46119.0</v>
      </c>
      <c r="H10712" s="76" t="s">
        <v>953</v>
      </c>
    </row>
    <row r="10713">
      <c r="A10713" s="76" t="s">
        <v>36</v>
      </c>
      <c r="B10713" s="76" t="s">
        <v>1042</v>
      </c>
      <c r="C10713" s="84">
        <v>4.57</v>
      </c>
      <c r="D10713" s="84">
        <v>2.0</v>
      </c>
      <c r="E10713" s="84">
        <v>2.29</v>
      </c>
      <c r="F10713" s="76" t="s">
        <v>990</v>
      </c>
      <c r="G10713" s="83">
        <v>46119.0</v>
      </c>
      <c r="H10713" s="76" t="s">
        <v>926</v>
      </c>
    </row>
    <row r="10714">
      <c r="A10714" s="76" t="s">
        <v>36</v>
      </c>
      <c r="B10714" s="76" t="s">
        <v>1042</v>
      </c>
      <c r="C10714" s="84">
        <v>1.91</v>
      </c>
      <c r="D10714" s="84">
        <v>0.0</v>
      </c>
      <c r="E10714" s="84">
        <v>0.0</v>
      </c>
      <c r="F10714" s="76" t="s">
        <v>990</v>
      </c>
      <c r="G10714" s="83">
        <v>46119.0</v>
      </c>
      <c r="H10714" s="76" t="s">
        <v>927</v>
      </c>
    </row>
    <row r="10715">
      <c r="A10715" s="76" t="s">
        <v>36</v>
      </c>
      <c r="B10715" s="76" t="s">
        <v>1042</v>
      </c>
      <c r="C10715" s="84">
        <v>2.31</v>
      </c>
      <c r="D10715" s="84">
        <v>0.0</v>
      </c>
      <c r="E10715" s="84">
        <v>0.0</v>
      </c>
      <c r="F10715" s="76" t="s">
        <v>990</v>
      </c>
      <c r="G10715" s="83">
        <v>46119.0</v>
      </c>
      <c r="H10715" s="76" t="s">
        <v>928</v>
      </c>
    </row>
    <row r="10716">
      <c r="A10716" s="76" t="s">
        <v>28</v>
      </c>
      <c r="B10716" s="76" t="s">
        <v>1042</v>
      </c>
      <c r="C10716" s="84">
        <v>2.21</v>
      </c>
      <c r="D10716" s="84">
        <v>0.0</v>
      </c>
      <c r="E10716" s="84">
        <v>0.0</v>
      </c>
      <c r="F10716" s="76" t="s">
        <v>990</v>
      </c>
      <c r="G10716" s="83">
        <v>46119.0</v>
      </c>
      <c r="H10716" s="76" t="s">
        <v>931</v>
      </c>
    </row>
    <row r="10717">
      <c r="A10717" s="76" t="s">
        <v>28</v>
      </c>
      <c r="B10717" s="76" t="s">
        <v>1042</v>
      </c>
      <c r="C10717" s="84">
        <v>2.49</v>
      </c>
      <c r="D10717" s="84">
        <v>0.0</v>
      </c>
      <c r="E10717" s="84">
        <v>0.0</v>
      </c>
      <c r="F10717" s="76" t="s">
        <v>990</v>
      </c>
      <c r="G10717" s="83">
        <v>46119.0</v>
      </c>
      <c r="H10717" s="76" t="s">
        <v>932</v>
      </c>
    </row>
    <row r="10718">
      <c r="A10718" s="76" t="s">
        <v>28</v>
      </c>
      <c r="B10718" s="76" t="s">
        <v>1042</v>
      </c>
      <c r="C10718" s="84">
        <v>18.99</v>
      </c>
      <c r="D10718" s="84">
        <v>5.0</v>
      </c>
      <c r="E10718" s="84">
        <v>3.8</v>
      </c>
      <c r="F10718" s="76" t="s">
        <v>990</v>
      </c>
      <c r="G10718" s="83">
        <v>46119.0</v>
      </c>
      <c r="H10718" s="76" t="s">
        <v>933</v>
      </c>
    </row>
    <row r="10719">
      <c r="A10719" s="76" t="s">
        <v>34</v>
      </c>
      <c r="B10719" s="76" t="s">
        <v>1042</v>
      </c>
      <c r="C10719" s="84">
        <v>3.9</v>
      </c>
      <c r="D10719" s="84">
        <v>0.0</v>
      </c>
      <c r="E10719" s="84">
        <v>0.0</v>
      </c>
      <c r="F10719" s="76" t="s">
        <v>990</v>
      </c>
      <c r="G10719" s="83">
        <v>46119.0</v>
      </c>
      <c r="H10719" s="76" t="s">
        <v>951</v>
      </c>
    </row>
    <row r="10720">
      <c r="A10720" s="76" t="s">
        <v>34</v>
      </c>
      <c r="B10720" s="76" t="s">
        <v>1042</v>
      </c>
      <c r="C10720" s="84">
        <v>5.22</v>
      </c>
      <c r="D10720" s="84">
        <v>2.0</v>
      </c>
      <c r="E10720" s="84">
        <v>2.61</v>
      </c>
      <c r="F10720" s="76" t="s">
        <v>990</v>
      </c>
      <c r="G10720" s="83">
        <v>46119.0</v>
      </c>
      <c r="H10720" s="76" t="s">
        <v>952</v>
      </c>
    </row>
    <row r="10721">
      <c r="A10721" s="76" t="s">
        <v>34</v>
      </c>
      <c r="B10721" s="76" t="s">
        <v>1042</v>
      </c>
      <c r="C10721" s="84">
        <v>2.75</v>
      </c>
      <c r="D10721" s="84">
        <v>0.0</v>
      </c>
      <c r="E10721" s="84">
        <v>0.0</v>
      </c>
      <c r="F10721" s="76" t="s">
        <v>990</v>
      </c>
      <c r="G10721" s="83">
        <v>46119.0</v>
      </c>
      <c r="H10721" s="76" t="s">
        <v>953</v>
      </c>
    </row>
    <row r="10722">
      <c r="A10722" s="76" t="s">
        <v>36</v>
      </c>
      <c r="B10722" s="76" t="s">
        <v>1042</v>
      </c>
      <c r="C10722" s="84">
        <v>2.59</v>
      </c>
      <c r="D10722" s="84">
        <v>1.0</v>
      </c>
      <c r="E10722" s="84">
        <v>2.59</v>
      </c>
      <c r="F10722" s="76" t="s">
        <v>993</v>
      </c>
      <c r="G10722" s="83">
        <v>46119.0</v>
      </c>
      <c r="H10722" s="76" t="s">
        <v>926</v>
      </c>
    </row>
    <row r="10723">
      <c r="A10723" s="76" t="s">
        <v>36</v>
      </c>
      <c r="B10723" s="76" t="s">
        <v>1042</v>
      </c>
      <c r="C10723" s="84">
        <v>1.1</v>
      </c>
      <c r="D10723" s="84">
        <v>0.0</v>
      </c>
      <c r="E10723" s="84">
        <v>0.0</v>
      </c>
      <c r="F10723" s="76" t="s">
        <v>993</v>
      </c>
      <c r="G10723" s="83">
        <v>46119.0</v>
      </c>
      <c r="H10723" s="76" t="s">
        <v>927</v>
      </c>
    </row>
    <row r="10724">
      <c r="A10724" s="76" t="s">
        <v>36</v>
      </c>
      <c r="B10724" s="76" t="s">
        <v>1042</v>
      </c>
      <c r="C10724" s="84">
        <v>2.2</v>
      </c>
      <c r="D10724" s="84">
        <v>1.0</v>
      </c>
      <c r="E10724" s="84">
        <v>2.2</v>
      </c>
      <c r="F10724" s="76" t="s">
        <v>993</v>
      </c>
      <c r="G10724" s="83">
        <v>46119.0</v>
      </c>
      <c r="H10724" s="76" t="s">
        <v>928</v>
      </c>
    </row>
    <row r="10725">
      <c r="A10725" s="76" t="s">
        <v>28</v>
      </c>
      <c r="B10725" s="76" t="s">
        <v>1042</v>
      </c>
      <c r="C10725" s="84">
        <v>0.76</v>
      </c>
      <c r="D10725" s="84">
        <v>0.0</v>
      </c>
      <c r="E10725" s="84">
        <v>0.0</v>
      </c>
      <c r="F10725" s="76" t="s">
        <v>993</v>
      </c>
      <c r="G10725" s="83">
        <v>46119.0</v>
      </c>
      <c r="H10725" s="76" t="s">
        <v>931</v>
      </c>
    </row>
    <row r="10726">
      <c r="A10726" s="76" t="s">
        <v>28</v>
      </c>
      <c r="B10726" s="76" t="s">
        <v>1042</v>
      </c>
      <c r="C10726" s="84">
        <v>0.57</v>
      </c>
      <c r="D10726" s="84">
        <v>0.0</v>
      </c>
      <c r="E10726" s="84">
        <v>0.0</v>
      </c>
      <c r="F10726" s="76" t="s">
        <v>993</v>
      </c>
      <c r="G10726" s="83">
        <v>46119.0</v>
      </c>
      <c r="H10726" s="76" t="s">
        <v>932</v>
      </c>
    </row>
    <row r="10727">
      <c r="A10727" s="76" t="s">
        <v>28</v>
      </c>
      <c r="B10727" s="76" t="s">
        <v>1042</v>
      </c>
      <c r="C10727" s="84">
        <v>8.31</v>
      </c>
      <c r="D10727" s="84">
        <v>0.0</v>
      </c>
      <c r="E10727" s="84">
        <v>0.0</v>
      </c>
      <c r="F10727" s="76" t="s">
        <v>993</v>
      </c>
      <c r="G10727" s="83">
        <v>46119.0</v>
      </c>
      <c r="H10727" s="76" t="s">
        <v>933</v>
      </c>
    </row>
    <row r="10728">
      <c r="A10728" s="76" t="s">
        <v>34</v>
      </c>
      <c r="B10728" s="76" t="s">
        <v>1042</v>
      </c>
      <c r="C10728" s="84">
        <v>1.46</v>
      </c>
      <c r="D10728" s="84">
        <v>0.0</v>
      </c>
      <c r="E10728" s="84">
        <v>0.0</v>
      </c>
      <c r="F10728" s="76" t="s">
        <v>993</v>
      </c>
      <c r="G10728" s="83">
        <v>46119.0</v>
      </c>
      <c r="H10728" s="76" t="s">
        <v>951</v>
      </c>
    </row>
    <row r="10729">
      <c r="A10729" s="76" t="s">
        <v>34</v>
      </c>
      <c r="B10729" s="76" t="s">
        <v>1042</v>
      </c>
      <c r="C10729" s="84">
        <v>1.71</v>
      </c>
      <c r="D10729" s="84">
        <v>0.0</v>
      </c>
      <c r="E10729" s="84">
        <v>0.0</v>
      </c>
      <c r="F10729" s="76" t="s">
        <v>993</v>
      </c>
      <c r="G10729" s="83">
        <v>46119.0</v>
      </c>
      <c r="H10729" s="76" t="s">
        <v>952</v>
      </c>
    </row>
    <row r="10730">
      <c r="A10730" s="76" t="s">
        <v>34</v>
      </c>
      <c r="B10730" s="76" t="s">
        <v>1042</v>
      </c>
      <c r="C10730" s="84">
        <v>0.9</v>
      </c>
      <c r="D10730" s="84">
        <v>0.0</v>
      </c>
      <c r="E10730" s="84">
        <v>0.0</v>
      </c>
      <c r="F10730" s="76" t="s">
        <v>993</v>
      </c>
      <c r="G10730" s="83">
        <v>46119.0</v>
      </c>
      <c r="H10730" s="76" t="s">
        <v>953</v>
      </c>
    </row>
    <row r="10731">
      <c r="A10731" s="76" t="s">
        <v>36</v>
      </c>
      <c r="B10731" s="76" t="s">
        <v>1042</v>
      </c>
      <c r="C10731" s="84">
        <v>0.83</v>
      </c>
      <c r="D10731" s="84">
        <v>0.0</v>
      </c>
      <c r="E10731" s="84">
        <v>0.0</v>
      </c>
      <c r="F10731" s="76" t="s">
        <v>998</v>
      </c>
      <c r="G10731" s="83">
        <v>46119.0</v>
      </c>
      <c r="H10731" s="76" t="s">
        <v>926</v>
      </c>
    </row>
    <row r="10732">
      <c r="A10732" s="76" t="s">
        <v>36</v>
      </c>
      <c r="B10732" s="76" t="s">
        <v>1042</v>
      </c>
      <c r="C10732" s="84">
        <v>0.42</v>
      </c>
      <c r="D10732" s="84">
        <v>0.0</v>
      </c>
      <c r="E10732" s="84">
        <v>0.0</v>
      </c>
      <c r="F10732" s="76" t="s">
        <v>998</v>
      </c>
      <c r="G10732" s="83">
        <v>46119.0</v>
      </c>
      <c r="H10732" s="76" t="s">
        <v>927</v>
      </c>
    </row>
    <row r="10733">
      <c r="A10733" s="76" t="s">
        <v>36</v>
      </c>
      <c r="B10733" s="76" t="s">
        <v>1042</v>
      </c>
      <c r="C10733" s="84">
        <v>0.37</v>
      </c>
      <c r="D10733" s="84">
        <v>0.0</v>
      </c>
      <c r="E10733" s="84">
        <v>0.0</v>
      </c>
      <c r="F10733" s="76" t="s">
        <v>998</v>
      </c>
      <c r="G10733" s="83">
        <v>46119.0</v>
      </c>
      <c r="H10733" s="76" t="s">
        <v>928</v>
      </c>
    </row>
    <row r="10734">
      <c r="A10734" s="76" t="s">
        <v>28</v>
      </c>
      <c r="B10734" s="76" t="s">
        <v>1042</v>
      </c>
      <c r="C10734" s="84">
        <v>0.69</v>
      </c>
      <c r="D10734" s="84">
        <v>0.0</v>
      </c>
      <c r="E10734" s="84">
        <v>0.0</v>
      </c>
      <c r="F10734" s="76" t="s">
        <v>998</v>
      </c>
      <c r="G10734" s="83">
        <v>46119.0</v>
      </c>
      <c r="H10734" s="76" t="s">
        <v>931</v>
      </c>
    </row>
    <row r="10735">
      <c r="A10735" s="76" t="s">
        <v>28</v>
      </c>
      <c r="B10735" s="76" t="s">
        <v>1042</v>
      </c>
      <c r="C10735" s="84">
        <v>1.35</v>
      </c>
      <c r="D10735" s="84">
        <v>0.0</v>
      </c>
      <c r="E10735" s="84">
        <v>0.0</v>
      </c>
      <c r="F10735" s="76" t="s">
        <v>998</v>
      </c>
      <c r="G10735" s="83">
        <v>46119.0</v>
      </c>
      <c r="H10735" s="76" t="s">
        <v>932</v>
      </c>
    </row>
    <row r="10736">
      <c r="A10736" s="76" t="s">
        <v>28</v>
      </c>
      <c r="B10736" s="76" t="s">
        <v>1042</v>
      </c>
      <c r="C10736" s="84">
        <v>24.22</v>
      </c>
      <c r="D10736" s="84">
        <v>6.0</v>
      </c>
      <c r="E10736" s="84">
        <v>4.04</v>
      </c>
      <c r="F10736" s="76" t="s">
        <v>998</v>
      </c>
      <c r="G10736" s="83">
        <v>46119.0</v>
      </c>
      <c r="H10736" s="76" t="s">
        <v>933</v>
      </c>
    </row>
    <row r="10737">
      <c r="A10737" s="76" t="s">
        <v>34</v>
      </c>
      <c r="B10737" s="76" t="s">
        <v>1042</v>
      </c>
      <c r="C10737" s="84">
        <v>1.98</v>
      </c>
      <c r="D10737" s="84">
        <v>1.0</v>
      </c>
      <c r="E10737" s="84">
        <v>1.98</v>
      </c>
      <c r="F10737" s="76" t="s">
        <v>998</v>
      </c>
      <c r="G10737" s="83">
        <v>46119.0</v>
      </c>
      <c r="H10737" s="76" t="s">
        <v>951</v>
      </c>
    </row>
    <row r="10738">
      <c r="A10738" s="76" t="s">
        <v>34</v>
      </c>
      <c r="B10738" s="76" t="s">
        <v>1042</v>
      </c>
      <c r="C10738" s="84">
        <v>1.86</v>
      </c>
      <c r="D10738" s="84">
        <v>0.0</v>
      </c>
      <c r="E10738" s="84">
        <v>0.0</v>
      </c>
      <c r="F10738" s="76" t="s">
        <v>998</v>
      </c>
      <c r="G10738" s="83">
        <v>46119.0</v>
      </c>
      <c r="H10738" s="76" t="s">
        <v>952</v>
      </c>
    </row>
    <row r="10739">
      <c r="A10739" s="76" t="s">
        <v>34</v>
      </c>
      <c r="B10739" s="76" t="s">
        <v>1042</v>
      </c>
      <c r="C10739" s="84">
        <v>0.45</v>
      </c>
      <c r="D10739" s="84">
        <v>0.0</v>
      </c>
      <c r="E10739" s="84">
        <v>0.0</v>
      </c>
      <c r="F10739" s="76" t="s">
        <v>998</v>
      </c>
      <c r="G10739" s="83">
        <v>46119.0</v>
      </c>
      <c r="H10739" s="76" t="s">
        <v>953</v>
      </c>
    </row>
    <row r="10740">
      <c r="A10740" s="76" t="s">
        <v>36</v>
      </c>
      <c r="B10740" s="76" t="s">
        <v>1042</v>
      </c>
      <c r="C10740" s="84">
        <v>0.33</v>
      </c>
      <c r="D10740" s="84">
        <v>0.0</v>
      </c>
      <c r="E10740" s="84">
        <v>0.0</v>
      </c>
      <c r="F10740" s="76" t="s">
        <v>997</v>
      </c>
      <c r="G10740" s="83">
        <v>46119.0</v>
      </c>
      <c r="H10740" s="76" t="s">
        <v>926</v>
      </c>
    </row>
    <row r="10741">
      <c r="A10741" s="76" t="s">
        <v>36</v>
      </c>
      <c r="B10741" s="76" t="s">
        <v>1042</v>
      </c>
      <c r="C10741" s="84">
        <v>0.06</v>
      </c>
      <c r="D10741" s="84">
        <v>0.0</v>
      </c>
      <c r="E10741" s="84">
        <v>0.0</v>
      </c>
      <c r="F10741" s="76" t="s">
        <v>997</v>
      </c>
      <c r="G10741" s="83">
        <v>46119.0</v>
      </c>
      <c r="H10741" s="76" t="s">
        <v>927</v>
      </c>
    </row>
    <row r="10742">
      <c r="A10742" s="76" t="s">
        <v>36</v>
      </c>
      <c r="B10742" s="76" t="s">
        <v>1042</v>
      </c>
      <c r="C10742" s="84">
        <v>0.18</v>
      </c>
      <c r="D10742" s="84">
        <v>0.0</v>
      </c>
      <c r="E10742" s="84">
        <v>0.0</v>
      </c>
      <c r="F10742" s="76" t="s">
        <v>997</v>
      </c>
      <c r="G10742" s="83">
        <v>46119.0</v>
      </c>
      <c r="H10742" s="76" t="s">
        <v>928</v>
      </c>
    </row>
    <row r="10743">
      <c r="A10743" s="76" t="s">
        <v>28</v>
      </c>
      <c r="B10743" s="76" t="s">
        <v>1042</v>
      </c>
      <c r="C10743" s="84">
        <v>0.12</v>
      </c>
      <c r="D10743" s="84">
        <v>0.0</v>
      </c>
      <c r="E10743" s="84">
        <v>0.0</v>
      </c>
      <c r="F10743" s="76" t="s">
        <v>997</v>
      </c>
      <c r="G10743" s="83">
        <v>46119.0</v>
      </c>
      <c r="H10743" s="76" t="s">
        <v>931</v>
      </c>
    </row>
    <row r="10744">
      <c r="A10744" s="76" t="s">
        <v>28</v>
      </c>
      <c r="B10744" s="76" t="s">
        <v>1042</v>
      </c>
      <c r="C10744" s="84">
        <v>0.17</v>
      </c>
      <c r="D10744" s="84">
        <v>0.0</v>
      </c>
      <c r="E10744" s="84">
        <v>0.0</v>
      </c>
      <c r="F10744" s="76" t="s">
        <v>997</v>
      </c>
      <c r="G10744" s="83">
        <v>46119.0</v>
      </c>
      <c r="H10744" s="76" t="s">
        <v>932</v>
      </c>
    </row>
    <row r="10745">
      <c r="A10745" s="76" t="s">
        <v>28</v>
      </c>
      <c r="B10745" s="76" t="s">
        <v>1042</v>
      </c>
      <c r="C10745" s="84">
        <v>1.71</v>
      </c>
      <c r="D10745" s="84">
        <v>0.0</v>
      </c>
      <c r="E10745" s="84">
        <v>0.0</v>
      </c>
      <c r="F10745" s="76" t="s">
        <v>997</v>
      </c>
      <c r="G10745" s="83">
        <v>46119.0</v>
      </c>
      <c r="H10745" s="76" t="s">
        <v>933</v>
      </c>
    </row>
    <row r="10746">
      <c r="A10746" s="76" t="s">
        <v>34</v>
      </c>
      <c r="B10746" s="76" t="s">
        <v>1042</v>
      </c>
      <c r="C10746" s="84">
        <v>0.3</v>
      </c>
      <c r="D10746" s="84">
        <v>0.0</v>
      </c>
      <c r="E10746" s="84">
        <v>0.0</v>
      </c>
      <c r="F10746" s="76" t="s">
        <v>997</v>
      </c>
      <c r="G10746" s="83">
        <v>46119.0</v>
      </c>
      <c r="H10746" s="76" t="s">
        <v>951</v>
      </c>
    </row>
    <row r="10747">
      <c r="A10747" s="76" t="s">
        <v>34</v>
      </c>
      <c r="B10747" s="76" t="s">
        <v>1042</v>
      </c>
      <c r="C10747" s="84">
        <v>0.6</v>
      </c>
      <c r="D10747" s="84">
        <v>0.0</v>
      </c>
      <c r="E10747" s="84">
        <v>0.0</v>
      </c>
      <c r="F10747" s="76" t="s">
        <v>997</v>
      </c>
      <c r="G10747" s="83">
        <v>46119.0</v>
      </c>
      <c r="H10747" s="76" t="s">
        <v>952</v>
      </c>
    </row>
    <row r="10748">
      <c r="A10748" s="76" t="s">
        <v>34</v>
      </c>
      <c r="B10748" s="76" t="s">
        <v>1042</v>
      </c>
      <c r="C10748" s="84">
        <v>0.12</v>
      </c>
      <c r="D10748" s="84">
        <v>0.0</v>
      </c>
      <c r="E10748" s="84">
        <v>0.0</v>
      </c>
      <c r="F10748" s="76" t="s">
        <v>997</v>
      </c>
      <c r="G10748" s="83">
        <v>46119.0</v>
      </c>
      <c r="H10748" s="76" t="s">
        <v>953</v>
      </c>
    </row>
    <row r="10749">
      <c r="A10749" s="76" t="s">
        <v>34</v>
      </c>
      <c r="B10749" s="76" t="s">
        <v>1035</v>
      </c>
      <c r="C10749" s="84">
        <v>0.04</v>
      </c>
      <c r="D10749" s="84">
        <v>0.0</v>
      </c>
      <c r="E10749" s="84">
        <v>0.0</v>
      </c>
      <c r="F10749" s="76" t="s">
        <v>925</v>
      </c>
      <c r="G10749" s="83">
        <v>46119.0</v>
      </c>
      <c r="H10749" s="76" t="s">
        <v>951</v>
      </c>
    </row>
    <row r="10750">
      <c r="A10750" s="76" t="s">
        <v>34</v>
      </c>
      <c r="B10750" s="76" t="s">
        <v>1035</v>
      </c>
      <c r="C10750" s="84">
        <v>0.07</v>
      </c>
      <c r="D10750" s="84">
        <v>0.0</v>
      </c>
      <c r="E10750" s="84">
        <v>0.0</v>
      </c>
      <c r="F10750" s="76" t="s">
        <v>925</v>
      </c>
      <c r="G10750" s="83">
        <v>46119.0</v>
      </c>
      <c r="H10750" s="76" t="s">
        <v>952</v>
      </c>
    </row>
    <row r="10751">
      <c r="A10751" s="76" t="s">
        <v>34</v>
      </c>
      <c r="B10751" s="76" t="s">
        <v>1035</v>
      </c>
      <c r="C10751" s="84">
        <v>0.01</v>
      </c>
      <c r="D10751" s="84">
        <v>0.0</v>
      </c>
      <c r="E10751" s="84">
        <v>0.0</v>
      </c>
      <c r="F10751" s="76" t="s">
        <v>925</v>
      </c>
      <c r="G10751" s="83">
        <v>46119.0</v>
      </c>
      <c r="H10751" s="76" t="s">
        <v>953</v>
      </c>
    </row>
    <row r="10752">
      <c r="A10752" s="76" t="s">
        <v>43</v>
      </c>
      <c r="B10752" s="76" t="s">
        <v>1035</v>
      </c>
      <c r="C10752" s="84">
        <v>0.08</v>
      </c>
      <c r="D10752" s="84">
        <v>0.0</v>
      </c>
      <c r="E10752" s="84">
        <v>0.0</v>
      </c>
      <c r="F10752" s="76" t="s">
        <v>925</v>
      </c>
      <c r="G10752" s="83">
        <v>46119.0</v>
      </c>
      <c r="H10752" s="76" t="s">
        <v>963</v>
      </c>
    </row>
    <row r="10753">
      <c r="A10753" s="76" t="s">
        <v>43</v>
      </c>
      <c r="B10753" s="76" t="s">
        <v>1035</v>
      </c>
      <c r="C10753" s="84">
        <v>0.15</v>
      </c>
      <c r="D10753" s="84">
        <v>0.0</v>
      </c>
      <c r="E10753" s="84">
        <v>0.0</v>
      </c>
      <c r="F10753" s="76" t="s">
        <v>925</v>
      </c>
      <c r="G10753" s="83">
        <v>46119.0</v>
      </c>
      <c r="H10753" s="76" t="s">
        <v>964</v>
      </c>
    </row>
    <row r="10754">
      <c r="A10754" s="76" t="s">
        <v>43</v>
      </c>
      <c r="B10754" s="76" t="s">
        <v>1035</v>
      </c>
      <c r="C10754" s="84">
        <v>0.53</v>
      </c>
      <c r="D10754" s="84">
        <v>0.0</v>
      </c>
      <c r="E10754" s="84">
        <v>0.0</v>
      </c>
      <c r="F10754" s="76" t="s">
        <v>925</v>
      </c>
      <c r="G10754" s="83">
        <v>46119.0</v>
      </c>
      <c r="H10754" s="76" t="s">
        <v>965</v>
      </c>
    </row>
    <row r="10755">
      <c r="A10755" s="76" t="s">
        <v>970</v>
      </c>
      <c r="B10755" s="76" t="s">
        <v>1035</v>
      </c>
      <c r="C10755" s="84">
        <v>0.23</v>
      </c>
      <c r="D10755" s="84">
        <v>0.0</v>
      </c>
      <c r="E10755" s="84">
        <v>0.0</v>
      </c>
      <c r="F10755" s="76" t="s">
        <v>925</v>
      </c>
      <c r="G10755" s="83">
        <v>46119.0</v>
      </c>
      <c r="H10755" s="76" t="s">
        <v>971</v>
      </c>
    </row>
    <row r="10756">
      <c r="A10756" s="76" t="s">
        <v>970</v>
      </c>
      <c r="B10756" s="76" t="s">
        <v>1035</v>
      </c>
      <c r="C10756" s="84">
        <v>0.13</v>
      </c>
      <c r="D10756" s="84">
        <v>0.0</v>
      </c>
      <c r="E10756" s="84">
        <v>0.0</v>
      </c>
      <c r="F10756" s="76" t="s">
        <v>925</v>
      </c>
      <c r="G10756" s="83">
        <v>46119.0</v>
      </c>
      <c r="H10756" s="76" t="s">
        <v>972</v>
      </c>
    </row>
    <row r="10757">
      <c r="A10757" s="76" t="s">
        <v>970</v>
      </c>
      <c r="B10757" s="76" t="s">
        <v>1035</v>
      </c>
      <c r="C10757" s="84">
        <v>0.26</v>
      </c>
      <c r="D10757" s="84">
        <v>1.0</v>
      </c>
      <c r="E10757" s="84">
        <v>0.26</v>
      </c>
      <c r="F10757" s="76" t="s">
        <v>925</v>
      </c>
      <c r="G10757" s="83">
        <v>46119.0</v>
      </c>
      <c r="H10757" s="76" t="s">
        <v>973</v>
      </c>
    </row>
    <row r="10758">
      <c r="A10758" s="76" t="s">
        <v>966</v>
      </c>
      <c r="B10758" s="76" t="s">
        <v>1035</v>
      </c>
      <c r="C10758" s="84">
        <v>0.1</v>
      </c>
      <c r="D10758" s="84">
        <v>0.0</v>
      </c>
      <c r="E10758" s="84">
        <v>0.0</v>
      </c>
      <c r="F10758" s="76" t="s">
        <v>925</v>
      </c>
      <c r="G10758" s="83">
        <v>46119.0</v>
      </c>
      <c r="H10758" s="76" t="s">
        <v>967</v>
      </c>
    </row>
    <row r="10759">
      <c r="A10759" s="76" t="s">
        <v>966</v>
      </c>
      <c r="B10759" s="76" t="s">
        <v>1035</v>
      </c>
      <c r="C10759" s="84">
        <v>0.01</v>
      </c>
      <c r="D10759" s="84">
        <v>0.0</v>
      </c>
      <c r="E10759" s="84">
        <v>0.0</v>
      </c>
      <c r="F10759" s="76" t="s">
        <v>925</v>
      </c>
      <c r="G10759" s="83">
        <v>46119.0</v>
      </c>
      <c r="H10759" s="76" t="s">
        <v>968</v>
      </c>
    </row>
    <row r="10760">
      <c r="A10760" s="76" t="s">
        <v>966</v>
      </c>
      <c r="B10760" s="76" t="s">
        <v>1035</v>
      </c>
      <c r="C10760" s="84">
        <v>0.1</v>
      </c>
      <c r="D10760" s="84">
        <v>0.0</v>
      </c>
      <c r="E10760" s="84">
        <v>0.0</v>
      </c>
      <c r="F10760" s="76" t="s">
        <v>925</v>
      </c>
      <c r="G10760" s="83">
        <v>46119.0</v>
      </c>
      <c r="H10760" s="76" t="s">
        <v>969</v>
      </c>
    </row>
    <row r="10761">
      <c r="A10761" s="76" t="s">
        <v>40</v>
      </c>
      <c r="B10761" s="76" t="s">
        <v>1035</v>
      </c>
      <c r="C10761" s="84">
        <v>0.07</v>
      </c>
      <c r="D10761" s="84">
        <v>0.0</v>
      </c>
      <c r="E10761" s="84">
        <v>0.0</v>
      </c>
      <c r="F10761" s="76" t="s">
        <v>925</v>
      </c>
      <c r="G10761" s="83">
        <v>46119.0</v>
      </c>
      <c r="H10761" s="76" t="s">
        <v>954</v>
      </c>
    </row>
    <row r="10762">
      <c r="A10762" s="76" t="s">
        <v>40</v>
      </c>
      <c r="B10762" s="76" t="s">
        <v>1035</v>
      </c>
      <c r="C10762" s="84">
        <v>0.03</v>
      </c>
      <c r="D10762" s="84">
        <v>0.0</v>
      </c>
      <c r="E10762" s="84">
        <v>0.0</v>
      </c>
      <c r="F10762" s="76" t="s">
        <v>925</v>
      </c>
      <c r="G10762" s="83">
        <v>46119.0</v>
      </c>
      <c r="H10762" s="76" t="s">
        <v>955</v>
      </c>
    </row>
    <row r="10763">
      <c r="A10763" s="76" t="s">
        <v>40</v>
      </c>
      <c r="B10763" s="76" t="s">
        <v>1035</v>
      </c>
      <c r="C10763" s="84">
        <v>0.27</v>
      </c>
      <c r="D10763" s="84">
        <v>0.0</v>
      </c>
      <c r="E10763" s="84">
        <v>0.0</v>
      </c>
      <c r="F10763" s="76" t="s">
        <v>925</v>
      </c>
      <c r="G10763" s="83">
        <v>46119.0</v>
      </c>
      <c r="H10763" s="76" t="s">
        <v>956</v>
      </c>
    </row>
    <row r="10764">
      <c r="A10764" s="76" t="s">
        <v>29</v>
      </c>
      <c r="B10764" s="76" t="s">
        <v>1035</v>
      </c>
      <c r="C10764" s="84">
        <v>0.39</v>
      </c>
      <c r="D10764" s="84">
        <v>0.0</v>
      </c>
      <c r="E10764" s="84">
        <v>0.0</v>
      </c>
      <c r="F10764" s="76" t="s">
        <v>925</v>
      </c>
      <c r="G10764" s="83">
        <v>46119.0</v>
      </c>
      <c r="H10764" s="76" t="s">
        <v>971</v>
      </c>
    </row>
    <row r="10765">
      <c r="A10765" s="76" t="s">
        <v>29</v>
      </c>
      <c r="B10765" s="76" t="s">
        <v>1035</v>
      </c>
      <c r="C10765" s="84">
        <v>0.16</v>
      </c>
      <c r="D10765" s="84">
        <v>0.0</v>
      </c>
      <c r="E10765" s="84">
        <v>0.0</v>
      </c>
      <c r="F10765" s="76" t="s">
        <v>925</v>
      </c>
      <c r="G10765" s="83">
        <v>46119.0</v>
      </c>
      <c r="H10765" s="76" t="s">
        <v>972</v>
      </c>
    </row>
    <row r="10766">
      <c r="A10766" s="76" t="s">
        <v>29</v>
      </c>
      <c r="B10766" s="76" t="s">
        <v>1035</v>
      </c>
      <c r="C10766" s="84">
        <v>0.32</v>
      </c>
      <c r="D10766" s="84">
        <v>0.0</v>
      </c>
      <c r="E10766" s="84">
        <v>0.0</v>
      </c>
      <c r="F10766" s="76" t="s">
        <v>925</v>
      </c>
      <c r="G10766" s="83">
        <v>46119.0</v>
      </c>
      <c r="H10766" s="76" t="s">
        <v>973</v>
      </c>
    </row>
    <row r="10767">
      <c r="A10767" s="76" t="s">
        <v>46</v>
      </c>
      <c r="B10767" s="76" t="s">
        <v>1035</v>
      </c>
      <c r="C10767" s="84">
        <v>0.27</v>
      </c>
      <c r="D10767" s="84">
        <v>0.0</v>
      </c>
      <c r="E10767" s="84">
        <v>0.0</v>
      </c>
      <c r="F10767" s="76" t="s">
        <v>925</v>
      </c>
      <c r="G10767" s="83">
        <v>46119.0</v>
      </c>
      <c r="H10767" s="76" t="s">
        <v>960</v>
      </c>
    </row>
    <row r="10768">
      <c r="A10768" s="76" t="s">
        <v>46</v>
      </c>
      <c r="B10768" s="76" t="s">
        <v>1035</v>
      </c>
      <c r="C10768" s="84">
        <v>0.02</v>
      </c>
      <c r="D10768" s="84">
        <v>0.0</v>
      </c>
      <c r="E10768" s="84">
        <v>0.0</v>
      </c>
      <c r="F10768" s="76" t="s">
        <v>925</v>
      </c>
      <c r="G10768" s="83">
        <v>46119.0</v>
      </c>
      <c r="H10768" s="76" t="s">
        <v>961</v>
      </c>
    </row>
    <row r="10769">
      <c r="A10769" s="76" t="s">
        <v>46</v>
      </c>
      <c r="B10769" s="76" t="s">
        <v>1035</v>
      </c>
      <c r="C10769" s="84">
        <v>0.04</v>
      </c>
      <c r="D10769" s="84">
        <v>0.0</v>
      </c>
      <c r="E10769" s="84">
        <v>0.0</v>
      </c>
      <c r="F10769" s="76" t="s">
        <v>925</v>
      </c>
      <c r="G10769" s="83">
        <v>46119.0</v>
      </c>
      <c r="H10769" s="76" t="s">
        <v>962</v>
      </c>
    </row>
    <row r="10770">
      <c r="A10770" s="76" t="s">
        <v>36</v>
      </c>
      <c r="B10770" s="76" t="s">
        <v>1035</v>
      </c>
      <c r="C10770" s="84">
        <v>0.08</v>
      </c>
      <c r="D10770" s="84">
        <v>0.0</v>
      </c>
      <c r="E10770" s="84">
        <v>0.0</v>
      </c>
      <c r="F10770" s="76" t="s">
        <v>925</v>
      </c>
      <c r="G10770" s="83">
        <v>46119.0</v>
      </c>
      <c r="H10770" s="76" t="s">
        <v>926</v>
      </c>
    </row>
    <row r="10771">
      <c r="A10771" s="76" t="s">
        <v>36</v>
      </c>
      <c r="B10771" s="76" t="s">
        <v>1035</v>
      </c>
      <c r="C10771" s="84">
        <v>0.01</v>
      </c>
      <c r="D10771" s="84">
        <v>0.0</v>
      </c>
      <c r="E10771" s="84">
        <v>0.0</v>
      </c>
      <c r="F10771" s="76" t="s">
        <v>925</v>
      </c>
      <c r="G10771" s="83">
        <v>46119.0</v>
      </c>
      <c r="H10771" s="76" t="s">
        <v>927</v>
      </c>
    </row>
    <row r="10772">
      <c r="A10772" s="76" t="s">
        <v>36</v>
      </c>
      <c r="B10772" s="76" t="s">
        <v>1035</v>
      </c>
      <c r="C10772" s="84">
        <v>0.05</v>
      </c>
      <c r="D10772" s="84">
        <v>0.0</v>
      </c>
      <c r="E10772" s="84">
        <v>0.0</v>
      </c>
      <c r="F10772" s="76" t="s">
        <v>925</v>
      </c>
      <c r="G10772" s="83">
        <v>46119.0</v>
      </c>
      <c r="H10772" s="76" t="s">
        <v>928</v>
      </c>
    </row>
    <row r="10773">
      <c r="A10773" s="76" t="s">
        <v>33</v>
      </c>
      <c r="B10773" s="76" t="s">
        <v>1035</v>
      </c>
      <c r="C10773" s="84">
        <v>0.59</v>
      </c>
      <c r="D10773" s="84">
        <v>0.0</v>
      </c>
      <c r="E10773" s="84">
        <v>0.0</v>
      </c>
      <c r="F10773" s="76" t="s">
        <v>925</v>
      </c>
      <c r="G10773" s="83">
        <v>46119.0</v>
      </c>
      <c r="H10773" s="76" t="s">
        <v>957</v>
      </c>
    </row>
    <row r="10774">
      <c r="A10774" s="76" t="s">
        <v>33</v>
      </c>
      <c r="B10774" s="76" t="s">
        <v>1035</v>
      </c>
      <c r="C10774" s="84">
        <v>0.22</v>
      </c>
      <c r="D10774" s="84">
        <v>0.0</v>
      </c>
      <c r="E10774" s="84">
        <v>0.0</v>
      </c>
      <c r="F10774" s="76" t="s">
        <v>925</v>
      </c>
      <c r="G10774" s="83">
        <v>46119.0</v>
      </c>
      <c r="H10774" s="76" t="s">
        <v>958</v>
      </c>
    </row>
    <row r="10775">
      <c r="A10775" s="76" t="s">
        <v>33</v>
      </c>
      <c r="B10775" s="76" t="s">
        <v>1035</v>
      </c>
      <c r="C10775" s="84">
        <v>0.2</v>
      </c>
      <c r="D10775" s="84">
        <v>0.0</v>
      </c>
      <c r="E10775" s="84">
        <v>0.0</v>
      </c>
      <c r="F10775" s="76" t="s">
        <v>925</v>
      </c>
      <c r="G10775" s="83">
        <v>46119.0</v>
      </c>
      <c r="H10775" s="76" t="s">
        <v>959</v>
      </c>
    </row>
    <row r="10776">
      <c r="A10776" s="76" t="s">
        <v>36</v>
      </c>
      <c r="B10776" s="76" t="s">
        <v>1035</v>
      </c>
      <c r="C10776" s="84">
        <v>0.02</v>
      </c>
      <c r="D10776" s="84">
        <v>0.0</v>
      </c>
      <c r="E10776" s="84">
        <v>0.0</v>
      </c>
      <c r="F10776" s="76" t="s">
        <v>948</v>
      </c>
      <c r="G10776" s="83">
        <v>46119.0</v>
      </c>
      <c r="H10776" s="76" t="s">
        <v>926</v>
      </c>
    </row>
    <row r="10777">
      <c r="A10777" s="76" t="s">
        <v>36</v>
      </c>
      <c r="B10777" s="76" t="s">
        <v>1035</v>
      </c>
      <c r="C10777" s="84">
        <v>0.02</v>
      </c>
      <c r="D10777" s="84">
        <v>0.0</v>
      </c>
      <c r="E10777" s="84">
        <v>0.0</v>
      </c>
      <c r="F10777" s="76" t="s">
        <v>948</v>
      </c>
      <c r="G10777" s="83">
        <v>46119.0</v>
      </c>
      <c r="H10777" s="76" t="s">
        <v>927</v>
      </c>
    </row>
    <row r="10778">
      <c r="A10778" s="76" t="s">
        <v>36</v>
      </c>
      <c r="B10778" s="76" t="s">
        <v>1035</v>
      </c>
      <c r="C10778" s="84">
        <v>0.01</v>
      </c>
      <c r="D10778" s="84">
        <v>0.0</v>
      </c>
      <c r="E10778" s="84">
        <v>0.0</v>
      </c>
      <c r="F10778" s="76" t="s">
        <v>948</v>
      </c>
      <c r="G10778" s="83">
        <v>46119.0</v>
      </c>
      <c r="H10778" s="76" t="s">
        <v>928</v>
      </c>
    </row>
    <row r="10779">
      <c r="A10779" s="76" t="s">
        <v>40</v>
      </c>
      <c r="B10779" s="76" t="s">
        <v>1035</v>
      </c>
      <c r="C10779" s="84">
        <v>0.02</v>
      </c>
      <c r="D10779" s="84">
        <v>1.0</v>
      </c>
      <c r="E10779" s="84">
        <v>0.02</v>
      </c>
      <c r="F10779" s="76" t="s">
        <v>948</v>
      </c>
      <c r="G10779" s="83">
        <v>46119.0</v>
      </c>
      <c r="H10779" s="76" t="s">
        <v>954</v>
      </c>
    </row>
    <row r="10780">
      <c r="A10780" s="76" t="s">
        <v>40</v>
      </c>
      <c r="B10780" s="76" t="s">
        <v>1035</v>
      </c>
      <c r="C10780" s="84">
        <v>0.01</v>
      </c>
      <c r="D10780" s="84">
        <v>0.0</v>
      </c>
      <c r="E10780" s="84">
        <v>0.0</v>
      </c>
      <c r="F10780" s="76" t="s">
        <v>948</v>
      </c>
      <c r="G10780" s="83">
        <v>46119.0</v>
      </c>
      <c r="H10780" s="76" t="s">
        <v>955</v>
      </c>
    </row>
    <row r="10781">
      <c r="A10781" s="76" t="s">
        <v>40</v>
      </c>
      <c r="B10781" s="76" t="s">
        <v>1035</v>
      </c>
      <c r="C10781" s="84">
        <v>0.08</v>
      </c>
      <c r="D10781" s="84">
        <v>0.0</v>
      </c>
      <c r="E10781" s="84">
        <v>0.0</v>
      </c>
      <c r="F10781" s="76" t="s">
        <v>948</v>
      </c>
      <c r="G10781" s="83">
        <v>46119.0</v>
      </c>
      <c r="H10781" s="76" t="s">
        <v>956</v>
      </c>
    </row>
    <row r="10782">
      <c r="A10782" s="76" t="s">
        <v>970</v>
      </c>
      <c r="B10782" s="76" t="s">
        <v>1035</v>
      </c>
      <c r="C10782" s="84">
        <v>0.05</v>
      </c>
      <c r="D10782" s="84">
        <v>0.0</v>
      </c>
      <c r="E10782" s="84">
        <v>0.0</v>
      </c>
      <c r="F10782" s="76" t="s">
        <v>948</v>
      </c>
      <c r="G10782" s="83">
        <v>46119.0</v>
      </c>
      <c r="H10782" s="76" t="s">
        <v>971</v>
      </c>
    </row>
    <row r="10783">
      <c r="A10783" s="76" t="s">
        <v>970</v>
      </c>
      <c r="B10783" s="76" t="s">
        <v>1035</v>
      </c>
      <c r="C10783" s="84">
        <v>0.02</v>
      </c>
      <c r="D10783" s="84">
        <v>0.0</v>
      </c>
      <c r="E10783" s="84">
        <v>0.0</v>
      </c>
      <c r="F10783" s="76" t="s">
        <v>948</v>
      </c>
      <c r="G10783" s="83">
        <v>46119.0</v>
      </c>
      <c r="H10783" s="76" t="s">
        <v>972</v>
      </c>
    </row>
    <row r="10784">
      <c r="A10784" s="76" t="s">
        <v>970</v>
      </c>
      <c r="B10784" s="76" t="s">
        <v>1035</v>
      </c>
      <c r="C10784" s="84">
        <v>0.08</v>
      </c>
      <c r="D10784" s="84">
        <v>0.0</v>
      </c>
      <c r="E10784" s="84">
        <v>0.0</v>
      </c>
      <c r="F10784" s="76" t="s">
        <v>948</v>
      </c>
      <c r="G10784" s="83">
        <v>46119.0</v>
      </c>
      <c r="H10784" s="76" t="s">
        <v>973</v>
      </c>
    </row>
    <row r="10785">
      <c r="A10785" s="76" t="s">
        <v>33</v>
      </c>
      <c r="B10785" s="76" t="s">
        <v>1035</v>
      </c>
      <c r="C10785" s="84">
        <v>0.14</v>
      </c>
      <c r="D10785" s="84">
        <v>1.0</v>
      </c>
      <c r="E10785" s="84">
        <v>0.14</v>
      </c>
      <c r="F10785" s="76" t="s">
        <v>948</v>
      </c>
      <c r="G10785" s="83">
        <v>46119.0</v>
      </c>
      <c r="H10785" s="76" t="s">
        <v>957</v>
      </c>
    </row>
    <row r="10786">
      <c r="A10786" s="76" t="s">
        <v>33</v>
      </c>
      <c r="B10786" s="76" t="s">
        <v>1035</v>
      </c>
      <c r="C10786" s="84">
        <v>0.06</v>
      </c>
      <c r="D10786" s="84">
        <v>0.0</v>
      </c>
      <c r="E10786" s="84">
        <v>0.0</v>
      </c>
      <c r="F10786" s="76" t="s">
        <v>948</v>
      </c>
      <c r="G10786" s="83">
        <v>46119.0</v>
      </c>
      <c r="H10786" s="76" t="s">
        <v>958</v>
      </c>
    </row>
    <row r="10787">
      <c r="A10787" s="76" t="s">
        <v>33</v>
      </c>
      <c r="B10787" s="76" t="s">
        <v>1035</v>
      </c>
      <c r="C10787" s="84">
        <v>0.06</v>
      </c>
      <c r="D10787" s="84">
        <v>0.0</v>
      </c>
      <c r="E10787" s="84">
        <v>0.0</v>
      </c>
      <c r="F10787" s="76" t="s">
        <v>948</v>
      </c>
      <c r="G10787" s="83">
        <v>46119.0</v>
      </c>
      <c r="H10787" s="76" t="s">
        <v>959</v>
      </c>
    </row>
    <row r="10788">
      <c r="A10788" s="76" t="s">
        <v>966</v>
      </c>
      <c r="B10788" s="76" t="s">
        <v>1035</v>
      </c>
      <c r="C10788" s="84">
        <v>0.04</v>
      </c>
      <c r="D10788" s="84">
        <v>0.0</v>
      </c>
      <c r="E10788" s="84">
        <v>0.0</v>
      </c>
      <c r="F10788" s="76" t="s">
        <v>948</v>
      </c>
      <c r="G10788" s="83">
        <v>46119.0</v>
      </c>
      <c r="H10788" s="76" t="s">
        <v>967</v>
      </c>
    </row>
    <row r="10789">
      <c r="A10789" s="76" t="s">
        <v>966</v>
      </c>
      <c r="B10789" s="76" t="s">
        <v>1035</v>
      </c>
      <c r="C10789" s="84">
        <v>0.0</v>
      </c>
      <c r="D10789" s="84">
        <v>0.0</v>
      </c>
      <c r="E10789" s="84">
        <v>0.0</v>
      </c>
      <c r="F10789" s="76" t="s">
        <v>948</v>
      </c>
      <c r="G10789" s="83">
        <v>46119.0</v>
      </c>
      <c r="H10789" s="76" t="s">
        <v>968</v>
      </c>
    </row>
    <row r="10790">
      <c r="A10790" s="76" t="s">
        <v>966</v>
      </c>
      <c r="B10790" s="76" t="s">
        <v>1035</v>
      </c>
      <c r="C10790" s="84">
        <v>0.03</v>
      </c>
      <c r="D10790" s="84">
        <v>0.0</v>
      </c>
      <c r="E10790" s="84">
        <v>0.0</v>
      </c>
      <c r="F10790" s="76" t="s">
        <v>948</v>
      </c>
      <c r="G10790" s="83">
        <v>46119.0</v>
      </c>
      <c r="H10790" s="76" t="s">
        <v>969</v>
      </c>
    </row>
    <row r="10791">
      <c r="A10791" s="76" t="s">
        <v>43</v>
      </c>
      <c r="B10791" s="76" t="s">
        <v>1035</v>
      </c>
      <c r="C10791" s="84">
        <v>0.04</v>
      </c>
      <c r="D10791" s="84">
        <v>0.0</v>
      </c>
      <c r="E10791" s="84">
        <v>0.0</v>
      </c>
      <c r="F10791" s="76" t="s">
        <v>948</v>
      </c>
      <c r="G10791" s="83">
        <v>46119.0</v>
      </c>
      <c r="H10791" s="76" t="s">
        <v>963</v>
      </c>
    </row>
    <row r="10792">
      <c r="A10792" s="76" t="s">
        <v>43</v>
      </c>
      <c r="B10792" s="76" t="s">
        <v>1035</v>
      </c>
      <c r="C10792" s="84">
        <v>0.01</v>
      </c>
      <c r="D10792" s="84">
        <v>0.0</v>
      </c>
      <c r="E10792" s="84">
        <v>0.0</v>
      </c>
      <c r="F10792" s="76" t="s">
        <v>948</v>
      </c>
      <c r="G10792" s="83">
        <v>46119.0</v>
      </c>
      <c r="H10792" s="76" t="s">
        <v>964</v>
      </c>
    </row>
    <row r="10793">
      <c r="A10793" s="76" t="s">
        <v>43</v>
      </c>
      <c r="B10793" s="76" t="s">
        <v>1035</v>
      </c>
      <c r="C10793" s="84">
        <v>0.18</v>
      </c>
      <c r="D10793" s="84">
        <v>0.0</v>
      </c>
      <c r="E10793" s="84">
        <v>0.0</v>
      </c>
      <c r="F10793" s="76" t="s">
        <v>948</v>
      </c>
      <c r="G10793" s="83">
        <v>46119.0</v>
      </c>
      <c r="H10793" s="76" t="s">
        <v>965</v>
      </c>
    </row>
    <row r="10794">
      <c r="A10794" s="76" t="s">
        <v>46</v>
      </c>
      <c r="B10794" s="76" t="s">
        <v>1035</v>
      </c>
      <c r="C10794" s="84">
        <v>0.03</v>
      </c>
      <c r="D10794" s="84">
        <v>0.0</v>
      </c>
      <c r="E10794" s="84">
        <v>0.0</v>
      </c>
      <c r="F10794" s="76" t="s">
        <v>948</v>
      </c>
      <c r="G10794" s="83">
        <v>46119.0</v>
      </c>
      <c r="H10794" s="76" t="s">
        <v>960</v>
      </c>
    </row>
    <row r="10795">
      <c r="A10795" s="76" t="s">
        <v>46</v>
      </c>
      <c r="B10795" s="76" t="s">
        <v>1035</v>
      </c>
      <c r="C10795" s="84">
        <v>0.01</v>
      </c>
      <c r="D10795" s="84">
        <v>0.0</v>
      </c>
      <c r="E10795" s="84">
        <v>0.0</v>
      </c>
      <c r="F10795" s="76" t="s">
        <v>948</v>
      </c>
      <c r="G10795" s="83">
        <v>46119.0</v>
      </c>
      <c r="H10795" s="76" t="s">
        <v>961</v>
      </c>
    </row>
    <row r="10796">
      <c r="A10796" s="76" t="s">
        <v>46</v>
      </c>
      <c r="B10796" s="76" t="s">
        <v>1035</v>
      </c>
      <c r="C10796" s="84">
        <v>0.02</v>
      </c>
      <c r="D10796" s="84">
        <v>0.0</v>
      </c>
      <c r="E10796" s="84">
        <v>0.0</v>
      </c>
      <c r="F10796" s="76" t="s">
        <v>948</v>
      </c>
      <c r="G10796" s="83">
        <v>46119.0</v>
      </c>
      <c r="H10796" s="76" t="s">
        <v>962</v>
      </c>
    </row>
    <row r="10797">
      <c r="A10797" s="76" t="s">
        <v>34</v>
      </c>
      <c r="B10797" s="76" t="s">
        <v>1035</v>
      </c>
      <c r="C10797" s="84">
        <v>0.0</v>
      </c>
      <c r="D10797" s="84">
        <v>0.0</v>
      </c>
      <c r="E10797" s="84">
        <v>0.0</v>
      </c>
      <c r="F10797" s="76" t="s">
        <v>948</v>
      </c>
      <c r="G10797" s="83">
        <v>46119.0</v>
      </c>
      <c r="H10797" s="76" t="s">
        <v>951</v>
      </c>
    </row>
    <row r="10798">
      <c r="A10798" s="76" t="s">
        <v>34</v>
      </c>
      <c r="B10798" s="76" t="s">
        <v>1035</v>
      </c>
      <c r="C10798" s="84">
        <v>0.06</v>
      </c>
      <c r="D10798" s="84">
        <v>0.0</v>
      </c>
      <c r="E10798" s="84">
        <v>0.0</v>
      </c>
      <c r="F10798" s="76" t="s">
        <v>948</v>
      </c>
      <c r="G10798" s="83">
        <v>46119.0</v>
      </c>
      <c r="H10798" s="76" t="s">
        <v>952</v>
      </c>
    </row>
    <row r="10799">
      <c r="A10799" s="76" t="s">
        <v>34</v>
      </c>
      <c r="B10799" s="76" t="s">
        <v>1035</v>
      </c>
      <c r="C10799" s="84">
        <v>0.0</v>
      </c>
      <c r="D10799" s="84">
        <v>0.0</v>
      </c>
      <c r="E10799" s="84">
        <v>0.0</v>
      </c>
      <c r="F10799" s="76" t="s">
        <v>948</v>
      </c>
      <c r="G10799" s="83">
        <v>46119.0</v>
      </c>
      <c r="H10799" s="76" t="s">
        <v>953</v>
      </c>
    </row>
    <row r="10800">
      <c r="A10800" s="76" t="s">
        <v>29</v>
      </c>
      <c r="B10800" s="76" t="s">
        <v>1035</v>
      </c>
      <c r="C10800" s="84">
        <v>0.04</v>
      </c>
      <c r="D10800" s="84">
        <v>0.0</v>
      </c>
      <c r="E10800" s="84">
        <v>0.0</v>
      </c>
      <c r="F10800" s="76" t="s">
        <v>948</v>
      </c>
      <c r="G10800" s="83">
        <v>46119.0</v>
      </c>
      <c r="H10800" s="76" t="s">
        <v>971</v>
      </c>
    </row>
    <row r="10801">
      <c r="A10801" s="76" t="s">
        <v>29</v>
      </c>
      <c r="B10801" s="76" t="s">
        <v>1035</v>
      </c>
      <c r="C10801" s="84">
        <v>0.02</v>
      </c>
      <c r="D10801" s="84">
        <v>0.0</v>
      </c>
      <c r="E10801" s="84">
        <v>0.0</v>
      </c>
      <c r="F10801" s="76" t="s">
        <v>948</v>
      </c>
      <c r="G10801" s="83">
        <v>46119.0</v>
      </c>
      <c r="H10801" s="76" t="s">
        <v>972</v>
      </c>
    </row>
    <row r="10802">
      <c r="A10802" s="76" t="s">
        <v>29</v>
      </c>
      <c r="B10802" s="76" t="s">
        <v>1035</v>
      </c>
      <c r="C10802" s="84">
        <v>0.08</v>
      </c>
      <c r="D10802" s="84">
        <v>0.0</v>
      </c>
      <c r="E10802" s="84">
        <v>0.0</v>
      </c>
      <c r="F10802" s="76" t="s">
        <v>948</v>
      </c>
      <c r="G10802" s="83">
        <v>46119.0</v>
      </c>
      <c r="H10802" s="76" t="s">
        <v>973</v>
      </c>
    </row>
    <row r="10803">
      <c r="A10803" s="76" t="s">
        <v>34</v>
      </c>
      <c r="B10803" s="76" t="s">
        <v>1029</v>
      </c>
      <c r="C10803" s="84">
        <v>0.87</v>
      </c>
      <c r="D10803" s="84">
        <v>0.0</v>
      </c>
      <c r="E10803" s="84">
        <v>0.0</v>
      </c>
      <c r="F10803" s="76" t="s">
        <v>950</v>
      </c>
      <c r="G10803" s="83">
        <v>46120.0</v>
      </c>
      <c r="H10803" s="76" t="s">
        <v>951</v>
      </c>
    </row>
    <row r="10804">
      <c r="A10804" s="76" t="s">
        <v>34</v>
      </c>
      <c r="B10804" s="76" t="s">
        <v>1029</v>
      </c>
      <c r="C10804" s="84">
        <v>2.49</v>
      </c>
      <c r="D10804" s="84">
        <v>0.0</v>
      </c>
      <c r="E10804" s="84">
        <v>0.0</v>
      </c>
      <c r="F10804" s="76" t="s">
        <v>950</v>
      </c>
      <c r="G10804" s="83">
        <v>46120.0</v>
      </c>
      <c r="H10804" s="76" t="s">
        <v>952</v>
      </c>
    </row>
    <row r="10805">
      <c r="A10805" s="76" t="s">
        <v>34</v>
      </c>
      <c r="B10805" s="76" t="s">
        <v>1029</v>
      </c>
      <c r="C10805" s="84">
        <v>1.22</v>
      </c>
      <c r="D10805" s="84">
        <v>1.0</v>
      </c>
      <c r="E10805" s="84">
        <v>1.22</v>
      </c>
      <c r="F10805" s="76" t="s">
        <v>950</v>
      </c>
      <c r="G10805" s="83">
        <v>46120.0</v>
      </c>
      <c r="H10805" s="76" t="s">
        <v>953</v>
      </c>
    </row>
    <row r="10806">
      <c r="A10806" s="76" t="s">
        <v>46</v>
      </c>
      <c r="B10806" s="76" t="s">
        <v>1029</v>
      </c>
      <c r="C10806" s="84">
        <v>4.82</v>
      </c>
      <c r="D10806" s="84">
        <v>1.0</v>
      </c>
      <c r="E10806" s="84">
        <v>4.82</v>
      </c>
      <c r="F10806" s="76" t="s">
        <v>950</v>
      </c>
      <c r="G10806" s="83">
        <v>46120.0</v>
      </c>
      <c r="H10806" s="76" t="s">
        <v>960</v>
      </c>
    </row>
    <row r="10807">
      <c r="A10807" s="76" t="s">
        <v>46</v>
      </c>
      <c r="B10807" s="76" t="s">
        <v>1029</v>
      </c>
      <c r="C10807" s="84">
        <v>0.59</v>
      </c>
      <c r="D10807" s="84">
        <v>0.0</v>
      </c>
      <c r="E10807" s="84">
        <v>0.0</v>
      </c>
      <c r="F10807" s="76" t="s">
        <v>950</v>
      </c>
      <c r="G10807" s="83">
        <v>46120.0</v>
      </c>
      <c r="H10807" s="76" t="s">
        <v>961</v>
      </c>
    </row>
    <row r="10808">
      <c r="A10808" s="76" t="s">
        <v>46</v>
      </c>
      <c r="B10808" s="76" t="s">
        <v>1029</v>
      </c>
      <c r="C10808" s="84">
        <v>0.98</v>
      </c>
      <c r="D10808" s="84">
        <v>0.0</v>
      </c>
      <c r="E10808" s="84">
        <v>0.0</v>
      </c>
      <c r="F10808" s="76" t="s">
        <v>950</v>
      </c>
      <c r="G10808" s="83">
        <v>46120.0</v>
      </c>
      <c r="H10808" s="76" t="s">
        <v>962</v>
      </c>
    </row>
    <row r="10809">
      <c r="A10809" s="76" t="s">
        <v>29</v>
      </c>
      <c r="B10809" s="76" t="s">
        <v>1029</v>
      </c>
      <c r="C10809" s="84">
        <v>1.18</v>
      </c>
      <c r="D10809" s="84">
        <v>0.0</v>
      </c>
      <c r="E10809" s="84">
        <v>0.0</v>
      </c>
      <c r="F10809" s="76" t="s">
        <v>950</v>
      </c>
      <c r="G10809" s="83">
        <v>46120.0</v>
      </c>
      <c r="H10809" s="76" t="s">
        <v>971</v>
      </c>
    </row>
    <row r="10810">
      <c r="A10810" s="76" t="s">
        <v>29</v>
      </c>
      <c r="B10810" s="76" t="s">
        <v>1029</v>
      </c>
      <c r="C10810" s="84">
        <v>0.59</v>
      </c>
      <c r="D10810" s="84">
        <v>0.0</v>
      </c>
      <c r="E10810" s="84">
        <v>0.0</v>
      </c>
      <c r="F10810" s="76" t="s">
        <v>950</v>
      </c>
      <c r="G10810" s="83">
        <v>46120.0</v>
      </c>
      <c r="H10810" s="76" t="s">
        <v>972</v>
      </c>
    </row>
    <row r="10811">
      <c r="A10811" s="76" t="s">
        <v>29</v>
      </c>
      <c r="B10811" s="76" t="s">
        <v>1029</v>
      </c>
      <c r="C10811" s="84">
        <v>4.89</v>
      </c>
      <c r="D10811" s="84">
        <v>0.0</v>
      </c>
      <c r="E10811" s="84">
        <v>0.0</v>
      </c>
      <c r="F10811" s="76" t="s">
        <v>950</v>
      </c>
      <c r="G10811" s="83">
        <v>46120.0</v>
      </c>
      <c r="H10811" s="76" t="s">
        <v>973</v>
      </c>
    </row>
    <row r="10812">
      <c r="A10812" s="76" t="s">
        <v>33</v>
      </c>
      <c r="B10812" s="76" t="s">
        <v>1029</v>
      </c>
      <c r="C10812" s="84">
        <v>51.78</v>
      </c>
      <c r="D10812" s="84">
        <v>10.0</v>
      </c>
      <c r="E10812" s="84">
        <v>5.18</v>
      </c>
      <c r="F10812" s="76" t="s">
        <v>950</v>
      </c>
      <c r="G10812" s="83">
        <v>46120.0</v>
      </c>
      <c r="H10812" s="76" t="s">
        <v>957</v>
      </c>
    </row>
    <row r="10813">
      <c r="A10813" s="76" t="s">
        <v>33</v>
      </c>
      <c r="B10813" s="76" t="s">
        <v>1029</v>
      </c>
      <c r="C10813" s="84">
        <v>1.34</v>
      </c>
      <c r="D10813" s="84">
        <v>0.0</v>
      </c>
      <c r="E10813" s="84">
        <v>0.0</v>
      </c>
      <c r="F10813" s="76" t="s">
        <v>950</v>
      </c>
      <c r="G10813" s="83">
        <v>46120.0</v>
      </c>
      <c r="H10813" s="76" t="s">
        <v>958</v>
      </c>
    </row>
    <row r="10814">
      <c r="A10814" s="76" t="s">
        <v>33</v>
      </c>
      <c r="B10814" s="76" t="s">
        <v>1029</v>
      </c>
      <c r="C10814" s="84">
        <v>23.08</v>
      </c>
      <c r="D10814" s="84">
        <v>8.0</v>
      </c>
      <c r="E10814" s="84">
        <v>2.88</v>
      </c>
      <c r="F10814" s="76" t="s">
        <v>950</v>
      </c>
      <c r="G10814" s="83">
        <v>46120.0</v>
      </c>
      <c r="H10814" s="76" t="s">
        <v>959</v>
      </c>
    </row>
    <row r="10815">
      <c r="A10815" s="76" t="s">
        <v>970</v>
      </c>
      <c r="B10815" s="76" t="s">
        <v>1029</v>
      </c>
      <c r="C10815" s="84">
        <v>0.95</v>
      </c>
      <c r="D10815" s="84">
        <v>0.0</v>
      </c>
      <c r="E10815" s="84">
        <v>0.0</v>
      </c>
      <c r="F10815" s="76" t="s">
        <v>950</v>
      </c>
      <c r="G10815" s="83">
        <v>46120.0</v>
      </c>
      <c r="H10815" s="76" t="s">
        <v>971</v>
      </c>
    </row>
    <row r="10816">
      <c r="A10816" s="76" t="s">
        <v>970</v>
      </c>
      <c r="B10816" s="76" t="s">
        <v>1029</v>
      </c>
      <c r="C10816" s="84">
        <v>0.27</v>
      </c>
      <c r="D10816" s="84">
        <v>0.0</v>
      </c>
      <c r="E10816" s="84">
        <v>0.0</v>
      </c>
      <c r="F10816" s="76" t="s">
        <v>950</v>
      </c>
      <c r="G10816" s="83">
        <v>46120.0</v>
      </c>
      <c r="H10816" s="76" t="s">
        <v>972</v>
      </c>
    </row>
    <row r="10817">
      <c r="A10817" s="76" t="s">
        <v>970</v>
      </c>
      <c r="B10817" s="76" t="s">
        <v>1029</v>
      </c>
      <c r="C10817" s="84">
        <v>3.51</v>
      </c>
      <c r="D10817" s="84">
        <v>0.0</v>
      </c>
      <c r="E10817" s="84">
        <v>0.0</v>
      </c>
      <c r="F10817" s="76" t="s">
        <v>950</v>
      </c>
      <c r="G10817" s="83">
        <v>46120.0</v>
      </c>
      <c r="H10817" s="76" t="s">
        <v>973</v>
      </c>
    </row>
    <row r="10818">
      <c r="A10818" s="76" t="s">
        <v>43</v>
      </c>
      <c r="B10818" s="76" t="s">
        <v>1029</v>
      </c>
      <c r="C10818" s="84">
        <v>2.18</v>
      </c>
      <c r="D10818" s="84">
        <v>0.0</v>
      </c>
      <c r="E10818" s="84">
        <v>0.0</v>
      </c>
      <c r="F10818" s="76" t="s">
        <v>950</v>
      </c>
      <c r="G10818" s="83">
        <v>46120.0</v>
      </c>
      <c r="H10818" s="76" t="s">
        <v>963</v>
      </c>
    </row>
    <row r="10819">
      <c r="A10819" s="76" t="s">
        <v>43</v>
      </c>
      <c r="B10819" s="76" t="s">
        <v>1029</v>
      </c>
      <c r="C10819" s="84">
        <v>0.77</v>
      </c>
      <c r="D10819" s="84">
        <v>0.0</v>
      </c>
      <c r="E10819" s="84">
        <v>0.0</v>
      </c>
      <c r="F10819" s="76" t="s">
        <v>950</v>
      </c>
      <c r="G10819" s="83">
        <v>46120.0</v>
      </c>
      <c r="H10819" s="76" t="s">
        <v>964</v>
      </c>
    </row>
    <row r="10820">
      <c r="A10820" s="76" t="s">
        <v>43</v>
      </c>
      <c r="B10820" s="76" t="s">
        <v>1029</v>
      </c>
      <c r="C10820" s="84">
        <v>5.54</v>
      </c>
      <c r="D10820" s="84">
        <v>1.0</v>
      </c>
      <c r="E10820" s="84">
        <v>5.54</v>
      </c>
      <c r="F10820" s="76" t="s">
        <v>950</v>
      </c>
      <c r="G10820" s="83">
        <v>46120.0</v>
      </c>
      <c r="H10820" s="76" t="s">
        <v>965</v>
      </c>
    </row>
    <row r="10821">
      <c r="A10821" s="76" t="s">
        <v>966</v>
      </c>
      <c r="B10821" s="76" t="s">
        <v>1029</v>
      </c>
      <c r="C10821" s="84">
        <v>9.19</v>
      </c>
      <c r="D10821" s="84">
        <v>1.0</v>
      </c>
      <c r="E10821" s="84">
        <v>9.19</v>
      </c>
      <c r="F10821" s="76" t="s">
        <v>950</v>
      </c>
      <c r="G10821" s="83">
        <v>46120.0</v>
      </c>
      <c r="H10821" s="76" t="s">
        <v>967</v>
      </c>
    </row>
    <row r="10822">
      <c r="A10822" s="76" t="s">
        <v>966</v>
      </c>
      <c r="B10822" s="76" t="s">
        <v>1029</v>
      </c>
      <c r="C10822" s="84">
        <v>0.69</v>
      </c>
      <c r="D10822" s="84">
        <v>1.0</v>
      </c>
      <c r="E10822" s="84">
        <v>0.69</v>
      </c>
      <c r="F10822" s="76" t="s">
        <v>950</v>
      </c>
      <c r="G10822" s="83">
        <v>46120.0</v>
      </c>
      <c r="H10822" s="76" t="s">
        <v>968</v>
      </c>
    </row>
    <row r="10823">
      <c r="A10823" s="76" t="s">
        <v>966</v>
      </c>
      <c r="B10823" s="76" t="s">
        <v>1029</v>
      </c>
      <c r="C10823" s="84">
        <v>5.39</v>
      </c>
      <c r="D10823" s="84">
        <v>1.0</v>
      </c>
      <c r="E10823" s="84">
        <v>5.39</v>
      </c>
      <c r="F10823" s="76" t="s">
        <v>950</v>
      </c>
      <c r="G10823" s="83">
        <v>46120.0</v>
      </c>
      <c r="H10823" s="76" t="s">
        <v>969</v>
      </c>
    </row>
    <row r="10824">
      <c r="A10824" s="76" t="s">
        <v>36</v>
      </c>
      <c r="B10824" s="76" t="s">
        <v>1029</v>
      </c>
      <c r="C10824" s="84">
        <v>9.95</v>
      </c>
      <c r="D10824" s="84">
        <v>1.0</v>
      </c>
      <c r="E10824" s="84">
        <v>9.95</v>
      </c>
      <c r="F10824" s="76" t="s">
        <v>950</v>
      </c>
      <c r="G10824" s="83">
        <v>46120.0</v>
      </c>
      <c r="H10824" s="76" t="s">
        <v>926</v>
      </c>
    </row>
    <row r="10825">
      <c r="A10825" s="76" t="s">
        <v>36</v>
      </c>
      <c r="B10825" s="76" t="s">
        <v>1029</v>
      </c>
      <c r="C10825" s="84">
        <v>0.46</v>
      </c>
      <c r="D10825" s="84">
        <v>0.0</v>
      </c>
      <c r="E10825" s="84">
        <v>0.0</v>
      </c>
      <c r="F10825" s="76" t="s">
        <v>950</v>
      </c>
      <c r="G10825" s="83">
        <v>46120.0</v>
      </c>
      <c r="H10825" s="76" t="s">
        <v>927</v>
      </c>
    </row>
    <row r="10826">
      <c r="A10826" s="76" t="s">
        <v>36</v>
      </c>
      <c r="B10826" s="76" t="s">
        <v>1029</v>
      </c>
      <c r="C10826" s="84">
        <v>2.29</v>
      </c>
      <c r="D10826" s="84">
        <v>0.0</v>
      </c>
      <c r="E10826" s="84">
        <v>0.0</v>
      </c>
      <c r="F10826" s="76" t="s">
        <v>950</v>
      </c>
      <c r="G10826" s="83">
        <v>46120.0</v>
      </c>
      <c r="H10826" s="76" t="s">
        <v>928</v>
      </c>
    </row>
    <row r="10827">
      <c r="A10827" s="76" t="s">
        <v>40</v>
      </c>
      <c r="B10827" s="76" t="s">
        <v>1029</v>
      </c>
      <c r="C10827" s="84">
        <v>1.07</v>
      </c>
      <c r="D10827" s="84">
        <v>0.0</v>
      </c>
      <c r="E10827" s="84">
        <v>0.0</v>
      </c>
      <c r="F10827" s="76" t="s">
        <v>950</v>
      </c>
      <c r="G10827" s="83">
        <v>46120.0</v>
      </c>
      <c r="H10827" s="76" t="s">
        <v>954</v>
      </c>
    </row>
    <row r="10828">
      <c r="A10828" s="76" t="s">
        <v>40</v>
      </c>
      <c r="B10828" s="76" t="s">
        <v>1029</v>
      </c>
      <c r="C10828" s="84">
        <v>0.48</v>
      </c>
      <c r="D10828" s="84">
        <v>0.0</v>
      </c>
      <c r="E10828" s="84">
        <v>0.0</v>
      </c>
      <c r="F10828" s="76" t="s">
        <v>950</v>
      </c>
      <c r="G10828" s="83">
        <v>46120.0</v>
      </c>
      <c r="H10828" s="76" t="s">
        <v>955</v>
      </c>
    </row>
    <row r="10829">
      <c r="A10829" s="76" t="s">
        <v>40</v>
      </c>
      <c r="B10829" s="76" t="s">
        <v>1029</v>
      </c>
      <c r="C10829" s="84">
        <v>5.47</v>
      </c>
      <c r="D10829" s="84">
        <v>1.0</v>
      </c>
      <c r="E10829" s="84">
        <v>5.47</v>
      </c>
      <c r="F10829" s="76" t="s">
        <v>950</v>
      </c>
      <c r="G10829" s="83">
        <v>46120.0</v>
      </c>
      <c r="H10829" s="76" t="s">
        <v>956</v>
      </c>
    </row>
    <row r="10830">
      <c r="A10830" s="76" t="s">
        <v>966</v>
      </c>
      <c r="B10830" s="76" t="s">
        <v>1029</v>
      </c>
      <c r="C10830" s="84">
        <v>12.3</v>
      </c>
      <c r="D10830" s="84">
        <v>0.0</v>
      </c>
      <c r="E10830" s="84">
        <v>0.0</v>
      </c>
      <c r="F10830" s="76" t="s">
        <v>974</v>
      </c>
      <c r="G10830" s="83">
        <v>46120.0</v>
      </c>
      <c r="H10830" s="76" t="s">
        <v>967</v>
      </c>
    </row>
    <row r="10831">
      <c r="A10831" s="76" t="s">
        <v>966</v>
      </c>
      <c r="B10831" s="76" t="s">
        <v>1029</v>
      </c>
      <c r="C10831" s="84">
        <v>1.45</v>
      </c>
      <c r="D10831" s="84">
        <v>0.0</v>
      </c>
      <c r="E10831" s="84">
        <v>0.0</v>
      </c>
      <c r="F10831" s="76" t="s">
        <v>974</v>
      </c>
      <c r="G10831" s="83">
        <v>46120.0</v>
      </c>
      <c r="H10831" s="76" t="s">
        <v>968</v>
      </c>
    </row>
    <row r="10832">
      <c r="A10832" s="76" t="s">
        <v>966</v>
      </c>
      <c r="B10832" s="76" t="s">
        <v>1029</v>
      </c>
      <c r="C10832" s="84">
        <v>8.65</v>
      </c>
      <c r="D10832" s="84">
        <v>1.0</v>
      </c>
      <c r="E10832" s="84">
        <v>8.65</v>
      </c>
      <c r="F10832" s="76" t="s">
        <v>974</v>
      </c>
      <c r="G10832" s="83">
        <v>46120.0</v>
      </c>
      <c r="H10832" s="76" t="s">
        <v>969</v>
      </c>
    </row>
    <row r="10833">
      <c r="A10833" s="76" t="s">
        <v>43</v>
      </c>
      <c r="B10833" s="76" t="s">
        <v>1029</v>
      </c>
      <c r="C10833" s="84">
        <v>2.6</v>
      </c>
      <c r="D10833" s="84">
        <v>2.0</v>
      </c>
      <c r="E10833" s="84">
        <v>1.3</v>
      </c>
      <c r="F10833" s="76" t="s">
        <v>974</v>
      </c>
      <c r="G10833" s="83">
        <v>46120.0</v>
      </c>
      <c r="H10833" s="76" t="s">
        <v>963</v>
      </c>
    </row>
    <row r="10834">
      <c r="A10834" s="76" t="s">
        <v>43</v>
      </c>
      <c r="B10834" s="76" t="s">
        <v>1029</v>
      </c>
      <c r="C10834" s="84">
        <v>1.27</v>
      </c>
      <c r="D10834" s="84">
        <v>0.0</v>
      </c>
      <c r="E10834" s="84">
        <v>0.0</v>
      </c>
      <c r="F10834" s="76" t="s">
        <v>974</v>
      </c>
      <c r="G10834" s="83">
        <v>46120.0</v>
      </c>
      <c r="H10834" s="76" t="s">
        <v>964</v>
      </c>
    </row>
    <row r="10835">
      <c r="A10835" s="76" t="s">
        <v>43</v>
      </c>
      <c r="B10835" s="76" t="s">
        <v>1029</v>
      </c>
      <c r="C10835" s="84">
        <v>8.66</v>
      </c>
      <c r="D10835" s="84">
        <v>0.0</v>
      </c>
      <c r="E10835" s="84">
        <v>0.0</v>
      </c>
      <c r="F10835" s="76" t="s">
        <v>974</v>
      </c>
      <c r="G10835" s="83">
        <v>46120.0</v>
      </c>
      <c r="H10835" s="76" t="s">
        <v>965</v>
      </c>
    </row>
    <row r="10836">
      <c r="A10836" s="76" t="s">
        <v>36</v>
      </c>
      <c r="B10836" s="76" t="s">
        <v>1029</v>
      </c>
      <c r="C10836" s="84">
        <v>5.59</v>
      </c>
      <c r="D10836" s="84">
        <v>1.0</v>
      </c>
      <c r="E10836" s="84">
        <v>5.59</v>
      </c>
      <c r="F10836" s="76" t="s">
        <v>974</v>
      </c>
      <c r="G10836" s="83">
        <v>46120.0</v>
      </c>
      <c r="H10836" s="76" t="s">
        <v>926</v>
      </c>
    </row>
    <row r="10837">
      <c r="A10837" s="76" t="s">
        <v>36</v>
      </c>
      <c r="B10837" s="76" t="s">
        <v>1029</v>
      </c>
      <c r="C10837" s="84">
        <v>1.03</v>
      </c>
      <c r="D10837" s="84">
        <v>0.0</v>
      </c>
      <c r="E10837" s="84">
        <v>0.0</v>
      </c>
      <c r="F10837" s="76" t="s">
        <v>974</v>
      </c>
      <c r="G10837" s="83">
        <v>46120.0</v>
      </c>
      <c r="H10837" s="76" t="s">
        <v>927</v>
      </c>
    </row>
    <row r="10838">
      <c r="A10838" s="76" t="s">
        <v>36</v>
      </c>
      <c r="B10838" s="76" t="s">
        <v>1029</v>
      </c>
      <c r="C10838" s="84">
        <v>3.37</v>
      </c>
      <c r="D10838" s="84">
        <v>1.0</v>
      </c>
      <c r="E10838" s="84">
        <v>3.37</v>
      </c>
      <c r="F10838" s="76" t="s">
        <v>974</v>
      </c>
      <c r="G10838" s="83">
        <v>46120.0</v>
      </c>
      <c r="H10838" s="76" t="s">
        <v>928</v>
      </c>
    </row>
    <row r="10839">
      <c r="A10839" s="76" t="s">
        <v>33</v>
      </c>
      <c r="B10839" s="76" t="s">
        <v>1029</v>
      </c>
      <c r="C10839" s="84">
        <v>135.85</v>
      </c>
      <c r="D10839" s="84">
        <v>32.0</v>
      </c>
      <c r="E10839" s="84">
        <v>4.25</v>
      </c>
      <c r="F10839" s="76" t="s">
        <v>974</v>
      </c>
      <c r="G10839" s="83">
        <v>46120.0</v>
      </c>
      <c r="H10839" s="76" t="s">
        <v>957</v>
      </c>
    </row>
    <row r="10840">
      <c r="A10840" s="76" t="s">
        <v>33</v>
      </c>
      <c r="B10840" s="76" t="s">
        <v>1029</v>
      </c>
      <c r="C10840" s="84">
        <v>2.1</v>
      </c>
      <c r="D10840" s="84">
        <v>1.0</v>
      </c>
      <c r="E10840" s="84">
        <v>2.1</v>
      </c>
      <c r="F10840" s="76" t="s">
        <v>974</v>
      </c>
      <c r="G10840" s="83">
        <v>46120.0</v>
      </c>
      <c r="H10840" s="76" t="s">
        <v>958</v>
      </c>
    </row>
    <row r="10841">
      <c r="A10841" s="76" t="s">
        <v>33</v>
      </c>
      <c r="B10841" s="76" t="s">
        <v>1029</v>
      </c>
      <c r="C10841" s="84">
        <v>22.52</v>
      </c>
      <c r="D10841" s="84">
        <v>6.0</v>
      </c>
      <c r="E10841" s="84">
        <v>3.75</v>
      </c>
      <c r="F10841" s="76" t="s">
        <v>974</v>
      </c>
      <c r="G10841" s="83">
        <v>46120.0</v>
      </c>
      <c r="H10841" s="76" t="s">
        <v>959</v>
      </c>
    </row>
    <row r="10842">
      <c r="A10842" s="76" t="s">
        <v>29</v>
      </c>
      <c r="B10842" s="76" t="s">
        <v>1029</v>
      </c>
      <c r="C10842" s="84">
        <v>1.98</v>
      </c>
      <c r="D10842" s="84">
        <v>0.0</v>
      </c>
      <c r="E10842" s="84">
        <v>0.0</v>
      </c>
      <c r="F10842" s="76" t="s">
        <v>974</v>
      </c>
      <c r="G10842" s="83">
        <v>46120.0</v>
      </c>
      <c r="H10842" s="76" t="s">
        <v>971</v>
      </c>
    </row>
    <row r="10843">
      <c r="A10843" s="76" t="s">
        <v>29</v>
      </c>
      <c r="B10843" s="76" t="s">
        <v>1029</v>
      </c>
      <c r="C10843" s="84">
        <v>0.61</v>
      </c>
      <c r="D10843" s="84">
        <v>0.0</v>
      </c>
      <c r="E10843" s="84">
        <v>0.0</v>
      </c>
      <c r="F10843" s="76" t="s">
        <v>974</v>
      </c>
      <c r="G10843" s="83">
        <v>46120.0</v>
      </c>
      <c r="H10843" s="76" t="s">
        <v>972</v>
      </c>
    </row>
    <row r="10844">
      <c r="A10844" s="76" t="s">
        <v>29</v>
      </c>
      <c r="B10844" s="76" t="s">
        <v>1029</v>
      </c>
      <c r="C10844" s="84">
        <v>5.92</v>
      </c>
      <c r="D10844" s="84">
        <v>1.0</v>
      </c>
      <c r="E10844" s="84">
        <v>5.92</v>
      </c>
      <c r="F10844" s="76" t="s">
        <v>974</v>
      </c>
      <c r="G10844" s="83">
        <v>46120.0</v>
      </c>
      <c r="H10844" s="76" t="s">
        <v>973</v>
      </c>
    </row>
    <row r="10845">
      <c r="A10845" s="76" t="s">
        <v>46</v>
      </c>
      <c r="B10845" s="76" t="s">
        <v>1029</v>
      </c>
      <c r="C10845" s="84">
        <v>3.27</v>
      </c>
      <c r="D10845" s="84">
        <v>0.0</v>
      </c>
      <c r="E10845" s="84">
        <v>0.0</v>
      </c>
      <c r="F10845" s="76" t="s">
        <v>974</v>
      </c>
      <c r="G10845" s="83">
        <v>46120.0</v>
      </c>
      <c r="H10845" s="76" t="s">
        <v>960</v>
      </c>
    </row>
    <row r="10846">
      <c r="A10846" s="76" t="s">
        <v>46</v>
      </c>
      <c r="B10846" s="76" t="s">
        <v>1029</v>
      </c>
      <c r="C10846" s="84">
        <v>0.73</v>
      </c>
      <c r="D10846" s="84">
        <v>0.0</v>
      </c>
      <c r="E10846" s="84">
        <v>0.0</v>
      </c>
      <c r="F10846" s="76" t="s">
        <v>974</v>
      </c>
      <c r="G10846" s="83">
        <v>46120.0</v>
      </c>
      <c r="H10846" s="76" t="s">
        <v>961</v>
      </c>
    </row>
    <row r="10847">
      <c r="A10847" s="76" t="s">
        <v>46</v>
      </c>
      <c r="B10847" s="76" t="s">
        <v>1029</v>
      </c>
      <c r="C10847" s="84">
        <v>1.46</v>
      </c>
      <c r="D10847" s="84">
        <v>1.0</v>
      </c>
      <c r="E10847" s="84">
        <v>1.46</v>
      </c>
      <c r="F10847" s="76" t="s">
        <v>974</v>
      </c>
      <c r="G10847" s="83">
        <v>46120.0</v>
      </c>
      <c r="H10847" s="76" t="s">
        <v>962</v>
      </c>
    </row>
    <row r="10848">
      <c r="A10848" s="76" t="s">
        <v>34</v>
      </c>
      <c r="B10848" s="76" t="s">
        <v>1029</v>
      </c>
      <c r="C10848" s="84">
        <v>1.71</v>
      </c>
      <c r="D10848" s="84">
        <v>0.0</v>
      </c>
      <c r="E10848" s="84">
        <v>0.0</v>
      </c>
      <c r="F10848" s="76" t="s">
        <v>974</v>
      </c>
      <c r="G10848" s="83">
        <v>46120.0</v>
      </c>
      <c r="H10848" s="76" t="s">
        <v>951</v>
      </c>
    </row>
    <row r="10849">
      <c r="A10849" s="76" t="s">
        <v>34</v>
      </c>
      <c r="B10849" s="76" t="s">
        <v>1029</v>
      </c>
      <c r="C10849" s="84">
        <v>5.54</v>
      </c>
      <c r="D10849" s="84">
        <v>1.0</v>
      </c>
      <c r="E10849" s="84">
        <v>5.54</v>
      </c>
      <c r="F10849" s="76" t="s">
        <v>974</v>
      </c>
      <c r="G10849" s="83">
        <v>46120.0</v>
      </c>
      <c r="H10849" s="76" t="s">
        <v>952</v>
      </c>
    </row>
    <row r="10850">
      <c r="A10850" s="76" t="s">
        <v>34</v>
      </c>
      <c r="B10850" s="76" t="s">
        <v>1029</v>
      </c>
      <c r="C10850" s="84">
        <v>2.17</v>
      </c>
      <c r="D10850" s="84">
        <v>1.0</v>
      </c>
      <c r="E10850" s="84">
        <v>2.17</v>
      </c>
      <c r="F10850" s="76" t="s">
        <v>974</v>
      </c>
      <c r="G10850" s="83">
        <v>46120.0</v>
      </c>
      <c r="H10850" s="76" t="s">
        <v>953</v>
      </c>
    </row>
    <row r="10851">
      <c r="A10851" s="76" t="s">
        <v>970</v>
      </c>
      <c r="B10851" s="76" t="s">
        <v>1029</v>
      </c>
      <c r="C10851" s="84">
        <v>1.97</v>
      </c>
      <c r="D10851" s="84">
        <v>0.0</v>
      </c>
      <c r="E10851" s="84">
        <v>0.0</v>
      </c>
      <c r="F10851" s="76" t="s">
        <v>974</v>
      </c>
      <c r="G10851" s="83">
        <v>46120.0</v>
      </c>
      <c r="H10851" s="76" t="s">
        <v>971</v>
      </c>
    </row>
    <row r="10852">
      <c r="A10852" s="76" t="s">
        <v>970</v>
      </c>
      <c r="B10852" s="76" t="s">
        <v>1029</v>
      </c>
      <c r="C10852" s="84">
        <v>0.72</v>
      </c>
      <c r="D10852" s="84">
        <v>0.0</v>
      </c>
      <c r="E10852" s="84">
        <v>0.0</v>
      </c>
      <c r="F10852" s="76" t="s">
        <v>974</v>
      </c>
      <c r="G10852" s="83">
        <v>46120.0</v>
      </c>
      <c r="H10852" s="76" t="s">
        <v>972</v>
      </c>
    </row>
    <row r="10853">
      <c r="A10853" s="76" t="s">
        <v>970</v>
      </c>
      <c r="B10853" s="76" t="s">
        <v>1029</v>
      </c>
      <c r="C10853" s="84">
        <v>6.88</v>
      </c>
      <c r="D10853" s="84">
        <v>2.0</v>
      </c>
      <c r="E10853" s="84">
        <v>3.44</v>
      </c>
      <c r="F10853" s="76" t="s">
        <v>974</v>
      </c>
      <c r="G10853" s="83">
        <v>46120.0</v>
      </c>
      <c r="H10853" s="76" t="s">
        <v>973</v>
      </c>
    </row>
    <row r="10854">
      <c r="A10854" s="76" t="s">
        <v>40</v>
      </c>
      <c r="B10854" s="76" t="s">
        <v>1029</v>
      </c>
      <c r="C10854" s="84">
        <v>2.37</v>
      </c>
      <c r="D10854" s="84">
        <v>0.0</v>
      </c>
      <c r="E10854" s="84">
        <v>0.0</v>
      </c>
      <c r="F10854" s="76" t="s">
        <v>974</v>
      </c>
      <c r="G10854" s="83">
        <v>46120.0</v>
      </c>
      <c r="H10854" s="76" t="s">
        <v>954</v>
      </c>
    </row>
    <row r="10855">
      <c r="A10855" s="76" t="s">
        <v>40</v>
      </c>
      <c r="B10855" s="76" t="s">
        <v>1029</v>
      </c>
      <c r="C10855" s="84">
        <v>1.53</v>
      </c>
      <c r="D10855" s="84">
        <v>0.0</v>
      </c>
      <c r="E10855" s="84">
        <v>0.0</v>
      </c>
      <c r="F10855" s="76" t="s">
        <v>974</v>
      </c>
      <c r="G10855" s="83">
        <v>46120.0</v>
      </c>
      <c r="H10855" s="76" t="s">
        <v>955</v>
      </c>
    </row>
    <row r="10856">
      <c r="A10856" s="76" t="s">
        <v>40</v>
      </c>
      <c r="B10856" s="76" t="s">
        <v>1029</v>
      </c>
      <c r="C10856" s="84">
        <v>11.35</v>
      </c>
      <c r="D10856" s="84">
        <v>2.0</v>
      </c>
      <c r="E10856" s="84">
        <v>5.68</v>
      </c>
      <c r="F10856" s="76" t="s">
        <v>974</v>
      </c>
      <c r="G10856" s="83">
        <v>46120.0</v>
      </c>
      <c r="H10856" s="76" t="s">
        <v>956</v>
      </c>
    </row>
    <row r="10857">
      <c r="A10857" s="76" t="s">
        <v>29</v>
      </c>
      <c r="B10857" s="76" t="s">
        <v>1029</v>
      </c>
      <c r="C10857" s="84">
        <v>10.57</v>
      </c>
      <c r="D10857" s="84">
        <v>3.0</v>
      </c>
      <c r="E10857" s="84">
        <v>3.52</v>
      </c>
      <c r="F10857" s="76" t="s">
        <v>975</v>
      </c>
      <c r="G10857" s="83">
        <v>46120.0</v>
      </c>
      <c r="H10857" s="76" t="s">
        <v>971</v>
      </c>
    </row>
    <row r="10858">
      <c r="A10858" s="76" t="s">
        <v>29</v>
      </c>
      <c r="B10858" s="76" t="s">
        <v>1029</v>
      </c>
      <c r="C10858" s="84">
        <v>5.12</v>
      </c>
      <c r="D10858" s="84">
        <v>0.0</v>
      </c>
      <c r="E10858" s="84">
        <v>0.0</v>
      </c>
      <c r="F10858" s="76" t="s">
        <v>975</v>
      </c>
      <c r="G10858" s="83">
        <v>46120.0</v>
      </c>
      <c r="H10858" s="76" t="s">
        <v>972</v>
      </c>
    </row>
    <row r="10859">
      <c r="A10859" s="76" t="s">
        <v>29</v>
      </c>
      <c r="B10859" s="76" t="s">
        <v>1029</v>
      </c>
      <c r="C10859" s="84">
        <v>26.54</v>
      </c>
      <c r="D10859" s="84">
        <v>9.0</v>
      </c>
      <c r="E10859" s="84">
        <v>2.95</v>
      </c>
      <c r="F10859" s="76" t="s">
        <v>975</v>
      </c>
      <c r="G10859" s="83">
        <v>46120.0</v>
      </c>
      <c r="H10859" s="76" t="s">
        <v>973</v>
      </c>
    </row>
    <row r="10860">
      <c r="A10860" s="76" t="s">
        <v>46</v>
      </c>
      <c r="B10860" s="76" t="s">
        <v>1029</v>
      </c>
      <c r="C10860" s="84">
        <v>5.42</v>
      </c>
      <c r="D10860" s="84">
        <v>3.0</v>
      </c>
      <c r="E10860" s="84">
        <v>1.81</v>
      </c>
      <c r="F10860" s="76" t="s">
        <v>975</v>
      </c>
      <c r="G10860" s="83">
        <v>46120.0</v>
      </c>
      <c r="H10860" s="76" t="s">
        <v>960</v>
      </c>
    </row>
    <row r="10861">
      <c r="A10861" s="76" t="s">
        <v>46</v>
      </c>
      <c r="B10861" s="76" t="s">
        <v>1029</v>
      </c>
      <c r="C10861" s="84">
        <v>2.9</v>
      </c>
      <c r="D10861" s="84">
        <v>0.0</v>
      </c>
      <c r="E10861" s="84">
        <v>0.0</v>
      </c>
      <c r="F10861" s="76" t="s">
        <v>975</v>
      </c>
      <c r="G10861" s="83">
        <v>46120.0</v>
      </c>
      <c r="H10861" s="76" t="s">
        <v>961</v>
      </c>
    </row>
    <row r="10862">
      <c r="A10862" s="76" t="s">
        <v>46</v>
      </c>
      <c r="B10862" s="76" t="s">
        <v>1029</v>
      </c>
      <c r="C10862" s="84">
        <v>11.87</v>
      </c>
      <c r="D10862" s="84">
        <v>0.0</v>
      </c>
      <c r="E10862" s="84">
        <v>0.0</v>
      </c>
      <c r="F10862" s="76" t="s">
        <v>975</v>
      </c>
      <c r="G10862" s="83">
        <v>46120.0</v>
      </c>
      <c r="H10862" s="76" t="s">
        <v>962</v>
      </c>
    </row>
    <row r="10863">
      <c r="A10863" s="76" t="s">
        <v>36</v>
      </c>
      <c r="B10863" s="76" t="s">
        <v>1029</v>
      </c>
      <c r="C10863" s="84">
        <v>21.15</v>
      </c>
      <c r="D10863" s="84">
        <v>0.0</v>
      </c>
      <c r="E10863" s="84">
        <v>0.0</v>
      </c>
      <c r="F10863" s="76" t="s">
        <v>975</v>
      </c>
      <c r="G10863" s="83">
        <v>46120.0</v>
      </c>
      <c r="H10863" s="76" t="s">
        <v>926</v>
      </c>
    </row>
    <row r="10864">
      <c r="A10864" s="76" t="s">
        <v>36</v>
      </c>
      <c r="B10864" s="76" t="s">
        <v>1029</v>
      </c>
      <c r="C10864" s="84">
        <v>2.42</v>
      </c>
      <c r="D10864" s="84">
        <v>0.0</v>
      </c>
      <c r="E10864" s="84">
        <v>0.0</v>
      </c>
      <c r="F10864" s="76" t="s">
        <v>975</v>
      </c>
      <c r="G10864" s="83">
        <v>46120.0</v>
      </c>
      <c r="H10864" s="76" t="s">
        <v>927</v>
      </c>
    </row>
    <row r="10865">
      <c r="A10865" s="76" t="s">
        <v>36</v>
      </c>
      <c r="B10865" s="76" t="s">
        <v>1029</v>
      </c>
      <c r="C10865" s="84">
        <v>14.94</v>
      </c>
      <c r="D10865" s="84">
        <v>3.0</v>
      </c>
      <c r="E10865" s="84">
        <v>4.98</v>
      </c>
      <c r="F10865" s="76" t="s">
        <v>975</v>
      </c>
      <c r="G10865" s="83">
        <v>46120.0</v>
      </c>
      <c r="H10865" s="76" t="s">
        <v>928</v>
      </c>
    </row>
    <row r="10866">
      <c r="A10866" s="76" t="s">
        <v>43</v>
      </c>
      <c r="B10866" s="76" t="s">
        <v>1029</v>
      </c>
      <c r="C10866" s="84">
        <v>11.94</v>
      </c>
      <c r="D10866" s="84">
        <v>3.0</v>
      </c>
      <c r="E10866" s="84">
        <v>3.98</v>
      </c>
      <c r="F10866" s="76" t="s">
        <v>975</v>
      </c>
      <c r="G10866" s="83">
        <v>46120.0</v>
      </c>
      <c r="H10866" s="76" t="s">
        <v>963</v>
      </c>
    </row>
    <row r="10867">
      <c r="A10867" s="76" t="s">
        <v>43</v>
      </c>
      <c r="B10867" s="76" t="s">
        <v>1029</v>
      </c>
      <c r="C10867" s="84">
        <v>5.73</v>
      </c>
      <c r="D10867" s="84">
        <v>0.0</v>
      </c>
      <c r="E10867" s="84">
        <v>0.0</v>
      </c>
      <c r="F10867" s="76" t="s">
        <v>975</v>
      </c>
      <c r="G10867" s="83">
        <v>46120.0</v>
      </c>
      <c r="H10867" s="76" t="s">
        <v>964</v>
      </c>
    </row>
    <row r="10868">
      <c r="A10868" s="76" t="s">
        <v>43</v>
      </c>
      <c r="B10868" s="76" t="s">
        <v>1029</v>
      </c>
      <c r="C10868" s="84">
        <v>36.49</v>
      </c>
      <c r="D10868" s="84">
        <v>6.0</v>
      </c>
      <c r="E10868" s="84">
        <v>6.08</v>
      </c>
      <c r="F10868" s="76" t="s">
        <v>975</v>
      </c>
      <c r="G10868" s="83">
        <v>46120.0</v>
      </c>
      <c r="H10868" s="76" t="s">
        <v>965</v>
      </c>
    </row>
    <row r="10869">
      <c r="A10869" s="76" t="s">
        <v>34</v>
      </c>
      <c r="B10869" s="76" t="s">
        <v>1029</v>
      </c>
      <c r="C10869" s="84">
        <v>3.88</v>
      </c>
      <c r="D10869" s="84">
        <v>0.0</v>
      </c>
      <c r="E10869" s="84">
        <v>0.0</v>
      </c>
      <c r="F10869" s="76" t="s">
        <v>975</v>
      </c>
      <c r="G10869" s="83">
        <v>46120.0</v>
      </c>
      <c r="H10869" s="76" t="s">
        <v>951</v>
      </c>
    </row>
    <row r="10870">
      <c r="A10870" s="76" t="s">
        <v>34</v>
      </c>
      <c r="B10870" s="76" t="s">
        <v>1029</v>
      </c>
      <c r="C10870" s="84">
        <v>17.8</v>
      </c>
      <c r="D10870" s="84">
        <v>4.0</v>
      </c>
      <c r="E10870" s="84">
        <v>4.45</v>
      </c>
      <c r="F10870" s="76" t="s">
        <v>975</v>
      </c>
      <c r="G10870" s="83">
        <v>46120.0</v>
      </c>
      <c r="H10870" s="76" t="s">
        <v>952</v>
      </c>
    </row>
    <row r="10871">
      <c r="A10871" s="76" t="s">
        <v>34</v>
      </c>
      <c r="B10871" s="76" t="s">
        <v>1029</v>
      </c>
      <c r="C10871" s="84">
        <v>7.92</v>
      </c>
      <c r="D10871" s="84">
        <v>6.0</v>
      </c>
      <c r="E10871" s="84">
        <v>1.32</v>
      </c>
      <c r="F10871" s="76" t="s">
        <v>975</v>
      </c>
      <c r="G10871" s="83">
        <v>46120.0</v>
      </c>
      <c r="H10871" s="76" t="s">
        <v>953</v>
      </c>
    </row>
    <row r="10872">
      <c r="A10872" s="76" t="s">
        <v>40</v>
      </c>
      <c r="B10872" s="76" t="s">
        <v>1029</v>
      </c>
      <c r="C10872" s="84">
        <v>10.9</v>
      </c>
      <c r="D10872" s="84">
        <v>1.0</v>
      </c>
      <c r="E10872" s="84">
        <v>10.9</v>
      </c>
      <c r="F10872" s="76" t="s">
        <v>975</v>
      </c>
      <c r="G10872" s="83">
        <v>46120.0</v>
      </c>
      <c r="H10872" s="76" t="s">
        <v>954</v>
      </c>
    </row>
    <row r="10873">
      <c r="A10873" s="76" t="s">
        <v>40</v>
      </c>
      <c r="B10873" s="76" t="s">
        <v>1029</v>
      </c>
      <c r="C10873" s="84">
        <v>7.5</v>
      </c>
      <c r="D10873" s="84">
        <v>0.0</v>
      </c>
      <c r="E10873" s="84">
        <v>0.0</v>
      </c>
      <c r="F10873" s="76" t="s">
        <v>975</v>
      </c>
      <c r="G10873" s="83">
        <v>46120.0</v>
      </c>
      <c r="H10873" s="76" t="s">
        <v>955</v>
      </c>
    </row>
    <row r="10874">
      <c r="A10874" s="76" t="s">
        <v>40</v>
      </c>
      <c r="B10874" s="76" t="s">
        <v>1029</v>
      </c>
      <c r="C10874" s="84">
        <v>66.1</v>
      </c>
      <c r="D10874" s="84">
        <v>11.0</v>
      </c>
      <c r="E10874" s="84">
        <v>6.01</v>
      </c>
      <c r="F10874" s="76" t="s">
        <v>975</v>
      </c>
      <c r="G10874" s="83">
        <v>46120.0</v>
      </c>
      <c r="H10874" s="76" t="s">
        <v>956</v>
      </c>
    </row>
    <row r="10875">
      <c r="A10875" s="76" t="s">
        <v>970</v>
      </c>
      <c r="B10875" s="76" t="s">
        <v>1029</v>
      </c>
      <c r="C10875" s="84">
        <v>10.76</v>
      </c>
      <c r="D10875" s="84">
        <v>1.0</v>
      </c>
      <c r="E10875" s="84">
        <v>10.76</v>
      </c>
      <c r="F10875" s="76" t="s">
        <v>975</v>
      </c>
      <c r="G10875" s="83">
        <v>46120.0</v>
      </c>
      <c r="H10875" s="76" t="s">
        <v>971</v>
      </c>
    </row>
    <row r="10876">
      <c r="A10876" s="76" t="s">
        <v>970</v>
      </c>
      <c r="B10876" s="76" t="s">
        <v>1029</v>
      </c>
      <c r="C10876" s="84">
        <v>5.34</v>
      </c>
      <c r="D10876" s="84">
        <v>2.0</v>
      </c>
      <c r="E10876" s="84">
        <v>2.67</v>
      </c>
      <c r="F10876" s="76" t="s">
        <v>975</v>
      </c>
      <c r="G10876" s="83">
        <v>46120.0</v>
      </c>
      <c r="H10876" s="76" t="s">
        <v>972</v>
      </c>
    </row>
    <row r="10877">
      <c r="A10877" s="76" t="s">
        <v>970</v>
      </c>
      <c r="B10877" s="76" t="s">
        <v>1029</v>
      </c>
      <c r="C10877" s="84">
        <v>32.34</v>
      </c>
      <c r="D10877" s="84">
        <v>3.0</v>
      </c>
      <c r="E10877" s="84">
        <v>10.78</v>
      </c>
      <c r="F10877" s="76" t="s">
        <v>975</v>
      </c>
      <c r="G10877" s="83">
        <v>46120.0</v>
      </c>
      <c r="H10877" s="76" t="s">
        <v>973</v>
      </c>
    </row>
    <row r="10878">
      <c r="A10878" s="76" t="s">
        <v>966</v>
      </c>
      <c r="B10878" s="76" t="s">
        <v>1029</v>
      </c>
      <c r="C10878" s="84">
        <v>11.17</v>
      </c>
      <c r="D10878" s="84">
        <v>3.0</v>
      </c>
      <c r="E10878" s="84">
        <v>3.72</v>
      </c>
      <c r="F10878" s="76" t="s">
        <v>975</v>
      </c>
      <c r="G10878" s="83">
        <v>46120.0</v>
      </c>
      <c r="H10878" s="76" t="s">
        <v>967</v>
      </c>
    </row>
    <row r="10879">
      <c r="A10879" s="76" t="s">
        <v>966</v>
      </c>
      <c r="B10879" s="76" t="s">
        <v>1029</v>
      </c>
      <c r="C10879" s="84">
        <v>5.1</v>
      </c>
      <c r="D10879" s="84">
        <v>0.0</v>
      </c>
      <c r="E10879" s="84">
        <v>0.0</v>
      </c>
      <c r="F10879" s="76" t="s">
        <v>975</v>
      </c>
      <c r="G10879" s="83">
        <v>46120.0</v>
      </c>
      <c r="H10879" s="76" t="s">
        <v>968</v>
      </c>
    </row>
    <row r="10880">
      <c r="A10880" s="76" t="s">
        <v>966</v>
      </c>
      <c r="B10880" s="76" t="s">
        <v>1029</v>
      </c>
      <c r="C10880" s="84">
        <v>21.1</v>
      </c>
      <c r="D10880" s="84">
        <v>4.0</v>
      </c>
      <c r="E10880" s="84">
        <v>5.27</v>
      </c>
      <c r="F10880" s="76" t="s">
        <v>975</v>
      </c>
      <c r="G10880" s="83">
        <v>46120.0</v>
      </c>
      <c r="H10880" s="76" t="s">
        <v>969</v>
      </c>
    </row>
    <row r="10881">
      <c r="A10881" s="76" t="s">
        <v>33</v>
      </c>
      <c r="B10881" s="76" t="s">
        <v>1029</v>
      </c>
      <c r="C10881" s="84">
        <v>292.8</v>
      </c>
      <c r="D10881" s="84">
        <v>50.0</v>
      </c>
      <c r="E10881" s="84">
        <v>5.86</v>
      </c>
      <c r="F10881" s="76" t="s">
        <v>975</v>
      </c>
      <c r="G10881" s="83">
        <v>46120.0</v>
      </c>
      <c r="H10881" s="76" t="s">
        <v>957</v>
      </c>
    </row>
    <row r="10882">
      <c r="A10882" s="76" t="s">
        <v>33</v>
      </c>
      <c r="B10882" s="76" t="s">
        <v>1029</v>
      </c>
      <c r="C10882" s="84">
        <v>8.72</v>
      </c>
      <c r="D10882" s="84">
        <v>0.0</v>
      </c>
      <c r="E10882" s="84">
        <v>0.0</v>
      </c>
      <c r="F10882" s="76" t="s">
        <v>975</v>
      </c>
      <c r="G10882" s="83">
        <v>46120.0</v>
      </c>
      <c r="H10882" s="76" t="s">
        <v>958</v>
      </c>
    </row>
    <row r="10883">
      <c r="A10883" s="76" t="s">
        <v>33</v>
      </c>
      <c r="B10883" s="76" t="s">
        <v>1029</v>
      </c>
      <c r="C10883" s="84">
        <v>47.04</v>
      </c>
      <c r="D10883" s="84">
        <v>9.0</v>
      </c>
      <c r="E10883" s="84">
        <v>5.23</v>
      </c>
      <c r="F10883" s="76" t="s">
        <v>975</v>
      </c>
      <c r="G10883" s="83">
        <v>46120.0</v>
      </c>
      <c r="H10883" s="76" t="s">
        <v>959</v>
      </c>
    </row>
    <row r="10884">
      <c r="A10884" s="76" t="s">
        <v>42</v>
      </c>
      <c r="B10884" s="76" t="s">
        <v>1037</v>
      </c>
      <c r="C10884" s="84">
        <v>4.21</v>
      </c>
      <c r="D10884" s="84">
        <v>1.0</v>
      </c>
      <c r="E10884" s="84">
        <v>4.21</v>
      </c>
      <c r="F10884" s="76" t="s">
        <v>925</v>
      </c>
      <c r="G10884" s="83">
        <v>46120.0</v>
      </c>
      <c r="H10884" s="76" t="s">
        <v>991</v>
      </c>
    </row>
    <row r="10885">
      <c r="A10885" s="76" t="s">
        <v>42</v>
      </c>
      <c r="B10885" s="76" t="s">
        <v>1037</v>
      </c>
      <c r="C10885" s="84">
        <v>17.25</v>
      </c>
      <c r="D10885" s="84">
        <v>0.0</v>
      </c>
      <c r="E10885" s="84">
        <v>0.0</v>
      </c>
      <c r="F10885" s="76" t="s">
        <v>925</v>
      </c>
      <c r="G10885" s="83">
        <v>46120.0</v>
      </c>
      <c r="H10885" s="76" t="s">
        <v>935</v>
      </c>
    </row>
    <row r="10886">
      <c r="A10886" s="76" t="s">
        <v>36</v>
      </c>
      <c r="B10886" s="76" t="s">
        <v>1037</v>
      </c>
      <c r="C10886" s="84">
        <v>22.73</v>
      </c>
      <c r="D10886" s="84">
        <v>5.0</v>
      </c>
      <c r="E10886" s="84">
        <v>4.55</v>
      </c>
      <c r="F10886" s="76" t="s">
        <v>925</v>
      </c>
      <c r="G10886" s="83">
        <v>46120.0</v>
      </c>
      <c r="H10886" s="76" t="s">
        <v>926</v>
      </c>
    </row>
    <row r="10887">
      <c r="A10887" s="76" t="s">
        <v>36</v>
      </c>
      <c r="B10887" s="76" t="s">
        <v>1037</v>
      </c>
      <c r="C10887" s="84">
        <v>5.52</v>
      </c>
      <c r="D10887" s="84">
        <v>0.0</v>
      </c>
      <c r="E10887" s="84">
        <v>0.0</v>
      </c>
      <c r="F10887" s="76" t="s">
        <v>925</v>
      </c>
      <c r="G10887" s="83">
        <v>46120.0</v>
      </c>
      <c r="H10887" s="76" t="s">
        <v>927</v>
      </c>
    </row>
    <row r="10888">
      <c r="A10888" s="76" t="s">
        <v>36</v>
      </c>
      <c r="B10888" s="76" t="s">
        <v>1037</v>
      </c>
      <c r="C10888" s="84">
        <v>7.17</v>
      </c>
      <c r="D10888" s="84">
        <v>1.0</v>
      </c>
      <c r="E10888" s="84">
        <v>7.17</v>
      </c>
      <c r="F10888" s="76" t="s">
        <v>925</v>
      </c>
      <c r="G10888" s="83">
        <v>46120.0</v>
      </c>
      <c r="H10888" s="76" t="s">
        <v>928</v>
      </c>
    </row>
    <row r="10889">
      <c r="A10889" s="76" t="s">
        <v>32</v>
      </c>
      <c r="B10889" s="76" t="s">
        <v>1037</v>
      </c>
      <c r="C10889" s="84">
        <v>49.15</v>
      </c>
      <c r="D10889" s="84">
        <v>7.0</v>
      </c>
      <c r="E10889" s="84">
        <v>7.02</v>
      </c>
      <c r="F10889" s="76" t="s">
        <v>925</v>
      </c>
      <c r="G10889" s="83">
        <v>46120.0</v>
      </c>
      <c r="H10889" s="76" t="s">
        <v>941</v>
      </c>
    </row>
    <row r="10890">
      <c r="A10890" s="76" t="s">
        <v>32</v>
      </c>
      <c r="B10890" s="76" t="s">
        <v>1037</v>
      </c>
      <c r="C10890" s="84">
        <v>8.23</v>
      </c>
      <c r="D10890" s="84">
        <v>0.0</v>
      </c>
      <c r="E10890" s="84">
        <v>0.0</v>
      </c>
      <c r="F10890" s="76" t="s">
        <v>925</v>
      </c>
      <c r="G10890" s="83">
        <v>46120.0</v>
      </c>
      <c r="H10890" s="76" t="s">
        <v>942</v>
      </c>
    </row>
    <row r="10891">
      <c r="A10891" s="76" t="s">
        <v>32</v>
      </c>
      <c r="B10891" s="76" t="s">
        <v>1037</v>
      </c>
      <c r="C10891" s="84">
        <v>20.32</v>
      </c>
      <c r="D10891" s="84">
        <v>2.0</v>
      </c>
      <c r="E10891" s="84">
        <v>10.16</v>
      </c>
      <c r="F10891" s="76" t="s">
        <v>925</v>
      </c>
      <c r="G10891" s="83">
        <v>46120.0</v>
      </c>
      <c r="H10891" s="76" t="s">
        <v>943</v>
      </c>
    </row>
    <row r="10892">
      <c r="A10892" s="76" t="s">
        <v>944</v>
      </c>
      <c r="B10892" s="76" t="s">
        <v>1037</v>
      </c>
      <c r="C10892" s="84">
        <v>16.13</v>
      </c>
      <c r="D10892" s="84">
        <v>1.0</v>
      </c>
      <c r="E10892" s="84">
        <v>16.13</v>
      </c>
      <c r="F10892" s="76" t="s">
        <v>925</v>
      </c>
      <c r="G10892" s="83">
        <v>46120.0</v>
      </c>
      <c r="H10892" s="76" t="s">
        <v>945</v>
      </c>
    </row>
    <row r="10893">
      <c r="A10893" s="76" t="s">
        <v>944</v>
      </c>
      <c r="B10893" s="76" t="s">
        <v>1037</v>
      </c>
      <c r="C10893" s="84">
        <v>8.65</v>
      </c>
      <c r="D10893" s="84">
        <v>2.0</v>
      </c>
      <c r="E10893" s="84">
        <v>4.32</v>
      </c>
      <c r="F10893" s="76" t="s">
        <v>925</v>
      </c>
      <c r="G10893" s="83">
        <v>46120.0</v>
      </c>
      <c r="H10893" s="76" t="s">
        <v>946</v>
      </c>
    </row>
    <row r="10894">
      <c r="A10894" s="76" t="s">
        <v>944</v>
      </c>
      <c r="B10894" s="76" t="s">
        <v>1037</v>
      </c>
      <c r="C10894" s="84">
        <v>19.67</v>
      </c>
      <c r="D10894" s="84">
        <v>1.0</v>
      </c>
      <c r="E10894" s="84">
        <v>19.67</v>
      </c>
      <c r="F10894" s="76" t="s">
        <v>925</v>
      </c>
      <c r="G10894" s="83">
        <v>46120.0</v>
      </c>
      <c r="H10894" s="76" t="s">
        <v>947</v>
      </c>
    </row>
    <row r="10895">
      <c r="A10895" s="76" t="s">
        <v>31</v>
      </c>
      <c r="B10895" s="76" t="s">
        <v>1037</v>
      </c>
      <c r="C10895" s="84">
        <v>23.99</v>
      </c>
      <c r="D10895" s="84">
        <v>2.0</v>
      </c>
      <c r="E10895" s="84">
        <v>12.0</v>
      </c>
      <c r="F10895" s="76" t="s">
        <v>925</v>
      </c>
      <c r="G10895" s="83">
        <v>46120.0</v>
      </c>
      <c r="H10895" s="76" t="s">
        <v>929</v>
      </c>
    </row>
    <row r="10896">
      <c r="A10896" s="76" t="s">
        <v>31</v>
      </c>
      <c r="B10896" s="76" t="s">
        <v>1037</v>
      </c>
      <c r="C10896" s="84">
        <v>265.14</v>
      </c>
      <c r="D10896" s="84">
        <v>47.0</v>
      </c>
      <c r="E10896" s="84">
        <v>5.64</v>
      </c>
      <c r="F10896" s="76" t="s">
        <v>925</v>
      </c>
      <c r="G10896" s="83">
        <v>46120.0</v>
      </c>
      <c r="H10896" s="76" t="s">
        <v>930</v>
      </c>
    </row>
    <row r="10897">
      <c r="A10897" s="76" t="s">
        <v>45</v>
      </c>
      <c r="B10897" s="76" t="s">
        <v>1037</v>
      </c>
      <c r="C10897" s="84">
        <v>1.77</v>
      </c>
      <c r="D10897" s="84">
        <v>0.0</v>
      </c>
      <c r="E10897" s="84">
        <v>0.0</v>
      </c>
      <c r="F10897" s="76" t="s">
        <v>925</v>
      </c>
      <c r="G10897" s="83">
        <v>46120.0</v>
      </c>
      <c r="H10897" s="76" t="s">
        <v>936</v>
      </c>
    </row>
    <row r="10898">
      <c r="A10898" s="76" t="s">
        <v>45</v>
      </c>
      <c r="B10898" s="76" t="s">
        <v>1037</v>
      </c>
      <c r="C10898" s="84">
        <v>8.79</v>
      </c>
      <c r="D10898" s="84">
        <v>1.0</v>
      </c>
      <c r="E10898" s="84">
        <v>8.79</v>
      </c>
      <c r="F10898" s="76" t="s">
        <v>925</v>
      </c>
      <c r="G10898" s="83">
        <v>46120.0</v>
      </c>
      <c r="H10898" s="76" t="s">
        <v>937</v>
      </c>
    </row>
    <row r="10899">
      <c r="A10899" s="76" t="s">
        <v>45</v>
      </c>
      <c r="B10899" s="76" t="s">
        <v>1037</v>
      </c>
      <c r="C10899" s="84">
        <v>2.36</v>
      </c>
      <c r="D10899" s="84">
        <v>0.0</v>
      </c>
      <c r="E10899" s="84">
        <v>0.0</v>
      </c>
      <c r="F10899" s="76" t="s">
        <v>925</v>
      </c>
      <c r="G10899" s="83">
        <v>46120.0</v>
      </c>
      <c r="H10899" s="76" t="s">
        <v>938</v>
      </c>
    </row>
    <row r="10900">
      <c r="A10900" s="76" t="s">
        <v>26</v>
      </c>
      <c r="B10900" s="76" t="s">
        <v>1037</v>
      </c>
      <c r="C10900" s="84">
        <v>4.42</v>
      </c>
      <c r="D10900" s="84">
        <v>1.0</v>
      </c>
      <c r="E10900" s="84">
        <v>4.42</v>
      </c>
      <c r="F10900" s="76" t="s">
        <v>925</v>
      </c>
      <c r="G10900" s="83">
        <v>46120.0</v>
      </c>
      <c r="H10900" s="76" t="s">
        <v>1012</v>
      </c>
    </row>
    <row r="10901">
      <c r="A10901" s="76" t="s">
        <v>26</v>
      </c>
      <c r="B10901" s="76" t="s">
        <v>1037</v>
      </c>
      <c r="C10901" s="84">
        <v>6.11</v>
      </c>
      <c r="D10901" s="84">
        <v>1.0</v>
      </c>
      <c r="E10901" s="84">
        <v>6.11</v>
      </c>
      <c r="F10901" s="76" t="s">
        <v>925</v>
      </c>
      <c r="G10901" s="83">
        <v>46120.0</v>
      </c>
      <c r="H10901" s="76" t="s">
        <v>1013</v>
      </c>
    </row>
    <row r="10902">
      <c r="A10902" s="76" t="s">
        <v>26</v>
      </c>
      <c r="B10902" s="76" t="s">
        <v>1037</v>
      </c>
      <c r="C10902" s="84">
        <v>71.52</v>
      </c>
      <c r="D10902" s="84">
        <v>12.0</v>
      </c>
      <c r="E10902" s="84">
        <v>5.96</v>
      </c>
      <c r="F10902" s="76" t="s">
        <v>925</v>
      </c>
      <c r="G10902" s="83">
        <v>46120.0</v>
      </c>
      <c r="H10902" s="76" t="s">
        <v>1014</v>
      </c>
    </row>
    <row r="10903">
      <c r="A10903" s="76" t="s">
        <v>28</v>
      </c>
      <c r="B10903" s="76" t="s">
        <v>1037</v>
      </c>
      <c r="C10903" s="84">
        <v>5.7</v>
      </c>
      <c r="D10903" s="84">
        <v>1.0</v>
      </c>
      <c r="E10903" s="84">
        <v>5.7</v>
      </c>
      <c r="F10903" s="76" t="s">
        <v>925</v>
      </c>
      <c r="G10903" s="83">
        <v>46120.0</v>
      </c>
      <c r="H10903" s="76" t="s">
        <v>931</v>
      </c>
    </row>
    <row r="10904">
      <c r="A10904" s="76" t="s">
        <v>28</v>
      </c>
      <c r="B10904" s="76" t="s">
        <v>1037</v>
      </c>
      <c r="C10904" s="84">
        <v>3.12</v>
      </c>
      <c r="D10904" s="84">
        <v>0.0</v>
      </c>
      <c r="E10904" s="84">
        <v>0.0</v>
      </c>
      <c r="F10904" s="76" t="s">
        <v>925</v>
      </c>
      <c r="G10904" s="83">
        <v>46120.0</v>
      </c>
      <c r="H10904" s="76" t="s">
        <v>932</v>
      </c>
    </row>
    <row r="10905">
      <c r="A10905" s="76" t="s">
        <v>28</v>
      </c>
      <c r="B10905" s="76" t="s">
        <v>1037</v>
      </c>
      <c r="C10905" s="84">
        <v>48.67</v>
      </c>
      <c r="D10905" s="84">
        <v>8.0</v>
      </c>
      <c r="E10905" s="84">
        <v>6.08</v>
      </c>
      <c r="F10905" s="76" t="s">
        <v>925</v>
      </c>
      <c r="G10905" s="83">
        <v>46120.0</v>
      </c>
      <c r="H10905" s="76" t="s">
        <v>933</v>
      </c>
    </row>
    <row r="10906">
      <c r="A10906" s="76" t="s">
        <v>31</v>
      </c>
      <c r="B10906" s="76" t="s">
        <v>1037</v>
      </c>
      <c r="C10906" s="84">
        <v>16.1</v>
      </c>
      <c r="D10906" s="84">
        <v>3.0</v>
      </c>
      <c r="E10906" s="84">
        <v>5.37</v>
      </c>
      <c r="F10906" s="76" t="s">
        <v>948</v>
      </c>
      <c r="G10906" s="83">
        <v>46120.0</v>
      </c>
      <c r="H10906" s="76" t="s">
        <v>929</v>
      </c>
    </row>
    <row r="10907">
      <c r="A10907" s="76" t="s">
        <v>31</v>
      </c>
      <c r="B10907" s="76" t="s">
        <v>1037</v>
      </c>
      <c r="C10907" s="84">
        <v>368.98</v>
      </c>
      <c r="D10907" s="84">
        <v>65.0</v>
      </c>
      <c r="E10907" s="84">
        <v>5.68</v>
      </c>
      <c r="F10907" s="76" t="s">
        <v>948</v>
      </c>
      <c r="G10907" s="83">
        <v>46120.0</v>
      </c>
      <c r="H10907" s="76" t="s">
        <v>930</v>
      </c>
    </row>
    <row r="10908">
      <c r="A10908" s="76" t="s">
        <v>944</v>
      </c>
      <c r="B10908" s="76" t="s">
        <v>1037</v>
      </c>
      <c r="C10908" s="84">
        <v>26.97</v>
      </c>
      <c r="D10908" s="84">
        <v>4.0</v>
      </c>
      <c r="E10908" s="84">
        <v>6.74</v>
      </c>
      <c r="F10908" s="76" t="s">
        <v>948</v>
      </c>
      <c r="G10908" s="83">
        <v>46120.0</v>
      </c>
      <c r="H10908" s="76" t="s">
        <v>945</v>
      </c>
    </row>
    <row r="10909">
      <c r="A10909" s="76" t="s">
        <v>944</v>
      </c>
      <c r="B10909" s="76" t="s">
        <v>1037</v>
      </c>
      <c r="C10909" s="84">
        <v>9.63</v>
      </c>
      <c r="D10909" s="84">
        <v>2.0</v>
      </c>
      <c r="E10909" s="84">
        <v>4.81</v>
      </c>
      <c r="F10909" s="76" t="s">
        <v>948</v>
      </c>
      <c r="G10909" s="83">
        <v>46120.0</v>
      </c>
      <c r="H10909" s="76" t="s">
        <v>946</v>
      </c>
    </row>
    <row r="10910">
      <c r="A10910" s="76" t="s">
        <v>944</v>
      </c>
      <c r="B10910" s="76" t="s">
        <v>1037</v>
      </c>
      <c r="C10910" s="84">
        <v>23.58</v>
      </c>
      <c r="D10910" s="84">
        <v>4.0</v>
      </c>
      <c r="E10910" s="84">
        <v>5.89</v>
      </c>
      <c r="F10910" s="76" t="s">
        <v>948</v>
      </c>
      <c r="G10910" s="83">
        <v>46120.0</v>
      </c>
      <c r="H10910" s="76" t="s">
        <v>947</v>
      </c>
    </row>
    <row r="10911">
      <c r="A10911" s="76" t="s">
        <v>32</v>
      </c>
      <c r="B10911" s="76" t="s">
        <v>1037</v>
      </c>
      <c r="C10911" s="84">
        <v>38.73</v>
      </c>
      <c r="D10911" s="84">
        <v>3.0</v>
      </c>
      <c r="E10911" s="84">
        <v>12.91</v>
      </c>
      <c r="F10911" s="76" t="s">
        <v>948</v>
      </c>
      <c r="G10911" s="83">
        <v>46120.0</v>
      </c>
      <c r="H10911" s="76" t="s">
        <v>941</v>
      </c>
    </row>
    <row r="10912">
      <c r="A10912" s="76" t="s">
        <v>32</v>
      </c>
      <c r="B10912" s="76" t="s">
        <v>1037</v>
      </c>
      <c r="C10912" s="84">
        <v>18.82</v>
      </c>
      <c r="D10912" s="84">
        <v>1.0</v>
      </c>
      <c r="E10912" s="84">
        <v>18.82</v>
      </c>
      <c r="F10912" s="76" t="s">
        <v>948</v>
      </c>
      <c r="G10912" s="83">
        <v>46120.0</v>
      </c>
      <c r="H10912" s="76" t="s">
        <v>942</v>
      </c>
    </row>
    <row r="10913">
      <c r="A10913" s="76" t="s">
        <v>32</v>
      </c>
      <c r="B10913" s="76" t="s">
        <v>1037</v>
      </c>
      <c r="C10913" s="84">
        <v>55.28</v>
      </c>
      <c r="D10913" s="84">
        <v>10.0</v>
      </c>
      <c r="E10913" s="84">
        <v>5.53</v>
      </c>
      <c r="F10913" s="76" t="s">
        <v>948</v>
      </c>
      <c r="G10913" s="83">
        <v>46120.0</v>
      </c>
      <c r="H10913" s="76" t="s">
        <v>943</v>
      </c>
    </row>
    <row r="10914">
      <c r="A10914" s="76" t="s">
        <v>26</v>
      </c>
      <c r="B10914" s="76" t="s">
        <v>1037</v>
      </c>
      <c r="C10914" s="84">
        <v>5.39</v>
      </c>
      <c r="D10914" s="84">
        <v>1.0</v>
      </c>
      <c r="E10914" s="84">
        <v>5.39</v>
      </c>
      <c r="F10914" s="76" t="s">
        <v>948</v>
      </c>
      <c r="G10914" s="83">
        <v>46120.0</v>
      </c>
      <c r="H10914" s="76" t="s">
        <v>1012</v>
      </c>
    </row>
    <row r="10915">
      <c r="A10915" s="76" t="s">
        <v>26</v>
      </c>
      <c r="B10915" s="76" t="s">
        <v>1037</v>
      </c>
      <c r="C10915" s="84">
        <v>6.85</v>
      </c>
      <c r="D10915" s="84">
        <v>0.0</v>
      </c>
      <c r="E10915" s="84">
        <v>0.0</v>
      </c>
      <c r="F10915" s="76" t="s">
        <v>948</v>
      </c>
      <c r="G10915" s="83">
        <v>46120.0</v>
      </c>
      <c r="H10915" s="76" t="s">
        <v>1013</v>
      </c>
    </row>
    <row r="10916">
      <c r="A10916" s="76" t="s">
        <v>26</v>
      </c>
      <c r="B10916" s="76" t="s">
        <v>1037</v>
      </c>
      <c r="C10916" s="84">
        <v>104.39</v>
      </c>
      <c r="D10916" s="84">
        <v>23.0</v>
      </c>
      <c r="E10916" s="84">
        <v>4.54</v>
      </c>
      <c r="F10916" s="76" t="s">
        <v>948</v>
      </c>
      <c r="G10916" s="83">
        <v>46120.0</v>
      </c>
      <c r="H10916" s="76" t="s">
        <v>1014</v>
      </c>
    </row>
    <row r="10917">
      <c r="A10917" s="76" t="s">
        <v>36</v>
      </c>
      <c r="B10917" s="76" t="s">
        <v>1037</v>
      </c>
      <c r="C10917" s="84">
        <v>38.19</v>
      </c>
      <c r="D10917" s="84">
        <v>6.0</v>
      </c>
      <c r="E10917" s="84">
        <v>6.37</v>
      </c>
      <c r="F10917" s="76" t="s">
        <v>948</v>
      </c>
      <c r="G10917" s="83">
        <v>46120.0</v>
      </c>
      <c r="H10917" s="76" t="s">
        <v>926</v>
      </c>
    </row>
    <row r="10918">
      <c r="A10918" s="76" t="s">
        <v>36</v>
      </c>
      <c r="B10918" s="76" t="s">
        <v>1037</v>
      </c>
      <c r="C10918" s="84">
        <v>4.82</v>
      </c>
      <c r="D10918" s="84">
        <v>0.0</v>
      </c>
      <c r="E10918" s="84">
        <v>0.0</v>
      </c>
      <c r="F10918" s="76" t="s">
        <v>948</v>
      </c>
      <c r="G10918" s="83">
        <v>46120.0</v>
      </c>
      <c r="H10918" s="76" t="s">
        <v>927</v>
      </c>
    </row>
    <row r="10919">
      <c r="A10919" s="76" t="s">
        <v>36</v>
      </c>
      <c r="B10919" s="76" t="s">
        <v>1037</v>
      </c>
      <c r="C10919" s="84">
        <v>12.07</v>
      </c>
      <c r="D10919" s="84">
        <v>4.0</v>
      </c>
      <c r="E10919" s="84">
        <v>3.02</v>
      </c>
      <c r="F10919" s="76" t="s">
        <v>948</v>
      </c>
      <c r="G10919" s="83">
        <v>46120.0</v>
      </c>
      <c r="H10919" s="76" t="s">
        <v>928</v>
      </c>
    </row>
    <row r="10920">
      <c r="A10920" s="76" t="s">
        <v>28</v>
      </c>
      <c r="B10920" s="76" t="s">
        <v>1037</v>
      </c>
      <c r="C10920" s="84">
        <v>11.01</v>
      </c>
      <c r="D10920" s="84">
        <v>2.0</v>
      </c>
      <c r="E10920" s="84">
        <v>5.51</v>
      </c>
      <c r="F10920" s="76" t="s">
        <v>948</v>
      </c>
      <c r="G10920" s="83">
        <v>46120.0</v>
      </c>
      <c r="H10920" s="76" t="s">
        <v>931</v>
      </c>
    </row>
    <row r="10921">
      <c r="A10921" s="76" t="s">
        <v>28</v>
      </c>
      <c r="B10921" s="76" t="s">
        <v>1037</v>
      </c>
      <c r="C10921" s="84">
        <v>3.55</v>
      </c>
      <c r="D10921" s="84">
        <v>1.0</v>
      </c>
      <c r="E10921" s="84">
        <v>3.55</v>
      </c>
      <c r="F10921" s="76" t="s">
        <v>948</v>
      </c>
      <c r="G10921" s="83">
        <v>46120.0</v>
      </c>
      <c r="H10921" s="76" t="s">
        <v>932</v>
      </c>
    </row>
    <row r="10922">
      <c r="A10922" s="76" t="s">
        <v>28</v>
      </c>
      <c r="B10922" s="76" t="s">
        <v>1037</v>
      </c>
      <c r="C10922" s="84">
        <v>209.02</v>
      </c>
      <c r="D10922" s="84">
        <v>45.0</v>
      </c>
      <c r="E10922" s="84">
        <v>4.64</v>
      </c>
      <c r="F10922" s="76" t="s">
        <v>948</v>
      </c>
      <c r="G10922" s="83">
        <v>46120.0</v>
      </c>
      <c r="H10922" s="76" t="s">
        <v>933</v>
      </c>
    </row>
    <row r="10923">
      <c r="A10923" s="76" t="s">
        <v>45</v>
      </c>
      <c r="B10923" s="76" t="s">
        <v>1037</v>
      </c>
      <c r="C10923" s="84">
        <v>1.29</v>
      </c>
      <c r="D10923" s="84">
        <v>0.0</v>
      </c>
      <c r="E10923" s="84">
        <v>0.0</v>
      </c>
      <c r="F10923" s="76" t="s">
        <v>948</v>
      </c>
      <c r="G10923" s="83">
        <v>46120.0</v>
      </c>
      <c r="H10923" s="76" t="s">
        <v>936</v>
      </c>
    </row>
    <row r="10924">
      <c r="A10924" s="76" t="s">
        <v>45</v>
      </c>
      <c r="B10924" s="76" t="s">
        <v>1037</v>
      </c>
      <c r="C10924" s="84">
        <v>2.74</v>
      </c>
      <c r="D10924" s="84">
        <v>1.0</v>
      </c>
      <c r="E10924" s="84">
        <v>2.74</v>
      </c>
      <c r="F10924" s="76" t="s">
        <v>948</v>
      </c>
      <c r="G10924" s="83">
        <v>46120.0</v>
      </c>
      <c r="H10924" s="76" t="s">
        <v>937</v>
      </c>
    </row>
    <row r="10925">
      <c r="A10925" s="76" t="s">
        <v>45</v>
      </c>
      <c r="B10925" s="76" t="s">
        <v>1037</v>
      </c>
      <c r="C10925" s="84">
        <v>4.25</v>
      </c>
      <c r="D10925" s="84">
        <v>2.0</v>
      </c>
      <c r="E10925" s="84">
        <v>2.12</v>
      </c>
      <c r="F10925" s="76" t="s">
        <v>948</v>
      </c>
      <c r="G10925" s="83">
        <v>46120.0</v>
      </c>
      <c r="H10925" s="76" t="s">
        <v>938</v>
      </c>
    </row>
    <row r="10926">
      <c r="A10926" s="76" t="s">
        <v>42</v>
      </c>
      <c r="B10926" s="76" t="s">
        <v>1037</v>
      </c>
      <c r="C10926" s="84">
        <v>0.74</v>
      </c>
      <c r="D10926" s="84">
        <v>0.0</v>
      </c>
      <c r="E10926" s="84">
        <v>0.0</v>
      </c>
      <c r="F10926" s="76" t="s">
        <v>948</v>
      </c>
      <c r="G10926" s="83">
        <v>46120.0</v>
      </c>
      <c r="H10926" s="76" t="s">
        <v>991</v>
      </c>
    </row>
    <row r="10927">
      <c r="A10927" s="76" t="s">
        <v>42</v>
      </c>
      <c r="B10927" s="76" t="s">
        <v>1037</v>
      </c>
      <c r="C10927" s="84">
        <v>15.11</v>
      </c>
      <c r="D10927" s="84">
        <v>4.0</v>
      </c>
      <c r="E10927" s="84">
        <v>3.78</v>
      </c>
      <c r="F10927" s="76" t="s">
        <v>948</v>
      </c>
      <c r="G10927" s="83">
        <v>46120.0</v>
      </c>
      <c r="H10927" s="76" t="s">
        <v>935</v>
      </c>
    </row>
    <row r="10928">
      <c r="A10928" s="76" t="s">
        <v>29</v>
      </c>
      <c r="B10928" s="76" t="s">
        <v>1031</v>
      </c>
      <c r="C10928" s="84">
        <v>1.36</v>
      </c>
      <c r="D10928" s="84">
        <v>1.0</v>
      </c>
      <c r="E10928" s="84">
        <v>1.36</v>
      </c>
      <c r="F10928" s="76" t="s">
        <v>925</v>
      </c>
      <c r="G10928" s="83">
        <v>46120.0</v>
      </c>
      <c r="H10928" s="76" t="s">
        <v>971</v>
      </c>
    </row>
    <row r="10929">
      <c r="A10929" s="76" t="s">
        <v>29</v>
      </c>
      <c r="B10929" s="76" t="s">
        <v>1031</v>
      </c>
      <c r="C10929" s="84">
        <v>0.59</v>
      </c>
      <c r="D10929" s="84">
        <v>0.0</v>
      </c>
      <c r="E10929" s="84">
        <v>0.0</v>
      </c>
      <c r="F10929" s="76" t="s">
        <v>925</v>
      </c>
      <c r="G10929" s="83">
        <v>46120.0</v>
      </c>
      <c r="H10929" s="76" t="s">
        <v>972</v>
      </c>
    </row>
    <row r="10930">
      <c r="A10930" s="76" t="s">
        <v>29</v>
      </c>
      <c r="B10930" s="76" t="s">
        <v>1031</v>
      </c>
      <c r="C10930" s="84">
        <v>7.67</v>
      </c>
      <c r="D10930" s="84">
        <v>2.0</v>
      </c>
      <c r="E10930" s="84">
        <v>3.83</v>
      </c>
      <c r="F10930" s="76" t="s">
        <v>925</v>
      </c>
      <c r="G10930" s="83">
        <v>46120.0</v>
      </c>
      <c r="H10930" s="76" t="s">
        <v>973</v>
      </c>
    </row>
    <row r="10931">
      <c r="A10931" s="76" t="s">
        <v>36</v>
      </c>
      <c r="B10931" s="76" t="s">
        <v>1031</v>
      </c>
      <c r="C10931" s="84">
        <v>8.03</v>
      </c>
      <c r="D10931" s="84">
        <v>2.0</v>
      </c>
      <c r="E10931" s="84">
        <v>4.01</v>
      </c>
      <c r="F10931" s="76" t="s">
        <v>925</v>
      </c>
      <c r="G10931" s="83">
        <v>46120.0</v>
      </c>
      <c r="H10931" s="76" t="s">
        <v>926</v>
      </c>
    </row>
    <row r="10932">
      <c r="A10932" s="76" t="s">
        <v>36</v>
      </c>
      <c r="B10932" s="76" t="s">
        <v>1031</v>
      </c>
      <c r="C10932" s="84">
        <v>0.51</v>
      </c>
      <c r="D10932" s="84">
        <v>0.0</v>
      </c>
      <c r="E10932" s="84">
        <v>0.0</v>
      </c>
      <c r="F10932" s="76" t="s">
        <v>925</v>
      </c>
      <c r="G10932" s="83">
        <v>46120.0</v>
      </c>
      <c r="H10932" s="76" t="s">
        <v>927</v>
      </c>
    </row>
    <row r="10933">
      <c r="A10933" s="76" t="s">
        <v>36</v>
      </c>
      <c r="B10933" s="76" t="s">
        <v>1031</v>
      </c>
      <c r="C10933" s="84">
        <v>1.23</v>
      </c>
      <c r="D10933" s="84">
        <v>1.0</v>
      </c>
      <c r="E10933" s="84">
        <v>1.23</v>
      </c>
      <c r="F10933" s="76" t="s">
        <v>925</v>
      </c>
      <c r="G10933" s="83">
        <v>46120.0</v>
      </c>
      <c r="H10933" s="76" t="s">
        <v>928</v>
      </c>
    </row>
    <row r="10934">
      <c r="A10934" s="76" t="s">
        <v>40</v>
      </c>
      <c r="B10934" s="76" t="s">
        <v>1031</v>
      </c>
      <c r="C10934" s="84">
        <v>1.28</v>
      </c>
      <c r="D10934" s="84">
        <v>0.0</v>
      </c>
      <c r="E10934" s="84">
        <v>0.0</v>
      </c>
      <c r="F10934" s="76" t="s">
        <v>925</v>
      </c>
      <c r="G10934" s="83">
        <v>46120.0</v>
      </c>
      <c r="H10934" s="76" t="s">
        <v>954</v>
      </c>
    </row>
    <row r="10935">
      <c r="A10935" s="76" t="s">
        <v>40</v>
      </c>
      <c r="B10935" s="76" t="s">
        <v>1031</v>
      </c>
      <c r="C10935" s="84">
        <v>1.68</v>
      </c>
      <c r="D10935" s="84">
        <v>0.0</v>
      </c>
      <c r="E10935" s="84">
        <v>0.0</v>
      </c>
      <c r="F10935" s="76" t="s">
        <v>925</v>
      </c>
      <c r="G10935" s="83">
        <v>46120.0</v>
      </c>
      <c r="H10935" s="76" t="s">
        <v>955</v>
      </c>
    </row>
    <row r="10936">
      <c r="A10936" s="76" t="s">
        <v>40</v>
      </c>
      <c r="B10936" s="76" t="s">
        <v>1031</v>
      </c>
      <c r="C10936" s="84">
        <v>9.01</v>
      </c>
      <c r="D10936" s="84">
        <v>0.0</v>
      </c>
      <c r="E10936" s="84">
        <v>0.0</v>
      </c>
      <c r="F10936" s="76" t="s">
        <v>925</v>
      </c>
      <c r="G10936" s="83">
        <v>46120.0</v>
      </c>
      <c r="H10936" s="76" t="s">
        <v>956</v>
      </c>
    </row>
    <row r="10937">
      <c r="A10937" s="76" t="s">
        <v>970</v>
      </c>
      <c r="B10937" s="76" t="s">
        <v>1031</v>
      </c>
      <c r="C10937" s="84">
        <v>1.15</v>
      </c>
      <c r="D10937" s="84">
        <v>0.0</v>
      </c>
      <c r="E10937" s="84">
        <v>0.0</v>
      </c>
      <c r="F10937" s="76" t="s">
        <v>925</v>
      </c>
      <c r="G10937" s="83">
        <v>46120.0</v>
      </c>
      <c r="H10937" s="76" t="s">
        <v>971</v>
      </c>
    </row>
    <row r="10938">
      <c r="A10938" s="76" t="s">
        <v>970</v>
      </c>
      <c r="B10938" s="76" t="s">
        <v>1031</v>
      </c>
      <c r="C10938" s="84">
        <v>0.56</v>
      </c>
      <c r="D10938" s="84">
        <v>0.0</v>
      </c>
      <c r="E10938" s="84">
        <v>0.0</v>
      </c>
      <c r="F10938" s="76" t="s">
        <v>925</v>
      </c>
      <c r="G10938" s="83">
        <v>46120.0</v>
      </c>
      <c r="H10938" s="76" t="s">
        <v>972</v>
      </c>
    </row>
    <row r="10939">
      <c r="A10939" s="76" t="s">
        <v>970</v>
      </c>
      <c r="B10939" s="76" t="s">
        <v>1031</v>
      </c>
      <c r="C10939" s="84">
        <v>8.72</v>
      </c>
      <c r="D10939" s="84">
        <v>0.0</v>
      </c>
      <c r="E10939" s="84">
        <v>0.0</v>
      </c>
      <c r="F10939" s="76" t="s">
        <v>925</v>
      </c>
      <c r="G10939" s="83">
        <v>46120.0</v>
      </c>
      <c r="H10939" s="76" t="s">
        <v>973</v>
      </c>
    </row>
    <row r="10940">
      <c r="A10940" s="76" t="s">
        <v>46</v>
      </c>
      <c r="B10940" s="76" t="s">
        <v>1031</v>
      </c>
      <c r="C10940" s="84">
        <v>1.81</v>
      </c>
      <c r="D10940" s="84">
        <v>0.0</v>
      </c>
      <c r="E10940" s="84">
        <v>0.0</v>
      </c>
      <c r="F10940" s="76" t="s">
        <v>925</v>
      </c>
      <c r="G10940" s="83">
        <v>46120.0</v>
      </c>
      <c r="H10940" s="76" t="s">
        <v>960</v>
      </c>
    </row>
    <row r="10941">
      <c r="A10941" s="76" t="s">
        <v>46</v>
      </c>
      <c r="B10941" s="76" t="s">
        <v>1031</v>
      </c>
      <c r="C10941" s="84">
        <v>0.57</v>
      </c>
      <c r="D10941" s="84">
        <v>0.0</v>
      </c>
      <c r="E10941" s="84">
        <v>0.0</v>
      </c>
      <c r="F10941" s="76" t="s">
        <v>925</v>
      </c>
      <c r="G10941" s="83">
        <v>46120.0</v>
      </c>
      <c r="H10941" s="76" t="s">
        <v>961</v>
      </c>
    </row>
    <row r="10942">
      <c r="A10942" s="76" t="s">
        <v>46</v>
      </c>
      <c r="B10942" s="76" t="s">
        <v>1031</v>
      </c>
      <c r="C10942" s="84">
        <v>2.42</v>
      </c>
      <c r="D10942" s="84">
        <v>0.0</v>
      </c>
      <c r="E10942" s="84">
        <v>0.0</v>
      </c>
      <c r="F10942" s="76" t="s">
        <v>925</v>
      </c>
      <c r="G10942" s="83">
        <v>46120.0</v>
      </c>
      <c r="H10942" s="76" t="s">
        <v>962</v>
      </c>
    </row>
    <row r="10943">
      <c r="A10943" s="76" t="s">
        <v>34</v>
      </c>
      <c r="B10943" s="76" t="s">
        <v>1031</v>
      </c>
      <c r="C10943" s="84">
        <v>0.83</v>
      </c>
      <c r="D10943" s="84">
        <v>0.0</v>
      </c>
      <c r="E10943" s="84">
        <v>0.0</v>
      </c>
      <c r="F10943" s="76" t="s">
        <v>925</v>
      </c>
      <c r="G10943" s="83">
        <v>46120.0</v>
      </c>
      <c r="H10943" s="76" t="s">
        <v>951</v>
      </c>
    </row>
    <row r="10944">
      <c r="A10944" s="76" t="s">
        <v>34</v>
      </c>
      <c r="B10944" s="76" t="s">
        <v>1031</v>
      </c>
      <c r="C10944" s="84">
        <v>1.59</v>
      </c>
      <c r="D10944" s="84">
        <v>0.0</v>
      </c>
      <c r="E10944" s="84">
        <v>0.0</v>
      </c>
      <c r="F10944" s="76" t="s">
        <v>925</v>
      </c>
      <c r="G10944" s="83">
        <v>46120.0</v>
      </c>
      <c r="H10944" s="76" t="s">
        <v>952</v>
      </c>
    </row>
    <row r="10945">
      <c r="A10945" s="76" t="s">
        <v>34</v>
      </c>
      <c r="B10945" s="76" t="s">
        <v>1031</v>
      </c>
      <c r="C10945" s="84">
        <v>1.76</v>
      </c>
      <c r="D10945" s="84">
        <v>1.0</v>
      </c>
      <c r="E10945" s="84">
        <v>1.76</v>
      </c>
      <c r="F10945" s="76" t="s">
        <v>925</v>
      </c>
      <c r="G10945" s="83">
        <v>46120.0</v>
      </c>
      <c r="H10945" s="76" t="s">
        <v>953</v>
      </c>
    </row>
    <row r="10946">
      <c r="A10946" s="76" t="s">
        <v>33</v>
      </c>
      <c r="B10946" s="76" t="s">
        <v>1031</v>
      </c>
      <c r="C10946" s="84">
        <v>14.69</v>
      </c>
      <c r="D10946" s="84">
        <v>6.0</v>
      </c>
      <c r="E10946" s="84">
        <v>2.45</v>
      </c>
      <c r="F10946" s="76" t="s">
        <v>925</v>
      </c>
      <c r="G10946" s="83">
        <v>46120.0</v>
      </c>
      <c r="H10946" s="76" t="s">
        <v>957</v>
      </c>
    </row>
    <row r="10947">
      <c r="A10947" s="76" t="s">
        <v>33</v>
      </c>
      <c r="B10947" s="76" t="s">
        <v>1031</v>
      </c>
      <c r="C10947" s="84">
        <v>0.92</v>
      </c>
      <c r="D10947" s="84">
        <v>1.0</v>
      </c>
      <c r="E10947" s="84">
        <v>0.92</v>
      </c>
      <c r="F10947" s="76" t="s">
        <v>925</v>
      </c>
      <c r="G10947" s="83">
        <v>46120.0</v>
      </c>
      <c r="H10947" s="76" t="s">
        <v>958</v>
      </c>
    </row>
    <row r="10948">
      <c r="A10948" s="76" t="s">
        <v>33</v>
      </c>
      <c r="B10948" s="76" t="s">
        <v>1031</v>
      </c>
      <c r="C10948" s="84">
        <v>3.77</v>
      </c>
      <c r="D10948" s="84">
        <v>1.0</v>
      </c>
      <c r="E10948" s="84">
        <v>3.77</v>
      </c>
      <c r="F10948" s="76" t="s">
        <v>925</v>
      </c>
      <c r="G10948" s="83">
        <v>46120.0</v>
      </c>
      <c r="H10948" s="76" t="s">
        <v>959</v>
      </c>
    </row>
    <row r="10949">
      <c r="A10949" s="76" t="s">
        <v>43</v>
      </c>
      <c r="B10949" s="76" t="s">
        <v>1031</v>
      </c>
      <c r="C10949" s="84">
        <v>0.4</v>
      </c>
      <c r="D10949" s="84">
        <v>0.0</v>
      </c>
      <c r="E10949" s="84">
        <v>0.0</v>
      </c>
      <c r="F10949" s="76" t="s">
        <v>925</v>
      </c>
      <c r="G10949" s="83">
        <v>46120.0</v>
      </c>
      <c r="H10949" s="76" t="s">
        <v>963</v>
      </c>
    </row>
    <row r="10950">
      <c r="A10950" s="76" t="s">
        <v>43</v>
      </c>
      <c r="B10950" s="76" t="s">
        <v>1031</v>
      </c>
      <c r="C10950" s="84">
        <v>1.17</v>
      </c>
      <c r="D10950" s="84">
        <v>0.0</v>
      </c>
      <c r="E10950" s="84">
        <v>0.0</v>
      </c>
      <c r="F10950" s="76" t="s">
        <v>925</v>
      </c>
      <c r="G10950" s="83">
        <v>46120.0</v>
      </c>
      <c r="H10950" s="76" t="s">
        <v>964</v>
      </c>
    </row>
    <row r="10951">
      <c r="A10951" s="76" t="s">
        <v>43</v>
      </c>
      <c r="B10951" s="76" t="s">
        <v>1031</v>
      </c>
      <c r="C10951" s="84">
        <v>4.5</v>
      </c>
      <c r="D10951" s="84">
        <v>0.0</v>
      </c>
      <c r="E10951" s="84">
        <v>0.0</v>
      </c>
      <c r="F10951" s="76" t="s">
        <v>925</v>
      </c>
      <c r="G10951" s="83">
        <v>46120.0</v>
      </c>
      <c r="H10951" s="76" t="s">
        <v>965</v>
      </c>
    </row>
    <row r="10952">
      <c r="A10952" s="76" t="s">
        <v>966</v>
      </c>
      <c r="B10952" s="76" t="s">
        <v>1031</v>
      </c>
      <c r="C10952" s="84">
        <v>4.82</v>
      </c>
      <c r="D10952" s="84">
        <v>1.0</v>
      </c>
      <c r="E10952" s="84">
        <v>4.82</v>
      </c>
      <c r="F10952" s="76" t="s">
        <v>925</v>
      </c>
      <c r="G10952" s="83">
        <v>46120.0</v>
      </c>
      <c r="H10952" s="76" t="s">
        <v>967</v>
      </c>
    </row>
    <row r="10953">
      <c r="A10953" s="76" t="s">
        <v>966</v>
      </c>
      <c r="B10953" s="76" t="s">
        <v>1031</v>
      </c>
      <c r="C10953" s="84">
        <v>0.41</v>
      </c>
      <c r="D10953" s="84">
        <v>1.0</v>
      </c>
      <c r="E10953" s="84">
        <v>0.41</v>
      </c>
      <c r="F10953" s="76" t="s">
        <v>925</v>
      </c>
      <c r="G10953" s="83">
        <v>46120.0</v>
      </c>
      <c r="H10953" s="76" t="s">
        <v>968</v>
      </c>
    </row>
    <row r="10954">
      <c r="A10954" s="76" t="s">
        <v>966</v>
      </c>
      <c r="B10954" s="76" t="s">
        <v>1031</v>
      </c>
      <c r="C10954" s="84">
        <v>1.1</v>
      </c>
      <c r="D10954" s="84">
        <v>0.0</v>
      </c>
      <c r="E10954" s="84">
        <v>0.0</v>
      </c>
      <c r="F10954" s="76" t="s">
        <v>925</v>
      </c>
      <c r="G10954" s="83">
        <v>46120.0</v>
      </c>
      <c r="H10954" s="76" t="s">
        <v>969</v>
      </c>
    </row>
    <row r="10955">
      <c r="A10955" s="76" t="s">
        <v>970</v>
      </c>
      <c r="B10955" s="76" t="s">
        <v>1031</v>
      </c>
      <c r="C10955" s="84">
        <v>3.22</v>
      </c>
      <c r="D10955" s="84">
        <v>0.0</v>
      </c>
      <c r="E10955" s="84">
        <v>0.0</v>
      </c>
      <c r="F10955" s="76" t="s">
        <v>948</v>
      </c>
      <c r="G10955" s="83">
        <v>46120.0</v>
      </c>
      <c r="H10955" s="76" t="s">
        <v>971</v>
      </c>
    </row>
    <row r="10956">
      <c r="A10956" s="76" t="s">
        <v>970</v>
      </c>
      <c r="B10956" s="76" t="s">
        <v>1031</v>
      </c>
      <c r="C10956" s="84">
        <v>5.29</v>
      </c>
      <c r="D10956" s="84">
        <v>1.0</v>
      </c>
      <c r="E10956" s="84">
        <v>5.29</v>
      </c>
      <c r="F10956" s="76" t="s">
        <v>948</v>
      </c>
      <c r="G10956" s="83">
        <v>46120.0</v>
      </c>
      <c r="H10956" s="76" t="s">
        <v>972</v>
      </c>
    </row>
    <row r="10957">
      <c r="A10957" s="76" t="s">
        <v>970</v>
      </c>
      <c r="B10957" s="76" t="s">
        <v>1031</v>
      </c>
      <c r="C10957" s="84">
        <v>9.35</v>
      </c>
      <c r="D10957" s="84">
        <v>3.0</v>
      </c>
      <c r="E10957" s="84">
        <v>3.12</v>
      </c>
      <c r="F10957" s="76" t="s">
        <v>948</v>
      </c>
      <c r="G10957" s="83">
        <v>46120.0</v>
      </c>
      <c r="H10957" s="76" t="s">
        <v>973</v>
      </c>
    </row>
    <row r="10958">
      <c r="A10958" s="76" t="s">
        <v>33</v>
      </c>
      <c r="B10958" s="76" t="s">
        <v>1031</v>
      </c>
      <c r="C10958" s="84">
        <v>25.23</v>
      </c>
      <c r="D10958" s="84">
        <v>12.0</v>
      </c>
      <c r="E10958" s="84">
        <v>2.1</v>
      </c>
      <c r="F10958" s="76" t="s">
        <v>948</v>
      </c>
      <c r="G10958" s="83">
        <v>46120.0</v>
      </c>
      <c r="H10958" s="76" t="s">
        <v>957</v>
      </c>
    </row>
    <row r="10959">
      <c r="A10959" s="76" t="s">
        <v>33</v>
      </c>
      <c r="B10959" s="76" t="s">
        <v>1031</v>
      </c>
      <c r="C10959" s="84">
        <v>7.71</v>
      </c>
      <c r="D10959" s="84">
        <v>2.0</v>
      </c>
      <c r="E10959" s="84">
        <v>3.85</v>
      </c>
      <c r="F10959" s="76" t="s">
        <v>948</v>
      </c>
      <c r="G10959" s="83">
        <v>46120.0</v>
      </c>
      <c r="H10959" s="76" t="s">
        <v>958</v>
      </c>
    </row>
    <row r="10960">
      <c r="A10960" s="76" t="s">
        <v>33</v>
      </c>
      <c r="B10960" s="76" t="s">
        <v>1031</v>
      </c>
      <c r="C10960" s="84">
        <v>29.87</v>
      </c>
      <c r="D10960" s="84">
        <v>5.0</v>
      </c>
      <c r="E10960" s="84">
        <v>5.97</v>
      </c>
      <c r="F10960" s="76" t="s">
        <v>948</v>
      </c>
      <c r="G10960" s="83">
        <v>46120.0</v>
      </c>
      <c r="H10960" s="76" t="s">
        <v>959</v>
      </c>
    </row>
    <row r="10961">
      <c r="A10961" s="76" t="s">
        <v>46</v>
      </c>
      <c r="B10961" s="76" t="s">
        <v>1031</v>
      </c>
      <c r="C10961" s="84">
        <v>8.1</v>
      </c>
      <c r="D10961" s="84">
        <v>1.0</v>
      </c>
      <c r="E10961" s="84">
        <v>8.1</v>
      </c>
      <c r="F10961" s="76" t="s">
        <v>948</v>
      </c>
      <c r="G10961" s="83">
        <v>46120.0</v>
      </c>
      <c r="H10961" s="76" t="s">
        <v>960</v>
      </c>
    </row>
    <row r="10962">
      <c r="A10962" s="76" t="s">
        <v>46</v>
      </c>
      <c r="B10962" s="76" t="s">
        <v>1031</v>
      </c>
      <c r="C10962" s="84">
        <v>3.32</v>
      </c>
      <c r="D10962" s="84">
        <v>0.0</v>
      </c>
      <c r="E10962" s="84">
        <v>0.0</v>
      </c>
      <c r="F10962" s="76" t="s">
        <v>948</v>
      </c>
      <c r="G10962" s="83">
        <v>46120.0</v>
      </c>
      <c r="H10962" s="76" t="s">
        <v>961</v>
      </c>
    </row>
    <row r="10963">
      <c r="A10963" s="76" t="s">
        <v>46</v>
      </c>
      <c r="B10963" s="76" t="s">
        <v>1031</v>
      </c>
      <c r="C10963" s="84">
        <v>7.17</v>
      </c>
      <c r="D10963" s="84">
        <v>0.0</v>
      </c>
      <c r="E10963" s="84">
        <v>0.0</v>
      </c>
      <c r="F10963" s="76" t="s">
        <v>948</v>
      </c>
      <c r="G10963" s="83">
        <v>46120.0</v>
      </c>
      <c r="H10963" s="76" t="s">
        <v>962</v>
      </c>
    </row>
    <row r="10964">
      <c r="A10964" s="76" t="s">
        <v>966</v>
      </c>
      <c r="B10964" s="76" t="s">
        <v>1031</v>
      </c>
      <c r="C10964" s="84">
        <v>7.64</v>
      </c>
      <c r="D10964" s="84">
        <v>4.0</v>
      </c>
      <c r="E10964" s="84">
        <v>1.91</v>
      </c>
      <c r="F10964" s="76" t="s">
        <v>948</v>
      </c>
      <c r="G10964" s="83">
        <v>46120.0</v>
      </c>
      <c r="H10964" s="76" t="s">
        <v>967</v>
      </c>
    </row>
    <row r="10965">
      <c r="A10965" s="76" t="s">
        <v>966</v>
      </c>
      <c r="B10965" s="76" t="s">
        <v>1031</v>
      </c>
      <c r="C10965" s="84">
        <v>4.4</v>
      </c>
      <c r="D10965" s="84">
        <v>1.0</v>
      </c>
      <c r="E10965" s="84">
        <v>4.4</v>
      </c>
      <c r="F10965" s="76" t="s">
        <v>948</v>
      </c>
      <c r="G10965" s="83">
        <v>46120.0</v>
      </c>
      <c r="H10965" s="76" t="s">
        <v>968</v>
      </c>
    </row>
    <row r="10966">
      <c r="A10966" s="76" t="s">
        <v>966</v>
      </c>
      <c r="B10966" s="76" t="s">
        <v>1031</v>
      </c>
      <c r="C10966" s="84">
        <v>7.27</v>
      </c>
      <c r="D10966" s="84">
        <v>2.0</v>
      </c>
      <c r="E10966" s="84">
        <v>3.64</v>
      </c>
      <c r="F10966" s="76" t="s">
        <v>948</v>
      </c>
      <c r="G10966" s="83">
        <v>46120.0</v>
      </c>
      <c r="H10966" s="76" t="s">
        <v>969</v>
      </c>
    </row>
    <row r="10967">
      <c r="A10967" s="76" t="s">
        <v>43</v>
      </c>
      <c r="B10967" s="76" t="s">
        <v>1031</v>
      </c>
      <c r="C10967" s="84">
        <v>6.19</v>
      </c>
      <c r="D10967" s="84">
        <v>1.0</v>
      </c>
      <c r="E10967" s="84">
        <v>6.19</v>
      </c>
      <c r="F10967" s="76" t="s">
        <v>948</v>
      </c>
      <c r="G10967" s="83">
        <v>46120.0</v>
      </c>
      <c r="H10967" s="76" t="s">
        <v>963</v>
      </c>
    </row>
    <row r="10968">
      <c r="A10968" s="76" t="s">
        <v>43</v>
      </c>
      <c r="B10968" s="76" t="s">
        <v>1031</v>
      </c>
      <c r="C10968" s="84">
        <v>1.22</v>
      </c>
      <c r="D10968" s="84">
        <v>0.0</v>
      </c>
      <c r="E10968" s="84">
        <v>0.0</v>
      </c>
      <c r="F10968" s="76" t="s">
        <v>948</v>
      </c>
      <c r="G10968" s="83">
        <v>46120.0</v>
      </c>
      <c r="H10968" s="76" t="s">
        <v>964</v>
      </c>
    </row>
    <row r="10969">
      <c r="A10969" s="76" t="s">
        <v>43</v>
      </c>
      <c r="B10969" s="76" t="s">
        <v>1031</v>
      </c>
      <c r="C10969" s="84">
        <v>13.54</v>
      </c>
      <c r="D10969" s="84">
        <v>2.0</v>
      </c>
      <c r="E10969" s="84">
        <v>6.77</v>
      </c>
      <c r="F10969" s="76" t="s">
        <v>948</v>
      </c>
      <c r="G10969" s="83">
        <v>46120.0</v>
      </c>
      <c r="H10969" s="76" t="s">
        <v>965</v>
      </c>
    </row>
    <row r="10970">
      <c r="A10970" s="76" t="s">
        <v>34</v>
      </c>
      <c r="B10970" s="76" t="s">
        <v>1031</v>
      </c>
      <c r="C10970" s="84">
        <v>2.35</v>
      </c>
      <c r="D10970" s="84">
        <v>0.0</v>
      </c>
      <c r="E10970" s="84">
        <v>0.0</v>
      </c>
      <c r="F10970" s="76" t="s">
        <v>948</v>
      </c>
      <c r="G10970" s="83">
        <v>46120.0</v>
      </c>
      <c r="H10970" s="76" t="s">
        <v>951</v>
      </c>
    </row>
    <row r="10971">
      <c r="A10971" s="76" t="s">
        <v>34</v>
      </c>
      <c r="B10971" s="76" t="s">
        <v>1031</v>
      </c>
      <c r="C10971" s="84">
        <v>27.56</v>
      </c>
      <c r="D10971" s="84">
        <v>10.0</v>
      </c>
      <c r="E10971" s="84">
        <v>2.76</v>
      </c>
      <c r="F10971" s="76" t="s">
        <v>948</v>
      </c>
      <c r="G10971" s="83">
        <v>46120.0</v>
      </c>
      <c r="H10971" s="76" t="s">
        <v>952</v>
      </c>
    </row>
    <row r="10972">
      <c r="A10972" s="76" t="s">
        <v>34</v>
      </c>
      <c r="B10972" s="76" t="s">
        <v>1031</v>
      </c>
      <c r="C10972" s="84">
        <v>2.97</v>
      </c>
      <c r="D10972" s="84">
        <v>0.0</v>
      </c>
      <c r="E10972" s="84">
        <v>0.0</v>
      </c>
      <c r="F10972" s="76" t="s">
        <v>948</v>
      </c>
      <c r="G10972" s="83">
        <v>46120.0</v>
      </c>
      <c r="H10972" s="76" t="s">
        <v>953</v>
      </c>
    </row>
    <row r="10973">
      <c r="A10973" s="76" t="s">
        <v>36</v>
      </c>
      <c r="B10973" s="76" t="s">
        <v>1031</v>
      </c>
      <c r="C10973" s="84">
        <v>15.92</v>
      </c>
      <c r="D10973" s="84">
        <v>2.0</v>
      </c>
      <c r="E10973" s="84">
        <v>7.96</v>
      </c>
      <c r="F10973" s="76" t="s">
        <v>948</v>
      </c>
      <c r="G10973" s="83">
        <v>46120.0</v>
      </c>
      <c r="H10973" s="76" t="s">
        <v>926</v>
      </c>
    </row>
    <row r="10974">
      <c r="A10974" s="76" t="s">
        <v>36</v>
      </c>
      <c r="B10974" s="76" t="s">
        <v>1031</v>
      </c>
      <c r="C10974" s="84">
        <v>1.48</v>
      </c>
      <c r="D10974" s="84">
        <v>0.0</v>
      </c>
      <c r="E10974" s="84">
        <v>0.0</v>
      </c>
      <c r="F10974" s="76" t="s">
        <v>948</v>
      </c>
      <c r="G10974" s="83">
        <v>46120.0</v>
      </c>
      <c r="H10974" s="76" t="s">
        <v>927</v>
      </c>
    </row>
    <row r="10975">
      <c r="A10975" s="76" t="s">
        <v>36</v>
      </c>
      <c r="B10975" s="76" t="s">
        <v>1031</v>
      </c>
      <c r="C10975" s="84">
        <v>8.53</v>
      </c>
      <c r="D10975" s="84">
        <v>3.0</v>
      </c>
      <c r="E10975" s="84">
        <v>2.84</v>
      </c>
      <c r="F10975" s="76" t="s">
        <v>948</v>
      </c>
      <c r="G10975" s="83">
        <v>46120.0</v>
      </c>
      <c r="H10975" s="76" t="s">
        <v>928</v>
      </c>
    </row>
    <row r="10976">
      <c r="A10976" s="76" t="s">
        <v>29</v>
      </c>
      <c r="B10976" s="76" t="s">
        <v>1031</v>
      </c>
      <c r="C10976" s="84">
        <v>3.04</v>
      </c>
      <c r="D10976" s="84">
        <v>1.0</v>
      </c>
      <c r="E10976" s="84">
        <v>3.04</v>
      </c>
      <c r="F10976" s="76" t="s">
        <v>948</v>
      </c>
      <c r="G10976" s="83">
        <v>46120.0</v>
      </c>
      <c r="H10976" s="76" t="s">
        <v>971</v>
      </c>
    </row>
    <row r="10977">
      <c r="A10977" s="76" t="s">
        <v>29</v>
      </c>
      <c r="B10977" s="76" t="s">
        <v>1031</v>
      </c>
      <c r="C10977" s="84">
        <v>4.63</v>
      </c>
      <c r="D10977" s="84">
        <v>0.0</v>
      </c>
      <c r="E10977" s="84">
        <v>0.0</v>
      </c>
      <c r="F10977" s="76" t="s">
        <v>948</v>
      </c>
      <c r="G10977" s="83">
        <v>46120.0</v>
      </c>
      <c r="H10977" s="76" t="s">
        <v>972</v>
      </c>
    </row>
    <row r="10978">
      <c r="A10978" s="76" t="s">
        <v>29</v>
      </c>
      <c r="B10978" s="76" t="s">
        <v>1031</v>
      </c>
      <c r="C10978" s="84">
        <v>10.39</v>
      </c>
      <c r="D10978" s="84">
        <v>2.0</v>
      </c>
      <c r="E10978" s="84">
        <v>5.19</v>
      </c>
      <c r="F10978" s="76" t="s">
        <v>948</v>
      </c>
      <c r="G10978" s="83">
        <v>46120.0</v>
      </c>
      <c r="H10978" s="76" t="s">
        <v>973</v>
      </c>
    </row>
    <row r="10979">
      <c r="A10979" s="76" t="s">
        <v>40</v>
      </c>
      <c r="B10979" s="76" t="s">
        <v>1031</v>
      </c>
      <c r="C10979" s="84">
        <v>7.95</v>
      </c>
      <c r="D10979" s="84">
        <v>2.0</v>
      </c>
      <c r="E10979" s="84">
        <v>3.98</v>
      </c>
      <c r="F10979" s="76" t="s">
        <v>948</v>
      </c>
      <c r="G10979" s="83">
        <v>46120.0</v>
      </c>
      <c r="H10979" s="76" t="s">
        <v>954</v>
      </c>
    </row>
    <row r="10980">
      <c r="A10980" s="76" t="s">
        <v>40</v>
      </c>
      <c r="B10980" s="76" t="s">
        <v>1031</v>
      </c>
      <c r="C10980" s="84">
        <v>9.95</v>
      </c>
      <c r="D10980" s="84">
        <v>2.0</v>
      </c>
      <c r="E10980" s="84">
        <v>4.98</v>
      </c>
      <c r="F10980" s="76" t="s">
        <v>948</v>
      </c>
      <c r="G10980" s="83">
        <v>46120.0</v>
      </c>
      <c r="H10980" s="76" t="s">
        <v>955</v>
      </c>
    </row>
    <row r="10981">
      <c r="A10981" s="76" t="s">
        <v>40</v>
      </c>
      <c r="B10981" s="76" t="s">
        <v>1031</v>
      </c>
      <c r="C10981" s="84">
        <v>19.5</v>
      </c>
      <c r="D10981" s="84">
        <v>3.0</v>
      </c>
      <c r="E10981" s="84">
        <v>6.5</v>
      </c>
      <c r="F10981" s="76" t="s">
        <v>948</v>
      </c>
      <c r="G10981" s="83">
        <v>46120.0</v>
      </c>
      <c r="H10981" s="76" t="s">
        <v>956</v>
      </c>
    </row>
    <row r="10982">
      <c r="A10982" s="76" t="s">
        <v>45</v>
      </c>
      <c r="B10982" s="76" t="s">
        <v>1038</v>
      </c>
      <c r="C10982" s="84">
        <v>0.48</v>
      </c>
      <c r="D10982" s="84">
        <v>0.0</v>
      </c>
      <c r="E10982" s="84">
        <v>0.0</v>
      </c>
      <c r="F10982" s="76" t="s">
        <v>975</v>
      </c>
      <c r="G10982" s="83">
        <v>46120.0</v>
      </c>
      <c r="H10982" s="76" t="s">
        <v>936</v>
      </c>
    </row>
    <row r="10983">
      <c r="A10983" s="76" t="s">
        <v>45</v>
      </c>
      <c r="B10983" s="76" t="s">
        <v>1038</v>
      </c>
      <c r="C10983" s="84">
        <v>1.65</v>
      </c>
      <c r="D10983" s="84">
        <v>0.0</v>
      </c>
      <c r="E10983" s="84">
        <v>0.0</v>
      </c>
      <c r="F10983" s="76" t="s">
        <v>975</v>
      </c>
      <c r="G10983" s="83">
        <v>46120.0</v>
      </c>
      <c r="H10983" s="76" t="s">
        <v>937</v>
      </c>
    </row>
    <row r="10984">
      <c r="A10984" s="76" t="s">
        <v>45</v>
      </c>
      <c r="B10984" s="76" t="s">
        <v>1038</v>
      </c>
      <c r="C10984" s="84">
        <v>0.69</v>
      </c>
      <c r="D10984" s="84">
        <v>0.0</v>
      </c>
      <c r="E10984" s="84">
        <v>0.0</v>
      </c>
      <c r="F10984" s="76" t="s">
        <v>975</v>
      </c>
      <c r="G10984" s="83">
        <v>46120.0</v>
      </c>
      <c r="H10984" s="76" t="s">
        <v>938</v>
      </c>
    </row>
    <row r="10985">
      <c r="A10985" s="76" t="s">
        <v>36</v>
      </c>
      <c r="B10985" s="76" t="s">
        <v>1038</v>
      </c>
      <c r="C10985" s="84">
        <v>4.07</v>
      </c>
      <c r="D10985" s="84">
        <v>0.0</v>
      </c>
      <c r="E10985" s="84">
        <v>0.0</v>
      </c>
      <c r="F10985" s="76" t="s">
        <v>975</v>
      </c>
      <c r="G10985" s="83">
        <v>46120.0</v>
      </c>
      <c r="H10985" s="76" t="s">
        <v>926</v>
      </c>
    </row>
    <row r="10986">
      <c r="A10986" s="76" t="s">
        <v>36</v>
      </c>
      <c r="B10986" s="76" t="s">
        <v>1038</v>
      </c>
      <c r="C10986" s="84">
        <v>0.37</v>
      </c>
      <c r="D10986" s="84">
        <v>0.0</v>
      </c>
      <c r="E10986" s="84">
        <v>0.0</v>
      </c>
      <c r="F10986" s="76" t="s">
        <v>975</v>
      </c>
      <c r="G10986" s="83">
        <v>46120.0</v>
      </c>
      <c r="H10986" s="76" t="s">
        <v>927</v>
      </c>
    </row>
    <row r="10987">
      <c r="A10987" s="76" t="s">
        <v>36</v>
      </c>
      <c r="B10987" s="76" t="s">
        <v>1038</v>
      </c>
      <c r="C10987" s="84">
        <v>1.42</v>
      </c>
      <c r="D10987" s="84">
        <v>0.0</v>
      </c>
      <c r="E10987" s="84">
        <v>0.0</v>
      </c>
      <c r="F10987" s="76" t="s">
        <v>975</v>
      </c>
      <c r="G10987" s="83">
        <v>46120.0</v>
      </c>
      <c r="H10987" s="76" t="s">
        <v>928</v>
      </c>
    </row>
    <row r="10988">
      <c r="A10988" s="76" t="s">
        <v>50</v>
      </c>
      <c r="B10988" s="76" t="s">
        <v>1038</v>
      </c>
      <c r="C10988" s="84">
        <v>0.98</v>
      </c>
      <c r="D10988" s="84">
        <v>0.0</v>
      </c>
      <c r="E10988" s="84">
        <v>0.0</v>
      </c>
      <c r="F10988" s="76" t="s">
        <v>975</v>
      </c>
      <c r="G10988" s="83">
        <v>46120.0</v>
      </c>
      <c r="H10988" s="76" t="s">
        <v>939</v>
      </c>
    </row>
    <row r="10989">
      <c r="A10989" s="76" t="s">
        <v>50</v>
      </c>
      <c r="B10989" s="76" t="s">
        <v>1038</v>
      </c>
      <c r="C10989" s="84">
        <v>0.53</v>
      </c>
      <c r="D10989" s="84">
        <v>0.0</v>
      </c>
      <c r="E10989" s="84">
        <v>0.0</v>
      </c>
      <c r="F10989" s="76" t="s">
        <v>975</v>
      </c>
      <c r="G10989" s="83">
        <v>46120.0</v>
      </c>
      <c r="H10989" s="76" t="s">
        <v>940</v>
      </c>
    </row>
    <row r="10990">
      <c r="A10990" s="76" t="s">
        <v>944</v>
      </c>
      <c r="B10990" s="76" t="s">
        <v>1038</v>
      </c>
      <c r="C10990" s="84">
        <v>3.24</v>
      </c>
      <c r="D10990" s="84">
        <v>2.0</v>
      </c>
      <c r="E10990" s="84">
        <v>1.62</v>
      </c>
      <c r="F10990" s="76" t="s">
        <v>975</v>
      </c>
      <c r="G10990" s="83">
        <v>46120.0</v>
      </c>
      <c r="H10990" s="76" t="s">
        <v>945</v>
      </c>
    </row>
    <row r="10991">
      <c r="A10991" s="76" t="s">
        <v>944</v>
      </c>
      <c r="B10991" s="76" t="s">
        <v>1038</v>
      </c>
      <c r="C10991" s="84">
        <v>1.79</v>
      </c>
      <c r="D10991" s="84">
        <v>0.0</v>
      </c>
      <c r="E10991" s="84">
        <v>0.0</v>
      </c>
      <c r="F10991" s="76" t="s">
        <v>975</v>
      </c>
      <c r="G10991" s="83">
        <v>46120.0</v>
      </c>
      <c r="H10991" s="76" t="s">
        <v>946</v>
      </c>
    </row>
    <row r="10992">
      <c r="A10992" s="76" t="s">
        <v>944</v>
      </c>
      <c r="B10992" s="76" t="s">
        <v>1038</v>
      </c>
      <c r="C10992" s="84">
        <v>11.01</v>
      </c>
      <c r="D10992" s="84">
        <v>3.0</v>
      </c>
      <c r="E10992" s="84">
        <v>3.67</v>
      </c>
      <c r="F10992" s="76" t="s">
        <v>975</v>
      </c>
      <c r="G10992" s="83">
        <v>46120.0</v>
      </c>
      <c r="H10992" s="76" t="s">
        <v>947</v>
      </c>
    </row>
    <row r="10993">
      <c r="A10993" s="76" t="s">
        <v>26</v>
      </c>
      <c r="B10993" s="76" t="s">
        <v>1038</v>
      </c>
      <c r="C10993" s="84">
        <v>0.51</v>
      </c>
      <c r="D10993" s="84">
        <v>0.0</v>
      </c>
      <c r="E10993" s="84">
        <v>0.0</v>
      </c>
      <c r="F10993" s="76" t="s">
        <v>975</v>
      </c>
      <c r="G10993" s="83">
        <v>46120.0</v>
      </c>
      <c r="H10993" s="76" t="s">
        <v>1012</v>
      </c>
    </row>
    <row r="10994">
      <c r="A10994" s="76" t="s">
        <v>26</v>
      </c>
      <c r="B10994" s="76" t="s">
        <v>1038</v>
      </c>
      <c r="C10994" s="84">
        <v>11.33</v>
      </c>
      <c r="D10994" s="84">
        <v>2.0</v>
      </c>
      <c r="E10994" s="84">
        <v>5.66</v>
      </c>
      <c r="F10994" s="76" t="s">
        <v>975</v>
      </c>
      <c r="G10994" s="83">
        <v>46120.0</v>
      </c>
      <c r="H10994" s="76" t="s">
        <v>1013</v>
      </c>
    </row>
    <row r="10995">
      <c r="A10995" s="76" t="s">
        <v>26</v>
      </c>
      <c r="B10995" s="76" t="s">
        <v>1038</v>
      </c>
      <c r="C10995" s="84">
        <v>10.96</v>
      </c>
      <c r="D10995" s="84">
        <v>2.0</v>
      </c>
      <c r="E10995" s="84">
        <v>5.48</v>
      </c>
      <c r="F10995" s="76" t="s">
        <v>975</v>
      </c>
      <c r="G10995" s="83">
        <v>46120.0</v>
      </c>
      <c r="H10995" s="76" t="s">
        <v>1014</v>
      </c>
    </row>
    <row r="10996">
      <c r="A10996" s="76" t="s">
        <v>32</v>
      </c>
      <c r="B10996" s="76" t="s">
        <v>1038</v>
      </c>
      <c r="C10996" s="84">
        <v>26.95</v>
      </c>
      <c r="D10996" s="84">
        <v>6.0</v>
      </c>
      <c r="E10996" s="84">
        <v>4.49</v>
      </c>
      <c r="F10996" s="76" t="s">
        <v>975</v>
      </c>
      <c r="G10996" s="83">
        <v>46120.0</v>
      </c>
      <c r="H10996" s="76" t="s">
        <v>941</v>
      </c>
    </row>
    <row r="10997">
      <c r="A10997" s="76" t="s">
        <v>32</v>
      </c>
      <c r="B10997" s="76" t="s">
        <v>1038</v>
      </c>
      <c r="C10997" s="84">
        <v>0.95</v>
      </c>
      <c r="D10997" s="84">
        <v>1.0</v>
      </c>
      <c r="E10997" s="84">
        <v>0.95</v>
      </c>
      <c r="F10997" s="76" t="s">
        <v>975</v>
      </c>
      <c r="G10997" s="83">
        <v>46120.0</v>
      </c>
      <c r="H10997" s="76" t="s">
        <v>942</v>
      </c>
    </row>
    <row r="10998">
      <c r="A10998" s="76" t="s">
        <v>32</v>
      </c>
      <c r="B10998" s="76" t="s">
        <v>1038</v>
      </c>
      <c r="C10998" s="84">
        <v>4.17</v>
      </c>
      <c r="D10998" s="84">
        <v>2.0</v>
      </c>
      <c r="E10998" s="84">
        <v>2.09</v>
      </c>
      <c r="F10998" s="76" t="s">
        <v>975</v>
      </c>
      <c r="G10998" s="83">
        <v>46120.0</v>
      </c>
      <c r="H10998" s="76" t="s">
        <v>943</v>
      </c>
    </row>
    <row r="10999">
      <c r="A10999" s="76" t="s">
        <v>42</v>
      </c>
      <c r="B10999" s="76" t="s">
        <v>1038</v>
      </c>
      <c r="C10999" s="84">
        <v>2.78</v>
      </c>
      <c r="D10999" s="84">
        <v>0.0</v>
      </c>
      <c r="E10999" s="84">
        <v>0.0</v>
      </c>
      <c r="F10999" s="76" t="s">
        <v>975</v>
      </c>
      <c r="G10999" s="83">
        <v>46120.0</v>
      </c>
      <c r="H10999" s="76" t="s">
        <v>991</v>
      </c>
    </row>
    <row r="11000">
      <c r="A11000" s="76" t="s">
        <v>42</v>
      </c>
      <c r="B11000" s="76" t="s">
        <v>1038</v>
      </c>
      <c r="C11000" s="84">
        <v>2.76</v>
      </c>
      <c r="D11000" s="84">
        <v>0.0</v>
      </c>
      <c r="E11000" s="84">
        <v>0.0</v>
      </c>
      <c r="F11000" s="76" t="s">
        <v>975</v>
      </c>
      <c r="G11000" s="83">
        <v>46120.0</v>
      </c>
      <c r="H11000" s="76" t="s">
        <v>935</v>
      </c>
    </row>
    <row r="11001">
      <c r="A11001" s="76" t="s">
        <v>31</v>
      </c>
      <c r="B11001" s="76" t="s">
        <v>1038</v>
      </c>
      <c r="C11001" s="84">
        <v>2.21</v>
      </c>
      <c r="D11001" s="84">
        <v>0.0</v>
      </c>
      <c r="E11001" s="84">
        <v>0.0</v>
      </c>
      <c r="F11001" s="76" t="s">
        <v>975</v>
      </c>
      <c r="G11001" s="83">
        <v>46120.0</v>
      </c>
      <c r="H11001" s="76" t="s">
        <v>929</v>
      </c>
    </row>
    <row r="11002">
      <c r="A11002" s="76" t="s">
        <v>31</v>
      </c>
      <c r="B11002" s="76" t="s">
        <v>1038</v>
      </c>
      <c r="C11002" s="84">
        <v>13.05</v>
      </c>
      <c r="D11002" s="84">
        <v>6.0</v>
      </c>
      <c r="E11002" s="84">
        <v>2.17</v>
      </c>
      <c r="F11002" s="76" t="s">
        <v>975</v>
      </c>
      <c r="G11002" s="83">
        <v>46120.0</v>
      </c>
      <c r="H11002" s="76" t="s">
        <v>930</v>
      </c>
    </row>
    <row r="11003">
      <c r="A11003" s="76" t="s">
        <v>28</v>
      </c>
      <c r="B11003" s="76" t="s">
        <v>1038</v>
      </c>
      <c r="C11003" s="84">
        <v>0.73</v>
      </c>
      <c r="D11003" s="84">
        <v>0.0</v>
      </c>
      <c r="E11003" s="84">
        <v>0.0</v>
      </c>
      <c r="F11003" s="76" t="s">
        <v>975</v>
      </c>
      <c r="G11003" s="83">
        <v>46120.0</v>
      </c>
      <c r="H11003" s="76" t="s">
        <v>931</v>
      </c>
    </row>
    <row r="11004">
      <c r="A11004" s="76" t="s">
        <v>28</v>
      </c>
      <c r="B11004" s="76" t="s">
        <v>1038</v>
      </c>
      <c r="C11004" s="84">
        <v>0.82</v>
      </c>
      <c r="D11004" s="84">
        <v>0.0</v>
      </c>
      <c r="E11004" s="84">
        <v>0.0</v>
      </c>
      <c r="F11004" s="76" t="s">
        <v>975</v>
      </c>
      <c r="G11004" s="83">
        <v>46120.0</v>
      </c>
      <c r="H11004" s="76" t="s">
        <v>932</v>
      </c>
    </row>
    <row r="11005">
      <c r="A11005" s="76" t="s">
        <v>28</v>
      </c>
      <c r="B11005" s="76" t="s">
        <v>1038</v>
      </c>
      <c r="C11005" s="84">
        <v>13.56</v>
      </c>
      <c r="D11005" s="84">
        <v>8.0</v>
      </c>
      <c r="E11005" s="84">
        <v>1.69</v>
      </c>
      <c r="F11005" s="76" t="s">
        <v>975</v>
      </c>
      <c r="G11005" s="83">
        <v>46120.0</v>
      </c>
      <c r="H11005" s="76" t="s">
        <v>933</v>
      </c>
    </row>
    <row r="11006">
      <c r="A11006" s="76" t="s">
        <v>45</v>
      </c>
      <c r="B11006" s="76" t="s">
        <v>1038</v>
      </c>
      <c r="C11006" s="84">
        <v>0.14</v>
      </c>
      <c r="D11006" s="84">
        <v>0.0</v>
      </c>
      <c r="E11006" s="84">
        <v>0.0</v>
      </c>
      <c r="F11006" s="76" t="s">
        <v>950</v>
      </c>
      <c r="G11006" s="83">
        <v>46120.0</v>
      </c>
      <c r="H11006" s="76" t="s">
        <v>936</v>
      </c>
    </row>
    <row r="11007">
      <c r="A11007" s="76" t="s">
        <v>45</v>
      </c>
      <c r="B11007" s="76" t="s">
        <v>1038</v>
      </c>
      <c r="C11007" s="84">
        <v>0.79</v>
      </c>
      <c r="D11007" s="84">
        <v>0.0</v>
      </c>
      <c r="E11007" s="84">
        <v>0.0</v>
      </c>
      <c r="F11007" s="76" t="s">
        <v>950</v>
      </c>
      <c r="G11007" s="83">
        <v>46120.0</v>
      </c>
      <c r="H11007" s="76" t="s">
        <v>937</v>
      </c>
    </row>
    <row r="11008">
      <c r="A11008" s="76" t="s">
        <v>45</v>
      </c>
      <c r="B11008" s="76" t="s">
        <v>1038</v>
      </c>
      <c r="C11008" s="84">
        <v>14.5</v>
      </c>
      <c r="D11008" s="84">
        <v>1.0</v>
      </c>
      <c r="E11008" s="84">
        <v>14.5</v>
      </c>
      <c r="F11008" s="76" t="s">
        <v>950</v>
      </c>
      <c r="G11008" s="83">
        <v>46120.0</v>
      </c>
      <c r="H11008" s="76" t="s">
        <v>938</v>
      </c>
    </row>
    <row r="11009">
      <c r="A11009" s="76" t="s">
        <v>28</v>
      </c>
      <c r="B11009" s="76" t="s">
        <v>1038</v>
      </c>
      <c r="C11009" s="84">
        <v>0.37</v>
      </c>
      <c r="D11009" s="84">
        <v>0.0</v>
      </c>
      <c r="E11009" s="84">
        <v>0.0</v>
      </c>
      <c r="F11009" s="76" t="s">
        <v>950</v>
      </c>
      <c r="G11009" s="83">
        <v>46120.0</v>
      </c>
      <c r="H11009" s="76" t="s">
        <v>931</v>
      </c>
    </row>
    <row r="11010">
      <c r="A11010" s="76" t="s">
        <v>28</v>
      </c>
      <c r="B11010" s="76" t="s">
        <v>1038</v>
      </c>
      <c r="C11010" s="84">
        <v>0.24</v>
      </c>
      <c r="D11010" s="84">
        <v>0.0</v>
      </c>
      <c r="E11010" s="84">
        <v>0.0</v>
      </c>
      <c r="F11010" s="76" t="s">
        <v>950</v>
      </c>
      <c r="G11010" s="83">
        <v>46120.0</v>
      </c>
      <c r="H11010" s="76" t="s">
        <v>932</v>
      </c>
    </row>
    <row r="11011">
      <c r="A11011" s="76" t="s">
        <v>28</v>
      </c>
      <c r="B11011" s="76" t="s">
        <v>1038</v>
      </c>
      <c r="C11011" s="84">
        <v>1.85</v>
      </c>
      <c r="D11011" s="84">
        <v>1.0</v>
      </c>
      <c r="E11011" s="84">
        <v>1.85</v>
      </c>
      <c r="F11011" s="76" t="s">
        <v>950</v>
      </c>
      <c r="G11011" s="83">
        <v>46120.0</v>
      </c>
      <c r="H11011" s="76" t="s">
        <v>933</v>
      </c>
    </row>
    <row r="11012">
      <c r="A11012" s="76" t="s">
        <v>42</v>
      </c>
      <c r="B11012" s="76" t="s">
        <v>1038</v>
      </c>
      <c r="C11012" s="84">
        <v>0.34</v>
      </c>
      <c r="D11012" s="84">
        <v>0.0</v>
      </c>
      <c r="E11012" s="84">
        <v>0.0</v>
      </c>
      <c r="F11012" s="76" t="s">
        <v>950</v>
      </c>
      <c r="G11012" s="83">
        <v>46120.0</v>
      </c>
      <c r="H11012" s="76" t="s">
        <v>991</v>
      </c>
    </row>
    <row r="11013">
      <c r="A11013" s="76" t="s">
        <v>42</v>
      </c>
      <c r="B11013" s="76" t="s">
        <v>1038</v>
      </c>
      <c r="C11013" s="84">
        <v>0.8</v>
      </c>
      <c r="D11013" s="84">
        <v>0.0</v>
      </c>
      <c r="E11013" s="84">
        <v>0.0</v>
      </c>
      <c r="F11013" s="76" t="s">
        <v>950</v>
      </c>
      <c r="G11013" s="83">
        <v>46120.0</v>
      </c>
      <c r="H11013" s="76" t="s">
        <v>935</v>
      </c>
    </row>
    <row r="11014">
      <c r="A11014" s="76" t="s">
        <v>36</v>
      </c>
      <c r="B11014" s="76" t="s">
        <v>1038</v>
      </c>
      <c r="C11014" s="84">
        <v>12.36</v>
      </c>
      <c r="D11014" s="84">
        <v>0.0</v>
      </c>
      <c r="E11014" s="84">
        <v>0.0</v>
      </c>
      <c r="F11014" s="76" t="s">
        <v>950</v>
      </c>
      <c r="G11014" s="83">
        <v>46120.0</v>
      </c>
      <c r="H11014" s="76" t="s">
        <v>926</v>
      </c>
    </row>
    <row r="11015">
      <c r="A11015" s="76" t="s">
        <v>36</v>
      </c>
      <c r="B11015" s="76" t="s">
        <v>1038</v>
      </c>
      <c r="C11015" s="84">
        <v>0.24</v>
      </c>
      <c r="D11015" s="84">
        <v>0.0</v>
      </c>
      <c r="E11015" s="84">
        <v>0.0</v>
      </c>
      <c r="F11015" s="76" t="s">
        <v>950</v>
      </c>
      <c r="G11015" s="83">
        <v>46120.0</v>
      </c>
      <c r="H11015" s="76" t="s">
        <v>927</v>
      </c>
    </row>
    <row r="11016">
      <c r="A11016" s="76" t="s">
        <v>36</v>
      </c>
      <c r="B11016" s="76" t="s">
        <v>1038</v>
      </c>
      <c r="C11016" s="84">
        <v>0.61</v>
      </c>
      <c r="D11016" s="84">
        <v>0.0</v>
      </c>
      <c r="E11016" s="84">
        <v>0.0</v>
      </c>
      <c r="F11016" s="76" t="s">
        <v>950</v>
      </c>
      <c r="G11016" s="83">
        <v>46120.0</v>
      </c>
      <c r="H11016" s="76" t="s">
        <v>928</v>
      </c>
    </row>
    <row r="11017">
      <c r="A11017" s="76" t="s">
        <v>31</v>
      </c>
      <c r="B11017" s="76" t="s">
        <v>1038</v>
      </c>
      <c r="C11017" s="84">
        <v>1.29</v>
      </c>
      <c r="D11017" s="84">
        <v>1.0</v>
      </c>
      <c r="E11017" s="84">
        <v>1.29</v>
      </c>
      <c r="F11017" s="76" t="s">
        <v>950</v>
      </c>
      <c r="G11017" s="83">
        <v>46120.0</v>
      </c>
      <c r="H11017" s="76" t="s">
        <v>929</v>
      </c>
    </row>
    <row r="11018">
      <c r="A11018" s="76" t="s">
        <v>31</v>
      </c>
      <c r="B11018" s="76" t="s">
        <v>1038</v>
      </c>
      <c r="C11018" s="84">
        <v>7.44</v>
      </c>
      <c r="D11018" s="84">
        <v>2.0</v>
      </c>
      <c r="E11018" s="84">
        <v>3.72</v>
      </c>
      <c r="F11018" s="76" t="s">
        <v>950</v>
      </c>
      <c r="G11018" s="83">
        <v>46120.0</v>
      </c>
      <c r="H11018" s="76" t="s">
        <v>930</v>
      </c>
    </row>
    <row r="11019">
      <c r="A11019" s="76" t="s">
        <v>50</v>
      </c>
      <c r="B11019" s="76" t="s">
        <v>1038</v>
      </c>
      <c r="C11019" s="84">
        <v>0.32</v>
      </c>
      <c r="D11019" s="84">
        <v>0.0</v>
      </c>
      <c r="E11019" s="84">
        <v>0.0</v>
      </c>
      <c r="F11019" s="76" t="s">
        <v>950</v>
      </c>
      <c r="G11019" s="83">
        <v>46120.0</v>
      </c>
      <c r="H11019" s="76" t="s">
        <v>939</v>
      </c>
    </row>
    <row r="11020">
      <c r="A11020" s="76" t="s">
        <v>50</v>
      </c>
      <c r="B11020" s="76" t="s">
        <v>1038</v>
      </c>
      <c r="C11020" s="84">
        <v>0.54</v>
      </c>
      <c r="D11020" s="84">
        <v>0.0</v>
      </c>
      <c r="E11020" s="84">
        <v>0.0</v>
      </c>
      <c r="F11020" s="76" t="s">
        <v>950</v>
      </c>
      <c r="G11020" s="83">
        <v>46120.0</v>
      </c>
      <c r="H11020" s="76" t="s">
        <v>940</v>
      </c>
    </row>
    <row r="11021">
      <c r="A11021" s="76" t="s">
        <v>26</v>
      </c>
      <c r="B11021" s="76" t="s">
        <v>1038</v>
      </c>
      <c r="C11021" s="84">
        <v>0.74</v>
      </c>
      <c r="D11021" s="84">
        <v>0.0</v>
      </c>
      <c r="E11021" s="84">
        <v>0.0</v>
      </c>
      <c r="F11021" s="76" t="s">
        <v>950</v>
      </c>
      <c r="G11021" s="83">
        <v>46120.0</v>
      </c>
      <c r="H11021" s="76" t="s">
        <v>1012</v>
      </c>
    </row>
    <row r="11022">
      <c r="A11022" s="76" t="s">
        <v>26</v>
      </c>
      <c r="B11022" s="76" t="s">
        <v>1038</v>
      </c>
      <c r="C11022" s="84">
        <v>7.41</v>
      </c>
      <c r="D11022" s="84">
        <v>0.0</v>
      </c>
      <c r="E11022" s="84">
        <v>0.0</v>
      </c>
      <c r="F11022" s="76" t="s">
        <v>950</v>
      </c>
      <c r="G11022" s="83">
        <v>46120.0</v>
      </c>
      <c r="H11022" s="76" t="s">
        <v>1013</v>
      </c>
    </row>
    <row r="11023">
      <c r="A11023" s="76" t="s">
        <v>26</v>
      </c>
      <c r="B11023" s="76" t="s">
        <v>1038</v>
      </c>
      <c r="C11023" s="84">
        <v>5.39</v>
      </c>
      <c r="D11023" s="84">
        <v>1.0</v>
      </c>
      <c r="E11023" s="84">
        <v>5.39</v>
      </c>
      <c r="F11023" s="76" t="s">
        <v>950</v>
      </c>
      <c r="G11023" s="83">
        <v>46120.0</v>
      </c>
      <c r="H11023" s="76" t="s">
        <v>1014</v>
      </c>
    </row>
    <row r="11024">
      <c r="A11024" s="76" t="s">
        <v>944</v>
      </c>
      <c r="B11024" s="76" t="s">
        <v>1038</v>
      </c>
      <c r="C11024" s="84">
        <v>1.79</v>
      </c>
      <c r="D11024" s="84">
        <v>0.0</v>
      </c>
      <c r="E11024" s="84">
        <v>0.0</v>
      </c>
      <c r="F11024" s="76" t="s">
        <v>950</v>
      </c>
      <c r="G11024" s="83">
        <v>46120.0</v>
      </c>
      <c r="H11024" s="76" t="s">
        <v>945</v>
      </c>
    </row>
    <row r="11025">
      <c r="A11025" s="76" t="s">
        <v>944</v>
      </c>
      <c r="B11025" s="76" t="s">
        <v>1038</v>
      </c>
      <c r="C11025" s="84">
        <v>0.58</v>
      </c>
      <c r="D11025" s="84">
        <v>0.0</v>
      </c>
      <c r="E11025" s="84">
        <v>0.0</v>
      </c>
      <c r="F11025" s="76" t="s">
        <v>950</v>
      </c>
      <c r="G11025" s="83">
        <v>46120.0</v>
      </c>
      <c r="H11025" s="76" t="s">
        <v>946</v>
      </c>
    </row>
    <row r="11026">
      <c r="A11026" s="76" t="s">
        <v>944</v>
      </c>
      <c r="B11026" s="76" t="s">
        <v>1038</v>
      </c>
      <c r="C11026" s="84">
        <v>1.49</v>
      </c>
      <c r="D11026" s="84">
        <v>1.0</v>
      </c>
      <c r="E11026" s="84">
        <v>1.49</v>
      </c>
      <c r="F11026" s="76" t="s">
        <v>950</v>
      </c>
      <c r="G11026" s="83">
        <v>46120.0</v>
      </c>
      <c r="H11026" s="76" t="s">
        <v>947</v>
      </c>
    </row>
    <row r="11027">
      <c r="A11027" s="76" t="s">
        <v>32</v>
      </c>
      <c r="B11027" s="76" t="s">
        <v>1038</v>
      </c>
      <c r="C11027" s="84">
        <v>8.47</v>
      </c>
      <c r="D11027" s="84">
        <v>3.0</v>
      </c>
      <c r="E11027" s="84">
        <v>2.82</v>
      </c>
      <c r="F11027" s="76" t="s">
        <v>950</v>
      </c>
      <c r="G11027" s="83">
        <v>46120.0</v>
      </c>
      <c r="H11027" s="76" t="s">
        <v>941</v>
      </c>
    </row>
    <row r="11028">
      <c r="A11028" s="76" t="s">
        <v>32</v>
      </c>
      <c r="B11028" s="76" t="s">
        <v>1038</v>
      </c>
      <c r="C11028" s="84">
        <v>1.14</v>
      </c>
      <c r="D11028" s="84">
        <v>0.0</v>
      </c>
      <c r="E11028" s="84">
        <v>0.0</v>
      </c>
      <c r="F11028" s="76" t="s">
        <v>950</v>
      </c>
      <c r="G11028" s="83">
        <v>46120.0</v>
      </c>
      <c r="H11028" s="76" t="s">
        <v>942</v>
      </c>
    </row>
    <row r="11029">
      <c r="A11029" s="76" t="s">
        <v>32</v>
      </c>
      <c r="B11029" s="76" t="s">
        <v>1038</v>
      </c>
      <c r="C11029" s="84">
        <v>3.27</v>
      </c>
      <c r="D11029" s="84">
        <v>0.0</v>
      </c>
      <c r="E11029" s="84">
        <v>0.0</v>
      </c>
      <c r="F11029" s="76" t="s">
        <v>950</v>
      </c>
      <c r="G11029" s="83">
        <v>46120.0</v>
      </c>
      <c r="H11029" s="76" t="s">
        <v>943</v>
      </c>
    </row>
    <row r="11030">
      <c r="A11030" s="76" t="s">
        <v>31</v>
      </c>
      <c r="B11030" s="76" t="s">
        <v>1038</v>
      </c>
      <c r="C11030" s="84">
        <v>0.64</v>
      </c>
      <c r="D11030" s="84">
        <v>1.0</v>
      </c>
      <c r="E11030" s="84">
        <v>0.64</v>
      </c>
      <c r="F11030" s="76" t="s">
        <v>974</v>
      </c>
      <c r="G11030" s="83">
        <v>46120.0</v>
      </c>
      <c r="H11030" s="76" t="s">
        <v>929</v>
      </c>
    </row>
    <row r="11031">
      <c r="A11031" s="76" t="s">
        <v>31</v>
      </c>
      <c r="B11031" s="76" t="s">
        <v>1038</v>
      </c>
      <c r="C11031" s="84">
        <v>4.02</v>
      </c>
      <c r="D11031" s="84">
        <v>0.0</v>
      </c>
      <c r="E11031" s="84">
        <v>0.0</v>
      </c>
      <c r="F11031" s="76" t="s">
        <v>974</v>
      </c>
      <c r="G11031" s="83">
        <v>46120.0</v>
      </c>
      <c r="H11031" s="76" t="s">
        <v>930</v>
      </c>
    </row>
    <row r="11032">
      <c r="A11032" s="76" t="s">
        <v>45</v>
      </c>
      <c r="B11032" s="76" t="s">
        <v>1038</v>
      </c>
      <c r="C11032" s="84">
        <v>0.12</v>
      </c>
      <c r="D11032" s="84">
        <v>0.0</v>
      </c>
      <c r="E11032" s="84">
        <v>0.0</v>
      </c>
      <c r="F11032" s="76" t="s">
        <v>974</v>
      </c>
      <c r="G11032" s="83">
        <v>46120.0</v>
      </c>
      <c r="H11032" s="76" t="s">
        <v>936</v>
      </c>
    </row>
    <row r="11033">
      <c r="A11033" s="76" t="s">
        <v>45</v>
      </c>
      <c r="B11033" s="76" t="s">
        <v>1038</v>
      </c>
      <c r="C11033" s="84">
        <v>0.48</v>
      </c>
      <c r="D11033" s="84">
        <v>0.0</v>
      </c>
      <c r="E11033" s="84">
        <v>0.0</v>
      </c>
      <c r="F11033" s="76" t="s">
        <v>974</v>
      </c>
      <c r="G11033" s="83">
        <v>46120.0</v>
      </c>
      <c r="H11033" s="76" t="s">
        <v>937</v>
      </c>
    </row>
    <row r="11034">
      <c r="A11034" s="76" t="s">
        <v>45</v>
      </c>
      <c r="B11034" s="76" t="s">
        <v>1038</v>
      </c>
      <c r="C11034" s="84">
        <v>0.07</v>
      </c>
      <c r="D11034" s="84">
        <v>0.0</v>
      </c>
      <c r="E11034" s="84">
        <v>0.0</v>
      </c>
      <c r="F11034" s="76" t="s">
        <v>974</v>
      </c>
      <c r="G11034" s="83">
        <v>46120.0</v>
      </c>
      <c r="H11034" s="76" t="s">
        <v>938</v>
      </c>
    </row>
    <row r="11035">
      <c r="A11035" s="76" t="s">
        <v>42</v>
      </c>
      <c r="B11035" s="76" t="s">
        <v>1038</v>
      </c>
      <c r="C11035" s="84">
        <v>0.51</v>
      </c>
      <c r="D11035" s="84">
        <v>0.0</v>
      </c>
      <c r="E11035" s="84">
        <v>0.0</v>
      </c>
      <c r="F11035" s="76" t="s">
        <v>974</v>
      </c>
      <c r="G11035" s="83">
        <v>46120.0</v>
      </c>
      <c r="H11035" s="76" t="s">
        <v>991</v>
      </c>
    </row>
    <row r="11036">
      <c r="A11036" s="76" t="s">
        <v>42</v>
      </c>
      <c r="B11036" s="76" t="s">
        <v>1038</v>
      </c>
      <c r="C11036" s="84">
        <v>0.29</v>
      </c>
      <c r="D11036" s="84">
        <v>0.0</v>
      </c>
      <c r="E11036" s="84">
        <v>0.0</v>
      </c>
      <c r="F11036" s="76" t="s">
        <v>974</v>
      </c>
      <c r="G11036" s="83">
        <v>46120.0</v>
      </c>
      <c r="H11036" s="76" t="s">
        <v>935</v>
      </c>
    </row>
    <row r="11037">
      <c r="A11037" s="76" t="s">
        <v>28</v>
      </c>
      <c r="B11037" s="76" t="s">
        <v>1038</v>
      </c>
      <c r="C11037" s="84">
        <v>0.14</v>
      </c>
      <c r="D11037" s="84">
        <v>0.0</v>
      </c>
      <c r="E11037" s="84">
        <v>0.0</v>
      </c>
      <c r="F11037" s="76" t="s">
        <v>974</v>
      </c>
      <c r="G11037" s="83">
        <v>46120.0</v>
      </c>
      <c r="H11037" s="76" t="s">
        <v>931</v>
      </c>
    </row>
    <row r="11038">
      <c r="A11038" s="76" t="s">
        <v>28</v>
      </c>
      <c r="B11038" s="76" t="s">
        <v>1038</v>
      </c>
      <c r="C11038" s="84">
        <v>0.11</v>
      </c>
      <c r="D11038" s="84">
        <v>0.0</v>
      </c>
      <c r="E11038" s="84">
        <v>0.0</v>
      </c>
      <c r="F11038" s="76" t="s">
        <v>974</v>
      </c>
      <c r="G11038" s="83">
        <v>46120.0</v>
      </c>
      <c r="H11038" s="76" t="s">
        <v>932</v>
      </c>
    </row>
    <row r="11039">
      <c r="A11039" s="76" t="s">
        <v>28</v>
      </c>
      <c r="B11039" s="76" t="s">
        <v>1038</v>
      </c>
      <c r="C11039" s="84">
        <v>4.74</v>
      </c>
      <c r="D11039" s="84">
        <v>1.0</v>
      </c>
      <c r="E11039" s="84">
        <v>4.74</v>
      </c>
      <c r="F11039" s="76" t="s">
        <v>974</v>
      </c>
      <c r="G11039" s="83">
        <v>46120.0</v>
      </c>
      <c r="H11039" s="76" t="s">
        <v>933</v>
      </c>
    </row>
    <row r="11040">
      <c r="A11040" s="76" t="s">
        <v>50</v>
      </c>
      <c r="B11040" s="76" t="s">
        <v>1038</v>
      </c>
      <c r="C11040" s="84">
        <v>0.24</v>
      </c>
      <c r="D11040" s="84">
        <v>0.0</v>
      </c>
      <c r="E11040" s="84">
        <v>0.0</v>
      </c>
      <c r="F11040" s="76" t="s">
        <v>974</v>
      </c>
      <c r="G11040" s="83">
        <v>46120.0</v>
      </c>
      <c r="H11040" s="76" t="s">
        <v>939</v>
      </c>
    </row>
    <row r="11041">
      <c r="A11041" s="76" t="s">
        <v>50</v>
      </c>
      <c r="B11041" s="76" t="s">
        <v>1038</v>
      </c>
      <c r="C11041" s="84">
        <v>0.26</v>
      </c>
      <c r="D11041" s="84">
        <v>0.0</v>
      </c>
      <c r="E11041" s="84">
        <v>0.0</v>
      </c>
      <c r="F11041" s="76" t="s">
        <v>974</v>
      </c>
      <c r="G11041" s="83">
        <v>46120.0</v>
      </c>
      <c r="H11041" s="76" t="s">
        <v>940</v>
      </c>
    </row>
    <row r="11042">
      <c r="A11042" s="76" t="s">
        <v>26</v>
      </c>
      <c r="B11042" s="76" t="s">
        <v>1038</v>
      </c>
      <c r="C11042" s="84">
        <v>0.17</v>
      </c>
      <c r="D11042" s="84">
        <v>0.0</v>
      </c>
      <c r="E11042" s="84">
        <v>0.0</v>
      </c>
      <c r="F11042" s="76" t="s">
        <v>974</v>
      </c>
      <c r="G11042" s="83">
        <v>46120.0</v>
      </c>
      <c r="H11042" s="76" t="s">
        <v>1012</v>
      </c>
    </row>
    <row r="11043">
      <c r="A11043" s="76" t="s">
        <v>26</v>
      </c>
      <c r="B11043" s="76" t="s">
        <v>1038</v>
      </c>
      <c r="C11043" s="84">
        <v>0.66</v>
      </c>
      <c r="D11043" s="84">
        <v>0.0</v>
      </c>
      <c r="E11043" s="84">
        <v>0.0</v>
      </c>
      <c r="F11043" s="76" t="s">
        <v>974</v>
      </c>
      <c r="G11043" s="83">
        <v>46120.0</v>
      </c>
      <c r="H11043" s="76" t="s">
        <v>1013</v>
      </c>
    </row>
    <row r="11044">
      <c r="A11044" s="76" t="s">
        <v>26</v>
      </c>
      <c r="B11044" s="76" t="s">
        <v>1038</v>
      </c>
      <c r="C11044" s="84">
        <v>2.7</v>
      </c>
      <c r="D11044" s="84">
        <v>1.0</v>
      </c>
      <c r="E11044" s="84">
        <v>2.7</v>
      </c>
      <c r="F11044" s="76" t="s">
        <v>974</v>
      </c>
      <c r="G11044" s="83">
        <v>46120.0</v>
      </c>
      <c r="H11044" s="76" t="s">
        <v>1014</v>
      </c>
    </row>
    <row r="11045">
      <c r="A11045" s="76" t="s">
        <v>944</v>
      </c>
      <c r="B11045" s="76" t="s">
        <v>1038</v>
      </c>
      <c r="C11045" s="84">
        <v>1.25</v>
      </c>
      <c r="D11045" s="84">
        <v>0.0</v>
      </c>
      <c r="E11045" s="84">
        <v>0.0</v>
      </c>
      <c r="F11045" s="76" t="s">
        <v>974</v>
      </c>
      <c r="G11045" s="83">
        <v>46120.0</v>
      </c>
      <c r="H11045" s="76" t="s">
        <v>945</v>
      </c>
    </row>
    <row r="11046">
      <c r="A11046" s="76" t="s">
        <v>944</v>
      </c>
      <c r="B11046" s="76" t="s">
        <v>1038</v>
      </c>
      <c r="C11046" s="84">
        <v>0.13</v>
      </c>
      <c r="D11046" s="84">
        <v>0.0</v>
      </c>
      <c r="E11046" s="84">
        <v>0.0</v>
      </c>
      <c r="F11046" s="76" t="s">
        <v>974</v>
      </c>
      <c r="G11046" s="83">
        <v>46120.0</v>
      </c>
      <c r="H11046" s="76" t="s">
        <v>946</v>
      </c>
    </row>
    <row r="11047">
      <c r="A11047" s="76" t="s">
        <v>944</v>
      </c>
      <c r="B11047" s="76" t="s">
        <v>1038</v>
      </c>
      <c r="C11047" s="84">
        <v>0.82</v>
      </c>
      <c r="D11047" s="84">
        <v>0.0</v>
      </c>
      <c r="E11047" s="84">
        <v>0.0</v>
      </c>
      <c r="F11047" s="76" t="s">
        <v>974</v>
      </c>
      <c r="G11047" s="83">
        <v>46120.0</v>
      </c>
      <c r="H11047" s="76" t="s">
        <v>947</v>
      </c>
    </row>
    <row r="11048">
      <c r="A11048" s="76" t="s">
        <v>36</v>
      </c>
      <c r="B11048" s="76" t="s">
        <v>1038</v>
      </c>
      <c r="C11048" s="84">
        <v>1.54</v>
      </c>
      <c r="D11048" s="84">
        <v>0.0</v>
      </c>
      <c r="E11048" s="84">
        <v>0.0</v>
      </c>
      <c r="F11048" s="76" t="s">
        <v>974</v>
      </c>
      <c r="G11048" s="83">
        <v>46120.0</v>
      </c>
      <c r="H11048" s="76" t="s">
        <v>926</v>
      </c>
    </row>
    <row r="11049">
      <c r="A11049" s="76" t="s">
        <v>36</v>
      </c>
      <c r="B11049" s="76" t="s">
        <v>1038</v>
      </c>
      <c r="C11049" s="84">
        <v>0.06</v>
      </c>
      <c r="D11049" s="84">
        <v>0.0</v>
      </c>
      <c r="E11049" s="84">
        <v>0.0</v>
      </c>
      <c r="F11049" s="76" t="s">
        <v>974</v>
      </c>
      <c r="G11049" s="83">
        <v>46120.0</v>
      </c>
      <c r="H11049" s="76" t="s">
        <v>927</v>
      </c>
    </row>
    <row r="11050">
      <c r="A11050" s="76" t="s">
        <v>36</v>
      </c>
      <c r="B11050" s="76" t="s">
        <v>1038</v>
      </c>
      <c r="C11050" s="84">
        <v>0.39</v>
      </c>
      <c r="D11050" s="84">
        <v>0.0</v>
      </c>
      <c r="E11050" s="84">
        <v>0.0</v>
      </c>
      <c r="F11050" s="76" t="s">
        <v>974</v>
      </c>
      <c r="G11050" s="83">
        <v>46120.0</v>
      </c>
      <c r="H11050" s="76" t="s">
        <v>928</v>
      </c>
    </row>
    <row r="11051">
      <c r="A11051" s="76" t="s">
        <v>32</v>
      </c>
      <c r="B11051" s="76" t="s">
        <v>1038</v>
      </c>
      <c r="C11051" s="84">
        <v>1.75</v>
      </c>
      <c r="D11051" s="84">
        <v>0.0</v>
      </c>
      <c r="E11051" s="84">
        <v>0.0</v>
      </c>
      <c r="F11051" s="76" t="s">
        <v>974</v>
      </c>
      <c r="G11051" s="83">
        <v>46120.0</v>
      </c>
      <c r="H11051" s="76" t="s">
        <v>941</v>
      </c>
    </row>
    <row r="11052">
      <c r="A11052" s="76" t="s">
        <v>32</v>
      </c>
      <c r="B11052" s="76" t="s">
        <v>1038</v>
      </c>
      <c r="C11052" s="84">
        <v>0.26</v>
      </c>
      <c r="D11052" s="84">
        <v>0.0</v>
      </c>
      <c r="E11052" s="84">
        <v>0.0</v>
      </c>
      <c r="F11052" s="76" t="s">
        <v>974</v>
      </c>
      <c r="G11052" s="83">
        <v>46120.0</v>
      </c>
      <c r="H11052" s="76" t="s">
        <v>942</v>
      </c>
    </row>
    <row r="11053">
      <c r="A11053" s="76" t="s">
        <v>32</v>
      </c>
      <c r="B11053" s="76" t="s">
        <v>1038</v>
      </c>
      <c r="C11053" s="84">
        <v>0.85</v>
      </c>
      <c r="D11053" s="84">
        <v>0.0</v>
      </c>
      <c r="E11053" s="84">
        <v>0.0</v>
      </c>
      <c r="F11053" s="76" t="s">
        <v>974</v>
      </c>
      <c r="G11053" s="83">
        <v>46120.0</v>
      </c>
      <c r="H11053" s="76" t="s">
        <v>943</v>
      </c>
    </row>
    <row r="11054">
      <c r="A11054" s="76" t="s">
        <v>36</v>
      </c>
      <c r="B11054" s="76" t="s">
        <v>1006</v>
      </c>
      <c r="C11054" s="84">
        <v>0.02</v>
      </c>
      <c r="D11054" s="84">
        <v>0.0</v>
      </c>
      <c r="E11054" s="84">
        <v>0.0</v>
      </c>
      <c r="F11054" s="76" t="s">
        <v>990</v>
      </c>
      <c r="G11054" s="83">
        <v>46120.0</v>
      </c>
      <c r="H11054" s="76" t="s">
        <v>926</v>
      </c>
    </row>
    <row r="11055">
      <c r="A11055" s="76" t="s">
        <v>36</v>
      </c>
      <c r="B11055" s="76" t="s">
        <v>1006</v>
      </c>
      <c r="C11055" s="84">
        <v>0.0</v>
      </c>
      <c r="D11055" s="84">
        <v>0.0</v>
      </c>
      <c r="E11055" s="84">
        <v>0.0</v>
      </c>
      <c r="F11055" s="76" t="s">
        <v>990</v>
      </c>
      <c r="G11055" s="83">
        <v>46120.0</v>
      </c>
      <c r="H11055" s="76" t="s">
        <v>927</v>
      </c>
    </row>
    <row r="11056">
      <c r="A11056" s="76" t="s">
        <v>36</v>
      </c>
      <c r="B11056" s="76" t="s">
        <v>1006</v>
      </c>
      <c r="C11056" s="84">
        <v>0.01</v>
      </c>
      <c r="D11056" s="84">
        <v>0.0</v>
      </c>
      <c r="E11056" s="84">
        <v>0.0</v>
      </c>
      <c r="F11056" s="76" t="s">
        <v>990</v>
      </c>
      <c r="G11056" s="83">
        <v>46120.0</v>
      </c>
      <c r="H11056" s="76" t="s">
        <v>928</v>
      </c>
    </row>
    <row r="11057">
      <c r="A11057" s="76" t="s">
        <v>31</v>
      </c>
      <c r="B11057" s="76" t="s">
        <v>1006</v>
      </c>
      <c r="C11057" s="84">
        <v>0.02</v>
      </c>
      <c r="D11057" s="84">
        <v>0.0</v>
      </c>
      <c r="E11057" s="84">
        <v>0.0</v>
      </c>
      <c r="F11057" s="76" t="s">
        <v>990</v>
      </c>
      <c r="G11057" s="83">
        <v>46120.0</v>
      </c>
      <c r="H11057" s="76" t="s">
        <v>929</v>
      </c>
    </row>
    <row r="11058">
      <c r="A11058" s="76" t="s">
        <v>31</v>
      </c>
      <c r="B11058" s="76" t="s">
        <v>1006</v>
      </c>
      <c r="C11058" s="84">
        <v>0.1</v>
      </c>
      <c r="D11058" s="84">
        <v>0.0</v>
      </c>
      <c r="E11058" s="84">
        <v>0.0</v>
      </c>
      <c r="F11058" s="76" t="s">
        <v>990</v>
      </c>
      <c r="G11058" s="83">
        <v>46120.0</v>
      </c>
      <c r="H11058" s="76" t="s">
        <v>930</v>
      </c>
    </row>
    <row r="11059">
      <c r="A11059" s="76" t="s">
        <v>28</v>
      </c>
      <c r="B11059" s="76" t="s">
        <v>1006</v>
      </c>
      <c r="C11059" s="84">
        <v>0.01</v>
      </c>
      <c r="D11059" s="84">
        <v>0.0</v>
      </c>
      <c r="E11059" s="84">
        <v>0.0</v>
      </c>
      <c r="F11059" s="76" t="s">
        <v>990</v>
      </c>
      <c r="G11059" s="83">
        <v>46120.0</v>
      </c>
      <c r="H11059" s="76" t="s">
        <v>931</v>
      </c>
    </row>
    <row r="11060">
      <c r="A11060" s="76" t="s">
        <v>28</v>
      </c>
      <c r="B11060" s="76" t="s">
        <v>1006</v>
      </c>
      <c r="C11060" s="84">
        <v>0.01</v>
      </c>
      <c r="D11060" s="84">
        <v>0.0</v>
      </c>
      <c r="E11060" s="84">
        <v>0.0</v>
      </c>
      <c r="F11060" s="76" t="s">
        <v>990</v>
      </c>
      <c r="G11060" s="83">
        <v>46120.0</v>
      </c>
      <c r="H11060" s="76" t="s">
        <v>932</v>
      </c>
    </row>
    <row r="11061">
      <c r="A11061" s="76" t="s">
        <v>28</v>
      </c>
      <c r="B11061" s="76" t="s">
        <v>1006</v>
      </c>
      <c r="C11061" s="84">
        <v>0.01</v>
      </c>
      <c r="D11061" s="84">
        <v>0.0</v>
      </c>
      <c r="E11061" s="84">
        <v>0.0</v>
      </c>
      <c r="F11061" s="76" t="s">
        <v>990</v>
      </c>
      <c r="G11061" s="83">
        <v>46120.0</v>
      </c>
      <c r="H11061" s="76" t="s">
        <v>933</v>
      </c>
    </row>
    <row r="11062">
      <c r="A11062" s="76" t="s">
        <v>45</v>
      </c>
      <c r="B11062" s="76" t="s">
        <v>1006</v>
      </c>
      <c r="C11062" s="84">
        <v>0.01</v>
      </c>
      <c r="D11062" s="84">
        <v>0.0</v>
      </c>
      <c r="E11062" s="84">
        <v>0.0</v>
      </c>
      <c r="F11062" s="76" t="s">
        <v>990</v>
      </c>
      <c r="G11062" s="83">
        <v>46120.0</v>
      </c>
      <c r="H11062" s="76" t="s">
        <v>936</v>
      </c>
    </row>
    <row r="11063">
      <c r="A11063" s="76" t="s">
        <v>45</v>
      </c>
      <c r="B11063" s="76" t="s">
        <v>1006</v>
      </c>
      <c r="C11063" s="84">
        <v>0.04</v>
      </c>
      <c r="D11063" s="84">
        <v>0.0</v>
      </c>
      <c r="E11063" s="84">
        <v>0.0</v>
      </c>
      <c r="F11063" s="76" t="s">
        <v>990</v>
      </c>
      <c r="G11063" s="83">
        <v>46120.0</v>
      </c>
      <c r="H11063" s="76" t="s">
        <v>937</v>
      </c>
    </row>
    <row r="11064">
      <c r="A11064" s="76" t="s">
        <v>45</v>
      </c>
      <c r="B11064" s="76" t="s">
        <v>1006</v>
      </c>
      <c r="C11064" s="84">
        <v>0.0</v>
      </c>
      <c r="D11064" s="84">
        <v>0.0</v>
      </c>
      <c r="E11064" s="84">
        <v>0.0</v>
      </c>
      <c r="F11064" s="76" t="s">
        <v>990</v>
      </c>
      <c r="G11064" s="83">
        <v>46120.0</v>
      </c>
      <c r="H11064" s="76" t="s">
        <v>938</v>
      </c>
    </row>
    <row r="11065">
      <c r="A11065" s="76" t="s">
        <v>32</v>
      </c>
      <c r="B11065" s="76" t="s">
        <v>1006</v>
      </c>
      <c r="C11065" s="84">
        <v>0.14</v>
      </c>
      <c r="D11065" s="84">
        <v>0.0</v>
      </c>
      <c r="E11065" s="84">
        <v>0.0</v>
      </c>
      <c r="F11065" s="76" t="s">
        <v>990</v>
      </c>
      <c r="G11065" s="83">
        <v>46120.0</v>
      </c>
      <c r="H11065" s="76" t="s">
        <v>941</v>
      </c>
    </row>
    <row r="11066">
      <c r="A11066" s="76" t="s">
        <v>32</v>
      </c>
      <c r="B11066" s="76" t="s">
        <v>1006</v>
      </c>
      <c r="C11066" s="84">
        <v>0.01</v>
      </c>
      <c r="D11066" s="84">
        <v>0.0</v>
      </c>
      <c r="E11066" s="84">
        <v>0.0</v>
      </c>
      <c r="F11066" s="76" t="s">
        <v>990</v>
      </c>
      <c r="G11066" s="83">
        <v>46120.0</v>
      </c>
      <c r="H11066" s="76" t="s">
        <v>942</v>
      </c>
    </row>
    <row r="11067">
      <c r="A11067" s="76" t="s">
        <v>32</v>
      </c>
      <c r="B11067" s="76" t="s">
        <v>1006</v>
      </c>
      <c r="C11067" s="84">
        <v>0.03</v>
      </c>
      <c r="D11067" s="84">
        <v>0.0</v>
      </c>
      <c r="E11067" s="84">
        <v>0.0</v>
      </c>
      <c r="F11067" s="76" t="s">
        <v>990</v>
      </c>
      <c r="G11067" s="83">
        <v>46120.0</v>
      </c>
      <c r="H11067" s="76" t="s">
        <v>943</v>
      </c>
    </row>
    <row r="11068">
      <c r="A11068" s="76" t="s">
        <v>944</v>
      </c>
      <c r="B11068" s="76" t="s">
        <v>1006</v>
      </c>
      <c r="C11068" s="84">
        <v>0.01</v>
      </c>
      <c r="D11068" s="84">
        <v>0.0</v>
      </c>
      <c r="E11068" s="84">
        <v>0.0</v>
      </c>
      <c r="F11068" s="76" t="s">
        <v>990</v>
      </c>
      <c r="G11068" s="83">
        <v>46120.0</v>
      </c>
      <c r="H11068" s="76" t="s">
        <v>945</v>
      </c>
    </row>
    <row r="11069">
      <c r="A11069" s="76" t="s">
        <v>944</v>
      </c>
      <c r="B11069" s="76" t="s">
        <v>1006</v>
      </c>
      <c r="C11069" s="84">
        <v>0.0</v>
      </c>
      <c r="D11069" s="84">
        <v>0.0</v>
      </c>
      <c r="E11069" s="84">
        <v>0.0</v>
      </c>
      <c r="F11069" s="76" t="s">
        <v>990</v>
      </c>
      <c r="G11069" s="83">
        <v>46120.0</v>
      </c>
      <c r="H11069" s="76" t="s">
        <v>946</v>
      </c>
    </row>
    <row r="11070">
      <c r="A11070" s="76" t="s">
        <v>944</v>
      </c>
      <c r="B11070" s="76" t="s">
        <v>1006</v>
      </c>
      <c r="C11070" s="84">
        <v>0.04</v>
      </c>
      <c r="D11070" s="84">
        <v>0.0</v>
      </c>
      <c r="E11070" s="84">
        <v>0.0</v>
      </c>
      <c r="F11070" s="76" t="s">
        <v>990</v>
      </c>
      <c r="G11070" s="83">
        <v>46120.0</v>
      </c>
      <c r="H11070" s="76" t="s">
        <v>947</v>
      </c>
    </row>
    <row r="11071">
      <c r="A11071" s="76" t="s">
        <v>26</v>
      </c>
      <c r="B11071" s="76" t="s">
        <v>1006</v>
      </c>
      <c r="C11071" s="84">
        <v>0.01</v>
      </c>
      <c r="D11071" s="84">
        <v>0.0</v>
      </c>
      <c r="E11071" s="84">
        <v>0.0</v>
      </c>
      <c r="F11071" s="76" t="s">
        <v>990</v>
      </c>
      <c r="G11071" s="83">
        <v>46120.0</v>
      </c>
      <c r="H11071" s="76" t="s">
        <v>1012</v>
      </c>
    </row>
    <row r="11072">
      <c r="A11072" s="76" t="s">
        <v>26</v>
      </c>
      <c r="B11072" s="76" t="s">
        <v>1006</v>
      </c>
      <c r="C11072" s="84">
        <v>0.01</v>
      </c>
      <c r="D11072" s="84">
        <v>0.0</v>
      </c>
      <c r="E11072" s="84">
        <v>0.0</v>
      </c>
      <c r="F11072" s="76" t="s">
        <v>990</v>
      </c>
      <c r="G11072" s="83">
        <v>46120.0</v>
      </c>
      <c r="H11072" s="76" t="s">
        <v>1013</v>
      </c>
    </row>
    <row r="11073">
      <c r="A11073" s="76" t="s">
        <v>26</v>
      </c>
      <c r="B11073" s="76" t="s">
        <v>1006</v>
      </c>
      <c r="C11073" s="84">
        <v>0.14</v>
      </c>
      <c r="D11073" s="84">
        <v>0.0</v>
      </c>
      <c r="E11073" s="84">
        <v>0.0</v>
      </c>
      <c r="F11073" s="76" t="s">
        <v>990</v>
      </c>
      <c r="G11073" s="83">
        <v>46120.0</v>
      </c>
      <c r="H11073" s="76" t="s">
        <v>1014</v>
      </c>
    </row>
    <row r="11074">
      <c r="A11074" s="76" t="s">
        <v>36</v>
      </c>
      <c r="B11074" s="76" t="s">
        <v>1006</v>
      </c>
      <c r="C11074" s="84">
        <v>0.13</v>
      </c>
      <c r="D11074" s="84">
        <v>0.0</v>
      </c>
      <c r="E11074" s="84">
        <v>0.0</v>
      </c>
      <c r="F11074" s="76" t="s">
        <v>993</v>
      </c>
      <c r="G11074" s="83">
        <v>46120.0</v>
      </c>
      <c r="H11074" s="76" t="s">
        <v>926</v>
      </c>
    </row>
    <row r="11075">
      <c r="A11075" s="76" t="s">
        <v>36</v>
      </c>
      <c r="B11075" s="76" t="s">
        <v>1006</v>
      </c>
      <c r="C11075" s="84">
        <v>0.02</v>
      </c>
      <c r="D11075" s="84">
        <v>0.0</v>
      </c>
      <c r="E11075" s="84">
        <v>0.0</v>
      </c>
      <c r="F11075" s="76" t="s">
        <v>993</v>
      </c>
      <c r="G11075" s="83">
        <v>46120.0</v>
      </c>
      <c r="H11075" s="76" t="s">
        <v>927</v>
      </c>
    </row>
    <row r="11076">
      <c r="A11076" s="76" t="s">
        <v>36</v>
      </c>
      <c r="B11076" s="76" t="s">
        <v>1006</v>
      </c>
      <c r="C11076" s="84">
        <v>0.08</v>
      </c>
      <c r="D11076" s="84">
        <v>0.0</v>
      </c>
      <c r="E11076" s="84">
        <v>0.0</v>
      </c>
      <c r="F11076" s="76" t="s">
        <v>993</v>
      </c>
      <c r="G11076" s="83">
        <v>46120.0</v>
      </c>
      <c r="H11076" s="76" t="s">
        <v>928</v>
      </c>
    </row>
    <row r="11077">
      <c r="A11077" s="76" t="s">
        <v>31</v>
      </c>
      <c r="B11077" s="76" t="s">
        <v>1006</v>
      </c>
      <c r="C11077" s="84">
        <v>0.12</v>
      </c>
      <c r="D11077" s="84">
        <v>0.0</v>
      </c>
      <c r="E11077" s="84">
        <v>0.0</v>
      </c>
      <c r="F11077" s="76" t="s">
        <v>993</v>
      </c>
      <c r="G11077" s="83">
        <v>46120.0</v>
      </c>
      <c r="H11077" s="76" t="s">
        <v>929</v>
      </c>
    </row>
    <row r="11078">
      <c r="A11078" s="76" t="s">
        <v>31</v>
      </c>
      <c r="B11078" s="76" t="s">
        <v>1006</v>
      </c>
      <c r="C11078" s="84">
        <v>0.86</v>
      </c>
      <c r="D11078" s="84">
        <v>0.0</v>
      </c>
      <c r="E11078" s="84">
        <v>0.0</v>
      </c>
      <c r="F11078" s="76" t="s">
        <v>993</v>
      </c>
      <c r="G11078" s="83">
        <v>46120.0</v>
      </c>
      <c r="H11078" s="76" t="s">
        <v>930</v>
      </c>
    </row>
    <row r="11079">
      <c r="A11079" s="76" t="s">
        <v>28</v>
      </c>
      <c r="B11079" s="76" t="s">
        <v>1006</v>
      </c>
      <c r="C11079" s="84">
        <v>0.09</v>
      </c>
      <c r="D11079" s="84">
        <v>0.0</v>
      </c>
      <c r="E11079" s="84">
        <v>0.0</v>
      </c>
      <c r="F11079" s="76" t="s">
        <v>993</v>
      </c>
      <c r="G11079" s="83">
        <v>46120.0</v>
      </c>
      <c r="H11079" s="76" t="s">
        <v>931</v>
      </c>
    </row>
    <row r="11080">
      <c r="A11080" s="76" t="s">
        <v>28</v>
      </c>
      <c r="B11080" s="76" t="s">
        <v>1006</v>
      </c>
      <c r="C11080" s="84">
        <v>0.03</v>
      </c>
      <c r="D11080" s="84">
        <v>0.0</v>
      </c>
      <c r="E11080" s="84">
        <v>0.0</v>
      </c>
      <c r="F11080" s="76" t="s">
        <v>993</v>
      </c>
      <c r="G11080" s="83">
        <v>46120.0</v>
      </c>
      <c r="H11080" s="76" t="s">
        <v>932</v>
      </c>
    </row>
    <row r="11081">
      <c r="A11081" s="76" t="s">
        <v>28</v>
      </c>
      <c r="B11081" s="76" t="s">
        <v>1006</v>
      </c>
      <c r="C11081" s="84">
        <v>0.32</v>
      </c>
      <c r="D11081" s="84">
        <v>0.0</v>
      </c>
      <c r="E11081" s="84">
        <v>0.0</v>
      </c>
      <c r="F11081" s="76" t="s">
        <v>993</v>
      </c>
      <c r="G11081" s="83">
        <v>46120.0</v>
      </c>
      <c r="H11081" s="76" t="s">
        <v>933</v>
      </c>
    </row>
    <row r="11082">
      <c r="A11082" s="76" t="s">
        <v>45</v>
      </c>
      <c r="B11082" s="76" t="s">
        <v>1006</v>
      </c>
      <c r="C11082" s="84">
        <v>0.03</v>
      </c>
      <c r="D11082" s="84">
        <v>0.0</v>
      </c>
      <c r="E11082" s="84">
        <v>0.0</v>
      </c>
      <c r="F11082" s="76" t="s">
        <v>993</v>
      </c>
      <c r="G11082" s="83">
        <v>46120.0</v>
      </c>
      <c r="H11082" s="76" t="s">
        <v>936</v>
      </c>
    </row>
    <row r="11083">
      <c r="A11083" s="76" t="s">
        <v>45</v>
      </c>
      <c r="B11083" s="76" t="s">
        <v>1006</v>
      </c>
      <c r="C11083" s="84">
        <v>0.09</v>
      </c>
      <c r="D11083" s="84">
        <v>0.0</v>
      </c>
      <c r="E11083" s="84">
        <v>0.0</v>
      </c>
      <c r="F11083" s="76" t="s">
        <v>993</v>
      </c>
      <c r="G11083" s="83">
        <v>46120.0</v>
      </c>
      <c r="H11083" s="76" t="s">
        <v>937</v>
      </c>
    </row>
    <row r="11084">
      <c r="A11084" s="76" t="s">
        <v>45</v>
      </c>
      <c r="B11084" s="76" t="s">
        <v>1006</v>
      </c>
      <c r="C11084" s="84">
        <v>0.03</v>
      </c>
      <c r="D11084" s="84">
        <v>0.0</v>
      </c>
      <c r="E11084" s="84">
        <v>0.0</v>
      </c>
      <c r="F11084" s="76" t="s">
        <v>993</v>
      </c>
      <c r="G11084" s="83">
        <v>46120.0</v>
      </c>
      <c r="H11084" s="76" t="s">
        <v>938</v>
      </c>
    </row>
    <row r="11085">
      <c r="A11085" s="76" t="s">
        <v>32</v>
      </c>
      <c r="B11085" s="76" t="s">
        <v>1006</v>
      </c>
      <c r="C11085" s="84">
        <v>0.97</v>
      </c>
      <c r="D11085" s="84">
        <v>1.0</v>
      </c>
      <c r="E11085" s="84">
        <v>0.97</v>
      </c>
      <c r="F11085" s="76" t="s">
        <v>993</v>
      </c>
      <c r="G11085" s="83">
        <v>46120.0</v>
      </c>
      <c r="H11085" s="76" t="s">
        <v>941</v>
      </c>
    </row>
    <row r="11086">
      <c r="A11086" s="76" t="s">
        <v>32</v>
      </c>
      <c r="B11086" s="76" t="s">
        <v>1006</v>
      </c>
      <c r="C11086" s="84">
        <v>0.1</v>
      </c>
      <c r="D11086" s="84">
        <v>0.0</v>
      </c>
      <c r="E11086" s="84">
        <v>0.0</v>
      </c>
      <c r="F11086" s="76" t="s">
        <v>993</v>
      </c>
      <c r="G11086" s="83">
        <v>46120.0</v>
      </c>
      <c r="H11086" s="76" t="s">
        <v>942</v>
      </c>
    </row>
    <row r="11087">
      <c r="A11087" s="76" t="s">
        <v>32</v>
      </c>
      <c r="B11087" s="76" t="s">
        <v>1006</v>
      </c>
      <c r="C11087" s="84">
        <v>0.25</v>
      </c>
      <c r="D11087" s="84">
        <v>0.0</v>
      </c>
      <c r="E11087" s="84">
        <v>0.0</v>
      </c>
      <c r="F11087" s="76" t="s">
        <v>993</v>
      </c>
      <c r="G11087" s="83">
        <v>46120.0</v>
      </c>
      <c r="H11087" s="76" t="s">
        <v>943</v>
      </c>
    </row>
    <row r="11088">
      <c r="A11088" s="76" t="s">
        <v>944</v>
      </c>
      <c r="B11088" s="76" t="s">
        <v>1006</v>
      </c>
      <c r="C11088" s="84">
        <v>0.06</v>
      </c>
      <c r="D11088" s="84">
        <v>0.0</v>
      </c>
      <c r="E11088" s="84">
        <v>0.0</v>
      </c>
      <c r="F11088" s="76" t="s">
        <v>993</v>
      </c>
      <c r="G11088" s="83">
        <v>46120.0</v>
      </c>
      <c r="H11088" s="76" t="s">
        <v>945</v>
      </c>
    </row>
    <row r="11089">
      <c r="A11089" s="76" t="s">
        <v>944</v>
      </c>
      <c r="B11089" s="76" t="s">
        <v>1006</v>
      </c>
      <c r="C11089" s="84">
        <v>0.06</v>
      </c>
      <c r="D11089" s="84">
        <v>0.0</v>
      </c>
      <c r="E11089" s="84">
        <v>0.0</v>
      </c>
      <c r="F11089" s="76" t="s">
        <v>993</v>
      </c>
      <c r="G11089" s="83">
        <v>46120.0</v>
      </c>
      <c r="H11089" s="76" t="s">
        <v>946</v>
      </c>
    </row>
    <row r="11090">
      <c r="A11090" s="76" t="s">
        <v>944</v>
      </c>
      <c r="B11090" s="76" t="s">
        <v>1006</v>
      </c>
      <c r="C11090" s="84">
        <v>0.26</v>
      </c>
      <c r="D11090" s="84">
        <v>0.0</v>
      </c>
      <c r="E11090" s="84">
        <v>0.0</v>
      </c>
      <c r="F11090" s="76" t="s">
        <v>993</v>
      </c>
      <c r="G11090" s="83">
        <v>46120.0</v>
      </c>
      <c r="H11090" s="76" t="s">
        <v>947</v>
      </c>
    </row>
    <row r="11091">
      <c r="A11091" s="76" t="s">
        <v>26</v>
      </c>
      <c r="B11091" s="76" t="s">
        <v>1006</v>
      </c>
      <c r="C11091" s="84">
        <v>0.05</v>
      </c>
      <c r="D11091" s="84">
        <v>0.0</v>
      </c>
      <c r="E11091" s="84">
        <v>0.0</v>
      </c>
      <c r="F11091" s="76" t="s">
        <v>993</v>
      </c>
      <c r="G11091" s="83">
        <v>46120.0</v>
      </c>
      <c r="H11091" s="76" t="s">
        <v>1012</v>
      </c>
    </row>
    <row r="11092">
      <c r="A11092" s="76" t="s">
        <v>26</v>
      </c>
      <c r="B11092" s="76" t="s">
        <v>1006</v>
      </c>
      <c r="C11092" s="84">
        <v>0.05</v>
      </c>
      <c r="D11092" s="84">
        <v>0.0</v>
      </c>
      <c r="E11092" s="84">
        <v>0.0</v>
      </c>
      <c r="F11092" s="76" t="s">
        <v>993</v>
      </c>
      <c r="G11092" s="83">
        <v>46120.0</v>
      </c>
      <c r="H11092" s="76" t="s">
        <v>1013</v>
      </c>
    </row>
    <row r="11093">
      <c r="A11093" s="76" t="s">
        <v>26</v>
      </c>
      <c r="B11093" s="76" t="s">
        <v>1006</v>
      </c>
      <c r="C11093" s="84">
        <v>0.57</v>
      </c>
      <c r="D11093" s="84">
        <v>0.0</v>
      </c>
      <c r="E11093" s="84">
        <v>0.0</v>
      </c>
      <c r="F11093" s="76" t="s">
        <v>993</v>
      </c>
      <c r="G11093" s="83">
        <v>46120.0</v>
      </c>
      <c r="H11093" s="76" t="s">
        <v>1014</v>
      </c>
    </row>
    <row r="11094">
      <c r="A11094" s="76" t="s">
        <v>36</v>
      </c>
      <c r="B11094" s="76" t="s">
        <v>1006</v>
      </c>
      <c r="C11094" s="84">
        <v>39.67</v>
      </c>
      <c r="D11094" s="84">
        <v>6.0</v>
      </c>
      <c r="E11094" s="84">
        <v>6.61</v>
      </c>
      <c r="F11094" s="76" t="s">
        <v>1005</v>
      </c>
      <c r="G11094" s="83">
        <v>46120.0</v>
      </c>
      <c r="H11094" s="76" t="s">
        <v>926</v>
      </c>
    </row>
    <row r="11095">
      <c r="A11095" s="76" t="s">
        <v>36</v>
      </c>
      <c r="B11095" s="76" t="s">
        <v>1006</v>
      </c>
      <c r="C11095" s="84">
        <v>2.57</v>
      </c>
      <c r="D11095" s="84">
        <v>0.0</v>
      </c>
      <c r="E11095" s="84">
        <v>0.0</v>
      </c>
      <c r="F11095" s="76" t="s">
        <v>1005</v>
      </c>
      <c r="G11095" s="83">
        <v>46120.0</v>
      </c>
      <c r="H11095" s="76" t="s">
        <v>927</v>
      </c>
    </row>
    <row r="11096">
      <c r="A11096" s="76" t="s">
        <v>36</v>
      </c>
      <c r="B11096" s="76" t="s">
        <v>1006</v>
      </c>
      <c r="C11096" s="84">
        <v>10.66</v>
      </c>
      <c r="D11096" s="84">
        <v>4.0</v>
      </c>
      <c r="E11096" s="84">
        <v>2.67</v>
      </c>
      <c r="F11096" s="76" t="s">
        <v>1005</v>
      </c>
      <c r="G11096" s="83">
        <v>46120.0</v>
      </c>
      <c r="H11096" s="76" t="s">
        <v>928</v>
      </c>
    </row>
    <row r="11097">
      <c r="A11097" s="76" t="s">
        <v>31</v>
      </c>
      <c r="B11097" s="76" t="s">
        <v>1006</v>
      </c>
      <c r="C11097" s="84">
        <v>6.64</v>
      </c>
      <c r="D11097" s="84">
        <v>2.0</v>
      </c>
      <c r="E11097" s="84">
        <v>3.32</v>
      </c>
      <c r="F11097" s="76" t="s">
        <v>1005</v>
      </c>
      <c r="G11097" s="83">
        <v>46120.0</v>
      </c>
      <c r="H11097" s="76" t="s">
        <v>929</v>
      </c>
    </row>
    <row r="11098">
      <c r="A11098" s="76" t="s">
        <v>31</v>
      </c>
      <c r="B11098" s="76" t="s">
        <v>1006</v>
      </c>
      <c r="C11098" s="84">
        <v>506.58</v>
      </c>
      <c r="D11098" s="84">
        <v>154.0</v>
      </c>
      <c r="E11098" s="84">
        <v>3.29</v>
      </c>
      <c r="F11098" s="76" t="s">
        <v>1005</v>
      </c>
      <c r="G11098" s="83">
        <v>46120.0</v>
      </c>
      <c r="H11098" s="76" t="s">
        <v>930</v>
      </c>
    </row>
    <row r="11099">
      <c r="A11099" s="76" t="s">
        <v>28</v>
      </c>
      <c r="B11099" s="76" t="s">
        <v>1006</v>
      </c>
      <c r="C11099" s="84">
        <v>5.11</v>
      </c>
      <c r="D11099" s="84">
        <v>0.0</v>
      </c>
      <c r="E11099" s="84">
        <v>0.0</v>
      </c>
      <c r="F11099" s="76" t="s">
        <v>1005</v>
      </c>
      <c r="G11099" s="83">
        <v>46120.0</v>
      </c>
      <c r="H11099" s="76" t="s">
        <v>931</v>
      </c>
    </row>
    <row r="11100">
      <c r="A11100" s="76" t="s">
        <v>28</v>
      </c>
      <c r="B11100" s="76" t="s">
        <v>1006</v>
      </c>
      <c r="C11100" s="84">
        <v>3.24</v>
      </c>
      <c r="D11100" s="84">
        <v>1.0</v>
      </c>
      <c r="E11100" s="84">
        <v>3.24</v>
      </c>
      <c r="F11100" s="76" t="s">
        <v>1005</v>
      </c>
      <c r="G11100" s="83">
        <v>46120.0</v>
      </c>
      <c r="H11100" s="76" t="s">
        <v>932</v>
      </c>
    </row>
    <row r="11101">
      <c r="A11101" s="76" t="s">
        <v>28</v>
      </c>
      <c r="B11101" s="76" t="s">
        <v>1006</v>
      </c>
      <c r="C11101" s="84">
        <v>471.7</v>
      </c>
      <c r="D11101" s="84">
        <v>116.0</v>
      </c>
      <c r="E11101" s="84">
        <v>4.07</v>
      </c>
      <c r="F11101" s="76" t="s">
        <v>1005</v>
      </c>
      <c r="G11101" s="83">
        <v>46120.0</v>
      </c>
      <c r="H11101" s="76" t="s">
        <v>933</v>
      </c>
    </row>
    <row r="11102">
      <c r="A11102" s="76" t="s">
        <v>45</v>
      </c>
      <c r="B11102" s="76" t="s">
        <v>1006</v>
      </c>
      <c r="C11102" s="84">
        <v>3.07</v>
      </c>
      <c r="D11102" s="84">
        <v>0.0</v>
      </c>
      <c r="E11102" s="84">
        <v>0.0</v>
      </c>
      <c r="F11102" s="76" t="s">
        <v>1005</v>
      </c>
      <c r="G11102" s="83">
        <v>46120.0</v>
      </c>
      <c r="H11102" s="76" t="s">
        <v>936</v>
      </c>
    </row>
    <row r="11103">
      <c r="A11103" s="76" t="s">
        <v>45</v>
      </c>
      <c r="B11103" s="76" t="s">
        <v>1006</v>
      </c>
      <c r="C11103" s="84">
        <v>7.48</v>
      </c>
      <c r="D11103" s="84">
        <v>2.0</v>
      </c>
      <c r="E11103" s="84">
        <v>3.74</v>
      </c>
      <c r="F11103" s="76" t="s">
        <v>1005</v>
      </c>
      <c r="G11103" s="83">
        <v>46120.0</v>
      </c>
      <c r="H11103" s="76" t="s">
        <v>937</v>
      </c>
    </row>
    <row r="11104">
      <c r="A11104" s="76" t="s">
        <v>45</v>
      </c>
      <c r="B11104" s="76" t="s">
        <v>1006</v>
      </c>
      <c r="C11104" s="84">
        <v>2.8</v>
      </c>
      <c r="D11104" s="84">
        <v>1.0</v>
      </c>
      <c r="E11104" s="84">
        <v>2.8</v>
      </c>
      <c r="F11104" s="76" t="s">
        <v>1005</v>
      </c>
      <c r="G11104" s="83">
        <v>46120.0</v>
      </c>
      <c r="H11104" s="76" t="s">
        <v>938</v>
      </c>
    </row>
    <row r="11105">
      <c r="A11105" s="76" t="s">
        <v>32</v>
      </c>
      <c r="B11105" s="76" t="s">
        <v>1006</v>
      </c>
      <c r="C11105" s="84">
        <v>293.22</v>
      </c>
      <c r="D11105" s="84">
        <v>73.0</v>
      </c>
      <c r="E11105" s="84">
        <v>4.02</v>
      </c>
      <c r="F11105" s="76" t="s">
        <v>1005</v>
      </c>
      <c r="G11105" s="83">
        <v>46120.0</v>
      </c>
      <c r="H11105" s="76" t="s">
        <v>941</v>
      </c>
    </row>
    <row r="11106">
      <c r="A11106" s="76" t="s">
        <v>32</v>
      </c>
      <c r="B11106" s="76" t="s">
        <v>1006</v>
      </c>
      <c r="C11106" s="84">
        <v>53.97</v>
      </c>
      <c r="D11106" s="84">
        <v>10.0</v>
      </c>
      <c r="E11106" s="84">
        <v>5.4</v>
      </c>
      <c r="F11106" s="76" t="s">
        <v>1005</v>
      </c>
      <c r="G11106" s="83">
        <v>46120.0</v>
      </c>
      <c r="H11106" s="76" t="s">
        <v>942</v>
      </c>
    </row>
    <row r="11107">
      <c r="A11107" s="76" t="s">
        <v>32</v>
      </c>
      <c r="B11107" s="76" t="s">
        <v>1006</v>
      </c>
      <c r="C11107" s="84">
        <v>365.23</v>
      </c>
      <c r="D11107" s="84">
        <v>70.0</v>
      </c>
      <c r="E11107" s="84">
        <v>5.22</v>
      </c>
      <c r="F11107" s="76" t="s">
        <v>1005</v>
      </c>
      <c r="G11107" s="83">
        <v>46120.0</v>
      </c>
      <c r="H11107" s="76" t="s">
        <v>943</v>
      </c>
    </row>
    <row r="11108">
      <c r="A11108" s="76" t="s">
        <v>944</v>
      </c>
      <c r="B11108" s="76" t="s">
        <v>1006</v>
      </c>
      <c r="C11108" s="84">
        <v>37.28</v>
      </c>
      <c r="D11108" s="84">
        <v>6.0</v>
      </c>
      <c r="E11108" s="84">
        <v>6.21</v>
      </c>
      <c r="F11108" s="76" t="s">
        <v>1005</v>
      </c>
      <c r="G11108" s="83">
        <v>46120.0</v>
      </c>
      <c r="H11108" s="76" t="s">
        <v>945</v>
      </c>
    </row>
    <row r="11109">
      <c r="A11109" s="76" t="s">
        <v>944</v>
      </c>
      <c r="B11109" s="76" t="s">
        <v>1006</v>
      </c>
      <c r="C11109" s="84">
        <v>3.45</v>
      </c>
      <c r="D11109" s="84">
        <v>3.0</v>
      </c>
      <c r="E11109" s="84">
        <v>1.15</v>
      </c>
      <c r="F11109" s="76" t="s">
        <v>1005</v>
      </c>
      <c r="G11109" s="83">
        <v>46120.0</v>
      </c>
      <c r="H11109" s="76" t="s">
        <v>946</v>
      </c>
    </row>
    <row r="11110">
      <c r="A11110" s="76" t="s">
        <v>944</v>
      </c>
      <c r="B11110" s="76" t="s">
        <v>1006</v>
      </c>
      <c r="C11110" s="84">
        <v>16.1</v>
      </c>
      <c r="D11110" s="84">
        <v>3.0</v>
      </c>
      <c r="E11110" s="84">
        <v>5.37</v>
      </c>
      <c r="F11110" s="76" t="s">
        <v>1005</v>
      </c>
      <c r="G11110" s="83">
        <v>46120.0</v>
      </c>
      <c r="H11110" s="76" t="s">
        <v>947</v>
      </c>
    </row>
    <row r="11111">
      <c r="A11111" s="76" t="s">
        <v>26</v>
      </c>
      <c r="B11111" s="76" t="s">
        <v>1006</v>
      </c>
      <c r="C11111" s="84">
        <v>2.73</v>
      </c>
      <c r="D11111" s="84">
        <v>0.0</v>
      </c>
      <c r="E11111" s="84">
        <v>0.0</v>
      </c>
      <c r="F11111" s="76" t="s">
        <v>1005</v>
      </c>
      <c r="G11111" s="83">
        <v>46120.0</v>
      </c>
      <c r="H11111" s="76" t="s">
        <v>1012</v>
      </c>
    </row>
    <row r="11112">
      <c r="A11112" s="76" t="s">
        <v>26</v>
      </c>
      <c r="B11112" s="76" t="s">
        <v>1006</v>
      </c>
      <c r="C11112" s="84">
        <v>3.46</v>
      </c>
      <c r="D11112" s="84">
        <v>1.0</v>
      </c>
      <c r="E11112" s="84">
        <v>3.46</v>
      </c>
      <c r="F11112" s="76" t="s">
        <v>1005</v>
      </c>
      <c r="G11112" s="83">
        <v>46120.0</v>
      </c>
      <c r="H11112" s="76" t="s">
        <v>1013</v>
      </c>
    </row>
    <row r="11113">
      <c r="A11113" s="76" t="s">
        <v>26</v>
      </c>
      <c r="B11113" s="76" t="s">
        <v>1006</v>
      </c>
      <c r="C11113" s="84">
        <v>107.79</v>
      </c>
      <c r="D11113" s="84">
        <v>28.0</v>
      </c>
      <c r="E11113" s="84">
        <v>3.85</v>
      </c>
      <c r="F11113" s="76" t="s">
        <v>1005</v>
      </c>
      <c r="G11113" s="83">
        <v>46120.0</v>
      </c>
      <c r="H11113" s="76" t="s">
        <v>1014</v>
      </c>
    </row>
    <row r="11114">
      <c r="A11114" s="76" t="s">
        <v>36</v>
      </c>
      <c r="B11114" s="76" t="s">
        <v>1006</v>
      </c>
      <c r="C11114" s="84">
        <v>0.8</v>
      </c>
      <c r="D11114" s="84">
        <v>0.0</v>
      </c>
      <c r="E11114" s="84">
        <v>0.0</v>
      </c>
      <c r="F11114" s="76" t="s">
        <v>996</v>
      </c>
      <c r="G11114" s="83">
        <v>46120.0</v>
      </c>
      <c r="H11114" s="76" t="s">
        <v>926</v>
      </c>
    </row>
    <row r="11115">
      <c r="A11115" s="76" t="s">
        <v>36</v>
      </c>
      <c r="B11115" s="76" t="s">
        <v>1006</v>
      </c>
      <c r="C11115" s="84">
        <v>0.16</v>
      </c>
      <c r="D11115" s="84">
        <v>0.0</v>
      </c>
      <c r="E11115" s="84">
        <v>0.0</v>
      </c>
      <c r="F11115" s="76" t="s">
        <v>996</v>
      </c>
      <c r="G11115" s="83">
        <v>46120.0</v>
      </c>
      <c r="H11115" s="76" t="s">
        <v>927</v>
      </c>
    </row>
    <row r="11116">
      <c r="A11116" s="76" t="s">
        <v>36</v>
      </c>
      <c r="B11116" s="76" t="s">
        <v>1006</v>
      </c>
      <c r="C11116" s="84">
        <v>0.57</v>
      </c>
      <c r="D11116" s="84">
        <v>0.0</v>
      </c>
      <c r="E11116" s="84">
        <v>0.0</v>
      </c>
      <c r="F11116" s="76" t="s">
        <v>996</v>
      </c>
      <c r="G11116" s="83">
        <v>46120.0</v>
      </c>
      <c r="H11116" s="76" t="s">
        <v>928</v>
      </c>
    </row>
    <row r="11117">
      <c r="A11117" s="76" t="s">
        <v>31</v>
      </c>
      <c r="B11117" s="76" t="s">
        <v>1006</v>
      </c>
      <c r="C11117" s="84">
        <v>0.69</v>
      </c>
      <c r="D11117" s="84">
        <v>1.0</v>
      </c>
      <c r="E11117" s="84">
        <v>0.69</v>
      </c>
      <c r="F11117" s="76" t="s">
        <v>996</v>
      </c>
      <c r="G11117" s="83">
        <v>46120.0</v>
      </c>
      <c r="H11117" s="76" t="s">
        <v>929</v>
      </c>
    </row>
    <row r="11118">
      <c r="A11118" s="76" t="s">
        <v>31</v>
      </c>
      <c r="B11118" s="76" t="s">
        <v>1006</v>
      </c>
      <c r="C11118" s="84">
        <v>6.0</v>
      </c>
      <c r="D11118" s="84">
        <v>2.0</v>
      </c>
      <c r="E11118" s="84">
        <v>3.0</v>
      </c>
      <c r="F11118" s="76" t="s">
        <v>996</v>
      </c>
      <c r="G11118" s="83">
        <v>46120.0</v>
      </c>
      <c r="H11118" s="76" t="s">
        <v>930</v>
      </c>
    </row>
    <row r="11119">
      <c r="A11119" s="76" t="s">
        <v>28</v>
      </c>
      <c r="B11119" s="76" t="s">
        <v>1006</v>
      </c>
      <c r="C11119" s="84">
        <v>0.45</v>
      </c>
      <c r="D11119" s="84">
        <v>0.0</v>
      </c>
      <c r="E11119" s="84">
        <v>0.0</v>
      </c>
      <c r="F11119" s="76" t="s">
        <v>996</v>
      </c>
      <c r="G11119" s="83">
        <v>46120.0</v>
      </c>
      <c r="H11119" s="76" t="s">
        <v>931</v>
      </c>
    </row>
    <row r="11120">
      <c r="A11120" s="76" t="s">
        <v>28</v>
      </c>
      <c r="B11120" s="76" t="s">
        <v>1006</v>
      </c>
      <c r="C11120" s="84">
        <v>0.21</v>
      </c>
      <c r="D11120" s="84">
        <v>0.0</v>
      </c>
      <c r="E11120" s="84">
        <v>0.0</v>
      </c>
      <c r="F11120" s="76" t="s">
        <v>996</v>
      </c>
      <c r="G11120" s="83">
        <v>46120.0</v>
      </c>
      <c r="H11120" s="76" t="s">
        <v>932</v>
      </c>
    </row>
    <row r="11121">
      <c r="A11121" s="76" t="s">
        <v>28</v>
      </c>
      <c r="B11121" s="76" t="s">
        <v>1006</v>
      </c>
      <c r="C11121" s="84">
        <v>1.8</v>
      </c>
      <c r="D11121" s="84">
        <v>0.0</v>
      </c>
      <c r="E11121" s="84">
        <v>0.0</v>
      </c>
      <c r="F11121" s="76" t="s">
        <v>996</v>
      </c>
      <c r="G11121" s="83">
        <v>46120.0</v>
      </c>
      <c r="H11121" s="76" t="s">
        <v>933</v>
      </c>
    </row>
    <row r="11122">
      <c r="A11122" s="76" t="s">
        <v>45</v>
      </c>
      <c r="B11122" s="76" t="s">
        <v>1006</v>
      </c>
      <c r="C11122" s="84">
        <v>0.23</v>
      </c>
      <c r="D11122" s="84">
        <v>0.0</v>
      </c>
      <c r="E11122" s="84">
        <v>0.0</v>
      </c>
      <c r="F11122" s="76" t="s">
        <v>996</v>
      </c>
      <c r="G11122" s="83">
        <v>46120.0</v>
      </c>
      <c r="H11122" s="76" t="s">
        <v>936</v>
      </c>
    </row>
    <row r="11123">
      <c r="A11123" s="76" t="s">
        <v>45</v>
      </c>
      <c r="B11123" s="76" t="s">
        <v>1006</v>
      </c>
      <c r="C11123" s="84">
        <v>0.53</v>
      </c>
      <c r="D11123" s="84">
        <v>0.0</v>
      </c>
      <c r="E11123" s="84">
        <v>0.0</v>
      </c>
      <c r="F11123" s="76" t="s">
        <v>996</v>
      </c>
      <c r="G11123" s="83">
        <v>46120.0</v>
      </c>
      <c r="H11123" s="76" t="s">
        <v>937</v>
      </c>
    </row>
    <row r="11124">
      <c r="A11124" s="76" t="s">
        <v>45</v>
      </c>
      <c r="B11124" s="76" t="s">
        <v>1006</v>
      </c>
      <c r="C11124" s="84">
        <v>0.13</v>
      </c>
      <c r="D11124" s="84">
        <v>0.0</v>
      </c>
      <c r="E11124" s="84">
        <v>0.0</v>
      </c>
      <c r="F11124" s="76" t="s">
        <v>996</v>
      </c>
      <c r="G11124" s="83">
        <v>46120.0</v>
      </c>
      <c r="H11124" s="76" t="s">
        <v>938</v>
      </c>
    </row>
    <row r="11125">
      <c r="A11125" s="76" t="s">
        <v>32</v>
      </c>
      <c r="B11125" s="76" t="s">
        <v>1006</v>
      </c>
      <c r="C11125" s="84">
        <v>3.0</v>
      </c>
      <c r="D11125" s="84">
        <v>0.0</v>
      </c>
      <c r="E11125" s="84">
        <v>0.0</v>
      </c>
      <c r="F11125" s="76" t="s">
        <v>996</v>
      </c>
      <c r="G11125" s="83">
        <v>46120.0</v>
      </c>
      <c r="H11125" s="76" t="s">
        <v>941</v>
      </c>
    </row>
    <row r="11126">
      <c r="A11126" s="76" t="s">
        <v>32</v>
      </c>
      <c r="B11126" s="76" t="s">
        <v>1006</v>
      </c>
      <c r="C11126" s="84">
        <v>0.2</v>
      </c>
      <c r="D11126" s="84">
        <v>0.0</v>
      </c>
      <c r="E11126" s="84">
        <v>0.0</v>
      </c>
      <c r="F11126" s="76" t="s">
        <v>996</v>
      </c>
      <c r="G11126" s="83">
        <v>46120.0</v>
      </c>
      <c r="H11126" s="76" t="s">
        <v>942</v>
      </c>
    </row>
    <row r="11127">
      <c r="A11127" s="76" t="s">
        <v>32</v>
      </c>
      <c r="B11127" s="76" t="s">
        <v>1006</v>
      </c>
      <c r="C11127" s="84">
        <v>1.37</v>
      </c>
      <c r="D11127" s="84">
        <v>1.0</v>
      </c>
      <c r="E11127" s="84">
        <v>1.37</v>
      </c>
      <c r="F11127" s="76" t="s">
        <v>996</v>
      </c>
      <c r="G11127" s="83">
        <v>46120.0</v>
      </c>
      <c r="H11127" s="76" t="s">
        <v>943</v>
      </c>
    </row>
    <row r="11128">
      <c r="A11128" s="76" t="s">
        <v>944</v>
      </c>
      <c r="B11128" s="76" t="s">
        <v>1006</v>
      </c>
      <c r="C11128" s="84">
        <v>0.35</v>
      </c>
      <c r="D11128" s="84">
        <v>0.0</v>
      </c>
      <c r="E11128" s="84">
        <v>0.0</v>
      </c>
      <c r="F11128" s="76" t="s">
        <v>996</v>
      </c>
      <c r="G11128" s="83">
        <v>46120.0</v>
      </c>
      <c r="H11128" s="76" t="s">
        <v>945</v>
      </c>
    </row>
    <row r="11129">
      <c r="A11129" s="76" t="s">
        <v>944</v>
      </c>
      <c r="B11129" s="76" t="s">
        <v>1006</v>
      </c>
      <c r="C11129" s="84">
        <v>0.28</v>
      </c>
      <c r="D11129" s="84">
        <v>1.0</v>
      </c>
      <c r="E11129" s="84">
        <v>0.28</v>
      </c>
      <c r="F11129" s="76" t="s">
        <v>996</v>
      </c>
      <c r="G11129" s="83">
        <v>46120.0</v>
      </c>
      <c r="H11129" s="76" t="s">
        <v>946</v>
      </c>
    </row>
    <row r="11130">
      <c r="A11130" s="76" t="s">
        <v>944</v>
      </c>
      <c r="B11130" s="76" t="s">
        <v>1006</v>
      </c>
      <c r="C11130" s="84">
        <v>1.86</v>
      </c>
      <c r="D11130" s="84">
        <v>0.0</v>
      </c>
      <c r="E11130" s="84">
        <v>0.0</v>
      </c>
      <c r="F11130" s="76" t="s">
        <v>996</v>
      </c>
      <c r="G11130" s="83">
        <v>46120.0</v>
      </c>
      <c r="H11130" s="76" t="s">
        <v>947</v>
      </c>
    </row>
    <row r="11131">
      <c r="A11131" s="76" t="s">
        <v>26</v>
      </c>
      <c r="B11131" s="76" t="s">
        <v>1006</v>
      </c>
      <c r="C11131" s="84">
        <v>0.23</v>
      </c>
      <c r="D11131" s="84">
        <v>0.0</v>
      </c>
      <c r="E11131" s="84">
        <v>0.0</v>
      </c>
      <c r="F11131" s="76" t="s">
        <v>996</v>
      </c>
      <c r="G11131" s="83">
        <v>46120.0</v>
      </c>
      <c r="H11131" s="76" t="s">
        <v>1012</v>
      </c>
    </row>
    <row r="11132">
      <c r="A11132" s="76" t="s">
        <v>26</v>
      </c>
      <c r="B11132" s="76" t="s">
        <v>1006</v>
      </c>
      <c r="C11132" s="84">
        <v>0.37</v>
      </c>
      <c r="D11132" s="84">
        <v>0.0</v>
      </c>
      <c r="E11132" s="84">
        <v>0.0</v>
      </c>
      <c r="F11132" s="76" t="s">
        <v>996</v>
      </c>
      <c r="G11132" s="83">
        <v>46120.0</v>
      </c>
      <c r="H11132" s="76" t="s">
        <v>1013</v>
      </c>
    </row>
    <row r="11133">
      <c r="A11133" s="76" t="s">
        <v>26</v>
      </c>
      <c r="B11133" s="76" t="s">
        <v>1006</v>
      </c>
      <c r="C11133" s="84">
        <v>2.81</v>
      </c>
      <c r="D11133" s="84">
        <v>0.0</v>
      </c>
      <c r="E11133" s="84">
        <v>0.0</v>
      </c>
      <c r="F11133" s="76" t="s">
        <v>996</v>
      </c>
      <c r="G11133" s="83">
        <v>46120.0</v>
      </c>
      <c r="H11133" s="76" t="s">
        <v>1014</v>
      </c>
    </row>
    <row r="11134">
      <c r="A11134" s="76" t="s">
        <v>36</v>
      </c>
      <c r="B11134" s="76" t="s">
        <v>1006</v>
      </c>
      <c r="C11134" s="84">
        <v>2.89</v>
      </c>
      <c r="D11134" s="84">
        <v>0.0</v>
      </c>
      <c r="E11134" s="84">
        <v>0.0</v>
      </c>
      <c r="F11134" s="76" t="s">
        <v>997</v>
      </c>
      <c r="G11134" s="83">
        <v>46120.0</v>
      </c>
      <c r="H11134" s="76" t="s">
        <v>926</v>
      </c>
    </row>
    <row r="11135">
      <c r="A11135" s="76" t="s">
        <v>36</v>
      </c>
      <c r="B11135" s="76" t="s">
        <v>1006</v>
      </c>
      <c r="C11135" s="84">
        <v>0.75</v>
      </c>
      <c r="D11135" s="84">
        <v>0.0</v>
      </c>
      <c r="E11135" s="84">
        <v>0.0</v>
      </c>
      <c r="F11135" s="76" t="s">
        <v>997</v>
      </c>
      <c r="G11135" s="83">
        <v>46120.0</v>
      </c>
      <c r="H11135" s="76" t="s">
        <v>927</v>
      </c>
    </row>
    <row r="11136">
      <c r="A11136" s="76" t="s">
        <v>36</v>
      </c>
      <c r="B11136" s="76" t="s">
        <v>1006</v>
      </c>
      <c r="C11136" s="84">
        <v>3.7</v>
      </c>
      <c r="D11136" s="84">
        <v>2.0</v>
      </c>
      <c r="E11136" s="84">
        <v>1.85</v>
      </c>
      <c r="F11136" s="76" t="s">
        <v>997</v>
      </c>
      <c r="G11136" s="83">
        <v>46120.0</v>
      </c>
      <c r="H11136" s="76" t="s">
        <v>928</v>
      </c>
    </row>
    <row r="11137">
      <c r="A11137" s="76" t="s">
        <v>31</v>
      </c>
      <c r="B11137" s="76" t="s">
        <v>1006</v>
      </c>
      <c r="C11137" s="84">
        <v>3.97</v>
      </c>
      <c r="D11137" s="84">
        <v>1.0</v>
      </c>
      <c r="E11137" s="84">
        <v>3.97</v>
      </c>
      <c r="F11137" s="76" t="s">
        <v>997</v>
      </c>
      <c r="G11137" s="83">
        <v>46120.0</v>
      </c>
      <c r="H11137" s="76" t="s">
        <v>929</v>
      </c>
    </row>
    <row r="11138">
      <c r="A11138" s="76" t="s">
        <v>31</v>
      </c>
      <c r="B11138" s="76" t="s">
        <v>1006</v>
      </c>
      <c r="C11138" s="84">
        <v>188.46</v>
      </c>
      <c r="D11138" s="84">
        <v>53.0</v>
      </c>
      <c r="E11138" s="84">
        <v>3.56</v>
      </c>
      <c r="F11138" s="76" t="s">
        <v>997</v>
      </c>
      <c r="G11138" s="83">
        <v>46120.0</v>
      </c>
      <c r="H11138" s="76" t="s">
        <v>930</v>
      </c>
    </row>
    <row r="11139">
      <c r="A11139" s="76" t="s">
        <v>28</v>
      </c>
      <c r="B11139" s="76" t="s">
        <v>1006</v>
      </c>
      <c r="C11139" s="84">
        <v>1.47</v>
      </c>
      <c r="D11139" s="84">
        <v>0.0</v>
      </c>
      <c r="E11139" s="84">
        <v>0.0</v>
      </c>
      <c r="F11139" s="76" t="s">
        <v>997</v>
      </c>
      <c r="G11139" s="83">
        <v>46120.0</v>
      </c>
      <c r="H11139" s="76" t="s">
        <v>931</v>
      </c>
    </row>
    <row r="11140">
      <c r="A11140" s="76" t="s">
        <v>28</v>
      </c>
      <c r="B11140" s="76" t="s">
        <v>1006</v>
      </c>
      <c r="C11140" s="84">
        <v>1.29</v>
      </c>
      <c r="D11140" s="84">
        <v>0.0</v>
      </c>
      <c r="E11140" s="84">
        <v>0.0</v>
      </c>
      <c r="F11140" s="76" t="s">
        <v>997</v>
      </c>
      <c r="G11140" s="83">
        <v>46120.0</v>
      </c>
      <c r="H11140" s="76" t="s">
        <v>932</v>
      </c>
    </row>
    <row r="11141">
      <c r="A11141" s="76" t="s">
        <v>28</v>
      </c>
      <c r="B11141" s="76" t="s">
        <v>1006</v>
      </c>
      <c r="C11141" s="84">
        <v>12.33</v>
      </c>
      <c r="D11141" s="84">
        <v>3.0</v>
      </c>
      <c r="E11141" s="84">
        <v>4.11</v>
      </c>
      <c r="F11141" s="76" t="s">
        <v>997</v>
      </c>
      <c r="G11141" s="83">
        <v>46120.0</v>
      </c>
      <c r="H11141" s="76" t="s">
        <v>933</v>
      </c>
    </row>
    <row r="11142">
      <c r="A11142" s="76" t="s">
        <v>45</v>
      </c>
      <c r="B11142" s="76" t="s">
        <v>1006</v>
      </c>
      <c r="C11142" s="84">
        <v>0.89</v>
      </c>
      <c r="D11142" s="84">
        <v>0.0</v>
      </c>
      <c r="E11142" s="84">
        <v>0.0</v>
      </c>
      <c r="F11142" s="76" t="s">
        <v>997</v>
      </c>
      <c r="G11142" s="83">
        <v>46120.0</v>
      </c>
      <c r="H11142" s="76" t="s">
        <v>936</v>
      </c>
    </row>
    <row r="11143">
      <c r="A11143" s="76" t="s">
        <v>45</v>
      </c>
      <c r="B11143" s="76" t="s">
        <v>1006</v>
      </c>
      <c r="C11143" s="84">
        <v>4.04</v>
      </c>
      <c r="D11143" s="84">
        <v>1.0</v>
      </c>
      <c r="E11143" s="84">
        <v>4.04</v>
      </c>
      <c r="F11143" s="76" t="s">
        <v>997</v>
      </c>
      <c r="G11143" s="83">
        <v>46120.0</v>
      </c>
      <c r="H11143" s="76" t="s">
        <v>937</v>
      </c>
    </row>
    <row r="11144">
      <c r="A11144" s="76" t="s">
        <v>45</v>
      </c>
      <c r="B11144" s="76" t="s">
        <v>1006</v>
      </c>
      <c r="C11144" s="84">
        <v>0.62</v>
      </c>
      <c r="D11144" s="84">
        <v>0.0</v>
      </c>
      <c r="E11144" s="84">
        <v>0.0</v>
      </c>
      <c r="F11144" s="76" t="s">
        <v>997</v>
      </c>
      <c r="G11144" s="83">
        <v>46120.0</v>
      </c>
      <c r="H11144" s="76" t="s">
        <v>938</v>
      </c>
    </row>
    <row r="11145">
      <c r="A11145" s="76" t="s">
        <v>32</v>
      </c>
      <c r="B11145" s="76" t="s">
        <v>1006</v>
      </c>
      <c r="C11145" s="84">
        <v>51.42</v>
      </c>
      <c r="D11145" s="84">
        <v>15.0</v>
      </c>
      <c r="E11145" s="84">
        <v>3.43</v>
      </c>
      <c r="F11145" s="76" t="s">
        <v>997</v>
      </c>
      <c r="G11145" s="83">
        <v>46120.0</v>
      </c>
      <c r="H11145" s="76" t="s">
        <v>941</v>
      </c>
    </row>
    <row r="11146">
      <c r="A11146" s="76" t="s">
        <v>32</v>
      </c>
      <c r="B11146" s="76" t="s">
        <v>1006</v>
      </c>
      <c r="C11146" s="84">
        <v>1.17</v>
      </c>
      <c r="D11146" s="84">
        <v>0.0</v>
      </c>
      <c r="E11146" s="84">
        <v>0.0</v>
      </c>
      <c r="F11146" s="76" t="s">
        <v>997</v>
      </c>
      <c r="G11146" s="83">
        <v>46120.0</v>
      </c>
      <c r="H11146" s="76" t="s">
        <v>942</v>
      </c>
    </row>
    <row r="11147">
      <c r="A11147" s="76" t="s">
        <v>32</v>
      </c>
      <c r="B11147" s="76" t="s">
        <v>1006</v>
      </c>
      <c r="C11147" s="84">
        <v>17.19</v>
      </c>
      <c r="D11147" s="84">
        <v>1.0</v>
      </c>
      <c r="E11147" s="84">
        <v>17.19</v>
      </c>
      <c r="F11147" s="76" t="s">
        <v>997</v>
      </c>
      <c r="G11147" s="83">
        <v>46120.0</v>
      </c>
      <c r="H11147" s="76" t="s">
        <v>943</v>
      </c>
    </row>
    <row r="11148">
      <c r="A11148" s="76" t="s">
        <v>944</v>
      </c>
      <c r="B11148" s="76" t="s">
        <v>1006</v>
      </c>
      <c r="C11148" s="84">
        <v>2.05</v>
      </c>
      <c r="D11148" s="84">
        <v>0.0</v>
      </c>
      <c r="E11148" s="84">
        <v>0.0</v>
      </c>
      <c r="F11148" s="76" t="s">
        <v>997</v>
      </c>
      <c r="G11148" s="83">
        <v>46120.0</v>
      </c>
      <c r="H11148" s="76" t="s">
        <v>945</v>
      </c>
    </row>
    <row r="11149">
      <c r="A11149" s="76" t="s">
        <v>944</v>
      </c>
      <c r="B11149" s="76" t="s">
        <v>1006</v>
      </c>
      <c r="C11149" s="84">
        <v>1.36</v>
      </c>
      <c r="D11149" s="84">
        <v>0.0</v>
      </c>
      <c r="E11149" s="84">
        <v>0.0</v>
      </c>
      <c r="F11149" s="76" t="s">
        <v>997</v>
      </c>
      <c r="G11149" s="83">
        <v>46120.0</v>
      </c>
      <c r="H11149" s="76" t="s">
        <v>946</v>
      </c>
    </row>
    <row r="11150">
      <c r="A11150" s="76" t="s">
        <v>944</v>
      </c>
      <c r="B11150" s="76" t="s">
        <v>1006</v>
      </c>
      <c r="C11150" s="84">
        <v>13.51</v>
      </c>
      <c r="D11150" s="84">
        <v>4.0</v>
      </c>
      <c r="E11150" s="84">
        <v>3.38</v>
      </c>
      <c r="F11150" s="76" t="s">
        <v>997</v>
      </c>
      <c r="G11150" s="83">
        <v>46120.0</v>
      </c>
      <c r="H11150" s="76" t="s">
        <v>947</v>
      </c>
    </row>
    <row r="11151">
      <c r="A11151" s="76" t="s">
        <v>26</v>
      </c>
      <c r="B11151" s="76" t="s">
        <v>1006</v>
      </c>
      <c r="C11151" s="84">
        <v>1.45</v>
      </c>
      <c r="D11151" s="84">
        <v>0.0</v>
      </c>
      <c r="E11151" s="84">
        <v>0.0</v>
      </c>
      <c r="F11151" s="76" t="s">
        <v>997</v>
      </c>
      <c r="G11151" s="83">
        <v>46120.0</v>
      </c>
      <c r="H11151" s="76" t="s">
        <v>1012</v>
      </c>
    </row>
    <row r="11152">
      <c r="A11152" s="76" t="s">
        <v>26</v>
      </c>
      <c r="B11152" s="76" t="s">
        <v>1006</v>
      </c>
      <c r="C11152" s="84">
        <v>1.39</v>
      </c>
      <c r="D11152" s="84">
        <v>0.0</v>
      </c>
      <c r="E11152" s="84">
        <v>0.0</v>
      </c>
      <c r="F11152" s="76" t="s">
        <v>997</v>
      </c>
      <c r="G11152" s="83">
        <v>46120.0</v>
      </c>
      <c r="H11152" s="76" t="s">
        <v>1013</v>
      </c>
    </row>
    <row r="11153">
      <c r="A11153" s="76" t="s">
        <v>26</v>
      </c>
      <c r="B11153" s="76" t="s">
        <v>1006</v>
      </c>
      <c r="C11153" s="84">
        <v>27.66</v>
      </c>
      <c r="D11153" s="84">
        <v>7.0</v>
      </c>
      <c r="E11153" s="84">
        <v>3.95</v>
      </c>
      <c r="F11153" s="76" t="s">
        <v>997</v>
      </c>
      <c r="G11153" s="83">
        <v>46120.0</v>
      </c>
      <c r="H11153" s="76" t="s">
        <v>1014</v>
      </c>
    </row>
    <row r="11154">
      <c r="A11154" s="76" t="s">
        <v>36</v>
      </c>
      <c r="B11154" s="76" t="s">
        <v>1006</v>
      </c>
      <c r="C11154" s="84">
        <v>1.87</v>
      </c>
      <c r="D11154" s="84">
        <v>1.0</v>
      </c>
      <c r="E11154" s="84">
        <v>1.87</v>
      </c>
      <c r="F11154" s="76" t="s">
        <v>998</v>
      </c>
      <c r="G11154" s="83">
        <v>46120.0</v>
      </c>
      <c r="H11154" s="76" t="s">
        <v>926</v>
      </c>
    </row>
    <row r="11155">
      <c r="A11155" s="76" t="s">
        <v>36</v>
      </c>
      <c r="B11155" s="76" t="s">
        <v>1006</v>
      </c>
      <c r="C11155" s="84">
        <v>0.17</v>
      </c>
      <c r="D11155" s="84">
        <v>0.0</v>
      </c>
      <c r="E11155" s="84">
        <v>0.0</v>
      </c>
      <c r="F11155" s="76" t="s">
        <v>998</v>
      </c>
      <c r="G11155" s="83">
        <v>46120.0</v>
      </c>
      <c r="H11155" s="76" t="s">
        <v>927</v>
      </c>
    </row>
    <row r="11156">
      <c r="A11156" s="76" t="s">
        <v>36</v>
      </c>
      <c r="B11156" s="76" t="s">
        <v>1006</v>
      </c>
      <c r="C11156" s="84">
        <v>0.91</v>
      </c>
      <c r="D11156" s="84">
        <v>1.0</v>
      </c>
      <c r="E11156" s="84">
        <v>0.91</v>
      </c>
      <c r="F11156" s="76" t="s">
        <v>998</v>
      </c>
      <c r="G11156" s="83">
        <v>46120.0</v>
      </c>
      <c r="H11156" s="76" t="s">
        <v>928</v>
      </c>
    </row>
    <row r="11157">
      <c r="A11157" s="76" t="s">
        <v>31</v>
      </c>
      <c r="B11157" s="76" t="s">
        <v>1006</v>
      </c>
      <c r="C11157" s="84">
        <v>1.08</v>
      </c>
      <c r="D11157" s="84">
        <v>1.0</v>
      </c>
      <c r="E11157" s="84">
        <v>1.08</v>
      </c>
      <c r="F11157" s="76" t="s">
        <v>998</v>
      </c>
      <c r="G11157" s="83">
        <v>46120.0</v>
      </c>
      <c r="H11157" s="76" t="s">
        <v>929</v>
      </c>
    </row>
    <row r="11158">
      <c r="A11158" s="76" t="s">
        <v>31</v>
      </c>
      <c r="B11158" s="76" t="s">
        <v>1006</v>
      </c>
      <c r="C11158" s="84">
        <v>24.51</v>
      </c>
      <c r="D11158" s="84">
        <v>5.0</v>
      </c>
      <c r="E11158" s="84">
        <v>4.9</v>
      </c>
      <c r="F11158" s="76" t="s">
        <v>998</v>
      </c>
      <c r="G11158" s="83">
        <v>46120.0</v>
      </c>
      <c r="H11158" s="76" t="s">
        <v>930</v>
      </c>
    </row>
    <row r="11159">
      <c r="A11159" s="76" t="s">
        <v>28</v>
      </c>
      <c r="B11159" s="76" t="s">
        <v>1006</v>
      </c>
      <c r="C11159" s="84">
        <v>0.59</v>
      </c>
      <c r="D11159" s="84">
        <v>0.0</v>
      </c>
      <c r="E11159" s="84">
        <v>0.0</v>
      </c>
      <c r="F11159" s="76" t="s">
        <v>998</v>
      </c>
      <c r="G11159" s="83">
        <v>46120.0</v>
      </c>
      <c r="H11159" s="76" t="s">
        <v>931</v>
      </c>
    </row>
    <row r="11160">
      <c r="A11160" s="76" t="s">
        <v>28</v>
      </c>
      <c r="B11160" s="76" t="s">
        <v>1006</v>
      </c>
      <c r="C11160" s="84">
        <v>0.36</v>
      </c>
      <c r="D11160" s="84">
        <v>1.0</v>
      </c>
      <c r="E11160" s="84">
        <v>0.36</v>
      </c>
      <c r="F11160" s="76" t="s">
        <v>998</v>
      </c>
      <c r="G11160" s="83">
        <v>46120.0</v>
      </c>
      <c r="H11160" s="76" t="s">
        <v>932</v>
      </c>
    </row>
    <row r="11161">
      <c r="A11161" s="76" t="s">
        <v>28</v>
      </c>
      <c r="B11161" s="76" t="s">
        <v>1006</v>
      </c>
      <c r="C11161" s="84">
        <v>5.62</v>
      </c>
      <c r="D11161" s="84">
        <v>2.0</v>
      </c>
      <c r="E11161" s="84">
        <v>2.81</v>
      </c>
      <c r="F11161" s="76" t="s">
        <v>998</v>
      </c>
      <c r="G11161" s="83">
        <v>46120.0</v>
      </c>
      <c r="H11161" s="76" t="s">
        <v>933</v>
      </c>
    </row>
    <row r="11162">
      <c r="A11162" s="76" t="s">
        <v>45</v>
      </c>
      <c r="B11162" s="76" t="s">
        <v>1006</v>
      </c>
      <c r="C11162" s="84">
        <v>0.33</v>
      </c>
      <c r="D11162" s="84">
        <v>0.0</v>
      </c>
      <c r="E11162" s="84">
        <v>0.0</v>
      </c>
      <c r="F11162" s="76" t="s">
        <v>998</v>
      </c>
      <c r="G11162" s="83">
        <v>46120.0</v>
      </c>
      <c r="H11162" s="76" t="s">
        <v>936</v>
      </c>
    </row>
    <row r="11163">
      <c r="A11163" s="76" t="s">
        <v>45</v>
      </c>
      <c r="B11163" s="76" t="s">
        <v>1006</v>
      </c>
      <c r="C11163" s="84">
        <v>0.88</v>
      </c>
      <c r="D11163" s="84">
        <v>0.0</v>
      </c>
      <c r="E11163" s="84">
        <v>0.0</v>
      </c>
      <c r="F11163" s="76" t="s">
        <v>998</v>
      </c>
      <c r="G11163" s="83">
        <v>46120.0</v>
      </c>
      <c r="H11163" s="76" t="s">
        <v>937</v>
      </c>
    </row>
    <row r="11164">
      <c r="A11164" s="76" t="s">
        <v>45</v>
      </c>
      <c r="B11164" s="76" t="s">
        <v>1006</v>
      </c>
      <c r="C11164" s="84">
        <v>0.17</v>
      </c>
      <c r="D11164" s="84">
        <v>0.0</v>
      </c>
      <c r="E11164" s="84">
        <v>0.0</v>
      </c>
      <c r="F11164" s="76" t="s">
        <v>998</v>
      </c>
      <c r="G11164" s="83">
        <v>46120.0</v>
      </c>
      <c r="H11164" s="76" t="s">
        <v>938</v>
      </c>
    </row>
    <row r="11165">
      <c r="A11165" s="76" t="s">
        <v>32</v>
      </c>
      <c r="B11165" s="76" t="s">
        <v>1006</v>
      </c>
      <c r="C11165" s="84">
        <v>18.64</v>
      </c>
      <c r="D11165" s="84">
        <v>5.0</v>
      </c>
      <c r="E11165" s="84">
        <v>3.73</v>
      </c>
      <c r="F11165" s="76" t="s">
        <v>998</v>
      </c>
      <c r="G11165" s="83">
        <v>46120.0</v>
      </c>
      <c r="H11165" s="76" t="s">
        <v>941</v>
      </c>
    </row>
    <row r="11166">
      <c r="A11166" s="76" t="s">
        <v>32</v>
      </c>
      <c r="B11166" s="76" t="s">
        <v>1006</v>
      </c>
      <c r="C11166" s="84">
        <v>0.41</v>
      </c>
      <c r="D11166" s="84">
        <v>0.0</v>
      </c>
      <c r="E11166" s="84">
        <v>0.0</v>
      </c>
      <c r="F11166" s="76" t="s">
        <v>998</v>
      </c>
      <c r="G11166" s="83">
        <v>46120.0</v>
      </c>
      <c r="H11166" s="76" t="s">
        <v>942</v>
      </c>
    </row>
    <row r="11167">
      <c r="A11167" s="76" t="s">
        <v>32</v>
      </c>
      <c r="B11167" s="76" t="s">
        <v>1006</v>
      </c>
      <c r="C11167" s="84">
        <v>2.76</v>
      </c>
      <c r="D11167" s="84">
        <v>0.0</v>
      </c>
      <c r="E11167" s="84">
        <v>0.0</v>
      </c>
      <c r="F11167" s="76" t="s">
        <v>998</v>
      </c>
      <c r="G11167" s="83">
        <v>46120.0</v>
      </c>
      <c r="H11167" s="76" t="s">
        <v>943</v>
      </c>
    </row>
    <row r="11168">
      <c r="A11168" s="76" t="s">
        <v>944</v>
      </c>
      <c r="B11168" s="76" t="s">
        <v>1006</v>
      </c>
      <c r="C11168" s="84">
        <v>1.65</v>
      </c>
      <c r="D11168" s="84">
        <v>0.0</v>
      </c>
      <c r="E11168" s="84">
        <v>0.0</v>
      </c>
      <c r="F11168" s="76" t="s">
        <v>998</v>
      </c>
      <c r="G11168" s="83">
        <v>46120.0</v>
      </c>
      <c r="H11168" s="76" t="s">
        <v>945</v>
      </c>
    </row>
    <row r="11169">
      <c r="A11169" s="76" t="s">
        <v>944</v>
      </c>
      <c r="B11169" s="76" t="s">
        <v>1006</v>
      </c>
      <c r="C11169" s="84">
        <v>0.62</v>
      </c>
      <c r="D11169" s="84">
        <v>1.0</v>
      </c>
      <c r="E11169" s="84">
        <v>0.62</v>
      </c>
      <c r="F11169" s="76" t="s">
        <v>998</v>
      </c>
      <c r="G11169" s="83">
        <v>46120.0</v>
      </c>
      <c r="H11169" s="76" t="s">
        <v>946</v>
      </c>
    </row>
    <row r="11170">
      <c r="A11170" s="76" t="s">
        <v>944</v>
      </c>
      <c r="B11170" s="76" t="s">
        <v>1006</v>
      </c>
      <c r="C11170" s="84">
        <v>22.4</v>
      </c>
      <c r="D11170" s="84">
        <v>3.0</v>
      </c>
      <c r="E11170" s="84">
        <v>7.47</v>
      </c>
      <c r="F11170" s="76" t="s">
        <v>998</v>
      </c>
      <c r="G11170" s="83">
        <v>46120.0</v>
      </c>
      <c r="H11170" s="76" t="s">
        <v>947</v>
      </c>
    </row>
    <row r="11171">
      <c r="A11171" s="76" t="s">
        <v>26</v>
      </c>
      <c r="B11171" s="76" t="s">
        <v>1006</v>
      </c>
      <c r="C11171" s="84">
        <v>0.48</v>
      </c>
      <c r="D11171" s="84">
        <v>0.0</v>
      </c>
      <c r="E11171" s="84">
        <v>0.0</v>
      </c>
      <c r="F11171" s="76" t="s">
        <v>998</v>
      </c>
      <c r="G11171" s="83">
        <v>46120.0</v>
      </c>
      <c r="H11171" s="76" t="s">
        <v>1012</v>
      </c>
    </row>
    <row r="11172">
      <c r="A11172" s="76" t="s">
        <v>26</v>
      </c>
      <c r="B11172" s="76" t="s">
        <v>1006</v>
      </c>
      <c r="C11172" s="84">
        <v>0.79</v>
      </c>
      <c r="D11172" s="84">
        <v>0.0</v>
      </c>
      <c r="E11172" s="84">
        <v>0.0</v>
      </c>
      <c r="F11172" s="76" t="s">
        <v>998</v>
      </c>
      <c r="G11172" s="83">
        <v>46120.0</v>
      </c>
      <c r="H11172" s="76" t="s">
        <v>1013</v>
      </c>
    </row>
    <row r="11173">
      <c r="A11173" s="76" t="s">
        <v>26</v>
      </c>
      <c r="B11173" s="76" t="s">
        <v>1006</v>
      </c>
      <c r="C11173" s="84">
        <v>7.24</v>
      </c>
      <c r="D11173" s="84">
        <v>1.0</v>
      </c>
      <c r="E11173" s="84">
        <v>7.24</v>
      </c>
      <c r="F11173" s="76" t="s">
        <v>998</v>
      </c>
      <c r="G11173" s="83">
        <v>46120.0</v>
      </c>
      <c r="H11173" s="76" t="s">
        <v>1014</v>
      </c>
    </row>
    <row r="11174">
      <c r="A11174" s="76" t="s">
        <v>40</v>
      </c>
      <c r="B11174" s="76" t="s">
        <v>1039</v>
      </c>
      <c r="C11174" s="84">
        <v>27.5</v>
      </c>
      <c r="D11174" s="84">
        <v>4.0</v>
      </c>
      <c r="E11174" s="84">
        <v>6.87</v>
      </c>
      <c r="F11174" s="76" t="s">
        <v>1005</v>
      </c>
      <c r="G11174" s="83">
        <v>46120.0</v>
      </c>
      <c r="H11174" s="76" t="s">
        <v>954</v>
      </c>
    </row>
    <row r="11175">
      <c r="A11175" s="76" t="s">
        <v>40</v>
      </c>
      <c r="B11175" s="76" t="s">
        <v>1039</v>
      </c>
      <c r="C11175" s="84">
        <v>7.91</v>
      </c>
      <c r="D11175" s="84">
        <v>0.0</v>
      </c>
      <c r="E11175" s="84">
        <v>0.0</v>
      </c>
      <c r="F11175" s="76" t="s">
        <v>1005</v>
      </c>
      <c r="G11175" s="83">
        <v>46120.0</v>
      </c>
      <c r="H11175" s="76" t="s">
        <v>955</v>
      </c>
    </row>
    <row r="11176">
      <c r="A11176" s="76" t="s">
        <v>40</v>
      </c>
      <c r="B11176" s="76" t="s">
        <v>1039</v>
      </c>
      <c r="C11176" s="84">
        <v>172.94</v>
      </c>
      <c r="D11176" s="84">
        <v>32.0</v>
      </c>
      <c r="E11176" s="84">
        <v>5.4</v>
      </c>
      <c r="F11176" s="76" t="s">
        <v>1005</v>
      </c>
      <c r="G11176" s="83">
        <v>46120.0</v>
      </c>
      <c r="H11176" s="76" t="s">
        <v>956</v>
      </c>
    </row>
    <row r="11177">
      <c r="A11177" s="76" t="s">
        <v>36</v>
      </c>
      <c r="B11177" s="76" t="s">
        <v>1039</v>
      </c>
      <c r="C11177" s="84">
        <v>63.69</v>
      </c>
      <c r="D11177" s="84">
        <v>16.0</v>
      </c>
      <c r="E11177" s="84">
        <v>3.98</v>
      </c>
      <c r="F11177" s="76" t="s">
        <v>1005</v>
      </c>
      <c r="G11177" s="83">
        <v>46120.0</v>
      </c>
      <c r="H11177" s="76" t="s">
        <v>926</v>
      </c>
    </row>
    <row r="11178">
      <c r="A11178" s="76" t="s">
        <v>36</v>
      </c>
      <c r="B11178" s="76" t="s">
        <v>1039</v>
      </c>
      <c r="C11178" s="84">
        <v>9.53</v>
      </c>
      <c r="D11178" s="84">
        <v>1.0</v>
      </c>
      <c r="E11178" s="84">
        <v>9.53</v>
      </c>
      <c r="F11178" s="76" t="s">
        <v>1005</v>
      </c>
      <c r="G11178" s="83">
        <v>46120.0</v>
      </c>
      <c r="H11178" s="76" t="s">
        <v>927</v>
      </c>
    </row>
    <row r="11179">
      <c r="A11179" s="76" t="s">
        <v>36</v>
      </c>
      <c r="B11179" s="76" t="s">
        <v>1039</v>
      </c>
      <c r="C11179" s="84">
        <v>22.42</v>
      </c>
      <c r="D11179" s="84">
        <v>5.0</v>
      </c>
      <c r="E11179" s="84">
        <v>4.48</v>
      </c>
      <c r="F11179" s="76" t="s">
        <v>1005</v>
      </c>
      <c r="G11179" s="83">
        <v>46120.0</v>
      </c>
      <c r="H11179" s="76" t="s">
        <v>928</v>
      </c>
    </row>
    <row r="11180">
      <c r="A11180" s="76" t="s">
        <v>46</v>
      </c>
      <c r="B11180" s="76" t="s">
        <v>1039</v>
      </c>
      <c r="C11180" s="84">
        <v>6.19</v>
      </c>
      <c r="D11180" s="84">
        <v>2.0</v>
      </c>
      <c r="E11180" s="84">
        <v>3.09</v>
      </c>
      <c r="F11180" s="76" t="s">
        <v>1005</v>
      </c>
      <c r="G11180" s="83">
        <v>46120.0</v>
      </c>
      <c r="H11180" s="76" t="s">
        <v>960</v>
      </c>
    </row>
    <row r="11181">
      <c r="A11181" s="76" t="s">
        <v>46</v>
      </c>
      <c r="B11181" s="76" t="s">
        <v>1039</v>
      </c>
      <c r="C11181" s="84">
        <v>7.93</v>
      </c>
      <c r="D11181" s="84">
        <v>1.0</v>
      </c>
      <c r="E11181" s="84">
        <v>7.93</v>
      </c>
      <c r="F11181" s="76" t="s">
        <v>1005</v>
      </c>
      <c r="G11181" s="83">
        <v>46120.0</v>
      </c>
      <c r="H11181" s="76" t="s">
        <v>961</v>
      </c>
    </row>
    <row r="11182">
      <c r="A11182" s="76" t="s">
        <v>46</v>
      </c>
      <c r="B11182" s="76" t="s">
        <v>1039</v>
      </c>
      <c r="C11182" s="84">
        <v>9.8</v>
      </c>
      <c r="D11182" s="84">
        <v>2.0</v>
      </c>
      <c r="E11182" s="84">
        <v>4.9</v>
      </c>
      <c r="F11182" s="76" t="s">
        <v>1005</v>
      </c>
      <c r="G11182" s="83">
        <v>46120.0</v>
      </c>
      <c r="H11182" s="76" t="s">
        <v>962</v>
      </c>
    </row>
    <row r="11183">
      <c r="A11183" s="76" t="s">
        <v>970</v>
      </c>
      <c r="B11183" s="76" t="s">
        <v>1039</v>
      </c>
      <c r="C11183" s="84">
        <v>36.18</v>
      </c>
      <c r="D11183" s="84">
        <v>4.0</v>
      </c>
      <c r="E11183" s="84">
        <v>9.05</v>
      </c>
      <c r="F11183" s="76" t="s">
        <v>1005</v>
      </c>
      <c r="G11183" s="83">
        <v>46120.0</v>
      </c>
      <c r="H11183" s="76" t="s">
        <v>971</v>
      </c>
    </row>
    <row r="11184">
      <c r="A11184" s="76" t="s">
        <v>970</v>
      </c>
      <c r="B11184" s="76" t="s">
        <v>1039</v>
      </c>
      <c r="C11184" s="84">
        <v>11.66</v>
      </c>
      <c r="D11184" s="84">
        <v>1.0</v>
      </c>
      <c r="E11184" s="84">
        <v>11.66</v>
      </c>
      <c r="F11184" s="76" t="s">
        <v>1005</v>
      </c>
      <c r="G11184" s="83">
        <v>46120.0</v>
      </c>
      <c r="H11184" s="76" t="s">
        <v>972</v>
      </c>
    </row>
    <row r="11185">
      <c r="A11185" s="76" t="s">
        <v>970</v>
      </c>
      <c r="B11185" s="76" t="s">
        <v>1039</v>
      </c>
      <c r="C11185" s="84">
        <v>72.07</v>
      </c>
      <c r="D11185" s="84">
        <v>12.0</v>
      </c>
      <c r="E11185" s="84">
        <v>6.01</v>
      </c>
      <c r="F11185" s="76" t="s">
        <v>1005</v>
      </c>
      <c r="G11185" s="83">
        <v>46120.0</v>
      </c>
      <c r="H11185" s="76" t="s">
        <v>973</v>
      </c>
    </row>
    <row r="11186">
      <c r="A11186" s="76" t="s">
        <v>29</v>
      </c>
      <c r="B11186" s="76" t="s">
        <v>1039</v>
      </c>
      <c r="C11186" s="84">
        <v>38.3</v>
      </c>
      <c r="D11186" s="84">
        <v>8.0</v>
      </c>
      <c r="E11186" s="84">
        <v>4.79</v>
      </c>
      <c r="F11186" s="76" t="s">
        <v>1005</v>
      </c>
      <c r="G11186" s="83">
        <v>46120.0</v>
      </c>
      <c r="H11186" s="76" t="s">
        <v>1015</v>
      </c>
    </row>
    <row r="11187">
      <c r="A11187" s="76" t="s">
        <v>29</v>
      </c>
      <c r="B11187" s="76" t="s">
        <v>1039</v>
      </c>
      <c r="C11187" s="84">
        <v>23.36</v>
      </c>
      <c r="D11187" s="84">
        <v>2.0</v>
      </c>
      <c r="E11187" s="84">
        <v>11.68</v>
      </c>
      <c r="F11187" s="76" t="s">
        <v>1005</v>
      </c>
      <c r="G11187" s="83">
        <v>46120.0</v>
      </c>
      <c r="H11187" s="76" t="s">
        <v>1016</v>
      </c>
    </row>
    <row r="11188">
      <c r="A11188" s="76" t="s">
        <v>29</v>
      </c>
      <c r="B11188" s="76" t="s">
        <v>1039</v>
      </c>
      <c r="C11188" s="84">
        <v>11.73</v>
      </c>
      <c r="D11188" s="84">
        <v>4.0</v>
      </c>
      <c r="E11188" s="84">
        <v>2.93</v>
      </c>
      <c r="F11188" s="76" t="s">
        <v>1005</v>
      </c>
      <c r="G11188" s="83">
        <v>46120.0</v>
      </c>
      <c r="H11188" s="76" t="s">
        <v>1017</v>
      </c>
    </row>
    <row r="11189">
      <c r="A11189" s="76" t="s">
        <v>34</v>
      </c>
      <c r="B11189" s="76" t="s">
        <v>1039</v>
      </c>
      <c r="C11189" s="84">
        <v>27.15</v>
      </c>
      <c r="D11189" s="84">
        <v>5.0</v>
      </c>
      <c r="E11189" s="84">
        <v>5.43</v>
      </c>
      <c r="F11189" s="76" t="s">
        <v>1005</v>
      </c>
      <c r="G11189" s="83">
        <v>46120.0</v>
      </c>
      <c r="H11189" s="76" t="s">
        <v>951</v>
      </c>
    </row>
    <row r="11190">
      <c r="A11190" s="76" t="s">
        <v>34</v>
      </c>
      <c r="B11190" s="76" t="s">
        <v>1039</v>
      </c>
      <c r="C11190" s="84">
        <v>23.43</v>
      </c>
      <c r="D11190" s="84">
        <v>7.0</v>
      </c>
      <c r="E11190" s="84">
        <v>3.35</v>
      </c>
      <c r="F11190" s="76" t="s">
        <v>1005</v>
      </c>
      <c r="G11190" s="83">
        <v>46120.0</v>
      </c>
      <c r="H11190" s="76" t="s">
        <v>952</v>
      </c>
    </row>
    <row r="11191">
      <c r="A11191" s="76" t="s">
        <v>34</v>
      </c>
      <c r="B11191" s="76" t="s">
        <v>1039</v>
      </c>
      <c r="C11191" s="84">
        <v>23.87</v>
      </c>
      <c r="D11191" s="84">
        <v>7.0</v>
      </c>
      <c r="E11191" s="84">
        <v>3.41</v>
      </c>
      <c r="F11191" s="76" t="s">
        <v>1005</v>
      </c>
      <c r="G11191" s="83">
        <v>46120.0</v>
      </c>
      <c r="H11191" s="76" t="s">
        <v>953</v>
      </c>
    </row>
    <row r="11192">
      <c r="A11192" s="76" t="s">
        <v>33</v>
      </c>
      <c r="B11192" s="76" t="s">
        <v>1039</v>
      </c>
      <c r="C11192" s="84">
        <v>320.37</v>
      </c>
      <c r="D11192" s="84">
        <v>44.0</v>
      </c>
      <c r="E11192" s="84">
        <v>7.28</v>
      </c>
      <c r="F11192" s="76" t="s">
        <v>1005</v>
      </c>
      <c r="G11192" s="83">
        <v>46120.0</v>
      </c>
      <c r="H11192" s="76" t="s">
        <v>957</v>
      </c>
    </row>
    <row r="11193">
      <c r="A11193" s="76" t="s">
        <v>33</v>
      </c>
      <c r="B11193" s="76" t="s">
        <v>1039</v>
      </c>
      <c r="C11193" s="84">
        <v>33.66</v>
      </c>
      <c r="D11193" s="84">
        <v>3.0</v>
      </c>
      <c r="E11193" s="84">
        <v>11.22</v>
      </c>
      <c r="F11193" s="76" t="s">
        <v>1005</v>
      </c>
      <c r="G11193" s="83">
        <v>46120.0</v>
      </c>
      <c r="H11193" s="76" t="s">
        <v>958</v>
      </c>
    </row>
    <row r="11194">
      <c r="A11194" s="76" t="s">
        <v>33</v>
      </c>
      <c r="B11194" s="76" t="s">
        <v>1039</v>
      </c>
      <c r="C11194" s="84">
        <v>96.71</v>
      </c>
      <c r="D11194" s="84">
        <v>12.0</v>
      </c>
      <c r="E11194" s="84">
        <v>8.06</v>
      </c>
      <c r="F11194" s="76" t="s">
        <v>1005</v>
      </c>
      <c r="G11194" s="83">
        <v>46120.0</v>
      </c>
      <c r="H11194" s="76" t="s">
        <v>959</v>
      </c>
    </row>
    <row r="11195">
      <c r="A11195" s="76" t="s">
        <v>43</v>
      </c>
      <c r="B11195" s="76" t="s">
        <v>1039</v>
      </c>
      <c r="C11195" s="84">
        <v>17.48</v>
      </c>
      <c r="D11195" s="84">
        <v>6.0</v>
      </c>
      <c r="E11195" s="84">
        <v>2.91</v>
      </c>
      <c r="F11195" s="76" t="s">
        <v>1005</v>
      </c>
      <c r="G11195" s="83">
        <v>46120.0</v>
      </c>
      <c r="H11195" s="76" t="s">
        <v>963</v>
      </c>
    </row>
    <row r="11196">
      <c r="A11196" s="76" t="s">
        <v>43</v>
      </c>
      <c r="B11196" s="76" t="s">
        <v>1039</v>
      </c>
      <c r="C11196" s="84">
        <v>16.6</v>
      </c>
      <c r="D11196" s="84">
        <v>2.0</v>
      </c>
      <c r="E11196" s="84">
        <v>8.3</v>
      </c>
      <c r="F11196" s="76" t="s">
        <v>1005</v>
      </c>
      <c r="G11196" s="83">
        <v>46120.0</v>
      </c>
      <c r="H11196" s="76" t="s">
        <v>964</v>
      </c>
    </row>
    <row r="11197">
      <c r="A11197" s="76" t="s">
        <v>43</v>
      </c>
      <c r="B11197" s="76" t="s">
        <v>1039</v>
      </c>
      <c r="C11197" s="84">
        <v>49.32</v>
      </c>
      <c r="D11197" s="84">
        <v>6.0</v>
      </c>
      <c r="E11197" s="84">
        <v>8.22</v>
      </c>
      <c r="F11197" s="76" t="s">
        <v>1005</v>
      </c>
      <c r="G11197" s="83">
        <v>46120.0</v>
      </c>
      <c r="H11197" s="76" t="s">
        <v>965</v>
      </c>
    </row>
    <row r="11198">
      <c r="A11198" s="76" t="s">
        <v>966</v>
      </c>
      <c r="B11198" s="76" t="s">
        <v>1039</v>
      </c>
      <c r="C11198" s="84">
        <v>42.23</v>
      </c>
      <c r="D11198" s="84">
        <v>12.0</v>
      </c>
      <c r="E11198" s="84">
        <v>3.52</v>
      </c>
      <c r="F11198" s="76" t="s">
        <v>1005</v>
      </c>
      <c r="G11198" s="83">
        <v>46120.0</v>
      </c>
      <c r="H11198" s="76" t="s">
        <v>967</v>
      </c>
    </row>
    <row r="11199">
      <c r="A11199" s="76" t="s">
        <v>966</v>
      </c>
      <c r="B11199" s="76" t="s">
        <v>1039</v>
      </c>
      <c r="C11199" s="84">
        <v>19.67</v>
      </c>
      <c r="D11199" s="84">
        <v>4.0</v>
      </c>
      <c r="E11199" s="84">
        <v>4.92</v>
      </c>
      <c r="F11199" s="76" t="s">
        <v>1005</v>
      </c>
      <c r="G11199" s="83">
        <v>46120.0</v>
      </c>
      <c r="H11199" s="76" t="s">
        <v>968</v>
      </c>
    </row>
    <row r="11200">
      <c r="A11200" s="76" t="s">
        <v>966</v>
      </c>
      <c r="B11200" s="76" t="s">
        <v>1039</v>
      </c>
      <c r="C11200" s="84">
        <v>36.09</v>
      </c>
      <c r="D11200" s="84">
        <v>6.0</v>
      </c>
      <c r="E11200" s="84">
        <v>6.01</v>
      </c>
      <c r="F11200" s="76" t="s">
        <v>1005</v>
      </c>
      <c r="G11200" s="83">
        <v>46120.0</v>
      </c>
      <c r="H11200" s="76" t="s">
        <v>969</v>
      </c>
    </row>
    <row r="11201">
      <c r="A11201" s="76" t="s">
        <v>970</v>
      </c>
      <c r="B11201" s="76" t="s">
        <v>1039</v>
      </c>
      <c r="C11201" s="84">
        <v>2.88</v>
      </c>
      <c r="D11201" s="84">
        <v>0.0</v>
      </c>
      <c r="E11201" s="84">
        <v>0.0</v>
      </c>
      <c r="F11201" s="76" t="s">
        <v>990</v>
      </c>
      <c r="G11201" s="83">
        <v>46120.0</v>
      </c>
      <c r="H11201" s="76" t="s">
        <v>971</v>
      </c>
    </row>
    <row r="11202">
      <c r="A11202" s="76" t="s">
        <v>970</v>
      </c>
      <c r="B11202" s="76" t="s">
        <v>1039</v>
      </c>
      <c r="C11202" s="84">
        <v>1.61</v>
      </c>
      <c r="D11202" s="84">
        <v>1.0</v>
      </c>
      <c r="E11202" s="84">
        <v>1.61</v>
      </c>
      <c r="F11202" s="76" t="s">
        <v>990</v>
      </c>
      <c r="G11202" s="83">
        <v>46120.0</v>
      </c>
      <c r="H11202" s="76" t="s">
        <v>972</v>
      </c>
    </row>
    <row r="11203">
      <c r="A11203" s="76" t="s">
        <v>970</v>
      </c>
      <c r="B11203" s="76" t="s">
        <v>1039</v>
      </c>
      <c r="C11203" s="84">
        <v>17.82</v>
      </c>
      <c r="D11203" s="84">
        <v>3.0</v>
      </c>
      <c r="E11203" s="84">
        <v>5.94</v>
      </c>
      <c r="F11203" s="76" t="s">
        <v>990</v>
      </c>
      <c r="G11203" s="83">
        <v>46120.0</v>
      </c>
      <c r="H11203" s="76" t="s">
        <v>973</v>
      </c>
    </row>
    <row r="11204">
      <c r="A11204" s="76" t="s">
        <v>29</v>
      </c>
      <c r="B11204" s="76" t="s">
        <v>1039</v>
      </c>
      <c r="C11204" s="84">
        <v>2.81</v>
      </c>
      <c r="D11204" s="84">
        <v>0.0</v>
      </c>
      <c r="E11204" s="84">
        <v>0.0</v>
      </c>
      <c r="F11204" s="76" t="s">
        <v>990</v>
      </c>
      <c r="G11204" s="83">
        <v>46120.0</v>
      </c>
      <c r="H11204" s="76" t="s">
        <v>971</v>
      </c>
    </row>
    <row r="11205">
      <c r="A11205" s="76" t="s">
        <v>29</v>
      </c>
      <c r="B11205" s="76" t="s">
        <v>1039</v>
      </c>
      <c r="C11205" s="84">
        <v>1.74</v>
      </c>
      <c r="D11205" s="84">
        <v>1.0</v>
      </c>
      <c r="E11205" s="84">
        <v>1.74</v>
      </c>
      <c r="F11205" s="76" t="s">
        <v>990</v>
      </c>
      <c r="G11205" s="83">
        <v>46120.0</v>
      </c>
      <c r="H11205" s="76" t="s">
        <v>972</v>
      </c>
    </row>
    <row r="11206">
      <c r="A11206" s="76" t="s">
        <v>29</v>
      </c>
      <c r="B11206" s="76" t="s">
        <v>1039</v>
      </c>
      <c r="C11206" s="84">
        <v>17.17</v>
      </c>
      <c r="D11206" s="84">
        <v>3.0</v>
      </c>
      <c r="E11206" s="84">
        <v>5.72</v>
      </c>
      <c r="F11206" s="76" t="s">
        <v>990</v>
      </c>
      <c r="G11206" s="83">
        <v>46120.0</v>
      </c>
      <c r="H11206" s="76" t="s">
        <v>973</v>
      </c>
    </row>
    <row r="11207">
      <c r="A11207" s="76" t="s">
        <v>46</v>
      </c>
      <c r="B11207" s="76" t="s">
        <v>1039</v>
      </c>
      <c r="C11207" s="84">
        <v>0.9</v>
      </c>
      <c r="D11207" s="84">
        <v>0.0</v>
      </c>
      <c r="E11207" s="84">
        <v>0.0</v>
      </c>
      <c r="F11207" s="76" t="s">
        <v>990</v>
      </c>
      <c r="G11207" s="83">
        <v>46120.0</v>
      </c>
      <c r="H11207" s="76" t="s">
        <v>960</v>
      </c>
    </row>
    <row r="11208">
      <c r="A11208" s="76" t="s">
        <v>46</v>
      </c>
      <c r="B11208" s="76" t="s">
        <v>1039</v>
      </c>
      <c r="C11208" s="84">
        <v>0.94</v>
      </c>
      <c r="D11208" s="84">
        <v>0.0</v>
      </c>
      <c r="E11208" s="84">
        <v>0.0</v>
      </c>
      <c r="F11208" s="76" t="s">
        <v>990</v>
      </c>
      <c r="G11208" s="83">
        <v>46120.0</v>
      </c>
      <c r="H11208" s="76" t="s">
        <v>961</v>
      </c>
    </row>
    <row r="11209">
      <c r="A11209" s="76" t="s">
        <v>46</v>
      </c>
      <c r="B11209" s="76" t="s">
        <v>1039</v>
      </c>
      <c r="C11209" s="84">
        <v>1.39</v>
      </c>
      <c r="D11209" s="84">
        <v>0.0</v>
      </c>
      <c r="E11209" s="84">
        <v>0.0</v>
      </c>
      <c r="F11209" s="76" t="s">
        <v>990</v>
      </c>
      <c r="G11209" s="83">
        <v>46120.0</v>
      </c>
      <c r="H11209" s="76" t="s">
        <v>962</v>
      </c>
    </row>
    <row r="11210">
      <c r="A11210" s="76" t="s">
        <v>36</v>
      </c>
      <c r="B11210" s="76" t="s">
        <v>1039</v>
      </c>
      <c r="C11210" s="84">
        <v>17.94</v>
      </c>
      <c r="D11210" s="84">
        <v>4.0</v>
      </c>
      <c r="E11210" s="84">
        <v>4.48</v>
      </c>
      <c r="F11210" s="76" t="s">
        <v>990</v>
      </c>
      <c r="G11210" s="83">
        <v>46120.0</v>
      </c>
      <c r="H11210" s="76" t="s">
        <v>926</v>
      </c>
    </row>
    <row r="11211">
      <c r="A11211" s="76" t="s">
        <v>36</v>
      </c>
      <c r="B11211" s="76" t="s">
        <v>1039</v>
      </c>
      <c r="C11211" s="84">
        <v>1.41</v>
      </c>
      <c r="D11211" s="84">
        <v>0.0</v>
      </c>
      <c r="E11211" s="84">
        <v>0.0</v>
      </c>
      <c r="F11211" s="76" t="s">
        <v>990</v>
      </c>
      <c r="G11211" s="83">
        <v>46120.0</v>
      </c>
      <c r="H11211" s="76" t="s">
        <v>927</v>
      </c>
    </row>
    <row r="11212">
      <c r="A11212" s="76" t="s">
        <v>36</v>
      </c>
      <c r="B11212" s="76" t="s">
        <v>1039</v>
      </c>
      <c r="C11212" s="84">
        <v>4.21</v>
      </c>
      <c r="D11212" s="84">
        <v>1.0</v>
      </c>
      <c r="E11212" s="84">
        <v>4.21</v>
      </c>
      <c r="F11212" s="76" t="s">
        <v>990</v>
      </c>
      <c r="G11212" s="83">
        <v>46120.0</v>
      </c>
      <c r="H11212" s="76" t="s">
        <v>928</v>
      </c>
    </row>
    <row r="11213">
      <c r="A11213" s="76" t="s">
        <v>34</v>
      </c>
      <c r="B11213" s="76" t="s">
        <v>1039</v>
      </c>
      <c r="C11213" s="84">
        <v>3.0</v>
      </c>
      <c r="D11213" s="84">
        <v>0.0</v>
      </c>
      <c r="E11213" s="84">
        <v>0.0</v>
      </c>
      <c r="F11213" s="76" t="s">
        <v>990</v>
      </c>
      <c r="G11213" s="83">
        <v>46120.0</v>
      </c>
      <c r="H11213" s="76" t="s">
        <v>951</v>
      </c>
    </row>
    <row r="11214">
      <c r="A11214" s="76" t="s">
        <v>34</v>
      </c>
      <c r="B11214" s="76" t="s">
        <v>1039</v>
      </c>
      <c r="C11214" s="84">
        <v>5.2</v>
      </c>
      <c r="D11214" s="84">
        <v>1.0</v>
      </c>
      <c r="E11214" s="84">
        <v>5.2</v>
      </c>
      <c r="F11214" s="76" t="s">
        <v>990</v>
      </c>
      <c r="G11214" s="83">
        <v>46120.0</v>
      </c>
      <c r="H11214" s="76" t="s">
        <v>952</v>
      </c>
    </row>
    <row r="11215">
      <c r="A11215" s="76" t="s">
        <v>34</v>
      </c>
      <c r="B11215" s="76" t="s">
        <v>1039</v>
      </c>
      <c r="C11215" s="84">
        <v>5.13</v>
      </c>
      <c r="D11215" s="84">
        <v>2.0</v>
      </c>
      <c r="E11215" s="84">
        <v>2.56</v>
      </c>
      <c r="F11215" s="76" t="s">
        <v>990</v>
      </c>
      <c r="G11215" s="83">
        <v>46120.0</v>
      </c>
      <c r="H11215" s="76" t="s">
        <v>953</v>
      </c>
    </row>
    <row r="11216">
      <c r="A11216" s="76" t="s">
        <v>33</v>
      </c>
      <c r="B11216" s="76" t="s">
        <v>1039</v>
      </c>
      <c r="C11216" s="84">
        <v>30.09</v>
      </c>
      <c r="D11216" s="84">
        <v>5.0</v>
      </c>
      <c r="E11216" s="84">
        <v>6.02</v>
      </c>
      <c r="F11216" s="76" t="s">
        <v>990</v>
      </c>
      <c r="G11216" s="83">
        <v>46120.0</v>
      </c>
      <c r="H11216" s="76" t="s">
        <v>957</v>
      </c>
    </row>
    <row r="11217">
      <c r="A11217" s="76" t="s">
        <v>33</v>
      </c>
      <c r="B11217" s="76" t="s">
        <v>1039</v>
      </c>
      <c r="C11217" s="84">
        <v>2.74</v>
      </c>
      <c r="D11217" s="84">
        <v>3.0</v>
      </c>
      <c r="E11217" s="84">
        <v>0.91</v>
      </c>
      <c r="F11217" s="76" t="s">
        <v>990</v>
      </c>
      <c r="G11217" s="83">
        <v>46120.0</v>
      </c>
      <c r="H11217" s="76" t="s">
        <v>958</v>
      </c>
    </row>
    <row r="11218">
      <c r="A11218" s="76" t="s">
        <v>33</v>
      </c>
      <c r="B11218" s="76" t="s">
        <v>1039</v>
      </c>
      <c r="C11218" s="84">
        <v>7.23</v>
      </c>
      <c r="D11218" s="84">
        <v>1.0</v>
      </c>
      <c r="E11218" s="84">
        <v>7.23</v>
      </c>
      <c r="F11218" s="76" t="s">
        <v>990</v>
      </c>
      <c r="G11218" s="83">
        <v>46120.0</v>
      </c>
      <c r="H11218" s="76" t="s">
        <v>959</v>
      </c>
    </row>
    <row r="11219">
      <c r="A11219" s="76" t="s">
        <v>40</v>
      </c>
      <c r="B11219" s="76" t="s">
        <v>1039</v>
      </c>
      <c r="C11219" s="84">
        <v>3.78</v>
      </c>
      <c r="D11219" s="84">
        <v>0.0</v>
      </c>
      <c r="E11219" s="84">
        <v>0.0</v>
      </c>
      <c r="F11219" s="76" t="s">
        <v>990</v>
      </c>
      <c r="G11219" s="83">
        <v>46120.0</v>
      </c>
      <c r="H11219" s="76" t="s">
        <v>954</v>
      </c>
    </row>
    <row r="11220">
      <c r="A11220" s="76" t="s">
        <v>40</v>
      </c>
      <c r="B11220" s="76" t="s">
        <v>1039</v>
      </c>
      <c r="C11220" s="84">
        <v>1.06</v>
      </c>
      <c r="D11220" s="84">
        <v>0.0</v>
      </c>
      <c r="E11220" s="84">
        <v>0.0</v>
      </c>
      <c r="F11220" s="76" t="s">
        <v>990</v>
      </c>
      <c r="G11220" s="83">
        <v>46120.0</v>
      </c>
      <c r="H11220" s="76" t="s">
        <v>955</v>
      </c>
    </row>
    <row r="11221">
      <c r="A11221" s="76" t="s">
        <v>40</v>
      </c>
      <c r="B11221" s="76" t="s">
        <v>1039</v>
      </c>
      <c r="C11221" s="84">
        <v>16.74</v>
      </c>
      <c r="D11221" s="84">
        <v>0.0</v>
      </c>
      <c r="E11221" s="84">
        <v>0.0</v>
      </c>
      <c r="F11221" s="76" t="s">
        <v>990</v>
      </c>
      <c r="G11221" s="83">
        <v>46120.0</v>
      </c>
      <c r="H11221" s="76" t="s">
        <v>956</v>
      </c>
    </row>
    <row r="11222">
      <c r="A11222" s="76" t="s">
        <v>43</v>
      </c>
      <c r="B11222" s="76" t="s">
        <v>1039</v>
      </c>
      <c r="C11222" s="84">
        <v>2.37</v>
      </c>
      <c r="D11222" s="84">
        <v>0.0</v>
      </c>
      <c r="E11222" s="84">
        <v>0.0</v>
      </c>
      <c r="F11222" s="76" t="s">
        <v>990</v>
      </c>
      <c r="G11222" s="83">
        <v>46120.0</v>
      </c>
      <c r="H11222" s="76" t="s">
        <v>963</v>
      </c>
    </row>
    <row r="11223">
      <c r="A11223" s="76" t="s">
        <v>43</v>
      </c>
      <c r="B11223" s="76" t="s">
        <v>1039</v>
      </c>
      <c r="C11223" s="84">
        <v>3.17</v>
      </c>
      <c r="D11223" s="84">
        <v>0.0</v>
      </c>
      <c r="E11223" s="84">
        <v>0.0</v>
      </c>
      <c r="F11223" s="76" t="s">
        <v>990</v>
      </c>
      <c r="G11223" s="83">
        <v>46120.0</v>
      </c>
      <c r="H11223" s="76" t="s">
        <v>964</v>
      </c>
    </row>
    <row r="11224">
      <c r="A11224" s="76" t="s">
        <v>43</v>
      </c>
      <c r="B11224" s="76" t="s">
        <v>1039</v>
      </c>
      <c r="C11224" s="84">
        <v>11.1</v>
      </c>
      <c r="D11224" s="84">
        <v>3.0</v>
      </c>
      <c r="E11224" s="84">
        <v>3.7</v>
      </c>
      <c r="F11224" s="76" t="s">
        <v>990</v>
      </c>
      <c r="G11224" s="83">
        <v>46120.0</v>
      </c>
      <c r="H11224" s="76" t="s">
        <v>965</v>
      </c>
    </row>
    <row r="11225">
      <c r="A11225" s="76" t="s">
        <v>966</v>
      </c>
      <c r="B11225" s="76" t="s">
        <v>1039</v>
      </c>
      <c r="C11225" s="84">
        <v>11.79</v>
      </c>
      <c r="D11225" s="84">
        <v>1.0</v>
      </c>
      <c r="E11225" s="84">
        <v>11.79</v>
      </c>
      <c r="F11225" s="76" t="s">
        <v>990</v>
      </c>
      <c r="G11225" s="83">
        <v>46120.0</v>
      </c>
      <c r="H11225" s="76" t="s">
        <v>967</v>
      </c>
    </row>
    <row r="11226">
      <c r="A11226" s="76" t="s">
        <v>966</v>
      </c>
      <c r="B11226" s="76" t="s">
        <v>1039</v>
      </c>
      <c r="C11226" s="84">
        <v>1.71</v>
      </c>
      <c r="D11226" s="84">
        <v>1.0</v>
      </c>
      <c r="E11226" s="84">
        <v>1.71</v>
      </c>
      <c r="F11226" s="76" t="s">
        <v>990</v>
      </c>
      <c r="G11226" s="83">
        <v>46120.0</v>
      </c>
      <c r="H11226" s="76" t="s">
        <v>968</v>
      </c>
    </row>
    <row r="11227">
      <c r="A11227" s="76" t="s">
        <v>966</v>
      </c>
      <c r="B11227" s="76" t="s">
        <v>1039</v>
      </c>
      <c r="C11227" s="84">
        <v>6.46</v>
      </c>
      <c r="D11227" s="84">
        <v>1.0</v>
      </c>
      <c r="E11227" s="84">
        <v>6.46</v>
      </c>
      <c r="F11227" s="76" t="s">
        <v>990</v>
      </c>
      <c r="G11227" s="83">
        <v>46120.0</v>
      </c>
      <c r="H11227" s="76" t="s">
        <v>969</v>
      </c>
    </row>
    <row r="11228">
      <c r="A11228" s="76" t="s">
        <v>970</v>
      </c>
      <c r="B11228" s="76" t="s">
        <v>1039</v>
      </c>
      <c r="C11228" s="84">
        <v>8.43</v>
      </c>
      <c r="D11228" s="84">
        <v>3.0</v>
      </c>
      <c r="E11228" s="84">
        <v>2.81</v>
      </c>
      <c r="F11228" s="76" t="s">
        <v>996</v>
      </c>
      <c r="G11228" s="83">
        <v>46120.0</v>
      </c>
      <c r="H11228" s="76" t="s">
        <v>971</v>
      </c>
    </row>
    <row r="11229">
      <c r="A11229" s="76" t="s">
        <v>970</v>
      </c>
      <c r="B11229" s="76" t="s">
        <v>1039</v>
      </c>
      <c r="C11229" s="84">
        <v>4.05</v>
      </c>
      <c r="D11229" s="84">
        <v>0.0</v>
      </c>
      <c r="E11229" s="84">
        <v>0.0</v>
      </c>
      <c r="F11229" s="76" t="s">
        <v>996</v>
      </c>
      <c r="G11229" s="83">
        <v>46120.0</v>
      </c>
      <c r="H11229" s="76" t="s">
        <v>972</v>
      </c>
    </row>
    <row r="11230">
      <c r="A11230" s="76" t="s">
        <v>970</v>
      </c>
      <c r="B11230" s="76" t="s">
        <v>1039</v>
      </c>
      <c r="C11230" s="84">
        <v>16.8</v>
      </c>
      <c r="D11230" s="84">
        <v>3.0</v>
      </c>
      <c r="E11230" s="84">
        <v>5.6</v>
      </c>
      <c r="F11230" s="76" t="s">
        <v>996</v>
      </c>
      <c r="G11230" s="83">
        <v>46120.0</v>
      </c>
      <c r="H11230" s="76" t="s">
        <v>973</v>
      </c>
    </row>
    <row r="11231">
      <c r="A11231" s="76" t="s">
        <v>29</v>
      </c>
      <c r="B11231" s="76" t="s">
        <v>1039</v>
      </c>
      <c r="C11231" s="84">
        <v>8.32</v>
      </c>
      <c r="D11231" s="84">
        <v>1.0</v>
      </c>
      <c r="E11231" s="84">
        <v>8.32</v>
      </c>
      <c r="F11231" s="76" t="s">
        <v>996</v>
      </c>
      <c r="G11231" s="83">
        <v>46120.0</v>
      </c>
      <c r="H11231" s="76" t="s">
        <v>971</v>
      </c>
    </row>
    <row r="11232">
      <c r="A11232" s="76" t="s">
        <v>29</v>
      </c>
      <c r="B11232" s="76" t="s">
        <v>1039</v>
      </c>
      <c r="C11232" s="84">
        <v>3.78</v>
      </c>
      <c r="D11232" s="84">
        <v>0.0</v>
      </c>
      <c r="E11232" s="84">
        <v>0.0</v>
      </c>
      <c r="F11232" s="76" t="s">
        <v>996</v>
      </c>
      <c r="G11232" s="83">
        <v>46120.0</v>
      </c>
      <c r="H11232" s="76" t="s">
        <v>972</v>
      </c>
    </row>
    <row r="11233">
      <c r="A11233" s="76" t="s">
        <v>29</v>
      </c>
      <c r="B11233" s="76" t="s">
        <v>1039</v>
      </c>
      <c r="C11233" s="84">
        <v>17.73</v>
      </c>
      <c r="D11233" s="84">
        <v>2.0</v>
      </c>
      <c r="E11233" s="84">
        <v>8.86</v>
      </c>
      <c r="F11233" s="76" t="s">
        <v>996</v>
      </c>
      <c r="G11233" s="83">
        <v>46120.0</v>
      </c>
      <c r="H11233" s="76" t="s">
        <v>973</v>
      </c>
    </row>
    <row r="11234">
      <c r="A11234" s="76" t="s">
        <v>43</v>
      </c>
      <c r="B11234" s="76" t="s">
        <v>1039</v>
      </c>
      <c r="C11234" s="84">
        <v>5.4</v>
      </c>
      <c r="D11234" s="84">
        <v>0.0</v>
      </c>
      <c r="E11234" s="84">
        <v>0.0</v>
      </c>
      <c r="F11234" s="76" t="s">
        <v>996</v>
      </c>
      <c r="G11234" s="83">
        <v>46120.0</v>
      </c>
      <c r="H11234" s="76" t="s">
        <v>963</v>
      </c>
    </row>
    <row r="11235">
      <c r="A11235" s="76" t="s">
        <v>43</v>
      </c>
      <c r="B11235" s="76" t="s">
        <v>1039</v>
      </c>
      <c r="C11235" s="84">
        <v>5.9</v>
      </c>
      <c r="D11235" s="84">
        <v>0.0</v>
      </c>
      <c r="E11235" s="84">
        <v>0.0</v>
      </c>
      <c r="F11235" s="76" t="s">
        <v>996</v>
      </c>
      <c r="G11235" s="83">
        <v>46120.0</v>
      </c>
      <c r="H11235" s="76" t="s">
        <v>964</v>
      </c>
    </row>
    <row r="11236">
      <c r="A11236" s="76" t="s">
        <v>43</v>
      </c>
      <c r="B11236" s="76" t="s">
        <v>1039</v>
      </c>
      <c r="C11236" s="84">
        <v>13.66</v>
      </c>
      <c r="D11236" s="84">
        <v>1.0</v>
      </c>
      <c r="E11236" s="84">
        <v>13.66</v>
      </c>
      <c r="F11236" s="76" t="s">
        <v>996</v>
      </c>
      <c r="G11236" s="83">
        <v>46120.0</v>
      </c>
      <c r="H11236" s="76" t="s">
        <v>965</v>
      </c>
    </row>
    <row r="11237">
      <c r="A11237" s="76" t="s">
        <v>46</v>
      </c>
      <c r="B11237" s="76" t="s">
        <v>1039</v>
      </c>
      <c r="C11237" s="84">
        <v>1.25</v>
      </c>
      <c r="D11237" s="84">
        <v>0.0</v>
      </c>
      <c r="E11237" s="84">
        <v>0.0</v>
      </c>
      <c r="F11237" s="76" t="s">
        <v>996</v>
      </c>
      <c r="G11237" s="83">
        <v>46120.0</v>
      </c>
      <c r="H11237" s="76" t="s">
        <v>960</v>
      </c>
    </row>
    <row r="11238">
      <c r="A11238" s="76" t="s">
        <v>46</v>
      </c>
      <c r="B11238" s="76" t="s">
        <v>1039</v>
      </c>
      <c r="C11238" s="84">
        <v>2.48</v>
      </c>
      <c r="D11238" s="84">
        <v>1.0</v>
      </c>
      <c r="E11238" s="84">
        <v>2.48</v>
      </c>
      <c r="F11238" s="76" t="s">
        <v>996</v>
      </c>
      <c r="G11238" s="83">
        <v>46120.0</v>
      </c>
      <c r="H11238" s="76" t="s">
        <v>961</v>
      </c>
    </row>
    <row r="11239">
      <c r="A11239" s="76" t="s">
        <v>46</v>
      </c>
      <c r="B11239" s="76" t="s">
        <v>1039</v>
      </c>
      <c r="C11239" s="84">
        <v>3.3</v>
      </c>
      <c r="D11239" s="84">
        <v>0.0</v>
      </c>
      <c r="E11239" s="84">
        <v>0.0</v>
      </c>
      <c r="F11239" s="76" t="s">
        <v>996</v>
      </c>
      <c r="G11239" s="83">
        <v>46120.0</v>
      </c>
      <c r="H11239" s="76" t="s">
        <v>962</v>
      </c>
    </row>
    <row r="11240">
      <c r="A11240" s="76" t="s">
        <v>966</v>
      </c>
      <c r="B11240" s="76" t="s">
        <v>1039</v>
      </c>
      <c r="C11240" s="84">
        <v>22.44</v>
      </c>
      <c r="D11240" s="84">
        <v>1.0</v>
      </c>
      <c r="E11240" s="84">
        <v>22.44</v>
      </c>
      <c r="F11240" s="76" t="s">
        <v>996</v>
      </c>
      <c r="G11240" s="83">
        <v>46120.0</v>
      </c>
      <c r="H11240" s="76" t="s">
        <v>967</v>
      </c>
    </row>
    <row r="11241">
      <c r="A11241" s="76" t="s">
        <v>966</v>
      </c>
      <c r="B11241" s="76" t="s">
        <v>1039</v>
      </c>
      <c r="C11241" s="84">
        <v>4.54</v>
      </c>
      <c r="D11241" s="84">
        <v>2.0</v>
      </c>
      <c r="E11241" s="84">
        <v>2.27</v>
      </c>
      <c r="F11241" s="76" t="s">
        <v>996</v>
      </c>
      <c r="G11241" s="83">
        <v>46120.0</v>
      </c>
      <c r="H11241" s="76" t="s">
        <v>968</v>
      </c>
    </row>
    <row r="11242">
      <c r="A11242" s="76" t="s">
        <v>966</v>
      </c>
      <c r="B11242" s="76" t="s">
        <v>1039</v>
      </c>
      <c r="C11242" s="84">
        <v>14.29</v>
      </c>
      <c r="D11242" s="84">
        <v>1.0</v>
      </c>
      <c r="E11242" s="84">
        <v>14.29</v>
      </c>
      <c r="F11242" s="76" t="s">
        <v>996</v>
      </c>
      <c r="G11242" s="83">
        <v>46120.0</v>
      </c>
      <c r="H11242" s="76" t="s">
        <v>969</v>
      </c>
    </row>
    <row r="11243">
      <c r="A11243" s="76" t="s">
        <v>33</v>
      </c>
      <c r="B11243" s="76" t="s">
        <v>1039</v>
      </c>
      <c r="C11243" s="84">
        <v>70.65</v>
      </c>
      <c r="D11243" s="84">
        <v>7.0</v>
      </c>
      <c r="E11243" s="84">
        <v>10.09</v>
      </c>
      <c r="F11243" s="76" t="s">
        <v>996</v>
      </c>
      <c r="G11243" s="83">
        <v>46120.0</v>
      </c>
      <c r="H11243" s="76" t="s">
        <v>957</v>
      </c>
    </row>
    <row r="11244">
      <c r="A11244" s="76" t="s">
        <v>33</v>
      </c>
      <c r="B11244" s="76" t="s">
        <v>1039</v>
      </c>
      <c r="C11244" s="84">
        <v>7.88</v>
      </c>
      <c r="D11244" s="84">
        <v>0.0</v>
      </c>
      <c r="E11244" s="84">
        <v>0.0</v>
      </c>
      <c r="F11244" s="76" t="s">
        <v>996</v>
      </c>
      <c r="G11244" s="83">
        <v>46120.0</v>
      </c>
      <c r="H11244" s="76" t="s">
        <v>958</v>
      </c>
    </row>
    <row r="11245">
      <c r="A11245" s="76" t="s">
        <v>33</v>
      </c>
      <c r="B11245" s="76" t="s">
        <v>1039</v>
      </c>
      <c r="C11245" s="84">
        <v>25.2</v>
      </c>
      <c r="D11245" s="84">
        <v>2.0</v>
      </c>
      <c r="E11245" s="84">
        <v>12.6</v>
      </c>
      <c r="F11245" s="76" t="s">
        <v>996</v>
      </c>
      <c r="G11245" s="83">
        <v>46120.0</v>
      </c>
      <c r="H11245" s="76" t="s">
        <v>959</v>
      </c>
    </row>
    <row r="11246">
      <c r="A11246" s="76" t="s">
        <v>34</v>
      </c>
      <c r="B11246" s="76" t="s">
        <v>1039</v>
      </c>
      <c r="C11246" s="84">
        <v>6.09</v>
      </c>
      <c r="D11246" s="84">
        <v>3.0</v>
      </c>
      <c r="E11246" s="84">
        <v>2.03</v>
      </c>
      <c r="F11246" s="76" t="s">
        <v>996</v>
      </c>
      <c r="G11246" s="83">
        <v>46120.0</v>
      </c>
      <c r="H11246" s="76" t="s">
        <v>951</v>
      </c>
    </row>
    <row r="11247">
      <c r="A11247" s="76" t="s">
        <v>34</v>
      </c>
      <c r="B11247" s="76" t="s">
        <v>1039</v>
      </c>
      <c r="C11247" s="84">
        <v>9.57</v>
      </c>
      <c r="D11247" s="84">
        <v>2.0</v>
      </c>
      <c r="E11247" s="84">
        <v>4.79</v>
      </c>
      <c r="F11247" s="76" t="s">
        <v>996</v>
      </c>
      <c r="G11247" s="83">
        <v>46120.0</v>
      </c>
      <c r="H11247" s="76" t="s">
        <v>952</v>
      </c>
    </row>
    <row r="11248">
      <c r="A11248" s="76" t="s">
        <v>34</v>
      </c>
      <c r="B11248" s="76" t="s">
        <v>1039</v>
      </c>
      <c r="C11248" s="84">
        <v>7.0</v>
      </c>
      <c r="D11248" s="84">
        <v>3.0</v>
      </c>
      <c r="E11248" s="84">
        <v>2.33</v>
      </c>
      <c r="F11248" s="76" t="s">
        <v>996</v>
      </c>
      <c r="G11248" s="83">
        <v>46120.0</v>
      </c>
      <c r="H11248" s="76" t="s">
        <v>953</v>
      </c>
    </row>
    <row r="11249">
      <c r="A11249" s="76" t="s">
        <v>36</v>
      </c>
      <c r="B11249" s="76" t="s">
        <v>1039</v>
      </c>
      <c r="C11249" s="84">
        <v>18.55</v>
      </c>
      <c r="D11249" s="84">
        <v>2.0</v>
      </c>
      <c r="E11249" s="84">
        <v>9.27</v>
      </c>
      <c r="F11249" s="76" t="s">
        <v>996</v>
      </c>
      <c r="G11249" s="83">
        <v>46120.0</v>
      </c>
      <c r="H11249" s="76" t="s">
        <v>926</v>
      </c>
    </row>
    <row r="11250">
      <c r="A11250" s="76" t="s">
        <v>36</v>
      </c>
      <c r="B11250" s="76" t="s">
        <v>1039</v>
      </c>
      <c r="C11250" s="84">
        <v>1.87</v>
      </c>
      <c r="D11250" s="84">
        <v>0.0</v>
      </c>
      <c r="E11250" s="84">
        <v>0.0</v>
      </c>
      <c r="F11250" s="76" t="s">
        <v>996</v>
      </c>
      <c r="G11250" s="83">
        <v>46120.0</v>
      </c>
      <c r="H11250" s="76" t="s">
        <v>927</v>
      </c>
    </row>
    <row r="11251">
      <c r="A11251" s="76" t="s">
        <v>36</v>
      </c>
      <c r="B11251" s="76" t="s">
        <v>1039</v>
      </c>
      <c r="C11251" s="84">
        <v>8.61</v>
      </c>
      <c r="D11251" s="84">
        <v>2.0</v>
      </c>
      <c r="E11251" s="84">
        <v>4.3</v>
      </c>
      <c r="F11251" s="76" t="s">
        <v>996</v>
      </c>
      <c r="G11251" s="83">
        <v>46120.0</v>
      </c>
      <c r="H11251" s="76" t="s">
        <v>928</v>
      </c>
    </row>
    <row r="11252">
      <c r="A11252" s="76" t="s">
        <v>40</v>
      </c>
      <c r="B11252" s="76" t="s">
        <v>1039</v>
      </c>
      <c r="C11252" s="84">
        <v>6.92</v>
      </c>
      <c r="D11252" s="84">
        <v>0.0</v>
      </c>
      <c r="E11252" s="84">
        <v>0.0</v>
      </c>
      <c r="F11252" s="76" t="s">
        <v>996</v>
      </c>
      <c r="G11252" s="83">
        <v>46120.0</v>
      </c>
      <c r="H11252" s="76" t="s">
        <v>954</v>
      </c>
    </row>
    <row r="11253">
      <c r="A11253" s="76" t="s">
        <v>40</v>
      </c>
      <c r="B11253" s="76" t="s">
        <v>1039</v>
      </c>
      <c r="C11253" s="84">
        <v>2.62</v>
      </c>
      <c r="D11253" s="84">
        <v>1.0</v>
      </c>
      <c r="E11253" s="84">
        <v>2.62</v>
      </c>
      <c r="F11253" s="76" t="s">
        <v>996</v>
      </c>
      <c r="G11253" s="83">
        <v>46120.0</v>
      </c>
      <c r="H11253" s="76" t="s">
        <v>955</v>
      </c>
    </row>
    <row r="11254">
      <c r="A11254" s="76" t="s">
        <v>40</v>
      </c>
      <c r="B11254" s="76" t="s">
        <v>1039</v>
      </c>
      <c r="C11254" s="84">
        <v>26.9</v>
      </c>
      <c r="D11254" s="84">
        <v>4.0</v>
      </c>
      <c r="E11254" s="84">
        <v>6.73</v>
      </c>
      <c r="F11254" s="76" t="s">
        <v>996</v>
      </c>
      <c r="G11254" s="83">
        <v>46120.0</v>
      </c>
      <c r="H11254" s="76" t="s">
        <v>956</v>
      </c>
    </row>
    <row r="11255">
      <c r="A11255" s="76" t="s">
        <v>40</v>
      </c>
      <c r="B11255" s="76" t="s">
        <v>1039</v>
      </c>
      <c r="C11255" s="84">
        <v>0.61</v>
      </c>
      <c r="D11255" s="84">
        <v>0.0</v>
      </c>
      <c r="E11255" s="84">
        <v>0.0</v>
      </c>
      <c r="F11255" s="76" t="s">
        <v>993</v>
      </c>
      <c r="G11255" s="83">
        <v>46120.0</v>
      </c>
      <c r="H11255" s="76" t="s">
        <v>954</v>
      </c>
    </row>
    <row r="11256">
      <c r="A11256" s="76" t="s">
        <v>40</v>
      </c>
      <c r="B11256" s="76" t="s">
        <v>1039</v>
      </c>
      <c r="C11256" s="84">
        <v>0.13</v>
      </c>
      <c r="D11256" s="84">
        <v>0.0</v>
      </c>
      <c r="E11256" s="84">
        <v>0.0</v>
      </c>
      <c r="F11256" s="76" t="s">
        <v>993</v>
      </c>
      <c r="G11256" s="83">
        <v>46120.0</v>
      </c>
      <c r="H11256" s="76" t="s">
        <v>955</v>
      </c>
    </row>
    <row r="11257">
      <c r="A11257" s="76" t="s">
        <v>40</v>
      </c>
      <c r="B11257" s="76" t="s">
        <v>1039</v>
      </c>
      <c r="C11257" s="84">
        <v>2.76</v>
      </c>
      <c r="D11257" s="84">
        <v>1.0</v>
      </c>
      <c r="E11257" s="84">
        <v>2.76</v>
      </c>
      <c r="F11257" s="76" t="s">
        <v>993</v>
      </c>
      <c r="G11257" s="83">
        <v>46120.0</v>
      </c>
      <c r="H11257" s="76" t="s">
        <v>956</v>
      </c>
    </row>
    <row r="11258">
      <c r="A11258" s="76" t="s">
        <v>36</v>
      </c>
      <c r="B11258" s="76" t="s">
        <v>1039</v>
      </c>
      <c r="C11258" s="84">
        <v>1.65</v>
      </c>
      <c r="D11258" s="84">
        <v>0.0</v>
      </c>
      <c r="E11258" s="84">
        <v>0.0</v>
      </c>
      <c r="F11258" s="76" t="s">
        <v>993</v>
      </c>
      <c r="G11258" s="83">
        <v>46120.0</v>
      </c>
      <c r="H11258" s="76" t="s">
        <v>926</v>
      </c>
    </row>
    <row r="11259">
      <c r="A11259" s="76" t="s">
        <v>36</v>
      </c>
      <c r="B11259" s="76" t="s">
        <v>1039</v>
      </c>
      <c r="C11259" s="84">
        <v>0.1</v>
      </c>
      <c r="D11259" s="84">
        <v>0.0</v>
      </c>
      <c r="E11259" s="84">
        <v>0.0</v>
      </c>
      <c r="F11259" s="76" t="s">
        <v>993</v>
      </c>
      <c r="G11259" s="83">
        <v>46120.0</v>
      </c>
      <c r="H11259" s="76" t="s">
        <v>927</v>
      </c>
    </row>
    <row r="11260">
      <c r="A11260" s="76" t="s">
        <v>36</v>
      </c>
      <c r="B11260" s="76" t="s">
        <v>1039</v>
      </c>
      <c r="C11260" s="84">
        <v>0.74</v>
      </c>
      <c r="D11260" s="84">
        <v>0.0</v>
      </c>
      <c r="E11260" s="84">
        <v>0.0</v>
      </c>
      <c r="F11260" s="76" t="s">
        <v>993</v>
      </c>
      <c r="G11260" s="83">
        <v>46120.0</v>
      </c>
      <c r="H11260" s="76" t="s">
        <v>928</v>
      </c>
    </row>
    <row r="11261">
      <c r="A11261" s="76" t="s">
        <v>46</v>
      </c>
      <c r="B11261" s="76" t="s">
        <v>1039</v>
      </c>
      <c r="C11261" s="84">
        <v>0.11</v>
      </c>
      <c r="D11261" s="84">
        <v>0.0</v>
      </c>
      <c r="E11261" s="84">
        <v>0.0</v>
      </c>
      <c r="F11261" s="76" t="s">
        <v>993</v>
      </c>
      <c r="G11261" s="83">
        <v>46120.0</v>
      </c>
      <c r="H11261" s="76" t="s">
        <v>960</v>
      </c>
    </row>
    <row r="11262">
      <c r="A11262" s="76" t="s">
        <v>46</v>
      </c>
      <c r="B11262" s="76" t="s">
        <v>1039</v>
      </c>
      <c r="C11262" s="84">
        <v>0.18</v>
      </c>
      <c r="D11262" s="84">
        <v>0.0</v>
      </c>
      <c r="E11262" s="84">
        <v>0.0</v>
      </c>
      <c r="F11262" s="76" t="s">
        <v>993</v>
      </c>
      <c r="G11262" s="83">
        <v>46120.0</v>
      </c>
      <c r="H11262" s="76" t="s">
        <v>961</v>
      </c>
    </row>
    <row r="11263">
      <c r="A11263" s="76" t="s">
        <v>46</v>
      </c>
      <c r="B11263" s="76" t="s">
        <v>1039</v>
      </c>
      <c r="C11263" s="84">
        <v>0.32</v>
      </c>
      <c r="D11263" s="84">
        <v>0.0</v>
      </c>
      <c r="E11263" s="84">
        <v>0.0</v>
      </c>
      <c r="F11263" s="76" t="s">
        <v>993</v>
      </c>
      <c r="G11263" s="83">
        <v>46120.0</v>
      </c>
      <c r="H11263" s="76" t="s">
        <v>962</v>
      </c>
    </row>
    <row r="11264">
      <c r="A11264" s="76" t="s">
        <v>970</v>
      </c>
      <c r="B11264" s="76" t="s">
        <v>1039</v>
      </c>
      <c r="C11264" s="84">
        <v>0.66</v>
      </c>
      <c r="D11264" s="84">
        <v>0.0</v>
      </c>
      <c r="E11264" s="84">
        <v>0.0</v>
      </c>
      <c r="F11264" s="76" t="s">
        <v>993</v>
      </c>
      <c r="G11264" s="83">
        <v>46120.0</v>
      </c>
      <c r="H11264" s="76" t="s">
        <v>971</v>
      </c>
    </row>
    <row r="11265">
      <c r="A11265" s="76" t="s">
        <v>970</v>
      </c>
      <c r="B11265" s="76" t="s">
        <v>1039</v>
      </c>
      <c r="C11265" s="84">
        <v>0.37</v>
      </c>
      <c r="D11265" s="84">
        <v>0.0</v>
      </c>
      <c r="E11265" s="84">
        <v>0.0</v>
      </c>
      <c r="F11265" s="76" t="s">
        <v>993</v>
      </c>
      <c r="G11265" s="83">
        <v>46120.0</v>
      </c>
      <c r="H11265" s="76" t="s">
        <v>972</v>
      </c>
    </row>
    <row r="11266">
      <c r="A11266" s="76" t="s">
        <v>970</v>
      </c>
      <c r="B11266" s="76" t="s">
        <v>1039</v>
      </c>
      <c r="C11266" s="84">
        <v>2.57</v>
      </c>
      <c r="D11266" s="84">
        <v>0.0</v>
      </c>
      <c r="E11266" s="84">
        <v>0.0</v>
      </c>
      <c r="F11266" s="76" t="s">
        <v>993</v>
      </c>
      <c r="G11266" s="83">
        <v>46120.0</v>
      </c>
      <c r="H11266" s="76" t="s">
        <v>973</v>
      </c>
    </row>
    <row r="11267">
      <c r="A11267" s="76" t="s">
        <v>33</v>
      </c>
      <c r="B11267" s="76" t="s">
        <v>1039</v>
      </c>
      <c r="C11267" s="84">
        <v>4.76</v>
      </c>
      <c r="D11267" s="84">
        <v>0.0</v>
      </c>
      <c r="E11267" s="84">
        <v>0.0</v>
      </c>
      <c r="F11267" s="76" t="s">
        <v>993</v>
      </c>
      <c r="G11267" s="83">
        <v>46120.0</v>
      </c>
      <c r="H11267" s="76" t="s">
        <v>957</v>
      </c>
    </row>
    <row r="11268">
      <c r="A11268" s="76" t="s">
        <v>33</v>
      </c>
      <c r="B11268" s="76" t="s">
        <v>1039</v>
      </c>
      <c r="C11268" s="84">
        <v>0.44</v>
      </c>
      <c r="D11268" s="84">
        <v>0.0</v>
      </c>
      <c r="E11268" s="84">
        <v>0.0</v>
      </c>
      <c r="F11268" s="76" t="s">
        <v>993</v>
      </c>
      <c r="G11268" s="83">
        <v>46120.0</v>
      </c>
      <c r="H11268" s="76" t="s">
        <v>958</v>
      </c>
    </row>
    <row r="11269">
      <c r="A11269" s="76" t="s">
        <v>33</v>
      </c>
      <c r="B11269" s="76" t="s">
        <v>1039</v>
      </c>
      <c r="C11269" s="84">
        <v>2.2</v>
      </c>
      <c r="D11269" s="84">
        <v>2.0</v>
      </c>
      <c r="E11269" s="84">
        <v>1.1</v>
      </c>
      <c r="F11269" s="76" t="s">
        <v>993</v>
      </c>
      <c r="G11269" s="83">
        <v>46120.0</v>
      </c>
      <c r="H11269" s="76" t="s">
        <v>959</v>
      </c>
    </row>
    <row r="11270">
      <c r="A11270" s="76" t="s">
        <v>966</v>
      </c>
      <c r="B11270" s="76" t="s">
        <v>1039</v>
      </c>
      <c r="C11270" s="84">
        <v>2.86</v>
      </c>
      <c r="D11270" s="84">
        <v>0.0</v>
      </c>
      <c r="E11270" s="84">
        <v>0.0</v>
      </c>
      <c r="F11270" s="76" t="s">
        <v>993</v>
      </c>
      <c r="G11270" s="83">
        <v>46120.0</v>
      </c>
      <c r="H11270" s="76" t="s">
        <v>967</v>
      </c>
    </row>
    <row r="11271">
      <c r="A11271" s="76" t="s">
        <v>966</v>
      </c>
      <c r="B11271" s="76" t="s">
        <v>1039</v>
      </c>
      <c r="C11271" s="84">
        <v>0.5</v>
      </c>
      <c r="D11271" s="84">
        <v>0.0</v>
      </c>
      <c r="E11271" s="84">
        <v>0.0</v>
      </c>
      <c r="F11271" s="76" t="s">
        <v>993</v>
      </c>
      <c r="G11271" s="83">
        <v>46120.0</v>
      </c>
      <c r="H11271" s="76" t="s">
        <v>968</v>
      </c>
    </row>
    <row r="11272">
      <c r="A11272" s="76" t="s">
        <v>966</v>
      </c>
      <c r="B11272" s="76" t="s">
        <v>1039</v>
      </c>
      <c r="C11272" s="84">
        <v>1.18</v>
      </c>
      <c r="D11272" s="84">
        <v>0.0</v>
      </c>
      <c r="E11272" s="84">
        <v>0.0</v>
      </c>
      <c r="F11272" s="76" t="s">
        <v>993</v>
      </c>
      <c r="G11272" s="83">
        <v>46120.0</v>
      </c>
      <c r="H11272" s="76" t="s">
        <v>969</v>
      </c>
    </row>
    <row r="11273">
      <c r="A11273" s="76" t="s">
        <v>29</v>
      </c>
      <c r="B11273" s="76" t="s">
        <v>1039</v>
      </c>
      <c r="C11273" s="84">
        <v>1.18</v>
      </c>
      <c r="D11273" s="84">
        <v>0.0</v>
      </c>
      <c r="E11273" s="84">
        <v>0.0</v>
      </c>
      <c r="F11273" s="76" t="s">
        <v>993</v>
      </c>
      <c r="G11273" s="83">
        <v>46120.0</v>
      </c>
      <c r="H11273" s="76" t="s">
        <v>971</v>
      </c>
    </row>
    <row r="11274">
      <c r="A11274" s="76" t="s">
        <v>29</v>
      </c>
      <c r="B11274" s="76" t="s">
        <v>1039</v>
      </c>
      <c r="C11274" s="84">
        <v>0.5</v>
      </c>
      <c r="D11274" s="84">
        <v>0.0</v>
      </c>
      <c r="E11274" s="84">
        <v>0.0</v>
      </c>
      <c r="F11274" s="76" t="s">
        <v>993</v>
      </c>
      <c r="G11274" s="83">
        <v>46120.0</v>
      </c>
      <c r="H11274" s="76" t="s">
        <v>972</v>
      </c>
    </row>
    <row r="11275">
      <c r="A11275" s="76" t="s">
        <v>29</v>
      </c>
      <c r="B11275" s="76" t="s">
        <v>1039</v>
      </c>
      <c r="C11275" s="84">
        <v>3.29</v>
      </c>
      <c r="D11275" s="84">
        <v>0.0</v>
      </c>
      <c r="E11275" s="84">
        <v>0.0</v>
      </c>
      <c r="F11275" s="76" t="s">
        <v>993</v>
      </c>
      <c r="G11275" s="83">
        <v>46120.0</v>
      </c>
      <c r="H11275" s="76" t="s">
        <v>973</v>
      </c>
    </row>
    <row r="11276">
      <c r="A11276" s="76" t="s">
        <v>34</v>
      </c>
      <c r="B11276" s="76" t="s">
        <v>1039</v>
      </c>
      <c r="C11276" s="84">
        <v>0.84</v>
      </c>
      <c r="D11276" s="84">
        <v>0.0</v>
      </c>
      <c r="E11276" s="84">
        <v>0.0</v>
      </c>
      <c r="F11276" s="76" t="s">
        <v>993</v>
      </c>
      <c r="G11276" s="83">
        <v>46120.0</v>
      </c>
      <c r="H11276" s="76" t="s">
        <v>951</v>
      </c>
    </row>
    <row r="11277">
      <c r="A11277" s="76" t="s">
        <v>34</v>
      </c>
      <c r="B11277" s="76" t="s">
        <v>1039</v>
      </c>
      <c r="C11277" s="84">
        <v>1.2</v>
      </c>
      <c r="D11277" s="84">
        <v>0.0</v>
      </c>
      <c r="E11277" s="84">
        <v>0.0</v>
      </c>
      <c r="F11277" s="76" t="s">
        <v>993</v>
      </c>
      <c r="G11277" s="83">
        <v>46120.0</v>
      </c>
      <c r="H11277" s="76" t="s">
        <v>952</v>
      </c>
    </row>
    <row r="11278">
      <c r="A11278" s="76" t="s">
        <v>34</v>
      </c>
      <c r="B11278" s="76" t="s">
        <v>1039</v>
      </c>
      <c r="C11278" s="84">
        <v>1.12</v>
      </c>
      <c r="D11278" s="84">
        <v>0.0</v>
      </c>
      <c r="E11278" s="84">
        <v>0.0</v>
      </c>
      <c r="F11278" s="76" t="s">
        <v>993</v>
      </c>
      <c r="G11278" s="83">
        <v>46120.0</v>
      </c>
      <c r="H11278" s="76" t="s">
        <v>953</v>
      </c>
    </row>
    <row r="11279">
      <c r="A11279" s="76" t="s">
        <v>43</v>
      </c>
      <c r="B11279" s="76" t="s">
        <v>1039</v>
      </c>
      <c r="C11279" s="84">
        <v>0.54</v>
      </c>
      <c r="D11279" s="84">
        <v>0.0</v>
      </c>
      <c r="E11279" s="84">
        <v>0.0</v>
      </c>
      <c r="F11279" s="76" t="s">
        <v>993</v>
      </c>
      <c r="G11279" s="83">
        <v>46120.0</v>
      </c>
      <c r="H11279" s="76" t="s">
        <v>963</v>
      </c>
    </row>
    <row r="11280">
      <c r="A11280" s="76" t="s">
        <v>43</v>
      </c>
      <c r="B11280" s="76" t="s">
        <v>1039</v>
      </c>
      <c r="C11280" s="84">
        <v>0.43</v>
      </c>
      <c r="D11280" s="84">
        <v>0.0</v>
      </c>
      <c r="E11280" s="84">
        <v>0.0</v>
      </c>
      <c r="F11280" s="76" t="s">
        <v>993</v>
      </c>
      <c r="G11280" s="83">
        <v>46120.0</v>
      </c>
      <c r="H11280" s="76" t="s">
        <v>964</v>
      </c>
    </row>
    <row r="11281">
      <c r="A11281" s="76" t="s">
        <v>43</v>
      </c>
      <c r="B11281" s="76" t="s">
        <v>1039</v>
      </c>
      <c r="C11281" s="84">
        <v>1.48</v>
      </c>
      <c r="D11281" s="84">
        <v>1.0</v>
      </c>
      <c r="E11281" s="84">
        <v>1.48</v>
      </c>
      <c r="F11281" s="76" t="s">
        <v>993</v>
      </c>
      <c r="G11281" s="83">
        <v>46120.0</v>
      </c>
      <c r="H11281" s="76" t="s">
        <v>965</v>
      </c>
    </row>
    <row r="11282">
      <c r="A11282" s="76" t="s">
        <v>36</v>
      </c>
      <c r="B11282" s="76" t="s">
        <v>1039</v>
      </c>
      <c r="C11282" s="84">
        <v>3.84</v>
      </c>
      <c r="D11282" s="84">
        <v>0.0</v>
      </c>
      <c r="E11282" s="84">
        <v>0.0</v>
      </c>
      <c r="F11282" s="76" t="s">
        <v>998</v>
      </c>
      <c r="G11282" s="83">
        <v>46120.0</v>
      </c>
      <c r="H11282" s="76" t="s">
        <v>926</v>
      </c>
    </row>
    <row r="11283">
      <c r="A11283" s="76" t="s">
        <v>36</v>
      </c>
      <c r="B11283" s="76" t="s">
        <v>1039</v>
      </c>
      <c r="C11283" s="84">
        <v>0.74</v>
      </c>
      <c r="D11283" s="84">
        <v>0.0</v>
      </c>
      <c r="E11283" s="84">
        <v>0.0</v>
      </c>
      <c r="F11283" s="76" t="s">
        <v>998</v>
      </c>
      <c r="G11283" s="83">
        <v>46120.0</v>
      </c>
      <c r="H11283" s="76" t="s">
        <v>927</v>
      </c>
    </row>
    <row r="11284">
      <c r="A11284" s="76" t="s">
        <v>36</v>
      </c>
      <c r="B11284" s="76" t="s">
        <v>1039</v>
      </c>
      <c r="C11284" s="84">
        <v>1.71</v>
      </c>
      <c r="D11284" s="84">
        <v>0.0</v>
      </c>
      <c r="E11284" s="84">
        <v>0.0</v>
      </c>
      <c r="F11284" s="76" t="s">
        <v>998</v>
      </c>
      <c r="G11284" s="83">
        <v>46120.0</v>
      </c>
      <c r="H11284" s="76" t="s">
        <v>928</v>
      </c>
    </row>
    <row r="11285">
      <c r="A11285" s="76" t="s">
        <v>34</v>
      </c>
      <c r="B11285" s="76" t="s">
        <v>1039</v>
      </c>
      <c r="C11285" s="84">
        <v>2.0</v>
      </c>
      <c r="D11285" s="84">
        <v>1.0</v>
      </c>
      <c r="E11285" s="84">
        <v>2.0</v>
      </c>
      <c r="F11285" s="76" t="s">
        <v>998</v>
      </c>
      <c r="G11285" s="83">
        <v>46120.0</v>
      </c>
      <c r="H11285" s="76" t="s">
        <v>951</v>
      </c>
    </row>
    <row r="11286">
      <c r="A11286" s="76" t="s">
        <v>34</v>
      </c>
      <c r="B11286" s="76" t="s">
        <v>1039</v>
      </c>
      <c r="C11286" s="84">
        <v>2.01</v>
      </c>
      <c r="D11286" s="84">
        <v>1.0</v>
      </c>
      <c r="E11286" s="84">
        <v>2.01</v>
      </c>
      <c r="F11286" s="76" t="s">
        <v>998</v>
      </c>
      <c r="G11286" s="83">
        <v>46120.0</v>
      </c>
      <c r="H11286" s="76" t="s">
        <v>952</v>
      </c>
    </row>
    <row r="11287">
      <c r="A11287" s="76" t="s">
        <v>34</v>
      </c>
      <c r="B11287" s="76" t="s">
        <v>1039</v>
      </c>
      <c r="C11287" s="84">
        <v>2.15</v>
      </c>
      <c r="D11287" s="84">
        <v>0.0</v>
      </c>
      <c r="E11287" s="84">
        <v>0.0</v>
      </c>
      <c r="F11287" s="76" t="s">
        <v>998</v>
      </c>
      <c r="G11287" s="83">
        <v>46120.0</v>
      </c>
      <c r="H11287" s="76" t="s">
        <v>953</v>
      </c>
    </row>
    <row r="11288">
      <c r="A11288" s="76" t="s">
        <v>33</v>
      </c>
      <c r="B11288" s="76" t="s">
        <v>1039</v>
      </c>
      <c r="C11288" s="84">
        <v>8.56</v>
      </c>
      <c r="D11288" s="84">
        <v>2.0</v>
      </c>
      <c r="E11288" s="84">
        <v>4.28</v>
      </c>
      <c r="F11288" s="76" t="s">
        <v>998</v>
      </c>
      <c r="G11288" s="83">
        <v>46120.0</v>
      </c>
      <c r="H11288" s="76" t="s">
        <v>957</v>
      </c>
    </row>
    <row r="11289">
      <c r="A11289" s="76" t="s">
        <v>33</v>
      </c>
      <c r="B11289" s="76" t="s">
        <v>1039</v>
      </c>
      <c r="C11289" s="84">
        <v>2.15</v>
      </c>
      <c r="D11289" s="84">
        <v>0.0</v>
      </c>
      <c r="E11289" s="84">
        <v>0.0</v>
      </c>
      <c r="F11289" s="76" t="s">
        <v>998</v>
      </c>
      <c r="G11289" s="83">
        <v>46120.0</v>
      </c>
      <c r="H11289" s="76" t="s">
        <v>958</v>
      </c>
    </row>
    <row r="11290">
      <c r="A11290" s="76" t="s">
        <v>33</v>
      </c>
      <c r="B11290" s="76" t="s">
        <v>1039</v>
      </c>
      <c r="C11290" s="84">
        <v>3.78</v>
      </c>
      <c r="D11290" s="84">
        <v>1.0</v>
      </c>
      <c r="E11290" s="84">
        <v>3.78</v>
      </c>
      <c r="F11290" s="76" t="s">
        <v>998</v>
      </c>
      <c r="G11290" s="83">
        <v>46120.0</v>
      </c>
      <c r="H11290" s="76" t="s">
        <v>959</v>
      </c>
    </row>
    <row r="11291">
      <c r="A11291" s="76" t="s">
        <v>29</v>
      </c>
      <c r="B11291" s="76" t="s">
        <v>1039</v>
      </c>
      <c r="C11291" s="84">
        <v>1.56</v>
      </c>
      <c r="D11291" s="84">
        <v>1.0</v>
      </c>
      <c r="E11291" s="84">
        <v>1.56</v>
      </c>
      <c r="F11291" s="76" t="s">
        <v>998</v>
      </c>
      <c r="G11291" s="83">
        <v>46120.0</v>
      </c>
      <c r="H11291" s="76" t="s">
        <v>971</v>
      </c>
    </row>
    <row r="11292">
      <c r="A11292" s="76" t="s">
        <v>29</v>
      </c>
      <c r="B11292" s="76" t="s">
        <v>1039</v>
      </c>
      <c r="C11292" s="84">
        <v>0.91</v>
      </c>
      <c r="D11292" s="84">
        <v>1.0</v>
      </c>
      <c r="E11292" s="84">
        <v>0.91</v>
      </c>
      <c r="F11292" s="76" t="s">
        <v>998</v>
      </c>
      <c r="G11292" s="83">
        <v>46120.0</v>
      </c>
      <c r="H11292" s="76" t="s">
        <v>972</v>
      </c>
    </row>
    <row r="11293">
      <c r="A11293" s="76" t="s">
        <v>29</v>
      </c>
      <c r="B11293" s="76" t="s">
        <v>1039</v>
      </c>
      <c r="C11293" s="84">
        <v>4.3</v>
      </c>
      <c r="D11293" s="84">
        <v>1.0</v>
      </c>
      <c r="E11293" s="84">
        <v>4.3</v>
      </c>
      <c r="F11293" s="76" t="s">
        <v>998</v>
      </c>
      <c r="G11293" s="83">
        <v>46120.0</v>
      </c>
      <c r="H11293" s="76" t="s">
        <v>973</v>
      </c>
    </row>
    <row r="11294">
      <c r="A11294" s="76" t="s">
        <v>46</v>
      </c>
      <c r="B11294" s="76" t="s">
        <v>1039</v>
      </c>
      <c r="C11294" s="84">
        <v>0.61</v>
      </c>
      <c r="D11294" s="84">
        <v>0.0</v>
      </c>
      <c r="E11294" s="84">
        <v>0.0</v>
      </c>
      <c r="F11294" s="76" t="s">
        <v>998</v>
      </c>
      <c r="G11294" s="83">
        <v>46120.0</v>
      </c>
      <c r="H11294" s="76" t="s">
        <v>960</v>
      </c>
    </row>
    <row r="11295">
      <c r="A11295" s="76" t="s">
        <v>46</v>
      </c>
      <c r="B11295" s="76" t="s">
        <v>1039</v>
      </c>
      <c r="C11295" s="84">
        <v>1.23</v>
      </c>
      <c r="D11295" s="84">
        <v>0.0</v>
      </c>
      <c r="E11295" s="84">
        <v>0.0</v>
      </c>
      <c r="F11295" s="76" t="s">
        <v>998</v>
      </c>
      <c r="G11295" s="83">
        <v>46120.0</v>
      </c>
      <c r="H11295" s="76" t="s">
        <v>961</v>
      </c>
    </row>
    <row r="11296">
      <c r="A11296" s="76" t="s">
        <v>46</v>
      </c>
      <c r="B11296" s="76" t="s">
        <v>1039</v>
      </c>
      <c r="C11296" s="84">
        <v>1.45</v>
      </c>
      <c r="D11296" s="84">
        <v>0.0</v>
      </c>
      <c r="E11296" s="84">
        <v>0.0</v>
      </c>
      <c r="F11296" s="76" t="s">
        <v>998</v>
      </c>
      <c r="G11296" s="83">
        <v>46120.0</v>
      </c>
      <c r="H11296" s="76" t="s">
        <v>962</v>
      </c>
    </row>
    <row r="11297">
      <c r="A11297" s="76" t="s">
        <v>40</v>
      </c>
      <c r="B11297" s="76" t="s">
        <v>1039</v>
      </c>
      <c r="C11297" s="84">
        <v>2.29</v>
      </c>
      <c r="D11297" s="84">
        <v>0.0</v>
      </c>
      <c r="E11297" s="84">
        <v>0.0</v>
      </c>
      <c r="F11297" s="76" t="s">
        <v>998</v>
      </c>
      <c r="G11297" s="83">
        <v>46120.0</v>
      </c>
      <c r="H11297" s="76" t="s">
        <v>954</v>
      </c>
    </row>
    <row r="11298">
      <c r="A11298" s="76" t="s">
        <v>40</v>
      </c>
      <c r="B11298" s="76" t="s">
        <v>1039</v>
      </c>
      <c r="C11298" s="84">
        <v>0.96</v>
      </c>
      <c r="D11298" s="84">
        <v>0.0</v>
      </c>
      <c r="E11298" s="84">
        <v>0.0</v>
      </c>
      <c r="F11298" s="76" t="s">
        <v>998</v>
      </c>
      <c r="G11298" s="83">
        <v>46120.0</v>
      </c>
      <c r="H11298" s="76" t="s">
        <v>955</v>
      </c>
    </row>
    <row r="11299">
      <c r="A11299" s="76" t="s">
        <v>40</v>
      </c>
      <c r="B11299" s="76" t="s">
        <v>1039</v>
      </c>
      <c r="C11299" s="84">
        <v>4.7</v>
      </c>
      <c r="D11299" s="84">
        <v>1.0</v>
      </c>
      <c r="E11299" s="84">
        <v>4.7</v>
      </c>
      <c r="F11299" s="76" t="s">
        <v>998</v>
      </c>
      <c r="G11299" s="83">
        <v>46120.0</v>
      </c>
      <c r="H11299" s="76" t="s">
        <v>956</v>
      </c>
    </row>
    <row r="11300">
      <c r="A11300" s="76" t="s">
        <v>966</v>
      </c>
      <c r="B11300" s="76" t="s">
        <v>1039</v>
      </c>
      <c r="C11300" s="84">
        <v>3.01</v>
      </c>
      <c r="D11300" s="84">
        <v>0.0</v>
      </c>
      <c r="E11300" s="84">
        <v>0.0</v>
      </c>
      <c r="F11300" s="76" t="s">
        <v>998</v>
      </c>
      <c r="G11300" s="83">
        <v>46120.0</v>
      </c>
      <c r="H11300" s="76" t="s">
        <v>967</v>
      </c>
    </row>
    <row r="11301">
      <c r="A11301" s="76" t="s">
        <v>966</v>
      </c>
      <c r="B11301" s="76" t="s">
        <v>1039</v>
      </c>
      <c r="C11301" s="84">
        <v>0.67</v>
      </c>
      <c r="D11301" s="84">
        <v>1.0</v>
      </c>
      <c r="E11301" s="84">
        <v>0.67</v>
      </c>
      <c r="F11301" s="76" t="s">
        <v>998</v>
      </c>
      <c r="G11301" s="83">
        <v>46120.0</v>
      </c>
      <c r="H11301" s="76" t="s">
        <v>968</v>
      </c>
    </row>
    <row r="11302">
      <c r="A11302" s="76" t="s">
        <v>966</v>
      </c>
      <c r="B11302" s="76" t="s">
        <v>1039</v>
      </c>
      <c r="C11302" s="84">
        <v>2.41</v>
      </c>
      <c r="D11302" s="84">
        <v>1.0</v>
      </c>
      <c r="E11302" s="84">
        <v>2.41</v>
      </c>
      <c r="F11302" s="76" t="s">
        <v>998</v>
      </c>
      <c r="G11302" s="83">
        <v>46120.0</v>
      </c>
      <c r="H11302" s="76" t="s">
        <v>969</v>
      </c>
    </row>
    <row r="11303">
      <c r="A11303" s="76" t="s">
        <v>43</v>
      </c>
      <c r="B11303" s="76" t="s">
        <v>1039</v>
      </c>
      <c r="C11303" s="84">
        <v>0.79</v>
      </c>
      <c r="D11303" s="84">
        <v>0.0</v>
      </c>
      <c r="E11303" s="84">
        <v>0.0</v>
      </c>
      <c r="F11303" s="76" t="s">
        <v>998</v>
      </c>
      <c r="G11303" s="83">
        <v>46120.0</v>
      </c>
      <c r="H11303" s="76" t="s">
        <v>963</v>
      </c>
    </row>
    <row r="11304">
      <c r="A11304" s="76" t="s">
        <v>43</v>
      </c>
      <c r="B11304" s="76" t="s">
        <v>1039</v>
      </c>
      <c r="C11304" s="84">
        <v>1.63</v>
      </c>
      <c r="D11304" s="84">
        <v>0.0</v>
      </c>
      <c r="E11304" s="84">
        <v>0.0</v>
      </c>
      <c r="F11304" s="76" t="s">
        <v>998</v>
      </c>
      <c r="G11304" s="83">
        <v>46120.0</v>
      </c>
      <c r="H11304" s="76" t="s">
        <v>964</v>
      </c>
    </row>
    <row r="11305">
      <c r="A11305" s="76" t="s">
        <v>43</v>
      </c>
      <c r="B11305" s="76" t="s">
        <v>1039</v>
      </c>
      <c r="C11305" s="84">
        <v>3.14</v>
      </c>
      <c r="D11305" s="84">
        <v>0.0</v>
      </c>
      <c r="E11305" s="84">
        <v>0.0</v>
      </c>
      <c r="F11305" s="76" t="s">
        <v>998</v>
      </c>
      <c r="G11305" s="83">
        <v>46120.0</v>
      </c>
      <c r="H11305" s="76" t="s">
        <v>965</v>
      </c>
    </row>
    <row r="11306">
      <c r="A11306" s="76" t="s">
        <v>970</v>
      </c>
      <c r="B11306" s="76" t="s">
        <v>1039</v>
      </c>
      <c r="C11306" s="84">
        <v>1.61</v>
      </c>
      <c r="D11306" s="84">
        <v>0.0</v>
      </c>
      <c r="E11306" s="84">
        <v>0.0</v>
      </c>
      <c r="F11306" s="76" t="s">
        <v>998</v>
      </c>
      <c r="G11306" s="83">
        <v>46120.0</v>
      </c>
      <c r="H11306" s="76" t="s">
        <v>971</v>
      </c>
    </row>
    <row r="11307">
      <c r="A11307" s="76" t="s">
        <v>970</v>
      </c>
      <c r="B11307" s="76" t="s">
        <v>1039</v>
      </c>
      <c r="C11307" s="84">
        <v>1.09</v>
      </c>
      <c r="D11307" s="84">
        <v>0.0</v>
      </c>
      <c r="E11307" s="84">
        <v>0.0</v>
      </c>
      <c r="F11307" s="76" t="s">
        <v>998</v>
      </c>
      <c r="G11307" s="83">
        <v>46120.0</v>
      </c>
      <c r="H11307" s="76" t="s">
        <v>972</v>
      </c>
    </row>
    <row r="11308">
      <c r="A11308" s="76" t="s">
        <v>970</v>
      </c>
      <c r="B11308" s="76" t="s">
        <v>1039</v>
      </c>
      <c r="C11308" s="84">
        <v>5.22</v>
      </c>
      <c r="D11308" s="84">
        <v>1.0</v>
      </c>
      <c r="E11308" s="84">
        <v>5.22</v>
      </c>
      <c r="F11308" s="76" t="s">
        <v>998</v>
      </c>
      <c r="G11308" s="83">
        <v>46120.0</v>
      </c>
      <c r="H11308" s="76" t="s">
        <v>973</v>
      </c>
    </row>
    <row r="11309">
      <c r="A11309" s="76" t="s">
        <v>46</v>
      </c>
      <c r="B11309" s="76" t="s">
        <v>1039</v>
      </c>
      <c r="C11309" s="84">
        <v>0.06</v>
      </c>
      <c r="D11309" s="84">
        <v>0.0</v>
      </c>
      <c r="E11309" s="84">
        <v>0.0</v>
      </c>
      <c r="F11309" s="76" t="s">
        <v>997</v>
      </c>
      <c r="G11309" s="83">
        <v>46120.0</v>
      </c>
      <c r="H11309" s="76" t="s">
        <v>960</v>
      </c>
    </row>
    <row r="11310">
      <c r="A11310" s="76" t="s">
        <v>46</v>
      </c>
      <c r="B11310" s="76" t="s">
        <v>1039</v>
      </c>
      <c r="C11310" s="84">
        <v>0.02</v>
      </c>
      <c r="D11310" s="84">
        <v>0.0</v>
      </c>
      <c r="E11310" s="84">
        <v>0.0</v>
      </c>
      <c r="F11310" s="76" t="s">
        <v>997</v>
      </c>
      <c r="G11310" s="83">
        <v>46120.0</v>
      </c>
      <c r="H11310" s="76" t="s">
        <v>961</v>
      </c>
    </row>
    <row r="11311">
      <c r="A11311" s="76" t="s">
        <v>46</v>
      </c>
      <c r="B11311" s="76" t="s">
        <v>1039</v>
      </c>
      <c r="C11311" s="84">
        <v>0.05</v>
      </c>
      <c r="D11311" s="84">
        <v>0.0</v>
      </c>
      <c r="E11311" s="84">
        <v>0.0</v>
      </c>
      <c r="F11311" s="76" t="s">
        <v>997</v>
      </c>
      <c r="G11311" s="83">
        <v>46120.0</v>
      </c>
      <c r="H11311" s="76" t="s">
        <v>962</v>
      </c>
    </row>
    <row r="11312">
      <c r="A11312" s="76" t="s">
        <v>34</v>
      </c>
      <c r="B11312" s="76" t="s">
        <v>1039</v>
      </c>
      <c r="C11312" s="84">
        <v>0.18</v>
      </c>
      <c r="D11312" s="84">
        <v>0.0</v>
      </c>
      <c r="E11312" s="84">
        <v>0.0</v>
      </c>
      <c r="F11312" s="76" t="s">
        <v>997</v>
      </c>
      <c r="G11312" s="83">
        <v>46120.0</v>
      </c>
      <c r="H11312" s="76" t="s">
        <v>951</v>
      </c>
    </row>
    <row r="11313">
      <c r="A11313" s="76" t="s">
        <v>34</v>
      </c>
      <c r="B11313" s="76" t="s">
        <v>1039</v>
      </c>
      <c r="C11313" s="84">
        <v>0.22</v>
      </c>
      <c r="D11313" s="84">
        <v>0.0</v>
      </c>
      <c r="E11313" s="84">
        <v>0.0</v>
      </c>
      <c r="F11313" s="76" t="s">
        <v>997</v>
      </c>
      <c r="G11313" s="83">
        <v>46120.0</v>
      </c>
      <c r="H11313" s="76" t="s">
        <v>952</v>
      </c>
    </row>
    <row r="11314">
      <c r="A11314" s="76" t="s">
        <v>34</v>
      </c>
      <c r="B11314" s="76" t="s">
        <v>1039</v>
      </c>
      <c r="C11314" s="84">
        <v>0.33</v>
      </c>
      <c r="D11314" s="84">
        <v>0.0</v>
      </c>
      <c r="E11314" s="84">
        <v>0.0</v>
      </c>
      <c r="F11314" s="76" t="s">
        <v>997</v>
      </c>
      <c r="G11314" s="83">
        <v>46120.0</v>
      </c>
      <c r="H11314" s="76" t="s">
        <v>953</v>
      </c>
    </row>
    <row r="11315">
      <c r="A11315" s="76" t="s">
        <v>40</v>
      </c>
      <c r="B11315" s="76" t="s">
        <v>1039</v>
      </c>
      <c r="C11315" s="84">
        <v>0.17</v>
      </c>
      <c r="D11315" s="84">
        <v>0.0</v>
      </c>
      <c r="E11315" s="84">
        <v>0.0</v>
      </c>
      <c r="F11315" s="76" t="s">
        <v>997</v>
      </c>
      <c r="G11315" s="83">
        <v>46120.0</v>
      </c>
      <c r="H11315" s="76" t="s">
        <v>954</v>
      </c>
    </row>
    <row r="11316">
      <c r="A11316" s="76" t="s">
        <v>40</v>
      </c>
      <c r="B11316" s="76" t="s">
        <v>1039</v>
      </c>
      <c r="C11316" s="84">
        <v>0.07</v>
      </c>
      <c r="D11316" s="84">
        <v>0.0</v>
      </c>
      <c r="E11316" s="84">
        <v>0.0</v>
      </c>
      <c r="F11316" s="76" t="s">
        <v>997</v>
      </c>
      <c r="G11316" s="83">
        <v>46120.0</v>
      </c>
      <c r="H11316" s="76" t="s">
        <v>955</v>
      </c>
    </row>
    <row r="11317">
      <c r="A11317" s="76" t="s">
        <v>40</v>
      </c>
      <c r="B11317" s="76" t="s">
        <v>1039</v>
      </c>
      <c r="C11317" s="84">
        <v>1.1</v>
      </c>
      <c r="D11317" s="84">
        <v>0.0</v>
      </c>
      <c r="E11317" s="84">
        <v>0.0</v>
      </c>
      <c r="F11317" s="76" t="s">
        <v>997</v>
      </c>
      <c r="G11317" s="83">
        <v>46120.0</v>
      </c>
      <c r="H11317" s="76" t="s">
        <v>956</v>
      </c>
    </row>
    <row r="11318">
      <c r="A11318" s="76" t="s">
        <v>36</v>
      </c>
      <c r="B11318" s="76" t="s">
        <v>1039</v>
      </c>
      <c r="C11318" s="84">
        <v>0.52</v>
      </c>
      <c r="D11318" s="84">
        <v>0.0</v>
      </c>
      <c r="E11318" s="84">
        <v>0.0</v>
      </c>
      <c r="F11318" s="76" t="s">
        <v>997</v>
      </c>
      <c r="G11318" s="83">
        <v>46120.0</v>
      </c>
      <c r="H11318" s="76" t="s">
        <v>926</v>
      </c>
    </row>
    <row r="11319">
      <c r="A11319" s="76" t="s">
        <v>36</v>
      </c>
      <c r="B11319" s="76" t="s">
        <v>1039</v>
      </c>
      <c r="C11319" s="84">
        <v>0.07</v>
      </c>
      <c r="D11319" s="84">
        <v>0.0</v>
      </c>
      <c r="E11319" s="84">
        <v>0.0</v>
      </c>
      <c r="F11319" s="76" t="s">
        <v>997</v>
      </c>
      <c r="G11319" s="83">
        <v>46120.0</v>
      </c>
      <c r="H11319" s="76" t="s">
        <v>927</v>
      </c>
    </row>
    <row r="11320">
      <c r="A11320" s="76" t="s">
        <v>36</v>
      </c>
      <c r="B11320" s="76" t="s">
        <v>1039</v>
      </c>
      <c r="C11320" s="84">
        <v>0.3</v>
      </c>
      <c r="D11320" s="84">
        <v>0.0</v>
      </c>
      <c r="E11320" s="84">
        <v>0.0</v>
      </c>
      <c r="F11320" s="76" t="s">
        <v>997</v>
      </c>
      <c r="G11320" s="83">
        <v>46120.0</v>
      </c>
      <c r="H11320" s="76" t="s">
        <v>928</v>
      </c>
    </row>
    <row r="11321">
      <c r="A11321" s="76" t="s">
        <v>970</v>
      </c>
      <c r="B11321" s="76" t="s">
        <v>1039</v>
      </c>
      <c r="C11321" s="84">
        <v>0.35</v>
      </c>
      <c r="D11321" s="84">
        <v>0.0</v>
      </c>
      <c r="E11321" s="84">
        <v>0.0</v>
      </c>
      <c r="F11321" s="76" t="s">
        <v>997</v>
      </c>
      <c r="G11321" s="83">
        <v>46120.0</v>
      </c>
      <c r="H11321" s="76" t="s">
        <v>971</v>
      </c>
    </row>
    <row r="11322">
      <c r="A11322" s="76" t="s">
        <v>970</v>
      </c>
      <c r="B11322" s="76" t="s">
        <v>1039</v>
      </c>
      <c r="C11322" s="84">
        <v>0.1</v>
      </c>
      <c r="D11322" s="84">
        <v>0.0</v>
      </c>
      <c r="E11322" s="84">
        <v>0.0</v>
      </c>
      <c r="F11322" s="76" t="s">
        <v>997</v>
      </c>
      <c r="G11322" s="83">
        <v>46120.0</v>
      </c>
      <c r="H11322" s="76" t="s">
        <v>972</v>
      </c>
    </row>
    <row r="11323">
      <c r="A11323" s="76" t="s">
        <v>970</v>
      </c>
      <c r="B11323" s="76" t="s">
        <v>1039</v>
      </c>
      <c r="C11323" s="84">
        <v>0.97</v>
      </c>
      <c r="D11323" s="84">
        <v>0.0</v>
      </c>
      <c r="E11323" s="84">
        <v>0.0</v>
      </c>
      <c r="F11323" s="76" t="s">
        <v>997</v>
      </c>
      <c r="G11323" s="83">
        <v>46120.0</v>
      </c>
      <c r="H11323" s="76" t="s">
        <v>973</v>
      </c>
    </row>
    <row r="11324">
      <c r="A11324" s="76" t="s">
        <v>33</v>
      </c>
      <c r="B11324" s="76" t="s">
        <v>1039</v>
      </c>
      <c r="C11324" s="84">
        <v>0.95</v>
      </c>
      <c r="D11324" s="84">
        <v>0.0</v>
      </c>
      <c r="E11324" s="84">
        <v>0.0</v>
      </c>
      <c r="F11324" s="76" t="s">
        <v>997</v>
      </c>
      <c r="G11324" s="83">
        <v>46120.0</v>
      </c>
      <c r="H11324" s="76" t="s">
        <v>957</v>
      </c>
    </row>
    <row r="11325">
      <c r="A11325" s="76" t="s">
        <v>33</v>
      </c>
      <c r="B11325" s="76" t="s">
        <v>1039</v>
      </c>
      <c r="C11325" s="84">
        <v>0.2</v>
      </c>
      <c r="D11325" s="84">
        <v>0.0</v>
      </c>
      <c r="E11325" s="84">
        <v>0.0</v>
      </c>
      <c r="F11325" s="76" t="s">
        <v>997</v>
      </c>
      <c r="G11325" s="83">
        <v>46120.0</v>
      </c>
      <c r="H11325" s="76" t="s">
        <v>958</v>
      </c>
    </row>
    <row r="11326">
      <c r="A11326" s="76" t="s">
        <v>33</v>
      </c>
      <c r="B11326" s="76" t="s">
        <v>1039</v>
      </c>
      <c r="C11326" s="84">
        <v>0.28</v>
      </c>
      <c r="D11326" s="84">
        <v>0.0</v>
      </c>
      <c r="E11326" s="84">
        <v>0.0</v>
      </c>
      <c r="F11326" s="76" t="s">
        <v>997</v>
      </c>
      <c r="G11326" s="83">
        <v>46120.0</v>
      </c>
      <c r="H11326" s="76" t="s">
        <v>959</v>
      </c>
    </row>
    <row r="11327">
      <c r="A11327" s="76" t="s">
        <v>29</v>
      </c>
      <c r="B11327" s="76" t="s">
        <v>1039</v>
      </c>
      <c r="C11327" s="84">
        <v>0.21</v>
      </c>
      <c r="D11327" s="84">
        <v>0.0</v>
      </c>
      <c r="E11327" s="84">
        <v>0.0</v>
      </c>
      <c r="F11327" s="76" t="s">
        <v>997</v>
      </c>
      <c r="G11327" s="83">
        <v>46120.0</v>
      </c>
      <c r="H11327" s="76" t="s">
        <v>971</v>
      </c>
    </row>
    <row r="11328">
      <c r="A11328" s="76" t="s">
        <v>29</v>
      </c>
      <c r="B11328" s="76" t="s">
        <v>1039</v>
      </c>
      <c r="C11328" s="84">
        <v>0.09</v>
      </c>
      <c r="D11328" s="84">
        <v>0.0</v>
      </c>
      <c r="E11328" s="84">
        <v>0.0</v>
      </c>
      <c r="F11328" s="76" t="s">
        <v>997</v>
      </c>
      <c r="G11328" s="83">
        <v>46120.0</v>
      </c>
      <c r="H11328" s="76" t="s">
        <v>972</v>
      </c>
    </row>
    <row r="11329">
      <c r="A11329" s="76" t="s">
        <v>29</v>
      </c>
      <c r="B11329" s="76" t="s">
        <v>1039</v>
      </c>
      <c r="C11329" s="84">
        <v>0.74</v>
      </c>
      <c r="D11329" s="84">
        <v>0.0</v>
      </c>
      <c r="E11329" s="84">
        <v>0.0</v>
      </c>
      <c r="F11329" s="76" t="s">
        <v>997</v>
      </c>
      <c r="G11329" s="83">
        <v>46120.0</v>
      </c>
      <c r="H11329" s="76" t="s">
        <v>973</v>
      </c>
    </row>
    <row r="11330">
      <c r="A11330" s="76" t="s">
        <v>43</v>
      </c>
      <c r="B11330" s="76" t="s">
        <v>1039</v>
      </c>
      <c r="C11330" s="84">
        <v>0.09</v>
      </c>
      <c r="D11330" s="84">
        <v>0.0</v>
      </c>
      <c r="E11330" s="84">
        <v>0.0</v>
      </c>
      <c r="F11330" s="76" t="s">
        <v>997</v>
      </c>
      <c r="G11330" s="83">
        <v>46120.0</v>
      </c>
      <c r="H11330" s="76" t="s">
        <v>963</v>
      </c>
    </row>
    <row r="11331">
      <c r="A11331" s="76" t="s">
        <v>43</v>
      </c>
      <c r="B11331" s="76" t="s">
        <v>1039</v>
      </c>
      <c r="C11331" s="84">
        <v>0.07</v>
      </c>
      <c r="D11331" s="84">
        <v>0.0</v>
      </c>
      <c r="E11331" s="84">
        <v>0.0</v>
      </c>
      <c r="F11331" s="76" t="s">
        <v>997</v>
      </c>
      <c r="G11331" s="83">
        <v>46120.0</v>
      </c>
      <c r="H11331" s="76" t="s">
        <v>964</v>
      </c>
    </row>
    <row r="11332">
      <c r="A11332" s="76" t="s">
        <v>43</v>
      </c>
      <c r="B11332" s="76" t="s">
        <v>1039</v>
      </c>
      <c r="C11332" s="84">
        <v>0.34</v>
      </c>
      <c r="D11332" s="84">
        <v>0.0</v>
      </c>
      <c r="E11332" s="84">
        <v>0.0</v>
      </c>
      <c r="F11332" s="76" t="s">
        <v>997</v>
      </c>
      <c r="G11332" s="83">
        <v>46120.0</v>
      </c>
      <c r="H11332" s="76" t="s">
        <v>965</v>
      </c>
    </row>
    <row r="11333">
      <c r="A11333" s="76" t="s">
        <v>966</v>
      </c>
      <c r="B11333" s="76" t="s">
        <v>1039</v>
      </c>
      <c r="C11333" s="84">
        <v>0.25</v>
      </c>
      <c r="D11333" s="84">
        <v>0.0</v>
      </c>
      <c r="E11333" s="84">
        <v>0.0</v>
      </c>
      <c r="F11333" s="76" t="s">
        <v>997</v>
      </c>
      <c r="G11333" s="83">
        <v>46120.0</v>
      </c>
      <c r="H11333" s="76" t="s">
        <v>967</v>
      </c>
    </row>
    <row r="11334">
      <c r="A11334" s="76" t="s">
        <v>966</v>
      </c>
      <c r="B11334" s="76" t="s">
        <v>1039</v>
      </c>
      <c r="C11334" s="84">
        <v>0.05</v>
      </c>
      <c r="D11334" s="84">
        <v>0.0</v>
      </c>
      <c r="E11334" s="84">
        <v>0.0</v>
      </c>
      <c r="F11334" s="76" t="s">
        <v>997</v>
      </c>
      <c r="G11334" s="83">
        <v>46120.0</v>
      </c>
      <c r="H11334" s="76" t="s">
        <v>968</v>
      </c>
    </row>
    <row r="11335">
      <c r="A11335" s="76" t="s">
        <v>966</v>
      </c>
      <c r="B11335" s="76" t="s">
        <v>1039</v>
      </c>
      <c r="C11335" s="84">
        <v>0.15</v>
      </c>
      <c r="D11335" s="84">
        <v>0.0</v>
      </c>
      <c r="E11335" s="84">
        <v>0.0</v>
      </c>
      <c r="F11335" s="76" t="s">
        <v>997</v>
      </c>
      <c r="G11335" s="83">
        <v>46120.0</v>
      </c>
      <c r="H11335" s="76" t="s">
        <v>969</v>
      </c>
    </row>
    <row r="11336">
      <c r="A11336" s="76" t="s">
        <v>42</v>
      </c>
      <c r="B11336" s="76" t="s">
        <v>1040</v>
      </c>
      <c r="C11336" s="84">
        <v>1.88</v>
      </c>
      <c r="D11336" s="84">
        <v>1.0</v>
      </c>
      <c r="E11336" s="84">
        <v>1.88</v>
      </c>
      <c r="F11336" s="76" t="s">
        <v>925</v>
      </c>
      <c r="G11336" s="83">
        <v>46120.0</v>
      </c>
      <c r="H11336" s="76" t="s">
        <v>991</v>
      </c>
    </row>
    <row r="11337">
      <c r="A11337" s="76" t="s">
        <v>42</v>
      </c>
      <c r="B11337" s="76" t="s">
        <v>1040</v>
      </c>
      <c r="C11337" s="84">
        <v>24.49</v>
      </c>
      <c r="D11337" s="84">
        <v>1.0</v>
      </c>
      <c r="E11337" s="84">
        <v>24.49</v>
      </c>
      <c r="F11337" s="76" t="s">
        <v>925</v>
      </c>
      <c r="G11337" s="83">
        <v>46120.0</v>
      </c>
      <c r="H11337" s="76" t="s">
        <v>935</v>
      </c>
    </row>
    <row r="11338">
      <c r="A11338" s="76" t="s">
        <v>36</v>
      </c>
      <c r="B11338" s="76" t="s">
        <v>1040</v>
      </c>
      <c r="C11338" s="84">
        <v>28.03</v>
      </c>
      <c r="D11338" s="84">
        <v>5.0</v>
      </c>
      <c r="E11338" s="84">
        <v>5.61</v>
      </c>
      <c r="F11338" s="76" t="s">
        <v>925</v>
      </c>
      <c r="G11338" s="83">
        <v>46120.0</v>
      </c>
      <c r="H11338" s="76" t="s">
        <v>926</v>
      </c>
    </row>
    <row r="11339">
      <c r="A11339" s="76" t="s">
        <v>36</v>
      </c>
      <c r="B11339" s="76" t="s">
        <v>1040</v>
      </c>
      <c r="C11339" s="84">
        <v>2.57</v>
      </c>
      <c r="D11339" s="84">
        <v>0.0</v>
      </c>
      <c r="E11339" s="84">
        <v>0.0</v>
      </c>
      <c r="F11339" s="76" t="s">
        <v>925</v>
      </c>
      <c r="G11339" s="83">
        <v>46120.0</v>
      </c>
      <c r="H11339" s="76" t="s">
        <v>927</v>
      </c>
    </row>
    <row r="11340">
      <c r="A11340" s="76" t="s">
        <v>36</v>
      </c>
      <c r="B11340" s="76" t="s">
        <v>1040</v>
      </c>
      <c r="C11340" s="84">
        <v>8.71</v>
      </c>
      <c r="D11340" s="84">
        <v>1.0</v>
      </c>
      <c r="E11340" s="84">
        <v>8.71</v>
      </c>
      <c r="F11340" s="76" t="s">
        <v>925</v>
      </c>
      <c r="G11340" s="83">
        <v>46120.0</v>
      </c>
      <c r="H11340" s="76" t="s">
        <v>928</v>
      </c>
    </row>
    <row r="11341">
      <c r="A11341" s="76" t="s">
        <v>32</v>
      </c>
      <c r="B11341" s="76" t="s">
        <v>1040</v>
      </c>
      <c r="C11341" s="84">
        <v>33.43</v>
      </c>
      <c r="D11341" s="84">
        <v>5.0</v>
      </c>
      <c r="E11341" s="84">
        <v>6.69</v>
      </c>
      <c r="F11341" s="76" t="s">
        <v>925</v>
      </c>
      <c r="G11341" s="83">
        <v>46120.0</v>
      </c>
      <c r="H11341" s="76" t="s">
        <v>941</v>
      </c>
    </row>
    <row r="11342">
      <c r="A11342" s="76" t="s">
        <v>32</v>
      </c>
      <c r="B11342" s="76" t="s">
        <v>1040</v>
      </c>
      <c r="C11342" s="84">
        <v>9.44</v>
      </c>
      <c r="D11342" s="84">
        <v>1.0</v>
      </c>
      <c r="E11342" s="84">
        <v>9.44</v>
      </c>
      <c r="F11342" s="76" t="s">
        <v>925</v>
      </c>
      <c r="G11342" s="83">
        <v>46120.0</v>
      </c>
      <c r="H11342" s="76" t="s">
        <v>942</v>
      </c>
    </row>
    <row r="11343">
      <c r="A11343" s="76" t="s">
        <v>32</v>
      </c>
      <c r="B11343" s="76" t="s">
        <v>1040</v>
      </c>
      <c r="C11343" s="84">
        <v>28.67</v>
      </c>
      <c r="D11343" s="84">
        <v>3.0</v>
      </c>
      <c r="E11343" s="84">
        <v>9.56</v>
      </c>
      <c r="F11343" s="76" t="s">
        <v>925</v>
      </c>
      <c r="G11343" s="83">
        <v>46120.0</v>
      </c>
      <c r="H11343" s="76" t="s">
        <v>943</v>
      </c>
    </row>
    <row r="11344">
      <c r="A11344" s="76" t="s">
        <v>944</v>
      </c>
      <c r="B11344" s="76" t="s">
        <v>1040</v>
      </c>
      <c r="C11344" s="84">
        <v>16.65</v>
      </c>
      <c r="D11344" s="84">
        <v>4.0</v>
      </c>
      <c r="E11344" s="84">
        <v>4.16</v>
      </c>
      <c r="F11344" s="76" t="s">
        <v>925</v>
      </c>
      <c r="G11344" s="83">
        <v>46120.0</v>
      </c>
      <c r="H11344" s="76" t="s">
        <v>945</v>
      </c>
    </row>
    <row r="11345">
      <c r="A11345" s="76" t="s">
        <v>944</v>
      </c>
      <c r="B11345" s="76" t="s">
        <v>1040</v>
      </c>
      <c r="C11345" s="84">
        <v>7.55</v>
      </c>
      <c r="D11345" s="84">
        <v>0.0</v>
      </c>
      <c r="E11345" s="84">
        <v>0.0</v>
      </c>
      <c r="F11345" s="76" t="s">
        <v>925</v>
      </c>
      <c r="G11345" s="83">
        <v>46120.0</v>
      </c>
      <c r="H11345" s="76" t="s">
        <v>946</v>
      </c>
    </row>
    <row r="11346">
      <c r="A11346" s="76" t="s">
        <v>944</v>
      </c>
      <c r="B11346" s="76" t="s">
        <v>1040</v>
      </c>
      <c r="C11346" s="84">
        <v>15.95</v>
      </c>
      <c r="D11346" s="84">
        <v>3.0</v>
      </c>
      <c r="E11346" s="84">
        <v>5.32</v>
      </c>
      <c r="F11346" s="76" t="s">
        <v>925</v>
      </c>
      <c r="G11346" s="83">
        <v>46120.0</v>
      </c>
      <c r="H11346" s="76" t="s">
        <v>947</v>
      </c>
    </row>
    <row r="11347">
      <c r="A11347" s="76" t="s">
        <v>31</v>
      </c>
      <c r="B11347" s="76" t="s">
        <v>1040</v>
      </c>
      <c r="C11347" s="84">
        <v>21.38</v>
      </c>
      <c r="D11347" s="84">
        <v>6.0</v>
      </c>
      <c r="E11347" s="84">
        <v>3.56</v>
      </c>
      <c r="F11347" s="76" t="s">
        <v>925</v>
      </c>
      <c r="G11347" s="83">
        <v>46120.0</v>
      </c>
      <c r="H11347" s="76" t="s">
        <v>929</v>
      </c>
    </row>
    <row r="11348">
      <c r="A11348" s="76" t="s">
        <v>31</v>
      </c>
      <c r="B11348" s="76" t="s">
        <v>1040</v>
      </c>
      <c r="C11348" s="84">
        <v>466.97</v>
      </c>
      <c r="D11348" s="84">
        <v>58.0</v>
      </c>
      <c r="E11348" s="84">
        <v>8.05</v>
      </c>
      <c r="F11348" s="76" t="s">
        <v>925</v>
      </c>
      <c r="G11348" s="83">
        <v>46120.0</v>
      </c>
      <c r="H11348" s="76" t="s">
        <v>930</v>
      </c>
    </row>
    <row r="11349">
      <c r="A11349" s="76" t="s">
        <v>45</v>
      </c>
      <c r="B11349" s="76" t="s">
        <v>1040</v>
      </c>
      <c r="C11349" s="84">
        <v>4.07</v>
      </c>
      <c r="D11349" s="84">
        <v>0.0</v>
      </c>
      <c r="E11349" s="84">
        <v>0.0</v>
      </c>
      <c r="F11349" s="76" t="s">
        <v>925</v>
      </c>
      <c r="G11349" s="83">
        <v>46120.0</v>
      </c>
      <c r="H11349" s="76" t="s">
        <v>936</v>
      </c>
    </row>
    <row r="11350">
      <c r="A11350" s="76" t="s">
        <v>45</v>
      </c>
      <c r="B11350" s="76" t="s">
        <v>1040</v>
      </c>
      <c r="C11350" s="84">
        <v>4.24</v>
      </c>
      <c r="D11350" s="84">
        <v>1.0</v>
      </c>
      <c r="E11350" s="84">
        <v>4.24</v>
      </c>
      <c r="F11350" s="76" t="s">
        <v>925</v>
      </c>
      <c r="G11350" s="83">
        <v>46120.0</v>
      </c>
      <c r="H11350" s="76" t="s">
        <v>937</v>
      </c>
    </row>
    <row r="11351">
      <c r="A11351" s="76" t="s">
        <v>45</v>
      </c>
      <c r="B11351" s="76" t="s">
        <v>1040</v>
      </c>
      <c r="C11351" s="84">
        <v>3.53</v>
      </c>
      <c r="D11351" s="84">
        <v>1.0</v>
      </c>
      <c r="E11351" s="84">
        <v>3.53</v>
      </c>
      <c r="F11351" s="76" t="s">
        <v>925</v>
      </c>
      <c r="G11351" s="83">
        <v>46120.0</v>
      </c>
      <c r="H11351" s="76" t="s">
        <v>938</v>
      </c>
    </row>
    <row r="11352">
      <c r="A11352" s="76" t="s">
        <v>26</v>
      </c>
      <c r="B11352" s="76" t="s">
        <v>1040</v>
      </c>
      <c r="C11352" s="84">
        <v>4.06</v>
      </c>
      <c r="D11352" s="84">
        <v>1.0</v>
      </c>
      <c r="E11352" s="84">
        <v>4.06</v>
      </c>
      <c r="F11352" s="76" t="s">
        <v>925</v>
      </c>
      <c r="G11352" s="83">
        <v>46120.0</v>
      </c>
      <c r="H11352" s="76" t="s">
        <v>1012</v>
      </c>
    </row>
    <row r="11353">
      <c r="A11353" s="76" t="s">
        <v>26</v>
      </c>
      <c r="B11353" s="76" t="s">
        <v>1040</v>
      </c>
      <c r="C11353" s="84">
        <v>10.41</v>
      </c>
      <c r="D11353" s="84">
        <v>1.0</v>
      </c>
      <c r="E11353" s="84">
        <v>10.41</v>
      </c>
      <c r="F11353" s="76" t="s">
        <v>925</v>
      </c>
      <c r="G11353" s="83">
        <v>46120.0</v>
      </c>
      <c r="H11353" s="76" t="s">
        <v>1013</v>
      </c>
    </row>
    <row r="11354">
      <c r="A11354" s="76" t="s">
        <v>26</v>
      </c>
      <c r="B11354" s="76" t="s">
        <v>1040</v>
      </c>
      <c r="C11354" s="84">
        <v>38.59</v>
      </c>
      <c r="D11354" s="84">
        <v>8.0</v>
      </c>
      <c r="E11354" s="84">
        <v>4.82</v>
      </c>
      <c r="F11354" s="76" t="s">
        <v>925</v>
      </c>
      <c r="G11354" s="83">
        <v>46120.0</v>
      </c>
      <c r="H11354" s="76" t="s">
        <v>1014</v>
      </c>
    </row>
    <row r="11355">
      <c r="A11355" s="76" t="s">
        <v>28</v>
      </c>
      <c r="B11355" s="76" t="s">
        <v>1040</v>
      </c>
      <c r="C11355" s="84">
        <v>11.92</v>
      </c>
      <c r="D11355" s="84">
        <v>1.0</v>
      </c>
      <c r="E11355" s="84">
        <v>11.92</v>
      </c>
      <c r="F11355" s="76" t="s">
        <v>925</v>
      </c>
      <c r="G11355" s="83">
        <v>46120.0</v>
      </c>
      <c r="H11355" s="76" t="s">
        <v>931</v>
      </c>
    </row>
    <row r="11356">
      <c r="A11356" s="76" t="s">
        <v>28</v>
      </c>
      <c r="B11356" s="76" t="s">
        <v>1040</v>
      </c>
      <c r="C11356" s="84">
        <v>5.97</v>
      </c>
      <c r="D11356" s="84">
        <v>4.0</v>
      </c>
      <c r="E11356" s="84">
        <v>1.49</v>
      </c>
      <c r="F11356" s="76" t="s">
        <v>925</v>
      </c>
      <c r="G11356" s="83">
        <v>46120.0</v>
      </c>
      <c r="H11356" s="76" t="s">
        <v>932</v>
      </c>
    </row>
    <row r="11357">
      <c r="A11357" s="76" t="s">
        <v>28</v>
      </c>
      <c r="B11357" s="76" t="s">
        <v>1040</v>
      </c>
      <c r="C11357" s="84">
        <v>80.8</v>
      </c>
      <c r="D11357" s="84">
        <v>14.0</v>
      </c>
      <c r="E11357" s="84">
        <v>5.77</v>
      </c>
      <c r="F11357" s="76" t="s">
        <v>925</v>
      </c>
      <c r="G11357" s="83">
        <v>46120.0</v>
      </c>
      <c r="H11357" s="76" t="s">
        <v>933</v>
      </c>
    </row>
    <row r="11358">
      <c r="A11358" s="76" t="s">
        <v>31</v>
      </c>
      <c r="B11358" s="76" t="s">
        <v>1040</v>
      </c>
      <c r="C11358" s="84">
        <v>3.71</v>
      </c>
      <c r="D11358" s="84">
        <v>0.0</v>
      </c>
      <c r="E11358" s="84">
        <v>0.0</v>
      </c>
      <c r="F11358" s="76" t="s">
        <v>948</v>
      </c>
      <c r="G11358" s="83">
        <v>46120.0</v>
      </c>
      <c r="H11358" s="76" t="s">
        <v>929</v>
      </c>
    </row>
    <row r="11359">
      <c r="A11359" s="76" t="s">
        <v>31</v>
      </c>
      <c r="B11359" s="76" t="s">
        <v>1040</v>
      </c>
      <c r="C11359" s="84">
        <v>32.14</v>
      </c>
      <c r="D11359" s="84">
        <v>5.0</v>
      </c>
      <c r="E11359" s="84">
        <v>6.43</v>
      </c>
      <c r="F11359" s="76" t="s">
        <v>948</v>
      </c>
      <c r="G11359" s="83">
        <v>46120.0</v>
      </c>
      <c r="H11359" s="76" t="s">
        <v>930</v>
      </c>
    </row>
    <row r="11360">
      <c r="A11360" s="76" t="s">
        <v>944</v>
      </c>
      <c r="B11360" s="76" t="s">
        <v>1040</v>
      </c>
      <c r="C11360" s="84">
        <v>3.47</v>
      </c>
      <c r="D11360" s="84">
        <v>0.0</v>
      </c>
      <c r="E11360" s="84">
        <v>0.0</v>
      </c>
      <c r="F11360" s="76" t="s">
        <v>948</v>
      </c>
      <c r="G11360" s="83">
        <v>46120.0</v>
      </c>
      <c r="H11360" s="76" t="s">
        <v>945</v>
      </c>
    </row>
    <row r="11361">
      <c r="A11361" s="76" t="s">
        <v>944</v>
      </c>
      <c r="B11361" s="76" t="s">
        <v>1040</v>
      </c>
      <c r="C11361" s="84">
        <v>1.35</v>
      </c>
      <c r="D11361" s="84">
        <v>0.0</v>
      </c>
      <c r="E11361" s="84">
        <v>0.0</v>
      </c>
      <c r="F11361" s="76" t="s">
        <v>948</v>
      </c>
      <c r="G11361" s="83">
        <v>46120.0</v>
      </c>
      <c r="H11361" s="76" t="s">
        <v>946</v>
      </c>
    </row>
    <row r="11362">
      <c r="A11362" s="76" t="s">
        <v>944</v>
      </c>
      <c r="B11362" s="76" t="s">
        <v>1040</v>
      </c>
      <c r="C11362" s="84">
        <v>4.54</v>
      </c>
      <c r="D11362" s="84">
        <v>0.0</v>
      </c>
      <c r="E11362" s="84">
        <v>0.0</v>
      </c>
      <c r="F11362" s="76" t="s">
        <v>948</v>
      </c>
      <c r="G11362" s="83">
        <v>46120.0</v>
      </c>
      <c r="H11362" s="76" t="s">
        <v>947</v>
      </c>
    </row>
    <row r="11363">
      <c r="A11363" s="76" t="s">
        <v>32</v>
      </c>
      <c r="B11363" s="76" t="s">
        <v>1040</v>
      </c>
      <c r="C11363" s="84">
        <v>11.61</v>
      </c>
      <c r="D11363" s="84">
        <v>2.0</v>
      </c>
      <c r="E11363" s="84">
        <v>5.81</v>
      </c>
      <c r="F11363" s="76" t="s">
        <v>948</v>
      </c>
      <c r="G11363" s="83">
        <v>46120.0</v>
      </c>
      <c r="H11363" s="76" t="s">
        <v>941</v>
      </c>
    </row>
    <row r="11364">
      <c r="A11364" s="76" t="s">
        <v>32</v>
      </c>
      <c r="B11364" s="76" t="s">
        <v>1040</v>
      </c>
      <c r="C11364" s="84">
        <v>2.69</v>
      </c>
      <c r="D11364" s="84">
        <v>1.0</v>
      </c>
      <c r="E11364" s="84">
        <v>2.69</v>
      </c>
      <c r="F11364" s="76" t="s">
        <v>948</v>
      </c>
      <c r="G11364" s="83">
        <v>46120.0</v>
      </c>
      <c r="H11364" s="76" t="s">
        <v>942</v>
      </c>
    </row>
    <row r="11365">
      <c r="A11365" s="76" t="s">
        <v>32</v>
      </c>
      <c r="B11365" s="76" t="s">
        <v>1040</v>
      </c>
      <c r="C11365" s="84">
        <v>5.97</v>
      </c>
      <c r="D11365" s="84">
        <v>1.0</v>
      </c>
      <c r="E11365" s="84">
        <v>5.97</v>
      </c>
      <c r="F11365" s="76" t="s">
        <v>948</v>
      </c>
      <c r="G11365" s="83">
        <v>46120.0</v>
      </c>
      <c r="H11365" s="76" t="s">
        <v>943</v>
      </c>
    </row>
    <row r="11366">
      <c r="A11366" s="76" t="s">
        <v>26</v>
      </c>
      <c r="B11366" s="76" t="s">
        <v>1040</v>
      </c>
      <c r="C11366" s="84">
        <v>0.51</v>
      </c>
      <c r="D11366" s="84">
        <v>0.0</v>
      </c>
      <c r="E11366" s="84">
        <v>0.0</v>
      </c>
      <c r="F11366" s="76" t="s">
        <v>948</v>
      </c>
      <c r="G11366" s="83">
        <v>46120.0</v>
      </c>
      <c r="H11366" s="76" t="s">
        <v>1012</v>
      </c>
    </row>
    <row r="11367">
      <c r="A11367" s="76" t="s">
        <v>26</v>
      </c>
      <c r="B11367" s="76" t="s">
        <v>1040</v>
      </c>
      <c r="C11367" s="84">
        <v>1.4</v>
      </c>
      <c r="D11367" s="84">
        <v>0.0</v>
      </c>
      <c r="E11367" s="84">
        <v>0.0</v>
      </c>
      <c r="F11367" s="76" t="s">
        <v>948</v>
      </c>
      <c r="G11367" s="83">
        <v>46120.0</v>
      </c>
      <c r="H11367" s="76" t="s">
        <v>1013</v>
      </c>
    </row>
    <row r="11368">
      <c r="A11368" s="76" t="s">
        <v>26</v>
      </c>
      <c r="B11368" s="76" t="s">
        <v>1040</v>
      </c>
      <c r="C11368" s="84">
        <v>9.03</v>
      </c>
      <c r="D11368" s="84">
        <v>1.0</v>
      </c>
      <c r="E11368" s="84">
        <v>9.03</v>
      </c>
      <c r="F11368" s="76" t="s">
        <v>948</v>
      </c>
      <c r="G11368" s="83">
        <v>46120.0</v>
      </c>
      <c r="H11368" s="76" t="s">
        <v>1014</v>
      </c>
    </row>
    <row r="11369">
      <c r="A11369" s="76" t="s">
        <v>36</v>
      </c>
      <c r="B11369" s="76" t="s">
        <v>1040</v>
      </c>
      <c r="C11369" s="84">
        <v>4.57</v>
      </c>
      <c r="D11369" s="84">
        <v>1.0</v>
      </c>
      <c r="E11369" s="84">
        <v>4.57</v>
      </c>
      <c r="F11369" s="76" t="s">
        <v>948</v>
      </c>
      <c r="G11369" s="83">
        <v>46120.0</v>
      </c>
      <c r="H11369" s="76" t="s">
        <v>926</v>
      </c>
    </row>
    <row r="11370">
      <c r="A11370" s="76" t="s">
        <v>36</v>
      </c>
      <c r="B11370" s="76" t="s">
        <v>1040</v>
      </c>
      <c r="C11370" s="84">
        <v>0.43</v>
      </c>
      <c r="D11370" s="84">
        <v>0.0</v>
      </c>
      <c r="E11370" s="84">
        <v>0.0</v>
      </c>
      <c r="F11370" s="76" t="s">
        <v>948</v>
      </c>
      <c r="G11370" s="83">
        <v>46120.0</v>
      </c>
      <c r="H11370" s="76" t="s">
        <v>927</v>
      </c>
    </row>
    <row r="11371">
      <c r="A11371" s="76" t="s">
        <v>36</v>
      </c>
      <c r="B11371" s="76" t="s">
        <v>1040</v>
      </c>
      <c r="C11371" s="84">
        <v>2.54</v>
      </c>
      <c r="D11371" s="84">
        <v>2.0</v>
      </c>
      <c r="E11371" s="84">
        <v>1.27</v>
      </c>
      <c r="F11371" s="76" t="s">
        <v>948</v>
      </c>
      <c r="G11371" s="83">
        <v>46120.0</v>
      </c>
      <c r="H11371" s="76" t="s">
        <v>928</v>
      </c>
    </row>
    <row r="11372">
      <c r="A11372" s="76" t="s">
        <v>28</v>
      </c>
      <c r="B11372" s="76" t="s">
        <v>1040</v>
      </c>
      <c r="C11372" s="84">
        <v>1.56</v>
      </c>
      <c r="D11372" s="84">
        <v>0.0</v>
      </c>
      <c r="E11372" s="84">
        <v>0.0</v>
      </c>
      <c r="F11372" s="76" t="s">
        <v>948</v>
      </c>
      <c r="G11372" s="83">
        <v>46120.0</v>
      </c>
      <c r="H11372" s="76" t="s">
        <v>931</v>
      </c>
    </row>
    <row r="11373">
      <c r="A11373" s="76" t="s">
        <v>28</v>
      </c>
      <c r="B11373" s="76" t="s">
        <v>1040</v>
      </c>
      <c r="C11373" s="84">
        <v>1.54</v>
      </c>
      <c r="D11373" s="84">
        <v>0.0</v>
      </c>
      <c r="E11373" s="84">
        <v>0.0</v>
      </c>
      <c r="F11373" s="76" t="s">
        <v>948</v>
      </c>
      <c r="G11373" s="83">
        <v>46120.0</v>
      </c>
      <c r="H11373" s="76" t="s">
        <v>932</v>
      </c>
    </row>
    <row r="11374">
      <c r="A11374" s="76" t="s">
        <v>28</v>
      </c>
      <c r="B11374" s="76" t="s">
        <v>1040</v>
      </c>
      <c r="C11374" s="84">
        <v>10.66</v>
      </c>
      <c r="D11374" s="84">
        <v>0.0</v>
      </c>
      <c r="E11374" s="84">
        <v>0.0</v>
      </c>
      <c r="F11374" s="76" t="s">
        <v>948</v>
      </c>
      <c r="G11374" s="83">
        <v>46120.0</v>
      </c>
      <c r="H11374" s="76" t="s">
        <v>933</v>
      </c>
    </row>
    <row r="11375">
      <c r="A11375" s="76" t="s">
        <v>45</v>
      </c>
      <c r="B11375" s="76" t="s">
        <v>1040</v>
      </c>
      <c r="C11375" s="84">
        <v>0.38</v>
      </c>
      <c r="D11375" s="84">
        <v>0.0</v>
      </c>
      <c r="E11375" s="84">
        <v>0.0</v>
      </c>
      <c r="F11375" s="76" t="s">
        <v>948</v>
      </c>
      <c r="G11375" s="83">
        <v>46120.0</v>
      </c>
      <c r="H11375" s="76" t="s">
        <v>936</v>
      </c>
    </row>
    <row r="11376">
      <c r="A11376" s="76" t="s">
        <v>45</v>
      </c>
      <c r="B11376" s="76" t="s">
        <v>1040</v>
      </c>
      <c r="C11376" s="84">
        <v>0.72</v>
      </c>
      <c r="D11376" s="84">
        <v>0.0</v>
      </c>
      <c r="E11376" s="84">
        <v>0.0</v>
      </c>
      <c r="F11376" s="76" t="s">
        <v>948</v>
      </c>
      <c r="G11376" s="83">
        <v>46120.0</v>
      </c>
      <c r="H11376" s="76" t="s">
        <v>937</v>
      </c>
    </row>
    <row r="11377">
      <c r="A11377" s="76" t="s">
        <v>45</v>
      </c>
      <c r="B11377" s="76" t="s">
        <v>1040</v>
      </c>
      <c r="C11377" s="84">
        <v>0.74</v>
      </c>
      <c r="D11377" s="84">
        <v>0.0</v>
      </c>
      <c r="E11377" s="84">
        <v>0.0</v>
      </c>
      <c r="F11377" s="76" t="s">
        <v>948</v>
      </c>
      <c r="G11377" s="83">
        <v>46120.0</v>
      </c>
      <c r="H11377" s="76" t="s">
        <v>938</v>
      </c>
    </row>
    <row r="11378">
      <c r="A11378" s="76" t="s">
        <v>42</v>
      </c>
      <c r="B11378" s="76" t="s">
        <v>1040</v>
      </c>
      <c r="C11378" s="84">
        <v>0.67</v>
      </c>
      <c r="D11378" s="84">
        <v>0.0</v>
      </c>
      <c r="E11378" s="84">
        <v>0.0</v>
      </c>
      <c r="F11378" s="76" t="s">
        <v>948</v>
      </c>
      <c r="G11378" s="83">
        <v>46120.0</v>
      </c>
      <c r="H11378" s="76" t="s">
        <v>991</v>
      </c>
    </row>
    <row r="11379">
      <c r="A11379" s="76" t="s">
        <v>42</v>
      </c>
      <c r="B11379" s="76" t="s">
        <v>1040</v>
      </c>
      <c r="C11379" s="84">
        <v>5.38</v>
      </c>
      <c r="D11379" s="84">
        <v>2.0</v>
      </c>
      <c r="E11379" s="84">
        <v>2.69</v>
      </c>
      <c r="F11379" s="76" t="s">
        <v>948</v>
      </c>
      <c r="G11379" s="83">
        <v>46120.0</v>
      </c>
      <c r="H11379" s="76" t="s">
        <v>935</v>
      </c>
    </row>
    <row r="11380">
      <c r="A11380" s="76" t="s">
        <v>40</v>
      </c>
      <c r="B11380" s="76" t="s">
        <v>1041</v>
      </c>
      <c r="C11380" s="84">
        <v>14.47</v>
      </c>
      <c r="D11380" s="84">
        <v>0.0</v>
      </c>
      <c r="E11380" s="84">
        <v>0.0</v>
      </c>
      <c r="F11380" s="76" t="s">
        <v>1005</v>
      </c>
      <c r="G11380" s="83">
        <v>46120.0</v>
      </c>
      <c r="H11380" s="76" t="s">
        <v>954</v>
      </c>
    </row>
    <row r="11381">
      <c r="A11381" s="76" t="s">
        <v>40</v>
      </c>
      <c r="B11381" s="76" t="s">
        <v>1041</v>
      </c>
      <c r="C11381" s="84">
        <v>6.28</v>
      </c>
      <c r="D11381" s="84">
        <v>1.0</v>
      </c>
      <c r="E11381" s="84">
        <v>6.28</v>
      </c>
      <c r="F11381" s="76" t="s">
        <v>1005</v>
      </c>
      <c r="G11381" s="83">
        <v>46120.0</v>
      </c>
      <c r="H11381" s="76" t="s">
        <v>955</v>
      </c>
    </row>
    <row r="11382">
      <c r="A11382" s="76" t="s">
        <v>40</v>
      </c>
      <c r="B11382" s="76" t="s">
        <v>1041</v>
      </c>
      <c r="C11382" s="84">
        <v>52.73</v>
      </c>
      <c r="D11382" s="84">
        <v>7.0</v>
      </c>
      <c r="E11382" s="84">
        <v>7.53</v>
      </c>
      <c r="F11382" s="76" t="s">
        <v>1005</v>
      </c>
      <c r="G11382" s="83">
        <v>46120.0</v>
      </c>
      <c r="H11382" s="76" t="s">
        <v>956</v>
      </c>
    </row>
    <row r="11383">
      <c r="A11383" s="76" t="s">
        <v>36</v>
      </c>
      <c r="B11383" s="76" t="s">
        <v>1041</v>
      </c>
      <c r="C11383" s="84">
        <v>22.15</v>
      </c>
      <c r="D11383" s="84">
        <v>3.0</v>
      </c>
      <c r="E11383" s="84">
        <v>7.38</v>
      </c>
      <c r="F11383" s="76" t="s">
        <v>1005</v>
      </c>
      <c r="G11383" s="83">
        <v>46120.0</v>
      </c>
      <c r="H11383" s="76" t="s">
        <v>926</v>
      </c>
    </row>
    <row r="11384">
      <c r="A11384" s="76" t="s">
        <v>36</v>
      </c>
      <c r="B11384" s="76" t="s">
        <v>1041</v>
      </c>
      <c r="C11384" s="84">
        <v>2.82</v>
      </c>
      <c r="D11384" s="84">
        <v>0.0</v>
      </c>
      <c r="E11384" s="84">
        <v>0.0</v>
      </c>
      <c r="F11384" s="76" t="s">
        <v>1005</v>
      </c>
      <c r="G11384" s="83">
        <v>46120.0</v>
      </c>
      <c r="H11384" s="76" t="s">
        <v>927</v>
      </c>
    </row>
    <row r="11385">
      <c r="A11385" s="76" t="s">
        <v>36</v>
      </c>
      <c r="B11385" s="76" t="s">
        <v>1041</v>
      </c>
      <c r="C11385" s="84">
        <v>11.61</v>
      </c>
      <c r="D11385" s="84">
        <v>4.0</v>
      </c>
      <c r="E11385" s="84">
        <v>2.9</v>
      </c>
      <c r="F11385" s="76" t="s">
        <v>1005</v>
      </c>
      <c r="G11385" s="83">
        <v>46120.0</v>
      </c>
      <c r="H11385" s="76" t="s">
        <v>928</v>
      </c>
    </row>
    <row r="11386">
      <c r="A11386" s="76" t="s">
        <v>46</v>
      </c>
      <c r="B11386" s="76" t="s">
        <v>1041</v>
      </c>
      <c r="C11386" s="84">
        <v>4.02</v>
      </c>
      <c r="D11386" s="84">
        <v>0.0</v>
      </c>
      <c r="E11386" s="84">
        <v>0.0</v>
      </c>
      <c r="F11386" s="76" t="s">
        <v>1005</v>
      </c>
      <c r="G11386" s="83">
        <v>46120.0</v>
      </c>
      <c r="H11386" s="76" t="s">
        <v>960</v>
      </c>
    </row>
    <row r="11387">
      <c r="A11387" s="76" t="s">
        <v>46</v>
      </c>
      <c r="B11387" s="76" t="s">
        <v>1041</v>
      </c>
      <c r="C11387" s="84">
        <v>5.72</v>
      </c>
      <c r="D11387" s="84">
        <v>0.0</v>
      </c>
      <c r="E11387" s="84">
        <v>0.0</v>
      </c>
      <c r="F11387" s="76" t="s">
        <v>1005</v>
      </c>
      <c r="G11387" s="83">
        <v>46120.0</v>
      </c>
      <c r="H11387" s="76" t="s">
        <v>961</v>
      </c>
    </row>
    <row r="11388">
      <c r="A11388" s="76" t="s">
        <v>46</v>
      </c>
      <c r="B11388" s="76" t="s">
        <v>1041</v>
      </c>
      <c r="C11388" s="84">
        <v>4.36</v>
      </c>
      <c r="D11388" s="84">
        <v>1.0</v>
      </c>
      <c r="E11388" s="84">
        <v>4.36</v>
      </c>
      <c r="F11388" s="76" t="s">
        <v>1005</v>
      </c>
      <c r="G11388" s="83">
        <v>46120.0</v>
      </c>
      <c r="H11388" s="76" t="s">
        <v>962</v>
      </c>
    </row>
    <row r="11389">
      <c r="A11389" s="76" t="s">
        <v>970</v>
      </c>
      <c r="B11389" s="76" t="s">
        <v>1041</v>
      </c>
      <c r="C11389" s="84">
        <v>21.81</v>
      </c>
      <c r="D11389" s="84">
        <v>3.0</v>
      </c>
      <c r="E11389" s="84">
        <v>7.27</v>
      </c>
      <c r="F11389" s="76" t="s">
        <v>1005</v>
      </c>
      <c r="G11389" s="83">
        <v>46120.0</v>
      </c>
      <c r="H11389" s="76" t="s">
        <v>971</v>
      </c>
    </row>
    <row r="11390">
      <c r="A11390" s="76" t="s">
        <v>970</v>
      </c>
      <c r="B11390" s="76" t="s">
        <v>1041</v>
      </c>
      <c r="C11390" s="84">
        <v>5.94</v>
      </c>
      <c r="D11390" s="84">
        <v>1.0</v>
      </c>
      <c r="E11390" s="84">
        <v>5.94</v>
      </c>
      <c r="F11390" s="76" t="s">
        <v>1005</v>
      </c>
      <c r="G11390" s="83">
        <v>46120.0</v>
      </c>
      <c r="H11390" s="76" t="s">
        <v>972</v>
      </c>
    </row>
    <row r="11391">
      <c r="A11391" s="76" t="s">
        <v>970</v>
      </c>
      <c r="B11391" s="76" t="s">
        <v>1041</v>
      </c>
      <c r="C11391" s="84">
        <v>61.59</v>
      </c>
      <c r="D11391" s="84">
        <v>11.0</v>
      </c>
      <c r="E11391" s="84">
        <v>5.6</v>
      </c>
      <c r="F11391" s="76" t="s">
        <v>1005</v>
      </c>
      <c r="G11391" s="83">
        <v>46120.0</v>
      </c>
      <c r="H11391" s="76" t="s">
        <v>973</v>
      </c>
    </row>
    <row r="11392">
      <c r="A11392" s="76" t="s">
        <v>29</v>
      </c>
      <c r="B11392" s="76" t="s">
        <v>1041</v>
      </c>
      <c r="C11392" s="84">
        <v>27.04</v>
      </c>
      <c r="D11392" s="84">
        <v>6.0</v>
      </c>
      <c r="E11392" s="84">
        <v>4.51</v>
      </c>
      <c r="F11392" s="76" t="s">
        <v>1005</v>
      </c>
      <c r="G11392" s="83">
        <v>46120.0</v>
      </c>
      <c r="H11392" s="76" t="s">
        <v>1015</v>
      </c>
    </row>
    <row r="11393">
      <c r="A11393" s="76" t="s">
        <v>29</v>
      </c>
      <c r="B11393" s="76" t="s">
        <v>1041</v>
      </c>
      <c r="C11393" s="84">
        <v>8.44</v>
      </c>
      <c r="D11393" s="84">
        <v>1.0</v>
      </c>
      <c r="E11393" s="84">
        <v>8.44</v>
      </c>
      <c r="F11393" s="76" t="s">
        <v>1005</v>
      </c>
      <c r="G11393" s="83">
        <v>46120.0</v>
      </c>
      <c r="H11393" s="76" t="s">
        <v>1016</v>
      </c>
    </row>
    <row r="11394">
      <c r="A11394" s="76" t="s">
        <v>29</v>
      </c>
      <c r="B11394" s="76" t="s">
        <v>1041</v>
      </c>
      <c r="C11394" s="84">
        <v>7.79</v>
      </c>
      <c r="D11394" s="84">
        <v>0.0</v>
      </c>
      <c r="E11394" s="84">
        <v>0.0</v>
      </c>
      <c r="F11394" s="76" t="s">
        <v>1005</v>
      </c>
      <c r="G11394" s="83">
        <v>46120.0</v>
      </c>
      <c r="H11394" s="76" t="s">
        <v>1017</v>
      </c>
    </row>
    <row r="11395">
      <c r="A11395" s="76" t="s">
        <v>34</v>
      </c>
      <c r="B11395" s="76" t="s">
        <v>1041</v>
      </c>
      <c r="C11395" s="84">
        <v>6.51</v>
      </c>
      <c r="D11395" s="84">
        <v>0.0</v>
      </c>
      <c r="E11395" s="84">
        <v>0.0</v>
      </c>
      <c r="F11395" s="76" t="s">
        <v>1005</v>
      </c>
      <c r="G11395" s="83">
        <v>46120.0</v>
      </c>
      <c r="H11395" s="76" t="s">
        <v>951</v>
      </c>
    </row>
    <row r="11396">
      <c r="A11396" s="76" t="s">
        <v>34</v>
      </c>
      <c r="B11396" s="76" t="s">
        <v>1041</v>
      </c>
      <c r="C11396" s="84">
        <v>14.62</v>
      </c>
      <c r="D11396" s="84">
        <v>0.0</v>
      </c>
      <c r="E11396" s="84">
        <v>0.0</v>
      </c>
      <c r="F11396" s="76" t="s">
        <v>1005</v>
      </c>
      <c r="G11396" s="83">
        <v>46120.0</v>
      </c>
      <c r="H11396" s="76" t="s">
        <v>952</v>
      </c>
    </row>
    <row r="11397">
      <c r="A11397" s="76" t="s">
        <v>34</v>
      </c>
      <c r="B11397" s="76" t="s">
        <v>1041</v>
      </c>
      <c r="C11397" s="84">
        <v>7.56</v>
      </c>
      <c r="D11397" s="84">
        <v>5.0</v>
      </c>
      <c r="E11397" s="84">
        <v>1.51</v>
      </c>
      <c r="F11397" s="76" t="s">
        <v>1005</v>
      </c>
      <c r="G11397" s="83">
        <v>46120.0</v>
      </c>
      <c r="H11397" s="76" t="s">
        <v>953</v>
      </c>
    </row>
    <row r="11398">
      <c r="A11398" s="76" t="s">
        <v>33</v>
      </c>
      <c r="B11398" s="76" t="s">
        <v>1041</v>
      </c>
      <c r="C11398" s="84">
        <v>88.94</v>
      </c>
      <c r="D11398" s="84">
        <v>17.0</v>
      </c>
      <c r="E11398" s="84">
        <v>5.23</v>
      </c>
      <c r="F11398" s="76" t="s">
        <v>1005</v>
      </c>
      <c r="G11398" s="83">
        <v>46120.0</v>
      </c>
      <c r="H11398" s="76" t="s">
        <v>957</v>
      </c>
    </row>
    <row r="11399">
      <c r="A11399" s="76" t="s">
        <v>33</v>
      </c>
      <c r="B11399" s="76" t="s">
        <v>1041</v>
      </c>
      <c r="C11399" s="84">
        <v>8.81</v>
      </c>
      <c r="D11399" s="84">
        <v>0.0</v>
      </c>
      <c r="E11399" s="84">
        <v>0.0</v>
      </c>
      <c r="F11399" s="76" t="s">
        <v>1005</v>
      </c>
      <c r="G11399" s="83">
        <v>46120.0</v>
      </c>
      <c r="H11399" s="76" t="s">
        <v>958</v>
      </c>
    </row>
    <row r="11400">
      <c r="A11400" s="76" t="s">
        <v>33</v>
      </c>
      <c r="B11400" s="76" t="s">
        <v>1041</v>
      </c>
      <c r="C11400" s="84">
        <v>61.47</v>
      </c>
      <c r="D11400" s="84">
        <v>13.0</v>
      </c>
      <c r="E11400" s="84">
        <v>4.73</v>
      </c>
      <c r="F11400" s="76" t="s">
        <v>1005</v>
      </c>
      <c r="G11400" s="83">
        <v>46120.0</v>
      </c>
      <c r="H11400" s="76" t="s">
        <v>959</v>
      </c>
    </row>
    <row r="11401">
      <c r="A11401" s="76" t="s">
        <v>43</v>
      </c>
      <c r="B11401" s="76" t="s">
        <v>1041</v>
      </c>
      <c r="C11401" s="84">
        <v>5.41</v>
      </c>
      <c r="D11401" s="84">
        <v>0.0</v>
      </c>
      <c r="E11401" s="84">
        <v>0.0</v>
      </c>
      <c r="F11401" s="76" t="s">
        <v>1005</v>
      </c>
      <c r="G11401" s="83">
        <v>46120.0</v>
      </c>
      <c r="H11401" s="76" t="s">
        <v>963</v>
      </c>
    </row>
    <row r="11402">
      <c r="A11402" s="76" t="s">
        <v>43</v>
      </c>
      <c r="B11402" s="76" t="s">
        <v>1041</v>
      </c>
      <c r="C11402" s="84">
        <v>6.17</v>
      </c>
      <c r="D11402" s="84">
        <v>0.0</v>
      </c>
      <c r="E11402" s="84">
        <v>0.0</v>
      </c>
      <c r="F11402" s="76" t="s">
        <v>1005</v>
      </c>
      <c r="G11402" s="83">
        <v>46120.0</v>
      </c>
      <c r="H11402" s="76" t="s">
        <v>964</v>
      </c>
    </row>
    <row r="11403">
      <c r="A11403" s="76" t="s">
        <v>43</v>
      </c>
      <c r="B11403" s="76" t="s">
        <v>1041</v>
      </c>
      <c r="C11403" s="84">
        <v>14.32</v>
      </c>
      <c r="D11403" s="84">
        <v>2.0</v>
      </c>
      <c r="E11403" s="84">
        <v>7.16</v>
      </c>
      <c r="F11403" s="76" t="s">
        <v>1005</v>
      </c>
      <c r="G11403" s="83">
        <v>46120.0</v>
      </c>
      <c r="H11403" s="76" t="s">
        <v>965</v>
      </c>
    </row>
    <row r="11404">
      <c r="A11404" s="76" t="s">
        <v>966</v>
      </c>
      <c r="B11404" s="76" t="s">
        <v>1041</v>
      </c>
      <c r="C11404" s="84">
        <v>19.88</v>
      </c>
      <c r="D11404" s="84">
        <v>6.0</v>
      </c>
      <c r="E11404" s="84">
        <v>3.31</v>
      </c>
      <c r="F11404" s="76" t="s">
        <v>1005</v>
      </c>
      <c r="G11404" s="83">
        <v>46120.0</v>
      </c>
      <c r="H11404" s="76" t="s">
        <v>967</v>
      </c>
    </row>
    <row r="11405">
      <c r="A11405" s="76" t="s">
        <v>966</v>
      </c>
      <c r="B11405" s="76" t="s">
        <v>1041</v>
      </c>
      <c r="C11405" s="84">
        <v>4.41</v>
      </c>
      <c r="D11405" s="84">
        <v>3.0</v>
      </c>
      <c r="E11405" s="84">
        <v>1.47</v>
      </c>
      <c r="F11405" s="76" t="s">
        <v>1005</v>
      </c>
      <c r="G11405" s="83">
        <v>46120.0</v>
      </c>
      <c r="H11405" s="76" t="s">
        <v>968</v>
      </c>
    </row>
    <row r="11406">
      <c r="A11406" s="76" t="s">
        <v>966</v>
      </c>
      <c r="B11406" s="76" t="s">
        <v>1041</v>
      </c>
      <c r="C11406" s="84">
        <v>17.0</v>
      </c>
      <c r="D11406" s="84">
        <v>3.0</v>
      </c>
      <c r="E11406" s="84">
        <v>5.67</v>
      </c>
      <c r="F11406" s="76" t="s">
        <v>1005</v>
      </c>
      <c r="G11406" s="83">
        <v>46120.0</v>
      </c>
      <c r="H11406" s="76" t="s">
        <v>969</v>
      </c>
    </row>
    <row r="11407">
      <c r="A11407" s="76" t="s">
        <v>970</v>
      </c>
      <c r="B11407" s="76" t="s">
        <v>1041</v>
      </c>
      <c r="C11407" s="84">
        <v>0.63</v>
      </c>
      <c r="D11407" s="84">
        <v>0.0</v>
      </c>
      <c r="E11407" s="84">
        <v>0.0</v>
      </c>
      <c r="F11407" s="76" t="s">
        <v>990</v>
      </c>
      <c r="G11407" s="83">
        <v>46120.0</v>
      </c>
      <c r="H11407" s="76" t="s">
        <v>971</v>
      </c>
    </row>
    <row r="11408">
      <c r="A11408" s="76" t="s">
        <v>970</v>
      </c>
      <c r="B11408" s="76" t="s">
        <v>1041</v>
      </c>
      <c r="C11408" s="84">
        <v>0.61</v>
      </c>
      <c r="D11408" s="84">
        <v>0.0</v>
      </c>
      <c r="E11408" s="84">
        <v>0.0</v>
      </c>
      <c r="F11408" s="76" t="s">
        <v>990</v>
      </c>
      <c r="G11408" s="83">
        <v>46120.0</v>
      </c>
      <c r="H11408" s="76" t="s">
        <v>972</v>
      </c>
    </row>
    <row r="11409">
      <c r="A11409" s="76" t="s">
        <v>970</v>
      </c>
      <c r="B11409" s="76" t="s">
        <v>1041</v>
      </c>
      <c r="C11409" s="84">
        <v>2.25</v>
      </c>
      <c r="D11409" s="84">
        <v>1.0</v>
      </c>
      <c r="E11409" s="84">
        <v>2.25</v>
      </c>
      <c r="F11409" s="76" t="s">
        <v>990</v>
      </c>
      <c r="G11409" s="83">
        <v>46120.0</v>
      </c>
      <c r="H11409" s="76" t="s">
        <v>973</v>
      </c>
    </row>
    <row r="11410">
      <c r="A11410" s="76" t="s">
        <v>29</v>
      </c>
      <c r="B11410" s="76" t="s">
        <v>1041</v>
      </c>
      <c r="C11410" s="84">
        <v>0.99</v>
      </c>
      <c r="D11410" s="84">
        <v>0.0</v>
      </c>
      <c r="E11410" s="84">
        <v>0.0</v>
      </c>
      <c r="F11410" s="76" t="s">
        <v>990</v>
      </c>
      <c r="G11410" s="83">
        <v>46120.0</v>
      </c>
      <c r="H11410" s="76" t="s">
        <v>971</v>
      </c>
    </row>
    <row r="11411">
      <c r="A11411" s="76" t="s">
        <v>29</v>
      </c>
      <c r="B11411" s="76" t="s">
        <v>1041</v>
      </c>
      <c r="C11411" s="84">
        <v>0.53</v>
      </c>
      <c r="D11411" s="84">
        <v>0.0</v>
      </c>
      <c r="E11411" s="84">
        <v>0.0</v>
      </c>
      <c r="F11411" s="76" t="s">
        <v>990</v>
      </c>
      <c r="G11411" s="83">
        <v>46120.0</v>
      </c>
      <c r="H11411" s="76" t="s">
        <v>972</v>
      </c>
    </row>
    <row r="11412">
      <c r="A11412" s="76" t="s">
        <v>29</v>
      </c>
      <c r="B11412" s="76" t="s">
        <v>1041</v>
      </c>
      <c r="C11412" s="84">
        <v>2.35</v>
      </c>
      <c r="D11412" s="84">
        <v>0.0</v>
      </c>
      <c r="E11412" s="84">
        <v>0.0</v>
      </c>
      <c r="F11412" s="76" t="s">
        <v>990</v>
      </c>
      <c r="G11412" s="83">
        <v>46120.0</v>
      </c>
      <c r="H11412" s="76" t="s">
        <v>973</v>
      </c>
    </row>
    <row r="11413">
      <c r="A11413" s="76" t="s">
        <v>46</v>
      </c>
      <c r="B11413" s="76" t="s">
        <v>1041</v>
      </c>
      <c r="C11413" s="84">
        <v>0.1</v>
      </c>
      <c r="D11413" s="84">
        <v>0.0</v>
      </c>
      <c r="E11413" s="84">
        <v>0.0</v>
      </c>
      <c r="F11413" s="76" t="s">
        <v>990</v>
      </c>
      <c r="G11413" s="83">
        <v>46120.0</v>
      </c>
      <c r="H11413" s="76" t="s">
        <v>960</v>
      </c>
    </row>
    <row r="11414">
      <c r="A11414" s="76" t="s">
        <v>46</v>
      </c>
      <c r="B11414" s="76" t="s">
        <v>1041</v>
      </c>
      <c r="C11414" s="84">
        <v>0.47</v>
      </c>
      <c r="D11414" s="84">
        <v>0.0</v>
      </c>
      <c r="E11414" s="84">
        <v>0.0</v>
      </c>
      <c r="F11414" s="76" t="s">
        <v>990</v>
      </c>
      <c r="G11414" s="83">
        <v>46120.0</v>
      </c>
      <c r="H11414" s="76" t="s">
        <v>961</v>
      </c>
    </row>
    <row r="11415">
      <c r="A11415" s="76" t="s">
        <v>46</v>
      </c>
      <c r="B11415" s="76" t="s">
        <v>1041</v>
      </c>
      <c r="C11415" s="84">
        <v>0.75</v>
      </c>
      <c r="D11415" s="84">
        <v>0.0</v>
      </c>
      <c r="E11415" s="84">
        <v>0.0</v>
      </c>
      <c r="F11415" s="76" t="s">
        <v>990</v>
      </c>
      <c r="G11415" s="83">
        <v>46120.0</v>
      </c>
      <c r="H11415" s="76" t="s">
        <v>962</v>
      </c>
    </row>
    <row r="11416">
      <c r="A11416" s="76" t="s">
        <v>36</v>
      </c>
      <c r="B11416" s="76" t="s">
        <v>1041</v>
      </c>
      <c r="C11416" s="84">
        <v>2.79</v>
      </c>
      <c r="D11416" s="84">
        <v>0.0</v>
      </c>
      <c r="E11416" s="84">
        <v>0.0</v>
      </c>
      <c r="F11416" s="76" t="s">
        <v>990</v>
      </c>
      <c r="G11416" s="83">
        <v>46120.0</v>
      </c>
      <c r="H11416" s="76" t="s">
        <v>926</v>
      </c>
    </row>
    <row r="11417">
      <c r="A11417" s="76" t="s">
        <v>36</v>
      </c>
      <c r="B11417" s="76" t="s">
        <v>1041</v>
      </c>
      <c r="C11417" s="84">
        <v>0.18</v>
      </c>
      <c r="D11417" s="84">
        <v>0.0</v>
      </c>
      <c r="E11417" s="84">
        <v>0.0</v>
      </c>
      <c r="F11417" s="76" t="s">
        <v>990</v>
      </c>
      <c r="G11417" s="83">
        <v>46120.0</v>
      </c>
      <c r="H11417" s="76" t="s">
        <v>927</v>
      </c>
    </row>
    <row r="11418">
      <c r="A11418" s="76" t="s">
        <v>36</v>
      </c>
      <c r="B11418" s="76" t="s">
        <v>1041</v>
      </c>
      <c r="C11418" s="84">
        <v>1.84</v>
      </c>
      <c r="D11418" s="84">
        <v>0.0</v>
      </c>
      <c r="E11418" s="84">
        <v>0.0</v>
      </c>
      <c r="F11418" s="76" t="s">
        <v>990</v>
      </c>
      <c r="G11418" s="83">
        <v>46120.0</v>
      </c>
      <c r="H11418" s="76" t="s">
        <v>928</v>
      </c>
    </row>
    <row r="11419">
      <c r="A11419" s="76" t="s">
        <v>34</v>
      </c>
      <c r="B11419" s="76" t="s">
        <v>1041</v>
      </c>
      <c r="C11419" s="84">
        <v>0.84</v>
      </c>
      <c r="D11419" s="84">
        <v>1.0</v>
      </c>
      <c r="E11419" s="84">
        <v>0.84</v>
      </c>
      <c r="F11419" s="76" t="s">
        <v>990</v>
      </c>
      <c r="G11419" s="83">
        <v>46120.0</v>
      </c>
      <c r="H11419" s="76" t="s">
        <v>951</v>
      </c>
    </row>
    <row r="11420">
      <c r="A11420" s="76" t="s">
        <v>34</v>
      </c>
      <c r="B11420" s="76" t="s">
        <v>1041</v>
      </c>
      <c r="C11420" s="84">
        <v>2.89</v>
      </c>
      <c r="D11420" s="84">
        <v>1.0</v>
      </c>
      <c r="E11420" s="84">
        <v>2.89</v>
      </c>
      <c r="F11420" s="76" t="s">
        <v>990</v>
      </c>
      <c r="G11420" s="83">
        <v>46120.0</v>
      </c>
      <c r="H11420" s="76" t="s">
        <v>952</v>
      </c>
    </row>
    <row r="11421">
      <c r="A11421" s="76" t="s">
        <v>34</v>
      </c>
      <c r="B11421" s="76" t="s">
        <v>1041</v>
      </c>
      <c r="C11421" s="84">
        <v>0.72</v>
      </c>
      <c r="D11421" s="84">
        <v>0.0</v>
      </c>
      <c r="E11421" s="84">
        <v>0.0</v>
      </c>
      <c r="F11421" s="76" t="s">
        <v>990</v>
      </c>
      <c r="G11421" s="83">
        <v>46120.0</v>
      </c>
      <c r="H11421" s="76" t="s">
        <v>953</v>
      </c>
    </row>
    <row r="11422">
      <c r="A11422" s="76" t="s">
        <v>33</v>
      </c>
      <c r="B11422" s="76" t="s">
        <v>1041</v>
      </c>
      <c r="C11422" s="84">
        <v>8.06</v>
      </c>
      <c r="D11422" s="84">
        <v>0.0</v>
      </c>
      <c r="E11422" s="84">
        <v>0.0</v>
      </c>
      <c r="F11422" s="76" t="s">
        <v>990</v>
      </c>
      <c r="G11422" s="83">
        <v>46120.0</v>
      </c>
      <c r="H11422" s="76" t="s">
        <v>957</v>
      </c>
    </row>
    <row r="11423">
      <c r="A11423" s="76" t="s">
        <v>33</v>
      </c>
      <c r="B11423" s="76" t="s">
        <v>1041</v>
      </c>
      <c r="C11423" s="84">
        <v>0.54</v>
      </c>
      <c r="D11423" s="84">
        <v>0.0</v>
      </c>
      <c r="E11423" s="84">
        <v>0.0</v>
      </c>
      <c r="F11423" s="76" t="s">
        <v>990</v>
      </c>
      <c r="G11423" s="83">
        <v>46120.0</v>
      </c>
      <c r="H11423" s="76" t="s">
        <v>958</v>
      </c>
    </row>
    <row r="11424">
      <c r="A11424" s="76" t="s">
        <v>33</v>
      </c>
      <c r="B11424" s="76" t="s">
        <v>1041</v>
      </c>
      <c r="C11424" s="84">
        <v>3.67</v>
      </c>
      <c r="D11424" s="84">
        <v>3.0</v>
      </c>
      <c r="E11424" s="84">
        <v>1.22</v>
      </c>
      <c r="F11424" s="76" t="s">
        <v>990</v>
      </c>
      <c r="G11424" s="83">
        <v>46120.0</v>
      </c>
      <c r="H11424" s="76" t="s">
        <v>959</v>
      </c>
    </row>
    <row r="11425">
      <c r="A11425" s="76" t="s">
        <v>40</v>
      </c>
      <c r="B11425" s="76" t="s">
        <v>1041</v>
      </c>
      <c r="C11425" s="84">
        <v>0.86</v>
      </c>
      <c r="D11425" s="84">
        <v>0.0</v>
      </c>
      <c r="E11425" s="84">
        <v>0.0</v>
      </c>
      <c r="F11425" s="76" t="s">
        <v>990</v>
      </c>
      <c r="G11425" s="83">
        <v>46120.0</v>
      </c>
      <c r="H11425" s="76" t="s">
        <v>954</v>
      </c>
    </row>
    <row r="11426">
      <c r="A11426" s="76" t="s">
        <v>40</v>
      </c>
      <c r="B11426" s="76" t="s">
        <v>1041</v>
      </c>
      <c r="C11426" s="84">
        <v>1.38</v>
      </c>
      <c r="D11426" s="84">
        <v>0.0</v>
      </c>
      <c r="E11426" s="84">
        <v>0.0</v>
      </c>
      <c r="F11426" s="76" t="s">
        <v>990</v>
      </c>
      <c r="G11426" s="83">
        <v>46120.0</v>
      </c>
      <c r="H11426" s="76" t="s">
        <v>955</v>
      </c>
    </row>
    <row r="11427">
      <c r="A11427" s="76" t="s">
        <v>40</v>
      </c>
      <c r="B11427" s="76" t="s">
        <v>1041</v>
      </c>
      <c r="C11427" s="84">
        <v>4.94</v>
      </c>
      <c r="D11427" s="84">
        <v>0.0</v>
      </c>
      <c r="E11427" s="84">
        <v>0.0</v>
      </c>
      <c r="F11427" s="76" t="s">
        <v>990</v>
      </c>
      <c r="G11427" s="83">
        <v>46120.0</v>
      </c>
      <c r="H11427" s="76" t="s">
        <v>956</v>
      </c>
    </row>
    <row r="11428">
      <c r="A11428" s="76" t="s">
        <v>43</v>
      </c>
      <c r="B11428" s="76" t="s">
        <v>1041</v>
      </c>
      <c r="C11428" s="84">
        <v>0.88</v>
      </c>
      <c r="D11428" s="84">
        <v>1.0</v>
      </c>
      <c r="E11428" s="84">
        <v>0.88</v>
      </c>
      <c r="F11428" s="76" t="s">
        <v>990</v>
      </c>
      <c r="G11428" s="83">
        <v>46120.0</v>
      </c>
      <c r="H11428" s="76" t="s">
        <v>963</v>
      </c>
    </row>
    <row r="11429">
      <c r="A11429" s="76" t="s">
        <v>43</v>
      </c>
      <c r="B11429" s="76" t="s">
        <v>1041</v>
      </c>
      <c r="C11429" s="84">
        <v>0.21</v>
      </c>
      <c r="D11429" s="84">
        <v>0.0</v>
      </c>
      <c r="E11429" s="84">
        <v>0.0</v>
      </c>
      <c r="F11429" s="76" t="s">
        <v>990</v>
      </c>
      <c r="G11429" s="83">
        <v>46120.0</v>
      </c>
      <c r="H11429" s="76" t="s">
        <v>964</v>
      </c>
    </row>
    <row r="11430">
      <c r="A11430" s="76" t="s">
        <v>43</v>
      </c>
      <c r="B11430" s="76" t="s">
        <v>1041</v>
      </c>
      <c r="C11430" s="84">
        <v>1.49</v>
      </c>
      <c r="D11430" s="84">
        <v>0.0</v>
      </c>
      <c r="E11430" s="84">
        <v>0.0</v>
      </c>
      <c r="F11430" s="76" t="s">
        <v>990</v>
      </c>
      <c r="G11430" s="83">
        <v>46120.0</v>
      </c>
      <c r="H11430" s="76" t="s">
        <v>965</v>
      </c>
    </row>
    <row r="11431">
      <c r="A11431" s="76" t="s">
        <v>966</v>
      </c>
      <c r="B11431" s="76" t="s">
        <v>1041</v>
      </c>
      <c r="C11431" s="84">
        <v>1.23</v>
      </c>
      <c r="D11431" s="84">
        <v>0.0</v>
      </c>
      <c r="E11431" s="84">
        <v>0.0</v>
      </c>
      <c r="F11431" s="76" t="s">
        <v>990</v>
      </c>
      <c r="G11431" s="83">
        <v>46120.0</v>
      </c>
      <c r="H11431" s="76" t="s">
        <v>967</v>
      </c>
    </row>
    <row r="11432">
      <c r="A11432" s="76" t="s">
        <v>966</v>
      </c>
      <c r="B11432" s="76" t="s">
        <v>1041</v>
      </c>
      <c r="C11432" s="84">
        <v>0.77</v>
      </c>
      <c r="D11432" s="84">
        <v>0.0</v>
      </c>
      <c r="E11432" s="84">
        <v>0.0</v>
      </c>
      <c r="F11432" s="76" t="s">
        <v>990</v>
      </c>
      <c r="G11432" s="83">
        <v>46120.0</v>
      </c>
      <c r="H11432" s="76" t="s">
        <v>968</v>
      </c>
    </row>
    <row r="11433">
      <c r="A11433" s="76" t="s">
        <v>966</v>
      </c>
      <c r="B11433" s="76" t="s">
        <v>1041</v>
      </c>
      <c r="C11433" s="84">
        <v>1.02</v>
      </c>
      <c r="D11433" s="84">
        <v>0.0</v>
      </c>
      <c r="E11433" s="84">
        <v>0.0</v>
      </c>
      <c r="F11433" s="76" t="s">
        <v>990</v>
      </c>
      <c r="G11433" s="83">
        <v>46120.0</v>
      </c>
      <c r="H11433" s="76" t="s">
        <v>969</v>
      </c>
    </row>
    <row r="11434">
      <c r="A11434" s="76" t="s">
        <v>970</v>
      </c>
      <c r="B11434" s="76" t="s">
        <v>1041</v>
      </c>
      <c r="C11434" s="84">
        <v>3.5</v>
      </c>
      <c r="D11434" s="84">
        <v>1.0</v>
      </c>
      <c r="E11434" s="84">
        <v>3.5</v>
      </c>
      <c r="F11434" s="76" t="s">
        <v>996</v>
      </c>
      <c r="G11434" s="83">
        <v>46120.0</v>
      </c>
      <c r="H11434" s="76" t="s">
        <v>971</v>
      </c>
    </row>
    <row r="11435">
      <c r="A11435" s="76" t="s">
        <v>970</v>
      </c>
      <c r="B11435" s="76" t="s">
        <v>1041</v>
      </c>
      <c r="C11435" s="84">
        <v>4.71</v>
      </c>
      <c r="D11435" s="84">
        <v>1.0</v>
      </c>
      <c r="E11435" s="84">
        <v>4.71</v>
      </c>
      <c r="F11435" s="76" t="s">
        <v>996</v>
      </c>
      <c r="G11435" s="83">
        <v>46120.0</v>
      </c>
      <c r="H11435" s="76" t="s">
        <v>972</v>
      </c>
    </row>
    <row r="11436">
      <c r="A11436" s="76" t="s">
        <v>970</v>
      </c>
      <c r="B11436" s="76" t="s">
        <v>1041</v>
      </c>
      <c r="C11436" s="84">
        <v>9.57</v>
      </c>
      <c r="D11436" s="84">
        <v>1.0</v>
      </c>
      <c r="E11436" s="84">
        <v>9.57</v>
      </c>
      <c r="F11436" s="76" t="s">
        <v>996</v>
      </c>
      <c r="G11436" s="83">
        <v>46120.0</v>
      </c>
      <c r="H11436" s="76" t="s">
        <v>973</v>
      </c>
    </row>
    <row r="11437">
      <c r="A11437" s="76" t="s">
        <v>29</v>
      </c>
      <c r="B11437" s="76" t="s">
        <v>1041</v>
      </c>
      <c r="C11437" s="84">
        <v>4.4</v>
      </c>
      <c r="D11437" s="84">
        <v>1.0</v>
      </c>
      <c r="E11437" s="84">
        <v>4.4</v>
      </c>
      <c r="F11437" s="76" t="s">
        <v>996</v>
      </c>
      <c r="G11437" s="83">
        <v>46120.0</v>
      </c>
      <c r="H11437" s="76" t="s">
        <v>971</v>
      </c>
    </row>
    <row r="11438">
      <c r="A11438" s="76" t="s">
        <v>29</v>
      </c>
      <c r="B11438" s="76" t="s">
        <v>1041</v>
      </c>
      <c r="C11438" s="84">
        <v>3.71</v>
      </c>
      <c r="D11438" s="84">
        <v>2.0</v>
      </c>
      <c r="E11438" s="84">
        <v>1.86</v>
      </c>
      <c r="F11438" s="76" t="s">
        <v>996</v>
      </c>
      <c r="G11438" s="83">
        <v>46120.0</v>
      </c>
      <c r="H11438" s="76" t="s">
        <v>972</v>
      </c>
    </row>
    <row r="11439">
      <c r="A11439" s="76" t="s">
        <v>29</v>
      </c>
      <c r="B11439" s="76" t="s">
        <v>1041</v>
      </c>
      <c r="C11439" s="84">
        <v>10.43</v>
      </c>
      <c r="D11439" s="84">
        <v>0.0</v>
      </c>
      <c r="E11439" s="84">
        <v>0.0</v>
      </c>
      <c r="F11439" s="76" t="s">
        <v>996</v>
      </c>
      <c r="G11439" s="83">
        <v>46120.0</v>
      </c>
      <c r="H11439" s="76" t="s">
        <v>973</v>
      </c>
    </row>
    <row r="11440">
      <c r="A11440" s="76" t="s">
        <v>43</v>
      </c>
      <c r="B11440" s="76" t="s">
        <v>1041</v>
      </c>
      <c r="C11440" s="84">
        <v>3.9</v>
      </c>
      <c r="D11440" s="84">
        <v>2.0</v>
      </c>
      <c r="E11440" s="84">
        <v>1.95</v>
      </c>
      <c r="F11440" s="76" t="s">
        <v>996</v>
      </c>
      <c r="G11440" s="83">
        <v>46120.0</v>
      </c>
      <c r="H11440" s="76" t="s">
        <v>963</v>
      </c>
    </row>
    <row r="11441">
      <c r="A11441" s="76" t="s">
        <v>43</v>
      </c>
      <c r="B11441" s="76" t="s">
        <v>1041</v>
      </c>
      <c r="C11441" s="84">
        <v>1.86</v>
      </c>
      <c r="D11441" s="84">
        <v>0.0</v>
      </c>
      <c r="E11441" s="84">
        <v>0.0</v>
      </c>
      <c r="F11441" s="76" t="s">
        <v>996</v>
      </c>
      <c r="G11441" s="83">
        <v>46120.0</v>
      </c>
      <c r="H11441" s="76" t="s">
        <v>964</v>
      </c>
    </row>
    <row r="11442">
      <c r="A11442" s="76" t="s">
        <v>43</v>
      </c>
      <c r="B11442" s="76" t="s">
        <v>1041</v>
      </c>
      <c r="C11442" s="84">
        <v>9.78</v>
      </c>
      <c r="D11442" s="84">
        <v>1.0</v>
      </c>
      <c r="E11442" s="84">
        <v>9.78</v>
      </c>
      <c r="F11442" s="76" t="s">
        <v>996</v>
      </c>
      <c r="G11442" s="83">
        <v>46120.0</v>
      </c>
      <c r="H11442" s="76" t="s">
        <v>965</v>
      </c>
    </row>
    <row r="11443">
      <c r="A11443" s="76" t="s">
        <v>46</v>
      </c>
      <c r="B11443" s="76" t="s">
        <v>1041</v>
      </c>
      <c r="C11443" s="84">
        <v>1.67</v>
      </c>
      <c r="D11443" s="84">
        <v>0.0</v>
      </c>
      <c r="E11443" s="84">
        <v>0.0</v>
      </c>
      <c r="F11443" s="76" t="s">
        <v>996</v>
      </c>
      <c r="G11443" s="83">
        <v>46120.0</v>
      </c>
      <c r="H11443" s="76" t="s">
        <v>960</v>
      </c>
    </row>
    <row r="11444">
      <c r="A11444" s="76" t="s">
        <v>46</v>
      </c>
      <c r="B11444" s="76" t="s">
        <v>1041</v>
      </c>
      <c r="C11444" s="84">
        <v>3.53</v>
      </c>
      <c r="D11444" s="84">
        <v>1.0</v>
      </c>
      <c r="E11444" s="84">
        <v>3.53</v>
      </c>
      <c r="F11444" s="76" t="s">
        <v>996</v>
      </c>
      <c r="G11444" s="83">
        <v>46120.0</v>
      </c>
      <c r="H11444" s="76" t="s">
        <v>961</v>
      </c>
    </row>
    <row r="11445">
      <c r="A11445" s="76" t="s">
        <v>46</v>
      </c>
      <c r="B11445" s="76" t="s">
        <v>1041</v>
      </c>
      <c r="C11445" s="84">
        <v>6.64</v>
      </c>
      <c r="D11445" s="84">
        <v>0.0</v>
      </c>
      <c r="E11445" s="84">
        <v>0.0</v>
      </c>
      <c r="F11445" s="76" t="s">
        <v>996</v>
      </c>
      <c r="G11445" s="83">
        <v>46120.0</v>
      </c>
      <c r="H11445" s="76" t="s">
        <v>962</v>
      </c>
    </row>
    <row r="11446">
      <c r="A11446" s="76" t="s">
        <v>966</v>
      </c>
      <c r="B11446" s="76" t="s">
        <v>1041</v>
      </c>
      <c r="C11446" s="84">
        <v>7.35</v>
      </c>
      <c r="D11446" s="84">
        <v>0.0</v>
      </c>
      <c r="E11446" s="84">
        <v>0.0</v>
      </c>
      <c r="F11446" s="76" t="s">
        <v>996</v>
      </c>
      <c r="G11446" s="83">
        <v>46120.0</v>
      </c>
      <c r="H11446" s="76" t="s">
        <v>967</v>
      </c>
    </row>
    <row r="11447">
      <c r="A11447" s="76" t="s">
        <v>966</v>
      </c>
      <c r="B11447" s="76" t="s">
        <v>1041</v>
      </c>
      <c r="C11447" s="84">
        <v>2.4</v>
      </c>
      <c r="D11447" s="84">
        <v>0.0</v>
      </c>
      <c r="E11447" s="84">
        <v>0.0</v>
      </c>
      <c r="F11447" s="76" t="s">
        <v>996</v>
      </c>
      <c r="G11447" s="83">
        <v>46120.0</v>
      </c>
      <c r="H11447" s="76" t="s">
        <v>968</v>
      </c>
    </row>
    <row r="11448">
      <c r="A11448" s="76" t="s">
        <v>966</v>
      </c>
      <c r="B11448" s="76" t="s">
        <v>1041</v>
      </c>
      <c r="C11448" s="84">
        <v>6.83</v>
      </c>
      <c r="D11448" s="84">
        <v>0.0</v>
      </c>
      <c r="E11448" s="84">
        <v>0.0</v>
      </c>
      <c r="F11448" s="76" t="s">
        <v>996</v>
      </c>
      <c r="G11448" s="83">
        <v>46120.0</v>
      </c>
      <c r="H11448" s="76" t="s">
        <v>969</v>
      </c>
    </row>
    <row r="11449">
      <c r="A11449" s="76" t="s">
        <v>33</v>
      </c>
      <c r="B11449" s="76" t="s">
        <v>1041</v>
      </c>
      <c r="C11449" s="84">
        <v>63.25</v>
      </c>
      <c r="D11449" s="84">
        <v>9.0</v>
      </c>
      <c r="E11449" s="84">
        <v>7.03</v>
      </c>
      <c r="F11449" s="76" t="s">
        <v>996</v>
      </c>
      <c r="G11449" s="83">
        <v>46120.0</v>
      </c>
      <c r="H11449" s="76" t="s">
        <v>957</v>
      </c>
    </row>
    <row r="11450">
      <c r="A11450" s="76" t="s">
        <v>33</v>
      </c>
      <c r="B11450" s="76" t="s">
        <v>1041</v>
      </c>
      <c r="C11450" s="84">
        <v>6.07</v>
      </c>
      <c r="D11450" s="84">
        <v>1.0</v>
      </c>
      <c r="E11450" s="84">
        <v>6.07</v>
      </c>
      <c r="F11450" s="76" t="s">
        <v>996</v>
      </c>
      <c r="G11450" s="83">
        <v>46120.0</v>
      </c>
      <c r="H11450" s="76" t="s">
        <v>958</v>
      </c>
    </row>
    <row r="11451">
      <c r="A11451" s="76" t="s">
        <v>33</v>
      </c>
      <c r="B11451" s="76" t="s">
        <v>1041</v>
      </c>
      <c r="C11451" s="84">
        <v>35.3</v>
      </c>
      <c r="D11451" s="84">
        <v>3.0</v>
      </c>
      <c r="E11451" s="84">
        <v>11.77</v>
      </c>
      <c r="F11451" s="76" t="s">
        <v>996</v>
      </c>
      <c r="G11451" s="83">
        <v>46120.0</v>
      </c>
      <c r="H11451" s="76" t="s">
        <v>959</v>
      </c>
    </row>
    <row r="11452">
      <c r="A11452" s="76" t="s">
        <v>34</v>
      </c>
      <c r="B11452" s="76" t="s">
        <v>1041</v>
      </c>
      <c r="C11452" s="84">
        <v>2.54</v>
      </c>
      <c r="D11452" s="84">
        <v>0.0</v>
      </c>
      <c r="E11452" s="84">
        <v>0.0</v>
      </c>
      <c r="F11452" s="76" t="s">
        <v>996</v>
      </c>
      <c r="G11452" s="83">
        <v>46120.0</v>
      </c>
      <c r="H11452" s="76" t="s">
        <v>951</v>
      </c>
    </row>
    <row r="11453">
      <c r="A11453" s="76" t="s">
        <v>34</v>
      </c>
      <c r="B11453" s="76" t="s">
        <v>1041</v>
      </c>
      <c r="C11453" s="84">
        <v>12.14</v>
      </c>
      <c r="D11453" s="84">
        <v>1.0</v>
      </c>
      <c r="E11453" s="84">
        <v>12.14</v>
      </c>
      <c r="F11453" s="76" t="s">
        <v>996</v>
      </c>
      <c r="G11453" s="83">
        <v>46120.0</v>
      </c>
      <c r="H11453" s="76" t="s">
        <v>952</v>
      </c>
    </row>
    <row r="11454">
      <c r="A11454" s="76" t="s">
        <v>34</v>
      </c>
      <c r="B11454" s="76" t="s">
        <v>1041</v>
      </c>
      <c r="C11454" s="84">
        <v>2.52</v>
      </c>
      <c r="D11454" s="84">
        <v>0.0</v>
      </c>
      <c r="E11454" s="84">
        <v>0.0</v>
      </c>
      <c r="F11454" s="76" t="s">
        <v>996</v>
      </c>
      <c r="G11454" s="83">
        <v>46120.0</v>
      </c>
      <c r="H11454" s="76" t="s">
        <v>953</v>
      </c>
    </row>
    <row r="11455">
      <c r="A11455" s="76" t="s">
        <v>36</v>
      </c>
      <c r="B11455" s="76" t="s">
        <v>1041</v>
      </c>
      <c r="C11455" s="84">
        <v>11.91</v>
      </c>
      <c r="D11455" s="84">
        <v>4.0</v>
      </c>
      <c r="E11455" s="84">
        <v>2.98</v>
      </c>
      <c r="F11455" s="76" t="s">
        <v>996</v>
      </c>
      <c r="G11455" s="83">
        <v>46120.0</v>
      </c>
      <c r="H11455" s="76" t="s">
        <v>926</v>
      </c>
    </row>
    <row r="11456">
      <c r="A11456" s="76" t="s">
        <v>36</v>
      </c>
      <c r="B11456" s="76" t="s">
        <v>1041</v>
      </c>
      <c r="C11456" s="84">
        <v>1.18</v>
      </c>
      <c r="D11456" s="84">
        <v>0.0</v>
      </c>
      <c r="E11456" s="84">
        <v>0.0</v>
      </c>
      <c r="F11456" s="76" t="s">
        <v>996</v>
      </c>
      <c r="G11456" s="83">
        <v>46120.0</v>
      </c>
      <c r="H11456" s="76" t="s">
        <v>927</v>
      </c>
    </row>
    <row r="11457">
      <c r="A11457" s="76" t="s">
        <v>36</v>
      </c>
      <c r="B11457" s="76" t="s">
        <v>1041</v>
      </c>
      <c r="C11457" s="84">
        <v>13.69</v>
      </c>
      <c r="D11457" s="84">
        <v>0.0</v>
      </c>
      <c r="E11457" s="84">
        <v>0.0</v>
      </c>
      <c r="F11457" s="76" t="s">
        <v>996</v>
      </c>
      <c r="G11457" s="83">
        <v>46120.0</v>
      </c>
      <c r="H11457" s="76" t="s">
        <v>928</v>
      </c>
    </row>
    <row r="11458">
      <c r="A11458" s="76" t="s">
        <v>40</v>
      </c>
      <c r="B11458" s="76" t="s">
        <v>1041</v>
      </c>
      <c r="C11458" s="84">
        <v>7.84</v>
      </c>
      <c r="D11458" s="84">
        <v>1.0</v>
      </c>
      <c r="E11458" s="84">
        <v>7.84</v>
      </c>
      <c r="F11458" s="76" t="s">
        <v>996</v>
      </c>
      <c r="G11458" s="83">
        <v>46120.0</v>
      </c>
      <c r="H11458" s="76" t="s">
        <v>954</v>
      </c>
    </row>
    <row r="11459">
      <c r="A11459" s="76" t="s">
        <v>40</v>
      </c>
      <c r="B11459" s="76" t="s">
        <v>1041</v>
      </c>
      <c r="C11459" s="84">
        <v>7.33</v>
      </c>
      <c r="D11459" s="84">
        <v>1.0</v>
      </c>
      <c r="E11459" s="84">
        <v>7.33</v>
      </c>
      <c r="F11459" s="76" t="s">
        <v>996</v>
      </c>
      <c r="G11459" s="83">
        <v>46120.0</v>
      </c>
      <c r="H11459" s="76" t="s">
        <v>955</v>
      </c>
    </row>
    <row r="11460">
      <c r="A11460" s="76" t="s">
        <v>40</v>
      </c>
      <c r="B11460" s="76" t="s">
        <v>1041</v>
      </c>
      <c r="C11460" s="84">
        <v>20.86</v>
      </c>
      <c r="D11460" s="84">
        <v>2.0</v>
      </c>
      <c r="E11460" s="84">
        <v>10.43</v>
      </c>
      <c r="F11460" s="76" t="s">
        <v>996</v>
      </c>
      <c r="G11460" s="83">
        <v>46120.0</v>
      </c>
      <c r="H11460" s="76" t="s">
        <v>956</v>
      </c>
    </row>
    <row r="11461">
      <c r="A11461" s="76" t="s">
        <v>40</v>
      </c>
      <c r="B11461" s="76" t="s">
        <v>1041</v>
      </c>
      <c r="C11461" s="84">
        <v>6.16</v>
      </c>
      <c r="D11461" s="84">
        <v>1.0</v>
      </c>
      <c r="E11461" s="84">
        <v>6.16</v>
      </c>
      <c r="F11461" s="76" t="s">
        <v>993</v>
      </c>
      <c r="G11461" s="83">
        <v>46120.0</v>
      </c>
      <c r="H11461" s="76" t="s">
        <v>954</v>
      </c>
    </row>
    <row r="11462">
      <c r="A11462" s="76" t="s">
        <v>40</v>
      </c>
      <c r="B11462" s="76" t="s">
        <v>1041</v>
      </c>
      <c r="C11462" s="84">
        <v>2.24</v>
      </c>
      <c r="D11462" s="84">
        <v>0.0</v>
      </c>
      <c r="E11462" s="84">
        <v>0.0</v>
      </c>
      <c r="F11462" s="76" t="s">
        <v>993</v>
      </c>
      <c r="G11462" s="83">
        <v>46120.0</v>
      </c>
      <c r="H11462" s="76" t="s">
        <v>955</v>
      </c>
    </row>
    <row r="11463">
      <c r="A11463" s="76" t="s">
        <v>40</v>
      </c>
      <c r="B11463" s="76" t="s">
        <v>1041</v>
      </c>
      <c r="C11463" s="84">
        <v>160.14</v>
      </c>
      <c r="D11463" s="84">
        <v>29.0</v>
      </c>
      <c r="E11463" s="84">
        <v>5.52</v>
      </c>
      <c r="F11463" s="76" t="s">
        <v>993</v>
      </c>
      <c r="G11463" s="83">
        <v>46120.0</v>
      </c>
      <c r="H11463" s="76" t="s">
        <v>956</v>
      </c>
    </row>
    <row r="11464">
      <c r="A11464" s="76" t="s">
        <v>36</v>
      </c>
      <c r="B11464" s="76" t="s">
        <v>1041</v>
      </c>
      <c r="C11464" s="84">
        <v>32.54</v>
      </c>
      <c r="D11464" s="84">
        <v>4.0</v>
      </c>
      <c r="E11464" s="84">
        <v>8.13</v>
      </c>
      <c r="F11464" s="76" t="s">
        <v>993</v>
      </c>
      <c r="G11464" s="83">
        <v>46120.0</v>
      </c>
      <c r="H11464" s="76" t="s">
        <v>926</v>
      </c>
    </row>
    <row r="11465">
      <c r="A11465" s="76" t="s">
        <v>36</v>
      </c>
      <c r="B11465" s="76" t="s">
        <v>1041</v>
      </c>
      <c r="C11465" s="84">
        <v>1.81</v>
      </c>
      <c r="D11465" s="84">
        <v>1.0</v>
      </c>
      <c r="E11465" s="84">
        <v>1.81</v>
      </c>
      <c r="F11465" s="76" t="s">
        <v>993</v>
      </c>
      <c r="G11465" s="83">
        <v>46120.0</v>
      </c>
      <c r="H11465" s="76" t="s">
        <v>927</v>
      </c>
    </row>
    <row r="11466">
      <c r="A11466" s="76" t="s">
        <v>36</v>
      </c>
      <c r="B11466" s="76" t="s">
        <v>1041</v>
      </c>
      <c r="C11466" s="84">
        <v>9.46</v>
      </c>
      <c r="D11466" s="84">
        <v>2.0</v>
      </c>
      <c r="E11466" s="84">
        <v>4.73</v>
      </c>
      <c r="F11466" s="76" t="s">
        <v>993</v>
      </c>
      <c r="G11466" s="83">
        <v>46120.0</v>
      </c>
      <c r="H11466" s="76" t="s">
        <v>928</v>
      </c>
    </row>
    <row r="11467">
      <c r="A11467" s="76" t="s">
        <v>46</v>
      </c>
      <c r="B11467" s="76" t="s">
        <v>1041</v>
      </c>
      <c r="C11467" s="84">
        <v>5.09</v>
      </c>
      <c r="D11467" s="84">
        <v>3.0</v>
      </c>
      <c r="E11467" s="84">
        <v>1.7</v>
      </c>
      <c r="F11467" s="76" t="s">
        <v>993</v>
      </c>
      <c r="G11467" s="83">
        <v>46120.0</v>
      </c>
      <c r="H11467" s="76" t="s">
        <v>960</v>
      </c>
    </row>
    <row r="11468">
      <c r="A11468" s="76" t="s">
        <v>46</v>
      </c>
      <c r="B11468" s="76" t="s">
        <v>1041</v>
      </c>
      <c r="C11468" s="84">
        <v>2.71</v>
      </c>
      <c r="D11468" s="84">
        <v>0.0</v>
      </c>
      <c r="E11468" s="84">
        <v>0.0</v>
      </c>
      <c r="F11468" s="76" t="s">
        <v>993</v>
      </c>
      <c r="G11468" s="83">
        <v>46120.0</v>
      </c>
      <c r="H11468" s="76" t="s">
        <v>961</v>
      </c>
    </row>
    <row r="11469">
      <c r="A11469" s="76" t="s">
        <v>46</v>
      </c>
      <c r="B11469" s="76" t="s">
        <v>1041</v>
      </c>
      <c r="C11469" s="84">
        <v>4.3</v>
      </c>
      <c r="D11469" s="84">
        <v>0.0</v>
      </c>
      <c r="E11469" s="84">
        <v>0.0</v>
      </c>
      <c r="F11469" s="76" t="s">
        <v>993</v>
      </c>
      <c r="G11469" s="83">
        <v>46120.0</v>
      </c>
      <c r="H11469" s="76" t="s">
        <v>962</v>
      </c>
    </row>
    <row r="11470">
      <c r="A11470" s="76" t="s">
        <v>970</v>
      </c>
      <c r="B11470" s="76" t="s">
        <v>1041</v>
      </c>
      <c r="C11470" s="84">
        <v>9.15</v>
      </c>
      <c r="D11470" s="84">
        <v>2.0</v>
      </c>
      <c r="E11470" s="84">
        <v>4.57</v>
      </c>
      <c r="F11470" s="76" t="s">
        <v>993</v>
      </c>
      <c r="G11470" s="83">
        <v>46120.0</v>
      </c>
      <c r="H11470" s="76" t="s">
        <v>971</v>
      </c>
    </row>
    <row r="11471">
      <c r="A11471" s="76" t="s">
        <v>970</v>
      </c>
      <c r="B11471" s="76" t="s">
        <v>1041</v>
      </c>
      <c r="C11471" s="84">
        <v>2.65</v>
      </c>
      <c r="D11471" s="84">
        <v>0.0</v>
      </c>
      <c r="E11471" s="84">
        <v>0.0</v>
      </c>
      <c r="F11471" s="76" t="s">
        <v>993</v>
      </c>
      <c r="G11471" s="83">
        <v>46120.0</v>
      </c>
      <c r="H11471" s="76" t="s">
        <v>972</v>
      </c>
    </row>
    <row r="11472">
      <c r="A11472" s="76" t="s">
        <v>970</v>
      </c>
      <c r="B11472" s="76" t="s">
        <v>1041</v>
      </c>
      <c r="C11472" s="84">
        <v>31.65</v>
      </c>
      <c r="D11472" s="84">
        <v>2.0</v>
      </c>
      <c r="E11472" s="84">
        <v>15.83</v>
      </c>
      <c r="F11472" s="76" t="s">
        <v>993</v>
      </c>
      <c r="G11472" s="83">
        <v>46120.0</v>
      </c>
      <c r="H11472" s="76" t="s">
        <v>973</v>
      </c>
    </row>
    <row r="11473">
      <c r="A11473" s="76" t="s">
        <v>33</v>
      </c>
      <c r="B11473" s="76" t="s">
        <v>1041</v>
      </c>
      <c r="C11473" s="84">
        <v>260.53</v>
      </c>
      <c r="D11473" s="84">
        <v>47.0</v>
      </c>
      <c r="E11473" s="84">
        <v>5.54</v>
      </c>
      <c r="F11473" s="76" t="s">
        <v>993</v>
      </c>
      <c r="G11473" s="83">
        <v>46120.0</v>
      </c>
      <c r="H11473" s="76" t="s">
        <v>957</v>
      </c>
    </row>
    <row r="11474">
      <c r="A11474" s="76" t="s">
        <v>33</v>
      </c>
      <c r="B11474" s="76" t="s">
        <v>1041</v>
      </c>
      <c r="C11474" s="84">
        <v>8.0</v>
      </c>
      <c r="D11474" s="84">
        <v>0.0</v>
      </c>
      <c r="E11474" s="84">
        <v>0.0</v>
      </c>
      <c r="F11474" s="76" t="s">
        <v>993</v>
      </c>
      <c r="G11474" s="83">
        <v>46120.0</v>
      </c>
      <c r="H11474" s="76" t="s">
        <v>958</v>
      </c>
    </row>
    <row r="11475">
      <c r="A11475" s="76" t="s">
        <v>33</v>
      </c>
      <c r="B11475" s="76" t="s">
        <v>1041</v>
      </c>
      <c r="C11475" s="84">
        <v>132.48</v>
      </c>
      <c r="D11475" s="84">
        <v>15.0</v>
      </c>
      <c r="E11475" s="84">
        <v>8.83</v>
      </c>
      <c r="F11475" s="76" t="s">
        <v>993</v>
      </c>
      <c r="G11475" s="83">
        <v>46120.0</v>
      </c>
      <c r="H11475" s="76" t="s">
        <v>959</v>
      </c>
    </row>
    <row r="11476">
      <c r="A11476" s="76" t="s">
        <v>966</v>
      </c>
      <c r="B11476" s="76" t="s">
        <v>1041</v>
      </c>
      <c r="C11476" s="84">
        <v>21.46</v>
      </c>
      <c r="D11476" s="84">
        <v>0.0</v>
      </c>
      <c r="E11476" s="84">
        <v>0.0</v>
      </c>
      <c r="F11476" s="76" t="s">
        <v>993</v>
      </c>
      <c r="G11476" s="83">
        <v>46120.0</v>
      </c>
      <c r="H11476" s="76" t="s">
        <v>967</v>
      </c>
    </row>
    <row r="11477">
      <c r="A11477" s="76" t="s">
        <v>966</v>
      </c>
      <c r="B11477" s="76" t="s">
        <v>1041</v>
      </c>
      <c r="C11477" s="84">
        <v>4.58</v>
      </c>
      <c r="D11477" s="84">
        <v>0.0</v>
      </c>
      <c r="E11477" s="84">
        <v>0.0</v>
      </c>
      <c r="F11477" s="76" t="s">
        <v>993</v>
      </c>
      <c r="G11477" s="83">
        <v>46120.0</v>
      </c>
      <c r="H11477" s="76" t="s">
        <v>968</v>
      </c>
    </row>
    <row r="11478">
      <c r="A11478" s="76" t="s">
        <v>966</v>
      </c>
      <c r="B11478" s="76" t="s">
        <v>1041</v>
      </c>
      <c r="C11478" s="84">
        <v>16.64</v>
      </c>
      <c r="D11478" s="84">
        <v>1.0</v>
      </c>
      <c r="E11478" s="84">
        <v>16.64</v>
      </c>
      <c r="F11478" s="76" t="s">
        <v>993</v>
      </c>
      <c r="G11478" s="83">
        <v>46120.0</v>
      </c>
      <c r="H11478" s="76" t="s">
        <v>969</v>
      </c>
    </row>
    <row r="11479">
      <c r="A11479" s="76" t="s">
        <v>29</v>
      </c>
      <c r="B11479" s="76" t="s">
        <v>1041</v>
      </c>
      <c r="C11479" s="84">
        <v>14.83</v>
      </c>
      <c r="D11479" s="84">
        <v>3.0</v>
      </c>
      <c r="E11479" s="84">
        <v>4.94</v>
      </c>
      <c r="F11479" s="76" t="s">
        <v>993</v>
      </c>
      <c r="G11479" s="83">
        <v>46120.0</v>
      </c>
      <c r="H11479" s="76" t="s">
        <v>971</v>
      </c>
    </row>
    <row r="11480">
      <c r="A11480" s="76" t="s">
        <v>29</v>
      </c>
      <c r="B11480" s="76" t="s">
        <v>1041</v>
      </c>
      <c r="C11480" s="84">
        <v>4.79</v>
      </c>
      <c r="D11480" s="84">
        <v>0.0</v>
      </c>
      <c r="E11480" s="84">
        <v>0.0</v>
      </c>
      <c r="F11480" s="76" t="s">
        <v>993</v>
      </c>
      <c r="G11480" s="83">
        <v>46120.0</v>
      </c>
      <c r="H11480" s="76" t="s">
        <v>972</v>
      </c>
    </row>
    <row r="11481">
      <c r="A11481" s="76" t="s">
        <v>29</v>
      </c>
      <c r="B11481" s="76" t="s">
        <v>1041</v>
      </c>
      <c r="C11481" s="84">
        <v>36.28</v>
      </c>
      <c r="D11481" s="84">
        <v>7.0</v>
      </c>
      <c r="E11481" s="84">
        <v>5.18</v>
      </c>
      <c r="F11481" s="76" t="s">
        <v>993</v>
      </c>
      <c r="G11481" s="83">
        <v>46120.0</v>
      </c>
      <c r="H11481" s="76" t="s">
        <v>973</v>
      </c>
    </row>
    <row r="11482">
      <c r="A11482" s="76" t="s">
        <v>34</v>
      </c>
      <c r="B11482" s="76" t="s">
        <v>1041</v>
      </c>
      <c r="C11482" s="84">
        <v>7.15</v>
      </c>
      <c r="D11482" s="84">
        <v>0.0</v>
      </c>
      <c r="E11482" s="84">
        <v>0.0</v>
      </c>
      <c r="F11482" s="76" t="s">
        <v>993</v>
      </c>
      <c r="G11482" s="83">
        <v>46120.0</v>
      </c>
      <c r="H11482" s="76" t="s">
        <v>951</v>
      </c>
    </row>
    <row r="11483">
      <c r="A11483" s="76" t="s">
        <v>34</v>
      </c>
      <c r="B11483" s="76" t="s">
        <v>1041</v>
      </c>
      <c r="C11483" s="84">
        <v>25.74</v>
      </c>
      <c r="D11483" s="84">
        <v>2.0</v>
      </c>
      <c r="E11483" s="84">
        <v>12.87</v>
      </c>
      <c r="F11483" s="76" t="s">
        <v>993</v>
      </c>
      <c r="G11483" s="83">
        <v>46120.0</v>
      </c>
      <c r="H11483" s="76" t="s">
        <v>952</v>
      </c>
    </row>
    <row r="11484">
      <c r="A11484" s="76" t="s">
        <v>34</v>
      </c>
      <c r="B11484" s="76" t="s">
        <v>1041</v>
      </c>
      <c r="C11484" s="84">
        <v>9.15</v>
      </c>
      <c r="D11484" s="84">
        <v>1.0</v>
      </c>
      <c r="E11484" s="84">
        <v>9.15</v>
      </c>
      <c r="F11484" s="76" t="s">
        <v>993</v>
      </c>
      <c r="G11484" s="83">
        <v>46120.0</v>
      </c>
      <c r="H11484" s="76" t="s">
        <v>953</v>
      </c>
    </row>
    <row r="11485">
      <c r="A11485" s="76" t="s">
        <v>43</v>
      </c>
      <c r="B11485" s="76" t="s">
        <v>1041</v>
      </c>
      <c r="C11485" s="84">
        <v>11.05</v>
      </c>
      <c r="D11485" s="84">
        <v>1.0</v>
      </c>
      <c r="E11485" s="84">
        <v>11.05</v>
      </c>
      <c r="F11485" s="76" t="s">
        <v>993</v>
      </c>
      <c r="G11485" s="83">
        <v>46120.0</v>
      </c>
      <c r="H11485" s="76" t="s">
        <v>963</v>
      </c>
    </row>
    <row r="11486">
      <c r="A11486" s="76" t="s">
        <v>43</v>
      </c>
      <c r="B11486" s="76" t="s">
        <v>1041</v>
      </c>
      <c r="C11486" s="84">
        <v>3.95</v>
      </c>
      <c r="D11486" s="84">
        <v>0.0</v>
      </c>
      <c r="E11486" s="84">
        <v>0.0</v>
      </c>
      <c r="F11486" s="76" t="s">
        <v>993</v>
      </c>
      <c r="G11486" s="83">
        <v>46120.0</v>
      </c>
      <c r="H11486" s="76" t="s">
        <v>964</v>
      </c>
    </row>
    <row r="11487">
      <c r="A11487" s="76" t="s">
        <v>43</v>
      </c>
      <c r="B11487" s="76" t="s">
        <v>1041</v>
      </c>
      <c r="C11487" s="84">
        <v>28.3</v>
      </c>
      <c r="D11487" s="84">
        <v>3.0</v>
      </c>
      <c r="E11487" s="84">
        <v>9.43</v>
      </c>
      <c r="F11487" s="76" t="s">
        <v>993</v>
      </c>
      <c r="G11487" s="83">
        <v>46120.0</v>
      </c>
      <c r="H11487" s="76" t="s">
        <v>965</v>
      </c>
    </row>
    <row r="11488">
      <c r="A11488" s="76" t="s">
        <v>36</v>
      </c>
      <c r="B11488" s="76" t="s">
        <v>1041</v>
      </c>
      <c r="C11488" s="84">
        <v>2.31</v>
      </c>
      <c r="D11488" s="84">
        <v>2.0</v>
      </c>
      <c r="E11488" s="84">
        <v>1.15</v>
      </c>
      <c r="F11488" s="76" t="s">
        <v>998</v>
      </c>
      <c r="G11488" s="83">
        <v>46120.0</v>
      </c>
      <c r="H11488" s="76" t="s">
        <v>926</v>
      </c>
    </row>
    <row r="11489">
      <c r="A11489" s="76" t="s">
        <v>36</v>
      </c>
      <c r="B11489" s="76" t="s">
        <v>1041</v>
      </c>
      <c r="C11489" s="84">
        <v>0.25</v>
      </c>
      <c r="D11489" s="84">
        <v>0.0</v>
      </c>
      <c r="E11489" s="84">
        <v>0.0</v>
      </c>
      <c r="F11489" s="76" t="s">
        <v>998</v>
      </c>
      <c r="G11489" s="83">
        <v>46120.0</v>
      </c>
      <c r="H11489" s="76" t="s">
        <v>927</v>
      </c>
    </row>
    <row r="11490">
      <c r="A11490" s="76" t="s">
        <v>36</v>
      </c>
      <c r="B11490" s="76" t="s">
        <v>1041</v>
      </c>
      <c r="C11490" s="84">
        <v>0.84</v>
      </c>
      <c r="D11490" s="84">
        <v>0.0</v>
      </c>
      <c r="E11490" s="84">
        <v>0.0</v>
      </c>
      <c r="F11490" s="76" t="s">
        <v>998</v>
      </c>
      <c r="G11490" s="83">
        <v>46120.0</v>
      </c>
      <c r="H11490" s="76" t="s">
        <v>928</v>
      </c>
    </row>
    <row r="11491">
      <c r="A11491" s="76" t="s">
        <v>34</v>
      </c>
      <c r="B11491" s="76" t="s">
        <v>1041</v>
      </c>
      <c r="C11491" s="84">
        <v>0.86</v>
      </c>
      <c r="D11491" s="84">
        <v>0.0</v>
      </c>
      <c r="E11491" s="84">
        <v>0.0</v>
      </c>
      <c r="F11491" s="76" t="s">
        <v>998</v>
      </c>
      <c r="G11491" s="83">
        <v>46120.0</v>
      </c>
      <c r="H11491" s="76" t="s">
        <v>951</v>
      </c>
    </row>
    <row r="11492">
      <c r="A11492" s="76" t="s">
        <v>34</v>
      </c>
      <c r="B11492" s="76" t="s">
        <v>1041</v>
      </c>
      <c r="C11492" s="84">
        <v>0.77</v>
      </c>
      <c r="D11492" s="84">
        <v>1.0</v>
      </c>
      <c r="E11492" s="84">
        <v>0.77</v>
      </c>
      <c r="F11492" s="76" t="s">
        <v>998</v>
      </c>
      <c r="G11492" s="83">
        <v>46120.0</v>
      </c>
      <c r="H11492" s="76" t="s">
        <v>952</v>
      </c>
    </row>
    <row r="11493">
      <c r="A11493" s="76" t="s">
        <v>34</v>
      </c>
      <c r="B11493" s="76" t="s">
        <v>1041</v>
      </c>
      <c r="C11493" s="84">
        <v>0.88</v>
      </c>
      <c r="D11493" s="84">
        <v>0.0</v>
      </c>
      <c r="E11493" s="84">
        <v>0.0</v>
      </c>
      <c r="F11493" s="76" t="s">
        <v>998</v>
      </c>
      <c r="G11493" s="83">
        <v>46120.0</v>
      </c>
      <c r="H11493" s="76" t="s">
        <v>953</v>
      </c>
    </row>
    <row r="11494">
      <c r="A11494" s="76" t="s">
        <v>33</v>
      </c>
      <c r="B11494" s="76" t="s">
        <v>1041</v>
      </c>
      <c r="C11494" s="84">
        <v>7.33</v>
      </c>
      <c r="D11494" s="84">
        <v>1.0</v>
      </c>
      <c r="E11494" s="84">
        <v>7.33</v>
      </c>
      <c r="F11494" s="76" t="s">
        <v>998</v>
      </c>
      <c r="G11494" s="83">
        <v>46120.0</v>
      </c>
      <c r="H11494" s="76" t="s">
        <v>957</v>
      </c>
    </row>
    <row r="11495">
      <c r="A11495" s="76" t="s">
        <v>33</v>
      </c>
      <c r="B11495" s="76" t="s">
        <v>1041</v>
      </c>
      <c r="C11495" s="84">
        <v>0.5</v>
      </c>
      <c r="D11495" s="84">
        <v>0.0</v>
      </c>
      <c r="E11495" s="84">
        <v>0.0</v>
      </c>
      <c r="F11495" s="76" t="s">
        <v>998</v>
      </c>
      <c r="G11495" s="83">
        <v>46120.0</v>
      </c>
      <c r="H11495" s="76" t="s">
        <v>958</v>
      </c>
    </row>
    <row r="11496">
      <c r="A11496" s="76" t="s">
        <v>33</v>
      </c>
      <c r="B11496" s="76" t="s">
        <v>1041</v>
      </c>
      <c r="C11496" s="84">
        <v>1.99</v>
      </c>
      <c r="D11496" s="84">
        <v>0.0</v>
      </c>
      <c r="E11496" s="84">
        <v>0.0</v>
      </c>
      <c r="F11496" s="76" t="s">
        <v>998</v>
      </c>
      <c r="G11496" s="83">
        <v>46120.0</v>
      </c>
      <c r="H11496" s="76" t="s">
        <v>959</v>
      </c>
    </row>
    <row r="11497">
      <c r="A11497" s="76" t="s">
        <v>29</v>
      </c>
      <c r="B11497" s="76" t="s">
        <v>1041</v>
      </c>
      <c r="C11497" s="84">
        <v>1.36</v>
      </c>
      <c r="D11497" s="84">
        <v>0.0</v>
      </c>
      <c r="E11497" s="84">
        <v>0.0</v>
      </c>
      <c r="F11497" s="76" t="s">
        <v>998</v>
      </c>
      <c r="G11497" s="83">
        <v>46120.0</v>
      </c>
      <c r="H11497" s="76" t="s">
        <v>971</v>
      </c>
    </row>
    <row r="11498">
      <c r="A11498" s="76" t="s">
        <v>29</v>
      </c>
      <c r="B11498" s="76" t="s">
        <v>1041</v>
      </c>
      <c r="C11498" s="84">
        <v>0.61</v>
      </c>
      <c r="D11498" s="84">
        <v>0.0</v>
      </c>
      <c r="E11498" s="84">
        <v>0.0</v>
      </c>
      <c r="F11498" s="76" t="s">
        <v>998</v>
      </c>
      <c r="G11498" s="83">
        <v>46120.0</v>
      </c>
      <c r="H11498" s="76" t="s">
        <v>972</v>
      </c>
    </row>
    <row r="11499">
      <c r="A11499" s="76" t="s">
        <v>29</v>
      </c>
      <c r="B11499" s="76" t="s">
        <v>1041</v>
      </c>
      <c r="C11499" s="84">
        <v>2.42</v>
      </c>
      <c r="D11499" s="84">
        <v>0.0</v>
      </c>
      <c r="E11499" s="84">
        <v>0.0</v>
      </c>
      <c r="F11499" s="76" t="s">
        <v>998</v>
      </c>
      <c r="G11499" s="83">
        <v>46120.0</v>
      </c>
      <c r="H11499" s="76" t="s">
        <v>973</v>
      </c>
    </row>
    <row r="11500">
      <c r="A11500" s="76" t="s">
        <v>46</v>
      </c>
      <c r="B11500" s="76" t="s">
        <v>1041</v>
      </c>
      <c r="C11500" s="84">
        <v>0.55</v>
      </c>
      <c r="D11500" s="84">
        <v>0.0</v>
      </c>
      <c r="E11500" s="84">
        <v>0.0</v>
      </c>
      <c r="F11500" s="76" t="s">
        <v>998</v>
      </c>
      <c r="G11500" s="83">
        <v>46120.0</v>
      </c>
      <c r="H11500" s="76" t="s">
        <v>960</v>
      </c>
    </row>
    <row r="11501">
      <c r="A11501" s="76" t="s">
        <v>46</v>
      </c>
      <c r="B11501" s="76" t="s">
        <v>1041</v>
      </c>
      <c r="C11501" s="84">
        <v>0.34</v>
      </c>
      <c r="D11501" s="84">
        <v>0.0</v>
      </c>
      <c r="E11501" s="84">
        <v>0.0</v>
      </c>
      <c r="F11501" s="76" t="s">
        <v>998</v>
      </c>
      <c r="G11501" s="83">
        <v>46120.0</v>
      </c>
      <c r="H11501" s="76" t="s">
        <v>961</v>
      </c>
    </row>
    <row r="11502">
      <c r="A11502" s="76" t="s">
        <v>46</v>
      </c>
      <c r="B11502" s="76" t="s">
        <v>1041</v>
      </c>
      <c r="C11502" s="84">
        <v>0.47</v>
      </c>
      <c r="D11502" s="84">
        <v>1.0</v>
      </c>
      <c r="E11502" s="84">
        <v>0.47</v>
      </c>
      <c r="F11502" s="76" t="s">
        <v>998</v>
      </c>
      <c r="G11502" s="83">
        <v>46120.0</v>
      </c>
      <c r="H11502" s="76" t="s">
        <v>962</v>
      </c>
    </row>
    <row r="11503">
      <c r="A11503" s="76" t="s">
        <v>40</v>
      </c>
      <c r="B11503" s="76" t="s">
        <v>1041</v>
      </c>
      <c r="C11503" s="84">
        <v>0.55</v>
      </c>
      <c r="D11503" s="84">
        <v>0.0</v>
      </c>
      <c r="E11503" s="84">
        <v>0.0</v>
      </c>
      <c r="F11503" s="76" t="s">
        <v>998</v>
      </c>
      <c r="G11503" s="83">
        <v>46120.0</v>
      </c>
      <c r="H11503" s="76" t="s">
        <v>954</v>
      </c>
    </row>
    <row r="11504">
      <c r="A11504" s="76" t="s">
        <v>40</v>
      </c>
      <c r="B11504" s="76" t="s">
        <v>1041</v>
      </c>
      <c r="C11504" s="84">
        <v>0.91</v>
      </c>
      <c r="D11504" s="84">
        <v>1.0</v>
      </c>
      <c r="E11504" s="84">
        <v>0.91</v>
      </c>
      <c r="F11504" s="76" t="s">
        <v>998</v>
      </c>
      <c r="G11504" s="83">
        <v>46120.0</v>
      </c>
      <c r="H11504" s="76" t="s">
        <v>955</v>
      </c>
    </row>
    <row r="11505">
      <c r="A11505" s="76" t="s">
        <v>40</v>
      </c>
      <c r="B11505" s="76" t="s">
        <v>1041</v>
      </c>
      <c r="C11505" s="84">
        <v>4.19</v>
      </c>
      <c r="D11505" s="84">
        <v>0.0</v>
      </c>
      <c r="E11505" s="84">
        <v>0.0</v>
      </c>
      <c r="F11505" s="76" t="s">
        <v>998</v>
      </c>
      <c r="G11505" s="83">
        <v>46120.0</v>
      </c>
      <c r="H11505" s="76" t="s">
        <v>956</v>
      </c>
    </row>
    <row r="11506">
      <c r="A11506" s="76" t="s">
        <v>966</v>
      </c>
      <c r="B11506" s="76" t="s">
        <v>1041</v>
      </c>
      <c r="C11506" s="84">
        <v>2.05</v>
      </c>
      <c r="D11506" s="84">
        <v>2.0</v>
      </c>
      <c r="E11506" s="84">
        <v>1.03</v>
      </c>
      <c r="F11506" s="76" t="s">
        <v>998</v>
      </c>
      <c r="G11506" s="83">
        <v>46120.0</v>
      </c>
      <c r="H11506" s="76" t="s">
        <v>967</v>
      </c>
    </row>
    <row r="11507">
      <c r="A11507" s="76" t="s">
        <v>966</v>
      </c>
      <c r="B11507" s="76" t="s">
        <v>1041</v>
      </c>
      <c r="C11507" s="84">
        <v>0.46</v>
      </c>
      <c r="D11507" s="84">
        <v>0.0</v>
      </c>
      <c r="E11507" s="84">
        <v>0.0</v>
      </c>
      <c r="F11507" s="76" t="s">
        <v>998</v>
      </c>
      <c r="G11507" s="83">
        <v>46120.0</v>
      </c>
      <c r="H11507" s="76" t="s">
        <v>968</v>
      </c>
    </row>
    <row r="11508">
      <c r="A11508" s="76" t="s">
        <v>966</v>
      </c>
      <c r="B11508" s="76" t="s">
        <v>1041</v>
      </c>
      <c r="C11508" s="84">
        <v>0.9</v>
      </c>
      <c r="D11508" s="84">
        <v>1.0</v>
      </c>
      <c r="E11508" s="84">
        <v>0.9</v>
      </c>
      <c r="F11508" s="76" t="s">
        <v>998</v>
      </c>
      <c r="G11508" s="83">
        <v>46120.0</v>
      </c>
      <c r="H11508" s="76" t="s">
        <v>969</v>
      </c>
    </row>
    <row r="11509">
      <c r="A11509" s="76" t="s">
        <v>43</v>
      </c>
      <c r="B11509" s="76" t="s">
        <v>1041</v>
      </c>
      <c r="C11509" s="84">
        <v>0.53</v>
      </c>
      <c r="D11509" s="84">
        <v>0.0</v>
      </c>
      <c r="E11509" s="84">
        <v>0.0</v>
      </c>
      <c r="F11509" s="76" t="s">
        <v>998</v>
      </c>
      <c r="G11509" s="83">
        <v>46120.0</v>
      </c>
      <c r="H11509" s="76" t="s">
        <v>963</v>
      </c>
    </row>
    <row r="11510">
      <c r="A11510" s="76" t="s">
        <v>43</v>
      </c>
      <c r="B11510" s="76" t="s">
        <v>1041</v>
      </c>
      <c r="C11510" s="84">
        <v>0.12</v>
      </c>
      <c r="D11510" s="84">
        <v>0.0</v>
      </c>
      <c r="E11510" s="84">
        <v>0.0</v>
      </c>
      <c r="F11510" s="76" t="s">
        <v>998</v>
      </c>
      <c r="G11510" s="83">
        <v>46120.0</v>
      </c>
      <c r="H11510" s="76" t="s">
        <v>964</v>
      </c>
    </row>
    <row r="11511">
      <c r="A11511" s="76" t="s">
        <v>43</v>
      </c>
      <c r="B11511" s="76" t="s">
        <v>1041</v>
      </c>
      <c r="C11511" s="84">
        <v>2.02</v>
      </c>
      <c r="D11511" s="84">
        <v>0.0</v>
      </c>
      <c r="E11511" s="84">
        <v>0.0</v>
      </c>
      <c r="F11511" s="76" t="s">
        <v>998</v>
      </c>
      <c r="G11511" s="83">
        <v>46120.0</v>
      </c>
      <c r="H11511" s="76" t="s">
        <v>965</v>
      </c>
    </row>
    <row r="11512">
      <c r="A11512" s="76" t="s">
        <v>970</v>
      </c>
      <c r="B11512" s="76" t="s">
        <v>1041</v>
      </c>
      <c r="C11512" s="84">
        <v>0.57</v>
      </c>
      <c r="D11512" s="84">
        <v>0.0</v>
      </c>
      <c r="E11512" s="84">
        <v>0.0</v>
      </c>
      <c r="F11512" s="76" t="s">
        <v>998</v>
      </c>
      <c r="G11512" s="83">
        <v>46120.0</v>
      </c>
      <c r="H11512" s="76" t="s">
        <v>971</v>
      </c>
    </row>
    <row r="11513">
      <c r="A11513" s="76" t="s">
        <v>970</v>
      </c>
      <c r="B11513" s="76" t="s">
        <v>1041</v>
      </c>
      <c r="C11513" s="84">
        <v>0.54</v>
      </c>
      <c r="D11513" s="84">
        <v>0.0</v>
      </c>
      <c r="E11513" s="84">
        <v>0.0</v>
      </c>
      <c r="F11513" s="76" t="s">
        <v>998</v>
      </c>
      <c r="G11513" s="83">
        <v>46120.0</v>
      </c>
      <c r="H11513" s="76" t="s">
        <v>972</v>
      </c>
    </row>
    <row r="11514">
      <c r="A11514" s="76" t="s">
        <v>970</v>
      </c>
      <c r="B11514" s="76" t="s">
        <v>1041</v>
      </c>
      <c r="C11514" s="84">
        <v>2.05</v>
      </c>
      <c r="D11514" s="84">
        <v>0.0</v>
      </c>
      <c r="E11514" s="84">
        <v>0.0</v>
      </c>
      <c r="F11514" s="76" t="s">
        <v>998</v>
      </c>
      <c r="G11514" s="83">
        <v>46120.0</v>
      </c>
      <c r="H11514" s="76" t="s">
        <v>973</v>
      </c>
    </row>
    <row r="11515">
      <c r="A11515" s="76" t="s">
        <v>46</v>
      </c>
      <c r="B11515" s="76" t="s">
        <v>1041</v>
      </c>
      <c r="C11515" s="84">
        <v>0.1</v>
      </c>
      <c r="D11515" s="84">
        <v>0.0</v>
      </c>
      <c r="E11515" s="84">
        <v>0.0</v>
      </c>
      <c r="F11515" s="76" t="s">
        <v>997</v>
      </c>
      <c r="G11515" s="83">
        <v>46120.0</v>
      </c>
      <c r="H11515" s="76" t="s">
        <v>960</v>
      </c>
    </row>
    <row r="11516">
      <c r="A11516" s="76" t="s">
        <v>46</v>
      </c>
      <c r="B11516" s="76" t="s">
        <v>1041</v>
      </c>
      <c r="C11516" s="84">
        <v>0.05</v>
      </c>
      <c r="D11516" s="84">
        <v>0.0</v>
      </c>
      <c r="E11516" s="84">
        <v>0.0</v>
      </c>
      <c r="F11516" s="76" t="s">
        <v>997</v>
      </c>
      <c r="G11516" s="83">
        <v>46120.0</v>
      </c>
      <c r="H11516" s="76" t="s">
        <v>961</v>
      </c>
    </row>
    <row r="11517">
      <c r="A11517" s="76" t="s">
        <v>46</v>
      </c>
      <c r="B11517" s="76" t="s">
        <v>1041</v>
      </c>
      <c r="C11517" s="84">
        <v>0.34</v>
      </c>
      <c r="D11517" s="84">
        <v>0.0</v>
      </c>
      <c r="E11517" s="84">
        <v>0.0</v>
      </c>
      <c r="F11517" s="76" t="s">
        <v>997</v>
      </c>
      <c r="G11517" s="83">
        <v>46120.0</v>
      </c>
      <c r="H11517" s="76" t="s">
        <v>962</v>
      </c>
    </row>
    <row r="11518">
      <c r="A11518" s="76" t="s">
        <v>34</v>
      </c>
      <c r="B11518" s="76" t="s">
        <v>1041</v>
      </c>
      <c r="C11518" s="84">
        <v>0.13</v>
      </c>
      <c r="D11518" s="84">
        <v>0.0</v>
      </c>
      <c r="E11518" s="84">
        <v>0.0</v>
      </c>
      <c r="F11518" s="76" t="s">
        <v>997</v>
      </c>
      <c r="G11518" s="83">
        <v>46120.0</v>
      </c>
      <c r="H11518" s="76" t="s">
        <v>951</v>
      </c>
    </row>
    <row r="11519">
      <c r="A11519" s="76" t="s">
        <v>34</v>
      </c>
      <c r="B11519" s="76" t="s">
        <v>1041</v>
      </c>
      <c r="C11519" s="84">
        <v>0.62</v>
      </c>
      <c r="D11519" s="84">
        <v>0.0</v>
      </c>
      <c r="E11519" s="84">
        <v>0.0</v>
      </c>
      <c r="F11519" s="76" t="s">
        <v>997</v>
      </c>
      <c r="G11519" s="83">
        <v>46120.0</v>
      </c>
      <c r="H11519" s="76" t="s">
        <v>952</v>
      </c>
    </row>
    <row r="11520">
      <c r="A11520" s="76" t="s">
        <v>34</v>
      </c>
      <c r="B11520" s="76" t="s">
        <v>1041</v>
      </c>
      <c r="C11520" s="84">
        <v>0.29</v>
      </c>
      <c r="D11520" s="84">
        <v>0.0</v>
      </c>
      <c r="E11520" s="84">
        <v>0.0</v>
      </c>
      <c r="F11520" s="76" t="s">
        <v>997</v>
      </c>
      <c r="G11520" s="83">
        <v>46120.0</v>
      </c>
      <c r="H11520" s="76" t="s">
        <v>953</v>
      </c>
    </row>
    <row r="11521">
      <c r="A11521" s="76" t="s">
        <v>40</v>
      </c>
      <c r="B11521" s="76" t="s">
        <v>1041</v>
      </c>
      <c r="C11521" s="84">
        <v>0.19</v>
      </c>
      <c r="D11521" s="84">
        <v>0.0</v>
      </c>
      <c r="E11521" s="84">
        <v>0.0</v>
      </c>
      <c r="F11521" s="76" t="s">
        <v>997</v>
      </c>
      <c r="G11521" s="83">
        <v>46120.0</v>
      </c>
      <c r="H11521" s="76" t="s">
        <v>954</v>
      </c>
    </row>
    <row r="11522">
      <c r="A11522" s="76" t="s">
        <v>40</v>
      </c>
      <c r="B11522" s="76" t="s">
        <v>1041</v>
      </c>
      <c r="C11522" s="84">
        <v>0.2</v>
      </c>
      <c r="D11522" s="84">
        <v>0.0</v>
      </c>
      <c r="E11522" s="84">
        <v>0.0</v>
      </c>
      <c r="F11522" s="76" t="s">
        <v>997</v>
      </c>
      <c r="G11522" s="83">
        <v>46120.0</v>
      </c>
      <c r="H11522" s="76" t="s">
        <v>955</v>
      </c>
    </row>
    <row r="11523">
      <c r="A11523" s="76" t="s">
        <v>40</v>
      </c>
      <c r="B11523" s="76" t="s">
        <v>1041</v>
      </c>
      <c r="C11523" s="84">
        <v>1.28</v>
      </c>
      <c r="D11523" s="84">
        <v>0.0</v>
      </c>
      <c r="E11523" s="84">
        <v>0.0</v>
      </c>
      <c r="F11523" s="76" t="s">
        <v>997</v>
      </c>
      <c r="G11523" s="83">
        <v>46120.0</v>
      </c>
      <c r="H11523" s="76" t="s">
        <v>956</v>
      </c>
    </row>
    <row r="11524">
      <c r="A11524" s="76" t="s">
        <v>36</v>
      </c>
      <c r="B11524" s="76" t="s">
        <v>1041</v>
      </c>
      <c r="C11524" s="84">
        <v>1.24</v>
      </c>
      <c r="D11524" s="84">
        <v>0.0</v>
      </c>
      <c r="E11524" s="84">
        <v>0.0</v>
      </c>
      <c r="F11524" s="76" t="s">
        <v>997</v>
      </c>
      <c r="G11524" s="83">
        <v>46120.0</v>
      </c>
      <c r="H11524" s="76" t="s">
        <v>926</v>
      </c>
    </row>
    <row r="11525">
      <c r="A11525" s="76" t="s">
        <v>36</v>
      </c>
      <c r="B11525" s="76" t="s">
        <v>1041</v>
      </c>
      <c r="C11525" s="84">
        <v>0.13</v>
      </c>
      <c r="D11525" s="84">
        <v>0.0</v>
      </c>
      <c r="E11525" s="84">
        <v>0.0</v>
      </c>
      <c r="F11525" s="76" t="s">
        <v>997</v>
      </c>
      <c r="G11525" s="83">
        <v>46120.0</v>
      </c>
      <c r="H11525" s="76" t="s">
        <v>927</v>
      </c>
    </row>
    <row r="11526">
      <c r="A11526" s="76" t="s">
        <v>36</v>
      </c>
      <c r="B11526" s="76" t="s">
        <v>1041</v>
      </c>
      <c r="C11526" s="84">
        <v>0.47</v>
      </c>
      <c r="D11526" s="84">
        <v>0.0</v>
      </c>
      <c r="E11526" s="84">
        <v>0.0</v>
      </c>
      <c r="F11526" s="76" t="s">
        <v>997</v>
      </c>
      <c r="G11526" s="83">
        <v>46120.0</v>
      </c>
      <c r="H11526" s="76" t="s">
        <v>928</v>
      </c>
    </row>
    <row r="11527">
      <c r="A11527" s="76" t="s">
        <v>970</v>
      </c>
      <c r="B11527" s="76" t="s">
        <v>1041</v>
      </c>
      <c r="C11527" s="84">
        <v>0.41</v>
      </c>
      <c r="D11527" s="84">
        <v>0.0</v>
      </c>
      <c r="E11527" s="84">
        <v>0.0</v>
      </c>
      <c r="F11527" s="76" t="s">
        <v>997</v>
      </c>
      <c r="G11527" s="83">
        <v>46120.0</v>
      </c>
      <c r="H11527" s="76" t="s">
        <v>971</v>
      </c>
    </row>
    <row r="11528">
      <c r="A11528" s="76" t="s">
        <v>970</v>
      </c>
      <c r="B11528" s="76" t="s">
        <v>1041</v>
      </c>
      <c r="C11528" s="84">
        <v>0.12</v>
      </c>
      <c r="D11528" s="84">
        <v>0.0</v>
      </c>
      <c r="E11528" s="84">
        <v>0.0</v>
      </c>
      <c r="F11528" s="76" t="s">
        <v>997</v>
      </c>
      <c r="G11528" s="83">
        <v>46120.0</v>
      </c>
      <c r="H11528" s="76" t="s">
        <v>972</v>
      </c>
    </row>
    <row r="11529">
      <c r="A11529" s="76" t="s">
        <v>970</v>
      </c>
      <c r="B11529" s="76" t="s">
        <v>1041</v>
      </c>
      <c r="C11529" s="84">
        <v>1.56</v>
      </c>
      <c r="D11529" s="84">
        <v>0.0</v>
      </c>
      <c r="E11529" s="84">
        <v>0.0</v>
      </c>
      <c r="F11529" s="76" t="s">
        <v>997</v>
      </c>
      <c r="G11529" s="83">
        <v>46120.0</v>
      </c>
      <c r="H11529" s="76" t="s">
        <v>973</v>
      </c>
    </row>
    <row r="11530">
      <c r="A11530" s="76" t="s">
        <v>33</v>
      </c>
      <c r="B11530" s="76" t="s">
        <v>1041</v>
      </c>
      <c r="C11530" s="84">
        <v>2.95</v>
      </c>
      <c r="D11530" s="84">
        <v>0.0</v>
      </c>
      <c r="E11530" s="84">
        <v>0.0</v>
      </c>
      <c r="F11530" s="76" t="s">
        <v>997</v>
      </c>
      <c r="G11530" s="83">
        <v>46120.0</v>
      </c>
      <c r="H11530" s="76" t="s">
        <v>957</v>
      </c>
    </row>
    <row r="11531">
      <c r="A11531" s="76" t="s">
        <v>33</v>
      </c>
      <c r="B11531" s="76" t="s">
        <v>1041</v>
      </c>
      <c r="C11531" s="84">
        <v>0.19</v>
      </c>
      <c r="D11531" s="84">
        <v>0.0</v>
      </c>
      <c r="E11531" s="84">
        <v>0.0</v>
      </c>
      <c r="F11531" s="76" t="s">
        <v>997</v>
      </c>
      <c r="G11531" s="83">
        <v>46120.0</v>
      </c>
      <c r="H11531" s="76" t="s">
        <v>958</v>
      </c>
    </row>
    <row r="11532">
      <c r="A11532" s="76" t="s">
        <v>33</v>
      </c>
      <c r="B11532" s="76" t="s">
        <v>1041</v>
      </c>
      <c r="C11532" s="84">
        <v>0.85</v>
      </c>
      <c r="D11532" s="84">
        <v>0.0</v>
      </c>
      <c r="E11532" s="84">
        <v>0.0</v>
      </c>
      <c r="F11532" s="76" t="s">
        <v>997</v>
      </c>
      <c r="G11532" s="83">
        <v>46120.0</v>
      </c>
      <c r="H11532" s="76" t="s">
        <v>959</v>
      </c>
    </row>
    <row r="11533">
      <c r="A11533" s="76" t="s">
        <v>29</v>
      </c>
      <c r="B11533" s="76" t="s">
        <v>1041</v>
      </c>
      <c r="C11533" s="84">
        <v>0.39</v>
      </c>
      <c r="D11533" s="84">
        <v>1.0</v>
      </c>
      <c r="E11533" s="84">
        <v>0.39</v>
      </c>
      <c r="F11533" s="76" t="s">
        <v>997</v>
      </c>
      <c r="G11533" s="83">
        <v>46120.0</v>
      </c>
      <c r="H11533" s="76" t="s">
        <v>971</v>
      </c>
    </row>
    <row r="11534">
      <c r="A11534" s="76" t="s">
        <v>29</v>
      </c>
      <c r="B11534" s="76" t="s">
        <v>1041</v>
      </c>
      <c r="C11534" s="84">
        <v>0.13</v>
      </c>
      <c r="D11534" s="84">
        <v>0.0</v>
      </c>
      <c r="E11534" s="84">
        <v>0.0</v>
      </c>
      <c r="F11534" s="76" t="s">
        <v>997</v>
      </c>
      <c r="G11534" s="83">
        <v>46120.0</v>
      </c>
      <c r="H11534" s="76" t="s">
        <v>972</v>
      </c>
    </row>
    <row r="11535">
      <c r="A11535" s="76" t="s">
        <v>29</v>
      </c>
      <c r="B11535" s="76" t="s">
        <v>1041</v>
      </c>
      <c r="C11535" s="84">
        <v>1.25</v>
      </c>
      <c r="D11535" s="84">
        <v>0.0</v>
      </c>
      <c r="E11535" s="84">
        <v>0.0</v>
      </c>
      <c r="F11535" s="76" t="s">
        <v>997</v>
      </c>
      <c r="G11535" s="83">
        <v>46120.0</v>
      </c>
      <c r="H11535" s="76" t="s">
        <v>973</v>
      </c>
    </row>
    <row r="11536">
      <c r="A11536" s="76" t="s">
        <v>43</v>
      </c>
      <c r="B11536" s="76" t="s">
        <v>1041</v>
      </c>
      <c r="C11536" s="84">
        <v>0.24</v>
      </c>
      <c r="D11536" s="84">
        <v>0.0</v>
      </c>
      <c r="E11536" s="84">
        <v>0.0</v>
      </c>
      <c r="F11536" s="76" t="s">
        <v>997</v>
      </c>
      <c r="G11536" s="83">
        <v>46120.0</v>
      </c>
      <c r="H11536" s="76" t="s">
        <v>963</v>
      </c>
    </row>
    <row r="11537">
      <c r="A11537" s="76" t="s">
        <v>43</v>
      </c>
      <c r="B11537" s="76" t="s">
        <v>1041</v>
      </c>
      <c r="C11537" s="84">
        <v>0.17</v>
      </c>
      <c r="D11537" s="84">
        <v>0.0</v>
      </c>
      <c r="E11537" s="84">
        <v>0.0</v>
      </c>
      <c r="F11537" s="76" t="s">
        <v>997</v>
      </c>
      <c r="G11537" s="83">
        <v>46120.0</v>
      </c>
      <c r="H11537" s="76" t="s">
        <v>964</v>
      </c>
    </row>
    <row r="11538">
      <c r="A11538" s="76" t="s">
        <v>43</v>
      </c>
      <c r="B11538" s="76" t="s">
        <v>1041</v>
      </c>
      <c r="C11538" s="84">
        <v>1.01</v>
      </c>
      <c r="D11538" s="84">
        <v>1.0</v>
      </c>
      <c r="E11538" s="84">
        <v>1.01</v>
      </c>
      <c r="F11538" s="76" t="s">
        <v>997</v>
      </c>
      <c r="G11538" s="83">
        <v>46120.0</v>
      </c>
      <c r="H11538" s="76" t="s">
        <v>965</v>
      </c>
    </row>
    <row r="11539">
      <c r="A11539" s="76" t="s">
        <v>966</v>
      </c>
      <c r="B11539" s="76" t="s">
        <v>1041</v>
      </c>
      <c r="C11539" s="84">
        <v>0.52</v>
      </c>
      <c r="D11539" s="84">
        <v>0.0</v>
      </c>
      <c r="E11539" s="84">
        <v>0.0</v>
      </c>
      <c r="F11539" s="76" t="s">
        <v>997</v>
      </c>
      <c r="G11539" s="83">
        <v>46120.0</v>
      </c>
      <c r="H11539" s="76" t="s">
        <v>967</v>
      </c>
    </row>
    <row r="11540">
      <c r="A11540" s="76" t="s">
        <v>966</v>
      </c>
      <c r="B11540" s="76" t="s">
        <v>1041</v>
      </c>
      <c r="C11540" s="84">
        <v>0.13</v>
      </c>
      <c r="D11540" s="84">
        <v>0.0</v>
      </c>
      <c r="E11540" s="84">
        <v>0.0</v>
      </c>
      <c r="F11540" s="76" t="s">
        <v>997</v>
      </c>
      <c r="G11540" s="83">
        <v>46120.0</v>
      </c>
      <c r="H11540" s="76" t="s">
        <v>968</v>
      </c>
    </row>
    <row r="11541">
      <c r="A11541" s="76" t="s">
        <v>966</v>
      </c>
      <c r="B11541" s="76" t="s">
        <v>1041</v>
      </c>
      <c r="C11541" s="84">
        <v>0.53</v>
      </c>
      <c r="D11541" s="84">
        <v>0.0</v>
      </c>
      <c r="E11541" s="84">
        <v>0.0</v>
      </c>
      <c r="F11541" s="76" t="s">
        <v>997</v>
      </c>
      <c r="G11541" s="83">
        <v>46120.0</v>
      </c>
      <c r="H11541" s="76" t="s">
        <v>969</v>
      </c>
    </row>
    <row r="11542">
      <c r="A11542" s="76" t="s">
        <v>32</v>
      </c>
      <c r="B11542" s="76" t="s">
        <v>1032</v>
      </c>
      <c r="C11542" s="84">
        <v>22.23</v>
      </c>
      <c r="D11542" s="84">
        <v>5.0</v>
      </c>
      <c r="E11542" s="84">
        <v>4.45</v>
      </c>
      <c r="F11542" s="76" t="s">
        <v>996</v>
      </c>
      <c r="G11542" s="83">
        <v>46120.0</v>
      </c>
      <c r="H11542" s="76" t="s">
        <v>941</v>
      </c>
    </row>
    <row r="11543">
      <c r="A11543" s="76" t="s">
        <v>32</v>
      </c>
      <c r="B11543" s="76" t="s">
        <v>1032</v>
      </c>
      <c r="C11543" s="84">
        <v>4.71</v>
      </c>
      <c r="D11543" s="84">
        <v>3.0</v>
      </c>
      <c r="E11543" s="84">
        <v>1.57</v>
      </c>
      <c r="F11543" s="76" t="s">
        <v>996</v>
      </c>
      <c r="G11543" s="83">
        <v>46120.0</v>
      </c>
      <c r="H11543" s="76" t="s">
        <v>942</v>
      </c>
    </row>
    <row r="11544">
      <c r="A11544" s="76" t="s">
        <v>32</v>
      </c>
      <c r="B11544" s="76" t="s">
        <v>1032</v>
      </c>
      <c r="C11544" s="84">
        <v>10.58</v>
      </c>
      <c r="D11544" s="84">
        <v>4.0</v>
      </c>
      <c r="E11544" s="84">
        <v>2.65</v>
      </c>
      <c r="F11544" s="76" t="s">
        <v>996</v>
      </c>
      <c r="G11544" s="83">
        <v>46120.0</v>
      </c>
      <c r="H11544" s="76" t="s">
        <v>943</v>
      </c>
    </row>
    <row r="11545">
      <c r="A11545" s="76" t="s">
        <v>28</v>
      </c>
      <c r="B11545" s="76" t="s">
        <v>1032</v>
      </c>
      <c r="C11545" s="84">
        <v>3.92</v>
      </c>
      <c r="D11545" s="84">
        <v>2.0</v>
      </c>
      <c r="E11545" s="84">
        <v>1.96</v>
      </c>
      <c r="F11545" s="76" t="s">
        <v>996</v>
      </c>
      <c r="G11545" s="83">
        <v>46120.0</v>
      </c>
      <c r="H11545" s="76" t="s">
        <v>931</v>
      </c>
    </row>
    <row r="11546">
      <c r="A11546" s="76" t="s">
        <v>28</v>
      </c>
      <c r="B11546" s="76" t="s">
        <v>1032</v>
      </c>
      <c r="C11546" s="84">
        <v>1.78</v>
      </c>
      <c r="D11546" s="84">
        <v>0.0</v>
      </c>
      <c r="E11546" s="84">
        <v>0.0</v>
      </c>
      <c r="F11546" s="76" t="s">
        <v>996</v>
      </c>
      <c r="G11546" s="83">
        <v>46120.0</v>
      </c>
      <c r="H11546" s="76" t="s">
        <v>932</v>
      </c>
    </row>
    <row r="11547">
      <c r="A11547" s="76" t="s">
        <v>28</v>
      </c>
      <c r="B11547" s="76" t="s">
        <v>1032</v>
      </c>
      <c r="C11547" s="84">
        <v>20.83</v>
      </c>
      <c r="D11547" s="84">
        <v>3.0</v>
      </c>
      <c r="E11547" s="84">
        <v>6.94</v>
      </c>
      <c r="F11547" s="76" t="s">
        <v>996</v>
      </c>
      <c r="G11547" s="83">
        <v>46120.0</v>
      </c>
      <c r="H11547" s="76" t="s">
        <v>933</v>
      </c>
    </row>
    <row r="11548">
      <c r="A11548" s="76" t="s">
        <v>36</v>
      </c>
      <c r="B11548" s="76" t="s">
        <v>1032</v>
      </c>
      <c r="C11548" s="84">
        <v>5.18</v>
      </c>
      <c r="D11548" s="84">
        <v>2.0</v>
      </c>
      <c r="E11548" s="84">
        <v>2.59</v>
      </c>
      <c r="F11548" s="76" t="s">
        <v>996</v>
      </c>
      <c r="G11548" s="83">
        <v>46120.0</v>
      </c>
      <c r="H11548" s="76" t="s">
        <v>926</v>
      </c>
    </row>
    <row r="11549">
      <c r="A11549" s="76" t="s">
        <v>36</v>
      </c>
      <c r="B11549" s="76" t="s">
        <v>1032</v>
      </c>
      <c r="C11549" s="84">
        <v>0.96</v>
      </c>
      <c r="D11549" s="84">
        <v>0.0</v>
      </c>
      <c r="E11549" s="84">
        <v>0.0</v>
      </c>
      <c r="F11549" s="76" t="s">
        <v>996</v>
      </c>
      <c r="G11549" s="83">
        <v>46120.0</v>
      </c>
      <c r="H11549" s="76" t="s">
        <v>927</v>
      </c>
    </row>
    <row r="11550">
      <c r="A11550" s="76" t="s">
        <v>36</v>
      </c>
      <c r="B11550" s="76" t="s">
        <v>1032</v>
      </c>
      <c r="C11550" s="84">
        <v>5.53</v>
      </c>
      <c r="D11550" s="84">
        <v>1.0</v>
      </c>
      <c r="E11550" s="84">
        <v>5.53</v>
      </c>
      <c r="F11550" s="76" t="s">
        <v>996</v>
      </c>
      <c r="G11550" s="83">
        <v>46120.0</v>
      </c>
      <c r="H11550" s="76" t="s">
        <v>928</v>
      </c>
    </row>
    <row r="11551">
      <c r="A11551" s="76" t="s">
        <v>26</v>
      </c>
      <c r="B11551" s="76" t="s">
        <v>1032</v>
      </c>
      <c r="C11551" s="84">
        <v>3.22</v>
      </c>
      <c r="D11551" s="84">
        <v>1.0</v>
      </c>
      <c r="E11551" s="84">
        <v>3.22</v>
      </c>
      <c r="F11551" s="76" t="s">
        <v>996</v>
      </c>
      <c r="G11551" s="83">
        <v>46120.0</v>
      </c>
      <c r="H11551" s="76" t="s">
        <v>1012</v>
      </c>
    </row>
    <row r="11552">
      <c r="A11552" s="76" t="s">
        <v>26</v>
      </c>
      <c r="B11552" s="76" t="s">
        <v>1032</v>
      </c>
      <c r="C11552" s="84">
        <v>2.41</v>
      </c>
      <c r="D11552" s="84">
        <v>0.0</v>
      </c>
      <c r="E11552" s="84">
        <v>0.0</v>
      </c>
      <c r="F11552" s="76" t="s">
        <v>996</v>
      </c>
      <c r="G11552" s="83">
        <v>46120.0</v>
      </c>
      <c r="H11552" s="76" t="s">
        <v>1013</v>
      </c>
    </row>
    <row r="11553">
      <c r="A11553" s="76" t="s">
        <v>26</v>
      </c>
      <c r="B11553" s="76" t="s">
        <v>1032</v>
      </c>
      <c r="C11553" s="84">
        <v>122.59</v>
      </c>
      <c r="D11553" s="84">
        <v>36.0</v>
      </c>
      <c r="E11553" s="84">
        <v>3.41</v>
      </c>
      <c r="F11553" s="76" t="s">
        <v>996</v>
      </c>
      <c r="G11553" s="83">
        <v>46120.0</v>
      </c>
      <c r="H11553" s="76" t="s">
        <v>1014</v>
      </c>
    </row>
    <row r="11554">
      <c r="A11554" s="76" t="s">
        <v>45</v>
      </c>
      <c r="B11554" s="76" t="s">
        <v>1032</v>
      </c>
      <c r="C11554" s="84">
        <v>1.5</v>
      </c>
      <c r="D11554" s="84">
        <v>0.0</v>
      </c>
      <c r="E11554" s="84">
        <v>0.0</v>
      </c>
      <c r="F11554" s="76" t="s">
        <v>996</v>
      </c>
      <c r="G11554" s="83">
        <v>46120.0</v>
      </c>
      <c r="H11554" s="76" t="s">
        <v>936</v>
      </c>
    </row>
    <row r="11555">
      <c r="A11555" s="76" t="s">
        <v>45</v>
      </c>
      <c r="B11555" s="76" t="s">
        <v>1032</v>
      </c>
      <c r="C11555" s="84">
        <v>4.58</v>
      </c>
      <c r="D11555" s="84">
        <v>1.0</v>
      </c>
      <c r="E11555" s="84">
        <v>4.58</v>
      </c>
      <c r="F11555" s="76" t="s">
        <v>996</v>
      </c>
      <c r="G11555" s="83">
        <v>46120.0</v>
      </c>
      <c r="H11555" s="76" t="s">
        <v>937</v>
      </c>
    </row>
    <row r="11556">
      <c r="A11556" s="76" t="s">
        <v>45</v>
      </c>
      <c r="B11556" s="76" t="s">
        <v>1032</v>
      </c>
      <c r="C11556" s="84">
        <v>0.76</v>
      </c>
      <c r="D11556" s="84">
        <v>0.0</v>
      </c>
      <c r="E11556" s="84">
        <v>0.0</v>
      </c>
      <c r="F11556" s="76" t="s">
        <v>996</v>
      </c>
      <c r="G11556" s="83">
        <v>46120.0</v>
      </c>
      <c r="H11556" s="76" t="s">
        <v>938</v>
      </c>
    </row>
    <row r="11557">
      <c r="A11557" s="76" t="s">
        <v>31</v>
      </c>
      <c r="B11557" s="76" t="s">
        <v>1032</v>
      </c>
      <c r="C11557" s="84">
        <v>4.92</v>
      </c>
      <c r="D11557" s="84">
        <v>2.0</v>
      </c>
      <c r="E11557" s="84">
        <v>2.46</v>
      </c>
      <c r="F11557" s="76" t="s">
        <v>996</v>
      </c>
      <c r="G11557" s="83">
        <v>46120.0</v>
      </c>
      <c r="H11557" s="76" t="s">
        <v>929</v>
      </c>
    </row>
    <row r="11558">
      <c r="A11558" s="76" t="s">
        <v>31</v>
      </c>
      <c r="B11558" s="76" t="s">
        <v>1032</v>
      </c>
      <c r="C11558" s="84">
        <v>33.4</v>
      </c>
      <c r="D11558" s="84">
        <v>1.0</v>
      </c>
      <c r="E11558" s="84">
        <v>33.4</v>
      </c>
      <c r="F11558" s="76" t="s">
        <v>996</v>
      </c>
      <c r="G11558" s="83">
        <v>46120.0</v>
      </c>
      <c r="H11558" s="76" t="s">
        <v>930</v>
      </c>
    </row>
    <row r="11559">
      <c r="A11559" s="76" t="s">
        <v>944</v>
      </c>
      <c r="B11559" s="76" t="s">
        <v>1032</v>
      </c>
      <c r="C11559" s="84">
        <v>7.13</v>
      </c>
      <c r="D11559" s="84">
        <v>1.0</v>
      </c>
      <c r="E11559" s="84">
        <v>7.13</v>
      </c>
      <c r="F11559" s="76" t="s">
        <v>996</v>
      </c>
      <c r="G11559" s="83">
        <v>46120.0</v>
      </c>
      <c r="H11559" s="76" t="s">
        <v>945</v>
      </c>
    </row>
    <row r="11560">
      <c r="A11560" s="76" t="s">
        <v>944</v>
      </c>
      <c r="B11560" s="76" t="s">
        <v>1032</v>
      </c>
      <c r="C11560" s="84">
        <v>3.8</v>
      </c>
      <c r="D11560" s="84">
        <v>0.0</v>
      </c>
      <c r="E11560" s="84">
        <v>0.0</v>
      </c>
      <c r="F11560" s="76" t="s">
        <v>996</v>
      </c>
      <c r="G11560" s="83">
        <v>46120.0</v>
      </c>
      <c r="H11560" s="76" t="s">
        <v>946</v>
      </c>
    </row>
    <row r="11561">
      <c r="A11561" s="76" t="s">
        <v>944</v>
      </c>
      <c r="B11561" s="76" t="s">
        <v>1032</v>
      </c>
      <c r="C11561" s="84">
        <v>12.28</v>
      </c>
      <c r="D11561" s="84">
        <v>2.0</v>
      </c>
      <c r="E11561" s="84">
        <v>6.14</v>
      </c>
      <c r="F11561" s="76" t="s">
        <v>996</v>
      </c>
      <c r="G11561" s="83">
        <v>46120.0</v>
      </c>
      <c r="H11561" s="76" t="s">
        <v>947</v>
      </c>
    </row>
    <row r="11562">
      <c r="A11562" s="76" t="s">
        <v>28</v>
      </c>
      <c r="B11562" s="76" t="s">
        <v>1032</v>
      </c>
      <c r="C11562" s="84">
        <v>5.2</v>
      </c>
      <c r="D11562" s="84">
        <v>0.0</v>
      </c>
      <c r="E11562" s="84">
        <v>0.0</v>
      </c>
      <c r="F11562" s="76" t="s">
        <v>997</v>
      </c>
      <c r="G11562" s="83">
        <v>46120.0</v>
      </c>
      <c r="H11562" s="76" t="s">
        <v>931</v>
      </c>
    </row>
    <row r="11563">
      <c r="A11563" s="76" t="s">
        <v>28</v>
      </c>
      <c r="B11563" s="76" t="s">
        <v>1032</v>
      </c>
      <c r="C11563" s="84">
        <v>1.66</v>
      </c>
      <c r="D11563" s="84">
        <v>0.0</v>
      </c>
      <c r="E11563" s="84">
        <v>0.0</v>
      </c>
      <c r="F11563" s="76" t="s">
        <v>997</v>
      </c>
      <c r="G11563" s="83">
        <v>46120.0</v>
      </c>
      <c r="H11563" s="76" t="s">
        <v>932</v>
      </c>
    </row>
    <row r="11564">
      <c r="A11564" s="76" t="s">
        <v>28</v>
      </c>
      <c r="B11564" s="76" t="s">
        <v>1032</v>
      </c>
      <c r="C11564" s="84">
        <v>22.06</v>
      </c>
      <c r="D11564" s="84">
        <v>2.0</v>
      </c>
      <c r="E11564" s="84">
        <v>11.03</v>
      </c>
      <c r="F11564" s="76" t="s">
        <v>997</v>
      </c>
      <c r="G11564" s="83">
        <v>46120.0</v>
      </c>
      <c r="H11564" s="76" t="s">
        <v>933</v>
      </c>
    </row>
    <row r="11565">
      <c r="A11565" s="76" t="s">
        <v>45</v>
      </c>
      <c r="B11565" s="76" t="s">
        <v>1032</v>
      </c>
      <c r="C11565" s="84">
        <v>2.24</v>
      </c>
      <c r="D11565" s="84">
        <v>2.0</v>
      </c>
      <c r="E11565" s="84">
        <v>1.12</v>
      </c>
      <c r="F11565" s="76" t="s">
        <v>997</v>
      </c>
      <c r="G11565" s="83">
        <v>46120.0</v>
      </c>
      <c r="H11565" s="76" t="s">
        <v>936</v>
      </c>
    </row>
    <row r="11566">
      <c r="A11566" s="76" t="s">
        <v>45</v>
      </c>
      <c r="B11566" s="76" t="s">
        <v>1032</v>
      </c>
      <c r="C11566" s="84">
        <v>2.68</v>
      </c>
      <c r="D11566" s="84">
        <v>2.0</v>
      </c>
      <c r="E11566" s="84">
        <v>1.34</v>
      </c>
      <c r="F11566" s="76" t="s">
        <v>997</v>
      </c>
      <c r="G11566" s="83">
        <v>46120.0</v>
      </c>
      <c r="H11566" s="76" t="s">
        <v>937</v>
      </c>
    </row>
    <row r="11567">
      <c r="A11567" s="76" t="s">
        <v>45</v>
      </c>
      <c r="B11567" s="76" t="s">
        <v>1032</v>
      </c>
      <c r="C11567" s="84">
        <v>0.75</v>
      </c>
      <c r="D11567" s="84">
        <v>0.0</v>
      </c>
      <c r="E11567" s="84">
        <v>0.0</v>
      </c>
      <c r="F11567" s="76" t="s">
        <v>997</v>
      </c>
      <c r="G11567" s="83">
        <v>46120.0</v>
      </c>
      <c r="H11567" s="76" t="s">
        <v>938</v>
      </c>
    </row>
    <row r="11568">
      <c r="A11568" s="76" t="s">
        <v>32</v>
      </c>
      <c r="B11568" s="76" t="s">
        <v>1032</v>
      </c>
      <c r="C11568" s="84">
        <v>58.99</v>
      </c>
      <c r="D11568" s="84">
        <v>14.0</v>
      </c>
      <c r="E11568" s="84">
        <v>4.21</v>
      </c>
      <c r="F11568" s="76" t="s">
        <v>997</v>
      </c>
      <c r="G11568" s="83">
        <v>46120.0</v>
      </c>
      <c r="H11568" s="76" t="s">
        <v>941</v>
      </c>
    </row>
    <row r="11569">
      <c r="A11569" s="76" t="s">
        <v>32</v>
      </c>
      <c r="B11569" s="76" t="s">
        <v>1032</v>
      </c>
      <c r="C11569" s="84">
        <v>8.0</v>
      </c>
      <c r="D11569" s="84">
        <v>3.0</v>
      </c>
      <c r="E11569" s="84">
        <v>2.67</v>
      </c>
      <c r="F11569" s="76" t="s">
        <v>997</v>
      </c>
      <c r="G11569" s="83">
        <v>46120.0</v>
      </c>
      <c r="H11569" s="76" t="s">
        <v>942</v>
      </c>
    </row>
    <row r="11570">
      <c r="A11570" s="76" t="s">
        <v>32</v>
      </c>
      <c r="B11570" s="76" t="s">
        <v>1032</v>
      </c>
      <c r="C11570" s="84">
        <v>13.13</v>
      </c>
      <c r="D11570" s="84">
        <v>1.0</v>
      </c>
      <c r="E11570" s="84">
        <v>13.13</v>
      </c>
      <c r="F11570" s="76" t="s">
        <v>997</v>
      </c>
      <c r="G11570" s="83">
        <v>46120.0</v>
      </c>
      <c r="H11570" s="76" t="s">
        <v>943</v>
      </c>
    </row>
    <row r="11571">
      <c r="A11571" s="76" t="s">
        <v>944</v>
      </c>
      <c r="B11571" s="76" t="s">
        <v>1032</v>
      </c>
      <c r="C11571" s="84">
        <v>5.26</v>
      </c>
      <c r="D11571" s="84">
        <v>0.0</v>
      </c>
      <c r="E11571" s="84">
        <v>0.0</v>
      </c>
      <c r="F11571" s="76" t="s">
        <v>997</v>
      </c>
      <c r="G11571" s="83">
        <v>46120.0</v>
      </c>
      <c r="H11571" s="76" t="s">
        <v>945</v>
      </c>
    </row>
    <row r="11572">
      <c r="A11572" s="76" t="s">
        <v>944</v>
      </c>
      <c r="B11572" s="76" t="s">
        <v>1032</v>
      </c>
      <c r="C11572" s="84">
        <v>6.63</v>
      </c>
      <c r="D11572" s="84">
        <v>2.0</v>
      </c>
      <c r="E11572" s="84">
        <v>3.32</v>
      </c>
      <c r="F11572" s="76" t="s">
        <v>997</v>
      </c>
      <c r="G11572" s="83">
        <v>46120.0</v>
      </c>
      <c r="H11572" s="76" t="s">
        <v>946</v>
      </c>
    </row>
    <row r="11573">
      <c r="A11573" s="76" t="s">
        <v>944</v>
      </c>
      <c r="B11573" s="76" t="s">
        <v>1032</v>
      </c>
      <c r="C11573" s="84">
        <v>9.2</v>
      </c>
      <c r="D11573" s="84">
        <v>1.0</v>
      </c>
      <c r="E11573" s="84">
        <v>9.2</v>
      </c>
      <c r="F11573" s="76" t="s">
        <v>997</v>
      </c>
      <c r="G11573" s="83">
        <v>46120.0</v>
      </c>
      <c r="H11573" s="76" t="s">
        <v>947</v>
      </c>
    </row>
    <row r="11574">
      <c r="A11574" s="76" t="s">
        <v>36</v>
      </c>
      <c r="B11574" s="76" t="s">
        <v>1032</v>
      </c>
      <c r="C11574" s="84">
        <v>7.55</v>
      </c>
      <c r="D11574" s="84">
        <v>1.0</v>
      </c>
      <c r="E11574" s="84">
        <v>7.55</v>
      </c>
      <c r="F11574" s="76" t="s">
        <v>997</v>
      </c>
      <c r="G11574" s="83">
        <v>46120.0</v>
      </c>
      <c r="H11574" s="76" t="s">
        <v>926</v>
      </c>
    </row>
    <row r="11575">
      <c r="A11575" s="76" t="s">
        <v>36</v>
      </c>
      <c r="B11575" s="76" t="s">
        <v>1032</v>
      </c>
      <c r="C11575" s="84">
        <v>1.09</v>
      </c>
      <c r="D11575" s="84">
        <v>0.0</v>
      </c>
      <c r="E11575" s="84">
        <v>0.0</v>
      </c>
      <c r="F11575" s="76" t="s">
        <v>997</v>
      </c>
      <c r="G11575" s="83">
        <v>46120.0</v>
      </c>
      <c r="H11575" s="76" t="s">
        <v>927</v>
      </c>
    </row>
    <row r="11576">
      <c r="A11576" s="76" t="s">
        <v>36</v>
      </c>
      <c r="B11576" s="76" t="s">
        <v>1032</v>
      </c>
      <c r="C11576" s="84">
        <v>5.0</v>
      </c>
      <c r="D11576" s="84">
        <v>0.0</v>
      </c>
      <c r="E11576" s="84">
        <v>0.0</v>
      </c>
      <c r="F11576" s="76" t="s">
        <v>997</v>
      </c>
      <c r="G11576" s="83">
        <v>46120.0</v>
      </c>
      <c r="H11576" s="76" t="s">
        <v>928</v>
      </c>
    </row>
    <row r="11577">
      <c r="A11577" s="76" t="s">
        <v>31</v>
      </c>
      <c r="B11577" s="76" t="s">
        <v>1032</v>
      </c>
      <c r="C11577" s="84">
        <v>7.01</v>
      </c>
      <c r="D11577" s="84">
        <v>1.0</v>
      </c>
      <c r="E11577" s="84">
        <v>7.01</v>
      </c>
      <c r="F11577" s="76" t="s">
        <v>997</v>
      </c>
      <c r="G11577" s="83">
        <v>46120.0</v>
      </c>
      <c r="H11577" s="76" t="s">
        <v>929</v>
      </c>
    </row>
    <row r="11578">
      <c r="A11578" s="76" t="s">
        <v>31</v>
      </c>
      <c r="B11578" s="76" t="s">
        <v>1032</v>
      </c>
      <c r="C11578" s="84">
        <v>128.94</v>
      </c>
      <c r="D11578" s="84">
        <v>32.0</v>
      </c>
      <c r="E11578" s="84">
        <v>4.03</v>
      </c>
      <c r="F11578" s="76" t="s">
        <v>997</v>
      </c>
      <c r="G11578" s="83">
        <v>46120.0</v>
      </c>
      <c r="H11578" s="76" t="s">
        <v>930</v>
      </c>
    </row>
    <row r="11579">
      <c r="A11579" s="76" t="s">
        <v>26</v>
      </c>
      <c r="B11579" s="76" t="s">
        <v>1032</v>
      </c>
      <c r="C11579" s="84">
        <v>2.67</v>
      </c>
      <c r="D11579" s="84">
        <v>0.0</v>
      </c>
      <c r="E11579" s="84">
        <v>0.0</v>
      </c>
      <c r="F11579" s="76" t="s">
        <v>997</v>
      </c>
      <c r="G11579" s="83">
        <v>46120.0</v>
      </c>
      <c r="H11579" s="76" t="s">
        <v>1012</v>
      </c>
    </row>
    <row r="11580">
      <c r="A11580" s="76" t="s">
        <v>26</v>
      </c>
      <c r="B11580" s="76" t="s">
        <v>1032</v>
      </c>
      <c r="C11580" s="84">
        <v>2.13</v>
      </c>
      <c r="D11580" s="84">
        <v>0.0</v>
      </c>
      <c r="E11580" s="84">
        <v>0.0</v>
      </c>
      <c r="F11580" s="76" t="s">
        <v>997</v>
      </c>
      <c r="G11580" s="83">
        <v>46120.0</v>
      </c>
      <c r="H11580" s="76" t="s">
        <v>1013</v>
      </c>
    </row>
    <row r="11581">
      <c r="A11581" s="76" t="s">
        <v>26</v>
      </c>
      <c r="B11581" s="76" t="s">
        <v>1032</v>
      </c>
      <c r="C11581" s="84">
        <v>55.84</v>
      </c>
      <c r="D11581" s="84">
        <v>9.0</v>
      </c>
      <c r="E11581" s="84">
        <v>6.2</v>
      </c>
      <c r="F11581" s="76" t="s">
        <v>997</v>
      </c>
      <c r="G11581" s="83">
        <v>46120.0</v>
      </c>
      <c r="H11581" s="76" t="s">
        <v>1014</v>
      </c>
    </row>
    <row r="11582">
      <c r="A11582" s="76" t="s">
        <v>45</v>
      </c>
      <c r="B11582" s="76" t="s">
        <v>1032</v>
      </c>
      <c r="C11582" s="84">
        <v>0.2</v>
      </c>
      <c r="D11582" s="84">
        <v>0.0</v>
      </c>
      <c r="E11582" s="84">
        <v>0.0</v>
      </c>
      <c r="F11582" s="76" t="s">
        <v>990</v>
      </c>
      <c r="G11582" s="83">
        <v>46120.0</v>
      </c>
      <c r="H11582" s="76" t="s">
        <v>936</v>
      </c>
    </row>
    <row r="11583">
      <c r="A11583" s="76" t="s">
        <v>45</v>
      </c>
      <c r="B11583" s="76" t="s">
        <v>1032</v>
      </c>
      <c r="C11583" s="84">
        <v>0.65</v>
      </c>
      <c r="D11583" s="84">
        <v>0.0</v>
      </c>
      <c r="E11583" s="84">
        <v>0.0</v>
      </c>
      <c r="F11583" s="76" t="s">
        <v>990</v>
      </c>
      <c r="G11583" s="83">
        <v>46120.0</v>
      </c>
      <c r="H11583" s="76" t="s">
        <v>937</v>
      </c>
    </row>
    <row r="11584">
      <c r="A11584" s="76" t="s">
        <v>45</v>
      </c>
      <c r="B11584" s="76" t="s">
        <v>1032</v>
      </c>
      <c r="C11584" s="84">
        <v>0.14</v>
      </c>
      <c r="D11584" s="84">
        <v>0.0</v>
      </c>
      <c r="E11584" s="84">
        <v>0.0</v>
      </c>
      <c r="F11584" s="76" t="s">
        <v>990</v>
      </c>
      <c r="G11584" s="83">
        <v>46120.0</v>
      </c>
      <c r="H11584" s="76" t="s">
        <v>938</v>
      </c>
    </row>
    <row r="11585">
      <c r="A11585" s="76" t="s">
        <v>32</v>
      </c>
      <c r="B11585" s="76" t="s">
        <v>1032</v>
      </c>
      <c r="C11585" s="84">
        <v>8.78</v>
      </c>
      <c r="D11585" s="84">
        <v>2.0</v>
      </c>
      <c r="E11585" s="84">
        <v>4.39</v>
      </c>
      <c r="F11585" s="76" t="s">
        <v>990</v>
      </c>
      <c r="G11585" s="83">
        <v>46120.0</v>
      </c>
      <c r="H11585" s="76" t="s">
        <v>941</v>
      </c>
    </row>
    <row r="11586">
      <c r="A11586" s="76" t="s">
        <v>32</v>
      </c>
      <c r="B11586" s="76" t="s">
        <v>1032</v>
      </c>
      <c r="C11586" s="84">
        <v>2.11</v>
      </c>
      <c r="D11586" s="84">
        <v>0.0</v>
      </c>
      <c r="E11586" s="84">
        <v>0.0</v>
      </c>
      <c r="F11586" s="76" t="s">
        <v>990</v>
      </c>
      <c r="G11586" s="83">
        <v>46120.0</v>
      </c>
      <c r="H11586" s="76" t="s">
        <v>942</v>
      </c>
    </row>
    <row r="11587">
      <c r="A11587" s="76" t="s">
        <v>32</v>
      </c>
      <c r="B11587" s="76" t="s">
        <v>1032</v>
      </c>
      <c r="C11587" s="84">
        <v>3.58</v>
      </c>
      <c r="D11587" s="84">
        <v>0.0</v>
      </c>
      <c r="E11587" s="84">
        <v>0.0</v>
      </c>
      <c r="F11587" s="76" t="s">
        <v>990</v>
      </c>
      <c r="G11587" s="83">
        <v>46120.0</v>
      </c>
      <c r="H11587" s="76" t="s">
        <v>943</v>
      </c>
    </row>
    <row r="11588">
      <c r="A11588" s="76" t="s">
        <v>36</v>
      </c>
      <c r="B11588" s="76" t="s">
        <v>1032</v>
      </c>
      <c r="C11588" s="84">
        <v>1.15</v>
      </c>
      <c r="D11588" s="84">
        <v>1.0</v>
      </c>
      <c r="E11588" s="84">
        <v>1.15</v>
      </c>
      <c r="F11588" s="76" t="s">
        <v>990</v>
      </c>
      <c r="G11588" s="83">
        <v>46120.0</v>
      </c>
      <c r="H11588" s="76" t="s">
        <v>926</v>
      </c>
    </row>
    <row r="11589">
      <c r="A11589" s="76" t="s">
        <v>36</v>
      </c>
      <c r="B11589" s="76" t="s">
        <v>1032</v>
      </c>
      <c r="C11589" s="84">
        <v>0.13</v>
      </c>
      <c r="D11589" s="84">
        <v>0.0</v>
      </c>
      <c r="E11589" s="84">
        <v>0.0</v>
      </c>
      <c r="F11589" s="76" t="s">
        <v>990</v>
      </c>
      <c r="G11589" s="83">
        <v>46120.0</v>
      </c>
      <c r="H11589" s="76" t="s">
        <v>927</v>
      </c>
    </row>
    <row r="11590">
      <c r="A11590" s="76" t="s">
        <v>36</v>
      </c>
      <c r="B11590" s="76" t="s">
        <v>1032</v>
      </c>
      <c r="C11590" s="84">
        <v>0.87</v>
      </c>
      <c r="D11590" s="84">
        <v>0.0</v>
      </c>
      <c r="E11590" s="84">
        <v>0.0</v>
      </c>
      <c r="F11590" s="76" t="s">
        <v>990</v>
      </c>
      <c r="G11590" s="83">
        <v>46120.0</v>
      </c>
      <c r="H11590" s="76" t="s">
        <v>928</v>
      </c>
    </row>
    <row r="11591">
      <c r="A11591" s="76" t="s">
        <v>28</v>
      </c>
      <c r="B11591" s="76" t="s">
        <v>1032</v>
      </c>
      <c r="C11591" s="84">
        <v>0.99</v>
      </c>
      <c r="D11591" s="84">
        <v>0.0</v>
      </c>
      <c r="E11591" s="84">
        <v>0.0</v>
      </c>
      <c r="F11591" s="76" t="s">
        <v>990</v>
      </c>
      <c r="G11591" s="83">
        <v>46120.0</v>
      </c>
      <c r="H11591" s="76" t="s">
        <v>931</v>
      </c>
    </row>
    <row r="11592">
      <c r="A11592" s="76" t="s">
        <v>28</v>
      </c>
      <c r="B11592" s="76" t="s">
        <v>1032</v>
      </c>
      <c r="C11592" s="84">
        <v>0.58</v>
      </c>
      <c r="D11592" s="84">
        <v>0.0</v>
      </c>
      <c r="E11592" s="84">
        <v>0.0</v>
      </c>
      <c r="F11592" s="76" t="s">
        <v>990</v>
      </c>
      <c r="G11592" s="83">
        <v>46120.0</v>
      </c>
      <c r="H11592" s="76" t="s">
        <v>932</v>
      </c>
    </row>
    <row r="11593">
      <c r="A11593" s="76" t="s">
        <v>28</v>
      </c>
      <c r="B11593" s="76" t="s">
        <v>1032</v>
      </c>
      <c r="C11593" s="84">
        <v>4.18</v>
      </c>
      <c r="D11593" s="84">
        <v>1.0</v>
      </c>
      <c r="E11593" s="84">
        <v>4.18</v>
      </c>
      <c r="F11593" s="76" t="s">
        <v>990</v>
      </c>
      <c r="G11593" s="83">
        <v>46120.0</v>
      </c>
      <c r="H11593" s="76" t="s">
        <v>933</v>
      </c>
    </row>
    <row r="11594">
      <c r="A11594" s="76" t="s">
        <v>31</v>
      </c>
      <c r="B11594" s="76" t="s">
        <v>1032</v>
      </c>
      <c r="C11594" s="84">
        <v>3.8</v>
      </c>
      <c r="D11594" s="84">
        <v>1.0</v>
      </c>
      <c r="E11594" s="84">
        <v>3.8</v>
      </c>
      <c r="F11594" s="76" t="s">
        <v>990</v>
      </c>
      <c r="G11594" s="83">
        <v>46120.0</v>
      </c>
      <c r="H11594" s="76" t="s">
        <v>929</v>
      </c>
    </row>
    <row r="11595">
      <c r="A11595" s="76" t="s">
        <v>31</v>
      </c>
      <c r="B11595" s="76" t="s">
        <v>1032</v>
      </c>
      <c r="C11595" s="84">
        <v>15.29</v>
      </c>
      <c r="D11595" s="84">
        <v>6.0</v>
      </c>
      <c r="E11595" s="84">
        <v>2.55</v>
      </c>
      <c r="F11595" s="76" t="s">
        <v>990</v>
      </c>
      <c r="G11595" s="83">
        <v>46120.0</v>
      </c>
      <c r="H11595" s="76" t="s">
        <v>930</v>
      </c>
    </row>
    <row r="11596">
      <c r="A11596" s="76" t="s">
        <v>26</v>
      </c>
      <c r="B11596" s="76" t="s">
        <v>1032</v>
      </c>
      <c r="C11596" s="84">
        <v>0.69</v>
      </c>
      <c r="D11596" s="84">
        <v>0.0</v>
      </c>
      <c r="E11596" s="84">
        <v>0.0</v>
      </c>
      <c r="F11596" s="76" t="s">
        <v>990</v>
      </c>
      <c r="G11596" s="83">
        <v>46120.0</v>
      </c>
      <c r="H11596" s="76" t="s">
        <v>1012</v>
      </c>
    </row>
    <row r="11597">
      <c r="A11597" s="76" t="s">
        <v>26</v>
      </c>
      <c r="B11597" s="76" t="s">
        <v>1032</v>
      </c>
      <c r="C11597" s="84">
        <v>0.52</v>
      </c>
      <c r="D11597" s="84">
        <v>1.0</v>
      </c>
      <c r="E11597" s="84">
        <v>0.52</v>
      </c>
      <c r="F11597" s="76" t="s">
        <v>990</v>
      </c>
      <c r="G11597" s="83">
        <v>46120.0</v>
      </c>
      <c r="H11597" s="76" t="s">
        <v>1013</v>
      </c>
    </row>
    <row r="11598">
      <c r="A11598" s="76" t="s">
        <v>26</v>
      </c>
      <c r="B11598" s="76" t="s">
        <v>1032</v>
      </c>
      <c r="C11598" s="84">
        <v>9.05</v>
      </c>
      <c r="D11598" s="84">
        <v>2.0</v>
      </c>
      <c r="E11598" s="84">
        <v>4.53</v>
      </c>
      <c r="F11598" s="76" t="s">
        <v>990</v>
      </c>
      <c r="G11598" s="83">
        <v>46120.0</v>
      </c>
      <c r="H11598" s="76" t="s">
        <v>1014</v>
      </c>
    </row>
    <row r="11599">
      <c r="A11599" s="76" t="s">
        <v>944</v>
      </c>
      <c r="B11599" s="76" t="s">
        <v>1032</v>
      </c>
      <c r="C11599" s="84">
        <v>4.22</v>
      </c>
      <c r="D11599" s="84">
        <v>0.0</v>
      </c>
      <c r="E11599" s="84">
        <v>0.0</v>
      </c>
      <c r="F11599" s="76" t="s">
        <v>990</v>
      </c>
      <c r="G11599" s="83">
        <v>46120.0</v>
      </c>
      <c r="H11599" s="76" t="s">
        <v>945</v>
      </c>
    </row>
    <row r="11600">
      <c r="A11600" s="76" t="s">
        <v>944</v>
      </c>
      <c r="B11600" s="76" t="s">
        <v>1032</v>
      </c>
      <c r="C11600" s="84">
        <v>1.42</v>
      </c>
      <c r="D11600" s="84">
        <v>2.0</v>
      </c>
      <c r="E11600" s="84">
        <v>0.71</v>
      </c>
      <c r="F11600" s="76" t="s">
        <v>990</v>
      </c>
      <c r="G11600" s="83">
        <v>46120.0</v>
      </c>
      <c r="H11600" s="76" t="s">
        <v>946</v>
      </c>
    </row>
    <row r="11601">
      <c r="A11601" s="76" t="s">
        <v>944</v>
      </c>
      <c r="B11601" s="76" t="s">
        <v>1032</v>
      </c>
      <c r="C11601" s="84">
        <v>2.83</v>
      </c>
      <c r="D11601" s="84">
        <v>1.0</v>
      </c>
      <c r="E11601" s="84">
        <v>2.83</v>
      </c>
      <c r="F11601" s="76" t="s">
        <v>990</v>
      </c>
      <c r="G11601" s="83">
        <v>46120.0</v>
      </c>
      <c r="H11601" s="76" t="s">
        <v>947</v>
      </c>
    </row>
    <row r="11602">
      <c r="A11602" s="76" t="s">
        <v>26</v>
      </c>
      <c r="B11602" s="76" t="s">
        <v>1032</v>
      </c>
      <c r="C11602" s="84">
        <v>4.65</v>
      </c>
      <c r="D11602" s="84">
        <v>3.0</v>
      </c>
      <c r="E11602" s="84">
        <v>1.55</v>
      </c>
      <c r="F11602" s="76" t="s">
        <v>1005</v>
      </c>
      <c r="G11602" s="83">
        <v>46120.0</v>
      </c>
      <c r="H11602" s="76" t="s">
        <v>1012</v>
      </c>
    </row>
    <row r="11603">
      <c r="A11603" s="76" t="s">
        <v>26</v>
      </c>
      <c r="B11603" s="76" t="s">
        <v>1032</v>
      </c>
      <c r="C11603" s="84">
        <v>11.13</v>
      </c>
      <c r="D11603" s="84">
        <v>4.0</v>
      </c>
      <c r="E11603" s="84">
        <v>2.78</v>
      </c>
      <c r="F11603" s="76" t="s">
        <v>1005</v>
      </c>
      <c r="G11603" s="83">
        <v>46120.0</v>
      </c>
      <c r="H11603" s="76" t="s">
        <v>1013</v>
      </c>
    </row>
    <row r="11604">
      <c r="A11604" s="76" t="s">
        <v>26</v>
      </c>
      <c r="B11604" s="76" t="s">
        <v>1032</v>
      </c>
      <c r="C11604" s="84">
        <v>403.35</v>
      </c>
      <c r="D11604" s="84">
        <v>104.0</v>
      </c>
      <c r="E11604" s="84">
        <v>3.88</v>
      </c>
      <c r="F11604" s="76" t="s">
        <v>1005</v>
      </c>
      <c r="G11604" s="83">
        <v>46120.0</v>
      </c>
      <c r="H11604" s="76" t="s">
        <v>1014</v>
      </c>
    </row>
    <row r="11605">
      <c r="A11605" s="76" t="s">
        <v>28</v>
      </c>
      <c r="B11605" s="76" t="s">
        <v>1032</v>
      </c>
      <c r="C11605" s="84">
        <v>4.94</v>
      </c>
      <c r="D11605" s="84">
        <v>0.0</v>
      </c>
      <c r="E11605" s="84">
        <v>0.0</v>
      </c>
      <c r="F11605" s="76" t="s">
        <v>1005</v>
      </c>
      <c r="G11605" s="83">
        <v>46120.0</v>
      </c>
      <c r="H11605" s="76" t="s">
        <v>931</v>
      </c>
    </row>
    <row r="11606">
      <c r="A11606" s="76" t="s">
        <v>28</v>
      </c>
      <c r="B11606" s="76" t="s">
        <v>1032</v>
      </c>
      <c r="C11606" s="84">
        <v>2.13</v>
      </c>
      <c r="D11606" s="84">
        <v>2.0</v>
      </c>
      <c r="E11606" s="84">
        <v>1.06</v>
      </c>
      <c r="F11606" s="76" t="s">
        <v>1005</v>
      </c>
      <c r="G11606" s="83">
        <v>46120.0</v>
      </c>
      <c r="H11606" s="76" t="s">
        <v>932</v>
      </c>
    </row>
    <row r="11607">
      <c r="A11607" s="76" t="s">
        <v>28</v>
      </c>
      <c r="B11607" s="76" t="s">
        <v>1032</v>
      </c>
      <c r="C11607" s="84">
        <v>131.02</v>
      </c>
      <c r="D11607" s="84">
        <v>28.0</v>
      </c>
      <c r="E11607" s="84">
        <v>4.68</v>
      </c>
      <c r="F11607" s="76" t="s">
        <v>1005</v>
      </c>
      <c r="G11607" s="83">
        <v>46120.0</v>
      </c>
      <c r="H11607" s="76" t="s">
        <v>933</v>
      </c>
    </row>
    <row r="11608">
      <c r="A11608" s="76" t="s">
        <v>36</v>
      </c>
      <c r="B11608" s="76" t="s">
        <v>1032</v>
      </c>
      <c r="C11608" s="84">
        <v>9.89</v>
      </c>
      <c r="D11608" s="84">
        <v>2.0</v>
      </c>
      <c r="E11608" s="84">
        <v>4.95</v>
      </c>
      <c r="F11608" s="76" t="s">
        <v>1005</v>
      </c>
      <c r="G11608" s="83">
        <v>46120.0</v>
      </c>
      <c r="H11608" s="76" t="s">
        <v>926</v>
      </c>
    </row>
    <row r="11609">
      <c r="A11609" s="76" t="s">
        <v>36</v>
      </c>
      <c r="B11609" s="76" t="s">
        <v>1032</v>
      </c>
      <c r="C11609" s="84">
        <v>1.39</v>
      </c>
      <c r="D11609" s="84">
        <v>1.0</v>
      </c>
      <c r="E11609" s="84">
        <v>1.39</v>
      </c>
      <c r="F11609" s="76" t="s">
        <v>1005</v>
      </c>
      <c r="G11609" s="83">
        <v>46120.0</v>
      </c>
      <c r="H11609" s="76" t="s">
        <v>927</v>
      </c>
    </row>
    <row r="11610">
      <c r="A11610" s="76" t="s">
        <v>36</v>
      </c>
      <c r="B11610" s="76" t="s">
        <v>1032</v>
      </c>
      <c r="C11610" s="84">
        <v>7.42</v>
      </c>
      <c r="D11610" s="84">
        <v>4.0</v>
      </c>
      <c r="E11610" s="84">
        <v>1.86</v>
      </c>
      <c r="F11610" s="76" t="s">
        <v>1005</v>
      </c>
      <c r="G11610" s="83">
        <v>46120.0</v>
      </c>
      <c r="H11610" s="76" t="s">
        <v>928</v>
      </c>
    </row>
    <row r="11611">
      <c r="A11611" s="76" t="s">
        <v>31</v>
      </c>
      <c r="B11611" s="76" t="s">
        <v>1032</v>
      </c>
      <c r="C11611" s="84">
        <v>18.8</v>
      </c>
      <c r="D11611" s="84">
        <v>8.0</v>
      </c>
      <c r="E11611" s="84">
        <v>2.35</v>
      </c>
      <c r="F11611" s="76" t="s">
        <v>1005</v>
      </c>
      <c r="G11611" s="83">
        <v>46120.0</v>
      </c>
      <c r="H11611" s="76" t="s">
        <v>929</v>
      </c>
    </row>
    <row r="11612">
      <c r="A11612" s="76" t="s">
        <v>31</v>
      </c>
      <c r="B11612" s="76" t="s">
        <v>1032</v>
      </c>
      <c r="C11612" s="84">
        <v>314.85</v>
      </c>
      <c r="D11612" s="84">
        <v>79.0</v>
      </c>
      <c r="E11612" s="84">
        <v>3.99</v>
      </c>
      <c r="F11612" s="76" t="s">
        <v>1005</v>
      </c>
      <c r="G11612" s="83">
        <v>46120.0</v>
      </c>
      <c r="H11612" s="76" t="s">
        <v>930</v>
      </c>
    </row>
    <row r="11613">
      <c r="A11613" s="76" t="s">
        <v>944</v>
      </c>
      <c r="B11613" s="76" t="s">
        <v>1032</v>
      </c>
      <c r="C11613" s="84">
        <v>9.86</v>
      </c>
      <c r="D11613" s="84">
        <v>2.0</v>
      </c>
      <c r="E11613" s="84">
        <v>4.93</v>
      </c>
      <c r="F11613" s="76" t="s">
        <v>1005</v>
      </c>
      <c r="G11613" s="83">
        <v>46120.0</v>
      </c>
      <c r="H11613" s="76" t="s">
        <v>945</v>
      </c>
    </row>
    <row r="11614">
      <c r="A11614" s="76" t="s">
        <v>944</v>
      </c>
      <c r="B11614" s="76" t="s">
        <v>1032</v>
      </c>
      <c r="C11614" s="84">
        <v>6.85</v>
      </c>
      <c r="D11614" s="84">
        <v>1.0</v>
      </c>
      <c r="E11614" s="84">
        <v>6.85</v>
      </c>
      <c r="F11614" s="76" t="s">
        <v>1005</v>
      </c>
      <c r="G11614" s="83">
        <v>46120.0</v>
      </c>
      <c r="H11614" s="76" t="s">
        <v>946</v>
      </c>
    </row>
    <row r="11615">
      <c r="A11615" s="76" t="s">
        <v>944</v>
      </c>
      <c r="B11615" s="76" t="s">
        <v>1032</v>
      </c>
      <c r="C11615" s="84">
        <v>26.09</v>
      </c>
      <c r="D11615" s="84">
        <v>5.0</v>
      </c>
      <c r="E11615" s="84">
        <v>5.22</v>
      </c>
      <c r="F11615" s="76" t="s">
        <v>1005</v>
      </c>
      <c r="G11615" s="83">
        <v>46120.0</v>
      </c>
      <c r="H11615" s="76" t="s">
        <v>947</v>
      </c>
    </row>
    <row r="11616">
      <c r="A11616" s="76" t="s">
        <v>45</v>
      </c>
      <c r="B11616" s="76" t="s">
        <v>1032</v>
      </c>
      <c r="C11616" s="84">
        <v>3.82</v>
      </c>
      <c r="D11616" s="84">
        <v>0.0</v>
      </c>
      <c r="E11616" s="84">
        <v>0.0</v>
      </c>
      <c r="F11616" s="76" t="s">
        <v>1005</v>
      </c>
      <c r="G11616" s="83">
        <v>46120.0</v>
      </c>
      <c r="H11616" s="76" t="s">
        <v>936</v>
      </c>
    </row>
    <row r="11617">
      <c r="A11617" s="76" t="s">
        <v>45</v>
      </c>
      <c r="B11617" s="76" t="s">
        <v>1032</v>
      </c>
      <c r="C11617" s="84">
        <v>5.01</v>
      </c>
      <c r="D11617" s="84">
        <v>0.0</v>
      </c>
      <c r="E11617" s="84">
        <v>0.0</v>
      </c>
      <c r="F11617" s="76" t="s">
        <v>1005</v>
      </c>
      <c r="G11617" s="83">
        <v>46120.0</v>
      </c>
      <c r="H11617" s="76" t="s">
        <v>937</v>
      </c>
    </row>
    <row r="11618">
      <c r="A11618" s="76" t="s">
        <v>45</v>
      </c>
      <c r="B11618" s="76" t="s">
        <v>1032</v>
      </c>
      <c r="C11618" s="84">
        <v>1.5</v>
      </c>
      <c r="D11618" s="84">
        <v>0.0</v>
      </c>
      <c r="E11618" s="84">
        <v>0.0</v>
      </c>
      <c r="F11618" s="76" t="s">
        <v>1005</v>
      </c>
      <c r="G11618" s="83">
        <v>46120.0</v>
      </c>
      <c r="H11618" s="76" t="s">
        <v>938</v>
      </c>
    </row>
    <row r="11619">
      <c r="A11619" s="76" t="s">
        <v>32</v>
      </c>
      <c r="B11619" s="76" t="s">
        <v>1032</v>
      </c>
      <c r="C11619" s="84">
        <v>69.6</v>
      </c>
      <c r="D11619" s="84">
        <v>15.0</v>
      </c>
      <c r="E11619" s="84">
        <v>4.64</v>
      </c>
      <c r="F11619" s="76" t="s">
        <v>1005</v>
      </c>
      <c r="G11619" s="83">
        <v>46120.0</v>
      </c>
      <c r="H11619" s="76" t="s">
        <v>941</v>
      </c>
    </row>
    <row r="11620">
      <c r="A11620" s="76" t="s">
        <v>32</v>
      </c>
      <c r="B11620" s="76" t="s">
        <v>1032</v>
      </c>
      <c r="C11620" s="84">
        <v>6.64</v>
      </c>
      <c r="D11620" s="84">
        <v>1.0</v>
      </c>
      <c r="E11620" s="84">
        <v>6.64</v>
      </c>
      <c r="F11620" s="76" t="s">
        <v>1005</v>
      </c>
      <c r="G11620" s="83">
        <v>46120.0</v>
      </c>
      <c r="H11620" s="76" t="s">
        <v>942</v>
      </c>
    </row>
    <row r="11621">
      <c r="A11621" s="76" t="s">
        <v>32</v>
      </c>
      <c r="B11621" s="76" t="s">
        <v>1032</v>
      </c>
      <c r="C11621" s="84">
        <v>8.95</v>
      </c>
      <c r="D11621" s="84">
        <v>1.0</v>
      </c>
      <c r="E11621" s="84">
        <v>8.95</v>
      </c>
      <c r="F11621" s="76" t="s">
        <v>1005</v>
      </c>
      <c r="G11621" s="83">
        <v>46120.0</v>
      </c>
      <c r="H11621" s="76" t="s">
        <v>943</v>
      </c>
    </row>
    <row r="11622">
      <c r="A11622" s="76" t="s">
        <v>26</v>
      </c>
      <c r="B11622" s="76" t="s">
        <v>1032</v>
      </c>
      <c r="C11622" s="84">
        <v>0.14</v>
      </c>
      <c r="D11622" s="84">
        <v>0.0</v>
      </c>
      <c r="E11622" s="84">
        <v>0.0</v>
      </c>
      <c r="F11622" s="76" t="s">
        <v>993</v>
      </c>
      <c r="G11622" s="83">
        <v>46120.0</v>
      </c>
      <c r="H11622" s="76" t="s">
        <v>1012</v>
      </c>
    </row>
    <row r="11623">
      <c r="A11623" s="76" t="s">
        <v>26</v>
      </c>
      <c r="B11623" s="76" t="s">
        <v>1032</v>
      </c>
      <c r="C11623" s="84">
        <v>0.14</v>
      </c>
      <c r="D11623" s="84">
        <v>1.0</v>
      </c>
      <c r="E11623" s="84">
        <v>0.14</v>
      </c>
      <c r="F11623" s="76" t="s">
        <v>993</v>
      </c>
      <c r="G11623" s="83">
        <v>46120.0</v>
      </c>
      <c r="H11623" s="76" t="s">
        <v>1013</v>
      </c>
    </row>
    <row r="11624">
      <c r="A11624" s="76" t="s">
        <v>26</v>
      </c>
      <c r="B11624" s="76" t="s">
        <v>1032</v>
      </c>
      <c r="C11624" s="84">
        <v>1.82</v>
      </c>
      <c r="D11624" s="84">
        <v>0.0</v>
      </c>
      <c r="E11624" s="84">
        <v>0.0</v>
      </c>
      <c r="F11624" s="76" t="s">
        <v>993</v>
      </c>
      <c r="G11624" s="83">
        <v>46120.0</v>
      </c>
      <c r="H11624" s="76" t="s">
        <v>1014</v>
      </c>
    </row>
    <row r="11625">
      <c r="A11625" s="76" t="s">
        <v>944</v>
      </c>
      <c r="B11625" s="76" t="s">
        <v>1032</v>
      </c>
      <c r="C11625" s="84">
        <v>1.28</v>
      </c>
      <c r="D11625" s="84">
        <v>1.0</v>
      </c>
      <c r="E11625" s="84">
        <v>1.28</v>
      </c>
      <c r="F11625" s="76" t="s">
        <v>993</v>
      </c>
      <c r="G11625" s="83">
        <v>46120.0</v>
      </c>
      <c r="H11625" s="76" t="s">
        <v>945</v>
      </c>
    </row>
    <row r="11626">
      <c r="A11626" s="76" t="s">
        <v>944</v>
      </c>
      <c r="B11626" s="76" t="s">
        <v>1032</v>
      </c>
      <c r="C11626" s="84">
        <v>0.33</v>
      </c>
      <c r="D11626" s="84">
        <v>0.0</v>
      </c>
      <c r="E11626" s="84">
        <v>0.0</v>
      </c>
      <c r="F11626" s="76" t="s">
        <v>993</v>
      </c>
      <c r="G11626" s="83">
        <v>46120.0</v>
      </c>
      <c r="H11626" s="76" t="s">
        <v>946</v>
      </c>
    </row>
    <row r="11627">
      <c r="A11627" s="76" t="s">
        <v>944</v>
      </c>
      <c r="B11627" s="76" t="s">
        <v>1032</v>
      </c>
      <c r="C11627" s="84">
        <v>0.41</v>
      </c>
      <c r="D11627" s="84">
        <v>0.0</v>
      </c>
      <c r="E11627" s="84">
        <v>0.0</v>
      </c>
      <c r="F11627" s="76" t="s">
        <v>993</v>
      </c>
      <c r="G11627" s="83">
        <v>46120.0</v>
      </c>
      <c r="H11627" s="76" t="s">
        <v>947</v>
      </c>
    </row>
    <row r="11628">
      <c r="A11628" s="76" t="s">
        <v>45</v>
      </c>
      <c r="B11628" s="76" t="s">
        <v>1032</v>
      </c>
      <c r="C11628" s="84">
        <v>0.09</v>
      </c>
      <c r="D11628" s="84">
        <v>0.0</v>
      </c>
      <c r="E11628" s="84">
        <v>0.0</v>
      </c>
      <c r="F11628" s="76" t="s">
        <v>993</v>
      </c>
      <c r="G11628" s="83">
        <v>46120.0</v>
      </c>
      <c r="H11628" s="76" t="s">
        <v>936</v>
      </c>
    </row>
    <row r="11629">
      <c r="A11629" s="76" t="s">
        <v>45</v>
      </c>
      <c r="B11629" s="76" t="s">
        <v>1032</v>
      </c>
      <c r="C11629" s="84">
        <v>0.27</v>
      </c>
      <c r="D11629" s="84">
        <v>0.0</v>
      </c>
      <c r="E11629" s="84">
        <v>0.0</v>
      </c>
      <c r="F11629" s="76" t="s">
        <v>993</v>
      </c>
      <c r="G11629" s="83">
        <v>46120.0</v>
      </c>
      <c r="H11629" s="76" t="s">
        <v>937</v>
      </c>
    </row>
    <row r="11630">
      <c r="A11630" s="76" t="s">
        <v>45</v>
      </c>
      <c r="B11630" s="76" t="s">
        <v>1032</v>
      </c>
      <c r="C11630" s="84">
        <v>0.03</v>
      </c>
      <c r="D11630" s="84">
        <v>0.0</v>
      </c>
      <c r="E11630" s="84">
        <v>0.0</v>
      </c>
      <c r="F11630" s="76" t="s">
        <v>993</v>
      </c>
      <c r="G11630" s="83">
        <v>46120.0</v>
      </c>
      <c r="H11630" s="76" t="s">
        <v>938</v>
      </c>
    </row>
    <row r="11631">
      <c r="A11631" s="76" t="s">
        <v>32</v>
      </c>
      <c r="B11631" s="76" t="s">
        <v>1032</v>
      </c>
      <c r="C11631" s="84">
        <v>1.72</v>
      </c>
      <c r="D11631" s="84">
        <v>1.0</v>
      </c>
      <c r="E11631" s="84">
        <v>1.72</v>
      </c>
      <c r="F11631" s="76" t="s">
        <v>993</v>
      </c>
      <c r="G11631" s="83">
        <v>46120.0</v>
      </c>
      <c r="H11631" s="76" t="s">
        <v>941</v>
      </c>
    </row>
    <row r="11632">
      <c r="A11632" s="76" t="s">
        <v>32</v>
      </c>
      <c r="B11632" s="76" t="s">
        <v>1032</v>
      </c>
      <c r="C11632" s="84">
        <v>0.2</v>
      </c>
      <c r="D11632" s="84">
        <v>0.0</v>
      </c>
      <c r="E11632" s="84">
        <v>0.0</v>
      </c>
      <c r="F11632" s="76" t="s">
        <v>993</v>
      </c>
      <c r="G11632" s="83">
        <v>46120.0</v>
      </c>
      <c r="H11632" s="76" t="s">
        <v>942</v>
      </c>
    </row>
    <row r="11633">
      <c r="A11633" s="76" t="s">
        <v>32</v>
      </c>
      <c r="B11633" s="76" t="s">
        <v>1032</v>
      </c>
      <c r="C11633" s="84">
        <v>0.84</v>
      </c>
      <c r="D11633" s="84">
        <v>0.0</v>
      </c>
      <c r="E11633" s="84">
        <v>0.0</v>
      </c>
      <c r="F11633" s="76" t="s">
        <v>993</v>
      </c>
      <c r="G11633" s="83">
        <v>46120.0</v>
      </c>
      <c r="H11633" s="76" t="s">
        <v>943</v>
      </c>
    </row>
    <row r="11634">
      <c r="A11634" s="76" t="s">
        <v>36</v>
      </c>
      <c r="B11634" s="76" t="s">
        <v>1032</v>
      </c>
      <c r="C11634" s="84">
        <v>0.36</v>
      </c>
      <c r="D11634" s="84">
        <v>0.0</v>
      </c>
      <c r="E11634" s="84">
        <v>0.0</v>
      </c>
      <c r="F11634" s="76" t="s">
        <v>993</v>
      </c>
      <c r="G11634" s="83">
        <v>46120.0</v>
      </c>
      <c r="H11634" s="76" t="s">
        <v>926</v>
      </c>
    </row>
    <row r="11635">
      <c r="A11635" s="76" t="s">
        <v>36</v>
      </c>
      <c r="B11635" s="76" t="s">
        <v>1032</v>
      </c>
      <c r="C11635" s="84">
        <v>0.04</v>
      </c>
      <c r="D11635" s="84">
        <v>0.0</v>
      </c>
      <c r="E11635" s="84">
        <v>0.0</v>
      </c>
      <c r="F11635" s="76" t="s">
        <v>993</v>
      </c>
      <c r="G11635" s="83">
        <v>46120.0</v>
      </c>
      <c r="H11635" s="76" t="s">
        <v>927</v>
      </c>
    </row>
    <row r="11636">
      <c r="A11636" s="76" t="s">
        <v>36</v>
      </c>
      <c r="B11636" s="76" t="s">
        <v>1032</v>
      </c>
      <c r="C11636" s="84">
        <v>0.19</v>
      </c>
      <c r="D11636" s="84">
        <v>0.0</v>
      </c>
      <c r="E11636" s="84">
        <v>0.0</v>
      </c>
      <c r="F11636" s="76" t="s">
        <v>993</v>
      </c>
      <c r="G11636" s="83">
        <v>46120.0</v>
      </c>
      <c r="H11636" s="76" t="s">
        <v>928</v>
      </c>
    </row>
    <row r="11637">
      <c r="A11637" s="76" t="s">
        <v>28</v>
      </c>
      <c r="B11637" s="76" t="s">
        <v>1032</v>
      </c>
      <c r="C11637" s="84">
        <v>0.18</v>
      </c>
      <c r="D11637" s="84">
        <v>0.0</v>
      </c>
      <c r="E11637" s="84">
        <v>0.0</v>
      </c>
      <c r="F11637" s="76" t="s">
        <v>993</v>
      </c>
      <c r="G11637" s="83">
        <v>46120.0</v>
      </c>
      <c r="H11637" s="76" t="s">
        <v>931</v>
      </c>
    </row>
    <row r="11638">
      <c r="A11638" s="76" t="s">
        <v>28</v>
      </c>
      <c r="B11638" s="76" t="s">
        <v>1032</v>
      </c>
      <c r="C11638" s="84">
        <v>0.06</v>
      </c>
      <c r="D11638" s="84">
        <v>0.0</v>
      </c>
      <c r="E11638" s="84">
        <v>0.0</v>
      </c>
      <c r="F11638" s="76" t="s">
        <v>993</v>
      </c>
      <c r="G11638" s="83">
        <v>46120.0</v>
      </c>
      <c r="H11638" s="76" t="s">
        <v>932</v>
      </c>
    </row>
    <row r="11639">
      <c r="A11639" s="76" t="s">
        <v>28</v>
      </c>
      <c r="B11639" s="76" t="s">
        <v>1032</v>
      </c>
      <c r="C11639" s="84">
        <v>1.96</v>
      </c>
      <c r="D11639" s="84">
        <v>1.0</v>
      </c>
      <c r="E11639" s="84">
        <v>1.96</v>
      </c>
      <c r="F11639" s="76" t="s">
        <v>993</v>
      </c>
      <c r="G11639" s="83">
        <v>46120.0</v>
      </c>
      <c r="H11639" s="76" t="s">
        <v>933</v>
      </c>
    </row>
    <row r="11640">
      <c r="A11640" s="76" t="s">
        <v>31</v>
      </c>
      <c r="B11640" s="76" t="s">
        <v>1032</v>
      </c>
      <c r="C11640" s="84">
        <v>0.78</v>
      </c>
      <c r="D11640" s="84">
        <v>1.0</v>
      </c>
      <c r="E11640" s="84">
        <v>0.78</v>
      </c>
      <c r="F11640" s="76" t="s">
        <v>993</v>
      </c>
      <c r="G11640" s="83">
        <v>46120.0</v>
      </c>
      <c r="H11640" s="76" t="s">
        <v>929</v>
      </c>
    </row>
    <row r="11641">
      <c r="A11641" s="76" t="s">
        <v>31</v>
      </c>
      <c r="B11641" s="76" t="s">
        <v>1032</v>
      </c>
      <c r="C11641" s="84">
        <v>15.36</v>
      </c>
      <c r="D11641" s="84">
        <v>10.0</v>
      </c>
      <c r="E11641" s="84">
        <v>1.54</v>
      </c>
      <c r="F11641" s="76" t="s">
        <v>993</v>
      </c>
      <c r="G11641" s="83">
        <v>46120.0</v>
      </c>
      <c r="H11641" s="76" t="s">
        <v>930</v>
      </c>
    </row>
    <row r="11642">
      <c r="A11642" s="76" t="s">
        <v>45</v>
      </c>
      <c r="B11642" s="76" t="s">
        <v>1032</v>
      </c>
      <c r="C11642" s="84">
        <v>0.04</v>
      </c>
      <c r="D11642" s="84">
        <v>0.0</v>
      </c>
      <c r="E11642" s="84">
        <v>0.0</v>
      </c>
      <c r="F11642" s="76" t="s">
        <v>994</v>
      </c>
      <c r="G11642" s="83">
        <v>46120.0</v>
      </c>
      <c r="H11642" s="76" t="s">
        <v>936</v>
      </c>
    </row>
    <row r="11643">
      <c r="A11643" s="76" t="s">
        <v>45</v>
      </c>
      <c r="B11643" s="76" t="s">
        <v>1032</v>
      </c>
      <c r="C11643" s="84">
        <v>0.17</v>
      </c>
      <c r="D11643" s="84">
        <v>0.0</v>
      </c>
      <c r="E11643" s="84">
        <v>0.0</v>
      </c>
      <c r="F11643" s="76" t="s">
        <v>994</v>
      </c>
      <c r="G11643" s="83">
        <v>46120.0</v>
      </c>
      <c r="H11643" s="76" t="s">
        <v>937</v>
      </c>
    </row>
    <row r="11644">
      <c r="A11644" s="76" t="s">
        <v>45</v>
      </c>
      <c r="B11644" s="76" t="s">
        <v>1032</v>
      </c>
      <c r="C11644" s="84">
        <v>0.22</v>
      </c>
      <c r="D11644" s="84">
        <v>0.0</v>
      </c>
      <c r="E11644" s="84">
        <v>0.0</v>
      </c>
      <c r="F11644" s="76" t="s">
        <v>994</v>
      </c>
      <c r="G11644" s="83">
        <v>46120.0</v>
      </c>
      <c r="H11644" s="76" t="s">
        <v>938</v>
      </c>
    </row>
    <row r="11645">
      <c r="A11645" s="76" t="s">
        <v>36</v>
      </c>
      <c r="B11645" s="76" t="s">
        <v>1032</v>
      </c>
      <c r="C11645" s="84">
        <v>2.26</v>
      </c>
      <c r="D11645" s="84">
        <v>0.0</v>
      </c>
      <c r="E11645" s="84">
        <v>0.0</v>
      </c>
      <c r="F11645" s="76" t="s">
        <v>994</v>
      </c>
      <c r="G11645" s="83">
        <v>46120.0</v>
      </c>
      <c r="H11645" s="76" t="s">
        <v>926</v>
      </c>
    </row>
    <row r="11646">
      <c r="A11646" s="76" t="s">
        <v>36</v>
      </c>
      <c r="B11646" s="76" t="s">
        <v>1032</v>
      </c>
      <c r="C11646" s="84">
        <v>0.03</v>
      </c>
      <c r="D11646" s="84">
        <v>0.0</v>
      </c>
      <c r="E11646" s="84">
        <v>0.0</v>
      </c>
      <c r="F11646" s="76" t="s">
        <v>994</v>
      </c>
      <c r="G11646" s="83">
        <v>46120.0</v>
      </c>
      <c r="H11646" s="76" t="s">
        <v>927</v>
      </c>
    </row>
    <row r="11647">
      <c r="A11647" s="76" t="s">
        <v>36</v>
      </c>
      <c r="B11647" s="76" t="s">
        <v>1032</v>
      </c>
      <c r="C11647" s="84">
        <v>0.29</v>
      </c>
      <c r="D11647" s="84">
        <v>0.0</v>
      </c>
      <c r="E11647" s="84">
        <v>0.0</v>
      </c>
      <c r="F11647" s="76" t="s">
        <v>994</v>
      </c>
      <c r="G11647" s="83">
        <v>46120.0</v>
      </c>
      <c r="H11647" s="76" t="s">
        <v>928</v>
      </c>
    </row>
    <row r="11648">
      <c r="A11648" s="76" t="s">
        <v>31</v>
      </c>
      <c r="B11648" s="76" t="s">
        <v>1032</v>
      </c>
      <c r="C11648" s="84">
        <v>0.14</v>
      </c>
      <c r="D11648" s="84">
        <v>0.0</v>
      </c>
      <c r="E11648" s="84">
        <v>0.0</v>
      </c>
      <c r="F11648" s="76" t="s">
        <v>994</v>
      </c>
      <c r="G11648" s="83">
        <v>46120.0</v>
      </c>
      <c r="H11648" s="76" t="s">
        <v>929</v>
      </c>
    </row>
    <row r="11649">
      <c r="A11649" s="76" t="s">
        <v>31</v>
      </c>
      <c r="B11649" s="76" t="s">
        <v>1032</v>
      </c>
      <c r="C11649" s="84">
        <v>1.3</v>
      </c>
      <c r="D11649" s="84">
        <v>1.0</v>
      </c>
      <c r="E11649" s="84">
        <v>1.3</v>
      </c>
      <c r="F11649" s="76" t="s">
        <v>994</v>
      </c>
      <c r="G11649" s="83">
        <v>46120.0</v>
      </c>
      <c r="H11649" s="76" t="s">
        <v>930</v>
      </c>
    </row>
    <row r="11650">
      <c r="A11650" s="76" t="s">
        <v>944</v>
      </c>
      <c r="B11650" s="76" t="s">
        <v>1032</v>
      </c>
      <c r="C11650" s="84">
        <v>0.21</v>
      </c>
      <c r="D11650" s="84">
        <v>0.0</v>
      </c>
      <c r="E11650" s="84">
        <v>0.0</v>
      </c>
      <c r="F11650" s="76" t="s">
        <v>994</v>
      </c>
      <c r="G11650" s="83">
        <v>46120.0</v>
      </c>
      <c r="H11650" s="76" t="s">
        <v>945</v>
      </c>
    </row>
    <row r="11651">
      <c r="A11651" s="76" t="s">
        <v>944</v>
      </c>
      <c r="B11651" s="76" t="s">
        <v>1032</v>
      </c>
      <c r="C11651" s="84">
        <v>0.12</v>
      </c>
      <c r="D11651" s="84">
        <v>0.0</v>
      </c>
      <c r="E11651" s="84">
        <v>0.0</v>
      </c>
      <c r="F11651" s="76" t="s">
        <v>994</v>
      </c>
      <c r="G11651" s="83">
        <v>46120.0</v>
      </c>
      <c r="H11651" s="76" t="s">
        <v>946</v>
      </c>
    </row>
    <row r="11652">
      <c r="A11652" s="76" t="s">
        <v>944</v>
      </c>
      <c r="B11652" s="76" t="s">
        <v>1032</v>
      </c>
      <c r="C11652" s="84">
        <v>0.39</v>
      </c>
      <c r="D11652" s="84">
        <v>0.0</v>
      </c>
      <c r="E11652" s="84">
        <v>0.0</v>
      </c>
      <c r="F11652" s="76" t="s">
        <v>994</v>
      </c>
      <c r="G11652" s="83">
        <v>46120.0</v>
      </c>
      <c r="H11652" s="76" t="s">
        <v>947</v>
      </c>
    </row>
    <row r="11653">
      <c r="A11653" s="76" t="s">
        <v>32</v>
      </c>
      <c r="B11653" s="76" t="s">
        <v>1032</v>
      </c>
      <c r="C11653" s="84">
        <v>0.82</v>
      </c>
      <c r="D11653" s="84">
        <v>0.0</v>
      </c>
      <c r="E11653" s="84">
        <v>0.0</v>
      </c>
      <c r="F11653" s="76" t="s">
        <v>994</v>
      </c>
      <c r="G11653" s="83">
        <v>46120.0</v>
      </c>
      <c r="H11653" s="76" t="s">
        <v>941</v>
      </c>
    </row>
    <row r="11654">
      <c r="A11654" s="76" t="s">
        <v>32</v>
      </c>
      <c r="B11654" s="76" t="s">
        <v>1032</v>
      </c>
      <c r="C11654" s="84">
        <v>0.1</v>
      </c>
      <c r="D11654" s="84">
        <v>0.0</v>
      </c>
      <c r="E11654" s="84">
        <v>0.0</v>
      </c>
      <c r="F11654" s="76" t="s">
        <v>994</v>
      </c>
      <c r="G11654" s="83">
        <v>46120.0</v>
      </c>
      <c r="H11654" s="76" t="s">
        <v>942</v>
      </c>
    </row>
    <row r="11655">
      <c r="A11655" s="76" t="s">
        <v>32</v>
      </c>
      <c r="B11655" s="76" t="s">
        <v>1032</v>
      </c>
      <c r="C11655" s="84">
        <v>0.88</v>
      </c>
      <c r="D11655" s="84">
        <v>0.0</v>
      </c>
      <c r="E11655" s="84">
        <v>0.0</v>
      </c>
      <c r="F11655" s="76" t="s">
        <v>994</v>
      </c>
      <c r="G11655" s="83">
        <v>46120.0</v>
      </c>
      <c r="H11655" s="76" t="s">
        <v>943</v>
      </c>
    </row>
    <row r="11656">
      <c r="A11656" s="76" t="s">
        <v>26</v>
      </c>
      <c r="B11656" s="76" t="s">
        <v>1032</v>
      </c>
      <c r="C11656" s="84">
        <v>0.12</v>
      </c>
      <c r="D11656" s="84">
        <v>0.0</v>
      </c>
      <c r="E11656" s="84">
        <v>0.0</v>
      </c>
      <c r="F11656" s="76" t="s">
        <v>994</v>
      </c>
      <c r="G11656" s="83">
        <v>46120.0</v>
      </c>
      <c r="H11656" s="76" t="s">
        <v>1012</v>
      </c>
    </row>
    <row r="11657">
      <c r="A11657" s="76" t="s">
        <v>26</v>
      </c>
      <c r="B11657" s="76" t="s">
        <v>1032</v>
      </c>
      <c r="C11657" s="84">
        <v>0.72</v>
      </c>
      <c r="D11657" s="84">
        <v>0.0</v>
      </c>
      <c r="E11657" s="84">
        <v>0.0</v>
      </c>
      <c r="F11657" s="76" t="s">
        <v>994</v>
      </c>
      <c r="G11657" s="83">
        <v>46120.0</v>
      </c>
      <c r="H11657" s="76" t="s">
        <v>1013</v>
      </c>
    </row>
    <row r="11658">
      <c r="A11658" s="76" t="s">
        <v>26</v>
      </c>
      <c r="B11658" s="76" t="s">
        <v>1032</v>
      </c>
      <c r="C11658" s="84">
        <v>0.89</v>
      </c>
      <c r="D11658" s="84">
        <v>1.0</v>
      </c>
      <c r="E11658" s="84">
        <v>0.89</v>
      </c>
      <c r="F11658" s="76" t="s">
        <v>994</v>
      </c>
      <c r="G11658" s="83">
        <v>46120.0</v>
      </c>
      <c r="H11658" s="76" t="s">
        <v>1014</v>
      </c>
    </row>
    <row r="11659">
      <c r="A11659" s="76" t="s">
        <v>28</v>
      </c>
      <c r="B11659" s="76" t="s">
        <v>1032</v>
      </c>
      <c r="C11659" s="84">
        <v>0.04</v>
      </c>
      <c r="D11659" s="84">
        <v>0.0</v>
      </c>
      <c r="E11659" s="84">
        <v>0.0</v>
      </c>
      <c r="F11659" s="76" t="s">
        <v>994</v>
      </c>
      <c r="G11659" s="83">
        <v>46120.0</v>
      </c>
      <c r="H11659" s="76" t="s">
        <v>931</v>
      </c>
    </row>
    <row r="11660">
      <c r="A11660" s="76" t="s">
        <v>28</v>
      </c>
      <c r="B11660" s="76" t="s">
        <v>1032</v>
      </c>
      <c r="C11660" s="84">
        <v>0.01</v>
      </c>
      <c r="D11660" s="84">
        <v>0.0</v>
      </c>
      <c r="E11660" s="84">
        <v>0.0</v>
      </c>
      <c r="F11660" s="76" t="s">
        <v>994</v>
      </c>
      <c r="G11660" s="83">
        <v>46120.0</v>
      </c>
      <c r="H11660" s="76" t="s">
        <v>932</v>
      </c>
    </row>
    <row r="11661">
      <c r="A11661" s="76" t="s">
        <v>28</v>
      </c>
      <c r="B11661" s="76" t="s">
        <v>1032</v>
      </c>
      <c r="C11661" s="84">
        <v>0.74</v>
      </c>
      <c r="D11661" s="84">
        <v>1.0</v>
      </c>
      <c r="E11661" s="84">
        <v>0.74</v>
      </c>
      <c r="F11661" s="76" t="s">
        <v>994</v>
      </c>
      <c r="G11661" s="83">
        <v>46120.0</v>
      </c>
      <c r="H11661" s="76" t="s">
        <v>933</v>
      </c>
    </row>
    <row r="11662">
      <c r="A11662" s="76" t="s">
        <v>36</v>
      </c>
      <c r="B11662" s="76" t="s">
        <v>1032</v>
      </c>
      <c r="C11662" s="84">
        <v>2.57</v>
      </c>
      <c r="D11662" s="84">
        <v>0.0</v>
      </c>
      <c r="E11662" s="84">
        <v>0.0</v>
      </c>
      <c r="F11662" s="76" t="s">
        <v>998</v>
      </c>
      <c r="G11662" s="83">
        <v>46120.0</v>
      </c>
      <c r="H11662" s="76" t="s">
        <v>926</v>
      </c>
    </row>
    <row r="11663">
      <c r="A11663" s="76" t="s">
        <v>36</v>
      </c>
      <c r="B11663" s="76" t="s">
        <v>1032</v>
      </c>
      <c r="C11663" s="84">
        <v>0.33</v>
      </c>
      <c r="D11663" s="84">
        <v>0.0</v>
      </c>
      <c r="E11663" s="84">
        <v>0.0</v>
      </c>
      <c r="F11663" s="76" t="s">
        <v>998</v>
      </c>
      <c r="G11663" s="83">
        <v>46120.0</v>
      </c>
      <c r="H11663" s="76" t="s">
        <v>927</v>
      </c>
    </row>
    <row r="11664">
      <c r="A11664" s="76" t="s">
        <v>36</v>
      </c>
      <c r="B11664" s="76" t="s">
        <v>1032</v>
      </c>
      <c r="C11664" s="84">
        <v>0.8</v>
      </c>
      <c r="D11664" s="84">
        <v>0.0</v>
      </c>
      <c r="E11664" s="84">
        <v>0.0</v>
      </c>
      <c r="F11664" s="76" t="s">
        <v>998</v>
      </c>
      <c r="G11664" s="83">
        <v>46120.0</v>
      </c>
      <c r="H11664" s="76" t="s">
        <v>928</v>
      </c>
    </row>
    <row r="11665">
      <c r="A11665" s="76" t="s">
        <v>31</v>
      </c>
      <c r="B11665" s="76" t="s">
        <v>1032</v>
      </c>
      <c r="C11665" s="84">
        <v>1.81</v>
      </c>
      <c r="D11665" s="84">
        <v>0.0</v>
      </c>
      <c r="E11665" s="84">
        <v>0.0</v>
      </c>
      <c r="F11665" s="76" t="s">
        <v>998</v>
      </c>
      <c r="G11665" s="83">
        <v>46120.0</v>
      </c>
      <c r="H11665" s="76" t="s">
        <v>929</v>
      </c>
    </row>
    <row r="11666">
      <c r="A11666" s="76" t="s">
        <v>31</v>
      </c>
      <c r="B11666" s="76" t="s">
        <v>1032</v>
      </c>
      <c r="C11666" s="84">
        <v>8.75</v>
      </c>
      <c r="D11666" s="84">
        <v>0.0</v>
      </c>
      <c r="E11666" s="84">
        <v>0.0</v>
      </c>
      <c r="F11666" s="76" t="s">
        <v>998</v>
      </c>
      <c r="G11666" s="83">
        <v>46120.0</v>
      </c>
      <c r="H11666" s="76" t="s">
        <v>930</v>
      </c>
    </row>
    <row r="11667">
      <c r="A11667" s="76" t="s">
        <v>28</v>
      </c>
      <c r="B11667" s="76" t="s">
        <v>1032</v>
      </c>
      <c r="C11667" s="84">
        <v>0.68</v>
      </c>
      <c r="D11667" s="84">
        <v>0.0</v>
      </c>
      <c r="E11667" s="84">
        <v>0.0</v>
      </c>
      <c r="F11667" s="76" t="s">
        <v>998</v>
      </c>
      <c r="G11667" s="83">
        <v>46120.0</v>
      </c>
      <c r="H11667" s="76" t="s">
        <v>931</v>
      </c>
    </row>
    <row r="11668">
      <c r="A11668" s="76" t="s">
        <v>28</v>
      </c>
      <c r="B11668" s="76" t="s">
        <v>1032</v>
      </c>
      <c r="C11668" s="84">
        <v>0.24</v>
      </c>
      <c r="D11668" s="84">
        <v>0.0</v>
      </c>
      <c r="E11668" s="84">
        <v>0.0</v>
      </c>
      <c r="F11668" s="76" t="s">
        <v>998</v>
      </c>
      <c r="G11668" s="83">
        <v>46120.0</v>
      </c>
      <c r="H11668" s="76" t="s">
        <v>932</v>
      </c>
    </row>
    <row r="11669">
      <c r="A11669" s="76" t="s">
        <v>28</v>
      </c>
      <c r="B11669" s="76" t="s">
        <v>1032</v>
      </c>
      <c r="C11669" s="84">
        <v>3.77</v>
      </c>
      <c r="D11669" s="84">
        <v>2.0</v>
      </c>
      <c r="E11669" s="84">
        <v>1.89</v>
      </c>
      <c r="F11669" s="76" t="s">
        <v>998</v>
      </c>
      <c r="G11669" s="83">
        <v>46120.0</v>
      </c>
      <c r="H11669" s="76" t="s">
        <v>933</v>
      </c>
    </row>
    <row r="11670">
      <c r="A11670" s="76" t="s">
        <v>944</v>
      </c>
      <c r="B11670" s="76" t="s">
        <v>1032</v>
      </c>
      <c r="C11670" s="84">
        <v>1.47</v>
      </c>
      <c r="D11670" s="84">
        <v>1.0</v>
      </c>
      <c r="E11670" s="84">
        <v>1.47</v>
      </c>
      <c r="F11670" s="76" t="s">
        <v>998</v>
      </c>
      <c r="G11670" s="83">
        <v>46120.0</v>
      </c>
      <c r="H11670" s="76" t="s">
        <v>945</v>
      </c>
    </row>
    <row r="11671">
      <c r="A11671" s="76" t="s">
        <v>944</v>
      </c>
      <c r="B11671" s="76" t="s">
        <v>1032</v>
      </c>
      <c r="C11671" s="84">
        <v>0.27</v>
      </c>
      <c r="D11671" s="84">
        <v>0.0</v>
      </c>
      <c r="E11671" s="84">
        <v>0.0</v>
      </c>
      <c r="F11671" s="76" t="s">
        <v>998</v>
      </c>
      <c r="G11671" s="83">
        <v>46120.0</v>
      </c>
      <c r="H11671" s="76" t="s">
        <v>946</v>
      </c>
    </row>
    <row r="11672">
      <c r="A11672" s="76" t="s">
        <v>944</v>
      </c>
      <c r="B11672" s="76" t="s">
        <v>1032</v>
      </c>
      <c r="C11672" s="84">
        <v>1.58</v>
      </c>
      <c r="D11672" s="84">
        <v>1.0</v>
      </c>
      <c r="E11672" s="84">
        <v>1.58</v>
      </c>
      <c r="F11672" s="76" t="s">
        <v>998</v>
      </c>
      <c r="G11672" s="83">
        <v>46120.0</v>
      </c>
      <c r="H11672" s="76" t="s">
        <v>947</v>
      </c>
    </row>
    <row r="11673">
      <c r="A11673" s="76" t="s">
        <v>45</v>
      </c>
      <c r="B11673" s="76" t="s">
        <v>1032</v>
      </c>
      <c r="C11673" s="84">
        <v>0.3</v>
      </c>
      <c r="D11673" s="84">
        <v>0.0</v>
      </c>
      <c r="E11673" s="84">
        <v>0.0</v>
      </c>
      <c r="F11673" s="76" t="s">
        <v>998</v>
      </c>
      <c r="G11673" s="83">
        <v>46120.0</v>
      </c>
      <c r="H11673" s="76" t="s">
        <v>936</v>
      </c>
    </row>
    <row r="11674">
      <c r="A11674" s="76" t="s">
        <v>45</v>
      </c>
      <c r="B11674" s="76" t="s">
        <v>1032</v>
      </c>
      <c r="C11674" s="84">
        <v>0.35</v>
      </c>
      <c r="D11674" s="84">
        <v>0.0</v>
      </c>
      <c r="E11674" s="84">
        <v>0.0</v>
      </c>
      <c r="F11674" s="76" t="s">
        <v>998</v>
      </c>
      <c r="G11674" s="83">
        <v>46120.0</v>
      </c>
      <c r="H11674" s="76" t="s">
        <v>937</v>
      </c>
    </row>
    <row r="11675">
      <c r="A11675" s="76" t="s">
        <v>45</v>
      </c>
      <c r="B11675" s="76" t="s">
        <v>1032</v>
      </c>
      <c r="C11675" s="84">
        <v>0.36</v>
      </c>
      <c r="D11675" s="84">
        <v>0.0</v>
      </c>
      <c r="E11675" s="84">
        <v>0.0</v>
      </c>
      <c r="F11675" s="76" t="s">
        <v>998</v>
      </c>
      <c r="G11675" s="83">
        <v>46120.0</v>
      </c>
      <c r="H11675" s="76" t="s">
        <v>938</v>
      </c>
    </row>
    <row r="11676">
      <c r="A11676" s="76" t="s">
        <v>32</v>
      </c>
      <c r="B11676" s="76" t="s">
        <v>1032</v>
      </c>
      <c r="C11676" s="84">
        <v>4.26</v>
      </c>
      <c r="D11676" s="84">
        <v>2.0</v>
      </c>
      <c r="E11676" s="84">
        <v>2.13</v>
      </c>
      <c r="F11676" s="76" t="s">
        <v>998</v>
      </c>
      <c r="G11676" s="83">
        <v>46120.0</v>
      </c>
      <c r="H11676" s="76" t="s">
        <v>941</v>
      </c>
    </row>
    <row r="11677">
      <c r="A11677" s="76" t="s">
        <v>32</v>
      </c>
      <c r="B11677" s="76" t="s">
        <v>1032</v>
      </c>
      <c r="C11677" s="84">
        <v>0.59</v>
      </c>
      <c r="D11677" s="84">
        <v>0.0</v>
      </c>
      <c r="E11677" s="84">
        <v>0.0</v>
      </c>
      <c r="F11677" s="76" t="s">
        <v>998</v>
      </c>
      <c r="G11677" s="83">
        <v>46120.0</v>
      </c>
      <c r="H11677" s="76" t="s">
        <v>942</v>
      </c>
    </row>
    <row r="11678">
      <c r="A11678" s="76" t="s">
        <v>32</v>
      </c>
      <c r="B11678" s="76" t="s">
        <v>1032</v>
      </c>
      <c r="C11678" s="84">
        <v>2.33</v>
      </c>
      <c r="D11678" s="84">
        <v>0.0</v>
      </c>
      <c r="E11678" s="84">
        <v>0.0</v>
      </c>
      <c r="F11678" s="76" t="s">
        <v>998</v>
      </c>
      <c r="G11678" s="83">
        <v>46120.0</v>
      </c>
      <c r="H11678" s="76" t="s">
        <v>943</v>
      </c>
    </row>
    <row r="11679">
      <c r="A11679" s="76" t="s">
        <v>26</v>
      </c>
      <c r="B11679" s="76" t="s">
        <v>1032</v>
      </c>
      <c r="C11679" s="84">
        <v>0.33</v>
      </c>
      <c r="D11679" s="84">
        <v>0.0</v>
      </c>
      <c r="E11679" s="84">
        <v>0.0</v>
      </c>
      <c r="F11679" s="76" t="s">
        <v>998</v>
      </c>
      <c r="G11679" s="83">
        <v>46120.0</v>
      </c>
      <c r="H11679" s="76" t="s">
        <v>1012</v>
      </c>
    </row>
    <row r="11680">
      <c r="A11680" s="76" t="s">
        <v>26</v>
      </c>
      <c r="B11680" s="76" t="s">
        <v>1032</v>
      </c>
      <c r="C11680" s="84">
        <v>0.43</v>
      </c>
      <c r="D11680" s="84">
        <v>0.0</v>
      </c>
      <c r="E11680" s="84">
        <v>0.0</v>
      </c>
      <c r="F11680" s="76" t="s">
        <v>998</v>
      </c>
      <c r="G11680" s="83">
        <v>46120.0</v>
      </c>
      <c r="H11680" s="76" t="s">
        <v>1013</v>
      </c>
    </row>
    <row r="11681">
      <c r="A11681" s="76" t="s">
        <v>26</v>
      </c>
      <c r="B11681" s="76" t="s">
        <v>1032</v>
      </c>
      <c r="C11681" s="84">
        <v>3.17</v>
      </c>
      <c r="D11681" s="84">
        <v>0.0</v>
      </c>
      <c r="E11681" s="84">
        <v>0.0</v>
      </c>
      <c r="F11681" s="76" t="s">
        <v>998</v>
      </c>
      <c r="G11681" s="83">
        <v>46120.0</v>
      </c>
      <c r="H11681" s="76" t="s">
        <v>1014</v>
      </c>
    </row>
    <row r="11682">
      <c r="A11682" s="76" t="s">
        <v>36</v>
      </c>
      <c r="B11682" s="76" t="s">
        <v>1042</v>
      </c>
      <c r="C11682" s="84">
        <v>14.23</v>
      </c>
      <c r="D11682" s="84">
        <v>0.0</v>
      </c>
      <c r="E11682" s="84">
        <v>0.0</v>
      </c>
      <c r="F11682" s="76" t="s">
        <v>996</v>
      </c>
      <c r="G11682" s="83">
        <v>46120.0</v>
      </c>
      <c r="H11682" s="76" t="s">
        <v>926</v>
      </c>
    </row>
    <row r="11683">
      <c r="A11683" s="76" t="s">
        <v>36</v>
      </c>
      <c r="B11683" s="76" t="s">
        <v>1042</v>
      </c>
      <c r="C11683" s="84">
        <v>1.63</v>
      </c>
      <c r="D11683" s="84">
        <v>0.0</v>
      </c>
      <c r="E11683" s="84">
        <v>0.0</v>
      </c>
      <c r="F11683" s="76" t="s">
        <v>996</v>
      </c>
      <c r="G11683" s="83">
        <v>46120.0</v>
      </c>
      <c r="H11683" s="76" t="s">
        <v>927</v>
      </c>
    </row>
    <row r="11684">
      <c r="A11684" s="76" t="s">
        <v>36</v>
      </c>
      <c r="B11684" s="76" t="s">
        <v>1042</v>
      </c>
      <c r="C11684" s="84">
        <v>9.13</v>
      </c>
      <c r="D11684" s="84">
        <v>3.0</v>
      </c>
      <c r="E11684" s="84">
        <v>3.04</v>
      </c>
      <c r="F11684" s="76" t="s">
        <v>996</v>
      </c>
      <c r="G11684" s="83">
        <v>46120.0</v>
      </c>
      <c r="H11684" s="76" t="s">
        <v>928</v>
      </c>
    </row>
    <row r="11685">
      <c r="A11685" s="76" t="s">
        <v>28</v>
      </c>
      <c r="B11685" s="76" t="s">
        <v>1042</v>
      </c>
      <c r="C11685" s="84">
        <v>5.32</v>
      </c>
      <c r="D11685" s="84">
        <v>0.0</v>
      </c>
      <c r="E11685" s="84">
        <v>0.0</v>
      </c>
      <c r="F11685" s="76" t="s">
        <v>996</v>
      </c>
      <c r="G11685" s="83">
        <v>46120.0</v>
      </c>
      <c r="H11685" s="76" t="s">
        <v>931</v>
      </c>
    </row>
    <row r="11686">
      <c r="A11686" s="76" t="s">
        <v>28</v>
      </c>
      <c r="B11686" s="76" t="s">
        <v>1042</v>
      </c>
      <c r="C11686" s="84">
        <v>4.91</v>
      </c>
      <c r="D11686" s="84">
        <v>1.0</v>
      </c>
      <c r="E11686" s="84">
        <v>4.91</v>
      </c>
      <c r="F11686" s="76" t="s">
        <v>996</v>
      </c>
      <c r="G11686" s="83">
        <v>46120.0</v>
      </c>
      <c r="H11686" s="76" t="s">
        <v>932</v>
      </c>
    </row>
    <row r="11687">
      <c r="A11687" s="76" t="s">
        <v>28</v>
      </c>
      <c r="B11687" s="76" t="s">
        <v>1042</v>
      </c>
      <c r="C11687" s="84">
        <v>24.88</v>
      </c>
      <c r="D11687" s="84">
        <v>5.0</v>
      </c>
      <c r="E11687" s="84">
        <v>4.98</v>
      </c>
      <c r="F11687" s="76" t="s">
        <v>996</v>
      </c>
      <c r="G11687" s="83">
        <v>46120.0</v>
      </c>
      <c r="H11687" s="76" t="s">
        <v>933</v>
      </c>
    </row>
    <row r="11688">
      <c r="A11688" s="76" t="s">
        <v>34</v>
      </c>
      <c r="B11688" s="76" t="s">
        <v>1042</v>
      </c>
      <c r="C11688" s="84">
        <v>6.73</v>
      </c>
      <c r="D11688" s="84">
        <v>0.0</v>
      </c>
      <c r="E11688" s="84">
        <v>0.0</v>
      </c>
      <c r="F11688" s="76" t="s">
        <v>996</v>
      </c>
      <c r="G11688" s="83">
        <v>46120.0</v>
      </c>
      <c r="H11688" s="76" t="s">
        <v>951</v>
      </c>
    </row>
    <row r="11689">
      <c r="A11689" s="76" t="s">
        <v>34</v>
      </c>
      <c r="B11689" s="76" t="s">
        <v>1042</v>
      </c>
      <c r="C11689" s="84">
        <v>13.9</v>
      </c>
      <c r="D11689" s="84">
        <v>1.0</v>
      </c>
      <c r="E11689" s="84">
        <v>13.9</v>
      </c>
      <c r="F11689" s="76" t="s">
        <v>996</v>
      </c>
      <c r="G11689" s="83">
        <v>46120.0</v>
      </c>
      <c r="H11689" s="76" t="s">
        <v>952</v>
      </c>
    </row>
    <row r="11690">
      <c r="A11690" s="76" t="s">
        <v>34</v>
      </c>
      <c r="B11690" s="76" t="s">
        <v>1042</v>
      </c>
      <c r="C11690" s="84">
        <v>6.29</v>
      </c>
      <c r="D11690" s="84">
        <v>1.0</v>
      </c>
      <c r="E11690" s="84">
        <v>6.29</v>
      </c>
      <c r="F11690" s="76" t="s">
        <v>996</v>
      </c>
      <c r="G11690" s="83">
        <v>46120.0</v>
      </c>
      <c r="H11690" s="76" t="s">
        <v>953</v>
      </c>
    </row>
    <row r="11691">
      <c r="A11691" s="76" t="s">
        <v>36</v>
      </c>
      <c r="B11691" s="76" t="s">
        <v>1042</v>
      </c>
      <c r="C11691" s="84">
        <v>286.16</v>
      </c>
      <c r="D11691" s="84">
        <v>52.0</v>
      </c>
      <c r="E11691" s="84">
        <v>5.5</v>
      </c>
      <c r="F11691" s="76" t="s">
        <v>1005</v>
      </c>
      <c r="G11691" s="83">
        <v>46120.0</v>
      </c>
      <c r="H11691" s="76" t="s">
        <v>926</v>
      </c>
    </row>
    <row r="11692">
      <c r="A11692" s="76" t="s">
        <v>36</v>
      </c>
      <c r="B11692" s="76" t="s">
        <v>1042</v>
      </c>
      <c r="C11692" s="84">
        <v>45.79</v>
      </c>
      <c r="D11692" s="84">
        <v>10.0</v>
      </c>
      <c r="E11692" s="84">
        <v>4.58</v>
      </c>
      <c r="F11692" s="76" t="s">
        <v>1005</v>
      </c>
      <c r="G11692" s="83">
        <v>46120.0</v>
      </c>
      <c r="H11692" s="76" t="s">
        <v>927</v>
      </c>
    </row>
    <row r="11693">
      <c r="A11693" s="76" t="s">
        <v>36</v>
      </c>
      <c r="B11693" s="76" t="s">
        <v>1042</v>
      </c>
      <c r="C11693" s="84">
        <v>186.21</v>
      </c>
      <c r="D11693" s="84">
        <v>36.0</v>
      </c>
      <c r="E11693" s="84">
        <v>5.17</v>
      </c>
      <c r="F11693" s="76" t="s">
        <v>1005</v>
      </c>
      <c r="G11693" s="83">
        <v>46120.0</v>
      </c>
      <c r="H11693" s="76" t="s">
        <v>928</v>
      </c>
    </row>
    <row r="11694">
      <c r="A11694" s="76" t="s">
        <v>28</v>
      </c>
      <c r="B11694" s="76" t="s">
        <v>1042</v>
      </c>
      <c r="C11694" s="84">
        <v>135.07</v>
      </c>
      <c r="D11694" s="84">
        <v>20.0</v>
      </c>
      <c r="E11694" s="84">
        <v>6.75</v>
      </c>
      <c r="F11694" s="76" t="s">
        <v>1005</v>
      </c>
      <c r="G11694" s="83">
        <v>46120.0</v>
      </c>
      <c r="H11694" s="76" t="s">
        <v>931</v>
      </c>
    </row>
    <row r="11695">
      <c r="A11695" s="76" t="s">
        <v>28</v>
      </c>
      <c r="B11695" s="76" t="s">
        <v>1042</v>
      </c>
      <c r="C11695" s="84">
        <v>88.95</v>
      </c>
      <c r="D11695" s="84">
        <v>15.0</v>
      </c>
      <c r="E11695" s="84">
        <v>5.93</v>
      </c>
      <c r="F11695" s="76" t="s">
        <v>1005</v>
      </c>
      <c r="G11695" s="83">
        <v>46120.0</v>
      </c>
      <c r="H11695" s="76" t="s">
        <v>932</v>
      </c>
    </row>
    <row r="11696">
      <c r="A11696" s="76" t="s">
        <v>28</v>
      </c>
      <c r="B11696" s="76" t="s">
        <v>1042</v>
      </c>
      <c r="C11696" s="84">
        <v>674.93</v>
      </c>
      <c r="D11696" s="84">
        <v>98.0</v>
      </c>
      <c r="E11696" s="84">
        <v>6.89</v>
      </c>
      <c r="F11696" s="76" t="s">
        <v>1005</v>
      </c>
      <c r="G11696" s="83">
        <v>46120.0</v>
      </c>
      <c r="H11696" s="76" t="s">
        <v>933</v>
      </c>
    </row>
    <row r="11697">
      <c r="A11697" s="76" t="s">
        <v>34</v>
      </c>
      <c r="B11697" s="76" t="s">
        <v>1042</v>
      </c>
      <c r="C11697" s="84">
        <v>124.16</v>
      </c>
      <c r="D11697" s="84">
        <v>14.0</v>
      </c>
      <c r="E11697" s="84">
        <v>8.87</v>
      </c>
      <c r="F11697" s="76" t="s">
        <v>1005</v>
      </c>
      <c r="G11697" s="83">
        <v>46120.0</v>
      </c>
      <c r="H11697" s="76" t="s">
        <v>951</v>
      </c>
    </row>
    <row r="11698">
      <c r="A11698" s="76" t="s">
        <v>34</v>
      </c>
      <c r="B11698" s="76" t="s">
        <v>1042</v>
      </c>
      <c r="C11698" s="84">
        <v>282.14</v>
      </c>
      <c r="D11698" s="84">
        <v>37.0</v>
      </c>
      <c r="E11698" s="84">
        <v>7.63</v>
      </c>
      <c r="F11698" s="76" t="s">
        <v>1005</v>
      </c>
      <c r="G11698" s="83">
        <v>46120.0</v>
      </c>
      <c r="H11698" s="76" t="s">
        <v>952</v>
      </c>
    </row>
    <row r="11699">
      <c r="A11699" s="76" t="s">
        <v>34</v>
      </c>
      <c r="B11699" s="76" t="s">
        <v>1042</v>
      </c>
      <c r="C11699" s="84">
        <v>105.91</v>
      </c>
      <c r="D11699" s="84">
        <v>13.0</v>
      </c>
      <c r="E11699" s="84">
        <v>8.15</v>
      </c>
      <c r="F11699" s="76" t="s">
        <v>1005</v>
      </c>
      <c r="G11699" s="83">
        <v>46120.0</v>
      </c>
      <c r="H11699" s="76" t="s">
        <v>953</v>
      </c>
    </row>
    <row r="11700">
      <c r="A11700" s="76" t="s">
        <v>36</v>
      </c>
      <c r="B11700" s="76" t="s">
        <v>1042</v>
      </c>
      <c r="C11700" s="84">
        <v>63.52</v>
      </c>
      <c r="D11700" s="84">
        <v>10.0</v>
      </c>
      <c r="E11700" s="84">
        <v>6.35</v>
      </c>
      <c r="F11700" s="76" t="s">
        <v>990</v>
      </c>
      <c r="G11700" s="83">
        <v>46120.0</v>
      </c>
      <c r="H11700" s="76" t="s">
        <v>926</v>
      </c>
    </row>
    <row r="11701">
      <c r="A11701" s="76" t="s">
        <v>36</v>
      </c>
      <c r="B11701" s="76" t="s">
        <v>1042</v>
      </c>
      <c r="C11701" s="84">
        <v>5.99</v>
      </c>
      <c r="D11701" s="84">
        <v>1.0</v>
      </c>
      <c r="E11701" s="84">
        <v>5.99</v>
      </c>
      <c r="F11701" s="76" t="s">
        <v>990</v>
      </c>
      <c r="G11701" s="83">
        <v>46120.0</v>
      </c>
      <c r="H11701" s="76" t="s">
        <v>927</v>
      </c>
    </row>
    <row r="11702">
      <c r="A11702" s="76" t="s">
        <v>36</v>
      </c>
      <c r="B11702" s="76" t="s">
        <v>1042</v>
      </c>
      <c r="C11702" s="84">
        <v>25.6</v>
      </c>
      <c r="D11702" s="84">
        <v>2.0</v>
      </c>
      <c r="E11702" s="84">
        <v>12.8</v>
      </c>
      <c r="F11702" s="76" t="s">
        <v>990</v>
      </c>
      <c r="G11702" s="83">
        <v>46120.0</v>
      </c>
      <c r="H11702" s="76" t="s">
        <v>928</v>
      </c>
    </row>
    <row r="11703">
      <c r="A11703" s="76" t="s">
        <v>28</v>
      </c>
      <c r="B11703" s="76" t="s">
        <v>1042</v>
      </c>
      <c r="C11703" s="84">
        <v>14.36</v>
      </c>
      <c r="D11703" s="84">
        <v>0.0</v>
      </c>
      <c r="E11703" s="84">
        <v>0.0</v>
      </c>
      <c r="F11703" s="76" t="s">
        <v>990</v>
      </c>
      <c r="G11703" s="83">
        <v>46120.0</v>
      </c>
      <c r="H11703" s="76" t="s">
        <v>931</v>
      </c>
    </row>
    <row r="11704">
      <c r="A11704" s="76" t="s">
        <v>28</v>
      </c>
      <c r="B11704" s="76" t="s">
        <v>1042</v>
      </c>
      <c r="C11704" s="84">
        <v>10.77</v>
      </c>
      <c r="D11704" s="84">
        <v>2.0</v>
      </c>
      <c r="E11704" s="84">
        <v>5.38</v>
      </c>
      <c r="F11704" s="76" t="s">
        <v>990</v>
      </c>
      <c r="G11704" s="83">
        <v>46120.0</v>
      </c>
      <c r="H11704" s="76" t="s">
        <v>932</v>
      </c>
    </row>
    <row r="11705">
      <c r="A11705" s="76" t="s">
        <v>28</v>
      </c>
      <c r="B11705" s="76" t="s">
        <v>1042</v>
      </c>
      <c r="C11705" s="84">
        <v>120.88</v>
      </c>
      <c r="D11705" s="84">
        <v>25.0</v>
      </c>
      <c r="E11705" s="84">
        <v>4.84</v>
      </c>
      <c r="F11705" s="76" t="s">
        <v>990</v>
      </c>
      <c r="G11705" s="83">
        <v>46120.0</v>
      </c>
      <c r="H11705" s="76" t="s">
        <v>933</v>
      </c>
    </row>
    <row r="11706">
      <c r="A11706" s="76" t="s">
        <v>34</v>
      </c>
      <c r="B11706" s="76" t="s">
        <v>1042</v>
      </c>
      <c r="C11706" s="84">
        <v>18.35</v>
      </c>
      <c r="D11706" s="84">
        <v>3.0</v>
      </c>
      <c r="E11706" s="84">
        <v>6.12</v>
      </c>
      <c r="F11706" s="76" t="s">
        <v>990</v>
      </c>
      <c r="G11706" s="83">
        <v>46120.0</v>
      </c>
      <c r="H11706" s="76" t="s">
        <v>951</v>
      </c>
    </row>
    <row r="11707">
      <c r="A11707" s="76" t="s">
        <v>34</v>
      </c>
      <c r="B11707" s="76" t="s">
        <v>1042</v>
      </c>
      <c r="C11707" s="84">
        <v>37.83</v>
      </c>
      <c r="D11707" s="84">
        <v>2.0</v>
      </c>
      <c r="E11707" s="84">
        <v>18.91</v>
      </c>
      <c r="F11707" s="76" t="s">
        <v>990</v>
      </c>
      <c r="G11707" s="83">
        <v>46120.0</v>
      </c>
      <c r="H11707" s="76" t="s">
        <v>952</v>
      </c>
    </row>
    <row r="11708">
      <c r="A11708" s="76" t="s">
        <v>34</v>
      </c>
      <c r="B11708" s="76" t="s">
        <v>1042</v>
      </c>
      <c r="C11708" s="84">
        <v>22.47</v>
      </c>
      <c r="D11708" s="84">
        <v>1.0</v>
      </c>
      <c r="E11708" s="84">
        <v>22.47</v>
      </c>
      <c r="F11708" s="76" t="s">
        <v>990</v>
      </c>
      <c r="G11708" s="83">
        <v>46120.0</v>
      </c>
      <c r="H11708" s="76" t="s">
        <v>953</v>
      </c>
    </row>
    <row r="11709">
      <c r="A11709" s="76" t="s">
        <v>36</v>
      </c>
      <c r="B11709" s="76" t="s">
        <v>1042</v>
      </c>
      <c r="C11709" s="84">
        <v>22.4</v>
      </c>
      <c r="D11709" s="84">
        <v>2.0</v>
      </c>
      <c r="E11709" s="84">
        <v>11.2</v>
      </c>
      <c r="F11709" s="76" t="s">
        <v>993</v>
      </c>
      <c r="G11709" s="83">
        <v>46120.0</v>
      </c>
      <c r="H11709" s="76" t="s">
        <v>926</v>
      </c>
    </row>
    <row r="11710">
      <c r="A11710" s="76" t="s">
        <v>36</v>
      </c>
      <c r="B11710" s="76" t="s">
        <v>1042</v>
      </c>
      <c r="C11710" s="84">
        <v>2.71</v>
      </c>
      <c r="D11710" s="84">
        <v>1.0</v>
      </c>
      <c r="E11710" s="84">
        <v>2.71</v>
      </c>
      <c r="F11710" s="76" t="s">
        <v>993</v>
      </c>
      <c r="G11710" s="83">
        <v>46120.0</v>
      </c>
      <c r="H11710" s="76" t="s">
        <v>927</v>
      </c>
    </row>
    <row r="11711">
      <c r="A11711" s="76" t="s">
        <v>36</v>
      </c>
      <c r="B11711" s="76" t="s">
        <v>1042</v>
      </c>
      <c r="C11711" s="84">
        <v>7.07</v>
      </c>
      <c r="D11711" s="84">
        <v>2.0</v>
      </c>
      <c r="E11711" s="84">
        <v>3.53</v>
      </c>
      <c r="F11711" s="76" t="s">
        <v>993</v>
      </c>
      <c r="G11711" s="83">
        <v>46120.0</v>
      </c>
      <c r="H11711" s="76" t="s">
        <v>928</v>
      </c>
    </row>
    <row r="11712">
      <c r="A11712" s="76" t="s">
        <v>28</v>
      </c>
      <c r="B11712" s="76" t="s">
        <v>1042</v>
      </c>
      <c r="C11712" s="84">
        <v>8.58</v>
      </c>
      <c r="D11712" s="84">
        <v>3.0</v>
      </c>
      <c r="E11712" s="84">
        <v>2.86</v>
      </c>
      <c r="F11712" s="76" t="s">
        <v>993</v>
      </c>
      <c r="G11712" s="83">
        <v>46120.0</v>
      </c>
      <c r="H11712" s="76" t="s">
        <v>931</v>
      </c>
    </row>
    <row r="11713">
      <c r="A11713" s="76" t="s">
        <v>28</v>
      </c>
      <c r="B11713" s="76" t="s">
        <v>1042</v>
      </c>
      <c r="C11713" s="84">
        <v>1.87</v>
      </c>
      <c r="D11713" s="84">
        <v>1.0</v>
      </c>
      <c r="E11713" s="84">
        <v>1.87</v>
      </c>
      <c r="F11713" s="76" t="s">
        <v>993</v>
      </c>
      <c r="G11713" s="83">
        <v>46120.0</v>
      </c>
      <c r="H11713" s="76" t="s">
        <v>932</v>
      </c>
    </row>
    <row r="11714">
      <c r="A11714" s="76" t="s">
        <v>28</v>
      </c>
      <c r="B11714" s="76" t="s">
        <v>1042</v>
      </c>
      <c r="C11714" s="84">
        <v>54.96</v>
      </c>
      <c r="D11714" s="84">
        <v>8.0</v>
      </c>
      <c r="E11714" s="84">
        <v>6.87</v>
      </c>
      <c r="F11714" s="76" t="s">
        <v>993</v>
      </c>
      <c r="G11714" s="83">
        <v>46120.0</v>
      </c>
      <c r="H11714" s="76" t="s">
        <v>933</v>
      </c>
    </row>
    <row r="11715">
      <c r="A11715" s="76" t="s">
        <v>34</v>
      </c>
      <c r="B11715" s="76" t="s">
        <v>1042</v>
      </c>
      <c r="C11715" s="84">
        <v>23.27</v>
      </c>
      <c r="D11715" s="84">
        <v>4.0</v>
      </c>
      <c r="E11715" s="84">
        <v>5.82</v>
      </c>
      <c r="F11715" s="76" t="s">
        <v>993</v>
      </c>
      <c r="G11715" s="83">
        <v>46120.0</v>
      </c>
      <c r="H11715" s="76" t="s">
        <v>951</v>
      </c>
    </row>
    <row r="11716">
      <c r="A11716" s="76" t="s">
        <v>34</v>
      </c>
      <c r="B11716" s="76" t="s">
        <v>1042</v>
      </c>
      <c r="C11716" s="84">
        <v>20.85</v>
      </c>
      <c r="D11716" s="84">
        <v>2.0</v>
      </c>
      <c r="E11716" s="84">
        <v>10.42</v>
      </c>
      <c r="F11716" s="76" t="s">
        <v>993</v>
      </c>
      <c r="G11716" s="83">
        <v>46120.0</v>
      </c>
      <c r="H11716" s="76" t="s">
        <v>952</v>
      </c>
    </row>
    <row r="11717">
      <c r="A11717" s="76" t="s">
        <v>34</v>
      </c>
      <c r="B11717" s="76" t="s">
        <v>1042</v>
      </c>
      <c r="C11717" s="84">
        <v>10.23</v>
      </c>
      <c r="D11717" s="84">
        <v>0.0</v>
      </c>
      <c r="E11717" s="84">
        <v>0.0</v>
      </c>
      <c r="F11717" s="76" t="s">
        <v>993</v>
      </c>
      <c r="G11717" s="83">
        <v>46120.0</v>
      </c>
      <c r="H11717" s="76" t="s">
        <v>953</v>
      </c>
    </row>
    <row r="11718">
      <c r="A11718" s="76" t="s">
        <v>36</v>
      </c>
      <c r="B11718" s="76" t="s">
        <v>1042</v>
      </c>
      <c r="C11718" s="84">
        <v>40.77</v>
      </c>
      <c r="D11718" s="84">
        <v>6.0</v>
      </c>
      <c r="E11718" s="84">
        <v>6.8</v>
      </c>
      <c r="F11718" s="76" t="s">
        <v>998</v>
      </c>
      <c r="G11718" s="83">
        <v>46120.0</v>
      </c>
      <c r="H11718" s="76" t="s">
        <v>926</v>
      </c>
    </row>
    <row r="11719">
      <c r="A11719" s="76" t="s">
        <v>36</v>
      </c>
      <c r="B11719" s="76" t="s">
        <v>1042</v>
      </c>
      <c r="C11719" s="84">
        <v>3.81</v>
      </c>
      <c r="D11719" s="84">
        <v>1.0</v>
      </c>
      <c r="E11719" s="84">
        <v>3.81</v>
      </c>
      <c r="F11719" s="76" t="s">
        <v>998</v>
      </c>
      <c r="G11719" s="83">
        <v>46120.0</v>
      </c>
      <c r="H11719" s="76" t="s">
        <v>927</v>
      </c>
    </row>
    <row r="11720">
      <c r="A11720" s="76" t="s">
        <v>36</v>
      </c>
      <c r="B11720" s="76" t="s">
        <v>1042</v>
      </c>
      <c r="C11720" s="84">
        <v>5.53</v>
      </c>
      <c r="D11720" s="84">
        <v>0.0</v>
      </c>
      <c r="E11720" s="84">
        <v>0.0</v>
      </c>
      <c r="F11720" s="76" t="s">
        <v>998</v>
      </c>
      <c r="G11720" s="83">
        <v>46120.0</v>
      </c>
      <c r="H11720" s="76" t="s">
        <v>928</v>
      </c>
    </row>
    <row r="11721">
      <c r="A11721" s="76" t="s">
        <v>28</v>
      </c>
      <c r="B11721" s="76" t="s">
        <v>1042</v>
      </c>
      <c r="C11721" s="84">
        <v>7.63</v>
      </c>
      <c r="D11721" s="84">
        <v>2.0</v>
      </c>
      <c r="E11721" s="84">
        <v>3.81</v>
      </c>
      <c r="F11721" s="76" t="s">
        <v>998</v>
      </c>
      <c r="G11721" s="83">
        <v>46120.0</v>
      </c>
      <c r="H11721" s="76" t="s">
        <v>931</v>
      </c>
    </row>
    <row r="11722">
      <c r="A11722" s="76" t="s">
        <v>28</v>
      </c>
      <c r="B11722" s="76" t="s">
        <v>1042</v>
      </c>
      <c r="C11722" s="84">
        <v>3.43</v>
      </c>
      <c r="D11722" s="84">
        <v>1.0</v>
      </c>
      <c r="E11722" s="84">
        <v>3.43</v>
      </c>
      <c r="F11722" s="76" t="s">
        <v>998</v>
      </c>
      <c r="G11722" s="83">
        <v>46120.0</v>
      </c>
      <c r="H11722" s="76" t="s">
        <v>932</v>
      </c>
    </row>
    <row r="11723">
      <c r="A11723" s="76" t="s">
        <v>28</v>
      </c>
      <c r="B11723" s="76" t="s">
        <v>1042</v>
      </c>
      <c r="C11723" s="84">
        <v>42.82</v>
      </c>
      <c r="D11723" s="84">
        <v>7.0</v>
      </c>
      <c r="E11723" s="84">
        <v>6.12</v>
      </c>
      <c r="F11723" s="76" t="s">
        <v>998</v>
      </c>
      <c r="G11723" s="83">
        <v>46120.0</v>
      </c>
      <c r="H11723" s="76" t="s">
        <v>933</v>
      </c>
    </row>
    <row r="11724">
      <c r="A11724" s="76" t="s">
        <v>34</v>
      </c>
      <c r="B11724" s="76" t="s">
        <v>1042</v>
      </c>
      <c r="C11724" s="84">
        <v>9.14</v>
      </c>
      <c r="D11724" s="84">
        <v>1.0</v>
      </c>
      <c r="E11724" s="84">
        <v>9.14</v>
      </c>
      <c r="F11724" s="76" t="s">
        <v>998</v>
      </c>
      <c r="G11724" s="83">
        <v>46120.0</v>
      </c>
      <c r="H11724" s="76" t="s">
        <v>951</v>
      </c>
    </row>
    <row r="11725">
      <c r="A11725" s="76" t="s">
        <v>34</v>
      </c>
      <c r="B11725" s="76" t="s">
        <v>1042</v>
      </c>
      <c r="C11725" s="84">
        <v>9.7</v>
      </c>
      <c r="D11725" s="84">
        <v>2.0</v>
      </c>
      <c r="E11725" s="84">
        <v>4.85</v>
      </c>
      <c r="F11725" s="76" t="s">
        <v>998</v>
      </c>
      <c r="G11725" s="83">
        <v>46120.0</v>
      </c>
      <c r="H11725" s="76" t="s">
        <v>952</v>
      </c>
    </row>
    <row r="11726">
      <c r="A11726" s="76" t="s">
        <v>34</v>
      </c>
      <c r="B11726" s="76" t="s">
        <v>1042</v>
      </c>
      <c r="C11726" s="84">
        <v>16.25</v>
      </c>
      <c r="D11726" s="84">
        <v>2.0</v>
      </c>
      <c r="E11726" s="84">
        <v>8.13</v>
      </c>
      <c r="F11726" s="76" t="s">
        <v>998</v>
      </c>
      <c r="G11726" s="83">
        <v>46120.0</v>
      </c>
      <c r="H11726" s="76" t="s">
        <v>953</v>
      </c>
    </row>
    <row r="11727">
      <c r="A11727" s="76" t="s">
        <v>36</v>
      </c>
      <c r="B11727" s="76" t="s">
        <v>1042</v>
      </c>
      <c r="C11727" s="84">
        <v>25.79</v>
      </c>
      <c r="D11727" s="84">
        <v>2.0</v>
      </c>
      <c r="E11727" s="84">
        <v>12.9</v>
      </c>
      <c r="F11727" s="76" t="s">
        <v>997</v>
      </c>
      <c r="G11727" s="83">
        <v>46120.0</v>
      </c>
      <c r="H11727" s="76" t="s">
        <v>926</v>
      </c>
    </row>
    <row r="11728">
      <c r="A11728" s="76" t="s">
        <v>36</v>
      </c>
      <c r="B11728" s="76" t="s">
        <v>1042</v>
      </c>
      <c r="C11728" s="84">
        <v>3.4</v>
      </c>
      <c r="D11728" s="84">
        <v>2.0</v>
      </c>
      <c r="E11728" s="84">
        <v>1.7</v>
      </c>
      <c r="F11728" s="76" t="s">
        <v>997</v>
      </c>
      <c r="G11728" s="83">
        <v>46120.0</v>
      </c>
      <c r="H11728" s="76" t="s">
        <v>927</v>
      </c>
    </row>
    <row r="11729">
      <c r="A11729" s="76" t="s">
        <v>36</v>
      </c>
      <c r="B11729" s="76" t="s">
        <v>1042</v>
      </c>
      <c r="C11729" s="84">
        <v>14.35</v>
      </c>
      <c r="D11729" s="84">
        <v>2.0</v>
      </c>
      <c r="E11729" s="84">
        <v>7.18</v>
      </c>
      <c r="F11729" s="76" t="s">
        <v>997</v>
      </c>
      <c r="G11729" s="83">
        <v>46120.0</v>
      </c>
      <c r="H11729" s="76" t="s">
        <v>928</v>
      </c>
    </row>
    <row r="11730">
      <c r="A11730" s="76" t="s">
        <v>28</v>
      </c>
      <c r="B11730" s="76" t="s">
        <v>1042</v>
      </c>
      <c r="C11730" s="84">
        <v>6.88</v>
      </c>
      <c r="D11730" s="84">
        <v>0.0</v>
      </c>
      <c r="E11730" s="84">
        <v>0.0</v>
      </c>
      <c r="F11730" s="76" t="s">
        <v>997</v>
      </c>
      <c r="G11730" s="83">
        <v>46120.0</v>
      </c>
      <c r="H11730" s="76" t="s">
        <v>931</v>
      </c>
    </row>
    <row r="11731">
      <c r="A11731" s="76" t="s">
        <v>28</v>
      </c>
      <c r="B11731" s="76" t="s">
        <v>1042</v>
      </c>
      <c r="C11731" s="84">
        <v>5.87</v>
      </c>
      <c r="D11731" s="84">
        <v>1.0</v>
      </c>
      <c r="E11731" s="84">
        <v>5.87</v>
      </c>
      <c r="F11731" s="76" t="s">
        <v>997</v>
      </c>
      <c r="G11731" s="83">
        <v>46120.0</v>
      </c>
      <c r="H11731" s="76" t="s">
        <v>932</v>
      </c>
    </row>
    <row r="11732">
      <c r="A11732" s="76" t="s">
        <v>28</v>
      </c>
      <c r="B11732" s="76" t="s">
        <v>1042</v>
      </c>
      <c r="C11732" s="84">
        <v>24.52</v>
      </c>
      <c r="D11732" s="84">
        <v>3.0</v>
      </c>
      <c r="E11732" s="84">
        <v>8.17</v>
      </c>
      <c r="F11732" s="76" t="s">
        <v>997</v>
      </c>
      <c r="G11732" s="83">
        <v>46120.0</v>
      </c>
      <c r="H11732" s="76" t="s">
        <v>933</v>
      </c>
    </row>
    <row r="11733">
      <c r="A11733" s="76" t="s">
        <v>34</v>
      </c>
      <c r="B11733" s="76" t="s">
        <v>1042</v>
      </c>
      <c r="C11733" s="84">
        <v>11.08</v>
      </c>
      <c r="D11733" s="84">
        <v>0.0</v>
      </c>
      <c r="E11733" s="84">
        <v>0.0</v>
      </c>
      <c r="F11733" s="76" t="s">
        <v>997</v>
      </c>
      <c r="G11733" s="83">
        <v>46120.0</v>
      </c>
      <c r="H11733" s="76" t="s">
        <v>951</v>
      </c>
    </row>
    <row r="11734">
      <c r="A11734" s="76" t="s">
        <v>34</v>
      </c>
      <c r="B11734" s="76" t="s">
        <v>1042</v>
      </c>
      <c r="C11734" s="84">
        <v>20.09</v>
      </c>
      <c r="D11734" s="84">
        <v>2.0</v>
      </c>
      <c r="E11734" s="84">
        <v>10.05</v>
      </c>
      <c r="F11734" s="76" t="s">
        <v>997</v>
      </c>
      <c r="G11734" s="83">
        <v>46120.0</v>
      </c>
      <c r="H11734" s="76" t="s">
        <v>952</v>
      </c>
    </row>
    <row r="11735">
      <c r="A11735" s="76" t="s">
        <v>34</v>
      </c>
      <c r="B11735" s="76" t="s">
        <v>1042</v>
      </c>
      <c r="C11735" s="84">
        <v>17.92</v>
      </c>
      <c r="D11735" s="84">
        <v>3.0</v>
      </c>
      <c r="E11735" s="84">
        <v>5.97</v>
      </c>
      <c r="F11735" s="76" t="s">
        <v>997</v>
      </c>
      <c r="G11735" s="83">
        <v>46120.0</v>
      </c>
      <c r="H11735" s="76" t="s">
        <v>953</v>
      </c>
    </row>
    <row r="11736">
      <c r="A11736" s="76" t="s">
        <v>34</v>
      </c>
      <c r="B11736" s="76" t="s">
        <v>1029</v>
      </c>
      <c r="C11736" s="84">
        <v>0.95</v>
      </c>
      <c r="D11736" s="84">
        <v>1.0</v>
      </c>
      <c r="E11736" s="84">
        <v>0.95</v>
      </c>
      <c r="F11736" s="76" t="s">
        <v>950</v>
      </c>
      <c r="G11736" s="83">
        <v>46121.0</v>
      </c>
      <c r="H11736" s="76" t="s">
        <v>951</v>
      </c>
    </row>
    <row r="11737">
      <c r="A11737" s="76" t="s">
        <v>34</v>
      </c>
      <c r="B11737" s="76" t="s">
        <v>1029</v>
      </c>
      <c r="C11737" s="84">
        <v>3.18</v>
      </c>
      <c r="D11737" s="84">
        <v>1.0</v>
      </c>
      <c r="E11737" s="84">
        <v>3.18</v>
      </c>
      <c r="F11737" s="76" t="s">
        <v>950</v>
      </c>
      <c r="G11737" s="83">
        <v>46121.0</v>
      </c>
      <c r="H11737" s="76" t="s">
        <v>952</v>
      </c>
    </row>
    <row r="11738">
      <c r="A11738" s="76" t="s">
        <v>34</v>
      </c>
      <c r="B11738" s="76" t="s">
        <v>1029</v>
      </c>
      <c r="C11738" s="84">
        <v>0.89</v>
      </c>
      <c r="D11738" s="84">
        <v>0.0</v>
      </c>
      <c r="E11738" s="84">
        <v>0.0</v>
      </c>
      <c r="F11738" s="76" t="s">
        <v>950</v>
      </c>
      <c r="G11738" s="83">
        <v>46121.0</v>
      </c>
      <c r="H11738" s="76" t="s">
        <v>953</v>
      </c>
    </row>
    <row r="11739">
      <c r="A11739" s="76" t="s">
        <v>46</v>
      </c>
      <c r="B11739" s="76" t="s">
        <v>1029</v>
      </c>
      <c r="C11739" s="84">
        <v>3.09</v>
      </c>
      <c r="D11739" s="84">
        <v>0.0</v>
      </c>
      <c r="E11739" s="84">
        <v>0.0</v>
      </c>
      <c r="F11739" s="76" t="s">
        <v>950</v>
      </c>
      <c r="G11739" s="83">
        <v>46121.0</v>
      </c>
      <c r="H11739" s="76" t="s">
        <v>960</v>
      </c>
    </row>
    <row r="11740">
      <c r="A11740" s="76" t="s">
        <v>46</v>
      </c>
      <c r="B11740" s="76" t="s">
        <v>1029</v>
      </c>
      <c r="C11740" s="84">
        <v>0.63</v>
      </c>
      <c r="D11740" s="84">
        <v>0.0</v>
      </c>
      <c r="E11740" s="84">
        <v>0.0</v>
      </c>
      <c r="F11740" s="76" t="s">
        <v>950</v>
      </c>
      <c r="G11740" s="83">
        <v>46121.0</v>
      </c>
      <c r="H11740" s="76" t="s">
        <v>961</v>
      </c>
    </row>
    <row r="11741">
      <c r="A11741" s="76" t="s">
        <v>46</v>
      </c>
      <c r="B11741" s="76" t="s">
        <v>1029</v>
      </c>
      <c r="C11741" s="84">
        <v>1.59</v>
      </c>
      <c r="D11741" s="84">
        <v>0.0</v>
      </c>
      <c r="E11741" s="84">
        <v>0.0</v>
      </c>
      <c r="F11741" s="76" t="s">
        <v>950</v>
      </c>
      <c r="G11741" s="83">
        <v>46121.0</v>
      </c>
      <c r="H11741" s="76" t="s">
        <v>962</v>
      </c>
    </row>
    <row r="11742">
      <c r="A11742" s="76" t="s">
        <v>29</v>
      </c>
      <c r="B11742" s="76" t="s">
        <v>1029</v>
      </c>
      <c r="C11742" s="84">
        <v>1.76</v>
      </c>
      <c r="D11742" s="84">
        <v>1.0</v>
      </c>
      <c r="E11742" s="84">
        <v>1.76</v>
      </c>
      <c r="F11742" s="76" t="s">
        <v>950</v>
      </c>
      <c r="G11742" s="83">
        <v>46121.0</v>
      </c>
      <c r="H11742" s="76" t="s">
        <v>971</v>
      </c>
    </row>
    <row r="11743">
      <c r="A11743" s="76" t="s">
        <v>29</v>
      </c>
      <c r="B11743" s="76" t="s">
        <v>1029</v>
      </c>
      <c r="C11743" s="84">
        <v>0.55</v>
      </c>
      <c r="D11743" s="84">
        <v>0.0</v>
      </c>
      <c r="E11743" s="84">
        <v>0.0</v>
      </c>
      <c r="F11743" s="76" t="s">
        <v>950</v>
      </c>
      <c r="G11743" s="83">
        <v>46121.0</v>
      </c>
      <c r="H11743" s="76" t="s">
        <v>972</v>
      </c>
    </row>
    <row r="11744">
      <c r="A11744" s="76" t="s">
        <v>29</v>
      </c>
      <c r="B11744" s="76" t="s">
        <v>1029</v>
      </c>
      <c r="C11744" s="84">
        <v>4.41</v>
      </c>
      <c r="D11744" s="84">
        <v>0.0</v>
      </c>
      <c r="E11744" s="84">
        <v>0.0</v>
      </c>
      <c r="F11744" s="76" t="s">
        <v>950</v>
      </c>
      <c r="G11744" s="83">
        <v>46121.0</v>
      </c>
      <c r="H11744" s="76" t="s">
        <v>973</v>
      </c>
    </row>
    <row r="11745">
      <c r="A11745" s="76" t="s">
        <v>33</v>
      </c>
      <c r="B11745" s="76" t="s">
        <v>1029</v>
      </c>
      <c r="C11745" s="84">
        <v>62.03</v>
      </c>
      <c r="D11745" s="84">
        <v>16.0</v>
      </c>
      <c r="E11745" s="84">
        <v>3.88</v>
      </c>
      <c r="F11745" s="76" t="s">
        <v>950</v>
      </c>
      <c r="G11745" s="83">
        <v>46121.0</v>
      </c>
      <c r="H11745" s="76" t="s">
        <v>957</v>
      </c>
    </row>
    <row r="11746">
      <c r="A11746" s="76" t="s">
        <v>33</v>
      </c>
      <c r="B11746" s="76" t="s">
        <v>1029</v>
      </c>
      <c r="C11746" s="84">
        <v>1.0</v>
      </c>
      <c r="D11746" s="84">
        <v>0.0</v>
      </c>
      <c r="E11746" s="84">
        <v>0.0</v>
      </c>
      <c r="F11746" s="76" t="s">
        <v>950</v>
      </c>
      <c r="G11746" s="83">
        <v>46121.0</v>
      </c>
      <c r="H11746" s="76" t="s">
        <v>958</v>
      </c>
    </row>
    <row r="11747">
      <c r="A11747" s="76" t="s">
        <v>33</v>
      </c>
      <c r="B11747" s="76" t="s">
        <v>1029</v>
      </c>
      <c r="C11747" s="84">
        <v>9.14</v>
      </c>
      <c r="D11747" s="84">
        <v>1.0</v>
      </c>
      <c r="E11747" s="84">
        <v>9.14</v>
      </c>
      <c r="F11747" s="76" t="s">
        <v>950</v>
      </c>
      <c r="G11747" s="83">
        <v>46121.0</v>
      </c>
      <c r="H11747" s="76" t="s">
        <v>959</v>
      </c>
    </row>
    <row r="11748">
      <c r="A11748" s="76" t="s">
        <v>970</v>
      </c>
      <c r="B11748" s="76" t="s">
        <v>1029</v>
      </c>
      <c r="C11748" s="84">
        <v>1.59</v>
      </c>
      <c r="D11748" s="84">
        <v>0.0</v>
      </c>
      <c r="E11748" s="84">
        <v>0.0</v>
      </c>
      <c r="F11748" s="76" t="s">
        <v>950</v>
      </c>
      <c r="G11748" s="83">
        <v>46121.0</v>
      </c>
      <c r="H11748" s="76" t="s">
        <v>971</v>
      </c>
    </row>
    <row r="11749">
      <c r="A11749" s="76" t="s">
        <v>970</v>
      </c>
      <c r="B11749" s="76" t="s">
        <v>1029</v>
      </c>
      <c r="C11749" s="84">
        <v>0.43</v>
      </c>
      <c r="D11749" s="84">
        <v>0.0</v>
      </c>
      <c r="E11749" s="84">
        <v>0.0</v>
      </c>
      <c r="F11749" s="76" t="s">
        <v>950</v>
      </c>
      <c r="G11749" s="83">
        <v>46121.0</v>
      </c>
      <c r="H11749" s="76" t="s">
        <v>972</v>
      </c>
    </row>
    <row r="11750">
      <c r="A11750" s="76" t="s">
        <v>970</v>
      </c>
      <c r="B11750" s="76" t="s">
        <v>1029</v>
      </c>
      <c r="C11750" s="84">
        <v>4.2</v>
      </c>
      <c r="D11750" s="84">
        <v>0.0</v>
      </c>
      <c r="E11750" s="84">
        <v>0.0</v>
      </c>
      <c r="F11750" s="76" t="s">
        <v>950</v>
      </c>
      <c r="G11750" s="83">
        <v>46121.0</v>
      </c>
      <c r="H11750" s="76" t="s">
        <v>973</v>
      </c>
    </row>
    <row r="11751">
      <c r="A11751" s="76" t="s">
        <v>43</v>
      </c>
      <c r="B11751" s="76" t="s">
        <v>1029</v>
      </c>
      <c r="C11751" s="84">
        <v>1.42</v>
      </c>
      <c r="D11751" s="84">
        <v>0.0</v>
      </c>
      <c r="E11751" s="84">
        <v>0.0</v>
      </c>
      <c r="F11751" s="76" t="s">
        <v>950</v>
      </c>
      <c r="G11751" s="83">
        <v>46121.0</v>
      </c>
      <c r="H11751" s="76" t="s">
        <v>963</v>
      </c>
    </row>
    <row r="11752">
      <c r="A11752" s="76" t="s">
        <v>43</v>
      </c>
      <c r="B11752" s="76" t="s">
        <v>1029</v>
      </c>
      <c r="C11752" s="84">
        <v>0.98</v>
      </c>
      <c r="D11752" s="84">
        <v>0.0</v>
      </c>
      <c r="E11752" s="84">
        <v>0.0</v>
      </c>
      <c r="F11752" s="76" t="s">
        <v>950</v>
      </c>
      <c r="G11752" s="83">
        <v>46121.0</v>
      </c>
      <c r="H11752" s="76" t="s">
        <v>964</v>
      </c>
    </row>
    <row r="11753">
      <c r="A11753" s="76" t="s">
        <v>43</v>
      </c>
      <c r="B11753" s="76" t="s">
        <v>1029</v>
      </c>
      <c r="C11753" s="84">
        <v>3.97</v>
      </c>
      <c r="D11753" s="84">
        <v>0.0</v>
      </c>
      <c r="E11753" s="84">
        <v>0.0</v>
      </c>
      <c r="F11753" s="76" t="s">
        <v>950</v>
      </c>
      <c r="G11753" s="83">
        <v>46121.0</v>
      </c>
      <c r="H11753" s="76" t="s">
        <v>965</v>
      </c>
    </row>
    <row r="11754">
      <c r="A11754" s="76" t="s">
        <v>966</v>
      </c>
      <c r="B11754" s="76" t="s">
        <v>1029</v>
      </c>
      <c r="C11754" s="84">
        <v>6.66</v>
      </c>
      <c r="D11754" s="84">
        <v>2.0</v>
      </c>
      <c r="E11754" s="84">
        <v>3.33</v>
      </c>
      <c r="F11754" s="76" t="s">
        <v>950</v>
      </c>
      <c r="G11754" s="83">
        <v>46121.0</v>
      </c>
      <c r="H11754" s="76" t="s">
        <v>967</v>
      </c>
    </row>
    <row r="11755">
      <c r="A11755" s="76" t="s">
        <v>966</v>
      </c>
      <c r="B11755" s="76" t="s">
        <v>1029</v>
      </c>
      <c r="C11755" s="84">
        <v>0.83</v>
      </c>
      <c r="D11755" s="84">
        <v>0.0</v>
      </c>
      <c r="E11755" s="84">
        <v>0.0</v>
      </c>
      <c r="F11755" s="76" t="s">
        <v>950</v>
      </c>
      <c r="G11755" s="83">
        <v>46121.0</v>
      </c>
      <c r="H11755" s="76" t="s">
        <v>968</v>
      </c>
    </row>
    <row r="11756">
      <c r="A11756" s="76" t="s">
        <v>966</v>
      </c>
      <c r="B11756" s="76" t="s">
        <v>1029</v>
      </c>
      <c r="C11756" s="84">
        <v>2.86</v>
      </c>
      <c r="D11756" s="84">
        <v>0.0</v>
      </c>
      <c r="E11756" s="84">
        <v>0.0</v>
      </c>
      <c r="F11756" s="76" t="s">
        <v>950</v>
      </c>
      <c r="G11756" s="83">
        <v>46121.0</v>
      </c>
      <c r="H11756" s="76" t="s">
        <v>969</v>
      </c>
    </row>
    <row r="11757">
      <c r="A11757" s="76" t="s">
        <v>36</v>
      </c>
      <c r="B11757" s="76" t="s">
        <v>1029</v>
      </c>
      <c r="C11757" s="84">
        <v>4.13</v>
      </c>
      <c r="D11757" s="84">
        <v>0.0</v>
      </c>
      <c r="E11757" s="84">
        <v>0.0</v>
      </c>
      <c r="F11757" s="76" t="s">
        <v>950</v>
      </c>
      <c r="G11757" s="83">
        <v>46121.0</v>
      </c>
      <c r="H11757" s="76" t="s">
        <v>926</v>
      </c>
    </row>
    <row r="11758">
      <c r="A11758" s="76" t="s">
        <v>36</v>
      </c>
      <c r="B11758" s="76" t="s">
        <v>1029</v>
      </c>
      <c r="C11758" s="84">
        <v>0.68</v>
      </c>
      <c r="D11758" s="84">
        <v>0.0</v>
      </c>
      <c r="E11758" s="84">
        <v>0.0</v>
      </c>
      <c r="F11758" s="76" t="s">
        <v>950</v>
      </c>
      <c r="G11758" s="83">
        <v>46121.0</v>
      </c>
      <c r="H11758" s="76" t="s">
        <v>927</v>
      </c>
    </row>
    <row r="11759">
      <c r="A11759" s="76" t="s">
        <v>36</v>
      </c>
      <c r="B11759" s="76" t="s">
        <v>1029</v>
      </c>
      <c r="C11759" s="84">
        <v>1.55</v>
      </c>
      <c r="D11759" s="84">
        <v>1.0</v>
      </c>
      <c r="E11759" s="84">
        <v>1.55</v>
      </c>
      <c r="F11759" s="76" t="s">
        <v>950</v>
      </c>
      <c r="G11759" s="83">
        <v>46121.0</v>
      </c>
      <c r="H11759" s="76" t="s">
        <v>928</v>
      </c>
    </row>
    <row r="11760">
      <c r="A11760" s="76" t="s">
        <v>40</v>
      </c>
      <c r="B11760" s="76" t="s">
        <v>1029</v>
      </c>
      <c r="C11760" s="84">
        <v>0.99</v>
      </c>
      <c r="D11760" s="84">
        <v>0.0</v>
      </c>
      <c r="E11760" s="84">
        <v>0.0</v>
      </c>
      <c r="F11760" s="76" t="s">
        <v>950</v>
      </c>
      <c r="G11760" s="83">
        <v>46121.0</v>
      </c>
      <c r="H11760" s="76" t="s">
        <v>954</v>
      </c>
    </row>
    <row r="11761">
      <c r="A11761" s="76" t="s">
        <v>40</v>
      </c>
      <c r="B11761" s="76" t="s">
        <v>1029</v>
      </c>
      <c r="C11761" s="84">
        <v>0.47</v>
      </c>
      <c r="D11761" s="84">
        <v>0.0</v>
      </c>
      <c r="E11761" s="84">
        <v>0.0</v>
      </c>
      <c r="F11761" s="76" t="s">
        <v>950</v>
      </c>
      <c r="G11761" s="83">
        <v>46121.0</v>
      </c>
      <c r="H11761" s="76" t="s">
        <v>955</v>
      </c>
    </row>
    <row r="11762">
      <c r="A11762" s="76" t="s">
        <v>40</v>
      </c>
      <c r="B11762" s="76" t="s">
        <v>1029</v>
      </c>
      <c r="C11762" s="84">
        <v>5.68</v>
      </c>
      <c r="D11762" s="84">
        <v>0.0</v>
      </c>
      <c r="E11762" s="84">
        <v>0.0</v>
      </c>
      <c r="F11762" s="76" t="s">
        <v>950</v>
      </c>
      <c r="G11762" s="83">
        <v>46121.0</v>
      </c>
      <c r="H11762" s="76" t="s">
        <v>956</v>
      </c>
    </row>
    <row r="11763">
      <c r="A11763" s="76" t="s">
        <v>966</v>
      </c>
      <c r="B11763" s="76" t="s">
        <v>1029</v>
      </c>
      <c r="C11763" s="84">
        <v>4.19</v>
      </c>
      <c r="D11763" s="84">
        <v>1.0</v>
      </c>
      <c r="E11763" s="84">
        <v>4.19</v>
      </c>
      <c r="F11763" s="76" t="s">
        <v>974</v>
      </c>
      <c r="G11763" s="83">
        <v>46121.0</v>
      </c>
      <c r="H11763" s="76" t="s">
        <v>967</v>
      </c>
    </row>
    <row r="11764">
      <c r="A11764" s="76" t="s">
        <v>966</v>
      </c>
      <c r="B11764" s="76" t="s">
        <v>1029</v>
      </c>
      <c r="C11764" s="84">
        <v>1.63</v>
      </c>
      <c r="D11764" s="84">
        <v>0.0</v>
      </c>
      <c r="E11764" s="84">
        <v>0.0</v>
      </c>
      <c r="F11764" s="76" t="s">
        <v>974</v>
      </c>
      <c r="G11764" s="83">
        <v>46121.0</v>
      </c>
      <c r="H11764" s="76" t="s">
        <v>968</v>
      </c>
    </row>
    <row r="11765">
      <c r="A11765" s="76" t="s">
        <v>966</v>
      </c>
      <c r="B11765" s="76" t="s">
        <v>1029</v>
      </c>
      <c r="C11765" s="84">
        <v>5.25</v>
      </c>
      <c r="D11765" s="84">
        <v>0.0</v>
      </c>
      <c r="E11765" s="84">
        <v>0.0</v>
      </c>
      <c r="F11765" s="76" t="s">
        <v>974</v>
      </c>
      <c r="G11765" s="83">
        <v>46121.0</v>
      </c>
      <c r="H11765" s="76" t="s">
        <v>969</v>
      </c>
    </row>
    <row r="11766">
      <c r="A11766" s="76" t="s">
        <v>43</v>
      </c>
      <c r="B11766" s="76" t="s">
        <v>1029</v>
      </c>
      <c r="C11766" s="84">
        <v>2.13</v>
      </c>
      <c r="D11766" s="84">
        <v>0.0</v>
      </c>
      <c r="E11766" s="84">
        <v>0.0</v>
      </c>
      <c r="F11766" s="76" t="s">
        <v>974</v>
      </c>
      <c r="G11766" s="83">
        <v>46121.0</v>
      </c>
      <c r="H11766" s="76" t="s">
        <v>963</v>
      </c>
    </row>
    <row r="11767">
      <c r="A11767" s="76" t="s">
        <v>43</v>
      </c>
      <c r="B11767" s="76" t="s">
        <v>1029</v>
      </c>
      <c r="C11767" s="84">
        <v>1.37</v>
      </c>
      <c r="D11767" s="84">
        <v>0.0</v>
      </c>
      <c r="E11767" s="84">
        <v>0.0</v>
      </c>
      <c r="F11767" s="76" t="s">
        <v>974</v>
      </c>
      <c r="G11767" s="83">
        <v>46121.0</v>
      </c>
      <c r="H11767" s="76" t="s">
        <v>964</v>
      </c>
    </row>
    <row r="11768">
      <c r="A11768" s="76" t="s">
        <v>43</v>
      </c>
      <c r="B11768" s="76" t="s">
        <v>1029</v>
      </c>
      <c r="C11768" s="84">
        <v>3.62</v>
      </c>
      <c r="D11768" s="84">
        <v>0.0</v>
      </c>
      <c r="E11768" s="84">
        <v>0.0</v>
      </c>
      <c r="F11768" s="76" t="s">
        <v>974</v>
      </c>
      <c r="G11768" s="83">
        <v>46121.0</v>
      </c>
      <c r="H11768" s="76" t="s">
        <v>965</v>
      </c>
    </row>
    <row r="11769">
      <c r="A11769" s="76" t="s">
        <v>36</v>
      </c>
      <c r="B11769" s="76" t="s">
        <v>1029</v>
      </c>
      <c r="C11769" s="84">
        <v>3.27</v>
      </c>
      <c r="D11769" s="84">
        <v>3.0</v>
      </c>
      <c r="E11769" s="84">
        <v>1.09</v>
      </c>
      <c r="F11769" s="76" t="s">
        <v>974</v>
      </c>
      <c r="G11769" s="83">
        <v>46121.0</v>
      </c>
      <c r="H11769" s="76" t="s">
        <v>926</v>
      </c>
    </row>
    <row r="11770">
      <c r="A11770" s="76" t="s">
        <v>36</v>
      </c>
      <c r="B11770" s="76" t="s">
        <v>1029</v>
      </c>
      <c r="C11770" s="84">
        <v>1.38</v>
      </c>
      <c r="D11770" s="84">
        <v>0.0</v>
      </c>
      <c r="E11770" s="84">
        <v>0.0</v>
      </c>
      <c r="F11770" s="76" t="s">
        <v>974</v>
      </c>
      <c r="G11770" s="83">
        <v>46121.0</v>
      </c>
      <c r="H11770" s="76" t="s">
        <v>927</v>
      </c>
    </row>
    <row r="11771">
      <c r="A11771" s="76" t="s">
        <v>36</v>
      </c>
      <c r="B11771" s="76" t="s">
        <v>1029</v>
      </c>
      <c r="C11771" s="84">
        <v>3.28</v>
      </c>
      <c r="D11771" s="84">
        <v>0.0</v>
      </c>
      <c r="E11771" s="84">
        <v>0.0</v>
      </c>
      <c r="F11771" s="76" t="s">
        <v>974</v>
      </c>
      <c r="G11771" s="83">
        <v>46121.0</v>
      </c>
      <c r="H11771" s="76" t="s">
        <v>928</v>
      </c>
    </row>
    <row r="11772">
      <c r="A11772" s="76" t="s">
        <v>33</v>
      </c>
      <c r="B11772" s="76" t="s">
        <v>1029</v>
      </c>
      <c r="C11772" s="84">
        <v>109.93</v>
      </c>
      <c r="D11772" s="84">
        <v>17.0</v>
      </c>
      <c r="E11772" s="84">
        <v>6.47</v>
      </c>
      <c r="F11772" s="76" t="s">
        <v>974</v>
      </c>
      <c r="G11772" s="83">
        <v>46121.0</v>
      </c>
      <c r="H11772" s="76" t="s">
        <v>957</v>
      </c>
    </row>
    <row r="11773">
      <c r="A11773" s="76" t="s">
        <v>33</v>
      </c>
      <c r="B11773" s="76" t="s">
        <v>1029</v>
      </c>
      <c r="C11773" s="84">
        <v>2.16</v>
      </c>
      <c r="D11773" s="84">
        <v>0.0</v>
      </c>
      <c r="E11773" s="84">
        <v>0.0</v>
      </c>
      <c r="F11773" s="76" t="s">
        <v>974</v>
      </c>
      <c r="G11773" s="83">
        <v>46121.0</v>
      </c>
      <c r="H11773" s="76" t="s">
        <v>958</v>
      </c>
    </row>
    <row r="11774">
      <c r="A11774" s="76" t="s">
        <v>33</v>
      </c>
      <c r="B11774" s="76" t="s">
        <v>1029</v>
      </c>
      <c r="C11774" s="84">
        <v>11.53</v>
      </c>
      <c r="D11774" s="84">
        <v>0.0</v>
      </c>
      <c r="E11774" s="84">
        <v>0.0</v>
      </c>
      <c r="F11774" s="76" t="s">
        <v>974</v>
      </c>
      <c r="G11774" s="83">
        <v>46121.0</v>
      </c>
      <c r="H11774" s="76" t="s">
        <v>959</v>
      </c>
    </row>
    <row r="11775">
      <c r="A11775" s="76" t="s">
        <v>29</v>
      </c>
      <c r="B11775" s="76" t="s">
        <v>1029</v>
      </c>
      <c r="C11775" s="84">
        <v>2.38</v>
      </c>
      <c r="D11775" s="84">
        <v>0.0</v>
      </c>
      <c r="E11775" s="84">
        <v>0.0</v>
      </c>
      <c r="F11775" s="76" t="s">
        <v>974</v>
      </c>
      <c r="G11775" s="83">
        <v>46121.0</v>
      </c>
      <c r="H11775" s="76" t="s">
        <v>971</v>
      </c>
    </row>
    <row r="11776">
      <c r="A11776" s="76" t="s">
        <v>29</v>
      </c>
      <c r="B11776" s="76" t="s">
        <v>1029</v>
      </c>
      <c r="C11776" s="84">
        <v>0.64</v>
      </c>
      <c r="D11776" s="84">
        <v>0.0</v>
      </c>
      <c r="E11776" s="84">
        <v>0.0</v>
      </c>
      <c r="F11776" s="76" t="s">
        <v>974</v>
      </c>
      <c r="G11776" s="83">
        <v>46121.0</v>
      </c>
      <c r="H11776" s="76" t="s">
        <v>972</v>
      </c>
    </row>
    <row r="11777">
      <c r="A11777" s="76" t="s">
        <v>29</v>
      </c>
      <c r="B11777" s="76" t="s">
        <v>1029</v>
      </c>
      <c r="C11777" s="84">
        <v>3.43</v>
      </c>
      <c r="D11777" s="84">
        <v>0.0</v>
      </c>
      <c r="E11777" s="84">
        <v>0.0</v>
      </c>
      <c r="F11777" s="76" t="s">
        <v>974</v>
      </c>
      <c r="G11777" s="83">
        <v>46121.0</v>
      </c>
      <c r="H11777" s="76" t="s">
        <v>973</v>
      </c>
    </row>
    <row r="11778">
      <c r="A11778" s="76" t="s">
        <v>46</v>
      </c>
      <c r="B11778" s="76" t="s">
        <v>1029</v>
      </c>
      <c r="C11778" s="84">
        <v>0.49</v>
      </c>
      <c r="D11778" s="84">
        <v>0.0</v>
      </c>
      <c r="E11778" s="84">
        <v>0.0</v>
      </c>
      <c r="F11778" s="76" t="s">
        <v>974</v>
      </c>
      <c r="G11778" s="83">
        <v>46121.0</v>
      </c>
      <c r="H11778" s="76" t="s">
        <v>960</v>
      </c>
    </row>
    <row r="11779">
      <c r="A11779" s="76" t="s">
        <v>46</v>
      </c>
      <c r="B11779" s="76" t="s">
        <v>1029</v>
      </c>
      <c r="C11779" s="84">
        <v>0.74</v>
      </c>
      <c r="D11779" s="84">
        <v>0.0</v>
      </c>
      <c r="E11779" s="84">
        <v>0.0</v>
      </c>
      <c r="F11779" s="76" t="s">
        <v>974</v>
      </c>
      <c r="G11779" s="83">
        <v>46121.0</v>
      </c>
      <c r="H11779" s="76" t="s">
        <v>961</v>
      </c>
    </row>
    <row r="11780">
      <c r="A11780" s="76" t="s">
        <v>46</v>
      </c>
      <c r="B11780" s="76" t="s">
        <v>1029</v>
      </c>
      <c r="C11780" s="84">
        <v>1.69</v>
      </c>
      <c r="D11780" s="84">
        <v>0.0</v>
      </c>
      <c r="E11780" s="84">
        <v>0.0</v>
      </c>
      <c r="F11780" s="76" t="s">
        <v>974</v>
      </c>
      <c r="G11780" s="83">
        <v>46121.0</v>
      </c>
      <c r="H11780" s="76" t="s">
        <v>962</v>
      </c>
    </row>
    <row r="11781">
      <c r="A11781" s="76" t="s">
        <v>34</v>
      </c>
      <c r="B11781" s="76" t="s">
        <v>1029</v>
      </c>
      <c r="C11781" s="84">
        <v>1.98</v>
      </c>
      <c r="D11781" s="84">
        <v>1.0</v>
      </c>
      <c r="E11781" s="84">
        <v>1.98</v>
      </c>
      <c r="F11781" s="76" t="s">
        <v>974</v>
      </c>
      <c r="G11781" s="83">
        <v>46121.0</v>
      </c>
      <c r="H11781" s="76" t="s">
        <v>951</v>
      </c>
    </row>
    <row r="11782">
      <c r="A11782" s="76" t="s">
        <v>34</v>
      </c>
      <c r="B11782" s="76" t="s">
        <v>1029</v>
      </c>
      <c r="C11782" s="84">
        <v>8.98</v>
      </c>
      <c r="D11782" s="84">
        <v>1.0</v>
      </c>
      <c r="E11782" s="84">
        <v>8.98</v>
      </c>
      <c r="F11782" s="76" t="s">
        <v>974</v>
      </c>
      <c r="G11782" s="83">
        <v>46121.0</v>
      </c>
      <c r="H11782" s="76" t="s">
        <v>952</v>
      </c>
    </row>
    <row r="11783">
      <c r="A11783" s="76" t="s">
        <v>34</v>
      </c>
      <c r="B11783" s="76" t="s">
        <v>1029</v>
      </c>
      <c r="C11783" s="84">
        <v>1.72</v>
      </c>
      <c r="D11783" s="84">
        <v>0.0</v>
      </c>
      <c r="E11783" s="84">
        <v>0.0</v>
      </c>
      <c r="F11783" s="76" t="s">
        <v>974</v>
      </c>
      <c r="G11783" s="83">
        <v>46121.0</v>
      </c>
      <c r="H11783" s="76" t="s">
        <v>953</v>
      </c>
    </row>
    <row r="11784">
      <c r="A11784" s="76" t="s">
        <v>970</v>
      </c>
      <c r="B11784" s="76" t="s">
        <v>1029</v>
      </c>
      <c r="C11784" s="84">
        <v>2.79</v>
      </c>
      <c r="D11784" s="84">
        <v>0.0</v>
      </c>
      <c r="E11784" s="84">
        <v>0.0</v>
      </c>
      <c r="F11784" s="76" t="s">
        <v>974</v>
      </c>
      <c r="G11784" s="83">
        <v>46121.0</v>
      </c>
      <c r="H11784" s="76" t="s">
        <v>971</v>
      </c>
    </row>
    <row r="11785">
      <c r="A11785" s="76" t="s">
        <v>970</v>
      </c>
      <c r="B11785" s="76" t="s">
        <v>1029</v>
      </c>
      <c r="C11785" s="84">
        <v>0.76</v>
      </c>
      <c r="D11785" s="84">
        <v>0.0</v>
      </c>
      <c r="E11785" s="84">
        <v>0.0</v>
      </c>
      <c r="F11785" s="76" t="s">
        <v>974</v>
      </c>
      <c r="G11785" s="83">
        <v>46121.0</v>
      </c>
      <c r="H11785" s="76" t="s">
        <v>972</v>
      </c>
    </row>
    <row r="11786">
      <c r="A11786" s="76" t="s">
        <v>970</v>
      </c>
      <c r="B11786" s="76" t="s">
        <v>1029</v>
      </c>
      <c r="C11786" s="84">
        <v>5.05</v>
      </c>
      <c r="D11786" s="84">
        <v>0.0</v>
      </c>
      <c r="E11786" s="84">
        <v>0.0</v>
      </c>
      <c r="F11786" s="76" t="s">
        <v>974</v>
      </c>
      <c r="G11786" s="83">
        <v>46121.0</v>
      </c>
      <c r="H11786" s="76" t="s">
        <v>973</v>
      </c>
    </row>
    <row r="11787">
      <c r="A11787" s="76" t="s">
        <v>40</v>
      </c>
      <c r="B11787" s="76" t="s">
        <v>1029</v>
      </c>
      <c r="C11787" s="84">
        <v>1.99</v>
      </c>
      <c r="D11787" s="84">
        <v>0.0</v>
      </c>
      <c r="E11787" s="84">
        <v>0.0</v>
      </c>
      <c r="F11787" s="76" t="s">
        <v>974</v>
      </c>
      <c r="G11787" s="83">
        <v>46121.0</v>
      </c>
      <c r="H11787" s="76" t="s">
        <v>954</v>
      </c>
    </row>
    <row r="11788">
      <c r="A11788" s="76" t="s">
        <v>40</v>
      </c>
      <c r="B11788" s="76" t="s">
        <v>1029</v>
      </c>
      <c r="C11788" s="84">
        <v>1.21</v>
      </c>
      <c r="D11788" s="84">
        <v>0.0</v>
      </c>
      <c r="E11788" s="84">
        <v>0.0</v>
      </c>
      <c r="F11788" s="76" t="s">
        <v>974</v>
      </c>
      <c r="G11788" s="83">
        <v>46121.0</v>
      </c>
      <c r="H11788" s="76" t="s">
        <v>955</v>
      </c>
    </row>
    <row r="11789">
      <c r="A11789" s="76" t="s">
        <v>40</v>
      </c>
      <c r="B11789" s="76" t="s">
        <v>1029</v>
      </c>
      <c r="C11789" s="84">
        <v>8.55</v>
      </c>
      <c r="D11789" s="84">
        <v>0.0</v>
      </c>
      <c r="E11789" s="84">
        <v>0.0</v>
      </c>
      <c r="F11789" s="76" t="s">
        <v>974</v>
      </c>
      <c r="G11789" s="83">
        <v>46121.0</v>
      </c>
      <c r="H11789" s="76" t="s">
        <v>956</v>
      </c>
    </row>
    <row r="11790">
      <c r="A11790" s="76" t="s">
        <v>29</v>
      </c>
      <c r="B11790" s="76" t="s">
        <v>1029</v>
      </c>
      <c r="C11790" s="84">
        <v>15.96</v>
      </c>
      <c r="D11790" s="84">
        <v>2.0</v>
      </c>
      <c r="E11790" s="84">
        <v>7.98</v>
      </c>
      <c r="F11790" s="76" t="s">
        <v>975</v>
      </c>
      <c r="G11790" s="83">
        <v>46121.0</v>
      </c>
      <c r="H11790" s="76" t="s">
        <v>971</v>
      </c>
    </row>
    <row r="11791">
      <c r="A11791" s="76" t="s">
        <v>29</v>
      </c>
      <c r="B11791" s="76" t="s">
        <v>1029</v>
      </c>
      <c r="C11791" s="84">
        <v>5.7</v>
      </c>
      <c r="D11791" s="84">
        <v>1.0</v>
      </c>
      <c r="E11791" s="84">
        <v>5.7</v>
      </c>
      <c r="F11791" s="76" t="s">
        <v>975</v>
      </c>
      <c r="G11791" s="83">
        <v>46121.0</v>
      </c>
      <c r="H11791" s="76" t="s">
        <v>972</v>
      </c>
    </row>
    <row r="11792">
      <c r="A11792" s="76" t="s">
        <v>29</v>
      </c>
      <c r="B11792" s="76" t="s">
        <v>1029</v>
      </c>
      <c r="C11792" s="84">
        <v>25.37</v>
      </c>
      <c r="D11792" s="84">
        <v>3.0</v>
      </c>
      <c r="E11792" s="84">
        <v>8.46</v>
      </c>
      <c r="F11792" s="76" t="s">
        <v>975</v>
      </c>
      <c r="G11792" s="83">
        <v>46121.0</v>
      </c>
      <c r="H11792" s="76" t="s">
        <v>973</v>
      </c>
    </row>
    <row r="11793">
      <c r="A11793" s="76" t="s">
        <v>46</v>
      </c>
      <c r="B11793" s="76" t="s">
        <v>1029</v>
      </c>
      <c r="C11793" s="84">
        <v>4.08</v>
      </c>
      <c r="D11793" s="84">
        <v>0.0</v>
      </c>
      <c r="E11793" s="84">
        <v>0.0</v>
      </c>
      <c r="F11793" s="76" t="s">
        <v>975</v>
      </c>
      <c r="G11793" s="83">
        <v>46121.0</v>
      </c>
      <c r="H11793" s="76" t="s">
        <v>960</v>
      </c>
    </row>
    <row r="11794">
      <c r="A11794" s="76" t="s">
        <v>46</v>
      </c>
      <c r="B11794" s="76" t="s">
        <v>1029</v>
      </c>
      <c r="C11794" s="84">
        <v>3.98</v>
      </c>
      <c r="D11794" s="84">
        <v>0.0</v>
      </c>
      <c r="E11794" s="84">
        <v>0.0</v>
      </c>
      <c r="F11794" s="76" t="s">
        <v>975</v>
      </c>
      <c r="G11794" s="83">
        <v>46121.0</v>
      </c>
      <c r="H11794" s="76" t="s">
        <v>961</v>
      </c>
    </row>
    <row r="11795">
      <c r="A11795" s="76" t="s">
        <v>46</v>
      </c>
      <c r="B11795" s="76" t="s">
        <v>1029</v>
      </c>
      <c r="C11795" s="84">
        <v>13.17</v>
      </c>
      <c r="D11795" s="84">
        <v>2.0</v>
      </c>
      <c r="E11795" s="84">
        <v>6.59</v>
      </c>
      <c r="F11795" s="76" t="s">
        <v>975</v>
      </c>
      <c r="G11795" s="83">
        <v>46121.0</v>
      </c>
      <c r="H11795" s="76" t="s">
        <v>962</v>
      </c>
    </row>
    <row r="11796">
      <c r="A11796" s="76" t="s">
        <v>36</v>
      </c>
      <c r="B11796" s="76" t="s">
        <v>1029</v>
      </c>
      <c r="C11796" s="84">
        <v>18.39</v>
      </c>
      <c r="D11796" s="84">
        <v>2.0</v>
      </c>
      <c r="E11796" s="84">
        <v>9.19</v>
      </c>
      <c r="F11796" s="76" t="s">
        <v>975</v>
      </c>
      <c r="G11796" s="83">
        <v>46121.0</v>
      </c>
      <c r="H11796" s="76" t="s">
        <v>926</v>
      </c>
    </row>
    <row r="11797">
      <c r="A11797" s="76" t="s">
        <v>36</v>
      </c>
      <c r="B11797" s="76" t="s">
        <v>1029</v>
      </c>
      <c r="C11797" s="84">
        <v>3.27</v>
      </c>
      <c r="D11797" s="84">
        <v>1.0</v>
      </c>
      <c r="E11797" s="84">
        <v>3.27</v>
      </c>
      <c r="F11797" s="76" t="s">
        <v>975</v>
      </c>
      <c r="G11797" s="83">
        <v>46121.0</v>
      </c>
      <c r="H11797" s="76" t="s">
        <v>927</v>
      </c>
    </row>
    <row r="11798">
      <c r="A11798" s="76" t="s">
        <v>36</v>
      </c>
      <c r="B11798" s="76" t="s">
        <v>1029</v>
      </c>
      <c r="C11798" s="84">
        <v>14.54</v>
      </c>
      <c r="D11798" s="84">
        <v>3.0</v>
      </c>
      <c r="E11798" s="84">
        <v>4.85</v>
      </c>
      <c r="F11798" s="76" t="s">
        <v>975</v>
      </c>
      <c r="G11798" s="83">
        <v>46121.0</v>
      </c>
      <c r="H11798" s="76" t="s">
        <v>928</v>
      </c>
    </row>
    <row r="11799">
      <c r="A11799" s="76" t="s">
        <v>43</v>
      </c>
      <c r="B11799" s="76" t="s">
        <v>1029</v>
      </c>
      <c r="C11799" s="84">
        <v>10.49</v>
      </c>
      <c r="D11799" s="84">
        <v>2.0</v>
      </c>
      <c r="E11799" s="84">
        <v>5.25</v>
      </c>
      <c r="F11799" s="76" t="s">
        <v>975</v>
      </c>
      <c r="G11799" s="83">
        <v>46121.0</v>
      </c>
      <c r="H11799" s="76" t="s">
        <v>963</v>
      </c>
    </row>
    <row r="11800">
      <c r="A11800" s="76" t="s">
        <v>43</v>
      </c>
      <c r="B11800" s="76" t="s">
        <v>1029</v>
      </c>
      <c r="C11800" s="84">
        <v>6.47</v>
      </c>
      <c r="D11800" s="84">
        <v>0.0</v>
      </c>
      <c r="E11800" s="84">
        <v>0.0</v>
      </c>
      <c r="F11800" s="76" t="s">
        <v>975</v>
      </c>
      <c r="G11800" s="83">
        <v>46121.0</v>
      </c>
      <c r="H11800" s="76" t="s">
        <v>964</v>
      </c>
    </row>
    <row r="11801">
      <c r="A11801" s="76" t="s">
        <v>43</v>
      </c>
      <c r="B11801" s="76" t="s">
        <v>1029</v>
      </c>
      <c r="C11801" s="84">
        <v>23.72</v>
      </c>
      <c r="D11801" s="84">
        <v>3.0</v>
      </c>
      <c r="E11801" s="84">
        <v>7.91</v>
      </c>
      <c r="F11801" s="76" t="s">
        <v>975</v>
      </c>
      <c r="G11801" s="83">
        <v>46121.0</v>
      </c>
      <c r="H11801" s="76" t="s">
        <v>965</v>
      </c>
    </row>
    <row r="11802">
      <c r="A11802" s="76" t="s">
        <v>34</v>
      </c>
      <c r="B11802" s="76" t="s">
        <v>1029</v>
      </c>
      <c r="C11802" s="84">
        <v>4.36</v>
      </c>
      <c r="D11802" s="84">
        <v>0.0</v>
      </c>
      <c r="E11802" s="84">
        <v>0.0</v>
      </c>
      <c r="F11802" s="76" t="s">
        <v>975</v>
      </c>
      <c r="G11802" s="83">
        <v>46121.0</v>
      </c>
      <c r="H11802" s="76" t="s">
        <v>951</v>
      </c>
    </row>
    <row r="11803">
      <c r="A11803" s="76" t="s">
        <v>34</v>
      </c>
      <c r="B11803" s="76" t="s">
        <v>1029</v>
      </c>
      <c r="C11803" s="84">
        <v>39.16</v>
      </c>
      <c r="D11803" s="84">
        <v>7.0</v>
      </c>
      <c r="E11803" s="84">
        <v>5.59</v>
      </c>
      <c r="F11803" s="76" t="s">
        <v>975</v>
      </c>
      <c r="G11803" s="83">
        <v>46121.0</v>
      </c>
      <c r="H11803" s="76" t="s">
        <v>952</v>
      </c>
    </row>
    <row r="11804">
      <c r="A11804" s="76" t="s">
        <v>34</v>
      </c>
      <c r="B11804" s="76" t="s">
        <v>1029</v>
      </c>
      <c r="C11804" s="84">
        <v>6.22</v>
      </c>
      <c r="D11804" s="84">
        <v>1.0</v>
      </c>
      <c r="E11804" s="84">
        <v>6.22</v>
      </c>
      <c r="F11804" s="76" t="s">
        <v>975</v>
      </c>
      <c r="G11804" s="83">
        <v>46121.0</v>
      </c>
      <c r="H11804" s="76" t="s">
        <v>953</v>
      </c>
    </row>
    <row r="11805">
      <c r="A11805" s="76" t="s">
        <v>40</v>
      </c>
      <c r="B11805" s="76" t="s">
        <v>1029</v>
      </c>
      <c r="C11805" s="84">
        <v>11.32</v>
      </c>
      <c r="D11805" s="84">
        <v>0.0</v>
      </c>
      <c r="E11805" s="84">
        <v>0.0</v>
      </c>
      <c r="F11805" s="76" t="s">
        <v>975</v>
      </c>
      <c r="G11805" s="83">
        <v>46121.0</v>
      </c>
      <c r="H11805" s="76" t="s">
        <v>954</v>
      </c>
    </row>
    <row r="11806">
      <c r="A11806" s="76" t="s">
        <v>40</v>
      </c>
      <c r="B11806" s="76" t="s">
        <v>1029</v>
      </c>
      <c r="C11806" s="84">
        <v>7.95</v>
      </c>
      <c r="D11806" s="84">
        <v>1.0</v>
      </c>
      <c r="E11806" s="84">
        <v>7.95</v>
      </c>
      <c r="F11806" s="76" t="s">
        <v>975</v>
      </c>
      <c r="G11806" s="83">
        <v>46121.0</v>
      </c>
      <c r="H11806" s="76" t="s">
        <v>955</v>
      </c>
    </row>
    <row r="11807">
      <c r="A11807" s="76" t="s">
        <v>40</v>
      </c>
      <c r="B11807" s="76" t="s">
        <v>1029</v>
      </c>
      <c r="C11807" s="84">
        <v>71.18</v>
      </c>
      <c r="D11807" s="84">
        <v>13.0</v>
      </c>
      <c r="E11807" s="84">
        <v>5.48</v>
      </c>
      <c r="F11807" s="76" t="s">
        <v>975</v>
      </c>
      <c r="G11807" s="83">
        <v>46121.0</v>
      </c>
      <c r="H11807" s="76" t="s">
        <v>956</v>
      </c>
    </row>
    <row r="11808">
      <c r="A11808" s="76" t="s">
        <v>970</v>
      </c>
      <c r="B11808" s="76" t="s">
        <v>1029</v>
      </c>
      <c r="C11808" s="84">
        <v>21.83</v>
      </c>
      <c r="D11808" s="84">
        <v>1.0</v>
      </c>
      <c r="E11808" s="84">
        <v>21.83</v>
      </c>
      <c r="F11808" s="76" t="s">
        <v>975</v>
      </c>
      <c r="G11808" s="83">
        <v>46121.0</v>
      </c>
      <c r="H11808" s="76" t="s">
        <v>971</v>
      </c>
    </row>
    <row r="11809">
      <c r="A11809" s="76" t="s">
        <v>970</v>
      </c>
      <c r="B11809" s="76" t="s">
        <v>1029</v>
      </c>
      <c r="C11809" s="84">
        <v>5.7</v>
      </c>
      <c r="D11809" s="84">
        <v>0.0</v>
      </c>
      <c r="E11809" s="84">
        <v>0.0</v>
      </c>
      <c r="F11809" s="76" t="s">
        <v>975</v>
      </c>
      <c r="G11809" s="83">
        <v>46121.0</v>
      </c>
      <c r="H11809" s="76" t="s">
        <v>972</v>
      </c>
    </row>
    <row r="11810">
      <c r="A11810" s="76" t="s">
        <v>970</v>
      </c>
      <c r="B11810" s="76" t="s">
        <v>1029</v>
      </c>
      <c r="C11810" s="84">
        <v>60.27</v>
      </c>
      <c r="D11810" s="84">
        <v>13.0</v>
      </c>
      <c r="E11810" s="84">
        <v>4.64</v>
      </c>
      <c r="F11810" s="76" t="s">
        <v>975</v>
      </c>
      <c r="G11810" s="83">
        <v>46121.0</v>
      </c>
      <c r="H11810" s="76" t="s">
        <v>973</v>
      </c>
    </row>
    <row r="11811">
      <c r="A11811" s="76" t="s">
        <v>966</v>
      </c>
      <c r="B11811" s="76" t="s">
        <v>1029</v>
      </c>
      <c r="C11811" s="84">
        <v>6.61</v>
      </c>
      <c r="D11811" s="84">
        <v>0.0</v>
      </c>
      <c r="E11811" s="84">
        <v>0.0</v>
      </c>
      <c r="F11811" s="76" t="s">
        <v>975</v>
      </c>
      <c r="G11811" s="83">
        <v>46121.0</v>
      </c>
      <c r="H11811" s="76" t="s">
        <v>967</v>
      </c>
    </row>
    <row r="11812">
      <c r="A11812" s="76" t="s">
        <v>966</v>
      </c>
      <c r="B11812" s="76" t="s">
        <v>1029</v>
      </c>
      <c r="C11812" s="84">
        <v>6.47</v>
      </c>
      <c r="D11812" s="84">
        <v>2.0</v>
      </c>
      <c r="E11812" s="84">
        <v>3.23</v>
      </c>
      <c r="F11812" s="76" t="s">
        <v>975</v>
      </c>
      <c r="G11812" s="83">
        <v>46121.0</v>
      </c>
      <c r="H11812" s="76" t="s">
        <v>968</v>
      </c>
    </row>
    <row r="11813">
      <c r="A11813" s="76" t="s">
        <v>966</v>
      </c>
      <c r="B11813" s="76" t="s">
        <v>1029</v>
      </c>
      <c r="C11813" s="84">
        <v>21.08</v>
      </c>
      <c r="D11813" s="84">
        <v>3.0</v>
      </c>
      <c r="E11813" s="84">
        <v>7.03</v>
      </c>
      <c r="F11813" s="76" t="s">
        <v>975</v>
      </c>
      <c r="G11813" s="83">
        <v>46121.0</v>
      </c>
      <c r="H11813" s="76" t="s">
        <v>969</v>
      </c>
    </row>
    <row r="11814">
      <c r="A11814" s="76" t="s">
        <v>33</v>
      </c>
      <c r="B11814" s="76" t="s">
        <v>1029</v>
      </c>
      <c r="C11814" s="84">
        <v>358.95</v>
      </c>
      <c r="D11814" s="84">
        <v>61.0</v>
      </c>
      <c r="E11814" s="84">
        <v>5.88</v>
      </c>
      <c r="F11814" s="76" t="s">
        <v>975</v>
      </c>
      <c r="G11814" s="83">
        <v>46121.0</v>
      </c>
      <c r="H11814" s="76" t="s">
        <v>957</v>
      </c>
    </row>
    <row r="11815">
      <c r="A11815" s="76" t="s">
        <v>33</v>
      </c>
      <c r="B11815" s="76" t="s">
        <v>1029</v>
      </c>
      <c r="C11815" s="84">
        <v>11.03</v>
      </c>
      <c r="D11815" s="84">
        <v>7.0</v>
      </c>
      <c r="E11815" s="84">
        <v>1.58</v>
      </c>
      <c r="F11815" s="76" t="s">
        <v>975</v>
      </c>
      <c r="G11815" s="83">
        <v>46121.0</v>
      </c>
      <c r="H11815" s="76" t="s">
        <v>958</v>
      </c>
    </row>
    <row r="11816">
      <c r="A11816" s="76" t="s">
        <v>33</v>
      </c>
      <c r="B11816" s="76" t="s">
        <v>1029</v>
      </c>
      <c r="C11816" s="84">
        <v>48.72</v>
      </c>
      <c r="D11816" s="84">
        <v>10.0</v>
      </c>
      <c r="E11816" s="84">
        <v>4.87</v>
      </c>
      <c r="F11816" s="76" t="s">
        <v>975</v>
      </c>
      <c r="G11816" s="83">
        <v>46121.0</v>
      </c>
      <c r="H11816" s="76" t="s">
        <v>959</v>
      </c>
    </row>
    <row r="11817">
      <c r="A11817" s="76" t="s">
        <v>42</v>
      </c>
      <c r="B11817" s="76" t="s">
        <v>1037</v>
      </c>
      <c r="C11817" s="84">
        <v>3.16</v>
      </c>
      <c r="D11817" s="84">
        <v>1.0</v>
      </c>
      <c r="E11817" s="84">
        <v>3.16</v>
      </c>
      <c r="F11817" s="76" t="s">
        <v>925</v>
      </c>
      <c r="G11817" s="83">
        <v>46121.0</v>
      </c>
      <c r="H11817" s="76" t="s">
        <v>991</v>
      </c>
    </row>
    <row r="11818">
      <c r="A11818" s="76" t="s">
        <v>42</v>
      </c>
      <c r="B11818" s="76" t="s">
        <v>1037</v>
      </c>
      <c r="C11818" s="84">
        <v>31.16</v>
      </c>
      <c r="D11818" s="84">
        <v>7.0</v>
      </c>
      <c r="E11818" s="84">
        <v>4.45</v>
      </c>
      <c r="F11818" s="76" t="s">
        <v>925</v>
      </c>
      <c r="G11818" s="83">
        <v>46121.0</v>
      </c>
      <c r="H11818" s="76" t="s">
        <v>935</v>
      </c>
    </row>
    <row r="11819">
      <c r="A11819" s="76" t="s">
        <v>36</v>
      </c>
      <c r="B11819" s="76" t="s">
        <v>1037</v>
      </c>
      <c r="C11819" s="84">
        <v>44.74</v>
      </c>
      <c r="D11819" s="84">
        <v>11.0</v>
      </c>
      <c r="E11819" s="84">
        <v>4.07</v>
      </c>
      <c r="F11819" s="76" t="s">
        <v>925</v>
      </c>
      <c r="G11819" s="83">
        <v>46121.0</v>
      </c>
      <c r="H11819" s="76" t="s">
        <v>926</v>
      </c>
    </row>
    <row r="11820">
      <c r="A11820" s="76" t="s">
        <v>36</v>
      </c>
      <c r="B11820" s="76" t="s">
        <v>1037</v>
      </c>
      <c r="C11820" s="84">
        <v>8.93</v>
      </c>
      <c r="D11820" s="84">
        <v>2.0</v>
      </c>
      <c r="E11820" s="84">
        <v>4.46</v>
      </c>
      <c r="F11820" s="76" t="s">
        <v>925</v>
      </c>
      <c r="G11820" s="83">
        <v>46121.0</v>
      </c>
      <c r="H11820" s="76" t="s">
        <v>927</v>
      </c>
    </row>
    <row r="11821">
      <c r="A11821" s="76" t="s">
        <v>36</v>
      </c>
      <c r="B11821" s="76" t="s">
        <v>1037</v>
      </c>
      <c r="C11821" s="84">
        <v>10.6</v>
      </c>
      <c r="D11821" s="84">
        <v>2.0</v>
      </c>
      <c r="E11821" s="84">
        <v>5.3</v>
      </c>
      <c r="F11821" s="76" t="s">
        <v>925</v>
      </c>
      <c r="G11821" s="83">
        <v>46121.0</v>
      </c>
      <c r="H11821" s="76" t="s">
        <v>928</v>
      </c>
    </row>
    <row r="11822">
      <c r="A11822" s="76" t="s">
        <v>32</v>
      </c>
      <c r="B11822" s="76" t="s">
        <v>1037</v>
      </c>
      <c r="C11822" s="84">
        <v>28.67</v>
      </c>
      <c r="D11822" s="84">
        <v>1.0</v>
      </c>
      <c r="E11822" s="84">
        <v>28.67</v>
      </c>
      <c r="F11822" s="76" t="s">
        <v>925</v>
      </c>
      <c r="G11822" s="83">
        <v>46121.0</v>
      </c>
      <c r="H11822" s="76" t="s">
        <v>941</v>
      </c>
    </row>
    <row r="11823">
      <c r="A11823" s="76" t="s">
        <v>32</v>
      </c>
      <c r="B11823" s="76" t="s">
        <v>1037</v>
      </c>
      <c r="C11823" s="84">
        <v>10.82</v>
      </c>
      <c r="D11823" s="84">
        <v>1.0</v>
      </c>
      <c r="E11823" s="84">
        <v>10.82</v>
      </c>
      <c r="F11823" s="76" t="s">
        <v>925</v>
      </c>
      <c r="G11823" s="83">
        <v>46121.0</v>
      </c>
      <c r="H11823" s="76" t="s">
        <v>942</v>
      </c>
    </row>
    <row r="11824">
      <c r="A11824" s="76" t="s">
        <v>32</v>
      </c>
      <c r="B11824" s="76" t="s">
        <v>1037</v>
      </c>
      <c r="C11824" s="84">
        <v>43.94</v>
      </c>
      <c r="D11824" s="84">
        <v>8.0</v>
      </c>
      <c r="E11824" s="84">
        <v>5.49</v>
      </c>
      <c r="F11824" s="76" t="s">
        <v>925</v>
      </c>
      <c r="G11824" s="83">
        <v>46121.0</v>
      </c>
      <c r="H11824" s="76" t="s">
        <v>943</v>
      </c>
    </row>
    <row r="11825">
      <c r="A11825" s="76" t="s">
        <v>944</v>
      </c>
      <c r="B11825" s="76" t="s">
        <v>1037</v>
      </c>
      <c r="C11825" s="84">
        <v>28.05</v>
      </c>
      <c r="D11825" s="84">
        <v>4.0</v>
      </c>
      <c r="E11825" s="84">
        <v>7.01</v>
      </c>
      <c r="F11825" s="76" t="s">
        <v>925</v>
      </c>
      <c r="G11825" s="83">
        <v>46121.0</v>
      </c>
      <c r="H11825" s="76" t="s">
        <v>945</v>
      </c>
    </row>
    <row r="11826">
      <c r="A11826" s="76" t="s">
        <v>944</v>
      </c>
      <c r="B11826" s="76" t="s">
        <v>1037</v>
      </c>
      <c r="C11826" s="84">
        <v>12.87</v>
      </c>
      <c r="D11826" s="84">
        <v>2.0</v>
      </c>
      <c r="E11826" s="84">
        <v>6.44</v>
      </c>
      <c r="F11826" s="76" t="s">
        <v>925</v>
      </c>
      <c r="G11826" s="83">
        <v>46121.0</v>
      </c>
      <c r="H11826" s="76" t="s">
        <v>946</v>
      </c>
    </row>
    <row r="11827">
      <c r="A11827" s="76" t="s">
        <v>944</v>
      </c>
      <c r="B11827" s="76" t="s">
        <v>1037</v>
      </c>
      <c r="C11827" s="84">
        <v>17.65</v>
      </c>
      <c r="D11827" s="84">
        <v>2.0</v>
      </c>
      <c r="E11827" s="84">
        <v>8.82</v>
      </c>
      <c r="F11827" s="76" t="s">
        <v>925</v>
      </c>
      <c r="G11827" s="83">
        <v>46121.0</v>
      </c>
      <c r="H11827" s="76" t="s">
        <v>947</v>
      </c>
    </row>
    <row r="11828">
      <c r="A11828" s="76" t="s">
        <v>31</v>
      </c>
      <c r="B11828" s="76" t="s">
        <v>1037</v>
      </c>
      <c r="C11828" s="84">
        <v>41.42</v>
      </c>
      <c r="D11828" s="84">
        <v>3.0</v>
      </c>
      <c r="E11828" s="84">
        <v>13.81</v>
      </c>
      <c r="F11828" s="76" t="s">
        <v>925</v>
      </c>
      <c r="G11828" s="83">
        <v>46121.0</v>
      </c>
      <c r="H11828" s="76" t="s">
        <v>929</v>
      </c>
    </row>
    <row r="11829">
      <c r="A11829" s="76" t="s">
        <v>31</v>
      </c>
      <c r="B11829" s="76" t="s">
        <v>1037</v>
      </c>
      <c r="C11829" s="84">
        <v>187.59</v>
      </c>
      <c r="D11829" s="84">
        <v>31.0</v>
      </c>
      <c r="E11829" s="84">
        <v>6.05</v>
      </c>
      <c r="F11829" s="76" t="s">
        <v>925</v>
      </c>
      <c r="G11829" s="83">
        <v>46121.0</v>
      </c>
      <c r="H11829" s="76" t="s">
        <v>930</v>
      </c>
    </row>
    <row r="11830">
      <c r="A11830" s="76" t="s">
        <v>45</v>
      </c>
      <c r="B11830" s="76" t="s">
        <v>1037</v>
      </c>
      <c r="C11830" s="84">
        <v>5.52</v>
      </c>
      <c r="D11830" s="84">
        <v>1.0</v>
      </c>
      <c r="E11830" s="84">
        <v>5.52</v>
      </c>
      <c r="F11830" s="76" t="s">
        <v>925</v>
      </c>
      <c r="G11830" s="83">
        <v>46121.0</v>
      </c>
      <c r="H11830" s="76" t="s">
        <v>936</v>
      </c>
    </row>
    <row r="11831">
      <c r="A11831" s="76" t="s">
        <v>45</v>
      </c>
      <c r="B11831" s="76" t="s">
        <v>1037</v>
      </c>
      <c r="C11831" s="84">
        <v>8.72</v>
      </c>
      <c r="D11831" s="84">
        <v>1.0</v>
      </c>
      <c r="E11831" s="84">
        <v>8.72</v>
      </c>
      <c r="F11831" s="76" t="s">
        <v>925</v>
      </c>
      <c r="G11831" s="83">
        <v>46121.0</v>
      </c>
      <c r="H11831" s="76" t="s">
        <v>937</v>
      </c>
    </row>
    <row r="11832">
      <c r="A11832" s="76" t="s">
        <v>45</v>
      </c>
      <c r="B11832" s="76" t="s">
        <v>1037</v>
      </c>
      <c r="C11832" s="84">
        <v>6.97</v>
      </c>
      <c r="D11832" s="84">
        <v>1.0</v>
      </c>
      <c r="E11832" s="84">
        <v>6.97</v>
      </c>
      <c r="F11832" s="76" t="s">
        <v>925</v>
      </c>
      <c r="G11832" s="83">
        <v>46121.0</v>
      </c>
      <c r="H11832" s="76" t="s">
        <v>938</v>
      </c>
    </row>
    <row r="11833">
      <c r="A11833" s="76" t="s">
        <v>26</v>
      </c>
      <c r="B11833" s="76" t="s">
        <v>1037</v>
      </c>
      <c r="C11833" s="84">
        <v>6.21</v>
      </c>
      <c r="D11833" s="84">
        <v>1.0</v>
      </c>
      <c r="E11833" s="84">
        <v>6.21</v>
      </c>
      <c r="F11833" s="76" t="s">
        <v>925</v>
      </c>
      <c r="G11833" s="83">
        <v>46121.0</v>
      </c>
      <c r="H11833" s="76" t="s">
        <v>1012</v>
      </c>
    </row>
    <row r="11834">
      <c r="A11834" s="76" t="s">
        <v>26</v>
      </c>
      <c r="B11834" s="76" t="s">
        <v>1037</v>
      </c>
      <c r="C11834" s="84">
        <v>16.73</v>
      </c>
      <c r="D11834" s="84">
        <v>1.0</v>
      </c>
      <c r="E11834" s="84">
        <v>16.73</v>
      </c>
      <c r="F11834" s="76" t="s">
        <v>925</v>
      </c>
      <c r="G11834" s="83">
        <v>46121.0</v>
      </c>
      <c r="H11834" s="76" t="s">
        <v>1013</v>
      </c>
    </row>
    <row r="11835">
      <c r="A11835" s="76" t="s">
        <v>26</v>
      </c>
      <c r="B11835" s="76" t="s">
        <v>1037</v>
      </c>
      <c r="C11835" s="84">
        <v>54.09</v>
      </c>
      <c r="D11835" s="84">
        <v>9.0</v>
      </c>
      <c r="E11835" s="84">
        <v>6.01</v>
      </c>
      <c r="F11835" s="76" t="s">
        <v>925</v>
      </c>
      <c r="G11835" s="83">
        <v>46121.0</v>
      </c>
      <c r="H11835" s="76" t="s">
        <v>1014</v>
      </c>
    </row>
    <row r="11836">
      <c r="A11836" s="76" t="s">
        <v>28</v>
      </c>
      <c r="B11836" s="76" t="s">
        <v>1037</v>
      </c>
      <c r="C11836" s="84">
        <v>8.78</v>
      </c>
      <c r="D11836" s="84">
        <v>1.0</v>
      </c>
      <c r="E11836" s="84">
        <v>8.78</v>
      </c>
      <c r="F11836" s="76" t="s">
        <v>925</v>
      </c>
      <c r="G11836" s="83">
        <v>46121.0</v>
      </c>
      <c r="H11836" s="76" t="s">
        <v>931</v>
      </c>
    </row>
    <row r="11837">
      <c r="A11837" s="76" t="s">
        <v>28</v>
      </c>
      <c r="B11837" s="76" t="s">
        <v>1037</v>
      </c>
      <c r="C11837" s="84">
        <v>3.58</v>
      </c>
      <c r="D11837" s="84">
        <v>0.0</v>
      </c>
      <c r="E11837" s="84">
        <v>0.0</v>
      </c>
      <c r="F11837" s="76" t="s">
        <v>925</v>
      </c>
      <c r="G11837" s="83">
        <v>46121.0</v>
      </c>
      <c r="H11837" s="76" t="s">
        <v>932</v>
      </c>
    </row>
    <row r="11838">
      <c r="A11838" s="76" t="s">
        <v>28</v>
      </c>
      <c r="B11838" s="76" t="s">
        <v>1037</v>
      </c>
      <c r="C11838" s="84">
        <v>62.52</v>
      </c>
      <c r="D11838" s="84">
        <v>8.0</v>
      </c>
      <c r="E11838" s="84">
        <v>7.82</v>
      </c>
      <c r="F11838" s="76" t="s">
        <v>925</v>
      </c>
      <c r="G11838" s="83">
        <v>46121.0</v>
      </c>
      <c r="H11838" s="76" t="s">
        <v>933</v>
      </c>
    </row>
    <row r="11839">
      <c r="A11839" s="76" t="s">
        <v>31</v>
      </c>
      <c r="B11839" s="76" t="s">
        <v>1037</v>
      </c>
      <c r="C11839" s="84">
        <v>20.51</v>
      </c>
      <c r="D11839" s="84">
        <v>4.0</v>
      </c>
      <c r="E11839" s="84">
        <v>5.13</v>
      </c>
      <c r="F11839" s="76" t="s">
        <v>948</v>
      </c>
      <c r="G11839" s="83">
        <v>46121.0</v>
      </c>
      <c r="H11839" s="76" t="s">
        <v>929</v>
      </c>
    </row>
    <row r="11840">
      <c r="A11840" s="76" t="s">
        <v>31</v>
      </c>
      <c r="B11840" s="76" t="s">
        <v>1037</v>
      </c>
      <c r="C11840" s="84">
        <v>305.48</v>
      </c>
      <c r="D11840" s="84">
        <v>60.0</v>
      </c>
      <c r="E11840" s="84">
        <v>5.09</v>
      </c>
      <c r="F11840" s="76" t="s">
        <v>948</v>
      </c>
      <c r="G11840" s="83">
        <v>46121.0</v>
      </c>
      <c r="H11840" s="76" t="s">
        <v>930</v>
      </c>
    </row>
    <row r="11841">
      <c r="A11841" s="76" t="s">
        <v>944</v>
      </c>
      <c r="B11841" s="76" t="s">
        <v>1037</v>
      </c>
      <c r="C11841" s="84">
        <v>12.21</v>
      </c>
      <c r="D11841" s="84">
        <v>4.0</v>
      </c>
      <c r="E11841" s="84">
        <v>3.05</v>
      </c>
      <c r="F11841" s="76" t="s">
        <v>948</v>
      </c>
      <c r="G11841" s="83">
        <v>46121.0</v>
      </c>
      <c r="H11841" s="76" t="s">
        <v>945</v>
      </c>
    </row>
    <row r="11842">
      <c r="A11842" s="76" t="s">
        <v>944</v>
      </c>
      <c r="B11842" s="76" t="s">
        <v>1037</v>
      </c>
      <c r="C11842" s="84">
        <v>4.79</v>
      </c>
      <c r="D11842" s="84">
        <v>0.0</v>
      </c>
      <c r="E11842" s="84">
        <v>0.0</v>
      </c>
      <c r="F11842" s="76" t="s">
        <v>948</v>
      </c>
      <c r="G11842" s="83">
        <v>46121.0</v>
      </c>
      <c r="H11842" s="76" t="s">
        <v>946</v>
      </c>
    </row>
    <row r="11843">
      <c r="A11843" s="76" t="s">
        <v>944</v>
      </c>
      <c r="B11843" s="76" t="s">
        <v>1037</v>
      </c>
      <c r="C11843" s="84">
        <v>9.19</v>
      </c>
      <c r="D11843" s="84">
        <v>3.0</v>
      </c>
      <c r="E11843" s="84">
        <v>3.06</v>
      </c>
      <c r="F11843" s="76" t="s">
        <v>948</v>
      </c>
      <c r="G11843" s="83">
        <v>46121.0</v>
      </c>
      <c r="H11843" s="76" t="s">
        <v>947</v>
      </c>
    </row>
    <row r="11844">
      <c r="A11844" s="76" t="s">
        <v>32</v>
      </c>
      <c r="B11844" s="76" t="s">
        <v>1037</v>
      </c>
      <c r="C11844" s="84">
        <v>10.79</v>
      </c>
      <c r="D11844" s="84">
        <v>1.0</v>
      </c>
      <c r="E11844" s="84">
        <v>10.79</v>
      </c>
      <c r="F11844" s="76" t="s">
        <v>948</v>
      </c>
      <c r="G11844" s="83">
        <v>46121.0</v>
      </c>
      <c r="H11844" s="76" t="s">
        <v>941</v>
      </c>
    </row>
    <row r="11845">
      <c r="A11845" s="76" t="s">
        <v>32</v>
      </c>
      <c r="B11845" s="76" t="s">
        <v>1037</v>
      </c>
      <c r="C11845" s="84">
        <v>8.07</v>
      </c>
      <c r="D11845" s="84">
        <v>2.0</v>
      </c>
      <c r="E11845" s="84">
        <v>4.03</v>
      </c>
      <c r="F11845" s="76" t="s">
        <v>948</v>
      </c>
      <c r="G11845" s="83">
        <v>46121.0</v>
      </c>
      <c r="H11845" s="76" t="s">
        <v>942</v>
      </c>
    </row>
    <row r="11846">
      <c r="A11846" s="76" t="s">
        <v>32</v>
      </c>
      <c r="B11846" s="76" t="s">
        <v>1037</v>
      </c>
      <c r="C11846" s="84">
        <v>61.79</v>
      </c>
      <c r="D11846" s="84">
        <v>8.0</v>
      </c>
      <c r="E11846" s="84">
        <v>7.72</v>
      </c>
      <c r="F11846" s="76" t="s">
        <v>948</v>
      </c>
      <c r="G11846" s="83">
        <v>46121.0</v>
      </c>
      <c r="H11846" s="76" t="s">
        <v>943</v>
      </c>
    </row>
    <row r="11847">
      <c r="A11847" s="76" t="s">
        <v>26</v>
      </c>
      <c r="B11847" s="76" t="s">
        <v>1037</v>
      </c>
      <c r="C11847" s="84">
        <v>3.85</v>
      </c>
      <c r="D11847" s="84">
        <v>1.0</v>
      </c>
      <c r="E11847" s="84">
        <v>3.85</v>
      </c>
      <c r="F11847" s="76" t="s">
        <v>948</v>
      </c>
      <c r="G11847" s="83">
        <v>46121.0</v>
      </c>
      <c r="H11847" s="76" t="s">
        <v>1012</v>
      </c>
    </row>
    <row r="11848">
      <c r="A11848" s="76" t="s">
        <v>26</v>
      </c>
      <c r="B11848" s="76" t="s">
        <v>1037</v>
      </c>
      <c r="C11848" s="84">
        <v>7.59</v>
      </c>
      <c r="D11848" s="84">
        <v>5.0</v>
      </c>
      <c r="E11848" s="84">
        <v>1.52</v>
      </c>
      <c r="F11848" s="76" t="s">
        <v>948</v>
      </c>
      <c r="G11848" s="83">
        <v>46121.0</v>
      </c>
      <c r="H11848" s="76" t="s">
        <v>1013</v>
      </c>
    </row>
    <row r="11849">
      <c r="A11849" s="76" t="s">
        <v>26</v>
      </c>
      <c r="B11849" s="76" t="s">
        <v>1037</v>
      </c>
      <c r="C11849" s="84">
        <v>65.42</v>
      </c>
      <c r="D11849" s="84">
        <v>6.0</v>
      </c>
      <c r="E11849" s="84">
        <v>10.9</v>
      </c>
      <c r="F11849" s="76" t="s">
        <v>948</v>
      </c>
      <c r="G11849" s="83">
        <v>46121.0</v>
      </c>
      <c r="H11849" s="76" t="s">
        <v>1014</v>
      </c>
    </row>
    <row r="11850">
      <c r="A11850" s="76" t="s">
        <v>36</v>
      </c>
      <c r="B11850" s="76" t="s">
        <v>1037</v>
      </c>
      <c r="C11850" s="84">
        <v>70.73</v>
      </c>
      <c r="D11850" s="84">
        <v>13.0</v>
      </c>
      <c r="E11850" s="84">
        <v>5.44</v>
      </c>
      <c r="F11850" s="76" t="s">
        <v>948</v>
      </c>
      <c r="G11850" s="83">
        <v>46121.0</v>
      </c>
      <c r="H11850" s="76" t="s">
        <v>926</v>
      </c>
    </row>
    <row r="11851">
      <c r="A11851" s="76" t="s">
        <v>36</v>
      </c>
      <c r="B11851" s="76" t="s">
        <v>1037</v>
      </c>
      <c r="C11851" s="84">
        <v>4.39</v>
      </c>
      <c r="D11851" s="84">
        <v>0.0</v>
      </c>
      <c r="E11851" s="84">
        <v>0.0</v>
      </c>
      <c r="F11851" s="76" t="s">
        <v>948</v>
      </c>
      <c r="G11851" s="83">
        <v>46121.0</v>
      </c>
      <c r="H11851" s="76" t="s">
        <v>927</v>
      </c>
    </row>
    <row r="11852">
      <c r="A11852" s="76" t="s">
        <v>36</v>
      </c>
      <c r="B11852" s="76" t="s">
        <v>1037</v>
      </c>
      <c r="C11852" s="84">
        <v>17.49</v>
      </c>
      <c r="D11852" s="84">
        <v>1.0</v>
      </c>
      <c r="E11852" s="84">
        <v>17.49</v>
      </c>
      <c r="F11852" s="76" t="s">
        <v>948</v>
      </c>
      <c r="G11852" s="83">
        <v>46121.0</v>
      </c>
      <c r="H11852" s="76" t="s">
        <v>928</v>
      </c>
    </row>
    <row r="11853">
      <c r="A11853" s="76" t="s">
        <v>28</v>
      </c>
      <c r="B11853" s="76" t="s">
        <v>1037</v>
      </c>
      <c r="C11853" s="84">
        <v>4.1</v>
      </c>
      <c r="D11853" s="84">
        <v>0.0</v>
      </c>
      <c r="E11853" s="84">
        <v>0.0</v>
      </c>
      <c r="F11853" s="76" t="s">
        <v>948</v>
      </c>
      <c r="G11853" s="83">
        <v>46121.0</v>
      </c>
      <c r="H11853" s="76" t="s">
        <v>931</v>
      </c>
    </row>
    <row r="11854">
      <c r="A11854" s="76" t="s">
        <v>28</v>
      </c>
      <c r="B11854" s="76" t="s">
        <v>1037</v>
      </c>
      <c r="C11854" s="84">
        <v>1.58</v>
      </c>
      <c r="D11854" s="84">
        <v>0.0</v>
      </c>
      <c r="E11854" s="84">
        <v>0.0</v>
      </c>
      <c r="F11854" s="76" t="s">
        <v>948</v>
      </c>
      <c r="G11854" s="83">
        <v>46121.0</v>
      </c>
      <c r="H11854" s="76" t="s">
        <v>932</v>
      </c>
    </row>
    <row r="11855">
      <c r="A11855" s="76" t="s">
        <v>28</v>
      </c>
      <c r="B11855" s="76" t="s">
        <v>1037</v>
      </c>
      <c r="C11855" s="84">
        <v>72.28</v>
      </c>
      <c r="D11855" s="84">
        <v>15.0</v>
      </c>
      <c r="E11855" s="84">
        <v>4.82</v>
      </c>
      <c r="F11855" s="76" t="s">
        <v>948</v>
      </c>
      <c r="G11855" s="83">
        <v>46121.0</v>
      </c>
      <c r="H11855" s="76" t="s">
        <v>933</v>
      </c>
    </row>
    <row r="11856">
      <c r="A11856" s="76" t="s">
        <v>45</v>
      </c>
      <c r="B11856" s="76" t="s">
        <v>1037</v>
      </c>
      <c r="C11856" s="84">
        <v>0.81</v>
      </c>
      <c r="D11856" s="84">
        <v>1.0</v>
      </c>
      <c r="E11856" s="84">
        <v>0.81</v>
      </c>
      <c r="F11856" s="76" t="s">
        <v>948</v>
      </c>
      <c r="G11856" s="83">
        <v>46121.0</v>
      </c>
      <c r="H11856" s="76" t="s">
        <v>936</v>
      </c>
    </row>
    <row r="11857">
      <c r="A11857" s="76" t="s">
        <v>45</v>
      </c>
      <c r="B11857" s="76" t="s">
        <v>1037</v>
      </c>
      <c r="C11857" s="84">
        <v>3.21</v>
      </c>
      <c r="D11857" s="84">
        <v>0.0</v>
      </c>
      <c r="E11857" s="84">
        <v>0.0</v>
      </c>
      <c r="F11857" s="76" t="s">
        <v>948</v>
      </c>
      <c r="G11857" s="83">
        <v>46121.0</v>
      </c>
      <c r="H11857" s="76" t="s">
        <v>937</v>
      </c>
    </row>
    <row r="11858">
      <c r="A11858" s="76" t="s">
        <v>45</v>
      </c>
      <c r="B11858" s="76" t="s">
        <v>1037</v>
      </c>
      <c r="C11858" s="84">
        <v>2.87</v>
      </c>
      <c r="D11858" s="84">
        <v>0.0</v>
      </c>
      <c r="E11858" s="84">
        <v>0.0</v>
      </c>
      <c r="F11858" s="76" t="s">
        <v>948</v>
      </c>
      <c r="G11858" s="83">
        <v>46121.0</v>
      </c>
      <c r="H11858" s="76" t="s">
        <v>938</v>
      </c>
    </row>
    <row r="11859">
      <c r="A11859" s="76" t="s">
        <v>42</v>
      </c>
      <c r="B11859" s="76" t="s">
        <v>1037</v>
      </c>
      <c r="C11859" s="84">
        <v>1.43</v>
      </c>
      <c r="D11859" s="84">
        <v>0.0</v>
      </c>
      <c r="E11859" s="84">
        <v>0.0</v>
      </c>
      <c r="F11859" s="76" t="s">
        <v>948</v>
      </c>
      <c r="G11859" s="83">
        <v>46121.0</v>
      </c>
      <c r="H11859" s="76" t="s">
        <v>991</v>
      </c>
    </row>
    <row r="11860">
      <c r="A11860" s="76" t="s">
        <v>42</v>
      </c>
      <c r="B11860" s="76" t="s">
        <v>1037</v>
      </c>
      <c r="C11860" s="84">
        <v>16.66</v>
      </c>
      <c r="D11860" s="84">
        <v>5.0</v>
      </c>
      <c r="E11860" s="84">
        <v>3.33</v>
      </c>
      <c r="F11860" s="76" t="s">
        <v>948</v>
      </c>
      <c r="G11860" s="83">
        <v>46121.0</v>
      </c>
      <c r="H11860" s="76" t="s">
        <v>935</v>
      </c>
    </row>
    <row r="11861">
      <c r="A11861" s="76" t="s">
        <v>29</v>
      </c>
      <c r="B11861" s="76" t="s">
        <v>1031</v>
      </c>
      <c r="C11861" s="84">
        <v>2.83</v>
      </c>
      <c r="D11861" s="84">
        <v>0.0</v>
      </c>
      <c r="E11861" s="84">
        <v>0.0</v>
      </c>
      <c r="F11861" s="76" t="s">
        <v>925</v>
      </c>
      <c r="G11861" s="83">
        <v>46121.0</v>
      </c>
      <c r="H11861" s="76" t="s">
        <v>971</v>
      </c>
    </row>
    <row r="11862">
      <c r="A11862" s="76" t="s">
        <v>29</v>
      </c>
      <c r="B11862" s="76" t="s">
        <v>1031</v>
      </c>
      <c r="C11862" s="84">
        <v>0.96</v>
      </c>
      <c r="D11862" s="84">
        <v>0.0</v>
      </c>
      <c r="E11862" s="84">
        <v>0.0</v>
      </c>
      <c r="F11862" s="76" t="s">
        <v>925</v>
      </c>
      <c r="G11862" s="83">
        <v>46121.0</v>
      </c>
      <c r="H11862" s="76" t="s">
        <v>972</v>
      </c>
    </row>
    <row r="11863">
      <c r="A11863" s="76" t="s">
        <v>29</v>
      </c>
      <c r="B11863" s="76" t="s">
        <v>1031</v>
      </c>
      <c r="C11863" s="84">
        <v>10.85</v>
      </c>
      <c r="D11863" s="84">
        <v>1.0</v>
      </c>
      <c r="E11863" s="84">
        <v>10.85</v>
      </c>
      <c r="F11863" s="76" t="s">
        <v>925</v>
      </c>
      <c r="G11863" s="83">
        <v>46121.0</v>
      </c>
      <c r="H11863" s="76" t="s">
        <v>973</v>
      </c>
    </row>
    <row r="11864">
      <c r="A11864" s="76" t="s">
        <v>36</v>
      </c>
      <c r="B11864" s="76" t="s">
        <v>1031</v>
      </c>
      <c r="C11864" s="84">
        <v>6.25</v>
      </c>
      <c r="D11864" s="84">
        <v>1.0</v>
      </c>
      <c r="E11864" s="84">
        <v>6.25</v>
      </c>
      <c r="F11864" s="76" t="s">
        <v>925</v>
      </c>
      <c r="G11864" s="83">
        <v>46121.0</v>
      </c>
      <c r="H11864" s="76" t="s">
        <v>926</v>
      </c>
    </row>
    <row r="11865">
      <c r="A11865" s="76" t="s">
        <v>36</v>
      </c>
      <c r="B11865" s="76" t="s">
        <v>1031</v>
      </c>
      <c r="C11865" s="84">
        <v>0.47</v>
      </c>
      <c r="D11865" s="84">
        <v>0.0</v>
      </c>
      <c r="E11865" s="84">
        <v>0.0</v>
      </c>
      <c r="F11865" s="76" t="s">
        <v>925</v>
      </c>
      <c r="G11865" s="83">
        <v>46121.0</v>
      </c>
      <c r="H11865" s="76" t="s">
        <v>927</v>
      </c>
    </row>
    <row r="11866">
      <c r="A11866" s="76" t="s">
        <v>36</v>
      </c>
      <c r="B11866" s="76" t="s">
        <v>1031</v>
      </c>
      <c r="C11866" s="84">
        <v>0.76</v>
      </c>
      <c r="D11866" s="84">
        <v>0.0</v>
      </c>
      <c r="E11866" s="84">
        <v>0.0</v>
      </c>
      <c r="F11866" s="76" t="s">
        <v>925</v>
      </c>
      <c r="G11866" s="83">
        <v>46121.0</v>
      </c>
      <c r="H11866" s="76" t="s">
        <v>928</v>
      </c>
    </row>
    <row r="11867">
      <c r="A11867" s="76" t="s">
        <v>40</v>
      </c>
      <c r="B11867" s="76" t="s">
        <v>1031</v>
      </c>
      <c r="C11867" s="84">
        <v>0.99</v>
      </c>
      <c r="D11867" s="84">
        <v>0.0</v>
      </c>
      <c r="E11867" s="84">
        <v>0.0</v>
      </c>
      <c r="F11867" s="76" t="s">
        <v>925</v>
      </c>
      <c r="G11867" s="83">
        <v>46121.0</v>
      </c>
      <c r="H11867" s="76" t="s">
        <v>954</v>
      </c>
    </row>
    <row r="11868">
      <c r="A11868" s="76" t="s">
        <v>40</v>
      </c>
      <c r="B11868" s="76" t="s">
        <v>1031</v>
      </c>
      <c r="C11868" s="84">
        <v>1.11</v>
      </c>
      <c r="D11868" s="84">
        <v>0.0</v>
      </c>
      <c r="E11868" s="84">
        <v>0.0</v>
      </c>
      <c r="F11868" s="76" t="s">
        <v>925</v>
      </c>
      <c r="G11868" s="83">
        <v>46121.0</v>
      </c>
      <c r="H11868" s="76" t="s">
        <v>955</v>
      </c>
    </row>
    <row r="11869">
      <c r="A11869" s="76" t="s">
        <v>40</v>
      </c>
      <c r="B11869" s="76" t="s">
        <v>1031</v>
      </c>
      <c r="C11869" s="84">
        <v>9.47</v>
      </c>
      <c r="D11869" s="84">
        <v>4.0</v>
      </c>
      <c r="E11869" s="84">
        <v>2.37</v>
      </c>
      <c r="F11869" s="76" t="s">
        <v>925</v>
      </c>
      <c r="G11869" s="83">
        <v>46121.0</v>
      </c>
      <c r="H11869" s="76" t="s">
        <v>956</v>
      </c>
    </row>
    <row r="11870">
      <c r="A11870" s="76" t="s">
        <v>970</v>
      </c>
      <c r="B11870" s="76" t="s">
        <v>1031</v>
      </c>
      <c r="C11870" s="84">
        <v>3.36</v>
      </c>
      <c r="D11870" s="84">
        <v>0.0</v>
      </c>
      <c r="E11870" s="84">
        <v>0.0</v>
      </c>
      <c r="F11870" s="76" t="s">
        <v>925</v>
      </c>
      <c r="G11870" s="83">
        <v>46121.0</v>
      </c>
      <c r="H11870" s="76" t="s">
        <v>971</v>
      </c>
    </row>
    <row r="11871">
      <c r="A11871" s="76" t="s">
        <v>970</v>
      </c>
      <c r="B11871" s="76" t="s">
        <v>1031</v>
      </c>
      <c r="C11871" s="84">
        <v>1.05</v>
      </c>
      <c r="D11871" s="84">
        <v>2.0</v>
      </c>
      <c r="E11871" s="84">
        <v>0.53</v>
      </c>
      <c r="F11871" s="76" t="s">
        <v>925</v>
      </c>
      <c r="G11871" s="83">
        <v>46121.0</v>
      </c>
      <c r="H11871" s="76" t="s">
        <v>972</v>
      </c>
    </row>
    <row r="11872">
      <c r="A11872" s="76" t="s">
        <v>970</v>
      </c>
      <c r="B11872" s="76" t="s">
        <v>1031</v>
      </c>
      <c r="C11872" s="84">
        <v>9.95</v>
      </c>
      <c r="D11872" s="84">
        <v>2.0</v>
      </c>
      <c r="E11872" s="84">
        <v>4.97</v>
      </c>
      <c r="F11872" s="76" t="s">
        <v>925</v>
      </c>
      <c r="G11872" s="83">
        <v>46121.0</v>
      </c>
      <c r="H11872" s="76" t="s">
        <v>973</v>
      </c>
    </row>
    <row r="11873">
      <c r="A11873" s="76" t="s">
        <v>46</v>
      </c>
      <c r="B11873" s="76" t="s">
        <v>1031</v>
      </c>
      <c r="C11873" s="84">
        <v>3.22</v>
      </c>
      <c r="D11873" s="84">
        <v>0.0</v>
      </c>
      <c r="E11873" s="84">
        <v>0.0</v>
      </c>
      <c r="F11873" s="76" t="s">
        <v>925</v>
      </c>
      <c r="G11873" s="83">
        <v>46121.0</v>
      </c>
      <c r="H11873" s="76" t="s">
        <v>960</v>
      </c>
    </row>
    <row r="11874">
      <c r="A11874" s="76" t="s">
        <v>46</v>
      </c>
      <c r="B11874" s="76" t="s">
        <v>1031</v>
      </c>
      <c r="C11874" s="84">
        <v>0.62</v>
      </c>
      <c r="D11874" s="84">
        <v>0.0</v>
      </c>
      <c r="E11874" s="84">
        <v>0.0</v>
      </c>
      <c r="F11874" s="76" t="s">
        <v>925</v>
      </c>
      <c r="G11874" s="83">
        <v>46121.0</v>
      </c>
      <c r="H11874" s="76" t="s">
        <v>961</v>
      </c>
    </row>
    <row r="11875">
      <c r="A11875" s="76" t="s">
        <v>46</v>
      </c>
      <c r="B11875" s="76" t="s">
        <v>1031</v>
      </c>
      <c r="C11875" s="84">
        <v>2.87</v>
      </c>
      <c r="D11875" s="84">
        <v>0.0</v>
      </c>
      <c r="E11875" s="84">
        <v>0.0</v>
      </c>
      <c r="F11875" s="76" t="s">
        <v>925</v>
      </c>
      <c r="G11875" s="83">
        <v>46121.0</v>
      </c>
      <c r="H11875" s="76" t="s">
        <v>962</v>
      </c>
    </row>
    <row r="11876">
      <c r="A11876" s="76" t="s">
        <v>34</v>
      </c>
      <c r="B11876" s="76" t="s">
        <v>1031</v>
      </c>
      <c r="C11876" s="84">
        <v>0.75</v>
      </c>
      <c r="D11876" s="84">
        <v>0.0</v>
      </c>
      <c r="E11876" s="84">
        <v>0.0</v>
      </c>
      <c r="F11876" s="76" t="s">
        <v>925</v>
      </c>
      <c r="G11876" s="83">
        <v>46121.0</v>
      </c>
      <c r="H11876" s="76" t="s">
        <v>951</v>
      </c>
    </row>
    <row r="11877">
      <c r="A11877" s="76" t="s">
        <v>34</v>
      </c>
      <c r="B11877" s="76" t="s">
        <v>1031</v>
      </c>
      <c r="C11877" s="84">
        <v>1.8</v>
      </c>
      <c r="D11877" s="84">
        <v>0.0</v>
      </c>
      <c r="E11877" s="84">
        <v>0.0</v>
      </c>
      <c r="F11877" s="76" t="s">
        <v>925</v>
      </c>
      <c r="G11877" s="83">
        <v>46121.0</v>
      </c>
      <c r="H11877" s="76" t="s">
        <v>952</v>
      </c>
    </row>
    <row r="11878">
      <c r="A11878" s="76" t="s">
        <v>34</v>
      </c>
      <c r="B11878" s="76" t="s">
        <v>1031</v>
      </c>
      <c r="C11878" s="84">
        <v>1.05</v>
      </c>
      <c r="D11878" s="84">
        <v>0.0</v>
      </c>
      <c r="E11878" s="84">
        <v>0.0</v>
      </c>
      <c r="F11878" s="76" t="s">
        <v>925</v>
      </c>
      <c r="G11878" s="83">
        <v>46121.0</v>
      </c>
      <c r="H11878" s="76" t="s">
        <v>953</v>
      </c>
    </row>
    <row r="11879">
      <c r="A11879" s="76" t="s">
        <v>33</v>
      </c>
      <c r="B11879" s="76" t="s">
        <v>1031</v>
      </c>
      <c r="C11879" s="84">
        <v>32.83</v>
      </c>
      <c r="D11879" s="84">
        <v>6.0</v>
      </c>
      <c r="E11879" s="84">
        <v>5.47</v>
      </c>
      <c r="F11879" s="76" t="s">
        <v>925</v>
      </c>
      <c r="G11879" s="83">
        <v>46121.0</v>
      </c>
      <c r="H11879" s="76" t="s">
        <v>957</v>
      </c>
    </row>
    <row r="11880">
      <c r="A11880" s="76" t="s">
        <v>33</v>
      </c>
      <c r="B11880" s="76" t="s">
        <v>1031</v>
      </c>
      <c r="C11880" s="84">
        <v>1.48</v>
      </c>
      <c r="D11880" s="84">
        <v>0.0</v>
      </c>
      <c r="E11880" s="84">
        <v>0.0</v>
      </c>
      <c r="F11880" s="76" t="s">
        <v>925</v>
      </c>
      <c r="G11880" s="83">
        <v>46121.0</v>
      </c>
      <c r="H11880" s="76" t="s">
        <v>958</v>
      </c>
    </row>
    <row r="11881">
      <c r="A11881" s="76" t="s">
        <v>33</v>
      </c>
      <c r="B11881" s="76" t="s">
        <v>1031</v>
      </c>
      <c r="C11881" s="84">
        <v>4.26</v>
      </c>
      <c r="D11881" s="84">
        <v>1.0</v>
      </c>
      <c r="E11881" s="84">
        <v>4.26</v>
      </c>
      <c r="F11881" s="76" t="s">
        <v>925</v>
      </c>
      <c r="G11881" s="83">
        <v>46121.0</v>
      </c>
      <c r="H11881" s="76" t="s">
        <v>959</v>
      </c>
    </row>
    <row r="11882">
      <c r="A11882" s="76" t="s">
        <v>43</v>
      </c>
      <c r="B11882" s="76" t="s">
        <v>1031</v>
      </c>
      <c r="C11882" s="84">
        <v>0.37</v>
      </c>
      <c r="D11882" s="84">
        <v>0.0</v>
      </c>
      <c r="E11882" s="84">
        <v>0.0</v>
      </c>
      <c r="F11882" s="76" t="s">
        <v>925</v>
      </c>
      <c r="G11882" s="83">
        <v>46121.0</v>
      </c>
      <c r="H11882" s="76" t="s">
        <v>963</v>
      </c>
    </row>
    <row r="11883">
      <c r="A11883" s="76" t="s">
        <v>43</v>
      </c>
      <c r="B11883" s="76" t="s">
        <v>1031</v>
      </c>
      <c r="C11883" s="84">
        <v>1.11</v>
      </c>
      <c r="D11883" s="84">
        <v>0.0</v>
      </c>
      <c r="E11883" s="84">
        <v>0.0</v>
      </c>
      <c r="F11883" s="76" t="s">
        <v>925</v>
      </c>
      <c r="G11883" s="83">
        <v>46121.0</v>
      </c>
      <c r="H11883" s="76" t="s">
        <v>964</v>
      </c>
    </row>
    <row r="11884">
      <c r="A11884" s="76" t="s">
        <v>43</v>
      </c>
      <c r="B11884" s="76" t="s">
        <v>1031</v>
      </c>
      <c r="C11884" s="84">
        <v>1.73</v>
      </c>
      <c r="D11884" s="84">
        <v>1.0</v>
      </c>
      <c r="E11884" s="84">
        <v>1.73</v>
      </c>
      <c r="F11884" s="76" t="s">
        <v>925</v>
      </c>
      <c r="G11884" s="83">
        <v>46121.0</v>
      </c>
      <c r="H11884" s="76" t="s">
        <v>965</v>
      </c>
    </row>
    <row r="11885">
      <c r="A11885" s="76" t="s">
        <v>966</v>
      </c>
      <c r="B11885" s="76" t="s">
        <v>1031</v>
      </c>
      <c r="C11885" s="84">
        <v>3.2</v>
      </c>
      <c r="D11885" s="84">
        <v>1.0</v>
      </c>
      <c r="E11885" s="84">
        <v>3.2</v>
      </c>
      <c r="F11885" s="76" t="s">
        <v>925</v>
      </c>
      <c r="G11885" s="83">
        <v>46121.0</v>
      </c>
      <c r="H11885" s="76" t="s">
        <v>967</v>
      </c>
    </row>
    <row r="11886">
      <c r="A11886" s="76" t="s">
        <v>966</v>
      </c>
      <c r="B11886" s="76" t="s">
        <v>1031</v>
      </c>
      <c r="C11886" s="84">
        <v>0.37</v>
      </c>
      <c r="D11886" s="84">
        <v>0.0</v>
      </c>
      <c r="E11886" s="84">
        <v>0.0</v>
      </c>
      <c r="F11886" s="76" t="s">
        <v>925</v>
      </c>
      <c r="G11886" s="83">
        <v>46121.0</v>
      </c>
      <c r="H11886" s="76" t="s">
        <v>968</v>
      </c>
    </row>
    <row r="11887">
      <c r="A11887" s="76" t="s">
        <v>966</v>
      </c>
      <c r="B11887" s="76" t="s">
        <v>1031</v>
      </c>
      <c r="C11887" s="84">
        <v>0.9</v>
      </c>
      <c r="D11887" s="84">
        <v>1.0</v>
      </c>
      <c r="E11887" s="84">
        <v>0.9</v>
      </c>
      <c r="F11887" s="76" t="s">
        <v>925</v>
      </c>
      <c r="G11887" s="83">
        <v>46121.0</v>
      </c>
      <c r="H11887" s="76" t="s">
        <v>969</v>
      </c>
    </row>
    <row r="11888">
      <c r="A11888" s="76" t="s">
        <v>970</v>
      </c>
      <c r="B11888" s="76" t="s">
        <v>1031</v>
      </c>
      <c r="C11888" s="84">
        <v>2.73</v>
      </c>
      <c r="D11888" s="84">
        <v>0.0</v>
      </c>
      <c r="E11888" s="84">
        <v>0.0</v>
      </c>
      <c r="F11888" s="76" t="s">
        <v>948</v>
      </c>
      <c r="G11888" s="83">
        <v>46121.0</v>
      </c>
      <c r="H11888" s="76" t="s">
        <v>971</v>
      </c>
    </row>
    <row r="11889">
      <c r="A11889" s="76" t="s">
        <v>970</v>
      </c>
      <c r="B11889" s="76" t="s">
        <v>1031</v>
      </c>
      <c r="C11889" s="84">
        <v>2.04</v>
      </c>
      <c r="D11889" s="84">
        <v>0.0</v>
      </c>
      <c r="E11889" s="84">
        <v>0.0</v>
      </c>
      <c r="F11889" s="76" t="s">
        <v>948</v>
      </c>
      <c r="G11889" s="83">
        <v>46121.0</v>
      </c>
      <c r="H11889" s="76" t="s">
        <v>972</v>
      </c>
    </row>
    <row r="11890">
      <c r="A11890" s="76" t="s">
        <v>970</v>
      </c>
      <c r="B11890" s="76" t="s">
        <v>1031</v>
      </c>
      <c r="C11890" s="84">
        <v>6.71</v>
      </c>
      <c r="D11890" s="84">
        <v>0.0</v>
      </c>
      <c r="E11890" s="84">
        <v>0.0</v>
      </c>
      <c r="F11890" s="76" t="s">
        <v>948</v>
      </c>
      <c r="G11890" s="83">
        <v>46121.0</v>
      </c>
      <c r="H11890" s="76" t="s">
        <v>973</v>
      </c>
    </row>
    <row r="11891">
      <c r="A11891" s="76" t="s">
        <v>33</v>
      </c>
      <c r="B11891" s="76" t="s">
        <v>1031</v>
      </c>
      <c r="C11891" s="84">
        <v>58.53</v>
      </c>
      <c r="D11891" s="84">
        <v>8.0</v>
      </c>
      <c r="E11891" s="84">
        <v>7.32</v>
      </c>
      <c r="F11891" s="76" t="s">
        <v>948</v>
      </c>
      <c r="G11891" s="83">
        <v>46121.0</v>
      </c>
      <c r="H11891" s="76" t="s">
        <v>957</v>
      </c>
    </row>
    <row r="11892">
      <c r="A11892" s="76" t="s">
        <v>33</v>
      </c>
      <c r="B11892" s="76" t="s">
        <v>1031</v>
      </c>
      <c r="C11892" s="84">
        <v>4.07</v>
      </c>
      <c r="D11892" s="84">
        <v>3.0</v>
      </c>
      <c r="E11892" s="84">
        <v>1.36</v>
      </c>
      <c r="F11892" s="76" t="s">
        <v>948</v>
      </c>
      <c r="G11892" s="83">
        <v>46121.0</v>
      </c>
      <c r="H11892" s="76" t="s">
        <v>958</v>
      </c>
    </row>
    <row r="11893">
      <c r="A11893" s="76" t="s">
        <v>33</v>
      </c>
      <c r="B11893" s="76" t="s">
        <v>1031</v>
      </c>
      <c r="C11893" s="84">
        <v>20.82</v>
      </c>
      <c r="D11893" s="84">
        <v>0.0</v>
      </c>
      <c r="E11893" s="84">
        <v>0.0</v>
      </c>
      <c r="F11893" s="76" t="s">
        <v>948</v>
      </c>
      <c r="G11893" s="83">
        <v>46121.0</v>
      </c>
      <c r="H11893" s="76" t="s">
        <v>959</v>
      </c>
    </row>
    <row r="11894">
      <c r="A11894" s="76" t="s">
        <v>46</v>
      </c>
      <c r="B11894" s="76" t="s">
        <v>1031</v>
      </c>
      <c r="C11894" s="84">
        <v>1.4</v>
      </c>
      <c r="D11894" s="84">
        <v>0.0</v>
      </c>
      <c r="E11894" s="84">
        <v>0.0</v>
      </c>
      <c r="F11894" s="76" t="s">
        <v>948</v>
      </c>
      <c r="G11894" s="83">
        <v>46121.0</v>
      </c>
      <c r="H11894" s="76" t="s">
        <v>960</v>
      </c>
    </row>
    <row r="11895">
      <c r="A11895" s="76" t="s">
        <v>46</v>
      </c>
      <c r="B11895" s="76" t="s">
        <v>1031</v>
      </c>
      <c r="C11895" s="84">
        <v>1.46</v>
      </c>
      <c r="D11895" s="84">
        <v>0.0</v>
      </c>
      <c r="E11895" s="84">
        <v>0.0</v>
      </c>
      <c r="F11895" s="76" t="s">
        <v>948</v>
      </c>
      <c r="G11895" s="83">
        <v>46121.0</v>
      </c>
      <c r="H11895" s="76" t="s">
        <v>961</v>
      </c>
    </row>
    <row r="11896">
      <c r="A11896" s="76" t="s">
        <v>46</v>
      </c>
      <c r="B11896" s="76" t="s">
        <v>1031</v>
      </c>
      <c r="C11896" s="84">
        <v>2.92</v>
      </c>
      <c r="D11896" s="84">
        <v>0.0</v>
      </c>
      <c r="E11896" s="84">
        <v>0.0</v>
      </c>
      <c r="F11896" s="76" t="s">
        <v>948</v>
      </c>
      <c r="G11896" s="83">
        <v>46121.0</v>
      </c>
      <c r="H11896" s="76" t="s">
        <v>962</v>
      </c>
    </row>
    <row r="11897">
      <c r="A11897" s="76" t="s">
        <v>966</v>
      </c>
      <c r="B11897" s="76" t="s">
        <v>1031</v>
      </c>
      <c r="C11897" s="84">
        <v>2.95</v>
      </c>
      <c r="D11897" s="84">
        <v>0.0</v>
      </c>
      <c r="E11897" s="84">
        <v>0.0</v>
      </c>
      <c r="F11897" s="76" t="s">
        <v>948</v>
      </c>
      <c r="G11897" s="83">
        <v>46121.0</v>
      </c>
      <c r="H11897" s="76" t="s">
        <v>967</v>
      </c>
    </row>
    <row r="11898">
      <c r="A11898" s="76" t="s">
        <v>966</v>
      </c>
      <c r="B11898" s="76" t="s">
        <v>1031</v>
      </c>
      <c r="C11898" s="84">
        <v>2.01</v>
      </c>
      <c r="D11898" s="84">
        <v>0.0</v>
      </c>
      <c r="E11898" s="84">
        <v>0.0</v>
      </c>
      <c r="F11898" s="76" t="s">
        <v>948</v>
      </c>
      <c r="G11898" s="83">
        <v>46121.0</v>
      </c>
      <c r="H11898" s="76" t="s">
        <v>968</v>
      </c>
    </row>
    <row r="11899">
      <c r="A11899" s="76" t="s">
        <v>966</v>
      </c>
      <c r="B11899" s="76" t="s">
        <v>1031</v>
      </c>
      <c r="C11899" s="84">
        <v>4.84</v>
      </c>
      <c r="D11899" s="84">
        <v>0.0</v>
      </c>
      <c r="E11899" s="84">
        <v>0.0</v>
      </c>
      <c r="F11899" s="76" t="s">
        <v>948</v>
      </c>
      <c r="G11899" s="83">
        <v>46121.0</v>
      </c>
      <c r="H11899" s="76" t="s">
        <v>969</v>
      </c>
    </row>
    <row r="11900">
      <c r="A11900" s="76" t="s">
        <v>43</v>
      </c>
      <c r="B11900" s="76" t="s">
        <v>1031</v>
      </c>
      <c r="C11900" s="84">
        <v>2.92</v>
      </c>
      <c r="D11900" s="84">
        <v>0.0</v>
      </c>
      <c r="E11900" s="84">
        <v>0.0</v>
      </c>
      <c r="F11900" s="76" t="s">
        <v>948</v>
      </c>
      <c r="G11900" s="83">
        <v>46121.0</v>
      </c>
      <c r="H11900" s="76" t="s">
        <v>963</v>
      </c>
    </row>
    <row r="11901">
      <c r="A11901" s="76" t="s">
        <v>43</v>
      </c>
      <c r="B11901" s="76" t="s">
        <v>1031</v>
      </c>
      <c r="C11901" s="84">
        <v>0.66</v>
      </c>
      <c r="D11901" s="84">
        <v>0.0</v>
      </c>
      <c r="E11901" s="84">
        <v>0.0</v>
      </c>
      <c r="F11901" s="76" t="s">
        <v>948</v>
      </c>
      <c r="G11901" s="83">
        <v>46121.0</v>
      </c>
      <c r="H11901" s="76" t="s">
        <v>964</v>
      </c>
    </row>
    <row r="11902">
      <c r="A11902" s="76" t="s">
        <v>43</v>
      </c>
      <c r="B11902" s="76" t="s">
        <v>1031</v>
      </c>
      <c r="C11902" s="84">
        <v>2.96</v>
      </c>
      <c r="D11902" s="84">
        <v>0.0</v>
      </c>
      <c r="E11902" s="84">
        <v>0.0</v>
      </c>
      <c r="F11902" s="76" t="s">
        <v>948</v>
      </c>
      <c r="G11902" s="83">
        <v>46121.0</v>
      </c>
      <c r="H11902" s="76" t="s">
        <v>965</v>
      </c>
    </row>
    <row r="11903">
      <c r="A11903" s="76" t="s">
        <v>34</v>
      </c>
      <c r="B11903" s="76" t="s">
        <v>1031</v>
      </c>
      <c r="C11903" s="84">
        <v>2.54</v>
      </c>
      <c r="D11903" s="84">
        <v>1.0</v>
      </c>
      <c r="E11903" s="84">
        <v>2.54</v>
      </c>
      <c r="F11903" s="76" t="s">
        <v>948</v>
      </c>
      <c r="G11903" s="83">
        <v>46121.0</v>
      </c>
      <c r="H11903" s="76" t="s">
        <v>951</v>
      </c>
    </row>
    <row r="11904">
      <c r="A11904" s="76" t="s">
        <v>34</v>
      </c>
      <c r="B11904" s="76" t="s">
        <v>1031</v>
      </c>
      <c r="C11904" s="84">
        <v>70.18</v>
      </c>
      <c r="D11904" s="84">
        <v>10.0</v>
      </c>
      <c r="E11904" s="84">
        <v>7.02</v>
      </c>
      <c r="F11904" s="76" t="s">
        <v>948</v>
      </c>
      <c r="G11904" s="83">
        <v>46121.0</v>
      </c>
      <c r="H11904" s="76" t="s">
        <v>952</v>
      </c>
    </row>
    <row r="11905">
      <c r="A11905" s="76" t="s">
        <v>34</v>
      </c>
      <c r="B11905" s="76" t="s">
        <v>1031</v>
      </c>
      <c r="C11905" s="84">
        <v>1.12</v>
      </c>
      <c r="D11905" s="84">
        <v>0.0</v>
      </c>
      <c r="E11905" s="84">
        <v>0.0</v>
      </c>
      <c r="F11905" s="76" t="s">
        <v>948</v>
      </c>
      <c r="G11905" s="83">
        <v>46121.0</v>
      </c>
      <c r="H11905" s="76" t="s">
        <v>953</v>
      </c>
    </row>
    <row r="11906">
      <c r="A11906" s="76" t="s">
        <v>36</v>
      </c>
      <c r="B11906" s="76" t="s">
        <v>1031</v>
      </c>
      <c r="C11906" s="84">
        <v>5.09</v>
      </c>
      <c r="D11906" s="84">
        <v>2.0</v>
      </c>
      <c r="E11906" s="84">
        <v>2.55</v>
      </c>
      <c r="F11906" s="76" t="s">
        <v>948</v>
      </c>
      <c r="G11906" s="83">
        <v>46121.0</v>
      </c>
      <c r="H11906" s="76" t="s">
        <v>926</v>
      </c>
    </row>
    <row r="11907">
      <c r="A11907" s="76" t="s">
        <v>36</v>
      </c>
      <c r="B11907" s="76" t="s">
        <v>1031</v>
      </c>
      <c r="C11907" s="84">
        <v>0.86</v>
      </c>
      <c r="D11907" s="84">
        <v>1.0</v>
      </c>
      <c r="E11907" s="84">
        <v>0.86</v>
      </c>
      <c r="F11907" s="76" t="s">
        <v>948</v>
      </c>
      <c r="G11907" s="83">
        <v>46121.0</v>
      </c>
      <c r="H11907" s="76" t="s">
        <v>927</v>
      </c>
    </row>
    <row r="11908">
      <c r="A11908" s="76" t="s">
        <v>36</v>
      </c>
      <c r="B11908" s="76" t="s">
        <v>1031</v>
      </c>
      <c r="C11908" s="84">
        <v>3.24</v>
      </c>
      <c r="D11908" s="84">
        <v>0.0</v>
      </c>
      <c r="E11908" s="84">
        <v>0.0</v>
      </c>
      <c r="F11908" s="76" t="s">
        <v>948</v>
      </c>
      <c r="G11908" s="83">
        <v>46121.0</v>
      </c>
      <c r="H11908" s="76" t="s">
        <v>928</v>
      </c>
    </row>
    <row r="11909">
      <c r="A11909" s="76" t="s">
        <v>29</v>
      </c>
      <c r="B11909" s="76" t="s">
        <v>1031</v>
      </c>
      <c r="C11909" s="84">
        <v>3.44</v>
      </c>
      <c r="D11909" s="84">
        <v>2.0</v>
      </c>
      <c r="E11909" s="84">
        <v>1.72</v>
      </c>
      <c r="F11909" s="76" t="s">
        <v>948</v>
      </c>
      <c r="G11909" s="83">
        <v>46121.0</v>
      </c>
      <c r="H11909" s="76" t="s">
        <v>971</v>
      </c>
    </row>
    <row r="11910">
      <c r="A11910" s="76" t="s">
        <v>29</v>
      </c>
      <c r="B11910" s="76" t="s">
        <v>1031</v>
      </c>
      <c r="C11910" s="84">
        <v>1.83</v>
      </c>
      <c r="D11910" s="84">
        <v>0.0</v>
      </c>
      <c r="E11910" s="84">
        <v>0.0</v>
      </c>
      <c r="F11910" s="76" t="s">
        <v>948</v>
      </c>
      <c r="G11910" s="83">
        <v>46121.0</v>
      </c>
      <c r="H11910" s="76" t="s">
        <v>972</v>
      </c>
    </row>
    <row r="11911">
      <c r="A11911" s="76" t="s">
        <v>29</v>
      </c>
      <c r="B11911" s="76" t="s">
        <v>1031</v>
      </c>
      <c r="C11911" s="84">
        <v>6.54</v>
      </c>
      <c r="D11911" s="84">
        <v>1.0</v>
      </c>
      <c r="E11911" s="84">
        <v>6.54</v>
      </c>
      <c r="F11911" s="76" t="s">
        <v>948</v>
      </c>
      <c r="G11911" s="83">
        <v>46121.0</v>
      </c>
      <c r="H11911" s="76" t="s">
        <v>973</v>
      </c>
    </row>
    <row r="11912">
      <c r="A11912" s="76" t="s">
        <v>40</v>
      </c>
      <c r="B11912" s="76" t="s">
        <v>1031</v>
      </c>
      <c r="C11912" s="84">
        <v>2.57</v>
      </c>
      <c r="D11912" s="84">
        <v>1.0</v>
      </c>
      <c r="E11912" s="84">
        <v>2.57</v>
      </c>
      <c r="F11912" s="76" t="s">
        <v>948</v>
      </c>
      <c r="G11912" s="83">
        <v>46121.0</v>
      </c>
      <c r="H11912" s="76" t="s">
        <v>954</v>
      </c>
    </row>
    <row r="11913">
      <c r="A11913" s="76" t="s">
        <v>40</v>
      </c>
      <c r="B11913" s="76" t="s">
        <v>1031</v>
      </c>
      <c r="C11913" s="84">
        <v>2.65</v>
      </c>
      <c r="D11913" s="84">
        <v>2.0</v>
      </c>
      <c r="E11913" s="84">
        <v>1.32</v>
      </c>
      <c r="F11913" s="76" t="s">
        <v>948</v>
      </c>
      <c r="G11913" s="83">
        <v>46121.0</v>
      </c>
      <c r="H11913" s="76" t="s">
        <v>955</v>
      </c>
    </row>
    <row r="11914">
      <c r="A11914" s="76" t="s">
        <v>40</v>
      </c>
      <c r="B11914" s="76" t="s">
        <v>1031</v>
      </c>
      <c r="C11914" s="84">
        <v>12.44</v>
      </c>
      <c r="D11914" s="84">
        <v>3.0</v>
      </c>
      <c r="E11914" s="84">
        <v>4.15</v>
      </c>
      <c r="F11914" s="76" t="s">
        <v>948</v>
      </c>
      <c r="G11914" s="83">
        <v>46121.0</v>
      </c>
      <c r="H11914" s="76" t="s">
        <v>956</v>
      </c>
    </row>
    <row r="11915">
      <c r="A11915" s="76" t="s">
        <v>45</v>
      </c>
      <c r="B11915" s="76" t="s">
        <v>1038</v>
      </c>
      <c r="C11915" s="84">
        <v>1.43</v>
      </c>
      <c r="D11915" s="84">
        <v>0.0</v>
      </c>
      <c r="E11915" s="84">
        <v>0.0</v>
      </c>
      <c r="F11915" s="76" t="s">
        <v>975</v>
      </c>
      <c r="G11915" s="83">
        <v>46121.0</v>
      </c>
      <c r="H11915" s="76" t="s">
        <v>936</v>
      </c>
    </row>
    <row r="11916">
      <c r="A11916" s="76" t="s">
        <v>45</v>
      </c>
      <c r="B11916" s="76" t="s">
        <v>1038</v>
      </c>
      <c r="C11916" s="84">
        <v>8.9</v>
      </c>
      <c r="D11916" s="84">
        <v>2.0</v>
      </c>
      <c r="E11916" s="84">
        <v>4.45</v>
      </c>
      <c r="F11916" s="76" t="s">
        <v>975</v>
      </c>
      <c r="G11916" s="83">
        <v>46121.0</v>
      </c>
      <c r="H11916" s="76" t="s">
        <v>937</v>
      </c>
    </row>
    <row r="11917">
      <c r="A11917" s="76" t="s">
        <v>45</v>
      </c>
      <c r="B11917" s="76" t="s">
        <v>1038</v>
      </c>
      <c r="C11917" s="84">
        <v>2.46</v>
      </c>
      <c r="D11917" s="84">
        <v>1.0</v>
      </c>
      <c r="E11917" s="84">
        <v>2.46</v>
      </c>
      <c r="F11917" s="76" t="s">
        <v>975</v>
      </c>
      <c r="G11917" s="83">
        <v>46121.0</v>
      </c>
      <c r="H11917" s="76" t="s">
        <v>938</v>
      </c>
    </row>
    <row r="11918">
      <c r="A11918" s="76" t="s">
        <v>36</v>
      </c>
      <c r="B11918" s="76" t="s">
        <v>1038</v>
      </c>
      <c r="C11918" s="84">
        <v>27.78</v>
      </c>
      <c r="D11918" s="84">
        <v>6.0</v>
      </c>
      <c r="E11918" s="84">
        <v>4.63</v>
      </c>
      <c r="F11918" s="76" t="s">
        <v>975</v>
      </c>
      <c r="G11918" s="83">
        <v>46121.0</v>
      </c>
      <c r="H11918" s="76" t="s">
        <v>926</v>
      </c>
    </row>
    <row r="11919">
      <c r="A11919" s="76" t="s">
        <v>36</v>
      </c>
      <c r="B11919" s="76" t="s">
        <v>1038</v>
      </c>
      <c r="C11919" s="84">
        <v>2.14</v>
      </c>
      <c r="D11919" s="84">
        <v>1.0</v>
      </c>
      <c r="E11919" s="84">
        <v>2.14</v>
      </c>
      <c r="F11919" s="76" t="s">
        <v>975</v>
      </c>
      <c r="G11919" s="83">
        <v>46121.0</v>
      </c>
      <c r="H11919" s="76" t="s">
        <v>927</v>
      </c>
    </row>
    <row r="11920">
      <c r="A11920" s="76" t="s">
        <v>36</v>
      </c>
      <c r="B11920" s="76" t="s">
        <v>1038</v>
      </c>
      <c r="C11920" s="84">
        <v>6.98</v>
      </c>
      <c r="D11920" s="84">
        <v>2.0</v>
      </c>
      <c r="E11920" s="84">
        <v>3.49</v>
      </c>
      <c r="F11920" s="76" t="s">
        <v>975</v>
      </c>
      <c r="G11920" s="83">
        <v>46121.0</v>
      </c>
      <c r="H11920" s="76" t="s">
        <v>928</v>
      </c>
    </row>
    <row r="11921">
      <c r="A11921" s="76" t="s">
        <v>50</v>
      </c>
      <c r="B11921" s="76" t="s">
        <v>1038</v>
      </c>
      <c r="C11921" s="84">
        <v>7.04</v>
      </c>
      <c r="D11921" s="84">
        <v>2.0</v>
      </c>
      <c r="E11921" s="84">
        <v>3.52</v>
      </c>
      <c r="F11921" s="76" t="s">
        <v>975</v>
      </c>
      <c r="G11921" s="83">
        <v>46121.0</v>
      </c>
      <c r="H11921" s="76" t="s">
        <v>939</v>
      </c>
    </row>
    <row r="11922">
      <c r="A11922" s="76" t="s">
        <v>50</v>
      </c>
      <c r="B11922" s="76" t="s">
        <v>1038</v>
      </c>
      <c r="C11922" s="84">
        <v>3.2</v>
      </c>
      <c r="D11922" s="84">
        <v>0.0</v>
      </c>
      <c r="E11922" s="84">
        <v>0.0</v>
      </c>
      <c r="F11922" s="76" t="s">
        <v>975</v>
      </c>
      <c r="G11922" s="83">
        <v>46121.0</v>
      </c>
      <c r="H11922" s="76" t="s">
        <v>940</v>
      </c>
    </row>
    <row r="11923">
      <c r="A11923" s="76" t="s">
        <v>944</v>
      </c>
      <c r="B11923" s="76" t="s">
        <v>1038</v>
      </c>
      <c r="C11923" s="84">
        <v>41.04</v>
      </c>
      <c r="D11923" s="84">
        <v>6.0</v>
      </c>
      <c r="E11923" s="84">
        <v>6.84</v>
      </c>
      <c r="F11923" s="76" t="s">
        <v>975</v>
      </c>
      <c r="G11923" s="83">
        <v>46121.0</v>
      </c>
      <c r="H11923" s="76" t="s">
        <v>945</v>
      </c>
    </row>
    <row r="11924">
      <c r="A11924" s="76" t="s">
        <v>944</v>
      </c>
      <c r="B11924" s="76" t="s">
        <v>1038</v>
      </c>
      <c r="C11924" s="84">
        <v>5.65</v>
      </c>
      <c r="D11924" s="84">
        <v>0.0</v>
      </c>
      <c r="E11924" s="84">
        <v>0.0</v>
      </c>
      <c r="F11924" s="76" t="s">
        <v>975</v>
      </c>
      <c r="G11924" s="83">
        <v>46121.0</v>
      </c>
      <c r="H11924" s="76" t="s">
        <v>946</v>
      </c>
    </row>
    <row r="11925">
      <c r="A11925" s="76" t="s">
        <v>944</v>
      </c>
      <c r="B11925" s="76" t="s">
        <v>1038</v>
      </c>
      <c r="C11925" s="84">
        <v>30.13</v>
      </c>
      <c r="D11925" s="84">
        <v>8.0</v>
      </c>
      <c r="E11925" s="84">
        <v>3.77</v>
      </c>
      <c r="F11925" s="76" t="s">
        <v>975</v>
      </c>
      <c r="G11925" s="83">
        <v>46121.0</v>
      </c>
      <c r="H11925" s="76" t="s">
        <v>947</v>
      </c>
    </row>
    <row r="11926">
      <c r="A11926" s="76" t="s">
        <v>26</v>
      </c>
      <c r="B11926" s="76" t="s">
        <v>1038</v>
      </c>
      <c r="C11926" s="84">
        <v>2.51</v>
      </c>
      <c r="D11926" s="84">
        <v>0.0</v>
      </c>
      <c r="E11926" s="84">
        <v>0.0</v>
      </c>
      <c r="F11926" s="76" t="s">
        <v>975</v>
      </c>
      <c r="G11926" s="83">
        <v>46121.0</v>
      </c>
      <c r="H11926" s="76" t="s">
        <v>1012</v>
      </c>
    </row>
    <row r="11927">
      <c r="A11927" s="76" t="s">
        <v>26</v>
      </c>
      <c r="B11927" s="76" t="s">
        <v>1038</v>
      </c>
      <c r="C11927" s="84">
        <v>11.67</v>
      </c>
      <c r="D11927" s="84">
        <v>1.0</v>
      </c>
      <c r="E11927" s="84">
        <v>11.67</v>
      </c>
      <c r="F11927" s="76" t="s">
        <v>975</v>
      </c>
      <c r="G11927" s="83">
        <v>46121.0</v>
      </c>
      <c r="H11927" s="76" t="s">
        <v>1013</v>
      </c>
    </row>
    <row r="11928">
      <c r="A11928" s="76" t="s">
        <v>26</v>
      </c>
      <c r="B11928" s="76" t="s">
        <v>1038</v>
      </c>
      <c r="C11928" s="84">
        <v>85.68</v>
      </c>
      <c r="D11928" s="84">
        <v>15.0</v>
      </c>
      <c r="E11928" s="84">
        <v>5.71</v>
      </c>
      <c r="F11928" s="76" t="s">
        <v>975</v>
      </c>
      <c r="G11928" s="83">
        <v>46121.0</v>
      </c>
      <c r="H11928" s="76" t="s">
        <v>1014</v>
      </c>
    </row>
    <row r="11929">
      <c r="A11929" s="76" t="s">
        <v>32</v>
      </c>
      <c r="B11929" s="76" t="s">
        <v>1038</v>
      </c>
      <c r="C11929" s="84">
        <v>48.43</v>
      </c>
      <c r="D11929" s="84">
        <v>8.0</v>
      </c>
      <c r="E11929" s="84">
        <v>6.05</v>
      </c>
      <c r="F11929" s="76" t="s">
        <v>975</v>
      </c>
      <c r="G11929" s="83">
        <v>46121.0</v>
      </c>
      <c r="H11929" s="76" t="s">
        <v>941</v>
      </c>
    </row>
    <row r="11930">
      <c r="A11930" s="76" t="s">
        <v>32</v>
      </c>
      <c r="B11930" s="76" t="s">
        <v>1038</v>
      </c>
      <c r="C11930" s="84">
        <v>4.19</v>
      </c>
      <c r="D11930" s="84">
        <v>0.0</v>
      </c>
      <c r="E11930" s="84">
        <v>0.0</v>
      </c>
      <c r="F11930" s="76" t="s">
        <v>975</v>
      </c>
      <c r="G11930" s="83">
        <v>46121.0</v>
      </c>
      <c r="H11930" s="76" t="s">
        <v>942</v>
      </c>
    </row>
    <row r="11931">
      <c r="A11931" s="76" t="s">
        <v>32</v>
      </c>
      <c r="B11931" s="76" t="s">
        <v>1038</v>
      </c>
      <c r="C11931" s="84">
        <v>44.82</v>
      </c>
      <c r="D11931" s="84">
        <v>10.0</v>
      </c>
      <c r="E11931" s="84">
        <v>4.48</v>
      </c>
      <c r="F11931" s="76" t="s">
        <v>975</v>
      </c>
      <c r="G11931" s="83">
        <v>46121.0</v>
      </c>
      <c r="H11931" s="76" t="s">
        <v>943</v>
      </c>
    </row>
    <row r="11932">
      <c r="A11932" s="76" t="s">
        <v>42</v>
      </c>
      <c r="B11932" s="76" t="s">
        <v>1038</v>
      </c>
      <c r="C11932" s="84">
        <v>8.38</v>
      </c>
      <c r="D11932" s="84">
        <v>0.0</v>
      </c>
      <c r="E11932" s="84">
        <v>0.0</v>
      </c>
      <c r="F11932" s="76" t="s">
        <v>975</v>
      </c>
      <c r="G11932" s="83">
        <v>46121.0</v>
      </c>
      <c r="H11932" s="76" t="s">
        <v>991</v>
      </c>
    </row>
    <row r="11933">
      <c r="A11933" s="76" t="s">
        <v>42</v>
      </c>
      <c r="B11933" s="76" t="s">
        <v>1038</v>
      </c>
      <c r="C11933" s="84">
        <v>15.38</v>
      </c>
      <c r="D11933" s="84">
        <v>3.0</v>
      </c>
      <c r="E11933" s="84">
        <v>5.13</v>
      </c>
      <c r="F11933" s="76" t="s">
        <v>975</v>
      </c>
      <c r="G11933" s="83">
        <v>46121.0</v>
      </c>
      <c r="H11933" s="76" t="s">
        <v>935</v>
      </c>
    </row>
    <row r="11934">
      <c r="A11934" s="76" t="s">
        <v>31</v>
      </c>
      <c r="B11934" s="76" t="s">
        <v>1038</v>
      </c>
      <c r="C11934" s="84">
        <v>23.53</v>
      </c>
      <c r="D11934" s="84">
        <v>3.0</v>
      </c>
      <c r="E11934" s="84">
        <v>7.84</v>
      </c>
      <c r="F11934" s="76" t="s">
        <v>975</v>
      </c>
      <c r="G11934" s="83">
        <v>46121.0</v>
      </c>
      <c r="H11934" s="76" t="s">
        <v>929</v>
      </c>
    </row>
    <row r="11935">
      <c r="A11935" s="76" t="s">
        <v>31</v>
      </c>
      <c r="B11935" s="76" t="s">
        <v>1038</v>
      </c>
      <c r="C11935" s="84">
        <v>413.34</v>
      </c>
      <c r="D11935" s="84">
        <v>84.0</v>
      </c>
      <c r="E11935" s="84">
        <v>4.92</v>
      </c>
      <c r="F11935" s="76" t="s">
        <v>975</v>
      </c>
      <c r="G11935" s="83">
        <v>46121.0</v>
      </c>
      <c r="H11935" s="76" t="s">
        <v>930</v>
      </c>
    </row>
    <row r="11936">
      <c r="A11936" s="76" t="s">
        <v>28</v>
      </c>
      <c r="B11936" s="76" t="s">
        <v>1038</v>
      </c>
      <c r="C11936" s="84">
        <v>2.99</v>
      </c>
      <c r="D11936" s="84">
        <v>1.0</v>
      </c>
      <c r="E11936" s="84">
        <v>2.99</v>
      </c>
      <c r="F11936" s="76" t="s">
        <v>975</v>
      </c>
      <c r="G11936" s="83">
        <v>46121.0</v>
      </c>
      <c r="H11936" s="76" t="s">
        <v>931</v>
      </c>
    </row>
    <row r="11937">
      <c r="A11937" s="76" t="s">
        <v>28</v>
      </c>
      <c r="B11937" s="76" t="s">
        <v>1038</v>
      </c>
      <c r="C11937" s="84">
        <v>4.74</v>
      </c>
      <c r="D11937" s="84">
        <v>1.0</v>
      </c>
      <c r="E11937" s="84">
        <v>4.74</v>
      </c>
      <c r="F11937" s="76" t="s">
        <v>975</v>
      </c>
      <c r="G11937" s="83">
        <v>46121.0</v>
      </c>
      <c r="H11937" s="76" t="s">
        <v>932</v>
      </c>
    </row>
    <row r="11938">
      <c r="A11938" s="76" t="s">
        <v>28</v>
      </c>
      <c r="B11938" s="76" t="s">
        <v>1038</v>
      </c>
      <c r="C11938" s="84">
        <v>86.54</v>
      </c>
      <c r="D11938" s="84">
        <v>10.0</v>
      </c>
      <c r="E11938" s="84">
        <v>8.65</v>
      </c>
      <c r="F11938" s="76" t="s">
        <v>975</v>
      </c>
      <c r="G11938" s="83">
        <v>46121.0</v>
      </c>
      <c r="H11938" s="76" t="s">
        <v>933</v>
      </c>
    </row>
    <row r="11939">
      <c r="A11939" s="76" t="s">
        <v>45</v>
      </c>
      <c r="B11939" s="76" t="s">
        <v>1038</v>
      </c>
      <c r="C11939" s="84">
        <v>0.39</v>
      </c>
      <c r="D11939" s="84">
        <v>0.0</v>
      </c>
      <c r="E11939" s="84">
        <v>0.0</v>
      </c>
      <c r="F11939" s="76" t="s">
        <v>950</v>
      </c>
      <c r="G11939" s="83">
        <v>46121.0</v>
      </c>
      <c r="H11939" s="76" t="s">
        <v>936</v>
      </c>
    </row>
    <row r="11940">
      <c r="A11940" s="76" t="s">
        <v>45</v>
      </c>
      <c r="B11940" s="76" t="s">
        <v>1038</v>
      </c>
      <c r="C11940" s="84">
        <v>4.09</v>
      </c>
      <c r="D11940" s="84">
        <v>0.0</v>
      </c>
      <c r="E11940" s="84">
        <v>0.0</v>
      </c>
      <c r="F11940" s="76" t="s">
        <v>950</v>
      </c>
      <c r="G11940" s="83">
        <v>46121.0</v>
      </c>
      <c r="H11940" s="76" t="s">
        <v>937</v>
      </c>
    </row>
    <row r="11941">
      <c r="A11941" s="76" t="s">
        <v>45</v>
      </c>
      <c r="B11941" s="76" t="s">
        <v>1038</v>
      </c>
      <c r="C11941" s="84">
        <v>1.0</v>
      </c>
      <c r="D11941" s="84">
        <v>0.0</v>
      </c>
      <c r="E11941" s="84">
        <v>0.0</v>
      </c>
      <c r="F11941" s="76" t="s">
        <v>950</v>
      </c>
      <c r="G11941" s="83">
        <v>46121.0</v>
      </c>
      <c r="H11941" s="76" t="s">
        <v>938</v>
      </c>
    </row>
    <row r="11942">
      <c r="A11942" s="76" t="s">
        <v>28</v>
      </c>
      <c r="B11942" s="76" t="s">
        <v>1038</v>
      </c>
      <c r="C11942" s="84">
        <v>1.42</v>
      </c>
      <c r="D11942" s="84">
        <v>1.0</v>
      </c>
      <c r="E11942" s="84">
        <v>1.42</v>
      </c>
      <c r="F11942" s="76" t="s">
        <v>950</v>
      </c>
      <c r="G11942" s="83">
        <v>46121.0</v>
      </c>
      <c r="H11942" s="76" t="s">
        <v>931</v>
      </c>
    </row>
    <row r="11943">
      <c r="A11943" s="76" t="s">
        <v>28</v>
      </c>
      <c r="B11943" s="76" t="s">
        <v>1038</v>
      </c>
      <c r="C11943" s="84">
        <v>1.97</v>
      </c>
      <c r="D11943" s="84">
        <v>0.0</v>
      </c>
      <c r="E11943" s="84">
        <v>0.0</v>
      </c>
      <c r="F11943" s="76" t="s">
        <v>950</v>
      </c>
      <c r="G11943" s="83">
        <v>46121.0</v>
      </c>
      <c r="H11943" s="76" t="s">
        <v>932</v>
      </c>
    </row>
    <row r="11944">
      <c r="A11944" s="76" t="s">
        <v>28</v>
      </c>
      <c r="B11944" s="76" t="s">
        <v>1038</v>
      </c>
      <c r="C11944" s="84">
        <v>25.56</v>
      </c>
      <c r="D11944" s="84">
        <v>3.0</v>
      </c>
      <c r="E11944" s="84">
        <v>8.52</v>
      </c>
      <c r="F11944" s="76" t="s">
        <v>950</v>
      </c>
      <c r="G11944" s="83">
        <v>46121.0</v>
      </c>
      <c r="H11944" s="76" t="s">
        <v>933</v>
      </c>
    </row>
    <row r="11945">
      <c r="A11945" s="76" t="s">
        <v>42</v>
      </c>
      <c r="B11945" s="76" t="s">
        <v>1038</v>
      </c>
      <c r="C11945" s="84">
        <v>1.27</v>
      </c>
      <c r="D11945" s="84">
        <v>0.0</v>
      </c>
      <c r="E11945" s="84">
        <v>0.0</v>
      </c>
      <c r="F11945" s="76" t="s">
        <v>950</v>
      </c>
      <c r="G11945" s="83">
        <v>46121.0</v>
      </c>
      <c r="H11945" s="76" t="s">
        <v>991</v>
      </c>
    </row>
    <row r="11946">
      <c r="A11946" s="76" t="s">
        <v>42</v>
      </c>
      <c r="B11946" s="76" t="s">
        <v>1038</v>
      </c>
      <c r="C11946" s="84">
        <v>3.17</v>
      </c>
      <c r="D11946" s="84">
        <v>0.0</v>
      </c>
      <c r="E11946" s="84">
        <v>0.0</v>
      </c>
      <c r="F11946" s="76" t="s">
        <v>950</v>
      </c>
      <c r="G11946" s="83">
        <v>46121.0</v>
      </c>
      <c r="H11946" s="76" t="s">
        <v>935</v>
      </c>
    </row>
    <row r="11947">
      <c r="A11947" s="76" t="s">
        <v>36</v>
      </c>
      <c r="B11947" s="76" t="s">
        <v>1038</v>
      </c>
      <c r="C11947" s="84">
        <v>16.35</v>
      </c>
      <c r="D11947" s="84">
        <v>5.0</v>
      </c>
      <c r="E11947" s="84">
        <v>3.27</v>
      </c>
      <c r="F11947" s="76" t="s">
        <v>950</v>
      </c>
      <c r="G11947" s="83">
        <v>46121.0</v>
      </c>
      <c r="H11947" s="76" t="s">
        <v>926</v>
      </c>
    </row>
    <row r="11948">
      <c r="A11948" s="76" t="s">
        <v>36</v>
      </c>
      <c r="B11948" s="76" t="s">
        <v>1038</v>
      </c>
      <c r="C11948" s="84">
        <v>1.35</v>
      </c>
      <c r="D11948" s="84">
        <v>1.0</v>
      </c>
      <c r="E11948" s="84">
        <v>1.35</v>
      </c>
      <c r="F11948" s="76" t="s">
        <v>950</v>
      </c>
      <c r="G11948" s="83">
        <v>46121.0</v>
      </c>
      <c r="H11948" s="76" t="s">
        <v>927</v>
      </c>
    </row>
    <row r="11949">
      <c r="A11949" s="76" t="s">
        <v>36</v>
      </c>
      <c r="B11949" s="76" t="s">
        <v>1038</v>
      </c>
      <c r="C11949" s="84">
        <v>4.09</v>
      </c>
      <c r="D11949" s="84">
        <v>0.0</v>
      </c>
      <c r="E11949" s="84">
        <v>0.0</v>
      </c>
      <c r="F11949" s="76" t="s">
        <v>950</v>
      </c>
      <c r="G11949" s="83">
        <v>46121.0</v>
      </c>
      <c r="H11949" s="76" t="s">
        <v>928</v>
      </c>
    </row>
    <row r="11950">
      <c r="A11950" s="76" t="s">
        <v>31</v>
      </c>
      <c r="B11950" s="76" t="s">
        <v>1038</v>
      </c>
      <c r="C11950" s="84">
        <v>13.81</v>
      </c>
      <c r="D11950" s="84">
        <v>0.0</v>
      </c>
      <c r="E11950" s="84">
        <v>0.0</v>
      </c>
      <c r="F11950" s="76" t="s">
        <v>950</v>
      </c>
      <c r="G11950" s="83">
        <v>46121.0</v>
      </c>
      <c r="H11950" s="76" t="s">
        <v>929</v>
      </c>
    </row>
    <row r="11951">
      <c r="A11951" s="76" t="s">
        <v>31</v>
      </c>
      <c r="B11951" s="76" t="s">
        <v>1038</v>
      </c>
      <c r="C11951" s="84">
        <v>101.63</v>
      </c>
      <c r="D11951" s="84">
        <v>15.0</v>
      </c>
      <c r="E11951" s="84">
        <v>6.78</v>
      </c>
      <c r="F11951" s="76" t="s">
        <v>950</v>
      </c>
      <c r="G11951" s="83">
        <v>46121.0</v>
      </c>
      <c r="H11951" s="76" t="s">
        <v>930</v>
      </c>
    </row>
    <row r="11952">
      <c r="A11952" s="76" t="s">
        <v>50</v>
      </c>
      <c r="B11952" s="76" t="s">
        <v>1038</v>
      </c>
      <c r="C11952" s="84">
        <v>2.79</v>
      </c>
      <c r="D11952" s="84">
        <v>0.0</v>
      </c>
      <c r="E11952" s="84">
        <v>0.0</v>
      </c>
      <c r="F11952" s="76" t="s">
        <v>950</v>
      </c>
      <c r="G11952" s="83">
        <v>46121.0</v>
      </c>
      <c r="H11952" s="76" t="s">
        <v>939</v>
      </c>
    </row>
    <row r="11953">
      <c r="A11953" s="76" t="s">
        <v>50</v>
      </c>
      <c r="B11953" s="76" t="s">
        <v>1038</v>
      </c>
      <c r="C11953" s="84">
        <v>2.18</v>
      </c>
      <c r="D11953" s="84">
        <v>0.0</v>
      </c>
      <c r="E11953" s="84">
        <v>0.0</v>
      </c>
      <c r="F11953" s="76" t="s">
        <v>950</v>
      </c>
      <c r="G11953" s="83">
        <v>46121.0</v>
      </c>
      <c r="H11953" s="76" t="s">
        <v>940</v>
      </c>
    </row>
    <row r="11954">
      <c r="A11954" s="76" t="s">
        <v>26</v>
      </c>
      <c r="B11954" s="76" t="s">
        <v>1038</v>
      </c>
      <c r="C11954" s="84">
        <v>1.81</v>
      </c>
      <c r="D11954" s="84">
        <v>0.0</v>
      </c>
      <c r="E11954" s="84">
        <v>0.0</v>
      </c>
      <c r="F11954" s="76" t="s">
        <v>950</v>
      </c>
      <c r="G11954" s="83">
        <v>46121.0</v>
      </c>
      <c r="H11954" s="76" t="s">
        <v>1012</v>
      </c>
    </row>
    <row r="11955">
      <c r="A11955" s="76" t="s">
        <v>26</v>
      </c>
      <c r="B11955" s="76" t="s">
        <v>1038</v>
      </c>
      <c r="C11955" s="84">
        <v>3.82</v>
      </c>
      <c r="D11955" s="84">
        <v>0.0</v>
      </c>
      <c r="E11955" s="84">
        <v>0.0</v>
      </c>
      <c r="F11955" s="76" t="s">
        <v>950</v>
      </c>
      <c r="G11955" s="83">
        <v>46121.0</v>
      </c>
      <c r="H11955" s="76" t="s">
        <v>1013</v>
      </c>
    </row>
    <row r="11956">
      <c r="A11956" s="76" t="s">
        <v>26</v>
      </c>
      <c r="B11956" s="76" t="s">
        <v>1038</v>
      </c>
      <c r="C11956" s="84">
        <v>29.73</v>
      </c>
      <c r="D11956" s="84">
        <v>3.0</v>
      </c>
      <c r="E11956" s="84">
        <v>9.91</v>
      </c>
      <c r="F11956" s="76" t="s">
        <v>950</v>
      </c>
      <c r="G11956" s="83">
        <v>46121.0</v>
      </c>
      <c r="H11956" s="76" t="s">
        <v>1014</v>
      </c>
    </row>
    <row r="11957">
      <c r="A11957" s="76" t="s">
        <v>944</v>
      </c>
      <c r="B11957" s="76" t="s">
        <v>1038</v>
      </c>
      <c r="C11957" s="84">
        <v>8.29</v>
      </c>
      <c r="D11957" s="84">
        <v>1.0</v>
      </c>
      <c r="E11957" s="84">
        <v>8.29</v>
      </c>
      <c r="F11957" s="76" t="s">
        <v>950</v>
      </c>
      <c r="G11957" s="83">
        <v>46121.0</v>
      </c>
      <c r="H11957" s="76" t="s">
        <v>945</v>
      </c>
    </row>
    <row r="11958">
      <c r="A11958" s="76" t="s">
        <v>944</v>
      </c>
      <c r="B11958" s="76" t="s">
        <v>1038</v>
      </c>
      <c r="C11958" s="84">
        <v>1.78</v>
      </c>
      <c r="D11958" s="84">
        <v>1.0</v>
      </c>
      <c r="E11958" s="84">
        <v>1.78</v>
      </c>
      <c r="F11958" s="76" t="s">
        <v>950</v>
      </c>
      <c r="G11958" s="83">
        <v>46121.0</v>
      </c>
      <c r="H11958" s="76" t="s">
        <v>946</v>
      </c>
    </row>
    <row r="11959">
      <c r="A11959" s="76" t="s">
        <v>944</v>
      </c>
      <c r="B11959" s="76" t="s">
        <v>1038</v>
      </c>
      <c r="C11959" s="84">
        <v>10.23</v>
      </c>
      <c r="D11959" s="84">
        <v>2.0</v>
      </c>
      <c r="E11959" s="84">
        <v>5.11</v>
      </c>
      <c r="F11959" s="76" t="s">
        <v>950</v>
      </c>
      <c r="G11959" s="83">
        <v>46121.0</v>
      </c>
      <c r="H11959" s="76" t="s">
        <v>947</v>
      </c>
    </row>
    <row r="11960">
      <c r="A11960" s="76" t="s">
        <v>32</v>
      </c>
      <c r="B11960" s="76" t="s">
        <v>1038</v>
      </c>
      <c r="C11960" s="84">
        <v>17.25</v>
      </c>
      <c r="D11960" s="84">
        <v>1.0</v>
      </c>
      <c r="E11960" s="84">
        <v>17.25</v>
      </c>
      <c r="F11960" s="76" t="s">
        <v>950</v>
      </c>
      <c r="G11960" s="83">
        <v>46121.0</v>
      </c>
      <c r="H11960" s="76" t="s">
        <v>941</v>
      </c>
    </row>
    <row r="11961">
      <c r="A11961" s="76" t="s">
        <v>32</v>
      </c>
      <c r="B11961" s="76" t="s">
        <v>1038</v>
      </c>
      <c r="C11961" s="84">
        <v>4.34</v>
      </c>
      <c r="D11961" s="84">
        <v>2.0</v>
      </c>
      <c r="E11961" s="84">
        <v>2.17</v>
      </c>
      <c r="F11961" s="76" t="s">
        <v>950</v>
      </c>
      <c r="G11961" s="83">
        <v>46121.0</v>
      </c>
      <c r="H11961" s="76" t="s">
        <v>942</v>
      </c>
    </row>
    <row r="11962">
      <c r="A11962" s="76" t="s">
        <v>32</v>
      </c>
      <c r="B11962" s="76" t="s">
        <v>1038</v>
      </c>
      <c r="C11962" s="84">
        <v>15.19</v>
      </c>
      <c r="D11962" s="84">
        <v>4.0</v>
      </c>
      <c r="E11962" s="84">
        <v>3.8</v>
      </c>
      <c r="F11962" s="76" t="s">
        <v>950</v>
      </c>
      <c r="G11962" s="83">
        <v>46121.0</v>
      </c>
      <c r="H11962" s="76" t="s">
        <v>943</v>
      </c>
    </row>
    <row r="11963">
      <c r="A11963" s="76" t="s">
        <v>31</v>
      </c>
      <c r="B11963" s="76" t="s">
        <v>1038</v>
      </c>
      <c r="C11963" s="84">
        <v>6.98</v>
      </c>
      <c r="D11963" s="84">
        <v>0.0</v>
      </c>
      <c r="E11963" s="84">
        <v>0.0</v>
      </c>
      <c r="F11963" s="76" t="s">
        <v>974</v>
      </c>
      <c r="G11963" s="83">
        <v>46121.0</v>
      </c>
      <c r="H11963" s="76" t="s">
        <v>929</v>
      </c>
    </row>
    <row r="11964">
      <c r="A11964" s="76" t="s">
        <v>31</v>
      </c>
      <c r="B11964" s="76" t="s">
        <v>1038</v>
      </c>
      <c r="C11964" s="84">
        <v>33.08</v>
      </c>
      <c r="D11964" s="84">
        <v>5.0</v>
      </c>
      <c r="E11964" s="84">
        <v>6.62</v>
      </c>
      <c r="F11964" s="76" t="s">
        <v>974</v>
      </c>
      <c r="G11964" s="83">
        <v>46121.0</v>
      </c>
      <c r="H11964" s="76" t="s">
        <v>930</v>
      </c>
    </row>
    <row r="11965">
      <c r="A11965" s="76" t="s">
        <v>45</v>
      </c>
      <c r="B11965" s="76" t="s">
        <v>1038</v>
      </c>
      <c r="C11965" s="84">
        <v>0.44</v>
      </c>
      <c r="D11965" s="84">
        <v>0.0</v>
      </c>
      <c r="E11965" s="84">
        <v>0.0</v>
      </c>
      <c r="F11965" s="76" t="s">
        <v>974</v>
      </c>
      <c r="G11965" s="83">
        <v>46121.0</v>
      </c>
      <c r="H11965" s="76" t="s">
        <v>936</v>
      </c>
    </row>
    <row r="11966">
      <c r="A11966" s="76" t="s">
        <v>45</v>
      </c>
      <c r="B11966" s="76" t="s">
        <v>1038</v>
      </c>
      <c r="C11966" s="84">
        <v>5.17</v>
      </c>
      <c r="D11966" s="84">
        <v>2.0</v>
      </c>
      <c r="E11966" s="84">
        <v>2.58</v>
      </c>
      <c r="F11966" s="76" t="s">
        <v>974</v>
      </c>
      <c r="G11966" s="83">
        <v>46121.0</v>
      </c>
      <c r="H11966" s="76" t="s">
        <v>937</v>
      </c>
    </row>
    <row r="11967">
      <c r="A11967" s="76" t="s">
        <v>45</v>
      </c>
      <c r="B11967" s="76" t="s">
        <v>1038</v>
      </c>
      <c r="C11967" s="84">
        <v>0.51</v>
      </c>
      <c r="D11967" s="84">
        <v>0.0</v>
      </c>
      <c r="E11967" s="84">
        <v>0.0</v>
      </c>
      <c r="F11967" s="76" t="s">
        <v>974</v>
      </c>
      <c r="G11967" s="83">
        <v>46121.0</v>
      </c>
      <c r="H11967" s="76" t="s">
        <v>938</v>
      </c>
    </row>
    <row r="11968">
      <c r="A11968" s="76" t="s">
        <v>42</v>
      </c>
      <c r="B11968" s="76" t="s">
        <v>1038</v>
      </c>
      <c r="C11968" s="84">
        <v>1.62</v>
      </c>
      <c r="D11968" s="84">
        <v>0.0</v>
      </c>
      <c r="E11968" s="84">
        <v>0.0</v>
      </c>
      <c r="F11968" s="76" t="s">
        <v>974</v>
      </c>
      <c r="G11968" s="83">
        <v>46121.0</v>
      </c>
      <c r="H11968" s="76" t="s">
        <v>991</v>
      </c>
    </row>
    <row r="11969">
      <c r="A11969" s="76" t="s">
        <v>42</v>
      </c>
      <c r="B11969" s="76" t="s">
        <v>1038</v>
      </c>
      <c r="C11969" s="84">
        <v>1.22</v>
      </c>
      <c r="D11969" s="84">
        <v>0.0</v>
      </c>
      <c r="E11969" s="84">
        <v>0.0</v>
      </c>
      <c r="F11969" s="76" t="s">
        <v>974</v>
      </c>
      <c r="G11969" s="83">
        <v>46121.0</v>
      </c>
      <c r="H11969" s="76" t="s">
        <v>935</v>
      </c>
    </row>
    <row r="11970">
      <c r="A11970" s="76" t="s">
        <v>28</v>
      </c>
      <c r="B11970" s="76" t="s">
        <v>1038</v>
      </c>
      <c r="C11970" s="84">
        <v>0.6</v>
      </c>
      <c r="D11970" s="84">
        <v>0.0</v>
      </c>
      <c r="E11970" s="84">
        <v>0.0</v>
      </c>
      <c r="F11970" s="76" t="s">
        <v>974</v>
      </c>
      <c r="G11970" s="83">
        <v>46121.0</v>
      </c>
      <c r="H11970" s="76" t="s">
        <v>931</v>
      </c>
    </row>
    <row r="11971">
      <c r="A11971" s="76" t="s">
        <v>28</v>
      </c>
      <c r="B11971" s="76" t="s">
        <v>1038</v>
      </c>
      <c r="C11971" s="84">
        <v>0.74</v>
      </c>
      <c r="D11971" s="84">
        <v>0.0</v>
      </c>
      <c r="E11971" s="84">
        <v>0.0</v>
      </c>
      <c r="F11971" s="76" t="s">
        <v>974</v>
      </c>
      <c r="G11971" s="83">
        <v>46121.0</v>
      </c>
      <c r="H11971" s="76" t="s">
        <v>932</v>
      </c>
    </row>
    <row r="11972">
      <c r="A11972" s="76" t="s">
        <v>28</v>
      </c>
      <c r="B11972" s="76" t="s">
        <v>1038</v>
      </c>
      <c r="C11972" s="84">
        <v>18.26</v>
      </c>
      <c r="D11972" s="84">
        <v>3.0</v>
      </c>
      <c r="E11972" s="84">
        <v>6.09</v>
      </c>
      <c r="F11972" s="76" t="s">
        <v>974</v>
      </c>
      <c r="G11972" s="83">
        <v>46121.0</v>
      </c>
      <c r="H11972" s="76" t="s">
        <v>933</v>
      </c>
    </row>
    <row r="11973">
      <c r="A11973" s="76" t="s">
        <v>50</v>
      </c>
      <c r="B11973" s="76" t="s">
        <v>1038</v>
      </c>
      <c r="C11973" s="84">
        <v>1.29</v>
      </c>
      <c r="D11973" s="84">
        <v>0.0</v>
      </c>
      <c r="E11973" s="84">
        <v>0.0</v>
      </c>
      <c r="F11973" s="76" t="s">
        <v>974</v>
      </c>
      <c r="G11973" s="83">
        <v>46121.0</v>
      </c>
      <c r="H11973" s="76" t="s">
        <v>939</v>
      </c>
    </row>
    <row r="11974">
      <c r="A11974" s="76" t="s">
        <v>50</v>
      </c>
      <c r="B11974" s="76" t="s">
        <v>1038</v>
      </c>
      <c r="C11974" s="84">
        <v>0.66</v>
      </c>
      <c r="D11974" s="84">
        <v>0.0</v>
      </c>
      <c r="E11974" s="84">
        <v>0.0</v>
      </c>
      <c r="F11974" s="76" t="s">
        <v>974</v>
      </c>
      <c r="G11974" s="83">
        <v>46121.0</v>
      </c>
      <c r="H11974" s="76" t="s">
        <v>940</v>
      </c>
    </row>
    <row r="11975">
      <c r="A11975" s="76" t="s">
        <v>26</v>
      </c>
      <c r="B11975" s="76" t="s">
        <v>1038</v>
      </c>
      <c r="C11975" s="84">
        <v>0.47</v>
      </c>
      <c r="D11975" s="84">
        <v>0.0</v>
      </c>
      <c r="E11975" s="84">
        <v>0.0</v>
      </c>
      <c r="F11975" s="76" t="s">
        <v>974</v>
      </c>
      <c r="G11975" s="83">
        <v>46121.0</v>
      </c>
      <c r="H11975" s="76" t="s">
        <v>1012</v>
      </c>
    </row>
    <row r="11976">
      <c r="A11976" s="76" t="s">
        <v>26</v>
      </c>
      <c r="B11976" s="76" t="s">
        <v>1038</v>
      </c>
      <c r="C11976" s="84">
        <v>1.41</v>
      </c>
      <c r="D11976" s="84">
        <v>0.0</v>
      </c>
      <c r="E11976" s="84">
        <v>0.0</v>
      </c>
      <c r="F11976" s="76" t="s">
        <v>974</v>
      </c>
      <c r="G11976" s="83">
        <v>46121.0</v>
      </c>
      <c r="H11976" s="76" t="s">
        <v>1013</v>
      </c>
    </row>
    <row r="11977">
      <c r="A11977" s="76" t="s">
        <v>26</v>
      </c>
      <c r="B11977" s="76" t="s">
        <v>1038</v>
      </c>
      <c r="C11977" s="84">
        <v>12.28</v>
      </c>
      <c r="D11977" s="84">
        <v>2.0</v>
      </c>
      <c r="E11977" s="84">
        <v>6.14</v>
      </c>
      <c r="F11977" s="76" t="s">
        <v>974</v>
      </c>
      <c r="G11977" s="83">
        <v>46121.0</v>
      </c>
      <c r="H11977" s="76" t="s">
        <v>1014</v>
      </c>
    </row>
    <row r="11978">
      <c r="A11978" s="76" t="s">
        <v>944</v>
      </c>
      <c r="B11978" s="76" t="s">
        <v>1038</v>
      </c>
      <c r="C11978" s="84">
        <v>2.48</v>
      </c>
      <c r="D11978" s="84">
        <v>0.0</v>
      </c>
      <c r="E11978" s="84">
        <v>0.0</v>
      </c>
      <c r="F11978" s="76" t="s">
        <v>974</v>
      </c>
      <c r="G11978" s="83">
        <v>46121.0</v>
      </c>
      <c r="H11978" s="76" t="s">
        <v>945</v>
      </c>
    </row>
    <row r="11979">
      <c r="A11979" s="76" t="s">
        <v>944</v>
      </c>
      <c r="B11979" s="76" t="s">
        <v>1038</v>
      </c>
      <c r="C11979" s="84">
        <v>0.89</v>
      </c>
      <c r="D11979" s="84">
        <v>0.0</v>
      </c>
      <c r="E11979" s="84">
        <v>0.0</v>
      </c>
      <c r="F11979" s="76" t="s">
        <v>974</v>
      </c>
      <c r="G11979" s="83">
        <v>46121.0</v>
      </c>
      <c r="H11979" s="76" t="s">
        <v>946</v>
      </c>
    </row>
    <row r="11980">
      <c r="A11980" s="76" t="s">
        <v>944</v>
      </c>
      <c r="B11980" s="76" t="s">
        <v>1038</v>
      </c>
      <c r="C11980" s="84">
        <v>3.74</v>
      </c>
      <c r="D11980" s="84">
        <v>0.0</v>
      </c>
      <c r="E11980" s="84">
        <v>0.0</v>
      </c>
      <c r="F11980" s="76" t="s">
        <v>974</v>
      </c>
      <c r="G11980" s="83">
        <v>46121.0</v>
      </c>
      <c r="H11980" s="76" t="s">
        <v>947</v>
      </c>
    </row>
    <row r="11981">
      <c r="A11981" s="76" t="s">
        <v>36</v>
      </c>
      <c r="B11981" s="76" t="s">
        <v>1038</v>
      </c>
      <c r="C11981" s="84">
        <v>4.1</v>
      </c>
      <c r="D11981" s="84">
        <v>0.0</v>
      </c>
      <c r="E11981" s="84">
        <v>0.0</v>
      </c>
      <c r="F11981" s="76" t="s">
        <v>974</v>
      </c>
      <c r="G11981" s="83">
        <v>46121.0</v>
      </c>
      <c r="H11981" s="76" t="s">
        <v>926</v>
      </c>
    </row>
    <row r="11982">
      <c r="A11982" s="76" t="s">
        <v>36</v>
      </c>
      <c r="B11982" s="76" t="s">
        <v>1038</v>
      </c>
      <c r="C11982" s="84">
        <v>0.36</v>
      </c>
      <c r="D11982" s="84">
        <v>0.0</v>
      </c>
      <c r="E11982" s="84">
        <v>0.0</v>
      </c>
      <c r="F11982" s="76" t="s">
        <v>974</v>
      </c>
      <c r="G11982" s="83">
        <v>46121.0</v>
      </c>
      <c r="H11982" s="76" t="s">
        <v>927</v>
      </c>
    </row>
    <row r="11983">
      <c r="A11983" s="76" t="s">
        <v>36</v>
      </c>
      <c r="B11983" s="76" t="s">
        <v>1038</v>
      </c>
      <c r="C11983" s="84">
        <v>1.43</v>
      </c>
      <c r="D11983" s="84">
        <v>0.0</v>
      </c>
      <c r="E11983" s="84">
        <v>0.0</v>
      </c>
      <c r="F11983" s="76" t="s">
        <v>974</v>
      </c>
      <c r="G11983" s="83">
        <v>46121.0</v>
      </c>
      <c r="H11983" s="76" t="s">
        <v>928</v>
      </c>
    </row>
    <row r="11984">
      <c r="A11984" s="76" t="s">
        <v>32</v>
      </c>
      <c r="B11984" s="76" t="s">
        <v>1038</v>
      </c>
      <c r="C11984" s="84">
        <v>8.14</v>
      </c>
      <c r="D11984" s="84">
        <v>1.0</v>
      </c>
      <c r="E11984" s="84">
        <v>8.14</v>
      </c>
      <c r="F11984" s="76" t="s">
        <v>974</v>
      </c>
      <c r="G11984" s="83">
        <v>46121.0</v>
      </c>
      <c r="H11984" s="76" t="s">
        <v>941</v>
      </c>
    </row>
    <row r="11985">
      <c r="A11985" s="76" t="s">
        <v>32</v>
      </c>
      <c r="B11985" s="76" t="s">
        <v>1038</v>
      </c>
      <c r="C11985" s="84">
        <v>0.7</v>
      </c>
      <c r="D11985" s="84">
        <v>0.0</v>
      </c>
      <c r="E11985" s="84">
        <v>0.0</v>
      </c>
      <c r="F11985" s="76" t="s">
        <v>974</v>
      </c>
      <c r="G11985" s="83">
        <v>46121.0</v>
      </c>
      <c r="H11985" s="76" t="s">
        <v>942</v>
      </c>
    </row>
    <row r="11986">
      <c r="A11986" s="76" t="s">
        <v>32</v>
      </c>
      <c r="B11986" s="76" t="s">
        <v>1038</v>
      </c>
      <c r="C11986" s="84">
        <v>4.57</v>
      </c>
      <c r="D11986" s="84">
        <v>0.0</v>
      </c>
      <c r="E11986" s="84">
        <v>0.0</v>
      </c>
      <c r="F11986" s="76" t="s">
        <v>974</v>
      </c>
      <c r="G11986" s="83">
        <v>46121.0</v>
      </c>
      <c r="H11986" s="76" t="s">
        <v>943</v>
      </c>
    </row>
    <row r="11987">
      <c r="A11987" s="76" t="s">
        <v>36</v>
      </c>
      <c r="B11987" s="76" t="s">
        <v>1006</v>
      </c>
      <c r="C11987" s="84">
        <v>0.55</v>
      </c>
      <c r="D11987" s="84">
        <v>0.0</v>
      </c>
      <c r="E11987" s="84">
        <v>0.0</v>
      </c>
      <c r="F11987" s="76" t="s">
        <v>990</v>
      </c>
      <c r="G11987" s="83">
        <v>46121.0</v>
      </c>
      <c r="H11987" s="76" t="s">
        <v>926</v>
      </c>
    </row>
    <row r="11988">
      <c r="A11988" s="76" t="s">
        <v>36</v>
      </c>
      <c r="B11988" s="76" t="s">
        <v>1006</v>
      </c>
      <c r="C11988" s="84">
        <v>0.04</v>
      </c>
      <c r="D11988" s="84">
        <v>0.0</v>
      </c>
      <c r="E11988" s="84">
        <v>0.0</v>
      </c>
      <c r="F11988" s="76" t="s">
        <v>990</v>
      </c>
      <c r="G11988" s="83">
        <v>46121.0</v>
      </c>
      <c r="H11988" s="76" t="s">
        <v>927</v>
      </c>
    </row>
    <row r="11989">
      <c r="A11989" s="76" t="s">
        <v>36</v>
      </c>
      <c r="B11989" s="76" t="s">
        <v>1006</v>
      </c>
      <c r="C11989" s="84">
        <v>0.09</v>
      </c>
      <c r="D11989" s="84">
        <v>0.0</v>
      </c>
      <c r="E11989" s="84">
        <v>0.0</v>
      </c>
      <c r="F11989" s="76" t="s">
        <v>990</v>
      </c>
      <c r="G11989" s="83">
        <v>46121.0</v>
      </c>
      <c r="H11989" s="76" t="s">
        <v>928</v>
      </c>
    </row>
    <row r="11990">
      <c r="A11990" s="76" t="s">
        <v>31</v>
      </c>
      <c r="B11990" s="76" t="s">
        <v>1006</v>
      </c>
      <c r="C11990" s="84">
        <v>0.5</v>
      </c>
      <c r="D11990" s="84">
        <v>0.0</v>
      </c>
      <c r="E11990" s="84">
        <v>0.0</v>
      </c>
      <c r="F11990" s="76" t="s">
        <v>990</v>
      </c>
      <c r="G11990" s="83">
        <v>46121.0</v>
      </c>
      <c r="H11990" s="76" t="s">
        <v>929</v>
      </c>
    </row>
    <row r="11991">
      <c r="A11991" s="76" t="s">
        <v>31</v>
      </c>
      <c r="B11991" s="76" t="s">
        <v>1006</v>
      </c>
      <c r="C11991" s="84">
        <v>4.74</v>
      </c>
      <c r="D11991" s="84">
        <v>0.0</v>
      </c>
      <c r="E11991" s="84">
        <v>0.0</v>
      </c>
      <c r="F11991" s="76" t="s">
        <v>990</v>
      </c>
      <c r="G11991" s="83">
        <v>46121.0</v>
      </c>
      <c r="H11991" s="76" t="s">
        <v>930</v>
      </c>
    </row>
    <row r="11992">
      <c r="A11992" s="76" t="s">
        <v>28</v>
      </c>
      <c r="B11992" s="76" t="s">
        <v>1006</v>
      </c>
      <c r="C11992" s="84">
        <v>0.06</v>
      </c>
      <c r="D11992" s="84">
        <v>0.0</v>
      </c>
      <c r="E11992" s="84">
        <v>0.0</v>
      </c>
      <c r="F11992" s="76" t="s">
        <v>990</v>
      </c>
      <c r="G11992" s="83">
        <v>46121.0</v>
      </c>
      <c r="H11992" s="76" t="s">
        <v>931</v>
      </c>
    </row>
    <row r="11993">
      <c r="A11993" s="76" t="s">
        <v>28</v>
      </c>
      <c r="B11993" s="76" t="s">
        <v>1006</v>
      </c>
      <c r="C11993" s="84">
        <v>0.05</v>
      </c>
      <c r="D11993" s="84">
        <v>0.0</v>
      </c>
      <c r="E11993" s="84">
        <v>0.0</v>
      </c>
      <c r="F11993" s="76" t="s">
        <v>990</v>
      </c>
      <c r="G11993" s="83">
        <v>46121.0</v>
      </c>
      <c r="H11993" s="76" t="s">
        <v>932</v>
      </c>
    </row>
    <row r="11994">
      <c r="A11994" s="76" t="s">
        <v>28</v>
      </c>
      <c r="B11994" s="76" t="s">
        <v>1006</v>
      </c>
      <c r="C11994" s="84">
        <v>0.65</v>
      </c>
      <c r="D11994" s="84">
        <v>0.0</v>
      </c>
      <c r="E11994" s="84">
        <v>0.0</v>
      </c>
      <c r="F11994" s="76" t="s">
        <v>990</v>
      </c>
      <c r="G11994" s="83">
        <v>46121.0</v>
      </c>
      <c r="H11994" s="76" t="s">
        <v>933</v>
      </c>
    </row>
    <row r="11995">
      <c r="A11995" s="76" t="s">
        <v>45</v>
      </c>
      <c r="B11995" s="76" t="s">
        <v>1006</v>
      </c>
      <c r="C11995" s="84">
        <v>0.06</v>
      </c>
      <c r="D11995" s="84">
        <v>0.0</v>
      </c>
      <c r="E11995" s="84">
        <v>0.0</v>
      </c>
      <c r="F11995" s="76" t="s">
        <v>990</v>
      </c>
      <c r="G11995" s="83">
        <v>46121.0</v>
      </c>
      <c r="H11995" s="76" t="s">
        <v>936</v>
      </c>
    </row>
    <row r="11996">
      <c r="A11996" s="76" t="s">
        <v>45</v>
      </c>
      <c r="B11996" s="76" t="s">
        <v>1006</v>
      </c>
      <c r="C11996" s="84">
        <v>0.19</v>
      </c>
      <c r="D11996" s="84">
        <v>0.0</v>
      </c>
      <c r="E11996" s="84">
        <v>0.0</v>
      </c>
      <c r="F11996" s="76" t="s">
        <v>990</v>
      </c>
      <c r="G11996" s="83">
        <v>46121.0</v>
      </c>
      <c r="H11996" s="76" t="s">
        <v>937</v>
      </c>
    </row>
    <row r="11997">
      <c r="A11997" s="76" t="s">
        <v>45</v>
      </c>
      <c r="B11997" s="76" t="s">
        <v>1006</v>
      </c>
      <c r="C11997" s="84">
        <v>0.08</v>
      </c>
      <c r="D11997" s="84">
        <v>0.0</v>
      </c>
      <c r="E11997" s="84">
        <v>0.0</v>
      </c>
      <c r="F11997" s="76" t="s">
        <v>990</v>
      </c>
      <c r="G11997" s="83">
        <v>46121.0</v>
      </c>
      <c r="H11997" s="76" t="s">
        <v>938</v>
      </c>
    </row>
    <row r="11998">
      <c r="A11998" s="76" t="s">
        <v>32</v>
      </c>
      <c r="B11998" s="76" t="s">
        <v>1006</v>
      </c>
      <c r="C11998" s="84">
        <v>0.56</v>
      </c>
      <c r="D11998" s="84">
        <v>0.0</v>
      </c>
      <c r="E11998" s="84">
        <v>0.0</v>
      </c>
      <c r="F11998" s="76" t="s">
        <v>990</v>
      </c>
      <c r="G11998" s="83">
        <v>46121.0</v>
      </c>
      <c r="H11998" s="76" t="s">
        <v>941</v>
      </c>
    </row>
    <row r="11999">
      <c r="A11999" s="76" t="s">
        <v>32</v>
      </c>
      <c r="B11999" s="76" t="s">
        <v>1006</v>
      </c>
      <c r="C11999" s="84">
        <v>0.08</v>
      </c>
      <c r="D11999" s="84">
        <v>0.0</v>
      </c>
      <c r="E11999" s="84">
        <v>0.0</v>
      </c>
      <c r="F11999" s="76" t="s">
        <v>990</v>
      </c>
      <c r="G11999" s="83">
        <v>46121.0</v>
      </c>
      <c r="H11999" s="76" t="s">
        <v>942</v>
      </c>
    </row>
    <row r="12000">
      <c r="A12000" s="76" t="s">
        <v>32</v>
      </c>
      <c r="B12000" s="76" t="s">
        <v>1006</v>
      </c>
      <c r="C12000" s="84">
        <v>1.65</v>
      </c>
      <c r="D12000" s="84">
        <v>0.0</v>
      </c>
      <c r="E12000" s="84">
        <v>0.0</v>
      </c>
      <c r="F12000" s="76" t="s">
        <v>990</v>
      </c>
      <c r="G12000" s="83">
        <v>46121.0</v>
      </c>
      <c r="H12000" s="76" t="s">
        <v>943</v>
      </c>
    </row>
    <row r="12001">
      <c r="A12001" s="76" t="s">
        <v>944</v>
      </c>
      <c r="B12001" s="76" t="s">
        <v>1006</v>
      </c>
      <c r="C12001" s="84">
        <v>0.57</v>
      </c>
      <c r="D12001" s="84">
        <v>0.0</v>
      </c>
      <c r="E12001" s="84">
        <v>0.0</v>
      </c>
      <c r="F12001" s="76" t="s">
        <v>990</v>
      </c>
      <c r="G12001" s="83">
        <v>46121.0</v>
      </c>
      <c r="H12001" s="76" t="s">
        <v>945</v>
      </c>
    </row>
    <row r="12002">
      <c r="A12002" s="76" t="s">
        <v>944</v>
      </c>
      <c r="B12002" s="76" t="s">
        <v>1006</v>
      </c>
      <c r="C12002" s="84">
        <v>0.09</v>
      </c>
      <c r="D12002" s="84">
        <v>0.0</v>
      </c>
      <c r="E12002" s="84">
        <v>0.0</v>
      </c>
      <c r="F12002" s="76" t="s">
        <v>990</v>
      </c>
      <c r="G12002" s="83">
        <v>46121.0</v>
      </c>
      <c r="H12002" s="76" t="s">
        <v>946</v>
      </c>
    </row>
    <row r="12003">
      <c r="A12003" s="76" t="s">
        <v>944</v>
      </c>
      <c r="B12003" s="76" t="s">
        <v>1006</v>
      </c>
      <c r="C12003" s="84">
        <v>0.3</v>
      </c>
      <c r="D12003" s="84">
        <v>0.0</v>
      </c>
      <c r="E12003" s="84">
        <v>0.0</v>
      </c>
      <c r="F12003" s="76" t="s">
        <v>990</v>
      </c>
      <c r="G12003" s="83">
        <v>46121.0</v>
      </c>
      <c r="H12003" s="76" t="s">
        <v>947</v>
      </c>
    </row>
    <row r="12004">
      <c r="A12004" s="76" t="s">
        <v>26</v>
      </c>
      <c r="B12004" s="76" t="s">
        <v>1006</v>
      </c>
      <c r="C12004" s="84">
        <v>0.06</v>
      </c>
      <c r="D12004" s="84">
        <v>0.0</v>
      </c>
      <c r="E12004" s="84">
        <v>0.0</v>
      </c>
      <c r="F12004" s="76" t="s">
        <v>990</v>
      </c>
      <c r="G12004" s="83">
        <v>46121.0</v>
      </c>
      <c r="H12004" s="76" t="s">
        <v>1012</v>
      </c>
    </row>
    <row r="12005">
      <c r="A12005" s="76" t="s">
        <v>26</v>
      </c>
      <c r="B12005" s="76" t="s">
        <v>1006</v>
      </c>
      <c r="C12005" s="84">
        <v>0.27</v>
      </c>
      <c r="D12005" s="84">
        <v>0.0</v>
      </c>
      <c r="E12005" s="84">
        <v>0.0</v>
      </c>
      <c r="F12005" s="76" t="s">
        <v>990</v>
      </c>
      <c r="G12005" s="83">
        <v>46121.0</v>
      </c>
      <c r="H12005" s="76" t="s">
        <v>1013</v>
      </c>
    </row>
    <row r="12006">
      <c r="A12006" s="76" t="s">
        <v>26</v>
      </c>
      <c r="B12006" s="76" t="s">
        <v>1006</v>
      </c>
      <c r="C12006" s="84">
        <v>0.97</v>
      </c>
      <c r="D12006" s="84">
        <v>0.0</v>
      </c>
      <c r="E12006" s="84">
        <v>0.0</v>
      </c>
      <c r="F12006" s="76" t="s">
        <v>990</v>
      </c>
      <c r="G12006" s="83">
        <v>46121.0</v>
      </c>
      <c r="H12006" s="76" t="s">
        <v>1014</v>
      </c>
    </row>
    <row r="12007">
      <c r="A12007" s="76" t="s">
        <v>36</v>
      </c>
      <c r="B12007" s="76" t="s">
        <v>1006</v>
      </c>
      <c r="C12007" s="84">
        <v>0.07</v>
      </c>
      <c r="D12007" s="84">
        <v>0.0</v>
      </c>
      <c r="E12007" s="84">
        <v>0.0</v>
      </c>
      <c r="F12007" s="76" t="s">
        <v>993</v>
      </c>
      <c r="G12007" s="83">
        <v>46121.0</v>
      </c>
      <c r="H12007" s="76" t="s">
        <v>926</v>
      </c>
    </row>
    <row r="12008">
      <c r="A12008" s="76" t="s">
        <v>36</v>
      </c>
      <c r="B12008" s="76" t="s">
        <v>1006</v>
      </c>
      <c r="C12008" s="84">
        <v>0.02</v>
      </c>
      <c r="D12008" s="84">
        <v>0.0</v>
      </c>
      <c r="E12008" s="84">
        <v>0.0</v>
      </c>
      <c r="F12008" s="76" t="s">
        <v>993</v>
      </c>
      <c r="G12008" s="83">
        <v>46121.0</v>
      </c>
      <c r="H12008" s="76" t="s">
        <v>927</v>
      </c>
    </row>
    <row r="12009">
      <c r="A12009" s="76" t="s">
        <v>36</v>
      </c>
      <c r="B12009" s="76" t="s">
        <v>1006</v>
      </c>
      <c r="C12009" s="84">
        <v>0.07</v>
      </c>
      <c r="D12009" s="84">
        <v>0.0</v>
      </c>
      <c r="E12009" s="84">
        <v>0.0</v>
      </c>
      <c r="F12009" s="76" t="s">
        <v>993</v>
      </c>
      <c r="G12009" s="83">
        <v>46121.0</v>
      </c>
      <c r="H12009" s="76" t="s">
        <v>928</v>
      </c>
    </row>
    <row r="12010">
      <c r="A12010" s="76" t="s">
        <v>31</v>
      </c>
      <c r="B12010" s="76" t="s">
        <v>1006</v>
      </c>
      <c r="C12010" s="84">
        <v>0.21</v>
      </c>
      <c r="D12010" s="84">
        <v>0.0</v>
      </c>
      <c r="E12010" s="84">
        <v>0.0</v>
      </c>
      <c r="F12010" s="76" t="s">
        <v>993</v>
      </c>
      <c r="G12010" s="83">
        <v>46121.0</v>
      </c>
      <c r="H12010" s="76" t="s">
        <v>929</v>
      </c>
    </row>
    <row r="12011">
      <c r="A12011" s="76" t="s">
        <v>31</v>
      </c>
      <c r="B12011" s="76" t="s">
        <v>1006</v>
      </c>
      <c r="C12011" s="84">
        <v>1.84</v>
      </c>
      <c r="D12011" s="84">
        <v>0.0</v>
      </c>
      <c r="E12011" s="84">
        <v>0.0</v>
      </c>
      <c r="F12011" s="76" t="s">
        <v>993</v>
      </c>
      <c r="G12011" s="83">
        <v>46121.0</v>
      </c>
      <c r="H12011" s="76" t="s">
        <v>930</v>
      </c>
    </row>
    <row r="12012">
      <c r="A12012" s="76" t="s">
        <v>28</v>
      </c>
      <c r="B12012" s="76" t="s">
        <v>1006</v>
      </c>
      <c r="C12012" s="84">
        <v>0.04</v>
      </c>
      <c r="D12012" s="84">
        <v>0.0</v>
      </c>
      <c r="E12012" s="84">
        <v>0.0</v>
      </c>
      <c r="F12012" s="76" t="s">
        <v>993</v>
      </c>
      <c r="G12012" s="83">
        <v>46121.0</v>
      </c>
      <c r="H12012" s="76" t="s">
        <v>931</v>
      </c>
    </row>
    <row r="12013">
      <c r="A12013" s="76" t="s">
        <v>28</v>
      </c>
      <c r="B12013" s="76" t="s">
        <v>1006</v>
      </c>
      <c r="C12013" s="84">
        <v>0.02</v>
      </c>
      <c r="D12013" s="84">
        <v>0.0</v>
      </c>
      <c r="E12013" s="84">
        <v>0.0</v>
      </c>
      <c r="F12013" s="76" t="s">
        <v>993</v>
      </c>
      <c r="G12013" s="83">
        <v>46121.0</v>
      </c>
      <c r="H12013" s="76" t="s">
        <v>932</v>
      </c>
    </row>
    <row r="12014">
      <c r="A12014" s="76" t="s">
        <v>28</v>
      </c>
      <c r="B12014" s="76" t="s">
        <v>1006</v>
      </c>
      <c r="C12014" s="84">
        <v>0.21</v>
      </c>
      <c r="D12014" s="84">
        <v>0.0</v>
      </c>
      <c r="E12014" s="84">
        <v>0.0</v>
      </c>
      <c r="F12014" s="76" t="s">
        <v>993</v>
      </c>
      <c r="G12014" s="83">
        <v>46121.0</v>
      </c>
      <c r="H12014" s="76" t="s">
        <v>933</v>
      </c>
    </row>
    <row r="12015">
      <c r="A12015" s="76" t="s">
        <v>45</v>
      </c>
      <c r="B12015" s="76" t="s">
        <v>1006</v>
      </c>
      <c r="C12015" s="84">
        <v>0.02</v>
      </c>
      <c r="D12015" s="84">
        <v>0.0</v>
      </c>
      <c r="E12015" s="84">
        <v>0.0</v>
      </c>
      <c r="F12015" s="76" t="s">
        <v>993</v>
      </c>
      <c r="G12015" s="83">
        <v>46121.0</v>
      </c>
      <c r="H12015" s="76" t="s">
        <v>936</v>
      </c>
    </row>
    <row r="12016">
      <c r="A12016" s="76" t="s">
        <v>45</v>
      </c>
      <c r="B12016" s="76" t="s">
        <v>1006</v>
      </c>
      <c r="C12016" s="84">
        <v>0.07</v>
      </c>
      <c r="D12016" s="84">
        <v>0.0</v>
      </c>
      <c r="E12016" s="84">
        <v>0.0</v>
      </c>
      <c r="F12016" s="76" t="s">
        <v>993</v>
      </c>
      <c r="G12016" s="83">
        <v>46121.0</v>
      </c>
      <c r="H12016" s="76" t="s">
        <v>937</v>
      </c>
    </row>
    <row r="12017">
      <c r="A12017" s="76" t="s">
        <v>45</v>
      </c>
      <c r="B12017" s="76" t="s">
        <v>1006</v>
      </c>
      <c r="C12017" s="84">
        <v>0.03</v>
      </c>
      <c r="D12017" s="84">
        <v>0.0</v>
      </c>
      <c r="E12017" s="84">
        <v>0.0</v>
      </c>
      <c r="F12017" s="76" t="s">
        <v>993</v>
      </c>
      <c r="G12017" s="83">
        <v>46121.0</v>
      </c>
      <c r="H12017" s="76" t="s">
        <v>938</v>
      </c>
    </row>
    <row r="12018">
      <c r="A12018" s="76" t="s">
        <v>32</v>
      </c>
      <c r="B12018" s="76" t="s">
        <v>1006</v>
      </c>
      <c r="C12018" s="84">
        <v>0.39</v>
      </c>
      <c r="D12018" s="84">
        <v>0.0</v>
      </c>
      <c r="E12018" s="84">
        <v>0.0</v>
      </c>
      <c r="F12018" s="76" t="s">
        <v>993</v>
      </c>
      <c r="G12018" s="83">
        <v>46121.0</v>
      </c>
      <c r="H12018" s="76" t="s">
        <v>941</v>
      </c>
    </row>
    <row r="12019">
      <c r="A12019" s="76" t="s">
        <v>32</v>
      </c>
      <c r="B12019" s="76" t="s">
        <v>1006</v>
      </c>
      <c r="C12019" s="84">
        <v>0.06</v>
      </c>
      <c r="D12019" s="84">
        <v>0.0</v>
      </c>
      <c r="E12019" s="84">
        <v>0.0</v>
      </c>
      <c r="F12019" s="76" t="s">
        <v>993</v>
      </c>
      <c r="G12019" s="83">
        <v>46121.0</v>
      </c>
      <c r="H12019" s="76" t="s">
        <v>942</v>
      </c>
    </row>
    <row r="12020">
      <c r="A12020" s="76" t="s">
        <v>32</v>
      </c>
      <c r="B12020" s="76" t="s">
        <v>1006</v>
      </c>
      <c r="C12020" s="84">
        <v>0.37</v>
      </c>
      <c r="D12020" s="84">
        <v>0.0</v>
      </c>
      <c r="E12020" s="84">
        <v>0.0</v>
      </c>
      <c r="F12020" s="76" t="s">
        <v>993</v>
      </c>
      <c r="G12020" s="83">
        <v>46121.0</v>
      </c>
      <c r="H12020" s="76" t="s">
        <v>943</v>
      </c>
    </row>
    <row r="12021">
      <c r="A12021" s="76" t="s">
        <v>944</v>
      </c>
      <c r="B12021" s="76" t="s">
        <v>1006</v>
      </c>
      <c r="C12021" s="84">
        <v>0.06</v>
      </c>
      <c r="D12021" s="84">
        <v>0.0</v>
      </c>
      <c r="E12021" s="84">
        <v>0.0</v>
      </c>
      <c r="F12021" s="76" t="s">
        <v>993</v>
      </c>
      <c r="G12021" s="83">
        <v>46121.0</v>
      </c>
      <c r="H12021" s="76" t="s">
        <v>945</v>
      </c>
    </row>
    <row r="12022">
      <c r="A12022" s="76" t="s">
        <v>944</v>
      </c>
      <c r="B12022" s="76" t="s">
        <v>1006</v>
      </c>
      <c r="C12022" s="84">
        <v>0.04</v>
      </c>
      <c r="D12022" s="84">
        <v>0.0</v>
      </c>
      <c r="E12022" s="84">
        <v>0.0</v>
      </c>
      <c r="F12022" s="76" t="s">
        <v>993</v>
      </c>
      <c r="G12022" s="83">
        <v>46121.0</v>
      </c>
      <c r="H12022" s="76" t="s">
        <v>946</v>
      </c>
    </row>
    <row r="12023">
      <c r="A12023" s="76" t="s">
        <v>944</v>
      </c>
      <c r="B12023" s="76" t="s">
        <v>1006</v>
      </c>
      <c r="C12023" s="84">
        <v>0.2</v>
      </c>
      <c r="D12023" s="84">
        <v>0.0</v>
      </c>
      <c r="E12023" s="84">
        <v>0.0</v>
      </c>
      <c r="F12023" s="76" t="s">
        <v>993</v>
      </c>
      <c r="G12023" s="83">
        <v>46121.0</v>
      </c>
      <c r="H12023" s="76" t="s">
        <v>947</v>
      </c>
    </row>
    <row r="12024">
      <c r="A12024" s="76" t="s">
        <v>26</v>
      </c>
      <c r="B12024" s="76" t="s">
        <v>1006</v>
      </c>
      <c r="C12024" s="84">
        <v>0.04</v>
      </c>
      <c r="D12024" s="84">
        <v>0.0</v>
      </c>
      <c r="E12024" s="84">
        <v>0.0</v>
      </c>
      <c r="F12024" s="76" t="s">
        <v>993</v>
      </c>
      <c r="G12024" s="83">
        <v>46121.0</v>
      </c>
      <c r="H12024" s="76" t="s">
        <v>1012</v>
      </c>
    </row>
    <row r="12025">
      <c r="A12025" s="76" t="s">
        <v>26</v>
      </c>
      <c r="B12025" s="76" t="s">
        <v>1006</v>
      </c>
      <c r="C12025" s="84">
        <v>0.06</v>
      </c>
      <c r="D12025" s="84">
        <v>0.0</v>
      </c>
      <c r="E12025" s="84">
        <v>0.0</v>
      </c>
      <c r="F12025" s="76" t="s">
        <v>993</v>
      </c>
      <c r="G12025" s="83">
        <v>46121.0</v>
      </c>
      <c r="H12025" s="76" t="s">
        <v>1013</v>
      </c>
    </row>
    <row r="12026">
      <c r="A12026" s="76" t="s">
        <v>26</v>
      </c>
      <c r="B12026" s="76" t="s">
        <v>1006</v>
      </c>
      <c r="C12026" s="84">
        <v>0.53</v>
      </c>
      <c r="D12026" s="84">
        <v>0.0</v>
      </c>
      <c r="E12026" s="84">
        <v>0.0</v>
      </c>
      <c r="F12026" s="76" t="s">
        <v>993</v>
      </c>
      <c r="G12026" s="83">
        <v>46121.0</v>
      </c>
      <c r="H12026" s="76" t="s">
        <v>1014</v>
      </c>
    </row>
    <row r="12027">
      <c r="A12027" s="76" t="s">
        <v>36</v>
      </c>
      <c r="B12027" s="76" t="s">
        <v>1006</v>
      </c>
      <c r="C12027" s="84">
        <v>36.36</v>
      </c>
      <c r="D12027" s="84">
        <v>10.0</v>
      </c>
      <c r="E12027" s="84">
        <v>3.64</v>
      </c>
      <c r="F12027" s="76" t="s">
        <v>1005</v>
      </c>
      <c r="G12027" s="83">
        <v>46121.0</v>
      </c>
      <c r="H12027" s="76" t="s">
        <v>926</v>
      </c>
    </row>
    <row r="12028">
      <c r="A12028" s="76" t="s">
        <v>36</v>
      </c>
      <c r="B12028" s="76" t="s">
        <v>1006</v>
      </c>
      <c r="C12028" s="84">
        <v>2.66</v>
      </c>
      <c r="D12028" s="84">
        <v>1.0</v>
      </c>
      <c r="E12028" s="84">
        <v>2.66</v>
      </c>
      <c r="F12028" s="76" t="s">
        <v>1005</v>
      </c>
      <c r="G12028" s="83">
        <v>46121.0</v>
      </c>
      <c r="H12028" s="76" t="s">
        <v>927</v>
      </c>
    </row>
    <row r="12029">
      <c r="A12029" s="76" t="s">
        <v>36</v>
      </c>
      <c r="B12029" s="76" t="s">
        <v>1006</v>
      </c>
      <c r="C12029" s="84">
        <v>9.17</v>
      </c>
      <c r="D12029" s="84">
        <v>0.0</v>
      </c>
      <c r="E12029" s="84">
        <v>0.0</v>
      </c>
      <c r="F12029" s="76" t="s">
        <v>1005</v>
      </c>
      <c r="G12029" s="83">
        <v>46121.0</v>
      </c>
      <c r="H12029" s="76" t="s">
        <v>928</v>
      </c>
    </row>
    <row r="12030">
      <c r="A12030" s="76" t="s">
        <v>31</v>
      </c>
      <c r="B12030" s="76" t="s">
        <v>1006</v>
      </c>
      <c r="C12030" s="84">
        <v>12.95</v>
      </c>
      <c r="D12030" s="84">
        <v>2.0</v>
      </c>
      <c r="E12030" s="84">
        <v>6.47</v>
      </c>
      <c r="F12030" s="76" t="s">
        <v>1005</v>
      </c>
      <c r="G12030" s="83">
        <v>46121.0</v>
      </c>
      <c r="H12030" s="76" t="s">
        <v>929</v>
      </c>
    </row>
    <row r="12031">
      <c r="A12031" s="76" t="s">
        <v>31</v>
      </c>
      <c r="B12031" s="76" t="s">
        <v>1006</v>
      </c>
      <c r="C12031" s="84">
        <v>303.17</v>
      </c>
      <c r="D12031" s="84">
        <v>76.0</v>
      </c>
      <c r="E12031" s="84">
        <v>3.99</v>
      </c>
      <c r="F12031" s="76" t="s">
        <v>1005</v>
      </c>
      <c r="G12031" s="83">
        <v>46121.0</v>
      </c>
      <c r="H12031" s="76" t="s">
        <v>930</v>
      </c>
    </row>
    <row r="12032">
      <c r="A12032" s="76" t="s">
        <v>28</v>
      </c>
      <c r="B12032" s="76" t="s">
        <v>1006</v>
      </c>
      <c r="C12032" s="84">
        <v>2.09</v>
      </c>
      <c r="D12032" s="84">
        <v>0.0</v>
      </c>
      <c r="E12032" s="84">
        <v>0.0</v>
      </c>
      <c r="F12032" s="76" t="s">
        <v>1005</v>
      </c>
      <c r="G12032" s="83">
        <v>46121.0</v>
      </c>
      <c r="H12032" s="76" t="s">
        <v>931</v>
      </c>
    </row>
    <row r="12033">
      <c r="A12033" s="76" t="s">
        <v>28</v>
      </c>
      <c r="B12033" s="76" t="s">
        <v>1006</v>
      </c>
      <c r="C12033" s="84">
        <v>2.46</v>
      </c>
      <c r="D12033" s="84">
        <v>0.0</v>
      </c>
      <c r="E12033" s="84">
        <v>0.0</v>
      </c>
      <c r="F12033" s="76" t="s">
        <v>1005</v>
      </c>
      <c r="G12033" s="83">
        <v>46121.0</v>
      </c>
      <c r="H12033" s="76" t="s">
        <v>932</v>
      </c>
    </row>
    <row r="12034">
      <c r="A12034" s="76" t="s">
        <v>28</v>
      </c>
      <c r="B12034" s="76" t="s">
        <v>1006</v>
      </c>
      <c r="C12034" s="84">
        <v>212.62</v>
      </c>
      <c r="D12034" s="84">
        <v>54.0</v>
      </c>
      <c r="E12034" s="84">
        <v>3.94</v>
      </c>
      <c r="F12034" s="76" t="s">
        <v>1005</v>
      </c>
      <c r="G12034" s="83">
        <v>46121.0</v>
      </c>
      <c r="H12034" s="76" t="s">
        <v>933</v>
      </c>
    </row>
    <row r="12035">
      <c r="A12035" s="76" t="s">
        <v>45</v>
      </c>
      <c r="B12035" s="76" t="s">
        <v>1006</v>
      </c>
      <c r="C12035" s="84">
        <v>1.54</v>
      </c>
      <c r="D12035" s="84">
        <v>0.0</v>
      </c>
      <c r="E12035" s="84">
        <v>0.0</v>
      </c>
      <c r="F12035" s="76" t="s">
        <v>1005</v>
      </c>
      <c r="G12035" s="83">
        <v>46121.0</v>
      </c>
      <c r="H12035" s="76" t="s">
        <v>936</v>
      </c>
    </row>
    <row r="12036">
      <c r="A12036" s="76" t="s">
        <v>45</v>
      </c>
      <c r="B12036" s="76" t="s">
        <v>1006</v>
      </c>
      <c r="C12036" s="84">
        <v>8.86</v>
      </c>
      <c r="D12036" s="84">
        <v>0.0</v>
      </c>
      <c r="E12036" s="84">
        <v>0.0</v>
      </c>
      <c r="F12036" s="76" t="s">
        <v>1005</v>
      </c>
      <c r="G12036" s="83">
        <v>46121.0</v>
      </c>
      <c r="H12036" s="76" t="s">
        <v>937</v>
      </c>
    </row>
    <row r="12037">
      <c r="A12037" s="76" t="s">
        <v>45</v>
      </c>
      <c r="B12037" s="76" t="s">
        <v>1006</v>
      </c>
      <c r="C12037" s="84">
        <v>1.3</v>
      </c>
      <c r="D12037" s="84">
        <v>0.0</v>
      </c>
      <c r="E12037" s="84">
        <v>0.0</v>
      </c>
      <c r="F12037" s="76" t="s">
        <v>1005</v>
      </c>
      <c r="G12037" s="83">
        <v>46121.0</v>
      </c>
      <c r="H12037" s="76" t="s">
        <v>938</v>
      </c>
    </row>
    <row r="12038">
      <c r="A12038" s="76" t="s">
        <v>32</v>
      </c>
      <c r="B12038" s="76" t="s">
        <v>1006</v>
      </c>
      <c r="C12038" s="84">
        <v>218.02</v>
      </c>
      <c r="D12038" s="84">
        <v>58.0</v>
      </c>
      <c r="E12038" s="84">
        <v>3.76</v>
      </c>
      <c r="F12038" s="76" t="s">
        <v>1005</v>
      </c>
      <c r="G12038" s="83">
        <v>46121.0</v>
      </c>
      <c r="H12038" s="76" t="s">
        <v>941</v>
      </c>
    </row>
    <row r="12039">
      <c r="A12039" s="76" t="s">
        <v>32</v>
      </c>
      <c r="B12039" s="76" t="s">
        <v>1006</v>
      </c>
      <c r="C12039" s="84">
        <v>18.56</v>
      </c>
      <c r="D12039" s="84">
        <v>7.0</v>
      </c>
      <c r="E12039" s="84">
        <v>2.65</v>
      </c>
      <c r="F12039" s="76" t="s">
        <v>1005</v>
      </c>
      <c r="G12039" s="83">
        <v>46121.0</v>
      </c>
      <c r="H12039" s="76" t="s">
        <v>942</v>
      </c>
    </row>
    <row r="12040">
      <c r="A12040" s="76" t="s">
        <v>32</v>
      </c>
      <c r="B12040" s="76" t="s">
        <v>1006</v>
      </c>
      <c r="C12040" s="84">
        <v>433.73</v>
      </c>
      <c r="D12040" s="84">
        <v>73.0</v>
      </c>
      <c r="E12040" s="84">
        <v>5.94</v>
      </c>
      <c r="F12040" s="76" t="s">
        <v>1005</v>
      </c>
      <c r="G12040" s="83">
        <v>46121.0</v>
      </c>
      <c r="H12040" s="76" t="s">
        <v>943</v>
      </c>
    </row>
    <row r="12041">
      <c r="A12041" s="76" t="s">
        <v>944</v>
      </c>
      <c r="B12041" s="76" t="s">
        <v>1006</v>
      </c>
      <c r="C12041" s="84">
        <v>10.42</v>
      </c>
      <c r="D12041" s="84">
        <v>1.0</v>
      </c>
      <c r="E12041" s="84">
        <v>10.42</v>
      </c>
      <c r="F12041" s="76" t="s">
        <v>1005</v>
      </c>
      <c r="G12041" s="83">
        <v>46121.0</v>
      </c>
      <c r="H12041" s="76" t="s">
        <v>945</v>
      </c>
    </row>
    <row r="12042">
      <c r="A12042" s="76" t="s">
        <v>944</v>
      </c>
      <c r="B12042" s="76" t="s">
        <v>1006</v>
      </c>
      <c r="C12042" s="84">
        <v>1.86</v>
      </c>
      <c r="D12042" s="84">
        <v>0.0</v>
      </c>
      <c r="E12042" s="84">
        <v>0.0</v>
      </c>
      <c r="F12042" s="76" t="s">
        <v>1005</v>
      </c>
      <c r="G12042" s="83">
        <v>46121.0</v>
      </c>
      <c r="H12042" s="76" t="s">
        <v>946</v>
      </c>
    </row>
    <row r="12043">
      <c r="A12043" s="76" t="s">
        <v>944</v>
      </c>
      <c r="B12043" s="76" t="s">
        <v>1006</v>
      </c>
      <c r="C12043" s="84">
        <v>18.94</v>
      </c>
      <c r="D12043" s="84">
        <v>4.0</v>
      </c>
      <c r="E12043" s="84">
        <v>4.73</v>
      </c>
      <c r="F12043" s="76" t="s">
        <v>1005</v>
      </c>
      <c r="G12043" s="83">
        <v>46121.0</v>
      </c>
      <c r="H12043" s="76" t="s">
        <v>947</v>
      </c>
    </row>
    <row r="12044">
      <c r="A12044" s="76" t="s">
        <v>26</v>
      </c>
      <c r="B12044" s="76" t="s">
        <v>1006</v>
      </c>
      <c r="C12044" s="84">
        <v>1.64</v>
      </c>
      <c r="D12044" s="84">
        <v>0.0</v>
      </c>
      <c r="E12044" s="84">
        <v>0.0</v>
      </c>
      <c r="F12044" s="76" t="s">
        <v>1005</v>
      </c>
      <c r="G12044" s="83">
        <v>46121.0</v>
      </c>
      <c r="H12044" s="76" t="s">
        <v>1012</v>
      </c>
    </row>
    <row r="12045">
      <c r="A12045" s="76" t="s">
        <v>26</v>
      </c>
      <c r="B12045" s="76" t="s">
        <v>1006</v>
      </c>
      <c r="C12045" s="84">
        <v>3.46</v>
      </c>
      <c r="D12045" s="84">
        <v>0.0</v>
      </c>
      <c r="E12045" s="84">
        <v>0.0</v>
      </c>
      <c r="F12045" s="76" t="s">
        <v>1005</v>
      </c>
      <c r="G12045" s="83">
        <v>46121.0</v>
      </c>
      <c r="H12045" s="76" t="s">
        <v>1013</v>
      </c>
    </row>
    <row r="12046">
      <c r="A12046" s="76" t="s">
        <v>26</v>
      </c>
      <c r="B12046" s="76" t="s">
        <v>1006</v>
      </c>
      <c r="C12046" s="84">
        <v>85.28</v>
      </c>
      <c r="D12046" s="84">
        <v>11.0</v>
      </c>
      <c r="E12046" s="84">
        <v>7.75</v>
      </c>
      <c r="F12046" s="76" t="s">
        <v>1005</v>
      </c>
      <c r="G12046" s="83">
        <v>46121.0</v>
      </c>
      <c r="H12046" s="76" t="s">
        <v>1014</v>
      </c>
    </row>
    <row r="12047">
      <c r="A12047" s="76" t="s">
        <v>36</v>
      </c>
      <c r="B12047" s="76" t="s">
        <v>1006</v>
      </c>
      <c r="C12047" s="84">
        <v>0.79</v>
      </c>
      <c r="D12047" s="84">
        <v>0.0</v>
      </c>
      <c r="E12047" s="84">
        <v>0.0</v>
      </c>
      <c r="F12047" s="76" t="s">
        <v>996</v>
      </c>
      <c r="G12047" s="83">
        <v>46121.0</v>
      </c>
      <c r="H12047" s="76" t="s">
        <v>926</v>
      </c>
    </row>
    <row r="12048">
      <c r="A12048" s="76" t="s">
        <v>36</v>
      </c>
      <c r="B12048" s="76" t="s">
        <v>1006</v>
      </c>
      <c r="C12048" s="84">
        <v>0.16</v>
      </c>
      <c r="D12048" s="84">
        <v>0.0</v>
      </c>
      <c r="E12048" s="84">
        <v>0.0</v>
      </c>
      <c r="F12048" s="76" t="s">
        <v>996</v>
      </c>
      <c r="G12048" s="83">
        <v>46121.0</v>
      </c>
      <c r="H12048" s="76" t="s">
        <v>927</v>
      </c>
    </row>
    <row r="12049">
      <c r="A12049" s="76" t="s">
        <v>36</v>
      </c>
      <c r="B12049" s="76" t="s">
        <v>1006</v>
      </c>
      <c r="C12049" s="84">
        <v>0.45</v>
      </c>
      <c r="D12049" s="84">
        <v>0.0</v>
      </c>
      <c r="E12049" s="84">
        <v>0.0</v>
      </c>
      <c r="F12049" s="76" t="s">
        <v>996</v>
      </c>
      <c r="G12049" s="83">
        <v>46121.0</v>
      </c>
      <c r="H12049" s="76" t="s">
        <v>928</v>
      </c>
    </row>
    <row r="12050">
      <c r="A12050" s="76" t="s">
        <v>31</v>
      </c>
      <c r="B12050" s="76" t="s">
        <v>1006</v>
      </c>
      <c r="C12050" s="84">
        <v>1.19</v>
      </c>
      <c r="D12050" s="84">
        <v>0.0</v>
      </c>
      <c r="E12050" s="84">
        <v>0.0</v>
      </c>
      <c r="F12050" s="76" t="s">
        <v>996</v>
      </c>
      <c r="G12050" s="83">
        <v>46121.0</v>
      </c>
      <c r="H12050" s="76" t="s">
        <v>929</v>
      </c>
    </row>
    <row r="12051">
      <c r="A12051" s="76" t="s">
        <v>31</v>
      </c>
      <c r="B12051" s="76" t="s">
        <v>1006</v>
      </c>
      <c r="C12051" s="84">
        <v>12.08</v>
      </c>
      <c r="D12051" s="84">
        <v>1.0</v>
      </c>
      <c r="E12051" s="84">
        <v>12.08</v>
      </c>
      <c r="F12051" s="76" t="s">
        <v>996</v>
      </c>
      <c r="G12051" s="83">
        <v>46121.0</v>
      </c>
      <c r="H12051" s="76" t="s">
        <v>930</v>
      </c>
    </row>
    <row r="12052">
      <c r="A12052" s="76" t="s">
        <v>28</v>
      </c>
      <c r="B12052" s="76" t="s">
        <v>1006</v>
      </c>
      <c r="C12052" s="84">
        <v>0.3</v>
      </c>
      <c r="D12052" s="84">
        <v>0.0</v>
      </c>
      <c r="E12052" s="84">
        <v>0.0</v>
      </c>
      <c r="F12052" s="76" t="s">
        <v>996</v>
      </c>
      <c r="G12052" s="83">
        <v>46121.0</v>
      </c>
      <c r="H12052" s="76" t="s">
        <v>931</v>
      </c>
    </row>
    <row r="12053">
      <c r="A12053" s="76" t="s">
        <v>28</v>
      </c>
      <c r="B12053" s="76" t="s">
        <v>1006</v>
      </c>
      <c r="C12053" s="84">
        <v>0.13</v>
      </c>
      <c r="D12053" s="84">
        <v>0.0</v>
      </c>
      <c r="E12053" s="84">
        <v>0.0</v>
      </c>
      <c r="F12053" s="76" t="s">
        <v>996</v>
      </c>
      <c r="G12053" s="83">
        <v>46121.0</v>
      </c>
      <c r="H12053" s="76" t="s">
        <v>932</v>
      </c>
    </row>
    <row r="12054">
      <c r="A12054" s="76" t="s">
        <v>28</v>
      </c>
      <c r="B12054" s="76" t="s">
        <v>1006</v>
      </c>
      <c r="C12054" s="84">
        <v>1.9</v>
      </c>
      <c r="D12054" s="84">
        <v>0.0</v>
      </c>
      <c r="E12054" s="84">
        <v>0.0</v>
      </c>
      <c r="F12054" s="76" t="s">
        <v>996</v>
      </c>
      <c r="G12054" s="83">
        <v>46121.0</v>
      </c>
      <c r="H12054" s="76" t="s">
        <v>933</v>
      </c>
    </row>
    <row r="12055">
      <c r="A12055" s="76" t="s">
        <v>45</v>
      </c>
      <c r="B12055" s="76" t="s">
        <v>1006</v>
      </c>
      <c r="C12055" s="84">
        <v>0.2</v>
      </c>
      <c r="D12055" s="84">
        <v>0.0</v>
      </c>
      <c r="E12055" s="84">
        <v>0.0</v>
      </c>
      <c r="F12055" s="76" t="s">
        <v>996</v>
      </c>
      <c r="G12055" s="83">
        <v>46121.0</v>
      </c>
      <c r="H12055" s="76" t="s">
        <v>936</v>
      </c>
    </row>
    <row r="12056">
      <c r="A12056" s="76" t="s">
        <v>45</v>
      </c>
      <c r="B12056" s="76" t="s">
        <v>1006</v>
      </c>
      <c r="C12056" s="84">
        <v>0.45</v>
      </c>
      <c r="D12056" s="84">
        <v>0.0</v>
      </c>
      <c r="E12056" s="84">
        <v>0.0</v>
      </c>
      <c r="F12056" s="76" t="s">
        <v>996</v>
      </c>
      <c r="G12056" s="83">
        <v>46121.0</v>
      </c>
      <c r="H12056" s="76" t="s">
        <v>937</v>
      </c>
    </row>
    <row r="12057">
      <c r="A12057" s="76" t="s">
        <v>45</v>
      </c>
      <c r="B12057" s="76" t="s">
        <v>1006</v>
      </c>
      <c r="C12057" s="84">
        <v>0.14</v>
      </c>
      <c r="D12057" s="84">
        <v>0.0</v>
      </c>
      <c r="E12057" s="84">
        <v>0.0</v>
      </c>
      <c r="F12057" s="76" t="s">
        <v>996</v>
      </c>
      <c r="G12057" s="83">
        <v>46121.0</v>
      </c>
      <c r="H12057" s="76" t="s">
        <v>938</v>
      </c>
    </row>
    <row r="12058">
      <c r="A12058" s="76" t="s">
        <v>32</v>
      </c>
      <c r="B12058" s="76" t="s">
        <v>1006</v>
      </c>
      <c r="C12058" s="84">
        <v>2.52</v>
      </c>
      <c r="D12058" s="84">
        <v>1.0</v>
      </c>
      <c r="E12058" s="84">
        <v>2.52</v>
      </c>
      <c r="F12058" s="76" t="s">
        <v>996</v>
      </c>
      <c r="G12058" s="83">
        <v>46121.0</v>
      </c>
      <c r="H12058" s="76" t="s">
        <v>941</v>
      </c>
    </row>
    <row r="12059">
      <c r="A12059" s="76" t="s">
        <v>32</v>
      </c>
      <c r="B12059" s="76" t="s">
        <v>1006</v>
      </c>
      <c r="C12059" s="84">
        <v>0.3</v>
      </c>
      <c r="D12059" s="84">
        <v>0.0</v>
      </c>
      <c r="E12059" s="84">
        <v>0.0</v>
      </c>
      <c r="F12059" s="76" t="s">
        <v>996</v>
      </c>
      <c r="G12059" s="83">
        <v>46121.0</v>
      </c>
      <c r="H12059" s="76" t="s">
        <v>942</v>
      </c>
    </row>
    <row r="12060">
      <c r="A12060" s="76" t="s">
        <v>32</v>
      </c>
      <c r="B12060" s="76" t="s">
        <v>1006</v>
      </c>
      <c r="C12060" s="84">
        <v>2.78</v>
      </c>
      <c r="D12060" s="84">
        <v>1.0</v>
      </c>
      <c r="E12060" s="84">
        <v>2.78</v>
      </c>
      <c r="F12060" s="76" t="s">
        <v>996</v>
      </c>
      <c r="G12060" s="83">
        <v>46121.0</v>
      </c>
      <c r="H12060" s="76" t="s">
        <v>943</v>
      </c>
    </row>
    <row r="12061">
      <c r="A12061" s="76" t="s">
        <v>944</v>
      </c>
      <c r="B12061" s="76" t="s">
        <v>1006</v>
      </c>
      <c r="C12061" s="84">
        <v>0.38</v>
      </c>
      <c r="D12061" s="84">
        <v>0.0</v>
      </c>
      <c r="E12061" s="84">
        <v>0.0</v>
      </c>
      <c r="F12061" s="76" t="s">
        <v>996</v>
      </c>
      <c r="G12061" s="83">
        <v>46121.0</v>
      </c>
      <c r="H12061" s="76" t="s">
        <v>945</v>
      </c>
    </row>
    <row r="12062">
      <c r="A12062" s="76" t="s">
        <v>944</v>
      </c>
      <c r="B12062" s="76" t="s">
        <v>1006</v>
      </c>
      <c r="C12062" s="84">
        <v>0.19</v>
      </c>
      <c r="D12062" s="84">
        <v>0.0</v>
      </c>
      <c r="E12062" s="84">
        <v>0.0</v>
      </c>
      <c r="F12062" s="76" t="s">
        <v>996</v>
      </c>
      <c r="G12062" s="83">
        <v>46121.0</v>
      </c>
      <c r="H12062" s="76" t="s">
        <v>946</v>
      </c>
    </row>
    <row r="12063">
      <c r="A12063" s="76" t="s">
        <v>944</v>
      </c>
      <c r="B12063" s="76" t="s">
        <v>1006</v>
      </c>
      <c r="C12063" s="84">
        <v>1.51</v>
      </c>
      <c r="D12063" s="84">
        <v>0.0</v>
      </c>
      <c r="E12063" s="84">
        <v>0.0</v>
      </c>
      <c r="F12063" s="76" t="s">
        <v>996</v>
      </c>
      <c r="G12063" s="83">
        <v>46121.0</v>
      </c>
      <c r="H12063" s="76" t="s">
        <v>947</v>
      </c>
    </row>
    <row r="12064">
      <c r="A12064" s="76" t="s">
        <v>26</v>
      </c>
      <c r="B12064" s="76" t="s">
        <v>1006</v>
      </c>
      <c r="C12064" s="84">
        <v>0.22</v>
      </c>
      <c r="D12064" s="84">
        <v>0.0</v>
      </c>
      <c r="E12064" s="84">
        <v>0.0</v>
      </c>
      <c r="F12064" s="76" t="s">
        <v>996</v>
      </c>
      <c r="G12064" s="83">
        <v>46121.0</v>
      </c>
      <c r="H12064" s="76" t="s">
        <v>1012</v>
      </c>
    </row>
    <row r="12065">
      <c r="A12065" s="76" t="s">
        <v>26</v>
      </c>
      <c r="B12065" s="76" t="s">
        <v>1006</v>
      </c>
      <c r="C12065" s="84">
        <v>0.32</v>
      </c>
      <c r="D12065" s="84">
        <v>0.0</v>
      </c>
      <c r="E12065" s="84">
        <v>0.0</v>
      </c>
      <c r="F12065" s="76" t="s">
        <v>996</v>
      </c>
      <c r="G12065" s="83">
        <v>46121.0</v>
      </c>
      <c r="H12065" s="76" t="s">
        <v>1013</v>
      </c>
    </row>
    <row r="12066">
      <c r="A12066" s="76" t="s">
        <v>26</v>
      </c>
      <c r="B12066" s="76" t="s">
        <v>1006</v>
      </c>
      <c r="C12066" s="84">
        <v>3.66</v>
      </c>
      <c r="D12066" s="84">
        <v>1.0</v>
      </c>
      <c r="E12066" s="84">
        <v>3.66</v>
      </c>
      <c r="F12066" s="76" t="s">
        <v>996</v>
      </c>
      <c r="G12066" s="83">
        <v>46121.0</v>
      </c>
      <c r="H12066" s="76" t="s">
        <v>1014</v>
      </c>
    </row>
    <row r="12067">
      <c r="A12067" s="76" t="s">
        <v>36</v>
      </c>
      <c r="B12067" s="76" t="s">
        <v>1006</v>
      </c>
      <c r="C12067" s="84">
        <v>10.44</v>
      </c>
      <c r="D12067" s="84">
        <v>2.0</v>
      </c>
      <c r="E12067" s="84">
        <v>5.22</v>
      </c>
      <c r="F12067" s="76" t="s">
        <v>997</v>
      </c>
      <c r="G12067" s="83">
        <v>46121.0</v>
      </c>
      <c r="H12067" s="76" t="s">
        <v>926</v>
      </c>
    </row>
    <row r="12068">
      <c r="A12068" s="76" t="s">
        <v>36</v>
      </c>
      <c r="B12068" s="76" t="s">
        <v>1006</v>
      </c>
      <c r="C12068" s="84">
        <v>1.73</v>
      </c>
      <c r="D12068" s="84">
        <v>0.0</v>
      </c>
      <c r="E12068" s="84">
        <v>0.0</v>
      </c>
      <c r="F12068" s="76" t="s">
        <v>997</v>
      </c>
      <c r="G12068" s="83">
        <v>46121.0</v>
      </c>
      <c r="H12068" s="76" t="s">
        <v>927</v>
      </c>
    </row>
    <row r="12069">
      <c r="A12069" s="76" t="s">
        <v>36</v>
      </c>
      <c r="B12069" s="76" t="s">
        <v>1006</v>
      </c>
      <c r="C12069" s="84">
        <v>6.18</v>
      </c>
      <c r="D12069" s="84">
        <v>1.0</v>
      </c>
      <c r="E12069" s="84">
        <v>6.18</v>
      </c>
      <c r="F12069" s="76" t="s">
        <v>997</v>
      </c>
      <c r="G12069" s="83">
        <v>46121.0</v>
      </c>
      <c r="H12069" s="76" t="s">
        <v>928</v>
      </c>
    </row>
    <row r="12070">
      <c r="A12070" s="76" t="s">
        <v>31</v>
      </c>
      <c r="B12070" s="76" t="s">
        <v>1006</v>
      </c>
      <c r="C12070" s="84">
        <v>19.12</v>
      </c>
      <c r="D12070" s="84">
        <v>6.0</v>
      </c>
      <c r="E12070" s="84">
        <v>3.19</v>
      </c>
      <c r="F12070" s="76" t="s">
        <v>997</v>
      </c>
      <c r="G12070" s="83">
        <v>46121.0</v>
      </c>
      <c r="H12070" s="76" t="s">
        <v>929</v>
      </c>
    </row>
    <row r="12071">
      <c r="A12071" s="76" t="s">
        <v>31</v>
      </c>
      <c r="B12071" s="76" t="s">
        <v>1006</v>
      </c>
      <c r="C12071" s="84">
        <v>627.95</v>
      </c>
      <c r="D12071" s="84">
        <v>119.0</v>
      </c>
      <c r="E12071" s="84">
        <v>5.28</v>
      </c>
      <c r="F12071" s="76" t="s">
        <v>997</v>
      </c>
      <c r="G12071" s="83">
        <v>46121.0</v>
      </c>
      <c r="H12071" s="76" t="s">
        <v>930</v>
      </c>
    </row>
    <row r="12072">
      <c r="A12072" s="76" t="s">
        <v>28</v>
      </c>
      <c r="B12072" s="76" t="s">
        <v>1006</v>
      </c>
      <c r="C12072" s="84">
        <v>1.69</v>
      </c>
      <c r="D12072" s="84">
        <v>0.0</v>
      </c>
      <c r="E12072" s="84">
        <v>0.0</v>
      </c>
      <c r="F12072" s="76" t="s">
        <v>997</v>
      </c>
      <c r="G12072" s="83">
        <v>46121.0</v>
      </c>
      <c r="H12072" s="76" t="s">
        <v>931</v>
      </c>
    </row>
    <row r="12073">
      <c r="A12073" s="76" t="s">
        <v>28</v>
      </c>
      <c r="B12073" s="76" t="s">
        <v>1006</v>
      </c>
      <c r="C12073" s="84">
        <v>2.42</v>
      </c>
      <c r="D12073" s="84">
        <v>1.0</v>
      </c>
      <c r="E12073" s="84">
        <v>2.42</v>
      </c>
      <c r="F12073" s="76" t="s">
        <v>997</v>
      </c>
      <c r="G12073" s="83">
        <v>46121.0</v>
      </c>
      <c r="H12073" s="76" t="s">
        <v>932</v>
      </c>
    </row>
    <row r="12074">
      <c r="A12074" s="76" t="s">
        <v>28</v>
      </c>
      <c r="B12074" s="76" t="s">
        <v>1006</v>
      </c>
      <c r="C12074" s="84">
        <v>70.83</v>
      </c>
      <c r="D12074" s="84">
        <v>13.0</v>
      </c>
      <c r="E12074" s="84">
        <v>5.45</v>
      </c>
      <c r="F12074" s="76" t="s">
        <v>997</v>
      </c>
      <c r="G12074" s="83">
        <v>46121.0</v>
      </c>
      <c r="H12074" s="76" t="s">
        <v>933</v>
      </c>
    </row>
    <row r="12075">
      <c r="A12075" s="76" t="s">
        <v>45</v>
      </c>
      <c r="B12075" s="76" t="s">
        <v>1006</v>
      </c>
      <c r="C12075" s="84">
        <v>0.93</v>
      </c>
      <c r="D12075" s="84">
        <v>0.0</v>
      </c>
      <c r="E12075" s="84">
        <v>0.0</v>
      </c>
      <c r="F12075" s="76" t="s">
        <v>997</v>
      </c>
      <c r="G12075" s="83">
        <v>46121.0</v>
      </c>
      <c r="H12075" s="76" t="s">
        <v>936</v>
      </c>
    </row>
    <row r="12076">
      <c r="A12076" s="76" t="s">
        <v>45</v>
      </c>
      <c r="B12076" s="76" t="s">
        <v>1006</v>
      </c>
      <c r="C12076" s="84">
        <v>8.81</v>
      </c>
      <c r="D12076" s="84">
        <v>0.0</v>
      </c>
      <c r="E12076" s="84">
        <v>0.0</v>
      </c>
      <c r="F12076" s="76" t="s">
        <v>997</v>
      </c>
      <c r="G12076" s="83">
        <v>46121.0</v>
      </c>
      <c r="H12076" s="76" t="s">
        <v>937</v>
      </c>
    </row>
    <row r="12077">
      <c r="A12077" s="76" t="s">
        <v>45</v>
      </c>
      <c r="B12077" s="76" t="s">
        <v>1006</v>
      </c>
      <c r="C12077" s="84">
        <v>1.73</v>
      </c>
      <c r="D12077" s="84">
        <v>0.0</v>
      </c>
      <c r="E12077" s="84">
        <v>0.0</v>
      </c>
      <c r="F12077" s="76" t="s">
        <v>997</v>
      </c>
      <c r="G12077" s="83">
        <v>46121.0</v>
      </c>
      <c r="H12077" s="76" t="s">
        <v>938</v>
      </c>
    </row>
    <row r="12078">
      <c r="A12078" s="76" t="s">
        <v>32</v>
      </c>
      <c r="B12078" s="76" t="s">
        <v>1006</v>
      </c>
      <c r="C12078" s="84">
        <v>71.97</v>
      </c>
      <c r="D12078" s="84">
        <v>17.0</v>
      </c>
      <c r="E12078" s="84">
        <v>4.23</v>
      </c>
      <c r="F12078" s="76" t="s">
        <v>997</v>
      </c>
      <c r="G12078" s="83">
        <v>46121.0</v>
      </c>
      <c r="H12078" s="76" t="s">
        <v>941</v>
      </c>
    </row>
    <row r="12079">
      <c r="A12079" s="76" t="s">
        <v>32</v>
      </c>
      <c r="B12079" s="76" t="s">
        <v>1006</v>
      </c>
      <c r="C12079" s="84">
        <v>2.31</v>
      </c>
      <c r="D12079" s="84">
        <v>2.0</v>
      </c>
      <c r="E12079" s="84">
        <v>1.15</v>
      </c>
      <c r="F12079" s="76" t="s">
        <v>997</v>
      </c>
      <c r="G12079" s="83">
        <v>46121.0</v>
      </c>
      <c r="H12079" s="76" t="s">
        <v>942</v>
      </c>
    </row>
    <row r="12080">
      <c r="A12080" s="76" t="s">
        <v>32</v>
      </c>
      <c r="B12080" s="76" t="s">
        <v>1006</v>
      </c>
      <c r="C12080" s="84">
        <v>39.75</v>
      </c>
      <c r="D12080" s="84">
        <v>6.0</v>
      </c>
      <c r="E12080" s="84">
        <v>6.62</v>
      </c>
      <c r="F12080" s="76" t="s">
        <v>997</v>
      </c>
      <c r="G12080" s="83">
        <v>46121.0</v>
      </c>
      <c r="H12080" s="76" t="s">
        <v>943</v>
      </c>
    </row>
    <row r="12081">
      <c r="A12081" s="76" t="s">
        <v>944</v>
      </c>
      <c r="B12081" s="76" t="s">
        <v>1006</v>
      </c>
      <c r="C12081" s="84">
        <v>7.33</v>
      </c>
      <c r="D12081" s="84">
        <v>1.0</v>
      </c>
      <c r="E12081" s="84">
        <v>7.33</v>
      </c>
      <c r="F12081" s="76" t="s">
        <v>997</v>
      </c>
      <c r="G12081" s="83">
        <v>46121.0</v>
      </c>
      <c r="H12081" s="76" t="s">
        <v>945</v>
      </c>
    </row>
    <row r="12082">
      <c r="A12082" s="76" t="s">
        <v>944</v>
      </c>
      <c r="B12082" s="76" t="s">
        <v>1006</v>
      </c>
      <c r="C12082" s="84">
        <v>2.15</v>
      </c>
      <c r="D12082" s="84">
        <v>0.0</v>
      </c>
      <c r="E12082" s="84">
        <v>0.0</v>
      </c>
      <c r="F12082" s="76" t="s">
        <v>997</v>
      </c>
      <c r="G12082" s="83">
        <v>46121.0</v>
      </c>
      <c r="H12082" s="76" t="s">
        <v>946</v>
      </c>
    </row>
    <row r="12083">
      <c r="A12083" s="76" t="s">
        <v>944</v>
      </c>
      <c r="B12083" s="76" t="s">
        <v>1006</v>
      </c>
      <c r="C12083" s="84">
        <v>32.53</v>
      </c>
      <c r="D12083" s="84">
        <v>7.0</v>
      </c>
      <c r="E12083" s="84">
        <v>4.65</v>
      </c>
      <c r="F12083" s="76" t="s">
        <v>997</v>
      </c>
      <c r="G12083" s="83">
        <v>46121.0</v>
      </c>
      <c r="H12083" s="76" t="s">
        <v>947</v>
      </c>
    </row>
    <row r="12084">
      <c r="A12084" s="76" t="s">
        <v>26</v>
      </c>
      <c r="B12084" s="76" t="s">
        <v>1006</v>
      </c>
      <c r="C12084" s="84">
        <v>2.17</v>
      </c>
      <c r="D12084" s="84">
        <v>0.0</v>
      </c>
      <c r="E12084" s="84">
        <v>0.0</v>
      </c>
      <c r="F12084" s="76" t="s">
        <v>997</v>
      </c>
      <c r="G12084" s="83">
        <v>46121.0</v>
      </c>
      <c r="H12084" s="76" t="s">
        <v>1012</v>
      </c>
    </row>
    <row r="12085">
      <c r="A12085" s="76" t="s">
        <v>26</v>
      </c>
      <c r="B12085" s="76" t="s">
        <v>1006</v>
      </c>
      <c r="C12085" s="84">
        <v>4.19</v>
      </c>
      <c r="D12085" s="84">
        <v>1.0</v>
      </c>
      <c r="E12085" s="84">
        <v>4.19</v>
      </c>
      <c r="F12085" s="76" t="s">
        <v>997</v>
      </c>
      <c r="G12085" s="83">
        <v>46121.0</v>
      </c>
      <c r="H12085" s="76" t="s">
        <v>1013</v>
      </c>
    </row>
    <row r="12086">
      <c r="A12086" s="76" t="s">
        <v>26</v>
      </c>
      <c r="B12086" s="76" t="s">
        <v>1006</v>
      </c>
      <c r="C12086" s="84">
        <v>112.62</v>
      </c>
      <c r="D12086" s="84">
        <v>16.0</v>
      </c>
      <c r="E12086" s="84">
        <v>7.04</v>
      </c>
      <c r="F12086" s="76" t="s">
        <v>997</v>
      </c>
      <c r="G12086" s="83">
        <v>46121.0</v>
      </c>
      <c r="H12086" s="76" t="s">
        <v>1014</v>
      </c>
    </row>
    <row r="12087">
      <c r="A12087" s="76" t="s">
        <v>36</v>
      </c>
      <c r="B12087" s="76" t="s">
        <v>1006</v>
      </c>
      <c r="C12087" s="84">
        <v>2.23</v>
      </c>
      <c r="D12087" s="84">
        <v>0.0</v>
      </c>
      <c r="E12087" s="84">
        <v>0.0</v>
      </c>
      <c r="F12087" s="76" t="s">
        <v>998</v>
      </c>
      <c r="G12087" s="83">
        <v>46121.0</v>
      </c>
      <c r="H12087" s="76" t="s">
        <v>926</v>
      </c>
    </row>
    <row r="12088">
      <c r="A12088" s="76" t="s">
        <v>36</v>
      </c>
      <c r="B12088" s="76" t="s">
        <v>1006</v>
      </c>
      <c r="C12088" s="84">
        <v>0.42</v>
      </c>
      <c r="D12088" s="84">
        <v>0.0</v>
      </c>
      <c r="E12088" s="84">
        <v>0.0</v>
      </c>
      <c r="F12088" s="76" t="s">
        <v>998</v>
      </c>
      <c r="G12088" s="83">
        <v>46121.0</v>
      </c>
      <c r="H12088" s="76" t="s">
        <v>927</v>
      </c>
    </row>
    <row r="12089">
      <c r="A12089" s="76" t="s">
        <v>36</v>
      </c>
      <c r="B12089" s="76" t="s">
        <v>1006</v>
      </c>
      <c r="C12089" s="84">
        <v>1.02</v>
      </c>
      <c r="D12089" s="84">
        <v>1.0</v>
      </c>
      <c r="E12089" s="84">
        <v>1.02</v>
      </c>
      <c r="F12089" s="76" t="s">
        <v>998</v>
      </c>
      <c r="G12089" s="83">
        <v>46121.0</v>
      </c>
      <c r="H12089" s="76" t="s">
        <v>928</v>
      </c>
    </row>
    <row r="12090">
      <c r="A12090" s="76" t="s">
        <v>31</v>
      </c>
      <c r="B12090" s="76" t="s">
        <v>1006</v>
      </c>
      <c r="C12090" s="84">
        <v>3.25</v>
      </c>
      <c r="D12090" s="84">
        <v>0.0</v>
      </c>
      <c r="E12090" s="84">
        <v>0.0</v>
      </c>
      <c r="F12090" s="76" t="s">
        <v>998</v>
      </c>
      <c r="G12090" s="83">
        <v>46121.0</v>
      </c>
      <c r="H12090" s="76" t="s">
        <v>929</v>
      </c>
    </row>
    <row r="12091">
      <c r="A12091" s="76" t="s">
        <v>31</v>
      </c>
      <c r="B12091" s="76" t="s">
        <v>1006</v>
      </c>
      <c r="C12091" s="84">
        <v>44.51</v>
      </c>
      <c r="D12091" s="84">
        <v>15.0</v>
      </c>
      <c r="E12091" s="84">
        <v>2.97</v>
      </c>
      <c r="F12091" s="76" t="s">
        <v>998</v>
      </c>
      <c r="G12091" s="83">
        <v>46121.0</v>
      </c>
      <c r="H12091" s="76" t="s">
        <v>930</v>
      </c>
    </row>
    <row r="12092">
      <c r="A12092" s="76" t="s">
        <v>28</v>
      </c>
      <c r="B12092" s="76" t="s">
        <v>1006</v>
      </c>
      <c r="C12092" s="84">
        <v>0.55</v>
      </c>
      <c r="D12092" s="84">
        <v>0.0</v>
      </c>
      <c r="E12092" s="84">
        <v>0.0</v>
      </c>
      <c r="F12092" s="76" t="s">
        <v>998</v>
      </c>
      <c r="G12092" s="83">
        <v>46121.0</v>
      </c>
      <c r="H12092" s="76" t="s">
        <v>931</v>
      </c>
    </row>
    <row r="12093">
      <c r="A12093" s="76" t="s">
        <v>28</v>
      </c>
      <c r="B12093" s="76" t="s">
        <v>1006</v>
      </c>
      <c r="C12093" s="84">
        <v>0.39</v>
      </c>
      <c r="D12093" s="84">
        <v>0.0</v>
      </c>
      <c r="E12093" s="84">
        <v>0.0</v>
      </c>
      <c r="F12093" s="76" t="s">
        <v>998</v>
      </c>
      <c r="G12093" s="83">
        <v>46121.0</v>
      </c>
      <c r="H12093" s="76" t="s">
        <v>932</v>
      </c>
    </row>
    <row r="12094">
      <c r="A12094" s="76" t="s">
        <v>28</v>
      </c>
      <c r="B12094" s="76" t="s">
        <v>1006</v>
      </c>
      <c r="C12094" s="84">
        <v>6.24</v>
      </c>
      <c r="D12094" s="84">
        <v>1.0</v>
      </c>
      <c r="E12094" s="84">
        <v>6.24</v>
      </c>
      <c r="F12094" s="76" t="s">
        <v>998</v>
      </c>
      <c r="G12094" s="83">
        <v>46121.0</v>
      </c>
      <c r="H12094" s="76" t="s">
        <v>933</v>
      </c>
    </row>
    <row r="12095">
      <c r="A12095" s="76" t="s">
        <v>45</v>
      </c>
      <c r="B12095" s="76" t="s">
        <v>1006</v>
      </c>
      <c r="C12095" s="84">
        <v>0.35</v>
      </c>
      <c r="D12095" s="84">
        <v>1.0</v>
      </c>
      <c r="E12095" s="84">
        <v>0.35</v>
      </c>
      <c r="F12095" s="76" t="s">
        <v>998</v>
      </c>
      <c r="G12095" s="83">
        <v>46121.0</v>
      </c>
      <c r="H12095" s="76" t="s">
        <v>936</v>
      </c>
    </row>
    <row r="12096">
      <c r="A12096" s="76" t="s">
        <v>45</v>
      </c>
      <c r="B12096" s="76" t="s">
        <v>1006</v>
      </c>
      <c r="C12096" s="84">
        <v>1.39</v>
      </c>
      <c r="D12096" s="84">
        <v>1.0</v>
      </c>
      <c r="E12096" s="84">
        <v>1.39</v>
      </c>
      <c r="F12096" s="76" t="s">
        <v>998</v>
      </c>
      <c r="G12096" s="83">
        <v>46121.0</v>
      </c>
      <c r="H12096" s="76" t="s">
        <v>937</v>
      </c>
    </row>
    <row r="12097">
      <c r="A12097" s="76" t="s">
        <v>45</v>
      </c>
      <c r="B12097" s="76" t="s">
        <v>1006</v>
      </c>
      <c r="C12097" s="84">
        <v>0.31</v>
      </c>
      <c r="D12097" s="84">
        <v>0.0</v>
      </c>
      <c r="E12097" s="84">
        <v>0.0</v>
      </c>
      <c r="F12097" s="76" t="s">
        <v>998</v>
      </c>
      <c r="G12097" s="83">
        <v>46121.0</v>
      </c>
      <c r="H12097" s="76" t="s">
        <v>938</v>
      </c>
    </row>
    <row r="12098">
      <c r="A12098" s="76" t="s">
        <v>32</v>
      </c>
      <c r="B12098" s="76" t="s">
        <v>1006</v>
      </c>
      <c r="C12098" s="84">
        <v>29.27</v>
      </c>
      <c r="D12098" s="84">
        <v>7.0</v>
      </c>
      <c r="E12098" s="84">
        <v>4.18</v>
      </c>
      <c r="F12098" s="76" t="s">
        <v>998</v>
      </c>
      <c r="G12098" s="83">
        <v>46121.0</v>
      </c>
      <c r="H12098" s="76" t="s">
        <v>941</v>
      </c>
    </row>
    <row r="12099">
      <c r="A12099" s="76" t="s">
        <v>32</v>
      </c>
      <c r="B12099" s="76" t="s">
        <v>1006</v>
      </c>
      <c r="C12099" s="84">
        <v>0.55</v>
      </c>
      <c r="D12099" s="84">
        <v>0.0</v>
      </c>
      <c r="E12099" s="84">
        <v>0.0</v>
      </c>
      <c r="F12099" s="76" t="s">
        <v>998</v>
      </c>
      <c r="G12099" s="83">
        <v>46121.0</v>
      </c>
      <c r="H12099" s="76" t="s">
        <v>942</v>
      </c>
    </row>
    <row r="12100">
      <c r="A12100" s="76" t="s">
        <v>32</v>
      </c>
      <c r="B12100" s="76" t="s">
        <v>1006</v>
      </c>
      <c r="C12100" s="84">
        <v>6.53</v>
      </c>
      <c r="D12100" s="84">
        <v>2.0</v>
      </c>
      <c r="E12100" s="84">
        <v>3.26</v>
      </c>
      <c r="F12100" s="76" t="s">
        <v>998</v>
      </c>
      <c r="G12100" s="83">
        <v>46121.0</v>
      </c>
      <c r="H12100" s="76" t="s">
        <v>943</v>
      </c>
    </row>
    <row r="12101">
      <c r="A12101" s="76" t="s">
        <v>944</v>
      </c>
      <c r="B12101" s="76" t="s">
        <v>1006</v>
      </c>
      <c r="C12101" s="84">
        <v>1.85</v>
      </c>
      <c r="D12101" s="84">
        <v>0.0</v>
      </c>
      <c r="E12101" s="84">
        <v>0.0</v>
      </c>
      <c r="F12101" s="76" t="s">
        <v>998</v>
      </c>
      <c r="G12101" s="83">
        <v>46121.0</v>
      </c>
      <c r="H12101" s="76" t="s">
        <v>945</v>
      </c>
    </row>
    <row r="12102">
      <c r="A12102" s="76" t="s">
        <v>944</v>
      </c>
      <c r="B12102" s="76" t="s">
        <v>1006</v>
      </c>
      <c r="C12102" s="84">
        <v>0.64</v>
      </c>
      <c r="D12102" s="84">
        <v>0.0</v>
      </c>
      <c r="E12102" s="84">
        <v>0.0</v>
      </c>
      <c r="F12102" s="76" t="s">
        <v>998</v>
      </c>
      <c r="G12102" s="83">
        <v>46121.0</v>
      </c>
      <c r="H12102" s="76" t="s">
        <v>946</v>
      </c>
    </row>
    <row r="12103">
      <c r="A12103" s="76" t="s">
        <v>944</v>
      </c>
      <c r="B12103" s="76" t="s">
        <v>1006</v>
      </c>
      <c r="C12103" s="84">
        <v>24.65</v>
      </c>
      <c r="D12103" s="84">
        <v>6.0</v>
      </c>
      <c r="E12103" s="84">
        <v>4.11</v>
      </c>
      <c r="F12103" s="76" t="s">
        <v>998</v>
      </c>
      <c r="G12103" s="83">
        <v>46121.0</v>
      </c>
      <c r="H12103" s="76" t="s">
        <v>947</v>
      </c>
    </row>
    <row r="12104">
      <c r="A12104" s="76" t="s">
        <v>26</v>
      </c>
      <c r="B12104" s="76" t="s">
        <v>1006</v>
      </c>
      <c r="C12104" s="84">
        <v>0.64</v>
      </c>
      <c r="D12104" s="84">
        <v>0.0</v>
      </c>
      <c r="E12104" s="84">
        <v>0.0</v>
      </c>
      <c r="F12104" s="76" t="s">
        <v>998</v>
      </c>
      <c r="G12104" s="83">
        <v>46121.0</v>
      </c>
      <c r="H12104" s="76" t="s">
        <v>1012</v>
      </c>
    </row>
    <row r="12105">
      <c r="A12105" s="76" t="s">
        <v>26</v>
      </c>
      <c r="B12105" s="76" t="s">
        <v>1006</v>
      </c>
      <c r="C12105" s="84">
        <v>1.39</v>
      </c>
      <c r="D12105" s="84">
        <v>0.0</v>
      </c>
      <c r="E12105" s="84">
        <v>0.0</v>
      </c>
      <c r="F12105" s="76" t="s">
        <v>998</v>
      </c>
      <c r="G12105" s="83">
        <v>46121.0</v>
      </c>
      <c r="H12105" s="76" t="s">
        <v>1013</v>
      </c>
    </row>
    <row r="12106">
      <c r="A12106" s="76" t="s">
        <v>26</v>
      </c>
      <c r="B12106" s="76" t="s">
        <v>1006</v>
      </c>
      <c r="C12106" s="84">
        <v>14.25</v>
      </c>
      <c r="D12106" s="84">
        <v>1.0</v>
      </c>
      <c r="E12106" s="84">
        <v>14.25</v>
      </c>
      <c r="F12106" s="76" t="s">
        <v>998</v>
      </c>
      <c r="G12106" s="83">
        <v>46121.0</v>
      </c>
      <c r="H12106" s="76" t="s">
        <v>1014</v>
      </c>
    </row>
    <row r="12107">
      <c r="A12107" s="76" t="s">
        <v>40</v>
      </c>
      <c r="B12107" s="76" t="s">
        <v>1039</v>
      </c>
      <c r="C12107" s="84">
        <v>24.6</v>
      </c>
      <c r="D12107" s="84">
        <v>9.0</v>
      </c>
      <c r="E12107" s="84">
        <v>2.73</v>
      </c>
      <c r="F12107" s="76" t="s">
        <v>1005</v>
      </c>
      <c r="G12107" s="83">
        <v>46121.0</v>
      </c>
      <c r="H12107" s="76" t="s">
        <v>954</v>
      </c>
    </row>
    <row r="12108">
      <c r="A12108" s="76" t="s">
        <v>40</v>
      </c>
      <c r="B12108" s="76" t="s">
        <v>1039</v>
      </c>
      <c r="C12108" s="84">
        <v>1.32</v>
      </c>
      <c r="D12108" s="84">
        <v>0.0</v>
      </c>
      <c r="E12108" s="84">
        <v>0.0</v>
      </c>
      <c r="F12108" s="76" t="s">
        <v>1005</v>
      </c>
      <c r="G12108" s="83">
        <v>46121.0</v>
      </c>
      <c r="H12108" s="76" t="s">
        <v>955</v>
      </c>
    </row>
    <row r="12109">
      <c r="A12109" s="76" t="s">
        <v>40</v>
      </c>
      <c r="B12109" s="76" t="s">
        <v>1039</v>
      </c>
      <c r="C12109" s="84">
        <v>170.34</v>
      </c>
      <c r="D12109" s="84">
        <v>42.0</v>
      </c>
      <c r="E12109" s="84">
        <v>4.06</v>
      </c>
      <c r="F12109" s="76" t="s">
        <v>1005</v>
      </c>
      <c r="G12109" s="83">
        <v>46121.0</v>
      </c>
      <c r="H12109" s="76" t="s">
        <v>956</v>
      </c>
    </row>
    <row r="12110">
      <c r="A12110" s="76" t="s">
        <v>36</v>
      </c>
      <c r="B12110" s="76" t="s">
        <v>1039</v>
      </c>
      <c r="C12110" s="84">
        <v>25.38</v>
      </c>
      <c r="D12110" s="84">
        <v>6.0</v>
      </c>
      <c r="E12110" s="84">
        <v>4.23</v>
      </c>
      <c r="F12110" s="76" t="s">
        <v>1005</v>
      </c>
      <c r="G12110" s="83">
        <v>46121.0</v>
      </c>
      <c r="H12110" s="76" t="s">
        <v>926</v>
      </c>
    </row>
    <row r="12111">
      <c r="A12111" s="76" t="s">
        <v>36</v>
      </c>
      <c r="B12111" s="76" t="s">
        <v>1039</v>
      </c>
      <c r="C12111" s="84">
        <v>3.64</v>
      </c>
      <c r="D12111" s="84">
        <v>0.0</v>
      </c>
      <c r="E12111" s="84">
        <v>0.0</v>
      </c>
      <c r="F12111" s="76" t="s">
        <v>1005</v>
      </c>
      <c r="G12111" s="83">
        <v>46121.0</v>
      </c>
      <c r="H12111" s="76" t="s">
        <v>927</v>
      </c>
    </row>
    <row r="12112">
      <c r="A12112" s="76" t="s">
        <v>36</v>
      </c>
      <c r="B12112" s="76" t="s">
        <v>1039</v>
      </c>
      <c r="C12112" s="84">
        <v>6.21</v>
      </c>
      <c r="D12112" s="84">
        <v>0.0</v>
      </c>
      <c r="E12112" s="84">
        <v>0.0</v>
      </c>
      <c r="F12112" s="76" t="s">
        <v>1005</v>
      </c>
      <c r="G12112" s="83">
        <v>46121.0</v>
      </c>
      <c r="H12112" s="76" t="s">
        <v>928</v>
      </c>
    </row>
    <row r="12113">
      <c r="A12113" s="76" t="s">
        <v>46</v>
      </c>
      <c r="B12113" s="76" t="s">
        <v>1039</v>
      </c>
      <c r="C12113" s="84">
        <v>0.89</v>
      </c>
      <c r="D12113" s="84">
        <v>0.0</v>
      </c>
      <c r="E12113" s="84">
        <v>0.0</v>
      </c>
      <c r="F12113" s="76" t="s">
        <v>1005</v>
      </c>
      <c r="G12113" s="83">
        <v>46121.0</v>
      </c>
      <c r="H12113" s="76" t="s">
        <v>960</v>
      </c>
    </row>
    <row r="12114">
      <c r="A12114" s="76" t="s">
        <v>46</v>
      </c>
      <c r="B12114" s="76" t="s">
        <v>1039</v>
      </c>
      <c r="C12114" s="84">
        <v>1.61</v>
      </c>
      <c r="D12114" s="84">
        <v>0.0</v>
      </c>
      <c r="E12114" s="84">
        <v>0.0</v>
      </c>
      <c r="F12114" s="76" t="s">
        <v>1005</v>
      </c>
      <c r="G12114" s="83">
        <v>46121.0</v>
      </c>
      <c r="H12114" s="76" t="s">
        <v>961</v>
      </c>
    </row>
    <row r="12115">
      <c r="A12115" s="76" t="s">
        <v>46</v>
      </c>
      <c r="B12115" s="76" t="s">
        <v>1039</v>
      </c>
      <c r="C12115" s="84">
        <v>3.0</v>
      </c>
      <c r="D12115" s="84">
        <v>2.0</v>
      </c>
      <c r="E12115" s="84">
        <v>1.5</v>
      </c>
      <c r="F12115" s="76" t="s">
        <v>1005</v>
      </c>
      <c r="G12115" s="83">
        <v>46121.0</v>
      </c>
      <c r="H12115" s="76" t="s">
        <v>962</v>
      </c>
    </row>
    <row r="12116">
      <c r="A12116" s="76" t="s">
        <v>970</v>
      </c>
      <c r="B12116" s="76" t="s">
        <v>1039</v>
      </c>
      <c r="C12116" s="84">
        <v>30.9</v>
      </c>
      <c r="D12116" s="84">
        <v>5.0</v>
      </c>
      <c r="E12116" s="84">
        <v>6.18</v>
      </c>
      <c r="F12116" s="76" t="s">
        <v>1005</v>
      </c>
      <c r="G12116" s="83">
        <v>46121.0</v>
      </c>
      <c r="H12116" s="76" t="s">
        <v>971</v>
      </c>
    </row>
    <row r="12117">
      <c r="A12117" s="76" t="s">
        <v>970</v>
      </c>
      <c r="B12117" s="76" t="s">
        <v>1039</v>
      </c>
      <c r="C12117" s="84">
        <v>2.65</v>
      </c>
      <c r="D12117" s="84">
        <v>0.0</v>
      </c>
      <c r="E12117" s="84">
        <v>0.0</v>
      </c>
      <c r="F12117" s="76" t="s">
        <v>1005</v>
      </c>
      <c r="G12117" s="83">
        <v>46121.0</v>
      </c>
      <c r="H12117" s="76" t="s">
        <v>972</v>
      </c>
    </row>
    <row r="12118">
      <c r="A12118" s="76" t="s">
        <v>970</v>
      </c>
      <c r="B12118" s="76" t="s">
        <v>1039</v>
      </c>
      <c r="C12118" s="84">
        <v>22.87</v>
      </c>
      <c r="D12118" s="84">
        <v>7.0</v>
      </c>
      <c r="E12118" s="84">
        <v>3.27</v>
      </c>
      <c r="F12118" s="76" t="s">
        <v>1005</v>
      </c>
      <c r="G12118" s="83">
        <v>46121.0</v>
      </c>
      <c r="H12118" s="76" t="s">
        <v>973</v>
      </c>
    </row>
    <row r="12119">
      <c r="A12119" s="76" t="s">
        <v>29</v>
      </c>
      <c r="B12119" s="76" t="s">
        <v>1039</v>
      </c>
      <c r="C12119" s="84">
        <v>45.83</v>
      </c>
      <c r="D12119" s="84">
        <v>11.0</v>
      </c>
      <c r="E12119" s="84">
        <v>4.17</v>
      </c>
      <c r="F12119" s="76" t="s">
        <v>1005</v>
      </c>
      <c r="G12119" s="83">
        <v>46121.0</v>
      </c>
      <c r="H12119" s="76" t="s">
        <v>1015</v>
      </c>
    </row>
    <row r="12120">
      <c r="A12120" s="76" t="s">
        <v>29</v>
      </c>
      <c r="B12120" s="76" t="s">
        <v>1039</v>
      </c>
      <c r="C12120" s="84">
        <v>12.14</v>
      </c>
      <c r="D12120" s="84">
        <v>3.0</v>
      </c>
      <c r="E12120" s="84">
        <v>4.05</v>
      </c>
      <c r="F12120" s="76" t="s">
        <v>1005</v>
      </c>
      <c r="G12120" s="83">
        <v>46121.0</v>
      </c>
      <c r="H12120" s="76" t="s">
        <v>1016</v>
      </c>
    </row>
    <row r="12121">
      <c r="A12121" s="76" t="s">
        <v>29</v>
      </c>
      <c r="B12121" s="76" t="s">
        <v>1039</v>
      </c>
      <c r="C12121" s="84">
        <v>5.45</v>
      </c>
      <c r="D12121" s="84">
        <v>0.0</v>
      </c>
      <c r="E12121" s="84">
        <v>0.0</v>
      </c>
      <c r="F12121" s="76" t="s">
        <v>1005</v>
      </c>
      <c r="G12121" s="83">
        <v>46121.0</v>
      </c>
      <c r="H12121" s="76" t="s">
        <v>1017</v>
      </c>
    </row>
    <row r="12122">
      <c r="A12122" s="76" t="s">
        <v>34</v>
      </c>
      <c r="B12122" s="76" t="s">
        <v>1039</v>
      </c>
      <c r="C12122" s="84">
        <v>30.42</v>
      </c>
      <c r="D12122" s="84">
        <v>6.0</v>
      </c>
      <c r="E12122" s="84">
        <v>5.07</v>
      </c>
      <c r="F12122" s="76" t="s">
        <v>1005</v>
      </c>
      <c r="G12122" s="83">
        <v>46121.0</v>
      </c>
      <c r="H12122" s="76" t="s">
        <v>951</v>
      </c>
    </row>
    <row r="12123">
      <c r="A12123" s="76" t="s">
        <v>34</v>
      </c>
      <c r="B12123" s="76" t="s">
        <v>1039</v>
      </c>
      <c r="C12123" s="84">
        <v>33.73</v>
      </c>
      <c r="D12123" s="84">
        <v>8.0</v>
      </c>
      <c r="E12123" s="84">
        <v>4.22</v>
      </c>
      <c r="F12123" s="76" t="s">
        <v>1005</v>
      </c>
      <c r="G12123" s="83">
        <v>46121.0</v>
      </c>
      <c r="H12123" s="76" t="s">
        <v>952</v>
      </c>
    </row>
    <row r="12124">
      <c r="A12124" s="76" t="s">
        <v>34</v>
      </c>
      <c r="B12124" s="76" t="s">
        <v>1039</v>
      </c>
      <c r="C12124" s="84">
        <v>9.75</v>
      </c>
      <c r="D12124" s="84">
        <v>1.0</v>
      </c>
      <c r="E12124" s="84">
        <v>9.75</v>
      </c>
      <c r="F12124" s="76" t="s">
        <v>1005</v>
      </c>
      <c r="G12124" s="83">
        <v>46121.0</v>
      </c>
      <c r="H12124" s="76" t="s">
        <v>953</v>
      </c>
    </row>
    <row r="12125">
      <c r="A12125" s="76" t="s">
        <v>33</v>
      </c>
      <c r="B12125" s="76" t="s">
        <v>1039</v>
      </c>
      <c r="C12125" s="84">
        <v>317.68</v>
      </c>
      <c r="D12125" s="84">
        <v>76.0</v>
      </c>
      <c r="E12125" s="84">
        <v>4.18</v>
      </c>
      <c r="F12125" s="76" t="s">
        <v>1005</v>
      </c>
      <c r="G12125" s="83">
        <v>46121.0</v>
      </c>
      <c r="H12125" s="76" t="s">
        <v>957</v>
      </c>
    </row>
    <row r="12126">
      <c r="A12126" s="76" t="s">
        <v>33</v>
      </c>
      <c r="B12126" s="76" t="s">
        <v>1039</v>
      </c>
      <c r="C12126" s="84">
        <v>25.59</v>
      </c>
      <c r="D12126" s="84">
        <v>5.0</v>
      </c>
      <c r="E12126" s="84">
        <v>5.12</v>
      </c>
      <c r="F12126" s="76" t="s">
        <v>1005</v>
      </c>
      <c r="G12126" s="83">
        <v>46121.0</v>
      </c>
      <c r="H12126" s="76" t="s">
        <v>958</v>
      </c>
    </row>
    <row r="12127">
      <c r="A12127" s="76" t="s">
        <v>33</v>
      </c>
      <c r="B12127" s="76" t="s">
        <v>1039</v>
      </c>
      <c r="C12127" s="84">
        <v>62.07</v>
      </c>
      <c r="D12127" s="84">
        <v>11.0</v>
      </c>
      <c r="E12127" s="84">
        <v>5.64</v>
      </c>
      <c r="F12127" s="76" t="s">
        <v>1005</v>
      </c>
      <c r="G12127" s="83">
        <v>46121.0</v>
      </c>
      <c r="H12127" s="76" t="s">
        <v>959</v>
      </c>
    </row>
    <row r="12128">
      <c r="A12128" s="76" t="s">
        <v>43</v>
      </c>
      <c r="B12128" s="76" t="s">
        <v>1039</v>
      </c>
      <c r="C12128" s="84">
        <v>1.43</v>
      </c>
      <c r="D12128" s="84">
        <v>0.0</v>
      </c>
      <c r="E12128" s="84">
        <v>0.0</v>
      </c>
      <c r="F12128" s="76" t="s">
        <v>1005</v>
      </c>
      <c r="G12128" s="83">
        <v>46121.0</v>
      </c>
      <c r="H12128" s="76" t="s">
        <v>963</v>
      </c>
    </row>
    <row r="12129">
      <c r="A12129" s="76" t="s">
        <v>43</v>
      </c>
      <c r="B12129" s="76" t="s">
        <v>1039</v>
      </c>
      <c r="C12129" s="84">
        <v>4.85</v>
      </c>
      <c r="D12129" s="84">
        <v>0.0</v>
      </c>
      <c r="E12129" s="84">
        <v>0.0</v>
      </c>
      <c r="F12129" s="76" t="s">
        <v>1005</v>
      </c>
      <c r="G12129" s="83">
        <v>46121.0</v>
      </c>
      <c r="H12129" s="76" t="s">
        <v>964</v>
      </c>
    </row>
    <row r="12130">
      <c r="A12130" s="76" t="s">
        <v>43</v>
      </c>
      <c r="B12130" s="76" t="s">
        <v>1039</v>
      </c>
      <c r="C12130" s="84">
        <v>5.57</v>
      </c>
      <c r="D12130" s="84">
        <v>2.0</v>
      </c>
      <c r="E12130" s="84">
        <v>2.79</v>
      </c>
      <c r="F12130" s="76" t="s">
        <v>1005</v>
      </c>
      <c r="G12130" s="83">
        <v>46121.0</v>
      </c>
      <c r="H12130" s="76" t="s">
        <v>965</v>
      </c>
    </row>
    <row r="12131">
      <c r="A12131" s="76" t="s">
        <v>966</v>
      </c>
      <c r="B12131" s="76" t="s">
        <v>1039</v>
      </c>
      <c r="C12131" s="84">
        <v>6.06</v>
      </c>
      <c r="D12131" s="84">
        <v>1.0</v>
      </c>
      <c r="E12131" s="84">
        <v>6.06</v>
      </c>
      <c r="F12131" s="76" t="s">
        <v>1005</v>
      </c>
      <c r="G12131" s="83">
        <v>46121.0</v>
      </c>
      <c r="H12131" s="76" t="s">
        <v>967</v>
      </c>
    </row>
    <row r="12132">
      <c r="A12132" s="76" t="s">
        <v>966</v>
      </c>
      <c r="B12132" s="76" t="s">
        <v>1039</v>
      </c>
      <c r="C12132" s="84">
        <v>2.95</v>
      </c>
      <c r="D12132" s="84">
        <v>0.0</v>
      </c>
      <c r="E12132" s="84">
        <v>0.0</v>
      </c>
      <c r="F12132" s="76" t="s">
        <v>1005</v>
      </c>
      <c r="G12132" s="83">
        <v>46121.0</v>
      </c>
      <c r="H12132" s="76" t="s">
        <v>968</v>
      </c>
    </row>
    <row r="12133">
      <c r="A12133" s="76" t="s">
        <v>966</v>
      </c>
      <c r="B12133" s="76" t="s">
        <v>1039</v>
      </c>
      <c r="C12133" s="84">
        <v>20.65</v>
      </c>
      <c r="D12133" s="84">
        <v>6.0</v>
      </c>
      <c r="E12133" s="84">
        <v>3.44</v>
      </c>
      <c r="F12133" s="76" t="s">
        <v>1005</v>
      </c>
      <c r="G12133" s="83">
        <v>46121.0</v>
      </c>
      <c r="H12133" s="76" t="s">
        <v>969</v>
      </c>
    </row>
    <row r="12134">
      <c r="A12134" s="76" t="s">
        <v>970</v>
      </c>
      <c r="B12134" s="76" t="s">
        <v>1039</v>
      </c>
      <c r="C12134" s="84">
        <v>1.89</v>
      </c>
      <c r="D12134" s="84">
        <v>0.0</v>
      </c>
      <c r="E12134" s="84">
        <v>0.0</v>
      </c>
      <c r="F12134" s="76" t="s">
        <v>990</v>
      </c>
      <c r="G12134" s="83">
        <v>46121.0</v>
      </c>
      <c r="H12134" s="76" t="s">
        <v>971</v>
      </c>
    </row>
    <row r="12135">
      <c r="A12135" s="76" t="s">
        <v>970</v>
      </c>
      <c r="B12135" s="76" t="s">
        <v>1039</v>
      </c>
      <c r="C12135" s="84">
        <v>0.25</v>
      </c>
      <c r="D12135" s="84">
        <v>0.0</v>
      </c>
      <c r="E12135" s="84">
        <v>0.0</v>
      </c>
      <c r="F12135" s="76" t="s">
        <v>990</v>
      </c>
      <c r="G12135" s="83">
        <v>46121.0</v>
      </c>
      <c r="H12135" s="76" t="s">
        <v>972</v>
      </c>
    </row>
    <row r="12136">
      <c r="A12136" s="76" t="s">
        <v>970</v>
      </c>
      <c r="B12136" s="76" t="s">
        <v>1039</v>
      </c>
      <c r="C12136" s="84">
        <v>6.76</v>
      </c>
      <c r="D12136" s="84">
        <v>1.0</v>
      </c>
      <c r="E12136" s="84">
        <v>6.76</v>
      </c>
      <c r="F12136" s="76" t="s">
        <v>990</v>
      </c>
      <c r="G12136" s="83">
        <v>46121.0</v>
      </c>
      <c r="H12136" s="76" t="s">
        <v>973</v>
      </c>
    </row>
    <row r="12137">
      <c r="A12137" s="76" t="s">
        <v>29</v>
      </c>
      <c r="B12137" s="76" t="s">
        <v>1039</v>
      </c>
      <c r="C12137" s="84">
        <v>1.62</v>
      </c>
      <c r="D12137" s="84">
        <v>0.0</v>
      </c>
      <c r="E12137" s="84">
        <v>0.0</v>
      </c>
      <c r="F12137" s="76" t="s">
        <v>990</v>
      </c>
      <c r="G12137" s="83">
        <v>46121.0</v>
      </c>
      <c r="H12137" s="76" t="s">
        <v>971</v>
      </c>
    </row>
    <row r="12138">
      <c r="A12138" s="76" t="s">
        <v>29</v>
      </c>
      <c r="B12138" s="76" t="s">
        <v>1039</v>
      </c>
      <c r="C12138" s="84">
        <v>0.25</v>
      </c>
      <c r="D12138" s="84">
        <v>0.0</v>
      </c>
      <c r="E12138" s="84">
        <v>0.0</v>
      </c>
      <c r="F12138" s="76" t="s">
        <v>990</v>
      </c>
      <c r="G12138" s="83">
        <v>46121.0</v>
      </c>
      <c r="H12138" s="76" t="s">
        <v>972</v>
      </c>
    </row>
    <row r="12139">
      <c r="A12139" s="76" t="s">
        <v>29</v>
      </c>
      <c r="B12139" s="76" t="s">
        <v>1039</v>
      </c>
      <c r="C12139" s="84">
        <v>4.48</v>
      </c>
      <c r="D12139" s="84">
        <v>0.0</v>
      </c>
      <c r="E12139" s="84">
        <v>0.0</v>
      </c>
      <c r="F12139" s="76" t="s">
        <v>990</v>
      </c>
      <c r="G12139" s="83">
        <v>46121.0</v>
      </c>
      <c r="H12139" s="76" t="s">
        <v>973</v>
      </c>
    </row>
    <row r="12140">
      <c r="A12140" s="76" t="s">
        <v>46</v>
      </c>
      <c r="B12140" s="76" t="s">
        <v>1039</v>
      </c>
      <c r="C12140" s="84">
        <v>0.15</v>
      </c>
      <c r="D12140" s="84">
        <v>0.0</v>
      </c>
      <c r="E12140" s="84">
        <v>0.0</v>
      </c>
      <c r="F12140" s="76" t="s">
        <v>990</v>
      </c>
      <c r="G12140" s="83">
        <v>46121.0</v>
      </c>
      <c r="H12140" s="76" t="s">
        <v>960</v>
      </c>
    </row>
    <row r="12141">
      <c r="A12141" s="76" t="s">
        <v>46</v>
      </c>
      <c r="B12141" s="76" t="s">
        <v>1039</v>
      </c>
      <c r="C12141" s="84">
        <v>0.3</v>
      </c>
      <c r="D12141" s="84">
        <v>0.0</v>
      </c>
      <c r="E12141" s="84">
        <v>0.0</v>
      </c>
      <c r="F12141" s="76" t="s">
        <v>990</v>
      </c>
      <c r="G12141" s="83">
        <v>46121.0</v>
      </c>
      <c r="H12141" s="76" t="s">
        <v>961</v>
      </c>
    </row>
    <row r="12142">
      <c r="A12142" s="76" t="s">
        <v>46</v>
      </c>
      <c r="B12142" s="76" t="s">
        <v>1039</v>
      </c>
      <c r="C12142" s="84">
        <v>0.22</v>
      </c>
      <c r="D12142" s="84">
        <v>0.0</v>
      </c>
      <c r="E12142" s="84">
        <v>0.0</v>
      </c>
      <c r="F12142" s="76" t="s">
        <v>990</v>
      </c>
      <c r="G12142" s="83">
        <v>46121.0</v>
      </c>
      <c r="H12142" s="76" t="s">
        <v>962</v>
      </c>
    </row>
    <row r="12143">
      <c r="A12143" s="76" t="s">
        <v>36</v>
      </c>
      <c r="B12143" s="76" t="s">
        <v>1039</v>
      </c>
      <c r="C12143" s="84">
        <v>2.84</v>
      </c>
      <c r="D12143" s="84">
        <v>0.0</v>
      </c>
      <c r="E12143" s="84">
        <v>0.0</v>
      </c>
      <c r="F12143" s="76" t="s">
        <v>990</v>
      </c>
      <c r="G12143" s="83">
        <v>46121.0</v>
      </c>
      <c r="H12143" s="76" t="s">
        <v>926</v>
      </c>
    </row>
    <row r="12144">
      <c r="A12144" s="76" t="s">
        <v>36</v>
      </c>
      <c r="B12144" s="76" t="s">
        <v>1039</v>
      </c>
      <c r="C12144" s="84">
        <v>0.27</v>
      </c>
      <c r="D12144" s="84">
        <v>0.0</v>
      </c>
      <c r="E12144" s="84">
        <v>0.0</v>
      </c>
      <c r="F12144" s="76" t="s">
        <v>990</v>
      </c>
      <c r="G12144" s="83">
        <v>46121.0</v>
      </c>
      <c r="H12144" s="76" t="s">
        <v>927</v>
      </c>
    </row>
    <row r="12145">
      <c r="A12145" s="76" t="s">
        <v>36</v>
      </c>
      <c r="B12145" s="76" t="s">
        <v>1039</v>
      </c>
      <c r="C12145" s="84">
        <v>0.54</v>
      </c>
      <c r="D12145" s="84">
        <v>0.0</v>
      </c>
      <c r="E12145" s="84">
        <v>0.0</v>
      </c>
      <c r="F12145" s="76" t="s">
        <v>990</v>
      </c>
      <c r="G12145" s="83">
        <v>46121.0</v>
      </c>
      <c r="H12145" s="76" t="s">
        <v>928</v>
      </c>
    </row>
    <row r="12146">
      <c r="A12146" s="76" t="s">
        <v>34</v>
      </c>
      <c r="B12146" s="76" t="s">
        <v>1039</v>
      </c>
      <c r="C12146" s="84">
        <v>0.97</v>
      </c>
      <c r="D12146" s="84">
        <v>0.0</v>
      </c>
      <c r="E12146" s="84">
        <v>0.0</v>
      </c>
      <c r="F12146" s="76" t="s">
        <v>990</v>
      </c>
      <c r="G12146" s="83">
        <v>46121.0</v>
      </c>
      <c r="H12146" s="76" t="s">
        <v>951</v>
      </c>
    </row>
    <row r="12147">
      <c r="A12147" s="76" t="s">
        <v>34</v>
      </c>
      <c r="B12147" s="76" t="s">
        <v>1039</v>
      </c>
      <c r="C12147" s="84">
        <v>3.81</v>
      </c>
      <c r="D12147" s="84">
        <v>1.0</v>
      </c>
      <c r="E12147" s="84">
        <v>3.81</v>
      </c>
      <c r="F12147" s="76" t="s">
        <v>990</v>
      </c>
      <c r="G12147" s="83">
        <v>46121.0</v>
      </c>
      <c r="H12147" s="76" t="s">
        <v>952</v>
      </c>
    </row>
    <row r="12148">
      <c r="A12148" s="76" t="s">
        <v>34</v>
      </c>
      <c r="B12148" s="76" t="s">
        <v>1039</v>
      </c>
      <c r="C12148" s="84">
        <v>0.52</v>
      </c>
      <c r="D12148" s="84">
        <v>0.0</v>
      </c>
      <c r="E12148" s="84">
        <v>0.0</v>
      </c>
      <c r="F12148" s="76" t="s">
        <v>990</v>
      </c>
      <c r="G12148" s="83">
        <v>46121.0</v>
      </c>
      <c r="H12148" s="76" t="s">
        <v>953</v>
      </c>
    </row>
    <row r="12149">
      <c r="A12149" s="76" t="s">
        <v>33</v>
      </c>
      <c r="B12149" s="76" t="s">
        <v>1039</v>
      </c>
      <c r="C12149" s="84">
        <v>28.28</v>
      </c>
      <c r="D12149" s="84">
        <v>5.0</v>
      </c>
      <c r="E12149" s="84">
        <v>5.66</v>
      </c>
      <c r="F12149" s="76" t="s">
        <v>990</v>
      </c>
      <c r="G12149" s="83">
        <v>46121.0</v>
      </c>
      <c r="H12149" s="76" t="s">
        <v>957</v>
      </c>
    </row>
    <row r="12150">
      <c r="A12150" s="76" t="s">
        <v>33</v>
      </c>
      <c r="B12150" s="76" t="s">
        <v>1039</v>
      </c>
      <c r="C12150" s="84">
        <v>0.65</v>
      </c>
      <c r="D12150" s="84">
        <v>0.0</v>
      </c>
      <c r="E12150" s="84">
        <v>0.0</v>
      </c>
      <c r="F12150" s="76" t="s">
        <v>990</v>
      </c>
      <c r="G12150" s="83">
        <v>46121.0</v>
      </c>
      <c r="H12150" s="76" t="s">
        <v>958</v>
      </c>
    </row>
    <row r="12151">
      <c r="A12151" s="76" t="s">
        <v>33</v>
      </c>
      <c r="B12151" s="76" t="s">
        <v>1039</v>
      </c>
      <c r="C12151" s="84">
        <v>3.83</v>
      </c>
      <c r="D12151" s="84">
        <v>0.0</v>
      </c>
      <c r="E12151" s="84">
        <v>0.0</v>
      </c>
      <c r="F12151" s="76" t="s">
        <v>990</v>
      </c>
      <c r="G12151" s="83">
        <v>46121.0</v>
      </c>
      <c r="H12151" s="76" t="s">
        <v>959</v>
      </c>
    </row>
    <row r="12152">
      <c r="A12152" s="76" t="s">
        <v>40</v>
      </c>
      <c r="B12152" s="76" t="s">
        <v>1039</v>
      </c>
      <c r="C12152" s="84">
        <v>0.29</v>
      </c>
      <c r="D12152" s="84">
        <v>0.0</v>
      </c>
      <c r="E12152" s="84">
        <v>0.0</v>
      </c>
      <c r="F12152" s="76" t="s">
        <v>990</v>
      </c>
      <c r="G12152" s="83">
        <v>46121.0</v>
      </c>
      <c r="H12152" s="76" t="s">
        <v>954</v>
      </c>
    </row>
    <row r="12153">
      <c r="A12153" s="76" t="s">
        <v>40</v>
      </c>
      <c r="B12153" s="76" t="s">
        <v>1039</v>
      </c>
      <c r="C12153" s="84">
        <v>0.07</v>
      </c>
      <c r="D12153" s="84">
        <v>0.0</v>
      </c>
      <c r="E12153" s="84">
        <v>0.0</v>
      </c>
      <c r="F12153" s="76" t="s">
        <v>990</v>
      </c>
      <c r="G12153" s="83">
        <v>46121.0</v>
      </c>
      <c r="H12153" s="76" t="s">
        <v>955</v>
      </c>
    </row>
    <row r="12154">
      <c r="A12154" s="76" t="s">
        <v>40</v>
      </c>
      <c r="B12154" s="76" t="s">
        <v>1039</v>
      </c>
      <c r="C12154" s="84">
        <v>4.1</v>
      </c>
      <c r="D12154" s="84">
        <v>0.0</v>
      </c>
      <c r="E12154" s="84">
        <v>0.0</v>
      </c>
      <c r="F12154" s="76" t="s">
        <v>990</v>
      </c>
      <c r="G12154" s="83">
        <v>46121.0</v>
      </c>
      <c r="H12154" s="76" t="s">
        <v>956</v>
      </c>
    </row>
    <row r="12155">
      <c r="A12155" s="76" t="s">
        <v>43</v>
      </c>
      <c r="B12155" s="76" t="s">
        <v>1039</v>
      </c>
      <c r="C12155" s="84">
        <v>0.07</v>
      </c>
      <c r="D12155" s="84">
        <v>0.0</v>
      </c>
      <c r="E12155" s="84">
        <v>0.0</v>
      </c>
      <c r="F12155" s="76" t="s">
        <v>990</v>
      </c>
      <c r="G12155" s="83">
        <v>46121.0</v>
      </c>
      <c r="H12155" s="76" t="s">
        <v>963</v>
      </c>
    </row>
    <row r="12156">
      <c r="A12156" s="76" t="s">
        <v>43</v>
      </c>
      <c r="B12156" s="76" t="s">
        <v>1039</v>
      </c>
      <c r="C12156" s="84">
        <v>0.6</v>
      </c>
      <c r="D12156" s="84">
        <v>0.0</v>
      </c>
      <c r="E12156" s="84">
        <v>0.0</v>
      </c>
      <c r="F12156" s="76" t="s">
        <v>990</v>
      </c>
      <c r="G12156" s="83">
        <v>46121.0</v>
      </c>
      <c r="H12156" s="76" t="s">
        <v>964</v>
      </c>
    </row>
    <row r="12157">
      <c r="A12157" s="76" t="s">
        <v>43</v>
      </c>
      <c r="B12157" s="76" t="s">
        <v>1039</v>
      </c>
      <c r="C12157" s="84">
        <v>0.54</v>
      </c>
      <c r="D12157" s="84">
        <v>1.0</v>
      </c>
      <c r="E12157" s="84">
        <v>0.54</v>
      </c>
      <c r="F12157" s="76" t="s">
        <v>990</v>
      </c>
      <c r="G12157" s="83">
        <v>46121.0</v>
      </c>
      <c r="H12157" s="76" t="s">
        <v>965</v>
      </c>
    </row>
    <row r="12158">
      <c r="A12158" s="76" t="s">
        <v>966</v>
      </c>
      <c r="B12158" s="76" t="s">
        <v>1039</v>
      </c>
      <c r="C12158" s="84">
        <v>1.86</v>
      </c>
      <c r="D12158" s="84">
        <v>0.0</v>
      </c>
      <c r="E12158" s="84">
        <v>0.0</v>
      </c>
      <c r="F12158" s="76" t="s">
        <v>990</v>
      </c>
      <c r="G12158" s="83">
        <v>46121.0</v>
      </c>
      <c r="H12158" s="76" t="s">
        <v>967</v>
      </c>
    </row>
    <row r="12159">
      <c r="A12159" s="76" t="s">
        <v>966</v>
      </c>
      <c r="B12159" s="76" t="s">
        <v>1039</v>
      </c>
      <c r="C12159" s="84">
        <v>0.17</v>
      </c>
      <c r="D12159" s="84">
        <v>1.0</v>
      </c>
      <c r="E12159" s="84">
        <v>0.17</v>
      </c>
      <c r="F12159" s="76" t="s">
        <v>990</v>
      </c>
      <c r="G12159" s="83">
        <v>46121.0</v>
      </c>
      <c r="H12159" s="76" t="s">
        <v>968</v>
      </c>
    </row>
    <row r="12160">
      <c r="A12160" s="76" t="s">
        <v>966</v>
      </c>
      <c r="B12160" s="76" t="s">
        <v>1039</v>
      </c>
      <c r="C12160" s="84">
        <v>0.82</v>
      </c>
      <c r="D12160" s="84">
        <v>1.0</v>
      </c>
      <c r="E12160" s="84">
        <v>0.82</v>
      </c>
      <c r="F12160" s="76" t="s">
        <v>990</v>
      </c>
      <c r="G12160" s="83">
        <v>46121.0</v>
      </c>
      <c r="H12160" s="76" t="s">
        <v>969</v>
      </c>
    </row>
    <row r="12161">
      <c r="A12161" s="76" t="s">
        <v>970</v>
      </c>
      <c r="B12161" s="76" t="s">
        <v>1039</v>
      </c>
      <c r="C12161" s="84">
        <v>6.22</v>
      </c>
      <c r="D12161" s="84">
        <v>1.0</v>
      </c>
      <c r="E12161" s="84">
        <v>6.22</v>
      </c>
      <c r="F12161" s="76" t="s">
        <v>996</v>
      </c>
      <c r="G12161" s="83">
        <v>46121.0</v>
      </c>
      <c r="H12161" s="76" t="s">
        <v>971</v>
      </c>
    </row>
    <row r="12162">
      <c r="A12162" s="76" t="s">
        <v>970</v>
      </c>
      <c r="B12162" s="76" t="s">
        <v>1039</v>
      </c>
      <c r="C12162" s="84">
        <v>1.15</v>
      </c>
      <c r="D12162" s="84">
        <v>0.0</v>
      </c>
      <c r="E12162" s="84">
        <v>0.0</v>
      </c>
      <c r="F12162" s="76" t="s">
        <v>996</v>
      </c>
      <c r="G12162" s="83">
        <v>46121.0</v>
      </c>
      <c r="H12162" s="76" t="s">
        <v>972</v>
      </c>
    </row>
    <row r="12163">
      <c r="A12163" s="76" t="s">
        <v>970</v>
      </c>
      <c r="B12163" s="76" t="s">
        <v>1039</v>
      </c>
      <c r="C12163" s="84">
        <v>9.43</v>
      </c>
      <c r="D12163" s="84">
        <v>0.0</v>
      </c>
      <c r="E12163" s="84">
        <v>0.0</v>
      </c>
      <c r="F12163" s="76" t="s">
        <v>996</v>
      </c>
      <c r="G12163" s="83">
        <v>46121.0</v>
      </c>
      <c r="H12163" s="76" t="s">
        <v>973</v>
      </c>
    </row>
    <row r="12164">
      <c r="A12164" s="76" t="s">
        <v>29</v>
      </c>
      <c r="B12164" s="76" t="s">
        <v>1039</v>
      </c>
      <c r="C12164" s="84">
        <v>10.13</v>
      </c>
      <c r="D12164" s="84">
        <v>1.0</v>
      </c>
      <c r="E12164" s="84">
        <v>10.13</v>
      </c>
      <c r="F12164" s="76" t="s">
        <v>996</v>
      </c>
      <c r="G12164" s="83">
        <v>46121.0</v>
      </c>
      <c r="H12164" s="76" t="s">
        <v>971</v>
      </c>
    </row>
    <row r="12165">
      <c r="A12165" s="76" t="s">
        <v>29</v>
      </c>
      <c r="B12165" s="76" t="s">
        <v>1039</v>
      </c>
      <c r="C12165" s="84">
        <v>1.25</v>
      </c>
      <c r="D12165" s="84">
        <v>0.0</v>
      </c>
      <c r="E12165" s="84">
        <v>0.0</v>
      </c>
      <c r="F12165" s="76" t="s">
        <v>996</v>
      </c>
      <c r="G12165" s="83">
        <v>46121.0</v>
      </c>
      <c r="H12165" s="76" t="s">
        <v>972</v>
      </c>
    </row>
    <row r="12166">
      <c r="A12166" s="76" t="s">
        <v>29</v>
      </c>
      <c r="B12166" s="76" t="s">
        <v>1039</v>
      </c>
      <c r="C12166" s="84">
        <v>9.9</v>
      </c>
      <c r="D12166" s="84">
        <v>2.0</v>
      </c>
      <c r="E12166" s="84">
        <v>4.95</v>
      </c>
      <c r="F12166" s="76" t="s">
        <v>996</v>
      </c>
      <c r="G12166" s="83">
        <v>46121.0</v>
      </c>
      <c r="H12166" s="76" t="s">
        <v>973</v>
      </c>
    </row>
    <row r="12167">
      <c r="A12167" s="76" t="s">
        <v>43</v>
      </c>
      <c r="B12167" s="76" t="s">
        <v>1039</v>
      </c>
      <c r="C12167" s="84">
        <v>0.71</v>
      </c>
      <c r="D12167" s="84">
        <v>1.0</v>
      </c>
      <c r="E12167" s="84">
        <v>0.71</v>
      </c>
      <c r="F12167" s="76" t="s">
        <v>996</v>
      </c>
      <c r="G12167" s="83">
        <v>46121.0</v>
      </c>
      <c r="H12167" s="76" t="s">
        <v>963</v>
      </c>
    </row>
    <row r="12168">
      <c r="A12168" s="76" t="s">
        <v>43</v>
      </c>
      <c r="B12168" s="76" t="s">
        <v>1039</v>
      </c>
      <c r="C12168" s="84">
        <v>3.41</v>
      </c>
      <c r="D12168" s="84">
        <v>1.0</v>
      </c>
      <c r="E12168" s="84">
        <v>3.41</v>
      </c>
      <c r="F12168" s="76" t="s">
        <v>996</v>
      </c>
      <c r="G12168" s="83">
        <v>46121.0</v>
      </c>
      <c r="H12168" s="76" t="s">
        <v>964</v>
      </c>
    </row>
    <row r="12169">
      <c r="A12169" s="76" t="s">
        <v>43</v>
      </c>
      <c r="B12169" s="76" t="s">
        <v>1039</v>
      </c>
      <c r="C12169" s="84">
        <v>1.73</v>
      </c>
      <c r="D12169" s="84">
        <v>1.0</v>
      </c>
      <c r="E12169" s="84">
        <v>1.73</v>
      </c>
      <c r="F12169" s="76" t="s">
        <v>996</v>
      </c>
      <c r="G12169" s="83">
        <v>46121.0</v>
      </c>
      <c r="H12169" s="76" t="s">
        <v>965</v>
      </c>
    </row>
    <row r="12170">
      <c r="A12170" s="76" t="s">
        <v>46</v>
      </c>
      <c r="B12170" s="76" t="s">
        <v>1039</v>
      </c>
      <c r="C12170" s="84">
        <v>0.22</v>
      </c>
      <c r="D12170" s="84">
        <v>0.0</v>
      </c>
      <c r="E12170" s="84">
        <v>0.0</v>
      </c>
      <c r="F12170" s="76" t="s">
        <v>996</v>
      </c>
      <c r="G12170" s="83">
        <v>46121.0</v>
      </c>
      <c r="H12170" s="76" t="s">
        <v>960</v>
      </c>
    </row>
    <row r="12171">
      <c r="A12171" s="76" t="s">
        <v>46</v>
      </c>
      <c r="B12171" s="76" t="s">
        <v>1039</v>
      </c>
      <c r="C12171" s="84">
        <v>1.18</v>
      </c>
      <c r="D12171" s="84">
        <v>0.0</v>
      </c>
      <c r="E12171" s="84">
        <v>0.0</v>
      </c>
      <c r="F12171" s="76" t="s">
        <v>996</v>
      </c>
      <c r="G12171" s="83">
        <v>46121.0</v>
      </c>
      <c r="H12171" s="76" t="s">
        <v>961</v>
      </c>
    </row>
    <row r="12172">
      <c r="A12172" s="76" t="s">
        <v>46</v>
      </c>
      <c r="B12172" s="76" t="s">
        <v>1039</v>
      </c>
      <c r="C12172" s="84">
        <v>1.22</v>
      </c>
      <c r="D12172" s="84">
        <v>0.0</v>
      </c>
      <c r="E12172" s="84">
        <v>0.0</v>
      </c>
      <c r="F12172" s="76" t="s">
        <v>996</v>
      </c>
      <c r="G12172" s="83">
        <v>46121.0</v>
      </c>
      <c r="H12172" s="76" t="s">
        <v>962</v>
      </c>
    </row>
    <row r="12173">
      <c r="A12173" s="76" t="s">
        <v>966</v>
      </c>
      <c r="B12173" s="76" t="s">
        <v>1039</v>
      </c>
      <c r="C12173" s="84">
        <v>5.1</v>
      </c>
      <c r="D12173" s="84">
        <v>3.0</v>
      </c>
      <c r="E12173" s="84">
        <v>1.7</v>
      </c>
      <c r="F12173" s="76" t="s">
        <v>996</v>
      </c>
      <c r="G12173" s="83">
        <v>46121.0</v>
      </c>
      <c r="H12173" s="76" t="s">
        <v>967</v>
      </c>
    </row>
    <row r="12174">
      <c r="A12174" s="76" t="s">
        <v>966</v>
      </c>
      <c r="B12174" s="76" t="s">
        <v>1039</v>
      </c>
      <c r="C12174" s="84">
        <v>0.92</v>
      </c>
      <c r="D12174" s="84">
        <v>0.0</v>
      </c>
      <c r="E12174" s="84">
        <v>0.0</v>
      </c>
      <c r="F12174" s="76" t="s">
        <v>996</v>
      </c>
      <c r="G12174" s="83">
        <v>46121.0</v>
      </c>
      <c r="H12174" s="76" t="s">
        <v>968</v>
      </c>
    </row>
    <row r="12175">
      <c r="A12175" s="76" t="s">
        <v>966</v>
      </c>
      <c r="B12175" s="76" t="s">
        <v>1039</v>
      </c>
      <c r="C12175" s="84">
        <v>4.23</v>
      </c>
      <c r="D12175" s="84">
        <v>0.0</v>
      </c>
      <c r="E12175" s="84">
        <v>0.0</v>
      </c>
      <c r="F12175" s="76" t="s">
        <v>996</v>
      </c>
      <c r="G12175" s="83">
        <v>46121.0</v>
      </c>
      <c r="H12175" s="76" t="s">
        <v>969</v>
      </c>
    </row>
    <row r="12176">
      <c r="A12176" s="76" t="s">
        <v>33</v>
      </c>
      <c r="B12176" s="76" t="s">
        <v>1039</v>
      </c>
      <c r="C12176" s="84">
        <v>324.2</v>
      </c>
      <c r="D12176" s="84">
        <v>38.0</v>
      </c>
      <c r="E12176" s="84">
        <v>8.53</v>
      </c>
      <c r="F12176" s="76" t="s">
        <v>996</v>
      </c>
      <c r="G12176" s="83">
        <v>46121.0</v>
      </c>
      <c r="H12176" s="76" t="s">
        <v>957</v>
      </c>
    </row>
    <row r="12177">
      <c r="A12177" s="76" t="s">
        <v>33</v>
      </c>
      <c r="B12177" s="76" t="s">
        <v>1039</v>
      </c>
      <c r="C12177" s="84">
        <v>23.16</v>
      </c>
      <c r="D12177" s="84">
        <v>3.0</v>
      </c>
      <c r="E12177" s="84">
        <v>7.72</v>
      </c>
      <c r="F12177" s="76" t="s">
        <v>996</v>
      </c>
      <c r="G12177" s="83">
        <v>46121.0</v>
      </c>
      <c r="H12177" s="76" t="s">
        <v>958</v>
      </c>
    </row>
    <row r="12178">
      <c r="A12178" s="76" t="s">
        <v>33</v>
      </c>
      <c r="B12178" s="76" t="s">
        <v>1039</v>
      </c>
      <c r="C12178" s="84">
        <v>98.6</v>
      </c>
      <c r="D12178" s="84">
        <v>14.0</v>
      </c>
      <c r="E12178" s="84">
        <v>7.04</v>
      </c>
      <c r="F12178" s="76" t="s">
        <v>996</v>
      </c>
      <c r="G12178" s="83">
        <v>46121.0</v>
      </c>
      <c r="H12178" s="76" t="s">
        <v>959</v>
      </c>
    </row>
    <row r="12179">
      <c r="A12179" s="76" t="s">
        <v>34</v>
      </c>
      <c r="B12179" s="76" t="s">
        <v>1039</v>
      </c>
      <c r="C12179" s="84">
        <v>4.03</v>
      </c>
      <c r="D12179" s="84">
        <v>1.0</v>
      </c>
      <c r="E12179" s="84">
        <v>4.03</v>
      </c>
      <c r="F12179" s="76" t="s">
        <v>996</v>
      </c>
      <c r="G12179" s="83">
        <v>46121.0</v>
      </c>
      <c r="H12179" s="76" t="s">
        <v>951</v>
      </c>
    </row>
    <row r="12180">
      <c r="A12180" s="76" t="s">
        <v>34</v>
      </c>
      <c r="B12180" s="76" t="s">
        <v>1039</v>
      </c>
      <c r="C12180" s="84">
        <v>4.97</v>
      </c>
      <c r="D12180" s="84">
        <v>0.0</v>
      </c>
      <c r="E12180" s="84">
        <v>0.0</v>
      </c>
      <c r="F12180" s="76" t="s">
        <v>996</v>
      </c>
      <c r="G12180" s="83">
        <v>46121.0</v>
      </c>
      <c r="H12180" s="76" t="s">
        <v>952</v>
      </c>
    </row>
    <row r="12181">
      <c r="A12181" s="76" t="s">
        <v>34</v>
      </c>
      <c r="B12181" s="76" t="s">
        <v>1039</v>
      </c>
      <c r="C12181" s="84">
        <v>1.39</v>
      </c>
      <c r="D12181" s="84">
        <v>0.0</v>
      </c>
      <c r="E12181" s="84">
        <v>0.0</v>
      </c>
      <c r="F12181" s="76" t="s">
        <v>996</v>
      </c>
      <c r="G12181" s="83">
        <v>46121.0</v>
      </c>
      <c r="H12181" s="76" t="s">
        <v>953</v>
      </c>
    </row>
    <row r="12182">
      <c r="A12182" s="76" t="s">
        <v>36</v>
      </c>
      <c r="B12182" s="76" t="s">
        <v>1039</v>
      </c>
      <c r="C12182" s="84">
        <v>9.08</v>
      </c>
      <c r="D12182" s="84">
        <v>1.0</v>
      </c>
      <c r="E12182" s="84">
        <v>9.08</v>
      </c>
      <c r="F12182" s="76" t="s">
        <v>996</v>
      </c>
      <c r="G12182" s="83">
        <v>46121.0</v>
      </c>
      <c r="H12182" s="76" t="s">
        <v>926</v>
      </c>
    </row>
    <row r="12183">
      <c r="A12183" s="76" t="s">
        <v>36</v>
      </c>
      <c r="B12183" s="76" t="s">
        <v>1039</v>
      </c>
      <c r="C12183" s="84">
        <v>1.36</v>
      </c>
      <c r="D12183" s="84">
        <v>1.0</v>
      </c>
      <c r="E12183" s="84">
        <v>1.36</v>
      </c>
      <c r="F12183" s="76" t="s">
        <v>996</v>
      </c>
      <c r="G12183" s="83">
        <v>46121.0</v>
      </c>
      <c r="H12183" s="76" t="s">
        <v>927</v>
      </c>
    </row>
    <row r="12184">
      <c r="A12184" s="76" t="s">
        <v>36</v>
      </c>
      <c r="B12184" s="76" t="s">
        <v>1039</v>
      </c>
      <c r="C12184" s="84">
        <v>4.12</v>
      </c>
      <c r="D12184" s="84">
        <v>2.0</v>
      </c>
      <c r="E12184" s="84">
        <v>2.06</v>
      </c>
      <c r="F12184" s="76" t="s">
        <v>996</v>
      </c>
      <c r="G12184" s="83">
        <v>46121.0</v>
      </c>
      <c r="H12184" s="76" t="s">
        <v>928</v>
      </c>
    </row>
    <row r="12185">
      <c r="A12185" s="76" t="s">
        <v>40</v>
      </c>
      <c r="B12185" s="76" t="s">
        <v>1039</v>
      </c>
      <c r="C12185" s="84">
        <v>3.77</v>
      </c>
      <c r="D12185" s="84">
        <v>2.0</v>
      </c>
      <c r="E12185" s="84">
        <v>1.88</v>
      </c>
      <c r="F12185" s="76" t="s">
        <v>996</v>
      </c>
      <c r="G12185" s="83">
        <v>46121.0</v>
      </c>
      <c r="H12185" s="76" t="s">
        <v>954</v>
      </c>
    </row>
    <row r="12186">
      <c r="A12186" s="76" t="s">
        <v>40</v>
      </c>
      <c r="B12186" s="76" t="s">
        <v>1039</v>
      </c>
      <c r="C12186" s="84">
        <v>0.83</v>
      </c>
      <c r="D12186" s="84">
        <v>1.0</v>
      </c>
      <c r="E12186" s="84">
        <v>0.83</v>
      </c>
      <c r="F12186" s="76" t="s">
        <v>996</v>
      </c>
      <c r="G12186" s="83">
        <v>46121.0</v>
      </c>
      <c r="H12186" s="76" t="s">
        <v>955</v>
      </c>
    </row>
    <row r="12187">
      <c r="A12187" s="76" t="s">
        <v>40</v>
      </c>
      <c r="B12187" s="76" t="s">
        <v>1039</v>
      </c>
      <c r="C12187" s="84">
        <v>41.54</v>
      </c>
      <c r="D12187" s="84">
        <v>9.0</v>
      </c>
      <c r="E12187" s="84">
        <v>4.62</v>
      </c>
      <c r="F12187" s="76" t="s">
        <v>996</v>
      </c>
      <c r="G12187" s="83">
        <v>46121.0</v>
      </c>
      <c r="H12187" s="76" t="s">
        <v>956</v>
      </c>
    </row>
    <row r="12188">
      <c r="A12188" s="76" t="s">
        <v>40</v>
      </c>
      <c r="B12188" s="76" t="s">
        <v>1039</v>
      </c>
      <c r="C12188" s="84">
        <v>0.11</v>
      </c>
      <c r="D12188" s="84">
        <v>0.0</v>
      </c>
      <c r="E12188" s="84">
        <v>0.0</v>
      </c>
      <c r="F12188" s="76" t="s">
        <v>993</v>
      </c>
      <c r="G12188" s="83">
        <v>46121.0</v>
      </c>
      <c r="H12188" s="76" t="s">
        <v>954</v>
      </c>
    </row>
    <row r="12189">
      <c r="A12189" s="76" t="s">
        <v>40</v>
      </c>
      <c r="B12189" s="76" t="s">
        <v>1039</v>
      </c>
      <c r="C12189" s="84">
        <v>0.04</v>
      </c>
      <c r="D12189" s="84">
        <v>0.0</v>
      </c>
      <c r="E12189" s="84">
        <v>0.0</v>
      </c>
      <c r="F12189" s="76" t="s">
        <v>993</v>
      </c>
      <c r="G12189" s="83">
        <v>46121.0</v>
      </c>
      <c r="H12189" s="76" t="s">
        <v>955</v>
      </c>
    </row>
    <row r="12190">
      <c r="A12190" s="76" t="s">
        <v>40</v>
      </c>
      <c r="B12190" s="76" t="s">
        <v>1039</v>
      </c>
      <c r="C12190" s="84">
        <v>0.53</v>
      </c>
      <c r="D12190" s="84">
        <v>0.0</v>
      </c>
      <c r="E12190" s="84">
        <v>0.0</v>
      </c>
      <c r="F12190" s="76" t="s">
        <v>993</v>
      </c>
      <c r="G12190" s="83">
        <v>46121.0</v>
      </c>
      <c r="H12190" s="76" t="s">
        <v>956</v>
      </c>
    </row>
    <row r="12191">
      <c r="A12191" s="76" t="s">
        <v>36</v>
      </c>
      <c r="B12191" s="76" t="s">
        <v>1039</v>
      </c>
      <c r="C12191" s="84">
        <v>0.27</v>
      </c>
      <c r="D12191" s="84">
        <v>0.0</v>
      </c>
      <c r="E12191" s="84">
        <v>0.0</v>
      </c>
      <c r="F12191" s="76" t="s">
        <v>993</v>
      </c>
      <c r="G12191" s="83">
        <v>46121.0</v>
      </c>
      <c r="H12191" s="76" t="s">
        <v>926</v>
      </c>
    </row>
    <row r="12192">
      <c r="A12192" s="76" t="s">
        <v>36</v>
      </c>
      <c r="B12192" s="76" t="s">
        <v>1039</v>
      </c>
      <c r="C12192" s="84">
        <v>0.07</v>
      </c>
      <c r="D12192" s="84">
        <v>0.0</v>
      </c>
      <c r="E12192" s="84">
        <v>0.0</v>
      </c>
      <c r="F12192" s="76" t="s">
        <v>993</v>
      </c>
      <c r="G12192" s="83">
        <v>46121.0</v>
      </c>
      <c r="H12192" s="76" t="s">
        <v>927</v>
      </c>
    </row>
    <row r="12193">
      <c r="A12193" s="76" t="s">
        <v>36</v>
      </c>
      <c r="B12193" s="76" t="s">
        <v>1039</v>
      </c>
      <c r="C12193" s="84">
        <v>0.14</v>
      </c>
      <c r="D12193" s="84">
        <v>0.0</v>
      </c>
      <c r="E12193" s="84">
        <v>0.0</v>
      </c>
      <c r="F12193" s="76" t="s">
        <v>993</v>
      </c>
      <c r="G12193" s="83">
        <v>46121.0</v>
      </c>
      <c r="H12193" s="76" t="s">
        <v>928</v>
      </c>
    </row>
    <row r="12194">
      <c r="A12194" s="76" t="s">
        <v>46</v>
      </c>
      <c r="B12194" s="76" t="s">
        <v>1039</v>
      </c>
      <c r="C12194" s="84">
        <v>0.04</v>
      </c>
      <c r="D12194" s="84">
        <v>0.0</v>
      </c>
      <c r="E12194" s="84">
        <v>0.0</v>
      </c>
      <c r="F12194" s="76" t="s">
        <v>993</v>
      </c>
      <c r="G12194" s="83">
        <v>46121.0</v>
      </c>
      <c r="H12194" s="76" t="s">
        <v>960</v>
      </c>
    </row>
    <row r="12195">
      <c r="A12195" s="76" t="s">
        <v>46</v>
      </c>
      <c r="B12195" s="76" t="s">
        <v>1039</v>
      </c>
      <c r="C12195" s="84">
        <v>0.03</v>
      </c>
      <c r="D12195" s="84">
        <v>0.0</v>
      </c>
      <c r="E12195" s="84">
        <v>0.0</v>
      </c>
      <c r="F12195" s="76" t="s">
        <v>993</v>
      </c>
      <c r="G12195" s="83">
        <v>46121.0</v>
      </c>
      <c r="H12195" s="76" t="s">
        <v>961</v>
      </c>
    </row>
    <row r="12196">
      <c r="A12196" s="76" t="s">
        <v>46</v>
      </c>
      <c r="B12196" s="76" t="s">
        <v>1039</v>
      </c>
      <c r="C12196" s="84">
        <v>0.12</v>
      </c>
      <c r="D12196" s="84">
        <v>0.0</v>
      </c>
      <c r="E12196" s="84">
        <v>0.0</v>
      </c>
      <c r="F12196" s="76" t="s">
        <v>993</v>
      </c>
      <c r="G12196" s="83">
        <v>46121.0</v>
      </c>
      <c r="H12196" s="76" t="s">
        <v>962</v>
      </c>
    </row>
    <row r="12197">
      <c r="A12197" s="76" t="s">
        <v>970</v>
      </c>
      <c r="B12197" s="76" t="s">
        <v>1039</v>
      </c>
      <c r="C12197" s="84">
        <v>0.6</v>
      </c>
      <c r="D12197" s="84">
        <v>0.0</v>
      </c>
      <c r="E12197" s="84">
        <v>0.0</v>
      </c>
      <c r="F12197" s="76" t="s">
        <v>993</v>
      </c>
      <c r="G12197" s="83">
        <v>46121.0</v>
      </c>
      <c r="H12197" s="76" t="s">
        <v>971</v>
      </c>
    </row>
    <row r="12198">
      <c r="A12198" s="76" t="s">
        <v>970</v>
      </c>
      <c r="B12198" s="76" t="s">
        <v>1039</v>
      </c>
      <c r="C12198" s="84">
        <v>0.14</v>
      </c>
      <c r="D12198" s="84">
        <v>0.0</v>
      </c>
      <c r="E12198" s="84">
        <v>0.0</v>
      </c>
      <c r="F12198" s="76" t="s">
        <v>993</v>
      </c>
      <c r="G12198" s="83">
        <v>46121.0</v>
      </c>
      <c r="H12198" s="76" t="s">
        <v>972</v>
      </c>
    </row>
    <row r="12199">
      <c r="A12199" s="76" t="s">
        <v>970</v>
      </c>
      <c r="B12199" s="76" t="s">
        <v>1039</v>
      </c>
      <c r="C12199" s="84">
        <v>1.17</v>
      </c>
      <c r="D12199" s="84">
        <v>0.0</v>
      </c>
      <c r="E12199" s="84">
        <v>0.0</v>
      </c>
      <c r="F12199" s="76" t="s">
        <v>993</v>
      </c>
      <c r="G12199" s="83">
        <v>46121.0</v>
      </c>
      <c r="H12199" s="76" t="s">
        <v>973</v>
      </c>
    </row>
    <row r="12200">
      <c r="A12200" s="76" t="s">
        <v>33</v>
      </c>
      <c r="B12200" s="76" t="s">
        <v>1039</v>
      </c>
      <c r="C12200" s="84">
        <v>3.24</v>
      </c>
      <c r="D12200" s="84">
        <v>0.0</v>
      </c>
      <c r="E12200" s="84">
        <v>0.0</v>
      </c>
      <c r="F12200" s="76" t="s">
        <v>993</v>
      </c>
      <c r="G12200" s="83">
        <v>46121.0</v>
      </c>
      <c r="H12200" s="76" t="s">
        <v>957</v>
      </c>
    </row>
    <row r="12201">
      <c r="A12201" s="76" t="s">
        <v>33</v>
      </c>
      <c r="B12201" s="76" t="s">
        <v>1039</v>
      </c>
      <c r="C12201" s="84">
        <v>0.12</v>
      </c>
      <c r="D12201" s="84">
        <v>0.0</v>
      </c>
      <c r="E12201" s="84">
        <v>0.0</v>
      </c>
      <c r="F12201" s="76" t="s">
        <v>993</v>
      </c>
      <c r="G12201" s="83">
        <v>46121.0</v>
      </c>
      <c r="H12201" s="76" t="s">
        <v>958</v>
      </c>
    </row>
    <row r="12202">
      <c r="A12202" s="76" t="s">
        <v>33</v>
      </c>
      <c r="B12202" s="76" t="s">
        <v>1039</v>
      </c>
      <c r="C12202" s="84">
        <v>0.81</v>
      </c>
      <c r="D12202" s="84">
        <v>0.0</v>
      </c>
      <c r="E12202" s="84">
        <v>0.0</v>
      </c>
      <c r="F12202" s="76" t="s">
        <v>993</v>
      </c>
      <c r="G12202" s="83">
        <v>46121.0</v>
      </c>
      <c r="H12202" s="76" t="s">
        <v>959</v>
      </c>
    </row>
    <row r="12203">
      <c r="A12203" s="76" t="s">
        <v>966</v>
      </c>
      <c r="B12203" s="76" t="s">
        <v>1039</v>
      </c>
      <c r="C12203" s="84">
        <v>0.33</v>
      </c>
      <c r="D12203" s="84">
        <v>0.0</v>
      </c>
      <c r="E12203" s="84">
        <v>0.0</v>
      </c>
      <c r="F12203" s="76" t="s">
        <v>993</v>
      </c>
      <c r="G12203" s="83">
        <v>46121.0</v>
      </c>
      <c r="H12203" s="76" t="s">
        <v>967</v>
      </c>
    </row>
    <row r="12204">
      <c r="A12204" s="76" t="s">
        <v>966</v>
      </c>
      <c r="B12204" s="76" t="s">
        <v>1039</v>
      </c>
      <c r="C12204" s="84">
        <v>0.06</v>
      </c>
      <c r="D12204" s="84">
        <v>0.0</v>
      </c>
      <c r="E12204" s="84">
        <v>0.0</v>
      </c>
      <c r="F12204" s="76" t="s">
        <v>993</v>
      </c>
      <c r="G12204" s="83">
        <v>46121.0</v>
      </c>
      <c r="H12204" s="76" t="s">
        <v>968</v>
      </c>
    </row>
    <row r="12205">
      <c r="A12205" s="76" t="s">
        <v>966</v>
      </c>
      <c r="B12205" s="76" t="s">
        <v>1039</v>
      </c>
      <c r="C12205" s="84">
        <v>0.17</v>
      </c>
      <c r="D12205" s="84">
        <v>0.0</v>
      </c>
      <c r="E12205" s="84">
        <v>0.0</v>
      </c>
      <c r="F12205" s="76" t="s">
        <v>993</v>
      </c>
      <c r="G12205" s="83">
        <v>46121.0</v>
      </c>
      <c r="H12205" s="76" t="s">
        <v>969</v>
      </c>
    </row>
    <row r="12206">
      <c r="A12206" s="76" t="s">
        <v>29</v>
      </c>
      <c r="B12206" s="76" t="s">
        <v>1039</v>
      </c>
      <c r="C12206" s="84">
        <v>0.72</v>
      </c>
      <c r="D12206" s="84">
        <v>0.0</v>
      </c>
      <c r="E12206" s="84">
        <v>0.0</v>
      </c>
      <c r="F12206" s="76" t="s">
        <v>993</v>
      </c>
      <c r="G12206" s="83">
        <v>46121.0</v>
      </c>
      <c r="H12206" s="76" t="s">
        <v>971</v>
      </c>
    </row>
    <row r="12207">
      <c r="A12207" s="76" t="s">
        <v>29</v>
      </c>
      <c r="B12207" s="76" t="s">
        <v>1039</v>
      </c>
      <c r="C12207" s="84">
        <v>0.27</v>
      </c>
      <c r="D12207" s="84">
        <v>0.0</v>
      </c>
      <c r="E12207" s="84">
        <v>0.0</v>
      </c>
      <c r="F12207" s="76" t="s">
        <v>993</v>
      </c>
      <c r="G12207" s="83">
        <v>46121.0</v>
      </c>
      <c r="H12207" s="76" t="s">
        <v>972</v>
      </c>
    </row>
    <row r="12208">
      <c r="A12208" s="76" t="s">
        <v>29</v>
      </c>
      <c r="B12208" s="76" t="s">
        <v>1039</v>
      </c>
      <c r="C12208" s="84">
        <v>1.24</v>
      </c>
      <c r="D12208" s="84">
        <v>2.0</v>
      </c>
      <c r="E12208" s="84">
        <v>0.62</v>
      </c>
      <c r="F12208" s="76" t="s">
        <v>993</v>
      </c>
      <c r="G12208" s="83">
        <v>46121.0</v>
      </c>
      <c r="H12208" s="76" t="s">
        <v>973</v>
      </c>
    </row>
    <row r="12209">
      <c r="A12209" s="76" t="s">
        <v>34</v>
      </c>
      <c r="B12209" s="76" t="s">
        <v>1039</v>
      </c>
      <c r="C12209" s="84">
        <v>0.22</v>
      </c>
      <c r="D12209" s="84">
        <v>0.0</v>
      </c>
      <c r="E12209" s="84">
        <v>0.0</v>
      </c>
      <c r="F12209" s="76" t="s">
        <v>993</v>
      </c>
      <c r="G12209" s="83">
        <v>46121.0</v>
      </c>
      <c r="H12209" s="76" t="s">
        <v>951</v>
      </c>
    </row>
    <row r="12210">
      <c r="A12210" s="76" t="s">
        <v>34</v>
      </c>
      <c r="B12210" s="76" t="s">
        <v>1039</v>
      </c>
      <c r="C12210" s="84">
        <v>0.34</v>
      </c>
      <c r="D12210" s="84">
        <v>0.0</v>
      </c>
      <c r="E12210" s="84">
        <v>0.0</v>
      </c>
      <c r="F12210" s="76" t="s">
        <v>993</v>
      </c>
      <c r="G12210" s="83">
        <v>46121.0</v>
      </c>
      <c r="H12210" s="76" t="s">
        <v>952</v>
      </c>
    </row>
    <row r="12211">
      <c r="A12211" s="76" t="s">
        <v>34</v>
      </c>
      <c r="B12211" s="76" t="s">
        <v>1039</v>
      </c>
      <c r="C12211" s="84">
        <v>0.09</v>
      </c>
      <c r="D12211" s="84">
        <v>0.0</v>
      </c>
      <c r="E12211" s="84">
        <v>0.0</v>
      </c>
      <c r="F12211" s="76" t="s">
        <v>993</v>
      </c>
      <c r="G12211" s="83">
        <v>46121.0</v>
      </c>
      <c r="H12211" s="76" t="s">
        <v>953</v>
      </c>
    </row>
    <row r="12212">
      <c r="A12212" s="76" t="s">
        <v>43</v>
      </c>
      <c r="B12212" s="76" t="s">
        <v>1039</v>
      </c>
      <c r="C12212" s="84">
        <v>0.04</v>
      </c>
      <c r="D12212" s="84">
        <v>0.0</v>
      </c>
      <c r="E12212" s="84">
        <v>0.0</v>
      </c>
      <c r="F12212" s="76" t="s">
        <v>993</v>
      </c>
      <c r="G12212" s="83">
        <v>46121.0</v>
      </c>
      <c r="H12212" s="76" t="s">
        <v>963</v>
      </c>
    </row>
    <row r="12213">
      <c r="A12213" s="76" t="s">
        <v>43</v>
      </c>
      <c r="B12213" s="76" t="s">
        <v>1039</v>
      </c>
      <c r="C12213" s="84">
        <v>0.13</v>
      </c>
      <c r="D12213" s="84">
        <v>0.0</v>
      </c>
      <c r="E12213" s="84">
        <v>0.0</v>
      </c>
      <c r="F12213" s="76" t="s">
        <v>993</v>
      </c>
      <c r="G12213" s="83">
        <v>46121.0</v>
      </c>
      <c r="H12213" s="76" t="s">
        <v>964</v>
      </c>
    </row>
    <row r="12214">
      <c r="A12214" s="76" t="s">
        <v>43</v>
      </c>
      <c r="B12214" s="76" t="s">
        <v>1039</v>
      </c>
      <c r="C12214" s="84">
        <v>0.05</v>
      </c>
      <c r="D12214" s="84">
        <v>0.0</v>
      </c>
      <c r="E12214" s="84">
        <v>0.0</v>
      </c>
      <c r="F12214" s="76" t="s">
        <v>993</v>
      </c>
      <c r="G12214" s="83">
        <v>46121.0</v>
      </c>
      <c r="H12214" s="76" t="s">
        <v>965</v>
      </c>
    </row>
    <row r="12215">
      <c r="A12215" s="76" t="s">
        <v>36</v>
      </c>
      <c r="B12215" s="76" t="s">
        <v>1039</v>
      </c>
      <c r="C12215" s="84">
        <v>0.69</v>
      </c>
      <c r="D12215" s="84">
        <v>0.0</v>
      </c>
      <c r="E12215" s="84">
        <v>0.0</v>
      </c>
      <c r="F12215" s="76" t="s">
        <v>998</v>
      </c>
      <c r="G12215" s="83">
        <v>46121.0</v>
      </c>
      <c r="H12215" s="76" t="s">
        <v>926</v>
      </c>
    </row>
    <row r="12216">
      <c r="A12216" s="76" t="s">
        <v>36</v>
      </c>
      <c r="B12216" s="76" t="s">
        <v>1039</v>
      </c>
      <c r="C12216" s="84">
        <v>0.34</v>
      </c>
      <c r="D12216" s="84">
        <v>0.0</v>
      </c>
      <c r="E12216" s="84">
        <v>0.0</v>
      </c>
      <c r="F12216" s="76" t="s">
        <v>998</v>
      </c>
      <c r="G12216" s="83">
        <v>46121.0</v>
      </c>
      <c r="H12216" s="76" t="s">
        <v>927</v>
      </c>
    </row>
    <row r="12217">
      <c r="A12217" s="76" t="s">
        <v>36</v>
      </c>
      <c r="B12217" s="76" t="s">
        <v>1039</v>
      </c>
      <c r="C12217" s="84">
        <v>0.25</v>
      </c>
      <c r="D12217" s="84">
        <v>0.0</v>
      </c>
      <c r="E12217" s="84">
        <v>0.0</v>
      </c>
      <c r="F12217" s="76" t="s">
        <v>998</v>
      </c>
      <c r="G12217" s="83">
        <v>46121.0</v>
      </c>
      <c r="H12217" s="76" t="s">
        <v>928</v>
      </c>
    </row>
    <row r="12218">
      <c r="A12218" s="76" t="s">
        <v>34</v>
      </c>
      <c r="B12218" s="76" t="s">
        <v>1039</v>
      </c>
      <c r="C12218" s="84">
        <v>0.35</v>
      </c>
      <c r="D12218" s="84">
        <v>0.0</v>
      </c>
      <c r="E12218" s="84">
        <v>0.0</v>
      </c>
      <c r="F12218" s="76" t="s">
        <v>998</v>
      </c>
      <c r="G12218" s="83">
        <v>46121.0</v>
      </c>
      <c r="H12218" s="76" t="s">
        <v>951</v>
      </c>
    </row>
    <row r="12219">
      <c r="A12219" s="76" t="s">
        <v>34</v>
      </c>
      <c r="B12219" s="76" t="s">
        <v>1039</v>
      </c>
      <c r="C12219" s="84">
        <v>0.59</v>
      </c>
      <c r="D12219" s="84">
        <v>1.0</v>
      </c>
      <c r="E12219" s="84">
        <v>0.59</v>
      </c>
      <c r="F12219" s="76" t="s">
        <v>998</v>
      </c>
      <c r="G12219" s="83">
        <v>46121.0</v>
      </c>
      <c r="H12219" s="76" t="s">
        <v>952</v>
      </c>
    </row>
    <row r="12220">
      <c r="A12220" s="76" t="s">
        <v>34</v>
      </c>
      <c r="B12220" s="76" t="s">
        <v>1039</v>
      </c>
      <c r="C12220" s="84">
        <v>0.2</v>
      </c>
      <c r="D12220" s="84">
        <v>0.0</v>
      </c>
      <c r="E12220" s="84">
        <v>0.0</v>
      </c>
      <c r="F12220" s="76" t="s">
        <v>998</v>
      </c>
      <c r="G12220" s="83">
        <v>46121.0</v>
      </c>
      <c r="H12220" s="76" t="s">
        <v>953</v>
      </c>
    </row>
    <row r="12221">
      <c r="A12221" s="76" t="s">
        <v>33</v>
      </c>
      <c r="B12221" s="76" t="s">
        <v>1039</v>
      </c>
      <c r="C12221" s="84">
        <v>4.3</v>
      </c>
      <c r="D12221" s="84">
        <v>1.0</v>
      </c>
      <c r="E12221" s="84">
        <v>4.3</v>
      </c>
      <c r="F12221" s="76" t="s">
        <v>998</v>
      </c>
      <c r="G12221" s="83">
        <v>46121.0</v>
      </c>
      <c r="H12221" s="76" t="s">
        <v>957</v>
      </c>
    </row>
    <row r="12222">
      <c r="A12222" s="76" t="s">
        <v>33</v>
      </c>
      <c r="B12222" s="76" t="s">
        <v>1039</v>
      </c>
      <c r="C12222" s="84">
        <v>0.73</v>
      </c>
      <c r="D12222" s="84">
        <v>1.0</v>
      </c>
      <c r="E12222" s="84">
        <v>0.73</v>
      </c>
      <c r="F12222" s="76" t="s">
        <v>998</v>
      </c>
      <c r="G12222" s="83">
        <v>46121.0</v>
      </c>
      <c r="H12222" s="76" t="s">
        <v>958</v>
      </c>
    </row>
    <row r="12223">
      <c r="A12223" s="76" t="s">
        <v>33</v>
      </c>
      <c r="B12223" s="76" t="s">
        <v>1039</v>
      </c>
      <c r="C12223" s="84">
        <v>1.34</v>
      </c>
      <c r="D12223" s="84">
        <v>0.0</v>
      </c>
      <c r="E12223" s="84">
        <v>0.0</v>
      </c>
      <c r="F12223" s="76" t="s">
        <v>998</v>
      </c>
      <c r="G12223" s="83">
        <v>46121.0</v>
      </c>
      <c r="H12223" s="76" t="s">
        <v>959</v>
      </c>
    </row>
    <row r="12224">
      <c r="A12224" s="76" t="s">
        <v>29</v>
      </c>
      <c r="B12224" s="76" t="s">
        <v>1039</v>
      </c>
      <c r="C12224" s="84">
        <v>0.66</v>
      </c>
      <c r="D12224" s="84">
        <v>1.0</v>
      </c>
      <c r="E12224" s="84">
        <v>0.66</v>
      </c>
      <c r="F12224" s="76" t="s">
        <v>998</v>
      </c>
      <c r="G12224" s="83">
        <v>46121.0</v>
      </c>
      <c r="H12224" s="76" t="s">
        <v>971</v>
      </c>
    </row>
    <row r="12225">
      <c r="A12225" s="76" t="s">
        <v>29</v>
      </c>
      <c r="B12225" s="76" t="s">
        <v>1039</v>
      </c>
      <c r="C12225" s="84">
        <v>0.19</v>
      </c>
      <c r="D12225" s="84">
        <v>0.0</v>
      </c>
      <c r="E12225" s="84">
        <v>0.0</v>
      </c>
      <c r="F12225" s="76" t="s">
        <v>998</v>
      </c>
      <c r="G12225" s="83">
        <v>46121.0</v>
      </c>
      <c r="H12225" s="76" t="s">
        <v>972</v>
      </c>
    </row>
    <row r="12226">
      <c r="A12226" s="76" t="s">
        <v>29</v>
      </c>
      <c r="B12226" s="76" t="s">
        <v>1039</v>
      </c>
      <c r="C12226" s="84">
        <v>1.1</v>
      </c>
      <c r="D12226" s="84">
        <v>0.0</v>
      </c>
      <c r="E12226" s="84">
        <v>0.0</v>
      </c>
      <c r="F12226" s="76" t="s">
        <v>998</v>
      </c>
      <c r="G12226" s="83">
        <v>46121.0</v>
      </c>
      <c r="H12226" s="76" t="s">
        <v>973</v>
      </c>
    </row>
    <row r="12227">
      <c r="A12227" s="76" t="s">
        <v>46</v>
      </c>
      <c r="B12227" s="76" t="s">
        <v>1039</v>
      </c>
      <c r="C12227" s="84">
        <v>0.09</v>
      </c>
      <c r="D12227" s="84">
        <v>0.0</v>
      </c>
      <c r="E12227" s="84">
        <v>0.0</v>
      </c>
      <c r="F12227" s="76" t="s">
        <v>998</v>
      </c>
      <c r="G12227" s="83">
        <v>46121.0</v>
      </c>
      <c r="H12227" s="76" t="s">
        <v>960</v>
      </c>
    </row>
    <row r="12228">
      <c r="A12228" s="76" t="s">
        <v>46</v>
      </c>
      <c r="B12228" s="76" t="s">
        <v>1039</v>
      </c>
      <c r="C12228" s="84">
        <v>0.28</v>
      </c>
      <c r="D12228" s="84">
        <v>0.0</v>
      </c>
      <c r="E12228" s="84">
        <v>0.0</v>
      </c>
      <c r="F12228" s="76" t="s">
        <v>998</v>
      </c>
      <c r="G12228" s="83">
        <v>46121.0</v>
      </c>
      <c r="H12228" s="76" t="s">
        <v>961</v>
      </c>
    </row>
    <row r="12229">
      <c r="A12229" s="76" t="s">
        <v>46</v>
      </c>
      <c r="B12229" s="76" t="s">
        <v>1039</v>
      </c>
      <c r="C12229" s="84">
        <v>0.32</v>
      </c>
      <c r="D12229" s="84">
        <v>0.0</v>
      </c>
      <c r="E12229" s="84">
        <v>0.0</v>
      </c>
      <c r="F12229" s="76" t="s">
        <v>998</v>
      </c>
      <c r="G12229" s="83">
        <v>46121.0</v>
      </c>
      <c r="H12229" s="76" t="s">
        <v>962</v>
      </c>
    </row>
    <row r="12230">
      <c r="A12230" s="76" t="s">
        <v>40</v>
      </c>
      <c r="B12230" s="76" t="s">
        <v>1039</v>
      </c>
      <c r="C12230" s="84">
        <v>0.62</v>
      </c>
      <c r="D12230" s="84">
        <v>0.0</v>
      </c>
      <c r="E12230" s="84">
        <v>0.0</v>
      </c>
      <c r="F12230" s="76" t="s">
        <v>998</v>
      </c>
      <c r="G12230" s="83">
        <v>46121.0</v>
      </c>
      <c r="H12230" s="76" t="s">
        <v>954</v>
      </c>
    </row>
    <row r="12231">
      <c r="A12231" s="76" t="s">
        <v>40</v>
      </c>
      <c r="B12231" s="76" t="s">
        <v>1039</v>
      </c>
      <c r="C12231" s="84">
        <v>0.18</v>
      </c>
      <c r="D12231" s="84">
        <v>0.0</v>
      </c>
      <c r="E12231" s="84">
        <v>0.0</v>
      </c>
      <c r="F12231" s="76" t="s">
        <v>998</v>
      </c>
      <c r="G12231" s="83">
        <v>46121.0</v>
      </c>
      <c r="H12231" s="76" t="s">
        <v>955</v>
      </c>
    </row>
    <row r="12232">
      <c r="A12232" s="76" t="s">
        <v>40</v>
      </c>
      <c r="B12232" s="76" t="s">
        <v>1039</v>
      </c>
      <c r="C12232" s="84">
        <v>1.34</v>
      </c>
      <c r="D12232" s="84">
        <v>1.0</v>
      </c>
      <c r="E12232" s="84">
        <v>1.34</v>
      </c>
      <c r="F12232" s="76" t="s">
        <v>998</v>
      </c>
      <c r="G12232" s="83">
        <v>46121.0</v>
      </c>
      <c r="H12232" s="76" t="s">
        <v>956</v>
      </c>
    </row>
    <row r="12233">
      <c r="A12233" s="76" t="s">
        <v>966</v>
      </c>
      <c r="B12233" s="76" t="s">
        <v>1039</v>
      </c>
      <c r="C12233" s="84">
        <v>0.37</v>
      </c>
      <c r="D12233" s="84">
        <v>0.0</v>
      </c>
      <c r="E12233" s="84">
        <v>0.0</v>
      </c>
      <c r="F12233" s="76" t="s">
        <v>998</v>
      </c>
      <c r="G12233" s="83">
        <v>46121.0</v>
      </c>
      <c r="H12233" s="76" t="s">
        <v>967</v>
      </c>
    </row>
    <row r="12234">
      <c r="A12234" s="76" t="s">
        <v>966</v>
      </c>
      <c r="B12234" s="76" t="s">
        <v>1039</v>
      </c>
      <c r="C12234" s="84">
        <v>0.12</v>
      </c>
      <c r="D12234" s="84">
        <v>0.0</v>
      </c>
      <c r="E12234" s="84">
        <v>0.0</v>
      </c>
      <c r="F12234" s="76" t="s">
        <v>998</v>
      </c>
      <c r="G12234" s="83">
        <v>46121.0</v>
      </c>
      <c r="H12234" s="76" t="s">
        <v>968</v>
      </c>
    </row>
    <row r="12235">
      <c r="A12235" s="76" t="s">
        <v>966</v>
      </c>
      <c r="B12235" s="76" t="s">
        <v>1039</v>
      </c>
      <c r="C12235" s="84">
        <v>0.42</v>
      </c>
      <c r="D12235" s="84">
        <v>0.0</v>
      </c>
      <c r="E12235" s="84">
        <v>0.0</v>
      </c>
      <c r="F12235" s="76" t="s">
        <v>998</v>
      </c>
      <c r="G12235" s="83">
        <v>46121.0</v>
      </c>
      <c r="H12235" s="76" t="s">
        <v>969</v>
      </c>
    </row>
    <row r="12236">
      <c r="A12236" s="76" t="s">
        <v>43</v>
      </c>
      <c r="B12236" s="76" t="s">
        <v>1039</v>
      </c>
      <c r="C12236" s="84">
        <v>0.28</v>
      </c>
      <c r="D12236" s="84">
        <v>0.0</v>
      </c>
      <c r="E12236" s="84">
        <v>0.0</v>
      </c>
      <c r="F12236" s="76" t="s">
        <v>998</v>
      </c>
      <c r="G12236" s="83">
        <v>46121.0</v>
      </c>
      <c r="H12236" s="76" t="s">
        <v>963</v>
      </c>
    </row>
    <row r="12237">
      <c r="A12237" s="76" t="s">
        <v>43</v>
      </c>
      <c r="B12237" s="76" t="s">
        <v>1039</v>
      </c>
      <c r="C12237" s="84">
        <v>0.26</v>
      </c>
      <c r="D12237" s="84">
        <v>0.0</v>
      </c>
      <c r="E12237" s="84">
        <v>0.0</v>
      </c>
      <c r="F12237" s="76" t="s">
        <v>998</v>
      </c>
      <c r="G12237" s="83">
        <v>46121.0</v>
      </c>
      <c r="H12237" s="76" t="s">
        <v>964</v>
      </c>
    </row>
    <row r="12238">
      <c r="A12238" s="76" t="s">
        <v>43</v>
      </c>
      <c r="B12238" s="76" t="s">
        <v>1039</v>
      </c>
      <c r="C12238" s="84">
        <v>0.3</v>
      </c>
      <c r="D12238" s="84">
        <v>0.0</v>
      </c>
      <c r="E12238" s="84">
        <v>0.0</v>
      </c>
      <c r="F12238" s="76" t="s">
        <v>998</v>
      </c>
      <c r="G12238" s="83">
        <v>46121.0</v>
      </c>
      <c r="H12238" s="76" t="s">
        <v>965</v>
      </c>
    </row>
    <row r="12239">
      <c r="A12239" s="76" t="s">
        <v>970</v>
      </c>
      <c r="B12239" s="76" t="s">
        <v>1039</v>
      </c>
      <c r="C12239" s="84">
        <v>0.76</v>
      </c>
      <c r="D12239" s="84">
        <v>0.0</v>
      </c>
      <c r="E12239" s="84">
        <v>0.0</v>
      </c>
      <c r="F12239" s="76" t="s">
        <v>998</v>
      </c>
      <c r="G12239" s="83">
        <v>46121.0</v>
      </c>
      <c r="H12239" s="76" t="s">
        <v>971</v>
      </c>
    </row>
    <row r="12240">
      <c r="A12240" s="76" t="s">
        <v>970</v>
      </c>
      <c r="B12240" s="76" t="s">
        <v>1039</v>
      </c>
      <c r="C12240" s="84">
        <v>0.37</v>
      </c>
      <c r="D12240" s="84">
        <v>1.0</v>
      </c>
      <c r="E12240" s="84">
        <v>0.37</v>
      </c>
      <c r="F12240" s="76" t="s">
        <v>998</v>
      </c>
      <c r="G12240" s="83">
        <v>46121.0</v>
      </c>
      <c r="H12240" s="76" t="s">
        <v>972</v>
      </c>
    </row>
    <row r="12241">
      <c r="A12241" s="76" t="s">
        <v>970</v>
      </c>
      <c r="B12241" s="76" t="s">
        <v>1039</v>
      </c>
      <c r="C12241" s="84">
        <v>1.57</v>
      </c>
      <c r="D12241" s="84">
        <v>1.0</v>
      </c>
      <c r="E12241" s="84">
        <v>1.57</v>
      </c>
      <c r="F12241" s="76" t="s">
        <v>998</v>
      </c>
      <c r="G12241" s="83">
        <v>46121.0</v>
      </c>
      <c r="H12241" s="76" t="s">
        <v>973</v>
      </c>
    </row>
    <row r="12242">
      <c r="A12242" s="76" t="s">
        <v>46</v>
      </c>
      <c r="B12242" s="76" t="s">
        <v>1039</v>
      </c>
      <c r="C12242" s="84">
        <v>0.02</v>
      </c>
      <c r="D12242" s="84">
        <v>0.0</v>
      </c>
      <c r="E12242" s="84">
        <v>0.0</v>
      </c>
      <c r="F12242" s="76" t="s">
        <v>997</v>
      </c>
      <c r="G12242" s="83">
        <v>46121.0</v>
      </c>
      <c r="H12242" s="76" t="s">
        <v>960</v>
      </c>
    </row>
    <row r="12243">
      <c r="A12243" s="76" t="s">
        <v>46</v>
      </c>
      <c r="B12243" s="76" t="s">
        <v>1039</v>
      </c>
      <c r="C12243" s="84">
        <v>0.14</v>
      </c>
      <c r="D12243" s="84">
        <v>0.0</v>
      </c>
      <c r="E12243" s="84">
        <v>0.0</v>
      </c>
      <c r="F12243" s="76" t="s">
        <v>997</v>
      </c>
      <c r="G12243" s="83">
        <v>46121.0</v>
      </c>
      <c r="H12243" s="76" t="s">
        <v>961</v>
      </c>
    </row>
    <row r="12244">
      <c r="A12244" s="76" t="s">
        <v>46</v>
      </c>
      <c r="B12244" s="76" t="s">
        <v>1039</v>
      </c>
      <c r="C12244" s="84">
        <v>0.04</v>
      </c>
      <c r="D12244" s="84">
        <v>0.0</v>
      </c>
      <c r="E12244" s="84">
        <v>0.0</v>
      </c>
      <c r="F12244" s="76" t="s">
        <v>997</v>
      </c>
      <c r="G12244" s="83">
        <v>46121.0</v>
      </c>
      <c r="H12244" s="76" t="s">
        <v>962</v>
      </c>
    </row>
    <row r="12245">
      <c r="A12245" s="76" t="s">
        <v>34</v>
      </c>
      <c r="B12245" s="76" t="s">
        <v>1039</v>
      </c>
      <c r="C12245" s="84">
        <v>0.08</v>
      </c>
      <c r="D12245" s="84">
        <v>0.0</v>
      </c>
      <c r="E12245" s="84">
        <v>0.0</v>
      </c>
      <c r="F12245" s="76" t="s">
        <v>997</v>
      </c>
      <c r="G12245" s="83">
        <v>46121.0</v>
      </c>
      <c r="H12245" s="76" t="s">
        <v>951</v>
      </c>
    </row>
    <row r="12246">
      <c r="A12246" s="76" t="s">
        <v>34</v>
      </c>
      <c r="B12246" s="76" t="s">
        <v>1039</v>
      </c>
      <c r="C12246" s="84">
        <v>0.11</v>
      </c>
      <c r="D12246" s="84">
        <v>0.0</v>
      </c>
      <c r="E12246" s="84">
        <v>0.0</v>
      </c>
      <c r="F12246" s="76" t="s">
        <v>997</v>
      </c>
      <c r="G12246" s="83">
        <v>46121.0</v>
      </c>
      <c r="H12246" s="76" t="s">
        <v>952</v>
      </c>
    </row>
    <row r="12247">
      <c r="A12247" s="76" t="s">
        <v>34</v>
      </c>
      <c r="B12247" s="76" t="s">
        <v>1039</v>
      </c>
      <c r="C12247" s="84">
        <v>0.05</v>
      </c>
      <c r="D12247" s="84">
        <v>0.0</v>
      </c>
      <c r="E12247" s="84">
        <v>0.0</v>
      </c>
      <c r="F12247" s="76" t="s">
        <v>997</v>
      </c>
      <c r="G12247" s="83">
        <v>46121.0</v>
      </c>
      <c r="H12247" s="76" t="s">
        <v>953</v>
      </c>
    </row>
    <row r="12248">
      <c r="A12248" s="76" t="s">
        <v>40</v>
      </c>
      <c r="B12248" s="76" t="s">
        <v>1039</v>
      </c>
      <c r="C12248" s="84">
        <v>0.04</v>
      </c>
      <c r="D12248" s="84">
        <v>0.0</v>
      </c>
      <c r="E12248" s="84">
        <v>0.0</v>
      </c>
      <c r="F12248" s="76" t="s">
        <v>997</v>
      </c>
      <c r="G12248" s="83">
        <v>46121.0</v>
      </c>
      <c r="H12248" s="76" t="s">
        <v>954</v>
      </c>
    </row>
    <row r="12249">
      <c r="A12249" s="76" t="s">
        <v>40</v>
      </c>
      <c r="B12249" s="76" t="s">
        <v>1039</v>
      </c>
      <c r="C12249" s="84">
        <v>0.01</v>
      </c>
      <c r="D12249" s="84">
        <v>0.0</v>
      </c>
      <c r="E12249" s="84">
        <v>0.0</v>
      </c>
      <c r="F12249" s="76" t="s">
        <v>997</v>
      </c>
      <c r="G12249" s="83">
        <v>46121.0</v>
      </c>
      <c r="H12249" s="76" t="s">
        <v>955</v>
      </c>
    </row>
    <row r="12250">
      <c r="A12250" s="76" t="s">
        <v>40</v>
      </c>
      <c r="B12250" s="76" t="s">
        <v>1039</v>
      </c>
      <c r="C12250" s="84">
        <v>0.57</v>
      </c>
      <c r="D12250" s="84">
        <v>0.0</v>
      </c>
      <c r="E12250" s="84">
        <v>0.0</v>
      </c>
      <c r="F12250" s="76" t="s">
        <v>997</v>
      </c>
      <c r="G12250" s="83">
        <v>46121.0</v>
      </c>
      <c r="H12250" s="76" t="s">
        <v>956</v>
      </c>
    </row>
    <row r="12251">
      <c r="A12251" s="76" t="s">
        <v>36</v>
      </c>
      <c r="B12251" s="76" t="s">
        <v>1039</v>
      </c>
      <c r="C12251" s="84">
        <v>0.18</v>
      </c>
      <c r="D12251" s="84">
        <v>0.0</v>
      </c>
      <c r="E12251" s="84">
        <v>0.0</v>
      </c>
      <c r="F12251" s="76" t="s">
        <v>997</v>
      </c>
      <c r="G12251" s="83">
        <v>46121.0</v>
      </c>
      <c r="H12251" s="76" t="s">
        <v>926</v>
      </c>
    </row>
    <row r="12252">
      <c r="A12252" s="76" t="s">
        <v>36</v>
      </c>
      <c r="B12252" s="76" t="s">
        <v>1039</v>
      </c>
      <c r="C12252" s="84">
        <v>0.01</v>
      </c>
      <c r="D12252" s="84">
        <v>0.0</v>
      </c>
      <c r="E12252" s="84">
        <v>0.0</v>
      </c>
      <c r="F12252" s="76" t="s">
        <v>997</v>
      </c>
      <c r="G12252" s="83">
        <v>46121.0</v>
      </c>
      <c r="H12252" s="76" t="s">
        <v>927</v>
      </c>
    </row>
    <row r="12253">
      <c r="A12253" s="76" t="s">
        <v>36</v>
      </c>
      <c r="B12253" s="76" t="s">
        <v>1039</v>
      </c>
      <c r="C12253" s="84">
        <v>0.05</v>
      </c>
      <c r="D12253" s="84">
        <v>0.0</v>
      </c>
      <c r="E12253" s="84">
        <v>0.0</v>
      </c>
      <c r="F12253" s="76" t="s">
        <v>997</v>
      </c>
      <c r="G12253" s="83">
        <v>46121.0</v>
      </c>
      <c r="H12253" s="76" t="s">
        <v>928</v>
      </c>
    </row>
    <row r="12254">
      <c r="A12254" s="76" t="s">
        <v>970</v>
      </c>
      <c r="B12254" s="76" t="s">
        <v>1039</v>
      </c>
      <c r="C12254" s="84">
        <v>0.27</v>
      </c>
      <c r="D12254" s="84">
        <v>0.0</v>
      </c>
      <c r="E12254" s="84">
        <v>0.0</v>
      </c>
      <c r="F12254" s="76" t="s">
        <v>997</v>
      </c>
      <c r="G12254" s="83">
        <v>46121.0</v>
      </c>
      <c r="H12254" s="76" t="s">
        <v>971</v>
      </c>
    </row>
    <row r="12255">
      <c r="A12255" s="76" t="s">
        <v>970</v>
      </c>
      <c r="B12255" s="76" t="s">
        <v>1039</v>
      </c>
      <c r="C12255" s="84">
        <v>0.03</v>
      </c>
      <c r="D12255" s="84">
        <v>0.0</v>
      </c>
      <c r="E12255" s="84">
        <v>0.0</v>
      </c>
      <c r="F12255" s="76" t="s">
        <v>997</v>
      </c>
      <c r="G12255" s="83">
        <v>46121.0</v>
      </c>
      <c r="H12255" s="76" t="s">
        <v>972</v>
      </c>
    </row>
    <row r="12256">
      <c r="A12256" s="76" t="s">
        <v>970</v>
      </c>
      <c r="B12256" s="76" t="s">
        <v>1039</v>
      </c>
      <c r="C12256" s="84">
        <v>0.43</v>
      </c>
      <c r="D12256" s="84">
        <v>0.0</v>
      </c>
      <c r="E12256" s="84">
        <v>0.0</v>
      </c>
      <c r="F12256" s="76" t="s">
        <v>997</v>
      </c>
      <c r="G12256" s="83">
        <v>46121.0</v>
      </c>
      <c r="H12256" s="76" t="s">
        <v>973</v>
      </c>
    </row>
    <row r="12257">
      <c r="A12257" s="76" t="s">
        <v>33</v>
      </c>
      <c r="B12257" s="76" t="s">
        <v>1039</v>
      </c>
      <c r="C12257" s="84">
        <v>0.95</v>
      </c>
      <c r="D12257" s="84">
        <v>0.0</v>
      </c>
      <c r="E12257" s="84">
        <v>0.0</v>
      </c>
      <c r="F12257" s="76" t="s">
        <v>997</v>
      </c>
      <c r="G12257" s="83">
        <v>46121.0</v>
      </c>
      <c r="H12257" s="76" t="s">
        <v>957</v>
      </c>
    </row>
    <row r="12258">
      <c r="A12258" s="76" t="s">
        <v>33</v>
      </c>
      <c r="B12258" s="76" t="s">
        <v>1039</v>
      </c>
      <c r="C12258" s="84">
        <v>0.03</v>
      </c>
      <c r="D12258" s="84">
        <v>0.0</v>
      </c>
      <c r="E12258" s="84">
        <v>0.0</v>
      </c>
      <c r="F12258" s="76" t="s">
        <v>997</v>
      </c>
      <c r="G12258" s="83">
        <v>46121.0</v>
      </c>
      <c r="H12258" s="76" t="s">
        <v>958</v>
      </c>
    </row>
    <row r="12259">
      <c r="A12259" s="76" t="s">
        <v>33</v>
      </c>
      <c r="B12259" s="76" t="s">
        <v>1039</v>
      </c>
      <c r="C12259" s="84">
        <v>0.11</v>
      </c>
      <c r="D12259" s="84">
        <v>0.0</v>
      </c>
      <c r="E12259" s="84">
        <v>0.0</v>
      </c>
      <c r="F12259" s="76" t="s">
        <v>997</v>
      </c>
      <c r="G12259" s="83">
        <v>46121.0</v>
      </c>
      <c r="H12259" s="76" t="s">
        <v>959</v>
      </c>
    </row>
    <row r="12260">
      <c r="A12260" s="76" t="s">
        <v>29</v>
      </c>
      <c r="B12260" s="76" t="s">
        <v>1039</v>
      </c>
      <c r="C12260" s="84">
        <v>0.15</v>
      </c>
      <c r="D12260" s="84">
        <v>0.0</v>
      </c>
      <c r="E12260" s="84">
        <v>0.0</v>
      </c>
      <c r="F12260" s="76" t="s">
        <v>997</v>
      </c>
      <c r="G12260" s="83">
        <v>46121.0</v>
      </c>
      <c r="H12260" s="76" t="s">
        <v>971</v>
      </c>
    </row>
    <row r="12261">
      <c r="A12261" s="76" t="s">
        <v>29</v>
      </c>
      <c r="B12261" s="76" t="s">
        <v>1039</v>
      </c>
      <c r="C12261" s="84">
        <v>0.05</v>
      </c>
      <c r="D12261" s="84">
        <v>0.0</v>
      </c>
      <c r="E12261" s="84">
        <v>0.0</v>
      </c>
      <c r="F12261" s="76" t="s">
        <v>997</v>
      </c>
      <c r="G12261" s="83">
        <v>46121.0</v>
      </c>
      <c r="H12261" s="76" t="s">
        <v>972</v>
      </c>
    </row>
    <row r="12262">
      <c r="A12262" s="76" t="s">
        <v>29</v>
      </c>
      <c r="B12262" s="76" t="s">
        <v>1039</v>
      </c>
      <c r="C12262" s="84">
        <v>0.47</v>
      </c>
      <c r="D12262" s="84">
        <v>1.0</v>
      </c>
      <c r="E12262" s="84">
        <v>0.47</v>
      </c>
      <c r="F12262" s="76" t="s">
        <v>997</v>
      </c>
      <c r="G12262" s="83">
        <v>46121.0</v>
      </c>
      <c r="H12262" s="76" t="s">
        <v>973</v>
      </c>
    </row>
    <row r="12263">
      <c r="A12263" s="76" t="s">
        <v>43</v>
      </c>
      <c r="B12263" s="76" t="s">
        <v>1039</v>
      </c>
      <c r="C12263" s="84">
        <v>0.02</v>
      </c>
      <c r="D12263" s="84">
        <v>0.0</v>
      </c>
      <c r="E12263" s="84">
        <v>0.0</v>
      </c>
      <c r="F12263" s="76" t="s">
        <v>997</v>
      </c>
      <c r="G12263" s="83">
        <v>46121.0</v>
      </c>
      <c r="H12263" s="76" t="s">
        <v>963</v>
      </c>
    </row>
    <row r="12264">
      <c r="A12264" s="76" t="s">
        <v>43</v>
      </c>
      <c r="B12264" s="76" t="s">
        <v>1039</v>
      </c>
      <c r="C12264" s="84">
        <v>0.02</v>
      </c>
      <c r="D12264" s="84">
        <v>0.0</v>
      </c>
      <c r="E12264" s="84">
        <v>0.0</v>
      </c>
      <c r="F12264" s="76" t="s">
        <v>997</v>
      </c>
      <c r="G12264" s="83">
        <v>46121.0</v>
      </c>
      <c r="H12264" s="76" t="s">
        <v>964</v>
      </c>
    </row>
    <row r="12265">
      <c r="A12265" s="76" t="s">
        <v>43</v>
      </c>
      <c r="B12265" s="76" t="s">
        <v>1039</v>
      </c>
      <c r="C12265" s="84">
        <v>0.06</v>
      </c>
      <c r="D12265" s="84">
        <v>0.0</v>
      </c>
      <c r="E12265" s="84">
        <v>0.0</v>
      </c>
      <c r="F12265" s="76" t="s">
        <v>997</v>
      </c>
      <c r="G12265" s="83">
        <v>46121.0</v>
      </c>
      <c r="H12265" s="76" t="s">
        <v>965</v>
      </c>
    </row>
    <row r="12266">
      <c r="A12266" s="76" t="s">
        <v>966</v>
      </c>
      <c r="B12266" s="76" t="s">
        <v>1039</v>
      </c>
      <c r="C12266" s="84">
        <v>0.13</v>
      </c>
      <c r="D12266" s="84">
        <v>0.0</v>
      </c>
      <c r="E12266" s="84">
        <v>0.0</v>
      </c>
      <c r="F12266" s="76" t="s">
        <v>997</v>
      </c>
      <c r="G12266" s="83">
        <v>46121.0</v>
      </c>
      <c r="H12266" s="76" t="s">
        <v>967</v>
      </c>
    </row>
    <row r="12267">
      <c r="A12267" s="76" t="s">
        <v>966</v>
      </c>
      <c r="B12267" s="76" t="s">
        <v>1039</v>
      </c>
      <c r="C12267" s="84">
        <v>0.01</v>
      </c>
      <c r="D12267" s="84">
        <v>0.0</v>
      </c>
      <c r="E12267" s="84">
        <v>0.0</v>
      </c>
      <c r="F12267" s="76" t="s">
        <v>997</v>
      </c>
      <c r="G12267" s="83">
        <v>46121.0</v>
      </c>
      <c r="H12267" s="76" t="s">
        <v>968</v>
      </c>
    </row>
    <row r="12268">
      <c r="A12268" s="76" t="s">
        <v>966</v>
      </c>
      <c r="B12268" s="76" t="s">
        <v>1039</v>
      </c>
      <c r="C12268" s="84">
        <v>0.06</v>
      </c>
      <c r="D12268" s="84">
        <v>0.0</v>
      </c>
      <c r="E12268" s="84">
        <v>0.0</v>
      </c>
      <c r="F12268" s="76" t="s">
        <v>997</v>
      </c>
      <c r="G12268" s="83">
        <v>46121.0</v>
      </c>
      <c r="H12268" s="76" t="s">
        <v>969</v>
      </c>
    </row>
    <row r="12269">
      <c r="A12269" s="76" t="s">
        <v>40</v>
      </c>
      <c r="B12269" s="76" t="s">
        <v>1041</v>
      </c>
      <c r="C12269" s="84">
        <v>8.6</v>
      </c>
      <c r="D12269" s="84">
        <v>2.0</v>
      </c>
      <c r="E12269" s="84">
        <v>4.3</v>
      </c>
      <c r="F12269" s="76" t="s">
        <v>1005</v>
      </c>
      <c r="G12269" s="83">
        <v>46121.0</v>
      </c>
      <c r="H12269" s="76" t="s">
        <v>954</v>
      </c>
    </row>
    <row r="12270">
      <c r="A12270" s="76" t="s">
        <v>40</v>
      </c>
      <c r="B12270" s="76" t="s">
        <v>1041</v>
      </c>
      <c r="C12270" s="84">
        <v>5.25</v>
      </c>
      <c r="D12270" s="84">
        <v>0.0</v>
      </c>
      <c r="E12270" s="84">
        <v>0.0</v>
      </c>
      <c r="F12270" s="76" t="s">
        <v>1005</v>
      </c>
      <c r="G12270" s="83">
        <v>46121.0</v>
      </c>
      <c r="H12270" s="76" t="s">
        <v>955</v>
      </c>
    </row>
    <row r="12271">
      <c r="A12271" s="76" t="s">
        <v>40</v>
      </c>
      <c r="B12271" s="76" t="s">
        <v>1041</v>
      </c>
      <c r="C12271" s="84">
        <v>50.2</v>
      </c>
      <c r="D12271" s="84">
        <v>7.0</v>
      </c>
      <c r="E12271" s="84">
        <v>7.17</v>
      </c>
      <c r="F12271" s="76" t="s">
        <v>1005</v>
      </c>
      <c r="G12271" s="83">
        <v>46121.0</v>
      </c>
      <c r="H12271" s="76" t="s">
        <v>956</v>
      </c>
    </row>
    <row r="12272">
      <c r="A12272" s="76" t="s">
        <v>36</v>
      </c>
      <c r="B12272" s="76" t="s">
        <v>1041</v>
      </c>
      <c r="C12272" s="84">
        <v>17.26</v>
      </c>
      <c r="D12272" s="84">
        <v>9.0</v>
      </c>
      <c r="E12272" s="84">
        <v>1.92</v>
      </c>
      <c r="F12272" s="76" t="s">
        <v>1005</v>
      </c>
      <c r="G12272" s="83">
        <v>46121.0</v>
      </c>
      <c r="H12272" s="76" t="s">
        <v>926</v>
      </c>
    </row>
    <row r="12273">
      <c r="A12273" s="76" t="s">
        <v>36</v>
      </c>
      <c r="B12273" s="76" t="s">
        <v>1041</v>
      </c>
      <c r="C12273" s="84">
        <v>4.33</v>
      </c>
      <c r="D12273" s="84">
        <v>0.0</v>
      </c>
      <c r="E12273" s="84">
        <v>0.0</v>
      </c>
      <c r="F12273" s="76" t="s">
        <v>1005</v>
      </c>
      <c r="G12273" s="83">
        <v>46121.0</v>
      </c>
      <c r="H12273" s="76" t="s">
        <v>927</v>
      </c>
    </row>
    <row r="12274">
      <c r="A12274" s="76" t="s">
        <v>36</v>
      </c>
      <c r="B12274" s="76" t="s">
        <v>1041</v>
      </c>
      <c r="C12274" s="84">
        <v>9.63</v>
      </c>
      <c r="D12274" s="84">
        <v>1.0</v>
      </c>
      <c r="E12274" s="84">
        <v>9.63</v>
      </c>
      <c r="F12274" s="76" t="s">
        <v>1005</v>
      </c>
      <c r="G12274" s="83">
        <v>46121.0</v>
      </c>
      <c r="H12274" s="76" t="s">
        <v>928</v>
      </c>
    </row>
    <row r="12275">
      <c r="A12275" s="76" t="s">
        <v>46</v>
      </c>
      <c r="B12275" s="76" t="s">
        <v>1041</v>
      </c>
      <c r="C12275" s="84">
        <v>2.28</v>
      </c>
      <c r="D12275" s="84">
        <v>2.0</v>
      </c>
      <c r="E12275" s="84">
        <v>1.14</v>
      </c>
      <c r="F12275" s="76" t="s">
        <v>1005</v>
      </c>
      <c r="G12275" s="83">
        <v>46121.0</v>
      </c>
      <c r="H12275" s="76" t="s">
        <v>960</v>
      </c>
    </row>
    <row r="12276">
      <c r="A12276" s="76" t="s">
        <v>46</v>
      </c>
      <c r="B12276" s="76" t="s">
        <v>1041</v>
      </c>
      <c r="C12276" s="84">
        <v>4.03</v>
      </c>
      <c r="D12276" s="84">
        <v>1.0</v>
      </c>
      <c r="E12276" s="84">
        <v>4.03</v>
      </c>
      <c r="F12276" s="76" t="s">
        <v>1005</v>
      </c>
      <c r="G12276" s="83">
        <v>46121.0</v>
      </c>
      <c r="H12276" s="76" t="s">
        <v>961</v>
      </c>
    </row>
    <row r="12277">
      <c r="A12277" s="76" t="s">
        <v>46</v>
      </c>
      <c r="B12277" s="76" t="s">
        <v>1041</v>
      </c>
      <c r="C12277" s="84">
        <v>5.13</v>
      </c>
      <c r="D12277" s="84">
        <v>1.0</v>
      </c>
      <c r="E12277" s="84">
        <v>5.13</v>
      </c>
      <c r="F12277" s="76" t="s">
        <v>1005</v>
      </c>
      <c r="G12277" s="83">
        <v>46121.0</v>
      </c>
      <c r="H12277" s="76" t="s">
        <v>962</v>
      </c>
    </row>
    <row r="12278">
      <c r="A12278" s="76" t="s">
        <v>970</v>
      </c>
      <c r="B12278" s="76" t="s">
        <v>1041</v>
      </c>
      <c r="C12278" s="84">
        <v>39.06</v>
      </c>
      <c r="D12278" s="84">
        <v>8.0</v>
      </c>
      <c r="E12278" s="84">
        <v>4.88</v>
      </c>
      <c r="F12278" s="76" t="s">
        <v>1005</v>
      </c>
      <c r="G12278" s="83">
        <v>46121.0</v>
      </c>
      <c r="H12278" s="76" t="s">
        <v>971</v>
      </c>
    </row>
    <row r="12279">
      <c r="A12279" s="76" t="s">
        <v>970</v>
      </c>
      <c r="B12279" s="76" t="s">
        <v>1041</v>
      </c>
      <c r="C12279" s="84">
        <v>4.03</v>
      </c>
      <c r="D12279" s="84">
        <v>0.0</v>
      </c>
      <c r="E12279" s="84">
        <v>0.0</v>
      </c>
      <c r="F12279" s="76" t="s">
        <v>1005</v>
      </c>
      <c r="G12279" s="83">
        <v>46121.0</v>
      </c>
      <c r="H12279" s="76" t="s">
        <v>972</v>
      </c>
    </row>
    <row r="12280">
      <c r="A12280" s="76" t="s">
        <v>970</v>
      </c>
      <c r="B12280" s="76" t="s">
        <v>1041</v>
      </c>
      <c r="C12280" s="84">
        <v>68.15</v>
      </c>
      <c r="D12280" s="84">
        <v>11.0</v>
      </c>
      <c r="E12280" s="84">
        <v>6.2</v>
      </c>
      <c r="F12280" s="76" t="s">
        <v>1005</v>
      </c>
      <c r="G12280" s="83">
        <v>46121.0</v>
      </c>
      <c r="H12280" s="76" t="s">
        <v>973</v>
      </c>
    </row>
    <row r="12281">
      <c r="A12281" s="76" t="s">
        <v>29</v>
      </c>
      <c r="B12281" s="76" t="s">
        <v>1041</v>
      </c>
      <c r="C12281" s="84">
        <v>43.89</v>
      </c>
      <c r="D12281" s="84">
        <v>3.0</v>
      </c>
      <c r="E12281" s="84">
        <v>14.63</v>
      </c>
      <c r="F12281" s="76" t="s">
        <v>1005</v>
      </c>
      <c r="G12281" s="83">
        <v>46121.0</v>
      </c>
      <c r="H12281" s="76" t="s">
        <v>1015</v>
      </c>
    </row>
    <row r="12282">
      <c r="A12282" s="76" t="s">
        <v>29</v>
      </c>
      <c r="B12282" s="76" t="s">
        <v>1041</v>
      </c>
      <c r="C12282" s="84">
        <v>9.31</v>
      </c>
      <c r="D12282" s="84">
        <v>2.0</v>
      </c>
      <c r="E12282" s="84">
        <v>4.65</v>
      </c>
      <c r="F12282" s="76" t="s">
        <v>1005</v>
      </c>
      <c r="G12282" s="83">
        <v>46121.0</v>
      </c>
      <c r="H12282" s="76" t="s">
        <v>1016</v>
      </c>
    </row>
    <row r="12283">
      <c r="A12283" s="76" t="s">
        <v>29</v>
      </c>
      <c r="B12283" s="76" t="s">
        <v>1041</v>
      </c>
      <c r="C12283" s="84">
        <v>7.51</v>
      </c>
      <c r="D12283" s="84">
        <v>2.0</v>
      </c>
      <c r="E12283" s="84">
        <v>3.75</v>
      </c>
      <c r="F12283" s="76" t="s">
        <v>1005</v>
      </c>
      <c r="G12283" s="83">
        <v>46121.0</v>
      </c>
      <c r="H12283" s="76" t="s">
        <v>1017</v>
      </c>
    </row>
    <row r="12284">
      <c r="A12284" s="76" t="s">
        <v>34</v>
      </c>
      <c r="B12284" s="76" t="s">
        <v>1041</v>
      </c>
      <c r="C12284" s="84">
        <v>7.31</v>
      </c>
      <c r="D12284" s="84">
        <v>0.0</v>
      </c>
      <c r="E12284" s="84">
        <v>0.0</v>
      </c>
      <c r="F12284" s="76" t="s">
        <v>1005</v>
      </c>
      <c r="G12284" s="83">
        <v>46121.0</v>
      </c>
      <c r="H12284" s="76" t="s">
        <v>951</v>
      </c>
    </row>
    <row r="12285">
      <c r="A12285" s="76" t="s">
        <v>34</v>
      </c>
      <c r="B12285" s="76" t="s">
        <v>1041</v>
      </c>
      <c r="C12285" s="84">
        <v>13.28</v>
      </c>
      <c r="D12285" s="84">
        <v>1.0</v>
      </c>
      <c r="E12285" s="84">
        <v>13.28</v>
      </c>
      <c r="F12285" s="76" t="s">
        <v>1005</v>
      </c>
      <c r="G12285" s="83">
        <v>46121.0</v>
      </c>
      <c r="H12285" s="76" t="s">
        <v>952</v>
      </c>
    </row>
    <row r="12286">
      <c r="A12286" s="76" t="s">
        <v>34</v>
      </c>
      <c r="B12286" s="76" t="s">
        <v>1041</v>
      </c>
      <c r="C12286" s="84">
        <v>2.07</v>
      </c>
      <c r="D12286" s="84">
        <v>1.0</v>
      </c>
      <c r="E12286" s="84">
        <v>2.07</v>
      </c>
      <c r="F12286" s="76" t="s">
        <v>1005</v>
      </c>
      <c r="G12286" s="83">
        <v>46121.0</v>
      </c>
      <c r="H12286" s="76" t="s">
        <v>953</v>
      </c>
    </row>
    <row r="12287">
      <c r="A12287" s="76" t="s">
        <v>33</v>
      </c>
      <c r="B12287" s="76" t="s">
        <v>1041</v>
      </c>
      <c r="C12287" s="84">
        <v>433.33</v>
      </c>
      <c r="D12287" s="84">
        <v>72.0</v>
      </c>
      <c r="E12287" s="84">
        <v>6.02</v>
      </c>
      <c r="F12287" s="76" t="s">
        <v>1005</v>
      </c>
      <c r="G12287" s="83">
        <v>46121.0</v>
      </c>
      <c r="H12287" s="76" t="s">
        <v>957</v>
      </c>
    </row>
    <row r="12288">
      <c r="A12288" s="76" t="s">
        <v>33</v>
      </c>
      <c r="B12288" s="76" t="s">
        <v>1041</v>
      </c>
      <c r="C12288" s="84">
        <v>10.18</v>
      </c>
      <c r="D12288" s="84">
        <v>0.0</v>
      </c>
      <c r="E12288" s="84">
        <v>0.0</v>
      </c>
      <c r="F12288" s="76" t="s">
        <v>1005</v>
      </c>
      <c r="G12288" s="83">
        <v>46121.0</v>
      </c>
      <c r="H12288" s="76" t="s">
        <v>958</v>
      </c>
    </row>
    <row r="12289">
      <c r="A12289" s="76" t="s">
        <v>33</v>
      </c>
      <c r="B12289" s="76" t="s">
        <v>1041</v>
      </c>
      <c r="C12289" s="84">
        <v>109.07</v>
      </c>
      <c r="D12289" s="84">
        <v>17.0</v>
      </c>
      <c r="E12289" s="84">
        <v>6.42</v>
      </c>
      <c r="F12289" s="76" t="s">
        <v>1005</v>
      </c>
      <c r="G12289" s="83">
        <v>46121.0</v>
      </c>
      <c r="H12289" s="76" t="s">
        <v>959</v>
      </c>
    </row>
    <row r="12290">
      <c r="A12290" s="76" t="s">
        <v>43</v>
      </c>
      <c r="B12290" s="76" t="s">
        <v>1041</v>
      </c>
      <c r="C12290" s="84">
        <v>2.36</v>
      </c>
      <c r="D12290" s="84">
        <v>0.0</v>
      </c>
      <c r="E12290" s="84">
        <v>0.0</v>
      </c>
      <c r="F12290" s="76" t="s">
        <v>1005</v>
      </c>
      <c r="G12290" s="83">
        <v>46121.0</v>
      </c>
      <c r="H12290" s="76" t="s">
        <v>963</v>
      </c>
    </row>
    <row r="12291">
      <c r="A12291" s="76" t="s">
        <v>43</v>
      </c>
      <c r="B12291" s="76" t="s">
        <v>1041</v>
      </c>
      <c r="C12291" s="84">
        <v>7.29</v>
      </c>
      <c r="D12291" s="84">
        <v>1.0</v>
      </c>
      <c r="E12291" s="84">
        <v>7.29</v>
      </c>
      <c r="F12291" s="76" t="s">
        <v>1005</v>
      </c>
      <c r="G12291" s="83">
        <v>46121.0</v>
      </c>
      <c r="H12291" s="76" t="s">
        <v>964</v>
      </c>
    </row>
    <row r="12292">
      <c r="A12292" s="76" t="s">
        <v>43</v>
      </c>
      <c r="B12292" s="76" t="s">
        <v>1041</v>
      </c>
      <c r="C12292" s="84">
        <v>3.42</v>
      </c>
      <c r="D12292" s="84">
        <v>0.0</v>
      </c>
      <c r="E12292" s="84">
        <v>0.0</v>
      </c>
      <c r="F12292" s="76" t="s">
        <v>1005</v>
      </c>
      <c r="G12292" s="83">
        <v>46121.0</v>
      </c>
      <c r="H12292" s="76" t="s">
        <v>965</v>
      </c>
    </row>
    <row r="12293">
      <c r="A12293" s="76" t="s">
        <v>966</v>
      </c>
      <c r="B12293" s="76" t="s">
        <v>1041</v>
      </c>
      <c r="C12293" s="84">
        <v>7.75</v>
      </c>
      <c r="D12293" s="84">
        <v>1.0</v>
      </c>
      <c r="E12293" s="84">
        <v>7.75</v>
      </c>
      <c r="F12293" s="76" t="s">
        <v>1005</v>
      </c>
      <c r="G12293" s="83">
        <v>46121.0</v>
      </c>
      <c r="H12293" s="76" t="s">
        <v>967</v>
      </c>
    </row>
    <row r="12294">
      <c r="A12294" s="76" t="s">
        <v>966</v>
      </c>
      <c r="B12294" s="76" t="s">
        <v>1041</v>
      </c>
      <c r="C12294" s="84">
        <v>4.0</v>
      </c>
      <c r="D12294" s="84">
        <v>1.0</v>
      </c>
      <c r="E12294" s="84">
        <v>4.0</v>
      </c>
      <c r="F12294" s="76" t="s">
        <v>1005</v>
      </c>
      <c r="G12294" s="83">
        <v>46121.0</v>
      </c>
      <c r="H12294" s="76" t="s">
        <v>968</v>
      </c>
    </row>
    <row r="12295">
      <c r="A12295" s="76" t="s">
        <v>966</v>
      </c>
      <c r="B12295" s="76" t="s">
        <v>1041</v>
      </c>
      <c r="C12295" s="84">
        <v>18.73</v>
      </c>
      <c r="D12295" s="84">
        <v>5.0</v>
      </c>
      <c r="E12295" s="84">
        <v>3.75</v>
      </c>
      <c r="F12295" s="76" t="s">
        <v>1005</v>
      </c>
      <c r="G12295" s="83">
        <v>46121.0</v>
      </c>
      <c r="H12295" s="76" t="s">
        <v>969</v>
      </c>
    </row>
    <row r="12296">
      <c r="A12296" s="76" t="s">
        <v>970</v>
      </c>
      <c r="B12296" s="76" t="s">
        <v>1041</v>
      </c>
      <c r="C12296" s="84">
        <v>2.06</v>
      </c>
      <c r="D12296" s="84">
        <v>0.0</v>
      </c>
      <c r="E12296" s="84">
        <v>0.0</v>
      </c>
      <c r="F12296" s="76" t="s">
        <v>990</v>
      </c>
      <c r="G12296" s="83">
        <v>46121.0</v>
      </c>
      <c r="H12296" s="76" t="s">
        <v>971</v>
      </c>
    </row>
    <row r="12297">
      <c r="A12297" s="76" t="s">
        <v>970</v>
      </c>
      <c r="B12297" s="76" t="s">
        <v>1041</v>
      </c>
      <c r="C12297" s="84">
        <v>0.37</v>
      </c>
      <c r="D12297" s="84">
        <v>0.0</v>
      </c>
      <c r="E12297" s="84">
        <v>0.0</v>
      </c>
      <c r="F12297" s="76" t="s">
        <v>990</v>
      </c>
      <c r="G12297" s="83">
        <v>46121.0</v>
      </c>
      <c r="H12297" s="76" t="s">
        <v>972</v>
      </c>
    </row>
    <row r="12298">
      <c r="A12298" s="76" t="s">
        <v>970</v>
      </c>
      <c r="B12298" s="76" t="s">
        <v>1041</v>
      </c>
      <c r="C12298" s="84">
        <v>2.98</v>
      </c>
      <c r="D12298" s="84">
        <v>0.0</v>
      </c>
      <c r="E12298" s="84">
        <v>0.0</v>
      </c>
      <c r="F12298" s="76" t="s">
        <v>990</v>
      </c>
      <c r="G12298" s="83">
        <v>46121.0</v>
      </c>
      <c r="H12298" s="76" t="s">
        <v>973</v>
      </c>
    </row>
    <row r="12299">
      <c r="A12299" s="76" t="s">
        <v>29</v>
      </c>
      <c r="B12299" s="76" t="s">
        <v>1041</v>
      </c>
      <c r="C12299" s="84">
        <v>1.9</v>
      </c>
      <c r="D12299" s="84">
        <v>1.0</v>
      </c>
      <c r="E12299" s="84">
        <v>1.9</v>
      </c>
      <c r="F12299" s="76" t="s">
        <v>990</v>
      </c>
      <c r="G12299" s="83">
        <v>46121.0</v>
      </c>
      <c r="H12299" s="76" t="s">
        <v>971</v>
      </c>
    </row>
    <row r="12300">
      <c r="A12300" s="76" t="s">
        <v>29</v>
      </c>
      <c r="B12300" s="76" t="s">
        <v>1041</v>
      </c>
      <c r="C12300" s="84">
        <v>0.49</v>
      </c>
      <c r="D12300" s="84">
        <v>0.0</v>
      </c>
      <c r="E12300" s="84">
        <v>0.0</v>
      </c>
      <c r="F12300" s="76" t="s">
        <v>990</v>
      </c>
      <c r="G12300" s="83">
        <v>46121.0</v>
      </c>
      <c r="H12300" s="76" t="s">
        <v>972</v>
      </c>
    </row>
    <row r="12301">
      <c r="A12301" s="76" t="s">
        <v>29</v>
      </c>
      <c r="B12301" s="76" t="s">
        <v>1041</v>
      </c>
      <c r="C12301" s="84">
        <v>2.81</v>
      </c>
      <c r="D12301" s="84">
        <v>1.0</v>
      </c>
      <c r="E12301" s="84">
        <v>2.81</v>
      </c>
      <c r="F12301" s="76" t="s">
        <v>990</v>
      </c>
      <c r="G12301" s="83">
        <v>46121.0</v>
      </c>
      <c r="H12301" s="76" t="s">
        <v>973</v>
      </c>
    </row>
    <row r="12302">
      <c r="A12302" s="76" t="s">
        <v>46</v>
      </c>
      <c r="B12302" s="76" t="s">
        <v>1041</v>
      </c>
      <c r="C12302" s="84">
        <v>0.55</v>
      </c>
      <c r="D12302" s="84">
        <v>0.0</v>
      </c>
      <c r="E12302" s="84">
        <v>0.0</v>
      </c>
      <c r="F12302" s="76" t="s">
        <v>990</v>
      </c>
      <c r="G12302" s="83">
        <v>46121.0</v>
      </c>
      <c r="H12302" s="76" t="s">
        <v>960</v>
      </c>
    </row>
    <row r="12303">
      <c r="A12303" s="76" t="s">
        <v>46</v>
      </c>
      <c r="B12303" s="76" t="s">
        <v>1041</v>
      </c>
      <c r="C12303" s="84">
        <v>0.23</v>
      </c>
      <c r="D12303" s="84">
        <v>0.0</v>
      </c>
      <c r="E12303" s="84">
        <v>0.0</v>
      </c>
      <c r="F12303" s="76" t="s">
        <v>990</v>
      </c>
      <c r="G12303" s="83">
        <v>46121.0</v>
      </c>
      <c r="H12303" s="76" t="s">
        <v>961</v>
      </c>
    </row>
    <row r="12304">
      <c r="A12304" s="76" t="s">
        <v>46</v>
      </c>
      <c r="B12304" s="76" t="s">
        <v>1041</v>
      </c>
      <c r="C12304" s="84">
        <v>1.12</v>
      </c>
      <c r="D12304" s="84">
        <v>0.0</v>
      </c>
      <c r="E12304" s="84">
        <v>0.0</v>
      </c>
      <c r="F12304" s="76" t="s">
        <v>990</v>
      </c>
      <c r="G12304" s="83">
        <v>46121.0</v>
      </c>
      <c r="H12304" s="76" t="s">
        <v>962</v>
      </c>
    </row>
    <row r="12305">
      <c r="A12305" s="76" t="s">
        <v>36</v>
      </c>
      <c r="B12305" s="76" t="s">
        <v>1041</v>
      </c>
      <c r="C12305" s="84">
        <v>1.7</v>
      </c>
      <c r="D12305" s="84">
        <v>0.0</v>
      </c>
      <c r="E12305" s="84">
        <v>0.0</v>
      </c>
      <c r="F12305" s="76" t="s">
        <v>990</v>
      </c>
      <c r="G12305" s="83">
        <v>46121.0</v>
      </c>
      <c r="H12305" s="76" t="s">
        <v>926</v>
      </c>
    </row>
    <row r="12306">
      <c r="A12306" s="76" t="s">
        <v>36</v>
      </c>
      <c r="B12306" s="76" t="s">
        <v>1041</v>
      </c>
      <c r="C12306" s="84">
        <v>0.28</v>
      </c>
      <c r="D12306" s="84">
        <v>0.0</v>
      </c>
      <c r="E12306" s="84">
        <v>0.0</v>
      </c>
      <c r="F12306" s="76" t="s">
        <v>990</v>
      </c>
      <c r="G12306" s="83">
        <v>46121.0</v>
      </c>
      <c r="H12306" s="76" t="s">
        <v>927</v>
      </c>
    </row>
    <row r="12307">
      <c r="A12307" s="76" t="s">
        <v>36</v>
      </c>
      <c r="B12307" s="76" t="s">
        <v>1041</v>
      </c>
      <c r="C12307" s="84">
        <v>0.89</v>
      </c>
      <c r="D12307" s="84">
        <v>0.0</v>
      </c>
      <c r="E12307" s="84">
        <v>0.0</v>
      </c>
      <c r="F12307" s="76" t="s">
        <v>990</v>
      </c>
      <c r="G12307" s="83">
        <v>46121.0</v>
      </c>
      <c r="H12307" s="76" t="s">
        <v>928</v>
      </c>
    </row>
    <row r="12308">
      <c r="A12308" s="76" t="s">
        <v>34</v>
      </c>
      <c r="B12308" s="76" t="s">
        <v>1041</v>
      </c>
      <c r="C12308" s="84">
        <v>0.62</v>
      </c>
      <c r="D12308" s="84">
        <v>0.0</v>
      </c>
      <c r="E12308" s="84">
        <v>0.0</v>
      </c>
      <c r="F12308" s="76" t="s">
        <v>990</v>
      </c>
      <c r="G12308" s="83">
        <v>46121.0</v>
      </c>
      <c r="H12308" s="76" t="s">
        <v>951</v>
      </c>
    </row>
    <row r="12309">
      <c r="A12309" s="76" t="s">
        <v>34</v>
      </c>
      <c r="B12309" s="76" t="s">
        <v>1041</v>
      </c>
      <c r="C12309" s="84">
        <v>2.57</v>
      </c>
      <c r="D12309" s="84">
        <v>0.0</v>
      </c>
      <c r="E12309" s="84">
        <v>0.0</v>
      </c>
      <c r="F12309" s="76" t="s">
        <v>990</v>
      </c>
      <c r="G12309" s="83">
        <v>46121.0</v>
      </c>
      <c r="H12309" s="76" t="s">
        <v>952</v>
      </c>
    </row>
    <row r="12310">
      <c r="A12310" s="76" t="s">
        <v>34</v>
      </c>
      <c r="B12310" s="76" t="s">
        <v>1041</v>
      </c>
      <c r="C12310" s="84">
        <v>0.31</v>
      </c>
      <c r="D12310" s="84">
        <v>0.0</v>
      </c>
      <c r="E12310" s="84">
        <v>0.0</v>
      </c>
      <c r="F12310" s="76" t="s">
        <v>990</v>
      </c>
      <c r="G12310" s="83">
        <v>46121.0</v>
      </c>
      <c r="H12310" s="76" t="s">
        <v>953</v>
      </c>
    </row>
    <row r="12311">
      <c r="A12311" s="76" t="s">
        <v>33</v>
      </c>
      <c r="B12311" s="76" t="s">
        <v>1041</v>
      </c>
      <c r="C12311" s="84">
        <v>14.15</v>
      </c>
      <c r="D12311" s="84">
        <v>1.0</v>
      </c>
      <c r="E12311" s="84">
        <v>14.15</v>
      </c>
      <c r="F12311" s="76" t="s">
        <v>990</v>
      </c>
      <c r="G12311" s="83">
        <v>46121.0</v>
      </c>
      <c r="H12311" s="76" t="s">
        <v>957</v>
      </c>
    </row>
    <row r="12312">
      <c r="A12312" s="76" t="s">
        <v>33</v>
      </c>
      <c r="B12312" s="76" t="s">
        <v>1041</v>
      </c>
      <c r="C12312" s="84">
        <v>0.63</v>
      </c>
      <c r="D12312" s="84">
        <v>0.0</v>
      </c>
      <c r="E12312" s="84">
        <v>0.0</v>
      </c>
      <c r="F12312" s="76" t="s">
        <v>990</v>
      </c>
      <c r="G12312" s="83">
        <v>46121.0</v>
      </c>
      <c r="H12312" s="76" t="s">
        <v>958</v>
      </c>
    </row>
    <row r="12313">
      <c r="A12313" s="76" t="s">
        <v>33</v>
      </c>
      <c r="B12313" s="76" t="s">
        <v>1041</v>
      </c>
      <c r="C12313" s="84">
        <v>3.51</v>
      </c>
      <c r="D12313" s="84">
        <v>0.0</v>
      </c>
      <c r="E12313" s="84">
        <v>0.0</v>
      </c>
      <c r="F12313" s="76" t="s">
        <v>990</v>
      </c>
      <c r="G12313" s="83">
        <v>46121.0</v>
      </c>
      <c r="H12313" s="76" t="s">
        <v>959</v>
      </c>
    </row>
    <row r="12314">
      <c r="A12314" s="76" t="s">
        <v>40</v>
      </c>
      <c r="B12314" s="76" t="s">
        <v>1041</v>
      </c>
      <c r="C12314" s="84">
        <v>0.8</v>
      </c>
      <c r="D12314" s="84">
        <v>0.0</v>
      </c>
      <c r="E12314" s="84">
        <v>0.0</v>
      </c>
      <c r="F12314" s="76" t="s">
        <v>990</v>
      </c>
      <c r="G12314" s="83">
        <v>46121.0</v>
      </c>
      <c r="H12314" s="76" t="s">
        <v>954</v>
      </c>
    </row>
    <row r="12315">
      <c r="A12315" s="76" t="s">
        <v>40</v>
      </c>
      <c r="B12315" s="76" t="s">
        <v>1041</v>
      </c>
      <c r="C12315" s="84">
        <v>0.89</v>
      </c>
      <c r="D12315" s="84">
        <v>0.0</v>
      </c>
      <c r="E12315" s="84">
        <v>0.0</v>
      </c>
      <c r="F12315" s="76" t="s">
        <v>990</v>
      </c>
      <c r="G12315" s="83">
        <v>46121.0</v>
      </c>
      <c r="H12315" s="76" t="s">
        <v>955</v>
      </c>
    </row>
    <row r="12316">
      <c r="A12316" s="76" t="s">
        <v>40</v>
      </c>
      <c r="B12316" s="76" t="s">
        <v>1041</v>
      </c>
      <c r="C12316" s="84">
        <v>3.9</v>
      </c>
      <c r="D12316" s="84">
        <v>1.0</v>
      </c>
      <c r="E12316" s="84">
        <v>3.9</v>
      </c>
      <c r="F12316" s="76" t="s">
        <v>990</v>
      </c>
      <c r="G12316" s="83">
        <v>46121.0</v>
      </c>
      <c r="H12316" s="76" t="s">
        <v>956</v>
      </c>
    </row>
    <row r="12317">
      <c r="A12317" s="76" t="s">
        <v>43</v>
      </c>
      <c r="B12317" s="76" t="s">
        <v>1041</v>
      </c>
      <c r="C12317" s="84">
        <v>0.44</v>
      </c>
      <c r="D12317" s="84">
        <v>0.0</v>
      </c>
      <c r="E12317" s="84">
        <v>0.0</v>
      </c>
      <c r="F12317" s="76" t="s">
        <v>990</v>
      </c>
      <c r="G12317" s="83">
        <v>46121.0</v>
      </c>
      <c r="H12317" s="76" t="s">
        <v>963</v>
      </c>
    </row>
    <row r="12318">
      <c r="A12318" s="76" t="s">
        <v>43</v>
      </c>
      <c r="B12318" s="76" t="s">
        <v>1041</v>
      </c>
      <c r="C12318" s="84">
        <v>0.39</v>
      </c>
      <c r="D12318" s="84">
        <v>0.0</v>
      </c>
      <c r="E12318" s="84">
        <v>0.0</v>
      </c>
      <c r="F12318" s="76" t="s">
        <v>990</v>
      </c>
      <c r="G12318" s="83">
        <v>46121.0</v>
      </c>
      <c r="H12318" s="76" t="s">
        <v>964</v>
      </c>
    </row>
    <row r="12319">
      <c r="A12319" s="76" t="s">
        <v>43</v>
      </c>
      <c r="B12319" s="76" t="s">
        <v>1041</v>
      </c>
      <c r="C12319" s="84">
        <v>0.67</v>
      </c>
      <c r="D12319" s="84">
        <v>0.0</v>
      </c>
      <c r="E12319" s="84">
        <v>0.0</v>
      </c>
      <c r="F12319" s="76" t="s">
        <v>990</v>
      </c>
      <c r="G12319" s="83">
        <v>46121.0</v>
      </c>
      <c r="H12319" s="76" t="s">
        <v>965</v>
      </c>
    </row>
    <row r="12320">
      <c r="A12320" s="76" t="s">
        <v>966</v>
      </c>
      <c r="B12320" s="76" t="s">
        <v>1041</v>
      </c>
      <c r="C12320" s="84">
        <v>0.82</v>
      </c>
      <c r="D12320" s="84">
        <v>0.0</v>
      </c>
      <c r="E12320" s="84">
        <v>0.0</v>
      </c>
      <c r="F12320" s="76" t="s">
        <v>990</v>
      </c>
      <c r="G12320" s="83">
        <v>46121.0</v>
      </c>
      <c r="H12320" s="76" t="s">
        <v>967</v>
      </c>
    </row>
    <row r="12321">
      <c r="A12321" s="76" t="s">
        <v>966</v>
      </c>
      <c r="B12321" s="76" t="s">
        <v>1041</v>
      </c>
      <c r="C12321" s="84">
        <v>0.5</v>
      </c>
      <c r="D12321" s="84">
        <v>0.0</v>
      </c>
      <c r="E12321" s="84">
        <v>0.0</v>
      </c>
      <c r="F12321" s="76" t="s">
        <v>990</v>
      </c>
      <c r="G12321" s="83">
        <v>46121.0</v>
      </c>
      <c r="H12321" s="76" t="s">
        <v>968</v>
      </c>
    </row>
    <row r="12322">
      <c r="A12322" s="76" t="s">
        <v>966</v>
      </c>
      <c r="B12322" s="76" t="s">
        <v>1041</v>
      </c>
      <c r="C12322" s="84">
        <v>0.43</v>
      </c>
      <c r="D12322" s="84">
        <v>0.0</v>
      </c>
      <c r="E12322" s="84">
        <v>0.0</v>
      </c>
      <c r="F12322" s="76" t="s">
        <v>990</v>
      </c>
      <c r="G12322" s="83">
        <v>46121.0</v>
      </c>
      <c r="H12322" s="76" t="s">
        <v>969</v>
      </c>
    </row>
    <row r="12323">
      <c r="A12323" s="76" t="s">
        <v>970</v>
      </c>
      <c r="B12323" s="76" t="s">
        <v>1041</v>
      </c>
      <c r="C12323" s="84">
        <v>5.23</v>
      </c>
      <c r="D12323" s="84">
        <v>0.0</v>
      </c>
      <c r="E12323" s="84">
        <v>0.0</v>
      </c>
      <c r="F12323" s="76" t="s">
        <v>996</v>
      </c>
      <c r="G12323" s="83">
        <v>46121.0</v>
      </c>
      <c r="H12323" s="76" t="s">
        <v>971</v>
      </c>
    </row>
    <row r="12324">
      <c r="A12324" s="76" t="s">
        <v>970</v>
      </c>
      <c r="B12324" s="76" t="s">
        <v>1041</v>
      </c>
      <c r="C12324" s="84">
        <v>2.99</v>
      </c>
      <c r="D12324" s="84">
        <v>0.0</v>
      </c>
      <c r="E12324" s="84">
        <v>0.0</v>
      </c>
      <c r="F12324" s="76" t="s">
        <v>996</v>
      </c>
      <c r="G12324" s="83">
        <v>46121.0</v>
      </c>
      <c r="H12324" s="76" t="s">
        <v>972</v>
      </c>
    </row>
    <row r="12325">
      <c r="A12325" s="76" t="s">
        <v>970</v>
      </c>
      <c r="B12325" s="76" t="s">
        <v>1041</v>
      </c>
      <c r="C12325" s="84">
        <v>7.13</v>
      </c>
      <c r="D12325" s="84">
        <v>1.0</v>
      </c>
      <c r="E12325" s="84">
        <v>7.13</v>
      </c>
      <c r="F12325" s="76" t="s">
        <v>996</v>
      </c>
      <c r="G12325" s="83">
        <v>46121.0</v>
      </c>
      <c r="H12325" s="76" t="s">
        <v>973</v>
      </c>
    </row>
    <row r="12326">
      <c r="A12326" s="76" t="s">
        <v>29</v>
      </c>
      <c r="B12326" s="76" t="s">
        <v>1041</v>
      </c>
      <c r="C12326" s="84">
        <v>6.79</v>
      </c>
      <c r="D12326" s="84">
        <v>0.0</v>
      </c>
      <c r="E12326" s="84">
        <v>0.0</v>
      </c>
      <c r="F12326" s="76" t="s">
        <v>996</v>
      </c>
      <c r="G12326" s="83">
        <v>46121.0</v>
      </c>
      <c r="H12326" s="76" t="s">
        <v>971</v>
      </c>
    </row>
    <row r="12327">
      <c r="A12327" s="76" t="s">
        <v>29</v>
      </c>
      <c r="B12327" s="76" t="s">
        <v>1041</v>
      </c>
      <c r="C12327" s="84">
        <v>3.38</v>
      </c>
      <c r="D12327" s="84">
        <v>0.0</v>
      </c>
      <c r="E12327" s="84">
        <v>0.0</v>
      </c>
      <c r="F12327" s="76" t="s">
        <v>996</v>
      </c>
      <c r="G12327" s="83">
        <v>46121.0</v>
      </c>
      <c r="H12327" s="76" t="s">
        <v>972</v>
      </c>
    </row>
    <row r="12328">
      <c r="A12328" s="76" t="s">
        <v>29</v>
      </c>
      <c r="B12328" s="76" t="s">
        <v>1041</v>
      </c>
      <c r="C12328" s="84">
        <v>8.03</v>
      </c>
      <c r="D12328" s="84">
        <v>0.0</v>
      </c>
      <c r="E12328" s="84">
        <v>0.0</v>
      </c>
      <c r="F12328" s="76" t="s">
        <v>996</v>
      </c>
      <c r="G12328" s="83">
        <v>46121.0</v>
      </c>
      <c r="H12328" s="76" t="s">
        <v>973</v>
      </c>
    </row>
    <row r="12329">
      <c r="A12329" s="76" t="s">
        <v>43</v>
      </c>
      <c r="B12329" s="76" t="s">
        <v>1041</v>
      </c>
      <c r="C12329" s="84">
        <v>2.53</v>
      </c>
      <c r="D12329" s="84">
        <v>0.0</v>
      </c>
      <c r="E12329" s="84">
        <v>0.0</v>
      </c>
      <c r="F12329" s="76" t="s">
        <v>996</v>
      </c>
      <c r="G12329" s="83">
        <v>46121.0</v>
      </c>
      <c r="H12329" s="76" t="s">
        <v>963</v>
      </c>
    </row>
    <row r="12330">
      <c r="A12330" s="76" t="s">
        <v>43</v>
      </c>
      <c r="B12330" s="76" t="s">
        <v>1041</v>
      </c>
      <c r="C12330" s="84">
        <v>2.65</v>
      </c>
      <c r="D12330" s="84">
        <v>0.0</v>
      </c>
      <c r="E12330" s="84">
        <v>0.0</v>
      </c>
      <c r="F12330" s="76" t="s">
        <v>996</v>
      </c>
      <c r="G12330" s="83">
        <v>46121.0</v>
      </c>
      <c r="H12330" s="76" t="s">
        <v>964</v>
      </c>
    </row>
    <row r="12331">
      <c r="A12331" s="76" t="s">
        <v>43</v>
      </c>
      <c r="B12331" s="76" t="s">
        <v>1041</v>
      </c>
      <c r="C12331" s="84">
        <v>3.87</v>
      </c>
      <c r="D12331" s="84">
        <v>0.0</v>
      </c>
      <c r="E12331" s="84">
        <v>0.0</v>
      </c>
      <c r="F12331" s="76" t="s">
        <v>996</v>
      </c>
      <c r="G12331" s="83">
        <v>46121.0</v>
      </c>
      <c r="H12331" s="76" t="s">
        <v>965</v>
      </c>
    </row>
    <row r="12332">
      <c r="A12332" s="76" t="s">
        <v>46</v>
      </c>
      <c r="B12332" s="76" t="s">
        <v>1041</v>
      </c>
      <c r="C12332" s="84">
        <v>1.48</v>
      </c>
      <c r="D12332" s="84">
        <v>1.0</v>
      </c>
      <c r="E12332" s="84">
        <v>1.48</v>
      </c>
      <c r="F12332" s="76" t="s">
        <v>996</v>
      </c>
      <c r="G12332" s="83">
        <v>46121.0</v>
      </c>
      <c r="H12332" s="76" t="s">
        <v>960</v>
      </c>
    </row>
    <row r="12333">
      <c r="A12333" s="76" t="s">
        <v>46</v>
      </c>
      <c r="B12333" s="76" t="s">
        <v>1041</v>
      </c>
      <c r="C12333" s="84">
        <v>2.99</v>
      </c>
      <c r="D12333" s="84">
        <v>0.0</v>
      </c>
      <c r="E12333" s="84">
        <v>0.0</v>
      </c>
      <c r="F12333" s="76" t="s">
        <v>996</v>
      </c>
      <c r="G12333" s="83">
        <v>46121.0</v>
      </c>
      <c r="H12333" s="76" t="s">
        <v>961</v>
      </c>
    </row>
    <row r="12334">
      <c r="A12334" s="76" t="s">
        <v>46</v>
      </c>
      <c r="B12334" s="76" t="s">
        <v>1041</v>
      </c>
      <c r="C12334" s="84">
        <v>5.81</v>
      </c>
      <c r="D12334" s="84">
        <v>2.0</v>
      </c>
      <c r="E12334" s="84">
        <v>2.9</v>
      </c>
      <c r="F12334" s="76" t="s">
        <v>996</v>
      </c>
      <c r="G12334" s="83">
        <v>46121.0</v>
      </c>
      <c r="H12334" s="76" t="s">
        <v>962</v>
      </c>
    </row>
    <row r="12335">
      <c r="A12335" s="76" t="s">
        <v>966</v>
      </c>
      <c r="B12335" s="76" t="s">
        <v>1041</v>
      </c>
      <c r="C12335" s="84">
        <v>2.51</v>
      </c>
      <c r="D12335" s="84">
        <v>0.0</v>
      </c>
      <c r="E12335" s="84">
        <v>0.0</v>
      </c>
      <c r="F12335" s="76" t="s">
        <v>996</v>
      </c>
      <c r="G12335" s="83">
        <v>46121.0</v>
      </c>
      <c r="H12335" s="76" t="s">
        <v>967</v>
      </c>
    </row>
    <row r="12336">
      <c r="A12336" s="76" t="s">
        <v>966</v>
      </c>
      <c r="B12336" s="76" t="s">
        <v>1041</v>
      </c>
      <c r="C12336" s="84">
        <v>1.58</v>
      </c>
      <c r="D12336" s="84">
        <v>0.0</v>
      </c>
      <c r="E12336" s="84">
        <v>0.0</v>
      </c>
      <c r="F12336" s="76" t="s">
        <v>996</v>
      </c>
      <c r="G12336" s="83">
        <v>46121.0</v>
      </c>
      <c r="H12336" s="76" t="s">
        <v>968</v>
      </c>
    </row>
    <row r="12337">
      <c r="A12337" s="76" t="s">
        <v>966</v>
      </c>
      <c r="B12337" s="76" t="s">
        <v>1041</v>
      </c>
      <c r="C12337" s="84">
        <v>5.05</v>
      </c>
      <c r="D12337" s="84">
        <v>1.0</v>
      </c>
      <c r="E12337" s="84">
        <v>5.05</v>
      </c>
      <c r="F12337" s="76" t="s">
        <v>996</v>
      </c>
      <c r="G12337" s="83">
        <v>46121.0</v>
      </c>
      <c r="H12337" s="76" t="s">
        <v>969</v>
      </c>
    </row>
    <row r="12338">
      <c r="A12338" s="76" t="s">
        <v>33</v>
      </c>
      <c r="B12338" s="76" t="s">
        <v>1041</v>
      </c>
      <c r="C12338" s="84">
        <v>77.67</v>
      </c>
      <c r="D12338" s="84">
        <v>12.0</v>
      </c>
      <c r="E12338" s="84">
        <v>6.47</v>
      </c>
      <c r="F12338" s="76" t="s">
        <v>996</v>
      </c>
      <c r="G12338" s="83">
        <v>46121.0</v>
      </c>
      <c r="H12338" s="76" t="s">
        <v>957</v>
      </c>
    </row>
    <row r="12339">
      <c r="A12339" s="76" t="s">
        <v>33</v>
      </c>
      <c r="B12339" s="76" t="s">
        <v>1041</v>
      </c>
      <c r="C12339" s="84">
        <v>6.91</v>
      </c>
      <c r="D12339" s="84">
        <v>0.0</v>
      </c>
      <c r="E12339" s="84">
        <v>0.0</v>
      </c>
      <c r="F12339" s="76" t="s">
        <v>996</v>
      </c>
      <c r="G12339" s="83">
        <v>46121.0</v>
      </c>
      <c r="H12339" s="76" t="s">
        <v>958</v>
      </c>
    </row>
    <row r="12340">
      <c r="A12340" s="76" t="s">
        <v>33</v>
      </c>
      <c r="B12340" s="76" t="s">
        <v>1041</v>
      </c>
      <c r="C12340" s="84">
        <v>31.88</v>
      </c>
      <c r="D12340" s="84">
        <v>8.0</v>
      </c>
      <c r="E12340" s="84">
        <v>3.99</v>
      </c>
      <c r="F12340" s="76" t="s">
        <v>996</v>
      </c>
      <c r="G12340" s="83">
        <v>46121.0</v>
      </c>
      <c r="H12340" s="76" t="s">
        <v>959</v>
      </c>
    </row>
    <row r="12341">
      <c r="A12341" s="76" t="s">
        <v>34</v>
      </c>
      <c r="B12341" s="76" t="s">
        <v>1041</v>
      </c>
      <c r="C12341" s="84">
        <v>2.19</v>
      </c>
      <c r="D12341" s="84">
        <v>0.0</v>
      </c>
      <c r="E12341" s="84">
        <v>0.0</v>
      </c>
      <c r="F12341" s="76" t="s">
        <v>996</v>
      </c>
      <c r="G12341" s="83">
        <v>46121.0</v>
      </c>
      <c r="H12341" s="76" t="s">
        <v>951</v>
      </c>
    </row>
    <row r="12342">
      <c r="A12342" s="76" t="s">
        <v>34</v>
      </c>
      <c r="B12342" s="76" t="s">
        <v>1041</v>
      </c>
      <c r="C12342" s="84">
        <v>10.39</v>
      </c>
      <c r="D12342" s="84">
        <v>0.0</v>
      </c>
      <c r="E12342" s="84">
        <v>0.0</v>
      </c>
      <c r="F12342" s="76" t="s">
        <v>996</v>
      </c>
      <c r="G12342" s="83">
        <v>46121.0</v>
      </c>
      <c r="H12342" s="76" t="s">
        <v>952</v>
      </c>
    </row>
    <row r="12343">
      <c r="A12343" s="76" t="s">
        <v>34</v>
      </c>
      <c r="B12343" s="76" t="s">
        <v>1041</v>
      </c>
      <c r="C12343" s="84">
        <v>1.15</v>
      </c>
      <c r="D12343" s="84">
        <v>1.0</v>
      </c>
      <c r="E12343" s="84">
        <v>1.15</v>
      </c>
      <c r="F12343" s="76" t="s">
        <v>996</v>
      </c>
      <c r="G12343" s="83">
        <v>46121.0</v>
      </c>
      <c r="H12343" s="76" t="s">
        <v>953</v>
      </c>
    </row>
    <row r="12344">
      <c r="A12344" s="76" t="s">
        <v>36</v>
      </c>
      <c r="B12344" s="76" t="s">
        <v>1041</v>
      </c>
      <c r="C12344" s="84">
        <v>6.33</v>
      </c>
      <c r="D12344" s="84">
        <v>1.0</v>
      </c>
      <c r="E12344" s="84">
        <v>6.33</v>
      </c>
      <c r="F12344" s="76" t="s">
        <v>996</v>
      </c>
      <c r="G12344" s="83">
        <v>46121.0</v>
      </c>
      <c r="H12344" s="76" t="s">
        <v>926</v>
      </c>
    </row>
    <row r="12345">
      <c r="A12345" s="76" t="s">
        <v>36</v>
      </c>
      <c r="B12345" s="76" t="s">
        <v>1041</v>
      </c>
      <c r="C12345" s="84">
        <v>2.43</v>
      </c>
      <c r="D12345" s="84">
        <v>0.0</v>
      </c>
      <c r="E12345" s="84">
        <v>0.0</v>
      </c>
      <c r="F12345" s="76" t="s">
        <v>996</v>
      </c>
      <c r="G12345" s="83">
        <v>46121.0</v>
      </c>
      <c r="H12345" s="76" t="s">
        <v>927</v>
      </c>
    </row>
    <row r="12346">
      <c r="A12346" s="76" t="s">
        <v>36</v>
      </c>
      <c r="B12346" s="76" t="s">
        <v>1041</v>
      </c>
      <c r="C12346" s="84">
        <v>8.04</v>
      </c>
      <c r="D12346" s="84">
        <v>1.0</v>
      </c>
      <c r="E12346" s="84">
        <v>8.04</v>
      </c>
      <c r="F12346" s="76" t="s">
        <v>996</v>
      </c>
      <c r="G12346" s="83">
        <v>46121.0</v>
      </c>
      <c r="H12346" s="76" t="s">
        <v>928</v>
      </c>
    </row>
    <row r="12347">
      <c r="A12347" s="76" t="s">
        <v>40</v>
      </c>
      <c r="B12347" s="76" t="s">
        <v>1041</v>
      </c>
      <c r="C12347" s="84">
        <v>5.5</v>
      </c>
      <c r="D12347" s="84">
        <v>0.0</v>
      </c>
      <c r="E12347" s="84">
        <v>0.0</v>
      </c>
      <c r="F12347" s="76" t="s">
        <v>996</v>
      </c>
      <c r="G12347" s="83">
        <v>46121.0</v>
      </c>
      <c r="H12347" s="76" t="s">
        <v>954</v>
      </c>
    </row>
    <row r="12348">
      <c r="A12348" s="76" t="s">
        <v>40</v>
      </c>
      <c r="B12348" s="76" t="s">
        <v>1041</v>
      </c>
      <c r="C12348" s="84">
        <v>5.91</v>
      </c>
      <c r="D12348" s="84">
        <v>1.0</v>
      </c>
      <c r="E12348" s="84">
        <v>5.91</v>
      </c>
      <c r="F12348" s="76" t="s">
        <v>996</v>
      </c>
      <c r="G12348" s="83">
        <v>46121.0</v>
      </c>
      <c r="H12348" s="76" t="s">
        <v>955</v>
      </c>
    </row>
    <row r="12349">
      <c r="A12349" s="76" t="s">
        <v>40</v>
      </c>
      <c r="B12349" s="76" t="s">
        <v>1041</v>
      </c>
      <c r="C12349" s="84">
        <v>16.54</v>
      </c>
      <c r="D12349" s="84">
        <v>5.0</v>
      </c>
      <c r="E12349" s="84">
        <v>3.31</v>
      </c>
      <c r="F12349" s="76" t="s">
        <v>996</v>
      </c>
      <c r="G12349" s="83">
        <v>46121.0</v>
      </c>
      <c r="H12349" s="76" t="s">
        <v>956</v>
      </c>
    </row>
    <row r="12350">
      <c r="A12350" s="76" t="s">
        <v>40</v>
      </c>
      <c r="B12350" s="76" t="s">
        <v>1041</v>
      </c>
      <c r="C12350" s="84">
        <v>1.26</v>
      </c>
      <c r="D12350" s="84">
        <v>0.0</v>
      </c>
      <c r="E12350" s="84">
        <v>0.0</v>
      </c>
      <c r="F12350" s="76" t="s">
        <v>993</v>
      </c>
      <c r="G12350" s="83">
        <v>46121.0</v>
      </c>
      <c r="H12350" s="76" t="s">
        <v>954</v>
      </c>
    </row>
    <row r="12351">
      <c r="A12351" s="76" t="s">
        <v>40</v>
      </c>
      <c r="B12351" s="76" t="s">
        <v>1041</v>
      </c>
      <c r="C12351" s="84">
        <v>0.32</v>
      </c>
      <c r="D12351" s="84">
        <v>0.0</v>
      </c>
      <c r="E12351" s="84">
        <v>0.0</v>
      </c>
      <c r="F12351" s="76" t="s">
        <v>993</v>
      </c>
      <c r="G12351" s="83">
        <v>46121.0</v>
      </c>
      <c r="H12351" s="76" t="s">
        <v>955</v>
      </c>
    </row>
    <row r="12352">
      <c r="A12352" s="76" t="s">
        <v>40</v>
      </c>
      <c r="B12352" s="76" t="s">
        <v>1041</v>
      </c>
      <c r="C12352" s="84">
        <v>23.22</v>
      </c>
      <c r="D12352" s="84">
        <v>1.0</v>
      </c>
      <c r="E12352" s="84">
        <v>23.22</v>
      </c>
      <c r="F12352" s="76" t="s">
        <v>993</v>
      </c>
      <c r="G12352" s="83">
        <v>46121.0</v>
      </c>
      <c r="H12352" s="76" t="s">
        <v>956</v>
      </c>
    </row>
    <row r="12353">
      <c r="A12353" s="76" t="s">
        <v>36</v>
      </c>
      <c r="B12353" s="76" t="s">
        <v>1041</v>
      </c>
      <c r="C12353" s="84">
        <v>3.53</v>
      </c>
      <c r="D12353" s="84">
        <v>0.0</v>
      </c>
      <c r="E12353" s="84">
        <v>0.0</v>
      </c>
      <c r="F12353" s="76" t="s">
        <v>993</v>
      </c>
      <c r="G12353" s="83">
        <v>46121.0</v>
      </c>
      <c r="H12353" s="76" t="s">
        <v>926</v>
      </c>
    </row>
    <row r="12354">
      <c r="A12354" s="76" t="s">
        <v>36</v>
      </c>
      <c r="B12354" s="76" t="s">
        <v>1041</v>
      </c>
      <c r="C12354" s="84">
        <v>0.83</v>
      </c>
      <c r="D12354" s="84">
        <v>0.0</v>
      </c>
      <c r="E12354" s="84">
        <v>0.0</v>
      </c>
      <c r="F12354" s="76" t="s">
        <v>993</v>
      </c>
      <c r="G12354" s="83">
        <v>46121.0</v>
      </c>
      <c r="H12354" s="76" t="s">
        <v>927</v>
      </c>
    </row>
    <row r="12355">
      <c r="A12355" s="76" t="s">
        <v>36</v>
      </c>
      <c r="B12355" s="76" t="s">
        <v>1041</v>
      </c>
      <c r="C12355" s="84">
        <v>2.68</v>
      </c>
      <c r="D12355" s="84">
        <v>1.0</v>
      </c>
      <c r="E12355" s="84">
        <v>2.68</v>
      </c>
      <c r="F12355" s="76" t="s">
        <v>993</v>
      </c>
      <c r="G12355" s="83">
        <v>46121.0</v>
      </c>
      <c r="H12355" s="76" t="s">
        <v>928</v>
      </c>
    </row>
    <row r="12356">
      <c r="A12356" s="76" t="s">
        <v>46</v>
      </c>
      <c r="B12356" s="76" t="s">
        <v>1041</v>
      </c>
      <c r="C12356" s="84">
        <v>0.27</v>
      </c>
      <c r="D12356" s="84">
        <v>0.0</v>
      </c>
      <c r="E12356" s="84">
        <v>0.0</v>
      </c>
      <c r="F12356" s="76" t="s">
        <v>993</v>
      </c>
      <c r="G12356" s="83">
        <v>46121.0</v>
      </c>
      <c r="H12356" s="76" t="s">
        <v>960</v>
      </c>
    </row>
    <row r="12357">
      <c r="A12357" s="76" t="s">
        <v>46</v>
      </c>
      <c r="B12357" s="76" t="s">
        <v>1041</v>
      </c>
      <c r="C12357" s="84">
        <v>0.84</v>
      </c>
      <c r="D12357" s="84">
        <v>1.0</v>
      </c>
      <c r="E12357" s="84">
        <v>0.84</v>
      </c>
      <c r="F12357" s="76" t="s">
        <v>993</v>
      </c>
      <c r="G12357" s="83">
        <v>46121.0</v>
      </c>
      <c r="H12357" s="76" t="s">
        <v>961</v>
      </c>
    </row>
    <row r="12358">
      <c r="A12358" s="76" t="s">
        <v>46</v>
      </c>
      <c r="B12358" s="76" t="s">
        <v>1041</v>
      </c>
      <c r="C12358" s="84">
        <v>1.28</v>
      </c>
      <c r="D12358" s="84">
        <v>0.0</v>
      </c>
      <c r="E12358" s="84">
        <v>0.0</v>
      </c>
      <c r="F12358" s="76" t="s">
        <v>993</v>
      </c>
      <c r="G12358" s="83">
        <v>46121.0</v>
      </c>
      <c r="H12358" s="76" t="s">
        <v>962</v>
      </c>
    </row>
    <row r="12359">
      <c r="A12359" s="76" t="s">
        <v>970</v>
      </c>
      <c r="B12359" s="76" t="s">
        <v>1041</v>
      </c>
      <c r="C12359" s="84">
        <v>2.93</v>
      </c>
      <c r="D12359" s="84">
        <v>0.0</v>
      </c>
      <c r="E12359" s="84">
        <v>0.0</v>
      </c>
      <c r="F12359" s="76" t="s">
        <v>993</v>
      </c>
      <c r="G12359" s="83">
        <v>46121.0</v>
      </c>
      <c r="H12359" s="76" t="s">
        <v>971</v>
      </c>
    </row>
    <row r="12360">
      <c r="A12360" s="76" t="s">
        <v>970</v>
      </c>
      <c r="B12360" s="76" t="s">
        <v>1041</v>
      </c>
      <c r="C12360" s="84">
        <v>0.75</v>
      </c>
      <c r="D12360" s="84">
        <v>0.0</v>
      </c>
      <c r="E12360" s="84">
        <v>0.0</v>
      </c>
      <c r="F12360" s="76" t="s">
        <v>993</v>
      </c>
      <c r="G12360" s="83">
        <v>46121.0</v>
      </c>
      <c r="H12360" s="76" t="s">
        <v>972</v>
      </c>
    </row>
    <row r="12361">
      <c r="A12361" s="76" t="s">
        <v>970</v>
      </c>
      <c r="B12361" s="76" t="s">
        <v>1041</v>
      </c>
      <c r="C12361" s="84">
        <v>5.68</v>
      </c>
      <c r="D12361" s="84">
        <v>0.0</v>
      </c>
      <c r="E12361" s="84">
        <v>0.0</v>
      </c>
      <c r="F12361" s="76" t="s">
        <v>993</v>
      </c>
      <c r="G12361" s="83">
        <v>46121.0</v>
      </c>
      <c r="H12361" s="76" t="s">
        <v>973</v>
      </c>
    </row>
    <row r="12362">
      <c r="A12362" s="76" t="s">
        <v>33</v>
      </c>
      <c r="B12362" s="76" t="s">
        <v>1041</v>
      </c>
      <c r="C12362" s="84">
        <v>258.15</v>
      </c>
      <c r="D12362" s="84">
        <v>34.0</v>
      </c>
      <c r="E12362" s="84">
        <v>7.59</v>
      </c>
      <c r="F12362" s="76" t="s">
        <v>993</v>
      </c>
      <c r="G12362" s="83">
        <v>46121.0</v>
      </c>
      <c r="H12362" s="76" t="s">
        <v>957</v>
      </c>
    </row>
    <row r="12363">
      <c r="A12363" s="76" t="s">
        <v>33</v>
      </c>
      <c r="B12363" s="76" t="s">
        <v>1041</v>
      </c>
      <c r="C12363" s="84">
        <v>2.25</v>
      </c>
      <c r="D12363" s="84">
        <v>1.0</v>
      </c>
      <c r="E12363" s="84">
        <v>2.25</v>
      </c>
      <c r="F12363" s="76" t="s">
        <v>993</v>
      </c>
      <c r="G12363" s="83">
        <v>46121.0</v>
      </c>
      <c r="H12363" s="76" t="s">
        <v>958</v>
      </c>
    </row>
    <row r="12364">
      <c r="A12364" s="76" t="s">
        <v>33</v>
      </c>
      <c r="B12364" s="76" t="s">
        <v>1041</v>
      </c>
      <c r="C12364" s="84">
        <v>45.62</v>
      </c>
      <c r="D12364" s="84">
        <v>9.0</v>
      </c>
      <c r="E12364" s="84">
        <v>5.07</v>
      </c>
      <c r="F12364" s="76" t="s">
        <v>993</v>
      </c>
      <c r="G12364" s="83">
        <v>46121.0</v>
      </c>
      <c r="H12364" s="76" t="s">
        <v>959</v>
      </c>
    </row>
    <row r="12365">
      <c r="A12365" s="76" t="s">
        <v>966</v>
      </c>
      <c r="B12365" s="76" t="s">
        <v>1041</v>
      </c>
      <c r="C12365" s="84">
        <v>1.71</v>
      </c>
      <c r="D12365" s="84">
        <v>1.0</v>
      </c>
      <c r="E12365" s="84">
        <v>1.71</v>
      </c>
      <c r="F12365" s="76" t="s">
        <v>993</v>
      </c>
      <c r="G12365" s="83">
        <v>46121.0</v>
      </c>
      <c r="H12365" s="76" t="s">
        <v>967</v>
      </c>
    </row>
    <row r="12366">
      <c r="A12366" s="76" t="s">
        <v>966</v>
      </c>
      <c r="B12366" s="76" t="s">
        <v>1041</v>
      </c>
      <c r="C12366" s="84">
        <v>0.79</v>
      </c>
      <c r="D12366" s="84">
        <v>0.0</v>
      </c>
      <c r="E12366" s="84">
        <v>0.0</v>
      </c>
      <c r="F12366" s="76" t="s">
        <v>993</v>
      </c>
      <c r="G12366" s="83">
        <v>46121.0</v>
      </c>
      <c r="H12366" s="76" t="s">
        <v>968</v>
      </c>
    </row>
    <row r="12367">
      <c r="A12367" s="76" t="s">
        <v>966</v>
      </c>
      <c r="B12367" s="76" t="s">
        <v>1041</v>
      </c>
      <c r="C12367" s="84">
        <v>4.62</v>
      </c>
      <c r="D12367" s="84">
        <v>0.0</v>
      </c>
      <c r="E12367" s="84">
        <v>0.0</v>
      </c>
      <c r="F12367" s="76" t="s">
        <v>993</v>
      </c>
      <c r="G12367" s="83">
        <v>46121.0</v>
      </c>
      <c r="H12367" s="76" t="s">
        <v>969</v>
      </c>
    </row>
    <row r="12368">
      <c r="A12368" s="76" t="s">
        <v>29</v>
      </c>
      <c r="B12368" s="76" t="s">
        <v>1041</v>
      </c>
      <c r="C12368" s="84">
        <v>5.86</v>
      </c>
      <c r="D12368" s="84">
        <v>0.0</v>
      </c>
      <c r="E12368" s="84">
        <v>0.0</v>
      </c>
      <c r="F12368" s="76" t="s">
        <v>993</v>
      </c>
      <c r="G12368" s="83">
        <v>46121.0</v>
      </c>
      <c r="H12368" s="76" t="s">
        <v>971</v>
      </c>
    </row>
    <row r="12369">
      <c r="A12369" s="76" t="s">
        <v>29</v>
      </c>
      <c r="B12369" s="76" t="s">
        <v>1041</v>
      </c>
      <c r="C12369" s="84">
        <v>1.18</v>
      </c>
      <c r="D12369" s="84">
        <v>0.0</v>
      </c>
      <c r="E12369" s="84">
        <v>0.0</v>
      </c>
      <c r="F12369" s="76" t="s">
        <v>993</v>
      </c>
      <c r="G12369" s="83">
        <v>46121.0</v>
      </c>
      <c r="H12369" s="76" t="s">
        <v>972</v>
      </c>
    </row>
    <row r="12370">
      <c r="A12370" s="76" t="s">
        <v>29</v>
      </c>
      <c r="B12370" s="76" t="s">
        <v>1041</v>
      </c>
      <c r="C12370" s="84">
        <v>7.82</v>
      </c>
      <c r="D12370" s="84">
        <v>1.0</v>
      </c>
      <c r="E12370" s="84">
        <v>7.82</v>
      </c>
      <c r="F12370" s="76" t="s">
        <v>993</v>
      </c>
      <c r="G12370" s="83">
        <v>46121.0</v>
      </c>
      <c r="H12370" s="76" t="s">
        <v>973</v>
      </c>
    </row>
    <row r="12371">
      <c r="A12371" s="76" t="s">
        <v>34</v>
      </c>
      <c r="B12371" s="76" t="s">
        <v>1041</v>
      </c>
      <c r="C12371" s="84">
        <v>2.71</v>
      </c>
      <c r="D12371" s="84">
        <v>1.0</v>
      </c>
      <c r="E12371" s="84">
        <v>2.71</v>
      </c>
      <c r="F12371" s="76" t="s">
        <v>993</v>
      </c>
      <c r="G12371" s="83">
        <v>46121.0</v>
      </c>
      <c r="H12371" s="76" t="s">
        <v>951</v>
      </c>
    </row>
    <row r="12372">
      <c r="A12372" s="76" t="s">
        <v>34</v>
      </c>
      <c r="B12372" s="76" t="s">
        <v>1041</v>
      </c>
      <c r="C12372" s="84">
        <v>10.86</v>
      </c>
      <c r="D12372" s="84">
        <v>3.0</v>
      </c>
      <c r="E12372" s="84">
        <v>3.62</v>
      </c>
      <c r="F12372" s="76" t="s">
        <v>993</v>
      </c>
      <c r="G12372" s="83">
        <v>46121.0</v>
      </c>
      <c r="H12372" s="76" t="s">
        <v>952</v>
      </c>
    </row>
    <row r="12373">
      <c r="A12373" s="76" t="s">
        <v>34</v>
      </c>
      <c r="B12373" s="76" t="s">
        <v>1041</v>
      </c>
      <c r="C12373" s="84">
        <v>0.45</v>
      </c>
      <c r="D12373" s="84">
        <v>0.0</v>
      </c>
      <c r="E12373" s="84">
        <v>0.0</v>
      </c>
      <c r="F12373" s="76" t="s">
        <v>993</v>
      </c>
      <c r="G12373" s="83">
        <v>46121.0</v>
      </c>
      <c r="H12373" s="76" t="s">
        <v>953</v>
      </c>
    </row>
    <row r="12374">
      <c r="A12374" s="76" t="s">
        <v>43</v>
      </c>
      <c r="B12374" s="76" t="s">
        <v>1041</v>
      </c>
      <c r="C12374" s="84">
        <v>0.4</v>
      </c>
      <c r="D12374" s="84">
        <v>0.0</v>
      </c>
      <c r="E12374" s="84">
        <v>0.0</v>
      </c>
      <c r="F12374" s="76" t="s">
        <v>993</v>
      </c>
      <c r="G12374" s="83">
        <v>46121.0</v>
      </c>
      <c r="H12374" s="76" t="s">
        <v>963</v>
      </c>
    </row>
    <row r="12375">
      <c r="A12375" s="76" t="s">
        <v>43</v>
      </c>
      <c r="B12375" s="76" t="s">
        <v>1041</v>
      </c>
      <c r="C12375" s="84">
        <v>1.05</v>
      </c>
      <c r="D12375" s="84">
        <v>0.0</v>
      </c>
      <c r="E12375" s="84">
        <v>0.0</v>
      </c>
      <c r="F12375" s="76" t="s">
        <v>993</v>
      </c>
      <c r="G12375" s="83">
        <v>46121.0</v>
      </c>
      <c r="H12375" s="76" t="s">
        <v>964</v>
      </c>
    </row>
    <row r="12376">
      <c r="A12376" s="76" t="s">
        <v>43</v>
      </c>
      <c r="B12376" s="76" t="s">
        <v>1041</v>
      </c>
      <c r="C12376" s="84">
        <v>1.59</v>
      </c>
      <c r="D12376" s="84">
        <v>0.0</v>
      </c>
      <c r="E12376" s="84">
        <v>0.0</v>
      </c>
      <c r="F12376" s="76" t="s">
        <v>993</v>
      </c>
      <c r="G12376" s="83">
        <v>46121.0</v>
      </c>
      <c r="H12376" s="76" t="s">
        <v>965</v>
      </c>
    </row>
    <row r="12377">
      <c r="A12377" s="76" t="s">
        <v>36</v>
      </c>
      <c r="B12377" s="76" t="s">
        <v>1041</v>
      </c>
      <c r="C12377" s="84">
        <v>1.02</v>
      </c>
      <c r="D12377" s="84">
        <v>0.0</v>
      </c>
      <c r="E12377" s="84">
        <v>0.0</v>
      </c>
      <c r="F12377" s="76" t="s">
        <v>998</v>
      </c>
      <c r="G12377" s="83">
        <v>46121.0</v>
      </c>
      <c r="H12377" s="76" t="s">
        <v>926</v>
      </c>
    </row>
    <row r="12378">
      <c r="A12378" s="76" t="s">
        <v>36</v>
      </c>
      <c r="B12378" s="76" t="s">
        <v>1041</v>
      </c>
      <c r="C12378" s="84">
        <v>0.18</v>
      </c>
      <c r="D12378" s="84">
        <v>0.0</v>
      </c>
      <c r="E12378" s="84">
        <v>0.0</v>
      </c>
      <c r="F12378" s="76" t="s">
        <v>998</v>
      </c>
      <c r="G12378" s="83">
        <v>46121.0</v>
      </c>
      <c r="H12378" s="76" t="s">
        <v>927</v>
      </c>
    </row>
    <row r="12379">
      <c r="A12379" s="76" t="s">
        <v>36</v>
      </c>
      <c r="B12379" s="76" t="s">
        <v>1041</v>
      </c>
      <c r="C12379" s="84">
        <v>0.55</v>
      </c>
      <c r="D12379" s="84">
        <v>0.0</v>
      </c>
      <c r="E12379" s="84">
        <v>0.0</v>
      </c>
      <c r="F12379" s="76" t="s">
        <v>998</v>
      </c>
      <c r="G12379" s="83">
        <v>46121.0</v>
      </c>
      <c r="H12379" s="76" t="s">
        <v>928</v>
      </c>
    </row>
    <row r="12380">
      <c r="A12380" s="76" t="s">
        <v>34</v>
      </c>
      <c r="B12380" s="76" t="s">
        <v>1041</v>
      </c>
      <c r="C12380" s="84">
        <v>0.32</v>
      </c>
      <c r="D12380" s="84">
        <v>0.0</v>
      </c>
      <c r="E12380" s="84">
        <v>0.0</v>
      </c>
      <c r="F12380" s="76" t="s">
        <v>998</v>
      </c>
      <c r="G12380" s="83">
        <v>46121.0</v>
      </c>
      <c r="H12380" s="76" t="s">
        <v>951</v>
      </c>
    </row>
    <row r="12381">
      <c r="A12381" s="76" t="s">
        <v>34</v>
      </c>
      <c r="B12381" s="76" t="s">
        <v>1041</v>
      </c>
      <c r="C12381" s="84">
        <v>0.66</v>
      </c>
      <c r="D12381" s="84">
        <v>0.0</v>
      </c>
      <c r="E12381" s="84">
        <v>0.0</v>
      </c>
      <c r="F12381" s="76" t="s">
        <v>998</v>
      </c>
      <c r="G12381" s="83">
        <v>46121.0</v>
      </c>
      <c r="H12381" s="76" t="s">
        <v>952</v>
      </c>
    </row>
    <row r="12382">
      <c r="A12382" s="76" t="s">
        <v>34</v>
      </c>
      <c r="B12382" s="76" t="s">
        <v>1041</v>
      </c>
      <c r="C12382" s="84">
        <v>0.26</v>
      </c>
      <c r="D12382" s="84">
        <v>0.0</v>
      </c>
      <c r="E12382" s="84">
        <v>0.0</v>
      </c>
      <c r="F12382" s="76" t="s">
        <v>998</v>
      </c>
      <c r="G12382" s="83">
        <v>46121.0</v>
      </c>
      <c r="H12382" s="76" t="s">
        <v>953</v>
      </c>
    </row>
    <row r="12383">
      <c r="A12383" s="76" t="s">
        <v>33</v>
      </c>
      <c r="B12383" s="76" t="s">
        <v>1041</v>
      </c>
      <c r="C12383" s="84">
        <v>5.19</v>
      </c>
      <c r="D12383" s="84">
        <v>0.0</v>
      </c>
      <c r="E12383" s="84">
        <v>0.0</v>
      </c>
      <c r="F12383" s="76" t="s">
        <v>998</v>
      </c>
      <c r="G12383" s="83">
        <v>46121.0</v>
      </c>
      <c r="H12383" s="76" t="s">
        <v>957</v>
      </c>
    </row>
    <row r="12384">
      <c r="A12384" s="76" t="s">
        <v>33</v>
      </c>
      <c r="B12384" s="76" t="s">
        <v>1041</v>
      </c>
      <c r="C12384" s="84">
        <v>0.49</v>
      </c>
      <c r="D12384" s="84">
        <v>0.0</v>
      </c>
      <c r="E12384" s="84">
        <v>0.0</v>
      </c>
      <c r="F12384" s="76" t="s">
        <v>998</v>
      </c>
      <c r="G12384" s="83">
        <v>46121.0</v>
      </c>
      <c r="H12384" s="76" t="s">
        <v>958</v>
      </c>
    </row>
    <row r="12385">
      <c r="A12385" s="76" t="s">
        <v>33</v>
      </c>
      <c r="B12385" s="76" t="s">
        <v>1041</v>
      </c>
      <c r="C12385" s="84">
        <v>0.83</v>
      </c>
      <c r="D12385" s="84">
        <v>0.0</v>
      </c>
      <c r="E12385" s="84">
        <v>0.0</v>
      </c>
      <c r="F12385" s="76" t="s">
        <v>998</v>
      </c>
      <c r="G12385" s="83">
        <v>46121.0</v>
      </c>
      <c r="H12385" s="76" t="s">
        <v>959</v>
      </c>
    </row>
    <row r="12386">
      <c r="A12386" s="76" t="s">
        <v>29</v>
      </c>
      <c r="B12386" s="76" t="s">
        <v>1041</v>
      </c>
      <c r="C12386" s="84">
        <v>0.38</v>
      </c>
      <c r="D12386" s="84">
        <v>1.0</v>
      </c>
      <c r="E12386" s="84">
        <v>0.38</v>
      </c>
      <c r="F12386" s="76" t="s">
        <v>998</v>
      </c>
      <c r="G12386" s="83">
        <v>46121.0</v>
      </c>
      <c r="H12386" s="76" t="s">
        <v>971</v>
      </c>
    </row>
    <row r="12387">
      <c r="A12387" s="76" t="s">
        <v>29</v>
      </c>
      <c r="B12387" s="76" t="s">
        <v>1041</v>
      </c>
      <c r="C12387" s="84">
        <v>0.14</v>
      </c>
      <c r="D12387" s="84">
        <v>0.0</v>
      </c>
      <c r="E12387" s="84">
        <v>0.0</v>
      </c>
      <c r="F12387" s="76" t="s">
        <v>998</v>
      </c>
      <c r="G12387" s="83">
        <v>46121.0</v>
      </c>
      <c r="H12387" s="76" t="s">
        <v>972</v>
      </c>
    </row>
    <row r="12388">
      <c r="A12388" s="76" t="s">
        <v>29</v>
      </c>
      <c r="B12388" s="76" t="s">
        <v>1041</v>
      </c>
      <c r="C12388" s="84">
        <v>1.21</v>
      </c>
      <c r="D12388" s="84">
        <v>2.0</v>
      </c>
      <c r="E12388" s="84">
        <v>0.6</v>
      </c>
      <c r="F12388" s="76" t="s">
        <v>998</v>
      </c>
      <c r="G12388" s="83">
        <v>46121.0</v>
      </c>
      <c r="H12388" s="76" t="s">
        <v>973</v>
      </c>
    </row>
    <row r="12389">
      <c r="A12389" s="76" t="s">
        <v>46</v>
      </c>
      <c r="B12389" s="76" t="s">
        <v>1041</v>
      </c>
      <c r="C12389" s="84">
        <v>0.47</v>
      </c>
      <c r="D12389" s="84">
        <v>0.0</v>
      </c>
      <c r="E12389" s="84">
        <v>0.0</v>
      </c>
      <c r="F12389" s="76" t="s">
        <v>998</v>
      </c>
      <c r="G12389" s="83">
        <v>46121.0</v>
      </c>
      <c r="H12389" s="76" t="s">
        <v>960</v>
      </c>
    </row>
    <row r="12390">
      <c r="A12390" s="76" t="s">
        <v>46</v>
      </c>
      <c r="B12390" s="76" t="s">
        <v>1041</v>
      </c>
      <c r="C12390" s="84">
        <v>0.36</v>
      </c>
      <c r="D12390" s="84">
        <v>0.0</v>
      </c>
      <c r="E12390" s="84">
        <v>0.0</v>
      </c>
      <c r="F12390" s="76" t="s">
        <v>998</v>
      </c>
      <c r="G12390" s="83">
        <v>46121.0</v>
      </c>
      <c r="H12390" s="76" t="s">
        <v>961</v>
      </c>
    </row>
    <row r="12391">
      <c r="A12391" s="76" t="s">
        <v>46</v>
      </c>
      <c r="B12391" s="76" t="s">
        <v>1041</v>
      </c>
      <c r="C12391" s="84">
        <v>0.27</v>
      </c>
      <c r="D12391" s="84">
        <v>0.0</v>
      </c>
      <c r="E12391" s="84">
        <v>0.0</v>
      </c>
      <c r="F12391" s="76" t="s">
        <v>998</v>
      </c>
      <c r="G12391" s="83">
        <v>46121.0</v>
      </c>
      <c r="H12391" s="76" t="s">
        <v>962</v>
      </c>
    </row>
    <row r="12392">
      <c r="A12392" s="76" t="s">
        <v>40</v>
      </c>
      <c r="B12392" s="76" t="s">
        <v>1041</v>
      </c>
      <c r="C12392" s="84">
        <v>0.45</v>
      </c>
      <c r="D12392" s="84">
        <v>0.0</v>
      </c>
      <c r="E12392" s="84">
        <v>0.0</v>
      </c>
      <c r="F12392" s="76" t="s">
        <v>998</v>
      </c>
      <c r="G12392" s="83">
        <v>46121.0</v>
      </c>
      <c r="H12392" s="76" t="s">
        <v>954</v>
      </c>
    </row>
    <row r="12393">
      <c r="A12393" s="76" t="s">
        <v>40</v>
      </c>
      <c r="B12393" s="76" t="s">
        <v>1041</v>
      </c>
      <c r="C12393" s="84">
        <v>0.48</v>
      </c>
      <c r="D12393" s="84">
        <v>0.0</v>
      </c>
      <c r="E12393" s="84">
        <v>0.0</v>
      </c>
      <c r="F12393" s="76" t="s">
        <v>998</v>
      </c>
      <c r="G12393" s="83">
        <v>46121.0</v>
      </c>
      <c r="H12393" s="76" t="s">
        <v>955</v>
      </c>
    </row>
    <row r="12394">
      <c r="A12394" s="76" t="s">
        <v>40</v>
      </c>
      <c r="B12394" s="76" t="s">
        <v>1041</v>
      </c>
      <c r="C12394" s="84">
        <v>2.53</v>
      </c>
      <c r="D12394" s="84">
        <v>0.0</v>
      </c>
      <c r="E12394" s="84">
        <v>0.0</v>
      </c>
      <c r="F12394" s="76" t="s">
        <v>998</v>
      </c>
      <c r="G12394" s="83">
        <v>46121.0</v>
      </c>
      <c r="H12394" s="76" t="s">
        <v>956</v>
      </c>
    </row>
    <row r="12395">
      <c r="A12395" s="76" t="s">
        <v>966</v>
      </c>
      <c r="B12395" s="76" t="s">
        <v>1041</v>
      </c>
      <c r="C12395" s="84">
        <v>0.44</v>
      </c>
      <c r="D12395" s="84">
        <v>0.0</v>
      </c>
      <c r="E12395" s="84">
        <v>0.0</v>
      </c>
      <c r="F12395" s="76" t="s">
        <v>998</v>
      </c>
      <c r="G12395" s="83">
        <v>46121.0</v>
      </c>
      <c r="H12395" s="76" t="s">
        <v>967</v>
      </c>
    </row>
    <row r="12396">
      <c r="A12396" s="76" t="s">
        <v>966</v>
      </c>
      <c r="B12396" s="76" t="s">
        <v>1041</v>
      </c>
      <c r="C12396" s="84">
        <v>0.2</v>
      </c>
      <c r="D12396" s="84">
        <v>0.0</v>
      </c>
      <c r="E12396" s="84">
        <v>0.0</v>
      </c>
      <c r="F12396" s="76" t="s">
        <v>998</v>
      </c>
      <c r="G12396" s="83">
        <v>46121.0</v>
      </c>
      <c r="H12396" s="76" t="s">
        <v>968</v>
      </c>
    </row>
    <row r="12397">
      <c r="A12397" s="76" t="s">
        <v>966</v>
      </c>
      <c r="B12397" s="76" t="s">
        <v>1041</v>
      </c>
      <c r="C12397" s="84">
        <v>0.25</v>
      </c>
      <c r="D12397" s="84">
        <v>0.0</v>
      </c>
      <c r="E12397" s="84">
        <v>0.0</v>
      </c>
      <c r="F12397" s="76" t="s">
        <v>998</v>
      </c>
      <c r="G12397" s="83">
        <v>46121.0</v>
      </c>
      <c r="H12397" s="76" t="s">
        <v>969</v>
      </c>
    </row>
    <row r="12398">
      <c r="A12398" s="76" t="s">
        <v>43</v>
      </c>
      <c r="B12398" s="76" t="s">
        <v>1041</v>
      </c>
      <c r="C12398" s="84">
        <v>0.18</v>
      </c>
      <c r="D12398" s="84">
        <v>0.0</v>
      </c>
      <c r="E12398" s="84">
        <v>0.0</v>
      </c>
      <c r="F12398" s="76" t="s">
        <v>998</v>
      </c>
      <c r="G12398" s="83">
        <v>46121.0</v>
      </c>
      <c r="H12398" s="76" t="s">
        <v>963</v>
      </c>
    </row>
    <row r="12399">
      <c r="A12399" s="76" t="s">
        <v>43</v>
      </c>
      <c r="B12399" s="76" t="s">
        <v>1041</v>
      </c>
      <c r="C12399" s="84">
        <v>0.14</v>
      </c>
      <c r="D12399" s="84">
        <v>0.0</v>
      </c>
      <c r="E12399" s="84">
        <v>0.0</v>
      </c>
      <c r="F12399" s="76" t="s">
        <v>998</v>
      </c>
      <c r="G12399" s="83">
        <v>46121.0</v>
      </c>
      <c r="H12399" s="76" t="s">
        <v>964</v>
      </c>
    </row>
    <row r="12400">
      <c r="A12400" s="76" t="s">
        <v>43</v>
      </c>
      <c r="B12400" s="76" t="s">
        <v>1041</v>
      </c>
      <c r="C12400" s="84">
        <v>0.58</v>
      </c>
      <c r="D12400" s="84">
        <v>0.0</v>
      </c>
      <c r="E12400" s="84">
        <v>0.0</v>
      </c>
      <c r="F12400" s="76" t="s">
        <v>998</v>
      </c>
      <c r="G12400" s="83">
        <v>46121.0</v>
      </c>
      <c r="H12400" s="76" t="s">
        <v>965</v>
      </c>
    </row>
    <row r="12401">
      <c r="A12401" s="76" t="s">
        <v>970</v>
      </c>
      <c r="B12401" s="76" t="s">
        <v>1041</v>
      </c>
      <c r="C12401" s="84">
        <v>0.78</v>
      </c>
      <c r="D12401" s="84">
        <v>1.0</v>
      </c>
      <c r="E12401" s="84">
        <v>0.78</v>
      </c>
      <c r="F12401" s="76" t="s">
        <v>998</v>
      </c>
      <c r="G12401" s="83">
        <v>46121.0</v>
      </c>
      <c r="H12401" s="76" t="s">
        <v>971</v>
      </c>
    </row>
    <row r="12402">
      <c r="A12402" s="76" t="s">
        <v>970</v>
      </c>
      <c r="B12402" s="76" t="s">
        <v>1041</v>
      </c>
      <c r="C12402" s="84">
        <v>0.15</v>
      </c>
      <c r="D12402" s="84">
        <v>0.0</v>
      </c>
      <c r="E12402" s="84">
        <v>0.0</v>
      </c>
      <c r="F12402" s="76" t="s">
        <v>998</v>
      </c>
      <c r="G12402" s="83">
        <v>46121.0</v>
      </c>
      <c r="H12402" s="76" t="s">
        <v>972</v>
      </c>
    </row>
    <row r="12403">
      <c r="A12403" s="76" t="s">
        <v>970</v>
      </c>
      <c r="B12403" s="76" t="s">
        <v>1041</v>
      </c>
      <c r="C12403" s="84">
        <v>1.21</v>
      </c>
      <c r="D12403" s="84">
        <v>0.0</v>
      </c>
      <c r="E12403" s="84">
        <v>0.0</v>
      </c>
      <c r="F12403" s="76" t="s">
        <v>998</v>
      </c>
      <c r="G12403" s="83">
        <v>46121.0</v>
      </c>
      <c r="H12403" s="76" t="s">
        <v>973</v>
      </c>
    </row>
    <row r="12404">
      <c r="A12404" s="76" t="s">
        <v>46</v>
      </c>
      <c r="B12404" s="76" t="s">
        <v>1041</v>
      </c>
      <c r="C12404" s="84">
        <v>0.03</v>
      </c>
      <c r="D12404" s="84">
        <v>0.0</v>
      </c>
      <c r="E12404" s="84">
        <v>0.0</v>
      </c>
      <c r="F12404" s="76" t="s">
        <v>997</v>
      </c>
      <c r="G12404" s="83">
        <v>46121.0</v>
      </c>
      <c r="H12404" s="76" t="s">
        <v>960</v>
      </c>
    </row>
    <row r="12405">
      <c r="A12405" s="76" t="s">
        <v>46</v>
      </c>
      <c r="B12405" s="76" t="s">
        <v>1041</v>
      </c>
      <c r="C12405" s="84">
        <v>0.08</v>
      </c>
      <c r="D12405" s="84">
        <v>0.0</v>
      </c>
      <c r="E12405" s="84">
        <v>0.0</v>
      </c>
      <c r="F12405" s="76" t="s">
        <v>997</v>
      </c>
      <c r="G12405" s="83">
        <v>46121.0</v>
      </c>
      <c r="H12405" s="76" t="s">
        <v>961</v>
      </c>
    </row>
    <row r="12406">
      <c r="A12406" s="76" t="s">
        <v>46</v>
      </c>
      <c r="B12406" s="76" t="s">
        <v>1041</v>
      </c>
      <c r="C12406" s="84">
        <v>0.05</v>
      </c>
      <c r="D12406" s="84">
        <v>0.0</v>
      </c>
      <c r="E12406" s="84">
        <v>0.0</v>
      </c>
      <c r="F12406" s="76" t="s">
        <v>997</v>
      </c>
      <c r="G12406" s="83">
        <v>46121.0</v>
      </c>
      <c r="H12406" s="76" t="s">
        <v>962</v>
      </c>
    </row>
    <row r="12407">
      <c r="A12407" s="76" t="s">
        <v>34</v>
      </c>
      <c r="B12407" s="76" t="s">
        <v>1041</v>
      </c>
      <c r="C12407" s="84">
        <v>0.2</v>
      </c>
      <c r="D12407" s="84">
        <v>0.0</v>
      </c>
      <c r="E12407" s="84">
        <v>0.0</v>
      </c>
      <c r="F12407" s="76" t="s">
        <v>997</v>
      </c>
      <c r="G12407" s="83">
        <v>46121.0</v>
      </c>
      <c r="H12407" s="76" t="s">
        <v>951</v>
      </c>
    </row>
    <row r="12408">
      <c r="A12408" s="76" t="s">
        <v>34</v>
      </c>
      <c r="B12408" s="76" t="s">
        <v>1041</v>
      </c>
      <c r="C12408" s="84">
        <v>0.22</v>
      </c>
      <c r="D12408" s="84">
        <v>0.0</v>
      </c>
      <c r="E12408" s="84">
        <v>0.0</v>
      </c>
      <c r="F12408" s="76" t="s">
        <v>997</v>
      </c>
      <c r="G12408" s="83">
        <v>46121.0</v>
      </c>
      <c r="H12408" s="76" t="s">
        <v>952</v>
      </c>
    </row>
    <row r="12409">
      <c r="A12409" s="76" t="s">
        <v>34</v>
      </c>
      <c r="B12409" s="76" t="s">
        <v>1041</v>
      </c>
      <c r="C12409" s="84">
        <v>0.1</v>
      </c>
      <c r="D12409" s="84">
        <v>0.0</v>
      </c>
      <c r="E12409" s="84">
        <v>0.0</v>
      </c>
      <c r="F12409" s="76" t="s">
        <v>997</v>
      </c>
      <c r="G12409" s="83">
        <v>46121.0</v>
      </c>
      <c r="H12409" s="76" t="s">
        <v>953</v>
      </c>
    </row>
    <row r="12410">
      <c r="A12410" s="76" t="s">
        <v>40</v>
      </c>
      <c r="B12410" s="76" t="s">
        <v>1041</v>
      </c>
      <c r="C12410" s="84">
        <v>0.13</v>
      </c>
      <c r="D12410" s="84">
        <v>0.0</v>
      </c>
      <c r="E12410" s="84">
        <v>0.0</v>
      </c>
      <c r="F12410" s="76" t="s">
        <v>997</v>
      </c>
      <c r="G12410" s="83">
        <v>46121.0</v>
      </c>
      <c r="H12410" s="76" t="s">
        <v>954</v>
      </c>
    </row>
    <row r="12411">
      <c r="A12411" s="76" t="s">
        <v>40</v>
      </c>
      <c r="B12411" s="76" t="s">
        <v>1041</v>
      </c>
      <c r="C12411" s="84">
        <v>0.11</v>
      </c>
      <c r="D12411" s="84">
        <v>0.0</v>
      </c>
      <c r="E12411" s="84">
        <v>0.0</v>
      </c>
      <c r="F12411" s="76" t="s">
        <v>997</v>
      </c>
      <c r="G12411" s="83">
        <v>46121.0</v>
      </c>
      <c r="H12411" s="76" t="s">
        <v>955</v>
      </c>
    </row>
    <row r="12412">
      <c r="A12412" s="76" t="s">
        <v>40</v>
      </c>
      <c r="B12412" s="76" t="s">
        <v>1041</v>
      </c>
      <c r="C12412" s="84">
        <v>0.77</v>
      </c>
      <c r="D12412" s="84">
        <v>0.0</v>
      </c>
      <c r="E12412" s="84">
        <v>0.0</v>
      </c>
      <c r="F12412" s="76" t="s">
        <v>997</v>
      </c>
      <c r="G12412" s="83">
        <v>46121.0</v>
      </c>
      <c r="H12412" s="76" t="s">
        <v>956</v>
      </c>
    </row>
    <row r="12413">
      <c r="A12413" s="76" t="s">
        <v>36</v>
      </c>
      <c r="B12413" s="76" t="s">
        <v>1041</v>
      </c>
      <c r="C12413" s="84">
        <v>0.48</v>
      </c>
      <c r="D12413" s="84">
        <v>1.0</v>
      </c>
      <c r="E12413" s="84">
        <v>0.48</v>
      </c>
      <c r="F12413" s="76" t="s">
        <v>997</v>
      </c>
      <c r="G12413" s="83">
        <v>46121.0</v>
      </c>
      <c r="H12413" s="76" t="s">
        <v>926</v>
      </c>
    </row>
    <row r="12414">
      <c r="A12414" s="76" t="s">
        <v>36</v>
      </c>
      <c r="B12414" s="76" t="s">
        <v>1041</v>
      </c>
      <c r="C12414" s="84">
        <v>0.15</v>
      </c>
      <c r="D12414" s="84">
        <v>0.0</v>
      </c>
      <c r="E12414" s="84">
        <v>0.0</v>
      </c>
      <c r="F12414" s="76" t="s">
        <v>997</v>
      </c>
      <c r="G12414" s="83">
        <v>46121.0</v>
      </c>
      <c r="H12414" s="76" t="s">
        <v>927</v>
      </c>
    </row>
    <row r="12415">
      <c r="A12415" s="76" t="s">
        <v>36</v>
      </c>
      <c r="B12415" s="76" t="s">
        <v>1041</v>
      </c>
      <c r="C12415" s="84">
        <v>0.11</v>
      </c>
      <c r="D12415" s="84">
        <v>0.0</v>
      </c>
      <c r="E12415" s="84">
        <v>0.0</v>
      </c>
      <c r="F12415" s="76" t="s">
        <v>997</v>
      </c>
      <c r="G12415" s="83">
        <v>46121.0</v>
      </c>
      <c r="H12415" s="76" t="s">
        <v>928</v>
      </c>
    </row>
    <row r="12416">
      <c r="A12416" s="76" t="s">
        <v>970</v>
      </c>
      <c r="B12416" s="76" t="s">
        <v>1041</v>
      </c>
      <c r="C12416" s="84">
        <v>0.63</v>
      </c>
      <c r="D12416" s="84">
        <v>0.0</v>
      </c>
      <c r="E12416" s="84">
        <v>0.0</v>
      </c>
      <c r="F12416" s="76" t="s">
        <v>997</v>
      </c>
      <c r="G12416" s="83">
        <v>46121.0</v>
      </c>
      <c r="H12416" s="76" t="s">
        <v>971</v>
      </c>
    </row>
    <row r="12417">
      <c r="A12417" s="76" t="s">
        <v>970</v>
      </c>
      <c r="B12417" s="76" t="s">
        <v>1041</v>
      </c>
      <c r="C12417" s="84">
        <v>0.13</v>
      </c>
      <c r="D12417" s="84">
        <v>0.0</v>
      </c>
      <c r="E12417" s="84">
        <v>0.0</v>
      </c>
      <c r="F12417" s="76" t="s">
        <v>997</v>
      </c>
      <c r="G12417" s="83">
        <v>46121.0</v>
      </c>
      <c r="H12417" s="76" t="s">
        <v>972</v>
      </c>
    </row>
    <row r="12418">
      <c r="A12418" s="76" t="s">
        <v>970</v>
      </c>
      <c r="B12418" s="76" t="s">
        <v>1041</v>
      </c>
      <c r="C12418" s="84">
        <v>0.96</v>
      </c>
      <c r="D12418" s="84">
        <v>0.0</v>
      </c>
      <c r="E12418" s="84">
        <v>0.0</v>
      </c>
      <c r="F12418" s="76" t="s">
        <v>997</v>
      </c>
      <c r="G12418" s="83">
        <v>46121.0</v>
      </c>
      <c r="H12418" s="76" t="s">
        <v>973</v>
      </c>
    </row>
    <row r="12419">
      <c r="A12419" s="76" t="s">
        <v>33</v>
      </c>
      <c r="B12419" s="76" t="s">
        <v>1041</v>
      </c>
      <c r="C12419" s="84">
        <v>3.58</v>
      </c>
      <c r="D12419" s="84">
        <v>2.0</v>
      </c>
      <c r="E12419" s="84">
        <v>1.79</v>
      </c>
      <c r="F12419" s="76" t="s">
        <v>997</v>
      </c>
      <c r="G12419" s="83">
        <v>46121.0</v>
      </c>
      <c r="H12419" s="76" t="s">
        <v>957</v>
      </c>
    </row>
    <row r="12420">
      <c r="A12420" s="76" t="s">
        <v>33</v>
      </c>
      <c r="B12420" s="76" t="s">
        <v>1041</v>
      </c>
      <c r="C12420" s="84">
        <v>0.12</v>
      </c>
      <c r="D12420" s="84">
        <v>0.0</v>
      </c>
      <c r="E12420" s="84">
        <v>0.0</v>
      </c>
      <c r="F12420" s="76" t="s">
        <v>997</v>
      </c>
      <c r="G12420" s="83">
        <v>46121.0</v>
      </c>
      <c r="H12420" s="76" t="s">
        <v>958</v>
      </c>
    </row>
    <row r="12421">
      <c r="A12421" s="76" t="s">
        <v>33</v>
      </c>
      <c r="B12421" s="76" t="s">
        <v>1041</v>
      </c>
      <c r="C12421" s="84">
        <v>0.59</v>
      </c>
      <c r="D12421" s="84">
        <v>0.0</v>
      </c>
      <c r="E12421" s="84">
        <v>0.0</v>
      </c>
      <c r="F12421" s="76" t="s">
        <v>997</v>
      </c>
      <c r="G12421" s="83">
        <v>46121.0</v>
      </c>
      <c r="H12421" s="76" t="s">
        <v>959</v>
      </c>
    </row>
    <row r="12422">
      <c r="A12422" s="76" t="s">
        <v>29</v>
      </c>
      <c r="B12422" s="76" t="s">
        <v>1041</v>
      </c>
      <c r="C12422" s="84">
        <v>0.44</v>
      </c>
      <c r="D12422" s="84">
        <v>0.0</v>
      </c>
      <c r="E12422" s="84">
        <v>0.0</v>
      </c>
      <c r="F12422" s="76" t="s">
        <v>997</v>
      </c>
      <c r="G12422" s="83">
        <v>46121.0</v>
      </c>
      <c r="H12422" s="76" t="s">
        <v>971</v>
      </c>
    </row>
    <row r="12423">
      <c r="A12423" s="76" t="s">
        <v>29</v>
      </c>
      <c r="B12423" s="76" t="s">
        <v>1041</v>
      </c>
      <c r="C12423" s="84">
        <v>0.04</v>
      </c>
      <c r="D12423" s="84">
        <v>0.0</v>
      </c>
      <c r="E12423" s="84">
        <v>0.0</v>
      </c>
      <c r="F12423" s="76" t="s">
        <v>997</v>
      </c>
      <c r="G12423" s="83">
        <v>46121.0</v>
      </c>
      <c r="H12423" s="76" t="s">
        <v>972</v>
      </c>
    </row>
    <row r="12424">
      <c r="A12424" s="76" t="s">
        <v>29</v>
      </c>
      <c r="B12424" s="76" t="s">
        <v>1041</v>
      </c>
      <c r="C12424" s="84">
        <v>1.07</v>
      </c>
      <c r="D12424" s="84">
        <v>0.0</v>
      </c>
      <c r="E12424" s="84">
        <v>0.0</v>
      </c>
      <c r="F12424" s="76" t="s">
        <v>997</v>
      </c>
      <c r="G12424" s="83">
        <v>46121.0</v>
      </c>
      <c r="H12424" s="76" t="s">
        <v>973</v>
      </c>
    </row>
    <row r="12425">
      <c r="A12425" s="76" t="s">
        <v>43</v>
      </c>
      <c r="B12425" s="76" t="s">
        <v>1041</v>
      </c>
      <c r="C12425" s="84">
        <v>0.06</v>
      </c>
      <c r="D12425" s="84">
        <v>0.0</v>
      </c>
      <c r="E12425" s="84">
        <v>0.0</v>
      </c>
      <c r="F12425" s="76" t="s">
        <v>997</v>
      </c>
      <c r="G12425" s="83">
        <v>46121.0</v>
      </c>
      <c r="H12425" s="76" t="s">
        <v>963</v>
      </c>
    </row>
    <row r="12426">
      <c r="A12426" s="76" t="s">
        <v>43</v>
      </c>
      <c r="B12426" s="76" t="s">
        <v>1041</v>
      </c>
      <c r="C12426" s="84">
        <v>0.1</v>
      </c>
      <c r="D12426" s="84">
        <v>0.0</v>
      </c>
      <c r="E12426" s="84">
        <v>0.0</v>
      </c>
      <c r="F12426" s="76" t="s">
        <v>997</v>
      </c>
      <c r="G12426" s="83">
        <v>46121.0</v>
      </c>
      <c r="H12426" s="76" t="s">
        <v>964</v>
      </c>
    </row>
    <row r="12427">
      <c r="A12427" s="76" t="s">
        <v>43</v>
      </c>
      <c r="B12427" s="76" t="s">
        <v>1041</v>
      </c>
      <c r="C12427" s="84">
        <v>0.1</v>
      </c>
      <c r="D12427" s="84">
        <v>0.0</v>
      </c>
      <c r="E12427" s="84">
        <v>0.0</v>
      </c>
      <c r="F12427" s="76" t="s">
        <v>997</v>
      </c>
      <c r="G12427" s="83">
        <v>46121.0</v>
      </c>
      <c r="H12427" s="76" t="s">
        <v>965</v>
      </c>
    </row>
    <row r="12428">
      <c r="A12428" s="76" t="s">
        <v>966</v>
      </c>
      <c r="B12428" s="76" t="s">
        <v>1041</v>
      </c>
      <c r="C12428" s="84">
        <v>0.18</v>
      </c>
      <c r="D12428" s="84">
        <v>0.0</v>
      </c>
      <c r="E12428" s="84">
        <v>0.0</v>
      </c>
      <c r="F12428" s="76" t="s">
        <v>997</v>
      </c>
      <c r="G12428" s="83">
        <v>46121.0</v>
      </c>
      <c r="H12428" s="76" t="s">
        <v>967</v>
      </c>
    </row>
    <row r="12429">
      <c r="A12429" s="76" t="s">
        <v>966</v>
      </c>
      <c r="B12429" s="76" t="s">
        <v>1041</v>
      </c>
      <c r="C12429" s="84">
        <v>0.04</v>
      </c>
      <c r="D12429" s="84">
        <v>0.0</v>
      </c>
      <c r="E12429" s="84">
        <v>0.0</v>
      </c>
      <c r="F12429" s="76" t="s">
        <v>997</v>
      </c>
      <c r="G12429" s="83">
        <v>46121.0</v>
      </c>
      <c r="H12429" s="76" t="s">
        <v>968</v>
      </c>
    </row>
    <row r="12430">
      <c r="A12430" s="76" t="s">
        <v>966</v>
      </c>
      <c r="B12430" s="76" t="s">
        <v>1041</v>
      </c>
      <c r="C12430" s="84">
        <v>0.18</v>
      </c>
      <c r="D12430" s="84">
        <v>0.0</v>
      </c>
      <c r="E12430" s="84">
        <v>0.0</v>
      </c>
      <c r="F12430" s="76" t="s">
        <v>997</v>
      </c>
      <c r="G12430" s="83">
        <v>46121.0</v>
      </c>
      <c r="H12430" s="76" t="s">
        <v>969</v>
      </c>
    </row>
    <row r="12431">
      <c r="A12431" s="76" t="s">
        <v>32</v>
      </c>
      <c r="B12431" s="76" t="s">
        <v>1032</v>
      </c>
      <c r="C12431" s="84">
        <v>15.67</v>
      </c>
      <c r="D12431" s="84">
        <v>5.0</v>
      </c>
      <c r="E12431" s="84">
        <v>3.13</v>
      </c>
      <c r="F12431" s="76" t="s">
        <v>996</v>
      </c>
      <c r="G12431" s="83">
        <v>46121.0</v>
      </c>
      <c r="H12431" s="76" t="s">
        <v>941</v>
      </c>
    </row>
    <row r="12432">
      <c r="A12432" s="76" t="s">
        <v>32</v>
      </c>
      <c r="B12432" s="76" t="s">
        <v>1032</v>
      </c>
      <c r="C12432" s="84">
        <v>3.68</v>
      </c>
      <c r="D12432" s="84">
        <v>0.0</v>
      </c>
      <c r="E12432" s="84">
        <v>0.0</v>
      </c>
      <c r="F12432" s="76" t="s">
        <v>996</v>
      </c>
      <c r="G12432" s="83">
        <v>46121.0</v>
      </c>
      <c r="H12432" s="76" t="s">
        <v>942</v>
      </c>
    </row>
    <row r="12433">
      <c r="A12433" s="76" t="s">
        <v>32</v>
      </c>
      <c r="B12433" s="76" t="s">
        <v>1032</v>
      </c>
      <c r="C12433" s="84">
        <v>16.01</v>
      </c>
      <c r="D12433" s="84">
        <v>2.0</v>
      </c>
      <c r="E12433" s="84">
        <v>8.01</v>
      </c>
      <c r="F12433" s="76" t="s">
        <v>996</v>
      </c>
      <c r="G12433" s="83">
        <v>46121.0</v>
      </c>
      <c r="H12433" s="76" t="s">
        <v>943</v>
      </c>
    </row>
    <row r="12434">
      <c r="A12434" s="76" t="s">
        <v>28</v>
      </c>
      <c r="B12434" s="76" t="s">
        <v>1032</v>
      </c>
      <c r="C12434" s="84">
        <v>1.82</v>
      </c>
      <c r="D12434" s="84">
        <v>2.0</v>
      </c>
      <c r="E12434" s="84">
        <v>0.91</v>
      </c>
      <c r="F12434" s="76" t="s">
        <v>996</v>
      </c>
      <c r="G12434" s="83">
        <v>46121.0</v>
      </c>
      <c r="H12434" s="76" t="s">
        <v>931</v>
      </c>
    </row>
    <row r="12435">
      <c r="A12435" s="76" t="s">
        <v>28</v>
      </c>
      <c r="B12435" s="76" t="s">
        <v>1032</v>
      </c>
      <c r="C12435" s="84">
        <v>1.32</v>
      </c>
      <c r="D12435" s="84">
        <v>0.0</v>
      </c>
      <c r="E12435" s="84">
        <v>0.0</v>
      </c>
      <c r="F12435" s="76" t="s">
        <v>996</v>
      </c>
      <c r="G12435" s="83">
        <v>46121.0</v>
      </c>
      <c r="H12435" s="76" t="s">
        <v>932</v>
      </c>
    </row>
    <row r="12436">
      <c r="A12436" s="76" t="s">
        <v>28</v>
      </c>
      <c r="B12436" s="76" t="s">
        <v>1032</v>
      </c>
      <c r="C12436" s="84">
        <v>28.41</v>
      </c>
      <c r="D12436" s="84">
        <v>5.0</v>
      </c>
      <c r="E12436" s="84">
        <v>5.68</v>
      </c>
      <c r="F12436" s="76" t="s">
        <v>996</v>
      </c>
      <c r="G12436" s="83">
        <v>46121.0</v>
      </c>
      <c r="H12436" s="76" t="s">
        <v>933</v>
      </c>
    </row>
    <row r="12437">
      <c r="A12437" s="76" t="s">
        <v>36</v>
      </c>
      <c r="B12437" s="76" t="s">
        <v>1032</v>
      </c>
      <c r="C12437" s="84">
        <v>5.21</v>
      </c>
      <c r="D12437" s="84">
        <v>2.0</v>
      </c>
      <c r="E12437" s="84">
        <v>2.61</v>
      </c>
      <c r="F12437" s="76" t="s">
        <v>996</v>
      </c>
      <c r="G12437" s="83">
        <v>46121.0</v>
      </c>
      <c r="H12437" s="76" t="s">
        <v>926</v>
      </c>
    </row>
    <row r="12438">
      <c r="A12438" s="76" t="s">
        <v>36</v>
      </c>
      <c r="B12438" s="76" t="s">
        <v>1032</v>
      </c>
      <c r="C12438" s="84">
        <v>1.45</v>
      </c>
      <c r="D12438" s="84">
        <v>0.0</v>
      </c>
      <c r="E12438" s="84">
        <v>0.0</v>
      </c>
      <c r="F12438" s="76" t="s">
        <v>996</v>
      </c>
      <c r="G12438" s="83">
        <v>46121.0</v>
      </c>
      <c r="H12438" s="76" t="s">
        <v>927</v>
      </c>
    </row>
    <row r="12439">
      <c r="A12439" s="76" t="s">
        <v>36</v>
      </c>
      <c r="B12439" s="76" t="s">
        <v>1032</v>
      </c>
      <c r="C12439" s="84">
        <v>3.92</v>
      </c>
      <c r="D12439" s="84">
        <v>1.0</v>
      </c>
      <c r="E12439" s="84">
        <v>3.92</v>
      </c>
      <c r="F12439" s="76" t="s">
        <v>996</v>
      </c>
      <c r="G12439" s="83">
        <v>46121.0</v>
      </c>
      <c r="H12439" s="76" t="s">
        <v>928</v>
      </c>
    </row>
    <row r="12440">
      <c r="A12440" s="76" t="s">
        <v>26</v>
      </c>
      <c r="B12440" s="76" t="s">
        <v>1032</v>
      </c>
      <c r="C12440" s="84">
        <v>4.41</v>
      </c>
      <c r="D12440" s="84">
        <v>5.0</v>
      </c>
      <c r="E12440" s="84">
        <v>0.88</v>
      </c>
      <c r="F12440" s="76" t="s">
        <v>996</v>
      </c>
      <c r="G12440" s="83">
        <v>46121.0</v>
      </c>
      <c r="H12440" s="76" t="s">
        <v>1012</v>
      </c>
    </row>
    <row r="12441">
      <c r="A12441" s="76" t="s">
        <v>26</v>
      </c>
      <c r="B12441" s="76" t="s">
        <v>1032</v>
      </c>
      <c r="C12441" s="84">
        <v>1.31</v>
      </c>
      <c r="D12441" s="84">
        <v>0.0</v>
      </c>
      <c r="E12441" s="84">
        <v>0.0</v>
      </c>
      <c r="F12441" s="76" t="s">
        <v>996</v>
      </c>
      <c r="G12441" s="83">
        <v>46121.0</v>
      </c>
      <c r="H12441" s="76" t="s">
        <v>1013</v>
      </c>
    </row>
    <row r="12442">
      <c r="A12442" s="76" t="s">
        <v>26</v>
      </c>
      <c r="B12442" s="76" t="s">
        <v>1032</v>
      </c>
      <c r="C12442" s="84">
        <v>248.69</v>
      </c>
      <c r="D12442" s="84">
        <v>47.0</v>
      </c>
      <c r="E12442" s="84">
        <v>5.29</v>
      </c>
      <c r="F12442" s="76" t="s">
        <v>996</v>
      </c>
      <c r="G12442" s="83">
        <v>46121.0</v>
      </c>
      <c r="H12442" s="76" t="s">
        <v>1014</v>
      </c>
    </row>
    <row r="12443">
      <c r="A12443" s="76" t="s">
        <v>45</v>
      </c>
      <c r="B12443" s="76" t="s">
        <v>1032</v>
      </c>
      <c r="C12443" s="84">
        <v>0.62</v>
      </c>
      <c r="D12443" s="84">
        <v>0.0</v>
      </c>
      <c r="E12443" s="84">
        <v>0.0</v>
      </c>
      <c r="F12443" s="76" t="s">
        <v>996</v>
      </c>
      <c r="G12443" s="83">
        <v>46121.0</v>
      </c>
      <c r="H12443" s="76" t="s">
        <v>936</v>
      </c>
    </row>
    <row r="12444">
      <c r="A12444" s="76" t="s">
        <v>45</v>
      </c>
      <c r="B12444" s="76" t="s">
        <v>1032</v>
      </c>
      <c r="C12444" s="84">
        <v>2.15</v>
      </c>
      <c r="D12444" s="84">
        <v>1.0</v>
      </c>
      <c r="E12444" s="84">
        <v>2.15</v>
      </c>
      <c r="F12444" s="76" t="s">
        <v>996</v>
      </c>
      <c r="G12444" s="83">
        <v>46121.0</v>
      </c>
      <c r="H12444" s="76" t="s">
        <v>937</v>
      </c>
    </row>
    <row r="12445">
      <c r="A12445" s="76" t="s">
        <v>45</v>
      </c>
      <c r="B12445" s="76" t="s">
        <v>1032</v>
      </c>
      <c r="C12445" s="84">
        <v>0.24</v>
      </c>
      <c r="D12445" s="84">
        <v>0.0</v>
      </c>
      <c r="E12445" s="84">
        <v>0.0</v>
      </c>
      <c r="F12445" s="76" t="s">
        <v>996</v>
      </c>
      <c r="G12445" s="83">
        <v>46121.0</v>
      </c>
      <c r="H12445" s="76" t="s">
        <v>938</v>
      </c>
    </row>
    <row r="12446">
      <c r="A12446" s="76" t="s">
        <v>31</v>
      </c>
      <c r="B12446" s="76" t="s">
        <v>1032</v>
      </c>
      <c r="C12446" s="84">
        <v>6.43</v>
      </c>
      <c r="D12446" s="84">
        <v>3.0</v>
      </c>
      <c r="E12446" s="84">
        <v>2.14</v>
      </c>
      <c r="F12446" s="76" t="s">
        <v>996</v>
      </c>
      <c r="G12446" s="83">
        <v>46121.0</v>
      </c>
      <c r="H12446" s="76" t="s">
        <v>929</v>
      </c>
    </row>
    <row r="12447">
      <c r="A12447" s="76" t="s">
        <v>31</v>
      </c>
      <c r="B12447" s="76" t="s">
        <v>1032</v>
      </c>
      <c r="C12447" s="84">
        <v>110.44</v>
      </c>
      <c r="D12447" s="84">
        <v>33.0</v>
      </c>
      <c r="E12447" s="84">
        <v>3.35</v>
      </c>
      <c r="F12447" s="76" t="s">
        <v>996</v>
      </c>
      <c r="G12447" s="83">
        <v>46121.0</v>
      </c>
      <c r="H12447" s="76" t="s">
        <v>930</v>
      </c>
    </row>
    <row r="12448">
      <c r="A12448" s="76" t="s">
        <v>944</v>
      </c>
      <c r="B12448" s="76" t="s">
        <v>1032</v>
      </c>
      <c r="C12448" s="84">
        <v>3.77</v>
      </c>
      <c r="D12448" s="84">
        <v>1.0</v>
      </c>
      <c r="E12448" s="84">
        <v>3.77</v>
      </c>
      <c r="F12448" s="76" t="s">
        <v>996</v>
      </c>
      <c r="G12448" s="83">
        <v>46121.0</v>
      </c>
      <c r="H12448" s="76" t="s">
        <v>945</v>
      </c>
    </row>
    <row r="12449">
      <c r="A12449" s="76" t="s">
        <v>944</v>
      </c>
      <c r="B12449" s="76" t="s">
        <v>1032</v>
      </c>
      <c r="C12449" s="84">
        <v>2.43</v>
      </c>
      <c r="D12449" s="84">
        <v>0.0</v>
      </c>
      <c r="E12449" s="84">
        <v>0.0</v>
      </c>
      <c r="F12449" s="76" t="s">
        <v>996</v>
      </c>
      <c r="G12449" s="83">
        <v>46121.0</v>
      </c>
      <c r="H12449" s="76" t="s">
        <v>946</v>
      </c>
    </row>
    <row r="12450">
      <c r="A12450" s="76" t="s">
        <v>944</v>
      </c>
      <c r="B12450" s="76" t="s">
        <v>1032</v>
      </c>
      <c r="C12450" s="84">
        <v>7.12</v>
      </c>
      <c r="D12450" s="84">
        <v>3.0</v>
      </c>
      <c r="E12450" s="84">
        <v>2.37</v>
      </c>
      <c r="F12450" s="76" t="s">
        <v>996</v>
      </c>
      <c r="G12450" s="83">
        <v>46121.0</v>
      </c>
      <c r="H12450" s="76" t="s">
        <v>947</v>
      </c>
    </row>
    <row r="12451">
      <c r="A12451" s="76" t="s">
        <v>1043</v>
      </c>
      <c r="B12451" s="76" t="s">
        <v>1032</v>
      </c>
      <c r="C12451" s="84">
        <v>1.02</v>
      </c>
      <c r="D12451" s="84">
        <v>0.0</v>
      </c>
      <c r="E12451" s="84">
        <v>0.0</v>
      </c>
      <c r="F12451" s="76" t="s">
        <v>996</v>
      </c>
      <c r="G12451" s="83">
        <v>46121.0</v>
      </c>
      <c r="H12451" s="76" t="s">
        <v>1044</v>
      </c>
    </row>
    <row r="12452">
      <c r="A12452" s="76" t="s">
        <v>52</v>
      </c>
      <c r="B12452" s="76" t="s">
        <v>1032</v>
      </c>
      <c r="C12452" s="84">
        <v>0.57</v>
      </c>
      <c r="D12452" s="84">
        <v>0.0</v>
      </c>
      <c r="E12452" s="84">
        <v>0.0</v>
      </c>
      <c r="F12452" s="76" t="s">
        <v>996</v>
      </c>
      <c r="G12452" s="83">
        <v>46121.0</v>
      </c>
      <c r="H12452" s="76" t="s">
        <v>1045</v>
      </c>
    </row>
    <row r="12453">
      <c r="A12453" s="76" t="s">
        <v>49</v>
      </c>
      <c r="B12453" s="76" t="s">
        <v>1032</v>
      </c>
      <c r="C12453" s="84">
        <v>0.71</v>
      </c>
      <c r="D12453" s="84">
        <v>0.0</v>
      </c>
      <c r="E12453" s="84">
        <v>0.0</v>
      </c>
      <c r="F12453" s="76" t="s">
        <v>996</v>
      </c>
      <c r="G12453" s="83">
        <v>46121.0</v>
      </c>
      <c r="H12453" s="76" t="s">
        <v>1046</v>
      </c>
    </row>
    <row r="12454">
      <c r="A12454" s="76" t="s">
        <v>28</v>
      </c>
      <c r="B12454" s="76" t="s">
        <v>1032</v>
      </c>
      <c r="C12454" s="84">
        <v>0.91</v>
      </c>
      <c r="D12454" s="84">
        <v>0.0</v>
      </c>
      <c r="E12454" s="84">
        <v>0.0</v>
      </c>
      <c r="F12454" s="76" t="s">
        <v>997</v>
      </c>
      <c r="G12454" s="83">
        <v>46121.0</v>
      </c>
      <c r="H12454" s="76" t="s">
        <v>931</v>
      </c>
    </row>
    <row r="12455">
      <c r="A12455" s="76" t="s">
        <v>28</v>
      </c>
      <c r="B12455" s="76" t="s">
        <v>1032</v>
      </c>
      <c r="C12455" s="84">
        <v>0.35</v>
      </c>
      <c r="D12455" s="84">
        <v>0.0</v>
      </c>
      <c r="E12455" s="84">
        <v>0.0</v>
      </c>
      <c r="F12455" s="76" t="s">
        <v>997</v>
      </c>
      <c r="G12455" s="83">
        <v>46121.0</v>
      </c>
      <c r="H12455" s="76" t="s">
        <v>932</v>
      </c>
    </row>
    <row r="12456">
      <c r="A12456" s="76" t="s">
        <v>28</v>
      </c>
      <c r="B12456" s="76" t="s">
        <v>1032</v>
      </c>
      <c r="C12456" s="84">
        <v>14.14</v>
      </c>
      <c r="D12456" s="84">
        <v>2.0</v>
      </c>
      <c r="E12456" s="84">
        <v>7.07</v>
      </c>
      <c r="F12456" s="76" t="s">
        <v>997</v>
      </c>
      <c r="G12456" s="83">
        <v>46121.0</v>
      </c>
      <c r="H12456" s="76" t="s">
        <v>933</v>
      </c>
    </row>
    <row r="12457">
      <c r="A12457" s="76" t="s">
        <v>45</v>
      </c>
      <c r="B12457" s="76" t="s">
        <v>1032</v>
      </c>
      <c r="C12457" s="84">
        <v>0.99</v>
      </c>
      <c r="D12457" s="84">
        <v>0.0</v>
      </c>
      <c r="E12457" s="84">
        <v>0.0</v>
      </c>
      <c r="F12457" s="76" t="s">
        <v>997</v>
      </c>
      <c r="G12457" s="83">
        <v>46121.0</v>
      </c>
      <c r="H12457" s="76" t="s">
        <v>936</v>
      </c>
    </row>
    <row r="12458">
      <c r="A12458" s="76" t="s">
        <v>45</v>
      </c>
      <c r="B12458" s="76" t="s">
        <v>1032</v>
      </c>
      <c r="C12458" s="84">
        <v>1.08</v>
      </c>
      <c r="D12458" s="84">
        <v>0.0</v>
      </c>
      <c r="E12458" s="84">
        <v>0.0</v>
      </c>
      <c r="F12458" s="76" t="s">
        <v>997</v>
      </c>
      <c r="G12458" s="83">
        <v>46121.0</v>
      </c>
      <c r="H12458" s="76" t="s">
        <v>937</v>
      </c>
    </row>
    <row r="12459">
      <c r="A12459" s="76" t="s">
        <v>45</v>
      </c>
      <c r="B12459" s="76" t="s">
        <v>1032</v>
      </c>
      <c r="C12459" s="84">
        <v>0.12</v>
      </c>
      <c r="D12459" s="84">
        <v>0.0</v>
      </c>
      <c r="E12459" s="84">
        <v>0.0</v>
      </c>
      <c r="F12459" s="76" t="s">
        <v>997</v>
      </c>
      <c r="G12459" s="83">
        <v>46121.0</v>
      </c>
      <c r="H12459" s="76" t="s">
        <v>938</v>
      </c>
    </row>
    <row r="12460">
      <c r="A12460" s="76" t="s">
        <v>32</v>
      </c>
      <c r="B12460" s="76" t="s">
        <v>1032</v>
      </c>
      <c r="C12460" s="84">
        <v>8.93</v>
      </c>
      <c r="D12460" s="84">
        <v>4.0</v>
      </c>
      <c r="E12460" s="84">
        <v>2.23</v>
      </c>
      <c r="F12460" s="76" t="s">
        <v>997</v>
      </c>
      <c r="G12460" s="83">
        <v>46121.0</v>
      </c>
      <c r="H12460" s="76" t="s">
        <v>941</v>
      </c>
    </row>
    <row r="12461">
      <c r="A12461" s="76" t="s">
        <v>32</v>
      </c>
      <c r="B12461" s="76" t="s">
        <v>1032</v>
      </c>
      <c r="C12461" s="84">
        <v>1.44</v>
      </c>
      <c r="D12461" s="84">
        <v>0.0</v>
      </c>
      <c r="E12461" s="84">
        <v>0.0</v>
      </c>
      <c r="F12461" s="76" t="s">
        <v>997</v>
      </c>
      <c r="G12461" s="83">
        <v>46121.0</v>
      </c>
      <c r="H12461" s="76" t="s">
        <v>942</v>
      </c>
    </row>
    <row r="12462">
      <c r="A12462" s="76" t="s">
        <v>32</v>
      </c>
      <c r="B12462" s="76" t="s">
        <v>1032</v>
      </c>
      <c r="C12462" s="84">
        <v>6.73</v>
      </c>
      <c r="D12462" s="84">
        <v>1.0</v>
      </c>
      <c r="E12462" s="84">
        <v>6.73</v>
      </c>
      <c r="F12462" s="76" t="s">
        <v>997</v>
      </c>
      <c r="G12462" s="83">
        <v>46121.0</v>
      </c>
      <c r="H12462" s="76" t="s">
        <v>943</v>
      </c>
    </row>
    <row r="12463">
      <c r="A12463" s="76" t="s">
        <v>944</v>
      </c>
      <c r="B12463" s="76" t="s">
        <v>1032</v>
      </c>
      <c r="C12463" s="84">
        <v>1.42</v>
      </c>
      <c r="D12463" s="84">
        <v>0.0</v>
      </c>
      <c r="E12463" s="84">
        <v>0.0</v>
      </c>
      <c r="F12463" s="76" t="s">
        <v>997</v>
      </c>
      <c r="G12463" s="83">
        <v>46121.0</v>
      </c>
      <c r="H12463" s="76" t="s">
        <v>945</v>
      </c>
    </row>
    <row r="12464">
      <c r="A12464" s="76" t="s">
        <v>944</v>
      </c>
      <c r="B12464" s="76" t="s">
        <v>1032</v>
      </c>
      <c r="C12464" s="84">
        <v>1.91</v>
      </c>
      <c r="D12464" s="84">
        <v>1.0</v>
      </c>
      <c r="E12464" s="84">
        <v>1.91</v>
      </c>
      <c r="F12464" s="76" t="s">
        <v>997</v>
      </c>
      <c r="G12464" s="83">
        <v>46121.0</v>
      </c>
      <c r="H12464" s="76" t="s">
        <v>946</v>
      </c>
    </row>
    <row r="12465">
      <c r="A12465" s="76" t="s">
        <v>944</v>
      </c>
      <c r="B12465" s="76" t="s">
        <v>1032</v>
      </c>
      <c r="C12465" s="84">
        <v>2.98</v>
      </c>
      <c r="D12465" s="84">
        <v>0.0</v>
      </c>
      <c r="E12465" s="84">
        <v>0.0</v>
      </c>
      <c r="F12465" s="76" t="s">
        <v>997</v>
      </c>
      <c r="G12465" s="83">
        <v>46121.0</v>
      </c>
      <c r="H12465" s="76" t="s">
        <v>947</v>
      </c>
    </row>
    <row r="12466">
      <c r="A12466" s="76" t="s">
        <v>36</v>
      </c>
      <c r="B12466" s="76" t="s">
        <v>1032</v>
      </c>
      <c r="C12466" s="84">
        <v>2.26</v>
      </c>
      <c r="D12466" s="84">
        <v>1.0</v>
      </c>
      <c r="E12466" s="84">
        <v>2.26</v>
      </c>
      <c r="F12466" s="76" t="s">
        <v>997</v>
      </c>
      <c r="G12466" s="83">
        <v>46121.0</v>
      </c>
      <c r="H12466" s="76" t="s">
        <v>926</v>
      </c>
    </row>
    <row r="12467">
      <c r="A12467" s="76" t="s">
        <v>36</v>
      </c>
      <c r="B12467" s="76" t="s">
        <v>1032</v>
      </c>
      <c r="C12467" s="84">
        <v>0.56</v>
      </c>
      <c r="D12467" s="84">
        <v>0.0</v>
      </c>
      <c r="E12467" s="84">
        <v>0.0</v>
      </c>
      <c r="F12467" s="76" t="s">
        <v>997</v>
      </c>
      <c r="G12467" s="83">
        <v>46121.0</v>
      </c>
      <c r="H12467" s="76" t="s">
        <v>927</v>
      </c>
    </row>
    <row r="12468">
      <c r="A12468" s="76" t="s">
        <v>36</v>
      </c>
      <c r="B12468" s="76" t="s">
        <v>1032</v>
      </c>
      <c r="C12468" s="84">
        <v>1.74</v>
      </c>
      <c r="D12468" s="84">
        <v>2.0</v>
      </c>
      <c r="E12468" s="84">
        <v>0.87</v>
      </c>
      <c r="F12468" s="76" t="s">
        <v>997</v>
      </c>
      <c r="G12468" s="83">
        <v>46121.0</v>
      </c>
      <c r="H12468" s="76" t="s">
        <v>928</v>
      </c>
    </row>
    <row r="12469">
      <c r="A12469" s="76" t="s">
        <v>31</v>
      </c>
      <c r="B12469" s="76" t="s">
        <v>1032</v>
      </c>
      <c r="C12469" s="84">
        <v>2.73</v>
      </c>
      <c r="D12469" s="84">
        <v>0.0</v>
      </c>
      <c r="E12469" s="84">
        <v>0.0</v>
      </c>
      <c r="F12469" s="76" t="s">
        <v>997</v>
      </c>
      <c r="G12469" s="83">
        <v>46121.0</v>
      </c>
      <c r="H12469" s="76" t="s">
        <v>929</v>
      </c>
    </row>
    <row r="12470">
      <c r="A12470" s="76" t="s">
        <v>31</v>
      </c>
      <c r="B12470" s="76" t="s">
        <v>1032</v>
      </c>
      <c r="C12470" s="84">
        <v>103.12</v>
      </c>
      <c r="D12470" s="84">
        <v>30.0</v>
      </c>
      <c r="E12470" s="84">
        <v>3.44</v>
      </c>
      <c r="F12470" s="76" t="s">
        <v>997</v>
      </c>
      <c r="G12470" s="83">
        <v>46121.0</v>
      </c>
      <c r="H12470" s="76" t="s">
        <v>930</v>
      </c>
    </row>
    <row r="12471">
      <c r="A12471" s="76" t="s">
        <v>26</v>
      </c>
      <c r="B12471" s="76" t="s">
        <v>1032</v>
      </c>
      <c r="C12471" s="84">
        <v>1.42</v>
      </c>
      <c r="D12471" s="84">
        <v>0.0</v>
      </c>
      <c r="E12471" s="84">
        <v>0.0</v>
      </c>
      <c r="F12471" s="76" t="s">
        <v>997</v>
      </c>
      <c r="G12471" s="83">
        <v>46121.0</v>
      </c>
      <c r="H12471" s="76" t="s">
        <v>1012</v>
      </c>
    </row>
    <row r="12472">
      <c r="A12472" s="76" t="s">
        <v>26</v>
      </c>
      <c r="B12472" s="76" t="s">
        <v>1032</v>
      </c>
      <c r="C12472" s="84">
        <v>0.65</v>
      </c>
      <c r="D12472" s="84">
        <v>1.0</v>
      </c>
      <c r="E12472" s="84">
        <v>0.65</v>
      </c>
      <c r="F12472" s="76" t="s">
        <v>997</v>
      </c>
      <c r="G12472" s="83">
        <v>46121.0</v>
      </c>
      <c r="H12472" s="76" t="s">
        <v>1013</v>
      </c>
    </row>
    <row r="12473">
      <c r="A12473" s="76" t="s">
        <v>26</v>
      </c>
      <c r="B12473" s="76" t="s">
        <v>1032</v>
      </c>
      <c r="C12473" s="84">
        <v>48.26</v>
      </c>
      <c r="D12473" s="84">
        <v>8.0</v>
      </c>
      <c r="E12473" s="84">
        <v>6.03</v>
      </c>
      <c r="F12473" s="76" t="s">
        <v>997</v>
      </c>
      <c r="G12473" s="83">
        <v>46121.0</v>
      </c>
      <c r="H12473" s="76" t="s">
        <v>1014</v>
      </c>
    </row>
    <row r="12474">
      <c r="A12474" s="76" t="s">
        <v>1043</v>
      </c>
      <c r="B12474" s="76" t="s">
        <v>1032</v>
      </c>
      <c r="C12474" s="84">
        <v>0.45</v>
      </c>
      <c r="D12474" s="84">
        <v>0.0</v>
      </c>
      <c r="E12474" s="84">
        <v>0.0</v>
      </c>
      <c r="F12474" s="76" t="s">
        <v>997</v>
      </c>
      <c r="G12474" s="83">
        <v>46121.0</v>
      </c>
      <c r="H12474" s="76" t="s">
        <v>1044</v>
      </c>
    </row>
    <row r="12475">
      <c r="A12475" s="76" t="s">
        <v>52</v>
      </c>
      <c r="B12475" s="76" t="s">
        <v>1032</v>
      </c>
      <c r="C12475" s="84">
        <v>0.43</v>
      </c>
      <c r="D12475" s="84">
        <v>0.0</v>
      </c>
      <c r="E12475" s="84">
        <v>0.0</v>
      </c>
      <c r="F12475" s="76" t="s">
        <v>997</v>
      </c>
      <c r="G12475" s="83">
        <v>46121.0</v>
      </c>
      <c r="H12475" s="76" t="s">
        <v>1045</v>
      </c>
    </row>
    <row r="12476">
      <c r="A12476" s="76" t="s">
        <v>49</v>
      </c>
      <c r="B12476" s="76" t="s">
        <v>1032</v>
      </c>
      <c r="C12476" s="84">
        <v>0.33</v>
      </c>
      <c r="D12476" s="84">
        <v>0.0</v>
      </c>
      <c r="E12476" s="84">
        <v>0.0</v>
      </c>
      <c r="F12476" s="76" t="s">
        <v>997</v>
      </c>
      <c r="G12476" s="83">
        <v>46121.0</v>
      </c>
      <c r="H12476" s="76" t="s">
        <v>1046</v>
      </c>
    </row>
    <row r="12477">
      <c r="A12477" s="76" t="s">
        <v>45</v>
      </c>
      <c r="B12477" s="76" t="s">
        <v>1032</v>
      </c>
      <c r="C12477" s="84">
        <v>0.12</v>
      </c>
      <c r="D12477" s="84">
        <v>0.0</v>
      </c>
      <c r="E12477" s="84">
        <v>0.0</v>
      </c>
      <c r="F12477" s="76" t="s">
        <v>990</v>
      </c>
      <c r="G12477" s="83">
        <v>46121.0</v>
      </c>
      <c r="H12477" s="76" t="s">
        <v>936</v>
      </c>
    </row>
    <row r="12478">
      <c r="A12478" s="76" t="s">
        <v>45</v>
      </c>
      <c r="B12478" s="76" t="s">
        <v>1032</v>
      </c>
      <c r="C12478" s="84">
        <v>0.87</v>
      </c>
      <c r="D12478" s="84">
        <v>0.0</v>
      </c>
      <c r="E12478" s="84">
        <v>0.0</v>
      </c>
      <c r="F12478" s="76" t="s">
        <v>990</v>
      </c>
      <c r="G12478" s="83">
        <v>46121.0</v>
      </c>
      <c r="H12478" s="76" t="s">
        <v>937</v>
      </c>
    </row>
    <row r="12479">
      <c r="A12479" s="76" t="s">
        <v>45</v>
      </c>
      <c r="B12479" s="76" t="s">
        <v>1032</v>
      </c>
      <c r="C12479" s="84">
        <v>0.13</v>
      </c>
      <c r="D12479" s="84">
        <v>0.0</v>
      </c>
      <c r="E12479" s="84">
        <v>0.0</v>
      </c>
      <c r="F12479" s="76" t="s">
        <v>990</v>
      </c>
      <c r="G12479" s="83">
        <v>46121.0</v>
      </c>
      <c r="H12479" s="76" t="s">
        <v>938</v>
      </c>
    </row>
    <row r="12480">
      <c r="A12480" s="76" t="s">
        <v>32</v>
      </c>
      <c r="B12480" s="76" t="s">
        <v>1032</v>
      </c>
      <c r="C12480" s="84">
        <v>2.2</v>
      </c>
      <c r="D12480" s="84">
        <v>0.0</v>
      </c>
      <c r="E12480" s="84">
        <v>0.0</v>
      </c>
      <c r="F12480" s="76" t="s">
        <v>990</v>
      </c>
      <c r="G12480" s="83">
        <v>46121.0</v>
      </c>
      <c r="H12480" s="76" t="s">
        <v>941</v>
      </c>
    </row>
    <row r="12481">
      <c r="A12481" s="76" t="s">
        <v>32</v>
      </c>
      <c r="B12481" s="76" t="s">
        <v>1032</v>
      </c>
      <c r="C12481" s="84">
        <v>0.37</v>
      </c>
      <c r="D12481" s="84">
        <v>0.0</v>
      </c>
      <c r="E12481" s="84">
        <v>0.0</v>
      </c>
      <c r="F12481" s="76" t="s">
        <v>990</v>
      </c>
      <c r="G12481" s="83">
        <v>46121.0</v>
      </c>
      <c r="H12481" s="76" t="s">
        <v>942</v>
      </c>
    </row>
    <row r="12482">
      <c r="A12482" s="76" t="s">
        <v>32</v>
      </c>
      <c r="B12482" s="76" t="s">
        <v>1032</v>
      </c>
      <c r="C12482" s="84">
        <v>1.51</v>
      </c>
      <c r="D12482" s="84">
        <v>0.0</v>
      </c>
      <c r="E12482" s="84">
        <v>0.0</v>
      </c>
      <c r="F12482" s="76" t="s">
        <v>990</v>
      </c>
      <c r="G12482" s="83">
        <v>46121.0</v>
      </c>
      <c r="H12482" s="76" t="s">
        <v>943</v>
      </c>
    </row>
    <row r="12483">
      <c r="A12483" s="76" t="s">
        <v>36</v>
      </c>
      <c r="B12483" s="76" t="s">
        <v>1032</v>
      </c>
      <c r="C12483" s="84">
        <v>0.74</v>
      </c>
      <c r="D12483" s="84">
        <v>0.0</v>
      </c>
      <c r="E12483" s="84">
        <v>0.0</v>
      </c>
      <c r="F12483" s="76" t="s">
        <v>990</v>
      </c>
      <c r="G12483" s="83">
        <v>46121.0</v>
      </c>
      <c r="H12483" s="76" t="s">
        <v>926</v>
      </c>
    </row>
    <row r="12484">
      <c r="A12484" s="76" t="s">
        <v>36</v>
      </c>
      <c r="B12484" s="76" t="s">
        <v>1032</v>
      </c>
      <c r="C12484" s="84">
        <v>0.16</v>
      </c>
      <c r="D12484" s="84">
        <v>0.0</v>
      </c>
      <c r="E12484" s="84">
        <v>0.0</v>
      </c>
      <c r="F12484" s="76" t="s">
        <v>990</v>
      </c>
      <c r="G12484" s="83">
        <v>46121.0</v>
      </c>
      <c r="H12484" s="76" t="s">
        <v>927</v>
      </c>
    </row>
    <row r="12485">
      <c r="A12485" s="76" t="s">
        <v>36</v>
      </c>
      <c r="B12485" s="76" t="s">
        <v>1032</v>
      </c>
      <c r="C12485" s="84">
        <v>0.66</v>
      </c>
      <c r="D12485" s="84">
        <v>0.0</v>
      </c>
      <c r="E12485" s="84">
        <v>0.0</v>
      </c>
      <c r="F12485" s="76" t="s">
        <v>990</v>
      </c>
      <c r="G12485" s="83">
        <v>46121.0</v>
      </c>
      <c r="H12485" s="76" t="s">
        <v>928</v>
      </c>
    </row>
    <row r="12486">
      <c r="A12486" s="76" t="s">
        <v>28</v>
      </c>
      <c r="B12486" s="76" t="s">
        <v>1032</v>
      </c>
      <c r="C12486" s="84">
        <v>0.17</v>
      </c>
      <c r="D12486" s="84">
        <v>0.0</v>
      </c>
      <c r="E12486" s="84">
        <v>0.0</v>
      </c>
      <c r="F12486" s="76" t="s">
        <v>990</v>
      </c>
      <c r="G12486" s="83">
        <v>46121.0</v>
      </c>
      <c r="H12486" s="76" t="s">
        <v>931</v>
      </c>
    </row>
    <row r="12487">
      <c r="A12487" s="76" t="s">
        <v>28</v>
      </c>
      <c r="B12487" s="76" t="s">
        <v>1032</v>
      </c>
      <c r="C12487" s="84">
        <v>0.14</v>
      </c>
      <c r="D12487" s="84">
        <v>0.0</v>
      </c>
      <c r="E12487" s="84">
        <v>0.0</v>
      </c>
      <c r="F12487" s="76" t="s">
        <v>990</v>
      </c>
      <c r="G12487" s="83">
        <v>46121.0</v>
      </c>
      <c r="H12487" s="76" t="s">
        <v>932</v>
      </c>
    </row>
    <row r="12488">
      <c r="A12488" s="76" t="s">
        <v>28</v>
      </c>
      <c r="B12488" s="76" t="s">
        <v>1032</v>
      </c>
      <c r="C12488" s="84">
        <v>1.11</v>
      </c>
      <c r="D12488" s="84">
        <v>1.0</v>
      </c>
      <c r="E12488" s="84">
        <v>1.11</v>
      </c>
      <c r="F12488" s="76" t="s">
        <v>990</v>
      </c>
      <c r="G12488" s="83">
        <v>46121.0</v>
      </c>
      <c r="H12488" s="76" t="s">
        <v>933</v>
      </c>
    </row>
    <row r="12489">
      <c r="A12489" s="76" t="s">
        <v>31</v>
      </c>
      <c r="B12489" s="76" t="s">
        <v>1032</v>
      </c>
      <c r="C12489" s="84">
        <v>1.69</v>
      </c>
      <c r="D12489" s="84">
        <v>0.0</v>
      </c>
      <c r="E12489" s="84">
        <v>0.0</v>
      </c>
      <c r="F12489" s="76" t="s">
        <v>990</v>
      </c>
      <c r="G12489" s="83">
        <v>46121.0</v>
      </c>
      <c r="H12489" s="76" t="s">
        <v>929</v>
      </c>
    </row>
    <row r="12490">
      <c r="A12490" s="76" t="s">
        <v>31</v>
      </c>
      <c r="B12490" s="76" t="s">
        <v>1032</v>
      </c>
      <c r="C12490" s="84">
        <v>6.66</v>
      </c>
      <c r="D12490" s="84">
        <v>2.0</v>
      </c>
      <c r="E12490" s="84">
        <v>3.33</v>
      </c>
      <c r="F12490" s="76" t="s">
        <v>990</v>
      </c>
      <c r="G12490" s="83">
        <v>46121.0</v>
      </c>
      <c r="H12490" s="76" t="s">
        <v>930</v>
      </c>
    </row>
    <row r="12491">
      <c r="A12491" s="76" t="s">
        <v>26</v>
      </c>
      <c r="B12491" s="76" t="s">
        <v>1032</v>
      </c>
      <c r="C12491" s="84">
        <v>0.29</v>
      </c>
      <c r="D12491" s="84">
        <v>0.0</v>
      </c>
      <c r="E12491" s="84">
        <v>0.0</v>
      </c>
      <c r="F12491" s="76" t="s">
        <v>990</v>
      </c>
      <c r="G12491" s="83">
        <v>46121.0</v>
      </c>
      <c r="H12491" s="76" t="s">
        <v>1012</v>
      </c>
    </row>
    <row r="12492">
      <c r="A12492" s="76" t="s">
        <v>26</v>
      </c>
      <c r="B12492" s="76" t="s">
        <v>1032</v>
      </c>
      <c r="C12492" s="84">
        <v>0.41</v>
      </c>
      <c r="D12492" s="84">
        <v>0.0</v>
      </c>
      <c r="E12492" s="84">
        <v>0.0</v>
      </c>
      <c r="F12492" s="76" t="s">
        <v>990</v>
      </c>
      <c r="G12492" s="83">
        <v>46121.0</v>
      </c>
      <c r="H12492" s="76" t="s">
        <v>1013</v>
      </c>
    </row>
    <row r="12493">
      <c r="A12493" s="76" t="s">
        <v>26</v>
      </c>
      <c r="B12493" s="76" t="s">
        <v>1032</v>
      </c>
      <c r="C12493" s="84">
        <v>5.44</v>
      </c>
      <c r="D12493" s="84">
        <v>1.0</v>
      </c>
      <c r="E12493" s="84">
        <v>5.44</v>
      </c>
      <c r="F12493" s="76" t="s">
        <v>990</v>
      </c>
      <c r="G12493" s="83">
        <v>46121.0</v>
      </c>
      <c r="H12493" s="76" t="s">
        <v>1014</v>
      </c>
    </row>
    <row r="12494">
      <c r="A12494" s="76" t="s">
        <v>944</v>
      </c>
      <c r="B12494" s="76" t="s">
        <v>1032</v>
      </c>
      <c r="C12494" s="84">
        <v>1.04</v>
      </c>
      <c r="D12494" s="84">
        <v>0.0</v>
      </c>
      <c r="E12494" s="84">
        <v>0.0</v>
      </c>
      <c r="F12494" s="76" t="s">
        <v>990</v>
      </c>
      <c r="G12494" s="83">
        <v>46121.0</v>
      </c>
      <c r="H12494" s="76" t="s">
        <v>945</v>
      </c>
    </row>
    <row r="12495">
      <c r="A12495" s="76" t="s">
        <v>944</v>
      </c>
      <c r="B12495" s="76" t="s">
        <v>1032</v>
      </c>
      <c r="C12495" s="84">
        <v>0.75</v>
      </c>
      <c r="D12495" s="84">
        <v>1.0</v>
      </c>
      <c r="E12495" s="84">
        <v>0.75</v>
      </c>
      <c r="F12495" s="76" t="s">
        <v>990</v>
      </c>
      <c r="G12495" s="83">
        <v>46121.0</v>
      </c>
      <c r="H12495" s="76" t="s">
        <v>946</v>
      </c>
    </row>
    <row r="12496">
      <c r="A12496" s="76" t="s">
        <v>944</v>
      </c>
      <c r="B12496" s="76" t="s">
        <v>1032</v>
      </c>
      <c r="C12496" s="84">
        <v>1.13</v>
      </c>
      <c r="D12496" s="84">
        <v>2.0</v>
      </c>
      <c r="E12496" s="84">
        <v>0.57</v>
      </c>
      <c r="F12496" s="76" t="s">
        <v>990</v>
      </c>
      <c r="G12496" s="83">
        <v>46121.0</v>
      </c>
      <c r="H12496" s="76" t="s">
        <v>947</v>
      </c>
    </row>
    <row r="12497">
      <c r="A12497" s="76" t="s">
        <v>1043</v>
      </c>
      <c r="B12497" s="76" t="s">
        <v>1032</v>
      </c>
      <c r="C12497" s="84">
        <v>0.18</v>
      </c>
      <c r="D12497" s="84">
        <v>0.0</v>
      </c>
      <c r="E12497" s="84">
        <v>0.0</v>
      </c>
      <c r="F12497" s="76" t="s">
        <v>990</v>
      </c>
      <c r="G12497" s="83">
        <v>46121.0</v>
      </c>
      <c r="H12497" s="76" t="s">
        <v>1044</v>
      </c>
    </row>
    <row r="12498">
      <c r="A12498" s="76" t="s">
        <v>52</v>
      </c>
      <c r="B12498" s="76" t="s">
        <v>1032</v>
      </c>
      <c r="C12498" s="84">
        <v>0.18</v>
      </c>
      <c r="D12498" s="84">
        <v>0.0</v>
      </c>
      <c r="E12498" s="84">
        <v>0.0</v>
      </c>
      <c r="F12498" s="76" t="s">
        <v>990</v>
      </c>
      <c r="G12498" s="83">
        <v>46121.0</v>
      </c>
      <c r="H12498" s="76" t="s">
        <v>1045</v>
      </c>
    </row>
    <row r="12499">
      <c r="A12499" s="76" t="s">
        <v>49</v>
      </c>
      <c r="B12499" s="76" t="s">
        <v>1032</v>
      </c>
      <c r="C12499" s="84">
        <v>0.17</v>
      </c>
      <c r="D12499" s="84">
        <v>0.0</v>
      </c>
      <c r="E12499" s="84">
        <v>0.0</v>
      </c>
      <c r="F12499" s="76" t="s">
        <v>990</v>
      </c>
      <c r="G12499" s="83">
        <v>46121.0</v>
      </c>
      <c r="H12499" s="76" t="s">
        <v>1046</v>
      </c>
    </row>
    <row r="12500">
      <c r="A12500" s="76" t="s">
        <v>26</v>
      </c>
      <c r="B12500" s="76" t="s">
        <v>1032</v>
      </c>
      <c r="C12500" s="84">
        <v>2.96</v>
      </c>
      <c r="D12500" s="84">
        <v>1.0</v>
      </c>
      <c r="E12500" s="84">
        <v>2.96</v>
      </c>
      <c r="F12500" s="76" t="s">
        <v>1005</v>
      </c>
      <c r="G12500" s="83">
        <v>46121.0</v>
      </c>
      <c r="H12500" s="76" t="s">
        <v>1012</v>
      </c>
    </row>
    <row r="12501">
      <c r="A12501" s="76" t="s">
        <v>26</v>
      </c>
      <c r="B12501" s="76" t="s">
        <v>1032</v>
      </c>
      <c r="C12501" s="84">
        <v>9.22</v>
      </c>
      <c r="D12501" s="84">
        <v>1.0</v>
      </c>
      <c r="E12501" s="84">
        <v>9.22</v>
      </c>
      <c r="F12501" s="76" t="s">
        <v>1005</v>
      </c>
      <c r="G12501" s="83">
        <v>46121.0</v>
      </c>
      <c r="H12501" s="76" t="s">
        <v>1013</v>
      </c>
    </row>
    <row r="12502">
      <c r="A12502" s="76" t="s">
        <v>26</v>
      </c>
      <c r="B12502" s="76" t="s">
        <v>1032</v>
      </c>
      <c r="C12502" s="84">
        <v>308.13</v>
      </c>
      <c r="D12502" s="84">
        <v>78.0</v>
      </c>
      <c r="E12502" s="84">
        <v>3.95</v>
      </c>
      <c r="F12502" s="76" t="s">
        <v>1005</v>
      </c>
      <c r="G12502" s="83">
        <v>46121.0</v>
      </c>
      <c r="H12502" s="76" t="s">
        <v>1014</v>
      </c>
    </row>
    <row r="12503">
      <c r="A12503" s="76" t="s">
        <v>28</v>
      </c>
      <c r="B12503" s="76" t="s">
        <v>1032</v>
      </c>
      <c r="C12503" s="84">
        <v>2.05</v>
      </c>
      <c r="D12503" s="84">
        <v>1.0</v>
      </c>
      <c r="E12503" s="84">
        <v>2.05</v>
      </c>
      <c r="F12503" s="76" t="s">
        <v>1005</v>
      </c>
      <c r="G12503" s="83">
        <v>46121.0</v>
      </c>
      <c r="H12503" s="76" t="s">
        <v>931</v>
      </c>
    </row>
    <row r="12504">
      <c r="A12504" s="76" t="s">
        <v>28</v>
      </c>
      <c r="B12504" s="76" t="s">
        <v>1032</v>
      </c>
      <c r="C12504" s="84">
        <v>0.9</v>
      </c>
      <c r="D12504" s="84">
        <v>0.0</v>
      </c>
      <c r="E12504" s="84">
        <v>0.0</v>
      </c>
      <c r="F12504" s="76" t="s">
        <v>1005</v>
      </c>
      <c r="G12504" s="83">
        <v>46121.0</v>
      </c>
      <c r="H12504" s="76" t="s">
        <v>932</v>
      </c>
    </row>
    <row r="12505">
      <c r="A12505" s="76" t="s">
        <v>28</v>
      </c>
      <c r="B12505" s="76" t="s">
        <v>1032</v>
      </c>
      <c r="C12505" s="84">
        <v>154.17</v>
      </c>
      <c r="D12505" s="84">
        <v>27.0</v>
      </c>
      <c r="E12505" s="84">
        <v>5.71</v>
      </c>
      <c r="F12505" s="76" t="s">
        <v>1005</v>
      </c>
      <c r="G12505" s="83">
        <v>46121.0</v>
      </c>
      <c r="H12505" s="76" t="s">
        <v>933</v>
      </c>
    </row>
    <row r="12506">
      <c r="A12506" s="76" t="s">
        <v>36</v>
      </c>
      <c r="B12506" s="76" t="s">
        <v>1032</v>
      </c>
      <c r="C12506" s="84">
        <v>9.19</v>
      </c>
      <c r="D12506" s="84">
        <v>2.0</v>
      </c>
      <c r="E12506" s="84">
        <v>4.59</v>
      </c>
      <c r="F12506" s="76" t="s">
        <v>1005</v>
      </c>
      <c r="G12506" s="83">
        <v>46121.0</v>
      </c>
      <c r="H12506" s="76" t="s">
        <v>926</v>
      </c>
    </row>
    <row r="12507">
      <c r="A12507" s="76" t="s">
        <v>36</v>
      </c>
      <c r="B12507" s="76" t="s">
        <v>1032</v>
      </c>
      <c r="C12507" s="84">
        <v>1.12</v>
      </c>
      <c r="D12507" s="84">
        <v>0.0</v>
      </c>
      <c r="E12507" s="84">
        <v>0.0</v>
      </c>
      <c r="F12507" s="76" t="s">
        <v>1005</v>
      </c>
      <c r="G12507" s="83">
        <v>46121.0</v>
      </c>
      <c r="H12507" s="76" t="s">
        <v>927</v>
      </c>
    </row>
    <row r="12508">
      <c r="A12508" s="76" t="s">
        <v>36</v>
      </c>
      <c r="B12508" s="76" t="s">
        <v>1032</v>
      </c>
      <c r="C12508" s="84">
        <v>2.99</v>
      </c>
      <c r="D12508" s="84">
        <v>0.0</v>
      </c>
      <c r="E12508" s="84">
        <v>0.0</v>
      </c>
      <c r="F12508" s="76" t="s">
        <v>1005</v>
      </c>
      <c r="G12508" s="83">
        <v>46121.0</v>
      </c>
      <c r="H12508" s="76" t="s">
        <v>928</v>
      </c>
    </row>
    <row r="12509">
      <c r="A12509" s="76" t="s">
        <v>31</v>
      </c>
      <c r="B12509" s="76" t="s">
        <v>1032</v>
      </c>
      <c r="C12509" s="84">
        <v>24.13</v>
      </c>
      <c r="D12509" s="84">
        <v>8.0</v>
      </c>
      <c r="E12509" s="84">
        <v>3.02</v>
      </c>
      <c r="F12509" s="76" t="s">
        <v>1005</v>
      </c>
      <c r="G12509" s="83">
        <v>46121.0</v>
      </c>
      <c r="H12509" s="76" t="s">
        <v>929</v>
      </c>
    </row>
    <row r="12510">
      <c r="A12510" s="76" t="s">
        <v>31</v>
      </c>
      <c r="B12510" s="76" t="s">
        <v>1032</v>
      </c>
      <c r="C12510" s="84">
        <v>502.72</v>
      </c>
      <c r="D12510" s="84">
        <v>164.0</v>
      </c>
      <c r="E12510" s="84">
        <v>3.07</v>
      </c>
      <c r="F12510" s="76" t="s">
        <v>1005</v>
      </c>
      <c r="G12510" s="83">
        <v>46121.0</v>
      </c>
      <c r="H12510" s="76" t="s">
        <v>930</v>
      </c>
    </row>
    <row r="12511">
      <c r="A12511" s="76" t="s">
        <v>944</v>
      </c>
      <c r="B12511" s="76" t="s">
        <v>1032</v>
      </c>
      <c r="C12511" s="84">
        <v>7.03</v>
      </c>
      <c r="D12511" s="84">
        <v>1.0</v>
      </c>
      <c r="E12511" s="84">
        <v>7.03</v>
      </c>
      <c r="F12511" s="76" t="s">
        <v>1005</v>
      </c>
      <c r="G12511" s="83">
        <v>46121.0</v>
      </c>
      <c r="H12511" s="76" t="s">
        <v>945</v>
      </c>
    </row>
    <row r="12512">
      <c r="A12512" s="76" t="s">
        <v>944</v>
      </c>
      <c r="B12512" s="76" t="s">
        <v>1032</v>
      </c>
      <c r="C12512" s="84">
        <v>2.0</v>
      </c>
      <c r="D12512" s="84">
        <v>1.0</v>
      </c>
      <c r="E12512" s="84">
        <v>2.0</v>
      </c>
      <c r="F12512" s="76" t="s">
        <v>1005</v>
      </c>
      <c r="G12512" s="83">
        <v>46121.0</v>
      </c>
      <c r="H12512" s="76" t="s">
        <v>946</v>
      </c>
    </row>
    <row r="12513">
      <c r="A12513" s="76" t="s">
        <v>944</v>
      </c>
      <c r="B12513" s="76" t="s">
        <v>1032</v>
      </c>
      <c r="C12513" s="84">
        <v>19.21</v>
      </c>
      <c r="D12513" s="84">
        <v>4.0</v>
      </c>
      <c r="E12513" s="84">
        <v>4.8</v>
      </c>
      <c r="F12513" s="76" t="s">
        <v>1005</v>
      </c>
      <c r="G12513" s="83">
        <v>46121.0</v>
      </c>
      <c r="H12513" s="76" t="s">
        <v>947</v>
      </c>
    </row>
    <row r="12514">
      <c r="A12514" s="76" t="s">
        <v>45</v>
      </c>
      <c r="B12514" s="76" t="s">
        <v>1032</v>
      </c>
      <c r="C12514" s="84">
        <v>0.76</v>
      </c>
      <c r="D12514" s="84">
        <v>0.0</v>
      </c>
      <c r="E12514" s="84">
        <v>0.0</v>
      </c>
      <c r="F12514" s="76" t="s">
        <v>1005</v>
      </c>
      <c r="G12514" s="83">
        <v>46121.0</v>
      </c>
      <c r="H12514" s="76" t="s">
        <v>936</v>
      </c>
    </row>
    <row r="12515">
      <c r="A12515" s="76" t="s">
        <v>45</v>
      </c>
      <c r="B12515" s="76" t="s">
        <v>1032</v>
      </c>
      <c r="C12515" s="84">
        <v>1.78</v>
      </c>
      <c r="D12515" s="84">
        <v>0.0</v>
      </c>
      <c r="E12515" s="84">
        <v>0.0</v>
      </c>
      <c r="F12515" s="76" t="s">
        <v>1005</v>
      </c>
      <c r="G12515" s="83">
        <v>46121.0</v>
      </c>
      <c r="H12515" s="76" t="s">
        <v>937</v>
      </c>
    </row>
    <row r="12516">
      <c r="A12516" s="76" t="s">
        <v>45</v>
      </c>
      <c r="B12516" s="76" t="s">
        <v>1032</v>
      </c>
      <c r="C12516" s="84">
        <v>0.66</v>
      </c>
      <c r="D12516" s="84">
        <v>0.0</v>
      </c>
      <c r="E12516" s="84">
        <v>0.0</v>
      </c>
      <c r="F12516" s="76" t="s">
        <v>1005</v>
      </c>
      <c r="G12516" s="83">
        <v>46121.0</v>
      </c>
      <c r="H12516" s="76" t="s">
        <v>938</v>
      </c>
    </row>
    <row r="12517">
      <c r="A12517" s="76" t="s">
        <v>32</v>
      </c>
      <c r="B12517" s="76" t="s">
        <v>1032</v>
      </c>
      <c r="C12517" s="84">
        <v>16.1</v>
      </c>
      <c r="D12517" s="84">
        <v>2.0</v>
      </c>
      <c r="E12517" s="84">
        <v>8.05</v>
      </c>
      <c r="F12517" s="76" t="s">
        <v>1005</v>
      </c>
      <c r="G12517" s="83">
        <v>46121.0</v>
      </c>
      <c r="H12517" s="76" t="s">
        <v>941</v>
      </c>
    </row>
    <row r="12518">
      <c r="A12518" s="76" t="s">
        <v>32</v>
      </c>
      <c r="B12518" s="76" t="s">
        <v>1032</v>
      </c>
      <c r="C12518" s="84">
        <v>2.05</v>
      </c>
      <c r="D12518" s="84">
        <v>1.0</v>
      </c>
      <c r="E12518" s="84">
        <v>2.05</v>
      </c>
      <c r="F12518" s="76" t="s">
        <v>1005</v>
      </c>
      <c r="G12518" s="83">
        <v>46121.0</v>
      </c>
      <c r="H12518" s="76" t="s">
        <v>942</v>
      </c>
    </row>
    <row r="12519">
      <c r="A12519" s="76" t="s">
        <v>32</v>
      </c>
      <c r="B12519" s="76" t="s">
        <v>1032</v>
      </c>
      <c r="C12519" s="84">
        <v>18.54</v>
      </c>
      <c r="D12519" s="84">
        <v>6.0</v>
      </c>
      <c r="E12519" s="84">
        <v>3.09</v>
      </c>
      <c r="F12519" s="76" t="s">
        <v>1005</v>
      </c>
      <c r="G12519" s="83">
        <v>46121.0</v>
      </c>
      <c r="H12519" s="76" t="s">
        <v>943</v>
      </c>
    </row>
    <row r="12520">
      <c r="A12520" s="76" t="s">
        <v>1043</v>
      </c>
      <c r="B12520" s="76" t="s">
        <v>1032</v>
      </c>
      <c r="C12520" s="84">
        <v>5.6</v>
      </c>
      <c r="D12520" s="84">
        <v>1.0</v>
      </c>
      <c r="E12520" s="84">
        <v>5.6</v>
      </c>
      <c r="F12520" s="76" t="s">
        <v>1005</v>
      </c>
      <c r="G12520" s="83">
        <v>46121.0</v>
      </c>
      <c r="H12520" s="76" t="s">
        <v>1044</v>
      </c>
    </row>
    <row r="12521">
      <c r="A12521" s="76" t="s">
        <v>52</v>
      </c>
      <c r="B12521" s="76" t="s">
        <v>1032</v>
      </c>
      <c r="C12521" s="84">
        <v>3.4</v>
      </c>
      <c r="D12521" s="84">
        <v>0.0</v>
      </c>
      <c r="E12521" s="84">
        <v>0.0</v>
      </c>
      <c r="F12521" s="76" t="s">
        <v>1005</v>
      </c>
      <c r="G12521" s="83">
        <v>46121.0</v>
      </c>
      <c r="H12521" s="76" t="s">
        <v>1045</v>
      </c>
    </row>
    <row r="12522">
      <c r="A12522" s="76" t="s">
        <v>49</v>
      </c>
      <c r="B12522" s="76" t="s">
        <v>1032</v>
      </c>
      <c r="C12522" s="84">
        <v>4.05</v>
      </c>
      <c r="D12522" s="84">
        <v>1.0</v>
      </c>
      <c r="E12522" s="84">
        <v>4.05</v>
      </c>
      <c r="F12522" s="76" t="s">
        <v>1005</v>
      </c>
      <c r="G12522" s="83">
        <v>46121.0</v>
      </c>
      <c r="H12522" s="76" t="s">
        <v>1046</v>
      </c>
    </row>
    <row r="12523">
      <c r="A12523" s="76" t="s">
        <v>26</v>
      </c>
      <c r="B12523" s="76" t="s">
        <v>1032</v>
      </c>
      <c r="C12523" s="84">
        <v>0.34</v>
      </c>
      <c r="D12523" s="84">
        <v>0.0</v>
      </c>
      <c r="E12523" s="84">
        <v>0.0</v>
      </c>
      <c r="F12523" s="76" t="s">
        <v>993</v>
      </c>
      <c r="G12523" s="83">
        <v>46121.0</v>
      </c>
      <c r="H12523" s="76" t="s">
        <v>1012</v>
      </c>
    </row>
    <row r="12524">
      <c r="A12524" s="76" t="s">
        <v>26</v>
      </c>
      <c r="B12524" s="76" t="s">
        <v>1032</v>
      </c>
      <c r="C12524" s="84">
        <v>0.17</v>
      </c>
      <c r="D12524" s="84">
        <v>0.0</v>
      </c>
      <c r="E12524" s="84">
        <v>0.0</v>
      </c>
      <c r="F12524" s="76" t="s">
        <v>993</v>
      </c>
      <c r="G12524" s="83">
        <v>46121.0</v>
      </c>
      <c r="H12524" s="76" t="s">
        <v>1013</v>
      </c>
    </row>
    <row r="12525">
      <c r="A12525" s="76" t="s">
        <v>26</v>
      </c>
      <c r="B12525" s="76" t="s">
        <v>1032</v>
      </c>
      <c r="C12525" s="84">
        <v>3.9</v>
      </c>
      <c r="D12525" s="84">
        <v>0.0</v>
      </c>
      <c r="E12525" s="84">
        <v>0.0</v>
      </c>
      <c r="F12525" s="76" t="s">
        <v>993</v>
      </c>
      <c r="G12525" s="83">
        <v>46121.0</v>
      </c>
      <c r="H12525" s="76" t="s">
        <v>1014</v>
      </c>
    </row>
    <row r="12526">
      <c r="A12526" s="76" t="s">
        <v>944</v>
      </c>
      <c r="B12526" s="76" t="s">
        <v>1032</v>
      </c>
      <c r="C12526" s="84">
        <v>0.84</v>
      </c>
      <c r="D12526" s="84">
        <v>0.0</v>
      </c>
      <c r="E12526" s="84">
        <v>0.0</v>
      </c>
      <c r="F12526" s="76" t="s">
        <v>993</v>
      </c>
      <c r="G12526" s="83">
        <v>46121.0</v>
      </c>
      <c r="H12526" s="76" t="s">
        <v>945</v>
      </c>
    </row>
    <row r="12527">
      <c r="A12527" s="76" t="s">
        <v>944</v>
      </c>
      <c r="B12527" s="76" t="s">
        <v>1032</v>
      </c>
      <c r="C12527" s="84">
        <v>0.26</v>
      </c>
      <c r="D12527" s="84">
        <v>0.0</v>
      </c>
      <c r="E12527" s="84">
        <v>0.0</v>
      </c>
      <c r="F12527" s="76" t="s">
        <v>993</v>
      </c>
      <c r="G12527" s="83">
        <v>46121.0</v>
      </c>
      <c r="H12527" s="76" t="s">
        <v>946</v>
      </c>
    </row>
    <row r="12528">
      <c r="A12528" s="76" t="s">
        <v>944</v>
      </c>
      <c r="B12528" s="76" t="s">
        <v>1032</v>
      </c>
      <c r="C12528" s="84">
        <v>0.99</v>
      </c>
      <c r="D12528" s="84">
        <v>0.0</v>
      </c>
      <c r="E12528" s="84">
        <v>0.0</v>
      </c>
      <c r="F12528" s="76" t="s">
        <v>993</v>
      </c>
      <c r="G12528" s="83">
        <v>46121.0</v>
      </c>
      <c r="H12528" s="76" t="s">
        <v>947</v>
      </c>
    </row>
    <row r="12529">
      <c r="A12529" s="76" t="s">
        <v>45</v>
      </c>
      <c r="B12529" s="76" t="s">
        <v>1032</v>
      </c>
      <c r="C12529" s="84">
        <v>0.07</v>
      </c>
      <c r="D12529" s="84">
        <v>0.0</v>
      </c>
      <c r="E12529" s="84">
        <v>0.0</v>
      </c>
      <c r="F12529" s="76" t="s">
        <v>993</v>
      </c>
      <c r="G12529" s="83">
        <v>46121.0</v>
      </c>
      <c r="H12529" s="76" t="s">
        <v>936</v>
      </c>
    </row>
    <row r="12530">
      <c r="A12530" s="76" t="s">
        <v>45</v>
      </c>
      <c r="B12530" s="76" t="s">
        <v>1032</v>
      </c>
      <c r="C12530" s="84">
        <v>0.29</v>
      </c>
      <c r="D12530" s="84">
        <v>0.0</v>
      </c>
      <c r="E12530" s="84">
        <v>0.0</v>
      </c>
      <c r="F12530" s="76" t="s">
        <v>993</v>
      </c>
      <c r="G12530" s="83">
        <v>46121.0</v>
      </c>
      <c r="H12530" s="76" t="s">
        <v>937</v>
      </c>
    </row>
    <row r="12531">
      <c r="A12531" s="76" t="s">
        <v>45</v>
      </c>
      <c r="B12531" s="76" t="s">
        <v>1032</v>
      </c>
      <c r="C12531" s="84">
        <v>0.05</v>
      </c>
      <c r="D12531" s="84">
        <v>0.0</v>
      </c>
      <c r="E12531" s="84">
        <v>0.0</v>
      </c>
      <c r="F12531" s="76" t="s">
        <v>993</v>
      </c>
      <c r="G12531" s="83">
        <v>46121.0</v>
      </c>
      <c r="H12531" s="76" t="s">
        <v>938</v>
      </c>
    </row>
    <row r="12532">
      <c r="A12532" s="76" t="s">
        <v>32</v>
      </c>
      <c r="B12532" s="76" t="s">
        <v>1032</v>
      </c>
      <c r="C12532" s="84">
        <v>1.47</v>
      </c>
      <c r="D12532" s="84">
        <v>0.0</v>
      </c>
      <c r="E12532" s="84">
        <v>0.0</v>
      </c>
      <c r="F12532" s="76" t="s">
        <v>993</v>
      </c>
      <c r="G12532" s="83">
        <v>46121.0</v>
      </c>
      <c r="H12532" s="76" t="s">
        <v>941</v>
      </c>
    </row>
    <row r="12533">
      <c r="A12533" s="76" t="s">
        <v>32</v>
      </c>
      <c r="B12533" s="76" t="s">
        <v>1032</v>
      </c>
      <c r="C12533" s="84">
        <v>0.37</v>
      </c>
      <c r="D12533" s="84">
        <v>0.0</v>
      </c>
      <c r="E12533" s="84">
        <v>0.0</v>
      </c>
      <c r="F12533" s="76" t="s">
        <v>993</v>
      </c>
      <c r="G12533" s="83">
        <v>46121.0</v>
      </c>
      <c r="H12533" s="76" t="s">
        <v>942</v>
      </c>
    </row>
    <row r="12534">
      <c r="A12534" s="76" t="s">
        <v>32</v>
      </c>
      <c r="B12534" s="76" t="s">
        <v>1032</v>
      </c>
      <c r="C12534" s="84">
        <v>1.36</v>
      </c>
      <c r="D12534" s="84">
        <v>0.0</v>
      </c>
      <c r="E12534" s="84">
        <v>0.0</v>
      </c>
      <c r="F12534" s="76" t="s">
        <v>993</v>
      </c>
      <c r="G12534" s="83">
        <v>46121.0</v>
      </c>
      <c r="H12534" s="76" t="s">
        <v>943</v>
      </c>
    </row>
    <row r="12535">
      <c r="A12535" s="76" t="s">
        <v>36</v>
      </c>
      <c r="B12535" s="76" t="s">
        <v>1032</v>
      </c>
      <c r="C12535" s="84">
        <v>0.54</v>
      </c>
      <c r="D12535" s="84">
        <v>0.0</v>
      </c>
      <c r="E12535" s="84">
        <v>0.0</v>
      </c>
      <c r="F12535" s="76" t="s">
        <v>993</v>
      </c>
      <c r="G12535" s="83">
        <v>46121.0</v>
      </c>
      <c r="H12535" s="76" t="s">
        <v>926</v>
      </c>
    </row>
    <row r="12536">
      <c r="A12536" s="76" t="s">
        <v>36</v>
      </c>
      <c r="B12536" s="76" t="s">
        <v>1032</v>
      </c>
      <c r="C12536" s="84">
        <v>0.1</v>
      </c>
      <c r="D12536" s="84">
        <v>0.0</v>
      </c>
      <c r="E12536" s="84">
        <v>0.0</v>
      </c>
      <c r="F12536" s="76" t="s">
        <v>993</v>
      </c>
      <c r="G12536" s="83">
        <v>46121.0</v>
      </c>
      <c r="H12536" s="76" t="s">
        <v>927</v>
      </c>
    </row>
    <row r="12537">
      <c r="A12537" s="76" t="s">
        <v>36</v>
      </c>
      <c r="B12537" s="76" t="s">
        <v>1032</v>
      </c>
      <c r="C12537" s="84">
        <v>0.37</v>
      </c>
      <c r="D12537" s="84">
        <v>0.0</v>
      </c>
      <c r="E12537" s="84">
        <v>0.0</v>
      </c>
      <c r="F12537" s="76" t="s">
        <v>993</v>
      </c>
      <c r="G12537" s="83">
        <v>46121.0</v>
      </c>
      <c r="H12537" s="76" t="s">
        <v>928</v>
      </c>
    </row>
    <row r="12538">
      <c r="A12538" s="76" t="s">
        <v>28</v>
      </c>
      <c r="B12538" s="76" t="s">
        <v>1032</v>
      </c>
      <c r="C12538" s="84">
        <v>0.16</v>
      </c>
      <c r="D12538" s="84">
        <v>0.0</v>
      </c>
      <c r="E12538" s="84">
        <v>0.0</v>
      </c>
      <c r="F12538" s="76" t="s">
        <v>993</v>
      </c>
      <c r="G12538" s="83">
        <v>46121.0</v>
      </c>
      <c r="H12538" s="76" t="s">
        <v>931</v>
      </c>
    </row>
    <row r="12539">
      <c r="A12539" s="76" t="s">
        <v>28</v>
      </c>
      <c r="B12539" s="76" t="s">
        <v>1032</v>
      </c>
      <c r="C12539" s="84">
        <v>0.17</v>
      </c>
      <c r="D12539" s="84">
        <v>0.0</v>
      </c>
      <c r="E12539" s="84">
        <v>0.0</v>
      </c>
      <c r="F12539" s="76" t="s">
        <v>993</v>
      </c>
      <c r="G12539" s="83">
        <v>46121.0</v>
      </c>
      <c r="H12539" s="76" t="s">
        <v>932</v>
      </c>
    </row>
    <row r="12540">
      <c r="A12540" s="76" t="s">
        <v>28</v>
      </c>
      <c r="B12540" s="76" t="s">
        <v>1032</v>
      </c>
      <c r="C12540" s="84">
        <v>1.49</v>
      </c>
      <c r="D12540" s="84">
        <v>0.0</v>
      </c>
      <c r="E12540" s="84">
        <v>0.0</v>
      </c>
      <c r="F12540" s="76" t="s">
        <v>993</v>
      </c>
      <c r="G12540" s="83">
        <v>46121.0</v>
      </c>
      <c r="H12540" s="76" t="s">
        <v>933</v>
      </c>
    </row>
    <row r="12541">
      <c r="A12541" s="76" t="s">
        <v>31</v>
      </c>
      <c r="B12541" s="76" t="s">
        <v>1032</v>
      </c>
      <c r="C12541" s="84">
        <v>1.94</v>
      </c>
      <c r="D12541" s="84">
        <v>0.0</v>
      </c>
      <c r="E12541" s="84">
        <v>0.0</v>
      </c>
      <c r="F12541" s="76" t="s">
        <v>993</v>
      </c>
      <c r="G12541" s="83">
        <v>46121.0</v>
      </c>
      <c r="H12541" s="76" t="s">
        <v>929</v>
      </c>
    </row>
    <row r="12542">
      <c r="A12542" s="76" t="s">
        <v>31</v>
      </c>
      <c r="B12542" s="76" t="s">
        <v>1032</v>
      </c>
      <c r="C12542" s="84">
        <v>11.98</v>
      </c>
      <c r="D12542" s="84">
        <v>2.0</v>
      </c>
      <c r="E12542" s="84">
        <v>5.99</v>
      </c>
      <c r="F12542" s="76" t="s">
        <v>993</v>
      </c>
      <c r="G12542" s="83">
        <v>46121.0</v>
      </c>
      <c r="H12542" s="76" t="s">
        <v>930</v>
      </c>
    </row>
    <row r="12543">
      <c r="A12543" s="76" t="s">
        <v>1043</v>
      </c>
      <c r="B12543" s="76" t="s">
        <v>1032</v>
      </c>
      <c r="C12543" s="84">
        <v>0.19</v>
      </c>
      <c r="D12543" s="84">
        <v>0.0</v>
      </c>
      <c r="E12543" s="84">
        <v>0.0</v>
      </c>
      <c r="F12543" s="76" t="s">
        <v>993</v>
      </c>
      <c r="G12543" s="83">
        <v>46121.0</v>
      </c>
      <c r="H12543" s="76" t="s">
        <v>1044</v>
      </c>
    </row>
    <row r="12544">
      <c r="A12544" s="76" t="s">
        <v>52</v>
      </c>
      <c r="B12544" s="76" t="s">
        <v>1032</v>
      </c>
      <c r="C12544" s="84">
        <v>0.24</v>
      </c>
      <c r="D12544" s="84">
        <v>0.0</v>
      </c>
      <c r="E12544" s="84">
        <v>0.0</v>
      </c>
      <c r="F12544" s="76" t="s">
        <v>993</v>
      </c>
      <c r="G12544" s="83">
        <v>46121.0</v>
      </c>
      <c r="H12544" s="76" t="s">
        <v>1045</v>
      </c>
    </row>
    <row r="12545">
      <c r="A12545" s="76" t="s">
        <v>49</v>
      </c>
      <c r="B12545" s="76" t="s">
        <v>1032</v>
      </c>
      <c r="C12545" s="84">
        <v>0.2</v>
      </c>
      <c r="D12545" s="84">
        <v>0.0</v>
      </c>
      <c r="E12545" s="84">
        <v>0.0</v>
      </c>
      <c r="F12545" s="76" t="s">
        <v>993</v>
      </c>
      <c r="G12545" s="83">
        <v>46121.0</v>
      </c>
      <c r="H12545" s="76" t="s">
        <v>1046</v>
      </c>
    </row>
    <row r="12546">
      <c r="A12546" s="76" t="s">
        <v>45</v>
      </c>
      <c r="B12546" s="76" t="s">
        <v>1032</v>
      </c>
      <c r="C12546" s="84">
        <v>0.1</v>
      </c>
      <c r="D12546" s="84">
        <v>0.0</v>
      </c>
      <c r="E12546" s="84">
        <v>0.0</v>
      </c>
      <c r="F12546" s="76" t="s">
        <v>994</v>
      </c>
      <c r="G12546" s="83">
        <v>46121.0</v>
      </c>
      <c r="H12546" s="76" t="s">
        <v>936</v>
      </c>
    </row>
    <row r="12547">
      <c r="A12547" s="76" t="s">
        <v>45</v>
      </c>
      <c r="B12547" s="76" t="s">
        <v>1032</v>
      </c>
      <c r="C12547" s="84">
        <v>0.83</v>
      </c>
      <c r="D12547" s="84">
        <v>0.0</v>
      </c>
      <c r="E12547" s="84">
        <v>0.0</v>
      </c>
      <c r="F12547" s="76" t="s">
        <v>994</v>
      </c>
      <c r="G12547" s="83">
        <v>46121.0</v>
      </c>
      <c r="H12547" s="76" t="s">
        <v>937</v>
      </c>
    </row>
    <row r="12548">
      <c r="A12548" s="76" t="s">
        <v>45</v>
      </c>
      <c r="B12548" s="76" t="s">
        <v>1032</v>
      </c>
      <c r="C12548" s="84">
        <v>0.27</v>
      </c>
      <c r="D12548" s="84">
        <v>0.0</v>
      </c>
      <c r="E12548" s="84">
        <v>0.0</v>
      </c>
      <c r="F12548" s="76" t="s">
        <v>994</v>
      </c>
      <c r="G12548" s="83">
        <v>46121.0</v>
      </c>
      <c r="H12548" s="76" t="s">
        <v>938</v>
      </c>
    </row>
    <row r="12549">
      <c r="A12549" s="76" t="s">
        <v>36</v>
      </c>
      <c r="B12549" s="76" t="s">
        <v>1032</v>
      </c>
      <c r="C12549" s="84">
        <v>0.54</v>
      </c>
      <c r="D12549" s="84">
        <v>0.0</v>
      </c>
      <c r="E12549" s="84">
        <v>0.0</v>
      </c>
      <c r="F12549" s="76" t="s">
        <v>994</v>
      </c>
      <c r="G12549" s="83">
        <v>46121.0</v>
      </c>
      <c r="H12549" s="76" t="s">
        <v>926</v>
      </c>
    </row>
    <row r="12550">
      <c r="A12550" s="76" t="s">
        <v>36</v>
      </c>
      <c r="B12550" s="76" t="s">
        <v>1032</v>
      </c>
      <c r="C12550" s="84">
        <v>0.08</v>
      </c>
      <c r="D12550" s="84">
        <v>0.0</v>
      </c>
      <c r="E12550" s="84">
        <v>0.0</v>
      </c>
      <c r="F12550" s="76" t="s">
        <v>994</v>
      </c>
      <c r="G12550" s="83">
        <v>46121.0</v>
      </c>
      <c r="H12550" s="76" t="s">
        <v>927</v>
      </c>
    </row>
    <row r="12551">
      <c r="A12551" s="76" t="s">
        <v>36</v>
      </c>
      <c r="B12551" s="76" t="s">
        <v>1032</v>
      </c>
      <c r="C12551" s="84">
        <v>0.66</v>
      </c>
      <c r="D12551" s="84">
        <v>0.0</v>
      </c>
      <c r="E12551" s="84">
        <v>0.0</v>
      </c>
      <c r="F12551" s="76" t="s">
        <v>994</v>
      </c>
      <c r="G12551" s="83">
        <v>46121.0</v>
      </c>
      <c r="H12551" s="76" t="s">
        <v>928</v>
      </c>
    </row>
    <row r="12552">
      <c r="A12552" s="76" t="s">
        <v>31</v>
      </c>
      <c r="B12552" s="76" t="s">
        <v>1032</v>
      </c>
      <c r="C12552" s="84">
        <v>0.82</v>
      </c>
      <c r="D12552" s="84">
        <v>0.0</v>
      </c>
      <c r="E12552" s="84">
        <v>0.0</v>
      </c>
      <c r="F12552" s="76" t="s">
        <v>994</v>
      </c>
      <c r="G12552" s="83">
        <v>46121.0</v>
      </c>
      <c r="H12552" s="76" t="s">
        <v>929</v>
      </c>
    </row>
    <row r="12553">
      <c r="A12553" s="76" t="s">
        <v>31</v>
      </c>
      <c r="B12553" s="76" t="s">
        <v>1032</v>
      </c>
      <c r="C12553" s="84">
        <v>2.5</v>
      </c>
      <c r="D12553" s="84">
        <v>0.0</v>
      </c>
      <c r="E12553" s="84">
        <v>0.0</v>
      </c>
      <c r="F12553" s="76" t="s">
        <v>994</v>
      </c>
      <c r="G12553" s="83">
        <v>46121.0</v>
      </c>
      <c r="H12553" s="76" t="s">
        <v>930</v>
      </c>
    </row>
    <row r="12554">
      <c r="A12554" s="76" t="s">
        <v>944</v>
      </c>
      <c r="B12554" s="76" t="s">
        <v>1032</v>
      </c>
      <c r="C12554" s="84">
        <v>0.39</v>
      </c>
      <c r="D12554" s="84">
        <v>0.0</v>
      </c>
      <c r="E12554" s="84">
        <v>0.0</v>
      </c>
      <c r="F12554" s="76" t="s">
        <v>994</v>
      </c>
      <c r="G12554" s="83">
        <v>46121.0</v>
      </c>
      <c r="H12554" s="76" t="s">
        <v>945</v>
      </c>
    </row>
    <row r="12555">
      <c r="A12555" s="76" t="s">
        <v>944</v>
      </c>
      <c r="B12555" s="76" t="s">
        <v>1032</v>
      </c>
      <c r="C12555" s="84">
        <v>0.23</v>
      </c>
      <c r="D12555" s="84">
        <v>0.0</v>
      </c>
      <c r="E12555" s="84">
        <v>0.0</v>
      </c>
      <c r="F12555" s="76" t="s">
        <v>994</v>
      </c>
      <c r="G12555" s="83">
        <v>46121.0</v>
      </c>
      <c r="H12555" s="76" t="s">
        <v>946</v>
      </c>
    </row>
    <row r="12556">
      <c r="A12556" s="76" t="s">
        <v>944</v>
      </c>
      <c r="B12556" s="76" t="s">
        <v>1032</v>
      </c>
      <c r="C12556" s="84">
        <v>1.83</v>
      </c>
      <c r="D12556" s="84">
        <v>1.0</v>
      </c>
      <c r="E12556" s="84">
        <v>1.83</v>
      </c>
      <c r="F12556" s="76" t="s">
        <v>994</v>
      </c>
      <c r="G12556" s="83">
        <v>46121.0</v>
      </c>
      <c r="H12556" s="76" t="s">
        <v>947</v>
      </c>
    </row>
    <row r="12557">
      <c r="A12557" s="76" t="s">
        <v>32</v>
      </c>
      <c r="B12557" s="76" t="s">
        <v>1032</v>
      </c>
      <c r="C12557" s="84">
        <v>2.02</v>
      </c>
      <c r="D12557" s="84">
        <v>1.0</v>
      </c>
      <c r="E12557" s="84">
        <v>2.02</v>
      </c>
      <c r="F12557" s="76" t="s">
        <v>994</v>
      </c>
      <c r="G12557" s="83">
        <v>46121.0</v>
      </c>
      <c r="H12557" s="76" t="s">
        <v>941</v>
      </c>
    </row>
    <row r="12558">
      <c r="A12558" s="76" t="s">
        <v>32</v>
      </c>
      <c r="B12558" s="76" t="s">
        <v>1032</v>
      </c>
      <c r="C12558" s="84">
        <v>0.12</v>
      </c>
      <c r="D12558" s="84">
        <v>1.0</v>
      </c>
      <c r="E12558" s="84">
        <v>0.12</v>
      </c>
      <c r="F12558" s="76" t="s">
        <v>994</v>
      </c>
      <c r="G12558" s="83">
        <v>46121.0</v>
      </c>
      <c r="H12558" s="76" t="s">
        <v>942</v>
      </c>
    </row>
    <row r="12559">
      <c r="A12559" s="76" t="s">
        <v>32</v>
      </c>
      <c r="B12559" s="76" t="s">
        <v>1032</v>
      </c>
      <c r="C12559" s="84">
        <v>0.37</v>
      </c>
      <c r="D12559" s="84">
        <v>2.0</v>
      </c>
      <c r="E12559" s="84">
        <v>0.18</v>
      </c>
      <c r="F12559" s="76" t="s">
        <v>994</v>
      </c>
      <c r="G12559" s="83">
        <v>46121.0</v>
      </c>
      <c r="H12559" s="76" t="s">
        <v>943</v>
      </c>
    </row>
    <row r="12560">
      <c r="A12560" s="76" t="s">
        <v>26</v>
      </c>
      <c r="B12560" s="76" t="s">
        <v>1032</v>
      </c>
      <c r="C12560" s="84">
        <v>0.23</v>
      </c>
      <c r="D12560" s="84">
        <v>0.0</v>
      </c>
      <c r="E12560" s="84">
        <v>0.0</v>
      </c>
      <c r="F12560" s="76" t="s">
        <v>994</v>
      </c>
      <c r="G12560" s="83">
        <v>46121.0</v>
      </c>
      <c r="H12560" s="76" t="s">
        <v>1012</v>
      </c>
    </row>
    <row r="12561">
      <c r="A12561" s="76" t="s">
        <v>26</v>
      </c>
      <c r="B12561" s="76" t="s">
        <v>1032</v>
      </c>
      <c r="C12561" s="84">
        <v>0.02</v>
      </c>
      <c r="D12561" s="84">
        <v>0.0</v>
      </c>
      <c r="E12561" s="84">
        <v>0.0</v>
      </c>
      <c r="F12561" s="76" t="s">
        <v>994</v>
      </c>
      <c r="G12561" s="83">
        <v>46121.0</v>
      </c>
      <c r="H12561" s="76" t="s">
        <v>1013</v>
      </c>
    </row>
    <row r="12562">
      <c r="A12562" s="76" t="s">
        <v>26</v>
      </c>
      <c r="B12562" s="76" t="s">
        <v>1032</v>
      </c>
      <c r="C12562" s="84">
        <v>4.31</v>
      </c>
      <c r="D12562" s="84">
        <v>0.0</v>
      </c>
      <c r="E12562" s="84">
        <v>0.0</v>
      </c>
      <c r="F12562" s="76" t="s">
        <v>994</v>
      </c>
      <c r="G12562" s="83">
        <v>46121.0</v>
      </c>
      <c r="H12562" s="76" t="s">
        <v>1014</v>
      </c>
    </row>
    <row r="12563">
      <c r="A12563" s="76" t="s">
        <v>28</v>
      </c>
      <c r="B12563" s="76" t="s">
        <v>1032</v>
      </c>
      <c r="C12563" s="84">
        <v>0.11</v>
      </c>
      <c r="D12563" s="84">
        <v>0.0</v>
      </c>
      <c r="E12563" s="84">
        <v>0.0</v>
      </c>
      <c r="F12563" s="76" t="s">
        <v>994</v>
      </c>
      <c r="G12563" s="83">
        <v>46121.0</v>
      </c>
      <c r="H12563" s="76" t="s">
        <v>931</v>
      </c>
    </row>
    <row r="12564">
      <c r="A12564" s="76" t="s">
        <v>28</v>
      </c>
      <c r="B12564" s="76" t="s">
        <v>1032</v>
      </c>
      <c r="C12564" s="84">
        <v>0.08</v>
      </c>
      <c r="D12564" s="84">
        <v>0.0</v>
      </c>
      <c r="E12564" s="84">
        <v>0.0</v>
      </c>
      <c r="F12564" s="76" t="s">
        <v>994</v>
      </c>
      <c r="G12564" s="83">
        <v>46121.0</v>
      </c>
      <c r="H12564" s="76" t="s">
        <v>932</v>
      </c>
    </row>
    <row r="12565">
      <c r="A12565" s="76" t="s">
        <v>28</v>
      </c>
      <c r="B12565" s="76" t="s">
        <v>1032</v>
      </c>
      <c r="C12565" s="84">
        <v>0.55</v>
      </c>
      <c r="D12565" s="84">
        <v>1.0</v>
      </c>
      <c r="E12565" s="84">
        <v>0.55</v>
      </c>
      <c r="F12565" s="76" t="s">
        <v>994</v>
      </c>
      <c r="G12565" s="83">
        <v>46121.0</v>
      </c>
      <c r="H12565" s="76" t="s">
        <v>933</v>
      </c>
    </row>
    <row r="12566">
      <c r="A12566" s="76" t="s">
        <v>1043</v>
      </c>
      <c r="B12566" s="76" t="s">
        <v>1032</v>
      </c>
      <c r="C12566" s="84">
        <v>0.04</v>
      </c>
      <c r="D12566" s="84">
        <v>0.0</v>
      </c>
      <c r="E12566" s="84">
        <v>0.0</v>
      </c>
      <c r="F12566" s="76" t="s">
        <v>994</v>
      </c>
      <c r="G12566" s="83">
        <v>46121.0</v>
      </c>
      <c r="H12566" s="76" t="s">
        <v>1044</v>
      </c>
    </row>
    <row r="12567">
      <c r="A12567" s="76" t="s">
        <v>52</v>
      </c>
      <c r="B12567" s="76" t="s">
        <v>1032</v>
      </c>
      <c r="C12567" s="84">
        <v>0.08</v>
      </c>
      <c r="D12567" s="84">
        <v>0.0</v>
      </c>
      <c r="E12567" s="84">
        <v>0.0</v>
      </c>
      <c r="F12567" s="76" t="s">
        <v>994</v>
      </c>
      <c r="G12567" s="83">
        <v>46121.0</v>
      </c>
      <c r="H12567" s="76" t="s">
        <v>1045</v>
      </c>
    </row>
    <row r="12568">
      <c r="A12568" s="76" t="s">
        <v>49</v>
      </c>
      <c r="B12568" s="76" t="s">
        <v>1032</v>
      </c>
      <c r="C12568" s="84">
        <v>0.17</v>
      </c>
      <c r="D12568" s="84">
        <v>0.0</v>
      </c>
      <c r="E12568" s="84">
        <v>0.0</v>
      </c>
      <c r="F12568" s="76" t="s">
        <v>994</v>
      </c>
      <c r="G12568" s="83">
        <v>46121.0</v>
      </c>
      <c r="H12568" s="76" t="s">
        <v>1046</v>
      </c>
    </row>
    <row r="12569">
      <c r="A12569" s="76" t="s">
        <v>36</v>
      </c>
      <c r="B12569" s="76" t="s">
        <v>1032</v>
      </c>
      <c r="C12569" s="84">
        <v>1.63</v>
      </c>
      <c r="D12569" s="84">
        <v>0.0</v>
      </c>
      <c r="E12569" s="84">
        <v>0.0</v>
      </c>
      <c r="F12569" s="76" t="s">
        <v>998</v>
      </c>
      <c r="G12569" s="83">
        <v>46121.0</v>
      </c>
      <c r="H12569" s="76" t="s">
        <v>926</v>
      </c>
    </row>
    <row r="12570">
      <c r="A12570" s="76" t="s">
        <v>36</v>
      </c>
      <c r="B12570" s="76" t="s">
        <v>1032</v>
      </c>
      <c r="C12570" s="84">
        <v>0.33</v>
      </c>
      <c r="D12570" s="84">
        <v>0.0</v>
      </c>
      <c r="E12570" s="84">
        <v>0.0</v>
      </c>
      <c r="F12570" s="76" t="s">
        <v>998</v>
      </c>
      <c r="G12570" s="83">
        <v>46121.0</v>
      </c>
      <c r="H12570" s="76" t="s">
        <v>927</v>
      </c>
    </row>
    <row r="12571">
      <c r="A12571" s="76" t="s">
        <v>36</v>
      </c>
      <c r="B12571" s="76" t="s">
        <v>1032</v>
      </c>
      <c r="C12571" s="84">
        <v>0.63</v>
      </c>
      <c r="D12571" s="84">
        <v>0.0</v>
      </c>
      <c r="E12571" s="84">
        <v>0.0</v>
      </c>
      <c r="F12571" s="76" t="s">
        <v>998</v>
      </c>
      <c r="G12571" s="83">
        <v>46121.0</v>
      </c>
      <c r="H12571" s="76" t="s">
        <v>928</v>
      </c>
    </row>
    <row r="12572">
      <c r="A12572" s="76" t="s">
        <v>31</v>
      </c>
      <c r="B12572" s="76" t="s">
        <v>1032</v>
      </c>
      <c r="C12572" s="84">
        <v>2.25</v>
      </c>
      <c r="D12572" s="84">
        <v>2.0</v>
      </c>
      <c r="E12572" s="84">
        <v>1.13</v>
      </c>
      <c r="F12572" s="76" t="s">
        <v>998</v>
      </c>
      <c r="G12572" s="83">
        <v>46121.0</v>
      </c>
      <c r="H12572" s="76" t="s">
        <v>929</v>
      </c>
    </row>
    <row r="12573">
      <c r="A12573" s="76" t="s">
        <v>31</v>
      </c>
      <c r="B12573" s="76" t="s">
        <v>1032</v>
      </c>
      <c r="C12573" s="84">
        <v>8.09</v>
      </c>
      <c r="D12573" s="84">
        <v>4.0</v>
      </c>
      <c r="E12573" s="84">
        <v>2.02</v>
      </c>
      <c r="F12573" s="76" t="s">
        <v>998</v>
      </c>
      <c r="G12573" s="83">
        <v>46121.0</v>
      </c>
      <c r="H12573" s="76" t="s">
        <v>930</v>
      </c>
    </row>
    <row r="12574">
      <c r="A12574" s="76" t="s">
        <v>28</v>
      </c>
      <c r="B12574" s="76" t="s">
        <v>1032</v>
      </c>
      <c r="C12574" s="84">
        <v>0.36</v>
      </c>
      <c r="D12574" s="84">
        <v>0.0</v>
      </c>
      <c r="E12574" s="84">
        <v>0.0</v>
      </c>
      <c r="F12574" s="76" t="s">
        <v>998</v>
      </c>
      <c r="G12574" s="83">
        <v>46121.0</v>
      </c>
      <c r="H12574" s="76" t="s">
        <v>931</v>
      </c>
    </row>
    <row r="12575">
      <c r="A12575" s="76" t="s">
        <v>28</v>
      </c>
      <c r="B12575" s="76" t="s">
        <v>1032</v>
      </c>
      <c r="C12575" s="84">
        <v>0.19</v>
      </c>
      <c r="D12575" s="84">
        <v>1.0</v>
      </c>
      <c r="E12575" s="84">
        <v>0.19</v>
      </c>
      <c r="F12575" s="76" t="s">
        <v>998</v>
      </c>
      <c r="G12575" s="83">
        <v>46121.0</v>
      </c>
      <c r="H12575" s="76" t="s">
        <v>932</v>
      </c>
    </row>
    <row r="12576">
      <c r="A12576" s="76" t="s">
        <v>28</v>
      </c>
      <c r="B12576" s="76" t="s">
        <v>1032</v>
      </c>
      <c r="C12576" s="84">
        <v>2.86</v>
      </c>
      <c r="D12576" s="84">
        <v>0.0</v>
      </c>
      <c r="E12576" s="84">
        <v>0.0</v>
      </c>
      <c r="F12576" s="76" t="s">
        <v>998</v>
      </c>
      <c r="G12576" s="83">
        <v>46121.0</v>
      </c>
      <c r="H12576" s="76" t="s">
        <v>933</v>
      </c>
    </row>
    <row r="12577">
      <c r="A12577" s="76" t="s">
        <v>944</v>
      </c>
      <c r="B12577" s="76" t="s">
        <v>1032</v>
      </c>
      <c r="C12577" s="84">
        <v>1.31</v>
      </c>
      <c r="D12577" s="84">
        <v>0.0</v>
      </c>
      <c r="E12577" s="84">
        <v>0.0</v>
      </c>
      <c r="F12577" s="76" t="s">
        <v>998</v>
      </c>
      <c r="G12577" s="83">
        <v>46121.0</v>
      </c>
      <c r="H12577" s="76" t="s">
        <v>945</v>
      </c>
    </row>
    <row r="12578">
      <c r="A12578" s="76" t="s">
        <v>944</v>
      </c>
      <c r="B12578" s="76" t="s">
        <v>1032</v>
      </c>
      <c r="C12578" s="84">
        <v>0.54</v>
      </c>
      <c r="D12578" s="84">
        <v>1.0</v>
      </c>
      <c r="E12578" s="84">
        <v>0.54</v>
      </c>
      <c r="F12578" s="76" t="s">
        <v>998</v>
      </c>
      <c r="G12578" s="83">
        <v>46121.0</v>
      </c>
      <c r="H12578" s="76" t="s">
        <v>946</v>
      </c>
    </row>
    <row r="12579">
      <c r="A12579" s="76" t="s">
        <v>944</v>
      </c>
      <c r="B12579" s="76" t="s">
        <v>1032</v>
      </c>
      <c r="C12579" s="84">
        <v>1.05</v>
      </c>
      <c r="D12579" s="84">
        <v>0.0</v>
      </c>
      <c r="E12579" s="84">
        <v>0.0</v>
      </c>
      <c r="F12579" s="76" t="s">
        <v>998</v>
      </c>
      <c r="G12579" s="83">
        <v>46121.0</v>
      </c>
      <c r="H12579" s="76" t="s">
        <v>947</v>
      </c>
    </row>
    <row r="12580">
      <c r="A12580" s="76" t="s">
        <v>45</v>
      </c>
      <c r="B12580" s="76" t="s">
        <v>1032</v>
      </c>
      <c r="C12580" s="84">
        <v>0.12</v>
      </c>
      <c r="D12580" s="84">
        <v>0.0</v>
      </c>
      <c r="E12580" s="84">
        <v>0.0</v>
      </c>
      <c r="F12580" s="76" t="s">
        <v>998</v>
      </c>
      <c r="G12580" s="83">
        <v>46121.0</v>
      </c>
      <c r="H12580" s="76" t="s">
        <v>936</v>
      </c>
    </row>
    <row r="12581">
      <c r="A12581" s="76" t="s">
        <v>45</v>
      </c>
      <c r="B12581" s="76" t="s">
        <v>1032</v>
      </c>
      <c r="C12581" s="84">
        <v>0.61</v>
      </c>
      <c r="D12581" s="84">
        <v>0.0</v>
      </c>
      <c r="E12581" s="84">
        <v>0.0</v>
      </c>
      <c r="F12581" s="76" t="s">
        <v>998</v>
      </c>
      <c r="G12581" s="83">
        <v>46121.0</v>
      </c>
      <c r="H12581" s="76" t="s">
        <v>937</v>
      </c>
    </row>
    <row r="12582">
      <c r="A12582" s="76" t="s">
        <v>45</v>
      </c>
      <c r="B12582" s="76" t="s">
        <v>1032</v>
      </c>
      <c r="C12582" s="84">
        <v>0.12</v>
      </c>
      <c r="D12582" s="84">
        <v>0.0</v>
      </c>
      <c r="E12582" s="84">
        <v>0.0</v>
      </c>
      <c r="F12582" s="76" t="s">
        <v>998</v>
      </c>
      <c r="G12582" s="83">
        <v>46121.0</v>
      </c>
      <c r="H12582" s="76" t="s">
        <v>938</v>
      </c>
    </row>
    <row r="12583">
      <c r="A12583" s="76" t="s">
        <v>32</v>
      </c>
      <c r="B12583" s="76" t="s">
        <v>1032</v>
      </c>
      <c r="C12583" s="84">
        <v>1.87</v>
      </c>
      <c r="D12583" s="84">
        <v>0.0</v>
      </c>
      <c r="E12583" s="84">
        <v>0.0</v>
      </c>
      <c r="F12583" s="76" t="s">
        <v>998</v>
      </c>
      <c r="G12583" s="83">
        <v>46121.0</v>
      </c>
      <c r="H12583" s="76" t="s">
        <v>941</v>
      </c>
    </row>
    <row r="12584">
      <c r="A12584" s="76" t="s">
        <v>32</v>
      </c>
      <c r="B12584" s="76" t="s">
        <v>1032</v>
      </c>
      <c r="C12584" s="84">
        <v>0.41</v>
      </c>
      <c r="D12584" s="84">
        <v>1.0</v>
      </c>
      <c r="E12584" s="84">
        <v>0.41</v>
      </c>
      <c r="F12584" s="76" t="s">
        <v>998</v>
      </c>
      <c r="G12584" s="83">
        <v>46121.0</v>
      </c>
      <c r="H12584" s="76" t="s">
        <v>942</v>
      </c>
    </row>
    <row r="12585">
      <c r="A12585" s="76" t="s">
        <v>32</v>
      </c>
      <c r="B12585" s="76" t="s">
        <v>1032</v>
      </c>
      <c r="C12585" s="84">
        <v>1.3</v>
      </c>
      <c r="D12585" s="84">
        <v>0.0</v>
      </c>
      <c r="E12585" s="84">
        <v>0.0</v>
      </c>
      <c r="F12585" s="76" t="s">
        <v>998</v>
      </c>
      <c r="G12585" s="83">
        <v>46121.0</v>
      </c>
      <c r="H12585" s="76" t="s">
        <v>943</v>
      </c>
    </row>
    <row r="12586">
      <c r="A12586" s="76" t="s">
        <v>26</v>
      </c>
      <c r="B12586" s="76" t="s">
        <v>1032</v>
      </c>
      <c r="C12586" s="84">
        <v>0.28</v>
      </c>
      <c r="D12586" s="84">
        <v>0.0</v>
      </c>
      <c r="E12586" s="84">
        <v>0.0</v>
      </c>
      <c r="F12586" s="76" t="s">
        <v>998</v>
      </c>
      <c r="G12586" s="83">
        <v>46121.0</v>
      </c>
      <c r="H12586" s="76" t="s">
        <v>1012</v>
      </c>
    </row>
    <row r="12587">
      <c r="A12587" s="76" t="s">
        <v>26</v>
      </c>
      <c r="B12587" s="76" t="s">
        <v>1032</v>
      </c>
      <c r="C12587" s="84">
        <v>0.29</v>
      </c>
      <c r="D12587" s="84">
        <v>0.0</v>
      </c>
      <c r="E12587" s="84">
        <v>0.0</v>
      </c>
      <c r="F12587" s="76" t="s">
        <v>998</v>
      </c>
      <c r="G12587" s="83">
        <v>46121.0</v>
      </c>
      <c r="H12587" s="76" t="s">
        <v>1013</v>
      </c>
    </row>
    <row r="12588">
      <c r="A12588" s="76" t="s">
        <v>26</v>
      </c>
      <c r="B12588" s="76" t="s">
        <v>1032</v>
      </c>
      <c r="C12588" s="84">
        <v>6.64</v>
      </c>
      <c r="D12588" s="84">
        <v>4.0</v>
      </c>
      <c r="E12588" s="84">
        <v>1.66</v>
      </c>
      <c r="F12588" s="76" t="s">
        <v>998</v>
      </c>
      <c r="G12588" s="83">
        <v>46121.0</v>
      </c>
      <c r="H12588" s="76" t="s">
        <v>1014</v>
      </c>
    </row>
    <row r="12589">
      <c r="A12589" s="76" t="s">
        <v>1043</v>
      </c>
      <c r="B12589" s="76" t="s">
        <v>1032</v>
      </c>
      <c r="C12589" s="84">
        <v>0.11</v>
      </c>
      <c r="D12589" s="84">
        <v>0.0</v>
      </c>
      <c r="E12589" s="84">
        <v>0.0</v>
      </c>
      <c r="F12589" s="76" t="s">
        <v>998</v>
      </c>
      <c r="G12589" s="83">
        <v>46121.0</v>
      </c>
      <c r="H12589" s="76" t="s">
        <v>1044</v>
      </c>
    </row>
    <row r="12590">
      <c r="A12590" s="76" t="s">
        <v>52</v>
      </c>
      <c r="B12590" s="76" t="s">
        <v>1032</v>
      </c>
      <c r="C12590" s="84">
        <v>0.08</v>
      </c>
      <c r="D12590" s="84">
        <v>0.0</v>
      </c>
      <c r="E12590" s="84">
        <v>0.0</v>
      </c>
      <c r="F12590" s="76" t="s">
        <v>998</v>
      </c>
      <c r="G12590" s="83">
        <v>46121.0</v>
      </c>
      <c r="H12590" s="76" t="s">
        <v>1045</v>
      </c>
    </row>
    <row r="12591">
      <c r="A12591" s="76" t="s">
        <v>49</v>
      </c>
      <c r="B12591" s="76" t="s">
        <v>1032</v>
      </c>
      <c r="C12591" s="84">
        <v>0.1</v>
      </c>
      <c r="D12591" s="84">
        <v>0.0</v>
      </c>
      <c r="E12591" s="84">
        <v>0.0</v>
      </c>
      <c r="F12591" s="76" t="s">
        <v>998</v>
      </c>
      <c r="G12591" s="83">
        <v>46121.0</v>
      </c>
      <c r="H12591" s="76" t="s">
        <v>1046</v>
      </c>
    </row>
    <row r="12592">
      <c r="A12592" s="76" t="s">
        <v>36</v>
      </c>
      <c r="B12592" s="76" t="s">
        <v>1042</v>
      </c>
      <c r="C12592" s="84">
        <v>6.42</v>
      </c>
      <c r="D12592" s="84">
        <v>2.0</v>
      </c>
      <c r="E12592" s="84">
        <v>3.21</v>
      </c>
      <c r="F12592" s="76" t="s">
        <v>996</v>
      </c>
      <c r="G12592" s="83">
        <v>46121.0</v>
      </c>
      <c r="H12592" s="76" t="s">
        <v>926</v>
      </c>
    </row>
    <row r="12593">
      <c r="A12593" s="76" t="s">
        <v>36</v>
      </c>
      <c r="B12593" s="76" t="s">
        <v>1042</v>
      </c>
      <c r="C12593" s="84">
        <v>1.58</v>
      </c>
      <c r="D12593" s="84">
        <v>0.0</v>
      </c>
      <c r="E12593" s="84">
        <v>0.0</v>
      </c>
      <c r="F12593" s="76" t="s">
        <v>996</v>
      </c>
      <c r="G12593" s="83">
        <v>46121.0</v>
      </c>
      <c r="H12593" s="76" t="s">
        <v>927</v>
      </c>
    </row>
    <row r="12594">
      <c r="A12594" s="76" t="s">
        <v>36</v>
      </c>
      <c r="B12594" s="76" t="s">
        <v>1042</v>
      </c>
      <c r="C12594" s="84">
        <v>7.47</v>
      </c>
      <c r="D12594" s="84">
        <v>5.0</v>
      </c>
      <c r="E12594" s="84">
        <v>1.49</v>
      </c>
      <c r="F12594" s="76" t="s">
        <v>996</v>
      </c>
      <c r="G12594" s="83">
        <v>46121.0</v>
      </c>
      <c r="H12594" s="76" t="s">
        <v>928</v>
      </c>
    </row>
    <row r="12595">
      <c r="A12595" s="76" t="s">
        <v>28</v>
      </c>
      <c r="B12595" s="76" t="s">
        <v>1042</v>
      </c>
      <c r="C12595" s="84">
        <v>1.89</v>
      </c>
      <c r="D12595" s="84">
        <v>0.0</v>
      </c>
      <c r="E12595" s="84">
        <v>0.0</v>
      </c>
      <c r="F12595" s="76" t="s">
        <v>996</v>
      </c>
      <c r="G12595" s="83">
        <v>46121.0</v>
      </c>
      <c r="H12595" s="76" t="s">
        <v>931</v>
      </c>
    </row>
    <row r="12596">
      <c r="A12596" s="76" t="s">
        <v>28</v>
      </c>
      <c r="B12596" s="76" t="s">
        <v>1042</v>
      </c>
      <c r="C12596" s="84">
        <v>2.69</v>
      </c>
      <c r="D12596" s="84">
        <v>0.0</v>
      </c>
      <c r="E12596" s="84">
        <v>0.0</v>
      </c>
      <c r="F12596" s="76" t="s">
        <v>996</v>
      </c>
      <c r="G12596" s="83">
        <v>46121.0</v>
      </c>
      <c r="H12596" s="76" t="s">
        <v>932</v>
      </c>
    </row>
    <row r="12597">
      <c r="A12597" s="76" t="s">
        <v>28</v>
      </c>
      <c r="B12597" s="76" t="s">
        <v>1042</v>
      </c>
      <c r="C12597" s="84">
        <v>11.09</v>
      </c>
      <c r="D12597" s="84">
        <v>2.0</v>
      </c>
      <c r="E12597" s="84">
        <v>5.54</v>
      </c>
      <c r="F12597" s="76" t="s">
        <v>996</v>
      </c>
      <c r="G12597" s="83">
        <v>46121.0</v>
      </c>
      <c r="H12597" s="76" t="s">
        <v>933</v>
      </c>
    </row>
    <row r="12598">
      <c r="A12598" s="76" t="s">
        <v>34</v>
      </c>
      <c r="B12598" s="76" t="s">
        <v>1042</v>
      </c>
      <c r="C12598" s="84">
        <v>3.38</v>
      </c>
      <c r="D12598" s="84">
        <v>1.0</v>
      </c>
      <c r="E12598" s="84">
        <v>3.38</v>
      </c>
      <c r="F12598" s="76" t="s">
        <v>996</v>
      </c>
      <c r="G12598" s="83">
        <v>46121.0</v>
      </c>
      <c r="H12598" s="76" t="s">
        <v>951</v>
      </c>
    </row>
    <row r="12599">
      <c r="A12599" s="76" t="s">
        <v>34</v>
      </c>
      <c r="B12599" s="76" t="s">
        <v>1042</v>
      </c>
      <c r="C12599" s="84">
        <v>8.03</v>
      </c>
      <c r="D12599" s="84">
        <v>3.0</v>
      </c>
      <c r="E12599" s="84">
        <v>2.68</v>
      </c>
      <c r="F12599" s="76" t="s">
        <v>996</v>
      </c>
      <c r="G12599" s="83">
        <v>46121.0</v>
      </c>
      <c r="H12599" s="76" t="s">
        <v>952</v>
      </c>
    </row>
    <row r="12600">
      <c r="A12600" s="76" t="s">
        <v>34</v>
      </c>
      <c r="B12600" s="76" t="s">
        <v>1042</v>
      </c>
      <c r="C12600" s="84">
        <v>1.75</v>
      </c>
      <c r="D12600" s="84">
        <v>1.0</v>
      </c>
      <c r="E12600" s="84">
        <v>1.75</v>
      </c>
      <c r="F12600" s="76" t="s">
        <v>996</v>
      </c>
      <c r="G12600" s="83">
        <v>46121.0</v>
      </c>
      <c r="H12600" s="76" t="s">
        <v>953</v>
      </c>
    </row>
    <row r="12601">
      <c r="A12601" s="76" t="s">
        <v>1043</v>
      </c>
      <c r="B12601" s="76" t="s">
        <v>1042</v>
      </c>
      <c r="C12601" s="84">
        <v>2.14</v>
      </c>
      <c r="D12601" s="84">
        <v>0.0</v>
      </c>
      <c r="E12601" s="84">
        <v>0.0</v>
      </c>
      <c r="F12601" s="76" t="s">
        <v>996</v>
      </c>
      <c r="G12601" s="83">
        <v>46121.0</v>
      </c>
      <c r="H12601" s="76" t="s">
        <v>1044</v>
      </c>
    </row>
    <row r="12602">
      <c r="A12602" s="76" t="s">
        <v>52</v>
      </c>
      <c r="B12602" s="76" t="s">
        <v>1042</v>
      </c>
      <c r="C12602" s="84">
        <v>1.32</v>
      </c>
      <c r="D12602" s="84">
        <v>0.0</v>
      </c>
      <c r="E12602" s="84">
        <v>0.0</v>
      </c>
      <c r="F12602" s="76" t="s">
        <v>996</v>
      </c>
      <c r="G12602" s="83">
        <v>46121.0</v>
      </c>
      <c r="H12602" s="76" t="s">
        <v>1045</v>
      </c>
    </row>
    <row r="12603">
      <c r="A12603" s="76" t="s">
        <v>49</v>
      </c>
      <c r="B12603" s="76" t="s">
        <v>1042</v>
      </c>
      <c r="C12603" s="84">
        <v>1.49</v>
      </c>
      <c r="D12603" s="84">
        <v>0.0</v>
      </c>
      <c r="E12603" s="84">
        <v>0.0</v>
      </c>
      <c r="F12603" s="76" t="s">
        <v>996</v>
      </c>
      <c r="G12603" s="83">
        <v>46121.0</v>
      </c>
      <c r="H12603" s="76" t="s">
        <v>1046</v>
      </c>
    </row>
    <row r="12604">
      <c r="A12604" s="76" t="s">
        <v>36</v>
      </c>
      <c r="B12604" s="76" t="s">
        <v>1042</v>
      </c>
      <c r="C12604" s="84">
        <v>348.84</v>
      </c>
      <c r="D12604" s="84">
        <v>83.0</v>
      </c>
      <c r="E12604" s="84">
        <v>4.2</v>
      </c>
      <c r="F12604" s="76" t="s">
        <v>1005</v>
      </c>
      <c r="G12604" s="83">
        <v>46121.0</v>
      </c>
      <c r="H12604" s="76" t="s">
        <v>926</v>
      </c>
    </row>
    <row r="12605">
      <c r="A12605" s="76" t="s">
        <v>36</v>
      </c>
      <c r="B12605" s="76" t="s">
        <v>1042</v>
      </c>
      <c r="C12605" s="84">
        <v>23.61</v>
      </c>
      <c r="D12605" s="84">
        <v>3.0</v>
      </c>
      <c r="E12605" s="84">
        <v>7.87</v>
      </c>
      <c r="F12605" s="76" t="s">
        <v>1005</v>
      </c>
      <c r="G12605" s="83">
        <v>46121.0</v>
      </c>
      <c r="H12605" s="76" t="s">
        <v>927</v>
      </c>
    </row>
    <row r="12606">
      <c r="A12606" s="76" t="s">
        <v>36</v>
      </c>
      <c r="B12606" s="76" t="s">
        <v>1042</v>
      </c>
      <c r="C12606" s="84">
        <v>71.49</v>
      </c>
      <c r="D12606" s="84">
        <v>11.0</v>
      </c>
      <c r="E12606" s="84">
        <v>6.5</v>
      </c>
      <c r="F12606" s="76" t="s">
        <v>1005</v>
      </c>
      <c r="G12606" s="83">
        <v>46121.0</v>
      </c>
      <c r="H12606" s="76" t="s">
        <v>928</v>
      </c>
    </row>
    <row r="12607">
      <c r="A12607" s="76" t="s">
        <v>28</v>
      </c>
      <c r="B12607" s="76" t="s">
        <v>1042</v>
      </c>
      <c r="C12607" s="84">
        <v>75.59</v>
      </c>
      <c r="D12607" s="84">
        <v>17.0</v>
      </c>
      <c r="E12607" s="84">
        <v>4.45</v>
      </c>
      <c r="F12607" s="76" t="s">
        <v>1005</v>
      </c>
      <c r="G12607" s="83">
        <v>46121.0</v>
      </c>
      <c r="H12607" s="76" t="s">
        <v>931</v>
      </c>
    </row>
    <row r="12608">
      <c r="A12608" s="76" t="s">
        <v>28</v>
      </c>
      <c r="B12608" s="76" t="s">
        <v>1042</v>
      </c>
      <c r="C12608" s="84">
        <v>40.1</v>
      </c>
      <c r="D12608" s="84">
        <v>5.0</v>
      </c>
      <c r="E12608" s="84">
        <v>8.02</v>
      </c>
      <c r="F12608" s="76" t="s">
        <v>1005</v>
      </c>
      <c r="G12608" s="83">
        <v>46121.0</v>
      </c>
      <c r="H12608" s="76" t="s">
        <v>932</v>
      </c>
    </row>
    <row r="12609">
      <c r="A12609" s="76" t="s">
        <v>28</v>
      </c>
      <c r="B12609" s="76" t="s">
        <v>1042</v>
      </c>
      <c r="C12609" s="84">
        <v>1026.08</v>
      </c>
      <c r="D12609" s="84">
        <v>225.0</v>
      </c>
      <c r="E12609" s="84">
        <v>4.56</v>
      </c>
      <c r="F12609" s="76" t="s">
        <v>1005</v>
      </c>
      <c r="G12609" s="83">
        <v>46121.0</v>
      </c>
      <c r="H12609" s="76" t="s">
        <v>933</v>
      </c>
    </row>
    <row r="12610">
      <c r="A12610" s="76" t="s">
        <v>34</v>
      </c>
      <c r="B12610" s="76" t="s">
        <v>1042</v>
      </c>
      <c r="C12610" s="84">
        <v>55.23</v>
      </c>
      <c r="D12610" s="84">
        <v>6.0</v>
      </c>
      <c r="E12610" s="84">
        <v>9.2</v>
      </c>
      <c r="F12610" s="76" t="s">
        <v>1005</v>
      </c>
      <c r="G12610" s="83">
        <v>46121.0</v>
      </c>
      <c r="H12610" s="76" t="s">
        <v>951</v>
      </c>
    </row>
    <row r="12611">
      <c r="A12611" s="76" t="s">
        <v>34</v>
      </c>
      <c r="B12611" s="76" t="s">
        <v>1042</v>
      </c>
      <c r="C12611" s="84">
        <v>228.35</v>
      </c>
      <c r="D12611" s="84">
        <v>37.0</v>
      </c>
      <c r="E12611" s="84">
        <v>6.17</v>
      </c>
      <c r="F12611" s="76" t="s">
        <v>1005</v>
      </c>
      <c r="G12611" s="83">
        <v>46121.0</v>
      </c>
      <c r="H12611" s="76" t="s">
        <v>952</v>
      </c>
    </row>
    <row r="12612">
      <c r="A12612" s="76" t="s">
        <v>34</v>
      </c>
      <c r="B12612" s="76" t="s">
        <v>1042</v>
      </c>
      <c r="C12612" s="84">
        <v>24.1</v>
      </c>
      <c r="D12612" s="84">
        <v>5.0</v>
      </c>
      <c r="E12612" s="84">
        <v>4.82</v>
      </c>
      <c r="F12612" s="76" t="s">
        <v>1005</v>
      </c>
      <c r="G12612" s="83">
        <v>46121.0</v>
      </c>
      <c r="H12612" s="76" t="s">
        <v>953</v>
      </c>
    </row>
    <row r="12613">
      <c r="A12613" s="76" t="s">
        <v>49</v>
      </c>
      <c r="B12613" s="76" t="s">
        <v>1042</v>
      </c>
      <c r="C12613" s="84">
        <v>75.22</v>
      </c>
      <c r="D12613" s="84">
        <v>11.0</v>
      </c>
      <c r="E12613" s="84">
        <v>6.84</v>
      </c>
      <c r="F12613" s="76" t="s">
        <v>1005</v>
      </c>
      <c r="G12613" s="83">
        <v>46121.0</v>
      </c>
      <c r="H12613" s="76" t="s">
        <v>1046</v>
      </c>
    </row>
    <row r="12614">
      <c r="A12614" s="76" t="s">
        <v>52</v>
      </c>
      <c r="B12614" s="76" t="s">
        <v>1042</v>
      </c>
      <c r="C12614" s="84">
        <v>27.91</v>
      </c>
      <c r="D12614" s="84">
        <v>2.0</v>
      </c>
      <c r="E12614" s="84">
        <v>13.95</v>
      </c>
      <c r="F12614" s="76" t="s">
        <v>1005</v>
      </c>
      <c r="G12614" s="83">
        <v>46121.0</v>
      </c>
      <c r="H12614" s="76" t="s">
        <v>1045</v>
      </c>
    </row>
    <row r="12615">
      <c r="A12615" s="76" t="s">
        <v>1043</v>
      </c>
      <c r="B12615" s="76" t="s">
        <v>1042</v>
      </c>
      <c r="C12615" s="84">
        <v>56.67</v>
      </c>
      <c r="D12615" s="84">
        <v>5.0</v>
      </c>
      <c r="E12615" s="84">
        <v>11.33</v>
      </c>
      <c r="F12615" s="76" t="s">
        <v>1005</v>
      </c>
      <c r="G12615" s="83">
        <v>46121.0</v>
      </c>
      <c r="H12615" s="76" t="s">
        <v>1044</v>
      </c>
    </row>
    <row r="12616">
      <c r="A12616" s="76" t="s">
        <v>36</v>
      </c>
      <c r="B12616" s="76" t="s">
        <v>1042</v>
      </c>
      <c r="C12616" s="84">
        <v>70.13</v>
      </c>
      <c r="D12616" s="84">
        <v>18.0</v>
      </c>
      <c r="E12616" s="84">
        <v>3.9</v>
      </c>
      <c r="F12616" s="76" t="s">
        <v>990</v>
      </c>
      <c r="G12616" s="83">
        <v>46121.0</v>
      </c>
      <c r="H12616" s="76" t="s">
        <v>926</v>
      </c>
    </row>
    <row r="12617">
      <c r="A12617" s="76" t="s">
        <v>36</v>
      </c>
      <c r="B12617" s="76" t="s">
        <v>1042</v>
      </c>
      <c r="C12617" s="84">
        <v>5.28</v>
      </c>
      <c r="D12617" s="84">
        <v>1.0</v>
      </c>
      <c r="E12617" s="84">
        <v>5.28</v>
      </c>
      <c r="F12617" s="76" t="s">
        <v>990</v>
      </c>
      <c r="G12617" s="83">
        <v>46121.0</v>
      </c>
      <c r="H12617" s="76" t="s">
        <v>927</v>
      </c>
    </row>
    <row r="12618">
      <c r="A12618" s="76" t="s">
        <v>36</v>
      </c>
      <c r="B12618" s="76" t="s">
        <v>1042</v>
      </c>
      <c r="C12618" s="84">
        <v>13.64</v>
      </c>
      <c r="D12618" s="84">
        <v>4.0</v>
      </c>
      <c r="E12618" s="84">
        <v>3.41</v>
      </c>
      <c r="F12618" s="76" t="s">
        <v>990</v>
      </c>
      <c r="G12618" s="83">
        <v>46121.0</v>
      </c>
      <c r="H12618" s="76" t="s">
        <v>928</v>
      </c>
    </row>
    <row r="12619">
      <c r="A12619" s="76" t="s">
        <v>28</v>
      </c>
      <c r="B12619" s="76" t="s">
        <v>1042</v>
      </c>
      <c r="C12619" s="84">
        <v>9.12</v>
      </c>
      <c r="D12619" s="84">
        <v>1.0</v>
      </c>
      <c r="E12619" s="84">
        <v>9.12</v>
      </c>
      <c r="F12619" s="76" t="s">
        <v>990</v>
      </c>
      <c r="G12619" s="83">
        <v>46121.0</v>
      </c>
      <c r="H12619" s="76" t="s">
        <v>931</v>
      </c>
    </row>
    <row r="12620">
      <c r="A12620" s="76" t="s">
        <v>28</v>
      </c>
      <c r="B12620" s="76" t="s">
        <v>1042</v>
      </c>
      <c r="C12620" s="84">
        <v>10.02</v>
      </c>
      <c r="D12620" s="84">
        <v>1.0</v>
      </c>
      <c r="E12620" s="84">
        <v>10.02</v>
      </c>
      <c r="F12620" s="76" t="s">
        <v>990</v>
      </c>
      <c r="G12620" s="83">
        <v>46121.0</v>
      </c>
      <c r="H12620" s="76" t="s">
        <v>932</v>
      </c>
    </row>
    <row r="12621">
      <c r="A12621" s="76" t="s">
        <v>28</v>
      </c>
      <c r="B12621" s="76" t="s">
        <v>1042</v>
      </c>
      <c r="C12621" s="84">
        <v>183.56</v>
      </c>
      <c r="D12621" s="84">
        <v>31.0</v>
      </c>
      <c r="E12621" s="84">
        <v>5.92</v>
      </c>
      <c r="F12621" s="76" t="s">
        <v>990</v>
      </c>
      <c r="G12621" s="83">
        <v>46121.0</v>
      </c>
      <c r="H12621" s="76" t="s">
        <v>933</v>
      </c>
    </row>
    <row r="12622">
      <c r="A12622" s="76" t="s">
        <v>34</v>
      </c>
      <c r="B12622" s="76" t="s">
        <v>1042</v>
      </c>
      <c r="C12622" s="84">
        <v>19.53</v>
      </c>
      <c r="D12622" s="84">
        <v>2.0</v>
      </c>
      <c r="E12622" s="84">
        <v>9.77</v>
      </c>
      <c r="F12622" s="76" t="s">
        <v>990</v>
      </c>
      <c r="G12622" s="83">
        <v>46121.0</v>
      </c>
      <c r="H12622" s="76" t="s">
        <v>951</v>
      </c>
    </row>
    <row r="12623">
      <c r="A12623" s="76" t="s">
        <v>34</v>
      </c>
      <c r="B12623" s="76" t="s">
        <v>1042</v>
      </c>
      <c r="C12623" s="84">
        <v>37.64</v>
      </c>
      <c r="D12623" s="84">
        <v>5.0</v>
      </c>
      <c r="E12623" s="84">
        <v>7.53</v>
      </c>
      <c r="F12623" s="76" t="s">
        <v>990</v>
      </c>
      <c r="G12623" s="83">
        <v>46121.0</v>
      </c>
      <c r="H12623" s="76" t="s">
        <v>952</v>
      </c>
    </row>
    <row r="12624">
      <c r="A12624" s="76" t="s">
        <v>34</v>
      </c>
      <c r="B12624" s="76" t="s">
        <v>1042</v>
      </c>
      <c r="C12624" s="84">
        <v>12.98</v>
      </c>
      <c r="D12624" s="84">
        <v>2.0</v>
      </c>
      <c r="E12624" s="84">
        <v>6.49</v>
      </c>
      <c r="F12624" s="76" t="s">
        <v>990</v>
      </c>
      <c r="G12624" s="83">
        <v>46121.0</v>
      </c>
      <c r="H12624" s="76" t="s">
        <v>953</v>
      </c>
    </row>
    <row r="12625">
      <c r="A12625" s="76" t="s">
        <v>1043</v>
      </c>
      <c r="B12625" s="76" t="s">
        <v>1042</v>
      </c>
      <c r="C12625" s="84">
        <v>11.83</v>
      </c>
      <c r="D12625" s="84">
        <v>1.0</v>
      </c>
      <c r="E12625" s="84">
        <v>11.83</v>
      </c>
      <c r="F12625" s="76" t="s">
        <v>990</v>
      </c>
      <c r="G12625" s="83">
        <v>46121.0</v>
      </c>
      <c r="H12625" s="76" t="s">
        <v>1044</v>
      </c>
    </row>
    <row r="12626">
      <c r="A12626" s="76" t="s">
        <v>52</v>
      </c>
      <c r="B12626" s="76" t="s">
        <v>1042</v>
      </c>
      <c r="C12626" s="84">
        <v>12.8</v>
      </c>
      <c r="D12626" s="84">
        <v>1.0</v>
      </c>
      <c r="E12626" s="84">
        <v>12.8</v>
      </c>
      <c r="F12626" s="76" t="s">
        <v>990</v>
      </c>
      <c r="G12626" s="83">
        <v>46121.0</v>
      </c>
      <c r="H12626" s="76" t="s">
        <v>1045</v>
      </c>
    </row>
    <row r="12627">
      <c r="A12627" s="76" t="s">
        <v>49</v>
      </c>
      <c r="B12627" s="76" t="s">
        <v>1042</v>
      </c>
      <c r="C12627" s="84">
        <v>10.21</v>
      </c>
      <c r="D12627" s="84">
        <v>0.0</v>
      </c>
      <c r="E12627" s="84">
        <v>0.0</v>
      </c>
      <c r="F12627" s="76" t="s">
        <v>990</v>
      </c>
      <c r="G12627" s="83">
        <v>46121.0</v>
      </c>
      <c r="H12627" s="76" t="s">
        <v>1046</v>
      </c>
    </row>
    <row r="12628">
      <c r="A12628" s="76" t="s">
        <v>36</v>
      </c>
      <c r="B12628" s="76" t="s">
        <v>1042</v>
      </c>
      <c r="C12628" s="84">
        <v>12.78</v>
      </c>
      <c r="D12628" s="84">
        <v>6.0</v>
      </c>
      <c r="E12628" s="84">
        <v>2.13</v>
      </c>
      <c r="F12628" s="76" t="s">
        <v>993</v>
      </c>
      <c r="G12628" s="83">
        <v>46121.0</v>
      </c>
      <c r="H12628" s="76" t="s">
        <v>926</v>
      </c>
    </row>
    <row r="12629">
      <c r="A12629" s="76" t="s">
        <v>36</v>
      </c>
      <c r="B12629" s="76" t="s">
        <v>1042</v>
      </c>
      <c r="C12629" s="84">
        <v>2.14</v>
      </c>
      <c r="D12629" s="84">
        <v>0.0</v>
      </c>
      <c r="E12629" s="84">
        <v>0.0</v>
      </c>
      <c r="F12629" s="76" t="s">
        <v>993</v>
      </c>
      <c r="G12629" s="83">
        <v>46121.0</v>
      </c>
      <c r="H12629" s="76" t="s">
        <v>927</v>
      </c>
    </row>
    <row r="12630">
      <c r="A12630" s="76" t="s">
        <v>36</v>
      </c>
      <c r="B12630" s="76" t="s">
        <v>1042</v>
      </c>
      <c r="C12630" s="84">
        <v>6.91</v>
      </c>
      <c r="D12630" s="84">
        <v>2.0</v>
      </c>
      <c r="E12630" s="84">
        <v>3.45</v>
      </c>
      <c r="F12630" s="76" t="s">
        <v>993</v>
      </c>
      <c r="G12630" s="83">
        <v>46121.0</v>
      </c>
      <c r="H12630" s="76" t="s">
        <v>928</v>
      </c>
    </row>
    <row r="12631">
      <c r="A12631" s="76" t="s">
        <v>28</v>
      </c>
      <c r="B12631" s="76" t="s">
        <v>1042</v>
      </c>
      <c r="C12631" s="84">
        <v>3.77</v>
      </c>
      <c r="D12631" s="84">
        <v>0.0</v>
      </c>
      <c r="E12631" s="84">
        <v>0.0</v>
      </c>
      <c r="F12631" s="76" t="s">
        <v>993</v>
      </c>
      <c r="G12631" s="83">
        <v>46121.0</v>
      </c>
      <c r="H12631" s="76" t="s">
        <v>931</v>
      </c>
    </row>
    <row r="12632">
      <c r="A12632" s="76" t="s">
        <v>28</v>
      </c>
      <c r="B12632" s="76" t="s">
        <v>1042</v>
      </c>
      <c r="C12632" s="84">
        <v>3.34</v>
      </c>
      <c r="D12632" s="84">
        <v>0.0</v>
      </c>
      <c r="E12632" s="84">
        <v>0.0</v>
      </c>
      <c r="F12632" s="76" t="s">
        <v>993</v>
      </c>
      <c r="G12632" s="83">
        <v>46121.0</v>
      </c>
      <c r="H12632" s="76" t="s">
        <v>932</v>
      </c>
    </row>
    <row r="12633">
      <c r="A12633" s="76" t="s">
        <v>28</v>
      </c>
      <c r="B12633" s="76" t="s">
        <v>1042</v>
      </c>
      <c r="C12633" s="84">
        <v>36.11</v>
      </c>
      <c r="D12633" s="84">
        <v>9.0</v>
      </c>
      <c r="E12633" s="84">
        <v>4.01</v>
      </c>
      <c r="F12633" s="76" t="s">
        <v>993</v>
      </c>
      <c r="G12633" s="83">
        <v>46121.0</v>
      </c>
      <c r="H12633" s="76" t="s">
        <v>933</v>
      </c>
    </row>
    <row r="12634">
      <c r="A12634" s="76" t="s">
        <v>34</v>
      </c>
      <c r="B12634" s="76" t="s">
        <v>1042</v>
      </c>
      <c r="C12634" s="84">
        <v>9.15</v>
      </c>
      <c r="D12634" s="84">
        <v>0.0</v>
      </c>
      <c r="E12634" s="84">
        <v>0.0</v>
      </c>
      <c r="F12634" s="76" t="s">
        <v>993</v>
      </c>
      <c r="G12634" s="83">
        <v>46121.0</v>
      </c>
      <c r="H12634" s="76" t="s">
        <v>951</v>
      </c>
    </row>
    <row r="12635">
      <c r="A12635" s="76" t="s">
        <v>34</v>
      </c>
      <c r="B12635" s="76" t="s">
        <v>1042</v>
      </c>
      <c r="C12635" s="84">
        <v>23.49</v>
      </c>
      <c r="D12635" s="84">
        <v>2.0</v>
      </c>
      <c r="E12635" s="84">
        <v>11.75</v>
      </c>
      <c r="F12635" s="76" t="s">
        <v>993</v>
      </c>
      <c r="G12635" s="83">
        <v>46121.0</v>
      </c>
      <c r="H12635" s="76" t="s">
        <v>952</v>
      </c>
    </row>
    <row r="12636">
      <c r="A12636" s="76" t="s">
        <v>34</v>
      </c>
      <c r="B12636" s="76" t="s">
        <v>1042</v>
      </c>
      <c r="C12636" s="84">
        <v>2.82</v>
      </c>
      <c r="D12636" s="84">
        <v>0.0</v>
      </c>
      <c r="E12636" s="84">
        <v>0.0</v>
      </c>
      <c r="F12636" s="76" t="s">
        <v>993</v>
      </c>
      <c r="G12636" s="83">
        <v>46121.0</v>
      </c>
      <c r="H12636" s="76" t="s">
        <v>953</v>
      </c>
    </row>
    <row r="12637">
      <c r="A12637" s="76" t="s">
        <v>1043</v>
      </c>
      <c r="B12637" s="76" t="s">
        <v>1042</v>
      </c>
      <c r="C12637" s="84">
        <v>3.54</v>
      </c>
      <c r="D12637" s="84">
        <v>0.0</v>
      </c>
      <c r="E12637" s="84">
        <v>0.0</v>
      </c>
      <c r="F12637" s="76" t="s">
        <v>993</v>
      </c>
      <c r="G12637" s="83">
        <v>46121.0</v>
      </c>
      <c r="H12637" s="76" t="s">
        <v>1044</v>
      </c>
    </row>
    <row r="12638">
      <c r="A12638" s="76" t="s">
        <v>52</v>
      </c>
      <c r="B12638" s="76" t="s">
        <v>1042</v>
      </c>
      <c r="C12638" s="84">
        <v>2.32</v>
      </c>
      <c r="D12638" s="84">
        <v>0.0</v>
      </c>
      <c r="E12638" s="84">
        <v>0.0</v>
      </c>
      <c r="F12638" s="76" t="s">
        <v>993</v>
      </c>
      <c r="G12638" s="83">
        <v>46121.0</v>
      </c>
      <c r="H12638" s="76" t="s">
        <v>1045</v>
      </c>
    </row>
    <row r="12639">
      <c r="A12639" s="76" t="s">
        <v>49</v>
      </c>
      <c r="B12639" s="76" t="s">
        <v>1042</v>
      </c>
      <c r="C12639" s="84">
        <v>1.67</v>
      </c>
      <c r="D12639" s="84">
        <v>0.0</v>
      </c>
      <c r="E12639" s="84">
        <v>0.0</v>
      </c>
      <c r="F12639" s="76" t="s">
        <v>993</v>
      </c>
      <c r="G12639" s="83">
        <v>46121.0</v>
      </c>
      <c r="H12639" s="76" t="s">
        <v>1046</v>
      </c>
    </row>
    <row r="12640">
      <c r="A12640" s="76" t="s">
        <v>36</v>
      </c>
      <c r="B12640" s="76" t="s">
        <v>1042</v>
      </c>
      <c r="C12640" s="84">
        <v>16.27</v>
      </c>
      <c r="D12640" s="84">
        <v>5.0</v>
      </c>
      <c r="E12640" s="84">
        <v>3.25</v>
      </c>
      <c r="F12640" s="76" t="s">
        <v>998</v>
      </c>
      <c r="G12640" s="83">
        <v>46121.0</v>
      </c>
      <c r="H12640" s="76" t="s">
        <v>926</v>
      </c>
    </row>
    <row r="12641">
      <c r="A12641" s="76" t="s">
        <v>36</v>
      </c>
      <c r="B12641" s="76" t="s">
        <v>1042</v>
      </c>
      <c r="C12641" s="84">
        <v>5.2</v>
      </c>
      <c r="D12641" s="84">
        <v>1.0</v>
      </c>
      <c r="E12641" s="84">
        <v>5.2</v>
      </c>
      <c r="F12641" s="76" t="s">
        <v>998</v>
      </c>
      <c r="G12641" s="83">
        <v>46121.0</v>
      </c>
      <c r="H12641" s="76" t="s">
        <v>927</v>
      </c>
    </row>
    <row r="12642">
      <c r="A12642" s="76" t="s">
        <v>36</v>
      </c>
      <c r="B12642" s="76" t="s">
        <v>1042</v>
      </c>
      <c r="C12642" s="84">
        <v>3.4</v>
      </c>
      <c r="D12642" s="84">
        <v>1.0</v>
      </c>
      <c r="E12642" s="84">
        <v>3.4</v>
      </c>
      <c r="F12642" s="76" t="s">
        <v>998</v>
      </c>
      <c r="G12642" s="83">
        <v>46121.0</v>
      </c>
      <c r="H12642" s="76" t="s">
        <v>928</v>
      </c>
    </row>
    <row r="12643">
      <c r="A12643" s="76" t="s">
        <v>28</v>
      </c>
      <c r="B12643" s="76" t="s">
        <v>1042</v>
      </c>
      <c r="C12643" s="84">
        <v>7.59</v>
      </c>
      <c r="D12643" s="84">
        <v>0.0</v>
      </c>
      <c r="E12643" s="84">
        <v>0.0</v>
      </c>
      <c r="F12643" s="76" t="s">
        <v>998</v>
      </c>
      <c r="G12643" s="83">
        <v>46121.0</v>
      </c>
      <c r="H12643" s="76" t="s">
        <v>931</v>
      </c>
    </row>
    <row r="12644">
      <c r="A12644" s="76" t="s">
        <v>28</v>
      </c>
      <c r="B12644" s="76" t="s">
        <v>1042</v>
      </c>
      <c r="C12644" s="84">
        <v>2.69</v>
      </c>
      <c r="D12644" s="84">
        <v>1.0</v>
      </c>
      <c r="E12644" s="84">
        <v>2.69</v>
      </c>
      <c r="F12644" s="76" t="s">
        <v>998</v>
      </c>
      <c r="G12644" s="83">
        <v>46121.0</v>
      </c>
      <c r="H12644" s="76" t="s">
        <v>932</v>
      </c>
    </row>
    <row r="12645">
      <c r="A12645" s="76" t="s">
        <v>28</v>
      </c>
      <c r="B12645" s="76" t="s">
        <v>1042</v>
      </c>
      <c r="C12645" s="84">
        <v>39.41</v>
      </c>
      <c r="D12645" s="84">
        <v>6.0</v>
      </c>
      <c r="E12645" s="84">
        <v>6.57</v>
      </c>
      <c r="F12645" s="76" t="s">
        <v>998</v>
      </c>
      <c r="G12645" s="83">
        <v>46121.0</v>
      </c>
      <c r="H12645" s="76" t="s">
        <v>933</v>
      </c>
    </row>
    <row r="12646">
      <c r="A12646" s="76" t="s">
        <v>34</v>
      </c>
      <c r="B12646" s="76" t="s">
        <v>1042</v>
      </c>
      <c r="C12646" s="84">
        <v>9.18</v>
      </c>
      <c r="D12646" s="84">
        <v>2.0</v>
      </c>
      <c r="E12646" s="84">
        <v>4.59</v>
      </c>
      <c r="F12646" s="76" t="s">
        <v>998</v>
      </c>
      <c r="G12646" s="83">
        <v>46121.0</v>
      </c>
      <c r="H12646" s="76" t="s">
        <v>951</v>
      </c>
    </row>
    <row r="12647">
      <c r="A12647" s="76" t="s">
        <v>34</v>
      </c>
      <c r="B12647" s="76" t="s">
        <v>1042</v>
      </c>
      <c r="C12647" s="84">
        <v>6.38</v>
      </c>
      <c r="D12647" s="84">
        <v>3.0</v>
      </c>
      <c r="E12647" s="84">
        <v>2.13</v>
      </c>
      <c r="F12647" s="76" t="s">
        <v>998</v>
      </c>
      <c r="G12647" s="83">
        <v>46121.0</v>
      </c>
      <c r="H12647" s="76" t="s">
        <v>952</v>
      </c>
    </row>
    <row r="12648">
      <c r="A12648" s="76" t="s">
        <v>34</v>
      </c>
      <c r="B12648" s="76" t="s">
        <v>1042</v>
      </c>
      <c r="C12648" s="84">
        <v>4.49</v>
      </c>
      <c r="D12648" s="84">
        <v>0.0</v>
      </c>
      <c r="E12648" s="84">
        <v>0.0</v>
      </c>
      <c r="F12648" s="76" t="s">
        <v>998</v>
      </c>
      <c r="G12648" s="83">
        <v>46121.0</v>
      </c>
      <c r="H12648" s="76" t="s">
        <v>953</v>
      </c>
    </row>
    <row r="12649">
      <c r="A12649" s="76" t="s">
        <v>1043</v>
      </c>
      <c r="B12649" s="76" t="s">
        <v>1042</v>
      </c>
      <c r="C12649" s="84">
        <v>5.39</v>
      </c>
      <c r="D12649" s="84">
        <v>1.0</v>
      </c>
      <c r="E12649" s="84">
        <v>5.39</v>
      </c>
      <c r="F12649" s="76" t="s">
        <v>998</v>
      </c>
      <c r="G12649" s="83">
        <v>46121.0</v>
      </c>
      <c r="H12649" s="76" t="s">
        <v>1044</v>
      </c>
    </row>
    <row r="12650">
      <c r="A12650" s="76" t="s">
        <v>52</v>
      </c>
      <c r="B12650" s="76" t="s">
        <v>1042</v>
      </c>
      <c r="C12650" s="84">
        <v>3.38</v>
      </c>
      <c r="D12650" s="84">
        <v>1.0</v>
      </c>
      <c r="E12650" s="84">
        <v>3.38</v>
      </c>
      <c r="F12650" s="76" t="s">
        <v>998</v>
      </c>
      <c r="G12650" s="83">
        <v>46121.0</v>
      </c>
      <c r="H12650" s="76" t="s">
        <v>1045</v>
      </c>
    </row>
    <row r="12651">
      <c r="A12651" s="76" t="s">
        <v>49</v>
      </c>
      <c r="B12651" s="76" t="s">
        <v>1042</v>
      </c>
      <c r="C12651" s="84">
        <v>2.54</v>
      </c>
      <c r="D12651" s="84">
        <v>0.0</v>
      </c>
      <c r="E12651" s="84">
        <v>0.0</v>
      </c>
      <c r="F12651" s="76" t="s">
        <v>998</v>
      </c>
      <c r="G12651" s="83">
        <v>46121.0</v>
      </c>
      <c r="H12651" s="76" t="s">
        <v>1046</v>
      </c>
    </row>
    <row r="12652">
      <c r="A12652" s="76" t="s">
        <v>36</v>
      </c>
      <c r="B12652" s="76" t="s">
        <v>1042</v>
      </c>
      <c r="C12652" s="84">
        <v>13.77</v>
      </c>
      <c r="D12652" s="84">
        <v>7.0</v>
      </c>
      <c r="E12652" s="84">
        <v>1.97</v>
      </c>
      <c r="F12652" s="76" t="s">
        <v>997</v>
      </c>
      <c r="G12652" s="83">
        <v>46121.0</v>
      </c>
      <c r="H12652" s="76" t="s">
        <v>926</v>
      </c>
    </row>
    <row r="12653">
      <c r="A12653" s="76" t="s">
        <v>36</v>
      </c>
      <c r="B12653" s="76" t="s">
        <v>1042</v>
      </c>
      <c r="C12653" s="84">
        <v>2.85</v>
      </c>
      <c r="D12653" s="84">
        <v>0.0</v>
      </c>
      <c r="E12653" s="84">
        <v>0.0</v>
      </c>
      <c r="F12653" s="76" t="s">
        <v>997</v>
      </c>
      <c r="G12653" s="83">
        <v>46121.0</v>
      </c>
      <c r="H12653" s="76" t="s">
        <v>927</v>
      </c>
    </row>
    <row r="12654">
      <c r="A12654" s="76" t="s">
        <v>36</v>
      </c>
      <c r="B12654" s="76" t="s">
        <v>1042</v>
      </c>
      <c r="C12654" s="84">
        <v>9.75</v>
      </c>
      <c r="D12654" s="84">
        <v>0.0</v>
      </c>
      <c r="E12654" s="84">
        <v>0.0</v>
      </c>
      <c r="F12654" s="76" t="s">
        <v>997</v>
      </c>
      <c r="G12654" s="83">
        <v>46121.0</v>
      </c>
      <c r="H12654" s="76" t="s">
        <v>928</v>
      </c>
    </row>
    <row r="12655">
      <c r="A12655" s="76" t="s">
        <v>28</v>
      </c>
      <c r="B12655" s="76" t="s">
        <v>1042</v>
      </c>
      <c r="C12655" s="84">
        <v>2.98</v>
      </c>
      <c r="D12655" s="84">
        <v>0.0</v>
      </c>
      <c r="E12655" s="84">
        <v>0.0</v>
      </c>
      <c r="F12655" s="76" t="s">
        <v>997</v>
      </c>
      <c r="G12655" s="83">
        <v>46121.0</v>
      </c>
      <c r="H12655" s="76" t="s">
        <v>931</v>
      </c>
    </row>
    <row r="12656">
      <c r="A12656" s="76" t="s">
        <v>28</v>
      </c>
      <c r="B12656" s="76" t="s">
        <v>1042</v>
      </c>
      <c r="C12656" s="84">
        <v>3.03</v>
      </c>
      <c r="D12656" s="84">
        <v>0.0</v>
      </c>
      <c r="E12656" s="84">
        <v>0.0</v>
      </c>
      <c r="F12656" s="76" t="s">
        <v>997</v>
      </c>
      <c r="G12656" s="83">
        <v>46121.0</v>
      </c>
      <c r="H12656" s="76" t="s">
        <v>932</v>
      </c>
    </row>
    <row r="12657">
      <c r="A12657" s="76" t="s">
        <v>28</v>
      </c>
      <c r="B12657" s="76" t="s">
        <v>1042</v>
      </c>
      <c r="C12657" s="84">
        <v>14.33</v>
      </c>
      <c r="D12657" s="84">
        <v>2.0</v>
      </c>
      <c r="E12657" s="84">
        <v>7.17</v>
      </c>
      <c r="F12657" s="76" t="s">
        <v>997</v>
      </c>
      <c r="G12657" s="83">
        <v>46121.0</v>
      </c>
      <c r="H12657" s="76" t="s">
        <v>933</v>
      </c>
    </row>
    <row r="12658">
      <c r="A12658" s="76" t="s">
        <v>34</v>
      </c>
      <c r="B12658" s="76" t="s">
        <v>1042</v>
      </c>
      <c r="C12658" s="84">
        <v>6.84</v>
      </c>
      <c r="D12658" s="84">
        <v>0.0</v>
      </c>
      <c r="E12658" s="84">
        <v>0.0</v>
      </c>
      <c r="F12658" s="76" t="s">
        <v>997</v>
      </c>
      <c r="G12658" s="83">
        <v>46121.0</v>
      </c>
      <c r="H12658" s="76" t="s">
        <v>951</v>
      </c>
    </row>
    <row r="12659">
      <c r="A12659" s="76" t="s">
        <v>34</v>
      </c>
      <c r="B12659" s="76" t="s">
        <v>1042</v>
      </c>
      <c r="C12659" s="84">
        <v>13.12</v>
      </c>
      <c r="D12659" s="84">
        <v>2.0</v>
      </c>
      <c r="E12659" s="84">
        <v>6.56</v>
      </c>
      <c r="F12659" s="76" t="s">
        <v>997</v>
      </c>
      <c r="G12659" s="83">
        <v>46121.0</v>
      </c>
      <c r="H12659" s="76" t="s">
        <v>952</v>
      </c>
    </row>
    <row r="12660">
      <c r="A12660" s="76" t="s">
        <v>34</v>
      </c>
      <c r="B12660" s="76" t="s">
        <v>1042</v>
      </c>
      <c r="C12660" s="84">
        <v>5.43</v>
      </c>
      <c r="D12660" s="84">
        <v>1.0</v>
      </c>
      <c r="E12660" s="84">
        <v>5.43</v>
      </c>
      <c r="F12660" s="76" t="s">
        <v>997</v>
      </c>
      <c r="G12660" s="83">
        <v>46121.0</v>
      </c>
      <c r="H12660" s="76" t="s">
        <v>953</v>
      </c>
    </row>
    <row r="12661">
      <c r="A12661" s="76" t="s">
        <v>1043</v>
      </c>
      <c r="B12661" s="76" t="s">
        <v>1042</v>
      </c>
      <c r="C12661" s="84">
        <v>3.73</v>
      </c>
      <c r="D12661" s="84">
        <v>0.0</v>
      </c>
      <c r="E12661" s="84">
        <v>0.0</v>
      </c>
      <c r="F12661" s="76" t="s">
        <v>997</v>
      </c>
      <c r="G12661" s="83">
        <v>46121.0</v>
      </c>
      <c r="H12661" s="76" t="s">
        <v>1044</v>
      </c>
    </row>
    <row r="12662">
      <c r="A12662" s="76" t="s">
        <v>52</v>
      </c>
      <c r="B12662" s="76" t="s">
        <v>1042</v>
      </c>
      <c r="C12662" s="84">
        <v>5.19</v>
      </c>
      <c r="D12662" s="84">
        <v>0.0</v>
      </c>
      <c r="E12662" s="84">
        <v>0.0</v>
      </c>
      <c r="F12662" s="76" t="s">
        <v>997</v>
      </c>
      <c r="G12662" s="83">
        <v>46121.0</v>
      </c>
      <c r="H12662" s="76" t="s">
        <v>1045</v>
      </c>
    </row>
    <row r="12663">
      <c r="A12663" s="76" t="s">
        <v>49</v>
      </c>
      <c r="B12663" s="76" t="s">
        <v>1042</v>
      </c>
      <c r="C12663" s="84">
        <v>2.93</v>
      </c>
      <c r="D12663" s="84">
        <v>0.0</v>
      </c>
      <c r="E12663" s="84">
        <v>0.0</v>
      </c>
      <c r="F12663" s="76" t="s">
        <v>997</v>
      </c>
      <c r="G12663" s="83">
        <v>46121.0</v>
      </c>
      <c r="H12663" s="76" t="s">
        <v>1046</v>
      </c>
    </row>
    <row r="12664">
      <c r="A12664" s="76" t="s">
        <v>34</v>
      </c>
      <c r="B12664" s="76" t="s">
        <v>1029</v>
      </c>
      <c r="C12664" s="84">
        <v>0.83</v>
      </c>
      <c r="D12664" s="84">
        <v>0.0</v>
      </c>
      <c r="E12664" s="84">
        <v>0.0</v>
      </c>
      <c r="F12664" s="76" t="s">
        <v>950</v>
      </c>
      <c r="G12664" s="83">
        <v>46122.0</v>
      </c>
      <c r="H12664" s="76" t="s">
        <v>951</v>
      </c>
    </row>
    <row r="12665">
      <c r="A12665" s="76" t="s">
        <v>34</v>
      </c>
      <c r="B12665" s="76" t="s">
        <v>1029</v>
      </c>
      <c r="C12665" s="84">
        <v>1.96</v>
      </c>
      <c r="D12665" s="84">
        <v>0.0</v>
      </c>
      <c r="E12665" s="84">
        <v>0.0</v>
      </c>
      <c r="F12665" s="76" t="s">
        <v>950</v>
      </c>
      <c r="G12665" s="83">
        <v>46122.0</v>
      </c>
      <c r="H12665" s="76" t="s">
        <v>952</v>
      </c>
    </row>
    <row r="12666">
      <c r="A12666" s="76" t="s">
        <v>34</v>
      </c>
      <c r="B12666" s="76" t="s">
        <v>1029</v>
      </c>
      <c r="C12666" s="84">
        <v>0.4</v>
      </c>
      <c r="D12666" s="84">
        <v>0.0</v>
      </c>
      <c r="E12666" s="84">
        <v>0.0</v>
      </c>
      <c r="F12666" s="76" t="s">
        <v>950</v>
      </c>
      <c r="G12666" s="83">
        <v>46122.0</v>
      </c>
      <c r="H12666" s="76" t="s">
        <v>953</v>
      </c>
    </row>
    <row r="12667">
      <c r="A12667" s="76" t="s">
        <v>46</v>
      </c>
      <c r="B12667" s="76" t="s">
        <v>1029</v>
      </c>
      <c r="C12667" s="84">
        <v>2.52</v>
      </c>
      <c r="D12667" s="84">
        <v>0.0</v>
      </c>
      <c r="E12667" s="84">
        <v>0.0</v>
      </c>
      <c r="F12667" s="76" t="s">
        <v>950</v>
      </c>
      <c r="G12667" s="83">
        <v>46122.0</v>
      </c>
      <c r="H12667" s="76" t="s">
        <v>960</v>
      </c>
    </row>
    <row r="12668">
      <c r="A12668" s="76" t="s">
        <v>46</v>
      </c>
      <c r="B12668" s="76" t="s">
        <v>1029</v>
      </c>
      <c r="C12668" s="84">
        <v>0.47</v>
      </c>
      <c r="D12668" s="84">
        <v>0.0</v>
      </c>
      <c r="E12668" s="84">
        <v>0.0</v>
      </c>
      <c r="F12668" s="76" t="s">
        <v>950</v>
      </c>
      <c r="G12668" s="83">
        <v>46122.0</v>
      </c>
      <c r="H12668" s="76" t="s">
        <v>961</v>
      </c>
    </row>
    <row r="12669">
      <c r="A12669" s="76" t="s">
        <v>46</v>
      </c>
      <c r="B12669" s="76" t="s">
        <v>1029</v>
      </c>
      <c r="C12669" s="84">
        <v>0.65</v>
      </c>
      <c r="D12669" s="84">
        <v>0.0</v>
      </c>
      <c r="E12669" s="84">
        <v>0.0</v>
      </c>
      <c r="F12669" s="76" t="s">
        <v>950</v>
      </c>
      <c r="G12669" s="83">
        <v>46122.0</v>
      </c>
      <c r="H12669" s="76" t="s">
        <v>962</v>
      </c>
    </row>
    <row r="12670">
      <c r="A12670" s="76" t="s">
        <v>29</v>
      </c>
      <c r="B12670" s="76" t="s">
        <v>1029</v>
      </c>
      <c r="C12670" s="84">
        <v>1.47</v>
      </c>
      <c r="D12670" s="84">
        <v>0.0</v>
      </c>
      <c r="E12670" s="84">
        <v>0.0</v>
      </c>
      <c r="F12670" s="76" t="s">
        <v>950</v>
      </c>
      <c r="G12670" s="83">
        <v>46122.0</v>
      </c>
      <c r="H12670" s="76" t="s">
        <v>971</v>
      </c>
    </row>
    <row r="12671">
      <c r="A12671" s="76" t="s">
        <v>29</v>
      </c>
      <c r="B12671" s="76" t="s">
        <v>1029</v>
      </c>
      <c r="C12671" s="84">
        <v>0.09</v>
      </c>
      <c r="D12671" s="84">
        <v>0.0</v>
      </c>
      <c r="E12671" s="84">
        <v>0.0</v>
      </c>
      <c r="F12671" s="76" t="s">
        <v>950</v>
      </c>
      <c r="G12671" s="83">
        <v>46122.0</v>
      </c>
      <c r="H12671" s="76" t="s">
        <v>972</v>
      </c>
    </row>
    <row r="12672">
      <c r="A12672" s="76" t="s">
        <v>29</v>
      </c>
      <c r="B12672" s="76" t="s">
        <v>1029</v>
      </c>
      <c r="C12672" s="84">
        <v>4.48</v>
      </c>
      <c r="D12672" s="84">
        <v>1.0</v>
      </c>
      <c r="E12672" s="84">
        <v>4.48</v>
      </c>
      <c r="F12672" s="76" t="s">
        <v>950</v>
      </c>
      <c r="G12672" s="83">
        <v>46122.0</v>
      </c>
      <c r="H12672" s="76" t="s">
        <v>973</v>
      </c>
    </row>
    <row r="12673">
      <c r="A12673" s="76" t="s">
        <v>33</v>
      </c>
      <c r="B12673" s="76" t="s">
        <v>1029</v>
      </c>
      <c r="C12673" s="84">
        <v>38.35</v>
      </c>
      <c r="D12673" s="84">
        <v>3.0</v>
      </c>
      <c r="E12673" s="84">
        <v>12.78</v>
      </c>
      <c r="F12673" s="76" t="s">
        <v>950</v>
      </c>
      <c r="G12673" s="83">
        <v>46122.0</v>
      </c>
      <c r="H12673" s="76" t="s">
        <v>957</v>
      </c>
    </row>
    <row r="12674">
      <c r="A12674" s="76" t="s">
        <v>33</v>
      </c>
      <c r="B12674" s="76" t="s">
        <v>1029</v>
      </c>
      <c r="C12674" s="84">
        <v>0.6</v>
      </c>
      <c r="D12674" s="84">
        <v>1.0</v>
      </c>
      <c r="E12674" s="84">
        <v>0.6</v>
      </c>
      <c r="F12674" s="76" t="s">
        <v>950</v>
      </c>
      <c r="G12674" s="83">
        <v>46122.0</v>
      </c>
      <c r="H12674" s="76" t="s">
        <v>958</v>
      </c>
    </row>
    <row r="12675">
      <c r="A12675" s="76" t="s">
        <v>33</v>
      </c>
      <c r="B12675" s="76" t="s">
        <v>1029</v>
      </c>
      <c r="C12675" s="84">
        <v>5.48</v>
      </c>
      <c r="D12675" s="84">
        <v>0.0</v>
      </c>
      <c r="E12675" s="84">
        <v>0.0</v>
      </c>
      <c r="F12675" s="76" t="s">
        <v>950</v>
      </c>
      <c r="G12675" s="83">
        <v>46122.0</v>
      </c>
      <c r="H12675" s="76" t="s">
        <v>959</v>
      </c>
    </row>
    <row r="12676">
      <c r="A12676" s="76" t="s">
        <v>970</v>
      </c>
      <c r="B12676" s="76" t="s">
        <v>1029</v>
      </c>
      <c r="C12676" s="84">
        <v>1.32</v>
      </c>
      <c r="D12676" s="84">
        <v>0.0</v>
      </c>
      <c r="E12676" s="84">
        <v>0.0</v>
      </c>
      <c r="F12676" s="76" t="s">
        <v>950</v>
      </c>
      <c r="G12676" s="83">
        <v>46122.0</v>
      </c>
      <c r="H12676" s="76" t="s">
        <v>971</v>
      </c>
    </row>
    <row r="12677">
      <c r="A12677" s="76" t="s">
        <v>970</v>
      </c>
      <c r="B12677" s="76" t="s">
        <v>1029</v>
      </c>
      <c r="C12677" s="84">
        <v>0.04</v>
      </c>
      <c r="D12677" s="84">
        <v>0.0</v>
      </c>
      <c r="E12677" s="84">
        <v>0.0</v>
      </c>
      <c r="F12677" s="76" t="s">
        <v>950</v>
      </c>
      <c r="G12677" s="83">
        <v>46122.0</v>
      </c>
      <c r="H12677" s="76" t="s">
        <v>972</v>
      </c>
    </row>
    <row r="12678">
      <c r="A12678" s="76" t="s">
        <v>970</v>
      </c>
      <c r="B12678" s="76" t="s">
        <v>1029</v>
      </c>
      <c r="C12678" s="84">
        <v>4.17</v>
      </c>
      <c r="D12678" s="84">
        <v>0.0</v>
      </c>
      <c r="E12678" s="84">
        <v>0.0</v>
      </c>
      <c r="F12678" s="76" t="s">
        <v>950</v>
      </c>
      <c r="G12678" s="83">
        <v>46122.0</v>
      </c>
      <c r="H12678" s="76" t="s">
        <v>973</v>
      </c>
    </row>
    <row r="12679">
      <c r="A12679" s="76" t="s">
        <v>43</v>
      </c>
      <c r="B12679" s="76" t="s">
        <v>1029</v>
      </c>
      <c r="C12679" s="84">
        <v>0.17</v>
      </c>
      <c r="D12679" s="84">
        <v>0.0</v>
      </c>
      <c r="E12679" s="84">
        <v>0.0</v>
      </c>
      <c r="F12679" s="76" t="s">
        <v>950</v>
      </c>
      <c r="G12679" s="83">
        <v>46122.0</v>
      </c>
      <c r="H12679" s="76" t="s">
        <v>963</v>
      </c>
    </row>
    <row r="12680">
      <c r="A12680" s="76" t="s">
        <v>43</v>
      </c>
      <c r="B12680" s="76" t="s">
        <v>1029</v>
      </c>
      <c r="C12680" s="84">
        <v>0.49</v>
      </c>
      <c r="D12680" s="84">
        <v>0.0</v>
      </c>
      <c r="E12680" s="84">
        <v>0.0</v>
      </c>
      <c r="F12680" s="76" t="s">
        <v>950</v>
      </c>
      <c r="G12680" s="83">
        <v>46122.0</v>
      </c>
      <c r="H12680" s="76" t="s">
        <v>964</v>
      </c>
    </row>
    <row r="12681">
      <c r="A12681" s="76" t="s">
        <v>43</v>
      </c>
      <c r="B12681" s="76" t="s">
        <v>1029</v>
      </c>
      <c r="C12681" s="84">
        <v>1.61</v>
      </c>
      <c r="D12681" s="84">
        <v>0.0</v>
      </c>
      <c r="E12681" s="84">
        <v>0.0</v>
      </c>
      <c r="F12681" s="76" t="s">
        <v>950</v>
      </c>
      <c r="G12681" s="83">
        <v>46122.0</v>
      </c>
      <c r="H12681" s="76" t="s">
        <v>965</v>
      </c>
    </row>
    <row r="12682">
      <c r="A12682" s="76" t="s">
        <v>966</v>
      </c>
      <c r="B12682" s="76" t="s">
        <v>1029</v>
      </c>
      <c r="C12682" s="84">
        <v>9.91</v>
      </c>
      <c r="D12682" s="84">
        <v>2.0</v>
      </c>
      <c r="E12682" s="84">
        <v>4.96</v>
      </c>
      <c r="F12682" s="76" t="s">
        <v>950</v>
      </c>
      <c r="G12682" s="83">
        <v>46122.0</v>
      </c>
      <c r="H12682" s="76" t="s">
        <v>967</v>
      </c>
    </row>
    <row r="12683">
      <c r="A12683" s="76" t="s">
        <v>966</v>
      </c>
      <c r="B12683" s="76" t="s">
        <v>1029</v>
      </c>
      <c r="C12683" s="84">
        <v>0.47</v>
      </c>
      <c r="D12683" s="84">
        <v>0.0</v>
      </c>
      <c r="E12683" s="84">
        <v>0.0</v>
      </c>
      <c r="F12683" s="76" t="s">
        <v>950</v>
      </c>
      <c r="G12683" s="83">
        <v>46122.0</v>
      </c>
      <c r="H12683" s="76" t="s">
        <v>968</v>
      </c>
    </row>
    <row r="12684">
      <c r="A12684" s="76" t="s">
        <v>966</v>
      </c>
      <c r="B12684" s="76" t="s">
        <v>1029</v>
      </c>
      <c r="C12684" s="84">
        <v>3.37</v>
      </c>
      <c r="D12684" s="84">
        <v>0.0</v>
      </c>
      <c r="E12684" s="84">
        <v>0.0</v>
      </c>
      <c r="F12684" s="76" t="s">
        <v>950</v>
      </c>
      <c r="G12684" s="83">
        <v>46122.0</v>
      </c>
      <c r="H12684" s="76" t="s">
        <v>969</v>
      </c>
    </row>
    <row r="12685">
      <c r="A12685" s="76" t="s">
        <v>36</v>
      </c>
      <c r="B12685" s="76" t="s">
        <v>1029</v>
      </c>
      <c r="C12685" s="84">
        <v>8.23</v>
      </c>
      <c r="D12685" s="84">
        <v>1.0</v>
      </c>
      <c r="E12685" s="84">
        <v>8.23</v>
      </c>
      <c r="F12685" s="76" t="s">
        <v>950</v>
      </c>
      <c r="G12685" s="83">
        <v>46122.0</v>
      </c>
      <c r="H12685" s="76" t="s">
        <v>926</v>
      </c>
    </row>
    <row r="12686">
      <c r="A12686" s="76" t="s">
        <v>36</v>
      </c>
      <c r="B12686" s="76" t="s">
        <v>1029</v>
      </c>
      <c r="C12686" s="84">
        <v>0.69</v>
      </c>
      <c r="D12686" s="84">
        <v>0.0</v>
      </c>
      <c r="E12686" s="84">
        <v>0.0</v>
      </c>
      <c r="F12686" s="76" t="s">
        <v>950</v>
      </c>
      <c r="G12686" s="83">
        <v>46122.0</v>
      </c>
      <c r="H12686" s="76" t="s">
        <v>927</v>
      </c>
    </row>
    <row r="12687">
      <c r="A12687" s="76" t="s">
        <v>36</v>
      </c>
      <c r="B12687" s="76" t="s">
        <v>1029</v>
      </c>
      <c r="C12687" s="84">
        <v>2.8</v>
      </c>
      <c r="D12687" s="84">
        <v>1.0</v>
      </c>
      <c r="E12687" s="84">
        <v>2.8</v>
      </c>
      <c r="F12687" s="76" t="s">
        <v>950</v>
      </c>
      <c r="G12687" s="83">
        <v>46122.0</v>
      </c>
      <c r="H12687" s="76" t="s">
        <v>928</v>
      </c>
    </row>
    <row r="12688">
      <c r="A12688" s="76" t="s">
        <v>40</v>
      </c>
      <c r="B12688" s="76" t="s">
        <v>1029</v>
      </c>
      <c r="C12688" s="84">
        <v>0.49</v>
      </c>
      <c r="D12688" s="84">
        <v>1.0</v>
      </c>
      <c r="E12688" s="84">
        <v>0.49</v>
      </c>
      <c r="F12688" s="76" t="s">
        <v>950</v>
      </c>
      <c r="G12688" s="83">
        <v>46122.0</v>
      </c>
      <c r="H12688" s="76" t="s">
        <v>954</v>
      </c>
    </row>
    <row r="12689">
      <c r="A12689" s="76" t="s">
        <v>40</v>
      </c>
      <c r="B12689" s="76" t="s">
        <v>1029</v>
      </c>
      <c r="C12689" s="84">
        <v>0.3</v>
      </c>
      <c r="D12689" s="84">
        <v>0.0</v>
      </c>
      <c r="E12689" s="84">
        <v>0.0</v>
      </c>
      <c r="F12689" s="76" t="s">
        <v>950</v>
      </c>
      <c r="G12689" s="83">
        <v>46122.0</v>
      </c>
      <c r="H12689" s="76" t="s">
        <v>955</v>
      </c>
    </row>
    <row r="12690">
      <c r="A12690" s="76" t="s">
        <v>40</v>
      </c>
      <c r="B12690" s="76" t="s">
        <v>1029</v>
      </c>
      <c r="C12690" s="84">
        <v>4.84</v>
      </c>
      <c r="D12690" s="84">
        <v>0.0</v>
      </c>
      <c r="E12690" s="84">
        <v>0.0</v>
      </c>
      <c r="F12690" s="76" t="s">
        <v>950</v>
      </c>
      <c r="G12690" s="83">
        <v>46122.0</v>
      </c>
      <c r="H12690" s="76" t="s">
        <v>956</v>
      </c>
    </row>
    <row r="12691">
      <c r="A12691" s="76" t="s">
        <v>966</v>
      </c>
      <c r="B12691" s="76" t="s">
        <v>1029</v>
      </c>
      <c r="C12691" s="84">
        <v>3.24</v>
      </c>
      <c r="D12691" s="84">
        <v>0.0</v>
      </c>
      <c r="E12691" s="84">
        <v>0.0</v>
      </c>
      <c r="F12691" s="76" t="s">
        <v>974</v>
      </c>
      <c r="G12691" s="83">
        <v>46122.0</v>
      </c>
      <c r="H12691" s="76" t="s">
        <v>967</v>
      </c>
    </row>
    <row r="12692">
      <c r="A12692" s="76" t="s">
        <v>966</v>
      </c>
      <c r="B12692" s="76" t="s">
        <v>1029</v>
      </c>
      <c r="C12692" s="84">
        <v>1.0</v>
      </c>
      <c r="D12692" s="84">
        <v>0.0</v>
      </c>
      <c r="E12692" s="84">
        <v>0.0</v>
      </c>
      <c r="F12692" s="76" t="s">
        <v>974</v>
      </c>
      <c r="G12692" s="83">
        <v>46122.0</v>
      </c>
      <c r="H12692" s="76" t="s">
        <v>968</v>
      </c>
    </row>
    <row r="12693">
      <c r="A12693" s="76" t="s">
        <v>966</v>
      </c>
      <c r="B12693" s="76" t="s">
        <v>1029</v>
      </c>
      <c r="C12693" s="84">
        <v>3.49</v>
      </c>
      <c r="D12693" s="84">
        <v>1.0</v>
      </c>
      <c r="E12693" s="84">
        <v>3.49</v>
      </c>
      <c r="F12693" s="76" t="s">
        <v>974</v>
      </c>
      <c r="G12693" s="83">
        <v>46122.0</v>
      </c>
      <c r="H12693" s="76" t="s">
        <v>969</v>
      </c>
    </row>
    <row r="12694">
      <c r="A12694" s="76" t="s">
        <v>43</v>
      </c>
      <c r="B12694" s="76" t="s">
        <v>1029</v>
      </c>
      <c r="C12694" s="84">
        <v>0.39</v>
      </c>
      <c r="D12694" s="84">
        <v>0.0</v>
      </c>
      <c r="E12694" s="84">
        <v>0.0</v>
      </c>
      <c r="F12694" s="76" t="s">
        <v>974</v>
      </c>
      <c r="G12694" s="83">
        <v>46122.0</v>
      </c>
      <c r="H12694" s="76" t="s">
        <v>963</v>
      </c>
    </row>
    <row r="12695">
      <c r="A12695" s="76" t="s">
        <v>43</v>
      </c>
      <c r="B12695" s="76" t="s">
        <v>1029</v>
      </c>
      <c r="C12695" s="84">
        <v>1.36</v>
      </c>
      <c r="D12695" s="84">
        <v>0.0</v>
      </c>
      <c r="E12695" s="84">
        <v>0.0</v>
      </c>
      <c r="F12695" s="76" t="s">
        <v>974</v>
      </c>
      <c r="G12695" s="83">
        <v>46122.0</v>
      </c>
      <c r="H12695" s="76" t="s">
        <v>964</v>
      </c>
    </row>
    <row r="12696">
      <c r="A12696" s="76" t="s">
        <v>43</v>
      </c>
      <c r="B12696" s="76" t="s">
        <v>1029</v>
      </c>
      <c r="C12696" s="84">
        <v>2.96</v>
      </c>
      <c r="D12696" s="84">
        <v>0.0</v>
      </c>
      <c r="E12696" s="84">
        <v>0.0</v>
      </c>
      <c r="F12696" s="76" t="s">
        <v>974</v>
      </c>
      <c r="G12696" s="83">
        <v>46122.0</v>
      </c>
      <c r="H12696" s="76" t="s">
        <v>965</v>
      </c>
    </row>
    <row r="12697">
      <c r="A12697" s="76" t="s">
        <v>36</v>
      </c>
      <c r="B12697" s="76" t="s">
        <v>1029</v>
      </c>
      <c r="C12697" s="84">
        <v>4.32</v>
      </c>
      <c r="D12697" s="84">
        <v>0.0</v>
      </c>
      <c r="E12697" s="84">
        <v>0.0</v>
      </c>
      <c r="F12697" s="76" t="s">
        <v>974</v>
      </c>
      <c r="G12697" s="83">
        <v>46122.0</v>
      </c>
      <c r="H12697" s="76" t="s">
        <v>926</v>
      </c>
    </row>
    <row r="12698">
      <c r="A12698" s="76" t="s">
        <v>36</v>
      </c>
      <c r="B12698" s="76" t="s">
        <v>1029</v>
      </c>
      <c r="C12698" s="84">
        <v>1.38</v>
      </c>
      <c r="D12698" s="84">
        <v>1.0</v>
      </c>
      <c r="E12698" s="84">
        <v>1.38</v>
      </c>
      <c r="F12698" s="76" t="s">
        <v>974</v>
      </c>
      <c r="G12698" s="83">
        <v>46122.0</v>
      </c>
      <c r="H12698" s="76" t="s">
        <v>927</v>
      </c>
    </row>
    <row r="12699">
      <c r="A12699" s="76" t="s">
        <v>36</v>
      </c>
      <c r="B12699" s="76" t="s">
        <v>1029</v>
      </c>
      <c r="C12699" s="84">
        <v>2.39</v>
      </c>
      <c r="D12699" s="84">
        <v>1.0</v>
      </c>
      <c r="E12699" s="84">
        <v>2.39</v>
      </c>
      <c r="F12699" s="76" t="s">
        <v>974</v>
      </c>
      <c r="G12699" s="83">
        <v>46122.0</v>
      </c>
      <c r="H12699" s="76" t="s">
        <v>928</v>
      </c>
    </row>
    <row r="12700">
      <c r="A12700" s="76" t="s">
        <v>33</v>
      </c>
      <c r="B12700" s="76" t="s">
        <v>1029</v>
      </c>
      <c r="C12700" s="84">
        <v>43.12</v>
      </c>
      <c r="D12700" s="84">
        <v>5.0</v>
      </c>
      <c r="E12700" s="84">
        <v>8.62</v>
      </c>
      <c r="F12700" s="76" t="s">
        <v>974</v>
      </c>
      <c r="G12700" s="83">
        <v>46122.0</v>
      </c>
      <c r="H12700" s="76" t="s">
        <v>957</v>
      </c>
    </row>
    <row r="12701">
      <c r="A12701" s="76" t="s">
        <v>33</v>
      </c>
      <c r="B12701" s="76" t="s">
        <v>1029</v>
      </c>
      <c r="C12701" s="84">
        <v>1.25</v>
      </c>
      <c r="D12701" s="84">
        <v>0.0</v>
      </c>
      <c r="E12701" s="84">
        <v>0.0</v>
      </c>
      <c r="F12701" s="76" t="s">
        <v>974</v>
      </c>
      <c r="G12701" s="83">
        <v>46122.0</v>
      </c>
      <c r="H12701" s="76" t="s">
        <v>958</v>
      </c>
    </row>
    <row r="12702">
      <c r="A12702" s="76" t="s">
        <v>33</v>
      </c>
      <c r="B12702" s="76" t="s">
        <v>1029</v>
      </c>
      <c r="C12702" s="84">
        <v>6.19</v>
      </c>
      <c r="D12702" s="84">
        <v>2.0</v>
      </c>
      <c r="E12702" s="84">
        <v>3.09</v>
      </c>
      <c r="F12702" s="76" t="s">
        <v>974</v>
      </c>
      <c r="G12702" s="83">
        <v>46122.0</v>
      </c>
      <c r="H12702" s="76" t="s">
        <v>959</v>
      </c>
    </row>
    <row r="12703">
      <c r="A12703" s="76" t="s">
        <v>29</v>
      </c>
      <c r="B12703" s="76" t="s">
        <v>1029</v>
      </c>
      <c r="C12703" s="84">
        <v>2.29</v>
      </c>
      <c r="D12703" s="84">
        <v>0.0</v>
      </c>
      <c r="E12703" s="84">
        <v>0.0</v>
      </c>
      <c r="F12703" s="76" t="s">
        <v>974</v>
      </c>
      <c r="G12703" s="83">
        <v>46122.0</v>
      </c>
      <c r="H12703" s="76" t="s">
        <v>971</v>
      </c>
    </row>
    <row r="12704">
      <c r="A12704" s="76" t="s">
        <v>29</v>
      </c>
      <c r="B12704" s="76" t="s">
        <v>1029</v>
      </c>
      <c r="C12704" s="84">
        <v>0.13</v>
      </c>
      <c r="D12704" s="84">
        <v>0.0</v>
      </c>
      <c r="E12704" s="84">
        <v>0.0</v>
      </c>
      <c r="F12704" s="76" t="s">
        <v>974</v>
      </c>
      <c r="G12704" s="83">
        <v>46122.0</v>
      </c>
      <c r="H12704" s="76" t="s">
        <v>972</v>
      </c>
    </row>
    <row r="12705">
      <c r="A12705" s="76" t="s">
        <v>29</v>
      </c>
      <c r="B12705" s="76" t="s">
        <v>1029</v>
      </c>
      <c r="C12705" s="84">
        <v>2.8</v>
      </c>
      <c r="D12705" s="84">
        <v>0.0</v>
      </c>
      <c r="E12705" s="84">
        <v>0.0</v>
      </c>
      <c r="F12705" s="76" t="s">
        <v>974</v>
      </c>
      <c r="G12705" s="83">
        <v>46122.0</v>
      </c>
      <c r="H12705" s="76" t="s">
        <v>973</v>
      </c>
    </row>
    <row r="12706">
      <c r="A12706" s="76" t="s">
        <v>46</v>
      </c>
      <c r="B12706" s="76" t="s">
        <v>1029</v>
      </c>
      <c r="C12706" s="84">
        <v>1.0</v>
      </c>
      <c r="D12706" s="84">
        <v>0.0</v>
      </c>
      <c r="E12706" s="84">
        <v>0.0</v>
      </c>
      <c r="F12706" s="76" t="s">
        <v>974</v>
      </c>
      <c r="G12706" s="83">
        <v>46122.0</v>
      </c>
      <c r="H12706" s="76" t="s">
        <v>960</v>
      </c>
    </row>
    <row r="12707">
      <c r="A12707" s="76" t="s">
        <v>46</v>
      </c>
      <c r="B12707" s="76" t="s">
        <v>1029</v>
      </c>
      <c r="C12707" s="84">
        <v>0.83</v>
      </c>
      <c r="D12707" s="84">
        <v>0.0</v>
      </c>
      <c r="E12707" s="84">
        <v>0.0</v>
      </c>
      <c r="F12707" s="76" t="s">
        <v>974</v>
      </c>
      <c r="G12707" s="83">
        <v>46122.0</v>
      </c>
      <c r="H12707" s="76" t="s">
        <v>961</v>
      </c>
    </row>
    <row r="12708">
      <c r="A12708" s="76" t="s">
        <v>46</v>
      </c>
      <c r="B12708" s="76" t="s">
        <v>1029</v>
      </c>
      <c r="C12708" s="84">
        <v>0.98</v>
      </c>
      <c r="D12708" s="84">
        <v>0.0</v>
      </c>
      <c r="E12708" s="84">
        <v>0.0</v>
      </c>
      <c r="F12708" s="76" t="s">
        <v>974</v>
      </c>
      <c r="G12708" s="83">
        <v>46122.0</v>
      </c>
      <c r="H12708" s="76" t="s">
        <v>962</v>
      </c>
    </row>
    <row r="12709">
      <c r="A12709" s="76" t="s">
        <v>34</v>
      </c>
      <c r="B12709" s="76" t="s">
        <v>1029</v>
      </c>
      <c r="C12709" s="84">
        <v>2.04</v>
      </c>
      <c r="D12709" s="84">
        <v>0.0</v>
      </c>
      <c r="E12709" s="84">
        <v>0.0</v>
      </c>
      <c r="F12709" s="76" t="s">
        <v>974</v>
      </c>
      <c r="G12709" s="83">
        <v>46122.0</v>
      </c>
      <c r="H12709" s="76" t="s">
        <v>951</v>
      </c>
    </row>
    <row r="12710">
      <c r="A12710" s="76" t="s">
        <v>34</v>
      </c>
      <c r="B12710" s="76" t="s">
        <v>1029</v>
      </c>
      <c r="C12710" s="84">
        <v>13.96</v>
      </c>
      <c r="D12710" s="84">
        <v>0.0</v>
      </c>
      <c r="E12710" s="84">
        <v>0.0</v>
      </c>
      <c r="F12710" s="76" t="s">
        <v>974</v>
      </c>
      <c r="G12710" s="83">
        <v>46122.0</v>
      </c>
      <c r="H12710" s="76" t="s">
        <v>952</v>
      </c>
    </row>
    <row r="12711">
      <c r="A12711" s="76" t="s">
        <v>34</v>
      </c>
      <c r="B12711" s="76" t="s">
        <v>1029</v>
      </c>
      <c r="C12711" s="84">
        <v>0.6</v>
      </c>
      <c r="D12711" s="84">
        <v>1.0</v>
      </c>
      <c r="E12711" s="84">
        <v>0.6</v>
      </c>
      <c r="F12711" s="76" t="s">
        <v>974</v>
      </c>
      <c r="G12711" s="83">
        <v>46122.0</v>
      </c>
      <c r="H12711" s="76" t="s">
        <v>953</v>
      </c>
    </row>
    <row r="12712">
      <c r="A12712" s="76" t="s">
        <v>970</v>
      </c>
      <c r="B12712" s="76" t="s">
        <v>1029</v>
      </c>
      <c r="C12712" s="84">
        <v>2.51</v>
      </c>
      <c r="D12712" s="84">
        <v>0.0</v>
      </c>
      <c r="E12712" s="84">
        <v>0.0</v>
      </c>
      <c r="F12712" s="76" t="s">
        <v>974</v>
      </c>
      <c r="G12712" s="83">
        <v>46122.0</v>
      </c>
      <c r="H12712" s="76" t="s">
        <v>971</v>
      </c>
    </row>
    <row r="12713">
      <c r="A12713" s="76" t="s">
        <v>970</v>
      </c>
      <c r="B12713" s="76" t="s">
        <v>1029</v>
      </c>
      <c r="C12713" s="84">
        <v>0.29</v>
      </c>
      <c r="D12713" s="84">
        <v>0.0</v>
      </c>
      <c r="E12713" s="84">
        <v>0.0</v>
      </c>
      <c r="F12713" s="76" t="s">
        <v>974</v>
      </c>
      <c r="G12713" s="83">
        <v>46122.0</v>
      </c>
      <c r="H12713" s="76" t="s">
        <v>972</v>
      </c>
    </row>
    <row r="12714">
      <c r="A12714" s="76" t="s">
        <v>970</v>
      </c>
      <c r="B12714" s="76" t="s">
        <v>1029</v>
      </c>
      <c r="C12714" s="84">
        <v>4.64</v>
      </c>
      <c r="D12714" s="84">
        <v>0.0</v>
      </c>
      <c r="E12714" s="84">
        <v>0.0</v>
      </c>
      <c r="F12714" s="76" t="s">
        <v>974</v>
      </c>
      <c r="G12714" s="83">
        <v>46122.0</v>
      </c>
      <c r="H12714" s="76" t="s">
        <v>973</v>
      </c>
    </row>
    <row r="12715">
      <c r="A12715" s="76" t="s">
        <v>40</v>
      </c>
      <c r="B12715" s="76" t="s">
        <v>1029</v>
      </c>
      <c r="C12715" s="84">
        <v>1.79</v>
      </c>
      <c r="D12715" s="84">
        <v>0.0</v>
      </c>
      <c r="E12715" s="84">
        <v>0.0</v>
      </c>
      <c r="F12715" s="76" t="s">
        <v>974</v>
      </c>
      <c r="G12715" s="83">
        <v>46122.0</v>
      </c>
      <c r="H12715" s="76" t="s">
        <v>954</v>
      </c>
    </row>
    <row r="12716">
      <c r="A12716" s="76" t="s">
        <v>40</v>
      </c>
      <c r="B12716" s="76" t="s">
        <v>1029</v>
      </c>
      <c r="C12716" s="84">
        <v>0.56</v>
      </c>
      <c r="D12716" s="84">
        <v>0.0</v>
      </c>
      <c r="E12716" s="84">
        <v>0.0</v>
      </c>
      <c r="F12716" s="76" t="s">
        <v>974</v>
      </c>
      <c r="G12716" s="83">
        <v>46122.0</v>
      </c>
      <c r="H12716" s="76" t="s">
        <v>955</v>
      </c>
    </row>
    <row r="12717">
      <c r="A12717" s="76" t="s">
        <v>40</v>
      </c>
      <c r="B12717" s="76" t="s">
        <v>1029</v>
      </c>
      <c r="C12717" s="84">
        <v>6.97</v>
      </c>
      <c r="D12717" s="84">
        <v>2.0</v>
      </c>
      <c r="E12717" s="84">
        <v>3.48</v>
      </c>
      <c r="F12717" s="76" t="s">
        <v>974</v>
      </c>
      <c r="G12717" s="83">
        <v>46122.0</v>
      </c>
      <c r="H12717" s="76" t="s">
        <v>956</v>
      </c>
    </row>
    <row r="12718">
      <c r="A12718" s="76" t="s">
        <v>29</v>
      </c>
      <c r="B12718" s="76" t="s">
        <v>1029</v>
      </c>
      <c r="C12718" s="84">
        <v>12.61</v>
      </c>
      <c r="D12718" s="84">
        <v>0.0</v>
      </c>
      <c r="E12718" s="84">
        <v>0.0</v>
      </c>
      <c r="F12718" s="76" t="s">
        <v>975</v>
      </c>
      <c r="G12718" s="83">
        <v>46122.0</v>
      </c>
      <c r="H12718" s="76" t="s">
        <v>971</v>
      </c>
    </row>
    <row r="12719">
      <c r="A12719" s="76" t="s">
        <v>29</v>
      </c>
      <c r="B12719" s="76" t="s">
        <v>1029</v>
      </c>
      <c r="C12719" s="84">
        <v>2.12</v>
      </c>
      <c r="D12719" s="84">
        <v>0.0</v>
      </c>
      <c r="E12719" s="84">
        <v>0.0</v>
      </c>
      <c r="F12719" s="76" t="s">
        <v>975</v>
      </c>
      <c r="G12719" s="83">
        <v>46122.0</v>
      </c>
      <c r="H12719" s="76" t="s">
        <v>972</v>
      </c>
    </row>
    <row r="12720">
      <c r="A12720" s="76" t="s">
        <v>29</v>
      </c>
      <c r="B12720" s="76" t="s">
        <v>1029</v>
      </c>
      <c r="C12720" s="84">
        <v>25.88</v>
      </c>
      <c r="D12720" s="84">
        <v>6.0</v>
      </c>
      <c r="E12720" s="84">
        <v>4.31</v>
      </c>
      <c r="F12720" s="76" t="s">
        <v>975</v>
      </c>
      <c r="G12720" s="83">
        <v>46122.0</v>
      </c>
      <c r="H12720" s="76" t="s">
        <v>973</v>
      </c>
    </row>
    <row r="12721">
      <c r="A12721" s="76" t="s">
        <v>46</v>
      </c>
      <c r="B12721" s="76" t="s">
        <v>1029</v>
      </c>
      <c r="C12721" s="84">
        <v>5.88</v>
      </c>
      <c r="D12721" s="84">
        <v>1.0</v>
      </c>
      <c r="E12721" s="84">
        <v>5.88</v>
      </c>
      <c r="F12721" s="76" t="s">
        <v>975</v>
      </c>
      <c r="G12721" s="83">
        <v>46122.0</v>
      </c>
      <c r="H12721" s="76" t="s">
        <v>960</v>
      </c>
    </row>
    <row r="12722">
      <c r="A12722" s="76" t="s">
        <v>46</v>
      </c>
      <c r="B12722" s="76" t="s">
        <v>1029</v>
      </c>
      <c r="C12722" s="84">
        <v>2.02</v>
      </c>
      <c r="D12722" s="84">
        <v>1.0</v>
      </c>
      <c r="E12722" s="84">
        <v>2.02</v>
      </c>
      <c r="F12722" s="76" t="s">
        <v>975</v>
      </c>
      <c r="G12722" s="83">
        <v>46122.0</v>
      </c>
      <c r="H12722" s="76" t="s">
        <v>961</v>
      </c>
    </row>
    <row r="12723">
      <c r="A12723" s="76" t="s">
        <v>46</v>
      </c>
      <c r="B12723" s="76" t="s">
        <v>1029</v>
      </c>
      <c r="C12723" s="84">
        <v>9.23</v>
      </c>
      <c r="D12723" s="84">
        <v>2.0</v>
      </c>
      <c r="E12723" s="84">
        <v>4.62</v>
      </c>
      <c r="F12723" s="76" t="s">
        <v>975</v>
      </c>
      <c r="G12723" s="83">
        <v>46122.0</v>
      </c>
      <c r="H12723" s="76" t="s">
        <v>962</v>
      </c>
    </row>
    <row r="12724">
      <c r="A12724" s="76" t="s">
        <v>36</v>
      </c>
      <c r="B12724" s="76" t="s">
        <v>1029</v>
      </c>
      <c r="C12724" s="84">
        <v>19.46</v>
      </c>
      <c r="D12724" s="84">
        <v>6.0</v>
      </c>
      <c r="E12724" s="84">
        <v>3.24</v>
      </c>
      <c r="F12724" s="76" t="s">
        <v>975</v>
      </c>
      <c r="G12724" s="83">
        <v>46122.0</v>
      </c>
      <c r="H12724" s="76" t="s">
        <v>926</v>
      </c>
    </row>
    <row r="12725">
      <c r="A12725" s="76" t="s">
        <v>36</v>
      </c>
      <c r="B12725" s="76" t="s">
        <v>1029</v>
      </c>
      <c r="C12725" s="84">
        <v>2.92</v>
      </c>
      <c r="D12725" s="84">
        <v>2.0</v>
      </c>
      <c r="E12725" s="84">
        <v>1.46</v>
      </c>
      <c r="F12725" s="76" t="s">
        <v>975</v>
      </c>
      <c r="G12725" s="83">
        <v>46122.0</v>
      </c>
      <c r="H12725" s="76" t="s">
        <v>927</v>
      </c>
    </row>
    <row r="12726">
      <c r="A12726" s="76" t="s">
        <v>36</v>
      </c>
      <c r="B12726" s="76" t="s">
        <v>1029</v>
      </c>
      <c r="C12726" s="84">
        <v>14.6</v>
      </c>
      <c r="D12726" s="84">
        <v>3.0</v>
      </c>
      <c r="E12726" s="84">
        <v>4.87</v>
      </c>
      <c r="F12726" s="76" t="s">
        <v>975</v>
      </c>
      <c r="G12726" s="83">
        <v>46122.0</v>
      </c>
      <c r="H12726" s="76" t="s">
        <v>928</v>
      </c>
    </row>
    <row r="12727">
      <c r="A12727" s="76" t="s">
        <v>43</v>
      </c>
      <c r="B12727" s="76" t="s">
        <v>1029</v>
      </c>
      <c r="C12727" s="84">
        <v>3.23</v>
      </c>
      <c r="D12727" s="84">
        <v>1.0</v>
      </c>
      <c r="E12727" s="84">
        <v>3.23</v>
      </c>
      <c r="F12727" s="76" t="s">
        <v>975</v>
      </c>
      <c r="G12727" s="83">
        <v>46122.0</v>
      </c>
      <c r="H12727" s="76" t="s">
        <v>963</v>
      </c>
    </row>
    <row r="12728">
      <c r="A12728" s="76" t="s">
        <v>43</v>
      </c>
      <c r="B12728" s="76" t="s">
        <v>1029</v>
      </c>
      <c r="C12728" s="84">
        <v>6.01</v>
      </c>
      <c r="D12728" s="84">
        <v>0.0</v>
      </c>
      <c r="E12728" s="84">
        <v>0.0</v>
      </c>
      <c r="F12728" s="76" t="s">
        <v>975</v>
      </c>
      <c r="G12728" s="83">
        <v>46122.0</v>
      </c>
      <c r="H12728" s="76" t="s">
        <v>964</v>
      </c>
    </row>
    <row r="12729">
      <c r="A12729" s="76" t="s">
        <v>43</v>
      </c>
      <c r="B12729" s="76" t="s">
        <v>1029</v>
      </c>
      <c r="C12729" s="84">
        <v>7.14</v>
      </c>
      <c r="D12729" s="84">
        <v>2.0</v>
      </c>
      <c r="E12729" s="84">
        <v>3.57</v>
      </c>
      <c r="F12729" s="76" t="s">
        <v>975</v>
      </c>
      <c r="G12729" s="83">
        <v>46122.0</v>
      </c>
      <c r="H12729" s="76" t="s">
        <v>965</v>
      </c>
    </row>
    <row r="12730">
      <c r="A12730" s="76" t="s">
        <v>34</v>
      </c>
      <c r="B12730" s="76" t="s">
        <v>1029</v>
      </c>
      <c r="C12730" s="84">
        <v>4.53</v>
      </c>
      <c r="D12730" s="84">
        <v>2.0</v>
      </c>
      <c r="E12730" s="84">
        <v>2.26</v>
      </c>
      <c r="F12730" s="76" t="s">
        <v>975</v>
      </c>
      <c r="G12730" s="83">
        <v>46122.0</v>
      </c>
      <c r="H12730" s="76" t="s">
        <v>951</v>
      </c>
    </row>
    <row r="12731">
      <c r="A12731" s="76" t="s">
        <v>34</v>
      </c>
      <c r="B12731" s="76" t="s">
        <v>1029</v>
      </c>
      <c r="C12731" s="84">
        <v>17.2</v>
      </c>
      <c r="D12731" s="84">
        <v>6.0</v>
      </c>
      <c r="E12731" s="84">
        <v>2.87</v>
      </c>
      <c r="F12731" s="76" t="s">
        <v>975</v>
      </c>
      <c r="G12731" s="83">
        <v>46122.0</v>
      </c>
      <c r="H12731" s="76" t="s">
        <v>952</v>
      </c>
    </row>
    <row r="12732">
      <c r="A12732" s="76" t="s">
        <v>34</v>
      </c>
      <c r="B12732" s="76" t="s">
        <v>1029</v>
      </c>
      <c r="C12732" s="84">
        <v>3.26</v>
      </c>
      <c r="D12732" s="84">
        <v>1.0</v>
      </c>
      <c r="E12732" s="84">
        <v>3.26</v>
      </c>
      <c r="F12732" s="76" t="s">
        <v>975</v>
      </c>
      <c r="G12732" s="83">
        <v>46122.0</v>
      </c>
      <c r="H12732" s="76" t="s">
        <v>953</v>
      </c>
    </row>
    <row r="12733">
      <c r="A12733" s="76" t="s">
        <v>40</v>
      </c>
      <c r="B12733" s="76" t="s">
        <v>1029</v>
      </c>
      <c r="C12733" s="84">
        <v>7.77</v>
      </c>
      <c r="D12733" s="84">
        <v>1.0</v>
      </c>
      <c r="E12733" s="84">
        <v>7.77</v>
      </c>
      <c r="F12733" s="76" t="s">
        <v>975</v>
      </c>
      <c r="G12733" s="83">
        <v>46122.0</v>
      </c>
      <c r="H12733" s="76" t="s">
        <v>954</v>
      </c>
    </row>
    <row r="12734">
      <c r="A12734" s="76" t="s">
        <v>40</v>
      </c>
      <c r="B12734" s="76" t="s">
        <v>1029</v>
      </c>
      <c r="C12734" s="84">
        <v>4.06</v>
      </c>
      <c r="D12734" s="84">
        <v>0.0</v>
      </c>
      <c r="E12734" s="84">
        <v>0.0</v>
      </c>
      <c r="F12734" s="76" t="s">
        <v>975</v>
      </c>
      <c r="G12734" s="83">
        <v>46122.0</v>
      </c>
      <c r="H12734" s="76" t="s">
        <v>955</v>
      </c>
    </row>
    <row r="12735">
      <c r="A12735" s="76" t="s">
        <v>40</v>
      </c>
      <c r="B12735" s="76" t="s">
        <v>1029</v>
      </c>
      <c r="C12735" s="84">
        <v>54.64</v>
      </c>
      <c r="D12735" s="84">
        <v>6.0</v>
      </c>
      <c r="E12735" s="84">
        <v>9.11</v>
      </c>
      <c r="F12735" s="76" t="s">
        <v>975</v>
      </c>
      <c r="G12735" s="83">
        <v>46122.0</v>
      </c>
      <c r="H12735" s="76" t="s">
        <v>956</v>
      </c>
    </row>
    <row r="12736">
      <c r="A12736" s="76" t="s">
        <v>970</v>
      </c>
      <c r="B12736" s="76" t="s">
        <v>1029</v>
      </c>
      <c r="C12736" s="84">
        <v>25.79</v>
      </c>
      <c r="D12736" s="84">
        <v>2.0</v>
      </c>
      <c r="E12736" s="84">
        <v>12.89</v>
      </c>
      <c r="F12736" s="76" t="s">
        <v>975</v>
      </c>
      <c r="G12736" s="83">
        <v>46122.0</v>
      </c>
      <c r="H12736" s="76" t="s">
        <v>971</v>
      </c>
    </row>
    <row r="12737">
      <c r="A12737" s="76" t="s">
        <v>970</v>
      </c>
      <c r="B12737" s="76" t="s">
        <v>1029</v>
      </c>
      <c r="C12737" s="84">
        <v>1.58</v>
      </c>
      <c r="D12737" s="84">
        <v>0.0</v>
      </c>
      <c r="E12737" s="84">
        <v>0.0</v>
      </c>
      <c r="F12737" s="76" t="s">
        <v>975</v>
      </c>
      <c r="G12737" s="83">
        <v>46122.0</v>
      </c>
      <c r="H12737" s="76" t="s">
        <v>972</v>
      </c>
    </row>
    <row r="12738">
      <c r="A12738" s="76" t="s">
        <v>970</v>
      </c>
      <c r="B12738" s="76" t="s">
        <v>1029</v>
      </c>
      <c r="C12738" s="84">
        <v>83.58</v>
      </c>
      <c r="D12738" s="84">
        <v>8.0</v>
      </c>
      <c r="E12738" s="84">
        <v>10.45</v>
      </c>
      <c r="F12738" s="76" t="s">
        <v>975</v>
      </c>
      <c r="G12738" s="83">
        <v>46122.0</v>
      </c>
      <c r="H12738" s="76" t="s">
        <v>973</v>
      </c>
    </row>
    <row r="12739">
      <c r="A12739" s="76" t="s">
        <v>966</v>
      </c>
      <c r="B12739" s="76" t="s">
        <v>1029</v>
      </c>
      <c r="C12739" s="84">
        <v>5.65</v>
      </c>
      <c r="D12739" s="84">
        <v>0.0</v>
      </c>
      <c r="E12739" s="84">
        <v>0.0</v>
      </c>
      <c r="F12739" s="76" t="s">
        <v>975</v>
      </c>
      <c r="G12739" s="83">
        <v>46122.0</v>
      </c>
      <c r="H12739" s="76" t="s">
        <v>967</v>
      </c>
    </row>
    <row r="12740">
      <c r="A12740" s="76" t="s">
        <v>966</v>
      </c>
      <c r="B12740" s="76" t="s">
        <v>1029</v>
      </c>
      <c r="C12740" s="84">
        <v>3.36</v>
      </c>
      <c r="D12740" s="84">
        <v>1.0</v>
      </c>
      <c r="E12740" s="84">
        <v>3.36</v>
      </c>
      <c r="F12740" s="76" t="s">
        <v>975</v>
      </c>
      <c r="G12740" s="83">
        <v>46122.0</v>
      </c>
      <c r="H12740" s="76" t="s">
        <v>968</v>
      </c>
    </row>
    <row r="12741">
      <c r="A12741" s="76" t="s">
        <v>966</v>
      </c>
      <c r="B12741" s="76" t="s">
        <v>1029</v>
      </c>
      <c r="C12741" s="84">
        <v>14.96</v>
      </c>
      <c r="D12741" s="84">
        <v>2.0</v>
      </c>
      <c r="E12741" s="84">
        <v>7.48</v>
      </c>
      <c r="F12741" s="76" t="s">
        <v>975</v>
      </c>
      <c r="G12741" s="83">
        <v>46122.0</v>
      </c>
      <c r="H12741" s="76" t="s">
        <v>969</v>
      </c>
    </row>
    <row r="12742">
      <c r="A12742" s="76" t="s">
        <v>33</v>
      </c>
      <c r="B12742" s="76" t="s">
        <v>1029</v>
      </c>
      <c r="C12742" s="84">
        <v>547.07</v>
      </c>
      <c r="D12742" s="84">
        <v>88.0</v>
      </c>
      <c r="E12742" s="84">
        <v>6.22</v>
      </c>
      <c r="F12742" s="76" t="s">
        <v>975</v>
      </c>
      <c r="G12742" s="83">
        <v>46122.0</v>
      </c>
      <c r="H12742" s="76" t="s">
        <v>957</v>
      </c>
    </row>
    <row r="12743">
      <c r="A12743" s="76" t="s">
        <v>33</v>
      </c>
      <c r="B12743" s="76" t="s">
        <v>1029</v>
      </c>
      <c r="C12743" s="84">
        <v>6.52</v>
      </c>
      <c r="D12743" s="84">
        <v>0.0</v>
      </c>
      <c r="E12743" s="84">
        <v>0.0</v>
      </c>
      <c r="F12743" s="76" t="s">
        <v>975</v>
      </c>
      <c r="G12743" s="83">
        <v>46122.0</v>
      </c>
      <c r="H12743" s="76" t="s">
        <v>958</v>
      </c>
    </row>
    <row r="12744">
      <c r="A12744" s="76" t="s">
        <v>33</v>
      </c>
      <c r="B12744" s="76" t="s">
        <v>1029</v>
      </c>
      <c r="C12744" s="84">
        <v>30.16</v>
      </c>
      <c r="D12744" s="84">
        <v>5.0</v>
      </c>
      <c r="E12744" s="84">
        <v>6.03</v>
      </c>
      <c r="F12744" s="76" t="s">
        <v>975</v>
      </c>
      <c r="G12744" s="83">
        <v>46122.0</v>
      </c>
      <c r="H12744" s="76" t="s">
        <v>959</v>
      </c>
    </row>
    <row r="12745">
      <c r="A12745" s="76" t="s">
        <v>42</v>
      </c>
      <c r="B12745" s="76" t="s">
        <v>1037</v>
      </c>
      <c r="C12745" s="84">
        <v>0.95</v>
      </c>
      <c r="D12745" s="84">
        <v>0.0</v>
      </c>
      <c r="E12745" s="84">
        <v>0.0</v>
      </c>
      <c r="F12745" s="76" t="s">
        <v>925</v>
      </c>
      <c r="G12745" s="83">
        <v>46122.0</v>
      </c>
      <c r="H12745" s="76" t="s">
        <v>991</v>
      </c>
    </row>
    <row r="12746">
      <c r="A12746" s="76" t="s">
        <v>42</v>
      </c>
      <c r="B12746" s="76" t="s">
        <v>1037</v>
      </c>
      <c r="C12746" s="84">
        <v>20.11</v>
      </c>
      <c r="D12746" s="84">
        <v>6.0</v>
      </c>
      <c r="E12746" s="84">
        <v>3.35</v>
      </c>
      <c r="F12746" s="76" t="s">
        <v>925</v>
      </c>
      <c r="G12746" s="83">
        <v>46122.0</v>
      </c>
      <c r="H12746" s="76" t="s">
        <v>935</v>
      </c>
    </row>
    <row r="12747">
      <c r="A12747" s="76" t="s">
        <v>36</v>
      </c>
      <c r="B12747" s="76" t="s">
        <v>1037</v>
      </c>
      <c r="C12747" s="84">
        <v>36.51</v>
      </c>
      <c r="D12747" s="84">
        <v>6.0</v>
      </c>
      <c r="E12747" s="84">
        <v>6.09</v>
      </c>
      <c r="F12747" s="76" t="s">
        <v>925</v>
      </c>
      <c r="G12747" s="83">
        <v>46122.0</v>
      </c>
      <c r="H12747" s="76" t="s">
        <v>926</v>
      </c>
    </row>
    <row r="12748">
      <c r="A12748" s="76" t="s">
        <v>36</v>
      </c>
      <c r="B12748" s="76" t="s">
        <v>1037</v>
      </c>
      <c r="C12748" s="84">
        <v>2.71</v>
      </c>
      <c r="D12748" s="84">
        <v>0.0</v>
      </c>
      <c r="E12748" s="84">
        <v>0.0</v>
      </c>
      <c r="F12748" s="76" t="s">
        <v>925</v>
      </c>
      <c r="G12748" s="83">
        <v>46122.0</v>
      </c>
      <c r="H12748" s="76" t="s">
        <v>927</v>
      </c>
    </row>
    <row r="12749">
      <c r="A12749" s="76" t="s">
        <v>36</v>
      </c>
      <c r="B12749" s="76" t="s">
        <v>1037</v>
      </c>
      <c r="C12749" s="84">
        <v>7.48</v>
      </c>
      <c r="D12749" s="84">
        <v>0.0</v>
      </c>
      <c r="E12749" s="84">
        <v>0.0</v>
      </c>
      <c r="F12749" s="76" t="s">
        <v>925</v>
      </c>
      <c r="G12749" s="83">
        <v>46122.0</v>
      </c>
      <c r="H12749" s="76" t="s">
        <v>928</v>
      </c>
    </row>
    <row r="12750">
      <c r="A12750" s="76" t="s">
        <v>32</v>
      </c>
      <c r="B12750" s="76" t="s">
        <v>1037</v>
      </c>
      <c r="C12750" s="84">
        <v>16.85</v>
      </c>
      <c r="D12750" s="84">
        <v>3.0</v>
      </c>
      <c r="E12750" s="84">
        <v>5.62</v>
      </c>
      <c r="F12750" s="76" t="s">
        <v>925</v>
      </c>
      <c r="G12750" s="83">
        <v>46122.0</v>
      </c>
      <c r="H12750" s="76" t="s">
        <v>941</v>
      </c>
    </row>
    <row r="12751">
      <c r="A12751" s="76" t="s">
        <v>32</v>
      </c>
      <c r="B12751" s="76" t="s">
        <v>1037</v>
      </c>
      <c r="C12751" s="84">
        <v>7.15</v>
      </c>
      <c r="D12751" s="84">
        <v>3.0</v>
      </c>
      <c r="E12751" s="84">
        <v>2.38</v>
      </c>
      <c r="F12751" s="76" t="s">
        <v>925</v>
      </c>
      <c r="G12751" s="83">
        <v>46122.0</v>
      </c>
      <c r="H12751" s="76" t="s">
        <v>942</v>
      </c>
    </row>
    <row r="12752">
      <c r="A12752" s="76" t="s">
        <v>32</v>
      </c>
      <c r="B12752" s="76" t="s">
        <v>1037</v>
      </c>
      <c r="C12752" s="84">
        <v>38.74</v>
      </c>
      <c r="D12752" s="84">
        <v>5.0</v>
      </c>
      <c r="E12752" s="84">
        <v>7.75</v>
      </c>
      <c r="F12752" s="76" t="s">
        <v>925</v>
      </c>
      <c r="G12752" s="83">
        <v>46122.0</v>
      </c>
      <c r="H12752" s="76" t="s">
        <v>943</v>
      </c>
    </row>
    <row r="12753">
      <c r="A12753" s="76" t="s">
        <v>944</v>
      </c>
      <c r="B12753" s="76" t="s">
        <v>1037</v>
      </c>
      <c r="C12753" s="84">
        <v>13.17</v>
      </c>
      <c r="D12753" s="84">
        <v>2.0</v>
      </c>
      <c r="E12753" s="84">
        <v>6.58</v>
      </c>
      <c r="F12753" s="76" t="s">
        <v>925</v>
      </c>
      <c r="G12753" s="83">
        <v>46122.0</v>
      </c>
      <c r="H12753" s="76" t="s">
        <v>945</v>
      </c>
    </row>
    <row r="12754">
      <c r="A12754" s="76" t="s">
        <v>944</v>
      </c>
      <c r="B12754" s="76" t="s">
        <v>1037</v>
      </c>
      <c r="C12754" s="84">
        <v>3.49</v>
      </c>
      <c r="D12754" s="84">
        <v>0.0</v>
      </c>
      <c r="E12754" s="84">
        <v>0.0</v>
      </c>
      <c r="F12754" s="76" t="s">
        <v>925</v>
      </c>
      <c r="G12754" s="83">
        <v>46122.0</v>
      </c>
      <c r="H12754" s="76" t="s">
        <v>946</v>
      </c>
    </row>
    <row r="12755">
      <c r="A12755" s="76" t="s">
        <v>944</v>
      </c>
      <c r="B12755" s="76" t="s">
        <v>1037</v>
      </c>
      <c r="C12755" s="84">
        <v>14.9</v>
      </c>
      <c r="D12755" s="84">
        <v>6.0</v>
      </c>
      <c r="E12755" s="84">
        <v>2.48</v>
      </c>
      <c r="F12755" s="76" t="s">
        <v>925</v>
      </c>
      <c r="G12755" s="83">
        <v>46122.0</v>
      </c>
      <c r="H12755" s="76" t="s">
        <v>947</v>
      </c>
    </row>
    <row r="12756">
      <c r="A12756" s="76" t="s">
        <v>31</v>
      </c>
      <c r="B12756" s="76" t="s">
        <v>1037</v>
      </c>
      <c r="C12756" s="84">
        <v>10.1</v>
      </c>
      <c r="D12756" s="84">
        <v>4.0</v>
      </c>
      <c r="E12756" s="84">
        <v>2.53</v>
      </c>
      <c r="F12756" s="76" t="s">
        <v>925</v>
      </c>
      <c r="G12756" s="83">
        <v>46122.0</v>
      </c>
      <c r="H12756" s="76" t="s">
        <v>929</v>
      </c>
    </row>
    <row r="12757">
      <c r="A12757" s="76" t="s">
        <v>31</v>
      </c>
      <c r="B12757" s="76" t="s">
        <v>1037</v>
      </c>
      <c r="C12757" s="84">
        <v>165.94</v>
      </c>
      <c r="D12757" s="84">
        <v>34.0</v>
      </c>
      <c r="E12757" s="84">
        <v>4.88</v>
      </c>
      <c r="F12757" s="76" t="s">
        <v>925</v>
      </c>
      <c r="G12757" s="83">
        <v>46122.0</v>
      </c>
      <c r="H12757" s="76" t="s">
        <v>930</v>
      </c>
    </row>
    <row r="12758">
      <c r="A12758" s="76" t="s">
        <v>45</v>
      </c>
      <c r="B12758" s="76" t="s">
        <v>1037</v>
      </c>
      <c r="C12758" s="84">
        <v>1.39</v>
      </c>
      <c r="D12758" s="84">
        <v>0.0</v>
      </c>
      <c r="E12758" s="84">
        <v>0.0</v>
      </c>
      <c r="F12758" s="76" t="s">
        <v>925</v>
      </c>
      <c r="G12758" s="83">
        <v>46122.0</v>
      </c>
      <c r="H12758" s="76" t="s">
        <v>936</v>
      </c>
    </row>
    <row r="12759">
      <c r="A12759" s="76" t="s">
        <v>45</v>
      </c>
      <c r="B12759" s="76" t="s">
        <v>1037</v>
      </c>
      <c r="C12759" s="84">
        <v>3.51</v>
      </c>
      <c r="D12759" s="84">
        <v>0.0</v>
      </c>
      <c r="E12759" s="84">
        <v>0.0</v>
      </c>
      <c r="F12759" s="76" t="s">
        <v>925</v>
      </c>
      <c r="G12759" s="83">
        <v>46122.0</v>
      </c>
      <c r="H12759" s="76" t="s">
        <v>937</v>
      </c>
    </row>
    <row r="12760">
      <c r="A12760" s="76" t="s">
        <v>45</v>
      </c>
      <c r="B12760" s="76" t="s">
        <v>1037</v>
      </c>
      <c r="C12760" s="84">
        <v>2.99</v>
      </c>
      <c r="D12760" s="84">
        <v>0.0</v>
      </c>
      <c r="E12760" s="84">
        <v>0.0</v>
      </c>
      <c r="F12760" s="76" t="s">
        <v>925</v>
      </c>
      <c r="G12760" s="83">
        <v>46122.0</v>
      </c>
      <c r="H12760" s="76" t="s">
        <v>938</v>
      </c>
    </row>
    <row r="12761">
      <c r="A12761" s="76" t="s">
        <v>26</v>
      </c>
      <c r="B12761" s="76" t="s">
        <v>1037</v>
      </c>
      <c r="C12761" s="84">
        <v>2.57</v>
      </c>
      <c r="D12761" s="84">
        <v>0.0</v>
      </c>
      <c r="E12761" s="84">
        <v>0.0</v>
      </c>
      <c r="F12761" s="76" t="s">
        <v>925</v>
      </c>
      <c r="G12761" s="83">
        <v>46122.0</v>
      </c>
      <c r="H12761" s="76" t="s">
        <v>1012</v>
      </c>
    </row>
    <row r="12762">
      <c r="A12762" s="76" t="s">
        <v>26</v>
      </c>
      <c r="B12762" s="76" t="s">
        <v>1037</v>
      </c>
      <c r="C12762" s="84">
        <v>6.34</v>
      </c>
      <c r="D12762" s="84">
        <v>1.0</v>
      </c>
      <c r="E12762" s="84">
        <v>6.34</v>
      </c>
      <c r="F12762" s="76" t="s">
        <v>925</v>
      </c>
      <c r="G12762" s="83">
        <v>46122.0</v>
      </c>
      <c r="H12762" s="76" t="s">
        <v>1013</v>
      </c>
    </row>
    <row r="12763">
      <c r="A12763" s="76" t="s">
        <v>26</v>
      </c>
      <c r="B12763" s="76" t="s">
        <v>1037</v>
      </c>
      <c r="C12763" s="84">
        <v>110.45</v>
      </c>
      <c r="D12763" s="84">
        <v>18.0</v>
      </c>
      <c r="E12763" s="84">
        <v>6.14</v>
      </c>
      <c r="F12763" s="76" t="s">
        <v>925</v>
      </c>
      <c r="G12763" s="83">
        <v>46122.0</v>
      </c>
      <c r="H12763" s="76" t="s">
        <v>1014</v>
      </c>
    </row>
    <row r="12764">
      <c r="A12764" s="76" t="s">
        <v>28</v>
      </c>
      <c r="B12764" s="76" t="s">
        <v>1037</v>
      </c>
      <c r="C12764" s="84">
        <v>2.89</v>
      </c>
      <c r="D12764" s="84">
        <v>0.0</v>
      </c>
      <c r="E12764" s="84">
        <v>0.0</v>
      </c>
      <c r="F12764" s="76" t="s">
        <v>925</v>
      </c>
      <c r="G12764" s="83">
        <v>46122.0</v>
      </c>
      <c r="H12764" s="76" t="s">
        <v>931</v>
      </c>
    </row>
    <row r="12765">
      <c r="A12765" s="76" t="s">
        <v>28</v>
      </c>
      <c r="B12765" s="76" t="s">
        <v>1037</v>
      </c>
      <c r="C12765" s="84">
        <v>1.98</v>
      </c>
      <c r="D12765" s="84">
        <v>0.0</v>
      </c>
      <c r="E12765" s="84">
        <v>0.0</v>
      </c>
      <c r="F12765" s="76" t="s">
        <v>925</v>
      </c>
      <c r="G12765" s="83">
        <v>46122.0</v>
      </c>
      <c r="H12765" s="76" t="s">
        <v>932</v>
      </c>
    </row>
    <row r="12766">
      <c r="A12766" s="76" t="s">
        <v>28</v>
      </c>
      <c r="B12766" s="76" t="s">
        <v>1037</v>
      </c>
      <c r="C12766" s="84">
        <v>55.68</v>
      </c>
      <c r="D12766" s="84">
        <v>10.0</v>
      </c>
      <c r="E12766" s="84">
        <v>5.57</v>
      </c>
      <c r="F12766" s="76" t="s">
        <v>925</v>
      </c>
      <c r="G12766" s="83">
        <v>46122.0</v>
      </c>
      <c r="H12766" s="76" t="s">
        <v>933</v>
      </c>
    </row>
    <row r="12767">
      <c r="A12767" s="76" t="s">
        <v>31</v>
      </c>
      <c r="B12767" s="76" t="s">
        <v>1037</v>
      </c>
      <c r="C12767" s="84">
        <v>5.88</v>
      </c>
      <c r="D12767" s="84">
        <v>2.0</v>
      </c>
      <c r="E12767" s="84">
        <v>2.94</v>
      </c>
      <c r="F12767" s="76" t="s">
        <v>948</v>
      </c>
      <c r="G12767" s="83">
        <v>46122.0</v>
      </c>
      <c r="H12767" s="76" t="s">
        <v>929</v>
      </c>
    </row>
    <row r="12768">
      <c r="A12768" s="76" t="s">
        <v>31</v>
      </c>
      <c r="B12768" s="76" t="s">
        <v>1037</v>
      </c>
      <c r="C12768" s="84">
        <v>324.22</v>
      </c>
      <c r="D12768" s="84">
        <v>60.0</v>
      </c>
      <c r="E12768" s="84">
        <v>5.4</v>
      </c>
      <c r="F12768" s="76" t="s">
        <v>948</v>
      </c>
      <c r="G12768" s="83">
        <v>46122.0</v>
      </c>
      <c r="H12768" s="76" t="s">
        <v>930</v>
      </c>
    </row>
    <row r="12769">
      <c r="A12769" s="76" t="s">
        <v>944</v>
      </c>
      <c r="B12769" s="76" t="s">
        <v>1037</v>
      </c>
      <c r="C12769" s="84">
        <v>15.74</v>
      </c>
      <c r="D12769" s="84">
        <v>1.0</v>
      </c>
      <c r="E12769" s="84">
        <v>15.74</v>
      </c>
      <c r="F12769" s="76" t="s">
        <v>948</v>
      </c>
      <c r="G12769" s="83">
        <v>46122.0</v>
      </c>
      <c r="H12769" s="76" t="s">
        <v>945</v>
      </c>
    </row>
    <row r="12770">
      <c r="A12770" s="76" t="s">
        <v>944</v>
      </c>
      <c r="B12770" s="76" t="s">
        <v>1037</v>
      </c>
      <c r="C12770" s="84">
        <v>3.31</v>
      </c>
      <c r="D12770" s="84">
        <v>1.0</v>
      </c>
      <c r="E12770" s="84">
        <v>3.31</v>
      </c>
      <c r="F12770" s="76" t="s">
        <v>948</v>
      </c>
      <c r="G12770" s="83">
        <v>46122.0</v>
      </c>
      <c r="H12770" s="76" t="s">
        <v>946</v>
      </c>
    </row>
    <row r="12771">
      <c r="A12771" s="76" t="s">
        <v>944</v>
      </c>
      <c r="B12771" s="76" t="s">
        <v>1037</v>
      </c>
      <c r="C12771" s="84">
        <v>7.76</v>
      </c>
      <c r="D12771" s="84">
        <v>1.0</v>
      </c>
      <c r="E12771" s="84">
        <v>7.76</v>
      </c>
      <c r="F12771" s="76" t="s">
        <v>948</v>
      </c>
      <c r="G12771" s="83">
        <v>46122.0</v>
      </c>
      <c r="H12771" s="76" t="s">
        <v>947</v>
      </c>
    </row>
    <row r="12772">
      <c r="A12772" s="76" t="s">
        <v>32</v>
      </c>
      <c r="B12772" s="76" t="s">
        <v>1037</v>
      </c>
      <c r="C12772" s="84">
        <v>3.76</v>
      </c>
      <c r="D12772" s="84">
        <v>0.0</v>
      </c>
      <c r="E12772" s="84">
        <v>0.0</v>
      </c>
      <c r="F12772" s="76" t="s">
        <v>948</v>
      </c>
      <c r="G12772" s="83">
        <v>46122.0</v>
      </c>
      <c r="H12772" s="76" t="s">
        <v>941</v>
      </c>
    </row>
    <row r="12773">
      <c r="A12773" s="76" t="s">
        <v>32</v>
      </c>
      <c r="B12773" s="76" t="s">
        <v>1037</v>
      </c>
      <c r="C12773" s="84">
        <v>4.25</v>
      </c>
      <c r="D12773" s="84">
        <v>2.0</v>
      </c>
      <c r="E12773" s="84">
        <v>2.13</v>
      </c>
      <c r="F12773" s="76" t="s">
        <v>948</v>
      </c>
      <c r="G12773" s="83">
        <v>46122.0</v>
      </c>
      <c r="H12773" s="76" t="s">
        <v>942</v>
      </c>
    </row>
    <row r="12774">
      <c r="A12774" s="76" t="s">
        <v>32</v>
      </c>
      <c r="B12774" s="76" t="s">
        <v>1037</v>
      </c>
      <c r="C12774" s="84">
        <v>114.46</v>
      </c>
      <c r="D12774" s="84">
        <v>19.0</v>
      </c>
      <c r="E12774" s="84">
        <v>6.02</v>
      </c>
      <c r="F12774" s="76" t="s">
        <v>948</v>
      </c>
      <c r="G12774" s="83">
        <v>46122.0</v>
      </c>
      <c r="H12774" s="76" t="s">
        <v>943</v>
      </c>
    </row>
    <row r="12775">
      <c r="A12775" s="76" t="s">
        <v>26</v>
      </c>
      <c r="B12775" s="76" t="s">
        <v>1037</v>
      </c>
      <c r="C12775" s="84">
        <v>1.52</v>
      </c>
      <c r="D12775" s="84">
        <v>0.0</v>
      </c>
      <c r="E12775" s="84">
        <v>0.0</v>
      </c>
      <c r="F12775" s="76" t="s">
        <v>948</v>
      </c>
      <c r="G12775" s="83">
        <v>46122.0</v>
      </c>
      <c r="H12775" s="76" t="s">
        <v>1012</v>
      </c>
    </row>
    <row r="12776">
      <c r="A12776" s="76" t="s">
        <v>26</v>
      </c>
      <c r="B12776" s="76" t="s">
        <v>1037</v>
      </c>
      <c r="C12776" s="84">
        <v>4.79</v>
      </c>
      <c r="D12776" s="84">
        <v>2.0</v>
      </c>
      <c r="E12776" s="84">
        <v>2.4</v>
      </c>
      <c r="F12776" s="76" t="s">
        <v>948</v>
      </c>
      <c r="G12776" s="83">
        <v>46122.0</v>
      </c>
      <c r="H12776" s="76" t="s">
        <v>1013</v>
      </c>
    </row>
    <row r="12777">
      <c r="A12777" s="76" t="s">
        <v>26</v>
      </c>
      <c r="B12777" s="76" t="s">
        <v>1037</v>
      </c>
      <c r="C12777" s="84">
        <v>54.34</v>
      </c>
      <c r="D12777" s="84">
        <v>12.0</v>
      </c>
      <c r="E12777" s="84">
        <v>4.53</v>
      </c>
      <c r="F12777" s="76" t="s">
        <v>948</v>
      </c>
      <c r="G12777" s="83">
        <v>46122.0</v>
      </c>
      <c r="H12777" s="76" t="s">
        <v>1014</v>
      </c>
    </row>
    <row r="12778">
      <c r="A12778" s="76" t="s">
        <v>36</v>
      </c>
      <c r="B12778" s="76" t="s">
        <v>1037</v>
      </c>
      <c r="C12778" s="84">
        <v>126.89</v>
      </c>
      <c r="D12778" s="84">
        <v>31.0</v>
      </c>
      <c r="E12778" s="84">
        <v>4.09</v>
      </c>
      <c r="F12778" s="76" t="s">
        <v>948</v>
      </c>
      <c r="G12778" s="83">
        <v>46122.0</v>
      </c>
      <c r="H12778" s="76" t="s">
        <v>926</v>
      </c>
    </row>
    <row r="12779">
      <c r="A12779" s="76" t="s">
        <v>36</v>
      </c>
      <c r="B12779" s="76" t="s">
        <v>1037</v>
      </c>
      <c r="C12779" s="84">
        <v>1.98</v>
      </c>
      <c r="D12779" s="84">
        <v>0.0</v>
      </c>
      <c r="E12779" s="84">
        <v>0.0</v>
      </c>
      <c r="F12779" s="76" t="s">
        <v>948</v>
      </c>
      <c r="G12779" s="83">
        <v>46122.0</v>
      </c>
      <c r="H12779" s="76" t="s">
        <v>927</v>
      </c>
    </row>
    <row r="12780">
      <c r="A12780" s="76" t="s">
        <v>36</v>
      </c>
      <c r="B12780" s="76" t="s">
        <v>1037</v>
      </c>
      <c r="C12780" s="84">
        <v>15.94</v>
      </c>
      <c r="D12780" s="84">
        <v>4.0</v>
      </c>
      <c r="E12780" s="84">
        <v>3.98</v>
      </c>
      <c r="F12780" s="76" t="s">
        <v>948</v>
      </c>
      <c r="G12780" s="83">
        <v>46122.0</v>
      </c>
      <c r="H12780" s="76" t="s">
        <v>928</v>
      </c>
    </row>
    <row r="12781">
      <c r="A12781" s="76" t="s">
        <v>28</v>
      </c>
      <c r="B12781" s="76" t="s">
        <v>1037</v>
      </c>
      <c r="C12781" s="84">
        <v>1.24</v>
      </c>
      <c r="D12781" s="84">
        <v>0.0</v>
      </c>
      <c r="E12781" s="84">
        <v>0.0</v>
      </c>
      <c r="F12781" s="76" t="s">
        <v>948</v>
      </c>
      <c r="G12781" s="83">
        <v>46122.0</v>
      </c>
      <c r="H12781" s="76" t="s">
        <v>931</v>
      </c>
    </row>
    <row r="12782">
      <c r="A12782" s="76" t="s">
        <v>28</v>
      </c>
      <c r="B12782" s="76" t="s">
        <v>1037</v>
      </c>
      <c r="C12782" s="84">
        <v>0.97</v>
      </c>
      <c r="D12782" s="84">
        <v>0.0</v>
      </c>
      <c r="E12782" s="84">
        <v>0.0</v>
      </c>
      <c r="F12782" s="76" t="s">
        <v>948</v>
      </c>
      <c r="G12782" s="83">
        <v>46122.0</v>
      </c>
      <c r="H12782" s="76" t="s">
        <v>932</v>
      </c>
    </row>
    <row r="12783">
      <c r="A12783" s="76" t="s">
        <v>28</v>
      </c>
      <c r="B12783" s="76" t="s">
        <v>1037</v>
      </c>
      <c r="C12783" s="84">
        <v>118.64</v>
      </c>
      <c r="D12783" s="84">
        <v>15.0</v>
      </c>
      <c r="E12783" s="84">
        <v>7.91</v>
      </c>
      <c r="F12783" s="76" t="s">
        <v>948</v>
      </c>
      <c r="G12783" s="83">
        <v>46122.0</v>
      </c>
      <c r="H12783" s="76" t="s">
        <v>933</v>
      </c>
    </row>
    <row r="12784">
      <c r="A12784" s="76" t="s">
        <v>45</v>
      </c>
      <c r="B12784" s="76" t="s">
        <v>1037</v>
      </c>
      <c r="C12784" s="84">
        <v>0.23</v>
      </c>
      <c r="D12784" s="84">
        <v>0.0</v>
      </c>
      <c r="E12784" s="84">
        <v>0.0</v>
      </c>
      <c r="F12784" s="76" t="s">
        <v>948</v>
      </c>
      <c r="G12784" s="83">
        <v>46122.0</v>
      </c>
      <c r="H12784" s="76" t="s">
        <v>936</v>
      </c>
    </row>
    <row r="12785">
      <c r="A12785" s="76" t="s">
        <v>45</v>
      </c>
      <c r="B12785" s="76" t="s">
        <v>1037</v>
      </c>
      <c r="C12785" s="84">
        <v>1.54</v>
      </c>
      <c r="D12785" s="84">
        <v>1.0</v>
      </c>
      <c r="E12785" s="84">
        <v>1.54</v>
      </c>
      <c r="F12785" s="76" t="s">
        <v>948</v>
      </c>
      <c r="G12785" s="83">
        <v>46122.0</v>
      </c>
      <c r="H12785" s="76" t="s">
        <v>937</v>
      </c>
    </row>
    <row r="12786">
      <c r="A12786" s="76" t="s">
        <v>45</v>
      </c>
      <c r="B12786" s="76" t="s">
        <v>1037</v>
      </c>
      <c r="C12786" s="84">
        <v>1.56</v>
      </c>
      <c r="D12786" s="84">
        <v>1.0</v>
      </c>
      <c r="E12786" s="84">
        <v>1.56</v>
      </c>
      <c r="F12786" s="76" t="s">
        <v>948</v>
      </c>
      <c r="G12786" s="83">
        <v>46122.0</v>
      </c>
      <c r="H12786" s="76" t="s">
        <v>938</v>
      </c>
    </row>
    <row r="12787">
      <c r="A12787" s="76" t="s">
        <v>42</v>
      </c>
      <c r="B12787" s="76" t="s">
        <v>1037</v>
      </c>
      <c r="C12787" s="84">
        <v>0.08</v>
      </c>
      <c r="D12787" s="84">
        <v>0.0</v>
      </c>
      <c r="E12787" s="84">
        <v>0.0</v>
      </c>
      <c r="F12787" s="76" t="s">
        <v>948</v>
      </c>
      <c r="G12787" s="83">
        <v>46122.0</v>
      </c>
      <c r="H12787" s="76" t="s">
        <v>991</v>
      </c>
    </row>
    <row r="12788">
      <c r="A12788" s="76" t="s">
        <v>42</v>
      </c>
      <c r="B12788" s="76" t="s">
        <v>1037</v>
      </c>
      <c r="C12788" s="84">
        <v>12.52</v>
      </c>
      <c r="D12788" s="84">
        <v>4.0</v>
      </c>
      <c r="E12788" s="84">
        <v>3.13</v>
      </c>
      <c r="F12788" s="76" t="s">
        <v>948</v>
      </c>
      <c r="G12788" s="83">
        <v>46122.0</v>
      </c>
      <c r="H12788" s="76" t="s">
        <v>935</v>
      </c>
    </row>
    <row r="12789">
      <c r="A12789" s="76" t="s">
        <v>29</v>
      </c>
      <c r="B12789" s="76" t="s">
        <v>1031</v>
      </c>
      <c r="C12789" s="84">
        <v>1.33</v>
      </c>
      <c r="D12789" s="84">
        <v>0.0</v>
      </c>
      <c r="E12789" s="84">
        <v>0.0</v>
      </c>
      <c r="F12789" s="76" t="s">
        <v>925</v>
      </c>
      <c r="G12789" s="83">
        <v>46122.0</v>
      </c>
      <c r="H12789" s="76" t="s">
        <v>971</v>
      </c>
    </row>
    <row r="12790">
      <c r="A12790" s="76" t="s">
        <v>29</v>
      </c>
      <c r="B12790" s="76" t="s">
        <v>1031</v>
      </c>
      <c r="C12790" s="84">
        <v>0.39</v>
      </c>
      <c r="D12790" s="84">
        <v>0.0</v>
      </c>
      <c r="E12790" s="84">
        <v>0.0</v>
      </c>
      <c r="F12790" s="76" t="s">
        <v>925</v>
      </c>
      <c r="G12790" s="83">
        <v>46122.0</v>
      </c>
      <c r="H12790" s="76" t="s">
        <v>972</v>
      </c>
    </row>
    <row r="12791">
      <c r="A12791" s="76" t="s">
        <v>29</v>
      </c>
      <c r="B12791" s="76" t="s">
        <v>1031</v>
      </c>
      <c r="C12791" s="84">
        <v>5.03</v>
      </c>
      <c r="D12791" s="84">
        <v>4.0</v>
      </c>
      <c r="E12791" s="84">
        <v>1.26</v>
      </c>
      <c r="F12791" s="76" t="s">
        <v>925</v>
      </c>
      <c r="G12791" s="83">
        <v>46122.0</v>
      </c>
      <c r="H12791" s="76" t="s">
        <v>973</v>
      </c>
    </row>
    <row r="12792">
      <c r="A12792" s="76" t="s">
        <v>36</v>
      </c>
      <c r="B12792" s="76" t="s">
        <v>1031</v>
      </c>
      <c r="C12792" s="84">
        <v>4.11</v>
      </c>
      <c r="D12792" s="84">
        <v>2.0</v>
      </c>
      <c r="E12792" s="84">
        <v>2.05</v>
      </c>
      <c r="F12792" s="76" t="s">
        <v>925</v>
      </c>
      <c r="G12792" s="83">
        <v>46122.0</v>
      </c>
      <c r="H12792" s="76" t="s">
        <v>926</v>
      </c>
    </row>
    <row r="12793">
      <c r="A12793" s="76" t="s">
        <v>36</v>
      </c>
      <c r="B12793" s="76" t="s">
        <v>1031</v>
      </c>
      <c r="C12793" s="84">
        <v>0.47</v>
      </c>
      <c r="D12793" s="84">
        <v>0.0</v>
      </c>
      <c r="E12793" s="84">
        <v>0.0</v>
      </c>
      <c r="F12793" s="76" t="s">
        <v>925</v>
      </c>
      <c r="G12793" s="83">
        <v>46122.0</v>
      </c>
      <c r="H12793" s="76" t="s">
        <v>927</v>
      </c>
    </row>
    <row r="12794">
      <c r="A12794" s="76" t="s">
        <v>36</v>
      </c>
      <c r="B12794" s="76" t="s">
        <v>1031</v>
      </c>
      <c r="C12794" s="84">
        <v>0.58</v>
      </c>
      <c r="D12794" s="84">
        <v>0.0</v>
      </c>
      <c r="E12794" s="84">
        <v>0.0</v>
      </c>
      <c r="F12794" s="76" t="s">
        <v>925</v>
      </c>
      <c r="G12794" s="83">
        <v>46122.0</v>
      </c>
      <c r="H12794" s="76" t="s">
        <v>928</v>
      </c>
    </row>
    <row r="12795">
      <c r="A12795" s="76" t="s">
        <v>40</v>
      </c>
      <c r="B12795" s="76" t="s">
        <v>1031</v>
      </c>
      <c r="C12795" s="84">
        <v>0.74</v>
      </c>
      <c r="D12795" s="84">
        <v>0.0</v>
      </c>
      <c r="E12795" s="84">
        <v>0.0</v>
      </c>
      <c r="F12795" s="76" t="s">
        <v>925</v>
      </c>
      <c r="G12795" s="83">
        <v>46122.0</v>
      </c>
      <c r="H12795" s="76" t="s">
        <v>954</v>
      </c>
    </row>
    <row r="12796">
      <c r="A12796" s="76" t="s">
        <v>40</v>
      </c>
      <c r="B12796" s="76" t="s">
        <v>1031</v>
      </c>
      <c r="C12796" s="84">
        <v>0.66</v>
      </c>
      <c r="D12796" s="84">
        <v>0.0</v>
      </c>
      <c r="E12796" s="84">
        <v>0.0</v>
      </c>
      <c r="F12796" s="76" t="s">
        <v>925</v>
      </c>
      <c r="G12796" s="83">
        <v>46122.0</v>
      </c>
      <c r="H12796" s="76" t="s">
        <v>955</v>
      </c>
    </row>
    <row r="12797">
      <c r="A12797" s="76" t="s">
        <v>40</v>
      </c>
      <c r="B12797" s="76" t="s">
        <v>1031</v>
      </c>
      <c r="C12797" s="84">
        <v>6.93</v>
      </c>
      <c r="D12797" s="84">
        <v>0.0</v>
      </c>
      <c r="E12797" s="84">
        <v>0.0</v>
      </c>
      <c r="F12797" s="76" t="s">
        <v>925</v>
      </c>
      <c r="G12797" s="83">
        <v>46122.0</v>
      </c>
      <c r="H12797" s="76" t="s">
        <v>956</v>
      </c>
    </row>
    <row r="12798">
      <c r="A12798" s="76" t="s">
        <v>970</v>
      </c>
      <c r="B12798" s="76" t="s">
        <v>1031</v>
      </c>
      <c r="C12798" s="84">
        <v>1.51</v>
      </c>
      <c r="D12798" s="84">
        <v>1.0</v>
      </c>
      <c r="E12798" s="84">
        <v>1.51</v>
      </c>
      <c r="F12798" s="76" t="s">
        <v>925</v>
      </c>
      <c r="G12798" s="83">
        <v>46122.0</v>
      </c>
      <c r="H12798" s="76" t="s">
        <v>971</v>
      </c>
    </row>
    <row r="12799">
      <c r="A12799" s="76" t="s">
        <v>970</v>
      </c>
      <c r="B12799" s="76" t="s">
        <v>1031</v>
      </c>
      <c r="C12799" s="84">
        <v>0.35</v>
      </c>
      <c r="D12799" s="84">
        <v>0.0</v>
      </c>
      <c r="E12799" s="84">
        <v>0.0</v>
      </c>
      <c r="F12799" s="76" t="s">
        <v>925</v>
      </c>
      <c r="G12799" s="83">
        <v>46122.0</v>
      </c>
      <c r="H12799" s="76" t="s">
        <v>972</v>
      </c>
    </row>
    <row r="12800">
      <c r="A12800" s="76" t="s">
        <v>970</v>
      </c>
      <c r="B12800" s="76" t="s">
        <v>1031</v>
      </c>
      <c r="C12800" s="84">
        <v>5.02</v>
      </c>
      <c r="D12800" s="84">
        <v>0.0</v>
      </c>
      <c r="E12800" s="84">
        <v>0.0</v>
      </c>
      <c r="F12800" s="76" t="s">
        <v>925</v>
      </c>
      <c r="G12800" s="83">
        <v>46122.0</v>
      </c>
      <c r="H12800" s="76" t="s">
        <v>973</v>
      </c>
    </row>
    <row r="12801">
      <c r="A12801" s="76" t="s">
        <v>46</v>
      </c>
      <c r="B12801" s="76" t="s">
        <v>1031</v>
      </c>
      <c r="C12801" s="84">
        <v>1.94</v>
      </c>
      <c r="D12801" s="84">
        <v>0.0</v>
      </c>
      <c r="E12801" s="84">
        <v>0.0</v>
      </c>
      <c r="F12801" s="76" t="s">
        <v>925</v>
      </c>
      <c r="G12801" s="83">
        <v>46122.0</v>
      </c>
      <c r="H12801" s="76" t="s">
        <v>960</v>
      </c>
    </row>
    <row r="12802">
      <c r="A12802" s="76" t="s">
        <v>46</v>
      </c>
      <c r="B12802" s="76" t="s">
        <v>1031</v>
      </c>
      <c r="C12802" s="84">
        <v>0.38</v>
      </c>
      <c r="D12802" s="84">
        <v>0.0</v>
      </c>
      <c r="E12802" s="84">
        <v>0.0</v>
      </c>
      <c r="F12802" s="76" t="s">
        <v>925</v>
      </c>
      <c r="G12802" s="83">
        <v>46122.0</v>
      </c>
      <c r="H12802" s="76" t="s">
        <v>961</v>
      </c>
    </row>
    <row r="12803">
      <c r="A12803" s="76" t="s">
        <v>46</v>
      </c>
      <c r="B12803" s="76" t="s">
        <v>1031</v>
      </c>
      <c r="C12803" s="84">
        <v>2.52</v>
      </c>
      <c r="D12803" s="84">
        <v>0.0</v>
      </c>
      <c r="E12803" s="84">
        <v>0.0</v>
      </c>
      <c r="F12803" s="76" t="s">
        <v>925</v>
      </c>
      <c r="G12803" s="83">
        <v>46122.0</v>
      </c>
      <c r="H12803" s="76" t="s">
        <v>962</v>
      </c>
    </row>
    <row r="12804">
      <c r="A12804" s="76" t="s">
        <v>34</v>
      </c>
      <c r="B12804" s="76" t="s">
        <v>1031</v>
      </c>
      <c r="C12804" s="84">
        <v>0.54</v>
      </c>
      <c r="D12804" s="84">
        <v>0.0</v>
      </c>
      <c r="E12804" s="84">
        <v>0.0</v>
      </c>
      <c r="F12804" s="76" t="s">
        <v>925</v>
      </c>
      <c r="G12804" s="83">
        <v>46122.0</v>
      </c>
      <c r="H12804" s="76" t="s">
        <v>951</v>
      </c>
    </row>
    <row r="12805">
      <c r="A12805" s="76" t="s">
        <v>34</v>
      </c>
      <c r="B12805" s="76" t="s">
        <v>1031</v>
      </c>
      <c r="C12805" s="84">
        <v>1.32</v>
      </c>
      <c r="D12805" s="84">
        <v>0.0</v>
      </c>
      <c r="E12805" s="84">
        <v>0.0</v>
      </c>
      <c r="F12805" s="76" t="s">
        <v>925</v>
      </c>
      <c r="G12805" s="83">
        <v>46122.0</v>
      </c>
      <c r="H12805" s="76" t="s">
        <v>952</v>
      </c>
    </row>
    <row r="12806">
      <c r="A12806" s="76" t="s">
        <v>34</v>
      </c>
      <c r="B12806" s="76" t="s">
        <v>1031</v>
      </c>
      <c r="C12806" s="84">
        <v>0.58</v>
      </c>
      <c r="D12806" s="84">
        <v>0.0</v>
      </c>
      <c r="E12806" s="84">
        <v>0.0</v>
      </c>
      <c r="F12806" s="76" t="s">
        <v>925</v>
      </c>
      <c r="G12806" s="83">
        <v>46122.0</v>
      </c>
      <c r="H12806" s="76" t="s">
        <v>953</v>
      </c>
    </row>
    <row r="12807">
      <c r="A12807" s="76" t="s">
        <v>33</v>
      </c>
      <c r="B12807" s="76" t="s">
        <v>1031</v>
      </c>
      <c r="C12807" s="84">
        <v>23.69</v>
      </c>
      <c r="D12807" s="84">
        <v>0.0</v>
      </c>
      <c r="E12807" s="84">
        <v>0.0</v>
      </c>
      <c r="F12807" s="76" t="s">
        <v>925</v>
      </c>
      <c r="G12807" s="83">
        <v>46122.0</v>
      </c>
      <c r="H12807" s="76" t="s">
        <v>957</v>
      </c>
    </row>
    <row r="12808">
      <c r="A12808" s="76" t="s">
        <v>33</v>
      </c>
      <c r="B12808" s="76" t="s">
        <v>1031</v>
      </c>
      <c r="C12808" s="84">
        <v>0.78</v>
      </c>
      <c r="D12808" s="84">
        <v>0.0</v>
      </c>
      <c r="E12808" s="84">
        <v>0.0</v>
      </c>
      <c r="F12808" s="76" t="s">
        <v>925</v>
      </c>
      <c r="G12808" s="83">
        <v>46122.0</v>
      </c>
      <c r="H12808" s="76" t="s">
        <v>958</v>
      </c>
    </row>
    <row r="12809">
      <c r="A12809" s="76" t="s">
        <v>33</v>
      </c>
      <c r="B12809" s="76" t="s">
        <v>1031</v>
      </c>
      <c r="C12809" s="84">
        <v>3.51</v>
      </c>
      <c r="D12809" s="84">
        <v>1.0</v>
      </c>
      <c r="E12809" s="84">
        <v>3.51</v>
      </c>
      <c r="F12809" s="76" t="s">
        <v>925</v>
      </c>
      <c r="G12809" s="83">
        <v>46122.0</v>
      </c>
      <c r="H12809" s="76" t="s">
        <v>959</v>
      </c>
    </row>
    <row r="12810">
      <c r="A12810" s="76" t="s">
        <v>43</v>
      </c>
      <c r="B12810" s="76" t="s">
        <v>1031</v>
      </c>
      <c r="C12810" s="84">
        <v>0.19</v>
      </c>
      <c r="D12810" s="84">
        <v>0.0</v>
      </c>
      <c r="E12810" s="84">
        <v>0.0</v>
      </c>
      <c r="F12810" s="76" t="s">
        <v>925</v>
      </c>
      <c r="G12810" s="83">
        <v>46122.0</v>
      </c>
      <c r="H12810" s="76" t="s">
        <v>963</v>
      </c>
    </row>
    <row r="12811">
      <c r="A12811" s="76" t="s">
        <v>43</v>
      </c>
      <c r="B12811" s="76" t="s">
        <v>1031</v>
      </c>
      <c r="C12811" s="84">
        <v>0.89</v>
      </c>
      <c r="D12811" s="84">
        <v>0.0</v>
      </c>
      <c r="E12811" s="84">
        <v>0.0</v>
      </c>
      <c r="F12811" s="76" t="s">
        <v>925</v>
      </c>
      <c r="G12811" s="83">
        <v>46122.0</v>
      </c>
      <c r="H12811" s="76" t="s">
        <v>964</v>
      </c>
    </row>
    <row r="12812">
      <c r="A12812" s="76" t="s">
        <v>43</v>
      </c>
      <c r="B12812" s="76" t="s">
        <v>1031</v>
      </c>
      <c r="C12812" s="84">
        <v>0.97</v>
      </c>
      <c r="D12812" s="84">
        <v>0.0</v>
      </c>
      <c r="E12812" s="84">
        <v>0.0</v>
      </c>
      <c r="F12812" s="76" t="s">
        <v>925</v>
      </c>
      <c r="G12812" s="83">
        <v>46122.0</v>
      </c>
      <c r="H12812" s="76" t="s">
        <v>965</v>
      </c>
    </row>
    <row r="12813">
      <c r="A12813" s="76" t="s">
        <v>966</v>
      </c>
      <c r="B12813" s="76" t="s">
        <v>1031</v>
      </c>
      <c r="C12813" s="84">
        <v>2.37</v>
      </c>
      <c r="D12813" s="84">
        <v>0.0</v>
      </c>
      <c r="E12813" s="84">
        <v>0.0</v>
      </c>
      <c r="F12813" s="76" t="s">
        <v>925</v>
      </c>
      <c r="G12813" s="83">
        <v>46122.0</v>
      </c>
      <c r="H12813" s="76" t="s">
        <v>967</v>
      </c>
    </row>
    <row r="12814">
      <c r="A12814" s="76" t="s">
        <v>966</v>
      </c>
      <c r="B12814" s="76" t="s">
        <v>1031</v>
      </c>
      <c r="C12814" s="84">
        <v>0.55</v>
      </c>
      <c r="D12814" s="84">
        <v>0.0</v>
      </c>
      <c r="E12814" s="84">
        <v>0.0</v>
      </c>
      <c r="F12814" s="76" t="s">
        <v>925</v>
      </c>
      <c r="G12814" s="83">
        <v>46122.0</v>
      </c>
      <c r="H12814" s="76" t="s">
        <v>968</v>
      </c>
    </row>
    <row r="12815">
      <c r="A12815" s="76" t="s">
        <v>966</v>
      </c>
      <c r="B12815" s="76" t="s">
        <v>1031</v>
      </c>
      <c r="C12815" s="84">
        <v>0.7</v>
      </c>
      <c r="D12815" s="84">
        <v>0.0</v>
      </c>
      <c r="E12815" s="84">
        <v>0.0</v>
      </c>
      <c r="F12815" s="76" t="s">
        <v>925</v>
      </c>
      <c r="G12815" s="83">
        <v>46122.0</v>
      </c>
      <c r="H12815" s="76" t="s">
        <v>969</v>
      </c>
    </row>
    <row r="12816">
      <c r="A12816" s="76" t="s">
        <v>970</v>
      </c>
      <c r="B12816" s="76" t="s">
        <v>1031</v>
      </c>
      <c r="C12816" s="84">
        <v>2.71</v>
      </c>
      <c r="D12816" s="84">
        <v>0.0</v>
      </c>
      <c r="E12816" s="84">
        <v>0.0</v>
      </c>
      <c r="F12816" s="76" t="s">
        <v>948</v>
      </c>
      <c r="G12816" s="83">
        <v>46122.0</v>
      </c>
      <c r="H12816" s="76" t="s">
        <v>971</v>
      </c>
    </row>
    <row r="12817">
      <c r="A12817" s="76" t="s">
        <v>970</v>
      </c>
      <c r="B12817" s="76" t="s">
        <v>1031</v>
      </c>
      <c r="C12817" s="84">
        <v>0.85</v>
      </c>
      <c r="D12817" s="84">
        <v>0.0</v>
      </c>
      <c r="E12817" s="84">
        <v>0.0</v>
      </c>
      <c r="F12817" s="76" t="s">
        <v>948</v>
      </c>
      <c r="G12817" s="83">
        <v>46122.0</v>
      </c>
      <c r="H12817" s="76" t="s">
        <v>972</v>
      </c>
    </row>
    <row r="12818">
      <c r="A12818" s="76" t="s">
        <v>970</v>
      </c>
      <c r="B12818" s="76" t="s">
        <v>1031</v>
      </c>
      <c r="C12818" s="84">
        <v>3.36</v>
      </c>
      <c r="D12818" s="84">
        <v>0.0</v>
      </c>
      <c r="E12818" s="84">
        <v>0.0</v>
      </c>
      <c r="F12818" s="76" t="s">
        <v>948</v>
      </c>
      <c r="G12818" s="83">
        <v>46122.0</v>
      </c>
      <c r="H12818" s="76" t="s">
        <v>973</v>
      </c>
    </row>
    <row r="12819">
      <c r="A12819" s="76" t="s">
        <v>33</v>
      </c>
      <c r="B12819" s="76" t="s">
        <v>1031</v>
      </c>
      <c r="C12819" s="84">
        <v>43.06</v>
      </c>
      <c r="D12819" s="84">
        <v>1.0</v>
      </c>
      <c r="E12819" s="84">
        <v>43.06</v>
      </c>
      <c r="F12819" s="76" t="s">
        <v>948</v>
      </c>
      <c r="G12819" s="83">
        <v>46122.0</v>
      </c>
      <c r="H12819" s="76" t="s">
        <v>957</v>
      </c>
    </row>
    <row r="12820">
      <c r="A12820" s="76" t="s">
        <v>33</v>
      </c>
      <c r="B12820" s="76" t="s">
        <v>1031</v>
      </c>
      <c r="C12820" s="84">
        <v>2.16</v>
      </c>
      <c r="D12820" s="84">
        <v>0.0</v>
      </c>
      <c r="E12820" s="84">
        <v>0.0</v>
      </c>
      <c r="F12820" s="76" t="s">
        <v>948</v>
      </c>
      <c r="G12820" s="83">
        <v>46122.0</v>
      </c>
      <c r="H12820" s="76" t="s">
        <v>958</v>
      </c>
    </row>
    <row r="12821">
      <c r="A12821" s="76" t="s">
        <v>33</v>
      </c>
      <c r="B12821" s="76" t="s">
        <v>1031</v>
      </c>
      <c r="C12821" s="84">
        <v>13.8</v>
      </c>
      <c r="D12821" s="84">
        <v>2.0</v>
      </c>
      <c r="E12821" s="84">
        <v>6.9</v>
      </c>
      <c r="F12821" s="76" t="s">
        <v>948</v>
      </c>
      <c r="G12821" s="83">
        <v>46122.0</v>
      </c>
      <c r="H12821" s="76" t="s">
        <v>959</v>
      </c>
    </row>
    <row r="12822">
      <c r="A12822" s="76" t="s">
        <v>46</v>
      </c>
      <c r="B12822" s="76" t="s">
        <v>1031</v>
      </c>
      <c r="C12822" s="84">
        <v>0.6</v>
      </c>
      <c r="D12822" s="84">
        <v>0.0</v>
      </c>
      <c r="E12822" s="84">
        <v>0.0</v>
      </c>
      <c r="F12822" s="76" t="s">
        <v>948</v>
      </c>
      <c r="G12822" s="83">
        <v>46122.0</v>
      </c>
      <c r="H12822" s="76" t="s">
        <v>960</v>
      </c>
    </row>
    <row r="12823">
      <c r="A12823" s="76" t="s">
        <v>46</v>
      </c>
      <c r="B12823" s="76" t="s">
        <v>1031</v>
      </c>
      <c r="C12823" s="84">
        <v>0.98</v>
      </c>
      <c r="D12823" s="84">
        <v>0.0</v>
      </c>
      <c r="E12823" s="84">
        <v>0.0</v>
      </c>
      <c r="F12823" s="76" t="s">
        <v>948</v>
      </c>
      <c r="G12823" s="83">
        <v>46122.0</v>
      </c>
      <c r="H12823" s="76" t="s">
        <v>961</v>
      </c>
    </row>
    <row r="12824">
      <c r="A12824" s="76" t="s">
        <v>46</v>
      </c>
      <c r="B12824" s="76" t="s">
        <v>1031</v>
      </c>
      <c r="C12824" s="84">
        <v>3.14</v>
      </c>
      <c r="D12824" s="84">
        <v>0.0</v>
      </c>
      <c r="E12824" s="84">
        <v>0.0</v>
      </c>
      <c r="F12824" s="76" t="s">
        <v>948</v>
      </c>
      <c r="G12824" s="83">
        <v>46122.0</v>
      </c>
      <c r="H12824" s="76" t="s">
        <v>962</v>
      </c>
    </row>
    <row r="12825">
      <c r="A12825" s="76" t="s">
        <v>966</v>
      </c>
      <c r="B12825" s="76" t="s">
        <v>1031</v>
      </c>
      <c r="C12825" s="84">
        <v>2.55</v>
      </c>
      <c r="D12825" s="84">
        <v>1.0</v>
      </c>
      <c r="E12825" s="84">
        <v>2.55</v>
      </c>
      <c r="F12825" s="76" t="s">
        <v>948</v>
      </c>
      <c r="G12825" s="83">
        <v>46122.0</v>
      </c>
      <c r="H12825" s="76" t="s">
        <v>967</v>
      </c>
    </row>
    <row r="12826">
      <c r="A12826" s="76" t="s">
        <v>966</v>
      </c>
      <c r="B12826" s="76" t="s">
        <v>1031</v>
      </c>
      <c r="C12826" s="84">
        <v>1.83</v>
      </c>
      <c r="D12826" s="84">
        <v>0.0</v>
      </c>
      <c r="E12826" s="84">
        <v>0.0</v>
      </c>
      <c r="F12826" s="76" t="s">
        <v>948</v>
      </c>
      <c r="G12826" s="83">
        <v>46122.0</v>
      </c>
      <c r="H12826" s="76" t="s">
        <v>968</v>
      </c>
    </row>
    <row r="12827">
      <c r="A12827" s="76" t="s">
        <v>966</v>
      </c>
      <c r="B12827" s="76" t="s">
        <v>1031</v>
      </c>
      <c r="C12827" s="84">
        <v>6.67</v>
      </c>
      <c r="D12827" s="84">
        <v>3.0</v>
      </c>
      <c r="E12827" s="84">
        <v>2.22</v>
      </c>
      <c r="F12827" s="76" t="s">
        <v>948</v>
      </c>
      <c r="G12827" s="83">
        <v>46122.0</v>
      </c>
      <c r="H12827" s="76" t="s">
        <v>969</v>
      </c>
    </row>
    <row r="12828">
      <c r="A12828" s="76" t="s">
        <v>43</v>
      </c>
      <c r="B12828" s="76" t="s">
        <v>1031</v>
      </c>
      <c r="C12828" s="84">
        <v>1.74</v>
      </c>
      <c r="D12828" s="84">
        <v>0.0</v>
      </c>
      <c r="E12828" s="84">
        <v>0.0</v>
      </c>
      <c r="F12828" s="76" t="s">
        <v>948</v>
      </c>
      <c r="G12828" s="83">
        <v>46122.0</v>
      </c>
      <c r="H12828" s="76" t="s">
        <v>963</v>
      </c>
    </row>
    <row r="12829">
      <c r="A12829" s="76" t="s">
        <v>43</v>
      </c>
      <c r="B12829" s="76" t="s">
        <v>1031</v>
      </c>
      <c r="C12829" s="84">
        <v>0.67</v>
      </c>
      <c r="D12829" s="84">
        <v>0.0</v>
      </c>
      <c r="E12829" s="84">
        <v>0.0</v>
      </c>
      <c r="F12829" s="76" t="s">
        <v>948</v>
      </c>
      <c r="G12829" s="83">
        <v>46122.0</v>
      </c>
      <c r="H12829" s="76" t="s">
        <v>964</v>
      </c>
    </row>
    <row r="12830">
      <c r="A12830" s="76" t="s">
        <v>43</v>
      </c>
      <c r="B12830" s="76" t="s">
        <v>1031</v>
      </c>
      <c r="C12830" s="84">
        <v>1.12</v>
      </c>
      <c r="D12830" s="84">
        <v>0.0</v>
      </c>
      <c r="E12830" s="84">
        <v>0.0</v>
      </c>
      <c r="F12830" s="76" t="s">
        <v>948</v>
      </c>
      <c r="G12830" s="83">
        <v>46122.0</v>
      </c>
      <c r="H12830" s="76" t="s">
        <v>965</v>
      </c>
    </row>
    <row r="12831">
      <c r="A12831" s="76" t="s">
        <v>34</v>
      </c>
      <c r="B12831" s="76" t="s">
        <v>1031</v>
      </c>
      <c r="C12831" s="84">
        <v>2.45</v>
      </c>
      <c r="D12831" s="84">
        <v>0.0</v>
      </c>
      <c r="E12831" s="84">
        <v>0.0</v>
      </c>
      <c r="F12831" s="76" t="s">
        <v>948</v>
      </c>
      <c r="G12831" s="83">
        <v>46122.0</v>
      </c>
      <c r="H12831" s="76" t="s">
        <v>951</v>
      </c>
    </row>
    <row r="12832">
      <c r="A12832" s="76" t="s">
        <v>34</v>
      </c>
      <c r="B12832" s="76" t="s">
        <v>1031</v>
      </c>
      <c r="C12832" s="84">
        <v>26.98</v>
      </c>
      <c r="D12832" s="84">
        <v>1.0</v>
      </c>
      <c r="E12832" s="84">
        <v>26.98</v>
      </c>
      <c r="F12832" s="76" t="s">
        <v>948</v>
      </c>
      <c r="G12832" s="83">
        <v>46122.0</v>
      </c>
      <c r="H12832" s="76" t="s">
        <v>952</v>
      </c>
    </row>
    <row r="12833">
      <c r="A12833" s="76" t="s">
        <v>34</v>
      </c>
      <c r="B12833" s="76" t="s">
        <v>1031</v>
      </c>
      <c r="C12833" s="84">
        <v>0.69</v>
      </c>
      <c r="D12833" s="84">
        <v>0.0</v>
      </c>
      <c r="E12833" s="84">
        <v>0.0</v>
      </c>
      <c r="F12833" s="76" t="s">
        <v>948</v>
      </c>
      <c r="G12833" s="83">
        <v>46122.0</v>
      </c>
      <c r="H12833" s="76" t="s">
        <v>953</v>
      </c>
    </row>
    <row r="12834">
      <c r="A12834" s="76" t="s">
        <v>36</v>
      </c>
      <c r="B12834" s="76" t="s">
        <v>1031</v>
      </c>
      <c r="C12834" s="84">
        <v>4.41</v>
      </c>
      <c r="D12834" s="84">
        <v>0.0</v>
      </c>
      <c r="E12834" s="84">
        <v>0.0</v>
      </c>
      <c r="F12834" s="76" t="s">
        <v>948</v>
      </c>
      <c r="G12834" s="83">
        <v>46122.0</v>
      </c>
      <c r="H12834" s="76" t="s">
        <v>926</v>
      </c>
    </row>
    <row r="12835">
      <c r="A12835" s="76" t="s">
        <v>36</v>
      </c>
      <c r="B12835" s="76" t="s">
        <v>1031</v>
      </c>
      <c r="C12835" s="84">
        <v>1.18</v>
      </c>
      <c r="D12835" s="84">
        <v>0.0</v>
      </c>
      <c r="E12835" s="84">
        <v>0.0</v>
      </c>
      <c r="F12835" s="76" t="s">
        <v>948</v>
      </c>
      <c r="G12835" s="83">
        <v>46122.0</v>
      </c>
      <c r="H12835" s="76" t="s">
        <v>927</v>
      </c>
    </row>
    <row r="12836">
      <c r="A12836" s="76" t="s">
        <v>36</v>
      </c>
      <c r="B12836" s="76" t="s">
        <v>1031</v>
      </c>
      <c r="C12836" s="84">
        <v>3.3</v>
      </c>
      <c r="D12836" s="84">
        <v>1.0</v>
      </c>
      <c r="E12836" s="84">
        <v>3.3</v>
      </c>
      <c r="F12836" s="76" t="s">
        <v>948</v>
      </c>
      <c r="G12836" s="83">
        <v>46122.0</v>
      </c>
      <c r="H12836" s="76" t="s">
        <v>928</v>
      </c>
    </row>
    <row r="12837">
      <c r="A12837" s="76" t="s">
        <v>29</v>
      </c>
      <c r="B12837" s="76" t="s">
        <v>1031</v>
      </c>
      <c r="C12837" s="84">
        <v>3.38</v>
      </c>
      <c r="D12837" s="84">
        <v>1.0</v>
      </c>
      <c r="E12837" s="84">
        <v>3.38</v>
      </c>
      <c r="F12837" s="76" t="s">
        <v>948</v>
      </c>
      <c r="G12837" s="83">
        <v>46122.0</v>
      </c>
      <c r="H12837" s="76" t="s">
        <v>971</v>
      </c>
    </row>
    <row r="12838">
      <c r="A12838" s="76" t="s">
        <v>29</v>
      </c>
      <c r="B12838" s="76" t="s">
        <v>1031</v>
      </c>
      <c r="C12838" s="84">
        <v>1.17</v>
      </c>
      <c r="D12838" s="84">
        <v>0.0</v>
      </c>
      <c r="E12838" s="84">
        <v>0.0</v>
      </c>
      <c r="F12838" s="76" t="s">
        <v>948</v>
      </c>
      <c r="G12838" s="83">
        <v>46122.0</v>
      </c>
      <c r="H12838" s="76" t="s">
        <v>972</v>
      </c>
    </row>
    <row r="12839">
      <c r="A12839" s="76" t="s">
        <v>29</v>
      </c>
      <c r="B12839" s="76" t="s">
        <v>1031</v>
      </c>
      <c r="C12839" s="84">
        <v>4.22</v>
      </c>
      <c r="D12839" s="84">
        <v>0.0</v>
      </c>
      <c r="E12839" s="84">
        <v>0.0</v>
      </c>
      <c r="F12839" s="76" t="s">
        <v>948</v>
      </c>
      <c r="G12839" s="83">
        <v>46122.0</v>
      </c>
      <c r="H12839" s="76" t="s">
        <v>973</v>
      </c>
    </row>
    <row r="12840">
      <c r="A12840" s="76" t="s">
        <v>40</v>
      </c>
      <c r="B12840" s="76" t="s">
        <v>1031</v>
      </c>
      <c r="C12840" s="84">
        <v>2.2</v>
      </c>
      <c r="D12840" s="84">
        <v>0.0</v>
      </c>
      <c r="E12840" s="84">
        <v>0.0</v>
      </c>
      <c r="F12840" s="76" t="s">
        <v>948</v>
      </c>
      <c r="G12840" s="83">
        <v>46122.0</v>
      </c>
      <c r="H12840" s="76" t="s">
        <v>954</v>
      </c>
    </row>
    <row r="12841">
      <c r="A12841" s="76" t="s">
        <v>40</v>
      </c>
      <c r="B12841" s="76" t="s">
        <v>1031</v>
      </c>
      <c r="C12841" s="84">
        <v>1.8</v>
      </c>
      <c r="D12841" s="84">
        <v>0.0</v>
      </c>
      <c r="E12841" s="84">
        <v>0.0</v>
      </c>
      <c r="F12841" s="76" t="s">
        <v>948</v>
      </c>
      <c r="G12841" s="83">
        <v>46122.0</v>
      </c>
      <c r="H12841" s="76" t="s">
        <v>955</v>
      </c>
    </row>
    <row r="12842">
      <c r="A12842" s="76" t="s">
        <v>40</v>
      </c>
      <c r="B12842" s="76" t="s">
        <v>1031</v>
      </c>
      <c r="C12842" s="84">
        <v>9.62</v>
      </c>
      <c r="D12842" s="84">
        <v>1.0</v>
      </c>
      <c r="E12842" s="84">
        <v>9.62</v>
      </c>
      <c r="F12842" s="76" t="s">
        <v>948</v>
      </c>
      <c r="G12842" s="83">
        <v>46122.0</v>
      </c>
      <c r="H12842" s="76" t="s">
        <v>956</v>
      </c>
    </row>
    <row r="12843">
      <c r="A12843" s="76" t="s">
        <v>45</v>
      </c>
      <c r="B12843" s="76" t="s">
        <v>1038</v>
      </c>
      <c r="C12843" s="84">
        <v>0.73</v>
      </c>
      <c r="D12843" s="84">
        <v>1.0</v>
      </c>
      <c r="E12843" s="84">
        <v>0.73</v>
      </c>
      <c r="F12843" s="76" t="s">
        <v>975</v>
      </c>
      <c r="G12843" s="83">
        <v>46122.0</v>
      </c>
      <c r="H12843" s="76" t="s">
        <v>936</v>
      </c>
    </row>
    <row r="12844">
      <c r="A12844" s="76" t="s">
        <v>45</v>
      </c>
      <c r="B12844" s="76" t="s">
        <v>1038</v>
      </c>
      <c r="C12844" s="84">
        <v>3.56</v>
      </c>
      <c r="D12844" s="84">
        <v>1.0</v>
      </c>
      <c r="E12844" s="84">
        <v>3.56</v>
      </c>
      <c r="F12844" s="76" t="s">
        <v>975</v>
      </c>
      <c r="G12844" s="83">
        <v>46122.0</v>
      </c>
      <c r="H12844" s="76" t="s">
        <v>937</v>
      </c>
    </row>
    <row r="12845">
      <c r="A12845" s="76" t="s">
        <v>45</v>
      </c>
      <c r="B12845" s="76" t="s">
        <v>1038</v>
      </c>
      <c r="C12845" s="84">
        <v>1.36</v>
      </c>
      <c r="D12845" s="84">
        <v>0.0</v>
      </c>
      <c r="E12845" s="84">
        <v>0.0</v>
      </c>
      <c r="F12845" s="76" t="s">
        <v>975</v>
      </c>
      <c r="G12845" s="83">
        <v>46122.0</v>
      </c>
      <c r="H12845" s="76" t="s">
        <v>938</v>
      </c>
    </row>
    <row r="12846">
      <c r="A12846" s="76" t="s">
        <v>36</v>
      </c>
      <c r="B12846" s="76" t="s">
        <v>1038</v>
      </c>
      <c r="C12846" s="84">
        <v>14.37</v>
      </c>
      <c r="D12846" s="84">
        <v>4.0</v>
      </c>
      <c r="E12846" s="84">
        <v>3.59</v>
      </c>
      <c r="F12846" s="76" t="s">
        <v>975</v>
      </c>
      <c r="G12846" s="83">
        <v>46122.0</v>
      </c>
      <c r="H12846" s="76" t="s">
        <v>926</v>
      </c>
    </row>
    <row r="12847">
      <c r="A12847" s="76" t="s">
        <v>36</v>
      </c>
      <c r="B12847" s="76" t="s">
        <v>1038</v>
      </c>
      <c r="C12847" s="84">
        <v>1.6</v>
      </c>
      <c r="D12847" s="84">
        <v>2.0</v>
      </c>
      <c r="E12847" s="84">
        <v>0.8</v>
      </c>
      <c r="F12847" s="76" t="s">
        <v>975</v>
      </c>
      <c r="G12847" s="83">
        <v>46122.0</v>
      </c>
      <c r="H12847" s="76" t="s">
        <v>927</v>
      </c>
    </row>
    <row r="12848">
      <c r="A12848" s="76" t="s">
        <v>36</v>
      </c>
      <c r="B12848" s="76" t="s">
        <v>1038</v>
      </c>
      <c r="C12848" s="84">
        <v>5.45</v>
      </c>
      <c r="D12848" s="84">
        <v>3.0</v>
      </c>
      <c r="E12848" s="84">
        <v>1.82</v>
      </c>
      <c r="F12848" s="76" t="s">
        <v>975</v>
      </c>
      <c r="G12848" s="83">
        <v>46122.0</v>
      </c>
      <c r="H12848" s="76" t="s">
        <v>928</v>
      </c>
    </row>
    <row r="12849">
      <c r="A12849" s="76" t="s">
        <v>50</v>
      </c>
      <c r="B12849" s="76" t="s">
        <v>1038</v>
      </c>
      <c r="C12849" s="84">
        <v>5.67</v>
      </c>
      <c r="D12849" s="84">
        <v>1.0</v>
      </c>
      <c r="E12849" s="84">
        <v>5.67</v>
      </c>
      <c r="F12849" s="76" t="s">
        <v>975</v>
      </c>
      <c r="G12849" s="83">
        <v>46122.0</v>
      </c>
      <c r="H12849" s="76" t="s">
        <v>939</v>
      </c>
    </row>
    <row r="12850">
      <c r="A12850" s="76" t="s">
        <v>50</v>
      </c>
      <c r="B12850" s="76" t="s">
        <v>1038</v>
      </c>
      <c r="C12850" s="84">
        <v>2.1</v>
      </c>
      <c r="D12850" s="84">
        <v>0.0</v>
      </c>
      <c r="E12850" s="84">
        <v>0.0</v>
      </c>
      <c r="F12850" s="76" t="s">
        <v>975</v>
      </c>
      <c r="G12850" s="83">
        <v>46122.0</v>
      </c>
      <c r="H12850" s="76" t="s">
        <v>940</v>
      </c>
    </row>
    <row r="12851">
      <c r="A12851" s="76" t="s">
        <v>944</v>
      </c>
      <c r="B12851" s="76" t="s">
        <v>1038</v>
      </c>
      <c r="C12851" s="84">
        <v>19.2</v>
      </c>
      <c r="D12851" s="84">
        <v>4.0</v>
      </c>
      <c r="E12851" s="84">
        <v>4.8</v>
      </c>
      <c r="F12851" s="76" t="s">
        <v>975</v>
      </c>
      <c r="G12851" s="83">
        <v>46122.0</v>
      </c>
      <c r="H12851" s="76" t="s">
        <v>945</v>
      </c>
    </row>
    <row r="12852">
      <c r="A12852" s="76" t="s">
        <v>944</v>
      </c>
      <c r="B12852" s="76" t="s">
        <v>1038</v>
      </c>
      <c r="C12852" s="84">
        <v>4.2</v>
      </c>
      <c r="D12852" s="84">
        <v>0.0</v>
      </c>
      <c r="E12852" s="84">
        <v>0.0</v>
      </c>
      <c r="F12852" s="76" t="s">
        <v>975</v>
      </c>
      <c r="G12852" s="83">
        <v>46122.0</v>
      </c>
      <c r="H12852" s="76" t="s">
        <v>946</v>
      </c>
    </row>
    <row r="12853">
      <c r="A12853" s="76" t="s">
        <v>944</v>
      </c>
      <c r="B12853" s="76" t="s">
        <v>1038</v>
      </c>
      <c r="C12853" s="84">
        <v>22.87</v>
      </c>
      <c r="D12853" s="84">
        <v>1.0</v>
      </c>
      <c r="E12853" s="84">
        <v>22.87</v>
      </c>
      <c r="F12853" s="76" t="s">
        <v>975</v>
      </c>
      <c r="G12853" s="83">
        <v>46122.0</v>
      </c>
      <c r="H12853" s="76" t="s">
        <v>947</v>
      </c>
    </row>
    <row r="12854">
      <c r="A12854" s="76" t="s">
        <v>26</v>
      </c>
      <c r="B12854" s="76" t="s">
        <v>1038</v>
      </c>
      <c r="C12854" s="84">
        <v>1.22</v>
      </c>
      <c r="D12854" s="84">
        <v>0.0</v>
      </c>
      <c r="E12854" s="84">
        <v>0.0</v>
      </c>
      <c r="F12854" s="76" t="s">
        <v>975</v>
      </c>
      <c r="G12854" s="83">
        <v>46122.0</v>
      </c>
      <c r="H12854" s="76" t="s">
        <v>1012</v>
      </c>
    </row>
    <row r="12855">
      <c r="A12855" s="76" t="s">
        <v>26</v>
      </c>
      <c r="B12855" s="76" t="s">
        <v>1038</v>
      </c>
      <c r="C12855" s="84">
        <v>2.09</v>
      </c>
      <c r="D12855" s="84">
        <v>1.0</v>
      </c>
      <c r="E12855" s="84">
        <v>2.09</v>
      </c>
      <c r="F12855" s="76" t="s">
        <v>975</v>
      </c>
      <c r="G12855" s="83">
        <v>46122.0</v>
      </c>
      <c r="H12855" s="76" t="s">
        <v>1013</v>
      </c>
    </row>
    <row r="12856">
      <c r="A12856" s="76" t="s">
        <v>26</v>
      </c>
      <c r="B12856" s="76" t="s">
        <v>1038</v>
      </c>
      <c r="C12856" s="84">
        <v>57.07</v>
      </c>
      <c r="D12856" s="84">
        <v>18.0</v>
      </c>
      <c r="E12856" s="84">
        <v>3.17</v>
      </c>
      <c r="F12856" s="76" t="s">
        <v>975</v>
      </c>
      <c r="G12856" s="83">
        <v>46122.0</v>
      </c>
      <c r="H12856" s="76" t="s">
        <v>1014</v>
      </c>
    </row>
    <row r="12857">
      <c r="A12857" s="76" t="s">
        <v>32</v>
      </c>
      <c r="B12857" s="76" t="s">
        <v>1038</v>
      </c>
      <c r="C12857" s="84">
        <v>39.3</v>
      </c>
      <c r="D12857" s="84">
        <v>3.0</v>
      </c>
      <c r="E12857" s="84">
        <v>13.1</v>
      </c>
      <c r="F12857" s="76" t="s">
        <v>975</v>
      </c>
      <c r="G12857" s="83">
        <v>46122.0</v>
      </c>
      <c r="H12857" s="76" t="s">
        <v>941</v>
      </c>
    </row>
    <row r="12858">
      <c r="A12858" s="76" t="s">
        <v>32</v>
      </c>
      <c r="B12858" s="76" t="s">
        <v>1038</v>
      </c>
      <c r="C12858" s="84">
        <v>7.12</v>
      </c>
      <c r="D12858" s="84">
        <v>1.0</v>
      </c>
      <c r="E12858" s="84">
        <v>7.12</v>
      </c>
      <c r="F12858" s="76" t="s">
        <v>975</v>
      </c>
      <c r="G12858" s="83">
        <v>46122.0</v>
      </c>
      <c r="H12858" s="76" t="s">
        <v>942</v>
      </c>
    </row>
    <row r="12859">
      <c r="A12859" s="76" t="s">
        <v>32</v>
      </c>
      <c r="B12859" s="76" t="s">
        <v>1038</v>
      </c>
      <c r="C12859" s="84">
        <v>23.73</v>
      </c>
      <c r="D12859" s="84">
        <v>4.0</v>
      </c>
      <c r="E12859" s="84">
        <v>5.93</v>
      </c>
      <c r="F12859" s="76" t="s">
        <v>975</v>
      </c>
      <c r="G12859" s="83">
        <v>46122.0</v>
      </c>
      <c r="H12859" s="76" t="s">
        <v>943</v>
      </c>
    </row>
    <row r="12860">
      <c r="A12860" s="76" t="s">
        <v>42</v>
      </c>
      <c r="B12860" s="76" t="s">
        <v>1038</v>
      </c>
      <c r="C12860" s="84">
        <v>2.69</v>
      </c>
      <c r="D12860" s="84">
        <v>0.0</v>
      </c>
      <c r="E12860" s="84">
        <v>0.0</v>
      </c>
      <c r="F12860" s="76" t="s">
        <v>975</v>
      </c>
      <c r="G12860" s="83">
        <v>46122.0</v>
      </c>
      <c r="H12860" s="76" t="s">
        <v>991</v>
      </c>
    </row>
    <row r="12861">
      <c r="A12861" s="76" t="s">
        <v>42</v>
      </c>
      <c r="B12861" s="76" t="s">
        <v>1038</v>
      </c>
      <c r="C12861" s="84">
        <v>6.79</v>
      </c>
      <c r="D12861" s="84">
        <v>0.0</v>
      </c>
      <c r="E12861" s="84">
        <v>0.0</v>
      </c>
      <c r="F12861" s="76" t="s">
        <v>975</v>
      </c>
      <c r="G12861" s="83">
        <v>46122.0</v>
      </c>
      <c r="H12861" s="76" t="s">
        <v>935</v>
      </c>
    </row>
    <row r="12862">
      <c r="A12862" s="76" t="s">
        <v>31</v>
      </c>
      <c r="B12862" s="76" t="s">
        <v>1038</v>
      </c>
      <c r="C12862" s="84">
        <v>13.2</v>
      </c>
      <c r="D12862" s="84">
        <v>4.0</v>
      </c>
      <c r="E12862" s="84">
        <v>3.3</v>
      </c>
      <c r="F12862" s="76" t="s">
        <v>975</v>
      </c>
      <c r="G12862" s="83">
        <v>46122.0</v>
      </c>
      <c r="H12862" s="76" t="s">
        <v>929</v>
      </c>
    </row>
    <row r="12863">
      <c r="A12863" s="76" t="s">
        <v>31</v>
      </c>
      <c r="B12863" s="76" t="s">
        <v>1038</v>
      </c>
      <c r="C12863" s="84">
        <v>294.55</v>
      </c>
      <c r="D12863" s="84">
        <v>41.0</v>
      </c>
      <c r="E12863" s="84">
        <v>7.18</v>
      </c>
      <c r="F12863" s="76" t="s">
        <v>975</v>
      </c>
      <c r="G12863" s="83">
        <v>46122.0</v>
      </c>
      <c r="H12863" s="76" t="s">
        <v>930</v>
      </c>
    </row>
    <row r="12864">
      <c r="A12864" s="76" t="s">
        <v>28</v>
      </c>
      <c r="B12864" s="76" t="s">
        <v>1038</v>
      </c>
      <c r="C12864" s="84">
        <v>2.1</v>
      </c>
      <c r="D12864" s="84">
        <v>1.0</v>
      </c>
      <c r="E12864" s="84">
        <v>2.1</v>
      </c>
      <c r="F12864" s="76" t="s">
        <v>975</v>
      </c>
      <c r="G12864" s="83">
        <v>46122.0</v>
      </c>
      <c r="H12864" s="76" t="s">
        <v>931</v>
      </c>
    </row>
    <row r="12865">
      <c r="A12865" s="76" t="s">
        <v>28</v>
      </c>
      <c r="B12865" s="76" t="s">
        <v>1038</v>
      </c>
      <c r="C12865" s="84">
        <v>2.64</v>
      </c>
      <c r="D12865" s="84">
        <v>0.0</v>
      </c>
      <c r="E12865" s="84">
        <v>0.0</v>
      </c>
      <c r="F12865" s="76" t="s">
        <v>975</v>
      </c>
      <c r="G12865" s="83">
        <v>46122.0</v>
      </c>
      <c r="H12865" s="76" t="s">
        <v>932</v>
      </c>
    </row>
    <row r="12866">
      <c r="A12866" s="76" t="s">
        <v>28</v>
      </c>
      <c r="B12866" s="76" t="s">
        <v>1038</v>
      </c>
      <c r="C12866" s="84">
        <v>49.29</v>
      </c>
      <c r="D12866" s="84">
        <v>10.0</v>
      </c>
      <c r="E12866" s="84">
        <v>4.93</v>
      </c>
      <c r="F12866" s="76" t="s">
        <v>975</v>
      </c>
      <c r="G12866" s="83">
        <v>46122.0</v>
      </c>
      <c r="H12866" s="76" t="s">
        <v>933</v>
      </c>
    </row>
    <row r="12867">
      <c r="A12867" s="76" t="s">
        <v>45</v>
      </c>
      <c r="B12867" s="76" t="s">
        <v>1038</v>
      </c>
      <c r="C12867" s="84">
        <v>0.38</v>
      </c>
      <c r="D12867" s="84">
        <v>1.0</v>
      </c>
      <c r="E12867" s="84">
        <v>0.38</v>
      </c>
      <c r="F12867" s="76" t="s">
        <v>950</v>
      </c>
      <c r="G12867" s="83">
        <v>46122.0</v>
      </c>
      <c r="H12867" s="76" t="s">
        <v>936</v>
      </c>
    </row>
    <row r="12868">
      <c r="A12868" s="76" t="s">
        <v>45</v>
      </c>
      <c r="B12868" s="76" t="s">
        <v>1038</v>
      </c>
      <c r="C12868" s="84">
        <v>1.17</v>
      </c>
      <c r="D12868" s="84">
        <v>0.0</v>
      </c>
      <c r="E12868" s="84">
        <v>0.0</v>
      </c>
      <c r="F12868" s="76" t="s">
        <v>950</v>
      </c>
      <c r="G12868" s="83">
        <v>46122.0</v>
      </c>
      <c r="H12868" s="76" t="s">
        <v>937</v>
      </c>
    </row>
    <row r="12869">
      <c r="A12869" s="76" t="s">
        <v>45</v>
      </c>
      <c r="B12869" s="76" t="s">
        <v>1038</v>
      </c>
      <c r="C12869" s="84">
        <v>0.46</v>
      </c>
      <c r="D12869" s="84">
        <v>0.0</v>
      </c>
      <c r="E12869" s="84">
        <v>0.0</v>
      </c>
      <c r="F12869" s="76" t="s">
        <v>950</v>
      </c>
      <c r="G12869" s="83">
        <v>46122.0</v>
      </c>
      <c r="H12869" s="76" t="s">
        <v>938</v>
      </c>
    </row>
    <row r="12870">
      <c r="A12870" s="76" t="s">
        <v>28</v>
      </c>
      <c r="B12870" s="76" t="s">
        <v>1038</v>
      </c>
      <c r="C12870" s="84">
        <v>0.45</v>
      </c>
      <c r="D12870" s="84">
        <v>0.0</v>
      </c>
      <c r="E12870" s="84">
        <v>0.0</v>
      </c>
      <c r="F12870" s="76" t="s">
        <v>950</v>
      </c>
      <c r="G12870" s="83">
        <v>46122.0</v>
      </c>
      <c r="H12870" s="76" t="s">
        <v>931</v>
      </c>
    </row>
    <row r="12871">
      <c r="A12871" s="76" t="s">
        <v>28</v>
      </c>
      <c r="B12871" s="76" t="s">
        <v>1038</v>
      </c>
      <c r="C12871" s="84">
        <v>0.72</v>
      </c>
      <c r="D12871" s="84">
        <v>0.0</v>
      </c>
      <c r="E12871" s="84">
        <v>0.0</v>
      </c>
      <c r="F12871" s="76" t="s">
        <v>950</v>
      </c>
      <c r="G12871" s="83">
        <v>46122.0</v>
      </c>
      <c r="H12871" s="76" t="s">
        <v>932</v>
      </c>
    </row>
    <row r="12872">
      <c r="A12872" s="76" t="s">
        <v>28</v>
      </c>
      <c r="B12872" s="76" t="s">
        <v>1038</v>
      </c>
      <c r="C12872" s="84">
        <v>10.24</v>
      </c>
      <c r="D12872" s="84">
        <v>1.0</v>
      </c>
      <c r="E12872" s="84">
        <v>10.24</v>
      </c>
      <c r="F12872" s="76" t="s">
        <v>950</v>
      </c>
      <c r="G12872" s="83">
        <v>46122.0</v>
      </c>
      <c r="H12872" s="76" t="s">
        <v>933</v>
      </c>
    </row>
    <row r="12873">
      <c r="A12873" s="76" t="s">
        <v>42</v>
      </c>
      <c r="B12873" s="76" t="s">
        <v>1038</v>
      </c>
      <c r="C12873" s="84">
        <v>0.32</v>
      </c>
      <c r="D12873" s="84">
        <v>0.0</v>
      </c>
      <c r="E12873" s="84">
        <v>0.0</v>
      </c>
      <c r="F12873" s="76" t="s">
        <v>950</v>
      </c>
      <c r="G12873" s="83">
        <v>46122.0</v>
      </c>
      <c r="H12873" s="76" t="s">
        <v>991</v>
      </c>
    </row>
    <row r="12874">
      <c r="A12874" s="76" t="s">
        <v>42</v>
      </c>
      <c r="B12874" s="76" t="s">
        <v>1038</v>
      </c>
      <c r="C12874" s="84">
        <v>1.42</v>
      </c>
      <c r="D12874" s="84">
        <v>0.0</v>
      </c>
      <c r="E12874" s="84">
        <v>0.0</v>
      </c>
      <c r="F12874" s="76" t="s">
        <v>950</v>
      </c>
      <c r="G12874" s="83">
        <v>46122.0</v>
      </c>
      <c r="H12874" s="76" t="s">
        <v>935</v>
      </c>
    </row>
    <row r="12875">
      <c r="A12875" s="76" t="s">
        <v>36</v>
      </c>
      <c r="B12875" s="76" t="s">
        <v>1038</v>
      </c>
      <c r="C12875" s="84">
        <v>7.26</v>
      </c>
      <c r="D12875" s="84">
        <v>0.0</v>
      </c>
      <c r="E12875" s="84">
        <v>0.0</v>
      </c>
      <c r="F12875" s="76" t="s">
        <v>950</v>
      </c>
      <c r="G12875" s="83">
        <v>46122.0</v>
      </c>
      <c r="H12875" s="76" t="s">
        <v>926</v>
      </c>
    </row>
    <row r="12876">
      <c r="A12876" s="76" t="s">
        <v>36</v>
      </c>
      <c r="B12876" s="76" t="s">
        <v>1038</v>
      </c>
      <c r="C12876" s="84">
        <v>1.34</v>
      </c>
      <c r="D12876" s="84">
        <v>0.0</v>
      </c>
      <c r="E12876" s="84">
        <v>0.0</v>
      </c>
      <c r="F12876" s="76" t="s">
        <v>950</v>
      </c>
      <c r="G12876" s="83">
        <v>46122.0</v>
      </c>
      <c r="H12876" s="76" t="s">
        <v>927</v>
      </c>
    </row>
    <row r="12877">
      <c r="A12877" s="76" t="s">
        <v>36</v>
      </c>
      <c r="B12877" s="76" t="s">
        <v>1038</v>
      </c>
      <c r="C12877" s="84">
        <v>2.59</v>
      </c>
      <c r="D12877" s="84">
        <v>0.0</v>
      </c>
      <c r="E12877" s="84">
        <v>0.0</v>
      </c>
      <c r="F12877" s="76" t="s">
        <v>950</v>
      </c>
      <c r="G12877" s="83">
        <v>46122.0</v>
      </c>
      <c r="H12877" s="76" t="s">
        <v>928</v>
      </c>
    </row>
    <row r="12878">
      <c r="A12878" s="76" t="s">
        <v>31</v>
      </c>
      <c r="B12878" s="76" t="s">
        <v>1038</v>
      </c>
      <c r="C12878" s="84">
        <v>4.59</v>
      </c>
      <c r="D12878" s="84">
        <v>2.0</v>
      </c>
      <c r="E12878" s="84">
        <v>2.3</v>
      </c>
      <c r="F12878" s="76" t="s">
        <v>950</v>
      </c>
      <c r="G12878" s="83">
        <v>46122.0</v>
      </c>
      <c r="H12878" s="76" t="s">
        <v>929</v>
      </c>
    </row>
    <row r="12879">
      <c r="A12879" s="76" t="s">
        <v>31</v>
      </c>
      <c r="B12879" s="76" t="s">
        <v>1038</v>
      </c>
      <c r="C12879" s="84">
        <v>45.5</v>
      </c>
      <c r="D12879" s="84">
        <v>9.0</v>
      </c>
      <c r="E12879" s="84">
        <v>5.06</v>
      </c>
      <c r="F12879" s="76" t="s">
        <v>950</v>
      </c>
      <c r="G12879" s="83">
        <v>46122.0</v>
      </c>
      <c r="H12879" s="76" t="s">
        <v>930</v>
      </c>
    </row>
    <row r="12880">
      <c r="A12880" s="76" t="s">
        <v>50</v>
      </c>
      <c r="B12880" s="76" t="s">
        <v>1038</v>
      </c>
      <c r="C12880" s="84">
        <v>1.51</v>
      </c>
      <c r="D12880" s="84">
        <v>1.0</v>
      </c>
      <c r="E12880" s="84">
        <v>1.51</v>
      </c>
      <c r="F12880" s="76" t="s">
        <v>950</v>
      </c>
      <c r="G12880" s="83">
        <v>46122.0</v>
      </c>
      <c r="H12880" s="76" t="s">
        <v>939</v>
      </c>
    </row>
    <row r="12881">
      <c r="A12881" s="76" t="s">
        <v>50</v>
      </c>
      <c r="B12881" s="76" t="s">
        <v>1038</v>
      </c>
      <c r="C12881" s="84">
        <v>0.59</v>
      </c>
      <c r="D12881" s="84">
        <v>0.0</v>
      </c>
      <c r="E12881" s="84">
        <v>0.0</v>
      </c>
      <c r="F12881" s="76" t="s">
        <v>950</v>
      </c>
      <c r="G12881" s="83">
        <v>46122.0</v>
      </c>
      <c r="H12881" s="76" t="s">
        <v>940</v>
      </c>
    </row>
    <row r="12882">
      <c r="A12882" s="76" t="s">
        <v>26</v>
      </c>
      <c r="B12882" s="76" t="s">
        <v>1038</v>
      </c>
      <c r="C12882" s="84">
        <v>0.69</v>
      </c>
      <c r="D12882" s="84">
        <v>0.0</v>
      </c>
      <c r="E12882" s="84">
        <v>0.0</v>
      </c>
      <c r="F12882" s="76" t="s">
        <v>950</v>
      </c>
      <c r="G12882" s="83">
        <v>46122.0</v>
      </c>
      <c r="H12882" s="76" t="s">
        <v>1012</v>
      </c>
    </row>
    <row r="12883">
      <c r="A12883" s="76" t="s">
        <v>26</v>
      </c>
      <c r="B12883" s="76" t="s">
        <v>1038</v>
      </c>
      <c r="C12883" s="84">
        <v>0.75</v>
      </c>
      <c r="D12883" s="84">
        <v>0.0</v>
      </c>
      <c r="E12883" s="84">
        <v>0.0</v>
      </c>
      <c r="F12883" s="76" t="s">
        <v>950</v>
      </c>
      <c r="G12883" s="83">
        <v>46122.0</v>
      </c>
      <c r="H12883" s="76" t="s">
        <v>1013</v>
      </c>
    </row>
    <row r="12884">
      <c r="A12884" s="76" t="s">
        <v>26</v>
      </c>
      <c r="B12884" s="76" t="s">
        <v>1038</v>
      </c>
      <c r="C12884" s="84">
        <v>32.93</v>
      </c>
      <c r="D12884" s="84">
        <v>3.0</v>
      </c>
      <c r="E12884" s="84">
        <v>10.98</v>
      </c>
      <c r="F12884" s="76" t="s">
        <v>950</v>
      </c>
      <c r="G12884" s="83">
        <v>46122.0</v>
      </c>
      <c r="H12884" s="76" t="s">
        <v>1014</v>
      </c>
    </row>
    <row r="12885">
      <c r="A12885" s="76" t="s">
        <v>944</v>
      </c>
      <c r="B12885" s="76" t="s">
        <v>1038</v>
      </c>
      <c r="C12885" s="84">
        <v>4.79</v>
      </c>
      <c r="D12885" s="84">
        <v>3.0</v>
      </c>
      <c r="E12885" s="84">
        <v>1.6</v>
      </c>
      <c r="F12885" s="76" t="s">
        <v>950</v>
      </c>
      <c r="G12885" s="83">
        <v>46122.0</v>
      </c>
      <c r="H12885" s="76" t="s">
        <v>945</v>
      </c>
    </row>
    <row r="12886">
      <c r="A12886" s="76" t="s">
        <v>944</v>
      </c>
      <c r="B12886" s="76" t="s">
        <v>1038</v>
      </c>
      <c r="C12886" s="84">
        <v>1.26</v>
      </c>
      <c r="D12886" s="84">
        <v>0.0</v>
      </c>
      <c r="E12886" s="84">
        <v>0.0</v>
      </c>
      <c r="F12886" s="76" t="s">
        <v>950</v>
      </c>
      <c r="G12886" s="83">
        <v>46122.0</v>
      </c>
      <c r="H12886" s="76" t="s">
        <v>946</v>
      </c>
    </row>
    <row r="12887">
      <c r="A12887" s="76" t="s">
        <v>944</v>
      </c>
      <c r="B12887" s="76" t="s">
        <v>1038</v>
      </c>
      <c r="C12887" s="84">
        <v>6.74</v>
      </c>
      <c r="D12887" s="84">
        <v>0.0</v>
      </c>
      <c r="E12887" s="84">
        <v>0.0</v>
      </c>
      <c r="F12887" s="76" t="s">
        <v>950</v>
      </c>
      <c r="G12887" s="83">
        <v>46122.0</v>
      </c>
      <c r="H12887" s="76" t="s">
        <v>947</v>
      </c>
    </row>
    <row r="12888">
      <c r="A12888" s="76" t="s">
        <v>32</v>
      </c>
      <c r="B12888" s="76" t="s">
        <v>1038</v>
      </c>
      <c r="C12888" s="84">
        <v>10.38</v>
      </c>
      <c r="D12888" s="84">
        <v>1.0</v>
      </c>
      <c r="E12888" s="84">
        <v>10.38</v>
      </c>
      <c r="F12888" s="76" t="s">
        <v>950</v>
      </c>
      <c r="G12888" s="83">
        <v>46122.0</v>
      </c>
      <c r="H12888" s="76" t="s">
        <v>941</v>
      </c>
    </row>
    <row r="12889">
      <c r="A12889" s="76" t="s">
        <v>32</v>
      </c>
      <c r="B12889" s="76" t="s">
        <v>1038</v>
      </c>
      <c r="C12889" s="84">
        <v>3.34</v>
      </c>
      <c r="D12889" s="84">
        <v>1.0</v>
      </c>
      <c r="E12889" s="84">
        <v>3.34</v>
      </c>
      <c r="F12889" s="76" t="s">
        <v>950</v>
      </c>
      <c r="G12889" s="83">
        <v>46122.0</v>
      </c>
      <c r="H12889" s="76" t="s">
        <v>942</v>
      </c>
    </row>
    <row r="12890">
      <c r="A12890" s="76" t="s">
        <v>32</v>
      </c>
      <c r="B12890" s="76" t="s">
        <v>1038</v>
      </c>
      <c r="C12890" s="84">
        <v>4.83</v>
      </c>
      <c r="D12890" s="84">
        <v>1.0</v>
      </c>
      <c r="E12890" s="84">
        <v>4.83</v>
      </c>
      <c r="F12890" s="76" t="s">
        <v>950</v>
      </c>
      <c r="G12890" s="83">
        <v>46122.0</v>
      </c>
      <c r="H12890" s="76" t="s">
        <v>943</v>
      </c>
    </row>
    <row r="12891">
      <c r="A12891" s="76" t="s">
        <v>31</v>
      </c>
      <c r="B12891" s="76" t="s">
        <v>1038</v>
      </c>
      <c r="C12891" s="84">
        <v>1.6</v>
      </c>
      <c r="D12891" s="84">
        <v>0.0</v>
      </c>
      <c r="E12891" s="84">
        <v>0.0</v>
      </c>
      <c r="F12891" s="76" t="s">
        <v>974</v>
      </c>
      <c r="G12891" s="83">
        <v>46122.0</v>
      </c>
      <c r="H12891" s="76" t="s">
        <v>929</v>
      </c>
    </row>
    <row r="12892">
      <c r="A12892" s="76" t="s">
        <v>31</v>
      </c>
      <c r="B12892" s="76" t="s">
        <v>1038</v>
      </c>
      <c r="C12892" s="84">
        <v>6.46</v>
      </c>
      <c r="D12892" s="84">
        <v>0.0</v>
      </c>
      <c r="E12892" s="84">
        <v>0.0</v>
      </c>
      <c r="F12892" s="76" t="s">
        <v>974</v>
      </c>
      <c r="G12892" s="83">
        <v>46122.0</v>
      </c>
      <c r="H12892" s="76" t="s">
        <v>930</v>
      </c>
    </row>
    <row r="12893">
      <c r="A12893" s="76" t="s">
        <v>45</v>
      </c>
      <c r="B12893" s="76" t="s">
        <v>1038</v>
      </c>
      <c r="C12893" s="84">
        <v>0.08</v>
      </c>
      <c r="D12893" s="84">
        <v>0.0</v>
      </c>
      <c r="E12893" s="84">
        <v>0.0</v>
      </c>
      <c r="F12893" s="76" t="s">
        <v>974</v>
      </c>
      <c r="G12893" s="83">
        <v>46122.0</v>
      </c>
      <c r="H12893" s="76" t="s">
        <v>936</v>
      </c>
    </row>
    <row r="12894">
      <c r="A12894" s="76" t="s">
        <v>45</v>
      </c>
      <c r="B12894" s="76" t="s">
        <v>1038</v>
      </c>
      <c r="C12894" s="84">
        <v>0.55</v>
      </c>
      <c r="D12894" s="84">
        <v>0.0</v>
      </c>
      <c r="E12894" s="84">
        <v>0.0</v>
      </c>
      <c r="F12894" s="76" t="s">
        <v>974</v>
      </c>
      <c r="G12894" s="83">
        <v>46122.0</v>
      </c>
      <c r="H12894" s="76" t="s">
        <v>937</v>
      </c>
    </row>
    <row r="12895">
      <c r="A12895" s="76" t="s">
        <v>45</v>
      </c>
      <c r="B12895" s="76" t="s">
        <v>1038</v>
      </c>
      <c r="C12895" s="84">
        <v>0.12</v>
      </c>
      <c r="D12895" s="84">
        <v>0.0</v>
      </c>
      <c r="E12895" s="84">
        <v>0.0</v>
      </c>
      <c r="F12895" s="76" t="s">
        <v>974</v>
      </c>
      <c r="G12895" s="83">
        <v>46122.0</v>
      </c>
      <c r="H12895" s="76" t="s">
        <v>938</v>
      </c>
    </row>
    <row r="12896">
      <c r="A12896" s="76" t="s">
        <v>42</v>
      </c>
      <c r="B12896" s="76" t="s">
        <v>1038</v>
      </c>
      <c r="C12896" s="84">
        <v>0.14</v>
      </c>
      <c r="D12896" s="84">
        <v>0.0</v>
      </c>
      <c r="E12896" s="84">
        <v>0.0</v>
      </c>
      <c r="F12896" s="76" t="s">
        <v>974</v>
      </c>
      <c r="G12896" s="83">
        <v>46122.0</v>
      </c>
      <c r="H12896" s="76" t="s">
        <v>991</v>
      </c>
    </row>
    <row r="12897">
      <c r="A12897" s="76" t="s">
        <v>42</v>
      </c>
      <c r="B12897" s="76" t="s">
        <v>1038</v>
      </c>
      <c r="C12897" s="84">
        <v>0.27</v>
      </c>
      <c r="D12897" s="84">
        <v>0.0</v>
      </c>
      <c r="E12897" s="84">
        <v>0.0</v>
      </c>
      <c r="F12897" s="76" t="s">
        <v>974</v>
      </c>
      <c r="G12897" s="83">
        <v>46122.0</v>
      </c>
      <c r="H12897" s="76" t="s">
        <v>935</v>
      </c>
    </row>
    <row r="12898">
      <c r="A12898" s="76" t="s">
        <v>28</v>
      </c>
      <c r="B12898" s="76" t="s">
        <v>1038</v>
      </c>
      <c r="C12898" s="84">
        <v>0.14</v>
      </c>
      <c r="D12898" s="84">
        <v>0.0</v>
      </c>
      <c r="E12898" s="84">
        <v>0.0</v>
      </c>
      <c r="F12898" s="76" t="s">
        <v>974</v>
      </c>
      <c r="G12898" s="83">
        <v>46122.0</v>
      </c>
      <c r="H12898" s="76" t="s">
        <v>931</v>
      </c>
    </row>
    <row r="12899">
      <c r="A12899" s="76" t="s">
        <v>28</v>
      </c>
      <c r="B12899" s="76" t="s">
        <v>1038</v>
      </c>
      <c r="C12899" s="84">
        <v>0.23</v>
      </c>
      <c r="D12899" s="84">
        <v>0.0</v>
      </c>
      <c r="E12899" s="84">
        <v>0.0</v>
      </c>
      <c r="F12899" s="76" t="s">
        <v>974</v>
      </c>
      <c r="G12899" s="83">
        <v>46122.0</v>
      </c>
      <c r="H12899" s="76" t="s">
        <v>932</v>
      </c>
    </row>
    <row r="12900">
      <c r="A12900" s="76" t="s">
        <v>28</v>
      </c>
      <c r="B12900" s="76" t="s">
        <v>1038</v>
      </c>
      <c r="C12900" s="84">
        <v>2.54</v>
      </c>
      <c r="D12900" s="84">
        <v>0.0</v>
      </c>
      <c r="E12900" s="84">
        <v>0.0</v>
      </c>
      <c r="F12900" s="76" t="s">
        <v>974</v>
      </c>
      <c r="G12900" s="83">
        <v>46122.0</v>
      </c>
      <c r="H12900" s="76" t="s">
        <v>933</v>
      </c>
    </row>
    <row r="12901">
      <c r="A12901" s="76" t="s">
        <v>50</v>
      </c>
      <c r="B12901" s="76" t="s">
        <v>1038</v>
      </c>
      <c r="C12901" s="84">
        <v>0.45</v>
      </c>
      <c r="D12901" s="84">
        <v>0.0</v>
      </c>
      <c r="E12901" s="84">
        <v>0.0</v>
      </c>
      <c r="F12901" s="76" t="s">
        <v>974</v>
      </c>
      <c r="G12901" s="83">
        <v>46122.0</v>
      </c>
      <c r="H12901" s="76" t="s">
        <v>939</v>
      </c>
    </row>
    <row r="12902">
      <c r="A12902" s="76" t="s">
        <v>50</v>
      </c>
      <c r="B12902" s="76" t="s">
        <v>1038</v>
      </c>
      <c r="C12902" s="84">
        <v>0.13</v>
      </c>
      <c r="D12902" s="84">
        <v>0.0</v>
      </c>
      <c r="E12902" s="84">
        <v>0.0</v>
      </c>
      <c r="F12902" s="76" t="s">
        <v>974</v>
      </c>
      <c r="G12902" s="83">
        <v>46122.0</v>
      </c>
      <c r="H12902" s="76" t="s">
        <v>940</v>
      </c>
    </row>
    <row r="12903">
      <c r="A12903" s="76" t="s">
        <v>26</v>
      </c>
      <c r="B12903" s="76" t="s">
        <v>1038</v>
      </c>
      <c r="C12903" s="84">
        <v>0.04</v>
      </c>
      <c r="D12903" s="84">
        <v>0.0</v>
      </c>
      <c r="E12903" s="84">
        <v>0.0</v>
      </c>
      <c r="F12903" s="76" t="s">
        <v>974</v>
      </c>
      <c r="G12903" s="83">
        <v>46122.0</v>
      </c>
      <c r="H12903" s="76" t="s">
        <v>1012</v>
      </c>
    </row>
    <row r="12904">
      <c r="A12904" s="76" t="s">
        <v>26</v>
      </c>
      <c r="B12904" s="76" t="s">
        <v>1038</v>
      </c>
      <c r="C12904" s="84">
        <v>0.13</v>
      </c>
      <c r="D12904" s="84">
        <v>0.0</v>
      </c>
      <c r="E12904" s="84">
        <v>0.0</v>
      </c>
      <c r="F12904" s="76" t="s">
        <v>974</v>
      </c>
      <c r="G12904" s="83">
        <v>46122.0</v>
      </c>
      <c r="H12904" s="76" t="s">
        <v>1013</v>
      </c>
    </row>
    <row r="12905">
      <c r="A12905" s="76" t="s">
        <v>26</v>
      </c>
      <c r="B12905" s="76" t="s">
        <v>1038</v>
      </c>
      <c r="C12905" s="84">
        <v>3.5</v>
      </c>
      <c r="D12905" s="84">
        <v>1.0</v>
      </c>
      <c r="E12905" s="84">
        <v>3.5</v>
      </c>
      <c r="F12905" s="76" t="s">
        <v>974</v>
      </c>
      <c r="G12905" s="83">
        <v>46122.0</v>
      </c>
      <c r="H12905" s="76" t="s">
        <v>1014</v>
      </c>
    </row>
    <row r="12906">
      <c r="A12906" s="76" t="s">
        <v>944</v>
      </c>
      <c r="B12906" s="76" t="s">
        <v>1038</v>
      </c>
      <c r="C12906" s="84">
        <v>0.3</v>
      </c>
      <c r="D12906" s="84">
        <v>0.0</v>
      </c>
      <c r="E12906" s="84">
        <v>0.0</v>
      </c>
      <c r="F12906" s="76" t="s">
        <v>974</v>
      </c>
      <c r="G12906" s="83">
        <v>46122.0</v>
      </c>
      <c r="H12906" s="76" t="s">
        <v>945</v>
      </c>
    </row>
    <row r="12907">
      <c r="A12907" s="76" t="s">
        <v>944</v>
      </c>
      <c r="B12907" s="76" t="s">
        <v>1038</v>
      </c>
      <c r="C12907" s="84">
        <v>0.07</v>
      </c>
      <c r="D12907" s="84">
        <v>0.0</v>
      </c>
      <c r="E12907" s="84">
        <v>0.0</v>
      </c>
      <c r="F12907" s="76" t="s">
        <v>974</v>
      </c>
      <c r="G12907" s="83">
        <v>46122.0</v>
      </c>
      <c r="H12907" s="76" t="s">
        <v>946</v>
      </c>
    </row>
    <row r="12908">
      <c r="A12908" s="76" t="s">
        <v>944</v>
      </c>
      <c r="B12908" s="76" t="s">
        <v>1038</v>
      </c>
      <c r="C12908" s="84">
        <v>1.1</v>
      </c>
      <c r="D12908" s="84">
        <v>0.0</v>
      </c>
      <c r="E12908" s="84">
        <v>0.0</v>
      </c>
      <c r="F12908" s="76" t="s">
        <v>974</v>
      </c>
      <c r="G12908" s="83">
        <v>46122.0</v>
      </c>
      <c r="H12908" s="76" t="s">
        <v>947</v>
      </c>
    </row>
    <row r="12909">
      <c r="A12909" s="76" t="s">
        <v>36</v>
      </c>
      <c r="B12909" s="76" t="s">
        <v>1038</v>
      </c>
      <c r="C12909" s="84">
        <v>0.8</v>
      </c>
      <c r="D12909" s="84">
        <v>0.0</v>
      </c>
      <c r="E12909" s="84">
        <v>0.0</v>
      </c>
      <c r="F12909" s="76" t="s">
        <v>974</v>
      </c>
      <c r="G12909" s="83">
        <v>46122.0</v>
      </c>
      <c r="H12909" s="76" t="s">
        <v>926</v>
      </c>
    </row>
    <row r="12910">
      <c r="A12910" s="76" t="s">
        <v>36</v>
      </c>
      <c r="B12910" s="76" t="s">
        <v>1038</v>
      </c>
      <c r="C12910" s="84">
        <v>0.03</v>
      </c>
      <c r="D12910" s="84">
        <v>0.0</v>
      </c>
      <c r="E12910" s="84">
        <v>0.0</v>
      </c>
      <c r="F12910" s="76" t="s">
        <v>974</v>
      </c>
      <c r="G12910" s="83">
        <v>46122.0</v>
      </c>
      <c r="H12910" s="76" t="s">
        <v>927</v>
      </c>
    </row>
    <row r="12911">
      <c r="A12911" s="76" t="s">
        <v>36</v>
      </c>
      <c r="B12911" s="76" t="s">
        <v>1038</v>
      </c>
      <c r="C12911" s="84">
        <v>0.31</v>
      </c>
      <c r="D12911" s="84">
        <v>0.0</v>
      </c>
      <c r="E12911" s="84">
        <v>0.0</v>
      </c>
      <c r="F12911" s="76" t="s">
        <v>974</v>
      </c>
      <c r="G12911" s="83">
        <v>46122.0</v>
      </c>
      <c r="H12911" s="76" t="s">
        <v>928</v>
      </c>
    </row>
    <row r="12912">
      <c r="A12912" s="76" t="s">
        <v>32</v>
      </c>
      <c r="B12912" s="76" t="s">
        <v>1038</v>
      </c>
      <c r="C12912" s="84">
        <v>0.86</v>
      </c>
      <c r="D12912" s="84">
        <v>0.0</v>
      </c>
      <c r="E12912" s="84">
        <v>0.0</v>
      </c>
      <c r="F12912" s="76" t="s">
        <v>974</v>
      </c>
      <c r="G12912" s="83">
        <v>46122.0</v>
      </c>
      <c r="H12912" s="76" t="s">
        <v>941</v>
      </c>
    </row>
    <row r="12913">
      <c r="A12913" s="76" t="s">
        <v>32</v>
      </c>
      <c r="B12913" s="76" t="s">
        <v>1038</v>
      </c>
      <c r="C12913" s="84">
        <v>0.23</v>
      </c>
      <c r="D12913" s="84">
        <v>0.0</v>
      </c>
      <c r="E12913" s="84">
        <v>0.0</v>
      </c>
      <c r="F12913" s="76" t="s">
        <v>974</v>
      </c>
      <c r="G12913" s="83">
        <v>46122.0</v>
      </c>
      <c r="H12913" s="76" t="s">
        <v>942</v>
      </c>
    </row>
    <row r="12914">
      <c r="A12914" s="76" t="s">
        <v>32</v>
      </c>
      <c r="B12914" s="76" t="s">
        <v>1038</v>
      </c>
      <c r="C12914" s="84">
        <v>0.77</v>
      </c>
      <c r="D12914" s="84">
        <v>0.0</v>
      </c>
      <c r="E12914" s="84">
        <v>0.0</v>
      </c>
      <c r="F12914" s="76" t="s">
        <v>974</v>
      </c>
      <c r="G12914" s="83">
        <v>46122.0</v>
      </c>
      <c r="H12914" s="76" t="s">
        <v>943</v>
      </c>
    </row>
    <row r="12915">
      <c r="A12915" s="76" t="s">
        <v>36</v>
      </c>
      <c r="B12915" s="76" t="s">
        <v>1006</v>
      </c>
      <c r="C12915" s="84">
        <v>1.39</v>
      </c>
      <c r="D12915" s="84">
        <v>1.0</v>
      </c>
      <c r="E12915" s="84">
        <v>1.39</v>
      </c>
      <c r="F12915" s="76" t="s">
        <v>990</v>
      </c>
      <c r="G12915" s="83">
        <v>46122.0</v>
      </c>
      <c r="H12915" s="76" t="s">
        <v>926</v>
      </c>
    </row>
    <row r="12916">
      <c r="A12916" s="76" t="s">
        <v>36</v>
      </c>
      <c r="B12916" s="76" t="s">
        <v>1006</v>
      </c>
      <c r="C12916" s="84">
        <v>0.07</v>
      </c>
      <c r="D12916" s="84">
        <v>0.0</v>
      </c>
      <c r="E12916" s="84">
        <v>0.0</v>
      </c>
      <c r="F12916" s="76" t="s">
        <v>990</v>
      </c>
      <c r="G12916" s="83">
        <v>46122.0</v>
      </c>
      <c r="H12916" s="76" t="s">
        <v>927</v>
      </c>
    </row>
    <row r="12917">
      <c r="A12917" s="76" t="s">
        <v>36</v>
      </c>
      <c r="B12917" s="76" t="s">
        <v>1006</v>
      </c>
      <c r="C12917" s="84">
        <v>0.19</v>
      </c>
      <c r="D12917" s="84">
        <v>0.0</v>
      </c>
      <c r="E12917" s="84">
        <v>0.0</v>
      </c>
      <c r="F12917" s="76" t="s">
        <v>990</v>
      </c>
      <c r="G12917" s="83">
        <v>46122.0</v>
      </c>
      <c r="H12917" s="76" t="s">
        <v>928</v>
      </c>
    </row>
    <row r="12918">
      <c r="A12918" s="76" t="s">
        <v>31</v>
      </c>
      <c r="B12918" s="76" t="s">
        <v>1006</v>
      </c>
      <c r="C12918" s="84">
        <v>0.29</v>
      </c>
      <c r="D12918" s="84">
        <v>0.0</v>
      </c>
      <c r="E12918" s="84">
        <v>0.0</v>
      </c>
      <c r="F12918" s="76" t="s">
        <v>990</v>
      </c>
      <c r="G12918" s="83">
        <v>46122.0</v>
      </c>
      <c r="H12918" s="76" t="s">
        <v>929</v>
      </c>
    </row>
    <row r="12919">
      <c r="A12919" s="76" t="s">
        <v>31</v>
      </c>
      <c r="B12919" s="76" t="s">
        <v>1006</v>
      </c>
      <c r="C12919" s="84">
        <v>5.56</v>
      </c>
      <c r="D12919" s="84">
        <v>0.0</v>
      </c>
      <c r="E12919" s="84">
        <v>0.0</v>
      </c>
      <c r="F12919" s="76" t="s">
        <v>990</v>
      </c>
      <c r="G12919" s="83">
        <v>46122.0</v>
      </c>
      <c r="H12919" s="76" t="s">
        <v>930</v>
      </c>
    </row>
    <row r="12920">
      <c r="A12920" s="76" t="s">
        <v>28</v>
      </c>
      <c r="B12920" s="76" t="s">
        <v>1006</v>
      </c>
      <c r="C12920" s="84">
        <v>0.1</v>
      </c>
      <c r="D12920" s="84">
        <v>0.0</v>
      </c>
      <c r="E12920" s="84">
        <v>0.0</v>
      </c>
      <c r="F12920" s="76" t="s">
        <v>990</v>
      </c>
      <c r="G12920" s="83">
        <v>46122.0</v>
      </c>
      <c r="H12920" s="76" t="s">
        <v>931</v>
      </c>
    </row>
    <row r="12921">
      <c r="A12921" s="76" t="s">
        <v>28</v>
      </c>
      <c r="B12921" s="76" t="s">
        <v>1006</v>
      </c>
      <c r="C12921" s="84">
        <v>0.08</v>
      </c>
      <c r="D12921" s="84">
        <v>0.0</v>
      </c>
      <c r="E12921" s="84">
        <v>0.0</v>
      </c>
      <c r="F12921" s="76" t="s">
        <v>990</v>
      </c>
      <c r="G12921" s="83">
        <v>46122.0</v>
      </c>
      <c r="H12921" s="76" t="s">
        <v>932</v>
      </c>
    </row>
    <row r="12922">
      <c r="A12922" s="76" t="s">
        <v>28</v>
      </c>
      <c r="B12922" s="76" t="s">
        <v>1006</v>
      </c>
      <c r="C12922" s="84">
        <v>1.0</v>
      </c>
      <c r="D12922" s="84">
        <v>0.0</v>
      </c>
      <c r="E12922" s="84">
        <v>0.0</v>
      </c>
      <c r="F12922" s="76" t="s">
        <v>990</v>
      </c>
      <c r="G12922" s="83">
        <v>46122.0</v>
      </c>
      <c r="H12922" s="76" t="s">
        <v>933</v>
      </c>
    </row>
    <row r="12923">
      <c r="A12923" s="76" t="s">
        <v>45</v>
      </c>
      <c r="B12923" s="76" t="s">
        <v>1006</v>
      </c>
      <c r="C12923" s="84">
        <v>0.07</v>
      </c>
      <c r="D12923" s="84">
        <v>0.0</v>
      </c>
      <c r="E12923" s="84">
        <v>0.0</v>
      </c>
      <c r="F12923" s="76" t="s">
        <v>990</v>
      </c>
      <c r="G12923" s="83">
        <v>46122.0</v>
      </c>
      <c r="H12923" s="76" t="s">
        <v>936</v>
      </c>
    </row>
    <row r="12924">
      <c r="A12924" s="76" t="s">
        <v>45</v>
      </c>
      <c r="B12924" s="76" t="s">
        <v>1006</v>
      </c>
      <c r="C12924" s="84">
        <v>0.31</v>
      </c>
      <c r="D12924" s="84">
        <v>0.0</v>
      </c>
      <c r="E12924" s="84">
        <v>0.0</v>
      </c>
      <c r="F12924" s="76" t="s">
        <v>990</v>
      </c>
      <c r="G12924" s="83">
        <v>46122.0</v>
      </c>
      <c r="H12924" s="76" t="s">
        <v>937</v>
      </c>
    </row>
    <row r="12925">
      <c r="A12925" s="76" t="s">
        <v>45</v>
      </c>
      <c r="B12925" s="76" t="s">
        <v>1006</v>
      </c>
      <c r="C12925" s="84">
        <v>0.29</v>
      </c>
      <c r="D12925" s="84">
        <v>0.0</v>
      </c>
      <c r="E12925" s="84">
        <v>0.0</v>
      </c>
      <c r="F12925" s="76" t="s">
        <v>990</v>
      </c>
      <c r="G12925" s="83">
        <v>46122.0</v>
      </c>
      <c r="H12925" s="76" t="s">
        <v>938</v>
      </c>
    </row>
    <row r="12926">
      <c r="A12926" s="76" t="s">
        <v>32</v>
      </c>
      <c r="B12926" s="76" t="s">
        <v>1006</v>
      </c>
      <c r="C12926" s="84">
        <v>0.92</v>
      </c>
      <c r="D12926" s="84">
        <v>0.0</v>
      </c>
      <c r="E12926" s="84">
        <v>0.0</v>
      </c>
      <c r="F12926" s="76" t="s">
        <v>990</v>
      </c>
      <c r="G12926" s="83">
        <v>46122.0</v>
      </c>
      <c r="H12926" s="76" t="s">
        <v>941</v>
      </c>
    </row>
    <row r="12927">
      <c r="A12927" s="76" t="s">
        <v>32</v>
      </c>
      <c r="B12927" s="76" t="s">
        <v>1006</v>
      </c>
      <c r="C12927" s="84">
        <v>0.22</v>
      </c>
      <c r="D12927" s="84">
        <v>0.0</v>
      </c>
      <c r="E12927" s="84">
        <v>0.0</v>
      </c>
      <c r="F12927" s="76" t="s">
        <v>990</v>
      </c>
      <c r="G12927" s="83">
        <v>46122.0</v>
      </c>
      <c r="H12927" s="76" t="s">
        <v>942</v>
      </c>
    </row>
    <row r="12928">
      <c r="A12928" s="76" t="s">
        <v>32</v>
      </c>
      <c r="B12928" s="76" t="s">
        <v>1006</v>
      </c>
      <c r="C12928" s="84">
        <v>2.43</v>
      </c>
      <c r="D12928" s="84">
        <v>1.0</v>
      </c>
      <c r="E12928" s="84">
        <v>2.43</v>
      </c>
      <c r="F12928" s="76" t="s">
        <v>990</v>
      </c>
      <c r="G12928" s="83">
        <v>46122.0</v>
      </c>
      <c r="H12928" s="76" t="s">
        <v>943</v>
      </c>
    </row>
    <row r="12929">
      <c r="A12929" s="76" t="s">
        <v>944</v>
      </c>
      <c r="B12929" s="76" t="s">
        <v>1006</v>
      </c>
      <c r="C12929" s="84">
        <v>1.54</v>
      </c>
      <c r="D12929" s="84">
        <v>0.0</v>
      </c>
      <c r="E12929" s="84">
        <v>0.0</v>
      </c>
      <c r="F12929" s="76" t="s">
        <v>990</v>
      </c>
      <c r="G12929" s="83">
        <v>46122.0</v>
      </c>
      <c r="H12929" s="76" t="s">
        <v>945</v>
      </c>
    </row>
    <row r="12930">
      <c r="A12930" s="76" t="s">
        <v>944</v>
      </c>
      <c r="B12930" s="76" t="s">
        <v>1006</v>
      </c>
      <c r="C12930" s="84">
        <v>0.08</v>
      </c>
      <c r="D12930" s="84">
        <v>0.0</v>
      </c>
      <c r="E12930" s="84">
        <v>0.0</v>
      </c>
      <c r="F12930" s="76" t="s">
        <v>990</v>
      </c>
      <c r="G12930" s="83">
        <v>46122.0</v>
      </c>
      <c r="H12930" s="76" t="s">
        <v>946</v>
      </c>
    </row>
    <row r="12931">
      <c r="A12931" s="76" t="s">
        <v>944</v>
      </c>
      <c r="B12931" s="76" t="s">
        <v>1006</v>
      </c>
      <c r="C12931" s="84">
        <v>0.47</v>
      </c>
      <c r="D12931" s="84">
        <v>0.0</v>
      </c>
      <c r="E12931" s="84">
        <v>0.0</v>
      </c>
      <c r="F12931" s="76" t="s">
        <v>990</v>
      </c>
      <c r="G12931" s="83">
        <v>46122.0</v>
      </c>
      <c r="H12931" s="76" t="s">
        <v>947</v>
      </c>
    </row>
    <row r="12932">
      <c r="A12932" s="76" t="s">
        <v>26</v>
      </c>
      <c r="B12932" s="76" t="s">
        <v>1006</v>
      </c>
      <c r="C12932" s="84">
        <v>0.09</v>
      </c>
      <c r="D12932" s="84">
        <v>0.0</v>
      </c>
      <c r="E12932" s="84">
        <v>0.0</v>
      </c>
      <c r="F12932" s="76" t="s">
        <v>990</v>
      </c>
      <c r="G12932" s="83">
        <v>46122.0</v>
      </c>
      <c r="H12932" s="76" t="s">
        <v>1012</v>
      </c>
    </row>
    <row r="12933">
      <c r="A12933" s="76" t="s">
        <v>26</v>
      </c>
      <c r="B12933" s="76" t="s">
        <v>1006</v>
      </c>
      <c r="C12933" s="84">
        <v>0.56</v>
      </c>
      <c r="D12933" s="84">
        <v>0.0</v>
      </c>
      <c r="E12933" s="84">
        <v>0.0</v>
      </c>
      <c r="F12933" s="76" t="s">
        <v>990</v>
      </c>
      <c r="G12933" s="83">
        <v>46122.0</v>
      </c>
      <c r="H12933" s="76" t="s">
        <v>1013</v>
      </c>
    </row>
    <row r="12934">
      <c r="A12934" s="76" t="s">
        <v>26</v>
      </c>
      <c r="B12934" s="76" t="s">
        <v>1006</v>
      </c>
      <c r="C12934" s="84">
        <v>0.97</v>
      </c>
      <c r="D12934" s="84">
        <v>1.0</v>
      </c>
      <c r="E12934" s="84">
        <v>0.97</v>
      </c>
      <c r="F12934" s="76" t="s">
        <v>990</v>
      </c>
      <c r="G12934" s="83">
        <v>46122.0</v>
      </c>
      <c r="H12934" s="76" t="s">
        <v>1014</v>
      </c>
    </row>
    <row r="12935">
      <c r="A12935" s="76" t="s">
        <v>36</v>
      </c>
      <c r="B12935" s="76" t="s">
        <v>1006</v>
      </c>
      <c r="C12935" s="84">
        <v>0.05</v>
      </c>
      <c r="D12935" s="84">
        <v>0.0</v>
      </c>
      <c r="E12935" s="84">
        <v>0.0</v>
      </c>
      <c r="F12935" s="76" t="s">
        <v>993</v>
      </c>
      <c r="G12935" s="83">
        <v>46122.0</v>
      </c>
      <c r="H12935" s="76" t="s">
        <v>926</v>
      </c>
    </row>
    <row r="12936">
      <c r="A12936" s="76" t="s">
        <v>36</v>
      </c>
      <c r="B12936" s="76" t="s">
        <v>1006</v>
      </c>
      <c r="C12936" s="84">
        <v>0.02</v>
      </c>
      <c r="D12936" s="84">
        <v>0.0</v>
      </c>
      <c r="E12936" s="84">
        <v>0.0</v>
      </c>
      <c r="F12936" s="76" t="s">
        <v>993</v>
      </c>
      <c r="G12936" s="83">
        <v>46122.0</v>
      </c>
      <c r="H12936" s="76" t="s">
        <v>927</v>
      </c>
    </row>
    <row r="12937">
      <c r="A12937" s="76" t="s">
        <v>36</v>
      </c>
      <c r="B12937" s="76" t="s">
        <v>1006</v>
      </c>
      <c r="C12937" s="84">
        <v>0.05</v>
      </c>
      <c r="D12937" s="84">
        <v>0.0</v>
      </c>
      <c r="E12937" s="84">
        <v>0.0</v>
      </c>
      <c r="F12937" s="76" t="s">
        <v>993</v>
      </c>
      <c r="G12937" s="83">
        <v>46122.0</v>
      </c>
      <c r="H12937" s="76" t="s">
        <v>928</v>
      </c>
    </row>
    <row r="12938">
      <c r="A12938" s="76" t="s">
        <v>31</v>
      </c>
      <c r="B12938" s="76" t="s">
        <v>1006</v>
      </c>
      <c r="C12938" s="84">
        <v>0.05</v>
      </c>
      <c r="D12938" s="84">
        <v>0.0</v>
      </c>
      <c r="E12938" s="84">
        <v>0.0</v>
      </c>
      <c r="F12938" s="76" t="s">
        <v>993</v>
      </c>
      <c r="G12938" s="83">
        <v>46122.0</v>
      </c>
      <c r="H12938" s="76" t="s">
        <v>929</v>
      </c>
    </row>
    <row r="12939">
      <c r="A12939" s="76" t="s">
        <v>31</v>
      </c>
      <c r="B12939" s="76" t="s">
        <v>1006</v>
      </c>
      <c r="C12939" s="84">
        <v>0.7</v>
      </c>
      <c r="D12939" s="84">
        <v>0.0</v>
      </c>
      <c r="E12939" s="84">
        <v>0.0</v>
      </c>
      <c r="F12939" s="76" t="s">
        <v>993</v>
      </c>
      <c r="G12939" s="83">
        <v>46122.0</v>
      </c>
      <c r="H12939" s="76" t="s">
        <v>930</v>
      </c>
    </row>
    <row r="12940">
      <c r="A12940" s="76" t="s">
        <v>28</v>
      </c>
      <c r="B12940" s="76" t="s">
        <v>1006</v>
      </c>
      <c r="C12940" s="84">
        <v>0.04</v>
      </c>
      <c r="D12940" s="84">
        <v>0.0</v>
      </c>
      <c r="E12940" s="84">
        <v>0.0</v>
      </c>
      <c r="F12940" s="76" t="s">
        <v>993</v>
      </c>
      <c r="G12940" s="83">
        <v>46122.0</v>
      </c>
      <c r="H12940" s="76" t="s">
        <v>931</v>
      </c>
    </row>
    <row r="12941">
      <c r="A12941" s="76" t="s">
        <v>28</v>
      </c>
      <c r="B12941" s="76" t="s">
        <v>1006</v>
      </c>
      <c r="C12941" s="84">
        <v>0.01</v>
      </c>
      <c r="D12941" s="84">
        <v>0.0</v>
      </c>
      <c r="E12941" s="84">
        <v>0.0</v>
      </c>
      <c r="F12941" s="76" t="s">
        <v>993</v>
      </c>
      <c r="G12941" s="83">
        <v>46122.0</v>
      </c>
      <c r="H12941" s="76" t="s">
        <v>932</v>
      </c>
    </row>
    <row r="12942">
      <c r="A12942" s="76" t="s">
        <v>28</v>
      </c>
      <c r="B12942" s="76" t="s">
        <v>1006</v>
      </c>
      <c r="C12942" s="84">
        <v>0.15</v>
      </c>
      <c r="D12942" s="84">
        <v>0.0</v>
      </c>
      <c r="E12942" s="84">
        <v>0.0</v>
      </c>
      <c r="F12942" s="76" t="s">
        <v>993</v>
      </c>
      <c r="G12942" s="83">
        <v>46122.0</v>
      </c>
      <c r="H12942" s="76" t="s">
        <v>933</v>
      </c>
    </row>
    <row r="12943">
      <c r="A12943" s="76" t="s">
        <v>45</v>
      </c>
      <c r="B12943" s="76" t="s">
        <v>1006</v>
      </c>
      <c r="C12943" s="84">
        <v>0.01</v>
      </c>
      <c r="D12943" s="84">
        <v>0.0</v>
      </c>
      <c r="E12943" s="84">
        <v>0.0</v>
      </c>
      <c r="F12943" s="76" t="s">
        <v>993</v>
      </c>
      <c r="G12943" s="83">
        <v>46122.0</v>
      </c>
      <c r="H12943" s="76" t="s">
        <v>936</v>
      </c>
    </row>
    <row r="12944">
      <c r="A12944" s="76" t="s">
        <v>45</v>
      </c>
      <c r="B12944" s="76" t="s">
        <v>1006</v>
      </c>
      <c r="C12944" s="84">
        <v>0.05</v>
      </c>
      <c r="D12944" s="84">
        <v>0.0</v>
      </c>
      <c r="E12944" s="84">
        <v>0.0</v>
      </c>
      <c r="F12944" s="76" t="s">
        <v>993</v>
      </c>
      <c r="G12944" s="83">
        <v>46122.0</v>
      </c>
      <c r="H12944" s="76" t="s">
        <v>937</v>
      </c>
    </row>
    <row r="12945">
      <c r="A12945" s="76" t="s">
        <v>45</v>
      </c>
      <c r="B12945" s="76" t="s">
        <v>1006</v>
      </c>
      <c r="C12945" s="84">
        <v>0.03</v>
      </c>
      <c r="D12945" s="84">
        <v>0.0</v>
      </c>
      <c r="E12945" s="84">
        <v>0.0</v>
      </c>
      <c r="F12945" s="76" t="s">
        <v>993</v>
      </c>
      <c r="G12945" s="83">
        <v>46122.0</v>
      </c>
      <c r="H12945" s="76" t="s">
        <v>938</v>
      </c>
    </row>
    <row r="12946">
      <c r="A12946" s="76" t="s">
        <v>32</v>
      </c>
      <c r="B12946" s="76" t="s">
        <v>1006</v>
      </c>
      <c r="C12946" s="84">
        <v>0.24</v>
      </c>
      <c r="D12946" s="84">
        <v>0.0</v>
      </c>
      <c r="E12946" s="84">
        <v>0.0</v>
      </c>
      <c r="F12946" s="76" t="s">
        <v>993</v>
      </c>
      <c r="G12946" s="83">
        <v>46122.0</v>
      </c>
      <c r="H12946" s="76" t="s">
        <v>941</v>
      </c>
    </row>
    <row r="12947">
      <c r="A12947" s="76" t="s">
        <v>32</v>
      </c>
      <c r="B12947" s="76" t="s">
        <v>1006</v>
      </c>
      <c r="C12947" s="84">
        <v>0.07</v>
      </c>
      <c r="D12947" s="84">
        <v>0.0</v>
      </c>
      <c r="E12947" s="84">
        <v>0.0</v>
      </c>
      <c r="F12947" s="76" t="s">
        <v>993</v>
      </c>
      <c r="G12947" s="83">
        <v>46122.0</v>
      </c>
      <c r="H12947" s="76" t="s">
        <v>942</v>
      </c>
    </row>
    <row r="12948">
      <c r="A12948" s="76" t="s">
        <v>32</v>
      </c>
      <c r="B12948" s="76" t="s">
        <v>1006</v>
      </c>
      <c r="C12948" s="84">
        <v>0.28</v>
      </c>
      <c r="D12948" s="84">
        <v>0.0</v>
      </c>
      <c r="E12948" s="84">
        <v>0.0</v>
      </c>
      <c r="F12948" s="76" t="s">
        <v>993</v>
      </c>
      <c r="G12948" s="83">
        <v>46122.0</v>
      </c>
      <c r="H12948" s="76" t="s">
        <v>943</v>
      </c>
    </row>
    <row r="12949">
      <c r="A12949" s="76" t="s">
        <v>944</v>
      </c>
      <c r="B12949" s="76" t="s">
        <v>1006</v>
      </c>
      <c r="C12949" s="84">
        <v>0.04</v>
      </c>
      <c r="D12949" s="84">
        <v>0.0</v>
      </c>
      <c r="E12949" s="84">
        <v>0.0</v>
      </c>
      <c r="F12949" s="76" t="s">
        <v>993</v>
      </c>
      <c r="G12949" s="83">
        <v>46122.0</v>
      </c>
      <c r="H12949" s="76" t="s">
        <v>945</v>
      </c>
    </row>
    <row r="12950">
      <c r="A12950" s="76" t="s">
        <v>944</v>
      </c>
      <c r="B12950" s="76" t="s">
        <v>1006</v>
      </c>
      <c r="C12950" s="84">
        <v>0.03</v>
      </c>
      <c r="D12950" s="84">
        <v>0.0</v>
      </c>
      <c r="E12950" s="84">
        <v>0.0</v>
      </c>
      <c r="F12950" s="76" t="s">
        <v>993</v>
      </c>
      <c r="G12950" s="83">
        <v>46122.0</v>
      </c>
      <c r="H12950" s="76" t="s">
        <v>946</v>
      </c>
    </row>
    <row r="12951">
      <c r="A12951" s="76" t="s">
        <v>944</v>
      </c>
      <c r="B12951" s="76" t="s">
        <v>1006</v>
      </c>
      <c r="C12951" s="84">
        <v>0.13</v>
      </c>
      <c r="D12951" s="84">
        <v>0.0</v>
      </c>
      <c r="E12951" s="84">
        <v>0.0</v>
      </c>
      <c r="F12951" s="76" t="s">
        <v>993</v>
      </c>
      <c r="G12951" s="83">
        <v>46122.0</v>
      </c>
      <c r="H12951" s="76" t="s">
        <v>947</v>
      </c>
    </row>
    <row r="12952">
      <c r="A12952" s="76" t="s">
        <v>26</v>
      </c>
      <c r="B12952" s="76" t="s">
        <v>1006</v>
      </c>
      <c r="C12952" s="84">
        <v>0.01</v>
      </c>
      <c r="D12952" s="84">
        <v>0.0</v>
      </c>
      <c r="E12952" s="84">
        <v>0.0</v>
      </c>
      <c r="F12952" s="76" t="s">
        <v>993</v>
      </c>
      <c r="G12952" s="83">
        <v>46122.0</v>
      </c>
      <c r="H12952" s="76" t="s">
        <v>1012</v>
      </c>
    </row>
    <row r="12953">
      <c r="A12953" s="76" t="s">
        <v>26</v>
      </c>
      <c r="B12953" s="76" t="s">
        <v>1006</v>
      </c>
      <c r="C12953" s="84">
        <v>0.04</v>
      </c>
      <c r="D12953" s="84">
        <v>0.0</v>
      </c>
      <c r="E12953" s="84">
        <v>0.0</v>
      </c>
      <c r="F12953" s="76" t="s">
        <v>993</v>
      </c>
      <c r="G12953" s="83">
        <v>46122.0</v>
      </c>
      <c r="H12953" s="76" t="s">
        <v>1013</v>
      </c>
    </row>
    <row r="12954">
      <c r="A12954" s="76" t="s">
        <v>26</v>
      </c>
      <c r="B12954" s="76" t="s">
        <v>1006</v>
      </c>
      <c r="C12954" s="84">
        <v>0.22</v>
      </c>
      <c r="D12954" s="84">
        <v>0.0</v>
      </c>
      <c r="E12954" s="84">
        <v>0.0</v>
      </c>
      <c r="F12954" s="76" t="s">
        <v>993</v>
      </c>
      <c r="G12954" s="83">
        <v>46122.0</v>
      </c>
      <c r="H12954" s="76" t="s">
        <v>1014</v>
      </c>
    </row>
    <row r="12955">
      <c r="A12955" s="76" t="s">
        <v>36</v>
      </c>
      <c r="B12955" s="76" t="s">
        <v>1006</v>
      </c>
      <c r="C12955" s="84">
        <v>35.86</v>
      </c>
      <c r="D12955" s="84">
        <v>3.0</v>
      </c>
      <c r="E12955" s="84">
        <v>11.95</v>
      </c>
      <c r="F12955" s="76" t="s">
        <v>1005</v>
      </c>
      <c r="G12955" s="83">
        <v>46122.0</v>
      </c>
      <c r="H12955" s="76" t="s">
        <v>926</v>
      </c>
    </row>
    <row r="12956">
      <c r="A12956" s="76" t="s">
        <v>36</v>
      </c>
      <c r="B12956" s="76" t="s">
        <v>1006</v>
      </c>
      <c r="C12956" s="84">
        <v>2.78</v>
      </c>
      <c r="D12956" s="84">
        <v>0.0</v>
      </c>
      <c r="E12956" s="84">
        <v>0.0</v>
      </c>
      <c r="F12956" s="76" t="s">
        <v>1005</v>
      </c>
      <c r="G12956" s="83">
        <v>46122.0</v>
      </c>
      <c r="H12956" s="76" t="s">
        <v>927</v>
      </c>
    </row>
    <row r="12957">
      <c r="A12957" s="76" t="s">
        <v>36</v>
      </c>
      <c r="B12957" s="76" t="s">
        <v>1006</v>
      </c>
      <c r="C12957" s="84">
        <v>11.18</v>
      </c>
      <c r="D12957" s="84">
        <v>3.0</v>
      </c>
      <c r="E12957" s="84">
        <v>3.73</v>
      </c>
      <c r="F12957" s="76" t="s">
        <v>1005</v>
      </c>
      <c r="G12957" s="83">
        <v>46122.0</v>
      </c>
      <c r="H12957" s="76" t="s">
        <v>928</v>
      </c>
    </row>
    <row r="12958">
      <c r="A12958" s="76" t="s">
        <v>31</v>
      </c>
      <c r="B12958" s="76" t="s">
        <v>1006</v>
      </c>
      <c r="C12958" s="84">
        <v>7.14</v>
      </c>
      <c r="D12958" s="84">
        <v>2.0</v>
      </c>
      <c r="E12958" s="84">
        <v>3.57</v>
      </c>
      <c r="F12958" s="76" t="s">
        <v>1005</v>
      </c>
      <c r="G12958" s="83">
        <v>46122.0</v>
      </c>
      <c r="H12958" s="76" t="s">
        <v>929</v>
      </c>
    </row>
    <row r="12959">
      <c r="A12959" s="76" t="s">
        <v>31</v>
      </c>
      <c r="B12959" s="76" t="s">
        <v>1006</v>
      </c>
      <c r="C12959" s="84">
        <v>147.24</v>
      </c>
      <c r="D12959" s="84">
        <v>40.0</v>
      </c>
      <c r="E12959" s="84">
        <v>3.68</v>
      </c>
      <c r="F12959" s="76" t="s">
        <v>1005</v>
      </c>
      <c r="G12959" s="83">
        <v>46122.0</v>
      </c>
      <c r="H12959" s="76" t="s">
        <v>930</v>
      </c>
    </row>
    <row r="12960">
      <c r="A12960" s="76" t="s">
        <v>28</v>
      </c>
      <c r="B12960" s="76" t="s">
        <v>1006</v>
      </c>
      <c r="C12960" s="84">
        <v>1.75</v>
      </c>
      <c r="D12960" s="84">
        <v>0.0</v>
      </c>
      <c r="E12960" s="84">
        <v>0.0</v>
      </c>
      <c r="F12960" s="76" t="s">
        <v>1005</v>
      </c>
      <c r="G12960" s="83">
        <v>46122.0</v>
      </c>
      <c r="H12960" s="76" t="s">
        <v>931</v>
      </c>
    </row>
    <row r="12961">
      <c r="A12961" s="76" t="s">
        <v>28</v>
      </c>
      <c r="B12961" s="76" t="s">
        <v>1006</v>
      </c>
      <c r="C12961" s="84">
        <v>3.32</v>
      </c>
      <c r="D12961" s="84">
        <v>0.0</v>
      </c>
      <c r="E12961" s="84">
        <v>0.0</v>
      </c>
      <c r="F12961" s="76" t="s">
        <v>1005</v>
      </c>
      <c r="G12961" s="83">
        <v>46122.0</v>
      </c>
      <c r="H12961" s="76" t="s">
        <v>932</v>
      </c>
    </row>
    <row r="12962">
      <c r="A12962" s="76" t="s">
        <v>28</v>
      </c>
      <c r="B12962" s="76" t="s">
        <v>1006</v>
      </c>
      <c r="C12962" s="84">
        <v>122.6</v>
      </c>
      <c r="D12962" s="84">
        <v>23.0</v>
      </c>
      <c r="E12962" s="84">
        <v>5.33</v>
      </c>
      <c r="F12962" s="76" t="s">
        <v>1005</v>
      </c>
      <c r="G12962" s="83">
        <v>46122.0</v>
      </c>
      <c r="H12962" s="76" t="s">
        <v>933</v>
      </c>
    </row>
    <row r="12963">
      <c r="A12963" s="76" t="s">
        <v>45</v>
      </c>
      <c r="B12963" s="76" t="s">
        <v>1006</v>
      </c>
      <c r="C12963" s="84">
        <v>1.38</v>
      </c>
      <c r="D12963" s="84">
        <v>0.0</v>
      </c>
      <c r="E12963" s="84">
        <v>0.0</v>
      </c>
      <c r="F12963" s="76" t="s">
        <v>1005</v>
      </c>
      <c r="G12963" s="83">
        <v>46122.0</v>
      </c>
      <c r="H12963" s="76" t="s">
        <v>936</v>
      </c>
    </row>
    <row r="12964">
      <c r="A12964" s="76" t="s">
        <v>45</v>
      </c>
      <c r="B12964" s="76" t="s">
        <v>1006</v>
      </c>
      <c r="C12964" s="84">
        <v>6.44</v>
      </c>
      <c r="D12964" s="84">
        <v>2.0</v>
      </c>
      <c r="E12964" s="84">
        <v>3.22</v>
      </c>
      <c r="F12964" s="76" t="s">
        <v>1005</v>
      </c>
      <c r="G12964" s="83">
        <v>46122.0</v>
      </c>
      <c r="H12964" s="76" t="s">
        <v>937</v>
      </c>
    </row>
    <row r="12965">
      <c r="A12965" s="76" t="s">
        <v>45</v>
      </c>
      <c r="B12965" s="76" t="s">
        <v>1006</v>
      </c>
      <c r="C12965" s="84">
        <v>1.6</v>
      </c>
      <c r="D12965" s="84">
        <v>0.0</v>
      </c>
      <c r="E12965" s="84">
        <v>0.0</v>
      </c>
      <c r="F12965" s="76" t="s">
        <v>1005</v>
      </c>
      <c r="G12965" s="83">
        <v>46122.0</v>
      </c>
      <c r="H12965" s="76" t="s">
        <v>938</v>
      </c>
    </row>
    <row r="12966">
      <c r="A12966" s="76" t="s">
        <v>32</v>
      </c>
      <c r="B12966" s="76" t="s">
        <v>1006</v>
      </c>
      <c r="C12966" s="84">
        <v>321.12</v>
      </c>
      <c r="D12966" s="84">
        <v>78.0</v>
      </c>
      <c r="E12966" s="84">
        <v>4.12</v>
      </c>
      <c r="F12966" s="76" t="s">
        <v>1005</v>
      </c>
      <c r="G12966" s="83">
        <v>46122.0</v>
      </c>
      <c r="H12966" s="76" t="s">
        <v>941</v>
      </c>
    </row>
    <row r="12967">
      <c r="A12967" s="76" t="s">
        <v>32</v>
      </c>
      <c r="B12967" s="76" t="s">
        <v>1006</v>
      </c>
      <c r="C12967" s="84">
        <v>19.16</v>
      </c>
      <c r="D12967" s="84">
        <v>4.0</v>
      </c>
      <c r="E12967" s="84">
        <v>4.79</v>
      </c>
      <c r="F12967" s="76" t="s">
        <v>1005</v>
      </c>
      <c r="G12967" s="83">
        <v>46122.0</v>
      </c>
      <c r="H12967" s="76" t="s">
        <v>942</v>
      </c>
    </row>
    <row r="12968">
      <c r="A12968" s="76" t="s">
        <v>32</v>
      </c>
      <c r="B12968" s="76" t="s">
        <v>1006</v>
      </c>
      <c r="C12968" s="84">
        <v>404.35</v>
      </c>
      <c r="D12968" s="84">
        <v>66.0</v>
      </c>
      <c r="E12968" s="84">
        <v>6.13</v>
      </c>
      <c r="F12968" s="76" t="s">
        <v>1005</v>
      </c>
      <c r="G12968" s="83">
        <v>46122.0</v>
      </c>
      <c r="H12968" s="76" t="s">
        <v>943</v>
      </c>
    </row>
    <row r="12969">
      <c r="A12969" s="76" t="s">
        <v>944</v>
      </c>
      <c r="B12969" s="76" t="s">
        <v>1006</v>
      </c>
      <c r="C12969" s="84">
        <v>11.38</v>
      </c>
      <c r="D12969" s="84">
        <v>2.0</v>
      </c>
      <c r="E12969" s="84">
        <v>5.69</v>
      </c>
      <c r="F12969" s="76" t="s">
        <v>1005</v>
      </c>
      <c r="G12969" s="83">
        <v>46122.0</v>
      </c>
      <c r="H12969" s="76" t="s">
        <v>945</v>
      </c>
    </row>
    <row r="12970">
      <c r="A12970" s="76" t="s">
        <v>944</v>
      </c>
      <c r="B12970" s="76" t="s">
        <v>1006</v>
      </c>
      <c r="C12970" s="84">
        <v>2.11</v>
      </c>
      <c r="D12970" s="84">
        <v>0.0</v>
      </c>
      <c r="E12970" s="84">
        <v>0.0</v>
      </c>
      <c r="F12970" s="76" t="s">
        <v>1005</v>
      </c>
      <c r="G12970" s="83">
        <v>46122.0</v>
      </c>
      <c r="H12970" s="76" t="s">
        <v>946</v>
      </c>
    </row>
    <row r="12971">
      <c r="A12971" s="76" t="s">
        <v>944</v>
      </c>
      <c r="B12971" s="76" t="s">
        <v>1006</v>
      </c>
      <c r="C12971" s="84">
        <v>23.87</v>
      </c>
      <c r="D12971" s="84">
        <v>6.0</v>
      </c>
      <c r="E12971" s="84">
        <v>3.98</v>
      </c>
      <c r="F12971" s="76" t="s">
        <v>1005</v>
      </c>
      <c r="G12971" s="83">
        <v>46122.0</v>
      </c>
      <c r="H12971" s="76" t="s">
        <v>947</v>
      </c>
    </row>
    <row r="12972">
      <c r="A12972" s="76" t="s">
        <v>26</v>
      </c>
      <c r="B12972" s="76" t="s">
        <v>1006</v>
      </c>
      <c r="C12972" s="84">
        <v>1.9</v>
      </c>
      <c r="D12972" s="84">
        <v>1.0</v>
      </c>
      <c r="E12972" s="84">
        <v>1.9</v>
      </c>
      <c r="F12972" s="76" t="s">
        <v>1005</v>
      </c>
      <c r="G12972" s="83">
        <v>46122.0</v>
      </c>
      <c r="H12972" s="76" t="s">
        <v>1012</v>
      </c>
    </row>
    <row r="12973">
      <c r="A12973" s="76" t="s">
        <v>26</v>
      </c>
      <c r="B12973" s="76" t="s">
        <v>1006</v>
      </c>
      <c r="C12973" s="84">
        <v>2.73</v>
      </c>
      <c r="D12973" s="84">
        <v>1.0</v>
      </c>
      <c r="E12973" s="84">
        <v>2.73</v>
      </c>
      <c r="F12973" s="76" t="s">
        <v>1005</v>
      </c>
      <c r="G12973" s="83">
        <v>46122.0</v>
      </c>
      <c r="H12973" s="76" t="s">
        <v>1013</v>
      </c>
    </row>
    <row r="12974">
      <c r="A12974" s="76" t="s">
        <v>26</v>
      </c>
      <c r="B12974" s="76" t="s">
        <v>1006</v>
      </c>
      <c r="C12974" s="84">
        <v>100.39</v>
      </c>
      <c r="D12974" s="84">
        <v>13.0</v>
      </c>
      <c r="E12974" s="84">
        <v>7.72</v>
      </c>
      <c r="F12974" s="76" t="s">
        <v>1005</v>
      </c>
      <c r="G12974" s="83">
        <v>46122.0</v>
      </c>
      <c r="H12974" s="76" t="s">
        <v>1014</v>
      </c>
    </row>
    <row r="12975">
      <c r="A12975" s="76" t="s">
        <v>36</v>
      </c>
      <c r="B12975" s="76" t="s">
        <v>1006</v>
      </c>
      <c r="C12975" s="84">
        <v>0.5</v>
      </c>
      <c r="D12975" s="84">
        <v>0.0</v>
      </c>
      <c r="E12975" s="84">
        <v>0.0</v>
      </c>
      <c r="F12975" s="76" t="s">
        <v>996</v>
      </c>
      <c r="G12975" s="83">
        <v>46122.0</v>
      </c>
      <c r="H12975" s="76" t="s">
        <v>926</v>
      </c>
    </row>
    <row r="12976">
      <c r="A12976" s="76" t="s">
        <v>36</v>
      </c>
      <c r="B12976" s="76" t="s">
        <v>1006</v>
      </c>
      <c r="C12976" s="84">
        <v>0.04</v>
      </c>
      <c r="D12976" s="84">
        <v>0.0</v>
      </c>
      <c r="E12976" s="84">
        <v>0.0</v>
      </c>
      <c r="F12976" s="76" t="s">
        <v>996</v>
      </c>
      <c r="G12976" s="83">
        <v>46122.0</v>
      </c>
      <c r="H12976" s="76" t="s">
        <v>927</v>
      </c>
    </row>
    <row r="12977">
      <c r="A12977" s="76" t="s">
        <v>36</v>
      </c>
      <c r="B12977" s="76" t="s">
        <v>1006</v>
      </c>
      <c r="C12977" s="84">
        <v>0.25</v>
      </c>
      <c r="D12977" s="84">
        <v>0.0</v>
      </c>
      <c r="E12977" s="84">
        <v>0.0</v>
      </c>
      <c r="F12977" s="76" t="s">
        <v>996</v>
      </c>
      <c r="G12977" s="83">
        <v>46122.0</v>
      </c>
      <c r="H12977" s="76" t="s">
        <v>928</v>
      </c>
    </row>
    <row r="12978">
      <c r="A12978" s="76" t="s">
        <v>31</v>
      </c>
      <c r="B12978" s="76" t="s">
        <v>1006</v>
      </c>
      <c r="C12978" s="84">
        <v>0.31</v>
      </c>
      <c r="D12978" s="84">
        <v>0.0</v>
      </c>
      <c r="E12978" s="84">
        <v>0.0</v>
      </c>
      <c r="F12978" s="76" t="s">
        <v>996</v>
      </c>
      <c r="G12978" s="83">
        <v>46122.0</v>
      </c>
      <c r="H12978" s="76" t="s">
        <v>929</v>
      </c>
    </row>
    <row r="12979">
      <c r="A12979" s="76" t="s">
        <v>31</v>
      </c>
      <c r="B12979" s="76" t="s">
        <v>1006</v>
      </c>
      <c r="C12979" s="84">
        <v>4.8</v>
      </c>
      <c r="D12979" s="84">
        <v>1.0</v>
      </c>
      <c r="E12979" s="84">
        <v>4.8</v>
      </c>
      <c r="F12979" s="76" t="s">
        <v>996</v>
      </c>
      <c r="G12979" s="83">
        <v>46122.0</v>
      </c>
      <c r="H12979" s="76" t="s">
        <v>930</v>
      </c>
    </row>
    <row r="12980">
      <c r="A12980" s="76" t="s">
        <v>28</v>
      </c>
      <c r="B12980" s="76" t="s">
        <v>1006</v>
      </c>
      <c r="C12980" s="84">
        <v>0.19</v>
      </c>
      <c r="D12980" s="84">
        <v>0.0</v>
      </c>
      <c r="E12980" s="84">
        <v>0.0</v>
      </c>
      <c r="F12980" s="76" t="s">
        <v>996</v>
      </c>
      <c r="G12980" s="83">
        <v>46122.0</v>
      </c>
      <c r="H12980" s="76" t="s">
        <v>931</v>
      </c>
    </row>
    <row r="12981">
      <c r="A12981" s="76" t="s">
        <v>28</v>
      </c>
      <c r="B12981" s="76" t="s">
        <v>1006</v>
      </c>
      <c r="C12981" s="84">
        <v>0.1</v>
      </c>
      <c r="D12981" s="84">
        <v>0.0</v>
      </c>
      <c r="E12981" s="84">
        <v>0.0</v>
      </c>
      <c r="F12981" s="76" t="s">
        <v>996</v>
      </c>
      <c r="G12981" s="83">
        <v>46122.0</v>
      </c>
      <c r="H12981" s="76" t="s">
        <v>932</v>
      </c>
    </row>
    <row r="12982">
      <c r="A12982" s="76" t="s">
        <v>28</v>
      </c>
      <c r="B12982" s="76" t="s">
        <v>1006</v>
      </c>
      <c r="C12982" s="84">
        <v>1.11</v>
      </c>
      <c r="D12982" s="84">
        <v>1.0</v>
      </c>
      <c r="E12982" s="84">
        <v>1.11</v>
      </c>
      <c r="F12982" s="76" t="s">
        <v>996</v>
      </c>
      <c r="G12982" s="83">
        <v>46122.0</v>
      </c>
      <c r="H12982" s="76" t="s">
        <v>933</v>
      </c>
    </row>
    <row r="12983">
      <c r="A12983" s="76" t="s">
        <v>45</v>
      </c>
      <c r="B12983" s="76" t="s">
        <v>1006</v>
      </c>
      <c r="C12983" s="84">
        <v>0.05</v>
      </c>
      <c r="D12983" s="84">
        <v>0.0</v>
      </c>
      <c r="E12983" s="84">
        <v>0.0</v>
      </c>
      <c r="F12983" s="76" t="s">
        <v>996</v>
      </c>
      <c r="G12983" s="83">
        <v>46122.0</v>
      </c>
      <c r="H12983" s="76" t="s">
        <v>936</v>
      </c>
    </row>
    <row r="12984">
      <c r="A12984" s="76" t="s">
        <v>45</v>
      </c>
      <c r="B12984" s="76" t="s">
        <v>1006</v>
      </c>
      <c r="C12984" s="84">
        <v>0.24</v>
      </c>
      <c r="D12984" s="84">
        <v>0.0</v>
      </c>
      <c r="E12984" s="84">
        <v>0.0</v>
      </c>
      <c r="F12984" s="76" t="s">
        <v>996</v>
      </c>
      <c r="G12984" s="83">
        <v>46122.0</v>
      </c>
      <c r="H12984" s="76" t="s">
        <v>937</v>
      </c>
    </row>
    <row r="12985">
      <c r="A12985" s="76" t="s">
        <v>45</v>
      </c>
      <c r="B12985" s="76" t="s">
        <v>1006</v>
      </c>
      <c r="C12985" s="84">
        <v>0.11</v>
      </c>
      <c r="D12985" s="84">
        <v>0.0</v>
      </c>
      <c r="E12985" s="84">
        <v>0.0</v>
      </c>
      <c r="F12985" s="76" t="s">
        <v>996</v>
      </c>
      <c r="G12985" s="83">
        <v>46122.0</v>
      </c>
      <c r="H12985" s="76" t="s">
        <v>938</v>
      </c>
    </row>
    <row r="12986">
      <c r="A12986" s="76" t="s">
        <v>32</v>
      </c>
      <c r="B12986" s="76" t="s">
        <v>1006</v>
      </c>
      <c r="C12986" s="84">
        <v>1.73</v>
      </c>
      <c r="D12986" s="84">
        <v>0.0</v>
      </c>
      <c r="E12986" s="84">
        <v>0.0</v>
      </c>
      <c r="F12986" s="76" t="s">
        <v>996</v>
      </c>
      <c r="G12986" s="83">
        <v>46122.0</v>
      </c>
      <c r="H12986" s="76" t="s">
        <v>941</v>
      </c>
    </row>
    <row r="12987">
      <c r="A12987" s="76" t="s">
        <v>32</v>
      </c>
      <c r="B12987" s="76" t="s">
        <v>1006</v>
      </c>
      <c r="C12987" s="84">
        <v>0.24</v>
      </c>
      <c r="D12987" s="84">
        <v>0.0</v>
      </c>
      <c r="E12987" s="84">
        <v>0.0</v>
      </c>
      <c r="F12987" s="76" t="s">
        <v>996</v>
      </c>
      <c r="G12987" s="83">
        <v>46122.0</v>
      </c>
      <c r="H12987" s="76" t="s">
        <v>942</v>
      </c>
    </row>
    <row r="12988">
      <c r="A12988" s="76" t="s">
        <v>32</v>
      </c>
      <c r="B12988" s="76" t="s">
        <v>1006</v>
      </c>
      <c r="C12988" s="84">
        <v>1.57</v>
      </c>
      <c r="D12988" s="84">
        <v>0.0</v>
      </c>
      <c r="E12988" s="84">
        <v>0.0</v>
      </c>
      <c r="F12988" s="76" t="s">
        <v>996</v>
      </c>
      <c r="G12988" s="83">
        <v>46122.0</v>
      </c>
      <c r="H12988" s="76" t="s">
        <v>943</v>
      </c>
    </row>
    <row r="12989">
      <c r="A12989" s="76" t="s">
        <v>944</v>
      </c>
      <c r="B12989" s="76" t="s">
        <v>1006</v>
      </c>
      <c r="C12989" s="84">
        <v>0.54</v>
      </c>
      <c r="D12989" s="84">
        <v>1.0</v>
      </c>
      <c r="E12989" s="84">
        <v>0.54</v>
      </c>
      <c r="F12989" s="76" t="s">
        <v>996</v>
      </c>
      <c r="G12989" s="83">
        <v>46122.0</v>
      </c>
      <c r="H12989" s="76" t="s">
        <v>945</v>
      </c>
    </row>
    <row r="12990">
      <c r="A12990" s="76" t="s">
        <v>944</v>
      </c>
      <c r="B12990" s="76" t="s">
        <v>1006</v>
      </c>
      <c r="C12990" s="84">
        <v>0.1</v>
      </c>
      <c r="D12990" s="84">
        <v>0.0</v>
      </c>
      <c r="E12990" s="84">
        <v>0.0</v>
      </c>
      <c r="F12990" s="76" t="s">
        <v>996</v>
      </c>
      <c r="G12990" s="83">
        <v>46122.0</v>
      </c>
      <c r="H12990" s="76" t="s">
        <v>946</v>
      </c>
    </row>
    <row r="12991">
      <c r="A12991" s="76" t="s">
        <v>944</v>
      </c>
      <c r="B12991" s="76" t="s">
        <v>1006</v>
      </c>
      <c r="C12991" s="84">
        <v>1.5</v>
      </c>
      <c r="D12991" s="84">
        <v>0.0</v>
      </c>
      <c r="E12991" s="84">
        <v>0.0</v>
      </c>
      <c r="F12991" s="76" t="s">
        <v>996</v>
      </c>
      <c r="G12991" s="83">
        <v>46122.0</v>
      </c>
      <c r="H12991" s="76" t="s">
        <v>947</v>
      </c>
    </row>
    <row r="12992">
      <c r="A12992" s="76" t="s">
        <v>26</v>
      </c>
      <c r="B12992" s="76" t="s">
        <v>1006</v>
      </c>
      <c r="C12992" s="84">
        <v>0.09</v>
      </c>
      <c r="D12992" s="84">
        <v>0.0</v>
      </c>
      <c r="E12992" s="84">
        <v>0.0</v>
      </c>
      <c r="F12992" s="76" t="s">
        <v>996</v>
      </c>
      <c r="G12992" s="83">
        <v>46122.0</v>
      </c>
      <c r="H12992" s="76" t="s">
        <v>1012</v>
      </c>
    </row>
    <row r="12993">
      <c r="A12993" s="76" t="s">
        <v>26</v>
      </c>
      <c r="B12993" s="76" t="s">
        <v>1006</v>
      </c>
      <c r="C12993" s="84">
        <v>0.19</v>
      </c>
      <c r="D12993" s="84">
        <v>0.0</v>
      </c>
      <c r="E12993" s="84">
        <v>0.0</v>
      </c>
      <c r="F12993" s="76" t="s">
        <v>996</v>
      </c>
      <c r="G12993" s="83">
        <v>46122.0</v>
      </c>
      <c r="H12993" s="76" t="s">
        <v>1013</v>
      </c>
    </row>
    <row r="12994">
      <c r="A12994" s="76" t="s">
        <v>26</v>
      </c>
      <c r="B12994" s="76" t="s">
        <v>1006</v>
      </c>
      <c r="C12994" s="84">
        <v>2.18</v>
      </c>
      <c r="D12994" s="84">
        <v>1.0</v>
      </c>
      <c r="E12994" s="84">
        <v>2.18</v>
      </c>
      <c r="F12994" s="76" t="s">
        <v>996</v>
      </c>
      <c r="G12994" s="83">
        <v>46122.0</v>
      </c>
      <c r="H12994" s="76" t="s">
        <v>1014</v>
      </c>
    </row>
    <row r="12995">
      <c r="A12995" s="76" t="s">
        <v>36</v>
      </c>
      <c r="B12995" s="76" t="s">
        <v>1006</v>
      </c>
      <c r="C12995" s="84">
        <v>44.79</v>
      </c>
      <c r="D12995" s="84">
        <v>3.0</v>
      </c>
      <c r="E12995" s="84">
        <v>14.93</v>
      </c>
      <c r="F12995" s="76" t="s">
        <v>997</v>
      </c>
      <c r="G12995" s="83">
        <v>46122.0</v>
      </c>
      <c r="H12995" s="76" t="s">
        <v>926</v>
      </c>
    </row>
    <row r="12996">
      <c r="A12996" s="76" t="s">
        <v>36</v>
      </c>
      <c r="B12996" s="76" t="s">
        <v>1006</v>
      </c>
      <c r="C12996" s="84">
        <v>2.75</v>
      </c>
      <c r="D12996" s="84">
        <v>0.0</v>
      </c>
      <c r="E12996" s="84">
        <v>0.0</v>
      </c>
      <c r="F12996" s="76" t="s">
        <v>997</v>
      </c>
      <c r="G12996" s="83">
        <v>46122.0</v>
      </c>
      <c r="H12996" s="76" t="s">
        <v>927</v>
      </c>
    </row>
    <row r="12997">
      <c r="A12997" s="76" t="s">
        <v>36</v>
      </c>
      <c r="B12997" s="76" t="s">
        <v>1006</v>
      </c>
      <c r="C12997" s="84">
        <v>15.31</v>
      </c>
      <c r="D12997" s="84">
        <v>2.0</v>
      </c>
      <c r="E12997" s="84">
        <v>7.66</v>
      </c>
      <c r="F12997" s="76" t="s">
        <v>997</v>
      </c>
      <c r="G12997" s="83">
        <v>46122.0</v>
      </c>
      <c r="H12997" s="76" t="s">
        <v>928</v>
      </c>
    </row>
    <row r="12998">
      <c r="A12998" s="76" t="s">
        <v>31</v>
      </c>
      <c r="B12998" s="76" t="s">
        <v>1006</v>
      </c>
      <c r="C12998" s="84">
        <v>19.22</v>
      </c>
      <c r="D12998" s="84">
        <v>5.0</v>
      </c>
      <c r="E12998" s="84">
        <v>3.84</v>
      </c>
      <c r="F12998" s="76" t="s">
        <v>997</v>
      </c>
      <c r="G12998" s="83">
        <v>46122.0</v>
      </c>
      <c r="H12998" s="76" t="s">
        <v>929</v>
      </c>
    </row>
    <row r="12999">
      <c r="A12999" s="76" t="s">
        <v>31</v>
      </c>
      <c r="B12999" s="76" t="s">
        <v>1006</v>
      </c>
      <c r="C12999" s="84">
        <v>1047.61</v>
      </c>
      <c r="D12999" s="84">
        <v>207.0</v>
      </c>
      <c r="E12999" s="84">
        <v>5.06</v>
      </c>
      <c r="F12999" s="76" t="s">
        <v>997</v>
      </c>
      <c r="G12999" s="83">
        <v>46122.0</v>
      </c>
      <c r="H12999" s="76" t="s">
        <v>930</v>
      </c>
    </row>
    <row r="13000">
      <c r="A13000" s="76" t="s">
        <v>28</v>
      </c>
      <c r="B13000" s="76" t="s">
        <v>1006</v>
      </c>
      <c r="C13000" s="84">
        <v>2.84</v>
      </c>
      <c r="D13000" s="84">
        <v>0.0</v>
      </c>
      <c r="E13000" s="84">
        <v>0.0</v>
      </c>
      <c r="F13000" s="76" t="s">
        <v>997</v>
      </c>
      <c r="G13000" s="83">
        <v>46122.0</v>
      </c>
      <c r="H13000" s="76" t="s">
        <v>931</v>
      </c>
    </row>
    <row r="13001">
      <c r="A13001" s="76" t="s">
        <v>28</v>
      </c>
      <c r="B13001" s="76" t="s">
        <v>1006</v>
      </c>
      <c r="C13001" s="84">
        <v>4.93</v>
      </c>
      <c r="D13001" s="84">
        <v>0.0</v>
      </c>
      <c r="E13001" s="84">
        <v>0.0</v>
      </c>
      <c r="F13001" s="76" t="s">
        <v>997</v>
      </c>
      <c r="G13001" s="83">
        <v>46122.0</v>
      </c>
      <c r="H13001" s="76" t="s">
        <v>932</v>
      </c>
    </row>
    <row r="13002">
      <c r="A13002" s="76" t="s">
        <v>28</v>
      </c>
      <c r="B13002" s="76" t="s">
        <v>1006</v>
      </c>
      <c r="C13002" s="84">
        <v>267.0</v>
      </c>
      <c r="D13002" s="84">
        <v>39.0</v>
      </c>
      <c r="E13002" s="84">
        <v>6.85</v>
      </c>
      <c r="F13002" s="76" t="s">
        <v>997</v>
      </c>
      <c r="G13002" s="83">
        <v>46122.0</v>
      </c>
      <c r="H13002" s="76" t="s">
        <v>933</v>
      </c>
    </row>
    <row r="13003">
      <c r="A13003" s="76" t="s">
        <v>45</v>
      </c>
      <c r="B13003" s="76" t="s">
        <v>1006</v>
      </c>
      <c r="C13003" s="84">
        <v>1.64</v>
      </c>
      <c r="D13003" s="84">
        <v>0.0</v>
      </c>
      <c r="E13003" s="84">
        <v>0.0</v>
      </c>
      <c r="F13003" s="76" t="s">
        <v>997</v>
      </c>
      <c r="G13003" s="83">
        <v>46122.0</v>
      </c>
      <c r="H13003" s="76" t="s">
        <v>936</v>
      </c>
    </row>
    <row r="13004">
      <c r="A13004" s="76" t="s">
        <v>45</v>
      </c>
      <c r="B13004" s="76" t="s">
        <v>1006</v>
      </c>
      <c r="C13004" s="84">
        <v>12.22</v>
      </c>
      <c r="D13004" s="84">
        <v>2.0</v>
      </c>
      <c r="E13004" s="84">
        <v>6.11</v>
      </c>
      <c r="F13004" s="76" t="s">
        <v>997</v>
      </c>
      <c r="G13004" s="83">
        <v>46122.0</v>
      </c>
      <c r="H13004" s="76" t="s">
        <v>937</v>
      </c>
    </row>
    <row r="13005">
      <c r="A13005" s="76" t="s">
        <v>45</v>
      </c>
      <c r="B13005" s="76" t="s">
        <v>1006</v>
      </c>
      <c r="C13005" s="84">
        <v>3.59</v>
      </c>
      <c r="D13005" s="84">
        <v>1.0</v>
      </c>
      <c r="E13005" s="84">
        <v>3.59</v>
      </c>
      <c r="F13005" s="76" t="s">
        <v>997</v>
      </c>
      <c r="G13005" s="83">
        <v>46122.0</v>
      </c>
      <c r="H13005" s="76" t="s">
        <v>938</v>
      </c>
    </row>
    <row r="13006">
      <c r="A13006" s="76" t="s">
        <v>32</v>
      </c>
      <c r="B13006" s="76" t="s">
        <v>1006</v>
      </c>
      <c r="C13006" s="84">
        <v>141.17</v>
      </c>
      <c r="D13006" s="84">
        <v>29.0</v>
      </c>
      <c r="E13006" s="84">
        <v>4.87</v>
      </c>
      <c r="F13006" s="76" t="s">
        <v>997</v>
      </c>
      <c r="G13006" s="83">
        <v>46122.0</v>
      </c>
      <c r="H13006" s="76" t="s">
        <v>941</v>
      </c>
    </row>
    <row r="13007">
      <c r="A13007" s="76" t="s">
        <v>32</v>
      </c>
      <c r="B13007" s="76" t="s">
        <v>1006</v>
      </c>
      <c r="C13007" s="84">
        <v>6.77</v>
      </c>
      <c r="D13007" s="84">
        <v>2.0</v>
      </c>
      <c r="E13007" s="84">
        <v>3.38</v>
      </c>
      <c r="F13007" s="76" t="s">
        <v>997</v>
      </c>
      <c r="G13007" s="83">
        <v>46122.0</v>
      </c>
      <c r="H13007" s="76" t="s">
        <v>942</v>
      </c>
    </row>
    <row r="13008">
      <c r="A13008" s="76" t="s">
        <v>32</v>
      </c>
      <c r="B13008" s="76" t="s">
        <v>1006</v>
      </c>
      <c r="C13008" s="84">
        <v>276.96</v>
      </c>
      <c r="D13008" s="84">
        <v>26.0</v>
      </c>
      <c r="E13008" s="84">
        <v>10.65</v>
      </c>
      <c r="F13008" s="76" t="s">
        <v>997</v>
      </c>
      <c r="G13008" s="83">
        <v>46122.0</v>
      </c>
      <c r="H13008" s="76" t="s">
        <v>943</v>
      </c>
    </row>
    <row r="13009">
      <c r="A13009" s="76" t="s">
        <v>944</v>
      </c>
      <c r="B13009" s="76" t="s">
        <v>1006</v>
      </c>
      <c r="C13009" s="84">
        <v>34.91</v>
      </c>
      <c r="D13009" s="84">
        <v>3.0</v>
      </c>
      <c r="E13009" s="84">
        <v>11.64</v>
      </c>
      <c r="F13009" s="76" t="s">
        <v>997</v>
      </c>
      <c r="G13009" s="83">
        <v>46122.0</v>
      </c>
      <c r="H13009" s="76" t="s">
        <v>945</v>
      </c>
    </row>
    <row r="13010">
      <c r="A13010" s="76" t="s">
        <v>944</v>
      </c>
      <c r="B13010" s="76" t="s">
        <v>1006</v>
      </c>
      <c r="C13010" s="84">
        <v>3.89</v>
      </c>
      <c r="D13010" s="84">
        <v>1.0</v>
      </c>
      <c r="E13010" s="84">
        <v>3.89</v>
      </c>
      <c r="F13010" s="76" t="s">
        <v>997</v>
      </c>
      <c r="G13010" s="83">
        <v>46122.0</v>
      </c>
      <c r="H13010" s="76" t="s">
        <v>946</v>
      </c>
    </row>
    <row r="13011">
      <c r="A13011" s="76" t="s">
        <v>944</v>
      </c>
      <c r="B13011" s="76" t="s">
        <v>1006</v>
      </c>
      <c r="C13011" s="84">
        <v>43.43</v>
      </c>
      <c r="D13011" s="84">
        <v>3.0</v>
      </c>
      <c r="E13011" s="84">
        <v>14.48</v>
      </c>
      <c r="F13011" s="76" t="s">
        <v>997</v>
      </c>
      <c r="G13011" s="83">
        <v>46122.0</v>
      </c>
      <c r="H13011" s="76" t="s">
        <v>947</v>
      </c>
    </row>
    <row r="13012">
      <c r="A13012" s="76" t="s">
        <v>26</v>
      </c>
      <c r="B13012" s="76" t="s">
        <v>1006</v>
      </c>
      <c r="C13012" s="84">
        <v>3.22</v>
      </c>
      <c r="D13012" s="84">
        <v>0.0</v>
      </c>
      <c r="E13012" s="84">
        <v>0.0</v>
      </c>
      <c r="F13012" s="76" t="s">
        <v>997</v>
      </c>
      <c r="G13012" s="83">
        <v>46122.0</v>
      </c>
      <c r="H13012" s="76" t="s">
        <v>1012</v>
      </c>
    </row>
    <row r="13013">
      <c r="A13013" s="76" t="s">
        <v>26</v>
      </c>
      <c r="B13013" s="76" t="s">
        <v>1006</v>
      </c>
      <c r="C13013" s="84">
        <v>7.16</v>
      </c>
      <c r="D13013" s="84">
        <v>1.0</v>
      </c>
      <c r="E13013" s="84">
        <v>7.16</v>
      </c>
      <c r="F13013" s="76" t="s">
        <v>997</v>
      </c>
      <c r="G13013" s="83">
        <v>46122.0</v>
      </c>
      <c r="H13013" s="76" t="s">
        <v>1013</v>
      </c>
    </row>
    <row r="13014">
      <c r="A13014" s="76" t="s">
        <v>26</v>
      </c>
      <c r="B13014" s="76" t="s">
        <v>1006</v>
      </c>
      <c r="C13014" s="84">
        <v>162.63</v>
      </c>
      <c r="D13014" s="84">
        <v>23.0</v>
      </c>
      <c r="E13014" s="84">
        <v>7.07</v>
      </c>
      <c r="F13014" s="76" t="s">
        <v>997</v>
      </c>
      <c r="G13014" s="83">
        <v>46122.0</v>
      </c>
      <c r="H13014" s="76" t="s">
        <v>1014</v>
      </c>
    </row>
    <row r="13015">
      <c r="A13015" s="76" t="s">
        <v>36</v>
      </c>
      <c r="B13015" s="76" t="s">
        <v>1006</v>
      </c>
      <c r="C13015" s="84">
        <v>6.16</v>
      </c>
      <c r="D13015" s="84">
        <v>1.0</v>
      </c>
      <c r="E13015" s="84">
        <v>6.16</v>
      </c>
      <c r="F13015" s="76" t="s">
        <v>998</v>
      </c>
      <c r="G13015" s="83">
        <v>46122.0</v>
      </c>
      <c r="H13015" s="76" t="s">
        <v>926</v>
      </c>
    </row>
    <row r="13016">
      <c r="A13016" s="76" t="s">
        <v>36</v>
      </c>
      <c r="B13016" s="76" t="s">
        <v>1006</v>
      </c>
      <c r="C13016" s="84">
        <v>0.44</v>
      </c>
      <c r="D13016" s="84">
        <v>0.0</v>
      </c>
      <c r="E13016" s="84">
        <v>0.0</v>
      </c>
      <c r="F13016" s="76" t="s">
        <v>998</v>
      </c>
      <c r="G13016" s="83">
        <v>46122.0</v>
      </c>
      <c r="H13016" s="76" t="s">
        <v>927</v>
      </c>
    </row>
    <row r="13017">
      <c r="A13017" s="76" t="s">
        <v>36</v>
      </c>
      <c r="B13017" s="76" t="s">
        <v>1006</v>
      </c>
      <c r="C13017" s="84">
        <v>1.54</v>
      </c>
      <c r="D13017" s="84">
        <v>0.0</v>
      </c>
      <c r="E13017" s="84">
        <v>0.0</v>
      </c>
      <c r="F13017" s="76" t="s">
        <v>998</v>
      </c>
      <c r="G13017" s="83">
        <v>46122.0</v>
      </c>
      <c r="H13017" s="76" t="s">
        <v>928</v>
      </c>
    </row>
    <row r="13018">
      <c r="A13018" s="76" t="s">
        <v>31</v>
      </c>
      <c r="B13018" s="76" t="s">
        <v>1006</v>
      </c>
      <c r="C13018" s="84">
        <v>1.52</v>
      </c>
      <c r="D13018" s="84">
        <v>0.0</v>
      </c>
      <c r="E13018" s="84">
        <v>0.0</v>
      </c>
      <c r="F13018" s="76" t="s">
        <v>998</v>
      </c>
      <c r="G13018" s="83">
        <v>46122.0</v>
      </c>
      <c r="H13018" s="76" t="s">
        <v>929</v>
      </c>
    </row>
    <row r="13019">
      <c r="A13019" s="76" t="s">
        <v>31</v>
      </c>
      <c r="B13019" s="76" t="s">
        <v>1006</v>
      </c>
      <c r="C13019" s="84">
        <v>47.86</v>
      </c>
      <c r="D13019" s="84">
        <v>10.0</v>
      </c>
      <c r="E13019" s="84">
        <v>4.79</v>
      </c>
      <c r="F13019" s="76" t="s">
        <v>998</v>
      </c>
      <c r="G13019" s="83">
        <v>46122.0</v>
      </c>
      <c r="H13019" s="76" t="s">
        <v>930</v>
      </c>
    </row>
    <row r="13020">
      <c r="A13020" s="76" t="s">
        <v>28</v>
      </c>
      <c r="B13020" s="76" t="s">
        <v>1006</v>
      </c>
      <c r="C13020" s="84">
        <v>0.55</v>
      </c>
      <c r="D13020" s="84">
        <v>0.0</v>
      </c>
      <c r="E13020" s="84">
        <v>0.0</v>
      </c>
      <c r="F13020" s="76" t="s">
        <v>998</v>
      </c>
      <c r="G13020" s="83">
        <v>46122.0</v>
      </c>
      <c r="H13020" s="76" t="s">
        <v>931</v>
      </c>
    </row>
    <row r="13021">
      <c r="A13021" s="76" t="s">
        <v>28</v>
      </c>
      <c r="B13021" s="76" t="s">
        <v>1006</v>
      </c>
      <c r="C13021" s="84">
        <v>0.67</v>
      </c>
      <c r="D13021" s="84">
        <v>0.0</v>
      </c>
      <c r="E13021" s="84">
        <v>0.0</v>
      </c>
      <c r="F13021" s="76" t="s">
        <v>998</v>
      </c>
      <c r="G13021" s="83">
        <v>46122.0</v>
      </c>
      <c r="H13021" s="76" t="s">
        <v>932</v>
      </c>
    </row>
    <row r="13022">
      <c r="A13022" s="76" t="s">
        <v>28</v>
      </c>
      <c r="B13022" s="76" t="s">
        <v>1006</v>
      </c>
      <c r="C13022" s="84">
        <v>9.74</v>
      </c>
      <c r="D13022" s="84">
        <v>1.0</v>
      </c>
      <c r="E13022" s="84">
        <v>9.74</v>
      </c>
      <c r="F13022" s="76" t="s">
        <v>998</v>
      </c>
      <c r="G13022" s="83">
        <v>46122.0</v>
      </c>
      <c r="H13022" s="76" t="s">
        <v>933</v>
      </c>
    </row>
    <row r="13023">
      <c r="A13023" s="76" t="s">
        <v>45</v>
      </c>
      <c r="B13023" s="76" t="s">
        <v>1006</v>
      </c>
      <c r="C13023" s="84">
        <v>0.37</v>
      </c>
      <c r="D13023" s="84">
        <v>0.0</v>
      </c>
      <c r="E13023" s="84">
        <v>0.0</v>
      </c>
      <c r="F13023" s="76" t="s">
        <v>998</v>
      </c>
      <c r="G13023" s="83">
        <v>46122.0</v>
      </c>
      <c r="H13023" s="76" t="s">
        <v>936</v>
      </c>
    </row>
    <row r="13024">
      <c r="A13024" s="76" t="s">
        <v>45</v>
      </c>
      <c r="B13024" s="76" t="s">
        <v>1006</v>
      </c>
      <c r="C13024" s="84">
        <v>1.33</v>
      </c>
      <c r="D13024" s="84">
        <v>1.0</v>
      </c>
      <c r="E13024" s="84">
        <v>1.33</v>
      </c>
      <c r="F13024" s="76" t="s">
        <v>998</v>
      </c>
      <c r="G13024" s="83">
        <v>46122.0</v>
      </c>
      <c r="H13024" s="76" t="s">
        <v>937</v>
      </c>
    </row>
    <row r="13025">
      <c r="A13025" s="76" t="s">
        <v>45</v>
      </c>
      <c r="B13025" s="76" t="s">
        <v>1006</v>
      </c>
      <c r="C13025" s="84">
        <v>0.58</v>
      </c>
      <c r="D13025" s="84">
        <v>0.0</v>
      </c>
      <c r="E13025" s="84">
        <v>0.0</v>
      </c>
      <c r="F13025" s="76" t="s">
        <v>998</v>
      </c>
      <c r="G13025" s="83">
        <v>46122.0</v>
      </c>
      <c r="H13025" s="76" t="s">
        <v>938</v>
      </c>
    </row>
    <row r="13026">
      <c r="A13026" s="76" t="s">
        <v>32</v>
      </c>
      <c r="B13026" s="76" t="s">
        <v>1006</v>
      </c>
      <c r="C13026" s="84">
        <v>17.95</v>
      </c>
      <c r="D13026" s="84">
        <v>2.0</v>
      </c>
      <c r="E13026" s="84">
        <v>8.98</v>
      </c>
      <c r="F13026" s="76" t="s">
        <v>998</v>
      </c>
      <c r="G13026" s="83">
        <v>46122.0</v>
      </c>
      <c r="H13026" s="76" t="s">
        <v>941</v>
      </c>
    </row>
    <row r="13027">
      <c r="A13027" s="76" t="s">
        <v>32</v>
      </c>
      <c r="B13027" s="76" t="s">
        <v>1006</v>
      </c>
      <c r="C13027" s="84">
        <v>0.52</v>
      </c>
      <c r="D13027" s="84">
        <v>0.0</v>
      </c>
      <c r="E13027" s="84">
        <v>0.0</v>
      </c>
      <c r="F13027" s="76" t="s">
        <v>998</v>
      </c>
      <c r="G13027" s="83">
        <v>46122.0</v>
      </c>
      <c r="H13027" s="76" t="s">
        <v>942</v>
      </c>
    </row>
    <row r="13028">
      <c r="A13028" s="76" t="s">
        <v>32</v>
      </c>
      <c r="B13028" s="76" t="s">
        <v>1006</v>
      </c>
      <c r="C13028" s="84">
        <v>8.8</v>
      </c>
      <c r="D13028" s="84">
        <v>1.0</v>
      </c>
      <c r="E13028" s="84">
        <v>8.8</v>
      </c>
      <c r="F13028" s="76" t="s">
        <v>998</v>
      </c>
      <c r="G13028" s="83">
        <v>46122.0</v>
      </c>
      <c r="H13028" s="76" t="s">
        <v>943</v>
      </c>
    </row>
    <row r="13029">
      <c r="A13029" s="76" t="s">
        <v>944</v>
      </c>
      <c r="B13029" s="76" t="s">
        <v>1006</v>
      </c>
      <c r="C13029" s="84">
        <v>4.61</v>
      </c>
      <c r="D13029" s="84">
        <v>0.0</v>
      </c>
      <c r="E13029" s="84">
        <v>0.0</v>
      </c>
      <c r="F13029" s="76" t="s">
        <v>998</v>
      </c>
      <c r="G13029" s="83">
        <v>46122.0</v>
      </c>
      <c r="H13029" s="76" t="s">
        <v>945</v>
      </c>
    </row>
    <row r="13030">
      <c r="A13030" s="76" t="s">
        <v>944</v>
      </c>
      <c r="B13030" s="76" t="s">
        <v>1006</v>
      </c>
      <c r="C13030" s="84">
        <v>0.48</v>
      </c>
      <c r="D13030" s="84">
        <v>0.0</v>
      </c>
      <c r="E13030" s="84">
        <v>0.0</v>
      </c>
      <c r="F13030" s="76" t="s">
        <v>998</v>
      </c>
      <c r="G13030" s="83">
        <v>46122.0</v>
      </c>
      <c r="H13030" s="76" t="s">
        <v>946</v>
      </c>
    </row>
    <row r="13031">
      <c r="A13031" s="76" t="s">
        <v>944</v>
      </c>
      <c r="B13031" s="76" t="s">
        <v>1006</v>
      </c>
      <c r="C13031" s="84">
        <v>20.18</v>
      </c>
      <c r="D13031" s="84">
        <v>3.0</v>
      </c>
      <c r="E13031" s="84">
        <v>6.73</v>
      </c>
      <c r="F13031" s="76" t="s">
        <v>998</v>
      </c>
      <c r="G13031" s="83">
        <v>46122.0</v>
      </c>
      <c r="H13031" s="76" t="s">
        <v>947</v>
      </c>
    </row>
    <row r="13032">
      <c r="A13032" s="76" t="s">
        <v>26</v>
      </c>
      <c r="B13032" s="76" t="s">
        <v>1006</v>
      </c>
      <c r="C13032" s="84">
        <v>0.68</v>
      </c>
      <c r="D13032" s="84">
        <v>0.0</v>
      </c>
      <c r="E13032" s="84">
        <v>0.0</v>
      </c>
      <c r="F13032" s="76" t="s">
        <v>998</v>
      </c>
      <c r="G13032" s="83">
        <v>46122.0</v>
      </c>
      <c r="H13032" s="76" t="s">
        <v>1012</v>
      </c>
    </row>
    <row r="13033">
      <c r="A13033" s="76" t="s">
        <v>26</v>
      </c>
      <c r="B13033" s="76" t="s">
        <v>1006</v>
      </c>
      <c r="C13033" s="84">
        <v>2.15</v>
      </c>
      <c r="D13033" s="84">
        <v>0.0</v>
      </c>
      <c r="E13033" s="84">
        <v>0.0</v>
      </c>
      <c r="F13033" s="76" t="s">
        <v>998</v>
      </c>
      <c r="G13033" s="83">
        <v>46122.0</v>
      </c>
      <c r="H13033" s="76" t="s">
        <v>1013</v>
      </c>
    </row>
    <row r="13034">
      <c r="A13034" s="76" t="s">
        <v>26</v>
      </c>
      <c r="B13034" s="76" t="s">
        <v>1006</v>
      </c>
      <c r="C13034" s="84">
        <v>8.37</v>
      </c>
      <c r="D13034" s="84">
        <v>2.0</v>
      </c>
      <c r="E13034" s="84">
        <v>4.18</v>
      </c>
      <c r="F13034" s="76" t="s">
        <v>998</v>
      </c>
      <c r="G13034" s="83">
        <v>46122.0</v>
      </c>
      <c r="H13034" s="76" t="s">
        <v>1014</v>
      </c>
    </row>
    <row r="13035">
      <c r="A13035" s="76" t="s">
        <v>40</v>
      </c>
      <c r="B13035" s="76" t="s">
        <v>1039</v>
      </c>
      <c r="C13035" s="84">
        <v>4.58</v>
      </c>
      <c r="D13035" s="84">
        <v>2.0</v>
      </c>
      <c r="E13035" s="84">
        <v>2.29</v>
      </c>
      <c r="F13035" s="76" t="s">
        <v>1005</v>
      </c>
      <c r="G13035" s="83">
        <v>46122.0</v>
      </c>
      <c r="H13035" s="76" t="s">
        <v>954</v>
      </c>
    </row>
    <row r="13036">
      <c r="A13036" s="76" t="s">
        <v>40</v>
      </c>
      <c r="B13036" s="76" t="s">
        <v>1039</v>
      </c>
      <c r="C13036" s="84">
        <v>1.86</v>
      </c>
      <c r="D13036" s="84">
        <v>0.0</v>
      </c>
      <c r="E13036" s="84">
        <v>0.0</v>
      </c>
      <c r="F13036" s="76" t="s">
        <v>1005</v>
      </c>
      <c r="G13036" s="83">
        <v>46122.0</v>
      </c>
      <c r="H13036" s="76" t="s">
        <v>955</v>
      </c>
    </row>
    <row r="13037">
      <c r="A13037" s="76" t="s">
        <v>40</v>
      </c>
      <c r="B13037" s="76" t="s">
        <v>1039</v>
      </c>
      <c r="C13037" s="84">
        <v>69.1</v>
      </c>
      <c r="D13037" s="84">
        <v>14.0</v>
      </c>
      <c r="E13037" s="84">
        <v>4.94</v>
      </c>
      <c r="F13037" s="76" t="s">
        <v>1005</v>
      </c>
      <c r="G13037" s="83">
        <v>46122.0</v>
      </c>
      <c r="H13037" s="76" t="s">
        <v>956</v>
      </c>
    </row>
    <row r="13038">
      <c r="A13038" s="76" t="s">
        <v>36</v>
      </c>
      <c r="B13038" s="76" t="s">
        <v>1039</v>
      </c>
      <c r="C13038" s="84">
        <v>25.77</v>
      </c>
      <c r="D13038" s="84">
        <v>4.0</v>
      </c>
      <c r="E13038" s="84">
        <v>6.44</v>
      </c>
      <c r="F13038" s="76" t="s">
        <v>1005</v>
      </c>
      <c r="G13038" s="83">
        <v>46122.0</v>
      </c>
      <c r="H13038" s="76" t="s">
        <v>926</v>
      </c>
    </row>
    <row r="13039">
      <c r="A13039" s="76" t="s">
        <v>36</v>
      </c>
      <c r="B13039" s="76" t="s">
        <v>1039</v>
      </c>
      <c r="C13039" s="84">
        <v>3.57</v>
      </c>
      <c r="D13039" s="84">
        <v>0.0</v>
      </c>
      <c r="E13039" s="84">
        <v>0.0</v>
      </c>
      <c r="F13039" s="76" t="s">
        <v>1005</v>
      </c>
      <c r="G13039" s="83">
        <v>46122.0</v>
      </c>
      <c r="H13039" s="76" t="s">
        <v>927</v>
      </c>
    </row>
    <row r="13040">
      <c r="A13040" s="76" t="s">
        <v>36</v>
      </c>
      <c r="B13040" s="76" t="s">
        <v>1039</v>
      </c>
      <c r="C13040" s="84">
        <v>8.66</v>
      </c>
      <c r="D13040" s="84">
        <v>2.0</v>
      </c>
      <c r="E13040" s="84">
        <v>4.33</v>
      </c>
      <c r="F13040" s="76" t="s">
        <v>1005</v>
      </c>
      <c r="G13040" s="83">
        <v>46122.0</v>
      </c>
      <c r="H13040" s="76" t="s">
        <v>928</v>
      </c>
    </row>
    <row r="13041">
      <c r="A13041" s="76" t="s">
        <v>46</v>
      </c>
      <c r="B13041" s="76" t="s">
        <v>1039</v>
      </c>
      <c r="C13041" s="84">
        <v>1.8</v>
      </c>
      <c r="D13041" s="84">
        <v>0.0</v>
      </c>
      <c r="E13041" s="84">
        <v>0.0</v>
      </c>
      <c r="F13041" s="76" t="s">
        <v>1005</v>
      </c>
      <c r="G13041" s="83">
        <v>46122.0</v>
      </c>
      <c r="H13041" s="76" t="s">
        <v>960</v>
      </c>
    </row>
    <row r="13042">
      <c r="A13042" s="76" t="s">
        <v>46</v>
      </c>
      <c r="B13042" s="76" t="s">
        <v>1039</v>
      </c>
      <c r="C13042" s="84">
        <v>3.03</v>
      </c>
      <c r="D13042" s="84">
        <v>1.0</v>
      </c>
      <c r="E13042" s="84">
        <v>3.03</v>
      </c>
      <c r="F13042" s="76" t="s">
        <v>1005</v>
      </c>
      <c r="G13042" s="83">
        <v>46122.0</v>
      </c>
      <c r="H13042" s="76" t="s">
        <v>961</v>
      </c>
    </row>
    <row r="13043">
      <c r="A13043" s="76" t="s">
        <v>46</v>
      </c>
      <c r="B13043" s="76" t="s">
        <v>1039</v>
      </c>
      <c r="C13043" s="84">
        <v>4.1</v>
      </c>
      <c r="D13043" s="84">
        <v>2.0</v>
      </c>
      <c r="E13043" s="84">
        <v>2.05</v>
      </c>
      <c r="F13043" s="76" t="s">
        <v>1005</v>
      </c>
      <c r="G13043" s="83">
        <v>46122.0</v>
      </c>
      <c r="H13043" s="76" t="s">
        <v>962</v>
      </c>
    </row>
    <row r="13044">
      <c r="A13044" s="76" t="s">
        <v>970</v>
      </c>
      <c r="B13044" s="76" t="s">
        <v>1039</v>
      </c>
      <c r="C13044" s="84">
        <v>20.12</v>
      </c>
      <c r="D13044" s="84">
        <v>0.0</v>
      </c>
      <c r="E13044" s="84">
        <v>0.0</v>
      </c>
      <c r="F13044" s="76" t="s">
        <v>1005</v>
      </c>
      <c r="G13044" s="83">
        <v>46122.0</v>
      </c>
      <c r="H13044" s="76" t="s">
        <v>971</v>
      </c>
    </row>
    <row r="13045">
      <c r="A13045" s="76" t="s">
        <v>970</v>
      </c>
      <c r="B13045" s="76" t="s">
        <v>1039</v>
      </c>
      <c r="C13045" s="84">
        <v>2.54</v>
      </c>
      <c r="D13045" s="84">
        <v>2.0</v>
      </c>
      <c r="E13045" s="84">
        <v>1.27</v>
      </c>
      <c r="F13045" s="76" t="s">
        <v>1005</v>
      </c>
      <c r="G13045" s="83">
        <v>46122.0</v>
      </c>
      <c r="H13045" s="76" t="s">
        <v>972</v>
      </c>
    </row>
    <row r="13046">
      <c r="A13046" s="76" t="s">
        <v>970</v>
      </c>
      <c r="B13046" s="76" t="s">
        <v>1039</v>
      </c>
      <c r="C13046" s="84">
        <v>38.26</v>
      </c>
      <c r="D13046" s="84">
        <v>7.0</v>
      </c>
      <c r="E13046" s="84">
        <v>5.47</v>
      </c>
      <c r="F13046" s="76" t="s">
        <v>1005</v>
      </c>
      <c r="G13046" s="83">
        <v>46122.0</v>
      </c>
      <c r="H13046" s="76" t="s">
        <v>973</v>
      </c>
    </row>
    <row r="13047">
      <c r="A13047" s="76" t="s">
        <v>29</v>
      </c>
      <c r="B13047" s="76" t="s">
        <v>1039</v>
      </c>
      <c r="C13047" s="84">
        <v>61.07</v>
      </c>
      <c r="D13047" s="84">
        <v>10.0</v>
      </c>
      <c r="E13047" s="84">
        <v>6.11</v>
      </c>
      <c r="F13047" s="76" t="s">
        <v>1005</v>
      </c>
      <c r="G13047" s="83">
        <v>46122.0</v>
      </c>
      <c r="H13047" s="76" t="s">
        <v>1015</v>
      </c>
    </row>
    <row r="13048">
      <c r="A13048" s="76" t="s">
        <v>29</v>
      </c>
      <c r="B13048" s="76" t="s">
        <v>1039</v>
      </c>
      <c r="C13048" s="84">
        <v>7.05</v>
      </c>
      <c r="D13048" s="84">
        <v>2.0</v>
      </c>
      <c r="E13048" s="84">
        <v>3.52</v>
      </c>
      <c r="F13048" s="76" t="s">
        <v>1005</v>
      </c>
      <c r="G13048" s="83">
        <v>46122.0</v>
      </c>
      <c r="H13048" s="76" t="s">
        <v>1016</v>
      </c>
    </row>
    <row r="13049">
      <c r="A13049" s="76" t="s">
        <v>29</v>
      </c>
      <c r="B13049" s="76" t="s">
        <v>1039</v>
      </c>
      <c r="C13049" s="84">
        <v>6.12</v>
      </c>
      <c r="D13049" s="84">
        <v>1.0</v>
      </c>
      <c r="E13049" s="84">
        <v>6.12</v>
      </c>
      <c r="F13049" s="76" t="s">
        <v>1005</v>
      </c>
      <c r="G13049" s="83">
        <v>46122.0</v>
      </c>
      <c r="H13049" s="76" t="s">
        <v>1017</v>
      </c>
    </row>
    <row r="13050">
      <c r="A13050" s="76" t="s">
        <v>34</v>
      </c>
      <c r="B13050" s="76" t="s">
        <v>1039</v>
      </c>
      <c r="C13050" s="84">
        <v>52.61</v>
      </c>
      <c r="D13050" s="84">
        <v>9.0</v>
      </c>
      <c r="E13050" s="84">
        <v>5.85</v>
      </c>
      <c r="F13050" s="76" t="s">
        <v>1005</v>
      </c>
      <c r="G13050" s="83">
        <v>46122.0</v>
      </c>
      <c r="H13050" s="76" t="s">
        <v>951</v>
      </c>
    </row>
    <row r="13051">
      <c r="A13051" s="76" t="s">
        <v>34</v>
      </c>
      <c r="B13051" s="76" t="s">
        <v>1039</v>
      </c>
      <c r="C13051" s="84">
        <v>57.67</v>
      </c>
      <c r="D13051" s="84">
        <v>8.0</v>
      </c>
      <c r="E13051" s="84">
        <v>7.21</v>
      </c>
      <c r="F13051" s="76" t="s">
        <v>1005</v>
      </c>
      <c r="G13051" s="83">
        <v>46122.0</v>
      </c>
      <c r="H13051" s="76" t="s">
        <v>952</v>
      </c>
    </row>
    <row r="13052">
      <c r="A13052" s="76" t="s">
        <v>34</v>
      </c>
      <c r="B13052" s="76" t="s">
        <v>1039</v>
      </c>
      <c r="C13052" s="84">
        <v>10.58</v>
      </c>
      <c r="D13052" s="84">
        <v>0.0</v>
      </c>
      <c r="E13052" s="84">
        <v>0.0</v>
      </c>
      <c r="F13052" s="76" t="s">
        <v>1005</v>
      </c>
      <c r="G13052" s="83">
        <v>46122.0</v>
      </c>
      <c r="H13052" s="76" t="s">
        <v>953</v>
      </c>
    </row>
    <row r="13053">
      <c r="A13053" s="76" t="s">
        <v>33</v>
      </c>
      <c r="B13053" s="76" t="s">
        <v>1039</v>
      </c>
      <c r="C13053" s="84">
        <v>525.35</v>
      </c>
      <c r="D13053" s="84">
        <v>88.0</v>
      </c>
      <c r="E13053" s="84">
        <v>5.97</v>
      </c>
      <c r="F13053" s="76" t="s">
        <v>1005</v>
      </c>
      <c r="G13053" s="83">
        <v>46122.0</v>
      </c>
      <c r="H13053" s="76" t="s">
        <v>957</v>
      </c>
    </row>
    <row r="13054">
      <c r="A13054" s="76" t="s">
        <v>33</v>
      </c>
      <c r="B13054" s="76" t="s">
        <v>1039</v>
      </c>
      <c r="C13054" s="84">
        <v>9.1</v>
      </c>
      <c r="D13054" s="84">
        <v>2.0</v>
      </c>
      <c r="E13054" s="84">
        <v>4.55</v>
      </c>
      <c r="F13054" s="76" t="s">
        <v>1005</v>
      </c>
      <c r="G13054" s="83">
        <v>46122.0</v>
      </c>
      <c r="H13054" s="76" t="s">
        <v>958</v>
      </c>
    </row>
    <row r="13055">
      <c r="A13055" s="76" t="s">
        <v>33</v>
      </c>
      <c r="B13055" s="76" t="s">
        <v>1039</v>
      </c>
      <c r="C13055" s="84">
        <v>25.0</v>
      </c>
      <c r="D13055" s="84">
        <v>9.0</v>
      </c>
      <c r="E13055" s="84">
        <v>2.78</v>
      </c>
      <c r="F13055" s="76" t="s">
        <v>1005</v>
      </c>
      <c r="G13055" s="83">
        <v>46122.0</v>
      </c>
      <c r="H13055" s="76" t="s">
        <v>959</v>
      </c>
    </row>
    <row r="13056">
      <c r="A13056" s="76" t="s">
        <v>43</v>
      </c>
      <c r="B13056" s="76" t="s">
        <v>1039</v>
      </c>
      <c r="C13056" s="84">
        <v>1.18</v>
      </c>
      <c r="D13056" s="84">
        <v>0.0</v>
      </c>
      <c r="E13056" s="84">
        <v>0.0</v>
      </c>
      <c r="F13056" s="76" t="s">
        <v>1005</v>
      </c>
      <c r="G13056" s="83">
        <v>46122.0</v>
      </c>
      <c r="H13056" s="76" t="s">
        <v>963</v>
      </c>
    </row>
    <row r="13057">
      <c r="A13057" s="76" t="s">
        <v>43</v>
      </c>
      <c r="B13057" s="76" t="s">
        <v>1039</v>
      </c>
      <c r="C13057" s="84">
        <v>5.26</v>
      </c>
      <c r="D13057" s="84">
        <v>0.0</v>
      </c>
      <c r="E13057" s="84">
        <v>0.0</v>
      </c>
      <c r="F13057" s="76" t="s">
        <v>1005</v>
      </c>
      <c r="G13057" s="83">
        <v>46122.0</v>
      </c>
      <c r="H13057" s="76" t="s">
        <v>964</v>
      </c>
    </row>
    <row r="13058">
      <c r="A13058" s="76" t="s">
        <v>43</v>
      </c>
      <c r="B13058" s="76" t="s">
        <v>1039</v>
      </c>
      <c r="C13058" s="84">
        <v>2.93</v>
      </c>
      <c r="D13058" s="84">
        <v>1.0</v>
      </c>
      <c r="E13058" s="84">
        <v>2.93</v>
      </c>
      <c r="F13058" s="76" t="s">
        <v>1005</v>
      </c>
      <c r="G13058" s="83">
        <v>46122.0</v>
      </c>
      <c r="H13058" s="76" t="s">
        <v>965</v>
      </c>
    </row>
    <row r="13059">
      <c r="A13059" s="76" t="s">
        <v>966</v>
      </c>
      <c r="B13059" s="76" t="s">
        <v>1039</v>
      </c>
      <c r="C13059" s="84">
        <v>7.15</v>
      </c>
      <c r="D13059" s="84">
        <v>2.0</v>
      </c>
      <c r="E13059" s="84">
        <v>3.57</v>
      </c>
      <c r="F13059" s="76" t="s">
        <v>1005</v>
      </c>
      <c r="G13059" s="83">
        <v>46122.0</v>
      </c>
      <c r="H13059" s="76" t="s">
        <v>967</v>
      </c>
    </row>
    <row r="13060">
      <c r="A13060" s="76" t="s">
        <v>966</v>
      </c>
      <c r="B13060" s="76" t="s">
        <v>1039</v>
      </c>
      <c r="C13060" s="84">
        <v>4.18</v>
      </c>
      <c r="D13060" s="84">
        <v>0.0</v>
      </c>
      <c r="E13060" s="84">
        <v>0.0</v>
      </c>
      <c r="F13060" s="76" t="s">
        <v>1005</v>
      </c>
      <c r="G13060" s="83">
        <v>46122.0</v>
      </c>
      <c r="H13060" s="76" t="s">
        <v>968</v>
      </c>
    </row>
    <row r="13061">
      <c r="A13061" s="76" t="s">
        <v>966</v>
      </c>
      <c r="B13061" s="76" t="s">
        <v>1039</v>
      </c>
      <c r="C13061" s="84">
        <v>11.93</v>
      </c>
      <c r="D13061" s="84">
        <v>2.0</v>
      </c>
      <c r="E13061" s="84">
        <v>5.96</v>
      </c>
      <c r="F13061" s="76" t="s">
        <v>1005</v>
      </c>
      <c r="G13061" s="83">
        <v>46122.0</v>
      </c>
      <c r="H13061" s="76" t="s">
        <v>969</v>
      </c>
    </row>
    <row r="13062">
      <c r="A13062" s="76" t="s">
        <v>970</v>
      </c>
      <c r="B13062" s="76" t="s">
        <v>1039</v>
      </c>
      <c r="C13062" s="84">
        <v>1.16</v>
      </c>
      <c r="D13062" s="84">
        <v>0.0</v>
      </c>
      <c r="E13062" s="84">
        <v>0.0</v>
      </c>
      <c r="F13062" s="76" t="s">
        <v>990</v>
      </c>
      <c r="G13062" s="83">
        <v>46122.0</v>
      </c>
      <c r="H13062" s="76" t="s">
        <v>971</v>
      </c>
    </row>
    <row r="13063">
      <c r="A13063" s="76" t="s">
        <v>970</v>
      </c>
      <c r="B13063" s="76" t="s">
        <v>1039</v>
      </c>
      <c r="C13063" s="84">
        <v>0.21</v>
      </c>
      <c r="D13063" s="84">
        <v>0.0</v>
      </c>
      <c r="E13063" s="84">
        <v>0.0</v>
      </c>
      <c r="F13063" s="76" t="s">
        <v>990</v>
      </c>
      <c r="G13063" s="83">
        <v>46122.0</v>
      </c>
      <c r="H13063" s="76" t="s">
        <v>972</v>
      </c>
    </row>
    <row r="13064">
      <c r="A13064" s="76" t="s">
        <v>970</v>
      </c>
      <c r="B13064" s="76" t="s">
        <v>1039</v>
      </c>
      <c r="C13064" s="84">
        <v>2.75</v>
      </c>
      <c r="D13064" s="84">
        <v>0.0</v>
      </c>
      <c r="E13064" s="84">
        <v>0.0</v>
      </c>
      <c r="F13064" s="76" t="s">
        <v>990</v>
      </c>
      <c r="G13064" s="83">
        <v>46122.0</v>
      </c>
      <c r="H13064" s="76" t="s">
        <v>973</v>
      </c>
    </row>
    <row r="13065">
      <c r="A13065" s="76" t="s">
        <v>29</v>
      </c>
      <c r="B13065" s="76" t="s">
        <v>1039</v>
      </c>
      <c r="C13065" s="84">
        <v>1.11</v>
      </c>
      <c r="D13065" s="84">
        <v>0.0</v>
      </c>
      <c r="E13065" s="84">
        <v>0.0</v>
      </c>
      <c r="F13065" s="76" t="s">
        <v>990</v>
      </c>
      <c r="G13065" s="83">
        <v>46122.0</v>
      </c>
      <c r="H13065" s="76" t="s">
        <v>971</v>
      </c>
    </row>
    <row r="13066">
      <c r="A13066" s="76" t="s">
        <v>29</v>
      </c>
      <c r="B13066" s="76" t="s">
        <v>1039</v>
      </c>
      <c r="C13066" s="84">
        <v>0.27</v>
      </c>
      <c r="D13066" s="84">
        <v>0.0</v>
      </c>
      <c r="E13066" s="84">
        <v>0.0</v>
      </c>
      <c r="F13066" s="76" t="s">
        <v>990</v>
      </c>
      <c r="G13066" s="83">
        <v>46122.0</v>
      </c>
      <c r="H13066" s="76" t="s">
        <v>972</v>
      </c>
    </row>
    <row r="13067">
      <c r="A13067" s="76" t="s">
        <v>29</v>
      </c>
      <c r="B13067" s="76" t="s">
        <v>1039</v>
      </c>
      <c r="C13067" s="84">
        <v>2.56</v>
      </c>
      <c r="D13067" s="84">
        <v>0.0</v>
      </c>
      <c r="E13067" s="84">
        <v>0.0</v>
      </c>
      <c r="F13067" s="76" t="s">
        <v>990</v>
      </c>
      <c r="G13067" s="83">
        <v>46122.0</v>
      </c>
      <c r="H13067" s="76" t="s">
        <v>973</v>
      </c>
    </row>
    <row r="13068">
      <c r="A13068" s="76" t="s">
        <v>46</v>
      </c>
      <c r="B13068" s="76" t="s">
        <v>1039</v>
      </c>
      <c r="C13068" s="84">
        <v>0.07</v>
      </c>
      <c r="D13068" s="84">
        <v>0.0</v>
      </c>
      <c r="E13068" s="84">
        <v>0.0</v>
      </c>
      <c r="F13068" s="76" t="s">
        <v>990</v>
      </c>
      <c r="G13068" s="83">
        <v>46122.0</v>
      </c>
      <c r="H13068" s="76" t="s">
        <v>960</v>
      </c>
    </row>
    <row r="13069">
      <c r="A13069" s="76" t="s">
        <v>46</v>
      </c>
      <c r="B13069" s="76" t="s">
        <v>1039</v>
      </c>
      <c r="C13069" s="84">
        <v>0.13</v>
      </c>
      <c r="D13069" s="84">
        <v>1.0</v>
      </c>
      <c r="E13069" s="84">
        <v>0.13</v>
      </c>
      <c r="F13069" s="76" t="s">
        <v>990</v>
      </c>
      <c r="G13069" s="83">
        <v>46122.0</v>
      </c>
      <c r="H13069" s="76" t="s">
        <v>961</v>
      </c>
    </row>
    <row r="13070">
      <c r="A13070" s="76" t="s">
        <v>46</v>
      </c>
      <c r="B13070" s="76" t="s">
        <v>1039</v>
      </c>
      <c r="C13070" s="84">
        <v>0.38</v>
      </c>
      <c r="D13070" s="84">
        <v>0.0</v>
      </c>
      <c r="E13070" s="84">
        <v>0.0</v>
      </c>
      <c r="F13070" s="76" t="s">
        <v>990</v>
      </c>
      <c r="G13070" s="83">
        <v>46122.0</v>
      </c>
      <c r="H13070" s="76" t="s">
        <v>962</v>
      </c>
    </row>
    <row r="13071">
      <c r="A13071" s="76" t="s">
        <v>36</v>
      </c>
      <c r="B13071" s="76" t="s">
        <v>1039</v>
      </c>
      <c r="C13071" s="84">
        <v>1.74</v>
      </c>
      <c r="D13071" s="84">
        <v>0.0</v>
      </c>
      <c r="E13071" s="84">
        <v>0.0</v>
      </c>
      <c r="F13071" s="76" t="s">
        <v>990</v>
      </c>
      <c r="G13071" s="83">
        <v>46122.0</v>
      </c>
      <c r="H13071" s="76" t="s">
        <v>926</v>
      </c>
    </row>
    <row r="13072">
      <c r="A13072" s="76" t="s">
        <v>36</v>
      </c>
      <c r="B13072" s="76" t="s">
        <v>1039</v>
      </c>
      <c r="C13072" s="84">
        <v>0.15</v>
      </c>
      <c r="D13072" s="84">
        <v>0.0</v>
      </c>
      <c r="E13072" s="84">
        <v>0.0</v>
      </c>
      <c r="F13072" s="76" t="s">
        <v>990</v>
      </c>
      <c r="G13072" s="83">
        <v>46122.0</v>
      </c>
      <c r="H13072" s="76" t="s">
        <v>927</v>
      </c>
    </row>
    <row r="13073">
      <c r="A13073" s="76" t="s">
        <v>36</v>
      </c>
      <c r="B13073" s="76" t="s">
        <v>1039</v>
      </c>
      <c r="C13073" s="84">
        <v>0.84</v>
      </c>
      <c r="D13073" s="84">
        <v>0.0</v>
      </c>
      <c r="E13073" s="84">
        <v>0.0</v>
      </c>
      <c r="F13073" s="76" t="s">
        <v>990</v>
      </c>
      <c r="G13073" s="83">
        <v>46122.0</v>
      </c>
      <c r="H13073" s="76" t="s">
        <v>928</v>
      </c>
    </row>
    <row r="13074">
      <c r="A13074" s="76" t="s">
        <v>34</v>
      </c>
      <c r="B13074" s="76" t="s">
        <v>1039</v>
      </c>
      <c r="C13074" s="84">
        <v>0.51</v>
      </c>
      <c r="D13074" s="84">
        <v>0.0</v>
      </c>
      <c r="E13074" s="84">
        <v>0.0</v>
      </c>
      <c r="F13074" s="76" t="s">
        <v>990</v>
      </c>
      <c r="G13074" s="83">
        <v>46122.0</v>
      </c>
      <c r="H13074" s="76" t="s">
        <v>951</v>
      </c>
    </row>
    <row r="13075">
      <c r="A13075" s="76" t="s">
        <v>34</v>
      </c>
      <c r="B13075" s="76" t="s">
        <v>1039</v>
      </c>
      <c r="C13075" s="84">
        <v>0.9</v>
      </c>
      <c r="D13075" s="84">
        <v>0.0</v>
      </c>
      <c r="E13075" s="84">
        <v>0.0</v>
      </c>
      <c r="F13075" s="76" t="s">
        <v>990</v>
      </c>
      <c r="G13075" s="83">
        <v>46122.0</v>
      </c>
      <c r="H13075" s="76" t="s">
        <v>952</v>
      </c>
    </row>
    <row r="13076">
      <c r="A13076" s="76" t="s">
        <v>34</v>
      </c>
      <c r="B13076" s="76" t="s">
        <v>1039</v>
      </c>
      <c r="C13076" s="84">
        <v>0.13</v>
      </c>
      <c r="D13076" s="84">
        <v>0.0</v>
      </c>
      <c r="E13076" s="84">
        <v>0.0</v>
      </c>
      <c r="F13076" s="76" t="s">
        <v>990</v>
      </c>
      <c r="G13076" s="83">
        <v>46122.0</v>
      </c>
      <c r="H13076" s="76" t="s">
        <v>953</v>
      </c>
    </row>
    <row r="13077">
      <c r="A13077" s="76" t="s">
        <v>33</v>
      </c>
      <c r="B13077" s="76" t="s">
        <v>1039</v>
      </c>
      <c r="C13077" s="84">
        <v>10.23</v>
      </c>
      <c r="D13077" s="84">
        <v>1.0</v>
      </c>
      <c r="E13077" s="84">
        <v>10.23</v>
      </c>
      <c r="F13077" s="76" t="s">
        <v>990</v>
      </c>
      <c r="G13077" s="83">
        <v>46122.0</v>
      </c>
      <c r="H13077" s="76" t="s">
        <v>957</v>
      </c>
    </row>
    <row r="13078">
      <c r="A13078" s="76" t="s">
        <v>33</v>
      </c>
      <c r="B13078" s="76" t="s">
        <v>1039</v>
      </c>
      <c r="C13078" s="84">
        <v>0.34</v>
      </c>
      <c r="D13078" s="84">
        <v>0.0</v>
      </c>
      <c r="E13078" s="84">
        <v>0.0</v>
      </c>
      <c r="F13078" s="76" t="s">
        <v>990</v>
      </c>
      <c r="G13078" s="83">
        <v>46122.0</v>
      </c>
      <c r="H13078" s="76" t="s">
        <v>958</v>
      </c>
    </row>
    <row r="13079">
      <c r="A13079" s="76" t="s">
        <v>33</v>
      </c>
      <c r="B13079" s="76" t="s">
        <v>1039</v>
      </c>
      <c r="C13079" s="84">
        <v>1.4</v>
      </c>
      <c r="D13079" s="84">
        <v>0.0</v>
      </c>
      <c r="E13079" s="84">
        <v>0.0</v>
      </c>
      <c r="F13079" s="76" t="s">
        <v>990</v>
      </c>
      <c r="G13079" s="83">
        <v>46122.0</v>
      </c>
      <c r="H13079" s="76" t="s">
        <v>959</v>
      </c>
    </row>
    <row r="13080">
      <c r="A13080" s="76" t="s">
        <v>40</v>
      </c>
      <c r="B13080" s="76" t="s">
        <v>1039</v>
      </c>
      <c r="C13080" s="84">
        <v>0.27</v>
      </c>
      <c r="D13080" s="84">
        <v>0.0</v>
      </c>
      <c r="E13080" s="84">
        <v>0.0</v>
      </c>
      <c r="F13080" s="76" t="s">
        <v>990</v>
      </c>
      <c r="G13080" s="83">
        <v>46122.0</v>
      </c>
      <c r="H13080" s="76" t="s">
        <v>954</v>
      </c>
    </row>
    <row r="13081">
      <c r="A13081" s="76" t="s">
        <v>40</v>
      </c>
      <c r="B13081" s="76" t="s">
        <v>1039</v>
      </c>
      <c r="C13081" s="84">
        <v>0.09</v>
      </c>
      <c r="D13081" s="84">
        <v>0.0</v>
      </c>
      <c r="E13081" s="84">
        <v>0.0</v>
      </c>
      <c r="F13081" s="76" t="s">
        <v>990</v>
      </c>
      <c r="G13081" s="83">
        <v>46122.0</v>
      </c>
      <c r="H13081" s="76" t="s">
        <v>955</v>
      </c>
    </row>
    <row r="13082">
      <c r="A13082" s="76" t="s">
        <v>40</v>
      </c>
      <c r="B13082" s="76" t="s">
        <v>1039</v>
      </c>
      <c r="C13082" s="84">
        <v>2.52</v>
      </c>
      <c r="D13082" s="84">
        <v>0.0</v>
      </c>
      <c r="E13082" s="84">
        <v>0.0</v>
      </c>
      <c r="F13082" s="76" t="s">
        <v>990</v>
      </c>
      <c r="G13082" s="83">
        <v>46122.0</v>
      </c>
      <c r="H13082" s="76" t="s">
        <v>956</v>
      </c>
    </row>
    <row r="13083">
      <c r="A13083" s="76" t="s">
        <v>43</v>
      </c>
      <c r="B13083" s="76" t="s">
        <v>1039</v>
      </c>
      <c r="C13083" s="84">
        <v>0.06</v>
      </c>
      <c r="D13083" s="84">
        <v>0.0</v>
      </c>
      <c r="E13083" s="84">
        <v>0.0</v>
      </c>
      <c r="F13083" s="76" t="s">
        <v>990</v>
      </c>
      <c r="G13083" s="83">
        <v>46122.0</v>
      </c>
      <c r="H13083" s="76" t="s">
        <v>963</v>
      </c>
    </row>
    <row r="13084">
      <c r="A13084" s="76" t="s">
        <v>43</v>
      </c>
      <c r="B13084" s="76" t="s">
        <v>1039</v>
      </c>
      <c r="C13084" s="84">
        <v>0.43</v>
      </c>
      <c r="D13084" s="84">
        <v>0.0</v>
      </c>
      <c r="E13084" s="84">
        <v>0.0</v>
      </c>
      <c r="F13084" s="76" t="s">
        <v>990</v>
      </c>
      <c r="G13084" s="83">
        <v>46122.0</v>
      </c>
      <c r="H13084" s="76" t="s">
        <v>964</v>
      </c>
    </row>
    <row r="13085">
      <c r="A13085" s="76" t="s">
        <v>43</v>
      </c>
      <c r="B13085" s="76" t="s">
        <v>1039</v>
      </c>
      <c r="C13085" s="84">
        <v>0.11</v>
      </c>
      <c r="D13085" s="84">
        <v>0.0</v>
      </c>
      <c r="E13085" s="84">
        <v>0.0</v>
      </c>
      <c r="F13085" s="76" t="s">
        <v>990</v>
      </c>
      <c r="G13085" s="83">
        <v>46122.0</v>
      </c>
      <c r="H13085" s="76" t="s">
        <v>965</v>
      </c>
    </row>
    <row r="13086">
      <c r="A13086" s="76" t="s">
        <v>966</v>
      </c>
      <c r="B13086" s="76" t="s">
        <v>1039</v>
      </c>
      <c r="C13086" s="84">
        <v>1.38</v>
      </c>
      <c r="D13086" s="84">
        <v>0.0</v>
      </c>
      <c r="E13086" s="84">
        <v>0.0</v>
      </c>
      <c r="F13086" s="76" t="s">
        <v>990</v>
      </c>
      <c r="G13086" s="83">
        <v>46122.0</v>
      </c>
      <c r="H13086" s="76" t="s">
        <v>967</v>
      </c>
    </row>
    <row r="13087">
      <c r="A13087" s="76" t="s">
        <v>966</v>
      </c>
      <c r="B13087" s="76" t="s">
        <v>1039</v>
      </c>
      <c r="C13087" s="84">
        <v>0.13</v>
      </c>
      <c r="D13087" s="84">
        <v>0.0</v>
      </c>
      <c r="E13087" s="84">
        <v>0.0</v>
      </c>
      <c r="F13087" s="76" t="s">
        <v>990</v>
      </c>
      <c r="G13087" s="83">
        <v>46122.0</v>
      </c>
      <c r="H13087" s="76" t="s">
        <v>968</v>
      </c>
    </row>
    <row r="13088">
      <c r="A13088" s="76" t="s">
        <v>966</v>
      </c>
      <c r="B13088" s="76" t="s">
        <v>1039</v>
      </c>
      <c r="C13088" s="84">
        <v>0.43</v>
      </c>
      <c r="D13088" s="84">
        <v>0.0</v>
      </c>
      <c r="E13088" s="84">
        <v>0.0</v>
      </c>
      <c r="F13088" s="76" t="s">
        <v>990</v>
      </c>
      <c r="G13088" s="83">
        <v>46122.0</v>
      </c>
      <c r="H13088" s="76" t="s">
        <v>969</v>
      </c>
    </row>
    <row r="13089">
      <c r="A13089" s="76" t="s">
        <v>970</v>
      </c>
      <c r="B13089" s="76" t="s">
        <v>1039</v>
      </c>
      <c r="C13089" s="84">
        <v>7.64</v>
      </c>
      <c r="D13089" s="84">
        <v>2.0</v>
      </c>
      <c r="E13089" s="84">
        <v>3.82</v>
      </c>
      <c r="F13089" s="76" t="s">
        <v>996</v>
      </c>
      <c r="G13089" s="83">
        <v>46122.0</v>
      </c>
      <c r="H13089" s="76" t="s">
        <v>971</v>
      </c>
    </row>
    <row r="13090">
      <c r="A13090" s="76" t="s">
        <v>970</v>
      </c>
      <c r="B13090" s="76" t="s">
        <v>1039</v>
      </c>
      <c r="C13090" s="84">
        <v>1.71</v>
      </c>
      <c r="D13090" s="84">
        <v>0.0</v>
      </c>
      <c r="E13090" s="84">
        <v>0.0</v>
      </c>
      <c r="F13090" s="76" t="s">
        <v>996</v>
      </c>
      <c r="G13090" s="83">
        <v>46122.0</v>
      </c>
      <c r="H13090" s="76" t="s">
        <v>972</v>
      </c>
    </row>
    <row r="13091">
      <c r="A13091" s="76" t="s">
        <v>970</v>
      </c>
      <c r="B13091" s="76" t="s">
        <v>1039</v>
      </c>
      <c r="C13091" s="84">
        <v>9.18</v>
      </c>
      <c r="D13091" s="84">
        <v>2.0</v>
      </c>
      <c r="E13091" s="84">
        <v>4.59</v>
      </c>
      <c r="F13091" s="76" t="s">
        <v>996</v>
      </c>
      <c r="G13091" s="83">
        <v>46122.0</v>
      </c>
      <c r="H13091" s="76" t="s">
        <v>973</v>
      </c>
    </row>
    <row r="13092">
      <c r="A13092" s="76" t="s">
        <v>29</v>
      </c>
      <c r="B13092" s="76" t="s">
        <v>1039</v>
      </c>
      <c r="C13092" s="84">
        <v>9.86</v>
      </c>
      <c r="D13092" s="84">
        <v>1.0</v>
      </c>
      <c r="E13092" s="84">
        <v>9.86</v>
      </c>
      <c r="F13092" s="76" t="s">
        <v>996</v>
      </c>
      <c r="G13092" s="83">
        <v>46122.0</v>
      </c>
      <c r="H13092" s="76" t="s">
        <v>971</v>
      </c>
    </row>
    <row r="13093">
      <c r="A13093" s="76" t="s">
        <v>29</v>
      </c>
      <c r="B13093" s="76" t="s">
        <v>1039</v>
      </c>
      <c r="C13093" s="84">
        <v>1.71</v>
      </c>
      <c r="D13093" s="84">
        <v>0.0</v>
      </c>
      <c r="E13093" s="84">
        <v>0.0</v>
      </c>
      <c r="F13093" s="76" t="s">
        <v>996</v>
      </c>
      <c r="G13093" s="83">
        <v>46122.0</v>
      </c>
      <c r="H13093" s="76" t="s">
        <v>972</v>
      </c>
    </row>
    <row r="13094">
      <c r="A13094" s="76" t="s">
        <v>29</v>
      </c>
      <c r="B13094" s="76" t="s">
        <v>1039</v>
      </c>
      <c r="C13094" s="84">
        <v>15.11</v>
      </c>
      <c r="D13094" s="84">
        <v>1.0</v>
      </c>
      <c r="E13094" s="84">
        <v>15.11</v>
      </c>
      <c r="F13094" s="76" t="s">
        <v>996</v>
      </c>
      <c r="G13094" s="83">
        <v>46122.0</v>
      </c>
      <c r="H13094" s="76" t="s">
        <v>973</v>
      </c>
    </row>
    <row r="13095">
      <c r="A13095" s="76" t="s">
        <v>43</v>
      </c>
      <c r="B13095" s="76" t="s">
        <v>1039</v>
      </c>
      <c r="C13095" s="84">
        <v>0.84</v>
      </c>
      <c r="D13095" s="84">
        <v>0.0</v>
      </c>
      <c r="E13095" s="84">
        <v>0.0</v>
      </c>
      <c r="F13095" s="76" t="s">
        <v>996</v>
      </c>
      <c r="G13095" s="83">
        <v>46122.0</v>
      </c>
      <c r="H13095" s="76" t="s">
        <v>963</v>
      </c>
    </row>
    <row r="13096">
      <c r="A13096" s="76" t="s">
        <v>43</v>
      </c>
      <c r="B13096" s="76" t="s">
        <v>1039</v>
      </c>
      <c r="C13096" s="84">
        <v>3.15</v>
      </c>
      <c r="D13096" s="84">
        <v>1.0</v>
      </c>
      <c r="E13096" s="84">
        <v>3.15</v>
      </c>
      <c r="F13096" s="76" t="s">
        <v>996</v>
      </c>
      <c r="G13096" s="83">
        <v>46122.0</v>
      </c>
      <c r="H13096" s="76" t="s">
        <v>964</v>
      </c>
    </row>
    <row r="13097">
      <c r="A13097" s="76" t="s">
        <v>43</v>
      </c>
      <c r="B13097" s="76" t="s">
        <v>1039</v>
      </c>
      <c r="C13097" s="84">
        <v>0.88</v>
      </c>
      <c r="D13097" s="84">
        <v>1.0</v>
      </c>
      <c r="E13097" s="84">
        <v>0.88</v>
      </c>
      <c r="F13097" s="76" t="s">
        <v>996</v>
      </c>
      <c r="G13097" s="83">
        <v>46122.0</v>
      </c>
      <c r="H13097" s="76" t="s">
        <v>965</v>
      </c>
    </row>
    <row r="13098">
      <c r="A13098" s="76" t="s">
        <v>46</v>
      </c>
      <c r="B13098" s="76" t="s">
        <v>1039</v>
      </c>
      <c r="C13098" s="84">
        <v>0.25</v>
      </c>
      <c r="D13098" s="84">
        <v>0.0</v>
      </c>
      <c r="E13098" s="84">
        <v>0.0</v>
      </c>
      <c r="F13098" s="76" t="s">
        <v>996</v>
      </c>
      <c r="G13098" s="83">
        <v>46122.0</v>
      </c>
      <c r="H13098" s="76" t="s">
        <v>960</v>
      </c>
    </row>
    <row r="13099">
      <c r="A13099" s="76" t="s">
        <v>46</v>
      </c>
      <c r="B13099" s="76" t="s">
        <v>1039</v>
      </c>
      <c r="C13099" s="84">
        <v>1.72</v>
      </c>
      <c r="D13099" s="84">
        <v>0.0</v>
      </c>
      <c r="E13099" s="84">
        <v>0.0</v>
      </c>
      <c r="F13099" s="76" t="s">
        <v>996</v>
      </c>
      <c r="G13099" s="83">
        <v>46122.0</v>
      </c>
      <c r="H13099" s="76" t="s">
        <v>961</v>
      </c>
    </row>
    <row r="13100">
      <c r="A13100" s="76" t="s">
        <v>46</v>
      </c>
      <c r="B13100" s="76" t="s">
        <v>1039</v>
      </c>
      <c r="C13100" s="84">
        <v>3.27</v>
      </c>
      <c r="D13100" s="84">
        <v>1.0</v>
      </c>
      <c r="E13100" s="84">
        <v>3.27</v>
      </c>
      <c r="F13100" s="76" t="s">
        <v>996</v>
      </c>
      <c r="G13100" s="83">
        <v>46122.0</v>
      </c>
      <c r="H13100" s="76" t="s">
        <v>962</v>
      </c>
    </row>
    <row r="13101">
      <c r="A13101" s="76" t="s">
        <v>966</v>
      </c>
      <c r="B13101" s="76" t="s">
        <v>1039</v>
      </c>
      <c r="C13101" s="84">
        <v>5.68</v>
      </c>
      <c r="D13101" s="84">
        <v>1.0</v>
      </c>
      <c r="E13101" s="84">
        <v>5.68</v>
      </c>
      <c r="F13101" s="76" t="s">
        <v>996</v>
      </c>
      <c r="G13101" s="83">
        <v>46122.0</v>
      </c>
      <c r="H13101" s="76" t="s">
        <v>967</v>
      </c>
    </row>
    <row r="13102">
      <c r="A13102" s="76" t="s">
        <v>966</v>
      </c>
      <c r="B13102" s="76" t="s">
        <v>1039</v>
      </c>
      <c r="C13102" s="84">
        <v>2.79</v>
      </c>
      <c r="D13102" s="84">
        <v>1.0</v>
      </c>
      <c r="E13102" s="84">
        <v>2.79</v>
      </c>
      <c r="F13102" s="76" t="s">
        <v>996</v>
      </c>
      <c r="G13102" s="83">
        <v>46122.0</v>
      </c>
      <c r="H13102" s="76" t="s">
        <v>968</v>
      </c>
    </row>
    <row r="13103">
      <c r="A13103" s="76" t="s">
        <v>966</v>
      </c>
      <c r="B13103" s="76" t="s">
        <v>1039</v>
      </c>
      <c r="C13103" s="84">
        <v>7.51</v>
      </c>
      <c r="D13103" s="84">
        <v>1.0</v>
      </c>
      <c r="E13103" s="84">
        <v>7.51</v>
      </c>
      <c r="F13103" s="76" t="s">
        <v>996</v>
      </c>
      <c r="G13103" s="83">
        <v>46122.0</v>
      </c>
      <c r="H13103" s="76" t="s">
        <v>969</v>
      </c>
    </row>
    <row r="13104">
      <c r="A13104" s="76" t="s">
        <v>33</v>
      </c>
      <c r="B13104" s="76" t="s">
        <v>1039</v>
      </c>
      <c r="C13104" s="84">
        <v>277.87</v>
      </c>
      <c r="D13104" s="84">
        <v>59.0</v>
      </c>
      <c r="E13104" s="84">
        <v>4.71</v>
      </c>
      <c r="F13104" s="76" t="s">
        <v>996</v>
      </c>
      <c r="G13104" s="83">
        <v>46122.0</v>
      </c>
      <c r="H13104" s="76" t="s">
        <v>957</v>
      </c>
    </row>
    <row r="13105">
      <c r="A13105" s="76" t="s">
        <v>33</v>
      </c>
      <c r="B13105" s="76" t="s">
        <v>1039</v>
      </c>
      <c r="C13105" s="84">
        <v>8.05</v>
      </c>
      <c r="D13105" s="84">
        <v>1.0</v>
      </c>
      <c r="E13105" s="84">
        <v>8.05</v>
      </c>
      <c r="F13105" s="76" t="s">
        <v>996</v>
      </c>
      <c r="G13105" s="83">
        <v>46122.0</v>
      </c>
      <c r="H13105" s="76" t="s">
        <v>958</v>
      </c>
    </row>
    <row r="13106">
      <c r="A13106" s="76" t="s">
        <v>33</v>
      </c>
      <c r="B13106" s="76" t="s">
        <v>1039</v>
      </c>
      <c r="C13106" s="84">
        <v>67.37</v>
      </c>
      <c r="D13106" s="84">
        <v>11.0</v>
      </c>
      <c r="E13106" s="84">
        <v>6.12</v>
      </c>
      <c r="F13106" s="76" t="s">
        <v>996</v>
      </c>
      <c r="G13106" s="83">
        <v>46122.0</v>
      </c>
      <c r="H13106" s="76" t="s">
        <v>959</v>
      </c>
    </row>
    <row r="13107">
      <c r="A13107" s="76" t="s">
        <v>34</v>
      </c>
      <c r="B13107" s="76" t="s">
        <v>1039</v>
      </c>
      <c r="C13107" s="84">
        <v>7.07</v>
      </c>
      <c r="D13107" s="84">
        <v>0.0</v>
      </c>
      <c r="E13107" s="84">
        <v>0.0</v>
      </c>
      <c r="F13107" s="76" t="s">
        <v>996</v>
      </c>
      <c r="G13107" s="83">
        <v>46122.0</v>
      </c>
      <c r="H13107" s="76" t="s">
        <v>951</v>
      </c>
    </row>
    <row r="13108">
      <c r="A13108" s="76" t="s">
        <v>34</v>
      </c>
      <c r="B13108" s="76" t="s">
        <v>1039</v>
      </c>
      <c r="C13108" s="84">
        <v>6.58</v>
      </c>
      <c r="D13108" s="84">
        <v>3.0</v>
      </c>
      <c r="E13108" s="84">
        <v>2.19</v>
      </c>
      <c r="F13108" s="76" t="s">
        <v>996</v>
      </c>
      <c r="G13108" s="83">
        <v>46122.0</v>
      </c>
      <c r="H13108" s="76" t="s">
        <v>952</v>
      </c>
    </row>
    <row r="13109">
      <c r="A13109" s="76" t="s">
        <v>34</v>
      </c>
      <c r="B13109" s="76" t="s">
        <v>1039</v>
      </c>
      <c r="C13109" s="84">
        <v>1.0</v>
      </c>
      <c r="D13109" s="84">
        <v>0.0</v>
      </c>
      <c r="E13109" s="84">
        <v>0.0</v>
      </c>
      <c r="F13109" s="76" t="s">
        <v>996</v>
      </c>
      <c r="G13109" s="83">
        <v>46122.0</v>
      </c>
      <c r="H13109" s="76" t="s">
        <v>953</v>
      </c>
    </row>
    <row r="13110">
      <c r="A13110" s="76" t="s">
        <v>36</v>
      </c>
      <c r="B13110" s="76" t="s">
        <v>1039</v>
      </c>
      <c r="C13110" s="84">
        <v>8.03</v>
      </c>
      <c r="D13110" s="84">
        <v>1.0</v>
      </c>
      <c r="E13110" s="84">
        <v>8.03</v>
      </c>
      <c r="F13110" s="76" t="s">
        <v>996</v>
      </c>
      <c r="G13110" s="83">
        <v>46122.0</v>
      </c>
      <c r="H13110" s="76" t="s">
        <v>926</v>
      </c>
    </row>
    <row r="13111">
      <c r="A13111" s="76" t="s">
        <v>36</v>
      </c>
      <c r="B13111" s="76" t="s">
        <v>1039</v>
      </c>
      <c r="C13111" s="84">
        <v>2.09</v>
      </c>
      <c r="D13111" s="84">
        <v>0.0</v>
      </c>
      <c r="E13111" s="84">
        <v>0.0</v>
      </c>
      <c r="F13111" s="76" t="s">
        <v>996</v>
      </c>
      <c r="G13111" s="83">
        <v>46122.0</v>
      </c>
      <c r="H13111" s="76" t="s">
        <v>927</v>
      </c>
    </row>
    <row r="13112">
      <c r="A13112" s="76" t="s">
        <v>36</v>
      </c>
      <c r="B13112" s="76" t="s">
        <v>1039</v>
      </c>
      <c r="C13112" s="84">
        <v>7.82</v>
      </c>
      <c r="D13112" s="84">
        <v>1.0</v>
      </c>
      <c r="E13112" s="84">
        <v>7.82</v>
      </c>
      <c r="F13112" s="76" t="s">
        <v>996</v>
      </c>
      <c r="G13112" s="83">
        <v>46122.0</v>
      </c>
      <c r="H13112" s="76" t="s">
        <v>928</v>
      </c>
    </row>
    <row r="13113">
      <c r="A13113" s="76" t="s">
        <v>40</v>
      </c>
      <c r="B13113" s="76" t="s">
        <v>1039</v>
      </c>
      <c r="C13113" s="84">
        <v>3.86</v>
      </c>
      <c r="D13113" s="84">
        <v>1.0</v>
      </c>
      <c r="E13113" s="84">
        <v>3.86</v>
      </c>
      <c r="F13113" s="76" t="s">
        <v>996</v>
      </c>
      <c r="G13113" s="83">
        <v>46122.0</v>
      </c>
      <c r="H13113" s="76" t="s">
        <v>954</v>
      </c>
    </row>
    <row r="13114">
      <c r="A13114" s="76" t="s">
        <v>40</v>
      </c>
      <c r="B13114" s="76" t="s">
        <v>1039</v>
      </c>
      <c r="C13114" s="84">
        <v>1.85</v>
      </c>
      <c r="D13114" s="84">
        <v>0.0</v>
      </c>
      <c r="E13114" s="84">
        <v>0.0</v>
      </c>
      <c r="F13114" s="76" t="s">
        <v>996</v>
      </c>
      <c r="G13114" s="83">
        <v>46122.0</v>
      </c>
      <c r="H13114" s="76" t="s">
        <v>955</v>
      </c>
    </row>
    <row r="13115">
      <c r="A13115" s="76" t="s">
        <v>40</v>
      </c>
      <c r="B13115" s="76" t="s">
        <v>1039</v>
      </c>
      <c r="C13115" s="84">
        <v>31.12</v>
      </c>
      <c r="D13115" s="84">
        <v>4.0</v>
      </c>
      <c r="E13115" s="84">
        <v>7.78</v>
      </c>
      <c r="F13115" s="76" t="s">
        <v>996</v>
      </c>
      <c r="G13115" s="83">
        <v>46122.0</v>
      </c>
      <c r="H13115" s="76" t="s">
        <v>956</v>
      </c>
    </row>
    <row r="13116">
      <c r="A13116" s="76" t="s">
        <v>40</v>
      </c>
      <c r="B13116" s="76" t="s">
        <v>1039</v>
      </c>
      <c r="C13116" s="84">
        <v>0.06</v>
      </c>
      <c r="D13116" s="84">
        <v>0.0</v>
      </c>
      <c r="E13116" s="84">
        <v>0.0</v>
      </c>
      <c r="F13116" s="76" t="s">
        <v>993</v>
      </c>
      <c r="G13116" s="83">
        <v>46122.0</v>
      </c>
      <c r="H13116" s="76" t="s">
        <v>954</v>
      </c>
    </row>
    <row r="13117">
      <c r="A13117" s="76" t="s">
        <v>40</v>
      </c>
      <c r="B13117" s="76" t="s">
        <v>1039</v>
      </c>
      <c r="C13117" s="84">
        <v>0.01</v>
      </c>
      <c r="D13117" s="84">
        <v>0.0</v>
      </c>
      <c r="E13117" s="84">
        <v>0.0</v>
      </c>
      <c r="F13117" s="76" t="s">
        <v>993</v>
      </c>
      <c r="G13117" s="83">
        <v>46122.0</v>
      </c>
      <c r="H13117" s="76" t="s">
        <v>955</v>
      </c>
    </row>
    <row r="13118">
      <c r="A13118" s="76" t="s">
        <v>40</v>
      </c>
      <c r="B13118" s="76" t="s">
        <v>1039</v>
      </c>
      <c r="C13118" s="84">
        <v>0.26</v>
      </c>
      <c r="D13118" s="84">
        <v>0.0</v>
      </c>
      <c r="E13118" s="84">
        <v>0.0</v>
      </c>
      <c r="F13118" s="76" t="s">
        <v>993</v>
      </c>
      <c r="G13118" s="83">
        <v>46122.0</v>
      </c>
      <c r="H13118" s="76" t="s">
        <v>956</v>
      </c>
    </row>
    <row r="13119">
      <c r="A13119" s="76" t="s">
        <v>36</v>
      </c>
      <c r="B13119" s="76" t="s">
        <v>1039</v>
      </c>
      <c r="C13119" s="84">
        <v>0.16</v>
      </c>
      <c r="D13119" s="84">
        <v>0.0</v>
      </c>
      <c r="E13119" s="84">
        <v>0.0</v>
      </c>
      <c r="F13119" s="76" t="s">
        <v>993</v>
      </c>
      <c r="G13119" s="83">
        <v>46122.0</v>
      </c>
      <c r="H13119" s="76" t="s">
        <v>926</v>
      </c>
    </row>
    <row r="13120">
      <c r="A13120" s="76" t="s">
        <v>36</v>
      </c>
      <c r="B13120" s="76" t="s">
        <v>1039</v>
      </c>
      <c r="C13120" s="84">
        <v>0.07</v>
      </c>
      <c r="D13120" s="84">
        <v>0.0</v>
      </c>
      <c r="E13120" s="84">
        <v>0.0</v>
      </c>
      <c r="F13120" s="76" t="s">
        <v>993</v>
      </c>
      <c r="G13120" s="83">
        <v>46122.0</v>
      </c>
      <c r="H13120" s="76" t="s">
        <v>927</v>
      </c>
    </row>
    <row r="13121">
      <c r="A13121" s="76" t="s">
        <v>36</v>
      </c>
      <c r="B13121" s="76" t="s">
        <v>1039</v>
      </c>
      <c r="C13121" s="84">
        <v>0.13</v>
      </c>
      <c r="D13121" s="84">
        <v>0.0</v>
      </c>
      <c r="E13121" s="84">
        <v>0.0</v>
      </c>
      <c r="F13121" s="76" t="s">
        <v>993</v>
      </c>
      <c r="G13121" s="83">
        <v>46122.0</v>
      </c>
      <c r="H13121" s="76" t="s">
        <v>928</v>
      </c>
    </row>
    <row r="13122">
      <c r="A13122" s="76" t="s">
        <v>46</v>
      </c>
      <c r="B13122" s="76" t="s">
        <v>1039</v>
      </c>
      <c r="C13122" s="84">
        <v>0.01</v>
      </c>
      <c r="D13122" s="84">
        <v>0.0</v>
      </c>
      <c r="E13122" s="84">
        <v>0.0</v>
      </c>
      <c r="F13122" s="76" t="s">
        <v>993</v>
      </c>
      <c r="G13122" s="83">
        <v>46122.0</v>
      </c>
      <c r="H13122" s="76" t="s">
        <v>960</v>
      </c>
    </row>
    <row r="13123">
      <c r="A13123" s="76" t="s">
        <v>46</v>
      </c>
      <c r="B13123" s="76" t="s">
        <v>1039</v>
      </c>
      <c r="C13123" s="84">
        <v>0.01</v>
      </c>
      <c r="D13123" s="84">
        <v>0.0</v>
      </c>
      <c r="E13123" s="84">
        <v>0.0</v>
      </c>
      <c r="F13123" s="76" t="s">
        <v>993</v>
      </c>
      <c r="G13123" s="83">
        <v>46122.0</v>
      </c>
      <c r="H13123" s="76" t="s">
        <v>961</v>
      </c>
    </row>
    <row r="13124">
      <c r="A13124" s="76" t="s">
        <v>46</v>
      </c>
      <c r="B13124" s="76" t="s">
        <v>1039</v>
      </c>
      <c r="C13124" s="84">
        <v>0.06</v>
      </c>
      <c r="D13124" s="84">
        <v>0.0</v>
      </c>
      <c r="E13124" s="84">
        <v>0.0</v>
      </c>
      <c r="F13124" s="76" t="s">
        <v>993</v>
      </c>
      <c r="G13124" s="83">
        <v>46122.0</v>
      </c>
      <c r="H13124" s="76" t="s">
        <v>962</v>
      </c>
    </row>
    <row r="13125">
      <c r="A13125" s="76" t="s">
        <v>970</v>
      </c>
      <c r="B13125" s="76" t="s">
        <v>1039</v>
      </c>
      <c r="C13125" s="84">
        <v>0.33</v>
      </c>
      <c r="D13125" s="84">
        <v>0.0</v>
      </c>
      <c r="E13125" s="84">
        <v>0.0</v>
      </c>
      <c r="F13125" s="76" t="s">
        <v>993</v>
      </c>
      <c r="G13125" s="83">
        <v>46122.0</v>
      </c>
      <c r="H13125" s="76" t="s">
        <v>971</v>
      </c>
    </row>
    <row r="13126">
      <c r="A13126" s="76" t="s">
        <v>970</v>
      </c>
      <c r="B13126" s="76" t="s">
        <v>1039</v>
      </c>
      <c r="C13126" s="84">
        <v>0.16</v>
      </c>
      <c r="D13126" s="84">
        <v>0.0</v>
      </c>
      <c r="E13126" s="84">
        <v>0.0</v>
      </c>
      <c r="F13126" s="76" t="s">
        <v>993</v>
      </c>
      <c r="G13126" s="83">
        <v>46122.0</v>
      </c>
      <c r="H13126" s="76" t="s">
        <v>972</v>
      </c>
    </row>
    <row r="13127">
      <c r="A13127" s="76" t="s">
        <v>970</v>
      </c>
      <c r="B13127" s="76" t="s">
        <v>1039</v>
      </c>
      <c r="C13127" s="84">
        <v>0.4</v>
      </c>
      <c r="D13127" s="84">
        <v>0.0</v>
      </c>
      <c r="E13127" s="84">
        <v>0.0</v>
      </c>
      <c r="F13127" s="76" t="s">
        <v>993</v>
      </c>
      <c r="G13127" s="83">
        <v>46122.0</v>
      </c>
      <c r="H13127" s="76" t="s">
        <v>973</v>
      </c>
    </row>
    <row r="13128">
      <c r="A13128" s="76" t="s">
        <v>33</v>
      </c>
      <c r="B13128" s="76" t="s">
        <v>1039</v>
      </c>
      <c r="C13128" s="84">
        <v>1.7</v>
      </c>
      <c r="D13128" s="84">
        <v>0.0</v>
      </c>
      <c r="E13128" s="84">
        <v>0.0</v>
      </c>
      <c r="F13128" s="76" t="s">
        <v>993</v>
      </c>
      <c r="G13128" s="83">
        <v>46122.0</v>
      </c>
      <c r="H13128" s="76" t="s">
        <v>957</v>
      </c>
    </row>
    <row r="13129">
      <c r="A13129" s="76" t="s">
        <v>33</v>
      </c>
      <c r="B13129" s="76" t="s">
        <v>1039</v>
      </c>
      <c r="C13129" s="84">
        <v>0.12</v>
      </c>
      <c r="D13129" s="84">
        <v>0.0</v>
      </c>
      <c r="E13129" s="84">
        <v>0.0</v>
      </c>
      <c r="F13129" s="76" t="s">
        <v>993</v>
      </c>
      <c r="G13129" s="83">
        <v>46122.0</v>
      </c>
      <c r="H13129" s="76" t="s">
        <v>958</v>
      </c>
    </row>
    <row r="13130">
      <c r="A13130" s="76" t="s">
        <v>33</v>
      </c>
      <c r="B13130" s="76" t="s">
        <v>1039</v>
      </c>
      <c r="C13130" s="84">
        <v>0.38</v>
      </c>
      <c r="D13130" s="84">
        <v>0.0</v>
      </c>
      <c r="E13130" s="84">
        <v>0.0</v>
      </c>
      <c r="F13130" s="76" t="s">
        <v>993</v>
      </c>
      <c r="G13130" s="83">
        <v>46122.0</v>
      </c>
      <c r="H13130" s="76" t="s">
        <v>959</v>
      </c>
    </row>
    <row r="13131">
      <c r="A13131" s="76" t="s">
        <v>966</v>
      </c>
      <c r="B13131" s="76" t="s">
        <v>1039</v>
      </c>
      <c r="C13131" s="84">
        <v>0.11</v>
      </c>
      <c r="D13131" s="84">
        <v>0.0</v>
      </c>
      <c r="E13131" s="84">
        <v>0.0</v>
      </c>
      <c r="F13131" s="76" t="s">
        <v>993</v>
      </c>
      <c r="G13131" s="83">
        <v>46122.0</v>
      </c>
      <c r="H13131" s="76" t="s">
        <v>967</v>
      </c>
    </row>
    <row r="13132">
      <c r="A13132" s="76" t="s">
        <v>966</v>
      </c>
      <c r="B13132" s="76" t="s">
        <v>1039</v>
      </c>
      <c r="C13132" s="84">
        <v>0.12</v>
      </c>
      <c r="D13132" s="84">
        <v>0.0</v>
      </c>
      <c r="E13132" s="84">
        <v>0.0</v>
      </c>
      <c r="F13132" s="76" t="s">
        <v>993</v>
      </c>
      <c r="G13132" s="83">
        <v>46122.0</v>
      </c>
      <c r="H13132" s="76" t="s">
        <v>968</v>
      </c>
    </row>
    <row r="13133">
      <c r="A13133" s="76" t="s">
        <v>966</v>
      </c>
      <c r="B13133" s="76" t="s">
        <v>1039</v>
      </c>
      <c r="C13133" s="84">
        <v>0.13</v>
      </c>
      <c r="D13133" s="84">
        <v>0.0</v>
      </c>
      <c r="E13133" s="84">
        <v>0.0</v>
      </c>
      <c r="F13133" s="76" t="s">
        <v>993</v>
      </c>
      <c r="G13133" s="83">
        <v>46122.0</v>
      </c>
      <c r="H13133" s="76" t="s">
        <v>969</v>
      </c>
    </row>
    <row r="13134">
      <c r="A13134" s="76" t="s">
        <v>29</v>
      </c>
      <c r="B13134" s="76" t="s">
        <v>1039</v>
      </c>
      <c r="C13134" s="84">
        <v>0.6</v>
      </c>
      <c r="D13134" s="84">
        <v>0.0</v>
      </c>
      <c r="E13134" s="84">
        <v>0.0</v>
      </c>
      <c r="F13134" s="76" t="s">
        <v>993</v>
      </c>
      <c r="G13134" s="83">
        <v>46122.0</v>
      </c>
      <c r="H13134" s="76" t="s">
        <v>971</v>
      </c>
    </row>
    <row r="13135">
      <c r="A13135" s="76" t="s">
        <v>29</v>
      </c>
      <c r="B13135" s="76" t="s">
        <v>1039</v>
      </c>
      <c r="C13135" s="84">
        <v>0.21</v>
      </c>
      <c r="D13135" s="84">
        <v>0.0</v>
      </c>
      <c r="E13135" s="84">
        <v>0.0</v>
      </c>
      <c r="F13135" s="76" t="s">
        <v>993</v>
      </c>
      <c r="G13135" s="83">
        <v>46122.0</v>
      </c>
      <c r="H13135" s="76" t="s">
        <v>972</v>
      </c>
    </row>
    <row r="13136">
      <c r="A13136" s="76" t="s">
        <v>29</v>
      </c>
      <c r="B13136" s="76" t="s">
        <v>1039</v>
      </c>
      <c r="C13136" s="84">
        <v>0.64</v>
      </c>
      <c r="D13136" s="84">
        <v>0.0</v>
      </c>
      <c r="E13136" s="84">
        <v>0.0</v>
      </c>
      <c r="F13136" s="76" t="s">
        <v>993</v>
      </c>
      <c r="G13136" s="83">
        <v>46122.0</v>
      </c>
      <c r="H13136" s="76" t="s">
        <v>973</v>
      </c>
    </row>
    <row r="13137">
      <c r="A13137" s="76" t="s">
        <v>34</v>
      </c>
      <c r="B13137" s="76" t="s">
        <v>1039</v>
      </c>
      <c r="C13137" s="84">
        <v>0.22</v>
      </c>
      <c r="D13137" s="84">
        <v>0.0</v>
      </c>
      <c r="E13137" s="84">
        <v>0.0</v>
      </c>
      <c r="F13137" s="76" t="s">
        <v>993</v>
      </c>
      <c r="G13137" s="83">
        <v>46122.0</v>
      </c>
      <c r="H13137" s="76" t="s">
        <v>951</v>
      </c>
    </row>
    <row r="13138">
      <c r="A13138" s="76" t="s">
        <v>34</v>
      </c>
      <c r="B13138" s="76" t="s">
        <v>1039</v>
      </c>
      <c r="C13138" s="84">
        <v>0.21</v>
      </c>
      <c r="D13138" s="84">
        <v>0.0</v>
      </c>
      <c r="E13138" s="84">
        <v>0.0</v>
      </c>
      <c r="F13138" s="76" t="s">
        <v>993</v>
      </c>
      <c r="G13138" s="83">
        <v>46122.0</v>
      </c>
      <c r="H13138" s="76" t="s">
        <v>952</v>
      </c>
    </row>
    <row r="13139">
      <c r="A13139" s="76" t="s">
        <v>34</v>
      </c>
      <c r="B13139" s="76" t="s">
        <v>1039</v>
      </c>
      <c r="C13139" s="84">
        <v>0.05</v>
      </c>
      <c r="D13139" s="84">
        <v>0.0</v>
      </c>
      <c r="E13139" s="84">
        <v>0.0</v>
      </c>
      <c r="F13139" s="76" t="s">
        <v>993</v>
      </c>
      <c r="G13139" s="83">
        <v>46122.0</v>
      </c>
      <c r="H13139" s="76" t="s">
        <v>953</v>
      </c>
    </row>
    <row r="13140">
      <c r="A13140" s="76" t="s">
        <v>43</v>
      </c>
      <c r="B13140" s="76" t="s">
        <v>1039</v>
      </c>
      <c r="C13140" s="84">
        <v>0.02</v>
      </c>
      <c r="D13140" s="84">
        <v>0.0</v>
      </c>
      <c r="E13140" s="84">
        <v>0.0</v>
      </c>
      <c r="F13140" s="76" t="s">
        <v>993</v>
      </c>
      <c r="G13140" s="83">
        <v>46122.0</v>
      </c>
      <c r="H13140" s="76" t="s">
        <v>963</v>
      </c>
    </row>
    <row r="13141">
      <c r="A13141" s="76" t="s">
        <v>43</v>
      </c>
      <c r="B13141" s="76" t="s">
        <v>1039</v>
      </c>
      <c r="C13141" s="84">
        <v>0.07</v>
      </c>
      <c r="D13141" s="84">
        <v>0.0</v>
      </c>
      <c r="E13141" s="84">
        <v>0.0</v>
      </c>
      <c r="F13141" s="76" t="s">
        <v>993</v>
      </c>
      <c r="G13141" s="83">
        <v>46122.0</v>
      </c>
      <c r="H13141" s="76" t="s">
        <v>964</v>
      </c>
    </row>
    <row r="13142">
      <c r="A13142" s="76" t="s">
        <v>43</v>
      </c>
      <c r="B13142" s="76" t="s">
        <v>1039</v>
      </c>
      <c r="C13142" s="84">
        <v>0.01</v>
      </c>
      <c r="D13142" s="84">
        <v>0.0</v>
      </c>
      <c r="E13142" s="84">
        <v>0.0</v>
      </c>
      <c r="F13142" s="76" t="s">
        <v>993</v>
      </c>
      <c r="G13142" s="83">
        <v>46122.0</v>
      </c>
      <c r="H13142" s="76" t="s">
        <v>965</v>
      </c>
    </row>
    <row r="13143">
      <c r="A13143" s="76" t="s">
        <v>36</v>
      </c>
      <c r="B13143" s="76" t="s">
        <v>1039</v>
      </c>
      <c r="C13143" s="84">
        <v>2.43</v>
      </c>
      <c r="D13143" s="84">
        <v>0.0</v>
      </c>
      <c r="E13143" s="84">
        <v>0.0</v>
      </c>
      <c r="F13143" s="76" t="s">
        <v>998</v>
      </c>
      <c r="G13143" s="83">
        <v>46122.0</v>
      </c>
      <c r="H13143" s="76" t="s">
        <v>926</v>
      </c>
    </row>
    <row r="13144">
      <c r="A13144" s="76" t="s">
        <v>36</v>
      </c>
      <c r="B13144" s="76" t="s">
        <v>1039</v>
      </c>
      <c r="C13144" s="84">
        <v>0.66</v>
      </c>
      <c r="D13144" s="84">
        <v>3.0</v>
      </c>
      <c r="E13144" s="84">
        <v>0.22</v>
      </c>
      <c r="F13144" s="76" t="s">
        <v>998</v>
      </c>
      <c r="G13144" s="83">
        <v>46122.0</v>
      </c>
      <c r="H13144" s="76" t="s">
        <v>927</v>
      </c>
    </row>
    <row r="13145">
      <c r="A13145" s="76" t="s">
        <v>36</v>
      </c>
      <c r="B13145" s="76" t="s">
        <v>1039</v>
      </c>
      <c r="C13145" s="84">
        <v>1.42</v>
      </c>
      <c r="D13145" s="84">
        <v>1.0</v>
      </c>
      <c r="E13145" s="84">
        <v>1.42</v>
      </c>
      <c r="F13145" s="76" t="s">
        <v>998</v>
      </c>
      <c r="G13145" s="83">
        <v>46122.0</v>
      </c>
      <c r="H13145" s="76" t="s">
        <v>928</v>
      </c>
    </row>
    <row r="13146">
      <c r="A13146" s="76" t="s">
        <v>34</v>
      </c>
      <c r="B13146" s="76" t="s">
        <v>1039</v>
      </c>
      <c r="C13146" s="84">
        <v>0.71</v>
      </c>
      <c r="D13146" s="84">
        <v>0.0</v>
      </c>
      <c r="E13146" s="84">
        <v>0.0</v>
      </c>
      <c r="F13146" s="76" t="s">
        <v>998</v>
      </c>
      <c r="G13146" s="83">
        <v>46122.0</v>
      </c>
      <c r="H13146" s="76" t="s">
        <v>951</v>
      </c>
    </row>
    <row r="13147">
      <c r="A13147" s="76" t="s">
        <v>34</v>
      </c>
      <c r="B13147" s="76" t="s">
        <v>1039</v>
      </c>
      <c r="C13147" s="84">
        <v>1.24</v>
      </c>
      <c r="D13147" s="84">
        <v>0.0</v>
      </c>
      <c r="E13147" s="84">
        <v>0.0</v>
      </c>
      <c r="F13147" s="76" t="s">
        <v>998</v>
      </c>
      <c r="G13147" s="83">
        <v>46122.0</v>
      </c>
      <c r="H13147" s="76" t="s">
        <v>952</v>
      </c>
    </row>
    <row r="13148">
      <c r="A13148" s="76" t="s">
        <v>34</v>
      </c>
      <c r="B13148" s="76" t="s">
        <v>1039</v>
      </c>
      <c r="C13148" s="84">
        <v>0.25</v>
      </c>
      <c r="D13148" s="84">
        <v>0.0</v>
      </c>
      <c r="E13148" s="84">
        <v>0.0</v>
      </c>
      <c r="F13148" s="76" t="s">
        <v>998</v>
      </c>
      <c r="G13148" s="83">
        <v>46122.0</v>
      </c>
      <c r="H13148" s="76" t="s">
        <v>953</v>
      </c>
    </row>
    <row r="13149">
      <c r="A13149" s="76" t="s">
        <v>33</v>
      </c>
      <c r="B13149" s="76" t="s">
        <v>1039</v>
      </c>
      <c r="C13149" s="84">
        <v>10.35</v>
      </c>
      <c r="D13149" s="84">
        <v>3.0</v>
      </c>
      <c r="E13149" s="84">
        <v>3.45</v>
      </c>
      <c r="F13149" s="76" t="s">
        <v>998</v>
      </c>
      <c r="G13149" s="83">
        <v>46122.0</v>
      </c>
      <c r="H13149" s="76" t="s">
        <v>957</v>
      </c>
    </row>
    <row r="13150">
      <c r="A13150" s="76" t="s">
        <v>33</v>
      </c>
      <c r="B13150" s="76" t="s">
        <v>1039</v>
      </c>
      <c r="C13150" s="84">
        <v>1.33</v>
      </c>
      <c r="D13150" s="84">
        <v>0.0</v>
      </c>
      <c r="E13150" s="84">
        <v>0.0</v>
      </c>
      <c r="F13150" s="76" t="s">
        <v>998</v>
      </c>
      <c r="G13150" s="83">
        <v>46122.0</v>
      </c>
      <c r="H13150" s="76" t="s">
        <v>958</v>
      </c>
    </row>
    <row r="13151">
      <c r="A13151" s="76" t="s">
        <v>33</v>
      </c>
      <c r="B13151" s="76" t="s">
        <v>1039</v>
      </c>
      <c r="C13151" s="84">
        <v>2.2</v>
      </c>
      <c r="D13151" s="84">
        <v>0.0</v>
      </c>
      <c r="E13151" s="84">
        <v>0.0</v>
      </c>
      <c r="F13151" s="76" t="s">
        <v>998</v>
      </c>
      <c r="G13151" s="83">
        <v>46122.0</v>
      </c>
      <c r="H13151" s="76" t="s">
        <v>959</v>
      </c>
    </row>
    <row r="13152">
      <c r="A13152" s="76" t="s">
        <v>29</v>
      </c>
      <c r="B13152" s="76" t="s">
        <v>1039</v>
      </c>
      <c r="C13152" s="84">
        <v>1.15</v>
      </c>
      <c r="D13152" s="84">
        <v>0.0</v>
      </c>
      <c r="E13152" s="84">
        <v>0.0</v>
      </c>
      <c r="F13152" s="76" t="s">
        <v>998</v>
      </c>
      <c r="G13152" s="83">
        <v>46122.0</v>
      </c>
      <c r="H13152" s="76" t="s">
        <v>971</v>
      </c>
    </row>
    <row r="13153">
      <c r="A13153" s="76" t="s">
        <v>29</v>
      </c>
      <c r="B13153" s="76" t="s">
        <v>1039</v>
      </c>
      <c r="C13153" s="84">
        <v>0.33</v>
      </c>
      <c r="D13153" s="84">
        <v>0.0</v>
      </c>
      <c r="E13153" s="84">
        <v>0.0</v>
      </c>
      <c r="F13153" s="76" t="s">
        <v>998</v>
      </c>
      <c r="G13153" s="83">
        <v>46122.0</v>
      </c>
      <c r="H13153" s="76" t="s">
        <v>972</v>
      </c>
    </row>
    <row r="13154">
      <c r="A13154" s="76" t="s">
        <v>29</v>
      </c>
      <c r="B13154" s="76" t="s">
        <v>1039</v>
      </c>
      <c r="C13154" s="84">
        <v>4.16</v>
      </c>
      <c r="D13154" s="84">
        <v>1.0</v>
      </c>
      <c r="E13154" s="84">
        <v>4.16</v>
      </c>
      <c r="F13154" s="76" t="s">
        <v>998</v>
      </c>
      <c r="G13154" s="83">
        <v>46122.0</v>
      </c>
      <c r="H13154" s="76" t="s">
        <v>973</v>
      </c>
    </row>
    <row r="13155">
      <c r="A13155" s="76" t="s">
        <v>46</v>
      </c>
      <c r="B13155" s="76" t="s">
        <v>1039</v>
      </c>
      <c r="C13155" s="84">
        <v>0.33</v>
      </c>
      <c r="D13155" s="84">
        <v>0.0</v>
      </c>
      <c r="E13155" s="84">
        <v>0.0</v>
      </c>
      <c r="F13155" s="76" t="s">
        <v>998</v>
      </c>
      <c r="G13155" s="83">
        <v>46122.0</v>
      </c>
      <c r="H13155" s="76" t="s">
        <v>960</v>
      </c>
    </row>
    <row r="13156">
      <c r="A13156" s="76" t="s">
        <v>46</v>
      </c>
      <c r="B13156" s="76" t="s">
        <v>1039</v>
      </c>
      <c r="C13156" s="84">
        <v>0.6</v>
      </c>
      <c r="D13156" s="84">
        <v>0.0</v>
      </c>
      <c r="E13156" s="84">
        <v>0.0</v>
      </c>
      <c r="F13156" s="76" t="s">
        <v>998</v>
      </c>
      <c r="G13156" s="83">
        <v>46122.0</v>
      </c>
      <c r="H13156" s="76" t="s">
        <v>961</v>
      </c>
    </row>
    <row r="13157">
      <c r="A13157" s="76" t="s">
        <v>46</v>
      </c>
      <c r="B13157" s="76" t="s">
        <v>1039</v>
      </c>
      <c r="C13157" s="84">
        <v>0.8</v>
      </c>
      <c r="D13157" s="84">
        <v>0.0</v>
      </c>
      <c r="E13157" s="84">
        <v>0.0</v>
      </c>
      <c r="F13157" s="76" t="s">
        <v>998</v>
      </c>
      <c r="G13157" s="83">
        <v>46122.0</v>
      </c>
      <c r="H13157" s="76" t="s">
        <v>962</v>
      </c>
    </row>
    <row r="13158">
      <c r="A13158" s="76" t="s">
        <v>40</v>
      </c>
      <c r="B13158" s="76" t="s">
        <v>1039</v>
      </c>
      <c r="C13158" s="84">
        <v>0.84</v>
      </c>
      <c r="D13158" s="84">
        <v>0.0</v>
      </c>
      <c r="E13158" s="84">
        <v>0.0</v>
      </c>
      <c r="F13158" s="76" t="s">
        <v>998</v>
      </c>
      <c r="G13158" s="83">
        <v>46122.0</v>
      </c>
      <c r="H13158" s="76" t="s">
        <v>954</v>
      </c>
    </row>
    <row r="13159">
      <c r="A13159" s="76" t="s">
        <v>40</v>
      </c>
      <c r="B13159" s="76" t="s">
        <v>1039</v>
      </c>
      <c r="C13159" s="84">
        <v>0.95</v>
      </c>
      <c r="D13159" s="84">
        <v>0.0</v>
      </c>
      <c r="E13159" s="84">
        <v>0.0</v>
      </c>
      <c r="F13159" s="76" t="s">
        <v>998</v>
      </c>
      <c r="G13159" s="83">
        <v>46122.0</v>
      </c>
      <c r="H13159" s="76" t="s">
        <v>955</v>
      </c>
    </row>
    <row r="13160">
      <c r="A13160" s="76" t="s">
        <v>40</v>
      </c>
      <c r="B13160" s="76" t="s">
        <v>1039</v>
      </c>
      <c r="C13160" s="84">
        <v>4.75</v>
      </c>
      <c r="D13160" s="84">
        <v>2.0</v>
      </c>
      <c r="E13160" s="84">
        <v>2.37</v>
      </c>
      <c r="F13160" s="76" t="s">
        <v>998</v>
      </c>
      <c r="G13160" s="83">
        <v>46122.0</v>
      </c>
      <c r="H13160" s="76" t="s">
        <v>956</v>
      </c>
    </row>
    <row r="13161">
      <c r="A13161" s="76" t="s">
        <v>966</v>
      </c>
      <c r="B13161" s="76" t="s">
        <v>1039</v>
      </c>
      <c r="C13161" s="84">
        <v>1.53</v>
      </c>
      <c r="D13161" s="84">
        <v>0.0</v>
      </c>
      <c r="E13161" s="84">
        <v>0.0</v>
      </c>
      <c r="F13161" s="76" t="s">
        <v>998</v>
      </c>
      <c r="G13161" s="83">
        <v>46122.0</v>
      </c>
      <c r="H13161" s="76" t="s">
        <v>967</v>
      </c>
    </row>
    <row r="13162">
      <c r="A13162" s="76" t="s">
        <v>966</v>
      </c>
      <c r="B13162" s="76" t="s">
        <v>1039</v>
      </c>
      <c r="C13162" s="84">
        <v>0.38</v>
      </c>
      <c r="D13162" s="84">
        <v>0.0</v>
      </c>
      <c r="E13162" s="84">
        <v>0.0</v>
      </c>
      <c r="F13162" s="76" t="s">
        <v>998</v>
      </c>
      <c r="G13162" s="83">
        <v>46122.0</v>
      </c>
      <c r="H13162" s="76" t="s">
        <v>968</v>
      </c>
    </row>
    <row r="13163">
      <c r="A13163" s="76" t="s">
        <v>966</v>
      </c>
      <c r="B13163" s="76" t="s">
        <v>1039</v>
      </c>
      <c r="C13163" s="84">
        <v>1.59</v>
      </c>
      <c r="D13163" s="84">
        <v>0.0</v>
      </c>
      <c r="E13163" s="84">
        <v>0.0</v>
      </c>
      <c r="F13163" s="76" t="s">
        <v>998</v>
      </c>
      <c r="G13163" s="83">
        <v>46122.0</v>
      </c>
      <c r="H13163" s="76" t="s">
        <v>969</v>
      </c>
    </row>
    <row r="13164">
      <c r="A13164" s="76" t="s">
        <v>43</v>
      </c>
      <c r="B13164" s="76" t="s">
        <v>1039</v>
      </c>
      <c r="C13164" s="84">
        <v>0.28</v>
      </c>
      <c r="D13164" s="84">
        <v>0.0</v>
      </c>
      <c r="E13164" s="84">
        <v>0.0</v>
      </c>
      <c r="F13164" s="76" t="s">
        <v>998</v>
      </c>
      <c r="G13164" s="83">
        <v>46122.0</v>
      </c>
      <c r="H13164" s="76" t="s">
        <v>963</v>
      </c>
    </row>
    <row r="13165">
      <c r="A13165" s="76" t="s">
        <v>43</v>
      </c>
      <c r="B13165" s="76" t="s">
        <v>1039</v>
      </c>
      <c r="C13165" s="84">
        <v>0.9</v>
      </c>
      <c r="D13165" s="84">
        <v>0.0</v>
      </c>
      <c r="E13165" s="84">
        <v>0.0</v>
      </c>
      <c r="F13165" s="76" t="s">
        <v>998</v>
      </c>
      <c r="G13165" s="83">
        <v>46122.0</v>
      </c>
      <c r="H13165" s="76" t="s">
        <v>964</v>
      </c>
    </row>
    <row r="13166">
      <c r="A13166" s="76" t="s">
        <v>43</v>
      </c>
      <c r="B13166" s="76" t="s">
        <v>1039</v>
      </c>
      <c r="C13166" s="84">
        <v>0.89</v>
      </c>
      <c r="D13166" s="84">
        <v>0.0</v>
      </c>
      <c r="E13166" s="84">
        <v>0.0</v>
      </c>
      <c r="F13166" s="76" t="s">
        <v>998</v>
      </c>
      <c r="G13166" s="83">
        <v>46122.0</v>
      </c>
      <c r="H13166" s="76" t="s">
        <v>965</v>
      </c>
    </row>
    <row r="13167">
      <c r="A13167" s="76" t="s">
        <v>970</v>
      </c>
      <c r="B13167" s="76" t="s">
        <v>1039</v>
      </c>
      <c r="C13167" s="84">
        <v>1.38</v>
      </c>
      <c r="D13167" s="84">
        <v>1.0</v>
      </c>
      <c r="E13167" s="84">
        <v>1.38</v>
      </c>
      <c r="F13167" s="76" t="s">
        <v>998</v>
      </c>
      <c r="G13167" s="83">
        <v>46122.0</v>
      </c>
      <c r="H13167" s="76" t="s">
        <v>971</v>
      </c>
    </row>
    <row r="13168">
      <c r="A13168" s="76" t="s">
        <v>970</v>
      </c>
      <c r="B13168" s="76" t="s">
        <v>1039</v>
      </c>
      <c r="C13168" s="84">
        <v>0.41</v>
      </c>
      <c r="D13168" s="84">
        <v>0.0</v>
      </c>
      <c r="E13168" s="84">
        <v>0.0</v>
      </c>
      <c r="F13168" s="76" t="s">
        <v>998</v>
      </c>
      <c r="G13168" s="83">
        <v>46122.0</v>
      </c>
      <c r="H13168" s="76" t="s">
        <v>972</v>
      </c>
    </row>
    <row r="13169">
      <c r="A13169" s="76" t="s">
        <v>970</v>
      </c>
      <c r="B13169" s="76" t="s">
        <v>1039</v>
      </c>
      <c r="C13169" s="84">
        <v>4.54</v>
      </c>
      <c r="D13169" s="84">
        <v>0.0</v>
      </c>
      <c r="E13169" s="84">
        <v>0.0</v>
      </c>
      <c r="F13169" s="76" t="s">
        <v>998</v>
      </c>
      <c r="G13169" s="83">
        <v>46122.0</v>
      </c>
      <c r="H13169" s="76" t="s">
        <v>973</v>
      </c>
    </row>
    <row r="13170">
      <c r="A13170" s="76" t="s">
        <v>46</v>
      </c>
      <c r="B13170" s="76" t="s">
        <v>1039</v>
      </c>
      <c r="C13170" s="84">
        <v>0.02</v>
      </c>
      <c r="D13170" s="84">
        <v>0.0</v>
      </c>
      <c r="E13170" s="84">
        <v>0.0</v>
      </c>
      <c r="F13170" s="76" t="s">
        <v>997</v>
      </c>
      <c r="G13170" s="83">
        <v>46122.0</v>
      </c>
      <c r="H13170" s="76" t="s">
        <v>960</v>
      </c>
    </row>
    <row r="13171">
      <c r="A13171" s="76" t="s">
        <v>46</v>
      </c>
      <c r="B13171" s="76" t="s">
        <v>1039</v>
      </c>
      <c r="C13171" s="84">
        <v>0.02</v>
      </c>
      <c r="D13171" s="84">
        <v>0.0</v>
      </c>
      <c r="E13171" s="84">
        <v>0.0</v>
      </c>
      <c r="F13171" s="76" t="s">
        <v>997</v>
      </c>
      <c r="G13171" s="83">
        <v>46122.0</v>
      </c>
      <c r="H13171" s="76" t="s">
        <v>961</v>
      </c>
    </row>
    <row r="13172">
      <c r="A13172" s="76" t="s">
        <v>46</v>
      </c>
      <c r="B13172" s="76" t="s">
        <v>1039</v>
      </c>
      <c r="C13172" s="84">
        <v>0.03</v>
      </c>
      <c r="D13172" s="84">
        <v>0.0</v>
      </c>
      <c r="E13172" s="84">
        <v>0.0</v>
      </c>
      <c r="F13172" s="76" t="s">
        <v>997</v>
      </c>
      <c r="G13172" s="83">
        <v>46122.0</v>
      </c>
      <c r="H13172" s="76" t="s">
        <v>962</v>
      </c>
    </row>
    <row r="13173">
      <c r="A13173" s="76" t="s">
        <v>34</v>
      </c>
      <c r="B13173" s="76" t="s">
        <v>1039</v>
      </c>
      <c r="C13173" s="84">
        <v>0.12</v>
      </c>
      <c r="D13173" s="84">
        <v>0.0</v>
      </c>
      <c r="E13173" s="84">
        <v>0.0</v>
      </c>
      <c r="F13173" s="76" t="s">
        <v>997</v>
      </c>
      <c r="G13173" s="83">
        <v>46122.0</v>
      </c>
      <c r="H13173" s="76" t="s">
        <v>951</v>
      </c>
    </row>
    <row r="13174">
      <c r="A13174" s="76" t="s">
        <v>34</v>
      </c>
      <c r="B13174" s="76" t="s">
        <v>1039</v>
      </c>
      <c r="C13174" s="84">
        <v>0.12</v>
      </c>
      <c r="D13174" s="84">
        <v>0.0</v>
      </c>
      <c r="E13174" s="84">
        <v>0.0</v>
      </c>
      <c r="F13174" s="76" t="s">
        <v>997</v>
      </c>
      <c r="G13174" s="83">
        <v>46122.0</v>
      </c>
      <c r="H13174" s="76" t="s">
        <v>952</v>
      </c>
    </row>
    <row r="13175">
      <c r="A13175" s="76" t="s">
        <v>34</v>
      </c>
      <c r="B13175" s="76" t="s">
        <v>1039</v>
      </c>
      <c r="C13175" s="84">
        <v>0.01</v>
      </c>
      <c r="D13175" s="84">
        <v>0.0</v>
      </c>
      <c r="E13175" s="84">
        <v>0.0</v>
      </c>
      <c r="F13175" s="76" t="s">
        <v>997</v>
      </c>
      <c r="G13175" s="83">
        <v>46122.0</v>
      </c>
      <c r="H13175" s="76" t="s">
        <v>953</v>
      </c>
    </row>
    <row r="13176">
      <c r="A13176" s="76" t="s">
        <v>40</v>
      </c>
      <c r="B13176" s="76" t="s">
        <v>1039</v>
      </c>
      <c r="C13176" s="84">
        <v>0.03</v>
      </c>
      <c r="D13176" s="84">
        <v>0.0</v>
      </c>
      <c r="E13176" s="84">
        <v>0.0</v>
      </c>
      <c r="F13176" s="76" t="s">
        <v>997</v>
      </c>
      <c r="G13176" s="83">
        <v>46122.0</v>
      </c>
      <c r="H13176" s="76" t="s">
        <v>954</v>
      </c>
    </row>
    <row r="13177">
      <c r="A13177" s="76" t="s">
        <v>40</v>
      </c>
      <c r="B13177" s="76" t="s">
        <v>1039</v>
      </c>
      <c r="C13177" s="84">
        <v>0.02</v>
      </c>
      <c r="D13177" s="84">
        <v>0.0</v>
      </c>
      <c r="E13177" s="84">
        <v>0.0</v>
      </c>
      <c r="F13177" s="76" t="s">
        <v>997</v>
      </c>
      <c r="G13177" s="83">
        <v>46122.0</v>
      </c>
      <c r="H13177" s="76" t="s">
        <v>955</v>
      </c>
    </row>
    <row r="13178">
      <c r="A13178" s="76" t="s">
        <v>40</v>
      </c>
      <c r="B13178" s="76" t="s">
        <v>1039</v>
      </c>
      <c r="C13178" s="84">
        <v>0.5</v>
      </c>
      <c r="D13178" s="84">
        <v>0.0</v>
      </c>
      <c r="E13178" s="84">
        <v>0.0</v>
      </c>
      <c r="F13178" s="76" t="s">
        <v>997</v>
      </c>
      <c r="G13178" s="83">
        <v>46122.0</v>
      </c>
      <c r="H13178" s="76" t="s">
        <v>956</v>
      </c>
    </row>
    <row r="13179">
      <c r="A13179" s="76" t="s">
        <v>36</v>
      </c>
      <c r="B13179" s="76" t="s">
        <v>1039</v>
      </c>
      <c r="C13179" s="84">
        <v>0.19</v>
      </c>
      <c r="D13179" s="84">
        <v>0.0</v>
      </c>
      <c r="E13179" s="84">
        <v>0.0</v>
      </c>
      <c r="F13179" s="76" t="s">
        <v>997</v>
      </c>
      <c r="G13179" s="83">
        <v>46122.0</v>
      </c>
      <c r="H13179" s="76" t="s">
        <v>926</v>
      </c>
    </row>
    <row r="13180">
      <c r="A13180" s="76" t="s">
        <v>36</v>
      </c>
      <c r="B13180" s="76" t="s">
        <v>1039</v>
      </c>
      <c r="C13180" s="84">
        <v>0.01</v>
      </c>
      <c r="D13180" s="84">
        <v>0.0</v>
      </c>
      <c r="E13180" s="84">
        <v>0.0</v>
      </c>
      <c r="F13180" s="76" t="s">
        <v>997</v>
      </c>
      <c r="G13180" s="83">
        <v>46122.0</v>
      </c>
      <c r="H13180" s="76" t="s">
        <v>927</v>
      </c>
    </row>
    <row r="13181">
      <c r="A13181" s="76" t="s">
        <v>36</v>
      </c>
      <c r="B13181" s="76" t="s">
        <v>1039</v>
      </c>
      <c r="C13181" s="84">
        <v>0.17</v>
      </c>
      <c r="D13181" s="84">
        <v>0.0</v>
      </c>
      <c r="E13181" s="84">
        <v>0.0</v>
      </c>
      <c r="F13181" s="76" t="s">
        <v>997</v>
      </c>
      <c r="G13181" s="83">
        <v>46122.0</v>
      </c>
      <c r="H13181" s="76" t="s">
        <v>928</v>
      </c>
    </row>
    <row r="13182">
      <c r="A13182" s="76" t="s">
        <v>970</v>
      </c>
      <c r="B13182" s="76" t="s">
        <v>1039</v>
      </c>
      <c r="C13182" s="84">
        <v>0.36</v>
      </c>
      <c r="D13182" s="84">
        <v>0.0</v>
      </c>
      <c r="E13182" s="84">
        <v>0.0</v>
      </c>
      <c r="F13182" s="76" t="s">
        <v>997</v>
      </c>
      <c r="G13182" s="83">
        <v>46122.0</v>
      </c>
      <c r="H13182" s="76" t="s">
        <v>971</v>
      </c>
    </row>
    <row r="13183">
      <c r="A13183" s="76" t="s">
        <v>970</v>
      </c>
      <c r="B13183" s="76" t="s">
        <v>1039</v>
      </c>
      <c r="C13183" s="84">
        <v>0.07</v>
      </c>
      <c r="D13183" s="84">
        <v>0.0</v>
      </c>
      <c r="E13183" s="84">
        <v>0.0</v>
      </c>
      <c r="F13183" s="76" t="s">
        <v>997</v>
      </c>
      <c r="G13183" s="83">
        <v>46122.0</v>
      </c>
      <c r="H13183" s="76" t="s">
        <v>972</v>
      </c>
    </row>
    <row r="13184">
      <c r="A13184" s="76" t="s">
        <v>970</v>
      </c>
      <c r="B13184" s="76" t="s">
        <v>1039</v>
      </c>
      <c r="C13184" s="84">
        <v>0.36</v>
      </c>
      <c r="D13184" s="84">
        <v>0.0</v>
      </c>
      <c r="E13184" s="84">
        <v>0.0</v>
      </c>
      <c r="F13184" s="76" t="s">
        <v>997</v>
      </c>
      <c r="G13184" s="83">
        <v>46122.0</v>
      </c>
      <c r="H13184" s="76" t="s">
        <v>973</v>
      </c>
    </row>
    <row r="13185">
      <c r="A13185" s="76" t="s">
        <v>33</v>
      </c>
      <c r="B13185" s="76" t="s">
        <v>1039</v>
      </c>
      <c r="C13185" s="84">
        <v>0.72</v>
      </c>
      <c r="D13185" s="84">
        <v>0.0</v>
      </c>
      <c r="E13185" s="84">
        <v>0.0</v>
      </c>
      <c r="F13185" s="76" t="s">
        <v>997</v>
      </c>
      <c r="G13185" s="83">
        <v>46122.0</v>
      </c>
      <c r="H13185" s="76" t="s">
        <v>957</v>
      </c>
    </row>
    <row r="13186">
      <c r="A13186" s="76" t="s">
        <v>33</v>
      </c>
      <c r="B13186" s="76" t="s">
        <v>1039</v>
      </c>
      <c r="C13186" s="84">
        <v>0.03</v>
      </c>
      <c r="D13186" s="84">
        <v>0.0</v>
      </c>
      <c r="E13186" s="84">
        <v>0.0</v>
      </c>
      <c r="F13186" s="76" t="s">
        <v>997</v>
      </c>
      <c r="G13186" s="83">
        <v>46122.0</v>
      </c>
      <c r="H13186" s="76" t="s">
        <v>958</v>
      </c>
    </row>
    <row r="13187">
      <c r="A13187" s="76" t="s">
        <v>33</v>
      </c>
      <c r="B13187" s="76" t="s">
        <v>1039</v>
      </c>
      <c r="C13187" s="84">
        <v>0.13</v>
      </c>
      <c r="D13187" s="84">
        <v>0.0</v>
      </c>
      <c r="E13187" s="84">
        <v>0.0</v>
      </c>
      <c r="F13187" s="76" t="s">
        <v>997</v>
      </c>
      <c r="G13187" s="83">
        <v>46122.0</v>
      </c>
      <c r="H13187" s="76" t="s">
        <v>959</v>
      </c>
    </row>
    <row r="13188">
      <c r="A13188" s="76" t="s">
        <v>29</v>
      </c>
      <c r="B13188" s="76" t="s">
        <v>1039</v>
      </c>
      <c r="C13188" s="84">
        <v>0.35</v>
      </c>
      <c r="D13188" s="84">
        <v>0.0</v>
      </c>
      <c r="E13188" s="84">
        <v>0.0</v>
      </c>
      <c r="F13188" s="76" t="s">
        <v>997</v>
      </c>
      <c r="G13188" s="83">
        <v>46122.0</v>
      </c>
      <c r="H13188" s="76" t="s">
        <v>971</v>
      </c>
    </row>
    <row r="13189">
      <c r="A13189" s="76" t="s">
        <v>29</v>
      </c>
      <c r="B13189" s="76" t="s">
        <v>1039</v>
      </c>
      <c r="C13189" s="84">
        <v>0.05</v>
      </c>
      <c r="D13189" s="84">
        <v>0.0</v>
      </c>
      <c r="E13189" s="84">
        <v>0.0</v>
      </c>
      <c r="F13189" s="76" t="s">
        <v>997</v>
      </c>
      <c r="G13189" s="83">
        <v>46122.0</v>
      </c>
      <c r="H13189" s="76" t="s">
        <v>972</v>
      </c>
    </row>
    <row r="13190">
      <c r="A13190" s="76" t="s">
        <v>29</v>
      </c>
      <c r="B13190" s="76" t="s">
        <v>1039</v>
      </c>
      <c r="C13190" s="84">
        <v>0.29</v>
      </c>
      <c r="D13190" s="84">
        <v>0.0</v>
      </c>
      <c r="E13190" s="84">
        <v>0.0</v>
      </c>
      <c r="F13190" s="76" t="s">
        <v>997</v>
      </c>
      <c r="G13190" s="83">
        <v>46122.0</v>
      </c>
      <c r="H13190" s="76" t="s">
        <v>973</v>
      </c>
    </row>
    <row r="13191">
      <c r="A13191" s="76" t="s">
        <v>43</v>
      </c>
      <c r="B13191" s="76" t="s">
        <v>1039</v>
      </c>
      <c r="C13191" s="84">
        <v>0.01</v>
      </c>
      <c r="D13191" s="84">
        <v>0.0</v>
      </c>
      <c r="E13191" s="84">
        <v>0.0</v>
      </c>
      <c r="F13191" s="76" t="s">
        <v>997</v>
      </c>
      <c r="G13191" s="83">
        <v>46122.0</v>
      </c>
      <c r="H13191" s="76" t="s">
        <v>963</v>
      </c>
    </row>
    <row r="13192">
      <c r="A13192" s="76" t="s">
        <v>43</v>
      </c>
      <c r="B13192" s="76" t="s">
        <v>1039</v>
      </c>
      <c r="C13192" s="84">
        <v>0.07</v>
      </c>
      <c r="D13192" s="84">
        <v>0.0</v>
      </c>
      <c r="E13192" s="84">
        <v>0.0</v>
      </c>
      <c r="F13192" s="76" t="s">
        <v>997</v>
      </c>
      <c r="G13192" s="83">
        <v>46122.0</v>
      </c>
      <c r="H13192" s="76" t="s">
        <v>964</v>
      </c>
    </row>
    <row r="13193">
      <c r="A13193" s="76" t="s">
        <v>43</v>
      </c>
      <c r="B13193" s="76" t="s">
        <v>1039</v>
      </c>
      <c r="C13193" s="84">
        <v>0.01</v>
      </c>
      <c r="D13193" s="84">
        <v>0.0</v>
      </c>
      <c r="E13193" s="84">
        <v>0.0</v>
      </c>
      <c r="F13193" s="76" t="s">
        <v>997</v>
      </c>
      <c r="G13193" s="83">
        <v>46122.0</v>
      </c>
      <c r="H13193" s="76" t="s">
        <v>965</v>
      </c>
    </row>
    <row r="13194">
      <c r="A13194" s="76" t="s">
        <v>966</v>
      </c>
      <c r="B13194" s="76" t="s">
        <v>1039</v>
      </c>
      <c r="C13194" s="84">
        <v>0.09</v>
      </c>
      <c r="D13194" s="84">
        <v>0.0</v>
      </c>
      <c r="E13194" s="84">
        <v>0.0</v>
      </c>
      <c r="F13194" s="76" t="s">
        <v>997</v>
      </c>
      <c r="G13194" s="83">
        <v>46122.0</v>
      </c>
      <c r="H13194" s="76" t="s">
        <v>967</v>
      </c>
    </row>
    <row r="13195">
      <c r="A13195" s="76" t="s">
        <v>966</v>
      </c>
      <c r="B13195" s="76" t="s">
        <v>1039</v>
      </c>
      <c r="C13195" s="84">
        <v>0.03</v>
      </c>
      <c r="D13195" s="84">
        <v>0.0</v>
      </c>
      <c r="E13195" s="84">
        <v>0.0</v>
      </c>
      <c r="F13195" s="76" t="s">
        <v>997</v>
      </c>
      <c r="G13195" s="83">
        <v>46122.0</v>
      </c>
      <c r="H13195" s="76" t="s">
        <v>968</v>
      </c>
    </row>
    <row r="13196">
      <c r="A13196" s="76" t="s">
        <v>966</v>
      </c>
      <c r="B13196" s="76" t="s">
        <v>1039</v>
      </c>
      <c r="C13196" s="84">
        <v>0.07</v>
      </c>
      <c r="D13196" s="84">
        <v>0.0</v>
      </c>
      <c r="E13196" s="84">
        <v>0.0</v>
      </c>
      <c r="F13196" s="76" t="s">
        <v>997</v>
      </c>
      <c r="G13196" s="83">
        <v>46122.0</v>
      </c>
      <c r="H13196" s="76" t="s">
        <v>969</v>
      </c>
    </row>
    <row r="13197">
      <c r="A13197" s="76" t="s">
        <v>40</v>
      </c>
      <c r="B13197" s="76" t="s">
        <v>1041</v>
      </c>
      <c r="C13197" s="84">
        <v>10.83</v>
      </c>
      <c r="D13197" s="84">
        <v>1.0</v>
      </c>
      <c r="E13197" s="84">
        <v>10.83</v>
      </c>
      <c r="F13197" s="76" t="s">
        <v>1005</v>
      </c>
      <c r="G13197" s="83">
        <v>46122.0</v>
      </c>
      <c r="H13197" s="76" t="s">
        <v>954</v>
      </c>
    </row>
    <row r="13198">
      <c r="A13198" s="76" t="s">
        <v>40</v>
      </c>
      <c r="B13198" s="76" t="s">
        <v>1041</v>
      </c>
      <c r="C13198" s="84">
        <v>6.17</v>
      </c>
      <c r="D13198" s="84">
        <v>3.0</v>
      </c>
      <c r="E13198" s="84">
        <v>2.06</v>
      </c>
      <c r="F13198" s="76" t="s">
        <v>1005</v>
      </c>
      <c r="G13198" s="83">
        <v>46122.0</v>
      </c>
      <c r="H13198" s="76" t="s">
        <v>955</v>
      </c>
    </row>
    <row r="13199">
      <c r="A13199" s="76" t="s">
        <v>40</v>
      </c>
      <c r="B13199" s="76" t="s">
        <v>1041</v>
      </c>
      <c r="C13199" s="84">
        <v>68.04</v>
      </c>
      <c r="D13199" s="84">
        <v>10.0</v>
      </c>
      <c r="E13199" s="84">
        <v>6.8</v>
      </c>
      <c r="F13199" s="76" t="s">
        <v>1005</v>
      </c>
      <c r="G13199" s="83">
        <v>46122.0</v>
      </c>
      <c r="H13199" s="76" t="s">
        <v>956</v>
      </c>
    </row>
    <row r="13200">
      <c r="A13200" s="76" t="s">
        <v>36</v>
      </c>
      <c r="B13200" s="76" t="s">
        <v>1041</v>
      </c>
      <c r="C13200" s="84">
        <v>17.99</v>
      </c>
      <c r="D13200" s="84">
        <v>7.0</v>
      </c>
      <c r="E13200" s="84">
        <v>2.57</v>
      </c>
      <c r="F13200" s="76" t="s">
        <v>1005</v>
      </c>
      <c r="G13200" s="83">
        <v>46122.0</v>
      </c>
      <c r="H13200" s="76" t="s">
        <v>926</v>
      </c>
    </row>
    <row r="13201">
      <c r="A13201" s="76" t="s">
        <v>36</v>
      </c>
      <c r="B13201" s="76" t="s">
        <v>1041</v>
      </c>
      <c r="C13201" s="84">
        <v>6.05</v>
      </c>
      <c r="D13201" s="84">
        <v>2.0</v>
      </c>
      <c r="E13201" s="84">
        <v>3.02</v>
      </c>
      <c r="F13201" s="76" t="s">
        <v>1005</v>
      </c>
      <c r="G13201" s="83">
        <v>46122.0</v>
      </c>
      <c r="H13201" s="76" t="s">
        <v>927</v>
      </c>
    </row>
    <row r="13202">
      <c r="A13202" s="76" t="s">
        <v>36</v>
      </c>
      <c r="B13202" s="76" t="s">
        <v>1041</v>
      </c>
      <c r="C13202" s="84">
        <v>14.63</v>
      </c>
      <c r="D13202" s="84">
        <v>4.0</v>
      </c>
      <c r="E13202" s="84">
        <v>3.66</v>
      </c>
      <c r="F13202" s="76" t="s">
        <v>1005</v>
      </c>
      <c r="G13202" s="83">
        <v>46122.0</v>
      </c>
      <c r="H13202" s="76" t="s">
        <v>928</v>
      </c>
    </row>
    <row r="13203">
      <c r="A13203" s="76" t="s">
        <v>46</v>
      </c>
      <c r="B13203" s="76" t="s">
        <v>1041</v>
      </c>
      <c r="C13203" s="84">
        <v>4.63</v>
      </c>
      <c r="D13203" s="84">
        <v>0.0</v>
      </c>
      <c r="E13203" s="84">
        <v>0.0</v>
      </c>
      <c r="F13203" s="76" t="s">
        <v>1005</v>
      </c>
      <c r="G13203" s="83">
        <v>46122.0</v>
      </c>
      <c r="H13203" s="76" t="s">
        <v>960</v>
      </c>
    </row>
    <row r="13204">
      <c r="A13204" s="76" t="s">
        <v>46</v>
      </c>
      <c r="B13204" s="76" t="s">
        <v>1041</v>
      </c>
      <c r="C13204" s="84">
        <v>6.74</v>
      </c>
      <c r="D13204" s="84">
        <v>2.0</v>
      </c>
      <c r="E13204" s="84">
        <v>3.37</v>
      </c>
      <c r="F13204" s="76" t="s">
        <v>1005</v>
      </c>
      <c r="G13204" s="83">
        <v>46122.0</v>
      </c>
      <c r="H13204" s="76" t="s">
        <v>961</v>
      </c>
    </row>
    <row r="13205">
      <c r="A13205" s="76" t="s">
        <v>46</v>
      </c>
      <c r="B13205" s="76" t="s">
        <v>1041</v>
      </c>
      <c r="C13205" s="84">
        <v>9.39</v>
      </c>
      <c r="D13205" s="84">
        <v>1.0</v>
      </c>
      <c r="E13205" s="84">
        <v>9.39</v>
      </c>
      <c r="F13205" s="76" t="s">
        <v>1005</v>
      </c>
      <c r="G13205" s="83">
        <v>46122.0</v>
      </c>
      <c r="H13205" s="76" t="s">
        <v>962</v>
      </c>
    </row>
    <row r="13206">
      <c r="A13206" s="76" t="s">
        <v>970</v>
      </c>
      <c r="B13206" s="76" t="s">
        <v>1041</v>
      </c>
      <c r="C13206" s="84">
        <v>38.59</v>
      </c>
      <c r="D13206" s="84">
        <v>2.0</v>
      </c>
      <c r="E13206" s="84">
        <v>19.3</v>
      </c>
      <c r="F13206" s="76" t="s">
        <v>1005</v>
      </c>
      <c r="G13206" s="83">
        <v>46122.0</v>
      </c>
      <c r="H13206" s="76" t="s">
        <v>971</v>
      </c>
    </row>
    <row r="13207">
      <c r="A13207" s="76" t="s">
        <v>970</v>
      </c>
      <c r="B13207" s="76" t="s">
        <v>1041</v>
      </c>
      <c r="C13207" s="84">
        <v>4.81</v>
      </c>
      <c r="D13207" s="84">
        <v>1.0</v>
      </c>
      <c r="E13207" s="84">
        <v>4.81</v>
      </c>
      <c r="F13207" s="76" t="s">
        <v>1005</v>
      </c>
      <c r="G13207" s="83">
        <v>46122.0</v>
      </c>
      <c r="H13207" s="76" t="s">
        <v>972</v>
      </c>
    </row>
    <row r="13208">
      <c r="A13208" s="76" t="s">
        <v>970</v>
      </c>
      <c r="B13208" s="76" t="s">
        <v>1041</v>
      </c>
      <c r="C13208" s="84">
        <v>39.81</v>
      </c>
      <c r="D13208" s="84">
        <v>5.0</v>
      </c>
      <c r="E13208" s="84">
        <v>7.96</v>
      </c>
      <c r="F13208" s="76" t="s">
        <v>1005</v>
      </c>
      <c r="G13208" s="83">
        <v>46122.0</v>
      </c>
      <c r="H13208" s="76" t="s">
        <v>973</v>
      </c>
    </row>
    <row r="13209">
      <c r="A13209" s="76" t="s">
        <v>29</v>
      </c>
      <c r="B13209" s="76" t="s">
        <v>1041</v>
      </c>
      <c r="C13209" s="84">
        <v>41.53</v>
      </c>
      <c r="D13209" s="84">
        <v>5.0</v>
      </c>
      <c r="E13209" s="84">
        <v>8.31</v>
      </c>
      <c r="F13209" s="76" t="s">
        <v>1005</v>
      </c>
      <c r="G13209" s="83">
        <v>46122.0</v>
      </c>
      <c r="H13209" s="76" t="s">
        <v>1015</v>
      </c>
    </row>
    <row r="13210">
      <c r="A13210" s="76" t="s">
        <v>29</v>
      </c>
      <c r="B13210" s="76" t="s">
        <v>1041</v>
      </c>
      <c r="C13210" s="84">
        <v>11.62</v>
      </c>
      <c r="D13210" s="84">
        <v>4.0</v>
      </c>
      <c r="E13210" s="84">
        <v>2.91</v>
      </c>
      <c r="F13210" s="76" t="s">
        <v>1005</v>
      </c>
      <c r="G13210" s="83">
        <v>46122.0</v>
      </c>
      <c r="H13210" s="76" t="s">
        <v>1016</v>
      </c>
    </row>
    <row r="13211">
      <c r="A13211" s="76" t="s">
        <v>29</v>
      </c>
      <c r="B13211" s="76" t="s">
        <v>1041</v>
      </c>
      <c r="C13211" s="84">
        <v>9.08</v>
      </c>
      <c r="D13211" s="84">
        <v>3.0</v>
      </c>
      <c r="E13211" s="84">
        <v>3.03</v>
      </c>
      <c r="F13211" s="76" t="s">
        <v>1005</v>
      </c>
      <c r="G13211" s="83">
        <v>46122.0</v>
      </c>
      <c r="H13211" s="76" t="s">
        <v>1017</v>
      </c>
    </row>
    <row r="13212">
      <c r="A13212" s="76" t="s">
        <v>34</v>
      </c>
      <c r="B13212" s="76" t="s">
        <v>1041</v>
      </c>
      <c r="C13212" s="84">
        <v>10.27</v>
      </c>
      <c r="D13212" s="84">
        <v>5.0</v>
      </c>
      <c r="E13212" s="84">
        <v>2.05</v>
      </c>
      <c r="F13212" s="76" t="s">
        <v>1005</v>
      </c>
      <c r="G13212" s="83">
        <v>46122.0</v>
      </c>
      <c r="H13212" s="76" t="s">
        <v>951</v>
      </c>
    </row>
    <row r="13213">
      <c r="A13213" s="76" t="s">
        <v>34</v>
      </c>
      <c r="B13213" s="76" t="s">
        <v>1041</v>
      </c>
      <c r="C13213" s="84">
        <v>14.26</v>
      </c>
      <c r="D13213" s="84">
        <v>4.0</v>
      </c>
      <c r="E13213" s="84">
        <v>3.56</v>
      </c>
      <c r="F13213" s="76" t="s">
        <v>1005</v>
      </c>
      <c r="G13213" s="83">
        <v>46122.0</v>
      </c>
      <c r="H13213" s="76" t="s">
        <v>952</v>
      </c>
    </row>
    <row r="13214">
      <c r="A13214" s="76" t="s">
        <v>34</v>
      </c>
      <c r="B13214" s="76" t="s">
        <v>1041</v>
      </c>
      <c r="C13214" s="84">
        <v>1.84</v>
      </c>
      <c r="D13214" s="84">
        <v>1.0</v>
      </c>
      <c r="E13214" s="84">
        <v>1.84</v>
      </c>
      <c r="F13214" s="76" t="s">
        <v>1005</v>
      </c>
      <c r="G13214" s="83">
        <v>46122.0</v>
      </c>
      <c r="H13214" s="76" t="s">
        <v>953</v>
      </c>
    </row>
    <row r="13215">
      <c r="A13215" s="76" t="s">
        <v>33</v>
      </c>
      <c r="B13215" s="76" t="s">
        <v>1041</v>
      </c>
      <c r="C13215" s="84">
        <v>855.29</v>
      </c>
      <c r="D13215" s="84">
        <v>169.0</v>
      </c>
      <c r="E13215" s="84">
        <v>5.06</v>
      </c>
      <c r="F13215" s="76" t="s">
        <v>1005</v>
      </c>
      <c r="G13215" s="83">
        <v>46122.0</v>
      </c>
      <c r="H13215" s="76" t="s">
        <v>957</v>
      </c>
    </row>
    <row r="13216">
      <c r="A13216" s="76" t="s">
        <v>33</v>
      </c>
      <c r="B13216" s="76" t="s">
        <v>1041</v>
      </c>
      <c r="C13216" s="84">
        <v>16.86</v>
      </c>
      <c r="D13216" s="84">
        <v>4.0</v>
      </c>
      <c r="E13216" s="84">
        <v>4.22</v>
      </c>
      <c r="F13216" s="76" t="s">
        <v>1005</v>
      </c>
      <c r="G13216" s="83">
        <v>46122.0</v>
      </c>
      <c r="H13216" s="76" t="s">
        <v>958</v>
      </c>
    </row>
    <row r="13217">
      <c r="A13217" s="76" t="s">
        <v>33</v>
      </c>
      <c r="B13217" s="76" t="s">
        <v>1041</v>
      </c>
      <c r="C13217" s="84">
        <v>69.36</v>
      </c>
      <c r="D13217" s="84">
        <v>10.0</v>
      </c>
      <c r="E13217" s="84">
        <v>6.94</v>
      </c>
      <c r="F13217" s="76" t="s">
        <v>1005</v>
      </c>
      <c r="G13217" s="83">
        <v>46122.0</v>
      </c>
      <c r="H13217" s="76" t="s">
        <v>959</v>
      </c>
    </row>
    <row r="13218">
      <c r="A13218" s="76" t="s">
        <v>43</v>
      </c>
      <c r="B13218" s="76" t="s">
        <v>1041</v>
      </c>
      <c r="C13218" s="84">
        <v>2.97</v>
      </c>
      <c r="D13218" s="84">
        <v>1.0</v>
      </c>
      <c r="E13218" s="84">
        <v>2.97</v>
      </c>
      <c r="F13218" s="76" t="s">
        <v>1005</v>
      </c>
      <c r="G13218" s="83">
        <v>46122.0</v>
      </c>
      <c r="H13218" s="76" t="s">
        <v>963</v>
      </c>
    </row>
    <row r="13219">
      <c r="A13219" s="76" t="s">
        <v>43</v>
      </c>
      <c r="B13219" s="76" t="s">
        <v>1041</v>
      </c>
      <c r="C13219" s="84">
        <v>10.57</v>
      </c>
      <c r="D13219" s="84">
        <v>0.0</v>
      </c>
      <c r="E13219" s="84">
        <v>0.0</v>
      </c>
      <c r="F13219" s="76" t="s">
        <v>1005</v>
      </c>
      <c r="G13219" s="83">
        <v>46122.0</v>
      </c>
      <c r="H13219" s="76" t="s">
        <v>964</v>
      </c>
    </row>
    <row r="13220">
      <c r="A13220" s="76" t="s">
        <v>43</v>
      </c>
      <c r="B13220" s="76" t="s">
        <v>1041</v>
      </c>
      <c r="C13220" s="84">
        <v>5.2</v>
      </c>
      <c r="D13220" s="84">
        <v>0.0</v>
      </c>
      <c r="E13220" s="84">
        <v>0.0</v>
      </c>
      <c r="F13220" s="76" t="s">
        <v>1005</v>
      </c>
      <c r="G13220" s="83">
        <v>46122.0</v>
      </c>
      <c r="H13220" s="76" t="s">
        <v>965</v>
      </c>
    </row>
    <row r="13221">
      <c r="A13221" s="76" t="s">
        <v>966</v>
      </c>
      <c r="B13221" s="76" t="s">
        <v>1041</v>
      </c>
      <c r="C13221" s="84">
        <v>8.14</v>
      </c>
      <c r="D13221" s="84">
        <v>1.0</v>
      </c>
      <c r="E13221" s="84">
        <v>8.14</v>
      </c>
      <c r="F13221" s="76" t="s">
        <v>1005</v>
      </c>
      <c r="G13221" s="83">
        <v>46122.0</v>
      </c>
      <c r="H13221" s="76" t="s">
        <v>967</v>
      </c>
    </row>
    <row r="13222">
      <c r="A13222" s="76" t="s">
        <v>966</v>
      </c>
      <c r="B13222" s="76" t="s">
        <v>1041</v>
      </c>
      <c r="C13222" s="84">
        <v>4.5</v>
      </c>
      <c r="D13222" s="84">
        <v>1.0</v>
      </c>
      <c r="E13222" s="84">
        <v>4.5</v>
      </c>
      <c r="F13222" s="76" t="s">
        <v>1005</v>
      </c>
      <c r="G13222" s="83">
        <v>46122.0</v>
      </c>
      <c r="H13222" s="76" t="s">
        <v>968</v>
      </c>
    </row>
    <row r="13223">
      <c r="A13223" s="76" t="s">
        <v>966</v>
      </c>
      <c r="B13223" s="76" t="s">
        <v>1041</v>
      </c>
      <c r="C13223" s="84">
        <v>17.54</v>
      </c>
      <c r="D13223" s="84">
        <v>7.0</v>
      </c>
      <c r="E13223" s="84">
        <v>2.51</v>
      </c>
      <c r="F13223" s="76" t="s">
        <v>1005</v>
      </c>
      <c r="G13223" s="83">
        <v>46122.0</v>
      </c>
      <c r="H13223" s="76" t="s">
        <v>969</v>
      </c>
    </row>
    <row r="13224">
      <c r="A13224" s="76" t="s">
        <v>970</v>
      </c>
      <c r="B13224" s="76" t="s">
        <v>1041</v>
      </c>
      <c r="C13224" s="84">
        <v>1.97</v>
      </c>
      <c r="D13224" s="84">
        <v>0.0</v>
      </c>
      <c r="E13224" s="84">
        <v>0.0</v>
      </c>
      <c r="F13224" s="76" t="s">
        <v>990</v>
      </c>
      <c r="G13224" s="83">
        <v>46122.0</v>
      </c>
      <c r="H13224" s="76" t="s">
        <v>971</v>
      </c>
    </row>
    <row r="13225">
      <c r="A13225" s="76" t="s">
        <v>970</v>
      </c>
      <c r="B13225" s="76" t="s">
        <v>1041</v>
      </c>
      <c r="C13225" s="84">
        <v>0.53</v>
      </c>
      <c r="D13225" s="84">
        <v>0.0</v>
      </c>
      <c r="E13225" s="84">
        <v>0.0</v>
      </c>
      <c r="F13225" s="76" t="s">
        <v>990</v>
      </c>
      <c r="G13225" s="83">
        <v>46122.0</v>
      </c>
      <c r="H13225" s="76" t="s">
        <v>972</v>
      </c>
    </row>
    <row r="13226">
      <c r="A13226" s="76" t="s">
        <v>970</v>
      </c>
      <c r="B13226" s="76" t="s">
        <v>1041</v>
      </c>
      <c r="C13226" s="84">
        <v>2.69</v>
      </c>
      <c r="D13226" s="84">
        <v>0.0</v>
      </c>
      <c r="E13226" s="84">
        <v>0.0</v>
      </c>
      <c r="F13226" s="76" t="s">
        <v>990</v>
      </c>
      <c r="G13226" s="83">
        <v>46122.0</v>
      </c>
      <c r="H13226" s="76" t="s">
        <v>973</v>
      </c>
    </row>
    <row r="13227">
      <c r="A13227" s="76" t="s">
        <v>29</v>
      </c>
      <c r="B13227" s="76" t="s">
        <v>1041</v>
      </c>
      <c r="C13227" s="84">
        <v>1.4</v>
      </c>
      <c r="D13227" s="84">
        <v>0.0</v>
      </c>
      <c r="E13227" s="84">
        <v>0.0</v>
      </c>
      <c r="F13227" s="76" t="s">
        <v>990</v>
      </c>
      <c r="G13227" s="83">
        <v>46122.0</v>
      </c>
      <c r="H13227" s="76" t="s">
        <v>971</v>
      </c>
    </row>
    <row r="13228">
      <c r="A13228" s="76" t="s">
        <v>29</v>
      </c>
      <c r="B13228" s="76" t="s">
        <v>1041</v>
      </c>
      <c r="C13228" s="84">
        <v>0.3</v>
      </c>
      <c r="D13228" s="84">
        <v>0.0</v>
      </c>
      <c r="E13228" s="84">
        <v>0.0</v>
      </c>
      <c r="F13228" s="76" t="s">
        <v>990</v>
      </c>
      <c r="G13228" s="83">
        <v>46122.0</v>
      </c>
      <c r="H13228" s="76" t="s">
        <v>972</v>
      </c>
    </row>
    <row r="13229">
      <c r="A13229" s="76" t="s">
        <v>29</v>
      </c>
      <c r="B13229" s="76" t="s">
        <v>1041</v>
      </c>
      <c r="C13229" s="84">
        <v>1.69</v>
      </c>
      <c r="D13229" s="84">
        <v>1.0</v>
      </c>
      <c r="E13229" s="84">
        <v>1.69</v>
      </c>
      <c r="F13229" s="76" t="s">
        <v>990</v>
      </c>
      <c r="G13229" s="83">
        <v>46122.0</v>
      </c>
      <c r="H13229" s="76" t="s">
        <v>973</v>
      </c>
    </row>
    <row r="13230">
      <c r="A13230" s="76" t="s">
        <v>46</v>
      </c>
      <c r="B13230" s="76" t="s">
        <v>1041</v>
      </c>
      <c r="C13230" s="84">
        <v>0.72</v>
      </c>
      <c r="D13230" s="84">
        <v>0.0</v>
      </c>
      <c r="E13230" s="84">
        <v>0.0</v>
      </c>
      <c r="F13230" s="76" t="s">
        <v>990</v>
      </c>
      <c r="G13230" s="83">
        <v>46122.0</v>
      </c>
      <c r="H13230" s="76" t="s">
        <v>960</v>
      </c>
    </row>
    <row r="13231">
      <c r="A13231" s="76" t="s">
        <v>46</v>
      </c>
      <c r="B13231" s="76" t="s">
        <v>1041</v>
      </c>
      <c r="C13231" s="84">
        <v>0.5</v>
      </c>
      <c r="D13231" s="84">
        <v>0.0</v>
      </c>
      <c r="E13231" s="84">
        <v>0.0</v>
      </c>
      <c r="F13231" s="76" t="s">
        <v>990</v>
      </c>
      <c r="G13231" s="83">
        <v>46122.0</v>
      </c>
      <c r="H13231" s="76" t="s">
        <v>961</v>
      </c>
    </row>
    <row r="13232">
      <c r="A13232" s="76" t="s">
        <v>46</v>
      </c>
      <c r="B13232" s="76" t="s">
        <v>1041</v>
      </c>
      <c r="C13232" s="84">
        <v>1.58</v>
      </c>
      <c r="D13232" s="84">
        <v>1.0</v>
      </c>
      <c r="E13232" s="84">
        <v>1.58</v>
      </c>
      <c r="F13232" s="76" t="s">
        <v>990</v>
      </c>
      <c r="G13232" s="83">
        <v>46122.0</v>
      </c>
      <c r="H13232" s="76" t="s">
        <v>962</v>
      </c>
    </row>
    <row r="13233">
      <c r="A13233" s="76" t="s">
        <v>36</v>
      </c>
      <c r="B13233" s="76" t="s">
        <v>1041</v>
      </c>
      <c r="C13233" s="84">
        <v>1.63</v>
      </c>
      <c r="D13233" s="84">
        <v>1.0</v>
      </c>
      <c r="E13233" s="84">
        <v>1.63</v>
      </c>
      <c r="F13233" s="76" t="s">
        <v>990</v>
      </c>
      <c r="G13233" s="83">
        <v>46122.0</v>
      </c>
      <c r="H13233" s="76" t="s">
        <v>926</v>
      </c>
    </row>
    <row r="13234">
      <c r="A13234" s="76" t="s">
        <v>36</v>
      </c>
      <c r="B13234" s="76" t="s">
        <v>1041</v>
      </c>
      <c r="C13234" s="84">
        <v>0.26</v>
      </c>
      <c r="D13234" s="84">
        <v>0.0</v>
      </c>
      <c r="E13234" s="84">
        <v>0.0</v>
      </c>
      <c r="F13234" s="76" t="s">
        <v>990</v>
      </c>
      <c r="G13234" s="83">
        <v>46122.0</v>
      </c>
      <c r="H13234" s="76" t="s">
        <v>927</v>
      </c>
    </row>
    <row r="13235">
      <c r="A13235" s="76" t="s">
        <v>36</v>
      </c>
      <c r="B13235" s="76" t="s">
        <v>1041</v>
      </c>
      <c r="C13235" s="84">
        <v>1.27</v>
      </c>
      <c r="D13235" s="84">
        <v>0.0</v>
      </c>
      <c r="E13235" s="84">
        <v>0.0</v>
      </c>
      <c r="F13235" s="76" t="s">
        <v>990</v>
      </c>
      <c r="G13235" s="83">
        <v>46122.0</v>
      </c>
      <c r="H13235" s="76" t="s">
        <v>928</v>
      </c>
    </row>
    <row r="13236">
      <c r="A13236" s="76" t="s">
        <v>34</v>
      </c>
      <c r="B13236" s="76" t="s">
        <v>1041</v>
      </c>
      <c r="C13236" s="84">
        <v>0.68</v>
      </c>
      <c r="D13236" s="84">
        <v>0.0</v>
      </c>
      <c r="E13236" s="84">
        <v>0.0</v>
      </c>
      <c r="F13236" s="76" t="s">
        <v>990</v>
      </c>
      <c r="G13236" s="83">
        <v>46122.0</v>
      </c>
      <c r="H13236" s="76" t="s">
        <v>951</v>
      </c>
    </row>
    <row r="13237">
      <c r="A13237" s="76" t="s">
        <v>34</v>
      </c>
      <c r="B13237" s="76" t="s">
        <v>1041</v>
      </c>
      <c r="C13237" s="84">
        <v>2.02</v>
      </c>
      <c r="D13237" s="84">
        <v>0.0</v>
      </c>
      <c r="E13237" s="84">
        <v>0.0</v>
      </c>
      <c r="F13237" s="76" t="s">
        <v>990</v>
      </c>
      <c r="G13237" s="83">
        <v>46122.0</v>
      </c>
      <c r="H13237" s="76" t="s">
        <v>952</v>
      </c>
    </row>
    <row r="13238">
      <c r="A13238" s="76" t="s">
        <v>34</v>
      </c>
      <c r="B13238" s="76" t="s">
        <v>1041</v>
      </c>
      <c r="C13238" s="84">
        <v>0.19</v>
      </c>
      <c r="D13238" s="84">
        <v>1.0</v>
      </c>
      <c r="E13238" s="84">
        <v>0.19</v>
      </c>
      <c r="F13238" s="76" t="s">
        <v>990</v>
      </c>
      <c r="G13238" s="83">
        <v>46122.0</v>
      </c>
      <c r="H13238" s="76" t="s">
        <v>953</v>
      </c>
    </row>
    <row r="13239">
      <c r="A13239" s="76" t="s">
        <v>33</v>
      </c>
      <c r="B13239" s="76" t="s">
        <v>1041</v>
      </c>
      <c r="C13239" s="84">
        <v>9.0</v>
      </c>
      <c r="D13239" s="84">
        <v>1.0</v>
      </c>
      <c r="E13239" s="84">
        <v>9.0</v>
      </c>
      <c r="F13239" s="76" t="s">
        <v>990</v>
      </c>
      <c r="G13239" s="83">
        <v>46122.0</v>
      </c>
      <c r="H13239" s="76" t="s">
        <v>957</v>
      </c>
    </row>
    <row r="13240">
      <c r="A13240" s="76" t="s">
        <v>33</v>
      </c>
      <c r="B13240" s="76" t="s">
        <v>1041</v>
      </c>
      <c r="C13240" s="84">
        <v>0.47</v>
      </c>
      <c r="D13240" s="84">
        <v>0.0</v>
      </c>
      <c r="E13240" s="84">
        <v>0.0</v>
      </c>
      <c r="F13240" s="76" t="s">
        <v>990</v>
      </c>
      <c r="G13240" s="83">
        <v>46122.0</v>
      </c>
      <c r="H13240" s="76" t="s">
        <v>958</v>
      </c>
    </row>
    <row r="13241">
      <c r="A13241" s="76" t="s">
        <v>33</v>
      </c>
      <c r="B13241" s="76" t="s">
        <v>1041</v>
      </c>
      <c r="C13241" s="84">
        <v>3.11</v>
      </c>
      <c r="D13241" s="84">
        <v>0.0</v>
      </c>
      <c r="E13241" s="84">
        <v>0.0</v>
      </c>
      <c r="F13241" s="76" t="s">
        <v>990</v>
      </c>
      <c r="G13241" s="83">
        <v>46122.0</v>
      </c>
      <c r="H13241" s="76" t="s">
        <v>959</v>
      </c>
    </row>
    <row r="13242">
      <c r="A13242" s="76" t="s">
        <v>40</v>
      </c>
      <c r="B13242" s="76" t="s">
        <v>1041</v>
      </c>
      <c r="C13242" s="84">
        <v>0.86</v>
      </c>
      <c r="D13242" s="84">
        <v>0.0</v>
      </c>
      <c r="E13242" s="84">
        <v>0.0</v>
      </c>
      <c r="F13242" s="76" t="s">
        <v>990</v>
      </c>
      <c r="G13242" s="83">
        <v>46122.0</v>
      </c>
      <c r="H13242" s="76" t="s">
        <v>954</v>
      </c>
    </row>
    <row r="13243">
      <c r="A13243" s="76" t="s">
        <v>40</v>
      </c>
      <c r="B13243" s="76" t="s">
        <v>1041</v>
      </c>
      <c r="C13243" s="84">
        <v>1.06</v>
      </c>
      <c r="D13243" s="84">
        <v>1.0</v>
      </c>
      <c r="E13243" s="84">
        <v>1.06</v>
      </c>
      <c r="F13243" s="76" t="s">
        <v>990</v>
      </c>
      <c r="G13243" s="83">
        <v>46122.0</v>
      </c>
      <c r="H13243" s="76" t="s">
        <v>955</v>
      </c>
    </row>
    <row r="13244">
      <c r="A13244" s="76" t="s">
        <v>40</v>
      </c>
      <c r="B13244" s="76" t="s">
        <v>1041</v>
      </c>
      <c r="C13244" s="84">
        <v>3.94</v>
      </c>
      <c r="D13244" s="84">
        <v>0.0</v>
      </c>
      <c r="E13244" s="84">
        <v>0.0</v>
      </c>
      <c r="F13244" s="76" t="s">
        <v>990</v>
      </c>
      <c r="G13244" s="83">
        <v>46122.0</v>
      </c>
      <c r="H13244" s="76" t="s">
        <v>956</v>
      </c>
    </row>
    <row r="13245">
      <c r="A13245" s="76" t="s">
        <v>43</v>
      </c>
      <c r="B13245" s="76" t="s">
        <v>1041</v>
      </c>
      <c r="C13245" s="84">
        <v>0.43</v>
      </c>
      <c r="D13245" s="84">
        <v>0.0</v>
      </c>
      <c r="E13245" s="84">
        <v>0.0</v>
      </c>
      <c r="F13245" s="76" t="s">
        <v>990</v>
      </c>
      <c r="G13245" s="83">
        <v>46122.0</v>
      </c>
      <c r="H13245" s="76" t="s">
        <v>963</v>
      </c>
    </row>
    <row r="13246">
      <c r="A13246" s="76" t="s">
        <v>43</v>
      </c>
      <c r="B13246" s="76" t="s">
        <v>1041</v>
      </c>
      <c r="C13246" s="84">
        <v>0.54</v>
      </c>
      <c r="D13246" s="84">
        <v>0.0</v>
      </c>
      <c r="E13246" s="84">
        <v>0.0</v>
      </c>
      <c r="F13246" s="76" t="s">
        <v>990</v>
      </c>
      <c r="G13246" s="83">
        <v>46122.0</v>
      </c>
      <c r="H13246" s="76" t="s">
        <v>964</v>
      </c>
    </row>
    <row r="13247">
      <c r="A13247" s="76" t="s">
        <v>43</v>
      </c>
      <c r="B13247" s="76" t="s">
        <v>1041</v>
      </c>
      <c r="C13247" s="84">
        <v>0.57</v>
      </c>
      <c r="D13247" s="84">
        <v>0.0</v>
      </c>
      <c r="E13247" s="84">
        <v>0.0</v>
      </c>
      <c r="F13247" s="76" t="s">
        <v>990</v>
      </c>
      <c r="G13247" s="83">
        <v>46122.0</v>
      </c>
      <c r="H13247" s="76" t="s">
        <v>965</v>
      </c>
    </row>
    <row r="13248">
      <c r="A13248" s="76" t="s">
        <v>966</v>
      </c>
      <c r="B13248" s="76" t="s">
        <v>1041</v>
      </c>
      <c r="C13248" s="84">
        <v>0.5</v>
      </c>
      <c r="D13248" s="84">
        <v>0.0</v>
      </c>
      <c r="E13248" s="84">
        <v>0.0</v>
      </c>
      <c r="F13248" s="76" t="s">
        <v>990</v>
      </c>
      <c r="G13248" s="83">
        <v>46122.0</v>
      </c>
      <c r="H13248" s="76" t="s">
        <v>967</v>
      </c>
    </row>
    <row r="13249">
      <c r="A13249" s="76" t="s">
        <v>966</v>
      </c>
      <c r="B13249" s="76" t="s">
        <v>1041</v>
      </c>
      <c r="C13249" s="84">
        <v>0.5</v>
      </c>
      <c r="D13249" s="84">
        <v>1.0</v>
      </c>
      <c r="E13249" s="84">
        <v>0.5</v>
      </c>
      <c r="F13249" s="76" t="s">
        <v>990</v>
      </c>
      <c r="G13249" s="83">
        <v>46122.0</v>
      </c>
      <c r="H13249" s="76" t="s">
        <v>968</v>
      </c>
    </row>
    <row r="13250">
      <c r="A13250" s="76" t="s">
        <v>966</v>
      </c>
      <c r="B13250" s="76" t="s">
        <v>1041</v>
      </c>
      <c r="C13250" s="84">
        <v>0.72</v>
      </c>
      <c r="D13250" s="84">
        <v>0.0</v>
      </c>
      <c r="E13250" s="84">
        <v>0.0</v>
      </c>
      <c r="F13250" s="76" t="s">
        <v>990</v>
      </c>
      <c r="G13250" s="83">
        <v>46122.0</v>
      </c>
      <c r="H13250" s="76" t="s">
        <v>969</v>
      </c>
    </row>
    <row r="13251">
      <c r="A13251" s="76" t="s">
        <v>970</v>
      </c>
      <c r="B13251" s="76" t="s">
        <v>1041</v>
      </c>
      <c r="C13251" s="84">
        <v>4.26</v>
      </c>
      <c r="D13251" s="84">
        <v>2.0</v>
      </c>
      <c r="E13251" s="84">
        <v>2.13</v>
      </c>
      <c r="F13251" s="76" t="s">
        <v>996</v>
      </c>
      <c r="G13251" s="83">
        <v>46122.0</v>
      </c>
      <c r="H13251" s="76" t="s">
        <v>971</v>
      </c>
    </row>
    <row r="13252">
      <c r="A13252" s="76" t="s">
        <v>970</v>
      </c>
      <c r="B13252" s="76" t="s">
        <v>1041</v>
      </c>
      <c r="C13252" s="84">
        <v>2.45</v>
      </c>
      <c r="D13252" s="84">
        <v>0.0</v>
      </c>
      <c r="E13252" s="84">
        <v>0.0</v>
      </c>
      <c r="F13252" s="76" t="s">
        <v>996</v>
      </c>
      <c r="G13252" s="83">
        <v>46122.0</v>
      </c>
      <c r="H13252" s="76" t="s">
        <v>972</v>
      </c>
    </row>
    <row r="13253">
      <c r="A13253" s="76" t="s">
        <v>970</v>
      </c>
      <c r="B13253" s="76" t="s">
        <v>1041</v>
      </c>
      <c r="C13253" s="84">
        <v>5.02</v>
      </c>
      <c r="D13253" s="84">
        <v>2.0</v>
      </c>
      <c r="E13253" s="84">
        <v>2.51</v>
      </c>
      <c r="F13253" s="76" t="s">
        <v>996</v>
      </c>
      <c r="G13253" s="83">
        <v>46122.0</v>
      </c>
      <c r="H13253" s="76" t="s">
        <v>973</v>
      </c>
    </row>
    <row r="13254">
      <c r="A13254" s="76" t="s">
        <v>29</v>
      </c>
      <c r="B13254" s="76" t="s">
        <v>1041</v>
      </c>
      <c r="C13254" s="84">
        <v>4.95</v>
      </c>
      <c r="D13254" s="84">
        <v>1.0</v>
      </c>
      <c r="E13254" s="84">
        <v>4.95</v>
      </c>
      <c r="F13254" s="76" t="s">
        <v>996</v>
      </c>
      <c r="G13254" s="83">
        <v>46122.0</v>
      </c>
      <c r="H13254" s="76" t="s">
        <v>971</v>
      </c>
    </row>
    <row r="13255">
      <c r="A13255" s="76" t="s">
        <v>29</v>
      </c>
      <c r="B13255" s="76" t="s">
        <v>1041</v>
      </c>
      <c r="C13255" s="84">
        <v>3.12</v>
      </c>
      <c r="D13255" s="84">
        <v>0.0</v>
      </c>
      <c r="E13255" s="84">
        <v>0.0</v>
      </c>
      <c r="F13255" s="76" t="s">
        <v>996</v>
      </c>
      <c r="G13255" s="83">
        <v>46122.0</v>
      </c>
      <c r="H13255" s="76" t="s">
        <v>972</v>
      </c>
    </row>
    <row r="13256">
      <c r="A13256" s="76" t="s">
        <v>29</v>
      </c>
      <c r="B13256" s="76" t="s">
        <v>1041</v>
      </c>
      <c r="C13256" s="84">
        <v>6.05</v>
      </c>
      <c r="D13256" s="84">
        <v>1.0</v>
      </c>
      <c r="E13256" s="84">
        <v>6.05</v>
      </c>
      <c r="F13256" s="76" t="s">
        <v>996</v>
      </c>
      <c r="G13256" s="83">
        <v>46122.0</v>
      </c>
      <c r="H13256" s="76" t="s">
        <v>973</v>
      </c>
    </row>
    <row r="13257">
      <c r="A13257" s="76" t="s">
        <v>43</v>
      </c>
      <c r="B13257" s="76" t="s">
        <v>1041</v>
      </c>
      <c r="C13257" s="84">
        <v>2.96</v>
      </c>
      <c r="D13257" s="84">
        <v>1.0</v>
      </c>
      <c r="E13257" s="84">
        <v>2.96</v>
      </c>
      <c r="F13257" s="76" t="s">
        <v>996</v>
      </c>
      <c r="G13257" s="83">
        <v>46122.0</v>
      </c>
      <c r="H13257" s="76" t="s">
        <v>963</v>
      </c>
    </row>
    <row r="13258">
      <c r="A13258" s="76" t="s">
        <v>43</v>
      </c>
      <c r="B13258" s="76" t="s">
        <v>1041</v>
      </c>
      <c r="C13258" s="84">
        <v>2.71</v>
      </c>
      <c r="D13258" s="84">
        <v>2.0</v>
      </c>
      <c r="E13258" s="84">
        <v>1.35</v>
      </c>
      <c r="F13258" s="76" t="s">
        <v>996</v>
      </c>
      <c r="G13258" s="83">
        <v>46122.0</v>
      </c>
      <c r="H13258" s="76" t="s">
        <v>964</v>
      </c>
    </row>
    <row r="13259">
      <c r="A13259" s="76" t="s">
        <v>43</v>
      </c>
      <c r="B13259" s="76" t="s">
        <v>1041</v>
      </c>
      <c r="C13259" s="84">
        <v>4.18</v>
      </c>
      <c r="D13259" s="84">
        <v>0.0</v>
      </c>
      <c r="E13259" s="84">
        <v>0.0</v>
      </c>
      <c r="F13259" s="76" t="s">
        <v>996</v>
      </c>
      <c r="G13259" s="83">
        <v>46122.0</v>
      </c>
      <c r="H13259" s="76" t="s">
        <v>965</v>
      </c>
    </row>
    <row r="13260">
      <c r="A13260" s="76" t="s">
        <v>46</v>
      </c>
      <c r="B13260" s="76" t="s">
        <v>1041</v>
      </c>
      <c r="C13260" s="84">
        <v>1.8</v>
      </c>
      <c r="D13260" s="84">
        <v>0.0</v>
      </c>
      <c r="E13260" s="84">
        <v>0.0</v>
      </c>
      <c r="F13260" s="76" t="s">
        <v>996</v>
      </c>
      <c r="G13260" s="83">
        <v>46122.0</v>
      </c>
      <c r="H13260" s="76" t="s">
        <v>960</v>
      </c>
    </row>
    <row r="13261">
      <c r="A13261" s="76" t="s">
        <v>46</v>
      </c>
      <c r="B13261" s="76" t="s">
        <v>1041</v>
      </c>
      <c r="C13261" s="84">
        <v>2.17</v>
      </c>
      <c r="D13261" s="84">
        <v>0.0</v>
      </c>
      <c r="E13261" s="84">
        <v>0.0</v>
      </c>
      <c r="F13261" s="76" t="s">
        <v>996</v>
      </c>
      <c r="G13261" s="83">
        <v>46122.0</v>
      </c>
      <c r="H13261" s="76" t="s">
        <v>961</v>
      </c>
    </row>
    <row r="13262">
      <c r="A13262" s="76" t="s">
        <v>46</v>
      </c>
      <c r="B13262" s="76" t="s">
        <v>1041</v>
      </c>
      <c r="C13262" s="84">
        <v>6.16</v>
      </c>
      <c r="D13262" s="84">
        <v>0.0</v>
      </c>
      <c r="E13262" s="84">
        <v>0.0</v>
      </c>
      <c r="F13262" s="76" t="s">
        <v>996</v>
      </c>
      <c r="G13262" s="83">
        <v>46122.0</v>
      </c>
      <c r="H13262" s="76" t="s">
        <v>962</v>
      </c>
    </row>
    <row r="13263">
      <c r="A13263" s="76" t="s">
        <v>966</v>
      </c>
      <c r="B13263" s="76" t="s">
        <v>1041</v>
      </c>
      <c r="C13263" s="84">
        <v>1.64</v>
      </c>
      <c r="D13263" s="84">
        <v>1.0</v>
      </c>
      <c r="E13263" s="84">
        <v>1.64</v>
      </c>
      <c r="F13263" s="76" t="s">
        <v>996</v>
      </c>
      <c r="G13263" s="83">
        <v>46122.0</v>
      </c>
      <c r="H13263" s="76" t="s">
        <v>967</v>
      </c>
    </row>
    <row r="13264">
      <c r="A13264" s="76" t="s">
        <v>966</v>
      </c>
      <c r="B13264" s="76" t="s">
        <v>1041</v>
      </c>
      <c r="C13264" s="84">
        <v>1.62</v>
      </c>
      <c r="D13264" s="84">
        <v>0.0</v>
      </c>
      <c r="E13264" s="84">
        <v>0.0</v>
      </c>
      <c r="F13264" s="76" t="s">
        <v>996</v>
      </c>
      <c r="G13264" s="83">
        <v>46122.0</v>
      </c>
      <c r="H13264" s="76" t="s">
        <v>968</v>
      </c>
    </row>
    <row r="13265">
      <c r="A13265" s="76" t="s">
        <v>966</v>
      </c>
      <c r="B13265" s="76" t="s">
        <v>1041</v>
      </c>
      <c r="C13265" s="84">
        <v>5.17</v>
      </c>
      <c r="D13265" s="84">
        <v>1.0</v>
      </c>
      <c r="E13265" s="84">
        <v>5.17</v>
      </c>
      <c r="F13265" s="76" t="s">
        <v>996</v>
      </c>
      <c r="G13265" s="83">
        <v>46122.0</v>
      </c>
      <c r="H13265" s="76" t="s">
        <v>969</v>
      </c>
    </row>
    <row r="13266">
      <c r="A13266" s="76" t="s">
        <v>33</v>
      </c>
      <c r="B13266" s="76" t="s">
        <v>1041</v>
      </c>
      <c r="C13266" s="84">
        <v>38.66</v>
      </c>
      <c r="D13266" s="84">
        <v>10.0</v>
      </c>
      <c r="E13266" s="84">
        <v>3.87</v>
      </c>
      <c r="F13266" s="76" t="s">
        <v>996</v>
      </c>
      <c r="G13266" s="83">
        <v>46122.0</v>
      </c>
      <c r="H13266" s="76" t="s">
        <v>957</v>
      </c>
    </row>
    <row r="13267">
      <c r="A13267" s="76" t="s">
        <v>33</v>
      </c>
      <c r="B13267" s="76" t="s">
        <v>1041</v>
      </c>
      <c r="C13267" s="84">
        <v>4.51</v>
      </c>
      <c r="D13267" s="84">
        <v>1.0</v>
      </c>
      <c r="E13267" s="84">
        <v>4.51</v>
      </c>
      <c r="F13267" s="76" t="s">
        <v>996</v>
      </c>
      <c r="G13267" s="83">
        <v>46122.0</v>
      </c>
      <c r="H13267" s="76" t="s">
        <v>958</v>
      </c>
    </row>
    <row r="13268">
      <c r="A13268" s="76" t="s">
        <v>33</v>
      </c>
      <c r="B13268" s="76" t="s">
        <v>1041</v>
      </c>
      <c r="C13268" s="84">
        <v>19.19</v>
      </c>
      <c r="D13268" s="84">
        <v>3.0</v>
      </c>
      <c r="E13268" s="84">
        <v>6.4</v>
      </c>
      <c r="F13268" s="76" t="s">
        <v>996</v>
      </c>
      <c r="G13268" s="83">
        <v>46122.0</v>
      </c>
      <c r="H13268" s="76" t="s">
        <v>959</v>
      </c>
    </row>
    <row r="13269">
      <c r="A13269" s="76" t="s">
        <v>34</v>
      </c>
      <c r="B13269" s="76" t="s">
        <v>1041</v>
      </c>
      <c r="C13269" s="84">
        <v>2.7</v>
      </c>
      <c r="D13269" s="84">
        <v>0.0</v>
      </c>
      <c r="E13269" s="84">
        <v>0.0</v>
      </c>
      <c r="F13269" s="76" t="s">
        <v>996</v>
      </c>
      <c r="G13269" s="83">
        <v>46122.0</v>
      </c>
      <c r="H13269" s="76" t="s">
        <v>951</v>
      </c>
    </row>
    <row r="13270">
      <c r="A13270" s="76" t="s">
        <v>34</v>
      </c>
      <c r="B13270" s="76" t="s">
        <v>1041</v>
      </c>
      <c r="C13270" s="84">
        <v>9.43</v>
      </c>
      <c r="D13270" s="84">
        <v>0.0</v>
      </c>
      <c r="E13270" s="84">
        <v>0.0</v>
      </c>
      <c r="F13270" s="76" t="s">
        <v>996</v>
      </c>
      <c r="G13270" s="83">
        <v>46122.0</v>
      </c>
      <c r="H13270" s="76" t="s">
        <v>952</v>
      </c>
    </row>
    <row r="13271">
      <c r="A13271" s="76" t="s">
        <v>34</v>
      </c>
      <c r="B13271" s="76" t="s">
        <v>1041</v>
      </c>
      <c r="C13271" s="84">
        <v>0.94</v>
      </c>
      <c r="D13271" s="84">
        <v>1.0</v>
      </c>
      <c r="E13271" s="84">
        <v>0.94</v>
      </c>
      <c r="F13271" s="76" t="s">
        <v>996</v>
      </c>
      <c r="G13271" s="83">
        <v>46122.0</v>
      </c>
      <c r="H13271" s="76" t="s">
        <v>953</v>
      </c>
    </row>
    <row r="13272">
      <c r="A13272" s="76" t="s">
        <v>36</v>
      </c>
      <c r="B13272" s="76" t="s">
        <v>1041</v>
      </c>
      <c r="C13272" s="84">
        <v>7.0</v>
      </c>
      <c r="D13272" s="84">
        <v>1.0</v>
      </c>
      <c r="E13272" s="84">
        <v>7.0</v>
      </c>
      <c r="F13272" s="76" t="s">
        <v>996</v>
      </c>
      <c r="G13272" s="83">
        <v>46122.0</v>
      </c>
      <c r="H13272" s="76" t="s">
        <v>926</v>
      </c>
    </row>
    <row r="13273">
      <c r="A13273" s="76" t="s">
        <v>36</v>
      </c>
      <c r="B13273" s="76" t="s">
        <v>1041</v>
      </c>
      <c r="C13273" s="84">
        <v>1.92</v>
      </c>
      <c r="D13273" s="84">
        <v>1.0</v>
      </c>
      <c r="E13273" s="84">
        <v>1.92</v>
      </c>
      <c r="F13273" s="76" t="s">
        <v>996</v>
      </c>
      <c r="G13273" s="83">
        <v>46122.0</v>
      </c>
      <c r="H13273" s="76" t="s">
        <v>927</v>
      </c>
    </row>
    <row r="13274">
      <c r="A13274" s="76" t="s">
        <v>36</v>
      </c>
      <c r="B13274" s="76" t="s">
        <v>1041</v>
      </c>
      <c r="C13274" s="84">
        <v>10.96</v>
      </c>
      <c r="D13274" s="84">
        <v>2.0</v>
      </c>
      <c r="E13274" s="84">
        <v>5.48</v>
      </c>
      <c r="F13274" s="76" t="s">
        <v>996</v>
      </c>
      <c r="G13274" s="83">
        <v>46122.0</v>
      </c>
      <c r="H13274" s="76" t="s">
        <v>928</v>
      </c>
    </row>
    <row r="13275">
      <c r="A13275" s="76" t="s">
        <v>40</v>
      </c>
      <c r="B13275" s="76" t="s">
        <v>1041</v>
      </c>
      <c r="C13275" s="84">
        <v>5.84</v>
      </c>
      <c r="D13275" s="84">
        <v>1.0</v>
      </c>
      <c r="E13275" s="84">
        <v>5.84</v>
      </c>
      <c r="F13275" s="76" t="s">
        <v>996</v>
      </c>
      <c r="G13275" s="83">
        <v>46122.0</v>
      </c>
      <c r="H13275" s="76" t="s">
        <v>954</v>
      </c>
    </row>
    <row r="13276">
      <c r="A13276" s="76" t="s">
        <v>40</v>
      </c>
      <c r="B13276" s="76" t="s">
        <v>1041</v>
      </c>
      <c r="C13276" s="84">
        <v>5.51</v>
      </c>
      <c r="D13276" s="84">
        <v>3.0</v>
      </c>
      <c r="E13276" s="84">
        <v>1.84</v>
      </c>
      <c r="F13276" s="76" t="s">
        <v>996</v>
      </c>
      <c r="G13276" s="83">
        <v>46122.0</v>
      </c>
      <c r="H13276" s="76" t="s">
        <v>955</v>
      </c>
    </row>
    <row r="13277">
      <c r="A13277" s="76" t="s">
        <v>40</v>
      </c>
      <c r="B13277" s="76" t="s">
        <v>1041</v>
      </c>
      <c r="C13277" s="84">
        <v>12.49</v>
      </c>
      <c r="D13277" s="84">
        <v>2.0</v>
      </c>
      <c r="E13277" s="84">
        <v>6.25</v>
      </c>
      <c r="F13277" s="76" t="s">
        <v>996</v>
      </c>
      <c r="G13277" s="83">
        <v>46122.0</v>
      </c>
      <c r="H13277" s="76" t="s">
        <v>956</v>
      </c>
    </row>
    <row r="13278">
      <c r="A13278" s="76" t="s">
        <v>40</v>
      </c>
      <c r="B13278" s="76" t="s">
        <v>1041</v>
      </c>
      <c r="C13278" s="84">
        <v>0.32</v>
      </c>
      <c r="D13278" s="84">
        <v>0.0</v>
      </c>
      <c r="E13278" s="84">
        <v>0.0</v>
      </c>
      <c r="F13278" s="76" t="s">
        <v>993</v>
      </c>
      <c r="G13278" s="83">
        <v>46122.0</v>
      </c>
      <c r="H13278" s="76" t="s">
        <v>954</v>
      </c>
    </row>
    <row r="13279">
      <c r="A13279" s="76" t="s">
        <v>40</v>
      </c>
      <c r="B13279" s="76" t="s">
        <v>1041</v>
      </c>
      <c r="C13279" s="84">
        <v>0.17</v>
      </c>
      <c r="D13279" s="84">
        <v>0.0</v>
      </c>
      <c r="E13279" s="84">
        <v>0.0</v>
      </c>
      <c r="F13279" s="76" t="s">
        <v>993</v>
      </c>
      <c r="G13279" s="83">
        <v>46122.0</v>
      </c>
      <c r="H13279" s="76" t="s">
        <v>955</v>
      </c>
    </row>
    <row r="13280">
      <c r="A13280" s="76" t="s">
        <v>40</v>
      </c>
      <c r="B13280" s="76" t="s">
        <v>1041</v>
      </c>
      <c r="C13280" s="84">
        <v>4.28</v>
      </c>
      <c r="D13280" s="84">
        <v>0.0</v>
      </c>
      <c r="E13280" s="84">
        <v>0.0</v>
      </c>
      <c r="F13280" s="76" t="s">
        <v>993</v>
      </c>
      <c r="G13280" s="83">
        <v>46122.0</v>
      </c>
      <c r="H13280" s="76" t="s">
        <v>956</v>
      </c>
    </row>
    <row r="13281">
      <c r="A13281" s="76" t="s">
        <v>36</v>
      </c>
      <c r="B13281" s="76" t="s">
        <v>1041</v>
      </c>
      <c r="C13281" s="84">
        <v>2.32</v>
      </c>
      <c r="D13281" s="84">
        <v>0.0</v>
      </c>
      <c r="E13281" s="84">
        <v>0.0</v>
      </c>
      <c r="F13281" s="76" t="s">
        <v>993</v>
      </c>
      <c r="G13281" s="83">
        <v>46122.0</v>
      </c>
      <c r="H13281" s="76" t="s">
        <v>926</v>
      </c>
    </row>
    <row r="13282">
      <c r="A13282" s="76" t="s">
        <v>36</v>
      </c>
      <c r="B13282" s="76" t="s">
        <v>1041</v>
      </c>
      <c r="C13282" s="84">
        <v>0.12</v>
      </c>
      <c r="D13282" s="84">
        <v>0.0</v>
      </c>
      <c r="E13282" s="84">
        <v>0.0</v>
      </c>
      <c r="F13282" s="76" t="s">
        <v>993</v>
      </c>
      <c r="G13282" s="83">
        <v>46122.0</v>
      </c>
      <c r="H13282" s="76" t="s">
        <v>927</v>
      </c>
    </row>
    <row r="13283">
      <c r="A13283" s="76" t="s">
        <v>36</v>
      </c>
      <c r="B13283" s="76" t="s">
        <v>1041</v>
      </c>
      <c r="C13283" s="84">
        <v>1.41</v>
      </c>
      <c r="D13283" s="84">
        <v>0.0</v>
      </c>
      <c r="E13283" s="84">
        <v>0.0</v>
      </c>
      <c r="F13283" s="76" t="s">
        <v>993</v>
      </c>
      <c r="G13283" s="83">
        <v>46122.0</v>
      </c>
      <c r="H13283" s="76" t="s">
        <v>928</v>
      </c>
    </row>
    <row r="13284">
      <c r="A13284" s="76" t="s">
        <v>46</v>
      </c>
      <c r="B13284" s="76" t="s">
        <v>1041</v>
      </c>
      <c r="C13284" s="84">
        <v>0.28</v>
      </c>
      <c r="D13284" s="84">
        <v>1.0</v>
      </c>
      <c r="E13284" s="84">
        <v>0.28</v>
      </c>
      <c r="F13284" s="76" t="s">
        <v>993</v>
      </c>
      <c r="G13284" s="83">
        <v>46122.0</v>
      </c>
      <c r="H13284" s="76" t="s">
        <v>960</v>
      </c>
    </row>
    <row r="13285">
      <c r="A13285" s="76" t="s">
        <v>46</v>
      </c>
      <c r="B13285" s="76" t="s">
        <v>1041</v>
      </c>
      <c r="C13285" s="84">
        <v>0.33</v>
      </c>
      <c r="D13285" s="84">
        <v>0.0</v>
      </c>
      <c r="E13285" s="84">
        <v>0.0</v>
      </c>
      <c r="F13285" s="76" t="s">
        <v>993</v>
      </c>
      <c r="G13285" s="83">
        <v>46122.0</v>
      </c>
      <c r="H13285" s="76" t="s">
        <v>961</v>
      </c>
    </row>
    <row r="13286">
      <c r="A13286" s="76" t="s">
        <v>46</v>
      </c>
      <c r="B13286" s="76" t="s">
        <v>1041</v>
      </c>
      <c r="C13286" s="84">
        <v>0.81</v>
      </c>
      <c r="D13286" s="84">
        <v>1.0</v>
      </c>
      <c r="E13286" s="84">
        <v>0.81</v>
      </c>
      <c r="F13286" s="76" t="s">
        <v>993</v>
      </c>
      <c r="G13286" s="83">
        <v>46122.0</v>
      </c>
      <c r="H13286" s="76" t="s">
        <v>962</v>
      </c>
    </row>
    <row r="13287">
      <c r="A13287" s="76" t="s">
        <v>970</v>
      </c>
      <c r="B13287" s="76" t="s">
        <v>1041</v>
      </c>
      <c r="C13287" s="84">
        <v>0.76</v>
      </c>
      <c r="D13287" s="84">
        <v>1.0</v>
      </c>
      <c r="E13287" s="84">
        <v>0.76</v>
      </c>
      <c r="F13287" s="76" t="s">
        <v>993</v>
      </c>
      <c r="G13287" s="83">
        <v>46122.0</v>
      </c>
      <c r="H13287" s="76" t="s">
        <v>971</v>
      </c>
    </row>
    <row r="13288">
      <c r="A13288" s="76" t="s">
        <v>970</v>
      </c>
      <c r="B13288" s="76" t="s">
        <v>1041</v>
      </c>
      <c r="C13288" s="84">
        <v>0.25</v>
      </c>
      <c r="D13288" s="84">
        <v>0.0</v>
      </c>
      <c r="E13288" s="84">
        <v>0.0</v>
      </c>
      <c r="F13288" s="76" t="s">
        <v>993</v>
      </c>
      <c r="G13288" s="83">
        <v>46122.0</v>
      </c>
      <c r="H13288" s="76" t="s">
        <v>972</v>
      </c>
    </row>
    <row r="13289">
      <c r="A13289" s="76" t="s">
        <v>970</v>
      </c>
      <c r="B13289" s="76" t="s">
        <v>1041</v>
      </c>
      <c r="C13289" s="84">
        <v>1.51</v>
      </c>
      <c r="D13289" s="84">
        <v>0.0</v>
      </c>
      <c r="E13289" s="84">
        <v>0.0</v>
      </c>
      <c r="F13289" s="76" t="s">
        <v>993</v>
      </c>
      <c r="G13289" s="83">
        <v>46122.0</v>
      </c>
      <c r="H13289" s="76" t="s">
        <v>973</v>
      </c>
    </row>
    <row r="13290">
      <c r="A13290" s="76" t="s">
        <v>33</v>
      </c>
      <c r="B13290" s="76" t="s">
        <v>1041</v>
      </c>
      <c r="C13290" s="84">
        <v>73.02</v>
      </c>
      <c r="D13290" s="84">
        <v>9.0</v>
      </c>
      <c r="E13290" s="84">
        <v>8.11</v>
      </c>
      <c r="F13290" s="76" t="s">
        <v>993</v>
      </c>
      <c r="G13290" s="83">
        <v>46122.0</v>
      </c>
      <c r="H13290" s="76" t="s">
        <v>957</v>
      </c>
    </row>
    <row r="13291">
      <c r="A13291" s="76" t="s">
        <v>33</v>
      </c>
      <c r="B13291" s="76" t="s">
        <v>1041</v>
      </c>
      <c r="C13291" s="84">
        <v>0.63</v>
      </c>
      <c r="D13291" s="84">
        <v>0.0</v>
      </c>
      <c r="E13291" s="84">
        <v>0.0</v>
      </c>
      <c r="F13291" s="76" t="s">
        <v>993</v>
      </c>
      <c r="G13291" s="83">
        <v>46122.0</v>
      </c>
      <c r="H13291" s="76" t="s">
        <v>958</v>
      </c>
    </row>
    <row r="13292">
      <c r="A13292" s="76" t="s">
        <v>33</v>
      </c>
      <c r="B13292" s="76" t="s">
        <v>1041</v>
      </c>
      <c r="C13292" s="84">
        <v>1.98</v>
      </c>
      <c r="D13292" s="84">
        <v>0.0</v>
      </c>
      <c r="E13292" s="84">
        <v>0.0</v>
      </c>
      <c r="F13292" s="76" t="s">
        <v>993</v>
      </c>
      <c r="G13292" s="83">
        <v>46122.0</v>
      </c>
      <c r="H13292" s="76" t="s">
        <v>959</v>
      </c>
    </row>
    <row r="13293">
      <c r="A13293" s="76" t="s">
        <v>966</v>
      </c>
      <c r="B13293" s="76" t="s">
        <v>1041</v>
      </c>
      <c r="C13293" s="84">
        <v>0.85</v>
      </c>
      <c r="D13293" s="84">
        <v>1.0</v>
      </c>
      <c r="E13293" s="84">
        <v>0.85</v>
      </c>
      <c r="F13293" s="76" t="s">
        <v>993</v>
      </c>
      <c r="G13293" s="83">
        <v>46122.0</v>
      </c>
      <c r="H13293" s="76" t="s">
        <v>967</v>
      </c>
    </row>
    <row r="13294">
      <c r="A13294" s="76" t="s">
        <v>966</v>
      </c>
      <c r="B13294" s="76" t="s">
        <v>1041</v>
      </c>
      <c r="C13294" s="84">
        <v>0.21</v>
      </c>
      <c r="D13294" s="84">
        <v>0.0</v>
      </c>
      <c r="E13294" s="84">
        <v>0.0</v>
      </c>
      <c r="F13294" s="76" t="s">
        <v>993</v>
      </c>
      <c r="G13294" s="83">
        <v>46122.0</v>
      </c>
      <c r="H13294" s="76" t="s">
        <v>968</v>
      </c>
    </row>
    <row r="13295">
      <c r="A13295" s="76" t="s">
        <v>966</v>
      </c>
      <c r="B13295" s="76" t="s">
        <v>1041</v>
      </c>
      <c r="C13295" s="84">
        <v>1.53</v>
      </c>
      <c r="D13295" s="84">
        <v>0.0</v>
      </c>
      <c r="E13295" s="84">
        <v>0.0</v>
      </c>
      <c r="F13295" s="76" t="s">
        <v>993</v>
      </c>
      <c r="G13295" s="83">
        <v>46122.0</v>
      </c>
      <c r="H13295" s="76" t="s">
        <v>969</v>
      </c>
    </row>
    <row r="13296">
      <c r="A13296" s="76" t="s">
        <v>29</v>
      </c>
      <c r="B13296" s="76" t="s">
        <v>1041</v>
      </c>
      <c r="C13296" s="84">
        <v>1.5</v>
      </c>
      <c r="D13296" s="84">
        <v>0.0</v>
      </c>
      <c r="E13296" s="84">
        <v>0.0</v>
      </c>
      <c r="F13296" s="76" t="s">
        <v>993</v>
      </c>
      <c r="G13296" s="83">
        <v>46122.0</v>
      </c>
      <c r="H13296" s="76" t="s">
        <v>971</v>
      </c>
    </row>
    <row r="13297">
      <c r="A13297" s="76" t="s">
        <v>29</v>
      </c>
      <c r="B13297" s="76" t="s">
        <v>1041</v>
      </c>
      <c r="C13297" s="84">
        <v>0.16</v>
      </c>
      <c r="D13297" s="84">
        <v>0.0</v>
      </c>
      <c r="E13297" s="84">
        <v>0.0</v>
      </c>
      <c r="F13297" s="76" t="s">
        <v>993</v>
      </c>
      <c r="G13297" s="83">
        <v>46122.0</v>
      </c>
      <c r="H13297" s="76" t="s">
        <v>972</v>
      </c>
    </row>
    <row r="13298">
      <c r="A13298" s="76" t="s">
        <v>29</v>
      </c>
      <c r="B13298" s="76" t="s">
        <v>1041</v>
      </c>
      <c r="C13298" s="84">
        <v>2.34</v>
      </c>
      <c r="D13298" s="84">
        <v>1.0</v>
      </c>
      <c r="E13298" s="84">
        <v>2.34</v>
      </c>
      <c r="F13298" s="76" t="s">
        <v>993</v>
      </c>
      <c r="G13298" s="83">
        <v>46122.0</v>
      </c>
      <c r="H13298" s="76" t="s">
        <v>973</v>
      </c>
    </row>
    <row r="13299">
      <c r="A13299" s="76" t="s">
        <v>34</v>
      </c>
      <c r="B13299" s="76" t="s">
        <v>1041</v>
      </c>
      <c r="C13299" s="84">
        <v>0.91</v>
      </c>
      <c r="D13299" s="84">
        <v>0.0</v>
      </c>
      <c r="E13299" s="84">
        <v>0.0</v>
      </c>
      <c r="F13299" s="76" t="s">
        <v>993</v>
      </c>
      <c r="G13299" s="83">
        <v>46122.0</v>
      </c>
      <c r="H13299" s="76" t="s">
        <v>951</v>
      </c>
    </row>
    <row r="13300">
      <c r="A13300" s="76" t="s">
        <v>34</v>
      </c>
      <c r="B13300" s="76" t="s">
        <v>1041</v>
      </c>
      <c r="C13300" s="84">
        <v>1.42</v>
      </c>
      <c r="D13300" s="84">
        <v>1.0</v>
      </c>
      <c r="E13300" s="84">
        <v>1.42</v>
      </c>
      <c r="F13300" s="76" t="s">
        <v>993</v>
      </c>
      <c r="G13300" s="83">
        <v>46122.0</v>
      </c>
      <c r="H13300" s="76" t="s">
        <v>952</v>
      </c>
    </row>
    <row r="13301">
      <c r="A13301" s="76" t="s">
        <v>34</v>
      </c>
      <c r="B13301" s="76" t="s">
        <v>1041</v>
      </c>
      <c r="C13301" s="84">
        <v>0.16</v>
      </c>
      <c r="D13301" s="84">
        <v>0.0</v>
      </c>
      <c r="E13301" s="84">
        <v>0.0</v>
      </c>
      <c r="F13301" s="76" t="s">
        <v>993</v>
      </c>
      <c r="G13301" s="83">
        <v>46122.0</v>
      </c>
      <c r="H13301" s="76" t="s">
        <v>953</v>
      </c>
    </row>
    <row r="13302">
      <c r="A13302" s="76" t="s">
        <v>43</v>
      </c>
      <c r="B13302" s="76" t="s">
        <v>1041</v>
      </c>
      <c r="C13302" s="84">
        <v>0.1</v>
      </c>
      <c r="D13302" s="84">
        <v>0.0</v>
      </c>
      <c r="E13302" s="84">
        <v>0.0</v>
      </c>
      <c r="F13302" s="76" t="s">
        <v>993</v>
      </c>
      <c r="G13302" s="83">
        <v>46122.0</v>
      </c>
      <c r="H13302" s="76" t="s">
        <v>963</v>
      </c>
    </row>
    <row r="13303">
      <c r="A13303" s="76" t="s">
        <v>43</v>
      </c>
      <c r="B13303" s="76" t="s">
        <v>1041</v>
      </c>
      <c r="C13303" s="84">
        <v>0.56</v>
      </c>
      <c r="D13303" s="84">
        <v>0.0</v>
      </c>
      <c r="E13303" s="84">
        <v>0.0</v>
      </c>
      <c r="F13303" s="76" t="s">
        <v>993</v>
      </c>
      <c r="G13303" s="83">
        <v>46122.0</v>
      </c>
      <c r="H13303" s="76" t="s">
        <v>964</v>
      </c>
    </row>
    <row r="13304">
      <c r="A13304" s="76" t="s">
        <v>43</v>
      </c>
      <c r="B13304" s="76" t="s">
        <v>1041</v>
      </c>
      <c r="C13304" s="84">
        <v>0.4</v>
      </c>
      <c r="D13304" s="84">
        <v>0.0</v>
      </c>
      <c r="E13304" s="84">
        <v>0.0</v>
      </c>
      <c r="F13304" s="76" t="s">
        <v>993</v>
      </c>
      <c r="G13304" s="83">
        <v>46122.0</v>
      </c>
      <c r="H13304" s="76" t="s">
        <v>965</v>
      </c>
    </row>
    <row r="13305">
      <c r="A13305" s="76" t="s">
        <v>36</v>
      </c>
      <c r="B13305" s="76" t="s">
        <v>1041</v>
      </c>
      <c r="C13305" s="84">
        <v>1.41</v>
      </c>
      <c r="D13305" s="84">
        <v>0.0</v>
      </c>
      <c r="E13305" s="84">
        <v>0.0</v>
      </c>
      <c r="F13305" s="76" t="s">
        <v>998</v>
      </c>
      <c r="G13305" s="83">
        <v>46122.0</v>
      </c>
      <c r="H13305" s="76" t="s">
        <v>926</v>
      </c>
    </row>
    <row r="13306">
      <c r="A13306" s="76" t="s">
        <v>36</v>
      </c>
      <c r="B13306" s="76" t="s">
        <v>1041</v>
      </c>
      <c r="C13306" s="84">
        <v>0.43</v>
      </c>
      <c r="D13306" s="84">
        <v>1.0</v>
      </c>
      <c r="E13306" s="84">
        <v>0.43</v>
      </c>
      <c r="F13306" s="76" t="s">
        <v>998</v>
      </c>
      <c r="G13306" s="83">
        <v>46122.0</v>
      </c>
      <c r="H13306" s="76" t="s">
        <v>927</v>
      </c>
    </row>
    <row r="13307">
      <c r="A13307" s="76" t="s">
        <v>36</v>
      </c>
      <c r="B13307" s="76" t="s">
        <v>1041</v>
      </c>
      <c r="C13307" s="84">
        <v>0.72</v>
      </c>
      <c r="D13307" s="84">
        <v>0.0</v>
      </c>
      <c r="E13307" s="84">
        <v>0.0</v>
      </c>
      <c r="F13307" s="76" t="s">
        <v>998</v>
      </c>
      <c r="G13307" s="83">
        <v>46122.0</v>
      </c>
      <c r="H13307" s="76" t="s">
        <v>928</v>
      </c>
    </row>
    <row r="13308">
      <c r="A13308" s="76" t="s">
        <v>34</v>
      </c>
      <c r="B13308" s="76" t="s">
        <v>1041</v>
      </c>
      <c r="C13308" s="84">
        <v>0.52</v>
      </c>
      <c r="D13308" s="84">
        <v>0.0</v>
      </c>
      <c r="E13308" s="84">
        <v>0.0</v>
      </c>
      <c r="F13308" s="76" t="s">
        <v>998</v>
      </c>
      <c r="G13308" s="83">
        <v>46122.0</v>
      </c>
      <c r="H13308" s="76" t="s">
        <v>951</v>
      </c>
    </row>
    <row r="13309">
      <c r="A13309" s="76" t="s">
        <v>34</v>
      </c>
      <c r="B13309" s="76" t="s">
        <v>1041</v>
      </c>
      <c r="C13309" s="84">
        <v>0.76</v>
      </c>
      <c r="D13309" s="84">
        <v>0.0</v>
      </c>
      <c r="E13309" s="84">
        <v>0.0</v>
      </c>
      <c r="F13309" s="76" t="s">
        <v>998</v>
      </c>
      <c r="G13309" s="83">
        <v>46122.0</v>
      </c>
      <c r="H13309" s="76" t="s">
        <v>952</v>
      </c>
    </row>
    <row r="13310">
      <c r="A13310" s="76" t="s">
        <v>34</v>
      </c>
      <c r="B13310" s="76" t="s">
        <v>1041</v>
      </c>
      <c r="C13310" s="84">
        <v>0.2</v>
      </c>
      <c r="D13310" s="84">
        <v>0.0</v>
      </c>
      <c r="E13310" s="84">
        <v>0.0</v>
      </c>
      <c r="F13310" s="76" t="s">
        <v>998</v>
      </c>
      <c r="G13310" s="83">
        <v>46122.0</v>
      </c>
      <c r="H13310" s="76" t="s">
        <v>953</v>
      </c>
    </row>
    <row r="13311">
      <c r="A13311" s="76" t="s">
        <v>33</v>
      </c>
      <c r="B13311" s="76" t="s">
        <v>1041</v>
      </c>
      <c r="C13311" s="84">
        <v>5.2</v>
      </c>
      <c r="D13311" s="84">
        <v>0.0</v>
      </c>
      <c r="E13311" s="84">
        <v>0.0</v>
      </c>
      <c r="F13311" s="76" t="s">
        <v>998</v>
      </c>
      <c r="G13311" s="83">
        <v>46122.0</v>
      </c>
      <c r="H13311" s="76" t="s">
        <v>957</v>
      </c>
    </row>
    <row r="13312">
      <c r="A13312" s="76" t="s">
        <v>33</v>
      </c>
      <c r="B13312" s="76" t="s">
        <v>1041</v>
      </c>
      <c r="C13312" s="84">
        <v>0.33</v>
      </c>
      <c r="D13312" s="84">
        <v>0.0</v>
      </c>
      <c r="E13312" s="84">
        <v>0.0</v>
      </c>
      <c r="F13312" s="76" t="s">
        <v>998</v>
      </c>
      <c r="G13312" s="83">
        <v>46122.0</v>
      </c>
      <c r="H13312" s="76" t="s">
        <v>958</v>
      </c>
    </row>
    <row r="13313">
      <c r="A13313" s="76" t="s">
        <v>33</v>
      </c>
      <c r="B13313" s="76" t="s">
        <v>1041</v>
      </c>
      <c r="C13313" s="84">
        <v>0.65</v>
      </c>
      <c r="D13313" s="84">
        <v>0.0</v>
      </c>
      <c r="E13313" s="84">
        <v>0.0</v>
      </c>
      <c r="F13313" s="76" t="s">
        <v>998</v>
      </c>
      <c r="G13313" s="83">
        <v>46122.0</v>
      </c>
      <c r="H13313" s="76" t="s">
        <v>959</v>
      </c>
    </row>
    <row r="13314">
      <c r="A13314" s="76" t="s">
        <v>29</v>
      </c>
      <c r="B13314" s="76" t="s">
        <v>1041</v>
      </c>
      <c r="C13314" s="84">
        <v>1.23</v>
      </c>
      <c r="D13314" s="84">
        <v>0.0</v>
      </c>
      <c r="E13314" s="84">
        <v>0.0</v>
      </c>
      <c r="F13314" s="76" t="s">
        <v>998</v>
      </c>
      <c r="G13314" s="83">
        <v>46122.0</v>
      </c>
      <c r="H13314" s="76" t="s">
        <v>971</v>
      </c>
    </row>
    <row r="13315">
      <c r="A13315" s="76" t="s">
        <v>29</v>
      </c>
      <c r="B13315" s="76" t="s">
        <v>1041</v>
      </c>
      <c r="C13315" s="84">
        <v>0.28</v>
      </c>
      <c r="D13315" s="84">
        <v>0.0</v>
      </c>
      <c r="E13315" s="84">
        <v>0.0</v>
      </c>
      <c r="F13315" s="76" t="s">
        <v>998</v>
      </c>
      <c r="G13315" s="83">
        <v>46122.0</v>
      </c>
      <c r="H13315" s="76" t="s">
        <v>972</v>
      </c>
    </row>
    <row r="13316">
      <c r="A13316" s="76" t="s">
        <v>29</v>
      </c>
      <c r="B13316" s="76" t="s">
        <v>1041</v>
      </c>
      <c r="C13316" s="84">
        <v>2.37</v>
      </c>
      <c r="D13316" s="84">
        <v>1.0</v>
      </c>
      <c r="E13316" s="84">
        <v>2.37</v>
      </c>
      <c r="F13316" s="76" t="s">
        <v>998</v>
      </c>
      <c r="G13316" s="83">
        <v>46122.0</v>
      </c>
      <c r="H13316" s="76" t="s">
        <v>973</v>
      </c>
    </row>
    <row r="13317">
      <c r="A13317" s="76" t="s">
        <v>46</v>
      </c>
      <c r="B13317" s="76" t="s">
        <v>1041</v>
      </c>
      <c r="C13317" s="84">
        <v>0.81</v>
      </c>
      <c r="D13317" s="84">
        <v>0.0</v>
      </c>
      <c r="E13317" s="84">
        <v>0.0</v>
      </c>
      <c r="F13317" s="76" t="s">
        <v>998</v>
      </c>
      <c r="G13317" s="83">
        <v>46122.0</v>
      </c>
      <c r="H13317" s="76" t="s">
        <v>960</v>
      </c>
    </row>
    <row r="13318">
      <c r="A13318" s="76" t="s">
        <v>46</v>
      </c>
      <c r="B13318" s="76" t="s">
        <v>1041</v>
      </c>
      <c r="C13318" s="84">
        <v>0.19</v>
      </c>
      <c r="D13318" s="84">
        <v>0.0</v>
      </c>
      <c r="E13318" s="84">
        <v>0.0</v>
      </c>
      <c r="F13318" s="76" t="s">
        <v>998</v>
      </c>
      <c r="G13318" s="83">
        <v>46122.0</v>
      </c>
      <c r="H13318" s="76" t="s">
        <v>961</v>
      </c>
    </row>
    <row r="13319">
      <c r="A13319" s="76" t="s">
        <v>46</v>
      </c>
      <c r="B13319" s="76" t="s">
        <v>1041</v>
      </c>
      <c r="C13319" s="84">
        <v>0.32</v>
      </c>
      <c r="D13319" s="84">
        <v>0.0</v>
      </c>
      <c r="E13319" s="84">
        <v>0.0</v>
      </c>
      <c r="F13319" s="76" t="s">
        <v>998</v>
      </c>
      <c r="G13319" s="83">
        <v>46122.0</v>
      </c>
      <c r="H13319" s="76" t="s">
        <v>962</v>
      </c>
    </row>
    <row r="13320">
      <c r="A13320" s="76" t="s">
        <v>40</v>
      </c>
      <c r="B13320" s="76" t="s">
        <v>1041</v>
      </c>
      <c r="C13320" s="84">
        <v>0.3</v>
      </c>
      <c r="D13320" s="84">
        <v>0.0</v>
      </c>
      <c r="E13320" s="84">
        <v>0.0</v>
      </c>
      <c r="F13320" s="76" t="s">
        <v>998</v>
      </c>
      <c r="G13320" s="83">
        <v>46122.0</v>
      </c>
      <c r="H13320" s="76" t="s">
        <v>954</v>
      </c>
    </row>
    <row r="13321">
      <c r="A13321" s="76" t="s">
        <v>40</v>
      </c>
      <c r="B13321" s="76" t="s">
        <v>1041</v>
      </c>
      <c r="C13321" s="84">
        <v>0.19</v>
      </c>
      <c r="D13321" s="84">
        <v>0.0</v>
      </c>
      <c r="E13321" s="84">
        <v>0.0</v>
      </c>
      <c r="F13321" s="76" t="s">
        <v>998</v>
      </c>
      <c r="G13321" s="83">
        <v>46122.0</v>
      </c>
      <c r="H13321" s="76" t="s">
        <v>955</v>
      </c>
    </row>
    <row r="13322">
      <c r="A13322" s="76" t="s">
        <v>40</v>
      </c>
      <c r="B13322" s="76" t="s">
        <v>1041</v>
      </c>
      <c r="C13322" s="84">
        <v>4.46</v>
      </c>
      <c r="D13322" s="84">
        <v>0.0</v>
      </c>
      <c r="E13322" s="84">
        <v>0.0</v>
      </c>
      <c r="F13322" s="76" t="s">
        <v>998</v>
      </c>
      <c r="G13322" s="83">
        <v>46122.0</v>
      </c>
      <c r="H13322" s="76" t="s">
        <v>956</v>
      </c>
    </row>
    <row r="13323">
      <c r="A13323" s="76" t="s">
        <v>966</v>
      </c>
      <c r="B13323" s="76" t="s">
        <v>1041</v>
      </c>
      <c r="C13323" s="84">
        <v>0.71</v>
      </c>
      <c r="D13323" s="84">
        <v>0.0</v>
      </c>
      <c r="E13323" s="84">
        <v>0.0</v>
      </c>
      <c r="F13323" s="76" t="s">
        <v>998</v>
      </c>
      <c r="G13323" s="83">
        <v>46122.0</v>
      </c>
      <c r="H13323" s="76" t="s">
        <v>967</v>
      </c>
    </row>
    <row r="13324">
      <c r="A13324" s="76" t="s">
        <v>966</v>
      </c>
      <c r="B13324" s="76" t="s">
        <v>1041</v>
      </c>
      <c r="C13324" s="84">
        <v>0.26</v>
      </c>
      <c r="D13324" s="84">
        <v>0.0</v>
      </c>
      <c r="E13324" s="84">
        <v>0.0</v>
      </c>
      <c r="F13324" s="76" t="s">
        <v>998</v>
      </c>
      <c r="G13324" s="83">
        <v>46122.0</v>
      </c>
      <c r="H13324" s="76" t="s">
        <v>968</v>
      </c>
    </row>
    <row r="13325">
      <c r="A13325" s="76" t="s">
        <v>966</v>
      </c>
      <c r="B13325" s="76" t="s">
        <v>1041</v>
      </c>
      <c r="C13325" s="84">
        <v>0.58</v>
      </c>
      <c r="D13325" s="84">
        <v>0.0</v>
      </c>
      <c r="E13325" s="84">
        <v>0.0</v>
      </c>
      <c r="F13325" s="76" t="s">
        <v>998</v>
      </c>
      <c r="G13325" s="83">
        <v>46122.0</v>
      </c>
      <c r="H13325" s="76" t="s">
        <v>969</v>
      </c>
    </row>
    <row r="13326">
      <c r="A13326" s="76" t="s">
        <v>43</v>
      </c>
      <c r="B13326" s="76" t="s">
        <v>1041</v>
      </c>
      <c r="C13326" s="84">
        <v>0.13</v>
      </c>
      <c r="D13326" s="84">
        <v>0.0</v>
      </c>
      <c r="E13326" s="84">
        <v>0.0</v>
      </c>
      <c r="F13326" s="76" t="s">
        <v>998</v>
      </c>
      <c r="G13326" s="83">
        <v>46122.0</v>
      </c>
      <c r="H13326" s="76" t="s">
        <v>963</v>
      </c>
    </row>
    <row r="13327">
      <c r="A13327" s="76" t="s">
        <v>43</v>
      </c>
      <c r="B13327" s="76" t="s">
        <v>1041</v>
      </c>
      <c r="C13327" s="84">
        <v>0.65</v>
      </c>
      <c r="D13327" s="84">
        <v>0.0</v>
      </c>
      <c r="E13327" s="84">
        <v>0.0</v>
      </c>
      <c r="F13327" s="76" t="s">
        <v>998</v>
      </c>
      <c r="G13327" s="83">
        <v>46122.0</v>
      </c>
      <c r="H13327" s="76" t="s">
        <v>964</v>
      </c>
    </row>
    <row r="13328">
      <c r="A13328" s="76" t="s">
        <v>43</v>
      </c>
      <c r="B13328" s="76" t="s">
        <v>1041</v>
      </c>
      <c r="C13328" s="84">
        <v>0.54</v>
      </c>
      <c r="D13328" s="84">
        <v>0.0</v>
      </c>
      <c r="E13328" s="84">
        <v>0.0</v>
      </c>
      <c r="F13328" s="76" t="s">
        <v>998</v>
      </c>
      <c r="G13328" s="83">
        <v>46122.0</v>
      </c>
      <c r="H13328" s="76" t="s">
        <v>965</v>
      </c>
    </row>
    <row r="13329">
      <c r="A13329" s="76" t="s">
        <v>970</v>
      </c>
      <c r="B13329" s="76" t="s">
        <v>1041</v>
      </c>
      <c r="C13329" s="84">
        <v>1.18</v>
      </c>
      <c r="D13329" s="84">
        <v>1.0</v>
      </c>
      <c r="E13329" s="84">
        <v>1.18</v>
      </c>
      <c r="F13329" s="76" t="s">
        <v>998</v>
      </c>
      <c r="G13329" s="83">
        <v>46122.0</v>
      </c>
      <c r="H13329" s="76" t="s">
        <v>971</v>
      </c>
    </row>
    <row r="13330">
      <c r="A13330" s="76" t="s">
        <v>970</v>
      </c>
      <c r="B13330" s="76" t="s">
        <v>1041</v>
      </c>
      <c r="C13330" s="84">
        <v>0.28</v>
      </c>
      <c r="D13330" s="84">
        <v>0.0</v>
      </c>
      <c r="E13330" s="84">
        <v>0.0</v>
      </c>
      <c r="F13330" s="76" t="s">
        <v>998</v>
      </c>
      <c r="G13330" s="83">
        <v>46122.0</v>
      </c>
      <c r="H13330" s="76" t="s">
        <v>972</v>
      </c>
    </row>
    <row r="13331">
      <c r="A13331" s="76" t="s">
        <v>970</v>
      </c>
      <c r="B13331" s="76" t="s">
        <v>1041</v>
      </c>
      <c r="C13331" s="84">
        <v>1.61</v>
      </c>
      <c r="D13331" s="84">
        <v>0.0</v>
      </c>
      <c r="E13331" s="84">
        <v>0.0</v>
      </c>
      <c r="F13331" s="76" t="s">
        <v>998</v>
      </c>
      <c r="G13331" s="83">
        <v>46122.0</v>
      </c>
      <c r="H13331" s="76" t="s">
        <v>973</v>
      </c>
    </row>
    <row r="13332">
      <c r="A13332" s="76" t="s">
        <v>46</v>
      </c>
      <c r="B13332" s="76" t="s">
        <v>1041</v>
      </c>
      <c r="C13332" s="84">
        <v>0.16</v>
      </c>
      <c r="D13332" s="84">
        <v>0.0</v>
      </c>
      <c r="E13332" s="84">
        <v>0.0</v>
      </c>
      <c r="F13332" s="76" t="s">
        <v>997</v>
      </c>
      <c r="G13332" s="83">
        <v>46122.0</v>
      </c>
      <c r="H13332" s="76" t="s">
        <v>960</v>
      </c>
    </row>
    <row r="13333">
      <c r="A13333" s="76" t="s">
        <v>46</v>
      </c>
      <c r="B13333" s="76" t="s">
        <v>1041</v>
      </c>
      <c r="C13333" s="84">
        <v>0.11</v>
      </c>
      <c r="D13333" s="84">
        <v>0.0</v>
      </c>
      <c r="E13333" s="84">
        <v>0.0</v>
      </c>
      <c r="F13333" s="76" t="s">
        <v>997</v>
      </c>
      <c r="G13333" s="83">
        <v>46122.0</v>
      </c>
      <c r="H13333" s="76" t="s">
        <v>961</v>
      </c>
    </row>
    <row r="13334">
      <c r="A13334" s="76" t="s">
        <v>46</v>
      </c>
      <c r="B13334" s="76" t="s">
        <v>1041</v>
      </c>
      <c r="C13334" s="84">
        <v>0.12</v>
      </c>
      <c r="D13334" s="84">
        <v>0.0</v>
      </c>
      <c r="E13334" s="84">
        <v>0.0</v>
      </c>
      <c r="F13334" s="76" t="s">
        <v>997</v>
      </c>
      <c r="G13334" s="83">
        <v>46122.0</v>
      </c>
      <c r="H13334" s="76" t="s">
        <v>962</v>
      </c>
    </row>
    <row r="13335">
      <c r="A13335" s="76" t="s">
        <v>34</v>
      </c>
      <c r="B13335" s="76" t="s">
        <v>1041</v>
      </c>
      <c r="C13335" s="84">
        <v>0.32</v>
      </c>
      <c r="D13335" s="84">
        <v>0.0</v>
      </c>
      <c r="E13335" s="84">
        <v>0.0</v>
      </c>
      <c r="F13335" s="76" t="s">
        <v>997</v>
      </c>
      <c r="G13335" s="83">
        <v>46122.0</v>
      </c>
      <c r="H13335" s="76" t="s">
        <v>951</v>
      </c>
    </row>
    <row r="13336">
      <c r="A13336" s="76" t="s">
        <v>34</v>
      </c>
      <c r="B13336" s="76" t="s">
        <v>1041</v>
      </c>
      <c r="C13336" s="84">
        <v>0.38</v>
      </c>
      <c r="D13336" s="84">
        <v>0.0</v>
      </c>
      <c r="E13336" s="84">
        <v>0.0</v>
      </c>
      <c r="F13336" s="76" t="s">
        <v>997</v>
      </c>
      <c r="G13336" s="83">
        <v>46122.0</v>
      </c>
      <c r="H13336" s="76" t="s">
        <v>952</v>
      </c>
    </row>
    <row r="13337">
      <c r="A13337" s="76" t="s">
        <v>34</v>
      </c>
      <c r="B13337" s="76" t="s">
        <v>1041</v>
      </c>
      <c r="C13337" s="84">
        <v>0.14</v>
      </c>
      <c r="D13337" s="84">
        <v>0.0</v>
      </c>
      <c r="E13337" s="84">
        <v>0.0</v>
      </c>
      <c r="F13337" s="76" t="s">
        <v>997</v>
      </c>
      <c r="G13337" s="83">
        <v>46122.0</v>
      </c>
      <c r="H13337" s="76" t="s">
        <v>953</v>
      </c>
    </row>
    <row r="13338">
      <c r="A13338" s="76" t="s">
        <v>40</v>
      </c>
      <c r="B13338" s="76" t="s">
        <v>1041</v>
      </c>
      <c r="C13338" s="84">
        <v>0.13</v>
      </c>
      <c r="D13338" s="84">
        <v>0.0</v>
      </c>
      <c r="E13338" s="84">
        <v>0.0</v>
      </c>
      <c r="F13338" s="76" t="s">
        <v>997</v>
      </c>
      <c r="G13338" s="83">
        <v>46122.0</v>
      </c>
      <c r="H13338" s="76" t="s">
        <v>954</v>
      </c>
    </row>
    <row r="13339">
      <c r="A13339" s="76" t="s">
        <v>40</v>
      </c>
      <c r="B13339" s="76" t="s">
        <v>1041</v>
      </c>
      <c r="C13339" s="84">
        <v>0.17</v>
      </c>
      <c r="D13339" s="84">
        <v>0.0</v>
      </c>
      <c r="E13339" s="84">
        <v>0.0</v>
      </c>
      <c r="F13339" s="76" t="s">
        <v>997</v>
      </c>
      <c r="G13339" s="83">
        <v>46122.0</v>
      </c>
      <c r="H13339" s="76" t="s">
        <v>955</v>
      </c>
    </row>
    <row r="13340">
      <c r="A13340" s="76" t="s">
        <v>40</v>
      </c>
      <c r="B13340" s="76" t="s">
        <v>1041</v>
      </c>
      <c r="C13340" s="84">
        <v>1.89</v>
      </c>
      <c r="D13340" s="84">
        <v>1.0</v>
      </c>
      <c r="E13340" s="84">
        <v>1.89</v>
      </c>
      <c r="F13340" s="76" t="s">
        <v>997</v>
      </c>
      <c r="G13340" s="83">
        <v>46122.0</v>
      </c>
      <c r="H13340" s="76" t="s">
        <v>956</v>
      </c>
    </row>
    <row r="13341">
      <c r="A13341" s="76" t="s">
        <v>36</v>
      </c>
      <c r="B13341" s="76" t="s">
        <v>1041</v>
      </c>
      <c r="C13341" s="84">
        <v>0.86</v>
      </c>
      <c r="D13341" s="84">
        <v>1.0</v>
      </c>
      <c r="E13341" s="84">
        <v>0.86</v>
      </c>
      <c r="F13341" s="76" t="s">
        <v>997</v>
      </c>
      <c r="G13341" s="83">
        <v>46122.0</v>
      </c>
      <c r="H13341" s="76" t="s">
        <v>926</v>
      </c>
    </row>
    <row r="13342">
      <c r="A13342" s="76" t="s">
        <v>36</v>
      </c>
      <c r="B13342" s="76" t="s">
        <v>1041</v>
      </c>
      <c r="C13342" s="84">
        <v>0.11</v>
      </c>
      <c r="D13342" s="84">
        <v>0.0</v>
      </c>
      <c r="E13342" s="84">
        <v>0.0</v>
      </c>
      <c r="F13342" s="76" t="s">
        <v>997</v>
      </c>
      <c r="G13342" s="83">
        <v>46122.0</v>
      </c>
      <c r="H13342" s="76" t="s">
        <v>927</v>
      </c>
    </row>
    <row r="13343">
      <c r="A13343" s="76" t="s">
        <v>36</v>
      </c>
      <c r="B13343" s="76" t="s">
        <v>1041</v>
      </c>
      <c r="C13343" s="84">
        <v>0.32</v>
      </c>
      <c r="D13343" s="84">
        <v>0.0</v>
      </c>
      <c r="E13343" s="84">
        <v>0.0</v>
      </c>
      <c r="F13343" s="76" t="s">
        <v>997</v>
      </c>
      <c r="G13343" s="83">
        <v>46122.0</v>
      </c>
      <c r="H13343" s="76" t="s">
        <v>928</v>
      </c>
    </row>
    <row r="13344">
      <c r="A13344" s="76" t="s">
        <v>970</v>
      </c>
      <c r="B13344" s="76" t="s">
        <v>1041</v>
      </c>
      <c r="C13344" s="84">
        <v>0.66</v>
      </c>
      <c r="D13344" s="84">
        <v>0.0</v>
      </c>
      <c r="E13344" s="84">
        <v>0.0</v>
      </c>
      <c r="F13344" s="76" t="s">
        <v>997</v>
      </c>
      <c r="G13344" s="83">
        <v>46122.0</v>
      </c>
      <c r="H13344" s="76" t="s">
        <v>971</v>
      </c>
    </row>
    <row r="13345">
      <c r="A13345" s="76" t="s">
        <v>970</v>
      </c>
      <c r="B13345" s="76" t="s">
        <v>1041</v>
      </c>
      <c r="C13345" s="84">
        <v>0.06</v>
      </c>
      <c r="D13345" s="84">
        <v>0.0</v>
      </c>
      <c r="E13345" s="84">
        <v>0.0</v>
      </c>
      <c r="F13345" s="76" t="s">
        <v>997</v>
      </c>
      <c r="G13345" s="83">
        <v>46122.0</v>
      </c>
      <c r="H13345" s="76" t="s">
        <v>972</v>
      </c>
    </row>
    <row r="13346">
      <c r="A13346" s="76" t="s">
        <v>970</v>
      </c>
      <c r="B13346" s="76" t="s">
        <v>1041</v>
      </c>
      <c r="C13346" s="84">
        <v>1.02</v>
      </c>
      <c r="D13346" s="84">
        <v>1.0</v>
      </c>
      <c r="E13346" s="84">
        <v>1.02</v>
      </c>
      <c r="F13346" s="76" t="s">
        <v>997</v>
      </c>
      <c r="G13346" s="83">
        <v>46122.0</v>
      </c>
      <c r="H13346" s="76" t="s">
        <v>973</v>
      </c>
    </row>
    <row r="13347">
      <c r="A13347" s="76" t="s">
        <v>33</v>
      </c>
      <c r="B13347" s="76" t="s">
        <v>1041</v>
      </c>
      <c r="C13347" s="84">
        <v>5.14</v>
      </c>
      <c r="D13347" s="84">
        <v>0.0</v>
      </c>
      <c r="E13347" s="84">
        <v>0.0</v>
      </c>
      <c r="F13347" s="76" t="s">
        <v>997</v>
      </c>
      <c r="G13347" s="83">
        <v>46122.0</v>
      </c>
      <c r="H13347" s="76" t="s">
        <v>957</v>
      </c>
    </row>
    <row r="13348">
      <c r="A13348" s="76" t="s">
        <v>33</v>
      </c>
      <c r="B13348" s="76" t="s">
        <v>1041</v>
      </c>
      <c r="C13348" s="84">
        <v>0.19</v>
      </c>
      <c r="D13348" s="84">
        <v>0.0</v>
      </c>
      <c r="E13348" s="84">
        <v>0.0</v>
      </c>
      <c r="F13348" s="76" t="s">
        <v>997</v>
      </c>
      <c r="G13348" s="83">
        <v>46122.0</v>
      </c>
      <c r="H13348" s="76" t="s">
        <v>958</v>
      </c>
    </row>
    <row r="13349">
      <c r="A13349" s="76" t="s">
        <v>33</v>
      </c>
      <c r="B13349" s="76" t="s">
        <v>1041</v>
      </c>
      <c r="C13349" s="84">
        <v>0.48</v>
      </c>
      <c r="D13349" s="84">
        <v>0.0</v>
      </c>
      <c r="E13349" s="84">
        <v>0.0</v>
      </c>
      <c r="F13349" s="76" t="s">
        <v>997</v>
      </c>
      <c r="G13349" s="83">
        <v>46122.0</v>
      </c>
      <c r="H13349" s="76" t="s">
        <v>959</v>
      </c>
    </row>
    <row r="13350">
      <c r="A13350" s="76" t="s">
        <v>29</v>
      </c>
      <c r="B13350" s="76" t="s">
        <v>1041</v>
      </c>
      <c r="C13350" s="84">
        <v>0.62</v>
      </c>
      <c r="D13350" s="84">
        <v>0.0</v>
      </c>
      <c r="E13350" s="84">
        <v>0.0</v>
      </c>
      <c r="F13350" s="76" t="s">
        <v>997</v>
      </c>
      <c r="G13350" s="83">
        <v>46122.0</v>
      </c>
      <c r="H13350" s="76" t="s">
        <v>971</v>
      </c>
    </row>
    <row r="13351">
      <c r="A13351" s="76" t="s">
        <v>29</v>
      </c>
      <c r="B13351" s="76" t="s">
        <v>1041</v>
      </c>
      <c r="C13351" s="84">
        <v>0.13</v>
      </c>
      <c r="D13351" s="84">
        <v>0.0</v>
      </c>
      <c r="E13351" s="84">
        <v>0.0</v>
      </c>
      <c r="F13351" s="76" t="s">
        <v>997</v>
      </c>
      <c r="G13351" s="83">
        <v>46122.0</v>
      </c>
      <c r="H13351" s="76" t="s">
        <v>972</v>
      </c>
    </row>
    <row r="13352">
      <c r="A13352" s="76" t="s">
        <v>29</v>
      </c>
      <c r="B13352" s="76" t="s">
        <v>1041</v>
      </c>
      <c r="C13352" s="84">
        <v>1.0</v>
      </c>
      <c r="D13352" s="84">
        <v>0.0</v>
      </c>
      <c r="E13352" s="84">
        <v>0.0</v>
      </c>
      <c r="F13352" s="76" t="s">
        <v>997</v>
      </c>
      <c r="G13352" s="83">
        <v>46122.0</v>
      </c>
      <c r="H13352" s="76" t="s">
        <v>973</v>
      </c>
    </row>
    <row r="13353">
      <c r="A13353" s="76" t="s">
        <v>43</v>
      </c>
      <c r="B13353" s="76" t="s">
        <v>1041</v>
      </c>
      <c r="C13353" s="84">
        <v>0.04</v>
      </c>
      <c r="D13353" s="84">
        <v>0.0</v>
      </c>
      <c r="E13353" s="84">
        <v>0.0</v>
      </c>
      <c r="F13353" s="76" t="s">
        <v>997</v>
      </c>
      <c r="G13353" s="83">
        <v>46122.0</v>
      </c>
      <c r="H13353" s="76" t="s">
        <v>963</v>
      </c>
    </row>
    <row r="13354">
      <c r="A13354" s="76" t="s">
        <v>43</v>
      </c>
      <c r="B13354" s="76" t="s">
        <v>1041</v>
      </c>
      <c r="C13354" s="84">
        <v>0.22</v>
      </c>
      <c r="D13354" s="84">
        <v>0.0</v>
      </c>
      <c r="E13354" s="84">
        <v>0.0</v>
      </c>
      <c r="F13354" s="76" t="s">
        <v>997</v>
      </c>
      <c r="G13354" s="83">
        <v>46122.0</v>
      </c>
      <c r="H13354" s="76" t="s">
        <v>964</v>
      </c>
    </row>
    <row r="13355">
      <c r="A13355" s="76" t="s">
        <v>43</v>
      </c>
      <c r="B13355" s="76" t="s">
        <v>1041</v>
      </c>
      <c r="C13355" s="84">
        <v>0.08</v>
      </c>
      <c r="D13355" s="84">
        <v>0.0</v>
      </c>
      <c r="E13355" s="84">
        <v>0.0</v>
      </c>
      <c r="F13355" s="76" t="s">
        <v>997</v>
      </c>
      <c r="G13355" s="83">
        <v>46122.0</v>
      </c>
      <c r="H13355" s="76" t="s">
        <v>965</v>
      </c>
    </row>
    <row r="13356">
      <c r="A13356" s="76" t="s">
        <v>966</v>
      </c>
      <c r="B13356" s="76" t="s">
        <v>1041</v>
      </c>
      <c r="C13356" s="84">
        <v>0.32</v>
      </c>
      <c r="D13356" s="84">
        <v>0.0</v>
      </c>
      <c r="E13356" s="84">
        <v>0.0</v>
      </c>
      <c r="F13356" s="76" t="s">
        <v>997</v>
      </c>
      <c r="G13356" s="83">
        <v>46122.0</v>
      </c>
      <c r="H13356" s="76" t="s">
        <v>967</v>
      </c>
    </row>
    <row r="13357">
      <c r="A13357" s="76" t="s">
        <v>966</v>
      </c>
      <c r="B13357" s="76" t="s">
        <v>1041</v>
      </c>
      <c r="C13357" s="84">
        <v>0.03</v>
      </c>
      <c r="D13357" s="84">
        <v>0.0</v>
      </c>
      <c r="E13357" s="84">
        <v>0.0</v>
      </c>
      <c r="F13357" s="76" t="s">
        <v>997</v>
      </c>
      <c r="G13357" s="83">
        <v>46122.0</v>
      </c>
      <c r="H13357" s="76" t="s">
        <v>968</v>
      </c>
    </row>
    <row r="13358">
      <c r="A13358" s="76" t="s">
        <v>966</v>
      </c>
      <c r="B13358" s="76" t="s">
        <v>1041</v>
      </c>
      <c r="C13358" s="84">
        <v>0.35</v>
      </c>
      <c r="D13358" s="84">
        <v>0.0</v>
      </c>
      <c r="E13358" s="84">
        <v>0.0</v>
      </c>
      <c r="F13358" s="76" t="s">
        <v>997</v>
      </c>
      <c r="G13358" s="83">
        <v>46122.0</v>
      </c>
      <c r="H13358" s="76" t="s">
        <v>969</v>
      </c>
    </row>
    <row r="13359">
      <c r="A13359" s="76" t="s">
        <v>32</v>
      </c>
      <c r="B13359" s="76" t="s">
        <v>1032</v>
      </c>
      <c r="C13359" s="84">
        <v>4.31</v>
      </c>
      <c r="D13359" s="84">
        <v>0.0</v>
      </c>
      <c r="E13359" s="84">
        <v>0.0</v>
      </c>
      <c r="F13359" s="76" t="s">
        <v>996</v>
      </c>
      <c r="G13359" s="83">
        <v>46122.0</v>
      </c>
      <c r="H13359" s="76" t="s">
        <v>941</v>
      </c>
    </row>
    <row r="13360">
      <c r="A13360" s="76" t="s">
        <v>32</v>
      </c>
      <c r="B13360" s="76" t="s">
        <v>1032</v>
      </c>
      <c r="C13360" s="84">
        <v>1.27</v>
      </c>
      <c r="D13360" s="84">
        <v>0.0</v>
      </c>
      <c r="E13360" s="84">
        <v>0.0</v>
      </c>
      <c r="F13360" s="76" t="s">
        <v>996</v>
      </c>
      <c r="G13360" s="83">
        <v>46122.0</v>
      </c>
      <c r="H13360" s="76" t="s">
        <v>942</v>
      </c>
    </row>
    <row r="13361">
      <c r="A13361" s="76" t="s">
        <v>32</v>
      </c>
      <c r="B13361" s="76" t="s">
        <v>1032</v>
      </c>
      <c r="C13361" s="84">
        <v>5.7</v>
      </c>
      <c r="D13361" s="84">
        <v>1.0</v>
      </c>
      <c r="E13361" s="84">
        <v>5.7</v>
      </c>
      <c r="F13361" s="76" t="s">
        <v>996</v>
      </c>
      <c r="G13361" s="83">
        <v>46122.0</v>
      </c>
      <c r="H13361" s="76" t="s">
        <v>943</v>
      </c>
    </row>
    <row r="13362">
      <c r="A13362" s="76" t="s">
        <v>28</v>
      </c>
      <c r="B13362" s="76" t="s">
        <v>1032</v>
      </c>
      <c r="C13362" s="84">
        <v>0.46</v>
      </c>
      <c r="D13362" s="84">
        <v>0.0</v>
      </c>
      <c r="E13362" s="84">
        <v>0.0</v>
      </c>
      <c r="F13362" s="76" t="s">
        <v>996</v>
      </c>
      <c r="G13362" s="83">
        <v>46122.0</v>
      </c>
      <c r="H13362" s="76" t="s">
        <v>931</v>
      </c>
    </row>
    <row r="13363">
      <c r="A13363" s="76" t="s">
        <v>28</v>
      </c>
      <c r="B13363" s="76" t="s">
        <v>1032</v>
      </c>
      <c r="C13363" s="84">
        <v>0.45</v>
      </c>
      <c r="D13363" s="84">
        <v>0.0</v>
      </c>
      <c r="E13363" s="84">
        <v>0.0</v>
      </c>
      <c r="F13363" s="76" t="s">
        <v>996</v>
      </c>
      <c r="G13363" s="83">
        <v>46122.0</v>
      </c>
      <c r="H13363" s="76" t="s">
        <v>932</v>
      </c>
    </row>
    <row r="13364">
      <c r="A13364" s="76" t="s">
        <v>28</v>
      </c>
      <c r="B13364" s="76" t="s">
        <v>1032</v>
      </c>
      <c r="C13364" s="84">
        <v>6.21</v>
      </c>
      <c r="D13364" s="84">
        <v>4.0</v>
      </c>
      <c r="E13364" s="84">
        <v>1.55</v>
      </c>
      <c r="F13364" s="76" t="s">
        <v>996</v>
      </c>
      <c r="G13364" s="83">
        <v>46122.0</v>
      </c>
      <c r="H13364" s="76" t="s">
        <v>933</v>
      </c>
    </row>
    <row r="13365">
      <c r="A13365" s="76" t="s">
        <v>36</v>
      </c>
      <c r="B13365" s="76" t="s">
        <v>1032</v>
      </c>
      <c r="C13365" s="84">
        <v>1.96</v>
      </c>
      <c r="D13365" s="84">
        <v>0.0</v>
      </c>
      <c r="E13365" s="84">
        <v>0.0</v>
      </c>
      <c r="F13365" s="76" t="s">
        <v>996</v>
      </c>
      <c r="G13365" s="83">
        <v>46122.0</v>
      </c>
      <c r="H13365" s="76" t="s">
        <v>926</v>
      </c>
    </row>
    <row r="13366">
      <c r="A13366" s="76" t="s">
        <v>36</v>
      </c>
      <c r="B13366" s="76" t="s">
        <v>1032</v>
      </c>
      <c r="C13366" s="84">
        <v>0.25</v>
      </c>
      <c r="D13366" s="84">
        <v>0.0</v>
      </c>
      <c r="E13366" s="84">
        <v>0.0</v>
      </c>
      <c r="F13366" s="76" t="s">
        <v>996</v>
      </c>
      <c r="G13366" s="83">
        <v>46122.0</v>
      </c>
      <c r="H13366" s="76" t="s">
        <v>927</v>
      </c>
    </row>
    <row r="13367">
      <c r="A13367" s="76" t="s">
        <v>36</v>
      </c>
      <c r="B13367" s="76" t="s">
        <v>1032</v>
      </c>
      <c r="C13367" s="84">
        <v>1.23</v>
      </c>
      <c r="D13367" s="84">
        <v>0.0</v>
      </c>
      <c r="E13367" s="84">
        <v>0.0</v>
      </c>
      <c r="F13367" s="76" t="s">
        <v>996</v>
      </c>
      <c r="G13367" s="83">
        <v>46122.0</v>
      </c>
      <c r="H13367" s="76" t="s">
        <v>928</v>
      </c>
    </row>
    <row r="13368">
      <c r="A13368" s="76" t="s">
        <v>26</v>
      </c>
      <c r="B13368" s="76" t="s">
        <v>1032</v>
      </c>
      <c r="C13368" s="84">
        <v>1.48</v>
      </c>
      <c r="D13368" s="84">
        <v>0.0</v>
      </c>
      <c r="E13368" s="84">
        <v>0.0</v>
      </c>
      <c r="F13368" s="76" t="s">
        <v>996</v>
      </c>
      <c r="G13368" s="83">
        <v>46122.0</v>
      </c>
      <c r="H13368" s="76" t="s">
        <v>1012</v>
      </c>
    </row>
    <row r="13369">
      <c r="A13369" s="76" t="s">
        <v>26</v>
      </c>
      <c r="B13369" s="76" t="s">
        <v>1032</v>
      </c>
      <c r="C13369" s="84">
        <v>0.18</v>
      </c>
      <c r="D13369" s="84">
        <v>0.0</v>
      </c>
      <c r="E13369" s="84">
        <v>0.0</v>
      </c>
      <c r="F13369" s="76" t="s">
        <v>996</v>
      </c>
      <c r="G13369" s="83">
        <v>46122.0</v>
      </c>
      <c r="H13369" s="76" t="s">
        <v>1013</v>
      </c>
    </row>
    <row r="13370">
      <c r="A13370" s="76" t="s">
        <v>26</v>
      </c>
      <c r="B13370" s="76" t="s">
        <v>1032</v>
      </c>
      <c r="C13370" s="84">
        <v>89.93</v>
      </c>
      <c r="D13370" s="84">
        <v>14.0</v>
      </c>
      <c r="E13370" s="84">
        <v>6.42</v>
      </c>
      <c r="F13370" s="76" t="s">
        <v>996</v>
      </c>
      <c r="G13370" s="83">
        <v>46122.0</v>
      </c>
      <c r="H13370" s="76" t="s">
        <v>1014</v>
      </c>
    </row>
    <row r="13371">
      <c r="A13371" s="76" t="s">
        <v>45</v>
      </c>
      <c r="B13371" s="76" t="s">
        <v>1032</v>
      </c>
      <c r="C13371" s="84">
        <v>0.19</v>
      </c>
      <c r="D13371" s="84">
        <v>0.0</v>
      </c>
      <c r="E13371" s="84">
        <v>0.0</v>
      </c>
      <c r="F13371" s="76" t="s">
        <v>996</v>
      </c>
      <c r="G13371" s="83">
        <v>46122.0</v>
      </c>
      <c r="H13371" s="76" t="s">
        <v>936</v>
      </c>
    </row>
    <row r="13372">
      <c r="A13372" s="76" t="s">
        <v>45</v>
      </c>
      <c r="B13372" s="76" t="s">
        <v>1032</v>
      </c>
      <c r="C13372" s="84">
        <v>1.06</v>
      </c>
      <c r="D13372" s="84">
        <v>0.0</v>
      </c>
      <c r="E13372" s="84">
        <v>0.0</v>
      </c>
      <c r="F13372" s="76" t="s">
        <v>996</v>
      </c>
      <c r="G13372" s="83">
        <v>46122.0</v>
      </c>
      <c r="H13372" s="76" t="s">
        <v>937</v>
      </c>
    </row>
    <row r="13373">
      <c r="A13373" s="76" t="s">
        <v>45</v>
      </c>
      <c r="B13373" s="76" t="s">
        <v>1032</v>
      </c>
      <c r="C13373" s="84">
        <v>0.05</v>
      </c>
      <c r="D13373" s="84">
        <v>0.0</v>
      </c>
      <c r="E13373" s="84">
        <v>0.0</v>
      </c>
      <c r="F13373" s="76" t="s">
        <v>996</v>
      </c>
      <c r="G13373" s="83">
        <v>46122.0</v>
      </c>
      <c r="H13373" s="76" t="s">
        <v>938</v>
      </c>
    </row>
    <row r="13374">
      <c r="A13374" s="76" t="s">
        <v>31</v>
      </c>
      <c r="B13374" s="76" t="s">
        <v>1032</v>
      </c>
      <c r="C13374" s="84">
        <v>1.18</v>
      </c>
      <c r="D13374" s="84">
        <v>0.0</v>
      </c>
      <c r="E13374" s="84">
        <v>0.0</v>
      </c>
      <c r="F13374" s="76" t="s">
        <v>996</v>
      </c>
      <c r="G13374" s="83">
        <v>46122.0</v>
      </c>
      <c r="H13374" s="76" t="s">
        <v>929</v>
      </c>
    </row>
    <row r="13375">
      <c r="A13375" s="76" t="s">
        <v>31</v>
      </c>
      <c r="B13375" s="76" t="s">
        <v>1032</v>
      </c>
      <c r="C13375" s="84">
        <v>76.24</v>
      </c>
      <c r="D13375" s="84">
        <v>14.0</v>
      </c>
      <c r="E13375" s="84">
        <v>5.45</v>
      </c>
      <c r="F13375" s="76" t="s">
        <v>996</v>
      </c>
      <c r="G13375" s="83">
        <v>46122.0</v>
      </c>
      <c r="H13375" s="76" t="s">
        <v>930</v>
      </c>
    </row>
    <row r="13376">
      <c r="A13376" s="76" t="s">
        <v>944</v>
      </c>
      <c r="B13376" s="76" t="s">
        <v>1032</v>
      </c>
      <c r="C13376" s="84">
        <v>0.89</v>
      </c>
      <c r="D13376" s="84">
        <v>0.0</v>
      </c>
      <c r="E13376" s="84">
        <v>0.0</v>
      </c>
      <c r="F13376" s="76" t="s">
        <v>996</v>
      </c>
      <c r="G13376" s="83">
        <v>46122.0</v>
      </c>
      <c r="H13376" s="76" t="s">
        <v>945</v>
      </c>
    </row>
    <row r="13377">
      <c r="A13377" s="76" t="s">
        <v>944</v>
      </c>
      <c r="B13377" s="76" t="s">
        <v>1032</v>
      </c>
      <c r="C13377" s="84">
        <v>0.78</v>
      </c>
      <c r="D13377" s="84">
        <v>1.0</v>
      </c>
      <c r="E13377" s="84">
        <v>0.78</v>
      </c>
      <c r="F13377" s="76" t="s">
        <v>996</v>
      </c>
      <c r="G13377" s="83">
        <v>46122.0</v>
      </c>
      <c r="H13377" s="76" t="s">
        <v>946</v>
      </c>
    </row>
    <row r="13378">
      <c r="A13378" s="76" t="s">
        <v>944</v>
      </c>
      <c r="B13378" s="76" t="s">
        <v>1032</v>
      </c>
      <c r="C13378" s="84">
        <v>4.52</v>
      </c>
      <c r="D13378" s="84">
        <v>1.0</v>
      </c>
      <c r="E13378" s="84">
        <v>4.52</v>
      </c>
      <c r="F13378" s="76" t="s">
        <v>996</v>
      </c>
      <c r="G13378" s="83">
        <v>46122.0</v>
      </c>
      <c r="H13378" s="76" t="s">
        <v>947</v>
      </c>
    </row>
    <row r="13379">
      <c r="A13379" s="76" t="s">
        <v>1043</v>
      </c>
      <c r="B13379" s="76" t="s">
        <v>1032</v>
      </c>
      <c r="C13379" s="84">
        <v>2.46</v>
      </c>
      <c r="D13379" s="84">
        <v>0.0</v>
      </c>
      <c r="E13379" s="84">
        <v>0.0</v>
      </c>
      <c r="F13379" s="76" t="s">
        <v>996</v>
      </c>
      <c r="G13379" s="83">
        <v>46122.0</v>
      </c>
      <c r="H13379" s="76" t="s">
        <v>1044</v>
      </c>
    </row>
    <row r="13380">
      <c r="A13380" s="76" t="s">
        <v>52</v>
      </c>
      <c r="B13380" s="76" t="s">
        <v>1032</v>
      </c>
      <c r="C13380" s="84">
        <v>1.46</v>
      </c>
      <c r="D13380" s="84">
        <v>0.0</v>
      </c>
      <c r="E13380" s="84">
        <v>0.0</v>
      </c>
      <c r="F13380" s="76" t="s">
        <v>996</v>
      </c>
      <c r="G13380" s="83">
        <v>46122.0</v>
      </c>
      <c r="H13380" s="76" t="s">
        <v>1045</v>
      </c>
    </row>
    <row r="13381">
      <c r="A13381" s="76" t="s">
        <v>49</v>
      </c>
      <c r="B13381" s="76" t="s">
        <v>1032</v>
      </c>
      <c r="C13381" s="84">
        <v>1.71</v>
      </c>
      <c r="D13381" s="84">
        <v>3.0</v>
      </c>
      <c r="E13381" s="84">
        <v>0.57</v>
      </c>
      <c r="F13381" s="76" t="s">
        <v>996</v>
      </c>
      <c r="G13381" s="83">
        <v>46122.0</v>
      </c>
      <c r="H13381" s="76" t="s">
        <v>1046</v>
      </c>
    </row>
    <row r="13382">
      <c r="A13382" s="76" t="s">
        <v>28</v>
      </c>
      <c r="B13382" s="76" t="s">
        <v>1032</v>
      </c>
      <c r="C13382" s="84">
        <v>0.39</v>
      </c>
      <c r="D13382" s="84">
        <v>0.0</v>
      </c>
      <c r="E13382" s="84">
        <v>0.0</v>
      </c>
      <c r="F13382" s="76" t="s">
        <v>997</v>
      </c>
      <c r="G13382" s="83">
        <v>46122.0</v>
      </c>
      <c r="H13382" s="76" t="s">
        <v>931</v>
      </c>
    </row>
    <row r="13383">
      <c r="A13383" s="76" t="s">
        <v>28</v>
      </c>
      <c r="B13383" s="76" t="s">
        <v>1032</v>
      </c>
      <c r="C13383" s="84">
        <v>0.32</v>
      </c>
      <c r="D13383" s="84">
        <v>0.0</v>
      </c>
      <c r="E13383" s="84">
        <v>0.0</v>
      </c>
      <c r="F13383" s="76" t="s">
        <v>997</v>
      </c>
      <c r="G13383" s="83">
        <v>46122.0</v>
      </c>
      <c r="H13383" s="76" t="s">
        <v>932</v>
      </c>
    </row>
    <row r="13384">
      <c r="A13384" s="76" t="s">
        <v>28</v>
      </c>
      <c r="B13384" s="76" t="s">
        <v>1032</v>
      </c>
      <c r="C13384" s="84">
        <v>5.49</v>
      </c>
      <c r="D13384" s="84">
        <v>0.0</v>
      </c>
      <c r="E13384" s="84">
        <v>0.0</v>
      </c>
      <c r="F13384" s="76" t="s">
        <v>997</v>
      </c>
      <c r="G13384" s="83">
        <v>46122.0</v>
      </c>
      <c r="H13384" s="76" t="s">
        <v>933</v>
      </c>
    </row>
    <row r="13385">
      <c r="A13385" s="76" t="s">
        <v>45</v>
      </c>
      <c r="B13385" s="76" t="s">
        <v>1032</v>
      </c>
      <c r="C13385" s="84">
        <v>0.35</v>
      </c>
      <c r="D13385" s="84">
        <v>0.0</v>
      </c>
      <c r="E13385" s="84">
        <v>0.0</v>
      </c>
      <c r="F13385" s="76" t="s">
        <v>997</v>
      </c>
      <c r="G13385" s="83">
        <v>46122.0</v>
      </c>
      <c r="H13385" s="76" t="s">
        <v>936</v>
      </c>
    </row>
    <row r="13386">
      <c r="A13386" s="76" t="s">
        <v>45</v>
      </c>
      <c r="B13386" s="76" t="s">
        <v>1032</v>
      </c>
      <c r="C13386" s="84">
        <v>0.55</v>
      </c>
      <c r="D13386" s="84">
        <v>0.0</v>
      </c>
      <c r="E13386" s="84">
        <v>0.0</v>
      </c>
      <c r="F13386" s="76" t="s">
        <v>997</v>
      </c>
      <c r="G13386" s="83">
        <v>46122.0</v>
      </c>
      <c r="H13386" s="76" t="s">
        <v>937</v>
      </c>
    </row>
    <row r="13387">
      <c r="A13387" s="76" t="s">
        <v>45</v>
      </c>
      <c r="B13387" s="76" t="s">
        <v>1032</v>
      </c>
      <c r="C13387" s="84">
        <v>0.1</v>
      </c>
      <c r="D13387" s="84">
        <v>0.0</v>
      </c>
      <c r="E13387" s="84">
        <v>0.0</v>
      </c>
      <c r="F13387" s="76" t="s">
        <v>997</v>
      </c>
      <c r="G13387" s="83">
        <v>46122.0</v>
      </c>
      <c r="H13387" s="76" t="s">
        <v>938</v>
      </c>
    </row>
    <row r="13388">
      <c r="A13388" s="76" t="s">
        <v>32</v>
      </c>
      <c r="B13388" s="76" t="s">
        <v>1032</v>
      </c>
      <c r="C13388" s="84">
        <v>4.9</v>
      </c>
      <c r="D13388" s="84">
        <v>0.0</v>
      </c>
      <c r="E13388" s="84">
        <v>0.0</v>
      </c>
      <c r="F13388" s="76" t="s">
        <v>997</v>
      </c>
      <c r="G13388" s="83">
        <v>46122.0</v>
      </c>
      <c r="H13388" s="76" t="s">
        <v>941</v>
      </c>
    </row>
    <row r="13389">
      <c r="A13389" s="76" t="s">
        <v>32</v>
      </c>
      <c r="B13389" s="76" t="s">
        <v>1032</v>
      </c>
      <c r="C13389" s="84">
        <v>1.11</v>
      </c>
      <c r="D13389" s="84">
        <v>1.0</v>
      </c>
      <c r="E13389" s="84">
        <v>1.11</v>
      </c>
      <c r="F13389" s="76" t="s">
        <v>997</v>
      </c>
      <c r="G13389" s="83">
        <v>46122.0</v>
      </c>
      <c r="H13389" s="76" t="s">
        <v>942</v>
      </c>
    </row>
    <row r="13390">
      <c r="A13390" s="76" t="s">
        <v>32</v>
      </c>
      <c r="B13390" s="76" t="s">
        <v>1032</v>
      </c>
      <c r="C13390" s="84">
        <v>7.41</v>
      </c>
      <c r="D13390" s="84">
        <v>0.0</v>
      </c>
      <c r="E13390" s="84">
        <v>0.0</v>
      </c>
      <c r="F13390" s="76" t="s">
        <v>997</v>
      </c>
      <c r="G13390" s="83">
        <v>46122.0</v>
      </c>
      <c r="H13390" s="76" t="s">
        <v>943</v>
      </c>
    </row>
    <row r="13391">
      <c r="A13391" s="76" t="s">
        <v>944</v>
      </c>
      <c r="B13391" s="76" t="s">
        <v>1032</v>
      </c>
      <c r="C13391" s="84">
        <v>0.62</v>
      </c>
      <c r="D13391" s="84">
        <v>0.0</v>
      </c>
      <c r="E13391" s="84">
        <v>0.0</v>
      </c>
      <c r="F13391" s="76" t="s">
        <v>997</v>
      </c>
      <c r="G13391" s="83">
        <v>46122.0</v>
      </c>
      <c r="H13391" s="76" t="s">
        <v>945</v>
      </c>
    </row>
    <row r="13392">
      <c r="A13392" s="76" t="s">
        <v>944</v>
      </c>
      <c r="B13392" s="76" t="s">
        <v>1032</v>
      </c>
      <c r="C13392" s="84">
        <v>1.05</v>
      </c>
      <c r="D13392" s="84">
        <v>0.0</v>
      </c>
      <c r="E13392" s="84">
        <v>0.0</v>
      </c>
      <c r="F13392" s="76" t="s">
        <v>997</v>
      </c>
      <c r="G13392" s="83">
        <v>46122.0</v>
      </c>
      <c r="H13392" s="76" t="s">
        <v>946</v>
      </c>
    </row>
    <row r="13393">
      <c r="A13393" s="76" t="s">
        <v>944</v>
      </c>
      <c r="B13393" s="76" t="s">
        <v>1032</v>
      </c>
      <c r="C13393" s="84">
        <v>2.76</v>
      </c>
      <c r="D13393" s="84">
        <v>0.0</v>
      </c>
      <c r="E13393" s="84">
        <v>0.0</v>
      </c>
      <c r="F13393" s="76" t="s">
        <v>997</v>
      </c>
      <c r="G13393" s="83">
        <v>46122.0</v>
      </c>
      <c r="H13393" s="76" t="s">
        <v>947</v>
      </c>
    </row>
    <row r="13394">
      <c r="A13394" s="76" t="s">
        <v>36</v>
      </c>
      <c r="B13394" s="76" t="s">
        <v>1032</v>
      </c>
      <c r="C13394" s="84">
        <v>1.31</v>
      </c>
      <c r="D13394" s="84">
        <v>0.0</v>
      </c>
      <c r="E13394" s="84">
        <v>0.0</v>
      </c>
      <c r="F13394" s="76" t="s">
        <v>997</v>
      </c>
      <c r="G13394" s="83">
        <v>46122.0</v>
      </c>
      <c r="H13394" s="76" t="s">
        <v>926</v>
      </c>
    </row>
    <row r="13395">
      <c r="A13395" s="76" t="s">
        <v>36</v>
      </c>
      <c r="B13395" s="76" t="s">
        <v>1032</v>
      </c>
      <c r="C13395" s="84">
        <v>0.32</v>
      </c>
      <c r="D13395" s="84">
        <v>0.0</v>
      </c>
      <c r="E13395" s="84">
        <v>0.0</v>
      </c>
      <c r="F13395" s="76" t="s">
        <v>997</v>
      </c>
      <c r="G13395" s="83">
        <v>46122.0</v>
      </c>
      <c r="H13395" s="76" t="s">
        <v>927</v>
      </c>
    </row>
    <row r="13396">
      <c r="A13396" s="76" t="s">
        <v>36</v>
      </c>
      <c r="B13396" s="76" t="s">
        <v>1032</v>
      </c>
      <c r="C13396" s="84">
        <v>1.19</v>
      </c>
      <c r="D13396" s="84">
        <v>0.0</v>
      </c>
      <c r="E13396" s="84">
        <v>0.0</v>
      </c>
      <c r="F13396" s="76" t="s">
        <v>997</v>
      </c>
      <c r="G13396" s="83">
        <v>46122.0</v>
      </c>
      <c r="H13396" s="76" t="s">
        <v>928</v>
      </c>
    </row>
    <row r="13397">
      <c r="A13397" s="76" t="s">
        <v>31</v>
      </c>
      <c r="B13397" s="76" t="s">
        <v>1032</v>
      </c>
      <c r="C13397" s="84">
        <v>0.71</v>
      </c>
      <c r="D13397" s="84">
        <v>0.0</v>
      </c>
      <c r="E13397" s="84">
        <v>0.0</v>
      </c>
      <c r="F13397" s="76" t="s">
        <v>997</v>
      </c>
      <c r="G13397" s="83">
        <v>46122.0</v>
      </c>
      <c r="H13397" s="76" t="s">
        <v>929</v>
      </c>
    </row>
    <row r="13398">
      <c r="A13398" s="76" t="s">
        <v>31</v>
      </c>
      <c r="B13398" s="76" t="s">
        <v>1032</v>
      </c>
      <c r="C13398" s="84">
        <v>44.6</v>
      </c>
      <c r="D13398" s="84">
        <v>9.0</v>
      </c>
      <c r="E13398" s="84">
        <v>4.96</v>
      </c>
      <c r="F13398" s="76" t="s">
        <v>997</v>
      </c>
      <c r="G13398" s="83">
        <v>46122.0</v>
      </c>
      <c r="H13398" s="76" t="s">
        <v>930</v>
      </c>
    </row>
    <row r="13399">
      <c r="A13399" s="76" t="s">
        <v>26</v>
      </c>
      <c r="B13399" s="76" t="s">
        <v>1032</v>
      </c>
      <c r="C13399" s="84">
        <v>0.91</v>
      </c>
      <c r="D13399" s="84">
        <v>0.0</v>
      </c>
      <c r="E13399" s="84">
        <v>0.0</v>
      </c>
      <c r="F13399" s="76" t="s">
        <v>997</v>
      </c>
      <c r="G13399" s="83">
        <v>46122.0</v>
      </c>
      <c r="H13399" s="76" t="s">
        <v>1012</v>
      </c>
    </row>
    <row r="13400">
      <c r="A13400" s="76" t="s">
        <v>26</v>
      </c>
      <c r="B13400" s="76" t="s">
        <v>1032</v>
      </c>
      <c r="C13400" s="84">
        <v>0.15</v>
      </c>
      <c r="D13400" s="84">
        <v>0.0</v>
      </c>
      <c r="E13400" s="84">
        <v>0.0</v>
      </c>
      <c r="F13400" s="76" t="s">
        <v>997</v>
      </c>
      <c r="G13400" s="83">
        <v>46122.0</v>
      </c>
      <c r="H13400" s="76" t="s">
        <v>1013</v>
      </c>
    </row>
    <row r="13401">
      <c r="A13401" s="76" t="s">
        <v>26</v>
      </c>
      <c r="B13401" s="76" t="s">
        <v>1032</v>
      </c>
      <c r="C13401" s="84">
        <v>41.4</v>
      </c>
      <c r="D13401" s="84">
        <v>4.0</v>
      </c>
      <c r="E13401" s="84">
        <v>10.35</v>
      </c>
      <c r="F13401" s="76" t="s">
        <v>997</v>
      </c>
      <c r="G13401" s="83">
        <v>46122.0</v>
      </c>
      <c r="H13401" s="76" t="s">
        <v>1014</v>
      </c>
    </row>
    <row r="13402">
      <c r="A13402" s="76" t="s">
        <v>1043</v>
      </c>
      <c r="B13402" s="76" t="s">
        <v>1032</v>
      </c>
      <c r="C13402" s="84">
        <v>1.8</v>
      </c>
      <c r="D13402" s="84">
        <v>0.0</v>
      </c>
      <c r="E13402" s="84">
        <v>0.0</v>
      </c>
      <c r="F13402" s="76" t="s">
        <v>997</v>
      </c>
      <c r="G13402" s="83">
        <v>46122.0</v>
      </c>
      <c r="H13402" s="76" t="s">
        <v>1044</v>
      </c>
    </row>
    <row r="13403">
      <c r="A13403" s="76" t="s">
        <v>52</v>
      </c>
      <c r="B13403" s="76" t="s">
        <v>1032</v>
      </c>
      <c r="C13403" s="84">
        <v>2.04</v>
      </c>
      <c r="D13403" s="84">
        <v>2.0</v>
      </c>
      <c r="E13403" s="84">
        <v>1.02</v>
      </c>
      <c r="F13403" s="76" t="s">
        <v>997</v>
      </c>
      <c r="G13403" s="83">
        <v>46122.0</v>
      </c>
      <c r="H13403" s="76" t="s">
        <v>1045</v>
      </c>
    </row>
    <row r="13404">
      <c r="A13404" s="76" t="s">
        <v>49</v>
      </c>
      <c r="B13404" s="76" t="s">
        <v>1032</v>
      </c>
      <c r="C13404" s="84">
        <v>0.91</v>
      </c>
      <c r="D13404" s="84">
        <v>0.0</v>
      </c>
      <c r="E13404" s="84">
        <v>0.0</v>
      </c>
      <c r="F13404" s="76" t="s">
        <v>997</v>
      </c>
      <c r="G13404" s="83">
        <v>46122.0</v>
      </c>
      <c r="H13404" s="76" t="s">
        <v>1046</v>
      </c>
    </row>
    <row r="13405">
      <c r="A13405" s="76" t="s">
        <v>45</v>
      </c>
      <c r="B13405" s="76" t="s">
        <v>1032</v>
      </c>
      <c r="C13405" s="84">
        <v>0.04</v>
      </c>
      <c r="D13405" s="84">
        <v>0.0</v>
      </c>
      <c r="E13405" s="84">
        <v>0.0</v>
      </c>
      <c r="F13405" s="76" t="s">
        <v>990</v>
      </c>
      <c r="G13405" s="83">
        <v>46122.0</v>
      </c>
      <c r="H13405" s="76" t="s">
        <v>936</v>
      </c>
    </row>
    <row r="13406">
      <c r="A13406" s="76" t="s">
        <v>45</v>
      </c>
      <c r="B13406" s="76" t="s">
        <v>1032</v>
      </c>
      <c r="C13406" s="84">
        <v>0.2</v>
      </c>
      <c r="D13406" s="84">
        <v>0.0</v>
      </c>
      <c r="E13406" s="84">
        <v>0.0</v>
      </c>
      <c r="F13406" s="76" t="s">
        <v>990</v>
      </c>
      <c r="G13406" s="83">
        <v>46122.0</v>
      </c>
      <c r="H13406" s="76" t="s">
        <v>937</v>
      </c>
    </row>
    <row r="13407">
      <c r="A13407" s="76" t="s">
        <v>45</v>
      </c>
      <c r="B13407" s="76" t="s">
        <v>1032</v>
      </c>
      <c r="C13407" s="84">
        <v>0.05</v>
      </c>
      <c r="D13407" s="84">
        <v>0.0</v>
      </c>
      <c r="E13407" s="84">
        <v>0.0</v>
      </c>
      <c r="F13407" s="76" t="s">
        <v>990</v>
      </c>
      <c r="G13407" s="83">
        <v>46122.0</v>
      </c>
      <c r="H13407" s="76" t="s">
        <v>938</v>
      </c>
    </row>
    <row r="13408">
      <c r="A13408" s="76" t="s">
        <v>32</v>
      </c>
      <c r="B13408" s="76" t="s">
        <v>1032</v>
      </c>
      <c r="C13408" s="84">
        <v>0.99</v>
      </c>
      <c r="D13408" s="84">
        <v>1.0</v>
      </c>
      <c r="E13408" s="84">
        <v>0.99</v>
      </c>
      <c r="F13408" s="76" t="s">
        <v>990</v>
      </c>
      <c r="G13408" s="83">
        <v>46122.0</v>
      </c>
      <c r="H13408" s="76" t="s">
        <v>941</v>
      </c>
    </row>
    <row r="13409">
      <c r="A13409" s="76" t="s">
        <v>32</v>
      </c>
      <c r="B13409" s="76" t="s">
        <v>1032</v>
      </c>
      <c r="C13409" s="84">
        <v>0.25</v>
      </c>
      <c r="D13409" s="84">
        <v>0.0</v>
      </c>
      <c r="E13409" s="84">
        <v>0.0</v>
      </c>
      <c r="F13409" s="76" t="s">
        <v>990</v>
      </c>
      <c r="G13409" s="83">
        <v>46122.0</v>
      </c>
      <c r="H13409" s="76" t="s">
        <v>942</v>
      </c>
    </row>
    <row r="13410">
      <c r="A13410" s="76" t="s">
        <v>32</v>
      </c>
      <c r="B13410" s="76" t="s">
        <v>1032</v>
      </c>
      <c r="C13410" s="84">
        <v>1.18</v>
      </c>
      <c r="D13410" s="84">
        <v>1.0</v>
      </c>
      <c r="E13410" s="84">
        <v>1.18</v>
      </c>
      <c r="F13410" s="76" t="s">
        <v>990</v>
      </c>
      <c r="G13410" s="83">
        <v>46122.0</v>
      </c>
      <c r="H13410" s="76" t="s">
        <v>943</v>
      </c>
    </row>
    <row r="13411">
      <c r="A13411" s="76" t="s">
        <v>36</v>
      </c>
      <c r="B13411" s="76" t="s">
        <v>1032</v>
      </c>
      <c r="C13411" s="84">
        <v>0.48</v>
      </c>
      <c r="D13411" s="84">
        <v>0.0</v>
      </c>
      <c r="E13411" s="84">
        <v>0.0</v>
      </c>
      <c r="F13411" s="76" t="s">
        <v>990</v>
      </c>
      <c r="G13411" s="83">
        <v>46122.0</v>
      </c>
      <c r="H13411" s="76" t="s">
        <v>926</v>
      </c>
    </row>
    <row r="13412">
      <c r="A13412" s="76" t="s">
        <v>36</v>
      </c>
      <c r="B13412" s="76" t="s">
        <v>1032</v>
      </c>
      <c r="C13412" s="84">
        <v>0.07</v>
      </c>
      <c r="D13412" s="84">
        <v>0.0</v>
      </c>
      <c r="E13412" s="84">
        <v>0.0</v>
      </c>
      <c r="F13412" s="76" t="s">
        <v>990</v>
      </c>
      <c r="G13412" s="83">
        <v>46122.0</v>
      </c>
      <c r="H13412" s="76" t="s">
        <v>927</v>
      </c>
    </row>
    <row r="13413">
      <c r="A13413" s="76" t="s">
        <v>36</v>
      </c>
      <c r="B13413" s="76" t="s">
        <v>1032</v>
      </c>
      <c r="C13413" s="84">
        <v>0.29</v>
      </c>
      <c r="D13413" s="84">
        <v>0.0</v>
      </c>
      <c r="E13413" s="84">
        <v>0.0</v>
      </c>
      <c r="F13413" s="76" t="s">
        <v>990</v>
      </c>
      <c r="G13413" s="83">
        <v>46122.0</v>
      </c>
      <c r="H13413" s="76" t="s">
        <v>928</v>
      </c>
    </row>
    <row r="13414">
      <c r="A13414" s="76" t="s">
        <v>28</v>
      </c>
      <c r="B13414" s="76" t="s">
        <v>1032</v>
      </c>
      <c r="C13414" s="84">
        <v>0.13</v>
      </c>
      <c r="D13414" s="84">
        <v>0.0</v>
      </c>
      <c r="E13414" s="84">
        <v>0.0</v>
      </c>
      <c r="F13414" s="76" t="s">
        <v>990</v>
      </c>
      <c r="G13414" s="83">
        <v>46122.0</v>
      </c>
      <c r="H13414" s="76" t="s">
        <v>931</v>
      </c>
    </row>
    <row r="13415">
      <c r="A13415" s="76" t="s">
        <v>28</v>
      </c>
      <c r="B13415" s="76" t="s">
        <v>1032</v>
      </c>
      <c r="C13415" s="84">
        <v>0.14</v>
      </c>
      <c r="D13415" s="84">
        <v>0.0</v>
      </c>
      <c r="E13415" s="84">
        <v>0.0</v>
      </c>
      <c r="F13415" s="76" t="s">
        <v>990</v>
      </c>
      <c r="G13415" s="83">
        <v>46122.0</v>
      </c>
      <c r="H13415" s="76" t="s">
        <v>932</v>
      </c>
    </row>
    <row r="13416">
      <c r="A13416" s="76" t="s">
        <v>28</v>
      </c>
      <c r="B13416" s="76" t="s">
        <v>1032</v>
      </c>
      <c r="C13416" s="84">
        <v>0.61</v>
      </c>
      <c r="D13416" s="84">
        <v>0.0</v>
      </c>
      <c r="E13416" s="84">
        <v>0.0</v>
      </c>
      <c r="F13416" s="76" t="s">
        <v>990</v>
      </c>
      <c r="G13416" s="83">
        <v>46122.0</v>
      </c>
      <c r="H13416" s="76" t="s">
        <v>933</v>
      </c>
    </row>
    <row r="13417">
      <c r="A13417" s="76" t="s">
        <v>31</v>
      </c>
      <c r="B13417" s="76" t="s">
        <v>1032</v>
      </c>
      <c r="C13417" s="84">
        <v>0.28</v>
      </c>
      <c r="D13417" s="84">
        <v>0.0</v>
      </c>
      <c r="E13417" s="84">
        <v>0.0</v>
      </c>
      <c r="F13417" s="76" t="s">
        <v>990</v>
      </c>
      <c r="G13417" s="83">
        <v>46122.0</v>
      </c>
      <c r="H13417" s="76" t="s">
        <v>929</v>
      </c>
    </row>
    <row r="13418">
      <c r="A13418" s="76" t="s">
        <v>31</v>
      </c>
      <c r="B13418" s="76" t="s">
        <v>1032</v>
      </c>
      <c r="C13418" s="84">
        <v>3.0</v>
      </c>
      <c r="D13418" s="84">
        <v>0.0</v>
      </c>
      <c r="E13418" s="84">
        <v>0.0</v>
      </c>
      <c r="F13418" s="76" t="s">
        <v>990</v>
      </c>
      <c r="G13418" s="83">
        <v>46122.0</v>
      </c>
      <c r="H13418" s="76" t="s">
        <v>930</v>
      </c>
    </row>
    <row r="13419">
      <c r="A13419" s="76" t="s">
        <v>26</v>
      </c>
      <c r="B13419" s="76" t="s">
        <v>1032</v>
      </c>
      <c r="C13419" s="84">
        <v>0.2</v>
      </c>
      <c r="D13419" s="84">
        <v>0.0</v>
      </c>
      <c r="E13419" s="84">
        <v>0.0</v>
      </c>
      <c r="F13419" s="76" t="s">
        <v>990</v>
      </c>
      <c r="G13419" s="83">
        <v>46122.0</v>
      </c>
      <c r="H13419" s="76" t="s">
        <v>1012</v>
      </c>
    </row>
    <row r="13420">
      <c r="A13420" s="76" t="s">
        <v>26</v>
      </c>
      <c r="B13420" s="76" t="s">
        <v>1032</v>
      </c>
      <c r="C13420" s="84">
        <v>0.05</v>
      </c>
      <c r="D13420" s="84">
        <v>0.0</v>
      </c>
      <c r="E13420" s="84">
        <v>0.0</v>
      </c>
      <c r="F13420" s="76" t="s">
        <v>990</v>
      </c>
      <c r="G13420" s="83">
        <v>46122.0</v>
      </c>
      <c r="H13420" s="76" t="s">
        <v>1013</v>
      </c>
    </row>
    <row r="13421">
      <c r="A13421" s="76" t="s">
        <v>26</v>
      </c>
      <c r="B13421" s="76" t="s">
        <v>1032</v>
      </c>
      <c r="C13421" s="84">
        <v>3.51</v>
      </c>
      <c r="D13421" s="84">
        <v>0.0</v>
      </c>
      <c r="E13421" s="84">
        <v>0.0</v>
      </c>
      <c r="F13421" s="76" t="s">
        <v>990</v>
      </c>
      <c r="G13421" s="83">
        <v>46122.0</v>
      </c>
      <c r="H13421" s="76" t="s">
        <v>1014</v>
      </c>
    </row>
    <row r="13422">
      <c r="A13422" s="76" t="s">
        <v>944</v>
      </c>
      <c r="B13422" s="76" t="s">
        <v>1032</v>
      </c>
      <c r="C13422" s="84">
        <v>0.45</v>
      </c>
      <c r="D13422" s="84">
        <v>0.0</v>
      </c>
      <c r="E13422" s="84">
        <v>0.0</v>
      </c>
      <c r="F13422" s="76" t="s">
        <v>990</v>
      </c>
      <c r="G13422" s="83">
        <v>46122.0</v>
      </c>
      <c r="H13422" s="76" t="s">
        <v>945</v>
      </c>
    </row>
    <row r="13423">
      <c r="A13423" s="76" t="s">
        <v>944</v>
      </c>
      <c r="B13423" s="76" t="s">
        <v>1032</v>
      </c>
      <c r="C13423" s="84">
        <v>0.41</v>
      </c>
      <c r="D13423" s="84">
        <v>0.0</v>
      </c>
      <c r="E13423" s="84">
        <v>0.0</v>
      </c>
      <c r="F13423" s="76" t="s">
        <v>990</v>
      </c>
      <c r="G13423" s="83">
        <v>46122.0</v>
      </c>
      <c r="H13423" s="76" t="s">
        <v>946</v>
      </c>
    </row>
    <row r="13424">
      <c r="A13424" s="76" t="s">
        <v>944</v>
      </c>
      <c r="B13424" s="76" t="s">
        <v>1032</v>
      </c>
      <c r="C13424" s="84">
        <v>1.13</v>
      </c>
      <c r="D13424" s="84">
        <v>0.0</v>
      </c>
      <c r="E13424" s="84">
        <v>0.0</v>
      </c>
      <c r="F13424" s="76" t="s">
        <v>990</v>
      </c>
      <c r="G13424" s="83">
        <v>46122.0</v>
      </c>
      <c r="H13424" s="76" t="s">
        <v>947</v>
      </c>
    </row>
    <row r="13425">
      <c r="A13425" s="76" t="s">
        <v>1043</v>
      </c>
      <c r="B13425" s="76" t="s">
        <v>1032</v>
      </c>
      <c r="C13425" s="84">
        <v>0.66</v>
      </c>
      <c r="D13425" s="84">
        <v>0.0</v>
      </c>
      <c r="E13425" s="84">
        <v>0.0</v>
      </c>
      <c r="F13425" s="76" t="s">
        <v>990</v>
      </c>
      <c r="G13425" s="83">
        <v>46122.0</v>
      </c>
      <c r="H13425" s="76" t="s">
        <v>1044</v>
      </c>
    </row>
    <row r="13426">
      <c r="A13426" s="76" t="s">
        <v>52</v>
      </c>
      <c r="B13426" s="76" t="s">
        <v>1032</v>
      </c>
      <c r="C13426" s="84">
        <v>0.75</v>
      </c>
      <c r="D13426" s="84">
        <v>0.0</v>
      </c>
      <c r="E13426" s="84">
        <v>0.0</v>
      </c>
      <c r="F13426" s="76" t="s">
        <v>990</v>
      </c>
      <c r="G13426" s="83">
        <v>46122.0</v>
      </c>
      <c r="H13426" s="76" t="s">
        <v>1045</v>
      </c>
    </row>
    <row r="13427">
      <c r="A13427" s="76" t="s">
        <v>49</v>
      </c>
      <c r="B13427" s="76" t="s">
        <v>1032</v>
      </c>
      <c r="C13427" s="84">
        <v>0.63</v>
      </c>
      <c r="D13427" s="84">
        <v>0.0</v>
      </c>
      <c r="E13427" s="84">
        <v>0.0</v>
      </c>
      <c r="F13427" s="76" t="s">
        <v>990</v>
      </c>
      <c r="G13427" s="83">
        <v>46122.0</v>
      </c>
      <c r="H13427" s="76" t="s">
        <v>1046</v>
      </c>
    </row>
    <row r="13428">
      <c r="A13428" s="76" t="s">
        <v>26</v>
      </c>
      <c r="B13428" s="76" t="s">
        <v>1032</v>
      </c>
      <c r="C13428" s="84">
        <v>3.66</v>
      </c>
      <c r="D13428" s="84">
        <v>0.0</v>
      </c>
      <c r="E13428" s="84">
        <v>0.0</v>
      </c>
      <c r="F13428" s="76" t="s">
        <v>1005</v>
      </c>
      <c r="G13428" s="83">
        <v>46122.0</v>
      </c>
      <c r="H13428" s="76" t="s">
        <v>1012</v>
      </c>
    </row>
    <row r="13429">
      <c r="A13429" s="76" t="s">
        <v>26</v>
      </c>
      <c r="B13429" s="76" t="s">
        <v>1032</v>
      </c>
      <c r="C13429" s="84">
        <v>6.09</v>
      </c>
      <c r="D13429" s="84">
        <v>4.0</v>
      </c>
      <c r="E13429" s="84">
        <v>1.52</v>
      </c>
      <c r="F13429" s="76" t="s">
        <v>1005</v>
      </c>
      <c r="G13429" s="83">
        <v>46122.0</v>
      </c>
      <c r="H13429" s="76" t="s">
        <v>1013</v>
      </c>
    </row>
    <row r="13430">
      <c r="A13430" s="76" t="s">
        <v>26</v>
      </c>
      <c r="B13430" s="76" t="s">
        <v>1032</v>
      </c>
      <c r="C13430" s="84">
        <v>625.64</v>
      </c>
      <c r="D13430" s="84">
        <v>143.0</v>
      </c>
      <c r="E13430" s="84">
        <v>4.38</v>
      </c>
      <c r="F13430" s="76" t="s">
        <v>1005</v>
      </c>
      <c r="G13430" s="83">
        <v>46122.0</v>
      </c>
      <c r="H13430" s="76" t="s">
        <v>1014</v>
      </c>
    </row>
    <row r="13431">
      <c r="A13431" s="76" t="s">
        <v>28</v>
      </c>
      <c r="B13431" s="76" t="s">
        <v>1032</v>
      </c>
      <c r="C13431" s="84">
        <v>1.24</v>
      </c>
      <c r="D13431" s="84">
        <v>0.0</v>
      </c>
      <c r="E13431" s="84">
        <v>0.0</v>
      </c>
      <c r="F13431" s="76" t="s">
        <v>1005</v>
      </c>
      <c r="G13431" s="83">
        <v>46122.0</v>
      </c>
      <c r="H13431" s="76" t="s">
        <v>931</v>
      </c>
    </row>
    <row r="13432">
      <c r="A13432" s="76" t="s">
        <v>28</v>
      </c>
      <c r="B13432" s="76" t="s">
        <v>1032</v>
      </c>
      <c r="C13432" s="84">
        <v>1.15</v>
      </c>
      <c r="D13432" s="84">
        <v>0.0</v>
      </c>
      <c r="E13432" s="84">
        <v>0.0</v>
      </c>
      <c r="F13432" s="76" t="s">
        <v>1005</v>
      </c>
      <c r="G13432" s="83">
        <v>46122.0</v>
      </c>
      <c r="H13432" s="76" t="s">
        <v>932</v>
      </c>
    </row>
    <row r="13433">
      <c r="A13433" s="76" t="s">
        <v>28</v>
      </c>
      <c r="B13433" s="76" t="s">
        <v>1032</v>
      </c>
      <c r="C13433" s="84">
        <v>214.17</v>
      </c>
      <c r="D13433" s="84">
        <v>65.0</v>
      </c>
      <c r="E13433" s="84">
        <v>3.29</v>
      </c>
      <c r="F13433" s="76" t="s">
        <v>1005</v>
      </c>
      <c r="G13433" s="83">
        <v>46122.0</v>
      </c>
      <c r="H13433" s="76" t="s">
        <v>933</v>
      </c>
    </row>
    <row r="13434">
      <c r="A13434" s="76" t="s">
        <v>36</v>
      </c>
      <c r="B13434" s="76" t="s">
        <v>1032</v>
      </c>
      <c r="C13434" s="84">
        <v>7.56</v>
      </c>
      <c r="D13434" s="84">
        <v>4.0</v>
      </c>
      <c r="E13434" s="84">
        <v>1.89</v>
      </c>
      <c r="F13434" s="76" t="s">
        <v>1005</v>
      </c>
      <c r="G13434" s="83">
        <v>46122.0</v>
      </c>
      <c r="H13434" s="76" t="s">
        <v>926</v>
      </c>
    </row>
    <row r="13435">
      <c r="A13435" s="76" t="s">
        <v>36</v>
      </c>
      <c r="B13435" s="76" t="s">
        <v>1032</v>
      </c>
      <c r="C13435" s="84">
        <v>0.92</v>
      </c>
      <c r="D13435" s="84">
        <v>0.0</v>
      </c>
      <c r="E13435" s="84">
        <v>0.0</v>
      </c>
      <c r="F13435" s="76" t="s">
        <v>1005</v>
      </c>
      <c r="G13435" s="83">
        <v>46122.0</v>
      </c>
      <c r="H13435" s="76" t="s">
        <v>927</v>
      </c>
    </row>
    <row r="13436">
      <c r="A13436" s="76" t="s">
        <v>36</v>
      </c>
      <c r="B13436" s="76" t="s">
        <v>1032</v>
      </c>
      <c r="C13436" s="84">
        <v>3.78</v>
      </c>
      <c r="D13436" s="84">
        <v>0.0</v>
      </c>
      <c r="E13436" s="84">
        <v>0.0</v>
      </c>
      <c r="F13436" s="76" t="s">
        <v>1005</v>
      </c>
      <c r="G13436" s="83">
        <v>46122.0</v>
      </c>
      <c r="H13436" s="76" t="s">
        <v>928</v>
      </c>
    </row>
    <row r="13437">
      <c r="A13437" s="76" t="s">
        <v>31</v>
      </c>
      <c r="B13437" s="76" t="s">
        <v>1032</v>
      </c>
      <c r="C13437" s="84">
        <v>9.5</v>
      </c>
      <c r="D13437" s="84">
        <v>1.0</v>
      </c>
      <c r="E13437" s="84">
        <v>9.5</v>
      </c>
      <c r="F13437" s="76" t="s">
        <v>1005</v>
      </c>
      <c r="G13437" s="83">
        <v>46122.0</v>
      </c>
      <c r="H13437" s="76" t="s">
        <v>929</v>
      </c>
    </row>
    <row r="13438">
      <c r="A13438" s="76" t="s">
        <v>31</v>
      </c>
      <c r="B13438" s="76" t="s">
        <v>1032</v>
      </c>
      <c r="C13438" s="84">
        <v>479.43</v>
      </c>
      <c r="D13438" s="84">
        <v>124.0</v>
      </c>
      <c r="E13438" s="84">
        <v>3.87</v>
      </c>
      <c r="F13438" s="76" t="s">
        <v>1005</v>
      </c>
      <c r="G13438" s="83">
        <v>46122.0</v>
      </c>
      <c r="H13438" s="76" t="s">
        <v>930</v>
      </c>
    </row>
    <row r="13439">
      <c r="A13439" s="76" t="s">
        <v>944</v>
      </c>
      <c r="B13439" s="76" t="s">
        <v>1032</v>
      </c>
      <c r="C13439" s="84">
        <v>4.57</v>
      </c>
      <c r="D13439" s="84">
        <v>1.0</v>
      </c>
      <c r="E13439" s="84">
        <v>4.57</v>
      </c>
      <c r="F13439" s="76" t="s">
        <v>1005</v>
      </c>
      <c r="G13439" s="83">
        <v>46122.0</v>
      </c>
      <c r="H13439" s="76" t="s">
        <v>945</v>
      </c>
    </row>
    <row r="13440">
      <c r="A13440" s="76" t="s">
        <v>944</v>
      </c>
      <c r="B13440" s="76" t="s">
        <v>1032</v>
      </c>
      <c r="C13440" s="84">
        <v>1.46</v>
      </c>
      <c r="D13440" s="84">
        <v>0.0</v>
      </c>
      <c r="E13440" s="84">
        <v>0.0</v>
      </c>
      <c r="F13440" s="76" t="s">
        <v>1005</v>
      </c>
      <c r="G13440" s="83">
        <v>46122.0</v>
      </c>
      <c r="H13440" s="76" t="s">
        <v>946</v>
      </c>
    </row>
    <row r="13441">
      <c r="A13441" s="76" t="s">
        <v>944</v>
      </c>
      <c r="B13441" s="76" t="s">
        <v>1032</v>
      </c>
      <c r="C13441" s="84">
        <v>11.44</v>
      </c>
      <c r="D13441" s="84">
        <v>1.0</v>
      </c>
      <c r="E13441" s="84">
        <v>11.44</v>
      </c>
      <c r="F13441" s="76" t="s">
        <v>1005</v>
      </c>
      <c r="G13441" s="83">
        <v>46122.0</v>
      </c>
      <c r="H13441" s="76" t="s">
        <v>947</v>
      </c>
    </row>
    <row r="13442">
      <c r="A13442" s="76" t="s">
        <v>45</v>
      </c>
      <c r="B13442" s="76" t="s">
        <v>1032</v>
      </c>
      <c r="C13442" s="84">
        <v>0.47</v>
      </c>
      <c r="D13442" s="84">
        <v>1.0</v>
      </c>
      <c r="E13442" s="84">
        <v>0.47</v>
      </c>
      <c r="F13442" s="76" t="s">
        <v>1005</v>
      </c>
      <c r="G13442" s="83">
        <v>46122.0</v>
      </c>
      <c r="H13442" s="76" t="s">
        <v>936</v>
      </c>
    </row>
    <row r="13443">
      <c r="A13443" s="76" t="s">
        <v>45</v>
      </c>
      <c r="B13443" s="76" t="s">
        <v>1032</v>
      </c>
      <c r="C13443" s="84">
        <v>1.58</v>
      </c>
      <c r="D13443" s="84">
        <v>1.0</v>
      </c>
      <c r="E13443" s="84">
        <v>1.58</v>
      </c>
      <c r="F13443" s="76" t="s">
        <v>1005</v>
      </c>
      <c r="G13443" s="83">
        <v>46122.0</v>
      </c>
      <c r="H13443" s="76" t="s">
        <v>937</v>
      </c>
    </row>
    <row r="13444">
      <c r="A13444" s="76" t="s">
        <v>45</v>
      </c>
      <c r="B13444" s="76" t="s">
        <v>1032</v>
      </c>
      <c r="C13444" s="84">
        <v>0.53</v>
      </c>
      <c r="D13444" s="84">
        <v>0.0</v>
      </c>
      <c r="E13444" s="84">
        <v>0.0</v>
      </c>
      <c r="F13444" s="76" t="s">
        <v>1005</v>
      </c>
      <c r="G13444" s="83">
        <v>46122.0</v>
      </c>
      <c r="H13444" s="76" t="s">
        <v>938</v>
      </c>
    </row>
    <row r="13445">
      <c r="A13445" s="76" t="s">
        <v>32</v>
      </c>
      <c r="B13445" s="76" t="s">
        <v>1032</v>
      </c>
      <c r="C13445" s="84">
        <v>14.05</v>
      </c>
      <c r="D13445" s="84">
        <v>2.0</v>
      </c>
      <c r="E13445" s="84">
        <v>7.03</v>
      </c>
      <c r="F13445" s="76" t="s">
        <v>1005</v>
      </c>
      <c r="G13445" s="83">
        <v>46122.0</v>
      </c>
      <c r="H13445" s="76" t="s">
        <v>941</v>
      </c>
    </row>
    <row r="13446">
      <c r="A13446" s="76" t="s">
        <v>32</v>
      </c>
      <c r="B13446" s="76" t="s">
        <v>1032</v>
      </c>
      <c r="C13446" s="84">
        <v>3.09</v>
      </c>
      <c r="D13446" s="84">
        <v>1.0</v>
      </c>
      <c r="E13446" s="84">
        <v>3.09</v>
      </c>
      <c r="F13446" s="76" t="s">
        <v>1005</v>
      </c>
      <c r="G13446" s="83">
        <v>46122.0</v>
      </c>
      <c r="H13446" s="76" t="s">
        <v>942</v>
      </c>
    </row>
    <row r="13447">
      <c r="A13447" s="76" t="s">
        <v>32</v>
      </c>
      <c r="B13447" s="76" t="s">
        <v>1032</v>
      </c>
      <c r="C13447" s="84">
        <v>17.6</v>
      </c>
      <c r="D13447" s="84">
        <v>6.0</v>
      </c>
      <c r="E13447" s="84">
        <v>2.93</v>
      </c>
      <c r="F13447" s="76" t="s">
        <v>1005</v>
      </c>
      <c r="G13447" s="83">
        <v>46122.0</v>
      </c>
      <c r="H13447" s="76" t="s">
        <v>943</v>
      </c>
    </row>
    <row r="13448">
      <c r="A13448" s="76" t="s">
        <v>1043</v>
      </c>
      <c r="B13448" s="76" t="s">
        <v>1032</v>
      </c>
      <c r="C13448" s="84">
        <v>19.39</v>
      </c>
      <c r="D13448" s="84">
        <v>2.0</v>
      </c>
      <c r="E13448" s="84">
        <v>9.69</v>
      </c>
      <c r="F13448" s="76" t="s">
        <v>1005</v>
      </c>
      <c r="G13448" s="83">
        <v>46122.0</v>
      </c>
      <c r="H13448" s="76" t="s">
        <v>1044</v>
      </c>
    </row>
    <row r="13449">
      <c r="A13449" s="76" t="s">
        <v>52</v>
      </c>
      <c r="B13449" s="76" t="s">
        <v>1032</v>
      </c>
      <c r="C13449" s="84">
        <v>18.75</v>
      </c>
      <c r="D13449" s="84">
        <v>0.0</v>
      </c>
      <c r="E13449" s="84">
        <v>0.0</v>
      </c>
      <c r="F13449" s="76" t="s">
        <v>1005</v>
      </c>
      <c r="G13449" s="83">
        <v>46122.0</v>
      </c>
      <c r="H13449" s="76" t="s">
        <v>1045</v>
      </c>
    </row>
    <row r="13450">
      <c r="A13450" s="76" t="s">
        <v>49</v>
      </c>
      <c r="B13450" s="76" t="s">
        <v>1032</v>
      </c>
      <c r="C13450" s="84">
        <v>16.45</v>
      </c>
      <c r="D13450" s="84">
        <v>2.0</v>
      </c>
      <c r="E13450" s="84">
        <v>8.22</v>
      </c>
      <c r="F13450" s="76" t="s">
        <v>1005</v>
      </c>
      <c r="G13450" s="83">
        <v>46122.0</v>
      </c>
      <c r="H13450" s="76" t="s">
        <v>1046</v>
      </c>
    </row>
    <row r="13451">
      <c r="A13451" s="76" t="s">
        <v>26</v>
      </c>
      <c r="B13451" s="76" t="s">
        <v>1032</v>
      </c>
      <c r="C13451" s="84">
        <v>0.13</v>
      </c>
      <c r="D13451" s="84">
        <v>0.0</v>
      </c>
      <c r="E13451" s="84">
        <v>0.0</v>
      </c>
      <c r="F13451" s="76" t="s">
        <v>993</v>
      </c>
      <c r="G13451" s="83">
        <v>46122.0</v>
      </c>
      <c r="H13451" s="76" t="s">
        <v>1012</v>
      </c>
    </row>
    <row r="13452">
      <c r="A13452" s="76" t="s">
        <v>26</v>
      </c>
      <c r="B13452" s="76" t="s">
        <v>1032</v>
      </c>
      <c r="C13452" s="84">
        <v>0.05</v>
      </c>
      <c r="D13452" s="84">
        <v>0.0</v>
      </c>
      <c r="E13452" s="84">
        <v>0.0</v>
      </c>
      <c r="F13452" s="76" t="s">
        <v>993</v>
      </c>
      <c r="G13452" s="83">
        <v>46122.0</v>
      </c>
      <c r="H13452" s="76" t="s">
        <v>1013</v>
      </c>
    </row>
    <row r="13453">
      <c r="A13453" s="76" t="s">
        <v>26</v>
      </c>
      <c r="B13453" s="76" t="s">
        <v>1032</v>
      </c>
      <c r="C13453" s="84">
        <v>3.58</v>
      </c>
      <c r="D13453" s="84">
        <v>1.0</v>
      </c>
      <c r="E13453" s="84">
        <v>3.58</v>
      </c>
      <c r="F13453" s="76" t="s">
        <v>993</v>
      </c>
      <c r="G13453" s="83">
        <v>46122.0</v>
      </c>
      <c r="H13453" s="76" t="s">
        <v>1014</v>
      </c>
    </row>
    <row r="13454">
      <c r="A13454" s="76" t="s">
        <v>944</v>
      </c>
      <c r="B13454" s="76" t="s">
        <v>1032</v>
      </c>
      <c r="C13454" s="84">
        <v>0.19</v>
      </c>
      <c r="D13454" s="84">
        <v>0.0</v>
      </c>
      <c r="E13454" s="84">
        <v>0.0</v>
      </c>
      <c r="F13454" s="76" t="s">
        <v>993</v>
      </c>
      <c r="G13454" s="83">
        <v>46122.0</v>
      </c>
      <c r="H13454" s="76" t="s">
        <v>945</v>
      </c>
    </row>
    <row r="13455">
      <c r="A13455" s="76" t="s">
        <v>944</v>
      </c>
      <c r="B13455" s="76" t="s">
        <v>1032</v>
      </c>
      <c r="C13455" s="84">
        <v>0.2</v>
      </c>
      <c r="D13455" s="84">
        <v>0.0</v>
      </c>
      <c r="E13455" s="84">
        <v>0.0</v>
      </c>
      <c r="F13455" s="76" t="s">
        <v>993</v>
      </c>
      <c r="G13455" s="83">
        <v>46122.0</v>
      </c>
      <c r="H13455" s="76" t="s">
        <v>946</v>
      </c>
    </row>
    <row r="13456">
      <c r="A13456" s="76" t="s">
        <v>944</v>
      </c>
      <c r="B13456" s="76" t="s">
        <v>1032</v>
      </c>
      <c r="C13456" s="84">
        <v>0.62</v>
      </c>
      <c r="D13456" s="84">
        <v>0.0</v>
      </c>
      <c r="E13456" s="84">
        <v>0.0</v>
      </c>
      <c r="F13456" s="76" t="s">
        <v>993</v>
      </c>
      <c r="G13456" s="83">
        <v>46122.0</v>
      </c>
      <c r="H13456" s="76" t="s">
        <v>947</v>
      </c>
    </row>
    <row r="13457">
      <c r="A13457" s="76" t="s">
        <v>45</v>
      </c>
      <c r="B13457" s="76" t="s">
        <v>1032</v>
      </c>
      <c r="C13457" s="84">
        <v>0.03</v>
      </c>
      <c r="D13457" s="84">
        <v>0.0</v>
      </c>
      <c r="E13457" s="84">
        <v>0.0</v>
      </c>
      <c r="F13457" s="76" t="s">
        <v>993</v>
      </c>
      <c r="G13457" s="83">
        <v>46122.0</v>
      </c>
      <c r="H13457" s="76" t="s">
        <v>936</v>
      </c>
    </row>
    <row r="13458">
      <c r="A13458" s="76" t="s">
        <v>45</v>
      </c>
      <c r="B13458" s="76" t="s">
        <v>1032</v>
      </c>
      <c r="C13458" s="84">
        <v>0.13</v>
      </c>
      <c r="D13458" s="84">
        <v>0.0</v>
      </c>
      <c r="E13458" s="84">
        <v>0.0</v>
      </c>
      <c r="F13458" s="76" t="s">
        <v>993</v>
      </c>
      <c r="G13458" s="83">
        <v>46122.0</v>
      </c>
      <c r="H13458" s="76" t="s">
        <v>937</v>
      </c>
    </row>
    <row r="13459">
      <c r="A13459" s="76" t="s">
        <v>45</v>
      </c>
      <c r="B13459" s="76" t="s">
        <v>1032</v>
      </c>
      <c r="C13459" s="84">
        <v>0.04</v>
      </c>
      <c r="D13459" s="84">
        <v>0.0</v>
      </c>
      <c r="E13459" s="84">
        <v>0.0</v>
      </c>
      <c r="F13459" s="76" t="s">
        <v>993</v>
      </c>
      <c r="G13459" s="83">
        <v>46122.0</v>
      </c>
      <c r="H13459" s="76" t="s">
        <v>938</v>
      </c>
    </row>
    <row r="13460">
      <c r="A13460" s="76" t="s">
        <v>32</v>
      </c>
      <c r="B13460" s="76" t="s">
        <v>1032</v>
      </c>
      <c r="C13460" s="84">
        <v>0.85</v>
      </c>
      <c r="D13460" s="84">
        <v>1.0</v>
      </c>
      <c r="E13460" s="84">
        <v>0.85</v>
      </c>
      <c r="F13460" s="76" t="s">
        <v>993</v>
      </c>
      <c r="G13460" s="83">
        <v>46122.0</v>
      </c>
      <c r="H13460" s="76" t="s">
        <v>941</v>
      </c>
    </row>
    <row r="13461">
      <c r="A13461" s="76" t="s">
        <v>32</v>
      </c>
      <c r="B13461" s="76" t="s">
        <v>1032</v>
      </c>
      <c r="C13461" s="84">
        <v>0.17</v>
      </c>
      <c r="D13461" s="84">
        <v>0.0</v>
      </c>
      <c r="E13461" s="84">
        <v>0.0</v>
      </c>
      <c r="F13461" s="76" t="s">
        <v>993</v>
      </c>
      <c r="G13461" s="83">
        <v>46122.0</v>
      </c>
      <c r="H13461" s="76" t="s">
        <v>942</v>
      </c>
    </row>
    <row r="13462">
      <c r="A13462" s="76" t="s">
        <v>32</v>
      </c>
      <c r="B13462" s="76" t="s">
        <v>1032</v>
      </c>
      <c r="C13462" s="84">
        <v>0.55</v>
      </c>
      <c r="D13462" s="84">
        <v>0.0</v>
      </c>
      <c r="E13462" s="84">
        <v>0.0</v>
      </c>
      <c r="F13462" s="76" t="s">
        <v>993</v>
      </c>
      <c r="G13462" s="83">
        <v>46122.0</v>
      </c>
      <c r="H13462" s="76" t="s">
        <v>943</v>
      </c>
    </row>
    <row r="13463">
      <c r="A13463" s="76" t="s">
        <v>36</v>
      </c>
      <c r="B13463" s="76" t="s">
        <v>1032</v>
      </c>
      <c r="C13463" s="84">
        <v>0.21</v>
      </c>
      <c r="D13463" s="84">
        <v>0.0</v>
      </c>
      <c r="E13463" s="84">
        <v>0.0</v>
      </c>
      <c r="F13463" s="76" t="s">
        <v>993</v>
      </c>
      <c r="G13463" s="83">
        <v>46122.0</v>
      </c>
      <c r="H13463" s="76" t="s">
        <v>926</v>
      </c>
    </row>
    <row r="13464">
      <c r="A13464" s="76" t="s">
        <v>36</v>
      </c>
      <c r="B13464" s="76" t="s">
        <v>1032</v>
      </c>
      <c r="C13464" s="84">
        <v>0.05</v>
      </c>
      <c r="D13464" s="84">
        <v>0.0</v>
      </c>
      <c r="E13464" s="84">
        <v>0.0</v>
      </c>
      <c r="F13464" s="76" t="s">
        <v>993</v>
      </c>
      <c r="G13464" s="83">
        <v>46122.0</v>
      </c>
      <c r="H13464" s="76" t="s">
        <v>927</v>
      </c>
    </row>
    <row r="13465">
      <c r="A13465" s="76" t="s">
        <v>36</v>
      </c>
      <c r="B13465" s="76" t="s">
        <v>1032</v>
      </c>
      <c r="C13465" s="84">
        <v>0.26</v>
      </c>
      <c r="D13465" s="84">
        <v>0.0</v>
      </c>
      <c r="E13465" s="84">
        <v>0.0</v>
      </c>
      <c r="F13465" s="76" t="s">
        <v>993</v>
      </c>
      <c r="G13465" s="83">
        <v>46122.0</v>
      </c>
      <c r="H13465" s="76" t="s">
        <v>928</v>
      </c>
    </row>
    <row r="13466">
      <c r="A13466" s="76" t="s">
        <v>28</v>
      </c>
      <c r="B13466" s="76" t="s">
        <v>1032</v>
      </c>
      <c r="C13466" s="84">
        <v>0.07</v>
      </c>
      <c r="D13466" s="84">
        <v>0.0</v>
      </c>
      <c r="E13466" s="84">
        <v>0.0</v>
      </c>
      <c r="F13466" s="76" t="s">
        <v>993</v>
      </c>
      <c r="G13466" s="83">
        <v>46122.0</v>
      </c>
      <c r="H13466" s="76" t="s">
        <v>931</v>
      </c>
    </row>
    <row r="13467">
      <c r="A13467" s="76" t="s">
        <v>28</v>
      </c>
      <c r="B13467" s="76" t="s">
        <v>1032</v>
      </c>
      <c r="C13467" s="84">
        <v>0.08</v>
      </c>
      <c r="D13467" s="84">
        <v>0.0</v>
      </c>
      <c r="E13467" s="84">
        <v>0.0</v>
      </c>
      <c r="F13467" s="76" t="s">
        <v>993</v>
      </c>
      <c r="G13467" s="83">
        <v>46122.0</v>
      </c>
      <c r="H13467" s="76" t="s">
        <v>932</v>
      </c>
    </row>
    <row r="13468">
      <c r="A13468" s="76" t="s">
        <v>28</v>
      </c>
      <c r="B13468" s="76" t="s">
        <v>1032</v>
      </c>
      <c r="C13468" s="84">
        <v>0.43</v>
      </c>
      <c r="D13468" s="84">
        <v>0.0</v>
      </c>
      <c r="E13468" s="84">
        <v>0.0</v>
      </c>
      <c r="F13468" s="76" t="s">
        <v>993</v>
      </c>
      <c r="G13468" s="83">
        <v>46122.0</v>
      </c>
      <c r="H13468" s="76" t="s">
        <v>933</v>
      </c>
    </row>
    <row r="13469">
      <c r="A13469" s="76" t="s">
        <v>31</v>
      </c>
      <c r="B13469" s="76" t="s">
        <v>1032</v>
      </c>
      <c r="C13469" s="84">
        <v>0.28</v>
      </c>
      <c r="D13469" s="84">
        <v>0.0</v>
      </c>
      <c r="E13469" s="84">
        <v>0.0</v>
      </c>
      <c r="F13469" s="76" t="s">
        <v>993</v>
      </c>
      <c r="G13469" s="83">
        <v>46122.0</v>
      </c>
      <c r="H13469" s="76" t="s">
        <v>929</v>
      </c>
    </row>
    <row r="13470">
      <c r="A13470" s="76" t="s">
        <v>31</v>
      </c>
      <c r="B13470" s="76" t="s">
        <v>1032</v>
      </c>
      <c r="C13470" s="84">
        <v>5.79</v>
      </c>
      <c r="D13470" s="84">
        <v>1.0</v>
      </c>
      <c r="E13470" s="84">
        <v>5.79</v>
      </c>
      <c r="F13470" s="76" t="s">
        <v>993</v>
      </c>
      <c r="G13470" s="83">
        <v>46122.0</v>
      </c>
      <c r="H13470" s="76" t="s">
        <v>930</v>
      </c>
    </row>
    <row r="13471">
      <c r="A13471" s="76" t="s">
        <v>1043</v>
      </c>
      <c r="B13471" s="76" t="s">
        <v>1032</v>
      </c>
      <c r="C13471" s="84">
        <v>0.49</v>
      </c>
      <c r="D13471" s="84">
        <v>0.0</v>
      </c>
      <c r="E13471" s="84">
        <v>0.0</v>
      </c>
      <c r="F13471" s="76" t="s">
        <v>993</v>
      </c>
      <c r="G13471" s="83">
        <v>46122.0</v>
      </c>
      <c r="H13471" s="76" t="s">
        <v>1044</v>
      </c>
    </row>
    <row r="13472">
      <c r="A13472" s="76" t="s">
        <v>52</v>
      </c>
      <c r="B13472" s="76" t="s">
        <v>1032</v>
      </c>
      <c r="C13472" s="84">
        <v>0.66</v>
      </c>
      <c r="D13472" s="84">
        <v>0.0</v>
      </c>
      <c r="E13472" s="84">
        <v>0.0</v>
      </c>
      <c r="F13472" s="76" t="s">
        <v>993</v>
      </c>
      <c r="G13472" s="83">
        <v>46122.0</v>
      </c>
      <c r="H13472" s="76" t="s">
        <v>1045</v>
      </c>
    </row>
    <row r="13473">
      <c r="A13473" s="76" t="s">
        <v>49</v>
      </c>
      <c r="B13473" s="76" t="s">
        <v>1032</v>
      </c>
      <c r="C13473" s="84">
        <v>0.3</v>
      </c>
      <c r="D13473" s="84">
        <v>0.0</v>
      </c>
      <c r="E13473" s="84">
        <v>0.0</v>
      </c>
      <c r="F13473" s="76" t="s">
        <v>993</v>
      </c>
      <c r="G13473" s="83">
        <v>46122.0</v>
      </c>
      <c r="H13473" s="76" t="s">
        <v>1046</v>
      </c>
    </row>
    <row r="13474">
      <c r="A13474" s="76" t="s">
        <v>45</v>
      </c>
      <c r="B13474" s="76" t="s">
        <v>1032</v>
      </c>
      <c r="C13474" s="84">
        <v>0.1</v>
      </c>
      <c r="D13474" s="84">
        <v>0.0</v>
      </c>
      <c r="E13474" s="84">
        <v>0.0</v>
      </c>
      <c r="F13474" s="76" t="s">
        <v>994</v>
      </c>
      <c r="G13474" s="83">
        <v>46122.0</v>
      </c>
      <c r="H13474" s="76" t="s">
        <v>936</v>
      </c>
    </row>
    <row r="13475">
      <c r="A13475" s="76" t="s">
        <v>45</v>
      </c>
      <c r="B13475" s="76" t="s">
        <v>1032</v>
      </c>
      <c r="C13475" s="84">
        <v>0.66</v>
      </c>
      <c r="D13475" s="84">
        <v>0.0</v>
      </c>
      <c r="E13475" s="84">
        <v>0.0</v>
      </c>
      <c r="F13475" s="76" t="s">
        <v>994</v>
      </c>
      <c r="G13475" s="83">
        <v>46122.0</v>
      </c>
      <c r="H13475" s="76" t="s">
        <v>937</v>
      </c>
    </row>
    <row r="13476">
      <c r="A13476" s="76" t="s">
        <v>45</v>
      </c>
      <c r="B13476" s="76" t="s">
        <v>1032</v>
      </c>
      <c r="C13476" s="84">
        <v>0.07</v>
      </c>
      <c r="D13476" s="84">
        <v>0.0</v>
      </c>
      <c r="E13476" s="84">
        <v>0.0</v>
      </c>
      <c r="F13476" s="76" t="s">
        <v>994</v>
      </c>
      <c r="G13476" s="83">
        <v>46122.0</v>
      </c>
      <c r="H13476" s="76" t="s">
        <v>938</v>
      </c>
    </row>
    <row r="13477">
      <c r="A13477" s="76" t="s">
        <v>36</v>
      </c>
      <c r="B13477" s="76" t="s">
        <v>1032</v>
      </c>
      <c r="C13477" s="84">
        <v>0.45</v>
      </c>
      <c r="D13477" s="84">
        <v>0.0</v>
      </c>
      <c r="E13477" s="84">
        <v>0.0</v>
      </c>
      <c r="F13477" s="76" t="s">
        <v>994</v>
      </c>
      <c r="G13477" s="83">
        <v>46122.0</v>
      </c>
      <c r="H13477" s="76" t="s">
        <v>926</v>
      </c>
    </row>
    <row r="13478">
      <c r="A13478" s="76" t="s">
        <v>36</v>
      </c>
      <c r="B13478" s="76" t="s">
        <v>1032</v>
      </c>
      <c r="C13478" s="84">
        <v>0.13</v>
      </c>
      <c r="D13478" s="84">
        <v>0.0</v>
      </c>
      <c r="E13478" s="84">
        <v>0.0</v>
      </c>
      <c r="F13478" s="76" t="s">
        <v>994</v>
      </c>
      <c r="G13478" s="83">
        <v>46122.0</v>
      </c>
      <c r="H13478" s="76" t="s">
        <v>927</v>
      </c>
    </row>
    <row r="13479">
      <c r="A13479" s="76" t="s">
        <v>36</v>
      </c>
      <c r="B13479" s="76" t="s">
        <v>1032</v>
      </c>
      <c r="C13479" s="84">
        <v>0.7</v>
      </c>
      <c r="D13479" s="84">
        <v>0.0</v>
      </c>
      <c r="E13479" s="84">
        <v>0.0</v>
      </c>
      <c r="F13479" s="76" t="s">
        <v>994</v>
      </c>
      <c r="G13479" s="83">
        <v>46122.0</v>
      </c>
      <c r="H13479" s="76" t="s">
        <v>928</v>
      </c>
    </row>
    <row r="13480">
      <c r="A13480" s="76" t="s">
        <v>31</v>
      </c>
      <c r="B13480" s="76" t="s">
        <v>1032</v>
      </c>
      <c r="C13480" s="84">
        <v>0.3</v>
      </c>
      <c r="D13480" s="84">
        <v>0.0</v>
      </c>
      <c r="E13480" s="84">
        <v>0.0</v>
      </c>
      <c r="F13480" s="76" t="s">
        <v>994</v>
      </c>
      <c r="G13480" s="83">
        <v>46122.0</v>
      </c>
      <c r="H13480" s="76" t="s">
        <v>929</v>
      </c>
    </row>
    <row r="13481">
      <c r="A13481" s="76" t="s">
        <v>31</v>
      </c>
      <c r="B13481" s="76" t="s">
        <v>1032</v>
      </c>
      <c r="C13481" s="84">
        <v>1.58</v>
      </c>
      <c r="D13481" s="84">
        <v>0.0</v>
      </c>
      <c r="E13481" s="84">
        <v>0.0</v>
      </c>
      <c r="F13481" s="76" t="s">
        <v>994</v>
      </c>
      <c r="G13481" s="83">
        <v>46122.0</v>
      </c>
      <c r="H13481" s="76" t="s">
        <v>930</v>
      </c>
    </row>
    <row r="13482">
      <c r="A13482" s="76" t="s">
        <v>944</v>
      </c>
      <c r="B13482" s="76" t="s">
        <v>1032</v>
      </c>
      <c r="C13482" s="84">
        <v>0.09</v>
      </c>
      <c r="D13482" s="84">
        <v>0.0</v>
      </c>
      <c r="E13482" s="84">
        <v>0.0</v>
      </c>
      <c r="F13482" s="76" t="s">
        <v>994</v>
      </c>
      <c r="G13482" s="83">
        <v>46122.0</v>
      </c>
      <c r="H13482" s="76" t="s">
        <v>945</v>
      </c>
    </row>
    <row r="13483">
      <c r="A13483" s="76" t="s">
        <v>944</v>
      </c>
      <c r="B13483" s="76" t="s">
        <v>1032</v>
      </c>
      <c r="C13483" s="84">
        <v>0.22</v>
      </c>
      <c r="D13483" s="84">
        <v>0.0</v>
      </c>
      <c r="E13483" s="84">
        <v>0.0</v>
      </c>
      <c r="F13483" s="76" t="s">
        <v>994</v>
      </c>
      <c r="G13483" s="83">
        <v>46122.0</v>
      </c>
      <c r="H13483" s="76" t="s">
        <v>946</v>
      </c>
    </row>
    <row r="13484">
      <c r="A13484" s="76" t="s">
        <v>944</v>
      </c>
      <c r="B13484" s="76" t="s">
        <v>1032</v>
      </c>
      <c r="C13484" s="84">
        <v>1.95</v>
      </c>
      <c r="D13484" s="84">
        <v>0.0</v>
      </c>
      <c r="E13484" s="84">
        <v>0.0</v>
      </c>
      <c r="F13484" s="76" t="s">
        <v>994</v>
      </c>
      <c r="G13484" s="83">
        <v>46122.0</v>
      </c>
      <c r="H13484" s="76" t="s">
        <v>947</v>
      </c>
    </row>
    <row r="13485">
      <c r="A13485" s="76" t="s">
        <v>32</v>
      </c>
      <c r="B13485" s="76" t="s">
        <v>1032</v>
      </c>
      <c r="C13485" s="84">
        <v>1.56</v>
      </c>
      <c r="D13485" s="84">
        <v>0.0</v>
      </c>
      <c r="E13485" s="84">
        <v>0.0</v>
      </c>
      <c r="F13485" s="76" t="s">
        <v>994</v>
      </c>
      <c r="G13485" s="83">
        <v>46122.0</v>
      </c>
      <c r="H13485" s="76" t="s">
        <v>941</v>
      </c>
    </row>
    <row r="13486">
      <c r="A13486" s="76" t="s">
        <v>32</v>
      </c>
      <c r="B13486" s="76" t="s">
        <v>1032</v>
      </c>
      <c r="C13486" s="84">
        <v>0.21</v>
      </c>
      <c r="D13486" s="84">
        <v>1.0</v>
      </c>
      <c r="E13486" s="84">
        <v>0.21</v>
      </c>
      <c r="F13486" s="76" t="s">
        <v>994</v>
      </c>
      <c r="G13486" s="83">
        <v>46122.0</v>
      </c>
      <c r="H13486" s="76" t="s">
        <v>942</v>
      </c>
    </row>
    <row r="13487">
      <c r="A13487" s="76" t="s">
        <v>32</v>
      </c>
      <c r="B13487" s="76" t="s">
        <v>1032</v>
      </c>
      <c r="C13487" s="84">
        <v>0.39</v>
      </c>
      <c r="D13487" s="84">
        <v>0.0</v>
      </c>
      <c r="E13487" s="84">
        <v>0.0</v>
      </c>
      <c r="F13487" s="76" t="s">
        <v>994</v>
      </c>
      <c r="G13487" s="83">
        <v>46122.0</v>
      </c>
      <c r="H13487" s="76" t="s">
        <v>943</v>
      </c>
    </row>
    <row r="13488">
      <c r="A13488" s="76" t="s">
        <v>26</v>
      </c>
      <c r="B13488" s="76" t="s">
        <v>1032</v>
      </c>
      <c r="C13488" s="84">
        <v>0.32</v>
      </c>
      <c r="D13488" s="84">
        <v>0.0</v>
      </c>
      <c r="E13488" s="84">
        <v>0.0</v>
      </c>
      <c r="F13488" s="76" t="s">
        <v>994</v>
      </c>
      <c r="G13488" s="83">
        <v>46122.0</v>
      </c>
      <c r="H13488" s="76" t="s">
        <v>1012</v>
      </c>
    </row>
    <row r="13489">
      <c r="A13489" s="76" t="s">
        <v>26</v>
      </c>
      <c r="B13489" s="76" t="s">
        <v>1032</v>
      </c>
      <c r="C13489" s="84">
        <v>0.05</v>
      </c>
      <c r="D13489" s="84">
        <v>0.0</v>
      </c>
      <c r="E13489" s="84">
        <v>0.0</v>
      </c>
      <c r="F13489" s="76" t="s">
        <v>994</v>
      </c>
      <c r="G13489" s="83">
        <v>46122.0</v>
      </c>
      <c r="H13489" s="76" t="s">
        <v>1013</v>
      </c>
    </row>
    <row r="13490">
      <c r="A13490" s="76" t="s">
        <v>26</v>
      </c>
      <c r="B13490" s="76" t="s">
        <v>1032</v>
      </c>
      <c r="C13490" s="84">
        <v>3.95</v>
      </c>
      <c r="D13490" s="84">
        <v>0.0</v>
      </c>
      <c r="E13490" s="84">
        <v>0.0</v>
      </c>
      <c r="F13490" s="76" t="s">
        <v>994</v>
      </c>
      <c r="G13490" s="83">
        <v>46122.0</v>
      </c>
      <c r="H13490" s="76" t="s">
        <v>1014</v>
      </c>
    </row>
    <row r="13491">
      <c r="A13491" s="76" t="s">
        <v>28</v>
      </c>
      <c r="B13491" s="76" t="s">
        <v>1032</v>
      </c>
      <c r="C13491" s="84">
        <v>0.12</v>
      </c>
      <c r="D13491" s="84">
        <v>0.0</v>
      </c>
      <c r="E13491" s="84">
        <v>0.0</v>
      </c>
      <c r="F13491" s="76" t="s">
        <v>994</v>
      </c>
      <c r="G13491" s="83">
        <v>46122.0</v>
      </c>
      <c r="H13491" s="76" t="s">
        <v>931</v>
      </c>
    </row>
    <row r="13492">
      <c r="A13492" s="76" t="s">
        <v>28</v>
      </c>
      <c r="B13492" s="76" t="s">
        <v>1032</v>
      </c>
      <c r="C13492" s="84">
        <v>0.18</v>
      </c>
      <c r="D13492" s="84">
        <v>0.0</v>
      </c>
      <c r="E13492" s="84">
        <v>0.0</v>
      </c>
      <c r="F13492" s="76" t="s">
        <v>994</v>
      </c>
      <c r="G13492" s="83">
        <v>46122.0</v>
      </c>
      <c r="H13492" s="76" t="s">
        <v>932</v>
      </c>
    </row>
    <row r="13493">
      <c r="A13493" s="76" t="s">
        <v>28</v>
      </c>
      <c r="B13493" s="76" t="s">
        <v>1032</v>
      </c>
      <c r="C13493" s="84">
        <v>0.31</v>
      </c>
      <c r="D13493" s="84">
        <v>1.0</v>
      </c>
      <c r="E13493" s="84">
        <v>0.31</v>
      </c>
      <c r="F13493" s="76" t="s">
        <v>994</v>
      </c>
      <c r="G13493" s="83">
        <v>46122.0</v>
      </c>
      <c r="H13493" s="76" t="s">
        <v>933</v>
      </c>
    </row>
    <row r="13494">
      <c r="A13494" s="76" t="s">
        <v>1043</v>
      </c>
      <c r="B13494" s="76" t="s">
        <v>1032</v>
      </c>
      <c r="C13494" s="84">
        <v>0.82</v>
      </c>
      <c r="D13494" s="84">
        <v>0.0</v>
      </c>
      <c r="E13494" s="84">
        <v>0.0</v>
      </c>
      <c r="F13494" s="76" t="s">
        <v>994</v>
      </c>
      <c r="G13494" s="83">
        <v>46122.0</v>
      </c>
      <c r="H13494" s="76" t="s">
        <v>1044</v>
      </c>
    </row>
    <row r="13495">
      <c r="A13495" s="76" t="s">
        <v>52</v>
      </c>
      <c r="B13495" s="76" t="s">
        <v>1032</v>
      </c>
      <c r="C13495" s="84">
        <v>0.62</v>
      </c>
      <c r="D13495" s="84">
        <v>0.0</v>
      </c>
      <c r="E13495" s="84">
        <v>0.0</v>
      </c>
      <c r="F13495" s="76" t="s">
        <v>994</v>
      </c>
      <c r="G13495" s="83">
        <v>46122.0</v>
      </c>
      <c r="H13495" s="76" t="s">
        <v>1045</v>
      </c>
    </row>
    <row r="13496">
      <c r="A13496" s="76" t="s">
        <v>49</v>
      </c>
      <c r="B13496" s="76" t="s">
        <v>1032</v>
      </c>
      <c r="C13496" s="84">
        <v>0.49</v>
      </c>
      <c r="D13496" s="84">
        <v>0.0</v>
      </c>
      <c r="E13496" s="84">
        <v>0.0</v>
      </c>
      <c r="F13496" s="76" t="s">
        <v>994</v>
      </c>
      <c r="G13496" s="83">
        <v>46122.0</v>
      </c>
      <c r="H13496" s="76" t="s">
        <v>1046</v>
      </c>
    </row>
    <row r="13497">
      <c r="A13497" s="76" t="s">
        <v>36</v>
      </c>
      <c r="B13497" s="76" t="s">
        <v>1032</v>
      </c>
      <c r="C13497" s="84">
        <v>0.5</v>
      </c>
      <c r="D13497" s="84">
        <v>0.0</v>
      </c>
      <c r="E13497" s="84">
        <v>0.0</v>
      </c>
      <c r="F13497" s="76" t="s">
        <v>998</v>
      </c>
      <c r="G13497" s="83">
        <v>46122.0</v>
      </c>
      <c r="H13497" s="76" t="s">
        <v>926</v>
      </c>
    </row>
    <row r="13498">
      <c r="A13498" s="76" t="s">
        <v>36</v>
      </c>
      <c r="B13498" s="76" t="s">
        <v>1032</v>
      </c>
      <c r="C13498" s="84">
        <v>0.17</v>
      </c>
      <c r="D13498" s="84">
        <v>0.0</v>
      </c>
      <c r="E13498" s="84">
        <v>0.0</v>
      </c>
      <c r="F13498" s="76" t="s">
        <v>998</v>
      </c>
      <c r="G13498" s="83">
        <v>46122.0</v>
      </c>
      <c r="H13498" s="76" t="s">
        <v>927</v>
      </c>
    </row>
    <row r="13499">
      <c r="A13499" s="76" t="s">
        <v>36</v>
      </c>
      <c r="B13499" s="76" t="s">
        <v>1032</v>
      </c>
      <c r="C13499" s="84">
        <v>0.41</v>
      </c>
      <c r="D13499" s="84">
        <v>0.0</v>
      </c>
      <c r="E13499" s="84">
        <v>0.0</v>
      </c>
      <c r="F13499" s="76" t="s">
        <v>998</v>
      </c>
      <c r="G13499" s="83">
        <v>46122.0</v>
      </c>
      <c r="H13499" s="76" t="s">
        <v>928</v>
      </c>
    </row>
    <row r="13500">
      <c r="A13500" s="76" t="s">
        <v>31</v>
      </c>
      <c r="B13500" s="76" t="s">
        <v>1032</v>
      </c>
      <c r="C13500" s="84">
        <v>0.48</v>
      </c>
      <c r="D13500" s="84">
        <v>0.0</v>
      </c>
      <c r="E13500" s="84">
        <v>0.0</v>
      </c>
      <c r="F13500" s="76" t="s">
        <v>998</v>
      </c>
      <c r="G13500" s="83">
        <v>46122.0</v>
      </c>
      <c r="H13500" s="76" t="s">
        <v>929</v>
      </c>
    </row>
    <row r="13501">
      <c r="A13501" s="76" t="s">
        <v>31</v>
      </c>
      <c r="B13501" s="76" t="s">
        <v>1032</v>
      </c>
      <c r="C13501" s="84">
        <v>3.21</v>
      </c>
      <c r="D13501" s="84">
        <v>2.0</v>
      </c>
      <c r="E13501" s="84">
        <v>1.61</v>
      </c>
      <c r="F13501" s="76" t="s">
        <v>998</v>
      </c>
      <c r="G13501" s="83">
        <v>46122.0</v>
      </c>
      <c r="H13501" s="76" t="s">
        <v>930</v>
      </c>
    </row>
    <row r="13502">
      <c r="A13502" s="76" t="s">
        <v>28</v>
      </c>
      <c r="B13502" s="76" t="s">
        <v>1032</v>
      </c>
      <c r="C13502" s="84">
        <v>0.11</v>
      </c>
      <c r="D13502" s="84">
        <v>0.0</v>
      </c>
      <c r="E13502" s="84">
        <v>0.0</v>
      </c>
      <c r="F13502" s="76" t="s">
        <v>998</v>
      </c>
      <c r="G13502" s="83">
        <v>46122.0</v>
      </c>
      <c r="H13502" s="76" t="s">
        <v>931</v>
      </c>
    </row>
    <row r="13503">
      <c r="A13503" s="76" t="s">
        <v>28</v>
      </c>
      <c r="B13503" s="76" t="s">
        <v>1032</v>
      </c>
      <c r="C13503" s="84">
        <v>0.12</v>
      </c>
      <c r="D13503" s="84">
        <v>0.0</v>
      </c>
      <c r="E13503" s="84">
        <v>0.0</v>
      </c>
      <c r="F13503" s="76" t="s">
        <v>998</v>
      </c>
      <c r="G13503" s="83">
        <v>46122.0</v>
      </c>
      <c r="H13503" s="76" t="s">
        <v>932</v>
      </c>
    </row>
    <row r="13504">
      <c r="A13504" s="76" t="s">
        <v>28</v>
      </c>
      <c r="B13504" s="76" t="s">
        <v>1032</v>
      </c>
      <c r="C13504" s="84">
        <v>0.86</v>
      </c>
      <c r="D13504" s="84">
        <v>0.0</v>
      </c>
      <c r="E13504" s="84">
        <v>0.0</v>
      </c>
      <c r="F13504" s="76" t="s">
        <v>998</v>
      </c>
      <c r="G13504" s="83">
        <v>46122.0</v>
      </c>
      <c r="H13504" s="76" t="s">
        <v>933</v>
      </c>
    </row>
    <row r="13505">
      <c r="A13505" s="76" t="s">
        <v>944</v>
      </c>
      <c r="B13505" s="76" t="s">
        <v>1032</v>
      </c>
      <c r="C13505" s="84">
        <v>0.4</v>
      </c>
      <c r="D13505" s="84">
        <v>0.0</v>
      </c>
      <c r="E13505" s="84">
        <v>0.0</v>
      </c>
      <c r="F13505" s="76" t="s">
        <v>998</v>
      </c>
      <c r="G13505" s="83">
        <v>46122.0</v>
      </c>
      <c r="H13505" s="76" t="s">
        <v>945</v>
      </c>
    </row>
    <row r="13506">
      <c r="A13506" s="76" t="s">
        <v>944</v>
      </c>
      <c r="B13506" s="76" t="s">
        <v>1032</v>
      </c>
      <c r="C13506" s="84">
        <v>0.19</v>
      </c>
      <c r="D13506" s="84">
        <v>0.0</v>
      </c>
      <c r="E13506" s="84">
        <v>0.0</v>
      </c>
      <c r="F13506" s="76" t="s">
        <v>998</v>
      </c>
      <c r="G13506" s="83">
        <v>46122.0</v>
      </c>
      <c r="H13506" s="76" t="s">
        <v>946</v>
      </c>
    </row>
    <row r="13507">
      <c r="A13507" s="76" t="s">
        <v>944</v>
      </c>
      <c r="B13507" s="76" t="s">
        <v>1032</v>
      </c>
      <c r="C13507" s="84">
        <v>0.78</v>
      </c>
      <c r="D13507" s="84">
        <v>0.0</v>
      </c>
      <c r="E13507" s="84">
        <v>0.0</v>
      </c>
      <c r="F13507" s="76" t="s">
        <v>998</v>
      </c>
      <c r="G13507" s="83">
        <v>46122.0</v>
      </c>
      <c r="H13507" s="76" t="s">
        <v>947</v>
      </c>
    </row>
    <row r="13508">
      <c r="A13508" s="76" t="s">
        <v>45</v>
      </c>
      <c r="B13508" s="76" t="s">
        <v>1032</v>
      </c>
      <c r="C13508" s="84">
        <v>0.03</v>
      </c>
      <c r="D13508" s="84">
        <v>0.0</v>
      </c>
      <c r="E13508" s="84">
        <v>0.0</v>
      </c>
      <c r="F13508" s="76" t="s">
        <v>998</v>
      </c>
      <c r="G13508" s="83">
        <v>46122.0</v>
      </c>
      <c r="H13508" s="76" t="s">
        <v>936</v>
      </c>
    </row>
    <row r="13509">
      <c r="A13509" s="76" t="s">
        <v>45</v>
      </c>
      <c r="B13509" s="76" t="s">
        <v>1032</v>
      </c>
      <c r="C13509" s="84">
        <v>0.27</v>
      </c>
      <c r="D13509" s="84">
        <v>1.0</v>
      </c>
      <c r="E13509" s="84">
        <v>0.27</v>
      </c>
      <c r="F13509" s="76" t="s">
        <v>998</v>
      </c>
      <c r="G13509" s="83">
        <v>46122.0</v>
      </c>
      <c r="H13509" s="76" t="s">
        <v>937</v>
      </c>
    </row>
    <row r="13510">
      <c r="A13510" s="76" t="s">
        <v>45</v>
      </c>
      <c r="B13510" s="76" t="s">
        <v>1032</v>
      </c>
      <c r="C13510" s="84">
        <v>0.05</v>
      </c>
      <c r="D13510" s="84">
        <v>0.0</v>
      </c>
      <c r="E13510" s="84">
        <v>0.0</v>
      </c>
      <c r="F13510" s="76" t="s">
        <v>998</v>
      </c>
      <c r="G13510" s="83">
        <v>46122.0</v>
      </c>
      <c r="H13510" s="76" t="s">
        <v>938</v>
      </c>
    </row>
    <row r="13511">
      <c r="A13511" s="76" t="s">
        <v>32</v>
      </c>
      <c r="B13511" s="76" t="s">
        <v>1032</v>
      </c>
      <c r="C13511" s="84">
        <v>0.95</v>
      </c>
      <c r="D13511" s="84">
        <v>0.0</v>
      </c>
      <c r="E13511" s="84">
        <v>0.0</v>
      </c>
      <c r="F13511" s="76" t="s">
        <v>998</v>
      </c>
      <c r="G13511" s="83">
        <v>46122.0</v>
      </c>
      <c r="H13511" s="76" t="s">
        <v>941</v>
      </c>
    </row>
    <row r="13512">
      <c r="A13512" s="76" t="s">
        <v>32</v>
      </c>
      <c r="B13512" s="76" t="s">
        <v>1032</v>
      </c>
      <c r="C13512" s="84">
        <v>0.34</v>
      </c>
      <c r="D13512" s="84">
        <v>0.0</v>
      </c>
      <c r="E13512" s="84">
        <v>0.0</v>
      </c>
      <c r="F13512" s="76" t="s">
        <v>998</v>
      </c>
      <c r="G13512" s="83">
        <v>46122.0</v>
      </c>
      <c r="H13512" s="76" t="s">
        <v>942</v>
      </c>
    </row>
    <row r="13513">
      <c r="A13513" s="76" t="s">
        <v>32</v>
      </c>
      <c r="B13513" s="76" t="s">
        <v>1032</v>
      </c>
      <c r="C13513" s="84">
        <v>0.7</v>
      </c>
      <c r="D13513" s="84">
        <v>0.0</v>
      </c>
      <c r="E13513" s="84">
        <v>0.0</v>
      </c>
      <c r="F13513" s="76" t="s">
        <v>998</v>
      </c>
      <c r="G13513" s="83">
        <v>46122.0</v>
      </c>
      <c r="H13513" s="76" t="s">
        <v>943</v>
      </c>
    </row>
    <row r="13514">
      <c r="A13514" s="76" t="s">
        <v>26</v>
      </c>
      <c r="B13514" s="76" t="s">
        <v>1032</v>
      </c>
      <c r="C13514" s="84">
        <v>0.19</v>
      </c>
      <c r="D13514" s="84">
        <v>0.0</v>
      </c>
      <c r="E13514" s="84">
        <v>0.0</v>
      </c>
      <c r="F13514" s="76" t="s">
        <v>998</v>
      </c>
      <c r="G13514" s="83">
        <v>46122.0</v>
      </c>
      <c r="H13514" s="76" t="s">
        <v>1012</v>
      </c>
    </row>
    <row r="13515">
      <c r="A13515" s="76" t="s">
        <v>26</v>
      </c>
      <c r="B13515" s="76" t="s">
        <v>1032</v>
      </c>
      <c r="C13515" s="84">
        <v>0.04</v>
      </c>
      <c r="D13515" s="84">
        <v>0.0</v>
      </c>
      <c r="E13515" s="84">
        <v>0.0</v>
      </c>
      <c r="F13515" s="76" t="s">
        <v>998</v>
      </c>
      <c r="G13515" s="83">
        <v>46122.0</v>
      </c>
      <c r="H13515" s="76" t="s">
        <v>1013</v>
      </c>
    </row>
    <row r="13516">
      <c r="A13516" s="76" t="s">
        <v>26</v>
      </c>
      <c r="B13516" s="76" t="s">
        <v>1032</v>
      </c>
      <c r="C13516" s="84">
        <v>4.27</v>
      </c>
      <c r="D13516" s="84">
        <v>1.0</v>
      </c>
      <c r="E13516" s="84">
        <v>4.27</v>
      </c>
      <c r="F13516" s="76" t="s">
        <v>998</v>
      </c>
      <c r="G13516" s="83">
        <v>46122.0</v>
      </c>
      <c r="H13516" s="76" t="s">
        <v>1014</v>
      </c>
    </row>
    <row r="13517">
      <c r="A13517" s="76" t="s">
        <v>1043</v>
      </c>
      <c r="B13517" s="76" t="s">
        <v>1032</v>
      </c>
      <c r="C13517" s="84">
        <v>0.53</v>
      </c>
      <c r="D13517" s="84">
        <v>1.0</v>
      </c>
      <c r="E13517" s="84">
        <v>0.53</v>
      </c>
      <c r="F13517" s="76" t="s">
        <v>998</v>
      </c>
      <c r="G13517" s="83">
        <v>46122.0</v>
      </c>
      <c r="H13517" s="76" t="s">
        <v>1044</v>
      </c>
    </row>
    <row r="13518">
      <c r="A13518" s="76" t="s">
        <v>52</v>
      </c>
      <c r="B13518" s="76" t="s">
        <v>1032</v>
      </c>
      <c r="C13518" s="84">
        <v>0.32</v>
      </c>
      <c r="D13518" s="84">
        <v>0.0</v>
      </c>
      <c r="E13518" s="84">
        <v>0.0</v>
      </c>
      <c r="F13518" s="76" t="s">
        <v>998</v>
      </c>
      <c r="G13518" s="83">
        <v>46122.0</v>
      </c>
      <c r="H13518" s="76" t="s">
        <v>1045</v>
      </c>
    </row>
    <row r="13519">
      <c r="A13519" s="76" t="s">
        <v>49</v>
      </c>
      <c r="B13519" s="76" t="s">
        <v>1032</v>
      </c>
      <c r="C13519" s="84">
        <v>0.32</v>
      </c>
      <c r="D13519" s="84">
        <v>1.0</v>
      </c>
      <c r="E13519" s="84">
        <v>0.32</v>
      </c>
      <c r="F13519" s="76" t="s">
        <v>998</v>
      </c>
      <c r="G13519" s="83">
        <v>46122.0</v>
      </c>
      <c r="H13519" s="76" t="s">
        <v>1046</v>
      </c>
    </row>
    <row r="13520">
      <c r="A13520" s="76" t="s">
        <v>36</v>
      </c>
      <c r="B13520" s="76" t="s">
        <v>1042</v>
      </c>
      <c r="C13520" s="84">
        <v>3.52</v>
      </c>
      <c r="D13520" s="84">
        <v>0.0</v>
      </c>
      <c r="E13520" s="84">
        <v>0.0</v>
      </c>
      <c r="F13520" s="76" t="s">
        <v>996</v>
      </c>
      <c r="G13520" s="83">
        <v>46122.0</v>
      </c>
      <c r="H13520" s="76" t="s">
        <v>926</v>
      </c>
    </row>
    <row r="13521">
      <c r="A13521" s="76" t="s">
        <v>36</v>
      </c>
      <c r="B13521" s="76" t="s">
        <v>1042</v>
      </c>
      <c r="C13521" s="84">
        <v>0.73</v>
      </c>
      <c r="D13521" s="84">
        <v>0.0</v>
      </c>
      <c r="E13521" s="84">
        <v>0.0</v>
      </c>
      <c r="F13521" s="76" t="s">
        <v>996</v>
      </c>
      <c r="G13521" s="83">
        <v>46122.0</v>
      </c>
      <c r="H13521" s="76" t="s">
        <v>927</v>
      </c>
    </row>
    <row r="13522">
      <c r="A13522" s="76" t="s">
        <v>36</v>
      </c>
      <c r="B13522" s="76" t="s">
        <v>1042</v>
      </c>
      <c r="C13522" s="84">
        <v>3.88</v>
      </c>
      <c r="D13522" s="84">
        <v>1.0</v>
      </c>
      <c r="E13522" s="84">
        <v>3.88</v>
      </c>
      <c r="F13522" s="76" t="s">
        <v>996</v>
      </c>
      <c r="G13522" s="83">
        <v>46122.0</v>
      </c>
      <c r="H13522" s="76" t="s">
        <v>928</v>
      </c>
    </row>
    <row r="13523">
      <c r="A13523" s="76" t="s">
        <v>28</v>
      </c>
      <c r="B13523" s="76" t="s">
        <v>1042</v>
      </c>
      <c r="C13523" s="84">
        <v>0.89</v>
      </c>
      <c r="D13523" s="84">
        <v>0.0</v>
      </c>
      <c r="E13523" s="84">
        <v>0.0</v>
      </c>
      <c r="F13523" s="76" t="s">
        <v>996</v>
      </c>
      <c r="G13523" s="83">
        <v>46122.0</v>
      </c>
      <c r="H13523" s="76" t="s">
        <v>931</v>
      </c>
    </row>
    <row r="13524">
      <c r="A13524" s="76" t="s">
        <v>28</v>
      </c>
      <c r="B13524" s="76" t="s">
        <v>1042</v>
      </c>
      <c r="C13524" s="84">
        <v>0.68</v>
      </c>
      <c r="D13524" s="84">
        <v>0.0</v>
      </c>
      <c r="E13524" s="84">
        <v>0.0</v>
      </c>
      <c r="F13524" s="76" t="s">
        <v>996</v>
      </c>
      <c r="G13524" s="83">
        <v>46122.0</v>
      </c>
      <c r="H13524" s="76" t="s">
        <v>932</v>
      </c>
    </row>
    <row r="13525">
      <c r="A13525" s="76" t="s">
        <v>28</v>
      </c>
      <c r="B13525" s="76" t="s">
        <v>1042</v>
      </c>
      <c r="C13525" s="84">
        <v>5.59</v>
      </c>
      <c r="D13525" s="84">
        <v>0.0</v>
      </c>
      <c r="E13525" s="84">
        <v>0.0</v>
      </c>
      <c r="F13525" s="76" t="s">
        <v>996</v>
      </c>
      <c r="G13525" s="83">
        <v>46122.0</v>
      </c>
      <c r="H13525" s="76" t="s">
        <v>933</v>
      </c>
    </row>
    <row r="13526">
      <c r="A13526" s="76" t="s">
        <v>34</v>
      </c>
      <c r="B13526" s="76" t="s">
        <v>1042</v>
      </c>
      <c r="C13526" s="84">
        <v>1.3</v>
      </c>
      <c r="D13526" s="84">
        <v>0.0</v>
      </c>
      <c r="E13526" s="84">
        <v>0.0</v>
      </c>
      <c r="F13526" s="76" t="s">
        <v>996</v>
      </c>
      <c r="G13526" s="83">
        <v>46122.0</v>
      </c>
      <c r="H13526" s="76" t="s">
        <v>951</v>
      </c>
    </row>
    <row r="13527">
      <c r="A13527" s="76" t="s">
        <v>34</v>
      </c>
      <c r="B13527" s="76" t="s">
        <v>1042</v>
      </c>
      <c r="C13527" s="84">
        <v>3.89</v>
      </c>
      <c r="D13527" s="84">
        <v>1.0</v>
      </c>
      <c r="E13527" s="84">
        <v>3.89</v>
      </c>
      <c r="F13527" s="76" t="s">
        <v>996</v>
      </c>
      <c r="G13527" s="83">
        <v>46122.0</v>
      </c>
      <c r="H13527" s="76" t="s">
        <v>952</v>
      </c>
    </row>
    <row r="13528">
      <c r="A13528" s="76" t="s">
        <v>34</v>
      </c>
      <c r="B13528" s="76" t="s">
        <v>1042</v>
      </c>
      <c r="C13528" s="84">
        <v>0.43</v>
      </c>
      <c r="D13528" s="84">
        <v>0.0</v>
      </c>
      <c r="E13528" s="84">
        <v>0.0</v>
      </c>
      <c r="F13528" s="76" t="s">
        <v>996</v>
      </c>
      <c r="G13528" s="83">
        <v>46122.0</v>
      </c>
      <c r="H13528" s="76" t="s">
        <v>953</v>
      </c>
    </row>
    <row r="13529">
      <c r="A13529" s="76" t="s">
        <v>1043</v>
      </c>
      <c r="B13529" s="76" t="s">
        <v>1042</v>
      </c>
      <c r="C13529" s="84">
        <v>7.08</v>
      </c>
      <c r="D13529" s="84">
        <v>0.0</v>
      </c>
      <c r="E13529" s="84">
        <v>0.0</v>
      </c>
      <c r="F13529" s="76" t="s">
        <v>996</v>
      </c>
      <c r="G13529" s="83">
        <v>46122.0</v>
      </c>
      <c r="H13529" s="76" t="s">
        <v>1044</v>
      </c>
    </row>
    <row r="13530">
      <c r="A13530" s="76" t="s">
        <v>52</v>
      </c>
      <c r="B13530" s="76" t="s">
        <v>1042</v>
      </c>
      <c r="C13530" s="84">
        <v>4.61</v>
      </c>
      <c r="D13530" s="84">
        <v>1.0</v>
      </c>
      <c r="E13530" s="84">
        <v>4.61</v>
      </c>
      <c r="F13530" s="76" t="s">
        <v>996</v>
      </c>
      <c r="G13530" s="83">
        <v>46122.0</v>
      </c>
      <c r="H13530" s="76" t="s">
        <v>1045</v>
      </c>
    </row>
    <row r="13531">
      <c r="A13531" s="76" t="s">
        <v>49</v>
      </c>
      <c r="B13531" s="76" t="s">
        <v>1042</v>
      </c>
      <c r="C13531" s="84">
        <v>4.81</v>
      </c>
      <c r="D13531" s="84">
        <v>1.0</v>
      </c>
      <c r="E13531" s="84">
        <v>4.81</v>
      </c>
      <c r="F13531" s="76" t="s">
        <v>996</v>
      </c>
      <c r="G13531" s="83">
        <v>46122.0</v>
      </c>
      <c r="H13531" s="76" t="s">
        <v>1046</v>
      </c>
    </row>
    <row r="13532">
      <c r="A13532" s="76" t="s">
        <v>36</v>
      </c>
      <c r="B13532" s="76" t="s">
        <v>1042</v>
      </c>
      <c r="C13532" s="84">
        <v>559.89</v>
      </c>
      <c r="D13532" s="84">
        <v>111.0</v>
      </c>
      <c r="E13532" s="84">
        <v>5.04</v>
      </c>
      <c r="F13532" s="76" t="s">
        <v>1005</v>
      </c>
      <c r="G13532" s="83">
        <v>46122.0</v>
      </c>
      <c r="H13532" s="76" t="s">
        <v>926</v>
      </c>
    </row>
    <row r="13533">
      <c r="A13533" s="76" t="s">
        <v>36</v>
      </c>
      <c r="B13533" s="76" t="s">
        <v>1042</v>
      </c>
      <c r="C13533" s="84">
        <v>14.22</v>
      </c>
      <c r="D13533" s="84">
        <v>1.0</v>
      </c>
      <c r="E13533" s="84">
        <v>14.22</v>
      </c>
      <c r="F13533" s="76" t="s">
        <v>1005</v>
      </c>
      <c r="G13533" s="83">
        <v>46122.0</v>
      </c>
      <c r="H13533" s="76" t="s">
        <v>927</v>
      </c>
    </row>
    <row r="13534">
      <c r="A13534" s="76" t="s">
        <v>36</v>
      </c>
      <c r="B13534" s="76" t="s">
        <v>1042</v>
      </c>
      <c r="C13534" s="84">
        <v>65.83</v>
      </c>
      <c r="D13534" s="84">
        <v>11.0</v>
      </c>
      <c r="E13534" s="84">
        <v>5.98</v>
      </c>
      <c r="F13534" s="76" t="s">
        <v>1005</v>
      </c>
      <c r="G13534" s="83">
        <v>46122.0</v>
      </c>
      <c r="H13534" s="76" t="s">
        <v>928</v>
      </c>
    </row>
    <row r="13535">
      <c r="A13535" s="76" t="s">
        <v>28</v>
      </c>
      <c r="B13535" s="76" t="s">
        <v>1042</v>
      </c>
      <c r="C13535" s="84">
        <v>36.16</v>
      </c>
      <c r="D13535" s="84">
        <v>3.0</v>
      </c>
      <c r="E13535" s="84">
        <v>12.05</v>
      </c>
      <c r="F13535" s="76" t="s">
        <v>1005</v>
      </c>
      <c r="G13535" s="83">
        <v>46122.0</v>
      </c>
      <c r="H13535" s="76" t="s">
        <v>931</v>
      </c>
    </row>
    <row r="13536">
      <c r="A13536" s="76" t="s">
        <v>28</v>
      </c>
      <c r="B13536" s="76" t="s">
        <v>1042</v>
      </c>
      <c r="C13536" s="84">
        <v>21.58</v>
      </c>
      <c r="D13536" s="84">
        <v>3.0</v>
      </c>
      <c r="E13536" s="84">
        <v>7.19</v>
      </c>
      <c r="F13536" s="76" t="s">
        <v>1005</v>
      </c>
      <c r="G13536" s="83">
        <v>46122.0</v>
      </c>
      <c r="H13536" s="76" t="s">
        <v>932</v>
      </c>
    </row>
    <row r="13537">
      <c r="A13537" s="76" t="s">
        <v>28</v>
      </c>
      <c r="B13537" s="76" t="s">
        <v>1042</v>
      </c>
      <c r="C13537" s="84">
        <v>735.27</v>
      </c>
      <c r="D13537" s="84">
        <v>128.0</v>
      </c>
      <c r="E13537" s="84">
        <v>5.74</v>
      </c>
      <c r="F13537" s="76" t="s">
        <v>1005</v>
      </c>
      <c r="G13537" s="83">
        <v>46122.0</v>
      </c>
      <c r="H13537" s="76" t="s">
        <v>933</v>
      </c>
    </row>
    <row r="13538">
      <c r="A13538" s="76" t="s">
        <v>34</v>
      </c>
      <c r="B13538" s="76" t="s">
        <v>1042</v>
      </c>
      <c r="C13538" s="84">
        <v>34.59</v>
      </c>
      <c r="D13538" s="84">
        <v>3.0</v>
      </c>
      <c r="E13538" s="84">
        <v>11.53</v>
      </c>
      <c r="F13538" s="76" t="s">
        <v>1005</v>
      </c>
      <c r="G13538" s="83">
        <v>46122.0</v>
      </c>
      <c r="H13538" s="76" t="s">
        <v>951</v>
      </c>
    </row>
    <row r="13539">
      <c r="A13539" s="76" t="s">
        <v>34</v>
      </c>
      <c r="B13539" s="76" t="s">
        <v>1042</v>
      </c>
      <c r="C13539" s="84">
        <v>107.95</v>
      </c>
      <c r="D13539" s="84">
        <v>18.0</v>
      </c>
      <c r="E13539" s="84">
        <v>6.0</v>
      </c>
      <c r="F13539" s="76" t="s">
        <v>1005</v>
      </c>
      <c r="G13539" s="83">
        <v>46122.0</v>
      </c>
      <c r="H13539" s="76" t="s">
        <v>952</v>
      </c>
    </row>
    <row r="13540">
      <c r="A13540" s="76" t="s">
        <v>34</v>
      </c>
      <c r="B13540" s="76" t="s">
        <v>1042</v>
      </c>
      <c r="C13540" s="84">
        <v>4.61</v>
      </c>
      <c r="D13540" s="84">
        <v>1.0</v>
      </c>
      <c r="E13540" s="84">
        <v>4.61</v>
      </c>
      <c r="F13540" s="76" t="s">
        <v>1005</v>
      </c>
      <c r="G13540" s="83">
        <v>46122.0</v>
      </c>
      <c r="H13540" s="76" t="s">
        <v>953</v>
      </c>
    </row>
    <row r="13541">
      <c r="A13541" s="76" t="s">
        <v>49</v>
      </c>
      <c r="B13541" s="76" t="s">
        <v>1042</v>
      </c>
      <c r="C13541" s="84">
        <v>85.47</v>
      </c>
      <c r="D13541" s="84">
        <v>19.0</v>
      </c>
      <c r="E13541" s="84">
        <v>4.5</v>
      </c>
      <c r="F13541" s="76" t="s">
        <v>1005</v>
      </c>
      <c r="G13541" s="83">
        <v>46122.0</v>
      </c>
      <c r="H13541" s="76" t="s">
        <v>1046</v>
      </c>
    </row>
    <row r="13542">
      <c r="A13542" s="76" t="s">
        <v>52</v>
      </c>
      <c r="B13542" s="76" t="s">
        <v>1042</v>
      </c>
      <c r="C13542" s="84">
        <v>114.83</v>
      </c>
      <c r="D13542" s="84">
        <v>14.0</v>
      </c>
      <c r="E13542" s="84">
        <v>8.2</v>
      </c>
      <c r="F13542" s="76" t="s">
        <v>1005</v>
      </c>
      <c r="G13542" s="83">
        <v>46122.0</v>
      </c>
      <c r="H13542" s="76" t="s">
        <v>1045</v>
      </c>
    </row>
    <row r="13543">
      <c r="A13543" s="76" t="s">
        <v>1043</v>
      </c>
      <c r="B13543" s="76" t="s">
        <v>1042</v>
      </c>
      <c r="C13543" s="84">
        <v>174.4</v>
      </c>
      <c r="D13543" s="84">
        <v>27.0</v>
      </c>
      <c r="E13543" s="84">
        <v>6.46</v>
      </c>
      <c r="F13543" s="76" t="s">
        <v>1005</v>
      </c>
      <c r="G13543" s="83">
        <v>46122.0</v>
      </c>
      <c r="H13543" s="76" t="s">
        <v>1044</v>
      </c>
    </row>
    <row r="13544">
      <c r="A13544" s="76" t="s">
        <v>36</v>
      </c>
      <c r="B13544" s="76" t="s">
        <v>1042</v>
      </c>
      <c r="C13544" s="84">
        <v>78.88</v>
      </c>
      <c r="D13544" s="84">
        <v>9.0</v>
      </c>
      <c r="E13544" s="84">
        <v>8.76</v>
      </c>
      <c r="F13544" s="76" t="s">
        <v>990</v>
      </c>
      <c r="G13544" s="83">
        <v>46122.0</v>
      </c>
      <c r="H13544" s="76" t="s">
        <v>926</v>
      </c>
    </row>
    <row r="13545">
      <c r="A13545" s="76" t="s">
        <v>36</v>
      </c>
      <c r="B13545" s="76" t="s">
        <v>1042</v>
      </c>
      <c r="C13545" s="84">
        <v>6.11</v>
      </c>
      <c r="D13545" s="84">
        <v>0.0</v>
      </c>
      <c r="E13545" s="84">
        <v>0.0</v>
      </c>
      <c r="F13545" s="76" t="s">
        <v>990</v>
      </c>
      <c r="G13545" s="83">
        <v>46122.0</v>
      </c>
      <c r="H13545" s="76" t="s">
        <v>927</v>
      </c>
    </row>
    <row r="13546">
      <c r="A13546" s="76" t="s">
        <v>36</v>
      </c>
      <c r="B13546" s="76" t="s">
        <v>1042</v>
      </c>
      <c r="C13546" s="84">
        <v>13.61</v>
      </c>
      <c r="D13546" s="84">
        <v>1.0</v>
      </c>
      <c r="E13546" s="84">
        <v>13.61</v>
      </c>
      <c r="F13546" s="76" t="s">
        <v>990</v>
      </c>
      <c r="G13546" s="83">
        <v>46122.0</v>
      </c>
      <c r="H13546" s="76" t="s">
        <v>928</v>
      </c>
    </row>
    <row r="13547">
      <c r="A13547" s="76" t="s">
        <v>28</v>
      </c>
      <c r="B13547" s="76" t="s">
        <v>1042</v>
      </c>
      <c r="C13547" s="84">
        <v>6.17</v>
      </c>
      <c r="D13547" s="84">
        <v>0.0</v>
      </c>
      <c r="E13547" s="84">
        <v>0.0</v>
      </c>
      <c r="F13547" s="76" t="s">
        <v>990</v>
      </c>
      <c r="G13547" s="83">
        <v>46122.0</v>
      </c>
      <c r="H13547" s="76" t="s">
        <v>931</v>
      </c>
    </row>
    <row r="13548">
      <c r="A13548" s="76" t="s">
        <v>28</v>
      </c>
      <c r="B13548" s="76" t="s">
        <v>1042</v>
      </c>
      <c r="C13548" s="84">
        <v>7.45</v>
      </c>
      <c r="D13548" s="84">
        <v>1.0</v>
      </c>
      <c r="E13548" s="84">
        <v>7.45</v>
      </c>
      <c r="F13548" s="76" t="s">
        <v>990</v>
      </c>
      <c r="G13548" s="83">
        <v>46122.0</v>
      </c>
      <c r="H13548" s="76" t="s">
        <v>932</v>
      </c>
    </row>
    <row r="13549">
      <c r="A13549" s="76" t="s">
        <v>28</v>
      </c>
      <c r="B13549" s="76" t="s">
        <v>1042</v>
      </c>
      <c r="C13549" s="84">
        <v>233.61</v>
      </c>
      <c r="D13549" s="84">
        <v>41.0</v>
      </c>
      <c r="E13549" s="84">
        <v>5.7</v>
      </c>
      <c r="F13549" s="76" t="s">
        <v>990</v>
      </c>
      <c r="G13549" s="83">
        <v>46122.0</v>
      </c>
      <c r="H13549" s="76" t="s">
        <v>933</v>
      </c>
    </row>
    <row r="13550">
      <c r="A13550" s="76" t="s">
        <v>34</v>
      </c>
      <c r="B13550" s="76" t="s">
        <v>1042</v>
      </c>
      <c r="C13550" s="84">
        <v>15.65</v>
      </c>
      <c r="D13550" s="84">
        <v>3.0</v>
      </c>
      <c r="E13550" s="84">
        <v>5.22</v>
      </c>
      <c r="F13550" s="76" t="s">
        <v>990</v>
      </c>
      <c r="G13550" s="83">
        <v>46122.0</v>
      </c>
      <c r="H13550" s="76" t="s">
        <v>951</v>
      </c>
    </row>
    <row r="13551">
      <c r="A13551" s="76" t="s">
        <v>34</v>
      </c>
      <c r="B13551" s="76" t="s">
        <v>1042</v>
      </c>
      <c r="C13551" s="84">
        <v>25.19</v>
      </c>
      <c r="D13551" s="84">
        <v>3.0</v>
      </c>
      <c r="E13551" s="84">
        <v>8.4</v>
      </c>
      <c r="F13551" s="76" t="s">
        <v>990</v>
      </c>
      <c r="G13551" s="83">
        <v>46122.0</v>
      </c>
      <c r="H13551" s="76" t="s">
        <v>952</v>
      </c>
    </row>
    <row r="13552">
      <c r="A13552" s="76" t="s">
        <v>34</v>
      </c>
      <c r="B13552" s="76" t="s">
        <v>1042</v>
      </c>
      <c r="C13552" s="84">
        <v>5.14</v>
      </c>
      <c r="D13552" s="84">
        <v>0.0</v>
      </c>
      <c r="E13552" s="84">
        <v>0.0</v>
      </c>
      <c r="F13552" s="76" t="s">
        <v>990</v>
      </c>
      <c r="G13552" s="83">
        <v>46122.0</v>
      </c>
      <c r="H13552" s="76" t="s">
        <v>953</v>
      </c>
    </row>
    <row r="13553">
      <c r="A13553" s="76" t="s">
        <v>1043</v>
      </c>
      <c r="B13553" s="76" t="s">
        <v>1042</v>
      </c>
      <c r="C13553" s="84">
        <v>42.96</v>
      </c>
      <c r="D13553" s="84">
        <v>6.0</v>
      </c>
      <c r="E13553" s="84">
        <v>7.16</v>
      </c>
      <c r="F13553" s="76" t="s">
        <v>990</v>
      </c>
      <c r="G13553" s="83">
        <v>46122.0</v>
      </c>
      <c r="H13553" s="76" t="s">
        <v>1044</v>
      </c>
    </row>
    <row r="13554">
      <c r="A13554" s="76" t="s">
        <v>52</v>
      </c>
      <c r="B13554" s="76" t="s">
        <v>1042</v>
      </c>
      <c r="C13554" s="84">
        <v>67.87</v>
      </c>
      <c r="D13554" s="84">
        <v>8.0</v>
      </c>
      <c r="E13554" s="84">
        <v>8.48</v>
      </c>
      <c r="F13554" s="76" t="s">
        <v>990</v>
      </c>
      <c r="G13554" s="83">
        <v>46122.0</v>
      </c>
      <c r="H13554" s="76" t="s">
        <v>1045</v>
      </c>
    </row>
    <row r="13555">
      <c r="A13555" s="76" t="s">
        <v>49</v>
      </c>
      <c r="B13555" s="76" t="s">
        <v>1042</v>
      </c>
      <c r="C13555" s="84">
        <v>46.18</v>
      </c>
      <c r="D13555" s="84">
        <v>3.0</v>
      </c>
      <c r="E13555" s="84">
        <v>15.39</v>
      </c>
      <c r="F13555" s="76" t="s">
        <v>990</v>
      </c>
      <c r="G13555" s="83">
        <v>46122.0</v>
      </c>
      <c r="H13555" s="76" t="s">
        <v>1046</v>
      </c>
    </row>
    <row r="13556">
      <c r="A13556" s="76" t="s">
        <v>36</v>
      </c>
      <c r="B13556" s="76" t="s">
        <v>1042</v>
      </c>
      <c r="C13556" s="84">
        <v>8.46</v>
      </c>
      <c r="D13556" s="84">
        <v>1.0</v>
      </c>
      <c r="E13556" s="84">
        <v>8.46</v>
      </c>
      <c r="F13556" s="76" t="s">
        <v>993</v>
      </c>
      <c r="G13556" s="83">
        <v>46122.0</v>
      </c>
      <c r="H13556" s="76" t="s">
        <v>926</v>
      </c>
    </row>
    <row r="13557">
      <c r="A13557" s="76" t="s">
        <v>36</v>
      </c>
      <c r="B13557" s="76" t="s">
        <v>1042</v>
      </c>
      <c r="C13557" s="84">
        <v>0.64</v>
      </c>
      <c r="D13557" s="84">
        <v>0.0</v>
      </c>
      <c r="E13557" s="84">
        <v>0.0</v>
      </c>
      <c r="F13557" s="76" t="s">
        <v>993</v>
      </c>
      <c r="G13557" s="83">
        <v>46122.0</v>
      </c>
      <c r="H13557" s="76" t="s">
        <v>927</v>
      </c>
    </row>
    <row r="13558">
      <c r="A13558" s="76" t="s">
        <v>36</v>
      </c>
      <c r="B13558" s="76" t="s">
        <v>1042</v>
      </c>
      <c r="C13558" s="84">
        <v>5.03</v>
      </c>
      <c r="D13558" s="84">
        <v>0.0</v>
      </c>
      <c r="E13558" s="84">
        <v>0.0</v>
      </c>
      <c r="F13558" s="76" t="s">
        <v>993</v>
      </c>
      <c r="G13558" s="83">
        <v>46122.0</v>
      </c>
      <c r="H13558" s="76" t="s">
        <v>928</v>
      </c>
    </row>
    <row r="13559">
      <c r="A13559" s="76" t="s">
        <v>28</v>
      </c>
      <c r="B13559" s="76" t="s">
        <v>1042</v>
      </c>
      <c r="C13559" s="84">
        <v>1.69</v>
      </c>
      <c r="D13559" s="84">
        <v>0.0</v>
      </c>
      <c r="E13559" s="84">
        <v>0.0</v>
      </c>
      <c r="F13559" s="76" t="s">
        <v>993</v>
      </c>
      <c r="G13559" s="83">
        <v>46122.0</v>
      </c>
      <c r="H13559" s="76" t="s">
        <v>931</v>
      </c>
    </row>
    <row r="13560">
      <c r="A13560" s="76" t="s">
        <v>28</v>
      </c>
      <c r="B13560" s="76" t="s">
        <v>1042</v>
      </c>
      <c r="C13560" s="84">
        <v>1.89</v>
      </c>
      <c r="D13560" s="84">
        <v>0.0</v>
      </c>
      <c r="E13560" s="84">
        <v>0.0</v>
      </c>
      <c r="F13560" s="76" t="s">
        <v>993</v>
      </c>
      <c r="G13560" s="83">
        <v>46122.0</v>
      </c>
      <c r="H13560" s="76" t="s">
        <v>932</v>
      </c>
    </row>
    <row r="13561">
      <c r="A13561" s="76" t="s">
        <v>28</v>
      </c>
      <c r="B13561" s="76" t="s">
        <v>1042</v>
      </c>
      <c r="C13561" s="84">
        <v>18.12</v>
      </c>
      <c r="D13561" s="84">
        <v>0.0</v>
      </c>
      <c r="E13561" s="84">
        <v>0.0</v>
      </c>
      <c r="F13561" s="76" t="s">
        <v>993</v>
      </c>
      <c r="G13561" s="83">
        <v>46122.0</v>
      </c>
      <c r="H13561" s="76" t="s">
        <v>933</v>
      </c>
    </row>
    <row r="13562">
      <c r="A13562" s="76" t="s">
        <v>34</v>
      </c>
      <c r="B13562" s="76" t="s">
        <v>1042</v>
      </c>
      <c r="C13562" s="84">
        <v>5.03</v>
      </c>
      <c r="D13562" s="84">
        <v>0.0</v>
      </c>
      <c r="E13562" s="84">
        <v>0.0</v>
      </c>
      <c r="F13562" s="76" t="s">
        <v>993</v>
      </c>
      <c r="G13562" s="83">
        <v>46122.0</v>
      </c>
      <c r="H13562" s="76" t="s">
        <v>951</v>
      </c>
    </row>
    <row r="13563">
      <c r="A13563" s="76" t="s">
        <v>34</v>
      </c>
      <c r="B13563" s="76" t="s">
        <v>1042</v>
      </c>
      <c r="C13563" s="84">
        <v>9.12</v>
      </c>
      <c r="D13563" s="84">
        <v>2.0</v>
      </c>
      <c r="E13563" s="84">
        <v>4.56</v>
      </c>
      <c r="F13563" s="76" t="s">
        <v>993</v>
      </c>
      <c r="G13563" s="83">
        <v>46122.0</v>
      </c>
      <c r="H13563" s="76" t="s">
        <v>952</v>
      </c>
    </row>
    <row r="13564">
      <c r="A13564" s="76" t="s">
        <v>34</v>
      </c>
      <c r="B13564" s="76" t="s">
        <v>1042</v>
      </c>
      <c r="C13564" s="84">
        <v>1.15</v>
      </c>
      <c r="D13564" s="84">
        <v>0.0</v>
      </c>
      <c r="E13564" s="84">
        <v>0.0</v>
      </c>
      <c r="F13564" s="76" t="s">
        <v>993</v>
      </c>
      <c r="G13564" s="83">
        <v>46122.0</v>
      </c>
      <c r="H13564" s="76" t="s">
        <v>953</v>
      </c>
    </row>
    <row r="13565">
      <c r="A13565" s="76" t="s">
        <v>1043</v>
      </c>
      <c r="B13565" s="76" t="s">
        <v>1042</v>
      </c>
      <c r="C13565" s="84">
        <v>9.29</v>
      </c>
      <c r="D13565" s="84">
        <v>0.0</v>
      </c>
      <c r="E13565" s="84">
        <v>0.0</v>
      </c>
      <c r="F13565" s="76" t="s">
        <v>993</v>
      </c>
      <c r="G13565" s="83">
        <v>46122.0</v>
      </c>
      <c r="H13565" s="76" t="s">
        <v>1044</v>
      </c>
    </row>
    <row r="13566">
      <c r="A13566" s="76" t="s">
        <v>52</v>
      </c>
      <c r="B13566" s="76" t="s">
        <v>1042</v>
      </c>
      <c r="C13566" s="84">
        <v>6.0</v>
      </c>
      <c r="D13566" s="84">
        <v>0.0</v>
      </c>
      <c r="E13566" s="84">
        <v>0.0</v>
      </c>
      <c r="F13566" s="76" t="s">
        <v>993</v>
      </c>
      <c r="G13566" s="83">
        <v>46122.0</v>
      </c>
      <c r="H13566" s="76" t="s">
        <v>1045</v>
      </c>
    </row>
    <row r="13567">
      <c r="A13567" s="76" t="s">
        <v>49</v>
      </c>
      <c r="B13567" s="76" t="s">
        <v>1042</v>
      </c>
      <c r="C13567" s="84">
        <v>4.49</v>
      </c>
      <c r="D13567" s="84">
        <v>1.0</v>
      </c>
      <c r="E13567" s="84">
        <v>4.49</v>
      </c>
      <c r="F13567" s="76" t="s">
        <v>993</v>
      </c>
      <c r="G13567" s="83">
        <v>46122.0</v>
      </c>
      <c r="H13567" s="76" t="s">
        <v>1046</v>
      </c>
    </row>
    <row r="13568">
      <c r="A13568" s="76" t="s">
        <v>36</v>
      </c>
      <c r="B13568" s="76" t="s">
        <v>1042</v>
      </c>
      <c r="C13568" s="84">
        <v>30.83</v>
      </c>
      <c r="D13568" s="84">
        <v>1.0</v>
      </c>
      <c r="E13568" s="84">
        <v>30.83</v>
      </c>
      <c r="F13568" s="76" t="s">
        <v>998</v>
      </c>
      <c r="G13568" s="83">
        <v>46122.0</v>
      </c>
      <c r="H13568" s="76" t="s">
        <v>926</v>
      </c>
    </row>
    <row r="13569">
      <c r="A13569" s="76" t="s">
        <v>36</v>
      </c>
      <c r="B13569" s="76" t="s">
        <v>1042</v>
      </c>
      <c r="C13569" s="84">
        <v>3.73</v>
      </c>
      <c r="D13569" s="84">
        <v>0.0</v>
      </c>
      <c r="E13569" s="84">
        <v>0.0</v>
      </c>
      <c r="F13569" s="76" t="s">
        <v>998</v>
      </c>
      <c r="G13569" s="83">
        <v>46122.0</v>
      </c>
      <c r="H13569" s="76" t="s">
        <v>927</v>
      </c>
    </row>
    <row r="13570">
      <c r="A13570" s="76" t="s">
        <v>36</v>
      </c>
      <c r="B13570" s="76" t="s">
        <v>1042</v>
      </c>
      <c r="C13570" s="84">
        <v>4.5</v>
      </c>
      <c r="D13570" s="84">
        <v>0.0</v>
      </c>
      <c r="E13570" s="84">
        <v>0.0</v>
      </c>
      <c r="F13570" s="76" t="s">
        <v>998</v>
      </c>
      <c r="G13570" s="83">
        <v>46122.0</v>
      </c>
      <c r="H13570" s="76" t="s">
        <v>928</v>
      </c>
    </row>
    <row r="13571">
      <c r="A13571" s="76" t="s">
        <v>28</v>
      </c>
      <c r="B13571" s="76" t="s">
        <v>1042</v>
      </c>
      <c r="C13571" s="84">
        <v>3.86</v>
      </c>
      <c r="D13571" s="84">
        <v>1.0</v>
      </c>
      <c r="E13571" s="84">
        <v>3.86</v>
      </c>
      <c r="F13571" s="76" t="s">
        <v>998</v>
      </c>
      <c r="G13571" s="83">
        <v>46122.0</v>
      </c>
      <c r="H13571" s="76" t="s">
        <v>931</v>
      </c>
    </row>
    <row r="13572">
      <c r="A13572" s="76" t="s">
        <v>28</v>
      </c>
      <c r="B13572" s="76" t="s">
        <v>1042</v>
      </c>
      <c r="C13572" s="84">
        <v>2.46</v>
      </c>
      <c r="D13572" s="84">
        <v>0.0</v>
      </c>
      <c r="E13572" s="84">
        <v>0.0</v>
      </c>
      <c r="F13572" s="76" t="s">
        <v>998</v>
      </c>
      <c r="G13572" s="83">
        <v>46122.0</v>
      </c>
      <c r="H13572" s="76" t="s">
        <v>932</v>
      </c>
    </row>
    <row r="13573">
      <c r="A13573" s="76" t="s">
        <v>28</v>
      </c>
      <c r="B13573" s="76" t="s">
        <v>1042</v>
      </c>
      <c r="C13573" s="84">
        <v>28.49</v>
      </c>
      <c r="D13573" s="84">
        <v>3.0</v>
      </c>
      <c r="E13573" s="84">
        <v>9.5</v>
      </c>
      <c r="F13573" s="76" t="s">
        <v>998</v>
      </c>
      <c r="G13573" s="83">
        <v>46122.0</v>
      </c>
      <c r="H13573" s="76" t="s">
        <v>933</v>
      </c>
    </row>
    <row r="13574">
      <c r="A13574" s="76" t="s">
        <v>34</v>
      </c>
      <c r="B13574" s="76" t="s">
        <v>1042</v>
      </c>
      <c r="C13574" s="84">
        <v>4.85</v>
      </c>
      <c r="D13574" s="84">
        <v>2.0</v>
      </c>
      <c r="E13574" s="84">
        <v>2.42</v>
      </c>
      <c r="F13574" s="76" t="s">
        <v>998</v>
      </c>
      <c r="G13574" s="83">
        <v>46122.0</v>
      </c>
      <c r="H13574" s="76" t="s">
        <v>951</v>
      </c>
    </row>
    <row r="13575">
      <c r="A13575" s="76" t="s">
        <v>34</v>
      </c>
      <c r="B13575" s="76" t="s">
        <v>1042</v>
      </c>
      <c r="C13575" s="84">
        <v>6.21</v>
      </c>
      <c r="D13575" s="84">
        <v>3.0</v>
      </c>
      <c r="E13575" s="84">
        <v>2.07</v>
      </c>
      <c r="F13575" s="76" t="s">
        <v>998</v>
      </c>
      <c r="G13575" s="83">
        <v>46122.0</v>
      </c>
      <c r="H13575" s="76" t="s">
        <v>952</v>
      </c>
    </row>
    <row r="13576">
      <c r="A13576" s="76" t="s">
        <v>34</v>
      </c>
      <c r="B13576" s="76" t="s">
        <v>1042</v>
      </c>
      <c r="C13576" s="84">
        <v>3.28</v>
      </c>
      <c r="D13576" s="84">
        <v>0.0</v>
      </c>
      <c r="E13576" s="84">
        <v>0.0</v>
      </c>
      <c r="F13576" s="76" t="s">
        <v>998</v>
      </c>
      <c r="G13576" s="83">
        <v>46122.0</v>
      </c>
      <c r="H13576" s="76" t="s">
        <v>953</v>
      </c>
    </row>
    <row r="13577">
      <c r="A13577" s="76" t="s">
        <v>1043</v>
      </c>
      <c r="B13577" s="76" t="s">
        <v>1042</v>
      </c>
      <c r="C13577" s="84">
        <v>24.09</v>
      </c>
      <c r="D13577" s="84">
        <v>3.0</v>
      </c>
      <c r="E13577" s="84">
        <v>8.03</v>
      </c>
      <c r="F13577" s="76" t="s">
        <v>998</v>
      </c>
      <c r="G13577" s="83">
        <v>46122.0</v>
      </c>
      <c r="H13577" s="76" t="s">
        <v>1044</v>
      </c>
    </row>
    <row r="13578">
      <c r="A13578" s="76" t="s">
        <v>52</v>
      </c>
      <c r="B13578" s="76" t="s">
        <v>1042</v>
      </c>
      <c r="C13578" s="84">
        <v>17.97</v>
      </c>
      <c r="D13578" s="84">
        <v>3.0</v>
      </c>
      <c r="E13578" s="84">
        <v>5.99</v>
      </c>
      <c r="F13578" s="76" t="s">
        <v>998</v>
      </c>
      <c r="G13578" s="83">
        <v>46122.0</v>
      </c>
      <c r="H13578" s="76" t="s">
        <v>1045</v>
      </c>
    </row>
    <row r="13579">
      <c r="A13579" s="76" t="s">
        <v>49</v>
      </c>
      <c r="B13579" s="76" t="s">
        <v>1042</v>
      </c>
      <c r="C13579" s="84">
        <v>10.05</v>
      </c>
      <c r="D13579" s="84">
        <v>1.0</v>
      </c>
      <c r="E13579" s="84">
        <v>10.05</v>
      </c>
      <c r="F13579" s="76" t="s">
        <v>998</v>
      </c>
      <c r="G13579" s="83">
        <v>46122.0</v>
      </c>
      <c r="H13579" s="76" t="s">
        <v>1046</v>
      </c>
    </row>
    <row r="13580">
      <c r="A13580" s="76" t="s">
        <v>36</v>
      </c>
      <c r="B13580" s="76" t="s">
        <v>1042</v>
      </c>
      <c r="C13580" s="84">
        <v>21.84</v>
      </c>
      <c r="D13580" s="84">
        <v>6.0</v>
      </c>
      <c r="E13580" s="84">
        <v>3.64</v>
      </c>
      <c r="F13580" s="76" t="s">
        <v>997</v>
      </c>
      <c r="G13580" s="83">
        <v>46122.0</v>
      </c>
      <c r="H13580" s="76" t="s">
        <v>926</v>
      </c>
    </row>
    <row r="13581">
      <c r="A13581" s="76" t="s">
        <v>36</v>
      </c>
      <c r="B13581" s="76" t="s">
        <v>1042</v>
      </c>
      <c r="C13581" s="84">
        <v>2.16</v>
      </c>
      <c r="D13581" s="84">
        <v>0.0</v>
      </c>
      <c r="E13581" s="84">
        <v>0.0</v>
      </c>
      <c r="F13581" s="76" t="s">
        <v>997</v>
      </c>
      <c r="G13581" s="83">
        <v>46122.0</v>
      </c>
      <c r="H13581" s="76" t="s">
        <v>927</v>
      </c>
    </row>
    <row r="13582">
      <c r="A13582" s="76" t="s">
        <v>36</v>
      </c>
      <c r="B13582" s="76" t="s">
        <v>1042</v>
      </c>
      <c r="C13582" s="84">
        <v>8.87</v>
      </c>
      <c r="D13582" s="84">
        <v>0.0</v>
      </c>
      <c r="E13582" s="84">
        <v>0.0</v>
      </c>
      <c r="F13582" s="76" t="s">
        <v>997</v>
      </c>
      <c r="G13582" s="83">
        <v>46122.0</v>
      </c>
      <c r="H13582" s="76" t="s">
        <v>928</v>
      </c>
    </row>
    <row r="13583">
      <c r="A13583" s="76" t="s">
        <v>28</v>
      </c>
      <c r="B13583" s="76" t="s">
        <v>1042</v>
      </c>
      <c r="C13583" s="84">
        <v>1.41</v>
      </c>
      <c r="D13583" s="84">
        <v>1.0</v>
      </c>
      <c r="E13583" s="84">
        <v>1.41</v>
      </c>
      <c r="F13583" s="76" t="s">
        <v>997</v>
      </c>
      <c r="G13583" s="83">
        <v>46122.0</v>
      </c>
      <c r="H13583" s="76" t="s">
        <v>931</v>
      </c>
    </row>
    <row r="13584">
      <c r="A13584" s="76" t="s">
        <v>28</v>
      </c>
      <c r="B13584" s="76" t="s">
        <v>1042</v>
      </c>
      <c r="C13584" s="84">
        <v>2.88</v>
      </c>
      <c r="D13584" s="84">
        <v>0.0</v>
      </c>
      <c r="E13584" s="84">
        <v>0.0</v>
      </c>
      <c r="F13584" s="76" t="s">
        <v>997</v>
      </c>
      <c r="G13584" s="83">
        <v>46122.0</v>
      </c>
      <c r="H13584" s="76" t="s">
        <v>932</v>
      </c>
    </row>
    <row r="13585">
      <c r="A13585" s="76" t="s">
        <v>28</v>
      </c>
      <c r="B13585" s="76" t="s">
        <v>1042</v>
      </c>
      <c r="C13585" s="84">
        <v>11.69</v>
      </c>
      <c r="D13585" s="84">
        <v>0.0</v>
      </c>
      <c r="E13585" s="84">
        <v>0.0</v>
      </c>
      <c r="F13585" s="76" t="s">
        <v>997</v>
      </c>
      <c r="G13585" s="83">
        <v>46122.0</v>
      </c>
      <c r="H13585" s="76" t="s">
        <v>933</v>
      </c>
    </row>
    <row r="13586">
      <c r="A13586" s="76" t="s">
        <v>34</v>
      </c>
      <c r="B13586" s="76" t="s">
        <v>1042</v>
      </c>
      <c r="C13586" s="84">
        <v>5.03</v>
      </c>
      <c r="D13586" s="84">
        <v>1.0</v>
      </c>
      <c r="E13586" s="84">
        <v>5.03</v>
      </c>
      <c r="F13586" s="76" t="s">
        <v>997</v>
      </c>
      <c r="G13586" s="83">
        <v>46122.0</v>
      </c>
      <c r="H13586" s="76" t="s">
        <v>951</v>
      </c>
    </row>
    <row r="13587">
      <c r="A13587" s="76" t="s">
        <v>34</v>
      </c>
      <c r="B13587" s="76" t="s">
        <v>1042</v>
      </c>
      <c r="C13587" s="84">
        <v>8.96</v>
      </c>
      <c r="D13587" s="84">
        <v>2.0</v>
      </c>
      <c r="E13587" s="84">
        <v>4.48</v>
      </c>
      <c r="F13587" s="76" t="s">
        <v>997</v>
      </c>
      <c r="G13587" s="83">
        <v>46122.0</v>
      </c>
      <c r="H13587" s="76" t="s">
        <v>952</v>
      </c>
    </row>
    <row r="13588">
      <c r="A13588" s="76" t="s">
        <v>34</v>
      </c>
      <c r="B13588" s="76" t="s">
        <v>1042</v>
      </c>
      <c r="C13588" s="84">
        <v>3.05</v>
      </c>
      <c r="D13588" s="84">
        <v>0.0</v>
      </c>
      <c r="E13588" s="84">
        <v>0.0</v>
      </c>
      <c r="F13588" s="76" t="s">
        <v>997</v>
      </c>
      <c r="G13588" s="83">
        <v>46122.0</v>
      </c>
      <c r="H13588" s="76" t="s">
        <v>953</v>
      </c>
    </row>
    <row r="13589">
      <c r="A13589" s="76" t="s">
        <v>1043</v>
      </c>
      <c r="B13589" s="76" t="s">
        <v>1042</v>
      </c>
      <c r="C13589" s="84">
        <v>17.46</v>
      </c>
      <c r="D13589" s="84">
        <v>1.0</v>
      </c>
      <c r="E13589" s="84">
        <v>17.46</v>
      </c>
      <c r="F13589" s="76" t="s">
        <v>997</v>
      </c>
      <c r="G13589" s="83">
        <v>46122.0</v>
      </c>
      <c r="H13589" s="76" t="s">
        <v>1044</v>
      </c>
    </row>
    <row r="13590">
      <c r="A13590" s="76" t="s">
        <v>52</v>
      </c>
      <c r="B13590" s="76" t="s">
        <v>1042</v>
      </c>
      <c r="C13590" s="84">
        <v>57.84</v>
      </c>
      <c r="D13590" s="84">
        <v>3.0</v>
      </c>
      <c r="E13590" s="84">
        <v>19.28</v>
      </c>
      <c r="F13590" s="76" t="s">
        <v>997</v>
      </c>
      <c r="G13590" s="83">
        <v>46122.0</v>
      </c>
      <c r="H13590" s="76" t="s">
        <v>1045</v>
      </c>
    </row>
    <row r="13591">
      <c r="A13591" s="76" t="s">
        <v>49</v>
      </c>
      <c r="B13591" s="76" t="s">
        <v>1042</v>
      </c>
      <c r="C13591" s="84">
        <v>11.3</v>
      </c>
      <c r="D13591" s="84">
        <v>2.0</v>
      </c>
      <c r="E13591" s="84">
        <v>5.65</v>
      </c>
      <c r="F13591" s="76" t="s">
        <v>997</v>
      </c>
      <c r="G13591" s="83">
        <v>46122.0</v>
      </c>
      <c r="H13591" s="76" t="s">
        <v>1046</v>
      </c>
    </row>
    <row r="13592">
      <c r="A13592" s="76" t="s">
        <v>34</v>
      </c>
      <c r="B13592" s="76" t="s">
        <v>1029</v>
      </c>
      <c r="C13592" s="84">
        <v>0.67</v>
      </c>
      <c r="D13592" s="84">
        <v>0.0</v>
      </c>
      <c r="E13592" s="84">
        <v>0.0</v>
      </c>
      <c r="F13592" s="76" t="s">
        <v>950</v>
      </c>
      <c r="G13592" s="83">
        <v>46123.0</v>
      </c>
      <c r="H13592" s="76" t="s">
        <v>951</v>
      </c>
    </row>
    <row r="13593">
      <c r="A13593" s="76" t="s">
        <v>34</v>
      </c>
      <c r="B13593" s="76" t="s">
        <v>1029</v>
      </c>
      <c r="C13593" s="84">
        <v>1.12</v>
      </c>
      <c r="D13593" s="84">
        <v>0.0</v>
      </c>
      <c r="E13593" s="84">
        <v>0.0</v>
      </c>
      <c r="F13593" s="76" t="s">
        <v>950</v>
      </c>
      <c r="G13593" s="83">
        <v>46123.0</v>
      </c>
      <c r="H13593" s="76" t="s">
        <v>952</v>
      </c>
    </row>
    <row r="13594">
      <c r="A13594" s="76" t="s">
        <v>34</v>
      </c>
      <c r="B13594" s="76" t="s">
        <v>1029</v>
      </c>
      <c r="C13594" s="84">
        <v>0.11</v>
      </c>
      <c r="D13594" s="84">
        <v>0.0</v>
      </c>
      <c r="E13594" s="84">
        <v>0.0</v>
      </c>
      <c r="F13594" s="76" t="s">
        <v>950</v>
      </c>
      <c r="G13594" s="83">
        <v>46123.0</v>
      </c>
      <c r="H13594" s="76" t="s">
        <v>953</v>
      </c>
    </row>
    <row r="13595">
      <c r="A13595" s="76" t="s">
        <v>46</v>
      </c>
      <c r="B13595" s="76" t="s">
        <v>1029</v>
      </c>
      <c r="C13595" s="84">
        <v>1.78</v>
      </c>
      <c r="D13595" s="84">
        <v>0.0</v>
      </c>
      <c r="E13595" s="84">
        <v>0.0</v>
      </c>
      <c r="F13595" s="76" t="s">
        <v>950</v>
      </c>
      <c r="G13595" s="83">
        <v>46123.0</v>
      </c>
      <c r="H13595" s="76" t="s">
        <v>960</v>
      </c>
    </row>
    <row r="13596">
      <c r="A13596" s="76" t="s">
        <v>46</v>
      </c>
      <c r="B13596" s="76" t="s">
        <v>1029</v>
      </c>
      <c r="C13596" s="84">
        <v>0.26</v>
      </c>
      <c r="D13596" s="84">
        <v>0.0</v>
      </c>
      <c r="E13596" s="84">
        <v>0.0</v>
      </c>
      <c r="F13596" s="76" t="s">
        <v>950</v>
      </c>
      <c r="G13596" s="83">
        <v>46123.0</v>
      </c>
      <c r="H13596" s="76" t="s">
        <v>961</v>
      </c>
    </row>
    <row r="13597">
      <c r="A13597" s="76" t="s">
        <v>46</v>
      </c>
      <c r="B13597" s="76" t="s">
        <v>1029</v>
      </c>
      <c r="C13597" s="84">
        <v>0.85</v>
      </c>
      <c r="D13597" s="84">
        <v>0.0</v>
      </c>
      <c r="E13597" s="84">
        <v>0.0</v>
      </c>
      <c r="F13597" s="76" t="s">
        <v>950</v>
      </c>
      <c r="G13597" s="83">
        <v>46123.0</v>
      </c>
      <c r="H13597" s="76" t="s">
        <v>962</v>
      </c>
    </row>
    <row r="13598">
      <c r="A13598" s="76" t="s">
        <v>29</v>
      </c>
      <c r="B13598" s="76" t="s">
        <v>1029</v>
      </c>
      <c r="C13598" s="84">
        <v>0.6</v>
      </c>
      <c r="D13598" s="84">
        <v>0.0</v>
      </c>
      <c r="E13598" s="84">
        <v>0.0</v>
      </c>
      <c r="F13598" s="76" t="s">
        <v>950</v>
      </c>
      <c r="G13598" s="83">
        <v>46123.0</v>
      </c>
      <c r="H13598" s="76" t="s">
        <v>971</v>
      </c>
    </row>
    <row r="13599">
      <c r="A13599" s="76" t="s">
        <v>29</v>
      </c>
      <c r="B13599" s="76" t="s">
        <v>1029</v>
      </c>
      <c r="C13599" s="84">
        <v>0.04</v>
      </c>
      <c r="D13599" s="84">
        <v>0.0</v>
      </c>
      <c r="E13599" s="84">
        <v>0.0</v>
      </c>
      <c r="F13599" s="76" t="s">
        <v>950</v>
      </c>
      <c r="G13599" s="83">
        <v>46123.0</v>
      </c>
      <c r="H13599" s="76" t="s">
        <v>972</v>
      </c>
    </row>
    <row r="13600">
      <c r="A13600" s="76" t="s">
        <v>29</v>
      </c>
      <c r="B13600" s="76" t="s">
        <v>1029</v>
      </c>
      <c r="C13600" s="84">
        <v>2.7</v>
      </c>
      <c r="D13600" s="84">
        <v>1.0</v>
      </c>
      <c r="E13600" s="84">
        <v>2.7</v>
      </c>
      <c r="F13600" s="76" t="s">
        <v>950</v>
      </c>
      <c r="G13600" s="83">
        <v>46123.0</v>
      </c>
      <c r="H13600" s="76" t="s">
        <v>973</v>
      </c>
    </row>
    <row r="13601">
      <c r="A13601" s="76" t="s">
        <v>33</v>
      </c>
      <c r="B13601" s="76" t="s">
        <v>1029</v>
      </c>
      <c r="C13601" s="84">
        <v>51.74</v>
      </c>
      <c r="D13601" s="84">
        <v>10.0</v>
      </c>
      <c r="E13601" s="84">
        <v>5.17</v>
      </c>
      <c r="F13601" s="76" t="s">
        <v>950</v>
      </c>
      <c r="G13601" s="83">
        <v>46123.0</v>
      </c>
      <c r="H13601" s="76" t="s">
        <v>957</v>
      </c>
    </row>
    <row r="13602">
      <c r="A13602" s="76" t="s">
        <v>33</v>
      </c>
      <c r="B13602" s="76" t="s">
        <v>1029</v>
      </c>
      <c r="C13602" s="84">
        <v>0.58</v>
      </c>
      <c r="D13602" s="84">
        <v>0.0</v>
      </c>
      <c r="E13602" s="84">
        <v>0.0</v>
      </c>
      <c r="F13602" s="76" t="s">
        <v>950</v>
      </c>
      <c r="G13602" s="83">
        <v>46123.0</v>
      </c>
      <c r="H13602" s="76" t="s">
        <v>958</v>
      </c>
    </row>
    <row r="13603">
      <c r="A13603" s="76" t="s">
        <v>33</v>
      </c>
      <c r="B13603" s="76" t="s">
        <v>1029</v>
      </c>
      <c r="C13603" s="84">
        <v>3.69</v>
      </c>
      <c r="D13603" s="84">
        <v>1.0</v>
      </c>
      <c r="E13603" s="84">
        <v>3.69</v>
      </c>
      <c r="F13603" s="76" t="s">
        <v>950</v>
      </c>
      <c r="G13603" s="83">
        <v>46123.0</v>
      </c>
      <c r="H13603" s="76" t="s">
        <v>959</v>
      </c>
    </row>
    <row r="13604">
      <c r="A13604" s="76" t="s">
        <v>970</v>
      </c>
      <c r="B13604" s="76" t="s">
        <v>1029</v>
      </c>
      <c r="C13604" s="84">
        <v>0.52</v>
      </c>
      <c r="D13604" s="84">
        <v>0.0</v>
      </c>
      <c r="E13604" s="84">
        <v>0.0</v>
      </c>
      <c r="F13604" s="76" t="s">
        <v>950</v>
      </c>
      <c r="G13604" s="83">
        <v>46123.0</v>
      </c>
      <c r="H13604" s="76" t="s">
        <v>971</v>
      </c>
    </row>
    <row r="13605">
      <c r="A13605" s="76" t="s">
        <v>970</v>
      </c>
      <c r="B13605" s="76" t="s">
        <v>1029</v>
      </c>
      <c r="C13605" s="84">
        <v>0.22</v>
      </c>
      <c r="D13605" s="84">
        <v>0.0</v>
      </c>
      <c r="E13605" s="84">
        <v>0.0</v>
      </c>
      <c r="F13605" s="76" t="s">
        <v>950</v>
      </c>
      <c r="G13605" s="83">
        <v>46123.0</v>
      </c>
      <c r="H13605" s="76" t="s">
        <v>972</v>
      </c>
    </row>
    <row r="13606">
      <c r="A13606" s="76" t="s">
        <v>970</v>
      </c>
      <c r="B13606" s="76" t="s">
        <v>1029</v>
      </c>
      <c r="C13606" s="84">
        <v>2.43</v>
      </c>
      <c r="D13606" s="84">
        <v>1.0</v>
      </c>
      <c r="E13606" s="84">
        <v>2.43</v>
      </c>
      <c r="F13606" s="76" t="s">
        <v>950</v>
      </c>
      <c r="G13606" s="83">
        <v>46123.0</v>
      </c>
      <c r="H13606" s="76" t="s">
        <v>973</v>
      </c>
    </row>
    <row r="13607">
      <c r="A13607" s="76" t="s">
        <v>43</v>
      </c>
      <c r="B13607" s="76" t="s">
        <v>1029</v>
      </c>
      <c r="C13607" s="84">
        <v>0.47</v>
      </c>
      <c r="D13607" s="84">
        <v>0.0</v>
      </c>
      <c r="E13607" s="84">
        <v>0.0</v>
      </c>
      <c r="F13607" s="76" t="s">
        <v>950</v>
      </c>
      <c r="G13607" s="83">
        <v>46123.0</v>
      </c>
      <c r="H13607" s="76" t="s">
        <v>963</v>
      </c>
    </row>
    <row r="13608">
      <c r="A13608" s="76" t="s">
        <v>43</v>
      </c>
      <c r="B13608" s="76" t="s">
        <v>1029</v>
      </c>
      <c r="C13608" s="84">
        <v>0.46</v>
      </c>
      <c r="D13608" s="84">
        <v>0.0</v>
      </c>
      <c r="E13608" s="84">
        <v>0.0</v>
      </c>
      <c r="F13608" s="76" t="s">
        <v>950</v>
      </c>
      <c r="G13608" s="83">
        <v>46123.0</v>
      </c>
      <c r="H13608" s="76" t="s">
        <v>964</v>
      </c>
    </row>
    <row r="13609">
      <c r="A13609" s="76" t="s">
        <v>43</v>
      </c>
      <c r="B13609" s="76" t="s">
        <v>1029</v>
      </c>
      <c r="C13609" s="84">
        <v>2.47</v>
      </c>
      <c r="D13609" s="84">
        <v>0.0</v>
      </c>
      <c r="E13609" s="84">
        <v>0.0</v>
      </c>
      <c r="F13609" s="76" t="s">
        <v>950</v>
      </c>
      <c r="G13609" s="83">
        <v>46123.0</v>
      </c>
      <c r="H13609" s="76" t="s">
        <v>965</v>
      </c>
    </row>
    <row r="13610">
      <c r="A13610" s="76" t="s">
        <v>966</v>
      </c>
      <c r="B13610" s="76" t="s">
        <v>1029</v>
      </c>
      <c r="C13610" s="84">
        <v>5.86</v>
      </c>
      <c r="D13610" s="84">
        <v>1.0</v>
      </c>
      <c r="E13610" s="84">
        <v>5.86</v>
      </c>
      <c r="F13610" s="76" t="s">
        <v>950</v>
      </c>
      <c r="G13610" s="83">
        <v>46123.0</v>
      </c>
      <c r="H13610" s="76" t="s">
        <v>967</v>
      </c>
    </row>
    <row r="13611">
      <c r="A13611" s="76" t="s">
        <v>966</v>
      </c>
      <c r="B13611" s="76" t="s">
        <v>1029</v>
      </c>
      <c r="C13611" s="84">
        <v>0.36</v>
      </c>
      <c r="D13611" s="84">
        <v>0.0</v>
      </c>
      <c r="E13611" s="84">
        <v>0.0</v>
      </c>
      <c r="F13611" s="76" t="s">
        <v>950</v>
      </c>
      <c r="G13611" s="83">
        <v>46123.0</v>
      </c>
      <c r="H13611" s="76" t="s">
        <v>968</v>
      </c>
    </row>
    <row r="13612">
      <c r="A13612" s="76" t="s">
        <v>966</v>
      </c>
      <c r="B13612" s="76" t="s">
        <v>1029</v>
      </c>
      <c r="C13612" s="84">
        <v>2.91</v>
      </c>
      <c r="D13612" s="84">
        <v>0.0</v>
      </c>
      <c r="E13612" s="84">
        <v>0.0</v>
      </c>
      <c r="F13612" s="76" t="s">
        <v>950</v>
      </c>
      <c r="G13612" s="83">
        <v>46123.0</v>
      </c>
      <c r="H13612" s="76" t="s">
        <v>969</v>
      </c>
    </row>
    <row r="13613">
      <c r="A13613" s="76" t="s">
        <v>36</v>
      </c>
      <c r="B13613" s="76" t="s">
        <v>1029</v>
      </c>
      <c r="C13613" s="84">
        <v>8.2</v>
      </c>
      <c r="D13613" s="84">
        <v>1.0</v>
      </c>
      <c r="E13613" s="84">
        <v>8.2</v>
      </c>
      <c r="F13613" s="76" t="s">
        <v>950</v>
      </c>
      <c r="G13613" s="83">
        <v>46123.0</v>
      </c>
      <c r="H13613" s="76" t="s">
        <v>926</v>
      </c>
    </row>
    <row r="13614">
      <c r="A13614" s="76" t="s">
        <v>36</v>
      </c>
      <c r="B13614" s="76" t="s">
        <v>1029</v>
      </c>
      <c r="C13614" s="84">
        <v>0.43</v>
      </c>
      <c r="D13614" s="84">
        <v>0.0</v>
      </c>
      <c r="E13614" s="84">
        <v>0.0</v>
      </c>
      <c r="F13614" s="76" t="s">
        <v>950</v>
      </c>
      <c r="G13614" s="83">
        <v>46123.0</v>
      </c>
      <c r="H13614" s="76" t="s">
        <v>927</v>
      </c>
    </row>
    <row r="13615">
      <c r="A13615" s="76" t="s">
        <v>36</v>
      </c>
      <c r="B13615" s="76" t="s">
        <v>1029</v>
      </c>
      <c r="C13615" s="84">
        <v>1.12</v>
      </c>
      <c r="D13615" s="84">
        <v>0.0</v>
      </c>
      <c r="E13615" s="84">
        <v>0.0</v>
      </c>
      <c r="F13615" s="76" t="s">
        <v>950</v>
      </c>
      <c r="G13615" s="83">
        <v>46123.0</v>
      </c>
      <c r="H13615" s="76" t="s">
        <v>928</v>
      </c>
    </row>
    <row r="13616">
      <c r="A13616" s="76" t="s">
        <v>40</v>
      </c>
      <c r="B13616" s="76" t="s">
        <v>1029</v>
      </c>
      <c r="C13616" s="84">
        <v>0.56</v>
      </c>
      <c r="D13616" s="84">
        <v>0.0</v>
      </c>
      <c r="E13616" s="84">
        <v>0.0</v>
      </c>
      <c r="F13616" s="76" t="s">
        <v>950</v>
      </c>
      <c r="G13616" s="83">
        <v>46123.0</v>
      </c>
      <c r="H13616" s="76" t="s">
        <v>954</v>
      </c>
    </row>
    <row r="13617">
      <c r="A13617" s="76" t="s">
        <v>40</v>
      </c>
      <c r="B13617" s="76" t="s">
        <v>1029</v>
      </c>
      <c r="C13617" s="84">
        <v>0.17</v>
      </c>
      <c r="D13617" s="84">
        <v>0.0</v>
      </c>
      <c r="E13617" s="84">
        <v>0.0</v>
      </c>
      <c r="F13617" s="76" t="s">
        <v>950</v>
      </c>
      <c r="G13617" s="83">
        <v>46123.0</v>
      </c>
      <c r="H13617" s="76" t="s">
        <v>955</v>
      </c>
    </row>
    <row r="13618">
      <c r="A13618" s="76" t="s">
        <v>40</v>
      </c>
      <c r="B13618" s="76" t="s">
        <v>1029</v>
      </c>
      <c r="C13618" s="84">
        <v>3.65</v>
      </c>
      <c r="D13618" s="84">
        <v>0.0</v>
      </c>
      <c r="E13618" s="84">
        <v>0.0</v>
      </c>
      <c r="F13618" s="76" t="s">
        <v>950</v>
      </c>
      <c r="G13618" s="83">
        <v>46123.0</v>
      </c>
      <c r="H13618" s="76" t="s">
        <v>956</v>
      </c>
    </row>
    <row r="13619">
      <c r="A13619" s="76" t="s">
        <v>966</v>
      </c>
      <c r="B13619" s="76" t="s">
        <v>1029</v>
      </c>
      <c r="C13619" s="84">
        <v>3.05</v>
      </c>
      <c r="D13619" s="84">
        <v>1.0</v>
      </c>
      <c r="E13619" s="84">
        <v>3.05</v>
      </c>
      <c r="F13619" s="76" t="s">
        <v>974</v>
      </c>
      <c r="G13619" s="83">
        <v>46123.0</v>
      </c>
      <c r="H13619" s="76" t="s">
        <v>967</v>
      </c>
    </row>
    <row r="13620">
      <c r="A13620" s="76" t="s">
        <v>966</v>
      </c>
      <c r="B13620" s="76" t="s">
        <v>1029</v>
      </c>
      <c r="C13620" s="84">
        <v>0.89</v>
      </c>
      <c r="D13620" s="84">
        <v>0.0</v>
      </c>
      <c r="E13620" s="84">
        <v>0.0</v>
      </c>
      <c r="F13620" s="76" t="s">
        <v>974</v>
      </c>
      <c r="G13620" s="83">
        <v>46123.0</v>
      </c>
      <c r="H13620" s="76" t="s">
        <v>968</v>
      </c>
    </row>
    <row r="13621">
      <c r="A13621" s="76" t="s">
        <v>966</v>
      </c>
      <c r="B13621" s="76" t="s">
        <v>1029</v>
      </c>
      <c r="C13621" s="84">
        <v>2.95</v>
      </c>
      <c r="D13621" s="84">
        <v>0.0</v>
      </c>
      <c r="E13621" s="84">
        <v>0.0</v>
      </c>
      <c r="F13621" s="76" t="s">
        <v>974</v>
      </c>
      <c r="G13621" s="83">
        <v>46123.0</v>
      </c>
      <c r="H13621" s="76" t="s">
        <v>969</v>
      </c>
    </row>
    <row r="13622">
      <c r="A13622" s="76" t="s">
        <v>43</v>
      </c>
      <c r="B13622" s="76" t="s">
        <v>1029</v>
      </c>
      <c r="C13622" s="84">
        <v>0.64</v>
      </c>
      <c r="D13622" s="84">
        <v>0.0</v>
      </c>
      <c r="E13622" s="84">
        <v>0.0</v>
      </c>
      <c r="F13622" s="76" t="s">
        <v>974</v>
      </c>
      <c r="G13622" s="83">
        <v>46123.0</v>
      </c>
      <c r="H13622" s="76" t="s">
        <v>963</v>
      </c>
    </row>
    <row r="13623">
      <c r="A13623" s="76" t="s">
        <v>43</v>
      </c>
      <c r="B13623" s="76" t="s">
        <v>1029</v>
      </c>
      <c r="C13623" s="84">
        <v>1.45</v>
      </c>
      <c r="D13623" s="84">
        <v>0.0</v>
      </c>
      <c r="E13623" s="84">
        <v>0.0</v>
      </c>
      <c r="F13623" s="76" t="s">
        <v>974</v>
      </c>
      <c r="G13623" s="83">
        <v>46123.0</v>
      </c>
      <c r="H13623" s="76" t="s">
        <v>964</v>
      </c>
    </row>
    <row r="13624">
      <c r="A13624" s="76" t="s">
        <v>43</v>
      </c>
      <c r="B13624" s="76" t="s">
        <v>1029</v>
      </c>
      <c r="C13624" s="84">
        <v>2.41</v>
      </c>
      <c r="D13624" s="84">
        <v>1.0</v>
      </c>
      <c r="E13624" s="84">
        <v>2.41</v>
      </c>
      <c r="F13624" s="76" t="s">
        <v>974</v>
      </c>
      <c r="G13624" s="83">
        <v>46123.0</v>
      </c>
      <c r="H13624" s="76" t="s">
        <v>965</v>
      </c>
    </row>
    <row r="13625">
      <c r="A13625" s="76" t="s">
        <v>36</v>
      </c>
      <c r="B13625" s="76" t="s">
        <v>1029</v>
      </c>
      <c r="C13625" s="84">
        <v>4.91</v>
      </c>
      <c r="D13625" s="84">
        <v>0.0</v>
      </c>
      <c r="E13625" s="84">
        <v>0.0</v>
      </c>
      <c r="F13625" s="76" t="s">
        <v>974</v>
      </c>
      <c r="G13625" s="83">
        <v>46123.0</v>
      </c>
      <c r="H13625" s="76" t="s">
        <v>926</v>
      </c>
    </row>
    <row r="13626">
      <c r="A13626" s="76" t="s">
        <v>36</v>
      </c>
      <c r="B13626" s="76" t="s">
        <v>1029</v>
      </c>
      <c r="C13626" s="84">
        <v>0.86</v>
      </c>
      <c r="D13626" s="84">
        <v>0.0</v>
      </c>
      <c r="E13626" s="84">
        <v>0.0</v>
      </c>
      <c r="F13626" s="76" t="s">
        <v>974</v>
      </c>
      <c r="G13626" s="83">
        <v>46123.0</v>
      </c>
      <c r="H13626" s="76" t="s">
        <v>927</v>
      </c>
    </row>
    <row r="13627">
      <c r="A13627" s="76" t="s">
        <v>36</v>
      </c>
      <c r="B13627" s="76" t="s">
        <v>1029</v>
      </c>
      <c r="C13627" s="84">
        <v>2.04</v>
      </c>
      <c r="D13627" s="84">
        <v>0.0</v>
      </c>
      <c r="E13627" s="84">
        <v>0.0</v>
      </c>
      <c r="F13627" s="76" t="s">
        <v>974</v>
      </c>
      <c r="G13627" s="83">
        <v>46123.0</v>
      </c>
      <c r="H13627" s="76" t="s">
        <v>928</v>
      </c>
    </row>
    <row r="13628">
      <c r="A13628" s="76" t="s">
        <v>33</v>
      </c>
      <c r="B13628" s="76" t="s">
        <v>1029</v>
      </c>
      <c r="C13628" s="84">
        <v>50.67</v>
      </c>
      <c r="D13628" s="84">
        <v>10.0</v>
      </c>
      <c r="E13628" s="84">
        <v>5.07</v>
      </c>
      <c r="F13628" s="76" t="s">
        <v>974</v>
      </c>
      <c r="G13628" s="83">
        <v>46123.0</v>
      </c>
      <c r="H13628" s="76" t="s">
        <v>957</v>
      </c>
    </row>
    <row r="13629">
      <c r="A13629" s="76" t="s">
        <v>33</v>
      </c>
      <c r="B13629" s="76" t="s">
        <v>1029</v>
      </c>
      <c r="C13629" s="84">
        <v>1.92</v>
      </c>
      <c r="D13629" s="84">
        <v>0.0</v>
      </c>
      <c r="E13629" s="84">
        <v>0.0</v>
      </c>
      <c r="F13629" s="76" t="s">
        <v>974</v>
      </c>
      <c r="G13629" s="83">
        <v>46123.0</v>
      </c>
      <c r="H13629" s="76" t="s">
        <v>958</v>
      </c>
    </row>
    <row r="13630">
      <c r="A13630" s="76" t="s">
        <v>33</v>
      </c>
      <c r="B13630" s="76" t="s">
        <v>1029</v>
      </c>
      <c r="C13630" s="84">
        <v>5.01</v>
      </c>
      <c r="D13630" s="84">
        <v>2.0</v>
      </c>
      <c r="E13630" s="84">
        <v>2.51</v>
      </c>
      <c r="F13630" s="76" t="s">
        <v>974</v>
      </c>
      <c r="G13630" s="83">
        <v>46123.0</v>
      </c>
      <c r="H13630" s="76" t="s">
        <v>959</v>
      </c>
    </row>
    <row r="13631">
      <c r="A13631" s="76" t="s">
        <v>29</v>
      </c>
      <c r="B13631" s="76" t="s">
        <v>1029</v>
      </c>
      <c r="C13631" s="84">
        <v>1.61</v>
      </c>
      <c r="D13631" s="84">
        <v>0.0</v>
      </c>
      <c r="E13631" s="84">
        <v>0.0</v>
      </c>
      <c r="F13631" s="76" t="s">
        <v>974</v>
      </c>
      <c r="G13631" s="83">
        <v>46123.0</v>
      </c>
      <c r="H13631" s="76" t="s">
        <v>971</v>
      </c>
    </row>
    <row r="13632">
      <c r="A13632" s="76" t="s">
        <v>29</v>
      </c>
      <c r="B13632" s="76" t="s">
        <v>1029</v>
      </c>
      <c r="C13632" s="84">
        <v>0.14</v>
      </c>
      <c r="D13632" s="84">
        <v>0.0</v>
      </c>
      <c r="E13632" s="84">
        <v>0.0</v>
      </c>
      <c r="F13632" s="76" t="s">
        <v>974</v>
      </c>
      <c r="G13632" s="83">
        <v>46123.0</v>
      </c>
      <c r="H13632" s="76" t="s">
        <v>972</v>
      </c>
    </row>
    <row r="13633">
      <c r="A13633" s="76" t="s">
        <v>29</v>
      </c>
      <c r="B13633" s="76" t="s">
        <v>1029</v>
      </c>
      <c r="C13633" s="84">
        <v>2.6</v>
      </c>
      <c r="D13633" s="84">
        <v>2.0</v>
      </c>
      <c r="E13633" s="84">
        <v>1.3</v>
      </c>
      <c r="F13633" s="76" t="s">
        <v>974</v>
      </c>
      <c r="G13633" s="83">
        <v>46123.0</v>
      </c>
      <c r="H13633" s="76" t="s">
        <v>973</v>
      </c>
    </row>
    <row r="13634">
      <c r="A13634" s="76" t="s">
        <v>46</v>
      </c>
      <c r="B13634" s="76" t="s">
        <v>1029</v>
      </c>
      <c r="C13634" s="84">
        <v>1.19</v>
      </c>
      <c r="D13634" s="84">
        <v>1.0</v>
      </c>
      <c r="E13634" s="84">
        <v>1.19</v>
      </c>
      <c r="F13634" s="76" t="s">
        <v>974</v>
      </c>
      <c r="G13634" s="83">
        <v>46123.0</v>
      </c>
      <c r="H13634" s="76" t="s">
        <v>960</v>
      </c>
    </row>
    <row r="13635">
      <c r="A13635" s="76" t="s">
        <v>46</v>
      </c>
      <c r="B13635" s="76" t="s">
        <v>1029</v>
      </c>
      <c r="C13635" s="84">
        <v>0.58</v>
      </c>
      <c r="D13635" s="84">
        <v>0.0</v>
      </c>
      <c r="E13635" s="84">
        <v>0.0</v>
      </c>
      <c r="F13635" s="76" t="s">
        <v>974</v>
      </c>
      <c r="G13635" s="83">
        <v>46123.0</v>
      </c>
      <c r="H13635" s="76" t="s">
        <v>961</v>
      </c>
    </row>
    <row r="13636">
      <c r="A13636" s="76" t="s">
        <v>46</v>
      </c>
      <c r="B13636" s="76" t="s">
        <v>1029</v>
      </c>
      <c r="C13636" s="84">
        <v>0.79</v>
      </c>
      <c r="D13636" s="84">
        <v>0.0</v>
      </c>
      <c r="E13636" s="84">
        <v>0.0</v>
      </c>
      <c r="F13636" s="76" t="s">
        <v>974</v>
      </c>
      <c r="G13636" s="83">
        <v>46123.0</v>
      </c>
      <c r="H13636" s="76" t="s">
        <v>962</v>
      </c>
    </row>
    <row r="13637">
      <c r="A13637" s="76" t="s">
        <v>34</v>
      </c>
      <c r="B13637" s="76" t="s">
        <v>1029</v>
      </c>
      <c r="C13637" s="84">
        <v>2.3</v>
      </c>
      <c r="D13637" s="84">
        <v>0.0</v>
      </c>
      <c r="E13637" s="84">
        <v>0.0</v>
      </c>
      <c r="F13637" s="76" t="s">
        <v>974</v>
      </c>
      <c r="G13637" s="83">
        <v>46123.0</v>
      </c>
      <c r="H13637" s="76" t="s">
        <v>951</v>
      </c>
    </row>
    <row r="13638">
      <c r="A13638" s="76" t="s">
        <v>34</v>
      </c>
      <c r="B13638" s="76" t="s">
        <v>1029</v>
      </c>
      <c r="C13638" s="84">
        <v>4.2</v>
      </c>
      <c r="D13638" s="84">
        <v>2.0</v>
      </c>
      <c r="E13638" s="84">
        <v>2.1</v>
      </c>
      <c r="F13638" s="76" t="s">
        <v>974</v>
      </c>
      <c r="G13638" s="83">
        <v>46123.0</v>
      </c>
      <c r="H13638" s="76" t="s">
        <v>952</v>
      </c>
    </row>
    <row r="13639">
      <c r="A13639" s="76" t="s">
        <v>34</v>
      </c>
      <c r="B13639" s="76" t="s">
        <v>1029</v>
      </c>
      <c r="C13639" s="84">
        <v>0.28</v>
      </c>
      <c r="D13639" s="84">
        <v>0.0</v>
      </c>
      <c r="E13639" s="84">
        <v>0.0</v>
      </c>
      <c r="F13639" s="76" t="s">
        <v>974</v>
      </c>
      <c r="G13639" s="83">
        <v>46123.0</v>
      </c>
      <c r="H13639" s="76" t="s">
        <v>953</v>
      </c>
    </row>
    <row r="13640">
      <c r="A13640" s="76" t="s">
        <v>970</v>
      </c>
      <c r="B13640" s="76" t="s">
        <v>1029</v>
      </c>
      <c r="C13640" s="84">
        <v>1.81</v>
      </c>
      <c r="D13640" s="84">
        <v>0.0</v>
      </c>
      <c r="E13640" s="84">
        <v>0.0</v>
      </c>
      <c r="F13640" s="76" t="s">
        <v>974</v>
      </c>
      <c r="G13640" s="83">
        <v>46123.0</v>
      </c>
      <c r="H13640" s="76" t="s">
        <v>971</v>
      </c>
    </row>
    <row r="13641">
      <c r="A13641" s="76" t="s">
        <v>970</v>
      </c>
      <c r="B13641" s="76" t="s">
        <v>1029</v>
      </c>
      <c r="C13641" s="84">
        <v>0.16</v>
      </c>
      <c r="D13641" s="84">
        <v>0.0</v>
      </c>
      <c r="E13641" s="84">
        <v>0.0</v>
      </c>
      <c r="F13641" s="76" t="s">
        <v>974</v>
      </c>
      <c r="G13641" s="83">
        <v>46123.0</v>
      </c>
      <c r="H13641" s="76" t="s">
        <v>972</v>
      </c>
    </row>
    <row r="13642">
      <c r="A13642" s="76" t="s">
        <v>970</v>
      </c>
      <c r="B13642" s="76" t="s">
        <v>1029</v>
      </c>
      <c r="C13642" s="84">
        <v>2.95</v>
      </c>
      <c r="D13642" s="84">
        <v>0.0</v>
      </c>
      <c r="E13642" s="84">
        <v>0.0</v>
      </c>
      <c r="F13642" s="76" t="s">
        <v>974</v>
      </c>
      <c r="G13642" s="83">
        <v>46123.0</v>
      </c>
      <c r="H13642" s="76" t="s">
        <v>973</v>
      </c>
    </row>
    <row r="13643">
      <c r="A13643" s="76" t="s">
        <v>40</v>
      </c>
      <c r="B13643" s="76" t="s">
        <v>1029</v>
      </c>
      <c r="C13643" s="84">
        <v>1.82</v>
      </c>
      <c r="D13643" s="84">
        <v>0.0</v>
      </c>
      <c r="E13643" s="84">
        <v>0.0</v>
      </c>
      <c r="F13643" s="76" t="s">
        <v>974</v>
      </c>
      <c r="G13643" s="83">
        <v>46123.0</v>
      </c>
      <c r="H13643" s="76" t="s">
        <v>954</v>
      </c>
    </row>
    <row r="13644">
      <c r="A13644" s="76" t="s">
        <v>40</v>
      </c>
      <c r="B13644" s="76" t="s">
        <v>1029</v>
      </c>
      <c r="C13644" s="84">
        <v>0.34</v>
      </c>
      <c r="D13644" s="84">
        <v>0.0</v>
      </c>
      <c r="E13644" s="84">
        <v>0.0</v>
      </c>
      <c r="F13644" s="76" t="s">
        <v>974</v>
      </c>
      <c r="G13644" s="83">
        <v>46123.0</v>
      </c>
      <c r="H13644" s="76" t="s">
        <v>955</v>
      </c>
    </row>
    <row r="13645">
      <c r="A13645" s="76" t="s">
        <v>40</v>
      </c>
      <c r="B13645" s="76" t="s">
        <v>1029</v>
      </c>
      <c r="C13645" s="84">
        <v>8.59</v>
      </c>
      <c r="D13645" s="84">
        <v>0.0</v>
      </c>
      <c r="E13645" s="84">
        <v>0.0</v>
      </c>
      <c r="F13645" s="76" t="s">
        <v>974</v>
      </c>
      <c r="G13645" s="83">
        <v>46123.0</v>
      </c>
      <c r="H13645" s="76" t="s">
        <v>956</v>
      </c>
    </row>
    <row r="13646">
      <c r="A13646" s="76" t="s">
        <v>29</v>
      </c>
      <c r="B13646" s="76" t="s">
        <v>1029</v>
      </c>
      <c r="C13646" s="84">
        <v>8.53</v>
      </c>
      <c r="D13646" s="84">
        <v>0.0</v>
      </c>
      <c r="E13646" s="84">
        <v>0.0</v>
      </c>
      <c r="F13646" s="76" t="s">
        <v>975</v>
      </c>
      <c r="G13646" s="83">
        <v>46123.0</v>
      </c>
      <c r="H13646" s="76" t="s">
        <v>971</v>
      </c>
    </row>
    <row r="13647">
      <c r="A13647" s="76" t="s">
        <v>29</v>
      </c>
      <c r="B13647" s="76" t="s">
        <v>1029</v>
      </c>
      <c r="C13647" s="84">
        <v>0.74</v>
      </c>
      <c r="D13647" s="84">
        <v>0.0</v>
      </c>
      <c r="E13647" s="84">
        <v>0.0</v>
      </c>
      <c r="F13647" s="76" t="s">
        <v>975</v>
      </c>
      <c r="G13647" s="83">
        <v>46123.0</v>
      </c>
      <c r="H13647" s="76" t="s">
        <v>972</v>
      </c>
    </row>
    <row r="13648">
      <c r="A13648" s="76" t="s">
        <v>29</v>
      </c>
      <c r="B13648" s="76" t="s">
        <v>1029</v>
      </c>
      <c r="C13648" s="84">
        <v>21.09</v>
      </c>
      <c r="D13648" s="84">
        <v>2.0</v>
      </c>
      <c r="E13648" s="84">
        <v>10.54</v>
      </c>
      <c r="F13648" s="76" t="s">
        <v>975</v>
      </c>
      <c r="G13648" s="83">
        <v>46123.0</v>
      </c>
      <c r="H13648" s="76" t="s">
        <v>973</v>
      </c>
    </row>
    <row r="13649">
      <c r="A13649" s="76" t="s">
        <v>46</v>
      </c>
      <c r="B13649" s="76" t="s">
        <v>1029</v>
      </c>
      <c r="C13649" s="84">
        <v>3.06</v>
      </c>
      <c r="D13649" s="84">
        <v>1.0</v>
      </c>
      <c r="E13649" s="84">
        <v>3.06</v>
      </c>
      <c r="F13649" s="76" t="s">
        <v>975</v>
      </c>
      <c r="G13649" s="83">
        <v>46123.0</v>
      </c>
      <c r="H13649" s="76" t="s">
        <v>960</v>
      </c>
    </row>
    <row r="13650">
      <c r="A13650" s="76" t="s">
        <v>46</v>
      </c>
      <c r="B13650" s="76" t="s">
        <v>1029</v>
      </c>
      <c r="C13650" s="84">
        <v>1.11</v>
      </c>
      <c r="D13650" s="84">
        <v>0.0</v>
      </c>
      <c r="E13650" s="84">
        <v>0.0</v>
      </c>
      <c r="F13650" s="76" t="s">
        <v>975</v>
      </c>
      <c r="G13650" s="83">
        <v>46123.0</v>
      </c>
      <c r="H13650" s="76" t="s">
        <v>961</v>
      </c>
    </row>
    <row r="13651">
      <c r="A13651" s="76" t="s">
        <v>46</v>
      </c>
      <c r="B13651" s="76" t="s">
        <v>1029</v>
      </c>
      <c r="C13651" s="84">
        <v>4.06</v>
      </c>
      <c r="D13651" s="84">
        <v>0.0</v>
      </c>
      <c r="E13651" s="84">
        <v>0.0</v>
      </c>
      <c r="F13651" s="76" t="s">
        <v>975</v>
      </c>
      <c r="G13651" s="83">
        <v>46123.0</v>
      </c>
      <c r="H13651" s="76" t="s">
        <v>962</v>
      </c>
    </row>
    <row r="13652">
      <c r="A13652" s="76" t="s">
        <v>36</v>
      </c>
      <c r="B13652" s="76" t="s">
        <v>1029</v>
      </c>
      <c r="C13652" s="84">
        <v>21.42</v>
      </c>
      <c r="D13652" s="84">
        <v>3.0</v>
      </c>
      <c r="E13652" s="84">
        <v>7.14</v>
      </c>
      <c r="F13652" s="76" t="s">
        <v>975</v>
      </c>
      <c r="G13652" s="83">
        <v>46123.0</v>
      </c>
      <c r="H13652" s="76" t="s">
        <v>926</v>
      </c>
    </row>
    <row r="13653">
      <c r="A13653" s="76" t="s">
        <v>36</v>
      </c>
      <c r="B13653" s="76" t="s">
        <v>1029</v>
      </c>
      <c r="C13653" s="84">
        <v>2.12</v>
      </c>
      <c r="D13653" s="84">
        <v>1.0</v>
      </c>
      <c r="E13653" s="84">
        <v>2.12</v>
      </c>
      <c r="F13653" s="76" t="s">
        <v>975</v>
      </c>
      <c r="G13653" s="83">
        <v>46123.0</v>
      </c>
      <c r="H13653" s="76" t="s">
        <v>927</v>
      </c>
    </row>
    <row r="13654">
      <c r="A13654" s="76" t="s">
        <v>36</v>
      </c>
      <c r="B13654" s="76" t="s">
        <v>1029</v>
      </c>
      <c r="C13654" s="84">
        <v>9.87</v>
      </c>
      <c r="D13654" s="84">
        <v>1.0</v>
      </c>
      <c r="E13654" s="84">
        <v>9.87</v>
      </c>
      <c r="F13654" s="76" t="s">
        <v>975</v>
      </c>
      <c r="G13654" s="83">
        <v>46123.0</v>
      </c>
      <c r="H13654" s="76" t="s">
        <v>928</v>
      </c>
    </row>
    <row r="13655">
      <c r="A13655" s="76" t="s">
        <v>43</v>
      </c>
      <c r="B13655" s="76" t="s">
        <v>1029</v>
      </c>
      <c r="C13655" s="84">
        <v>2.84</v>
      </c>
      <c r="D13655" s="84">
        <v>0.0</v>
      </c>
      <c r="E13655" s="84">
        <v>0.0</v>
      </c>
      <c r="F13655" s="76" t="s">
        <v>975</v>
      </c>
      <c r="G13655" s="83">
        <v>46123.0</v>
      </c>
      <c r="H13655" s="76" t="s">
        <v>963</v>
      </c>
    </row>
    <row r="13656">
      <c r="A13656" s="76" t="s">
        <v>43</v>
      </c>
      <c r="B13656" s="76" t="s">
        <v>1029</v>
      </c>
      <c r="C13656" s="84">
        <v>3.56</v>
      </c>
      <c r="D13656" s="84">
        <v>0.0</v>
      </c>
      <c r="E13656" s="84">
        <v>0.0</v>
      </c>
      <c r="F13656" s="76" t="s">
        <v>975</v>
      </c>
      <c r="G13656" s="83">
        <v>46123.0</v>
      </c>
      <c r="H13656" s="76" t="s">
        <v>964</v>
      </c>
    </row>
    <row r="13657">
      <c r="A13657" s="76" t="s">
        <v>43</v>
      </c>
      <c r="B13657" s="76" t="s">
        <v>1029</v>
      </c>
      <c r="C13657" s="84">
        <v>8.43</v>
      </c>
      <c r="D13657" s="84">
        <v>1.0</v>
      </c>
      <c r="E13657" s="84">
        <v>8.43</v>
      </c>
      <c r="F13657" s="76" t="s">
        <v>975</v>
      </c>
      <c r="G13657" s="83">
        <v>46123.0</v>
      </c>
      <c r="H13657" s="76" t="s">
        <v>965</v>
      </c>
    </row>
    <row r="13658">
      <c r="A13658" s="76" t="s">
        <v>34</v>
      </c>
      <c r="B13658" s="76" t="s">
        <v>1029</v>
      </c>
      <c r="C13658" s="84">
        <v>3.55</v>
      </c>
      <c r="D13658" s="84">
        <v>1.0</v>
      </c>
      <c r="E13658" s="84">
        <v>3.55</v>
      </c>
      <c r="F13658" s="76" t="s">
        <v>975</v>
      </c>
      <c r="G13658" s="83">
        <v>46123.0</v>
      </c>
      <c r="H13658" s="76" t="s">
        <v>951</v>
      </c>
    </row>
    <row r="13659">
      <c r="A13659" s="76" t="s">
        <v>34</v>
      </c>
      <c r="B13659" s="76" t="s">
        <v>1029</v>
      </c>
      <c r="C13659" s="84">
        <v>11.58</v>
      </c>
      <c r="D13659" s="84">
        <v>4.0</v>
      </c>
      <c r="E13659" s="84">
        <v>2.9</v>
      </c>
      <c r="F13659" s="76" t="s">
        <v>975</v>
      </c>
      <c r="G13659" s="83">
        <v>46123.0</v>
      </c>
      <c r="H13659" s="76" t="s">
        <v>952</v>
      </c>
    </row>
    <row r="13660">
      <c r="A13660" s="76" t="s">
        <v>34</v>
      </c>
      <c r="B13660" s="76" t="s">
        <v>1029</v>
      </c>
      <c r="C13660" s="84">
        <v>1.12</v>
      </c>
      <c r="D13660" s="84">
        <v>0.0</v>
      </c>
      <c r="E13660" s="84">
        <v>0.0</v>
      </c>
      <c r="F13660" s="76" t="s">
        <v>975</v>
      </c>
      <c r="G13660" s="83">
        <v>46123.0</v>
      </c>
      <c r="H13660" s="76" t="s">
        <v>953</v>
      </c>
    </row>
    <row r="13661">
      <c r="A13661" s="76" t="s">
        <v>40</v>
      </c>
      <c r="B13661" s="76" t="s">
        <v>1029</v>
      </c>
      <c r="C13661" s="84">
        <v>6.09</v>
      </c>
      <c r="D13661" s="84">
        <v>1.0</v>
      </c>
      <c r="E13661" s="84">
        <v>6.09</v>
      </c>
      <c r="F13661" s="76" t="s">
        <v>975</v>
      </c>
      <c r="G13661" s="83">
        <v>46123.0</v>
      </c>
      <c r="H13661" s="76" t="s">
        <v>954</v>
      </c>
    </row>
    <row r="13662">
      <c r="A13662" s="76" t="s">
        <v>40</v>
      </c>
      <c r="B13662" s="76" t="s">
        <v>1029</v>
      </c>
      <c r="C13662" s="84">
        <v>2.47</v>
      </c>
      <c r="D13662" s="84">
        <v>0.0</v>
      </c>
      <c r="E13662" s="84">
        <v>0.0</v>
      </c>
      <c r="F13662" s="76" t="s">
        <v>975</v>
      </c>
      <c r="G13662" s="83">
        <v>46123.0</v>
      </c>
      <c r="H13662" s="76" t="s">
        <v>955</v>
      </c>
    </row>
    <row r="13663">
      <c r="A13663" s="76" t="s">
        <v>40</v>
      </c>
      <c r="B13663" s="76" t="s">
        <v>1029</v>
      </c>
      <c r="C13663" s="84">
        <v>54.53</v>
      </c>
      <c r="D13663" s="84">
        <v>8.0</v>
      </c>
      <c r="E13663" s="84">
        <v>6.82</v>
      </c>
      <c r="F13663" s="76" t="s">
        <v>975</v>
      </c>
      <c r="G13663" s="83">
        <v>46123.0</v>
      </c>
      <c r="H13663" s="76" t="s">
        <v>956</v>
      </c>
    </row>
    <row r="13664">
      <c r="A13664" s="76" t="s">
        <v>970</v>
      </c>
      <c r="B13664" s="76" t="s">
        <v>1029</v>
      </c>
      <c r="C13664" s="84">
        <v>29.74</v>
      </c>
      <c r="D13664" s="84">
        <v>2.0</v>
      </c>
      <c r="E13664" s="84">
        <v>14.87</v>
      </c>
      <c r="F13664" s="76" t="s">
        <v>975</v>
      </c>
      <c r="G13664" s="83">
        <v>46123.0</v>
      </c>
      <c r="H13664" s="76" t="s">
        <v>971</v>
      </c>
    </row>
    <row r="13665">
      <c r="A13665" s="76" t="s">
        <v>970</v>
      </c>
      <c r="B13665" s="76" t="s">
        <v>1029</v>
      </c>
      <c r="C13665" s="84">
        <v>1.31</v>
      </c>
      <c r="D13665" s="84">
        <v>1.0</v>
      </c>
      <c r="E13665" s="84">
        <v>1.31</v>
      </c>
      <c r="F13665" s="76" t="s">
        <v>975</v>
      </c>
      <c r="G13665" s="83">
        <v>46123.0</v>
      </c>
      <c r="H13665" s="76" t="s">
        <v>972</v>
      </c>
    </row>
    <row r="13666">
      <c r="A13666" s="76" t="s">
        <v>970</v>
      </c>
      <c r="B13666" s="76" t="s">
        <v>1029</v>
      </c>
      <c r="C13666" s="84">
        <v>100.12</v>
      </c>
      <c r="D13666" s="84">
        <v>16.0</v>
      </c>
      <c r="E13666" s="84">
        <v>6.26</v>
      </c>
      <c r="F13666" s="76" t="s">
        <v>975</v>
      </c>
      <c r="G13666" s="83">
        <v>46123.0</v>
      </c>
      <c r="H13666" s="76" t="s">
        <v>973</v>
      </c>
    </row>
    <row r="13667">
      <c r="A13667" s="76" t="s">
        <v>966</v>
      </c>
      <c r="B13667" s="76" t="s">
        <v>1029</v>
      </c>
      <c r="C13667" s="84">
        <v>4.86</v>
      </c>
      <c r="D13667" s="84">
        <v>0.0</v>
      </c>
      <c r="E13667" s="84">
        <v>0.0</v>
      </c>
      <c r="F13667" s="76" t="s">
        <v>975</v>
      </c>
      <c r="G13667" s="83">
        <v>46123.0</v>
      </c>
      <c r="H13667" s="76" t="s">
        <v>967</v>
      </c>
    </row>
    <row r="13668">
      <c r="A13668" s="76" t="s">
        <v>966</v>
      </c>
      <c r="B13668" s="76" t="s">
        <v>1029</v>
      </c>
      <c r="C13668" s="84">
        <v>2.56</v>
      </c>
      <c r="D13668" s="84">
        <v>0.0</v>
      </c>
      <c r="E13668" s="84">
        <v>0.0</v>
      </c>
      <c r="F13668" s="76" t="s">
        <v>975</v>
      </c>
      <c r="G13668" s="83">
        <v>46123.0</v>
      </c>
      <c r="H13668" s="76" t="s">
        <v>968</v>
      </c>
    </row>
    <row r="13669">
      <c r="A13669" s="76" t="s">
        <v>966</v>
      </c>
      <c r="B13669" s="76" t="s">
        <v>1029</v>
      </c>
      <c r="C13669" s="84">
        <v>14.87</v>
      </c>
      <c r="D13669" s="84">
        <v>1.0</v>
      </c>
      <c r="E13669" s="84">
        <v>14.87</v>
      </c>
      <c r="F13669" s="76" t="s">
        <v>975</v>
      </c>
      <c r="G13669" s="83">
        <v>46123.0</v>
      </c>
      <c r="H13669" s="76" t="s">
        <v>969</v>
      </c>
    </row>
    <row r="13670">
      <c r="A13670" s="76" t="s">
        <v>33</v>
      </c>
      <c r="B13670" s="76" t="s">
        <v>1029</v>
      </c>
      <c r="C13670" s="84">
        <v>555.7</v>
      </c>
      <c r="D13670" s="84">
        <v>88.0</v>
      </c>
      <c r="E13670" s="84">
        <v>6.31</v>
      </c>
      <c r="F13670" s="76" t="s">
        <v>975</v>
      </c>
      <c r="G13670" s="83">
        <v>46123.0</v>
      </c>
      <c r="H13670" s="76" t="s">
        <v>957</v>
      </c>
    </row>
    <row r="13671">
      <c r="A13671" s="76" t="s">
        <v>33</v>
      </c>
      <c r="B13671" s="76" t="s">
        <v>1029</v>
      </c>
      <c r="C13671" s="84">
        <v>6.23</v>
      </c>
      <c r="D13671" s="84">
        <v>2.0</v>
      </c>
      <c r="E13671" s="84">
        <v>3.11</v>
      </c>
      <c r="F13671" s="76" t="s">
        <v>975</v>
      </c>
      <c r="G13671" s="83">
        <v>46123.0</v>
      </c>
      <c r="H13671" s="76" t="s">
        <v>958</v>
      </c>
    </row>
    <row r="13672">
      <c r="A13672" s="76" t="s">
        <v>33</v>
      </c>
      <c r="B13672" s="76" t="s">
        <v>1029</v>
      </c>
      <c r="C13672" s="84">
        <v>29.8</v>
      </c>
      <c r="D13672" s="84">
        <v>4.0</v>
      </c>
      <c r="E13672" s="84">
        <v>7.45</v>
      </c>
      <c r="F13672" s="76" t="s">
        <v>975</v>
      </c>
      <c r="G13672" s="83">
        <v>46123.0</v>
      </c>
      <c r="H13672" s="76" t="s">
        <v>959</v>
      </c>
    </row>
    <row r="13673">
      <c r="A13673" s="76" t="s">
        <v>42</v>
      </c>
      <c r="B13673" s="76" t="s">
        <v>1037</v>
      </c>
      <c r="C13673" s="84">
        <v>1.93</v>
      </c>
      <c r="D13673" s="84">
        <v>1.0</v>
      </c>
      <c r="E13673" s="84">
        <v>1.93</v>
      </c>
      <c r="F13673" s="76" t="s">
        <v>925</v>
      </c>
      <c r="G13673" s="83">
        <v>46123.0</v>
      </c>
      <c r="H13673" s="76" t="s">
        <v>991</v>
      </c>
    </row>
    <row r="13674">
      <c r="A13674" s="76" t="s">
        <v>42</v>
      </c>
      <c r="B13674" s="76" t="s">
        <v>1037</v>
      </c>
      <c r="C13674" s="84">
        <v>22.26</v>
      </c>
      <c r="D13674" s="84">
        <v>7.0</v>
      </c>
      <c r="E13674" s="84">
        <v>3.18</v>
      </c>
      <c r="F13674" s="76" t="s">
        <v>925</v>
      </c>
      <c r="G13674" s="83">
        <v>46123.0</v>
      </c>
      <c r="H13674" s="76" t="s">
        <v>935</v>
      </c>
    </row>
    <row r="13675">
      <c r="A13675" s="76" t="s">
        <v>36</v>
      </c>
      <c r="B13675" s="76" t="s">
        <v>1037</v>
      </c>
      <c r="C13675" s="84">
        <v>66.88</v>
      </c>
      <c r="D13675" s="84">
        <v>11.0</v>
      </c>
      <c r="E13675" s="84">
        <v>6.08</v>
      </c>
      <c r="F13675" s="76" t="s">
        <v>925</v>
      </c>
      <c r="G13675" s="83">
        <v>46123.0</v>
      </c>
      <c r="H13675" s="76" t="s">
        <v>926</v>
      </c>
    </row>
    <row r="13676">
      <c r="A13676" s="76" t="s">
        <v>36</v>
      </c>
      <c r="B13676" s="76" t="s">
        <v>1037</v>
      </c>
      <c r="C13676" s="84">
        <v>2.55</v>
      </c>
      <c r="D13676" s="84">
        <v>0.0</v>
      </c>
      <c r="E13676" s="84">
        <v>0.0</v>
      </c>
      <c r="F13676" s="76" t="s">
        <v>925</v>
      </c>
      <c r="G13676" s="83">
        <v>46123.0</v>
      </c>
      <c r="H13676" s="76" t="s">
        <v>927</v>
      </c>
    </row>
    <row r="13677">
      <c r="A13677" s="76" t="s">
        <v>36</v>
      </c>
      <c r="B13677" s="76" t="s">
        <v>1037</v>
      </c>
      <c r="C13677" s="84">
        <v>8.56</v>
      </c>
      <c r="D13677" s="84">
        <v>1.0</v>
      </c>
      <c r="E13677" s="84">
        <v>8.56</v>
      </c>
      <c r="F13677" s="76" t="s">
        <v>925</v>
      </c>
      <c r="G13677" s="83">
        <v>46123.0</v>
      </c>
      <c r="H13677" s="76" t="s">
        <v>928</v>
      </c>
    </row>
    <row r="13678">
      <c r="A13678" s="76" t="s">
        <v>32</v>
      </c>
      <c r="B13678" s="76" t="s">
        <v>1037</v>
      </c>
      <c r="C13678" s="84">
        <v>19.82</v>
      </c>
      <c r="D13678" s="84">
        <v>4.0</v>
      </c>
      <c r="E13678" s="84">
        <v>4.95</v>
      </c>
      <c r="F13678" s="76" t="s">
        <v>925</v>
      </c>
      <c r="G13678" s="83">
        <v>46123.0</v>
      </c>
      <c r="H13678" s="76" t="s">
        <v>941</v>
      </c>
    </row>
    <row r="13679">
      <c r="A13679" s="76" t="s">
        <v>32</v>
      </c>
      <c r="B13679" s="76" t="s">
        <v>1037</v>
      </c>
      <c r="C13679" s="84">
        <v>7.08</v>
      </c>
      <c r="D13679" s="84">
        <v>1.0</v>
      </c>
      <c r="E13679" s="84">
        <v>7.08</v>
      </c>
      <c r="F13679" s="76" t="s">
        <v>925</v>
      </c>
      <c r="G13679" s="83">
        <v>46123.0</v>
      </c>
      <c r="H13679" s="76" t="s">
        <v>942</v>
      </c>
    </row>
    <row r="13680">
      <c r="A13680" s="76" t="s">
        <v>32</v>
      </c>
      <c r="B13680" s="76" t="s">
        <v>1037</v>
      </c>
      <c r="C13680" s="84">
        <v>32.08</v>
      </c>
      <c r="D13680" s="84">
        <v>11.0</v>
      </c>
      <c r="E13680" s="84">
        <v>2.92</v>
      </c>
      <c r="F13680" s="76" t="s">
        <v>925</v>
      </c>
      <c r="G13680" s="83">
        <v>46123.0</v>
      </c>
      <c r="H13680" s="76" t="s">
        <v>943</v>
      </c>
    </row>
    <row r="13681">
      <c r="A13681" s="76" t="s">
        <v>944</v>
      </c>
      <c r="B13681" s="76" t="s">
        <v>1037</v>
      </c>
      <c r="C13681" s="84">
        <v>13.05</v>
      </c>
      <c r="D13681" s="84">
        <v>4.0</v>
      </c>
      <c r="E13681" s="84">
        <v>3.26</v>
      </c>
      <c r="F13681" s="76" t="s">
        <v>925</v>
      </c>
      <c r="G13681" s="83">
        <v>46123.0</v>
      </c>
      <c r="H13681" s="76" t="s">
        <v>945</v>
      </c>
    </row>
    <row r="13682">
      <c r="A13682" s="76" t="s">
        <v>944</v>
      </c>
      <c r="B13682" s="76" t="s">
        <v>1037</v>
      </c>
      <c r="C13682" s="84">
        <v>3.11</v>
      </c>
      <c r="D13682" s="84">
        <v>0.0</v>
      </c>
      <c r="E13682" s="84">
        <v>0.0</v>
      </c>
      <c r="F13682" s="76" t="s">
        <v>925</v>
      </c>
      <c r="G13682" s="83">
        <v>46123.0</v>
      </c>
      <c r="H13682" s="76" t="s">
        <v>946</v>
      </c>
    </row>
    <row r="13683">
      <c r="A13683" s="76" t="s">
        <v>944</v>
      </c>
      <c r="B13683" s="76" t="s">
        <v>1037</v>
      </c>
      <c r="C13683" s="84">
        <v>15.85</v>
      </c>
      <c r="D13683" s="84">
        <v>2.0</v>
      </c>
      <c r="E13683" s="84">
        <v>7.93</v>
      </c>
      <c r="F13683" s="76" t="s">
        <v>925</v>
      </c>
      <c r="G13683" s="83">
        <v>46123.0</v>
      </c>
      <c r="H13683" s="76" t="s">
        <v>947</v>
      </c>
    </row>
    <row r="13684">
      <c r="A13684" s="76" t="s">
        <v>31</v>
      </c>
      <c r="B13684" s="76" t="s">
        <v>1037</v>
      </c>
      <c r="C13684" s="84">
        <v>6.64</v>
      </c>
      <c r="D13684" s="84">
        <v>1.0</v>
      </c>
      <c r="E13684" s="84">
        <v>6.64</v>
      </c>
      <c r="F13684" s="76" t="s">
        <v>925</v>
      </c>
      <c r="G13684" s="83">
        <v>46123.0</v>
      </c>
      <c r="H13684" s="76" t="s">
        <v>929</v>
      </c>
    </row>
    <row r="13685">
      <c r="A13685" s="76" t="s">
        <v>31</v>
      </c>
      <c r="B13685" s="76" t="s">
        <v>1037</v>
      </c>
      <c r="C13685" s="84">
        <v>146.99</v>
      </c>
      <c r="D13685" s="84">
        <v>41.0</v>
      </c>
      <c r="E13685" s="84">
        <v>3.59</v>
      </c>
      <c r="F13685" s="76" t="s">
        <v>925</v>
      </c>
      <c r="G13685" s="83">
        <v>46123.0</v>
      </c>
      <c r="H13685" s="76" t="s">
        <v>930</v>
      </c>
    </row>
    <row r="13686">
      <c r="A13686" s="76" t="s">
        <v>45</v>
      </c>
      <c r="B13686" s="76" t="s">
        <v>1037</v>
      </c>
      <c r="C13686" s="84">
        <v>0.84</v>
      </c>
      <c r="D13686" s="84">
        <v>0.0</v>
      </c>
      <c r="E13686" s="84">
        <v>0.0</v>
      </c>
      <c r="F13686" s="76" t="s">
        <v>925</v>
      </c>
      <c r="G13686" s="83">
        <v>46123.0</v>
      </c>
      <c r="H13686" s="76" t="s">
        <v>936</v>
      </c>
    </row>
    <row r="13687">
      <c r="A13687" s="76" t="s">
        <v>45</v>
      </c>
      <c r="B13687" s="76" t="s">
        <v>1037</v>
      </c>
      <c r="C13687" s="84">
        <v>4.38</v>
      </c>
      <c r="D13687" s="84">
        <v>0.0</v>
      </c>
      <c r="E13687" s="84">
        <v>0.0</v>
      </c>
      <c r="F13687" s="76" t="s">
        <v>925</v>
      </c>
      <c r="G13687" s="83">
        <v>46123.0</v>
      </c>
      <c r="H13687" s="76" t="s">
        <v>937</v>
      </c>
    </row>
    <row r="13688">
      <c r="A13688" s="76" t="s">
        <v>45</v>
      </c>
      <c r="B13688" s="76" t="s">
        <v>1037</v>
      </c>
      <c r="C13688" s="84">
        <v>4.91</v>
      </c>
      <c r="D13688" s="84">
        <v>2.0</v>
      </c>
      <c r="E13688" s="84">
        <v>2.46</v>
      </c>
      <c r="F13688" s="76" t="s">
        <v>925</v>
      </c>
      <c r="G13688" s="83">
        <v>46123.0</v>
      </c>
      <c r="H13688" s="76" t="s">
        <v>938</v>
      </c>
    </row>
    <row r="13689">
      <c r="A13689" s="76" t="s">
        <v>26</v>
      </c>
      <c r="B13689" s="76" t="s">
        <v>1037</v>
      </c>
      <c r="C13689" s="84">
        <v>1.17</v>
      </c>
      <c r="D13689" s="84">
        <v>1.0</v>
      </c>
      <c r="E13689" s="84">
        <v>1.17</v>
      </c>
      <c r="F13689" s="76" t="s">
        <v>925</v>
      </c>
      <c r="G13689" s="83">
        <v>46123.0</v>
      </c>
      <c r="H13689" s="76" t="s">
        <v>1012</v>
      </c>
    </row>
    <row r="13690">
      <c r="A13690" s="76" t="s">
        <v>26</v>
      </c>
      <c r="B13690" s="76" t="s">
        <v>1037</v>
      </c>
      <c r="C13690" s="84">
        <v>5.15</v>
      </c>
      <c r="D13690" s="84">
        <v>3.0</v>
      </c>
      <c r="E13690" s="84">
        <v>1.72</v>
      </c>
      <c r="F13690" s="76" t="s">
        <v>925</v>
      </c>
      <c r="G13690" s="83">
        <v>46123.0</v>
      </c>
      <c r="H13690" s="76" t="s">
        <v>1013</v>
      </c>
    </row>
    <row r="13691">
      <c r="A13691" s="76" t="s">
        <v>26</v>
      </c>
      <c r="B13691" s="76" t="s">
        <v>1037</v>
      </c>
      <c r="C13691" s="84">
        <v>50.27</v>
      </c>
      <c r="D13691" s="84">
        <v>9.0</v>
      </c>
      <c r="E13691" s="84">
        <v>5.59</v>
      </c>
      <c r="F13691" s="76" t="s">
        <v>925</v>
      </c>
      <c r="G13691" s="83">
        <v>46123.0</v>
      </c>
      <c r="H13691" s="76" t="s">
        <v>1014</v>
      </c>
    </row>
    <row r="13692">
      <c r="A13692" s="76" t="s">
        <v>28</v>
      </c>
      <c r="B13692" s="76" t="s">
        <v>1037</v>
      </c>
      <c r="C13692" s="84">
        <v>2.63</v>
      </c>
      <c r="D13692" s="84">
        <v>1.0</v>
      </c>
      <c r="E13692" s="84">
        <v>2.63</v>
      </c>
      <c r="F13692" s="76" t="s">
        <v>925</v>
      </c>
      <c r="G13692" s="83">
        <v>46123.0</v>
      </c>
      <c r="H13692" s="76" t="s">
        <v>931</v>
      </c>
    </row>
    <row r="13693">
      <c r="A13693" s="76" t="s">
        <v>28</v>
      </c>
      <c r="B13693" s="76" t="s">
        <v>1037</v>
      </c>
      <c r="C13693" s="84">
        <v>2.07</v>
      </c>
      <c r="D13693" s="84">
        <v>1.0</v>
      </c>
      <c r="E13693" s="84">
        <v>2.07</v>
      </c>
      <c r="F13693" s="76" t="s">
        <v>925</v>
      </c>
      <c r="G13693" s="83">
        <v>46123.0</v>
      </c>
      <c r="H13693" s="76" t="s">
        <v>932</v>
      </c>
    </row>
    <row r="13694">
      <c r="A13694" s="76" t="s">
        <v>28</v>
      </c>
      <c r="B13694" s="76" t="s">
        <v>1037</v>
      </c>
      <c r="C13694" s="84">
        <v>79.98</v>
      </c>
      <c r="D13694" s="84">
        <v>21.0</v>
      </c>
      <c r="E13694" s="84">
        <v>3.81</v>
      </c>
      <c r="F13694" s="76" t="s">
        <v>925</v>
      </c>
      <c r="G13694" s="83">
        <v>46123.0</v>
      </c>
      <c r="H13694" s="76" t="s">
        <v>933</v>
      </c>
    </row>
    <row r="13695">
      <c r="A13695" s="76" t="s">
        <v>31</v>
      </c>
      <c r="B13695" s="76" t="s">
        <v>1037</v>
      </c>
      <c r="C13695" s="84">
        <v>5.99</v>
      </c>
      <c r="D13695" s="84">
        <v>2.0</v>
      </c>
      <c r="E13695" s="84">
        <v>2.99</v>
      </c>
      <c r="F13695" s="76" t="s">
        <v>948</v>
      </c>
      <c r="G13695" s="83">
        <v>46123.0</v>
      </c>
      <c r="H13695" s="76" t="s">
        <v>929</v>
      </c>
    </row>
    <row r="13696">
      <c r="A13696" s="76" t="s">
        <v>31</v>
      </c>
      <c r="B13696" s="76" t="s">
        <v>1037</v>
      </c>
      <c r="C13696" s="84">
        <v>256.17</v>
      </c>
      <c r="D13696" s="84">
        <v>70.0</v>
      </c>
      <c r="E13696" s="84">
        <v>3.66</v>
      </c>
      <c r="F13696" s="76" t="s">
        <v>948</v>
      </c>
      <c r="G13696" s="83">
        <v>46123.0</v>
      </c>
      <c r="H13696" s="76" t="s">
        <v>930</v>
      </c>
    </row>
    <row r="13697">
      <c r="A13697" s="76" t="s">
        <v>944</v>
      </c>
      <c r="B13697" s="76" t="s">
        <v>1037</v>
      </c>
      <c r="C13697" s="84">
        <v>14.45</v>
      </c>
      <c r="D13697" s="84">
        <v>1.0</v>
      </c>
      <c r="E13697" s="84">
        <v>14.45</v>
      </c>
      <c r="F13697" s="76" t="s">
        <v>948</v>
      </c>
      <c r="G13697" s="83">
        <v>46123.0</v>
      </c>
      <c r="H13697" s="76" t="s">
        <v>945</v>
      </c>
    </row>
    <row r="13698">
      <c r="A13698" s="76" t="s">
        <v>944</v>
      </c>
      <c r="B13698" s="76" t="s">
        <v>1037</v>
      </c>
      <c r="C13698" s="84">
        <v>3.31</v>
      </c>
      <c r="D13698" s="84">
        <v>1.0</v>
      </c>
      <c r="E13698" s="84">
        <v>3.31</v>
      </c>
      <c r="F13698" s="76" t="s">
        <v>948</v>
      </c>
      <c r="G13698" s="83">
        <v>46123.0</v>
      </c>
      <c r="H13698" s="76" t="s">
        <v>946</v>
      </c>
    </row>
    <row r="13699">
      <c r="A13699" s="76" t="s">
        <v>944</v>
      </c>
      <c r="B13699" s="76" t="s">
        <v>1037</v>
      </c>
      <c r="C13699" s="84">
        <v>11.61</v>
      </c>
      <c r="D13699" s="84">
        <v>3.0</v>
      </c>
      <c r="E13699" s="84">
        <v>3.87</v>
      </c>
      <c r="F13699" s="76" t="s">
        <v>948</v>
      </c>
      <c r="G13699" s="83">
        <v>46123.0</v>
      </c>
      <c r="H13699" s="76" t="s">
        <v>947</v>
      </c>
    </row>
    <row r="13700">
      <c r="A13700" s="76" t="s">
        <v>32</v>
      </c>
      <c r="B13700" s="76" t="s">
        <v>1037</v>
      </c>
      <c r="C13700" s="84">
        <v>9.35</v>
      </c>
      <c r="D13700" s="84">
        <v>1.0</v>
      </c>
      <c r="E13700" s="84">
        <v>9.35</v>
      </c>
      <c r="F13700" s="76" t="s">
        <v>948</v>
      </c>
      <c r="G13700" s="83">
        <v>46123.0</v>
      </c>
      <c r="H13700" s="76" t="s">
        <v>941</v>
      </c>
    </row>
    <row r="13701">
      <c r="A13701" s="76" t="s">
        <v>32</v>
      </c>
      <c r="B13701" s="76" t="s">
        <v>1037</v>
      </c>
      <c r="C13701" s="84">
        <v>7.29</v>
      </c>
      <c r="D13701" s="84">
        <v>2.0</v>
      </c>
      <c r="E13701" s="84">
        <v>3.65</v>
      </c>
      <c r="F13701" s="76" t="s">
        <v>948</v>
      </c>
      <c r="G13701" s="83">
        <v>46123.0</v>
      </c>
      <c r="H13701" s="76" t="s">
        <v>942</v>
      </c>
    </row>
    <row r="13702">
      <c r="A13702" s="76" t="s">
        <v>32</v>
      </c>
      <c r="B13702" s="76" t="s">
        <v>1037</v>
      </c>
      <c r="C13702" s="84">
        <v>47.33</v>
      </c>
      <c r="D13702" s="84">
        <v>4.0</v>
      </c>
      <c r="E13702" s="84">
        <v>11.83</v>
      </c>
      <c r="F13702" s="76" t="s">
        <v>948</v>
      </c>
      <c r="G13702" s="83">
        <v>46123.0</v>
      </c>
      <c r="H13702" s="76" t="s">
        <v>943</v>
      </c>
    </row>
    <row r="13703">
      <c r="A13703" s="76" t="s">
        <v>26</v>
      </c>
      <c r="B13703" s="76" t="s">
        <v>1037</v>
      </c>
      <c r="C13703" s="84">
        <v>2.12</v>
      </c>
      <c r="D13703" s="84">
        <v>1.0</v>
      </c>
      <c r="E13703" s="84">
        <v>2.12</v>
      </c>
      <c r="F13703" s="76" t="s">
        <v>948</v>
      </c>
      <c r="G13703" s="83">
        <v>46123.0</v>
      </c>
      <c r="H13703" s="76" t="s">
        <v>1012</v>
      </c>
    </row>
    <row r="13704">
      <c r="A13704" s="76" t="s">
        <v>26</v>
      </c>
      <c r="B13704" s="76" t="s">
        <v>1037</v>
      </c>
      <c r="C13704" s="84">
        <v>4.8</v>
      </c>
      <c r="D13704" s="84">
        <v>1.0</v>
      </c>
      <c r="E13704" s="84">
        <v>4.8</v>
      </c>
      <c r="F13704" s="76" t="s">
        <v>948</v>
      </c>
      <c r="G13704" s="83">
        <v>46123.0</v>
      </c>
      <c r="H13704" s="76" t="s">
        <v>1013</v>
      </c>
    </row>
    <row r="13705">
      <c r="A13705" s="76" t="s">
        <v>26</v>
      </c>
      <c r="B13705" s="76" t="s">
        <v>1037</v>
      </c>
      <c r="C13705" s="84">
        <v>68.73</v>
      </c>
      <c r="D13705" s="84">
        <v>12.0</v>
      </c>
      <c r="E13705" s="84">
        <v>5.73</v>
      </c>
      <c r="F13705" s="76" t="s">
        <v>948</v>
      </c>
      <c r="G13705" s="83">
        <v>46123.0</v>
      </c>
      <c r="H13705" s="76" t="s">
        <v>1014</v>
      </c>
    </row>
    <row r="13706">
      <c r="A13706" s="76" t="s">
        <v>36</v>
      </c>
      <c r="B13706" s="76" t="s">
        <v>1037</v>
      </c>
      <c r="C13706" s="84">
        <v>253.5</v>
      </c>
      <c r="D13706" s="84">
        <v>52.0</v>
      </c>
      <c r="E13706" s="84">
        <v>4.88</v>
      </c>
      <c r="F13706" s="76" t="s">
        <v>948</v>
      </c>
      <c r="G13706" s="83">
        <v>46123.0</v>
      </c>
      <c r="H13706" s="76" t="s">
        <v>926</v>
      </c>
    </row>
    <row r="13707">
      <c r="A13707" s="76" t="s">
        <v>36</v>
      </c>
      <c r="B13707" s="76" t="s">
        <v>1037</v>
      </c>
      <c r="C13707" s="84">
        <v>4.14</v>
      </c>
      <c r="D13707" s="84">
        <v>1.0</v>
      </c>
      <c r="E13707" s="84">
        <v>4.14</v>
      </c>
      <c r="F13707" s="76" t="s">
        <v>948</v>
      </c>
      <c r="G13707" s="83">
        <v>46123.0</v>
      </c>
      <c r="H13707" s="76" t="s">
        <v>927</v>
      </c>
    </row>
    <row r="13708">
      <c r="A13708" s="76" t="s">
        <v>36</v>
      </c>
      <c r="B13708" s="76" t="s">
        <v>1037</v>
      </c>
      <c r="C13708" s="84">
        <v>83.05</v>
      </c>
      <c r="D13708" s="84">
        <v>16.0</v>
      </c>
      <c r="E13708" s="84">
        <v>5.19</v>
      </c>
      <c r="F13708" s="76" t="s">
        <v>948</v>
      </c>
      <c r="G13708" s="83">
        <v>46123.0</v>
      </c>
      <c r="H13708" s="76" t="s">
        <v>928</v>
      </c>
    </row>
    <row r="13709">
      <c r="A13709" s="76" t="s">
        <v>28</v>
      </c>
      <c r="B13709" s="76" t="s">
        <v>1037</v>
      </c>
      <c r="C13709" s="84">
        <v>2.14</v>
      </c>
      <c r="D13709" s="84">
        <v>2.0</v>
      </c>
      <c r="E13709" s="84">
        <v>1.07</v>
      </c>
      <c r="F13709" s="76" t="s">
        <v>948</v>
      </c>
      <c r="G13709" s="83">
        <v>46123.0</v>
      </c>
      <c r="H13709" s="76" t="s">
        <v>931</v>
      </c>
    </row>
    <row r="13710">
      <c r="A13710" s="76" t="s">
        <v>28</v>
      </c>
      <c r="B13710" s="76" t="s">
        <v>1037</v>
      </c>
      <c r="C13710" s="84">
        <v>1.02</v>
      </c>
      <c r="D13710" s="84">
        <v>0.0</v>
      </c>
      <c r="E13710" s="84">
        <v>0.0</v>
      </c>
      <c r="F13710" s="76" t="s">
        <v>948</v>
      </c>
      <c r="G13710" s="83">
        <v>46123.0</v>
      </c>
      <c r="H13710" s="76" t="s">
        <v>932</v>
      </c>
    </row>
    <row r="13711">
      <c r="A13711" s="76" t="s">
        <v>28</v>
      </c>
      <c r="B13711" s="76" t="s">
        <v>1037</v>
      </c>
      <c r="C13711" s="84">
        <v>82.85</v>
      </c>
      <c r="D13711" s="84">
        <v>19.0</v>
      </c>
      <c r="E13711" s="84">
        <v>4.36</v>
      </c>
      <c r="F13711" s="76" t="s">
        <v>948</v>
      </c>
      <c r="G13711" s="83">
        <v>46123.0</v>
      </c>
      <c r="H13711" s="76" t="s">
        <v>933</v>
      </c>
    </row>
    <row r="13712">
      <c r="A13712" s="76" t="s">
        <v>45</v>
      </c>
      <c r="B13712" s="76" t="s">
        <v>1037</v>
      </c>
      <c r="C13712" s="84">
        <v>0.66</v>
      </c>
      <c r="D13712" s="84">
        <v>0.0</v>
      </c>
      <c r="E13712" s="84">
        <v>0.0</v>
      </c>
      <c r="F13712" s="76" t="s">
        <v>948</v>
      </c>
      <c r="G13712" s="83">
        <v>46123.0</v>
      </c>
      <c r="H13712" s="76" t="s">
        <v>936</v>
      </c>
    </row>
    <row r="13713">
      <c r="A13713" s="76" t="s">
        <v>45</v>
      </c>
      <c r="B13713" s="76" t="s">
        <v>1037</v>
      </c>
      <c r="C13713" s="84">
        <v>1.55</v>
      </c>
      <c r="D13713" s="84">
        <v>0.0</v>
      </c>
      <c r="E13713" s="84">
        <v>0.0</v>
      </c>
      <c r="F13713" s="76" t="s">
        <v>948</v>
      </c>
      <c r="G13713" s="83">
        <v>46123.0</v>
      </c>
      <c r="H13713" s="76" t="s">
        <v>937</v>
      </c>
    </row>
    <row r="13714">
      <c r="A13714" s="76" t="s">
        <v>45</v>
      </c>
      <c r="B13714" s="76" t="s">
        <v>1037</v>
      </c>
      <c r="C13714" s="84">
        <v>2.83</v>
      </c>
      <c r="D13714" s="84">
        <v>0.0</v>
      </c>
      <c r="E13714" s="84">
        <v>0.0</v>
      </c>
      <c r="F13714" s="76" t="s">
        <v>948</v>
      </c>
      <c r="G13714" s="83">
        <v>46123.0</v>
      </c>
      <c r="H13714" s="76" t="s">
        <v>938</v>
      </c>
    </row>
    <row r="13715">
      <c r="A13715" s="76" t="s">
        <v>42</v>
      </c>
      <c r="B13715" s="76" t="s">
        <v>1037</v>
      </c>
      <c r="C13715" s="84">
        <v>0.39</v>
      </c>
      <c r="D13715" s="84">
        <v>0.0</v>
      </c>
      <c r="E13715" s="84">
        <v>0.0</v>
      </c>
      <c r="F13715" s="76" t="s">
        <v>948</v>
      </c>
      <c r="G13715" s="83">
        <v>46123.0</v>
      </c>
      <c r="H13715" s="76" t="s">
        <v>991</v>
      </c>
    </row>
    <row r="13716">
      <c r="A13716" s="76" t="s">
        <v>42</v>
      </c>
      <c r="B13716" s="76" t="s">
        <v>1037</v>
      </c>
      <c r="C13716" s="84">
        <v>11.61</v>
      </c>
      <c r="D13716" s="84">
        <v>5.0</v>
      </c>
      <c r="E13716" s="84">
        <v>2.32</v>
      </c>
      <c r="F13716" s="76" t="s">
        <v>948</v>
      </c>
      <c r="G13716" s="83">
        <v>46123.0</v>
      </c>
      <c r="H13716" s="76" t="s">
        <v>935</v>
      </c>
    </row>
    <row r="13717">
      <c r="A13717" s="76" t="s">
        <v>45</v>
      </c>
      <c r="B13717" s="76" t="s">
        <v>1038</v>
      </c>
      <c r="C13717" s="84">
        <v>0.88</v>
      </c>
      <c r="D13717" s="84">
        <v>0.0</v>
      </c>
      <c r="E13717" s="84">
        <v>0.0</v>
      </c>
      <c r="F13717" s="76" t="s">
        <v>975</v>
      </c>
      <c r="G13717" s="83">
        <v>46123.0</v>
      </c>
      <c r="H13717" s="76" t="s">
        <v>936</v>
      </c>
    </row>
    <row r="13718">
      <c r="A13718" s="76" t="s">
        <v>45</v>
      </c>
      <c r="B13718" s="76" t="s">
        <v>1038</v>
      </c>
      <c r="C13718" s="84">
        <v>4.82</v>
      </c>
      <c r="D13718" s="84">
        <v>1.0</v>
      </c>
      <c r="E13718" s="84">
        <v>4.82</v>
      </c>
      <c r="F13718" s="76" t="s">
        <v>975</v>
      </c>
      <c r="G13718" s="83">
        <v>46123.0</v>
      </c>
      <c r="H13718" s="76" t="s">
        <v>937</v>
      </c>
    </row>
    <row r="13719">
      <c r="A13719" s="76" t="s">
        <v>45</v>
      </c>
      <c r="B13719" s="76" t="s">
        <v>1038</v>
      </c>
      <c r="C13719" s="84">
        <v>1.54</v>
      </c>
      <c r="D13719" s="84">
        <v>0.0</v>
      </c>
      <c r="E13719" s="84">
        <v>0.0</v>
      </c>
      <c r="F13719" s="76" t="s">
        <v>975</v>
      </c>
      <c r="G13719" s="83">
        <v>46123.0</v>
      </c>
      <c r="H13719" s="76" t="s">
        <v>938</v>
      </c>
    </row>
    <row r="13720">
      <c r="A13720" s="76" t="s">
        <v>36</v>
      </c>
      <c r="B13720" s="76" t="s">
        <v>1038</v>
      </c>
      <c r="C13720" s="84">
        <v>20.02</v>
      </c>
      <c r="D13720" s="84">
        <v>6.0</v>
      </c>
      <c r="E13720" s="84">
        <v>3.34</v>
      </c>
      <c r="F13720" s="76" t="s">
        <v>975</v>
      </c>
      <c r="G13720" s="83">
        <v>46123.0</v>
      </c>
      <c r="H13720" s="76" t="s">
        <v>926</v>
      </c>
    </row>
    <row r="13721">
      <c r="A13721" s="76" t="s">
        <v>36</v>
      </c>
      <c r="B13721" s="76" t="s">
        <v>1038</v>
      </c>
      <c r="C13721" s="84">
        <v>1.74</v>
      </c>
      <c r="D13721" s="84">
        <v>1.0</v>
      </c>
      <c r="E13721" s="84">
        <v>1.74</v>
      </c>
      <c r="F13721" s="76" t="s">
        <v>975</v>
      </c>
      <c r="G13721" s="83">
        <v>46123.0</v>
      </c>
      <c r="H13721" s="76" t="s">
        <v>927</v>
      </c>
    </row>
    <row r="13722">
      <c r="A13722" s="76" t="s">
        <v>36</v>
      </c>
      <c r="B13722" s="76" t="s">
        <v>1038</v>
      </c>
      <c r="C13722" s="84">
        <v>5.87</v>
      </c>
      <c r="D13722" s="84">
        <v>3.0</v>
      </c>
      <c r="E13722" s="84">
        <v>1.96</v>
      </c>
      <c r="F13722" s="76" t="s">
        <v>975</v>
      </c>
      <c r="G13722" s="83">
        <v>46123.0</v>
      </c>
      <c r="H13722" s="76" t="s">
        <v>928</v>
      </c>
    </row>
    <row r="13723">
      <c r="A13723" s="76" t="s">
        <v>50</v>
      </c>
      <c r="B13723" s="76" t="s">
        <v>1038</v>
      </c>
      <c r="C13723" s="84">
        <v>6.58</v>
      </c>
      <c r="D13723" s="84">
        <v>3.0</v>
      </c>
      <c r="E13723" s="84">
        <v>2.19</v>
      </c>
      <c r="F13723" s="76" t="s">
        <v>975</v>
      </c>
      <c r="G13723" s="83">
        <v>46123.0</v>
      </c>
      <c r="H13723" s="76" t="s">
        <v>939</v>
      </c>
    </row>
    <row r="13724">
      <c r="A13724" s="76" t="s">
        <v>50</v>
      </c>
      <c r="B13724" s="76" t="s">
        <v>1038</v>
      </c>
      <c r="C13724" s="84">
        <v>1.72</v>
      </c>
      <c r="D13724" s="84">
        <v>0.0</v>
      </c>
      <c r="E13724" s="84">
        <v>0.0</v>
      </c>
      <c r="F13724" s="76" t="s">
        <v>975</v>
      </c>
      <c r="G13724" s="83">
        <v>46123.0</v>
      </c>
      <c r="H13724" s="76" t="s">
        <v>940</v>
      </c>
    </row>
    <row r="13725">
      <c r="A13725" s="76" t="s">
        <v>944</v>
      </c>
      <c r="B13725" s="76" t="s">
        <v>1038</v>
      </c>
      <c r="C13725" s="84">
        <v>55.98</v>
      </c>
      <c r="D13725" s="84">
        <v>8.0</v>
      </c>
      <c r="E13725" s="84">
        <v>7.0</v>
      </c>
      <c r="F13725" s="76" t="s">
        <v>975</v>
      </c>
      <c r="G13725" s="83">
        <v>46123.0</v>
      </c>
      <c r="H13725" s="76" t="s">
        <v>945</v>
      </c>
    </row>
    <row r="13726">
      <c r="A13726" s="76" t="s">
        <v>944</v>
      </c>
      <c r="B13726" s="76" t="s">
        <v>1038</v>
      </c>
      <c r="C13726" s="84">
        <v>4.91</v>
      </c>
      <c r="D13726" s="84">
        <v>1.0</v>
      </c>
      <c r="E13726" s="84">
        <v>4.91</v>
      </c>
      <c r="F13726" s="76" t="s">
        <v>975</v>
      </c>
      <c r="G13726" s="83">
        <v>46123.0</v>
      </c>
      <c r="H13726" s="76" t="s">
        <v>946</v>
      </c>
    </row>
    <row r="13727">
      <c r="A13727" s="76" t="s">
        <v>944</v>
      </c>
      <c r="B13727" s="76" t="s">
        <v>1038</v>
      </c>
      <c r="C13727" s="84">
        <v>34.09</v>
      </c>
      <c r="D13727" s="84">
        <v>6.0</v>
      </c>
      <c r="E13727" s="84">
        <v>5.68</v>
      </c>
      <c r="F13727" s="76" t="s">
        <v>975</v>
      </c>
      <c r="G13727" s="83">
        <v>46123.0</v>
      </c>
      <c r="H13727" s="76" t="s">
        <v>947</v>
      </c>
    </row>
    <row r="13728">
      <c r="A13728" s="76" t="s">
        <v>26</v>
      </c>
      <c r="B13728" s="76" t="s">
        <v>1038</v>
      </c>
      <c r="C13728" s="84">
        <v>1.38</v>
      </c>
      <c r="D13728" s="84">
        <v>0.0</v>
      </c>
      <c r="E13728" s="84">
        <v>0.0</v>
      </c>
      <c r="F13728" s="76" t="s">
        <v>975</v>
      </c>
      <c r="G13728" s="83">
        <v>46123.0</v>
      </c>
      <c r="H13728" s="76" t="s">
        <v>1012</v>
      </c>
    </row>
    <row r="13729">
      <c r="A13729" s="76" t="s">
        <v>26</v>
      </c>
      <c r="B13729" s="76" t="s">
        <v>1038</v>
      </c>
      <c r="C13729" s="84">
        <v>2.65</v>
      </c>
      <c r="D13729" s="84">
        <v>0.0</v>
      </c>
      <c r="E13729" s="84">
        <v>0.0</v>
      </c>
      <c r="F13729" s="76" t="s">
        <v>975</v>
      </c>
      <c r="G13729" s="83">
        <v>46123.0</v>
      </c>
      <c r="H13729" s="76" t="s">
        <v>1013</v>
      </c>
    </row>
    <row r="13730">
      <c r="A13730" s="76" t="s">
        <v>26</v>
      </c>
      <c r="B13730" s="76" t="s">
        <v>1038</v>
      </c>
      <c r="C13730" s="84">
        <v>110.47</v>
      </c>
      <c r="D13730" s="84">
        <v>27.0</v>
      </c>
      <c r="E13730" s="84">
        <v>4.09</v>
      </c>
      <c r="F13730" s="76" t="s">
        <v>975</v>
      </c>
      <c r="G13730" s="83">
        <v>46123.0</v>
      </c>
      <c r="H13730" s="76" t="s">
        <v>1014</v>
      </c>
    </row>
    <row r="13731">
      <c r="A13731" s="76" t="s">
        <v>32</v>
      </c>
      <c r="B13731" s="76" t="s">
        <v>1038</v>
      </c>
      <c r="C13731" s="84">
        <v>60.32</v>
      </c>
      <c r="D13731" s="84">
        <v>11.0</v>
      </c>
      <c r="E13731" s="84">
        <v>5.48</v>
      </c>
      <c r="F13731" s="76" t="s">
        <v>975</v>
      </c>
      <c r="G13731" s="83">
        <v>46123.0</v>
      </c>
      <c r="H13731" s="76" t="s">
        <v>941</v>
      </c>
    </row>
    <row r="13732">
      <c r="A13732" s="76" t="s">
        <v>32</v>
      </c>
      <c r="B13732" s="76" t="s">
        <v>1038</v>
      </c>
      <c r="C13732" s="84">
        <v>8.46</v>
      </c>
      <c r="D13732" s="84">
        <v>1.0</v>
      </c>
      <c r="E13732" s="84">
        <v>8.46</v>
      </c>
      <c r="F13732" s="76" t="s">
        <v>975</v>
      </c>
      <c r="G13732" s="83">
        <v>46123.0</v>
      </c>
      <c r="H13732" s="76" t="s">
        <v>942</v>
      </c>
    </row>
    <row r="13733">
      <c r="A13733" s="76" t="s">
        <v>32</v>
      </c>
      <c r="B13733" s="76" t="s">
        <v>1038</v>
      </c>
      <c r="C13733" s="84">
        <v>29.44</v>
      </c>
      <c r="D13733" s="84">
        <v>3.0</v>
      </c>
      <c r="E13733" s="84">
        <v>9.81</v>
      </c>
      <c r="F13733" s="76" t="s">
        <v>975</v>
      </c>
      <c r="G13733" s="83">
        <v>46123.0</v>
      </c>
      <c r="H13733" s="76" t="s">
        <v>943</v>
      </c>
    </row>
    <row r="13734">
      <c r="A13734" s="76" t="s">
        <v>42</v>
      </c>
      <c r="B13734" s="76" t="s">
        <v>1038</v>
      </c>
      <c r="C13734" s="84">
        <v>3.31</v>
      </c>
      <c r="D13734" s="84">
        <v>1.0</v>
      </c>
      <c r="E13734" s="84">
        <v>3.31</v>
      </c>
      <c r="F13734" s="76" t="s">
        <v>975</v>
      </c>
      <c r="G13734" s="83">
        <v>46123.0</v>
      </c>
      <c r="H13734" s="76" t="s">
        <v>991</v>
      </c>
    </row>
    <row r="13735">
      <c r="A13735" s="76" t="s">
        <v>42</v>
      </c>
      <c r="B13735" s="76" t="s">
        <v>1038</v>
      </c>
      <c r="C13735" s="84">
        <v>5.23</v>
      </c>
      <c r="D13735" s="84">
        <v>1.0</v>
      </c>
      <c r="E13735" s="84">
        <v>5.23</v>
      </c>
      <c r="F13735" s="76" t="s">
        <v>975</v>
      </c>
      <c r="G13735" s="83">
        <v>46123.0</v>
      </c>
      <c r="H13735" s="76" t="s">
        <v>935</v>
      </c>
    </row>
    <row r="13736">
      <c r="A13736" s="76" t="s">
        <v>31</v>
      </c>
      <c r="B13736" s="76" t="s">
        <v>1038</v>
      </c>
      <c r="C13736" s="84">
        <v>9.34</v>
      </c>
      <c r="D13736" s="84">
        <v>4.0</v>
      </c>
      <c r="E13736" s="84">
        <v>2.34</v>
      </c>
      <c r="F13736" s="76" t="s">
        <v>975</v>
      </c>
      <c r="G13736" s="83">
        <v>46123.0</v>
      </c>
      <c r="H13736" s="76" t="s">
        <v>929</v>
      </c>
    </row>
    <row r="13737">
      <c r="A13737" s="76" t="s">
        <v>31</v>
      </c>
      <c r="B13737" s="76" t="s">
        <v>1038</v>
      </c>
      <c r="C13737" s="84">
        <v>168.25</v>
      </c>
      <c r="D13737" s="84">
        <v>51.0</v>
      </c>
      <c r="E13737" s="84">
        <v>3.3</v>
      </c>
      <c r="F13737" s="76" t="s">
        <v>975</v>
      </c>
      <c r="G13737" s="83">
        <v>46123.0</v>
      </c>
      <c r="H13737" s="76" t="s">
        <v>930</v>
      </c>
    </row>
    <row r="13738">
      <c r="A13738" s="76" t="s">
        <v>28</v>
      </c>
      <c r="B13738" s="76" t="s">
        <v>1038</v>
      </c>
      <c r="C13738" s="84">
        <v>2.09</v>
      </c>
      <c r="D13738" s="84">
        <v>0.0</v>
      </c>
      <c r="E13738" s="84">
        <v>0.0</v>
      </c>
      <c r="F13738" s="76" t="s">
        <v>975</v>
      </c>
      <c r="G13738" s="83">
        <v>46123.0</v>
      </c>
      <c r="H13738" s="76" t="s">
        <v>931</v>
      </c>
    </row>
    <row r="13739">
      <c r="A13739" s="76" t="s">
        <v>28</v>
      </c>
      <c r="B13739" s="76" t="s">
        <v>1038</v>
      </c>
      <c r="C13739" s="84">
        <v>2.85</v>
      </c>
      <c r="D13739" s="84">
        <v>2.0</v>
      </c>
      <c r="E13739" s="84">
        <v>1.42</v>
      </c>
      <c r="F13739" s="76" t="s">
        <v>975</v>
      </c>
      <c r="G13739" s="83">
        <v>46123.0</v>
      </c>
      <c r="H13739" s="76" t="s">
        <v>932</v>
      </c>
    </row>
    <row r="13740">
      <c r="A13740" s="76" t="s">
        <v>28</v>
      </c>
      <c r="B13740" s="76" t="s">
        <v>1038</v>
      </c>
      <c r="C13740" s="84">
        <v>66.02</v>
      </c>
      <c r="D13740" s="84">
        <v>5.0</v>
      </c>
      <c r="E13740" s="84">
        <v>13.2</v>
      </c>
      <c r="F13740" s="76" t="s">
        <v>975</v>
      </c>
      <c r="G13740" s="83">
        <v>46123.0</v>
      </c>
      <c r="H13740" s="76" t="s">
        <v>933</v>
      </c>
    </row>
    <row r="13741">
      <c r="A13741" s="76" t="s">
        <v>45</v>
      </c>
      <c r="B13741" s="76" t="s">
        <v>1038</v>
      </c>
      <c r="C13741" s="84">
        <v>0.12</v>
      </c>
      <c r="D13741" s="84">
        <v>0.0</v>
      </c>
      <c r="E13741" s="84">
        <v>0.0</v>
      </c>
      <c r="F13741" s="76" t="s">
        <v>950</v>
      </c>
      <c r="G13741" s="83">
        <v>46123.0</v>
      </c>
      <c r="H13741" s="76" t="s">
        <v>936</v>
      </c>
    </row>
    <row r="13742">
      <c r="A13742" s="76" t="s">
        <v>45</v>
      </c>
      <c r="B13742" s="76" t="s">
        <v>1038</v>
      </c>
      <c r="C13742" s="84">
        <v>0.77</v>
      </c>
      <c r="D13742" s="84">
        <v>0.0</v>
      </c>
      <c r="E13742" s="84">
        <v>0.0</v>
      </c>
      <c r="F13742" s="76" t="s">
        <v>950</v>
      </c>
      <c r="G13742" s="83">
        <v>46123.0</v>
      </c>
      <c r="H13742" s="76" t="s">
        <v>937</v>
      </c>
    </row>
    <row r="13743">
      <c r="A13743" s="76" t="s">
        <v>45</v>
      </c>
      <c r="B13743" s="76" t="s">
        <v>1038</v>
      </c>
      <c r="C13743" s="84">
        <v>0.24</v>
      </c>
      <c r="D13743" s="84">
        <v>0.0</v>
      </c>
      <c r="E13743" s="84">
        <v>0.0</v>
      </c>
      <c r="F13743" s="76" t="s">
        <v>950</v>
      </c>
      <c r="G13743" s="83">
        <v>46123.0</v>
      </c>
      <c r="H13743" s="76" t="s">
        <v>938</v>
      </c>
    </row>
    <row r="13744">
      <c r="A13744" s="76" t="s">
        <v>28</v>
      </c>
      <c r="B13744" s="76" t="s">
        <v>1038</v>
      </c>
      <c r="C13744" s="84">
        <v>0.29</v>
      </c>
      <c r="D13744" s="84">
        <v>0.0</v>
      </c>
      <c r="E13744" s="84">
        <v>0.0</v>
      </c>
      <c r="F13744" s="76" t="s">
        <v>950</v>
      </c>
      <c r="G13744" s="83">
        <v>46123.0</v>
      </c>
      <c r="H13744" s="76" t="s">
        <v>931</v>
      </c>
    </row>
    <row r="13745">
      <c r="A13745" s="76" t="s">
        <v>28</v>
      </c>
      <c r="B13745" s="76" t="s">
        <v>1038</v>
      </c>
      <c r="C13745" s="84">
        <v>0.43</v>
      </c>
      <c r="D13745" s="84">
        <v>0.0</v>
      </c>
      <c r="E13745" s="84">
        <v>0.0</v>
      </c>
      <c r="F13745" s="76" t="s">
        <v>950</v>
      </c>
      <c r="G13745" s="83">
        <v>46123.0</v>
      </c>
      <c r="H13745" s="76" t="s">
        <v>932</v>
      </c>
    </row>
    <row r="13746">
      <c r="A13746" s="76" t="s">
        <v>28</v>
      </c>
      <c r="B13746" s="76" t="s">
        <v>1038</v>
      </c>
      <c r="C13746" s="84">
        <v>8.07</v>
      </c>
      <c r="D13746" s="84">
        <v>1.0</v>
      </c>
      <c r="E13746" s="84">
        <v>8.07</v>
      </c>
      <c r="F13746" s="76" t="s">
        <v>950</v>
      </c>
      <c r="G13746" s="83">
        <v>46123.0</v>
      </c>
      <c r="H13746" s="76" t="s">
        <v>933</v>
      </c>
    </row>
    <row r="13747">
      <c r="A13747" s="76" t="s">
        <v>42</v>
      </c>
      <c r="B13747" s="76" t="s">
        <v>1038</v>
      </c>
      <c r="C13747" s="84">
        <v>0.38</v>
      </c>
      <c r="D13747" s="84">
        <v>0.0</v>
      </c>
      <c r="E13747" s="84">
        <v>0.0</v>
      </c>
      <c r="F13747" s="76" t="s">
        <v>950</v>
      </c>
      <c r="G13747" s="83">
        <v>46123.0</v>
      </c>
      <c r="H13747" s="76" t="s">
        <v>991</v>
      </c>
    </row>
    <row r="13748">
      <c r="A13748" s="76" t="s">
        <v>42</v>
      </c>
      <c r="B13748" s="76" t="s">
        <v>1038</v>
      </c>
      <c r="C13748" s="84">
        <v>0.87</v>
      </c>
      <c r="D13748" s="84">
        <v>0.0</v>
      </c>
      <c r="E13748" s="84">
        <v>0.0</v>
      </c>
      <c r="F13748" s="76" t="s">
        <v>950</v>
      </c>
      <c r="G13748" s="83">
        <v>46123.0</v>
      </c>
      <c r="H13748" s="76" t="s">
        <v>935</v>
      </c>
    </row>
    <row r="13749">
      <c r="A13749" s="76" t="s">
        <v>36</v>
      </c>
      <c r="B13749" s="76" t="s">
        <v>1038</v>
      </c>
      <c r="C13749" s="84">
        <v>7.14</v>
      </c>
      <c r="D13749" s="84">
        <v>2.0</v>
      </c>
      <c r="E13749" s="84">
        <v>3.57</v>
      </c>
      <c r="F13749" s="76" t="s">
        <v>950</v>
      </c>
      <c r="G13749" s="83">
        <v>46123.0</v>
      </c>
      <c r="H13749" s="76" t="s">
        <v>926</v>
      </c>
    </row>
    <row r="13750">
      <c r="A13750" s="76" t="s">
        <v>36</v>
      </c>
      <c r="B13750" s="76" t="s">
        <v>1038</v>
      </c>
      <c r="C13750" s="84">
        <v>0.56</v>
      </c>
      <c r="D13750" s="84">
        <v>1.0</v>
      </c>
      <c r="E13750" s="84">
        <v>0.56</v>
      </c>
      <c r="F13750" s="76" t="s">
        <v>950</v>
      </c>
      <c r="G13750" s="83">
        <v>46123.0</v>
      </c>
      <c r="H13750" s="76" t="s">
        <v>927</v>
      </c>
    </row>
    <row r="13751">
      <c r="A13751" s="76" t="s">
        <v>36</v>
      </c>
      <c r="B13751" s="76" t="s">
        <v>1038</v>
      </c>
      <c r="C13751" s="84">
        <v>1.21</v>
      </c>
      <c r="D13751" s="84">
        <v>0.0</v>
      </c>
      <c r="E13751" s="84">
        <v>0.0</v>
      </c>
      <c r="F13751" s="76" t="s">
        <v>950</v>
      </c>
      <c r="G13751" s="83">
        <v>46123.0</v>
      </c>
      <c r="H13751" s="76" t="s">
        <v>928</v>
      </c>
    </row>
    <row r="13752">
      <c r="A13752" s="76" t="s">
        <v>31</v>
      </c>
      <c r="B13752" s="76" t="s">
        <v>1038</v>
      </c>
      <c r="C13752" s="84">
        <v>1.56</v>
      </c>
      <c r="D13752" s="84">
        <v>0.0</v>
      </c>
      <c r="E13752" s="84">
        <v>0.0</v>
      </c>
      <c r="F13752" s="76" t="s">
        <v>950</v>
      </c>
      <c r="G13752" s="83">
        <v>46123.0</v>
      </c>
      <c r="H13752" s="76" t="s">
        <v>929</v>
      </c>
    </row>
    <row r="13753">
      <c r="A13753" s="76" t="s">
        <v>31</v>
      </c>
      <c r="B13753" s="76" t="s">
        <v>1038</v>
      </c>
      <c r="C13753" s="84">
        <v>50.37</v>
      </c>
      <c r="D13753" s="84">
        <v>9.0</v>
      </c>
      <c r="E13753" s="84">
        <v>5.6</v>
      </c>
      <c r="F13753" s="76" t="s">
        <v>950</v>
      </c>
      <c r="G13753" s="83">
        <v>46123.0</v>
      </c>
      <c r="H13753" s="76" t="s">
        <v>930</v>
      </c>
    </row>
    <row r="13754">
      <c r="A13754" s="76" t="s">
        <v>50</v>
      </c>
      <c r="B13754" s="76" t="s">
        <v>1038</v>
      </c>
      <c r="C13754" s="84">
        <v>1.01</v>
      </c>
      <c r="D13754" s="84">
        <v>0.0</v>
      </c>
      <c r="E13754" s="84">
        <v>0.0</v>
      </c>
      <c r="F13754" s="76" t="s">
        <v>950</v>
      </c>
      <c r="G13754" s="83">
        <v>46123.0</v>
      </c>
      <c r="H13754" s="76" t="s">
        <v>939</v>
      </c>
    </row>
    <row r="13755">
      <c r="A13755" s="76" t="s">
        <v>50</v>
      </c>
      <c r="B13755" s="76" t="s">
        <v>1038</v>
      </c>
      <c r="C13755" s="84">
        <v>0.52</v>
      </c>
      <c r="D13755" s="84">
        <v>0.0</v>
      </c>
      <c r="E13755" s="84">
        <v>0.0</v>
      </c>
      <c r="F13755" s="76" t="s">
        <v>950</v>
      </c>
      <c r="G13755" s="83">
        <v>46123.0</v>
      </c>
      <c r="H13755" s="76" t="s">
        <v>940</v>
      </c>
    </row>
    <row r="13756">
      <c r="A13756" s="76" t="s">
        <v>26</v>
      </c>
      <c r="B13756" s="76" t="s">
        <v>1038</v>
      </c>
      <c r="C13756" s="84">
        <v>0.56</v>
      </c>
      <c r="D13756" s="84">
        <v>0.0</v>
      </c>
      <c r="E13756" s="84">
        <v>0.0</v>
      </c>
      <c r="F13756" s="76" t="s">
        <v>950</v>
      </c>
      <c r="G13756" s="83">
        <v>46123.0</v>
      </c>
      <c r="H13756" s="76" t="s">
        <v>1012</v>
      </c>
    </row>
    <row r="13757">
      <c r="A13757" s="76" t="s">
        <v>26</v>
      </c>
      <c r="B13757" s="76" t="s">
        <v>1038</v>
      </c>
      <c r="C13757" s="84">
        <v>0.47</v>
      </c>
      <c r="D13757" s="84">
        <v>0.0</v>
      </c>
      <c r="E13757" s="84">
        <v>0.0</v>
      </c>
      <c r="F13757" s="76" t="s">
        <v>950</v>
      </c>
      <c r="G13757" s="83">
        <v>46123.0</v>
      </c>
      <c r="H13757" s="76" t="s">
        <v>1013</v>
      </c>
    </row>
    <row r="13758">
      <c r="A13758" s="76" t="s">
        <v>26</v>
      </c>
      <c r="B13758" s="76" t="s">
        <v>1038</v>
      </c>
      <c r="C13758" s="84">
        <v>19.95</v>
      </c>
      <c r="D13758" s="84">
        <v>2.0</v>
      </c>
      <c r="E13758" s="84">
        <v>9.97</v>
      </c>
      <c r="F13758" s="76" t="s">
        <v>950</v>
      </c>
      <c r="G13758" s="83">
        <v>46123.0</v>
      </c>
      <c r="H13758" s="76" t="s">
        <v>1014</v>
      </c>
    </row>
    <row r="13759">
      <c r="A13759" s="76" t="s">
        <v>944</v>
      </c>
      <c r="B13759" s="76" t="s">
        <v>1038</v>
      </c>
      <c r="C13759" s="84">
        <v>5.43</v>
      </c>
      <c r="D13759" s="84">
        <v>0.0</v>
      </c>
      <c r="E13759" s="84">
        <v>0.0</v>
      </c>
      <c r="F13759" s="76" t="s">
        <v>950</v>
      </c>
      <c r="G13759" s="83">
        <v>46123.0</v>
      </c>
      <c r="H13759" s="76" t="s">
        <v>945</v>
      </c>
    </row>
    <row r="13760">
      <c r="A13760" s="76" t="s">
        <v>944</v>
      </c>
      <c r="B13760" s="76" t="s">
        <v>1038</v>
      </c>
      <c r="C13760" s="84">
        <v>0.65</v>
      </c>
      <c r="D13760" s="84">
        <v>0.0</v>
      </c>
      <c r="E13760" s="84">
        <v>0.0</v>
      </c>
      <c r="F13760" s="76" t="s">
        <v>950</v>
      </c>
      <c r="G13760" s="83">
        <v>46123.0</v>
      </c>
      <c r="H13760" s="76" t="s">
        <v>946</v>
      </c>
    </row>
    <row r="13761">
      <c r="A13761" s="76" t="s">
        <v>944</v>
      </c>
      <c r="B13761" s="76" t="s">
        <v>1038</v>
      </c>
      <c r="C13761" s="84">
        <v>6.22</v>
      </c>
      <c r="D13761" s="84">
        <v>0.0</v>
      </c>
      <c r="E13761" s="84">
        <v>0.0</v>
      </c>
      <c r="F13761" s="76" t="s">
        <v>950</v>
      </c>
      <c r="G13761" s="83">
        <v>46123.0</v>
      </c>
      <c r="H13761" s="76" t="s">
        <v>947</v>
      </c>
    </row>
    <row r="13762">
      <c r="A13762" s="76" t="s">
        <v>32</v>
      </c>
      <c r="B13762" s="76" t="s">
        <v>1038</v>
      </c>
      <c r="C13762" s="84">
        <v>14.96</v>
      </c>
      <c r="D13762" s="84">
        <v>5.0</v>
      </c>
      <c r="E13762" s="84">
        <v>2.99</v>
      </c>
      <c r="F13762" s="76" t="s">
        <v>950</v>
      </c>
      <c r="G13762" s="83">
        <v>46123.0</v>
      </c>
      <c r="H13762" s="76" t="s">
        <v>941</v>
      </c>
    </row>
    <row r="13763">
      <c r="A13763" s="76" t="s">
        <v>32</v>
      </c>
      <c r="B13763" s="76" t="s">
        <v>1038</v>
      </c>
      <c r="C13763" s="84">
        <v>1.92</v>
      </c>
      <c r="D13763" s="84">
        <v>0.0</v>
      </c>
      <c r="E13763" s="84">
        <v>0.0</v>
      </c>
      <c r="F13763" s="76" t="s">
        <v>950</v>
      </c>
      <c r="G13763" s="83">
        <v>46123.0</v>
      </c>
      <c r="H13763" s="76" t="s">
        <v>942</v>
      </c>
    </row>
    <row r="13764">
      <c r="A13764" s="76" t="s">
        <v>32</v>
      </c>
      <c r="B13764" s="76" t="s">
        <v>1038</v>
      </c>
      <c r="C13764" s="84">
        <v>3.25</v>
      </c>
      <c r="D13764" s="84">
        <v>2.0</v>
      </c>
      <c r="E13764" s="84">
        <v>1.63</v>
      </c>
      <c r="F13764" s="76" t="s">
        <v>950</v>
      </c>
      <c r="G13764" s="83">
        <v>46123.0</v>
      </c>
      <c r="H13764" s="76" t="s">
        <v>943</v>
      </c>
    </row>
    <row r="13765">
      <c r="A13765" s="76" t="s">
        <v>36</v>
      </c>
      <c r="B13765" s="76" t="s">
        <v>1006</v>
      </c>
      <c r="C13765" s="84">
        <v>0.93</v>
      </c>
      <c r="D13765" s="84">
        <v>0.0</v>
      </c>
      <c r="E13765" s="84">
        <v>0.0</v>
      </c>
      <c r="F13765" s="76" t="s">
        <v>990</v>
      </c>
      <c r="G13765" s="83">
        <v>46123.0</v>
      </c>
      <c r="H13765" s="76" t="s">
        <v>926</v>
      </c>
    </row>
    <row r="13766">
      <c r="A13766" s="76" t="s">
        <v>36</v>
      </c>
      <c r="B13766" s="76" t="s">
        <v>1006</v>
      </c>
      <c r="C13766" s="84">
        <v>0.07</v>
      </c>
      <c r="D13766" s="84">
        <v>0.0</v>
      </c>
      <c r="E13766" s="84">
        <v>0.0</v>
      </c>
      <c r="F13766" s="76" t="s">
        <v>990</v>
      </c>
      <c r="G13766" s="83">
        <v>46123.0</v>
      </c>
      <c r="H13766" s="76" t="s">
        <v>927</v>
      </c>
    </row>
    <row r="13767">
      <c r="A13767" s="76" t="s">
        <v>36</v>
      </c>
      <c r="B13767" s="76" t="s">
        <v>1006</v>
      </c>
      <c r="C13767" s="84">
        <v>0.43</v>
      </c>
      <c r="D13767" s="84">
        <v>0.0</v>
      </c>
      <c r="E13767" s="84">
        <v>0.0</v>
      </c>
      <c r="F13767" s="76" t="s">
        <v>990</v>
      </c>
      <c r="G13767" s="83">
        <v>46123.0</v>
      </c>
      <c r="H13767" s="76" t="s">
        <v>928</v>
      </c>
    </row>
    <row r="13768">
      <c r="A13768" s="76" t="s">
        <v>31</v>
      </c>
      <c r="B13768" s="76" t="s">
        <v>1006</v>
      </c>
      <c r="C13768" s="84">
        <v>0.34</v>
      </c>
      <c r="D13768" s="84">
        <v>0.0</v>
      </c>
      <c r="E13768" s="84">
        <v>0.0</v>
      </c>
      <c r="F13768" s="76" t="s">
        <v>990</v>
      </c>
      <c r="G13768" s="83">
        <v>46123.0</v>
      </c>
      <c r="H13768" s="76" t="s">
        <v>929</v>
      </c>
    </row>
    <row r="13769">
      <c r="A13769" s="76" t="s">
        <v>31</v>
      </c>
      <c r="B13769" s="76" t="s">
        <v>1006</v>
      </c>
      <c r="C13769" s="84">
        <v>3.32</v>
      </c>
      <c r="D13769" s="84">
        <v>0.0</v>
      </c>
      <c r="E13769" s="84">
        <v>0.0</v>
      </c>
      <c r="F13769" s="76" t="s">
        <v>990</v>
      </c>
      <c r="G13769" s="83">
        <v>46123.0</v>
      </c>
      <c r="H13769" s="76" t="s">
        <v>930</v>
      </c>
    </row>
    <row r="13770">
      <c r="A13770" s="76" t="s">
        <v>28</v>
      </c>
      <c r="B13770" s="76" t="s">
        <v>1006</v>
      </c>
      <c r="C13770" s="84">
        <v>0.14</v>
      </c>
      <c r="D13770" s="84">
        <v>0.0</v>
      </c>
      <c r="E13770" s="84">
        <v>0.0</v>
      </c>
      <c r="F13770" s="76" t="s">
        <v>990</v>
      </c>
      <c r="G13770" s="83">
        <v>46123.0</v>
      </c>
      <c r="H13770" s="76" t="s">
        <v>931</v>
      </c>
    </row>
    <row r="13771">
      <c r="A13771" s="76" t="s">
        <v>28</v>
      </c>
      <c r="B13771" s="76" t="s">
        <v>1006</v>
      </c>
      <c r="C13771" s="84">
        <v>0.23</v>
      </c>
      <c r="D13771" s="84">
        <v>0.0</v>
      </c>
      <c r="E13771" s="84">
        <v>0.0</v>
      </c>
      <c r="F13771" s="76" t="s">
        <v>990</v>
      </c>
      <c r="G13771" s="83">
        <v>46123.0</v>
      </c>
      <c r="H13771" s="76" t="s">
        <v>932</v>
      </c>
    </row>
    <row r="13772">
      <c r="A13772" s="76" t="s">
        <v>28</v>
      </c>
      <c r="B13772" s="76" t="s">
        <v>1006</v>
      </c>
      <c r="C13772" s="84">
        <v>1.41</v>
      </c>
      <c r="D13772" s="84">
        <v>0.0</v>
      </c>
      <c r="E13772" s="84">
        <v>0.0</v>
      </c>
      <c r="F13772" s="76" t="s">
        <v>990</v>
      </c>
      <c r="G13772" s="83">
        <v>46123.0</v>
      </c>
      <c r="H13772" s="76" t="s">
        <v>933</v>
      </c>
    </row>
    <row r="13773">
      <c r="A13773" s="76" t="s">
        <v>45</v>
      </c>
      <c r="B13773" s="76" t="s">
        <v>1006</v>
      </c>
      <c r="C13773" s="84">
        <v>0.08</v>
      </c>
      <c r="D13773" s="84">
        <v>0.0</v>
      </c>
      <c r="E13773" s="84">
        <v>0.0</v>
      </c>
      <c r="F13773" s="76" t="s">
        <v>990</v>
      </c>
      <c r="G13773" s="83">
        <v>46123.0</v>
      </c>
      <c r="H13773" s="76" t="s">
        <v>936</v>
      </c>
    </row>
    <row r="13774">
      <c r="A13774" s="76" t="s">
        <v>45</v>
      </c>
      <c r="B13774" s="76" t="s">
        <v>1006</v>
      </c>
      <c r="C13774" s="84">
        <v>0.3</v>
      </c>
      <c r="D13774" s="84">
        <v>0.0</v>
      </c>
      <c r="E13774" s="84">
        <v>0.0</v>
      </c>
      <c r="F13774" s="76" t="s">
        <v>990</v>
      </c>
      <c r="G13774" s="83">
        <v>46123.0</v>
      </c>
      <c r="H13774" s="76" t="s">
        <v>937</v>
      </c>
    </row>
    <row r="13775">
      <c r="A13775" s="76" t="s">
        <v>45</v>
      </c>
      <c r="B13775" s="76" t="s">
        <v>1006</v>
      </c>
      <c r="C13775" s="84">
        <v>0.26</v>
      </c>
      <c r="D13775" s="84">
        <v>0.0</v>
      </c>
      <c r="E13775" s="84">
        <v>0.0</v>
      </c>
      <c r="F13775" s="76" t="s">
        <v>990</v>
      </c>
      <c r="G13775" s="83">
        <v>46123.0</v>
      </c>
      <c r="H13775" s="76" t="s">
        <v>938</v>
      </c>
    </row>
    <row r="13776">
      <c r="A13776" s="76" t="s">
        <v>32</v>
      </c>
      <c r="B13776" s="76" t="s">
        <v>1006</v>
      </c>
      <c r="C13776" s="84">
        <v>1.4</v>
      </c>
      <c r="D13776" s="84">
        <v>0.0</v>
      </c>
      <c r="E13776" s="84">
        <v>0.0</v>
      </c>
      <c r="F13776" s="76" t="s">
        <v>990</v>
      </c>
      <c r="G13776" s="83">
        <v>46123.0</v>
      </c>
      <c r="H13776" s="76" t="s">
        <v>941</v>
      </c>
    </row>
    <row r="13777">
      <c r="A13777" s="76" t="s">
        <v>32</v>
      </c>
      <c r="B13777" s="76" t="s">
        <v>1006</v>
      </c>
      <c r="C13777" s="84">
        <v>0.29</v>
      </c>
      <c r="D13777" s="84">
        <v>0.0</v>
      </c>
      <c r="E13777" s="84">
        <v>0.0</v>
      </c>
      <c r="F13777" s="76" t="s">
        <v>990</v>
      </c>
      <c r="G13777" s="83">
        <v>46123.0</v>
      </c>
      <c r="H13777" s="76" t="s">
        <v>942</v>
      </c>
    </row>
    <row r="13778">
      <c r="A13778" s="76" t="s">
        <v>32</v>
      </c>
      <c r="B13778" s="76" t="s">
        <v>1006</v>
      </c>
      <c r="C13778" s="84">
        <v>1.54</v>
      </c>
      <c r="D13778" s="84">
        <v>0.0</v>
      </c>
      <c r="E13778" s="84">
        <v>0.0</v>
      </c>
      <c r="F13778" s="76" t="s">
        <v>990</v>
      </c>
      <c r="G13778" s="83">
        <v>46123.0</v>
      </c>
      <c r="H13778" s="76" t="s">
        <v>943</v>
      </c>
    </row>
    <row r="13779">
      <c r="A13779" s="76" t="s">
        <v>944</v>
      </c>
      <c r="B13779" s="76" t="s">
        <v>1006</v>
      </c>
      <c r="C13779" s="84">
        <v>0.8</v>
      </c>
      <c r="D13779" s="84">
        <v>0.0</v>
      </c>
      <c r="E13779" s="84">
        <v>0.0</v>
      </c>
      <c r="F13779" s="76" t="s">
        <v>990</v>
      </c>
      <c r="G13779" s="83">
        <v>46123.0</v>
      </c>
      <c r="H13779" s="76" t="s">
        <v>945</v>
      </c>
    </row>
    <row r="13780">
      <c r="A13780" s="76" t="s">
        <v>944</v>
      </c>
      <c r="B13780" s="76" t="s">
        <v>1006</v>
      </c>
      <c r="C13780" s="84">
        <v>0.16</v>
      </c>
      <c r="D13780" s="84">
        <v>0.0</v>
      </c>
      <c r="E13780" s="84">
        <v>0.0</v>
      </c>
      <c r="F13780" s="76" t="s">
        <v>990</v>
      </c>
      <c r="G13780" s="83">
        <v>46123.0</v>
      </c>
      <c r="H13780" s="76" t="s">
        <v>946</v>
      </c>
    </row>
    <row r="13781">
      <c r="A13781" s="76" t="s">
        <v>944</v>
      </c>
      <c r="B13781" s="76" t="s">
        <v>1006</v>
      </c>
      <c r="C13781" s="84">
        <v>0.78</v>
      </c>
      <c r="D13781" s="84">
        <v>0.0</v>
      </c>
      <c r="E13781" s="84">
        <v>0.0</v>
      </c>
      <c r="F13781" s="76" t="s">
        <v>990</v>
      </c>
      <c r="G13781" s="83">
        <v>46123.0</v>
      </c>
      <c r="H13781" s="76" t="s">
        <v>947</v>
      </c>
    </row>
    <row r="13782">
      <c r="A13782" s="76" t="s">
        <v>26</v>
      </c>
      <c r="B13782" s="76" t="s">
        <v>1006</v>
      </c>
      <c r="C13782" s="84">
        <v>0.14</v>
      </c>
      <c r="D13782" s="84">
        <v>0.0</v>
      </c>
      <c r="E13782" s="84">
        <v>0.0</v>
      </c>
      <c r="F13782" s="76" t="s">
        <v>990</v>
      </c>
      <c r="G13782" s="83">
        <v>46123.0</v>
      </c>
      <c r="H13782" s="76" t="s">
        <v>1012</v>
      </c>
    </row>
    <row r="13783">
      <c r="A13783" s="76" t="s">
        <v>26</v>
      </c>
      <c r="B13783" s="76" t="s">
        <v>1006</v>
      </c>
      <c r="C13783" s="84">
        <v>0.36</v>
      </c>
      <c r="D13783" s="84">
        <v>0.0</v>
      </c>
      <c r="E13783" s="84">
        <v>0.0</v>
      </c>
      <c r="F13783" s="76" t="s">
        <v>990</v>
      </c>
      <c r="G13783" s="83">
        <v>46123.0</v>
      </c>
      <c r="H13783" s="76" t="s">
        <v>1013</v>
      </c>
    </row>
    <row r="13784">
      <c r="A13784" s="76" t="s">
        <v>26</v>
      </c>
      <c r="B13784" s="76" t="s">
        <v>1006</v>
      </c>
      <c r="C13784" s="84">
        <v>1.29</v>
      </c>
      <c r="D13784" s="84">
        <v>0.0</v>
      </c>
      <c r="E13784" s="84">
        <v>0.0</v>
      </c>
      <c r="F13784" s="76" t="s">
        <v>990</v>
      </c>
      <c r="G13784" s="83">
        <v>46123.0</v>
      </c>
      <c r="H13784" s="76" t="s">
        <v>1014</v>
      </c>
    </row>
    <row r="13785">
      <c r="A13785" s="76" t="s">
        <v>36</v>
      </c>
      <c r="B13785" s="76" t="s">
        <v>1006</v>
      </c>
      <c r="C13785" s="84">
        <v>0.08</v>
      </c>
      <c r="D13785" s="84">
        <v>0.0</v>
      </c>
      <c r="E13785" s="84">
        <v>0.0</v>
      </c>
      <c r="F13785" s="76" t="s">
        <v>993</v>
      </c>
      <c r="G13785" s="83">
        <v>46123.0</v>
      </c>
      <c r="H13785" s="76" t="s">
        <v>926</v>
      </c>
    </row>
    <row r="13786">
      <c r="A13786" s="76" t="s">
        <v>36</v>
      </c>
      <c r="B13786" s="76" t="s">
        <v>1006</v>
      </c>
      <c r="C13786" s="84">
        <v>0.02</v>
      </c>
      <c r="D13786" s="84">
        <v>0.0</v>
      </c>
      <c r="E13786" s="84">
        <v>0.0</v>
      </c>
      <c r="F13786" s="76" t="s">
        <v>993</v>
      </c>
      <c r="G13786" s="83">
        <v>46123.0</v>
      </c>
      <c r="H13786" s="76" t="s">
        <v>927</v>
      </c>
    </row>
    <row r="13787">
      <c r="A13787" s="76" t="s">
        <v>36</v>
      </c>
      <c r="B13787" s="76" t="s">
        <v>1006</v>
      </c>
      <c r="C13787" s="84">
        <v>0.13</v>
      </c>
      <c r="D13787" s="84">
        <v>0.0</v>
      </c>
      <c r="E13787" s="84">
        <v>0.0</v>
      </c>
      <c r="F13787" s="76" t="s">
        <v>993</v>
      </c>
      <c r="G13787" s="83">
        <v>46123.0</v>
      </c>
      <c r="H13787" s="76" t="s">
        <v>928</v>
      </c>
    </row>
    <row r="13788">
      <c r="A13788" s="76" t="s">
        <v>31</v>
      </c>
      <c r="B13788" s="76" t="s">
        <v>1006</v>
      </c>
      <c r="C13788" s="84">
        <v>0.09</v>
      </c>
      <c r="D13788" s="84">
        <v>0.0</v>
      </c>
      <c r="E13788" s="84">
        <v>0.0</v>
      </c>
      <c r="F13788" s="76" t="s">
        <v>993</v>
      </c>
      <c r="G13788" s="83">
        <v>46123.0</v>
      </c>
      <c r="H13788" s="76" t="s">
        <v>929</v>
      </c>
    </row>
    <row r="13789">
      <c r="A13789" s="76" t="s">
        <v>31</v>
      </c>
      <c r="B13789" s="76" t="s">
        <v>1006</v>
      </c>
      <c r="C13789" s="84">
        <v>0.16</v>
      </c>
      <c r="D13789" s="84">
        <v>0.0</v>
      </c>
      <c r="E13789" s="84">
        <v>0.0</v>
      </c>
      <c r="F13789" s="76" t="s">
        <v>993</v>
      </c>
      <c r="G13789" s="83">
        <v>46123.0</v>
      </c>
      <c r="H13789" s="76" t="s">
        <v>930</v>
      </c>
    </row>
    <row r="13790">
      <c r="A13790" s="76" t="s">
        <v>28</v>
      </c>
      <c r="B13790" s="76" t="s">
        <v>1006</v>
      </c>
      <c r="C13790" s="84">
        <v>0.04</v>
      </c>
      <c r="D13790" s="84">
        <v>0.0</v>
      </c>
      <c r="E13790" s="84">
        <v>0.0</v>
      </c>
      <c r="F13790" s="76" t="s">
        <v>993</v>
      </c>
      <c r="G13790" s="83">
        <v>46123.0</v>
      </c>
      <c r="H13790" s="76" t="s">
        <v>931</v>
      </c>
    </row>
    <row r="13791">
      <c r="A13791" s="76" t="s">
        <v>28</v>
      </c>
      <c r="B13791" s="76" t="s">
        <v>1006</v>
      </c>
      <c r="C13791" s="84">
        <v>0.06</v>
      </c>
      <c r="D13791" s="84">
        <v>0.0</v>
      </c>
      <c r="E13791" s="84">
        <v>0.0</v>
      </c>
      <c r="F13791" s="76" t="s">
        <v>993</v>
      </c>
      <c r="G13791" s="83">
        <v>46123.0</v>
      </c>
      <c r="H13791" s="76" t="s">
        <v>932</v>
      </c>
    </row>
    <row r="13792">
      <c r="A13792" s="76" t="s">
        <v>28</v>
      </c>
      <c r="B13792" s="76" t="s">
        <v>1006</v>
      </c>
      <c r="C13792" s="84">
        <v>0.05</v>
      </c>
      <c r="D13792" s="84">
        <v>0.0</v>
      </c>
      <c r="E13792" s="84">
        <v>0.0</v>
      </c>
      <c r="F13792" s="76" t="s">
        <v>993</v>
      </c>
      <c r="G13792" s="83">
        <v>46123.0</v>
      </c>
      <c r="H13792" s="76" t="s">
        <v>933</v>
      </c>
    </row>
    <row r="13793">
      <c r="A13793" s="76" t="s">
        <v>45</v>
      </c>
      <c r="B13793" s="76" t="s">
        <v>1006</v>
      </c>
      <c r="C13793" s="84">
        <v>0.03</v>
      </c>
      <c r="D13793" s="84">
        <v>0.0</v>
      </c>
      <c r="E13793" s="84">
        <v>0.0</v>
      </c>
      <c r="F13793" s="76" t="s">
        <v>993</v>
      </c>
      <c r="G13793" s="83">
        <v>46123.0</v>
      </c>
      <c r="H13793" s="76" t="s">
        <v>936</v>
      </c>
    </row>
    <row r="13794">
      <c r="A13794" s="76" t="s">
        <v>45</v>
      </c>
      <c r="B13794" s="76" t="s">
        <v>1006</v>
      </c>
      <c r="C13794" s="84">
        <v>0.1</v>
      </c>
      <c r="D13794" s="84">
        <v>0.0</v>
      </c>
      <c r="E13794" s="84">
        <v>0.0</v>
      </c>
      <c r="F13794" s="76" t="s">
        <v>993</v>
      </c>
      <c r="G13794" s="83">
        <v>46123.0</v>
      </c>
      <c r="H13794" s="76" t="s">
        <v>937</v>
      </c>
    </row>
    <row r="13795">
      <c r="A13795" s="76" t="s">
        <v>45</v>
      </c>
      <c r="B13795" s="76" t="s">
        <v>1006</v>
      </c>
      <c r="C13795" s="84">
        <v>0.03</v>
      </c>
      <c r="D13795" s="84">
        <v>0.0</v>
      </c>
      <c r="E13795" s="84">
        <v>0.0</v>
      </c>
      <c r="F13795" s="76" t="s">
        <v>993</v>
      </c>
      <c r="G13795" s="83">
        <v>46123.0</v>
      </c>
      <c r="H13795" s="76" t="s">
        <v>938</v>
      </c>
    </row>
    <row r="13796">
      <c r="A13796" s="76" t="s">
        <v>32</v>
      </c>
      <c r="B13796" s="76" t="s">
        <v>1006</v>
      </c>
      <c r="C13796" s="84">
        <v>0.43</v>
      </c>
      <c r="D13796" s="84">
        <v>0.0</v>
      </c>
      <c r="E13796" s="84">
        <v>0.0</v>
      </c>
      <c r="F13796" s="76" t="s">
        <v>993</v>
      </c>
      <c r="G13796" s="83">
        <v>46123.0</v>
      </c>
      <c r="H13796" s="76" t="s">
        <v>941</v>
      </c>
    </row>
    <row r="13797">
      <c r="A13797" s="76" t="s">
        <v>32</v>
      </c>
      <c r="B13797" s="76" t="s">
        <v>1006</v>
      </c>
      <c r="C13797" s="84">
        <v>0.06</v>
      </c>
      <c r="D13797" s="84">
        <v>0.0</v>
      </c>
      <c r="E13797" s="84">
        <v>0.0</v>
      </c>
      <c r="F13797" s="76" t="s">
        <v>993</v>
      </c>
      <c r="G13797" s="83">
        <v>46123.0</v>
      </c>
      <c r="H13797" s="76" t="s">
        <v>942</v>
      </c>
    </row>
    <row r="13798">
      <c r="A13798" s="76" t="s">
        <v>32</v>
      </c>
      <c r="B13798" s="76" t="s">
        <v>1006</v>
      </c>
      <c r="C13798" s="84">
        <v>0.12</v>
      </c>
      <c r="D13798" s="84">
        <v>0.0</v>
      </c>
      <c r="E13798" s="84">
        <v>0.0</v>
      </c>
      <c r="F13798" s="76" t="s">
        <v>993</v>
      </c>
      <c r="G13798" s="83">
        <v>46123.0</v>
      </c>
      <c r="H13798" s="76" t="s">
        <v>943</v>
      </c>
    </row>
    <row r="13799">
      <c r="A13799" s="76" t="s">
        <v>944</v>
      </c>
      <c r="B13799" s="76" t="s">
        <v>1006</v>
      </c>
      <c r="C13799" s="84">
        <v>0.05</v>
      </c>
      <c r="D13799" s="84">
        <v>0.0</v>
      </c>
      <c r="E13799" s="84">
        <v>0.0</v>
      </c>
      <c r="F13799" s="76" t="s">
        <v>993</v>
      </c>
      <c r="G13799" s="83">
        <v>46123.0</v>
      </c>
      <c r="H13799" s="76" t="s">
        <v>945</v>
      </c>
    </row>
    <row r="13800">
      <c r="A13800" s="76" t="s">
        <v>944</v>
      </c>
      <c r="B13800" s="76" t="s">
        <v>1006</v>
      </c>
      <c r="C13800" s="84">
        <v>0.03</v>
      </c>
      <c r="D13800" s="84">
        <v>0.0</v>
      </c>
      <c r="E13800" s="84">
        <v>0.0</v>
      </c>
      <c r="F13800" s="76" t="s">
        <v>993</v>
      </c>
      <c r="G13800" s="83">
        <v>46123.0</v>
      </c>
      <c r="H13800" s="76" t="s">
        <v>946</v>
      </c>
    </row>
    <row r="13801">
      <c r="A13801" s="76" t="s">
        <v>944</v>
      </c>
      <c r="B13801" s="76" t="s">
        <v>1006</v>
      </c>
      <c r="C13801" s="84">
        <v>0.25</v>
      </c>
      <c r="D13801" s="84">
        <v>0.0</v>
      </c>
      <c r="E13801" s="84">
        <v>0.0</v>
      </c>
      <c r="F13801" s="76" t="s">
        <v>993</v>
      </c>
      <c r="G13801" s="83">
        <v>46123.0</v>
      </c>
      <c r="H13801" s="76" t="s">
        <v>947</v>
      </c>
    </row>
    <row r="13802">
      <c r="A13802" s="76" t="s">
        <v>26</v>
      </c>
      <c r="B13802" s="76" t="s">
        <v>1006</v>
      </c>
      <c r="C13802" s="84">
        <v>0.06</v>
      </c>
      <c r="D13802" s="84">
        <v>0.0</v>
      </c>
      <c r="E13802" s="84">
        <v>0.0</v>
      </c>
      <c r="F13802" s="76" t="s">
        <v>993</v>
      </c>
      <c r="G13802" s="83">
        <v>46123.0</v>
      </c>
      <c r="H13802" s="76" t="s">
        <v>1012</v>
      </c>
    </row>
    <row r="13803">
      <c r="A13803" s="76" t="s">
        <v>26</v>
      </c>
      <c r="B13803" s="76" t="s">
        <v>1006</v>
      </c>
      <c r="C13803" s="84">
        <v>0.02</v>
      </c>
      <c r="D13803" s="84">
        <v>0.0</v>
      </c>
      <c r="E13803" s="84">
        <v>0.0</v>
      </c>
      <c r="F13803" s="76" t="s">
        <v>993</v>
      </c>
      <c r="G13803" s="83">
        <v>46123.0</v>
      </c>
      <c r="H13803" s="76" t="s">
        <v>1013</v>
      </c>
    </row>
    <row r="13804">
      <c r="A13804" s="76" t="s">
        <v>26</v>
      </c>
      <c r="B13804" s="76" t="s">
        <v>1006</v>
      </c>
      <c r="C13804" s="84">
        <v>0.34</v>
      </c>
      <c r="D13804" s="84">
        <v>0.0</v>
      </c>
      <c r="E13804" s="84">
        <v>0.0</v>
      </c>
      <c r="F13804" s="76" t="s">
        <v>993</v>
      </c>
      <c r="G13804" s="83">
        <v>46123.0</v>
      </c>
      <c r="H13804" s="76" t="s">
        <v>1014</v>
      </c>
    </row>
    <row r="13805">
      <c r="A13805" s="76" t="s">
        <v>36</v>
      </c>
      <c r="B13805" s="76" t="s">
        <v>1006</v>
      </c>
      <c r="C13805" s="84">
        <v>35.02</v>
      </c>
      <c r="D13805" s="84">
        <v>5.0</v>
      </c>
      <c r="E13805" s="84">
        <v>7.0</v>
      </c>
      <c r="F13805" s="76" t="s">
        <v>1005</v>
      </c>
      <c r="G13805" s="83">
        <v>46123.0</v>
      </c>
      <c r="H13805" s="76" t="s">
        <v>926</v>
      </c>
    </row>
    <row r="13806">
      <c r="A13806" s="76" t="s">
        <v>36</v>
      </c>
      <c r="B13806" s="76" t="s">
        <v>1006</v>
      </c>
      <c r="C13806" s="84">
        <v>3.96</v>
      </c>
      <c r="D13806" s="84">
        <v>2.0</v>
      </c>
      <c r="E13806" s="84">
        <v>1.98</v>
      </c>
      <c r="F13806" s="76" t="s">
        <v>1005</v>
      </c>
      <c r="G13806" s="83">
        <v>46123.0</v>
      </c>
      <c r="H13806" s="76" t="s">
        <v>927</v>
      </c>
    </row>
    <row r="13807">
      <c r="A13807" s="76" t="s">
        <v>36</v>
      </c>
      <c r="B13807" s="76" t="s">
        <v>1006</v>
      </c>
      <c r="C13807" s="84">
        <v>14.9</v>
      </c>
      <c r="D13807" s="84">
        <v>3.0</v>
      </c>
      <c r="E13807" s="84">
        <v>4.97</v>
      </c>
      <c r="F13807" s="76" t="s">
        <v>1005</v>
      </c>
      <c r="G13807" s="83">
        <v>46123.0</v>
      </c>
      <c r="H13807" s="76" t="s">
        <v>928</v>
      </c>
    </row>
    <row r="13808">
      <c r="A13808" s="76" t="s">
        <v>31</v>
      </c>
      <c r="B13808" s="76" t="s">
        <v>1006</v>
      </c>
      <c r="C13808" s="84">
        <v>9.24</v>
      </c>
      <c r="D13808" s="84">
        <v>3.0</v>
      </c>
      <c r="E13808" s="84">
        <v>3.08</v>
      </c>
      <c r="F13808" s="76" t="s">
        <v>1005</v>
      </c>
      <c r="G13808" s="83">
        <v>46123.0</v>
      </c>
      <c r="H13808" s="76" t="s">
        <v>929</v>
      </c>
    </row>
    <row r="13809">
      <c r="A13809" s="76" t="s">
        <v>31</v>
      </c>
      <c r="B13809" s="76" t="s">
        <v>1006</v>
      </c>
      <c r="C13809" s="84">
        <v>41.65</v>
      </c>
      <c r="D13809" s="84">
        <v>9.0</v>
      </c>
      <c r="E13809" s="84">
        <v>4.63</v>
      </c>
      <c r="F13809" s="76" t="s">
        <v>1005</v>
      </c>
      <c r="G13809" s="83">
        <v>46123.0</v>
      </c>
      <c r="H13809" s="76" t="s">
        <v>930</v>
      </c>
    </row>
    <row r="13810">
      <c r="A13810" s="76" t="s">
        <v>28</v>
      </c>
      <c r="B13810" s="76" t="s">
        <v>1006</v>
      </c>
      <c r="C13810" s="84">
        <v>2.6</v>
      </c>
      <c r="D13810" s="84">
        <v>1.0</v>
      </c>
      <c r="E13810" s="84">
        <v>2.6</v>
      </c>
      <c r="F13810" s="76" t="s">
        <v>1005</v>
      </c>
      <c r="G13810" s="83">
        <v>46123.0</v>
      </c>
      <c r="H13810" s="76" t="s">
        <v>931</v>
      </c>
    </row>
    <row r="13811">
      <c r="A13811" s="76" t="s">
        <v>28</v>
      </c>
      <c r="B13811" s="76" t="s">
        <v>1006</v>
      </c>
      <c r="C13811" s="84">
        <v>5.04</v>
      </c>
      <c r="D13811" s="84">
        <v>0.0</v>
      </c>
      <c r="E13811" s="84">
        <v>0.0</v>
      </c>
      <c r="F13811" s="76" t="s">
        <v>1005</v>
      </c>
      <c r="G13811" s="83">
        <v>46123.0</v>
      </c>
      <c r="H13811" s="76" t="s">
        <v>932</v>
      </c>
    </row>
    <row r="13812">
      <c r="A13812" s="76" t="s">
        <v>28</v>
      </c>
      <c r="B13812" s="76" t="s">
        <v>1006</v>
      </c>
      <c r="C13812" s="84">
        <v>50.58</v>
      </c>
      <c r="D13812" s="84">
        <v>9.0</v>
      </c>
      <c r="E13812" s="84">
        <v>5.62</v>
      </c>
      <c r="F13812" s="76" t="s">
        <v>1005</v>
      </c>
      <c r="G13812" s="83">
        <v>46123.0</v>
      </c>
      <c r="H13812" s="76" t="s">
        <v>933</v>
      </c>
    </row>
    <row r="13813">
      <c r="A13813" s="76" t="s">
        <v>45</v>
      </c>
      <c r="B13813" s="76" t="s">
        <v>1006</v>
      </c>
      <c r="C13813" s="84">
        <v>2.07</v>
      </c>
      <c r="D13813" s="84">
        <v>0.0</v>
      </c>
      <c r="E13813" s="84">
        <v>0.0</v>
      </c>
      <c r="F13813" s="76" t="s">
        <v>1005</v>
      </c>
      <c r="G13813" s="83">
        <v>46123.0</v>
      </c>
      <c r="H13813" s="76" t="s">
        <v>936</v>
      </c>
    </row>
    <row r="13814">
      <c r="A13814" s="76" t="s">
        <v>45</v>
      </c>
      <c r="B13814" s="76" t="s">
        <v>1006</v>
      </c>
      <c r="C13814" s="84">
        <v>10.73</v>
      </c>
      <c r="D13814" s="84">
        <v>0.0</v>
      </c>
      <c r="E13814" s="84">
        <v>0.0</v>
      </c>
      <c r="F13814" s="76" t="s">
        <v>1005</v>
      </c>
      <c r="G13814" s="83">
        <v>46123.0</v>
      </c>
      <c r="H13814" s="76" t="s">
        <v>937</v>
      </c>
    </row>
    <row r="13815">
      <c r="A13815" s="76" t="s">
        <v>45</v>
      </c>
      <c r="B13815" s="76" t="s">
        <v>1006</v>
      </c>
      <c r="C13815" s="84">
        <v>2.12</v>
      </c>
      <c r="D13815" s="84">
        <v>0.0</v>
      </c>
      <c r="E13815" s="84">
        <v>0.0</v>
      </c>
      <c r="F13815" s="76" t="s">
        <v>1005</v>
      </c>
      <c r="G13815" s="83">
        <v>46123.0</v>
      </c>
      <c r="H13815" s="76" t="s">
        <v>938</v>
      </c>
    </row>
    <row r="13816">
      <c r="A13816" s="76" t="s">
        <v>32</v>
      </c>
      <c r="B13816" s="76" t="s">
        <v>1006</v>
      </c>
      <c r="C13816" s="84">
        <v>812.74</v>
      </c>
      <c r="D13816" s="84">
        <v>169.0</v>
      </c>
      <c r="E13816" s="84">
        <v>4.81</v>
      </c>
      <c r="F13816" s="76" t="s">
        <v>1005</v>
      </c>
      <c r="G13816" s="83">
        <v>46123.0</v>
      </c>
      <c r="H13816" s="76" t="s">
        <v>941</v>
      </c>
    </row>
    <row r="13817">
      <c r="A13817" s="76" t="s">
        <v>32</v>
      </c>
      <c r="B13817" s="76" t="s">
        <v>1006</v>
      </c>
      <c r="C13817" s="84">
        <v>57.24</v>
      </c>
      <c r="D13817" s="84">
        <v>6.0</v>
      </c>
      <c r="E13817" s="84">
        <v>9.54</v>
      </c>
      <c r="F13817" s="76" t="s">
        <v>1005</v>
      </c>
      <c r="G13817" s="83">
        <v>46123.0</v>
      </c>
      <c r="H13817" s="76" t="s">
        <v>942</v>
      </c>
    </row>
    <row r="13818">
      <c r="A13818" s="76" t="s">
        <v>32</v>
      </c>
      <c r="B13818" s="76" t="s">
        <v>1006</v>
      </c>
      <c r="C13818" s="84">
        <v>194.09</v>
      </c>
      <c r="D13818" s="84">
        <v>34.0</v>
      </c>
      <c r="E13818" s="84">
        <v>5.71</v>
      </c>
      <c r="F13818" s="76" t="s">
        <v>1005</v>
      </c>
      <c r="G13818" s="83">
        <v>46123.0</v>
      </c>
      <c r="H13818" s="76" t="s">
        <v>943</v>
      </c>
    </row>
    <row r="13819">
      <c r="A13819" s="76" t="s">
        <v>944</v>
      </c>
      <c r="B13819" s="76" t="s">
        <v>1006</v>
      </c>
      <c r="C13819" s="84">
        <v>19.06</v>
      </c>
      <c r="D13819" s="84">
        <v>2.0</v>
      </c>
      <c r="E13819" s="84">
        <v>9.53</v>
      </c>
      <c r="F13819" s="76" t="s">
        <v>1005</v>
      </c>
      <c r="G13819" s="83">
        <v>46123.0</v>
      </c>
      <c r="H13819" s="76" t="s">
        <v>945</v>
      </c>
    </row>
    <row r="13820">
      <c r="A13820" s="76" t="s">
        <v>944</v>
      </c>
      <c r="B13820" s="76" t="s">
        <v>1006</v>
      </c>
      <c r="C13820" s="84">
        <v>3.07</v>
      </c>
      <c r="D13820" s="84">
        <v>2.0</v>
      </c>
      <c r="E13820" s="84">
        <v>1.53</v>
      </c>
      <c r="F13820" s="76" t="s">
        <v>1005</v>
      </c>
      <c r="G13820" s="83">
        <v>46123.0</v>
      </c>
      <c r="H13820" s="76" t="s">
        <v>946</v>
      </c>
    </row>
    <row r="13821">
      <c r="A13821" s="76" t="s">
        <v>944</v>
      </c>
      <c r="B13821" s="76" t="s">
        <v>1006</v>
      </c>
      <c r="C13821" s="84">
        <v>35.63</v>
      </c>
      <c r="D13821" s="84">
        <v>5.0</v>
      </c>
      <c r="E13821" s="84">
        <v>7.13</v>
      </c>
      <c r="F13821" s="76" t="s">
        <v>1005</v>
      </c>
      <c r="G13821" s="83">
        <v>46123.0</v>
      </c>
      <c r="H13821" s="76" t="s">
        <v>947</v>
      </c>
    </row>
    <row r="13822">
      <c r="A13822" s="76" t="s">
        <v>26</v>
      </c>
      <c r="B13822" s="76" t="s">
        <v>1006</v>
      </c>
      <c r="C13822" s="84">
        <v>2.87</v>
      </c>
      <c r="D13822" s="84">
        <v>0.0</v>
      </c>
      <c r="E13822" s="84">
        <v>0.0</v>
      </c>
      <c r="F13822" s="76" t="s">
        <v>1005</v>
      </c>
      <c r="G13822" s="83">
        <v>46123.0</v>
      </c>
      <c r="H13822" s="76" t="s">
        <v>1012</v>
      </c>
    </row>
    <row r="13823">
      <c r="A13823" s="76" t="s">
        <v>26</v>
      </c>
      <c r="B13823" s="76" t="s">
        <v>1006</v>
      </c>
      <c r="C13823" s="84">
        <v>3.21</v>
      </c>
      <c r="D13823" s="84">
        <v>0.0</v>
      </c>
      <c r="E13823" s="84">
        <v>0.0</v>
      </c>
      <c r="F13823" s="76" t="s">
        <v>1005</v>
      </c>
      <c r="G13823" s="83">
        <v>46123.0</v>
      </c>
      <c r="H13823" s="76" t="s">
        <v>1013</v>
      </c>
    </row>
    <row r="13824">
      <c r="A13824" s="76" t="s">
        <v>26</v>
      </c>
      <c r="B13824" s="76" t="s">
        <v>1006</v>
      </c>
      <c r="C13824" s="84">
        <v>107.31</v>
      </c>
      <c r="D13824" s="84">
        <v>17.0</v>
      </c>
      <c r="E13824" s="84">
        <v>6.31</v>
      </c>
      <c r="F13824" s="76" t="s">
        <v>1005</v>
      </c>
      <c r="G13824" s="83">
        <v>46123.0</v>
      </c>
      <c r="H13824" s="76" t="s">
        <v>1014</v>
      </c>
    </row>
    <row r="13825">
      <c r="A13825" s="76" t="s">
        <v>36</v>
      </c>
      <c r="B13825" s="76" t="s">
        <v>1006</v>
      </c>
      <c r="C13825" s="84">
        <v>0.59</v>
      </c>
      <c r="D13825" s="84">
        <v>0.0</v>
      </c>
      <c r="E13825" s="84">
        <v>0.0</v>
      </c>
      <c r="F13825" s="76" t="s">
        <v>996</v>
      </c>
      <c r="G13825" s="83">
        <v>46123.0</v>
      </c>
      <c r="H13825" s="76" t="s">
        <v>926</v>
      </c>
    </row>
    <row r="13826">
      <c r="A13826" s="76" t="s">
        <v>36</v>
      </c>
      <c r="B13826" s="76" t="s">
        <v>1006</v>
      </c>
      <c r="C13826" s="84">
        <v>0.1</v>
      </c>
      <c r="D13826" s="84">
        <v>0.0</v>
      </c>
      <c r="E13826" s="84">
        <v>0.0</v>
      </c>
      <c r="F13826" s="76" t="s">
        <v>996</v>
      </c>
      <c r="G13826" s="83">
        <v>46123.0</v>
      </c>
      <c r="H13826" s="76" t="s">
        <v>927</v>
      </c>
    </row>
    <row r="13827">
      <c r="A13827" s="76" t="s">
        <v>36</v>
      </c>
      <c r="B13827" s="76" t="s">
        <v>1006</v>
      </c>
      <c r="C13827" s="84">
        <v>0.67</v>
      </c>
      <c r="D13827" s="84">
        <v>0.0</v>
      </c>
      <c r="E13827" s="84">
        <v>0.0</v>
      </c>
      <c r="F13827" s="76" t="s">
        <v>996</v>
      </c>
      <c r="G13827" s="83">
        <v>46123.0</v>
      </c>
      <c r="H13827" s="76" t="s">
        <v>928</v>
      </c>
    </row>
    <row r="13828">
      <c r="A13828" s="76" t="s">
        <v>31</v>
      </c>
      <c r="B13828" s="76" t="s">
        <v>1006</v>
      </c>
      <c r="C13828" s="84">
        <v>0.36</v>
      </c>
      <c r="D13828" s="84">
        <v>0.0</v>
      </c>
      <c r="E13828" s="84">
        <v>0.0</v>
      </c>
      <c r="F13828" s="76" t="s">
        <v>996</v>
      </c>
      <c r="G13828" s="83">
        <v>46123.0</v>
      </c>
      <c r="H13828" s="76" t="s">
        <v>929</v>
      </c>
    </row>
    <row r="13829">
      <c r="A13829" s="76" t="s">
        <v>31</v>
      </c>
      <c r="B13829" s="76" t="s">
        <v>1006</v>
      </c>
      <c r="C13829" s="84">
        <v>2.57</v>
      </c>
      <c r="D13829" s="84">
        <v>2.0</v>
      </c>
      <c r="E13829" s="84">
        <v>1.29</v>
      </c>
      <c r="F13829" s="76" t="s">
        <v>996</v>
      </c>
      <c r="G13829" s="83">
        <v>46123.0</v>
      </c>
      <c r="H13829" s="76" t="s">
        <v>930</v>
      </c>
    </row>
    <row r="13830">
      <c r="A13830" s="76" t="s">
        <v>28</v>
      </c>
      <c r="B13830" s="76" t="s">
        <v>1006</v>
      </c>
      <c r="C13830" s="84">
        <v>0.21</v>
      </c>
      <c r="D13830" s="84">
        <v>0.0</v>
      </c>
      <c r="E13830" s="84">
        <v>0.0</v>
      </c>
      <c r="F13830" s="76" t="s">
        <v>996</v>
      </c>
      <c r="G13830" s="83">
        <v>46123.0</v>
      </c>
      <c r="H13830" s="76" t="s">
        <v>931</v>
      </c>
    </row>
    <row r="13831">
      <c r="A13831" s="76" t="s">
        <v>28</v>
      </c>
      <c r="B13831" s="76" t="s">
        <v>1006</v>
      </c>
      <c r="C13831" s="84">
        <v>0.28</v>
      </c>
      <c r="D13831" s="84">
        <v>0.0</v>
      </c>
      <c r="E13831" s="84">
        <v>0.0</v>
      </c>
      <c r="F13831" s="76" t="s">
        <v>996</v>
      </c>
      <c r="G13831" s="83">
        <v>46123.0</v>
      </c>
      <c r="H13831" s="76" t="s">
        <v>932</v>
      </c>
    </row>
    <row r="13832">
      <c r="A13832" s="76" t="s">
        <v>28</v>
      </c>
      <c r="B13832" s="76" t="s">
        <v>1006</v>
      </c>
      <c r="C13832" s="84">
        <v>0.52</v>
      </c>
      <c r="D13832" s="84">
        <v>0.0</v>
      </c>
      <c r="E13832" s="84">
        <v>0.0</v>
      </c>
      <c r="F13832" s="76" t="s">
        <v>996</v>
      </c>
      <c r="G13832" s="83">
        <v>46123.0</v>
      </c>
      <c r="H13832" s="76" t="s">
        <v>933</v>
      </c>
    </row>
    <row r="13833">
      <c r="A13833" s="76" t="s">
        <v>45</v>
      </c>
      <c r="B13833" s="76" t="s">
        <v>1006</v>
      </c>
      <c r="C13833" s="84">
        <v>0.11</v>
      </c>
      <c r="D13833" s="84">
        <v>0.0</v>
      </c>
      <c r="E13833" s="84">
        <v>0.0</v>
      </c>
      <c r="F13833" s="76" t="s">
        <v>996</v>
      </c>
      <c r="G13833" s="83">
        <v>46123.0</v>
      </c>
      <c r="H13833" s="76" t="s">
        <v>936</v>
      </c>
    </row>
    <row r="13834">
      <c r="A13834" s="76" t="s">
        <v>45</v>
      </c>
      <c r="B13834" s="76" t="s">
        <v>1006</v>
      </c>
      <c r="C13834" s="84">
        <v>0.47</v>
      </c>
      <c r="D13834" s="84">
        <v>0.0</v>
      </c>
      <c r="E13834" s="84">
        <v>0.0</v>
      </c>
      <c r="F13834" s="76" t="s">
        <v>996</v>
      </c>
      <c r="G13834" s="83">
        <v>46123.0</v>
      </c>
      <c r="H13834" s="76" t="s">
        <v>937</v>
      </c>
    </row>
    <row r="13835">
      <c r="A13835" s="76" t="s">
        <v>45</v>
      </c>
      <c r="B13835" s="76" t="s">
        <v>1006</v>
      </c>
      <c r="C13835" s="84">
        <v>0.08</v>
      </c>
      <c r="D13835" s="84">
        <v>0.0</v>
      </c>
      <c r="E13835" s="84">
        <v>0.0</v>
      </c>
      <c r="F13835" s="76" t="s">
        <v>996</v>
      </c>
      <c r="G13835" s="83">
        <v>46123.0</v>
      </c>
      <c r="H13835" s="76" t="s">
        <v>938</v>
      </c>
    </row>
    <row r="13836">
      <c r="A13836" s="76" t="s">
        <v>32</v>
      </c>
      <c r="B13836" s="76" t="s">
        <v>1006</v>
      </c>
      <c r="C13836" s="84">
        <v>2.13</v>
      </c>
      <c r="D13836" s="84">
        <v>0.0</v>
      </c>
      <c r="E13836" s="84">
        <v>0.0</v>
      </c>
      <c r="F13836" s="76" t="s">
        <v>996</v>
      </c>
      <c r="G13836" s="83">
        <v>46123.0</v>
      </c>
      <c r="H13836" s="76" t="s">
        <v>941</v>
      </c>
    </row>
    <row r="13837">
      <c r="A13837" s="76" t="s">
        <v>32</v>
      </c>
      <c r="B13837" s="76" t="s">
        <v>1006</v>
      </c>
      <c r="C13837" s="84">
        <v>0.16</v>
      </c>
      <c r="D13837" s="84">
        <v>0.0</v>
      </c>
      <c r="E13837" s="84">
        <v>0.0</v>
      </c>
      <c r="F13837" s="76" t="s">
        <v>996</v>
      </c>
      <c r="G13837" s="83">
        <v>46123.0</v>
      </c>
      <c r="H13837" s="76" t="s">
        <v>942</v>
      </c>
    </row>
    <row r="13838">
      <c r="A13838" s="76" t="s">
        <v>32</v>
      </c>
      <c r="B13838" s="76" t="s">
        <v>1006</v>
      </c>
      <c r="C13838" s="84">
        <v>0.98</v>
      </c>
      <c r="D13838" s="84">
        <v>1.0</v>
      </c>
      <c r="E13838" s="84">
        <v>0.98</v>
      </c>
      <c r="F13838" s="76" t="s">
        <v>996</v>
      </c>
      <c r="G13838" s="83">
        <v>46123.0</v>
      </c>
      <c r="H13838" s="76" t="s">
        <v>943</v>
      </c>
    </row>
    <row r="13839">
      <c r="A13839" s="76" t="s">
        <v>944</v>
      </c>
      <c r="B13839" s="76" t="s">
        <v>1006</v>
      </c>
      <c r="C13839" s="84">
        <v>0.51</v>
      </c>
      <c r="D13839" s="84">
        <v>1.0</v>
      </c>
      <c r="E13839" s="84">
        <v>0.51</v>
      </c>
      <c r="F13839" s="76" t="s">
        <v>996</v>
      </c>
      <c r="G13839" s="83">
        <v>46123.0</v>
      </c>
      <c r="H13839" s="76" t="s">
        <v>945</v>
      </c>
    </row>
    <row r="13840">
      <c r="A13840" s="76" t="s">
        <v>944</v>
      </c>
      <c r="B13840" s="76" t="s">
        <v>1006</v>
      </c>
      <c r="C13840" s="84">
        <v>0.2</v>
      </c>
      <c r="D13840" s="84">
        <v>0.0</v>
      </c>
      <c r="E13840" s="84">
        <v>0.0</v>
      </c>
      <c r="F13840" s="76" t="s">
        <v>996</v>
      </c>
      <c r="G13840" s="83">
        <v>46123.0</v>
      </c>
      <c r="H13840" s="76" t="s">
        <v>946</v>
      </c>
    </row>
    <row r="13841">
      <c r="A13841" s="76" t="s">
        <v>944</v>
      </c>
      <c r="B13841" s="76" t="s">
        <v>1006</v>
      </c>
      <c r="C13841" s="84">
        <v>1.85</v>
      </c>
      <c r="D13841" s="84">
        <v>0.0</v>
      </c>
      <c r="E13841" s="84">
        <v>0.0</v>
      </c>
      <c r="F13841" s="76" t="s">
        <v>996</v>
      </c>
      <c r="G13841" s="83">
        <v>46123.0</v>
      </c>
      <c r="H13841" s="76" t="s">
        <v>947</v>
      </c>
    </row>
    <row r="13842">
      <c r="A13842" s="76" t="s">
        <v>26</v>
      </c>
      <c r="B13842" s="76" t="s">
        <v>1006</v>
      </c>
      <c r="C13842" s="84">
        <v>0.26</v>
      </c>
      <c r="D13842" s="84">
        <v>0.0</v>
      </c>
      <c r="E13842" s="84">
        <v>0.0</v>
      </c>
      <c r="F13842" s="76" t="s">
        <v>996</v>
      </c>
      <c r="G13842" s="83">
        <v>46123.0</v>
      </c>
      <c r="H13842" s="76" t="s">
        <v>1012</v>
      </c>
    </row>
    <row r="13843">
      <c r="A13843" s="76" t="s">
        <v>26</v>
      </c>
      <c r="B13843" s="76" t="s">
        <v>1006</v>
      </c>
      <c r="C13843" s="84">
        <v>0.11</v>
      </c>
      <c r="D13843" s="84">
        <v>0.0</v>
      </c>
      <c r="E13843" s="84">
        <v>0.0</v>
      </c>
      <c r="F13843" s="76" t="s">
        <v>996</v>
      </c>
      <c r="G13843" s="83">
        <v>46123.0</v>
      </c>
      <c r="H13843" s="76" t="s">
        <v>1013</v>
      </c>
    </row>
    <row r="13844">
      <c r="A13844" s="76" t="s">
        <v>26</v>
      </c>
      <c r="B13844" s="76" t="s">
        <v>1006</v>
      </c>
      <c r="C13844" s="84">
        <v>2.72</v>
      </c>
      <c r="D13844" s="84">
        <v>0.0</v>
      </c>
      <c r="E13844" s="84">
        <v>0.0</v>
      </c>
      <c r="F13844" s="76" t="s">
        <v>996</v>
      </c>
      <c r="G13844" s="83">
        <v>46123.0</v>
      </c>
      <c r="H13844" s="76" t="s">
        <v>1014</v>
      </c>
    </row>
    <row r="13845">
      <c r="A13845" s="76" t="s">
        <v>36</v>
      </c>
      <c r="B13845" s="76" t="s">
        <v>1006</v>
      </c>
      <c r="C13845" s="84">
        <v>58.05</v>
      </c>
      <c r="D13845" s="84">
        <v>7.0</v>
      </c>
      <c r="E13845" s="84">
        <v>8.29</v>
      </c>
      <c r="F13845" s="76" t="s">
        <v>997</v>
      </c>
      <c r="G13845" s="83">
        <v>46123.0</v>
      </c>
      <c r="H13845" s="76" t="s">
        <v>926</v>
      </c>
    </row>
    <row r="13846">
      <c r="A13846" s="76" t="s">
        <v>36</v>
      </c>
      <c r="B13846" s="76" t="s">
        <v>1006</v>
      </c>
      <c r="C13846" s="84">
        <v>3.19</v>
      </c>
      <c r="D13846" s="84">
        <v>1.0</v>
      </c>
      <c r="E13846" s="84">
        <v>3.19</v>
      </c>
      <c r="F13846" s="76" t="s">
        <v>997</v>
      </c>
      <c r="G13846" s="83">
        <v>46123.0</v>
      </c>
      <c r="H13846" s="76" t="s">
        <v>927</v>
      </c>
    </row>
    <row r="13847">
      <c r="A13847" s="76" t="s">
        <v>36</v>
      </c>
      <c r="B13847" s="76" t="s">
        <v>1006</v>
      </c>
      <c r="C13847" s="84">
        <v>19.42</v>
      </c>
      <c r="D13847" s="84">
        <v>1.0</v>
      </c>
      <c r="E13847" s="84">
        <v>19.42</v>
      </c>
      <c r="F13847" s="76" t="s">
        <v>997</v>
      </c>
      <c r="G13847" s="83">
        <v>46123.0</v>
      </c>
      <c r="H13847" s="76" t="s">
        <v>928</v>
      </c>
    </row>
    <row r="13848">
      <c r="A13848" s="76" t="s">
        <v>31</v>
      </c>
      <c r="B13848" s="76" t="s">
        <v>1006</v>
      </c>
      <c r="C13848" s="84">
        <v>15.93</v>
      </c>
      <c r="D13848" s="84">
        <v>3.0</v>
      </c>
      <c r="E13848" s="84">
        <v>5.31</v>
      </c>
      <c r="F13848" s="76" t="s">
        <v>997</v>
      </c>
      <c r="G13848" s="83">
        <v>46123.0</v>
      </c>
      <c r="H13848" s="76" t="s">
        <v>929</v>
      </c>
    </row>
    <row r="13849">
      <c r="A13849" s="76" t="s">
        <v>31</v>
      </c>
      <c r="B13849" s="76" t="s">
        <v>1006</v>
      </c>
      <c r="C13849" s="84">
        <v>264.84</v>
      </c>
      <c r="D13849" s="84">
        <v>52.0</v>
      </c>
      <c r="E13849" s="84">
        <v>5.09</v>
      </c>
      <c r="F13849" s="76" t="s">
        <v>997</v>
      </c>
      <c r="G13849" s="83">
        <v>46123.0</v>
      </c>
      <c r="H13849" s="76" t="s">
        <v>930</v>
      </c>
    </row>
    <row r="13850">
      <c r="A13850" s="76" t="s">
        <v>28</v>
      </c>
      <c r="B13850" s="76" t="s">
        <v>1006</v>
      </c>
      <c r="C13850" s="84">
        <v>5.5</v>
      </c>
      <c r="D13850" s="84">
        <v>1.0</v>
      </c>
      <c r="E13850" s="84">
        <v>5.5</v>
      </c>
      <c r="F13850" s="76" t="s">
        <v>997</v>
      </c>
      <c r="G13850" s="83">
        <v>46123.0</v>
      </c>
      <c r="H13850" s="76" t="s">
        <v>931</v>
      </c>
    </row>
    <row r="13851">
      <c r="A13851" s="76" t="s">
        <v>28</v>
      </c>
      <c r="B13851" s="76" t="s">
        <v>1006</v>
      </c>
      <c r="C13851" s="84">
        <v>8.55</v>
      </c>
      <c r="D13851" s="84">
        <v>0.0</v>
      </c>
      <c r="E13851" s="84">
        <v>0.0</v>
      </c>
      <c r="F13851" s="76" t="s">
        <v>997</v>
      </c>
      <c r="G13851" s="83">
        <v>46123.0</v>
      </c>
      <c r="H13851" s="76" t="s">
        <v>932</v>
      </c>
    </row>
    <row r="13852">
      <c r="A13852" s="76" t="s">
        <v>28</v>
      </c>
      <c r="B13852" s="76" t="s">
        <v>1006</v>
      </c>
      <c r="C13852" s="84">
        <v>108.06</v>
      </c>
      <c r="D13852" s="84">
        <v>17.0</v>
      </c>
      <c r="E13852" s="84">
        <v>6.36</v>
      </c>
      <c r="F13852" s="76" t="s">
        <v>997</v>
      </c>
      <c r="G13852" s="83">
        <v>46123.0</v>
      </c>
      <c r="H13852" s="76" t="s">
        <v>933</v>
      </c>
    </row>
    <row r="13853">
      <c r="A13853" s="76" t="s">
        <v>45</v>
      </c>
      <c r="B13853" s="76" t="s">
        <v>1006</v>
      </c>
      <c r="C13853" s="84">
        <v>3.25</v>
      </c>
      <c r="D13853" s="84">
        <v>4.0</v>
      </c>
      <c r="E13853" s="84">
        <v>0.81</v>
      </c>
      <c r="F13853" s="76" t="s">
        <v>997</v>
      </c>
      <c r="G13853" s="83">
        <v>46123.0</v>
      </c>
      <c r="H13853" s="76" t="s">
        <v>936</v>
      </c>
    </row>
    <row r="13854">
      <c r="A13854" s="76" t="s">
        <v>45</v>
      </c>
      <c r="B13854" s="76" t="s">
        <v>1006</v>
      </c>
      <c r="C13854" s="84">
        <v>16.37</v>
      </c>
      <c r="D13854" s="84">
        <v>3.0</v>
      </c>
      <c r="E13854" s="84">
        <v>5.46</v>
      </c>
      <c r="F13854" s="76" t="s">
        <v>997</v>
      </c>
      <c r="G13854" s="83">
        <v>46123.0</v>
      </c>
      <c r="H13854" s="76" t="s">
        <v>937</v>
      </c>
    </row>
    <row r="13855">
      <c r="A13855" s="76" t="s">
        <v>45</v>
      </c>
      <c r="B13855" s="76" t="s">
        <v>1006</v>
      </c>
      <c r="C13855" s="84">
        <v>3.85</v>
      </c>
      <c r="D13855" s="84">
        <v>0.0</v>
      </c>
      <c r="E13855" s="84">
        <v>0.0</v>
      </c>
      <c r="F13855" s="76" t="s">
        <v>997</v>
      </c>
      <c r="G13855" s="83">
        <v>46123.0</v>
      </c>
      <c r="H13855" s="76" t="s">
        <v>938</v>
      </c>
    </row>
    <row r="13856">
      <c r="A13856" s="76" t="s">
        <v>32</v>
      </c>
      <c r="B13856" s="76" t="s">
        <v>1006</v>
      </c>
      <c r="C13856" s="84">
        <v>337.48</v>
      </c>
      <c r="D13856" s="84">
        <v>61.0</v>
      </c>
      <c r="E13856" s="84">
        <v>5.53</v>
      </c>
      <c r="F13856" s="76" t="s">
        <v>997</v>
      </c>
      <c r="G13856" s="83">
        <v>46123.0</v>
      </c>
      <c r="H13856" s="76" t="s">
        <v>941</v>
      </c>
    </row>
    <row r="13857">
      <c r="A13857" s="76" t="s">
        <v>32</v>
      </c>
      <c r="B13857" s="76" t="s">
        <v>1006</v>
      </c>
      <c r="C13857" s="84">
        <v>19.78</v>
      </c>
      <c r="D13857" s="84">
        <v>6.0</v>
      </c>
      <c r="E13857" s="84">
        <v>3.3</v>
      </c>
      <c r="F13857" s="76" t="s">
        <v>997</v>
      </c>
      <c r="G13857" s="83">
        <v>46123.0</v>
      </c>
      <c r="H13857" s="76" t="s">
        <v>942</v>
      </c>
    </row>
    <row r="13858">
      <c r="A13858" s="76" t="s">
        <v>32</v>
      </c>
      <c r="B13858" s="76" t="s">
        <v>1006</v>
      </c>
      <c r="C13858" s="84">
        <v>128.86</v>
      </c>
      <c r="D13858" s="84">
        <v>12.0</v>
      </c>
      <c r="E13858" s="84">
        <v>10.74</v>
      </c>
      <c r="F13858" s="76" t="s">
        <v>997</v>
      </c>
      <c r="G13858" s="83">
        <v>46123.0</v>
      </c>
      <c r="H13858" s="76" t="s">
        <v>943</v>
      </c>
    </row>
    <row r="13859">
      <c r="A13859" s="76" t="s">
        <v>944</v>
      </c>
      <c r="B13859" s="76" t="s">
        <v>1006</v>
      </c>
      <c r="C13859" s="84">
        <v>43.93</v>
      </c>
      <c r="D13859" s="84">
        <v>4.0</v>
      </c>
      <c r="E13859" s="84">
        <v>10.98</v>
      </c>
      <c r="F13859" s="76" t="s">
        <v>997</v>
      </c>
      <c r="G13859" s="83">
        <v>46123.0</v>
      </c>
      <c r="H13859" s="76" t="s">
        <v>945</v>
      </c>
    </row>
    <row r="13860">
      <c r="A13860" s="76" t="s">
        <v>944</v>
      </c>
      <c r="B13860" s="76" t="s">
        <v>1006</v>
      </c>
      <c r="C13860" s="84">
        <v>5.6</v>
      </c>
      <c r="D13860" s="84">
        <v>0.0</v>
      </c>
      <c r="E13860" s="84">
        <v>0.0</v>
      </c>
      <c r="F13860" s="76" t="s">
        <v>997</v>
      </c>
      <c r="G13860" s="83">
        <v>46123.0</v>
      </c>
      <c r="H13860" s="76" t="s">
        <v>946</v>
      </c>
    </row>
    <row r="13861">
      <c r="A13861" s="76" t="s">
        <v>944</v>
      </c>
      <c r="B13861" s="76" t="s">
        <v>1006</v>
      </c>
      <c r="C13861" s="84">
        <v>50.91</v>
      </c>
      <c r="D13861" s="84">
        <v>16.0</v>
      </c>
      <c r="E13861" s="84">
        <v>3.18</v>
      </c>
      <c r="F13861" s="76" t="s">
        <v>997</v>
      </c>
      <c r="G13861" s="83">
        <v>46123.0</v>
      </c>
      <c r="H13861" s="76" t="s">
        <v>947</v>
      </c>
    </row>
    <row r="13862">
      <c r="A13862" s="76" t="s">
        <v>26</v>
      </c>
      <c r="B13862" s="76" t="s">
        <v>1006</v>
      </c>
      <c r="C13862" s="84">
        <v>4.96</v>
      </c>
      <c r="D13862" s="84">
        <v>0.0</v>
      </c>
      <c r="E13862" s="84">
        <v>0.0</v>
      </c>
      <c r="F13862" s="76" t="s">
        <v>997</v>
      </c>
      <c r="G13862" s="83">
        <v>46123.0</v>
      </c>
      <c r="H13862" s="76" t="s">
        <v>1012</v>
      </c>
    </row>
    <row r="13863">
      <c r="A13863" s="76" t="s">
        <v>26</v>
      </c>
      <c r="B13863" s="76" t="s">
        <v>1006</v>
      </c>
      <c r="C13863" s="84">
        <v>7.53</v>
      </c>
      <c r="D13863" s="84">
        <v>0.0</v>
      </c>
      <c r="E13863" s="84">
        <v>0.0</v>
      </c>
      <c r="F13863" s="76" t="s">
        <v>997</v>
      </c>
      <c r="G13863" s="83">
        <v>46123.0</v>
      </c>
      <c r="H13863" s="76" t="s">
        <v>1013</v>
      </c>
    </row>
    <row r="13864">
      <c r="A13864" s="76" t="s">
        <v>26</v>
      </c>
      <c r="B13864" s="76" t="s">
        <v>1006</v>
      </c>
      <c r="C13864" s="84">
        <v>147.13</v>
      </c>
      <c r="D13864" s="84">
        <v>32.0</v>
      </c>
      <c r="E13864" s="84">
        <v>4.6</v>
      </c>
      <c r="F13864" s="76" t="s">
        <v>997</v>
      </c>
      <c r="G13864" s="83">
        <v>46123.0</v>
      </c>
      <c r="H13864" s="76" t="s">
        <v>1014</v>
      </c>
    </row>
    <row r="13865">
      <c r="A13865" s="76" t="s">
        <v>36</v>
      </c>
      <c r="B13865" s="76" t="s">
        <v>1006</v>
      </c>
      <c r="C13865" s="84">
        <v>6.19</v>
      </c>
      <c r="D13865" s="84">
        <v>0.0</v>
      </c>
      <c r="E13865" s="84">
        <v>0.0</v>
      </c>
      <c r="F13865" s="76" t="s">
        <v>998</v>
      </c>
      <c r="G13865" s="83">
        <v>46123.0</v>
      </c>
      <c r="H13865" s="76" t="s">
        <v>926</v>
      </c>
    </row>
    <row r="13866">
      <c r="A13866" s="76" t="s">
        <v>36</v>
      </c>
      <c r="B13866" s="76" t="s">
        <v>1006</v>
      </c>
      <c r="C13866" s="84">
        <v>0.47</v>
      </c>
      <c r="D13866" s="84">
        <v>0.0</v>
      </c>
      <c r="E13866" s="84">
        <v>0.0</v>
      </c>
      <c r="F13866" s="76" t="s">
        <v>998</v>
      </c>
      <c r="G13866" s="83">
        <v>46123.0</v>
      </c>
      <c r="H13866" s="76" t="s">
        <v>927</v>
      </c>
    </row>
    <row r="13867">
      <c r="A13867" s="76" t="s">
        <v>36</v>
      </c>
      <c r="B13867" s="76" t="s">
        <v>1006</v>
      </c>
      <c r="C13867" s="84">
        <v>2.0</v>
      </c>
      <c r="D13867" s="84">
        <v>0.0</v>
      </c>
      <c r="E13867" s="84">
        <v>0.0</v>
      </c>
      <c r="F13867" s="76" t="s">
        <v>998</v>
      </c>
      <c r="G13867" s="83">
        <v>46123.0</v>
      </c>
      <c r="H13867" s="76" t="s">
        <v>928</v>
      </c>
    </row>
    <row r="13868">
      <c r="A13868" s="76" t="s">
        <v>31</v>
      </c>
      <c r="B13868" s="76" t="s">
        <v>1006</v>
      </c>
      <c r="C13868" s="84">
        <v>1.48</v>
      </c>
      <c r="D13868" s="84">
        <v>0.0</v>
      </c>
      <c r="E13868" s="84">
        <v>0.0</v>
      </c>
      <c r="F13868" s="76" t="s">
        <v>998</v>
      </c>
      <c r="G13868" s="83">
        <v>46123.0</v>
      </c>
      <c r="H13868" s="76" t="s">
        <v>929</v>
      </c>
    </row>
    <row r="13869">
      <c r="A13869" s="76" t="s">
        <v>31</v>
      </c>
      <c r="B13869" s="76" t="s">
        <v>1006</v>
      </c>
      <c r="C13869" s="84">
        <v>21.29</v>
      </c>
      <c r="D13869" s="84">
        <v>3.0</v>
      </c>
      <c r="E13869" s="84">
        <v>7.1</v>
      </c>
      <c r="F13869" s="76" t="s">
        <v>998</v>
      </c>
      <c r="G13869" s="83">
        <v>46123.0</v>
      </c>
      <c r="H13869" s="76" t="s">
        <v>930</v>
      </c>
    </row>
    <row r="13870">
      <c r="A13870" s="76" t="s">
        <v>28</v>
      </c>
      <c r="B13870" s="76" t="s">
        <v>1006</v>
      </c>
      <c r="C13870" s="84">
        <v>1.0</v>
      </c>
      <c r="D13870" s="84">
        <v>0.0</v>
      </c>
      <c r="E13870" s="84">
        <v>0.0</v>
      </c>
      <c r="F13870" s="76" t="s">
        <v>998</v>
      </c>
      <c r="G13870" s="83">
        <v>46123.0</v>
      </c>
      <c r="H13870" s="76" t="s">
        <v>931</v>
      </c>
    </row>
    <row r="13871">
      <c r="A13871" s="76" t="s">
        <v>28</v>
      </c>
      <c r="B13871" s="76" t="s">
        <v>1006</v>
      </c>
      <c r="C13871" s="84">
        <v>0.78</v>
      </c>
      <c r="D13871" s="84">
        <v>0.0</v>
      </c>
      <c r="E13871" s="84">
        <v>0.0</v>
      </c>
      <c r="F13871" s="76" t="s">
        <v>998</v>
      </c>
      <c r="G13871" s="83">
        <v>46123.0</v>
      </c>
      <c r="H13871" s="76" t="s">
        <v>932</v>
      </c>
    </row>
    <row r="13872">
      <c r="A13872" s="76" t="s">
        <v>28</v>
      </c>
      <c r="B13872" s="76" t="s">
        <v>1006</v>
      </c>
      <c r="C13872" s="84">
        <v>6.71</v>
      </c>
      <c r="D13872" s="84">
        <v>1.0</v>
      </c>
      <c r="E13872" s="84">
        <v>6.71</v>
      </c>
      <c r="F13872" s="76" t="s">
        <v>998</v>
      </c>
      <c r="G13872" s="83">
        <v>46123.0</v>
      </c>
      <c r="H13872" s="76" t="s">
        <v>933</v>
      </c>
    </row>
    <row r="13873">
      <c r="A13873" s="76" t="s">
        <v>45</v>
      </c>
      <c r="B13873" s="76" t="s">
        <v>1006</v>
      </c>
      <c r="C13873" s="84">
        <v>0.62</v>
      </c>
      <c r="D13873" s="84">
        <v>0.0</v>
      </c>
      <c r="E13873" s="84">
        <v>0.0</v>
      </c>
      <c r="F13873" s="76" t="s">
        <v>998</v>
      </c>
      <c r="G13873" s="83">
        <v>46123.0</v>
      </c>
      <c r="H13873" s="76" t="s">
        <v>936</v>
      </c>
    </row>
    <row r="13874">
      <c r="A13874" s="76" t="s">
        <v>45</v>
      </c>
      <c r="B13874" s="76" t="s">
        <v>1006</v>
      </c>
      <c r="C13874" s="84">
        <v>1.74</v>
      </c>
      <c r="D13874" s="84">
        <v>0.0</v>
      </c>
      <c r="E13874" s="84">
        <v>0.0</v>
      </c>
      <c r="F13874" s="76" t="s">
        <v>998</v>
      </c>
      <c r="G13874" s="83">
        <v>46123.0</v>
      </c>
      <c r="H13874" s="76" t="s">
        <v>937</v>
      </c>
    </row>
    <row r="13875">
      <c r="A13875" s="76" t="s">
        <v>45</v>
      </c>
      <c r="B13875" s="76" t="s">
        <v>1006</v>
      </c>
      <c r="C13875" s="84">
        <v>0.59</v>
      </c>
      <c r="D13875" s="84">
        <v>0.0</v>
      </c>
      <c r="E13875" s="84">
        <v>0.0</v>
      </c>
      <c r="F13875" s="76" t="s">
        <v>998</v>
      </c>
      <c r="G13875" s="83">
        <v>46123.0</v>
      </c>
      <c r="H13875" s="76" t="s">
        <v>938</v>
      </c>
    </row>
    <row r="13876">
      <c r="A13876" s="76" t="s">
        <v>32</v>
      </c>
      <c r="B13876" s="76" t="s">
        <v>1006</v>
      </c>
      <c r="C13876" s="84">
        <v>22.94</v>
      </c>
      <c r="D13876" s="84">
        <v>1.0</v>
      </c>
      <c r="E13876" s="84">
        <v>22.94</v>
      </c>
      <c r="F13876" s="76" t="s">
        <v>998</v>
      </c>
      <c r="G13876" s="83">
        <v>46123.0</v>
      </c>
      <c r="H13876" s="76" t="s">
        <v>941</v>
      </c>
    </row>
    <row r="13877">
      <c r="A13877" s="76" t="s">
        <v>32</v>
      </c>
      <c r="B13877" s="76" t="s">
        <v>1006</v>
      </c>
      <c r="C13877" s="84">
        <v>0.72</v>
      </c>
      <c r="D13877" s="84">
        <v>1.0</v>
      </c>
      <c r="E13877" s="84">
        <v>0.72</v>
      </c>
      <c r="F13877" s="76" t="s">
        <v>998</v>
      </c>
      <c r="G13877" s="83">
        <v>46123.0</v>
      </c>
      <c r="H13877" s="76" t="s">
        <v>942</v>
      </c>
    </row>
    <row r="13878">
      <c r="A13878" s="76" t="s">
        <v>32</v>
      </c>
      <c r="B13878" s="76" t="s">
        <v>1006</v>
      </c>
      <c r="C13878" s="84">
        <v>7.8</v>
      </c>
      <c r="D13878" s="84">
        <v>0.0</v>
      </c>
      <c r="E13878" s="84">
        <v>0.0</v>
      </c>
      <c r="F13878" s="76" t="s">
        <v>998</v>
      </c>
      <c r="G13878" s="83">
        <v>46123.0</v>
      </c>
      <c r="H13878" s="76" t="s">
        <v>943</v>
      </c>
    </row>
    <row r="13879">
      <c r="A13879" s="76" t="s">
        <v>944</v>
      </c>
      <c r="B13879" s="76" t="s">
        <v>1006</v>
      </c>
      <c r="C13879" s="84">
        <v>4.13</v>
      </c>
      <c r="D13879" s="84">
        <v>1.0</v>
      </c>
      <c r="E13879" s="84">
        <v>4.13</v>
      </c>
      <c r="F13879" s="76" t="s">
        <v>998</v>
      </c>
      <c r="G13879" s="83">
        <v>46123.0</v>
      </c>
      <c r="H13879" s="76" t="s">
        <v>945</v>
      </c>
    </row>
    <row r="13880">
      <c r="A13880" s="76" t="s">
        <v>944</v>
      </c>
      <c r="B13880" s="76" t="s">
        <v>1006</v>
      </c>
      <c r="C13880" s="84">
        <v>0.41</v>
      </c>
      <c r="D13880" s="84">
        <v>1.0</v>
      </c>
      <c r="E13880" s="84">
        <v>0.41</v>
      </c>
      <c r="F13880" s="76" t="s">
        <v>998</v>
      </c>
      <c r="G13880" s="83">
        <v>46123.0</v>
      </c>
      <c r="H13880" s="76" t="s">
        <v>946</v>
      </c>
    </row>
    <row r="13881">
      <c r="A13881" s="76" t="s">
        <v>944</v>
      </c>
      <c r="B13881" s="76" t="s">
        <v>1006</v>
      </c>
      <c r="C13881" s="84">
        <v>9.85</v>
      </c>
      <c r="D13881" s="84">
        <v>1.0</v>
      </c>
      <c r="E13881" s="84">
        <v>9.85</v>
      </c>
      <c r="F13881" s="76" t="s">
        <v>998</v>
      </c>
      <c r="G13881" s="83">
        <v>46123.0</v>
      </c>
      <c r="H13881" s="76" t="s">
        <v>947</v>
      </c>
    </row>
    <row r="13882">
      <c r="A13882" s="76" t="s">
        <v>26</v>
      </c>
      <c r="B13882" s="76" t="s">
        <v>1006</v>
      </c>
      <c r="C13882" s="84">
        <v>0.94</v>
      </c>
      <c r="D13882" s="84">
        <v>0.0</v>
      </c>
      <c r="E13882" s="84">
        <v>0.0</v>
      </c>
      <c r="F13882" s="76" t="s">
        <v>998</v>
      </c>
      <c r="G13882" s="83">
        <v>46123.0</v>
      </c>
      <c r="H13882" s="76" t="s">
        <v>1012</v>
      </c>
    </row>
    <row r="13883">
      <c r="A13883" s="76" t="s">
        <v>26</v>
      </c>
      <c r="B13883" s="76" t="s">
        <v>1006</v>
      </c>
      <c r="C13883" s="84">
        <v>1.6</v>
      </c>
      <c r="D13883" s="84">
        <v>1.0</v>
      </c>
      <c r="E13883" s="84">
        <v>1.6</v>
      </c>
      <c r="F13883" s="76" t="s">
        <v>998</v>
      </c>
      <c r="G13883" s="83">
        <v>46123.0</v>
      </c>
      <c r="H13883" s="76" t="s">
        <v>1013</v>
      </c>
    </row>
    <row r="13884">
      <c r="A13884" s="76" t="s">
        <v>26</v>
      </c>
      <c r="B13884" s="76" t="s">
        <v>1006</v>
      </c>
      <c r="C13884" s="84">
        <v>11.53</v>
      </c>
      <c r="D13884" s="84">
        <v>0.0</v>
      </c>
      <c r="E13884" s="84">
        <v>0.0</v>
      </c>
      <c r="F13884" s="76" t="s">
        <v>998</v>
      </c>
      <c r="G13884" s="83">
        <v>46123.0</v>
      </c>
      <c r="H13884" s="76" t="s">
        <v>1014</v>
      </c>
    </row>
    <row r="13885">
      <c r="A13885" s="76" t="s">
        <v>40</v>
      </c>
      <c r="B13885" s="76" t="s">
        <v>1039</v>
      </c>
      <c r="C13885" s="84">
        <v>5.5</v>
      </c>
      <c r="D13885" s="84">
        <v>1.0</v>
      </c>
      <c r="E13885" s="84">
        <v>5.5</v>
      </c>
      <c r="F13885" s="76" t="s">
        <v>1005</v>
      </c>
      <c r="G13885" s="83">
        <v>46123.0</v>
      </c>
      <c r="H13885" s="76" t="s">
        <v>954</v>
      </c>
    </row>
    <row r="13886">
      <c r="A13886" s="76" t="s">
        <v>40</v>
      </c>
      <c r="B13886" s="76" t="s">
        <v>1039</v>
      </c>
      <c r="C13886" s="84">
        <v>2.36</v>
      </c>
      <c r="D13886" s="84">
        <v>0.0</v>
      </c>
      <c r="E13886" s="84">
        <v>0.0</v>
      </c>
      <c r="F13886" s="76" t="s">
        <v>1005</v>
      </c>
      <c r="G13886" s="83">
        <v>46123.0</v>
      </c>
      <c r="H13886" s="76" t="s">
        <v>955</v>
      </c>
    </row>
    <row r="13887">
      <c r="A13887" s="76" t="s">
        <v>40</v>
      </c>
      <c r="B13887" s="76" t="s">
        <v>1039</v>
      </c>
      <c r="C13887" s="84">
        <v>153.35</v>
      </c>
      <c r="D13887" s="84">
        <v>21.0</v>
      </c>
      <c r="E13887" s="84">
        <v>7.3</v>
      </c>
      <c r="F13887" s="76" t="s">
        <v>1005</v>
      </c>
      <c r="G13887" s="83">
        <v>46123.0</v>
      </c>
      <c r="H13887" s="76" t="s">
        <v>956</v>
      </c>
    </row>
    <row r="13888">
      <c r="A13888" s="76" t="s">
        <v>36</v>
      </c>
      <c r="B13888" s="76" t="s">
        <v>1039</v>
      </c>
      <c r="C13888" s="84">
        <v>39.51</v>
      </c>
      <c r="D13888" s="84">
        <v>6.0</v>
      </c>
      <c r="E13888" s="84">
        <v>6.58</v>
      </c>
      <c r="F13888" s="76" t="s">
        <v>1005</v>
      </c>
      <c r="G13888" s="83">
        <v>46123.0</v>
      </c>
      <c r="H13888" s="76" t="s">
        <v>926</v>
      </c>
    </row>
    <row r="13889">
      <c r="A13889" s="76" t="s">
        <v>36</v>
      </c>
      <c r="B13889" s="76" t="s">
        <v>1039</v>
      </c>
      <c r="C13889" s="84">
        <v>4.1</v>
      </c>
      <c r="D13889" s="84">
        <v>1.0</v>
      </c>
      <c r="E13889" s="84">
        <v>4.1</v>
      </c>
      <c r="F13889" s="76" t="s">
        <v>1005</v>
      </c>
      <c r="G13889" s="83">
        <v>46123.0</v>
      </c>
      <c r="H13889" s="76" t="s">
        <v>927</v>
      </c>
    </row>
    <row r="13890">
      <c r="A13890" s="76" t="s">
        <v>36</v>
      </c>
      <c r="B13890" s="76" t="s">
        <v>1039</v>
      </c>
      <c r="C13890" s="84">
        <v>10.66</v>
      </c>
      <c r="D13890" s="84">
        <v>3.0</v>
      </c>
      <c r="E13890" s="84">
        <v>3.55</v>
      </c>
      <c r="F13890" s="76" t="s">
        <v>1005</v>
      </c>
      <c r="G13890" s="83">
        <v>46123.0</v>
      </c>
      <c r="H13890" s="76" t="s">
        <v>928</v>
      </c>
    </row>
    <row r="13891">
      <c r="A13891" s="76" t="s">
        <v>46</v>
      </c>
      <c r="B13891" s="76" t="s">
        <v>1039</v>
      </c>
      <c r="C13891" s="84">
        <v>1.44</v>
      </c>
      <c r="D13891" s="84">
        <v>0.0</v>
      </c>
      <c r="E13891" s="84">
        <v>0.0</v>
      </c>
      <c r="F13891" s="76" t="s">
        <v>1005</v>
      </c>
      <c r="G13891" s="83">
        <v>46123.0</v>
      </c>
      <c r="H13891" s="76" t="s">
        <v>960</v>
      </c>
    </row>
    <row r="13892">
      <c r="A13892" s="76" t="s">
        <v>46</v>
      </c>
      <c r="B13892" s="76" t="s">
        <v>1039</v>
      </c>
      <c r="C13892" s="84">
        <v>3.29</v>
      </c>
      <c r="D13892" s="84">
        <v>0.0</v>
      </c>
      <c r="E13892" s="84">
        <v>0.0</v>
      </c>
      <c r="F13892" s="76" t="s">
        <v>1005</v>
      </c>
      <c r="G13892" s="83">
        <v>46123.0</v>
      </c>
      <c r="H13892" s="76" t="s">
        <v>961</v>
      </c>
    </row>
    <row r="13893">
      <c r="A13893" s="76" t="s">
        <v>46</v>
      </c>
      <c r="B13893" s="76" t="s">
        <v>1039</v>
      </c>
      <c r="C13893" s="84">
        <v>4.16</v>
      </c>
      <c r="D13893" s="84">
        <v>2.0</v>
      </c>
      <c r="E13893" s="84">
        <v>2.08</v>
      </c>
      <c r="F13893" s="76" t="s">
        <v>1005</v>
      </c>
      <c r="G13893" s="83">
        <v>46123.0</v>
      </c>
      <c r="H13893" s="76" t="s">
        <v>962</v>
      </c>
    </row>
    <row r="13894">
      <c r="A13894" s="76" t="s">
        <v>970</v>
      </c>
      <c r="B13894" s="76" t="s">
        <v>1039</v>
      </c>
      <c r="C13894" s="84">
        <v>12.48</v>
      </c>
      <c r="D13894" s="84">
        <v>2.0</v>
      </c>
      <c r="E13894" s="84">
        <v>6.24</v>
      </c>
      <c r="F13894" s="76" t="s">
        <v>1005</v>
      </c>
      <c r="G13894" s="83">
        <v>46123.0</v>
      </c>
      <c r="H13894" s="76" t="s">
        <v>971</v>
      </c>
    </row>
    <row r="13895">
      <c r="A13895" s="76" t="s">
        <v>970</v>
      </c>
      <c r="B13895" s="76" t="s">
        <v>1039</v>
      </c>
      <c r="C13895" s="84">
        <v>1.36</v>
      </c>
      <c r="D13895" s="84">
        <v>0.0</v>
      </c>
      <c r="E13895" s="84">
        <v>0.0</v>
      </c>
      <c r="F13895" s="76" t="s">
        <v>1005</v>
      </c>
      <c r="G13895" s="83">
        <v>46123.0</v>
      </c>
      <c r="H13895" s="76" t="s">
        <v>972</v>
      </c>
    </row>
    <row r="13896">
      <c r="A13896" s="76" t="s">
        <v>970</v>
      </c>
      <c r="B13896" s="76" t="s">
        <v>1039</v>
      </c>
      <c r="C13896" s="84">
        <v>21.48</v>
      </c>
      <c r="D13896" s="84">
        <v>2.0</v>
      </c>
      <c r="E13896" s="84">
        <v>10.74</v>
      </c>
      <c r="F13896" s="76" t="s">
        <v>1005</v>
      </c>
      <c r="G13896" s="83">
        <v>46123.0</v>
      </c>
      <c r="H13896" s="76" t="s">
        <v>973</v>
      </c>
    </row>
    <row r="13897">
      <c r="A13897" s="76" t="s">
        <v>29</v>
      </c>
      <c r="B13897" s="76" t="s">
        <v>1039</v>
      </c>
      <c r="C13897" s="84">
        <v>66.2</v>
      </c>
      <c r="D13897" s="84">
        <v>13.0</v>
      </c>
      <c r="E13897" s="84">
        <v>5.09</v>
      </c>
      <c r="F13897" s="76" t="s">
        <v>1005</v>
      </c>
      <c r="G13897" s="83">
        <v>46123.0</v>
      </c>
      <c r="H13897" s="76" t="s">
        <v>1015</v>
      </c>
    </row>
    <row r="13898">
      <c r="A13898" s="76" t="s">
        <v>29</v>
      </c>
      <c r="B13898" s="76" t="s">
        <v>1039</v>
      </c>
      <c r="C13898" s="84">
        <v>5.79</v>
      </c>
      <c r="D13898" s="84">
        <v>1.0</v>
      </c>
      <c r="E13898" s="84">
        <v>5.79</v>
      </c>
      <c r="F13898" s="76" t="s">
        <v>1005</v>
      </c>
      <c r="G13898" s="83">
        <v>46123.0</v>
      </c>
      <c r="H13898" s="76" t="s">
        <v>1016</v>
      </c>
    </row>
    <row r="13899">
      <c r="A13899" s="76" t="s">
        <v>29</v>
      </c>
      <c r="B13899" s="76" t="s">
        <v>1039</v>
      </c>
      <c r="C13899" s="84">
        <v>1.97</v>
      </c>
      <c r="D13899" s="84">
        <v>0.0</v>
      </c>
      <c r="E13899" s="84">
        <v>0.0</v>
      </c>
      <c r="F13899" s="76" t="s">
        <v>1005</v>
      </c>
      <c r="G13899" s="83">
        <v>46123.0</v>
      </c>
      <c r="H13899" s="76" t="s">
        <v>1017</v>
      </c>
    </row>
    <row r="13900">
      <c r="A13900" s="76" t="s">
        <v>34</v>
      </c>
      <c r="B13900" s="76" t="s">
        <v>1039</v>
      </c>
      <c r="C13900" s="84">
        <v>144.19</v>
      </c>
      <c r="D13900" s="84">
        <v>25.0</v>
      </c>
      <c r="E13900" s="84">
        <v>5.77</v>
      </c>
      <c r="F13900" s="76" t="s">
        <v>1005</v>
      </c>
      <c r="G13900" s="83">
        <v>46123.0</v>
      </c>
      <c r="H13900" s="76" t="s">
        <v>951</v>
      </c>
    </row>
    <row r="13901">
      <c r="A13901" s="76" t="s">
        <v>34</v>
      </c>
      <c r="B13901" s="76" t="s">
        <v>1039</v>
      </c>
      <c r="C13901" s="84">
        <v>74.09</v>
      </c>
      <c r="D13901" s="84">
        <v>14.0</v>
      </c>
      <c r="E13901" s="84">
        <v>5.29</v>
      </c>
      <c r="F13901" s="76" t="s">
        <v>1005</v>
      </c>
      <c r="G13901" s="83">
        <v>46123.0</v>
      </c>
      <c r="H13901" s="76" t="s">
        <v>952</v>
      </c>
    </row>
    <row r="13902">
      <c r="A13902" s="76" t="s">
        <v>34</v>
      </c>
      <c r="B13902" s="76" t="s">
        <v>1039</v>
      </c>
      <c r="C13902" s="84">
        <v>7.22</v>
      </c>
      <c r="D13902" s="84">
        <v>0.0</v>
      </c>
      <c r="E13902" s="84">
        <v>0.0</v>
      </c>
      <c r="F13902" s="76" t="s">
        <v>1005</v>
      </c>
      <c r="G13902" s="83">
        <v>46123.0</v>
      </c>
      <c r="H13902" s="76" t="s">
        <v>953</v>
      </c>
    </row>
    <row r="13903">
      <c r="A13903" s="76" t="s">
        <v>33</v>
      </c>
      <c r="B13903" s="76" t="s">
        <v>1039</v>
      </c>
      <c r="C13903" s="84">
        <v>442.73</v>
      </c>
      <c r="D13903" s="84">
        <v>75.0</v>
      </c>
      <c r="E13903" s="84">
        <v>5.9</v>
      </c>
      <c r="F13903" s="76" t="s">
        <v>1005</v>
      </c>
      <c r="G13903" s="83">
        <v>46123.0</v>
      </c>
      <c r="H13903" s="76" t="s">
        <v>957</v>
      </c>
    </row>
    <row r="13904">
      <c r="A13904" s="76" t="s">
        <v>33</v>
      </c>
      <c r="B13904" s="76" t="s">
        <v>1039</v>
      </c>
      <c r="C13904" s="84">
        <v>12.98</v>
      </c>
      <c r="D13904" s="84">
        <v>1.0</v>
      </c>
      <c r="E13904" s="84">
        <v>12.98</v>
      </c>
      <c r="F13904" s="76" t="s">
        <v>1005</v>
      </c>
      <c r="G13904" s="83">
        <v>46123.0</v>
      </c>
      <c r="H13904" s="76" t="s">
        <v>958</v>
      </c>
    </row>
    <row r="13905">
      <c r="A13905" s="76" t="s">
        <v>33</v>
      </c>
      <c r="B13905" s="76" t="s">
        <v>1039</v>
      </c>
      <c r="C13905" s="84">
        <v>19.81</v>
      </c>
      <c r="D13905" s="84">
        <v>3.0</v>
      </c>
      <c r="E13905" s="84">
        <v>6.6</v>
      </c>
      <c r="F13905" s="76" t="s">
        <v>1005</v>
      </c>
      <c r="G13905" s="83">
        <v>46123.0</v>
      </c>
      <c r="H13905" s="76" t="s">
        <v>959</v>
      </c>
    </row>
    <row r="13906">
      <c r="A13906" s="76" t="s">
        <v>43</v>
      </c>
      <c r="B13906" s="76" t="s">
        <v>1039</v>
      </c>
      <c r="C13906" s="84">
        <v>2.31</v>
      </c>
      <c r="D13906" s="84">
        <v>1.0</v>
      </c>
      <c r="E13906" s="84">
        <v>2.31</v>
      </c>
      <c r="F13906" s="76" t="s">
        <v>1005</v>
      </c>
      <c r="G13906" s="83">
        <v>46123.0</v>
      </c>
      <c r="H13906" s="76" t="s">
        <v>963</v>
      </c>
    </row>
    <row r="13907">
      <c r="A13907" s="76" t="s">
        <v>43</v>
      </c>
      <c r="B13907" s="76" t="s">
        <v>1039</v>
      </c>
      <c r="C13907" s="84">
        <v>5.69</v>
      </c>
      <c r="D13907" s="84">
        <v>1.0</v>
      </c>
      <c r="E13907" s="84">
        <v>5.69</v>
      </c>
      <c r="F13907" s="76" t="s">
        <v>1005</v>
      </c>
      <c r="G13907" s="83">
        <v>46123.0</v>
      </c>
      <c r="H13907" s="76" t="s">
        <v>964</v>
      </c>
    </row>
    <row r="13908">
      <c r="A13908" s="76" t="s">
        <v>43</v>
      </c>
      <c r="B13908" s="76" t="s">
        <v>1039</v>
      </c>
      <c r="C13908" s="84">
        <v>5.67</v>
      </c>
      <c r="D13908" s="84">
        <v>1.0</v>
      </c>
      <c r="E13908" s="84">
        <v>5.67</v>
      </c>
      <c r="F13908" s="76" t="s">
        <v>1005</v>
      </c>
      <c r="G13908" s="83">
        <v>46123.0</v>
      </c>
      <c r="H13908" s="76" t="s">
        <v>965</v>
      </c>
    </row>
    <row r="13909">
      <c r="A13909" s="76" t="s">
        <v>966</v>
      </c>
      <c r="B13909" s="76" t="s">
        <v>1039</v>
      </c>
      <c r="C13909" s="84">
        <v>9.12</v>
      </c>
      <c r="D13909" s="84">
        <v>2.0</v>
      </c>
      <c r="E13909" s="84">
        <v>4.56</v>
      </c>
      <c r="F13909" s="76" t="s">
        <v>1005</v>
      </c>
      <c r="G13909" s="83">
        <v>46123.0</v>
      </c>
      <c r="H13909" s="76" t="s">
        <v>967</v>
      </c>
    </row>
    <row r="13910">
      <c r="A13910" s="76" t="s">
        <v>966</v>
      </c>
      <c r="B13910" s="76" t="s">
        <v>1039</v>
      </c>
      <c r="C13910" s="84">
        <v>3.17</v>
      </c>
      <c r="D13910" s="84">
        <v>1.0</v>
      </c>
      <c r="E13910" s="84">
        <v>3.17</v>
      </c>
      <c r="F13910" s="76" t="s">
        <v>1005</v>
      </c>
      <c r="G13910" s="83">
        <v>46123.0</v>
      </c>
      <c r="H13910" s="76" t="s">
        <v>968</v>
      </c>
    </row>
    <row r="13911">
      <c r="A13911" s="76" t="s">
        <v>966</v>
      </c>
      <c r="B13911" s="76" t="s">
        <v>1039</v>
      </c>
      <c r="C13911" s="84">
        <v>17.12</v>
      </c>
      <c r="D13911" s="84">
        <v>3.0</v>
      </c>
      <c r="E13911" s="84">
        <v>5.71</v>
      </c>
      <c r="F13911" s="76" t="s">
        <v>1005</v>
      </c>
      <c r="G13911" s="83">
        <v>46123.0</v>
      </c>
      <c r="H13911" s="76" t="s">
        <v>969</v>
      </c>
    </row>
    <row r="13912">
      <c r="A13912" s="76" t="s">
        <v>970</v>
      </c>
      <c r="B13912" s="76" t="s">
        <v>1039</v>
      </c>
      <c r="C13912" s="84">
        <v>4.11</v>
      </c>
      <c r="D13912" s="84">
        <v>2.0</v>
      </c>
      <c r="E13912" s="84">
        <v>2.05</v>
      </c>
      <c r="F13912" s="76" t="s">
        <v>996</v>
      </c>
      <c r="G13912" s="83">
        <v>46123.0</v>
      </c>
      <c r="H13912" s="76" t="s">
        <v>971</v>
      </c>
    </row>
    <row r="13913">
      <c r="A13913" s="76" t="s">
        <v>970</v>
      </c>
      <c r="B13913" s="76" t="s">
        <v>1039</v>
      </c>
      <c r="C13913" s="84">
        <v>1.06</v>
      </c>
      <c r="D13913" s="84">
        <v>0.0</v>
      </c>
      <c r="E13913" s="84">
        <v>0.0</v>
      </c>
      <c r="F13913" s="76" t="s">
        <v>996</v>
      </c>
      <c r="G13913" s="83">
        <v>46123.0</v>
      </c>
      <c r="H13913" s="76" t="s">
        <v>972</v>
      </c>
    </row>
    <row r="13914">
      <c r="A13914" s="76" t="s">
        <v>970</v>
      </c>
      <c r="B13914" s="76" t="s">
        <v>1039</v>
      </c>
      <c r="C13914" s="84">
        <v>7.67</v>
      </c>
      <c r="D13914" s="84">
        <v>0.0</v>
      </c>
      <c r="E13914" s="84">
        <v>0.0</v>
      </c>
      <c r="F13914" s="76" t="s">
        <v>996</v>
      </c>
      <c r="G13914" s="83">
        <v>46123.0</v>
      </c>
      <c r="H13914" s="76" t="s">
        <v>973</v>
      </c>
    </row>
    <row r="13915">
      <c r="A13915" s="76" t="s">
        <v>29</v>
      </c>
      <c r="B13915" s="76" t="s">
        <v>1039</v>
      </c>
      <c r="C13915" s="84">
        <v>4.95</v>
      </c>
      <c r="D13915" s="84">
        <v>0.0</v>
      </c>
      <c r="E13915" s="84">
        <v>0.0</v>
      </c>
      <c r="F13915" s="76" t="s">
        <v>996</v>
      </c>
      <c r="G13915" s="83">
        <v>46123.0</v>
      </c>
      <c r="H13915" s="76" t="s">
        <v>971</v>
      </c>
    </row>
    <row r="13916">
      <c r="A13916" s="76" t="s">
        <v>29</v>
      </c>
      <c r="B13916" s="76" t="s">
        <v>1039</v>
      </c>
      <c r="C13916" s="84">
        <v>1.06</v>
      </c>
      <c r="D13916" s="84">
        <v>0.0</v>
      </c>
      <c r="E13916" s="84">
        <v>0.0</v>
      </c>
      <c r="F13916" s="76" t="s">
        <v>996</v>
      </c>
      <c r="G13916" s="83">
        <v>46123.0</v>
      </c>
      <c r="H13916" s="76" t="s">
        <v>972</v>
      </c>
    </row>
    <row r="13917">
      <c r="A13917" s="76" t="s">
        <v>29</v>
      </c>
      <c r="B13917" s="76" t="s">
        <v>1039</v>
      </c>
      <c r="C13917" s="84">
        <v>9.15</v>
      </c>
      <c r="D13917" s="84">
        <v>3.0</v>
      </c>
      <c r="E13917" s="84">
        <v>3.05</v>
      </c>
      <c r="F13917" s="76" t="s">
        <v>996</v>
      </c>
      <c r="G13917" s="83">
        <v>46123.0</v>
      </c>
      <c r="H13917" s="76" t="s">
        <v>973</v>
      </c>
    </row>
    <row r="13918">
      <c r="A13918" s="76" t="s">
        <v>43</v>
      </c>
      <c r="B13918" s="76" t="s">
        <v>1039</v>
      </c>
      <c r="C13918" s="84">
        <v>1.74</v>
      </c>
      <c r="D13918" s="84">
        <v>0.0</v>
      </c>
      <c r="E13918" s="84">
        <v>0.0</v>
      </c>
      <c r="F13918" s="76" t="s">
        <v>996</v>
      </c>
      <c r="G13918" s="83">
        <v>46123.0</v>
      </c>
      <c r="H13918" s="76" t="s">
        <v>963</v>
      </c>
    </row>
    <row r="13919">
      <c r="A13919" s="76" t="s">
        <v>43</v>
      </c>
      <c r="B13919" s="76" t="s">
        <v>1039</v>
      </c>
      <c r="C13919" s="84">
        <v>2.49</v>
      </c>
      <c r="D13919" s="84">
        <v>0.0</v>
      </c>
      <c r="E13919" s="84">
        <v>0.0</v>
      </c>
      <c r="F13919" s="76" t="s">
        <v>996</v>
      </c>
      <c r="G13919" s="83">
        <v>46123.0</v>
      </c>
      <c r="H13919" s="76" t="s">
        <v>964</v>
      </c>
    </row>
    <row r="13920">
      <c r="A13920" s="76" t="s">
        <v>43</v>
      </c>
      <c r="B13920" s="76" t="s">
        <v>1039</v>
      </c>
      <c r="C13920" s="84">
        <v>2.49</v>
      </c>
      <c r="D13920" s="84">
        <v>0.0</v>
      </c>
      <c r="E13920" s="84">
        <v>0.0</v>
      </c>
      <c r="F13920" s="76" t="s">
        <v>996</v>
      </c>
      <c r="G13920" s="83">
        <v>46123.0</v>
      </c>
      <c r="H13920" s="76" t="s">
        <v>965</v>
      </c>
    </row>
    <row r="13921">
      <c r="A13921" s="76" t="s">
        <v>46</v>
      </c>
      <c r="B13921" s="76" t="s">
        <v>1039</v>
      </c>
      <c r="C13921" s="84">
        <v>0.3</v>
      </c>
      <c r="D13921" s="84">
        <v>0.0</v>
      </c>
      <c r="E13921" s="84">
        <v>0.0</v>
      </c>
      <c r="F13921" s="76" t="s">
        <v>996</v>
      </c>
      <c r="G13921" s="83">
        <v>46123.0</v>
      </c>
      <c r="H13921" s="76" t="s">
        <v>960</v>
      </c>
    </row>
    <row r="13922">
      <c r="A13922" s="76" t="s">
        <v>46</v>
      </c>
      <c r="B13922" s="76" t="s">
        <v>1039</v>
      </c>
      <c r="C13922" s="84">
        <v>1.83</v>
      </c>
      <c r="D13922" s="84">
        <v>0.0</v>
      </c>
      <c r="E13922" s="84">
        <v>0.0</v>
      </c>
      <c r="F13922" s="76" t="s">
        <v>996</v>
      </c>
      <c r="G13922" s="83">
        <v>46123.0</v>
      </c>
      <c r="H13922" s="76" t="s">
        <v>961</v>
      </c>
    </row>
    <row r="13923">
      <c r="A13923" s="76" t="s">
        <v>46</v>
      </c>
      <c r="B13923" s="76" t="s">
        <v>1039</v>
      </c>
      <c r="C13923" s="84">
        <v>2.57</v>
      </c>
      <c r="D13923" s="84">
        <v>0.0</v>
      </c>
      <c r="E13923" s="84">
        <v>0.0</v>
      </c>
      <c r="F13923" s="76" t="s">
        <v>996</v>
      </c>
      <c r="G13923" s="83">
        <v>46123.0</v>
      </c>
      <c r="H13923" s="76" t="s">
        <v>962</v>
      </c>
    </row>
    <row r="13924">
      <c r="A13924" s="76" t="s">
        <v>966</v>
      </c>
      <c r="B13924" s="76" t="s">
        <v>1039</v>
      </c>
      <c r="C13924" s="84">
        <v>7.05</v>
      </c>
      <c r="D13924" s="84">
        <v>0.0</v>
      </c>
      <c r="E13924" s="84">
        <v>0.0</v>
      </c>
      <c r="F13924" s="76" t="s">
        <v>996</v>
      </c>
      <c r="G13924" s="83">
        <v>46123.0</v>
      </c>
      <c r="H13924" s="76" t="s">
        <v>967</v>
      </c>
    </row>
    <row r="13925">
      <c r="A13925" s="76" t="s">
        <v>966</v>
      </c>
      <c r="B13925" s="76" t="s">
        <v>1039</v>
      </c>
      <c r="C13925" s="84">
        <v>1.94</v>
      </c>
      <c r="D13925" s="84">
        <v>1.0</v>
      </c>
      <c r="E13925" s="84">
        <v>1.94</v>
      </c>
      <c r="F13925" s="76" t="s">
        <v>996</v>
      </c>
      <c r="G13925" s="83">
        <v>46123.0</v>
      </c>
      <c r="H13925" s="76" t="s">
        <v>968</v>
      </c>
    </row>
    <row r="13926">
      <c r="A13926" s="76" t="s">
        <v>966</v>
      </c>
      <c r="B13926" s="76" t="s">
        <v>1039</v>
      </c>
      <c r="C13926" s="84">
        <v>9.82</v>
      </c>
      <c r="D13926" s="84">
        <v>1.0</v>
      </c>
      <c r="E13926" s="84">
        <v>9.82</v>
      </c>
      <c r="F13926" s="76" t="s">
        <v>996</v>
      </c>
      <c r="G13926" s="83">
        <v>46123.0</v>
      </c>
      <c r="H13926" s="76" t="s">
        <v>969</v>
      </c>
    </row>
    <row r="13927">
      <c r="A13927" s="76" t="s">
        <v>33</v>
      </c>
      <c r="B13927" s="76" t="s">
        <v>1039</v>
      </c>
      <c r="C13927" s="84">
        <v>187.51</v>
      </c>
      <c r="D13927" s="84">
        <v>37.0</v>
      </c>
      <c r="E13927" s="84">
        <v>5.07</v>
      </c>
      <c r="F13927" s="76" t="s">
        <v>996</v>
      </c>
      <c r="G13927" s="83">
        <v>46123.0</v>
      </c>
      <c r="H13927" s="76" t="s">
        <v>957</v>
      </c>
    </row>
    <row r="13928">
      <c r="A13928" s="76" t="s">
        <v>33</v>
      </c>
      <c r="B13928" s="76" t="s">
        <v>1039</v>
      </c>
      <c r="C13928" s="84">
        <v>10.41</v>
      </c>
      <c r="D13928" s="84">
        <v>4.0</v>
      </c>
      <c r="E13928" s="84">
        <v>2.6</v>
      </c>
      <c r="F13928" s="76" t="s">
        <v>996</v>
      </c>
      <c r="G13928" s="83">
        <v>46123.0</v>
      </c>
      <c r="H13928" s="76" t="s">
        <v>958</v>
      </c>
    </row>
    <row r="13929">
      <c r="A13929" s="76" t="s">
        <v>33</v>
      </c>
      <c r="B13929" s="76" t="s">
        <v>1039</v>
      </c>
      <c r="C13929" s="84">
        <v>26.71</v>
      </c>
      <c r="D13929" s="84">
        <v>4.0</v>
      </c>
      <c r="E13929" s="84">
        <v>6.68</v>
      </c>
      <c r="F13929" s="76" t="s">
        <v>996</v>
      </c>
      <c r="G13929" s="83">
        <v>46123.0</v>
      </c>
      <c r="H13929" s="76" t="s">
        <v>959</v>
      </c>
    </row>
    <row r="13930">
      <c r="A13930" s="76" t="s">
        <v>34</v>
      </c>
      <c r="B13930" s="76" t="s">
        <v>1039</v>
      </c>
      <c r="C13930" s="84">
        <v>5.0</v>
      </c>
      <c r="D13930" s="84">
        <v>0.0</v>
      </c>
      <c r="E13930" s="84">
        <v>0.0</v>
      </c>
      <c r="F13930" s="76" t="s">
        <v>996</v>
      </c>
      <c r="G13930" s="83">
        <v>46123.0</v>
      </c>
      <c r="H13930" s="76" t="s">
        <v>951</v>
      </c>
    </row>
    <row r="13931">
      <c r="A13931" s="76" t="s">
        <v>34</v>
      </c>
      <c r="B13931" s="76" t="s">
        <v>1039</v>
      </c>
      <c r="C13931" s="84">
        <v>6.04</v>
      </c>
      <c r="D13931" s="84">
        <v>0.0</v>
      </c>
      <c r="E13931" s="84">
        <v>0.0</v>
      </c>
      <c r="F13931" s="76" t="s">
        <v>996</v>
      </c>
      <c r="G13931" s="83">
        <v>46123.0</v>
      </c>
      <c r="H13931" s="76" t="s">
        <v>952</v>
      </c>
    </row>
    <row r="13932">
      <c r="A13932" s="76" t="s">
        <v>34</v>
      </c>
      <c r="B13932" s="76" t="s">
        <v>1039</v>
      </c>
      <c r="C13932" s="84">
        <v>0.58</v>
      </c>
      <c r="D13932" s="84">
        <v>0.0</v>
      </c>
      <c r="E13932" s="84">
        <v>0.0</v>
      </c>
      <c r="F13932" s="76" t="s">
        <v>996</v>
      </c>
      <c r="G13932" s="83">
        <v>46123.0</v>
      </c>
      <c r="H13932" s="76" t="s">
        <v>953</v>
      </c>
    </row>
    <row r="13933">
      <c r="A13933" s="76" t="s">
        <v>36</v>
      </c>
      <c r="B13933" s="76" t="s">
        <v>1039</v>
      </c>
      <c r="C13933" s="84">
        <v>13.23</v>
      </c>
      <c r="D13933" s="84">
        <v>0.0</v>
      </c>
      <c r="E13933" s="84">
        <v>0.0</v>
      </c>
      <c r="F13933" s="76" t="s">
        <v>996</v>
      </c>
      <c r="G13933" s="83">
        <v>46123.0</v>
      </c>
      <c r="H13933" s="76" t="s">
        <v>926</v>
      </c>
    </row>
    <row r="13934">
      <c r="A13934" s="76" t="s">
        <v>36</v>
      </c>
      <c r="B13934" s="76" t="s">
        <v>1039</v>
      </c>
      <c r="C13934" s="84">
        <v>2.04</v>
      </c>
      <c r="D13934" s="84">
        <v>1.0</v>
      </c>
      <c r="E13934" s="84">
        <v>2.04</v>
      </c>
      <c r="F13934" s="76" t="s">
        <v>996</v>
      </c>
      <c r="G13934" s="83">
        <v>46123.0</v>
      </c>
      <c r="H13934" s="76" t="s">
        <v>927</v>
      </c>
    </row>
    <row r="13935">
      <c r="A13935" s="76" t="s">
        <v>36</v>
      </c>
      <c r="B13935" s="76" t="s">
        <v>1039</v>
      </c>
      <c r="C13935" s="84">
        <v>8.17</v>
      </c>
      <c r="D13935" s="84">
        <v>1.0</v>
      </c>
      <c r="E13935" s="84">
        <v>8.17</v>
      </c>
      <c r="F13935" s="76" t="s">
        <v>996</v>
      </c>
      <c r="G13935" s="83">
        <v>46123.0</v>
      </c>
      <c r="H13935" s="76" t="s">
        <v>928</v>
      </c>
    </row>
    <row r="13936">
      <c r="A13936" s="76" t="s">
        <v>40</v>
      </c>
      <c r="B13936" s="76" t="s">
        <v>1039</v>
      </c>
      <c r="C13936" s="84">
        <v>5.14</v>
      </c>
      <c r="D13936" s="84">
        <v>1.0</v>
      </c>
      <c r="E13936" s="84">
        <v>5.14</v>
      </c>
      <c r="F13936" s="76" t="s">
        <v>996</v>
      </c>
      <c r="G13936" s="83">
        <v>46123.0</v>
      </c>
      <c r="H13936" s="76" t="s">
        <v>954</v>
      </c>
    </row>
    <row r="13937">
      <c r="A13937" s="76" t="s">
        <v>40</v>
      </c>
      <c r="B13937" s="76" t="s">
        <v>1039</v>
      </c>
      <c r="C13937" s="84">
        <v>1.55</v>
      </c>
      <c r="D13937" s="84">
        <v>0.0</v>
      </c>
      <c r="E13937" s="84">
        <v>0.0</v>
      </c>
      <c r="F13937" s="76" t="s">
        <v>996</v>
      </c>
      <c r="G13937" s="83">
        <v>46123.0</v>
      </c>
      <c r="H13937" s="76" t="s">
        <v>955</v>
      </c>
    </row>
    <row r="13938">
      <c r="A13938" s="76" t="s">
        <v>40</v>
      </c>
      <c r="B13938" s="76" t="s">
        <v>1039</v>
      </c>
      <c r="C13938" s="84">
        <v>51.69</v>
      </c>
      <c r="D13938" s="84">
        <v>9.0</v>
      </c>
      <c r="E13938" s="84">
        <v>5.74</v>
      </c>
      <c r="F13938" s="76" t="s">
        <v>996</v>
      </c>
      <c r="G13938" s="83">
        <v>46123.0</v>
      </c>
      <c r="H13938" s="76" t="s">
        <v>956</v>
      </c>
    </row>
    <row r="13939">
      <c r="A13939" s="76" t="s">
        <v>36</v>
      </c>
      <c r="B13939" s="76" t="s">
        <v>1039</v>
      </c>
      <c r="C13939" s="84">
        <v>8.11</v>
      </c>
      <c r="D13939" s="84">
        <v>2.0</v>
      </c>
      <c r="E13939" s="84">
        <v>4.05</v>
      </c>
      <c r="F13939" s="76" t="s">
        <v>998</v>
      </c>
      <c r="G13939" s="83">
        <v>46123.0</v>
      </c>
      <c r="H13939" s="76" t="s">
        <v>926</v>
      </c>
    </row>
    <row r="13940">
      <c r="A13940" s="76" t="s">
        <v>36</v>
      </c>
      <c r="B13940" s="76" t="s">
        <v>1039</v>
      </c>
      <c r="C13940" s="84">
        <v>1.68</v>
      </c>
      <c r="D13940" s="84">
        <v>0.0</v>
      </c>
      <c r="E13940" s="84">
        <v>0.0</v>
      </c>
      <c r="F13940" s="76" t="s">
        <v>998</v>
      </c>
      <c r="G13940" s="83">
        <v>46123.0</v>
      </c>
      <c r="H13940" s="76" t="s">
        <v>927</v>
      </c>
    </row>
    <row r="13941">
      <c r="A13941" s="76" t="s">
        <v>36</v>
      </c>
      <c r="B13941" s="76" t="s">
        <v>1039</v>
      </c>
      <c r="C13941" s="84">
        <v>3.44</v>
      </c>
      <c r="D13941" s="84">
        <v>1.0</v>
      </c>
      <c r="E13941" s="84">
        <v>3.44</v>
      </c>
      <c r="F13941" s="76" t="s">
        <v>998</v>
      </c>
      <c r="G13941" s="83">
        <v>46123.0</v>
      </c>
      <c r="H13941" s="76" t="s">
        <v>928</v>
      </c>
    </row>
    <row r="13942">
      <c r="A13942" s="76" t="s">
        <v>34</v>
      </c>
      <c r="B13942" s="76" t="s">
        <v>1039</v>
      </c>
      <c r="C13942" s="84">
        <v>2.07</v>
      </c>
      <c r="D13942" s="84">
        <v>0.0</v>
      </c>
      <c r="E13942" s="84">
        <v>0.0</v>
      </c>
      <c r="F13942" s="76" t="s">
        <v>998</v>
      </c>
      <c r="G13942" s="83">
        <v>46123.0</v>
      </c>
      <c r="H13942" s="76" t="s">
        <v>951</v>
      </c>
    </row>
    <row r="13943">
      <c r="A13943" s="76" t="s">
        <v>34</v>
      </c>
      <c r="B13943" s="76" t="s">
        <v>1039</v>
      </c>
      <c r="C13943" s="84">
        <v>3.23</v>
      </c>
      <c r="D13943" s="84">
        <v>0.0</v>
      </c>
      <c r="E13943" s="84">
        <v>0.0</v>
      </c>
      <c r="F13943" s="76" t="s">
        <v>998</v>
      </c>
      <c r="G13943" s="83">
        <v>46123.0</v>
      </c>
      <c r="H13943" s="76" t="s">
        <v>952</v>
      </c>
    </row>
    <row r="13944">
      <c r="A13944" s="76" t="s">
        <v>34</v>
      </c>
      <c r="B13944" s="76" t="s">
        <v>1039</v>
      </c>
      <c r="C13944" s="84">
        <v>0.6</v>
      </c>
      <c r="D13944" s="84">
        <v>1.0</v>
      </c>
      <c r="E13944" s="84">
        <v>0.6</v>
      </c>
      <c r="F13944" s="76" t="s">
        <v>998</v>
      </c>
      <c r="G13944" s="83">
        <v>46123.0</v>
      </c>
      <c r="H13944" s="76" t="s">
        <v>953</v>
      </c>
    </row>
    <row r="13945">
      <c r="A13945" s="76" t="s">
        <v>33</v>
      </c>
      <c r="B13945" s="76" t="s">
        <v>1039</v>
      </c>
      <c r="C13945" s="84">
        <v>38.36</v>
      </c>
      <c r="D13945" s="84">
        <v>4.0</v>
      </c>
      <c r="E13945" s="84">
        <v>9.59</v>
      </c>
      <c r="F13945" s="76" t="s">
        <v>998</v>
      </c>
      <c r="G13945" s="83">
        <v>46123.0</v>
      </c>
      <c r="H13945" s="76" t="s">
        <v>957</v>
      </c>
    </row>
    <row r="13946">
      <c r="A13946" s="76" t="s">
        <v>33</v>
      </c>
      <c r="B13946" s="76" t="s">
        <v>1039</v>
      </c>
      <c r="C13946" s="84">
        <v>3.18</v>
      </c>
      <c r="D13946" s="84">
        <v>0.0</v>
      </c>
      <c r="E13946" s="84">
        <v>0.0</v>
      </c>
      <c r="F13946" s="76" t="s">
        <v>998</v>
      </c>
      <c r="G13946" s="83">
        <v>46123.0</v>
      </c>
      <c r="H13946" s="76" t="s">
        <v>958</v>
      </c>
    </row>
    <row r="13947">
      <c r="A13947" s="76" t="s">
        <v>33</v>
      </c>
      <c r="B13947" s="76" t="s">
        <v>1039</v>
      </c>
      <c r="C13947" s="84">
        <v>6.87</v>
      </c>
      <c r="D13947" s="84">
        <v>3.0</v>
      </c>
      <c r="E13947" s="84">
        <v>2.29</v>
      </c>
      <c r="F13947" s="76" t="s">
        <v>998</v>
      </c>
      <c r="G13947" s="83">
        <v>46123.0</v>
      </c>
      <c r="H13947" s="76" t="s">
        <v>959</v>
      </c>
    </row>
    <row r="13948">
      <c r="A13948" s="76" t="s">
        <v>29</v>
      </c>
      <c r="B13948" s="76" t="s">
        <v>1039</v>
      </c>
      <c r="C13948" s="84">
        <v>2.06</v>
      </c>
      <c r="D13948" s="84">
        <v>0.0</v>
      </c>
      <c r="E13948" s="84">
        <v>0.0</v>
      </c>
      <c r="F13948" s="76" t="s">
        <v>998</v>
      </c>
      <c r="G13948" s="83">
        <v>46123.0</v>
      </c>
      <c r="H13948" s="76" t="s">
        <v>971</v>
      </c>
    </row>
    <row r="13949">
      <c r="A13949" s="76" t="s">
        <v>29</v>
      </c>
      <c r="B13949" s="76" t="s">
        <v>1039</v>
      </c>
      <c r="C13949" s="84">
        <v>0.5</v>
      </c>
      <c r="D13949" s="84">
        <v>0.0</v>
      </c>
      <c r="E13949" s="84">
        <v>0.0</v>
      </c>
      <c r="F13949" s="76" t="s">
        <v>998</v>
      </c>
      <c r="G13949" s="83">
        <v>46123.0</v>
      </c>
      <c r="H13949" s="76" t="s">
        <v>972</v>
      </c>
    </row>
    <row r="13950">
      <c r="A13950" s="76" t="s">
        <v>29</v>
      </c>
      <c r="B13950" s="76" t="s">
        <v>1039</v>
      </c>
      <c r="C13950" s="84">
        <v>7.0</v>
      </c>
      <c r="D13950" s="84">
        <v>3.0</v>
      </c>
      <c r="E13950" s="84">
        <v>2.33</v>
      </c>
      <c r="F13950" s="76" t="s">
        <v>998</v>
      </c>
      <c r="G13950" s="83">
        <v>46123.0</v>
      </c>
      <c r="H13950" s="76" t="s">
        <v>973</v>
      </c>
    </row>
    <row r="13951">
      <c r="A13951" s="76" t="s">
        <v>46</v>
      </c>
      <c r="B13951" s="76" t="s">
        <v>1039</v>
      </c>
      <c r="C13951" s="84">
        <v>0.51</v>
      </c>
      <c r="D13951" s="84">
        <v>1.0</v>
      </c>
      <c r="E13951" s="84">
        <v>0.51</v>
      </c>
      <c r="F13951" s="76" t="s">
        <v>998</v>
      </c>
      <c r="G13951" s="83">
        <v>46123.0</v>
      </c>
      <c r="H13951" s="76" t="s">
        <v>960</v>
      </c>
    </row>
    <row r="13952">
      <c r="A13952" s="76" t="s">
        <v>46</v>
      </c>
      <c r="B13952" s="76" t="s">
        <v>1039</v>
      </c>
      <c r="C13952" s="84">
        <v>1.92</v>
      </c>
      <c r="D13952" s="84">
        <v>1.0</v>
      </c>
      <c r="E13952" s="84">
        <v>1.92</v>
      </c>
      <c r="F13952" s="76" t="s">
        <v>998</v>
      </c>
      <c r="G13952" s="83">
        <v>46123.0</v>
      </c>
      <c r="H13952" s="76" t="s">
        <v>961</v>
      </c>
    </row>
    <row r="13953">
      <c r="A13953" s="76" t="s">
        <v>46</v>
      </c>
      <c r="B13953" s="76" t="s">
        <v>1039</v>
      </c>
      <c r="C13953" s="84">
        <v>1.96</v>
      </c>
      <c r="D13953" s="84">
        <v>2.0</v>
      </c>
      <c r="E13953" s="84">
        <v>0.98</v>
      </c>
      <c r="F13953" s="76" t="s">
        <v>998</v>
      </c>
      <c r="G13953" s="83">
        <v>46123.0</v>
      </c>
      <c r="H13953" s="76" t="s">
        <v>962</v>
      </c>
    </row>
    <row r="13954">
      <c r="A13954" s="76" t="s">
        <v>40</v>
      </c>
      <c r="B13954" s="76" t="s">
        <v>1039</v>
      </c>
      <c r="C13954" s="84">
        <v>3.34</v>
      </c>
      <c r="D13954" s="84">
        <v>1.0</v>
      </c>
      <c r="E13954" s="84">
        <v>3.34</v>
      </c>
      <c r="F13954" s="76" t="s">
        <v>998</v>
      </c>
      <c r="G13954" s="83">
        <v>46123.0</v>
      </c>
      <c r="H13954" s="76" t="s">
        <v>954</v>
      </c>
    </row>
    <row r="13955">
      <c r="A13955" s="76" t="s">
        <v>40</v>
      </c>
      <c r="B13955" s="76" t="s">
        <v>1039</v>
      </c>
      <c r="C13955" s="84">
        <v>1.43</v>
      </c>
      <c r="D13955" s="84">
        <v>0.0</v>
      </c>
      <c r="E13955" s="84">
        <v>0.0</v>
      </c>
      <c r="F13955" s="76" t="s">
        <v>998</v>
      </c>
      <c r="G13955" s="83">
        <v>46123.0</v>
      </c>
      <c r="H13955" s="76" t="s">
        <v>955</v>
      </c>
    </row>
    <row r="13956">
      <c r="A13956" s="76" t="s">
        <v>40</v>
      </c>
      <c r="B13956" s="76" t="s">
        <v>1039</v>
      </c>
      <c r="C13956" s="84">
        <v>14.14</v>
      </c>
      <c r="D13956" s="84">
        <v>4.0</v>
      </c>
      <c r="E13956" s="84">
        <v>3.53</v>
      </c>
      <c r="F13956" s="76" t="s">
        <v>998</v>
      </c>
      <c r="G13956" s="83">
        <v>46123.0</v>
      </c>
      <c r="H13956" s="76" t="s">
        <v>956</v>
      </c>
    </row>
    <row r="13957">
      <c r="A13957" s="76" t="s">
        <v>966</v>
      </c>
      <c r="B13957" s="76" t="s">
        <v>1039</v>
      </c>
      <c r="C13957" s="84">
        <v>4.37</v>
      </c>
      <c r="D13957" s="84">
        <v>0.0</v>
      </c>
      <c r="E13957" s="84">
        <v>0.0</v>
      </c>
      <c r="F13957" s="76" t="s">
        <v>998</v>
      </c>
      <c r="G13957" s="83">
        <v>46123.0</v>
      </c>
      <c r="H13957" s="76" t="s">
        <v>967</v>
      </c>
    </row>
    <row r="13958">
      <c r="A13958" s="76" t="s">
        <v>966</v>
      </c>
      <c r="B13958" s="76" t="s">
        <v>1039</v>
      </c>
      <c r="C13958" s="84">
        <v>1.33</v>
      </c>
      <c r="D13958" s="84">
        <v>0.0</v>
      </c>
      <c r="E13958" s="84">
        <v>0.0</v>
      </c>
      <c r="F13958" s="76" t="s">
        <v>998</v>
      </c>
      <c r="G13958" s="83">
        <v>46123.0</v>
      </c>
      <c r="H13958" s="76" t="s">
        <v>968</v>
      </c>
    </row>
    <row r="13959">
      <c r="A13959" s="76" t="s">
        <v>966</v>
      </c>
      <c r="B13959" s="76" t="s">
        <v>1039</v>
      </c>
      <c r="C13959" s="84">
        <v>4.5</v>
      </c>
      <c r="D13959" s="84">
        <v>1.0</v>
      </c>
      <c r="E13959" s="84">
        <v>4.5</v>
      </c>
      <c r="F13959" s="76" t="s">
        <v>998</v>
      </c>
      <c r="G13959" s="83">
        <v>46123.0</v>
      </c>
      <c r="H13959" s="76" t="s">
        <v>969</v>
      </c>
    </row>
    <row r="13960">
      <c r="A13960" s="76" t="s">
        <v>43</v>
      </c>
      <c r="B13960" s="76" t="s">
        <v>1039</v>
      </c>
      <c r="C13960" s="84">
        <v>1.21</v>
      </c>
      <c r="D13960" s="84">
        <v>0.0</v>
      </c>
      <c r="E13960" s="84">
        <v>0.0</v>
      </c>
      <c r="F13960" s="76" t="s">
        <v>998</v>
      </c>
      <c r="G13960" s="83">
        <v>46123.0</v>
      </c>
      <c r="H13960" s="76" t="s">
        <v>963</v>
      </c>
    </row>
    <row r="13961">
      <c r="A13961" s="76" t="s">
        <v>43</v>
      </c>
      <c r="B13961" s="76" t="s">
        <v>1039</v>
      </c>
      <c r="C13961" s="84">
        <v>1.56</v>
      </c>
      <c r="D13961" s="84">
        <v>1.0</v>
      </c>
      <c r="E13961" s="84">
        <v>1.56</v>
      </c>
      <c r="F13961" s="76" t="s">
        <v>998</v>
      </c>
      <c r="G13961" s="83">
        <v>46123.0</v>
      </c>
      <c r="H13961" s="76" t="s">
        <v>964</v>
      </c>
    </row>
    <row r="13962">
      <c r="A13962" s="76" t="s">
        <v>43</v>
      </c>
      <c r="B13962" s="76" t="s">
        <v>1039</v>
      </c>
      <c r="C13962" s="84">
        <v>1.93</v>
      </c>
      <c r="D13962" s="84">
        <v>0.0</v>
      </c>
      <c r="E13962" s="84">
        <v>0.0</v>
      </c>
      <c r="F13962" s="76" t="s">
        <v>998</v>
      </c>
      <c r="G13962" s="83">
        <v>46123.0</v>
      </c>
      <c r="H13962" s="76" t="s">
        <v>965</v>
      </c>
    </row>
    <row r="13963">
      <c r="A13963" s="76" t="s">
        <v>970</v>
      </c>
      <c r="B13963" s="76" t="s">
        <v>1039</v>
      </c>
      <c r="C13963" s="84">
        <v>2.37</v>
      </c>
      <c r="D13963" s="84">
        <v>0.0</v>
      </c>
      <c r="E13963" s="84">
        <v>0.0</v>
      </c>
      <c r="F13963" s="76" t="s">
        <v>998</v>
      </c>
      <c r="G13963" s="83">
        <v>46123.0</v>
      </c>
      <c r="H13963" s="76" t="s">
        <v>971</v>
      </c>
    </row>
    <row r="13964">
      <c r="A13964" s="76" t="s">
        <v>970</v>
      </c>
      <c r="B13964" s="76" t="s">
        <v>1039</v>
      </c>
      <c r="C13964" s="84">
        <v>0.66</v>
      </c>
      <c r="D13964" s="84">
        <v>0.0</v>
      </c>
      <c r="E13964" s="84">
        <v>0.0</v>
      </c>
      <c r="F13964" s="76" t="s">
        <v>998</v>
      </c>
      <c r="G13964" s="83">
        <v>46123.0</v>
      </c>
      <c r="H13964" s="76" t="s">
        <v>972</v>
      </c>
    </row>
    <row r="13965">
      <c r="A13965" s="76" t="s">
        <v>970</v>
      </c>
      <c r="B13965" s="76" t="s">
        <v>1039</v>
      </c>
      <c r="C13965" s="84">
        <v>7.56</v>
      </c>
      <c r="D13965" s="84">
        <v>0.0</v>
      </c>
      <c r="E13965" s="84">
        <v>0.0</v>
      </c>
      <c r="F13965" s="76" t="s">
        <v>998</v>
      </c>
      <c r="G13965" s="83">
        <v>46123.0</v>
      </c>
      <c r="H13965" s="76" t="s">
        <v>973</v>
      </c>
    </row>
    <row r="13966">
      <c r="A13966" s="76" t="s">
        <v>40</v>
      </c>
      <c r="B13966" s="76" t="s">
        <v>1041</v>
      </c>
      <c r="C13966" s="84">
        <v>20.92</v>
      </c>
      <c r="D13966" s="84">
        <v>0.0</v>
      </c>
      <c r="E13966" s="84">
        <v>0.0</v>
      </c>
      <c r="F13966" s="76" t="s">
        <v>1005</v>
      </c>
      <c r="G13966" s="83">
        <v>46123.0</v>
      </c>
      <c r="H13966" s="76" t="s">
        <v>954</v>
      </c>
    </row>
    <row r="13967">
      <c r="A13967" s="76" t="s">
        <v>40</v>
      </c>
      <c r="B13967" s="76" t="s">
        <v>1041</v>
      </c>
      <c r="C13967" s="84">
        <v>5.82</v>
      </c>
      <c r="D13967" s="84">
        <v>1.0</v>
      </c>
      <c r="E13967" s="84">
        <v>5.82</v>
      </c>
      <c r="F13967" s="76" t="s">
        <v>1005</v>
      </c>
      <c r="G13967" s="83">
        <v>46123.0</v>
      </c>
      <c r="H13967" s="76" t="s">
        <v>955</v>
      </c>
    </row>
    <row r="13968">
      <c r="A13968" s="76" t="s">
        <v>40</v>
      </c>
      <c r="B13968" s="76" t="s">
        <v>1041</v>
      </c>
      <c r="C13968" s="84">
        <v>72.39</v>
      </c>
      <c r="D13968" s="84">
        <v>19.0</v>
      </c>
      <c r="E13968" s="84">
        <v>3.81</v>
      </c>
      <c r="F13968" s="76" t="s">
        <v>1005</v>
      </c>
      <c r="G13968" s="83">
        <v>46123.0</v>
      </c>
      <c r="H13968" s="76" t="s">
        <v>956</v>
      </c>
    </row>
    <row r="13969">
      <c r="A13969" s="76" t="s">
        <v>36</v>
      </c>
      <c r="B13969" s="76" t="s">
        <v>1041</v>
      </c>
      <c r="C13969" s="84">
        <v>19.9</v>
      </c>
      <c r="D13969" s="84">
        <v>7.0</v>
      </c>
      <c r="E13969" s="84">
        <v>2.84</v>
      </c>
      <c r="F13969" s="76" t="s">
        <v>1005</v>
      </c>
      <c r="G13969" s="83">
        <v>46123.0</v>
      </c>
      <c r="H13969" s="76" t="s">
        <v>926</v>
      </c>
    </row>
    <row r="13970">
      <c r="A13970" s="76" t="s">
        <v>36</v>
      </c>
      <c r="B13970" s="76" t="s">
        <v>1041</v>
      </c>
      <c r="C13970" s="84">
        <v>5.86</v>
      </c>
      <c r="D13970" s="84">
        <v>2.0</v>
      </c>
      <c r="E13970" s="84">
        <v>2.93</v>
      </c>
      <c r="F13970" s="76" t="s">
        <v>1005</v>
      </c>
      <c r="G13970" s="83">
        <v>46123.0</v>
      </c>
      <c r="H13970" s="76" t="s">
        <v>927</v>
      </c>
    </row>
    <row r="13971">
      <c r="A13971" s="76" t="s">
        <v>36</v>
      </c>
      <c r="B13971" s="76" t="s">
        <v>1041</v>
      </c>
      <c r="C13971" s="84">
        <v>12.11</v>
      </c>
      <c r="D13971" s="84">
        <v>4.0</v>
      </c>
      <c r="E13971" s="84">
        <v>3.03</v>
      </c>
      <c r="F13971" s="76" t="s">
        <v>1005</v>
      </c>
      <c r="G13971" s="83">
        <v>46123.0</v>
      </c>
      <c r="H13971" s="76" t="s">
        <v>928</v>
      </c>
    </row>
    <row r="13972">
      <c r="A13972" s="76" t="s">
        <v>46</v>
      </c>
      <c r="B13972" s="76" t="s">
        <v>1041</v>
      </c>
      <c r="C13972" s="84">
        <v>2.71</v>
      </c>
      <c r="D13972" s="84">
        <v>1.0</v>
      </c>
      <c r="E13972" s="84">
        <v>2.71</v>
      </c>
      <c r="F13972" s="76" t="s">
        <v>1005</v>
      </c>
      <c r="G13972" s="83">
        <v>46123.0</v>
      </c>
      <c r="H13972" s="76" t="s">
        <v>960</v>
      </c>
    </row>
    <row r="13973">
      <c r="A13973" s="76" t="s">
        <v>46</v>
      </c>
      <c r="B13973" s="76" t="s">
        <v>1041</v>
      </c>
      <c r="C13973" s="84">
        <v>5.77</v>
      </c>
      <c r="D13973" s="84">
        <v>1.0</v>
      </c>
      <c r="E13973" s="84">
        <v>5.77</v>
      </c>
      <c r="F13973" s="76" t="s">
        <v>1005</v>
      </c>
      <c r="G13973" s="83">
        <v>46123.0</v>
      </c>
      <c r="H13973" s="76" t="s">
        <v>961</v>
      </c>
    </row>
    <row r="13974">
      <c r="A13974" s="76" t="s">
        <v>46</v>
      </c>
      <c r="B13974" s="76" t="s">
        <v>1041</v>
      </c>
      <c r="C13974" s="84">
        <v>7.73</v>
      </c>
      <c r="D13974" s="84">
        <v>0.0</v>
      </c>
      <c r="E13974" s="84">
        <v>0.0</v>
      </c>
      <c r="F13974" s="76" t="s">
        <v>1005</v>
      </c>
      <c r="G13974" s="83">
        <v>46123.0</v>
      </c>
      <c r="H13974" s="76" t="s">
        <v>962</v>
      </c>
    </row>
    <row r="13975">
      <c r="A13975" s="76" t="s">
        <v>970</v>
      </c>
      <c r="B13975" s="76" t="s">
        <v>1041</v>
      </c>
      <c r="C13975" s="84">
        <v>13.57</v>
      </c>
      <c r="D13975" s="84">
        <v>1.0</v>
      </c>
      <c r="E13975" s="84">
        <v>13.57</v>
      </c>
      <c r="F13975" s="76" t="s">
        <v>1005</v>
      </c>
      <c r="G13975" s="83">
        <v>46123.0</v>
      </c>
      <c r="H13975" s="76" t="s">
        <v>971</v>
      </c>
    </row>
    <row r="13976">
      <c r="A13976" s="76" t="s">
        <v>970</v>
      </c>
      <c r="B13976" s="76" t="s">
        <v>1041</v>
      </c>
      <c r="C13976" s="84">
        <v>2.3</v>
      </c>
      <c r="D13976" s="84">
        <v>0.0</v>
      </c>
      <c r="E13976" s="84">
        <v>0.0</v>
      </c>
      <c r="F13976" s="76" t="s">
        <v>1005</v>
      </c>
      <c r="G13976" s="83">
        <v>46123.0</v>
      </c>
      <c r="H13976" s="76" t="s">
        <v>972</v>
      </c>
    </row>
    <row r="13977">
      <c r="A13977" s="76" t="s">
        <v>970</v>
      </c>
      <c r="B13977" s="76" t="s">
        <v>1041</v>
      </c>
      <c r="C13977" s="84">
        <v>14.47</v>
      </c>
      <c r="D13977" s="84">
        <v>3.0</v>
      </c>
      <c r="E13977" s="84">
        <v>4.82</v>
      </c>
      <c r="F13977" s="76" t="s">
        <v>1005</v>
      </c>
      <c r="G13977" s="83">
        <v>46123.0</v>
      </c>
      <c r="H13977" s="76" t="s">
        <v>973</v>
      </c>
    </row>
    <row r="13978">
      <c r="A13978" s="76" t="s">
        <v>29</v>
      </c>
      <c r="B13978" s="76" t="s">
        <v>1041</v>
      </c>
      <c r="C13978" s="84">
        <v>23.57</v>
      </c>
      <c r="D13978" s="84">
        <v>1.0</v>
      </c>
      <c r="E13978" s="84">
        <v>23.57</v>
      </c>
      <c r="F13978" s="76" t="s">
        <v>1005</v>
      </c>
      <c r="G13978" s="83">
        <v>46123.0</v>
      </c>
      <c r="H13978" s="76" t="s">
        <v>1015</v>
      </c>
    </row>
    <row r="13979">
      <c r="A13979" s="76" t="s">
        <v>29</v>
      </c>
      <c r="B13979" s="76" t="s">
        <v>1041</v>
      </c>
      <c r="C13979" s="84">
        <v>7.18</v>
      </c>
      <c r="D13979" s="84">
        <v>2.0</v>
      </c>
      <c r="E13979" s="84">
        <v>3.59</v>
      </c>
      <c r="F13979" s="76" t="s">
        <v>1005</v>
      </c>
      <c r="G13979" s="83">
        <v>46123.0</v>
      </c>
      <c r="H13979" s="76" t="s">
        <v>1016</v>
      </c>
    </row>
    <row r="13980">
      <c r="A13980" s="76" t="s">
        <v>29</v>
      </c>
      <c r="B13980" s="76" t="s">
        <v>1041</v>
      </c>
      <c r="C13980" s="84">
        <v>5.29</v>
      </c>
      <c r="D13980" s="84">
        <v>2.0</v>
      </c>
      <c r="E13980" s="84">
        <v>2.65</v>
      </c>
      <c r="F13980" s="76" t="s">
        <v>1005</v>
      </c>
      <c r="G13980" s="83">
        <v>46123.0</v>
      </c>
      <c r="H13980" s="76" t="s">
        <v>1017</v>
      </c>
    </row>
    <row r="13981">
      <c r="A13981" s="76" t="s">
        <v>34</v>
      </c>
      <c r="B13981" s="76" t="s">
        <v>1041</v>
      </c>
      <c r="C13981" s="84">
        <v>9.0</v>
      </c>
      <c r="D13981" s="84">
        <v>2.0</v>
      </c>
      <c r="E13981" s="84">
        <v>4.5</v>
      </c>
      <c r="F13981" s="76" t="s">
        <v>1005</v>
      </c>
      <c r="G13981" s="83">
        <v>46123.0</v>
      </c>
      <c r="H13981" s="76" t="s">
        <v>951</v>
      </c>
    </row>
    <row r="13982">
      <c r="A13982" s="76" t="s">
        <v>34</v>
      </c>
      <c r="B13982" s="76" t="s">
        <v>1041</v>
      </c>
      <c r="C13982" s="84">
        <v>11.9</v>
      </c>
      <c r="D13982" s="84">
        <v>2.0</v>
      </c>
      <c r="E13982" s="84">
        <v>5.95</v>
      </c>
      <c r="F13982" s="76" t="s">
        <v>1005</v>
      </c>
      <c r="G13982" s="83">
        <v>46123.0</v>
      </c>
      <c r="H13982" s="76" t="s">
        <v>952</v>
      </c>
    </row>
    <row r="13983">
      <c r="A13983" s="76" t="s">
        <v>34</v>
      </c>
      <c r="B13983" s="76" t="s">
        <v>1041</v>
      </c>
      <c r="C13983" s="84">
        <v>2.12</v>
      </c>
      <c r="D13983" s="84">
        <v>0.0</v>
      </c>
      <c r="E13983" s="84">
        <v>0.0</v>
      </c>
      <c r="F13983" s="76" t="s">
        <v>1005</v>
      </c>
      <c r="G13983" s="83">
        <v>46123.0</v>
      </c>
      <c r="H13983" s="76" t="s">
        <v>953</v>
      </c>
    </row>
    <row r="13984">
      <c r="A13984" s="76" t="s">
        <v>33</v>
      </c>
      <c r="B13984" s="76" t="s">
        <v>1041</v>
      </c>
      <c r="C13984" s="84">
        <v>668.7</v>
      </c>
      <c r="D13984" s="84">
        <v>112.0</v>
      </c>
      <c r="E13984" s="84">
        <v>5.97</v>
      </c>
      <c r="F13984" s="76" t="s">
        <v>1005</v>
      </c>
      <c r="G13984" s="83">
        <v>46123.0</v>
      </c>
      <c r="H13984" s="76" t="s">
        <v>957</v>
      </c>
    </row>
    <row r="13985">
      <c r="A13985" s="76" t="s">
        <v>33</v>
      </c>
      <c r="B13985" s="76" t="s">
        <v>1041</v>
      </c>
      <c r="C13985" s="84">
        <v>18.05</v>
      </c>
      <c r="D13985" s="84">
        <v>5.0</v>
      </c>
      <c r="E13985" s="84">
        <v>3.61</v>
      </c>
      <c r="F13985" s="76" t="s">
        <v>1005</v>
      </c>
      <c r="G13985" s="83">
        <v>46123.0</v>
      </c>
      <c r="H13985" s="76" t="s">
        <v>958</v>
      </c>
    </row>
    <row r="13986">
      <c r="A13986" s="76" t="s">
        <v>33</v>
      </c>
      <c r="B13986" s="76" t="s">
        <v>1041</v>
      </c>
      <c r="C13986" s="84">
        <v>97.9</v>
      </c>
      <c r="D13986" s="84">
        <v>24.0</v>
      </c>
      <c r="E13986" s="84">
        <v>4.08</v>
      </c>
      <c r="F13986" s="76" t="s">
        <v>1005</v>
      </c>
      <c r="G13986" s="83">
        <v>46123.0</v>
      </c>
      <c r="H13986" s="76" t="s">
        <v>959</v>
      </c>
    </row>
    <row r="13987">
      <c r="A13987" s="76" t="s">
        <v>43</v>
      </c>
      <c r="B13987" s="76" t="s">
        <v>1041</v>
      </c>
      <c r="C13987" s="84">
        <v>4.04</v>
      </c>
      <c r="D13987" s="84">
        <v>0.0</v>
      </c>
      <c r="E13987" s="84">
        <v>0.0</v>
      </c>
      <c r="F13987" s="76" t="s">
        <v>1005</v>
      </c>
      <c r="G13987" s="83">
        <v>46123.0</v>
      </c>
      <c r="H13987" s="76" t="s">
        <v>963</v>
      </c>
    </row>
    <row r="13988">
      <c r="A13988" s="76" t="s">
        <v>43</v>
      </c>
      <c r="B13988" s="76" t="s">
        <v>1041</v>
      </c>
      <c r="C13988" s="84">
        <v>10.64</v>
      </c>
      <c r="D13988" s="84">
        <v>1.0</v>
      </c>
      <c r="E13988" s="84">
        <v>10.64</v>
      </c>
      <c r="F13988" s="76" t="s">
        <v>1005</v>
      </c>
      <c r="G13988" s="83">
        <v>46123.0</v>
      </c>
      <c r="H13988" s="76" t="s">
        <v>964</v>
      </c>
    </row>
    <row r="13989">
      <c r="A13989" s="76" t="s">
        <v>43</v>
      </c>
      <c r="B13989" s="76" t="s">
        <v>1041</v>
      </c>
      <c r="C13989" s="84">
        <v>7.33</v>
      </c>
      <c r="D13989" s="84">
        <v>1.0</v>
      </c>
      <c r="E13989" s="84">
        <v>7.33</v>
      </c>
      <c r="F13989" s="76" t="s">
        <v>1005</v>
      </c>
      <c r="G13989" s="83">
        <v>46123.0</v>
      </c>
      <c r="H13989" s="76" t="s">
        <v>965</v>
      </c>
    </row>
    <row r="13990">
      <c r="A13990" s="76" t="s">
        <v>966</v>
      </c>
      <c r="B13990" s="76" t="s">
        <v>1041</v>
      </c>
      <c r="C13990" s="84">
        <v>6.25</v>
      </c>
      <c r="D13990" s="84">
        <v>0.0</v>
      </c>
      <c r="E13990" s="84">
        <v>0.0</v>
      </c>
      <c r="F13990" s="76" t="s">
        <v>1005</v>
      </c>
      <c r="G13990" s="83">
        <v>46123.0</v>
      </c>
      <c r="H13990" s="76" t="s">
        <v>967</v>
      </c>
    </row>
    <row r="13991">
      <c r="A13991" s="76" t="s">
        <v>966</v>
      </c>
      <c r="B13991" s="76" t="s">
        <v>1041</v>
      </c>
      <c r="C13991" s="84">
        <v>3.24</v>
      </c>
      <c r="D13991" s="84">
        <v>1.0</v>
      </c>
      <c r="E13991" s="84">
        <v>3.24</v>
      </c>
      <c r="F13991" s="76" t="s">
        <v>1005</v>
      </c>
      <c r="G13991" s="83">
        <v>46123.0</v>
      </c>
      <c r="H13991" s="76" t="s">
        <v>968</v>
      </c>
    </row>
    <row r="13992">
      <c r="A13992" s="76" t="s">
        <v>966</v>
      </c>
      <c r="B13992" s="76" t="s">
        <v>1041</v>
      </c>
      <c r="C13992" s="84">
        <v>21.91</v>
      </c>
      <c r="D13992" s="84">
        <v>5.0</v>
      </c>
      <c r="E13992" s="84">
        <v>4.38</v>
      </c>
      <c r="F13992" s="76" t="s">
        <v>1005</v>
      </c>
      <c r="G13992" s="83">
        <v>46123.0</v>
      </c>
      <c r="H13992" s="76" t="s">
        <v>969</v>
      </c>
    </row>
    <row r="13993">
      <c r="A13993" s="76" t="s">
        <v>970</v>
      </c>
      <c r="B13993" s="76" t="s">
        <v>1041</v>
      </c>
      <c r="C13993" s="84">
        <v>2.4</v>
      </c>
      <c r="D13993" s="84">
        <v>0.0</v>
      </c>
      <c r="E13993" s="84">
        <v>0.0</v>
      </c>
      <c r="F13993" s="76" t="s">
        <v>990</v>
      </c>
      <c r="G13993" s="83">
        <v>46123.0</v>
      </c>
      <c r="H13993" s="76" t="s">
        <v>971</v>
      </c>
    </row>
    <row r="13994">
      <c r="A13994" s="76" t="s">
        <v>970</v>
      </c>
      <c r="B13994" s="76" t="s">
        <v>1041</v>
      </c>
      <c r="C13994" s="84">
        <v>0.75</v>
      </c>
      <c r="D13994" s="84">
        <v>0.0</v>
      </c>
      <c r="E13994" s="84">
        <v>0.0</v>
      </c>
      <c r="F13994" s="76" t="s">
        <v>990</v>
      </c>
      <c r="G13994" s="83">
        <v>46123.0</v>
      </c>
      <c r="H13994" s="76" t="s">
        <v>972</v>
      </c>
    </row>
    <row r="13995">
      <c r="A13995" s="76" t="s">
        <v>970</v>
      </c>
      <c r="B13995" s="76" t="s">
        <v>1041</v>
      </c>
      <c r="C13995" s="84">
        <v>6.51</v>
      </c>
      <c r="D13995" s="84">
        <v>1.0</v>
      </c>
      <c r="E13995" s="84">
        <v>6.51</v>
      </c>
      <c r="F13995" s="76" t="s">
        <v>990</v>
      </c>
      <c r="G13995" s="83">
        <v>46123.0</v>
      </c>
      <c r="H13995" s="76" t="s">
        <v>973</v>
      </c>
    </row>
    <row r="13996">
      <c r="A13996" s="76" t="s">
        <v>29</v>
      </c>
      <c r="B13996" s="76" t="s">
        <v>1041</v>
      </c>
      <c r="C13996" s="84">
        <v>0.89</v>
      </c>
      <c r="D13996" s="84">
        <v>1.0</v>
      </c>
      <c r="E13996" s="84">
        <v>0.89</v>
      </c>
      <c r="F13996" s="76" t="s">
        <v>990</v>
      </c>
      <c r="G13996" s="83">
        <v>46123.0</v>
      </c>
      <c r="H13996" s="76" t="s">
        <v>971</v>
      </c>
    </row>
    <row r="13997">
      <c r="A13997" s="76" t="s">
        <v>29</v>
      </c>
      <c r="B13997" s="76" t="s">
        <v>1041</v>
      </c>
      <c r="C13997" s="84">
        <v>0.42</v>
      </c>
      <c r="D13997" s="84">
        <v>0.0</v>
      </c>
      <c r="E13997" s="84">
        <v>0.0</v>
      </c>
      <c r="F13997" s="76" t="s">
        <v>990</v>
      </c>
      <c r="G13997" s="83">
        <v>46123.0</v>
      </c>
      <c r="H13997" s="76" t="s">
        <v>972</v>
      </c>
    </row>
    <row r="13998">
      <c r="A13998" s="76" t="s">
        <v>29</v>
      </c>
      <c r="B13998" s="76" t="s">
        <v>1041</v>
      </c>
      <c r="C13998" s="84">
        <v>1.23</v>
      </c>
      <c r="D13998" s="84">
        <v>0.0</v>
      </c>
      <c r="E13998" s="84">
        <v>0.0</v>
      </c>
      <c r="F13998" s="76" t="s">
        <v>990</v>
      </c>
      <c r="G13998" s="83">
        <v>46123.0</v>
      </c>
      <c r="H13998" s="76" t="s">
        <v>973</v>
      </c>
    </row>
    <row r="13999">
      <c r="A13999" s="76" t="s">
        <v>46</v>
      </c>
      <c r="B13999" s="76" t="s">
        <v>1041</v>
      </c>
      <c r="C13999" s="84">
        <v>4.06</v>
      </c>
      <c r="D13999" s="84">
        <v>0.0</v>
      </c>
      <c r="E13999" s="84">
        <v>0.0</v>
      </c>
      <c r="F13999" s="76" t="s">
        <v>990</v>
      </c>
      <c r="G13999" s="83">
        <v>46123.0</v>
      </c>
      <c r="H13999" s="76" t="s">
        <v>960</v>
      </c>
    </row>
    <row r="14000">
      <c r="A14000" s="76" t="s">
        <v>46</v>
      </c>
      <c r="B14000" s="76" t="s">
        <v>1041</v>
      </c>
      <c r="C14000" s="84">
        <v>0.26</v>
      </c>
      <c r="D14000" s="84">
        <v>0.0</v>
      </c>
      <c r="E14000" s="84">
        <v>0.0</v>
      </c>
      <c r="F14000" s="76" t="s">
        <v>990</v>
      </c>
      <c r="G14000" s="83">
        <v>46123.0</v>
      </c>
      <c r="H14000" s="76" t="s">
        <v>961</v>
      </c>
    </row>
    <row r="14001">
      <c r="A14001" s="76" t="s">
        <v>46</v>
      </c>
      <c r="B14001" s="76" t="s">
        <v>1041</v>
      </c>
      <c r="C14001" s="84">
        <v>4.64</v>
      </c>
      <c r="D14001" s="84">
        <v>1.0</v>
      </c>
      <c r="E14001" s="84">
        <v>4.64</v>
      </c>
      <c r="F14001" s="76" t="s">
        <v>990</v>
      </c>
      <c r="G14001" s="83">
        <v>46123.0</v>
      </c>
      <c r="H14001" s="76" t="s">
        <v>962</v>
      </c>
    </row>
    <row r="14002">
      <c r="A14002" s="76" t="s">
        <v>36</v>
      </c>
      <c r="B14002" s="76" t="s">
        <v>1041</v>
      </c>
      <c r="C14002" s="84">
        <v>1.24</v>
      </c>
      <c r="D14002" s="84">
        <v>0.0</v>
      </c>
      <c r="E14002" s="84">
        <v>0.0</v>
      </c>
      <c r="F14002" s="76" t="s">
        <v>990</v>
      </c>
      <c r="G14002" s="83">
        <v>46123.0</v>
      </c>
      <c r="H14002" s="76" t="s">
        <v>926</v>
      </c>
    </row>
    <row r="14003">
      <c r="A14003" s="76" t="s">
        <v>36</v>
      </c>
      <c r="B14003" s="76" t="s">
        <v>1041</v>
      </c>
      <c r="C14003" s="84">
        <v>0.67</v>
      </c>
      <c r="D14003" s="84">
        <v>0.0</v>
      </c>
      <c r="E14003" s="84">
        <v>0.0</v>
      </c>
      <c r="F14003" s="76" t="s">
        <v>990</v>
      </c>
      <c r="G14003" s="83">
        <v>46123.0</v>
      </c>
      <c r="H14003" s="76" t="s">
        <v>927</v>
      </c>
    </row>
    <row r="14004">
      <c r="A14004" s="76" t="s">
        <v>36</v>
      </c>
      <c r="B14004" s="76" t="s">
        <v>1041</v>
      </c>
      <c r="C14004" s="84">
        <v>0.68</v>
      </c>
      <c r="D14004" s="84">
        <v>0.0</v>
      </c>
      <c r="E14004" s="84">
        <v>0.0</v>
      </c>
      <c r="F14004" s="76" t="s">
        <v>990</v>
      </c>
      <c r="G14004" s="83">
        <v>46123.0</v>
      </c>
      <c r="H14004" s="76" t="s">
        <v>928</v>
      </c>
    </row>
    <row r="14005">
      <c r="A14005" s="76" t="s">
        <v>34</v>
      </c>
      <c r="B14005" s="76" t="s">
        <v>1041</v>
      </c>
      <c r="C14005" s="84">
        <v>0.35</v>
      </c>
      <c r="D14005" s="84">
        <v>1.0</v>
      </c>
      <c r="E14005" s="84">
        <v>0.35</v>
      </c>
      <c r="F14005" s="76" t="s">
        <v>990</v>
      </c>
      <c r="G14005" s="83">
        <v>46123.0</v>
      </c>
      <c r="H14005" s="76" t="s">
        <v>951</v>
      </c>
    </row>
    <row r="14006">
      <c r="A14006" s="76" t="s">
        <v>34</v>
      </c>
      <c r="B14006" s="76" t="s">
        <v>1041</v>
      </c>
      <c r="C14006" s="84">
        <v>1.21</v>
      </c>
      <c r="D14006" s="84">
        <v>0.0</v>
      </c>
      <c r="E14006" s="84">
        <v>0.0</v>
      </c>
      <c r="F14006" s="76" t="s">
        <v>990</v>
      </c>
      <c r="G14006" s="83">
        <v>46123.0</v>
      </c>
      <c r="H14006" s="76" t="s">
        <v>952</v>
      </c>
    </row>
    <row r="14007">
      <c r="A14007" s="76" t="s">
        <v>34</v>
      </c>
      <c r="B14007" s="76" t="s">
        <v>1041</v>
      </c>
      <c r="C14007" s="84">
        <v>1.03</v>
      </c>
      <c r="D14007" s="84">
        <v>0.0</v>
      </c>
      <c r="E14007" s="84">
        <v>0.0</v>
      </c>
      <c r="F14007" s="76" t="s">
        <v>990</v>
      </c>
      <c r="G14007" s="83">
        <v>46123.0</v>
      </c>
      <c r="H14007" s="76" t="s">
        <v>953</v>
      </c>
    </row>
    <row r="14008">
      <c r="A14008" s="76" t="s">
        <v>33</v>
      </c>
      <c r="B14008" s="76" t="s">
        <v>1041</v>
      </c>
      <c r="C14008" s="84">
        <v>4.78</v>
      </c>
      <c r="D14008" s="84">
        <v>1.0</v>
      </c>
      <c r="E14008" s="84">
        <v>4.78</v>
      </c>
      <c r="F14008" s="76" t="s">
        <v>990</v>
      </c>
      <c r="G14008" s="83">
        <v>46123.0</v>
      </c>
      <c r="H14008" s="76" t="s">
        <v>957</v>
      </c>
    </row>
    <row r="14009">
      <c r="A14009" s="76" t="s">
        <v>33</v>
      </c>
      <c r="B14009" s="76" t="s">
        <v>1041</v>
      </c>
      <c r="C14009" s="84">
        <v>0.18</v>
      </c>
      <c r="D14009" s="84">
        <v>0.0</v>
      </c>
      <c r="E14009" s="84">
        <v>0.0</v>
      </c>
      <c r="F14009" s="76" t="s">
        <v>990</v>
      </c>
      <c r="G14009" s="83">
        <v>46123.0</v>
      </c>
      <c r="H14009" s="76" t="s">
        <v>958</v>
      </c>
    </row>
    <row r="14010">
      <c r="A14010" s="76" t="s">
        <v>33</v>
      </c>
      <c r="B14010" s="76" t="s">
        <v>1041</v>
      </c>
      <c r="C14010" s="84">
        <v>1.19</v>
      </c>
      <c r="D14010" s="84">
        <v>1.0</v>
      </c>
      <c r="E14010" s="84">
        <v>1.19</v>
      </c>
      <c r="F14010" s="76" t="s">
        <v>990</v>
      </c>
      <c r="G14010" s="83">
        <v>46123.0</v>
      </c>
      <c r="H14010" s="76" t="s">
        <v>959</v>
      </c>
    </row>
    <row r="14011">
      <c r="A14011" s="76" t="s">
        <v>40</v>
      </c>
      <c r="B14011" s="76" t="s">
        <v>1041</v>
      </c>
      <c r="C14011" s="84">
        <v>1.33</v>
      </c>
      <c r="D14011" s="84">
        <v>0.0</v>
      </c>
      <c r="E14011" s="84">
        <v>0.0</v>
      </c>
      <c r="F14011" s="76" t="s">
        <v>990</v>
      </c>
      <c r="G14011" s="83">
        <v>46123.0</v>
      </c>
      <c r="H14011" s="76" t="s">
        <v>954</v>
      </c>
    </row>
    <row r="14012">
      <c r="A14012" s="76" t="s">
        <v>40</v>
      </c>
      <c r="B14012" s="76" t="s">
        <v>1041</v>
      </c>
      <c r="C14012" s="84">
        <v>0.91</v>
      </c>
      <c r="D14012" s="84">
        <v>0.0</v>
      </c>
      <c r="E14012" s="84">
        <v>0.0</v>
      </c>
      <c r="F14012" s="76" t="s">
        <v>990</v>
      </c>
      <c r="G14012" s="83">
        <v>46123.0</v>
      </c>
      <c r="H14012" s="76" t="s">
        <v>955</v>
      </c>
    </row>
    <row r="14013">
      <c r="A14013" s="76" t="s">
        <v>40</v>
      </c>
      <c r="B14013" s="76" t="s">
        <v>1041</v>
      </c>
      <c r="C14013" s="84">
        <v>3.26</v>
      </c>
      <c r="D14013" s="84">
        <v>1.0</v>
      </c>
      <c r="E14013" s="84">
        <v>3.26</v>
      </c>
      <c r="F14013" s="76" t="s">
        <v>990</v>
      </c>
      <c r="G14013" s="83">
        <v>46123.0</v>
      </c>
      <c r="H14013" s="76" t="s">
        <v>956</v>
      </c>
    </row>
    <row r="14014">
      <c r="A14014" s="76" t="s">
        <v>43</v>
      </c>
      <c r="B14014" s="76" t="s">
        <v>1041</v>
      </c>
      <c r="C14014" s="84">
        <v>0.2</v>
      </c>
      <c r="D14014" s="84">
        <v>0.0</v>
      </c>
      <c r="E14014" s="84">
        <v>0.0</v>
      </c>
      <c r="F14014" s="76" t="s">
        <v>990</v>
      </c>
      <c r="G14014" s="83">
        <v>46123.0</v>
      </c>
      <c r="H14014" s="76" t="s">
        <v>963</v>
      </c>
    </row>
    <row r="14015">
      <c r="A14015" s="76" t="s">
        <v>43</v>
      </c>
      <c r="B14015" s="76" t="s">
        <v>1041</v>
      </c>
      <c r="C14015" s="84">
        <v>1.41</v>
      </c>
      <c r="D14015" s="84">
        <v>0.0</v>
      </c>
      <c r="E14015" s="84">
        <v>0.0</v>
      </c>
      <c r="F14015" s="76" t="s">
        <v>990</v>
      </c>
      <c r="G14015" s="83">
        <v>46123.0</v>
      </c>
      <c r="H14015" s="76" t="s">
        <v>964</v>
      </c>
    </row>
    <row r="14016">
      <c r="A14016" s="76" t="s">
        <v>43</v>
      </c>
      <c r="B14016" s="76" t="s">
        <v>1041</v>
      </c>
      <c r="C14016" s="84">
        <v>2.02</v>
      </c>
      <c r="D14016" s="84">
        <v>0.0</v>
      </c>
      <c r="E14016" s="84">
        <v>0.0</v>
      </c>
      <c r="F14016" s="76" t="s">
        <v>990</v>
      </c>
      <c r="G14016" s="83">
        <v>46123.0</v>
      </c>
      <c r="H14016" s="76" t="s">
        <v>965</v>
      </c>
    </row>
    <row r="14017">
      <c r="A14017" s="76" t="s">
        <v>966</v>
      </c>
      <c r="B14017" s="76" t="s">
        <v>1041</v>
      </c>
      <c r="C14017" s="84">
        <v>0.94</v>
      </c>
      <c r="D14017" s="84">
        <v>0.0</v>
      </c>
      <c r="E14017" s="84">
        <v>0.0</v>
      </c>
      <c r="F14017" s="76" t="s">
        <v>990</v>
      </c>
      <c r="G14017" s="83">
        <v>46123.0</v>
      </c>
      <c r="H14017" s="76" t="s">
        <v>967</v>
      </c>
    </row>
    <row r="14018">
      <c r="A14018" s="76" t="s">
        <v>966</v>
      </c>
      <c r="B14018" s="76" t="s">
        <v>1041</v>
      </c>
      <c r="C14018" s="84">
        <v>0.18</v>
      </c>
      <c r="D14018" s="84">
        <v>0.0</v>
      </c>
      <c r="E14018" s="84">
        <v>0.0</v>
      </c>
      <c r="F14018" s="76" t="s">
        <v>990</v>
      </c>
      <c r="G14018" s="83">
        <v>46123.0</v>
      </c>
      <c r="H14018" s="76" t="s">
        <v>968</v>
      </c>
    </row>
    <row r="14019">
      <c r="A14019" s="76" t="s">
        <v>966</v>
      </c>
      <c r="B14019" s="76" t="s">
        <v>1041</v>
      </c>
      <c r="C14019" s="84">
        <v>0.29</v>
      </c>
      <c r="D14019" s="84">
        <v>0.0</v>
      </c>
      <c r="E14019" s="84">
        <v>0.0</v>
      </c>
      <c r="F14019" s="76" t="s">
        <v>990</v>
      </c>
      <c r="G14019" s="83">
        <v>46123.0</v>
      </c>
      <c r="H14019" s="76" t="s">
        <v>969</v>
      </c>
    </row>
    <row r="14020">
      <c r="A14020" s="76" t="s">
        <v>970</v>
      </c>
      <c r="B14020" s="76" t="s">
        <v>1041</v>
      </c>
      <c r="C14020" s="84">
        <v>4.63</v>
      </c>
      <c r="D14020" s="84">
        <v>1.0</v>
      </c>
      <c r="E14020" s="84">
        <v>4.63</v>
      </c>
      <c r="F14020" s="76" t="s">
        <v>996</v>
      </c>
      <c r="G14020" s="83">
        <v>46123.0</v>
      </c>
      <c r="H14020" s="76" t="s">
        <v>971</v>
      </c>
    </row>
    <row r="14021">
      <c r="A14021" s="76" t="s">
        <v>970</v>
      </c>
      <c r="B14021" s="76" t="s">
        <v>1041</v>
      </c>
      <c r="C14021" s="84">
        <v>2.59</v>
      </c>
      <c r="D14021" s="84">
        <v>1.0</v>
      </c>
      <c r="E14021" s="84">
        <v>2.59</v>
      </c>
      <c r="F14021" s="76" t="s">
        <v>996</v>
      </c>
      <c r="G14021" s="83">
        <v>46123.0</v>
      </c>
      <c r="H14021" s="76" t="s">
        <v>972</v>
      </c>
    </row>
    <row r="14022">
      <c r="A14022" s="76" t="s">
        <v>970</v>
      </c>
      <c r="B14022" s="76" t="s">
        <v>1041</v>
      </c>
      <c r="C14022" s="84">
        <v>8.1</v>
      </c>
      <c r="D14022" s="84">
        <v>0.0</v>
      </c>
      <c r="E14022" s="84">
        <v>0.0</v>
      </c>
      <c r="F14022" s="76" t="s">
        <v>996</v>
      </c>
      <c r="G14022" s="83">
        <v>46123.0</v>
      </c>
      <c r="H14022" s="76" t="s">
        <v>973</v>
      </c>
    </row>
    <row r="14023">
      <c r="A14023" s="76" t="s">
        <v>29</v>
      </c>
      <c r="B14023" s="76" t="s">
        <v>1041</v>
      </c>
      <c r="C14023" s="84">
        <v>5.43</v>
      </c>
      <c r="D14023" s="84">
        <v>0.0</v>
      </c>
      <c r="E14023" s="84">
        <v>0.0</v>
      </c>
      <c r="F14023" s="76" t="s">
        <v>996</v>
      </c>
      <c r="G14023" s="83">
        <v>46123.0</v>
      </c>
      <c r="H14023" s="76" t="s">
        <v>971</v>
      </c>
    </row>
    <row r="14024">
      <c r="A14024" s="76" t="s">
        <v>29</v>
      </c>
      <c r="B14024" s="76" t="s">
        <v>1041</v>
      </c>
      <c r="C14024" s="84">
        <v>3.01</v>
      </c>
      <c r="D14024" s="84">
        <v>0.0</v>
      </c>
      <c r="E14024" s="84">
        <v>0.0</v>
      </c>
      <c r="F14024" s="76" t="s">
        <v>996</v>
      </c>
      <c r="G14024" s="83">
        <v>46123.0</v>
      </c>
      <c r="H14024" s="76" t="s">
        <v>972</v>
      </c>
    </row>
    <row r="14025">
      <c r="A14025" s="76" t="s">
        <v>29</v>
      </c>
      <c r="B14025" s="76" t="s">
        <v>1041</v>
      </c>
      <c r="C14025" s="84">
        <v>12.83</v>
      </c>
      <c r="D14025" s="84">
        <v>2.0</v>
      </c>
      <c r="E14025" s="84">
        <v>6.42</v>
      </c>
      <c r="F14025" s="76" t="s">
        <v>996</v>
      </c>
      <c r="G14025" s="83">
        <v>46123.0</v>
      </c>
      <c r="H14025" s="76" t="s">
        <v>973</v>
      </c>
    </row>
    <row r="14026">
      <c r="A14026" s="76" t="s">
        <v>43</v>
      </c>
      <c r="B14026" s="76" t="s">
        <v>1041</v>
      </c>
      <c r="C14026" s="84">
        <v>2.84</v>
      </c>
      <c r="D14026" s="84">
        <v>0.0</v>
      </c>
      <c r="E14026" s="84">
        <v>0.0</v>
      </c>
      <c r="F14026" s="76" t="s">
        <v>996</v>
      </c>
      <c r="G14026" s="83">
        <v>46123.0</v>
      </c>
      <c r="H14026" s="76" t="s">
        <v>963</v>
      </c>
    </row>
    <row r="14027">
      <c r="A14027" s="76" t="s">
        <v>43</v>
      </c>
      <c r="B14027" s="76" t="s">
        <v>1041</v>
      </c>
      <c r="C14027" s="84">
        <v>4.64</v>
      </c>
      <c r="D14027" s="84">
        <v>1.0</v>
      </c>
      <c r="E14027" s="84">
        <v>4.64</v>
      </c>
      <c r="F14027" s="76" t="s">
        <v>996</v>
      </c>
      <c r="G14027" s="83">
        <v>46123.0</v>
      </c>
      <c r="H14027" s="76" t="s">
        <v>964</v>
      </c>
    </row>
    <row r="14028">
      <c r="A14028" s="76" t="s">
        <v>43</v>
      </c>
      <c r="B14028" s="76" t="s">
        <v>1041</v>
      </c>
      <c r="C14028" s="84">
        <v>7.1</v>
      </c>
      <c r="D14028" s="84">
        <v>2.0</v>
      </c>
      <c r="E14028" s="84">
        <v>3.55</v>
      </c>
      <c r="F14028" s="76" t="s">
        <v>996</v>
      </c>
      <c r="G14028" s="83">
        <v>46123.0</v>
      </c>
      <c r="H14028" s="76" t="s">
        <v>965</v>
      </c>
    </row>
    <row r="14029">
      <c r="A14029" s="76" t="s">
        <v>46</v>
      </c>
      <c r="B14029" s="76" t="s">
        <v>1041</v>
      </c>
      <c r="C14029" s="84">
        <v>5.16</v>
      </c>
      <c r="D14029" s="84">
        <v>1.0</v>
      </c>
      <c r="E14029" s="84">
        <v>5.16</v>
      </c>
      <c r="F14029" s="76" t="s">
        <v>996</v>
      </c>
      <c r="G14029" s="83">
        <v>46123.0</v>
      </c>
      <c r="H14029" s="76" t="s">
        <v>960</v>
      </c>
    </row>
    <row r="14030">
      <c r="A14030" s="76" t="s">
        <v>46</v>
      </c>
      <c r="B14030" s="76" t="s">
        <v>1041</v>
      </c>
      <c r="C14030" s="84">
        <v>4.15</v>
      </c>
      <c r="D14030" s="84">
        <v>1.0</v>
      </c>
      <c r="E14030" s="84">
        <v>4.15</v>
      </c>
      <c r="F14030" s="76" t="s">
        <v>996</v>
      </c>
      <c r="G14030" s="83">
        <v>46123.0</v>
      </c>
      <c r="H14030" s="76" t="s">
        <v>961</v>
      </c>
    </row>
    <row r="14031">
      <c r="A14031" s="76" t="s">
        <v>46</v>
      </c>
      <c r="B14031" s="76" t="s">
        <v>1041</v>
      </c>
      <c r="C14031" s="84">
        <v>11.32</v>
      </c>
      <c r="D14031" s="84">
        <v>0.0</v>
      </c>
      <c r="E14031" s="84">
        <v>0.0</v>
      </c>
      <c r="F14031" s="76" t="s">
        <v>996</v>
      </c>
      <c r="G14031" s="83">
        <v>46123.0</v>
      </c>
      <c r="H14031" s="76" t="s">
        <v>962</v>
      </c>
    </row>
    <row r="14032">
      <c r="A14032" s="76" t="s">
        <v>966</v>
      </c>
      <c r="B14032" s="76" t="s">
        <v>1041</v>
      </c>
      <c r="C14032" s="84">
        <v>3.64</v>
      </c>
      <c r="D14032" s="84">
        <v>1.0</v>
      </c>
      <c r="E14032" s="84">
        <v>3.64</v>
      </c>
      <c r="F14032" s="76" t="s">
        <v>996</v>
      </c>
      <c r="G14032" s="83">
        <v>46123.0</v>
      </c>
      <c r="H14032" s="76" t="s">
        <v>967</v>
      </c>
    </row>
    <row r="14033">
      <c r="A14033" s="76" t="s">
        <v>966</v>
      </c>
      <c r="B14033" s="76" t="s">
        <v>1041</v>
      </c>
      <c r="C14033" s="84">
        <v>1.11</v>
      </c>
      <c r="D14033" s="84">
        <v>0.0</v>
      </c>
      <c r="E14033" s="84">
        <v>0.0</v>
      </c>
      <c r="F14033" s="76" t="s">
        <v>996</v>
      </c>
      <c r="G14033" s="83">
        <v>46123.0</v>
      </c>
      <c r="H14033" s="76" t="s">
        <v>968</v>
      </c>
    </row>
    <row r="14034">
      <c r="A14034" s="76" t="s">
        <v>966</v>
      </c>
      <c r="B14034" s="76" t="s">
        <v>1041</v>
      </c>
      <c r="C14034" s="84">
        <v>3.24</v>
      </c>
      <c r="D14034" s="84">
        <v>0.0</v>
      </c>
      <c r="E14034" s="84">
        <v>0.0</v>
      </c>
      <c r="F14034" s="76" t="s">
        <v>996</v>
      </c>
      <c r="G14034" s="83">
        <v>46123.0</v>
      </c>
      <c r="H14034" s="76" t="s">
        <v>969</v>
      </c>
    </row>
    <row r="14035">
      <c r="A14035" s="76" t="s">
        <v>33</v>
      </c>
      <c r="B14035" s="76" t="s">
        <v>1041</v>
      </c>
      <c r="C14035" s="84">
        <v>33.6</v>
      </c>
      <c r="D14035" s="84">
        <v>2.0</v>
      </c>
      <c r="E14035" s="84">
        <v>16.8</v>
      </c>
      <c r="F14035" s="76" t="s">
        <v>996</v>
      </c>
      <c r="G14035" s="83">
        <v>46123.0</v>
      </c>
      <c r="H14035" s="76" t="s">
        <v>957</v>
      </c>
    </row>
    <row r="14036">
      <c r="A14036" s="76" t="s">
        <v>33</v>
      </c>
      <c r="B14036" s="76" t="s">
        <v>1041</v>
      </c>
      <c r="C14036" s="84">
        <v>4.5</v>
      </c>
      <c r="D14036" s="84">
        <v>0.0</v>
      </c>
      <c r="E14036" s="84">
        <v>0.0</v>
      </c>
      <c r="F14036" s="76" t="s">
        <v>996</v>
      </c>
      <c r="G14036" s="83">
        <v>46123.0</v>
      </c>
      <c r="H14036" s="76" t="s">
        <v>958</v>
      </c>
    </row>
    <row r="14037">
      <c r="A14037" s="76" t="s">
        <v>33</v>
      </c>
      <c r="B14037" s="76" t="s">
        <v>1041</v>
      </c>
      <c r="C14037" s="84">
        <v>19.45</v>
      </c>
      <c r="D14037" s="84">
        <v>1.0</v>
      </c>
      <c r="E14037" s="84">
        <v>19.45</v>
      </c>
      <c r="F14037" s="76" t="s">
        <v>996</v>
      </c>
      <c r="G14037" s="83">
        <v>46123.0</v>
      </c>
      <c r="H14037" s="76" t="s">
        <v>959</v>
      </c>
    </row>
    <row r="14038">
      <c r="A14038" s="76" t="s">
        <v>34</v>
      </c>
      <c r="B14038" s="76" t="s">
        <v>1041</v>
      </c>
      <c r="C14038" s="84">
        <v>2.46</v>
      </c>
      <c r="D14038" s="84">
        <v>0.0</v>
      </c>
      <c r="E14038" s="84">
        <v>0.0</v>
      </c>
      <c r="F14038" s="76" t="s">
        <v>996</v>
      </c>
      <c r="G14038" s="83">
        <v>46123.0</v>
      </c>
      <c r="H14038" s="76" t="s">
        <v>951</v>
      </c>
    </row>
    <row r="14039">
      <c r="A14039" s="76" t="s">
        <v>34</v>
      </c>
      <c r="B14039" s="76" t="s">
        <v>1041</v>
      </c>
      <c r="C14039" s="84">
        <v>7.31</v>
      </c>
      <c r="D14039" s="84">
        <v>0.0</v>
      </c>
      <c r="E14039" s="84">
        <v>0.0</v>
      </c>
      <c r="F14039" s="76" t="s">
        <v>996</v>
      </c>
      <c r="G14039" s="83">
        <v>46123.0</v>
      </c>
      <c r="H14039" s="76" t="s">
        <v>952</v>
      </c>
    </row>
    <row r="14040">
      <c r="A14040" s="76" t="s">
        <v>34</v>
      </c>
      <c r="B14040" s="76" t="s">
        <v>1041</v>
      </c>
      <c r="C14040" s="84">
        <v>3.9</v>
      </c>
      <c r="D14040" s="84">
        <v>0.0</v>
      </c>
      <c r="E14040" s="84">
        <v>0.0</v>
      </c>
      <c r="F14040" s="76" t="s">
        <v>996</v>
      </c>
      <c r="G14040" s="83">
        <v>46123.0</v>
      </c>
      <c r="H14040" s="76" t="s">
        <v>953</v>
      </c>
    </row>
    <row r="14041">
      <c r="A14041" s="76" t="s">
        <v>36</v>
      </c>
      <c r="B14041" s="76" t="s">
        <v>1041</v>
      </c>
      <c r="C14041" s="84">
        <v>5.8</v>
      </c>
      <c r="D14041" s="84">
        <v>1.0</v>
      </c>
      <c r="E14041" s="84">
        <v>5.8</v>
      </c>
      <c r="F14041" s="76" t="s">
        <v>996</v>
      </c>
      <c r="G14041" s="83">
        <v>46123.0</v>
      </c>
      <c r="H14041" s="76" t="s">
        <v>926</v>
      </c>
    </row>
    <row r="14042">
      <c r="A14042" s="76" t="s">
        <v>36</v>
      </c>
      <c r="B14042" s="76" t="s">
        <v>1041</v>
      </c>
      <c r="C14042" s="84">
        <v>2.41</v>
      </c>
      <c r="D14042" s="84">
        <v>0.0</v>
      </c>
      <c r="E14042" s="84">
        <v>0.0</v>
      </c>
      <c r="F14042" s="76" t="s">
        <v>996</v>
      </c>
      <c r="G14042" s="83">
        <v>46123.0</v>
      </c>
      <c r="H14042" s="76" t="s">
        <v>927</v>
      </c>
    </row>
    <row r="14043">
      <c r="A14043" s="76" t="s">
        <v>36</v>
      </c>
      <c r="B14043" s="76" t="s">
        <v>1041</v>
      </c>
      <c r="C14043" s="84">
        <v>9.1</v>
      </c>
      <c r="D14043" s="84">
        <v>2.0</v>
      </c>
      <c r="E14043" s="84">
        <v>4.55</v>
      </c>
      <c r="F14043" s="76" t="s">
        <v>996</v>
      </c>
      <c r="G14043" s="83">
        <v>46123.0</v>
      </c>
      <c r="H14043" s="76" t="s">
        <v>928</v>
      </c>
    </row>
    <row r="14044">
      <c r="A14044" s="76" t="s">
        <v>40</v>
      </c>
      <c r="B14044" s="76" t="s">
        <v>1041</v>
      </c>
      <c r="C14044" s="84">
        <v>17.47</v>
      </c>
      <c r="D14044" s="84">
        <v>1.0</v>
      </c>
      <c r="E14044" s="84">
        <v>17.47</v>
      </c>
      <c r="F14044" s="76" t="s">
        <v>996</v>
      </c>
      <c r="G14044" s="83">
        <v>46123.0</v>
      </c>
      <c r="H14044" s="76" t="s">
        <v>954</v>
      </c>
    </row>
    <row r="14045">
      <c r="A14045" s="76" t="s">
        <v>40</v>
      </c>
      <c r="B14045" s="76" t="s">
        <v>1041</v>
      </c>
      <c r="C14045" s="84">
        <v>7.37</v>
      </c>
      <c r="D14045" s="84">
        <v>2.0</v>
      </c>
      <c r="E14045" s="84">
        <v>3.68</v>
      </c>
      <c r="F14045" s="76" t="s">
        <v>996</v>
      </c>
      <c r="G14045" s="83">
        <v>46123.0</v>
      </c>
      <c r="H14045" s="76" t="s">
        <v>955</v>
      </c>
    </row>
    <row r="14046">
      <c r="A14046" s="76" t="s">
        <v>40</v>
      </c>
      <c r="B14046" s="76" t="s">
        <v>1041</v>
      </c>
      <c r="C14046" s="84">
        <v>9.85</v>
      </c>
      <c r="D14046" s="84">
        <v>0.0</v>
      </c>
      <c r="E14046" s="84">
        <v>0.0</v>
      </c>
      <c r="F14046" s="76" t="s">
        <v>996</v>
      </c>
      <c r="G14046" s="83">
        <v>46123.0</v>
      </c>
      <c r="H14046" s="76" t="s">
        <v>956</v>
      </c>
    </row>
    <row r="14047">
      <c r="A14047" s="76" t="s">
        <v>40</v>
      </c>
      <c r="B14047" s="76" t="s">
        <v>1041</v>
      </c>
      <c r="C14047" s="84">
        <v>0.32</v>
      </c>
      <c r="D14047" s="84">
        <v>1.0</v>
      </c>
      <c r="E14047" s="84">
        <v>0.32</v>
      </c>
      <c r="F14047" s="76" t="s">
        <v>993</v>
      </c>
      <c r="G14047" s="83">
        <v>46123.0</v>
      </c>
      <c r="H14047" s="76" t="s">
        <v>954</v>
      </c>
    </row>
    <row r="14048">
      <c r="A14048" s="76" t="s">
        <v>40</v>
      </c>
      <c r="B14048" s="76" t="s">
        <v>1041</v>
      </c>
      <c r="C14048" s="84">
        <v>0.2</v>
      </c>
      <c r="D14048" s="84">
        <v>0.0</v>
      </c>
      <c r="E14048" s="84">
        <v>0.0</v>
      </c>
      <c r="F14048" s="76" t="s">
        <v>993</v>
      </c>
      <c r="G14048" s="83">
        <v>46123.0</v>
      </c>
      <c r="H14048" s="76" t="s">
        <v>955</v>
      </c>
    </row>
    <row r="14049">
      <c r="A14049" s="76" t="s">
        <v>40</v>
      </c>
      <c r="B14049" s="76" t="s">
        <v>1041</v>
      </c>
      <c r="C14049" s="84">
        <v>1.71</v>
      </c>
      <c r="D14049" s="84">
        <v>0.0</v>
      </c>
      <c r="E14049" s="84">
        <v>0.0</v>
      </c>
      <c r="F14049" s="76" t="s">
        <v>993</v>
      </c>
      <c r="G14049" s="83">
        <v>46123.0</v>
      </c>
      <c r="H14049" s="76" t="s">
        <v>956</v>
      </c>
    </row>
    <row r="14050">
      <c r="A14050" s="76" t="s">
        <v>36</v>
      </c>
      <c r="B14050" s="76" t="s">
        <v>1041</v>
      </c>
      <c r="C14050" s="84">
        <v>1.35</v>
      </c>
      <c r="D14050" s="84">
        <v>0.0</v>
      </c>
      <c r="E14050" s="84">
        <v>0.0</v>
      </c>
      <c r="F14050" s="76" t="s">
        <v>993</v>
      </c>
      <c r="G14050" s="83">
        <v>46123.0</v>
      </c>
      <c r="H14050" s="76" t="s">
        <v>926</v>
      </c>
    </row>
    <row r="14051">
      <c r="A14051" s="76" t="s">
        <v>36</v>
      </c>
      <c r="B14051" s="76" t="s">
        <v>1041</v>
      </c>
      <c r="C14051" s="84">
        <v>0.38</v>
      </c>
      <c r="D14051" s="84">
        <v>0.0</v>
      </c>
      <c r="E14051" s="84">
        <v>0.0</v>
      </c>
      <c r="F14051" s="76" t="s">
        <v>993</v>
      </c>
      <c r="G14051" s="83">
        <v>46123.0</v>
      </c>
      <c r="H14051" s="76" t="s">
        <v>927</v>
      </c>
    </row>
    <row r="14052">
      <c r="A14052" s="76" t="s">
        <v>36</v>
      </c>
      <c r="B14052" s="76" t="s">
        <v>1041</v>
      </c>
      <c r="C14052" s="84">
        <v>0.6</v>
      </c>
      <c r="D14052" s="84">
        <v>0.0</v>
      </c>
      <c r="E14052" s="84">
        <v>0.0</v>
      </c>
      <c r="F14052" s="76" t="s">
        <v>993</v>
      </c>
      <c r="G14052" s="83">
        <v>46123.0</v>
      </c>
      <c r="H14052" s="76" t="s">
        <v>928</v>
      </c>
    </row>
    <row r="14053">
      <c r="A14053" s="76" t="s">
        <v>46</v>
      </c>
      <c r="B14053" s="76" t="s">
        <v>1041</v>
      </c>
      <c r="C14053" s="84">
        <v>0.33</v>
      </c>
      <c r="D14053" s="84">
        <v>0.0</v>
      </c>
      <c r="E14053" s="84">
        <v>0.0</v>
      </c>
      <c r="F14053" s="76" t="s">
        <v>993</v>
      </c>
      <c r="G14053" s="83">
        <v>46123.0</v>
      </c>
      <c r="H14053" s="76" t="s">
        <v>960</v>
      </c>
    </row>
    <row r="14054">
      <c r="A14054" s="76" t="s">
        <v>46</v>
      </c>
      <c r="B14054" s="76" t="s">
        <v>1041</v>
      </c>
      <c r="C14054" s="84">
        <v>0.37</v>
      </c>
      <c r="D14054" s="84">
        <v>0.0</v>
      </c>
      <c r="E14054" s="84">
        <v>0.0</v>
      </c>
      <c r="F14054" s="76" t="s">
        <v>993</v>
      </c>
      <c r="G14054" s="83">
        <v>46123.0</v>
      </c>
      <c r="H14054" s="76" t="s">
        <v>961</v>
      </c>
    </row>
    <row r="14055">
      <c r="A14055" s="76" t="s">
        <v>46</v>
      </c>
      <c r="B14055" s="76" t="s">
        <v>1041</v>
      </c>
      <c r="C14055" s="84">
        <v>0.64</v>
      </c>
      <c r="D14055" s="84">
        <v>0.0</v>
      </c>
      <c r="E14055" s="84">
        <v>0.0</v>
      </c>
      <c r="F14055" s="76" t="s">
        <v>993</v>
      </c>
      <c r="G14055" s="83">
        <v>46123.0</v>
      </c>
      <c r="H14055" s="76" t="s">
        <v>962</v>
      </c>
    </row>
    <row r="14056">
      <c r="A14056" s="76" t="s">
        <v>970</v>
      </c>
      <c r="B14056" s="76" t="s">
        <v>1041</v>
      </c>
      <c r="C14056" s="84">
        <v>0.45</v>
      </c>
      <c r="D14056" s="84">
        <v>0.0</v>
      </c>
      <c r="E14056" s="84">
        <v>0.0</v>
      </c>
      <c r="F14056" s="76" t="s">
        <v>993</v>
      </c>
      <c r="G14056" s="83">
        <v>46123.0</v>
      </c>
      <c r="H14056" s="76" t="s">
        <v>971</v>
      </c>
    </row>
    <row r="14057">
      <c r="A14057" s="76" t="s">
        <v>970</v>
      </c>
      <c r="B14057" s="76" t="s">
        <v>1041</v>
      </c>
      <c r="C14057" s="84">
        <v>0.14</v>
      </c>
      <c r="D14057" s="84">
        <v>0.0</v>
      </c>
      <c r="E14057" s="84">
        <v>0.0</v>
      </c>
      <c r="F14057" s="76" t="s">
        <v>993</v>
      </c>
      <c r="G14057" s="83">
        <v>46123.0</v>
      </c>
      <c r="H14057" s="76" t="s">
        <v>972</v>
      </c>
    </row>
    <row r="14058">
      <c r="A14058" s="76" t="s">
        <v>970</v>
      </c>
      <c r="B14058" s="76" t="s">
        <v>1041</v>
      </c>
      <c r="C14058" s="84">
        <v>0.9</v>
      </c>
      <c r="D14058" s="84">
        <v>1.0</v>
      </c>
      <c r="E14058" s="84">
        <v>0.9</v>
      </c>
      <c r="F14058" s="76" t="s">
        <v>993</v>
      </c>
      <c r="G14058" s="83">
        <v>46123.0</v>
      </c>
      <c r="H14058" s="76" t="s">
        <v>973</v>
      </c>
    </row>
    <row r="14059">
      <c r="A14059" s="76" t="s">
        <v>33</v>
      </c>
      <c r="B14059" s="76" t="s">
        <v>1041</v>
      </c>
      <c r="C14059" s="84">
        <v>7.5</v>
      </c>
      <c r="D14059" s="84">
        <v>2.0</v>
      </c>
      <c r="E14059" s="84">
        <v>3.75</v>
      </c>
      <c r="F14059" s="76" t="s">
        <v>993</v>
      </c>
      <c r="G14059" s="83">
        <v>46123.0</v>
      </c>
      <c r="H14059" s="76" t="s">
        <v>957</v>
      </c>
    </row>
    <row r="14060">
      <c r="A14060" s="76" t="s">
        <v>33</v>
      </c>
      <c r="B14060" s="76" t="s">
        <v>1041</v>
      </c>
      <c r="C14060" s="84">
        <v>0.26</v>
      </c>
      <c r="D14060" s="84">
        <v>1.0</v>
      </c>
      <c r="E14060" s="84">
        <v>0.26</v>
      </c>
      <c r="F14060" s="76" t="s">
        <v>993</v>
      </c>
      <c r="G14060" s="83">
        <v>46123.0</v>
      </c>
      <c r="H14060" s="76" t="s">
        <v>958</v>
      </c>
    </row>
    <row r="14061">
      <c r="A14061" s="76" t="s">
        <v>33</v>
      </c>
      <c r="B14061" s="76" t="s">
        <v>1041</v>
      </c>
      <c r="C14061" s="84">
        <v>0.98</v>
      </c>
      <c r="D14061" s="84">
        <v>0.0</v>
      </c>
      <c r="E14061" s="84">
        <v>0.0</v>
      </c>
      <c r="F14061" s="76" t="s">
        <v>993</v>
      </c>
      <c r="G14061" s="83">
        <v>46123.0</v>
      </c>
      <c r="H14061" s="76" t="s">
        <v>959</v>
      </c>
    </row>
    <row r="14062">
      <c r="A14062" s="76" t="s">
        <v>966</v>
      </c>
      <c r="B14062" s="76" t="s">
        <v>1041</v>
      </c>
      <c r="C14062" s="84">
        <v>0.46</v>
      </c>
      <c r="D14062" s="84">
        <v>0.0</v>
      </c>
      <c r="E14062" s="84">
        <v>0.0</v>
      </c>
      <c r="F14062" s="76" t="s">
        <v>993</v>
      </c>
      <c r="G14062" s="83">
        <v>46123.0</v>
      </c>
      <c r="H14062" s="76" t="s">
        <v>967</v>
      </c>
    </row>
    <row r="14063">
      <c r="A14063" s="76" t="s">
        <v>966</v>
      </c>
      <c r="B14063" s="76" t="s">
        <v>1041</v>
      </c>
      <c r="C14063" s="84">
        <v>0.11</v>
      </c>
      <c r="D14063" s="84">
        <v>0.0</v>
      </c>
      <c r="E14063" s="84">
        <v>0.0</v>
      </c>
      <c r="F14063" s="76" t="s">
        <v>993</v>
      </c>
      <c r="G14063" s="83">
        <v>46123.0</v>
      </c>
      <c r="H14063" s="76" t="s">
        <v>968</v>
      </c>
    </row>
    <row r="14064">
      <c r="A14064" s="76" t="s">
        <v>966</v>
      </c>
      <c r="B14064" s="76" t="s">
        <v>1041</v>
      </c>
      <c r="C14064" s="84">
        <v>0.69</v>
      </c>
      <c r="D14064" s="84">
        <v>0.0</v>
      </c>
      <c r="E14064" s="84">
        <v>0.0</v>
      </c>
      <c r="F14064" s="76" t="s">
        <v>993</v>
      </c>
      <c r="G14064" s="83">
        <v>46123.0</v>
      </c>
      <c r="H14064" s="76" t="s">
        <v>969</v>
      </c>
    </row>
    <row r="14065">
      <c r="A14065" s="76" t="s">
        <v>29</v>
      </c>
      <c r="B14065" s="76" t="s">
        <v>1041</v>
      </c>
      <c r="C14065" s="84">
        <v>1.14</v>
      </c>
      <c r="D14065" s="84">
        <v>0.0</v>
      </c>
      <c r="E14065" s="84">
        <v>0.0</v>
      </c>
      <c r="F14065" s="76" t="s">
        <v>993</v>
      </c>
      <c r="G14065" s="83">
        <v>46123.0</v>
      </c>
      <c r="H14065" s="76" t="s">
        <v>971</v>
      </c>
    </row>
    <row r="14066">
      <c r="A14066" s="76" t="s">
        <v>29</v>
      </c>
      <c r="B14066" s="76" t="s">
        <v>1041</v>
      </c>
      <c r="C14066" s="84">
        <v>0.07</v>
      </c>
      <c r="D14066" s="84">
        <v>0.0</v>
      </c>
      <c r="E14066" s="84">
        <v>0.0</v>
      </c>
      <c r="F14066" s="76" t="s">
        <v>993</v>
      </c>
      <c r="G14066" s="83">
        <v>46123.0</v>
      </c>
      <c r="H14066" s="76" t="s">
        <v>972</v>
      </c>
    </row>
    <row r="14067">
      <c r="A14067" s="76" t="s">
        <v>29</v>
      </c>
      <c r="B14067" s="76" t="s">
        <v>1041</v>
      </c>
      <c r="C14067" s="84">
        <v>1.21</v>
      </c>
      <c r="D14067" s="84">
        <v>0.0</v>
      </c>
      <c r="E14067" s="84">
        <v>0.0</v>
      </c>
      <c r="F14067" s="76" t="s">
        <v>993</v>
      </c>
      <c r="G14067" s="83">
        <v>46123.0</v>
      </c>
      <c r="H14067" s="76" t="s">
        <v>973</v>
      </c>
    </row>
    <row r="14068">
      <c r="A14068" s="76" t="s">
        <v>34</v>
      </c>
      <c r="B14068" s="76" t="s">
        <v>1041</v>
      </c>
      <c r="C14068" s="84">
        <v>0.45</v>
      </c>
      <c r="D14068" s="84">
        <v>0.0</v>
      </c>
      <c r="E14068" s="84">
        <v>0.0</v>
      </c>
      <c r="F14068" s="76" t="s">
        <v>993</v>
      </c>
      <c r="G14068" s="83">
        <v>46123.0</v>
      </c>
      <c r="H14068" s="76" t="s">
        <v>951</v>
      </c>
    </row>
    <row r="14069">
      <c r="A14069" s="76" t="s">
        <v>34</v>
      </c>
      <c r="B14069" s="76" t="s">
        <v>1041</v>
      </c>
      <c r="C14069" s="84">
        <v>0.85</v>
      </c>
      <c r="D14069" s="84">
        <v>0.0</v>
      </c>
      <c r="E14069" s="84">
        <v>0.0</v>
      </c>
      <c r="F14069" s="76" t="s">
        <v>993</v>
      </c>
      <c r="G14069" s="83">
        <v>46123.0</v>
      </c>
      <c r="H14069" s="76" t="s">
        <v>952</v>
      </c>
    </row>
    <row r="14070">
      <c r="A14070" s="76" t="s">
        <v>34</v>
      </c>
      <c r="B14070" s="76" t="s">
        <v>1041</v>
      </c>
      <c r="C14070" s="84">
        <v>0.27</v>
      </c>
      <c r="D14070" s="84">
        <v>0.0</v>
      </c>
      <c r="E14070" s="84">
        <v>0.0</v>
      </c>
      <c r="F14070" s="76" t="s">
        <v>993</v>
      </c>
      <c r="G14070" s="83">
        <v>46123.0</v>
      </c>
      <c r="H14070" s="76" t="s">
        <v>953</v>
      </c>
    </row>
    <row r="14071">
      <c r="A14071" s="76" t="s">
        <v>43</v>
      </c>
      <c r="B14071" s="76" t="s">
        <v>1041</v>
      </c>
      <c r="C14071" s="84">
        <v>0.14</v>
      </c>
      <c r="D14071" s="84">
        <v>0.0</v>
      </c>
      <c r="E14071" s="84">
        <v>0.0</v>
      </c>
      <c r="F14071" s="76" t="s">
        <v>993</v>
      </c>
      <c r="G14071" s="83">
        <v>46123.0</v>
      </c>
      <c r="H14071" s="76" t="s">
        <v>963</v>
      </c>
    </row>
    <row r="14072">
      <c r="A14072" s="76" t="s">
        <v>43</v>
      </c>
      <c r="B14072" s="76" t="s">
        <v>1041</v>
      </c>
      <c r="C14072" s="84">
        <v>0.47</v>
      </c>
      <c r="D14072" s="84">
        <v>0.0</v>
      </c>
      <c r="E14072" s="84">
        <v>0.0</v>
      </c>
      <c r="F14072" s="76" t="s">
        <v>993</v>
      </c>
      <c r="G14072" s="83">
        <v>46123.0</v>
      </c>
      <c r="H14072" s="76" t="s">
        <v>964</v>
      </c>
    </row>
    <row r="14073">
      <c r="A14073" s="76" t="s">
        <v>43</v>
      </c>
      <c r="B14073" s="76" t="s">
        <v>1041</v>
      </c>
      <c r="C14073" s="84">
        <v>0.6</v>
      </c>
      <c r="D14073" s="84">
        <v>0.0</v>
      </c>
      <c r="E14073" s="84">
        <v>0.0</v>
      </c>
      <c r="F14073" s="76" t="s">
        <v>993</v>
      </c>
      <c r="G14073" s="83">
        <v>46123.0</v>
      </c>
      <c r="H14073" s="76" t="s">
        <v>965</v>
      </c>
    </row>
    <row r="14074">
      <c r="A14074" s="76" t="s">
        <v>36</v>
      </c>
      <c r="B14074" s="76" t="s">
        <v>1041</v>
      </c>
      <c r="C14074" s="84">
        <v>2.11</v>
      </c>
      <c r="D14074" s="84">
        <v>1.0</v>
      </c>
      <c r="E14074" s="84">
        <v>2.11</v>
      </c>
      <c r="F14074" s="76" t="s">
        <v>998</v>
      </c>
      <c r="G14074" s="83">
        <v>46123.0</v>
      </c>
      <c r="H14074" s="76" t="s">
        <v>926</v>
      </c>
    </row>
    <row r="14075">
      <c r="A14075" s="76" t="s">
        <v>36</v>
      </c>
      <c r="B14075" s="76" t="s">
        <v>1041</v>
      </c>
      <c r="C14075" s="84">
        <v>0.31</v>
      </c>
      <c r="D14075" s="84">
        <v>0.0</v>
      </c>
      <c r="E14075" s="84">
        <v>0.0</v>
      </c>
      <c r="F14075" s="76" t="s">
        <v>998</v>
      </c>
      <c r="G14075" s="83">
        <v>46123.0</v>
      </c>
      <c r="H14075" s="76" t="s">
        <v>927</v>
      </c>
    </row>
    <row r="14076">
      <c r="A14076" s="76" t="s">
        <v>36</v>
      </c>
      <c r="B14076" s="76" t="s">
        <v>1041</v>
      </c>
      <c r="C14076" s="84">
        <v>0.75</v>
      </c>
      <c r="D14076" s="84">
        <v>0.0</v>
      </c>
      <c r="E14076" s="84">
        <v>0.0</v>
      </c>
      <c r="F14076" s="76" t="s">
        <v>998</v>
      </c>
      <c r="G14076" s="83">
        <v>46123.0</v>
      </c>
      <c r="H14076" s="76" t="s">
        <v>928</v>
      </c>
    </row>
    <row r="14077">
      <c r="A14077" s="76" t="s">
        <v>34</v>
      </c>
      <c r="B14077" s="76" t="s">
        <v>1041</v>
      </c>
      <c r="C14077" s="84">
        <v>0.6</v>
      </c>
      <c r="D14077" s="84">
        <v>1.0</v>
      </c>
      <c r="E14077" s="84">
        <v>0.6</v>
      </c>
      <c r="F14077" s="76" t="s">
        <v>998</v>
      </c>
      <c r="G14077" s="83">
        <v>46123.0</v>
      </c>
      <c r="H14077" s="76" t="s">
        <v>951</v>
      </c>
    </row>
    <row r="14078">
      <c r="A14078" s="76" t="s">
        <v>34</v>
      </c>
      <c r="B14078" s="76" t="s">
        <v>1041</v>
      </c>
      <c r="C14078" s="84">
        <v>0.56</v>
      </c>
      <c r="D14078" s="84">
        <v>0.0</v>
      </c>
      <c r="E14078" s="84">
        <v>0.0</v>
      </c>
      <c r="F14078" s="76" t="s">
        <v>998</v>
      </c>
      <c r="G14078" s="83">
        <v>46123.0</v>
      </c>
      <c r="H14078" s="76" t="s">
        <v>952</v>
      </c>
    </row>
    <row r="14079">
      <c r="A14079" s="76" t="s">
        <v>34</v>
      </c>
      <c r="B14079" s="76" t="s">
        <v>1041</v>
      </c>
      <c r="C14079" s="84">
        <v>0.53</v>
      </c>
      <c r="D14079" s="84">
        <v>0.0</v>
      </c>
      <c r="E14079" s="84">
        <v>0.0</v>
      </c>
      <c r="F14079" s="76" t="s">
        <v>998</v>
      </c>
      <c r="G14079" s="83">
        <v>46123.0</v>
      </c>
      <c r="H14079" s="76" t="s">
        <v>953</v>
      </c>
    </row>
    <row r="14080">
      <c r="A14080" s="76" t="s">
        <v>33</v>
      </c>
      <c r="B14080" s="76" t="s">
        <v>1041</v>
      </c>
      <c r="C14080" s="84">
        <v>6.76</v>
      </c>
      <c r="D14080" s="84">
        <v>0.0</v>
      </c>
      <c r="E14080" s="84">
        <v>0.0</v>
      </c>
      <c r="F14080" s="76" t="s">
        <v>998</v>
      </c>
      <c r="G14080" s="83">
        <v>46123.0</v>
      </c>
      <c r="H14080" s="76" t="s">
        <v>957</v>
      </c>
    </row>
    <row r="14081">
      <c r="A14081" s="76" t="s">
        <v>33</v>
      </c>
      <c r="B14081" s="76" t="s">
        <v>1041</v>
      </c>
      <c r="C14081" s="84">
        <v>0.48</v>
      </c>
      <c r="D14081" s="84">
        <v>0.0</v>
      </c>
      <c r="E14081" s="84">
        <v>0.0</v>
      </c>
      <c r="F14081" s="76" t="s">
        <v>998</v>
      </c>
      <c r="G14081" s="83">
        <v>46123.0</v>
      </c>
      <c r="H14081" s="76" t="s">
        <v>958</v>
      </c>
    </row>
    <row r="14082">
      <c r="A14082" s="76" t="s">
        <v>33</v>
      </c>
      <c r="B14082" s="76" t="s">
        <v>1041</v>
      </c>
      <c r="C14082" s="84">
        <v>1.24</v>
      </c>
      <c r="D14082" s="84">
        <v>1.0</v>
      </c>
      <c r="E14082" s="84">
        <v>1.24</v>
      </c>
      <c r="F14082" s="76" t="s">
        <v>998</v>
      </c>
      <c r="G14082" s="83">
        <v>46123.0</v>
      </c>
      <c r="H14082" s="76" t="s">
        <v>959</v>
      </c>
    </row>
    <row r="14083">
      <c r="A14083" s="76" t="s">
        <v>29</v>
      </c>
      <c r="B14083" s="76" t="s">
        <v>1041</v>
      </c>
      <c r="C14083" s="84">
        <v>1.87</v>
      </c>
      <c r="D14083" s="84">
        <v>1.0</v>
      </c>
      <c r="E14083" s="84">
        <v>1.87</v>
      </c>
      <c r="F14083" s="76" t="s">
        <v>998</v>
      </c>
      <c r="G14083" s="83">
        <v>46123.0</v>
      </c>
      <c r="H14083" s="76" t="s">
        <v>971</v>
      </c>
    </row>
    <row r="14084">
      <c r="A14084" s="76" t="s">
        <v>29</v>
      </c>
      <c r="B14084" s="76" t="s">
        <v>1041</v>
      </c>
      <c r="C14084" s="84">
        <v>0.31</v>
      </c>
      <c r="D14084" s="84">
        <v>0.0</v>
      </c>
      <c r="E14084" s="84">
        <v>0.0</v>
      </c>
      <c r="F14084" s="76" t="s">
        <v>998</v>
      </c>
      <c r="G14084" s="83">
        <v>46123.0</v>
      </c>
      <c r="H14084" s="76" t="s">
        <v>972</v>
      </c>
    </row>
    <row r="14085">
      <c r="A14085" s="76" t="s">
        <v>29</v>
      </c>
      <c r="B14085" s="76" t="s">
        <v>1041</v>
      </c>
      <c r="C14085" s="84">
        <v>3.62</v>
      </c>
      <c r="D14085" s="84">
        <v>0.0</v>
      </c>
      <c r="E14085" s="84">
        <v>0.0</v>
      </c>
      <c r="F14085" s="76" t="s">
        <v>998</v>
      </c>
      <c r="G14085" s="83">
        <v>46123.0</v>
      </c>
      <c r="H14085" s="76" t="s">
        <v>973</v>
      </c>
    </row>
    <row r="14086">
      <c r="A14086" s="76" t="s">
        <v>46</v>
      </c>
      <c r="B14086" s="76" t="s">
        <v>1041</v>
      </c>
      <c r="C14086" s="84">
        <v>0.97</v>
      </c>
      <c r="D14086" s="84">
        <v>1.0</v>
      </c>
      <c r="E14086" s="84">
        <v>0.97</v>
      </c>
      <c r="F14086" s="76" t="s">
        <v>998</v>
      </c>
      <c r="G14086" s="83">
        <v>46123.0</v>
      </c>
      <c r="H14086" s="76" t="s">
        <v>960</v>
      </c>
    </row>
    <row r="14087">
      <c r="A14087" s="76" t="s">
        <v>46</v>
      </c>
      <c r="B14087" s="76" t="s">
        <v>1041</v>
      </c>
      <c r="C14087" s="84">
        <v>0.4</v>
      </c>
      <c r="D14087" s="84">
        <v>0.0</v>
      </c>
      <c r="E14087" s="84">
        <v>0.0</v>
      </c>
      <c r="F14087" s="76" t="s">
        <v>998</v>
      </c>
      <c r="G14087" s="83">
        <v>46123.0</v>
      </c>
      <c r="H14087" s="76" t="s">
        <v>961</v>
      </c>
    </row>
    <row r="14088">
      <c r="A14088" s="76" t="s">
        <v>46</v>
      </c>
      <c r="B14088" s="76" t="s">
        <v>1041</v>
      </c>
      <c r="C14088" s="84">
        <v>1.34</v>
      </c>
      <c r="D14088" s="84">
        <v>0.0</v>
      </c>
      <c r="E14088" s="84">
        <v>0.0</v>
      </c>
      <c r="F14088" s="76" t="s">
        <v>998</v>
      </c>
      <c r="G14088" s="83">
        <v>46123.0</v>
      </c>
      <c r="H14088" s="76" t="s">
        <v>962</v>
      </c>
    </row>
    <row r="14089">
      <c r="A14089" s="76" t="s">
        <v>40</v>
      </c>
      <c r="B14089" s="76" t="s">
        <v>1041</v>
      </c>
      <c r="C14089" s="84">
        <v>1.9</v>
      </c>
      <c r="D14089" s="84">
        <v>1.0</v>
      </c>
      <c r="E14089" s="84">
        <v>1.9</v>
      </c>
      <c r="F14089" s="76" t="s">
        <v>998</v>
      </c>
      <c r="G14089" s="83">
        <v>46123.0</v>
      </c>
      <c r="H14089" s="76" t="s">
        <v>954</v>
      </c>
    </row>
    <row r="14090">
      <c r="A14090" s="76" t="s">
        <v>40</v>
      </c>
      <c r="B14090" s="76" t="s">
        <v>1041</v>
      </c>
      <c r="C14090" s="84">
        <v>0.44</v>
      </c>
      <c r="D14090" s="84">
        <v>0.0</v>
      </c>
      <c r="E14090" s="84">
        <v>0.0</v>
      </c>
      <c r="F14090" s="76" t="s">
        <v>998</v>
      </c>
      <c r="G14090" s="83">
        <v>46123.0</v>
      </c>
      <c r="H14090" s="76" t="s">
        <v>955</v>
      </c>
    </row>
    <row r="14091">
      <c r="A14091" s="76" t="s">
        <v>40</v>
      </c>
      <c r="B14091" s="76" t="s">
        <v>1041</v>
      </c>
      <c r="C14091" s="84">
        <v>6.84</v>
      </c>
      <c r="D14091" s="84">
        <v>2.0</v>
      </c>
      <c r="E14091" s="84">
        <v>3.42</v>
      </c>
      <c r="F14091" s="76" t="s">
        <v>998</v>
      </c>
      <c r="G14091" s="83">
        <v>46123.0</v>
      </c>
      <c r="H14091" s="76" t="s">
        <v>956</v>
      </c>
    </row>
    <row r="14092">
      <c r="A14092" s="76" t="s">
        <v>966</v>
      </c>
      <c r="B14092" s="76" t="s">
        <v>1041</v>
      </c>
      <c r="C14092" s="84">
        <v>1.27</v>
      </c>
      <c r="D14092" s="84">
        <v>0.0</v>
      </c>
      <c r="E14092" s="84">
        <v>0.0</v>
      </c>
      <c r="F14092" s="76" t="s">
        <v>998</v>
      </c>
      <c r="G14092" s="83">
        <v>46123.0</v>
      </c>
      <c r="H14092" s="76" t="s">
        <v>967</v>
      </c>
    </row>
    <row r="14093">
      <c r="A14093" s="76" t="s">
        <v>966</v>
      </c>
      <c r="B14093" s="76" t="s">
        <v>1041</v>
      </c>
      <c r="C14093" s="84">
        <v>0.9</v>
      </c>
      <c r="D14093" s="84">
        <v>0.0</v>
      </c>
      <c r="E14093" s="84">
        <v>0.0</v>
      </c>
      <c r="F14093" s="76" t="s">
        <v>998</v>
      </c>
      <c r="G14093" s="83">
        <v>46123.0</v>
      </c>
      <c r="H14093" s="76" t="s">
        <v>968</v>
      </c>
    </row>
    <row r="14094">
      <c r="A14094" s="76" t="s">
        <v>966</v>
      </c>
      <c r="B14094" s="76" t="s">
        <v>1041</v>
      </c>
      <c r="C14094" s="84">
        <v>0.55</v>
      </c>
      <c r="D14094" s="84">
        <v>0.0</v>
      </c>
      <c r="E14094" s="84">
        <v>0.0</v>
      </c>
      <c r="F14094" s="76" t="s">
        <v>998</v>
      </c>
      <c r="G14094" s="83">
        <v>46123.0</v>
      </c>
      <c r="H14094" s="76" t="s">
        <v>969</v>
      </c>
    </row>
    <row r="14095">
      <c r="A14095" s="76" t="s">
        <v>43</v>
      </c>
      <c r="B14095" s="76" t="s">
        <v>1041</v>
      </c>
      <c r="C14095" s="84">
        <v>0.14</v>
      </c>
      <c r="D14095" s="84">
        <v>0.0</v>
      </c>
      <c r="E14095" s="84">
        <v>0.0</v>
      </c>
      <c r="F14095" s="76" t="s">
        <v>998</v>
      </c>
      <c r="G14095" s="83">
        <v>46123.0</v>
      </c>
      <c r="H14095" s="76" t="s">
        <v>963</v>
      </c>
    </row>
    <row r="14096">
      <c r="A14096" s="76" t="s">
        <v>43</v>
      </c>
      <c r="B14096" s="76" t="s">
        <v>1041</v>
      </c>
      <c r="C14096" s="84">
        <v>1.76</v>
      </c>
      <c r="D14096" s="84">
        <v>1.0</v>
      </c>
      <c r="E14096" s="84">
        <v>1.76</v>
      </c>
      <c r="F14096" s="76" t="s">
        <v>998</v>
      </c>
      <c r="G14096" s="83">
        <v>46123.0</v>
      </c>
      <c r="H14096" s="76" t="s">
        <v>964</v>
      </c>
    </row>
    <row r="14097">
      <c r="A14097" s="76" t="s">
        <v>43</v>
      </c>
      <c r="B14097" s="76" t="s">
        <v>1041</v>
      </c>
      <c r="C14097" s="84">
        <v>2.25</v>
      </c>
      <c r="D14097" s="84">
        <v>0.0</v>
      </c>
      <c r="E14097" s="84">
        <v>0.0</v>
      </c>
      <c r="F14097" s="76" t="s">
        <v>998</v>
      </c>
      <c r="G14097" s="83">
        <v>46123.0</v>
      </c>
      <c r="H14097" s="76" t="s">
        <v>965</v>
      </c>
    </row>
    <row r="14098">
      <c r="A14098" s="76" t="s">
        <v>970</v>
      </c>
      <c r="B14098" s="76" t="s">
        <v>1041</v>
      </c>
      <c r="C14098" s="84">
        <v>0.63</v>
      </c>
      <c r="D14098" s="84">
        <v>0.0</v>
      </c>
      <c r="E14098" s="84">
        <v>0.0</v>
      </c>
      <c r="F14098" s="76" t="s">
        <v>998</v>
      </c>
      <c r="G14098" s="83">
        <v>46123.0</v>
      </c>
      <c r="H14098" s="76" t="s">
        <v>971</v>
      </c>
    </row>
    <row r="14099">
      <c r="A14099" s="76" t="s">
        <v>970</v>
      </c>
      <c r="B14099" s="76" t="s">
        <v>1041</v>
      </c>
      <c r="C14099" s="84">
        <v>0.49</v>
      </c>
      <c r="D14099" s="84">
        <v>0.0</v>
      </c>
      <c r="E14099" s="84">
        <v>0.0</v>
      </c>
      <c r="F14099" s="76" t="s">
        <v>998</v>
      </c>
      <c r="G14099" s="83">
        <v>46123.0</v>
      </c>
      <c r="H14099" s="76" t="s">
        <v>972</v>
      </c>
    </row>
    <row r="14100">
      <c r="A14100" s="76" t="s">
        <v>970</v>
      </c>
      <c r="B14100" s="76" t="s">
        <v>1041</v>
      </c>
      <c r="C14100" s="84">
        <v>1.6</v>
      </c>
      <c r="D14100" s="84">
        <v>0.0</v>
      </c>
      <c r="E14100" s="84">
        <v>0.0</v>
      </c>
      <c r="F14100" s="76" t="s">
        <v>998</v>
      </c>
      <c r="G14100" s="83">
        <v>46123.0</v>
      </c>
      <c r="H14100" s="76" t="s">
        <v>973</v>
      </c>
    </row>
    <row r="14101">
      <c r="A14101" s="76" t="s">
        <v>46</v>
      </c>
      <c r="B14101" s="76" t="s">
        <v>1041</v>
      </c>
      <c r="C14101" s="84">
        <v>0.43</v>
      </c>
      <c r="D14101" s="84">
        <v>0.0</v>
      </c>
      <c r="E14101" s="84">
        <v>0.0</v>
      </c>
      <c r="F14101" s="76" t="s">
        <v>997</v>
      </c>
      <c r="G14101" s="83">
        <v>46123.0</v>
      </c>
      <c r="H14101" s="76" t="s">
        <v>960</v>
      </c>
    </row>
    <row r="14102">
      <c r="A14102" s="76" t="s">
        <v>46</v>
      </c>
      <c r="B14102" s="76" t="s">
        <v>1041</v>
      </c>
      <c r="C14102" s="84">
        <v>0.04</v>
      </c>
      <c r="D14102" s="84">
        <v>0.0</v>
      </c>
      <c r="E14102" s="84">
        <v>0.0</v>
      </c>
      <c r="F14102" s="76" t="s">
        <v>997</v>
      </c>
      <c r="G14102" s="83">
        <v>46123.0</v>
      </c>
      <c r="H14102" s="76" t="s">
        <v>961</v>
      </c>
    </row>
    <row r="14103">
      <c r="A14103" s="76" t="s">
        <v>46</v>
      </c>
      <c r="B14103" s="76" t="s">
        <v>1041</v>
      </c>
      <c r="C14103" s="84">
        <v>0.82</v>
      </c>
      <c r="D14103" s="84">
        <v>0.0</v>
      </c>
      <c r="E14103" s="84">
        <v>0.0</v>
      </c>
      <c r="F14103" s="76" t="s">
        <v>997</v>
      </c>
      <c r="G14103" s="83">
        <v>46123.0</v>
      </c>
      <c r="H14103" s="76" t="s">
        <v>962</v>
      </c>
    </row>
    <row r="14104">
      <c r="A14104" s="76" t="s">
        <v>34</v>
      </c>
      <c r="B14104" s="76" t="s">
        <v>1041</v>
      </c>
      <c r="C14104" s="84">
        <v>0.11</v>
      </c>
      <c r="D14104" s="84">
        <v>0.0</v>
      </c>
      <c r="E14104" s="84">
        <v>0.0</v>
      </c>
      <c r="F14104" s="76" t="s">
        <v>997</v>
      </c>
      <c r="G14104" s="83">
        <v>46123.0</v>
      </c>
      <c r="H14104" s="76" t="s">
        <v>951</v>
      </c>
    </row>
    <row r="14105">
      <c r="A14105" s="76" t="s">
        <v>34</v>
      </c>
      <c r="B14105" s="76" t="s">
        <v>1041</v>
      </c>
      <c r="C14105" s="84">
        <v>0.21</v>
      </c>
      <c r="D14105" s="84">
        <v>0.0</v>
      </c>
      <c r="E14105" s="84">
        <v>0.0</v>
      </c>
      <c r="F14105" s="76" t="s">
        <v>997</v>
      </c>
      <c r="G14105" s="83">
        <v>46123.0</v>
      </c>
      <c r="H14105" s="76" t="s">
        <v>952</v>
      </c>
    </row>
    <row r="14106">
      <c r="A14106" s="76" t="s">
        <v>34</v>
      </c>
      <c r="B14106" s="76" t="s">
        <v>1041</v>
      </c>
      <c r="C14106" s="84">
        <v>0.28</v>
      </c>
      <c r="D14106" s="84">
        <v>0.0</v>
      </c>
      <c r="E14106" s="84">
        <v>0.0</v>
      </c>
      <c r="F14106" s="76" t="s">
        <v>997</v>
      </c>
      <c r="G14106" s="83">
        <v>46123.0</v>
      </c>
      <c r="H14106" s="76" t="s">
        <v>953</v>
      </c>
    </row>
    <row r="14107">
      <c r="A14107" s="76" t="s">
        <v>40</v>
      </c>
      <c r="B14107" s="76" t="s">
        <v>1041</v>
      </c>
      <c r="C14107" s="84">
        <v>0.09</v>
      </c>
      <c r="D14107" s="84">
        <v>0.0</v>
      </c>
      <c r="E14107" s="84">
        <v>0.0</v>
      </c>
      <c r="F14107" s="76" t="s">
        <v>997</v>
      </c>
      <c r="G14107" s="83">
        <v>46123.0</v>
      </c>
      <c r="H14107" s="76" t="s">
        <v>954</v>
      </c>
    </row>
    <row r="14108">
      <c r="A14108" s="76" t="s">
        <v>40</v>
      </c>
      <c r="B14108" s="76" t="s">
        <v>1041</v>
      </c>
      <c r="C14108" s="84">
        <v>0.04</v>
      </c>
      <c r="D14108" s="84">
        <v>0.0</v>
      </c>
      <c r="E14108" s="84">
        <v>0.0</v>
      </c>
      <c r="F14108" s="76" t="s">
        <v>997</v>
      </c>
      <c r="G14108" s="83">
        <v>46123.0</v>
      </c>
      <c r="H14108" s="76" t="s">
        <v>955</v>
      </c>
    </row>
    <row r="14109">
      <c r="A14109" s="76" t="s">
        <v>40</v>
      </c>
      <c r="B14109" s="76" t="s">
        <v>1041</v>
      </c>
      <c r="C14109" s="84">
        <v>1.01</v>
      </c>
      <c r="D14109" s="84">
        <v>0.0</v>
      </c>
      <c r="E14109" s="84">
        <v>0.0</v>
      </c>
      <c r="F14109" s="76" t="s">
        <v>997</v>
      </c>
      <c r="G14109" s="83">
        <v>46123.0</v>
      </c>
      <c r="H14109" s="76" t="s">
        <v>956</v>
      </c>
    </row>
    <row r="14110">
      <c r="A14110" s="76" t="s">
        <v>36</v>
      </c>
      <c r="B14110" s="76" t="s">
        <v>1041</v>
      </c>
      <c r="C14110" s="84">
        <v>0.51</v>
      </c>
      <c r="D14110" s="84">
        <v>0.0</v>
      </c>
      <c r="E14110" s="84">
        <v>0.0</v>
      </c>
      <c r="F14110" s="76" t="s">
        <v>997</v>
      </c>
      <c r="G14110" s="83">
        <v>46123.0</v>
      </c>
      <c r="H14110" s="76" t="s">
        <v>926</v>
      </c>
    </row>
    <row r="14111">
      <c r="A14111" s="76" t="s">
        <v>36</v>
      </c>
      <c r="B14111" s="76" t="s">
        <v>1041</v>
      </c>
      <c r="C14111" s="84">
        <v>0.07</v>
      </c>
      <c r="D14111" s="84">
        <v>0.0</v>
      </c>
      <c r="E14111" s="84">
        <v>0.0</v>
      </c>
      <c r="F14111" s="76" t="s">
        <v>997</v>
      </c>
      <c r="G14111" s="83">
        <v>46123.0</v>
      </c>
      <c r="H14111" s="76" t="s">
        <v>927</v>
      </c>
    </row>
    <row r="14112">
      <c r="A14112" s="76" t="s">
        <v>36</v>
      </c>
      <c r="B14112" s="76" t="s">
        <v>1041</v>
      </c>
      <c r="C14112" s="84">
        <v>0.1</v>
      </c>
      <c r="D14112" s="84">
        <v>0.0</v>
      </c>
      <c r="E14112" s="84">
        <v>0.0</v>
      </c>
      <c r="F14112" s="76" t="s">
        <v>997</v>
      </c>
      <c r="G14112" s="83">
        <v>46123.0</v>
      </c>
      <c r="H14112" s="76" t="s">
        <v>928</v>
      </c>
    </row>
    <row r="14113">
      <c r="A14113" s="76" t="s">
        <v>970</v>
      </c>
      <c r="B14113" s="76" t="s">
        <v>1041</v>
      </c>
      <c r="C14113" s="84">
        <v>0.35</v>
      </c>
      <c r="D14113" s="84">
        <v>0.0</v>
      </c>
      <c r="E14113" s="84">
        <v>0.0</v>
      </c>
      <c r="F14113" s="76" t="s">
        <v>997</v>
      </c>
      <c r="G14113" s="83">
        <v>46123.0</v>
      </c>
      <c r="H14113" s="76" t="s">
        <v>971</v>
      </c>
    </row>
    <row r="14114">
      <c r="A14114" s="76" t="s">
        <v>970</v>
      </c>
      <c r="B14114" s="76" t="s">
        <v>1041</v>
      </c>
      <c r="C14114" s="84">
        <v>0.15</v>
      </c>
      <c r="D14114" s="84">
        <v>0.0</v>
      </c>
      <c r="E14114" s="84">
        <v>0.0</v>
      </c>
      <c r="F14114" s="76" t="s">
        <v>997</v>
      </c>
      <c r="G14114" s="83">
        <v>46123.0</v>
      </c>
      <c r="H14114" s="76" t="s">
        <v>972</v>
      </c>
    </row>
    <row r="14115">
      <c r="A14115" s="76" t="s">
        <v>970</v>
      </c>
      <c r="B14115" s="76" t="s">
        <v>1041</v>
      </c>
      <c r="C14115" s="84">
        <v>0.84</v>
      </c>
      <c r="D14115" s="84">
        <v>0.0</v>
      </c>
      <c r="E14115" s="84">
        <v>0.0</v>
      </c>
      <c r="F14115" s="76" t="s">
        <v>997</v>
      </c>
      <c r="G14115" s="83">
        <v>46123.0</v>
      </c>
      <c r="H14115" s="76" t="s">
        <v>973</v>
      </c>
    </row>
    <row r="14116">
      <c r="A14116" s="76" t="s">
        <v>33</v>
      </c>
      <c r="B14116" s="76" t="s">
        <v>1041</v>
      </c>
      <c r="C14116" s="84">
        <v>2.53</v>
      </c>
      <c r="D14116" s="84">
        <v>0.0</v>
      </c>
      <c r="E14116" s="84">
        <v>0.0</v>
      </c>
      <c r="F14116" s="76" t="s">
        <v>997</v>
      </c>
      <c r="G14116" s="83">
        <v>46123.0</v>
      </c>
      <c r="H14116" s="76" t="s">
        <v>957</v>
      </c>
    </row>
    <row r="14117">
      <c r="A14117" s="76" t="s">
        <v>33</v>
      </c>
      <c r="B14117" s="76" t="s">
        <v>1041</v>
      </c>
      <c r="C14117" s="84">
        <v>0.14</v>
      </c>
      <c r="D14117" s="84">
        <v>0.0</v>
      </c>
      <c r="E14117" s="84">
        <v>0.0</v>
      </c>
      <c r="F14117" s="76" t="s">
        <v>997</v>
      </c>
      <c r="G14117" s="83">
        <v>46123.0</v>
      </c>
      <c r="H14117" s="76" t="s">
        <v>958</v>
      </c>
    </row>
    <row r="14118">
      <c r="A14118" s="76" t="s">
        <v>33</v>
      </c>
      <c r="B14118" s="76" t="s">
        <v>1041</v>
      </c>
      <c r="C14118" s="84">
        <v>0.24</v>
      </c>
      <c r="D14118" s="84">
        <v>0.0</v>
      </c>
      <c r="E14118" s="84">
        <v>0.0</v>
      </c>
      <c r="F14118" s="76" t="s">
        <v>997</v>
      </c>
      <c r="G14118" s="83">
        <v>46123.0</v>
      </c>
      <c r="H14118" s="76" t="s">
        <v>959</v>
      </c>
    </row>
    <row r="14119">
      <c r="A14119" s="76" t="s">
        <v>29</v>
      </c>
      <c r="B14119" s="76" t="s">
        <v>1041</v>
      </c>
      <c r="C14119" s="84">
        <v>0.08</v>
      </c>
      <c r="D14119" s="84">
        <v>0.0</v>
      </c>
      <c r="E14119" s="84">
        <v>0.0</v>
      </c>
      <c r="F14119" s="76" t="s">
        <v>997</v>
      </c>
      <c r="G14119" s="83">
        <v>46123.0</v>
      </c>
      <c r="H14119" s="76" t="s">
        <v>971</v>
      </c>
    </row>
    <row r="14120">
      <c r="A14120" s="76" t="s">
        <v>29</v>
      </c>
      <c r="B14120" s="76" t="s">
        <v>1041</v>
      </c>
      <c r="C14120" s="84">
        <v>0.13</v>
      </c>
      <c r="D14120" s="84">
        <v>0.0</v>
      </c>
      <c r="E14120" s="84">
        <v>0.0</v>
      </c>
      <c r="F14120" s="76" t="s">
        <v>997</v>
      </c>
      <c r="G14120" s="83">
        <v>46123.0</v>
      </c>
      <c r="H14120" s="76" t="s">
        <v>972</v>
      </c>
    </row>
    <row r="14121">
      <c r="A14121" s="76" t="s">
        <v>29</v>
      </c>
      <c r="B14121" s="76" t="s">
        <v>1041</v>
      </c>
      <c r="C14121" s="84">
        <v>0.69</v>
      </c>
      <c r="D14121" s="84">
        <v>0.0</v>
      </c>
      <c r="E14121" s="84">
        <v>0.0</v>
      </c>
      <c r="F14121" s="76" t="s">
        <v>997</v>
      </c>
      <c r="G14121" s="83">
        <v>46123.0</v>
      </c>
      <c r="H14121" s="76" t="s">
        <v>973</v>
      </c>
    </row>
    <row r="14122">
      <c r="A14122" s="76" t="s">
        <v>43</v>
      </c>
      <c r="B14122" s="76" t="s">
        <v>1041</v>
      </c>
      <c r="C14122" s="84">
        <v>0.06</v>
      </c>
      <c r="D14122" s="84">
        <v>0.0</v>
      </c>
      <c r="E14122" s="84">
        <v>0.0</v>
      </c>
      <c r="F14122" s="76" t="s">
        <v>997</v>
      </c>
      <c r="G14122" s="83">
        <v>46123.0</v>
      </c>
      <c r="H14122" s="76" t="s">
        <v>963</v>
      </c>
    </row>
    <row r="14123">
      <c r="A14123" s="76" t="s">
        <v>43</v>
      </c>
      <c r="B14123" s="76" t="s">
        <v>1041</v>
      </c>
      <c r="C14123" s="84">
        <v>0.23</v>
      </c>
      <c r="D14123" s="84">
        <v>0.0</v>
      </c>
      <c r="E14123" s="84">
        <v>0.0</v>
      </c>
      <c r="F14123" s="76" t="s">
        <v>997</v>
      </c>
      <c r="G14123" s="83">
        <v>46123.0</v>
      </c>
      <c r="H14123" s="76" t="s">
        <v>964</v>
      </c>
    </row>
    <row r="14124">
      <c r="A14124" s="76" t="s">
        <v>43</v>
      </c>
      <c r="B14124" s="76" t="s">
        <v>1041</v>
      </c>
      <c r="C14124" s="84">
        <v>0.32</v>
      </c>
      <c r="D14124" s="84">
        <v>0.0</v>
      </c>
      <c r="E14124" s="84">
        <v>0.0</v>
      </c>
      <c r="F14124" s="76" t="s">
        <v>997</v>
      </c>
      <c r="G14124" s="83">
        <v>46123.0</v>
      </c>
      <c r="H14124" s="76" t="s">
        <v>965</v>
      </c>
    </row>
    <row r="14125">
      <c r="A14125" s="76" t="s">
        <v>966</v>
      </c>
      <c r="B14125" s="76" t="s">
        <v>1041</v>
      </c>
      <c r="C14125" s="84">
        <v>0.32</v>
      </c>
      <c r="D14125" s="84">
        <v>0.0</v>
      </c>
      <c r="E14125" s="84">
        <v>0.0</v>
      </c>
      <c r="F14125" s="76" t="s">
        <v>997</v>
      </c>
      <c r="G14125" s="83">
        <v>46123.0</v>
      </c>
      <c r="H14125" s="76" t="s">
        <v>967</v>
      </c>
    </row>
    <row r="14126">
      <c r="A14126" s="76" t="s">
        <v>966</v>
      </c>
      <c r="B14126" s="76" t="s">
        <v>1041</v>
      </c>
      <c r="C14126" s="84">
        <v>0.01</v>
      </c>
      <c r="D14126" s="84">
        <v>0.0</v>
      </c>
      <c r="E14126" s="84">
        <v>0.0</v>
      </c>
      <c r="F14126" s="76" t="s">
        <v>997</v>
      </c>
      <c r="G14126" s="83">
        <v>46123.0</v>
      </c>
      <c r="H14126" s="76" t="s">
        <v>968</v>
      </c>
    </row>
    <row r="14127">
      <c r="A14127" s="76" t="s">
        <v>966</v>
      </c>
      <c r="B14127" s="76" t="s">
        <v>1041</v>
      </c>
      <c r="C14127" s="84">
        <v>0.18</v>
      </c>
      <c r="D14127" s="84">
        <v>0.0</v>
      </c>
      <c r="E14127" s="84">
        <v>0.0</v>
      </c>
      <c r="F14127" s="76" t="s">
        <v>997</v>
      </c>
      <c r="G14127" s="83">
        <v>46123.0</v>
      </c>
      <c r="H14127" s="76" t="s">
        <v>969</v>
      </c>
    </row>
    <row r="14128">
      <c r="A14128" s="76" t="s">
        <v>32</v>
      </c>
      <c r="B14128" s="76" t="s">
        <v>1032</v>
      </c>
      <c r="C14128" s="84">
        <v>2.23</v>
      </c>
      <c r="D14128" s="84">
        <v>1.0</v>
      </c>
      <c r="E14128" s="84">
        <v>2.23</v>
      </c>
      <c r="F14128" s="76" t="s">
        <v>996</v>
      </c>
      <c r="G14128" s="83">
        <v>46123.0</v>
      </c>
      <c r="H14128" s="76" t="s">
        <v>941</v>
      </c>
    </row>
    <row r="14129">
      <c r="A14129" s="76" t="s">
        <v>32</v>
      </c>
      <c r="B14129" s="76" t="s">
        <v>1032</v>
      </c>
      <c r="C14129" s="84">
        <v>0.55</v>
      </c>
      <c r="D14129" s="84">
        <v>0.0</v>
      </c>
      <c r="E14129" s="84">
        <v>0.0</v>
      </c>
      <c r="F14129" s="76" t="s">
        <v>996</v>
      </c>
      <c r="G14129" s="83">
        <v>46123.0</v>
      </c>
      <c r="H14129" s="76" t="s">
        <v>942</v>
      </c>
    </row>
    <row r="14130">
      <c r="A14130" s="76" t="s">
        <v>32</v>
      </c>
      <c r="B14130" s="76" t="s">
        <v>1032</v>
      </c>
      <c r="C14130" s="84">
        <v>2.49</v>
      </c>
      <c r="D14130" s="84">
        <v>1.0</v>
      </c>
      <c r="E14130" s="84">
        <v>2.49</v>
      </c>
      <c r="F14130" s="76" t="s">
        <v>996</v>
      </c>
      <c r="G14130" s="83">
        <v>46123.0</v>
      </c>
      <c r="H14130" s="76" t="s">
        <v>943</v>
      </c>
    </row>
    <row r="14131">
      <c r="A14131" s="76" t="s">
        <v>28</v>
      </c>
      <c r="B14131" s="76" t="s">
        <v>1032</v>
      </c>
      <c r="C14131" s="84">
        <v>0.25</v>
      </c>
      <c r="D14131" s="84">
        <v>0.0</v>
      </c>
      <c r="E14131" s="84">
        <v>0.0</v>
      </c>
      <c r="F14131" s="76" t="s">
        <v>996</v>
      </c>
      <c r="G14131" s="83">
        <v>46123.0</v>
      </c>
      <c r="H14131" s="76" t="s">
        <v>931</v>
      </c>
    </row>
    <row r="14132">
      <c r="A14132" s="76" t="s">
        <v>28</v>
      </c>
      <c r="B14132" s="76" t="s">
        <v>1032</v>
      </c>
      <c r="C14132" s="84">
        <v>0.14</v>
      </c>
      <c r="D14132" s="84">
        <v>0.0</v>
      </c>
      <c r="E14132" s="84">
        <v>0.0</v>
      </c>
      <c r="F14132" s="76" t="s">
        <v>996</v>
      </c>
      <c r="G14132" s="83">
        <v>46123.0</v>
      </c>
      <c r="H14132" s="76" t="s">
        <v>932</v>
      </c>
    </row>
    <row r="14133">
      <c r="A14133" s="76" t="s">
        <v>28</v>
      </c>
      <c r="B14133" s="76" t="s">
        <v>1032</v>
      </c>
      <c r="C14133" s="84">
        <v>2.81</v>
      </c>
      <c r="D14133" s="84">
        <v>1.0</v>
      </c>
      <c r="E14133" s="84">
        <v>2.81</v>
      </c>
      <c r="F14133" s="76" t="s">
        <v>996</v>
      </c>
      <c r="G14133" s="83">
        <v>46123.0</v>
      </c>
      <c r="H14133" s="76" t="s">
        <v>933</v>
      </c>
    </row>
    <row r="14134">
      <c r="A14134" s="76" t="s">
        <v>36</v>
      </c>
      <c r="B14134" s="76" t="s">
        <v>1032</v>
      </c>
      <c r="C14134" s="84">
        <v>1.19</v>
      </c>
      <c r="D14134" s="84">
        <v>1.0</v>
      </c>
      <c r="E14134" s="84">
        <v>1.19</v>
      </c>
      <c r="F14134" s="76" t="s">
        <v>996</v>
      </c>
      <c r="G14134" s="83">
        <v>46123.0</v>
      </c>
      <c r="H14134" s="76" t="s">
        <v>926</v>
      </c>
    </row>
    <row r="14135">
      <c r="A14135" s="76" t="s">
        <v>36</v>
      </c>
      <c r="B14135" s="76" t="s">
        <v>1032</v>
      </c>
      <c r="C14135" s="84">
        <v>0.05</v>
      </c>
      <c r="D14135" s="84">
        <v>0.0</v>
      </c>
      <c r="E14135" s="84">
        <v>0.0</v>
      </c>
      <c r="F14135" s="76" t="s">
        <v>996</v>
      </c>
      <c r="G14135" s="83">
        <v>46123.0</v>
      </c>
      <c r="H14135" s="76" t="s">
        <v>927</v>
      </c>
    </row>
    <row r="14136">
      <c r="A14136" s="76" t="s">
        <v>36</v>
      </c>
      <c r="B14136" s="76" t="s">
        <v>1032</v>
      </c>
      <c r="C14136" s="84">
        <v>0.32</v>
      </c>
      <c r="D14136" s="84">
        <v>0.0</v>
      </c>
      <c r="E14136" s="84">
        <v>0.0</v>
      </c>
      <c r="F14136" s="76" t="s">
        <v>996</v>
      </c>
      <c r="G14136" s="83">
        <v>46123.0</v>
      </c>
      <c r="H14136" s="76" t="s">
        <v>928</v>
      </c>
    </row>
    <row r="14137">
      <c r="A14137" s="76" t="s">
        <v>26</v>
      </c>
      <c r="B14137" s="76" t="s">
        <v>1032</v>
      </c>
      <c r="C14137" s="84">
        <v>0.24</v>
      </c>
      <c r="D14137" s="84">
        <v>0.0</v>
      </c>
      <c r="E14137" s="84">
        <v>0.0</v>
      </c>
      <c r="F14137" s="76" t="s">
        <v>996</v>
      </c>
      <c r="G14137" s="83">
        <v>46123.0</v>
      </c>
      <c r="H14137" s="76" t="s">
        <v>1012</v>
      </c>
    </row>
    <row r="14138">
      <c r="A14138" s="76" t="s">
        <v>26</v>
      </c>
      <c r="B14138" s="76" t="s">
        <v>1032</v>
      </c>
      <c r="C14138" s="84">
        <v>0.13</v>
      </c>
      <c r="D14138" s="84">
        <v>0.0</v>
      </c>
      <c r="E14138" s="84">
        <v>0.0</v>
      </c>
      <c r="F14138" s="76" t="s">
        <v>996</v>
      </c>
      <c r="G14138" s="83">
        <v>46123.0</v>
      </c>
      <c r="H14138" s="76" t="s">
        <v>1013</v>
      </c>
    </row>
    <row r="14139">
      <c r="A14139" s="76" t="s">
        <v>26</v>
      </c>
      <c r="B14139" s="76" t="s">
        <v>1032</v>
      </c>
      <c r="C14139" s="84">
        <v>18.95</v>
      </c>
      <c r="D14139" s="84">
        <v>0.0</v>
      </c>
      <c r="E14139" s="84">
        <v>0.0</v>
      </c>
      <c r="F14139" s="76" t="s">
        <v>996</v>
      </c>
      <c r="G14139" s="83">
        <v>46123.0</v>
      </c>
      <c r="H14139" s="76" t="s">
        <v>1014</v>
      </c>
    </row>
    <row r="14140">
      <c r="A14140" s="76" t="s">
        <v>45</v>
      </c>
      <c r="B14140" s="76" t="s">
        <v>1032</v>
      </c>
      <c r="C14140" s="84">
        <v>0.1</v>
      </c>
      <c r="D14140" s="84">
        <v>0.0</v>
      </c>
      <c r="E14140" s="84">
        <v>0.0</v>
      </c>
      <c r="F14140" s="76" t="s">
        <v>996</v>
      </c>
      <c r="G14140" s="83">
        <v>46123.0</v>
      </c>
      <c r="H14140" s="76" t="s">
        <v>936</v>
      </c>
    </row>
    <row r="14141">
      <c r="A14141" s="76" t="s">
        <v>45</v>
      </c>
      <c r="B14141" s="76" t="s">
        <v>1032</v>
      </c>
      <c r="C14141" s="84">
        <v>0.31</v>
      </c>
      <c r="D14141" s="84">
        <v>0.0</v>
      </c>
      <c r="E14141" s="84">
        <v>0.0</v>
      </c>
      <c r="F14141" s="76" t="s">
        <v>996</v>
      </c>
      <c r="G14141" s="83">
        <v>46123.0</v>
      </c>
      <c r="H14141" s="76" t="s">
        <v>937</v>
      </c>
    </row>
    <row r="14142">
      <c r="A14142" s="76" t="s">
        <v>45</v>
      </c>
      <c r="B14142" s="76" t="s">
        <v>1032</v>
      </c>
      <c r="C14142" s="84">
        <v>0.03</v>
      </c>
      <c r="D14142" s="84">
        <v>0.0</v>
      </c>
      <c r="E14142" s="84">
        <v>0.0</v>
      </c>
      <c r="F14142" s="76" t="s">
        <v>996</v>
      </c>
      <c r="G14142" s="83">
        <v>46123.0</v>
      </c>
      <c r="H14142" s="76" t="s">
        <v>938</v>
      </c>
    </row>
    <row r="14143">
      <c r="A14143" s="76" t="s">
        <v>31</v>
      </c>
      <c r="B14143" s="76" t="s">
        <v>1032</v>
      </c>
      <c r="C14143" s="84">
        <v>0.18</v>
      </c>
      <c r="D14143" s="84">
        <v>0.0</v>
      </c>
      <c r="E14143" s="84">
        <v>0.0</v>
      </c>
      <c r="F14143" s="76" t="s">
        <v>996</v>
      </c>
      <c r="G14143" s="83">
        <v>46123.0</v>
      </c>
      <c r="H14143" s="76" t="s">
        <v>929</v>
      </c>
    </row>
    <row r="14144">
      <c r="A14144" s="76" t="s">
        <v>31</v>
      </c>
      <c r="B14144" s="76" t="s">
        <v>1032</v>
      </c>
      <c r="C14144" s="84">
        <v>7.8</v>
      </c>
      <c r="D14144" s="84">
        <v>6.0</v>
      </c>
      <c r="E14144" s="84">
        <v>1.3</v>
      </c>
      <c r="F14144" s="76" t="s">
        <v>996</v>
      </c>
      <c r="G14144" s="83">
        <v>46123.0</v>
      </c>
      <c r="H14144" s="76" t="s">
        <v>930</v>
      </c>
    </row>
    <row r="14145">
      <c r="A14145" s="76" t="s">
        <v>944</v>
      </c>
      <c r="B14145" s="76" t="s">
        <v>1032</v>
      </c>
      <c r="C14145" s="84">
        <v>0.71</v>
      </c>
      <c r="D14145" s="84">
        <v>0.0</v>
      </c>
      <c r="E14145" s="84">
        <v>0.0</v>
      </c>
      <c r="F14145" s="76" t="s">
        <v>996</v>
      </c>
      <c r="G14145" s="83">
        <v>46123.0</v>
      </c>
      <c r="H14145" s="76" t="s">
        <v>945</v>
      </c>
    </row>
    <row r="14146">
      <c r="A14146" s="76" t="s">
        <v>944</v>
      </c>
      <c r="B14146" s="76" t="s">
        <v>1032</v>
      </c>
      <c r="C14146" s="84">
        <v>0.23</v>
      </c>
      <c r="D14146" s="84">
        <v>0.0</v>
      </c>
      <c r="E14146" s="84">
        <v>0.0</v>
      </c>
      <c r="F14146" s="76" t="s">
        <v>996</v>
      </c>
      <c r="G14146" s="83">
        <v>46123.0</v>
      </c>
      <c r="H14146" s="76" t="s">
        <v>946</v>
      </c>
    </row>
    <row r="14147">
      <c r="A14147" s="76" t="s">
        <v>944</v>
      </c>
      <c r="B14147" s="76" t="s">
        <v>1032</v>
      </c>
      <c r="C14147" s="84">
        <v>1.98</v>
      </c>
      <c r="D14147" s="84">
        <v>0.0</v>
      </c>
      <c r="E14147" s="84">
        <v>0.0</v>
      </c>
      <c r="F14147" s="76" t="s">
        <v>996</v>
      </c>
      <c r="G14147" s="83">
        <v>46123.0</v>
      </c>
      <c r="H14147" s="76" t="s">
        <v>947</v>
      </c>
    </row>
    <row r="14148">
      <c r="A14148" s="76" t="s">
        <v>1043</v>
      </c>
      <c r="B14148" s="76" t="s">
        <v>1032</v>
      </c>
      <c r="C14148" s="84">
        <v>0.86</v>
      </c>
      <c r="D14148" s="84">
        <v>0.0</v>
      </c>
      <c r="E14148" s="84">
        <v>0.0</v>
      </c>
      <c r="F14148" s="76" t="s">
        <v>996</v>
      </c>
      <c r="G14148" s="83">
        <v>46123.0</v>
      </c>
      <c r="H14148" s="76" t="s">
        <v>1044</v>
      </c>
    </row>
    <row r="14149">
      <c r="A14149" s="76" t="s">
        <v>52</v>
      </c>
      <c r="B14149" s="76" t="s">
        <v>1032</v>
      </c>
      <c r="C14149" s="84">
        <v>1.19</v>
      </c>
      <c r="D14149" s="84">
        <v>0.0</v>
      </c>
      <c r="E14149" s="84">
        <v>0.0</v>
      </c>
      <c r="F14149" s="76" t="s">
        <v>996</v>
      </c>
      <c r="G14149" s="83">
        <v>46123.0</v>
      </c>
      <c r="H14149" s="76" t="s">
        <v>1045</v>
      </c>
    </row>
    <row r="14150">
      <c r="A14150" s="76" t="s">
        <v>49</v>
      </c>
      <c r="B14150" s="76" t="s">
        <v>1032</v>
      </c>
      <c r="C14150" s="84">
        <v>0.77</v>
      </c>
      <c r="D14150" s="84">
        <v>0.0</v>
      </c>
      <c r="E14150" s="84">
        <v>0.0</v>
      </c>
      <c r="F14150" s="76" t="s">
        <v>996</v>
      </c>
      <c r="G14150" s="83">
        <v>46123.0</v>
      </c>
      <c r="H14150" s="76" t="s">
        <v>1046</v>
      </c>
    </row>
    <row r="14151">
      <c r="A14151" s="76" t="s">
        <v>28</v>
      </c>
      <c r="B14151" s="76" t="s">
        <v>1032</v>
      </c>
      <c r="C14151" s="84">
        <v>0.28</v>
      </c>
      <c r="D14151" s="84">
        <v>0.0</v>
      </c>
      <c r="E14151" s="84">
        <v>0.0</v>
      </c>
      <c r="F14151" s="76" t="s">
        <v>997</v>
      </c>
      <c r="G14151" s="83">
        <v>46123.0</v>
      </c>
      <c r="H14151" s="76" t="s">
        <v>931</v>
      </c>
    </row>
    <row r="14152">
      <c r="A14152" s="76" t="s">
        <v>28</v>
      </c>
      <c r="B14152" s="76" t="s">
        <v>1032</v>
      </c>
      <c r="C14152" s="84">
        <v>0.1</v>
      </c>
      <c r="D14152" s="84">
        <v>0.0</v>
      </c>
      <c r="E14152" s="84">
        <v>0.0</v>
      </c>
      <c r="F14152" s="76" t="s">
        <v>997</v>
      </c>
      <c r="G14152" s="83">
        <v>46123.0</v>
      </c>
      <c r="H14152" s="76" t="s">
        <v>932</v>
      </c>
    </row>
    <row r="14153">
      <c r="A14153" s="76" t="s">
        <v>28</v>
      </c>
      <c r="B14153" s="76" t="s">
        <v>1032</v>
      </c>
      <c r="C14153" s="84">
        <v>2.37</v>
      </c>
      <c r="D14153" s="84">
        <v>2.0</v>
      </c>
      <c r="E14153" s="84">
        <v>1.19</v>
      </c>
      <c r="F14153" s="76" t="s">
        <v>997</v>
      </c>
      <c r="G14153" s="83">
        <v>46123.0</v>
      </c>
      <c r="H14153" s="76" t="s">
        <v>933</v>
      </c>
    </row>
    <row r="14154">
      <c r="A14154" s="76" t="s">
        <v>45</v>
      </c>
      <c r="B14154" s="76" t="s">
        <v>1032</v>
      </c>
      <c r="C14154" s="84">
        <v>0.09</v>
      </c>
      <c r="D14154" s="84">
        <v>0.0</v>
      </c>
      <c r="E14154" s="84">
        <v>0.0</v>
      </c>
      <c r="F14154" s="76" t="s">
        <v>997</v>
      </c>
      <c r="G14154" s="83">
        <v>46123.0</v>
      </c>
      <c r="H14154" s="76" t="s">
        <v>936</v>
      </c>
    </row>
    <row r="14155">
      <c r="A14155" s="76" t="s">
        <v>45</v>
      </c>
      <c r="B14155" s="76" t="s">
        <v>1032</v>
      </c>
      <c r="C14155" s="84">
        <v>0.58</v>
      </c>
      <c r="D14155" s="84">
        <v>0.0</v>
      </c>
      <c r="E14155" s="84">
        <v>0.0</v>
      </c>
      <c r="F14155" s="76" t="s">
        <v>997</v>
      </c>
      <c r="G14155" s="83">
        <v>46123.0</v>
      </c>
      <c r="H14155" s="76" t="s">
        <v>937</v>
      </c>
    </row>
    <row r="14156">
      <c r="A14156" s="76" t="s">
        <v>45</v>
      </c>
      <c r="B14156" s="76" t="s">
        <v>1032</v>
      </c>
      <c r="C14156" s="84">
        <v>0.04</v>
      </c>
      <c r="D14156" s="84">
        <v>0.0</v>
      </c>
      <c r="E14156" s="84">
        <v>0.0</v>
      </c>
      <c r="F14156" s="76" t="s">
        <v>997</v>
      </c>
      <c r="G14156" s="83">
        <v>46123.0</v>
      </c>
      <c r="H14156" s="76" t="s">
        <v>938</v>
      </c>
    </row>
    <row r="14157">
      <c r="A14157" s="76" t="s">
        <v>32</v>
      </c>
      <c r="B14157" s="76" t="s">
        <v>1032</v>
      </c>
      <c r="C14157" s="84">
        <v>5.3</v>
      </c>
      <c r="D14157" s="84">
        <v>2.0</v>
      </c>
      <c r="E14157" s="84">
        <v>2.65</v>
      </c>
      <c r="F14157" s="76" t="s">
        <v>997</v>
      </c>
      <c r="G14157" s="83">
        <v>46123.0</v>
      </c>
      <c r="H14157" s="76" t="s">
        <v>941</v>
      </c>
    </row>
    <row r="14158">
      <c r="A14158" s="76" t="s">
        <v>32</v>
      </c>
      <c r="B14158" s="76" t="s">
        <v>1032</v>
      </c>
      <c r="C14158" s="84">
        <v>0.69</v>
      </c>
      <c r="D14158" s="84">
        <v>0.0</v>
      </c>
      <c r="E14158" s="84">
        <v>0.0</v>
      </c>
      <c r="F14158" s="76" t="s">
        <v>997</v>
      </c>
      <c r="G14158" s="83">
        <v>46123.0</v>
      </c>
      <c r="H14158" s="76" t="s">
        <v>942</v>
      </c>
    </row>
    <row r="14159">
      <c r="A14159" s="76" t="s">
        <v>32</v>
      </c>
      <c r="B14159" s="76" t="s">
        <v>1032</v>
      </c>
      <c r="C14159" s="84">
        <v>2.31</v>
      </c>
      <c r="D14159" s="84">
        <v>0.0</v>
      </c>
      <c r="E14159" s="84">
        <v>0.0</v>
      </c>
      <c r="F14159" s="76" t="s">
        <v>997</v>
      </c>
      <c r="G14159" s="83">
        <v>46123.0</v>
      </c>
      <c r="H14159" s="76" t="s">
        <v>943</v>
      </c>
    </row>
    <row r="14160">
      <c r="A14160" s="76" t="s">
        <v>944</v>
      </c>
      <c r="B14160" s="76" t="s">
        <v>1032</v>
      </c>
      <c r="C14160" s="84">
        <v>0.54</v>
      </c>
      <c r="D14160" s="84">
        <v>0.0</v>
      </c>
      <c r="E14160" s="84">
        <v>0.0</v>
      </c>
      <c r="F14160" s="76" t="s">
        <v>997</v>
      </c>
      <c r="G14160" s="83">
        <v>46123.0</v>
      </c>
      <c r="H14160" s="76" t="s">
        <v>945</v>
      </c>
    </row>
    <row r="14161">
      <c r="A14161" s="76" t="s">
        <v>944</v>
      </c>
      <c r="B14161" s="76" t="s">
        <v>1032</v>
      </c>
      <c r="C14161" s="84">
        <v>0.52</v>
      </c>
      <c r="D14161" s="84">
        <v>0.0</v>
      </c>
      <c r="E14161" s="84">
        <v>0.0</v>
      </c>
      <c r="F14161" s="76" t="s">
        <v>997</v>
      </c>
      <c r="G14161" s="83">
        <v>46123.0</v>
      </c>
      <c r="H14161" s="76" t="s">
        <v>946</v>
      </c>
    </row>
    <row r="14162">
      <c r="A14162" s="76" t="s">
        <v>944</v>
      </c>
      <c r="B14162" s="76" t="s">
        <v>1032</v>
      </c>
      <c r="C14162" s="84">
        <v>2.7</v>
      </c>
      <c r="D14162" s="84">
        <v>2.0</v>
      </c>
      <c r="E14162" s="84">
        <v>1.35</v>
      </c>
      <c r="F14162" s="76" t="s">
        <v>997</v>
      </c>
      <c r="G14162" s="83">
        <v>46123.0</v>
      </c>
      <c r="H14162" s="76" t="s">
        <v>947</v>
      </c>
    </row>
    <row r="14163">
      <c r="A14163" s="76" t="s">
        <v>36</v>
      </c>
      <c r="B14163" s="76" t="s">
        <v>1032</v>
      </c>
      <c r="C14163" s="84">
        <v>1.42</v>
      </c>
      <c r="D14163" s="84">
        <v>0.0</v>
      </c>
      <c r="E14163" s="84">
        <v>0.0</v>
      </c>
      <c r="F14163" s="76" t="s">
        <v>997</v>
      </c>
      <c r="G14163" s="83">
        <v>46123.0</v>
      </c>
      <c r="H14163" s="76" t="s">
        <v>926</v>
      </c>
    </row>
    <row r="14164">
      <c r="A14164" s="76" t="s">
        <v>36</v>
      </c>
      <c r="B14164" s="76" t="s">
        <v>1032</v>
      </c>
      <c r="C14164" s="84">
        <v>0.1</v>
      </c>
      <c r="D14164" s="84">
        <v>0.0</v>
      </c>
      <c r="E14164" s="84">
        <v>0.0</v>
      </c>
      <c r="F14164" s="76" t="s">
        <v>997</v>
      </c>
      <c r="G14164" s="83">
        <v>46123.0</v>
      </c>
      <c r="H14164" s="76" t="s">
        <v>927</v>
      </c>
    </row>
    <row r="14165">
      <c r="A14165" s="76" t="s">
        <v>36</v>
      </c>
      <c r="B14165" s="76" t="s">
        <v>1032</v>
      </c>
      <c r="C14165" s="84">
        <v>0.47</v>
      </c>
      <c r="D14165" s="84">
        <v>0.0</v>
      </c>
      <c r="E14165" s="84">
        <v>0.0</v>
      </c>
      <c r="F14165" s="76" t="s">
        <v>997</v>
      </c>
      <c r="G14165" s="83">
        <v>46123.0</v>
      </c>
      <c r="H14165" s="76" t="s">
        <v>928</v>
      </c>
    </row>
    <row r="14166">
      <c r="A14166" s="76" t="s">
        <v>31</v>
      </c>
      <c r="B14166" s="76" t="s">
        <v>1032</v>
      </c>
      <c r="C14166" s="84">
        <v>0.31</v>
      </c>
      <c r="D14166" s="84">
        <v>0.0</v>
      </c>
      <c r="E14166" s="84">
        <v>0.0</v>
      </c>
      <c r="F14166" s="76" t="s">
        <v>997</v>
      </c>
      <c r="G14166" s="83">
        <v>46123.0</v>
      </c>
      <c r="H14166" s="76" t="s">
        <v>929</v>
      </c>
    </row>
    <row r="14167">
      <c r="A14167" s="76" t="s">
        <v>31</v>
      </c>
      <c r="B14167" s="76" t="s">
        <v>1032</v>
      </c>
      <c r="C14167" s="84">
        <v>16.4</v>
      </c>
      <c r="D14167" s="84">
        <v>4.0</v>
      </c>
      <c r="E14167" s="84">
        <v>4.1</v>
      </c>
      <c r="F14167" s="76" t="s">
        <v>997</v>
      </c>
      <c r="G14167" s="83">
        <v>46123.0</v>
      </c>
      <c r="H14167" s="76" t="s">
        <v>930</v>
      </c>
    </row>
    <row r="14168">
      <c r="A14168" s="76" t="s">
        <v>26</v>
      </c>
      <c r="B14168" s="76" t="s">
        <v>1032</v>
      </c>
      <c r="C14168" s="84">
        <v>0.25</v>
      </c>
      <c r="D14168" s="84">
        <v>0.0</v>
      </c>
      <c r="E14168" s="84">
        <v>0.0</v>
      </c>
      <c r="F14168" s="76" t="s">
        <v>997</v>
      </c>
      <c r="G14168" s="83">
        <v>46123.0</v>
      </c>
      <c r="H14168" s="76" t="s">
        <v>1012</v>
      </c>
    </row>
    <row r="14169">
      <c r="A14169" s="76" t="s">
        <v>26</v>
      </c>
      <c r="B14169" s="76" t="s">
        <v>1032</v>
      </c>
      <c r="C14169" s="84">
        <v>0.15</v>
      </c>
      <c r="D14169" s="84">
        <v>0.0</v>
      </c>
      <c r="E14169" s="84">
        <v>0.0</v>
      </c>
      <c r="F14169" s="76" t="s">
        <v>997</v>
      </c>
      <c r="G14169" s="83">
        <v>46123.0</v>
      </c>
      <c r="H14169" s="76" t="s">
        <v>1013</v>
      </c>
    </row>
    <row r="14170">
      <c r="A14170" s="76" t="s">
        <v>26</v>
      </c>
      <c r="B14170" s="76" t="s">
        <v>1032</v>
      </c>
      <c r="C14170" s="84">
        <v>11.42</v>
      </c>
      <c r="D14170" s="84">
        <v>1.0</v>
      </c>
      <c r="E14170" s="84">
        <v>11.42</v>
      </c>
      <c r="F14170" s="76" t="s">
        <v>997</v>
      </c>
      <c r="G14170" s="83">
        <v>46123.0</v>
      </c>
      <c r="H14170" s="76" t="s">
        <v>1014</v>
      </c>
    </row>
    <row r="14171">
      <c r="A14171" s="76" t="s">
        <v>1043</v>
      </c>
      <c r="B14171" s="76" t="s">
        <v>1032</v>
      </c>
      <c r="C14171" s="84">
        <v>1.19</v>
      </c>
      <c r="D14171" s="84">
        <v>1.0</v>
      </c>
      <c r="E14171" s="84">
        <v>1.19</v>
      </c>
      <c r="F14171" s="76" t="s">
        <v>997</v>
      </c>
      <c r="G14171" s="83">
        <v>46123.0</v>
      </c>
      <c r="H14171" s="76" t="s">
        <v>1044</v>
      </c>
    </row>
    <row r="14172">
      <c r="A14172" s="76" t="s">
        <v>52</v>
      </c>
      <c r="B14172" s="76" t="s">
        <v>1032</v>
      </c>
      <c r="C14172" s="84">
        <v>1.91</v>
      </c>
      <c r="D14172" s="84">
        <v>0.0</v>
      </c>
      <c r="E14172" s="84">
        <v>0.0</v>
      </c>
      <c r="F14172" s="76" t="s">
        <v>997</v>
      </c>
      <c r="G14172" s="83">
        <v>46123.0</v>
      </c>
      <c r="H14172" s="76" t="s">
        <v>1045</v>
      </c>
    </row>
    <row r="14173">
      <c r="A14173" s="76" t="s">
        <v>49</v>
      </c>
      <c r="B14173" s="76" t="s">
        <v>1032</v>
      </c>
      <c r="C14173" s="84">
        <v>1.07</v>
      </c>
      <c r="D14173" s="84">
        <v>0.0</v>
      </c>
      <c r="E14173" s="84">
        <v>0.0</v>
      </c>
      <c r="F14173" s="76" t="s">
        <v>997</v>
      </c>
      <c r="G14173" s="83">
        <v>46123.0</v>
      </c>
      <c r="H14173" s="76" t="s">
        <v>1046</v>
      </c>
    </row>
    <row r="14174">
      <c r="A14174" s="76" t="s">
        <v>45</v>
      </c>
      <c r="B14174" s="76" t="s">
        <v>1032</v>
      </c>
      <c r="C14174" s="84">
        <v>0.05</v>
      </c>
      <c r="D14174" s="84">
        <v>0.0</v>
      </c>
      <c r="E14174" s="84">
        <v>0.0</v>
      </c>
      <c r="F14174" s="76" t="s">
        <v>990</v>
      </c>
      <c r="G14174" s="83">
        <v>46123.0</v>
      </c>
      <c r="H14174" s="76" t="s">
        <v>936</v>
      </c>
    </row>
    <row r="14175">
      <c r="A14175" s="76" t="s">
        <v>45</v>
      </c>
      <c r="B14175" s="76" t="s">
        <v>1032</v>
      </c>
      <c r="C14175" s="84">
        <v>0.2</v>
      </c>
      <c r="D14175" s="84">
        <v>1.0</v>
      </c>
      <c r="E14175" s="84">
        <v>0.2</v>
      </c>
      <c r="F14175" s="76" t="s">
        <v>990</v>
      </c>
      <c r="G14175" s="83">
        <v>46123.0</v>
      </c>
      <c r="H14175" s="76" t="s">
        <v>937</v>
      </c>
    </row>
    <row r="14176">
      <c r="A14176" s="76" t="s">
        <v>45</v>
      </c>
      <c r="B14176" s="76" t="s">
        <v>1032</v>
      </c>
      <c r="C14176" s="84">
        <v>0.07</v>
      </c>
      <c r="D14176" s="84">
        <v>0.0</v>
      </c>
      <c r="E14176" s="84">
        <v>0.0</v>
      </c>
      <c r="F14176" s="76" t="s">
        <v>990</v>
      </c>
      <c r="G14176" s="83">
        <v>46123.0</v>
      </c>
      <c r="H14176" s="76" t="s">
        <v>938</v>
      </c>
    </row>
    <row r="14177">
      <c r="A14177" s="76" t="s">
        <v>32</v>
      </c>
      <c r="B14177" s="76" t="s">
        <v>1032</v>
      </c>
      <c r="C14177" s="84">
        <v>1.3</v>
      </c>
      <c r="D14177" s="84">
        <v>0.0</v>
      </c>
      <c r="E14177" s="84">
        <v>0.0</v>
      </c>
      <c r="F14177" s="76" t="s">
        <v>990</v>
      </c>
      <c r="G14177" s="83">
        <v>46123.0</v>
      </c>
      <c r="H14177" s="76" t="s">
        <v>941</v>
      </c>
    </row>
    <row r="14178">
      <c r="A14178" s="76" t="s">
        <v>32</v>
      </c>
      <c r="B14178" s="76" t="s">
        <v>1032</v>
      </c>
      <c r="C14178" s="84">
        <v>0.35</v>
      </c>
      <c r="D14178" s="84">
        <v>0.0</v>
      </c>
      <c r="E14178" s="84">
        <v>0.0</v>
      </c>
      <c r="F14178" s="76" t="s">
        <v>990</v>
      </c>
      <c r="G14178" s="83">
        <v>46123.0</v>
      </c>
      <c r="H14178" s="76" t="s">
        <v>942</v>
      </c>
    </row>
    <row r="14179">
      <c r="A14179" s="76" t="s">
        <v>32</v>
      </c>
      <c r="B14179" s="76" t="s">
        <v>1032</v>
      </c>
      <c r="C14179" s="84">
        <v>1.01</v>
      </c>
      <c r="D14179" s="84">
        <v>0.0</v>
      </c>
      <c r="E14179" s="84">
        <v>0.0</v>
      </c>
      <c r="F14179" s="76" t="s">
        <v>990</v>
      </c>
      <c r="G14179" s="83">
        <v>46123.0</v>
      </c>
      <c r="H14179" s="76" t="s">
        <v>943</v>
      </c>
    </row>
    <row r="14180">
      <c r="A14180" s="76" t="s">
        <v>36</v>
      </c>
      <c r="B14180" s="76" t="s">
        <v>1032</v>
      </c>
      <c r="C14180" s="84">
        <v>0.54</v>
      </c>
      <c r="D14180" s="84">
        <v>1.0</v>
      </c>
      <c r="E14180" s="84">
        <v>0.54</v>
      </c>
      <c r="F14180" s="76" t="s">
        <v>990</v>
      </c>
      <c r="G14180" s="83">
        <v>46123.0</v>
      </c>
      <c r="H14180" s="76" t="s">
        <v>926</v>
      </c>
    </row>
    <row r="14181">
      <c r="A14181" s="76" t="s">
        <v>36</v>
      </c>
      <c r="B14181" s="76" t="s">
        <v>1032</v>
      </c>
      <c r="C14181" s="84">
        <v>0.06</v>
      </c>
      <c r="D14181" s="84">
        <v>0.0</v>
      </c>
      <c r="E14181" s="84">
        <v>0.0</v>
      </c>
      <c r="F14181" s="76" t="s">
        <v>990</v>
      </c>
      <c r="G14181" s="83">
        <v>46123.0</v>
      </c>
      <c r="H14181" s="76" t="s">
        <v>927</v>
      </c>
    </row>
    <row r="14182">
      <c r="A14182" s="76" t="s">
        <v>36</v>
      </c>
      <c r="B14182" s="76" t="s">
        <v>1032</v>
      </c>
      <c r="C14182" s="84">
        <v>0.25</v>
      </c>
      <c r="D14182" s="84">
        <v>0.0</v>
      </c>
      <c r="E14182" s="84">
        <v>0.0</v>
      </c>
      <c r="F14182" s="76" t="s">
        <v>990</v>
      </c>
      <c r="G14182" s="83">
        <v>46123.0</v>
      </c>
      <c r="H14182" s="76" t="s">
        <v>928</v>
      </c>
    </row>
    <row r="14183">
      <c r="A14183" s="76" t="s">
        <v>28</v>
      </c>
      <c r="B14183" s="76" t="s">
        <v>1032</v>
      </c>
      <c r="C14183" s="84">
        <v>0.08</v>
      </c>
      <c r="D14183" s="84">
        <v>0.0</v>
      </c>
      <c r="E14183" s="84">
        <v>0.0</v>
      </c>
      <c r="F14183" s="76" t="s">
        <v>990</v>
      </c>
      <c r="G14183" s="83">
        <v>46123.0</v>
      </c>
      <c r="H14183" s="76" t="s">
        <v>931</v>
      </c>
    </row>
    <row r="14184">
      <c r="A14184" s="76" t="s">
        <v>28</v>
      </c>
      <c r="B14184" s="76" t="s">
        <v>1032</v>
      </c>
      <c r="C14184" s="84">
        <v>0.06</v>
      </c>
      <c r="D14184" s="84">
        <v>0.0</v>
      </c>
      <c r="E14184" s="84">
        <v>0.0</v>
      </c>
      <c r="F14184" s="76" t="s">
        <v>990</v>
      </c>
      <c r="G14184" s="83">
        <v>46123.0</v>
      </c>
      <c r="H14184" s="76" t="s">
        <v>932</v>
      </c>
    </row>
    <row r="14185">
      <c r="A14185" s="76" t="s">
        <v>28</v>
      </c>
      <c r="B14185" s="76" t="s">
        <v>1032</v>
      </c>
      <c r="C14185" s="84">
        <v>1.0</v>
      </c>
      <c r="D14185" s="84">
        <v>0.0</v>
      </c>
      <c r="E14185" s="84">
        <v>0.0</v>
      </c>
      <c r="F14185" s="76" t="s">
        <v>990</v>
      </c>
      <c r="G14185" s="83">
        <v>46123.0</v>
      </c>
      <c r="H14185" s="76" t="s">
        <v>933</v>
      </c>
    </row>
    <row r="14186">
      <c r="A14186" s="76" t="s">
        <v>31</v>
      </c>
      <c r="B14186" s="76" t="s">
        <v>1032</v>
      </c>
      <c r="C14186" s="84">
        <v>0.2</v>
      </c>
      <c r="D14186" s="84">
        <v>1.0</v>
      </c>
      <c r="E14186" s="84">
        <v>0.2</v>
      </c>
      <c r="F14186" s="76" t="s">
        <v>990</v>
      </c>
      <c r="G14186" s="83">
        <v>46123.0</v>
      </c>
      <c r="H14186" s="76" t="s">
        <v>929</v>
      </c>
    </row>
    <row r="14187">
      <c r="A14187" s="76" t="s">
        <v>31</v>
      </c>
      <c r="B14187" s="76" t="s">
        <v>1032</v>
      </c>
      <c r="C14187" s="84">
        <v>2.93</v>
      </c>
      <c r="D14187" s="84">
        <v>1.0</v>
      </c>
      <c r="E14187" s="84">
        <v>2.93</v>
      </c>
      <c r="F14187" s="76" t="s">
        <v>990</v>
      </c>
      <c r="G14187" s="83">
        <v>46123.0</v>
      </c>
      <c r="H14187" s="76" t="s">
        <v>930</v>
      </c>
    </row>
    <row r="14188">
      <c r="A14188" s="76" t="s">
        <v>26</v>
      </c>
      <c r="B14188" s="76" t="s">
        <v>1032</v>
      </c>
      <c r="C14188" s="84">
        <v>0.23</v>
      </c>
      <c r="D14188" s="84">
        <v>0.0</v>
      </c>
      <c r="E14188" s="84">
        <v>0.0</v>
      </c>
      <c r="F14188" s="76" t="s">
        <v>990</v>
      </c>
      <c r="G14188" s="83">
        <v>46123.0</v>
      </c>
      <c r="H14188" s="76" t="s">
        <v>1012</v>
      </c>
    </row>
    <row r="14189">
      <c r="A14189" s="76" t="s">
        <v>26</v>
      </c>
      <c r="B14189" s="76" t="s">
        <v>1032</v>
      </c>
      <c r="C14189" s="84">
        <v>0.07</v>
      </c>
      <c r="D14189" s="84">
        <v>0.0</v>
      </c>
      <c r="E14189" s="84">
        <v>0.0</v>
      </c>
      <c r="F14189" s="76" t="s">
        <v>990</v>
      </c>
      <c r="G14189" s="83">
        <v>46123.0</v>
      </c>
      <c r="H14189" s="76" t="s">
        <v>1013</v>
      </c>
    </row>
    <row r="14190">
      <c r="A14190" s="76" t="s">
        <v>26</v>
      </c>
      <c r="B14190" s="76" t="s">
        <v>1032</v>
      </c>
      <c r="C14190" s="84">
        <v>2.75</v>
      </c>
      <c r="D14190" s="84">
        <v>0.0</v>
      </c>
      <c r="E14190" s="84">
        <v>0.0</v>
      </c>
      <c r="F14190" s="76" t="s">
        <v>990</v>
      </c>
      <c r="G14190" s="83">
        <v>46123.0</v>
      </c>
      <c r="H14190" s="76" t="s">
        <v>1014</v>
      </c>
    </row>
    <row r="14191">
      <c r="A14191" s="76" t="s">
        <v>944</v>
      </c>
      <c r="B14191" s="76" t="s">
        <v>1032</v>
      </c>
      <c r="C14191" s="84">
        <v>1.13</v>
      </c>
      <c r="D14191" s="84">
        <v>0.0</v>
      </c>
      <c r="E14191" s="84">
        <v>0.0</v>
      </c>
      <c r="F14191" s="76" t="s">
        <v>990</v>
      </c>
      <c r="G14191" s="83">
        <v>46123.0</v>
      </c>
      <c r="H14191" s="76" t="s">
        <v>945</v>
      </c>
    </row>
    <row r="14192">
      <c r="A14192" s="76" t="s">
        <v>944</v>
      </c>
      <c r="B14192" s="76" t="s">
        <v>1032</v>
      </c>
      <c r="C14192" s="84">
        <v>0.21</v>
      </c>
      <c r="D14192" s="84">
        <v>0.0</v>
      </c>
      <c r="E14192" s="84">
        <v>0.0</v>
      </c>
      <c r="F14192" s="76" t="s">
        <v>990</v>
      </c>
      <c r="G14192" s="83">
        <v>46123.0</v>
      </c>
      <c r="H14192" s="76" t="s">
        <v>946</v>
      </c>
    </row>
    <row r="14193">
      <c r="A14193" s="76" t="s">
        <v>944</v>
      </c>
      <c r="B14193" s="76" t="s">
        <v>1032</v>
      </c>
      <c r="C14193" s="84">
        <v>1.03</v>
      </c>
      <c r="D14193" s="84">
        <v>0.0</v>
      </c>
      <c r="E14193" s="84">
        <v>0.0</v>
      </c>
      <c r="F14193" s="76" t="s">
        <v>990</v>
      </c>
      <c r="G14193" s="83">
        <v>46123.0</v>
      </c>
      <c r="H14193" s="76" t="s">
        <v>947</v>
      </c>
    </row>
    <row r="14194">
      <c r="A14194" s="76" t="s">
        <v>1043</v>
      </c>
      <c r="B14194" s="76" t="s">
        <v>1032</v>
      </c>
      <c r="C14194" s="84">
        <v>0.69</v>
      </c>
      <c r="D14194" s="84">
        <v>0.0</v>
      </c>
      <c r="E14194" s="84">
        <v>0.0</v>
      </c>
      <c r="F14194" s="76" t="s">
        <v>990</v>
      </c>
      <c r="G14194" s="83">
        <v>46123.0</v>
      </c>
      <c r="H14194" s="76" t="s">
        <v>1044</v>
      </c>
    </row>
    <row r="14195">
      <c r="A14195" s="76" t="s">
        <v>52</v>
      </c>
      <c r="B14195" s="76" t="s">
        <v>1032</v>
      </c>
      <c r="C14195" s="84">
        <v>1.05</v>
      </c>
      <c r="D14195" s="84">
        <v>0.0</v>
      </c>
      <c r="E14195" s="84">
        <v>0.0</v>
      </c>
      <c r="F14195" s="76" t="s">
        <v>990</v>
      </c>
      <c r="G14195" s="83">
        <v>46123.0</v>
      </c>
      <c r="H14195" s="76" t="s">
        <v>1045</v>
      </c>
    </row>
    <row r="14196">
      <c r="A14196" s="76" t="s">
        <v>49</v>
      </c>
      <c r="B14196" s="76" t="s">
        <v>1032</v>
      </c>
      <c r="C14196" s="84">
        <v>0.79</v>
      </c>
      <c r="D14196" s="84">
        <v>0.0</v>
      </c>
      <c r="E14196" s="84">
        <v>0.0</v>
      </c>
      <c r="F14196" s="76" t="s">
        <v>990</v>
      </c>
      <c r="G14196" s="83">
        <v>46123.0</v>
      </c>
      <c r="H14196" s="76" t="s">
        <v>1046</v>
      </c>
    </row>
    <row r="14197">
      <c r="A14197" s="76" t="s">
        <v>26</v>
      </c>
      <c r="B14197" s="76" t="s">
        <v>1032</v>
      </c>
      <c r="C14197" s="84">
        <v>4.94</v>
      </c>
      <c r="D14197" s="84">
        <v>0.0</v>
      </c>
      <c r="E14197" s="84">
        <v>0.0</v>
      </c>
      <c r="F14197" s="76" t="s">
        <v>1005</v>
      </c>
      <c r="G14197" s="83">
        <v>46123.0</v>
      </c>
      <c r="H14197" s="76" t="s">
        <v>1012</v>
      </c>
    </row>
    <row r="14198">
      <c r="A14198" s="76" t="s">
        <v>26</v>
      </c>
      <c r="B14198" s="76" t="s">
        <v>1032</v>
      </c>
      <c r="C14198" s="84">
        <v>11.48</v>
      </c>
      <c r="D14198" s="84">
        <v>4.0</v>
      </c>
      <c r="E14198" s="84">
        <v>2.87</v>
      </c>
      <c r="F14198" s="76" t="s">
        <v>1005</v>
      </c>
      <c r="G14198" s="83">
        <v>46123.0</v>
      </c>
      <c r="H14198" s="76" t="s">
        <v>1013</v>
      </c>
    </row>
    <row r="14199">
      <c r="A14199" s="76" t="s">
        <v>26</v>
      </c>
      <c r="B14199" s="76" t="s">
        <v>1032</v>
      </c>
      <c r="C14199" s="84">
        <v>843.34</v>
      </c>
      <c r="D14199" s="84">
        <v>198.0</v>
      </c>
      <c r="E14199" s="84">
        <v>4.26</v>
      </c>
      <c r="F14199" s="76" t="s">
        <v>1005</v>
      </c>
      <c r="G14199" s="83">
        <v>46123.0</v>
      </c>
      <c r="H14199" s="76" t="s">
        <v>1014</v>
      </c>
    </row>
    <row r="14200">
      <c r="A14200" s="76" t="s">
        <v>28</v>
      </c>
      <c r="B14200" s="76" t="s">
        <v>1032</v>
      </c>
      <c r="C14200" s="84">
        <v>1.51</v>
      </c>
      <c r="D14200" s="84">
        <v>0.0</v>
      </c>
      <c r="E14200" s="84">
        <v>0.0</v>
      </c>
      <c r="F14200" s="76" t="s">
        <v>1005</v>
      </c>
      <c r="G14200" s="83">
        <v>46123.0</v>
      </c>
      <c r="H14200" s="76" t="s">
        <v>931</v>
      </c>
    </row>
    <row r="14201">
      <c r="A14201" s="76" t="s">
        <v>28</v>
      </c>
      <c r="B14201" s="76" t="s">
        <v>1032</v>
      </c>
      <c r="C14201" s="84">
        <v>0.77</v>
      </c>
      <c r="D14201" s="84">
        <v>0.0</v>
      </c>
      <c r="E14201" s="84">
        <v>0.0</v>
      </c>
      <c r="F14201" s="76" t="s">
        <v>1005</v>
      </c>
      <c r="G14201" s="83">
        <v>46123.0</v>
      </c>
      <c r="H14201" s="76" t="s">
        <v>932</v>
      </c>
    </row>
    <row r="14202">
      <c r="A14202" s="76" t="s">
        <v>28</v>
      </c>
      <c r="B14202" s="76" t="s">
        <v>1032</v>
      </c>
      <c r="C14202" s="84">
        <v>96.06</v>
      </c>
      <c r="D14202" s="84">
        <v>21.0</v>
      </c>
      <c r="E14202" s="84">
        <v>4.57</v>
      </c>
      <c r="F14202" s="76" t="s">
        <v>1005</v>
      </c>
      <c r="G14202" s="83">
        <v>46123.0</v>
      </c>
      <c r="H14202" s="76" t="s">
        <v>933</v>
      </c>
    </row>
    <row r="14203">
      <c r="A14203" s="76" t="s">
        <v>36</v>
      </c>
      <c r="B14203" s="76" t="s">
        <v>1032</v>
      </c>
      <c r="C14203" s="84">
        <v>13.71</v>
      </c>
      <c r="D14203" s="84">
        <v>1.0</v>
      </c>
      <c r="E14203" s="84">
        <v>13.71</v>
      </c>
      <c r="F14203" s="76" t="s">
        <v>1005</v>
      </c>
      <c r="G14203" s="83">
        <v>46123.0</v>
      </c>
      <c r="H14203" s="76" t="s">
        <v>926</v>
      </c>
    </row>
    <row r="14204">
      <c r="A14204" s="76" t="s">
        <v>36</v>
      </c>
      <c r="B14204" s="76" t="s">
        <v>1032</v>
      </c>
      <c r="C14204" s="84">
        <v>1.11</v>
      </c>
      <c r="D14204" s="84">
        <v>1.0</v>
      </c>
      <c r="E14204" s="84">
        <v>1.11</v>
      </c>
      <c r="F14204" s="76" t="s">
        <v>1005</v>
      </c>
      <c r="G14204" s="83">
        <v>46123.0</v>
      </c>
      <c r="H14204" s="76" t="s">
        <v>927</v>
      </c>
    </row>
    <row r="14205">
      <c r="A14205" s="76" t="s">
        <v>36</v>
      </c>
      <c r="B14205" s="76" t="s">
        <v>1032</v>
      </c>
      <c r="C14205" s="84">
        <v>4.48</v>
      </c>
      <c r="D14205" s="84">
        <v>2.0</v>
      </c>
      <c r="E14205" s="84">
        <v>2.24</v>
      </c>
      <c r="F14205" s="76" t="s">
        <v>1005</v>
      </c>
      <c r="G14205" s="83">
        <v>46123.0</v>
      </c>
      <c r="H14205" s="76" t="s">
        <v>928</v>
      </c>
    </row>
    <row r="14206">
      <c r="A14206" s="76" t="s">
        <v>31</v>
      </c>
      <c r="B14206" s="76" t="s">
        <v>1032</v>
      </c>
      <c r="C14206" s="84">
        <v>4.06</v>
      </c>
      <c r="D14206" s="84">
        <v>2.0</v>
      </c>
      <c r="E14206" s="84">
        <v>2.03</v>
      </c>
      <c r="F14206" s="76" t="s">
        <v>1005</v>
      </c>
      <c r="G14206" s="83">
        <v>46123.0</v>
      </c>
      <c r="H14206" s="76" t="s">
        <v>929</v>
      </c>
    </row>
    <row r="14207">
      <c r="A14207" s="76" t="s">
        <v>31</v>
      </c>
      <c r="B14207" s="76" t="s">
        <v>1032</v>
      </c>
      <c r="C14207" s="84">
        <v>248.51</v>
      </c>
      <c r="D14207" s="84">
        <v>71.0</v>
      </c>
      <c r="E14207" s="84">
        <v>3.5</v>
      </c>
      <c r="F14207" s="76" t="s">
        <v>1005</v>
      </c>
      <c r="G14207" s="83">
        <v>46123.0</v>
      </c>
      <c r="H14207" s="76" t="s">
        <v>930</v>
      </c>
    </row>
    <row r="14208">
      <c r="A14208" s="76" t="s">
        <v>944</v>
      </c>
      <c r="B14208" s="76" t="s">
        <v>1032</v>
      </c>
      <c r="C14208" s="84">
        <v>13.24</v>
      </c>
      <c r="D14208" s="84">
        <v>0.0</v>
      </c>
      <c r="E14208" s="84">
        <v>0.0</v>
      </c>
      <c r="F14208" s="76" t="s">
        <v>1005</v>
      </c>
      <c r="G14208" s="83">
        <v>46123.0</v>
      </c>
      <c r="H14208" s="76" t="s">
        <v>945</v>
      </c>
    </row>
    <row r="14209">
      <c r="A14209" s="76" t="s">
        <v>944</v>
      </c>
      <c r="B14209" s="76" t="s">
        <v>1032</v>
      </c>
      <c r="C14209" s="84">
        <v>2.4</v>
      </c>
      <c r="D14209" s="84">
        <v>0.0</v>
      </c>
      <c r="E14209" s="84">
        <v>0.0</v>
      </c>
      <c r="F14209" s="76" t="s">
        <v>1005</v>
      </c>
      <c r="G14209" s="83">
        <v>46123.0</v>
      </c>
      <c r="H14209" s="76" t="s">
        <v>946</v>
      </c>
    </row>
    <row r="14210">
      <c r="A14210" s="76" t="s">
        <v>944</v>
      </c>
      <c r="B14210" s="76" t="s">
        <v>1032</v>
      </c>
      <c r="C14210" s="84">
        <v>16.89</v>
      </c>
      <c r="D14210" s="84">
        <v>1.0</v>
      </c>
      <c r="E14210" s="84">
        <v>16.89</v>
      </c>
      <c r="F14210" s="76" t="s">
        <v>1005</v>
      </c>
      <c r="G14210" s="83">
        <v>46123.0</v>
      </c>
      <c r="H14210" s="76" t="s">
        <v>947</v>
      </c>
    </row>
    <row r="14211">
      <c r="A14211" s="76" t="s">
        <v>45</v>
      </c>
      <c r="B14211" s="76" t="s">
        <v>1032</v>
      </c>
      <c r="C14211" s="84">
        <v>0.44</v>
      </c>
      <c r="D14211" s="84">
        <v>0.0</v>
      </c>
      <c r="E14211" s="84">
        <v>0.0</v>
      </c>
      <c r="F14211" s="76" t="s">
        <v>1005</v>
      </c>
      <c r="G14211" s="83">
        <v>46123.0</v>
      </c>
      <c r="H14211" s="76" t="s">
        <v>936</v>
      </c>
    </row>
    <row r="14212">
      <c r="A14212" s="76" t="s">
        <v>45</v>
      </c>
      <c r="B14212" s="76" t="s">
        <v>1032</v>
      </c>
      <c r="C14212" s="84">
        <v>1.75</v>
      </c>
      <c r="D14212" s="84">
        <v>1.0</v>
      </c>
      <c r="E14212" s="84">
        <v>1.75</v>
      </c>
      <c r="F14212" s="76" t="s">
        <v>1005</v>
      </c>
      <c r="G14212" s="83">
        <v>46123.0</v>
      </c>
      <c r="H14212" s="76" t="s">
        <v>937</v>
      </c>
    </row>
    <row r="14213">
      <c r="A14213" s="76" t="s">
        <v>45</v>
      </c>
      <c r="B14213" s="76" t="s">
        <v>1032</v>
      </c>
      <c r="C14213" s="84">
        <v>0.81</v>
      </c>
      <c r="D14213" s="84">
        <v>0.0</v>
      </c>
      <c r="E14213" s="84">
        <v>0.0</v>
      </c>
      <c r="F14213" s="76" t="s">
        <v>1005</v>
      </c>
      <c r="G14213" s="83">
        <v>46123.0</v>
      </c>
      <c r="H14213" s="76" t="s">
        <v>938</v>
      </c>
    </row>
    <row r="14214">
      <c r="A14214" s="76" t="s">
        <v>32</v>
      </c>
      <c r="B14214" s="76" t="s">
        <v>1032</v>
      </c>
      <c r="C14214" s="84">
        <v>24.95</v>
      </c>
      <c r="D14214" s="84">
        <v>2.0</v>
      </c>
      <c r="E14214" s="84">
        <v>12.48</v>
      </c>
      <c r="F14214" s="76" t="s">
        <v>1005</v>
      </c>
      <c r="G14214" s="83">
        <v>46123.0</v>
      </c>
      <c r="H14214" s="76" t="s">
        <v>941</v>
      </c>
    </row>
    <row r="14215">
      <c r="A14215" s="76" t="s">
        <v>32</v>
      </c>
      <c r="B14215" s="76" t="s">
        <v>1032</v>
      </c>
      <c r="C14215" s="84">
        <v>4.57</v>
      </c>
      <c r="D14215" s="84">
        <v>0.0</v>
      </c>
      <c r="E14215" s="84">
        <v>0.0</v>
      </c>
      <c r="F14215" s="76" t="s">
        <v>1005</v>
      </c>
      <c r="G14215" s="83">
        <v>46123.0</v>
      </c>
      <c r="H14215" s="76" t="s">
        <v>942</v>
      </c>
    </row>
    <row r="14216">
      <c r="A14216" s="76" t="s">
        <v>32</v>
      </c>
      <c r="B14216" s="76" t="s">
        <v>1032</v>
      </c>
      <c r="C14216" s="84">
        <v>15.01</v>
      </c>
      <c r="D14216" s="84">
        <v>1.0</v>
      </c>
      <c r="E14216" s="84">
        <v>15.01</v>
      </c>
      <c r="F14216" s="76" t="s">
        <v>1005</v>
      </c>
      <c r="G14216" s="83">
        <v>46123.0</v>
      </c>
      <c r="H14216" s="76" t="s">
        <v>943</v>
      </c>
    </row>
    <row r="14217">
      <c r="A14217" s="76" t="s">
        <v>1043</v>
      </c>
      <c r="B14217" s="76" t="s">
        <v>1032</v>
      </c>
      <c r="C14217" s="84">
        <v>16.09</v>
      </c>
      <c r="D14217" s="84">
        <v>1.0</v>
      </c>
      <c r="E14217" s="84">
        <v>16.09</v>
      </c>
      <c r="F14217" s="76" t="s">
        <v>1005</v>
      </c>
      <c r="G14217" s="83">
        <v>46123.0</v>
      </c>
      <c r="H14217" s="76" t="s">
        <v>1044</v>
      </c>
    </row>
    <row r="14218">
      <c r="A14218" s="76" t="s">
        <v>52</v>
      </c>
      <c r="B14218" s="76" t="s">
        <v>1032</v>
      </c>
      <c r="C14218" s="84">
        <v>17.0</v>
      </c>
      <c r="D14218" s="84">
        <v>4.0</v>
      </c>
      <c r="E14218" s="84">
        <v>4.25</v>
      </c>
      <c r="F14218" s="76" t="s">
        <v>1005</v>
      </c>
      <c r="G14218" s="83">
        <v>46123.0</v>
      </c>
      <c r="H14218" s="76" t="s">
        <v>1045</v>
      </c>
    </row>
    <row r="14219">
      <c r="A14219" s="76" t="s">
        <v>49</v>
      </c>
      <c r="B14219" s="76" t="s">
        <v>1032</v>
      </c>
      <c r="C14219" s="84">
        <v>14.99</v>
      </c>
      <c r="D14219" s="84">
        <v>3.0</v>
      </c>
      <c r="E14219" s="84">
        <v>5.0</v>
      </c>
      <c r="F14219" s="76" t="s">
        <v>1005</v>
      </c>
      <c r="G14219" s="83">
        <v>46123.0</v>
      </c>
      <c r="H14219" s="76" t="s">
        <v>1046</v>
      </c>
    </row>
    <row r="14220">
      <c r="A14220" s="76" t="s">
        <v>26</v>
      </c>
      <c r="B14220" s="76" t="s">
        <v>1032</v>
      </c>
      <c r="C14220" s="84">
        <v>0.05</v>
      </c>
      <c r="D14220" s="84">
        <v>0.0</v>
      </c>
      <c r="E14220" s="84">
        <v>0.0</v>
      </c>
      <c r="F14220" s="76" t="s">
        <v>993</v>
      </c>
      <c r="G14220" s="83">
        <v>46123.0</v>
      </c>
      <c r="H14220" s="76" t="s">
        <v>1012</v>
      </c>
    </row>
    <row r="14221">
      <c r="A14221" s="76" t="s">
        <v>26</v>
      </c>
      <c r="B14221" s="76" t="s">
        <v>1032</v>
      </c>
      <c r="C14221" s="84">
        <v>0.08</v>
      </c>
      <c r="D14221" s="84">
        <v>0.0</v>
      </c>
      <c r="E14221" s="84">
        <v>0.0</v>
      </c>
      <c r="F14221" s="76" t="s">
        <v>993</v>
      </c>
      <c r="G14221" s="83">
        <v>46123.0</v>
      </c>
      <c r="H14221" s="76" t="s">
        <v>1013</v>
      </c>
    </row>
    <row r="14222">
      <c r="A14222" s="76" t="s">
        <v>26</v>
      </c>
      <c r="B14222" s="76" t="s">
        <v>1032</v>
      </c>
      <c r="C14222" s="84">
        <v>1.38</v>
      </c>
      <c r="D14222" s="84">
        <v>1.0</v>
      </c>
      <c r="E14222" s="84">
        <v>1.38</v>
      </c>
      <c r="F14222" s="76" t="s">
        <v>993</v>
      </c>
      <c r="G14222" s="83">
        <v>46123.0</v>
      </c>
      <c r="H14222" s="76" t="s">
        <v>1014</v>
      </c>
    </row>
    <row r="14223">
      <c r="A14223" s="76" t="s">
        <v>944</v>
      </c>
      <c r="B14223" s="76" t="s">
        <v>1032</v>
      </c>
      <c r="C14223" s="84">
        <v>0.35</v>
      </c>
      <c r="D14223" s="84">
        <v>0.0</v>
      </c>
      <c r="E14223" s="84">
        <v>0.0</v>
      </c>
      <c r="F14223" s="76" t="s">
        <v>993</v>
      </c>
      <c r="G14223" s="83">
        <v>46123.0</v>
      </c>
      <c r="H14223" s="76" t="s">
        <v>945</v>
      </c>
    </row>
    <row r="14224">
      <c r="A14224" s="76" t="s">
        <v>944</v>
      </c>
      <c r="B14224" s="76" t="s">
        <v>1032</v>
      </c>
      <c r="C14224" s="84">
        <v>0.1</v>
      </c>
      <c r="D14224" s="84">
        <v>0.0</v>
      </c>
      <c r="E14224" s="84">
        <v>0.0</v>
      </c>
      <c r="F14224" s="76" t="s">
        <v>993</v>
      </c>
      <c r="G14224" s="83">
        <v>46123.0</v>
      </c>
      <c r="H14224" s="76" t="s">
        <v>946</v>
      </c>
    </row>
    <row r="14225">
      <c r="A14225" s="76" t="s">
        <v>944</v>
      </c>
      <c r="B14225" s="76" t="s">
        <v>1032</v>
      </c>
      <c r="C14225" s="84">
        <v>0.31</v>
      </c>
      <c r="D14225" s="84">
        <v>0.0</v>
      </c>
      <c r="E14225" s="84">
        <v>0.0</v>
      </c>
      <c r="F14225" s="76" t="s">
        <v>993</v>
      </c>
      <c r="G14225" s="83">
        <v>46123.0</v>
      </c>
      <c r="H14225" s="76" t="s">
        <v>947</v>
      </c>
    </row>
    <row r="14226">
      <c r="A14226" s="76" t="s">
        <v>45</v>
      </c>
      <c r="B14226" s="76" t="s">
        <v>1032</v>
      </c>
      <c r="C14226" s="84">
        <v>0.01</v>
      </c>
      <c r="D14226" s="84">
        <v>0.0</v>
      </c>
      <c r="E14226" s="84">
        <v>0.0</v>
      </c>
      <c r="F14226" s="76" t="s">
        <v>993</v>
      </c>
      <c r="G14226" s="83">
        <v>46123.0</v>
      </c>
      <c r="H14226" s="76" t="s">
        <v>936</v>
      </c>
    </row>
    <row r="14227">
      <c r="A14227" s="76" t="s">
        <v>45</v>
      </c>
      <c r="B14227" s="76" t="s">
        <v>1032</v>
      </c>
      <c r="C14227" s="84">
        <v>0.1</v>
      </c>
      <c r="D14227" s="84">
        <v>0.0</v>
      </c>
      <c r="E14227" s="84">
        <v>0.0</v>
      </c>
      <c r="F14227" s="76" t="s">
        <v>993</v>
      </c>
      <c r="G14227" s="83">
        <v>46123.0</v>
      </c>
      <c r="H14227" s="76" t="s">
        <v>937</v>
      </c>
    </row>
    <row r="14228">
      <c r="A14228" s="76" t="s">
        <v>45</v>
      </c>
      <c r="B14228" s="76" t="s">
        <v>1032</v>
      </c>
      <c r="C14228" s="84">
        <v>0.01</v>
      </c>
      <c r="D14228" s="84">
        <v>0.0</v>
      </c>
      <c r="E14228" s="84">
        <v>0.0</v>
      </c>
      <c r="F14228" s="76" t="s">
        <v>993</v>
      </c>
      <c r="G14228" s="83">
        <v>46123.0</v>
      </c>
      <c r="H14228" s="76" t="s">
        <v>938</v>
      </c>
    </row>
    <row r="14229">
      <c r="A14229" s="76" t="s">
        <v>32</v>
      </c>
      <c r="B14229" s="76" t="s">
        <v>1032</v>
      </c>
      <c r="C14229" s="84">
        <v>0.91</v>
      </c>
      <c r="D14229" s="84">
        <v>0.0</v>
      </c>
      <c r="E14229" s="84">
        <v>0.0</v>
      </c>
      <c r="F14229" s="76" t="s">
        <v>993</v>
      </c>
      <c r="G14229" s="83">
        <v>46123.0</v>
      </c>
      <c r="H14229" s="76" t="s">
        <v>941</v>
      </c>
    </row>
    <row r="14230">
      <c r="A14230" s="76" t="s">
        <v>32</v>
      </c>
      <c r="B14230" s="76" t="s">
        <v>1032</v>
      </c>
      <c r="C14230" s="84">
        <v>0.24</v>
      </c>
      <c r="D14230" s="84">
        <v>0.0</v>
      </c>
      <c r="E14230" s="84">
        <v>0.0</v>
      </c>
      <c r="F14230" s="76" t="s">
        <v>993</v>
      </c>
      <c r="G14230" s="83">
        <v>46123.0</v>
      </c>
      <c r="H14230" s="76" t="s">
        <v>942</v>
      </c>
    </row>
    <row r="14231">
      <c r="A14231" s="76" t="s">
        <v>32</v>
      </c>
      <c r="B14231" s="76" t="s">
        <v>1032</v>
      </c>
      <c r="C14231" s="84">
        <v>0.3</v>
      </c>
      <c r="D14231" s="84">
        <v>0.0</v>
      </c>
      <c r="E14231" s="84">
        <v>0.0</v>
      </c>
      <c r="F14231" s="76" t="s">
        <v>993</v>
      </c>
      <c r="G14231" s="83">
        <v>46123.0</v>
      </c>
      <c r="H14231" s="76" t="s">
        <v>943</v>
      </c>
    </row>
    <row r="14232">
      <c r="A14232" s="76" t="s">
        <v>36</v>
      </c>
      <c r="B14232" s="76" t="s">
        <v>1032</v>
      </c>
      <c r="C14232" s="84">
        <v>0.34</v>
      </c>
      <c r="D14232" s="84">
        <v>0.0</v>
      </c>
      <c r="E14232" s="84">
        <v>0.0</v>
      </c>
      <c r="F14232" s="76" t="s">
        <v>993</v>
      </c>
      <c r="G14232" s="83">
        <v>46123.0</v>
      </c>
      <c r="H14232" s="76" t="s">
        <v>926</v>
      </c>
    </row>
    <row r="14233">
      <c r="A14233" s="76" t="s">
        <v>36</v>
      </c>
      <c r="B14233" s="76" t="s">
        <v>1032</v>
      </c>
      <c r="C14233" s="84">
        <v>0.06</v>
      </c>
      <c r="D14233" s="84">
        <v>1.0</v>
      </c>
      <c r="E14233" s="84">
        <v>0.06</v>
      </c>
      <c r="F14233" s="76" t="s">
        <v>993</v>
      </c>
      <c r="G14233" s="83">
        <v>46123.0</v>
      </c>
      <c r="H14233" s="76" t="s">
        <v>927</v>
      </c>
    </row>
    <row r="14234">
      <c r="A14234" s="76" t="s">
        <v>36</v>
      </c>
      <c r="B14234" s="76" t="s">
        <v>1032</v>
      </c>
      <c r="C14234" s="84">
        <v>0.14</v>
      </c>
      <c r="D14234" s="84">
        <v>1.0</v>
      </c>
      <c r="E14234" s="84">
        <v>0.14</v>
      </c>
      <c r="F14234" s="76" t="s">
        <v>993</v>
      </c>
      <c r="G14234" s="83">
        <v>46123.0</v>
      </c>
      <c r="H14234" s="76" t="s">
        <v>928</v>
      </c>
    </row>
    <row r="14235">
      <c r="A14235" s="76" t="s">
        <v>28</v>
      </c>
      <c r="B14235" s="76" t="s">
        <v>1032</v>
      </c>
      <c r="C14235" s="84">
        <v>0.03</v>
      </c>
      <c r="D14235" s="84">
        <v>0.0</v>
      </c>
      <c r="E14235" s="84">
        <v>0.0</v>
      </c>
      <c r="F14235" s="76" t="s">
        <v>993</v>
      </c>
      <c r="G14235" s="83">
        <v>46123.0</v>
      </c>
      <c r="H14235" s="76" t="s">
        <v>931</v>
      </c>
    </row>
    <row r="14236">
      <c r="A14236" s="76" t="s">
        <v>28</v>
      </c>
      <c r="B14236" s="76" t="s">
        <v>1032</v>
      </c>
      <c r="C14236" s="84">
        <v>0.05</v>
      </c>
      <c r="D14236" s="84">
        <v>0.0</v>
      </c>
      <c r="E14236" s="84">
        <v>0.0</v>
      </c>
      <c r="F14236" s="76" t="s">
        <v>993</v>
      </c>
      <c r="G14236" s="83">
        <v>46123.0</v>
      </c>
      <c r="H14236" s="76" t="s">
        <v>932</v>
      </c>
    </row>
    <row r="14237">
      <c r="A14237" s="76" t="s">
        <v>28</v>
      </c>
      <c r="B14237" s="76" t="s">
        <v>1032</v>
      </c>
      <c r="C14237" s="84">
        <v>0.43</v>
      </c>
      <c r="D14237" s="84">
        <v>0.0</v>
      </c>
      <c r="E14237" s="84">
        <v>0.0</v>
      </c>
      <c r="F14237" s="76" t="s">
        <v>993</v>
      </c>
      <c r="G14237" s="83">
        <v>46123.0</v>
      </c>
      <c r="H14237" s="76" t="s">
        <v>933</v>
      </c>
    </row>
    <row r="14238">
      <c r="A14238" s="76" t="s">
        <v>31</v>
      </c>
      <c r="B14238" s="76" t="s">
        <v>1032</v>
      </c>
      <c r="C14238" s="84">
        <v>0.11</v>
      </c>
      <c r="D14238" s="84">
        <v>0.0</v>
      </c>
      <c r="E14238" s="84">
        <v>0.0</v>
      </c>
      <c r="F14238" s="76" t="s">
        <v>993</v>
      </c>
      <c r="G14238" s="83">
        <v>46123.0</v>
      </c>
      <c r="H14238" s="76" t="s">
        <v>929</v>
      </c>
    </row>
    <row r="14239">
      <c r="A14239" s="76" t="s">
        <v>31</v>
      </c>
      <c r="B14239" s="76" t="s">
        <v>1032</v>
      </c>
      <c r="C14239" s="84">
        <v>2.26</v>
      </c>
      <c r="D14239" s="84">
        <v>0.0</v>
      </c>
      <c r="E14239" s="84">
        <v>0.0</v>
      </c>
      <c r="F14239" s="76" t="s">
        <v>993</v>
      </c>
      <c r="G14239" s="83">
        <v>46123.0</v>
      </c>
      <c r="H14239" s="76" t="s">
        <v>930</v>
      </c>
    </row>
    <row r="14240">
      <c r="A14240" s="76" t="s">
        <v>1043</v>
      </c>
      <c r="B14240" s="76" t="s">
        <v>1032</v>
      </c>
      <c r="C14240" s="84">
        <v>0.31</v>
      </c>
      <c r="D14240" s="84">
        <v>0.0</v>
      </c>
      <c r="E14240" s="84">
        <v>0.0</v>
      </c>
      <c r="F14240" s="76" t="s">
        <v>993</v>
      </c>
      <c r="G14240" s="83">
        <v>46123.0</v>
      </c>
      <c r="H14240" s="76" t="s">
        <v>1044</v>
      </c>
    </row>
    <row r="14241">
      <c r="A14241" s="76" t="s">
        <v>52</v>
      </c>
      <c r="B14241" s="76" t="s">
        <v>1032</v>
      </c>
      <c r="C14241" s="84">
        <v>0.43</v>
      </c>
      <c r="D14241" s="84">
        <v>0.0</v>
      </c>
      <c r="E14241" s="84">
        <v>0.0</v>
      </c>
      <c r="F14241" s="76" t="s">
        <v>993</v>
      </c>
      <c r="G14241" s="83">
        <v>46123.0</v>
      </c>
      <c r="H14241" s="76" t="s">
        <v>1045</v>
      </c>
    </row>
    <row r="14242">
      <c r="A14242" s="76" t="s">
        <v>49</v>
      </c>
      <c r="B14242" s="76" t="s">
        <v>1032</v>
      </c>
      <c r="C14242" s="84">
        <v>0.31</v>
      </c>
      <c r="D14242" s="84">
        <v>0.0</v>
      </c>
      <c r="E14242" s="84">
        <v>0.0</v>
      </c>
      <c r="F14242" s="76" t="s">
        <v>993</v>
      </c>
      <c r="G14242" s="83">
        <v>46123.0</v>
      </c>
      <c r="H14242" s="76" t="s">
        <v>1046</v>
      </c>
    </row>
    <row r="14243">
      <c r="A14243" s="76" t="s">
        <v>45</v>
      </c>
      <c r="B14243" s="76" t="s">
        <v>1032</v>
      </c>
      <c r="C14243" s="84">
        <v>0.05</v>
      </c>
      <c r="D14243" s="84">
        <v>0.0</v>
      </c>
      <c r="E14243" s="84">
        <v>0.0</v>
      </c>
      <c r="F14243" s="76" t="s">
        <v>994</v>
      </c>
      <c r="G14243" s="83">
        <v>46123.0</v>
      </c>
      <c r="H14243" s="76" t="s">
        <v>936</v>
      </c>
    </row>
    <row r="14244">
      <c r="A14244" s="76" t="s">
        <v>45</v>
      </c>
      <c r="B14244" s="76" t="s">
        <v>1032</v>
      </c>
      <c r="C14244" s="84">
        <v>0.22</v>
      </c>
      <c r="D14244" s="84">
        <v>0.0</v>
      </c>
      <c r="E14244" s="84">
        <v>0.0</v>
      </c>
      <c r="F14244" s="76" t="s">
        <v>994</v>
      </c>
      <c r="G14244" s="83">
        <v>46123.0</v>
      </c>
      <c r="H14244" s="76" t="s">
        <v>937</v>
      </c>
    </row>
    <row r="14245">
      <c r="A14245" s="76" t="s">
        <v>45</v>
      </c>
      <c r="B14245" s="76" t="s">
        <v>1032</v>
      </c>
      <c r="C14245" s="84">
        <v>0.08</v>
      </c>
      <c r="D14245" s="84">
        <v>0.0</v>
      </c>
      <c r="E14245" s="84">
        <v>0.0</v>
      </c>
      <c r="F14245" s="76" t="s">
        <v>994</v>
      </c>
      <c r="G14245" s="83">
        <v>46123.0</v>
      </c>
      <c r="H14245" s="76" t="s">
        <v>938</v>
      </c>
    </row>
    <row r="14246">
      <c r="A14246" s="76" t="s">
        <v>36</v>
      </c>
      <c r="B14246" s="76" t="s">
        <v>1032</v>
      </c>
      <c r="C14246" s="84">
        <v>0.4</v>
      </c>
      <c r="D14246" s="84">
        <v>0.0</v>
      </c>
      <c r="E14246" s="84">
        <v>0.0</v>
      </c>
      <c r="F14246" s="76" t="s">
        <v>994</v>
      </c>
      <c r="G14246" s="83">
        <v>46123.0</v>
      </c>
      <c r="H14246" s="76" t="s">
        <v>926</v>
      </c>
    </row>
    <row r="14247">
      <c r="A14247" s="76" t="s">
        <v>36</v>
      </c>
      <c r="B14247" s="76" t="s">
        <v>1032</v>
      </c>
      <c r="C14247" s="84">
        <v>0.07</v>
      </c>
      <c r="D14247" s="84">
        <v>0.0</v>
      </c>
      <c r="E14247" s="84">
        <v>0.0</v>
      </c>
      <c r="F14247" s="76" t="s">
        <v>994</v>
      </c>
      <c r="G14247" s="83">
        <v>46123.0</v>
      </c>
      <c r="H14247" s="76" t="s">
        <v>927</v>
      </c>
    </row>
    <row r="14248">
      <c r="A14248" s="76" t="s">
        <v>36</v>
      </c>
      <c r="B14248" s="76" t="s">
        <v>1032</v>
      </c>
      <c r="C14248" s="84">
        <v>0.35</v>
      </c>
      <c r="D14248" s="84">
        <v>0.0</v>
      </c>
      <c r="E14248" s="84">
        <v>0.0</v>
      </c>
      <c r="F14248" s="76" t="s">
        <v>994</v>
      </c>
      <c r="G14248" s="83">
        <v>46123.0</v>
      </c>
      <c r="H14248" s="76" t="s">
        <v>928</v>
      </c>
    </row>
    <row r="14249">
      <c r="A14249" s="76" t="s">
        <v>31</v>
      </c>
      <c r="B14249" s="76" t="s">
        <v>1032</v>
      </c>
      <c r="C14249" s="84">
        <v>0.2</v>
      </c>
      <c r="D14249" s="84">
        <v>0.0</v>
      </c>
      <c r="E14249" s="84">
        <v>0.0</v>
      </c>
      <c r="F14249" s="76" t="s">
        <v>994</v>
      </c>
      <c r="G14249" s="83">
        <v>46123.0</v>
      </c>
      <c r="H14249" s="76" t="s">
        <v>929</v>
      </c>
    </row>
    <row r="14250">
      <c r="A14250" s="76" t="s">
        <v>31</v>
      </c>
      <c r="B14250" s="76" t="s">
        <v>1032</v>
      </c>
      <c r="C14250" s="84">
        <v>0.65</v>
      </c>
      <c r="D14250" s="84">
        <v>0.0</v>
      </c>
      <c r="E14250" s="84">
        <v>0.0</v>
      </c>
      <c r="F14250" s="76" t="s">
        <v>994</v>
      </c>
      <c r="G14250" s="83">
        <v>46123.0</v>
      </c>
      <c r="H14250" s="76" t="s">
        <v>930</v>
      </c>
    </row>
    <row r="14251">
      <c r="A14251" s="76" t="s">
        <v>944</v>
      </c>
      <c r="B14251" s="76" t="s">
        <v>1032</v>
      </c>
      <c r="C14251" s="84">
        <v>0.11</v>
      </c>
      <c r="D14251" s="84">
        <v>0.0</v>
      </c>
      <c r="E14251" s="84">
        <v>0.0</v>
      </c>
      <c r="F14251" s="76" t="s">
        <v>994</v>
      </c>
      <c r="G14251" s="83">
        <v>46123.0</v>
      </c>
      <c r="H14251" s="76" t="s">
        <v>945</v>
      </c>
    </row>
    <row r="14252">
      <c r="A14252" s="76" t="s">
        <v>944</v>
      </c>
      <c r="B14252" s="76" t="s">
        <v>1032</v>
      </c>
      <c r="C14252" s="84">
        <v>0.09</v>
      </c>
      <c r="D14252" s="84">
        <v>0.0</v>
      </c>
      <c r="E14252" s="84">
        <v>0.0</v>
      </c>
      <c r="F14252" s="76" t="s">
        <v>994</v>
      </c>
      <c r="G14252" s="83">
        <v>46123.0</v>
      </c>
      <c r="H14252" s="76" t="s">
        <v>946</v>
      </c>
    </row>
    <row r="14253">
      <c r="A14253" s="76" t="s">
        <v>944</v>
      </c>
      <c r="B14253" s="76" t="s">
        <v>1032</v>
      </c>
      <c r="C14253" s="84">
        <v>1.08</v>
      </c>
      <c r="D14253" s="84">
        <v>0.0</v>
      </c>
      <c r="E14253" s="84">
        <v>0.0</v>
      </c>
      <c r="F14253" s="76" t="s">
        <v>994</v>
      </c>
      <c r="G14253" s="83">
        <v>46123.0</v>
      </c>
      <c r="H14253" s="76" t="s">
        <v>947</v>
      </c>
    </row>
    <row r="14254">
      <c r="A14254" s="76" t="s">
        <v>32</v>
      </c>
      <c r="B14254" s="76" t="s">
        <v>1032</v>
      </c>
      <c r="C14254" s="84">
        <v>1.45</v>
      </c>
      <c r="D14254" s="84">
        <v>0.0</v>
      </c>
      <c r="E14254" s="84">
        <v>0.0</v>
      </c>
      <c r="F14254" s="76" t="s">
        <v>994</v>
      </c>
      <c r="G14254" s="83">
        <v>46123.0</v>
      </c>
      <c r="H14254" s="76" t="s">
        <v>941</v>
      </c>
    </row>
    <row r="14255">
      <c r="A14255" s="76" t="s">
        <v>32</v>
      </c>
      <c r="B14255" s="76" t="s">
        <v>1032</v>
      </c>
      <c r="C14255" s="84">
        <v>0.19</v>
      </c>
      <c r="D14255" s="84">
        <v>0.0</v>
      </c>
      <c r="E14255" s="84">
        <v>0.0</v>
      </c>
      <c r="F14255" s="76" t="s">
        <v>994</v>
      </c>
      <c r="G14255" s="83">
        <v>46123.0</v>
      </c>
      <c r="H14255" s="76" t="s">
        <v>942</v>
      </c>
    </row>
    <row r="14256">
      <c r="A14256" s="76" t="s">
        <v>32</v>
      </c>
      <c r="B14256" s="76" t="s">
        <v>1032</v>
      </c>
      <c r="C14256" s="84">
        <v>0.14</v>
      </c>
      <c r="D14256" s="84">
        <v>0.0</v>
      </c>
      <c r="E14256" s="84">
        <v>0.0</v>
      </c>
      <c r="F14256" s="76" t="s">
        <v>994</v>
      </c>
      <c r="G14256" s="83">
        <v>46123.0</v>
      </c>
      <c r="H14256" s="76" t="s">
        <v>943</v>
      </c>
    </row>
    <row r="14257">
      <c r="A14257" s="76" t="s">
        <v>26</v>
      </c>
      <c r="B14257" s="76" t="s">
        <v>1032</v>
      </c>
      <c r="C14257" s="84">
        <v>0.11</v>
      </c>
      <c r="D14257" s="84">
        <v>0.0</v>
      </c>
      <c r="E14257" s="84">
        <v>0.0</v>
      </c>
      <c r="F14257" s="76" t="s">
        <v>994</v>
      </c>
      <c r="G14257" s="83">
        <v>46123.0</v>
      </c>
      <c r="H14257" s="76" t="s">
        <v>1012</v>
      </c>
    </row>
    <row r="14258">
      <c r="A14258" s="76" t="s">
        <v>26</v>
      </c>
      <c r="B14258" s="76" t="s">
        <v>1032</v>
      </c>
      <c r="C14258" s="84">
        <v>0.04</v>
      </c>
      <c r="D14258" s="84">
        <v>0.0</v>
      </c>
      <c r="E14258" s="84">
        <v>0.0</v>
      </c>
      <c r="F14258" s="76" t="s">
        <v>994</v>
      </c>
      <c r="G14258" s="83">
        <v>46123.0</v>
      </c>
      <c r="H14258" s="76" t="s">
        <v>1013</v>
      </c>
    </row>
    <row r="14259">
      <c r="A14259" s="76" t="s">
        <v>26</v>
      </c>
      <c r="B14259" s="76" t="s">
        <v>1032</v>
      </c>
      <c r="C14259" s="84">
        <v>2.06</v>
      </c>
      <c r="D14259" s="84">
        <v>0.0</v>
      </c>
      <c r="E14259" s="84">
        <v>0.0</v>
      </c>
      <c r="F14259" s="76" t="s">
        <v>994</v>
      </c>
      <c r="G14259" s="83">
        <v>46123.0</v>
      </c>
      <c r="H14259" s="76" t="s">
        <v>1014</v>
      </c>
    </row>
    <row r="14260">
      <c r="A14260" s="76" t="s">
        <v>28</v>
      </c>
      <c r="B14260" s="76" t="s">
        <v>1032</v>
      </c>
      <c r="C14260" s="84">
        <v>0.07</v>
      </c>
      <c r="D14260" s="84">
        <v>0.0</v>
      </c>
      <c r="E14260" s="84">
        <v>0.0</v>
      </c>
      <c r="F14260" s="76" t="s">
        <v>994</v>
      </c>
      <c r="G14260" s="83">
        <v>46123.0</v>
      </c>
      <c r="H14260" s="76" t="s">
        <v>931</v>
      </c>
    </row>
    <row r="14261">
      <c r="A14261" s="76" t="s">
        <v>28</v>
      </c>
      <c r="B14261" s="76" t="s">
        <v>1032</v>
      </c>
      <c r="C14261" s="84">
        <v>0.07</v>
      </c>
      <c r="D14261" s="84">
        <v>0.0</v>
      </c>
      <c r="E14261" s="84">
        <v>0.0</v>
      </c>
      <c r="F14261" s="76" t="s">
        <v>994</v>
      </c>
      <c r="G14261" s="83">
        <v>46123.0</v>
      </c>
      <c r="H14261" s="76" t="s">
        <v>932</v>
      </c>
    </row>
    <row r="14262">
      <c r="A14262" s="76" t="s">
        <v>28</v>
      </c>
      <c r="B14262" s="76" t="s">
        <v>1032</v>
      </c>
      <c r="C14262" s="84">
        <v>0.24</v>
      </c>
      <c r="D14262" s="84">
        <v>0.0</v>
      </c>
      <c r="E14262" s="84">
        <v>0.0</v>
      </c>
      <c r="F14262" s="76" t="s">
        <v>994</v>
      </c>
      <c r="G14262" s="83">
        <v>46123.0</v>
      </c>
      <c r="H14262" s="76" t="s">
        <v>933</v>
      </c>
    </row>
    <row r="14263">
      <c r="A14263" s="76" t="s">
        <v>1043</v>
      </c>
      <c r="B14263" s="76" t="s">
        <v>1032</v>
      </c>
      <c r="C14263" s="84">
        <v>0.9</v>
      </c>
      <c r="D14263" s="84">
        <v>0.0</v>
      </c>
      <c r="E14263" s="84">
        <v>0.0</v>
      </c>
      <c r="F14263" s="76" t="s">
        <v>994</v>
      </c>
      <c r="G14263" s="83">
        <v>46123.0</v>
      </c>
      <c r="H14263" s="76" t="s">
        <v>1044</v>
      </c>
    </row>
    <row r="14264">
      <c r="A14264" s="76" t="s">
        <v>52</v>
      </c>
      <c r="B14264" s="76" t="s">
        <v>1032</v>
      </c>
      <c r="C14264" s="84">
        <v>0.98</v>
      </c>
      <c r="D14264" s="84">
        <v>0.0</v>
      </c>
      <c r="E14264" s="84">
        <v>0.0</v>
      </c>
      <c r="F14264" s="76" t="s">
        <v>994</v>
      </c>
      <c r="G14264" s="83">
        <v>46123.0</v>
      </c>
      <c r="H14264" s="76" t="s">
        <v>1045</v>
      </c>
    </row>
    <row r="14265">
      <c r="A14265" s="76" t="s">
        <v>49</v>
      </c>
      <c r="B14265" s="76" t="s">
        <v>1032</v>
      </c>
      <c r="C14265" s="84">
        <v>0.66</v>
      </c>
      <c r="D14265" s="84">
        <v>1.0</v>
      </c>
      <c r="E14265" s="84">
        <v>0.66</v>
      </c>
      <c r="F14265" s="76" t="s">
        <v>994</v>
      </c>
      <c r="G14265" s="83">
        <v>46123.0</v>
      </c>
      <c r="H14265" s="76" t="s">
        <v>1046</v>
      </c>
    </row>
    <row r="14266">
      <c r="A14266" s="76" t="s">
        <v>36</v>
      </c>
      <c r="B14266" s="76" t="s">
        <v>1032</v>
      </c>
      <c r="C14266" s="84">
        <v>0.68</v>
      </c>
      <c r="D14266" s="84">
        <v>1.0</v>
      </c>
      <c r="E14266" s="84">
        <v>0.68</v>
      </c>
      <c r="F14266" s="76" t="s">
        <v>998</v>
      </c>
      <c r="G14266" s="83">
        <v>46123.0</v>
      </c>
      <c r="H14266" s="76" t="s">
        <v>926</v>
      </c>
    </row>
    <row r="14267">
      <c r="A14267" s="76" t="s">
        <v>36</v>
      </c>
      <c r="B14267" s="76" t="s">
        <v>1032</v>
      </c>
      <c r="C14267" s="84">
        <v>0.14</v>
      </c>
      <c r="D14267" s="84">
        <v>0.0</v>
      </c>
      <c r="E14267" s="84">
        <v>0.0</v>
      </c>
      <c r="F14267" s="76" t="s">
        <v>998</v>
      </c>
      <c r="G14267" s="83">
        <v>46123.0</v>
      </c>
      <c r="H14267" s="76" t="s">
        <v>927</v>
      </c>
    </row>
    <row r="14268">
      <c r="A14268" s="76" t="s">
        <v>36</v>
      </c>
      <c r="B14268" s="76" t="s">
        <v>1032</v>
      </c>
      <c r="C14268" s="84">
        <v>0.21</v>
      </c>
      <c r="D14268" s="84">
        <v>0.0</v>
      </c>
      <c r="E14268" s="84">
        <v>0.0</v>
      </c>
      <c r="F14268" s="76" t="s">
        <v>998</v>
      </c>
      <c r="G14268" s="83">
        <v>46123.0</v>
      </c>
      <c r="H14268" s="76" t="s">
        <v>928</v>
      </c>
    </row>
    <row r="14269">
      <c r="A14269" s="76" t="s">
        <v>31</v>
      </c>
      <c r="B14269" s="76" t="s">
        <v>1032</v>
      </c>
      <c r="C14269" s="84">
        <v>0.22</v>
      </c>
      <c r="D14269" s="84">
        <v>0.0</v>
      </c>
      <c r="E14269" s="84">
        <v>0.0</v>
      </c>
      <c r="F14269" s="76" t="s">
        <v>998</v>
      </c>
      <c r="G14269" s="83">
        <v>46123.0</v>
      </c>
      <c r="H14269" s="76" t="s">
        <v>929</v>
      </c>
    </row>
    <row r="14270">
      <c r="A14270" s="76" t="s">
        <v>31</v>
      </c>
      <c r="B14270" s="76" t="s">
        <v>1032</v>
      </c>
      <c r="C14270" s="84">
        <v>2.92</v>
      </c>
      <c r="D14270" s="84">
        <v>0.0</v>
      </c>
      <c r="E14270" s="84">
        <v>0.0</v>
      </c>
      <c r="F14270" s="76" t="s">
        <v>998</v>
      </c>
      <c r="G14270" s="83">
        <v>46123.0</v>
      </c>
      <c r="H14270" s="76" t="s">
        <v>930</v>
      </c>
    </row>
    <row r="14271">
      <c r="A14271" s="76" t="s">
        <v>28</v>
      </c>
      <c r="B14271" s="76" t="s">
        <v>1032</v>
      </c>
      <c r="C14271" s="84">
        <v>0.11</v>
      </c>
      <c r="D14271" s="84">
        <v>0.0</v>
      </c>
      <c r="E14271" s="84">
        <v>0.0</v>
      </c>
      <c r="F14271" s="76" t="s">
        <v>998</v>
      </c>
      <c r="G14271" s="83">
        <v>46123.0</v>
      </c>
      <c r="H14271" s="76" t="s">
        <v>931</v>
      </c>
    </row>
    <row r="14272">
      <c r="A14272" s="76" t="s">
        <v>28</v>
      </c>
      <c r="B14272" s="76" t="s">
        <v>1032</v>
      </c>
      <c r="C14272" s="84">
        <v>0.05</v>
      </c>
      <c r="D14272" s="84">
        <v>0.0</v>
      </c>
      <c r="E14272" s="84">
        <v>0.0</v>
      </c>
      <c r="F14272" s="76" t="s">
        <v>998</v>
      </c>
      <c r="G14272" s="83">
        <v>46123.0</v>
      </c>
      <c r="H14272" s="76" t="s">
        <v>932</v>
      </c>
    </row>
    <row r="14273">
      <c r="A14273" s="76" t="s">
        <v>28</v>
      </c>
      <c r="B14273" s="76" t="s">
        <v>1032</v>
      </c>
      <c r="C14273" s="84">
        <v>1.06</v>
      </c>
      <c r="D14273" s="84">
        <v>0.0</v>
      </c>
      <c r="E14273" s="84">
        <v>0.0</v>
      </c>
      <c r="F14273" s="76" t="s">
        <v>998</v>
      </c>
      <c r="G14273" s="83">
        <v>46123.0</v>
      </c>
      <c r="H14273" s="76" t="s">
        <v>933</v>
      </c>
    </row>
    <row r="14274">
      <c r="A14274" s="76" t="s">
        <v>944</v>
      </c>
      <c r="B14274" s="76" t="s">
        <v>1032</v>
      </c>
      <c r="C14274" s="84">
        <v>0.72</v>
      </c>
      <c r="D14274" s="84">
        <v>0.0</v>
      </c>
      <c r="E14274" s="84">
        <v>0.0</v>
      </c>
      <c r="F14274" s="76" t="s">
        <v>998</v>
      </c>
      <c r="G14274" s="83">
        <v>46123.0</v>
      </c>
      <c r="H14274" s="76" t="s">
        <v>945</v>
      </c>
    </row>
    <row r="14275">
      <c r="A14275" s="76" t="s">
        <v>944</v>
      </c>
      <c r="B14275" s="76" t="s">
        <v>1032</v>
      </c>
      <c r="C14275" s="84">
        <v>0.11</v>
      </c>
      <c r="D14275" s="84">
        <v>0.0</v>
      </c>
      <c r="E14275" s="84">
        <v>0.0</v>
      </c>
      <c r="F14275" s="76" t="s">
        <v>998</v>
      </c>
      <c r="G14275" s="83">
        <v>46123.0</v>
      </c>
      <c r="H14275" s="76" t="s">
        <v>946</v>
      </c>
    </row>
    <row r="14276">
      <c r="A14276" s="76" t="s">
        <v>944</v>
      </c>
      <c r="B14276" s="76" t="s">
        <v>1032</v>
      </c>
      <c r="C14276" s="84">
        <v>0.56</v>
      </c>
      <c r="D14276" s="84">
        <v>0.0</v>
      </c>
      <c r="E14276" s="84">
        <v>0.0</v>
      </c>
      <c r="F14276" s="76" t="s">
        <v>998</v>
      </c>
      <c r="G14276" s="83">
        <v>46123.0</v>
      </c>
      <c r="H14276" s="76" t="s">
        <v>947</v>
      </c>
    </row>
    <row r="14277">
      <c r="A14277" s="76" t="s">
        <v>45</v>
      </c>
      <c r="B14277" s="76" t="s">
        <v>1032</v>
      </c>
      <c r="C14277" s="84">
        <v>0.03</v>
      </c>
      <c r="D14277" s="84">
        <v>0.0</v>
      </c>
      <c r="E14277" s="84">
        <v>0.0</v>
      </c>
      <c r="F14277" s="76" t="s">
        <v>998</v>
      </c>
      <c r="G14277" s="83">
        <v>46123.0</v>
      </c>
      <c r="H14277" s="76" t="s">
        <v>936</v>
      </c>
    </row>
    <row r="14278">
      <c r="A14278" s="76" t="s">
        <v>45</v>
      </c>
      <c r="B14278" s="76" t="s">
        <v>1032</v>
      </c>
      <c r="C14278" s="84">
        <v>0.17</v>
      </c>
      <c r="D14278" s="84">
        <v>0.0</v>
      </c>
      <c r="E14278" s="84">
        <v>0.0</v>
      </c>
      <c r="F14278" s="76" t="s">
        <v>998</v>
      </c>
      <c r="G14278" s="83">
        <v>46123.0</v>
      </c>
      <c r="H14278" s="76" t="s">
        <v>937</v>
      </c>
    </row>
    <row r="14279">
      <c r="A14279" s="76" t="s">
        <v>45</v>
      </c>
      <c r="B14279" s="76" t="s">
        <v>1032</v>
      </c>
      <c r="C14279" s="84">
        <v>0.11</v>
      </c>
      <c r="D14279" s="84">
        <v>0.0</v>
      </c>
      <c r="E14279" s="84">
        <v>0.0</v>
      </c>
      <c r="F14279" s="76" t="s">
        <v>998</v>
      </c>
      <c r="G14279" s="83">
        <v>46123.0</v>
      </c>
      <c r="H14279" s="76" t="s">
        <v>938</v>
      </c>
    </row>
    <row r="14280">
      <c r="A14280" s="76" t="s">
        <v>32</v>
      </c>
      <c r="B14280" s="76" t="s">
        <v>1032</v>
      </c>
      <c r="C14280" s="84">
        <v>1.36</v>
      </c>
      <c r="D14280" s="84">
        <v>0.0</v>
      </c>
      <c r="E14280" s="84">
        <v>0.0</v>
      </c>
      <c r="F14280" s="76" t="s">
        <v>998</v>
      </c>
      <c r="G14280" s="83">
        <v>46123.0</v>
      </c>
      <c r="H14280" s="76" t="s">
        <v>941</v>
      </c>
    </row>
    <row r="14281">
      <c r="A14281" s="76" t="s">
        <v>32</v>
      </c>
      <c r="B14281" s="76" t="s">
        <v>1032</v>
      </c>
      <c r="C14281" s="84">
        <v>0.37</v>
      </c>
      <c r="D14281" s="84">
        <v>0.0</v>
      </c>
      <c r="E14281" s="84">
        <v>0.0</v>
      </c>
      <c r="F14281" s="76" t="s">
        <v>998</v>
      </c>
      <c r="G14281" s="83">
        <v>46123.0</v>
      </c>
      <c r="H14281" s="76" t="s">
        <v>942</v>
      </c>
    </row>
    <row r="14282">
      <c r="A14282" s="76" t="s">
        <v>32</v>
      </c>
      <c r="B14282" s="76" t="s">
        <v>1032</v>
      </c>
      <c r="C14282" s="84">
        <v>0.6</v>
      </c>
      <c r="D14282" s="84">
        <v>0.0</v>
      </c>
      <c r="E14282" s="84">
        <v>0.0</v>
      </c>
      <c r="F14282" s="76" t="s">
        <v>998</v>
      </c>
      <c r="G14282" s="83">
        <v>46123.0</v>
      </c>
      <c r="H14282" s="76" t="s">
        <v>943</v>
      </c>
    </row>
    <row r="14283">
      <c r="A14283" s="76" t="s">
        <v>26</v>
      </c>
      <c r="B14283" s="76" t="s">
        <v>1032</v>
      </c>
      <c r="C14283" s="84">
        <v>0.14</v>
      </c>
      <c r="D14283" s="84">
        <v>0.0</v>
      </c>
      <c r="E14283" s="84">
        <v>0.0</v>
      </c>
      <c r="F14283" s="76" t="s">
        <v>998</v>
      </c>
      <c r="G14283" s="83">
        <v>46123.0</v>
      </c>
      <c r="H14283" s="76" t="s">
        <v>1012</v>
      </c>
    </row>
    <row r="14284">
      <c r="A14284" s="76" t="s">
        <v>26</v>
      </c>
      <c r="B14284" s="76" t="s">
        <v>1032</v>
      </c>
      <c r="C14284" s="84">
        <v>0.06</v>
      </c>
      <c r="D14284" s="84">
        <v>0.0</v>
      </c>
      <c r="E14284" s="84">
        <v>0.0</v>
      </c>
      <c r="F14284" s="76" t="s">
        <v>998</v>
      </c>
      <c r="G14284" s="83">
        <v>46123.0</v>
      </c>
      <c r="H14284" s="76" t="s">
        <v>1013</v>
      </c>
    </row>
    <row r="14285">
      <c r="A14285" s="76" t="s">
        <v>26</v>
      </c>
      <c r="B14285" s="76" t="s">
        <v>1032</v>
      </c>
      <c r="C14285" s="84">
        <v>2.77</v>
      </c>
      <c r="D14285" s="84">
        <v>0.0</v>
      </c>
      <c r="E14285" s="84">
        <v>0.0</v>
      </c>
      <c r="F14285" s="76" t="s">
        <v>998</v>
      </c>
      <c r="G14285" s="83">
        <v>46123.0</v>
      </c>
      <c r="H14285" s="76" t="s">
        <v>1014</v>
      </c>
    </row>
    <row r="14286">
      <c r="A14286" s="76" t="s">
        <v>1043</v>
      </c>
      <c r="B14286" s="76" t="s">
        <v>1032</v>
      </c>
      <c r="C14286" s="84">
        <v>0.32</v>
      </c>
      <c r="D14286" s="84">
        <v>0.0</v>
      </c>
      <c r="E14286" s="84">
        <v>0.0</v>
      </c>
      <c r="F14286" s="76" t="s">
        <v>998</v>
      </c>
      <c r="G14286" s="83">
        <v>46123.0</v>
      </c>
      <c r="H14286" s="76" t="s">
        <v>1044</v>
      </c>
    </row>
    <row r="14287">
      <c r="A14287" s="76" t="s">
        <v>52</v>
      </c>
      <c r="B14287" s="76" t="s">
        <v>1032</v>
      </c>
      <c r="C14287" s="84">
        <v>0.36</v>
      </c>
      <c r="D14287" s="84">
        <v>0.0</v>
      </c>
      <c r="E14287" s="84">
        <v>0.0</v>
      </c>
      <c r="F14287" s="76" t="s">
        <v>998</v>
      </c>
      <c r="G14287" s="83">
        <v>46123.0</v>
      </c>
      <c r="H14287" s="76" t="s">
        <v>1045</v>
      </c>
    </row>
    <row r="14288">
      <c r="A14288" s="76" t="s">
        <v>49</v>
      </c>
      <c r="B14288" s="76" t="s">
        <v>1032</v>
      </c>
      <c r="C14288" s="84">
        <v>0.46</v>
      </c>
      <c r="D14288" s="84">
        <v>0.0</v>
      </c>
      <c r="E14288" s="84">
        <v>0.0</v>
      </c>
      <c r="F14288" s="76" t="s">
        <v>998</v>
      </c>
      <c r="G14288" s="83">
        <v>46123.0</v>
      </c>
      <c r="H14288" s="76" t="s">
        <v>1046</v>
      </c>
    </row>
    <row r="14289">
      <c r="A14289" s="76" t="s">
        <v>36</v>
      </c>
      <c r="B14289" s="76" t="s">
        <v>1042</v>
      </c>
      <c r="C14289" s="84">
        <v>2.49</v>
      </c>
      <c r="D14289" s="84">
        <v>0.0</v>
      </c>
      <c r="E14289" s="84">
        <v>0.0</v>
      </c>
      <c r="F14289" s="76" t="s">
        <v>996</v>
      </c>
      <c r="G14289" s="83">
        <v>46123.0</v>
      </c>
      <c r="H14289" s="76" t="s">
        <v>926</v>
      </c>
    </row>
    <row r="14290">
      <c r="A14290" s="76" t="s">
        <v>36</v>
      </c>
      <c r="B14290" s="76" t="s">
        <v>1042</v>
      </c>
      <c r="C14290" s="84">
        <v>0.66</v>
      </c>
      <c r="D14290" s="84">
        <v>0.0</v>
      </c>
      <c r="E14290" s="84">
        <v>0.0</v>
      </c>
      <c r="F14290" s="76" t="s">
        <v>996</v>
      </c>
      <c r="G14290" s="83">
        <v>46123.0</v>
      </c>
      <c r="H14290" s="76" t="s">
        <v>927</v>
      </c>
    </row>
    <row r="14291">
      <c r="A14291" s="76" t="s">
        <v>36</v>
      </c>
      <c r="B14291" s="76" t="s">
        <v>1042</v>
      </c>
      <c r="C14291" s="84">
        <v>3.26</v>
      </c>
      <c r="D14291" s="84">
        <v>2.0</v>
      </c>
      <c r="E14291" s="84">
        <v>1.63</v>
      </c>
      <c r="F14291" s="76" t="s">
        <v>996</v>
      </c>
      <c r="G14291" s="83">
        <v>46123.0</v>
      </c>
      <c r="H14291" s="76" t="s">
        <v>928</v>
      </c>
    </row>
    <row r="14292">
      <c r="A14292" s="76" t="s">
        <v>28</v>
      </c>
      <c r="B14292" s="76" t="s">
        <v>1042</v>
      </c>
      <c r="C14292" s="84">
        <v>0.65</v>
      </c>
      <c r="D14292" s="84">
        <v>0.0</v>
      </c>
      <c r="E14292" s="84">
        <v>0.0</v>
      </c>
      <c r="F14292" s="76" t="s">
        <v>996</v>
      </c>
      <c r="G14292" s="83">
        <v>46123.0</v>
      </c>
      <c r="H14292" s="76" t="s">
        <v>931</v>
      </c>
    </row>
    <row r="14293">
      <c r="A14293" s="76" t="s">
        <v>28</v>
      </c>
      <c r="B14293" s="76" t="s">
        <v>1042</v>
      </c>
      <c r="C14293" s="84">
        <v>1.08</v>
      </c>
      <c r="D14293" s="84">
        <v>0.0</v>
      </c>
      <c r="E14293" s="84">
        <v>0.0</v>
      </c>
      <c r="F14293" s="76" t="s">
        <v>996</v>
      </c>
      <c r="G14293" s="83">
        <v>46123.0</v>
      </c>
      <c r="H14293" s="76" t="s">
        <v>932</v>
      </c>
    </row>
    <row r="14294">
      <c r="A14294" s="76" t="s">
        <v>28</v>
      </c>
      <c r="B14294" s="76" t="s">
        <v>1042</v>
      </c>
      <c r="C14294" s="84">
        <v>2.52</v>
      </c>
      <c r="D14294" s="84">
        <v>0.0</v>
      </c>
      <c r="E14294" s="84">
        <v>0.0</v>
      </c>
      <c r="F14294" s="76" t="s">
        <v>996</v>
      </c>
      <c r="G14294" s="83">
        <v>46123.0</v>
      </c>
      <c r="H14294" s="76" t="s">
        <v>933</v>
      </c>
    </row>
    <row r="14295">
      <c r="A14295" s="76" t="s">
        <v>34</v>
      </c>
      <c r="B14295" s="76" t="s">
        <v>1042</v>
      </c>
      <c r="C14295" s="84">
        <v>1.2</v>
      </c>
      <c r="D14295" s="84">
        <v>0.0</v>
      </c>
      <c r="E14295" s="84">
        <v>0.0</v>
      </c>
      <c r="F14295" s="76" t="s">
        <v>996</v>
      </c>
      <c r="G14295" s="83">
        <v>46123.0</v>
      </c>
      <c r="H14295" s="76" t="s">
        <v>951</v>
      </c>
    </row>
    <row r="14296">
      <c r="A14296" s="76" t="s">
        <v>34</v>
      </c>
      <c r="B14296" s="76" t="s">
        <v>1042</v>
      </c>
      <c r="C14296" s="84">
        <v>3.61</v>
      </c>
      <c r="D14296" s="84">
        <v>1.0</v>
      </c>
      <c r="E14296" s="84">
        <v>3.61</v>
      </c>
      <c r="F14296" s="76" t="s">
        <v>996</v>
      </c>
      <c r="G14296" s="83">
        <v>46123.0</v>
      </c>
      <c r="H14296" s="76" t="s">
        <v>952</v>
      </c>
    </row>
    <row r="14297">
      <c r="A14297" s="76" t="s">
        <v>34</v>
      </c>
      <c r="B14297" s="76" t="s">
        <v>1042</v>
      </c>
      <c r="C14297" s="84">
        <v>0.1</v>
      </c>
      <c r="D14297" s="84">
        <v>0.0</v>
      </c>
      <c r="E14297" s="84">
        <v>0.0</v>
      </c>
      <c r="F14297" s="76" t="s">
        <v>996</v>
      </c>
      <c r="G14297" s="83">
        <v>46123.0</v>
      </c>
      <c r="H14297" s="76" t="s">
        <v>953</v>
      </c>
    </row>
    <row r="14298">
      <c r="A14298" s="76" t="s">
        <v>1043</v>
      </c>
      <c r="B14298" s="76" t="s">
        <v>1042</v>
      </c>
      <c r="C14298" s="84">
        <v>2.62</v>
      </c>
      <c r="D14298" s="84">
        <v>0.0</v>
      </c>
      <c r="E14298" s="84">
        <v>0.0</v>
      </c>
      <c r="F14298" s="76" t="s">
        <v>996</v>
      </c>
      <c r="G14298" s="83">
        <v>46123.0</v>
      </c>
      <c r="H14298" s="76" t="s">
        <v>1044</v>
      </c>
    </row>
    <row r="14299">
      <c r="A14299" s="76" t="s">
        <v>52</v>
      </c>
      <c r="B14299" s="76" t="s">
        <v>1042</v>
      </c>
      <c r="C14299" s="84">
        <v>1.98</v>
      </c>
      <c r="D14299" s="84">
        <v>0.0</v>
      </c>
      <c r="E14299" s="84">
        <v>0.0</v>
      </c>
      <c r="F14299" s="76" t="s">
        <v>996</v>
      </c>
      <c r="G14299" s="83">
        <v>46123.0</v>
      </c>
      <c r="H14299" s="76" t="s">
        <v>1045</v>
      </c>
    </row>
    <row r="14300">
      <c r="A14300" s="76" t="s">
        <v>49</v>
      </c>
      <c r="B14300" s="76" t="s">
        <v>1042</v>
      </c>
      <c r="C14300" s="84">
        <v>3.24</v>
      </c>
      <c r="D14300" s="84">
        <v>0.0</v>
      </c>
      <c r="E14300" s="84">
        <v>0.0</v>
      </c>
      <c r="F14300" s="76" t="s">
        <v>996</v>
      </c>
      <c r="G14300" s="83">
        <v>46123.0</v>
      </c>
      <c r="H14300" s="76" t="s">
        <v>1046</v>
      </c>
    </row>
    <row r="14301">
      <c r="A14301" s="76" t="s">
        <v>36</v>
      </c>
      <c r="B14301" s="76" t="s">
        <v>1042</v>
      </c>
      <c r="C14301" s="84">
        <v>872.61</v>
      </c>
      <c r="D14301" s="84">
        <v>197.0</v>
      </c>
      <c r="E14301" s="84">
        <v>4.43</v>
      </c>
      <c r="F14301" s="76" t="s">
        <v>1005</v>
      </c>
      <c r="G14301" s="83">
        <v>46123.0</v>
      </c>
      <c r="H14301" s="76" t="s">
        <v>926</v>
      </c>
    </row>
    <row r="14302">
      <c r="A14302" s="76" t="s">
        <v>36</v>
      </c>
      <c r="B14302" s="76" t="s">
        <v>1042</v>
      </c>
      <c r="C14302" s="84">
        <v>11.36</v>
      </c>
      <c r="D14302" s="84">
        <v>6.0</v>
      </c>
      <c r="E14302" s="84">
        <v>1.89</v>
      </c>
      <c r="F14302" s="76" t="s">
        <v>1005</v>
      </c>
      <c r="G14302" s="83">
        <v>46123.0</v>
      </c>
      <c r="H14302" s="76" t="s">
        <v>927</v>
      </c>
    </row>
    <row r="14303">
      <c r="A14303" s="76" t="s">
        <v>36</v>
      </c>
      <c r="B14303" s="76" t="s">
        <v>1042</v>
      </c>
      <c r="C14303" s="84">
        <v>78.64</v>
      </c>
      <c r="D14303" s="84">
        <v>20.0</v>
      </c>
      <c r="E14303" s="84">
        <v>3.93</v>
      </c>
      <c r="F14303" s="76" t="s">
        <v>1005</v>
      </c>
      <c r="G14303" s="83">
        <v>46123.0</v>
      </c>
      <c r="H14303" s="76" t="s">
        <v>928</v>
      </c>
    </row>
    <row r="14304">
      <c r="A14304" s="76" t="s">
        <v>28</v>
      </c>
      <c r="B14304" s="76" t="s">
        <v>1042</v>
      </c>
      <c r="C14304" s="84">
        <v>27.28</v>
      </c>
      <c r="D14304" s="84">
        <v>2.0</v>
      </c>
      <c r="E14304" s="84">
        <v>13.64</v>
      </c>
      <c r="F14304" s="76" t="s">
        <v>1005</v>
      </c>
      <c r="G14304" s="83">
        <v>46123.0</v>
      </c>
      <c r="H14304" s="76" t="s">
        <v>931</v>
      </c>
    </row>
    <row r="14305">
      <c r="A14305" s="76" t="s">
        <v>28</v>
      </c>
      <c r="B14305" s="76" t="s">
        <v>1042</v>
      </c>
      <c r="C14305" s="84">
        <v>9.28</v>
      </c>
      <c r="D14305" s="84">
        <v>1.0</v>
      </c>
      <c r="E14305" s="84">
        <v>9.28</v>
      </c>
      <c r="F14305" s="76" t="s">
        <v>1005</v>
      </c>
      <c r="G14305" s="83">
        <v>46123.0</v>
      </c>
      <c r="H14305" s="76" t="s">
        <v>932</v>
      </c>
    </row>
    <row r="14306">
      <c r="A14306" s="76" t="s">
        <v>28</v>
      </c>
      <c r="B14306" s="76" t="s">
        <v>1042</v>
      </c>
      <c r="C14306" s="84">
        <v>361.9</v>
      </c>
      <c r="D14306" s="84">
        <v>74.0</v>
      </c>
      <c r="E14306" s="84">
        <v>4.89</v>
      </c>
      <c r="F14306" s="76" t="s">
        <v>1005</v>
      </c>
      <c r="G14306" s="83">
        <v>46123.0</v>
      </c>
      <c r="H14306" s="76" t="s">
        <v>933</v>
      </c>
    </row>
    <row r="14307">
      <c r="A14307" s="76" t="s">
        <v>34</v>
      </c>
      <c r="B14307" s="76" t="s">
        <v>1042</v>
      </c>
      <c r="C14307" s="84">
        <v>37.09</v>
      </c>
      <c r="D14307" s="84">
        <v>9.0</v>
      </c>
      <c r="E14307" s="84">
        <v>4.12</v>
      </c>
      <c r="F14307" s="76" t="s">
        <v>1005</v>
      </c>
      <c r="G14307" s="83">
        <v>46123.0</v>
      </c>
      <c r="H14307" s="76" t="s">
        <v>951</v>
      </c>
    </row>
    <row r="14308">
      <c r="A14308" s="76" t="s">
        <v>34</v>
      </c>
      <c r="B14308" s="76" t="s">
        <v>1042</v>
      </c>
      <c r="C14308" s="84">
        <v>57.55</v>
      </c>
      <c r="D14308" s="84">
        <v>15.0</v>
      </c>
      <c r="E14308" s="84">
        <v>3.84</v>
      </c>
      <c r="F14308" s="76" t="s">
        <v>1005</v>
      </c>
      <c r="G14308" s="83">
        <v>46123.0</v>
      </c>
      <c r="H14308" s="76" t="s">
        <v>952</v>
      </c>
    </row>
    <row r="14309">
      <c r="A14309" s="76" t="s">
        <v>34</v>
      </c>
      <c r="B14309" s="76" t="s">
        <v>1042</v>
      </c>
      <c r="C14309" s="84">
        <v>1.98</v>
      </c>
      <c r="D14309" s="84">
        <v>0.0</v>
      </c>
      <c r="E14309" s="84">
        <v>0.0</v>
      </c>
      <c r="F14309" s="76" t="s">
        <v>1005</v>
      </c>
      <c r="G14309" s="83">
        <v>46123.0</v>
      </c>
      <c r="H14309" s="76" t="s">
        <v>953</v>
      </c>
    </row>
    <row r="14310">
      <c r="A14310" s="76" t="s">
        <v>49</v>
      </c>
      <c r="B14310" s="76" t="s">
        <v>1042</v>
      </c>
      <c r="C14310" s="84">
        <v>57.59</v>
      </c>
      <c r="D14310" s="84">
        <v>6.0</v>
      </c>
      <c r="E14310" s="84">
        <v>9.6</v>
      </c>
      <c r="F14310" s="76" t="s">
        <v>1005</v>
      </c>
      <c r="G14310" s="83">
        <v>46123.0</v>
      </c>
      <c r="H14310" s="76" t="s">
        <v>1046</v>
      </c>
    </row>
    <row r="14311">
      <c r="A14311" s="76" t="s">
        <v>52</v>
      </c>
      <c r="B14311" s="76" t="s">
        <v>1042</v>
      </c>
      <c r="C14311" s="84">
        <v>79.59</v>
      </c>
      <c r="D14311" s="84">
        <v>11.0</v>
      </c>
      <c r="E14311" s="84">
        <v>7.24</v>
      </c>
      <c r="F14311" s="76" t="s">
        <v>1005</v>
      </c>
      <c r="G14311" s="83">
        <v>46123.0</v>
      </c>
      <c r="H14311" s="76" t="s">
        <v>1045</v>
      </c>
    </row>
    <row r="14312">
      <c r="A14312" s="76" t="s">
        <v>1043</v>
      </c>
      <c r="B14312" s="76" t="s">
        <v>1042</v>
      </c>
      <c r="C14312" s="84">
        <v>96.14</v>
      </c>
      <c r="D14312" s="84">
        <v>16.0</v>
      </c>
      <c r="E14312" s="84">
        <v>6.01</v>
      </c>
      <c r="F14312" s="76" t="s">
        <v>1005</v>
      </c>
      <c r="G14312" s="83">
        <v>46123.0</v>
      </c>
      <c r="H14312" s="76" t="s">
        <v>1044</v>
      </c>
    </row>
    <row r="14313">
      <c r="A14313" s="76" t="s">
        <v>36</v>
      </c>
      <c r="B14313" s="76" t="s">
        <v>1042</v>
      </c>
      <c r="C14313" s="84">
        <v>77.32</v>
      </c>
      <c r="D14313" s="84">
        <v>18.0</v>
      </c>
      <c r="E14313" s="84">
        <v>4.3</v>
      </c>
      <c r="F14313" s="76" t="s">
        <v>990</v>
      </c>
      <c r="G14313" s="83">
        <v>46123.0</v>
      </c>
      <c r="H14313" s="76" t="s">
        <v>926</v>
      </c>
    </row>
    <row r="14314">
      <c r="A14314" s="76" t="s">
        <v>36</v>
      </c>
      <c r="B14314" s="76" t="s">
        <v>1042</v>
      </c>
      <c r="C14314" s="84">
        <v>3.21</v>
      </c>
      <c r="D14314" s="84">
        <v>0.0</v>
      </c>
      <c r="E14314" s="84">
        <v>0.0</v>
      </c>
      <c r="F14314" s="76" t="s">
        <v>990</v>
      </c>
      <c r="G14314" s="83">
        <v>46123.0</v>
      </c>
      <c r="H14314" s="76" t="s">
        <v>927</v>
      </c>
    </row>
    <row r="14315">
      <c r="A14315" s="76" t="s">
        <v>36</v>
      </c>
      <c r="B14315" s="76" t="s">
        <v>1042</v>
      </c>
      <c r="C14315" s="84">
        <v>13.21</v>
      </c>
      <c r="D14315" s="84">
        <v>7.0</v>
      </c>
      <c r="E14315" s="84">
        <v>1.89</v>
      </c>
      <c r="F14315" s="76" t="s">
        <v>990</v>
      </c>
      <c r="G14315" s="83">
        <v>46123.0</v>
      </c>
      <c r="H14315" s="76" t="s">
        <v>928</v>
      </c>
    </row>
    <row r="14316">
      <c r="A14316" s="76" t="s">
        <v>28</v>
      </c>
      <c r="B14316" s="76" t="s">
        <v>1042</v>
      </c>
      <c r="C14316" s="84">
        <v>3.64</v>
      </c>
      <c r="D14316" s="84">
        <v>0.0</v>
      </c>
      <c r="E14316" s="84">
        <v>0.0</v>
      </c>
      <c r="F14316" s="76" t="s">
        <v>990</v>
      </c>
      <c r="G14316" s="83">
        <v>46123.0</v>
      </c>
      <c r="H14316" s="76" t="s">
        <v>931</v>
      </c>
    </row>
    <row r="14317">
      <c r="A14317" s="76" t="s">
        <v>28</v>
      </c>
      <c r="B14317" s="76" t="s">
        <v>1042</v>
      </c>
      <c r="C14317" s="84">
        <v>2.3</v>
      </c>
      <c r="D14317" s="84">
        <v>1.0</v>
      </c>
      <c r="E14317" s="84">
        <v>2.3</v>
      </c>
      <c r="F14317" s="76" t="s">
        <v>990</v>
      </c>
      <c r="G14317" s="83">
        <v>46123.0</v>
      </c>
      <c r="H14317" s="76" t="s">
        <v>932</v>
      </c>
    </row>
    <row r="14318">
      <c r="A14318" s="76" t="s">
        <v>28</v>
      </c>
      <c r="B14318" s="76" t="s">
        <v>1042</v>
      </c>
      <c r="C14318" s="84">
        <v>62.66</v>
      </c>
      <c r="D14318" s="84">
        <v>9.0</v>
      </c>
      <c r="E14318" s="84">
        <v>6.96</v>
      </c>
      <c r="F14318" s="76" t="s">
        <v>990</v>
      </c>
      <c r="G14318" s="83">
        <v>46123.0</v>
      </c>
      <c r="H14318" s="76" t="s">
        <v>933</v>
      </c>
    </row>
    <row r="14319">
      <c r="A14319" s="76" t="s">
        <v>34</v>
      </c>
      <c r="B14319" s="76" t="s">
        <v>1042</v>
      </c>
      <c r="C14319" s="84">
        <v>15.65</v>
      </c>
      <c r="D14319" s="84">
        <v>5.0</v>
      </c>
      <c r="E14319" s="84">
        <v>3.13</v>
      </c>
      <c r="F14319" s="76" t="s">
        <v>990</v>
      </c>
      <c r="G14319" s="83">
        <v>46123.0</v>
      </c>
      <c r="H14319" s="76" t="s">
        <v>951</v>
      </c>
    </row>
    <row r="14320">
      <c r="A14320" s="76" t="s">
        <v>34</v>
      </c>
      <c r="B14320" s="76" t="s">
        <v>1042</v>
      </c>
      <c r="C14320" s="84">
        <v>11.61</v>
      </c>
      <c r="D14320" s="84">
        <v>5.0</v>
      </c>
      <c r="E14320" s="84">
        <v>2.32</v>
      </c>
      <c r="F14320" s="76" t="s">
        <v>990</v>
      </c>
      <c r="G14320" s="83">
        <v>46123.0</v>
      </c>
      <c r="H14320" s="76" t="s">
        <v>952</v>
      </c>
    </row>
    <row r="14321">
      <c r="A14321" s="76" t="s">
        <v>34</v>
      </c>
      <c r="B14321" s="76" t="s">
        <v>1042</v>
      </c>
      <c r="C14321" s="84">
        <v>1.35</v>
      </c>
      <c r="D14321" s="84">
        <v>0.0</v>
      </c>
      <c r="E14321" s="84">
        <v>0.0</v>
      </c>
      <c r="F14321" s="76" t="s">
        <v>990</v>
      </c>
      <c r="G14321" s="83">
        <v>46123.0</v>
      </c>
      <c r="H14321" s="76" t="s">
        <v>953</v>
      </c>
    </row>
    <row r="14322">
      <c r="A14322" s="76" t="s">
        <v>1043</v>
      </c>
      <c r="B14322" s="76" t="s">
        <v>1042</v>
      </c>
      <c r="C14322" s="84">
        <v>19.59</v>
      </c>
      <c r="D14322" s="84">
        <v>6.0</v>
      </c>
      <c r="E14322" s="84">
        <v>3.26</v>
      </c>
      <c r="F14322" s="76" t="s">
        <v>990</v>
      </c>
      <c r="G14322" s="83">
        <v>46123.0</v>
      </c>
      <c r="H14322" s="76" t="s">
        <v>1044</v>
      </c>
    </row>
    <row r="14323">
      <c r="A14323" s="76" t="s">
        <v>52</v>
      </c>
      <c r="B14323" s="76" t="s">
        <v>1042</v>
      </c>
      <c r="C14323" s="84">
        <v>19.98</v>
      </c>
      <c r="D14323" s="84">
        <v>0.0</v>
      </c>
      <c r="E14323" s="84">
        <v>0.0</v>
      </c>
      <c r="F14323" s="76" t="s">
        <v>990</v>
      </c>
      <c r="G14323" s="83">
        <v>46123.0</v>
      </c>
      <c r="H14323" s="76" t="s">
        <v>1045</v>
      </c>
    </row>
    <row r="14324">
      <c r="A14324" s="76" t="s">
        <v>49</v>
      </c>
      <c r="B14324" s="76" t="s">
        <v>1042</v>
      </c>
      <c r="C14324" s="84">
        <v>19.21</v>
      </c>
      <c r="D14324" s="84">
        <v>1.0</v>
      </c>
      <c r="E14324" s="84">
        <v>19.21</v>
      </c>
      <c r="F14324" s="76" t="s">
        <v>990</v>
      </c>
      <c r="G14324" s="83">
        <v>46123.0</v>
      </c>
      <c r="H14324" s="76" t="s">
        <v>1046</v>
      </c>
    </row>
    <row r="14325">
      <c r="A14325" s="76" t="s">
        <v>36</v>
      </c>
      <c r="B14325" s="76" t="s">
        <v>1042</v>
      </c>
      <c r="C14325" s="84">
        <v>8.19</v>
      </c>
      <c r="D14325" s="84">
        <v>2.0</v>
      </c>
      <c r="E14325" s="84">
        <v>4.1</v>
      </c>
      <c r="F14325" s="76" t="s">
        <v>993</v>
      </c>
      <c r="G14325" s="83">
        <v>46123.0</v>
      </c>
      <c r="H14325" s="76" t="s">
        <v>926</v>
      </c>
    </row>
    <row r="14326">
      <c r="A14326" s="76" t="s">
        <v>36</v>
      </c>
      <c r="B14326" s="76" t="s">
        <v>1042</v>
      </c>
      <c r="C14326" s="84">
        <v>0.36</v>
      </c>
      <c r="D14326" s="84">
        <v>0.0</v>
      </c>
      <c r="E14326" s="84">
        <v>0.0</v>
      </c>
      <c r="F14326" s="76" t="s">
        <v>993</v>
      </c>
      <c r="G14326" s="83">
        <v>46123.0</v>
      </c>
      <c r="H14326" s="76" t="s">
        <v>927</v>
      </c>
    </row>
    <row r="14327">
      <c r="A14327" s="76" t="s">
        <v>36</v>
      </c>
      <c r="B14327" s="76" t="s">
        <v>1042</v>
      </c>
      <c r="C14327" s="84">
        <v>2.25</v>
      </c>
      <c r="D14327" s="84">
        <v>1.0</v>
      </c>
      <c r="E14327" s="84">
        <v>2.25</v>
      </c>
      <c r="F14327" s="76" t="s">
        <v>993</v>
      </c>
      <c r="G14327" s="83">
        <v>46123.0</v>
      </c>
      <c r="H14327" s="76" t="s">
        <v>928</v>
      </c>
    </row>
    <row r="14328">
      <c r="A14328" s="76" t="s">
        <v>28</v>
      </c>
      <c r="B14328" s="76" t="s">
        <v>1042</v>
      </c>
      <c r="C14328" s="84">
        <v>0.95</v>
      </c>
      <c r="D14328" s="84">
        <v>1.0</v>
      </c>
      <c r="E14328" s="84">
        <v>0.95</v>
      </c>
      <c r="F14328" s="76" t="s">
        <v>993</v>
      </c>
      <c r="G14328" s="83">
        <v>46123.0</v>
      </c>
      <c r="H14328" s="76" t="s">
        <v>931</v>
      </c>
    </row>
    <row r="14329">
      <c r="A14329" s="76" t="s">
        <v>28</v>
      </c>
      <c r="B14329" s="76" t="s">
        <v>1042</v>
      </c>
      <c r="C14329" s="84">
        <v>0.91</v>
      </c>
      <c r="D14329" s="84">
        <v>0.0</v>
      </c>
      <c r="E14329" s="84">
        <v>0.0</v>
      </c>
      <c r="F14329" s="76" t="s">
        <v>993</v>
      </c>
      <c r="G14329" s="83">
        <v>46123.0</v>
      </c>
      <c r="H14329" s="76" t="s">
        <v>932</v>
      </c>
    </row>
    <row r="14330">
      <c r="A14330" s="76" t="s">
        <v>28</v>
      </c>
      <c r="B14330" s="76" t="s">
        <v>1042</v>
      </c>
      <c r="C14330" s="84">
        <v>13.39</v>
      </c>
      <c r="D14330" s="84">
        <v>2.0</v>
      </c>
      <c r="E14330" s="84">
        <v>6.69</v>
      </c>
      <c r="F14330" s="76" t="s">
        <v>993</v>
      </c>
      <c r="G14330" s="83">
        <v>46123.0</v>
      </c>
      <c r="H14330" s="76" t="s">
        <v>933</v>
      </c>
    </row>
    <row r="14331">
      <c r="A14331" s="76" t="s">
        <v>34</v>
      </c>
      <c r="B14331" s="76" t="s">
        <v>1042</v>
      </c>
      <c r="C14331" s="84">
        <v>4.16</v>
      </c>
      <c r="D14331" s="84">
        <v>1.0</v>
      </c>
      <c r="E14331" s="84">
        <v>4.16</v>
      </c>
      <c r="F14331" s="76" t="s">
        <v>993</v>
      </c>
      <c r="G14331" s="83">
        <v>46123.0</v>
      </c>
      <c r="H14331" s="76" t="s">
        <v>951</v>
      </c>
    </row>
    <row r="14332">
      <c r="A14332" s="76" t="s">
        <v>34</v>
      </c>
      <c r="B14332" s="76" t="s">
        <v>1042</v>
      </c>
      <c r="C14332" s="84">
        <v>5.12</v>
      </c>
      <c r="D14332" s="84">
        <v>1.0</v>
      </c>
      <c r="E14332" s="84">
        <v>5.12</v>
      </c>
      <c r="F14332" s="76" t="s">
        <v>993</v>
      </c>
      <c r="G14332" s="83">
        <v>46123.0</v>
      </c>
      <c r="H14332" s="76" t="s">
        <v>952</v>
      </c>
    </row>
    <row r="14333">
      <c r="A14333" s="76" t="s">
        <v>34</v>
      </c>
      <c r="B14333" s="76" t="s">
        <v>1042</v>
      </c>
      <c r="C14333" s="84">
        <v>0.23</v>
      </c>
      <c r="D14333" s="84">
        <v>0.0</v>
      </c>
      <c r="E14333" s="84">
        <v>0.0</v>
      </c>
      <c r="F14333" s="76" t="s">
        <v>993</v>
      </c>
      <c r="G14333" s="83">
        <v>46123.0</v>
      </c>
      <c r="H14333" s="76" t="s">
        <v>953</v>
      </c>
    </row>
    <row r="14334">
      <c r="A14334" s="76" t="s">
        <v>1043</v>
      </c>
      <c r="B14334" s="76" t="s">
        <v>1042</v>
      </c>
      <c r="C14334" s="84">
        <v>3.66</v>
      </c>
      <c r="D14334" s="84">
        <v>1.0</v>
      </c>
      <c r="E14334" s="84">
        <v>3.66</v>
      </c>
      <c r="F14334" s="76" t="s">
        <v>993</v>
      </c>
      <c r="G14334" s="83">
        <v>46123.0</v>
      </c>
      <c r="H14334" s="76" t="s">
        <v>1044</v>
      </c>
    </row>
    <row r="14335">
      <c r="A14335" s="76" t="s">
        <v>52</v>
      </c>
      <c r="B14335" s="76" t="s">
        <v>1042</v>
      </c>
      <c r="C14335" s="84">
        <v>2.97</v>
      </c>
      <c r="D14335" s="84">
        <v>0.0</v>
      </c>
      <c r="E14335" s="84">
        <v>0.0</v>
      </c>
      <c r="F14335" s="76" t="s">
        <v>993</v>
      </c>
      <c r="G14335" s="83">
        <v>46123.0</v>
      </c>
      <c r="H14335" s="76" t="s">
        <v>1045</v>
      </c>
    </row>
    <row r="14336">
      <c r="A14336" s="76" t="s">
        <v>49</v>
      </c>
      <c r="B14336" s="76" t="s">
        <v>1042</v>
      </c>
      <c r="C14336" s="84">
        <v>2.38</v>
      </c>
      <c r="D14336" s="84">
        <v>0.0</v>
      </c>
      <c r="E14336" s="84">
        <v>0.0</v>
      </c>
      <c r="F14336" s="76" t="s">
        <v>993</v>
      </c>
      <c r="G14336" s="83">
        <v>46123.0</v>
      </c>
      <c r="H14336" s="76" t="s">
        <v>1046</v>
      </c>
    </row>
    <row r="14337">
      <c r="A14337" s="76" t="s">
        <v>36</v>
      </c>
      <c r="B14337" s="76" t="s">
        <v>1042</v>
      </c>
      <c r="C14337" s="84">
        <v>28.69</v>
      </c>
      <c r="D14337" s="84">
        <v>9.0</v>
      </c>
      <c r="E14337" s="84">
        <v>3.19</v>
      </c>
      <c r="F14337" s="76" t="s">
        <v>998</v>
      </c>
      <c r="G14337" s="83">
        <v>46123.0</v>
      </c>
      <c r="H14337" s="76" t="s">
        <v>926</v>
      </c>
    </row>
    <row r="14338">
      <c r="A14338" s="76" t="s">
        <v>36</v>
      </c>
      <c r="B14338" s="76" t="s">
        <v>1042</v>
      </c>
      <c r="C14338" s="84">
        <v>2.53</v>
      </c>
      <c r="D14338" s="84">
        <v>0.0</v>
      </c>
      <c r="E14338" s="84">
        <v>0.0</v>
      </c>
      <c r="F14338" s="76" t="s">
        <v>998</v>
      </c>
      <c r="G14338" s="83">
        <v>46123.0</v>
      </c>
      <c r="H14338" s="76" t="s">
        <v>927</v>
      </c>
    </row>
    <row r="14339">
      <c r="A14339" s="76" t="s">
        <v>36</v>
      </c>
      <c r="B14339" s="76" t="s">
        <v>1042</v>
      </c>
      <c r="C14339" s="84">
        <v>3.68</v>
      </c>
      <c r="D14339" s="84">
        <v>0.0</v>
      </c>
      <c r="E14339" s="84">
        <v>0.0</v>
      </c>
      <c r="F14339" s="76" t="s">
        <v>998</v>
      </c>
      <c r="G14339" s="83">
        <v>46123.0</v>
      </c>
      <c r="H14339" s="76" t="s">
        <v>928</v>
      </c>
    </row>
    <row r="14340">
      <c r="A14340" s="76" t="s">
        <v>28</v>
      </c>
      <c r="B14340" s="76" t="s">
        <v>1042</v>
      </c>
      <c r="C14340" s="84">
        <v>2.37</v>
      </c>
      <c r="D14340" s="84">
        <v>1.0</v>
      </c>
      <c r="E14340" s="84">
        <v>2.37</v>
      </c>
      <c r="F14340" s="76" t="s">
        <v>998</v>
      </c>
      <c r="G14340" s="83">
        <v>46123.0</v>
      </c>
      <c r="H14340" s="76" t="s">
        <v>931</v>
      </c>
    </row>
    <row r="14341">
      <c r="A14341" s="76" t="s">
        <v>28</v>
      </c>
      <c r="B14341" s="76" t="s">
        <v>1042</v>
      </c>
      <c r="C14341" s="84">
        <v>1.28</v>
      </c>
      <c r="D14341" s="84">
        <v>0.0</v>
      </c>
      <c r="E14341" s="84">
        <v>0.0</v>
      </c>
      <c r="F14341" s="76" t="s">
        <v>998</v>
      </c>
      <c r="G14341" s="83">
        <v>46123.0</v>
      </c>
      <c r="H14341" s="76" t="s">
        <v>932</v>
      </c>
    </row>
    <row r="14342">
      <c r="A14342" s="76" t="s">
        <v>28</v>
      </c>
      <c r="B14342" s="76" t="s">
        <v>1042</v>
      </c>
      <c r="C14342" s="84">
        <v>13.23</v>
      </c>
      <c r="D14342" s="84">
        <v>3.0</v>
      </c>
      <c r="E14342" s="84">
        <v>4.41</v>
      </c>
      <c r="F14342" s="76" t="s">
        <v>998</v>
      </c>
      <c r="G14342" s="83">
        <v>46123.0</v>
      </c>
      <c r="H14342" s="76" t="s">
        <v>933</v>
      </c>
    </row>
    <row r="14343">
      <c r="A14343" s="76" t="s">
        <v>34</v>
      </c>
      <c r="B14343" s="76" t="s">
        <v>1042</v>
      </c>
      <c r="C14343" s="84">
        <v>4.25</v>
      </c>
      <c r="D14343" s="84">
        <v>1.0</v>
      </c>
      <c r="E14343" s="84">
        <v>4.25</v>
      </c>
      <c r="F14343" s="76" t="s">
        <v>998</v>
      </c>
      <c r="G14343" s="83">
        <v>46123.0</v>
      </c>
      <c r="H14343" s="76" t="s">
        <v>951</v>
      </c>
    </row>
    <row r="14344">
      <c r="A14344" s="76" t="s">
        <v>34</v>
      </c>
      <c r="B14344" s="76" t="s">
        <v>1042</v>
      </c>
      <c r="C14344" s="84">
        <v>3.9</v>
      </c>
      <c r="D14344" s="84">
        <v>2.0</v>
      </c>
      <c r="E14344" s="84">
        <v>1.95</v>
      </c>
      <c r="F14344" s="76" t="s">
        <v>998</v>
      </c>
      <c r="G14344" s="83">
        <v>46123.0</v>
      </c>
      <c r="H14344" s="76" t="s">
        <v>952</v>
      </c>
    </row>
    <row r="14345">
      <c r="A14345" s="76" t="s">
        <v>34</v>
      </c>
      <c r="B14345" s="76" t="s">
        <v>1042</v>
      </c>
      <c r="C14345" s="84">
        <v>0.59</v>
      </c>
      <c r="D14345" s="84">
        <v>1.0</v>
      </c>
      <c r="E14345" s="84">
        <v>0.59</v>
      </c>
      <c r="F14345" s="76" t="s">
        <v>998</v>
      </c>
      <c r="G14345" s="83">
        <v>46123.0</v>
      </c>
      <c r="H14345" s="76" t="s">
        <v>953</v>
      </c>
    </row>
    <row r="14346">
      <c r="A14346" s="76" t="s">
        <v>1043</v>
      </c>
      <c r="B14346" s="76" t="s">
        <v>1042</v>
      </c>
      <c r="C14346" s="84">
        <v>9.71</v>
      </c>
      <c r="D14346" s="84">
        <v>1.0</v>
      </c>
      <c r="E14346" s="84">
        <v>9.71</v>
      </c>
      <c r="F14346" s="76" t="s">
        <v>998</v>
      </c>
      <c r="G14346" s="83">
        <v>46123.0</v>
      </c>
      <c r="H14346" s="76" t="s">
        <v>1044</v>
      </c>
    </row>
    <row r="14347">
      <c r="A14347" s="76" t="s">
        <v>52</v>
      </c>
      <c r="B14347" s="76" t="s">
        <v>1042</v>
      </c>
      <c r="C14347" s="84">
        <v>8.13</v>
      </c>
      <c r="D14347" s="84">
        <v>0.0</v>
      </c>
      <c r="E14347" s="84">
        <v>0.0</v>
      </c>
      <c r="F14347" s="76" t="s">
        <v>998</v>
      </c>
      <c r="G14347" s="83">
        <v>46123.0</v>
      </c>
      <c r="H14347" s="76" t="s">
        <v>1045</v>
      </c>
    </row>
    <row r="14348">
      <c r="A14348" s="76" t="s">
        <v>49</v>
      </c>
      <c r="B14348" s="76" t="s">
        <v>1042</v>
      </c>
      <c r="C14348" s="84">
        <v>7.28</v>
      </c>
      <c r="D14348" s="84">
        <v>0.0</v>
      </c>
      <c r="E14348" s="84">
        <v>0.0</v>
      </c>
      <c r="F14348" s="76" t="s">
        <v>998</v>
      </c>
      <c r="G14348" s="83">
        <v>46123.0</v>
      </c>
      <c r="H14348" s="76" t="s">
        <v>1046</v>
      </c>
    </row>
    <row r="14349">
      <c r="A14349" s="76" t="s">
        <v>36</v>
      </c>
      <c r="B14349" s="76" t="s">
        <v>1042</v>
      </c>
      <c r="C14349" s="84">
        <v>23.35</v>
      </c>
      <c r="D14349" s="84">
        <v>6.0</v>
      </c>
      <c r="E14349" s="84">
        <v>3.89</v>
      </c>
      <c r="F14349" s="76" t="s">
        <v>997</v>
      </c>
      <c r="G14349" s="83">
        <v>46123.0</v>
      </c>
      <c r="H14349" s="76" t="s">
        <v>926</v>
      </c>
    </row>
    <row r="14350">
      <c r="A14350" s="76" t="s">
        <v>36</v>
      </c>
      <c r="B14350" s="76" t="s">
        <v>1042</v>
      </c>
      <c r="C14350" s="84">
        <v>1.54</v>
      </c>
      <c r="D14350" s="84">
        <v>0.0</v>
      </c>
      <c r="E14350" s="84">
        <v>0.0</v>
      </c>
      <c r="F14350" s="76" t="s">
        <v>997</v>
      </c>
      <c r="G14350" s="83">
        <v>46123.0</v>
      </c>
      <c r="H14350" s="76" t="s">
        <v>927</v>
      </c>
    </row>
    <row r="14351">
      <c r="A14351" s="76" t="s">
        <v>36</v>
      </c>
      <c r="B14351" s="76" t="s">
        <v>1042</v>
      </c>
      <c r="C14351" s="84">
        <v>8.95</v>
      </c>
      <c r="D14351" s="84">
        <v>2.0</v>
      </c>
      <c r="E14351" s="84">
        <v>4.47</v>
      </c>
      <c r="F14351" s="76" t="s">
        <v>997</v>
      </c>
      <c r="G14351" s="83">
        <v>46123.0</v>
      </c>
      <c r="H14351" s="76" t="s">
        <v>928</v>
      </c>
    </row>
    <row r="14352">
      <c r="A14352" s="76" t="s">
        <v>28</v>
      </c>
      <c r="B14352" s="76" t="s">
        <v>1042</v>
      </c>
      <c r="C14352" s="84">
        <v>1.41</v>
      </c>
      <c r="D14352" s="84">
        <v>0.0</v>
      </c>
      <c r="E14352" s="84">
        <v>0.0</v>
      </c>
      <c r="F14352" s="76" t="s">
        <v>997</v>
      </c>
      <c r="G14352" s="83">
        <v>46123.0</v>
      </c>
      <c r="H14352" s="76" t="s">
        <v>931</v>
      </c>
    </row>
    <row r="14353">
      <c r="A14353" s="76" t="s">
        <v>28</v>
      </c>
      <c r="B14353" s="76" t="s">
        <v>1042</v>
      </c>
      <c r="C14353" s="84">
        <v>1.53</v>
      </c>
      <c r="D14353" s="84">
        <v>0.0</v>
      </c>
      <c r="E14353" s="84">
        <v>0.0</v>
      </c>
      <c r="F14353" s="76" t="s">
        <v>997</v>
      </c>
      <c r="G14353" s="83">
        <v>46123.0</v>
      </c>
      <c r="H14353" s="76" t="s">
        <v>932</v>
      </c>
    </row>
    <row r="14354">
      <c r="A14354" s="76" t="s">
        <v>28</v>
      </c>
      <c r="B14354" s="76" t="s">
        <v>1042</v>
      </c>
      <c r="C14354" s="84">
        <v>8.06</v>
      </c>
      <c r="D14354" s="84">
        <v>3.0</v>
      </c>
      <c r="E14354" s="84">
        <v>2.69</v>
      </c>
      <c r="F14354" s="76" t="s">
        <v>997</v>
      </c>
      <c r="G14354" s="83">
        <v>46123.0</v>
      </c>
      <c r="H14354" s="76" t="s">
        <v>933</v>
      </c>
    </row>
    <row r="14355">
      <c r="A14355" s="76" t="s">
        <v>34</v>
      </c>
      <c r="B14355" s="76" t="s">
        <v>1042</v>
      </c>
      <c r="C14355" s="84">
        <v>7.0</v>
      </c>
      <c r="D14355" s="84">
        <v>0.0</v>
      </c>
      <c r="E14355" s="84">
        <v>0.0</v>
      </c>
      <c r="F14355" s="76" t="s">
        <v>997</v>
      </c>
      <c r="G14355" s="83">
        <v>46123.0</v>
      </c>
      <c r="H14355" s="76" t="s">
        <v>951</v>
      </c>
    </row>
    <row r="14356">
      <c r="A14356" s="76" t="s">
        <v>34</v>
      </c>
      <c r="B14356" s="76" t="s">
        <v>1042</v>
      </c>
      <c r="C14356" s="84">
        <v>7.78</v>
      </c>
      <c r="D14356" s="84">
        <v>4.0</v>
      </c>
      <c r="E14356" s="84">
        <v>1.95</v>
      </c>
      <c r="F14356" s="76" t="s">
        <v>997</v>
      </c>
      <c r="G14356" s="83">
        <v>46123.0</v>
      </c>
      <c r="H14356" s="76" t="s">
        <v>952</v>
      </c>
    </row>
    <row r="14357">
      <c r="A14357" s="76" t="s">
        <v>34</v>
      </c>
      <c r="B14357" s="76" t="s">
        <v>1042</v>
      </c>
      <c r="C14357" s="84">
        <v>0.9</v>
      </c>
      <c r="D14357" s="84">
        <v>0.0</v>
      </c>
      <c r="E14357" s="84">
        <v>0.0</v>
      </c>
      <c r="F14357" s="76" t="s">
        <v>997</v>
      </c>
      <c r="G14357" s="83">
        <v>46123.0</v>
      </c>
      <c r="H14357" s="76" t="s">
        <v>953</v>
      </c>
    </row>
    <row r="14358">
      <c r="A14358" s="76" t="s">
        <v>1043</v>
      </c>
      <c r="B14358" s="76" t="s">
        <v>1042</v>
      </c>
      <c r="C14358" s="84">
        <v>9.86</v>
      </c>
      <c r="D14358" s="84">
        <v>0.0</v>
      </c>
      <c r="E14358" s="84">
        <v>0.0</v>
      </c>
      <c r="F14358" s="76" t="s">
        <v>997</v>
      </c>
      <c r="G14358" s="83">
        <v>46123.0</v>
      </c>
      <c r="H14358" s="76" t="s">
        <v>1044</v>
      </c>
    </row>
    <row r="14359">
      <c r="A14359" s="76" t="s">
        <v>52</v>
      </c>
      <c r="B14359" s="76" t="s">
        <v>1042</v>
      </c>
      <c r="C14359" s="84">
        <v>25.94</v>
      </c>
      <c r="D14359" s="84">
        <v>2.0</v>
      </c>
      <c r="E14359" s="84">
        <v>12.97</v>
      </c>
      <c r="F14359" s="76" t="s">
        <v>997</v>
      </c>
      <c r="G14359" s="83">
        <v>46123.0</v>
      </c>
      <c r="H14359" s="76" t="s">
        <v>1045</v>
      </c>
    </row>
    <row r="14360">
      <c r="A14360" s="76" t="s">
        <v>49</v>
      </c>
      <c r="B14360" s="76" t="s">
        <v>1042</v>
      </c>
      <c r="C14360" s="84">
        <v>8.86</v>
      </c>
      <c r="D14360" s="84">
        <v>0.0</v>
      </c>
      <c r="E14360" s="84">
        <v>0.0</v>
      </c>
      <c r="F14360" s="76" t="s">
        <v>997</v>
      </c>
      <c r="G14360" s="83">
        <v>46123.0</v>
      </c>
      <c r="H14360" s="76" t="s">
        <v>1046</v>
      </c>
    </row>
    <row r="14361">
      <c r="A14361" s="76" t="s">
        <v>34</v>
      </c>
      <c r="B14361" s="76" t="s">
        <v>1029</v>
      </c>
      <c r="C14361" s="84">
        <v>1.12</v>
      </c>
      <c r="D14361" s="84">
        <v>0.0</v>
      </c>
      <c r="E14361" s="84">
        <v>0.0</v>
      </c>
      <c r="F14361" s="76" t="s">
        <v>950</v>
      </c>
      <c r="G14361" s="83">
        <v>46124.0</v>
      </c>
      <c r="H14361" s="76" t="s">
        <v>951</v>
      </c>
    </row>
    <row r="14362">
      <c r="A14362" s="76" t="s">
        <v>34</v>
      </c>
      <c r="B14362" s="76" t="s">
        <v>1029</v>
      </c>
      <c r="C14362" s="84">
        <v>1.22</v>
      </c>
      <c r="D14362" s="84">
        <v>0.0</v>
      </c>
      <c r="E14362" s="84">
        <v>0.0</v>
      </c>
      <c r="F14362" s="76" t="s">
        <v>950</v>
      </c>
      <c r="G14362" s="83">
        <v>46124.0</v>
      </c>
      <c r="H14362" s="76" t="s">
        <v>952</v>
      </c>
    </row>
    <row r="14363">
      <c r="A14363" s="76" t="s">
        <v>34</v>
      </c>
      <c r="B14363" s="76" t="s">
        <v>1029</v>
      </c>
      <c r="C14363" s="84">
        <v>0.22</v>
      </c>
      <c r="D14363" s="84">
        <v>0.0</v>
      </c>
      <c r="E14363" s="84">
        <v>0.0</v>
      </c>
      <c r="F14363" s="76" t="s">
        <v>950</v>
      </c>
      <c r="G14363" s="83">
        <v>46124.0</v>
      </c>
      <c r="H14363" s="76" t="s">
        <v>953</v>
      </c>
    </row>
    <row r="14364">
      <c r="A14364" s="76" t="s">
        <v>46</v>
      </c>
      <c r="B14364" s="76" t="s">
        <v>1029</v>
      </c>
      <c r="C14364" s="84">
        <v>1.71</v>
      </c>
      <c r="D14364" s="84">
        <v>0.0</v>
      </c>
      <c r="E14364" s="84">
        <v>0.0</v>
      </c>
      <c r="F14364" s="76" t="s">
        <v>950</v>
      </c>
      <c r="G14364" s="83">
        <v>46124.0</v>
      </c>
      <c r="H14364" s="76" t="s">
        <v>960</v>
      </c>
    </row>
    <row r="14365">
      <c r="A14365" s="76" t="s">
        <v>46</v>
      </c>
      <c r="B14365" s="76" t="s">
        <v>1029</v>
      </c>
      <c r="C14365" s="84">
        <v>0.72</v>
      </c>
      <c r="D14365" s="84">
        <v>0.0</v>
      </c>
      <c r="E14365" s="84">
        <v>0.0</v>
      </c>
      <c r="F14365" s="76" t="s">
        <v>950</v>
      </c>
      <c r="G14365" s="83">
        <v>46124.0</v>
      </c>
      <c r="H14365" s="76" t="s">
        <v>961</v>
      </c>
    </row>
    <row r="14366">
      <c r="A14366" s="76" t="s">
        <v>46</v>
      </c>
      <c r="B14366" s="76" t="s">
        <v>1029</v>
      </c>
      <c r="C14366" s="84">
        <v>0.41</v>
      </c>
      <c r="D14366" s="84">
        <v>0.0</v>
      </c>
      <c r="E14366" s="84">
        <v>0.0</v>
      </c>
      <c r="F14366" s="76" t="s">
        <v>950</v>
      </c>
      <c r="G14366" s="83">
        <v>46124.0</v>
      </c>
      <c r="H14366" s="76" t="s">
        <v>962</v>
      </c>
    </row>
    <row r="14367">
      <c r="A14367" s="76" t="s">
        <v>29</v>
      </c>
      <c r="B14367" s="76" t="s">
        <v>1029</v>
      </c>
      <c r="C14367" s="84">
        <v>1.04</v>
      </c>
      <c r="D14367" s="84">
        <v>0.0</v>
      </c>
      <c r="E14367" s="84">
        <v>0.0</v>
      </c>
      <c r="F14367" s="76" t="s">
        <v>950</v>
      </c>
      <c r="G14367" s="83">
        <v>46124.0</v>
      </c>
      <c r="H14367" s="76" t="s">
        <v>971</v>
      </c>
    </row>
    <row r="14368">
      <c r="A14368" s="76" t="s">
        <v>29</v>
      </c>
      <c r="B14368" s="76" t="s">
        <v>1029</v>
      </c>
      <c r="C14368" s="84">
        <v>0.2</v>
      </c>
      <c r="D14368" s="84">
        <v>0.0</v>
      </c>
      <c r="E14368" s="84">
        <v>0.0</v>
      </c>
      <c r="F14368" s="76" t="s">
        <v>950</v>
      </c>
      <c r="G14368" s="83">
        <v>46124.0</v>
      </c>
      <c r="H14368" s="76" t="s">
        <v>972</v>
      </c>
    </row>
    <row r="14369">
      <c r="A14369" s="76" t="s">
        <v>29</v>
      </c>
      <c r="B14369" s="76" t="s">
        <v>1029</v>
      </c>
      <c r="C14369" s="84">
        <v>1.99</v>
      </c>
      <c r="D14369" s="84">
        <v>2.0</v>
      </c>
      <c r="E14369" s="84">
        <v>0.99</v>
      </c>
      <c r="F14369" s="76" t="s">
        <v>950</v>
      </c>
      <c r="G14369" s="83">
        <v>46124.0</v>
      </c>
      <c r="H14369" s="76" t="s">
        <v>973</v>
      </c>
    </row>
    <row r="14370">
      <c r="A14370" s="76" t="s">
        <v>33</v>
      </c>
      <c r="B14370" s="76" t="s">
        <v>1029</v>
      </c>
      <c r="C14370" s="84">
        <v>44.99</v>
      </c>
      <c r="D14370" s="84">
        <v>8.0</v>
      </c>
      <c r="E14370" s="84">
        <v>5.62</v>
      </c>
      <c r="F14370" s="76" t="s">
        <v>950</v>
      </c>
      <c r="G14370" s="83">
        <v>46124.0</v>
      </c>
      <c r="H14370" s="76" t="s">
        <v>957</v>
      </c>
    </row>
    <row r="14371">
      <c r="A14371" s="76" t="s">
        <v>33</v>
      </c>
      <c r="B14371" s="76" t="s">
        <v>1029</v>
      </c>
      <c r="C14371" s="84">
        <v>0.55</v>
      </c>
      <c r="D14371" s="84">
        <v>0.0</v>
      </c>
      <c r="E14371" s="84">
        <v>0.0</v>
      </c>
      <c r="F14371" s="76" t="s">
        <v>950</v>
      </c>
      <c r="G14371" s="83">
        <v>46124.0</v>
      </c>
      <c r="H14371" s="76" t="s">
        <v>958</v>
      </c>
    </row>
    <row r="14372">
      <c r="A14372" s="76" t="s">
        <v>33</v>
      </c>
      <c r="B14372" s="76" t="s">
        <v>1029</v>
      </c>
      <c r="C14372" s="84">
        <v>3.88</v>
      </c>
      <c r="D14372" s="84">
        <v>1.0</v>
      </c>
      <c r="E14372" s="84">
        <v>3.88</v>
      </c>
      <c r="F14372" s="76" t="s">
        <v>950</v>
      </c>
      <c r="G14372" s="83">
        <v>46124.0</v>
      </c>
      <c r="H14372" s="76" t="s">
        <v>959</v>
      </c>
    </row>
    <row r="14373">
      <c r="A14373" s="76" t="s">
        <v>970</v>
      </c>
      <c r="B14373" s="76" t="s">
        <v>1029</v>
      </c>
      <c r="C14373" s="84">
        <v>1.03</v>
      </c>
      <c r="D14373" s="84">
        <v>0.0</v>
      </c>
      <c r="E14373" s="84">
        <v>0.0</v>
      </c>
      <c r="F14373" s="76" t="s">
        <v>950</v>
      </c>
      <c r="G14373" s="83">
        <v>46124.0</v>
      </c>
      <c r="H14373" s="76" t="s">
        <v>971</v>
      </c>
    </row>
    <row r="14374">
      <c r="A14374" s="76" t="s">
        <v>970</v>
      </c>
      <c r="B14374" s="76" t="s">
        <v>1029</v>
      </c>
      <c r="C14374" s="84">
        <v>0.08</v>
      </c>
      <c r="D14374" s="84">
        <v>0.0</v>
      </c>
      <c r="E14374" s="84">
        <v>0.0</v>
      </c>
      <c r="F14374" s="76" t="s">
        <v>950</v>
      </c>
      <c r="G14374" s="83">
        <v>46124.0</v>
      </c>
      <c r="H14374" s="76" t="s">
        <v>972</v>
      </c>
    </row>
    <row r="14375">
      <c r="A14375" s="76" t="s">
        <v>970</v>
      </c>
      <c r="B14375" s="76" t="s">
        <v>1029</v>
      </c>
      <c r="C14375" s="84">
        <v>1.99</v>
      </c>
      <c r="D14375" s="84">
        <v>0.0</v>
      </c>
      <c r="E14375" s="84">
        <v>0.0</v>
      </c>
      <c r="F14375" s="76" t="s">
        <v>950</v>
      </c>
      <c r="G14375" s="83">
        <v>46124.0</v>
      </c>
      <c r="H14375" s="76" t="s">
        <v>973</v>
      </c>
    </row>
    <row r="14376">
      <c r="A14376" s="76" t="s">
        <v>43</v>
      </c>
      <c r="B14376" s="76" t="s">
        <v>1029</v>
      </c>
      <c r="C14376" s="84">
        <v>0.5</v>
      </c>
      <c r="D14376" s="84">
        <v>0.0</v>
      </c>
      <c r="E14376" s="84">
        <v>0.0</v>
      </c>
      <c r="F14376" s="76" t="s">
        <v>950</v>
      </c>
      <c r="G14376" s="83">
        <v>46124.0</v>
      </c>
      <c r="H14376" s="76" t="s">
        <v>963</v>
      </c>
    </row>
    <row r="14377">
      <c r="A14377" s="76" t="s">
        <v>43</v>
      </c>
      <c r="B14377" s="76" t="s">
        <v>1029</v>
      </c>
      <c r="C14377" s="84">
        <v>0.35</v>
      </c>
      <c r="D14377" s="84">
        <v>0.0</v>
      </c>
      <c r="E14377" s="84">
        <v>0.0</v>
      </c>
      <c r="F14377" s="76" t="s">
        <v>950</v>
      </c>
      <c r="G14377" s="83">
        <v>46124.0</v>
      </c>
      <c r="H14377" s="76" t="s">
        <v>964</v>
      </c>
    </row>
    <row r="14378">
      <c r="A14378" s="76" t="s">
        <v>43</v>
      </c>
      <c r="B14378" s="76" t="s">
        <v>1029</v>
      </c>
      <c r="C14378" s="84">
        <v>1.17</v>
      </c>
      <c r="D14378" s="84">
        <v>0.0</v>
      </c>
      <c r="E14378" s="84">
        <v>0.0</v>
      </c>
      <c r="F14378" s="76" t="s">
        <v>950</v>
      </c>
      <c r="G14378" s="83">
        <v>46124.0</v>
      </c>
      <c r="H14378" s="76" t="s">
        <v>965</v>
      </c>
    </row>
    <row r="14379">
      <c r="A14379" s="76" t="s">
        <v>966</v>
      </c>
      <c r="B14379" s="76" t="s">
        <v>1029</v>
      </c>
      <c r="C14379" s="84">
        <v>4.72</v>
      </c>
      <c r="D14379" s="84">
        <v>1.0</v>
      </c>
      <c r="E14379" s="84">
        <v>4.72</v>
      </c>
      <c r="F14379" s="76" t="s">
        <v>950</v>
      </c>
      <c r="G14379" s="83">
        <v>46124.0</v>
      </c>
      <c r="H14379" s="76" t="s">
        <v>967</v>
      </c>
    </row>
    <row r="14380">
      <c r="A14380" s="76" t="s">
        <v>966</v>
      </c>
      <c r="B14380" s="76" t="s">
        <v>1029</v>
      </c>
      <c r="C14380" s="84">
        <v>0.25</v>
      </c>
      <c r="D14380" s="84">
        <v>0.0</v>
      </c>
      <c r="E14380" s="84">
        <v>0.0</v>
      </c>
      <c r="F14380" s="76" t="s">
        <v>950</v>
      </c>
      <c r="G14380" s="83">
        <v>46124.0</v>
      </c>
      <c r="H14380" s="76" t="s">
        <v>968</v>
      </c>
    </row>
    <row r="14381">
      <c r="A14381" s="76" t="s">
        <v>966</v>
      </c>
      <c r="B14381" s="76" t="s">
        <v>1029</v>
      </c>
      <c r="C14381" s="84">
        <v>3.79</v>
      </c>
      <c r="D14381" s="84">
        <v>0.0</v>
      </c>
      <c r="E14381" s="84">
        <v>0.0</v>
      </c>
      <c r="F14381" s="76" t="s">
        <v>950</v>
      </c>
      <c r="G14381" s="83">
        <v>46124.0</v>
      </c>
      <c r="H14381" s="76" t="s">
        <v>969</v>
      </c>
    </row>
    <row r="14382">
      <c r="A14382" s="76" t="s">
        <v>36</v>
      </c>
      <c r="B14382" s="76" t="s">
        <v>1029</v>
      </c>
      <c r="C14382" s="84">
        <v>7.4</v>
      </c>
      <c r="D14382" s="84">
        <v>0.0</v>
      </c>
      <c r="E14382" s="84">
        <v>0.0</v>
      </c>
      <c r="F14382" s="76" t="s">
        <v>950</v>
      </c>
      <c r="G14382" s="83">
        <v>46124.0</v>
      </c>
      <c r="H14382" s="76" t="s">
        <v>926</v>
      </c>
    </row>
    <row r="14383">
      <c r="A14383" s="76" t="s">
        <v>36</v>
      </c>
      <c r="B14383" s="76" t="s">
        <v>1029</v>
      </c>
      <c r="C14383" s="84">
        <v>1.0</v>
      </c>
      <c r="D14383" s="84">
        <v>0.0</v>
      </c>
      <c r="E14383" s="84">
        <v>0.0</v>
      </c>
      <c r="F14383" s="76" t="s">
        <v>950</v>
      </c>
      <c r="G14383" s="83">
        <v>46124.0</v>
      </c>
      <c r="H14383" s="76" t="s">
        <v>927</v>
      </c>
    </row>
    <row r="14384">
      <c r="A14384" s="76" t="s">
        <v>36</v>
      </c>
      <c r="B14384" s="76" t="s">
        <v>1029</v>
      </c>
      <c r="C14384" s="84">
        <v>1.61</v>
      </c>
      <c r="D14384" s="84">
        <v>1.0</v>
      </c>
      <c r="E14384" s="84">
        <v>1.61</v>
      </c>
      <c r="F14384" s="76" t="s">
        <v>950</v>
      </c>
      <c r="G14384" s="83">
        <v>46124.0</v>
      </c>
      <c r="H14384" s="76" t="s">
        <v>928</v>
      </c>
    </row>
    <row r="14385">
      <c r="A14385" s="76" t="s">
        <v>40</v>
      </c>
      <c r="B14385" s="76" t="s">
        <v>1029</v>
      </c>
      <c r="C14385" s="84">
        <v>0.49</v>
      </c>
      <c r="D14385" s="84">
        <v>0.0</v>
      </c>
      <c r="E14385" s="84">
        <v>0.0</v>
      </c>
      <c r="F14385" s="76" t="s">
        <v>950</v>
      </c>
      <c r="G14385" s="83">
        <v>46124.0</v>
      </c>
      <c r="H14385" s="76" t="s">
        <v>954</v>
      </c>
    </row>
    <row r="14386">
      <c r="A14386" s="76" t="s">
        <v>40</v>
      </c>
      <c r="B14386" s="76" t="s">
        <v>1029</v>
      </c>
      <c r="C14386" s="84">
        <v>0.12</v>
      </c>
      <c r="D14386" s="84">
        <v>0.0</v>
      </c>
      <c r="E14386" s="84">
        <v>0.0</v>
      </c>
      <c r="F14386" s="76" t="s">
        <v>950</v>
      </c>
      <c r="G14386" s="83">
        <v>46124.0</v>
      </c>
      <c r="H14386" s="76" t="s">
        <v>955</v>
      </c>
    </row>
    <row r="14387">
      <c r="A14387" s="76" t="s">
        <v>40</v>
      </c>
      <c r="B14387" s="76" t="s">
        <v>1029</v>
      </c>
      <c r="C14387" s="84">
        <v>3.12</v>
      </c>
      <c r="D14387" s="84">
        <v>0.0</v>
      </c>
      <c r="E14387" s="84">
        <v>0.0</v>
      </c>
      <c r="F14387" s="76" t="s">
        <v>950</v>
      </c>
      <c r="G14387" s="83">
        <v>46124.0</v>
      </c>
      <c r="H14387" s="76" t="s">
        <v>956</v>
      </c>
    </row>
    <row r="14388">
      <c r="A14388" s="76" t="s">
        <v>966</v>
      </c>
      <c r="B14388" s="76" t="s">
        <v>1029</v>
      </c>
      <c r="C14388" s="84">
        <v>3.97</v>
      </c>
      <c r="D14388" s="84">
        <v>0.0</v>
      </c>
      <c r="E14388" s="84">
        <v>0.0</v>
      </c>
      <c r="F14388" s="76" t="s">
        <v>974</v>
      </c>
      <c r="G14388" s="83">
        <v>46124.0</v>
      </c>
      <c r="H14388" s="76" t="s">
        <v>967</v>
      </c>
    </row>
    <row r="14389">
      <c r="A14389" s="76" t="s">
        <v>966</v>
      </c>
      <c r="B14389" s="76" t="s">
        <v>1029</v>
      </c>
      <c r="C14389" s="84">
        <v>1.09</v>
      </c>
      <c r="D14389" s="84">
        <v>0.0</v>
      </c>
      <c r="E14389" s="84">
        <v>0.0</v>
      </c>
      <c r="F14389" s="76" t="s">
        <v>974</v>
      </c>
      <c r="G14389" s="83">
        <v>46124.0</v>
      </c>
      <c r="H14389" s="76" t="s">
        <v>968</v>
      </c>
    </row>
    <row r="14390">
      <c r="A14390" s="76" t="s">
        <v>966</v>
      </c>
      <c r="B14390" s="76" t="s">
        <v>1029</v>
      </c>
      <c r="C14390" s="84">
        <v>4.17</v>
      </c>
      <c r="D14390" s="84">
        <v>1.0</v>
      </c>
      <c r="E14390" s="84">
        <v>4.17</v>
      </c>
      <c r="F14390" s="76" t="s">
        <v>974</v>
      </c>
      <c r="G14390" s="83">
        <v>46124.0</v>
      </c>
      <c r="H14390" s="76" t="s">
        <v>969</v>
      </c>
    </row>
    <row r="14391">
      <c r="A14391" s="76" t="s">
        <v>43</v>
      </c>
      <c r="B14391" s="76" t="s">
        <v>1029</v>
      </c>
      <c r="C14391" s="84">
        <v>0.86</v>
      </c>
      <c r="D14391" s="84">
        <v>0.0</v>
      </c>
      <c r="E14391" s="84">
        <v>0.0</v>
      </c>
      <c r="F14391" s="76" t="s">
        <v>974</v>
      </c>
      <c r="G14391" s="83">
        <v>46124.0</v>
      </c>
      <c r="H14391" s="76" t="s">
        <v>963</v>
      </c>
    </row>
    <row r="14392">
      <c r="A14392" s="76" t="s">
        <v>43</v>
      </c>
      <c r="B14392" s="76" t="s">
        <v>1029</v>
      </c>
      <c r="C14392" s="84">
        <v>1.55</v>
      </c>
      <c r="D14392" s="84">
        <v>0.0</v>
      </c>
      <c r="E14392" s="84">
        <v>0.0</v>
      </c>
      <c r="F14392" s="76" t="s">
        <v>974</v>
      </c>
      <c r="G14392" s="83">
        <v>46124.0</v>
      </c>
      <c r="H14392" s="76" t="s">
        <v>964</v>
      </c>
    </row>
    <row r="14393">
      <c r="A14393" s="76" t="s">
        <v>43</v>
      </c>
      <c r="B14393" s="76" t="s">
        <v>1029</v>
      </c>
      <c r="C14393" s="84">
        <v>2.86</v>
      </c>
      <c r="D14393" s="84">
        <v>0.0</v>
      </c>
      <c r="E14393" s="84">
        <v>0.0</v>
      </c>
      <c r="F14393" s="76" t="s">
        <v>974</v>
      </c>
      <c r="G14393" s="83">
        <v>46124.0</v>
      </c>
      <c r="H14393" s="76" t="s">
        <v>965</v>
      </c>
    </row>
    <row r="14394">
      <c r="A14394" s="76" t="s">
        <v>36</v>
      </c>
      <c r="B14394" s="76" t="s">
        <v>1029</v>
      </c>
      <c r="C14394" s="84">
        <v>4.71</v>
      </c>
      <c r="D14394" s="84">
        <v>0.0</v>
      </c>
      <c r="E14394" s="84">
        <v>0.0</v>
      </c>
      <c r="F14394" s="76" t="s">
        <v>974</v>
      </c>
      <c r="G14394" s="83">
        <v>46124.0</v>
      </c>
      <c r="H14394" s="76" t="s">
        <v>926</v>
      </c>
    </row>
    <row r="14395">
      <c r="A14395" s="76" t="s">
        <v>36</v>
      </c>
      <c r="B14395" s="76" t="s">
        <v>1029</v>
      </c>
      <c r="C14395" s="84">
        <v>1.29</v>
      </c>
      <c r="D14395" s="84">
        <v>0.0</v>
      </c>
      <c r="E14395" s="84">
        <v>0.0</v>
      </c>
      <c r="F14395" s="76" t="s">
        <v>974</v>
      </c>
      <c r="G14395" s="83">
        <v>46124.0</v>
      </c>
      <c r="H14395" s="76" t="s">
        <v>927</v>
      </c>
    </row>
    <row r="14396">
      <c r="A14396" s="76" t="s">
        <v>36</v>
      </c>
      <c r="B14396" s="76" t="s">
        <v>1029</v>
      </c>
      <c r="C14396" s="84">
        <v>5.08</v>
      </c>
      <c r="D14396" s="84">
        <v>2.0</v>
      </c>
      <c r="E14396" s="84">
        <v>2.54</v>
      </c>
      <c r="F14396" s="76" t="s">
        <v>974</v>
      </c>
      <c r="G14396" s="83">
        <v>46124.0</v>
      </c>
      <c r="H14396" s="76" t="s">
        <v>928</v>
      </c>
    </row>
    <row r="14397">
      <c r="A14397" s="76" t="s">
        <v>33</v>
      </c>
      <c r="B14397" s="76" t="s">
        <v>1029</v>
      </c>
      <c r="C14397" s="84">
        <v>70.19</v>
      </c>
      <c r="D14397" s="84">
        <v>11.0</v>
      </c>
      <c r="E14397" s="84">
        <v>6.38</v>
      </c>
      <c r="F14397" s="76" t="s">
        <v>974</v>
      </c>
      <c r="G14397" s="83">
        <v>46124.0</v>
      </c>
      <c r="H14397" s="76" t="s">
        <v>957</v>
      </c>
    </row>
    <row r="14398">
      <c r="A14398" s="76" t="s">
        <v>33</v>
      </c>
      <c r="B14398" s="76" t="s">
        <v>1029</v>
      </c>
      <c r="C14398" s="84">
        <v>0.89</v>
      </c>
      <c r="D14398" s="84">
        <v>0.0</v>
      </c>
      <c r="E14398" s="84">
        <v>0.0</v>
      </c>
      <c r="F14398" s="76" t="s">
        <v>974</v>
      </c>
      <c r="G14398" s="83">
        <v>46124.0</v>
      </c>
      <c r="H14398" s="76" t="s">
        <v>958</v>
      </c>
    </row>
    <row r="14399">
      <c r="A14399" s="76" t="s">
        <v>33</v>
      </c>
      <c r="B14399" s="76" t="s">
        <v>1029</v>
      </c>
      <c r="C14399" s="84">
        <v>5.56</v>
      </c>
      <c r="D14399" s="84">
        <v>1.0</v>
      </c>
      <c r="E14399" s="84">
        <v>5.56</v>
      </c>
      <c r="F14399" s="76" t="s">
        <v>974</v>
      </c>
      <c r="G14399" s="83">
        <v>46124.0</v>
      </c>
      <c r="H14399" s="76" t="s">
        <v>959</v>
      </c>
    </row>
    <row r="14400">
      <c r="A14400" s="76" t="s">
        <v>29</v>
      </c>
      <c r="B14400" s="76" t="s">
        <v>1029</v>
      </c>
      <c r="C14400" s="84">
        <v>2.72</v>
      </c>
      <c r="D14400" s="84">
        <v>1.0</v>
      </c>
      <c r="E14400" s="84">
        <v>2.72</v>
      </c>
      <c r="F14400" s="76" t="s">
        <v>974</v>
      </c>
      <c r="G14400" s="83">
        <v>46124.0</v>
      </c>
      <c r="H14400" s="76" t="s">
        <v>971</v>
      </c>
    </row>
    <row r="14401">
      <c r="A14401" s="76" t="s">
        <v>29</v>
      </c>
      <c r="B14401" s="76" t="s">
        <v>1029</v>
      </c>
      <c r="C14401" s="84">
        <v>0.11</v>
      </c>
      <c r="D14401" s="84">
        <v>0.0</v>
      </c>
      <c r="E14401" s="84">
        <v>0.0</v>
      </c>
      <c r="F14401" s="76" t="s">
        <v>974</v>
      </c>
      <c r="G14401" s="83">
        <v>46124.0</v>
      </c>
      <c r="H14401" s="76" t="s">
        <v>972</v>
      </c>
    </row>
    <row r="14402">
      <c r="A14402" s="76" t="s">
        <v>29</v>
      </c>
      <c r="B14402" s="76" t="s">
        <v>1029</v>
      </c>
      <c r="C14402" s="84">
        <v>2.61</v>
      </c>
      <c r="D14402" s="84">
        <v>0.0</v>
      </c>
      <c r="E14402" s="84">
        <v>0.0</v>
      </c>
      <c r="F14402" s="76" t="s">
        <v>974</v>
      </c>
      <c r="G14402" s="83">
        <v>46124.0</v>
      </c>
      <c r="H14402" s="76" t="s">
        <v>973</v>
      </c>
    </row>
    <row r="14403">
      <c r="A14403" s="76" t="s">
        <v>46</v>
      </c>
      <c r="B14403" s="76" t="s">
        <v>1029</v>
      </c>
      <c r="C14403" s="84">
        <v>1.6</v>
      </c>
      <c r="D14403" s="84">
        <v>0.0</v>
      </c>
      <c r="E14403" s="84">
        <v>0.0</v>
      </c>
      <c r="F14403" s="76" t="s">
        <v>974</v>
      </c>
      <c r="G14403" s="83">
        <v>46124.0</v>
      </c>
      <c r="H14403" s="76" t="s">
        <v>960</v>
      </c>
    </row>
    <row r="14404">
      <c r="A14404" s="76" t="s">
        <v>46</v>
      </c>
      <c r="B14404" s="76" t="s">
        <v>1029</v>
      </c>
      <c r="C14404" s="84">
        <v>1.14</v>
      </c>
      <c r="D14404" s="84">
        <v>1.0</v>
      </c>
      <c r="E14404" s="84">
        <v>1.14</v>
      </c>
      <c r="F14404" s="76" t="s">
        <v>974</v>
      </c>
      <c r="G14404" s="83">
        <v>46124.0</v>
      </c>
      <c r="H14404" s="76" t="s">
        <v>961</v>
      </c>
    </row>
    <row r="14405">
      <c r="A14405" s="76" t="s">
        <v>46</v>
      </c>
      <c r="B14405" s="76" t="s">
        <v>1029</v>
      </c>
      <c r="C14405" s="84">
        <v>1.01</v>
      </c>
      <c r="D14405" s="84">
        <v>0.0</v>
      </c>
      <c r="E14405" s="84">
        <v>0.0</v>
      </c>
      <c r="F14405" s="76" t="s">
        <v>974</v>
      </c>
      <c r="G14405" s="83">
        <v>46124.0</v>
      </c>
      <c r="H14405" s="76" t="s">
        <v>962</v>
      </c>
    </row>
    <row r="14406">
      <c r="A14406" s="76" t="s">
        <v>34</v>
      </c>
      <c r="B14406" s="76" t="s">
        <v>1029</v>
      </c>
      <c r="C14406" s="84">
        <v>3.46</v>
      </c>
      <c r="D14406" s="84">
        <v>0.0</v>
      </c>
      <c r="E14406" s="84">
        <v>0.0</v>
      </c>
      <c r="F14406" s="76" t="s">
        <v>974</v>
      </c>
      <c r="G14406" s="83">
        <v>46124.0</v>
      </c>
      <c r="H14406" s="76" t="s">
        <v>951</v>
      </c>
    </row>
    <row r="14407">
      <c r="A14407" s="76" t="s">
        <v>34</v>
      </c>
      <c r="B14407" s="76" t="s">
        <v>1029</v>
      </c>
      <c r="C14407" s="84">
        <v>9.08</v>
      </c>
      <c r="D14407" s="84">
        <v>1.0</v>
      </c>
      <c r="E14407" s="84">
        <v>9.08</v>
      </c>
      <c r="F14407" s="76" t="s">
        <v>974</v>
      </c>
      <c r="G14407" s="83">
        <v>46124.0</v>
      </c>
      <c r="H14407" s="76" t="s">
        <v>952</v>
      </c>
    </row>
    <row r="14408">
      <c r="A14408" s="76" t="s">
        <v>34</v>
      </c>
      <c r="B14408" s="76" t="s">
        <v>1029</v>
      </c>
      <c r="C14408" s="84">
        <v>0.81</v>
      </c>
      <c r="D14408" s="84">
        <v>0.0</v>
      </c>
      <c r="E14408" s="84">
        <v>0.0</v>
      </c>
      <c r="F14408" s="76" t="s">
        <v>974</v>
      </c>
      <c r="G14408" s="83">
        <v>46124.0</v>
      </c>
      <c r="H14408" s="76" t="s">
        <v>953</v>
      </c>
    </row>
    <row r="14409">
      <c r="A14409" s="76" t="s">
        <v>970</v>
      </c>
      <c r="B14409" s="76" t="s">
        <v>1029</v>
      </c>
      <c r="C14409" s="84">
        <v>2.64</v>
      </c>
      <c r="D14409" s="84">
        <v>0.0</v>
      </c>
      <c r="E14409" s="84">
        <v>0.0</v>
      </c>
      <c r="F14409" s="76" t="s">
        <v>974</v>
      </c>
      <c r="G14409" s="83">
        <v>46124.0</v>
      </c>
      <c r="H14409" s="76" t="s">
        <v>971</v>
      </c>
    </row>
    <row r="14410">
      <c r="A14410" s="76" t="s">
        <v>970</v>
      </c>
      <c r="B14410" s="76" t="s">
        <v>1029</v>
      </c>
      <c r="C14410" s="84">
        <v>0.22</v>
      </c>
      <c r="D14410" s="84">
        <v>0.0</v>
      </c>
      <c r="E14410" s="84">
        <v>0.0</v>
      </c>
      <c r="F14410" s="76" t="s">
        <v>974</v>
      </c>
      <c r="G14410" s="83">
        <v>46124.0</v>
      </c>
      <c r="H14410" s="76" t="s">
        <v>972</v>
      </c>
    </row>
    <row r="14411">
      <c r="A14411" s="76" t="s">
        <v>970</v>
      </c>
      <c r="B14411" s="76" t="s">
        <v>1029</v>
      </c>
      <c r="C14411" s="84">
        <v>2.87</v>
      </c>
      <c r="D14411" s="84">
        <v>0.0</v>
      </c>
      <c r="E14411" s="84">
        <v>0.0</v>
      </c>
      <c r="F14411" s="76" t="s">
        <v>974</v>
      </c>
      <c r="G14411" s="83">
        <v>46124.0</v>
      </c>
      <c r="H14411" s="76" t="s">
        <v>973</v>
      </c>
    </row>
    <row r="14412">
      <c r="A14412" s="76" t="s">
        <v>40</v>
      </c>
      <c r="B14412" s="76" t="s">
        <v>1029</v>
      </c>
      <c r="C14412" s="84">
        <v>2.05</v>
      </c>
      <c r="D14412" s="84">
        <v>0.0</v>
      </c>
      <c r="E14412" s="84">
        <v>0.0</v>
      </c>
      <c r="F14412" s="76" t="s">
        <v>974</v>
      </c>
      <c r="G14412" s="83">
        <v>46124.0</v>
      </c>
      <c r="H14412" s="76" t="s">
        <v>954</v>
      </c>
    </row>
    <row r="14413">
      <c r="A14413" s="76" t="s">
        <v>40</v>
      </c>
      <c r="B14413" s="76" t="s">
        <v>1029</v>
      </c>
      <c r="C14413" s="84">
        <v>0.74</v>
      </c>
      <c r="D14413" s="84">
        <v>0.0</v>
      </c>
      <c r="E14413" s="84">
        <v>0.0</v>
      </c>
      <c r="F14413" s="76" t="s">
        <v>974</v>
      </c>
      <c r="G14413" s="83">
        <v>46124.0</v>
      </c>
      <c r="H14413" s="76" t="s">
        <v>955</v>
      </c>
    </row>
    <row r="14414">
      <c r="A14414" s="76" t="s">
        <v>40</v>
      </c>
      <c r="B14414" s="76" t="s">
        <v>1029</v>
      </c>
      <c r="C14414" s="84">
        <v>8.73</v>
      </c>
      <c r="D14414" s="84">
        <v>1.0</v>
      </c>
      <c r="E14414" s="84">
        <v>8.73</v>
      </c>
      <c r="F14414" s="76" t="s">
        <v>974</v>
      </c>
      <c r="G14414" s="83">
        <v>46124.0</v>
      </c>
      <c r="H14414" s="76" t="s">
        <v>956</v>
      </c>
    </row>
    <row r="14415">
      <c r="A14415" s="76" t="s">
        <v>29</v>
      </c>
      <c r="B14415" s="76" t="s">
        <v>1029</v>
      </c>
      <c r="C14415" s="84">
        <v>6.13</v>
      </c>
      <c r="D14415" s="84">
        <v>0.0</v>
      </c>
      <c r="E14415" s="84">
        <v>0.0</v>
      </c>
      <c r="F14415" s="76" t="s">
        <v>975</v>
      </c>
      <c r="G14415" s="83">
        <v>46124.0</v>
      </c>
      <c r="H14415" s="76" t="s">
        <v>971</v>
      </c>
    </row>
    <row r="14416">
      <c r="A14416" s="76" t="s">
        <v>29</v>
      </c>
      <c r="B14416" s="76" t="s">
        <v>1029</v>
      </c>
      <c r="C14416" s="84">
        <v>0.49</v>
      </c>
      <c r="D14416" s="84">
        <v>0.0</v>
      </c>
      <c r="E14416" s="84">
        <v>0.0</v>
      </c>
      <c r="F14416" s="76" t="s">
        <v>975</v>
      </c>
      <c r="G14416" s="83">
        <v>46124.0</v>
      </c>
      <c r="H14416" s="76" t="s">
        <v>972</v>
      </c>
    </row>
    <row r="14417">
      <c r="A14417" s="76" t="s">
        <v>29</v>
      </c>
      <c r="B14417" s="76" t="s">
        <v>1029</v>
      </c>
      <c r="C14417" s="84">
        <v>16.01</v>
      </c>
      <c r="D14417" s="84">
        <v>3.0</v>
      </c>
      <c r="E14417" s="84">
        <v>5.34</v>
      </c>
      <c r="F14417" s="76" t="s">
        <v>975</v>
      </c>
      <c r="G14417" s="83">
        <v>46124.0</v>
      </c>
      <c r="H14417" s="76" t="s">
        <v>973</v>
      </c>
    </row>
    <row r="14418">
      <c r="A14418" s="76" t="s">
        <v>46</v>
      </c>
      <c r="B14418" s="76" t="s">
        <v>1029</v>
      </c>
      <c r="C14418" s="84">
        <v>2.56</v>
      </c>
      <c r="D14418" s="84">
        <v>0.0</v>
      </c>
      <c r="E14418" s="84">
        <v>0.0</v>
      </c>
      <c r="F14418" s="76" t="s">
        <v>975</v>
      </c>
      <c r="G14418" s="83">
        <v>46124.0</v>
      </c>
      <c r="H14418" s="76" t="s">
        <v>960</v>
      </c>
    </row>
    <row r="14419">
      <c r="A14419" s="76" t="s">
        <v>46</v>
      </c>
      <c r="B14419" s="76" t="s">
        <v>1029</v>
      </c>
      <c r="C14419" s="84">
        <v>1.19</v>
      </c>
      <c r="D14419" s="84">
        <v>0.0</v>
      </c>
      <c r="E14419" s="84">
        <v>0.0</v>
      </c>
      <c r="F14419" s="76" t="s">
        <v>975</v>
      </c>
      <c r="G14419" s="83">
        <v>46124.0</v>
      </c>
      <c r="H14419" s="76" t="s">
        <v>961</v>
      </c>
    </row>
    <row r="14420">
      <c r="A14420" s="76" t="s">
        <v>46</v>
      </c>
      <c r="B14420" s="76" t="s">
        <v>1029</v>
      </c>
      <c r="C14420" s="84">
        <v>2.84</v>
      </c>
      <c r="D14420" s="84">
        <v>0.0</v>
      </c>
      <c r="E14420" s="84">
        <v>0.0</v>
      </c>
      <c r="F14420" s="76" t="s">
        <v>975</v>
      </c>
      <c r="G14420" s="83">
        <v>46124.0</v>
      </c>
      <c r="H14420" s="76" t="s">
        <v>962</v>
      </c>
    </row>
    <row r="14421">
      <c r="A14421" s="76" t="s">
        <v>36</v>
      </c>
      <c r="B14421" s="76" t="s">
        <v>1029</v>
      </c>
      <c r="C14421" s="84">
        <v>9.73</v>
      </c>
      <c r="D14421" s="84">
        <v>2.0</v>
      </c>
      <c r="E14421" s="84">
        <v>4.86</v>
      </c>
      <c r="F14421" s="76" t="s">
        <v>975</v>
      </c>
      <c r="G14421" s="83">
        <v>46124.0</v>
      </c>
      <c r="H14421" s="76" t="s">
        <v>926</v>
      </c>
    </row>
    <row r="14422">
      <c r="A14422" s="76" t="s">
        <v>36</v>
      </c>
      <c r="B14422" s="76" t="s">
        <v>1029</v>
      </c>
      <c r="C14422" s="84">
        <v>1.22</v>
      </c>
      <c r="D14422" s="84">
        <v>1.0</v>
      </c>
      <c r="E14422" s="84">
        <v>1.22</v>
      </c>
      <c r="F14422" s="76" t="s">
        <v>975</v>
      </c>
      <c r="G14422" s="83">
        <v>46124.0</v>
      </c>
      <c r="H14422" s="76" t="s">
        <v>927</v>
      </c>
    </row>
    <row r="14423">
      <c r="A14423" s="76" t="s">
        <v>36</v>
      </c>
      <c r="B14423" s="76" t="s">
        <v>1029</v>
      </c>
      <c r="C14423" s="84">
        <v>8.38</v>
      </c>
      <c r="D14423" s="84">
        <v>2.0</v>
      </c>
      <c r="E14423" s="84">
        <v>4.19</v>
      </c>
      <c r="F14423" s="76" t="s">
        <v>975</v>
      </c>
      <c r="G14423" s="83">
        <v>46124.0</v>
      </c>
      <c r="H14423" s="76" t="s">
        <v>928</v>
      </c>
    </row>
    <row r="14424">
      <c r="A14424" s="76" t="s">
        <v>43</v>
      </c>
      <c r="B14424" s="76" t="s">
        <v>1029</v>
      </c>
      <c r="C14424" s="84">
        <v>1.22</v>
      </c>
      <c r="D14424" s="84">
        <v>0.0</v>
      </c>
      <c r="E14424" s="84">
        <v>0.0</v>
      </c>
      <c r="F14424" s="76" t="s">
        <v>975</v>
      </c>
      <c r="G14424" s="83">
        <v>46124.0</v>
      </c>
      <c r="H14424" s="76" t="s">
        <v>963</v>
      </c>
    </row>
    <row r="14425">
      <c r="A14425" s="76" t="s">
        <v>43</v>
      </c>
      <c r="B14425" s="76" t="s">
        <v>1029</v>
      </c>
      <c r="C14425" s="84">
        <v>1.49</v>
      </c>
      <c r="D14425" s="84">
        <v>0.0</v>
      </c>
      <c r="E14425" s="84">
        <v>0.0</v>
      </c>
      <c r="F14425" s="76" t="s">
        <v>975</v>
      </c>
      <c r="G14425" s="83">
        <v>46124.0</v>
      </c>
      <c r="H14425" s="76" t="s">
        <v>964</v>
      </c>
    </row>
    <row r="14426">
      <c r="A14426" s="76" t="s">
        <v>43</v>
      </c>
      <c r="B14426" s="76" t="s">
        <v>1029</v>
      </c>
      <c r="C14426" s="84">
        <v>4.51</v>
      </c>
      <c r="D14426" s="84">
        <v>1.0</v>
      </c>
      <c r="E14426" s="84">
        <v>4.51</v>
      </c>
      <c r="F14426" s="76" t="s">
        <v>975</v>
      </c>
      <c r="G14426" s="83">
        <v>46124.0</v>
      </c>
      <c r="H14426" s="76" t="s">
        <v>965</v>
      </c>
    </row>
    <row r="14427">
      <c r="A14427" s="76" t="s">
        <v>34</v>
      </c>
      <c r="B14427" s="76" t="s">
        <v>1029</v>
      </c>
      <c r="C14427" s="84">
        <v>3.16</v>
      </c>
      <c r="D14427" s="84">
        <v>0.0</v>
      </c>
      <c r="E14427" s="84">
        <v>0.0</v>
      </c>
      <c r="F14427" s="76" t="s">
        <v>975</v>
      </c>
      <c r="G14427" s="83">
        <v>46124.0</v>
      </c>
      <c r="H14427" s="76" t="s">
        <v>951</v>
      </c>
    </row>
    <row r="14428">
      <c r="A14428" s="76" t="s">
        <v>34</v>
      </c>
      <c r="B14428" s="76" t="s">
        <v>1029</v>
      </c>
      <c r="C14428" s="84">
        <v>8.84</v>
      </c>
      <c r="D14428" s="84">
        <v>1.0</v>
      </c>
      <c r="E14428" s="84">
        <v>8.84</v>
      </c>
      <c r="F14428" s="76" t="s">
        <v>975</v>
      </c>
      <c r="G14428" s="83">
        <v>46124.0</v>
      </c>
      <c r="H14428" s="76" t="s">
        <v>952</v>
      </c>
    </row>
    <row r="14429">
      <c r="A14429" s="76" t="s">
        <v>34</v>
      </c>
      <c r="B14429" s="76" t="s">
        <v>1029</v>
      </c>
      <c r="C14429" s="84">
        <v>1.25</v>
      </c>
      <c r="D14429" s="84">
        <v>0.0</v>
      </c>
      <c r="E14429" s="84">
        <v>0.0</v>
      </c>
      <c r="F14429" s="76" t="s">
        <v>975</v>
      </c>
      <c r="G14429" s="83">
        <v>46124.0</v>
      </c>
      <c r="H14429" s="76" t="s">
        <v>953</v>
      </c>
    </row>
    <row r="14430">
      <c r="A14430" s="76" t="s">
        <v>40</v>
      </c>
      <c r="B14430" s="76" t="s">
        <v>1029</v>
      </c>
      <c r="C14430" s="84">
        <v>3.84</v>
      </c>
      <c r="D14430" s="84">
        <v>0.0</v>
      </c>
      <c r="E14430" s="84">
        <v>0.0</v>
      </c>
      <c r="F14430" s="76" t="s">
        <v>975</v>
      </c>
      <c r="G14430" s="83">
        <v>46124.0</v>
      </c>
      <c r="H14430" s="76" t="s">
        <v>954</v>
      </c>
    </row>
    <row r="14431">
      <c r="A14431" s="76" t="s">
        <v>40</v>
      </c>
      <c r="B14431" s="76" t="s">
        <v>1029</v>
      </c>
      <c r="C14431" s="84">
        <v>1.45</v>
      </c>
      <c r="D14431" s="84">
        <v>0.0</v>
      </c>
      <c r="E14431" s="84">
        <v>0.0</v>
      </c>
      <c r="F14431" s="76" t="s">
        <v>975</v>
      </c>
      <c r="G14431" s="83">
        <v>46124.0</v>
      </c>
      <c r="H14431" s="76" t="s">
        <v>955</v>
      </c>
    </row>
    <row r="14432">
      <c r="A14432" s="76" t="s">
        <v>40</v>
      </c>
      <c r="B14432" s="76" t="s">
        <v>1029</v>
      </c>
      <c r="C14432" s="84">
        <v>32.63</v>
      </c>
      <c r="D14432" s="84">
        <v>3.0</v>
      </c>
      <c r="E14432" s="84">
        <v>10.88</v>
      </c>
      <c r="F14432" s="76" t="s">
        <v>975</v>
      </c>
      <c r="G14432" s="83">
        <v>46124.0</v>
      </c>
      <c r="H14432" s="76" t="s">
        <v>956</v>
      </c>
    </row>
    <row r="14433">
      <c r="A14433" s="76" t="s">
        <v>970</v>
      </c>
      <c r="B14433" s="76" t="s">
        <v>1029</v>
      </c>
      <c r="C14433" s="84">
        <v>17.7</v>
      </c>
      <c r="D14433" s="84">
        <v>3.0</v>
      </c>
      <c r="E14433" s="84">
        <v>5.9</v>
      </c>
      <c r="F14433" s="76" t="s">
        <v>975</v>
      </c>
      <c r="G14433" s="83">
        <v>46124.0</v>
      </c>
      <c r="H14433" s="76" t="s">
        <v>971</v>
      </c>
    </row>
    <row r="14434">
      <c r="A14434" s="76" t="s">
        <v>970</v>
      </c>
      <c r="B14434" s="76" t="s">
        <v>1029</v>
      </c>
      <c r="C14434" s="84">
        <v>0.58</v>
      </c>
      <c r="D14434" s="84">
        <v>0.0</v>
      </c>
      <c r="E14434" s="84">
        <v>0.0</v>
      </c>
      <c r="F14434" s="76" t="s">
        <v>975</v>
      </c>
      <c r="G14434" s="83">
        <v>46124.0</v>
      </c>
      <c r="H14434" s="76" t="s">
        <v>972</v>
      </c>
    </row>
    <row r="14435">
      <c r="A14435" s="76" t="s">
        <v>970</v>
      </c>
      <c r="B14435" s="76" t="s">
        <v>1029</v>
      </c>
      <c r="C14435" s="84">
        <v>70.17</v>
      </c>
      <c r="D14435" s="84">
        <v>14.0</v>
      </c>
      <c r="E14435" s="84">
        <v>5.01</v>
      </c>
      <c r="F14435" s="76" t="s">
        <v>975</v>
      </c>
      <c r="G14435" s="83">
        <v>46124.0</v>
      </c>
      <c r="H14435" s="76" t="s">
        <v>973</v>
      </c>
    </row>
    <row r="14436">
      <c r="A14436" s="76" t="s">
        <v>966</v>
      </c>
      <c r="B14436" s="76" t="s">
        <v>1029</v>
      </c>
      <c r="C14436" s="84">
        <v>3.68</v>
      </c>
      <c r="D14436" s="84">
        <v>1.0</v>
      </c>
      <c r="E14436" s="84">
        <v>3.68</v>
      </c>
      <c r="F14436" s="76" t="s">
        <v>975</v>
      </c>
      <c r="G14436" s="83">
        <v>46124.0</v>
      </c>
      <c r="H14436" s="76" t="s">
        <v>967</v>
      </c>
    </row>
    <row r="14437">
      <c r="A14437" s="76" t="s">
        <v>966</v>
      </c>
      <c r="B14437" s="76" t="s">
        <v>1029</v>
      </c>
      <c r="C14437" s="84">
        <v>1.55</v>
      </c>
      <c r="D14437" s="84">
        <v>1.0</v>
      </c>
      <c r="E14437" s="84">
        <v>1.55</v>
      </c>
      <c r="F14437" s="76" t="s">
        <v>975</v>
      </c>
      <c r="G14437" s="83">
        <v>46124.0</v>
      </c>
      <c r="H14437" s="76" t="s">
        <v>968</v>
      </c>
    </row>
    <row r="14438">
      <c r="A14438" s="76" t="s">
        <v>966</v>
      </c>
      <c r="B14438" s="76" t="s">
        <v>1029</v>
      </c>
      <c r="C14438" s="84">
        <v>10.28</v>
      </c>
      <c r="D14438" s="84">
        <v>0.0</v>
      </c>
      <c r="E14438" s="84">
        <v>0.0</v>
      </c>
      <c r="F14438" s="76" t="s">
        <v>975</v>
      </c>
      <c r="G14438" s="83">
        <v>46124.0</v>
      </c>
      <c r="H14438" s="76" t="s">
        <v>969</v>
      </c>
    </row>
    <row r="14439">
      <c r="A14439" s="76" t="s">
        <v>33</v>
      </c>
      <c r="B14439" s="76" t="s">
        <v>1029</v>
      </c>
      <c r="C14439" s="84">
        <v>381.04</v>
      </c>
      <c r="D14439" s="84">
        <v>66.0</v>
      </c>
      <c r="E14439" s="84">
        <v>5.77</v>
      </c>
      <c r="F14439" s="76" t="s">
        <v>975</v>
      </c>
      <c r="G14439" s="83">
        <v>46124.0</v>
      </c>
      <c r="H14439" s="76" t="s">
        <v>957</v>
      </c>
    </row>
    <row r="14440">
      <c r="A14440" s="76" t="s">
        <v>33</v>
      </c>
      <c r="B14440" s="76" t="s">
        <v>1029</v>
      </c>
      <c r="C14440" s="84">
        <v>3.02</v>
      </c>
      <c r="D14440" s="84">
        <v>0.0</v>
      </c>
      <c r="E14440" s="84">
        <v>0.0</v>
      </c>
      <c r="F14440" s="76" t="s">
        <v>975</v>
      </c>
      <c r="G14440" s="83">
        <v>46124.0</v>
      </c>
      <c r="H14440" s="76" t="s">
        <v>958</v>
      </c>
    </row>
    <row r="14441">
      <c r="A14441" s="76" t="s">
        <v>33</v>
      </c>
      <c r="B14441" s="76" t="s">
        <v>1029</v>
      </c>
      <c r="C14441" s="84">
        <v>19.98</v>
      </c>
      <c r="D14441" s="84">
        <v>4.0</v>
      </c>
      <c r="E14441" s="84">
        <v>5.0</v>
      </c>
      <c r="F14441" s="76" t="s">
        <v>975</v>
      </c>
      <c r="G14441" s="83">
        <v>46124.0</v>
      </c>
      <c r="H14441" s="76" t="s">
        <v>959</v>
      </c>
    </row>
    <row r="14442">
      <c r="A14442" s="76" t="s">
        <v>42</v>
      </c>
      <c r="B14442" s="76" t="s">
        <v>1037</v>
      </c>
      <c r="C14442" s="84">
        <v>2.37</v>
      </c>
      <c r="D14442" s="84">
        <v>1.0</v>
      </c>
      <c r="E14442" s="84">
        <v>2.37</v>
      </c>
      <c r="F14442" s="76" t="s">
        <v>925</v>
      </c>
      <c r="G14442" s="83">
        <v>46124.0</v>
      </c>
      <c r="H14442" s="76" t="s">
        <v>991</v>
      </c>
    </row>
    <row r="14443">
      <c r="A14443" s="76" t="s">
        <v>42</v>
      </c>
      <c r="B14443" s="76" t="s">
        <v>1037</v>
      </c>
      <c r="C14443" s="84">
        <v>12.51</v>
      </c>
      <c r="D14443" s="84">
        <v>2.0</v>
      </c>
      <c r="E14443" s="84">
        <v>6.25</v>
      </c>
      <c r="F14443" s="76" t="s">
        <v>925</v>
      </c>
      <c r="G14443" s="83">
        <v>46124.0</v>
      </c>
      <c r="H14443" s="76" t="s">
        <v>935</v>
      </c>
    </row>
    <row r="14444">
      <c r="A14444" s="76" t="s">
        <v>36</v>
      </c>
      <c r="B14444" s="76" t="s">
        <v>1037</v>
      </c>
      <c r="C14444" s="84">
        <v>36.97</v>
      </c>
      <c r="D14444" s="84">
        <v>6.0</v>
      </c>
      <c r="E14444" s="84">
        <v>6.16</v>
      </c>
      <c r="F14444" s="76" t="s">
        <v>925</v>
      </c>
      <c r="G14444" s="83">
        <v>46124.0</v>
      </c>
      <c r="H14444" s="76" t="s">
        <v>926</v>
      </c>
    </row>
    <row r="14445">
      <c r="A14445" s="76" t="s">
        <v>36</v>
      </c>
      <c r="B14445" s="76" t="s">
        <v>1037</v>
      </c>
      <c r="C14445" s="84">
        <v>0.97</v>
      </c>
      <c r="D14445" s="84">
        <v>0.0</v>
      </c>
      <c r="E14445" s="84">
        <v>0.0</v>
      </c>
      <c r="F14445" s="76" t="s">
        <v>925</v>
      </c>
      <c r="G14445" s="83">
        <v>46124.0</v>
      </c>
      <c r="H14445" s="76" t="s">
        <v>927</v>
      </c>
    </row>
    <row r="14446">
      <c r="A14446" s="76" t="s">
        <v>36</v>
      </c>
      <c r="B14446" s="76" t="s">
        <v>1037</v>
      </c>
      <c r="C14446" s="84">
        <v>7.09</v>
      </c>
      <c r="D14446" s="84">
        <v>4.0</v>
      </c>
      <c r="E14446" s="84">
        <v>1.77</v>
      </c>
      <c r="F14446" s="76" t="s">
        <v>925</v>
      </c>
      <c r="G14446" s="83">
        <v>46124.0</v>
      </c>
      <c r="H14446" s="76" t="s">
        <v>928</v>
      </c>
    </row>
    <row r="14447">
      <c r="A14447" s="76" t="s">
        <v>32</v>
      </c>
      <c r="B14447" s="76" t="s">
        <v>1037</v>
      </c>
      <c r="C14447" s="84">
        <v>36.32</v>
      </c>
      <c r="D14447" s="84">
        <v>10.0</v>
      </c>
      <c r="E14447" s="84">
        <v>3.63</v>
      </c>
      <c r="F14447" s="76" t="s">
        <v>925</v>
      </c>
      <c r="G14447" s="83">
        <v>46124.0</v>
      </c>
      <c r="H14447" s="76" t="s">
        <v>941</v>
      </c>
    </row>
    <row r="14448">
      <c r="A14448" s="76" t="s">
        <v>32</v>
      </c>
      <c r="B14448" s="76" t="s">
        <v>1037</v>
      </c>
      <c r="C14448" s="84">
        <v>3.79</v>
      </c>
      <c r="D14448" s="84">
        <v>0.0</v>
      </c>
      <c r="E14448" s="84">
        <v>0.0</v>
      </c>
      <c r="F14448" s="76" t="s">
        <v>925</v>
      </c>
      <c r="G14448" s="83">
        <v>46124.0</v>
      </c>
      <c r="H14448" s="76" t="s">
        <v>942</v>
      </c>
    </row>
    <row r="14449">
      <c r="A14449" s="76" t="s">
        <v>32</v>
      </c>
      <c r="B14449" s="76" t="s">
        <v>1037</v>
      </c>
      <c r="C14449" s="84">
        <v>19.33</v>
      </c>
      <c r="D14449" s="84">
        <v>4.0</v>
      </c>
      <c r="E14449" s="84">
        <v>4.83</v>
      </c>
      <c r="F14449" s="76" t="s">
        <v>925</v>
      </c>
      <c r="G14449" s="83">
        <v>46124.0</v>
      </c>
      <c r="H14449" s="76" t="s">
        <v>943</v>
      </c>
    </row>
    <row r="14450">
      <c r="A14450" s="76" t="s">
        <v>944</v>
      </c>
      <c r="B14450" s="76" t="s">
        <v>1037</v>
      </c>
      <c r="C14450" s="84">
        <v>10.49</v>
      </c>
      <c r="D14450" s="84">
        <v>3.0</v>
      </c>
      <c r="E14450" s="84">
        <v>3.5</v>
      </c>
      <c r="F14450" s="76" t="s">
        <v>925</v>
      </c>
      <c r="G14450" s="83">
        <v>46124.0</v>
      </c>
      <c r="H14450" s="76" t="s">
        <v>945</v>
      </c>
    </row>
    <row r="14451">
      <c r="A14451" s="76" t="s">
        <v>944</v>
      </c>
      <c r="B14451" s="76" t="s">
        <v>1037</v>
      </c>
      <c r="C14451" s="84">
        <v>1.74</v>
      </c>
      <c r="D14451" s="84">
        <v>0.0</v>
      </c>
      <c r="E14451" s="84">
        <v>0.0</v>
      </c>
      <c r="F14451" s="76" t="s">
        <v>925</v>
      </c>
      <c r="G14451" s="83">
        <v>46124.0</v>
      </c>
      <c r="H14451" s="76" t="s">
        <v>946</v>
      </c>
    </row>
    <row r="14452">
      <c r="A14452" s="76" t="s">
        <v>944</v>
      </c>
      <c r="B14452" s="76" t="s">
        <v>1037</v>
      </c>
      <c r="C14452" s="84">
        <v>12.84</v>
      </c>
      <c r="D14452" s="84">
        <v>3.0</v>
      </c>
      <c r="E14452" s="84">
        <v>4.28</v>
      </c>
      <c r="F14452" s="76" t="s">
        <v>925</v>
      </c>
      <c r="G14452" s="83">
        <v>46124.0</v>
      </c>
      <c r="H14452" s="76" t="s">
        <v>947</v>
      </c>
    </row>
    <row r="14453">
      <c r="A14453" s="76" t="s">
        <v>31</v>
      </c>
      <c r="B14453" s="76" t="s">
        <v>1037</v>
      </c>
      <c r="C14453" s="84">
        <v>7.5</v>
      </c>
      <c r="D14453" s="84">
        <v>2.0</v>
      </c>
      <c r="E14453" s="84">
        <v>3.75</v>
      </c>
      <c r="F14453" s="76" t="s">
        <v>925</v>
      </c>
      <c r="G14453" s="83">
        <v>46124.0</v>
      </c>
      <c r="H14453" s="76" t="s">
        <v>929</v>
      </c>
    </row>
    <row r="14454">
      <c r="A14454" s="76" t="s">
        <v>31</v>
      </c>
      <c r="B14454" s="76" t="s">
        <v>1037</v>
      </c>
      <c r="C14454" s="84">
        <v>175.74</v>
      </c>
      <c r="D14454" s="84">
        <v>43.0</v>
      </c>
      <c r="E14454" s="84">
        <v>4.09</v>
      </c>
      <c r="F14454" s="76" t="s">
        <v>925</v>
      </c>
      <c r="G14454" s="83">
        <v>46124.0</v>
      </c>
      <c r="H14454" s="76" t="s">
        <v>930</v>
      </c>
    </row>
    <row r="14455">
      <c r="A14455" s="76" t="s">
        <v>45</v>
      </c>
      <c r="B14455" s="76" t="s">
        <v>1037</v>
      </c>
      <c r="C14455" s="84">
        <v>0.37</v>
      </c>
      <c r="D14455" s="84">
        <v>0.0</v>
      </c>
      <c r="E14455" s="84">
        <v>0.0</v>
      </c>
      <c r="F14455" s="76" t="s">
        <v>925</v>
      </c>
      <c r="G14455" s="83">
        <v>46124.0</v>
      </c>
      <c r="H14455" s="76" t="s">
        <v>936</v>
      </c>
    </row>
    <row r="14456">
      <c r="A14456" s="76" t="s">
        <v>45</v>
      </c>
      <c r="B14456" s="76" t="s">
        <v>1037</v>
      </c>
      <c r="C14456" s="84">
        <v>2.34</v>
      </c>
      <c r="D14456" s="84">
        <v>0.0</v>
      </c>
      <c r="E14456" s="84">
        <v>0.0</v>
      </c>
      <c r="F14456" s="76" t="s">
        <v>925</v>
      </c>
      <c r="G14456" s="83">
        <v>46124.0</v>
      </c>
      <c r="H14456" s="76" t="s">
        <v>937</v>
      </c>
    </row>
    <row r="14457">
      <c r="A14457" s="76" t="s">
        <v>45</v>
      </c>
      <c r="B14457" s="76" t="s">
        <v>1037</v>
      </c>
      <c r="C14457" s="84">
        <v>2.7</v>
      </c>
      <c r="D14457" s="84">
        <v>2.0</v>
      </c>
      <c r="E14457" s="84">
        <v>1.35</v>
      </c>
      <c r="F14457" s="76" t="s">
        <v>925</v>
      </c>
      <c r="G14457" s="83">
        <v>46124.0</v>
      </c>
      <c r="H14457" s="76" t="s">
        <v>938</v>
      </c>
    </row>
    <row r="14458">
      <c r="A14458" s="76" t="s">
        <v>26</v>
      </c>
      <c r="B14458" s="76" t="s">
        <v>1037</v>
      </c>
      <c r="C14458" s="84">
        <v>1.17</v>
      </c>
      <c r="D14458" s="84">
        <v>0.0</v>
      </c>
      <c r="E14458" s="84">
        <v>0.0</v>
      </c>
      <c r="F14458" s="76" t="s">
        <v>925</v>
      </c>
      <c r="G14458" s="83">
        <v>46124.0</v>
      </c>
      <c r="H14458" s="76" t="s">
        <v>1012</v>
      </c>
    </row>
    <row r="14459">
      <c r="A14459" s="76" t="s">
        <v>26</v>
      </c>
      <c r="B14459" s="76" t="s">
        <v>1037</v>
      </c>
      <c r="C14459" s="84">
        <v>3.34</v>
      </c>
      <c r="D14459" s="84">
        <v>1.0</v>
      </c>
      <c r="E14459" s="84">
        <v>3.34</v>
      </c>
      <c r="F14459" s="76" t="s">
        <v>925</v>
      </c>
      <c r="G14459" s="83">
        <v>46124.0</v>
      </c>
      <c r="H14459" s="76" t="s">
        <v>1013</v>
      </c>
    </row>
    <row r="14460">
      <c r="A14460" s="76" t="s">
        <v>26</v>
      </c>
      <c r="B14460" s="76" t="s">
        <v>1037</v>
      </c>
      <c r="C14460" s="84">
        <v>46.12</v>
      </c>
      <c r="D14460" s="84">
        <v>10.0</v>
      </c>
      <c r="E14460" s="84">
        <v>4.61</v>
      </c>
      <c r="F14460" s="76" t="s">
        <v>925</v>
      </c>
      <c r="G14460" s="83">
        <v>46124.0</v>
      </c>
      <c r="H14460" s="76" t="s">
        <v>1014</v>
      </c>
    </row>
    <row r="14461">
      <c r="A14461" s="76" t="s">
        <v>28</v>
      </c>
      <c r="B14461" s="76" t="s">
        <v>1037</v>
      </c>
      <c r="C14461" s="84">
        <v>1.75</v>
      </c>
      <c r="D14461" s="84">
        <v>0.0</v>
      </c>
      <c r="E14461" s="84">
        <v>0.0</v>
      </c>
      <c r="F14461" s="76" t="s">
        <v>925</v>
      </c>
      <c r="G14461" s="83">
        <v>46124.0</v>
      </c>
      <c r="H14461" s="76" t="s">
        <v>931</v>
      </c>
    </row>
    <row r="14462">
      <c r="A14462" s="76" t="s">
        <v>28</v>
      </c>
      <c r="B14462" s="76" t="s">
        <v>1037</v>
      </c>
      <c r="C14462" s="84">
        <v>0.92</v>
      </c>
      <c r="D14462" s="84">
        <v>0.0</v>
      </c>
      <c r="E14462" s="84">
        <v>0.0</v>
      </c>
      <c r="F14462" s="76" t="s">
        <v>925</v>
      </c>
      <c r="G14462" s="83">
        <v>46124.0</v>
      </c>
      <c r="H14462" s="76" t="s">
        <v>932</v>
      </c>
    </row>
    <row r="14463">
      <c r="A14463" s="76" t="s">
        <v>28</v>
      </c>
      <c r="B14463" s="76" t="s">
        <v>1037</v>
      </c>
      <c r="C14463" s="84">
        <v>41.96</v>
      </c>
      <c r="D14463" s="84">
        <v>10.0</v>
      </c>
      <c r="E14463" s="84">
        <v>4.2</v>
      </c>
      <c r="F14463" s="76" t="s">
        <v>925</v>
      </c>
      <c r="G14463" s="83">
        <v>46124.0</v>
      </c>
      <c r="H14463" s="76" t="s">
        <v>933</v>
      </c>
    </row>
    <row r="14464">
      <c r="A14464" s="76" t="s">
        <v>31</v>
      </c>
      <c r="B14464" s="76" t="s">
        <v>1037</v>
      </c>
      <c r="C14464" s="84">
        <v>5.97</v>
      </c>
      <c r="D14464" s="84">
        <v>2.0</v>
      </c>
      <c r="E14464" s="84">
        <v>2.99</v>
      </c>
      <c r="F14464" s="76" t="s">
        <v>948</v>
      </c>
      <c r="G14464" s="83">
        <v>46124.0</v>
      </c>
      <c r="H14464" s="76" t="s">
        <v>929</v>
      </c>
    </row>
    <row r="14465">
      <c r="A14465" s="76" t="s">
        <v>31</v>
      </c>
      <c r="B14465" s="76" t="s">
        <v>1037</v>
      </c>
      <c r="C14465" s="84">
        <v>160.43</v>
      </c>
      <c r="D14465" s="84">
        <v>38.0</v>
      </c>
      <c r="E14465" s="84">
        <v>4.22</v>
      </c>
      <c r="F14465" s="76" t="s">
        <v>948</v>
      </c>
      <c r="G14465" s="83">
        <v>46124.0</v>
      </c>
      <c r="H14465" s="76" t="s">
        <v>930</v>
      </c>
    </row>
    <row r="14466">
      <c r="A14466" s="76" t="s">
        <v>944</v>
      </c>
      <c r="B14466" s="76" t="s">
        <v>1037</v>
      </c>
      <c r="C14466" s="84">
        <v>6.21</v>
      </c>
      <c r="D14466" s="84">
        <v>0.0</v>
      </c>
      <c r="E14466" s="84">
        <v>0.0</v>
      </c>
      <c r="F14466" s="76" t="s">
        <v>948</v>
      </c>
      <c r="G14466" s="83">
        <v>46124.0</v>
      </c>
      <c r="H14466" s="76" t="s">
        <v>945</v>
      </c>
    </row>
    <row r="14467">
      <c r="A14467" s="76" t="s">
        <v>944</v>
      </c>
      <c r="B14467" s="76" t="s">
        <v>1037</v>
      </c>
      <c r="C14467" s="84">
        <v>1.25</v>
      </c>
      <c r="D14467" s="84">
        <v>0.0</v>
      </c>
      <c r="E14467" s="84">
        <v>0.0</v>
      </c>
      <c r="F14467" s="76" t="s">
        <v>948</v>
      </c>
      <c r="G14467" s="83">
        <v>46124.0</v>
      </c>
      <c r="H14467" s="76" t="s">
        <v>946</v>
      </c>
    </row>
    <row r="14468">
      <c r="A14468" s="76" t="s">
        <v>944</v>
      </c>
      <c r="B14468" s="76" t="s">
        <v>1037</v>
      </c>
      <c r="C14468" s="84">
        <v>6.98</v>
      </c>
      <c r="D14468" s="84">
        <v>1.0</v>
      </c>
      <c r="E14468" s="84">
        <v>6.98</v>
      </c>
      <c r="F14468" s="76" t="s">
        <v>948</v>
      </c>
      <c r="G14468" s="83">
        <v>46124.0</v>
      </c>
      <c r="H14468" s="76" t="s">
        <v>947</v>
      </c>
    </row>
    <row r="14469">
      <c r="A14469" s="76" t="s">
        <v>32</v>
      </c>
      <c r="B14469" s="76" t="s">
        <v>1037</v>
      </c>
      <c r="C14469" s="84">
        <v>15.81</v>
      </c>
      <c r="D14469" s="84">
        <v>2.0</v>
      </c>
      <c r="E14469" s="84">
        <v>7.9</v>
      </c>
      <c r="F14469" s="76" t="s">
        <v>948</v>
      </c>
      <c r="G14469" s="83">
        <v>46124.0</v>
      </c>
      <c r="H14469" s="76" t="s">
        <v>941</v>
      </c>
    </row>
    <row r="14470">
      <c r="A14470" s="76" t="s">
        <v>32</v>
      </c>
      <c r="B14470" s="76" t="s">
        <v>1037</v>
      </c>
      <c r="C14470" s="84">
        <v>3.06</v>
      </c>
      <c r="D14470" s="84">
        <v>0.0</v>
      </c>
      <c r="E14470" s="84">
        <v>0.0</v>
      </c>
      <c r="F14470" s="76" t="s">
        <v>948</v>
      </c>
      <c r="G14470" s="83">
        <v>46124.0</v>
      </c>
      <c r="H14470" s="76" t="s">
        <v>942</v>
      </c>
    </row>
    <row r="14471">
      <c r="A14471" s="76" t="s">
        <v>32</v>
      </c>
      <c r="B14471" s="76" t="s">
        <v>1037</v>
      </c>
      <c r="C14471" s="84">
        <v>21.58</v>
      </c>
      <c r="D14471" s="84">
        <v>2.0</v>
      </c>
      <c r="E14471" s="84">
        <v>10.79</v>
      </c>
      <c r="F14471" s="76" t="s">
        <v>948</v>
      </c>
      <c r="G14471" s="83">
        <v>46124.0</v>
      </c>
      <c r="H14471" s="76" t="s">
        <v>943</v>
      </c>
    </row>
    <row r="14472">
      <c r="A14472" s="76" t="s">
        <v>26</v>
      </c>
      <c r="B14472" s="76" t="s">
        <v>1037</v>
      </c>
      <c r="C14472" s="84">
        <v>0.81</v>
      </c>
      <c r="D14472" s="84">
        <v>0.0</v>
      </c>
      <c r="E14472" s="84">
        <v>0.0</v>
      </c>
      <c r="F14472" s="76" t="s">
        <v>948</v>
      </c>
      <c r="G14472" s="83">
        <v>46124.0</v>
      </c>
      <c r="H14472" s="76" t="s">
        <v>1012</v>
      </c>
    </row>
    <row r="14473">
      <c r="A14473" s="76" t="s">
        <v>26</v>
      </c>
      <c r="B14473" s="76" t="s">
        <v>1037</v>
      </c>
      <c r="C14473" s="84">
        <v>2.11</v>
      </c>
      <c r="D14473" s="84">
        <v>0.0</v>
      </c>
      <c r="E14473" s="84">
        <v>0.0</v>
      </c>
      <c r="F14473" s="76" t="s">
        <v>948</v>
      </c>
      <c r="G14473" s="83">
        <v>46124.0</v>
      </c>
      <c r="H14473" s="76" t="s">
        <v>1013</v>
      </c>
    </row>
    <row r="14474">
      <c r="A14474" s="76" t="s">
        <v>26</v>
      </c>
      <c r="B14474" s="76" t="s">
        <v>1037</v>
      </c>
      <c r="C14474" s="84">
        <v>41.04</v>
      </c>
      <c r="D14474" s="84">
        <v>3.0</v>
      </c>
      <c r="E14474" s="84">
        <v>13.68</v>
      </c>
      <c r="F14474" s="76" t="s">
        <v>948</v>
      </c>
      <c r="G14474" s="83">
        <v>46124.0</v>
      </c>
      <c r="H14474" s="76" t="s">
        <v>1014</v>
      </c>
    </row>
    <row r="14475">
      <c r="A14475" s="76" t="s">
        <v>36</v>
      </c>
      <c r="B14475" s="76" t="s">
        <v>1037</v>
      </c>
      <c r="C14475" s="84">
        <v>92.8</v>
      </c>
      <c r="D14475" s="84">
        <v>28.0</v>
      </c>
      <c r="E14475" s="84">
        <v>3.31</v>
      </c>
      <c r="F14475" s="76" t="s">
        <v>948</v>
      </c>
      <c r="G14475" s="83">
        <v>46124.0</v>
      </c>
      <c r="H14475" s="76" t="s">
        <v>926</v>
      </c>
    </row>
    <row r="14476">
      <c r="A14476" s="76" t="s">
        <v>36</v>
      </c>
      <c r="B14476" s="76" t="s">
        <v>1037</v>
      </c>
      <c r="C14476" s="84">
        <v>2.26</v>
      </c>
      <c r="D14476" s="84">
        <v>0.0</v>
      </c>
      <c r="E14476" s="84">
        <v>0.0</v>
      </c>
      <c r="F14476" s="76" t="s">
        <v>948</v>
      </c>
      <c r="G14476" s="83">
        <v>46124.0</v>
      </c>
      <c r="H14476" s="76" t="s">
        <v>927</v>
      </c>
    </row>
    <row r="14477">
      <c r="A14477" s="76" t="s">
        <v>36</v>
      </c>
      <c r="B14477" s="76" t="s">
        <v>1037</v>
      </c>
      <c r="C14477" s="84">
        <v>71.18</v>
      </c>
      <c r="D14477" s="84">
        <v>20.0</v>
      </c>
      <c r="E14477" s="84">
        <v>3.56</v>
      </c>
      <c r="F14477" s="76" t="s">
        <v>948</v>
      </c>
      <c r="G14477" s="83">
        <v>46124.0</v>
      </c>
      <c r="H14477" s="76" t="s">
        <v>928</v>
      </c>
    </row>
    <row r="14478">
      <c r="A14478" s="76" t="s">
        <v>28</v>
      </c>
      <c r="B14478" s="76" t="s">
        <v>1037</v>
      </c>
      <c r="C14478" s="84">
        <v>0.67</v>
      </c>
      <c r="D14478" s="84">
        <v>0.0</v>
      </c>
      <c r="E14478" s="84">
        <v>0.0</v>
      </c>
      <c r="F14478" s="76" t="s">
        <v>948</v>
      </c>
      <c r="G14478" s="83">
        <v>46124.0</v>
      </c>
      <c r="H14478" s="76" t="s">
        <v>931</v>
      </c>
    </row>
    <row r="14479">
      <c r="A14479" s="76" t="s">
        <v>28</v>
      </c>
      <c r="B14479" s="76" t="s">
        <v>1037</v>
      </c>
      <c r="C14479" s="84">
        <v>0.51</v>
      </c>
      <c r="D14479" s="84">
        <v>0.0</v>
      </c>
      <c r="E14479" s="84">
        <v>0.0</v>
      </c>
      <c r="F14479" s="76" t="s">
        <v>948</v>
      </c>
      <c r="G14479" s="83">
        <v>46124.0</v>
      </c>
      <c r="H14479" s="76" t="s">
        <v>932</v>
      </c>
    </row>
    <row r="14480">
      <c r="A14480" s="76" t="s">
        <v>28</v>
      </c>
      <c r="B14480" s="76" t="s">
        <v>1037</v>
      </c>
      <c r="C14480" s="84">
        <v>43.7</v>
      </c>
      <c r="D14480" s="84">
        <v>10.0</v>
      </c>
      <c r="E14480" s="84">
        <v>4.37</v>
      </c>
      <c r="F14480" s="76" t="s">
        <v>948</v>
      </c>
      <c r="G14480" s="83">
        <v>46124.0</v>
      </c>
      <c r="H14480" s="76" t="s">
        <v>933</v>
      </c>
    </row>
    <row r="14481">
      <c r="A14481" s="76" t="s">
        <v>45</v>
      </c>
      <c r="B14481" s="76" t="s">
        <v>1037</v>
      </c>
      <c r="C14481" s="84">
        <v>0.15</v>
      </c>
      <c r="D14481" s="84">
        <v>0.0</v>
      </c>
      <c r="E14481" s="84">
        <v>0.0</v>
      </c>
      <c r="F14481" s="76" t="s">
        <v>948</v>
      </c>
      <c r="G14481" s="83">
        <v>46124.0</v>
      </c>
      <c r="H14481" s="76" t="s">
        <v>936</v>
      </c>
    </row>
    <row r="14482">
      <c r="A14482" s="76" t="s">
        <v>45</v>
      </c>
      <c r="B14482" s="76" t="s">
        <v>1037</v>
      </c>
      <c r="C14482" s="84">
        <v>0.73</v>
      </c>
      <c r="D14482" s="84">
        <v>0.0</v>
      </c>
      <c r="E14482" s="84">
        <v>0.0</v>
      </c>
      <c r="F14482" s="76" t="s">
        <v>948</v>
      </c>
      <c r="G14482" s="83">
        <v>46124.0</v>
      </c>
      <c r="H14482" s="76" t="s">
        <v>937</v>
      </c>
    </row>
    <row r="14483">
      <c r="A14483" s="76" t="s">
        <v>45</v>
      </c>
      <c r="B14483" s="76" t="s">
        <v>1037</v>
      </c>
      <c r="C14483" s="84">
        <v>1.07</v>
      </c>
      <c r="D14483" s="84">
        <v>0.0</v>
      </c>
      <c r="E14483" s="84">
        <v>0.0</v>
      </c>
      <c r="F14483" s="76" t="s">
        <v>948</v>
      </c>
      <c r="G14483" s="83">
        <v>46124.0</v>
      </c>
      <c r="H14483" s="76" t="s">
        <v>938</v>
      </c>
    </row>
    <row r="14484">
      <c r="A14484" s="76" t="s">
        <v>42</v>
      </c>
      <c r="B14484" s="76" t="s">
        <v>1037</v>
      </c>
      <c r="C14484" s="84">
        <v>0.49</v>
      </c>
      <c r="D14484" s="84">
        <v>0.0</v>
      </c>
      <c r="E14484" s="84">
        <v>0.0</v>
      </c>
      <c r="F14484" s="76" t="s">
        <v>948</v>
      </c>
      <c r="G14484" s="83">
        <v>46124.0</v>
      </c>
      <c r="H14484" s="76" t="s">
        <v>991</v>
      </c>
    </row>
    <row r="14485">
      <c r="A14485" s="76" t="s">
        <v>42</v>
      </c>
      <c r="B14485" s="76" t="s">
        <v>1037</v>
      </c>
      <c r="C14485" s="84">
        <v>5.98</v>
      </c>
      <c r="D14485" s="84">
        <v>1.0</v>
      </c>
      <c r="E14485" s="84">
        <v>5.98</v>
      </c>
      <c r="F14485" s="76" t="s">
        <v>948</v>
      </c>
      <c r="G14485" s="83">
        <v>46124.0</v>
      </c>
      <c r="H14485" s="76" t="s">
        <v>935</v>
      </c>
    </row>
    <row r="14486">
      <c r="A14486" s="76" t="s">
        <v>45</v>
      </c>
      <c r="B14486" s="76" t="s">
        <v>1038</v>
      </c>
      <c r="C14486" s="84">
        <v>0.45</v>
      </c>
      <c r="D14486" s="84">
        <v>0.0</v>
      </c>
      <c r="E14486" s="84">
        <v>0.0</v>
      </c>
      <c r="F14486" s="76" t="s">
        <v>975</v>
      </c>
      <c r="G14486" s="83">
        <v>46124.0</v>
      </c>
      <c r="H14486" s="76" t="s">
        <v>936</v>
      </c>
    </row>
    <row r="14487">
      <c r="A14487" s="76" t="s">
        <v>45</v>
      </c>
      <c r="B14487" s="76" t="s">
        <v>1038</v>
      </c>
      <c r="C14487" s="84">
        <v>4.7</v>
      </c>
      <c r="D14487" s="84">
        <v>0.0</v>
      </c>
      <c r="E14487" s="84">
        <v>0.0</v>
      </c>
      <c r="F14487" s="76" t="s">
        <v>975</v>
      </c>
      <c r="G14487" s="83">
        <v>46124.0</v>
      </c>
      <c r="H14487" s="76" t="s">
        <v>937</v>
      </c>
    </row>
    <row r="14488">
      <c r="A14488" s="76" t="s">
        <v>45</v>
      </c>
      <c r="B14488" s="76" t="s">
        <v>1038</v>
      </c>
      <c r="C14488" s="84">
        <v>0.86</v>
      </c>
      <c r="D14488" s="84">
        <v>1.0</v>
      </c>
      <c r="E14488" s="84">
        <v>0.86</v>
      </c>
      <c r="F14488" s="76" t="s">
        <v>975</v>
      </c>
      <c r="G14488" s="83">
        <v>46124.0</v>
      </c>
      <c r="H14488" s="76" t="s">
        <v>938</v>
      </c>
    </row>
    <row r="14489">
      <c r="A14489" s="76" t="s">
        <v>36</v>
      </c>
      <c r="B14489" s="76" t="s">
        <v>1038</v>
      </c>
      <c r="C14489" s="84">
        <v>7.99</v>
      </c>
      <c r="D14489" s="84">
        <v>1.0</v>
      </c>
      <c r="E14489" s="84">
        <v>7.99</v>
      </c>
      <c r="F14489" s="76" t="s">
        <v>975</v>
      </c>
      <c r="G14489" s="83">
        <v>46124.0</v>
      </c>
      <c r="H14489" s="76" t="s">
        <v>926</v>
      </c>
    </row>
    <row r="14490">
      <c r="A14490" s="76" t="s">
        <v>36</v>
      </c>
      <c r="B14490" s="76" t="s">
        <v>1038</v>
      </c>
      <c r="C14490" s="84">
        <v>1.2</v>
      </c>
      <c r="D14490" s="84">
        <v>0.0</v>
      </c>
      <c r="E14490" s="84">
        <v>0.0</v>
      </c>
      <c r="F14490" s="76" t="s">
        <v>975</v>
      </c>
      <c r="G14490" s="83">
        <v>46124.0</v>
      </c>
      <c r="H14490" s="76" t="s">
        <v>927</v>
      </c>
    </row>
    <row r="14491">
      <c r="A14491" s="76" t="s">
        <v>36</v>
      </c>
      <c r="B14491" s="76" t="s">
        <v>1038</v>
      </c>
      <c r="C14491" s="84">
        <v>5.87</v>
      </c>
      <c r="D14491" s="84">
        <v>0.0</v>
      </c>
      <c r="E14491" s="84">
        <v>0.0</v>
      </c>
      <c r="F14491" s="76" t="s">
        <v>975</v>
      </c>
      <c r="G14491" s="83">
        <v>46124.0</v>
      </c>
      <c r="H14491" s="76" t="s">
        <v>928</v>
      </c>
    </row>
    <row r="14492">
      <c r="A14492" s="76" t="s">
        <v>50</v>
      </c>
      <c r="B14492" s="76" t="s">
        <v>1038</v>
      </c>
      <c r="C14492" s="84">
        <v>6.25</v>
      </c>
      <c r="D14492" s="84">
        <v>1.0</v>
      </c>
      <c r="E14492" s="84">
        <v>6.25</v>
      </c>
      <c r="F14492" s="76" t="s">
        <v>975</v>
      </c>
      <c r="G14492" s="83">
        <v>46124.0</v>
      </c>
      <c r="H14492" s="76" t="s">
        <v>939</v>
      </c>
    </row>
    <row r="14493">
      <c r="A14493" s="76" t="s">
        <v>50</v>
      </c>
      <c r="B14493" s="76" t="s">
        <v>1038</v>
      </c>
      <c r="C14493" s="84">
        <v>1.17</v>
      </c>
      <c r="D14493" s="84">
        <v>1.0</v>
      </c>
      <c r="E14493" s="84">
        <v>1.17</v>
      </c>
      <c r="F14493" s="76" t="s">
        <v>975</v>
      </c>
      <c r="G14493" s="83">
        <v>46124.0</v>
      </c>
      <c r="H14493" s="76" t="s">
        <v>940</v>
      </c>
    </row>
    <row r="14494">
      <c r="A14494" s="76" t="s">
        <v>944</v>
      </c>
      <c r="B14494" s="76" t="s">
        <v>1038</v>
      </c>
      <c r="C14494" s="84">
        <v>21.81</v>
      </c>
      <c r="D14494" s="84">
        <v>5.0</v>
      </c>
      <c r="E14494" s="84">
        <v>4.36</v>
      </c>
      <c r="F14494" s="76" t="s">
        <v>975</v>
      </c>
      <c r="G14494" s="83">
        <v>46124.0</v>
      </c>
      <c r="H14494" s="76" t="s">
        <v>945</v>
      </c>
    </row>
    <row r="14495">
      <c r="A14495" s="76" t="s">
        <v>944</v>
      </c>
      <c r="B14495" s="76" t="s">
        <v>1038</v>
      </c>
      <c r="C14495" s="84">
        <v>3.05</v>
      </c>
      <c r="D14495" s="84">
        <v>4.0</v>
      </c>
      <c r="E14495" s="84">
        <v>0.76</v>
      </c>
      <c r="F14495" s="76" t="s">
        <v>975</v>
      </c>
      <c r="G14495" s="83">
        <v>46124.0</v>
      </c>
      <c r="H14495" s="76" t="s">
        <v>946</v>
      </c>
    </row>
    <row r="14496">
      <c r="A14496" s="76" t="s">
        <v>944</v>
      </c>
      <c r="B14496" s="76" t="s">
        <v>1038</v>
      </c>
      <c r="C14496" s="84">
        <v>16.06</v>
      </c>
      <c r="D14496" s="84">
        <v>1.0</v>
      </c>
      <c r="E14496" s="84">
        <v>16.06</v>
      </c>
      <c r="F14496" s="76" t="s">
        <v>975</v>
      </c>
      <c r="G14496" s="83">
        <v>46124.0</v>
      </c>
      <c r="H14496" s="76" t="s">
        <v>947</v>
      </c>
    </row>
    <row r="14497">
      <c r="A14497" s="76" t="s">
        <v>26</v>
      </c>
      <c r="B14497" s="76" t="s">
        <v>1038</v>
      </c>
      <c r="C14497" s="84">
        <v>1.32</v>
      </c>
      <c r="D14497" s="84">
        <v>0.0</v>
      </c>
      <c r="E14497" s="84">
        <v>0.0</v>
      </c>
      <c r="F14497" s="76" t="s">
        <v>975</v>
      </c>
      <c r="G14497" s="83">
        <v>46124.0</v>
      </c>
      <c r="H14497" s="76" t="s">
        <v>1012</v>
      </c>
    </row>
    <row r="14498">
      <c r="A14498" s="76" t="s">
        <v>26</v>
      </c>
      <c r="B14498" s="76" t="s">
        <v>1038</v>
      </c>
      <c r="C14498" s="84">
        <v>0.75</v>
      </c>
      <c r="D14498" s="84">
        <v>0.0</v>
      </c>
      <c r="E14498" s="84">
        <v>0.0</v>
      </c>
      <c r="F14498" s="76" t="s">
        <v>975</v>
      </c>
      <c r="G14498" s="83">
        <v>46124.0</v>
      </c>
      <c r="H14498" s="76" t="s">
        <v>1013</v>
      </c>
    </row>
    <row r="14499">
      <c r="A14499" s="76" t="s">
        <v>26</v>
      </c>
      <c r="B14499" s="76" t="s">
        <v>1038</v>
      </c>
      <c r="C14499" s="84">
        <v>51.21</v>
      </c>
      <c r="D14499" s="84">
        <v>13.0</v>
      </c>
      <c r="E14499" s="84">
        <v>3.94</v>
      </c>
      <c r="F14499" s="76" t="s">
        <v>975</v>
      </c>
      <c r="G14499" s="83">
        <v>46124.0</v>
      </c>
      <c r="H14499" s="76" t="s">
        <v>1014</v>
      </c>
    </row>
    <row r="14500">
      <c r="A14500" s="76" t="s">
        <v>32</v>
      </c>
      <c r="B14500" s="76" t="s">
        <v>1038</v>
      </c>
      <c r="C14500" s="84">
        <v>117.38</v>
      </c>
      <c r="D14500" s="84">
        <v>22.0</v>
      </c>
      <c r="E14500" s="84">
        <v>5.34</v>
      </c>
      <c r="F14500" s="76" t="s">
        <v>975</v>
      </c>
      <c r="G14500" s="83">
        <v>46124.0</v>
      </c>
      <c r="H14500" s="76" t="s">
        <v>941</v>
      </c>
    </row>
    <row r="14501">
      <c r="A14501" s="76" t="s">
        <v>32</v>
      </c>
      <c r="B14501" s="76" t="s">
        <v>1038</v>
      </c>
      <c r="C14501" s="84">
        <v>4.74</v>
      </c>
      <c r="D14501" s="84">
        <v>2.0</v>
      </c>
      <c r="E14501" s="84">
        <v>2.37</v>
      </c>
      <c r="F14501" s="76" t="s">
        <v>975</v>
      </c>
      <c r="G14501" s="83">
        <v>46124.0</v>
      </c>
      <c r="H14501" s="76" t="s">
        <v>942</v>
      </c>
    </row>
    <row r="14502">
      <c r="A14502" s="76" t="s">
        <v>32</v>
      </c>
      <c r="B14502" s="76" t="s">
        <v>1038</v>
      </c>
      <c r="C14502" s="84">
        <v>10.07</v>
      </c>
      <c r="D14502" s="84">
        <v>2.0</v>
      </c>
      <c r="E14502" s="84">
        <v>5.03</v>
      </c>
      <c r="F14502" s="76" t="s">
        <v>975</v>
      </c>
      <c r="G14502" s="83">
        <v>46124.0</v>
      </c>
      <c r="H14502" s="76" t="s">
        <v>943</v>
      </c>
    </row>
    <row r="14503">
      <c r="A14503" s="76" t="s">
        <v>42</v>
      </c>
      <c r="B14503" s="76" t="s">
        <v>1038</v>
      </c>
      <c r="C14503" s="84">
        <v>3.01</v>
      </c>
      <c r="D14503" s="84">
        <v>1.0</v>
      </c>
      <c r="E14503" s="84">
        <v>3.01</v>
      </c>
      <c r="F14503" s="76" t="s">
        <v>975</v>
      </c>
      <c r="G14503" s="83">
        <v>46124.0</v>
      </c>
      <c r="H14503" s="76" t="s">
        <v>991</v>
      </c>
    </row>
    <row r="14504">
      <c r="A14504" s="76" t="s">
        <v>42</v>
      </c>
      <c r="B14504" s="76" t="s">
        <v>1038</v>
      </c>
      <c r="C14504" s="84">
        <v>2.28</v>
      </c>
      <c r="D14504" s="84">
        <v>1.0</v>
      </c>
      <c r="E14504" s="84">
        <v>2.28</v>
      </c>
      <c r="F14504" s="76" t="s">
        <v>975</v>
      </c>
      <c r="G14504" s="83">
        <v>46124.0</v>
      </c>
      <c r="H14504" s="76" t="s">
        <v>935</v>
      </c>
    </row>
    <row r="14505">
      <c r="A14505" s="76" t="s">
        <v>31</v>
      </c>
      <c r="B14505" s="76" t="s">
        <v>1038</v>
      </c>
      <c r="C14505" s="84">
        <v>12.19</v>
      </c>
      <c r="D14505" s="84">
        <v>6.0</v>
      </c>
      <c r="E14505" s="84">
        <v>2.03</v>
      </c>
      <c r="F14505" s="76" t="s">
        <v>975</v>
      </c>
      <c r="G14505" s="83">
        <v>46124.0</v>
      </c>
      <c r="H14505" s="76" t="s">
        <v>929</v>
      </c>
    </row>
    <row r="14506">
      <c r="A14506" s="76" t="s">
        <v>31</v>
      </c>
      <c r="B14506" s="76" t="s">
        <v>1038</v>
      </c>
      <c r="C14506" s="84">
        <v>215.85</v>
      </c>
      <c r="D14506" s="84">
        <v>48.0</v>
      </c>
      <c r="E14506" s="84">
        <v>4.5</v>
      </c>
      <c r="F14506" s="76" t="s">
        <v>975</v>
      </c>
      <c r="G14506" s="83">
        <v>46124.0</v>
      </c>
      <c r="H14506" s="76" t="s">
        <v>930</v>
      </c>
    </row>
    <row r="14507">
      <c r="A14507" s="76" t="s">
        <v>28</v>
      </c>
      <c r="B14507" s="76" t="s">
        <v>1038</v>
      </c>
      <c r="C14507" s="84">
        <v>1.45</v>
      </c>
      <c r="D14507" s="84">
        <v>0.0</v>
      </c>
      <c r="E14507" s="84">
        <v>0.0</v>
      </c>
      <c r="F14507" s="76" t="s">
        <v>975</v>
      </c>
      <c r="G14507" s="83">
        <v>46124.0</v>
      </c>
      <c r="H14507" s="76" t="s">
        <v>931</v>
      </c>
    </row>
    <row r="14508">
      <c r="A14508" s="76" t="s">
        <v>28</v>
      </c>
      <c r="B14508" s="76" t="s">
        <v>1038</v>
      </c>
      <c r="C14508" s="84">
        <v>2.16</v>
      </c>
      <c r="D14508" s="84">
        <v>0.0</v>
      </c>
      <c r="E14508" s="84">
        <v>0.0</v>
      </c>
      <c r="F14508" s="76" t="s">
        <v>975</v>
      </c>
      <c r="G14508" s="83">
        <v>46124.0</v>
      </c>
      <c r="H14508" s="76" t="s">
        <v>932</v>
      </c>
    </row>
    <row r="14509">
      <c r="A14509" s="76" t="s">
        <v>28</v>
      </c>
      <c r="B14509" s="76" t="s">
        <v>1038</v>
      </c>
      <c r="C14509" s="84">
        <v>20.78</v>
      </c>
      <c r="D14509" s="84">
        <v>2.0</v>
      </c>
      <c r="E14509" s="84">
        <v>10.39</v>
      </c>
      <c r="F14509" s="76" t="s">
        <v>975</v>
      </c>
      <c r="G14509" s="83">
        <v>46124.0</v>
      </c>
      <c r="H14509" s="76" t="s">
        <v>933</v>
      </c>
    </row>
    <row r="14510">
      <c r="A14510" s="76" t="s">
        <v>45</v>
      </c>
      <c r="B14510" s="76" t="s">
        <v>1038</v>
      </c>
      <c r="C14510" s="84">
        <v>0.02</v>
      </c>
      <c r="D14510" s="84">
        <v>0.0</v>
      </c>
      <c r="E14510" s="84">
        <v>0.0</v>
      </c>
      <c r="F14510" s="76" t="s">
        <v>950</v>
      </c>
      <c r="G14510" s="83">
        <v>46124.0</v>
      </c>
      <c r="H14510" s="76" t="s">
        <v>936</v>
      </c>
    </row>
    <row r="14511">
      <c r="A14511" s="76" t="s">
        <v>45</v>
      </c>
      <c r="B14511" s="76" t="s">
        <v>1038</v>
      </c>
      <c r="C14511" s="84">
        <v>1.36</v>
      </c>
      <c r="D14511" s="84">
        <v>0.0</v>
      </c>
      <c r="E14511" s="84">
        <v>0.0</v>
      </c>
      <c r="F14511" s="76" t="s">
        <v>950</v>
      </c>
      <c r="G14511" s="83">
        <v>46124.0</v>
      </c>
      <c r="H14511" s="76" t="s">
        <v>937</v>
      </c>
    </row>
    <row r="14512">
      <c r="A14512" s="76" t="s">
        <v>45</v>
      </c>
      <c r="B14512" s="76" t="s">
        <v>1038</v>
      </c>
      <c r="C14512" s="84">
        <v>0.05</v>
      </c>
      <c r="D14512" s="84">
        <v>0.0</v>
      </c>
      <c r="E14512" s="84">
        <v>0.0</v>
      </c>
      <c r="F14512" s="76" t="s">
        <v>950</v>
      </c>
      <c r="G14512" s="83">
        <v>46124.0</v>
      </c>
      <c r="H14512" s="76" t="s">
        <v>938</v>
      </c>
    </row>
    <row r="14513">
      <c r="A14513" s="76" t="s">
        <v>28</v>
      </c>
      <c r="B14513" s="76" t="s">
        <v>1038</v>
      </c>
      <c r="C14513" s="84">
        <v>0.25</v>
      </c>
      <c r="D14513" s="84">
        <v>0.0</v>
      </c>
      <c r="E14513" s="84">
        <v>0.0</v>
      </c>
      <c r="F14513" s="76" t="s">
        <v>950</v>
      </c>
      <c r="G14513" s="83">
        <v>46124.0</v>
      </c>
      <c r="H14513" s="76" t="s">
        <v>931</v>
      </c>
    </row>
    <row r="14514">
      <c r="A14514" s="76" t="s">
        <v>28</v>
      </c>
      <c r="B14514" s="76" t="s">
        <v>1038</v>
      </c>
      <c r="C14514" s="84">
        <v>0.27</v>
      </c>
      <c r="D14514" s="84">
        <v>0.0</v>
      </c>
      <c r="E14514" s="84">
        <v>0.0</v>
      </c>
      <c r="F14514" s="76" t="s">
        <v>950</v>
      </c>
      <c r="G14514" s="83">
        <v>46124.0</v>
      </c>
      <c r="H14514" s="76" t="s">
        <v>932</v>
      </c>
    </row>
    <row r="14515">
      <c r="A14515" s="76" t="s">
        <v>28</v>
      </c>
      <c r="B14515" s="76" t="s">
        <v>1038</v>
      </c>
      <c r="C14515" s="84">
        <v>2.24</v>
      </c>
      <c r="D14515" s="84">
        <v>0.0</v>
      </c>
      <c r="E14515" s="84">
        <v>0.0</v>
      </c>
      <c r="F14515" s="76" t="s">
        <v>950</v>
      </c>
      <c r="G14515" s="83">
        <v>46124.0</v>
      </c>
      <c r="H14515" s="76" t="s">
        <v>933</v>
      </c>
    </row>
    <row r="14516">
      <c r="A14516" s="76" t="s">
        <v>42</v>
      </c>
      <c r="B14516" s="76" t="s">
        <v>1038</v>
      </c>
      <c r="C14516" s="84">
        <v>0.34</v>
      </c>
      <c r="D14516" s="84">
        <v>0.0</v>
      </c>
      <c r="E14516" s="84">
        <v>0.0</v>
      </c>
      <c r="F14516" s="76" t="s">
        <v>950</v>
      </c>
      <c r="G14516" s="83">
        <v>46124.0</v>
      </c>
      <c r="H14516" s="76" t="s">
        <v>991</v>
      </c>
    </row>
    <row r="14517">
      <c r="A14517" s="76" t="s">
        <v>42</v>
      </c>
      <c r="B14517" s="76" t="s">
        <v>1038</v>
      </c>
      <c r="C14517" s="84">
        <v>0.57</v>
      </c>
      <c r="D14517" s="84">
        <v>1.0</v>
      </c>
      <c r="E14517" s="84">
        <v>0.57</v>
      </c>
      <c r="F14517" s="76" t="s">
        <v>950</v>
      </c>
      <c r="G14517" s="83">
        <v>46124.0</v>
      </c>
      <c r="H14517" s="76" t="s">
        <v>935</v>
      </c>
    </row>
    <row r="14518">
      <c r="A14518" s="76" t="s">
        <v>36</v>
      </c>
      <c r="B14518" s="76" t="s">
        <v>1038</v>
      </c>
      <c r="C14518" s="84">
        <v>3.09</v>
      </c>
      <c r="D14518" s="84">
        <v>3.0</v>
      </c>
      <c r="E14518" s="84">
        <v>1.03</v>
      </c>
      <c r="F14518" s="76" t="s">
        <v>950</v>
      </c>
      <c r="G14518" s="83">
        <v>46124.0</v>
      </c>
      <c r="H14518" s="76" t="s">
        <v>926</v>
      </c>
    </row>
    <row r="14519">
      <c r="A14519" s="76" t="s">
        <v>36</v>
      </c>
      <c r="B14519" s="76" t="s">
        <v>1038</v>
      </c>
      <c r="C14519" s="84">
        <v>0.6</v>
      </c>
      <c r="D14519" s="84">
        <v>1.0</v>
      </c>
      <c r="E14519" s="84">
        <v>0.6</v>
      </c>
      <c r="F14519" s="76" t="s">
        <v>950</v>
      </c>
      <c r="G14519" s="83">
        <v>46124.0</v>
      </c>
      <c r="H14519" s="76" t="s">
        <v>927</v>
      </c>
    </row>
    <row r="14520">
      <c r="A14520" s="76" t="s">
        <v>36</v>
      </c>
      <c r="B14520" s="76" t="s">
        <v>1038</v>
      </c>
      <c r="C14520" s="84">
        <v>2.14</v>
      </c>
      <c r="D14520" s="84">
        <v>0.0</v>
      </c>
      <c r="E14520" s="84">
        <v>0.0</v>
      </c>
      <c r="F14520" s="76" t="s">
        <v>950</v>
      </c>
      <c r="G14520" s="83">
        <v>46124.0</v>
      </c>
      <c r="H14520" s="76" t="s">
        <v>928</v>
      </c>
    </row>
    <row r="14521">
      <c r="A14521" s="76" t="s">
        <v>31</v>
      </c>
      <c r="B14521" s="76" t="s">
        <v>1038</v>
      </c>
      <c r="C14521" s="84">
        <v>2.74</v>
      </c>
      <c r="D14521" s="84">
        <v>0.0</v>
      </c>
      <c r="E14521" s="84">
        <v>0.0</v>
      </c>
      <c r="F14521" s="76" t="s">
        <v>950</v>
      </c>
      <c r="G14521" s="83">
        <v>46124.0</v>
      </c>
      <c r="H14521" s="76" t="s">
        <v>929</v>
      </c>
    </row>
    <row r="14522">
      <c r="A14522" s="76" t="s">
        <v>31</v>
      </c>
      <c r="B14522" s="76" t="s">
        <v>1038</v>
      </c>
      <c r="C14522" s="84">
        <v>22.35</v>
      </c>
      <c r="D14522" s="84">
        <v>8.0</v>
      </c>
      <c r="E14522" s="84">
        <v>2.79</v>
      </c>
      <c r="F14522" s="76" t="s">
        <v>950</v>
      </c>
      <c r="G14522" s="83">
        <v>46124.0</v>
      </c>
      <c r="H14522" s="76" t="s">
        <v>930</v>
      </c>
    </row>
    <row r="14523">
      <c r="A14523" s="76" t="s">
        <v>50</v>
      </c>
      <c r="B14523" s="76" t="s">
        <v>1038</v>
      </c>
      <c r="C14523" s="84">
        <v>0.8</v>
      </c>
      <c r="D14523" s="84">
        <v>0.0</v>
      </c>
      <c r="E14523" s="84">
        <v>0.0</v>
      </c>
      <c r="F14523" s="76" t="s">
        <v>950</v>
      </c>
      <c r="G14523" s="83">
        <v>46124.0</v>
      </c>
      <c r="H14523" s="76" t="s">
        <v>939</v>
      </c>
    </row>
    <row r="14524">
      <c r="A14524" s="76" t="s">
        <v>50</v>
      </c>
      <c r="B14524" s="76" t="s">
        <v>1038</v>
      </c>
      <c r="C14524" s="84">
        <v>0.24</v>
      </c>
      <c r="D14524" s="84">
        <v>0.0</v>
      </c>
      <c r="E14524" s="84">
        <v>0.0</v>
      </c>
      <c r="F14524" s="76" t="s">
        <v>950</v>
      </c>
      <c r="G14524" s="83">
        <v>46124.0</v>
      </c>
      <c r="H14524" s="76" t="s">
        <v>940</v>
      </c>
    </row>
    <row r="14525">
      <c r="A14525" s="76" t="s">
        <v>26</v>
      </c>
      <c r="B14525" s="76" t="s">
        <v>1038</v>
      </c>
      <c r="C14525" s="84">
        <v>0.13</v>
      </c>
      <c r="D14525" s="84">
        <v>0.0</v>
      </c>
      <c r="E14525" s="84">
        <v>0.0</v>
      </c>
      <c r="F14525" s="76" t="s">
        <v>950</v>
      </c>
      <c r="G14525" s="83">
        <v>46124.0</v>
      </c>
      <c r="H14525" s="76" t="s">
        <v>1012</v>
      </c>
    </row>
    <row r="14526">
      <c r="A14526" s="76" t="s">
        <v>26</v>
      </c>
      <c r="B14526" s="76" t="s">
        <v>1038</v>
      </c>
      <c r="C14526" s="84">
        <v>0.13</v>
      </c>
      <c r="D14526" s="84">
        <v>0.0</v>
      </c>
      <c r="E14526" s="84">
        <v>0.0</v>
      </c>
      <c r="F14526" s="76" t="s">
        <v>950</v>
      </c>
      <c r="G14526" s="83">
        <v>46124.0</v>
      </c>
      <c r="H14526" s="76" t="s">
        <v>1013</v>
      </c>
    </row>
    <row r="14527">
      <c r="A14527" s="76" t="s">
        <v>26</v>
      </c>
      <c r="B14527" s="76" t="s">
        <v>1038</v>
      </c>
      <c r="C14527" s="84">
        <v>9.04</v>
      </c>
      <c r="D14527" s="84">
        <v>1.0</v>
      </c>
      <c r="E14527" s="84">
        <v>9.04</v>
      </c>
      <c r="F14527" s="76" t="s">
        <v>950</v>
      </c>
      <c r="G14527" s="83">
        <v>46124.0</v>
      </c>
      <c r="H14527" s="76" t="s">
        <v>1014</v>
      </c>
    </row>
    <row r="14528">
      <c r="A14528" s="76" t="s">
        <v>944</v>
      </c>
      <c r="B14528" s="76" t="s">
        <v>1038</v>
      </c>
      <c r="C14528" s="84">
        <v>5.16</v>
      </c>
      <c r="D14528" s="84">
        <v>1.0</v>
      </c>
      <c r="E14528" s="84">
        <v>5.16</v>
      </c>
      <c r="F14528" s="76" t="s">
        <v>950</v>
      </c>
      <c r="G14528" s="83">
        <v>46124.0</v>
      </c>
      <c r="H14528" s="76" t="s">
        <v>945</v>
      </c>
    </row>
    <row r="14529">
      <c r="A14529" s="76" t="s">
        <v>944</v>
      </c>
      <c r="B14529" s="76" t="s">
        <v>1038</v>
      </c>
      <c r="C14529" s="84">
        <v>0.52</v>
      </c>
      <c r="D14529" s="84">
        <v>0.0</v>
      </c>
      <c r="E14529" s="84">
        <v>0.0</v>
      </c>
      <c r="F14529" s="76" t="s">
        <v>950</v>
      </c>
      <c r="G14529" s="83">
        <v>46124.0</v>
      </c>
      <c r="H14529" s="76" t="s">
        <v>946</v>
      </c>
    </row>
    <row r="14530">
      <c r="A14530" s="76" t="s">
        <v>944</v>
      </c>
      <c r="B14530" s="76" t="s">
        <v>1038</v>
      </c>
      <c r="C14530" s="84">
        <v>4.32</v>
      </c>
      <c r="D14530" s="84">
        <v>1.0</v>
      </c>
      <c r="E14530" s="84">
        <v>4.32</v>
      </c>
      <c r="F14530" s="76" t="s">
        <v>950</v>
      </c>
      <c r="G14530" s="83">
        <v>46124.0</v>
      </c>
      <c r="H14530" s="76" t="s">
        <v>947</v>
      </c>
    </row>
    <row r="14531">
      <c r="A14531" s="76" t="s">
        <v>32</v>
      </c>
      <c r="B14531" s="76" t="s">
        <v>1038</v>
      </c>
      <c r="C14531" s="84">
        <v>25.21</v>
      </c>
      <c r="D14531" s="84">
        <v>3.0</v>
      </c>
      <c r="E14531" s="84">
        <v>8.4</v>
      </c>
      <c r="F14531" s="76" t="s">
        <v>950</v>
      </c>
      <c r="G14531" s="83">
        <v>46124.0</v>
      </c>
      <c r="H14531" s="76" t="s">
        <v>941</v>
      </c>
    </row>
    <row r="14532">
      <c r="A14532" s="76" t="s">
        <v>32</v>
      </c>
      <c r="B14532" s="76" t="s">
        <v>1038</v>
      </c>
      <c r="C14532" s="84">
        <v>1.04</v>
      </c>
      <c r="D14532" s="84">
        <v>0.0</v>
      </c>
      <c r="E14532" s="84">
        <v>0.0</v>
      </c>
      <c r="F14532" s="76" t="s">
        <v>950</v>
      </c>
      <c r="G14532" s="83">
        <v>46124.0</v>
      </c>
      <c r="H14532" s="76" t="s">
        <v>942</v>
      </c>
    </row>
    <row r="14533">
      <c r="A14533" s="76" t="s">
        <v>32</v>
      </c>
      <c r="B14533" s="76" t="s">
        <v>1038</v>
      </c>
      <c r="C14533" s="84">
        <v>1.72</v>
      </c>
      <c r="D14533" s="84">
        <v>0.0</v>
      </c>
      <c r="E14533" s="84">
        <v>0.0</v>
      </c>
      <c r="F14533" s="76" t="s">
        <v>950</v>
      </c>
      <c r="G14533" s="83">
        <v>46124.0</v>
      </c>
      <c r="H14533" s="76" t="s">
        <v>943</v>
      </c>
    </row>
    <row r="14534">
      <c r="A14534" s="76" t="s">
        <v>36</v>
      </c>
      <c r="B14534" s="76" t="s">
        <v>1006</v>
      </c>
      <c r="C14534" s="84">
        <v>4.53</v>
      </c>
      <c r="D14534" s="84">
        <v>0.0</v>
      </c>
      <c r="E14534" s="84">
        <v>0.0</v>
      </c>
      <c r="F14534" s="76" t="s">
        <v>1005</v>
      </c>
      <c r="G14534" s="83">
        <v>46124.0</v>
      </c>
      <c r="H14534" s="76" t="s">
        <v>926</v>
      </c>
    </row>
    <row r="14535">
      <c r="A14535" s="76" t="s">
        <v>36</v>
      </c>
      <c r="B14535" s="76" t="s">
        <v>1006</v>
      </c>
      <c r="C14535" s="84">
        <v>1.99</v>
      </c>
      <c r="D14535" s="84">
        <v>0.0</v>
      </c>
      <c r="E14535" s="84">
        <v>0.0</v>
      </c>
      <c r="F14535" s="76" t="s">
        <v>1005</v>
      </c>
      <c r="G14535" s="83">
        <v>46124.0</v>
      </c>
      <c r="H14535" s="76" t="s">
        <v>927</v>
      </c>
    </row>
    <row r="14536">
      <c r="A14536" s="76" t="s">
        <v>36</v>
      </c>
      <c r="B14536" s="76" t="s">
        <v>1006</v>
      </c>
      <c r="C14536" s="84">
        <v>11.2</v>
      </c>
      <c r="D14536" s="84">
        <v>3.0</v>
      </c>
      <c r="E14536" s="84">
        <v>3.73</v>
      </c>
      <c r="F14536" s="76" t="s">
        <v>1005</v>
      </c>
      <c r="G14536" s="83">
        <v>46124.0</v>
      </c>
      <c r="H14536" s="76" t="s">
        <v>928</v>
      </c>
    </row>
    <row r="14537">
      <c r="A14537" s="76" t="s">
        <v>31</v>
      </c>
      <c r="B14537" s="76" t="s">
        <v>1006</v>
      </c>
      <c r="C14537" s="84">
        <v>5.82</v>
      </c>
      <c r="D14537" s="84">
        <v>2.0</v>
      </c>
      <c r="E14537" s="84">
        <v>2.91</v>
      </c>
      <c r="F14537" s="76" t="s">
        <v>1005</v>
      </c>
      <c r="G14537" s="83">
        <v>46124.0</v>
      </c>
      <c r="H14537" s="76" t="s">
        <v>929</v>
      </c>
    </row>
    <row r="14538">
      <c r="A14538" s="76" t="s">
        <v>31</v>
      </c>
      <c r="B14538" s="76" t="s">
        <v>1006</v>
      </c>
      <c r="C14538" s="84">
        <v>16.69</v>
      </c>
      <c r="D14538" s="84">
        <v>2.0</v>
      </c>
      <c r="E14538" s="84">
        <v>8.35</v>
      </c>
      <c r="F14538" s="76" t="s">
        <v>1005</v>
      </c>
      <c r="G14538" s="83">
        <v>46124.0</v>
      </c>
      <c r="H14538" s="76" t="s">
        <v>930</v>
      </c>
    </row>
    <row r="14539">
      <c r="A14539" s="76" t="s">
        <v>28</v>
      </c>
      <c r="B14539" s="76" t="s">
        <v>1006</v>
      </c>
      <c r="C14539" s="84">
        <v>1.12</v>
      </c>
      <c r="D14539" s="84">
        <v>0.0</v>
      </c>
      <c r="E14539" s="84">
        <v>0.0</v>
      </c>
      <c r="F14539" s="76" t="s">
        <v>1005</v>
      </c>
      <c r="G14539" s="83">
        <v>46124.0</v>
      </c>
      <c r="H14539" s="76" t="s">
        <v>931</v>
      </c>
    </row>
    <row r="14540">
      <c r="A14540" s="76" t="s">
        <v>28</v>
      </c>
      <c r="B14540" s="76" t="s">
        <v>1006</v>
      </c>
      <c r="C14540" s="84">
        <v>2.67</v>
      </c>
      <c r="D14540" s="84">
        <v>0.0</v>
      </c>
      <c r="E14540" s="84">
        <v>0.0</v>
      </c>
      <c r="F14540" s="76" t="s">
        <v>1005</v>
      </c>
      <c r="G14540" s="83">
        <v>46124.0</v>
      </c>
      <c r="H14540" s="76" t="s">
        <v>932</v>
      </c>
    </row>
    <row r="14541">
      <c r="A14541" s="76" t="s">
        <v>28</v>
      </c>
      <c r="B14541" s="76" t="s">
        <v>1006</v>
      </c>
      <c r="C14541" s="84">
        <v>2.8</v>
      </c>
      <c r="D14541" s="84">
        <v>0.0</v>
      </c>
      <c r="E14541" s="84">
        <v>0.0</v>
      </c>
      <c r="F14541" s="76" t="s">
        <v>1005</v>
      </c>
      <c r="G14541" s="83">
        <v>46124.0</v>
      </c>
      <c r="H14541" s="76" t="s">
        <v>933</v>
      </c>
    </row>
    <row r="14542">
      <c r="A14542" s="76" t="s">
        <v>45</v>
      </c>
      <c r="B14542" s="76" t="s">
        <v>1006</v>
      </c>
      <c r="C14542" s="84">
        <v>1.1</v>
      </c>
      <c r="D14542" s="84">
        <v>0.0</v>
      </c>
      <c r="E14542" s="84">
        <v>0.0</v>
      </c>
      <c r="F14542" s="76" t="s">
        <v>1005</v>
      </c>
      <c r="G14542" s="83">
        <v>46124.0</v>
      </c>
      <c r="H14542" s="76" t="s">
        <v>936</v>
      </c>
    </row>
    <row r="14543">
      <c r="A14543" s="76" t="s">
        <v>45</v>
      </c>
      <c r="B14543" s="76" t="s">
        <v>1006</v>
      </c>
      <c r="C14543" s="84">
        <v>6.81</v>
      </c>
      <c r="D14543" s="84">
        <v>1.0</v>
      </c>
      <c r="E14543" s="84">
        <v>6.81</v>
      </c>
      <c r="F14543" s="76" t="s">
        <v>1005</v>
      </c>
      <c r="G14543" s="83">
        <v>46124.0</v>
      </c>
      <c r="H14543" s="76" t="s">
        <v>937</v>
      </c>
    </row>
    <row r="14544">
      <c r="A14544" s="76" t="s">
        <v>45</v>
      </c>
      <c r="B14544" s="76" t="s">
        <v>1006</v>
      </c>
      <c r="C14544" s="84">
        <v>0.73</v>
      </c>
      <c r="D14544" s="84">
        <v>0.0</v>
      </c>
      <c r="E14544" s="84">
        <v>0.0</v>
      </c>
      <c r="F14544" s="76" t="s">
        <v>1005</v>
      </c>
      <c r="G14544" s="83">
        <v>46124.0</v>
      </c>
      <c r="H14544" s="76" t="s">
        <v>938</v>
      </c>
    </row>
    <row r="14545">
      <c r="A14545" s="76" t="s">
        <v>32</v>
      </c>
      <c r="B14545" s="76" t="s">
        <v>1006</v>
      </c>
      <c r="C14545" s="84">
        <v>708.22</v>
      </c>
      <c r="D14545" s="84">
        <v>134.0</v>
      </c>
      <c r="E14545" s="84">
        <v>5.29</v>
      </c>
      <c r="F14545" s="76" t="s">
        <v>1005</v>
      </c>
      <c r="G14545" s="83">
        <v>46124.0</v>
      </c>
      <c r="H14545" s="76" t="s">
        <v>941</v>
      </c>
    </row>
    <row r="14546">
      <c r="A14546" s="76" t="s">
        <v>32</v>
      </c>
      <c r="B14546" s="76" t="s">
        <v>1006</v>
      </c>
      <c r="C14546" s="84">
        <v>27.04</v>
      </c>
      <c r="D14546" s="84">
        <v>3.0</v>
      </c>
      <c r="E14546" s="84">
        <v>9.01</v>
      </c>
      <c r="F14546" s="76" t="s">
        <v>1005</v>
      </c>
      <c r="G14546" s="83">
        <v>46124.0</v>
      </c>
      <c r="H14546" s="76" t="s">
        <v>942</v>
      </c>
    </row>
    <row r="14547">
      <c r="A14547" s="76" t="s">
        <v>32</v>
      </c>
      <c r="B14547" s="76" t="s">
        <v>1006</v>
      </c>
      <c r="C14547" s="84">
        <v>19.31</v>
      </c>
      <c r="D14547" s="84">
        <v>3.0</v>
      </c>
      <c r="E14547" s="84">
        <v>6.44</v>
      </c>
      <c r="F14547" s="76" t="s">
        <v>1005</v>
      </c>
      <c r="G14547" s="83">
        <v>46124.0</v>
      </c>
      <c r="H14547" s="76" t="s">
        <v>943</v>
      </c>
    </row>
    <row r="14548">
      <c r="A14548" s="76" t="s">
        <v>944</v>
      </c>
      <c r="B14548" s="76" t="s">
        <v>1006</v>
      </c>
      <c r="C14548" s="84">
        <v>1.91</v>
      </c>
      <c r="D14548" s="84">
        <v>0.0</v>
      </c>
      <c r="E14548" s="84">
        <v>0.0</v>
      </c>
      <c r="F14548" s="76" t="s">
        <v>1005</v>
      </c>
      <c r="G14548" s="83">
        <v>46124.0</v>
      </c>
      <c r="H14548" s="76" t="s">
        <v>945</v>
      </c>
    </row>
    <row r="14549">
      <c r="A14549" s="76" t="s">
        <v>944</v>
      </c>
      <c r="B14549" s="76" t="s">
        <v>1006</v>
      </c>
      <c r="C14549" s="84">
        <v>1.26</v>
      </c>
      <c r="D14549" s="84">
        <v>0.0</v>
      </c>
      <c r="E14549" s="84">
        <v>0.0</v>
      </c>
      <c r="F14549" s="76" t="s">
        <v>1005</v>
      </c>
      <c r="G14549" s="83">
        <v>46124.0</v>
      </c>
      <c r="H14549" s="76" t="s">
        <v>946</v>
      </c>
    </row>
    <row r="14550">
      <c r="A14550" s="76" t="s">
        <v>944</v>
      </c>
      <c r="B14550" s="76" t="s">
        <v>1006</v>
      </c>
      <c r="C14550" s="84">
        <v>19.19</v>
      </c>
      <c r="D14550" s="84">
        <v>3.0</v>
      </c>
      <c r="E14550" s="84">
        <v>6.4</v>
      </c>
      <c r="F14550" s="76" t="s">
        <v>1005</v>
      </c>
      <c r="G14550" s="83">
        <v>46124.0</v>
      </c>
      <c r="H14550" s="76" t="s">
        <v>947</v>
      </c>
    </row>
    <row r="14551">
      <c r="A14551" s="76" t="s">
        <v>26</v>
      </c>
      <c r="B14551" s="76" t="s">
        <v>1006</v>
      </c>
      <c r="C14551" s="84">
        <v>1.81</v>
      </c>
      <c r="D14551" s="84">
        <v>0.0</v>
      </c>
      <c r="E14551" s="84">
        <v>0.0</v>
      </c>
      <c r="F14551" s="76" t="s">
        <v>1005</v>
      </c>
      <c r="G14551" s="83">
        <v>46124.0</v>
      </c>
      <c r="H14551" s="76" t="s">
        <v>1012</v>
      </c>
    </row>
    <row r="14552">
      <c r="A14552" s="76" t="s">
        <v>26</v>
      </c>
      <c r="B14552" s="76" t="s">
        <v>1006</v>
      </c>
      <c r="C14552" s="84">
        <v>1.09</v>
      </c>
      <c r="D14552" s="84">
        <v>0.0</v>
      </c>
      <c r="E14552" s="84">
        <v>0.0</v>
      </c>
      <c r="F14552" s="76" t="s">
        <v>1005</v>
      </c>
      <c r="G14552" s="83">
        <v>46124.0</v>
      </c>
      <c r="H14552" s="76" t="s">
        <v>1013</v>
      </c>
    </row>
    <row r="14553">
      <c r="A14553" s="76" t="s">
        <v>26</v>
      </c>
      <c r="B14553" s="76" t="s">
        <v>1006</v>
      </c>
      <c r="C14553" s="84">
        <v>95.63</v>
      </c>
      <c r="D14553" s="84">
        <v>10.0</v>
      </c>
      <c r="E14553" s="84">
        <v>9.56</v>
      </c>
      <c r="F14553" s="76" t="s">
        <v>1005</v>
      </c>
      <c r="G14553" s="83">
        <v>46124.0</v>
      </c>
      <c r="H14553" s="76" t="s">
        <v>1014</v>
      </c>
    </row>
    <row r="14554">
      <c r="A14554" s="76" t="s">
        <v>36</v>
      </c>
      <c r="B14554" s="76" t="s">
        <v>1006</v>
      </c>
      <c r="C14554" s="84">
        <v>0.31</v>
      </c>
      <c r="D14554" s="84">
        <v>0.0</v>
      </c>
      <c r="E14554" s="84">
        <v>0.0</v>
      </c>
      <c r="F14554" s="76" t="s">
        <v>996</v>
      </c>
      <c r="G14554" s="83">
        <v>46124.0</v>
      </c>
      <c r="H14554" s="76" t="s">
        <v>926</v>
      </c>
    </row>
    <row r="14555">
      <c r="A14555" s="76" t="s">
        <v>36</v>
      </c>
      <c r="B14555" s="76" t="s">
        <v>1006</v>
      </c>
      <c r="C14555" s="84">
        <v>0.15</v>
      </c>
      <c r="D14555" s="84">
        <v>0.0</v>
      </c>
      <c r="E14555" s="84">
        <v>0.0</v>
      </c>
      <c r="F14555" s="76" t="s">
        <v>996</v>
      </c>
      <c r="G14555" s="83">
        <v>46124.0</v>
      </c>
      <c r="H14555" s="76" t="s">
        <v>927</v>
      </c>
    </row>
    <row r="14556">
      <c r="A14556" s="76" t="s">
        <v>36</v>
      </c>
      <c r="B14556" s="76" t="s">
        <v>1006</v>
      </c>
      <c r="C14556" s="84">
        <v>0.73</v>
      </c>
      <c r="D14556" s="84">
        <v>0.0</v>
      </c>
      <c r="E14556" s="84">
        <v>0.0</v>
      </c>
      <c r="F14556" s="76" t="s">
        <v>996</v>
      </c>
      <c r="G14556" s="83">
        <v>46124.0</v>
      </c>
      <c r="H14556" s="76" t="s">
        <v>928</v>
      </c>
    </row>
    <row r="14557">
      <c r="A14557" s="76" t="s">
        <v>31</v>
      </c>
      <c r="B14557" s="76" t="s">
        <v>1006</v>
      </c>
      <c r="C14557" s="84">
        <v>0.35</v>
      </c>
      <c r="D14557" s="84">
        <v>0.0</v>
      </c>
      <c r="E14557" s="84">
        <v>0.0</v>
      </c>
      <c r="F14557" s="76" t="s">
        <v>996</v>
      </c>
      <c r="G14557" s="83">
        <v>46124.0</v>
      </c>
      <c r="H14557" s="76" t="s">
        <v>929</v>
      </c>
    </row>
    <row r="14558">
      <c r="A14558" s="76" t="s">
        <v>31</v>
      </c>
      <c r="B14558" s="76" t="s">
        <v>1006</v>
      </c>
      <c r="C14558" s="84">
        <v>1.53</v>
      </c>
      <c r="D14558" s="84">
        <v>1.0</v>
      </c>
      <c r="E14558" s="84">
        <v>1.53</v>
      </c>
      <c r="F14558" s="76" t="s">
        <v>996</v>
      </c>
      <c r="G14558" s="83">
        <v>46124.0</v>
      </c>
      <c r="H14558" s="76" t="s">
        <v>930</v>
      </c>
    </row>
    <row r="14559">
      <c r="A14559" s="76" t="s">
        <v>28</v>
      </c>
      <c r="B14559" s="76" t="s">
        <v>1006</v>
      </c>
      <c r="C14559" s="84">
        <v>0.15</v>
      </c>
      <c r="D14559" s="84">
        <v>0.0</v>
      </c>
      <c r="E14559" s="84">
        <v>0.0</v>
      </c>
      <c r="F14559" s="76" t="s">
        <v>996</v>
      </c>
      <c r="G14559" s="83">
        <v>46124.0</v>
      </c>
      <c r="H14559" s="76" t="s">
        <v>931</v>
      </c>
    </row>
    <row r="14560">
      <c r="A14560" s="76" t="s">
        <v>28</v>
      </c>
      <c r="B14560" s="76" t="s">
        <v>1006</v>
      </c>
      <c r="C14560" s="84">
        <v>0.35</v>
      </c>
      <c r="D14560" s="84">
        <v>0.0</v>
      </c>
      <c r="E14560" s="84">
        <v>0.0</v>
      </c>
      <c r="F14560" s="76" t="s">
        <v>996</v>
      </c>
      <c r="G14560" s="83">
        <v>46124.0</v>
      </c>
      <c r="H14560" s="76" t="s">
        <v>932</v>
      </c>
    </row>
    <row r="14561">
      <c r="A14561" s="76" t="s">
        <v>28</v>
      </c>
      <c r="B14561" s="76" t="s">
        <v>1006</v>
      </c>
      <c r="C14561" s="84">
        <v>0.16</v>
      </c>
      <c r="D14561" s="84">
        <v>0.0</v>
      </c>
      <c r="E14561" s="84">
        <v>0.0</v>
      </c>
      <c r="F14561" s="76" t="s">
        <v>996</v>
      </c>
      <c r="G14561" s="83">
        <v>46124.0</v>
      </c>
      <c r="H14561" s="76" t="s">
        <v>933</v>
      </c>
    </row>
    <row r="14562">
      <c r="A14562" s="76" t="s">
        <v>45</v>
      </c>
      <c r="B14562" s="76" t="s">
        <v>1006</v>
      </c>
      <c r="C14562" s="84">
        <v>0.21</v>
      </c>
      <c r="D14562" s="84">
        <v>0.0</v>
      </c>
      <c r="E14562" s="84">
        <v>0.0</v>
      </c>
      <c r="F14562" s="76" t="s">
        <v>996</v>
      </c>
      <c r="G14562" s="83">
        <v>46124.0</v>
      </c>
      <c r="H14562" s="76" t="s">
        <v>936</v>
      </c>
    </row>
    <row r="14563">
      <c r="A14563" s="76" t="s">
        <v>45</v>
      </c>
      <c r="B14563" s="76" t="s">
        <v>1006</v>
      </c>
      <c r="C14563" s="84">
        <v>0.47</v>
      </c>
      <c r="D14563" s="84">
        <v>0.0</v>
      </c>
      <c r="E14563" s="84">
        <v>0.0</v>
      </c>
      <c r="F14563" s="76" t="s">
        <v>996</v>
      </c>
      <c r="G14563" s="83">
        <v>46124.0</v>
      </c>
      <c r="H14563" s="76" t="s">
        <v>937</v>
      </c>
    </row>
    <row r="14564">
      <c r="A14564" s="76" t="s">
        <v>45</v>
      </c>
      <c r="B14564" s="76" t="s">
        <v>1006</v>
      </c>
      <c r="C14564" s="84">
        <v>0.06</v>
      </c>
      <c r="D14564" s="84">
        <v>0.0</v>
      </c>
      <c r="E14564" s="84">
        <v>0.0</v>
      </c>
      <c r="F14564" s="76" t="s">
        <v>996</v>
      </c>
      <c r="G14564" s="83">
        <v>46124.0</v>
      </c>
      <c r="H14564" s="76" t="s">
        <v>938</v>
      </c>
    </row>
    <row r="14565">
      <c r="A14565" s="76" t="s">
        <v>32</v>
      </c>
      <c r="B14565" s="76" t="s">
        <v>1006</v>
      </c>
      <c r="C14565" s="84">
        <v>3.58</v>
      </c>
      <c r="D14565" s="84">
        <v>1.0</v>
      </c>
      <c r="E14565" s="84">
        <v>3.58</v>
      </c>
      <c r="F14565" s="76" t="s">
        <v>996</v>
      </c>
      <c r="G14565" s="83">
        <v>46124.0</v>
      </c>
      <c r="H14565" s="76" t="s">
        <v>941</v>
      </c>
    </row>
    <row r="14566">
      <c r="A14566" s="76" t="s">
        <v>32</v>
      </c>
      <c r="B14566" s="76" t="s">
        <v>1006</v>
      </c>
      <c r="C14566" s="84">
        <v>0.12</v>
      </c>
      <c r="D14566" s="84">
        <v>0.0</v>
      </c>
      <c r="E14566" s="84">
        <v>0.0</v>
      </c>
      <c r="F14566" s="76" t="s">
        <v>996</v>
      </c>
      <c r="G14566" s="83">
        <v>46124.0</v>
      </c>
      <c r="H14566" s="76" t="s">
        <v>942</v>
      </c>
    </row>
    <row r="14567">
      <c r="A14567" s="76" t="s">
        <v>32</v>
      </c>
      <c r="B14567" s="76" t="s">
        <v>1006</v>
      </c>
      <c r="C14567" s="84">
        <v>0.33</v>
      </c>
      <c r="D14567" s="84">
        <v>0.0</v>
      </c>
      <c r="E14567" s="84">
        <v>0.0</v>
      </c>
      <c r="F14567" s="76" t="s">
        <v>996</v>
      </c>
      <c r="G14567" s="83">
        <v>46124.0</v>
      </c>
      <c r="H14567" s="76" t="s">
        <v>943</v>
      </c>
    </row>
    <row r="14568">
      <c r="A14568" s="76" t="s">
        <v>944</v>
      </c>
      <c r="B14568" s="76" t="s">
        <v>1006</v>
      </c>
      <c r="C14568" s="84">
        <v>0.23</v>
      </c>
      <c r="D14568" s="84">
        <v>0.0</v>
      </c>
      <c r="E14568" s="84">
        <v>0.0</v>
      </c>
      <c r="F14568" s="76" t="s">
        <v>996</v>
      </c>
      <c r="G14568" s="83">
        <v>46124.0</v>
      </c>
      <c r="H14568" s="76" t="s">
        <v>945</v>
      </c>
    </row>
    <row r="14569">
      <c r="A14569" s="76" t="s">
        <v>944</v>
      </c>
      <c r="B14569" s="76" t="s">
        <v>1006</v>
      </c>
      <c r="C14569" s="84">
        <v>0.09</v>
      </c>
      <c r="D14569" s="84">
        <v>0.0</v>
      </c>
      <c r="E14569" s="84">
        <v>0.0</v>
      </c>
      <c r="F14569" s="76" t="s">
        <v>996</v>
      </c>
      <c r="G14569" s="83">
        <v>46124.0</v>
      </c>
      <c r="H14569" s="76" t="s">
        <v>946</v>
      </c>
    </row>
    <row r="14570">
      <c r="A14570" s="76" t="s">
        <v>944</v>
      </c>
      <c r="B14570" s="76" t="s">
        <v>1006</v>
      </c>
      <c r="C14570" s="84">
        <v>1.64</v>
      </c>
      <c r="D14570" s="84">
        <v>0.0</v>
      </c>
      <c r="E14570" s="84">
        <v>0.0</v>
      </c>
      <c r="F14570" s="76" t="s">
        <v>996</v>
      </c>
      <c r="G14570" s="83">
        <v>46124.0</v>
      </c>
      <c r="H14570" s="76" t="s">
        <v>947</v>
      </c>
    </row>
    <row r="14571">
      <c r="A14571" s="76" t="s">
        <v>26</v>
      </c>
      <c r="B14571" s="76" t="s">
        <v>1006</v>
      </c>
      <c r="C14571" s="84">
        <v>0.34</v>
      </c>
      <c r="D14571" s="84">
        <v>0.0</v>
      </c>
      <c r="E14571" s="84">
        <v>0.0</v>
      </c>
      <c r="F14571" s="76" t="s">
        <v>996</v>
      </c>
      <c r="G14571" s="83">
        <v>46124.0</v>
      </c>
      <c r="H14571" s="76" t="s">
        <v>1012</v>
      </c>
    </row>
    <row r="14572">
      <c r="A14572" s="76" t="s">
        <v>26</v>
      </c>
      <c r="B14572" s="76" t="s">
        <v>1006</v>
      </c>
      <c r="C14572" s="84">
        <v>0.12</v>
      </c>
      <c r="D14572" s="84">
        <v>0.0</v>
      </c>
      <c r="E14572" s="84">
        <v>0.0</v>
      </c>
      <c r="F14572" s="76" t="s">
        <v>996</v>
      </c>
      <c r="G14572" s="83">
        <v>46124.0</v>
      </c>
      <c r="H14572" s="76" t="s">
        <v>1013</v>
      </c>
    </row>
    <row r="14573">
      <c r="A14573" s="76" t="s">
        <v>26</v>
      </c>
      <c r="B14573" s="76" t="s">
        <v>1006</v>
      </c>
      <c r="C14573" s="84">
        <v>2.6</v>
      </c>
      <c r="D14573" s="84">
        <v>1.0</v>
      </c>
      <c r="E14573" s="84">
        <v>2.6</v>
      </c>
      <c r="F14573" s="76" t="s">
        <v>996</v>
      </c>
      <c r="G14573" s="83">
        <v>46124.0</v>
      </c>
      <c r="H14573" s="76" t="s">
        <v>1014</v>
      </c>
    </row>
    <row r="14574">
      <c r="A14574" s="76" t="s">
        <v>36</v>
      </c>
      <c r="B14574" s="76" t="s">
        <v>1006</v>
      </c>
      <c r="C14574" s="84">
        <v>20.13</v>
      </c>
      <c r="D14574" s="84">
        <v>1.0</v>
      </c>
      <c r="E14574" s="84">
        <v>20.13</v>
      </c>
      <c r="F14574" s="76" t="s">
        <v>997</v>
      </c>
      <c r="G14574" s="83">
        <v>46124.0</v>
      </c>
      <c r="H14574" s="76" t="s">
        <v>926</v>
      </c>
    </row>
    <row r="14575">
      <c r="A14575" s="76" t="s">
        <v>36</v>
      </c>
      <c r="B14575" s="76" t="s">
        <v>1006</v>
      </c>
      <c r="C14575" s="84">
        <v>2.35</v>
      </c>
      <c r="D14575" s="84">
        <v>0.0</v>
      </c>
      <c r="E14575" s="84">
        <v>0.0</v>
      </c>
      <c r="F14575" s="76" t="s">
        <v>997</v>
      </c>
      <c r="G14575" s="83">
        <v>46124.0</v>
      </c>
      <c r="H14575" s="76" t="s">
        <v>927</v>
      </c>
    </row>
    <row r="14576">
      <c r="A14576" s="76" t="s">
        <v>36</v>
      </c>
      <c r="B14576" s="76" t="s">
        <v>1006</v>
      </c>
      <c r="C14576" s="84">
        <v>15.43</v>
      </c>
      <c r="D14576" s="84">
        <v>3.0</v>
      </c>
      <c r="E14576" s="84">
        <v>5.14</v>
      </c>
      <c r="F14576" s="76" t="s">
        <v>997</v>
      </c>
      <c r="G14576" s="83">
        <v>46124.0</v>
      </c>
      <c r="H14576" s="76" t="s">
        <v>928</v>
      </c>
    </row>
    <row r="14577">
      <c r="A14577" s="76" t="s">
        <v>31</v>
      </c>
      <c r="B14577" s="76" t="s">
        <v>1006</v>
      </c>
      <c r="C14577" s="84">
        <v>9.0</v>
      </c>
      <c r="D14577" s="84">
        <v>1.0</v>
      </c>
      <c r="E14577" s="84">
        <v>9.0</v>
      </c>
      <c r="F14577" s="76" t="s">
        <v>997</v>
      </c>
      <c r="G14577" s="83">
        <v>46124.0</v>
      </c>
      <c r="H14577" s="76" t="s">
        <v>929</v>
      </c>
    </row>
    <row r="14578">
      <c r="A14578" s="76" t="s">
        <v>31</v>
      </c>
      <c r="B14578" s="76" t="s">
        <v>1006</v>
      </c>
      <c r="C14578" s="84">
        <v>249.81</v>
      </c>
      <c r="D14578" s="84">
        <v>49.0</v>
      </c>
      <c r="E14578" s="84">
        <v>5.1</v>
      </c>
      <c r="F14578" s="76" t="s">
        <v>997</v>
      </c>
      <c r="G14578" s="83">
        <v>46124.0</v>
      </c>
      <c r="H14578" s="76" t="s">
        <v>930</v>
      </c>
    </row>
    <row r="14579">
      <c r="A14579" s="76" t="s">
        <v>28</v>
      </c>
      <c r="B14579" s="76" t="s">
        <v>1006</v>
      </c>
      <c r="C14579" s="84">
        <v>2.74</v>
      </c>
      <c r="D14579" s="84">
        <v>0.0</v>
      </c>
      <c r="E14579" s="84">
        <v>0.0</v>
      </c>
      <c r="F14579" s="76" t="s">
        <v>997</v>
      </c>
      <c r="G14579" s="83">
        <v>46124.0</v>
      </c>
      <c r="H14579" s="76" t="s">
        <v>931</v>
      </c>
    </row>
    <row r="14580">
      <c r="A14580" s="76" t="s">
        <v>28</v>
      </c>
      <c r="B14580" s="76" t="s">
        <v>1006</v>
      </c>
      <c r="C14580" s="84">
        <v>3.82</v>
      </c>
      <c r="D14580" s="84">
        <v>1.0</v>
      </c>
      <c r="E14580" s="84">
        <v>3.82</v>
      </c>
      <c r="F14580" s="76" t="s">
        <v>997</v>
      </c>
      <c r="G14580" s="83">
        <v>46124.0</v>
      </c>
      <c r="H14580" s="76" t="s">
        <v>932</v>
      </c>
    </row>
    <row r="14581">
      <c r="A14581" s="76" t="s">
        <v>28</v>
      </c>
      <c r="B14581" s="76" t="s">
        <v>1006</v>
      </c>
      <c r="C14581" s="84">
        <v>10.97</v>
      </c>
      <c r="D14581" s="84">
        <v>4.0</v>
      </c>
      <c r="E14581" s="84">
        <v>2.74</v>
      </c>
      <c r="F14581" s="76" t="s">
        <v>997</v>
      </c>
      <c r="G14581" s="83">
        <v>46124.0</v>
      </c>
      <c r="H14581" s="76" t="s">
        <v>933</v>
      </c>
    </row>
    <row r="14582">
      <c r="A14582" s="76" t="s">
        <v>45</v>
      </c>
      <c r="B14582" s="76" t="s">
        <v>1006</v>
      </c>
      <c r="C14582" s="84">
        <v>2.23</v>
      </c>
      <c r="D14582" s="84">
        <v>0.0</v>
      </c>
      <c r="E14582" s="84">
        <v>0.0</v>
      </c>
      <c r="F14582" s="76" t="s">
        <v>997</v>
      </c>
      <c r="G14582" s="83">
        <v>46124.0</v>
      </c>
      <c r="H14582" s="76" t="s">
        <v>936</v>
      </c>
    </row>
    <row r="14583">
      <c r="A14583" s="76" t="s">
        <v>45</v>
      </c>
      <c r="B14583" s="76" t="s">
        <v>1006</v>
      </c>
      <c r="C14583" s="84">
        <v>9.7</v>
      </c>
      <c r="D14583" s="84">
        <v>1.0</v>
      </c>
      <c r="E14583" s="84">
        <v>9.7</v>
      </c>
      <c r="F14583" s="76" t="s">
        <v>997</v>
      </c>
      <c r="G14583" s="83">
        <v>46124.0</v>
      </c>
      <c r="H14583" s="76" t="s">
        <v>937</v>
      </c>
    </row>
    <row r="14584">
      <c r="A14584" s="76" t="s">
        <v>45</v>
      </c>
      <c r="B14584" s="76" t="s">
        <v>1006</v>
      </c>
      <c r="C14584" s="84">
        <v>1.02</v>
      </c>
      <c r="D14584" s="84">
        <v>0.0</v>
      </c>
      <c r="E14584" s="84">
        <v>0.0</v>
      </c>
      <c r="F14584" s="76" t="s">
        <v>997</v>
      </c>
      <c r="G14584" s="83">
        <v>46124.0</v>
      </c>
      <c r="H14584" s="76" t="s">
        <v>938</v>
      </c>
    </row>
    <row r="14585">
      <c r="A14585" s="76" t="s">
        <v>32</v>
      </c>
      <c r="B14585" s="76" t="s">
        <v>1006</v>
      </c>
      <c r="C14585" s="84">
        <v>392.98</v>
      </c>
      <c r="D14585" s="84">
        <v>68.0</v>
      </c>
      <c r="E14585" s="84">
        <v>5.78</v>
      </c>
      <c r="F14585" s="76" t="s">
        <v>997</v>
      </c>
      <c r="G14585" s="83">
        <v>46124.0</v>
      </c>
      <c r="H14585" s="76" t="s">
        <v>941</v>
      </c>
    </row>
    <row r="14586">
      <c r="A14586" s="76" t="s">
        <v>32</v>
      </c>
      <c r="B14586" s="76" t="s">
        <v>1006</v>
      </c>
      <c r="C14586" s="84">
        <v>18.9</v>
      </c>
      <c r="D14586" s="84">
        <v>4.0</v>
      </c>
      <c r="E14586" s="84">
        <v>4.73</v>
      </c>
      <c r="F14586" s="76" t="s">
        <v>997</v>
      </c>
      <c r="G14586" s="83">
        <v>46124.0</v>
      </c>
      <c r="H14586" s="76" t="s">
        <v>942</v>
      </c>
    </row>
    <row r="14587">
      <c r="A14587" s="76" t="s">
        <v>32</v>
      </c>
      <c r="B14587" s="76" t="s">
        <v>1006</v>
      </c>
      <c r="C14587" s="84">
        <v>16.97</v>
      </c>
      <c r="D14587" s="84">
        <v>1.0</v>
      </c>
      <c r="E14587" s="84">
        <v>16.97</v>
      </c>
      <c r="F14587" s="76" t="s">
        <v>997</v>
      </c>
      <c r="G14587" s="83">
        <v>46124.0</v>
      </c>
      <c r="H14587" s="76" t="s">
        <v>943</v>
      </c>
    </row>
    <row r="14588">
      <c r="A14588" s="76" t="s">
        <v>944</v>
      </c>
      <c r="B14588" s="76" t="s">
        <v>1006</v>
      </c>
      <c r="C14588" s="84">
        <v>16.04</v>
      </c>
      <c r="D14588" s="84">
        <v>1.0</v>
      </c>
      <c r="E14588" s="84">
        <v>16.04</v>
      </c>
      <c r="F14588" s="76" t="s">
        <v>997</v>
      </c>
      <c r="G14588" s="83">
        <v>46124.0</v>
      </c>
      <c r="H14588" s="76" t="s">
        <v>945</v>
      </c>
    </row>
    <row r="14589">
      <c r="A14589" s="76" t="s">
        <v>944</v>
      </c>
      <c r="B14589" s="76" t="s">
        <v>1006</v>
      </c>
      <c r="C14589" s="84">
        <v>4.1</v>
      </c>
      <c r="D14589" s="84">
        <v>0.0</v>
      </c>
      <c r="E14589" s="84">
        <v>0.0</v>
      </c>
      <c r="F14589" s="76" t="s">
        <v>997</v>
      </c>
      <c r="G14589" s="83">
        <v>46124.0</v>
      </c>
      <c r="H14589" s="76" t="s">
        <v>946</v>
      </c>
    </row>
    <row r="14590">
      <c r="A14590" s="76" t="s">
        <v>944</v>
      </c>
      <c r="B14590" s="76" t="s">
        <v>1006</v>
      </c>
      <c r="C14590" s="84">
        <v>36.49</v>
      </c>
      <c r="D14590" s="84">
        <v>4.0</v>
      </c>
      <c r="E14590" s="84">
        <v>9.12</v>
      </c>
      <c r="F14590" s="76" t="s">
        <v>997</v>
      </c>
      <c r="G14590" s="83">
        <v>46124.0</v>
      </c>
      <c r="H14590" s="76" t="s">
        <v>947</v>
      </c>
    </row>
    <row r="14591">
      <c r="A14591" s="76" t="s">
        <v>26</v>
      </c>
      <c r="B14591" s="76" t="s">
        <v>1006</v>
      </c>
      <c r="C14591" s="84">
        <v>3.68</v>
      </c>
      <c r="D14591" s="84">
        <v>1.0</v>
      </c>
      <c r="E14591" s="84">
        <v>3.68</v>
      </c>
      <c r="F14591" s="76" t="s">
        <v>997</v>
      </c>
      <c r="G14591" s="83">
        <v>46124.0</v>
      </c>
      <c r="H14591" s="76" t="s">
        <v>1012</v>
      </c>
    </row>
    <row r="14592">
      <c r="A14592" s="76" t="s">
        <v>26</v>
      </c>
      <c r="B14592" s="76" t="s">
        <v>1006</v>
      </c>
      <c r="C14592" s="84">
        <v>2.12</v>
      </c>
      <c r="D14592" s="84">
        <v>0.0</v>
      </c>
      <c r="E14592" s="84">
        <v>0.0</v>
      </c>
      <c r="F14592" s="76" t="s">
        <v>997</v>
      </c>
      <c r="G14592" s="83">
        <v>46124.0</v>
      </c>
      <c r="H14592" s="76" t="s">
        <v>1013</v>
      </c>
    </row>
    <row r="14593">
      <c r="A14593" s="76" t="s">
        <v>26</v>
      </c>
      <c r="B14593" s="76" t="s">
        <v>1006</v>
      </c>
      <c r="C14593" s="84">
        <v>116.75</v>
      </c>
      <c r="D14593" s="84">
        <v>22.0</v>
      </c>
      <c r="E14593" s="84">
        <v>5.31</v>
      </c>
      <c r="F14593" s="76" t="s">
        <v>997</v>
      </c>
      <c r="G14593" s="83">
        <v>46124.0</v>
      </c>
      <c r="H14593" s="76" t="s">
        <v>1014</v>
      </c>
    </row>
    <row r="14594">
      <c r="A14594" s="76" t="s">
        <v>36</v>
      </c>
      <c r="B14594" s="76" t="s">
        <v>1006</v>
      </c>
      <c r="C14594" s="84">
        <v>1.85</v>
      </c>
      <c r="D14594" s="84">
        <v>0.0</v>
      </c>
      <c r="E14594" s="84">
        <v>0.0</v>
      </c>
      <c r="F14594" s="76" t="s">
        <v>998</v>
      </c>
      <c r="G14594" s="83">
        <v>46124.0</v>
      </c>
      <c r="H14594" s="76" t="s">
        <v>926</v>
      </c>
    </row>
    <row r="14595">
      <c r="A14595" s="76" t="s">
        <v>36</v>
      </c>
      <c r="B14595" s="76" t="s">
        <v>1006</v>
      </c>
      <c r="C14595" s="84">
        <v>0.4</v>
      </c>
      <c r="D14595" s="84">
        <v>0.0</v>
      </c>
      <c r="E14595" s="84">
        <v>0.0</v>
      </c>
      <c r="F14595" s="76" t="s">
        <v>998</v>
      </c>
      <c r="G14595" s="83">
        <v>46124.0</v>
      </c>
      <c r="H14595" s="76" t="s">
        <v>927</v>
      </c>
    </row>
    <row r="14596">
      <c r="A14596" s="76" t="s">
        <v>36</v>
      </c>
      <c r="B14596" s="76" t="s">
        <v>1006</v>
      </c>
      <c r="C14596" s="84">
        <v>1.73</v>
      </c>
      <c r="D14596" s="84">
        <v>0.0</v>
      </c>
      <c r="E14596" s="84">
        <v>0.0</v>
      </c>
      <c r="F14596" s="76" t="s">
        <v>998</v>
      </c>
      <c r="G14596" s="83">
        <v>46124.0</v>
      </c>
      <c r="H14596" s="76" t="s">
        <v>928</v>
      </c>
    </row>
    <row r="14597">
      <c r="A14597" s="76" t="s">
        <v>31</v>
      </c>
      <c r="B14597" s="76" t="s">
        <v>1006</v>
      </c>
      <c r="C14597" s="84">
        <v>0.84</v>
      </c>
      <c r="D14597" s="84">
        <v>0.0</v>
      </c>
      <c r="E14597" s="84">
        <v>0.0</v>
      </c>
      <c r="F14597" s="76" t="s">
        <v>998</v>
      </c>
      <c r="G14597" s="83">
        <v>46124.0</v>
      </c>
      <c r="H14597" s="76" t="s">
        <v>929</v>
      </c>
    </row>
    <row r="14598">
      <c r="A14598" s="76" t="s">
        <v>31</v>
      </c>
      <c r="B14598" s="76" t="s">
        <v>1006</v>
      </c>
      <c r="C14598" s="84">
        <v>6.46</v>
      </c>
      <c r="D14598" s="84">
        <v>0.0</v>
      </c>
      <c r="E14598" s="84">
        <v>0.0</v>
      </c>
      <c r="F14598" s="76" t="s">
        <v>998</v>
      </c>
      <c r="G14598" s="83">
        <v>46124.0</v>
      </c>
      <c r="H14598" s="76" t="s">
        <v>930</v>
      </c>
    </row>
    <row r="14599">
      <c r="A14599" s="76" t="s">
        <v>28</v>
      </c>
      <c r="B14599" s="76" t="s">
        <v>1006</v>
      </c>
      <c r="C14599" s="84">
        <v>0.67</v>
      </c>
      <c r="D14599" s="84">
        <v>0.0</v>
      </c>
      <c r="E14599" s="84">
        <v>0.0</v>
      </c>
      <c r="F14599" s="76" t="s">
        <v>998</v>
      </c>
      <c r="G14599" s="83">
        <v>46124.0</v>
      </c>
      <c r="H14599" s="76" t="s">
        <v>931</v>
      </c>
    </row>
    <row r="14600">
      <c r="A14600" s="76" t="s">
        <v>28</v>
      </c>
      <c r="B14600" s="76" t="s">
        <v>1006</v>
      </c>
      <c r="C14600" s="84">
        <v>0.51</v>
      </c>
      <c r="D14600" s="84">
        <v>0.0</v>
      </c>
      <c r="E14600" s="84">
        <v>0.0</v>
      </c>
      <c r="F14600" s="76" t="s">
        <v>998</v>
      </c>
      <c r="G14600" s="83">
        <v>46124.0</v>
      </c>
      <c r="H14600" s="76" t="s">
        <v>932</v>
      </c>
    </row>
    <row r="14601">
      <c r="A14601" s="76" t="s">
        <v>28</v>
      </c>
      <c r="B14601" s="76" t="s">
        <v>1006</v>
      </c>
      <c r="C14601" s="84">
        <v>1.1</v>
      </c>
      <c r="D14601" s="84">
        <v>0.0</v>
      </c>
      <c r="E14601" s="84">
        <v>0.0</v>
      </c>
      <c r="F14601" s="76" t="s">
        <v>998</v>
      </c>
      <c r="G14601" s="83">
        <v>46124.0</v>
      </c>
      <c r="H14601" s="76" t="s">
        <v>933</v>
      </c>
    </row>
    <row r="14602">
      <c r="A14602" s="76" t="s">
        <v>45</v>
      </c>
      <c r="B14602" s="76" t="s">
        <v>1006</v>
      </c>
      <c r="C14602" s="84">
        <v>0.66</v>
      </c>
      <c r="D14602" s="84">
        <v>0.0</v>
      </c>
      <c r="E14602" s="84">
        <v>0.0</v>
      </c>
      <c r="F14602" s="76" t="s">
        <v>998</v>
      </c>
      <c r="G14602" s="83">
        <v>46124.0</v>
      </c>
      <c r="H14602" s="76" t="s">
        <v>936</v>
      </c>
    </row>
    <row r="14603">
      <c r="A14603" s="76" t="s">
        <v>45</v>
      </c>
      <c r="B14603" s="76" t="s">
        <v>1006</v>
      </c>
      <c r="C14603" s="84">
        <v>1.45</v>
      </c>
      <c r="D14603" s="84">
        <v>0.0</v>
      </c>
      <c r="E14603" s="84">
        <v>0.0</v>
      </c>
      <c r="F14603" s="76" t="s">
        <v>998</v>
      </c>
      <c r="G14603" s="83">
        <v>46124.0</v>
      </c>
      <c r="H14603" s="76" t="s">
        <v>937</v>
      </c>
    </row>
    <row r="14604">
      <c r="A14604" s="76" t="s">
        <v>45</v>
      </c>
      <c r="B14604" s="76" t="s">
        <v>1006</v>
      </c>
      <c r="C14604" s="84">
        <v>0.3</v>
      </c>
      <c r="D14604" s="84">
        <v>0.0</v>
      </c>
      <c r="E14604" s="84">
        <v>0.0</v>
      </c>
      <c r="F14604" s="76" t="s">
        <v>998</v>
      </c>
      <c r="G14604" s="83">
        <v>46124.0</v>
      </c>
      <c r="H14604" s="76" t="s">
        <v>938</v>
      </c>
    </row>
    <row r="14605">
      <c r="A14605" s="76" t="s">
        <v>32</v>
      </c>
      <c r="B14605" s="76" t="s">
        <v>1006</v>
      </c>
      <c r="C14605" s="84">
        <v>24.05</v>
      </c>
      <c r="D14605" s="84">
        <v>1.0</v>
      </c>
      <c r="E14605" s="84">
        <v>24.05</v>
      </c>
      <c r="F14605" s="76" t="s">
        <v>998</v>
      </c>
      <c r="G14605" s="83">
        <v>46124.0</v>
      </c>
      <c r="H14605" s="76" t="s">
        <v>941</v>
      </c>
    </row>
    <row r="14606">
      <c r="A14606" s="76" t="s">
        <v>32</v>
      </c>
      <c r="B14606" s="76" t="s">
        <v>1006</v>
      </c>
      <c r="C14606" s="84">
        <v>0.34</v>
      </c>
      <c r="D14606" s="84">
        <v>0.0</v>
      </c>
      <c r="E14606" s="84">
        <v>0.0</v>
      </c>
      <c r="F14606" s="76" t="s">
        <v>998</v>
      </c>
      <c r="G14606" s="83">
        <v>46124.0</v>
      </c>
      <c r="H14606" s="76" t="s">
        <v>942</v>
      </c>
    </row>
    <row r="14607">
      <c r="A14607" s="76" t="s">
        <v>32</v>
      </c>
      <c r="B14607" s="76" t="s">
        <v>1006</v>
      </c>
      <c r="C14607" s="84">
        <v>2.41</v>
      </c>
      <c r="D14607" s="84">
        <v>0.0</v>
      </c>
      <c r="E14607" s="84">
        <v>0.0</v>
      </c>
      <c r="F14607" s="76" t="s">
        <v>998</v>
      </c>
      <c r="G14607" s="83">
        <v>46124.0</v>
      </c>
      <c r="H14607" s="76" t="s">
        <v>943</v>
      </c>
    </row>
    <row r="14608">
      <c r="A14608" s="76" t="s">
        <v>944</v>
      </c>
      <c r="B14608" s="76" t="s">
        <v>1006</v>
      </c>
      <c r="C14608" s="84">
        <v>1.48</v>
      </c>
      <c r="D14608" s="84">
        <v>0.0</v>
      </c>
      <c r="E14608" s="84">
        <v>0.0</v>
      </c>
      <c r="F14608" s="76" t="s">
        <v>998</v>
      </c>
      <c r="G14608" s="83">
        <v>46124.0</v>
      </c>
      <c r="H14608" s="76" t="s">
        <v>945</v>
      </c>
    </row>
    <row r="14609">
      <c r="A14609" s="76" t="s">
        <v>944</v>
      </c>
      <c r="B14609" s="76" t="s">
        <v>1006</v>
      </c>
      <c r="C14609" s="84">
        <v>0.25</v>
      </c>
      <c r="D14609" s="84">
        <v>0.0</v>
      </c>
      <c r="E14609" s="84">
        <v>0.0</v>
      </c>
      <c r="F14609" s="76" t="s">
        <v>998</v>
      </c>
      <c r="G14609" s="83">
        <v>46124.0</v>
      </c>
      <c r="H14609" s="76" t="s">
        <v>946</v>
      </c>
    </row>
    <row r="14610">
      <c r="A14610" s="76" t="s">
        <v>944</v>
      </c>
      <c r="B14610" s="76" t="s">
        <v>1006</v>
      </c>
      <c r="C14610" s="84">
        <v>4.61</v>
      </c>
      <c r="D14610" s="84">
        <v>3.0</v>
      </c>
      <c r="E14610" s="84">
        <v>1.54</v>
      </c>
      <c r="F14610" s="76" t="s">
        <v>998</v>
      </c>
      <c r="G14610" s="83">
        <v>46124.0</v>
      </c>
      <c r="H14610" s="76" t="s">
        <v>947</v>
      </c>
    </row>
    <row r="14611">
      <c r="A14611" s="76" t="s">
        <v>26</v>
      </c>
      <c r="B14611" s="76" t="s">
        <v>1006</v>
      </c>
      <c r="C14611" s="84">
        <v>0.69</v>
      </c>
      <c r="D14611" s="84">
        <v>0.0</v>
      </c>
      <c r="E14611" s="84">
        <v>0.0</v>
      </c>
      <c r="F14611" s="76" t="s">
        <v>998</v>
      </c>
      <c r="G14611" s="83">
        <v>46124.0</v>
      </c>
      <c r="H14611" s="76" t="s">
        <v>1012</v>
      </c>
    </row>
    <row r="14612">
      <c r="A14612" s="76" t="s">
        <v>26</v>
      </c>
      <c r="B14612" s="76" t="s">
        <v>1006</v>
      </c>
      <c r="C14612" s="84">
        <v>0.69</v>
      </c>
      <c r="D14612" s="84">
        <v>0.0</v>
      </c>
      <c r="E14612" s="84">
        <v>0.0</v>
      </c>
      <c r="F14612" s="76" t="s">
        <v>998</v>
      </c>
      <c r="G14612" s="83">
        <v>46124.0</v>
      </c>
      <c r="H14612" s="76" t="s">
        <v>1013</v>
      </c>
    </row>
    <row r="14613">
      <c r="A14613" s="76" t="s">
        <v>26</v>
      </c>
      <c r="B14613" s="76" t="s">
        <v>1006</v>
      </c>
      <c r="C14613" s="84">
        <v>7.67</v>
      </c>
      <c r="D14613" s="84">
        <v>1.0</v>
      </c>
      <c r="E14613" s="84">
        <v>7.67</v>
      </c>
      <c r="F14613" s="76" t="s">
        <v>998</v>
      </c>
      <c r="G14613" s="83">
        <v>46124.0</v>
      </c>
      <c r="H14613" s="76" t="s">
        <v>1014</v>
      </c>
    </row>
    <row r="14614">
      <c r="A14614" s="76" t="s">
        <v>40</v>
      </c>
      <c r="B14614" s="76" t="s">
        <v>1039</v>
      </c>
      <c r="C14614" s="84">
        <v>5.03</v>
      </c>
      <c r="D14614" s="84">
        <v>4.0</v>
      </c>
      <c r="E14614" s="84">
        <v>1.26</v>
      </c>
      <c r="F14614" s="76" t="s">
        <v>1005</v>
      </c>
      <c r="G14614" s="83">
        <v>46124.0</v>
      </c>
      <c r="H14614" s="76" t="s">
        <v>954</v>
      </c>
    </row>
    <row r="14615">
      <c r="A14615" s="76" t="s">
        <v>40</v>
      </c>
      <c r="B14615" s="76" t="s">
        <v>1039</v>
      </c>
      <c r="C14615" s="84">
        <v>2.35</v>
      </c>
      <c r="D14615" s="84">
        <v>1.0</v>
      </c>
      <c r="E14615" s="84">
        <v>2.35</v>
      </c>
      <c r="F14615" s="76" t="s">
        <v>1005</v>
      </c>
      <c r="G14615" s="83">
        <v>46124.0</v>
      </c>
      <c r="H14615" s="76" t="s">
        <v>955</v>
      </c>
    </row>
    <row r="14616">
      <c r="A14616" s="76" t="s">
        <v>40</v>
      </c>
      <c r="B14616" s="76" t="s">
        <v>1039</v>
      </c>
      <c r="C14616" s="84">
        <v>100.01</v>
      </c>
      <c r="D14616" s="84">
        <v>23.0</v>
      </c>
      <c r="E14616" s="84">
        <v>4.35</v>
      </c>
      <c r="F14616" s="76" t="s">
        <v>1005</v>
      </c>
      <c r="G14616" s="83">
        <v>46124.0</v>
      </c>
      <c r="H14616" s="76" t="s">
        <v>956</v>
      </c>
    </row>
    <row r="14617">
      <c r="A14617" s="76" t="s">
        <v>36</v>
      </c>
      <c r="B14617" s="76" t="s">
        <v>1039</v>
      </c>
      <c r="C14617" s="84">
        <v>21.17</v>
      </c>
      <c r="D14617" s="84">
        <v>6.0</v>
      </c>
      <c r="E14617" s="84">
        <v>3.53</v>
      </c>
      <c r="F14617" s="76" t="s">
        <v>1005</v>
      </c>
      <c r="G14617" s="83">
        <v>46124.0</v>
      </c>
      <c r="H14617" s="76" t="s">
        <v>926</v>
      </c>
    </row>
    <row r="14618">
      <c r="A14618" s="76" t="s">
        <v>36</v>
      </c>
      <c r="B14618" s="76" t="s">
        <v>1039</v>
      </c>
      <c r="C14618" s="84">
        <v>3.67</v>
      </c>
      <c r="D14618" s="84">
        <v>0.0</v>
      </c>
      <c r="E14618" s="84">
        <v>0.0</v>
      </c>
      <c r="F14618" s="76" t="s">
        <v>1005</v>
      </c>
      <c r="G14618" s="83">
        <v>46124.0</v>
      </c>
      <c r="H14618" s="76" t="s">
        <v>927</v>
      </c>
    </row>
    <row r="14619">
      <c r="A14619" s="76" t="s">
        <v>36</v>
      </c>
      <c r="B14619" s="76" t="s">
        <v>1039</v>
      </c>
      <c r="C14619" s="84">
        <v>13.09</v>
      </c>
      <c r="D14619" s="84">
        <v>2.0</v>
      </c>
      <c r="E14619" s="84">
        <v>6.55</v>
      </c>
      <c r="F14619" s="76" t="s">
        <v>1005</v>
      </c>
      <c r="G14619" s="83">
        <v>46124.0</v>
      </c>
      <c r="H14619" s="76" t="s">
        <v>928</v>
      </c>
    </row>
    <row r="14620">
      <c r="A14620" s="76" t="s">
        <v>46</v>
      </c>
      <c r="B14620" s="76" t="s">
        <v>1039</v>
      </c>
      <c r="C14620" s="84">
        <v>1.67</v>
      </c>
      <c r="D14620" s="84">
        <v>1.0</v>
      </c>
      <c r="E14620" s="84">
        <v>1.67</v>
      </c>
      <c r="F14620" s="76" t="s">
        <v>1005</v>
      </c>
      <c r="G14620" s="83">
        <v>46124.0</v>
      </c>
      <c r="H14620" s="76" t="s">
        <v>960</v>
      </c>
    </row>
    <row r="14621">
      <c r="A14621" s="76" t="s">
        <v>46</v>
      </c>
      <c r="B14621" s="76" t="s">
        <v>1039</v>
      </c>
      <c r="C14621" s="84">
        <v>3.28</v>
      </c>
      <c r="D14621" s="84">
        <v>1.0</v>
      </c>
      <c r="E14621" s="84">
        <v>3.28</v>
      </c>
      <c r="F14621" s="76" t="s">
        <v>1005</v>
      </c>
      <c r="G14621" s="83">
        <v>46124.0</v>
      </c>
      <c r="H14621" s="76" t="s">
        <v>961</v>
      </c>
    </row>
    <row r="14622">
      <c r="A14622" s="76" t="s">
        <v>46</v>
      </c>
      <c r="B14622" s="76" t="s">
        <v>1039</v>
      </c>
      <c r="C14622" s="84">
        <v>4.81</v>
      </c>
      <c r="D14622" s="84">
        <v>0.0</v>
      </c>
      <c r="E14622" s="84">
        <v>0.0</v>
      </c>
      <c r="F14622" s="76" t="s">
        <v>1005</v>
      </c>
      <c r="G14622" s="83">
        <v>46124.0</v>
      </c>
      <c r="H14622" s="76" t="s">
        <v>962</v>
      </c>
    </row>
    <row r="14623">
      <c r="A14623" s="76" t="s">
        <v>970</v>
      </c>
      <c r="B14623" s="76" t="s">
        <v>1039</v>
      </c>
      <c r="C14623" s="84">
        <v>9.64</v>
      </c>
      <c r="D14623" s="84">
        <v>3.0</v>
      </c>
      <c r="E14623" s="84">
        <v>3.21</v>
      </c>
      <c r="F14623" s="76" t="s">
        <v>1005</v>
      </c>
      <c r="G14623" s="83">
        <v>46124.0</v>
      </c>
      <c r="H14623" s="76" t="s">
        <v>971</v>
      </c>
    </row>
    <row r="14624">
      <c r="A14624" s="76" t="s">
        <v>970</v>
      </c>
      <c r="B14624" s="76" t="s">
        <v>1039</v>
      </c>
      <c r="C14624" s="84">
        <v>1.02</v>
      </c>
      <c r="D14624" s="84">
        <v>0.0</v>
      </c>
      <c r="E14624" s="84">
        <v>0.0</v>
      </c>
      <c r="F14624" s="76" t="s">
        <v>1005</v>
      </c>
      <c r="G14624" s="83">
        <v>46124.0</v>
      </c>
      <c r="H14624" s="76" t="s">
        <v>972</v>
      </c>
    </row>
    <row r="14625">
      <c r="A14625" s="76" t="s">
        <v>970</v>
      </c>
      <c r="B14625" s="76" t="s">
        <v>1039</v>
      </c>
      <c r="C14625" s="84">
        <v>17.75</v>
      </c>
      <c r="D14625" s="84">
        <v>7.0</v>
      </c>
      <c r="E14625" s="84">
        <v>2.54</v>
      </c>
      <c r="F14625" s="76" t="s">
        <v>1005</v>
      </c>
      <c r="G14625" s="83">
        <v>46124.0</v>
      </c>
      <c r="H14625" s="76" t="s">
        <v>973</v>
      </c>
    </row>
    <row r="14626">
      <c r="A14626" s="76" t="s">
        <v>29</v>
      </c>
      <c r="B14626" s="76" t="s">
        <v>1039</v>
      </c>
      <c r="C14626" s="84">
        <v>42.17</v>
      </c>
      <c r="D14626" s="84">
        <v>14.0</v>
      </c>
      <c r="E14626" s="84">
        <v>3.01</v>
      </c>
      <c r="F14626" s="76" t="s">
        <v>1005</v>
      </c>
      <c r="G14626" s="83">
        <v>46124.0</v>
      </c>
      <c r="H14626" s="76" t="s">
        <v>1015</v>
      </c>
    </row>
    <row r="14627">
      <c r="A14627" s="76" t="s">
        <v>29</v>
      </c>
      <c r="B14627" s="76" t="s">
        <v>1039</v>
      </c>
      <c r="C14627" s="84">
        <v>5.5</v>
      </c>
      <c r="D14627" s="84">
        <v>0.0</v>
      </c>
      <c r="E14627" s="84">
        <v>0.0</v>
      </c>
      <c r="F14627" s="76" t="s">
        <v>1005</v>
      </c>
      <c r="G14627" s="83">
        <v>46124.0</v>
      </c>
      <c r="H14627" s="76" t="s">
        <v>1016</v>
      </c>
    </row>
    <row r="14628">
      <c r="A14628" s="76" t="s">
        <v>29</v>
      </c>
      <c r="B14628" s="76" t="s">
        <v>1039</v>
      </c>
      <c r="C14628" s="84">
        <v>1.96</v>
      </c>
      <c r="D14628" s="84">
        <v>0.0</v>
      </c>
      <c r="E14628" s="84">
        <v>0.0</v>
      </c>
      <c r="F14628" s="76" t="s">
        <v>1005</v>
      </c>
      <c r="G14628" s="83">
        <v>46124.0</v>
      </c>
      <c r="H14628" s="76" t="s">
        <v>1017</v>
      </c>
    </row>
    <row r="14629">
      <c r="A14629" s="76" t="s">
        <v>34</v>
      </c>
      <c r="B14629" s="76" t="s">
        <v>1039</v>
      </c>
      <c r="C14629" s="84">
        <v>130.73</v>
      </c>
      <c r="D14629" s="84">
        <v>19.0</v>
      </c>
      <c r="E14629" s="84">
        <v>6.88</v>
      </c>
      <c r="F14629" s="76" t="s">
        <v>1005</v>
      </c>
      <c r="G14629" s="83">
        <v>46124.0</v>
      </c>
      <c r="H14629" s="76" t="s">
        <v>951</v>
      </c>
    </row>
    <row r="14630">
      <c r="A14630" s="76" t="s">
        <v>34</v>
      </c>
      <c r="B14630" s="76" t="s">
        <v>1039</v>
      </c>
      <c r="C14630" s="84">
        <v>106.05</v>
      </c>
      <c r="D14630" s="84">
        <v>25.0</v>
      </c>
      <c r="E14630" s="84">
        <v>4.24</v>
      </c>
      <c r="F14630" s="76" t="s">
        <v>1005</v>
      </c>
      <c r="G14630" s="83">
        <v>46124.0</v>
      </c>
      <c r="H14630" s="76" t="s">
        <v>952</v>
      </c>
    </row>
    <row r="14631">
      <c r="A14631" s="76" t="s">
        <v>34</v>
      </c>
      <c r="B14631" s="76" t="s">
        <v>1039</v>
      </c>
      <c r="C14631" s="84">
        <v>5.64</v>
      </c>
      <c r="D14631" s="84">
        <v>0.0</v>
      </c>
      <c r="E14631" s="84">
        <v>0.0</v>
      </c>
      <c r="F14631" s="76" t="s">
        <v>1005</v>
      </c>
      <c r="G14631" s="83">
        <v>46124.0</v>
      </c>
      <c r="H14631" s="76" t="s">
        <v>953</v>
      </c>
    </row>
    <row r="14632">
      <c r="A14632" s="76" t="s">
        <v>33</v>
      </c>
      <c r="B14632" s="76" t="s">
        <v>1039</v>
      </c>
      <c r="C14632" s="84">
        <v>332.59</v>
      </c>
      <c r="D14632" s="84">
        <v>67.0</v>
      </c>
      <c r="E14632" s="84">
        <v>4.96</v>
      </c>
      <c r="F14632" s="76" t="s">
        <v>1005</v>
      </c>
      <c r="G14632" s="83">
        <v>46124.0</v>
      </c>
      <c r="H14632" s="76" t="s">
        <v>957</v>
      </c>
    </row>
    <row r="14633">
      <c r="A14633" s="76" t="s">
        <v>33</v>
      </c>
      <c r="B14633" s="76" t="s">
        <v>1039</v>
      </c>
      <c r="C14633" s="84">
        <v>7.19</v>
      </c>
      <c r="D14633" s="84">
        <v>1.0</v>
      </c>
      <c r="E14633" s="84">
        <v>7.19</v>
      </c>
      <c r="F14633" s="76" t="s">
        <v>1005</v>
      </c>
      <c r="G14633" s="83">
        <v>46124.0</v>
      </c>
      <c r="H14633" s="76" t="s">
        <v>958</v>
      </c>
    </row>
    <row r="14634">
      <c r="A14634" s="76" t="s">
        <v>33</v>
      </c>
      <c r="B14634" s="76" t="s">
        <v>1039</v>
      </c>
      <c r="C14634" s="84">
        <v>14.38</v>
      </c>
      <c r="D14634" s="84">
        <v>4.0</v>
      </c>
      <c r="E14634" s="84">
        <v>3.6</v>
      </c>
      <c r="F14634" s="76" t="s">
        <v>1005</v>
      </c>
      <c r="G14634" s="83">
        <v>46124.0</v>
      </c>
      <c r="H14634" s="76" t="s">
        <v>959</v>
      </c>
    </row>
    <row r="14635">
      <c r="A14635" s="76" t="s">
        <v>43</v>
      </c>
      <c r="B14635" s="76" t="s">
        <v>1039</v>
      </c>
      <c r="C14635" s="84">
        <v>2.08</v>
      </c>
      <c r="D14635" s="84">
        <v>1.0</v>
      </c>
      <c r="E14635" s="84">
        <v>2.08</v>
      </c>
      <c r="F14635" s="76" t="s">
        <v>1005</v>
      </c>
      <c r="G14635" s="83">
        <v>46124.0</v>
      </c>
      <c r="H14635" s="76" t="s">
        <v>963</v>
      </c>
    </row>
    <row r="14636">
      <c r="A14636" s="76" t="s">
        <v>43</v>
      </c>
      <c r="B14636" s="76" t="s">
        <v>1039</v>
      </c>
      <c r="C14636" s="84">
        <v>3.37</v>
      </c>
      <c r="D14636" s="84">
        <v>1.0</v>
      </c>
      <c r="E14636" s="84">
        <v>3.37</v>
      </c>
      <c r="F14636" s="76" t="s">
        <v>1005</v>
      </c>
      <c r="G14636" s="83">
        <v>46124.0</v>
      </c>
      <c r="H14636" s="76" t="s">
        <v>964</v>
      </c>
    </row>
    <row r="14637">
      <c r="A14637" s="76" t="s">
        <v>43</v>
      </c>
      <c r="B14637" s="76" t="s">
        <v>1039</v>
      </c>
      <c r="C14637" s="84">
        <v>4.28</v>
      </c>
      <c r="D14637" s="84">
        <v>1.0</v>
      </c>
      <c r="E14637" s="84">
        <v>4.28</v>
      </c>
      <c r="F14637" s="76" t="s">
        <v>1005</v>
      </c>
      <c r="G14637" s="83">
        <v>46124.0</v>
      </c>
      <c r="H14637" s="76" t="s">
        <v>965</v>
      </c>
    </row>
    <row r="14638">
      <c r="A14638" s="76" t="s">
        <v>966</v>
      </c>
      <c r="B14638" s="76" t="s">
        <v>1039</v>
      </c>
      <c r="C14638" s="84">
        <v>8.49</v>
      </c>
      <c r="D14638" s="84">
        <v>2.0</v>
      </c>
      <c r="E14638" s="84">
        <v>4.24</v>
      </c>
      <c r="F14638" s="76" t="s">
        <v>1005</v>
      </c>
      <c r="G14638" s="83">
        <v>46124.0</v>
      </c>
      <c r="H14638" s="76" t="s">
        <v>967</v>
      </c>
    </row>
    <row r="14639">
      <c r="A14639" s="76" t="s">
        <v>966</v>
      </c>
      <c r="B14639" s="76" t="s">
        <v>1039</v>
      </c>
      <c r="C14639" s="84">
        <v>3.04</v>
      </c>
      <c r="D14639" s="84">
        <v>0.0</v>
      </c>
      <c r="E14639" s="84">
        <v>0.0</v>
      </c>
      <c r="F14639" s="76" t="s">
        <v>1005</v>
      </c>
      <c r="G14639" s="83">
        <v>46124.0</v>
      </c>
      <c r="H14639" s="76" t="s">
        <v>968</v>
      </c>
    </row>
    <row r="14640">
      <c r="A14640" s="76" t="s">
        <v>966</v>
      </c>
      <c r="B14640" s="76" t="s">
        <v>1039</v>
      </c>
      <c r="C14640" s="84">
        <v>18.11</v>
      </c>
      <c r="D14640" s="84">
        <v>3.0</v>
      </c>
      <c r="E14640" s="84">
        <v>6.04</v>
      </c>
      <c r="F14640" s="76" t="s">
        <v>1005</v>
      </c>
      <c r="G14640" s="83">
        <v>46124.0</v>
      </c>
      <c r="H14640" s="76" t="s">
        <v>969</v>
      </c>
    </row>
    <row r="14641">
      <c r="A14641" s="76" t="s">
        <v>970</v>
      </c>
      <c r="B14641" s="76" t="s">
        <v>1039</v>
      </c>
      <c r="C14641" s="84">
        <v>2.34</v>
      </c>
      <c r="D14641" s="84">
        <v>0.0</v>
      </c>
      <c r="E14641" s="84">
        <v>0.0</v>
      </c>
      <c r="F14641" s="76" t="s">
        <v>996</v>
      </c>
      <c r="G14641" s="83">
        <v>46124.0</v>
      </c>
      <c r="H14641" s="76" t="s">
        <v>971</v>
      </c>
    </row>
    <row r="14642">
      <c r="A14642" s="76" t="s">
        <v>970</v>
      </c>
      <c r="B14642" s="76" t="s">
        <v>1039</v>
      </c>
      <c r="C14642" s="84">
        <v>0.49</v>
      </c>
      <c r="D14642" s="84">
        <v>0.0</v>
      </c>
      <c r="E14642" s="84">
        <v>0.0</v>
      </c>
      <c r="F14642" s="76" t="s">
        <v>996</v>
      </c>
      <c r="G14642" s="83">
        <v>46124.0</v>
      </c>
      <c r="H14642" s="76" t="s">
        <v>972</v>
      </c>
    </row>
    <row r="14643">
      <c r="A14643" s="76" t="s">
        <v>970</v>
      </c>
      <c r="B14643" s="76" t="s">
        <v>1039</v>
      </c>
      <c r="C14643" s="84">
        <v>3.29</v>
      </c>
      <c r="D14643" s="84">
        <v>0.0</v>
      </c>
      <c r="E14643" s="84">
        <v>0.0</v>
      </c>
      <c r="F14643" s="76" t="s">
        <v>996</v>
      </c>
      <c r="G14643" s="83">
        <v>46124.0</v>
      </c>
      <c r="H14643" s="76" t="s">
        <v>973</v>
      </c>
    </row>
    <row r="14644">
      <c r="A14644" s="76" t="s">
        <v>29</v>
      </c>
      <c r="B14644" s="76" t="s">
        <v>1039</v>
      </c>
      <c r="C14644" s="84">
        <v>3.25</v>
      </c>
      <c r="D14644" s="84">
        <v>0.0</v>
      </c>
      <c r="E14644" s="84">
        <v>0.0</v>
      </c>
      <c r="F14644" s="76" t="s">
        <v>996</v>
      </c>
      <c r="G14644" s="83">
        <v>46124.0</v>
      </c>
      <c r="H14644" s="76" t="s">
        <v>971</v>
      </c>
    </row>
    <row r="14645">
      <c r="A14645" s="76" t="s">
        <v>29</v>
      </c>
      <c r="B14645" s="76" t="s">
        <v>1039</v>
      </c>
      <c r="C14645" s="84">
        <v>0.39</v>
      </c>
      <c r="D14645" s="84">
        <v>0.0</v>
      </c>
      <c r="E14645" s="84">
        <v>0.0</v>
      </c>
      <c r="F14645" s="76" t="s">
        <v>996</v>
      </c>
      <c r="G14645" s="83">
        <v>46124.0</v>
      </c>
      <c r="H14645" s="76" t="s">
        <v>972</v>
      </c>
    </row>
    <row r="14646">
      <c r="A14646" s="76" t="s">
        <v>29</v>
      </c>
      <c r="B14646" s="76" t="s">
        <v>1039</v>
      </c>
      <c r="C14646" s="84">
        <v>4.48</v>
      </c>
      <c r="D14646" s="84">
        <v>0.0</v>
      </c>
      <c r="E14646" s="84">
        <v>0.0</v>
      </c>
      <c r="F14646" s="76" t="s">
        <v>996</v>
      </c>
      <c r="G14646" s="83">
        <v>46124.0</v>
      </c>
      <c r="H14646" s="76" t="s">
        <v>973</v>
      </c>
    </row>
    <row r="14647">
      <c r="A14647" s="76" t="s">
        <v>43</v>
      </c>
      <c r="B14647" s="76" t="s">
        <v>1039</v>
      </c>
      <c r="C14647" s="84">
        <v>0.88</v>
      </c>
      <c r="D14647" s="84">
        <v>0.0</v>
      </c>
      <c r="E14647" s="84">
        <v>0.0</v>
      </c>
      <c r="F14647" s="76" t="s">
        <v>996</v>
      </c>
      <c r="G14647" s="83">
        <v>46124.0</v>
      </c>
      <c r="H14647" s="76" t="s">
        <v>963</v>
      </c>
    </row>
    <row r="14648">
      <c r="A14648" s="76" t="s">
        <v>43</v>
      </c>
      <c r="B14648" s="76" t="s">
        <v>1039</v>
      </c>
      <c r="C14648" s="84">
        <v>0.93</v>
      </c>
      <c r="D14648" s="84">
        <v>0.0</v>
      </c>
      <c r="E14648" s="84">
        <v>0.0</v>
      </c>
      <c r="F14648" s="76" t="s">
        <v>996</v>
      </c>
      <c r="G14648" s="83">
        <v>46124.0</v>
      </c>
      <c r="H14648" s="76" t="s">
        <v>964</v>
      </c>
    </row>
    <row r="14649">
      <c r="A14649" s="76" t="s">
        <v>43</v>
      </c>
      <c r="B14649" s="76" t="s">
        <v>1039</v>
      </c>
      <c r="C14649" s="84">
        <v>1.03</v>
      </c>
      <c r="D14649" s="84">
        <v>0.0</v>
      </c>
      <c r="E14649" s="84">
        <v>0.0</v>
      </c>
      <c r="F14649" s="76" t="s">
        <v>996</v>
      </c>
      <c r="G14649" s="83">
        <v>46124.0</v>
      </c>
      <c r="H14649" s="76" t="s">
        <v>965</v>
      </c>
    </row>
    <row r="14650">
      <c r="A14650" s="76" t="s">
        <v>46</v>
      </c>
      <c r="B14650" s="76" t="s">
        <v>1039</v>
      </c>
      <c r="C14650" s="84">
        <v>0.25</v>
      </c>
      <c r="D14650" s="84">
        <v>0.0</v>
      </c>
      <c r="E14650" s="84">
        <v>0.0</v>
      </c>
      <c r="F14650" s="76" t="s">
        <v>996</v>
      </c>
      <c r="G14650" s="83">
        <v>46124.0</v>
      </c>
      <c r="H14650" s="76" t="s">
        <v>960</v>
      </c>
    </row>
    <row r="14651">
      <c r="A14651" s="76" t="s">
        <v>46</v>
      </c>
      <c r="B14651" s="76" t="s">
        <v>1039</v>
      </c>
      <c r="C14651" s="84">
        <v>1.22</v>
      </c>
      <c r="D14651" s="84">
        <v>0.0</v>
      </c>
      <c r="E14651" s="84">
        <v>0.0</v>
      </c>
      <c r="F14651" s="76" t="s">
        <v>996</v>
      </c>
      <c r="G14651" s="83">
        <v>46124.0</v>
      </c>
      <c r="H14651" s="76" t="s">
        <v>961</v>
      </c>
    </row>
    <row r="14652">
      <c r="A14652" s="76" t="s">
        <v>46</v>
      </c>
      <c r="B14652" s="76" t="s">
        <v>1039</v>
      </c>
      <c r="C14652" s="84">
        <v>1.71</v>
      </c>
      <c r="D14652" s="84">
        <v>0.0</v>
      </c>
      <c r="E14652" s="84">
        <v>0.0</v>
      </c>
      <c r="F14652" s="76" t="s">
        <v>996</v>
      </c>
      <c r="G14652" s="83">
        <v>46124.0</v>
      </c>
      <c r="H14652" s="76" t="s">
        <v>962</v>
      </c>
    </row>
    <row r="14653">
      <c r="A14653" s="76" t="s">
        <v>966</v>
      </c>
      <c r="B14653" s="76" t="s">
        <v>1039</v>
      </c>
      <c r="C14653" s="84">
        <v>3.03</v>
      </c>
      <c r="D14653" s="84">
        <v>0.0</v>
      </c>
      <c r="E14653" s="84">
        <v>0.0</v>
      </c>
      <c r="F14653" s="76" t="s">
        <v>996</v>
      </c>
      <c r="G14653" s="83">
        <v>46124.0</v>
      </c>
      <c r="H14653" s="76" t="s">
        <v>967</v>
      </c>
    </row>
    <row r="14654">
      <c r="A14654" s="76" t="s">
        <v>966</v>
      </c>
      <c r="B14654" s="76" t="s">
        <v>1039</v>
      </c>
      <c r="C14654" s="84">
        <v>1.29</v>
      </c>
      <c r="D14654" s="84">
        <v>0.0</v>
      </c>
      <c r="E14654" s="84">
        <v>0.0</v>
      </c>
      <c r="F14654" s="76" t="s">
        <v>996</v>
      </c>
      <c r="G14654" s="83">
        <v>46124.0</v>
      </c>
      <c r="H14654" s="76" t="s">
        <v>968</v>
      </c>
    </row>
    <row r="14655">
      <c r="A14655" s="76" t="s">
        <v>966</v>
      </c>
      <c r="B14655" s="76" t="s">
        <v>1039</v>
      </c>
      <c r="C14655" s="84">
        <v>5.48</v>
      </c>
      <c r="D14655" s="84">
        <v>1.0</v>
      </c>
      <c r="E14655" s="84">
        <v>5.48</v>
      </c>
      <c r="F14655" s="76" t="s">
        <v>996</v>
      </c>
      <c r="G14655" s="83">
        <v>46124.0</v>
      </c>
      <c r="H14655" s="76" t="s">
        <v>969</v>
      </c>
    </row>
    <row r="14656">
      <c r="A14656" s="76" t="s">
        <v>33</v>
      </c>
      <c r="B14656" s="76" t="s">
        <v>1039</v>
      </c>
      <c r="C14656" s="84">
        <v>123.26</v>
      </c>
      <c r="D14656" s="84">
        <v>25.0</v>
      </c>
      <c r="E14656" s="84">
        <v>4.93</v>
      </c>
      <c r="F14656" s="76" t="s">
        <v>996</v>
      </c>
      <c r="G14656" s="83">
        <v>46124.0</v>
      </c>
      <c r="H14656" s="76" t="s">
        <v>957</v>
      </c>
    </row>
    <row r="14657">
      <c r="A14657" s="76" t="s">
        <v>33</v>
      </c>
      <c r="B14657" s="76" t="s">
        <v>1039</v>
      </c>
      <c r="C14657" s="84">
        <v>2.45</v>
      </c>
      <c r="D14657" s="84">
        <v>0.0</v>
      </c>
      <c r="E14657" s="84">
        <v>0.0</v>
      </c>
      <c r="F14657" s="76" t="s">
        <v>996</v>
      </c>
      <c r="G14657" s="83">
        <v>46124.0</v>
      </c>
      <c r="H14657" s="76" t="s">
        <v>958</v>
      </c>
    </row>
    <row r="14658">
      <c r="A14658" s="76" t="s">
        <v>33</v>
      </c>
      <c r="B14658" s="76" t="s">
        <v>1039</v>
      </c>
      <c r="C14658" s="84">
        <v>16.45</v>
      </c>
      <c r="D14658" s="84">
        <v>5.0</v>
      </c>
      <c r="E14658" s="84">
        <v>3.29</v>
      </c>
      <c r="F14658" s="76" t="s">
        <v>996</v>
      </c>
      <c r="G14658" s="83">
        <v>46124.0</v>
      </c>
      <c r="H14658" s="76" t="s">
        <v>959</v>
      </c>
    </row>
    <row r="14659">
      <c r="A14659" s="76" t="s">
        <v>34</v>
      </c>
      <c r="B14659" s="76" t="s">
        <v>1039</v>
      </c>
      <c r="C14659" s="84">
        <v>3.53</v>
      </c>
      <c r="D14659" s="84">
        <v>0.0</v>
      </c>
      <c r="E14659" s="84">
        <v>0.0</v>
      </c>
      <c r="F14659" s="76" t="s">
        <v>996</v>
      </c>
      <c r="G14659" s="83">
        <v>46124.0</v>
      </c>
      <c r="H14659" s="76" t="s">
        <v>951</v>
      </c>
    </row>
    <row r="14660">
      <c r="A14660" s="76" t="s">
        <v>34</v>
      </c>
      <c r="B14660" s="76" t="s">
        <v>1039</v>
      </c>
      <c r="C14660" s="84">
        <v>4.5</v>
      </c>
      <c r="D14660" s="84">
        <v>0.0</v>
      </c>
      <c r="E14660" s="84">
        <v>0.0</v>
      </c>
      <c r="F14660" s="76" t="s">
        <v>996</v>
      </c>
      <c r="G14660" s="83">
        <v>46124.0</v>
      </c>
      <c r="H14660" s="76" t="s">
        <v>952</v>
      </c>
    </row>
    <row r="14661">
      <c r="A14661" s="76" t="s">
        <v>34</v>
      </c>
      <c r="B14661" s="76" t="s">
        <v>1039</v>
      </c>
      <c r="C14661" s="84">
        <v>0.32</v>
      </c>
      <c r="D14661" s="84">
        <v>0.0</v>
      </c>
      <c r="E14661" s="84">
        <v>0.0</v>
      </c>
      <c r="F14661" s="76" t="s">
        <v>996</v>
      </c>
      <c r="G14661" s="83">
        <v>46124.0</v>
      </c>
      <c r="H14661" s="76" t="s">
        <v>953</v>
      </c>
    </row>
    <row r="14662">
      <c r="A14662" s="76" t="s">
        <v>36</v>
      </c>
      <c r="B14662" s="76" t="s">
        <v>1039</v>
      </c>
      <c r="C14662" s="84">
        <v>4.39</v>
      </c>
      <c r="D14662" s="84">
        <v>2.0</v>
      </c>
      <c r="E14662" s="84">
        <v>2.2</v>
      </c>
      <c r="F14662" s="76" t="s">
        <v>996</v>
      </c>
      <c r="G14662" s="83">
        <v>46124.0</v>
      </c>
      <c r="H14662" s="76" t="s">
        <v>926</v>
      </c>
    </row>
    <row r="14663">
      <c r="A14663" s="76" t="s">
        <v>36</v>
      </c>
      <c r="B14663" s="76" t="s">
        <v>1039</v>
      </c>
      <c r="C14663" s="84">
        <v>1.02</v>
      </c>
      <c r="D14663" s="84">
        <v>0.0</v>
      </c>
      <c r="E14663" s="84">
        <v>0.0</v>
      </c>
      <c r="F14663" s="76" t="s">
        <v>996</v>
      </c>
      <c r="G14663" s="83">
        <v>46124.0</v>
      </c>
      <c r="H14663" s="76" t="s">
        <v>927</v>
      </c>
    </row>
    <row r="14664">
      <c r="A14664" s="76" t="s">
        <v>36</v>
      </c>
      <c r="B14664" s="76" t="s">
        <v>1039</v>
      </c>
      <c r="C14664" s="84">
        <v>6.22</v>
      </c>
      <c r="D14664" s="84">
        <v>0.0</v>
      </c>
      <c r="E14664" s="84">
        <v>0.0</v>
      </c>
      <c r="F14664" s="76" t="s">
        <v>996</v>
      </c>
      <c r="G14664" s="83">
        <v>46124.0</v>
      </c>
      <c r="H14664" s="76" t="s">
        <v>928</v>
      </c>
    </row>
    <row r="14665">
      <c r="A14665" s="76" t="s">
        <v>40</v>
      </c>
      <c r="B14665" s="76" t="s">
        <v>1039</v>
      </c>
      <c r="C14665" s="84">
        <v>2.62</v>
      </c>
      <c r="D14665" s="84">
        <v>0.0</v>
      </c>
      <c r="E14665" s="84">
        <v>0.0</v>
      </c>
      <c r="F14665" s="76" t="s">
        <v>996</v>
      </c>
      <c r="G14665" s="83">
        <v>46124.0</v>
      </c>
      <c r="H14665" s="76" t="s">
        <v>954</v>
      </c>
    </row>
    <row r="14666">
      <c r="A14666" s="76" t="s">
        <v>40</v>
      </c>
      <c r="B14666" s="76" t="s">
        <v>1039</v>
      </c>
      <c r="C14666" s="84">
        <v>1.28</v>
      </c>
      <c r="D14666" s="84">
        <v>0.0</v>
      </c>
      <c r="E14666" s="84">
        <v>0.0</v>
      </c>
      <c r="F14666" s="76" t="s">
        <v>996</v>
      </c>
      <c r="G14666" s="83">
        <v>46124.0</v>
      </c>
      <c r="H14666" s="76" t="s">
        <v>955</v>
      </c>
    </row>
    <row r="14667">
      <c r="A14667" s="76" t="s">
        <v>40</v>
      </c>
      <c r="B14667" s="76" t="s">
        <v>1039</v>
      </c>
      <c r="C14667" s="84">
        <v>19.48</v>
      </c>
      <c r="D14667" s="84">
        <v>3.0</v>
      </c>
      <c r="E14667" s="84">
        <v>6.49</v>
      </c>
      <c r="F14667" s="76" t="s">
        <v>996</v>
      </c>
      <c r="G14667" s="83">
        <v>46124.0</v>
      </c>
      <c r="H14667" s="76" t="s">
        <v>956</v>
      </c>
    </row>
    <row r="14668">
      <c r="A14668" s="76" t="s">
        <v>36</v>
      </c>
      <c r="B14668" s="76" t="s">
        <v>1039</v>
      </c>
      <c r="C14668" s="84">
        <v>4.22</v>
      </c>
      <c r="D14668" s="84">
        <v>3.0</v>
      </c>
      <c r="E14668" s="84">
        <v>1.41</v>
      </c>
      <c r="F14668" s="76" t="s">
        <v>998</v>
      </c>
      <c r="G14668" s="83">
        <v>46124.0</v>
      </c>
      <c r="H14668" s="76" t="s">
        <v>926</v>
      </c>
    </row>
    <row r="14669">
      <c r="A14669" s="76" t="s">
        <v>36</v>
      </c>
      <c r="B14669" s="76" t="s">
        <v>1039</v>
      </c>
      <c r="C14669" s="84">
        <v>1.23</v>
      </c>
      <c r="D14669" s="84">
        <v>1.0</v>
      </c>
      <c r="E14669" s="84">
        <v>1.23</v>
      </c>
      <c r="F14669" s="76" t="s">
        <v>998</v>
      </c>
      <c r="G14669" s="83">
        <v>46124.0</v>
      </c>
      <c r="H14669" s="76" t="s">
        <v>927</v>
      </c>
    </row>
    <row r="14670">
      <c r="A14670" s="76" t="s">
        <v>36</v>
      </c>
      <c r="B14670" s="76" t="s">
        <v>1039</v>
      </c>
      <c r="C14670" s="84">
        <v>4.14</v>
      </c>
      <c r="D14670" s="84">
        <v>0.0</v>
      </c>
      <c r="E14670" s="84">
        <v>0.0</v>
      </c>
      <c r="F14670" s="76" t="s">
        <v>998</v>
      </c>
      <c r="G14670" s="83">
        <v>46124.0</v>
      </c>
      <c r="H14670" s="76" t="s">
        <v>928</v>
      </c>
    </row>
    <row r="14671">
      <c r="A14671" s="76" t="s">
        <v>34</v>
      </c>
      <c r="B14671" s="76" t="s">
        <v>1039</v>
      </c>
      <c r="C14671" s="84">
        <v>1.68</v>
      </c>
      <c r="D14671" s="84">
        <v>0.0</v>
      </c>
      <c r="E14671" s="84">
        <v>0.0</v>
      </c>
      <c r="F14671" s="76" t="s">
        <v>998</v>
      </c>
      <c r="G14671" s="83">
        <v>46124.0</v>
      </c>
      <c r="H14671" s="76" t="s">
        <v>951</v>
      </c>
    </row>
    <row r="14672">
      <c r="A14672" s="76" t="s">
        <v>34</v>
      </c>
      <c r="B14672" s="76" t="s">
        <v>1039</v>
      </c>
      <c r="C14672" s="84">
        <v>2.93</v>
      </c>
      <c r="D14672" s="84">
        <v>0.0</v>
      </c>
      <c r="E14672" s="84">
        <v>0.0</v>
      </c>
      <c r="F14672" s="76" t="s">
        <v>998</v>
      </c>
      <c r="G14672" s="83">
        <v>46124.0</v>
      </c>
      <c r="H14672" s="76" t="s">
        <v>952</v>
      </c>
    </row>
    <row r="14673">
      <c r="A14673" s="76" t="s">
        <v>34</v>
      </c>
      <c r="B14673" s="76" t="s">
        <v>1039</v>
      </c>
      <c r="C14673" s="84">
        <v>0.45</v>
      </c>
      <c r="D14673" s="84">
        <v>0.0</v>
      </c>
      <c r="E14673" s="84">
        <v>0.0</v>
      </c>
      <c r="F14673" s="76" t="s">
        <v>998</v>
      </c>
      <c r="G14673" s="83">
        <v>46124.0</v>
      </c>
      <c r="H14673" s="76" t="s">
        <v>953</v>
      </c>
    </row>
    <row r="14674">
      <c r="A14674" s="76" t="s">
        <v>33</v>
      </c>
      <c r="B14674" s="76" t="s">
        <v>1039</v>
      </c>
      <c r="C14674" s="84">
        <v>49.53</v>
      </c>
      <c r="D14674" s="84">
        <v>8.0</v>
      </c>
      <c r="E14674" s="84">
        <v>6.19</v>
      </c>
      <c r="F14674" s="76" t="s">
        <v>998</v>
      </c>
      <c r="G14674" s="83">
        <v>46124.0</v>
      </c>
      <c r="H14674" s="76" t="s">
        <v>957</v>
      </c>
    </row>
    <row r="14675">
      <c r="A14675" s="76" t="s">
        <v>33</v>
      </c>
      <c r="B14675" s="76" t="s">
        <v>1039</v>
      </c>
      <c r="C14675" s="84">
        <v>1.9</v>
      </c>
      <c r="D14675" s="84">
        <v>0.0</v>
      </c>
      <c r="E14675" s="84">
        <v>0.0</v>
      </c>
      <c r="F14675" s="76" t="s">
        <v>998</v>
      </c>
      <c r="G14675" s="83">
        <v>46124.0</v>
      </c>
      <c r="H14675" s="76" t="s">
        <v>958</v>
      </c>
    </row>
    <row r="14676">
      <c r="A14676" s="76" t="s">
        <v>33</v>
      </c>
      <c r="B14676" s="76" t="s">
        <v>1039</v>
      </c>
      <c r="C14676" s="84">
        <v>5.41</v>
      </c>
      <c r="D14676" s="84">
        <v>2.0</v>
      </c>
      <c r="E14676" s="84">
        <v>2.7</v>
      </c>
      <c r="F14676" s="76" t="s">
        <v>998</v>
      </c>
      <c r="G14676" s="83">
        <v>46124.0</v>
      </c>
      <c r="H14676" s="76" t="s">
        <v>959</v>
      </c>
    </row>
    <row r="14677">
      <c r="A14677" s="76" t="s">
        <v>29</v>
      </c>
      <c r="B14677" s="76" t="s">
        <v>1039</v>
      </c>
      <c r="C14677" s="84">
        <v>1.93</v>
      </c>
      <c r="D14677" s="84">
        <v>0.0</v>
      </c>
      <c r="E14677" s="84">
        <v>0.0</v>
      </c>
      <c r="F14677" s="76" t="s">
        <v>998</v>
      </c>
      <c r="G14677" s="83">
        <v>46124.0</v>
      </c>
      <c r="H14677" s="76" t="s">
        <v>971</v>
      </c>
    </row>
    <row r="14678">
      <c r="A14678" s="76" t="s">
        <v>29</v>
      </c>
      <c r="B14678" s="76" t="s">
        <v>1039</v>
      </c>
      <c r="C14678" s="84">
        <v>0.52</v>
      </c>
      <c r="D14678" s="84">
        <v>0.0</v>
      </c>
      <c r="E14678" s="84">
        <v>0.0</v>
      </c>
      <c r="F14678" s="76" t="s">
        <v>998</v>
      </c>
      <c r="G14678" s="83">
        <v>46124.0</v>
      </c>
      <c r="H14678" s="76" t="s">
        <v>972</v>
      </c>
    </row>
    <row r="14679">
      <c r="A14679" s="76" t="s">
        <v>29</v>
      </c>
      <c r="B14679" s="76" t="s">
        <v>1039</v>
      </c>
      <c r="C14679" s="84">
        <v>4.26</v>
      </c>
      <c r="D14679" s="84">
        <v>1.0</v>
      </c>
      <c r="E14679" s="84">
        <v>4.26</v>
      </c>
      <c r="F14679" s="76" t="s">
        <v>998</v>
      </c>
      <c r="G14679" s="83">
        <v>46124.0</v>
      </c>
      <c r="H14679" s="76" t="s">
        <v>973</v>
      </c>
    </row>
    <row r="14680">
      <c r="A14680" s="76" t="s">
        <v>46</v>
      </c>
      <c r="B14680" s="76" t="s">
        <v>1039</v>
      </c>
      <c r="C14680" s="84">
        <v>0.55</v>
      </c>
      <c r="D14680" s="84">
        <v>1.0</v>
      </c>
      <c r="E14680" s="84">
        <v>0.55</v>
      </c>
      <c r="F14680" s="76" t="s">
        <v>998</v>
      </c>
      <c r="G14680" s="83">
        <v>46124.0</v>
      </c>
      <c r="H14680" s="76" t="s">
        <v>960</v>
      </c>
    </row>
    <row r="14681">
      <c r="A14681" s="76" t="s">
        <v>46</v>
      </c>
      <c r="B14681" s="76" t="s">
        <v>1039</v>
      </c>
      <c r="C14681" s="84">
        <v>1.32</v>
      </c>
      <c r="D14681" s="84">
        <v>1.0</v>
      </c>
      <c r="E14681" s="84">
        <v>1.32</v>
      </c>
      <c r="F14681" s="76" t="s">
        <v>998</v>
      </c>
      <c r="G14681" s="83">
        <v>46124.0</v>
      </c>
      <c r="H14681" s="76" t="s">
        <v>961</v>
      </c>
    </row>
    <row r="14682">
      <c r="A14682" s="76" t="s">
        <v>46</v>
      </c>
      <c r="B14682" s="76" t="s">
        <v>1039</v>
      </c>
      <c r="C14682" s="84">
        <v>2.1</v>
      </c>
      <c r="D14682" s="84">
        <v>1.0</v>
      </c>
      <c r="E14682" s="84">
        <v>2.1</v>
      </c>
      <c r="F14682" s="76" t="s">
        <v>998</v>
      </c>
      <c r="G14682" s="83">
        <v>46124.0</v>
      </c>
      <c r="H14682" s="76" t="s">
        <v>962</v>
      </c>
    </row>
    <row r="14683">
      <c r="A14683" s="76" t="s">
        <v>40</v>
      </c>
      <c r="B14683" s="76" t="s">
        <v>1039</v>
      </c>
      <c r="C14683" s="84">
        <v>2.45</v>
      </c>
      <c r="D14683" s="84">
        <v>0.0</v>
      </c>
      <c r="E14683" s="84">
        <v>0.0</v>
      </c>
      <c r="F14683" s="76" t="s">
        <v>998</v>
      </c>
      <c r="G14683" s="83">
        <v>46124.0</v>
      </c>
      <c r="H14683" s="76" t="s">
        <v>954</v>
      </c>
    </row>
    <row r="14684">
      <c r="A14684" s="76" t="s">
        <v>40</v>
      </c>
      <c r="B14684" s="76" t="s">
        <v>1039</v>
      </c>
      <c r="C14684" s="84">
        <v>1.47</v>
      </c>
      <c r="D14684" s="84">
        <v>0.0</v>
      </c>
      <c r="E14684" s="84">
        <v>0.0</v>
      </c>
      <c r="F14684" s="76" t="s">
        <v>998</v>
      </c>
      <c r="G14684" s="83">
        <v>46124.0</v>
      </c>
      <c r="H14684" s="76" t="s">
        <v>955</v>
      </c>
    </row>
    <row r="14685">
      <c r="A14685" s="76" t="s">
        <v>40</v>
      </c>
      <c r="B14685" s="76" t="s">
        <v>1039</v>
      </c>
      <c r="C14685" s="84">
        <v>11.87</v>
      </c>
      <c r="D14685" s="84">
        <v>1.0</v>
      </c>
      <c r="E14685" s="84">
        <v>11.87</v>
      </c>
      <c r="F14685" s="76" t="s">
        <v>998</v>
      </c>
      <c r="G14685" s="83">
        <v>46124.0</v>
      </c>
      <c r="H14685" s="76" t="s">
        <v>956</v>
      </c>
    </row>
    <row r="14686">
      <c r="A14686" s="76" t="s">
        <v>966</v>
      </c>
      <c r="B14686" s="76" t="s">
        <v>1039</v>
      </c>
      <c r="C14686" s="84">
        <v>2.79</v>
      </c>
      <c r="D14686" s="84">
        <v>1.0</v>
      </c>
      <c r="E14686" s="84">
        <v>2.79</v>
      </c>
      <c r="F14686" s="76" t="s">
        <v>998</v>
      </c>
      <c r="G14686" s="83">
        <v>46124.0</v>
      </c>
      <c r="H14686" s="76" t="s">
        <v>967</v>
      </c>
    </row>
    <row r="14687">
      <c r="A14687" s="76" t="s">
        <v>966</v>
      </c>
      <c r="B14687" s="76" t="s">
        <v>1039</v>
      </c>
      <c r="C14687" s="84">
        <v>1.09</v>
      </c>
      <c r="D14687" s="84">
        <v>0.0</v>
      </c>
      <c r="E14687" s="84">
        <v>0.0</v>
      </c>
      <c r="F14687" s="76" t="s">
        <v>998</v>
      </c>
      <c r="G14687" s="83">
        <v>46124.0</v>
      </c>
      <c r="H14687" s="76" t="s">
        <v>968</v>
      </c>
    </row>
    <row r="14688">
      <c r="A14688" s="76" t="s">
        <v>966</v>
      </c>
      <c r="B14688" s="76" t="s">
        <v>1039</v>
      </c>
      <c r="C14688" s="84">
        <v>3.64</v>
      </c>
      <c r="D14688" s="84">
        <v>1.0</v>
      </c>
      <c r="E14688" s="84">
        <v>3.64</v>
      </c>
      <c r="F14688" s="76" t="s">
        <v>998</v>
      </c>
      <c r="G14688" s="83">
        <v>46124.0</v>
      </c>
      <c r="H14688" s="76" t="s">
        <v>969</v>
      </c>
    </row>
    <row r="14689">
      <c r="A14689" s="76" t="s">
        <v>43</v>
      </c>
      <c r="B14689" s="76" t="s">
        <v>1039</v>
      </c>
      <c r="C14689" s="84">
        <v>1.07</v>
      </c>
      <c r="D14689" s="84">
        <v>0.0</v>
      </c>
      <c r="E14689" s="84">
        <v>0.0</v>
      </c>
      <c r="F14689" s="76" t="s">
        <v>998</v>
      </c>
      <c r="G14689" s="83">
        <v>46124.0</v>
      </c>
      <c r="H14689" s="76" t="s">
        <v>963</v>
      </c>
    </row>
    <row r="14690">
      <c r="A14690" s="76" t="s">
        <v>43</v>
      </c>
      <c r="B14690" s="76" t="s">
        <v>1039</v>
      </c>
      <c r="C14690" s="84">
        <v>0.89</v>
      </c>
      <c r="D14690" s="84">
        <v>0.0</v>
      </c>
      <c r="E14690" s="84">
        <v>0.0</v>
      </c>
      <c r="F14690" s="76" t="s">
        <v>998</v>
      </c>
      <c r="G14690" s="83">
        <v>46124.0</v>
      </c>
      <c r="H14690" s="76" t="s">
        <v>964</v>
      </c>
    </row>
    <row r="14691">
      <c r="A14691" s="76" t="s">
        <v>43</v>
      </c>
      <c r="B14691" s="76" t="s">
        <v>1039</v>
      </c>
      <c r="C14691" s="84">
        <v>1.23</v>
      </c>
      <c r="D14691" s="84">
        <v>0.0</v>
      </c>
      <c r="E14691" s="84">
        <v>0.0</v>
      </c>
      <c r="F14691" s="76" t="s">
        <v>998</v>
      </c>
      <c r="G14691" s="83">
        <v>46124.0</v>
      </c>
      <c r="H14691" s="76" t="s">
        <v>965</v>
      </c>
    </row>
    <row r="14692">
      <c r="A14692" s="76" t="s">
        <v>970</v>
      </c>
      <c r="B14692" s="76" t="s">
        <v>1039</v>
      </c>
      <c r="C14692" s="84">
        <v>2.15</v>
      </c>
      <c r="D14692" s="84">
        <v>1.0</v>
      </c>
      <c r="E14692" s="84">
        <v>2.15</v>
      </c>
      <c r="F14692" s="76" t="s">
        <v>998</v>
      </c>
      <c r="G14692" s="83">
        <v>46124.0</v>
      </c>
      <c r="H14692" s="76" t="s">
        <v>971</v>
      </c>
    </row>
    <row r="14693">
      <c r="A14693" s="76" t="s">
        <v>970</v>
      </c>
      <c r="B14693" s="76" t="s">
        <v>1039</v>
      </c>
      <c r="C14693" s="84">
        <v>0.42</v>
      </c>
      <c r="D14693" s="84">
        <v>0.0</v>
      </c>
      <c r="E14693" s="84">
        <v>0.0</v>
      </c>
      <c r="F14693" s="76" t="s">
        <v>998</v>
      </c>
      <c r="G14693" s="83">
        <v>46124.0</v>
      </c>
      <c r="H14693" s="76" t="s">
        <v>972</v>
      </c>
    </row>
    <row r="14694">
      <c r="A14694" s="76" t="s">
        <v>970</v>
      </c>
      <c r="B14694" s="76" t="s">
        <v>1039</v>
      </c>
      <c r="C14694" s="84">
        <v>3.89</v>
      </c>
      <c r="D14694" s="84">
        <v>0.0</v>
      </c>
      <c r="E14694" s="84">
        <v>0.0</v>
      </c>
      <c r="F14694" s="76" t="s">
        <v>998</v>
      </c>
      <c r="G14694" s="83">
        <v>46124.0</v>
      </c>
      <c r="H14694" s="76" t="s">
        <v>973</v>
      </c>
    </row>
    <row r="14695">
      <c r="A14695" s="76" t="s">
        <v>40</v>
      </c>
      <c r="B14695" s="76" t="s">
        <v>1041</v>
      </c>
      <c r="C14695" s="84">
        <v>12.16</v>
      </c>
      <c r="D14695" s="84">
        <v>3.0</v>
      </c>
      <c r="E14695" s="84">
        <v>4.05</v>
      </c>
      <c r="F14695" s="76" t="s">
        <v>1005</v>
      </c>
      <c r="G14695" s="83">
        <v>46124.0</v>
      </c>
      <c r="H14695" s="76" t="s">
        <v>954</v>
      </c>
    </row>
    <row r="14696">
      <c r="A14696" s="76" t="s">
        <v>40</v>
      </c>
      <c r="B14696" s="76" t="s">
        <v>1041</v>
      </c>
      <c r="C14696" s="84">
        <v>6.3</v>
      </c>
      <c r="D14696" s="84">
        <v>3.0</v>
      </c>
      <c r="E14696" s="84">
        <v>2.1</v>
      </c>
      <c r="F14696" s="76" t="s">
        <v>1005</v>
      </c>
      <c r="G14696" s="83">
        <v>46124.0</v>
      </c>
      <c r="H14696" s="76" t="s">
        <v>955</v>
      </c>
    </row>
    <row r="14697">
      <c r="A14697" s="76" t="s">
        <v>40</v>
      </c>
      <c r="B14697" s="76" t="s">
        <v>1041</v>
      </c>
      <c r="C14697" s="84">
        <v>32.96</v>
      </c>
      <c r="D14697" s="84">
        <v>2.0</v>
      </c>
      <c r="E14697" s="84">
        <v>16.48</v>
      </c>
      <c r="F14697" s="76" t="s">
        <v>1005</v>
      </c>
      <c r="G14697" s="83">
        <v>46124.0</v>
      </c>
      <c r="H14697" s="76" t="s">
        <v>956</v>
      </c>
    </row>
    <row r="14698">
      <c r="A14698" s="76" t="s">
        <v>36</v>
      </c>
      <c r="B14698" s="76" t="s">
        <v>1041</v>
      </c>
      <c r="C14698" s="84">
        <v>10.09</v>
      </c>
      <c r="D14698" s="84">
        <v>1.0</v>
      </c>
      <c r="E14698" s="84">
        <v>10.09</v>
      </c>
      <c r="F14698" s="76" t="s">
        <v>1005</v>
      </c>
      <c r="G14698" s="83">
        <v>46124.0</v>
      </c>
      <c r="H14698" s="76" t="s">
        <v>926</v>
      </c>
    </row>
    <row r="14699">
      <c r="A14699" s="76" t="s">
        <v>36</v>
      </c>
      <c r="B14699" s="76" t="s">
        <v>1041</v>
      </c>
      <c r="C14699" s="84">
        <v>6.38</v>
      </c>
      <c r="D14699" s="84">
        <v>3.0</v>
      </c>
      <c r="E14699" s="84">
        <v>2.13</v>
      </c>
      <c r="F14699" s="76" t="s">
        <v>1005</v>
      </c>
      <c r="G14699" s="83">
        <v>46124.0</v>
      </c>
      <c r="H14699" s="76" t="s">
        <v>927</v>
      </c>
    </row>
    <row r="14700">
      <c r="A14700" s="76" t="s">
        <v>36</v>
      </c>
      <c r="B14700" s="76" t="s">
        <v>1041</v>
      </c>
      <c r="C14700" s="84">
        <v>18.53</v>
      </c>
      <c r="D14700" s="84">
        <v>4.0</v>
      </c>
      <c r="E14700" s="84">
        <v>4.63</v>
      </c>
      <c r="F14700" s="76" t="s">
        <v>1005</v>
      </c>
      <c r="G14700" s="83">
        <v>46124.0</v>
      </c>
      <c r="H14700" s="76" t="s">
        <v>928</v>
      </c>
    </row>
    <row r="14701">
      <c r="A14701" s="76" t="s">
        <v>46</v>
      </c>
      <c r="B14701" s="76" t="s">
        <v>1041</v>
      </c>
      <c r="C14701" s="84">
        <v>3.2</v>
      </c>
      <c r="D14701" s="84">
        <v>1.0</v>
      </c>
      <c r="E14701" s="84">
        <v>3.2</v>
      </c>
      <c r="F14701" s="76" t="s">
        <v>1005</v>
      </c>
      <c r="G14701" s="83">
        <v>46124.0</v>
      </c>
      <c r="H14701" s="76" t="s">
        <v>960</v>
      </c>
    </row>
    <row r="14702">
      <c r="A14702" s="76" t="s">
        <v>46</v>
      </c>
      <c r="B14702" s="76" t="s">
        <v>1041</v>
      </c>
      <c r="C14702" s="84">
        <v>9.51</v>
      </c>
      <c r="D14702" s="84">
        <v>0.0</v>
      </c>
      <c r="E14702" s="84">
        <v>0.0</v>
      </c>
      <c r="F14702" s="76" t="s">
        <v>1005</v>
      </c>
      <c r="G14702" s="83">
        <v>46124.0</v>
      </c>
      <c r="H14702" s="76" t="s">
        <v>961</v>
      </c>
    </row>
    <row r="14703">
      <c r="A14703" s="76" t="s">
        <v>46</v>
      </c>
      <c r="B14703" s="76" t="s">
        <v>1041</v>
      </c>
      <c r="C14703" s="84">
        <v>9.25</v>
      </c>
      <c r="D14703" s="84">
        <v>1.0</v>
      </c>
      <c r="E14703" s="84">
        <v>9.25</v>
      </c>
      <c r="F14703" s="76" t="s">
        <v>1005</v>
      </c>
      <c r="G14703" s="83">
        <v>46124.0</v>
      </c>
      <c r="H14703" s="76" t="s">
        <v>962</v>
      </c>
    </row>
    <row r="14704">
      <c r="A14704" s="76" t="s">
        <v>970</v>
      </c>
      <c r="B14704" s="76" t="s">
        <v>1041</v>
      </c>
      <c r="C14704" s="84">
        <v>15.61</v>
      </c>
      <c r="D14704" s="84">
        <v>1.0</v>
      </c>
      <c r="E14704" s="84">
        <v>15.61</v>
      </c>
      <c r="F14704" s="76" t="s">
        <v>1005</v>
      </c>
      <c r="G14704" s="83">
        <v>46124.0</v>
      </c>
      <c r="H14704" s="76" t="s">
        <v>971</v>
      </c>
    </row>
    <row r="14705">
      <c r="A14705" s="76" t="s">
        <v>970</v>
      </c>
      <c r="B14705" s="76" t="s">
        <v>1041</v>
      </c>
      <c r="C14705" s="84">
        <v>2.52</v>
      </c>
      <c r="D14705" s="84">
        <v>0.0</v>
      </c>
      <c r="E14705" s="84">
        <v>0.0</v>
      </c>
      <c r="F14705" s="76" t="s">
        <v>1005</v>
      </c>
      <c r="G14705" s="83">
        <v>46124.0</v>
      </c>
      <c r="H14705" s="76" t="s">
        <v>972</v>
      </c>
    </row>
    <row r="14706">
      <c r="A14706" s="76" t="s">
        <v>970</v>
      </c>
      <c r="B14706" s="76" t="s">
        <v>1041</v>
      </c>
      <c r="C14706" s="84">
        <v>11.33</v>
      </c>
      <c r="D14706" s="84">
        <v>1.0</v>
      </c>
      <c r="E14706" s="84">
        <v>11.33</v>
      </c>
      <c r="F14706" s="76" t="s">
        <v>1005</v>
      </c>
      <c r="G14706" s="83">
        <v>46124.0</v>
      </c>
      <c r="H14706" s="76" t="s">
        <v>973</v>
      </c>
    </row>
    <row r="14707">
      <c r="A14707" s="76" t="s">
        <v>29</v>
      </c>
      <c r="B14707" s="76" t="s">
        <v>1041</v>
      </c>
      <c r="C14707" s="84">
        <v>22.34</v>
      </c>
      <c r="D14707" s="84">
        <v>7.0</v>
      </c>
      <c r="E14707" s="84">
        <v>3.19</v>
      </c>
      <c r="F14707" s="76" t="s">
        <v>1005</v>
      </c>
      <c r="G14707" s="83">
        <v>46124.0</v>
      </c>
      <c r="H14707" s="76" t="s">
        <v>1015</v>
      </c>
    </row>
    <row r="14708">
      <c r="A14708" s="76" t="s">
        <v>29</v>
      </c>
      <c r="B14708" s="76" t="s">
        <v>1041</v>
      </c>
      <c r="C14708" s="84">
        <v>8.12</v>
      </c>
      <c r="D14708" s="84">
        <v>4.0</v>
      </c>
      <c r="E14708" s="84">
        <v>2.03</v>
      </c>
      <c r="F14708" s="76" t="s">
        <v>1005</v>
      </c>
      <c r="G14708" s="83">
        <v>46124.0</v>
      </c>
      <c r="H14708" s="76" t="s">
        <v>1016</v>
      </c>
    </row>
    <row r="14709">
      <c r="A14709" s="76" t="s">
        <v>29</v>
      </c>
      <c r="B14709" s="76" t="s">
        <v>1041</v>
      </c>
      <c r="C14709" s="84">
        <v>5.05</v>
      </c>
      <c r="D14709" s="84">
        <v>1.0</v>
      </c>
      <c r="E14709" s="84">
        <v>5.05</v>
      </c>
      <c r="F14709" s="76" t="s">
        <v>1005</v>
      </c>
      <c r="G14709" s="83">
        <v>46124.0</v>
      </c>
      <c r="H14709" s="76" t="s">
        <v>1017</v>
      </c>
    </row>
    <row r="14710">
      <c r="A14710" s="76" t="s">
        <v>34</v>
      </c>
      <c r="B14710" s="76" t="s">
        <v>1041</v>
      </c>
      <c r="C14710" s="84">
        <v>13.07</v>
      </c>
      <c r="D14710" s="84">
        <v>4.0</v>
      </c>
      <c r="E14710" s="84">
        <v>3.27</v>
      </c>
      <c r="F14710" s="76" t="s">
        <v>1005</v>
      </c>
      <c r="G14710" s="83">
        <v>46124.0</v>
      </c>
      <c r="H14710" s="76" t="s">
        <v>951</v>
      </c>
    </row>
    <row r="14711">
      <c r="A14711" s="76" t="s">
        <v>34</v>
      </c>
      <c r="B14711" s="76" t="s">
        <v>1041</v>
      </c>
      <c r="C14711" s="84">
        <v>15.8</v>
      </c>
      <c r="D14711" s="84">
        <v>2.0</v>
      </c>
      <c r="E14711" s="84">
        <v>7.9</v>
      </c>
      <c r="F14711" s="76" t="s">
        <v>1005</v>
      </c>
      <c r="G14711" s="83">
        <v>46124.0</v>
      </c>
      <c r="H14711" s="76" t="s">
        <v>952</v>
      </c>
    </row>
    <row r="14712">
      <c r="A14712" s="76" t="s">
        <v>34</v>
      </c>
      <c r="B14712" s="76" t="s">
        <v>1041</v>
      </c>
      <c r="C14712" s="84">
        <v>2.72</v>
      </c>
      <c r="D14712" s="84">
        <v>1.0</v>
      </c>
      <c r="E14712" s="84">
        <v>2.72</v>
      </c>
      <c r="F14712" s="76" t="s">
        <v>1005</v>
      </c>
      <c r="G14712" s="83">
        <v>46124.0</v>
      </c>
      <c r="H14712" s="76" t="s">
        <v>953</v>
      </c>
    </row>
    <row r="14713">
      <c r="A14713" s="76" t="s">
        <v>33</v>
      </c>
      <c r="B14713" s="76" t="s">
        <v>1041</v>
      </c>
      <c r="C14713" s="84">
        <v>389.72</v>
      </c>
      <c r="D14713" s="84">
        <v>82.0</v>
      </c>
      <c r="E14713" s="84">
        <v>4.75</v>
      </c>
      <c r="F14713" s="76" t="s">
        <v>1005</v>
      </c>
      <c r="G14713" s="83">
        <v>46124.0</v>
      </c>
      <c r="H14713" s="76" t="s">
        <v>957</v>
      </c>
    </row>
    <row r="14714">
      <c r="A14714" s="76" t="s">
        <v>33</v>
      </c>
      <c r="B14714" s="76" t="s">
        <v>1041</v>
      </c>
      <c r="C14714" s="84">
        <v>10.6</v>
      </c>
      <c r="D14714" s="84">
        <v>3.0</v>
      </c>
      <c r="E14714" s="84">
        <v>3.53</v>
      </c>
      <c r="F14714" s="76" t="s">
        <v>1005</v>
      </c>
      <c r="G14714" s="83">
        <v>46124.0</v>
      </c>
      <c r="H14714" s="76" t="s">
        <v>958</v>
      </c>
    </row>
    <row r="14715">
      <c r="A14715" s="76" t="s">
        <v>33</v>
      </c>
      <c r="B14715" s="76" t="s">
        <v>1041</v>
      </c>
      <c r="C14715" s="84">
        <v>49.09</v>
      </c>
      <c r="D14715" s="84">
        <v>16.0</v>
      </c>
      <c r="E14715" s="84">
        <v>3.07</v>
      </c>
      <c r="F14715" s="76" t="s">
        <v>1005</v>
      </c>
      <c r="G14715" s="83">
        <v>46124.0</v>
      </c>
      <c r="H14715" s="76" t="s">
        <v>959</v>
      </c>
    </row>
    <row r="14716">
      <c r="A14716" s="76" t="s">
        <v>43</v>
      </c>
      <c r="B14716" s="76" t="s">
        <v>1041</v>
      </c>
      <c r="C14716" s="84">
        <v>4.6</v>
      </c>
      <c r="D14716" s="84">
        <v>3.0</v>
      </c>
      <c r="E14716" s="84">
        <v>1.53</v>
      </c>
      <c r="F14716" s="76" t="s">
        <v>1005</v>
      </c>
      <c r="G14716" s="83">
        <v>46124.0</v>
      </c>
      <c r="H14716" s="76" t="s">
        <v>963</v>
      </c>
    </row>
    <row r="14717">
      <c r="A14717" s="76" t="s">
        <v>43</v>
      </c>
      <c r="B14717" s="76" t="s">
        <v>1041</v>
      </c>
      <c r="C14717" s="84">
        <v>8.28</v>
      </c>
      <c r="D14717" s="84">
        <v>1.0</v>
      </c>
      <c r="E14717" s="84">
        <v>8.28</v>
      </c>
      <c r="F14717" s="76" t="s">
        <v>1005</v>
      </c>
      <c r="G14717" s="83">
        <v>46124.0</v>
      </c>
      <c r="H14717" s="76" t="s">
        <v>964</v>
      </c>
    </row>
    <row r="14718">
      <c r="A14718" s="76" t="s">
        <v>43</v>
      </c>
      <c r="B14718" s="76" t="s">
        <v>1041</v>
      </c>
      <c r="C14718" s="84">
        <v>8.16</v>
      </c>
      <c r="D14718" s="84">
        <v>0.0</v>
      </c>
      <c r="E14718" s="84">
        <v>0.0</v>
      </c>
      <c r="F14718" s="76" t="s">
        <v>1005</v>
      </c>
      <c r="G14718" s="83">
        <v>46124.0</v>
      </c>
      <c r="H14718" s="76" t="s">
        <v>965</v>
      </c>
    </row>
    <row r="14719">
      <c r="A14719" s="76" t="s">
        <v>966</v>
      </c>
      <c r="B14719" s="76" t="s">
        <v>1041</v>
      </c>
      <c r="C14719" s="84">
        <v>7.5</v>
      </c>
      <c r="D14719" s="84">
        <v>1.0</v>
      </c>
      <c r="E14719" s="84">
        <v>7.5</v>
      </c>
      <c r="F14719" s="76" t="s">
        <v>1005</v>
      </c>
      <c r="G14719" s="83">
        <v>46124.0</v>
      </c>
      <c r="H14719" s="76" t="s">
        <v>967</v>
      </c>
    </row>
    <row r="14720">
      <c r="A14720" s="76" t="s">
        <v>966</v>
      </c>
      <c r="B14720" s="76" t="s">
        <v>1041</v>
      </c>
      <c r="C14720" s="84">
        <v>4.75</v>
      </c>
      <c r="D14720" s="84">
        <v>0.0</v>
      </c>
      <c r="E14720" s="84">
        <v>0.0</v>
      </c>
      <c r="F14720" s="76" t="s">
        <v>1005</v>
      </c>
      <c r="G14720" s="83">
        <v>46124.0</v>
      </c>
      <c r="H14720" s="76" t="s">
        <v>968</v>
      </c>
    </row>
    <row r="14721">
      <c r="A14721" s="76" t="s">
        <v>966</v>
      </c>
      <c r="B14721" s="76" t="s">
        <v>1041</v>
      </c>
      <c r="C14721" s="84">
        <v>15.22</v>
      </c>
      <c r="D14721" s="84">
        <v>4.0</v>
      </c>
      <c r="E14721" s="84">
        <v>3.8</v>
      </c>
      <c r="F14721" s="76" t="s">
        <v>1005</v>
      </c>
      <c r="G14721" s="83">
        <v>46124.0</v>
      </c>
      <c r="H14721" s="76" t="s">
        <v>969</v>
      </c>
    </row>
    <row r="14722">
      <c r="A14722" s="76" t="s">
        <v>970</v>
      </c>
      <c r="B14722" s="76" t="s">
        <v>1041</v>
      </c>
      <c r="C14722" s="84">
        <v>3.48</v>
      </c>
      <c r="D14722" s="84">
        <v>1.0</v>
      </c>
      <c r="E14722" s="84">
        <v>3.48</v>
      </c>
      <c r="F14722" s="76" t="s">
        <v>990</v>
      </c>
      <c r="G14722" s="83">
        <v>46124.0</v>
      </c>
      <c r="H14722" s="76" t="s">
        <v>971</v>
      </c>
    </row>
    <row r="14723">
      <c r="A14723" s="76" t="s">
        <v>970</v>
      </c>
      <c r="B14723" s="76" t="s">
        <v>1041</v>
      </c>
      <c r="C14723" s="84">
        <v>0.15</v>
      </c>
      <c r="D14723" s="84">
        <v>0.0</v>
      </c>
      <c r="E14723" s="84">
        <v>0.0</v>
      </c>
      <c r="F14723" s="76" t="s">
        <v>990</v>
      </c>
      <c r="G14723" s="83">
        <v>46124.0</v>
      </c>
      <c r="H14723" s="76" t="s">
        <v>972</v>
      </c>
    </row>
    <row r="14724">
      <c r="A14724" s="76" t="s">
        <v>970</v>
      </c>
      <c r="B14724" s="76" t="s">
        <v>1041</v>
      </c>
      <c r="C14724" s="84">
        <v>4.65</v>
      </c>
      <c r="D14724" s="84">
        <v>1.0</v>
      </c>
      <c r="E14724" s="84">
        <v>4.65</v>
      </c>
      <c r="F14724" s="76" t="s">
        <v>990</v>
      </c>
      <c r="G14724" s="83">
        <v>46124.0</v>
      </c>
      <c r="H14724" s="76" t="s">
        <v>973</v>
      </c>
    </row>
    <row r="14725">
      <c r="A14725" s="76" t="s">
        <v>29</v>
      </c>
      <c r="B14725" s="76" t="s">
        <v>1041</v>
      </c>
      <c r="C14725" s="84">
        <v>0.92</v>
      </c>
      <c r="D14725" s="84">
        <v>1.0</v>
      </c>
      <c r="E14725" s="84">
        <v>0.92</v>
      </c>
      <c r="F14725" s="76" t="s">
        <v>990</v>
      </c>
      <c r="G14725" s="83">
        <v>46124.0</v>
      </c>
      <c r="H14725" s="76" t="s">
        <v>971</v>
      </c>
    </row>
    <row r="14726">
      <c r="A14726" s="76" t="s">
        <v>29</v>
      </c>
      <c r="B14726" s="76" t="s">
        <v>1041</v>
      </c>
      <c r="C14726" s="84">
        <v>0.09</v>
      </c>
      <c r="D14726" s="84">
        <v>0.0</v>
      </c>
      <c r="E14726" s="84">
        <v>0.0</v>
      </c>
      <c r="F14726" s="76" t="s">
        <v>990</v>
      </c>
      <c r="G14726" s="83">
        <v>46124.0</v>
      </c>
      <c r="H14726" s="76" t="s">
        <v>972</v>
      </c>
    </row>
    <row r="14727">
      <c r="A14727" s="76" t="s">
        <v>29</v>
      </c>
      <c r="B14727" s="76" t="s">
        <v>1041</v>
      </c>
      <c r="C14727" s="84">
        <v>0.99</v>
      </c>
      <c r="D14727" s="84">
        <v>0.0</v>
      </c>
      <c r="E14727" s="84">
        <v>0.0</v>
      </c>
      <c r="F14727" s="76" t="s">
        <v>990</v>
      </c>
      <c r="G14727" s="83">
        <v>46124.0</v>
      </c>
      <c r="H14727" s="76" t="s">
        <v>973</v>
      </c>
    </row>
    <row r="14728">
      <c r="A14728" s="76" t="s">
        <v>46</v>
      </c>
      <c r="B14728" s="76" t="s">
        <v>1041</v>
      </c>
      <c r="C14728" s="84">
        <v>1.77</v>
      </c>
      <c r="D14728" s="84">
        <v>0.0</v>
      </c>
      <c r="E14728" s="84">
        <v>0.0</v>
      </c>
      <c r="F14728" s="76" t="s">
        <v>990</v>
      </c>
      <c r="G14728" s="83">
        <v>46124.0</v>
      </c>
      <c r="H14728" s="76" t="s">
        <v>960</v>
      </c>
    </row>
    <row r="14729">
      <c r="A14729" s="76" t="s">
        <v>46</v>
      </c>
      <c r="B14729" s="76" t="s">
        <v>1041</v>
      </c>
      <c r="C14729" s="84">
        <v>0.68</v>
      </c>
      <c r="D14729" s="84">
        <v>0.0</v>
      </c>
      <c r="E14729" s="84">
        <v>0.0</v>
      </c>
      <c r="F14729" s="76" t="s">
        <v>990</v>
      </c>
      <c r="G14729" s="83">
        <v>46124.0</v>
      </c>
      <c r="H14729" s="76" t="s">
        <v>961</v>
      </c>
    </row>
    <row r="14730">
      <c r="A14730" s="76" t="s">
        <v>46</v>
      </c>
      <c r="B14730" s="76" t="s">
        <v>1041</v>
      </c>
      <c r="C14730" s="84">
        <v>1.74</v>
      </c>
      <c r="D14730" s="84">
        <v>1.0</v>
      </c>
      <c r="E14730" s="84">
        <v>1.74</v>
      </c>
      <c r="F14730" s="76" t="s">
        <v>990</v>
      </c>
      <c r="G14730" s="83">
        <v>46124.0</v>
      </c>
      <c r="H14730" s="76" t="s">
        <v>962</v>
      </c>
    </row>
    <row r="14731">
      <c r="A14731" s="76" t="s">
        <v>36</v>
      </c>
      <c r="B14731" s="76" t="s">
        <v>1041</v>
      </c>
      <c r="C14731" s="84">
        <v>1.14</v>
      </c>
      <c r="D14731" s="84">
        <v>0.0</v>
      </c>
      <c r="E14731" s="84">
        <v>0.0</v>
      </c>
      <c r="F14731" s="76" t="s">
        <v>990</v>
      </c>
      <c r="G14731" s="83">
        <v>46124.0</v>
      </c>
      <c r="H14731" s="76" t="s">
        <v>926</v>
      </c>
    </row>
    <row r="14732">
      <c r="A14732" s="76" t="s">
        <v>36</v>
      </c>
      <c r="B14732" s="76" t="s">
        <v>1041</v>
      </c>
      <c r="C14732" s="84">
        <v>0.27</v>
      </c>
      <c r="D14732" s="84">
        <v>0.0</v>
      </c>
      <c r="E14732" s="84">
        <v>0.0</v>
      </c>
      <c r="F14732" s="76" t="s">
        <v>990</v>
      </c>
      <c r="G14732" s="83">
        <v>46124.0</v>
      </c>
      <c r="H14732" s="76" t="s">
        <v>927</v>
      </c>
    </row>
    <row r="14733">
      <c r="A14733" s="76" t="s">
        <v>36</v>
      </c>
      <c r="B14733" s="76" t="s">
        <v>1041</v>
      </c>
      <c r="C14733" s="84">
        <v>1.02</v>
      </c>
      <c r="D14733" s="84">
        <v>0.0</v>
      </c>
      <c r="E14733" s="84">
        <v>0.0</v>
      </c>
      <c r="F14733" s="76" t="s">
        <v>990</v>
      </c>
      <c r="G14733" s="83">
        <v>46124.0</v>
      </c>
      <c r="H14733" s="76" t="s">
        <v>928</v>
      </c>
    </row>
    <row r="14734">
      <c r="A14734" s="76" t="s">
        <v>34</v>
      </c>
      <c r="B14734" s="76" t="s">
        <v>1041</v>
      </c>
      <c r="C14734" s="84">
        <v>0.69</v>
      </c>
      <c r="D14734" s="84">
        <v>1.0</v>
      </c>
      <c r="E14734" s="84">
        <v>0.69</v>
      </c>
      <c r="F14734" s="76" t="s">
        <v>990</v>
      </c>
      <c r="G14734" s="83">
        <v>46124.0</v>
      </c>
      <c r="H14734" s="76" t="s">
        <v>951</v>
      </c>
    </row>
    <row r="14735">
      <c r="A14735" s="76" t="s">
        <v>34</v>
      </c>
      <c r="B14735" s="76" t="s">
        <v>1041</v>
      </c>
      <c r="C14735" s="84">
        <v>1.59</v>
      </c>
      <c r="D14735" s="84">
        <v>0.0</v>
      </c>
      <c r="E14735" s="84">
        <v>0.0</v>
      </c>
      <c r="F14735" s="76" t="s">
        <v>990</v>
      </c>
      <c r="G14735" s="83">
        <v>46124.0</v>
      </c>
      <c r="H14735" s="76" t="s">
        <v>952</v>
      </c>
    </row>
    <row r="14736">
      <c r="A14736" s="76" t="s">
        <v>34</v>
      </c>
      <c r="B14736" s="76" t="s">
        <v>1041</v>
      </c>
      <c r="C14736" s="84">
        <v>0.46</v>
      </c>
      <c r="D14736" s="84">
        <v>0.0</v>
      </c>
      <c r="E14736" s="84">
        <v>0.0</v>
      </c>
      <c r="F14736" s="76" t="s">
        <v>990</v>
      </c>
      <c r="G14736" s="83">
        <v>46124.0</v>
      </c>
      <c r="H14736" s="76" t="s">
        <v>953</v>
      </c>
    </row>
    <row r="14737">
      <c r="A14737" s="76" t="s">
        <v>33</v>
      </c>
      <c r="B14737" s="76" t="s">
        <v>1041</v>
      </c>
      <c r="C14737" s="84">
        <v>4.16</v>
      </c>
      <c r="D14737" s="84">
        <v>0.0</v>
      </c>
      <c r="E14737" s="84">
        <v>0.0</v>
      </c>
      <c r="F14737" s="76" t="s">
        <v>990</v>
      </c>
      <c r="G14737" s="83">
        <v>46124.0</v>
      </c>
      <c r="H14737" s="76" t="s">
        <v>957</v>
      </c>
    </row>
    <row r="14738">
      <c r="A14738" s="76" t="s">
        <v>33</v>
      </c>
      <c r="B14738" s="76" t="s">
        <v>1041</v>
      </c>
      <c r="C14738" s="84">
        <v>0.72</v>
      </c>
      <c r="D14738" s="84">
        <v>0.0</v>
      </c>
      <c r="E14738" s="84">
        <v>0.0</v>
      </c>
      <c r="F14738" s="76" t="s">
        <v>990</v>
      </c>
      <c r="G14738" s="83">
        <v>46124.0</v>
      </c>
      <c r="H14738" s="76" t="s">
        <v>958</v>
      </c>
    </row>
    <row r="14739">
      <c r="A14739" s="76" t="s">
        <v>33</v>
      </c>
      <c r="B14739" s="76" t="s">
        <v>1041</v>
      </c>
      <c r="C14739" s="84">
        <v>1.43</v>
      </c>
      <c r="D14739" s="84">
        <v>2.0</v>
      </c>
      <c r="E14739" s="84">
        <v>0.72</v>
      </c>
      <c r="F14739" s="76" t="s">
        <v>990</v>
      </c>
      <c r="G14739" s="83">
        <v>46124.0</v>
      </c>
      <c r="H14739" s="76" t="s">
        <v>959</v>
      </c>
    </row>
    <row r="14740">
      <c r="A14740" s="76" t="s">
        <v>40</v>
      </c>
      <c r="B14740" s="76" t="s">
        <v>1041</v>
      </c>
      <c r="C14740" s="84">
        <v>0.58</v>
      </c>
      <c r="D14740" s="84">
        <v>1.0</v>
      </c>
      <c r="E14740" s="84">
        <v>0.58</v>
      </c>
      <c r="F14740" s="76" t="s">
        <v>990</v>
      </c>
      <c r="G14740" s="83">
        <v>46124.0</v>
      </c>
      <c r="H14740" s="76" t="s">
        <v>954</v>
      </c>
    </row>
    <row r="14741">
      <c r="A14741" s="76" t="s">
        <v>40</v>
      </c>
      <c r="B14741" s="76" t="s">
        <v>1041</v>
      </c>
      <c r="C14741" s="84">
        <v>1.07</v>
      </c>
      <c r="D14741" s="84">
        <v>0.0</v>
      </c>
      <c r="E14741" s="84">
        <v>0.0</v>
      </c>
      <c r="F14741" s="76" t="s">
        <v>990</v>
      </c>
      <c r="G14741" s="83">
        <v>46124.0</v>
      </c>
      <c r="H14741" s="76" t="s">
        <v>955</v>
      </c>
    </row>
    <row r="14742">
      <c r="A14742" s="76" t="s">
        <v>40</v>
      </c>
      <c r="B14742" s="76" t="s">
        <v>1041</v>
      </c>
      <c r="C14742" s="84">
        <v>3.93</v>
      </c>
      <c r="D14742" s="84">
        <v>1.0</v>
      </c>
      <c r="E14742" s="84">
        <v>3.93</v>
      </c>
      <c r="F14742" s="76" t="s">
        <v>990</v>
      </c>
      <c r="G14742" s="83">
        <v>46124.0</v>
      </c>
      <c r="H14742" s="76" t="s">
        <v>956</v>
      </c>
    </row>
    <row r="14743">
      <c r="A14743" s="76" t="s">
        <v>43</v>
      </c>
      <c r="B14743" s="76" t="s">
        <v>1041</v>
      </c>
      <c r="C14743" s="84">
        <v>0.28</v>
      </c>
      <c r="D14743" s="84">
        <v>0.0</v>
      </c>
      <c r="E14743" s="84">
        <v>0.0</v>
      </c>
      <c r="F14743" s="76" t="s">
        <v>990</v>
      </c>
      <c r="G14743" s="83">
        <v>46124.0</v>
      </c>
      <c r="H14743" s="76" t="s">
        <v>963</v>
      </c>
    </row>
    <row r="14744">
      <c r="A14744" s="76" t="s">
        <v>43</v>
      </c>
      <c r="B14744" s="76" t="s">
        <v>1041</v>
      </c>
      <c r="C14744" s="84">
        <v>0.6</v>
      </c>
      <c r="D14744" s="84">
        <v>1.0</v>
      </c>
      <c r="E14744" s="84">
        <v>0.6</v>
      </c>
      <c r="F14744" s="76" t="s">
        <v>990</v>
      </c>
      <c r="G14744" s="83">
        <v>46124.0</v>
      </c>
      <c r="H14744" s="76" t="s">
        <v>964</v>
      </c>
    </row>
    <row r="14745">
      <c r="A14745" s="76" t="s">
        <v>43</v>
      </c>
      <c r="B14745" s="76" t="s">
        <v>1041</v>
      </c>
      <c r="C14745" s="84">
        <v>1.34</v>
      </c>
      <c r="D14745" s="84">
        <v>1.0</v>
      </c>
      <c r="E14745" s="84">
        <v>1.34</v>
      </c>
      <c r="F14745" s="76" t="s">
        <v>990</v>
      </c>
      <c r="G14745" s="83">
        <v>46124.0</v>
      </c>
      <c r="H14745" s="76" t="s">
        <v>965</v>
      </c>
    </row>
    <row r="14746">
      <c r="A14746" s="76" t="s">
        <v>966</v>
      </c>
      <c r="B14746" s="76" t="s">
        <v>1041</v>
      </c>
      <c r="C14746" s="84">
        <v>1.07</v>
      </c>
      <c r="D14746" s="84">
        <v>0.0</v>
      </c>
      <c r="E14746" s="84">
        <v>0.0</v>
      </c>
      <c r="F14746" s="76" t="s">
        <v>990</v>
      </c>
      <c r="G14746" s="83">
        <v>46124.0</v>
      </c>
      <c r="H14746" s="76" t="s">
        <v>967</v>
      </c>
    </row>
    <row r="14747">
      <c r="A14747" s="76" t="s">
        <v>966</v>
      </c>
      <c r="B14747" s="76" t="s">
        <v>1041</v>
      </c>
      <c r="C14747" s="84">
        <v>0.22</v>
      </c>
      <c r="D14747" s="84">
        <v>0.0</v>
      </c>
      <c r="E14747" s="84">
        <v>0.0</v>
      </c>
      <c r="F14747" s="76" t="s">
        <v>990</v>
      </c>
      <c r="G14747" s="83">
        <v>46124.0</v>
      </c>
      <c r="H14747" s="76" t="s">
        <v>968</v>
      </c>
    </row>
    <row r="14748">
      <c r="A14748" s="76" t="s">
        <v>966</v>
      </c>
      <c r="B14748" s="76" t="s">
        <v>1041</v>
      </c>
      <c r="C14748" s="84">
        <v>0.56</v>
      </c>
      <c r="D14748" s="84">
        <v>1.0</v>
      </c>
      <c r="E14748" s="84">
        <v>0.56</v>
      </c>
      <c r="F14748" s="76" t="s">
        <v>990</v>
      </c>
      <c r="G14748" s="83">
        <v>46124.0</v>
      </c>
      <c r="H14748" s="76" t="s">
        <v>969</v>
      </c>
    </row>
    <row r="14749">
      <c r="A14749" s="76" t="s">
        <v>970</v>
      </c>
      <c r="B14749" s="76" t="s">
        <v>1041</v>
      </c>
      <c r="C14749" s="84">
        <v>6.18</v>
      </c>
      <c r="D14749" s="84">
        <v>1.0</v>
      </c>
      <c r="E14749" s="84">
        <v>6.18</v>
      </c>
      <c r="F14749" s="76" t="s">
        <v>996</v>
      </c>
      <c r="G14749" s="83">
        <v>46124.0</v>
      </c>
      <c r="H14749" s="76" t="s">
        <v>971</v>
      </c>
    </row>
    <row r="14750">
      <c r="A14750" s="76" t="s">
        <v>970</v>
      </c>
      <c r="B14750" s="76" t="s">
        <v>1041</v>
      </c>
      <c r="C14750" s="84">
        <v>4.48</v>
      </c>
      <c r="D14750" s="84">
        <v>1.0</v>
      </c>
      <c r="E14750" s="84">
        <v>4.48</v>
      </c>
      <c r="F14750" s="76" t="s">
        <v>996</v>
      </c>
      <c r="G14750" s="83">
        <v>46124.0</v>
      </c>
      <c r="H14750" s="76" t="s">
        <v>972</v>
      </c>
    </row>
    <row r="14751">
      <c r="A14751" s="76" t="s">
        <v>970</v>
      </c>
      <c r="B14751" s="76" t="s">
        <v>1041</v>
      </c>
      <c r="C14751" s="84">
        <v>10.04</v>
      </c>
      <c r="D14751" s="84">
        <v>1.0</v>
      </c>
      <c r="E14751" s="84">
        <v>10.04</v>
      </c>
      <c r="F14751" s="76" t="s">
        <v>996</v>
      </c>
      <c r="G14751" s="83">
        <v>46124.0</v>
      </c>
      <c r="H14751" s="76" t="s">
        <v>973</v>
      </c>
    </row>
    <row r="14752">
      <c r="A14752" s="76" t="s">
        <v>29</v>
      </c>
      <c r="B14752" s="76" t="s">
        <v>1041</v>
      </c>
      <c r="C14752" s="84">
        <v>8.55</v>
      </c>
      <c r="D14752" s="84">
        <v>1.0</v>
      </c>
      <c r="E14752" s="84">
        <v>8.55</v>
      </c>
      <c r="F14752" s="76" t="s">
        <v>996</v>
      </c>
      <c r="G14752" s="83">
        <v>46124.0</v>
      </c>
      <c r="H14752" s="76" t="s">
        <v>971</v>
      </c>
    </row>
    <row r="14753">
      <c r="A14753" s="76" t="s">
        <v>29</v>
      </c>
      <c r="B14753" s="76" t="s">
        <v>1041</v>
      </c>
      <c r="C14753" s="84">
        <v>3.33</v>
      </c>
      <c r="D14753" s="84">
        <v>0.0</v>
      </c>
      <c r="E14753" s="84">
        <v>0.0</v>
      </c>
      <c r="F14753" s="76" t="s">
        <v>996</v>
      </c>
      <c r="G14753" s="83">
        <v>46124.0</v>
      </c>
      <c r="H14753" s="76" t="s">
        <v>972</v>
      </c>
    </row>
    <row r="14754">
      <c r="A14754" s="76" t="s">
        <v>29</v>
      </c>
      <c r="B14754" s="76" t="s">
        <v>1041</v>
      </c>
      <c r="C14754" s="84">
        <v>9.64</v>
      </c>
      <c r="D14754" s="84">
        <v>7.0</v>
      </c>
      <c r="E14754" s="84">
        <v>1.38</v>
      </c>
      <c r="F14754" s="76" t="s">
        <v>996</v>
      </c>
      <c r="G14754" s="83">
        <v>46124.0</v>
      </c>
      <c r="H14754" s="76" t="s">
        <v>973</v>
      </c>
    </row>
    <row r="14755">
      <c r="A14755" s="76" t="s">
        <v>43</v>
      </c>
      <c r="B14755" s="76" t="s">
        <v>1041</v>
      </c>
      <c r="C14755" s="84">
        <v>6.22</v>
      </c>
      <c r="D14755" s="84">
        <v>1.0</v>
      </c>
      <c r="E14755" s="84">
        <v>6.22</v>
      </c>
      <c r="F14755" s="76" t="s">
        <v>996</v>
      </c>
      <c r="G14755" s="83">
        <v>46124.0</v>
      </c>
      <c r="H14755" s="76" t="s">
        <v>963</v>
      </c>
    </row>
    <row r="14756">
      <c r="A14756" s="76" t="s">
        <v>43</v>
      </c>
      <c r="B14756" s="76" t="s">
        <v>1041</v>
      </c>
      <c r="C14756" s="84">
        <v>5.3</v>
      </c>
      <c r="D14756" s="84">
        <v>0.0</v>
      </c>
      <c r="E14756" s="84">
        <v>0.0</v>
      </c>
      <c r="F14756" s="76" t="s">
        <v>996</v>
      </c>
      <c r="G14756" s="83">
        <v>46124.0</v>
      </c>
      <c r="H14756" s="76" t="s">
        <v>964</v>
      </c>
    </row>
    <row r="14757">
      <c r="A14757" s="76" t="s">
        <v>43</v>
      </c>
      <c r="B14757" s="76" t="s">
        <v>1041</v>
      </c>
      <c r="C14757" s="84">
        <v>11.97</v>
      </c>
      <c r="D14757" s="84">
        <v>1.0</v>
      </c>
      <c r="E14757" s="84">
        <v>11.97</v>
      </c>
      <c r="F14757" s="76" t="s">
        <v>996</v>
      </c>
      <c r="G14757" s="83">
        <v>46124.0</v>
      </c>
      <c r="H14757" s="76" t="s">
        <v>965</v>
      </c>
    </row>
    <row r="14758">
      <c r="A14758" s="76" t="s">
        <v>46</v>
      </c>
      <c r="B14758" s="76" t="s">
        <v>1041</v>
      </c>
      <c r="C14758" s="84">
        <v>3.44</v>
      </c>
      <c r="D14758" s="84">
        <v>1.0</v>
      </c>
      <c r="E14758" s="84">
        <v>3.44</v>
      </c>
      <c r="F14758" s="76" t="s">
        <v>996</v>
      </c>
      <c r="G14758" s="83">
        <v>46124.0</v>
      </c>
      <c r="H14758" s="76" t="s">
        <v>960</v>
      </c>
    </row>
    <row r="14759">
      <c r="A14759" s="76" t="s">
        <v>46</v>
      </c>
      <c r="B14759" s="76" t="s">
        <v>1041</v>
      </c>
      <c r="C14759" s="84">
        <v>5.14</v>
      </c>
      <c r="D14759" s="84">
        <v>2.0</v>
      </c>
      <c r="E14759" s="84">
        <v>2.57</v>
      </c>
      <c r="F14759" s="76" t="s">
        <v>996</v>
      </c>
      <c r="G14759" s="83">
        <v>46124.0</v>
      </c>
      <c r="H14759" s="76" t="s">
        <v>961</v>
      </c>
    </row>
    <row r="14760">
      <c r="A14760" s="76" t="s">
        <v>46</v>
      </c>
      <c r="B14760" s="76" t="s">
        <v>1041</v>
      </c>
      <c r="C14760" s="84">
        <v>13.14</v>
      </c>
      <c r="D14760" s="84">
        <v>2.0</v>
      </c>
      <c r="E14760" s="84">
        <v>6.57</v>
      </c>
      <c r="F14760" s="76" t="s">
        <v>996</v>
      </c>
      <c r="G14760" s="83">
        <v>46124.0</v>
      </c>
      <c r="H14760" s="76" t="s">
        <v>962</v>
      </c>
    </row>
    <row r="14761">
      <c r="A14761" s="76" t="s">
        <v>966</v>
      </c>
      <c r="B14761" s="76" t="s">
        <v>1041</v>
      </c>
      <c r="C14761" s="84">
        <v>3.25</v>
      </c>
      <c r="D14761" s="84">
        <v>1.0</v>
      </c>
      <c r="E14761" s="84">
        <v>3.25</v>
      </c>
      <c r="F14761" s="76" t="s">
        <v>996</v>
      </c>
      <c r="G14761" s="83">
        <v>46124.0</v>
      </c>
      <c r="H14761" s="76" t="s">
        <v>967</v>
      </c>
    </row>
    <row r="14762">
      <c r="A14762" s="76" t="s">
        <v>966</v>
      </c>
      <c r="B14762" s="76" t="s">
        <v>1041</v>
      </c>
      <c r="C14762" s="84">
        <v>2.46</v>
      </c>
      <c r="D14762" s="84">
        <v>0.0</v>
      </c>
      <c r="E14762" s="84">
        <v>0.0</v>
      </c>
      <c r="F14762" s="76" t="s">
        <v>996</v>
      </c>
      <c r="G14762" s="83">
        <v>46124.0</v>
      </c>
      <c r="H14762" s="76" t="s">
        <v>968</v>
      </c>
    </row>
    <row r="14763">
      <c r="A14763" s="76" t="s">
        <v>966</v>
      </c>
      <c r="B14763" s="76" t="s">
        <v>1041</v>
      </c>
      <c r="C14763" s="84">
        <v>4.46</v>
      </c>
      <c r="D14763" s="84">
        <v>2.0</v>
      </c>
      <c r="E14763" s="84">
        <v>2.23</v>
      </c>
      <c r="F14763" s="76" t="s">
        <v>996</v>
      </c>
      <c r="G14763" s="83">
        <v>46124.0</v>
      </c>
      <c r="H14763" s="76" t="s">
        <v>969</v>
      </c>
    </row>
    <row r="14764">
      <c r="A14764" s="76" t="s">
        <v>33</v>
      </c>
      <c r="B14764" s="76" t="s">
        <v>1041</v>
      </c>
      <c r="C14764" s="84">
        <v>30.31</v>
      </c>
      <c r="D14764" s="84">
        <v>5.0</v>
      </c>
      <c r="E14764" s="84">
        <v>6.06</v>
      </c>
      <c r="F14764" s="76" t="s">
        <v>996</v>
      </c>
      <c r="G14764" s="83">
        <v>46124.0</v>
      </c>
      <c r="H14764" s="76" t="s">
        <v>957</v>
      </c>
    </row>
    <row r="14765">
      <c r="A14765" s="76" t="s">
        <v>33</v>
      </c>
      <c r="B14765" s="76" t="s">
        <v>1041</v>
      </c>
      <c r="C14765" s="84">
        <v>5.65</v>
      </c>
      <c r="D14765" s="84">
        <v>1.0</v>
      </c>
      <c r="E14765" s="84">
        <v>5.65</v>
      </c>
      <c r="F14765" s="76" t="s">
        <v>996</v>
      </c>
      <c r="G14765" s="83">
        <v>46124.0</v>
      </c>
      <c r="H14765" s="76" t="s">
        <v>958</v>
      </c>
    </row>
    <row r="14766">
      <c r="A14766" s="76" t="s">
        <v>33</v>
      </c>
      <c r="B14766" s="76" t="s">
        <v>1041</v>
      </c>
      <c r="C14766" s="84">
        <v>22.86</v>
      </c>
      <c r="D14766" s="84">
        <v>5.0</v>
      </c>
      <c r="E14766" s="84">
        <v>4.57</v>
      </c>
      <c r="F14766" s="76" t="s">
        <v>996</v>
      </c>
      <c r="G14766" s="83">
        <v>46124.0</v>
      </c>
      <c r="H14766" s="76" t="s">
        <v>959</v>
      </c>
    </row>
    <row r="14767">
      <c r="A14767" s="76" t="s">
        <v>34</v>
      </c>
      <c r="B14767" s="76" t="s">
        <v>1041</v>
      </c>
      <c r="C14767" s="84">
        <v>3.36</v>
      </c>
      <c r="D14767" s="84">
        <v>0.0</v>
      </c>
      <c r="E14767" s="84">
        <v>0.0</v>
      </c>
      <c r="F14767" s="76" t="s">
        <v>996</v>
      </c>
      <c r="G14767" s="83">
        <v>46124.0</v>
      </c>
      <c r="H14767" s="76" t="s">
        <v>951</v>
      </c>
    </row>
    <row r="14768">
      <c r="A14768" s="76" t="s">
        <v>34</v>
      </c>
      <c r="B14768" s="76" t="s">
        <v>1041</v>
      </c>
      <c r="C14768" s="84">
        <v>15.97</v>
      </c>
      <c r="D14768" s="84">
        <v>3.0</v>
      </c>
      <c r="E14768" s="84">
        <v>5.32</v>
      </c>
      <c r="F14768" s="76" t="s">
        <v>996</v>
      </c>
      <c r="G14768" s="83">
        <v>46124.0</v>
      </c>
      <c r="H14768" s="76" t="s">
        <v>952</v>
      </c>
    </row>
    <row r="14769">
      <c r="A14769" s="76" t="s">
        <v>34</v>
      </c>
      <c r="B14769" s="76" t="s">
        <v>1041</v>
      </c>
      <c r="C14769" s="84">
        <v>5.07</v>
      </c>
      <c r="D14769" s="84">
        <v>1.0</v>
      </c>
      <c r="E14769" s="84">
        <v>5.07</v>
      </c>
      <c r="F14769" s="76" t="s">
        <v>996</v>
      </c>
      <c r="G14769" s="83">
        <v>46124.0</v>
      </c>
      <c r="H14769" s="76" t="s">
        <v>953</v>
      </c>
    </row>
    <row r="14770">
      <c r="A14770" s="76" t="s">
        <v>36</v>
      </c>
      <c r="B14770" s="76" t="s">
        <v>1041</v>
      </c>
      <c r="C14770" s="84">
        <v>5.61</v>
      </c>
      <c r="D14770" s="84">
        <v>1.0</v>
      </c>
      <c r="E14770" s="84">
        <v>5.61</v>
      </c>
      <c r="F14770" s="76" t="s">
        <v>996</v>
      </c>
      <c r="G14770" s="83">
        <v>46124.0</v>
      </c>
      <c r="H14770" s="76" t="s">
        <v>926</v>
      </c>
    </row>
    <row r="14771">
      <c r="A14771" s="76" t="s">
        <v>36</v>
      </c>
      <c r="B14771" s="76" t="s">
        <v>1041</v>
      </c>
      <c r="C14771" s="84">
        <v>2.83</v>
      </c>
      <c r="D14771" s="84">
        <v>1.0</v>
      </c>
      <c r="E14771" s="84">
        <v>2.83</v>
      </c>
      <c r="F14771" s="76" t="s">
        <v>996</v>
      </c>
      <c r="G14771" s="83">
        <v>46124.0</v>
      </c>
      <c r="H14771" s="76" t="s">
        <v>927</v>
      </c>
    </row>
    <row r="14772">
      <c r="A14772" s="76" t="s">
        <v>36</v>
      </c>
      <c r="B14772" s="76" t="s">
        <v>1041</v>
      </c>
      <c r="C14772" s="84">
        <v>23.7</v>
      </c>
      <c r="D14772" s="84">
        <v>7.0</v>
      </c>
      <c r="E14772" s="84">
        <v>3.39</v>
      </c>
      <c r="F14772" s="76" t="s">
        <v>996</v>
      </c>
      <c r="G14772" s="83">
        <v>46124.0</v>
      </c>
      <c r="H14772" s="76" t="s">
        <v>928</v>
      </c>
    </row>
    <row r="14773">
      <c r="A14773" s="76" t="s">
        <v>40</v>
      </c>
      <c r="B14773" s="76" t="s">
        <v>1041</v>
      </c>
      <c r="C14773" s="84">
        <v>17.6</v>
      </c>
      <c r="D14773" s="84">
        <v>3.0</v>
      </c>
      <c r="E14773" s="84">
        <v>5.87</v>
      </c>
      <c r="F14773" s="76" t="s">
        <v>996</v>
      </c>
      <c r="G14773" s="83">
        <v>46124.0</v>
      </c>
      <c r="H14773" s="76" t="s">
        <v>954</v>
      </c>
    </row>
    <row r="14774">
      <c r="A14774" s="76" t="s">
        <v>40</v>
      </c>
      <c r="B14774" s="76" t="s">
        <v>1041</v>
      </c>
      <c r="C14774" s="84">
        <v>15.41</v>
      </c>
      <c r="D14774" s="84">
        <v>3.0</v>
      </c>
      <c r="E14774" s="84">
        <v>5.14</v>
      </c>
      <c r="F14774" s="76" t="s">
        <v>996</v>
      </c>
      <c r="G14774" s="83">
        <v>46124.0</v>
      </c>
      <c r="H14774" s="76" t="s">
        <v>955</v>
      </c>
    </row>
    <row r="14775">
      <c r="A14775" s="76" t="s">
        <v>40</v>
      </c>
      <c r="B14775" s="76" t="s">
        <v>1041</v>
      </c>
      <c r="C14775" s="84">
        <v>12.38</v>
      </c>
      <c r="D14775" s="84">
        <v>4.0</v>
      </c>
      <c r="E14775" s="84">
        <v>3.09</v>
      </c>
      <c r="F14775" s="76" t="s">
        <v>996</v>
      </c>
      <c r="G14775" s="83">
        <v>46124.0</v>
      </c>
      <c r="H14775" s="76" t="s">
        <v>956</v>
      </c>
    </row>
    <row r="14776">
      <c r="A14776" s="76" t="s">
        <v>40</v>
      </c>
      <c r="B14776" s="76" t="s">
        <v>1041</v>
      </c>
      <c r="C14776" s="84">
        <v>0.98</v>
      </c>
      <c r="D14776" s="84">
        <v>0.0</v>
      </c>
      <c r="E14776" s="84">
        <v>0.0</v>
      </c>
      <c r="F14776" s="76" t="s">
        <v>993</v>
      </c>
      <c r="G14776" s="83">
        <v>46124.0</v>
      </c>
      <c r="H14776" s="76" t="s">
        <v>954</v>
      </c>
    </row>
    <row r="14777">
      <c r="A14777" s="76" t="s">
        <v>40</v>
      </c>
      <c r="B14777" s="76" t="s">
        <v>1041</v>
      </c>
      <c r="C14777" s="84">
        <v>0.39</v>
      </c>
      <c r="D14777" s="84">
        <v>0.0</v>
      </c>
      <c r="E14777" s="84">
        <v>0.0</v>
      </c>
      <c r="F14777" s="76" t="s">
        <v>993</v>
      </c>
      <c r="G14777" s="83">
        <v>46124.0</v>
      </c>
      <c r="H14777" s="76" t="s">
        <v>955</v>
      </c>
    </row>
    <row r="14778">
      <c r="A14778" s="76" t="s">
        <v>40</v>
      </c>
      <c r="B14778" s="76" t="s">
        <v>1041</v>
      </c>
      <c r="C14778" s="84">
        <v>3.82</v>
      </c>
      <c r="D14778" s="84">
        <v>0.0</v>
      </c>
      <c r="E14778" s="84">
        <v>0.0</v>
      </c>
      <c r="F14778" s="76" t="s">
        <v>993</v>
      </c>
      <c r="G14778" s="83">
        <v>46124.0</v>
      </c>
      <c r="H14778" s="76" t="s">
        <v>956</v>
      </c>
    </row>
    <row r="14779">
      <c r="A14779" s="76" t="s">
        <v>36</v>
      </c>
      <c r="B14779" s="76" t="s">
        <v>1041</v>
      </c>
      <c r="C14779" s="84">
        <v>2.52</v>
      </c>
      <c r="D14779" s="84">
        <v>0.0</v>
      </c>
      <c r="E14779" s="84">
        <v>0.0</v>
      </c>
      <c r="F14779" s="76" t="s">
        <v>993</v>
      </c>
      <c r="G14779" s="83">
        <v>46124.0</v>
      </c>
      <c r="H14779" s="76" t="s">
        <v>926</v>
      </c>
    </row>
    <row r="14780">
      <c r="A14780" s="76" t="s">
        <v>36</v>
      </c>
      <c r="B14780" s="76" t="s">
        <v>1041</v>
      </c>
      <c r="C14780" s="84">
        <v>0.4</v>
      </c>
      <c r="D14780" s="84">
        <v>0.0</v>
      </c>
      <c r="E14780" s="84">
        <v>0.0</v>
      </c>
      <c r="F14780" s="76" t="s">
        <v>993</v>
      </c>
      <c r="G14780" s="83">
        <v>46124.0</v>
      </c>
      <c r="H14780" s="76" t="s">
        <v>927</v>
      </c>
    </row>
    <row r="14781">
      <c r="A14781" s="76" t="s">
        <v>36</v>
      </c>
      <c r="B14781" s="76" t="s">
        <v>1041</v>
      </c>
      <c r="C14781" s="84">
        <v>2.0</v>
      </c>
      <c r="D14781" s="84">
        <v>2.0</v>
      </c>
      <c r="E14781" s="84">
        <v>1.0</v>
      </c>
      <c r="F14781" s="76" t="s">
        <v>993</v>
      </c>
      <c r="G14781" s="83">
        <v>46124.0</v>
      </c>
      <c r="H14781" s="76" t="s">
        <v>928</v>
      </c>
    </row>
    <row r="14782">
      <c r="A14782" s="76" t="s">
        <v>46</v>
      </c>
      <c r="B14782" s="76" t="s">
        <v>1041</v>
      </c>
      <c r="C14782" s="84">
        <v>0.83</v>
      </c>
      <c r="D14782" s="84">
        <v>0.0</v>
      </c>
      <c r="E14782" s="84">
        <v>0.0</v>
      </c>
      <c r="F14782" s="76" t="s">
        <v>993</v>
      </c>
      <c r="G14782" s="83">
        <v>46124.0</v>
      </c>
      <c r="H14782" s="76" t="s">
        <v>960</v>
      </c>
    </row>
    <row r="14783">
      <c r="A14783" s="76" t="s">
        <v>46</v>
      </c>
      <c r="B14783" s="76" t="s">
        <v>1041</v>
      </c>
      <c r="C14783" s="84">
        <v>0.71</v>
      </c>
      <c r="D14783" s="84">
        <v>0.0</v>
      </c>
      <c r="E14783" s="84">
        <v>0.0</v>
      </c>
      <c r="F14783" s="76" t="s">
        <v>993</v>
      </c>
      <c r="G14783" s="83">
        <v>46124.0</v>
      </c>
      <c r="H14783" s="76" t="s">
        <v>961</v>
      </c>
    </row>
    <row r="14784">
      <c r="A14784" s="76" t="s">
        <v>46</v>
      </c>
      <c r="B14784" s="76" t="s">
        <v>1041</v>
      </c>
      <c r="C14784" s="84">
        <v>1.15</v>
      </c>
      <c r="D14784" s="84">
        <v>1.0</v>
      </c>
      <c r="E14784" s="84">
        <v>1.15</v>
      </c>
      <c r="F14784" s="76" t="s">
        <v>993</v>
      </c>
      <c r="G14784" s="83">
        <v>46124.0</v>
      </c>
      <c r="H14784" s="76" t="s">
        <v>962</v>
      </c>
    </row>
    <row r="14785">
      <c r="A14785" s="76" t="s">
        <v>970</v>
      </c>
      <c r="B14785" s="76" t="s">
        <v>1041</v>
      </c>
      <c r="C14785" s="84">
        <v>1.19</v>
      </c>
      <c r="D14785" s="84">
        <v>0.0</v>
      </c>
      <c r="E14785" s="84">
        <v>0.0</v>
      </c>
      <c r="F14785" s="76" t="s">
        <v>993</v>
      </c>
      <c r="G14785" s="83">
        <v>46124.0</v>
      </c>
      <c r="H14785" s="76" t="s">
        <v>971</v>
      </c>
    </row>
    <row r="14786">
      <c r="A14786" s="76" t="s">
        <v>970</v>
      </c>
      <c r="B14786" s="76" t="s">
        <v>1041</v>
      </c>
      <c r="C14786" s="84">
        <v>0.1</v>
      </c>
      <c r="D14786" s="84">
        <v>0.0</v>
      </c>
      <c r="E14786" s="84">
        <v>0.0</v>
      </c>
      <c r="F14786" s="76" t="s">
        <v>993</v>
      </c>
      <c r="G14786" s="83">
        <v>46124.0</v>
      </c>
      <c r="H14786" s="76" t="s">
        <v>972</v>
      </c>
    </row>
    <row r="14787">
      <c r="A14787" s="76" t="s">
        <v>970</v>
      </c>
      <c r="B14787" s="76" t="s">
        <v>1041</v>
      </c>
      <c r="C14787" s="84">
        <v>1.87</v>
      </c>
      <c r="D14787" s="84">
        <v>0.0</v>
      </c>
      <c r="E14787" s="84">
        <v>0.0</v>
      </c>
      <c r="F14787" s="76" t="s">
        <v>993</v>
      </c>
      <c r="G14787" s="83">
        <v>46124.0</v>
      </c>
      <c r="H14787" s="76" t="s">
        <v>973</v>
      </c>
    </row>
    <row r="14788">
      <c r="A14788" s="76" t="s">
        <v>33</v>
      </c>
      <c r="B14788" s="76" t="s">
        <v>1041</v>
      </c>
      <c r="C14788" s="84">
        <v>15.56</v>
      </c>
      <c r="D14788" s="84">
        <v>3.0</v>
      </c>
      <c r="E14788" s="84">
        <v>5.19</v>
      </c>
      <c r="F14788" s="76" t="s">
        <v>993</v>
      </c>
      <c r="G14788" s="83">
        <v>46124.0</v>
      </c>
      <c r="H14788" s="76" t="s">
        <v>957</v>
      </c>
    </row>
    <row r="14789">
      <c r="A14789" s="76" t="s">
        <v>33</v>
      </c>
      <c r="B14789" s="76" t="s">
        <v>1041</v>
      </c>
      <c r="C14789" s="84">
        <v>1.05</v>
      </c>
      <c r="D14789" s="84">
        <v>0.0</v>
      </c>
      <c r="E14789" s="84">
        <v>0.0</v>
      </c>
      <c r="F14789" s="76" t="s">
        <v>993</v>
      </c>
      <c r="G14789" s="83">
        <v>46124.0</v>
      </c>
      <c r="H14789" s="76" t="s">
        <v>958</v>
      </c>
    </row>
    <row r="14790">
      <c r="A14790" s="76" t="s">
        <v>33</v>
      </c>
      <c r="B14790" s="76" t="s">
        <v>1041</v>
      </c>
      <c r="C14790" s="84">
        <v>3.13</v>
      </c>
      <c r="D14790" s="84">
        <v>1.0</v>
      </c>
      <c r="E14790" s="84">
        <v>3.13</v>
      </c>
      <c r="F14790" s="76" t="s">
        <v>993</v>
      </c>
      <c r="G14790" s="83">
        <v>46124.0</v>
      </c>
      <c r="H14790" s="76" t="s">
        <v>959</v>
      </c>
    </row>
    <row r="14791">
      <c r="A14791" s="76" t="s">
        <v>966</v>
      </c>
      <c r="B14791" s="76" t="s">
        <v>1041</v>
      </c>
      <c r="C14791" s="84">
        <v>1.1</v>
      </c>
      <c r="D14791" s="84">
        <v>0.0</v>
      </c>
      <c r="E14791" s="84">
        <v>0.0</v>
      </c>
      <c r="F14791" s="76" t="s">
        <v>993</v>
      </c>
      <c r="G14791" s="83">
        <v>46124.0</v>
      </c>
      <c r="H14791" s="76" t="s">
        <v>967</v>
      </c>
    </row>
    <row r="14792">
      <c r="A14792" s="76" t="s">
        <v>966</v>
      </c>
      <c r="B14792" s="76" t="s">
        <v>1041</v>
      </c>
      <c r="C14792" s="84">
        <v>0.24</v>
      </c>
      <c r="D14792" s="84">
        <v>1.0</v>
      </c>
      <c r="E14792" s="84">
        <v>0.24</v>
      </c>
      <c r="F14792" s="76" t="s">
        <v>993</v>
      </c>
      <c r="G14792" s="83">
        <v>46124.0</v>
      </c>
      <c r="H14792" s="76" t="s">
        <v>968</v>
      </c>
    </row>
    <row r="14793">
      <c r="A14793" s="76" t="s">
        <v>966</v>
      </c>
      <c r="B14793" s="76" t="s">
        <v>1041</v>
      </c>
      <c r="C14793" s="84">
        <v>1.62</v>
      </c>
      <c r="D14793" s="84">
        <v>0.0</v>
      </c>
      <c r="E14793" s="84">
        <v>0.0</v>
      </c>
      <c r="F14793" s="76" t="s">
        <v>993</v>
      </c>
      <c r="G14793" s="83">
        <v>46124.0</v>
      </c>
      <c r="H14793" s="76" t="s">
        <v>969</v>
      </c>
    </row>
    <row r="14794">
      <c r="A14794" s="76" t="s">
        <v>29</v>
      </c>
      <c r="B14794" s="76" t="s">
        <v>1041</v>
      </c>
      <c r="C14794" s="84">
        <v>1.88</v>
      </c>
      <c r="D14794" s="84">
        <v>0.0</v>
      </c>
      <c r="E14794" s="84">
        <v>0.0</v>
      </c>
      <c r="F14794" s="76" t="s">
        <v>993</v>
      </c>
      <c r="G14794" s="83">
        <v>46124.0</v>
      </c>
      <c r="H14794" s="76" t="s">
        <v>971</v>
      </c>
    </row>
    <row r="14795">
      <c r="A14795" s="76" t="s">
        <v>29</v>
      </c>
      <c r="B14795" s="76" t="s">
        <v>1041</v>
      </c>
      <c r="C14795" s="84">
        <v>0.73</v>
      </c>
      <c r="D14795" s="84">
        <v>0.0</v>
      </c>
      <c r="E14795" s="84">
        <v>0.0</v>
      </c>
      <c r="F14795" s="76" t="s">
        <v>993</v>
      </c>
      <c r="G14795" s="83">
        <v>46124.0</v>
      </c>
      <c r="H14795" s="76" t="s">
        <v>972</v>
      </c>
    </row>
    <row r="14796">
      <c r="A14796" s="76" t="s">
        <v>29</v>
      </c>
      <c r="B14796" s="76" t="s">
        <v>1041</v>
      </c>
      <c r="C14796" s="84">
        <v>1.84</v>
      </c>
      <c r="D14796" s="84">
        <v>1.0</v>
      </c>
      <c r="E14796" s="84">
        <v>1.84</v>
      </c>
      <c r="F14796" s="76" t="s">
        <v>993</v>
      </c>
      <c r="G14796" s="83">
        <v>46124.0</v>
      </c>
      <c r="H14796" s="76" t="s">
        <v>973</v>
      </c>
    </row>
    <row r="14797">
      <c r="A14797" s="76" t="s">
        <v>34</v>
      </c>
      <c r="B14797" s="76" t="s">
        <v>1041</v>
      </c>
      <c r="C14797" s="84">
        <v>1.46</v>
      </c>
      <c r="D14797" s="84">
        <v>0.0</v>
      </c>
      <c r="E14797" s="84">
        <v>0.0</v>
      </c>
      <c r="F14797" s="76" t="s">
        <v>993</v>
      </c>
      <c r="G14797" s="83">
        <v>46124.0</v>
      </c>
      <c r="H14797" s="76" t="s">
        <v>951</v>
      </c>
    </row>
    <row r="14798">
      <c r="A14798" s="76" t="s">
        <v>34</v>
      </c>
      <c r="B14798" s="76" t="s">
        <v>1041</v>
      </c>
      <c r="C14798" s="84">
        <v>2.68</v>
      </c>
      <c r="D14798" s="84">
        <v>0.0</v>
      </c>
      <c r="E14798" s="84">
        <v>0.0</v>
      </c>
      <c r="F14798" s="76" t="s">
        <v>993</v>
      </c>
      <c r="G14798" s="83">
        <v>46124.0</v>
      </c>
      <c r="H14798" s="76" t="s">
        <v>952</v>
      </c>
    </row>
    <row r="14799">
      <c r="A14799" s="76" t="s">
        <v>34</v>
      </c>
      <c r="B14799" s="76" t="s">
        <v>1041</v>
      </c>
      <c r="C14799" s="84">
        <v>0.85</v>
      </c>
      <c r="D14799" s="84">
        <v>1.0</v>
      </c>
      <c r="E14799" s="84">
        <v>0.85</v>
      </c>
      <c r="F14799" s="76" t="s">
        <v>993</v>
      </c>
      <c r="G14799" s="83">
        <v>46124.0</v>
      </c>
      <c r="H14799" s="76" t="s">
        <v>953</v>
      </c>
    </row>
    <row r="14800">
      <c r="A14800" s="76" t="s">
        <v>43</v>
      </c>
      <c r="B14800" s="76" t="s">
        <v>1041</v>
      </c>
      <c r="C14800" s="84">
        <v>0.43</v>
      </c>
      <c r="D14800" s="84">
        <v>0.0</v>
      </c>
      <c r="E14800" s="84">
        <v>0.0</v>
      </c>
      <c r="F14800" s="76" t="s">
        <v>993</v>
      </c>
      <c r="G14800" s="83">
        <v>46124.0</v>
      </c>
      <c r="H14800" s="76" t="s">
        <v>963</v>
      </c>
    </row>
    <row r="14801">
      <c r="A14801" s="76" t="s">
        <v>43</v>
      </c>
      <c r="B14801" s="76" t="s">
        <v>1041</v>
      </c>
      <c r="C14801" s="84">
        <v>1.36</v>
      </c>
      <c r="D14801" s="84">
        <v>0.0</v>
      </c>
      <c r="E14801" s="84">
        <v>0.0</v>
      </c>
      <c r="F14801" s="76" t="s">
        <v>993</v>
      </c>
      <c r="G14801" s="83">
        <v>46124.0</v>
      </c>
      <c r="H14801" s="76" t="s">
        <v>964</v>
      </c>
    </row>
    <row r="14802">
      <c r="A14802" s="76" t="s">
        <v>43</v>
      </c>
      <c r="B14802" s="76" t="s">
        <v>1041</v>
      </c>
      <c r="C14802" s="84">
        <v>1.33</v>
      </c>
      <c r="D14802" s="84">
        <v>1.0</v>
      </c>
      <c r="E14802" s="84">
        <v>1.33</v>
      </c>
      <c r="F14802" s="76" t="s">
        <v>993</v>
      </c>
      <c r="G14802" s="83">
        <v>46124.0</v>
      </c>
      <c r="H14802" s="76" t="s">
        <v>965</v>
      </c>
    </row>
    <row r="14803">
      <c r="A14803" s="76" t="s">
        <v>36</v>
      </c>
      <c r="B14803" s="76" t="s">
        <v>1041</v>
      </c>
      <c r="C14803" s="84">
        <v>2.07</v>
      </c>
      <c r="D14803" s="84">
        <v>1.0</v>
      </c>
      <c r="E14803" s="84">
        <v>2.07</v>
      </c>
      <c r="F14803" s="76" t="s">
        <v>998</v>
      </c>
      <c r="G14803" s="83">
        <v>46124.0</v>
      </c>
      <c r="H14803" s="76" t="s">
        <v>926</v>
      </c>
    </row>
    <row r="14804">
      <c r="A14804" s="76" t="s">
        <v>36</v>
      </c>
      <c r="B14804" s="76" t="s">
        <v>1041</v>
      </c>
      <c r="C14804" s="84">
        <v>0.33</v>
      </c>
      <c r="D14804" s="84">
        <v>0.0</v>
      </c>
      <c r="E14804" s="84">
        <v>0.0</v>
      </c>
      <c r="F14804" s="76" t="s">
        <v>998</v>
      </c>
      <c r="G14804" s="83">
        <v>46124.0</v>
      </c>
      <c r="H14804" s="76" t="s">
        <v>927</v>
      </c>
    </row>
    <row r="14805">
      <c r="A14805" s="76" t="s">
        <v>36</v>
      </c>
      <c r="B14805" s="76" t="s">
        <v>1041</v>
      </c>
      <c r="C14805" s="84">
        <v>1.64</v>
      </c>
      <c r="D14805" s="84">
        <v>0.0</v>
      </c>
      <c r="E14805" s="84">
        <v>0.0</v>
      </c>
      <c r="F14805" s="76" t="s">
        <v>998</v>
      </c>
      <c r="G14805" s="83">
        <v>46124.0</v>
      </c>
      <c r="H14805" s="76" t="s">
        <v>928</v>
      </c>
    </row>
    <row r="14806">
      <c r="A14806" s="76" t="s">
        <v>34</v>
      </c>
      <c r="B14806" s="76" t="s">
        <v>1041</v>
      </c>
      <c r="C14806" s="84">
        <v>0.59</v>
      </c>
      <c r="D14806" s="84">
        <v>0.0</v>
      </c>
      <c r="E14806" s="84">
        <v>0.0</v>
      </c>
      <c r="F14806" s="76" t="s">
        <v>998</v>
      </c>
      <c r="G14806" s="83">
        <v>46124.0</v>
      </c>
      <c r="H14806" s="76" t="s">
        <v>951</v>
      </c>
    </row>
    <row r="14807">
      <c r="A14807" s="76" t="s">
        <v>34</v>
      </c>
      <c r="B14807" s="76" t="s">
        <v>1041</v>
      </c>
      <c r="C14807" s="84">
        <v>1.33</v>
      </c>
      <c r="D14807" s="84">
        <v>0.0</v>
      </c>
      <c r="E14807" s="84">
        <v>0.0</v>
      </c>
      <c r="F14807" s="76" t="s">
        <v>998</v>
      </c>
      <c r="G14807" s="83">
        <v>46124.0</v>
      </c>
      <c r="H14807" s="76" t="s">
        <v>952</v>
      </c>
    </row>
    <row r="14808">
      <c r="A14808" s="76" t="s">
        <v>34</v>
      </c>
      <c r="B14808" s="76" t="s">
        <v>1041</v>
      </c>
      <c r="C14808" s="84">
        <v>0.63</v>
      </c>
      <c r="D14808" s="84">
        <v>0.0</v>
      </c>
      <c r="E14808" s="84">
        <v>0.0</v>
      </c>
      <c r="F14808" s="76" t="s">
        <v>998</v>
      </c>
      <c r="G14808" s="83">
        <v>46124.0</v>
      </c>
      <c r="H14808" s="76" t="s">
        <v>953</v>
      </c>
    </row>
    <row r="14809">
      <c r="A14809" s="76" t="s">
        <v>33</v>
      </c>
      <c r="B14809" s="76" t="s">
        <v>1041</v>
      </c>
      <c r="C14809" s="84">
        <v>6.02</v>
      </c>
      <c r="D14809" s="84">
        <v>2.0</v>
      </c>
      <c r="E14809" s="84">
        <v>3.01</v>
      </c>
      <c r="F14809" s="76" t="s">
        <v>998</v>
      </c>
      <c r="G14809" s="83">
        <v>46124.0</v>
      </c>
      <c r="H14809" s="76" t="s">
        <v>957</v>
      </c>
    </row>
    <row r="14810">
      <c r="A14810" s="76" t="s">
        <v>33</v>
      </c>
      <c r="B14810" s="76" t="s">
        <v>1041</v>
      </c>
      <c r="C14810" s="84">
        <v>0.44</v>
      </c>
      <c r="D14810" s="84">
        <v>0.0</v>
      </c>
      <c r="E14810" s="84">
        <v>0.0</v>
      </c>
      <c r="F14810" s="76" t="s">
        <v>998</v>
      </c>
      <c r="G14810" s="83">
        <v>46124.0</v>
      </c>
      <c r="H14810" s="76" t="s">
        <v>958</v>
      </c>
    </row>
    <row r="14811">
      <c r="A14811" s="76" t="s">
        <v>33</v>
      </c>
      <c r="B14811" s="76" t="s">
        <v>1041</v>
      </c>
      <c r="C14811" s="84">
        <v>2.3</v>
      </c>
      <c r="D14811" s="84">
        <v>1.0</v>
      </c>
      <c r="E14811" s="84">
        <v>2.3</v>
      </c>
      <c r="F14811" s="76" t="s">
        <v>998</v>
      </c>
      <c r="G14811" s="83">
        <v>46124.0</v>
      </c>
      <c r="H14811" s="76" t="s">
        <v>959</v>
      </c>
    </row>
    <row r="14812">
      <c r="A14812" s="76" t="s">
        <v>29</v>
      </c>
      <c r="B14812" s="76" t="s">
        <v>1041</v>
      </c>
      <c r="C14812" s="84">
        <v>4.03</v>
      </c>
      <c r="D14812" s="84">
        <v>0.0</v>
      </c>
      <c r="E14812" s="84">
        <v>0.0</v>
      </c>
      <c r="F14812" s="76" t="s">
        <v>998</v>
      </c>
      <c r="G14812" s="83">
        <v>46124.0</v>
      </c>
      <c r="H14812" s="76" t="s">
        <v>971</v>
      </c>
    </row>
    <row r="14813">
      <c r="A14813" s="76" t="s">
        <v>29</v>
      </c>
      <c r="B14813" s="76" t="s">
        <v>1041</v>
      </c>
      <c r="C14813" s="84">
        <v>0.73</v>
      </c>
      <c r="D14813" s="84">
        <v>0.0</v>
      </c>
      <c r="E14813" s="84">
        <v>0.0</v>
      </c>
      <c r="F14813" s="76" t="s">
        <v>998</v>
      </c>
      <c r="G14813" s="83">
        <v>46124.0</v>
      </c>
      <c r="H14813" s="76" t="s">
        <v>972</v>
      </c>
    </row>
    <row r="14814">
      <c r="A14814" s="76" t="s">
        <v>29</v>
      </c>
      <c r="B14814" s="76" t="s">
        <v>1041</v>
      </c>
      <c r="C14814" s="84">
        <v>3.66</v>
      </c>
      <c r="D14814" s="84">
        <v>0.0</v>
      </c>
      <c r="E14814" s="84">
        <v>0.0</v>
      </c>
      <c r="F14814" s="76" t="s">
        <v>998</v>
      </c>
      <c r="G14814" s="83">
        <v>46124.0</v>
      </c>
      <c r="H14814" s="76" t="s">
        <v>973</v>
      </c>
    </row>
    <row r="14815">
      <c r="A14815" s="76" t="s">
        <v>46</v>
      </c>
      <c r="B14815" s="76" t="s">
        <v>1041</v>
      </c>
      <c r="C14815" s="84">
        <v>1.14</v>
      </c>
      <c r="D14815" s="84">
        <v>0.0</v>
      </c>
      <c r="E14815" s="84">
        <v>0.0</v>
      </c>
      <c r="F14815" s="76" t="s">
        <v>998</v>
      </c>
      <c r="G14815" s="83">
        <v>46124.0</v>
      </c>
      <c r="H14815" s="76" t="s">
        <v>960</v>
      </c>
    </row>
    <row r="14816">
      <c r="A14816" s="76" t="s">
        <v>46</v>
      </c>
      <c r="B14816" s="76" t="s">
        <v>1041</v>
      </c>
      <c r="C14816" s="84">
        <v>0.94</v>
      </c>
      <c r="D14816" s="84">
        <v>1.0</v>
      </c>
      <c r="E14816" s="84">
        <v>0.94</v>
      </c>
      <c r="F14816" s="76" t="s">
        <v>998</v>
      </c>
      <c r="G14816" s="83">
        <v>46124.0</v>
      </c>
      <c r="H14816" s="76" t="s">
        <v>961</v>
      </c>
    </row>
    <row r="14817">
      <c r="A14817" s="76" t="s">
        <v>46</v>
      </c>
      <c r="B14817" s="76" t="s">
        <v>1041</v>
      </c>
      <c r="C14817" s="84">
        <v>1.31</v>
      </c>
      <c r="D14817" s="84">
        <v>0.0</v>
      </c>
      <c r="E14817" s="84">
        <v>0.0</v>
      </c>
      <c r="F14817" s="76" t="s">
        <v>998</v>
      </c>
      <c r="G14817" s="83">
        <v>46124.0</v>
      </c>
      <c r="H14817" s="76" t="s">
        <v>962</v>
      </c>
    </row>
    <row r="14818">
      <c r="A14818" s="76" t="s">
        <v>40</v>
      </c>
      <c r="B14818" s="76" t="s">
        <v>1041</v>
      </c>
      <c r="C14818" s="84">
        <v>1.11</v>
      </c>
      <c r="D14818" s="84">
        <v>0.0</v>
      </c>
      <c r="E14818" s="84">
        <v>0.0</v>
      </c>
      <c r="F14818" s="76" t="s">
        <v>998</v>
      </c>
      <c r="G14818" s="83">
        <v>46124.0</v>
      </c>
      <c r="H14818" s="76" t="s">
        <v>954</v>
      </c>
    </row>
    <row r="14819">
      <c r="A14819" s="76" t="s">
        <v>40</v>
      </c>
      <c r="B14819" s="76" t="s">
        <v>1041</v>
      </c>
      <c r="C14819" s="84">
        <v>0.41</v>
      </c>
      <c r="D14819" s="84">
        <v>0.0</v>
      </c>
      <c r="E14819" s="84">
        <v>0.0</v>
      </c>
      <c r="F14819" s="76" t="s">
        <v>998</v>
      </c>
      <c r="G14819" s="83">
        <v>46124.0</v>
      </c>
      <c r="H14819" s="76" t="s">
        <v>955</v>
      </c>
    </row>
    <row r="14820">
      <c r="A14820" s="76" t="s">
        <v>40</v>
      </c>
      <c r="B14820" s="76" t="s">
        <v>1041</v>
      </c>
      <c r="C14820" s="84">
        <v>6.63</v>
      </c>
      <c r="D14820" s="84">
        <v>0.0</v>
      </c>
      <c r="E14820" s="84">
        <v>0.0</v>
      </c>
      <c r="F14820" s="76" t="s">
        <v>998</v>
      </c>
      <c r="G14820" s="83">
        <v>46124.0</v>
      </c>
      <c r="H14820" s="76" t="s">
        <v>956</v>
      </c>
    </row>
    <row r="14821">
      <c r="A14821" s="76" t="s">
        <v>966</v>
      </c>
      <c r="B14821" s="76" t="s">
        <v>1041</v>
      </c>
      <c r="C14821" s="84">
        <v>1.84</v>
      </c>
      <c r="D14821" s="84">
        <v>1.0</v>
      </c>
      <c r="E14821" s="84">
        <v>1.84</v>
      </c>
      <c r="F14821" s="76" t="s">
        <v>998</v>
      </c>
      <c r="G14821" s="83">
        <v>46124.0</v>
      </c>
      <c r="H14821" s="76" t="s">
        <v>967</v>
      </c>
    </row>
    <row r="14822">
      <c r="A14822" s="76" t="s">
        <v>966</v>
      </c>
      <c r="B14822" s="76" t="s">
        <v>1041</v>
      </c>
      <c r="C14822" s="84">
        <v>0.77</v>
      </c>
      <c r="D14822" s="84">
        <v>0.0</v>
      </c>
      <c r="E14822" s="84">
        <v>0.0</v>
      </c>
      <c r="F14822" s="76" t="s">
        <v>998</v>
      </c>
      <c r="G14822" s="83">
        <v>46124.0</v>
      </c>
      <c r="H14822" s="76" t="s">
        <v>968</v>
      </c>
    </row>
    <row r="14823">
      <c r="A14823" s="76" t="s">
        <v>966</v>
      </c>
      <c r="B14823" s="76" t="s">
        <v>1041</v>
      </c>
      <c r="C14823" s="84">
        <v>1.61</v>
      </c>
      <c r="D14823" s="84">
        <v>0.0</v>
      </c>
      <c r="E14823" s="84">
        <v>0.0</v>
      </c>
      <c r="F14823" s="76" t="s">
        <v>998</v>
      </c>
      <c r="G14823" s="83">
        <v>46124.0</v>
      </c>
      <c r="H14823" s="76" t="s">
        <v>969</v>
      </c>
    </row>
    <row r="14824">
      <c r="A14824" s="76" t="s">
        <v>43</v>
      </c>
      <c r="B14824" s="76" t="s">
        <v>1041</v>
      </c>
      <c r="C14824" s="84">
        <v>0.38</v>
      </c>
      <c r="D14824" s="84">
        <v>0.0</v>
      </c>
      <c r="E14824" s="84">
        <v>0.0</v>
      </c>
      <c r="F14824" s="76" t="s">
        <v>998</v>
      </c>
      <c r="G14824" s="83">
        <v>46124.0</v>
      </c>
      <c r="H14824" s="76" t="s">
        <v>963</v>
      </c>
    </row>
    <row r="14825">
      <c r="A14825" s="76" t="s">
        <v>43</v>
      </c>
      <c r="B14825" s="76" t="s">
        <v>1041</v>
      </c>
      <c r="C14825" s="84">
        <v>3.56</v>
      </c>
      <c r="D14825" s="84">
        <v>0.0</v>
      </c>
      <c r="E14825" s="84">
        <v>0.0</v>
      </c>
      <c r="F14825" s="76" t="s">
        <v>998</v>
      </c>
      <c r="G14825" s="83">
        <v>46124.0</v>
      </c>
      <c r="H14825" s="76" t="s">
        <v>964</v>
      </c>
    </row>
    <row r="14826">
      <c r="A14826" s="76" t="s">
        <v>43</v>
      </c>
      <c r="B14826" s="76" t="s">
        <v>1041</v>
      </c>
      <c r="C14826" s="84">
        <v>3.62</v>
      </c>
      <c r="D14826" s="84">
        <v>2.0</v>
      </c>
      <c r="E14826" s="84">
        <v>1.81</v>
      </c>
      <c r="F14826" s="76" t="s">
        <v>998</v>
      </c>
      <c r="G14826" s="83">
        <v>46124.0</v>
      </c>
      <c r="H14826" s="76" t="s">
        <v>965</v>
      </c>
    </row>
    <row r="14827">
      <c r="A14827" s="76" t="s">
        <v>970</v>
      </c>
      <c r="B14827" s="76" t="s">
        <v>1041</v>
      </c>
      <c r="C14827" s="84">
        <v>1.78</v>
      </c>
      <c r="D14827" s="84">
        <v>0.0</v>
      </c>
      <c r="E14827" s="84">
        <v>0.0</v>
      </c>
      <c r="F14827" s="76" t="s">
        <v>998</v>
      </c>
      <c r="G14827" s="83">
        <v>46124.0</v>
      </c>
      <c r="H14827" s="76" t="s">
        <v>971</v>
      </c>
    </row>
    <row r="14828">
      <c r="A14828" s="76" t="s">
        <v>970</v>
      </c>
      <c r="B14828" s="76" t="s">
        <v>1041</v>
      </c>
      <c r="C14828" s="84">
        <v>0.91</v>
      </c>
      <c r="D14828" s="84">
        <v>1.0</v>
      </c>
      <c r="E14828" s="84">
        <v>0.91</v>
      </c>
      <c r="F14828" s="76" t="s">
        <v>998</v>
      </c>
      <c r="G14828" s="83">
        <v>46124.0</v>
      </c>
      <c r="H14828" s="76" t="s">
        <v>972</v>
      </c>
    </row>
    <row r="14829">
      <c r="A14829" s="76" t="s">
        <v>970</v>
      </c>
      <c r="B14829" s="76" t="s">
        <v>1041</v>
      </c>
      <c r="C14829" s="84">
        <v>2.18</v>
      </c>
      <c r="D14829" s="84">
        <v>0.0</v>
      </c>
      <c r="E14829" s="84">
        <v>0.0</v>
      </c>
      <c r="F14829" s="76" t="s">
        <v>998</v>
      </c>
      <c r="G14829" s="83">
        <v>46124.0</v>
      </c>
      <c r="H14829" s="76" t="s">
        <v>973</v>
      </c>
    </row>
    <row r="14830">
      <c r="A14830" s="76" t="s">
        <v>32</v>
      </c>
      <c r="B14830" s="76" t="s">
        <v>1032</v>
      </c>
      <c r="C14830" s="84">
        <v>3.47</v>
      </c>
      <c r="D14830" s="84">
        <v>0.0</v>
      </c>
      <c r="E14830" s="84">
        <v>0.0</v>
      </c>
      <c r="F14830" s="76" t="s">
        <v>996</v>
      </c>
      <c r="G14830" s="83">
        <v>46124.0</v>
      </c>
      <c r="H14830" s="76" t="s">
        <v>941</v>
      </c>
    </row>
    <row r="14831">
      <c r="A14831" s="76" t="s">
        <v>32</v>
      </c>
      <c r="B14831" s="76" t="s">
        <v>1032</v>
      </c>
      <c r="C14831" s="84">
        <v>0.22</v>
      </c>
      <c r="D14831" s="84">
        <v>0.0</v>
      </c>
      <c r="E14831" s="84">
        <v>0.0</v>
      </c>
      <c r="F14831" s="76" t="s">
        <v>996</v>
      </c>
      <c r="G14831" s="83">
        <v>46124.0</v>
      </c>
      <c r="H14831" s="76" t="s">
        <v>942</v>
      </c>
    </row>
    <row r="14832">
      <c r="A14832" s="76" t="s">
        <v>32</v>
      </c>
      <c r="B14832" s="76" t="s">
        <v>1032</v>
      </c>
      <c r="C14832" s="84">
        <v>1.27</v>
      </c>
      <c r="D14832" s="84">
        <v>0.0</v>
      </c>
      <c r="E14832" s="84">
        <v>0.0</v>
      </c>
      <c r="F14832" s="76" t="s">
        <v>996</v>
      </c>
      <c r="G14832" s="83">
        <v>46124.0</v>
      </c>
      <c r="H14832" s="76" t="s">
        <v>943</v>
      </c>
    </row>
    <row r="14833">
      <c r="A14833" s="76" t="s">
        <v>28</v>
      </c>
      <c r="B14833" s="76" t="s">
        <v>1032</v>
      </c>
      <c r="C14833" s="84">
        <v>0.23</v>
      </c>
      <c r="D14833" s="84">
        <v>0.0</v>
      </c>
      <c r="E14833" s="84">
        <v>0.0</v>
      </c>
      <c r="F14833" s="76" t="s">
        <v>996</v>
      </c>
      <c r="G14833" s="83">
        <v>46124.0</v>
      </c>
      <c r="H14833" s="76" t="s">
        <v>931</v>
      </c>
    </row>
    <row r="14834">
      <c r="A14834" s="76" t="s">
        <v>28</v>
      </c>
      <c r="B14834" s="76" t="s">
        <v>1032</v>
      </c>
      <c r="C14834" s="84">
        <v>0.06</v>
      </c>
      <c r="D14834" s="84">
        <v>0.0</v>
      </c>
      <c r="E14834" s="84">
        <v>0.0</v>
      </c>
      <c r="F14834" s="76" t="s">
        <v>996</v>
      </c>
      <c r="G14834" s="83">
        <v>46124.0</v>
      </c>
      <c r="H14834" s="76" t="s">
        <v>932</v>
      </c>
    </row>
    <row r="14835">
      <c r="A14835" s="76" t="s">
        <v>28</v>
      </c>
      <c r="B14835" s="76" t="s">
        <v>1032</v>
      </c>
      <c r="C14835" s="84">
        <v>0.75</v>
      </c>
      <c r="D14835" s="84">
        <v>0.0</v>
      </c>
      <c r="E14835" s="84">
        <v>0.0</v>
      </c>
      <c r="F14835" s="76" t="s">
        <v>996</v>
      </c>
      <c r="G14835" s="83">
        <v>46124.0</v>
      </c>
      <c r="H14835" s="76" t="s">
        <v>933</v>
      </c>
    </row>
    <row r="14836">
      <c r="A14836" s="76" t="s">
        <v>36</v>
      </c>
      <c r="B14836" s="76" t="s">
        <v>1032</v>
      </c>
      <c r="C14836" s="84">
        <v>0.86</v>
      </c>
      <c r="D14836" s="84">
        <v>0.0</v>
      </c>
      <c r="E14836" s="84">
        <v>0.0</v>
      </c>
      <c r="F14836" s="76" t="s">
        <v>996</v>
      </c>
      <c r="G14836" s="83">
        <v>46124.0</v>
      </c>
      <c r="H14836" s="76" t="s">
        <v>926</v>
      </c>
    </row>
    <row r="14837">
      <c r="A14837" s="76" t="s">
        <v>36</v>
      </c>
      <c r="B14837" s="76" t="s">
        <v>1032</v>
      </c>
      <c r="C14837" s="84">
        <v>0.07</v>
      </c>
      <c r="D14837" s="84">
        <v>0.0</v>
      </c>
      <c r="E14837" s="84">
        <v>0.0</v>
      </c>
      <c r="F14837" s="76" t="s">
        <v>996</v>
      </c>
      <c r="G14837" s="83">
        <v>46124.0</v>
      </c>
      <c r="H14837" s="76" t="s">
        <v>927</v>
      </c>
    </row>
    <row r="14838">
      <c r="A14838" s="76" t="s">
        <v>36</v>
      </c>
      <c r="B14838" s="76" t="s">
        <v>1032</v>
      </c>
      <c r="C14838" s="84">
        <v>0.27</v>
      </c>
      <c r="D14838" s="84">
        <v>0.0</v>
      </c>
      <c r="E14838" s="84">
        <v>0.0</v>
      </c>
      <c r="F14838" s="76" t="s">
        <v>996</v>
      </c>
      <c r="G14838" s="83">
        <v>46124.0</v>
      </c>
      <c r="H14838" s="76" t="s">
        <v>928</v>
      </c>
    </row>
    <row r="14839">
      <c r="A14839" s="76" t="s">
        <v>26</v>
      </c>
      <c r="B14839" s="76" t="s">
        <v>1032</v>
      </c>
      <c r="C14839" s="84">
        <v>0.14</v>
      </c>
      <c r="D14839" s="84">
        <v>0.0</v>
      </c>
      <c r="E14839" s="84">
        <v>0.0</v>
      </c>
      <c r="F14839" s="76" t="s">
        <v>996</v>
      </c>
      <c r="G14839" s="83">
        <v>46124.0</v>
      </c>
      <c r="H14839" s="76" t="s">
        <v>1012</v>
      </c>
    </row>
    <row r="14840">
      <c r="A14840" s="76" t="s">
        <v>26</v>
      </c>
      <c r="B14840" s="76" t="s">
        <v>1032</v>
      </c>
      <c r="C14840" s="84">
        <v>0.04</v>
      </c>
      <c r="D14840" s="84">
        <v>0.0</v>
      </c>
      <c r="E14840" s="84">
        <v>0.0</v>
      </c>
      <c r="F14840" s="76" t="s">
        <v>996</v>
      </c>
      <c r="G14840" s="83">
        <v>46124.0</v>
      </c>
      <c r="H14840" s="76" t="s">
        <v>1013</v>
      </c>
    </row>
    <row r="14841">
      <c r="A14841" s="76" t="s">
        <v>26</v>
      </c>
      <c r="B14841" s="76" t="s">
        <v>1032</v>
      </c>
      <c r="C14841" s="84">
        <v>7.92</v>
      </c>
      <c r="D14841" s="84">
        <v>1.0</v>
      </c>
      <c r="E14841" s="84">
        <v>7.92</v>
      </c>
      <c r="F14841" s="76" t="s">
        <v>996</v>
      </c>
      <c r="G14841" s="83">
        <v>46124.0</v>
      </c>
      <c r="H14841" s="76" t="s">
        <v>1014</v>
      </c>
    </row>
    <row r="14842">
      <c r="A14842" s="76" t="s">
        <v>45</v>
      </c>
      <c r="B14842" s="76" t="s">
        <v>1032</v>
      </c>
      <c r="C14842" s="84">
        <v>0.03</v>
      </c>
      <c r="D14842" s="84">
        <v>0.0</v>
      </c>
      <c r="E14842" s="84">
        <v>0.0</v>
      </c>
      <c r="F14842" s="76" t="s">
        <v>996</v>
      </c>
      <c r="G14842" s="83">
        <v>46124.0</v>
      </c>
      <c r="H14842" s="76" t="s">
        <v>936</v>
      </c>
    </row>
    <row r="14843">
      <c r="A14843" s="76" t="s">
        <v>45</v>
      </c>
      <c r="B14843" s="76" t="s">
        <v>1032</v>
      </c>
      <c r="C14843" s="84">
        <v>0.22</v>
      </c>
      <c r="D14843" s="84">
        <v>0.0</v>
      </c>
      <c r="E14843" s="84">
        <v>0.0</v>
      </c>
      <c r="F14843" s="76" t="s">
        <v>996</v>
      </c>
      <c r="G14843" s="83">
        <v>46124.0</v>
      </c>
      <c r="H14843" s="76" t="s">
        <v>937</v>
      </c>
    </row>
    <row r="14844">
      <c r="A14844" s="76" t="s">
        <v>45</v>
      </c>
      <c r="B14844" s="76" t="s">
        <v>1032</v>
      </c>
      <c r="C14844" s="84">
        <v>0.02</v>
      </c>
      <c r="D14844" s="84">
        <v>0.0</v>
      </c>
      <c r="E14844" s="84">
        <v>0.0</v>
      </c>
      <c r="F14844" s="76" t="s">
        <v>996</v>
      </c>
      <c r="G14844" s="83">
        <v>46124.0</v>
      </c>
      <c r="H14844" s="76" t="s">
        <v>938</v>
      </c>
    </row>
    <row r="14845">
      <c r="A14845" s="76" t="s">
        <v>31</v>
      </c>
      <c r="B14845" s="76" t="s">
        <v>1032</v>
      </c>
      <c r="C14845" s="84">
        <v>0.2</v>
      </c>
      <c r="D14845" s="84">
        <v>0.0</v>
      </c>
      <c r="E14845" s="84">
        <v>0.0</v>
      </c>
      <c r="F14845" s="76" t="s">
        <v>996</v>
      </c>
      <c r="G14845" s="83">
        <v>46124.0</v>
      </c>
      <c r="H14845" s="76" t="s">
        <v>929</v>
      </c>
    </row>
    <row r="14846">
      <c r="A14846" s="76" t="s">
        <v>31</v>
      </c>
      <c r="B14846" s="76" t="s">
        <v>1032</v>
      </c>
      <c r="C14846" s="84">
        <v>17.63</v>
      </c>
      <c r="D14846" s="84">
        <v>4.0</v>
      </c>
      <c r="E14846" s="84">
        <v>4.41</v>
      </c>
      <c r="F14846" s="76" t="s">
        <v>996</v>
      </c>
      <c r="G14846" s="83">
        <v>46124.0</v>
      </c>
      <c r="H14846" s="76" t="s">
        <v>930</v>
      </c>
    </row>
    <row r="14847">
      <c r="A14847" s="76" t="s">
        <v>944</v>
      </c>
      <c r="B14847" s="76" t="s">
        <v>1032</v>
      </c>
      <c r="C14847" s="84">
        <v>0.58</v>
      </c>
      <c r="D14847" s="84">
        <v>0.0</v>
      </c>
      <c r="E14847" s="84">
        <v>0.0</v>
      </c>
      <c r="F14847" s="76" t="s">
        <v>996</v>
      </c>
      <c r="G14847" s="83">
        <v>46124.0</v>
      </c>
      <c r="H14847" s="76" t="s">
        <v>945</v>
      </c>
    </row>
    <row r="14848">
      <c r="A14848" s="76" t="s">
        <v>944</v>
      </c>
      <c r="B14848" s="76" t="s">
        <v>1032</v>
      </c>
      <c r="C14848" s="84">
        <v>0.07</v>
      </c>
      <c r="D14848" s="84">
        <v>0.0</v>
      </c>
      <c r="E14848" s="84">
        <v>0.0</v>
      </c>
      <c r="F14848" s="76" t="s">
        <v>996</v>
      </c>
      <c r="G14848" s="83">
        <v>46124.0</v>
      </c>
      <c r="H14848" s="76" t="s">
        <v>946</v>
      </c>
    </row>
    <row r="14849">
      <c r="A14849" s="76" t="s">
        <v>944</v>
      </c>
      <c r="B14849" s="76" t="s">
        <v>1032</v>
      </c>
      <c r="C14849" s="84">
        <v>1.05</v>
      </c>
      <c r="D14849" s="84">
        <v>1.0</v>
      </c>
      <c r="E14849" s="84">
        <v>1.05</v>
      </c>
      <c r="F14849" s="76" t="s">
        <v>996</v>
      </c>
      <c r="G14849" s="83">
        <v>46124.0</v>
      </c>
      <c r="H14849" s="76" t="s">
        <v>947</v>
      </c>
    </row>
    <row r="14850">
      <c r="A14850" s="76" t="s">
        <v>1043</v>
      </c>
      <c r="B14850" s="76" t="s">
        <v>1032</v>
      </c>
      <c r="C14850" s="84">
        <v>0.31</v>
      </c>
      <c r="D14850" s="84">
        <v>0.0</v>
      </c>
      <c r="E14850" s="84">
        <v>0.0</v>
      </c>
      <c r="F14850" s="76" t="s">
        <v>996</v>
      </c>
      <c r="G14850" s="83">
        <v>46124.0</v>
      </c>
      <c r="H14850" s="76" t="s">
        <v>1044</v>
      </c>
    </row>
    <row r="14851">
      <c r="A14851" s="76" t="s">
        <v>52</v>
      </c>
      <c r="B14851" s="76" t="s">
        <v>1032</v>
      </c>
      <c r="C14851" s="84">
        <v>0.31</v>
      </c>
      <c r="D14851" s="84">
        <v>0.0</v>
      </c>
      <c r="E14851" s="84">
        <v>0.0</v>
      </c>
      <c r="F14851" s="76" t="s">
        <v>996</v>
      </c>
      <c r="G14851" s="83">
        <v>46124.0</v>
      </c>
      <c r="H14851" s="76" t="s">
        <v>1045</v>
      </c>
    </row>
    <row r="14852">
      <c r="A14852" s="76" t="s">
        <v>49</v>
      </c>
      <c r="B14852" s="76" t="s">
        <v>1032</v>
      </c>
      <c r="C14852" s="84">
        <v>0.49</v>
      </c>
      <c r="D14852" s="84">
        <v>0.0</v>
      </c>
      <c r="E14852" s="84">
        <v>0.0</v>
      </c>
      <c r="F14852" s="76" t="s">
        <v>996</v>
      </c>
      <c r="G14852" s="83">
        <v>46124.0</v>
      </c>
      <c r="H14852" s="76" t="s">
        <v>1046</v>
      </c>
    </row>
    <row r="14853">
      <c r="A14853" s="76" t="s">
        <v>28</v>
      </c>
      <c r="B14853" s="76" t="s">
        <v>1032</v>
      </c>
      <c r="C14853" s="84">
        <v>0.22</v>
      </c>
      <c r="D14853" s="84">
        <v>0.0</v>
      </c>
      <c r="E14853" s="84">
        <v>0.0</v>
      </c>
      <c r="F14853" s="76" t="s">
        <v>997</v>
      </c>
      <c r="G14853" s="83">
        <v>46124.0</v>
      </c>
      <c r="H14853" s="76" t="s">
        <v>931</v>
      </c>
    </row>
    <row r="14854">
      <c r="A14854" s="76" t="s">
        <v>28</v>
      </c>
      <c r="B14854" s="76" t="s">
        <v>1032</v>
      </c>
      <c r="C14854" s="84">
        <v>0.04</v>
      </c>
      <c r="D14854" s="84">
        <v>0.0</v>
      </c>
      <c r="E14854" s="84">
        <v>0.0</v>
      </c>
      <c r="F14854" s="76" t="s">
        <v>997</v>
      </c>
      <c r="G14854" s="83">
        <v>46124.0</v>
      </c>
      <c r="H14854" s="76" t="s">
        <v>932</v>
      </c>
    </row>
    <row r="14855">
      <c r="A14855" s="76" t="s">
        <v>28</v>
      </c>
      <c r="B14855" s="76" t="s">
        <v>1032</v>
      </c>
      <c r="C14855" s="84">
        <v>1.08</v>
      </c>
      <c r="D14855" s="84">
        <v>0.0</v>
      </c>
      <c r="E14855" s="84">
        <v>0.0</v>
      </c>
      <c r="F14855" s="76" t="s">
        <v>997</v>
      </c>
      <c r="G14855" s="83">
        <v>46124.0</v>
      </c>
      <c r="H14855" s="76" t="s">
        <v>933</v>
      </c>
    </row>
    <row r="14856">
      <c r="A14856" s="76" t="s">
        <v>45</v>
      </c>
      <c r="B14856" s="76" t="s">
        <v>1032</v>
      </c>
      <c r="C14856" s="84">
        <v>0.09</v>
      </c>
      <c r="D14856" s="84">
        <v>1.0</v>
      </c>
      <c r="E14856" s="84">
        <v>0.09</v>
      </c>
      <c r="F14856" s="76" t="s">
        <v>997</v>
      </c>
      <c r="G14856" s="83">
        <v>46124.0</v>
      </c>
      <c r="H14856" s="76" t="s">
        <v>936</v>
      </c>
    </row>
    <row r="14857">
      <c r="A14857" s="76" t="s">
        <v>45</v>
      </c>
      <c r="B14857" s="76" t="s">
        <v>1032</v>
      </c>
      <c r="C14857" s="84">
        <v>0.49</v>
      </c>
      <c r="D14857" s="84">
        <v>0.0</v>
      </c>
      <c r="E14857" s="84">
        <v>0.0</v>
      </c>
      <c r="F14857" s="76" t="s">
        <v>997</v>
      </c>
      <c r="G14857" s="83">
        <v>46124.0</v>
      </c>
      <c r="H14857" s="76" t="s">
        <v>937</v>
      </c>
    </row>
    <row r="14858">
      <c r="A14858" s="76" t="s">
        <v>45</v>
      </c>
      <c r="B14858" s="76" t="s">
        <v>1032</v>
      </c>
      <c r="C14858" s="84">
        <v>0.02</v>
      </c>
      <c r="D14858" s="84">
        <v>0.0</v>
      </c>
      <c r="E14858" s="84">
        <v>0.0</v>
      </c>
      <c r="F14858" s="76" t="s">
        <v>997</v>
      </c>
      <c r="G14858" s="83">
        <v>46124.0</v>
      </c>
      <c r="H14858" s="76" t="s">
        <v>938</v>
      </c>
    </row>
    <row r="14859">
      <c r="A14859" s="76" t="s">
        <v>32</v>
      </c>
      <c r="B14859" s="76" t="s">
        <v>1032</v>
      </c>
      <c r="C14859" s="84">
        <v>7.05</v>
      </c>
      <c r="D14859" s="84">
        <v>2.0</v>
      </c>
      <c r="E14859" s="84">
        <v>3.52</v>
      </c>
      <c r="F14859" s="76" t="s">
        <v>997</v>
      </c>
      <c r="G14859" s="83">
        <v>46124.0</v>
      </c>
      <c r="H14859" s="76" t="s">
        <v>941</v>
      </c>
    </row>
    <row r="14860">
      <c r="A14860" s="76" t="s">
        <v>32</v>
      </c>
      <c r="B14860" s="76" t="s">
        <v>1032</v>
      </c>
      <c r="C14860" s="84">
        <v>0.45</v>
      </c>
      <c r="D14860" s="84">
        <v>0.0</v>
      </c>
      <c r="E14860" s="84">
        <v>0.0</v>
      </c>
      <c r="F14860" s="76" t="s">
        <v>997</v>
      </c>
      <c r="G14860" s="83">
        <v>46124.0</v>
      </c>
      <c r="H14860" s="76" t="s">
        <v>942</v>
      </c>
    </row>
    <row r="14861">
      <c r="A14861" s="76" t="s">
        <v>32</v>
      </c>
      <c r="B14861" s="76" t="s">
        <v>1032</v>
      </c>
      <c r="C14861" s="84">
        <v>1.6</v>
      </c>
      <c r="D14861" s="84">
        <v>0.0</v>
      </c>
      <c r="E14861" s="84">
        <v>0.0</v>
      </c>
      <c r="F14861" s="76" t="s">
        <v>997</v>
      </c>
      <c r="G14861" s="83">
        <v>46124.0</v>
      </c>
      <c r="H14861" s="76" t="s">
        <v>943</v>
      </c>
    </row>
    <row r="14862">
      <c r="A14862" s="76" t="s">
        <v>944</v>
      </c>
      <c r="B14862" s="76" t="s">
        <v>1032</v>
      </c>
      <c r="C14862" s="84">
        <v>0.68</v>
      </c>
      <c r="D14862" s="84">
        <v>0.0</v>
      </c>
      <c r="E14862" s="84">
        <v>0.0</v>
      </c>
      <c r="F14862" s="76" t="s">
        <v>997</v>
      </c>
      <c r="G14862" s="83">
        <v>46124.0</v>
      </c>
      <c r="H14862" s="76" t="s">
        <v>945</v>
      </c>
    </row>
    <row r="14863">
      <c r="A14863" s="76" t="s">
        <v>944</v>
      </c>
      <c r="B14863" s="76" t="s">
        <v>1032</v>
      </c>
      <c r="C14863" s="84">
        <v>0.22</v>
      </c>
      <c r="D14863" s="84">
        <v>0.0</v>
      </c>
      <c r="E14863" s="84">
        <v>0.0</v>
      </c>
      <c r="F14863" s="76" t="s">
        <v>997</v>
      </c>
      <c r="G14863" s="83">
        <v>46124.0</v>
      </c>
      <c r="H14863" s="76" t="s">
        <v>946</v>
      </c>
    </row>
    <row r="14864">
      <c r="A14864" s="76" t="s">
        <v>944</v>
      </c>
      <c r="B14864" s="76" t="s">
        <v>1032</v>
      </c>
      <c r="C14864" s="84">
        <v>1.6</v>
      </c>
      <c r="D14864" s="84">
        <v>0.0</v>
      </c>
      <c r="E14864" s="84">
        <v>0.0</v>
      </c>
      <c r="F14864" s="76" t="s">
        <v>997</v>
      </c>
      <c r="G14864" s="83">
        <v>46124.0</v>
      </c>
      <c r="H14864" s="76" t="s">
        <v>947</v>
      </c>
    </row>
    <row r="14865">
      <c r="A14865" s="76" t="s">
        <v>36</v>
      </c>
      <c r="B14865" s="76" t="s">
        <v>1032</v>
      </c>
      <c r="C14865" s="84">
        <v>0.97</v>
      </c>
      <c r="D14865" s="84">
        <v>0.0</v>
      </c>
      <c r="E14865" s="84">
        <v>0.0</v>
      </c>
      <c r="F14865" s="76" t="s">
        <v>997</v>
      </c>
      <c r="G14865" s="83">
        <v>46124.0</v>
      </c>
      <c r="H14865" s="76" t="s">
        <v>926</v>
      </c>
    </row>
    <row r="14866">
      <c r="A14866" s="76" t="s">
        <v>36</v>
      </c>
      <c r="B14866" s="76" t="s">
        <v>1032</v>
      </c>
      <c r="C14866" s="84">
        <v>0.15</v>
      </c>
      <c r="D14866" s="84">
        <v>0.0</v>
      </c>
      <c r="E14866" s="84">
        <v>0.0</v>
      </c>
      <c r="F14866" s="76" t="s">
        <v>997</v>
      </c>
      <c r="G14866" s="83">
        <v>46124.0</v>
      </c>
      <c r="H14866" s="76" t="s">
        <v>927</v>
      </c>
    </row>
    <row r="14867">
      <c r="A14867" s="76" t="s">
        <v>36</v>
      </c>
      <c r="B14867" s="76" t="s">
        <v>1032</v>
      </c>
      <c r="C14867" s="84">
        <v>0.51</v>
      </c>
      <c r="D14867" s="84">
        <v>1.0</v>
      </c>
      <c r="E14867" s="84">
        <v>0.51</v>
      </c>
      <c r="F14867" s="76" t="s">
        <v>997</v>
      </c>
      <c r="G14867" s="83">
        <v>46124.0</v>
      </c>
      <c r="H14867" s="76" t="s">
        <v>928</v>
      </c>
    </row>
    <row r="14868">
      <c r="A14868" s="76" t="s">
        <v>31</v>
      </c>
      <c r="B14868" s="76" t="s">
        <v>1032</v>
      </c>
      <c r="C14868" s="84">
        <v>0.38</v>
      </c>
      <c r="D14868" s="84">
        <v>0.0</v>
      </c>
      <c r="E14868" s="84">
        <v>0.0</v>
      </c>
      <c r="F14868" s="76" t="s">
        <v>997</v>
      </c>
      <c r="G14868" s="83">
        <v>46124.0</v>
      </c>
      <c r="H14868" s="76" t="s">
        <v>929</v>
      </c>
    </row>
    <row r="14869">
      <c r="A14869" s="76" t="s">
        <v>31</v>
      </c>
      <c r="B14869" s="76" t="s">
        <v>1032</v>
      </c>
      <c r="C14869" s="84">
        <v>20.54</v>
      </c>
      <c r="D14869" s="84">
        <v>10.0</v>
      </c>
      <c r="E14869" s="84">
        <v>2.05</v>
      </c>
      <c r="F14869" s="76" t="s">
        <v>997</v>
      </c>
      <c r="G14869" s="83">
        <v>46124.0</v>
      </c>
      <c r="H14869" s="76" t="s">
        <v>930</v>
      </c>
    </row>
    <row r="14870">
      <c r="A14870" s="76" t="s">
        <v>26</v>
      </c>
      <c r="B14870" s="76" t="s">
        <v>1032</v>
      </c>
      <c r="C14870" s="84">
        <v>0.29</v>
      </c>
      <c r="D14870" s="84">
        <v>0.0</v>
      </c>
      <c r="E14870" s="84">
        <v>0.0</v>
      </c>
      <c r="F14870" s="76" t="s">
        <v>997</v>
      </c>
      <c r="G14870" s="83">
        <v>46124.0</v>
      </c>
      <c r="H14870" s="76" t="s">
        <v>1012</v>
      </c>
    </row>
    <row r="14871">
      <c r="A14871" s="76" t="s">
        <v>26</v>
      </c>
      <c r="B14871" s="76" t="s">
        <v>1032</v>
      </c>
      <c r="C14871" s="84">
        <v>0.1</v>
      </c>
      <c r="D14871" s="84">
        <v>0.0</v>
      </c>
      <c r="E14871" s="84">
        <v>0.0</v>
      </c>
      <c r="F14871" s="76" t="s">
        <v>997</v>
      </c>
      <c r="G14871" s="83">
        <v>46124.0</v>
      </c>
      <c r="H14871" s="76" t="s">
        <v>1013</v>
      </c>
    </row>
    <row r="14872">
      <c r="A14872" s="76" t="s">
        <v>26</v>
      </c>
      <c r="B14872" s="76" t="s">
        <v>1032</v>
      </c>
      <c r="C14872" s="84">
        <v>7.65</v>
      </c>
      <c r="D14872" s="84">
        <v>2.0</v>
      </c>
      <c r="E14872" s="84">
        <v>3.83</v>
      </c>
      <c r="F14872" s="76" t="s">
        <v>997</v>
      </c>
      <c r="G14872" s="83">
        <v>46124.0</v>
      </c>
      <c r="H14872" s="76" t="s">
        <v>1014</v>
      </c>
    </row>
    <row r="14873">
      <c r="A14873" s="76" t="s">
        <v>1043</v>
      </c>
      <c r="B14873" s="76" t="s">
        <v>1032</v>
      </c>
      <c r="C14873" s="84">
        <v>0.46</v>
      </c>
      <c r="D14873" s="84">
        <v>0.0</v>
      </c>
      <c r="E14873" s="84">
        <v>0.0</v>
      </c>
      <c r="F14873" s="76" t="s">
        <v>997</v>
      </c>
      <c r="G14873" s="83">
        <v>46124.0</v>
      </c>
      <c r="H14873" s="76" t="s">
        <v>1044</v>
      </c>
    </row>
    <row r="14874">
      <c r="A14874" s="76" t="s">
        <v>52</v>
      </c>
      <c r="B14874" s="76" t="s">
        <v>1032</v>
      </c>
      <c r="C14874" s="84">
        <v>0.75</v>
      </c>
      <c r="D14874" s="84">
        <v>1.0</v>
      </c>
      <c r="E14874" s="84">
        <v>0.75</v>
      </c>
      <c r="F14874" s="76" t="s">
        <v>997</v>
      </c>
      <c r="G14874" s="83">
        <v>46124.0</v>
      </c>
      <c r="H14874" s="76" t="s">
        <v>1045</v>
      </c>
    </row>
    <row r="14875">
      <c r="A14875" s="76" t="s">
        <v>49</v>
      </c>
      <c r="B14875" s="76" t="s">
        <v>1032</v>
      </c>
      <c r="C14875" s="84">
        <v>0.49</v>
      </c>
      <c r="D14875" s="84">
        <v>0.0</v>
      </c>
      <c r="E14875" s="84">
        <v>0.0</v>
      </c>
      <c r="F14875" s="76" t="s">
        <v>997</v>
      </c>
      <c r="G14875" s="83">
        <v>46124.0</v>
      </c>
      <c r="H14875" s="76" t="s">
        <v>1046</v>
      </c>
    </row>
    <row r="14876">
      <c r="A14876" s="76" t="s">
        <v>45</v>
      </c>
      <c r="B14876" s="76" t="s">
        <v>1032</v>
      </c>
      <c r="C14876" s="84">
        <v>0.08</v>
      </c>
      <c r="D14876" s="84">
        <v>0.0</v>
      </c>
      <c r="E14876" s="84">
        <v>0.0</v>
      </c>
      <c r="F14876" s="76" t="s">
        <v>990</v>
      </c>
      <c r="G14876" s="83">
        <v>46124.0</v>
      </c>
      <c r="H14876" s="76" t="s">
        <v>936</v>
      </c>
    </row>
    <row r="14877">
      <c r="A14877" s="76" t="s">
        <v>45</v>
      </c>
      <c r="B14877" s="76" t="s">
        <v>1032</v>
      </c>
      <c r="C14877" s="84">
        <v>0.18</v>
      </c>
      <c r="D14877" s="84">
        <v>0.0</v>
      </c>
      <c r="E14877" s="84">
        <v>0.0</v>
      </c>
      <c r="F14877" s="76" t="s">
        <v>990</v>
      </c>
      <c r="G14877" s="83">
        <v>46124.0</v>
      </c>
      <c r="H14877" s="76" t="s">
        <v>937</v>
      </c>
    </row>
    <row r="14878">
      <c r="A14878" s="76" t="s">
        <v>45</v>
      </c>
      <c r="B14878" s="76" t="s">
        <v>1032</v>
      </c>
      <c r="C14878" s="84">
        <v>0.03</v>
      </c>
      <c r="D14878" s="84">
        <v>0.0</v>
      </c>
      <c r="E14878" s="84">
        <v>0.0</v>
      </c>
      <c r="F14878" s="76" t="s">
        <v>990</v>
      </c>
      <c r="G14878" s="83">
        <v>46124.0</v>
      </c>
      <c r="H14878" s="76" t="s">
        <v>938</v>
      </c>
    </row>
    <row r="14879">
      <c r="A14879" s="76" t="s">
        <v>32</v>
      </c>
      <c r="B14879" s="76" t="s">
        <v>1032</v>
      </c>
      <c r="C14879" s="84">
        <v>3.91</v>
      </c>
      <c r="D14879" s="84">
        <v>2.0</v>
      </c>
      <c r="E14879" s="84">
        <v>1.96</v>
      </c>
      <c r="F14879" s="76" t="s">
        <v>990</v>
      </c>
      <c r="G14879" s="83">
        <v>46124.0</v>
      </c>
      <c r="H14879" s="76" t="s">
        <v>941</v>
      </c>
    </row>
    <row r="14880">
      <c r="A14880" s="76" t="s">
        <v>32</v>
      </c>
      <c r="B14880" s="76" t="s">
        <v>1032</v>
      </c>
      <c r="C14880" s="84">
        <v>0.35</v>
      </c>
      <c r="D14880" s="84">
        <v>0.0</v>
      </c>
      <c r="E14880" s="84">
        <v>0.0</v>
      </c>
      <c r="F14880" s="76" t="s">
        <v>990</v>
      </c>
      <c r="G14880" s="83">
        <v>46124.0</v>
      </c>
      <c r="H14880" s="76" t="s">
        <v>942</v>
      </c>
    </row>
    <row r="14881">
      <c r="A14881" s="76" t="s">
        <v>32</v>
      </c>
      <c r="B14881" s="76" t="s">
        <v>1032</v>
      </c>
      <c r="C14881" s="84">
        <v>1.11</v>
      </c>
      <c r="D14881" s="84">
        <v>0.0</v>
      </c>
      <c r="E14881" s="84">
        <v>0.0</v>
      </c>
      <c r="F14881" s="76" t="s">
        <v>990</v>
      </c>
      <c r="G14881" s="83">
        <v>46124.0</v>
      </c>
      <c r="H14881" s="76" t="s">
        <v>943</v>
      </c>
    </row>
    <row r="14882">
      <c r="A14882" s="76" t="s">
        <v>36</v>
      </c>
      <c r="B14882" s="76" t="s">
        <v>1032</v>
      </c>
      <c r="C14882" s="84">
        <v>1.04</v>
      </c>
      <c r="D14882" s="84">
        <v>0.0</v>
      </c>
      <c r="E14882" s="84">
        <v>0.0</v>
      </c>
      <c r="F14882" s="76" t="s">
        <v>990</v>
      </c>
      <c r="G14882" s="83">
        <v>46124.0</v>
      </c>
      <c r="H14882" s="76" t="s">
        <v>926</v>
      </c>
    </row>
    <row r="14883">
      <c r="A14883" s="76" t="s">
        <v>36</v>
      </c>
      <c r="B14883" s="76" t="s">
        <v>1032</v>
      </c>
      <c r="C14883" s="84">
        <v>0.07</v>
      </c>
      <c r="D14883" s="84">
        <v>0.0</v>
      </c>
      <c r="E14883" s="84">
        <v>0.0</v>
      </c>
      <c r="F14883" s="76" t="s">
        <v>990</v>
      </c>
      <c r="G14883" s="83">
        <v>46124.0</v>
      </c>
      <c r="H14883" s="76" t="s">
        <v>927</v>
      </c>
    </row>
    <row r="14884">
      <c r="A14884" s="76" t="s">
        <v>36</v>
      </c>
      <c r="B14884" s="76" t="s">
        <v>1032</v>
      </c>
      <c r="C14884" s="84">
        <v>0.5</v>
      </c>
      <c r="D14884" s="84">
        <v>0.0</v>
      </c>
      <c r="E14884" s="84">
        <v>0.0</v>
      </c>
      <c r="F14884" s="76" t="s">
        <v>990</v>
      </c>
      <c r="G14884" s="83">
        <v>46124.0</v>
      </c>
      <c r="H14884" s="76" t="s">
        <v>928</v>
      </c>
    </row>
    <row r="14885">
      <c r="A14885" s="76" t="s">
        <v>28</v>
      </c>
      <c r="B14885" s="76" t="s">
        <v>1032</v>
      </c>
      <c r="C14885" s="84">
        <v>0.12</v>
      </c>
      <c r="D14885" s="84">
        <v>0.0</v>
      </c>
      <c r="E14885" s="84">
        <v>0.0</v>
      </c>
      <c r="F14885" s="76" t="s">
        <v>990</v>
      </c>
      <c r="G14885" s="83">
        <v>46124.0</v>
      </c>
      <c r="H14885" s="76" t="s">
        <v>931</v>
      </c>
    </row>
    <row r="14886">
      <c r="A14886" s="76" t="s">
        <v>28</v>
      </c>
      <c r="B14886" s="76" t="s">
        <v>1032</v>
      </c>
      <c r="C14886" s="84">
        <v>0.07</v>
      </c>
      <c r="D14886" s="84">
        <v>0.0</v>
      </c>
      <c r="E14886" s="84">
        <v>0.0</v>
      </c>
      <c r="F14886" s="76" t="s">
        <v>990</v>
      </c>
      <c r="G14886" s="83">
        <v>46124.0</v>
      </c>
      <c r="H14886" s="76" t="s">
        <v>932</v>
      </c>
    </row>
    <row r="14887">
      <c r="A14887" s="76" t="s">
        <v>28</v>
      </c>
      <c r="B14887" s="76" t="s">
        <v>1032</v>
      </c>
      <c r="C14887" s="84">
        <v>0.81</v>
      </c>
      <c r="D14887" s="84">
        <v>0.0</v>
      </c>
      <c r="E14887" s="84">
        <v>0.0</v>
      </c>
      <c r="F14887" s="76" t="s">
        <v>990</v>
      </c>
      <c r="G14887" s="83">
        <v>46124.0</v>
      </c>
      <c r="H14887" s="76" t="s">
        <v>933</v>
      </c>
    </row>
    <row r="14888">
      <c r="A14888" s="76" t="s">
        <v>31</v>
      </c>
      <c r="B14888" s="76" t="s">
        <v>1032</v>
      </c>
      <c r="C14888" s="84">
        <v>0.57</v>
      </c>
      <c r="D14888" s="84">
        <v>0.0</v>
      </c>
      <c r="E14888" s="84">
        <v>0.0</v>
      </c>
      <c r="F14888" s="76" t="s">
        <v>990</v>
      </c>
      <c r="G14888" s="83">
        <v>46124.0</v>
      </c>
      <c r="H14888" s="76" t="s">
        <v>929</v>
      </c>
    </row>
    <row r="14889">
      <c r="A14889" s="76" t="s">
        <v>31</v>
      </c>
      <c r="B14889" s="76" t="s">
        <v>1032</v>
      </c>
      <c r="C14889" s="84">
        <v>8.63</v>
      </c>
      <c r="D14889" s="84">
        <v>3.0</v>
      </c>
      <c r="E14889" s="84">
        <v>2.88</v>
      </c>
      <c r="F14889" s="76" t="s">
        <v>990</v>
      </c>
      <c r="G14889" s="83">
        <v>46124.0</v>
      </c>
      <c r="H14889" s="76" t="s">
        <v>930</v>
      </c>
    </row>
    <row r="14890">
      <c r="A14890" s="76" t="s">
        <v>26</v>
      </c>
      <c r="B14890" s="76" t="s">
        <v>1032</v>
      </c>
      <c r="C14890" s="84">
        <v>0.21</v>
      </c>
      <c r="D14890" s="84">
        <v>0.0</v>
      </c>
      <c r="E14890" s="84">
        <v>0.0</v>
      </c>
      <c r="F14890" s="76" t="s">
        <v>990</v>
      </c>
      <c r="G14890" s="83">
        <v>46124.0</v>
      </c>
      <c r="H14890" s="76" t="s">
        <v>1012</v>
      </c>
    </row>
    <row r="14891">
      <c r="A14891" s="76" t="s">
        <v>26</v>
      </c>
      <c r="B14891" s="76" t="s">
        <v>1032</v>
      </c>
      <c r="C14891" s="84">
        <v>0.11</v>
      </c>
      <c r="D14891" s="84">
        <v>0.0</v>
      </c>
      <c r="E14891" s="84">
        <v>0.0</v>
      </c>
      <c r="F14891" s="76" t="s">
        <v>990</v>
      </c>
      <c r="G14891" s="83">
        <v>46124.0</v>
      </c>
      <c r="H14891" s="76" t="s">
        <v>1013</v>
      </c>
    </row>
    <row r="14892">
      <c r="A14892" s="76" t="s">
        <v>26</v>
      </c>
      <c r="B14892" s="76" t="s">
        <v>1032</v>
      </c>
      <c r="C14892" s="84">
        <v>3.07</v>
      </c>
      <c r="D14892" s="84">
        <v>0.0</v>
      </c>
      <c r="E14892" s="84">
        <v>0.0</v>
      </c>
      <c r="F14892" s="76" t="s">
        <v>990</v>
      </c>
      <c r="G14892" s="83">
        <v>46124.0</v>
      </c>
      <c r="H14892" s="76" t="s">
        <v>1014</v>
      </c>
    </row>
    <row r="14893">
      <c r="A14893" s="76" t="s">
        <v>944</v>
      </c>
      <c r="B14893" s="76" t="s">
        <v>1032</v>
      </c>
      <c r="C14893" s="84">
        <v>1.48</v>
      </c>
      <c r="D14893" s="84">
        <v>1.0</v>
      </c>
      <c r="E14893" s="84">
        <v>1.48</v>
      </c>
      <c r="F14893" s="76" t="s">
        <v>990</v>
      </c>
      <c r="G14893" s="83">
        <v>46124.0</v>
      </c>
      <c r="H14893" s="76" t="s">
        <v>945</v>
      </c>
    </row>
    <row r="14894">
      <c r="A14894" s="76" t="s">
        <v>944</v>
      </c>
      <c r="B14894" s="76" t="s">
        <v>1032</v>
      </c>
      <c r="C14894" s="84">
        <v>0.2</v>
      </c>
      <c r="D14894" s="84">
        <v>0.0</v>
      </c>
      <c r="E14894" s="84">
        <v>0.0</v>
      </c>
      <c r="F14894" s="76" t="s">
        <v>990</v>
      </c>
      <c r="G14894" s="83">
        <v>46124.0</v>
      </c>
      <c r="H14894" s="76" t="s">
        <v>946</v>
      </c>
    </row>
    <row r="14895">
      <c r="A14895" s="76" t="s">
        <v>944</v>
      </c>
      <c r="B14895" s="76" t="s">
        <v>1032</v>
      </c>
      <c r="C14895" s="84">
        <v>1.04</v>
      </c>
      <c r="D14895" s="84">
        <v>0.0</v>
      </c>
      <c r="E14895" s="84">
        <v>0.0</v>
      </c>
      <c r="F14895" s="76" t="s">
        <v>990</v>
      </c>
      <c r="G14895" s="83">
        <v>46124.0</v>
      </c>
      <c r="H14895" s="76" t="s">
        <v>947</v>
      </c>
    </row>
    <row r="14896">
      <c r="A14896" s="76" t="s">
        <v>1043</v>
      </c>
      <c r="B14896" s="76" t="s">
        <v>1032</v>
      </c>
      <c r="C14896" s="84">
        <v>0.48</v>
      </c>
      <c r="D14896" s="84">
        <v>0.0</v>
      </c>
      <c r="E14896" s="84">
        <v>0.0</v>
      </c>
      <c r="F14896" s="76" t="s">
        <v>990</v>
      </c>
      <c r="G14896" s="83">
        <v>46124.0</v>
      </c>
      <c r="H14896" s="76" t="s">
        <v>1044</v>
      </c>
    </row>
    <row r="14897">
      <c r="A14897" s="76" t="s">
        <v>52</v>
      </c>
      <c r="B14897" s="76" t="s">
        <v>1032</v>
      </c>
      <c r="C14897" s="84">
        <v>0.59</v>
      </c>
      <c r="D14897" s="84">
        <v>0.0</v>
      </c>
      <c r="E14897" s="84">
        <v>0.0</v>
      </c>
      <c r="F14897" s="76" t="s">
        <v>990</v>
      </c>
      <c r="G14897" s="83">
        <v>46124.0</v>
      </c>
      <c r="H14897" s="76" t="s">
        <v>1045</v>
      </c>
    </row>
    <row r="14898">
      <c r="A14898" s="76" t="s">
        <v>49</v>
      </c>
      <c r="B14898" s="76" t="s">
        <v>1032</v>
      </c>
      <c r="C14898" s="84">
        <v>0.79</v>
      </c>
      <c r="D14898" s="84">
        <v>0.0</v>
      </c>
      <c r="E14898" s="84">
        <v>0.0</v>
      </c>
      <c r="F14898" s="76" t="s">
        <v>990</v>
      </c>
      <c r="G14898" s="83">
        <v>46124.0</v>
      </c>
      <c r="H14898" s="76" t="s">
        <v>1046</v>
      </c>
    </row>
    <row r="14899">
      <c r="A14899" s="76" t="s">
        <v>26</v>
      </c>
      <c r="B14899" s="76" t="s">
        <v>1032</v>
      </c>
      <c r="C14899" s="84">
        <v>2.38</v>
      </c>
      <c r="D14899" s="84">
        <v>1.0</v>
      </c>
      <c r="E14899" s="84">
        <v>2.38</v>
      </c>
      <c r="F14899" s="76" t="s">
        <v>1005</v>
      </c>
      <c r="G14899" s="83">
        <v>46124.0</v>
      </c>
      <c r="H14899" s="76" t="s">
        <v>1012</v>
      </c>
    </row>
    <row r="14900">
      <c r="A14900" s="76" t="s">
        <v>26</v>
      </c>
      <c r="B14900" s="76" t="s">
        <v>1032</v>
      </c>
      <c r="C14900" s="84">
        <v>6.0</v>
      </c>
      <c r="D14900" s="84">
        <v>1.0</v>
      </c>
      <c r="E14900" s="84">
        <v>6.0</v>
      </c>
      <c r="F14900" s="76" t="s">
        <v>1005</v>
      </c>
      <c r="G14900" s="83">
        <v>46124.0</v>
      </c>
      <c r="H14900" s="76" t="s">
        <v>1013</v>
      </c>
    </row>
    <row r="14901">
      <c r="A14901" s="76" t="s">
        <v>26</v>
      </c>
      <c r="B14901" s="76" t="s">
        <v>1032</v>
      </c>
      <c r="C14901" s="84">
        <v>464.42</v>
      </c>
      <c r="D14901" s="84">
        <v>121.0</v>
      </c>
      <c r="E14901" s="84">
        <v>3.84</v>
      </c>
      <c r="F14901" s="76" t="s">
        <v>1005</v>
      </c>
      <c r="G14901" s="83">
        <v>46124.0</v>
      </c>
      <c r="H14901" s="76" t="s">
        <v>1014</v>
      </c>
    </row>
    <row r="14902">
      <c r="A14902" s="76" t="s">
        <v>28</v>
      </c>
      <c r="B14902" s="76" t="s">
        <v>1032</v>
      </c>
      <c r="C14902" s="84">
        <v>1.21</v>
      </c>
      <c r="D14902" s="84">
        <v>0.0</v>
      </c>
      <c r="E14902" s="84">
        <v>0.0</v>
      </c>
      <c r="F14902" s="76" t="s">
        <v>1005</v>
      </c>
      <c r="G14902" s="83">
        <v>46124.0</v>
      </c>
      <c r="H14902" s="76" t="s">
        <v>931</v>
      </c>
    </row>
    <row r="14903">
      <c r="A14903" s="76" t="s">
        <v>28</v>
      </c>
      <c r="B14903" s="76" t="s">
        <v>1032</v>
      </c>
      <c r="C14903" s="84">
        <v>0.77</v>
      </c>
      <c r="D14903" s="84">
        <v>0.0</v>
      </c>
      <c r="E14903" s="84">
        <v>0.0</v>
      </c>
      <c r="F14903" s="76" t="s">
        <v>1005</v>
      </c>
      <c r="G14903" s="83">
        <v>46124.0</v>
      </c>
      <c r="H14903" s="76" t="s">
        <v>932</v>
      </c>
    </row>
    <row r="14904">
      <c r="A14904" s="76" t="s">
        <v>28</v>
      </c>
      <c r="B14904" s="76" t="s">
        <v>1032</v>
      </c>
      <c r="C14904" s="84">
        <v>40.95</v>
      </c>
      <c r="D14904" s="84">
        <v>8.0</v>
      </c>
      <c r="E14904" s="84">
        <v>5.12</v>
      </c>
      <c r="F14904" s="76" t="s">
        <v>1005</v>
      </c>
      <c r="G14904" s="83">
        <v>46124.0</v>
      </c>
      <c r="H14904" s="76" t="s">
        <v>933</v>
      </c>
    </row>
    <row r="14905">
      <c r="A14905" s="76" t="s">
        <v>36</v>
      </c>
      <c r="B14905" s="76" t="s">
        <v>1032</v>
      </c>
      <c r="C14905" s="84">
        <v>6.5</v>
      </c>
      <c r="D14905" s="84">
        <v>1.0</v>
      </c>
      <c r="E14905" s="84">
        <v>6.5</v>
      </c>
      <c r="F14905" s="76" t="s">
        <v>1005</v>
      </c>
      <c r="G14905" s="83">
        <v>46124.0</v>
      </c>
      <c r="H14905" s="76" t="s">
        <v>926</v>
      </c>
    </row>
    <row r="14906">
      <c r="A14906" s="76" t="s">
        <v>36</v>
      </c>
      <c r="B14906" s="76" t="s">
        <v>1032</v>
      </c>
      <c r="C14906" s="84">
        <v>0.94</v>
      </c>
      <c r="D14906" s="84">
        <v>0.0</v>
      </c>
      <c r="E14906" s="84">
        <v>0.0</v>
      </c>
      <c r="F14906" s="76" t="s">
        <v>1005</v>
      </c>
      <c r="G14906" s="83">
        <v>46124.0</v>
      </c>
      <c r="H14906" s="76" t="s">
        <v>927</v>
      </c>
    </row>
    <row r="14907">
      <c r="A14907" s="76" t="s">
        <v>36</v>
      </c>
      <c r="B14907" s="76" t="s">
        <v>1032</v>
      </c>
      <c r="C14907" s="84">
        <v>5.81</v>
      </c>
      <c r="D14907" s="84">
        <v>2.0</v>
      </c>
      <c r="E14907" s="84">
        <v>2.91</v>
      </c>
      <c r="F14907" s="76" t="s">
        <v>1005</v>
      </c>
      <c r="G14907" s="83">
        <v>46124.0</v>
      </c>
      <c r="H14907" s="76" t="s">
        <v>928</v>
      </c>
    </row>
    <row r="14908">
      <c r="A14908" s="76" t="s">
        <v>31</v>
      </c>
      <c r="B14908" s="76" t="s">
        <v>1032</v>
      </c>
      <c r="C14908" s="84">
        <v>9.15</v>
      </c>
      <c r="D14908" s="84">
        <v>2.0</v>
      </c>
      <c r="E14908" s="84">
        <v>4.58</v>
      </c>
      <c r="F14908" s="76" t="s">
        <v>1005</v>
      </c>
      <c r="G14908" s="83">
        <v>46124.0</v>
      </c>
      <c r="H14908" s="76" t="s">
        <v>929</v>
      </c>
    </row>
    <row r="14909">
      <c r="A14909" s="76" t="s">
        <v>31</v>
      </c>
      <c r="B14909" s="76" t="s">
        <v>1032</v>
      </c>
      <c r="C14909" s="84">
        <v>516.66</v>
      </c>
      <c r="D14909" s="84">
        <v>164.0</v>
      </c>
      <c r="E14909" s="84">
        <v>3.15</v>
      </c>
      <c r="F14909" s="76" t="s">
        <v>1005</v>
      </c>
      <c r="G14909" s="83">
        <v>46124.0</v>
      </c>
      <c r="H14909" s="76" t="s">
        <v>930</v>
      </c>
    </row>
    <row r="14910">
      <c r="A14910" s="76" t="s">
        <v>944</v>
      </c>
      <c r="B14910" s="76" t="s">
        <v>1032</v>
      </c>
      <c r="C14910" s="84">
        <v>9.85</v>
      </c>
      <c r="D14910" s="84">
        <v>3.0</v>
      </c>
      <c r="E14910" s="84">
        <v>3.28</v>
      </c>
      <c r="F14910" s="76" t="s">
        <v>1005</v>
      </c>
      <c r="G14910" s="83">
        <v>46124.0</v>
      </c>
      <c r="H14910" s="76" t="s">
        <v>945</v>
      </c>
    </row>
    <row r="14911">
      <c r="A14911" s="76" t="s">
        <v>944</v>
      </c>
      <c r="B14911" s="76" t="s">
        <v>1032</v>
      </c>
      <c r="C14911" s="84">
        <v>1.76</v>
      </c>
      <c r="D14911" s="84">
        <v>0.0</v>
      </c>
      <c r="E14911" s="84">
        <v>0.0</v>
      </c>
      <c r="F14911" s="76" t="s">
        <v>1005</v>
      </c>
      <c r="G14911" s="83">
        <v>46124.0</v>
      </c>
      <c r="H14911" s="76" t="s">
        <v>946</v>
      </c>
    </row>
    <row r="14912">
      <c r="A14912" s="76" t="s">
        <v>944</v>
      </c>
      <c r="B14912" s="76" t="s">
        <v>1032</v>
      </c>
      <c r="C14912" s="84">
        <v>14.26</v>
      </c>
      <c r="D14912" s="84">
        <v>2.0</v>
      </c>
      <c r="E14912" s="84">
        <v>7.13</v>
      </c>
      <c r="F14912" s="76" t="s">
        <v>1005</v>
      </c>
      <c r="G14912" s="83">
        <v>46124.0</v>
      </c>
      <c r="H14912" s="76" t="s">
        <v>947</v>
      </c>
    </row>
    <row r="14913">
      <c r="A14913" s="76" t="s">
        <v>45</v>
      </c>
      <c r="B14913" s="76" t="s">
        <v>1032</v>
      </c>
      <c r="C14913" s="84">
        <v>0.43</v>
      </c>
      <c r="D14913" s="84">
        <v>0.0</v>
      </c>
      <c r="E14913" s="84">
        <v>0.0</v>
      </c>
      <c r="F14913" s="76" t="s">
        <v>1005</v>
      </c>
      <c r="G14913" s="83">
        <v>46124.0</v>
      </c>
      <c r="H14913" s="76" t="s">
        <v>936</v>
      </c>
    </row>
    <row r="14914">
      <c r="A14914" s="76" t="s">
        <v>45</v>
      </c>
      <c r="B14914" s="76" t="s">
        <v>1032</v>
      </c>
      <c r="C14914" s="84">
        <v>2.36</v>
      </c>
      <c r="D14914" s="84">
        <v>0.0</v>
      </c>
      <c r="E14914" s="84">
        <v>0.0</v>
      </c>
      <c r="F14914" s="76" t="s">
        <v>1005</v>
      </c>
      <c r="G14914" s="83">
        <v>46124.0</v>
      </c>
      <c r="H14914" s="76" t="s">
        <v>937</v>
      </c>
    </row>
    <row r="14915">
      <c r="A14915" s="76" t="s">
        <v>45</v>
      </c>
      <c r="B14915" s="76" t="s">
        <v>1032</v>
      </c>
      <c r="C14915" s="84">
        <v>0.71</v>
      </c>
      <c r="D14915" s="84">
        <v>0.0</v>
      </c>
      <c r="E14915" s="84">
        <v>0.0</v>
      </c>
      <c r="F14915" s="76" t="s">
        <v>1005</v>
      </c>
      <c r="G14915" s="83">
        <v>46124.0</v>
      </c>
      <c r="H14915" s="76" t="s">
        <v>938</v>
      </c>
    </row>
    <row r="14916">
      <c r="A14916" s="76" t="s">
        <v>32</v>
      </c>
      <c r="B14916" s="76" t="s">
        <v>1032</v>
      </c>
      <c r="C14916" s="84">
        <v>61.74</v>
      </c>
      <c r="D14916" s="84">
        <v>15.0</v>
      </c>
      <c r="E14916" s="84">
        <v>4.12</v>
      </c>
      <c r="F14916" s="76" t="s">
        <v>1005</v>
      </c>
      <c r="G14916" s="83">
        <v>46124.0</v>
      </c>
      <c r="H14916" s="76" t="s">
        <v>941</v>
      </c>
    </row>
    <row r="14917">
      <c r="A14917" s="76" t="s">
        <v>32</v>
      </c>
      <c r="B14917" s="76" t="s">
        <v>1032</v>
      </c>
      <c r="C14917" s="84">
        <v>3.88</v>
      </c>
      <c r="D14917" s="84">
        <v>0.0</v>
      </c>
      <c r="E14917" s="84">
        <v>0.0</v>
      </c>
      <c r="F14917" s="76" t="s">
        <v>1005</v>
      </c>
      <c r="G14917" s="83">
        <v>46124.0</v>
      </c>
      <c r="H14917" s="76" t="s">
        <v>942</v>
      </c>
    </row>
    <row r="14918">
      <c r="A14918" s="76" t="s">
        <v>32</v>
      </c>
      <c r="B14918" s="76" t="s">
        <v>1032</v>
      </c>
      <c r="C14918" s="84">
        <v>9.26</v>
      </c>
      <c r="D14918" s="84">
        <v>1.0</v>
      </c>
      <c r="E14918" s="84">
        <v>9.26</v>
      </c>
      <c r="F14918" s="76" t="s">
        <v>1005</v>
      </c>
      <c r="G14918" s="83">
        <v>46124.0</v>
      </c>
      <c r="H14918" s="76" t="s">
        <v>943</v>
      </c>
    </row>
    <row r="14919">
      <c r="A14919" s="76" t="s">
        <v>1043</v>
      </c>
      <c r="B14919" s="76" t="s">
        <v>1032</v>
      </c>
      <c r="C14919" s="84">
        <v>6.76</v>
      </c>
      <c r="D14919" s="84">
        <v>2.0</v>
      </c>
      <c r="E14919" s="84">
        <v>3.38</v>
      </c>
      <c r="F14919" s="76" t="s">
        <v>1005</v>
      </c>
      <c r="G14919" s="83">
        <v>46124.0</v>
      </c>
      <c r="H14919" s="76" t="s">
        <v>1044</v>
      </c>
    </row>
    <row r="14920">
      <c r="A14920" s="76" t="s">
        <v>52</v>
      </c>
      <c r="B14920" s="76" t="s">
        <v>1032</v>
      </c>
      <c r="C14920" s="84">
        <v>9.82</v>
      </c>
      <c r="D14920" s="84">
        <v>0.0</v>
      </c>
      <c r="E14920" s="84">
        <v>0.0</v>
      </c>
      <c r="F14920" s="76" t="s">
        <v>1005</v>
      </c>
      <c r="G14920" s="83">
        <v>46124.0</v>
      </c>
      <c r="H14920" s="76" t="s">
        <v>1045</v>
      </c>
    </row>
    <row r="14921">
      <c r="A14921" s="76" t="s">
        <v>49</v>
      </c>
      <c r="B14921" s="76" t="s">
        <v>1032</v>
      </c>
      <c r="C14921" s="84">
        <v>9.59</v>
      </c>
      <c r="D14921" s="84">
        <v>2.0</v>
      </c>
      <c r="E14921" s="84">
        <v>4.79</v>
      </c>
      <c r="F14921" s="76" t="s">
        <v>1005</v>
      </c>
      <c r="G14921" s="83">
        <v>46124.0</v>
      </c>
      <c r="H14921" s="76" t="s">
        <v>1046</v>
      </c>
    </row>
    <row r="14922">
      <c r="A14922" s="76" t="s">
        <v>26</v>
      </c>
      <c r="B14922" s="76" t="s">
        <v>1032</v>
      </c>
      <c r="C14922" s="84">
        <v>0.05</v>
      </c>
      <c r="D14922" s="84">
        <v>1.0</v>
      </c>
      <c r="E14922" s="84">
        <v>0.05</v>
      </c>
      <c r="F14922" s="76" t="s">
        <v>993</v>
      </c>
      <c r="G14922" s="83">
        <v>46124.0</v>
      </c>
      <c r="H14922" s="76" t="s">
        <v>1012</v>
      </c>
    </row>
    <row r="14923">
      <c r="A14923" s="76" t="s">
        <v>26</v>
      </c>
      <c r="B14923" s="76" t="s">
        <v>1032</v>
      </c>
      <c r="C14923" s="84">
        <v>0.07</v>
      </c>
      <c r="D14923" s="84">
        <v>0.0</v>
      </c>
      <c r="E14923" s="84">
        <v>0.0</v>
      </c>
      <c r="F14923" s="76" t="s">
        <v>993</v>
      </c>
      <c r="G14923" s="83">
        <v>46124.0</v>
      </c>
      <c r="H14923" s="76" t="s">
        <v>1013</v>
      </c>
    </row>
    <row r="14924">
      <c r="A14924" s="76" t="s">
        <v>26</v>
      </c>
      <c r="B14924" s="76" t="s">
        <v>1032</v>
      </c>
      <c r="C14924" s="84">
        <v>0.74</v>
      </c>
      <c r="D14924" s="84">
        <v>0.0</v>
      </c>
      <c r="E14924" s="84">
        <v>0.0</v>
      </c>
      <c r="F14924" s="76" t="s">
        <v>993</v>
      </c>
      <c r="G14924" s="83">
        <v>46124.0</v>
      </c>
      <c r="H14924" s="76" t="s">
        <v>1014</v>
      </c>
    </row>
    <row r="14925">
      <c r="A14925" s="76" t="s">
        <v>944</v>
      </c>
      <c r="B14925" s="76" t="s">
        <v>1032</v>
      </c>
      <c r="C14925" s="84">
        <v>0.19</v>
      </c>
      <c r="D14925" s="84">
        <v>0.0</v>
      </c>
      <c r="E14925" s="84">
        <v>0.0</v>
      </c>
      <c r="F14925" s="76" t="s">
        <v>993</v>
      </c>
      <c r="G14925" s="83">
        <v>46124.0</v>
      </c>
      <c r="H14925" s="76" t="s">
        <v>945</v>
      </c>
    </row>
    <row r="14926">
      <c r="A14926" s="76" t="s">
        <v>944</v>
      </c>
      <c r="B14926" s="76" t="s">
        <v>1032</v>
      </c>
      <c r="C14926" s="84">
        <v>0.04</v>
      </c>
      <c r="D14926" s="84">
        <v>0.0</v>
      </c>
      <c r="E14926" s="84">
        <v>0.0</v>
      </c>
      <c r="F14926" s="76" t="s">
        <v>993</v>
      </c>
      <c r="G14926" s="83">
        <v>46124.0</v>
      </c>
      <c r="H14926" s="76" t="s">
        <v>946</v>
      </c>
    </row>
    <row r="14927">
      <c r="A14927" s="76" t="s">
        <v>944</v>
      </c>
      <c r="B14927" s="76" t="s">
        <v>1032</v>
      </c>
      <c r="C14927" s="84">
        <v>0.38</v>
      </c>
      <c r="D14927" s="84">
        <v>0.0</v>
      </c>
      <c r="E14927" s="84">
        <v>0.0</v>
      </c>
      <c r="F14927" s="76" t="s">
        <v>993</v>
      </c>
      <c r="G14927" s="83">
        <v>46124.0</v>
      </c>
      <c r="H14927" s="76" t="s">
        <v>947</v>
      </c>
    </row>
    <row r="14928">
      <c r="A14928" s="76" t="s">
        <v>45</v>
      </c>
      <c r="B14928" s="76" t="s">
        <v>1032</v>
      </c>
      <c r="C14928" s="84">
        <v>0.01</v>
      </c>
      <c r="D14928" s="84">
        <v>0.0</v>
      </c>
      <c r="E14928" s="84">
        <v>0.0</v>
      </c>
      <c r="F14928" s="76" t="s">
        <v>993</v>
      </c>
      <c r="G14928" s="83">
        <v>46124.0</v>
      </c>
      <c r="H14928" s="76" t="s">
        <v>936</v>
      </c>
    </row>
    <row r="14929">
      <c r="A14929" s="76" t="s">
        <v>45</v>
      </c>
      <c r="B14929" s="76" t="s">
        <v>1032</v>
      </c>
      <c r="C14929" s="84">
        <v>0.05</v>
      </c>
      <c r="D14929" s="84">
        <v>0.0</v>
      </c>
      <c r="E14929" s="84">
        <v>0.0</v>
      </c>
      <c r="F14929" s="76" t="s">
        <v>993</v>
      </c>
      <c r="G14929" s="83">
        <v>46124.0</v>
      </c>
      <c r="H14929" s="76" t="s">
        <v>937</v>
      </c>
    </row>
    <row r="14930">
      <c r="A14930" s="76" t="s">
        <v>45</v>
      </c>
      <c r="B14930" s="76" t="s">
        <v>1032</v>
      </c>
      <c r="C14930" s="84">
        <v>0.02</v>
      </c>
      <c r="D14930" s="84">
        <v>0.0</v>
      </c>
      <c r="E14930" s="84">
        <v>0.0</v>
      </c>
      <c r="F14930" s="76" t="s">
        <v>993</v>
      </c>
      <c r="G14930" s="83">
        <v>46124.0</v>
      </c>
      <c r="H14930" s="76" t="s">
        <v>938</v>
      </c>
    </row>
    <row r="14931">
      <c r="A14931" s="76" t="s">
        <v>32</v>
      </c>
      <c r="B14931" s="76" t="s">
        <v>1032</v>
      </c>
      <c r="C14931" s="84">
        <v>0.95</v>
      </c>
      <c r="D14931" s="84">
        <v>1.0</v>
      </c>
      <c r="E14931" s="84">
        <v>0.95</v>
      </c>
      <c r="F14931" s="76" t="s">
        <v>993</v>
      </c>
      <c r="G14931" s="83">
        <v>46124.0</v>
      </c>
      <c r="H14931" s="76" t="s">
        <v>941</v>
      </c>
    </row>
    <row r="14932">
      <c r="A14932" s="76" t="s">
        <v>32</v>
      </c>
      <c r="B14932" s="76" t="s">
        <v>1032</v>
      </c>
      <c r="C14932" s="84">
        <v>0.1</v>
      </c>
      <c r="D14932" s="84">
        <v>0.0</v>
      </c>
      <c r="E14932" s="84">
        <v>0.0</v>
      </c>
      <c r="F14932" s="76" t="s">
        <v>993</v>
      </c>
      <c r="G14932" s="83">
        <v>46124.0</v>
      </c>
      <c r="H14932" s="76" t="s">
        <v>942</v>
      </c>
    </row>
    <row r="14933">
      <c r="A14933" s="76" t="s">
        <v>32</v>
      </c>
      <c r="B14933" s="76" t="s">
        <v>1032</v>
      </c>
      <c r="C14933" s="84">
        <v>0.25</v>
      </c>
      <c r="D14933" s="84">
        <v>0.0</v>
      </c>
      <c r="E14933" s="84">
        <v>0.0</v>
      </c>
      <c r="F14933" s="76" t="s">
        <v>993</v>
      </c>
      <c r="G14933" s="83">
        <v>46124.0</v>
      </c>
      <c r="H14933" s="76" t="s">
        <v>943</v>
      </c>
    </row>
    <row r="14934">
      <c r="A14934" s="76" t="s">
        <v>36</v>
      </c>
      <c r="B14934" s="76" t="s">
        <v>1032</v>
      </c>
      <c r="C14934" s="84">
        <v>0.14</v>
      </c>
      <c r="D14934" s="84">
        <v>0.0</v>
      </c>
      <c r="E14934" s="84">
        <v>0.0</v>
      </c>
      <c r="F14934" s="76" t="s">
        <v>993</v>
      </c>
      <c r="G14934" s="83">
        <v>46124.0</v>
      </c>
      <c r="H14934" s="76" t="s">
        <v>926</v>
      </c>
    </row>
    <row r="14935">
      <c r="A14935" s="76" t="s">
        <v>36</v>
      </c>
      <c r="B14935" s="76" t="s">
        <v>1032</v>
      </c>
      <c r="C14935" s="84">
        <v>0.02</v>
      </c>
      <c r="D14935" s="84">
        <v>0.0</v>
      </c>
      <c r="E14935" s="84">
        <v>0.0</v>
      </c>
      <c r="F14935" s="76" t="s">
        <v>993</v>
      </c>
      <c r="G14935" s="83">
        <v>46124.0</v>
      </c>
      <c r="H14935" s="76" t="s">
        <v>927</v>
      </c>
    </row>
    <row r="14936">
      <c r="A14936" s="76" t="s">
        <v>36</v>
      </c>
      <c r="B14936" s="76" t="s">
        <v>1032</v>
      </c>
      <c r="C14936" s="84">
        <v>0.18</v>
      </c>
      <c r="D14936" s="84">
        <v>0.0</v>
      </c>
      <c r="E14936" s="84">
        <v>0.0</v>
      </c>
      <c r="F14936" s="76" t="s">
        <v>993</v>
      </c>
      <c r="G14936" s="83">
        <v>46124.0</v>
      </c>
      <c r="H14936" s="76" t="s">
        <v>928</v>
      </c>
    </row>
    <row r="14937">
      <c r="A14937" s="76" t="s">
        <v>28</v>
      </c>
      <c r="B14937" s="76" t="s">
        <v>1032</v>
      </c>
      <c r="C14937" s="84">
        <v>0.03</v>
      </c>
      <c r="D14937" s="84">
        <v>0.0</v>
      </c>
      <c r="E14937" s="84">
        <v>0.0</v>
      </c>
      <c r="F14937" s="76" t="s">
        <v>993</v>
      </c>
      <c r="G14937" s="83">
        <v>46124.0</v>
      </c>
      <c r="H14937" s="76" t="s">
        <v>931</v>
      </c>
    </row>
    <row r="14938">
      <c r="A14938" s="76" t="s">
        <v>28</v>
      </c>
      <c r="B14938" s="76" t="s">
        <v>1032</v>
      </c>
      <c r="C14938" s="84">
        <v>0.01</v>
      </c>
      <c r="D14938" s="84">
        <v>0.0</v>
      </c>
      <c r="E14938" s="84">
        <v>0.0</v>
      </c>
      <c r="F14938" s="76" t="s">
        <v>993</v>
      </c>
      <c r="G14938" s="83">
        <v>46124.0</v>
      </c>
      <c r="H14938" s="76" t="s">
        <v>932</v>
      </c>
    </row>
    <row r="14939">
      <c r="A14939" s="76" t="s">
        <v>28</v>
      </c>
      <c r="B14939" s="76" t="s">
        <v>1032</v>
      </c>
      <c r="C14939" s="84">
        <v>0.26</v>
      </c>
      <c r="D14939" s="84">
        <v>0.0</v>
      </c>
      <c r="E14939" s="84">
        <v>0.0</v>
      </c>
      <c r="F14939" s="76" t="s">
        <v>993</v>
      </c>
      <c r="G14939" s="83">
        <v>46124.0</v>
      </c>
      <c r="H14939" s="76" t="s">
        <v>933</v>
      </c>
    </row>
    <row r="14940">
      <c r="A14940" s="76" t="s">
        <v>31</v>
      </c>
      <c r="B14940" s="76" t="s">
        <v>1032</v>
      </c>
      <c r="C14940" s="84">
        <v>0.18</v>
      </c>
      <c r="D14940" s="84">
        <v>0.0</v>
      </c>
      <c r="E14940" s="84">
        <v>0.0</v>
      </c>
      <c r="F14940" s="76" t="s">
        <v>993</v>
      </c>
      <c r="G14940" s="83">
        <v>46124.0</v>
      </c>
      <c r="H14940" s="76" t="s">
        <v>929</v>
      </c>
    </row>
    <row r="14941">
      <c r="A14941" s="76" t="s">
        <v>31</v>
      </c>
      <c r="B14941" s="76" t="s">
        <v>1032</v>
      </c>
      <c r="C14941" s="84">
        <v>3.23</v>
      </c>
      <c r="D14941" s="84">
        <v>0.0</v>
      </c>
      <c r="E14941" s="84">
        <v>0.0</v>
      </c>
      <c r="F14941" s="76" t="s">
        <v>993</v>
      </c>
      <c r="G14941" s="83">
        <v>46124.0</v>
      </c>
      <c r="H14941" s="76" t="s">
        <v>930</v>
      </c>
    </row>
    <row r="14942">
      <c r="A14942" s="76" t="s">
        <v>1043</v>
      </c>
      <c r="B14942" s="76" t="s">
        <v>1032</v>
      </c>
      <c r="C14942" s="84">
        <v>0.14</v>
      </c>
      <c r="D14942" s="84">
        <v>0.0</v>
      </c>
      <c r="E14942" s="84">
        <v>0.0</v>
      </c>
      <c r="F14942" s="76" t="s">
        <v>993</v>
      </c>
      <c r="G14942" s="83">
        <v>46124.0</v>
      </c>
      <c r="H14942" s="76" t="s">
        <v>1044</v>
      </c>
    </row>
    <row r="14943">
      <c r="A14943" s="76" t="s">
        <v>52</v>
      </c>
      <c r="B14943" s="76" t="s">
        <v>1032</v>
      </c>
      <c r="C14943" s="84">
        <v>0.21</v>
      </c>
      <c r="D14943" s="84">
        <v>0.0</v>
      </c>
      <c r="E14943" s="84">
        <v>0.0</v>
      </c>
      <c r="F14943" s="76" t="s">
        <v>993</v>
      </c>
      <c r="G14943" s="83">
        <v>46124.0</v>
      </c>
      <c r="H14943" s="76" t="s">
        <v>1045</v>
      </c>
    </row>
    <row r="14944">
      <c r="A14944" s="76" t="s">
        <v>49</v>
      </c>
      <c r="B14944" s="76" t="s">
        <v>1032</v>
      </c>
      <c r="C14944" s="84">
        <v>0.23</v>
      </c>
      <c r="D14944" s="84">
        <v>0.0</v>
      </c>
      <c r="E14944" s="84">
        <v>0.0</v>
      </c>
      <c r="F14944" s="76" t="s">
        <v>993</v>
      </c>
      <c r="G14944" s="83">
        <v>46124.0</v>
      </c>
      <c r="H14944" s="76" t="s">
        <v>1046</v>
      </c>
    </row>
    <row r="14945">
      <c r="A14945" s="76" t="s">
        <v>36</v>
      </c>
      <c r="B14945" s="76" t="s">
        <v>1042</v>
      </c>
      <c r="C14945" s="84">
        <v>2.99</v>
      </c>
      <c r="D14945" s="84">
        <v>0.0</v>
      </c>
      <c r="E14945" s="84">
        <v>0.0</v>
      </c>
      <c r="F14945" s="76" t="s">
        <v>996</v>
      </c>
      <c r="G14945" s="83">
        <v>46124.0</v>
      </c>
      <c r="H14945" s="76" t="s">
        <v>926</v>
      </c>
    </row>
    <row r="14946">
      <c r="A14946" s="76" t="s">
        <v>36</v>
      </c>
      <c r="B14946" s="76" t="s">
        <v>1042</v>
      </c>
      <c r="C14946" s="84">
        <v>0.82</v>
      </c>
      <c r="D14946" s="84">
        <v>0.0</v>
      </c>
      <c r="E14946" s="84">
        <v>0.0</v>
      </c>
      <c r="F14946" s="76" t="s">
        <v>996</v>
      </c>
      <c r="G14946" s="83">
        <v>46124.0</v>
      </c>
      <c r="H14946" s="76" t="s">
        <v>927</v>
      </c>
    </row>
    <row r="14947">
      <c r="A14947" s="76" t="s">
        <v>36</v>
      </c>
      <c r="B14947" s="76" t="s">
        <v>1042</v>
      </c>
      <c r="C14947" s="84">
        <v>6.27</v>
      </c>
      <c r="D14947" s="84">
        <v>3.0</v>
      </c>
      <c r="E14947" s="84">
        <v>2.09</v>
      </c>
      <c r="F14947" s="76" t="s">
        <v>996</v>
      </c>
      <c r="G14947" s="83">
        <v>46124.0</v>
      </c>
      <c r="H14947" s="76" t="s">
        <v>928</v>
      </c>
    </row>
    <row r="14948">
      <c r="A14948" s="76" t="s">
        <v>28</v>
      </c>
      <c r="B14948" s="76" t="s">
        <v>1042</v>
      </c>
      <c r="C14948" s="84">
        <v>0.83</v>
      </c>
      <c r="D14948" s="84">
        <v>0.0</v>
      </c>
      <c r="E14948" s="84">
        <v>0.0</v>
      </c>
      <c r="F14948" s="76" t="s">
        <v>996</v>
      </c>
      <c r="G14948" s="83">
        <v>46124.0</v>
      </c>
      <c r="H14948" s="76" t="s">
        <v>931</v>
      </c>
    </row>
    <row r="14949">
      <c r="A14949" s="76" t="s">
        <v>28</v>
      </c>
      <c r="B14949" s="76" t="s">
        <v>1042</v>
      </c>
      <c r="C14949" s="84">
        <v>1.4</v>
      </c>
      <c r="D14949" s="84">
        <v>0.0</v>
      </c>
      <c r="E14949" s="84">
        <v>0.0</v>
      </c>
      <c r="F14949" s="76" t="s">
        <v>996</v>
      </c>
      <c r="G14949" s="83">
        <v>46124.0</v>
      </c>
      <c r="H14949" s="76" t="s">
        <v>932</v>
      </c>
    </row>
    <row r="14950">
      <c r="A14950" s="76" t="s">
        <v>28</v>
      </c>
      <c r="B14950" s="76" t="s">
        <v>1042</v>
      </c>
      <c r="C14950" s="84">
        <v>2.75</v>
      </c>
      <c r="D14950" s="84">
        <v>1.0</v>
      </c>
      <c r="E14950" s="84">
        <v>2.75</v>
      </c>
      <c r="F14950" s="76" t="s">
        <v>996</v>
      </c>
      <c r="G14950" s="83">
        <v>46124.0</v>
      </c>
      <c r="H14950" s="76" t="s">
        <v>933</v>
      </c>
    </row>
    <row r="14951">
      <c r="A14951" s="76" t="s">
        <v>34</v>
      </c>
      <c r="B14951" s="76" t="s">
        <v>1042</v>
      </c>
      <c r="C14951" s="84">
        <v>1.57</v>
      </c>
      <c r="D14951" s="84">
        <v>0.0</v>
      </c>
      <c r="E14951" s="84">
        <v>0.0</v>
      </c>
      <c r="F14951" s="76" t="s">
        <v>996</v>
      </c>
      <c r="G14951" s="83">
        <v>46124.0</v>
      </c>
      <c r="H14951" s="76" t="s">
        <v>951</v>
      </c>
    </row>
    <row r="14952">
      <c r="A14952" s="76" t="s">
        <v>34</v>
      </c>
      <c r="B14952" s="76" t="s">
        <v>1042</v>
      </c>
      <c r="C14952" s="84">
        <v>4.55</v>
      </c>
      <c r="D14952" s="84">
        <v>1.0</v>
      </c>
      <c r="E14952" s="84">
        <v>4.55</v>
      </c>
      <c r="F14952" s="76" t="s">
        <v>996</v>
      </c>
      <c r="G14952" s="83">
        <v>46124.0</v>
      </c>
      <c r="H14952" s="76" t="s">
        <v>952</v>
      </c>
    </row>
    <row r="14953">
      <c r="A14953" s="76" t="s">
        <v>34</v>
      </c>
      <c r="B14953" s="76" t="s">
        <v>1042</v>
      </c>
      <c r="C14953" s="84">
        <v>0.65</v>
      </c>
      <c r="D14953" s="84">
        <v>0.0</v>
      </c>
      <c r="E14953" s="84">
        <v>0.0</v>
      </c>
      <c r="F14953" s="76" t="s">
        <v>996</v>
      </c>
      <c r="G14953" s="83">
        <v>46124.0</v>
      </c>
      <c r="H14953" s="76" t="s">
        <v>953</v>
      </c>
    </row>
    <row r="14954">
      <c r="A14954" s="76" t="s">
        <v>1043</v>
      </c>
      <c r="B14954" s="76" t="s">
        <v>1042</v>
      </c>
      <c r="C14954" s="84">
        <v>1.9</v>
      </c>
      <c r="D14954" s="84">
        <v>0.0</v>
      </c>
      <c r="E14954" s="84">
        <v>0.0</v>
      </c>
      <c r="F14954" s="76" t="s">
        <v>996</v>
      </c>
      <c r="G14954" s="83">
        <v>46124.0</v>
      </c>
      <c r="H14954" s="76" t="s">
        <v>1044</v>
      </c>
    </row>
    <row r="14955">
      <c r="A14955" s="76" t="s">
        <v>52</v>
      </c>
      <c r="B14955" s="76" t="s">
        <v>1042</v>
      </c>
      <c r="C14955" s="84">
        <v>1.51</v>
      </c>
      <c r="D14955" s="84">
        <v>1.0</v>
      </c>
      <c r="E14955" s="84">
        <v>1.51</v>
      </c>
      <c r="F14955" s="76" t="s">
        <v>996</v>
      </c>
      <c r="G14955" s="83">
        <v>46124.0</v>
      </c>
      <c r="H14955" s="76" t="s">
        <v>1045</v>
      </c>
    </row>
    <row r="14956">
      <c r="A14956" s="76" t="s">
        <v>49</v>
      </c>
      <c r="B14956" s="76" t="s">
        <v>1042</v>
      </c>
      <c r="C14956" s="84">
        <v>3.58</v>
      </c>
      <c r="D14956" s="84">
        <v>0.0</v>
      </c>
      <c r="E14956" s="84">
        <v>0.0</v>
      </c>
      <c r="F14956" s="76" t="s">
        <v>996</v>
      </c>
      <c r="G14956" s="83">
        <v>46124.0</v>
      </c>
      <c r="H14956" s="76" t="s">
        <v>1046</v>
      </c>
    </row>
    <row r="14957">
      <c r="A14957" s="76" t="s">
        <v>36</v>
      </c>
      <c r="B14957" s="76" t="s">
        <v>1042</v>
      </c>
      <c r="C14957" s="84">
        <v>518.18</v>
      </c>
      <c r="D14957" s="84">
        <v>143.0</v>
      </c>
      <c r="E14957" s="84">
        <v>3.62</v>
      </c>
      <c r="F14957" s="76" t="s">
        <v>1005</v>
      </c>
      <c r="G14957" s="83">
        <v>46124.0</v>
      </c>
      <c r="H14957" s="76" t="s">
        <v>926</v>
      </c>
    </row>
    <row r="14958">
      <c r="A14958" s="76" t="s">
        <v>36</v>
      </c>
      <c r="B14958" s="76" t="s">
        <v>1042</v>
      </c>
      <c r="C14958" s="84">
        <v>8.92</v>
      </c>
      <c r="D14958" s="84">
        <v>1.0</v>
      </c>
      <c r="E14958" s="84">
        <v>8.92</v>
      </c>
      <c r="F14958" s="76" t="s">
        <v>1005</v>
      </c>
      <c r="G14958" s="83">
        <v>46124.0</v>
      </c>
      <c r="H14958" s="76" t="s">
        <v>927</v>
      </c>
    </row>
    <row r="14959">
      <c r="A14959" s="76" t="s">
        <v>36</v>
      </c>
      <c r="B14959" s="76" t="s">
        <v>1042</v>
      </c>
      <c r="C14959" s="84">
        <v>95.67</v>
      </c>
      <c r="D14959" s="84">
        <v>24.0</v>
      </c>
      <c r="E14959" s="84">
        <v>3.99</v>
      </c>
      <c r="F14959" s="76" t="s">
        <v>1005</v>
      </c>
      <c r="G14959" s="83">
        <v>46124.0</v>
      </c>
      <c r="H14959" s="76" t="s">
        <v>928</v>
      </c>
    </row>
    <row r="14960">
      <c r="A14960" s="76" t="s">
        <v>28</v>
      </c>
      <c r="B14960" s="76" t="s">
        <v>1042</v>
      </c>
      <c r="C14960" s="84">
        <v>18.83</v>
      </c>
      <c r="D14960" s="84">
        <v>6.0</v>
      </c>
      <c r="E14960" s="84">
        <v>3.14</v>
      </c>
      <c r="F14960" s="76" t="s">
        <v>1005</v>
      </c>
      <c r="G14960" s="83">
        <v>46124.0</v>
      </c>
      <c r="H14960" s="76" t="s">
        <v>931</v>
      </c>
    </row>
    <row r="14961">
      <c r="A14961" s="76" t="s">
        <v>28</v>
      </c>
      <c r="B14961" s="76" t="s">
        <v>1042</v>
      </c>
      <c r="C14961" s="84">
        <v>6.14</v>
      </c>
      <c r="D14961" s="84">
        <v>2.0</v>
      </c>
      <c r="E14961" s="84">
        <v>3.07</v>
      </c>
      <c r="F14961" s="76" t="s">
        <v>1005</v>
      </c>
      <c r="G14961" s="83">
        <v>46124.0</v>
      </c>
      <c r="H14961" s="76" t="s">
        <v>932</v>
      </c>
    </row>
    <row r="14962">
      <c r="A14962" s="76" t="s">
        <v>28</v>
      </c>
      <c r="B14962" s="76" t="s">
        <v>1042</v>
      </c>
      <c r="C14962" s="84">
        <v>274.58</v>
      </c>
      <c r="D14962" s="84">
        <v>79.0</v>
      </c>
      <c r="E14962" s="84">
        <v>3.48</v>
      </c>
      <c r="F14962" s="76" t="s">
        <v>1005</v>
      </c>
      <c r="G14962" s="83">
        <v>46124.0</v>
      </c>
      <c r="H14962" s="76" t="s">
        <v>933</v>
      </c>
    </row>
    <row r="14963">
      <c r="A14963" s="76" t="s">
        <v>34</v>
      </c>
      <c r="B14963" s="76" t="s">
        <v>1042</v>
      </c>
      <c r="C14963" s="84">
        <v>27.35</v>
      </c>
      <c r="D14963" s="84">
        <v>7.0</v>
      </c>
      <c r="E14963" s="84">
        <v>3.91</v>
      </c>
      <c r="F14963" s="76" t="s">
        <v>1005</v>
      </c>
      <c r="G14963" s="83">
        <v>46124.0</v>
      </c>
      <c r="H14963" s="76" t="s">
        <v>951</v>
      </c>
    </row>
    <row r="14964">
      <c r="A14964" s="76" t="s">
        <v>34</v>
      </c>
      <c r="B14964" s="76" t="s">
        <v>1042</v>
      </c>
      <c r="C14964" s="84">
        <v>61.47</v>
      </c>
      <c r="D14964" s="84">
        <v>9.0</v>
      </c>
      <c r="E14964" s="84">
        <v>6.83</v>
      </c>
      <c r="F14964" s="76" t="s">
        <v>1005</v>
      </c>
      <c r="G14964" s="83">
        <v>46124.0</v>
      </c>
      <c r="H14964" s="76" t="s">
        <v>952</v>
      </c>
    </row>
    <row r="14965">
      <c r="A14965" s="76" t="s">
        <v>34</v>
      </c>
      <c r="B14965" s="76" t="s">
        <v>1042</v>
      </c>
      <c r="C14965" s="84">
        <v>2.64</v>
      </c>
      <c r="D14965" s="84">
        <v>1.0</v>
      </c>
      <c r="E14965" s="84">
        <v>2.64</v>
      </c>
      <c r="F14965" s="76" t="s">
        <v>1005</v>
      </c>
      <c r="G14965" s="83">
        <v>46124.0</v>
      </c>
      <c r="H14965" s="76" t="s">
        <v>953</v>
      </c>
    </row>
    <row r="14966">
      <c r="A14966" s="76" t="s">
        <v>49</v>
      </c>
      <c r="B14966" s="76" t="s">
        <v>1042</v>
      </c>
      <c r="C14966" s="84">
        <v>38.72</v>
      </c>
      <c r="D14966" s="84">
        <v>11.0</v>
      </c>
      <c r="E14966" s="84">
        <v>3.52</v>
      </c>
      <c r="F14966" s="76" t="s">
        <v>1005</v>
      </c>
      <c r="G14966" s="83">
        <v>46124.0</v>
      </c>
      <c r="H14966" s="76" t="s">
        <v>1046</v>
      </c>
    </row>
    <row r="14967">
      <c r="A14967" s="76" t="s">
        <v>52</v>
      </c>
      <c r="B14967" s="76" t="s">
        <v>1042</v>
      </c>
      <c r="C14967" s="84">
        <v>40.96</v>
      </c>
      <c r="D14967" s="84">
        <v>4.0</v>
      </c>
      <c r="E14967" s="84">
        <v>10.24</v>
      </c>
      <c r="F14967" s="76" t="s">
        <v>1005</v>
      </c>
      <c r="G14967" s="83">
        <v>46124.0</v>
      </c>
      <c r="H14967" s="76" t="s">
        <v>1045</v>
      </c>
    </row>
    <row r="14968">
      <c r="A14968" s="76" t="s">
        <v>1043</v>
      </c>
      <c r="B14968" s="76" t="s">
        <v>1042</v>
      </c>
      <c r="C14968" s="84">
        <v>36.36</v>
      </c>
      <c r="D14968" s="84">
        <v>5.0</v>
      </c>
      <c r="E14968" s="84">
        <v>7.27</v>
      </c>
      <c r="F14968" s="76" t="s">
        <v>1005</v>
      </c>
      <c r="G14968" s="83">
        <v>46124.0</v>
      </c>
      <c r="H14968" s="76" t="s">
        <v>1044</v>
      </c>
    </row>
    <row r="14969">
      <c r="A14969" s="76" t="s">
        <v>36</v>
      </c>
      <c r="B14969" s="76" t="s">
        <v>1042</v>
      </c>
      <c r="C14969" s="84">
        <v>85.95</v>
      </c>
      <c r="D14969" s="84">
        <v>26.0</v>
      </c>
      <c r="E14969" s="84">
        <v>3.31</v>
      </c>
      <c r="F14969" s="76" t="s">
        <v>990</v>
      </c>
      <c r="G14969" s="83">
        <v>46124.0</v>
      </c>
      <c r="H14969" s="76" t="s">
        <v>926</v>
      </c>
    </row>
    <row r="14970">
      <c r="A14970" s="76" t="s">
        <v>36</v>
      </c>
      <c r="B14970" s="76" t="s">
        <v>1042</v>
      </c>
      <c r="C14970" s="84">
        <v>4.12</v>
      </c>
      <c r="D14970" s="84">
        <v>0.0</v>
      </c>
      <c r="E14970" s="84">
        <v>0.0</v>
      </c>
      <c r="F14970" s="76" t="s">
        <v>990</v>
      </c>
      <c r="G14970" s="83">
        <v>46124.0</v>
      </c>
      <c r="H14970" s="76" t="s">
        <v>927</v>
      </c>
    </row>
    <row r="14971">
      <c r="A14971" s="76" t="s">
        <v>36</v>
      </c>
      <c r="B14971" s="76" t="s">
        <v>1042</v>
      </c>
      <c r="C14971" s="84">
        <v>17.9</v>
      </c>
      <c r="D14971" s="84">
        <v>2.0</v>
      </c>
      <c r="E14971" s="84">
        <v>8.95</v>
      </c>
      <c r="F14971" s="76" t="s">
        <v>990</v>
      </c>
      <c r="G14971" s="83">
        <v>46124.0</v>
      </c>
      <c r="H14971" s="76" t="s">
        <v>928</v>
      </c>
    </row>
    <row r="14972">
      <c r="A14972" s="76" t="s">
        <v>28</v>
      </c>
      <c r="B14972" s="76" t="s">
        <v>1042</v>
      </c>
      <c r="C14972" s="84">
        <v>2.59</v>
      </c>
      <c r="D14972" s="84">
        <v>0.0</v>
      </c>
      <c r="E14972" s="84">
        <v>0.0</v>
      </c>
      <c r="F14972" s="76" t="s">
        <v>990</v>
      </c>
      <c r="G14972" s="83">
        <v>46124.0</v>
      </c>
      <c r="H14972" s="76" t="s">
        <v>931</v>
      </c>
    </row>
    <row r="14973">
      <c r="A14973" s="76" t="s">
        <v>28</v>
      </c>
      <c r="B14973" s="76" t="s">
        <v>1042</v>
      </c>
      <c r="C14973" s="84">
        <v>2.61</v>
      </c>
      <c r="D14973" s="84">
        <v>2.0</v>
      </c>
      <c r="E14973" s="84">
        <v>1.31</v>
      </c>
      <c r="F14973" s="76" t="s">
        <v>990</v>
      </c>
      <c r="G14973" s="83">
        <v>46124.0</v>
      </c>
      <c r="H14973" s="76" t="s">
        <v>932</v>
      </c>
    </row>
    <row r="14974">
      <c r="A14974" s="76" t="s">
        <v>28</v>
      </c>
      <c r="B14974" s="76" t="s">
        <v>1042</v>
      </c>
      <c r="C14974" s="84">
        <v>32.78</v>
      </c>
      <c r="D14974" s="84">
        <v>8.0</v>
      </c>
      <c r="E14974" s="84">
        <v>4.1</v>
      </c>
      <c r="F14974" s="76" t="s">
        <v>990</v>
      </c>
      <c r="G14974" s="83">
        <v>46124.0</v>
      </c>
      <c r="H14974" s="76" t="s">
        <v>933</v>
      </c>
    </row>
    <row r="14975">
      <c r="A14975" s="76" t="s">
        <v>34</v>
      </c>
      <c r="B14975" s="76" t="s">
        <v>1042</v>
      </c>
      <c r="C14975" s="84">
        <v>15.5</v>
      </c>
      <c r="D14975" s="84">
        <v>0.0</v>
      </c>
      <c r="E14975" s="84">
        <v>0.0</v>
      </c>
      <c r="F14975" s="76" t="s">
        <v>990</v>
      </c>
      <c r="G14975" s="83">
        <v>46124.0</v>
      </c>
      <c r="H14975" s="76" t="s">
        <v>951</v>
      </c>
    </row>
    <row r="14976">
      <c r="A14976" s="76" t="s">
        <v>34</v>
      </c>
      <c r="B14976" s="76" t="s">
        <v>1042</v>
      </c>
      <c r="C14976" s="84">
        <v>12.25</v>
      </c>
      <c r="D14976" s="84">
        <v>1.0</v>
      </c>
      <c r="E14976" s="84">
        <v>12.25</v>
      </c>
      <c r="F14976" s="76" t="s">
        <v>990</v>
      </c>
      <c r="G14976" s="83">
        <v>46124.0</v>
      </c>
      <c r="H14976" s="76" t="s">
        <v>952</v>
      </c>
    </row>
    <row r="14977">
      <c r="A14977" s="76" t="s">
        <v>34</v>
      </c>
      <c r="B14977" s="76" t="s">
        <v>1042</v>
      </c>
      <c r="C14977" s="84">
        <v>2.17</v>
      </c>
      <c r="D14977" s="84">
        <v>0.0</v>
      </c>
      <c r="E14977" s="84">
        <v>0.0</v>
      </c>
      <c r="F14977" s="76" t="s">
        <v>990</v>
      </c>
      <c r="G14977" s="83">
        <v>46124.0</v>
      </c>
      <c r="H14977" s="76" t="s">
        <v>953</v>
      </c>
    </row>
    <row r="14978">
      <c r="A14978" s="76" t="s">
        <v>1043</v>
      </c>
      <c r="B14978" s="76" t="s">
        <v>1042</v>
      </c>
      <c r="C14978" s="84">
        <v>13.25</v>
      </c>
      <c r="D14978" s="84">
        <v>4.0</v>
      </c>
      <c r="E14978" s="84">
        <v>3.31</v>
      </c>
      <c r="F14978" s="76" t="s">
        <v>990</v>
      </c>
      <c r="G14978" s="83">
        <v>46124.0</v>
      </c>
      <c r="H14978" s="76" t="s">
        <v>1044</v>
      </c>
    </row>
    <row r="14979">
      <c r="A14979" s="76" t="s">
        <v>52</v>
      </c>
      <c r="B14979" s="76" t="s">
        <v>1042</v>
      </c>
      <c r="C14979" s="84">
        <v>19.16</v>
      </c>
      <c r="D14979" s="84">
        <v>3.0</v>
      </c>
      <c r="E14979" s="84">
        <v>6.39</v>
      </c>
      <c r="F14979" s="76" t="s">
        <v>990</v>
      </c>
      <c r="G14979" s="83">
        <v>46124.0</v>
      </c>
      <c r="H14979" s="76" t="s">
        <v>1045</v>
      </c>
    </row>
    <row r="14980">
      <c r="A14980" s="76" t="s">
        <v>49</v>
      </c>
      <c r="B14980" s="76" t="s">
        <v>1042</v>
      </c>
      <c r="C14980" s="84">
        <v>25.64</v>
      </c>
      <c r="D14980" s="84">
        <v>2.0</v>
      </c>
      <c r="E14980" s="84">
        <v>12.82</v>
      </c>
      <c r="F14980" s="76" t="s">
        <v>990</v>
      </c>
      <c r="G14980" s="83">
        <v>46124.0</v>
      </c>
      <c r="H14980" s="76" t="s">
        <v>1046</v>
      </c>
    </row>
    <row r="14981">
      <c r="A14981" s="76" t="s">
        <v>36</v>
      </c>
      <c r="B14981" s="76" t="s">
        <v>1042</v>
      </c>
      <c r="C14981" s="84">
        <v>2.98</v>
      </c>
      <c r="D14981" s="84">
        <v>1.0</v>
      </c>
      <c r="E14981" s="84">
        <v>2.98</v>
      </c>
      <c r="F14981" s="76" t="s">
        <v>993</v>
      </c>
      <c r="G14981" s="83">
        <v>46124.0</v>
      </c>
      <c r="H14981" s="76" t="s">
        <v>926</v>
      </c>
    </row>
    <row r="14982">
      <c r="A14982" s="76" t="s">
        <v>36</v>
      </c>
      <c r="B14982" s="76" t="s">
        <v>1042</v>
      </c>
      <c r="C14982" s="84">
        <v>0.42</v>
      </c>
      <c r="D14982" s="84">
        <v>0.0</v>
      </c>
      <c r="E14982" s="84">
        <v>0.0</v>
      </c>
      <c r="F14982" s="76" t="s">
        <v>993</v>
      </c>
      <c r="G14982" s="83">
        <v>46124.0</v>
      </c>
      <c r="H14982" s="76" t="s">
        <v>927</v>
      </c>
    </row>
    <row r="14983">
      <c r="A14983" s="76" t="s">
        <v>36</v>
      </c>
      <c r="B14983" s="76" t="s">
        <v>1042</v>
      </c>
      <c r="C14983" s="84">
        <v>3.5</v>
      </c>
      <c r="D14983" s="84">
        <v>0.0</v>
      </c>
      <c r="E14983" s="84">
        <v>0.0</v>
      </c>
      <c r="F14983" s="76" t="s">
        <v>993</v>
      </c>
      <c r="G14983" s="83">
        <v>46124.0</v>
      </c>
      <c r="H14983" s="76" t="s">
        <v>928</v>
      </c>
    </row>
    <row r="14984">
      <c r="A14984" s="76" t="s">
        <v>28</v>
      </c>
      <c r="B14984" s="76" t="s">
        <v>1042</v>
      </c>
      <c r="C14984" s="84">
        <v>1.02</v>
      </c>
      <c r="D14984" s="84">
        <v>0.0</v>
      </c>
      <c r="E14984" s="84">
        <v>0.0</v>
      </c>
      <c r="F14984" s="76" t="s">
        <v>993</v>
      </c>
      <c r="G14984" s="83">
        <v>46124.0</v>
      </c>
      <c r="H14984" s="76" t="s">
        <v>931</v>
      </c>
    </row>
    <row r="14985">
      <c r="A14985" s="76" t="s">
        <v>28</v>
      </c>
      <c r="B14985" s="76" t="s">
        <v>1042</v>
      </c>
      <c r="C14985" s="84">
        <v>0.88</v>
      </c>
      <c r="D14985" s="84">
        <v>0.0</v>
      </c>
      <c r="E14985" s="84">
        <v>0.0</v>
      </c>
      <c r="F14985" s="76" t="s">
        <v>993</v>
      </c>
      <c r="G14985" s="83">
        <v>46124.0</v>
      </c>
      <c r="H14985" s="76" t="s">
        <v>932</v>
      </c>
    </row>
    <row r="14986">
      <c r="A14986" s="76" t="s">
        <v>28</v>
      </c>
      <c r="B14986" s="76" t="s">
        <v>1042</v>
      </c>
      <c r="C14986" s="84">
        <v>7.52</v>
      </c>
      <c r="D14986" s="84">
        <v>1.0</v>
      </c>
      <c r="E14986" s="84">
        <v>7.52</v>
      </c>
      <c r="F14986" s="76" t="s">
        <v>993</v>
      </c>
      <c r="G14986" s="83">
        <v>46124.0</v>
      </c>
      <c r="H14986" s="76" t="s">
        <v>933</v>
      </c>
    </row>
    <row r="14987">
      <c r="A14987" s="76" t="s">
        <v>34</v>
      </c>
      <c r="B14987" s="76" t="s">
        <v>1042</v>
      </c>
      <c r="C14987" s="84">
        <v>1.8</v>
      </c>
      <c r="D14987" s="84">
        <v>0.0</v>
      </c>
      <c r="E14987" s="84">
        <v>0.0</v>
      </c>
      <c r="F14987" s="76" t="s">
        <v>993</v>
      </c>
      <c r="G14987" s="83">
        <v>46124.0</v>
      </c>
      <c r="H14987" s="76" t="s">
        <v>951</v>
      </c>
    </row>
    <row r="14988">
      <c r="A14988" s="76" t="s">
        <v>34</v>
      </c>
      <c r="B14988" s="76" t="s">
        <v>1042</v>
      </c>
      <c r="C14988" s="84">
        <v>5.39</v>
      </c>
      <c r="D14988" s="84">
        <v>0.0</v>
      </c>
      <c r="E14988" s="84">
        <v>0.0</v>
      </c>
      <c r="F14988" s="76" t="s">
        <v>993</v>
      </c>
      <c r="G14988" s="83">
        <v>46124.0</v>
      </c>
      <c r="H14988" s="76" t="s">
        <v>952</v>
      </c>
    </row>
    <row r="14989">
      <c r="A14989" s="76" t="s">
        <v>34</v>
      </c>
      <c r="B14989" s="76" t="s">
        <v>1042</v>
      </c>
      <c r="C14989" s="84">
        <v>0.18</v>
      </c>
      <c r="D14989" s="84">
        <v>0.0</v>
      </c>
      <c r="E14989" s="84">
        <v>0.0</v>
      </c>
      <c r="F14989" s="76" t="s">
        <v>993</v>
      </c>
      <c r="G14989" s="83">
        <v>46124.0</v>
      </c>
      <c r="H14989" s="76" t="s">
        <v>953</v>
      </c>
    </row>
    <row r="14990">
      <c r="A14990" s="76" t="s">
        <v>1043</v>
      </c>
      <c r="B14990" s="76" t="s">
        <v>1042</v>
      </c>
      <c r="C14990" s="84">
        <v>1.86</v>
      </c>
      <c r="D14990" s="84">
        <v>0.0</v>
      </c>
      <c r="E14990" s="84">
        <v>0.0</v>
      </c>
      <c r="F14990" s="76" t="s">
        <v>993</v>
      </c>
      <c r="G14990" s="83">
        <v>46124.0</v>
      </c>
      <c r="H14990" s="76" t="s">
        <v>1044</v>
      </c>
    </row>
    <row r="14991">
      <c r="A14991" s="76" t="s">
        <v>52</v>
      </c>
      <c r="B14991" s="76" t="s">
        <v>1042</v>
      </c>
      <c r="C14991" s="84">
        <v>1.74</v>
      </c>
      <c r="D14991" s="84">
        <v>1.0</v>
      </c>
      <c r="E14991" s="84">
        <v>1.74</v>
      </c>
      <c r="F14991" s="76" t="s">
        <v>993</v>
      </c>
      <c r="G14991" s="83">
        <v>46124.0</v>
      </c>
      <c r="H14991" s="76" t="s">
        <v>1045</v>
      </c>
    </row>
    <row r="14992">
      <c r="A14992" s="76" t="s">
        <v>49</v>
      </c>
      <c r="B14992" s="76" t="s">
        <v>1042</v>
      </c>
      <c r="C14992" s="84">
        <v>2.6</v>
      </c>
      <c r="D14992" s="84">
        <v>0.0</v>
      </c>
      <c r="E14992" s="84">
        <v>0.0</v>
      </c>
      <c r="F14992" s="76" t="s">
        <v>993</v>
      </c>
      <c r="G14992" s="83">
        <v>46124.0</v>
      </c>
      <c r="H14992" s="76" t="s">
        <v>1046</v>
      </c>
    </row>
    <row r="14993">
      <c r="A14993" s="76" t="s">
        <v>36</v>
      </c>
      <c r="B14993" s="76" t="s">
        <v>1042</v>
      </c>
      <c r="C14993" s="84">
        <v>35.12</v>
      </c>
      <c r="D14993" s="84">
        <v>8.0</v>
      </c>
      <c r="E14993" s="84">
        <v>4.39</v>
      </c>
      <c r="F14993" s="76" t="s">
        <v>998</v>
      </c>
      <c r="G14993" s="83">
        <v>46124.0</v>
      </c>
      <c r="H14993" s="76" t="s">
        <v>926</v>
      </c>
    </row>
    <row r="14994">
      <c r="A14994" s="76" t="s">
        <v>36</v>
      </c>
      <c r="B14994" s="76" t="s">
        <v>1042</v>
      </c>
      <c r="C14994" s="84">
        <v>2.86</v>
      </c>
      <c r="D14994" s="84">
        <v>1.0</v>
      </c>
      <c r="E14994" s="84">
        <v>2.86</v>
      </c>
      <c r="F14994" s="76" t="s">
        <v>998</v>
      </c>
      <c r="G14994" s="83">
        <v>46124.0</v>
      </c>
      <c r="H14994" s="76" t="s">
        <v>927</v>
      </c>
    </row>
    <row r="14995">
      <c r="A14995" s="76" t="s">
        <v>36</v>
      </c>
      <c r="B14995" s="76" t="s">
        <v>1042</v>
      </c>
      <c r="C14995" s="84">
        <v>5.04</v>
      </c>
      <c r="D14995" s="84">
        <v>2.0</v>
      </c>
      <c r="E14995" s="84">
        <v>2.52</v>
      </c>
      <c r="F14995" s="76" t="s">
        <v>998</v>
      </c>
      <c r="G14995" s="83">
        <v>46124.0</v>
      </c>
      <c r="H14995" s="76" t="s">
        <v>928</v>
      </c>
    </row>
    <row r="14996">
      <c r="A14996" s="76" t="s">
        <v>28</v>
      </c>
      <c r="B14996" s="76" t="s">
        <v>1042</v>
      </c>
      <c r="C14996" s="84">
        <v>2.33</v>
      </c>
      <c r="D14996" s="84">
        <v>0.0</v>
      </c>
      <c r="E14996" s="84">
        <v>0.0</v>
      </c>
      <c r="F14996" s="76" t="s">
        <v>998</v>
      </c>
      <c r="G14996" s="83">
        <v>46124.0</v>
      </c>
      <c r="H14996" s="76" t="s">
        <v>931</v>
      </c>
    </row>
    <row r="14997">
      <c r="A14997" s="76" t="s">
        <v>28</v>
      </c>
      <c r="B14997" s="76" t="s">
        <v>1042</v>
      </c>
      <c r="C14997" s="84">
        <v>0.83</v>
      </c>
      <c r="D14997" s="84">
        <v>0.0</v>
      </c>
      <c r="E14997" s="84">
        <v>0.0</v>
      </c>
      <c r="F14997" s="76" t="s">
        <v>998</v>
      </c>
      <c r="G14997" s="83">
        <v>46124.0</v>
      </c>
      <c r="H14997" s="76" t="s">
        <v>932</v>
      </c>
    </row>
    <row r="14998">
      <c r="A14998" s="76" t="s">
        <v>28</v>
      </c>
      <c r="B14998" s="76" t="s">
        <v>1042</v>
      </c>
      <c r="C14998" s="84">
        <v>15.06</v>
      </c>
      <c r="D14998" s="84">
        <v>4.0</v>
      </c>
      <c r="E14998" s="84">
        <v>3.76</v>
      </c>
      <c r="F14998" s="76" t="s">
        <v>998</v>
      </c>
      <c r="G14998" s="83">
        <v>46124.0</v>
      </c>
      <c r="H14998" s="76" t="s">
        <v>933</v>
      </c>
    </row>
    <row r="14999">
      <c r="A14999" s="76" t="s">
        <v>34</v>
      </c>
      <c r="B14999" s="76" t="s">
        <v>1042</v>
      </c>
      <c r="C14999" s="84">
        <v>7.39</v>
      </c>
      <c r="D14999" s="84">
        <v>2.0</v>
      </c>
      <c r="E14999" s="84">
        <v>3.7</v>
      </c>
      <c r="F14999" s="76" t="s">
        <v>998</v>
      </c>
      <c r="G14999" s="83">
        <v>46124.0</v>
      </c>
      <c r="H14999" s="76" t="s">
        <v>951</v>
      </c>
    </row>
    <row r="15000">
      <c r="A15000" s="76" t="s">
        <v>34</v>
      </c>
      <c r="B15000" s="76" t="s">
        <v>1042</v>
      </c>
      <c r="C15000" s="84">
        <v>3.81</v>
      </c>
      <c r="D15000" s="84">
        <v>2.0</v>
      </c>
      <c r="E15000" s="84">
        <v>1.9</v>
      </c>
      <c r="F15000" s="76" t="s">
        <v>998</v>
      </c>
      <c r="G15000" s="83">
        <v>46124.0</v>
      </c>
      <c r="H15000" s="76" t="s">
        <v>952</v>
      </c>
    </row>
    <row r="15001">
      <c r="A15001" s="76" t="s">
        <v>34</v>
      </c>
      <c r="B15001" s="76" t="s">
        <v>1042</v>
      </c>
      <c r="C15001" s="84">
        <v>0.99</v>
      </c>
      <c r="D15001" s="84">
        <v>0.0</v>
      </c>
      <c r="E15001" s="84">
        <v>0.0</v>
      </c>
      <c r="F15001" s="76" t="s">
        <v>998</v>
      </c>
      <c r="G15001" s="83">
        <v>46124.0</v>
      </c>
      <c r="H15001" s="76" t="s">
        <v>953</v>
      </c>
    </row>
    <row r="15002">
      <c r="A15002" s="76" t="s">
        <v>1043</v>
      </c>
      <c r="B15002" s="76" t="s">
        <v>1042</v>
      </c>
      <c r="C15002" s="84">
        <v>7.49</v>
      </c>
      <c r="D15002" s="84">
        <v>1.0</v>
      </c>
      <c r="E15002" s="84">
        <v>7.49</v>
      </c>
      <c r="F15002" s="76" t="s">
        <v>998</v>
      </c>
      <c r="G15002" s="83">
        <v>46124.0</v>
      </c>
      <c r="H15002" s="76" t="s">
        <v>1044</v>
      </c>
    </row>
    <row r="15003">
      <c r="A15003" s="76" t="s">
        <v>52</v>
      </c>
      <c r="B15003" s="76" t="s">
        <v>1042</v>
      </c>
      <c r="C15003" s="84">
        <v>6.38</v>
      </c>
      <c r="D15003" s="84">
        <v>4.0</v>
      </c>
      <c r="E15003" s="84">
        <v>1.6</v>
      </c>
      <c r="F15003" s="76" t="s">
        <v>998</v>
      </c>
      <c r="G15003" s="83">
        <v>46124.0</v>
      </c>
      <c r="H15003" s="76" t="s">
        <v>1045</v>
      </c>
    </row>
    <row r="15004">
      <c r="A15004" s="76" t="s">
        <v>49</v>
      </c>
      <c r="B15004" s="76" t="s">
        <v>1042</v>
      </c>
      <c r="C15004" s="84">
        <v>6.91</v>
      </c>
      <c r="D15004" s="84">
        <v>1.0</v>
      </c>
      <c r="E15004" s="84">
        <v>6.91</v>
      </c>
      <c r="F15004" s="76" t="s">
        <v>998</v>
      </c>
      <c r="G15004" s="83">
        <v>46124.0</v>
      </c>
      <c r="H15004" s="76" t="s">
        <v>1046</v>
      </c>
    </row>
    <row r="15005">
      <c r="A15005" s="76" t="s">
        <v>36</v>
      </c>
      <c r="B15005" s="76" t="s">
        <v>1042</v>
      </c>
      <c r="C15005" s="84">
        <v>20.06</v>
      </c>
      <c r="D15005" s="84">
        <v>5.0</v>
      </c>
      <c r="E15005" s="84">
        <v>4.01</v>
      </c>
      <c r="F15005" s="76" t="s">
        <v>997</v>
      </c>
      <c r="G15005" s="83">
        <v>46124.0</v>
      </c>
      <c r="H15005" s="76" t="s">
        <v>926</v>
      </c>
    </row>
    <row r="15006">
      <c r="A15006" s="76" t="s">
        <v>36</v>
      </c>
      <c r="B15006" s="76" t="s">
        <v>1042</v>
      </c>
      <c r="C15006" s="84">
        <v>1.78</v>
      </c>
      <c r="D15006" s="84">
        <v>1.0</v>
      </c>
      <c r="E15006" s="84">
        <v>1.78</v>
      </c>
      <c r="F15006" s="76" t="s">
        <v>997</v>
      </c>
      <c r="G15006" s="83">
        <v>46124.0</v>
      </c>
      <c r="H15006" s="76" t="s">
        <v>927</v>
      </c>
    </row>
    <row r="15007">
      <c r="A15007" s="76" t="s">
        <v>36</v>
      </c>
      <c r="B15007" s="76" t="s">
        <v>1042</v>
      </c>
      <c r="C15007" s="84">
        <v>11.68</v>
      </c>
      <c r="D15007" s="84">
        <v>0.0</v>
      </c>
      <c r="E15007" s="84">
        <v>0.0</v>
      </c>
      <c r="F15007" s="76" t="s">
        <v>997</v>
      </c>
      <c r="G15007" s="83">
        <v>46124.0</v>
      </c>
      <c r="H15007" s="76" t="s">
        <v>928</v>
      </c>
    </row>
    <row r="15008">
      <c r="A15008" s="76" t="s">
        <v>28</v>
      </c>
      <c r="B15008" s="76" t="s">
        <v>1042</v>
      </c>
      <c r="C15008" s="84">
        <v>1.01</v>
      </c>
      <c r="D15008" s="84">
        <v>0.0</v>
      </c>
      <c r="E15008" s="84">
        <v>0.0</v>
      </c>
      <c r="F15008" s="76" t="s">
        <v>997</v>
      </c>
      <c r="G15008" s="83">
        <v>46124.0</v>
      </c>
      <c r="H15008" s="76" t="s">
        <v>931</v>
      </c>
    </row>
    <row r="15009">
      <c r="A15009" s="76" t="s">
        <v>28</v>
      </c>
      <c r="B15009" s="76" t="s">
        <v>1042</v>
      </c>
      <c r="C15009" s="84">
        <v>1.62</v>
      </c>
      <c r="D15009" s="84">
        <v>0.0</v>
      </c>
      <c r="E15009" s="84">
        <v>0.0</v>
      </c>
      <c r="F15009" s="76" t="s">
        <v>997</v>
      </c>
      <c r="G15009" s="83">
        <v>46124.0</v>
      </c>
      <c r="H15009" s="76" t="s">
        <v>932</v>
      </c>
    </row>
    <row r="15010">
      <c r="A15010" s="76" t="s">
        <v>28</v>
      </c>
      <c r="B15010" s="76" t="s">
        <v>1042</v>
      </c>
      <c r="C15010" s="84">
        <v>4.91</v>
      </c>
      <c r="D15010" s="84">
        <v>3.0</v>
      </c>
      <c r="E15010" s="84">
        <v>1.64</v>
      </c>
      <c r="F15010" s="76" t="s">
        <v>997</v>
      </c>
      <c r="G15010" s="83">
        <v>46124.0</v>
      </c>
      <c r="H15010" s="76" t="s">
        <v>933</v>
      </c>
    </row>
    <row r="15011">
      <c r="A15011" s="76" t="s">
        <v>34</v>
      </c>
      <c r="B15011" s="76" t="s">
        <v>1042</v>
      </c>
      <c r="C15011" s="84">
        <v>6.92</v>
      </c>
      <c r="D15011" s="84">
        <v>0.0</v>
      </c>
      <c r="E15011" s="84">
        <v>0.0</v>
      </c>
      <c r="F15011" s="76" t="s">
        <v>997</v>
      </c>
      <c r="G15011" s="83">
        <v>46124.0</v>
      </c>
      <c r="H15011" s="76" t="s">
        <v>951</v>
      </c>
    </row>
    <row r="15012">
      <c r="A15012" s="76" t="s">
        <v>34</v>
      </c>
      <c r="B15012" s="76" t="s">
        <v>1042</v>
      </c>
      <c r="C15012" s="84">
        <v>6.89</v>
      </c>
      <c r="D15012" s="84">
        <v>2.0</v>
      </c>
      <c r="E15012" s="84">
        <v>3.45</v>
      </c>
      <c r="F15012" s="76" t="s">
        <v>997</v>
      </c>
      <c r="G15012" s="83">
        <v>46124.0</v>
      </c>
      <c r="H15012" s="76" t="s">
        <v>952</v>
      </c>
    </row>
    <row r="15013">
      <c r="A15013" s="76" t="s">
        <v>34</v>
      </c>
      <c r="B15013" s="76" t="s">
        <v>1042</v>
      </c>
      <c r="C15013" s="84">
        <v>1.08</v>
      </c>
      <c r="D15013" s="84">
        <v>0.0</v>
      </c>
      <c r="E15013" s="84">
        <v>0.0</v>
      </c>
      <c r="F15013" s="76" t="s">
        <v>997</v>
      </c>
      <c r="G15013" s="83">
        <v>46124.0</v>
      </c>
      <c r="H15013" s="76" t="s">
        <v>953</v>
      </c>
    </row>
    <row r="15014">
      <c r="A15014" s="76" t="s">
        <v>1043</v>
      </c>
      <c r="B15014" s="76" t="s">
        <v>1042</v>
      </c>
      <c r="C15014" s="84">
        <v>5.49</v>
      </c>
      <c r="D15014" s="84">
        <v>2.0</v>
      </c>
      <c r="E15014" s="84">
        <v>2.74</v>
      </c>
      <c r="F15014" s="76" t="s">
        <v>997</v>
      </c>
      <c r="G15014" s="83">
        <v>46124.0</v>
      </c>
      <c r="H15014" s="76" t="s">
        <v>1044</v>
      </c>
    </row>
    <row r="15015">
      <c r="A15015" s="76" t="s">
        <v>52</v>
      </c>
      <c r="B15015" s="76" t="s">
        <v>1042</v>
      </c>
      <c r="C15015" s="84">
        <v>14.01</v>
      </c>
      <c r="D15015" s="84">
        <v>0.0</v>
      </c>
      <c r="E15015" s="84">
        <v>0.0</v>
      </c>
      <c r="F15015" s="76" t="s">
        <v>997</v>
      </c>
      <c r="G15015" s="83">
        <v>46124.0</v>
      </c>
      <c r="H15015" s="76" t="s">
        <v>1045</v>
      </c>
    </row>
    <row r="15016">
      <c r="A15016" s="76" t="s">
        <v>49</v>
      </c>
      <c r="B15016" s="76" t="s">
        <v>1042</v>
      </c>
      <c r="C15016" s="84">
        <v>7.64</v>
      </c>
      <c r="D15016" s="84">
        <v>0.0</v>
      </c>
      <c r="E15016" s="84">
        <v>0.0</v>
      </c>
      <c r="F15016" s="76" t="s">
        <v>997</v>
      </c>
      <c r="G15016" s="83">
        <v>46124.0</v>
      </c>
      <c r="H15016" s="76" t="s">
        <v>1046</v>
      </c>
    </row>
    <row r="15017">
      <c r="A15017" s="76" t="s">
        <v>40</v>
      </c>
      <c r="B15017" s="76" t="s">
        <v>1039</v>
      </c>
      <c r="C15017" s="84">
        <v>7.18</v>
      </c>
      <c r="D15017" s="84">
        <v>1.0</v>
      </c>
      <c r="E15017" s="84">
        <v>7.18</v>
      </c>
      <c r="F15017" s="76" t="s">
        <v>1005</v>
      </c>
      <c r="G15017" s="83">
        <v>46125.0</v>
      </c>
      <c r="H15017" s="76" t="s">
        <v>954</v>
      </c>
    </row>
    <row r="15018">
      <c r="A15018" s="76" t="s">
        <v>40</v>
      </c>
      <c r="B15018" s="76" t="s">
        <v>1039</v>
      </c>
      <c r="C15018" s="84">
        <v>2.41</v>
      </c>
      <c r="D15018" s="84">
        <v>0.0</v>
      </c>
      <c r="E15018" s="84">
        <v>0.0</v>
      </c>
      <c r="F15018" s="76" t="s">
        <v>1005</v>
      </c>
      <c r="G15018" s="83">
        <v>46125.0</v>
      </c>
      <c r="H15018" s="76" t="s">
        <v>955</v>
      </c>
    </row>
    <row r="15019">
      <c r="A15019" s="76" t="s">
        <v>40</v>
      </c>
      <c r="B15019" s="76" t="s">
        <v>1039</v>
      </c>
      <c r="C15019" s="84">
        <v>161.5</v>
      </c>
      <c r="D15019" s="84">
        <v>45.0</v>
      </c>
      <c r="E15019" s="84">
        <v>3.59</v>
      </c>
      <c r="F15019" s="76" t="s">
        <v>1005</v>
      </c>
      <c r="G15019" s="83">
        <v>46125.0</v>
      </c>
      <c r="H15019" s="76" t="s">
        <v>956</v>
      </c>
    </row>
    <row r="15020">
      <c r="A15020" s="76" t="s">
        <v>36</v>
      </c>
      <c r="B15020" s="76" t="s">
        <v>1039</v>
      </c>
      <c r="C15020" s="84">
        <v>28.25</v>
      </c>
      <c r="D15020" s="84">
        <v>8.0</v>
      </c>
      <c r="E15020" s="84">
        <v>3.53</v>
      </c>
      <c r="F15020" s="76" t="s">
        <v>1005</v>
      </c>
      <c r="G15020" s="83">
        <v>46125.0</v>
      </c>
      <c r="H15020" s="76" t="s">
        <v>926</v>
      </c>
    </row>
    <row r="15021">
      <c r="A15021" s="76" t="s">
        <v>36</v>
      </c>
      <c r="B15021" s="76" t="s">
        <v>1039</v>
      </c>
      <c r="C15021" s="84">
        <v>4.02</v>
      </c>
      <c r="D15021" s="84">
        <v>2.0</v>
      </c>
      <c r="E15021" s="84">
        <v>2.01</v>
      </c>
      <c r="F15021" s="76" t="s">
        <v>1005</v>
      </c>
      <c r="G15021" s="83">
        <v>46125.0</v>
      </c>
      <c r="H15021" s="76" t="s">
        <v>927</v>
      </c>
    </row>
    <row r="15022">
      <c r="A15022" s="76" t="s">
        <v>36</v>
      </c>
      <c r="B15022" s="76" t="s">
        <v>1039</v>
      </c>
      <c r="C15022" s="84">
        <v>21.25</v>
      </c>
      <c r="D15022" s="84">
        <v>2.0</v>
      </c>
      <c r="E15022" s="84">
        <v>10.62</v>
      </c>
      <c r="F15022" s="76" t="s">
        <v>1005</v>
      </c>
      <c r="G15022" s="83">
        <v>46125.0</v>
      </c>
      <c r="H15022" s="76" t="s">
        <v>928</v>
      </c>
    </row>
    <row r="15023">
      <c r="A15023" s="76" t="s">
        <v>46</v>
      </c>
      <c r="B15023" s="76" t="s">
        <v>1039</v>
      </c>
      <c r="C15023" s="84">
        <v>3.12</v>
      </c>
      <c r="D15023" s="84">
        <v>1.0</v>
      </c>
      <c r="E15023" s="84">
        <v>3.12</v>
      </c>
      <c r="F15023" s="76" t="s">
        <v>1005</v>
      </c>
      <c r="G15023" s="83">
        <v>46125.0</v>
      </c>
      <c r="H15023" s="76" t="s">
        <v>960</v>
      </c>
    </row>
    <row r="15024">
      <c r="A15024" s="76" t="s">
        <v>46</v>
      </c>
      <c r="B15024" s="76" t="s">
        <v>1039</v>
      </c>
      <c r="C15024" s="84">
        <v>3.89</v>
      </c>
      <c r="D15024" s="84">
        <v>0.0</v>
      </c>
      <c r="E15024" s="84">
        <v>0.0</v>
      </c>
      <c r="F15024" s="76" t="s">
        <v>1005</v>
      </c>
      <c r="G15024" s="83">
        <v>46125.0</v>
      </c>
      <c r="H15024" s="76" t="s">
        <v>961</v>
      </c>
    </row>
    <row r="15025">
      <c r="A15025" s="76" t="s">
        <v>46</v>
      </c>
      <c r="B15025" s="76" t="s">
        <v>1039</v>
      </c>
      <c r="C15025" s="84">
        <v>5.03</v>
      </c>
      <c r="D15025" s="84">
        <v>0.0</v>
      </c>
      <c r="E15025" s="84">
        <v>0.0</v>
      </c>
      <c r="F15025" s="76" t="s">
        <v>1005</v>
      </c>
      <c r="G15025" s="83">
        <v>46125.0</v>
      </c>
      <c r="H15025" s="76" t="s">
        <v>962</v>
      </c>
    </row>
    <row r="15026">
      <c r="A15026" s="76" t="s">
        <v>970</v>
      </c>
      <c r="B15026" s="76" t="s">
        <v>1039</v>
      </c>
      <c r="C15026" s="84">
        <v>9.23</v>
      </c>
      <c r="D15026" s="84">
        <v>0.0</v>
      </c>
      <c r="E15026" s="84">
        <v>0.0</v>
      </c>
      <c r="F15026" s="76" t="s">
        <v>1005</v>
      </c>
      <c r="G15026" s="83">
        <v>46125.0</v>
      </c>
      <c r="H15026" s="76" t="s">
        <v>971</v>
      </c>
    </row>
    <row r="15027">
      <c r="A15027" s="76" t="s">
        <v>970</v>
      </c>
      <c r="B15027" s="76" t="s">
        <v>1039</v>
      </c>
      <c r="C15027" s="84">
        <v>1.27</v>
      </c>
      <c r="D15027" s="84">
        <v>1.0</v>
      </c>
      <c r="E15027" s="84">
        <v>1.27</v>
      </c>
      <c r="F15027" s="76" t="s">
        <v>1005</v>
      </c>
      <c r="G15027" s="83">
        <v>46125.0</v>
      </c>
      <c r="H15027" s="76" t="s">
        <v>972</v>
      </c>
    </row>
    <row r="15028">
      <c r="A15028" s="76" t="s">
        <v>970</v>
      </c>
      <c r="B15028" s="76" t="s">
        <v>1039</v>
      </c>
      <c r="C15028" s="84">
        <v>27.8</v>
      </c>
      <c r="D15028" s="84">
        <v>8.0</v>
      </c>
      <c r="E15028" s="84">
        <v>3.48</v>
      </c>
      <c r="F15028" s="76" t="s">
        <v>1005</v>
      </c>
      <c r="G15028" s="83">
        <v>46125.0</v>
      </c>
      <c r="H15028" s="76" t="s">
        <v>973</v>
      </c>
    </row>
    <row r="15029">
      <c r="A15029" s="76" t="s">
        <v>29</v>
      </c>
      <c r="B15029" s="76" t="s">
        <v>1039</v>
      </c>
      <c r="C15029" s="84">
        <v>83.29</v>
      </c>
      <c r="D15029" s="84">
        <v>23.0</v>
      </c>
      <c r="E15029" s="84">
        <v>3.62</v>
      </c>
      <c r="F15029" s="76" t="s">
        <v>1005</v>
      </c>
      <c r="G15029" s="83">
        <v>46125.0</v>
      </c>
      <c r="H15029" s="76" t="s">
        <v>1015</v>
      </c>
    </row>
    <row r="15030">
      <c r="A15030" s="76" t="s">
        <v>29</v>
      </c>
      <c r="B15030" s="76" t="s">
        <v>1039</v>
      </c>
      <c r="C15030" s="84">
        <v>9.9</v>
      </c>
      <c r="D15030" s="84">
        <v>3.0</v>
      </c>
      <c r="E15030" s="84">
        <v>3.3</v>
      </c>
      <c r="F15030" s="76" t="s">
        <v>1005</v>
      </c>
      <c r="G15030" s="83">
        <v>46125.0</v>
      </c>
      <c r="H15030" s="76" t="s">
        <v>1016</v>
      </c>
    </row>
    <row r="15031">
      <c r="A15031" s="76" t="s">
        <v>29</v>
      </c>
      <c r="B15031" s="76" t="s">
        <v>1039</v>
      </c>
      <c r="C15031" s="84">
        <v>2.55</v>
      </c>
      <c r="D15031" s="84">
        <v>1.0</v>
      </c>
      <c r="E15031" s="84">
        <v>2.55</v>
      </c>
      <c r="F15031" s="76" t="s">
        <v>1005</v>
      </c>
      <c r="G15031" s="83">
        <v>46125.0</v>
      </c>
      <c r="H15031" s="76" t="s">
        <v>1017</v>
      </c>
    </row>
    <row r="15032">
      <c r="A15032" s="76" t="s">
        <v>34</v>
      </c>
      <c r="B15032" s="76" t="s">
        <v>1039</v>
      </c>
      <c r="C15032" s="84">
        <v>373.39</v>
      </c>
      <c r="D15032" s="84">
        <v>64.0</v>
      </c>
      <c r="E15032" s="84">
        <v>5.83</v>
      </c>
      <c r="F15032" s="76" t="s">
        <v>1005</v>
      </c>
      <c r="G15032" s="83">
        <v>46125.0</v>
      </c>
      <c r="H15032" s="76" t="s">
        <v>951</v>
      </c>
    </row>
    <row r="15033">
      <c r="A15033" s="76" t="s">
        <v>34</v>
      </c>
      <c r="B15033" s="76" t="s">
        <v>1039</v>
      </c>
      <c r="C15033" s="84">
        <v>70.83</v>
      </c>
      <c r="D15033" s="84">
        <v>21.0</v>
      </c>
      <c r="E15033" s="84">
        <v>3.37</v>
      </c>
      <c r="F15033" s="76" t="s">
        <v>1005</v>
      </c>
      <c r="G15033" s="83">
        <v>46125.0</v>
      </c>
      <c r="H15033" s="76" t="s">
        <v>952</v>
      </c>
    </row>
    <row r="15034">
      <c r="A15034" s="76" t="s">
        <v>34</v>
      </c>
      <c r="B15034" s="76" t="s">
        <v>1039</v>
      </c>
      <c r="C15034" s="84">
        <v>11.72</v>
      </c>
      <c r="D15034" s="84">
        <v>5.0</v>
      </c>
      <c r="E15034" s="84">
        <v>2.34</v>
      </c>
      <c r="F15034" s="76" t="s">
        <v>1005</v>
      </c>
      <c r="G15034" s="83">
        <v>46125.0</v>
      </c>
      <c r="H15034" s="76" t="s">
        <v>953</v>
      </c>
    </row>
    <row r="15035">
      <c r="A15035" s="76" t="s">
        <v>33</v>
      </c>
      <c r="B15035" s="76" t="s">
        <v>1039</v>
      </c>
      <c r="C15035" s="84">
        <v>463.74</v>
      </c>
      <c r="D15035" s="84">
        <v>122.0</v>
      </c>
      <c r="E15035" s="84">
        <v>3.8</v>
      </c>
      <c r="F15035" s="76" t="s">
        <v>1005</v>
      </c>
      <c r="G15035" s="83">
        <v>46125.0</v>
      </c>
      <c r="H15035" s="76" t="s">
        <v>957</v>
      </c>
    </row>
    <row r="15036">
      <c r="A15036" s="76" t="s">
        <v>33</v>
      </c>
      <c r="B15036" s="76" t="s">
        <v>1039</v>
      </c>
      <c r="C15036" s="84">
        <v>14.83</v>
      </c>
      <c r="D15036" s="84">
        <v>5.0</v>
      </c>
      <c r="E15036" s="84">
        <v>2.97</v>
      </c>
      <c r="F15036" s="76" t="s">
        <v>1005</v>
      </c>
      <c r="G15036" s="83">
        <v>46125.0</v>
      </c>
      <c r="H15036" s="76" t="s">
        <v>958</v>
      </c>
    </row>
    <row r="15037">
      <c r="A15037" s="76" t="s">
        <v>33</v>
      </c>
      <c r="B15037" s="76" t="s">
        <v>1039</v>
      </c>
      <c r="C15037" s="84">
        <v>38.3</v>
      </c>
      <c r="D15037" s="84">
        <v>11.0</v>
      </c>
      <c r="E15037" s="84">
        <v>3.48</v>
      </c>
      <c r="F15037" s="76" t="s">
        <v>1005</v>
      </c>
      <c r="G15037" s="83">
        <v>46125.0</v>
      </c>
      <c r="H15037" s="76" t="s">
        <v>959</v>
      </c>
    </row>
    <row r="15038">
      <c r="A15038" s="76" t="s">
        <v>43</v>
      </c>
      <c r="B15038" s="76" t="s">
        <v>1039</v>
      </c>
      <c r="C15038" s="84">
        <v>1.85</v>
      </c>
      <c r="D15038" s="84">
        <v>2.0</v>
      </c>
      <c r="E15038" s="84">
        <v>0.93</v>
      </c>
      <c r="F15038" s="76" t="s">
        <v>1005</v>
      </c>
      <c r="G15038" s="83">
        <v>46125.0</v>
      </c>
      <c r="H15038" s="76" t="s">
        <v>963</v>
      </c>
    </row>
    <row r="15039">
      <c r="A15039" s="76" t="s">
        <v>43</v>
      </c>
      <c r="B15039" s="76" t="s">
        <v>1039</v>
      </c>
      <c r="C15039" s="84">
        <v>5.44</v>
      </c>
      <c r="D15039" s="84">
        <v>0.0</v>
      </c>
      <c r="E15039" s="84">
        <v>0.0</v>
      </c>
      <c r="F15039" s="76" t="s">
        <v>1005</v>
      </c>
      <c r="G15039" s="83">
        <v>46125.0</v>
      </c>
      <c r="H15039" s="76" t="s">
        <v>964</v>
      </c>
    </row>
    <row r="15040">
      <c r="A15040" s="76" t="s">
        <v>43</v>
      </c>
      <c r="B15040" s="76" t="s">
        <v>1039</v>
      </c>
      <c r="C15040" s="84">
        <v>5.38</v>
      </c>
      <c r="D15040" s="84">
        <v>2.0</v>
      </c>
      <c r="E15040" s="84">
        <v>2.69</v>
      </c>
      <c r="F15040" s="76" t="s">
        <v>1005</v>
      </c>
      <c r="G15040" s="83">
        <v>46125.0</v>
      </c>
      <c r="H15040" s="76" t="s">
        <v>965</v>
      </c>
    </row>
    <row r="15041">
      <c r="A15041" s="76" t="s">
        <v>966</v>
      </c>
      <c r="B15041" s="76" t="s">
        <v>1039</v>
      </c>
      <c r="C15041" s="84">
        <v>14.66</v>
      </c>
      <c r="D15041" s="84">
        <v>2.0</v>
      </c>
      <c r="E15041" s="84">
        <v>7.33</v>
      </c>
      <c r="F15041" s="76" t="s">
        <v>1005</v>
      </c>
      <c r="G15041" s="83">
        <v>46125.0</v>
      </c>
      <c r="H15041" s="76" t="s">
        <v>967</v>
      </c>
    </row>
    <row r="15042">
      <c r="A15042" s="76" t="s">
        <v>966</v>
      </c>
      <c r="B15042" s="76" t="s">
        <v>1039</v>
      </c>
      <c r="C15042" s="84">
        <v>2.94</v>
      </c>
      <c r="D15042" s="84">
        <v>0.0</v>
      </c>
      <c r="E15042" s="84">
        <v>0.0</v>
      </c>
      <c r="F15042" s="76" t="s">
        <v>1005</v>
      </c>
      <c r="G15042" s="83">
        <v>46125.0</v>
      </c>
      <c r="H15042" s="76" t="s">
        <v>968</v>
      </c>
    </row>
    <row r="15043">
      <c r="A15043" s="76" t="s">
        <v>966</v>
      </c>
      <c r="B15043" s="76" t="s">
        <v>1039</v>
      </c>
      <c r="C15043" s="84">
        <v>19.97</v>
      </c>
      <c r="D15043" s="84">
        <v>6.0</v>
      </c>
      <c r="E15043" s="84">
        <v>3.33</v>
      </c>
      <c r="F15043" s="76" t="s">
        <v>1005</v>
      </c>
      <c r="G15043" s="83">
        <v>46125.0</v>
      </c>
      <c r="H15043" s="76" t="s">
        <v>969</v>
      </c>
    </row>
    <row r="15044">
      <c r="A15044" s="76" t="s">
        <v>970</v>
      </c>
      <c r="B15044" s="76" t="s">
        <v>1039</v>
      </c>
      <c r="C15044" s="84">
        <v>1.4</v>
      </c>
      <c r="D15044" s="84">
        <v>0.0</v>
      </c>
      <c r="E15044" s="84">
        <v>0.0</v>
      </c>
      <c r="F15044" s="76" t="s">
        <v>996</v>
      </c>
      <c r="G15044" s="83">
        <v>46125.0</v>
      </c>
      <c r="H15044" s="76" t="s">
        <v>971</v>
      </c>
    </row>
    <row r="15045">
      <c r="A15045" s="76" t="s">
        <v>970</v>
      </c>
      <c r="B15045" s="76" t="s">
        <v>1039</v>
      </c>
      <c r="C15045" s="84">
        <v>0.29</v>
      </c>
      <c r="D15045" s="84">
        <v>0.0</v>
      </c>
      <c r="E15045" s="84">
        <v>0.0</v>
      </c>
      <c r="F15045" s="76" t="s">
        <v>996</v>
      </c>
      <c r="G15045" s="83">
        <v>46125.0</v>
      </c>
      <c r="H15045" s="76" t="s">
        <v>972</v>
      </c>
    </row>
    <row r="15046">
      <c r="A15046" s="76" t="s">
        <v>970</v>
      </c>
      <c r="B15046" s="76" t="s">
        <v>1039</v>
      </c>
      <c r="C15046" s="84">
        <v>2.24</v>
      </c>
      <c r="D15046" s="84">
        <v>0.0</v>
      </c>
      <c r="E15046" s="84">
        <v>0.0</v>
      </c>
      <c r="F15046" s="76" t="s">
        <v>996</v>
      </c>
      <c r="G15046" s="83">
        <v>46125.0</v>
      </c>
      <c r="H15046" s="76" t="s">
        <v>973</v>
      </c>
    </row>
    <row r="15047">
      <c r="A15047" s="76" t="s">
        <v>29</v>
      </c>
      <c r="B15047" s="76" t="s">
        <v>1039</v>
      </c>
      <c r="C15047" s="84">
        <v>1.53</v>
      </c>
      <c r="D15047" s="84">
        <v>0.0</v>
      </c>
      <c r="E15047" s="84">
        <v>0.0</v>
      </c>
      <c r="F15047" s="76" t="s">
        <v>996</v>
      </c>
      <c r="G15047" s="83">
        <v>46125.0</v>
      </c>
      <c r="H15047" s="76" t="s">
        <v>971</v>
      </c>
    </row>
    <row r="15048">
      <c r="A15048" s="76" t="s">
        <v>29</v>
      </c>
      <c r="B15048" s="76" t="s">
        <v>1039</v>
      </c>
      <c r="C15048" s="84">
        <v>0.2</v>
      </c>
      <c r="D15048" s="84">
        <v>0.0</v>
      </c>
      <c r="E15048" s="84">
        <v>0.0</v>
      </c>
      <c r="F15048" s="76" t="s">
        <v>996</v>
      </c>
      <c r="G15048" s="83">
        <v>46125.0</v>
      </c>
      <c r="H15048" s="76" t="s">
        <v>972</v>
      </c>
    </row>
    <row r="15049">
      <c r="A15049" s="76" t="s">
        <v>29</v>
      </c>
      <c r="B15049" s="76" t="s">
        <v>1039</v>
      </c>
      <c r="C15049" s="84">
        <v>2.6</v>
      </c>
      <c r="D15049" s="84">
        <v>0.0</v>
      </c>
      <c r="E15049" s="84">
        <v>0.0</v>
      </c>
      <c r="F15049" s="76" t="s">
        <v>996</v>
      </c>
      <c r="G15049" s="83">
        <v>46125.0</v>
      </c>
      <c r="H15049" s="76" t="s">
        <v>973</v>
      </c>
    </row>
    <row r="15050">
      <c r="A15050" s="76" t="s">
        <v>43</v>
      </c>
      <c r="B15050" s="76" t="s">
        <v>1039</v>
      </c>
      <c r="C15050" s="84">
        <v>0.34</v>
      </c>
      <c r="D15050" s="84">
        <v>0.0</v>
      </c>
      <c r="E15050" s="84">
        <v>0.0</v>
      </c>
      <c r="F15050" s="76" t="s">
        <v>996</v>
      </c>
      <c r="G15050" s="83">
        <v>46125.0</v>
      </c>
      <c r="H15050" s="76" t="s">
        <v>963</v>
      </c>
    </row>
    <row r="15051">
      <c r="A15051" s="76" t="s">
        <v>43</v>
      </c>
      <c r="B15051" s="76" t="s">
        <v>1039</v>
      </c>
      <c r="C15051" s="84">
        <v>0.26</v>
      </c>
      <c r="D15051" s="84">
        <v>0.0</v>
      </c>
      <c r="E15051" s="84">
        <v>0.0</v>
      </c>
      <c r="F15051" s="76" t="s">
        <v>996</v>
      </c>
      <c r="G15051" s="83">
        <v>46125.0</v>
      </c>
      <c r="H15051" s="76" t="s">
        <v>964</v>
      </c>
    </row>
    <row r="15052">
      <c r="A15052" s="76" t="s">
        <v>43</v>
      </c>
      <c r="B15052" s="76" t="s">
        <v>1039</v>
      </c>
      <c r="C15052" s="84">
        <v>0.42</v>
      </c>
      <c r="D15052" s="84">
        <v>0.0</v>
      </c>
      <c r="E15052" s="84">
        <v>0.0</v>
      </c>
      <c r="F15052" s="76" t="s">
        <v>996</v>
      </c>
      <c r="G15052" s="83">
        <v>46125.0</v>
      </c>
      <c r="H15052" s="76" t="s">
        <v>965</v>
      </c>
    </row>
    <row r="15053">
      <c r="A15053" s="76" t="s">
        <v>46</v>
      </c>
      <c r="B15053" s="76" t="s">
        <v>1039</v>
      </c>
      <c r="C15053" s="84">
        <v>0.11</v>
      </c>
      <c r="D15053" s="84">
        <v>0.0</v>
      </c>
      <c r="E15053" s="84">
        <v>0.0</v>
      </c>
      <c r="F15053" s="76" t="s">
        <v>996</v>
      </c>
      <c r="G15053" s="83">
        <v>46125.0</v>
      </c>
      <c r="H15053" s="76" t="s">
        <v>960</v>
      </c>
    </row>
    <row r="15054">
      <c r="A15054" s="76" t="s">
        <v>46</v>
      </c>
      <c r="B15054" s="76" t="s">
        <v>1039</v>
      </c>
      <c r="C15054" s="84">
        <v>0.77</v>
      </c>
      <c r="D15054" s="84">
        <v>1.0</v>
      </c>
      <c r="E15054" s="84">
        <v>0.77</v>
      </c>
      <c r="F15054" s="76" t="s">
        <v>996</v>
      </c>
      <c r="G15054" s="83">
        <v>46125.0</v>
      </c>
      <c r="H15054" s="76" t="s">
        <v>961</v>
      </c>
    </row>
    <row r="15055">
      <c r="A15055" s="76" t="s">
        <v>46</v>
      </c>
      <c r="B15055" s="76" t="s">
        <v>1039</v>
      </c>
      <c r="C15055" s="84">
        <v>0.77</v>
      </c>
      <c r="D15055" s="84">
        <v>0.0</v>
      </c>
      <c r="E15055" s="84">
        <v>0.0</v>
      </c>
      <c r="F15055" s="76" t="s">
        <v>996</v>
      </c>
      <c r="G15055" s="83">
        <v>46125.0</v>
      </c>
      <c r="H15055" s="76" t="s">
        <v>962</v>
      </c>
    </row>
    <row r="15056">
      <c r="A15056" s="76" t="s">
        <v>966</v>
      </c>
      <c r="B15056" s="76" t="s">
        <v>1039</v>
      </c>
      <c r="C15056" s="84">
        <v>1.98</v>
      </c>
      <c r="D15056" s="84">
        <v>0.0</v>
      </c>
      <c r="E15056" s="84">
        <v>0.0</v>
      </c>
      <c r="F15056" s="76" t="s">
        <v>996</v>
      </c>
      <c r="G15056" s="83">
        <v>46125.0</v>
      </c>
      <c r="H15056" s="76" t="s">
        <v>967</v>
      </c>
    </row>
    <row r="15057">
      <c r="A15057" s="76" t="s">
        <v>966</v>
      </c>
      <c r="B15057" s="76" t="s">
        <v>1039</v>
      </c>
      <c r="C15057" s="84">
        <v>0.38</v>
      </c>
      <c r="D15057" s="84">
        <v>0.0</v>
      </c>
      <c r="E15057" s="84">
        <v>0.0</v>
      </c>
      <c r="F15057" s="76" t="s">
        <v>996</v>
      </c>
      <c r="G15057" s="83">
        <v>46125.0</v>
      </c>
      <c r="H15057" s="76" t="s">
        <v>968</v>
      </c>
    </row>
    <row r="15058">
      <c r="A15058" s="76" t="s">
        <v>966</v>
      </c>
      <c r="B15058" s="76" t="s">
        <v>1039</v>
      </c>
      <c r="C15058" s="84">
        <v>1.38</v>
      </c>
      <c r="D15058" s="84">
        <v>0.0</v>
      </c>
      <c r="E15058" s="84">
        <v>0.0</v>
      </c>
      <c r="F15058" s="76" t="s">
        <v>996</v>
      </c>
      <c r="G15058" s="83">
        <v>46125.0</v>
      </c>
      <c r="H15058" s="76" t="s">
        <v>969</v>
      </c>
    </row>
    <row r="15059">
      <c r="A15059" s="76" t="s">
        <v>33</v>
      </c>
      <c r="B15059" s="76" t="s">
        <v>1039</v>
      </c>
      <c r="C15059" s="84">
        <v>27.14</v>
      </c>
      <c r="D15059" s="84">
        <v>5.0</v>
      </c>
      <c r="E15059" s="84">
        <v>5.43</v>
      </c>
      <c r="F15059" s="76" t="s">
        <v>996</v>
      </c>
      <c r="G15059" s="83">
        <v>46125.0</v>
      </c>
      <c r="H15059" s="76" t="s">
        <v>957</v>
      </c>
    </row>
    <row r="15060">
      <c r="A15060" s="76" t="s">
        <v>33</v>
      </c>
      <c r="B15060" s="76" t="s">
        <v>1039</v>
      </c>
      <c r="C15060" s="84">
        <v>0.7</v>
      </c>
      <c r="D15060" s="84">
        <v>0.0</v>
      </c>
      <c r="E15060" s="84">
        <v>0.0</v>
      </c>
      <c r="F15060" s="76" t="s">
        <v>996</v>
      </c>
      <c r="G15060" s="83">
        <v>46125.0</v>
      </c>
      <c r="H15060" s="76" t="s">
        <v>958</v>
      </c>
    </row>
    <row r="15061">
      <c r="A15061" s="76" t="s">
        <v>33</v>
      </c>
      <c r="B15061" s="76" t="s">
        <v>1039</v>
      </c>
      <c r="C15061" s="84">
        <v>7.32</v>
      </c>
      <c r="D15061" s="84">
        <v>1.0</v>
      </c>
      <c r="E15061" s="84">
        <v>7.32</v>
      </c>
      <c r="F15061" s="76" t="s">
        <v>996</v>
      </c>
      <c r="G15061" s="83">
        <v>46125.0</v>
      </c>
      <c r="H15061" s="76" t="s">
        <v>959</v>
      </c>
    </row>
    <row r="15062">
      <c r="A15062" s="76" t="s">
        <v>34</v>
      </c>
      <c r="B15062" s="76" t="s">
        <v>1039</v>
      </c>
      <c r="C15062" s="84">
        <v>0.88</v>
      </c>
      <c r="D15062" s="84">
        <v>0.0</v>
      </c>
      <c r="E15062" s="84">
        <v>0.0</v>
      </c>
      <c r="F15062" s="76" t="s">
        <v>996</v>
      </c>
      <c r="G15062" s="83">
        <v>46125.0</v>
      </c>
      <c r="H15062" s="76" t="s">
        <v>951</v>
      </c>
    </row>
    <row r="15063">
      <c r="A15063" s="76" t="s">
        <v>34</v>
      </c>
      <c r="B15063" s="76" t="s">
        <v>1039</v>
      </c>
      <c r="C15063" s="84">
        <v>1.45</v>
      </c>
      <c r="D15063" s="84">
        <v>0.0</v>
      </c>
      <c r="E15063" s="84">
        <v>0.0</v>
      </c>
      <c r="F15063" s="76" t="s">
        <v>996</v>
      </c>
      <c r="G15063" s="83">
        <v>46125.0</v>
      </c>
      <c r="H15063" s="76" t="s">
        <v>952</v>
      </c>
    </row>
    <row r="15064">
      <c r="A15064" s="76" t="s">
        <v>34</v>
      </c>
      <c r="B15064" s="76" t="s">
        <v>1039</v>
      </c>
      <c r="C15064" s="84">
        <v>0.13</v>
      </c>
      <c r="D15064" s="84">
        <v>0.0</v>
      </c>
      <c r="E15064" s="84">
        <v>0.0</v>
      </c>
      <c r="F15064" s="76" t="s">
        <v>996</v>
      </c>
      <c r="G15064" s="83">
        <v>46125.0</v>
      </c>
      <c r="H15064" s="76" t="s">
        <v>953</v>
      </c>
    </row>
    <row r="15065">
      <c r="A15065" s="76" t="s">
        <v>36</v>
      </c>
      <c r="B15065" s="76" t="s">
        <v>1039</v>
      </c>
      <c r="C15065" s="84">
        <v>2.44</v>
      </c>
      <c r="D15065" s="84">
        <v>2.0</v>
      </c>
      <c r="E15065" s="84">
        <v>1.22</v>
      </c>
      <c r="F15065" s="76" t="s">
        <v>996</v>
      </c>
      <c r="G15065" s="83">
        <v>46125.0</v>
      </c>
      <c r="H15065" s="76" t="s">
        <v>926</v>
      </c>
    </row>
    <row r="15066">
      <c r="A15066" s="76" t="s">
        <v>36</v>
      </c>
      <c r="B15066" s="76" t="s">
        <v>1039</v>
      </c>
      <c r="C15066" s="84">
        <v>0.33</v>
      </c>
      <c r="D15066" s="84">
        <v>0.0</v>
      </c>
      <c r="E15066" s="84">
        <v>0.0</v>
      </c>
      <c r="F15066" s="76" t="s">
        <v>996</v>
      </c>
      <c r="G15066" s="83">
        <v>46125.0</v>
      </c>
      <c r="H15066" s="76" t="s">
        <v>927</v>
      </c>
    </row>
    <row r="15067">
      <c r="A15067" s="76" t="s">
        <v>36</v>
      </c>
      <c r="B15067" s="76" t="s">
        <v>1039</v>
      </c>
      <c r="C15067" s="84">
        <v>3.56</v>
      </c>
      <c r="D15067" s="84">
        <v>1.0</v>
      </c>
      <c r="E15067" s="84">
        <v>3.56</v>
      </c>
      <c r="F15067" s="76" t="s">
        <v>996</v>
      </c>
      <c r="G15067" s="83">
        <v>46125.0</v>
      </c>
      <c r="H15067" s="76" t="s">
        <v>928</v>
      </c>
    </row>
    <row r="15068">
      <c r="A15068" s="76" t="s">
        <v>40</v>
      </c>
      <c r="B15068" s="76" t="s">
        <v>1039</v>
      </c>
      <c r="C15068" s="84">
        <v>1.1</v>
      </c>
      <c r="D15068" s="84">
        <v>1.0</v>
      </c>
      <c r="E15068" s="84">
        <v>1.1</v>
      </c>
      <c r="F15068" s="76" t="s">
        <v>996</v>
      </c>
      <c r="G15068" s="83">
        <v>46125.0</v>
      </c>
      <c r="H15068" s="76" t="s">
        <v>954</v>
      </c>
    </row>
    <row r="15069">
      <c r="A15069" s="76" t="s">
        <v>40</v>
      </c>
      <c r="B15069" s="76" t="s">
        <v>1039</v>
      </c>
      <c r="C15069" s="84">
        <v>0.8</v>
      </c>
      <c r="D15069" s="84">
        <v>0.0</v>
      </c>
      <c r="E15069" s="84">
        <v>0.0</v>
      </c>
      <c r="F15069" s="76" t="s">
        <v>996</v>
      </c>
      <c r="G15069" s="83">
        <v>46125.0</v>
      </c>
      <c r="H15069" s="76" t="s">
        <v>955</v>
      </c>
    </row>
    <row r="15070">
      <c r="A15070" s="76" t="s">
        <v>40</v>
      </c>
      <c r="B15070" s="76" t="s">
        <v>1039</v>
      </c>
      <c r="C15070" s="84">
        <v>6.99</v>
      </c>
      <c r="D15070" s="84">
        <v>1.0</v>
      </c>
      <c r="E15070" s="84">
        <v>6.99</v>
      </c>
      <c r="F15070" s="76" t="s">
        <v>996</v>
      </c>
      <c r="G15070" s="83">
        <v>46125.0</v>
      </c>
      <c r="H15070" s="76" t="s">
        <v>956</v>
      </c>
    </row>
    <row r="15071">
      <c r="A15071" s="76" t="s">
        <v>36</v>
      </c>
      <c r="B15071" s="76" t="s">
        <v>1039</v>
      </c>
      <c r="C15071" s="84">
        <v>3.55</v>
      </c>
      <c r="D15071" s="84">
        <v>1.0</v>
      </c>
      <c r="E15071" s="84">
        <v>3.55</v>
      </c>
      <c r="F15071" s="76" t="s">
        <v>998</v>
      </c>
      <c r="G15071" s="83">
        <v>46125.0</v>
      </c>
      <c r="H15071" s="76" t="s">
        <v>926</v>
      </c>
    </row>
    <row r="15072">
      <c r="A15072" s="76" t="s">
        <v>36</v>
      </c>
      <c r="B15072" s="76" t="s">
        <v>1039</v>
      </c>
      <c r="C15072" s="84">
        <v>0.98</v>
      </c>
      <c r="D15072" s="84">
        <v>0.0</v>
      </c>
      <c r="E15072" s="84">
        <v>0.0</v>
      </c>
      <c r="F15072" s="76" t="s">
        <v>998</v>
      </c>
      <c r="G15072" s="83">
        <v>46125.0</v>
      </c>
      <c r="H15072" s="76" t="s">
        <v>927</v>
      </c>
    </row>
    <row r="15073">
      <c r="A15073" s="76" t="s">
        <v>36</v>
      </c>
      <c r="B15073" s="76" t="s">
        <v>1039</v>
      </c>
      <c r="C15073" s="84">
        <v>3.13</v>
      </c>
      <c r="D15073" s="84">
        <v>1.0</v>
      </c>
      <c r="E15073" s="84">
        <v>3.13</v>
      </c>
      <c r="F15073" s="76" t="s">
        <v>998</v>
      </c>
      <c r="G15073" s="83">
        <v>46125.0</v>
      </c>
      <c r="H15073" s="76" t="s">
        <v>928</v>
      </c>
    </row>
    <row r="15074">
      <c r="A15074" s="76" t="s">
        <v>34</v>
      </c>
      <c r="B15074" s="76" t="s">
        <v>1039</v>
      </c>
      <c r="C15074" s="84">
        <v>1.09</v>
      </c>
      <c r="D15074" s="84">
        <v>0.0</v>
      </c>
      <c r="E15074" s="84">
        <v>0.0</v>
      </c>
      <c r="F15074" s="76" t="s">
        <v>998</v>
      </c>
      <c r="G15074" s="83">
        <v>46125.0</v>
      </c>
      <c r="H15074" s="76" t="s">
        <v>951</v>
      </c>
    </row>
    <row r="15075">
      <c r="A15075" s="76" t="s">
        <v>34</v>
      </c>
      <c r="B15075" s="76" t="s">
        <v>1039</v>
      </c>
      <c r="C15075" s="84">
        <v>2.02</v>
      </c>
      <c r="D15075" s="84">
        <v>0.0</v>
      </c>
      <c r="E15075" s="84">
        <v>0.0</v>
      </c>
      <c r="F15075" s="76" t="s">
        <v>998</v>
      </c>
      <c r="G15075" s="83">
        <v>46125.0</v>
      </c>
      <c r="H15075" s="76" t="s">
        <v>952</v>
      </c>
    </row>
    <row r="15076">
      <c r="A15076" s="76" t="s">
        <v>34</v>
      </c>
      <c r="B15076" s="76" t="s">
        <v>1039</v>
      </c>
      <c r="C15076" s="84">
        <v>0.46</v>
      </c>
      <c r="D15076" s="84">
        <v>0.0</v>
      </c>
      <c r="E15076" s="84">
        <v>0.0</v>
      </c>
      <c r="F15076" s="76" t="s">
        <v>998</v>
      </c>
      <c r="G15076" s="83">
        <v>46125.0</v>
      </c>
      <c r="H15076" s="76" t="s">
        <v>953</v>
      </c>
    </row>
    <row r="15077">
      <c r="A15077" s="76" t="s">
        <v>33</v>
      </c>
      <c r="B15077" s="76" t="s">
        <v>1039</v>
      </c>
      <c r="C15077" s="84">
        <v>15.62</v>
      </c>
      <c r="D15077" s="84">
        <v>5.0</v>
      </c>
      <c r="E15077" s="84">
        <v>3.12</v>
      </c>
      <c r="F15077" s="76" t="s">
        <v>998</v>
      </c>
      <c r="G15077" s="83">
        <v>46125.0</v>
      </c>
      <c r="H15077" s="76" t="s">
        <v>957</v>
      </c>
    </row>
    <row r="15078">
      <c r="A15078" s="76" t="s">
        <v>33</v>
      </c>
      <c r="B15078" s="76" t="s">
        <v>1039</v>
      </c>
      <c r="C15078" s="84">
        <v>1.57</v>
      </c>
      <c r="D15078" s="84">
        <v>0.0</v>
      </c>
      <c r="E15078" s="84">
        <v>0.0</v>
      </c>
      <c r="F15078" s="76" t="s">
        <v>998</v>
      </c>
      <c r="G15078" s="83">
        <v>46125.0</v>
      </c>
      <c r="H15078" s="76" t="s">
        <v>958</v>
      </c>
    </row>
    <row r="15079">
      <c r="A15079" s="76" t="s">
        <v>33</v>
      </c>
      <c r="B15079" s="76" t="s">
        <v>1039</v>
      </c>
      <c r="C15079" s="84">
        <v>3.89</v>
      </c>
      <c r="D15079" s="84">
        <v>0.0</v>
      </c>
      <c r="E15079" s="84">
        <v>0.0</v>
      </c>
      <c r="F15079" s="76" t="s">
        <v>998</v>
      </c>
      <c r="G15079" s="83">
        <v>46125.0</v>
      </c>
      <c r="H15079" s="76" t="s">
        <v>959</v>
      </c>
    </row>
    <row r="15080">
      <c r="A15080" s="76" t="s">
        <v>29</v>
      </c>
      <c r="B15080" s="76" t="s">
        <v>1039</v>
      </c>
      <c r="C15080" s="84">
        <v>1.54</v>
      </c>
      <c r="D15080" s="84">
        <v>0.0</v>
      </c>
      <c r="E15080" s="84">
        <v>0.0</v>
      </c>
      <c r="F15080" s="76" t="s">
        <v>998</v>
      </c>
      <c r="G15080" s="83">
        <v>46125.0</v>
      </c>
      <c r="H15080" s="76" t="s">
        <v>971</v>
      </c>
    </row>
    <row r="15081">
      <c r="A15081" s="76" t="s">
        <v>29</v>
      </c>
      <c r="B15081" s="76" t="s">
        <v>1039</v>
      </c>
      <c r="C15081" s="84">
        <v>0.53</v>
      </c>
      <c r="D15081" s="84">
        <v>0.0</v>
      </c>
      <c r="E15081" s="84">
        <v>0.0</v>
      </c>
      <c r="F15081" s="76" t="s">
        <v>998</v>
      </c>
      <c r="G15081" s="83">
        <v>46125.0</v>
      </c>
      <c r="H15081" s="76" t="s">
        <v>972</v>
      </c>
    </row>
    <row r="15082">
      <c r="A15082" s="76" t="s">
        <v>29</v>
      </c>
      <c r="B15082" s="76" t="s">
        <v>1039</v>
      </c>
      <c r="C15082" s="84">
        <v>5.18</v>
      </c>
      <c r="D15082" s="84">
        <v>0.0</v>
      </c>
      <c r="E15082" s="84">
        <v>0.0</v>
      </c>
      <c r="F15082" s="76" t="s">
        <v>998</v>
      </c>
      <c r="G15082" s="83">
        <v>46125.0</v>
      </c>
      <c r="H15082" s="76" t="s">
        <v>973</v>
      </c>
    </row>
    <row r="15083">
      <c r="A15083" s="76" t="s">
        <v>46</v>
      </c>
      <c r="B15083" s="76" t="s">
        <v>1039</v>
      </c>
      <c r="C15083" s="84">
        <v>0.56</v>
      </c>
      <c r="D15083" s="84">
        <v>0.0</v>
      </c>
      <c r="E15083" s="84">
        <v>0.0</v>
      </c>
      <c r="F15083" s="76" t="s">
        <v>998</v>
      </c>
      <c r="G15083" s="83">
        <v>46125.0</v>
      </c>
      <c r="H15083" s="76" t="s">
        <v>960</v>
      </c>
    </row>
    <row r="15084">
      <c r="A15084" s="76" t="s">
        <v>46</v>
      </c>
      <c r="B15084" s="76" t="s">
        <v>1039</v>
      </c>
      <c r="C15084" s="84">
        <v>1.45</v>
      </c>
      <c r="D15084" s="84">
        <v>0.0</v>
      </c>
      <c r="E15084" s="84">
        <v>0.0</v>
      </c>
      <c r="F15084" s="76" t="s">
        <v>998</v>
      </c>
      <c r="G15084" s="83">
        <v>46125.0</v>
      </c>
      <c r="H15084" s="76" t="s">
        <v>961</v>
      </c>
    </row>
    <row r="15085">
      <c r="A15085" s="76" t="s">
        <v>46</v>
      </c>
      <c r="B15085" s="76" t="s">
        <v>1039</v>
      </c>
      <c r="C15085" s="84">
        <v>1.65</v>
      </c>
      <c r="D15085" s="84">
        <v>0.0</v>
      </c>
      <c r="E15085" s="84">
        <v>0.0</v>
      </c>
      <c r="F15085" s="76" t="s">
        <v>998</v>
      </c>
      <c r="G15085" s="83">
        <v>46125.0</v>
      </c>
      <c r="H15085" s="76" t="s">
        <v>962</v>
      </c>
    </row>
    <row r="15086">
      <c r="A15086" s="76" t="s">
        <v>40</v>
      </c>
      <c r="B15086" s="76" t="s">
        <v>1039</v>
      </c>
      <c r="C15086" s="84">
        <v>1.96</v>
      </c>
      <c r="D15086" s="84">
        <v>0.0</v>
      </c>
      <c r="E15086" s="84">
        <v>0.0</v>
      </c>
      <c r="F15086" s="76" t="s">
        <v>998</v>
      </c>
      <c r="G15086" s="83">
        <v>46125.0</v>
      </c>
      <c r="H15086" s="76" t="s">
        <v>954</v>
      </c>
    </row>
    <row r="15087">
      <c r="A15087" s="76" t="s">
        <v>40</v>
      </c>
      <c r="B15087" s="76" t="s">
        <v>1039</v>
      </c>
      <c r="C15087" s="84">
        <v>0.82</v>
      </c>
      <c r="D15087" s="84">
        <v>0.0</v>
      </c>
      <c r="E15087" s="84">
        <v>0.0</v>
      </c>
      <c r="F15087" s="76" t="s">
        <v>998</v>
      </c>
      <c r="G15087" s="83">
        <v>46125.0</v>
      </c>
      <c r="H15087" s="76" t="s">
        <v>955</v>
      </c>
    </row>
    <row r="15088">
      <c r="A15088" s="76" t="s">
        <v>40</v>
      </c>
      <c r="B15088" s="76" t="s">
        <v>1039</v>
      </c>
      <c r="C15088" s="84">
        <v>6.41</v>
      </c>
      <c r="D15088" s="84">
        <v>0.0</v>
      </c>
      <c r="E15088" s="84">
        <v>0.0</v>
      </c>
      <c r="F15088" s="76" t="s">
        <v>998</v>
      </c>
      <c r="G15088" s="83">
        <v>46125.0</v>
      </c>
      <c r="H15088" s="76" t="s">
        <v>956</v>
      </c>
    </row>
    <row r="15089">
      <c r="A15089" s="76" t="s">
        <v>966</v>
      </c>
      <c r="B15089" s="76" t="s">
        <v>1039</v>
      </c>
      <c r="C15089" s="84">
        <v>2.88</v>
      </c>
      <c r="D15089" s="84">
        <v>1.0</v>
      </c>
      <c r="E15089" s="84">
        <v>2.88</v>
      </c>
      <c r="F15089" s="76" t="s">
        <v>998</v>
      </c>
      <c r="G15089" s="83">
        <v>46125.0</v>
      </c>
      <c r="H15089" s="76" t="s">
        <v>967</v>
      </c>
    </row>
    <row r="15090">
      <c r="A15090" s="76" t="s">
        <v>966</v>
      </c>
      <c r="B15090" s="76" t="s">
        <v>1039</v>
      </c>
      <c r="C15090" s="84">
        <v>0.53</v>
      </c>
      <c r="D15090" s="84">
        <v>0.0</v>
      </c>
      <c r="E15090" s="84">
        <v>0.0</v>
      </c>
      <c r="F15090" s="76" t="s">
        <v>998</v>
      </c>
      <c r="G15090" s="83">
        <v>46125.0</v>
      </c>
      <c r="H15090" s="76" t="s">
        <v>968</v>
      </c>
    </row>
    <row r="15091">
      <c r="A15091" s="76" t="s">
        <v>966</v>
      </c>
      <c r="B15091" s="76" t="s">
        <v>1039</v>
      </c>
      <c r="C15091" s="84">
        <v>2.44</v>
      </c>
      <c r="D15091" s="84">
        <v>1.0</v>
      </c>
      <c r="E15091" s="84">
        <v>2.44</v>
      </c>
      <c r="F15091" s="76" t="s">
        <v>998</v>
      </c>
      <c r="G15091" s="83">
        <v>46125.0</v>
      </c>
      <c r="H15091" s="76" t="s">
        <v>969</v>
      </c>
    </row>
    <row r="15092">
      <c r="A15092" s="76" t="s">
        <v>43</v>
      </c>
      <c r="B15092" s="76" t="s">
        <v>1039</v>
      </c>
      <c r="C15092" s="84">
        <v>0.7</v>
      </c>
      <c r="D15092" s="84">
        <v>0.0</v>
      </c>
      <c r="E15092" s="84">
        <v>0.0</v>
      </c>
      <c r="F15092" s="76" t="s">
        <v>998</v>
      </c>
      <c r="G15092" s="83">
        <v>46125.0</v>
      </c>
      <c r="H15092" s="76" t="s">
        <v>963</v>
      </c>
    </row>
    <row r="15093">
      <c r="A15093" s="76" t="s">
        <v>43</v>
      </c>
      <c r="B15093" s="76" t="s">
        <v>1039</v>
      </c>
      <c r="C15093" s="84">
        <v>0.86</v>
      </c>
      <c r="D15093" s="84">
        <v>0.0</v>
      </c>
      <c r="E15093" s="84">
        <v>0.0</v>
      </c>
      <c r="F15093" s="76" t="s">
        <v>998</v>
      </c>
      <c r="G15093" s="83">
        <v>46125.0</v>
      </c>
      <c r="H15093" s="76" t="s">
        <v>964</v>
      </c>
    </row>
    <row r="15094">
      <c r="A15094" s="76" t="s">
        <v>43</v>
      </c>
      <c r="B15094" s="76" t="s">
        <v>1039</v>
      </c>
      <c r="C15094" s="84">
        <v>1.07</v>
      </c>
      <c r="D15094" s="84">
        <v>0.0</v>
      </c>
      <c r="E15094" s="84">
        <v>0.0</v>
      </c>
      <c r="F15094" s="76" t="s">
        <v>998</v>
      </c>
      <c r="G15094" s="83">
        <v>46125.0</v>
      </c>
      <c r="H15094" s="76" t="s">
        <v>965</v>
      </c>
    </row>
    <row r="15095">
      <c r="A15095" s="76" t="s">
        <v>970</v>
      </c>
      <c r="B15095" s="76" t="s">
        <v>1039</v>
      </c>
      <c r="C15095" s="84">
        <v>2.06</v>
      </c>
      <c r="D15095" s="84">
        <v>0.0</v>
      </c>
      <c r="E15095" s="84">
        <v>0.0</v>
      </c>
      <c r="F15095" s="76" t="s">
        <v>998</v>
      </c>
      <c r="G15095" s="83">
        <v>46125.0</v>
      </c>
      <c r="H15095" s="76" t="s">
        <v>971</v>
      </c>
    </row>
    <row r="15096">
      <c r="A15096" s="76" t="s">
        <v>970</v>
      </c>
      <c r="B15096" s="76" t="s">
        <v>1039</v>
      </c>
      <c r="C15096" s="84">
        <v>0.44</v>
      </c>
      <c r="D15096" s="84">
        <v>0.0</v>
      </c>
      <c r="E15096" s="84">
        <v>0.0</v>
      </c>
      <c r="F15096" s="76" t="s">
        <v>998</v>
      </c>
      <c r="G15096" s="83">
        <v>46125.0</v>
      </c>
      <c r="H15096" s="76" t="s">
        <v>972</v>
      </c>
    </row>
    <row r="15097">
      <c r="A15097" s="76" t="s">
        <v>970</v>
      </c>
      <c r="B15097" s="76" t="s">
        <v>1039</v>
      </c>
      <c r="C15097" s="84">
        <v>5.9</v>
      </c>
      <c r="D15097" s="84">
        <v>3.0</v>
      </c>
      <c r="E15097" s="84">
        <v>1.97</v>
      </c>
      <c r="F15097" s="76" t="s">
        <v>998</v>
      </c>
      <c r="G15097" s="83">
        <v>46125.0</v>
      </c>
      <c r="H15097" s="76" t="s">
        <v>973</v>
      </c>
    </row>
    <row r="15098">
      <c r="A15098" s="76" t="s">
        <v>40</v>
      </c>
      <c r="B15098" s="76" t="s">
        <v>1041</v>
      </c>
      <c r="C15098" s="84">
        <v>5.69</v>
      </c>
      <c r="D15098" s="84">
        <v>0.0</v>
      </c>
      <c r="E15098" s="84">
        <v>0.0</v>
      </c>
      <c r="F15098" s="76" t="s">
        <v>1005</v>
      </c>
      <c r="G15098" s="83">
        <v>46125.0</v>
      </c>
      <c r="H15098" s="76" t="s">
        <v>954</v>
      </c>
    </row>
    <row r="15099">
      <c r="A15099" s="76" t="s">
        <v>40</v>
      </c>
      <c r="B15099" s="76" t="s">
        <v>1041</v>
      </c>
      <c r="C15099" s="84">
        <v>2.26</v>
      </c>
      <c r="D15099" s="84">
        <v>0.0</v>
      </c>
      <c r="E15099" s="84">
        <v>0.0</v>
      </c>
      <c r="F15099" s="76" t="s">
        <v>1005</v>
      </c>
      <c r="G15099" s="83">
        <v>46125.0</v>
      </c>
      <c r="H15099" s="76" t="s">
        <v>955</v>
      </c>
    </row>
    <row r="15100">
      <c r="A15100" s="76" t="s">
        <v>40</v>
      </c>
      <c r="B15100" s="76" t="s">
        <v>1041</v>
      </c>
      <c r="C15100" s="84">
        <v>17.64</v>
      </c>
      <c r="D15100" s="84">
        <v>5.0</v>
      </c>
      <c r="E15100" s="84">
        <v>3.53</v>
      </c>
      <c r="F15100" s="76" t="s">
        <v>1005</v>
      </c>
      <c r="G15100" s="83">
        <v>46125.0</v>
      </c>
      <c r="H15100" s="76" t="s">
        <v>956</v>
      </c>
    </row>
    <row r="15101">
      <c r="A15101" s="76" t="s">
        <v>36</v>
      </c>
      <c r="B15101" s="76" t="s">
        <v>1041</v>
      </c>
      <c r="C15101" s="84">
        <v>5.14</v>
      </c>
      <c r="D15101" s="84">
        <v>1.0</v>
      </c>
      <c r="E15101" s="84">
        <v>5.14</v>
      </c>
      <c r="F15101" s="76" t="s">
        <v>1005</v>
      </c>
      <c r="G15101" s="83">
        <v>46125.0</v>
      </c>
      <c r="H15101" s="76" t="s">
        <v>926</v>
      </c>
    </row>
    <row r="15102">
      <c r="A15102" s="76" t="s">
        <v>36</v>
      </c>
      <c r="B15102" s="76" t="s">
        <v>1041</v>
      </c>
      <c r="C15102" s="84">
        <v>2.71</v>
      </c>
      <c r="D15102" s="84">
        <v>0.0</v>
      </c>
      <c r="E15102" s="84">
        <v>0.0</v>
      </c>
      <c r="F15102" s="76" t="s">
        <v>1005</v>
      </c>
      <c r="G15102" s="83">
        <v>46125.0</v>
      </c>
      <c r="H15102" s="76" t="s">
        <v>927</v>
      </c>
    </row>
    <row r="15103">
      <c r="A15103" s="76" t="s">
        <v>36</v>
      </c>
      <c r="B15103" s="76" t="s">
        <v>1041</v>
      </c>
      <c r="C15103" s="84">
        <v>16.42</v>
      </c>
      <c r="D15103" s="84">
        <v>4.0</v>
      </c>
      <c r="E15103" s="84">
        <v>4.11</v>
      </c>
      <c r="F15103" s="76" t="s">
        <v>1005</v>
      </c>
      <c r="G15103" s="83">
        <v>46125.0</v>
      </c>
      <c r="H15103" s="76" t="s">
        <v>928</v>
      </c>
    </row>
    <row r="15104">
      <c r="A15104" s="76" t="s">
        <v>46</v>
      </c>
      <c r="B15104" s="76" t="s">
        <v>1041</v>
      </c>
      <c r="C15104" s="84">
        <v>1.55</v>
      </c>
      <c r="D15104" s="84">
        <v>1.0</v>
      </c>
      <c r="E15104" s="84">
        <v>1.55</v>
      </c>
      <c r="F15104" s="76" t="s">
        <v>1005</v>
      </c>
      <c r="G15104" s="83">
        <v>46125.0</v>
      </c>
      <c r="H15104" s="76" t="s">
        <v>960</v>
      </c>
    </row>
    <row r="15105">
      <c r="A15105" s="76" t="s">
        <v>46</v>
      </c>
      <c r="B15105" s="76" t="s">
        <v>1041</v>
      </c>
      <c r="C15105" s="84">
        <v>5.02</v>
      </c>
      <c r="D15105" s="84">
        <v>0.0</v>
      </c>
      <c r="E15105" s="84">
        <v>0.0</v>
      </c>
      <c r="F15105" s="76" t="s">
        <v>1005</v>
      </c>
      <c r="G15105" s="83">
        <v>46125.0</v>
      </c>
      <c r="H15105" s="76" t="s">
        <v>961</v>
      </c>
    </row>
    <row r="15106">
      <c r="A15106" s="76" t="s">
        <v>46</v>
      </c>
      <c r="B15106" s="76" t="s">
        <v>1041</v>
      </c>
      <c r="C15106" s="84">
        <v>5.63</v>
      </c>
      <c r="D15106" s="84">
        <v>0.0</v>
      </c>
      <c r="E15106" s="84">
        <v>0.0</v>
      </c>
      <c r="F15106" s="76" t="s">
        <v>1005</v>
      </c>
      <c r="G15106" s="83">
        <v>46125.0</v>
      </c>
      <c r="H15106" s="76" t="s">
        <v>962</v>
      </c>
    </row>
    <row r="15107">
      <c r="A15107" s="76" t="s">
        <v>970</v>
      </c>
      <c r="B15107" s="76" t="s">
        <v>1041</v>
      </c>
      <c r="C15107" s="84">
        <v>7.82</v>
      </c>
      <c r="D15107" s="84">
        <v>3.0</v>
      </c>
      <c r="E15107" s="84">
        <v>2.61</v>
      </c>
      <c r="F15107" s="76" t="s">
        <v>1005</v>
      </c>
      <c r="G15107" s="83">
        <v>46125.0</v>
      </c>
      <c r="H15107" s="76" t="s">
        <v>971</v>
      </c>
    </row>
    <row r="15108">
      <c r="A15108" s="76" t="s">
        <v>970</v>
      </c>
      <c r="B15108" s="76" t="s">
        <v>1041</v>
      </c>
      <c r="C15108" s="84">
        <v>1.65</v>
      </c>
      <c r="D15108" s="84">
        <v>0.0</v>
      </c>
      <c r="E15108" s="84">
        <v>0.0</v>
      </c>
      <c r="F15108" s="76" t="s">
        <v>1005</v>
      </c>
      <c r="G15108" s="83">
        <v>46125.0</v>
      </c>
      <c r="H15108" s="76" t="s">
        <v>972</v>
      </c>
    </row>
    <row r="15109">
      <c r="A15109" s="76" t="s">
        <v>970</v>
      </c>
      <c r="B15109" s="76" t="s">
        <v>1041</v>
      </c>
      <c r="C15109" s="84">
        <v>6.85</v>
      </c>
      <c r="D15109" s="84">
        <v>0.0</v>
      </c>
      <c r="E15109" s="84">
        <v>0.0</v>
      </c>
      <c r="F15109" s="76" t="s">
        <v>1005</v>
      </c>
      <c r="G15109" s="83">
        <v>46125.0</v>
      </c>
      <c r="H15109" s="76" t="s">
        <v>973</v>
      </c>
    </row>
    <row r="15110">
      <c r="A15110" s="76" t="s">
        <v>29</v>
      </c>
      <c r="B15110" s="76" t="s">
        <v>1041</v>
      </c>
      <c r="C15110" s="84">
        <v>9.65</v>
      </c>
      <c r="D15110" s="84">
        <v>0.0</v>
      </c>
      <c r="E15110" s="84">
        <v>0.0</v>
      </c>
      <c r="F15110" s="76" t="s">
        <v>1005</v>
      </c>
      <c r="G15110" s="83">
        <v>46125.0</v>
      </c>
      <c r="H15110" s="76" t="s">
        <v>1015</v>
      </c>
    </row>
    <row r="15111">
      <c r="A15111" s="76" t="s">
        <v>29</v>
      </c>
      <c r="B15111" s="76" t="s">
        <v>1041</v>
      </c>
      <c r="C15111" s="84">
        <v>3.91</v>
      </c>
      <c r="D15111" s="84">
        <v>2.0</v>
      </c>
      <c r="E15111" s="84">
        <v>1.96</v>
      </c>
      <c r="F15111" s="76" t="s">
        <v>1005</v>
      </c>
      <c r="G15111" s="83">
        <v>46125.0</v>
      </c>
      <c r="H15111" s="76" t="s">
        <v>1016</v>
      </c>
    </row>
    <row r="15112">
      <c r="A15112" s="76" t="s">
        <v>29</v>
      </c>
      <c r="B15112" s="76" t="s">
        <v>1041</v>
      </c>
      <c r="C15112" s="84">
        <v>2.56</v>
      </c>
      <c r="D15112" s="84">
        <v>0.0</v>
      </c>
      <c r="E15112" s="84">
        <v>0.0</v>
      </c>
      <c r="F15112" s="76" t="s">
        <v>1005</v>
      </c>
      <c r="G15112" s="83">
        <v>46125.0</v>
      </c>
      <c r="H15112" s="76" t="s">
        <v>1017</v>
      </c>
    </row>
    <row r="15113">
      <c r="A15113" s="76" t="s">
        <v>34</v>
      </c>
      <c r="B15113" s="76" t="s">
        <v>1041</v>
      </c>
      <c r="C15113" s="84">
        <v>4.32</v>
      </c>
      <c r="D15113" s="84">
        <v>0.0</v>
      </c>
      <c r="E15113" s="84">
        <v>0.0</v>
      </c>
      <c r="F15113" s="76" t="s">
        <v>1005</v>
      </c>
      <c r="G15113" s="83">
        <v>46125.0</v>
      </c>
      <c r="H15113" s="76" t="s">
        <v>951</v>
      </c>
    </row>
    <row r="15114">
      <c r="A15114" s="76" t="s">
        <v>34</v>
      </c>
      <c r="B15114" s="76" t="s">
        <v>1041</v>
      </c>
      <c r="C15114" s="84">
        <v>7.58</v>
      </c>
      <c r="D15114" s="84">
        <v>1.0</v>
      </c>
      <c r="E15114" s="84">
        <v>7.58</v>
      </c>
      <c r="F15114" s="76" t="s">
        <v>1005</v>
      </c>
      <c r="G15114" s="83">
        <v>46125.0</v>
      </c>
      <c r="H15114" s="76" t="s">
        <v>952</v>
      </c>
    </row>
    <row r="15115">
      <c r="A15115" s="76" t="s">
        <v>34</v>
      </c>
      <c r="B15115" s="76" t="s">
        <v>1041</v>
      </c>
      <c r="C15115" s="84">
        <v>2.23</v>
      </c>
      <c r="D15115" s="84">
        <v>0.0</v>
      </c>
      <c r="E15115" s="84">
        <v>0.0</v>
      </c>
      <c r="F15115" s="76" t="s">
        <v>1005</v>
      </c>
      <c r="G15115" s="83">
        <v>46125.0</v>
      </c>
      <c r="H15115" s="76" t="s">
        <v>953</v>
      </c>
    </row>
    <row r="15116">
      <c r="A15116" s="76" t="s">
        <v>33</v>
      </c>
      <c r="B15116" s="76" t="s">
        <v>1041</v>
      </c>
      <c r="C15116" s="84">
        <v>147.88</v>
      </c>
      <c r="D15116" s="84">
        <v>42.0</v>
      </c>
      <c r="E15116" s="84">
        <v>3.52</v>
      </c>
      <c r="F15116" s="76" t="s">
        <v>1005</v>
      </c>
      <c r="G15116" s="83">
        <v>46125.0</v>
      </c>
      <c r="H15116" s="76" t="s">
        <v>957</v>
      </c>
    </row>
    <row r="15117">
      <c r="A15117" s="76" t="s">
        <v>33</v>
      </c>
      <c r="B15117" s="76" t="s">
        <v>1041</v>
      </c>
      <c r="C15117" s="84">
        <v>5.05</v>
      </c>
      <c r="D15117" s="84">
        <v>0.0</v>
      </c>
      <c r="E15117" s="84">
        <v>0.0</v>
      </c>
      <c r="F15117" s="76" t="s">
        <v>1005</v>
      </c>
      <c r="G15117" s="83">
        <v>46125.0</v>
      </c>
      <c r="H15117" s="76" t="s">
        <v>958</v>
      </c>
    </row>
    <row r="15118">
      <c r="A15118" s="76" t="s">
        <v>33</v>
      </c>
      <c r="B15118" s="76" t="s">
        <v>1041</v>
      </c>
      <c r="C15118" s="84">
        <v>49.48</v>
      </c>
      <c r="D15118" s="84">
        <v>11.0</v>
      </c>
      <c r="E15118" s="84">
        <v>4.5</v>
      </c>
      <c r="F15118" s="76" t="s">
        <v>1005</v>
      </c>
      <c r="G15118" s="83">
        <v>46125.0</v>
      </c>
      <c r="H15118" s="76" t="s">
        <v>959</v>
      </c>
    </row>
    <row r="15119">
      <c r="A15119" s="76" t="s">
        <v>43</v>
      </c>
      <c r="B15119" s="76" t="s">
        <v>1041</v>
      </c>
      <c r="C15119" s="84">
        <v>1.88</v>
      </c>
      <c r="D15119" s="84">
        <v>0.0</v>
      </c>
      <c r="E15119" s="84">
        <v>0.0</v>
      </c>
      <c r="F15119" s="76" t="s">
        <v>1005</v>
      </c>
      <c r="G15119" s="83">
        <v>46125.0</v>
      </c>
      <c r="H15119" s="76" t="s">
        <v>963</v>
      </c>
    </row>
    <row r="15120">
      <c r="A15120" s="76" t="s">
        <v>43</v>
      </c>
      <c r="B15120" s="76" t="s">
        <v>1041</v>
      </c>
      <c r="C15120" s="84">
        <v>4.87</v>
      </c>
      <c r="D15120" s="84">
        <v>0.0</v>
      </c>
      <c r="E15120" s="84">
        <v>0.0</v>
      </c>
      <c r="F15120" s="76" t="s">
        <v>1005</v>
      </c>
      <c r="G15120" s="83">
        <v>46125.0</v>
      </c>
      <c r="H15120" s="76" t="s">
        <v>964</v>
      </c>
    </row>
    <row r="15121">
      <c r="A15121" s="76" t="s">
        <v>43</v>
      </c>
      <c r="B15121" s="76" t="s">
        <v>1041</v>
      </c>
      <c r="C15121" s="84">
        <v>3.88</v>
      </c>
      <c r="D15121" s="84">
        <v>2.0</v>
      </c>
      <c r="E15121" s="84">
        <v>1.94</v>
      </c>
      <c r="F15121" s="76" t="s">
        <v>1005</v>
      </c>
      <c r="G15121" s="83">
        <v>46125.0</v>
      </c>
      <c r="H15121" s="76" t="s">
        <v>965</v>
      </c>
    </row>
    <row r="15122">
      <c r="A15122" s="76" t="s">
        <v>966</v>
      </c>
      <c r="B15122" s="76" t="s">
        <v>1041</v>
      </c>
      <c r="C15122" s="84">
        <v>3.56</v>
      </c>
      <c r="D15122" s="84">
        <v>0.0</v>
      </c>
      <c r="E15122" s="84">
        <v>0.0</v>
      </c>
      <c r="F15122" s="76" t="s">
        <v>1005</v>
      </c>
      <c r="G15122" s="83">
        <v>46125.0</v>
      </c>
      <c r="H15122" s="76" t="s">
        <v>967</v>
      </c>
    </row>
    <row r="15123">
      <c r="A15123" s="76" t="s">
        <v>966</v>
      </c>
      <c r="B15123" s="76" t="s">
        <v>1041</v>
      </c>
      <c r="C15123" s="84">
        <v>2.57</v>
      </c>
      <c r="D15123" s="84">
        <v>2.0</v>
      </c>
      <c r="E15123" s="84">
        <v>1.28</v>
      </c>
      <c r="F15123" s="76" t="s">
        <v>1005</v>
      </c>
      <c r="G15123" s="83">
        <v>46125.0</v>
      </c>
      <c r="H15123" s="76" t="s">
        <v>968</v>
      </c>
    </row>
    <row r="15124">
      <c r="A15124" s="76" t="s">
        <v>966</v>
      </c>
      <c r="B15124" s="76" t="s">
        <v>1041</v>
      </c>
      <c r="C15124" s="84">
        <v>8.28</v>
      </c>
      <c r="D15124" s="84">
        <v>3.0</v>
      </c>
      <c r="E15124" s="84">
        <v>2.76</v>
      </c>
      <c r="F15124" s="76" t="s">
        <v>1005</v>
      </c>
      <c r="G15124" s="83">
        <v>46125.0</v>
      </c>
      <c r="H15124" s="76" t="s">
        <v>969</v>
      </c>
    </row>
    <row r="15125">
      <c r="A15125" s="76" t="s">
        <v>970</v>
      </c>
      <c r="B15125" s="76" t="s">
        <v>1041</v>
      </c>
      <c r="C15125" s="84">
        <v>4.36</v>
      </c>
      <c r="D15125" s="84">
        <v>1.0</v>
      </c>
      <c r="E15125" s="84">
        <v>4.36</v>
      </c>
      <c r="F15125" s="76" t="s">
        <v>990</v>
      </c>
      <c r="G15125" s="83">
        <v>46125.0</v>
      </c>
      <c r="H15125" s="76" t="s">
        <v>971</v>
      </c>
    </row>
    <row r="15126">
      <c r="A15126" s="76" t="s">
        <v>970</v>
      </c>
      <c r="B15126" s="76" t="s">
        <v>1041</v>
      </c>
      <c r="C15126" s="84">
        <v>0.3</v>
      </c>
      <c r="D15126" s="84">
        <v>0.0</v>
      </c>
      <c r="E15126" s="84">
        <v>0.0</v>
      </c>
      <c r="F15126" s="76" t="s">
        <v>990</v>
      </c>
      <c r="G15126" s="83">
        <v>46125.0</v>
      </c>
      <c r="H15126" s="76" t="s">
        <v>972</v>
      </c>
    </row>
    <row r="15127">
      <c r="A15127" s="76" t="s">
        <v>970</v>
      </c>
      <c r="B15127" s="76" t="s">
        <v>1041</v>
      </c>
      <c r="C15127" s="84">
        <v>5.02</v>
      </c>
      <c r="D15127" s="84">
        <v>0.0</v>
      </c>
      <c r="E15127" s="84">
        <v>0.0</v>
      </c>
      <c r="F15127" s="76" t="s">
        <v>990</v>
      </c>
      <c r="G15127" s="83">
        <v>46125.0</v>
      </c>
      <c r="H15127" s="76" t="s">
        <v>973</v>
      </c>
    </row>
    <row r="15128">
      <c r="A15128" s="76" t="s">
        <v>29</v>
      </c>
      <c r="B15128" s="76" t="s">
        <v>1041</v>
      </c>
      <c r="C15128" s="84">
        <v>0.65</v>
      </c>
      <c r="D15128" s="84">
        <v>0.0</v>
      </c>
      <c r="E15128" s="84">
        <v>0.0</v>
      </c>
      <c r="F15128" s="76" t="s">
        <v>990</v>
      </c>
      <c r="G15128" s="83">
        <v>46125.0</v>
      </c>
      <c r="H15128" s="76" t="s">
        <v>971</v>
      </c>
    </row>
    <row r="15129">
      <c r="A15129" s="76" t="s">
        <v>29</v>
      </c>
      <c r="B15129" s="76" t="s">
        <v>1041</v>
      </c>
      <c r="C15129" s="84">
        <v>0.07</v>
      </c>
      <c r="D15129" s="84">
        <v>0.0</v>
      </c>
      <c r="E15129" s="84">
        <v>0.0</v>
      </c>
      <c r="F15129" s="76" t="s">
        <v>990</v>
      </c>
      <c r="G15129" s="83">
        <v>46125.0</v>
      </c>
      <c r="H15129" s="76" t="s">
        <v>972</v>
      </c>
    </row>
    <row r="15130">
      <c r="A15130" s="76" t="s">
        <v>29</v>
      </c>
      <c r="B15130" s="76" t="s">
        <v>1041</v>
      </c>
      <c r="C15130" s="84">
        <v>1.18</v>
      </c>
      <c r="D15130" s="84">
        <v>0.0</v>
      </c>
      <c r="E15130" s="84">
        <v>0.0</v>
      </c>
      <c r="F15130" s="76" t="s">
        <v>990</v>
      </c>
      <c r="G15130" s="83">
        <v>46125.0</v>
      </c>
      <c r="H15130" s="76" t="s">
        <v>973</v>
      </c>
    </row>
    <row r="15131">
      <c r="A15131" s="76" t="s">
        <v>46</v>
      </c>
      <c r="B15131" s="76" t="s">
        <v>1041</v>
      </c>
      <c r="C15131" s="84">
        <v>4.07</v>
      </c>
      <c r="D15131" s="84">
        <v>1.0</v>
      </c>
      <c r="E15131" s="84">
        <v>4.07</v>
      </c>
      <c r="F15131" s="76" t="s">
        <v>990</v>
      </c>
      <c r="G15131" s="83">
        <v>46125.0</v>
      </c>
      <c r="H15131" s="76" t="s">
        <v>960</v>
      </c>
    </row>
    <row r="15132">
      <c r="A15132" s="76" t="s">
        <v>46</v>
      </c>
      <c r="B15132" s="76" t="s">
        <v>1041</v>
      </c>
      <c r="C15132" s="84">
        <v>0.24</v>
      </c>
      <c r="D15132" s="84">
        <v>0.0</v>
      </c>
      <c r="E15132" s="84">
        <v>0.0</v>
      </c>
      <c r="F15132" s="76" t="s">
        <v>990</v>
      </c>
      <c r="G15132" s="83">
        <v>46125.0</v>
      </c>
      <c r="H15132" s="76" t="s">
        <v>961</v>
      </c>
    </row>
    <row r="15133">
      <c r="A15133" s="76" t="s">
        <v>46</v>
      </c>
      <c r="B15133" s="76" t="s">
        <v>1041</v>
      </c>
      <c r="C15133" s="84">
        <v>2.08</v>
      </c>
      <c r="D15133" s="84">
        <v>2.0</v>
      </c>
      <c r="E15133" s="84">
        <v>1.04</v>
      </c>
      <c r="F15133" s="76" t="s">
        <v>990</v>
      </c>
      <c r="G15133" s="83">
        <v>46125.0</v>
      </c>
      <c r="H15133" s="76" t="s">
        <v>962</v>
      </c>
    </row>
    <row r="15134">
      <c r="A15134" s="76" t="s">
        <v>36</v>
      </c>
      <c r="B15134" s="76" t="s">
        <v>1041</v>
      </c>
      <c r="C15134" s="84">
        <v>0.67</v>
      </c>
      <c r="D15134" s="84">
        <v>0.0</v>
      </c>
      <c r="E15134" s="84">
        <v>0.0</v>
      </c>
      <c r="F15134" s="76" t="s">
        <v>990</v>
      </c>
      <c r="G15134" s="83">
        <v>46125.0</v>
      </c>
      <c r="H15134" s="76" t="s">
        <v>926</v>
      </c>
    </row>
    <row r="15135">
      <c r="A15135" s="76" t="s">
        <v>36</v>
      </c>
      <c r="B15135" s="76" t="s">
        <v>1041</v>
      </c>
      <c r="C15135" s="84">
        <v>0.17</v>
      </c>
      <c r="D15135" s="84">
        <v>0.0</v>
      </c>
      <c r="E15135" s="84">
        <v>0.0</v>
      </c>
      <c r="F15135" s="76" t="s">
        <v>990</v>
      </c>
      <c r="G15135" s="83">
        <v>46125.0</v>
      </c>
      <c r="H15135" s="76" t="s">
        <v>927</v>
      </c>
    </row>
    <row r="15136">
      <c r="A15136" s="76" t="s">
        <v>36</v>
      </c>
      <c r="B15136" s="76" t="s">
        <v>1041</v>
      </c>
      <c r="C15136" s="84">
        <v>0.81</v>
      </c>
      <c r="D15136" s="84">
        <v>0.0</v>
      </c>
      <c r="E15136" s="84">
        <v>0.0</v>
      </c>
      <c r="F15136" s="76" t="s">
        <v>990</v>
      </c>
      <c r="G15136" s="83">
        <v>46125.0</v>
      </c>
      <c r="H15136" s="76" t="s">
        <v>928</v>
      </c>
    </row>
    <row r="15137">
      <c r="A15137" s="76" t="s">
        <v>34</v>
      </c>
      <c r="B15137" s="76" t="s">
        <v>1041</v>
      </c>
      <c r="C15137" s="84">
        <v>0.22</v>
      </c>
      <c r="D15137" s="84">
        <v>0.0</v>
      </c>
      <c r="E15137" s="84">
        <v>0.0</v>
      </c>
      <c r="F15137" s="76" t="s">
        <v>990</v>
      </c>
      <c r="G15137" s="83">
        <v>46125.0</v>
      </c>
      <c r="H15137" s="76" t="s">
        <v>951</v>
      </c>
    </row>
    <row r="15138">
      <c r="A15138" s="76" t="s">
        <v>34</v>
      </c>
      <c r="B15138" s="76" t="s">
        <v>1041</v>
      </c>
      <c r="C15138" s="84">
        <v>0.62</v>
      </c>
      <c r="D15138" s="84">
        <v>0.0</v>
      </c>
      <c r="E15138" s="84">
        <v>0.0</v>
      </c>
      <c r="F15138" s="76" t="s">
        <v>990</v>
      </c>
      <c r="G15138" s="83">
        <v>46125.0</v>
      </c>
      <c r="H15138" s="76" t="s">
        <v>952</v>
      </c>
    </row>
    <row r="15139">
      <c r="A15139" s="76" t="s">
        <v>34</v>
      </c>
      <c r="B15139" s="76" t="s">
        <v>1041</v>
      </c>
      <c r="C15139" s="84">
        <v>0.86</v>
      </c>
      <c r="D15139" s="84">
        <v>0.0</v>
      </c>
      <c r="E15139" s="84">
        <v>0.0</v>
      </c>
      <c r="F15139" s="76" t="s">
        <v>990</v>
      </c>
      <c r="G15139" s="83">
        <v>46125.0</v>
      </c>
      <c r="H15139" s="76" t="s">
        <v>953</v>
      </c>
    </row>
    <row r="15140">
      <c r="A15140" s="76" t="s">
        <v>33</v>
      </c>
      <c r="B15140" s="76" t="s">
        <v>1041</v>
      </c>
      <c r="C15140" s="84">
        <v>3.4</v>
      </c>
      <c r="D15140" s="84">
        <v>1.0</v>
      </c>
      <c r="E15140" s="84">
        <v>3.4</v>
      </c>
      <c r="F15140" s="76" t="s">
        <v>990</v>
      </c>
      <c r="G15140" s="83">
        <v>46125.0</v>
      </c>
      <c r="H15140" s="76" t="s">
        <v>957</v>
      </c>
    </row>
    <row r="15141">
      <c r="A15141" s="76" t="s">
        <v>33</v>
      </c>
      <c r="B15141" s="76" t="s">
        <v>1041</v>
      </c>
      <c r="C15141" s="84">
        <v>0.1</v>
      </c>
      <c r="D15141" s="84">
        <v>0.0</v>
      </c>
      <c r="E15141" s="84">
        <v>0.0</v>
      </c>
      <c r="F15141" s="76" t="s">
        <v>990</v>
      </c>
      <c r="G15141" s="83">
        <v>46125.0</v>
      </c>
      <c r="H15141" s="76" t="s">
        <v>958</v>
      </c>
    </row>
    <row r="15142">
      <c r="A15142" s="76" t="s">
        <v>33</v>
      </c>
      <c r="B15142" s="76" t="s">
        <v>1041</v>
      </c>
      <c r="C15142" s="84">
        <v>0.65</v>
      </c>
      <c r="D15142" s="84">
        <v>0.0</v>
      </c>
      <c r="E15142" s="84">
        <v>0.0</v>
      </c>
      <c r="F15142" s="76" t="s">
        <v>990</v>
      </c>
      <c r="G15142" s="83">
        <v>46125.0</v>
      </c>
      <c r="H15142" s="76" t="s">
        <v>959</v>
      </c>
    </row>
    <row r="15143">
      <c r="A15143" s="76" t="s">
        <v>40</v>
      </c>
      <c r="B15143" s="76" t="s">
        <v>1041</v>
      </c>
      <c r="C15143" s="84">
        <v>0.76</v>
      </c>
      <c r="D15143" s="84">
        <v>0.0</v>
      </c>
      <c r="E15143" s="84">
        <v>0.0</v>
      </c>
      <c r="F15143" s="76" t="s">
        <v>990</v>
      </c>
      <c r="G15143" s="83">
        <v>46125.0</v>
      </c>
      <c r="H15143" s="76" t="s">
        <v>954</v>
      </c>
    </row>
    <row r="15144">
      <c r="A15144" s="76" t="s">
        <v>40</v>
      </c>
      <c r="B15144" s="76" t="s">
        <v>1041</v>
      </c>
      <c r="C15144" s="84">
        <v>0.46</v>
      </c>
      <c r="D15144" s="84">
        <v>0.0</v>
      </c>
      <c r="E15144" s="84">
        <v>0.0</v>
      </c>
      <c r="F15144" s="76" t="s">
        <v>990</v>
      </c>
      <c r="G15144" s="83">
        <v>46125.0</v>
      </c>
      <c r="H15144" s="76" t="s">
        <v>955</v>
      </c>
    </row>
    <row r="15145">
      <c r="A15145" s="76" t="s">
        <v>40</v>
      </c>
      <c r="B15145" s="76" t="s">
        <v>1041</v>
      </c>
      <c r="C15145" s="84">
        <v>1.51</v>
      </c>
      <c r="D15145" s="84">
        <v>0.0</v>
      </c>
      <c r="E15145" s="84">
        <v>0.0</v>
      </c>
      <c r="F15145" s="76" t="s">
        <v>990</v>
      </c>
      <c r="G15145" s="83">
        <v>46125.0</v>
      </c>
      <c r="H15145" s="76" t="s">
        <v>956</v>
      </c>
    </row>
    <row r="15146">
      <c r="A15146" s="76" t="s">
        <v>43</v>
      </c>
      <c r="B15146" s="76" t="s">
        <v>1041</v>
      </c>
      <c r="C15146" s="84">
        <v>0.2</v>
      </c>
      <c r="D15146" s="84">
        <v>0.0</v>
      </c>
      <c r="E15146" s="84">
        <v>0.0</v>
      </c>
      <c r="F15146" s="76" t="s">
        <v>990</v>
      </c>
      <c r="G15146" s="83">
        <v>46125.0</v>
      </c>
      <c r="H15146" s="76" t="s">
        <v>963</v>
      </c>
    </row>
    <row r="15147">
      <c r="A15147" s="76" t="s">
        <v>43</v>
      </c>
      <c r="B15147" s="76" t="s">
        <v>1041</v>
      </c>
      <c r="C15147" s="84">
        <v>2.21</v>
      </c>
      <c r="D15147" s="84">
        <v>0.0</v>
      </c>
      <c r="E15147" s="84">
        <v>0.0</v>
      </c>
      <c r="F15147" s="76" t="s">
        <v>990</v>
      </c>
      <c r="G15147" s="83">
        <v>46125.0</v>
      </c>
      <c r="H15147" s="76" t="s">
        <v>964</v>
      </c>
    </row>
    <row r="15148">
      <c r="A15148" s="76" t="s">
        <v>43</v>
      </c>
      <c r="B15148" s="76" t="s">
        <v>1041</v>
      </c>
      <c r="C15148" s="84">
        <v>0.72</v>
      </c>
      <c r="D15148" s="84">
        <v>1.0</v>
      </c>
      <c r="E15148" s="84">
        <v>0.72</v>
      </c>
      <c r="F15148" s="76" t="s">
        <v>990</v>
      </c>
      <c r="G15148" s="83">
        <v>46125.0</v>
      </c>
      <c r="H15148" s="76" t="s">
        <v>965</v>
      </c>
    </row>
    <row r="15149">
      <c r="A15149" s="76" t="s">
        <v>966</v>
      </c>
      <c r="B15149" s="76" t="s">
        <v>1041</v>
      </c>
      <c r="C15149" s="84">
        <v>0.73</v>
      </c>
      <c r="D15149" s="84">
        <v>0.0</v>
      </c>
      <c r="E15149" s="84">
        <v>0.0</v>
      </c>
      <c r="F15149" s="76" t="s">
        <v>990</v>
      </c>
      <c r="G15149" s="83">
        <v>46125.0</v>
      </c>
      <c r="H15149" s="76" t="s">
        <v>967</v>
      </c>
    </row>
    <row r="15150">
      <c r="A15150" s="76" t="s">
        <v>966</v>
      </c>
      <c r="B15150" s="76" t="s">
        <v>1041</v>
      </c>
      <c r="C15150" s="84">
        <v>0.14</v>
      </c>
      <c r="D15150" s="84">
        <v>0.0</v>
      </c>
      <c r="E15150" s="84">
        <v>0.0</v>
      </c>
      <c r="F15150" s="76" t="s">
        <v>990</v>
      </c>
      <c r="G15150" s="83">
        <v>46125.0</v>
      </c>
      <c r="H15150" s="76" t="s">
        <v>968</v>
      </c>
    </row>
    <row r="15151">
      <c r="A15151" s="76" t="s">
        <v>966</v>
      </c>
      <c r="B15151" s="76" t="s">
        <v>1041</v>
      </c>
      <c r="C15151" s="84">
        <v>0.19</v>
      </c>
      <c r="D15151" s="84">
        <v>1.0</v>
      </c>
      <c r="E15151" s="84">
        <v>0.19</v>
      </c>
      <c r="F15151" s="76" t="s">
        <v>990</v>
      </c>
      <c r="G15151" s="83">
        <v>46125.0</v>
      </c>
      <c r="H15151" s="76" t="s">
        <v>969</v>
      </c>
    </row>
    <row r="15152">
      <c r="A15152" s="76" t="s">
        <v>970</v>
      </c>
      <c r="B15152" s="76" t="s">
        <v>1041</v>
      </c>
      <c r="C15152" s="84">
        <v>7.8</v>
      </c>
      <c r="D15152" s="84">
        <v>0.0</v>
      </c>
      <c r="E15152" s="84">
        <v>0.0</v>
      </c>
      <c r="F15152" s="76" t="s">
        <v>996</v>
      </c>
      <c r="G15152" s="83">
        <v>46125.0</v>
      </c>
      <c r="H15152" s="76" t="s">
        <v>971</v>
      </c>
    </row>
    <row r="15153">
      <c r="A15153" s="76" t="s">
        <v>970</v>
      </c>
      <c r="B15153" s="76" t="s">
        <v>1041</v>
      </c>
      <c r="C15153" s="84">
        <v>2.85</v>
      </c>
      <c r="D15153" s="84">
        <v>0.0</v>
      </c>
      <c r="E15153" s="84">
        <v>0.0</v>
      </c>
      <c r="F15153" s="76" t="s">
        <v>996</v>
      </c>
      <c r="G15153" s="83">
        <v>46125.0</v>
      </c>
      <c r="H15153" s="76" t="s">
        <v>972</v>
      </c>
    </row>
    <row r="15154">
      <c r="A15154" s="76" t="s">
        <v>970</v>
      </c>
      <c r="B15154" s="76" t="s">
        <v>1041</v>
      </c>
      <c r="C15154" s="84">
        <v>11.89</v>
      </c>
      <c r="D15154" s="84">
        <v>1.0</v>
      </c>
      <c r="E15154" s="84">
        <v>11.89</v>
      </c>
      <c r="F15154" s="76" t="s">
        <v>996</v>
      </c>
      <c r="G15154" s="83">
        <v>46125.0</v>
      </c>
      <c r="H15154" s="76" t="s">
        <v>973</v>
      </c>
    </row>
    <row r="15155">
      <c r="A15155" s="76" t="s">
        <v>29</v>
      </c>
      <c r="B15155" s="76" t="s">
        <v>1041</v>
      </c>
      <c r="C15155" s="84">
        <v>7.69</v>
      </c>
      <c r="D15155" s="84">
        <v>0.0</v>
      </c>
      <c r="E15155" s="84">
        <v>0.0</v>
      </c>
      <c r="F15155" s="76" t="s">
        <v>996</v>
      </c>
      <c r="G15155" s="83">
        <v>46125.0</v>
      </c>
      <c r="H15155" s="76" t="s">
        <v>971</v>
      </c>
    </row>
    <row r="15156">
      <c r="A15156" s="76" t="s">
        <v>29</v>
      </c>
      <c r="B15156" s="76" t="s">
        <v>1041</v>
      </c>
      <c r="C15156" s="84">
        <v>1.92</v>
      </c>
      <c r="D15156" s="84">
        <v>0.0</v>
      </c>
      <c r="E15156" s="84">
        <v>0.0</v>
      </c>
      <c r="F15156" s="76" t="s">
        <v>996</v>
      </c>
      <c r="G15156" s="83">
        <v>46125.0</v>
      </c>
      <c r="H15156" s="76" t="s">
        <v>972</v>
      </c>
    </row>
    <row r="15157">
      <c r="A15157" s="76" t="s">
        <v>29</v>
      </c>
      <c r="B15157" s="76" t="s">
        <v>1041</v>
      </c>
      <c r="C15157" s="84">
        <v>10.61</v>
      </c>
      <c r="D15157" s="84">
        <v>0.0</v>
      </c>
      <c r="E15157" s="84">
        <v>0.0</v>
      </c>
      <c r="F15157" s="76" t="s">
        <v>996</v>
      </c>
      <c r="G15157" s="83">
        <v>46125.0</v>
      </c>
      <c r="H15157" s="76" t="s">
        <v>973</v>
      </c>
    </row>
    <row r="15158">
      <c r="A15158" s="76" t="s">
        <v>43</v>
      </c>
      <c r="B15158" s="76" t="s">
        <v>1041</v>
      </c>
      <c r="C15158" s="84">
        <v>3.02</v>
      </c>
      <c r="D15158" s="84">
        <v>0.0</v>
      </c>
      <c r="E15158" s="84">
        <v>0.0</v>
      </c>
      <c r="F15158" s="76" t="s">
        <v>996</v>
      </c>
      <c r="G15158" s="83">
        <v>46125.0</v>
      </c>
      <c r="H15158" s="76" t="s">
        <v>963</v>
      </c>
    </row>
    <row r="15159">
      <c r="A15159" s="76" t="s">
        <v>43</v>
      </c>
      <c r="B15159" s="76" t="s">
        <v>1041</v>
      </c>
      <c r="C15159" s="84">
        <v>4.33</v>
      </c>
      <c r="D15159" s="84">
        <v>0.0</v>
      </c>
      <c r="E15159" s="84">
        <v>0.0</v>
      </c>
      <c r="F15159" s="76" t="s">
        <v>996</v>
      </c>
      <c r="G15159" s="83">
        <v>46125.0</v>
      </c>
      <c r="H15159" s="76" t="s">
        <v>964</v>
      </c>
    </row>
    <row r="15160">
      <c r="A15160" s="76" t="s">
        <v>43</v>
      </c>
      <c r="B15160" s="76" t="s">
        <v>1041</v>
      </c>
      <c r="C15160" s="84">
        <v>5.4</v>
      </c>
      <c r="D15160" s="84">
        <v>1.0</v>
      </c>
      <c r="E15160" s="84">
        <v>5.4</v>
      </c>
      <c r="F15160" s="76" t="s">
        <v>996</v>
      </c>
      <c r="G15160" s="83">
        <v>46125.0</v>
      </c>
      <c r="H15160" s="76" t="s">
        <v>965</v>
      </c>
    </row>
    <row r="15161">
      <c r="A15161" s="76" t="s">
        <v>46</v>
      </c>
      <c r="B15161" s="76" t="s">
        <v>1041</v>
      </c>
      <c r="C15161" s="84">
        <v>3.08</v>
      </c>
      <c r="D15161" s="84">
        <v>0.0</v>
      </c>
      <c r="E15161" s="84">
        <v>0.0</v>
      </c>
      <c r="F15161" s="76" t="s">
        <v>996</v>
      </c>
      <c r="G15161" s="83">
        <v>46125.0</v>
      </c>
      <c r="H15161" s="76" t="s">
        <v>960</v>
      </c>
    </row>
    <row r="15162">
      <c r="A15162" s="76" t="s">
        <v>46</v>
      </c>
      <c r="B15162" s="76" t="s">
        <v>1041</v>
      </c>
      <c r="C15162" s="84">
        <v>1.89</v>
      </c>
      <c r="D15162" s="84">
        <v>0.0</v>
      </c>
      <c r="E15162" s="84">
        <v>0.0</v>
      </c>
      <c r="F15162" s="76" t="s">
        <v>996</v>
      </c>
      <c r="G15162" s="83">
        <v>46125.0</v>
      </c>
      <c r="H15162" s="76" t="s">
        <v>961</v>
      </c>
    </row>
    <row r="15163">
      <c r="A15163" s="76" t="s">
        <v>46</v>
      </c>
      <c r="B15163" s="76" t="s">
        <v>1041</v>
      </c>
      <c r="C15163" s="84">
        <v>7.96</v>
      </c>
      <c r="D15163" s="84">
        <v>0.0</v>
      </c>
      <c r="E15163" s="84">
        <v>0.0</v>
      </c>
      <c r="F15163" s="76" t="s">
        <v>996</v>
      </c>
      <c r="G15163" s="83">
        <v>46125.0</v>
      </c>
      <c r="H15163" s="76" t="s">
        <v>962</v>
      </c>
    </row>
    <row r="15164">
      <c r="A15164" s="76" t="s">
        <v>966</v>
      </c>
      <c r="B15164" s="76" t="s">
        <v>1041</v>
      </c>
      <c r="C15164" s="84">
        <v>2.79</v>
      </c>
      <c r="D15164" s="84">
        <v>0.0</v>
      </c>
      <c r="E15164" s="84">
        <v>0.0</v>
      </c>
      <c r="F15164" s="76" t="s">
        <v>996</v>
      </c>
      <c r="G15164" s="83">
        <v>46125.0</v>
      </c>
      <c r="H15164" s="76" t="s">
        <v>967</v>
      </c>
    </row>
    <row r="15165">
      <c r="A15165" s="76" t="s">
        <v>966</v>
      </c>
      <c r="B15165" s="76" t="s">
        <v>1041</v>
      </c>
      <c r="C15165" s="84">
        <v>1.79</v>
      </c>
      <c r="D15165" s="84">
        <v>0.0</v>
      </c>
      <c r="E15165" s="84">
        <v>0.0</v>
      </c>
      <c r="F15165" s="76" t="s">
        <v>996</v>
      </c>
      <c r="G15165" s="83">
        <v>46125.0</v>
      </c>
      <c r="H15165" s="76" t="s">
        <v>968</v>
      </c>
    </row>
    <row r="15166">
      <c r="A15166" s="76" t="s">
        <v>966</v>
      </c>
      <c r="B15166" s="76" t="s">
        <v>1041</v>
      </c>
      <c r="C15166" s="84">
        <v>2.67</v>
      </c>
      <c r="D15166" s="84">
        <v>0.0</v>
      </c>
      <c r="E15166" s="84">
        <v>0.0</v>
      </c>
      <c r="F15166" s="76" t="s">
        <v>996</v>
      </c>
      <c r="G15166" s="83">
        <v>46125.0</v>
      </c>
      <c r="H15166" s="76" t="s">
        <v>969</v>
      </c>
    </row>
    <row r="15167">
      <c r="A15167" s="76" t="s">
        <v>33</v>
      </c>
      <c r="B15167" s="76" t="s">
        <v>1041</v>
      </c>
      <c r="C15167" s="84">
        <v>17.32</v>
      </c>
      <c r="D15167" s="84">
        <v>4.0</v>
      </c>
      <c r="E15167" s="84">
        <v>4.33</v>
      </c>
      <c r="F15167" s="76" t="s">
        <v>996</v>
      </c>
      <c r="G15167" s="83">
        <v>46125.0</v>
      </c>
      <c r="H15167" s="76" t="s">
        <v>957</v>
      </c>
    </row>
    <row r="15168">
      <c r="A15168" s="76" t="s">
        <v>33</v>
      </c>
      <c r="B15168" s="76" t="s">
        <v>1041</v>
      </c>
      <c r="C15168" s="84">
        <v>3.23</v>
      </c>
      <c r="D15168" s="84">
        <v>0.0</v>
      </c>
      <c r="E15168" s="84">
        <v>0.0</v>
      </c>
      <c r="F15168" s="76" t="s">
        <v>996</v>
      </c>
      <c r="G15168" s="83">
        <v>46125.0</v>
      </c>
      <c r="H15168" s="76" t="s">
        <v>958</v>
      </c>
    </row>
    <row r="15169">
      <c r="A15169" s="76" t="s">
        <v>33</v>
      </c>
      <c r="B15169" s="76" t="s">
        <v>1041</v>
      </c>
      <c r="C15169" s="84">
        <v>12.49</v>
      </c>
      <c r="D15169" s="84">
        <v>2.0</v>
      </c>
      <c r="E15169" s="84">
        <v>6.24</v>
      </c>
      <c r="F15169" s="76" t="s">
        <v>996</v>
      </c>
      <c r="G15169" s="83">
        <v>46125.0</v>
      </c>
      <c r="H15169" s="76" t="s">
        <v>959</v>
      </c>
    </row>
    <row r="15170">
      <c r="A15170" s="76" t="s">
        <v>34</v>
      </c>
      <c r="B15170" s="76" t="s">
        <v>1041</v>
      </c>
      <c r="C15170" s="84">
        <v>2.58</v>
      </c>
      <c r="D15170" s="84">
        <v>1.0</v>
      </c>
      <c r="E15170" s="84">
        <v>2.58</v>
      </c>
      <c r="F15170" s="76" t="s">
        <v>996</v>
      </c>
      <c r="G15170" s="83">
        <v>46125.0</v>
      </c>
      <c r="H15170" s="76" t="s">
        <v>951</v>
      </c>
    </row>
    <row r="15171">
      <c r="A15171" s="76" t="s">
        <v>34</v>
      </c>
      <c r="B15171" s="76" t="s">
        <v>1041</v>
      </c>
      <c r="C15171" s="84">
        <v>8.52</v>
      </c>
      <c r="D15171" s="84">
        <v>0.0</v>
      </c>
      <c r="E15171" s="84">
        <v>0.0</v>
      </c>
      <c r="F15171" s="76" t="s">
        <v>996</v>
      </c>
      <c r="G15171" s="83">
        <v>46125.0</v>
      </c>
      <c r="H15171" s="76" t="s">
        <v>952</v>
      </c>
    </row>
    <row r="15172">
      <c r="A15172" s="76" t="s">
        <v>34</v>
      </c>
      <c r="B15172" s="76" t="s">
        <v>1041</v>
      </c>
      <c r="C15172" s="84">
        <v>6.58</v>
      </c>
      <c r="D15172" s="84">
        <v>0.0</v>
      </c>
      <c r="E15172" s="84">
        <v>0.0</v>
      </c>
      <c r="F15172" s="76" t="s">
        <v>996</v>
      </c>
      <c r="G15172" s="83">
        <v>46125.0</v>
      </c>
      <c r="H15172" s="76" t="s">
        <v>953</v>
      </c>
    </row>
    <row r="15173">
      <c r="A15173" s="76" t="s">
        <v>36</v>
      </c>
      <c r="B15173" s="76" t="s">
        <v>1041</v>
      </c>
      <c r="C15173" s="84">
        <v>3.99</v>
      </c>
      <c r="D15173" s="84">
        <v>1.0</v>
      </c>
      <c r="E15173" s="84">
        <v>3.99</v>
      </c>
      <c r="F15173" s="76" t="s">
        <v>996</v>
      </c>
      <c r="G15173" s="83">
        <v>46125.0</v>
      </c>
      <c r="H15173" s="76" t="s">
        <v>926</v>
      </c>
    </row>
    <row r="15174">
      <c r="A15174" s="76" t="s">
        <v>36</v>
      </c>
      <c r="B15174" s="76" t="s">
        <v>1041</v>
      </c>
      <c r="C15174" s="84">
        <v>2.03</v>
      </c>
      <c r="D15174" s="84">
        <v>0.0</v>
      </c>
      <c r="E15174" s="84">
        <v>0.0</v>
      </c>
      <c r="F15174" s="76" t="s">
        <v>996</v>
      </c>
      <c r="G15174" s="83">
        <v>46125.0</v>
      </c>
      <c r="H15174" s="76" t="s">
        <v>927</v>
      </c>
    </row>
    <row r="15175">
      <c r="A15175" s="76" t="s">
        <v>36</v>
      </c>
      <c r="B15175" s="76" t="s">
        <v>1041</v>
      </c>
      <c r="C15175" s="84">
        <v>16.4</v>
      </c>
      <c r="D15175" s="84">
        <v>5.0</v>
      </c>
      <c r="E15175" s="84">
        <v>3.28</v>
      </c>
      <c r="F15175" s="76" t="s">
        <v>996</v>
      </c>
      <c r="G15175" s="83">
        <v>46125.0</v>
      </c>
      <c r="H15175" s="76" t="s">
        <v>928</v>
      </c>
    </row>
    <row r="15176">
      <c r="A15176" s="76" t="s">
        <v>40</v>
      </c>
      <c r="B15176" s="76" t="s">
        <v>1041</v>
      </c>
      <c r="C15176" s="84">
        <v>8.25</v>
      </c>
      <c r="D15176" s="84">
        <v>3.0</v>
      </c>
      <c r="E15176" s="84">
        <v>2.75</v>
      </c>
      <c r="F15176" s="76" t="s">
        <v>996</v>
      </c>
      <c r="G15176" s="83">
        <v>46125.0</v>
      </c>
      <c r="H15176" s="76" t="s">
        <v>954</v>
      </c>
    </row>
    <row r="15177">
      <c r="A15177" s="76" t="s">
        <v>40</v>
      </c>
      <c r="B15177" s="76" t="s">
        <v>1041</v>
      </c>
      <c r="C15177" s="84">
        <v>6.33</v>
      </c>
      <c r="D15177" s="84">
        <v>0.0</v>
      </c>
      <c r="E15177" s="84">
        <v>0.0</v>
      </c>
      <c r="F15177" s="76" t="s">
        <v>996</v>
      </c>
      <c r="G15177" s="83">
        <v>46125.0</v>
      </c>
      <c r="H15177" s="76" t="s">
        <v>955</v>
      </c>
    </row>
    <row r="15178">
      <c r="A15178" s="76" t="s">
        <v>40</v>
      </c>
      <c r="B15178" s="76" t="s">
        <v>1041</v>
      </c>
      <c r="C15178" s="84">
        <v>7.72</v>
      </c>
      <c r="D15178" s="84">
        <v>1.0</v>
      </c>
      <c r="E15178" s="84">
        <v>7.72</v>
      </c>
      <c r="F15178" s="76" t="s">
        <v>996</v>
      </c>
      <c r="G15178" s="83">
        <v>46125.0</v>
      </c>
      <c r="H15178" s="76" t="s">
        <v>956</v>
      </c>
    </row>
    <row r="15179">
      <c r="A15179" s="76" t="s">
        <v>40</v>
      </c>
      <c r="B15179" s="76" t="s">
        <v>1041</v>
      </c>
      <c r="C15179" s="84">
        <v>0.76</v>
      </c>
      <c r="D15179" s="84">
        <v>0.0</v>
      </c>
      <c r="E15179" s="84">
        <v>0.0</v>
      </c>
      <c r="F15179" s="76" t="s">
        <v>993</v>
      </c>
      <c r="G15179" s="83">
        <v>46125.0</v>
      </c>
      <c r="H15179" s="76" t="s">
        <v>954</v>
      </c>
    </row>
    <row r="15180">
      <c r="A15180" s="76" t="s">
        <v>40</v>
      </c>
      <c r="B15180" s="76" t="s">
        <v>1041</v>
      </c>
      <c r="C15180" s="84">
        <v>0.58</v>
      </c>
      <c r="D15180" s="84">
        <v>0.0</v>
      </c>
      <c r="E15180" s="84">
        <v>0.0</v>
      </c>
      <c r="F15180" s="76" t="s">
        <v>993</v>
      </c>
      <c r="G15180" s="83">
        <v>46125.0</v>
      </c>
      <c r="H15180" s="76" t="s">
        <v>955</v>
      </c>
    </row>
    <row r="15181">
      <c r="A15181" s="76" t="s">
        <v>40</v>
      </c>
      <c r="B15181" s="76" t="s">
        <v>1041</v>
      </c>
      <c r="C15181" s="84">
        <v>1.49</v>
      </c>
      <c r="D15181" s="84">
        <v>0.0</v>
      </c>
      <c r="E15181" s="84">
        <v>0.0</v>
      </c>
      <c r="F15181" s="76" t="s">
        <v>993</v>
      </c>
      <c r="G15181" s="83">
        <v>46125.0</v>
      </c>
      <c r="H15181" s="76" t="s">
        <v>956</v>
      </c>
    </row>
    <row r="15182">
      <c r="A15182" s="76" t="s">
        <v>36</v>
      </c>
      <c r="B15182" s="76" t="s">
        <v>1041</v>
      </c>
      <c r="C15182" s="84">
        <v>0.82</v>
      </c>
      <c r="D15182" s="84">
        <v>0.0</v>
      </c>
      <c r="E15182" s="84">
        <v>0.0</v>
      </c>
      <c r="F15182" s="76" t="s">
        <v>993</v>
      </c>
      <c r="G15182" s="83">
        <v>46125.0</v>
      </c>
      <c r="H15182" s="76" t="s">
        <v>926</v>
      </c>
    </row>
    <row r="15183">
      <c r="A15183" s="76" t="s">
        <v>36</v>
      </c>
      <c r="B15183" s="76" t="s">
        <v>1041</v>
      </c>
      <c r="C15183" s="84">
        <v>0.63</v>
      </c>
      <c r="D15183" s="84">
        <v>0.0</v>
      </c>
      <c r="E15183" s="84">
        <v>0.0</v>
      </c>
      <c r="F15183" s="76" t="s">
        <v>993</v>
      </c>
      <c r="G15183" s="83">
        <v>46125.0</v>
      </c>
      <c r="H15183" s="76" t="s">
        <v>927</v>
      </c>
    </row>
    <row r="15184">
      <c r="A15184" s="76" t="s">
        <v>36</v>
      </c>
      <c r="B15184" s="76" t="s">
        <v>1041</v>
      </c>
      <c r="C15184" s="84">
        <v>1.22</v>
      </c>
      <c r="D15184" s="84">
        <v>0.0</v>
      </c>
      <c r="E15184" s="84">
        <v>0.0</v>
      </c>
      <c r="F15184" s="76" t="s">
        <v>993</v>
      </c>
      <c r="G15184" s="83">
        <v>46125.0</v>
      </c>
      <c r="H15184" s="76" t="s">
        <v>928</v>
      </c>
    </row>
    <row r="15185">
      <c r="A15185" s="76" t="s">
        <v>46</v>
      </c>
      <c r="B15185" s="76" t="s">
        <v>1041</v>
      </c>
      <c r="C15185" s="84">
        <v>0.73</v>
      </c>
      <c r="D15185" s="84">
        <v>0.0</v>
      </c>
      <c r="E15185" s="84">
        <v>0.0</v>
      </c>
      <c r="F15185" s="76" t="s">
        <v>993</v>
      </c>
      <c r="G15185" s="83">
        <v>46125.0</v>
      </c>
      <c r="H15185" s="76" t="s">
        <v>960</v>
      </c>
    </row>
    <row r="15186">
      <c r="A15186" s="76" t="s">
        <v>46</v>
      </c>
      <c r="B15186" s="76" t="s">
        <v>1041</v>
      </c>
      <c r="C15186" s="84">
        <v>0.58</v>
      </c>
      <c r="D15186" s="84">
        <v>0.0</v>
      </c>
      <c r="E15186" s="84">
        <v>0.0</v>
      </c>
      <c r="F15186" s="76" t="s">
        <v>993</v>
      </c>
      <c r="G15186" s="83">
        <v>46125.0</v>
      </c>
      <c r="H15186" s="76" t="s">
        <v>961</v>
      </c>
    </row>
    <row r="15187">
      <c r="A15187" s="76" t="s">
        <v>46</v>
      </c>
      <c r="B15187" s="76" t="s">
        <v>1041</v>
      </c>
      <c r="C15187" s="84">
        <v>0.83</v>
      </c>
      <c r="D15187" s="84">
        <v>1.0</v>
      </c>
      <c r="E15187" s="84">
        <v>0.83</v>
      </c>
      <c r="F15187" s="76" t="s">
        <v>993</v>
      </c>
      <c r="G15187" s="83">
        <v>46125.0</v>
      </c>
      <c r="H15187" s="76" t="s">
        <v>962</v>
      </c>
    </row>
    <row r="15188">
      <c r="A15188" s="76" t="s">
        <v>970</v>
      </c>
      <c r="B15188" s="76" t="s">
        <v>1041</v>
      </c>
      <c r="C15188" s="84">
        <v>0.74</v>
      </c>
      <c r="D15188" s="84">
        <v>0.0</v>
      </c>
      <c r="E15188" s="84">
        <v>0.0</v>
      </c>
      <c r="F15188" s="76" t="s">
        <v>993</v>
      </c>
      <c r="G15188" s="83">
        <v>46125.0</v>
      </c>
      <c r="H15188" s="76" t="s">
        <v>971</v>
      </c>
    </row>
    <row r="15189">
      <c r="A15189" s="76" t="s">
        <v>970</v>
      </c>
      <c r="B15189" s="76" t="s">
        <v>1041</v>
      </c>
      <c r="C15189" s="84">
        <v>0.49</v>
      </c>
      <c r="D15189" s="84">
        <v>0.0</v>
      </c>
      <c r="E15189" s="84">
        <v>0.0</v>
      </c>
      <c r="F15189" s="76" t="s">
        <v>993</v>
      </c>
      <c r="G15189" s="83">
        <v>46125.0</v>
      </c>
      <c r="H15189" s="76" t="s">
        <v>972</v>
      </c>
    </row>
    <row r="15190">
      <c r="A15190" s="76" t="s">
        <v>970</v>
      </c>
      <c r="B15190" s="76" t="s">
        <v>1041</v>
      </c>
      <c r="C15190" s="84">
        <v>0.89</v>
      </c>
      <c r="D15190" s="84">
        <v>0.0</v>
      </c>
      <c r="E15190" s="84">
        <v>0.0</v>
      </c>
      <c r="F15190" s="76" t="s">
        <v>993</v>
      </c>
      <c r="G15190" s="83">
        <v>46125.0</v>
      </c>
      <c r="H15190" s="76" t="s">
        <v>973</v>
      </c>
    </row>
    <row r="15191">
      <c r="A15191" s="76" t="s">
        <v>33</v>
      </c>
      <c r="B15191" s="76" t="s">
        <v>1041</v>
      </c>
      <c r="C15191" s="84">
        <v>11.26</v>
      </c>
      <c r="D15191" s="84">
        <v>2.0</v>
      </c>
      <c r="E15191" s="84">
        <v>5.63</v>
      </c>
      <c r="F15191" s="76" t="s">
        <v>993</v>
      </c>
      <c r="G15191" s="83">
        <v>46125.0</v>
      </c>
      <c r="H15191" s="76" t="s">
        <v>957</v>
      </c>
    </row>
    <row r="15192">
      <c r="A15192" s="76" t="s">
        <v>33</v>
      </c>
      <c r="B15192" s="76" t="s">
        <v>1041</v>
      </c>
      <c r="C15192" s="84">
        <v>1.21</v>
      </c>
      <c r="D15192" s="84">
        <v>0.0</v>
      </c>
      <c r="E15192" s="84">
        <v>0.0</v>
      </c>
      <c r="F15192" s="76" t="s">
        <v>993</v>
      </c>
      <c r="G15192" s="83">
        <v>46125.0</v>
      </c>
      <c r="H15192" s="76" t="s">
        <v>958</v>
      </c>
    </row>
    <row r="15193">
      <c r="A15193" s="76" t="s">
        <v>33</v>
      </c>
      <c r="B15193" s="76" t="s">
        <v>1041</v>
      </c>
      <c r="C15193" s="84">
        <v>1.68</v>
      </c>
      <c r="D15193" s="84">
        <v>0.0</v>
      </c>
      <c r="E15193" s="84">
        <v>0.0</v>
      </c>
      <c r="F15193" s="76" t="s">
        <v>993</v>
      </c>
      <c r="G15193" s="83">
        <v>46125.0</v>
      </c>
      <c r="H15193" s="76" t="s">
        <v>959</v>
      </c>
    </row>
    <row r="15194">
      <c r="A15194" s="76" t="s">
        <v>966</v>
      </c>
      <c r="B15194" s="76" t="s">
        <v>1041</v>
      </c>
      <c r="C15194" s="84">
        <v>1.17</v>
      </c>
      <c r="D15194" s="84">
        <v>0.0</v>
      </c>
      <c r="E15194" s="84">
        <v>0.0</v>
      </c>
      <c r="F15194" s="76" t="s">
        <v>993</v>
      </c>
      <c r="G15194" s="83">
        <v>46125.0</v>
      </c>
      <c r="H15194" s="76" t="s">
        <v>967</v>
      </c>
    </row>
    <row r="15195">
      <c r="A15195" s="76" t="s">
        <v>966</v>
      </c>
      <c r="B15195" s="76" t="s">
        <v>1041</v>
      </c>
      <c r="C15195" s="84">
        <v>0.26</v>
      </c>
      <c r="D15195" s="84">
        <v>0.0</v>
      </c>
      <c r="E15195" s="84">
        <v>0.0</v>
      </c>
      <c r="F15195" s="76" t="s">
        <v>993</v>
      </c>
      <c r="G15195" s="83">
        <v>46125.0</v>
      </c>
      <c r="H15195" s="76" t="s">
        <v>968</v>
      </c>
    </row>
    <row r="15196">
      <c r="A15196" s="76" t="s">
        <v>966</v>
      </c>
      <c r="B15196" s="76" t="s">
        <v>1041</v>
      </c>
      <c r="C15196" s="84">
        <v>0.65</v>
      </c>
      <c r="D15196" s="84">
        <v>0.0</v>
      </c>
      <c r="E15196" s="84">
        <v>0.0</v>
      </c>
      <c r="F15196" s="76" t="s">
        <v>993</v>
      </c>
      <c r="G15196" s="83">
        <v>46125.0</v>
      </c>
      <c r="H15196" s="76" t="s">
        <v>969</v>
      </c>
    </row>
    <row r="15197">
      <c r="A15197" s="76" t="s">
        <v>29</v>
      </c>
      <c r="B15197" s="76" t="s">
        <v>1041</v>
      </c>
      <c r="C15197" s="84">
        <v>2.32</v>
      </c>
      <c r="D15197" s="84">
        <v>0.0</v>
      </c>
      <c r="E15197" s="84">
        <v>0.0</v>
      </c>
      <c r="F15197" s="76" t="s">
        <v>993</v>
      </c>
      <c r="G15197" s="83">
        <v>46125.0</v>
      </c>
      <c r="H15197" s="76" t="s">
        <v>971</v>
      </c>
    </row>
    <row r="15198">
      <c r="A15198" s="76" t="s">
        <v>29</v>
      </c>
      <c r="B15198" s="76" t="s">
        <v>1041</v>
      </c>
      <c r="C15198" s="84">
        <v>0.19</v>
      </c>
      <c r="D15198" s="84">
        <v>0.0</v>
      </c>
      <c r="E15198" s="84">
        <v>0.0</v>
      </c>
      <c r="F15198" s="76" t="s">
        <v>993</v>
      </c>
      <c r="G15198" s="83">
        <v>46125.0</v>
      </c>
      <c r="H15198" s="76" t="s">
        <v>972</v>
      </c>
    </row>
    <row r="15199">
      <c r="A15199" s="76" t="s">
        <v>29</v>
      </c>
      <c r="B15199" s="76" t="s">
        <v>1041</v>
      </c>
      <c r="C15199" s="84">
        <v>1.67</v>
      </c>
      <c r="D15199" s="84">
        <v>0.0</v>
      </c>
      <c r="E15199" s="84">
        <v>0.0</v>
      </c>
      <c r="F15199" s="76" t="s">
        <v>993</v>
      </c>
      <c r="G15199" s="83">
        <v>46125.0</v>
      </c>
      <c r="H15199" s="76" t="s">
        <v>973</v>
      </c>
    </row>
    <row r="15200">
      <c r="A15200" s="76" t="s">
        <v>34</v>
      </c>
      <c r="B15200" s="76" t="s">
        <v>1041</v>
      </c>
      <c r="C15200" s="84">
        <v>1.14</v>
      </c>
      <c r="D15200" s="84">
        <v>0.0</v>
      </c>
      <c r="E15200" s="84">
        <v>0.0</v>
      </c>
      <c r="F15200" s="76" t="s">
        <v>993</v>
      </c>
      <c r="G15200" s="83">
        <v>46125.0</v>
      </c>
      <c r="H15200" s="76" t="s">
        <v>951</v>
      </c>
    </row>
    <row r="15201">
      <c r="A15201" s="76" t="s">
        <v>34</v>
      </c>
      <c r="B15201" s="76" t="s">
        <v>1041</v>
      </c>
      <c r="C15201" s="84">
        <v>1.3</v>
      </c>
      <c r="D15201" s="84">
        <v>0.0</v>
      </c>
      <c r="E15201" s="84">
        <v>0.0</v>
      </c>
      <c r="F15201" s="76" t="s">
        <v>993</v>
      </c>
      <c r="G15201" s="83">
        <v>46125.0</v>
      </c>
      <c r="H15201" s="76" t="s">
        <v>952</v>
      </c>
    </row>
    <row r="15202">
      <c r="A15202" s="76" t="s">
        <v>34</v>
      </c>
      <c r="B15202" s="76" t="s">
        <v>1041</v>
      </c>
      <c r="C15202" s="84">
        <v>3.11</v>
      </c>
      <c r="D15202" s="84">
        <v>0.0</v>
      </c>
      <c r="E15202" s="84">
        <v>0.0</v>
      </c>
      <c r="F15202" s="76" t="s">
        <v>993</v>
      </c>
      <c r="G15202" s="83">
        <v>46125.0</v>
      </c>
      <c r="H15202" s="76" t="s">
        <v>953</v>
      </c>
    </row>
    <row r="15203">
      <c r="A15203" s="76" t="s">
        <v>43</v>
      </c>
      <c r="B15203" s="76" t="s">
        <v>1041</v>
      </c>
      <c r="C15203" s="84">
        <v>0.13</v>
      </c>
      <c r="D15203" s="84">
        <v>0.0</v>
      </c>
      <c r="E15203" s="84">
        <v>0.0</v>
      </c>
      <c r="F15203" s="76" t="s">
        <v>993</v>
      </c>
      <c r="G15203" s="83">
        <v>46125.0</v>
      </c>
      <c r="H15203" s="76" t="s">
        <v>963</v>
      </c>
    </row>
    <row r="15204">
      <c r="A15204" s="76" t="s">
        <v>43</v>
      </c>
      <c r="B15204" s="76" t="s">
        <v>1041</v>
      </c>
      <c r="C15204" s="84">
        <v>3.61</v>
      </c>
      <c r="D15204" s="84">
        <v>0.0</v>
      </c>
      <c r="E15204" s="84">
        <v>0.0</v>
      </c>
      <c r="F15204" s="76" t="s">
        <v>993</v>
      </c>
      <c r="G15204" s="83">
        <v>46125.0</v>
      </c>
      <c r="H15204" s="76" t="s">
        <v>964</v>
      </c>
    </row>
    <row r="15205">
      <c r="A15205" s="76" t="s">
        <v>43</v>
      </c>
      <c r="B15205" s="76" t="s">
        <v>1041</v>
      </c>
      <c r="C15205" s="84">
        <v>1.35</v>
      </c>
      <c r="D15205" s="84">
        <v>0.0</v>
      </c>
      <c r="E15205" s="84">
        <v>0.0</v>
      </c>
      <c r="F15205" s="76" t="s">
        <v>993</v>
      </c>
      <c r="G15205" s="83">
        <v>46125.0</v>
      </c>
      <c r="H15205" s="76" t="s">
        <v>965</v>
      </c>
    </row>
    <row r="15206">
      <c r="A15206" s="76" t="s">
        <v>36</v>
      </c>
      <c r="B15206" s="76" t="s">
        <v>1041</v>
      </c>
      <c r="C15206" s="84">
        <v>0.82</v>
      </c>
      <c r="D15206" s="84">
        <v>0.0</v>
      </c>
      <c r="E15206" s="84">
        <v>0.0</v>
      </c>
      <c r="F15206" s="76" t="s">
        <v>998</v>
      </c>
      <c r="G15206" s="83">
        <v>46125.0</v>
      </c>
      <c r="H15206" s="76" t="s">
        <v>926</v>
      </c>
    </row>
    <row r="15207">
      <c r="A15207" s="76" t="s">
        <v>36</v>
      </c>
      <c r="B15207" s="76" t="s">
        <v>1041</v>
      </c>
      <c r="C15207" s="84">
        <v>0.19</v>
      </c>
      <c r="D15207" s="84">
        <v>0.0</v>
      </c>
      <c r="E15207" s="84">
        <v>0.0</v>
      </c>
      <c r="F15207" s="76" t="s">
        <v>998</v>
      </c>
      <c r="G15207" s="83">
        <v>46125.0</v>
      </c>
      <c r="H15207" s="76" t="s">
        <v>927</v>
      </c>
    </row>
    <row r="15208">
      <c r="A15208" s="76" t="s">
        <v>36</v>
      </c>
      <c r="B15208" s="76" t="s">
        <v>1041</v>
      </c>
      <c r="C15208" s="84">
        <v>0.83</v>
      </c>
      <c r="D15208" s="84">
        <v>1.0</v>
      </c>
      <c r="E15208" s="84">
        <v>0.83</v>
      </c>
      <c r="F15208" s="76" t="s">
        <v>998</v>
      </c>
      <c r="G15208" s="83">
        <v>46125.0</v>
      </c>
      <c r="H15208" s="76" t="s">
        <v>928</v>
      </c>
    </row>
    <row r="15209">
      <c r="A15209" s="76" t="s">
        <v>34</v>
      </c>
      <c r="B15209" s="76" t="s">
        <v>1041</v>
      </c>
      <c r="C15209" s="84">
        <v>0.37</v>
      </c>
      <c r="D15209" s="84">
        <v>0.0</v>
      </c>
      <c r="E15209" s="84">
        <v>0.0</v>
      </c>
      <c r="F15209" s="76" t="s">
        <v>998</v>
      </c>
      <c r="G15209" s="83">
        <v>46125.0</v>
      </c>
      <c r="H15209" s="76" t="s">
        <v>951</v>
      </c>
    </row>
    <row r="15210">
      <c r="A15210" s="76" t="s">
        <v>34</v>
      </c>
      <c r="B15210" s="76" t="s">
        <v>1041</v>
      </c>
      <c r="C15210" s="84">
        <v>0.68</v>
      </c>
      <c r="D15210" s="84">
        <v>0.0</v>
      </c>
      <c r="E15210" s="84">
        <v>0.0</v>
      </c>
      <c r="F15210" s="76" t="s">
        <v>998</v>
      </c>
      <c r="G15210" s="83">
        <v>46125.0</v>
      </c>
      <c r="H15210" s="76" t="s">
        <v>952</v>
      </c>
    </row>
    <row r="15211">
      <c r="A15211" s="76" t="s">
        <v>34</v>
      </c>
      <c r="B15211" s="76" t="s">
        <v>1041</v>
      </c>
      <c r="C15211" s="84">
        <v>0.4</v>
      </c>
      <c r="D15211" s="84">
        <v>0.0</v>
      </c>
      <c r="E15211" s="84">
        <v>0.0</v>
      </c>
      <c r="F15211" s="76" t="s">
        <v>998</v>
      </c>
      <c r="G15211" s="83">
        <v>46125.0</v>
      </c>
      <c r="H15211" s="76" t="s">
        <v>953</v>
      </c>
    </row>
    <row r="15212">
      <c r="A15212" s="76" t="s">
        <v>33</v>
      </c>
      <c r="B15212" s="76" t="s">
        <v>1041</v>
      </c>
      <c r="C15212" s="84">
        <v>4.04</v>
      </c>
      <c r="D15212" s="84">
        <v>1.0</v>
      </c>
      <c r="E15212" s="84">
        <v>4.04</v>
      </c>
      <c r="F15212" s="76" t="s">
        <v>998</v>
      </c>
      <c r="G15212" s="83">
        <v>46125.0</v>
      </c>
      <c r="H15212" s="76" t="s">
        <v>957</v>
      </c>
    </row>
    <row r="15213">
      <c r="A15213" s="76" t="s">
        <v>33</v>
      </c>
      <c r="B15213" s="76" t="s">
        <v>1041</v>
      </c>
      <c r="C15213" s="84">
        <v>0.49</v>
      </c>
      <c r="D15213" s="84">
        <v>0.0</v>
      </c>
      <c r="E15213" s="84">
        <v>0.0</v>
      </c>
      <c r="F15213" s="76" t="s">
        <v>998</v>
      </c>
      <c r="G15213" s="83">
        <v>46125.0</v>
      </c>
      <c r="H15213" s="76" t="s">
        <v>958</v>
      </c>
    </row>
    <row r="15214">
      <c r="A15214" s="76" t="s">
        <v>33</v>
      </c>
      <c r="B15214" s="76" t="s">
        <v>1041</v>
      </c>
      <c r="C15214" s="84">
        <v>1.69</v>
      </c>
      <c r="D15214" s="84">
        <v>1.0</v>
      </c>
      <c r="E15214" s="84">
        <v>1.69</v>
      </c>
      <c r="F15214" s="76" t="s">
        <v>998</v>
      </c>
      <c r="G15214" s="83">
        <v>46125.0</v>
      </c>
      <c r="H15214" s="76" t="s">
        <v>959</v>
      </c>
    </row>
    <row r="15215">
      <c r="A15215" s="76" t="s">
        <v>29</v>
      </c>
      <c r="B15215" s="76" t="s">
        <v>1041</v>
      </c>
      <c r="C15215" s="84">
        <v>4.32</v>
      </c>
      <c r="D15215" s="84">
        <v>0.0</v>
      </c>
      <c r="E15215" s="84">
        <v>0.0</v>
      </c>
      <c r="F15215" s="76" t="s">
        <v>998</v>
      </c>
      <c r="G15215" s="83">
        <v>46125.0</v>
      </c>
      <c r="H15215" s="76" t="s">
        <v>971</v>
      </c>
    </row>
    <row r="15216">
      <c r="A15216" s="76" t="s">
        <v>29</v>
      </c>
      <c r="B15216" s="76" t="s">
        <v>1041</v>
      </c>
      <c r="C15216" s="84">
        <v>0.79</v>
      </c>
      <c r="D15216" s="84">
        <v>0.0</v>
      </c>
      <c r="E15216" s="84">
        <v>0.0</v>
      </c>
      <c r="F15216" s="76" t="s">
        <v>998</v>
      </c>
      <c r="G15216" s="83">
        <v>46125.0</v>
      </c>
      <c r="H15216" s="76" t="s">
        <v>972</v>
      </c>
    </row>
    <row r="15217">
      <c r="A15217" s="76" t="s">
        <v>29</v>
      </c>
      <c r="B15217" s="76" t="s">
        <v>1041</v>
      </c>
      <c r="C15217" s="84">
        <v>3.86</v>
      </c>
      <c r="D15217" s="84">
        <v>0.0</v>
      </c>
      <c r="E15217" s="84">
        <v>0.0</v>
      </c>
      <c r="F15217" s="76" t="s">
        <v>998</v>
      </c>
      <c r="G15217" s="83">
        <v>46125.0</v>
      </c>
      <c r="H15217" s="76" t="s">
        <v>973</v>
      </c>
    </row>
    <row r="15218">
      <c r="A15218" s="76" t="s">
        <v>46</v>
      </c>
      <c r="B15218" s="76" t="s">
        <v>1041</v>
      </c>
      <c r="C15218" s="84">
        <v>0.4</v>
      </c>
      <c r="D15218" s="84">
        <v>0.0</v>
      </c>
      <c r="E15218" s="84">
        <v>0.0</v>
      </c>
      <c r="F15218" s="76" t="s">
        <v>998</v>
      </c>
      <c r="G15218" s="83">
        <v>46125.0</v>
      </c>
      <c r="H15218" s="76" t="s">
        <v>960</v>
      </c>
    </row>
    <row r="15219">
      <c r="A15219" s="76" t="s">
        <v>46</v>
      </c>
      <c r="B15219" s="76" t="s">
        <v>1041</v>
      </c>
      <c r="C15219" s="84">
        <v>0.39</v>
      </c>
      <c r="D15219" s="84">
        <v>0.0</v>
      </c>
      <c r="E15219" s="84">
        <v>0.0</v>
      </c>
      <c r="F15219" s="76" t="s">
        <v>998</v>
      </c>
      <c r="G15219" s="83">
        <v>46125.0</v>
      </c>
      <c r="H15219" s="76" t="s">
        <v>961</v>
      </c>
    </row>
    <row r="15220">
      <c r="A15220" s="76" t="s">
        <v>46</v>
      </c>
      <c r="B15220" s="76" t="s">
        <v>1041</v>
      </c>
      <c r="C15220" s="84">
        <v>0.6</v>
      </c>
      <c r="D15220" s="84">
        <v>0.0</v>
      </c>
      <c r="E15220" s="84">
        <v>0.0</v>
      </c>
      <c r="F15220" s="76" t="s">
        <v>998</v>
      </c>
      <c r="G15220" s="83">
        <v>46125.0</v>
      </c>
      <c r="H15220" s="76" t="s">
        <v>962</v>
      </c>
    </row>
    <row r="15221">
      <c r="A15221" s="76" t="s">
        <v>40</v>
      </c>
      <c r="B15221" s="76" t="s">
        <v>1041</v>
      </c>
      <c r="C15221" s="84">
        <v>0.87</v>
      </c>
      <c r="D15221" s="84">
        <v>1.0</v>
      </c>
      <c r="E15221" s="84">
        <v>0.87</v>
      </c>
      <c r="F15221" s="76" t="s">
        <v>998</v>
      </c>
      <c r="G15221" s="83">
        <v>46125.0</v>
      </c>
      <c r="H15221" s="76" t="s">
        <v>954</v>
      </c>
    </row>
    <row r="15222">
      <c r="A15222" s="76" t="s">
        <v>40</v>
      </c>
      <c r="B15222" s="76" t="s">
        <v>1041</v>
      </c>
      <c r="C15222" s="84">
        <v>0.21</v>
      </c>
      <c r="D15222" s="84">
        <v>0.0</v>
      </c>
      <c r="E15222" s="84">
        <v>0.0</v>
      </c>
      <c r="F15222" s="76" t="s">
        <v>998</v>
      </c>
      <c r="G15222" s="83">
        <v>46125.0</v>
      </c>
      <c r="H15222" s="76" t="s">
        <v>955</v>
      </c>
    </row>
    <row r="15223">
      <c r="A15223" s="76" t="s">
        <v>40</v>
      </c>
      <c r="B15223" s="76" t="s">
        <v>1041</v>
      </c>
      <c r="C15223" s="84">
        <v>3.54</v>
      </c>
      <c r="D15223" s="84">
        <v>0.0</v>
      </c>
      <c r="E15223" s="84">
        <v>0.0</v>
      </c>
      <c r="F15223" s="76" t="s">
        <v>998</v>
      </c>
      <c r="G15223" s="83">
        <v>46125.0</v>
      </c>
      <c r="H15223" s="76" t="s">
        <v>956</v>
      </c>
    </row>
    <row r="15224">
      <c r="A15224" s="76" t="s">
        <v>966</v>
      </c>
      <c r="B15224" s="76" t="s">
        <v>1041</v>
      </c>
      <c r="C15224" s="84">
        <v>1.38</v>
      </c>
      <c r="D15224" s="84">
        <v>0.0</v>
      </c>
      <c r="E15224" s="84">
        <v>0.0</v>
      </c>
      <c r="F15224" s="76" t="s">
        <v>998</v>
      </c>
      <c r="G15224" s="83">
        <v>46125.0</v>
      </c>
      <c r="H15224" s="76" t="s">
        <v>967</v>
      </c>
    </row>
    <row r="15225">
      <c r="A15225" s="76" t="s">
        <v>966</v>
      </c>
      <c r="B15225" s="76" t="s">
        <v>1041</v>
      </c>
      <c r="C15225" s="84">
        <v>0.35</v>
      </c>
      <c r="D15225" s="84">
        <v>1.0</v>
      </c>
      <c r="E15225" s="84">
        <v>0.35</v>
      </c>
      <c r="F15225" s="76" t="s">
        <v>998</v>
      </c>
      <c r="G15225" s="83">
        <v>46125.0</v>
      </c>
      <c r="H15225" s="76" t="s">
        <v>968</v>
      </c>
    </row>
    <row r="15226">
      <c r="A15226" s="76" t="s">
        <v>966</v>
      </c>
      <c r="B15226" s="76" t="s">
        <v>1041</v>
      </c>
      <c r="C15226" s="84">
        <v>0.82</v>
      </c>
      <c r="D15226" s="84">
        <v>1.0</v>
      </c>
      <c r="E15226" s="84">
        <v>0.82</v>
      </c>
      <c r="F15226" s="76" t="s">
        <v>998</v>
      </c>
      <c r="G15226" s="83">
        <v>46125.0</v>
      </c>
      <c r="H15226" s="76" t="s">
        <v>969</v>
      </c>
    </row>
    <row r="15227">
      <c r="A15227" s="76" t="s">
        <v>43</v>
      </c>
      <c r="B15227" s="76" t="s">
        <v>1041</v>
      </c>
      <c r="C15227" s="84">
        <v>0.46</v>
      </c>
      <c r="D15227" s="84">
        <v>0.0</v>
      </c>
      <c r="E15227" s="84">
        <v>0.0</v>
      </c>
      <c r="F15227" s="76" t="s">
        <v>998</v>
      </c>
      <c r="G15227" s="83">
        <v>46125.0</v>
      </c>
      <c r="H15227" s="76" t="s">
        <v>963</v>
      </c>
    </row>
    <row r="15228">
      <c r="A15228" s="76" t="s">
        <v>43</v>
      </c>
      <c r="B15228" s="76" t="s">
        <v>1041</v>
      </c>
      <c r="C15228" s="84">
        <v>2.96</v>
      </c>
      <c r="D15228" s="84">
        <v>1.0</v>
      </c>
      <c r="E15228" s="84">
        <v>2.96</v>
      </c>
      <c r="F15228" s="76" t="s">
        <v>998</v>
      </c>
      <c r="G15228" s="83">
        <v>46125.0</v>
      </c>
      <c r="H15228" s="76" t="s">
        <v>964</v>
      </c>
    </row>
    <row r="15229">
      <c r="A15229" s="76" t="s">
        <v>43</v>
      </c>
      <c r="B15229" s="76" t="s">
        <v>1041</v>
      </c>
      <c r="C15229" s="84">
        <v>2.53</v>
      </c>
      <c r="D15229" s="84">
        <v>0.0</v>
      </c>
      <c r="E15229" s="84">
        <v>0.0</v>
      </c>
      <c r="F15229" s="76" t="s">
        <v>998</v>
      </c>
      <c r="G15229" s="83">
        <v>46125.0</v>
      </c>
      <c r="H15229" s="76" t="s">
        <v>965</v>
      </c>
    </row>
    <row r="15230">
      <c r="A15230" s="76" t="s">
        <v>970</v>
      </c>
      <c r="B15230" s="76" t="s">
        <v>1041</v>
      </c>
      <c r="C15230" s="84">
        <v>1.17</v>
      </c>
      <c r="D15230" s="84">
        <v>1.0</v>
      </c>
      <c r="E15230" s="84">
        <v>1.17</v>
      </c>
      <c r="F15230" s="76" t="s">
        <v>998</v>
      </c>
      <c r="G15230" s="83">
        <v>46125.0</v>
      </c>
      <c r="H15230" s="76" t="s">
        <v>971</v>
      </c>
    </row>
    <row r="15231">
      <c r="A15231" s="76" t="s">
        <v>970</v>
      </c>
      <c r="B15231" s="76" t="s">
        <v>1041</v>
      </c>
      <c r="C15231" s="84">
        <v>0.29</v>
      </c>
      <c r="D15231" s="84">
        <v>0.0</v>
      </c>
      <c r="E15231" s="84">
        <v>0.0</v>
      </c>
      <c r="F15231" s="76" t="s">
        <v>998</v>
      </c>
      <c r="G15231" s="83">
        <v>46125.0</v>
      </c>
      <c r="H15231" s="76" t="s">
        <v>972</v>
      </c>
    </row>
    <row r="15232">
      <c r="A15232" s="76" t="s">
        <v>970</v>
      </c>
      <c r="B15232" s="76" t="s">
        <v>1041</v>
      </c>
      <c r="C15232" s="84">
        <v>1.23</v>
      </c>
      <c r="D15232" s="84">
        <v>0.0</v>
      </c>
      <c r="E15232" s="84">
        <v>0.0</v>
      </c>
      <c r="F15232" s="76" t="s">
        <v>998</v>
      </c>
      <c r="G15232" s="83">
        <v>46125.0</v>
      </c>
      <c r="H15232" s="76" t="s">
        <v>973</v>
      </c>
    </row>
    <row r="15233">
      <c r="A15233" s="76" t="s">
        <v>32</v>
      </c>
      <c r="B15233" s="76" t="s">
        <v>1032</v>
      </c>
      <c r="C15233" s="84">
        <v>2.97</v>
      </c>
      <c r="D15233" s="84">
        <v>0.0</v>
      </c>
      <c r="E15233" s="84">
        <v>0.0</v>
      </c>
      <c r="F15233" s="76" t="s">
        <v>996</v>
      </c>
      <c r="G15233" s="83">
        <v>46125.0</v>
      </c>
      <c r="H15233" s="76" t="s">
        <v>941</v>
      </c>
    </row>
    <row r="15234">
      <c r="A15234" s="76" t="s">
        <v>32</v>
      </c>
      <c r="B15234" s="76" t="s">
        <v>1032</v>
      </c>
      <c r="C15234" s="84">
        <v>0.22</v>
      </c>
      <c r="D15234" s="84">
        <v>0.0</v>
      </c>
      <c r="E15234" s="84">
        <v>0.0</v>
      </c>
      <c r="F15234" s="76" t="s">
        <v>996</v>
      </c>
      <c r="G15234" s="83">
        <v>46125.0</v>
      </c>
      <c r="H15234" s="76" t="s">
        <v>942</v>
      </c>
    </row>
    <row r="15235">
      <c r="A15235" s="76" t="s">
        <v>32</v>
      </c>
      <c r="B15235" s="76" t="s">
        <v>1032</v>
      </c>
      <c r="C15235" s="84">
        <v>0.6</v>
      </c>
      <c r="D15235" s="84">
        <v>0.0</v>
      </c>
      <c r="E15235" s="84">
        <v>0.0</v>
      </c>
      <c r="F15235" s="76" t="s">
        <v>996</v>
      </c>
      <c r="G15235" s="83">
        <v>46125.0</v>
      </c>
      <c r="H15235" s="76" t="s">
        <v>943</v>
      </c>
    </row>
    <row r="15236">
      <c r="A15236" s="76" t="s">
        <v>28</v>
      </c>
      <c r="B15236" s="76" t="s">
        <v>1032</v>
      </c>
      <c r="C15236" s="84">
        <v>0.15</v>
      </c>
      <c r="D15236" s="84">
        <v>0.0</v>
      </c>
      <c r="E15236" s="84">
        <v>0.0</v>
      </c>
      <c r="F15236" s="76" t="s">
        <v>996</v>
      </c>
      <c r="G15236" s="83">
        <v>46125.0</v>
      </c>
      <c r="H15236" s="76" t="s">
        <v>931</v>
      </c>
    </row>
    <row r="15237">
      <c r="A15237" s="76" t="s">
        <v>28</v>
      </c>
      <c r="B15237" s="76" t="s">
        <v>1032</v>
      </c>
      <c r="C15237" s="84">
        <v>0.02</v>
      </c>
      <c r="D15237" s="84">
        <v>0.0</v>
      </c>
      <c r="E15237" s="84">
        <v>0.0</v>
      </c>
      <c r="F15237" s="76" t="s">
        <v>996</v>
      </c>
      <c r="G15237" s="83">
        <v>46125.0</v>
      </c>
      <c r="H15237" s="76" t="s">
        <v>932</v>
      </c>
    </row>
    <row r="15238">
      <c r="A15238" s="76" t="s">
        <v>28</v>
      </c>
      <c r="B15238" s="76" t="s">
        <v>1032</v>
      </c>
      <c r="C15238" s="84">
        <v>0.88</v>
      </c>
      <c r="D15238" s="84">
        <v>0.0</v>
      </c>
      <c r="E15238" s="84">
        <v>0.0</v>
      </c>
      <c r="F15238" s="76" t="s">
        <v>996</v>
      </c>
      <c r="G15238" s="83">
        <v>46125.0</v>
      </c>
      <c r="H15238" s="76" t="s">
        <v>933</v>
      </c>
    </row>
    <row r="15239">
      <c r="A15239" s="76" t="s">
        <v>36</v>
      </c>
      <c r="B15239" s="76" t="s">
        <v>1032</v>
      </c>
      <c r="C15239" s="84">
        <v>0.64</v>
      </c>
      <c r="D15239" s="84">
        <v>0.0</v>
      </c>
      <c r="E15239" s="84">
        <v>0.0</v>
      </c>
      <c r="F15239" s="76" t="s">
        <v>996</v>
      </c>
      <c r="G15239" s="83">
        <v>46125.0</v>
      </c>
      <c r="H15239" s="76" t="s">
        <v>926</v>
      </c>
    </row>
    <row r="15240">
      <c r="A15240" s="76" t="s">
        <v>36</v>
      </c>
      <c r="B15240" s="76" t="s">
        <v>1032</v>
      </c>
      <c r="C15240" s="84">
        <v>0.1</v>
      </c>
      <c r="D15240" s="84">
        <v>0.0</v>
      </c>
      <c r="E15240" s="84">
        <v>0.0</v>
      </c>
      <c r="F15240" s="76" t="s">
        <v>996</v>
      </c>
      <c r="G15240" s="83">
        <v>46125.0</v>
      </c>
      <c r="H15240" s="76" t="s">
        <v>927</v>
      </c>
    </row>
    <row r="15241">
      <c r="A15241" s="76" t="s">
        <v>36</v>
      </c>
      <c r="B15241" s="76" t="s">
        <v>1032</v>
      </c>
      <c r="C15241" s="84">
        <v>0.2</v>
      </c>
      <c r="D15241" s="84">
        <v>0.0</v>
      </c>
      <c r="E15241" s="84">
        <v>0.0</v>
      </c>
      <c r="F15241" s="76" t="s">
        <v>996</v>
      </c>
      <c r="G15241" s="83">
        <v>46125.0</v>
      </c>
      <c r="H15241" s="76" t="s">
        <v>928</v>
      </c>
    </row>
    <row r="15242">
      <c r="A15242" s="76" t="s">
        <v>26</v>
      </c>
      <c r="B15242" s="76" t="s">
        <v>1032</v>
      </c>
      <c r="C15242" s="84">
        <v>0.07</v>
      </c>
      <c r="D15242" s="84">
        <v>0.0</v>
      </c>
      <c r="E15242" s="84">
        <v>0.0</v>
      </c>
      <c r="F15242" s="76" t="s">
        <v>996</v>
      </c>
      <c r="G15242" s="83">
        <v>46125.0</v>
      </c>
      <c r="H15242" s="76" t="s">
        <v>1012</v>
      </c>
    </row>
    <row r="15243">
      <c r="A15243" s="76" t="s">
        <v>26</v>
      </c>
      <c r="B15243" s="76" t="s">
        <v>1032</v>
      </c>
      <c r="C15243" s="84">
        <v>0.02</v>
      </c>
      <c r="D15243" s="84">
        <v>0.0</v>
      </c>
      <c r="E15243" s="84">
        <v>0.0</v>
      </c>
      <c r="F15243" s="76" t="s">
        <v>996</v>
      </c>
      <c r="G15243" s="83">
        <v>46125.0</v>
      </c>
      <c r="H15243" s="76" t="s">
        <v>1013</v>
      </c>
    </row>
    <row r="15244">
      <c r="A15244" s="76" t="s">
        <v>26</v>
      </c>
      <c r="B15244" s="76" t="s">
        <v>1032</v>
      </c>
      <c r="C15244" s="84">
        <v>4.03</v>
      </c>
      <c r="D15244" s="84">
        <v>0.0</v>
      </c>
      <c r="E15244" s="84">
        <v>0.0</v>
      </c>
      <c r="F15244" s="76" t="s">
        <v>996</v>
      </c>
      <c r="G15244" s="83">
        <v>46125.0</v>
      </c>
      <c r="H15244" s="76" t="s">
        <v>1014</v>
      </c>
    </row>
    <row r="15245">
      <c r="A15245" s="76" t="s">
        <v>45</v>
      </c>
      <c r="B15245" s="76" t="s">
        <v>1032</v>
      </c>
      <c r="C15245" s="84">
        <v>0.02</v>
      </c>
      <c r="D15245" s="84">
        <v>0.0</v>
      </c>
      <c r="E15245" s="84">
        <v>0.0</v>
      </c>
      <c r="F15245" s="76" t="s">
        <v>996</v>
      </c>
      <c r="G15245" s="83">
        <v>46125.0</v>
      </c>
      <c r="H15245" s="76" t="s">
        <v>936</v>
      </c>
    </row>
    <row r="15246">
      <c r="A15246" s="76" t="s">
        <v>45</v>
      </c>
      <c r="B15246" s="76" t="s">
        <v>1032</v>
      </c>
      <c r="C15246" s="84">
        <v>0.03</v>
      </c>
      <c r="D15246" s="84">
        <v>0.0</v>
      </c>
      <c r="E15246" s="84">
        <v>0.0</v>
      </c>
      <c r="F15246" s="76" t="s">
        <v>996</v>
      </c>
      <c r="G15246" s="83">
        <v>46125.0</v>
      </c>
      <c r="H15246" s="76" t="s">
        <v>937</v>
      </c>
    </row>
    <row r="15247">
      <c r="A15247" s="76" t="s">
        <v>45</v>
      </c>
      <c r="B15247" s="76" t="s">
        <v>1032</v>
      </c>
      <c r="C15247" s="84">
        <v>0.0</v>
      </c>
      <c r="D15247" s="84">
        <v>0.0</v>
      </c>
      <c r="E15247" s="84">
        <v>0.0</v>
      </c>
      <c r="F15247" s="76" t="s">
        <v>996</v>
      </c>
      <c r="G15247" s="83">
        <v>46125.0</v>
      </c>
      <c r="H15247" s="76" t="s">
        <v>938</v>
      </c>
    </row>
    <row r="15248">
      <c r="A15248" s="76" t="s">
        <v>31</v>
      </c>
      <c r="B15248" s="76" t="s">
        <v>1032</v>
      </c>
      <c r="C15248" s="84">
        <v>0.15</v>
      </c>
      <c r="D15248" s="84">
        <v>0.0</v>
      </c>
      <c r="E15248" s="84">
        <v>0.0</v>
      </c>
      <c r="F15248" s="76" t="s">
        <v>996</v>
      </c>
      <c r="G15248" s="83">
        <v>46125.0</v>
      </c>
      <c r="H15248" s="76" t="s">
        <v>929</v>
      </c>
    </row>
    <row r="15249">
      <c r="A15249" s="76" t="s">
        <v>31</v>
      </c>
      <c r="B15249" s="76" t="s">
        <v>1032</v>
      </c>
      <c r="C15249" s="84">
        <v>8.61</v>
      </c>
      <c r="D15249" s="84">
        <v>3.0</v>
      </c>
      <c r="E15249" s="84">
        <v>2.87</v>
      </c>
      <c r="F15249" s="76" t="s">
        <v>996</v>
      </c>
      <c r="G15249" s="83">
        <v>46125.0</v>
      </c>
      <c r="H15249" s="76" t="s">
        <v>930</v>
      </c>
    </row>
    <row r="15250">
      <c r="A15250" s="76" t="s">
        <v>944</v>
      </c>
      <c r="B15250" s="76" t="s">
        <v>1032</v>
      </c>
      <c r="C15250" s="84">
        <v>0.61</v>
      </c>
      <c r="D15250" s="84">
        <v>0.0</v>
      </c>
      <c r="E15250" s="84">
        <v>0.0</v>
      </c>
      <c r="F15250" s="76" t="s">
        <v>996</v>
      </c>
      <c r="G15250" s="83">
        <v>46125.0</v>
      </c>
      <c r="H15250" s="76" t="s">
        <v>945</v>
      </c>
    </row>
    <row r="15251">
      <c r="A15251" s="76" t="s">
        <v>944</v>
      </c>
      <c r="B15251" s="76" t="s">
        <v>1032</v>
      </c>
      <c r="C15251" s="84">
        <v>0.08</v>
      </c>
      <c r="D15251" s="84">
        <v>0.0</v>
      </c>
      <c r="E15251" s="84">
        <v>0.0</v>
      </c>
      <c r="F15251" s="76" t="s">
        <v>996</v>
      </c>
      <c r="G15251" s="83">
        <v>46125.0</v>
      </c>
      <c r="H15251" s="76" t="s">
        <v>946</v>
      </c>
    </row>
    <row r="15252">
      <c r="A15252" s="76" t="s">
        <v>944</v>
      </c>
      <c r="B15252" s="76" t="s">
        <v>1032</v>
      </c>
      <c r="C15252" s="84">
        <v>0.59</v>
      </c>
      <c r="D15252" s="84">
        <v>0.0</v>
      </c>
      <c r="E15252" s="84">
        <v>0.0</v>
      </c>
      <c r="F15252" s="76" t="s">
        <v>996</v>
      </c>
      <c r="G15252" s="83">
        <v>46125.0</v>
      </c>
      <c r="H15252" s="76" t="s">
        <v>947</v>
      </c>
    </row>
    <row r="15253">
      <c r="A15253" s="76" t="s">
        <v>1043</v>
      </c>
      <c r="B15253" s="76" t="s">
        <v>1032</v>
      </c>
      <c r="C15253" s="84">
        <v>0.19</v>
      </c>
      <c r="D15253" s="84">
        <v>0.0</v>
      </c>
      <c r="E15253" s="84">
        <v>0.0</v>
      </c>
      <c r="F15253" s="76" t="s">
        <v>996</v>
      </c>
      <c r="G15253" s="83">
        <v>46125.0</v>
      </c>
      <c r="H15253" s="76" t="s">
        <v>1044</v>
      </c>
    </row>
    <row r="15254">
      <c r="A15254" s="76" t="s">
        <v>52</v>
      </c>
      <c r="B15254" s="76" t="s">
        <v>1032</v>
      </c>
      <c r="C15254" s="84">
        <v>0.26</v>
      </c>
      <c r="D15254" s="84">
        <v>0.0</v>
      </c>
      <c r="E15254" s="84">
        <v>0.0</v>
      </c>
      <c r="F15254" s="76" t="s">
        <v>996</v>
      </c>
      <c r="G15254" s="83">
        <v>46125.0</v>
      </c>
      <c r="H15254" s="76" t="s">
        <v>1045</v>
      </c>
    </row>
    <row r="15255">
      <c r="A15255" s="76" t="s">
        <v>49</v>
      </c>
      <c r="B15255" s="76" t="s">
        <v>1032</v>
      </c>
      <c r="C15255" s="84">
        <v>0.47</v>
      </c>
      <c r="D15255" s="84">
        <v>1.0</v>
      </c>
      <c r="E15255" s="84">
        <v>0.47</v>
      </c>
      <c r="F15255" s="76" t="s">
        <v>996</v>
      </c>
      <c r="G15255" s="83">
        <v>46125.0</v>
      </c>
      <c r="H15255" s="76" t="s">
        <v>1046</v>
      </c>
    </row>
    <row r="15256">
      <c r="A15256" s="76" t="s">
        <v>28</v>
      </c>
      <c r="B15256" s="76" t="s">
        <v>1032</v>
      </c>
      <c r="C15256" s="84">
        <v>0.68</v>
      </c>
      <c r="D15256" s="84">
        <v>1.0</v>
      </c>
      <c r="E15256" s="84">
        <v>0.68</v>
      </c>
      <c r="F15256" s="76" t="s">
        <v>997</v>
      </c>
      <c r="G15256" s="83">
        <v>46125.0</v>
      </c>
      <c r="H15256" s="76" t="s">
        <v>931</v>
      </c>
    </row>
    <row r="15257">
      <c r="A15257" s="76" t="s">
        <v>28</v>
      </c>
      <c r="B15257" s="76" t="s">
        <v>1032</v>
      </c>
      <c r="C15257" s="84">
        <v>0.02</v>
      </c>
      <c r="D15257" s="84">
        <v>0.0</v>
      </c>
      <c r="E15257" s="84">
        <v>0.0</v>
      </c>
      <c r="F15257" s="76" t="s">
        <v>997</v>
      </c>
      <c r="G15257" s="83">
        <v>46125.0</v>
      </c>
      <c r="H15257" s="76" t="s">
        <v>932</v>
      </c>
    </row>
    <row r="15258">
      <c r="A15258" s="76" t="s">
        <v>28</v>
      </c>
      <c r="B15258" s="76" t="s">
        <v>1032</v>
      </c>
      <c r="C15258" s="84">
        <v>1.27</v>
      </c>
      <c r="D15258" s="84">
        <v>1.0</v>
      </c>
      <c r="E15258" s="84">
        <v>1.27</v>
      </c>
      <c r="F15258" s="76" t="s">
        <v>997</v>
      </c>
      <c r="G15258" s="83">
        <v>46125.0</v>
      </c>
      <c r="H15258" s="76" t="s">
        <v>933</v>
      </c>
    </row>
    <row r="15259">
      <c r="A15259" s="76" t="s">
        <v>45</v>
      </c>
      <c r="B15259" s="76" t="s">
        <v>1032</v>
      </c>
      <c r="C15259" s="84">
        <v>0.16</v>
      </c>
      <c r="D15259" s="84">
        <v>0.0</v>
      </c>
      <c r="E15259" s="84">
        <v>0.0</v>
      </c>
      <c r="F15259" s="76" t="s">
        <v>997</v>
      </c>
      <c r="G15259" s="83">
        <v>46125.0</v>
      </c>
      <c r="H15259" s="76" t="s">
        <v>936</v>
      </c>
    </row>
    <row r="15260">
      <c r="A15260" s="76" t="s">
        <v>45</v>
      </c>
      <c r="B15260" s="76" t="s">
        <v>1032</v>
      </c>
      <c r="C15260" s="84">
        <v>0.27</v>
      </c>
      <c r="D15260" s="84">
        <v>0.0</v>
      </c>
      <c r="E15260" s="84">
        <v>0.0</v>
      </c>
      <c r="F15260" s="76" t="s">
        <v>997</v>
      </c>
      <c r="G15260" s="83">
        <v>46125.0</v>
      </c>
      <c r="H15260" s="76" t="s">
        <v>937</v>
      </c>
    </row>
    <row r="15261">
      <c r="A15261" s="76" t="s">
        <v>45</v>
      </c>
      <c r="B15261" s="76" t="s">
        <v>1032</v>
      </c>
      <c r="C15261" s="84">
        <v>0.02</v>
      </c>
      <c r="D15261" s="84">
        <v>0.0</v>
      </c>
      <c r="E15261" s="84">
        <v>0.0</v>
      </c>
      <c r="F15261" s="76" t="s">
        <v>997</v>
      </c>
      <c r="G15261" s="83">
        <v>46125.0</v>
      </c>
      <c r="H15261" s="76" t="s">
        <v>938</v>
      </c>
    </row>
    <row r="15262">
      <c r="A15262" s="76" t="s">
        <v>32</v>
      </c>
      <c r="B15262" s="76" t="s">
        <v>1032</v>
      </c>
      <c r="C15262" s="84">
        <v>11.57</v>
      </c>
      <c r="D15262" s="84">
        <v>5.0</v>
      </c>
      <c r="E15262" s="84">
        <v>2.31</v>
      </c>
      <c r="F15262" s="76" t="s">
        <v>997</v>
      </c>
      <c r="G15262" s="83">
        <v>46125.0</v>
      </c>
      <c r="H15262" s="76" t="s">
        <v>941</v>
      </c>
    </row>
    <row r="15263">
      <c r="A15263" s="76" t="s">
        <v>32</v>
      </c>
      <c r="B15263" s="76" t="s">
        <v>1032</v>
      </c>
      <c r="C15263" s="84">
        <v>0.66</v>
      </c>
      <c r="D15263" s="84">
        <v>0.0</v>
      </c>
      <c r="E15263" s="84">
        <v>0.0</v>
      </c>
      <c r="F15263" s="76" t="s">
        <v>997</v>
      </c>
      <c r="G15263" s="83">
        <v>46125.0</v>
      </c>
      <c r="H15263" s="76" t="s">
        <v>942</v>
      </c>
    </row>
    <row r="15264">
      <c r="A15264" s="76" t="s">
        <v>32</v>
      </c>
      <c r="B15264" s="76" t="s">
        <v>1032</v>
      </c>
      <c r="C15264" s="84">
        <v>1.14</v>
      </c>
      <c r="D15264" s="84">
        <v>0.0</v>
      </c>
      <c r="E15264" s="84">
        <v>0.0</v>
      </c>
      <c r="F15264" s="76" t="s">
        <v>997</v>
      </c>
      <c r="G15264" s="83">
        <v>46125.0</v>
      </c>
      <c r="H15264" s="76" t="s">
        <v>943</v>
      </c>
    </row>
    <row r="15265">
      <c r="A15265" s="76" t="s">
        <v>944</v>
      </c>
      <c r="B15265" s="76" t="s">
        <v>1032</v>
      </c>
      <c r="C15265" s="84">
        <v>0.8</v>
      </c>
      <c r="D15265" s="84">
        <v>1.0</v>
      </c>
      <c r="E15265" s="84">
        <v>0.8</v>
      </c>
      <c r="F15265" s="76" t="s">
        <v>997</v>
      </c>
      <c r="G15265" s="83">
        <v>46125.0</v>
      </c>
      <c r="H15265" s="76" t="s">
        <v>945</v>
      </c>
    </row>
    <row r="15266">
      <c r="A15266" s="76" t="s">
        <v>944</v>
      </c>
      <c r="B15266" s="76" t="s">
        <v>1032</v>
      </c>
      <c r="C15266" s="84">
        <v>0.38</v>
      </c>
      <c r="D15266" s="84">
        <v>0.0</v>
      </c>
      <c r="E15266" s="84">
        <v>0.0</v>
      </c>
      <c r="F15266" s="76" t="s">
        <v>997</v>
      </c>
      <c r="G15266" s="83">
        <v>46125.0</v>
      </c>
      <c r="H15266" s="76" t="s">
        <v>946</v>
      </c>
    </row>
    <row r="15267">
      <c r="A15267" s="76" t="s">
        <v>944</v>
      </c>
      <c r="B15267" s="76" t="s">
        <v>1032</v>
      </c>
      <c r="C15267" s="84">
        <v>1.5</v>
      </c>
      <c r="D15267" s="84">
        <v>0.0</v>
      </c>
      <c r="E15267" s="84">
        <v>0.0</v>
      </c>
      <c r="F15267" s="76" t="s">
        <v>997</v>
      </c>
      <c r="G15267" s="83">
        <v>46125.0</v>
      </c>
      <c r="H15267" s="76" t="s">
        <v>947</v>
      </c>
    </row>
    <row r="15268">
      <c r="A15268" s="76" t="s">
        <v>36</v>
      </c>
      <c r="B15268" s="76" t="s">
        <v>1032</v>
      </c>
      <c r="C15268" s="84">
        <v>1.19</v>
      </c>
      <c r="D15268" s="84">
        <v>0.0</v>
      </c>
      <c r="E15268" s="84">
        <v>0.0</v>
      </c>
      <c r="F15268" s="76" t="s">
        <v>997</v>
      </c>
      <c r="G15268" s="83">
        <v>46125.0</v>
      </c>
      <c r="H15268" s="76" t="s">
        <v>926</v>
      </c>
    </row>
    <row r="15269">
      <c r="A15269" s="76" t="s">
        <v>36</v>
      </c>
      <c r="B15269" s="76" t="s">
        <v>1032</v>
      </c>
      <c r="C15269" s="84">
        <v>0.15</v>
      </c>
      <c r="D15269" s="84">
        <v>0.0</v>
      </c>
      <c r="E15269" s="84">
        <v>0.0</v>
      </c>
      <c r="F15269" s="76" t="s">
        <v>997</v>
      </c>
      <c r="G15269" s="83">
        <v>46125.0</v>
      </c>
      <c r="H15269" s="76" t="s">
        <v>927</v>
      </c>
    </row>
    <row r="15270">
      <c r="A15270" s="76" t="s">
        <v>36</v>
      </c>
      <c r="B15270" s="76" t="s">
        <v>1032</v>
      </c>
      <c r="C15270" s="84">
        <v>0.91</v>
      </c>
      <c r="D15270" s="84">
        <v>0.0</v>
      </c>
      <c r="E15270" s="84">
        <v>0.0</v>
      </c>
      <c r="F15270" s="76" t="s">
        <v>997</v>
      </c>
      <c r="G15270" s="83">
        <v>46125.0</v>
      </c>
      <c r="H15270" s="76" t="s">
        <v>928</v>
      </c>
    </row>
    <row r="15271">
      <c r="A15271" s="76" t="s">
        <v>31</v>
      </c>
      <c r="B15271" s="76" t="s">
        <v>1032</v>
      </c>
      <c r="C15271" s="84">
        <v>0.3</v>
      </c>
      <c r="D15271" s="84">
        <v>0.0</v>
      </c>
      <c r="E15271" s="84">
        <v>0.0</v>
      </c>
      <c r="F15271" s="76" t="s">
        <v>997</v>
      </c>
      <c r="G15271" s="83">
        <v>46125.0</v>
      </c>
      <c r="H15271" s="76" t="s">
        <v>929</v>
      </c>
    </row>
    <row r="15272">
      <c r="A15272" s="76" t="s">
        <v>31</v>
      </c>
      <c r="B15272" s="76" t="s">
        <v>1032</v>
      </c>
      <c r="C15272" s="84">
        <v>26.5</v>
      </c>
      <c r="D15272" s="84">
        <v>5.0</v>
      </c>
      <c r="E15272" s="84">
        <v>5.3</v>
      </c>
      <c r="F15272" s="76" t="s">
        <v>997</v>
      </c>
      <c r="G15272" s="83">
        <v>46125.0</v>
      </c>
      <c r="H15272" s="76" t="s">
        <v>930</v>
      </c>
    </row>
    <row r="15273">
      <c r="A15273" s="76" t="s">
        <v>26</v>
      </c>
      <c r="B15273" s="76" t="s">
        <v>1032</v>
      </c>
      <c r="C15273" s="84">
        <v>0.51</v>
      </c>
      <c r="D15273" s="84">
        <v>1.0</v>
      </c>
      <c r="E15273" s="84">
        <v>0.51</v>
      </c>
      <c r="F15273" s="76" t="s">
        <v>997</v>
      </c>
      <c r="G15273" s="83">
        <v>46125.0</v>
      </c>
      <c r="H15273" s="76" t="s">
        <v>1012</v>
      </c>
    </row>
    <row r="15274">
      <c r="A15274" s="76" t="s">
        <v>26</v>
      </c>
      <c r="B15274" s="76" t="s">
        <v>1032</v>
      </c>
      <c r="C15274" s="84">
        <v>0.08</v>
      </c>
      <c r="D15274" s="84">
        <v>0.0</v>
      </c>
      <c r="E15274" s="84">
        <v>0.0</v>
      </c>
      <c r="F15274" s="76" t="s">
        <v>997</v>
      </c>
      <c r="G15274" s="83">
        <v>46125.0</v>
      </c>
      <c r="H15274" s="76" t="s">
        <v>1013</v>
      </c>
    </row>
    <row r="15275">
      <c r="A15275" s="76" t="s">
        <v>26</v>
      </c>
      <c r="B15275" s="76" t="s">
        <v>1032</v>
      </c>
      <c r="C15275" s="84">
        <v>8.03</v>
      </c>
      <c r="D15275" s="84">
        <v>2.0</v>
      </c>
      <c r="E15275" s="84">
        <v>4.01</v>
      </c>
      <c r="F15275" s="76" t="s">
        <v>997</v>
      </c>
      <c r="G15275" s="83">
        <v>46125.0</v>
      </c>
      <c r="H15275" s="76" t="s">
        <v>1014</v>
      </c>
    </row>
    <row r="15276">
      <c r="A15276" s="76" t="s">
        <v>1043</v>
      </c>
      <c r="B15276" s="76" t="s">
        <v>1032</v>
      </c>
      <c r="C15276" s="84">
        <v>0.36</v>
      </c>
      <c r="D15276" s="84">
        <v>0.0</v>
      </c>
      <c r="E15276" s="84">
        <v>0.0</v>
      </c>
      <c r="F15276" s="76" t="s">
        <v>997</v>
      </c>
      <c r="G15276" s="83">
        <v>46125.0</v>
      </c>
      <c r="H15276" s="76" t="s">
        <v>1044</v>
      </c>
    </row>
    <row r="15277">
      <c r="A15277" s="76" t="s">
        <v>52</v>
      </c>
      <c r="B15277" s="76" t="s">
        <v>1032</v>
      </c>
      <c r="C15277" s="84">
        <v>0.5</v>
      </c>
      <c r="D15277" s="84">
        <v>0.0</v>
      </c>
      <c r="E15277" s="84">
        <v>0.0</v>
      </c>
      <c r="F15277" s="76" t="s">
        <v>997</v>
      </c>
      <c r="G15277" s="83">
        <v>46125.0</v>
      </c>
      <c r="H15277" s="76" t="s">
        <v>1045</v>
      </c>
    </row>
    <row r="15278">
      <c r="A15278" s="76" t="s">
        <v>49</v>
      </c>
      <c r="B15278" s="76" t="s">
        <v>1032</v>
      </c>
      <c r="C15278" s="84">
        <v>0.7</v>
      </c>
      <c r="D15278" s="84">
        <v>0.0</v>
      </c>
      <c r="E15278" s="84">
        <v>0.0</v>
      </c>
      <c r="F15278" s="76" t="s">
        <v>997</v>
      </c>
      <c r="G15278" s="83">
        <v>46125.0</v>
      </c>
      <c r="H15278" s="76" t="s">
        <v>1046</v>
      </c>
    </row>
    <row r="15279">
      <c r="A15279" s="76" t="s">
        <v>45</v>
      </c>
      <c r="B15279" s="76" t="s">
        <v>1032</v>
      </c>
      <c r="C15279" s="84">
        <v>0.06</v>
      </c>
      <c r="D15279" s="84">
        <v>0.0</v>
      </c>
      <c r="E15279" s="84">
        <v>0.0</v>
      </c>
      <c r="F15279" s="76" t="s">
        <v>990</v>
      </c>
      <c r="G15279" s="83">
        <v>46125.0</v>
      </c>
      <c r="H15279" s="76" t="s">
        <v>936</v>
      </c>
    </row>
    <row r="15280">
      <c r="A15280" s="76" t="s">
        <v>45</v>
      </c>
      <c r="B15280" s="76" t="s">
        <v>1032</v>
      </c>
      <c r="C15280" s="84">
        <v>0.05</v>
      </c>
      <c r="D15280" s="84">
        <v>0.0</v>
      </c>
      <c r="E15280" s="84">
        <v>0.0</v>
      </c>
      <c r="F15280" s="76" t="s">
        <v>990</v>
      </c>
      <c r="G15280" s="83">
        <v>46125.0</v>
      </c>
      <c r="H15280" s="76" t="s">
        <v>937</v>
      </c>
    </row>
    <row r="15281">
      <c r="A15281" s="76" t="s">
        <v>45</v>
      </c>
      <c r="B15281" s="76" t="s">
        <v>1032</v>
      </c>
      <c r="C15281" s="84">
        <v>0.01</v>
      </c>
      <c r="D15281" s="84">
        <v>0.0</v>
      </c>
      <c r="E15281" s="84">
        <v>0.0</v>
      </c>
      <c r="F15281" s="76" t="s">
        <v>990</v>
      </c>
      <c r="G15281" s="83">
        <v>46125.0</v>
      </c>
      <c r="H15281" s="76" t="s">
        <v>938</v>
      </c>
    </row>
    <row r="15282">
      <c r="A15282" s="76" t="s">
        <v>32</v>
      </c>
      <c r="B15282" s="76" t="s">
        <v>1032</v>
      </c>
      <c r="C15282" s="84">
        <v>3.95</v>
      </c>
      <c r="D15282" s="84">
        <v>1.0</v>
      </c>
      <c r="E15282" s="84">
        <v>3.95</v>
      </c>
      <c r="F15282" s="76" t="s">
        <v>990</v>
      </c>
      <c r="G15282" s="83">
        <v>46125.0</v>
      </c>
      <c r="H15282" s="76" t="s">
        <v>941</v>
      </c>
    </row>
    <row r="15283">
      <c r="A15283" s="76" t="s">
        <v>32</v>
      </c>
      <c r="B15283" s="76" t="s">
        <v>1032</v>
      </c>
      <c r="C15283" s="84">
        <v>0.54</v>
      </c>
      <c r="D15283" s="84">
        <v>0.0</v>
      </c>
      <c r="E15283" s="84">
        <v>0.0</v>
      </c>
      <c r="F15283" s="76" t="s">
        <v>990</v>
      </c>
      <c r="G15283" s="83">
        <v>46125.0</v>
      </c>
      <c r="H15283" s="76" t="s">
        <v>942</v>
      </c>
    </row>
    <row r="15284">
      <c r="A15284" s="76" t="s">
        <v>32</v>
      </c>
      <c r="B15284" s="76" t="s">
        <v>1032</v>
      </c>
      <c r="C15284" s="84">
        <v>0.76</v>
      </c>
      <c r="D15284" s="84">
        <v>1.0</v>
      </c>
      <c r="E15284" s="84">
        <v>0.76</v>
      </c>
      <c r="F15284" s="76" t="s">
        <v>990</v>
      </c>
      <c r="G15284" s="83">
        <v>46125.0</v>
      </c>
      <c r="H15284" s="76" t="s">
        <v>943</v>
      </c>
    </row>
    <row r="15285">
      <c r="A15285" s="76" t="s">
        <v>36</v>
      </c>
      <c r="B15285" s="76" t="s">
        <v>1032</v>
      </c>
      <c r="C15285" s="84">
        <v>0.72</v>
      </c>
      <c r="D15285" s="84">
        <v>0.0</v>
      </c>
      <c r="E15285" s="84">
        <v>0.0</v>
      </c>
      <c r="F15285" s="76" t="s">
        <v>990</v>
      </c>
      <c r="G15285" s="83">
        <v>46125.0</v>
      </c>
      <c r="H15285" s="76" t="s">
        <v>926</v>
      </c>
    </row>
    <row r="15286">
      <c r="A15286" s="76" t="s">
        <v>36</v>
      </c>
      <c r="B15286" s="76" t="s">
        <v>1032</v>
      </c>
      <c r="C15286" s="84">
        <v>0.11</v>
      </c>
      <c r="D15286" s="84">
        <v>0.0</v>
      </c>
      <c r="E15286" s="84">
        <v>0.0</v>
      </c>
      <c r="F15286" s="76" t="s">
        <v>990</v>
      </c>
      <c r="G15286" s="83">
        <v>46125.0</v>
      </c>
      <c r="H15286" s="76" t="s">
        <v>927</v>
      </c>
    </row>
    <row r="15287">
      <c r="A15287" s="76" t="s">
        <v>36</v>
      </c>
      <c r="B15287" s="76" t="s">
        <v>1032</v>
      </c>
      <c r="C15287" s="84">
        <v>0.44</v>
      </c>
      <c r="D15287" s="84">
        <v>1.0</v>
      </c>
      <c r="E15287" s="84">
        <v>0.44</v>
      </c>
      <c r="F15287" s="76" t="s">
        <v>990</v>
      </c>
      <c r="G15287" s="83">
        <v>46125.0</v>
      </c>
      <c r="H15287" s="76" t="s">
        <v>928</v>
      </c>
    </row>
    <row r="15288">
      <c r="A15288" s="76" t="s">
        <v>28</v>
      </c>
      <c r="B15288" s="76" t="s">
        <v>1032</v>
      </c>
      <c r="C15288" s="84">
        <v>0.12</v>
      </c>
      <c r="D15288" s="84">
        <v>0.0</v>
      </c>
      <c r="E15288" s="84">
        <v>0.0</v>
      </c>
      <c r="F15288" s="76" t="s">
        <v>990</v>
      </c>
      <c r="G15288" s="83">
        <v>46125.0</v>
      </c>
      <c r="H15288" s="76" t="s">
        <v>931</v>
      </c>
    </row>
    <row r="15289">
      <c r="A15289" s="76" t="s">
        <v>28</v>
      </c>
      <c r="B15289" s="76" t="s">
        <v>1032</v>
      </c>
      <c r="C15289" s="84">
        <v>0.08</v>
      </c>
      <c r="D15289" s="84">
        <v>0.0</v>
      </c>
      <c r="E15289" s="84">
        <v>0.0</v>
      </c>
      <c r="F15289" s="76" t="s">
        <v>990</v>
      </c>
      <c r="G15289" s="83">
        <v>46125.0</v>
      </c>
      <c r="H15289" s="76" t="s">
        <v>932</v>
      </c>
    </row>
    <row r="15290">
      <c r="A15290" s="76" t="s">
        <v>28</v>
      </c>
      <c r="B15290" s="76" t="s">
        <v>1032</v>
      </c>
      <c r="C15290" s="84">
        <v>0.75</v>
      </c>
      <c r="D15290" s="84">
        <v>0.0</v>
      </c>
      <c r="E15290" s="84">
        <v>0.0</v>
      </c>
      <c r="F15290" s="76" t="s">
        <v>990</v>
      </c>
      <c r="G15290" s="83">
        <v>46125.0</v>
      </c>
      <c r="H15290" s="76" t="s">
        <v>933</v>
      </c>
    </row>
    <row r="15291">
      <c r="A15291" s="76" t="s">
        <v>31</v>
      </c>
      <c r="B15291" s="76" t="s">
        <v>1032</v>
      </c>
      <c r="C15291" s="84">
        <v>0.47</v>
      </c>
      <c r="D15291" s="84">
        <v>0.0</v>
      </c>
      <c r="E15291" s="84">
        <v>0.0</v>
      </c>
      <c r="F15291" s="76" t="s">
        <v>990</v>
      </c>
      <c r="G15291" s="83">
        <v>46125.0</v>
      </c>
      <c r="H15291" s="76" t="s">
        <v>929</v>
      </c>
    </row>
    <row r="15292">
      <c r="A15292" s="76" t="s">
        <v>31</v>
      </c>
      <c r="B15292" s="76" t="s">
        <v>1032</v>
      </c>
      <c r="C15292" s="84">
        <v>7.37</v>
      </c>
      <c r="D15292" s="84">
        <v>1.0</v>
      </c>
      <c r="E15292" s="84">
        <v>7.37</v>
      </c>
      <c r="F15292" s="76" t="s">
        <v>990</v>
      </c>
      <c r="G15292" s="83">
        <v>46125.0</v>
      </c>
      <c r="H15292" s="76" t="s">
        <v>930</v>
      </c>
    </row>
    <row r="15293">
      <c r="A15293" s="76" t="s">
        <v>26</v>
      </c>
      <c r="B15293" s="76" t="s">
        <v>1032</v>
      </c>
      <c r="C15293" s="84">
        <v>0.19</v>
      </c>
      <c r="D15293" s="84">
        <v>0.0</v>
      </c>
      <c r="E15293" s="84">
        <v>0.0</v>
      </c>
      <c r="F15293" s="76" t="s">
        <v>990</v>
      </c>
      <c r="G15293" s="83">
        <v>46125.0</v>
      </c>
      <c r="H15293" s="76" t="s">
        <v>1012</v>
      </c>
    </row>
    <row r="15294">
      <c r="A15294" s="76" t="s">
        <v>26</v>
      </c>
      <c r="B15294" s="76" t="s">
        <v>1032</v>
      </c>
      <c r="C15294" s="84">
        <v>0.08</v>
      </c>
      <c r="D15294" s="84">
        <v>0.0</v>
      </c>
      <c r="E15294" s="84">
        <v>0.0</v>
      </c>
      <c r="F15294" s="76" t="s">
        <v>990</v>
      </c>
      <c r="G15294" s="83">
        <v>46125.0</v>
      </c>
      <c r="H15294" s="76" t="s">
        <v>1013</v>
      </c>
    </row>
    <row r="15295">
      <c r="A15295" s="76" t="s">
        <v>26</v>
      </c>
      <c r="B15295" s="76" t="s">
        <v>1032</v>
      </c>
      <c r="C15295" s="84">
        <v>2.18</v>
      </c>
      <c r="D15295" s="84">
        <v>1.0</v>
      </c>
      <c r="E15295" s="84">
        <v>2.18</v>
      </c>
      <c r="F15295" s="76" t="s">
        <v>990</v>
      </c>
      <c r="G15295" s="83">
        <v>46125.0</v>
      </c>
      <c r="H15295" s="76" t="s">
        <v>1014</v>
      </c>
    </row>
    <row r="15296">
      <c r="A15296" s="76" t="s">
        <v>944</v>
      </c>
      <c r="B15296" s="76" t="s">
        <v>1032</v>
      </c>
      <c r="C15296" s="84">
        <v>1.18</v>
      </c>
      <c r="D15296" s="84">
        <v>0.0</v>
      </c>
      <c r="E15296" s="84">
        <v>0.0</v>
      </c>
      <c r="F15296" s="76" t="s">
        <v>990</v>
      </c>
      <c r="G15296" s="83">
        <v>46125.0</v>
      </c>
      <c r="H15296" s="76" t="s">
        <v>945</v>
      </c>
    </row>
    <row r="15297">
      <c r="A15297" s="76" t="s">
        <v>944</v>
      </c>
      <c r="B15297" s="76" t="s">
        <v>1032</v>
      </c>
      <c r="C15297" s="84">
        <v>0.23</v>
      </c>
      <c r="D15297" s="84">
        <v>0.0</v>
      </c>
      <c r="E15297" s="84">
        <v>0.0</v>
      </c>
      <c r="F15297" s="76" t="s">
        <v>990</v>
      </c>
      <c r="G15297" s="83">
        <v>46125.0</v>
      </c>
      <c r="H15297" s="76" t="s">
        <v>946</v>
      </c>
    </row>
    <row r="15298">
      <c r="A15298" s="76" t="s">
        <v>944</v>
      </c>
      <c r="B15298" s="76" t="s">
        <v>1032</v>
      </c>
      <c r="C15298" s="84">
        <v>0.68</v>
      </c>
      <c r="D15298" s="84">
        <v>0.0</v>
      </c>
      <c r="E15298" s="84">
        <v>0.0</v>
      </c>
      <c r="F15298" s="76" t="s">
        <v>990</v>
      </c>
      <c r="G15298" s="83">
        <v>46125.0</v>
      </c>
      <c r="H15298" s="76" t="s">
        <v>947</v>
      </c>
    </row>
    <row r="15299">
      <c r="A15299" s="76" t="s">
        <v>1043</v>
      </c>
      <c r="B15299" s="76" t="s">
        <v>1032</v>
      </c>
      <c r="C15299" s="84">
        <v>0.27</v>
      </c>
      <c r="D15299" s="84">
        <v>0.0</v>
      </c>
      <c r="E15299" s="84">
        <v>0.0</v>
      </c>
      <c r="F15299" s="76" t="s">
        <v>990</v>
      </c>
      <c r="G15299" s="83">
        <v>46125.0</v>
      </c>
      <c r="H15299" s="76" t="s">
        <v>1044</v>
      </c>
    </row>
    <row r="15300">
      <c r="A15300" s="76" t="s">
        <v>52</v>
      </c>
      <c r="B15300" s="76" t="s">
        <v>1032</v>
      </c>
      <c r="C15300" s="84">
        <v>0.39</v>
      </c>
      <c r="D15300" s="84">
        <v>0.0</v>
      </c>
      <c r="E15300" s="84">
        <v>0.0</v>
      </c>
      <c r="F15300" s="76" t="s">
        <v>990</v>
      </c>
      <c r="G15300" s="83">
        <v>46125.0</v>
      </c>
      <c r="H15300" s="76" t="s">
        <v>1045</v>
      </c>
    </row>
    <row r="15301">
      <c r="A15301" s="76" t="s">
        <v>49</v>
      </c>
      <c r="B15301" s="76" t="s">
        <v>1032</v>
      </c>
      <c r="C15301" s="84">
        <v>0.54</v>
      </c>
      <c r="D15301" s="84">
        <v>0.0</v>
      </c>
      <c r="E15301" s="84">
        <v>0.0</v>
      </c>
      <c r="F15301" s="76" t="s">
        <v>990</v>
      </c>
      <c r="G15301" s="83">
        <v>46125.0</v>
      </c>
      <c r="H15301" s="76" t="s">
        <v>1046</v>
      </c>
    </row>
    <row r="15302">
      <c r="A15302" s="76" t="s">
        <v>26</v>
      </c>
      <c r="B15302" s="76" t="s">
        <v>1032</v>
      </c>
      <c r="C15302" s="84">
        <v>1.64</v>
      </c>
      <c r="D15302" s="84">
        <v>0.0</v>
      </c>
      <c r="E15302" s="84">
        <v>0.0</v>
      </c>
      <c r="F15302" s="76" t="s">
        <v>1005</v>
      </c>
      <c r="G15302" s="83">
        <v>46125.0</v>
      </c>
      <c r="H15302" s="76" t="s">
        <v>1012</v>
      </c>
    </row>
    <row r="15303">
      <c r="A15303" s="76" t="s">
        <v>26</v>
      </c>
      <c r="B15303" s="76" t="s">
        <v>1032</v>
      </c>
      <c r="C15303" s="84">
        <v>4.12</v>
      </c>
      <c r="D15303" s="84">
        <v>2.0</v>
      </c>
      <c r="E15303" s="84">
        <v>2.06</v>
      </c>
      <c r="F15303" s="76" t="s">
        <v>1005</v>
      </c>
      <c r="G15303" s="83">
        <v>46125.0</v>
      </c>
      <c r="H15303" s="76" t="s">
        <v>1013</v>
      </c>
    </row>
    <row r="15304">
      <c r="A15304" s="76" t="s">
        <v>26</v>
      </c>
      <c r="B15304" s="76" t="s">
        <v>1032</v>
      </c>
      <c r="C15304" s="84">
        <v>168.19</v>
      </c>
      <c r="D15304" s="84">
        <v>57.0</v>
      </c>
      <c r="E15304" s="84">
        <v>2.95</v>
      </c>
      <c r="F15304" s="76" t="s">
        <v>1005</v>
      </c>
      <c r="G15304" s="83">
        <v>46125.0</v>
      </c>
      <c r="H15304" s="76" t="s">
        <v>1014</v>
      </c>
    </row>
    <row r="15305">
      <c r="A15305" s="76" t="s">
        <v>28</v>
      </c>
      <c r="B15305" s="76" t="s">
        <v>1032</v>
      </c>
      <c r="C15305" s="84">
        <v>0.67</v>
      </c>
      <c r="D15305" s="84">
        <v>0.0</v>
      </c>
      <c r="E15305" s="84">
        <v>0.0</v>
      </c>
      <c r="F15305" s="76" t="s">
        <v>1005</v>
      </c>
      <c r="G15305" s="83">
        <v>46125.0</v>
      </c>
      <c r="H15305" s="76" t="s">
        <v>931</v>
      </c>
    </row>
    <row r="15306">
      <c r="A15306" s="76" t="s">
        <v>28</v>
      </c>
      <c r="B15306" s="76" t="s">
        <v>1032</v>
      </c>
      <c r="C15306" s="84">
        <v>0.3</v>
      </c>
      <c r="D15306" s="84">
        <v>0.0</v>
      </c>
      <c r="E15306" s="84">
        <v>0.0</v>
      </c>
      <c r="F15306" s="76" t="s">
        <v>1005</v>
      </c>
      <c r="G15306" s="83">
        <v>46125.0</v>
      </c>
      <c r="H15306" s="76" t="s">
        <v>932</v>
      </c>
    </row>
    <row r="15307">
      <c r="A15307" s="76" t="s">
        <v>28</v>
      </c>
      <c r="B15307" s="76" t="s">
        <v>1032</v>
      </c>
      <c r="C15307" s="84">
        <v>19.09</v>
      </c>
      <c r="D15307" s="84">
        <v>3.0</v>
      </c>
      <c r="E15307" s="84">
        <v>6.36</v>
      </c>
      <c r="F15307" s="76" t="s">
        <v>1005</v>
      </c>
      <c r="G15307" s="83">
        <v>46125.0</v>
      </c>
      <c r="H15307" s="76" t="s">
        <v>933</v>
      </c>
    </row>
    <row r="15308">
      <c r="A15308" s="76" t="s">
        <v>36</v>
      </c>
      <c r="B15308" s="76" t="s">
        <v>1032</v>
      </c>
      <c r="C15308" s="84">
        <v>3.87</v>
      </c>
      <c r="D15308" s="84">
        <v>2.0</v>
      </c>
      <c r="E15308" s="84">
        <v>1.93</v>
      </c>
      <c r="F15308" s="76" t="s">
        <v>1005</v>
      </c>
      <c r="G15308" s="83">
        <v>46125.0</v>
      </c>
      <c r="H15308" s="76" t="s">
        <v>926</v>
      </c>
    </row>
    <row r="15309">
      <c r="A15309" s="76" t="s">
        <v>36</v>
      </c>
      <c r="B15309" s="76" t="s">
        <v>1032</v>
      </c>
      <c r="C15309" s="84">
        <v>0.53</v>
      </c>
      <c r="D15309" s="84">
        <v>1.0</v>
      </c>
      <c r="E15309" s="84">
        <v>0.53</v>
      </c>
      <c r="F15309" s="76" t="s">
        <v>1005</v>
      </c>
      <c r="G15309" s="83">
        <v>46125.0</v>
      </c>
      <c r="H15309" s="76" t="s">
        <v>927</v>
      </c>
    </row>
    <row r="15310">
      <c r="A15310" s="76" t="s">
        <v>36</v>
      </c>
      <c r="B15310" s="76" t="s">
        <v>1032</v>
      </c>
      <c r="C15310" s="84">
        <v>4.3</v>
      </c>
      <c r="D15310" s="84">
        <v>0.0</v>
      </c>
      <c r="E15310" s="84">
        <v>0.0</v>
      </c>
      <c r="F15310" s="76" t="s">
        <v>1005</v>
      </c>
      <c r="G15310" s="83">
        <v>46125.0</v>
      </c>
      <c r="H15310" s="76" t="s">
        <v>928</v>
      </c>
    </row>
    <row r="15311">
      <c r="A15311" s="76" t="s">
        <v>31</v>
      </c>
      <c r="B15311" s="76" t="s">
        <v>1032</v>
      </c>
      <c r="C15311" s="84">
        <v>4.6</v>
      </c>
      <c r="D15311" s="84">
        <v>2.0</v>
      </c>
      <c r="E15311" s="84">
        <v>2.3</v>
      </c>
      <c r="F15311" s="76" t="s">
        <v>1005</v>
      </c>
      <c r="G15311" s="83">
        <v>46125.0</v>
      </c>
      <c r="H15311" s="76" t="s">
        <v>929</v>
      </c>
    </row>
    <row r="15312">
      <c r="A15312" s="76" t="s">
        <v>31</v>
      </c>
      <c r="B15312" s="76" t="s">
        <v>1032</v>
      </c>
      <c r="C15312" s="84">
        <v>256.62</v>
      </c>
      <c r="D15312" s="84">
        <v>86.0</v>
      </c>
      <c r="E15312" s="84">
        <v>2.98</v>
      </c>
      <c r="F15312" s="76" t="s">
        <v>1005</v>
      </c>
      <c r="G15312" s="83">
        <v>46125.0</v>
      </c>
      <c r="H15312" s="76" t="s">
        <v>930</v>
      </c>
    </row>
    <row r="15313">
      <c r="A15313" s="76" t="s">
        <v>944</v>
      </c>
      <c r="B15313" s="76" t="s">
        <v>1032</v>
      </c>
      <c r="C15313" s="84">
        <v>4.26</v>
      </c>
      <c r="D15313" s="84">
        <v>1.0</v>
      </c>
      <c r="E15313" s="84">
        <v>4.26</v>
      </c>
      <c r="F15313" s="76" t="s">
        <v>1005</v>
      </c>
      <c r="G15313" s="83">
        <v>46125.0</v>
      </c>
      <c r="H15313" s="76" t="s">
        <v>945</v>
      </c>
    </row>
    <row r="15314">
      <c r="A15314" s="76" t="s">
        <v>944</v>
      </c>
      <c r="B15314" s="76" t="s">
        <v>1032</v>
      </c>
      <c r="C15314" s="84">
        <v>1.04</v>
      </c>
      <c r="D15314" s="84">
        <v>0.0</v>
      </c>
      <c r="E15314" s="84">
        <v>0.0</v>
      </c>
      <c r="F15314" s="76" t="s">
        <v>1005</v>
      </c>
      <c r="G15314" s="83">
        <v>46125.0</v>
      </c>
      <c r="H15314" s="76" t="s">
        <v>946</v>
      </c>
    </row>
    <row r="15315">
      <c r="A15315" s="76" t="s">
        <v>944</v>
      </c>
      <c r="B15315" s="76" t="s">
        <v>1032</v>
      </c>
      <c r="C15315" s="84">
        <v>7.46</v>
      </c>
      <c r="D15315" s="84">
        <v>5.0</v>
      </c>
      <c r="E15315" s="84">
        <v>1.49</v>
      </c>
      <c r="F15315" s="76" t="s">
        <v>1005</v>
      </c>
      <c r="G15315" s="83">
        <v>46125.0</v>
      </c>
      <c r="H15315" s="76" t="s">
        <v>947</v>
      </c>
    </row>
    <row r="15316">
      <c r="A15316" s="76" t="s">
        <v>45</v>
      </c>
      <c r="B15316" s="76" t="s">
        <v>1032</v>
      </c>
      <c r="C15316" s="84">
        <v>0.34</v>
      </c>
      <c r="D15316" s="84">
        <v>1.0</v>
      </c>
      <c r="E15316" s="84">
        <v>0.34</v>
      </c>
      <c r="F15316" s="76" t="s">
        <v>1005</v>
      </c>
      <c r="G15316" s="83">
        <v>46125.0</v>
      </c>
      <c r="H15316" s="76" t="s">
        <v>936</v>
      </c>
    </row>
    <row r="15317">
      <c r="A15317" s="76" t="s">
        <v>45</v>
      </c>
      <c r="B15317" s="76" t="s">
        <v>1032</v>
      </c>
      <c r="C15317" s="84">
        <v>1.02</v>
      </c>
      <c r="D15317" s="84">
        <v>0.0</v>
      </c>
      <c r="E15317" s="84">
        <v>0.0</v>
      </c>
      <c r="F15317" s="76" t="s">
        <v>1005</v>
      </c>
      <c r="G15317" s="83">
        <v>46125.0</v>
      </c>
      <c r="H15317" s="76" t="s">
        <v>937</v>
      </c>
    </row>
    <row r="15318">
      <c r="A15318" s="76" t="s">
        <v>45</v>
      </c>
      <c r="B15318" s="76" t="s">
        <v>1032</v>
      </c>
      <c r="C15318" s="84">
        <v>0.28</v>
      </c>
      <c r="D15318" s="84">
        <v>0.0</v>
      </c>
      <c r="E15318" s="84">
        <v>0.0</v>
      </c>
      <c r="F15318" s="76" t="s">
        <v>1005</v>
      </c>
      <c r="G15318" s="83">
        <v>46125.0</v>
      </c>
      <c r="H15318" s="76" t="s">
        <v>938</v>
      </c>
    </row>
    <row r="15319">
      <c r="A15319" s="76" t="s">
        <v>32</v>
      </c>
      <c r="B15319" s="76" t="s">
        <v>1032</v>
      </c>
      <c r="C15319" s="84">
        <v>94.01</v>
      </c>
      <c r="D15319" s="84">
        <v>31.0</v>
      </c>
      <c r="E15319" s="84">
        <v>3.03</v>
      </c>
      <c r="F15319" s="76" t="s">
        <v>1005</v>
      </c>
      <c r="G15319" s="83">
        <v>46125.0</v>
      </c>
      <c r="H15319" s="76" t="s">
        <v>941</v>
      </c>
    </row>
    <row r="15320">
      <c r="A15320" s="76" t="s">
        <v>32</v>
      </c>
      <c r="B15320" s="76" t="s">
        <v>1032</v>
      </c>
      <c r="C15320" s="84">
        <v>1.85</v>
      </c>
      <c r="D15320" s="84">
        <v>1.0</v>
      </c>
      <c r="E15320" s="84">
        <v>1.85</v>
      </c>
      <c r="F15320" s="76" t="s">
        <v>1005</v>
      </c>
      <c r="G15320" s="83">
        <v>46125.0</v>
      </c>
      <c r="H15320" s="76" t="s">
        <v>942</v>
      </c>
    </row>
    <row r="15321">
      <c r="A15321" s="76" t="s">
        <v>32</v>
      </c>
      <c r="B15321" s="76" t="s">
        <v>1032</v>
      </c>
      <c r="C15321" s="84">
        <v>2.28</v>
      </c>
      <c r="D15321" s="84">
        <v>0.0</v>
      </c>
      <c r="E15321" s="84">
        <v>0.0</v>
      </c>
      <c r="F15321" s="76" t="s">
        <v>1005</v>
      </c>
      <c r="G15321" s="83">
        <v>46125.0</v>
      </c>
      <c r="H15321" s="76" t="s">
        <v>943</v>
      </c>
    </row>
    <row r="15322">
      <c r="A15322" s="76" t="s">
        <v>1043</v>
      </c>
      <c r="B15322" s="76" t="s">
        <v>1032</v>
      </c>
      <c r="C15322" s="84">
        <v>3.11</v>
      </c>
      <c r="D15322" s="84">
        <v>2.0</v>
      </c>
      <c r="E15322" s="84">
        <v>1.56</v>
      </c>
      <c r="F15322" s="76" t="s">
        <v>1005</v>
      </c>
      <c r="G15322" s="83">
        <v>46125.0</v>
      </c>
      <c r="H15322" s="76" t="s">
        <v>1044</v>
      </c>
    </row>
    <row r="15323">
      <c r="A15323" s="76" t="s">
        <v>52</v>
      </c>
      <c r="B15323" s="76" t="s">
        <v>1032</v>
      </c>
      <c r="C15323" s="84">
        <v>2.44</v>
      </c>
      <c r="D15323" s="84">
        <v>1.0</v>
      </c>
      <c r="E15323" s="84">
        <v>2.44</v>
      </c>
      <c r="F15323" s="76" t="s">
        <v>1005</v>
      </c>
      <c r="G15323" s="83">
        <v>46125.0</v>
      </c>
      <c r="H15323" s="76" t="s">
        <v>1045</v>
      </c>
    </row>
    <row r="15324">
      <c r="A15324" s="76" t="s">
        <v>49</v>
      </c>
      <c r="B15324" s="76" t="s">
        <v>1032</v>
      </c>
      <c r="C15324" s="84">
        <v>3.87</v>
      </c>
      <c r="D15324" s="84">
        <v>2.0</v>
      </c>
      <c r="E15324" s="84">
        <v>1.94</v>
      </c>
      <c r="F15324" s="76" t="s">
        <v>1005</v>
      </c>
      <c r="G15324" s="83">
        <v>46125.0</v>
      </c>
      <c r="H15324" s="76" t="s">
        <v>1046</v>
      </c>
    </row>
    <row r="15325">
      <c r="A15325" s="76" t="s">
        <v>26</v>
      </c>
      <c r="B15325" s="76" t="s">
        <v>1032</v>
      </c>
      <c r="C15325" s="84">
        <v>0.02</v>
      </c>
      <c r="D15325" s="84">
        <v>0.0</v>
      </c>
      <c r="E15325" s="84">
        <v>0.0</v>
      </c>
      <c r="F15325" s="76" t="s">
        <v>993</v>
      </c>
      <c r="G15325" s="83">
        <v>46125.0</v>
      </c>
      <c r="H15325" s="76" t="s">
        <v>1012</v>
      </c>
    </row>
    <row r="15326">
      <c r="A15326" s="76" t="s">
        <v>26</v>
      </c>
      <c r="B15326" s="76" t="s">
        <v>1032</v>
      </c>
      <c r="C15326" s="84">
        <v>0.06</v>
      </c>
      <c r="D15326" s="84">
        <v>0.0</v>
      </c>
      <c r="E15326" s="84">
        <v>0.0</v>
      </c>
      <c r="F15326" s="76" t="s">
        <v>993</v>
      </c>
      <c r="G15326" s="83">
        <v>46125.0</v>
      </c>
      <c r="H15326" s="76" t="s">
        <v>1013</v>
      </c>
    </row>
    <row r="15327">
      <c r="A15327" s="76" t="s">
        <v>26</v>
      </c>
      <c r="B15327" s="76" t="s">
        <v>1032</v>
      </c>
      <c r="C15327" s="84">
        <v>0.41</v>
      </c>
      <c r="D15327" s="84">
        <v>0.0</v>
      </c>
      <c r="E15327" s="84">
        <v>0.0</v>
      </c>
      <c r="F15327" s="76" t="s">
        <v>993</v>
      </c>
      <c r="G15327" s="83">
        <v>46125.0</v>
      </c>
      <c r="H15327" s="76" t="s">
        <v>1014</v>
      </c>
    </row>
    <row r="15328">
      <c r="A15328" s="76" t="s">
        <v>944</v>
      </c>
      <c r="B15328" s="76" t="s">
        <v>1032</v>
      </c>
      <c r="C15328" s="84">
        <v>0.25</v>
      </c>
      <c r="D15328" s="84">
        <v>0.0</v>
      </c>
      <c r="E15328" s="84">
        <v>0.0</v>
      </c>
      <c r="F15328" s="76" t="s">
        <v>993</v>
      </c>
      <c r="G15328" s="83">
        <v>46125.0</v>
      </c>
      <c r="H15328" s="76" t="s">
        <v>945</v>
      </c>
    </row>
    <row r="15329">
      <c r="A15329" s="76" t="s">
        <v>944</v>
      </c>
      <c r="B15329" s="76" t="s">
        <v>1032</v>
      </c>
      <c r="C15329" s="84">
        <v>0.04</v>
      </c>
      <c r="D15329" s="84">
        <v>0.0</v>
      </c>
      <c r="E15329" s="84">
        <v>0.0</v>
      </c>
      <c r="F15329" s="76" t="s">
        <v>993</v>
      </c>
      <c r="G15329" s="83">
        <v>46125.0</v>
      </c>
      <c r="H15329" s="76" t="s">
        <v>946</v>
      </c>
    </row>
    <row r="15330">
      <c r="A15330" s="76" t="s">
        <v>944</v>
      </c>
      <c r="B15330" s="76" t="s">
        <v>1032</v>
      </c>
      <c r="C15330" s="84">
        <v>0.17</v>
      </c>
      <c r="D15330" s="84">
        <v>0.0</v>
      </c>
      <c r="E15330" s="84">
        <v>0.0</v>
      </c>
      <c r="F15330" s="76" t="s">
        <v>993</v>
      </c>
      <c r="G15330" s="83">
        <v>46125.0</v>
      </c>
      <c r="H15330" s="76" t="s">
        <v>947</v>
      </c>
    </row>
    <row r="15331">
      <c r="A15331" s="76" t="s">
        <v>45</v>
      </c>
      <c r="B15331" s="76" t="s">
        <v>1032</v>
      </c>
      <c r="C15331" s="84">
        <v>0.0</v>
      </c>
      <c r="D15331" s="84">
        <v>0.0</v>
      </c>
      <c r="E15331" s="84">
        <v>0.0</v>
      </c>
      <c r="F15331" s="76" t="s">
        <v>993</v>
      </c>
      <c r="G15331" s="83">
        <v>46125.0</v>
      </c>
      <c r="H15331" s="76" t="s">
        <v>936</v>
      </c>
    </row>
    <row r="15332">
      <c r="A15332" s="76" t="s">
        <v>45</v>
      </c>
      <c r="B15332" s="76" t="s">
        <v>1032</v>
      </c>
      <c r="C15332" s="84">
        <v>0.02</v>
      </c>
      <c r="D15332" s="84">
        <v>0.0</v>
      </c>
      <c r="E15332" s="84">
        <v>0.0</v>
      </c>
      <c r="F15332" s="76" t="s">
        <v>993</v>
      </c>
      <c r="G15332" s="83">
        <v>46125.0</v>
      </c>
      <c r="H15332" s="76" t="s">
        <v>937</v>
      </c>
    </row>
    <row r="15333">
      <c r="A15333" s="76" t="s">
        <v>32</v>
      </c>
      <c r="B15333" s="76" t="s">
        <v>1032</v>
      </c>
      <c r="C15333" s="84">
        <v>0.94</v>
      </c>
      <c r="D15333" s="84">
        <v>0.0</v>
      </c>
      <c r="E15333" s="84">
        <v>0.0</v>
      </c>
      <c r="F15333" s="76" t="s">
        <v>993</v>
      </c>
      <c r="G15333" s="83">
        <v>46125.0</v>
      </c>
      <c r="H15333" s="76" t="s">
        <v>941</v>
      </c>
    </row>
    <row r="15334">
      <c r="A15334" s="76" t="s">
        <v>32</v>
      </c>
      <c r="B15334" s="76" t="s">
        <v>1032</v>
      </c>
      <c r="C15334" s="84">
        <v>0.08</v>
      </c>
      <c r="D15334" s="84">
        <v>0.0</v>
      </c>
      <c r="E15334" s="84">
        <v>0.0</v>
      </c>
      <c r="F15334" s="76" t="s">
        <v>993</v>
      </c>
      <c r="G15334" s="83">
        <v>46125.0</v>
      </c>
      <c r="H15334" s="76" t="s">
        <v>942</v>
      </c>
    </row>
    <row r="15335">
      <c r="A15335" s="76" t="s">
        <v>32</v>
      </c>
      <c r="B15335" s="76" t="s">
        <v>1032</v>
      </c>
      <c r="C15335" s="84">
        <v>0.16</v>
      </c>
      <c r="D15335" s="84">
        <v>0.0</v>
      </c>
      <c r="E15335" s="84">
        <v>0.0</v>
      </c>
      <c r="F15335" s="76" t="s">
        <v>993</v>
      </c>
      <c r="G15335" s="83">
        <v>46125.0</v>
      </c>
      <c r="H15335" s="76" t="s">
        <v>943</v>
      </c>
    </row>
    <row r="15336">
      <c r="A15336" s="76" t="s">
        <v>36</v>
      </c>
      <c r="B15336" s="76" t="s">
        <v>1032</v>
      </c>
      <c r="C15336" s="84">
        <v>0.09</v>
      </c>
      <c r="D15336" s="84">
        <v>0.0</v>
      </c>
      <c r="E15336" s="84">
        <v>0.0</v>
      </c>
      <c r="F15336" s="76" t="s">
        <v>993</v>
      </c>
      <c r="G15336" s="83">
        <v>46125.0</v>
      </c>
      <c r="H15336" s="76" t="s">
        <v>926</v>
      </c>
    </row>
    <row r="15337">
      <c r="A15337" s="76" t="s">
        <v>36</v>
      </c>
      <c r="B15337" s="76" t="s">
        <v>1032</v>
      </c>
      <c r="C15337" s="84">
        <v>0.06</v>
      </c>
      <c r="D15337" s="84">
        <v>0.0</v>
      </c>
      <c r="E15337" s="84">
        <v>0.0</v>
      </c>
      <c r="F15337" s="76" t="s">
        <v>993</v>
      </c>
      <c r="G15337" s="83">
        <v>46125.0</v>
      </c>
      <c r="H15337" s="76" t="s">
        <v>927</v>
      </c>
    </row>
    <row r="15338">
      <c r="A15338" s="76" t="s">
        <v>36</v>
      </c>
      <c r="B15338" s="76" t="s">
        <v>1032</v>
      </c>
      <c r="C15338" s="84">
        <v>0.13</v>
      </c>
      <c r="D15338" s="84">
        <v>0.0</v>
      </c>
      <c r="E15338" s="84">
        <v>0.0</v>
      </c>
      <c r="F15338" s="76" t="s">
        <v>993</v>
      </c>
      <c r="G15338" s="83">
        <v>46125.0</v>
      </c>
      <c r="H15338" s="76" t="s">
        <v>928</v>
      </c>
    </row>
    <row r="15339">
      <c r="A15339" s="76" t="s">
        <v>28</v>
      </c>
      <c r="B15339" s="76" t="s">
        <v>1032</v>
      </c>
      <c r="C15339" s="84">
        <v>0.04</v>
      </c>
      <c r="D15339" s="84">
        <v>0.0</v>
      </c>
      <c r="E15339" s="84">
        <v>0.0</v>
      </c>
      <c r="F15339" s="76" t="s">
        <v>993</v>
      </c>
      <c r="G15339" s="83">
        <v>46125.0</v>
      </c>
      <c r="H15339" s="76" t="s">
        <v>931</v>
      </c>
    </row>
    <row r="15340">
      <c r="A15340" s="76" t="s">
        <v>28</v>
      </c>
      <c r="B15340" s="76" t="s">
        <v>1032</v>
      </c>
      <c r="C15340" s="84">
        <v>0.0</v>
      </c>
      <c r="D15340" s="84">
        <v>0.0</v>
      </c>
      <c r="E15340" s="84">
        <v>0.0</v>
      </c>
      <c r="F15340" s="76" t="s">
        <v>993</v>
      </c>
      <c r="G15340" s="83">
        <v>46125.0</v>
      </c>
      <c r="H15340" s="76" t="s">
        <v>932</v>
      </c>
    </row>
    <row r="15341">
      <c r="A15341" s="76" t="s">
        <v>28</v>
      </c>
      <c r="B15341" s="76" t="s">
        <v>1032</v>
      </c>
      <c r="C15341" s="84">
        <v>0.32</v>
      </c>
      <c r="D15341" s="84">
        <v>1.0</v>
      </c>
      <c r="E15341" s="84">
        <v>0.32</v>
      </c>
      <c r="F15341" s="76" t="s">
        <v>993</v>
      </c>
      <c r="G15341" s="83">
        <v>46125.0</v>
      </c>
      <c r="H15341" s="76" t="s">
        <v>933</v>
      </c>
    </row>
    <row r="15342">
      <c r="A15342" s="76" t="s">
        <v>31</v>
      </c>
      <c r="B15342" s="76" t="s">
        <v>1032</v>
      </c>
      <c r="C15342" s="84">
        <v>0.12</v>
      </c>
      <c r="D15342" s="84">
        <v>0.0</v>
      </c>
      <c r="E15342" s="84">
        <v>0.0</v>
      </c>
      <c r="F15342" s="76" t="s">
        <v>993</v>
      </c>
      <c r="G15342" s="83">
        <v>46125.0</v>
      </c>
      <c r="H15342" s="76" t="s">
        <v>929</v>
      </c>
    </row>
    <row r="15343">
      <c r="A15343" s="76" t="s">
        <v>31</v>
      </c>
      <c r="B15343" s="76" t="s">
        <v>1032</v>
      </c>
      <c r="C15343" s="84">
        <v>2.03</v>
      </c>
      <c r="D15343" s="84">
        <v>1.0</v>
      </c>
      <c r="E15343" s="84">
        <v>2.03</v>
      </c>
      <c r="F15343" s="76" t="s">
        <v>993</v>
      </c>
      <c r="G15343" s="83">
        <v>46125.0</v>
      </c>
      <c r="H15343" s="76" t="s">
        <v>930</v>
      </c>
    </row>
    <row r="15344">
      <c r="A15344" s="76" t="s">
        <v>1043</v>
      </c>
      <c r="B15344" s="76" t="s">
        <v>1032</v>
      </c>
      <c r="C15344" s="84">
        <v>0.1</v>
      </c>
      <c r="D15344" s="84">
        <v>0.0</v>
      </c>
      <c r="E15344" s="84">
        <v>0.0</v>
      </c>
      <c r="F15344" s="76" t="s">
        <v>993</v>
      </c>
      <c r="G15344" s="83">
        <v>46125.0</v>
      </c>
      <c r="H15344" s="76" t="s">
        <v>1044</v>
      </c>
    </row>
    <row r="15345">
      <c r="A15345" s="76" t="s">
        <v>52</v>
      </c>
      <c r="B15345" s="76" t="s">
        <v>1032</v>
      </c>
      <c r="C15345" s="84">
        <v>0.1</v>
      </c>
      <c r="D15345" s="84">
        <v>0.0</v>
      </c>
      <c r="E15345" s="84">
        <v>0.0</v>
      </c>
      <c r="F15345" s="76" t="s">
        <v>993</v>
      </c>
      <c r="G15345" s="83">
        <v>46125.0</v>
      </c>
      <c r="H15345" s="76" t="s">
        <v>1045</v>
      </c>
    </row>
    <row r="15346">
      <c r="A15346" s="76" t="s">
        <v>49</v>
      </c>
      <c r="B15346" s="76" t="s">
        <v>1032</v>
      </c>
      <c r="C15346" s="84">
        <v>0.12</v>
      </c>
      <c r="D15346" s="84">
        <v>0.0</v>
      </c>
      <c r="E15346" s="84">
        <v>0.0</v>
      </c>
      <c r="F15346" s="76" t="s">
        <v>993</v>
      </c>
      <c r="G15346" s="83">
        <v>46125.0</v>
      </c>
      <c r="H15346" s="76" t="s">
        <v>1046</v>
      </c>
    </row>
    <row r="15347">
      <c r="A15347" s="76" t="s">
        <v>36</v>
      </c>
      <c r="B15347" s="76" t="s">
        <v>1042</v>
      </c>
      <c r="C15347" s="84">
        <v>2.25</v>
      </c>
      <c r="D15347" s="84">
        <v>1.0</v>
      </c>
      <c r="E15347" s="84">
        <v>2.25</v>
      </c>
      <c r="F15347" s="76" t="s">
        <v>996</v>
      </c>
      <c r="G15347" s="83">
        <v>46125.0</v>
      </c>
      <c r="H15347" s="76" t="s">
        <v>926</v>
      </c>
    </row>
    <row r="15348">
      <c r="A15348" s="76" t="s">
        <v>36</v>
      </c>
      <c r="B15348" s="76" t="s">
        <v>1042</v>
      </c>
      <c r="C15348" s="84">
        <v>0.69</v>
      </c>
      <c r="D15348" s="84">
        <v>0.0</v>
      </c>
      <c r="E15348" s="84">
        <v>0.0</v>
      </c>
      <c r="F15348" s="76" t="s">
        <v>996</v>
      </c>
      <c r="G15348" s="83">
        <v>46125.0</v>
      </c>
      <c r="H15348" s="76" t="s">
        <v>927</v>
      </c>
    </row>
    <row r="15349">
      <c r="A15349" s="76" t="s">
        <v>36</v>
      </c>
      <c r="B15349" s="76" t="s">
        <v>1042</v>
      </c>
      <c r="C15349" s="84">
        <v>4.45</v>
      </c>
      <c r="D15349" s="84">
        <v>3.0</v>
      </c>
      <c r="E15349" s="84">
        <v>1.48</v>
      </c>
      <c r="F15349" s="76" t="s">
        <v>996</v>
      </c>
      <c r="G15349" s="83">
        <v>46125.0</v>
      </c>
      <c r="H15349" s="76" t="s">
        <v>928</v>
      </c>
    </row>
    <row r="15350">
      <c r="A15350" s="76" t="s">
        <v>28</v>
      </c>
      <c r="B15350" s="76" t="s">
        <v>1042</v>
      </c>
      <c r="C15350" s="84">
        <v>0.34</v>
      </c>
      <c r="D15350" s="84">
        <v>0.0</v>
      </c>
      <c r="E15350" s="84">
        <v>0.0</v>
      </c>
      <c r="F15350" s="76" t="s">
        <v>996</v>
      </c>
      <c r="G15350" s="83">
        <v>46125.0</v>
      </c>
      <c r="H15350" s="76" t="s">
        <v>931</v>
      </c>
    </row>
    <row r="15351">
      <c r="A15351" s="76" t="s">
        <v>28</v>
      </c>
      <c r="B15351" s="76" t="s">
        <v>1042</v>
      </c>
      <c r="C15351" s="84">
        <v>0.5</v>
      </c>
      <c r="D15351" s="84">
        <v>0.0</v>
      </c>
      <c r="E15351" s="84">
        <v>0.0</v>
      </c>
      <c r="F15351" s="76" t="s">
        <v>996</v>
      </c>
      <c r="G15351" s="83">
        <v>46125.0</v>
      </c>
      <c r="H15351" s="76" t="s">
        <v>932</v>
      </c>
    </row>
    <row r="15352">
      <c r="A15352" s="76" t="s">
        <v>28</v>
      </c>
      <c r="B15352" s="76" t="s">
        <v>1042</v>
      </c>
      <c r="C15352" s="84">
        <v>2.61</v>
      </c>
      <c r="D15352" s="84">
        <v>2.0</v>
      </c>
      <c r="E15352" s="84">
        <v>1.3</v>
      </c>
      <c r="F15352" s="76" t="s">
        <v>996</v>
      </c>
      <c r="G15352" s="83">
        <v>46125.0</v>
      </c>
      <c r="H15352" s="76" t="s">
        <v>933</v>
      </c>
    </row>
    <row r="15353">
      <c r="A15353" s="76" t="s">
        <v>34</v>
      </c>
      <c r="B15353" s="76" t="s">
        <v>1042</v>
      </c>
      <c r="C15353" s="84">
        <v>0.57</v>
      </c>
      <c r="D15353" s="84">
        <v>0.0</v>
      </c>
      <c r="E15353" s="84">
        <v>0.0</v>
      </c>
      <c r="F15353" s="76" t="s">
        <v>996</v>
      </c>
      <c r="G15353" s="83">
        <v>46125.0</v>
      </c>
      <c r="H15353" s="76" t="s">
        <v>951</v>
      </c>
    </row>
    <row r="15354">
      <c r="A15354" s="76" t="s">
        <v>34</v>
      </c>
      <c r="B15354" s="76" t="s">
        <v>1042</v>
      </c>
      <c r="C15354" s="84">
        <v>2.92</v>
      </c>
      <c r="D15354" s="84">
        <v>1.0</v>
      </c>
      <c r="E15354" s="84">
        <v>2.92</v>
      </c>
      <c r="F15354" s="76" t="s">
        <v>996</v>
      </c>
      <c r="G15354" s="83">
        <v>46125.0</v>
      </c>
      <c r="H15354" s="76" t="s">
        <v>952</v>
      </c>
    </row>
    <row r="15355">
      <c r="A15355" s="76" t="s">
        <v>34</v>
      </c>
      <c r="B15355" s="76" t="s">
        <v>1042</v>
      </c>
      <c r="C15355" s="84">
        <v>0.16</v>
      </c>
      <c r="D15355" s="84">
        <v>0.0</v>
      </c>
      <c r="E15355" s="84">
        <v>0.0</v>
      </c>
      <c r="F15355" s="76" t="s">
        <v>996</v>
      </c>
      <c r="G15355" s="83">
        <v>46125.0</v>
      </c>
      <c r="H15355" s="76" t="s">
        <v>953</v>
      </c>
    </row>
    <row r="15356">
      <c r="A15356" s="76" t="s">
        <v>1043</v>
      </c>
      <c r="B15356" s="76" t="s">
        <v>1042</v>
      </c>
      <c r="C15356" s="84">
        <v>1.24</v>
      </c>
      <c r="D15356" s="84">
        <v>1.0</v>
      </c>
      <c r="E15356" s="84">
        <v>1.24</v>
      </c>
      <c r="F15356" s="76" t="s">
        <v>996</v>
      </c>
      <c r="G15356" s="83">
        <v>46125.0</v>
      </c>
      <c r="H15356" s="76" t="s">
        <v>1044</v>
      </c>
    </row>
    <row r="15357">
      <c r="A15357" s="76" t="s">
        <v>52</v>
      </c>
      <c r="B15357" s="76" t="s">
        <v>1042</v>
      </c>
      <c r="C15357" s="84">
        <v>0.71</v>
      </c>
      <c r="D15357" s="84">
        <v>0.0</v>
      </c>
      <c r="E15357" s="84">
        <v>0.0</v>
      </c>
      <c r="F15357" s="76" t="s">
        <v>996</v>
      </c>
      <c r="G15357" s="83">
        <v>46125.0</v>
      </c>
      <c r="H15357" s="76" t="s">
        <v>1045</v>
      </c>
    </row>
    <row r="15358">
      <c r="A15358" s="76" t="s">
        <v>49</v>
      </c>
      <c r="B15358" s="76" t="s">
        <v>1042</v>
      </c>
      <c r="C15358" s="84">
        <v>2.74</v>
      </c>
      <c r="D15358" s="84">
        <v>0.0</v>
      </c>
      <c r="E15358" s="84">
        <v>0.0</v>
      </c>
      <c r="F15358" s="76" t="s">
        <v>996</v>
      </c>
      <c r="G15358" s="83">
        <v>46125.0</v>
      </c>
      <c r="H15358" s="76" t="s">
        <v>1046</v>
      </c>
    </row>
    <row r="15359">
      <c r="A15359" s="76" t="s">
        <v>36</v>
      </c>
      <c r="B15359" s="76" t="s">
        <v>1042</v>
      </c>
      <c r="C15359" s="84">
        <v>412.53</v>
      </c>
      <c r="D15359" s="84">
        <v>134.0</v>
      </c>
      <c r="E15359" s="84">
        <v>3.08</v>
      </c>
      <c r="F15359" s="76" t="s">
        <v>1005</v>
      </c>
      <c r="G15359" s="83">
        <v>46125.0</v>
      </c>
      <c r="H15359" s="76" t="s">
        <v>926</v>
      </c>
    </row>
    <row r="15360">
      <c r="A15360" s="76" t="s">
        <v>36</v>
      </c>
      <c r="B15360" s="76" t="s">
        <v>1042</v>
      </c>
      <c r="C15360" s="84">
        <v>8.79</v>
      </c>
      <c r="D15360" s="84">
        <v>3.0</v>
      </c>
      <c r="E15360" s="84">
        <v>2.93</v>
      </c>
      <c r="F15360" s="76" t="s">
        <v>1005</v>
      </c>
      <c r="G15360" s="83">
        <v>46125.0</v>
      </c>
      <c r="H15360" s="76" t="s">
        <v>927</v>
      </c>
    </row>
    <row r="15361">
      <c r="A15361" s="76" t="s">
        <v>36</v>
      </c>
      <c r="B15361" s="76" t="s">
        <v>1042</v>
      </c>
      <c r="C15361" s="84">
        <v>148.8</v>
      </c>
      <c r="D15361" s="84">
        <v>38.0</v>
      </c>
      <c r="E15361" s="84">
        <v>3.92</v>
      </c>
      <c r="F15361" s="76" t="s">
        <v>1005</v>
      </c>
      <c r="G15361" s="83">
        <v>46125.0</v>
      </c>
      <c r="H15361" s="76" t="s">
        <v>928</v>
      </c>
    </row>
    <row r="15362">
      <c r="A15362" s="76" t="s">
        <v>28</v>
      </c>
      <c r="B15362" s="76" t="s">
        <v>1042</v>
      </c>
      <c r="C15362" s="84">
        <v>18.95</v>
      </c>
      <c r="D15362" s="84">
        <v>12.0</v>
      </c>
      <c r="E15362" s="84">
        <v>1.58</v>
      </c>
      <c r="F15362" s="76" t="s">
        <v>1005</v>
      </c>
      <c r="G15362" s="83">
        <v>46125.0</v>
      </c>
      <c r="H15362" s="76" t="s">
        <v>931</v>
      </c>
    </row>
    <row r="15363">
      <c r="A15363" s="76" t="s">
        <v>28</v>
      </c>
      <c r="B15363" s="76" t="s">
        <v>1042</v>
      </c>
      <c r="C15363" s="84">
        <v>3.85</v>
      </c>
      <c r="D15363" s="84">
        <v>1.0</v>
      </c>
      <c r="E15363" s="84">
        <v>3.85</v>
      </c>
      <c r="F15363" s="76" t="s">
        <v>1005</v>
      </c>
      <c r="G15363" s="83">
        <v>46125.0</v>
      </c>
      <c r="H15363" s="76" t="s">
        <v>932</v>
      </c>
    </row>
    <row r="15364">
      <c r="A15364" s="76" t="s">
        <v>28</v>
      </c>
      <c r="B15364" s="76" t="s">
        <v>1042</v>
      </c>
      <c r="C15364" s="84">
        <v>364.08</v>
      </c>
      <c r="D15364" s="84">
        <v>114.0</v>
      </c>
      <c r="E15364" s="84">
        <v>3.19</v>
      </c>
      <c r="F15364" s="76" t="s">
        <v>1005</v>
      </c>
      <c r="G15364" s="83">
        <v>46125.0</v>
      </c>
      <c r="H15364" s="76" t="s">
        <v>933</v>
      </c>
    </row>
    <row r="15365">
      <c r="A15365" s="76" t="s">
        <v>34</v>
      </c>
      <c r="B15365" s="76" t="s">
        <v>1042</v>
      </c>
      <c r="C15365" s="84">
        <v>24.85</v>
      </c>
      <c r="D15365" s="84">
        <v>6.0</v>
      </c>
      <c r="E15365" s="84">
        <v>4.14</v>
      </c>
      <c r="F15365" s="76" t="s">
        <v>1005</v>
      </c>
      <c r="G15365" s="83">
        <v>46125.0</v>
      </c>
      <c r="H15365" s="76" t="s">
        <v>951</v>
      </c>
    </row>
    <row r="15366">
      <c r="A15366" s="76" t="s">
        <v>34</v>
      </c>
      <c r="B15366" s="76" t="s">
        <v>1042</v>
      </c>
      <c r="C15366" s="84">
        <v>45.06</v>
      </c>
      <c r="D15366" s="84">
        <v>8.0</v>
      </c>
      <c r="E15366" s="84">
        <v>5.63</v>
      </c>
      <c r="F15366" s="76" t="s">
        <v>1005</v>
      </c>
      <c r="G15366" s="83">
        <v>46125.0</v>
      </c>
      <c r="H15366" s="76" t="s">
        <v>952</v>
      </c>
    </row>
    <row r="15367">
      <c r="A15367" s="76" t="s">
        <v>34</v>
      </c>
      <c r="B15367" s="76" t="s">
        <v>1042</v>
      </c>
      <c r="C15367" s="84">
        <v>1.68</v>
      </c>
      <c r="D15367" s="84">
        <v>3.0</v>
      </c>
      <c r="E15367" s="84">
        <v>0.56</v>
      </c>
      <c r="F15367" s="76" t="s">
        <v>1005</v>
      </c>
      <c r="G15367" s="83">
        <v>46125.0</v>
      </c>
      <c r="H15367" s="76" t="s">
        <v>953</v>
      </c>
    </row>
    <row r="15368">
      <c r="A15368" s="76" t="s">
        <v>49</v>
      </c>
      <c r="B15368" s="76" t="s">
        <v>1042</v>
      </c>
      <c r="C15368" s="84">
        <v>26.08</v>
      </c>
      <c r="D15368" s="84">
        <v>6.0</v>
      </c>
      <c r="E15368" s="84">
        <v>4.35</v>
      </c>
      <c r="F15368" s="76" t="s">
        <v>1005</v>
      </c>
      <c r="G15368" s="83">
        <v>46125.0</v>
      </c>
      <c r="H15368" s="76" t="s">
        <v>1046</v>
      </c>
    </row>
    <row r="15369">
      <c r="A15369" s="76" t="s">
        <v>52</v>
      </c>
      <c r="B15369" s="76" t="s">
        <v>1042</v>
      </c>
      <c r="C15369" s="84">
        <v>15.38</v>
      </c>
      <c r="D15369" s="84">
        <v>1.0</v>
      </c>
      <c r="E15369" s="84">
        <v>15.38</v>
      </c>
      <c r="F15369" s="76" t="s">
        <v>1005</v>
      </c>
      <c r="G15369" s="83">
        <v>46125.0</v>
      </c>
      <c r="H15369" s="76" t="s">
        <v>1045</v>
      </c>
    </row>
    <row r="15370">
      <c r="A15370" s="76" t="s">
        <v>1043</v>
      </c>
      <c r="B15370" s="76" t="s">
        <v>1042</v>
      </c>
      <c r="C15370" s="84">
        <v>23.29</v>
      </c>
      <c r="D15370" s="84">
        <v>5.0</v>
      </c>
      <c r="E15370" s="84">
        <v>4.66</v>
      </c>
      <c r="F15370" s="76" t="s">
        <v>1005</v>
      </c>
      <c r="G15370" s="83">
        <v>46125.0</v>
      </c>
      <c r="H15370" s="76" t="s">
        <v>1044</v>
      </c>
    </row>
    <row r="15371">
      <c r="A15371" s="76" t="s">
        <v>36</v>
      </c>
      <c r="B15371" s="76" t="s">
        <v>1042</v>
      </c>
      <c r="C15371" s="84">
        <v>63.88</v>
      </c>
      <c r="D15371" s="84">
        <v>20.0</v>
      </c>
      <c r="E15371" s="84">
        <v>3.19</v>
      </c>
      <c r="F15371" s="76" t="s">
        <v>990</v>
      </c>
      <c r="G15371" s="83">
        <v>46125.0</v>
      </c>
      <c r="H15371" s="76" t="s">
        <v>926</v>
      </c>
    </row>
    <row r="15372">
      <c r="A15372" s="76" t="s">
        <v>36</v>
      </c>
      <c r="B15372" s="76" t="s">
        <v>1042</v>
      </c>
      <c r="C15372" s="84">
        <v>3.42</v>
      </c>
      <c r="D15372" s="84">
        <v>1.0</v>
      </c>
      <c r="E15372" s="84">
        <v>3.42</v>
      </c>
      <c r="F15372" s="76" t="s">
        <v>990</v>
      </c>
      <c r="G15372" s="83">
        <v>46125.0</v>
      </c>
      <c r="H15372" s="76" t="s">
        <v>927</v>
      </c>
    </row>
    <row r="15373">
      <c r="A15373" s="76" t="s">
        <v>36</v>
      </c>
      <c r="B15373" s="76" t="s">
        <v>1042</v>
      </c>
      <c r="C15373" s="84">
        <v>24.24</v>
      </c>
      <c r="D15373" s="84">
        <v>1.0</v>
      </c>
      <c r="E15373" s="84">
        <v>24.24</v>
      </c>
      <c r="F15373" s="76" t="s">
        <v>990</v>
      </c>
      <c r="G15373" s="83">
        <v>46125.0</v>
      </c>
      <c r="H15373" s="76" t="s">
        <v>928</v>
      </c>
    </row>
    <row r="15374">
      <c r="A15374" s="76" t="s">
        <v>28</v>
      </c>
      <c r="B15374" s="76" t="s">
        <v>1042</v>
      </c>
      <c r="C15374" s="84">
        <v>2.13</v>
      </c>
      <c r="D15374" s="84">
        <v>1.0</v>
      </c>
      <c r="E15374" s="84">
        <v>2.13</v>
      </c>
      <c r="F15374" s="76" t="s">
        <v>990</v>
      </c>
      <c r="G15374" s="83">
        <v>46125.0</v>
      </c>
      <c r="H15374" s="76" t="s">
        <v>931</v>
      </c>
    </row>
    <row r="15375">
      <c r="A15375" s="76" t="s">
        <v>28</v>
      </c>
      <c r="B15375" s="76" t="s">
        <v>1042</v>
      </c>
      <c r="C15375" s="84">
        <v>1.33</v>
      </c>
      <c r="D15375" s="84">
        <v>0.0</v>
      </c>
      <c r="E15375" s="84">
        <v>0.0</v>
      </c>
      <c r="F15375" s="76" t="s">
        <v>990</v>
      </c>
      <c r="G15375" s="83">
        <v>46125.0</v>
      </c>
      <c r="H15375" s="76" t="s">
        <v>932</v>
      </c>
    </row>
    <row r="15376">
      <c r="A15376" s="76" t="s">
        <v>28</v>
      </c>
      <c r="B15376" s="76" t="s">
        <v>1042</v>
      </c>
      <c r="C15376" s="84">
        <v>38.02</v>
      </c>
      <c r="D15376" s="84">
        <v>8.0</v>
      </c>
      <c r="E15376" s="84">
        <v>4.75</v>
      </c>
      <c r="F15376" s="76" t="s">
        <v>990</v>
      </c>
      <c r="G15376" s="83">
        <v>46125.0</v>
      </c>
      <c r="H15376" s="76" t="s">
        <v>933</v>
      </c>
    </row>
    <row r="15377">
      <c r="A15377" s="76" t="s">
        <v>34</v>
      </c>
      <c r="B15377" s="76" t="s">
        <v>1042</v>
      </c>
      <c r="C15377" s="84">
        <v>15.71</v>
      </c>
      <c r="D15377" s="84">
        <v>7.0</v>
      </c>
      <c r="E15377" s="84">
        <v>2.24</v>
      </c>
      <c r="F15377" s="76" t="s">
        <v>990</v>
      </c>
      <c r="G15377" s="83">
        <v>46125.0</v>
      </c>
      <c r="H15377" s="76" t="s">
        <v>951</v>
      </c>
    </row>
    <row r="15378">
      <c r="A15378" s="76" t="s">
        <v>34</v>
      </c>
      <c r="B15378" s="76" t="s">
        <v>1042</v>
      </c>
      <c r="C15378" s="84">
        <v>9.03</v>
      </c>
      <c r="D15378" s="84">
        <v>1.0</v>
      </c>
      <c r="E15378" s="84">
        <v>9.03</v>
      </c>
      <c r="F15378" s="76" t="s">
        <v>990</v>
      </c>
      <c r="G15378" s="83">
        <v>46125.0</v>
      </c>
      <c r="H15378" s="76" t="s">
        <v>952</v>
      </c>
    </row>
    <row r="15379">
      <c r="A15379" s="76" t="s">
        <v>34</v>
      </c>
      <c r="B15379" s="76" t="s">
        <v>1042</v>
      </c>
      <c r="C15379" s="84">
        <v>0.93</v>
      </c>
      <c r="D15379" s="84">
        <v>0.0</v>
      </c>
      <c r="E15379" s="84">
        <v>0.0</v>
      </c>
      <c r="F15379" s="76" t="s">
        <v>990</v>
      </c>
      <c r="G15379" s="83">
        <v>46125.0</v>
      </c>
      <c r="H15379" s="76" t="s">
        <v>953</v>
      </c>
    </row>
    <row r="15380">
      <c r="A15380" s="76" t="s">
        <v>1043</v>
      </c>
      <c r="B15380" s="76" t="s">
        <v>1042</v>
      </c>
      <c r="C15380" s="84">
        <v>8.82</v>
      </c>
      <c r="D15380" s="84">
        <v>3.0</v>
      </c>
      <c r="E15380" s="84">
        <v>2.94</v>
      </c>
      <c r="F15380" s="76" t="s">
        <v>990</v>
      </c>
      <c r="G15380" s="83">
        <v>46125.0</v>
      </c>
      <c r="H15380" s="76" t="s">
        <v>1044</v>
      </c>
    </row>
    <row r="15381">
      <c r="A15381" s="76" t="s">
        <v>52</v>
      </c>
      <c r="B15381" s="76" t="s">
        <v>1042</v>
      </c>
      <c r="C15381" s="84">
        <v>10.25</v>
      </c>
      <c r="D15381" s="84">
        <v>3.0</v>
      </c>
      <c r="E15381" s="84">
        <v>3.42</v>
      </c>
      <c r="F15381" s="76" t="s">
        <v>990</v>
      </c>
      <c r="G15381" s="83">
        <v>46125.0</v>
      </c>
      <c r="H15381" s="76" t="s">
        <v>1045</v>
      </c>
    </row>
    <row r="15382">
      <c r="A15382" s="76" t="s">
        <v>49</v>
      </c>
      <c r="B15382" s="76" t="s">
        <v>1042</v>
      </c>
      <c r="C15382" s="84">
        <v>21.16</v>
      </c>
      <c r="D15382" s="84">
        <v>3.0</v>
      </c>
      <c r="E15382" s="84">
        <v>7.05</v>
      </c>
      <c r="F15382" s="76" t="s">
        <v>990</v>
      </c>
      <c r="G15382" s="83">
        <v>46125.0</v>
      </c>
      <c r="H15382" s="76" t="s">
        <v>1046</v>
      </c>
    </row>
    <row r="15383">
      <c r="A15383" s="76" t="s">
        <v>36</v>
      </c>
      <c r="B15383" s="76" t="s">
        <v>1042</v>
      </c>
      <c r="C15383" s="84">
        <v>2.27</v>
      </c>
      <c r="D15383" s="84">
        <v>1.0</v>
      </c>
      <c r="E15383" s="84">
        <v>2.27</v>
      </c>
      <c r="F15383" s="76" t="s">
        <v>993</v>
      </c>
      <c r="G15383" s="83">
        <v>46125.0</v>
      </c>
      <c r="H15383" s="76" t="s">
        <v>926</v>
      </c>
    </row>
    <row r="15384">
      <c r="A15384" s="76" t="s">
        <v>36</v>
      </c>
      <c r="B15384" s="76" t="s">
        <v>1042</v>
      </c>
      <c r="C15384" s="84">
        <v>0.22</v>
      </c>
      <c r="D15384" s="84">
        <v>0.0</v>
      </c>
      <c r="E15384" s="84">
        <v>0.0</v>
      </c>
      <c r="F15384" s="76" t="s">
        <v>993</v>
      </c>
      <c r="G15384" s="83">
        <v>46125.0</v>
      </c>
      <c r="H15384" s="76" t="s">
        <v>927</v>
      </c>
    </row>
    <row r="15385">
      <c r="A15385" s="76" t="s">
        <v>36</v>
      </c>
      <c r="B15385" s="76" t="s">
        <v>1042</v>
      </c>
      <c r="C15385" s="84">
        <v>1.92</v>
      </c>
      <c r="D15385" s="84">
        <v>1.0</v>
      </c>
      <c r="E15385" s="84">
        <v>1.92</v>
      </c>
      <c r="F15385" s="76" t="s">
        <v>993</v>
      </c>
      <c r="G15385" s="83">
        <v>46125.0</v>
      </c>
      <c r="H15385" s="76" t="s">
        <v>928</v>
      </c>
    </row>
    <row r="15386">
      <c r="A15386" s="76" t="s">
        <v>28</v>
      </c>
      <c r="B15386" s="76" t="s">
        <v>1042</v>
      </c>
      <c r="C15386" s="84">
        <v>0.46</v>
      </c>
      <c r="D15386" s="84">
        <v>0.0</v>
      </c>
      <c r="E15386" s="84">
        <v>0.0</v>
      </c>
      <c r="F15386" s="76" t="s">
        <v>993</v>
      </c>
      <c r="G15386" s="83">
        <v>46125.0</v>
      </c>
      <c r="H15386" s="76" t="s">
        <v>931</v>
      </c>
    </row>
    <row r="15387">
      <c r="A15387" s="76" t="s">
        <v>28</v>
      </c>
      <c r="B15387" s="76" t="s">
        <v>1042</v>
      </c>
      <c r="C15387" s="84">
        <v>0.43</v>
      </c>
      <c r="D15387" s="84">
        <v>0.0</v>
      </c>
      <c r="E15387" s="84">
        <v>0.0</v>
      </c>
      <c r="F15387" s="76" t="s">
        <v>993</v>
      </c>
      <c r="G15387" s="83">
        <v>46125.0</v>
      </c>
      <c r="H15387" s="76" t="s">
        <v>932</v>
      </c>
    </row>
    <row r="15388">
      <c r="A15388" s="76" t="s">
        <v>28</v>
      </c>
      <c r="B15388" s="76" t="s">
        <v>1042</v>
      </c>
      <c r="C15388" s="84">
        <v>3.8</v>
      </c>
      <c r="D15388" s="84">
        <v>0.0</v>
      </c>
      <c r="E15388" s="84">
        <v>0.0</v>
      </c>
      <c r="F15388" s="76" t="s">
        <v>993</v>
      </c>
      <c r="G15388" s="83">
        <v>46125.0</v>
      </c>
      <c r="H15388" s="76" t="s">
        <v>933</v>
      </c>
    </row>
    <row r="15389">
      <c r="A15389" s="76" t="s">
        <v>34</v>
      </c>
      <c r="B15389" s="76" t="s">
        <v>1042</v>
      </c>
      <c r="C15389" s="84">
        <v>1.11</v>
      </c>
      <c r="D15389" s="84">
        <v>1.0</v>
      </c>
      <c r="E15389" s="84">
        <v>1.11</v>
      </c>
      <c r="F15389" s="76" t="s">
        <v>993</v>
      </c>
      <c r="G15389" s="83">
        <v>46125.0</v>
      </c>
      <c r="H15389" s="76" t="s">
        <v>951</v>
      </c>
    </row>
    <row r="15390">
      <c r="A15390" s="76" t="s">
        <v>34</v>
      </c>
      <c r="B15390" s="76" t="s">
        <v>1042</v>
      </c>
      <c r="C15390" s="84">
        <v>2.21</v>
      </c>
      <c r="D15390" s="84">
        <v>0.0</v>
      </c>
      <c r="E15390" s="84">
        <v>0.0</v>
      </c>
      <c r="F15390" s="76" t="s">
        <v>993</v>
      </c>
      <c r="G15390" s="83">
        <v>46125.0</v>
      </c>
      <c r="H15390" s="76" t="s">
        <v>952</v>
      </c>
    </row>
    <row r="15391">
      <c r="A15391" s="76" t="s">
        <v>34</v>
      </c>
      <c r="B15391" s="76" t="s">
        <v>1042</v>
      </c>
      <c r="C15391" s="84">
        <v>0.09</v>
      </c>
      <c r="D15391" s="84">
        <v>0.0</v>
      </c>
      <c r="E15391" s="84">
        <v>0.0</v>
      </c>
      <c r="F15391" s="76" t="s">
        <v>993</v>
      </c>
      <c r="G15391" s="83">
        <v>46125.0</v>
      </c>
      <c r="H15391" s="76" t="s">
        <v>953</v>
      </c>
    </row>
    <row r="15392">
      <c r="A15392" s="76" t="s">
        <v>1043</v>
      </c>
      <c r="B15392" s="76" t="s">
        <v>1042</v>
      </c>
      <c r="C15392" s="84">
        <v>0.9</v>
      </c>
      <c r="D15392" s="84">
        <v>0.0</v>
      </c>
      <c r="E15392" s="84">
        <v>0.0</v>
      </c>
      <c r="F15392" s="76" t="s">
        <v>993</v>
      </c>
      <c r="G15392" s="83">
        <v>46125.0</v>
      </c>
      <c r="H15392" s="76" t="s">
        <v>1044</v>
      </c>
    </row>
    <row r="15393">
      <c r="A15393" s="76" t="s">
        <v>52</v>
      </c>
      <c r="B15393" s="76" t="s">
        <v>1042</v>
      </c>
      <c r="C15393" s="84">
        <v>0.52</v>
      </c>
      <c r="D15393" s="84">
        <v>0.0</v>
      </c>
      <c r="E15393" s="84">
        <v>0.0</v>
      </c>
      <c r="F15393" s="76" t="s">
        <v>993</v>
      </c>
      <c r="G15393" s="83">
        <v>46125.0</v>
      </c>
      <c r="H15393" s="76" t="s">
        <v>1045</v>
      </c>
    </row>
    <row r="15394">
      <c r="A15394" s="76" t="s">
        <v>49</v>
      </c>
      <c r="B15394" s="76" t="s">
        <v>1042</v>
      </c>
      <c r="C15394" s="84">
        <v>1.24</v>
      </c>
      <c r="D15394" s="84">
        <v>0.0</v>
      </c>
      <c r="E15394" s="84">
        <v>0.0</v>
      </c>
      <c r="F15394" s="76" t="s">
        <v>993</v>
      </c>
      <c r="G15394" s="83">
        <v>46125.0</v>
      </c>
      <c r="H15394" s="76" t="s">
        <v>1046</v>
      </c>
    </row>
    <row r="15395">
      <c r="A15395" s="76" t="s">
        <v>36</v>
      </c>
      <c r="B15395" s="76" t="s">
        <v>1042</v>
      </c>
      <c r="C15395" s="84">
        <v>19.71</v>
      </c>
      <c r="D15395" s="84">
        <v>6.0</v>
      </c>
      <c r="E15395" s="84">
        <v>3.29</v>
      </c>
      <c r="F15395" s="76" t="s">
        <v>998</v>
      </c>
      <c r="G15395" s="83">
        <v>46125.0</v>
      </c>
      <c r="H15395" s="76" t="s">
        <v>926</v>
      </c>
    </row>
    <row r="15396">
      <c r="A15396" s="76" t="s">
        <v>36</v>
      </c>
      <c r="B15396" s="76" t="s">
        <v>1042</v>
      </c>
      <c r="C15396" s="84">
        <v>1.55</v>
      </c>
      <c r="D15396" s="84">
        <v>0.0</v>
      </c>
      <c r="E15396" s="84">
        <v>0.0</v>
      </c>
      <c r="F15396" s="76" t="s">
        <v>998</v>
      </c>
      <c r="G15396" s="83">
        <v>46125.0</v>
      </c>
      <c r="H15396" s="76" t="s">
        <v>927</v>
      </c>
    </row>
    <row r="15397">
      <c r="A15397" s="76" t="s">
        <v>36</v>
      </c>
      <c r="B15397" s="76" t="s">
        <v>1042</v>
      </c>
      <c r="C15397" s="84">
        <v>6.71</v>
      </c>
      <c r="D15397" s="84">
        <v>4.0</v>
      </c>
      <c r="E15397" s="84">
        <v>1.68</v>
      </c>
      <c r="F15397" s="76" t="s">
        <v>998</v>
      </c>
      <c r="G15397" s="83">
        <v>46125.0</v>
      </c>
      <c r="H15397" s="76" t="s">
        <v>928</v>
      </c>
    </row>
    <row r="15398">
      <c r="A15398" s="76" t="s">
        <v>28</v>
      </c>
      <c r="B15398" s="76" t="s">
        <v>1042</v>
      </c>
      <c r="C15398" s="84">
        <v>2.1</v>
      </c>
      <c r="D15398" s="84">
        <v>0.0</v>
      </c>
      <c r="E15398" s="84">
        <v>0.0</v>
      </c>
      <c r="F15398" s="76" t="s">
        <v>998</v>
      </c>
      <c r="G15398" s="83">
        <v>46125.0</v>
      </c>
      <c r="H15398" s="76" t="s">
        <v>931</v>
      </c>
    </row>
    <row r="15399">
      <c r="A15399" s="76" t="s">
        <v>28</v>
      </c>
      <c r="B15399" s="76" t="s">
        <v>1042</v>
      </c>
      <c r="C15399" s="84">
        <v>0.57</v>
      </c>
      <c r="D15399" s="84">
        <v>0.0</v>
      </c>
      <c r="E15399" s="84">
        <v>0.0</v>
      </c>
      <c r="F15399" s="76" t="s">
        <v>998</v>
      </c>
      <c r="G15399" s="83">
        <v>46125.0</v>
      </c>
      <c r="H15399" s="76" t="s">
        <v>932</v>
      </c>
    </row>
    <row r="15400">
      <c r="A15400" s="76" t="s">
        <v>28</v>
      </c>
      <c r="B15400" s="76" t="s">
        <v>1042</v>
      </c>
      <c r="C15400" s="84">
        <v>15.94</v>
      </c>
      <c r="D15400" s="84">
        <v>2.0</v>
      </c>
      <c r="E15400" s="84">
        <v>7.97</v>
      </c>
      <c r="F15400" s="76" t="s">
        <v>998</v>
      </c>
      <c r="G15400" s="83">
        <v>46125.0</v>
      </c>
      <c r="H15400" s="76" t="s">
        <v>933</v>
      </c>
    </row>
    <row r="15401">
      <c r="A15401" s="76" t="s">
        <v>34</v>
      </c>
      <c r="B15401" s="76" t="s">
        <v>1042</v>
      </c>
      <c r="C15401" s="84">
        <v>7.94</v>
      </c>
      <c r="D15401" s="84">
        <v>0.0</v>
      </c>
      <c r="E15401" s="84">
        <v>0.0</v>
      </c>
      <c r="F15401" s="76" t="s">
        <v>998</v>
      </c>
      <c r="G15401" s="83">
        <v>46125.0</v>
      </c>
      <c r="H15401" s="76" t="s">
        <v>951</v>
      </c>
    </row>
    <row r="15402">
      <c r="A15402" s="76" t="s">
        <v>34</v>
      </c>
      <c r="B15402" s="76" t="s">
        <v>1042</v>
      </c>
      <c r="C15402" s="84">
        <v>4.63</v>
      </c>
      <c r="D15402" s="84">
        <v>0.0</v>
      </c>
      <c r="E15402" s="84">
        <v>0.0</v>
      </c>
      <c r="F15402" s="76" t="s">
        <v>998</v>
      </c>
      <c r="G15402" s="83">
        <v>46125.0</v>
      </c>
      <c r="H15402" s="76" t="s">
        <v>952</v>
      </c>
    </row>
    <row r="15403">
      <c r="A15403" s="76" t="s">
        <v>34</v>
      </c>
      <c r="B15403" s="76" t="s">
        <v>1042</v>
      </c>
      <c r="C15403" s="84">
        <v>0.79</v>
      </c>
      <c r="D15403" s="84">
        <v>0.0</v>
      </c>
      <c r="E15403" s="84">
        <v>0.0</v>
      </c>
      <c r="F15403" s="76" t="s">
        <v>998</v>
      </c>
      <c r="G15403" s="83">
        <v>46125.0</v>
      </c>
      <c r="H15403" s="76" t="s">
        <v>953</v>
      </c>
    </row>
    <row r="15404">
      <c r="A15404" s="76" t="s">
        <v>1043</v>
      </c>
      <c r="B15404" s="76" t="s">
        <v>1042</v>
      </c>
      <c r="C15404" s="84">
        <v>4.96</v>
      </c>
      <c r="D15404" s="84">
        <v>0.0</v>
      </c>
      <c r="E15404" s="84">
        <v>0.0</v>
      </c>
      <c r="F15404" s="76" t="s">
        <v>998</v>
      </c>
      <c r="G15404" s="83">
        <v>46125.0</v>
      </c>
      <c r="H15404" s="76" t="s">
        <v>1044</v>
      </c>
    </row>
    <row r="15405">
      <c r="A15405" s="76" t="s">
        <v>52</v>
      </c>
      <c r="B15405" s="76" t="s">
        <v>1042</v>
      </c>
      <c r="C15405" s="84">
        <v>2.91</v>
      </c>
      <c r="D15405" s="84">
        <v>0.0</v>
      </c>
      <c r="E15405" s="84">
        <v>0.0</v>
      </c>
      <c r="F15405" s="76" t="s">
        <v>998</v>
      </c>
      <c r="G15405" s="83">
        <v>46125.0</v>
      </c>
      <c r="H15405" s="76" t="s">
        <v>1045</v>
      </c>
    </row>
    <row r="15406">
      <c r="A15406" s="76" t="s">
        <v>49</v>
      </c>
      <c r="B15406" s="76" t="s">
        <v>1042</v>
      </c>
      <c r="C15406" s="84">
        <v>3.98</v>
      </c>
      <c r="D15406" s="84">
        <v>1.0</v>
      </c>
      <c r="E15406" s="84">
        <v>3.98</v>
      </c>
      <c r="F15406" s="76" t="s">
        <v>998</v>
      </c>
      <c r="G15406" s="83">
        <v>46125.0</v>
      </c>
      <c r="H15406" s="76" t="s">
        <v>1046</v>
      </c>
    </row>
    <row r="15407">
      <c r="A15407" s="76" t="s">
        <v>36</v>
      </c>
      <c r="B15407" s="76" t="s">
        <v>1042</v>
      </c>
      <c r="C15407" s="84">
        <v>7.98</v>
      </c>
      <c r="D15407" s="84">
        <v>3.0</v>
      </c>
      <c r="E15407" s="84">
        <v>2.66</v>
      </c>
      <c r="F15407" s="76" t="s">
        <v>997</v>
      </c>
      <c r="G15407" s="83">
        <v>46125.0</v>
      </c>
      <c r="H15407" s="76" t="s">
        <v>926</v>
      </c>
    </row>
    <row r="15408">
      <c r="A15408" s="76" t="s">
        <v>36</v>
      </c>
      <c r="B15408" s="76" t="s">
        <v>1042</v>
      </c>
      <c r="C15408" s="84">
        <v>0.86</v>
      </c>
      <c r="D15408" s="84">
        <v>0.0</v>
      </c>
      <c r="E15408" s="84">
        <v>0.0</v>
      </c>
      <c r="F15408" s="76" t="s">
        <v>997</v>
      </c>
      <c r="G15408" s="83">
        <v>46125.0</v>
      </c>
      <c r="H15408" s="76" t="s">
        <v>927</v>
      </c>
    </row>
    <row r="15409">
      <c r="A15409" s="76" t="s">
        <v>36</v>
      </c>
      <c r="B15409" s="76" t="s">
        <v>1042</v>
      </c>
      <c r="C15409" s="84">
        <v>7.62</v>
      </c>
      <c r="D15409" s="84">
        <v>0.0</v>
      </c>
      <c r="E15409" s="84">
        <v>0.0</v>
      </c>
      <c r="F15409" s="76" t="s">
        <v>997</v>
      </c>
      <c r="G15409" s="83">
        <v>46125.0</v>
      </c>
      <c r="H15409" s="76" t="s">
        <v>928</v>
      </c>
    </row>
    <row r="15410">
      <c r="A15410" s="76" t="s">
        <v>28</v>
      </c>
      <c r="B15410" s="76" t="s">
        <v>1042</v>
      </c>
      <c r="C15410" s="84">
        <v>0.84</v>
      </c>
      <c r="D15410" s="84">
        <v>0.0</v>
      </c>
      <c r="E15410" s="84">
        <v>0.0</v>
      </c>
      <c r="F15410" s="76" t="s">
        <v>997</v>
      </c>
      <c r="G15410" s="83">
        <v>46125.0</v>
      </c>
      <c r="H15410" s="76" t="s">
        <v>931</v>
      </c>
    </row>
    <row r="15411">
      <c r="A15411" s="76" t="s">
        <v>28</v>
      </c>
      <c r="B15411" s="76" t="s">
        <v>1042</v>
      </c>
      <c r="C15411" s="84">
        <v>0.78</v>
      </c>
      <c r="D15411" s="84">
        <v>0.0</v>
      </c>
      <c r="E15411" s="84">
        <v>0.0</v>
      </c>
      <c r="F15411" s="76" t="s">
        <v>997</v>
      </c>
      <c r="G15411" s="83">
        <v>46125.0</v>
      </c>
      <c r="H15411" s="76" t="s">
        <v>932</v>
      </c>
    </row>
    <row r="15412">
      <c r="A15412" s="76" t="s">
        <v>28</v>
      </c>
      <c r="B15412" s="76" t="s">
        <v>1042</v>
      </c>
      <c r="C15412" s="84">
        <v>4.04</v>
      </c>
      <c r="D15412" s="84">
        <v>3.0</v>
      </c>
      <c r="E15412" s="84">
        <v>1.35</v>
      </c>
      <c r="F15412" s="76" t="s">
        <v>997</v>
      </c>
      <c r="G15412" s="83">
        <v>46125.0</v>
      </c>
      <c r="H15412" s="76" t="s">
        <v>933</v>
      </c>
    </row>
    <row r="15413">
      <c r="A15413" s="76" t="s">
        <v>34</v>
      </c>
      <c r="B15413" s="76" t="s">
        <v>1042</v>
      </c>
      <c r="C15413" s="84">
        <v>3.55</v>
      </c>
      <c r="D15413" s="84">
        <v>1.0</v>
      </c>
      <c r="E15413" s="84">
        <v>3.55</v>
      </c>
      <c r="F15413" s="76" t="s">
        <v>997</v>
      </c>
      <c r="G15413" s="83">
        <v>46125.0</v>
      </c>
      <c r="H15413" s="76" t="s">
        <v>951</v>
      </c>
    </row>
    <row r="15414">
      <c r="A15414" s="76" t="s">
        <v>34</v>
      </c>
      <c r="B15414" s="76" t="s">
        <v>1042</v>
      </c>
      <c r="C15414" s="84">
        <v>5.46</v>
      </c>
      <c r="D15414" s="84">
        <v>1.0</v>
      </c>
      <c r="E15414" s="84">
        <v>5.46</v>
      </c>
      <c r="F15414" s="76" t="s">
        <v>997</v>
      </c>
      <c r="G15414" s="83">
        <v>46125.0</v>
      </c>
      <c r="H15414" s="76" t="s">
        <v>952</v>
      </c>
    </row>
    <row r="15415">
      <c r="A15415" s="76" t="s">
        <v>34</v>
      </c>
      <c r="B15415" s="76" t="s">
        <v>1042</v>
      </c>
      <c r="C15415" s="84">
        <v>0.63</v>
      </c>
      <c r="D15415" s="84">
        <v>1.0</v>
      </c>
      <c r="E15415" s="84">
        <v>0.63</v>
      </c>
      <c r="F15415" s="76" t="s">
        <v>997</v>
      </c>
      <c r="G15415" s="83">
        <v>46125.0</v>
      </c>
      <c r="H15415" s="76" t="s">
        <v>953</v>
      </c>
    </row>
    <row r="15416">
      <c r="A15416" s="76" t="s">
        <v>1043</v>
      </c>
      <c r="B15416" s="76" t="s">
        <v>1042</v>
      </c>
      <c r="C15416" s="84">
        <v>2.53</v>
      </c>
      <c r="D15416" s="84">
        <v>1.0</v>
      </c>
      <c r="E15416" s="84">
        <v>2.53</v>
      </c>
      <c r="F15416" s="76" t="s">
        <v>997</v>
      </c>
      <c r="G15416" s="83">
        <v>46125.0</v>
      </c>
      <c r="H15416" s="76" t="s">
        <v>1044</v>
      </c>
    </row>
    <row r="15417">
      <c r="A15417" s="76" t="s">
        <v>52</v>
      </c>
      <c r="B15417" s="76" t="s">
        <v>1042</v>
      </c>
      <c r="C15417" s="84">
        <v>3.87</v>
      </c>
      <c r="D15417" s="84">
        <v>0.0</v>
      </c>
      <c r="E15417" s="84">
        <v>0.0</v>
      </c>
      <c r="F15417" s="76" t="s">
        <v>997</v>
      </c>
      <c r="G15417" s="83">
        <v>46125.0</v>
      </c>
      <c r="H15417" s="76" t="s">
        <v>1045</v>
      </c>
    </row>
    <row r="15418">
      <c r="A15418" s="76" t="s">
        <v>49</v>
      </c>
      <c r="B15418" s="76" t="s">
        <v>1042</v>
      </c>
      <c r="C15418" s="84">
        <v>3.55</v>
      </c>
      <c r="D15418" s="84">
        <v>0.0</v>
      </c>
      <c r="E15418" s="84">
        <v>0.0</v>
      </c>
      <c r="F15418" s="76" t="s">
        <v>997</v>
      </c>
      <c r="G15418" s="83">
        <v>46125.0</v>
      </c>
      <c r="H15418" s="76" t="s">
        <v>1046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33.0" customHeight="1">
      <c r="A1" s="85"/>
      <c r="B1" s="86" t="s">
        <v>1047</v>
      </c>
      <c r="C1" s="87" t="s">
        <v>1048</v>
      </c>
      <c r="D1" s="85"/>
      <c r="E1" s="88" t="s">
        <v>1049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89"/>
      <c r="B3" s="90" t="s">
        <v>1050</v>
      </c>
      <c r="C3" s="90" t="s">
        <v>1051</v>
      </c>
      <c r="D3" s="90" t="s">
        <v>1052</v>
      </c>
      <c r="E3" s="90" t="s">
        <v>1053</v>
      </c>
      <c r="F3" s="90" t="s">
        <v>1054</v>
      </c>
      <c r="G3" s="90" t="s">
        <v>8</v>
      </c>
      <c r="H3" s="90" t="s">
        <v>1055</v>
      </c>
      <c r="I3" s="90" t="s">
        <v>1056</v>
      </c>
      <c r="J3" s="90" t="s">
        <v>1057</v>
      </c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89"/>
      <c r="B4" s="91" t="s">
        <v>1058</v>
      </c>
      <c r="C4" s="91" t="s">
        <v>1059</v>
      </c>
      <c r="D4" s="91" t="s">
        <v>1060</v>
      </c>
      <c r="E4" s="91" t="s">
        <v>1061</v>
      </c>
      <c r="F4" s="92">
        <v>11.49</v>
      </c>
      <c r="G4" s="93" t="s">
        <v>30</v>
      </c>
      <c r="H4" s="93" t="s">
        <v>30</v>
      </c>
      <c r="I4" s="94" t="s">
        <v>1058</v>
      </c>
      <c r="J4" s="94" t="s">
        <v>1058</v>
      </c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89"/>
      <c r="B5" s="91" t="s">
        <v>1058</v>
      </c>
      <c r="C5" s="91" t="s">
        <v>1062</v>
      </c>
      <c r="D5" s="91" t="s">
        <v>1060</v>
      </c>
      <c r="E5" s="91" t="s">
        <v>1061</v>
      </c>
      <c r="F5" s="92">
        <v>2.05</v>
      </c>
      <c r="G5" s="93" t="s">
        <v>30</v>
      </c>
      <c r="H5" s="93" t="s">
        <v>30</v>
      </c>
      <c r="I5" s="94" t="s">
        <v>1058</v>
      </c>
      <c r="J5" s="94" t="s">
        <v>1058</v>
      </c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89"/>
      <c r="B6" s="91" t="s">
        <v>1058</v>
      </c>
      <c r="C6" s="91" t="s">
        <v>1059</v>
      </c>
      <c r="D6" s="91" t="s">
        <v>1060</v>
      </c>
      <c r="E6" s="91" t="s">
        <v>1063</v>
      </c>
      <c r="F6" s="92">
        <v>0.02</v>
      </c>
      <c r="G6" s="93" t="s">
        <v>30</v>
      </c>
      <c r="H6" s="93" t="s">
        <v>30</v>
      </c>
      <c r="I6" s="94" t="s">
        <v>1058</v>
      </c>
      <c r="J6" s="94" t="s">
        <v>1058</v>
      </c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89"/>
      <c r="B7" s="91" t="s">
        <v>1058</v>
      </c>
      <c r="C7" s="91" t="s">
        <v>1062</v>
      </c>
      <c r="D7" s="91" t="s">
        <v>1060</v>
      </c>
      <c r="E7" s="91" t="s">
        <v>1064</v>
      </c>
      <c r="F7" s="92">
        <v>7.88</v>
      </c>
      <c r="G7" s="93" t="s">
        <v>30</v>
      </c>
      <c r="H7" s="93" t="s">
        <v>30</v>
      </c>
      <c r="I7" s="94" t="s">
        <v>1058</v>
      </c>
      <c r="J7" s="94" t="s">
        <v>1058</v>
      </c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89"/>
      <c r="B8" s="91" t="s">
        <v>1058</v>
      </c>
      <c r="C8" s="91" t="s">
        <v>1059</v>
      </c>
      <c r="D8" s="91" t="s">
        <v>1060</v>
      </c>
      <c r="E8" s="91" t="s">
        <v>1064</v>
      </c>
      <c r="F8" s="92">
        <v>65.5</v>
      </c>
      <c r="G8" s="93" t="s">
        <v>30</v>
      </c>
      <c r="H8" s="93" t="s">
        <v>30</v>
      </c>
      <c r="I8" s="94" t="s">
        <v>1058</v>
      </c>
      <c r="J8" s="94" t="s">
        <v>1058</v>
      </c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89"/>
      <c r="B9" s="91" t="s">
        <v>1058</v>
      </c>
      <c r="C9" s="91" t="s">
        <v>1065</v>
      </c>
      <c r="D9" s="91" t="s">
        <v>1066</v>
      </c>
      <c r="E9" s="91" t="s">
        <v>1067</v>
      </c>
      <c r="F9" s="92">
        <v>36.77</v>
      </c>
      <c r="G9" s="93">
        <v>1.0</v>
      </c>
      <c r="H9" s="93">
        <v>36.77</v>
      </c>
      <c r="I9" s="94" t="s">
        <v>1058</v>
      </c>
      <c r="J9" s="94" t="s">
        <v>1058</v>
      </c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89"/>
      <c r="B10" s="91" t="s">
        <v>1058</v>
      </c>
      <c r="C10" s="91" t="s">
        <v>1065</v>
      </c>
      <c r="D10" s="91" t="s">
        <v>1068</v>
      </c>
      <c r="E10" s="91" t="s">
        <v>1069</v>
      </c>
      <c r="F10" s="92">
        <v>0.19</v>
      </c>
      <c r="G10" s="93" t="s">
        <v>30</v>
      </c>
      <c r="H10" s="93" t="s">
        <v>30</v>
      </c>
      <c r="I10" s="94" t="s">
        <v>1058</v>
      </c>
      <c r="J10" s="94" t="s">
        <v>1058</v>
      </c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89"/>
      <c r="B11" s="91" t="s">
        <v>1058</v>
      </c>
      <c r="C11" s="91" t="s">
        <v>1065</v>
      </c>
      <c r="D11" s="91" t="s">
        <v>1068</v>
      </c>
      <c r="E11" s="91" t="s">
        <v>1070</v>
      </c>
      <c r="F11" s="92">
        <v>27.68</v>
      </c>
      <c r="G11" s="93" t="s">
        <v>30</v>
      </c>
      <c r="H11" s="93" t="s">
        <v>30</v>
      </c>
      <c r="I11" s="94" t="s">
        <v>1058</v>
      </c>
      <c r="J11" s="94" t="s">
        <v>1058</v>
      </c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89"/>
      <c r="B12" s="91" t="s">
        <v>1058</v>
      </c>
      <c r="C12" s="91" t="s">
        <v>1071</v>
      </c>
      <c r="D12" s="91" t="s">
        <v>1066</v>
      </c>
      <c r="E12" s="91" t="s">
        <v>1072</v>
      </c>
      <c r="F12" s="92">
        <v>0.11</v>
      </c>
      <c r="G12" s="93" t="s">
        <v>30</v>
      </c>
      <c r="H12" s="93" t="s">
        <v>30</v>
      </c>
      <c r="I12" s="94" t="s">
        <v>1058</v>
      </c>
      <c r="J12" s="94" t="s">
        <v>1058</v>
      </c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89"/>
      <c r="B13" s="91" t="s">
        <v>1058</v>
      </c>
      <c r="C13" s="91" t="s">
        <v>1073</v>
      </c>
      <c r="D13" s="91" t="s">
        <v>1066</v>
      </c>
      <c r="E13" s="91" t="s">
        <v>1072</v>
      </c>
      <c r="F13" s="92">
        <v>2.14</v>
      </c>
      <c r="G13" s="93" t="s">
        <v>30</v>
      </c>
      <c r="H13" s="93" t="s">
        <v>30</v>
      </c>
      <c r="I13" s="94" t="s">
        <v>1058</v>
      </c>
      <c r="J13" s="94" t="s">
        <v>1058</v>
      </c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89"/>
      <c r="B14" s="91" t="s">
        <v>1058</v>
      </c>
      <c r="C14" s="91" t="s">
        <v>1073</v>
      </c>
      <c r="D14" s="91" t="s">
        <v>1066</v>
      </c>
      <c r="E14" s="91" t="s">
        <v>1067</v>
      </c>
      <c r="F14" s="92">
        <v>1.08</v>
      </c>
      <c r="G14" s="93" t="s">
        <v>30</v>
      </c>
      <c r="H14" s="93" t="s">
        <v>30</v>
      </c>
      <c r="I14" s="94" t="s">
        <v>1058</v>
      </c>
      <c r="J14" s="94" t="s">
        <v>1058</v>
      </c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89"/>
      <c r="B15" s="91" t="s">
        <v>1058</v>
      </c>
      <c r="C15" s="91" t="s">
        <v>1074</v>
      </c>
      <c r="D15" s="91" t="s">
        <v>1066</v>
      </c>
      <c r="E15" s="91" t="s">
        <v>1067</v>
      </c>
      <c r="F15" s="92">
        <v>2.76</v>
      </c>
      <c r="G15" s="93" t="s">
        <v>30</v>
      </c>
      <c r="H15" s="93" t="s">
        <v>30</v>
      </c>
      <c r="I15" s="94" t="s">
        <v>1058</v>
      </c>
      <c r="J15" s="94" t="s">
        <v>1058</v>
      </c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89"/>
      <c r="B16" s="91" t="s">
        <v>1058</v>
      </c>
      <c r="C16" s="91" t="s">
        <v>1071</v>
      </c>
      <c r="D16" s="91" t="s">
        <v>1066</v>
      </c>
      <c r="E16" s="91" t="s">
        <v>1067</v>
      </c>
      <c r="F16" s="92">
        <v>74.34</v>
      </c>
      <c r="G16" s="93" t="s">
        <v>30</v>
      </c>
      <c r="H16" s="93" t="s">
        <v>30</v>
      </c>
      <c r="I16" s="94" t="s">
        <v>1058</v>
      </c>
      <c r="J16" s="94" t="s">
        <v>1058</v>
      </c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89"/>
      <c r="B17" s="91" t="s">
        <v>1058</v>
      </c>
      <c r="C17" s="91" t="s">
        <v>1075</v>
      </c>
      <c r="D17" s="91" t="s">
        <v>1066</v>
      </c>
      <c r="E17" s="91" t="s">
        <v>1067</v>
      </c>
      <c r="F17" s="92">
        <v>0.01</v>
      </c>
      <c r="G17" s="93" t="s">
        <v>30</v>
      </c>
      <c r="H17" s="93" t="s">
        <v>30</v>
      </c>
      <c r="I17" s="94" t="s">
        <v>1058</v>
      </c>
      <c r="J17" s="94" t="s">
        <v>1058</v>
      </c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89"/>
      <c r="B18" s="91" t="s">
        <v>1058</v>
      </c>
      <c r="C18" s="91" t="s">
        <v>1074</v>
      </c>
      <c r="D18" s="91" t="s">
        <v>1068</v>
      </c>
      <c r="E18" s="91" t="s">
        <v>1070</v>
      </c>
      <c r="F18" s="92">
        <v>36.2</v>
      </c>
      <c r="G18" s="93" t="s">
        <v>30</v>
      </c>
      <c r="H18" s="93" t="s">
        <v>30</v>
      </c>
      <c r="I18" s="94" t="s">
        <v>1058</v>
      </c>
      <c r="J18" s="94" t="s">
        <v>1058</v>
      </c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89"/>
      <c r="B19" s="91" t="s">
        <v>1058</v>
      </c>
      <c r="C19" s="91" t="s">
        <v>1071</v>
      </c>
      <c r="D19" s="91" t="s">
        <v>1068</v>
      </c>
      <c r="E19" s="91" t="s">
        <v>1070</v>
      </c>
      <c r="F19" s="92">
        <v>133.63</v>
      </c>
      <c r="G19" s="93">
        <v>1.0</v>
      </c>
      <c r="H19" s="93">
        <v>133.63</v>
      </c>
      <c r="I19" s="94" t="s">
        <v>1058</v>
      </c>
      <c r="J19" s="94" t="s">
        <v>1058</v>
      </c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89"/>
      <c r="B20" s="91" t="s">
        <v>1058</v>
      </c>
      <c r="C20" s="91" t="s">
        <v>1071</v>
      </c>
      <c r="D20" s="91" t="s">
        <v>1068</v>
      </c>
      <c r="E20" s="91" t="s">
        <v>1069</v>
      </c>
      <c r="F20" s="92">
        <v>0.44</v>
      </c>
      <c r="G20" s="93" t="s">
        <v>30</v>
      </c>
      <c r="H20" s="93" t="s">
        <v>30</v>
      </c>
      <c r="I20" s="94" t="s">
        <v>1058</v>
      </c>
      <c r="J20" s="94" t="s">
        <v>1058</v>
      </c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>
      <c r="A21" s="89"/>
      <c r="B21" s="91" t="s">
        <v>1058</v>
      </c>
      <c r="C21" s="91" t="s">
        <v>1076</v>
      </c>
      <c r="D21" s="91" t="s">
        <v>1066</v>
      </c>
      <c r="E21" s="91" t="s">
        <v>1067</v>
      </c>
      <c r="F21" s="92">
        <v>0.0</v>
      </c>
      <c r="G21" s="93" t="s">
        <v>30</v>
      </c>
      <c r="H21" s="93" t="s">
        <v>30</v>
      </c>
      <c r="I21" s="94" t="s">
        <v>1058</v>
      </c>
      <c r="J21" s="94" t="s">
        <v>1058</v>
      </c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>
      <c r="A22" s="89"/>
      <c r="B22" s="91" t="s">
        <v>1058</v>
      </c>
      <c r="C22" s="91" t="s">
        <v>1077</v>
      </c>
      <c r="D22" s="91" t="s">
        <v>1068</v>
      </c>
      <c r="E22" s="91" t="s">
        <v>1070</v>
      </c>
      <c r="F22" s="92">
        <v>30.02</v>
      </c>
      <c r="G22" s="93" t="s">
        <v>30</v>
      </c>
      <c r="H22" s="93" t="s">
        <v>30</v>
      </c>
      <c r="I22" s="94" t="s">
        <v>1058</v>
      </c>
      <c r="J22" s="94" t="s">
        <v>1058</v>
      </c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>
      <c r="A23" s="89"/>
      <c r="B23" s="91" t="s">
        <v>1058</v>
      </c>
      <c r="C23" s="91" t="s">
        <v>1076</v>
      </c>
      <c r="D23" s="91" t="s">
        <v>1068</v>
      </c>
      <c r="E23" s="91" t="s">
        <v>1070</v>
      </c>
      <c r="F23" s="92">
        <v>5.3</v>
      </c>
      <c r="G23" s="93" t="s">
        <v>30</v>
      </c>
      <c r="H23" s="93" t="s">
        <v>30</v>
      </c>
      <c r="I23" s="94" t="s">
        <v>1058</v>
      </c>
      <c r="J23" s="94" t="s">
        <v>1058</v>
      </c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>
      <c r="A24" s="89"/>
      <c r="B24" s="91" t="s">
        <v>1058</v>
      </c>
      <c r="C24" s="91" t="s">
        <v>34</v>
      </c>
      <c r="D24" s="91" t="s">
        <v>69</v>
      </c>
      <c r="E24" s="91" t="s">
        <v>70</v>
      </c>
      <c r="F24" s="92">
        <v>0.51</v>
      </c>
      <c r="G24" s="93" t="s">
        <v>30</v>
      </c>
      <c r="H24" s="93" t="s">
        <v>30</v>
      </c>
      <c r="I24" s="94" t="s">
        <v>1058</v>
      </c>
      <c r="J24" s="94" t="s">
        <v>1058</v>
      </c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>
      <c r="A25" s="89"/>
      <c r="B25" s="91" t="s">
        <v>1058</v>
      </c>
      <c r="C25" s="91" t="s">
        <v>32</v>
      </c>
      <c r="D25" s="91" t="s">
        <v>69</v>
      </c>
      <c r="E25" s="91" t="s">
        <v>70</v>
      </c>
      <c r="F25" s="92">
        <v>1.05</v>
      </c>
      <c r="G25" s="93">
        <v>2.0</v>
      </c>
      <c r="H25" s="93">
        <v>0.525</v>
      </c>
      <c r="I25" s="94" t="s">
        <v>1058</v>
      </c>
      <c r="J25" s="94" t="s">
        <v>1058</v>
      </c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>
      <c r="A26" s="89"/>
      <c r="B26" s="91" t="s">
        <v>1058</v>
      </c>
      <c r="C26" s="91" t="s">
        <v>29</v>
      </c>
      <c r="D26" s="91" t="s">
        <v>69</v>
      </c>
      <c r="E26" s="91" t="s">
        <v>70</v>
      </c>
      <c r="F26" s="92">
        <v>0.05</v>
      </c>
      <c r="G26" s="93" t="s">
        <v>30</v>
      </c>
      <c r="H26" s="93" t="s">
        <v>30</v>
      </c>
      <c r="I26" s="94" t="s">
        <v>1058</v>
      </c>
      <c r="J26" s="94" t="s">
        <v>1058</v>
      </c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>
      <c r="A27" s="89"/>
      <c r="B27" s="91" t="s">
        <v>1058</v>
      </c>
      <c r="C27" s="91" t="s">
        <v>28</v>
      </c>
      <c r="D27" s="91" t="s">
        <v>69</v>
      </c>
      <c r="E27" s="91" t="s">
        <v>70</v>
      </c>
      <c r="F27" s="92">
        <v>19.73</v>
      </c>
      <c r="G27" s="93">
        <v>8.0</v>
      </c>
      <c r="H27" s="93">
        <v>2.46625</v>
      </c>
      <c r="I27" s="94" t="s">
        <v>1058</v>
      </c>
      <c r="J27" s="94" t="s">
        <v>1058</v>
      </c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>
      <c r="A28" s="89"/>
      <c r="B28" s="91" t="s">
        <v>1058</v>
      </c>
      <c r="C28" s="91" t="s">
        <v>27</v>
      </c>
      <c r="D28" s="91" t="s">
        <v>69</v>
      </c>
      <c r="E28" s="91" t="s">
        <v>70</v>
      </c>
      <c r="F28" s="92">
        <v>23.12</v>
      </c>
      <c r="G28" s="93">
        <v>19.0</v>
      </c>
      <c r="H28" s="93">
        <v>1.21684211</v>
      </c>
      <c r="I28" s="94" t="s">
        <v>1058</v>
      </c>
      <c r="J28" s="94" t="s">
        <v>1058</v>
      </c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>
      <c r="A29" s="89"/>
      <c r="B29" s="91" t="s">
        <v>1058</v>
      </c>
      <c r="C29" s="91" t="s">
        <v>53</v>
      </c>
      <c r="D29" s="91" t="s">
        <v>69</v>
      </c>
      <c r="E29" s="91" t="s">
        <v>70</v>
      </c>
      <c r="F29" s="92">
        <v>0.01</v>
      </c>
      <c r="G29" s="93" t="s">
        <v>30</v>
      </c>
      <c r="H29" s="93" t="s">
        <v>30</v>
      </c>
      <c r="I29" s="94" t="s">
        <v>1058</v>
      </c>
      <c r="J29" s="94" t="s">
        <v>1058</v>
      </c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>
      <c r="A30" s="89"/>
      <c r="B30" s="91" t="s">
        <v>1058</v>
      </c>
      <c r="C30" s="91" t="s">
        <v>42</v>
      </c>
      <c r="D30" s="91" t="s">
        <v>99</v>
      </c>
      <c r="E30" s="91" t="s">
        <v>70</v>
      </c>
      <c r="F30" s="92">
        <v>0.5</v>
      </c>
      <c r="G30" s="93" t="s">
        <v>30</v>
      </c>
      <c r="H30" s="93" t="s">
        <v>30</v>
      </c>
      <c r="I30" s="94" t="s">
        <v>1058</v>
      </c>
      <c r="J30" s="94" t="s">
        <v>1058</v>
      </c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>
      <c r="A31" s="89"/>
      <c r="B31" s="91" t="s">
        <v>1058</v>
      </c>
      <c r="C31" s="91" t="s">
        <v>38</v>
      </c>
      <c r="D31" s="91" t="s">
        <v>99</v>
      </c>
      <c r="E31" s="91" t="s">
        <v>70</v>
      </c>
      <c r="F31" s="92">
        <v>0.06</v>
      </c>
      <c r="G31" s="93" t="s">
        <v>30</v>
      </c>
      <c r="H31" s="93" t="s">
        <v>30</v>
      </c>
      <c r="I31" s="94" t="s">
        <v>1058</v>
      </c>
      <c r="J31" s="94" t="s">
        <v>1058</v>
      </c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>
      <c r="A32" s="89"/>
      <c r="B32" s="91" t="s">
        <v>1058</v>
      </c>
      <c r="C32" s="91" t="s">
        <v>26</v>
      </c>
      <c r="D32" s="91" t="s">
        <v>99</v>
      </c>
      <c r="E32" s="91" t="s">
        <v>70</v>
      </c>
      <c r="F32" s="92">
        <v>0.31</v>
      </c>
      <c r="G32" s="93" t="s">
        <v>30</v>
      </c>
      <c r="H32" s="93" t="s">
        <v>30</v>
      </c>
      <c r="I32" s="94" t="s">
        <v>1058</v>
      </c>
      <c r="J32" s="94" t="s">
        <v>1058</v>
      </c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>
      <c r="A33" s="89"/>
      <c r="B33" s="91" t="s">
        <v>1058</v>
      </c>
      <c r="C33" s="91" t="s">
        <v>41</v>
      </c>
      <c r="D33" s="91" t="s">
        <v>69</v>
      </c>
      <c r="E33" s="91" t="s">
        <v>70</v>
      </c>
      <c r="F33" s="92">
        <v>1.12</v>
      </c>
      <c r="G33" s="93" t="s">
        <v>30</v>
      </c>
      <c r="H33" s="93" t="s">
        <v>30</v>
      </c>
      <c r="I33" s="94" t="s">
        <v>1058</v>
      </c>
      <c r="J33" s="94" t="s">
        <v>1058</v>
      </c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>
      <c r="A34" s="89"/>
      <c r="B34" s="91" t="s">
        <v>1058</v>
      </c>
      <c r="C34" s="91" t="s">
        <v>29</v>
      </c>
      <c r="D34" s="91" t="s">
        <v>141</v>
      </c>
      <c r="E34" s="91" t="s">
        <v>70</v>
      </c>
      <c r="F34" s="92">
        <v>1.12</v>
      </c>
      <c r="G34" s="93">
        <v>1.0</v>
      </c>
      <c r="H34" s="93">
        <v>1.12</v>
      </c>
      <c r="I34" s="94" t="s">
        <v>1058</v>
      </c>
      <c r="J34" s="94" t="s">
        <v>1058</v>
      </c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>
      <c r="A35" s="89"/>
      <c r="B35" s="91" t="s">
        <v>1058</v>
      </c>
      <c r="C35" s="91" t="s">
        <v>42</v>
      </c>
      <c r="D35" s="91" t="s">
        <v>141</v>
      </c>
      <c r="E35" s="91" t="s">
        <v>70</v>
      </c>
      <c r="F35" s="92">
        <v>0.01</v>
      </c>
      <c r="G35" s="93" t="s">
        <v>30</v>
      </c>
      <c r="H35" s="93" t="s">
        <v>30</v>
      </c>
      <c r="I35" s="94" t="s">
        <v>1058</v>
      </c>
      <c r="J35" s="94" t="s">
        <v>1058</v>
      </c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>
      <c r="A36" s="89"/>
      <c r="B36" s="91" t="s">
        <v>1058</v>
      </c>
      <c r="C36" s="91" t="s">
        <v>37</v>
      </c>
      <c r="D36" s="91" t="s">
        <v>141</v>
      </c>
      <c r="E36" s="91" t="s">
        <v>70</v>
      </c>
      <c r="F36" s="92">
        <v>3.68</v>
      </c>
      <c r="G36" s="93">
        <v>4.0</v>
      </c>
      <c r="H36" s="93">
        <v>0.92</v>
      </c>
      <c r="I36" s="94" t="s">
        <v>1058</v>
      </c>
      <c r="J36" s="94" t="s">
        <v>1058</v>
      </c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>
      <c r="A37" s="89"/>
      <c r="B37" s="91" t="s">
        <v>1058</v>
      </c>
      <c r="C37" s="91" t="s">
        <v>32</v>
      </c>
      <c r="D37" s="91" t="s">
        <v>69</v>
      </c>
      <c r="E37" s="91" t="s">
        <v>392</v>
      </c>
      <c r="F37" s="92">
        <v>3.19</v>
      </c>
      <c r="G37" s="93">
        <v>1.0</v>
      </c>
      <c r="H37" s="93">
        <v>3.19</v>
      </c>
      <c r="I37" s="94" t="s">
        <v>1058</v>
      </c>
      <c r="J37" s="94" t="s">
        <v>1058</v>
      </c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>
      <c r="A38" s="89"/>
      <c r="B38" s="91" t="s">
        <v>1058</v>
      </c>
      <c r="C38" s="91" t="s">
        <v>27</v>
      </c>
      <c r="D38" s="91" t="s">
        <v>69</v>
      </c>
      <c r="E38" s="91" t="s">
        <v>392</v>
      </c>
      <c r="F38" s="92">
        <v>129.54</v>
      </c>
      <c r="G38" s="93">
        <v>116.0</v>
      </c>
      <c r="H38" s="93">
        <v>1.11672414</v>
      </c>
      <c r="I38" s="94" t="s">
        <v>1058</v>
      </c>
      <c r="J38" s="94" t="s">
        <v>1058</v>
      </c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>
      <c r="A39" s="89"/>
      <c r="B39" s="91" t="s">
        <v>1058</v>
      </c>
      <c r="C39" s="91" t="s">
        <v>41</v>
      </c>
      <c r="D39" s="91" t="s">
        <v>69</v>
      </c>
      <c r="E39" s="91" t="s">
        <v>392</v>
      </c>
      <c r="F39" s="92">
        <v>5.37</v>
      </c>
      <c r="G39" s="93">
        <v>1.0</v>
      </c>
      <c r="H39" s="93">
        <v>5.37</v>
      </c>
      <c r="I39" s="94" t="s">
        <v>1058</v>
      </c>
      <c r="J39" s="94" t="s">
        <v>1058</v>
      </c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>
      <c r="A40" s="89"/>
      <c r="B40" s="91" t="s">
        <v>1058</v>
      </c>
      <c r="C40" s="91" t="s">
        <v>34</v>
      </c>
      <c r="D40" s="91" t="s">
        <v>69</v>
      </c>
      <c r="E40" s="91" t="s">
        <v>392</v>
      </c>
      <c r="F40" s="92">
        <v>3.12</v>
      </c>
      <c r="G40" s="93">
        <v>1.0</v>
      </c>
      <c r="H40" s="93">
        <v>3.12</v>
      </c>
      <c r="I40" s="94" t="s">
        <v>1058</v>
      </c>
      <c r="J40" s="94" t="s">
        <v>1058</v>
      </c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>
      <c r="A41" s="89"/>
      <c r="B41" s="91" t="s">
        <v>1058</v>
      </c>
      <c r="C41" s="91" t="s">
        <v>35</v>
      </c>
      <c r="D41" s="91" t="s">
        <v>69</v>
      </c>
      <c r="E41" s="91" t="s">
        <v>392</v>
      </c>
      <c r="F41" s="92">
        <v>0.57</v>
      </c>
      <c r="G41" s="93" t="s">
        <v>30</v>
      </c>
      <c r="H41" s="93" t="s">
        <v>30</v>
      </c>
      <c r="I41" s="94" t="s">
        <v>1058</v>
      </c>
      <c r="J41" s="94" t="s">
        <v>1058</v>
      </c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>
      <c r="A42" s="89"/>
      <c r="B42" s="91" t="s">
        <v>1058</v>
      </c>
      <c r="C42" s="91" t="s">
        <v>28</v>
      </c>
      <c r="D42" s="91" t="s">
        <v>69</v>
      </c>
      <c r="E42" s="91" t="s">
        <v>392</v>
      </c>
      <c r="F42" s="92">
        <v>83.04</v>
      </c>
      <c r="G42" s="93">
        <v>44.0</v>
      </c>
      <c r="H42" s="93">
        <v>1.88727273</v>
      </c>
      <c r="I42" s="94" t="s">
        <v>1058</v>
      </c>
      <c r="J42" s="94" t="s">
        <v>1058</v>
      </c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>
      <c r="A43" s="89"/>
      <c r="B43" s="91" t="s">
        <v>1058</v>
      </c>
      <c r="C43" s="91" t="s">
        <v>29</v>
      </c>
      <c r="D43" s="91" t="s">
        <v>69</v>
      </c>
      <c r="E43" s="91" t="s">
        <v>392</v>
      </c>
      <c r="F43" s="92">
        <v>0.83</v>
      </c>
      <c r="G43" s="93" t="s">
        <v>30</v>
      </c>
      <c r="H43" s="93" t="s">
        <v>30</v>
      </c>
      <c r="I43" s="94" t="s">
        <v>1058</v>
      </c>
      <c r="J43" s="94" t="s">
        <v>1058</v>
      </c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>
      <c r="A44" s="89"/>
      <c r="B44" s="91" t="s">
        <v>1058</v>
      </c>
      <c r="C44" s="91" t="s">
        <v>53</v>
      </c>
      <c r="D44" s="91" t="s">
        <v>69</v>
      </c>
      <c r="E44" s="91" t="s">
        <v>392</v>
      </c>
      <c r="F44" s="92">
        <v>0.13</v>
      </c>
      <c r="G44" s="93" t="s">
        <v>30</v>
      </c>
      <c r="H44" s="93" t="s">
        <v>30</v>
      </c>
      <c r="I44" s="94" t="s">
        <v>1058</v>
      </c>
      <c r="J44" s="94" t="s">
        <v>1058</v>
      </c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>
      <c r="A45" s="89"/>
      <c r="B45" s="91" t="s">
        <v>1058</v>
      </c>
      <c r="C45" s="91" t="s">
        <v>27</v>
      </c>
      <c r="D45" s="91" t="s">
        <v>69</v>
      </c>
      <c r="E45" s="91" t="s">
        <v>178</v>
      </c>
      <c r="F45" s="92">
        <v>42.53</v>
      </c>
      <c r="G45" s="93">
        <v>37.0</v>
      </c>
      <c r="H45" s="93">
        <v>1.14945946</v>
      </c>
      <c r="I45" s="94" t="s">
        <v>1058</v>
      </c>
      <c r="J45" s="94" t="s">
        <v>1058</v>
      </c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>
      <c r="A46" s="89"/>
      <c r="B46" s="91" t="s">
        <v>1058</v>
      </c>
      <c r="C46" s="91" t="s">
        <v>28</v>
      </c>
      <c r="D46" s="91" t="s">
        <v>69</v>
      </c>
      <c r="E46" s="91" t="s">
        <v>178</v>
      </c>
      <c r="F46" s="92">
        <v>4.29</v>
      </c>
      <c r="G46" s="93">
        <v>1.0</v>
      </c>
      <c r="H46" s="93">
        <v>4.29</v>
      </c>
      <c r="I46" s="94" t="s">
        <v>1058</v>
      </c>
      <c r="J46" s="94" t="s">
        <v>1058</v>
      </c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>
      <c r="A47" s="89"/>
      <c r="B47" s="91" t="s">
        <v>1058</v>
      </c>
      <c r="C47" s="91" t="s">
        <v>32</v>
      </c>
      <c r="D47" s="91" t="s">
        <v>69</v>
      </c>
      <c r="E47" s="91" t="s">
        <v>178</v>
      </c>
      <c r="F47" s="92">
        <v>0.0</v>
      </c>
      <c r="G47" s="93" t="s">
        <v>30</v>
      </c>
      <c r="H47" s="93" t="s">
        <v>30</v>
      </c>
      <c r="I47" s="94" t="s">
        <v>1058</v>
      </c>
      <c r="J47" s="94" t="s">
        <v>1058</v>
      </c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>
      <c r="A48" s="89"/>
      <c r="B48" s="91" t="s">
        <v>1058</v>
      </c>
      <c r="C48" s="91" t="s">
        <v>29</v>
      </c>
      <c r="D48" s="91" t="s">
        <v>69</v>
      </c>
      <c r="E48" s="91" t="s">
        <v>178</v>
      </c>
      <c r="F48" s="92">
        <v>0.83</v>
      </c>
      <c r="G48" s="93" t="s">
        <v>30</v>
      </c>
      <c r="H48" s="93" t="s">
        <v>30</v>
      </c>
      <c r="I48" s="94" t="s">
        <v>1058</v>
      </c>
      <c r="J48" s="94" t="s">
        <v>1058</v>
      </c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>
      <c r="A49" s="89"/>
      <c r="B49" s="91" t="s">
        <v>1058</v>
      </c>
      <c r="C49" s="91" t="s">
        <v>34</v>
      </c>
      <c r="D49" s="91" t="s">
        <v>69</v>
      </c>
      <c r="E49" s="91" t="s">
        <v>178</v>
      </c>
      <c r="F49" s="92">
        <v>1.09</v>
      </c>
      <c r="G49" s="93">
        <v>1.0</v>
      </c>
      <c r="H49" s="93">
        <v>1.09</v>
      </c>
      <c r="I49" s="94" t="s">
        <v>1058</v>
      </c>
      <c r="J49" s="94" t="s">
        <v>1058</v>
      </c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>
      <c r="A50" s="89"/>
      <c r="B50" s="91" t="s">
        <v>1058</v>
      </c>
      <c r="C50" s="91" t="s">
        <v>32</v>
      </c>
      <c r="D50" s="91" t="s">
        <v>69</v>
      </c>
      <c r="E50" s="91" t="s">
        <v>201</v>
      </c>
      <c r="F50" s="92">
        <v>0.52</v>
      </c>
      <c r="G50" s="93" t="s">
        <v>30</v>
      </c>
      <c r="H50" s="93" t="s">
        <v>30</v>
      </c>
      <c r="I50" s="94" t="s">
        <v>1058</v>
      </c>
      <c r="J50" s="94" t="s">
        <v>1058</v>
      </c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>
      <c r="A51" s="89"/>
      <c r="B51" s="91" t="s">
        <v>1058</v>
      </c>
      <c r="C51" s="91" t="s">
        <v>27</v>
      </c>
      <c r="D51" s="91" t="s">
        <v>69</v>
      </c>
      <c r="E51" s="91" t="s">
        <v>201</v>
      </c>
      <c r="F51" s="92">
        <v>192.74</v>
      </c>
      <c r="G51" s="93">
        <v>163.0</v>
      </c>
      <c r="H51" s="93">
        <v>1.18245399</v>
      </c>
      <c r="I51" s="94" t="s">
        <v>1058</v>
      </c>
      <c r="J51" s="94" t="s">
        <v>1058</v>
      </c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>
      <c r="A52" s="89"/>
      <c r="B52" s="91" t="s">
        <v>1058</v>
      </c>
      <c r="C52" s="91" t="s">
        <v>28</v>
      </c>
      <c r="D52" s="91" t="s">
        <v>69</v>
      </c>
      <c r="E52" s="91" t="s">
        <v>201</v>
      </c>
      <c r="F52" s="92">
        <v>0.0</v>
      </c>
      <c r="G52" s="93" t="s">
        <v>30</v>
      </c>
      <c r="H52" s="93" t="s">
        <v>30</v>
      </c>
      <c r="I52" s="94" t="s">
        <v>1058</v>
      </c>
      <c r="J52" s="94" t="s">
        <v>1058</v>
      </c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>
      <c r="A53" s="89"/>
      <c r="B53" s="91" t="s">
        <v>1058</v>
      </c>
      <c r="C53" s="91" t="s">
        <v>34</v>
      </c>
      <c r="D53" s="91" t="s">
        <v>69</v>
      </c>
      <c r="E53" s="91" t="s">
        <v>201</v>
      </c>
      <c r="F53" s="92">
        <v>0.36</v>
      </c>
      <c r="G53" s="93" t="s">
        <v>30</v>
      </c>
      <c r="H53" s="93" t="s">
        <v>30</v>
      </c>
      <c r="I53" s="94" t="s">
        <v>1058</v>
      </c>
      <c r="J53" s="94" t="s">
        <v>1058</v>
      </c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>
      <c r="A54" s="89"/>
      <c r="B54" s="91" t="s">
        <v>1058</v>
      </c>
      <c r="C54" s="91" t="s">
        <v>29</v>
      </c>
      <c r="D54" s="91" t="s">
        <v>69</v>
      </c>
      <c r="E54" s="91" t="s">
        <v>201</v>
      </c>
      <c r="F54" s="92">
        <v>0.09</v>
      </c>
      <c r="G54" s="93" t="s">
        <v>30</v>
      </c>
      <c r="H54" s="93" t="s">
        <v>30</v>
      </c>
      <c r="I54" s="94" t="s">
        <v>1058</v>
      </c>
      <c r="J54" s="94" t="s">
        <v>1058</v>
      </c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>
      <c r="A55" s="89"/>
      <c r="B55" s="91" t="s">
        <v>1058</v>
      </c>
      <c r="C55" s="91" t="s">
        <v>53</v>
      </c>
      <c r="D55" s="91" t="s">
        <v>69</v>
      </c>
      <c r="E55" s="91" t="s">
        <v>201</v>
      </c>
      <c r="F55" s="92">
        <v>0.01</v>
      </c>
      <c r="G55" s="93" t="s">
        <v>30</v>
      </c>
      <c r="H55" s="93" t="s">
        <v>30</v>
      </c>
      <c r="I55" s="94" t="s">
        <v>1058</v>
      </c>
      <c r="J55" s="94" t="s">
        <v>1058</v>
      </c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>
      <c r="A56" s="89"/>
      <c r="B56" s="91" t="s">
        <v>1058</v>
      </c>
      <c r="C56" s="91" t="s">
        <v>53</v>
      </c>
      <c r="D56" s="91" t="s">
        <v>69</v>
      </c>
      <c r="E56" s="91" t="s">
        <v>284</v>
      </c>
      <c r="F56" s="92">
        <v>0.11</v>
      </c>
      <c r="G56" s="93">
        <v>1.0</v>
      </c>
      <c r="H56" s="93">
        <v>0.11</v>
      </c>
      <c r="I56" s="94" t="s">
        <v>1058</v>
      </c>
      <c r="J56" s="94" t="s">
        <v>1058</v>
      </c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>
      <c r="A57" s="89"/>
      <c r="B57" s="91" t="s">
        <v>1058</v>
      </c>
      <c r="C57" s="91" t="s">
        <v>27</v>
      </c>
      <c r="D57" s="91" t="s">
        <v>69</v>
      </c>
      <c r="E57" s="91" t="s">
        <v>284</v>
      </c>
      <c r="F57" s="92">
        <v>546.68</v>
      </c>
      <c r="G57" s="93">
        <v>487.0</v>
      </c>
      <c r="H57" s="93">
        <v>1.1225462</v>
      </c>
      <c r="I57" s="94" t="s">
        <v>1058</v>
      </c>
      <c r="J57" s="94" t="s">
        <v>1058</v>
      </c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>
      <c r="A58" s="89"/>
      <c r="B58" s="91" t="s">
        <v>1058</v>
      </c>
      <c r="C58" s="91" t="s">
        <v>32</v>
      </c>
      <c r="D58" s="91" t="s">
        <v>69</v>
      </c>
      <c r="E58" s="91" t="s">
        <v>284</v>
      </c>
      <c r="F58" s="92">
        <v>14.17</v>
      </c>
      <c r="G58" s="93">
        <v>2.0</v>
      </c>
      <c r="H58" s="93">
        <v>7.085</v>
      </c>
      <c r="I58" s="94" t="s">
        <v>1058</v>
      </c>
      <c r="J58" s="94" t="s">
        <v>1058</v>
      </c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>
      <c r="A59" s="89"/>
      <c r="B59" s="91" t="s">
        <v>1058</v>
      </c>
      <c r="C59" s="91" t="s">
        <v>41</v>
      </c>
      <c r="D59" s="91" t="s">
        <v>69</v>
      </c>
      <c r="E59" s="91" t="s">
        <v>284</v>
      </c>
      <c r="F59" s="92">
        <v>9.73</v>
      </c>
      <c r="G59" s="93">
        <v>4.0</v>
      </c>
      <c r="H59" s="93">
        <v>2.4325</v>
      </c>
      <c r="I59" s="94" t="s">
        <v>1058</v>
      </c>
      <c r="J59" s="94" t="s">
        <v>1058</v>
      </c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>
      <c r="A60" s="89"/>
      <c r="B60" s="91" t="s">
        <v>1058</v>
      </c>
      <c r="C60" s="91" t="s">
        <v>29</v>
      </c>
      <c r="D60" s="91" t="s">
        <v>69</v>
      </c>
      <c r="E60" s="91" t="s">
        <v>284</v>
      </c>
      <c r="F60" s="92">
        <v>3.29</v>
      </c>
      <c r="G60" s="93" t="s">
        <v>30</v>
      </c>
      <c r="H60" s="93" t="s">
        <v>30</v>
      </c>
      <c r="I60" s="94" t="s">
        <v>1058</v>
      </c>
      <c r="J60" s="94" t="s">
        <v>1058</v>
      </c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>
      <c r="A61" s="89"/>
      <c r="B61" s="91" t="s">
        <v>1058</v>
      </c>
      <c r="C61" s="91" t="s">
        <v>28</v>
      </c>
      <c r="D61" s="91" t="s">
        <v>69</v>
      </c>
      <c r="E61" s="91" t="s">
        <v>284</v>
      </c>
      <c r="F61" s="92">
        <v>7.68</v>
      </c>
      <c r="G61" s="93">
        <v>2.0</v>
      </c>
      <c r="H61" s="93">
        <v>3.84</v>
      </c>
      <c r="I61" s="94" t="s">
        <v>1058</v>
      </c>
      <c r="J61" s="94" t="s">
        <v>1058</v>
      </c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>
      <c r="A62" s="89"/>
      <c r="B62" s="91" t="s">
        <v>1058</v>
      </c>
      <c r="C62" s="91" t="s">
        <v>34</v>
      </c>
      <c r="D62" s="91" t="s">
        <v>69</v>
      </c>
      <c r="E62" s="91" t="s">
        <v>284</v>
      </c>
      <c r="F62" s="92">
        <v>2.93</v>
      </c>
      <c r="G62" s="93">
        <v>1.0</v>
      </c>
      <c r="H62" s="93">
        <v>2.93</v>
      </c>
      <c r="I62" s="94" t="s">
        <v>1058</v>
      </c>
      <c r="J62" s="94" t="s">
        <v>1058</v>
      </c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>
      <c r="A63" s="89"/>
      <c r="B63" s="91" t="s">
        <v>1058</v>
      </c>
      <c r="C63" s="91" t="s">
        <v>35</v>
      </c>
      <c r="D63" s="91" t="s">
        <v>69</v>
      </c>
      <c r="E63" s="91" t="s">
        <v>284</v>
      </c>
      <c r="F63" s="92">
        <v>0.59</v>
      </c>
      <c r="G63" s="93" t="s">
        <v>30</v>
      </c>
      <c r="H63" s="93" t="s">
        <v>30</v>
      </c>
      <c r="I63" s="94" t="s">
        <v>1058</v>
      </c>
      <c r="J63" s="94" t="s">
        <v>1058</v>
      </c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>
      <c r="A64" s="89"/>
      <c r="B64" s="91" t="s">
        <v>1058</v>
      </c>
      <c r="C64" s="91" t="s">
        <v>27</v>
      </c>
      <c r="D64" s="91" t="s">
        <v>69</v>
      </c>
      <c r="E64" s="91" t="s">
        <v>235</v>
      </c>
      <c r="F64" s="92">
        <v>16.83</v>
      </c>
      <c r="G64" s="93">
        <v>19.0</v>
      </c>
      <c r="H64" s="93">
        <v>0.88578947</v>
      </c>
      <c r="I64" s="94" t="s">
        <v>1058</v>
      </c>
      <c r="J64" s="94" t="s">
        <v>1058</v>
      </c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>
      <c r="A65" s="89"/>
      <c r="B65" s="91" t="s">
        <v>1058</v>
      </c>
      <c r="C65" s="91" t="s">
        <v>32</v>
      </c>
      <c r="D65" s="91" t="s">
        <v>69</v>
      </c>
      <c r="E65" s="91" t="s">
        <v>235</v>
      </c>
      <c r="F65" s="92">
        <v>0.01</v>
      </c>
      <c r="G65" s="93" t="s">
        <v>30</v>
      </c>
      <c r="H65" s="93" t="s">
        <v>30</v>
      </c>
      <c r="I65" s="94" t="s">
        <v>1058</v>
      </c>
      <c r="J65" s="94" t="s">
        <v>1058</v>
      </c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>
      <c r="A66" s="89"/>
      <c r="B66" s="91" t="s">
        <v>1058</v>
      </c>
      <c r="C66" s="91" t="s">
        <v>34</v>
      </c>
      <c r="D66" s="91" t="s">
        <v>69</v>
      </c>
      <c r="E66" s="91" t="s">
        <v>235</v>
      </c>
      <c r="F66" s="92">
        <v>0.28</v>
      </c>
      <c r="G66" s="93" t="s">
        <v>30</v>
      </c>
      <c r="H66" s="93" t="s">
        <v>30</v>
      </c>
      <c r="I66" s="94" t="s">
        <v>1058</v>
      </c>
      <c r="J66" s="94" t="s">
        <v>1058</v>
      </c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>
      <c r="A67" s="89"/>
      <c r="B67" s="91" t="s">
        <v>1058</v>
      </c>
      <c r="C67" s="91" t="s">
        <v>41</v>
      </c>
      <c r="D67" s="91" t="s">
        <v>69</v>
      </c>
      <c r="E67" s="91" t="s">
        <v>235</v>
      </c>
      <c r="F67" s="92">
        <v>0.37</v>
      </c>
      <c r="G67" s="93" t="s">
        <v>30</v>
      </c>
      <c r="H67" s="93" t="s">
        <v>30</v>
      </c>
      <c r="I67" s="94" t="s">
        <v>1058</v>
      </c>
      <c r="J67" s="94" t="s">
        <v>1058</v>
      </c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>
      <c r="A68" s="89"/>
      <c r="B68" s="91" t="s">
        <v>1058</v>
      </c>
      <c r="C68" s="91" t="s">
        <v>28</v>
      </c>
      <c r="D68" s="91" t="s">
        <v>69</v>
      </c>
      <c r="E68" s="91" t="s">
        <v>235</v>
      </c>
      <c r="F68" s="92">
        <v>6.95</v>
      </c>
      <c r="G68" s="93">
        <v>5.0</v>
      </c>
      <c r="H68" s="93">
        <v>1.39</v>
      </c>
      <c r="I68" s="94" t="s">
        <v>1058</v>
      </c>
      <c r="J68" s="94" t="s">
        <v>1058</v>
      </c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>
      <c r="A69" s="89"/>
      <c r="B69" s="91" t="s">
        <v>1058</v>
      </c>
      <c r="C69" s="91" t="s">
        <v>53</v>
      </c>
      <c r="D69" s="91" t="s">
        <v>69</v>
      </c>
      <c r="E69" s="91" t="s">
        <v>247</v>
      </c>
      <c r="F69" s="92">
        <v>0.15</v>
      </c>
      <c r="G69" s="93">
        <v>1.0</v>
      </c>
      <c r="H69" s="93">
        <v>0.15</v>
      </c>
      <c r="I69" s="94" t="s">
        <v>1058</v>
      </c>
      <c r="J69" s="94" t="s">
        <v>1058</v>
      </c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>
      <c r="A70" s="89"/>
      <c r="B70" s="91" t="s">
        <v>1058</v>
      </c>
      <c r="C70" s="91" t="s">
        <v>32</v>
      </c>
      <c r="D70" s="91" t="s">
        <v>69</v>
      </c>
      <c r="E70" s="91" t="s">
        <v>247</v>
      </c>
      <c r="F70" s="92">
        <v>1.09</v>
      </c>
      <c r="G70" s="93">
        <v>1.0</v>
      </c>
      <c r="H70" s="93">
        <v>1.09</v>
      </c>
      <c r="I70" s="94" t="s">
        <v>1058</v>
      </c>
      <c r="J70" s="94" t="s">
        <v>1058</v>
      </c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>
      <c r="A71" s="89"/>
      <c r="B71" s="91" t="s">
        <v>1058</v>
      </c>
      <c r="C71" s="91" t="s">
        <v>34</v>
      </c>
      <c r="D71" s="91" t="s">
        <v>69</v>
      </c>
      <c r="E71" s="91" t="s">
        <v>247</v>
      </c>
      <c r="F71" s="92">
        <v>0.89</v>
      </c>
      <c r="G71" s="93" t="s">
        <v>30</v>
      </c>
      <c r="H71" s="93" t="s">
        <v>30</v>
      </c>
      <c r="I71" s="94" t="s">
        <v>1058</v>
      </c>
      <c r="J71" s="94" t="s">
        <v>1058</v>
      </c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>
      <c r="A72" s="89"/>
      <c r="B72" s="91" t="s">
        <v>1058</v>
      </c>
      <c r="C72" s="91" t="s">
        <v>27</v>
      </c>
      <c r="D72" s="91" t="s">
        <v>69</v>
      </c>
      <c r="E72" s="91" t="s">
        <v>247</v>
      </c>
      <c r="F72" s="92">
        <v>31.25</v>
      </c>
      <c r="G72" s="93">
        <v>31.0</v>
      </c>
      <c r="H72" s="93">
        <v>1.00806452</v>
      </c>
      <c r="I72" s="94" t="s">
        <v>1058</v>
      </c>
      <c r="J72" s="94" t="s">
        <v>1058</v>
      </c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>
      <c r="A73" s="89"/>
      <c r="B73" s="91" t="s">
        <v>1058</v>
      </c>
      <c r="C73" s="91" t="s">
        <v>35</v>
      </c>
      <c r="D73" s="91" t="s">
        <v>69</v>
      </c>
      <c r="E73" s="91" t="s">
        <v>247</v>
      </c>
      <c r="F73" s="92">
        <v>0.05</v>
      </c>
      <c r="G73" s="93" t="s">
        <v>30</v>
      </c>
      <c r="H73" s="93" t="s">
        <v>30</v>
      </c>
      <c r="I73" s="94" t="s">
        <v>1058</v>
      </c>
      <c r="J73" s="94" t="s">
        <v>1058</v>
      </c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>
      <c r="A74" s="89"/>
      <c r="B74" s="91" t="s">
        <v>1058</v>
      </c>
      <c r="C74" s="91" t="s">
        <v>41</v>
      </c>
      <c r="D74" s="91" t="s">
        <v>69</v>
      </c>
      <c r="E74" s="91" t="s">
        <v>247</v>
      </c>
      <c r="F74" s="92">
        <v>1.24</v>
      </c>
      <c r="G74" s="93">
        <v>1.0</v>
      </c>
      <c r="H74" s="93">
        <v>1.24</v>
      </c>
      <c r="I74" s="94" t="s">
        <v>1058</v>
      </c>
      <c r="J74" s="94" t="s">
        <v>1058</v>
      </c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>
      <c r="A75" s="89"/>
      <c r="B75" s="91" t="s">
        <v>1058</v>
      </c>
      <c r="C75" s="91" t="s">
        <v>28</v>
      </c>
      <c r="D75" s="91" t="s">
        <v>69</v>
      </c>
      <c r="E75" s="91" t="s">
        <v>247</v>
      </c>
      <c r="F75" s="92">
        <v>29.34</v>
      </c>
      <c r="G75" s="93">
        <v>14.0</v>
      </c>
      <c r="H75" s="93">
        <v>2.09571429</v>
      </c>
      <c r="I75" s="94" t="s">
        <v>1058</v>
      </c>
      <c r="J75" s="94" t="s">
        <v>1058</v>
      </c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>
      <c r="A76" s="89"/>
      <c r="B76" s="91" t="s">
        <v>1058</v>
      </c>
      <c r="C76" s="91" t="s">
        <v>29</v>
      </c>
      <c r="D76" s="91" t="s">
        <v>69</v>
      </c>
      <c r="E76" s="91" t="s">
        <v>247</v>
      </c>
      <c r="F76" s="92">
        <v>0.19</v>
      </c>
      <c r="G76" s="93" t="s">
        <v>30</v>
      </c>
      <c r="H76" s="93" t="s">
        <v>30</v>
      </c>
      <c r="I76" s="94" t="s">
        <v>1058</v>
      </c>
      <c r="J76" s="94" t="s">
        <v>1058</v>
      </c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>
      <c r="A77" s="89"/>
      <c r="B77" s="91" t="s">
        <v>1058</v>
      </c>
      <c r="C77" s="91" t="s">
        <v>26</v>
      </c>
      <c r="D77" s="91" t="s">
        <v>99</v>
      </c>
      <c r="E77" s="91" t="s">
        <v>247</v>
      </c>
      <c r="F77" s="92">
        <v>15.87</v>
      </c>
      <c r="G77" s="93">
        <v>9.0</v>
      </c>
      <c r="H77" s="93">
        <v>1.76333333</v>
      </c>
      <c r="I77" s="94" t="s">
        <v>1058</v>
      </c>
      <c r="J77" s="94" t="s">
        <v>1058</v>
      </c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>
      <c r="A78" s="89"/>
      <c r="B78" s="91" t="s">
        <v>1058</v>
      </c>
      <c r="C78" s="91" t="s">
        <v>26</v>
      </c>
      <c r="D78" s="91" t="s">
        <v>99</v>
      </c>
      <c r="E78" s="91" t="s">
        <v>247</v>
      </c>
      <c r="F78" s="92">
        <v>0.48</v>
      </c>
      <c r="G78" s="93" t="s">
        <v>30</v>
      </c>
      <c r="H78" s="93" t="s">
        <v>30</v>
      </c>
      <c r="I78" s="94" t="s">
        <v>1058</v>
      </c>
      <c r="J78" s="94" t="s">
        <v>1058</v>
      </c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>
      <c r="A79" s="89"/>
      <c r="B79" s="91" t="s">
        <v>1058</v>
      </c>
      <c r="C79" s="91" t="s">
        <v>39</v>
      </c>
      <c r="D79" s="91" t="s">
        <v>99</v>
      </c>
      <c r="E79" s="91" t="s">
        <v>247</v>
      </c>
      <c r="F79" s="92">
        <v>2.91</v>
      </c>
      <c r="G79" s="93" t="s">
        <v>30</v>
      </c>
      <c r="H79" s="93" t="s">
        <v>30</v>
      </c>
      <c r="I79" s="94" t="s">
        <v>1058</v>
      </c>
      <c r="J79" s="94" t="s">
        <v>1058</v>
      </c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>
      <c r="A80" s="89"/>
      <c r="B80" s="91" t="s">
        <v>1058</v>
      </c>
      <c r="C80" s="91" t="s">
        <v>51</v>
      </c>
      <c r="D80" s="91" t="s">
        <v>99</v>
      </c>
      <c r="E80" s="91" t="s">
        <v>247</v>
      </c>
      <c r="F80" s="92">
        <v>0.22</v>
      </c>
      <c r="G80" s="93">
        <v>1.0</v>
      </c>
      <c r="H80" s="93">
        <v>0.22</v>
      </c>
      <c r="I80" s="94" t="s">
        <v>1058</v>
      </c>
      <c r="J80" s="94" t="s">
        <v>1058</v>
      </c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>
      <c r="A81" s="89"/>
      <c r="B81" s="91" t="s">
        <v>1058</v>
      </c>
      <c r="C81" s="91" t="s">
        <v>36</v>
      </c>
      <c r="D81" s="91" t="s">
        <v>99</v>
      </c>
      <c r="E81" s="91" t="s">
        <v>247</v>
      </c>
      <c r="F81" s="92">
        <v>0.13</v>
      </c>
      <c r="G81" s="93">
        <v>1.0</v>
      </c>
      <c r="H81" s="93">
        <v>0.13</v>
      </c>
      <c r="I81" s="94" t="s">
        <v>1058</v>
      </c>
      <c r="J81" s="94" t="s">
        <v>1058</v>
      </c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>
      <c r="A82" s="89"/>
      <c r="B82" s="91" t="s">
        <v>1058</v>
      </c>
      <c r="C82" s="91" t="s">
        <v>47</v>
      </c>
      <c r="D82" s="91" t="s">
        <v>99</v>
      </c>
      <c r="E82" s="91" t="s">
        <v>247</v>
      </c>
      <c r="F82" s="92">
        <v>2.84</v>
      </c>
      <c r="G82" s="93" t="s">
        <v>30</v>
      </c>
      <c r="H82" s="93" t="s">
        <v>30</v>
      </c>
      <c r="I82" s="94" t="s">
        <v>1058</v>
      </c>
      <c r="J82" s="94" t="s">
        <v>1058</v>
      </c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>
      <c r="A83" s="89"/>
      <c r="B83" s="91" t="s">
        <v>1058</v>
      </c>
      <c r="C83" s="91" t="s">
        <v>42</v>
      </c>
      <c r="D83" s="91" t="s">
        <v>99</v>
      </c>
      <c r="E83" s="91" t="s">
        <v>247</v>
      </c>
      <c r="F83" s="92">
        <v>0.4</v>
      </c>
      <c r="G83" s="93" t="s">
        <v>30</v>
      </c>
      <c r="H83" s="93" t="s">
        <v>30</v>
      </c>
      <c r="I83" s="94" t="s">
        <v>1058</v>
      </c>
      <c r="J83" s="94" t="s">
        <v>1058</v>
      </c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>
      <c r="A84" s="89"/>
      <c r="B84" s="91" t="s">
        <v>1058</v>
      </c>
      <c r="C84" s="91" t="s">
        <v>47</v>
      </c>
      <c r="D84" s="91" t="s">
        <v>99</v>
      </c>
      <c r="E84" s="91" t="s">
        <v>284</v>
      </c>
      <c r="F84" s="92">
        <v>0.23</v>
      </c>
      <c r="G84" s="93" t="s">
        <v>30</v>
      </c>
      <c r="H84" s="93" t="s">
        <v>30</v>
      </c>
      <c r="I84" s="94" t="s">
        <v>1058</v>
      </c>
      <c r="J84" s="94" t="s">
        <v>1058</v>
      </c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>
      <c r="A85" s="89"/>
      <c r="B85" s="91" t="s">
        <v>1058</v>
      </c>
      <c r="C85" s="91" t="s">
        <v>38</v>
      </c>
      <c r="D85" s="91" t="s">
        <v>99</v>
      </c>
      <c r="E85" s="91" t="s">
        <v>247</v>
      </c>
      <c r="F85" s="92">
        <v>17.87</v>
      </c>
      <c r="G85" s="93">
        <v>4.0</v>
      </c>
      <c r="H85" s="93">
        <v>4.4675</v>
      </c>
      <c r="I85" s="94" t="s">
        <v>1058</v>
      </c>
      <c r="J85" s="94" t="s">
        <v>1058</v>
      </c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>
      <c r="A86" s="89"/>
      <c r="B86" s="91" t="s">
        <v>1058</v>
      </c>
      <c r="C86" s="91" t="s">
        <v>51</v>
      </c>
      <c r="D86" s="91" t="s">
        <v>99</v>
      </c>
      <c r="E86" s="91" t="s">
        <v>284</v>
      </c>
      <c r="F86" s="92">
        <v>0.0</v>
      </c>
      <c r="G86" s="93" t="s">
        <v>30</v>
      </c>
      <c r="H86" s="93" t="s">
        <v>30</v>
      </c>
      <c r="I86" s="94" t="s">
        <v>1058</v>
      </c>
      <c r="J86" s="94" t="s">
        <v>1058</v>
      </c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>
      <c r="A87" s="89"/>
      <c r="B87" s="91" t="s">
        <v>1058</v>
      </c>
      <c r="C87" s="91" t="s">
        <v>26</v>
      </c>
      <c r="D87" s="91" t="s">
        <v>99</v>
      </c>
      <c r="E87" s="91" t="s">
        <v>284</v>
      </c>
      <c r="F87" s="92">
        <v>3.59</v>
      </c>
      <c r="G87" s="93" t="s">
        <v>30</v>
      </c>
      <c r="H87" s="93" t="s">
        <v>30</v>
      </c>
      <c r="I87" s="94" t="s">
        <v>1058</v>
      </c>
      <c r="J87" s="94" t="s">
        <v>1058</v>
      </c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>
      <c r="A88" s="89"/>
      <c r="B88" s="91" t="s">
        <v>1058</v>
      </c>
      <c r="C88" s="91" t="s">
        <v>38</v>
      </c>
      <c r="D88" s="91" t="s">
        <v>99</v>
      </c>
      <c r="E88" s="91" t="s">
        <v>284</v>
      </c>
      <c r="F88" s="92">
        <v>0.01</v>
      </c>
      <c r="G88" s="93" t="s">
        <v>30</v>
      </c>
      <c r="H88" s="93" t="s">
        <v>30</v>
      </c>
      <c r="I88" s="94" t="s">
        <v>1058</v>
      </c>
      <c r="J88" s="94" t="s">
        <v>1058</v>
      </c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>
      <c r="A89" s="89"/>
      <c r="B89" s="91" t="s">
        <v>1058</v>
      </c>
      <c r="C89" s="91" t="s">
        <v>26</v>
      </c>
      <c r="D89" s="91" t="s">
        <v>99</v>
      </c>
      <c r="E89" s="91" t="s">
        <v>201</v>
      </c>
      <c r="F89" s="92">
        <v>0.33</v>
      </c>
      <c r="G89" s="93">
        <v>1.0</v>
      </c>
      <c r="H89" s="93">
        <v>0.33</v>
      </c>
      <c r="I89" s="94" t="s">
        <v>1058</v>
      </c>
      <c r="J89" s="94" t="s">
        <v>1058</v>
      </c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>
      <c r="A90" s="89"/>
      <c r="B90" s="91" t="s">
        <v>1058</v>
      </c>
      <c r="C90" s="91" t="s">
        <v>26</v>
      </c>
      <c r="D90" s="91" t="s">
        <v>99</v>
      </c>
      <c r="E90" s="91" t="s">
        <v>201</v>
      </c>
      <c r="F90" s="92">
        <v>0.14</v>
      </c>
      <c r="G90" s="93" t="s">
        <v>30</v>
      </c>
      <c r="H90" s="93" t="s">
        <v>30</v>
      </c>
      <c r="I90" s="94" t="s">
        <v>1058</v>
      </c>
      <c r="J90" s="94" t="s">
        <v>1058</v>
      </c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>
      <c r="A91" s="89"/>
      <c r="B91" s="91" t="s">
        <v>1058</v>
      </c>
      <c r="C91" s="91" t="s">
        <v>42</v>
      </c>
      <c r="D91" s="91" t="s">
        <v>99</v>
      </c>
      <c r="E91" s="91" t="s">
        <v>284</v>
      </c>
      <c r="F91" s="92">
        <v>0.02</v>
      </c>
      <c r="G91" s="93" t="s">
        <v>30</v>
      </c>
      <c r="H91" s="93" t="s">
        <v>30</v>
      </c>
      <c r="I91" s="94" t="s">
        <v>1058</v>
      </c>
      <c r="J91" s="94" t="s">
        <v>1058</v>
      </c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>
      <c r="A92" s="89"/>
      <c r="B92" s="91" t="s">
        <v>1058</v>
      </c>
      <c r="C92" s="91" t="s">
        <v>39</v>
      </c>
      <c r="D92" s="91" t="s">
        <v>99</v>
      </c>
      <c r="E92" s="91" t="s">
        <v>201</v>
      </c>
      <c r="F92" s="92">
        <v>0.16</v>
      </c>
      <c r="G92" s="93" t="s">
        <v>30</v>
      </c>
      <c r="H92" s="93" t="s">
        <v>30</v>
      </c>
      <c r="I92" s="94" t="s">
        <v>1058</v>
      </c>
      <c r="J92" s="94" t="s">
        <v>1058</v>
      </c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>
      <c r="A93" s="89"/>
      <c r="B93" s="91" t="s">
        <v>1058</v>
      </c>
      <c r="C93" s="91" t="s">
        <v>38</v>
      </c>
      <c r="D93" s="91" t="s">
        <v>99</v>
      </c>
      <c r="E93" s="91" t="s">
        <v>201</v>
      </c>
      <c r="F93" s="92">
        <v>21.73</v>
      </c>
      <c r="G93" s="93">
        <v>10.0</v>
      </c>
      <c r="H93" s="93">
        <v>2.173</v>
      </c>
      <c r="I93" s="94" t="s">
        <v>1058</v>
      </c>
      <c r="J93" s="94" t="s">
        <v>1058</v>
      </c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>
      <c r="A94" s="89"/>
      <c r="B94" s="91" t="s">
        <v>1058</v>
      </c>
      <c r="C94" s="91" t="s">
        <v>38</v>
      </c>
      <c r="D94" s="91" t="s">
        <v>99</v>
      </c>
      <c r="E94" s="91" t="s">
        <v>392</v>
      </c>
      <c r="F94" s="92">
        <v>57.2</v>
      </c>
      <c r="G94" s="93">
        <v>19.0</v>
      </c>
      <c r="H94" s="93">
        <v>3.01052632</v>
      </c>
      <c r="I94" s="94" t="s">
        <v>1058</v>
      </c>
      <c r="J94" s="94" t="s">
        <v>1058</v>
      </c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>
      <c r="A95" s="89"/>
      <c r="B95" s="91" t="s">
        <v>1058</v>
      </c>
      <c r="C95" s="91" t="s">
        <v>42</v>
      </c>
      <c r="D95" s="91" t="s">
        <v>99</v>
      </c>
      <c r="E95" s="91" t="s">
        <v>392</v>
      </c>
      <c r="F95" s="92">
        <v>0.02</v>
      </c>
      <c r="G95" s="93" t="s">
        <v>30</v>
      </c>
      <c r="H95" s="93" t="s">
        <v>30</v>
      </c>
      <c r="I95" s="94" t="s">
        <v>1058</v>
      </c>
      <c r="J95" s="94" t="s">
        <v>1058</v>
      </c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>
      <c r="A96" s="89"/>
      <c r="B96" s="91" t="s">
        <v>1058</v>
      </c>
      <c r="C96" s="91" t="s">
        <v>38</v>
      </c>
      <c r="D96" s="91" t="s">
        <v>99</v>
      </c>
      <c r="E96" s="91" t="s">
        <v>178</v>
      </c>
      <c r="F96" s="92">
        <v>0.61</v>
      </c>
      <c r="G96" s="93" t="s">
        <v>30</v>
      </c>
      <c r="H96" s="93" t="s">
        <v>30</v>
      </c>
      <c r="I96" s="94" t="s">
        <v>1058</v>
      </c>
      <c r="J96" s="94" t="s">
        <v>1058</v>
      </c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>
      <c r="A97" s="89"/>
      <c r="B97" s="91" t="s">
        <v>1058</v>
      </c>
      <c r="C97" s="91" t="s">
        <v>47</v>
      </c>
      <c r="D97" s="91" t="s">
        <v>99</v>
      </c>
      <c r="E97" s="91" t="s">
        <v>392</v>
      </c>
      <c r="F97" s="92">
        <v>1.02</v>
      </c>
      <c r="G97" s="93" t="s">
        <v>30</v>
      </c>
      <c r="H97" s="93" t="s">
        <v>30</v>
      </c>
      <c r="I97" s="94" t="s">
        <v>1058</v>
      </c>
      <c r="J97" s="94" t="s">
        <v>1058</v>
      </c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>
      <c r="A98" s="89"/>
      <c r="B98" s="91" t="s">
        <v>1058</v>
      </c>
      <c r="C98" s="91" t="s">
        <v>26</v>
      </c>
      <c r="D98" s="91" t="s">
        <v>99</v>
      </c>
      <c r="E98" s="91" t="s">
        <v>392</v>
      </c>
      <c r="F98" s="92">
        <v>9.33</v>
      </c>
      <c r="G98" s="93" t="s">
        <v>30</v>
      </c>
      <c r="H98" s="93" t="s">
        <v>30</v>
      </c>
      <c r="I98" s="94" t="s">
        <v>1058</v>
      </c>
      <c r="J98" s="94" t="s">
        <v>1058</v>
      </c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>
      <c r="A99" s="89"/>
      <c r="B99" s="91" t="s">
        <v>1058</v>
      </c>
      <c r="C99" s="91" t="s">
        <v>47</v>
      </c>
      <c r="D99" s="91" t="s">
        <v>99</v>
      </c>
      <c r="E99" s="91" t="s">
        <v>178</v>
      </c>
      <c r="F99" s="92">
        <v>0.01</v>
      </c>
      <c r="G99" s="93" t="s">
        <v>30</v>
      </c>
      <c r="H99" s="93" t="s">
        <v>30</v>
      </c>
      <c r="I99" s="94" t="s">
        <v>1058</v>
      </c>
      <c r="J99" s="94" t="s">
        <v>1058</v>
      </c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>
      <c r="A100" s="89"/>
      <c r="B100" s="91" t="s">
        <v>1058</v>
      </c>
      <c r="C100" s="91" t="s">
        <v>39</v>
      </c>
      <c r="D100" s="91" t="s">
        <v>99</v>
      </c>
      <c r="E100" s="91" t="s">
        <v>178</v>
      </c>
      <c r="F100" s="92">
        <v>2.77</v>
      </c>
      <c r="G100" s="93">
        <v>1.0</v>
      </c>
      <c r="H100" s="93">
        <v>2.77</v>
      </c>
      <c r="I100" s="94" t="s">
        <v>1058</v>
      </c>
      <c r="J100" s="94" t="s">
        <v>1058</v>
      </c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>
      <c r="A101" s="89"/>
      <c r="B101" s="91" t="s">
        <v>1058</v>
      </c>
      <c r="C101" s="91" t="s">
        <v>26</v>
      </c>
      <c r="D101" s="91" t="s">
        <v>99</v>
      </c>
      <c r="E101" s="91" t="s">
        <v>178</v>
      </c>
      <c r="F101" s="92">
        <v>0.1</v>
      </c>
      <c r="G101" s="93" t="s">
        <v>30</v>
      </c>
      <c r="H101" s="93" t="s">
        <v>30</v>
      </c>
      <c r="I101" s="94" t="s">
        <v>1058</v>
      </c>
      <c r="J101" s="94" t="s">
        <v>1058</v>
      </c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>
      <c r="A102" s="89"/>
      <c r="B102" s="91" t="s">
        <v>1058</v>
      </c>
      <c r="C102" s="91" t="s">
        <v>26</v>
      </c>
      <c r="D102" s="91" t="s">
        <v>99</v>
      </c>
      <c r="E102" s="91" t="s">
        <v>235</v>
      </c>
      <c r="F102" s="92">
        <v>0.01</v>
      </c>
      <c r="G102" s="93" t="s">
        <v>30</v>
      </c>
      <c r="H102" s="93" t="s">
        <v>30</v>
      </c>
      <c r="I102" s="94" t="s">
        <v>1058</v>
      </c>
      <c r="J102" s="94" t="s">
        <v>1058</v>
      </c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>
      <c r="A103" s="89"/>
      <c r="B103" s="91" t="s">
        <v>1058</v>
      </c>
      <c r="C103" s="91" t="s">
        <v>39</v>
      </c>
      <c r="D103" s="91" t="s">
        <v>99</v>
      </c>
      <c r="E103" s="91" t="s">
        <v>235</v>
      </c>
      <c r="F103" s="92">
        <v>0.01</v>
      </c>
      <c r="G103" s="93" t="s">
        <v>30</v>
      </c>
      <c r="H103" s="93" t="s">
        <v>30</v>
      </c>
      <c r="I103" s="94" t="s">
        <v>1058</v>
      </c>
      <c r="J103" s="94" t="s">
        <v>1058</v>
      </c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>
      <c r="A104" s="89"/>
      <c r="B104" s="91" t="s">
        <v>1058</v>
      </c>
      <c r="C104" s="91" t="s">
        <v>47</v>
      </c>
      <c r="D104" s="91" t="s">
        <v>99</v>
      </c>
      <c r="E104" s="91" t="s">
        <v>235</v>
      </c>
      <c r="F104" s="92">
        <v>0.01</v>
      </c>
      <c r="G104" s="93" t="s">
        <v>30</v>
      </c>
      <c r="H104" s="93" t="s">
        <v>30</v>
      </c>
      <c r="I104" s="94" t="s">
        <v>1058</v>
      </c>
      <c r="J104" s="94" t="s">
        <v>1058</v>
      </c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>
      <c r="A105" s="89"/>
      <c r="B105" s="91" t="s">
        <v>1058</v>
      </c>
      <c r="C105" s="91" t="s">
        <v>37</v>
      </c>
      <c r="D105" s="91" t="s">
        <v>141</v>
      </c>
      <c r="E105" s="91" t="s">
        <v>284</v>
      </c>
      <c r="F105" s="92">
        <v>32.03</v>
      </c>
      <c r="G105" s="93">
        <v>18.0</v>
      </c>
      <c r="H105" s="93">
        <v>1.77944444</v>
      </c>
      <c r="I105" s="94" t="s">
        <v>1058</v>
      </c>
      <c r="J105" s="94" t="s">
        <v>1058</v>
      </c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>
      <c r="A106" s="89"/>
      <c r="B106" s="91" t="s">
        <v>1058</v>
      </c>
      <c r="C106" s="91" t="s">
        <v>29</v>
      </c>
      <c r="D106" s="91" t="s">
        <v>141</v>
      </c>
      <c r="E106" s="91" t="s">
        <v>284</v>
      </c>
      <c r="F106" s="92">
        <v>6.52</v>
      </c>
      <c r="G106" s="93">
        <v>4.0</v>
      </c>
      <c r="H106" s="93">
        <v>1.63</v>
      </c>
      <c r="I106" s="94" t="s">
        <v>1058</v>
      </c>
      <c r="J106" s="94" t="s">
        <v>1058</v>
      </c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>
      <c r="A107" s="89"/>
      <c r="B107" s="91" t="s">
        <v>1058</v>
      </c>
      <c r="C107" s="91" t="s">
        <v>42</v>
      </c>
      <c r="D107" s="91" t="s">
        <v>141</v>
      </c>
      <c r="E107" s="91" t="s">
        <v>284</v>
      </c>
      <c r="F107" s="92">
        <v>0.06</v>
      </c>
      <c r="G107" s="93" t="s">
        <v>30</v>
      </c>
      <c r="H107" s="93" t="s">
        <v>30</v>
      </c>
      <c r="I107" s="94" t="s">
        <v>1058</v>
      </c>
      <c r="J107" s="94" t="s">
        <v>1058</v>
      </c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>
      <c r="A108" s="89"/>
      <c r="B108" s="91" t="s">
        <v>1058</v>
      </c>
      <c r="C108" s="91" t="s">
        <v>42</v>
      </c>
      <c r="D108" s="91" t="s">
        <v>141</v>
      </c>
      <c r="E108" s="91" t="s">
        <v>178</v>
      </c>
      <c r="F108" s="92">
        <v>0.46</v>
      </c>
      <c r="G108" s="93" t="s">
        <v>30</v>
      </c>
      <c r="H108" s="93" t="s">
        <v>30</v>
      </c>
      <c r="I108" s="94" t="s">
        <v>1058</v>
      </c>
      <c r="J108" s="94" t="s">
        <v>1058</v>
      </c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>
      <c r="A109" s="89"/>
      <c r="B109" s="91" t="s">
        <v>1058</v>
      </c>
      <c r="C109" s="91" t="s">
        <v>37</v>
      </c>
      <c r="D109" s="91" t="s">
        <v>141</v>
      </c>
      <c r="E109" s="91" t="s">
        <v>178</v>
      </c>
      <c r="F109" s="92">
        <v>1.87</v>
      </c>
      <c r="G109" s="93" t="s">
        <v>30</v>
      </c>
      <c r="H109" s="93" t="s">
        <v>30</v>
      </c>
      <c r="I109" s="94" t="s">
        <v>1058</v>
      </c>
      <c r="J109" s="94" t="s">
        <v>1058</v>
      </c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>
      <c r="A110" s="89"/>
      <c r="B110" s="91" t="s">
        <v>1058</v>
      </c>
      <c r="C110" s="91" t="s">
        <v>29</v>
      </c>
      <c r="D110" s="91" t="s">
        <v>141</v>
      </c>
      <c r="E110" s="91" t="s">
        <v>178</v>
      </c>
      <c r="F110" s="92">
        <v>4.81</v>
      </c>
      <c r="G110" s="93">
        <v>2.0</v>
      </c>
      <c r="H110" s="93">
        <v>2.405</v>
      </c>
      <c r="I110" s="94" t="s">
        <v>1058</v>
      </c>
      <c r="J110" s="94" t="s">
        <v>1058</v>
      </c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>
      <c r="A111" s="89"/>
      <c r="B111" s="91" t="s">
        <v>1058</v>
      </c>
      <c r="C111" s="91" t="s">
        <v>37</v>
      </c>
      <c r="D111" s="91" t="s">
        <v>141</v>
      </c>
      <c r="E111" s="91" t="s">
        <v>392</v>
      </c>
      <c r="F111" s="92">
        <v>67.06</v>
      </c>
      <c r="G111" s="93">
        <v>35.0</v>
      </c>
      <c r="H111" s="93">
        <v>1.916</v>
      </c>
      <c r="I111" s="94" t="s">
        <v>1058</v>
      </c>
      <c r="J111" s="94" t="s">
        <v>1058</v>
      </c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>
      <c r="A112" s="89"/>
      <c r="B112" s="91" t="s">
        <v>1058</v>
      </c>
      <c r="C112" s="91" t="s">
        <v>42</v>
      </c>
      <c r="D112" s="91" t="s">
        <v>141</v>
      </c>
      <c r="E112" s="91" t="s">
        <v>392</v>
      </c>
      <c r="F112" s="92">
        <v>0.04</v>
      </c>
      <c r="G112" s="93" t="s">
        <v>30</v>
      </c>
      <c r="H112" s="93" t="s">
        <v>30</v>
      </c>
      <c r="I112" s="94" t="s">
        <v>1058</v>
      </c>
      <c r="J112" s="94" t="s">
        <v>1058</v>
      </c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>
      <c r="A113" s="89"/>
      <c r="B113" s="91" t="s">
        <v>1058</v>
      </c>
      <c r="C113" s="91" t="s">
        <v>37</v>
      </c>
      <c r="D113" s="91" t="s">
        <v>141</v>
      </c>
      <c r="E113" s="91" t="s">
        <v>201</v>
      </c>
      <c r="F113" s="92">
        <v>1.8</v>
      </c>
      <c r="G113" s="93">
        <v>2.0</v>
      </c>
      <c r="H113" s="93">
        <v>0.9</v>
      </c>
      <c r="I113" s="94" t="s">
        <v>1058</v>
      </c>
      <c r="J113" s="94" t="s">
        <v>1058</v>
      </c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>
      <c r="A114" s="89"/>
      <c r="B114" s="91" t="s">
        <v>1058</v>
      </c>
      <c r="C114" s="91" t="s">
        <v>29</v>
      </c>
      <c r="D114" s="91" t="s">
        <v>141</v>
      </c>
      <c r="E114" s="91" t="s">
        <v>201</v>
      </c>
      <c r="F114" s="92">
        <v>3.43</v>
      </c>
      <c r="G114" s="93">
        <v>1.0</v>
      </c>
      <c r="H114" s="93">
        <v>3.43</v>
      </c>
      <c r="I114" s="94" t="s">
        <v>1058</v>
      </c>
      <c r="J114" s="94" t="s">
        <v>1058</v>
      </c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>
      <c r="A115" s="89"/>
      <c r="B115" s="91" t="s">
        <v>1058</v>
      </c>
      <c r="C115" s="91" t="s">
        <v>37</v>
      </c>
      <c r="D115" s="91" t="s">
        <v>141</v>
      </c>
      <c r="E115" s="91" t="s">
        <v>235</v>
      </c>
      <c r="F115" s="92">
        <v>7.93</v>
      </c>
      <c r="G115" s="93">
        <v>5.0</v>
      </c>
      <c r="H115" s="93">
        <v>1.586</v>
      </c>
      <c r="I115" s="94" t="s">
        <v>1058</v>
      </c>
      <c r="J115" s="94" t="s">
        <v>1058</v>
      </c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>
      <c r="A116" s="89"/>
      <c r="B116" s="91" t="s">
        <v>1058</v>
      </c>
      <c r="C116" s="91" t="s">
        <v>42</v>
      </c>
      <c r="D116" s="91" t="s">
        <v>141</v>
      </c>
      <c r="E116" s="91" t="s">
        <v>235</v>
      </c>
      <c r="F116" s="92">
        <v>0.0</v>
      </c>
      <c r="G116" s="93" t="s">
        <v>30</v>
      </c>
      <c r="H116" s="93" t="s">
        <v>30</v>
      </c>
      <c r="I116" s="94" t="s">
        <v>1058</v>
      </c>
      <c r="J116" s="94" t="s">
        <v>1058</v>
      </c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>
      <c r="A117" s="89"/>
      <c r="B117" s="91" t="s">
        <v>1058</v>
      </c>
      <c r="C117" s="91" t="s">
        <v>29</v>
      </c>
      <c r="D117" s="91" t="s">
        <v>141</v>
      </c>
      <c r="E117" s="91" t="s">
        <v>235</v>
      </c>
      <c r="F117" s="92">
        <v>1.61</v>
      </c>
      <c r="G117" s="93" t="s">
        <v>30</v>
      </c>
      <c r="H117" s="93" t="s">
        <v>30</v>
      </c>
      <c r="I117" s="94" t="s">
        <v>1058</v>
      </c>
      <c r="J117" s="94" t="s">
        <v>1058</v>
      </c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>
      <c r="A118" s="89"/>
      <c r="B118" s="91" t="s">
        <v>1058</v>
      </c>
      <c r="C118" s="91" t="s">
        <v>37</v>
      </c>
      <c r="D118" s="91" t="s">
        <v>141</v>
      </c>
      <c r="E118" s="91" t="s">
        <v>247</v>
      </c>
      <c r="F118" s="92">
        <v>4.2</v>
      </c>
      <c r="G118" s="93">
        <v>2.0</v>
      </c>
      <c r="H118" s="93">
        <v>2.1</v>
      </c>
      <c r="I118" s="94" t="s">
        <v>1058</v>
      </c>
      <c r="J118" s="94" t="s">
        <v>1058</v>
      </c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>
      <c r="A119" s="89"/>
      <c r="B119" s="91" t="s">
        <v>1058</v>
      </c>
      <c r="C119" s="91" t="s">
        <v>42</v>
      </c>
      <c r="D119" s="91" t="s">
        <v>141</v>
      </c>
      <c r="E119" s="91" t="s">
        <v>247</v>
      </c>
      <c r="F119" s="92">
        <v>0.08</v>
      </c>
      <c r="G119" s="93" t="s">
        <v>30</v>
      </c>
      <c r="H119" s="93" t="s">
        <v>30</v>
      </c>
      <c r="I119" s="94" t="s">
        <v>1058</v>
      </c>
      <c r="J119" s="94" t="s">
        <v>1058</v>
      </c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>
      <c r="A120" s="89"/>
      <c r="B120" s="91" t="s">
        <v>1058</v>
      </c>
      <c r="C120" s="91" t="s">
        <v>29</v>
      </c>
      <c r="D120" s="91" t="s">
        <v>141</v>
      </c>
      <c r="E120" s="91" t="s">
        <v>247</v>
      </c>
      <c r="F120" s="92">
        <v>4.06</v>
      </c>
      <c r="G120" s="93">
        <v>3.0</v>
      </c>
      <c r="H120" s="93">
        <v>1.35333333</v>
      </c>
      <c r="I120" s="94" t="s">
        <v>1058</v>
      </c>
      <c r="J120" s="94" t="s">
        <v>1058</v>
      </c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>
      <c r="A121" s="89"/>
      <c r="B121" s="91" t="s">
        <v>1058</v>
      </c>
      <c r="C121" s="91" t="s">
        <v>27</v>
      </c>
      <c r="D121" s="91" t="s">
        <v>419</v>
      </c>
      <c r="E121" s="91" t="s">
        <v>420</v>
      </c>
      <c r="F121" s="92">
        <v>0.05</v>
      </c>
      <c r="G121" s="93">
        <v>1.0</v>
      </c>
      <c r="H121" s="93">
        <v>0.05</v>
      </c>
      <c r="I121" s="94" t="s">
        <v>1058</v>
      </c>
      <c r="J121" s="94" t="s">
        <v>1058</v>
      </c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>
      <c r="A122" s="89"/>
      <c r="B122" s="91" t="s">
        <v>1058</v>
      </c>
      <c r="C122" s="91" t="s">
        <v>28</v>
      </c>
      <c r="D122" s="91" t="s">
        <v>419</v>
      </c>
      <c r="E122" s="91" t="s">
        <v>420</v>
      </c>
      <c r="F122" s="92">
        <v>0.15</v>
      </c>
      <c r="G122" s="93">
        <v>1.0</v>
      </c>
      <c r="H122" s="93">
        <v>0.15</v>
      </c>
      <c r="I122" s="94" t="s">
        <v>1058</v>
      </c>
      <c r="J122" s="94" t="s">
        <v>1058</v>
      </c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>
      <c r="A123" s="89"/>
      <c r="B123" s="91" t="s">
        <v>1058</v>
      </c>
      <c r="C123" s="91" t="s">
        <v>35</v>
      </c>
      <c r="D123" s="91" t="s">
        <v>419</v>
      </c>
      <c r="E123" s="91" t="s">
        <v>420</v>
      </c>
      <c r="F123" s="92">
        <v>0.06</v>
      </c>
      <c r="G123" s="93" t="s">
        <v>30</v>
      </c>
      <c r="H123" s="93" t="s">
        <v>30</v>
      </c>
      <c r="I123" s="94" t="s">
        <v>1058</v>
      </c>
      <c r="J123" s="94" t="s">
        <v>1058</v>
      </c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>
      <c r="A124" s="89"/>
      <c r="B124" s="91" t="s">
        <v>1058</v>
      </c>
      <c r="C124" s="91" t="s">
        <v>28</v>
      </c>
      <c r="D124" s="91" t="s">
        <v>419</v>
      </c>
      <c r="E124" s="91" t="s">
        <v>441</v>
      </c>
      <c r="F124" s="92">
        <v>5.26</v>
      </c>
      <c r="G124" s="93">
        <v>3.0</v>
      </c>
      <c r="H124" s="93">
        <v>1.75333333</v>
      </c>
      <c r="I124" s="94" t="s">
        <v>1058</v>
      </c>
      <c r="J124" s="94" t="s">
        <v>1058</v>
      </c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>
      <c r="A125" s="89"/>
      <c r="B125" s="91" t="s">
        <v>1058</v>
      </c>
      <c r="C125" s="91" t="s">
        <v>34</v>
      </c>
      <c r="D125" s="91" t="s">
        <v>419</v>
      </c>
      <c r="E125" s="91" t="s">
        <v>441</v>
      </c>
      <c r="F125" s="92">
        <v>0.1</v>
      </c>
      <c r="G125" s="93" t="s">
        <v>30</v>
      </c>
      <c r="H125" s="93" t="s">
        <v>30</v>
      </c>
      <c r="I125" s="94" t="s">
        <v>1058</v>
      </c>
      <c r="J125" s="94" t="s">
        <v>1058</v>
      </c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>
      <c r="A126" s="89"/>
      <c r="B126" s="91" t="s">
        <v>1058</v>
      </c>
      <c r="C126" s="91" t="s">
        <v>29</v>
      </c>
      <c r="D126" s="91" t="s">
        <v>419</v>
      </c>
      <c r="E126" s="91" t="s">
        <v>441</v>
      </c>
      <c r="F126" s="92">
        <v>4.06</v>
      </c>
      <c r="G126" s="93" t="s">
        <v>30</v>
      </c>
      <c r="H126" s="93" t="s">
        <v>30</v>
      </c>
      <c r="I126" s="94" t="s">
        <v>1058</v>
      </c>
      <c r="J126" s="94" t="s">
        <v>1058</v>
      </c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>
      <c r="A127" s="89"/>
      <c r="B127" s="91" t="s">
        <v>1058</v>
      </c>
      <c r="C127" s="91" t="s">
        <v>27</v>
      </c>
      <c r="D127" s="91" t="s">
        <v>419</v>
      </c>
      <c r="E127" s="91" t="s">
        <v>441</v>
      </c>
      <c r="F127" s="92">
        <v>49.06</v>
      </c>
      <c r="G127" s="93">
        <v>41.0</v>
      </c>
      <c r="H127" s="93">
        <v>1.19658537</v>
      </c>
      <c r="I127" s="94" t="s">
        <v>1058</v>
      </c>
      <c r="J127" s="94" t="s">
        <v>1058</v>
      </c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>
      <c r="A128" s="89"/>
      <c r="B128" s="91" t="s">
        <v>1058</v>
      </c>
      <c r="C128" s="91" t="s">
        <v>35</v>
      </c>
      <c r="D128" s="91" t="s">
        <v>419</v>
      </c>
      <c r="E128" s="91" t="s">
        <v>441</v>
      </c>
      <c r="F128" s="92">
        <v>0.17</v>
      </c>
      <c r="G128" s="93" t="s">
        <v>30</v>
      </c>
      <c r="H128" s="93" t="s">
        <v>30</v>
      </c>
      <c r="I128" s="94" t="s">
        <v>1058</v>
      </c>
      <c r="J128" s="94" t="s">
        <v>1058</v>
      </c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>
      <c r="A129" s="89"/>
      <c r="B129" s="91" t="s">
        <v>1058</v>
      </c>
      <c r="C129" s="91" t="s">
        <v>53</v>
      </c>
      <c r="D129" s="91" t="s">
        <v>419</v>
      </c>
      <c r="E129" s="91" t="s">
        <v>441</v>
      </c>
      <c r="F129" s="92">
        <v>0.01</v>
      </c>
      <c r="G129" s="93" t="s">
        <v>30</v>
      </c>
      <c r="H129" s="93" t="s">
        <v>30</v>
      </c>
      <c r="I129" s="94" t="s">
        <v>1058</v>
      </c>
      <c r="J129" s="94" t="s">
        <v>1058</v>
      </c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>
      <c r="A130" s="89"/>
      <c r="B130" s="91" t="s">
        <v>1058</v>
      </c>
      <c r="C130" s="91" t="s">
        <v>41</v>
      </c>
      <c r="D130" s="91" t="s">
        <v>419</v>
      </c>
      <c r="E130" s="91" t="s">
        <v>441</v>
      </c>
      <c r="F130" s="92">
        <v>0.25</v>
      </c>
      <c r="G130" s="93" t="s">
        <v>30</v>
      </c>
      <c r="H130" s="93" t="s">
        <v>30</v>
      </c>
      <c r="I130" s="94" t="s">
        <v>1058</v>
      </c>
      <c r="J130" s="94" t="s">
        <v>1058</v>
      </c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>
      <c r="A131" s="89"/>
      <c r="B131" s="91" t="s">
        <v>1058</v>
      </c>
      <c r="C131" s="91" t="s">
        <v>32</v>
      </c>
      <c r="D131" s="91" t="s">
        <v>419</v>
      </c>
      <c r="E131" s="91" t="s">
        <v>441</v>
      </c>
      <c r="F131" s="92">
        <v>0.26</v>
      </c>
      <c r="G131" s="93" t="s">
        <v>30</v>
      </c>
      <c r="H131" s="93" t="s">
        <v>30</v>
      </c>
      <c r="I131" s="94" t="s">
        <v>1058</v>
      </c>
      <c r="J131" s="94" t="s">
        <v>1058</v>
      </c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>
      <c r="A132" s="89"/>
      <c r="B132" s="91" t="s">
        <v>1058</v>
      </c>
      <c r="C132" s="91" t="s">
        <v>34</v>
      </c>
      <c r="D132" s="91" t="s">
        <v>419</v>
      </c>
      <c r="E132" s="91" t="s">
        <v>474</v>
      </c>
      <c r="F132" s="92">
        <v>3.04</v>
      </c>
      <c r="G132" s="93">
        <v>2.0</v>
      </c>
      <c r="H132" s="93">
        <v>1.52</v>
      </c>
      <c r="I132" s="94" t="s">
        <v>1058</v>
      </c>
      <c r="J132" s="94" t="s">
        <v>1058</v>
      </c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>
      <c r="A133" s="89"/>
      <c r="B133" s="91" t="s">
        <v>1058</v>
      </c>
      <c r="C133" s="91" t="s">
        <v>53</v>
      </c>
      <c r="D133" s="91" t="s">
        <v>419</v>
      </c>
      <c r="E133" s="91" t="s">
        <v>474</v>
      </c>
      <c r="F133" s="92">
        <v>0.0</v>
      </c>
      <c r="G133" s="93" t="s">
        <v>30</v>
      </c>
      <c r="H133" s="93" t="s">
        <v>30</v>
      </c>
      <c r="I133" s="94" t="s">
        <v>1058</v>
      </c>
      <c r="J133" s="94" t="s">
        <v>1058</v>
      </c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>
      <c r="A134" s="89"/>
      <c r="B134" s="91" t="s">
        <v>1058</v>
      </c>
      <c r="C134" s="91" t="s">
        <v>32</v>
      </c>
      <c r="D134" s="91" t="s">
        <v>419</v>
      </c>
      <c r="E134" s="91" t="s">
        <v>474</v>
      </c>
      <c r="F134" s="92">
        <v>1.32</v>
      </c>
      <c r="G134" s="93">
        <v>1.0</v>
      </c>
      <c r="H134" s="93">
        <v>1.32</v>
      </c>
      <c r="I134" s="94" t="s">
        <v>1058</v>
      </c>
      <c r="J134" s="94" t="s">
        <v>1058</v>
      </c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>
      <c r="A135" s="89"/>
      <c r="B135" s="91" t="s">
        <v>1058</v>
      </c>
      <c r="C135" s="91" t="s">
        <v>35</v>
      </c>
      <c r="D135" s="91" t="s">
        <v>419</v>
      </c>
      <c r="E135" s="91" t="s">
        <v>474</v>
      </c>
      <c r="F135" s="92">
        <v>0.61</v>
      </c>
      <c r="G135" s="93" t="s">
        <v>30</v>
      </c>
      <c r="H135" s="93" t="s">
        <v>30</v>
      </c>
      <c r="I135" s="94" t="s">
        <v>1058</v>
      </c>
      <c r="J135" s="94" t="s">
        <v>1058</v>
      </c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>
      <c r="A136" s="89"/>
      <c r="B136" s="91" t="s">
        <v>1058</v>
      </c>
      <c r="C136" s="91" t="s">
        <v>29</v>
      </c>
      <c r="D136" s="91" t="s">
        <v>419</v>
      </c>
      <c r="E136" s="91" t="s">
        <v>474</v>
      </c>
      <c r="F136" s="92">
        <v>5.03</v>
      </c>
      <c r="G136" s="93" t="s">
        <v>30</v>
      </c>
      <c r="H136" s="93" t="s">
        <v>30</v>
      </c>
      <c r="I136" s="94" t="s">
        <v>1058</v>
      </c>
      <c r="J136" s="94" t="s">
        <v>1058</v>
      </c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>
      <c r="A137" s="89"/>
      <c r="B137" s="91" t="s">
        <v>1058</v>
      </c>
      <c r="C137" s="91" t="s">
        <v>27</v>
      </c>
      <c r="D137" s="91" t="s">
        <v>419</v>
      </c>
      <c r="E137" s="91" t="s">
        <v>474</v>
      </c>
      <c r="F137" s="92">
        <v>97.12</v>
      </c>
      <c r="G137" s="93">
        <v>83.0</v>
      </c>
      <c r="H137" s="93">
        <v>1.17012048</v>
      </c>
      <c r="I137" s="94" t="s">
        <v>1058</v>
      </c>
      <c r="J137" s="94" t="s">
        <v>1058</v>
      </c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>
      <c r="A138" s="89"/>
      <c r="B138" s="91" t="s">
        <v>1058</v>
      </c>
      <c r="C138" s="91" t="s">
        <v>28</v>
      </c>
      <c r="D138" s="91" t="s">
        <v>419</v>
      </c>
      <c r="E138" s="91" t="s">
        <v>474</v>
      </c>
      <c r="F138" s="92">
        <v>77.37</v>
      </c>
      <c r="G138" s="93">
        <v>41.0</v>
      </c>
      <c r="H138" s="93">
        <v>1.88707317</v>
      </c>
      <c r="I138" s="94" t="s">
        <v>1058</v>
      </c>
      <c r="J138" s="94" t="s">
        <v>1058</v>
      </c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>
      <c r="A139" s="89"/>
      <c r="B139" s="91" t="s">
        <v>1058</v>
      </c>
      <c r="C139" s="91" t="s">
        <v>41</v>
      </c>
      <c r="D139" s="91" t="s">
        <v>419</v>
      </c>
      <c r="E139" s="91" t="s">
        <v>474</v>
      </c>
      <c r="F139" s="92">
        <v>0.32</v>
      </c>
      <c r="G139" s="93" t="s">
        <v>30</v>
      </c>
      <c r="H139" s="93" t="s">
        <v>30</v>
      </c>
      <c r="I139" s="94" t="s">
        <v>1058</v>
      </c>
      <c r="J139" s="94" t="s">
        <v>1058</v>
      </c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>
      <c r="A140" s="89"/>
      <c r="B140" s="91" t="s">
        <v>1058</v>
      </c>
      <c r="C140" s="91" t="s">
        <v>42</v>
      </c>
      <c r="D140" s="91" t="s">
        <v>600</v>
      </c>
      <c r="E140" s="91" t="s">
        <v>420</v>
      </c>
      <c r="F140" s="92">
        <v>0.16</v>
      </c>
      <c r="G140" s="93" t="s">
        <v>30</v>
      </c>
      <c r="H140" s="93" t="s">
        <v>30</v>
      </c>
      <c r="I140" s="94" t="s">
        <v>1058</v>
      </c>
      <c r="J140" s="94" t="s">
        <v>1058</v>
      </c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>
      <c r="A141" s="89"/>
      <c r="B141" s="91" t="s">
        <v>1058</v>
      </c>
      <c r="C141" s="91" t="s">
        <v>29</v>
      </c>
      <c r="D141" s="91" t="s">
        <v>600</v>
      </c>
      <c r="E141" s="91" t="s">
        <v>420</v>
      </c>
      <c r="F141" s="92">
        <v>26.88</v>
      </c>
      <c r="G141" s="93">
        <v>22.0</v>
      </c>
      <c r="H141" s="93">
        <v>1.22181818</v>
      </c>
      <c r="I141" s="94" t="s">
        <v>1058</v>
      </c>
      <c r="J141" s="94" t="s">
        <v>1058</v>
      </c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>
      <c r="A142" s="89"/>
      <c r="B142" s="91" t="s">
        <v>1058</v>
      </c>
      <c r="C142" s="91" t="s">
        <v>37</v>
      </c>
      <c r="D142" s="91" t="s">
        <v>600</v>
      </c>
      <c r="E142" s="91" t="s">
        <v>420</v>
      </c>
      <c r="F142" s="92">
        <v>0.59</v>
      </c>
      <c r="G142" s="93" t="s">
        <v>30</v>
      </c>
      <c r="H142" s="93" t="s">
        <v>30</v>
      </c>
      <c r="I142" s="94" t="s">
        <v>1058</v>
      </c>
      <c r="J142" s="94" t="s">
        <v>1058</v>
      </c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>
      <c r="A143" s="89"/>
      <c r="B143" s="91" t="s">
        <v>1058</v>
      </c>
      <c r="C143" s="91" t="s">
        <v>29</v>
      </c>
      <c r="D143" s="91" t="s">
        <v>600</v>
      </c>
      <c r="E143" s="91" t="s">
        <v>474</v>
      </c>
      <c r="F143" s="92">
        <v>239.44</v>
      </c>
      <c r="G143" s="93">
        <v>103.0</v>
      </c>
      <c r="H143" s="93">
        <v>2.32466019</v>
      </c>
      <c r="I143" s="94" t="s">
        <v>1058</v>
      </c>
      <c r="J143" s="94" t="s">
        <v>1058</v>
      </c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>
      <c r="A144" s="89"/>
      <c r="B144" s="91" t="s">
        <v>1058</v>
      </c>
      <c r="C144" s="91" t="s">
        <v>42</v>
      </c>
      <c r="D144" s="91" t="s">
        <v>600</v>
      </c>
      <c r="E144" s="91" t="s">
        <v>474</v>
      </c>
      <c r="F144" s="92">
        <v>0.03</v>
      </c>
      <c r="G144" s="93" t="s">
        <v>30</v>
      </c>
      <c r="H144" s="93" t="s">
        <v>30</v>
      </c>
      <c r="I144" s="94" t="s">
        <v>1058</v>
      </c>
      <c r="J144" s="94" t="s">
        <v>1058</v>
      </c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>
      <c r="A145" s="89"/>
      <c r="B145" s="91" t="s">
        <v>1058</v>
      </c>
      <c r="C145" s="91" t="s">
        <v>37</v>
      </c>
      <c r="D145" s="91" t="s">
        <v>600</v>
      </c>
      <c r="E145" s="91" t="s">
        <v>474</v>
      </c>
      <c r="F145" s="92">
        <v>84.83</v>
      </c>
      <c r="G145" s="93">
        <v>44.0</v>
      </c>
      <c r="H145" s="93">
        <v>1.92795455</v>
      </c>
      <c r="I145" s="94" t="s">
        <v>1058</v>
      </c>
      <c r="J145" s="94" t="s">
        <v>1058</v>
      </c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>
      <c r="A146" s="89"/>
      <c r="B146" s="91" t="s">
        <v>1058</v>
      </c>
      <c r="C146" s="91" t="s">
        <v>37</v>
      </c>
      <c r="D146" s="91" t="s">
        <v>600</v>
      </c>
      <c r="E146" s="91" t="s">
        <v>441</v>
      </c>
      <c r="F146" s="92">
        <v>18.06</v>
      </c>
      <c r="G146" s="93">
        <v>15.0</v>
      </c>
      <c r="H146" s="93">
        <v>1.204</v>
      </c>
      <c r="I146" s="94" t="s">
        <v>1058</v>
      </c>
      <c r="J146" s="94" t="s">
        <v>1058</v>
      </c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>
      <c r="A147" s="89"/>
      <c r="B147" s="91" t="s">
        <v>1058</v>
      </c>
      <c r="C147" s="91" t="s">
        <v>42</v>
      </c>
      <c r="D147" s="91" t="s">
        <v>600</v>
      </c>
      <c r="E147" s="91" t="s">
        <v>441</v>
      </c>
      <c r="F147" s="92">
        <v>0.09</v>
      </c>
      <c r="G147" s="93" t="s">
        <v>30</v>
      </c>
      <c r="H147" s="93" t="s">
        <v>30</v>
      </c>
      <c r="I147" s="94" t="s">
        <v>1058</v>
      </c>
      <c r="J147" s="94" t="s">
        <v>1058</v>
      </c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>
      <c r="A148" s="89"/>
      <c r="B148" s="91" t="s">
        <v>1058</v>
      </c>
      <c r="C148" s="91" t="s">
        <v>29</v>
      </c>
      <c r="D148" s="91" t="s">
        <v>600</v>
      </c>
      <c r="E148" s="91" t="s">
        <v>441</v>
      </c>
      <c r="F148" s="92">
        <v>88.44</v>
      </c>
      <c r="G148" s="93">
        <v>35.0</v>
      </c>
      <c r="H148" s="93">
        <v>2.52685714</v>
      </c>
      <c r="I148" s="94" t="s">
        <v>1058</v>
      </c>
      <c r="J148" s="94" t="s">
        <v>1058</v>
      </c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>
      <c r="A149" s="89"/>
      <c r="B149" s="91" t="s">
        <v>1058</v>
      </c>
      <c r="C149" s="91" t="s">
        <v>29</v>
      </c>
      <c r="D149" s="91" t="s">
        <v>637</v>
      </c>
      <c r="E149" s="91" t="s">
        <v>638</v>
      </c>
      <c r="F149" s="92">
        <v>0.0</v>
      </c>
      <c r="G149" s="93" t="s">
        <v>30</v>
      </c>
      <c r="H149" s="93" t="s">
        <v>30</v>
      </c>
      <c r="I149" s="94" t="s">
        <v>1058</v>
      </c>
      <c r="J149" s="94" t="s">
        <v>1058</v>
      </c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>
      <c r="A150" s="89"/>
      <c r="B150" s="91" t="s">
        <v>1058</v>
      </c>
      <c r="C150" s="91" t="s">
        <v>35</v>
      </c>
      <c r="D150" s="91" t="s">
        <v>637</v>
      </c>
      <c r="E150" s="91" t="s">
        <v>638</v>
      </c>
      <c r="F150" s="92">
        <v>0.01</v>
      </c>
      <c r="G150" s="93" t="s">
        <v>30</v>
      </c>
      <c r="H150" s="93" t="s">
        <v>30</v>
      </c>
      <c r="I150" s="94" t="s">
        <v>1058</v>
      </c>
      <c r="J150" s="94" t="s">
        <v>1058</v>
      </c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>
      <c r="A151" s="89"/>
      <c r="B151" s="91" t="s">
        <v>1058</v>
      </c>
      <c r="C151" s="91" t="s">
        <v>27</v>
      </c>
      <c r="D151" s="91" t="s">
        <v>637</v>
      </c>
      <c r="E151" s="91" t="s">
        <v>638</v>
      </c>
      <c r="F151" s="92">
        <v>0.04</v>
      </c>
      <c r="G151" s="93" t="s">
        <v>30</v>
      </c>
      <c r="H151" s="93" t="s">
        <v>30</v>
      </c>
      <c r="I151" s="94" t="s">
        <v>1058</v>
      </c>
      <c r="J151" s="94" t="s">
        <v>1058</v>
      </c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>
      <c r="A152" s="89"/>
      <c r="B152" s="91" t="s">
        <v>1058</v>
      </c>
      <c r="C152" s="91" t="s">
        <v>53</v>
      </c>
      <c r="D152" s="91" t="s">
        <v>637</v>
      </c>
      <c r="E152" s="91" t="s">
        <v>638</v>
      </c>
      <c r="F152" s="92">
        <v>0.1</v>
      </c>
      <c r="G152" s="93" t="s">
        <v>30</v>
      </c>
      <c r="H152" s="93" t="s">
        <v>30</v>
      </c>
      <c r="I152" s="94" t="s">
        <v>1058</v>
      </c>
      <c r="J152" s="94" t="s">
        <v>1058</v>
      </c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>
      <c r="A153" s="89"/>
      <c r="B153" s="91" t="s">
        <v>1058</v>
      </c>
      <c r="C153" s="91" t="s">
        <v>28</v>
      </c>
      <c r="D153" s="91" t="s">
        <v>637</v>
      </c>
      <c r="E153" s="91" t="s">
        <v>638</v>
      </c>
      <c r="F153" s="92">
        <v>0.92</v>
      </c>
      <c r="G153" s="93">
        <v>1.0</v>
      </c>
      <c r="H153" s="93">
        <v>0.92</v>
      </c>
      <c r="I153" s="94" t="s">
        <v>1058</v>
      </c>
      <c r="J153" s="94" t="s">
        <v>1058</v>
      </c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>
      <c r="A154" s="89"/>
      <c r="B154" s="91" t="s">
        <v>1058</v>
      </c>
      <c r="C154" s="91" t="s">
        <v>34</v>
      </c>
      <c r="D154" s="91" t="s">
        <v>637</v>
      </c>
      <c r="E154" s="91" t="s">
        <v>638</v>
      </c>
      <c r="F154" s="92">
        <v>0.16</v>
      </c>
      <c r="G154" s="93" t="s">
        <v>30</v>
      </c>
      <c r="H154" s="93" t="s">
        <v>30</v>
      </c>
      <c r="I154" s="94" t="s">
        <v>1058</v>
      </c>
      <c r="J154" s="94" t="s">
        <v>1058</v>
      </c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>
      <c r="A155" s="89"/>
      <c r="B155" s="91" t="s">
        <v>1058</v>
      </c>
      <c r="C155" s="91" t="s">
        <v>32</v>
      </c>
      <c r="D155" s="91" t="s">
        <v>637</v>
      </c>
      <c r="E155" s="91" t="s">
        <v>671</v>
      </c>
      <c r="F155" s="92">
        <v>3.79</v>
      </c>
      <c r="G155" s="93" t="s">
        <v>30</v>
      </c>
      <c r="H155" s="93" t="s">
        <v>30</v>
      </c>
      <c r="I155" s="94" t="s">
        <v>1058</v>
      </c>
      <c r="J155" s="94" t="s">
        <v>1058</v>
      </c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>
      <c r="A156" s="89"/>
      <c r="B156" s="91" t="s">
        <v>1058</v>
      </c>
      <c r="C156" s="91" t="s">
        <v>41</v>
      </c>
      <c r="D156" s="91" t="s">
        <v>637</v>
      </c>
      <c r="E156" s="91" t="s">
        <v>671</v>
      </c>
      <c r="F156" s="92">
        <v>2.0</v>
      </c>
      <c r="G156" s="93" t="s">
        <v>30</v>
      </c>
      <c r="H156" s="93" t="s">
        <v>30</v>
      </c>
      <c r="I156" s="94" t="s">
        <v>1058</v>
      </c>
      <c r="J156" s="94" t="s">
        <v>1058</v>
      </c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>
      <c r="A157" s="89"/>
      <c r="B157" s="91" t="s">
        <v>1058</v>
      </c>
      <c r="C157" s="91" t="s">
        <v>29</v>
      </c>
      <c r="D157" s="91" t="s">
        <v>637</v>
      </c>
      <c r="E157" s="91" t="s">
        <v>671</v>
      </c>
      <c r="F157" s="92">
        <v>2.77</v>
      </c>
      <c r="G157" s="93">
        <v>1.0</v>
      </c>
      <c r="H157" s="93">
        <v>2.77</v>
      </c>
      <c r="I157" s="94" t="s">
        <v>1058</v>
      </c>
      <c r="J157" s="94" t="s">
        <v>1058</v>
      </c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>
      <c r="A158" s="89"/>
      <c r="B158" s="91" t="s">
        <v>1058</v>
      </c>
      <c r="C158" s="91" t="s">
        <v>28</v>
      </c>
      <c r="D158" s="91" t="s">
        <v>637</v>
      </c>
      <c r="E158" s="91" t="s">
        <v>671</v>
      </c>
      <c r="F158" s="92">
        <v>108.31</v>
      </c>
      <c r="G158" s="93">
        <v>43.0</v>
      </c>
      <c r="H158" s="93">
        <v>2.51883721</v>
      </c>
      <c r="I158" s="94" t="s">
        <v>1058</v>
      </c>
      <c r="J158" s="94" t="s">
        <v>1058</v>
      </c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>
      <c r="A159" s="89"/>
      <c r="B159" s="91" t="s">
        <v>1058</v>
      </c>
      <c r="C159" s="91" t="s">
        <v>35</v>
      </c>
      <c r="D159" s="91" t="s">
        <v>637</v>
      </c>
      <c r="E159" s="91" t="s">
        <v>671</v>
      </c>
      <c r="F159" s="92">
        <v>1.47</v>
      </c>
      <c r="G159" s="93" t="s">
        <v>30</v>
      </c>
      <c r="H159" s="93" t="s">
        <v>30</v>
      </c>
      <c r="I159" s="94" t="s">
        <v>1058</v>
      </c>
      <c r="J159" s="94" t="s">
        <v>1058</v>
      </c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>
      <c r="A160" s="89"/>
      <c r="B160" s="91" t="s">
        <v>1058</v>
      </c>
      <c r="C160" s="91" t="s">
        <v>53</v>
      </c>
      <c r="D160" s="91" t="s">
        <v>637</v>
      </c>
      <c r="E160" s="91" t="s">
        <v>671</v>
      </c>
      <c r="F160" s="92">
        <v>0.05</v>
      </c>
      <c r="G160" s="93" t="s">
        <v>30</v>
      </c>
      <c r="H160" s="93" t="s">
        <v>30</v>
      </c>
      <c r="I160" s="94" t="s">
        <v>1058</v>
      </c>
      <c r="J160" s="94" t="s">
        <v>1058</v>
      </c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>
      <c r="A161" s="89"/>
      <c r="B161" s="91" t="s">
        <v>1058</v>
      </c>
      <c r="C161" s="91" t="s">
        <v>27</v>
      </c>
      <c r="D161" s="91" t="s">
        <v>637</v>
      </c>
      <c r="E161" s="91" t="s">
        <v>671</v>
      </c>
      <c r="F161" s="92">
        <v>258.74</v>
      </c>
      <c r="G161" s="93">
        <v>203.0</v>
      </c>
      <c r="H161" s="93">
        <v>1.27458128</v>
      </c>
      <c r="I161" s="94" t="s">
        <v>1058</v>
      </c>
      <c r="J161" s="94" t="s">
        <v>1058</v>
      </c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>
      <c r="A162" s="89"/>
      <c r="B162" s="91" t="s">
        <v>1058</v>
      </c>
      <c r="C162" s="91" t="s">
        <v>34</v>
      </c>
      <c r="D162" s="91" t="s">
        <v>637</v>
      </c>
      <c r="E162" s="91" t="s">
        <v>671</v>
      </c>
      <c r="F162" s="92">
        <v>6.19</v>
      </c>
      <c r="G162" s="93">
        <v>4.0</v>
      </c>
      <c r="H162" s="93">
        <v>1.5475</v>
      </c>
      <c r="I162" s="94" t="s">
        <v>1058</v>
      </c>
      <c r="J162" s="94" t="s">
        <v>1058</v>
      </c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>
      <c r="A163" s="89"/>
      <c r="B163" s="91" t="s">
        <v>1058</v>
      </c>
      <c r="C163" s="91" t="s">
        <v>51</v>
      </c>
      <c r="D163" s="91" t="s">
        <v>704</v>
      </c>
      <c r="E163" s="91" t="s">
        <v>638</v>
      </c>
      <c r="F163" s="92">
        <v>0.03</v>
      </c>
      <c r="G163" s="93" t="s">
        <v>30</v>
      </c>
      <c r="H163" s="93" t="s">
        <v>30</v>
      </c>
      <c r="I163" s="94" t="s">
        <v>1058</v>
      </c>
      <c r="J163" s="94" t="s">
        <v>1058</v>
      </c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>
      <c r="A164" s="89"/>
      <c r="B164" s="91" t="s">
        <v>1058</v>
      </c>
      <c r="C164" s="91" t="s">
        <v>39</v>
      </c>
      <c r="D164" s="91" t="s">
        <v>704</v>
      </c>
      <c r="E164" s="91" t="s">
        <v>638</v>
      </c>
      <c r="F164" s="92">
        <v>0.12</v>
      </c>
      <c r="G164" s="93" t="s">
        <v>30</v>
      </c>
      <c r="H164" s="93" t="s">
        <v>30</v>
      </c>
      <c r="I164" s="94" t="s">
        <v>1058</v>
      </c>
      <c r="J164" s="94" t="s">
        <v>1058</v>
      </c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>
      <c r="A165" s="89"/>
      <c r="B165" s="91" t="s">
        <v>1058</v>
      </c>
      <c r="C165" s="91" t="s">
        <v>26</v>
      </c>
      <c r="D165" s="91" t="s">
        <v>704</v>
      </c>
      <c r="E165" s="91" t="s">
        <v>638</v>
      </c>
      <c r="F165" s="92">
        <v>2.37</v>
      </c>
      <c r="G165" s="93">
        <v>3.0</v>
      </c>
      <c r="H165" s="93">
        <v>0.79</v>
      </c>
      <c r="I165" s="94" t="s">
        <v>1058</v>
      </c>
      <c r="J165" s="94" t="s">
        <v>1058</v>
      </c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>
      <c r="A166" s="89"/>
      <c r="B166" s="91" t="s">
        <v>1058</v>
      </c>
      <c r="C166" s="91" t="s">
        <v>26</v>
      </c>
      <c r="D166" s="91" t="s">
        <v>704</v>
      </c>
      <c r="E166" s="91" t="s">
        <v>638</v>
      </c>
      <c r="F166" s="92">
        <v>0.35</v>
      </c>
      <c r="G166" s="93" t="s">
        <v>30</v>
      </c>
      <c r="H166" s="93" t="s">
        <v>30</v>
      </c>
      <c r="I166" s="94" t="s">
        <v>1058</v>
      </c>
      <c r="J166" s="94" t="s">
        <v>1058</v>
      </c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>
      <c r="A167" s="89"/>
      <c r="B167" s="91" t="s">
        <v>1058</v>
      </c>
      <c r="C167" s="91" t="s">
        <v>57</v>
      </c>
      <c r="D167" s="91" t="s">
        <v>704</v>
      </c>
      <c r="E167" s="91" t="s">
        <v>638</v>
      </c>
      <c r="F167" s="92">
        <v>0.04</v>
      </c>
      <c r="G167" s="93" t="s">
        <v>30</v>
      </c>
      <c r="H167" s="93" t="s">
        <v>30</v>
      </c>
      <c r="I167" s="94" t="s">
        <v>1058</v>
      </c>
      <c r="J167" s="94" t="s">
        <v>1058</v>
      </c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>
      <c r="A168" s="89"/>
      <c r="B168" s="91" t="s">
        <v>1058</v>
      </c>
      <c r="C168" s="91" t="s">
        <v>38</v>
      </c>
      <c r="D168" s="91" t="s">
        <v>704</v>
      </c>
      <c r="E168" s="91" t="s">
        <v>638</v>
      </c>
      <c r="F168" s="92">
        <v>3.22</v>
      </c>
      <c r="G168" s="93">
        <v>2.0</v>
      </c>
      <c r="H168" s="93">
        <v>1.61</v>
      </c>
      <c r="I168" s="94" t="s">
        <v>1058</v>
      </c>
      <c r="J168" s="94" t="s">
        <v>1058</v>
      </c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>
      <c r="A169" s="89"/>
      <c r="B169" s="91" t="s">
        <v>1058</v>
      </c>
      <c r="C169" s="91" t="s">
        <v>42</v>
      </c>
      <c r="D169" s="91" t="s">
        <v>704</v>
      </c>
      <c r="E169" s="91" t="s">
        <v>671</v>
      </c>
      <c r="F169" s="92">
        <v>6.4</v>
      </c>
      <c r="G169" s="93">
        <v>3.0</v>
      </c>
      <c r="H169" s="93">
        <v>2.13333333</v>
      </c>
      <c r="I169" s="94" t="s">
        <v>1058</v>
      </c>
      <c r="J169" s="94" t="s">
        <v>1058</v>
      </c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>
      <c r="A170" s="89"/>
      <c r="B170" s="91" t="s">
        <v>1058</v>
      </c>
      <c r="C170" s="91" t="s">
        <v>47</v>
      </c>
      <c r="D170" s="91" t="s">
        <v>704</v>
      </c>
      <c r="E170" s="91" t="s">
        <v>671</v>
      </c>
      <c r="F170" s="92">
        <v>7.69</v>
      </c>
      <c r="G170" s="93" t="s">
        <v>30</v>
      </c>
      <c r="H170" s="93" t="s">
        <v>30</v>
      </c>
      <c r="I170" s="94" t="s">
        <v>1058</v>
      </c>
      <c r="J170" s="94" t="s">
        <v>1058</v>
      </c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>
      <c r="A171" s="89"/>
      <c r="B171" s="91" t="s">
        <v>1058</v>
      </c>
      <c r="C171" s="91" t="s">
        <v>38</v>
      </c>
      <c r="D171" s="91" t="s">
        <v>704</v>
      </c>
      <c r="E171" s="91" t="s">
        <v>671</v>
      </c>
      <c r="F171" s="92">
        <v>307.9</v>
      </c>
      <c r="G171" s="93">
        <v>86.0</v>
      </c>
      <c r="H171" s="93">
        <v>3.58023256</v>
      </c>
      <c r="I171" s="94" t="s">
        <v>1058</v>
      </c>
      <c r="J171" s="94" t="s">
        <v>1058</v>
      </c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>
      <c r="A172" s="89"/>
      <c r="B172" s="91" t="s">
        <v>1058</v>
      </c>
      <c r="C172" s="91" t="s">
        <v>36</v>
      </c>
      <c r="D172" s="91" t="s">
        <v>704</v>
      </c>
      <c r="E172" s="91" t="s">
        <v>671</v>
      </c>
      <c r="F172" s="92">
        <v>0.62</v>
      </c>
      <c r="G172" s="93" t="s">
        <v>30</v>
      </c>
      <c r="H172" s="93" t="s">
        <v>30</v>
      </c>
      <c r="I172" s="94" t="s">
        <v>1058</v>
      </c>
      <c r="J172" s="94" t="s">
        <v>1058</v>
      </c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>
      <c r="A173" s="89"/>
      <c r="B173" s="91" t="s">
        <v>1058</v>
      </c>
      <c r="C173" s="91" t="s">
        <v>51</v>
      </c>
      <c r="D173" s="91" t="s">
        <v>704</v>
      </c>
      <c r="E173" s="91" t="s">
        <v>671</v>
      </c>
      <c r="F173" s="92">
        <v>0.59</v>
      </c>
      <c r="G173" s="93" t="s">
        <v>30</v>
      </c>
      <c r="H173" s="93" t="s">
        <v>30</v>
      </c>
      <c r="I173" s="94" t="s">
        <v>1058</v>
      </c>
      <c r="J173" s="94" t="s">
        <v>1058</v>
      </c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>
      <c r="A174" s="89"/>
      <c r="B174" s="91" t="s">
        <v>1058</v>
      </c>
      <c r="C174" s="91" t="s">
        <v>39</v>
      </c>
      <c r="D174" s="91" t="s">
        <v>704</v>
      </c>
      <c r="E174" s="91" t="s">
        <v>671</v>
      </c>
      <c r="F174" s="92">
        <v>16.89</v>
      </c>
      <c r="G174" s="93">
        <v>5.0</v>
      </c>
      <c r="H174" s="93">
        <v>3.378</v>
      </c>
      <c r="I174" s="94" t="s">
        <v>1058</v>
      </c>
      <c r="J174" s="94" t="s">
        <v>1058</v>
      </c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>
      <c r="A175" s="89"/>
      <c r="B175" s="91" t="s">
        <v>1058</v>
      </c>
      <c r="C175" s="91" t="s">
        <v>26</v>
      </c>
      <c r="D175" s="91" t="s">
        <v>704</v>
      </c>
      <c r="E175" s="91" t="s">
        <v>671</v>
      </c>
      <c r="F175" s="92">
        <v>152.25</v>
      </c>
      <c r="G175" s="93">
        <v>71.0</v>
      </c>
      <c r="H175" s="93">
        <v>2.1443662</v>
      </c>
      <c r="I175" s="94" t="s">
        <v>1058</v>
      </c>
      <c r="J175" s="94" t="s">
        <v>1058</v>
      </c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>
      <c r="A176" s="89"/>
      <c r="B176" s="91" t="s">
        <v>1058</v>
      </c>
      <c r="C176" s="91" t="s">
        <v>26</v>
      </c>
      <c r="D176" s="91" t="s">
        <v>704</v>
      </c>
      <c r="E176" s="91" t="s">
        <v>671</v>
      </c>
      <c r="F176" s="92">
        <v>28.72</v>
      </c>
      <c r="G176" s="93" t="s">
        <v>30</v>
      </c>
      <c r="H176" s="93" t="s">
        <v>30</v>
      </c>
      <c r="I176" s="94" t="s">
        <v>1058</v>
      </c>
      <c r="J176" s="94" t="s">
        <v>1058</v>
      </c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>
      <c r="A177" s="89"/>
      <c r="B177" s="91" t="s">
        <v>1058</v>
      </c>
      <c r="C177" s="91" t="s">
        <v>57</v>
      </c>
      <c r="D177" s="91" t="s">
        <v>704</v>
      </c>
      <c r="E177" s="91" t="s">
        <v>671</v>
      </c>
      <c r="F177" s="92">
        <v>0.1</v>
      </c>
      <c r="G177" s="93" t="s">
        <v>30</v>
      </c>
      <c r="H177" s="93" t="s">
        <v>30</v>
      </c>
      <c r="I177" s="94" t="s">
        <v>1058</v>
      </c>
      <c r="J177" s="94" t="s">
        <v>1058</v>
      </c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>
      <c r="A178" s="89"/>
      <c r="B178" s="91" t="s">
        <v>1058</v>
      </c>
      <c r="C178" s="91" t="s">
        <v>37</v>
      </c>
      <c r="D178" s="91" t="s">
        <v>776</v>
      </c>
      <c r="E178" s="91" t="s">
        <v>638</v>
      </c>
      <c r="F178" s="92">
        <v>85.89</v>
      </c>
      <c r="G178" s="93">
        <v>29.0</v>
      </c>
      <c r="H178" s="93">
        <v>2.96172414</v>
      </c>
      <c r="I178" s="94" t="s">
        <v>1058</v>
      </c>
      <c r="J178" s="94" t="s">
        <v>1058</v>
      </c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>
      <c r="A179" s="89"/>
      <c r="B179" s="91" t="s">
        <v>1058</v>
      </c>
      <c r="C179" s="91" t="s">
        <v>42</v>
      </c>
      <c r="D179" s="91" t="s">
        <v>776</v>
      </c>
      <c r="E179" s="91" t="s">
        <v>638</v>
      </c>
      <c r="F179" s="92">
        <v>0.01</v>
      </c>
      <c r="G179" s="93" t="s">
        <v>30</v>
      </c>
      <c r="H179" s="93" t="s">
        <v>30</v>
      </c>
      <c r="I179" s="94" t="s">
        <v>1058</v>
      </c>
      <c r="J179" s="94" t="s">
        <v>1058</v>
      </c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>
      <c r="A180" s="89"/>
      <c r="B180" s="91" t="s">
        <v>1058</v>
      </c>
      <c r="C180" s="91" t="s">
        <v>29</v>
      </c>
      <c r="D180" s="91" t="s">
        <v>776</v>
      </c>
      <c r="E180" s="91" t="s">
        <v>638</v>
      </c>
      <c r="F180" s="92">
        <v>0.19</v>
      </c>
      <c r="G180" s="93" t="s">
        <v>30</v>
      </c>
      <c r="H180" s="93" t="s">
        <v>30</v>
      </c>
      <c r="I180" s="94" t="s">
        <v>1058</v>
      </c>
      <c r="J180" s="94" t="s">
        <v>1058</v>
      </c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>
      <c r="A181" s="89"/>
      <c r="B181" s="91" t="s">
        <v>1058</v>
      </c>
      <c r="C181" s="91" t="s">
        <v>42</v>
      </c>
      <c r="D181" s="91" t="s">
        <v>776</v>
      </c>
      <c r="E181" s="91" t="s">
        <v>671</v>
      </c>
      <c r="F181" s="92">
        <v>0.63</v>
      </c>
      <c r="G181" s="93" t="s">
        <v>30</v>
      </c>
      <c r="H181" s="93" t="s">
        <v>30</v>
      </c>
      <c r="I181" s="94" t="s">
        <v>1058</v>
      </c>
      <c r="J181" s="94" t="s">
        <v>1058</v>
      </c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>
      <c r="A182" s="89"/>
      <c r="B182" s="91" t="s">
        <v>1058</v>
      </c>
      <c r="C182" s="91" t="s">
        <v>37</v>
      </c>
      <c r="D182" s="91" t="s">
        <v>776</v>
      </c>
      <c r="E182" s="91" t="s">
        <v>671</v>
      </c>
      <c r="F182" s="92">
        <v>80.24</v>
      </c>
      <c r="G182" s="93">
        <v>40.0</v>
      </c>
      <c r="H182" s="93">
        <v>2.006</v>
      </c>
      <c r="I182" s="94" t="s">
        <v>1058</v>
      </c>
      <c r="J182" s="94" t="s">
        <v>1058</v>
      </c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>
      <c r="A183" s="89"/>
      <c r="B183" s="91" t="s">
        <v>1058</v>
      </c>
      <c r="C183" s="91" t="s">
        <v>29</v>
      </c>
      <c r="D183" s="91" t="s">
        <v>776</v>
      </c>
      <c r="E183" s="91" t="s">
        <v>671</v>
      </c>
      <c r="F183" s="92">
        <v>0.0</v>
      </c>
      <c r="G183" s="93">
        <v>1.0</v>
      </c>
      <c r="H183" s="93">
        <v>0.0</v>
      </c>
      <c r="I183" s="94" t="s">
        <v>1058</v>
      </c>
      <c r="J183" s="94" t="s">
        <v>1058</v>
      </c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>
      <c r="A184" s="89"/>
      <c r="B184" s="91" t="s">
        <v>1058</v>
      </c>
      <c r="C184" s="91" t="s">
        <v>25</v>
      </c>
      <c r="D184" s="91" t="s">
        <v>141</v>
      </c>
      <c r="E184" s="91" t="s">
        <v>392</v>
      </c>
      <c r="F184" s="92">
        <v>15.45</v>
      </c>
      <c r="G184" s="93">
        <v>6.0</v>
      </c>
      <c r="H184" s="93">
        <v>2.575</v>
      </c>
      <c r="I184" s="94" t="s">
        <v>1058</v>
      </c>
      <c r="J184" s="94" t="s">
        <v>1058</v>
      </c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>
      <c r="A185" s="89"/>
      <c r="B185" s="91" t="s">
        <v>1058</v>
      </c>
      <c r="C185" s="91" t="s">
        <v>25</v>
      </c>
      <c r="D185" s="91" t="s">
        <v>141</v>
      </c>
      <c r="E185" s="91" t="s">
        <v>247</v>
      </c>
      <c r="F185" s="92">
        <v>49.17</v>
      </c>
      <c r="G185" s="93">
        <v>26.0</v>
      </c>
      <c r="H185" s="93">
        <v>1.89115385</v>
      </c>
      <c r="I185" s="94" t="s">
        <v>1058</v>
      </c>
      <c r="J185" s="94" t="s">
        <v>1058</v>
      </c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>
      <c r="A186" s="89"/>
      <c r="B186" s="91" t="s">
        <v>1058</v>
      </c>
      <c r="C186" s="91" t="s">
        <v>25</v>
      </c>
      <c r="D186" s="91" t="s">
        <v>141</v>
      </c>
      <c r="E186" s="91" t="s">
        <v>284</v>
      </c>
      <c r="F186" s="92">
        <v>172.51</v>
      </c>
      <c r="G186" s="93">
        <v>155.0</v>
      </c>
      <c r="H186" s="93">
        <v>1.11296774</v>
      </c>
      <c r="I186" s="94" t="s">
        <v>1058</v>
      </c>
      <c r="J186" s="94" t="s">
        <v>1058</v>
      </c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>
      <c r="A187" s="89"/>
      <c r="B187" s="91" t="s">
        <v>1058</v>
      </c>
      <c r="C187" s="91" t="s">
        <v>25</v>
      </c>
      <c r="D187" s="91" t="s">
        <v>141</v>
      </c>
      <c r="E187" s="91" t="s">
        <v>70</v>
      </c>
      <c r="F187" s="92">
        <v>79.12</v>
      </c>
      <c r="G187" s="93">
        <v>79.0</v>
      </c>
      <c r="H187" s="93">
        <v>1.00151899</v>
      </c>
      <c r="I187" s="94" t="s">
        <v>1058</v>
      </c>
      <c r="J187" s="94" t="s">
        <v>1058</v>
      </c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>
      <c r="A188" s="89"/>
      <c r="B188" s="91" t="s">
        <v>1058</v>
      </c>
      <c r="C188" s="91" t="s">
        <v>25</v>
      </c>
      <c r="D188" s="91" t="s">
        <v>141</v>
      </c>
      <c r="E188" s="91" t="s">
        <v>178</v>
      </c>
      <c r="F188" s="92">
        <v>45.78</v>
      </c>
      <c r="G188" s="93">
        <v>38.0</v>
      </c>
      <c r="H188" s="93">
        <v>1.20473684</v>
      </c>
      <c r="I188" s="94" t="s">
        <v>1058</v>
      </c>
      <c r="J188" s="94" t="s">
        <v>1058</v>
      </c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>
      <c r="A189" s="89"/>
      <c r="B189" s="91" t="s">
        <v>1058</v>
      </c>
      <c r="C189" s="91" t="s">
        <v>25</v>
      </c>
      <c r="D189" s="91" t="s">
        <v>141</v>
      </c>
      <c r="E189" s="91" t="s">
        <v>235</v>
      </c>
      <c r="F189" s="92">
        <v>89.6</v>
      </c>
      <c r="G189" s="93">
        <v>67.0</v>
      </c>
      <c r="H189" s="93">
        <v>1.33731343</v>
      </c>
      <c r="I189" s="94" t="s">
        <v>1058</v>
      </c>
      <c r="J189" s="94" t="s">
        <v>1058</v>
      </c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>
      <c r="A190" s="89"/>
      <c r="B190" s="91" t="s">
        <v>1058</v>
      </c>
      <c r="C190" s="91" t="s">
        <v>25</v>
      </c>
      <c r="D190" s="91" t="s">
        <v>141</v>
      </c>
      <c r="E190" s="91" t="s">
        <v>201</v>
      </c>
      <c r="F190" s="92">
        <v>2.1</v>
      </c>
      <c r="G190" s="93">
        <v>4.0</v>
      </c>
      <c r="H190" s="93">
        <v>0.525</v>
      </c>
      <c r="I190" s="94" t="s">
        <v>1058</v>
      </c>
      <c r="J190" s="94" t="s">
        <v>1058</v>
      </c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>
      <c r="A191" s="89"/>
      <c r="B191" s="91" t="s">
        <v>1058</v>
      </c>
      <c r="C191" s="91" t="s">
        <v>25</v>
      </c>
      <c r="D191" s="91" t="s">
        <v>600</v>
      </c>
      <c r="E191" s="91" t="s">
        <v>420</v>
      </c>
      <c r="F191" s="92">
        <v>11.78</v>
      </c>
      <c r="G191" s="93">
        <v>10.0</v>
      </c>
      <c r="H191" s="93">
        <v>1.178</v>
      </c>
      <c r="I191" s="94" t="s">
        <v>1058</v>
      </c>
      <c r="J191" s="94" t="s">
        <v>1058</v>
      </c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>
      <c r="A192" s="89"/>
      <c r="B192" s="91" t="s">
        <v>1058</v>
      </c>
      <c r="C192" s="91" t="s">
        <v>25</v>
      </c>
      <c r="D192" s="91" t="s">
        <v>600</v>
      </c>
      <c r="E192" s="91" t="s">
        <v>441</v>
      </c>
      <c r="F192" s="92">
        <v>19.01</v>
      </c>
      <c r="G192" s="93">
        <v>26.0</v>
      </c>
      <c r="H192" s="93">
        <v>0.73115385</v>
      </c>
      <c r="I192" s="94" t="s">
        <v>1058</v>
      </c>
      <c r="J192" s="94" t="s">
        <v>1058</v>
      </c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>
      <c r="A193" s="89"/>
      <c r="B193" s="91" t="s">
        <v>1058</v>
      </c>
      <c r="C193" s="91" t="s">
        <v>25</v>
      </c>
      <c r="D193" s="91" t="s">
        <v>600</v>
      </c>
      <c r="E193" s="91" t="s">
        <v>474</v>
      </c>
      <c r="F193" s="92">
        <v>19.63</v>
      </c>
      <c r="G193" s="93">
        <v>12.0</v>
      </c>
      <c r="H193" s="93">
        <v>1.63583333</v>
      </c>
      <c r="I193" s="94" t="s">
        <v>1058</v>
      </c>
      <c r="J193" s="94" t="s">
        <v>1058</v>
      </c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>
      <c r="A194" s="89"/>
      <c r="B194" s="91" t="s">
        <v>1058</v>
      </c>
      <c r="C194" s="91" t="s">
        <v>25</v>
      </c>
      <c r="D194" s="91" t="s">
        <v>776</v>
      </c>
      <c r="E194" s="91" t="s">
        <v>638</v>
      </c>
      <c r="F194" s="92">
        <v>7.86</v>
      </c>
      <c r="G194" s="93">
        <v>7.0</v>
      </c>
      <c r="H194" s="93">
        <v>1.12285714</v>
      </c>
      <c r="I194" s="94" t="s">
        <v>1058</v>
      </c>
      <c r="J194" s="94" t="s">
        <v>1058</v>
      </c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>
      <c r="A195" s="89"/>
      <c r="B195" s="91" t="s">
        <v>1058</v>
      </c>
      <c r="C195" s="91" t="s">
        <v>25</v>
      </c>
      <c r="D195" s="91" t="s">
        <v>776</v>
      </c>
      <c r="E195" s="91" t="s">
        <v>671</v>
      </c>
      <c r="F195" s="92">
        <v>560.63</v>
      </c>
      <c r="G195" s="93">
        <v>390.0</v>
      </c>
      <c r="H195" s="93">
        <v>1.43751282</v>
      </c>
      <c r="I195" s="94" t="s">
        <v>1058</v>
      </c>
      <c r="J195" s="94" t="s">
        <v>1058</v>
      </c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>
      <c r="A196" s="89"/>
      <c r="B196" s="91" t="s">
        <v>1078</v>
      </c>
      <c r="C196" s="91" t="s">
        <v>1059</v>
      </c>
      <c r="D196" s="91" t="s">
        <v>1060</v>
      </c>
      <c r="E196" s="91" t="s">
        <v>1061</v>
      </c>
      <c r="F196" s="92">
        <v>44.92</v>
      </c>
      <c r="G196" s="93" t="s">
        <v>30</v>
      </c>
      <c r="H196" s="93" t="s">
        <v>30</v>
      </c>
      <c r="I196" s="94" t="s">
        <v>1078</v>
      </c>
      <c r="J196" s="94" t="s">
        <v>1078</v>
      </c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>
      <c r="A197" s="89"/>
      <c r="B197" s="91" t="s">
        <v>1078</v>
      </c>
      <c r="C197" s="91" t="s">
        <v>1062</v>
      </c>
      <c r="D197" s="91" t="s">
        <v>1060</v>
      </c>
      <c r="E197" s="91" t="s">
        <v>1061</v>
      </c>
      <c r="F197" s="92">
        <v>3.53</v>
      </c>
      <c r="G197" s="93" t="s">
        <v>30</v>
      </c>
      <c r="H197" s="93" t="s">
        <v>30</v>
      </c>
      <c r="I197" s="94" t="s">
        <v>1078</v>
      </c>
      <c r="J197" s="94" t="s">
        <v>1078</v>
      </c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>
      <c r="A198" s="89"/>
      <c r="B198" s="91" t="s">
        <v>1078</v>
      </c>
      <c r="C198" s="91" t="s">
        <v>1059</v>
      </c>
      <c r="D198" s="91" t="s">
        <v>1060</v>
      </c>
      <c r="E198" s="91" t="s">
        <v>1063</v>
      </c>
      <c r="F198" s="92">
        <v>0.02</v>
      </c>
      <c r="G198" s="93" t="s">
        <v>30</v>
      </c>
      <c r="H198" s="93" t="s">
        <v>30</v>
      </c>
      <c r="I198" s="94" t="s">
        <v>1078</v>
      </c>
      <c r="J198" s="94" t="s">
        <v>1078</v>
      </c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>
      <c r="A199" s="89"/>
      <c r="B199" s="91" t="s">
        <v>1078</v>
      </c>
      <c r="C199" s="91" t="s">
        <v>1062</v>
      </c>
      <c r="D199" s="91" t="s">
        <v>1060</v>
      </c>
      <c r="E199" s="91" t="s">
        <v>1064</v>
      </c>
      <c r="F199" s="92">
        <v>20.85</v>
      </c>
      <c r="G199" s="93" t="s">
        <v>30</v>
      </c>
      <c r="H199" s="93" t="s">
        <v>30</v>
      </c>
      <c r="I199" s="94" t="s">
        <v>1078</v>
      </c>
      <c r="J199" s="94" t="s">
        <v>1078</v>
      </c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>
      <c r="A200" s="89"/>
      <c r="B200" s="91" t="s">
        <v>1078</v>
      </c>
      <c r="C200" s="91" t="s">
        <v>1059</v>
      </c>
      <c r="D200" s="91" t="s">
        <v>1060</v>
      </c>
      <c r="E200" s="91" t="s">
        <v>1064</v>
      </c>
      <c r="F200" s="92">
        <v>196.07</v>
      </c>
      <c r="G200" s="93">
        <v>1.0</v>
      </c>
      <c r="H200" s="93">
        <v>196.07</v>
      </c>
      <c r="I200" s="94" t="s">
        <v>1078</v>
      </c>
      <c r="J200" s="94" t="s">
        <v>1078</v>
      </c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>
      <c r="A201" s="89"/>
      <c r="B201" s="91" t="s">
        <v>1078</v>
      </c>
      <c r="C201" s="91" t="s">
        <v>1065</v>
      </c>
      <c r="D201" s="91" t="s">
        <v>1066</v>
      </c>
      <c r="E201" s="91" t="s">
        <v>1067</v>
      </c>
      <c r="F201" s="92">
        <v>160.29</v>
      </c>
      <c r="G201" s="93">
        <v>2.0</v>
      </c>
      <c r="H201" s="93">
        <v>80.145</v>
      </c>
      <c r="I201" s="94" t="s">
        <v>1078</v>
      </c>
      <c r="J201" s="94" t="s">
        <v>1078</v>
      </c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>
      <c r="A202" s="89"/>
      <c r="B202" s="91" t="s">
        <v>1078</v>
      </c>
      <c r="C202" s="91" t="s">
        <v>1065</v>
      </c>
      <c r="D202" s="91" t="s">
        <v>1068</v>
      </c>
      <c r="E202" s="91" t="s">
        <v>1069</v>
      </c>
      <c r="F202" s="92">
        <v>1.33</v>
      </c>
      <c r="G202" s="93" t="s">
        <v>30</v>
      </c>
      <c r="H202" s="93" t="s">
        <v>30</v>
      </c>
      <c r="I202" s="94" t="s">
        <v>1078</v>
      </c>
      <c r="J202" s="94" t="s">
        <v>1078</v>
      </c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>
      <c r="A203" s="89"/>
      <c r="B203" s="91" t="s">
        <v>1078</v>
      </c>
      <c r="C203" s="91" t="s">
        <v>1065</v>
      </c>
      <c r="D203" s="91" t="s">
        <v>1068</v>
      </c>
      <c r="E203" s="91" t="s">
        <v>1070</v>
      </c>
      <c r="F203" s="92">
        <v>9.88</v>
      </c>
      <c r="G203" s="93" t="s">
        <v>30</v>
      </c>
      <c r="H203" s="93" t="s">
        <v>30</v>
      </c>
      <c r="I203" s="94" t="s">
        <v>1078</v>
      </c>
      <c r="J203" s="94" t="s">
        <v>1078</v>
      </c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>
      <c r="A204" s="89"/>
      <c r="B204" s="91" t="s">
        <v>1078</v>
      </c>
      <c r="C204" s="91" t="s">
        <v>1065</v>
      </c>
      <c r="D204" s="91" t="s">
        <v>1066</v>
      </c>
      <c r="E204" s="91" t="s">
        <v>1072</v>
      </c>
      <c r="F204" s="92">
        <v>0.81</v>
      </c>
      <c r="G204" s="93">
        <v>1.0</v>
      </c>
      <c r="H204" s="93">
        <v>0.81</v>
      </c>
      <c r="I204" s="94" t="s">
        <v>1078</v>
      </c>
      <c r="J204" s="94" t="s">
        <v>1078</v>
      </c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>
      <c r="A205" s="89"/>
      <c r="B205" s="91" t="s">
        <v>1078</v>
      </c>
      <c r="C205" s="91" t="s">
        <v>1071</v>
      </c>
      <c r="D205" s="91" t="s">
        <v>1066</v>
      </c>
      <c r="E205" s="91" t="s">
        <v>1072</v>
      </c>
      <c r="F205" s="92">
        <v>2.49</v>
      </c>
      <c r="G205" s="93" t="s">
        <v>30</v>
      </c>
      <c r="H205" s="93" t="s">
        <v>30</v>
      </c>
      <c r="I205" s="94" t="s">
        <v>1078</v>
      </c>
      <c r="J205" s="94" t="s">
        <v>1078</v>
      </c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>
      <c r="A206" s="89"/>
      <c r="B206" s="91" t="s">
        <v>1078</v>
      </c>
      <c r="C206" s="91" t="s">
        <v>1074</v>
      </c>
      <c r="D206" s="91" t="s">
        <v>1066</v>
      </c>
      <c r="E206" s="91" t="s">
        <v>1072</v>
      </c>
      <c r="F206" s="92">
        <v>0.07</v>
      </c>
      <c r="G206" s="93" t="s">
        <v>30</v>
      </c>
      <c r="H206" s="93" t="s">
        <v>30</v>
      </c>
      <c r="I206" s="94" t="s">
        <v>1078</v>
      </c>
      <c r="J206" s="94" t="s">
        <v>1078</v>
      </c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>
      <c r="A207" s="89"/>
      <c r="B207" s="91" t="s">
        <v>1078</v>
      </c>
      <c r="C207" s="91" t="s">
        <v>1075</v>
      </c>
      <c r="D207" s="91" t="s">
        <v>1066</v>
      </c>
      <c r="E207" s="91" t="s">
        <v>1072</v>
      </c>
      <c r="F207" s="92">
        <v>0.12</v>
      </c>
      <c r="G207" s="93" t="s">
        <v>30</v>
      </c>
      <c r="H207" s="93" t="s">
        <v>30</v>
      </c>
      <c r="I207" s="94" t="s">
        <v>1078</v>
      </c>
      <c r="J207" s="94" t="s">
        <v>1078</v>
      </c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>
      <c r="A208" s="89"/>
      <c r="B208" s="91" t="s">
        <v>1078</v>
      </c>
      <c r="C208" s="91" t="s">
        <v>1073</v>
      </c>
      <c r="D208" s="91" t="s">
        <v>1066</v>
      </c>
      <c r="E208" s="91" t="s">
        <v>1072</v>
      </c>
      <c r="F208" s="92">
        <v>2.52</v>
      </c>
      <c r="G208" s="93" t="s">
        <v>30</v>
      </c>
      <c r="H208" s="93" t="s">
        <v>30</v>
      </c>
      <c r="I208" s="94" t="s">
        <v>1078</v>
      </c>
      <c r="J208" s="94" t="s">
        <v>1078</v>
      </c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>
      <c r="A209" s="89"/>
      <c r="B209" s="91" t="s">
        <v>1078</v>
      </c>
      <c r="C209" s="91" t="s">
        <v>1073</v>
      </c>
      <c r="D209" s="91" t="s">
        <v>1066</v>
      </c>
      <c r="E209" s="91" t="s">
        <v>1067</v>
      </c>
      <c r="F209" s="92">
        <v>1.39</v>
      </c>
      <c r="G209" s="93" t="s">
        <v>30</v>
      </c>
      <c r="H209" s="93" t="s">
        <v>30</v>
      </c>
      <c r="I209" s="94" t="s">
        <v>1078</v>
      </c>
      <c r="J209" s="94" t="s">
        <v>1078</v>
      </c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>
      <c r="A210" s="89"/>
      <c r="B210" s="91" t="s">
        <v>1078</v>
      </c>
      <c r="C210" s="91" t="s">
        <v>1074</v>
      </c>
      <c r="D210" s="91" t="s">
        <v>1066</v>
      </c>
      <c r="E210" s="91" t="s">
        <v>1067</v>
      </c>
      <c r="F210" s="92">
        <v>20.35</v>
      </c>
      <c r="G210" s="93" t="s">
        <v>30</v>
      </c>
      <c r="H210" s="93" t="s">
        <v>30</v>
      </c>
      <c r="I210" s="94" t="s">
        <v>1078</v>
      </c>
      <c r="J210" s="94" t="s">
        <v>1078</v>
      </c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>
      <c r="A211" s="89"/>
      <c r="B211" s="91" t="s">
        <v>1078</v>
      </c>
      <c r="C211" s="91" t="s">
        <v>1071</v>
      </c>
      <c r="D211" s="91" t="s">
        <v>1066</v>
      </c>
      <c r="E211" s="91" t="s">
        <v>1067</v>
      </c>
      <c r="F211" s="92">
        <v>213.26</v>
      </c>
      <c r="G211" s="93">
        <v>4.0</v>
      </c>
      <c r="H211" s="93">
        <v>53.315</v>
      </c>
      <c r="I211" s="94" t="s">
        <v>1078</v>
      </c>
      <c r="J211" s="94" t="s">
        <v>1078</v>
      </c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>
      <c r="A212" s="89"/>
      <c r="B212" s="91" t="s">
        <v>1078</v>
      </c>
      <c r="C212" s="91" t="s">
        <v>1075</v>
      </c>
      <c r="D212" s="91" t="s">
        <v>1066</v>
      </c>
      <c r="E212" s="91" t="s">
        <v>1067</v>
      </c>
      <c r="F212" s="92">
        <v>0.42</v>
      </c>
      <c r="G212" s="93" t="s">
        <v>30</v>
      </c>
      <c r="H212" s="93" t="s">
        <v>30</v>
      </c>
      <c r="I212" s="94" t="s">
        <v>1078</v>
      </c>
      <c r="J212" s="94" t="s">
        <v>1078</v>
      </c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>
      <c r="A213" s="89"/>
      <c r="B213" s="91" t="s">
        <v>1078</v>
      </c>
      <c r="C213" s="91" t="s">
        <v>1075</v>
      </c>
      <c r="D213" s="91" t="s">
        <v>1068</v>
      </c>
      <c r="E213" s="91" t="s">
        <v>1070</v>
      </c>
      <c r="F213" s="92">
        <v>1.41</v>
      </c>
      <c r="G213" s="93" t="s">
        <v>30</v>
      </c>
      <c r="H213" s="93" t="s">
        <v>30</v>
      </c>
      <c r="I213" s="94" t="s">
        <v>1078</v>
      </c>
      <c r="J213" s="94" t="s">
        <v>1078</v>
      </c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>
      <c r="A214" s="89"/>
      <c r="B214" s="91" t="s">
        <v>1078</v>
      </c>
      <c r="C214" s="91" t="s">
        <v>1074</v>
      </c>
      <c r="D214" s="91" t="s">
        <v>1068</v>
      </c>
      <c r="E214" s="91" t="s">
        <v>1070</v>
      </c>
      <c r="F214" s="92">
        <v>109.17</v>
      </c>
      <c r="G214" s="93">
        <v>1.0</v>
      </c>
      <c r="H214" s="93">
        <v>109.17</v>
      </c>
      <c r="I214" s="94" t="s">
        <v>1078</v>
      </c>
      <c r="J214" s="94" t="s">
        <v>1078</v>
      </c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>
      <c r="A215" s="89"/>
      <c r="B215" s="91" t="s">
        <v>1078</v>
      </c>
      <c r="C215" s="91" t="s">
        <v>1071</v>
      </c>
      <c r="D215" s="91" t="s">
        <v>1068</v>
      </c>
      <c r="E215" s="91" t="s">
        <v>1070</v>
      </c>
      <c r="F215" s="92">
        <v>366.86</v>
      </c>
      <c r="G215" s="93">
        <v>1.0</v>
      </c>
      <c r="H215" s="93">
        <v>366.86</v>
      </c>
      <c r="I215" s="94" t="s">
        <v>1078</v>
      </c>
      <c r="J215" s="94" t="s">
        <v>1078</v>
      </c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>
      <c r="A216" s="89"/>
      <c r="B216" s="91" t="s">
        <v>1078</v>
      </c>
      <c r="C216" s="91" t="s">
        <v>1073</v>
      </c>
      <c r="D216" s="91" t="s">
        <v>1068</v>
      </c>
      <c r="E216" s="91" t="s">
        <v>1070</v>
      </c>
      <c r="F216" s="92">
        <v>11.62</v>
      </c>
      <c r="G216" s="93" t="s">
        <v>30</v>
      </c>
      <c r="H216" s="93" t="s">
        <v>30</v>
      </c>
      <c r="I216" s="94" t="s">
        <v>1078</v>
      </c>
      <c r="J216" s="94" t="s">
        <v>1078</v>
      </c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>
      <c r="A217" s="89"/>
      <c r="B217" s="91" t="s">
        <v>1078</v>
      </c>
      <c r="C217" s="91" t="s">
        <v>1071</v>
      </c>
      <c r="D217" s="91" t="s">
        <v>1068</v>
      </c>
      <c r="E217" s="91" t="s">
        <v>1069</v>
      </c>
      <c r="F217" s="92">
        <v>1.06</v>
      </c>
      <c r="G217" s="93" t="s">
        <v>30</v>
      </c>
      <c r="H217" s="93" t="s">
        <v>30</v>
      </c>
      <c r="I217" s="94" t="s">
        <v>1078</v>
      </c>
      <c r="J217" s="94" t="s">
        <v>1078</v>
      </c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>
      <c r="A218" s="89"/>
      <c r="B218" s="91" t="s">
        <v>1078</v>
      </c>
      <c r="C218" s="91" t="s">
        <v>1075</v>
      </c>
      <c r="D218" s="91" t="s">
        <v>1068</v>
      </c>
      <c r="E218" s="91" t="s">
        <v>1069</v>
      </c>
      <c r="F218" s="92">
        <v>0.06</v>
      </c>
      <c r="G218" s="93" t="s">
        <v>30</v>
      </c>
      <c r="H218" s="93" t="s">
        <v>30</v>
      </c>
      <c r="I218" s="94" t="s">
        <v>1078</v>
      </c>
      <c r="J218" s="94" t="s">
        <v>1078</v>
      </c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>
      <c r="A219" s="89"/>
      <c r="B219" s="91" t="s">
        <v>1078</v>
      </c>
      <c r="C219" s="91" t="s">
        <v>1073</v>
      </c>
      <c r="D219" s="91" t="s">
        <v>1068</v>
      </c>
      <c r="E219" s="91" t="s">
        <v>1069</v>
      </c>
      <c r="F219" s="92">
        <v>0.65</v>
      </c>
      <c r="G219" s="93" t="s">
        <v>30</v>
      </c>
      <c r="H219" s="93" t="s">
        <v>30</v>
      </c>
      <c r="I219" s="94" t="s">
        <v>1078</v>
      </c>
      <c r="J219" s="94" t="s">
        <v>1078</v>
      </c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>
      <c r="A220" s="89"/>
      <c r="B220" s="91" t="s">
        <v>1078</v>
      </c>
      <c r="C220" s="91" t="s">
        <v>1077</v>
      </c>
      <c r="D220" s="91" t="s">
        <v>1066</v>
      </c>
      <c r="E220" s="91" t="s">
        <v>1067</v>
      </c>
      <c r="F220" s="92">
        <v>0.05</v>
      </c>
      <c r="G220" s="93" t="s">
        <v>30</v>
      </c>
      <c r="H220" s="93" t="s">
        <v>30</v>
      </c>
      <c r="I220" s="94" t="s">
        <v>1078</v>
      </c>
      <c r="J220" s="94" t="s">
        <v>1078</v>
      </c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>
      <c r="A221" s="89"/>
      <c r="B221" s="91" t="s">
        <v>1078</v>
      </c>
      <c r="C221" s="91" t="s">
        <v>1077</v>
      </c>
      <c r="D221" s="91" t="s">
        <v>1068</v>
      </c>
      <c r="E221" s="91" t="s">
        <v>1070</v>
      </c>
      <c r="F221" s="92">
        <v>78.12</v>
      </c>
      <c r="G221" s="93">
        <v>1.0</v>
      </c>
      <c r="H221" s="93">
        <v>78.12</v>
      </c>
      <c r="I221" s="94" t="s">
        <v>1078</v>
      </c>
      <c r="J221" s="94" t="s">
        <v>1078</v>
      </c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>
      <c r="A222" s="89"/>
      <c r="B222" s="91" t="s">
        <v>1078</v>
      </c>
      <c r="C222" s="91" t="s">
        <v>1076</v>
      </c>
      <c r="D222" s="91" t="s">
        <v>1068</v>
      </c>
      <c r="E222" s="91" t="s">
        <v>1070</v>
      </c>
      <c r="F222" s="92">
        <v>13.42</v>
      </c>
      <c r="G222" s="93" t="s">
        <v>30</v>
      </c>
      <c r="H222" s="93" t="s">
        <v>30</v>
      </c>
      <c r="I222" s="94" t="s">
        <v>1078</v>
      </c>
      <c r="J222" s="94" t="s">
        <v>1078</v>
      </c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>
      <c r="A223" s="89"/>
      <c r="B223" s="91" t="s">
        <v>1078</v>
      </c>
      <c r="C223" s="91" t="s">
        <v>34</v>
      </c>
      <c r="D223" s="91" t="s">
        <v>69</v>
      </c>
      <c r="E223" s="91" t="s">
        <v>70</v>
      </c>
      <c r="F223" s="92">
        <v>6.54</v>
      </c>
      <c r="G223" s="93">
        <v>6.0</v>
      </c>
      <c r="H223" s="93">
        <v>1.09</v>
      </c>
      <c r="I223" s="94" t="s">
        <v>1078</v>
      </c>
      <c r="J223" s="94" t="s">
        <v>1078</v>
      </c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>
      <c r="A224" s="89"/>
      <c r="B224" s="91" t="s">
        <v>1078</v>
      </c>
      <c r="C224" s="91" t="s">
        <v>32</v>
      </c>
      <c r="D224" s="91" t="s">
        <v>69</v>
      </c>
      <c r="E224" s="91" t="s">
        <v>70</v>
      </c>
      <c r="F224" s="92">
        <v>15.23</v>
      </c>
      <c r="G224" s="93">
        <v>12.0</v>
      </c>
      <c r="H224" s="93">
        <v>1.26916667</v>
      </c>
      <c r="I224" s="94" t="s">
        <v>1078</v>
      </c>
      <c r="J224" s="94" t="s">
        <v>1078</v>
      </c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>
      <c r="A225" s="89"/>
      <c r="B225" s="91" t="s">
        <v>1078</v>
      </c>
      <c r="C225" s="91" t="s">
        <v>29</v>
      </c>
      <c r="D225" s="91" t="s">
        <v>69</v>
      </c>
      <c r="E225" s="91" t="s">
        <v>70</v>
      </c>
      <c r="F225" s="92">
        <v>17.8</v>
      </c>
      <c r="G225" s="93" t="s">
        <v>30</v>
      </c>
      <c r="H225" s="93" t="s">
        <v>30</v>
      </c>
      <c r="I225" s="94" t="s">
        <v>1078</v>
      </c>
      <c r="J225" s="94" t="s">
        <v>1078</v>
      </c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>
      <c r="A226" s="89"/>
      <c r="B226" s="91" t="s">
        <v>1078</v>
      </c>
      <c r="C226" s="91" t="s">
        <v>28</v>
      </c>
      <c r="D226" s="91" t="s">
        <v>69</v>
      </c>
      <c r="E226" s="91" t="s">
        <v>70</v>
      </c>
      <c r="F226" s="92">
        <v>32.47</v>
      </c>
      <c r="G226" s="93">
        <v>35.0</v>
      </c>
      <c r="H226" s="93">
        <v>0.92771429</v>
      </c>
      <c r="I226" s="94" t="s">
        <v>1078</v>
      </c>
      <c r="J226" s="94" t="s">
        <v>1078</v>
      </c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>
      <c r="A227" s="89"/>
      <c r="B227" s="91" t="s">
        <v>1078</v>
      </c>
      <c r="C227" s="91" t="s">
        <v>35</v>
      </c>
      <c r="D227" s="91" t="s">
        <v>69</v>
      </c>
      <c r="E227" s="91" t="s">
        <v>70</v>
      </c>
      <c r="F227" s="92">
        <v>8.38</v>
      </c>
      <c r="G227" s="93" t="s">
        <v>30</v>
      </c>
      <c r="H227" s="93" t="s">
        <v>30</v>
      </c>
      <c r="I227" s="94" t="s">
        <v>1078</v>
      </c>
      <c r="J227" s="94" t="s">
        <v>1078</v>
      </c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>
      <c r="A228" s="89"/>
      <c r="B228" s="91" t="s">
        <v>1078</v>
      </c>
      <c r="C228" s="91" t="s">
        <v>27</v>
      </c>
      <c r="D228" s="91" t="s">
        <v>69</v>
      </c>
      <c r="E228" s="91" t="s">
        <v>70</v>
      </c>
      <c r="F228" s="92">
        <v>7.42</v>
      </c>
      <c r="G228" s="93">
        <v>11.0</v>
      </c>
      <c r="H228" s="93">
        <v>0.67454545</v>
      </c>
      <c r="I228" s="94" t="s">
        <v>1078</v>
      </c>
      <c r="J228" s="94" t="s">
        <v>1078</v>
      </c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>
      <c r="A229" s="89"/>
      <c r="B229" s="91" t="s">
        <v>1078</v>
      </c>
      <c r="C229" s="91" t="s">
        <v>53</v>
      </c>
      <c r="D229" s="91" t="s">
        <v>69</v>
      </c>
      <c r="E229" s="91" t="s">
        <v>70</v>
      </c>
      <c r="F229" s="92">
        <v>0.0</v>
      </c>
      <c r="G229" s="93" t="s">
        <v>30</v>
      </c>
      <c r="H229" s="93" t="s">
        <v>30</v>
      </c>
      <c r="I229" s="94" t="s">
        <v>1078</v>
      </c>
      <c r="J229" s="94" t="s">
        <v>1078</v>
      </c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>
      <c r="A230" s="89"/>
      <c r="B230" s="91" t="s">
        <v>1078</v>
      </c>
      <c r="C230" s="91" t="s">
        <v>42</v>
      </c>
      <c r="D230" s="91" t="s">
        <v>99</v>
      </c>
      <c r="E230" s="91" t="s">
        <v>70</v>
      </c>
      <c r="F230" s="92">
        <v>9.57</v>
      </c>
      <c r="G230" s="93">
        <v>4.0</v>
      </c>
      <c r="H230" s="93">
        <v>2.3925</v>
      </c>
      <c r="I230" s="94" t="s">
        <v>1078</v>
      </c>
      <c r="J230" s="94" t="s">
        <v>1078</v>
      </c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>
      <c r="A231" s="89"/>
      <c r="B231" s="91" t="s">
        <v>1078</v>
      </c>
      <c r="C231" s="91" t="s">
        <v>38</v>
      </c>
      <c r="D231" s="91" t="s">
        <v>99</v>
      </c>
      <c r="E231" s="91" t="s">
        <v>70</v>
      </c>
      <c r="F231" s="92">
        <v>0.19</v>
      </c>
      <c r="G231" s="93" t="s">
        <v>30</v>
      </c>
      <c r="H231" s="93" t="s">
        <v>30</v>
      </c>
      <c r="I231" s="94" t="s">
        <v>1078</v>
      </c>
      <c r="J231" s="94" t="s">
        <v>1078</v>
      </c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>
      <c r="A232" s="89"/>
      <c r="B232" s="91" t="s">
        <v>1078</v>
      </c>
      <c r="C232" s="91" t="s">
        <v>57</v>
      </c>
      <c r="D232" s="91" t="s">
        <v>99</v>
      </c>
      <c r="E232" s="91" t="s">
        <v>70</v>
      </c>
      <c r="F232" s="92">
        <v>0.33</v>
      </c>
      <c r="G232" s="93" t="s">
        <v>30</v>
      </c>
      <c r="H232" s="93" t="s">
        <v>30</v>
      </c>
      <c r="I232" s="94" t="s">
        <v>1078</v>
      </c>
      <c r="J232" s="94" t="s">
        <v>1078</v>
      </c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>
      <c r="A233" s="89"/>
      <c r="B233" s="91" t="s">
        <v>1078</v>
      </c>
      <c r="C233" s="91" t="s">
        <v>47</v>
      </c>
      <c r="D233" s="91" t="s">
        <v>99</v>
      </c>
      <c r="E233" s="91" t="s">
        <v>70</v>
      </c>
      <c r="F233" s="92">
        <v>0.06</v>
      </c>
      <c r="G233" s="93" t="s">
        <v>30</v>
      </c>
      <c r="H233" s="93" t="s">
        <v>30</v>
      </c>
      <c r="I233" s="94" t="s">
        <v>1078</v>
      </c>
      <c r="J233" s="94" t="s">
        <v>1078</v>
      </c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>
      <c r="A234" s="89"/>
      <c r="B234" s="91" t="s">
        <v>1078</v>
      </c>
      <c r="C234" s="91" t="s">
        <v>51</v>
      </c>
      <c r="D234" s="91" t="s">
        <v>99</v>
      </c>
      <c r="E234" s="91" t="s">
        <v>70</v>
      </c>
      <c r="F234" s="92">
        <v>0.12</v>
      </c>
      <c r="G234" s="93" t="s">
        <v>30</v>
      </c>
      <c r="H234" s="93" t="s">
        <v>30</v>
      </c>
      <c r="I234" s="94" t="s">
        <v>1078</v>
      </c>
      <c r="J234" s="94" t="s">
        <v>1078</v>
      </c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>
      <c r="A235" s="89"/>
      <c r="B235" s="91" t="s">
        <v>1078</v>
      </c>
      <c r="C235" s="91" t="s">
        <v>36</v>
      </c>
      <c r="D235" s="91" t="s">
        <v>99</v>
      </c>
      <c r="E235" s="91" t="s">
        <v>70</v>
      </c>
      <c r="F235" s="92">
        <v>0.19</v>
      </c>
      <c r="G235" s="93" t="s">
        <v>30</v>
      </c>
      <c r="H235" s="93" t="s">
        <v>30</v>
      </c>
      <c r="I235" s="94" t="s">
        <v>1078</v>
      </c>
      <c r="J235" s="94" t="s">
        <v>1078</v>
      </c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>
      <c r="A236" s="89"/>
      <c r="B236" s="91" t="s">
        <v>1078</v>
      </c>
      <c r="C236" s="91" t="s">
        <v>26</v>
      </c>
      <c r="D236" s="91" t="s">
        <v>99</v>
      </c>
      <c r="E236" s="91" t="s">
        <v>70</v>
      </c>
      <c r="F236" s="92">
        <v>0.26</v>
      </c>
      <c r="G236" s="93" t="s">
        <v>30</v>
      </c>
      <c r="H236" s="93" t="s">
        <v>30</v>
      </c>
      <c r="I236" s="94" t="s">
        <v>1078</v>
      </c>
      <c r="J236" s="94" t="s">
        <v>1078</v>
      </c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>
      <c r="A237" s="89"/>
      <c r="B237" s="91" t="s">
        <v>1078</v>
      </c>
      <c r="C237" s="91" t="s">
        <v>26</v>
      </c>
      <c r="D237" s="91" t="s">
        <v>99</v>
      </c>
      <c r="E237" s="91" t="s">
        <v>70</v>
      </c>
      <c r="F237" s="92">
        <v>5.2</v>
      </c>
      <c r="G237" s="93">
        <v>4.0</v>
      </c>
      <c r="H237" s="93">
        <v>1.3</v>
      </c>
      <c r="I237" s="94" t="s">
        <v>1078</v>
      </c>
      <c r="J237" s="94" t="s">
        <v>1078</v>
      </c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>
      <c r="A238" s="89"/>
      <c r="B238" s="91" t="s">
        <v>1078</v>
      </c>
      <c r="C238" s="91" t="s">
        <v>41</v>
      </c>
      <c r="D238" s="91" t="s">
        <v>69</v>
      </c>
      <c r="E238" s="91" t="s">
        <v>70</v>
      </c>
      <c r="F238" s="92">
        <v>1.81</v>
      </c>
      <c r="G238" s="93">
        <v>2.0</v>
      </c>
      <c r="H238" s="93">
        <v>0.905</v>
      </c>
      <c r="I238" s="94" t="s">
        <v>1078</v>
      </c>
      <c r="J238" s="94" t="s">
        <v>1078</v>
      </c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>
      <c r="A239" s="89"/>
      <c r="B239" s="91" t="s">
        <v>1078</v>
      </c>
      <c r="C239" s="91" t="s">
        <v>29</v>
      </c>
      <c r="D239" s="91" t="s">
        <v>141</v>
      </c>
      <c r="E239" s="91" t="s">
        <v>70</v>
      </c>
      <c r="F239" s="92">
        <v>31.23</v>
      </c>
      <c r="G239" s="93">
        <v>13.0</v>
      </c>
      <c r="H239" s="93">
        <v>2.40230769</v>
      </c>
      <c r="I239" s="94" t="s">
        <v>1078</v>
      </c>
      <c r="J239" s="94" t="s">
        <v>1078</v>
      </c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>
      <c r="A240" s="89"/>
      <c r="B240" s="91" t="s">
        <v>1078</v>
      </c>
      <c r="C240" s="91" t="s">
        <v>42</v>
      </c>
      <c r="D240" s="91" t="s">
        <v>141</v>
      </c>
      <c r="E240" s="91" t="s">
        <v>70</v>
      </c>
      <c r="F240" s="92">
        <v>2.39</v>
      </c>
      <c r="G240" s="93" t="s">
        <v>30</v>
      </c>
      <c r="H240" s="93" t="s">
        <v>30</v>
      </c>
      <c r="I240" s="94" t="s">
        <v>1078</v>
      </c>
      <c r="J240" s="94" t="s">
        <v>1078</v>
      </c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>
      <c r="A241" s="89"/>
      <c r="B241" s="91" t="s">
        <v>1078</v>
      </c>
      <c r="C241" s="91" t="s">
        <v>37</v>
      </c>
      <c r="D241" s="91" t="s">
        <v>141</v>
      </c>
      <c r="E241" s="91" t="s">
        <v>70</v>
      </c>
      <c r="F241" s="92">
        <v>5.7</v>
      </c>
      <c r="G241" s="93">
        <v>6.0</v>
      </c>
      <c r="H241" s="93">
        <v>0.95</v>
      </c>
      <c r="I241" s="94" t="s">
        <v>1078</v>
      </c>
      <c r="J241" s="94" t="s">
        <v>1078</v>
      </c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>
      <c r="A242" s="89"/>
      <c r="B242" s="91" t="s">
        <v>1078</v>
      </c>
      <c r="C242" s="91" t="s">
        <v>32</v>
      </c>
      <c r="D242" s="91" t="s">
        <v>69</v>
      </c>
      <c r="E242" s="91" t="s">
        <v>392</v>
      </c>
      <c r="F242" s="92">
        <v>48.33</v>
      </c>
      <c r="G242" s="93">
        <v>21.0</v>
      </c>
      <c r="H242" s="93">
        <v>2.30142857</v>
      </c>
      <c r="I242" s="94" t="s">
        <v>1078</v>
      </c>
      <c r="J242" s="94" t="s">
        <v>1078</v>
      </c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>
      <c r="A243" s="89"/>
      <c r="B243" s="91" t="s">
        <v>1078</v>
      </c>
      <c r="C243" s="91" t="s">
        <v>27</v>
      </c>
      <c r="D243" s="91" t="s">
        <v>69</v>
      </c>
      <c r="E243" s="91" t="s">
        <v>392</v>
      </c>
      <c r="F243" s="92">
        <v>110.04</v>
      </c>
      <c r="G243" s="93">
        <v>119.0</v>
      </c>
      <c r="H243" s="93">
        <v>0.92470588</v>
      </c>
      <c r="I243" s="94" t="s">
        <v>1078</v>
      </c>
      <c r="J243" s="94" t="s">
        <v>1078</v>
      </c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>
      <c r="A244" s="89"/>
      <c r="B244" s="91" t="s">
        <v>1078</v>
      </c>
      <c r="C244" s="91" t="s">
        <v>41</v>
      </c>
      <c r="D244" s="91" t="s">
        <v>69</v>
      </c>
      <c r="E244" s="91" t="s">
        <v>392</v>
      </c>
      <c r="F244" s="92">
        <v>24.57</v>
      </c>
      <c r="G244" s="93">
        <v>9.0</v>
      </c>
      <c r="H244" s="93">
        <v>2.73</v>
      </c>
      <c r="I244" s="94" t="s">
        <v>1078</v>
      </c>
      <c r="J244" s="94" t="s">
        <v>1078</v>
      </c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>
      <c r="A245" s="89"/>
      <c r="B245" s="91" t="s">
        <v>1078</v>
      </c>
      <c r="C245" s="91" t="s">
        <v>34</v>
      </c>
      <c r="D245" s="91" t="s">
        <v>69</v>
      </c>
      <c r="E245" s="91" t="s">
        <v>392</v>
      </c>
      <c r="F245" s="92">
        <v>46.46</v>
      </c>
      <c r="G245" s="93">
        <v>28.0</v>
      </c>
      <c r="H245" s="93">
        <v>1.65928571</v>
      </c>
      <c r="I245" s="94" t="s">
        <v>1078</v>
      </c>
      <c r="J245" s="94" t="s">
        <v>1078</v>
      </c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>
      <c r="A246" s="89"/>
      <c r="B246" s="91" t="s">
        <v>1078</v>
      </c>
      <c r="C246" s="91" t="s">
        <v>35</v>
      </c>
      <c r="D246" s="91" t="s">
        <v>69</v>
      </c>
      <c r="E246" s="91" t="s">
        <v>392</v>
      </c>
      <c r="F246" s="92">
        <v>6.54</v>
      </c>
      <c r="G246" s="93" t="s">
        <v>30</v>
      </c>
      <c r="H246" s="93" t="s">
        <v>30</v>
      </c>
      <c r="I246" s="94" t="s">
        <v>1078</v>
      </c>
      <c r="J246" s="94" t="s">
        <v>1078</v>
      </c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>
      <c r="A247" s="89"/>
      <c r="B247" s="91" t="s">
        <v>1078</v>
      </c>
      <c r="C247" s="91" t="s">
        <v>28</v>
      </c>
      <c r="D247" s="91" t="s">
        <v>69</v>
      </c>
      <c r="E247" s="91" t="s">
        <v>392</v>
      </c>
      <c r="F247" s="92">
        <v>65.11</v>
      </c>
      <c r="G247" s="93">
        <v>24.0</v>
      </c>
      <c r="H247" s="93">
        <v>2.71291667</v>
      </c>
      <c r="I247" s="94" t="s">
        <v>1078</v>
      </c>
      <c r="J247" s="94" t="s">
        <v>1078</v>
      </c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>
      <c r="A248" s="89"/>
      <c r="B248" s="91" t="s">
        <v>1078</v>
      </c>
      <c r="C248" s="91" t="s">
        <v>29</v>
      </c>
      <c r="D248" s="91" t="s">
        <v>69</v>
      </c>
      <c r="E248" s="91" t="s">
        <v>392</v>
      </c>
      <c r="F248" s="92">
        <v>85.5</v>
      </c>
      <c r="G248" s="93" t="s">
        <v>30</v>
      </c>
      <c r="H248" s="93" t="s">
        <v>30</v>
      </c>
      <c r="I248" s="94" t="s">
        <v>1078</v>
      </c>
      <c r="J248" s="94" t="s">
        <v>1078</v>
      </c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>
      <c r="A249" s="89"/>
      <c r="B249" s="91" t="s">
        <v>1078</v>
      </c>
      <c r="C249" s="91" t="s">
        <v>53</v>
      </c>
      <c r="D249" s="91" t="s">
        <v>69</v>
      </c>
      <c r="E249" s="91" t="s">
        <v>392</v>
      </c>
      <c r="F249" s="92">
        <v>1.51</v>
      </c>
      <c r="G249" s="93">
        <v>1.0</v>
      </c>
      <c r="H249" s="93">
        <v>1.51</v>
      </c>
      <c r="I249" s="94" t="s">
        <v>1078</v>
      </c>
      <c r="J249" s="94" t="s">
        <v>1078</v>
      </c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>
      <c r="A250" s="89"/>
      <c r="B250" s="91" t="s">
        <v>1078</v>
      </c>
      <c r="C250" s="91" t="s">
        <v>27</v>
      </c>
      <c r="D250" s="91" t="s">
        <v>69</v>
      </c>
      <c r="E250" s="91" t="s">
        <v>178</v>
      </c>
      <c r="F250" s="92">
        <v>7.88</v>
      </c>
      <c r="G250" s="93">
        <v>1.0</v>
      </c>
      <c r="H250" s="93">
        <v>7.88</v>
      </c>
      <c r="I250" s="94" t="s">
        <v>1078</v>
      </c>
      <c r="J250" s="94" t="s">
        <v>1078</v>
      </c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>
      <c r="A251" s="89"/>
      <c r="B251" s="91" t="s">
        <v>1078</v>
      </c>
      <c r="C251" s="91" t="s">
        <v>28</v>
      </c>
      <c r="D251" s="91" t="s">
        <v>69</v>
      </c>
      <c r="E251" s="91" t="s">
        <v>178</v>
      </c>
      <c r="F251" s="92">
        <v>9.0</v>
      </c>
      <c r="G251" s="93">
        <v>1.0</v>
      </c>
      <c r="H251" s="93">
        <v>9.0</v>
      </c>
      <c r="I251" s="94" t="s">
        <v>1078</v>
      </c>
      <c r="J251" s="94" t="s">
        <v>1078</v>
      </c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>
      <c r="A252" s="89"/>
      <c r="B252" s="91" t="s">
        <v>1078</v>
      </c>
      <c r="C252" s="91" t="s">
        <v>32</v>
      </c>
      <c r="D252" s="91" t="s">
        <v>69</v>
      </c>
      <c r="E252" s="91" t="s">
        <v>178</v>
      </c>
      <c r="F252" s="92">
        <v>1.15</v>
      </c>
      <c r="G252" s="93">
        <v>1.0</v>
      </c>
      <c r="H252" s="93">
        <v>1.15</v>
      </c>
      <c r="I252" s="94" t="s">
        <v>1078</v>
      </c>
      <c r="J252" s="94" t="s">
        <v>1078</v>
      </c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>
      <c r="A253" s="89"/>
      <c r="B253" s="91" t="s">
        <v>1078</v>
      </c>
      <c r="C253" s="91" t="s">
        <v>41</v>
      </c>
      <c r="D253" s="91" t="s">
        <v>69</v>
      </c>
      <c r="E253" s="91" t="s">
        <v>178</v>
      </c>
      <c r="F253" s="92">
        <v>0.87</v>
      </c>
      <c r="G253" s="93" t="s">
        <v>30</v>
      </c>
      <c r="H253" s="93" t="s">
        <v>30</v>
      </c>
      <c r="I253" s="94" t="s">
        <v>1078</v>
      </c>
      <c r="J253" s="94" t="s">
        <v>1078</v>
      </c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>
      <c r="A254" s="89"/>
      <c r="B254" s="91" t="s">
        <v>1078</v>
      </c>
      <c r="C254" s="91" t="s">
        <v>29</v>
      </c>
      <c r="D254" s="91" t="s">
        <v>69</v>
      </c>
      <c r="E254" s="91" t="s">
        <v>178</v>
      </c>
      <c r="F254" s="92">
        <v>4.69</v>
      </c>
      <c r="G254" s="93" t="s">
        <v>30</v>
      </c>
      <c r="H254" s="93" t="s">
        <v>30</v>
      </c>
      <c r="I254" s="94" t="s">
        <v>1078</v>
      </c>
      <c r="J254" s="94" t="s">
        <v>1078</v>
      </c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>
      <c r="A255" s="89"/>
      <c r="B255" s="91" t="s">
        <v>1078</v>
      </c>
      <c r="C255" s="91" t="s">
        <v>35</v>
      </c>
      <c r="D255" s="91" t="s">
        <v>69</v>
      </c>
      <c r="E255" s="91" t="s">
        <v>178</v>
      </c>
      <c r="F255" s="92">
        <v>1.14</v>
      </c>
      <c r="G255" s="93" t="s">
        <v>30</v>
      </c>
      <c r="H255" s="93" t="s">
        <v>30</v>
      </c>
      <c r="I255" s="94" t="s">
        <v>1078</v>
      </c>
      <c r="J255" s="94" t="s">
        <v>1078</v>
      </c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>
      <c r="A256" s="89"/>
      <c r="B256" s="91" t="s">
        <v>1078</v>
      </c>
      <c r="C256" s="91" t="s">
        <v>53</v>
      </c>
      <c r="D256" s="91" t="s">
        <v>69</v>
      </c>
      <c r="E256" s="91" t="s">
        <v>178</v>
      </c>
      <c r="F256" s="92">
        <v>0.0</v>
      </c>
      <c r="G256" s="93" t="s">
        <v>30</v>
      </c>
      <c r="H256" s="93" t="s">
        <v>30</v>
      </c>
      <c r="I256" s="94" t="s">
        <v>1078</v>
      </c>
      <c r="J256" s="94" t="s">
        <v>1078</v>
      </c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>
      <c r="A257" s="89"/>
      <c r="B257" s="91" t="s">
        <v>1078</v>
      </c>
      <c r="C257" s="91" t="s">
        <v>34</v>
      </c>
      <c r="D257" s="91" t="s">
        <v>69</v>
      </c>
      <c r="E257" s="91" t="s">
        <v>178</v>
      </c>
      <c r="F257" s="92">
        <v>1.62</v>
      </c>
      <c r="G257" s="93">
        <v>1.0</v>
      </c>
      <c r="H257" s="93">
        <v>1.62</v>
      </c>
      <c r="I257" s="94" t="s">
        <v>1078</v>
      </c>
      <c r="J257" s="94" t="s">
        <v>1078</v>
      </c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>
      <c r="A258" s="89"/>
      <c r="B258" s="91" t="s">
        <v>1078</v>
      </c>
      <c r="C258" s="91" t="s">
        <v>32</v>
      </c>
      <c r="D258" s="91" t="s">
        <v>69</v>
      </c>
      <c r="E258" s="91" t="s">
        <v>201</v>
      </c>
      <c r="F258" s="92">
        <v>0.08</v>
      </c>
      <c r="G258" s="93" t="s">
        <v>30</v>
      </c>
      <c r="H258" s="93" t="s">
        <v>30</v>
      </c>
      <c r="I258" s="94" t="s">
        <v>1078</v>
      </c>
      <c r="J258" s="94" t="s">
        <v>1078</v>
      </c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>
      <c r="A259" s="89"/>
      <c r="B259" s="91" t="s">
        <v>1078</v>
      </c>
      <c r="C259" s="91" t="s">
        <v>27</v>
      </c>
      <c r="D259" s="91" t="s">
        <v>69</v>
      </c>
      <c r="E259" s="91" t="s">
        <v>201</v>
      </c>
      <c r="F259" s="92">
        <v>56.58</v>
      </c>
      <c r="G259" s="93">
        <v>61.0</v>
      </c>
      <c r="H259" s="93">
        <v>0.92754098</v>
      </c>
      <c r="I259" s="94" t="s">
        <v>1078</v>
      </c>
      <c r="J259" s="94" t="s">
        <v>1078</v>
      </c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>
      <c r="A260" s="89"/>
      <c r="B260" s="91" t="s">
        <v>1078</v>
      </c>
      <c r="C260" s="91" t="s">
        <v>28</v>
      </c>
      <c r="D260" s="91" t="s">
        <v>69</v>
      </c>
      <c r="E260" s="91" t="s">
        <v>201</v>
      </c>
      <c r="F260" s="92">
        <v>2.53</v>
      </c>
      <c r="G260" s="93" t="s">
        <v>30</v>
      </c>
      <c r="H260" s="93" t="s">
        <v>30</v>
      </c>
      <c r="I260" s="94" t="s">
        <v>1078</v>
      </c>
      <c r="J260" s="94" t="s">
        <v>1078</v>
      </c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>
      <c r="A261" s="89"/>
      <c r="B261" s="91" t="s">
        <v>1078</v>
      </c>
      <c r="C261" s="91" t="s">
        <v>34</v>
      </c>
      <c r="D261" s="91" t="s">
        <v>69</v>
      </c>
      <c r="E261" s="91" t="s">
        <v>201</v>
      </c>
      <c r="F261" s="92">
        <v>1.18</v>
      </c>
      <c r="G261" s="93" t="s">
        <v>30</v>
      </c>
      <c r="H261" s="93" t="s">
        <v>30</v>
      </c>
      <c r="I261" s="94" t="s">
        <v>1078</v>
      </c>
      <c r="J261" s="94" t="s">
        <v>1078</v>
      </c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>
      <c r="A262" s="89"/>
      <c r="B262" s="91" t="s">
        <v>1078</v>
      </c>
      <c r="C262" s="91" t="s">
        <v>41</v>
      </c>
      <c r="D262" s="91" t="s">
        <v>69</v>
      </c>
      <c r="E262" s="91" t="s">
        <v>201</v>
      </c>
      <c r="F262" s="92">
        <v>2.06</v>
      </c>
      <c r="G262" s="93">
        <v>1.0</v>
      </c>
      <c r="H262" s="93">
        <v>2.06</v>
      </c>
      <c r="I262" s="94" t="s">
        <v>1078</v>
      </c>
      <c r="J262" s="94" t="s">
        <v>1078</v>
      </c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>
      <c r="A263" s="89"/>
      <c r="B263" s="91" t="s">
        <v>1078</v>
      </c>
      <c r="C263" s="91" t="s">
        <v>29</v>
      </c>
      <c r="D263" s="91" t="s">
        <v>69</v>
      </c>
      <c r="E263" s="91" t="s">
        <v>201</v>
      </c>
      <c r="F263" s="92">
        <v>0.3</v>
      </c>
      <c r="G263" s="93" t="s">
        <v>30</v>
      </c>
      <c r="H263" s="93" t="s">
        <v>30</v>
      </c>
      <c r="I263" s="94" t="s">
        <v>1078</v>
      </c>
      <c r="J263" s="94" t="s">
        <v>1078</v>
      </c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>
      <c r="A264" s="89"/>
      <c r="B264" s="91" t="s">
        <v>1078</v>
      </c>
      <c r="C264" s="91" t="s">
        <v>35</v>
      </c>
      <c r="D264" s="91" t="s">
        <v>69</v>
      </c>
      <c r="E264" s="91" t="s">
        <v>201</v>
      </c>
      <c r="F264" s="92">
        <v>0.38</v>
      </c>
      <c r="G264" s="93" t="s">
        <v>30</v>
      </c>
      <c r="H264" s="93" t="s">
        <v>30</v>
      </c>
      <c r="I264" s="94" t="s">
        <v>1078</v>
      </c>
      <c r="J264" s="94" t="s">
        <v>1078</v>
      </c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>
      <c r="A265" s="89"/>
      <c r="B265" s="91" t="s">
        <v>1078</v>
      </c>
      <c r="C265" s="91" t="s">
        <v>53</v>
      </c>
      <c r="D265" s="91" t="s">
        <v>69</v>
      </c>
      <c r="E265" s="91" t="s">
        <v>284</v>
      </c>
      <c r="F265" s="92">
        <v>8.15</v>
      </c>
      <c r="G265" s="93">
        <v>5.0</v>
      </c>
      <c r="H265" s="93">
        <v>1.63</v>
      </c>
      <c r="I265" s="94" t="s">
        <v>1078</v>
      </c>
      <c r="J265" s="94" t="s">
        <v>1078</v>
      </c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>
      <c r="A266" s="89"/>
      <c r="B266" s="91" t="s">
        <v>1078</v>
      </c>
      <c r="C266" s="91" t="s">
        <v>27</v>
      </c>
      <c r="D266" s="91" t="s">
        <v>69</v>
      </c>
      <c r="E266" s="91" t="s">
        <v>284</v>
      </c>
      <c r="F266" s="92">
        <v>845.3</v>
      </c>
      <c r="G266" s="93">
        <v>949.0</v>
      </c>
      <c r="H266" s="93">
        <v>0.89072708</v>
      </c>
      <c r="I266" s="94" t="s">
        <v>1078</v>
      </c>
      <c r="J266" s="94" t="s">
        <v>1078</v>
      </c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>
      <c r="A267" s="89"/>
      <c r="B267" s="91" t="s">
        <v>1078</v>
      </c>
      <c r="C267" s="91" t="s">
        <v>32</v>
      </c>
      <c r="D267" s="91" t="s">
        <v>69</v>
      </c>
      <c r="E267" s="91" t="s">
        <v>284</v>
      </c>
      <c r="F267" s="92">
        <v>120.66</v>
      </c>
      <c r="G267" s="93">
        <v>70.0</v>
      </c>
      <c r="H267" s="93">
        <v>1.72371429</v>
      </c>
      <c r="I267" s="94" t="s">
        <v>1078</v>
      </c>
      <c r="J267" s="94" t="s">
        <v>1078</v>
      </c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>
      <c r="A268" s="89"/>
      <c r="B268" s="91" t="s">
        <v>1078</v>
      </c>
      <c r="C268" s="91" t="s">
        <v>41</v>
      </c>
      <c r="D268" s="91" t="s">
        <v>69</v>
      </c>
      <c r="E268" s="91" t="s">
        <v>284</v>
      </c>
      <c r="F268" s="92">
        <v>56.52</v>
      </c>
      <c r="G268" s="93">
        <v>30.0</v>
      </c>
      <c r="H268" s="93">
        <v>1.884</v>
      </c>
      <c r="I268" s="94" t="s">
        <v>1078</v>
      </c>
      <c r="J268" s="94" t="s">
        <v>1078</v>
      </c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>
      <c r="A269" s="89"/>
      <c r="B269" s="91" t="s">
        <v>1078</v>
      </c>
      <c r="C269" s="91" t="s">
        <v>29</v>
      </c>
      <c r="D269" s="91" t="s">
        <v>69</v>
      </c>
      <c r="E269" s="91" t="s">
        <v>284</v>
      </c>
      <c r="F269" s="92">
        <v>718.89</v>
      </c>
      <c r="G269" s="93">
        <v>5.0</v>
      </c>
      <c r="H269" s="93">
        <v>143.778</v>
      </c>
      <c r="I269" s="94" t="s">
        <v>1078</v>
      </c>
      <c r="J269" s="94" t="s">
        <v>1078</v>
      </c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>
      <c r="A270" s="89"/>
      <c r="B270" s="91" t="s">
        <v>1078</v>
      </c>
      <c r="C270" s="91" t="s">
        <v>28</v>
      </c>
      <c r="D270" s="91" t="s">
        <v>69</v>
      </c>
      <c r="E270" s="91" t="s">
        <v>284</v>
      </c>
      <c r="F270" s="92">
        <v>296.1</v>
      </c>
      <c r="G270" s="93">
        <v>152.0</v>
      </c>
      <c r="H270" s="93">
        <v>1.94802632</v>
      </c>
      <c r="I270" s="94" t="s">
        <v>1078</v>
      </c>
      <c r="J270" s="94" t="s">
        <v>1078</v>
      </c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>
      <c r="A271" s="89"/>
      <c r="B271" s="91" t="s">
        <v>1078</v>
      </c>
      <c r="C271" s="91" t="s">
        <v>34</v>
      </c>
      <c r="D271" s="91" t="s">
        <v>69</v>
      </c>
      <c r="E271" s="91" t="s">
        <v>284</v>
      </c>
      <c r="F271" s="92">
        <v>59.82</v>
      </c>
      <c r="G271" s="93">
        <v>22.0</v>
      </c>
      <c r="H271" s="93">
        <v>2.71909091</v>
      </c>
      <c r="I271" s="94" t="s">
        <v>1078</v>
      </c>
      <c r="J271" s="94" t="s">
        <v>1078</v>
      </c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>
      <c r="A272" s="89"/>
      <c r="B272" s="91" t="s">
        <v>1078</v>
      </c>
      <c r="C272" s="91" t="s">
        <v>35</v>
      </c>
      <c r="D272" s="91" t="s">
        <v>69</v>
      </c>
      <c r="E272" s="91" t="s">
        <v>284</v>
      </c>
      <c r="F272" s="92">
        <v>38.4</v>
      </c>
      <c r="G272" s="93">
        <v>1.0</v>
      </c>
      <c r="H272" s="93">
        <v>38.4</v>
      </c>
      <c r="I272" s="94" t="s">
        <v>1078</v>
      </c>
      <c r="J272" s="94" t="s">
        <v>1078</v>
      </c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>
      <c r="A273" s="89"/>
      <c r="B273" s="91" t="s">
        <v>1078</v>
      </c>
      <c r="C273" s="91" t="s">
        <v>27</v>
      </c>
      <c r="D273" s="91" t="s">
        <v>69</v>
      </c>
      <c r="E273" s="91" t="s">
        <v>235</v>
      </c>
      <c r="F273" s="92">
        <v>8.8</v>
      </c>
      <c r="G273" s="93">
        <v>8.0</v>
      </c>
      <c r="H273" s="93">
        <v>1.1</v>
      </c>
      <c r="I273" s="94" t="s">
        <v>1078</v>
      </c>
      <c r="J273" s="94" t="s">
        <v>1078</v>
      </c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>
      <c r="A274" s="89"/>
      <c r="B274" s="91" t="s">
        <v>1078</v>
      </c>
      <c r="C274" s="91" t="s">
        <v>29</v>
      </c>
      <c r="D274" s="91" t="s">
        <v>69</v>
      </c>
      <c r="E274" s="91" t="s">
        <v>235</v>
      </c>
      <c r="F274" s="92">
        <v>0.12</v>
      </c>
      <c r="G274" s="93" t="s">
        <v>30</v>
      </c>
      <c r="H274" s="93" t="s">
        <v>30</v>
      </c>
      <c r="I274" s="94" t="s">
        <v>1078</v>
      </c>
      <c r="J274" s="94" t="s">
        <v>1078</v>
      </c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>
      <c r="A275" s="89"/>
      <c r="B275" s="91" t="s">
        <v>1078</v>
      </c>
      <c r="C275" s="91" t="s">
        <v>53</v>
      </c>
      <c r="D275" s="91" t="s">
        <v>69</v>
      </c>
      <c r="E275" s="91" t="s">
        <v>235</v>
      </c>
      <c r="F275" s="92">
        <v>0.12</v>
      </c>
      <c r="G275" s="93">
        <v>1.0</v>
      </c>
      <c r="H275" s="93">
        <v>0.12</v>
      </c>
      <c r="I275" s="94" t="s">
        <v>1078</v>
      </c>
      <c r="J275" s="94" t="s">
        <v>1078</v>
      </c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>
      <c r="A276" s="89"/>
      <c r="B276" s="91" t="s">
        <v>1078</v>
      </c>
      <c r="C276" s="91" t="s">
        <v>35</v>
      </c>
      <c r="D276" s="91" t="s">
        <v>69</v>
      </c>
      <c r="E276" s="91" t="s">
        <v>235</v>
      </c>
      <c r="F276" s="92">
        <v>4.44</v>
      </c>
      <c r="G276" s="93" t="s">
        <v>30</v>
      </c>
      <c r="H276" s="93" t="s">
        <v>30</v>
      </c>
      <c r="I276" s="94" t="s">
        <v>1078</v>
      </c>
      <c r="J276" s="94" t="s">
        <v>1078</v>
      </c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>
      <c r="A277" s="89"/>
      <c r="B277" s="91" t="s">
        <v>1078</v>
      </c>
      <c r="C277" s="91" t="s">
        <v>32</v>
      </c>
      <c r="D277" s="91" t="s">
        <v>69</v>
      </c>
      <c r="E277" s="91" t="s">
        <v>235</v>
      </c>
      <c r="F277" s="92">
        <v>7.21</v>
      </c>
      <c r="G277" s="93">
        <v>2.0</v>
      </c>
      <c r="H277" s="93">
        <v>3.605</v>
      </c>
      <c r="I277" s="94" t="s">
        <v>1078</v>
      </c>
      <c r="J277" s="94" t="s">
        <v>1078</v>
      </c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>
      <c r="A278" s="89"/>
      <c r="B278" s="91" t="s">
        <v>1078</v>
      </c>
      <c r="C278" s="91" t="s">
        <v>34</v>
      </c>
      <c r="D278" s="91" t="s">
        <v>69</v>
      </c>
      <c r="E278" s="91" t="s">
        <v>235</v>
      </c>
      <c r="F278" s="92">
        <v>3.87</v>
      </c>
      <c r="G278" s="93">
        <v>3.0</v>
      </c>
      <c r="H278" s="93">
        <v>1.29</v>
      </c>
      <c r="I278" s="94" t="s">
        <v>1078</v>
      </c>
      <c r="J278" s="94" t="s">
        <v>1078</v>
      </c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>
      <c r="A279" s="89"/>
      <c r="B279" s="91" t="s">
        <v>1078</v>
      </c>
      <c r="C279" s="91" t="s">
        <v>41</v>
      </c>
      <c r="D279" s="91" t="s">
        <v>69</v>
      </c>
      <c r="E279" s="91" t="s">
        <v>235</v>
      </c>
      <c r="F279" s="92">
        <v>4.78</v>
      </c>
      <c r="G279" s="93">
        <v>3.0</v>
      </c>
      <c r="H279" s="93">
        <v>1.59333333</v>
      </c>
      <c r="I279" s="94" t="s">
        <v>1078</v>
      </c>
      <c r="J279" s="94" t="s">
        <v>1078</v>
      </c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>
      <c r="A280" s="89"/>
      <c r="B280" s="91" t="s">
        <v>1078</v>
      </c>
      <c r="C280" s="91" t="s">
        <v>28</v>
      </c>
      <c r="D280" s="91" t="s">
        <v>69</v>
      </c>
      <c r="E280" s="91" t="s">
        <v>235</v>
      </c>
      <c r="F280" s="92">
        <v>14.87</v>
      </c>
      <c r="G280" s="93">
        <v>6.0</v>
      </c>
      <c r="H280" s="93">
        <v>2.47833333</v>
      </c>
      <c r="I280" s="94" t="s">
        <v>1078</v>
      </c>
      <c r="J280" s="94" t="s">
        <v>1078</v>
      </c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>
      <c r="A281" s="89"/>
      <c r="B281" s="91" t="s">
        <v>1078</v>
      </c>
      <c r="C281" s="91" t="s">
        <v>53</v>
      </c>
      <c r="D281" s="91" t="s">
        <v>69</v>
      </c>
      <c r="E281" s="91" t="s">
        <v>247</v>
      </c>
      <c r="F281" s="92">
        <v>2.36</v>
      </c>
      <c r="G281" s="93">
        <v>1.0</v>
      </c>
      <c r="H281" s="93">
        <v>2.36</v>
      </c>
      <c r="I281" s="94" t="s">
        <v>1078</v>
      </c>
      <c r="J281" s="94" t="s">
        <v>1078</v>
      </c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>
      <c r="A282" s="89"/>
      <c r="B282" s="91" t="s">
        <v>1078</v>
      </c>
      <c r="C282" s="91" t="s">
        <v>32</v>
      </c>
      <c r="D282" s="91" t="s">
        <v>69</v>
      </c>
      <c r="E282" s="91" t="s">
        <v>247</v>
      </c>
      <c r="F282" s="92">
        <v>47.16</v>
      </c>
      <c r="G282" s="93">
        <v>27.0</v>
      </c>
      <c r="H282" s="93">
        <v>1.74666667</v>
      </c>
      <c r="I282" s="94" t="s">
        <v>1078</v>
      </c>
      <c r="J282" s="94" t="s">
        <v>1078</v>
      </c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>
      <c r="A283" s="89"/>
      <c r="B283" s="91" t="s">
        <v>1078</v>
      </c>
      <c r="C283" s="91" t="s">
        <v>34</v>
      </c>
      <c r="D283" s="91" t="s">
        <v>69</v>
      </c>
      <c r="E283" s="91" t="s">
        <v>247</v>
      </c>
      <c r="F283" s="92">
        <v>17.91</v>
      </c>
      <c r="G283" s="93">
        <v>1.0</v>
      </c>
      <c r="H283" s="93">
        <v>17.91</v>
      </c>
      <c r="I283" s="94" t="s">
        <v>1078</v>
      </c>
      <c r="J283" s="94" t="s">
        <v>1078</v>
      </c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>
      <c r="A284" s="89"/>
      <c r="B284" s="91" t="s">
        <v>1078</v>
      </c>
      <c r="C284" s="91" t="s">
        <v>27</v>
      </c>
      <c r="D284" s="91" t="s">
        <v>69</v>
      </c>
      <c r="E284" s="91" t="s">
        <v>247</v>
      </c>
      <c r="F284" s="92">
        <v>82.94</v>
      </c>
      <c r="G284" s="93">
        <v>120.0</v>
      </c>
      <c r="H284" s="93">
        <v>0.69116667</v>
      </c>
      <c r="I284" s="94" t="s">
        <v>1078</v>
      </c>
      <c r="J284" s="94" t="s">
        <v>1078</v>
      </c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>
      <c r="A285" s="89"/>
      <c r="B285" s="91" t="s">
        <v>1078</v>
      </c>
      <c r="C285" s="91" t="s">
        <v>35</v>
      </c>
      <c r="D285" s="91" t="s">
        <v>69</v>
      </c>
      <c r="E285" s="91" t="s">
        <v>247</v>
      </c>
      <c r="F285" s="92">
        <v>2.39</v>
      </c>
      <c r="G285" s="93" t="s">
        <v>30</v>
      </c>
      <c r="H285" s="93" t="s">
        <v>30</v>
      </c>
      <c r="I285" s="94" t="s">
        <v>1078</v>
      </c>
      <c r="J285" s="94" t="s">
        <v>1078</v>
      </c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>
      <c r="A286" s="89"/>
      <c r="B286" s="91" t="s">
        <v>1078</v>
      </c>
      <c r="C286" s="91" t="s">
        <v>41</v>
      </c>
      <c r="D286" s="91" t="s">
        <v>69</v>
      </c>
      <c r="E286" s="91" t="s">
        <v>247</v>
      </c>
      <c r="F286" s="92">
        <v>3.13</v>
      </c>
      <c r="G286" s="93" t="s">
        <v>30</v>
      </c>
      <c r="H286" s="93" t="s">
        <v>30</v>
      </c>
      <c r="I286" s="94" t="s">
        <v>1078</v>
      </c>
      <c r="J286" s="94" t="s">
        <v>1078</v>
      </c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>
      <c r="A287" s="89"/>
      <c r="B287" s="91" t="s">
        <v>1078</v>
      </c>
      <c r="C287" s="91" t="s">
        <v>28</v>
      </c>
      <c r="D287" s="91" t="s">
        <v>69</v>
      </c>
      <c r="E287" s="91" t="s">
        <v>247</v>
      </c>
      <c r="F287" s="92">
        <v>215.95</v>
      </c>
      <c r="G287" s="93">
        <v>129.0</v>
      </c>
      <c r="H287" s="93">
        <v>1.67403101</v>
      </c>
      <c r="I287" s="94" t="s">
        <v>1078</v>
      </c>
      <c r="J287" s="94" t="s">
        <v>1078</v>
      </c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>
      <c r="A288" s="89"/>
      <c r="B288" s="91" t="s">
        <v>1078</v>
      </c>
      <c r="C288" s="91" t="s">
        <v>29</v>
      </c>
      <c r="D288" s="91" t="s">
        <v>69</v>
      </c>
      <c r="E288" s="91" t="s">
        <v>247</v>
      </c>
      <c r="F288" s="92">
        <v>41.99</v>
      </c>
      <c r="G288" s="93" t="s">
        <v>30</v>
      </c>
      <c r="H288" s="93" t="s">
        <v>30</v>
      </c>
      <c r="I288" s="94" t="s">
        <v>1078</v>
      </c>
      <c r="J288" s="94" t="s">
        <v>1078</v>
      </c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>
      <c r="A289" s="89"/>
      <c r="B289" s="91" t="s">
        <v>1078</v>
      </c>
      <c r="C289" s="91" t="s">
        <v>26</v>
      </c>
      <c r="D289" s="91" t="s">
        <v>99</v>
      </c>
      <c r="E289" s="91" t="s">
        <v>247</v>
      </c>
      <c r="F289" s="92">
        <v>14.66</v>
      </c>
      <c r="G289" s="93">
        <v>11.0</v>
      </c>
      <c r="H289" s="93">
        <v>1.33272727</v>
      </c>
      <c r="I289" s="94" t="s">
        <v>1078</v>
      </c>
      <c r="J289" s="94" t="s">
        <v>1078</v>
      </c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>
      <c r="A290" s="89"/>
      <c r="B290" s="91" t="s">
        <v>1078</v>
      </c>
      <c r="C290" s="91" t="s">
        <v>26</v>
      </c>
      <c r="D290" s="91" t="s">
        <v>99</v>
      </c>
      <c r="E290" s="91" t="s">
        <v>247</v>
      </c>
      <c r="F290" s="92">
        <v>754.43</v>
      </c>
      <c r="G290" s="93">
        <v>4.0</v>
      </c>
      <c r="H290" s="93">
        <v>188.6075</v>
      </c>
      <c r="I290" s="94" t="s">
        <v>1078</v>
      </c>
      <c r="J290" s="94" t="s">
        <v>1078</v>
      </c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>
      <c r="A291" s="89"/>
      <c r="B291" s="91" t="s">
        <v>1078</v>
      </c>
      <c r="C291" s="91" t="s">
        <v>39</v>
      </c>
      <c r="D291" s="91" t="s">
        <v>99</v>
      </c>
      <c r="E291" s="91" t="s">
        <v>247</v>
      </c>
      <c r="F291" s="92">
        <v>7.47</v>
      </c>
      <c r="G291" s="93">
        <v>5.0</v>
      </c>
      <c r="H291" s="93">
        <v>1.494</v>
      </c>
      <c r="I291" s="94" t="s">
        <v>1078</v>
      </c>
      <c r="J291" s="94" t="s">
        <v>1078</v>
      </c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>
      <c r="A292" s="89"/>
      <c r="B292" s="91" t="s">
        <v>1078</v>
      </c>
      <c r="C292" s="91" t="s">
        <v>51</v>
      </c>
      <c r="D292" s="91" t="s">
        <v>99</v>
      </c>
      <c r="E292" s="91" t="s">
        <v>247</v>
      </c>
      <c r="F292" s="92">
        <v>0.06</v>
      </c>
      <c r="G292" s="93" t="s">
        <v>30</v>
      </c>
      <c r="H292" s="93" t="s">
        <v>30</v>
      </c>
      <c r="I292" s="94" t="s">
        <v>1078</v>
      </c>
      <c r="J292" s="94" t="s">
        <v>1078</v>
      </c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>
      <c r="A293" s="89"/>
      <c r="B293" s="91" t="s">
        <v>1078</v>
      </c>
      <c r="C293" s="91" t="s">
        <v>36</v>
      </c>
      <c r="D293" s="91" t="s">
        <v>99</v>
      </c>
      <c r="E293" s="91" t="s">
        <v>247</v>
      </c>
      <c r="F293" s="92">
        <v>0.12</v>
      </c>
      <c r="G293" s="93" t="s">
        <v>30</v>
      </c>
      <c r="H293" s="93" t="s">
        <v>30</v>
      </c>
      <c r="I293" s="94" t="s">
        <v>1078</v>
      </c>
      <c r="J293" s="94" t="s">
        <v>1078</v>
      </c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>
      <c r="A294" s="89"/>
      <c r="B294" s="91" t="s">
        <v>1078</v>
      </c>
      <c r="C294" s="91" t="s">
        <v>47</v>
      </c>
      <c r="D294" s="91" t="s">
        <v>99</v>
      </c>
      <c r="E294" s="91" t="s">
        <v>247</v>
      </c>
      <c r="F294" s="92">
        <v>91.28</v>
      </c>
      <c r="G294" s="93">
        <v>39.0</v>
      </c>
      <c r="H294" s="93">
        <v>2.34051282</v>
      </c>
      <c r="I294" s="94" t="s">
        <v>1078</v>
      </c>
      <c r="J294" s="94" t="s">
        <v>1078</v>
      </c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>
      <c r="A295" s="89"/>
      <c r="B295" s="91" t="s">
        <v>1078</v>
      </c>
      <c r="C295" s="91" t="s">
        <v>57</v>
      </c>
      <c r="D295" s="91" t="s">
        <v>99</v>
      </c>
      <c r="E295" s="91" t="s">
        <v>247</v>
      </c>
      <c r="F295" s="92">
        <v>0.41</v>
      </c>
      <c r="G295" s="93" t="s">
        <v>30</v>
      </c>
      <c r="H295" s="93" t="s">
        <v>30</v>
      </c>
      <c r="I295" s="94" t="s">
        <v>1078</v>
      </c>
      <c r="J295" s="94" t="s">
        <v>1078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>
      <c r="A296" s="89"/>
      <c r="B296" s="91" t="s">
        <v>1078</v>
      </c>
      <c r="C296" s="91" t="s">
        <v>42</v>
      </c>
      <c r="D296" s="91" t="s">
        <v>99</v>
      </c>
      <c r="E296" s="91" t="s">
        <v>247</v>
      </c>
      <c r="F296" s="92">
        <v>1.72</v>
      </c>
      <c r="G296" s="93" t="s">
        <v>30</v>
      </c>
      <c r="H296" s="93" t="s">
        <v>30</v>
      </c>
      <c r="I296" s="94" t="s">
        <v>1078</v>
      </c>
      <c r="J296" s="94" t="s">
        <v>1078</v>
      </c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>
      <c r="A297" s="89"/>
      <c r="B297" s="91" t="s">
        <v>1078</v>
      </c>
      <c r="C297" s="91" t="s">
        <v>36</v>
      </c>
      <c r="D297" s="91" t="s">
        <v>99</v>
      </c>
      <c r="E297" s="91" t="s">
        <v>284</v>
      </c>
      <c r="F297" s="92">
        <v>0.74</v>
      </c>
      <c r="G297" s="93" t="s">
        <v>30</v>
      </c>
      <c r="H297" s="93" t="s">
        <v>30</v>
      </c>
      <c r="I297" s="94" t="s">
        <v>1078</v>
      </c>
      <c r="J297" s="94" t="s">
        <v>1078</v>
      </c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>
      <c r="A298" s="89"/>
      <c r="B298" s="91" t="s">
        <v>1078</v>
      </c>
      <c r="C298" s="91" t="s">
        <v>47</v>
      </c>
      <c r="D298" s="91" t="s">
        <v>99</v>
      </c>
      <c r="E298" s="91" t="s">
        <v>284</v>
      </c>
      <c r="F298" s="92">
        <v>1.29</v>
      </c>
      <c r="G298" s="93" t="s">
        <v>30</v>
      </c>
      <c r="H298" s="93" t="s">
        <v>30</v>
      </c>
      <c r="I298" s="94" t="s">
        <v>1078</v>
      </c>
      <c r="J298" s="94" t="s">
        <v>1078</v>
      </c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>
      <c r="A299" s="89"/>
      <c r="B299" s="91" t="s">
        <v>1078</v>
      </c>
      <c r="C299" s="91" t="s">
        <v>26</v>
      </c>
      <c r="D299" s="91" t="s">
        <v>99</v>
      </c>
      <c r="E299" s="91" t="s">
        <v>284</v>
      </c>
      <c r="F299" s="92">
        <v>0.31</v>
      </c>
      <c r="G299" s="93" t="s">
        <v>30</v>
      </c>
      <c r="H299" s="93" t="s">
        <v>30</v>
      </c>
      <c r="I299" s="94" t="s">
        <v>1078</v>
      </c>
      <c r="J299" s="94" t="s">
        <v>1078</v>
      </c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>
      <c r="A300" s="89"/>
      <c r="B300" s="91" t="s">
        <v>1078</v>
      </c>
      <c r="C300" s="91" t="s">
        <v>38</v>
      </c>
      <c r="D300" s="91" t="s">
        <v>99</v>
      </c>
      <c r="E300" s="91" t="s">
        <v>247</v>
      </c>
      <c r="F300" s="92">
        <v>133.17</v>
      </c>
      <c r="G300" s="93">
        <v>55.0</v>
      </c>
      <c r="H300" s="93">
        <v>2.42127273</v>
      </c>
      <c r="I300" s="94" t="s">
        <v>1078</v>
      </c>
      <c r="J300" s="94" t="s">
        <v>1078</v>
      </c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>
      <c r="A301" s="89"/>
      <c r="B301" s="91" t="s">
        <v>1078</v>
      </c>
      <c r="C301" s="91" t="s">
        <v>51</v>
      </c>
      <c r="D301" s="91" t="s">
        <v>99</v>
      </c>
      <c r="E301" s="91" t="s">
        <v>284</v>
      </c>
      <c r="F301" s="92">
        <v>10.07</v>
      </c>
      <c r="G301" s="93">
        <v>9.0</v>
      </c>
      <c r="H301" s="93">
        <v>1.11888889</v>
      </c>
      <c r="I301" s="94" t="s">
        <v>1078</v>
      </c>
      <c r="J301" s="94" t="s">
        <v>1078</v>
      </c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>
      <c r="A302" s="89"/>
      <c r="B302" s="91" t="s">
        <v>1078</v>
      </c>
      <c r="C302" s="91" t="s">
        <v>26</v>
      </c>
      <c r="D302" s="91" t="s">
        <v>99</v>
      </c>
      <c r="E302" s="91" t="s">
        <v>284</v>
      </c>
      <c r="F302" s="92">
        <v>48.04</v>
      </c>
      <c r="G302" s="93" t="s">
        <v>30</v>
      </c>
      <c r="H302" s="93" t="s">
        <v>30</v>
      </c>
      <c r="I302" s="94" t="s">
        <v>1078</v>
      </c>
      <c r="J302" s="94" t="s">
        <v>1078</v>
      </c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>
      <c r="A303" s="89"/>
      <c r="B303" s="91" t="s">
        <v>1078</v>
      </c>
      <c r="C303" s="91" t="s">
        <v>39</v>
      </c>
      <c r="D303" s="91" t="s">
        <v>99</v>
      </c>
      <c r="E303" s="91" t="s">
        <v>284</v>
      </c>
      <c r="F303" s="92">
        <v>0.13</v>
      </c>
      <c r="G303" s="93" t="s">
        <v>30</v>
      </c>
      <c r="H303" s="93" t="s">
        <v>30</v>
      </c>
      <c r="I303" s="94" t="s">
        <v>1078</v>
      </c>
      <c r="J303" s="94" t="s">
        <v>1078</v>
      </c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>
      <c r="A304" s="89"/>
      <c r="B304" s="91" t="s">
        <v>1078</v>
      </c>
      <c r="C304" s="91" t="s">
        <v>57</v>
      </c>
      <c r="D304" s="91" t="s">
        <v>99</v>
      </c>
      <c r="E304" s="91" t="s">
        <v>284</v>
      </c>
      <c r="F304" s="92">
        <v>0.02</v>
      </c>
      <c r="G304" s="93" t="s">
        <v>30</v>
      </c>
      <c r="H304" s="93" t="s">
        <v>30</v>
      </c>
      <c r="I304" s="94" t="s">
        <v>1078</v>
      </c>
      <c r="J304" s="94" t="s">
        <v>1078</v>
      </c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>
      <c r="A305" s="89"/>
      <c r="B305" s="91" t="s">
        <v>1078</v>
      </c>
      <c r="C305" s="91" t="s">
        <v>38</v>
      </c>
      <c r="D305" s="91" t="s">
        <v>99</v>
      </c>
      <c r="E305" s="91" t="s">
        <v>284</v>
      </c>
      <c r="F305" s="92">
        <v>4.02</v>
      </c>
      <c r="G305" s="93">
        <v>2.0</v>
      </c>
      <c r="H305" s="93">
        <v>2.01</v>
      </c>
      <c r="I305" s="94" t="s">
        <v>1078</v>
      </c>
      <c r="J305" s="94" t="s">
        <v>1078</v>
      </c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>
      <c r="A306" s="89"/>
      <c r="B306" s="91" t="s">
        <v>1078</v>
      </c>
      <c r="C306" s="91" t="s">
        <v>26</v>
      </c>
      <c r="D306" s="91" t="s">
        <v>99</v>
      </c>
      <c r="E306" s="91" t="s">
        <v>201</v>
      </c>
      <c r="F306" s="92">
        <v>4.9</v>
      </c>
      <c r="G306" s="93">
        <v>7.0</v>
      </c>
      <c r="H306" s="93">
        <v>0.7</v>
      </c>
      <c r="I306" s="94" t="s">
        <v>1078</v>
      </c>
      <c r="J306" s="94" t="s">
        <v>1078</v>
      </c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>
      <c r="A307" s="89"/>
      <c r="B307" s="91" t="s">
        <v>1078</v>
      </c>
      <c r="C307" s="91" t="s">
        <v>26</v>
      </c>
      <c r="D307" s="91" t="s">
        <v>99</v>
      </c>
      <c r="E307" s="91" t="s">
        <v>201</v>
      </c>
      <c r="F307" s="92">
        <v>10.78</v>
      </c>
      <c r="G307" s="93">
        <v>1.0</v>
      </c>
      <c r="H307" s="93">
        <v>10.78</v>
      </c>
      <c r="I307" s="94" t="s">
        <v>1078</v>
      </c>
      <c r="J307" s="94" t="s">
        <v>1078</v>
      </c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>
      <c r="A308" s="89"/>
      <c r="B308" s="91" t="s">
        <v>1078</v>
      </c>
      <c r="C308" s="91" t="s">
        <v>42</v>
      </c>
      <c r="D308" s="91" t="s">
        <v>99</v>
      </c>
      <c r="E308" s="91" t="s">
        <v>284</v>
      </c>
      <c r="F308" s="92">
        <v>2.25</v>
      </c>
      <c r="G308" s="93" t="s">
        <v>30</v>
      </c>
      <c r="H308" s="93" t="s">
        <v>30</v>
      </c>
      <c r="I308" s="94" t="s">
        <v>1078</v>
      </c>
      <c r="J308" s="94" t="s">
        <v>1078</v>
      </c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>
      <c r="A309" s="89"/>
      <c r="B309" s="91" t="s">
        <v>1078</v>
      </c>
      <c r="C309" s="91" t="s">
        <v>36</v>
      </c>
      <c r="D309" s="91" t="s">
        <v>99</v>
      </c>
      <c r="E309" s="91" t="s">
        <v>201</v>
      </c>
      <c r="F309" s="92">
        <v>0.0</v>
      </c>
      <c r="G309" s="93" t="s">
        <v>30</v>
      </c>
      <c r="H309" s="93" t="s">
        <v>30</v>
      </c>
      <c r="I309" s="94" t="s">
        <v>1078</v>
      </c>
      <c r="J309" s="94" t="s">
        <v>1078</v>
      </c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>
      <c r="A310" s="89"/>
      <c r="B310" s="91" t="s">
        <v>1078</v>
      </c>
      <c r="C310" s="91" t="s">
        <v>51</v>
      </c>
      <c r="D310" s="91" t="s">
        <v>99</v>
      </c>
      <c r="E310" s="91" t="s">
        <v>201</v>
      </c>
      <c r="F310" s="92">
        <v>1.69</v>
      </c>
      <c r="G310" s="93" t="s">
        <v>30</v>
      </c>
      <c r="H310" s="93" t="s">
        <v>30</v>
      </c>
      <c r="I310" s="94" t="s">
        <v>1078</v>
      </c>
      <c r="J310" s="94" t="s">
        <v>1078</v>
      </c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>
      <c r="A311" s="89"/>
      <c r="B311" s="91" t="s">
        <v>1078</v>
      </c>
      <c r="C311" s="91" t="s">
        <v>57</v>
      </c>
      <c r="D311" s="91" t="s">
        <v>99</v>
      </c>
      <c r="E311" s="91" t="s">
        <v>201</v>
      </c>
      <c r="F311" s="92">
        <v>0.06</v>
      </c>
      <c r="G311" s="93" t="s">
        <v>30</v>
      </c>
      <c r="H311" s="93" t="s">
        <v>30</v>
      </c>
      <c r="I311" s="94" t="s">
        <v>1078</v>
      </c>
      <c r="J311" s="94" t="s">
        <v>1078</v>
      </c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>
      <c r="A312" s="89"/>
      <c r="B312" s="91" t="s">
        <v>1078</v>
      </c>
      <c r="C312" s="91" t="s">
        <v>47</v>
      </c>
      <c r="D312" s="91" t="s">
        <v>99</v>
      </c>
      <c r="E312" s="91" t="s">
        <v>201</v>
      </c>
      <c r="F312" s="92">
        <v>0.61</v>
      </c>
      <c r="G312" s="93">
        <v>2.0</v>
      </c>
      <c r="H312" s="93">
        <v>0.305</v>
      </c>
      <c r="I312" s="94" t="s">
        <v>1078</v>
      </c>
      <c r="J312" s="94" t="s">
        <v>1078</v>
      </c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>
      <c r="A313" s="89"/>
      <c r="B313" s="91" t="s">
        <v>1078</v>
      </c>
      <c r="C313" s="91" t="s">
        <v>38</v>
      </c>
      <c r="D313" s="91" t="s">
        <v>99</v>
      </c>
      <c r="E313" s="91" t="s">
        <v>201</v>
      </c>
      <c r="F313" s="92">
        <v>0.08</v>
      </c>
      <c r="G313" s="93" t="s">
        <v>30</v>
      </c>
      <c r="H313" s="93" t="s">
        <v>30</v>
      </c>
      <c r="I313" s="94" t="s">
        <v>1078</v>
      </c>
      <c r="J313" s="94" t="s">
        <v>1078</v>
      </c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>
      <c r="A314" s="89"/>
      <c r="B314" s="91" t="s">
        <v>1078</v>
      </c>
      <c r="C314" s="91" t="s">
        <v>39</v>
      </c>
      <c r="D314" s="91" t="s">
        <v>99</v>
      </c>
      <c r="E314" s="91" t="s">
        <v>392</v>
      </c>
      <c r="F314" s="92">
        <v>0.79</v>
      </c>
      <c r="G314" s="93" t="s">
        <v>30</v>
      </c>
      <c r="H314" s="93" t="s">
        <v>30</v>
      </c>
      <c r="I314" s="94" t="s">
        <v>1078</v>
      </c>
      <c r="J314" s="94" t="s">
        <v>1078</v>
      </c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>
      <c r="A315" s="89"/>
      <c r="B315" s="91" t="s">
        <v>1078</v>
      </c>
      <c r="C315" s="91" t="s">
        <v>38</v>
      </c>
      <c r="D315" s="91" t="s">
        <v>99</v>
      </c>
      <c r="E315" s="91" t="s">
        <v>392</v>
      </c>
      <c r="F315" s="92">
        <v>0.04</v>
      </c>
      <c r="G315" s="93" t="s">
        <v>30</v>
      </c>
      <c r="H315" s="93" t="s">
        <v>30</v>
      </c>
      <c r="I315" s="94" t="s">
        <v>1078</v>
      </c>
      <c r="J315" s="94" t="s">
        <v>1078</v>
      </c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>
      <c r="A316" s="89"/>
      <c r="B316" s="91" t="s">
        <v>1078</v>
      </c>
      <c r="C316" s="91" t="s">
        <v>57</v>
      </c>
      <c r="D316" s="91" t="s">
        <v>99</v>
      </c>
      <c r="E316" s="91" t="s">
        <v>392</v>
      </c>
      <c r="F316" s="92">
        <v>1.36</v>
      </c>
      <c r="G316" s="93" t="s">
        <v>30</v>
      </c>
      <c r="H316" s="93" t="s">
        <v>30</v>
      </c>
      <c r="I316" s="94" t="s">
        <v>1078</v>
      </c>
      <c r="J316" s="94" t="s">
        <v>1078</v>
      </c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>
      <c r="A317" s="89"/>
      <c r="B317" s="91" t="s">
        <v>1078</v>
      </c>
      <c r="C317" s="91" t="s">
        <v>42</v>
      </c>
      <c r="D317" s="91" t="s">
        <v>99</v>
      </c>
      <c r="E317" s="91" t="s">
        <v>392</v>
      </c>
      <c r="F317" s="92">
        <v>17.49</v>
      </c>
      <c r="G317" s="93">
        <v>8.0</v>
      </c>
      <c r="H317" s="93">
        <v>2.18625</v>
      </c>
      <c r="I317" s="94" t="s">
        <v>1078</v>
      </c>
      <c r="J317" s="94" t="s">
        <v>1078</v>
      </c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>
      <c r="A318" s="89"/>
      <c r="B318" s="91" t="s">
        <v>1078</v>
      </c>
      <c r="C318" s="91" t="s">
        <v>51</v>
      </c>
      <c r="D318" s="91" t="s">
        <v>99</v>
      </c>
      <c r="E318" s="91" t="s">
        <v>392</v>
      </c>
      <c r="F318" s="92">
        <v>0.13</v>
      </c>
      <c r="G318" s="93" t="s">
        <v>30</v>
      </c>
      <c r="H318" s="93" t="s">
        <v>30</v>
      </c>
      <c r="I318" s="94" t="s">
        <v>1078</v>
      </c>
      <c r="J318" s="94" t="s">
        <v>1078</v>
      </c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>
      <c r="A319" s="89"/>
      <c r="B319" s="91" t="s">
        <v>1078</v>
      </c>
      <c r="C319" s="91" t="s">
        <v>38</v>
      </c>
      <c r="D319" s="91" t="s">
        <v>99</v>
      </c>
      <c r="E319" s="91" t="s">
        <v>178</v>
      </c>
      <c r="F319" s="92">
        <v>8.99</v>
      </c>
      <c r="G319" s="93">
        <v>4.0</v>
      </c>
      <c r="H319" s="93">
        <v>2.2475</v>
      </c>
      <c r="I319" s="94" t="s">
        <v>1078</v>
      </c>
      <c r="J319" s="94" t="s">
        <v>1078</v>
      </c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>
      <c r="A320" s="89"/>
      <c r="B320" s="91" t="s">
        <v>1078</v>
      </c>
      <c r="C320" s="91" t="s">
        <v>47</v>
      </c>
      <c r="D320" s="91" t="s">
        <v>99</v>
      </c>
      <c r="E320" s="91" t="s">
        <v>392</v>
      </c>
      <c r="F320" s="92">
        <v>0.84</v>
      </c>
      <c r="G320" s="93">
        <v>2.0</v>
      </c>
      <c r="H320" s="93">
        <v>0.42</v>
      </c>
      <c r="I320" s="94" t="s">
        <v>1078</v>
      </c>
      <c r="J320" s="94" t="s">
        <v>1078</v>
      </c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>
      <c r="A321" s="89"/>
      <c r="B321" s="91" t="s">
        <v>1078</v>
      </c>
      <c r="C321" s="91" t="s">
        <v>42</v>
      </c>
      <c r="D321" s="91" t="s">
        <v>99</v>
      </c>
      <c r="E321" s="91" t="s">
        <v>178</v>
      </c>
      <c r="F321" s="92">
        <v>0.0</v>
      </c>
      <c r="G321" s="93" t="s">
        <v>30</v>
      </c>
      <c r="H321" s="93" t="s">
        <v>30</v>
      </c>
      <c r="I321" s="94" t="s">
        <v>1078</v>
      </c>
      <c r="J321" s="94" t="s">
        <v>1078</v>
      </c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>
      <c r="A322" s="89"/>
      <c r="B322" s="91" t="s">
        <v>1078</v>
      </c>
      <c r="C322" s="91" t="s">
        <v>36</v>
      </c>
      <c r="D322" s="91" t="s">
        <v>99</v>
      </c>
      <c r="E322" s="91" t="s">
        <v>392</v>
      </c>
      <c r="F322" s="92">
        <v>0.0</v>
      </c>
      <c r="G322" s="93" t="s">
        <v>30</v>
      </c>
      <c r="H322" s="93" t="s">
        <v>30</v>
      </c>
      <c r="I322" s="94" t="s">
        <v>1078</v>
      </c>
      <c r="J322" s="94" t="s">
        <v>1078</v>
      </c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>
      <c r="A323" s="89"/>
      <c r="B323" s="91" t="s">
        <v>1078</v>
      </c>
      <c r="C323" s="91" t="s">
        <v>26</v>
      </c>
      <c r="D323" s="91" t="s">
        <v>99</v>
      </c>
      <c r="E323" s="91" t="s">
        <v>178</v>
      </c>
      <c r="F323" s="92">
        <v>1.09</v>
      </c>
      <c r="G323" s="93">
        <v>2.0</v>
      </c>
      <c r="H323" s="93">
        <v>0.545</v>
      </c>
      <c r="I323" s="94" t="s">
        <v>1078</v>
      </c>
      <c r="J323" s="94" t="s">
        <v>1078</v>
      </c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>
      <c r="A324" s="89"/>
      <c r="B324" s="91" t="s">
        <v>1078</v>
      </c>
      <c r="C324" s="91" t="s">
        <v>57</v>
      </c>
      <c r="D324" s="91" t="s">
        <v>99</v>
      </c>
      <c r="E324" s="91" t="s">
        <v>178</v>
      </c>
      <c r="F324" s="92">
        <v>0.17</v>
      </c>
      <c r="G324" s="93" t="s">
        <v>30</v>
      </c>
      <c r="H324" s="93" t="s">
        <v>30</v>
      </c>
      <c r="I324" s="94" t="s">
        <v>1078</v>
      </c>
      <c r="J324" s="94" t="s">
        <v>1078</v>
      </c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>
      <c r="A325" s="89"/>
      <c r="B325" s="91" t="s">
        <v>1078</v>
      </c>
      <c r="C325" s="91" t="s">
        <v>26</v>
      </c>
      <c r="D325" s="91" t="s">
        <v>99</v>
      </c>
      <c r="E325" s="91" t="s">
        <v>392</v>
      </c>
      <c r="F325" s="92">
        <v>0.33</v>
      </c>
      <c r="G325" s="93" t="s">
        <v>30</v>
      </c>
      <c r="H325" s="93" t="s">
        <v>30</v>
      </c>
      <c r="I325" s="94" t="s">
        <v>1078</v>
      </c>
      <c r="J325" s="94" t="s">
        <v>1078</v>
      </c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>
      <c r="A326" s="89"/>
      <c r="B326" s="91" t="s">
        <v>1078</v>
      </c>
      <c r="C326" s="91" t="s">
        <v>26</v>
      </c>
      <c r="D326" s="91" t="s">
        <v>99</v>
      </c>
      <c r="E326" s="91" t="s">
        <v>392</v>
      </c>
      <c r="F326" s="92">
        <v>90.19</v>
      </c>
      <c r="G326" s="93" t="s">
        <v>30</v>
      </c>
      <c r="H326" s="93" t="s">
        <v>30</v>
      </c>
      <c r="I326" s="94" t="s">
        <v>1078</v>
      </c>
      <c r="J326" s="94" t="s">
        <v>1078</v>
      </c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>
      <c r="A327" s="89"/>
      <c r="B327" s="91" t="s">
        <v>1078</v>
      </c>
      <c r="C327" s="91" t="s">
        <v>47</v>
      </c>
      <c r="D327" s="91" t="s">
        <v>99</v>
      </c>
      <c r="E327" s="91" t="s">
        <v>178</v>
      </c>
      <c r="F327" s="92">
        <v>0.15</v>
      </c>
      <c r="G327" s="93" t="s">
        <v>30</v>
      </c>
      <c r="H327" s="93" t="s">
        <v>30</v>
      </c>
      <c r="I327" s="94" t="s">
        <v>1078</v>
      </c>
      <c r="J327" s="94" t="s">
        <v>1078</v>
      </c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>
      <c r="A328" s="89"/>
      <c r="B328" s="91" t="s">
        <v>1078</v>
      </c>
      <c r="C328" s="91" t="s">
        <v>51</v>
      </c>
      <c r="D328" s="91" t="s">
        <v>99</v>
      </c>
      <c r="E328" s="91" t="s">
        <v>178</v>
      </c>
      <c r="F328" s="92">
        <v>0.18</v>
      </c>
      <c r="G328" s="93" t="s">
        <v>30</v>
      </c>
      <c r="H328" s="93" t="s">
        <v>30</v>
      </c>
      <c r="I328" s="94" t="s">
        <v>1078</v>
      </c>
      <c r="J328" s="94" t="s">
        <v>1078</v>
      </c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>
      <c r="A329" s="89"/>
      <c r="B329" s="91" t="s">
        <v>1078</v>
      </c>
      <c r="C329" s="91" t="s">
        <v>39</v>
      </c>
      <c r="D329" s="91" t="s">
        <v>99</v>
      </c>
      <c r="E329" s="91" t="s">
        <v>178</v>
      </c>
      <c r="F329" s="92">
        <v>0.01</v>
      </c>
      <c r="G329" s="93" t="s">
        <v>30</v>
      </c>
      <c r="H329" s="93" t="s">
        <v>30</v>
      </c>
      <c r="I329" s="94" t="s">
        <v>1078</v>
      </c>
      <c r="J329" s="94" t="s">
        <v>1078</v>
      </c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>
      <c r="A330" s="89"/>
      <c r="B330" s="91" t="s">
        <v>1078</v>
      </c>
      <c r="C330" s="91" t="s">
        <v>26</v>
      </c>
      <c r="D330" s="91" t="s">
        <v>99</v>
      </c>
      <c r="E330" s="91" t="s">
        <v>178</v>
      </c>
      <c r="F330" s="92">
        <v>8.11</v>
      </c>
      <c r="G330" s="93" t="s">
        <v>30</v>
      </c>
      <c r="H330" s="93" t="s">
        <v>30</v>
      </c>
      <c r="I330" s="94" t="s">
        <v>1078</v>
      </c>
      <c r="J330" s="94" t="s">
        <v>1078</v>
      </c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>
      <c r="A331" s="89"/>
      <c r="B331" s="91" t="s">
        <v>1078</v>
      </c>
      <c r="C331" s="91" t="s">
        <v>42</v>
      </c>
      <c r="D331" s="91" t="s">
        <v>99</v>
      </c>
      <c r="E331" s="91" t="s">
        <v>235</v>
      </c>
      <c r="F331" s="92">
        <v>0.88</v>
      </c>
      <c r="G331" s="93">
        <v>1.0</v>
      </c>
      <c r="H331" s="93">
        <v>0.88</v>
      </c>
      <c r="I331" s="94" t="s">
        <v>1078</v>
      </c>
      <c r="J331" s="94" t="s">
        <v>1078</v>
      </c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>
      <c r="A332" s="89"/>
      <c r="B332" s="91" t="s">
        <v>1078</v>
      </c>
      <c r="C332" s="91" t="s">
        <v>26</v>
      </c>
      <c r="D332" s="91" t="s">
        <v>99</v>
      </c>
      <c r="E332" s="91" t="s">
        <v>235</v>
      </c>
      <c r="F332" s="92">
        <v>1.71</v>
      </c>
      <c r="G332" s="93">
        <v>2.0</v>
      </c>
      <c r="H332" s="93">
        <v>0.855</v>
      </c>
      <c r="I332" s="94" t="s">
        <v>1078</v>
      </c>
      <c r="J332" s="94" t="s">
        <v>1078</v>
      </c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>
      <c r="A333" s="89"/>
      <c r="B333" s="91" t="s">
        <v>1078</v>
      </c>
      <c r="C333" s="91" t="s">
        <v>26</v>
      </c>
      <c r="D333" s="91" t="s">
        <v>99</v>
      </c>
      <c r="E333" s="91" t="s">
        <v>235</v>
      </c>
      <c r="F333" s="92">
        <v>5.7</v>
      </c>
      <c r="G333" s="93" t="s">
        <v>30</v>
      </c>
      <c r="H333" s="93" t="s">
        <v>30</v>
      </c>
      <c r="I333" s="94" t="s">
        <v>1078</v>
      </c>
      <c r="J333" s="94" t="s">
        <v>1078</v>
      </c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>
      <c r="A334" s="89"/>
      <c r="B334" s="91" t="s">
        <v>1078</v>
      </c>
      <c r="C334" s="91" t="s">
        <v>39</v>
      </c>
      <c r="D334" s="91" t="s">
        <v>99</v>
      </c>
      <c r="E334" s="91" t="s">
        <v>235</v>
      </c>
      <c r="F334" s="92">
        <v>0.01</v>
      </c>
      <c r="G334" s="93" t="s">
        <v>30</v>
      </c>
      <c r="H334" s="93" t="s">
        <v>30</v>
      </c>
      <c r="I334" s="94" t="s">
        <v>1078</v>
      </c>
      <c r="J334" s="94" t="s">
        <v>1078</v>
      </c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>
      <c r="A335" s="89"/>
      <c r="B335" s="91" t="s">
        <v>1078</v>
      </c>
      <c r="C335" s="91" t="s">
        <v>51</v>
      </c>
      <c r="D335" s="91" t="s">
        <v>99</v>
      </c>
      <c r="E335" s="91" t="s">
        <v>235</v>
      </c>
      <c r="F335" s="92">
        <v>0.0</v>
      </c>
      <c r="G335" s="93" t="s">
        <v>30</v>
      </c>
      <c r="H335" s="93" t="s">
        <v>30</v>
      </c>
      <c r="I335" s="94" t="s">
        <v>1078</v>
      </c>
      <c r="J335" s="94" t="s">
        <v>1078</v>
      </c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>
      <c r="A336" s="89"/>
      <c r="B336" s="91" t="s">
        <v>1078</v>
      </c>
      <c r="C336" s="91" t="s">
        <v>57</v>
      </c>
      <c r="D336" s="91" t="s">
        <v>99</v>
      </c>
      <c r="E336" s="91" t="s">
        <v>235</v>
      </c>
      <c r="F336" s="92">
        <v>0.0</v>
      </c>
      <c r="G336" s="93" t="s">
        <v>30</v>
      </c>
      <c r="H336" s="93" t="s">
        <v>30</v>
      </c>
      <c r="I336" s="94" t="s">
        <v>1078</v>
      </c>
      <c r="J336" s="94" t="s">
        <v>1078</v>
      </c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>
      <c r="A337" s="89"/>
      <c r="B337" s="91" t="s">
        <v>1078</v>
      </c>
      <c r="C337" s="91" t="s">
        <v>38</v>
      </c>
      <c r="D337" s="91" t="s">
        <v>99</v>
      </c>
      <c r="E337" s="91" t="s">
        <v>235</v>
      </c>
      <c r="F337" s="92">
        <v>0.72</v>
      </c>
      <c r="G337" s="93" t="s">
        <v>30</v>
      </c>
      <c r="H337" s="93" t="s">
        <v>30</v>
      </c>
      <c r="I337" s="94" t="s">
        <v>1078</v>
      </c>
      <c r="J337" s="94" t="s">
        <v>1078</v>
      </c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>
      <c r="A338" s="89"/>
      <c r="B338" s="91" t="s">
        <v>1078</v>
      </c>
      <c r="C338" s="91" t="s">
        <v>47</v>
      </c>
      <c r="D338" s="91" t="s">
        <v>99</v>
      </c>
      <c r="E338" s="91" t="s">
        <v>235</v>
      </c>
      <c r="F338" s="92">
        <v>0.17</v>
      </c>
      <c r="G338" s="93" t="s">
        <v>30</v>
      </c>
      <c r="H338" s="93" t="s">
        <v>30</v>
      </c>
      <c r="I338" s="94" t="s">
        <v>1078</v>
      </c>
      <c r="J338" s="94" t="s">
        <v>1078</v>
      </c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>
      <c r="A339" s="89"/>
      <c r="B339" s="91" t="s">
        <v>1078</v>
      </c>
      <c r="C339" s="91" t="s">
        <v>37</v>
      </c>
      <c r="D339" s="91" t="s">
        <v>141</v>
      </c>
      <c r="E339" s="91" t="s">
        <v>284</v>
      </c>
      <c r="F339" s="92">
        <v>69.88</v>
      </c>
      <c r="G339" s="93">
        <v>54.0</v>
      </c>
      <c r="H339" s="93">
        <v>1.29407407</v>
      </c>
      <c r="I339" s="94" t="s">
        <v>1078</v>
      </c>
      <c r="J339" s="94" t="s">
        <v>1078</v>
      </c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>
      <c r="A340" s="89"/>
      <c r="B340" s="91" t="s">
        <v>1078</v>
      </c>
      <c r="C340" s="91" t="s">
        <v>29</v>
      </c>
      <c r="D340" s="91" t="s">
        <v>141</v>
      </c>
      <c r="E340" s="91" t="s">
        <v>284</v>
      </c>
      <c r="F340" s="92">
        <v>363.31</v>
      </c>
      <c r="G340" s="93">
        <v>183.0</v>
      </c>
      <c r="H340" s="93">
        <v>1.98530055</v>
      </c>
      <c r="I340" s="94" t="s">
        <v>1078</v>
      </c>
      <c r="J340" s="94" t="s">
        <v>1078</v>
      </c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>
      <c r="A341" s="89"/>
      <c r="B341" s="91" t="s">
        <v>1078</v>
      </c>
      <c r="C341" s="91" t="s">
        <v>42</v>
      </c>
      <c r="D341" s="91" t="s">
        <v>141</v>
      </c>
      <c r="E341" s="91" t="s">
        <v>284</v>
      </c>
      <c r="F341" s="92">
        <v>13.34</v>
      </c>
      <c r="G341" s="93" t="s">
        <v>30</v>
      </c>
      <c r="H341" s="93" t="s">
        <v>30</v>
      </c>
      <c r="I341" s="94" t="s">
        <v>1078</v>
      </c>
      <c r="J341" s="94" t="s">
        <v>1078</v>
      </c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>
      <c r="A342" s="89"/>
      <c r="B342" s="91" t="s">
        <v>1078</v>
      </c>
      <c r="C342" s="91" t="s">
        <v>42</v>
      </c>
      <c r="D342" s="91" t="s">
        <v>141</v>
      </c>
      <c r="E342" s="91" t="s">
        <v>178</v>
      </c>
      <c r="F342" s="92">
        <v>1.02</v>
      </c>
      <c r="G342" s="93" t="s">
        <v>30</v>
      </c>
      <c r="H342" s="93" t="s">
        <v>30</v>
      </c>
      <c r="I342" s="94" t="s">
        <v>1078</v>
      </c>
      <c r="J342" s="94" t="s">
        <v>1078</v>
      </c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>
      <c r="A343" s="89"/>
      <c r="B343" s="91" t="s">
        <v>1078</v>
      </c>
      <c r="C343" s="91" t="s">
        <v>37</v>
      </c>
      <c r="D343" s="91" t="s">
        <v>141</v>
      </c>
      <c r="E343" s="91" t="s">
        <v>178</v>
      </c>
      <c r="F343" s="92">
        <v>0.93</v>
      </c>
      <c r="G343" s="93">
        <v>1.0</v>
      </c>
      <c r="H343" s="93">
        <v>0.93</v>
      </c>
      <c r="I343" s="94" t="s">
        <v>1078</v>
      </c>
      <c r="J343" s="94" t="s">
        <v>1078</v>
      </c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>
      <c r="A344" s="89"/>
      <c r="B344" s="91" t="s">
        <v>1078</v>
      </c>
      <c r="C344" s="91" t="s">
        <v>29</v>
      </c>
      <c r="D344" s="91" t="s">
        <v>141</v>
      </c>
      <c r="E344" s="91" t="s">
        <v>178</v>
      </c>
      <c r="F344" s="92">
        <v>22.13</v>
      </c>
      <c r="G344" s="93">
        <v>6.0</v>
      </c>
      <c r="H344" s="93">
        <v>3.68833333</v>
      </c>
      <c r="I344" s="94" t="s">
        <v>1078</v>
      </c>
      <c r="J344" s="94" t="s">
        <v>1078</v>
      </c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>
      <c r="A345" s="89"/>
      <c r="B345" s="91" t="s">
        <v>1078</v>
      </c>
      <c r="C345" s="91" t="s">
        <v>37</v>
      </c>
      <c r="D345" s="91" t="s">
        <v>141</v>
      </c>
      <c r="E345" s="91" t="s">
        <v>392</v>
      </c>
      <c r="F345" s="92">
        <v>73.35</v>
      </c>
      <c r="G345" s="93">
        <v>53.0</v>
      </c>
      <c r="H345" s="93">
        <v>1.38396226</v>
      </c>
      <c r="I345" s="94" t="s">
        <v>1078</v>
      </c>
      <c r="J345" s="94" t="s">
        <v>1078</v>
      </c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>
      <c r="A346" s="89"/>
      <c r="B346" s="91" t="s">
        <v>1078</v>
      </c>
      <c r="C346" s="91" t="s">
        <v>29</v>
      </c>
      <c r="D346" s="91" t="s">
        <v>141</v>
      </c>
      <c r="E346" s="91" t="s">
        <v>392</v>
      </c>
      <c r="F346" s="92">
        <v>198.74</v>
      </c>
      <c r="G346" s="93">
        <v>90.0</v>
      </c>
      <c r="H346" s="93">
        <v>2.20822222</v>
      </c>
      <c r="I346" s="94" t="s">
        <v>1078</v>
      </c>
      <c r="J346" s="94" t="s">
        <v>1078</v>
      </c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>
      <c r="A347" s="89"/>
      <c r="B347" s="91" t="s">
        <v>1078</v>
      </c>
      <c r="C347" s="91" t="s">
        <v>42</v>
      </c>
      <c r="D347" s="91" t="s">
        <v>141</v>
      </c>
      <c r="E347" s="91" t="s">
        <v>392</v>
      </c>
      <c r="F347" s="92">
        <v>30.48</v>
      </c>
      <c r="G347" s="93" t="s">
        <v>30</v>
      </c>
      <c r="H347" s="93" t="s">
        <v>30</v>
      </c>
      <c r="I347" s="94" t="s">
        <v>1078</v>
      </c>
      <c r="J347" s="94" t="s">
        <v>1078</v>
      </c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>
      <c r="A348" s="89"/>
      <c r="B348" s="91" t="s">
        <v>1078</v>
      </c>
      <c r="C348" s="91" t="s">
        <v>37</v>
      </c>
      <c r="D348" s="91" t="s">
        <v>141</v>
      </c>
      <c r="E348" s="91" t="s">
        <v>201</v>
      </c>
      <c r="F348" s="92">
        <v>2.85</v>
      </c>
      <c r="G348" s="93">
        <v>2.0</v>
      </c>
      <c r="H348" s="93">
        <v>1.425</v>
      </c>
      <c r="I348" s="94" t="s">
        <v>1078</v>
      </c>
      <c r="J348" s="94" t="s">
        <v>1078</v>
      </c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>
      <c r="A349" s="89"/>
      <c r="B349" s="91" t="s">
        <v>1078</v>
      </c>
      <c r="C349" s="91" t="s">
        <v>29</v>
      </c>
      <c r="D349" s="91" t="s">
        <v>141</v>
      </c>
      <c r="E349" s="91" t="s">
        <v>201</v>
      </c>
      <c r="F349" s="92">
        <v>27.38</v>
      </c>
      <c r="G349" s="93">
        <v>11.0</v>
      </c>
      <c r="H349" s="93">
        <v>2.48909091</v>
      </c>
      <c r="I349" s="94" t="s">
        <v>1078</v>
      </c>
      <c r="J349" s="94" t="s">
        <v>1078</v>
      </c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>
      <c r="A350" s="89"/>
      <c r="B350" s="91" t="s">
        <v>1078</v>
      </c>
      <c r="C350" s="91" t="s">
        <v>42</v>
      </c>
      <c r="D350" s="91" t="s">
        <v>141</v>
      </c>
      <c r="E350" s="91" t="s">
        <v>201</v>
      </c>
      <c r="F350" s="92">
        <v>0.14</v>
      </c>
      <c r="G350" s="93" t="s">
        <v>30</v>
      </c>
      <c r="H350" s="93" t="s">
        <v>30</v>
      </c>
      <c r="I350" s="94" t="s">
        <v>1078</v>
      </c>
      <c r="J350" s="94" t="s">
        <v>1078</v>
      </c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>
      <c r="A351" s="89"/>
      <c r="B351" s="91" t="s">
        <v>1078</v>
      </c>
      <c r="C351" s="91" t="s">
        <v>37</v>
      </c>
      <c r="D351" s="91" t="s">
        <v>141</v>
      </c>
      <c r="E351" s="91" t="s">
        <v>235</v>
      </c>
      <c r="F351" s="92">
        <v>3.5</v>
      </c>
      <c r="G351" s="93">
        <v>2.0</v>
      </c>
      <c r="H351" s="93">
        <v>1.75</v>
      </c>
      <c r="I351" s="94" t="s">
        <v>1078</v>
      </c>
      <c r="J351" s="94" t="s">
        <v>1078</v>
      </c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>
      <c r="A352" s="89"/>
      <c r="B352" s="91" t="s">
        <v>1078</v>
      </c>
      <c r="C352" s="91" t="s">
        <v>42</v>
      </c>
      <c r="D352" s="91" t="s">
        <v>141</v>
      </c>
      <c r="E352" s="91" t="s">
        <v>235</v>
      </c>
      <c r="F352" s="92">
        <v>1.14</v>
      </c>
      <c r="G352" s="93" t="s">
        <v>30</v>
      </c>
      <c r="H352" s="93" t="s">
        <v>30</v>
      </c>
      <c r="I352" s="94" t="s">
        <v>1078</v>
      </c>
      <c r="J352" s="94" t="s">
        <v>1078</v>
      </c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>
      <c r="A353" s="89"/>
      <c r="B353" s="91" t="s">
        <v>1078</v>
      </c>
      <c r="C353" s="91" t="s">
        <v>29</v>
      </c>
      <c r="D353" s="91" t="s">
        <v>141</v>
      </c>
      <c r="E353" s="91" t="s">
        <v>235</v>
      </c>
      <c r="F353" s="92">
        <v>22.02</v>
      </c>
      <c r="G353" s="93">
        <v>6.0</v>
      </c>
      <c r="H353" s="93">
        <v>3.67</v>
      </c>
      <c r="I353" s="94" t="s">
        <v>1078</v>
      </c>
      <c r="J353" s="94" t="s">
        <v>1078</v>
      </c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>
      <c r="A354" s="89"/>
      <c r="B354" s="91" t="s">
        <v>1078</v>
      </c>
      <c r="C354" s="91" t="s">
        <v>37</v>
      </c>
      <c r="D354" s="91" t="s">
        <v>141</v>
      </c>
      <c r="E354" s="91" t="s">
        <v>247</v>
      </c>
      <c r="F354" s="92">
        <v>19.96</v>
      </c>
      <c r="G354" s="93">
        <v>13.0</v>
      </c>
      <c r="H354" s="93">
        <v>1.53538462</v>
      </c>
      <c r="I354" s="94" t="s">
        <v>1078</v>
      </c>
      <c r="J354" s="94" t="s">
        <v>1078</v>
      </c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>
      <c r="A355" s="89"/>
      <c r="B355" s="91" t="s">
        <v>1078</v>
      </c>
      <c r="C355" s="91" t="s">
        <v>42</v>
      </c>
      <c r="D355" s="91" t="s">
        <v>141</v>
      </c>
      <c r="E355" s="91" t="s">
        <v>247</v>
      </c>
      <c r="F355" s="92">
        <v>15.38</v>
      </c>
      <c r="G355" s="93" t="s">
        <v>30</v>
      </c>
      <c r="H355" s="93" t="s">
        <v>30</v>
      </c>
      <c r="I355" s="94" t="s">
        <v>1078</v>
      </c>
      <c r="J355" s="94" t="s">
        <v>1078</v>
      </c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>
      <c r="A356" s="89"/>
      <c r="B356" s="91" t="s">
        <v>1078</v>
      </c>
      <c r="C356" s="91" t="s">
        <v>29</v>
      </c>
      <c r="D356" s="91" t="s">
        <v>141</v>
      </c>
      <c r="E356" s="91" t="s">
        <v>247</v>
      </c>
      <c r="F356" s="92">
        <v>110.84</v>
      </c>
      <c r="G356" s="93">
        <v>54.0</v>
      </c>
      <c r="H356" s="93">
        <v>2.05259259</v>
      </c>
      <c r="I356" s="94" t="s">
        <v>1078</v>
      </c>
      <c r="J356" s="94" t="s">
        <v>1078</v>
      </c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>
      <c r="A357" s="89"/>
      <c r="B357" s="91" t="s">
        <v>1078</v>
      </c>
      <c r="C357" s="91" t="s">
        <v>29</v>
      </c>
      <c r="D357" s="91" t="s">
        <v>419</v>
      </c>
      <c r="E357" s="91" t="s">
        <v>420</v>
      </c>
      <c r="F357" s="92">
        <v>0.01</v>
      </c>
      <c r="G357" s="93" t="s">
        <v>30</v>
      </c>
      <c r="H357" s="93" t="s">
        <v>30</v>
      </c>
      <c r="I357" s="94" t="s">
        <v>1078</v>
      </c>
      <c r="J357" s="94" t="s">
        <v>1078</v>
      </c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>
      <c r="A358" s="89"/>
      <c r="B358" s="91" t="s">
        <v>1078</v>
      </c>
      <c r="C358" s="91" t="s">
        <v>27</v>
      </c>
      <c r="D358" s="91" t="s">
        <v>419</v>
      </c>
      <c r="E358" s="91" t="s">
        <v>420</v>
      </c>
      <c r="F358" s="92">
        <v>0.16</v>
      </c>
      <c r="G358" s="93">
        <v>1.0</v>
      </c>
      <c r="H358" s="93">
        <v>0.16</v>
      </c>
      <c r="I358" s="94" t="s">
        <v>1078</v>
      </c>
      <c r="J358" s="94" t="s">
        <v>1078</v>
      </c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>
      <c r="A359" s="89"/>
      <c r="B359" s="91" t="s">
        <v>1078</v>
      </c>
      <c r="C359" s="91" t="s">
        <v>28</v>
      </c>
      <c r="D359" s="91" t="s">
        <v>419</v>
      </c>
      <c r="E359" s="91" t="s">
        <v>420</v>
      </c>
      <c r="F359" s="92">
        <v>3.23</v>
      </c>
      <c r="G359" s="93">
        <v>3.0</v>
      </c>
      <c r="H359" s="93">
        <v>1.07666667</v>
      </c>
      <c r="I359" s="94" t="s">
        <v>1078</v>
      </c>
      <c r="J359" s="94" t="s">
        <v>1078</v>
      </c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>
      <c r="A360" s="89"/>
      <c r="B360" s="91" t="s">
        <v>1078</v>
      </c>
      <c r="C360" s="91" t="s">
        <v>35</v>
      </c>
      <c r="D360" s="91" t="s">
        <v>419</v>
      </c>
      <c r="E360" s="91" t="s">
        <v>420</v>
      </c>
      <c r="F360" s="92">
        <v>1.13</v>
      </c>
      <c r="G360" s="93" t="s">
        <v>30</v>
      </c>
      <c r="H360" s="93" t="s">
        <v>30</v>
      </c>
      <c r="I360" s="94" t="s">
        <v>1078</v>
      </c>
      <c r="J360" s="94" t="s">
        <v>1078</v>
      </c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>
      <c r="A361" s="89"/>
      <c r="B361" s="91" t="s">
        <v>1078</v>
      </c>
      <c r="C361" s="91" t="s">
        <v>41</v>
      </c>
      <c r="D361" s="91" t="s">
        <v>419</v>
      </c>
      <c r="E361" s="91" t="s">
        <v>420</v>
      </c>
      <c r="F361" s="92">
        <v>0.35</v>
      </c>
      <c r="G361" s="93" t="s">
        <v>30</v>
      </c>
      <c r="H361" s="93" t="s">
        <v>30</v>
      </c>
      <c r="I361" s="94" t="s">
        <v>1078</v>
      </c>
      <c r="J361" s="94" t="s">
        <v>1078</v>
      </c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>
      <c r="A362" s="89"/>
      <c r="B362" s="91" t="s">
        <v>1078</v>
      </c>
      <c r="C362" s="91" t="s">
        <v>28</v>
      </c>
      <c r="D362" s="91" t="s">
        <v>419</v>
      </c>
      <c r="E362" s="91" t="s">
        <v>441</v>
      </c>
      <c r="F362" s="92">
        <v>7.04</v>
      </c>
      <c r="G362" s="93">
        <v>6.0</v>
      </c>
      <c r="H362" s="93">
        <v>1.17333333</v>
      </c>
      <c r="I362" s="94" t="s">
        <v>1078</v>
      </c>
      <c r="J362" s="94" t="s">
        <v>1078</v>
      </c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>
      <c r="A363" s="89"/>
      <c r="B363" s="91" t="s">
        <v>1078</v>
      </c>
      <c r="C363" s="91" t="s">
        <v>34</v>
      </c>
      <c r="D363" s="91" t="s">
        <v>419</v>
      </c>
      <c r="E363" s="91" t="s">
        <v>441</v>
      </c>
      <c r="F363" s="92">
        <v>0.17</v>
      </c>
      <c r="G363" s="93" t="s">
        <v>30</v>
      </c>
      <c r="H363" s="93" t="s">
        <v>30</v>
      </c>
      <c r="I363" s="94" t="s">
        <v>1078</v>
      </c>
      <c r="J363" s="94" t="s">
        <v>1078</v>
      </c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>
      <c r="A364" s="89"/>
      <c r="B364" s="91" t="s">
        <v>1078</v>
      </c>
      <c r="C364" s="91" t="s">
        <v>29</v>
      </c>
      <c r="D364" s="91" t="s">
        <v>419</v>
      </c>
      <c r="E364" s="91" t="s">
        <v>441</v>
      </c>
      <c r="F364" s="92">
        <v>311.31</v>
      </c>
      <c r="G364" s="93">
        <v>2.0</v>
      </c>
      <c r="H364" s="93">
        <v>155.655</v>
      </c>
      <c r="I364" s="94" t="s">
        <v>1078</v>
      </c>
      <c r="J364" s="94" t="s">
        <v>1078</v>
      </c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>
      <c r="A365" s="89"/>
      <c r="B365" s="91" t="s">
        <v>1078</v>
      </c>
      <c r="C365" s="91" t="s">
        <v>27</v>
      </c>
      <c r="D365" s="91" t="s">
        <v>419</v>
      </c>
      <c r="E365" s="91" t="s">
        <v>441</v>
      </c>
      <c r="F365" s="92">
        <v>29.99</v>
      </c>
      <c r="G365" s="93">
        <v>37.0</v>
      </c>
      <c r="H365" s="93">
        <v>0.81054054</v>
      </c>
      <c r="I365" s="94" t="s">
        <v>1078</v>
      </c>
      <c r="J365" s="94" t="s">
        <v>1078</v>
      </c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>
      <c r="A366" s="89"/>
      <c r="B366" s="91" t="s">
        <v>1078</v>
      </c>
      <c r="C366" s="91" t="s">
        <v>35</v>
      </c>
      <c r="D366" s="91" t="s">
        <v>419</v>
      </c>
      <c r="E366" s="91" t="s">
        <v>441</v>
      </c>
      <c r="F366" s="92">
        <v>2.63</v>
      </c>
      <c r="G366" s="93" t="s">
        <v>30</v>
      </c>
      <c r="H366" s="93" t="s">
        <v>30</v>
      </c>
      <c r="I366" s="94" t="s">
        <v>1078</v>
      </c>
      <c r="J366" s="94" t="s">
        <v>1078</v>
      </c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>
      <c r="A367" s="89"/>
      <c r="B367" s="91" t="s">
        <v>1078</v>
      </c>
      <c r="C367" s="91" t="s">
        <v>53</v>
      </c>
      <c r="D367" s="91" t="s">
        <v>419</v>
      </c>
      <c r="E367" s="91" t="s">
        <v>441</v>
      </c>
      <c r="F367" s="92">
        <v>0.11</v>
      </c>
      <c r="G367" s="93" t="s">
        <v>30</v>
      </c>
      <c r="H367" s="93" t="s">
        <v>30</v>
      </c>
      <c r="I367" s="94" t="s">
        <v>1078</v>
      </c>
      <c r="J367" s="94" t="s">
        <v>1078</v>
      </c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>
      <c r="A368" s="89"/>
      <c r="B368" s="91" t="s">
        <v>1078</v>
      </c>
      <c r="C368" s="91" t="s">
        <v>41</v>
      </c>
      <c r="D368" s="91" t="s">
        <v>419</v>
      </c>
      <c r="E368" s="91" t="s">
        <v>441</v>
      </c>
      <c r="F368" s="92">
        <v>0.53</v>
      </c>
      <c r="G368" s="93">
        <v>1.0</v>
      </c>
      <c r="H368" s="93">
        <v>0.53</v>
      </c>
      <c r="I368" s="94" t="s">
        <v>1078</v>
      </c>
      <c r="J368" s="94" t="s">
        <v>1078</v>
      </c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>
      <c r="A369" s="89"/>
      <c r="B369" s="91" t="s">
        <v>1078</v>
      </c>
      <c r="C369" s="91" t="s">
        <v>32</v>
      </c>
      <c r="D369" s="91" t="s">
        <v>419</v>
      </c>
      <c r="E369" s="91" t="s">
        <v>441</v>
      </c>
      <c r="F369" s="92">
        <v>6.3</v>
      </c>
      <c r="G369" s="93">
        <v>3.0</v>
      </c>
      <c r="H369" s="93">
        <v>2.1</v>
      </c>
      <c r="I369" s="94" t="s">
        <v>1078</v>
      </c>
      <c r="J369" s="94" t="s">
        <v>1078</v>
      </c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>
      <c r="A370" s="89"/>
      <c r="B370" s="91" t="s">
        <v>1078</v>
      </c>
      <c r="C370" s="91" t="s">
        <v>34</v>
      </c>
      <c r="D370" s="91" t="s">
        <v>419</v>
      </c>
      <c r="E370" s="91" t="s">
        <v>474</v>
      </c>
      <c r="F370" s="92">
        <v>6.89</v>
      </c>
      <c r="G370" s="93">
        <v>3.0</v>
      </c>
      <c r="H370" s="93">
        <v>2.29666667</v>
      </c>
      <c r="I370" s="94" t="s">
        <v>1078</v>
      </c>
      <c r="J370" s="94" t="s">
        <v>1078</v>
      </c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>
      <c r="A371" s="89"/>
      <c r="B371" s="91" t="s">
        <v>1078</v>
      </c>
      <c r="C371" s="91" t="s">
        <v>53</v>
      </c>
      <c r="D371" s="91" t="s">
        <v>419</v>
      </c>
      <c r="E371" s="91" t="s">
        <v>474</v>
      </c>
      <c r="F371" s="92">
        <v>0.13</v>
      </c>
      <c r="G371" s="93" t="s">
        <v>30</v>
      </c>
      <c r="H371" s="93" t="s">
        <v>30</v>
      </c>
      <c r="I371" s="94" t="s">
        <v>1078</v>
      </c>
      <c r="J371" s="94" t="s">
        <v>1078</v>
      </c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>
      <c r="A372" s="89"/>
      <c r="B372" s="91" t="s">
        <v>1078</v>
      </c>
      <c r="C372" s="91" t="s">
        <v>32</v>
      </c>
      <c r="D372" s="91" t="s">
        <v>419</v>
      </c>
      <c r="E372" s="91" t="s">
        <v>474</v>
      </c>
      <c r="F372" s="92">
        <v>12.91</v>
      </c>
      <c r="G372" s="93">
        <v>7.0</v>
      </c>
      <c r="H372" s="93">
        <v>1.84428571</v>
      </c>
      <c r="I372" s="94" t="s">
        <v>1078</v>
      </c>
      <c r="J372" s="94" t="s">
        <v>1078</v>
      </c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>
      <c r="A373" s="89"/>
      <c r="B373" s="91" t="s">
        <v>1078</v>
      </c>
      <c r="C373" s="91" t="s">
        <v>35</v>
      </c>
      <c r="D373" s="91" t="s">
        <v>419</v>
      </c>
      <c r="E373" s="91" t="s">
        <v>474</v>
      </c>
      <c r="F373" s="92">
        <v>16.43</v>
      </c>
      <c r="G373" s="93" t="s">
        <v>30</v>
      </c>
      <c r="H373" s="93" t="s">
        <v>30</v>
      </c>
      <c r="I373" s="94" t="s">
        <v>1078</v>
      </c>
      <c r="J373" s="94" t="s">
        <v>1078</v>
      </c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>
      <c r="A374" s="89"/>
      <c r="B374" s="91" t="s">
        <v>1078</v>
      </c>
      <c r="C374" s="91" t="s">
        <v>29</v>
      </c>
      <c r="D374" s="91" t="s">
        <v>419</v>
      </c>
      <c r="E374" s="91" t="s">
        <v>474</v>
      </c>
      <c r="F374" s="92">
        <v>315.97</v>
      </c>
      <c r="G374" s="93">
        <v>1.0</v>
      </c>
      <c r="H374" s="93">
        <v>315.97</v>
      </c>
      <c r="I374" s="94" t="s">
        <v>1078</v>
      </c>
      <c r="J374" s="94" t="s">
        <v>1078</v>
      </c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>
      <c r="A375" s="89"/>
      <c r="B375" s="91" t="s">
        <v>1078</v>
      </c>
      <c r="C375" s="91" t="s">
        <v>27</v>
      </c>
      <c r="D375" s="91" t="s">
        <v>419</v>
      </c>
      <c r="E375" s="91" t="s">
        <v>474</v>
      </c>
      <c r="F375" s="92">
        <v>94.52</v>
      </c>
      <c r="G375" s="93">
        <v>131.0</v>
      </c>
      <c r="H375" s="93">
        <v>0.72152672</v>
      </c>
      <c r="I375" s="94" t="s">
        <v>1078</v>
      </c>
      <c r="J375" s="94" t="s">
        <v>1078</v>
      </c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>
      <c r="A376" s="89"/>
      <c r="B376" s="91" t="s">
        <v>1078</v>
      </c>
      <c r="C376" s="91" t="s">
        <v>28</v>
      </c>
      <c r="D376" s="91" t="s">
        <v>419</v>
      </c>
      <c r="E376" s="91" t="s">
        <v>474</v>
      </c>
      <c r="F376" s="92">
        <v>61.72</v>
      </c>
      <c r="G376" s="93">
        <v>39.0</v>
      </c>
      <c r="H376" s="93">
        <v>1.5825641</v>
      </c>
      <c r="I376" s="94" t="s">
        <v>1078</v>
      </c>
      <c r="J376" s="94" t="s">
        <v>1078</v>
      </c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>
      <c r="A377" s="89"/>
      <c r="B377" s="91" t="s">
        <v>1078</v>
      </c>
      <c r="C377" s="91" t="s">
        <v>41</v>
      </c>
      <c r="D377" s="91" t="s">
        <v>419</v>
      </c>
      <c r="E377" s="91" t="s">
        <v>474</v>
      </c>
      <c r="F377" s="92">
        <v>3.02</v>
      </c>
      <c r="G377" s="93">
        <v>3.0</v>
      </c>
      <c r="H377" s="93">
        <v>1.00666667</v>
      </c>
      <c r="I377" s="94" t="s">
        <v>1078</v>
      </c>
      <c r="J377" s="94" t="s">
        <v>1078</v>
      </c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>
      <c r="A378" s="89"/>
      <c r="B378" s="91" t="s">
        <v>1078</v>
      </c>
      <c r="C378" s="91" t="s">
        <v>38</v>
      </c>
      <c r="D378" s="91" t="s">
        <v>507</v>
      </c>
      <c r="E378" s="91" t="s">
        <v>420</v>
      </c>
      <c r="F378" s="92">
        <v>0.36</v>
      </c>
      <c r="G378" s="93" t="s">
        <v>30</v>
      </c>
      <c r="H378" s="93" t="s">
        <v>30</v>
      </c>
      <c r="I378" s="94" t="s">
        <v>1078</v>
      </c>
      <c r="J378" s="94" t="s">
        <v>1078</v>
      </c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>
      <c r="A379" s="89"/>
      <c r="B379" s="91" t="s">
        <v>1078</v>
      </c>
      <c r="C379" s="91" t="s">
        <v>26</v>
      </c>
      <c r="D379" s="91" t="s">
        <v>507</v>
      </c>
      <c r="E379" s="91" t="s">
        <v>420</v>
      </c>
      <c r="F379" s="92">
        <v>0.03</v>
      </c>
      <c r="G379" s="93" t="s">
        <v>30</v>
      </c>
      <c r="H379" s="93" t="s">
        <v>30</v>
      </c>
      <c r="I379" s="94" t="s">
        <v>1078</v>
      </c>
      <c r="J379" s="94" t="s">
        <v>1078</v>
      </c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>
      <c r="A380" s="89"/>
      <c r="B380" s="91" t="s">
        <v>1078</v>
      </c>
      <c r="C380" s="91" t="s">
        <v>39</v>
      </c>
      <c r="D380" s="91" t="s">
        <v>507</v>
      </c>
      <c r="E380" s="91" t="s">
        <v>420</v>
      </c>
      <c r="F380" s="92">
        <v>0.0</v>
      </c>
      <c r="G380" s="93" t="s">
        <v>30</v>
      </c>
      <c r="H380" s="93" t="s">
        <v>30</v>
      </c>
      <c r="I380" s="94" t="s">
        <v>1078</v>
      </c>
      <c r="J380" s="94" t="s">
        <v>1078</v>
      </c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>
      <c r="A381" s="89"/>
      <c r="B381" s="91" t="s">
        <v>1078</v>
      </c>
      <c r="C381" s="91" t="s">
        <v>47</v>
      </c>
      <c r="D381" s="91" t="s">
        <v>507</v>
      </c>
      <c r="E381" s="91" t="s">
        <v>474</v>
      </c>
      <c r="F381" s="92">
        <v>0.03</v>
      </c>
      <c r="G381" s="93" t="s">
        <v>30</v>
      </c>
      <c r="H381" s="93" t="s">
        <v>30</v>
      </c>
      <c r="I381" s="94" t="s">
        <v>1078</v>
      </c>
      <c r="J381" s="94" t="s">
        <v>1078</v>
      </c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>
      <c r="A382" s="89"/>
      <c r="B382" s="91" t="s">
        <v>1078</v>
      </c>
      <c r="C382" s="91" t="s">
        <v>26</v>
      </c>
      <c r="D382" s="91" t="s">
        <v>507</v>
      </c>
      <c r="E382" s="91" t="s">
        <v>474</v>
      </c>
      <c r="F382" s="92">
        <v>0.02</v>
      </c>
      <c r="G382" s="93" t="s">
        <v>30</v>
      </c>
      <c r="H382" s="93" t="s">
        <v>30</v>
      </c>
      <c r="I382" s="94" t="s">
        <v>1078</v>
      </c>
      <c r="J382" s="94" t="s">
        <v>1078</v>
      </c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>
      <c r="A383" s="89"/>
      <c r="B383" s="91" t="s">
        <v>1078</v>
      </c>
      <c r="C383" s="91" t="s">
        <v>51</v>
      </c>
      <c r="D383" s="91" t="s">
        <v>507</v>
      </c>
      <c r="E383" s="91" t="s">
        <v>474</v>
      </c>
      <c r="F383" s="92">
        <v>0.1</v>
      </c>
      <c r="G383" s="93" t="s">
        <v>30</v>
      </c>
      <c r="H383" s="93" t="s">
        <v>30</v>
      </c>
      <c r="I383" s="94" t="s">
        <v>1078</v>
      </c>
      <c r="J383" s="94" t="s">
        <v>1078</v>
      </c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>
      <c r="A384" s="89"/>
      <c r="B384" s="91" t="s">
        <v>1078</v>
      </c>
      <c r="C384" s="91" t="s">
        <v>26</v>
      </c>
      <c r="D384" s="91" t="s">
        <v>507</v>
      </c>
      <c r="E384" s="91" t="s">
        <v>474</v>
      </c>
      <c r="F384" s="92">
        <v>96.96</v>
      </c>
      <c r="G384" s="93">
        <v>3.0</v>
      </c>
      <c r="H384" s="93">
        <v>32.32</v>
      </c>
      <c r="I384" s="94" t="s">
        <v>1078</v>
      </c>
      <c r="J384" s="94" t="s">
        <v>1078</v>
      </c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>
      <c r="A385" s="89"/>
      <c r="B385" s="91" t="s">
        <v>1078</v>
      </c>
      <c r="C385" s="91" t="s">
        <v>42</v>
      </c>
      <c r="D385" s="91" t="s">
        <v>507</v>
      </c>
      <c r="E385" s="91" t="s">
        <v>474</v>
      </c>
      <c r="F385" s="92">
        <v>0.0</v>
      </c>
      <c r="G385" s="93" t="s">
        <v>30</v>
      </c>
      <c r="H385" s="93" t="s">
        <v>30</v>
      </c>
      <c r="I385" s="94" t="s">
        <v>1078</v>
      </c>
      <c r="J385" s="94" t="s">
        <v>1078</v>
      </c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>
      <c r="A386" s="89"/>
      <c r="B386" s="91" t="s">
        <v>1078</v>
      </c>
      <c r="C386" s="91" t="s">
        <v>57</v>
      </c>
      <c r="D386" s="91" t="s">
        <v>507</v>
      </c>
      <c r="E386" s="91" t="s">
        <v>474</v>
      </c>
      <c r="F386" s="92">
        <v>0.0</v>
      </c>
      <c r="G386" s="93" t="s">
        <v>30</v>
      </c>
      <c r="H386" s="93" t="s">
        <v>30</v>
      </c>
      <c r="I386" s="94" t="s">
        <v>1078</v>
      </c>
      <c r="J386" s="94" t="s">
        <v>1078</v>
      </c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>
      <c r="A387" s="89"/>
      <c r="B387" s="91" t="s">
        <v>1078</v>
      </c>
      <c r="C387" s="91" t="s">
        <v>26</v>
      </c>
      <c r="D387" s="91" t="s">
        <v>507</v>
      </c>
      <c r="E387" s="91" t="s">
        <v>441</v>
      </c>
      <c r="F387" s="92">
        <v>0.4</v>
      </c>
      <c r="G387" s="93" t="s">
        <v>30</v>
      </c>
      <c r="H387" s="93" t="s">
        <v>30</v>
      </c>
      <c r="I387" s="94" t="s">
        <v>1078</v>
      </c>
      <c r="J387" s="94" t="s">
        <v>1078</v>
      </c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>
      <c r="A388" s="89"/>
      <c r="B388" s="91" t="s">
        <v>1078</v>
      </c>
      <c r="C388" s="91" t="s">
        <v>26</v>
      </c>
      <c r="D388" s="91" t="s">
        <v>507</v>
      </c>
      <c r="E388" s="91" t="s">
        <v>441</v>
      </c>
      <c r="F388" s="92">
        <v>242.58</v>
      </c>
      <c r="G388" s="93">
        <v>3.0</v>
      </c>
      <c r="H388" s="93">
        <v>80.86</v>
      </c>
      <c r="I388" s="94" t="s">
        <v>1078</v>
      </c>
      <c r="J388" s="94" t="s">
        <v>1078</v>
      </c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>
      <c r="A389" s="89"/>
      <c r="B389" s="91" t="s">
        <v>1078</v>
      </c>
      <c r="C389" s="91" t="s">
        <v>42</v>
      </c>
      <c r="D389" s="91" t="s">
        <v>507</v>
      </c>
      <c r="E389" s="91" t="s">
        <v>441</v>
      </c>
      <c r="F389" s="92">
        <v>0.65</v>
      </c>
      <c r="G389" s="93">
        <v>1.0</v>
      </c>
      <c r="H389" s="93">
        <v>0.65</v>
      </c>
      <c r="I389" s="94" t="s">
        <v>1078</v>
      </c>
      <c r="J389" s="94" t="s">
        <v>1078</v>
      </c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>
      <c r="A390" s="89"/>
      <c r="B390" s="91" t="s">
        <v>1078</v>
      </c>
      <c r="C390" s="91" t="s">
        <v>51</v>
      </c>
      <c r="D390" s="91" t="s">
        <v>507</v>
      </c>
      <c r="E390" s="91" t="s">
        <v>441</v>
      </c>
      <c r="F390" s="92">
        <v>0.09</v>
      </c>
      <c r="G390" s="93" t="s">
        <v>30</v>
      </c>
      <c r="H390" s="93" t="s">
        <v>30</v>
      </c>
      <c r="I390" s="94" t="s">
        <v>1078</v>
      </c>
      <c r="J390" s="94" t="s">
        <v>1078</v>
      </c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>
      <c r="A391" s="89"/>
      <c r="B391" s="91" t="s">
        <v>1078</v>
      </c>
      <c r="C391" s="91" t="s">
        <v>38</v>
      </c>
      <c r="D391" s="91" t="s">
        <v>507</v>
      </c>
      <c r="E391" s="91" t="s">
        <v>441</v>
      </c>
      <c r="F391" s="92">
        <v>0.04</v>
      </c>
      <c r="G391" s="93" t="s">
        <v>30</v>
      </c>
      <c r="H391" s="93" t="s">
        <v>30</v>
      </c>
      <c r="I391" s="94" t="s">
        <v>1078</v>
      </c>
      <c r="J391" s="94" t="s">
        <v>1078</v>
      </c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>
      <c r="A392" s="89"/>
      <c r="B392" s="91" t="s">
        <v>1078</v>
      </c>
      <c r="C392" s="91" t="s">
        <v>57</v>
      </c>
      <c r="D392" s="91" t="s">
        <v>507</v>
      </c>
      <c r="E392" s="91" t="s">
        <v>441</v>
      </c>
      <c r="F392" s="92">
        <v>0.04</v>
      </c>
      <c r="G392" s="93" t="s">
        <v>30</v>
      </c>
      <c r="H392" s="93" t="s">
        <v>30</v>
      </c>
      <c r="I392" s="94" t="s">
        <v>1078</v>
      </c>
      <c r="J392" s="94" t="s">
        <v>1078</v>
      </c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>
      <c r="A393" s="89"/>
      <c r="B393" s="91" t="s">
        <v>1078</v>
      </c>
      <c r="C393" s="91" t="s">
        <v>39</v>
      </c>
      <c r="D393" s="91" t="s">
        <v>507</v>
      </c>
      <c r="E393" s="91" t="s">
        <v>441</v>
      </c>
      <c r="F393" s="92">
        <v>0.23</v>
      </c>
      <c r="G393" s="93" t="s">
        <v>30</v>
      </c>
      <c r="H393" s="93" t="s">
        <v>30</v>
      </c>
      <c r="I393" s="94" t="s">
        <v>1078</v>
      </c>
      <c r="J393" s="94" t="s">
        <v>1078</v>
      </c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>
      <c r="A394" s="89"/>
      <c r="B394" s="91" t="s">
        <v>1078</v>
      </c>
      <c r="C394" s="91" t="s">
        <v>36</v>
      </c>
      <c r="D394" s="91" t="s">
        <v>507</v>
      </c>
      <c r="E394" s="91" t="s">
        <v>441</v>
      </c>
      <c r="F394" s="92">
        <v>0.01</v>
      </c>
      <c r="G394" s="93" t="s">
        <v>30</v>
      </c>
      <c r="H394" s="93" t="s">
        <v>30</v>
      </c>
      <c r="I394" s="94" t="s">
        <v>1078</v>
      </c>
      <c r="J394" s="94" t="s">
        <v>1078</v>
      </c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>
      <c r="A395" s="89"/>
      <c r="B395" s="91" t="s">
        <v>1078</v>
      </c>
      <c r="C395" s="91" t="s">
        <v>47</v>
      </c>
      <c r="D395" s="91" t="s">
        <v>507</v>
      </c>
      <c r="E395" s="91" t="s">
        <v>441</v>
      </c>
      <c r="F395" s="92">
        <v>1.06</v>
      </c>
      <c r="G395" s="93">
        <v>1.0</v>
      </c>
      <c r="H395" s="93">
        <v>1.06</v>
      </c>
      <c r="I395" s="94" t="s">
        <v>1078</v>
      </c>
      <c r="J395" s="94" t="s">
        <v>1078</v>
      </c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>
      <c r="A396" s="89"/>
      <c r="B396" s="91" t="s">
        <v>1078</v>
      </c>
      <c r="C396" s="91" t="s">
        <v>42</v>
      </c>
      <c r="D396" s="91" t="s">
        <v>600</v>
      </c>
      <c r="E396" s="91" t="s">
        <v>420</v>
      </c>
      <c r="F396" s="92">
        <v>0.08</v>
      </c>
      <c r="G396" s="93" t="s">
        <v>30</v>
      </c>
      <c r="H396" s="93" t="s">
        <v>30</v>
      </c>
      <c r="I396" s="94" t="s">
        <v>1078</v>
      </c>
      <c r="J396" s="94" t="s">
        <v>1078</v>
      </c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>
      <c r="A397" s="89"/>
      <c r="B397" s="91" t="s">
        <v>1078</v>
      </c>
      <c r="C397" s="91" t="s">
        <v>29</v>
      </c>
      <c r="D397" s="91" t="s">
        <v>600</v>
      </c>
      <c r="E397" s="91" t="s">
        <v>420</v>
      </c>
      <c r="F397" s="92">
        <v>116.82</v>
      </c>
      <c r="G397" s="93">
        <v>72.0</v>
      </c>
      <c r="H397" s="93">
        <v>1.6225</v>
      </c>
      <c r="I397" s="94" t="s">
        <v>1078</v>
      </c>
      <c r="J397" s="94" t="s">
        <v>1078</v>
      </c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>
      <c r="A398" s="89"/>
      <c r="B398" s="91" t="s">
        <v>1078</v>
      </c>
      <c r="C398" s="91" t="s">
        <v>37</v>
      </c>
      <c r="D398" s="91" t="s">
        <v>600</v>
      </c>
      <c r="E398" s="91" t="s">
        <v>420</v>
      </c>
      <c r="F398" s="92">
        <v>0.94</v>
      </c>
      <c r="G398" s="93">
        <v>1.0</v>
      </c>
      <c r="H398" s="93">
        <v>0.94</v>
      </c>
      <c r="I398" s="94" t="s">
        <v>1078</v>
      </c>
      <c r="J398" s="94" t="s">
        <v>1078</v>
      </c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>
      <c r="A399" s="89"/>
      <c r="B399" s="91" t="s">
        <v>1078</v>
      </c>
      <c r="C399" s="91" t="s">
        <v>29</v>
      </c>
      <c r="D399" s="91" t="s">
        <v>600</v>
      </c>
      <c r="E399" s="91" t="s">
        <v>474</v>
      </c>
      <c r="F399" s="92">
        <v>664.7</v>
      </c>
      <c r="G399" s="93">
        <v>350.0</v>
      </c>
      <c r="H399" s="93">
        <v>1.89914286</v>
      </c>
      <c r="I399" s="94" t="s">
        <v>1078</v>
      </c>
      <c r="J399" s="94" t="s">
        <v>1078</v>
      </c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>
      <c r="A400" s="89"/>
      <c r="B400" s="91" t="s">
        <v>1078</v>
      </c>
      <c r="C400" s="91" t="s">
        <v>42</v>
      </c>
      <c r="D400" s="91" t="s">
        <v>600</v>
      </c>
      <c r="E400" s="91" t="s">
        <v>474</v>
      </c>
      <c r="F400" s="92">
        <v>1.05</v>
      </c>
      <c r="G400" s="93" t="s">
        <v>30</v>
      </c>
      <c r="H400" s="93" t="s">
        <v>30</v>
      </c>
      <c r="I400" s="94" t="s">
        <v>1078</v>
      </c>
      <c r="J400" s="94" t="s">
        <v>1078</v>
      </c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>
      <c r="A401" s="89"/>
      <c r="B401" s="91" t="s">
        <v>1078</v>
      </c>
      <c r="C401" s="91" t="s">
        <v>37</v>
      </c>
      <c r="D401" s="91" t="s">
        <v>600</v>
      </c>
      <c r="E401" s="91" t="s">
        <v>474</v>
      </c>
      <c r="F401" s="92">
        <v>1.5</v>
      </c>
      <c r="G401" s="93">
        <v>1.0</v>
      </c>
      <c r="H401" s="93">
        <v>1.5</v>
      </c>
      <c r="I401" s="94" t="s">
        <v>1078</v>
      </c>
      <c r="J401" s="94" t="s">
        <v>1078</v>
      </c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>
      <c r="A402" s="89"/>
      <c r="B402" s="91" t="s">
        <v>1078</v>
      </c>
      <c r="C402" s="91" t="s">
        <v>37</v>
      </c>
      <c r="D402" s="91" t="s">
        <v>600</v>
      </c>
      <c r="E402" s="91" t="s">
        <v>441</v>
      </c>
      <c r="F402" s="92">
        <v>26.04</v>
      </c>
      <c r="G402" s="93">
        <v>17.0</v>
      </c>
      <c r="H402" s="93">
        <v>1.53176471</v>
      </c>
      <c r="I402" s="94" t="s">
        <v>1078</v>
      </c>
      <c r="J402" s="94" t="s">
        <v>1078</v>
      </c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>
      <c r="A403" s="89"/>
      <c r="B403" s="91" t="s">
        <v>1078</v>
      </c>
      <c r="C403" s="91" t="s">
        <v>42</v>
      </c>
      <c r="D403" s="91" t="s">
        <v>600</v>
      </c>
      <c r="E403" s="91" t="s">
        <v>441</v>
      </c>
      <c r="F403" s="92">
        <v>5.85</v>
      </c>
      <c r="G403" s="93">
        <v>2.0</v>
      </c>
      <c r="H403" s="93">
        <v>2.925</v>
      </c>
      <c r="I403" s="94" t="s">
        <v>1078</v>
      </c>
      <c r="J403" s="94" t="s">
        <v>1078</v>
      </c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>
      <c r="A404" s="89"/>
      <c r="B404" s="91" t="s">
        <v>1078</v>
      </c>
      <c r="C404" s="91" t="s">
        <v>29</v>
      </c>
      <c r="D404" s="91" t="s">
        <v>600</v>
      </c>
      <c r="E404" s="91" t="s">
        <v>441</v>
      </c>
      <c r="F404" s="92">
        <v>571.93</v>
      </c>
      <c r="G404" s="93">
        <v>287.0</v>
      </c>
      <c r="H404" s="93">
        <v>1.99278746</v>
      </c>
      <c r="I404" s="94" t="s">
        <v>1078</v>
      </c>
      <c r="J404" s="94" t="s">
        <v>1078</v>
      </c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>
      <c r="A405" s="89"/>
      <c r="B405" s="91" t="s">
        <v>1078</v>
      </c>
      <c r="C405" s="91" t="s">
        <v>32</v>
      </c>
      <c r="D405" s="91" t="s">
        <v>637</v>
      </c>
      <c r="E405" s="91" t="s">
        <v>638</v>
      </c>
      <c r="F405" s="92">
        <v>0.58</v>
      </c>
      <c r="G405" s="93" t="s">
        <v>30</v>
      </c>
      <c r="H405" s="93" t="s">
        <v>30</v>
      </c>
      <c r="I405" s="94" t="s">
        <v>1078</v>
      </c>
      <c r="J405" s="94" t="s">
        <v>1078</v>
      </c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>
      <c r="A406" s="89"/>
      <c r="B406" s="91" t="s">
        <v>1078</v>
      </c>
      <c r="C406" s="91" t="s">
        <v>29</v>
      </c>
      <c r="D406" s="91" t="s">
        <v>637</v>
      </c>
      <c r="E406" s="91" t="s">
        <v>638</v>
      </c>
      <c r="F406" s="92">
        <v>0.47</v>
      </c>
      <c r="G406" s="93" t="s">
        <v>30</v>
      </c>
      <c r="H406" s="93" t="s">
        <v>30</v>
      </c>
      <c r="I406" s="94" t="s">
        <v>1078</v>
      </c>
      <c r="J406" s="94" t="s">
        <v>1078</v>
      </c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>
      <c r="A407" s="89"/>
      <c r="B407" s="91" t="s">
        <v>1078</v>
      </c>
      <c r="C407" s="91" t="s">
        <v>35</v>
      </c>
      <c r="D407" s="91" t="s">
        <v>637</v>
      </c>
      <c r="E407" s="91" t="s">
        <v>638</v>
      </c>
      <c r="F407" s="92">
        <v>0.48</v>
      </c>
      <c r="G407" s="93" t="s">
        <v>30</v>
      </c>
      <c r="H407" s="93" t="s">
        <v>30</v>
      </c>
      <c r="I407" s="94" t="s">
        <v>1078</v>
      </c>
      <c r="J407" s="94" t="s">
        <v>1078</v>
      </c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>
      <c r="A408" s="89"/>
      <c r="B408" s="91" t="s">
        <v>1078</v>
      </c>
      <c r="C408" s="91" t="s">
        <v>41</v>
      </c>
      <c r="D408" s="91" t="s">
        <v>637</v>
      </c>
      <c r="E408" s="91" t="s">
        <v>638</v>
      </c>
      <c r="F408" s="92">
        <v>0.45</v>
      </c>
      <c r="G408" s="93" t="s">
        <v>30</v>
      </c>
      <c r="H408" s="93" t="s">
        <v>30</v>
      </c>
      <c r="I408" s="94" t="s">
        <v>1078</v>
      </c>
      <c r="J408" s="94" t="s">
        <v>1078</v>
      </c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>
      <c r="A409" s="89"/>
      <c r="B409" s="91" t="s">
        <v>1078</v>
      </c>
      <c r="C409" s="91" t="s">
        <v>27</v>
      </c>
      <c r="D409" s="91" t="s">
        <v>637</v>
      </c>
      <c r="E409" s="91" t="s">
        <v>638</v>
      </c>
      <c r="F409" s="92">
        <v>2.04</v>
      </c>
      <c r="G409" s="93" t="s">
        <v>30</v>
      </c>
      <c r="H409" s="93" t="s">
        <v>30</v>
      </c>
      <c r="I409" s="94" t="s">
        <v>1078</v>
      </c>
      <c r="J409" s="94" t="s">
        <v>1078</v>
      </c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>
      <c r="A410" s="89"/>
      <c r="B410" s="91" t="s">
        <v>1078</v>
      </c>
      <c r="C410" s="91" t="s">
        <v>53</v>
      </c>
      <c r="D410" s="91" t="s">
        <v>637</v>
      </c>
      <c r="E410" s="91" t="s">
        <v>638</v>
      </c>
      <c r="F410" s="92">
        <v>0.11</v>
      </c>
      <c r="G410" s="93">
        <v>1.0</v>
      </c>
      <c r="H410" s="93">
        <v>0.11</v>
      </c>
      <c r="I410" s="94" t="s">
        <v>1078</v>
      </c>
      <c r="J410" s="94" t="s">
        <v>1078</v>
      </c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>
      <c r="A411" s="89"/>
      <c r="B411" s="91" t="s">
        <v>1078</v>
      </c>
      <c r="C411" s="91" t="s">
        <v>28</v>
      </c>
      <c r="D411" s="91" t="s">
        <v>637</v>
      </c>
      <c r="E411" s="91" t="s">
        <v>638</v>
      </c>
      <c r="F411" s="92">
        <v>11.46</v>
      </c>
      <c r="G411" s="93">
        <v>5.0</v>
      </c>
      <c r="H411" s="93">
        <v>2.292</v>
      </c>
      <c r="I411" s="94" t="s">
        <v>1078</v>
      </c>
      <c r="J411" s="94" t="s">
        <v>1078</v>
      </c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>
      <c r="A412" s="89"/>
      <c r="B412" s="91" t="s">
        <v>1078</v>
      </c>
      <c r="C412" s="91" t="s">
        <v>34</v>
      </c>
      <c r="D412" s="91" t="s">
        <v>637</v>
      </c>
      <c r="E412" s="91" t="s">
        <v>638</v>
      </c>
      <c r="F412" s="92">
        <v>1.09</v>
      </c>
      <c r="G412" s="93" t="s">
        <v>30</v>
      </c>
      <c r="H412" s="93" t="s">
        <v>30</v>
      </c>
      <c r="I412" s="94" t="s">
        <v>1078</v>
      </c>
      <c r="J412" s="94" t="s">
        <v>1078</v>
      </c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>
      <c r="A413" s="89"/>
      <c r="B413" s="91" t="s">
        <v>1078</v>
      </c>
      <c r="C413" s="91" t="s">
        <v>32</v>
      </c>
      <c r="D413" s="91" t="s">
        <v>637</v>
      </c>
      <c r="E413" s="91" t="s">
        <v>671</v>
      </c>
      <c r="F413" s="92">
        <v>12.73</v>
      </c>
      <c r="G413" s="93">
        <v>13.0</v>
      </c>
      <c r="H413" s="93">
        <v>0.97923077</v>
      </c>
      <c r="I413" s="94" t="s">
        <v>1078</v>
      </c>
      <c r="J413" s="94" t="s">
        <v>1078</v>
      </c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>
      <c r="A414" s="89"/>
      <c r="B414" s="91" t="s">
        <v>1078</v>
      </c>
      <c r="C414" s="91" t="s">
        <v>41</v>
      </c>
      <c r="D414" s="91" t="s">
        <v>637</v>
      </c>
      <c r="E414" s="91" t="s">
        <v>671</v>
      </c>
      <c r="F414" s="92">
        <v>4.47</v>
      </c>
      <c r="G414" s="93">
        <v>2.0</v>
      </c>
      <c r="H414" s="93">
        <v>2.235</v>
      </c>
      <c r="I414" s="94" t="s">
        <v>1078</v>
      </c>
      <c r="J414" s="94" t="s">
        <v>1078</v>
      </c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>
      <c r="A415" s="89"/>
      <c r="B415" s="91" t="s">
        <v>1078</v>
      </c>
      <c r="C415" s="91" t="s">
        <v>29</v>
      </c>
      <c r="D415" s="91" t="s">
        <v>637</v>
      </c>
      <c r="E415" s="91" t="s">
        <v>671</v>
      </c>
      <c r="F415" s="92">
        <v>158.09</v>
      </c>
      <c r="G415" s="93" t="s">
        <v>30</v>
      </c>
      <c r="H415" s="93" t="s">
        <v>30</v>
      </c>
      <c r="I415" s="94" t="s">
        <v>1078</v>
      </c>
      <c r="J415" s="94" t="s">
        <v>1078</v>
      </c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>
      <c r="A416" s="89"/>
      <c r="B416" s="91" t="s">
        <v>1078</v>
      </c>
      <c r="C416" s="91" t="s">
        <v>28</v>
      </c>
      <c r="D416" s="91" t="s">
        <v>637</v>
      </c>
      <c r="E416" s="91" t="s">
        <v>671</v>
      </c>
      <c r="F416" s="92">
        <v>185.89</v>
      </c>
      <c r="G416" s="93">
        <v>97.0</v>
      </c>
      <c r="H416" s="93">
        <v>1.91639175</v>
      </c>
      <c r="I416" s="94" t="s">
        <v>1078</v>
      </c>
      <c r="J416" s="94" t="s">
        <v>1078</v>
      </c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>
      <c r="A417" s="89"/>
      <c r="B417" s="91" t="s">
        <v>1078</v>
      </c>
      <c r="C417" s="91" t="s">
        <v>35</v>
      </c>
      <c r="D417" s="91" t="s">
        <v>637</v>
      </c>
      <c r="E417" s="91" t="s">
        <v>671</v>
      </c>
      <c r="F417" s="92">
        <v>41.66</v>
      </c>
      <c r="G417" s="93" t="s">
        <v>30</v>
      </c>
      <c r="H417" s="93" t="s">
        <v>30</v>
      </c>
      <c r="I417" s="94" t="s">
        <v>1078</v>
      </c>
      <c r="J417" s="94" t="s">
        <v>1078</v>
      </c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>
      <c r="A418" s="89"/>
      <c r="B418" s="91" t="s">
        <v>1078</v>
      </c>
      <c r="C418" s="91" t="s">
        <v>53</v>
      </c>
      <c r="D418" s="91" t="s">
        <v>637</v>
      </c>
      <c r="E418" s="91" t="s">
        <v>671</v>
      </c>
      <c r="F418" s="92">
        <v>1.17</v>
      </c>
      <c r="G418" s="93">
        <v>1.0</v>
      </c>
      <c r="H418" s="93">
        <v>1.17</v>
      </c>
      <c r="I418" s="94" t="s">
        <v>1078</v>
      </c>
      <c r="J418" s="94" t="s">
        <v>1078</v>
      </c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>
      <c r="A419" s="89"/>
      <c r="B419" s="91" t="s">
        <v>1078</v>
      </c>
      <c r="C419" s="91" t="s">
        <v>27</v>
      </c>
      <c r="D419" s="91" t="s">
        <v>637</v>
      </c>
      <c r="E419" s="91" t="s">
        <v>671</v>
      </c>
      <c r="F419" s="92">
        <v>205.82</v>
      </c>
      <c r="G419" s="93">
        <v>215.0</v>
      </c>
      <c r="H419" s="93">
        <v>0.95730233</v>
      </c>
      <c r="I419" s="94" t="s">
        <v>1078</v>
      </c>
      <c r="J419" s="94" t="s">
        <v>1078</v>
      </c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>
      <c r="A420" s="89"/>
      <c r="B420" s="91" t="s">
        <v>1078</v>
      </c>
      <c r="C420" s="91" t="s">
        <v>34</v>
      </c>
      <c r="D420" s="91" t="s">
        <v>637</v>
      </c>
      <c r="E420" s="91" t="s">
        <v>671</v>
      </c>
      <c r="F420" s="92">
        <v>20.07</v>
      </c>
      <c r="G420" s="93">
        <v>10.0</v>
      </c>
      <c r="H420" s="93">
        <v>2.007</v>
      </c>
      <c r="I420" s="94" t="s">
        <v>1078</v>
      </c>
      <c r="J420" s="94" t="s">
        <v>1078</v>
      </c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>
      <c r="A421" s="89"/>
      <c r="B421" s="91" t="s">
        <v>1078</v>
      </c>
      <c r="C421" s="91" t="s">
        <v>47</v>
      </c>
      <c r="D421" s="91" t="s">
        <v>704</v>
      </c>
      <c r="E421" s="91" t="s">
        <v>638</v>
      </c>
      <c r="F421" s="92">
        <v>4.46</v>
      </c>
      <c r="G421" s="93">
        <v>1.0</v>
      </c>
      <c r="H421" s="93">
        <v>4.46</v>
      </c>
      <c r="I421" s="94" t="s">
        <v>1078</v>
      </c>
      <c r="J421" s="94" t="s">
        <v>1078</v>
      </c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>
      <c r="A422" s="89"/>
      <c r="B422" s="91" t="s">
        <v>1078</v>
      </c>
      <c r="C422" s="91" t="s">
        <v>51</v>
      </c>
      <c r="D422" s="91" t="s">
        <v>704</v>
      </c>
      <c r="E422" s="91" t="s">
        <v>638</v>
      </c>
      <c r="F422" s="92">
        <v>1.16</v>
      </c>
      <c r="G422" s="93">
        <v>1.0</v>
      </c>
      <c r="H422" s="93">
        <v>1.16</v>
      </c>
      <c r="I422" s="94" t="s">
        <v>1078</v>
      </c>
      <c r="J422" s="94" t="s">
        <v>1078</v>
      </c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>
      <c r="A423" s="89"/>
      <c r="B423" s="91" t="s">
        <v>1078</v>
      </c>
      <c r="C423" s="91" t="s">
        <v>36</v>
      </c>
      <c r="D423" s="91" t="s">
        <v>704</v>
      </c>
      <c r="E423" s="91" t="s">
        <v>638</v>
      </c>
      <c r="F423" s="92">
        <v>0.46</v>
      </c>
      <c r="G423" s="93" t="s">
        <v>30</v>
      </c>
      <c r="H423" s="93" t="s">
        <v>30</v>
      </c>
      <c r="I423" s="94" t="s">
        <v>1078</v>
      </c>
      <c r="J423" s="94" t="s">
        <v>1078</v>
      </c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>
      <c r="A424" s="89"/>
      <c r="B424" s="91" t="s">
        <v>1078</v>
      </c>
      <c r="C424" s="91" t="s">
        <v>39</v>
      </c>
      <c r="D424" s="91" t="s">
        <v>704</v>
      </c>
      <c r="E424" s="91" t="s">
        <v>638</v>
      </c>
      <c r="F424" s="92">
        <v>2.38</v>
      </c>
      <c r="G424" s="93" t="s">
        <v>30</v>
      </c>
      <c r="H424" s="93" t="s">
        <v>30</v>
      </c>
      <c r="I424" s="94" t="s">
        <v>1078</v>
      </c>
      <c r="J424" s="94" t="s">
        <v>1078</v>
      </c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>
      <c r="A425" s="89"/>
      <c r="B425" s="91" t="s">
        <v>1078</v>
      </c>
      <c r="C425" s="91" t="s">
        <v>26</v>
      </c>
      <c r="D425" s="91" t="s">
        <v>704</v>
      </c>
      <c r="E425" s="91" t="s">
        <v>638</v>
      </c>
      <c r="F425" s="92">
        <v>11.89</v>
      </c>
      <c r="G425" s="93">
        <v>8.0</v>
      </c>
      <c r="H425" s="93">
        <v>1.48625</v>
      </c>
      <c r="I425" s="94" t="s">
        <v>1078</v>
      </c>
      <c r="J425" s="94" t="s">
        <v>1078</v>
      </c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>
      <c r="A426" s="89"/>
      <c r="B426" s="91" t="s">
        <v>1078</v>
      </c>
      <c r="C426" s="91" t="s">
        <v>26</v>
      </c>
      <c r="D426" s="91" t="s">
        <v>704</v>
      </c>
      <c r="E426" s="91" t="s">
        <v>638</v>
      </c>
      <c r="F426" s="92">
        <v>27.9</v>
      </c>
      <c r="G426" s="93" t="s">
        <v>30</v>
      </c>
      <c r="H426" s="93" t="s">
        <v>30</v>
      </c>
      <c r="I426" s="94" t="s">
        <v>1078</v>
      </c>
      <c r="J426" s="94" t="s">
        <v>1078</v>
      </c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>
      <c r="A427" s="89"/>
      <c r="B427" s="91" t="s">
        <v>1078</v>
      </c>
      <c r="C427" s="91" t="s">
        <v>57</v>
      </c>
      <c r="D427" s="91" t="s">
        <v>704</v>
      </c>
      <c r="E427" s="91" t="s">
        <v>638</v>
      </c>
      <c r="F427" s="92">
        <v>1.19</v>
      </c>
      <c r="G427" s="93" t="s">
        <v>30</v>
      </c>
      <c r="H427" s="93" t="s">
        <v>30</v>
      </c>
      <c r="I427" s="94" t="s">
        <v>1078</v>
      </c>
      <c r="J427" s="94" t="s">
        <v>1078</v>
      </c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>
      <c r="A428" s="89"/>
      <c r="B428" s="91" t="s">
        <v>1078</v>
      </c>
      <c r="C428" s="91" t="s">
        <v>42</v>
      </c>
      <c r="D428" s="91" t="s">
        <v>704</v>
      </c>
      <c r="E428" s="91" t="s">
        <v>638</v>
      </c>
      <c r="F428" s="92">
        <v>0.85</v>
      </c>
      <c r="G428" s="93" t="s">
        <v>30</v>
      </c>
      <c r="H428" s="93" t="s">
        <v>30</v>
      </c>
      <c r="I428" s="94" t="s">
        <v>1078</v>
      </c>
      <c r="J428" s="94" t="s">
        <v>1078</v>
      </c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>
      <c r="A429" s="89"/>
      <c r="B429" s="91" t="s">
        <v>1078</v>
      </c>
      <c r="C429" s="91" t="s">
        <v>38</v>
      </c>
      <c r="D429" s="91" t="s">
        <v>704</v>
      </c>
      <c r="E429" s="91" t="s">
        <v>638</v>
      </c>
      <c r="F429" s="92">
        <v>28.77</v>
      </c>
      <c r="G429" s="93">
        <v>14.0</v>
      </c>
      <c r="H429" s="93">
        <v>2.055</v>
      </c>
      <c r="I429" s="94" t="s">
        <v>1078</v>
      </c>
      <c r="J429" s="94" t="s">
        <v>1078</v>
      </c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>
      <c r="A430" s="89"/>
      <c r="B430" s="91" t="s">
        <v>1078</v>
      </c>
      <c r="C430" s="91" t="s">
        <v>42</v>
      </c>
      <c r="D430" s="91" t="s">
        <v>704</v>
      </c>
      <c r="E430" s="91" t="s">
        <v>671</v>
      </c>
      <c r="F430" s="92">
        <v>145.63</v>
      </c>
      <c r="G430" s="93">
        <v>58.0</v>
      </c>
      <c r="H430" s="93">
        <v>2.51086207</v>
      </c>
      <c r="I430" s="94" t="s">
        <v>1078</v>
      </c>
      <c r="J430" s="94" t="s">
        <v>1078</v>
      </c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>
      <c r="A431" s="89"/>
      <c r="B431" s="91" t="s">
        <v>1078</v>
      </c>
      <c r="C431" s="91" t="s">
        <v>47</v>
      </c>
      <c r="D431" s="91" t="s">
        <v>704</v>
      </c>
      <c r="E431" s="91" t="s">
        <v>671</v>
      </c>
      <c r="F431" s="92">
        <v>24.13</v>
      </c>
      <c r="G431" s="93">
        <v>6.0</v>
      </c>
      <c r="H431" s="93">
        <v>4.02166667</v>
      </c>
      <c r="I431" s="94" t="s">
        <v>1078</v>
      </c>
      <c r="J431" s="94" t="s">
        <v>1078</v>
      </c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>
      <c r="A432" s="89"/>
      <c r="B432" s="91" t="s">
        <v>1078</v>
      </c>
      <c r="C432" s="91" t="s">
        <v>38</v>
      </c>
      <c r="D432" s="91" t="s">
        <v>704</v>
      </c>
      <c r="E432" s="91" t="s">
        <v>671</v>
      </c>
      <c r="F432" s="92">
        <v>355.58</v>
      </c>
      <c r="G432" s="93">
        <v>131.0</v>
      </c>
      <c r="H432" s="93">
        <v>2.71435115</v>
      </c>
      <c r="I432" s="94" t="s">
        <v>1078</v>
      </c>
      <c r="J432" s="94" t="s">
        <v>1078</v>
      </c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>
      <c r="A433" s="89"/>
      <c r="B433" s="91" t="s">
        <v>1078</v>
      </c>
      <c r="C433" s="91" t="s">
        <v>36</v>
      </c>
      <c r="D433" s="91" t="s">
        <v>704</v>
      </c>
      <c r="E433" s="91" t="s">
        <v>671</v>
      </c>
      <c r="F433" s="92">
        <v>17.09</v>
      </c>
      <c r="G433" s="93">
        <v>3.0</v>
      </c>
      <c r="H433" s="93">
        <v>5.69666667</v>
      </c>
      <c r="I433" s="94" t="s">
        <v>1078</v>
      </c>
      <c r="J433" s="94" t="s">
        <v>1078</v>
      </c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>
      <c r="A434" s="89"/>
      <c r="B434" s="91" t="s">
        <v>1078</v>
      </c>
      <c r="C434" s="91" t="s">
        <v>51</v>
      </c>
      <c r="D434" s="91" t="s">
        <v>704</v>
      </c>
      <c r="E434" s="91" t="s">
        <v>671</v>
      </c>
      <c r="F434" s="92">
        <v>2.17</v>
      </c>
      <c r="G434" s="93">
        <v>1.0</v>
      </c>
      <c r="H434" s="93">
        <v>2.17</v>
      </c>
      <c r="I434" s="94" t="s">
        <v>1078</v>
      </c>
      <c r="J434" s="94" t="s">
        <v>1078</v>
      </c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>
      <c r="A435" s="89"/>
      <c r="B435" s="91" t="s">
        <v>1078</v>
      </c>
      <c r="C435" s="91" t="s">
        <v>39</v>
      </c>
      <c r="D435" s="91" t="s">
        <v>704</v>
      </c>
      <c r="E435" s="91" t="s">
        <v>671</v>
      </c>
      <c r="F435" s="92">
        <v>127.51</v>
      </c>
      <c r="G435" s="93">
        <v>42.0</v>
      </c>
      <c r="H435" s="93">
        <v>3.03595238</v>
      </c>
      <c r="I435" s="94" t="s">
        <v>1078</v>
      </c>
      <c r="J435" s="94" t="s">
        <v>1078</v>
      </c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>
      <c r="A436" s="89"/>
      <c r="B436" s="91" t="s">
        <v>1078</v>
      </c>
      <c r="C436" s="91" t="s">
        <v>26</v>
      </c>
      <c r="D436" s="91" t="s">
        <v>704</v>
      </c>
      <c r="E436" s="91" t="s">
        <v>671</v>
      </c>
      <c r="F436" s="92">
        <v>193.41</v>
      </c>
      <c r="G436" s="93">
        <v>124.0</v>
      </c>
      <c r="H436" s="93">
        <v>1.55975806</v>
      </c>
      <c r="I436" s="94" t="s">
        <v>1078</v>
      </c>
      <c r="J436" s="94" t="s">
        <v>1078</v>
      </c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>
      <c r="A437" s="89"/>
      <c r="B437" s="91" t="s">
        <v>1078</v>
      </c>
      <c r="C437" s="91" t="s">
        <v>26</v>
      </c>
      <c r="D437" s="91" t="s">
        <v>704</v>
      </c>
      <c r="E437" s="91" t="s">
        <v>671</v>
      </c>
      <c r="F437" s="92">
        <v>146.37</v>
      </c>
      <c r="G437" s="93" t="s">
        <v>30</v>
      </c>
      <c r="H437" s="93" t="s">
        <v>30</v>
      </c>
      <c r="I437" s="94" t="s">
        <v>1078</v>
      </c>
      <c r="J437" s="94" t="s">
        <v>1078</v>
      </c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>
      <c r="A438" s="89"/>
      <c r="B438" s="91" t="s">
        <v>1078</v>
      </c>
      <c r="C438" s="91" t="s">
        <v>57</v>
      </c>
      <c r="D438" s="91" t="s">
        <v>704</v>
      </c>
      <c r="E438" s="91" t="s">
        <v>671</v>
      </c>
      <c r="F438" s="92">
        <v>2.52</v>
      </c>
      <c r="G438" s="93" t="s">
        <v>30</v>
      </c>
      <c r="H438" s="93" t="s">
        <v>30</v>
      </c>
      <c r="I438" s="94" t="s">
        <v>1078</v>
      </c>
      <c r="J438" s="94" t="s">
        <v>1078</v>
      </c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>
      <c r="A439" s="89"/>
      <c r="B439" s="91" t="s">
        <v>1078</v>
      </c>
      <c r="C439" s="91" t="s">
        <v>37</v>
      </c>
      <c r="D439" s="91" t="s">
        <v>776</v>
      </c>
      <c r="E439" s="91" t="s">
        <v>638</v>
      </c>
      <c r="F439" s="92">
        <v>31.33</v>
      </c>
      <c r="G439" s="93">
        <v>22.0</v>
      </c>
      <c r="H439" s="93">
        <v>1.42409091</v>
      </c>
      <c r="I439" s="94" t="s">
        <v>1078</v>
      </c>
      <c r="J439" s="94" t="s">
        <v>1078</v>
      </c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>
      <c r="A440" s="89"/>
      <c r="B440" s="91" t="s">
        <v>1078</v>
      </c>
      <c r="C440" s="91" t="s">
        <v>42</v>
      </c>
      <c r="D440" s="91" t="s">
        <v>776</v>
      </c>
      <c r="E440" s="91" t="s">
        <v>638</v>
      </c>
      <c r="F440" s="92">
        <v>2.84</v>
      </c>
      <c r="G440" s="93" t="s">
        <v>30</v>
      </c>
      <c r="H440" s="93" t="s">
        <v>30</v>
      </c>
      <c r="I440" s="94" t="s">
        <v>1078</v>
      </c>
      <c r="J440" s="94" t="s">
        <v>1078</v>
      </c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>
      <c r="A441" s="89"/>
      <c r="B441" s="91" t="s">
        <v>1078</v>
      </c>
      <c r="C441" s="91" t="s">
        <v>29</v>
      </c>
      <c r="D441" s="91" t="s">
        <v>776</v>
      </c>
      <c r="E441" s="91" t="s">
        <v>638</v>
      </c>
      <c r="F441" s="92">
        <v>33.53</v>
      </c>
      <c r="G441" s="93">
        <v>7.0</v>
      </c>
      <c r="H441" s="93">
        <v>4.79</v>
      </c>
      <c r="I441" s="94" t="s">
        <v>1078</v>
      </c>
      <c r="J441" s="94" t="s">
        <v>1078</v>
      </c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>
      <c r="A442" s="89"/>
      <c r="B442" s="91" t="s">
        <v>1078</v>
      </c>
      <c r="C442" s="91" t="s">
        <v>42</v>
      </c>
      <c r="D442" s="91" t="s">
        <v>776</v>
      </c>
      <c r="E442" s="91" t="s">
        <v>671</v>
      </c>
      <c r="F442" s="92">
        <v>44.49</v>
      </c>
      <c r="G442" s="93">
        <v>1.0</v>
      </c>
      <c r="H442" s="93">
        <v>44.49</v>
      </c>
      <c r="I442" s="94" t="s">
        <v>1078</v>
      </c>
      <c r="J442" s="94" t="s">
        <v>1078</v>
      </c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>
      <c r="A443" s="89"/>
      <c r="B443" s="91" t="s">
        <v>1078</v>
      </c>
      <c r="C443" s="91" t="s">
        <v>37</v>
      </c>
      <c r="D443" s="91" t="s">
        <v>776</v>
      </c>
      <c r="E443" s="91" t="s">
        <v>671</v>
      </c>
      <c r="F443" s="92">
        <v>653.74</v>
      </c>
      <c r="G443" s="93">
        <v>390.0</v>
      </c>
      <c r="H443" s="93">
        <v>1.67625641</v>
      </c>
      <c r="I443" s="94" t="s">
        <v>1078</v>
      </c>
      <c r="J443" s="94" t="s">
        <v>1078</v>
      </c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>
      <c r="A444" s="89"/>
      <c r="B444" s="91" t="s">
        <v>1078</v>
      </c>
      <c r="C444" s="91" t="s">
        <v>29</v>
      </c>
      <c r="D444" s="91" t="s">
        <v>776</v>
      </c>
      <c r="E444" s="91" t="s">
        <v>671</v>
      </c>
      <c r="F444" s="92">
        <v>399.93</v>
      </c>
      <c r="G444" s="93">
        <v>175.0</v>
      </c>
      <c r="H444" s="93">
        <v>2.28531429</v>
      </c>
      <c r="I444" s="94" t="s">
        <v>1078</v>
      </c>
      <c r="J444" s="94" t="s">
        <v>1078</v>
      </c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>
      <c r="A445" s="89"/>
      <c r="B445" s="91" t="s">
        <v>1078</v>
      </c>
      <c r="C445" s="91" t="s">
        <v>25</v>
      </c>
      <c r="D445" s="91" t="s">
        <v>141</v>
      </c>
      <c r="E445" s="91" t="s">
        <v>392</v>
      </c>
      <c r="F445" s="92">
        <v>7.73</v>
      </c>
      <c r="G445" s="93">
        <v>7.0</v>
      </c>
      <c r="H445" s="93">
        <v>1.10428571</v>
      </c>
      <c r="I445" s="94" t="s">
        <v>1078</v>
      </c>
      <c r="J445" s="94" t="s">
        <v>1078</v>
      </c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>
      <c r="A446" s="89"/>
      <c r="B446" s="91" t="s">
        <v>1078</v>
      </c>
      <c r="C446" s="91" t="s">
        <v>25</v>
      </c>
      <c r="D446" s="91" t="s">
        <v>141</v>
      </c>
      <c r="E446" s="91" t="s">
        <v>247</v>
      </c>
      <c r="F446" s="92">
        <v>25.29</v>
      </c>
      <c r="G446" s="93">
        <v>16.0</v>
      </c>
      <c r="H446" s="93">
        <v>1.580625</v>
      </c>
      <c r="I446" s="94" t="s">
        <v>1078</v>
      </c>
      <c r="J446" s="94" t="s">
        <v>1078</v>
      </c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>
      <c r="A447" s="89"/>
      <c r="B447" s="91" t="s">
        <v>1078</v>
      </c>
      <c r="C447" s="91" t="s">
        <v>25</v>
      </c>
      <c r="D447" s="91" t="s">
        <v>141</v>
      </c>
      <c r="E447" s="91" t="s">
        <v>284</v>
      </c>
      <c r="F447" s="92">
        <v>55.94</v>
      </c>
      <c r="G447" s="93">
        <v>50.0</v>
      </c>
      <c r="H447" s="93">
        <v>1.1188</v>
      </c>
      <c r="I447" s="94" t="s">
        <v>1078</v>
      </c>
      <c r="J447" s="94" t="s">
        <v>1078</v>
      </c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>
      <c r="A448" s="89"/>
      <c r="B448" s="91" t="s">
        <v>1078</v>
      </c>
      <c r="C448" s="91" t="s">
        <v>25</v>
      </c>
      <c r="D448" s="91" t="s">
        <v>141</v>
      </c>
      <c r="E448" s="91" t="s">
        <v>70</v>
      </c>
      <c r="F448" s="92">
        <v>31.13</v>
      </c>
      <c r="G448" s="93">
        <v>24.0</v>
      </c>
      <c r="H448" s="93">
        <v>1.29708333</v>
      </c>
      <c r="I448" s="94" t="s">
        <v>1078</v>
      </c>
      <c r="J448" s="94" t="s">
        <v>1078</v>
      </c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>
      <c r="A449" s="89"/>
      <c r="B449" s="91" t="s">
        <v>1078</v>
      </c>
      <c r="C449" s="91" t="s">
        <v>25</v>
      </c>
      <c r="D449" s="91" t="s">
        <v>141</v>
      </c>
      <c r="E449" s="91" t="s">
        <v>178</v>
      </c>
      <c r="F449" s="92">
        <v>9.48</v>
      </c>
      <c r="G449" s="93">
        <v>9.0</v>
      </c>
      <c r="H449" s="93">
        <v>1.05333333</v>
      </c>
      <c r="I449" s="94" t="s">
        <v>1078</v>
      </c>
      <c r="J449" s="94" t="s">
        <v>1078</v>
      </c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>
      <c r="A450" s="89"/>
      <c r="B450" s="91" t="s">
        <v>1078</v>
      </c>
      <c r="C450" s="91" t="s">
        <v>25</v>
      </c>
      <c r="D450" s="91" t="s">
        <v>141</v>
      </c>
      <c r="E450" s="91" t="s">
        <v>235</v>
      </c>
      <c r="F450" s="92">
        <v>25.42</v>
      </c>
      <c r="G450" s="93">
        <v>30.0</v>
      </c>
      <c r="H450" s="93">
        <v>0.84733333</v>
      </c>
      <c r="I450" s="94" t="s">
        <v>1078</v>
      </c>
      <c r="J450" s="94" t="s">
        <v>1078</v>
      </c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>
      <c r="A451" s="89"/>
      <c r="B451" s="91" t="s">
        <v>1078</v>
      </c>
      <c r="C451" s="91" t="s">
        <v>25</v>
      </c>
      <c r="D451" s="91" t="s">
        <v>141</v>
      </c>
      <c r="E451" s="91" t="s">
        <v>201</v>
      </c>
      <c r="F451" s="92">
        <v>2.32</v>
      </c>
      <c r="G451" s="93">
        <v>1.0</v>
      </c>
      <c r="H451" s="93">
        <v>2.32</v>
      </c>
      <c r="I451" s="94" t="s">
        <v>1078</v>
      </c>
      <c r="J451" s="94" t="s">
        <v>1078</v>
      </c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>
      <c r="A452" s="89"/>
      <c r="B452" s="91" t="s">
        <v>1078</v>
      </c>
      <c r="C452" s="91" t="s">
        <v>25</v>
      </c>
      <c r="D452" s="91" t="s">
        <v>600</v>
      </c>
      <c r="E452" s="91" t="s">
        <v>420</v>
      </c>
      <c r="F452" s="92">
        <v>1.98</v>
      </c>
      <c r="G452" s="93">
        <v>1.0</v>
      </c>
      <c r="H452" s="93">
        <v>1.98</v>
      </c>
      <c r="I452" s="94" t="s">
        <v>1078</v>
      </c>
      <c r="J452" s="94" t="s">
        <v>1078</v>
      </c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>
      <c r="A453" s="89"/>
      <c r="B453" s="91" t="s">
        <v>1078</v>
      </c>
      <c r="C453" s="91" t="s">
        <v>25</v>
      </c>
      <c r="D453" s="91" t="s">
        <v>600</v>
      </c>
      <c r="E453" s="91" t="s">
        <v>441</v>
      </c>
      <c r="F453" s="92">
        <v>2.83</v>
      </c>
      <c r="G453" s="93">
        <v>1.0</v>
      </c>
      <c r="H453" s="93">
        <v>2.83</v>
      </c>
      <c r="I453" s="94" t="s">
        <v>1078</v>
      </c>
      <c r="J453" s="94" t="s">
        <v>1078</v>
      </c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>
      <c r="A454" s="89"/>
      <c r="B454" s="91" t="s">
        <v>1078</v>
      </c>
      <c r="C454" s="91" t="s">
        <v>25</v>
      </c>
      <c r="D454" s="91" t="s">
        <v>600</v>
      </c>
      <c r="E454" s="91" t="s">
        <v>474</v>
      </c>
      <c r="F454" s="92">
        <v>1.39</v>
      </c>
      <c r="G454" s="93">
        <v>1.0</v>
      </c>
      <c r="H454" s="93">
        <v>1.39</v>
      </c>
      <c r="I454" s="94" t="s">
        <v>1078</v>
      </c>
      <c r="J454" s="94" t="s">
        <v>1078</v>
      </c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>
      <c r="A455" s="89"/>
      <c r="B455" s="91" t="s">
        <v>1078</v>
      </c>
      <c r="C455" s="91" t="s">
        <v>25</v>
      </c>
      <c r="D455" s="91" t="s">
        <v>776</v>
      </c>
      <c r="E455" s="91" t="s">
        <v>638</v>
      </c>
      <c r="F455" s="92">
        <v>7.32</v>
      </c>
      <c r="G455" s="93">
        <v>8.0</v>
      </c>
      <c r="H455" s="93">
        <v>0.915</v>
      </c>
      <c r="I455" s="94" t="s">
        <v>1078</v>
      </c>
      <c r="J455" s="94" t="s">
        <v>1078</v>
      </c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>
      <c r="A456" s="89"/>
      <c r="B456" s="91" t="s">
        <v>1078</v>
      </c>
      <c r="C456" s="91" t="s">
        <v>25</v>
      </c>
      <c r="D456" s="91" t="s">
        <v>776</v>
      </c>
      <c r="E456" s="91" t="s">
        <v>671</v>
      </c>
      <c r="F456" s="92">
        <v>248.42</v>
      </c>
      <c r="G456" s="93">
        <v>203.0</v>
      </c>
      <c r="H456" s="93">
        <v>1.22374384</v>
      </c>
      <c r="I456" s="94" t="s">
        <v>1078</v>
      </c>
      <c r="J456" s="94" t="s">
        <v>1078</v>
      </c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>
      <c r="A457" s="89"/>
      <c r="B457" s="91" t="s">
        <v>1079</v>
      </c>
      <c r="C457" s="91" t="s">
        <v>1059</v>
      </c>
      <c r="D457" s="91" t="s">
        <v>1060</v>
      </c>
      <c r="E457" s="91" t="s">
        <v>1061</v>
      </c>
      <c r="F457" s="92">
        <v>57.18</v>
      </c>
      <c r="G457" s="93" t="s">
        <v>30</v>
      </c>
      <c r="H457" s="93" t="s">
        <v>30</v>
      </c>
      <c r="I457" s="94" t="s">
        <v>1079</v>
      </c>
      <c r="J457" s="94" t="s">
        <v>1079</v>
      </c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>
      <c r="A458" s="89"/>
      <c r="B458" s="91" t="s">
        <v>1079</v>
      </c>
      <c r="C458" s="91" t="s">
        <v>1062</v>
      </c>
      <c r="D458" s="91" t="s">
        <v>1060</v>
      </c>
      <c r="E458" s="91" t="s">
        <v>1061</v>
      </c>
      <c r="F458" s="92">
        <v>3.19</v>
      </c>
      <c r="G458" s="93" t="s">
        <v>30</v>
      </c>
      <c r="H458" s="93" t="s">
        <v>30</v>
      </c>
      <c r="I458" s="94" t="s">
        <v>1079</v>
      </c>
      <c r="J458" s="94" t="s">
        <v>1079</v>
      </c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>
      <c r="A459" s="89"/>
      <c r="B459" s="91" t="s">
        <v>1079</v>
      </c>
      <c r="C459" s="91" t="s">
        <v>1059</v>
      </c>
      <c r="D459" s="91" t="s">
        <v>1060</v>
      </c>
      <c r="E459" s="91" t="s">
        <v>1063</v>
      </c>
      <c r="F459" s="92">
        <v>0.02</v>
      </c>
      <c r="G459" s="93" t="s">
        <v>30</v>
      </c>
      <c r="H459" s="93" t="s">
        <v>30</v>
      </c>
      <c r="I459" s="94" t="s">
        <v>1079</v>
      </c>
      <c r="J459" s="94" t="s">
        <v>1079</v>
      </c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>
      <c r="A460" s="89"/>
      <c r="B460" s="91" t="s">
        <v>1079</v>
      </c>
      <c r="C460" s="91" t="s">
        <v>1062</v>
      </c>
      <c r="D460" s="91" t="s">
        <v>1060</v>
      </c>
      <c r="E460" s="91" t="s">
        <v>1064</v>
      </c>
      <c r="F460" s="92">
        <v>16.91</v>
      </c>
      <c r="G460" s="93" t="s">
        <v>30</v>
      </c>
      <c r="H460" s="93" t="s">
        <v>30</v>
      </c>
      <c r="I460" s="94" t="s">
        <v>1079</v>
      </c>
      <c r="J460" s="94" t="s">
        <v>1079</v>
      </c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>
      <c r="A461" s="89"/>
      <c r="B461" s="91" t="s">
        <v>1079</v>
      </c>
      <c r="C461" s="91" t="s">
        <v>1059</v>
      </c>
      <c r="D461" s="91" t="s">
        <v>1060</v>
      </c>
      <c r="E461" s="91" t="s">
        <v>1064</v>
      </c>
      <c r="F461" s="92">
        <v>218.83</v>
      </c>
      <c r="G461" s="93" t="s">
        <v>30</v>
      </c>
      <c r="H461" s="93" t="s">
        <v>30</v>
      </c>
      <c r="I461" s="94" t="s">
        <v>1079</v>
      </c>
      <c r="J461" s="94" t="s">
        <v>1079</v>
      </c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>
      <c r="A462" s="89"/>
      <c r="B462" s="91" t="s">
        <v>1079</v>
      </c>
      <c r="C462" s="91" t="s">
        <v>1065</v>
      </c>
      <c r="D462" s="91" t="s">
        <v>1066</v>
      </c>
      <c r="E462" s="91" t="s">
        <v>1067</v>
      </c>
      <c r="F462" s="92">
        <v>46.46</v>
      </c>
      <c r="G462" s="93" t="s">
        <v>30</v>
      </c>
      <c r="H462" s="93" t="s">
        <v>30</v>
      </c>
      <c r="I462" s="94" t="s">
        <v>1079</v>
      </c>
      <c r="J462" s="94" t="s">
        <v>1079</v>
      </c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>
      <c r="A463" s="89"/>
      <c r="B463" s="91" t="s">
        <v>1079</v>
      </c>
      <c r="C463" s="91" t="s">
        <v>1065</v>
      </c>
      <c r="D463" s="91" t="s">
        <v>1068</v>
      </c>
      <c r="E463" s="91" t="s">
        <v>1069</v>
      </c>
      <c r="F463" s="92">
        <v>14.1</v>
      </c>
      <c r="G463" s="93" t="s">
        <v>30</v>
      </c>
      <c r="H463" s="93" t="s">
        <v>30</v>
      </c>
      <c r="I463" s="94" t="s">
        <v>1079</v>
      </c>
      <c r="J463" s="94" t="s">
        <v>1079</v>
      </c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>
      <c r="A464" s="89"/>
      <c r="B464" s="91" t="s">
        <v>1079</v>
      </c>
      <c r="C464" s="91" t="s">
        <v>1065</v>
      </c>
      <c r="D464" s="91" t="s">
        <v>1068</v>
      </c>
      <c r="E464" s="91" t="s">
        <v>1070</v>
      </c>
      <c r="F464" s="92">
        <v>43.12</v>
      </c>
      <c r="G464" s="93" t="s">
        <v>30</v>
      </c>
      <c r="H464" s="93" t="s">
        <v>30</v>
      </c>
      <c r="I464" s="94" t="s">
        <v>1079</v>
      </c>
      <c r="J464" s="94" t="s">
        <v>1079</v>
      </c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>
      <c r="A465" s="89"/>
      <c r="B465" s="91" t="s">
        <v>1079</v>
      </c>
      <c r="C465" s="91" t="s">
        <v>1071</v>
      </c>
      <c r="D465" s="91" t="s">
        <v>1066</v>
      </c>
      <c r="E465" s="91" t="s">
        <v>1072</v>
      </c>
      <c r="F465" s="92">
        <v>3.33</v>
      </c>
      <c r="G465" s="93" t="s">
        <v>30</v>
      </c>
      <c r="H465" s="93" t="s">
        <v>30</v>
      </c>
      <c r="I465" s="94" t="s">
        <v>1079</v>
      </c>
      <c r="J465" s="94" t="s">
        <v>1079</v>
      </c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>
      <c r="A466" s="89"/>
      <c r="B466" s="91" t="s">
        <v>1079</v>
      </c>
      <c r="C466" s="91" t="s">
        <v>1074</v>
      </c>
      <c r="D466" s="91" t="s">
        <v>1066</v>
      </c>
      <c r="E466" s="91" t="s">
        <v>1067</v>
      </c>
      <c r="F466" s="92">
        <v>23.7</v>
      </c>
      <c r="G466" s="93" t="s">
        <v>30</v>
      </c>
      <c r="H466" s="93" t="s">
        <v>30</v>
      </c>
      <c r="I466" s="94" t="s">
        <v>1079</v>
      </c>
      <c r="J466" s="94" t="s">
        <v>1079</v>
      </c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>
      <c r="A467" s="89"/>
      <c r="B467" s="91" t="s">
        <v>1079</v>
      </c>
      <c r="C467" s="91" t="s">
        <v>1071</v>
      </c>
      <c r="D467" s="91" t="s">
        <v>1066</v>
      </c>
      <c r="E467" s="91" t="s">
        <v>1067</v>
      </c>
      <c r="F467" s="92">
        <v>201.75</v>
      </c>
      <c r="G467" s="93" t="s">
        <v>30</v>
      </c>
      <c r="H467" s="93" t="s">
        <v>30</v>
      </c>
      <c r="I467" s="94" t="s">
        <v>1079</v>
      </c>
      <c r="J467" s="94" t="s">
        <v>1079</v>
      </c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>
      <c r="A468" s="89"/>
      <c r="B468" s="91" t="s">
        <v>1079</v>
      </c>
      <c r="C468" s="91" t="s">
        <v>1075</v>
      </c>
      <c r="D468" s="91" t="s">
        <v>1066</v>
      </c>
      <c r="E468" s="91" t="s">
        <v>1067</v>
      </c>
      <c r="F468" s="92">
        <v>0.25</v>
      </c>
      <c r="G468" s="93" t="s">
        <v>30</v>
      </c>
      <c r="H468" s="93" t="s">
        <v>30</v>
      </c>
      <c r="I468" s="94" t="s">
        <v>1079</v>
      </c>
      <c r="J468" s="94" t="s">
        <v>1079</v>
      </c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>
      <c r="A469" s="89"/>
      <c r="B469" s="91" t="s">
        <v>1079</v>
      </c>
      <c r="C469" s="91" t="s">
        <v>1075</v>
      </c>
      <c r="D469" s="91" t="s">
        <v>1068</v>
      </c>
      <c r="E469" s="91" t="s">
        <v>1070</v>
      </c>
      <c r="F469" s="92">
        <v>0.12</v>
      </c>
      <c r="G469" s="93" t="s">
        <v>30</v>
      </c>
      <c r="H469" s="93" t="s">
        <v>30</v>
      </c>
      <c r="I469" s="94" t="s">
        <v>1079</v>
      </c>
      <c r="J469" s="94" t="s">
        <v>1079</v>
      </c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>
      <c r="A470" s="89"/>
      <c r="B470" s="91" t="s">
        <v>1079</v>
      </c>
      <c r="C470" s="91" t="s">
        <v>1074</v>
      </c>
      <c r="D470" s="91" t="s">
        <v>1068</v>
      </c>
      <c r="E470" s="91" t="s">
        <v>1070</v>
      </c>
      <c r="F470" s="92">
        <v>165.27</v>
      </c>
      <c r="G470" s="93">
        <v>3.0</v>
      </c>
      <c r="H470" s="93">
        <v>55.09</v>
      </c>
      <c r="I470" s="94" t="s">
        <v>1079</v>
      </c>
      <c r="J470" s="94" t="s">
        <v>1079</v>
      </c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>
      <c r="A471" s="89"/>
      <c r="B471" s="91" t="s">
        <v>1079</v>
      </c>
      <c r="C471" s="91" t="s">
        <v>1071</v>
      </c>
      <c r="D471" s="91" t="s">
        <v>1068</v>
      </c>
      <c r="E471" s="91" t="s">
        <v>1070</v>
      </c>
      <c r="F471" s="92">
        <v>389.41</v>
      </c>
      <c r="G471" s="93" t="s">
        <v>30</v>
      </c>
      <c r="H471" s="93" t="s">
        <v>30</v>
      </c>
      <c r="I471" s="94" t="s">
        <v>1079</v>
      </c>
      <c r="J471" s="94" t="s">
        <v>1079</v>
      </c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>
      <c r="A472" s="89"/>
      <c r="B472" s="91" t="s">
        <v>1079</v>
      </c>
      <c r="C472" s="91" t="s">
        <v>1073</v>
      </c>
      <c r="D472" s="91" t="s">
        <v>1068</v>
      </c>
      <c r="E472" s="91" t="s">
        <v>1070</v>
      </c>
      <c r="F472" s="92">
        <v>28.14</v>
      </c>
      <c r="G472" s="93" t="s">
        <v>30</v>
      </c>
      <c r="H472" s="93" t="s">
        <v>30</v>
      </c>
      <c r="I472" s="94" t="s">
        <v>1079</v>
      </c>
      <c r="J472" s="94" t="s">
        <v>1079</v>
      </c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>
      <c r="A473" s="89"/>
      <c r="B473" s="91" t="s">
        <v>1079</v>
      </c>
      <c r="C473" s="91" t="s">
        <v>1071</v>
      </c>
      <c r="D473" s="91" t="s">
        <v>1068</v>
      </c>
      <c r="E473" s="91" t="s">
        <v>1069</v>
      </c>
      <c r="F473" s="92">
        <v>25.28</v>
      </c>
      <c r="G473" s="93">
        <v>2.0</v>
      </c>
      <c r="H473" s="93">
        <v>12.64</v>
      </c>
      <c r="I473" s="94" t="s">
        <v>1079</v>
      </c>
      <c r="J473" s="94" t="s">
        <v>1079</v>
      </c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>
      <c r="A474" s="89"/>
      <c r="B474" s="91" t="s">
        <v>1079</v>
      </c>
      <c r="C474" s="91" t="s">
        <v>1074</v>
      </c>
      <c r="D474" s="91" t="s">
        <v>1068</v>
      </c>
      <c r="E474" s="91" t="s">
        <v>1069</v>
      </c>
      <c r="F474" s="92">
        <v>0.0</v>
      </c>
      <c r="G474" s="93" t="s">
        <v>30</v>
      </c>
      <c r="H474" s="93" t="s">
        <v>30</v>
      </c>
      <c r="I474" s="94" t="s">
        <v>1079</v>
      </c>
      <c r="J474" s="94" t="s">
        <v>1079</v>
      </c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>
      <c r="A475" s="89"/>
      <c r="B475" s="91" t="s">
        <v>1079</v>
      </c>
      <c r="C475" s="91" t="s">
        <v>1073</v>
      </c>
      <c r="D475" s="91" t="s">
        <v>1068</v>
      </c>
      <c r="E475" s="91" t="s">
        <v>1069</v>
      </c>
      <c r="F475" s="92">
        <v>0.22</v>
      </c>
      <c r="G475" s="93" t="s">
        <v>30</v>
      </c>
      <c r="H475" s="93" t="s">
        <v>30</v>
      </c>
      <c r="I475" s="94" t="s">
        <v>1079</v>
      </c>
      <c r="J475" s="94" t="s">
        <v>1079</v>
      </c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>
      <c r="A476" s="89"/>
      <c r="B476" s="91" t="s">
        <v>1079</v>
      </c>
      <c r="C476" s="91" t="s">
        <v>1077</v>
      </c>
      <c r="D476" s="91" t="s">
        <v>1066</v>
      </c>
      <c r="E476" s="91" t="s">
        <v>1072</v>
      </c>
      <c r="F476" s="92">
        <v>0.05</v>
      </c>
      <c r="G476" s="93" t="s">
        <v>30</v>
      </c>
      <c r="H476" s="93" t="s">
        <v>30</v>
      </c>
      <c r="I476" s="94" t="s">
        <v>1079</v>
      </c>
      <c r="J476" s="94" t="s">
        <v>1079</v>
      </c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>
      <c r="A477" s="89"/>
      <c r="B477" s="91" t="s">
        <v>1079</v>
      </c>
      <c r="C477" s="91" t="s">
        <v>1077</v>
      </c>
      <c r="D477" s="91" t="s">
        <v>1066</v>
      </c>
      <c r="E477" s="91" t="s">
        <v>1067</v>
      </c>
      <c r="F477" s="92">
        <v>0.01</v>
      </c>
      <c r="G477" s="93" t="s">
        <v>30</v>
      </c>
      <c r="H477" s="93" t="s">
        <v>30</v>
      </c>
      <c r="I477" s="94" t="s">
        <v>1079</v>
      </c>
      <c r="J477" s="94" t="s">
        <v>1079</v>
      </c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>
      <c r="A478" s="89"/>
      <c r="B478" s="91" t="s">
        <v>1079</v>
      </c>
      <c r="C478" s="91" t="s">
        <v>1076</v>
      </c>
      <c r="D478" s="91" t="s">
        <v>1066</v>
      </c>
      <c r="E478" s="91" t="s">
        <v>1067</v>
      </c>
      <c r="F478" s="92">
        <v>0.19</v>
      </c>
      <c r="G478" s="93" t="s">
        <v>30</v>
      </c>
      <c r="H478" s="93" t="s">
        <v>30</v>
      </c>
      <c r="I478" s="94" t="s">
        <v>1079</v>
      </c>
      <c r="J478" s="94" t="s">
        <v>1079</v>
      </c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>
      <c r="A479" s="89"/>
      <c r="B479" s="91" t="s">
        <v>1079</v>
      </c>
      <c r="C479" s="91" t="s">
        <v>1077</v>
      </c>
      <c r="D479" s="91" t="s">
        <v>1068</v>
      </c>
      <c r="E479" s="91" t="s">
        <v>1070</v>
      </c>
      <c r="F479" s="92">
        <v>0.47</v>
      </c>
      <c r="G479" s="93" t="s">
        <v>30</v>
      </c>
      <c r="H479" s="93" t="s">
        <v>30</v>
      </c>
      <c r="I479" s="94" t="s">
        <v>1079</v>
      </c>
      <c r="J479" s="94" t="s">
        <v>1079</v>
      </c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>
      <c r="A480" s="89"/>
      <c r="B480" s="91" t="s">
        <v>1079</v>
      </c>
      <c r="C480" s="91" t="s">
        <v>1077</v>
      </c>
      <c r="D480" s="91" t="s">
        <v>1068</v>
      </c>
      <c r="E480" s="91" t="s">
        <v>1069</v>
      </c>
      <c r="F480" s="92">
        <v>0.01</v>
      </c>
      <c r="G480" s="93" t="s">
        <v>30</v>
      </c>
      <c r="H480" s="93" t="s">
        <v>30</v>
      </c>
      <c r="I480" s="94" t="s">
        <v>1079</v>
      </c>
      <c r="J480" s="94" t="s">
        <v>1079</v>
      </c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>
      <c r="A481" s="89"/>
      <c r="B481" s="91" t="s">
        <v>1079</v>
      </c>
      <c r="C481" s="91" t="s">
        <v>34</v>
      </c>
      <c r="D481" s="91" t="s">
        <v>69</v>
      </c>
      <c r="E481" s="91" t="s">
        <v>70</v>
      </c>
      <c r="F481" s="92">
        <v>20.93</v>
      </c>
      <c r="G481" s="93">
        <v>17.0</v>
      </c>
      <c r="H481" s="93">
        <v>1.23117647</v>
      </c>
      <c r="I481" s="94" t="s">
        <v>1079</v>
      </c>
      <c r="J481" s="94" t="s">
        <v>1079</v>
      </c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>
      <c r="A482" s="89"/>
      <c r="B482" s="91" t="s">
        <v>1079</v>
      </c>
      <c r="C482" s="91" t="s">
        <v>29</v>
      </c>
      <c r="D482" s="91" t="s">
        <v>69</v>
      </c>
      <c r="E482" s="91" t="s">
        <v>70</v>
      </c>
      <c r="F482" s="92">
        <v>4.2</v>
      </c>
      <c r="G482" s="93" t="s">
        <v>30</v>
      </c>
      <c r="H482" s="93" t="s">
        <v>30</v>
      </c>
      <c r="I482" s="94" t="s">
        <v>1079</v>
      </c>
      <c r="J482" s="94" t="s">
        <v>1079</v>
      </c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>
      <c r="A483" s="89"/>
      <c r="B483" s="91" t="s">
        <v>1079</v>
      </c>
      <c r="C483" s="91" t="s">
        <v>28</v>
      </c>
      <c r="D483" s="91" t="s">
        <v>69</v>
      </c>
      <c r="E483" s="91" t="s">
        <v>70</v>
      </c>
      <c r="F483" s="92">
        <v>0.98</v>
      </c>
      <c r="G483" s="93" t="s">
        <v>30</v>
      </c>
      <c r="H483" s="93" t="s">
        <v>30</v>
      </c>
      <c r="I483" s="94" t="s">
        <v>1079</v>
      </c>
      <c r="J483" s="94" t="s">
        <v>1079</v>
      </c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>
      <c r="A484" s="89"/>
      <c r="B484" s="91" t="s">
        <v>1079</v>
      </c>
      <c r="C484" s="91" t="s">
        <v>35</v>
      </c>
      <c r="D484" s="91" t="s">
        <v>69</v>
      </c>
      <c r="E484" s="91" t="s">
        <v>70</v>
      </c>
      <c r="F484" s="92">
        <v>6.49</v>
      </c>
      <c r="G484" s="93" t="s">
        <v>30</v>
      </c>
      <c r="H484" s="93" t="s">
        <v>30</v>
      </c>
      <c r="I484" s="94" t="s">
        <v>1079</v>
      </c>
      <c r="J484" s="94" t="s">
        <v>1079</v>
      </c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>
      <c r="A485" s="89"/>
      <c r="B485" s="91" t="s">
        <v>1079</v>
      </c>
      <c r="C485" s="91" t="s">
        <v>27</v>
      </c>
      <c r="D485" s="91" t="s">
        <v>69</v>
      </c>
      <c r="E485" s="91" t="s">
        <v>70</v>
      </c>
      <c r="F485" s="92">
        <v>2.64</v>
      </c>
      <c r="G485" s="93">
        <v>5.0</v>
      </c>
      <c r="H485" s="93">
        <v>0.528</v>
      </c>
      <c r="I485" s="94" t="s">
        <v>1079</v>
      </c>
      <c r="J485" s="94" t="s">
        <v>1079</v>
      </c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>
      <c r="A486" s="89"/>
      <c r="B486" s="91" t="s">
        <v>1079</v>
      </c>
      <c r="C486" s="91" t="s">
        <v>53</v>
      </c>
      <c r="D486" s="91" t="s">
        <v>69</v>
      </c>
      <c r="E486" s="91" t="s">
        <v>70</v>
      </c>
      <c r="F486" s="92">
        <v>0.09</v>
      </c>
      <c r="G486" s="93" t="s">
        <v>30</v>
      </c>
      <c r="H486" s="93" t="s">
        <v>30</v>
      </c>
      <c r="I486" s="94" t="s">
        <v>1079</v>
      </c>
      <c r="J486" s="94" t="s">
        <v>1079</v>
      </c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>
      <c r="A487" s="89"/>
      <c r="B487" s="91" t="s">
        <v>1079</v>
      </c>
      <c r="C487" s="91" t="s">
        <v>42</v>
      </c>
      <c r="D487" s="91" t="s">
        <v>99</v>
      </c>
      <c r="E487" s="91" t="s">
        <v>70</v>
      </c>
      <c r="F487" s="92">
        <v>5.33</v>
      </c>
      <c r="G487" s="93">
        <v>2.0</v>
      </c>
      <c r="H487" s="93">
        <v>2.665</v>
      </c>
      <c r="I487" s="94" t="s">
        <v>1079</v>
      </c>
      <c r="J487" s="94" t="s">
        <v>1079</v>
      </c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>
      <c r="A488" s="89"/>
      <c r="B488" s="91" t="s">
        <v>1079</v>
      </c>
      <c r="C488" s="91" t="s">
        <v>38</v>
      </c>
      <c r="D488" s="91" t="s">
        <v>99</v>
      </c>
      <c r="E488" s="91" t="s">
        <v>70</v>
      </c>
      <c r="F488" s="92">
        <v>0.01</v>
      </c>
      <c r="G488" s="93" t="s">
        <v>30</v>
      </c>
      <c r="H488" s="93" t="s">
        <v>30</v>
      </c>
      <c r="I488" s="94" t="s">
        <v>1079</v>
      </c>
      <c r="J488" s="94" t="s">
        <v>1079</v>
      </c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>
      <c r="A489" s="89"/>
      <c r="B489" s="91" t="s">
        <v>1079</v>
      </c>
      <c r="C489" s="91" t="s">
        <v>57</v>
      </c>
      <c r="D489" s="91" t="s">
        <v>99</v>
      </c>
      <c r="E489" s="91" t="s">
        <v>70</v>
      </c>
      <c r="F489" s="92">
        <v>0.01</v>
      </c>
      <c r="G489" s="93" t="s">
        <v>30</v>
      </c>
      <c r="H489" s="93" t="s">
        <v>30</v>
      </c>
      <c r="I489" s="94" t="s">
        <v>1079</v>
      </c>
      <c r="J489" s="94" t="s">
        <v>1079</v>
      </c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>
      <c r="A490" s="89"/>
      <c r="B490" s="91" t="s">
        <v>1079</v>
      </c>
      <c r="C490" s="91" t="s">
        <v>51</v>
      </c>
      <c r="D490" s="91" t="s">
        <v>99</v>
      </c>
      <c r="E490" s="91" t="s">
        <v>70</v>
      </c>
      <c r="F490" s="92">
        <v>0.0</v>
      </c>
      <c r="G490" s="93" t="s">
        <v>30</v>
      </c>
      <c r="H490" s="93" t="s">
        <v>30</v>
      </c>
      <c r="I490" s="94" t="s">
        <v>1079</v>
      </c>
      <c r="J490" s="94" t="s">
        <v>1079</v>
      </c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>
      <c r="A491" s="89"/>
      <c r="B491" s="91" t="s">
        <v>1079</v>
      </c>
      <c r="C491" s="91" t="s">
        <v>36</v>
      </c>
      <c r="D491" s="91" t="s">
        <v>99</v>
      </c>
      <c r="E491" s="91" t="s">
        <v>70</v>
      </c>
      <c r="F491" s="92">
        <v>0.3</v>
      </c>
      <c r="G491" s="93" t="s">
        <v>30</v>
      </c>
      <c r="H491" s="93" t="s">
        <v>30</v>
      </c>
      <c r="I491" s="94" t="s">
        <v>1079</v>
      </c>
      <c r="J491" s="94" t="s">
        <v>1079</v>
      </c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>
      <c r="A492" s="89"/>
      <c r="B492" s="91" t="s">
        <v>1079</v>
      </c>
      <c r="C492" s="91" t="s">
        <v>39</v>
      </c>
      <c r="D492" s="91" t="s">
        <v>99</v>
      </c>
      <c r="E492" s="91" t="s">
        <v>70</v>
      </c>
      <c r="F492" s="92">
        <v>0.21</v>
      </c>
      <c r="G492" s="93" t="s">
        <v>30</v>
      </c>
      <c r="H492" s="93" t="s">
        <v>30</v>
      </c>
      <c r="I492" s="94" t="s">
        <v>1079</v>
      </c>
      <c r="J492" s="94" t="s">
        <v>1079</v>
      </c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>
      <c r="A493" s="89"/>
      <c r="B493" s="91" t="s">
        <v>1079</v>
      </c>
      <c r="C493" s="91" t="s">
        <v>26</v>
      </c>
      <c r="D493" s="91" t="s">
        <v>99</v>
      </c>
      <c r="E493" s="91" t="s">
        <v>70</v>
      </c>
      <c r="F493" s="92">
        <v>1.01</v>
      </c>
      <c r="G493" s="93" t="s">
        <v>30</v>
      </c>
      <c r="H493" s="93" t="s">
        <v>30</v>
      </c>
      <c r="I493" s="94" t="s">
        <v>1079</v>
      </c>
      <c r="J493" s="94" t="s">
        <v>1079</v>
      </c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>
      <c r="A494" s="89"/>
      <c r="B494" s="91" t="s">
        <v>1079</v>
      </c>
      <c r="C494" s="91" t="s">
        <v>26</v>
      </c>
      <c r="D494" s="91" t="s">
        <v>99</v>
      </c>
      <c r="E494" s="91" t="s">
        <v>70</v>
      </c>
      <c r="F494" s="92">
        <v>0.0</v>
      </c>
      <c r="G494" s="93" t="s">
        <v>30</v>
      </c>
      <c r="H494" s="93" t="s">
        <v>30</v>
      </c>
      <c r="I494" s="94" t="s">
        <v>1079</v>
      </c>
      <c r="J494" s="94" t="s">
        <v>1079</v>
      </c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>
      <c r="A495" s="89"/>
      <c r="B495" s="91" t="s">
        <v>1079</v>
      </c>
      <c r="C495" s="91" t="s">
        <v>41</v>
      </c>
      <c r="D495" s="91" t="s">
        <v>69</v>
      </c>
      <c r="E495" s="91" t="s">
        <v>70</v>
      </c>
      <c r="F495" s="92">
        <v>1.47</v>
      </c>
      <c r="G495" s="93" t="s">
        <v>30</v>
      </c>
      <c r="H495" s="93" t="s">
        <v>30</v>
      </c>
      <c r="I495" s="94" t="s">
        <v>1079</v>
      </c>
      <c r="J495" s="94" t="s">
        <v>1079</v>
      </c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>
      <c r="A496" s="89"/>
      <c r="B496" s="91" t="s">
        <v>1079</v>
      </c>
      <c r="C496" s="91" t="s">
        <v>29</v>
      </c>
      <c r="D496" s="91" t="s">
        <v>141</v>
      </c>
      <c r="E496" s="91" t="s">
        <v>70</v>
      </c>
      <c r="F496" s="92">
        <v>5.08</v>
      </c>
      <c r="G496" s="93">
        <v>1.0</v>
      </c>
      <c r="H496" s="93">
        <v>5.08</v>
      </c>
      <c r="I496" s="94" t="s">
        <v>1079</v>
      </c>
      <c r="J496" s="94" t="s">
        <v>1079</v>
      </c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>
      <c r="A497" s="89"/>
      <c r="B497" s="91" t="s">
        <v>1079</v>
      </c>
      <c r="C497" s="91" t="s">
        <v>42</v>
      </c>
      <c r="D497" s="91" t="s">
        <v>141</v>
      </c>
      <c r="E497" s="91" t="s">
        <v>70</v>
      </c>
      <c r="F497" s="92">
        <v>0.0</v>
      </c>
      <c r="G497" s="93" t="s">
        <v>30</v>
      </c>
      <c r="H497" s="93" t="s">
        <v>30</v>
      </c>
      <c r="I497" s="94" t="s">
        <v>1079</v>
      </c>
      <c r="J497" s="94" t="s">
        <v>1079</v>
      </c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>
      <c r="A498" s="89"/>
      <c r="B498" s="91" t="s">
        <v>1079</v>
      </c>
      <c r="C498" s="91" t="s">
        <v>37</v>
      </c>
      <c r="D498" s="91" t="s">
        <v>141</v>
      </c>
      <c r="E498" s="91" t="s">
        <v>70</v>
      </c>
      <c r="F498" s="92">
        <v>0.74</v>
      </c>
      <c r="G498" s="93" t="s">
        <v>30</v>
      </c>
      <c r="H498" s="93" t="s">
        <v>30</v>
      </c>
      <c r="I498" s="94" t="s">
        <v>1079</v>
      </c>
      <c r="J498" s="94" t="s">
        <v>1079</v>
      </c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>
      <c r="A499" s="89"/>
      <c r="B499" s="91" t="s">
        <v>1079</v>
      </c>
      <c r="C499" s="91" t="s">
        <v>32</v>
      </c>
      <c r="D499" s="91" t="s">
        <v>69</v>
      </c>
      <c r="E499" s="91" t="s">
        <v>392</v>
      </c>
      <c r="F499" s="92">
        <v>33.27</v>
      </c>
      <c r="G499" s="93">
        <v>13.0</v>
      </c>
      <c r="H499" s="93">
        <v>2.55923077</v>
      </c>
      <c r="I499" s="94" t="s">
        <v>1079</v>
      </c>
      <c r="J499" s="94" t="s">
        <v>1079</v>
      </c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>
      <c r="A500" s="89"/>
      <c r="B500" s="91" t="s">
        <v>1079</v>
      </c>
      <c r="C500" s="91" t="s">
        <v>34</v>
      </c>
      <c r="D500" s="91" t="s">
        <v>69</v>
      </c>
      <c r="E500" s="91" t="s">
        <v>392</v>
      </c>
      <c r="F500" s="92">
        <v>73.57</v>
      </c>
      <c r="G500" s="93">
        <v>19.0</v>
      </c>
      <c r="H500" s="93">
        <v>3.87210526</v>
      </c>
      <c r="I500" s="94" t="s">
        <v>1079</v>
      </c>
      <c r="J500" s="94" t="s">
        <v>1079</v>
      </c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>
      <c r="A501" s="89"/>
      <c r="B501" s="91" t="s">
        <v>1079</v>
      </c>
      <c r="C501" s="91" t="s">
        <v>35</v>
      </c>
      <c r="D501" s="91" t="s">
        <v>69</v>
      </c>
      <c r="E501" s="91" t="s">
        <v>392</v>
      </c>
      <c r="F501" s="92">
        <v>5.45</v>
      </c>
      <c r="G501" s="93" t="s">
        <v>30</v>
      </c>
      <c r="H501" s="93" t="s">
        <v>30</v>
      </c>
      <c r="I501" s="94" t="s">
        <v>1079</v>
      </c>
      <c r="J501" s="94" t="s">
        <v>1079</v>
      </c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>
      <c r="A502" s="89"/>
      <c r="B502" s="91" t="s">
        <v>1079</v>
      </c>
      <c r="C502" s="91" t="s">
        <v>28</v>
      </c>
      <c r="D502" s="91" t="s">
        <v>69</v>
      </c>
      <c r="E502" s="91" t="s">
        <v>392</v>
      </c>
      <c r="F502" s="92">
        <v>10.21</v>
      </c>
      <c r="G502" s="93">
        <v>9.0</v>
      </c>
      <c r="H502" s="93">
        <v>1.13444444</v>
      </c>
      <c r="I502" s="94" t="s">
        <v>1079</v>
      </c>
      <c r="J502" s="94" t="s">
        <v>1079</v>
      </c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>
      <c r="A503" s="89"/>
      <c r="B503" s="91" t="s">
        <v>1079</v>
      </c>
      <c r="C503" s="91" t="s">
        <v>29</v>
      </c>
      <c r="D503" s="91" t="s">
        <v>69</v>
      </c>
      <c r="E503" s="91" t="s">
        <v>392</v>
      </c>
      <c r="F503" s="92">
        <v>17.79</v>
      </c>
      <c r="G503" s="93">
        <v>1.0</v>
      </c>
      <c r="H503" s="93">
        <v>17.79</v>
      </c>
      <c r="I503" s="94" t="s">
        <v>1079</v>
      </c>
      <c r="J503" s="94" t="s">
        <v>1079</v>
      </c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>
      <c r="A504" s="89"/>
      <c r="B504" s="91" t="s">
        <v>1079</v>
      </c>
      <c r="C504" s="91" t="s">
        <v>53</v>
      </c>
      <c r="D504" s="91" t="s">
        <v>69</v>
      </c>
      <c r="E504" s="91" t="s">
        <v>392</v>
      </c>
      <c r="F504" s="92">
        <v>1.67</v>
      </c>
      <c r="G504" s="93" t="s">
        <v>30</v>
      </c>
      <c r="H504" s="93" t="s">
        <v>30</v>
      </c>
      <c r="I504" s="94" t="s">
        <v>1079</v>
      </c>
      <c r="J504" s="94" t="s">
        <v>1079</v>
      </c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>
      <c r="A505" s="89"/>
      <c r="B505" s="91" t="s">
        <v>1079</v>
      </c>
      <c r="C505" s="91" t="s">
        <v>28</v>
      </c>
      <c r="D505" s="91" t="s">
        <v>69</v>
      </c>
      <c r="E505" s="91" t="s">
        <v>178</v>
      </c>
      <c r="F505" s="92">
        <v>1.63</v>
      </c>
      <c r="G505" s="93">
        <v>2.0</v>
      </c>
      <c r="H505" s="93">
        <v>0.815</v>
      </c>
      <c r="I505" s="94" t="s">
        <v>1079</v>
      </c>
      <c r="J505" s="94" t="s">
        <v>1079</v>
      </c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>
      <c r="A506" s="89"/>
      <c r="B506" s="91" t="s">
        <v>1079</v>
      </c>
      <c r="C506" s="91" t="s">
        <v>32</v>
      </c>
      <c r="D506" s="91" t="s">
        <v>69</v>
      </c>
      <c r="E506" s="91" t="s">
        <v>178</v>
      </c>
      <c r="F506" s="92">
        <v>0.41</v>
      </c>
      <c r="G506" s="93" t="s">
        <v>30</v>
      </c>
      <c r="H506" s="93" t="s">
        <v>30</v>
      </c>
      <c r="I506" s="94" t="s">
        <v>1079</v>
      </c>
      <c r="J506" s="94" t="s">
        <v>1079</v>
      </c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>
      <c r="A507" s="89"/>
      <c r="B507" s="91" t="s">
        <v>1079</v>
      </c>
      <c r="C507" s="91" t="s">
        <v>41</v>
      </c>
      <c r="D507" s="91" t="s">
        <v>69</v>
      </c>
      <c r="E507" s="91" t="s">
        <v>178</v>
      </c>
      <c r="F507" s="92">
        <v>0.18</v>
      </c>
      <c r="G507" s="93" t="s">
        <v>30</v>
      </c>
      <c r="H507" s="93" t="s">
        <v>30</v>
      </c>
      <c r="I507" s="94" t="s">
        <v>1079</v>
      </c>
      <c r="J507" s="94" t="s">
        <v>1079</v>
      </c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>
      <c r="A508" s="89"/>
      <c r="B508" s="91" t="s">
        <v>1079</v>
      </c>
      <c r="C508" s="91" t="s">
        <v>29</v>
      </c>
      <c r="D508" s="91" t="s">
        <v>69</v>
      </c>
      <c r="E508" s="91" t="s">
        <v>178</v>
      </c>
      <c r="F508" s="92">
        <v>7.51</v>
      </c>
      <c r="G508" s="93" t="s">
        <v>30</v>
      </c>
      <c r="H508" s="93" t="s">
        <v>30</v>
      </c>
      <c r="I508" s="94" t="s">
        <v>1079</v>
      </c>
      <c r="J508" s="94" t="s">
        <v>1079</v>
      </c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>
      <c r="A509" s="89"/>
      <c r="B509" s="91" t="s">
        <v>1079</v>
      </c>
      <c r="C509" s="91" t="s">
        <v>35</v>
      </c>
      <c r="D509" s="91" t="s">
        <v>69</v>
      </c>
      <c r="E509" s="91" t="s">
        <v>178</v>
      </c>
      <c r="F509" s="92">
        <v>1.11</v>
      </c>
      <c r="G509" s="93" t="s">
        <v>30</v>
      </c>
      <c r="H509" s="93" t="s">
        <v>30</v>
      </c>
      <c r="I509" s="94" t="s">
        <v>1079</v>
      </c>
      <c r="J509" s="94" t="s">
        <v>1079</v>
      </c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>
      <c r="A510" s="89"/>
      <c r="B510" s="91" t="s">
        <v>1079</v>
      </c>
      <c r="C510" s="91" t="s">
        <v>53</v>
      </c>
      <c r="D510" s="91" t="s">
        <v>69</v>
      </c>
      <c r="E510" s="91" t="s">
        <v>178</v>
      </c>
      <c r="F510" s="92">
        <v>0.47</v>
      </c>
      <c r="G510" s="93" t="s">
        <v>30</v>
      </c>
      <c r="H510" s="93" t="s">
        <v>30</v>
      </c>
      <c r="I510" s="94" t="s">
        <v>1079</v>
      </c>
      <c r="J510" s="94" t="s">
        <v>1079</v>
      </c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>
      <c r="A511" s="89"/>
      <c r="B511" s="91" t="s">
        <v>1079</v>
      </c>
      <c r="C511" s="91" t="s">
        <v>34</v>
      </c>
      <c r="D511" s="91" t="s">
        <v>69</v>
      </c>
      <c r="E511" s="91" t="s">
        <v>178</v>
      </c>
      <c r="F511" s="92">
        <v>11.83</v>
      </c>
      <c r="G511" s="93">
        <v>2.0</v>
      </c>
      <c r="H511" s="93">
        <v>5.915</v>
      </c>
      <c r="I511" s="94" t="s">
        <v>1079</v>
      </c>
      <c r="J511" s="94" t="s">
        <v>1079</v>
      </c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>
      <c r="A512" s="89"/>
      <c r="B512" s="91" t="s">
        <v>1079</v>
      </c>
      <c r="C512" s="91" t="s">
        <v>32</v>
      </c>
      <c r="D512" s="91" t="s">
        <v>69</v>
      </c>
      <c r="E512" s="91" t="s">
        <v>201</v>
      </c>
      <c r="F512" s="92">
        <v>0.27</v>
      </c>
      <c r="G512" s="93" t="s">
        <v>30</v>
      </c>
      <c r="H512" s="93" t="s">
        <v>30</v>
      </c>
      <c r="I512" s="94" t="s">
        <v>1079</v>
      </c>
      <c r="J512" s="94" t="s">
        <v>1079</v>
      </c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>
      <c r="A513" s="89"/>
      <c r="B513" s="91" t="s">
        <v>1079</v>
      </c>
      <c r="C513" s="91" t="s">
        <v>28</v>
      </c>
      <c r="D513" s="91" t="s">
        <v>69</v>
      </c>
      <c r="E513" s="91" t="s">
        <v>201</v>
      </c>
      <c r="F513" s="92">
        <v>2.25</v>
      </c>
      <c r="G513" s="93" t="s">
        <v>30</v>
      </c>
      <c r="H513" s="93" t="s">
        <v>30</v>
      </c>
      <c r="I513" s="94" t="s">
        <v>1079</v>
      </c>
      <c r="J513" s="94" t="s">
        <v>1079</v>
      </c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>
      <c r="A514" s="89"/>
      <c r="B514" s="91" t="s">
        <v>1079</v>
      </c>
      <c r="C514" s="91" t="s">
        <v>34</v>
      </c>
      <c r="D514" s="91" t="s">
        <v>69</v>
      </c>
      <c r="E514" s="91" t="s">
        <v>201</v>
      </c>
      <c r="F514" s="92">
        <v>11.87</v>
      </c>
      <c r="G514" s="93">
        <v>3.0</v>
      </c>
      <c r="H514" s="93">
        <v>3.95666667</v>
      </c>
      <c r="I514" s="94" t="s">
        <v>1079</v>
      </c>
      <c r="J514" s="94" t="s">
        <v>1079</v>
      </c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>
      <c r="A515" s="89"/>
      <c r="B515" s="91" t="s">
        <v>1079</v>
      </c>
      <c r="C515" s="91" t="s">
        <v>29</v>
      </c>
      <c r="D515" s="91" t="s">
        <v>69</v>
      </c>
      <c r="E515" s="91" t="s">
        <v>201</v>
      </c>
      <c r="F515" s="92">
        <v>3.6</v>
      </c>
      <c r="G515" s="93" t="s">
        <v>30</v>
      </c>
      <c r="H515" s="93" t="s">
        <v>30</v>
      </c>
      <c r="I515" s="94" t="s">
        <v>1079</v>
      </c>
      <c r="J515" s="94" t="s">
        <v>1079</v>
      </c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>
      <c r="A516" s="89"/>
      <c r="B516" s="91" t="s">
        <v>1079</v>
      </c>
      <c r="C516" s="91" t="s">
        <v>35</v>
      </c>
      <c r="D516" s="91" t="s">
        <v>69</v>
      </c>
      <c r="E516" s="91" t="s">
        <v>201</v>
      </c>
      <c r="F516" s="92">
        <v>1.09</v>
      </c>
      <c r="G516" s="93" t="s">
        <v>30</v>
      </c>
      <c r="H516" s="93" t="s">
        <v>30</v>
      </c>
      <c r="I516" s="94" t="s">
        <v>1079</v>
      </c>
      <c r="J516" s="94" t="s">
        <v>1079</v>
      </c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>
      <c r="A517" s="89"/>
      <c r="B517" s="91" t="s">
        <v>1079</v>
      </c>
      <c r="C517" s="91" t="s">
        <v>53</v>
      </c>
      <c r="D517" s="91" t="s">
        <v>69</v>
      </c>
      <c r="E517" s="91" t="s">
        <v>201</v>
      </c>
      <c r="F517" s="92">
        <v>0.29</v>
      </c>
      <c r="G517" s="93" t="s">
        <v>30</v>
      </c>
      <c r="H517" s="93" t="s">
        <v>30</v>
      </c>
      <c r="I517" s="94" t="s">
        <v>1079</v>
      </c>
      <c r="J517" s="94" t="s">
        <v>1079</v>
      </c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>
      <c r="A518" s="89"/>
      <c r="B518" s="91" t="s">
        <v>1079</v>
      </c>
      <c r="C518" s="91" t="s">
        <v>53</v>
      </c>
      <c r="D518" s="91" t="s">
        <v>69</v>
      </c>
      <c r="E518" s="91" t="s">
        <v>284</v>
      </c>
      <c r="F518" s="92">
        <v>25.74</v>
      </c>
      <c r="G518" s="93">
        <v>5.0</v>
      </c>
      <c r="H518" s="93">
        <v>5.148</v>
      </c>
      <c r="I518" s="94" t="s">
        <v>1079</v>
      </c>
      <c r="J518" s="94" t="s">
        <v>1079</v>
      </c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>
      <c r="A519" s="89"/>
      <c r="B519" s="91" t="s">
        <v>1079</v>
      </c>
      <c r="C519" s="91" t="s">
        <v>32</v>
      </c>
      <c r="D519" s="91" t="s">
        <v>69</v>
      </c>
      <c r="E519" s="91" t="s">
        <v>284</v>
      </c>
      <c r="F519" s="92">
        <v>5.72</v>
      </c>
      <c r="G519" s="93" t="s">
        <v>30</v>
      </c>
      <c r="H519" s="93" t="s">
        <v>30</v>
      </c>
      <c r="I519" s="94" t="s">
        <v>1079</v>
      </c>
      <c r="J519" s="94" t="s">
        <v>1079</v>
      </c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>
      <c r="A520" s="89"/>
      <c r="B520" s="91" t="s">
        <v>1079</v>
      </c>
      <c r="C520" s="91" t="s">
        <v>41</v>
      </c>
      <c r="D520" s="91" t="s">
        <v>69</v>
      </c>
      <c r="E520" s="91" t="s">
        <v>284</v>
      </c>
      <c r="F520" s="92">
        <v>1.73</v>
      </c>
      <c r="G520" s="93" t="s">
        <v>30</v>
      </c>
      <c r="H520" s="93" t="s">
        <v>30</v>
      </c>
      <c r="I520" s="94" t="s">
        <v>1079</v>
      </c>
      <c r="J520" s="94" t="s">
        <v>1079</v>
      </c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>
      <c r="A521" s="89"/>
      <c r="B521" s="91" t="s">
        <v>1079</v>
      </c>
      <c r="C521" s="91" t="s">
        <v>29</v>
      </c>
      <c r="D521" s="91" t="s">
        <v>69</v>
      </c>
      <c r="E521" s="91" t="s">
        <v>284</v>
      </c>
      <c r="F521" s="92">
        <v>60.41</v>
      </c>
      <c r="G521" s="93">
        <v>1.0</v>
      </c>
      <c r="H521" s="93">
        <v>60.41</v>
      </c>
      <c r="I521" s="94" t="s">
        <v>1079</v>
      </c>
      <c r="J521" s="94" t="s">
        <v>1079</v>
      </c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>
      <c r="A522" s="89"/>
      <c r="B522" s="91" t="s">
        <v>1079</v>
      </c>
      <c r="C522" s="91" t="s">
        <v>28</v>
      </c>
      <c r="D522" s="91" t="s">
        <v>69</v>
      </c>
      <c r="E522" s="91" t="s">
        <v>284</v>
      </c>
      <c r="F522" s="92">
        <v>21.68</v>
      </c>
      <c r="G522" s="93">
        <v>10.0</v>
      </c>
      <c r="H522" s="93">
        <v>2.168</v>
      </c>
      <c r="I522" s="94" t="s">
        <v>1079</v>
      </c>
      <c r="J522" s="94" t="s">
        <v>1079</v>
      </c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>
      <c r="A523" s="89"/>
      <c r="B523" s="91" t="s">
        <v>1079</v>
      </c>
      <c r="C523" s="91" t="s">
        <v>34</v>
      </c>
      <c r="D523" s="91" t="s">
        <v>69</v>
      </c>
      <c r="E523" s="91" t="s">
        <v>284</v>
      </c>
      <c r="F523" s="92">
        <v>114.03</v>
      </c>
      <c r="G523" s="93">
        <v>44.0</v>
      </c>
      <c r="H523" s="93">
        <v>2.59159091</v>
      </c>
      <c r="I523" s="94" t="s">
        <v>1079</v>
      </c>
      <c r="J523" s="94" t="s">
        <v>1079</v>
      </c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>
      <c r="A524" s="89"/>
      <c r="B524" s="91" t="s">
        <v>1079</v>
      </c>
      <c r="C524" s="91" t="s">
        <v>35</v>
      </c>
      <c r="D524" s="91" t="s">
        <v>69</v>
      </c>
      <c r="E524" s="91" t="s">
        <v>284</v>
      </c>
      <c r="F524" s="92">
        <v>17.96</v>
      </c>
      <c r="G524" s="93" t="s">
        <v>30</v>
      </c>
      <c r="H524" s="93" t="s">
        <v>30</v>
      </c>
      <c r="I524" s="94" t="s">
        <v>1079</v>
      </c>
      <c r="J524" s="94" t="s">
        <v>1079</v>
      </c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>
      <c r="A525" s="89"/>
      <c r="B525" s="91" t="s">
        <v>1079</v>
      </c>
      <c r="C525" s="91" t="s">
        <v>27</v>
      </c>
      <c r="D525" s="91" t="s">
        <v>69</v>
      </c>
      <c r="E525" s="91" t="s">
        <v>235</v>
      </c>
      <c r="F525" s="92">
        <v>4.51</v>
      </c>
      <c r="G525" s="93">
        <v>5.0</v>
      </c>
      <c r="H525" s="93">
        <v>0.902</v>
      </c>
      <c r="I525" s="94" t="s">
        <v>1079</v>
      </c>
      <c r="J525" s="94" t="s">
        <v>1079</v>
      </c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>
      <c r="A526" s="89"/>
      <c r="B526" s="91" t="s">
        <v>1079</v>
      </c>
      <c r="C526" s="91" t="s">
        <v>29</v>
      </c>
      <c r="D526" s="91" t="s">
        <v>69</v>
      </c>
      <c r="E526" s="91" t="s">
        <v>235</v>
      </c>
      <c r="F526" s="92">
        <v>2.73</v>
      </c>
      <c r="G526" s="93">
        <v>1.0</v>
      </c>
      <c r="H526" s="93">
        <v>2.73</v>
      </c>
      <c r="I526" s="94" t="s">
        <v>1079</v>
      </c>
      <c r="J526" s="94" t="s">
        <v>1079</v>
      </c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>
      <c r="A527" s="89"/>
      <c r="B527" s="91" t="s">
        <v>1079</v>
      </c>
      <c r="C527" s="91" t="s">
        <v>53</v>
      </c>
      <c r="D527" s="91" t="s">
        <v>69</v>
      </c>
      <c r="E527" s="91" t="s">
        <v>235</v>
      </c>
      <c r="F527" s="92">
        <v>0.72</v>
      </c>
      <c r="G527" s="93" t="s">
        <v>30</v>
      </c>
      <c r="H527" s="93" t="s">
        <v>30</v>
      </c>
      <c r="I527" s="94" t="s">
        <v>1079</v>
      </c>
      <c r="J527" s="94" t="s">
        <v>1079</v>
      </c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>
      <c r="A528" s="89"/>
      <c r="B528" s="91" t="s">
        <v>1079</v>
      </c>
      <c r="C528" s="91" t="s">
        <v>32</v>
      </c>
      <c r="D528" s="91" t="s">
        <v>69</v>
      </c>
      <c r="E528" s="91" t="s">
        <v>235</v>
      </c>
      <c r="F528" s="92">
        <v>3.13</v>
      </c>
      <c r="G528" s="93">
        <v>1.0</v>
      </c>
      <c r="H528" s="93">
        <v>3.13</v>
      </c>
      <c r="I528" s="94" t="s">
        <v>1079</v>
      </c>
      <c r="J528" s="94" t="s">
        <v>1079</v>
      </c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>
      <c r="A529" s="89"/>
      <c r="B529" s="91" t="s">
        <v>1079</v>
      </c>
      <c r="C529" s="91" t="s">
        <v>34</v>
      </c>
      <c r="D529" s="91" t="s">
        <v>69</v>
      </c>
      <c r="E529" s="91" t="s">
        <v>235</v>
      </c>
      <c r="F529" s="92">
        <v>14.85</v>
      </c>
      <c r="G529" s="93">
        <v>2.0</v>
      </c>
      <c r="H529" s="93">
        <v>7.425</v>
      </c>
      <c r="I529" s="94" t="s">
        <v>1079</v>
      </c>
      <c r="J529" s="94" t="s">
        <v>1079</v>
      </c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>
      <c r="A530" s="89"/>
      <c r="B530" s="91" t="s">
        <v>1079</v>
      </c>
      <c r="C530" s="91" t="s">
        <v>41</v>
      </c>
      <c r="D530" s="91" t="s">
        <v>69</v>
      </c>
      <c r="E530" s="91" t="s">
        <v>235</v>
      </c>
      <c r="F530" s="92">
        <v>1.6</v>
      </c>
      <c r="G530" s="93">
        <v>2.0</v>
      </c>
      <c r="H530" s="93">
        <v>0.8</v>
      </c>
      <c r="I530" s="94" t="s">
        <v>1079</v>
      </c>
      <c r="J530" s="94" t="s">
        <v>1079</v>
      </c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>
      <c r="A531" s="89"/>
      <c r="B531" s="91" t="s">
        <v>1079</v>
      </c>
      <c r="C531" s="91" t="s">
        <v>28</v>
      </c>
      <c r="D531" s="91" t="s">
        <v>69</v>
      </c>
      <c r="E531" s="91" t="s">
        <v>235</v>
      </c>
      <c r="F531" s="92">
        <v>2.79</v>
      </c>
      <c r="G531" s="93" t="s">
        <v>30</v>
      </c>
      <c r="H531" s="93" t="s">
        <v>30</v>
      </c>
      <c r="I531" s="94" t="s">
        <v>1079</v>
      </c>
      <c r="J531" s="94" t="s">
        <v>1079</v>
      </c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>
      <c r="A532" s="89"/>
      <c r="B532" s="91" t="s">
        <v>1079</v>
      </c>
      <c r="C532" s="91" t="s">
        <v>53</v>
      </c>
      <c r="D532" s="91" t="s">
        <v>69</v>
      </c>
      <c r="E532" s="91" t="s">
        <v>247</v>
      </c>
      <c r="F532" s="92">
        <v>9.43</v>
      </c>
      <c r="G532" s="93">
        <v>4.0</v>
      </c>
      <c r="H532" s="93">
        <v>2.3575</v>
      </c>
      <c r="I532" s="94" t="s">
        <v>1079</v>
      </c>
      <c r="J532" s="94" t="s">
        <v>1079</v>
      </c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>
      <c r="A533" s="89"/>
      <c r="B533" s="91" t="s">
        <v>1079</v>
      </c>
      <c r="C533" s="91" t="s">
        <v>32</v>
      </c>
      <c r="D533" s="91" t="s">
        <v>69</v>
      </c>
      <c r="E533" s="91" t="s">
        <v>247</v>
      </c>
      <c r="F533" s="92">
        <v>3.04</v>
      </c>
      <c r="G533" s="93" t="s">
        <v>30</v>
      </c>
      <c r="H533" s="93" t="s">
        <v>30</v>
      </c>
      <c r="I533" s="94" t="s">
        <v>1079</v>
      </c>
      <c r="J533" s="94" t="s">
        <v>1079</v>
      </c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>
      <c r="A534" s="89"/>
      <c r="B534" s="91" t="s">
        <v>1079</v>
      </c>
      <c r="C534" s="91" t="s">
        <v>34</v>
      </c>
      <c r="D534" s="91" t="s">
        <v>69</v>
      </c>
      <c r="E534" s="91" t="s">
        <v>247</v>
      </c>
      <c r="F534" s="92">
        <v>63.06</v>
      </c>
      <c r="G534" s="93">
        <v>8.0</v>
      </c>
      <c r="H534" s="93">
        <v>7.8825</v>
      </c>
      <c r="I534" s="94" t="s">
        <v>1079</v>
      </c>
      <c r="J534" s="94" t="s">
        <v>1079</v>
      </c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>
      <c r="A535" s="89"/>
      <c r="B535" s="91" t="s">
        <v>1079</v>
      </c>
      <c r="C535" s="91" t="s">
        <v>27</v>
      </c>
      <c r="D535" s="91" t="s">
        <v>69</v>
      </c>
      <c r="E535" s="91" t="s">
        <v>247</v>
      </c>
      <c r="F535" s="92">
        <v>28.44</v>
      </c>
      <c r="G535" s="93">
        <v>20.0</v>
      </c>
      <c r="H535" s="93">
        <v>1.422</v>
      </c>
      <c r="I535" s="94" t="s">
        <v>1079</v>
      </c>
      <c r="J535" s="94" t="s">
        <v>1079</v>
      </c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>
      <c r="A536" s="89"/>
      <c r="B536" s="91" t="s">
        <v>1079</v>
      </c>
      <c r="C536" s="91" t="s">
        <v>35</v>
      </c>
      <c r="D536" s="91" t="s">
        <v>69</v>
      </c>
      <c r="E536" s="91" t="s">
        <v>247</v>
      </c>
      <c r="F536" s="92">
        <v>7.67</v>
      </c>
      <c r="G536" s="93" t="s">
        <v>30</v>
      </c>
      <c r="H536" s="93" t="s">
        <v>30</v>
      </c>
      <c r="I536" s="94" t="s">
        <v>1079</v>
      </c>
      <c r="J536" s="94" t="s">
        <v>1079</v>
      </c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>
      <c r="A537" s="89"/>
      <c r="B537" s="91" t="s">
        <v>1079</v>
      </c>
      <c r="C537" s="91" t="s">
        <v>28</v>
      </c>
      <c r="D537" s="91" t="s">
        <v>69</v>
      </c>
      <c r="E537" s="91" t="s">
        <v>247</v>
      </c>
      <c r="F537" s="92">
        <v>4.61</v>
      </c>
      <c r="G537" s="93" t="s">
        <v>30</v>
      </c>
      <c r="H537" s="93" t="s">
        <v>30</v>
      </c>
      <c r="I537" s="94" t="s">
        <v>1079</v>
      </c>
      <c r="J537" s="94" t="s">
        <v>1079</v>
      </c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>
      <c r="A538" s="89"/>
      <c r="B538" s="91" t="s">
        <v>1079</v>
      </c>
      <c r="C538" s="91" t="s">
        <v>29</v>
      </c>
      <c r="D538" s="91" t="s">
        <v>69</v>
      </c>
      <c r="E538" s="91" t="s">
        <v>247</v>
      </c>
      <c r="F538" s="92">
        <v>17.28</v>
      </c>
      <c r="G538" s="93">
        <v>1.0</v>
      </c>
      <c r="H538" s="93">
        <v>17.28</v>
      </c>
      <c r="I538" s="94" t="s">
        <v>1079</v>
      </c>
      <c r="J538" s="94" t="s">
        <v>1079</v>
      </c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>
      <c r="A539" s="89"/>
      <c r="B539" s="91" t="s">
        <v>1079</v>
      </c>
      <c r="C539" s="91" t="s">
        <v>26</v>
      </c>
      <c r="D539" s="91" t="s">
        <v>99</v>
      </c>
      <c r="E539" s="91" t="s">
        <v>247</v>
      </c>
      <c r="F539" s="92">
        <v>0.0</v>
      </c>
      <c r="G539" s="93" t="s">
        <v>30</v>
      </c>
      <c r="H539" s="93" t="s">
        <v>30</v>
      </c>
      <c r="I539" s="94" t="s">
        <v>1079</v>
      </c>
      <c r="J539" s="94" t="s">
        <v>1079</v>
      </c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>
      <c r="A540" s="89"/>
      <c r="B540" s="91" t="s">
        <v>1079</v>
      </c>
      <c r="C540" s="91" t="s">
        <v>26</v>
      </c>
      <c r="D540" s="91" t="s">
        <v>99</v>
      </c>
      <c r="E540" s="91" t="s">
        <v>247</v>
      </c>
      <c r="F540" s="92">
        <v>14.59</v>
      </c>
      <c r="G540" s="93">
        <v>1.0</v>
      </c>
      <c r="H540" s="93">
        <v>14.59</v>
      </c>
      <c r="I540" s="94" t="s">
        <v>1079</v>
      </c>
      <c r="J540" s="94" t="s">
        <v>1079</v>
      </c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>
      <c r="A541" s="89"/>
      <c r="B541" s="91" t="s">
        <v>1079</v>
      </c>
      <c r="C541" s="91" t="s">
        <v>39</v>
      </c>
      <c r="D541" s="91" t="s">
        <v>99</v>
      </c>
      <c r="E541" s="91" t="s">
        <v>247</v>
      </c>
      <c r="F541" s="92">
        <v>2.24</v>
      </c>
      <c r="G541" s="93">
        <v>1.0</v>
      </c>
      <c r="H541" s="93">
        <v>2.24</v>
      </c>
      <c r="I541" s="94" t="s">
        <v>1079</v>
      </c>
      <c r="J541" s="94" t="s">
        <v>1079</v>
      </c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>
      <c r="A542" s="89"/>
      <c r="B542" s="91" t="s">
        <v>1079</v>
      </c>
      <c r="C542" s="91" t="s">
        <v>51</v>
      </c>
      <c r="D542" s="91" t="s">
        <v>99</v>
      </c>
      <c r="E542" s="91" t="s">
        <v>247</v>
      </c>
      <c r="F542" s="92">
        <v>0.43</v>
      </c>
      <c r="G542" s="93" t="s">
        <v>30</v>
      </c>
      <c r="H542" s="93" t="s">
        <v>30</v>
      </c>
      <c r="I542" s="94" t="s">
        <v>1079</v>
      </c>
      <c r="J542" s="94" t="s">
        <v>1079</v>
      </c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>
      <c r="A543" s="89"/>
      <c r="B543" s="91" t="s">
        <v>1079</v>
      </c>
      <c r="C543" s="91" t="s">
        <v>36</v>
      </c>
      <c r="D543" s="91" t="s">
        <v>99</v>
      </c>
      <c r="E543" s="91" t="s">
        <v>247</v>
      </c>
      <c r="F543" s="92">
        <v>0.22</v>
      </c>
      <c r="G543" s="93" t="s">
        <v>30</v>
      </c>
      <c r="H543" s="93" t="s">
        <v>30</v>
      </c>
      <c r="I543" s="94" t="s">
        <v>1079</v>
      </c>
      <c r="J543" s="94" t="s">
        <v>1079</v>
      </c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>
      <c r="A544" s="89"/>
      <c r="B544" s="91" t="s">
        <v>1079</v>
      </c>
      <c r="C544" s="91" t="s">
        <v>47</v>
      </c>
      <c r="D544" s="91" t="s">
        <v>99</v>
      </c>
      <c r="E544" s="91" t="s">
        <v>247</v>
      </c>
      <c r="F544" s="92">
        <v>116.57</v>
      </c>
      <c r="G544" s="93">
        <v>32.0</v>
      </c>
      <c r="H544" s="93">
        <v>3.6428125</v>
      </c>
      <c r="I544" s="94" t="s">
        <v>1079</v>
      </c>
      <c r="J544" s="94" t="s">
        <v>1079</v>
      </c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>
      <c r="A545" s="89"/>
      <c r="B545" s="91" t="s">
        <v>1079</v>
      </c>
      <c r="C545" s="91" t="s">
        <v>57</v>
      </c>
      <c r="D545" s="91" t="s">
        <v>99</v>
      </c>
      <c r="E545" s="91" t="s">
        <v>247</v>
      </c>
      <c r="F545" s="92">
        <v>0.08</v>
      </c>
      <c r="G545" s="93" t="s">
        <v>30</v>
      </c>
      <c r="H545" s="93" t="s">
        <v>30</v>
      </c>
      <c r="I545" s="94" t="s">
        <v>1079</v>
      </c>
      <c r="J545" s="94" t="s">
        <v>1079</v>
      </c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>
      <c r="A546" s="89"/>
      <c r="B546" s="91" t="s">
        <v>1079</v>
      </c>
      <c r="C546" s="91" t="s">
        <v>42</v>
      </c>
      <c r="D546" s="91" t="s">
        <v>99</v>
      </c>
      <c r="E546" s="91" t="s">
        <v>247</v>
      </c>
      <c r="F546" s="92">
        <v>0.0</v>
      </c>
      <c r="G546" s="93" t="s">
        <v>30</v>
      </c>
      <c r="H546" s="93" t="s">
        <v>30</v>
      </c>
      <c r="I546" s="94" t="s">
        <v>1079</v>
      </c>
      <c r="J546" s="94" t="s">
        <v>1079</v>
      </c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>
      <c r="A547" s="89"/>
      <c r="B547" s="91" t="s">
        <v>1079</v>
      </c>
      <c r="C547" s="91" t="s">
        <v>36</v>
      </c>
      <c r="D547" s="91" t="s">
        <v>99</v>
      </c>
      <c r="E547" s="91" t="s">
        <v>284</v>
      </c>
      <c r="F547" s="92">
        <v>0.13</v>
      </c>
      <c r="G547" s="93" t="s">
        <v>30</v>
      </c>
      <c r="H547" s="93" t="s">
        <v>30</v>
      </c>
      <c r="I547" s="94" t="s">
        <v>1079</v>
      </c>
      <c r="J547" s="94" t="s">
        <v>1079</v>
      </c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>
      <c r="A548" s="89"/>
      <c r="B548" s="91" t="s">
        <v>1079</v>
      </c>
      <c r="C548" s="91" t="s">
        <v>47</v>
      </c>
      <c r="D548" s="91" t="s">
        <v>99</v>
      </c>
      <c r="E548" s="91" t="s">
        <v>284</v>
      </c>
      <c r="F548" s="92">
        <v>1.21</v>
      </c>
      <c r="G548" s="93" t="s">
        <v>30</v>
      </c>
      <c r="H548" s="93" t="s">
        <v>30</v>
      </c>
      <c r="I548" s="94" t="s">
        <v>1079</v>
      </c>
      <c r="J548" s="94" t="s">
        <v>1079</v>
      </c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>
      <c r="A549" s="89"/>
      <c r="B549" s="91" t="s">
        <v>1079</v>
      </c>
      <c r="C549" s="91" t="s">
        <v>26</v>
      </c>
      <c r="D549" s="91" t="s">
        <v>99</v>
      </c>
      <c r="E549" s="91" t="s">
        <v>284</v>
      </c>
      <c r="F549" s="92">
        <v>0.02</v>
      </c>
      <c r="G549" s="93" t="s">
        <v>30</v>
      </c>
      <c r="H549" s="93" t="s">
        <v>30</v>
      </c>
      <c r="I549" s="94" t="s">
        <v>1079</v>
      </c>
      <c r="J549" s="94" t="s">
        <v>1079</v>
      </c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>
      <c r="A550" s="89"/>
      <c r="B550" s="91" t="s">
        <v>1079</v>
      </c>
      <c r="C550" s="91" t="s">
        <v>38</v>
      </c>
      <c r="D550" s="91" t="s">
        <v>99</v>
      </c>
      <c r="E550" s="91" t="s">
        <v>247</v>
      </c>
      <c r="F550" s="92">
        <v>34.85</v>
      </c>
      <c r="G550" s="93">
        <v>9.0</v>
      </c>
      <c r="H550" s="93">
        <v>3.87222222</v>
      </c>
      <c r="I550" s="94" t="s">
        <v>1079</v>
      </c>
      <c r="J550" s="94" t="s">
        <v>1079</v>
      </c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>
      <c r="A551" s="89"/>
      <c r="B551" s="91" t="s">
        <v>1079</v>
      </c>
      <c r="C551" s="91" t="s">
        <v>51</v>
      </c>
      <c r="D551" s="91" t="s">
        <v>99</v>
      </c>
      <c r="E551" s="91" t="s">
        <v>284</v>
      </c>
      <c r="F551" s="92">
        <v>31.19</v>
      </c>
      <c r="G551" s="93">
        <v>6.0</v>
      </c>
      <c r="H551" s="93">
        <v>5.19833333</v>
      </c>
      <c r="I551" s="94" t="s">
        <v>1079</v>
      </c>
      <c r="J551" s="94" t="s">
        <v>1079</v>
      </c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>
      <c r="A552" s="89"/>
      <c r="B552" s="91" t="s">
        <v>1079</v>
      </c>
      <c r="C552" s="91" t="s">
        <v>26</v>
      </c>
      <c r="D552" s="91" t="s">
        <v>99</v>
      </c>
      <c r="E552" s="91" t="s">
        <v>284</v>
      </c>
      <c r="F552" s="92">
        <v>1.0</v>
      </c>
      <c r="G552" s="93" t="s">
        <v>30</v>
      </c>
      <c r="H552" s="93" t="s">
        <v>30</v>
      </c>
      <c r="I552" s="94" t="s">
        <v>1079</v>
      </c>
      <c r="J552" s="94" t="s">
        <v>1079</v>
      </c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>
      <c r="A553" s="89"/>
      <c r="B553" s="91" t="s">
        <v>1079</v>
      </c>
      <c r="C553" s="91" t="s">
        <v>39</v>
      </c>
      <c r="D553" s="91" t="s">
        <v>99</v>
      </c>
      <c r="E553" s="91" t="s">
        <v>284</v>
      </c>
      <c r="F553" s="92">
        <v>1.67</v>
      </c>
      <c r="G553" s="93">
        <v>1.0</v>
      </c>
      <c r="H553" s="93">
        <v>1.67</v>
      </c>
      <c r="I553" s="94" t="s">
        <v>1079</v>
      </c>
      <c r="J553" s="94" t="s">
        <v>1079</v>
      </c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>
      <c r="A554" s="89"/>
      <c r="B554" s="91" t="s">
        <v>1079</v>
      </c>
      <c r="C554" s="91" t="s">
        <v>57</v>
      </c>
      <c r="D554" s="91" t="s">
        <v>99</v>
      </c>
      <c r="E554" s="91" t="s">
        <v>284</v>
      </c>
      <c r="F554" s="92">
        <v>3.9</v>
      </c>
      <c r="G554" s="93" t="s">
        <v>30</v>
      </c>
      <c r="H554" s="93" t="s">
        <v>30</v>
      </c>
      <c r="I554" s="94" t="s">
        <v>1079</v>
      </c>
      <c r="J554" s="94" t="s">
        <v>1079</v>
      </c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>
      <c r="A555" s="89"/>
      <c r="B555" s="91" t="s">
        <v>1079</v>
      </c>
      <c r="C555" s="91" t="s">
        <v>38</v>
      </c>
      <c r="D555" s="91" t="s">
        <v>99</v>
      </c>
      <c r="E555" s="91" t="s">
        <v>284</v>
      </c>
      <c r="F555" s="92">
        <v>0.51</v>
      </c>
      <c r="G555" s="93" t="s">
        <v>30</v>
      </c>
      <c r="H555" s="93" t="s">
        <v>30</v>
      </c>
      <c r="I555" s="94" t="s">
        <v>1079</v>
      </c>
      <c r="J555" s="94" t="s">
        <v>1079</v>
      </c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>
      <c r="A556" s="89"/>
      <c r="B556" s="91" t="s">
        <v>1079</v>
      </c>
      <c r="C556" s="91" t="s">
        <v>26</v>
      </c>
      <c r="D556" s="91" t="s">
        <v>99</v>
      </c>
      <c r="E556" s="91" t="s">
        <v>201</v>
      </c>
      <c r="F556" s="92">
        <v>0.0</v>
      </c>
      <c r="G556" s="93" t="s">
        <v>30</v>
      </c>
      <c r="H556" s="93" t="s">
        <v>30</v>
      </c>
      <c r="I556" s="94" t="s">
        <v>1079</v>
      </c>
      <c r="J556" s="94" t="s">
        <v>1079</v>
      </c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>
      <c r="A557" s="89"/>
      <c r="B557" s="91" t="s">
        <v>1079</v>
      </c>
      <c r="C557" s="91" t="s">
        <v>26</v>
      </c>
      <c r="D557" s="91" t="s">
        <v>99</v>
      </c>
      <c r="E557" s="91" t="s">
        <v>201</v>
      </c>
      <c r="F557" s="92">
        <v>1.8</v>
      </c>
      <c r="G557" s="93">
        <v>1.0</v>
      </c>
      <c r="H557" s="93">
        <v>1.8</v>
      </c>
      <c r="I557" s="94" t="s">
        <v>1079</v>
      </c>
      <c r="J557" s="94" t="s">
        <v>1079</v>
      </c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>
      <c r="A558" s="89"/>
      <c r="B558" s="91" t="s">
        <v>1079</v>
      </c>
      <c r="C558" s="91" t="s">
        <v>42</v>
      </c>
      <c r="D558" s="91" t="s">
        <v>99</v>
      </c>
      <c r="E558" s="91" t="s">
        <v>284</v>
      </c>
      <c r="F558" s="92">
        <v>0.13</v>
      </c>
      <c r="G558" s="93" t="s">
        <v>30</v>
      </c>
      <c r="H558" s="93" t="s">
        <v>30</v>
      </c>
      <c r="I558" s="94" t="s">
        <v>1079</v>
      </c>
      <c r="J558" s="94" t="s">
        <v>1079</v>
      </c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>
      <c r="A559" s="89"/>
      <c r="B559" s="91" t="s">
        <v>1079</v>
      </c>
      <c r="C559" s="91" t="s">
        <v>39</v>
      </c>
      <c r="D559" s="91" t="s">
        <v>99</v>
      </c>
      <c r="E559" s="91" t="s">
        <v>201</v>
      </c>
      <c r="F559" s="92">
        <v>0.12</v>
      </c>
      <c r="G559" s="93" t="s">
        <v>30</v>
      </c>
      <c r="H559" s="93" t="s">
        <v>30</v>
      </c>
      <c r="I559" s="94" t="s">
        <v>1079</v>
      </c>
      <c r="J559" s="94" t="s">
        <v>1079</v>
      </c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>
      <c r="A560" s="89"/>
      <c r="B560" s="91" t="s">
        <v>1079</v>
      </c>
      <c r="C560" s="91" t="s">
        <v>51</v>
      </c>
      <c r="D560" s="91" t="s">
        <v>99</v>
      </c>
      <c r="E560" s="91" t="s">
        <v>201</v>
      </c>
      <c r="F560" s="92">
        <v>8.2</v>
      </c>
      <c r="G560" s="93">
        <v>1.0</v>
      </c>
      <c r="H560" s="93">
        <v>8.2</v>
      </c>
      <c r="I560" s="94" t="s">
        <v>1079</v>
      </c>
      <c r="J560" s="94" t="s">
        <v>1079</v>
      </c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>
      <c r="A561" s="89"/>
      <c r="B561" s="91" t="s">
        <v>1079</v>
      </c>
      <c r="C561" s="91" t="s">
        <v>57</v>
      </c>
      <c r="D561" s="91" t="s">
        <v>99</v>
      </c>
      <c r="E561" s="91" t="s">
        <v>201</v>
      </c>
      <c r="F561" s="92">
        <v>0.0</v>
      </c>
      <c r="G561" s="93" t="s">
        <v>30</v>
      </c>
      <c r="H561" s="93" t="s">
        <v>30</v>
      </c>
      <c r="I561" s="94" t="s">
        <v>1079</v>
      </c>
      <c r="J561" s="94" t="s">
        <v>1079</v>
      </c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>
      <c r="A562" s="89"/>
      <c r="B562" s="91" t="s">
        <v>1079</v>
      </c>
      <c r="C562" s="91" t="s">
        <v>47</v>
      </c>
      <c r="D562" s="91" t="s">
        <v>99</v>
      </c>
      <c r="E562" s="91" t="s">
        <v>201</v>
      </c>
      <c r="F562" s="92">
        <v>3.6</v>
      </c>
      <c r="G562" s="93">
        <v>1.0</v>
      </c>
      <c r="H562" s="93">
        <v>3.6</v>
      </c>
      <c r="I562" s="94" t="s">
        <v>1079</v>
      </c>
      <c r="J562" s="94" t="s">
        <v>1079</v>
      </c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>
      <c r="A563" s="89"/>
      <c r="B563" s="91" t="s">
        <v>1079</v>
      </c>
      <c r="C563" s="91" t="s">
        <v>38</v>
      </c>
      <c r="D563" s="91" t="s">
        <v>99</v>
      </c>
      <c r="E563" s="91" t="s">
        <v>201</v>
      </c>
      <c r="F563" s="92">
        <v>0.08</v>
      </c>
      <c r="G563" s="93" t="s">
        <v>30</v>
      </c>
      <c r="H563" s="93" t="s">
        <v>30</v>
      </c>
      <c r="I563" s="94" t="s">
        <v>1079</v>
      </c>
      <c r="J563" s="94" t="s">
        <v>1079</v>
      </c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>
      <c r="A564" s="89"/>
      <c r="B564" s="91" t="s">
        <v>1079</v>
      </c>
      <c r="C564" s="91" t="s">
        <v>39</v>
      </c>
      <c r="D564" s="91" t="s">
        <v>99</v>
      </c>
      <c r="E564" s="91" t="s">
        <v>392</v>
      </c>
      <c r="F564" s="92">
        <v>0.75</v>
      </c>
      <c r="G564" s="93" t="s">
        <v>30</v>
      </c>
      <c r="H564" s="93" t="s">
        <v>30</v>
      </c>
      <c r="I564" s="94" t="s">
        <v>1079</v>
      </c>
      <c r="J564" s="94" t="s">
        <v>1079</v>
      </c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>
      <c r="A565" s="89"/>
      <c r="B565" s="91" t="s">
        <v>1079</v>
      </c>
      <c r="C565" s="91" t="s">
        <v>38</v>
      </c>
      <c r="D565" s="91" t="s">
        <v>99</v>
      </c>
      <c r="E565" s="91" t="s">
        <v>392</v>
      </c>
      <c r="F565" s="92">
        <v>1.16</v>
      </c>
      <c r="G565" s="93" t="s">
        <v>30</v>
      </c>
      <c r="H565" s="93" t="s">
        <v>30</v>
      </c>
      <c r="I565" s="94" t="s">
        <v>1079</v>
      </c>
      <c r="J565" s="94" t="s">
        <v>1079</v>
      </c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>
      <c r="A566" s="89"/>
      <c r="B566" s="91" t="s">
        <v>1079</v>
      </c>
      <c r="C566" s="91" t="s">
        <v>57</v>
      </c>
      <c r="D566" s="91" t="s">
        <v>99</v>
      </c>
      <c r="E566" s="91" t="s">
        <v>392</v>
      </c>
      <c r="F566" s="92">
        <v>7.29</v>
      </c>
      <c r="G566" s="93" t="s">
        <v>30</v>
      </c>
      <c r="H566" s="93" t="s">
        <v>30</v>
      </c>
      <c r="I566" s="94" t="s">
        <v>1079</v>
      </c>
      <c r="J566" s="94" t="s">
        <v>1079</v>
      </c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>
      <c r="A567" s="89"/>
      <c r="B567" s="91" t="s">
        <v>1079</v>
      </c>
      <c r="C567" s="91" t="s">
        <v>42</v>
      </c>
      <c r="D567" s="91" t="s">
        <v>99</v>
      </c>
      <c r="E567" s="91" t="s">
        <v>392</v>
      </c>
      <c r="F567" s="92">
        <v>15.32</v>
      </c>
      <c r="G567" s="93">
        <v>3.0</v>
      </c>
      <c r="H567" s="93">
        <v>5.10666667</v>
      </c>
      <c r="I567" s="94" t="s">
        <v>1079</v>
      </c>
      <c r="J567" s="94" t="s">
        <v>1079</v>
      </c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>
      <c r="A568" s="89"/>
      <c r="B568" s="91" t="s">
        <v>1079</v>
      </c>
      <c r="C568" s="91" t="s">
        <v>51</v>
      </c>
      <c r="D568" s="91" t="s">
        <v>99</v>
      </c>
      <c r="E568" s="91" t="s">
        <v>392</v>
      </c>
      <c r="F568" s="92">
        <v>0.21</v>
      </c>
      <c r="G568" s="93" t="s">
        <v>30</v>
      </c>
      <c r="H568" s="93" t="s">
        <v>30</v>
      </c>
      <c r="I568" s="94" t="s">
        <v>1079</v>
      </c>
      <c r="J568" s="94" t="s">
        <v>1079</v>
      </c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>
      <c r="A569" s="89"/>
      <c r="B569" s="91" t="s">
        <v>1079</v>
      </c>
      <c r="C569" s="91" t="s">
        <v>38</v>
      </c>
      <c r="D569" s="91" t="s">
        <v>99</v>
      </c>
      <c r="E569" s="91" t="s">
        <v>178</v>
      </c>
      <c r="F569" s="92">
        <v>15.54</v>
      </c>
      <c r="G569" s="93">
        <v>5.0</v>
      </c>
      <c r="H569" s="93">
        <v>3.108</v>
      </c>
      <c r="I569" s="94" t="s">
        <v>1079</v>
      </c>
      <c r="J569" s="94" t="s">
        <v>1079</v>
      </c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>
      <c r="A570" s="89"/>
      <c r="B570" s="91" t="s">
        <v>1079</v>
      </c>
      <c r="C570" s="91" t="s">
        <v>47</v>
      </c>
      <c r="D570" s="91" t="s">
        <v>99</v>
      </c>
      <c r="E570" s="91" t="s">
        <v>392</v>
      </c>
      <c r="F570" s="92">
        <v>1.04</v>
      </c>
      <c r="G570" s="93" t="s">
        <v>30</v>
      </c>
      <c r="H570" s="93" t="s">
        <v>30</v>
      </c>
      <c r="I570" s="94" t="s">
        <v>1079</v>
      </c>
      <c r="J570" s="94" t="s">
        <v>1079</v>
      </c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>
      <c r="A571" s="89"/>
      <c r="B571" s="91" t="s">
        <v>1079</v>
      </c>
      <c r="C571" s="91" t="s">
        <v>42</v>
      </c>
      <c r="D571" s="91" t="s">
        <v>99</v>
      </c>
      <c r="E571" s="91" t="s">
        <v>178</v>
      </c>
      <c r="F571" s="92">
        <v>0.0</v>
      </c>
      <c r="G571" s="93" t="s">
        <v>30</v>
      </c>
      <c r="H571" s="93" t="s">
        <v>30</v>
      </c>
      <c r="I571" s="94" t="s">
        <v>1079</v>
      </c>
      <c r="J571" s="94" t="s">
        <v>1079</v>
      </c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>
      <c r="A572" s="89"/>
      <c r="B572" s="91" t="s">
        <v>1079</v>
      </c>
      <c r="C572" s="91" t="s">
        <v>36</v>
      </c>
      <c r="D572" s="91" t="s">
        <v>99</v>
      </c>
      <c r="E572" s="91" t="s">
        <v>392</v>
      </c>
      <c r="F572" s="92">
        <v>0.0</v>
      </c>
      <c r="G572" s="93" t="s">
        <v>30</v>
      </c>
      <c r="H572" s="93" t="s">
        <v>30</v>
      </c>
      <c r="I572" s="94" t="s">
        <v>1079</v>
      </c>
      <c r="J572" s="94" t="s">
        <v>1079</v>
      </c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>
      <c r="A573" s="89"/>
      <c r="B573" s="91" t="s">
        <v>1079</v>
      </c>
      <c r="C573" s="91" t="s">
        <v>26</v>
      </c>
      <c r="D573" s="91" t="s">
        <v>99</v>
      </c>
      <c r="E573" s="91" t="s">
        <v>178</v>
      </c>
      <c r="F573" s="92">
        <v>0.0</v>
      </c>
      <c r="G573" s="93" t="s">
        <v>30</v>
      </c>
      <c r="H573" s="93" t="s">
        <v>30</v>
      </c>
      <c r="I573" s="94" t="s">
        <v>1079</v>
      </c>
      <c r="J573" s="94" t="s">
        <v>1079</v>
      </c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>
      <c r="A574" s="89"/>
      <c r="B574" s="91" t="s">
        <v>1079</v>
      </c>
      <c r="C574" s="91" t="s">
        <v>57</v>
      </c>
      <c r="D574" s="91" t="s">
        <v>99</v>
      </c>
      <c r="E574" s="91" t="s">
        <v>178</v>
      </c>
      <c r="F574" s="92">
        <v>0.68</v>
      </c>
      <c r="G574" s="93" t="s">
        <v>30</v>
      </c>
      <c r="H574" s="93" t="s">
        <v>30</v>
      </c>
      <c r="I574" s="94" t="s">
        <v>1079</v>
      </c>
      <c r="J574" s="94" t="s">
        <v>1079</v>
      </c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>
      <c r="A575" s="89"/>
      <c r="B575" s="91" t="s">
        <v>1079</v>
      </c>
      <c r="C575" s="91" t="s">
        <v>26</v>
      </c>
      <c r="D575" s="91" t="s">
        <v>99</v>
      </c>
      <c r="E575" s="91" t="s">
        <v>392</v>
      </c>
      <c r="F575" s="92">
        <v>7.3</v>
      </c>
      <c r="G575" s="93" t="s">
        <v>30</v>
      </c>
      <c r="H575" s="93" t="s">
        <v>30</v>
      </c>
      <c r="I575" s="94" t="s">
        <v>1079</v>
      </c>
      <c r="J575" s="94" t="s">
        <v>1079</v>
      </c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>
      <c r="A576" s="89"/>
      <c r="B576" s="91" t="s">
        <v>1079</v>
      </c>
      <c r="C576" s="91" t="s">
        <v>36</v>
      </c>
      <c r="D576" s="91" t="s">
        <v>99</v>
      </c>
      <c r="E576" s="91" t="s">
        <v>178</v>
      </c>
      <c r="F576" s="92">
        <v>0.38</v>
      </c>
      <c r="G576" s="93" t="s">
        <v>30</v>
      </c>
      <c r="H576" s="93" t="s">
        <v>30</v>
      </c>
      <c r="I576" s="94" t="s">
        <v>1079</v>
      </c>
      <c r="J576" s="94" t="s">
        <v>1079</v>
      </c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>
      <c r="A577" s="89"/>
      <c r="B577" s="91" t="s">
        <v>1079</v>
      </c>
      <c r="C577" s="91" t="s">
        <v>47</v>
      </c>
      <c r="D577" s="91" t="s">
        <v>99</v>
      </c>
      <c r="E577" s="91" t="s">
        <v>178</v>
      </c>
      <c r="F577" s="92">
        <v>0.28</v>
      </c>
      <c r="G577" s="93" t="s">
        <v>30</v>
      </c>
      <c r="H577" s="93" t="s">
        <v>30</v>
      </c>
      <c r="I577" s="94" t="s">
        <v>1079</v>
      </c>
      <c r="J577" s="94" t="s">
        <v>1079</v>
      </c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>
      <c r="A578" s="89"/>
      <c r="B578" s="91" t="s">
        <v>1079</v>
      </c>
      <c r="C578" s="91" t="s">
        <v>51</v>
      </c>
      <c r="D578" s="91" t="s">
        <v>99</v>
      </c>
      <c r="E578" s="91" t="s">
        <v>178</v>
      </c>
      <c r="F578" s="92">
        <v>0.11</v>
      </c>
      <c r="G578" s="93" t="s">
        <v>30</v>
      </c>
      <c r="H578" s="93" t="s">
        <v>30</v>
      </c>
      <c r="I578" s="94" t="s">
        <v>1079</v>
      </c>
      <c r="J578" s="94" t="s">
        <v>1079</v>
      </c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>
      <c r="A579" s="89"/>
      <c r="B579" s="91" t="s">
        <v>1079</v>
      </c>
      <c r="C579" s="91" t="s">
        <v>39</v>
      </c>
      <c r="D579" s="91" t="s">
        <v>99</v>
      </c>
      <c r="E579" s="91" t="s">
        <v>178</v>
      </c>
      <c r="F579" s="92">
        <v>0.97</v>
      </c>
      <c r="G579" s="93" t="s">
        <v>30</v>
      </c>
      <c r="H579" s="93" t="s">
        <v>30</v>
      </c>
      <c r="I579" s="94" t="s">
        <v>1079</v>
      </c>
      <c r="J579" s="94" t="s">
        <v>1079</v>
      </c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>
      <c r="A580" s="89"/>
      <c r="B580" s="91" t="s">
        <v>1079</v>
      </c>
      <c r="C580" s="91" t="s">
        <v>26</v>
      </c>
      <c r="D580" s="91" t="s">
        <v>99</v>
      </c>
      <c r="E580" s="91" t="s">
        <v>178</v>
      </c>
      <c r="F580" s="92">
        <v>1.3</v>
      </c>
      <c r="G580" s="93" t="s">
        <v>30</v>
      </c>
      <c r="H580" s="93" t="s">
        <v>30</v>
      </c>
      <c r="I580" s="94" t="s">
        <v>1079</v>
      </c>
      <c r="J580" s="94" t="s">
        <v>1079</v>
      </c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>
      <c r="A581" s="89"/>
      <c r="B581" s="91" t="s">
        <v>1079</v>
      </c>
      <c r="C581" s="91" t="s">
        <v>42</v>
      </c>
      <c r="D581" s="91" t="s">
        <v>99</v>
      </c>
      <c r="E581" s="91" t="s">
        <v>235</v>
      </c>
      <c r="F581" s="92">
        <v>0.91</v>
      </c>
      <c r="G581" s="93" t="s">
        <v>30</v>
      </c>
      <c r="H581" s="93" t="s">
        <v>30</v>
      </c>
      <c r="I581" s="94" t="s">
        <v>1079</v>
      </c>
      <c r="J581" s="94" t="s">
        <v>1079</v>
      </c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>
      <c r="A582" s="89"/>
      <c r="B582" s="91" t="s">
        <v>1079</v>
      </c>
      <c r="C582" s="91" t="s">
        <v>39</v>
      </c>
      <c r="D582" s="91" t="s">
        <v>99</v>
      </c>
      <c r="E582" s="91" t="s">
        <v>235</v>
      </c>
      <c r="F582" s="92">
        <v>0.01</v>
      </c>
      <c r="G582" s="93" t="s">
        <v>30</v>
      </c>
      <c r="H582" s="93" t="s">
        <v>30</v>
      </c>
      <c r="I582" s="94" t="s">
        <v>1079</v>
      </c>
      <c r="J582" s="94" t="s">
        <v>1079</v>
      </c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>
      <c r="A583" s="89"/>
      <c r="B583" s="91" t="s">
        <v>1079</v>
      </c>
      <c r="C583" s="91" t="s">
        <v>51</v>
      </c>
      <c r="D583" s="91" t="s">
        <v>99</v>
      </c>
      <c r="E583" s="91" t="s">
        <v>235</v>
      </c>
      <c r="F583" s="92">
        <v>0.0</v>
      </c>
      <c r="G583" s="93" t="s">
        <v>30</v>
      </c>
      <c r="H583" s="93" t="s">
        <v>30</v>
      </c>
      <c r="I583" s="94" t="s">
        <v>1079</v>
      </c>
      <c r="J583" s="94" t="s">
        <v>1079</v>
      </c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>
      <c r="A584" s="89"/>
      <c r="B584" s="91" t="s">
        <v>1079</v>
      </c>
      <c r="C584" s="91" t="s">
        <v>57</v>
      </c>
      <c r="D584" s="91" t="s">
        <v>99</v>
      </c>
      <c r="E584" s="91" t="s">
        <v>235</v>
      </c>
      <c r="F584" s="92">
        <v>0.0</v>
      </c>
      <c r="G584" s="93" t="s">
        <v>30</v>
      </c>
      <c r="H584" s="93" t="s">
        <v>30</v>
      </c>
      <c r="I584" s="94" t="s">
        <v>1079</v>
      </c>
      <c r="J584" s="94" t="s">
        <v>1079</v>
      </c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>
      <c r="A585" s="89"/>
      <c r="B585" s="91" t="s">
        <v>1079</v>
      </c>
      <c r="C585" s="91" t="s">
        <v>38</v>
      </c>
      <c r="D585" s="91" t="s">
        <v>99</v>
      </c>
      <c r="E585" s="91" t="s">
        <v>235</v>
      </c>
      <c r="F585" s="92">
        <v>2.35</v>
      </c>
      <c r="G585" s="93" t="s">
        <v>30</v>
      </c>
      <c r="H585" s="93" t="s">
        <v>30</v>
      </c>
      <c r="I585" s="94" t="s">
        <v>1079</v>
      </c>
      <c r="J585" s="94" t="s">
        <v>1079</v>
      </c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>
      <c r="A586" s="89"/>
      <c r="B586" s="91" t="s">
        <v>1079</v>
      </c>
      <c r="C586" s="91" t="s">
        <v>47</v>
      </c>
      <c r="D586" s="91" t="s">
        <v>99</v>
      </c>
      <c r="E586" s="91" t="s">
        <v>235</v>
      </c>
      <c r="F586" s="92">
        <v>0.16</v>
      </c>
      <c r="G586" s="93" t="s">
        <v>30</v>
      </c>
      <c r="H586" s="93" t="s">
        <v>30</v>
      </c>
      <c r="I586" s="94" t="s">
        <v>1079</v>
      </c>
      <c r="J586" s="94" t="s">
        <v>1079</v>
      </c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>
      <c r="A587" s="89"/>
      <c r="B587" s="91" t="s">
        <v>1079</v>
      </c>
      <c r="C587" s="91" t="s">
        <v>37</v>
      </c>
      <c r="D587" s="91" t="s">
        <v>141</v>
      </c>
      <c r="E587" s="91" t="s">
        <v>284</v>
      </c>
      <c r="F587" s="92">
        <v>4.21</v>
      </c>
      <c r="G587" s="93" t="s">
        <v>30</v>
      </c>
      <c r="H587" s="93" t="s">
        <v>30</v>
      </c>
      <c r="I587" s="94" t="s">
        <v>1079</v>
      </c>
      <c r="J587" s="94" t="s">
        <v>1079</v>
      </c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>
      <c r="A588" s="89"/>
      <c r="B588" s="91" t="s">
        <v>1079</v>
      </c>
      <c r="C588" s="91" t="s">
        <v>29</v>
      </c>
      <c r="D588" s="91" t="s">
        <v>141</v>
      </c>
      <c r="E588" s="91" t="s">
        <v>284</v>
      </c>
      <c r="F588" s="92">
        <v>58.03</v>
      </c>
      <c r="G588" s="93">
        <v>8.0</v>
      </c>
      <c r="H588" s="93">
        <v>7.25375</v>
      </c>
      <c r="I588" s="94" t="s">
        <v>1079</v>
      </c>
      <c r="J588" s="94" t="s">
        <v>1079</v>
      </c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>
      <c r="A589" s="89"/>
      <c r="B589" s="91" t="s">
        <v>1079</v>
      </c>
      <c r="C589" s="91" t="s">
        <v>42</v>
      </c>
      <c r="D589" s="91" t="s">
        <v>141</v>
      </c>
      <c r="E589" s="91" t="s">
        <v>284</v>
      </c>
      <c r="F589" s="92">
        <v>1.6</v>
      </c>
      <c r="G589" s="93" t="s">
        <v>30</v>
      </c>
      <c r="H589" s="93" t="s">
        <v>30</v>
      </c>
      <c r="I589" s="94" t="s">
        <v>1079</v>
      </c>
      <c r="J589" s="94" t="s">
        <v>1079</v>
      </c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>
      <c r="A590" s="89"/>
      <c r="B590" s="91" t="s">
        <v>1079</v>
      </c>
      <c r="C590" s="91" t="s">
        <v>42</v>
      </c>
      <c r="D590" s="91" t="s">
        <v>141</v>
      </c>
      <c r="E590" s="91" t="s">
        <v>178</v>
      </c>
      <c r="F590" s="92">
        <v>6.69</v>
      </c>
      <c r="G590" s="93" t="s">
        <v>30</v>
      </c>
      <c r="H590" s="93" t="s">
        <v>30</v>
      </c>
      <c r="I590" s="94" t="s">
        <v>1079</v>
      </c>
      <c r="J590" s="94" t="s">
        <v>1079</v>
      </c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>
      <c r="A591" s="89"/>
      <c r="B591" s="91" t="s">
        <v>1079</v>
      </c>
      <c r="C591" s="91" t="s">
        <v>37</v>
      </c>
      <c r="D591" s="91" t="s">
        <v>141</v>
      </c>
      <c r="E591" s="91" t="s">
        <v>178</v>
      </c>
      <c r="F591" s="92">
        <v>0.01</v>
      </c>
      <c r="G591" s="93" t="s">
        <v>30</v>
      </c>
      <c r="H591" s="93" t="s">
        <v>30</v>
      </c>
      <c r="I591" s="94" t="s">
        <v>1079</v>
      </c>
      <c r="J591" s="94" t="s">
        <v>1079</v>
      </c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>
      <c r="A592" s="89"/>
      <c r="B592" s="91" t="s">
        <v>1079</v>
      </c>
      <c r="C592" s="91" t="s">
        <v>29</v>
      </c>
      <c r="D592" s="91" t="s">
        <v>141</v>
      </c>
      <c r="E592" s="91" t="s">
        <v>178</v>
      </c>
      <c r="F592" s="92">
        <v>0.12</v>
      </c>
      <c r="G592" s="93" t="s">
        <v>30</v>
      </c>
      <c r="H592" s="93" t="s">
        <v>30</v>
      </c>
      <c r="I592" s="94" t="s">
        <v>1079</v>
      </c>
      <c r="J592" s="94" t="s">
        <v>1079</v>
      </c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>
      <c r="A593" s="89"/>
      <c r="B593" s="91" t="s">
        <v>1079</v>
      </c>
      <c r="C593" s="91" t="s">
        <v>37</v>
      </c>
      <c r="D593" s="91" t="s">
        <v>141</v>
      </c>
      <c r="E593" s="91" t="s">
        <v>392</v>
      </c>
      <c r="F593" s="92">
        <v>0.42</v>
      </c>
      <c r="G593" s="93" t="s">
        <v>30</v>
      </c>
      <c r="H593" s="93" t="s">
        <v>30</v>
      </c>
      <c r="I593" s="94" t="s">
        <v>1079</v>
      </c>
      <c r="J593" s="94" t="s">
        <v>1079</v>
      </c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>
      <c r="A594" s="89"/>
      <c r="B594" s="91" t="s">
        <v>1079</v>
      </c>
      <c r="C594" s="91" t="s">
        <v>29</v>
      </c>
      <c r="D594" s="91" t="s">
        <v>141</v>
      </c>
      <c r="E594" s="91" t="s">
        <v>392</v>
      </c>
      <c r="F594" s="92">
        <v>2.96</v>
      </c>
      <c r="G594" s="93">
        <v>2.0</v>
      </c>
      <c r="H594" s="93">
        <v>1.48</v>
      </c>
      <c r="I594" s="94" t="s">
        <v>1079</v>
      </c>
      <c r="J594" s="94" t="s">
        <v>1079</v>
      </c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>
      <c r="A595" s="89"/>
      <c r="B595" s="91" t="s">
        <v>1079</v>
      </c>
      <c r="C595" s="91" t="s">
        <v>42</v>
      </c>
      <c r="D595" s="91" t="s">
        <v>141</v>
      </c>
      <c r="E595" s="91" t="s">
        <v>392</v>
      </c>
      <c r="F595" s="92">
        <v>39.44</v>
      </c>
      <c r="G595" s="93">
        <v>1.0</v>
      </c>
      <c r="H595" s="93">
        <v>39.44</v>
      </c>
      <c r="I595" s="94" t="s">
        <v>1079</v>
      </c>
      <c r="J595" s="94" t="s">
        <v>1079</v>
      </c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>
      <c r="A596" s="89"/>
      <c r="B596" s="91" t="s">
        <v>1079</v>
      </c>
      <c r="C596" s="91" t="s">
        <v>37</v>
      </c>
      <c r="D596" s="91" t="s">
        <v>141</v>
      </c>
      <c r="E596" s="91" t="s">
        <v>201</v>
      </c>
      <c r="F596" s="92">
        <v>1.61</v>
      </c>
      <c r="G596" s="93" t="s">
        <v>30</v>
      </c>
      <c r="H596" s="93" t="s">
        <v>30</v>
      </c>
      <c r="I596" s="94" t="s">
        <v>1079</v>
      </c>
      <c r="J596" s="94" t="s">
        <v>1079</v>
      </c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>
      <c r="A597" s="89"/>
      <c r="B597" s="91" t="s">
        <v>1079</v>
      </c>
      <c r="C597" s="91" t="s">
        <v>29</v>
      </c>
      <c r="D597" s="91" t="s">
        <v>141</v>
      </c>
      <c r="E597" s="91" t="s">
        <v>201</v>
      </c>
      <c r="F597" s="92">
        <v>9.1</v>
      </c>
      <c r="G597" s="93">
        <v>3.0</v>
      </c>
      <c r="H597" s="93">
        <v>3.03333333</v>
      </c>
      <c r="I597" s="94" t="s">
        <v>1079</v>
      </c>
      <c r="J597" s="94" t="s">
        <v>1079</v>
      </c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>
      <c r="A598" s="89"/>
      <c r="B598" s="91" t="s">
        <v>1079</v>
      </c>
      <c r="C598" s="91" t="s">
        <v>42</v>
      </c>
      <c r="D598" s="91" t="s">
        <v>141</v>
      </c>
      <c r="E598" s="91" t="s">
        <v>201</v>
      </c>
      <c r="F598" s="92">
        <v>0.0</v>
      </c>
      <c r="G598" s="93" t="s">
        <v>30</v>
      </c>
      <c r="H598" s="93" t="s">
        <v>30</v>
      </c>
      <c r="I598" s="94" t="s">
        <v>1079</v>
      </c>
      <c r="J598" s="94" t="s">
        <v>1079</v>
      </c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>
      <c r="A599" s="89"/>
      <c r="B599" s="91" t="s">
        <v>1079</v>
      </c>
      <c r="C599" s="91" t="s">
        <v>37</v>
      </c>
      <c r="D599" s="91" t="s">
        <v>141</v>
      </c>
      <c r="E599" s="91" t="s">
        <v>235</v>
      </c>
      <c r="F599" s="92">
        <v>0.0</v>
      </c>
      <c r="G599" s="93" t="s">
        <v>30</v>
      </c>
      <c r="H599" s="93" t="s">
        <v>30</v>
      </c>
      <c r="I599" s="94" t="s">
        <v>1079</v>
      </c>
      <c r="J599" s="94" t="s">
        <v>1079</v>
      </c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>
      <c r="A600" s="89"/>
      <c r="B600" s="91" t="s">
        <v>1079</v>
      </c>
      <c r="C600" s="91" t="s">
        <v>42</v>
      </c>
      <c r="D600" s="91" t="s">
        <v>141</v>
      </c>
      <c r="E600" s="91" t="s">
        <v>235</v>
      </c>
      <c r="F600" s="92">
        <v>7.1</v>
      </c>
      <c r="G600" s="93" t="s">
        <v>30</v>
      </c>
      <c r="H600" s="93" t="s">
        <v>30</v>
      </c>
      <c r="I600" s="94" t="s">
        <v>1079</v>
      </c>
      <c r="J600" s="94" t="s">
        <v>1079</v>
      </c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>
      <c r="A601" s="89"/>
      <c r="B601" s="91" t="s">
        <v>1079</v>
      </c>
      <c r="C601" s="91" t="s">
        <v>29</v>
      </c>
      <c r="D601" s="91" t="s">
        <v>141</v>
      </c>
      <c r="E601" s="91" t="s">
        <v>235</v>
      </c>
      <c r="F601" s="92">
        <v>0.17</v>
      </c>
      <c r="G601" s="93" t="s">
        <v>30</v>
      </c>
      <c r="H601" s="93" t="s">
        <v>30</v>
      </c>
      <c r="I601" s="94" t="s">
        <v>1079</v>
      </c>
      <c r="J601" s="94" t="s">
        <v>1079</v>
      </c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>
      <c r="A602" s="89"/>
      <c r="B602" s="91" t="s">
        <v>1079</v>
      </c>
      <c r="C602" s="91" t="s">
        <v>37</v>
      </c>
      <c r="D602" s="91" t="s">
        <v>141</v>
      </c>
      <c r="E602" s="91" t="s">
        <v>247</v>
      </c>
      <c r="F602" s="92">
        <v>5.25</v>
      </c>
      <c r="G602" s="93">
        <v>1.0</v>
      </c>
      <c r="H602" s="93">
        <v>5.25</v>
      </c>
      <c r="I602" s="94" t="s">
        <v>1079</v>
      </c>
      <c r="J602" s="94" t="s">
        <v>1079</v>
      </c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>
      <c r="A603" s="89"/>
      <c r="B603" s="91" t="s">
        <v>1079</v>
      </c>
      <c r="C603" s="91" t="s">
        <v>42</v>
      </c>
      <c r="D603" s="91" t="s">
        <v>141</v>
      </c>
      <c r="E603" s="91" t="s">
        <v>247</v>
      </c>
      <c r="F603" s="92">
        <v>1.43</v>
      </c>
      <c r="G603" s="93" t="s">
        <v>30</v>
      </c>
      <c r="H603" s="93" t="s">
        <v>30</v>
      </c>
      <c r="I603" s="94" t="s">
        <v>1079</v>
      </c>
      <c r="J603" s="94" t="s">
        <v>1079</v>
      </c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>
      <c r="A604" s="89"/>
      <c r="B604" s="91" t="s">
        <v>1079</v>
      </c>
      <c r="C604" s="91" t="s">
        <v>29</v>
      </c>
      <c r="D604" s="91" t="s">
        <v>141</v>
      </c>
      <c r="E604" s="91" t="s">
        <v>247</v>
      </c>
      <c r="F604" s="92">
        <v>55.7</v>
      </c>
      <c r="G604" s="93">
        <v>13.0</v>
      </c>
      <c r="H604" s="93">
        <v>4.28461538</v>
      </c>
      <c r="I604" s="94" t="s">
        <v>1079</v>
      </c>
      <c r="J604" s="94" t="s">
        <v>1079</v>
      </c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>
      <c r="A605" s="89"/>
      <c r="B605" s="91" t="s">
        <v>1079</v>
      </c>
      <c r="C605" s="91" t="s">
        <v>29</v>
      </c>
      <c r="D605" s="91" t="s">
        <v>419</v>
      </c>
      <c r="E605" s="91" t="s">
        <v>420</v>
      </c>
      <c r="F605" s="92">
        <v>0.0</v>
      </c>
      <c r="G605" s="93" t="s">
        <v>30</v>
      </c>
      <c r="H605" s="93" t="s">
        <v>30</v>
      </c>
      <c r="I605" s="94" t="s">
        <v>1079</v>
      </c>
      <c r="J605" s="94" t="s">
        <v>1079</v>
      </c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>
      <c r="A606" s="89"/>
      <c r="B606" s="91" t="s">
        <v>1079</v>
      </c>
      <c r="C606" s="91" t="s">
        <v>27</v>
      </c>
      <c r="D606" s="91" t="s">
        <v>419</v>
      </c>
      <c r="E606" s="91" t="s">
        <v>420</v>
      </c>
      <c r="F606" s="92">
        <v>1.58</v>
      </c>
      <c r="G606" s="93">
        <v>4.0</v>
      </c>
      <c r="H606" s="93">
        <v>0.395</v>
      </c>
      <c r="I606" s="94" t="s">
        <v>1079</v>
      </c>
      <c r="J606" s="94" t="s">
        <v>1079</v>
      </c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>
      <c r="A607" s="89"/>
      <c r="B607" s="91" t="s">
        <v>1079</v>
      </c>
      <c r="C607" s="91" t="s">
        <v>28</v>
      </c>
      <c r="D607" s="91" t="s">
        <v>419</v>
      </c>
      <c r="E607" s="91" t="s">
        <v>420</v>
      </c>
      <c r="F607" s="92">
        <v>0.04</v>
      </c>
      <c r="G607" s="93">
        <v>1.0</v>
      </c>
      <c r="H607" s="93">
        <v>0.04</v>
      </c>
      <c r="I607" s="94" t="s">
        <v>1079</v>
      </c>
      <c r="J607" s="94" t="s">
        <v>1079</v>
      </c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>
      <c r="A608" s="89"/>
      <c r="B608" s="91" t="s">
        <v>1079</v>
      </c>
      <c r="C608" s="91" t="s">
        <v>35</v>
      </c>
      <c r="D608" s="91" t="s">
        <v>419</v>
      </c>
      <c r="E608" s="91" t="s">
        <v>420</v>
      </c>
      <c r="F608" s="92">
        <v>6.57</v>
      </c>
      <c r="G608" s="93" t="s">
        <v>30</v>
      </c>
      <c r="H608" s="93" t="s">
        <v>30</v>
      </c>
      <c r="I608" s="94" t="s">
        <v>1079</v>
      </c>
      <c r="J608" s="94" t="s">
        <v>1079</v>
      </c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>
      <c r="A609" s="89"/>
      <c r="B609" s="91" t="s">
        <v>1079</v>
      </c>
      <c r="C609" s="91" t="s">
        <v>28</v>
      </c>
      <c r="D609" s="91" t="s">
        <v>419</v>
      </c>
      <c r="E609" s="91" t="s">
        <v>441</v>
      </c>
      <c r="F609" s="92">
        <v>25.62</v>
      </c>
      <c r="G609" s="93">
        <v>21.0</v>
      </c>
      <c r="H609" s="93">
        <v>1.22</v>
      </c>
      <c r="I609" s="94" t="s">
        <v>1079</v>
      </c>
      <c r="J609" s="94" t="s">
        <v>1079</v>
      </c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>
      <c r="A610" s="89"/>
      <c r="B610" s="91" t="s">
        <v>1079</v>
      </c>
      <c r="C610" s="91" t="s">
        <v>34</v>
      </c>
      <c r="D610" s="91" t="s">
        <v>419</v>
      </c>
      <c r="E610" s="91" t="s">
        <v>441</v>
      </c>
      <c r="F610" s="92">
        <v>0.56</v>
      </c>
      <c r="G610" s="93" t="s">
        <v>30</v>
      </c>
      <c r="H610" s="93" t="s">
        <v>30</v>
      </c>
      <c r="I610" s="94" t="s">
        <v>1079</v>
      </c>
      <c r="J610" s="94" t="s">
        <v>1079</v>
      </c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>
      <c r="A611" s="89"/>
      <c r="B611" s="91" t="s">
        <v>1079</v>
      </c>
      <c r="C611" s="91" t="s">
        <v>29</v>
      </c>
      <c r="D611" s="91" t="s">
        <v>419</v>
      </c>
      <c r="E611" s="91" t="s">
        <v>441</v>
      </c>
      <c r="F611" s="92">
        <v>52.99</v>
      </c>
      <c r="G611" s="93" t="s">
        <v>30</v>
      </c>
      <c r="H611" s="93" t="s">
        <v>30</v>
      </c>
      <c r="I611" s="94" t="s">
        <v>1079</v>
      </c>
      <c r="J611" s="94" t="s">
        <v>1079</v>
      </c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>
      <c r="A612" s="89"/>
      <c r="B612" s="91" t="s">
        <v>1079</v>
      </c>
      <c r="C612" s="91" t="s">
        <v>27</v>
      </c>
      <c r="D612" s="91" t="s">
        <v>419</v>
      </c>
      <c r="E612" s="91" t="s">
        <v>441</v>
      </c>
      <c r="F612" s="92">
        <v>30.21</v>
      </c>
      <c r="G612" s="93">
        <v>30.0</v>
      </c>
      <c r="H612" s="93">
        <v>1.007</v>
      </c>
      <c r="I612" s="94" t="s">
        <v>1079</v>
      </c>
      <c r="J612" s="94" t="s">
        <v>1079</v>
      </c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>
      <c r="A613" s="89"/>
      <c r="B613" s="91" t="s">
        <v>1079</v>
      </c>
      <c r="C613" s="91" t="s">
        <v>35</v>
      </c>
      <c r="D613" s="91" t="s">
        <v>419</v>
      </c>
      <c r="E613" s="91" t="s">
        <v>441</v>
      </c>
      <c r="F613" s="92">
        <v>11.08</v>
      </c>
      <c r="G613" s="93">
        <v>2.0</v>
      </c>
      <c r="H613" s="93">
        <v>5.54</v>
      </c>
      <c r="I613" s="94" t="s">
        <v>1079</v>
      </c>
      <c r="J613" s="94" t="s">
        <v>1079</v>
      </c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>
      <c r="A614" s="89"/>
      <c r="B614" s="91" t="s">
        <v>1079</v>
      </c>
      <c r="C614" s="91" t="s">
        <v>53</v>
      </c>
      <c r="D614" s="91" t="s">
        <v>419</v>
      </c>
      <c r="E614" s="91" t="s">
        <v>441</v>
      </c>
      <c r="F614" s="92">
        <v>1.12</v>
      </c>
      <c r="G614" s="93" t="s">
        <v>30</v>
      </c>
      <c r="H614" s="93" t="s">
        <v>30</v>
      </c>
      <c r="I614" s="94" t="s">
        <v>1079</v>
      </c>
      <c r="J614" s="94" t="s">
        <v>1079</v>
      </c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>
      <c r="A615" s="89"/>
      <c r="B615" s="91" t="s">
        <v>1079</v>
      </c>
      <c r="C615" s="91" t="s">
        <v>41</v>
      </c>
      <c r="D615" s="91" t="s">
        <v>419</v>
      </c>
      <c r="E615" s="91" t="s">
        <v>441</v>
      </c>
      <c r="F615" s="92">
        <v>20.2</v>
      </c>
      <c r="G615" s="93">
        <v>11.0</v>
      </c>
      <c r="H615" s="93">
        <v>1.83636364</v>
      </c>
      <c r="I615" s="94" t="s">
        <v>1079</v>
      </c>
      <c r="J615" s="94" t="s">
        <v>1079</v>
      </c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>
      <c r="A616" s="89"/>
      <c r="B616" s="91" t="s">
        <v>1079</v>
      </c>
      <c r="C616" s="91" t="s">
        <v>32</v>
      </c>
      <c r="D616" s="91" t="s">
        <v>419</v>
      </c>
      <c r="E616" s="91" t="s">
        <v>441</v>
      </c>
      <c r="F616" s="92">
        <v>14.08</v>
      </c>
      <c r="G616" s="93">
        <v>5.0</v>
      </c>
      <c r="H616" s="93">
        <v>2.816</v>
      </c>
      <c r="I616" s="94" t="s">
        <v>1079</v>
      </c>
      <c r="J616" s="94" t="s">
        <v>1079</v>
      </c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>
      <c r="A617" s="89"/>
      <c r="B617" s="91" t="s">
        <v>1079</v>
      </c>
      <c r="C617" s="91" t="s">
        <v>34</v>
      </c>
      <c r="D617" s="91" t="s">
        <v>419</v>
      </c>
      <c r="E617" s="91" t="s">
        <v>474</v>
      </c>
      <c r="F617" s="92">
        <v>33.93</v>
      </c>
      <c r="G617" s="93">
        <v>9.0</v>
      </c>
      <c r="H617" s="93">
        <v>3.77</v>
      </c>
      <c r="I617" s="94" t="s">
        <v>1079</v>
      </c>
      <c r="J617" s="94" t="s">
        <v>1079</v>
      </c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>
      <c r="A618" s="89"/>
      <c r="B618" s="91" t="s">
        <v>1079</v>
      </c>
      <c r="C618" s="91" t="s">
        <v>53</v>
      </c>
      <c r="D618" s="91" t="s">
        <v>419</v>
      </c>
      <c r="E618" s="91" t="s">
        <v>474</v>
      </c>
      <c r="F618" s="92">
        <v>0.58</v>
      </c>
      <c r="G618" s="93">
        <v>2.0</v>
      </c>
      <c r="H618" s="93">
        <v>0.29</v>
      </c>
      <c r="I618" s="94" t="s">
        <v>1079</v>
      </c>
      <c r="J618" s="94" t="s">
        <v>1079</v>
      </c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>
      <c r="A619" s="89"/>
      <c r="B619" s="91" t="s">
        <v>1079</v>
      </c>
      <c r="C619" s="91" t="s">
        <v>32</v>
      </c>
      <c r="D619" s="91" t="s">
        <v>419</v>
      </c>
      <c r="E619" s="91" t="s">
        <v>474</v>
      </c>
      <c r="F619" s="92">
        <v>13.21</v>
      </c>
      <c r="G619" s="93">
        <v>13.0</v>
      </c>
      <c r="H619" s="93">
        <v>1.01615385</v>
      </c>
      <c r="I619" s="94" t="s">
        <v>1079</v>
      </c>
      <c r="J619" s="94" t="s">
        <v>1079</v>
      </c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>
      <c r="A620" s="89"/>
      <c r="B620" s="91" t="s">
        <v>1079</v>
      </c>
      <c r="C620" s="91" t="s">
        <v>35</v>
      </c>
      <c r="D620" s="91" t="s">
        <v>419</v>
      </c>
      <c r="E620" s="91" t="s">
        <v>474</v>
      </c>
      <c r="F620" s="92">
        <v>14.88</v>
      </c>
      <c r="G620" s="93" t="s">
        <v>30</v>
      </c>
      <c r="H620" s="93" t="s">
        <v>30</v>
      </c>
      <c r="I620" s="94" t="s">
        <v>1079</v>
      </c>
      <c r="J620" s="94" t="s">
        <v>1079</v>
      </c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>
      <c r="A621" s="89"/>
      <c r="B621" s="91" t="s">
        <v>1079</v>
      </c>
      <c r="C621" s="91" t="s">
        <v>29</v>
      </c>
      <c r="D621" s="91" t="s">
        <v>419</v>
      </c>
      <c r="E621" s="91" t="s">
        <v>474</v>
      </c>
      <c r="F621" s="92">
        <v>289.84</v>
      </c>
      <c r="G621" s="93">
        <v>1.0</v>
      </c>
      <c r="H621" s="93">
        <v>289.84</v>
      </c>
      <c r="I621" s="94" t="s">
        <v>1079</v>
      </c>
      <c r="J621" s="94" t="s">
        <v>1079</v>
      </c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>
      <c r="A622" s="89"/>
      <c r="B622" s="91" t="s">
        <v>1079</v>
      </c>
      <c r="C622" s="91" t="s">
        <v>27</v>
      </c>
      <c r="D622" s="91" t="s">
        <v>419</v>
      </c>
      <c r="E622" s="91" t="s">
        <v>474</v>
      </c>
      <c r="F622" s="92">
        <v>17.1</v>
      </c>
      <c r="G622" s="93">
        <v>23.0</v>
      </c>
      <c r="H622" s="93">
        <v>0.74347826</v>
      </c>
      <c r="I622" s="94" t="s">
        <v>1079</v>
      </c>
      <c r="J622" s="94" t="s">
        <v>1079</v>
      </c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>
      <c r="A623" s="89"/>
      <c r="B623" s="91" t="s">
        <v>1079</v>
      </c>
      <c r="C623" s="91" t="s">
        <v>28</v>
      </c>
      <c r="D623" s="91" t="s">
        <v>419</v>
      </c>
      <c r="E623" s="91" t="s">
        <v>474</v>
      </c>
      <c r="F623" s="92">
        <v>20.97</v>
      </c>
      <c r="G623" s="93">
        <v>17.0</v>
      </c>
      <c r="H623" s="93">
        <v>1.23352941</v>
      </c>
      <c r="I623" s="94" t="s">
        <v>1079</v>
      </c>
      <c r="J623" s="94" t="s">
        <v>1079</v>
      </c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>
      <c r="A624" s="89"/>
      <c r="B624" s="91" t="s">
        <v>1079</v>
      </c>
      <c r="C624" s="91" t="s">
        <v>41</v>
      </c>
      <c r="D624" s="91" t="s">
        <v>419</v>
      </c>
      <c r="E624" s="91" t="s">
        <v>474</v>
      </c>
      <c r="F624" s="92">
        <v>13.58</v>
      </c>
      <c r="G624" s="93">
        <v>9.0</v>
      </c>
      <c r="H624" s="93">
        <v>1.50888889</v>
      </c>
      <c r="I624" s="94" t="s">
        <v>1079</v>
      </c>
      <c r="J624" s="94" t="s">
        <v>1079</v>
      </c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>
      <c r="A625" s="89"/>
      <c r="B625" s="91" t="s">
        <v>1079</v>
      </c>
      <c r="C625" s="91" t="s">
        <v>57</v>
      </c>
      <c r="D625" s="91" t="s">
        <v>507</v>
      </c>
      <c r="E625" s="91" t="s">
        <v>420</v>
      </c>
      <c r="F625" s="92">
        <v>0.12</v>
      </c>
      <c r="G625" s="93" t="s">
        <v>30</v>
      </c>
      <c r="H625" s="93" t="s">
        <v>30</v>
      </c>
      <c r="I625" s="94" t="s">
        <v>1079</v>
      </c>
      <c r="J625" s="94" t="s">
        <v>1079</v>
      </c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>
      <c r="A626" s="89"/>
      <c r="B626" s="91" t="s">
        <v>1079</v>
      </c>
      <c r="C626" s="91" t="s">
        <v>26</v>
      </c>
      <c r="D626" s="91" t="s">
        <v>507</v>
      </c>
      <c r="E626" s="91" t="s">
        <v>420</v>
      </c>
      <c r="F626" s="92">
        <v>0.35</v>
      </c>
      <c r="G626" s="93" t="s">
        <v>30</v>
      </c>
      <c r="H626" s="93" t="s">
        <v>30</v>
      </c>
      <c r="I626" s="94" t="s">
        <v>1079</v>
      </c>
      <c r="J626" s="94" t="s">
        <v>1079</v>
      </c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>
      <c r="A627" s="89"/>
      <c r="B627" s="91" t="s">
        <v>1079</v>
      </c>
      <c r="C627" s="91" t="s">
        <v>51</v>
      </c>
      <c r="D627" s="91" t="s">
        <v>507</v>
      </c>
      <c r="E627" s="91" t="s">
        <v>420</v>
      </c>
      <c r="F627" s="92">
        <v>0.09</v>
      </c>
      <c r="G627" s="93" t="s">
        <v>30</v>
      </c>
      <c r="H627" s="93" t="s">
        <v>30</v>
      </c>
      <c r="I627" s="94" t="s">
        <v>1079</v>
      </c>
      <c r="J627" s="94" t="s">
        <v>1079</v>
      </c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>
      <c r="A628" s="89"/>
      <c r="B628" s="91" t="s">
        <v>1079</v>
      </c>
      <c r="C628" s="91" t="s">
        <v>47</v>
      </c>
      <c r="D628" s="91" t="s">
        <v>507</v>
      </c>
      <c r="E628" s="91" t="s">
        <v>474</v>
      </c>
      <c r="F628" s="92">
        <v>0.86</v>
      </c>
      <c r="G628" s="93" t="s">
        <v>30</v>
      </c>
      <c r="H628" s="93" t="s">
        <v>30</v>
      </c>
      <c r="I628" s="94" t="s">
        <v>1079</v>
      </c>
      <c r="J628" s="94" t="s">
        <v>1079</v>
      </c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>
      <c r="A629" s="89"/>
      <c r="B629" s="91" t="s">
        <v>1079</v>
      </c>
      <c r="C629" s="91" t="s">
        <v>36</v>
      </c>
      <c r="D629" s="91" t="s">
        <v>507</v>
      </c>
      <c r="E629" s="91" t="s">
        <v>474</v>
      </c>
      <c r="F629" s="92">
        <v>0.03</v>
      </c>
      <c r="G629" s="93" t="s">
        <v>30</v>
      </c>
      <c r="H629" s="93" t="s">
        <v>30</v>
      </c>
      <c r="I629" s="94" t="s">
        <v>1079</v>
      </c>
      <c r="J629" s="94" t="s">
        <v>1079</v>
      </c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>
      <c r="A630" s="89"/>
      <c r="B630" s="91" t="s">
        <v>1079</v>
      </c>
      <c r="C630" s="91" t="s">
        <v>39</v>
      </c>
      <c r="D630" s="91" t="s">
        <v>507</v>
      </c>
      <c r="E630" s="91" t="s">
        <v>474</v>
      </c>
      <c r="F630" s="92">
        <v>29.01</v>
      </c>
      <c r="G630" s="93">
        <v>20.0</v>
      </c>
      <c r="H630" s="93">
        <v>1.4505</v>
      </c>
      <c r="I630" s="94" t="s">
        <v>1079</v>
      </c>
      <c r="J630" s="94" t="s">
        <v>1079</v>
      </c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>
      <c r="A631" s="89"/>
      <c r="B631" s="91" t="s">
        <v>1079</v>
      </c>
      <c r="C631" s="91" t="s">
        <v>26</v>
      </c>
      <c r="D631" s="91" t="s">
        <v>507</v>
      </c>
      <c r="E631" s="91" t="s">
        <v>474</v>
      </c>
      <c r="F631" s="92">
        <v>8.02</v>
      </c>
      <c r="G631" s="93">
        <v>7.0</v>
      </c>
      <c r="H631" s="93">
        <v>1.14571429</v>
      </c>
      <c r="I631" s="94" t="s">
        <v>1079</v>
      </c>
      <c r="J631" s="94" t="s">
        <v>1079</v>
      </c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>
      <c r="A632" s="89"/>
      <c r="B632" s="91" t="s">
        <v>1079</v>
      </c>
      <c r="C632" s="91" t="s">
        <v>51</v>
      </c>
      <c r="D632" s="91" t="s">
        <v>507</v>
      </c>
      <c r="E632" s="91" t="s">
        <v>474</v>
      </c>
      <c r="F632" s="92">
        <v>0.13</v>
      </c>
      <c r="G632" s="93">
        <v>1.0</v>
      </c>
      <c r="H632" s="93">
        <v>0.13</v>
      </c>
      <c r="I632" s="94" t="s">
        <v>1079</v>
      </c>
      <c r="J632" s="94" t="s">
        <v>1079</v>
      </c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>
      <c r="A633" s="89"/>
      <c r="B633" s="91" t="s">
        <v>1079</v>
      </c>
      <c r="C633" s="91" t="s">
        <v>26</v>
      </c>
      <c r="D633" s="91" t="s">
        <v>507</v>
      </c>
      <c r="E633" s="91" t="s">
        <v>474</v>
      </c>
      <c r="F633" s="92">
        <v>95.61</v>
      </c>
      <c r="G633" s="93" t="s">
        <v>30</v>
      </c>
      <c r="H633" s="93" t="s">
        <v>30</v>
      </c>
      <c r="I633" s="94" t="s">
        <v>1079</v>
      </c>
      <c r="J633" s="94" t="s">
        <v>1079</v>
      </c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>
      <c r="A634" s="89"/>
      <c r="B634" s="91" t="s">
        <v>1079</v>
      </c>
      <c r="C634" s="91" t="s">
        <v>42</v>
      </c>
      <c r="D634" s="91" t="s">
        <v>507</v>
      </c>
      <c r="E634" s="91" t="s">
        <v>474</v>
      </c>
      <c r="F634" s="92">
        <v>0.16</v>
      </c>
      <c r="G634" s="93" t="s">
        <v>30</v>
      </c>
      <c r="H634" s="93" t="s">
        <v>30</v>
      </c>
      <c r="I634" s="94" t="s">
        <v>1079</v>
      </c>
      <c r="J634" s="94" t="s">
        <v>1079</v>
      </c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>
      <c r="A635" s="89"/>
      <c r="B635" s="91" t="s">
        <v>1079</v>
      </c>
      <c r="C635" s="91" t="s">
        <v>57</v>
      </c>
      <c r="D635" s="91" t="s">
        <v>507</v>
      </c>
      <c r="E635" s="91" t="s">
        <v>474</v>
      </c>
      <c r="F635" s="92">
        <v>0.02</v>
      </c>
      <c r="G635" s="93" t="s">
        <v>30</v>
      </c>
      <c r="H635" s="93" t="s">
        <v>30</v>
      </c>
      <c r="I635" s="94" t="s">
        <v>1079</v>
      </c>
      <c r="J635" s="94" t="s">
        <v>1079</v>
      </c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>
      <c r="A636" s="89"/>
      <c r="B636" s="91" t="s">
        <v>1079</v>
      </c>
      <c r="C636" s="91" t="s">
        <v>38</v>
      </c>
      <c r="D636" s="91" t="s">
        <v>507</v>
      </c>
      <c r="E636" s="91" t="s">
        <v>474</v>
      </c>
      <c r="F636" s="92">
        <v>5.49</v>
      </c>
      <c r="G636" s="93">
        <v>5.0</v>
      </c>
      <c r="H636" s="93">
        <v>1.098</v>
      </c>
      <c r="I636" s="94" t="s">
        <v>1079</v>
      </c>
      <c r="J636" s="94" t="s">
        <v>1079</v>
      </c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>
      <c r="A637" s="89"/>
      <c r="B637" s="91" t="s">
        <v>1079</v>
      </c>
      <c r="C637" s="91" t="s">
        <v>26</v>
      </c>
      <c r="D637" s="91" t="s">
        <v>507</v>
      </c>
      <c r="E637" s="91" t="s">
        <v>441</v>
      </c>
      <c r="F637" s="92">
        <v>0.65</v>
      </c>
      <c r="G637" s="93">
        <v>2.0</v>
      </c>
      <c r="H637" s="93">
        <v>0.325</v>
      </c>
      <c r="I637" s="94" t="s">
        <v>1079</v>
      </c>
      <c r="J637" s="94" t="s">
        <v>1079</v>
      </c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>
      <c r="A638" s="89"/>
      <c r="B638" s="91" t="s">
        <v>1079</v>
      </c>
      <c r="C638" s="91" t="s">
        <v>26</v>
      </c>
      <c r="D638" s="91" t="s">
        <v>507</v>
      </c>
      <c r="E638" s="91" t="s">
        <v>441</v>
      </c>
      <c r="F638" s="92">
        <v>234.85</v>
      </c>
      <c r="G638" s="93">
        <v>2.0</v>
      </c>
      <c r="H638" s="93">
        <v>117.425</v>
      </c>
      <c r="I638" s="94" t="s">
        <v>1079</v>
      </c>
      <c r="J638" s="94" t="s">
        <v>1079</v>
      </c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>
      <c r="A639" s="89"/>
      <c r="B639" s="91" t="s">
        <v>1079</v>
      </c>
      <c r="C639" s="91" t="s">
        <v>42</v>
      </c>
      <c r="D639" s="91" t="s">
        <v>507</v>
      </c>
      <c r="E639" s="91" t="s">
        <v>441</v>
      </c>
      <c r="F639" s="92">
        <v>67.34</v>
      </c>
      <c r="G639" s="93">
        <v>32.0</v>
      </c>
      <c r="H639" s="93">
        <v>2.104375</v>
      </c>
      <c r="I639" s="94" t="s">
        <v>1079</v>
      </c>
      <c r="J639" s="94" t="s">
        <v>1079</v>
      </c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>
      <c r="A640" s="89"/>
      <c r="B640" s="91" t="s">
        <v>1079</v>
      </c>
      <c r="C640" s="91" t="s">
        <v>51</v>
      </c>
      <c r="D640" s="91" t="s">
        <v>507</v>
      </c>
      <c r="E640" s="91" t="s">
        <v>441</v>
      </c>
      <c r="F640" s="92">
        <v>2.84</v>
      </c>
      <c r="G640" s="93">
        <v>2.0</v>
      </c>
      <c r="H640" s="93">
        <v>1.42</v>
      </c>
      <c r="I640" s="94" t="s">
        <v>1079</v>
      </c>
      <c r="J640" s="94" t="s">
        <v>1079</v>
      </c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>
      <c r="A641" s="89"/>
      <c r="B641" s="91" t="s">
        <v>1079</v>
      </c>
      <c r="C641" s="91" t="s">
        <v>38</v>
      </c>
      <c r="D641" s="91" t="s">
        <v>507</v>
      </c>
      <c r="E641" s="91" t="s">
        <v>441</v>
      </c>
      <c r="F641" s="92">
        <v>17.39</v>
      </c>
      <c r="G641" s="93">
        <v>11.0</v>
      </c>
      <c r="H641" s="93">
        <v>1.58090909</v>
      </c>
      <c r="I641" s="94" t="s">
        <v>1079</v>
      </c>
      <c r="J641" s="94" t="s">
        <v>1079</v>
      </c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>
      <c r="A642" s="89"/>
      <c r="B642" s="91" t="s">
        <v>1079</v>
      </c>
      <c r="C642" s="91" t="s">
        <v>57</v>
      </c>
      <c r="D642" s="91" t="s">
        <v>507</v>
      </c>
      <c r="E642" s="91" t="s">
        <v>441</v>
      </c>
      <c r="F642" s="92">
        <v>0.74</v>
      </c>
      <c r="G642" s="93" t="s">
        <v>30</v>
      </c>
      <c r="H642" s="93" t="s">
        <v>30</v>
      </c>
      <c r="I642" s="94" t="s">
        <v>1079</v>
      </c>
      <c r="J642" s="94" t="s">
        <v>1079</v>
      </c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>
      <c r="A643" s="89"/>
      <c r="B643" s="91" t="s">
        <v>1079</v>
      </c>
      <c r="C643" s="91" t="s">
        <v>39</v>
      </c>
      <c r="D643" s="91" t="s">
        <v>507</v>
      </c>
      <c r="E643" s="91" t="s">
        <v>441</v>
      </c>
      <c r="F643" s="92">
        <v>22.37</v>
      </c>
      <c r="G643" s="93">
        <v>8.0</v>
      </c>
      <c r="H643" s="93">
        <v>2.79625</v>
      </c>
      <c r="I643" s="94" t="s">
        <v>1079</v>
      </c>
      <c r="J643" s="94" t="s">
        <v>1079</v>
      </c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>
      <c r="A644" s="89"/>
      <c r="B644" s="91" t="s">
        <v>1079</v>
      </c>
      <c r="C644" s="91" t="s">
        <v>36</v>
      </c>
      <c r="D644" s="91" t="s">
        <v>507</v>
      </c>
      <c r="E644" s="91" t="s">
        <v>441</v>
      </c>
      <c r="F644" s="92">
        <v>1.01</v>
      </c>
      <c r="G644" s="93" t="s">
        <v>30</v>
      </c>
      <c r="H644" s="93" t="s">
        <v>30</v>
      </c>
      <c r="I644" s="94" t="s">
        <v>1079</v>
      </c>
      <c r="J644" s="94" t="s">
        <v>1079</v>
      </c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>
      <c r="A645" s="89"/>
      <c r="B645" s="91" t="s">
        <v>1079</v>
      </c>
      <c r="C645" s="91" t="s">
        <v>47</v>
      </c>
      <c r="D645" s="91" t="s">
        <v>507</v>
      </c>
      <c r="E645" s="91" t="s">
        <v>441</v>
      </c>
      <c r="F645" s="92">
        <v>16.06</v>
      </c>
      <c r="G645" s="93">
        <v>5.0</v>
      </c>
      <c r="H645" s="93">
        <v>3.212</v>
      </c>
      <c r="I645" s="94" t="s">
        <v>1079</v>
      </c>
      <c r="J645" s="94" t="s">
        <v>1079</v>
      </c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>
      <c r="A646" s="89"/>
      <c r="B646" s="91" t="s">
        <v>1079</v>
      </c>
      <c r="C646" s="91" t="s">
        <v>42</v>
      </c>
      <c r="D646" s="91" t="s">
        <v>600</v>
      </c>
      <c r="E646" s="91" t="s">
        <v>420</v>
      </c>
      <c r="F646" s="92">
        <v>0.01</v>
      </c>
      <c r="G646" s="93" t="s">
        <v>30</v>
      </c>
      <c r="H646" s="93" t="s">
        <v>30</v>
      </c>
      <c r="I646" s="94" t="s">
        <v>1079</v>
      </c>
      <c r="J646" s="94" t="s">
        <v>1079</v>
      </c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>
      <c r="A647" s="89"/>
      <c r="B647" s="91" t="s">
        <v>1079</v>
      </c>
      <c r="C647" s="91" t="s">
        <v>29</v>
      </c>
      <c r="D647" s="91" t="s">
        <v>600</v>
      </c>
      <c r="E647" s="91" t="s">
        <v>420</v>
      </c>
      <c r="F647" s="92">
        <v>23.49</v>
      </c>
      <c r="G647" s="93">
        <v>14.0</v>
      </c>
      <c r="H647" s="93">
        <v>1.67785714</v>
      </c>
      <c r="I647" s="94" t="s">
        <v>1079</v>
      </c>
      <c r="J647" s="94" t="s">
        <v>1079</v>
      </c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>
      <c r="A648" s="89"/>
      <c r="B648" s="91" t="s">
        <v>1079</v>
      </c>
      <c r="C648" s="91" t="s">
        <v>37</v>
      </c>
      <c r="D648" s="91" t="s">
        <v>600</v>
      </c>
      <c r="E648" s="91" t="s">
        <v>420</v>
      </c>
      <c r="F648" s="92">
        <v>0.15</v>
      </c>
      <c r="G648" s="93" t="s">
        <v>30</v>
      </c>
      <c r="H648" s="93" t="s">
        <v>30</v>
      </c>
      <c r="I648" s="94" t="s">
        <v>1079</v>
      </c>
      <c r="J648" s="94" t="s">
        <v>1079</v>
      </c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>
      <c r="A649" s="89"/>
      <c r="B649" s="91" t="s">
        <v>1079</v>
      </c>
      <c r="C649" s="91" t="s">
        <v>29</v>
      </c>
      <c r="D649" s="91" t="s">
        <v>600</v>
      </c>
      <c r="E649" s="91" t="s">
        <v>474</v>
      </c>
      <c r="F649" s="92">
        <v>27.2</v>
      </c>
      <c r="G649" s="93">
        <v>19.0</v>
      </c>
      <c r="H649" s="93">
        <v>1.43157895</v>
      </c>
      <c r="I649" s="94" t="s">
        <v>1079</v>
      </c>
      <c r="J649" s="94" t="s">
        <v>1079</v>
      </c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>
      <c r="A650" s="89"/>
      <c r="B650" s="91" t="s">
        <v>1079</v>
      </c>
      <c r="C650" s="91" t="s">
        <v>42</v>
      </c>
      <c r="D650" s="91" t="s">
        <v>600</v>
      </c>
      <c r="E650" s="91" t="s">
        <v>474</v>
      </c>
      <c r="F650" s="92">
        <v>25.08</v>
      </c>
      <c r="G650" s="93" t="s">
        <v>30</v>
      </c>
      <c r="H650" s="93" t="s">
        <v>30</v>
      </c>
      <c r="I650" s="94" t="s">
        <v>1079</v>
      </c>
      <c r="J650" s="94" t="s">
        <v>1079</v>
      </c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>
      <c r="A651" s="89"/>
      <c r="B651" s="91" t="s">
        <v>1079</v>
      </c>
      <c r="C651" s="91" t="s">
        <v>37</v>
      </c>
      <c r="D651" s="91" t="s">
        <v>600</v>
      </c>
      <c r="E651" s="91" t="s">
        <v>474</v>
      </c>
      <c r="F651" s="92">
        <v>2.39</v>
      </c>
      <c r="G651" s="93">
        <v>2.0</v>
      </c>
      <c r="H651" s="93">
        <v>1.195</v>
      </c>
      <c r="I651" s="94" t="s">
        <v>1079</v>
      </c>
      <c r="J651" s="94" t="s">
        <v>1079</v>
      </c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>
      <c r="A652" s="89"/>
      <c r="B652" s="91" t="s">
        <v>1079</v>
      </c>
      <c r="C652" s="91" t="s">
        <v>37</v>
      </c>
      <c r="D652" s="91" t="s">
        <v>600</v>
      </c>
      <c r="E652" s="91" t="s">
        <v>441</v>
      </c>
      <c r="F652" s="92">
        <v>50.08</v>
      </c>
      <c r="G652" s="93">
        <v>46.0</v>
      </c>
      <c r="H652" s="93">
        <v>1.08869565</v>
      </c>
      <c r="I652" s="94" t="s">
        <v>1079</v>
      </c>
      <c r="J652" s="94" t="s">
        <v>1079</v>
      </c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>
      <c r="A653" s="89"/>
      <c r="B653" s="91" t="s">
        <v>1079</v>
      </c>
      <c r="C653" s="91" t="s">
        <v>42</v>
      </c>
      <c r="D653" s="91" t="s">
        <v>600</v>
      </c>
      <c r="E653" s="91" t="s">
        <v>441</v>
      </c>
      <c r="F653" s="92">
        <v>23.82</v>
      </c>
      <c r="G653" s="93">
        <v>1.0</v>
      </c>
      <c r="H653" s="93">
        <v>23.82</v>
      </c>
      <c r="I653" s="94" t="s">
        <v>1079</v>
      </c>
      <c r="J653" s="94" t="s">
        <v>1079</v>
      </c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>
      <c r="A654" s="89"/>
      <c r="B654" s="91" t="s">
        <v>1079</v>
      </c>
      <c r="C654" s="91" t="s">
        <v>29</v>
      </c>
      <c r="D654" s="91" t="s">
        <v>600</v>
      </c>
      <c r="E654" s="91" t="s">
        <v>441</v>
      </c>
      <c r="F654" s="92">
        <v>386.21</v>
      </c>
      <c r="G654" s="93">
        <v>220.0</v>
      </c>
      <c r="H654" s="93">
        <v>1.7555</v>
      </c>
      <c r="I654" s="94" t="s">
        <v>1079</v>
      </c>
      <c r="J654" s="94" t="s">
        <v>1079</v>
      </c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>
      <c r="A655" s="89"/>
      <c r="B655" s="91" t="s">
        <v>1079</v>
      </c>
      <c r="C655" s="91" t="s">
        <v>32</v>
      </c>
      <c r="D655" s="91" t="s">
        <v>637</v>
      </c>
      <c r="E655" s="91" t="s">
        <v>638</v>
      </c>
      <c r="F655" s="92">
        <v>1.88</v>
      </c>
      <c r="G655" s="93">
        <v>1.0</v>
      </c>
      <c r="H655" s="93">
        <v>1.88</v>
      </c>
      <c r="I655" s="94" t="s">
        <v>1079</v>
      </c>
      <c r="J655" s="94" t="s">
        <v>1079</v>
      </c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>
      <c r="A656" s="89"/>
      <c r="B656" s="91" t="s">
        <v>1079</v>
      </c>
      <c r="C656" s="91" t="s">
        <v>29</v>
      </c>
      <c r="D656" s="91" t="s">
        <v>637</v>
      </c>
      <c r="E656" s="91" t="s">
        <v>638</v>
      </c>
      <c r="F656" s="92">
        <v>21.36</v>
      </c>
      <c r="G656" s="93">
        <v>1.0</v>
      </c>
      <c r="H656" s="93">
        <v>21.36</v>
      </c>
      <c r="I656" s="94" t="s">
        <v>1079</v>
      </c>
      <c r="J656" s="94" t="s">
        <v>1079</v>
      </c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>
      <c r="A657" s="89"/>
      <c r="B657" s="91" t="s">
        <v>1079</v>
      </c>
      <c r="C657" s="91" t="s">
        <v>35</v>
      </c>
      <c r="D657" s="91" t="s">
        <v>637</v>
      </c>
      <c r="E657" s="91" t="s">
        <v>638</v>
      </c>
      <c r="F657" s="92">
        <v>5.78</v>
      </c>
      <c r="G657" s="93" t="s">
        <v>30</v>
      </c>
      <c r="H657" s="93" t="s">
        <v>30</v>
      </c>
      <c r="I657" s="94" t="s">
        <v>1079</v>
      </c>
      <c r="J657" s="94" t="s">
        <v>1079</v>
      </c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>
      <c r="A658" s="89"/>
      <c r="B658" s="91" t="s">
        <v>1079</v>
      </c>
      <c r="C658" s="91" t="s">
        <v>41</v>
      </c>
      <c r="D658" s="91" t="s">
        <v>637</v>
      </c>
      <c r="E658" s="91" t="s">
        <v>638</v>
      </c>
      <c r="F658" s="92">
        <v>5.06</v>
      </c>
      <c r="G658" s="93">
        <v>2.0</v>
      </c>
      <c r="H658" s="93">
        <v>2.53</v>
      </c>
      <c r="I658" s="94" t="s">
        <v>1079</v>
      </c>
      <c r="J658" s="94" t="s">
        <v>1079</v>
      </c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>
      <c r="A659" s="89"/>
      <c r="B659" s="91" t="s">
        <v>1079</v>
      </c>
      <c r="C659" s="91" t="s">
        <v>27</v>
      </c>
      <c r="D659" s="91" t="s">
        <v>637</v>
      </c>
      <c r="E659" s="91" t="s">
        <v>638</v>
      </c>
      <c r="F659" s="92">
        <v>18.33</v>
      </c>
      <c r="G659" s="93">
        <v>19.0</v>
      </c>
      <c r="H659" s="93">
        <v>0.96473684</v>
      </c>
      <c r="I659" s="94" t="s">
        <v>1079</v>
      </c>
      <c r="J659" s="94" t="s">
        <v>1079</v>
      </c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>
      <c r="A660" s="89"/>
      <c r="B660" s="91" t="s">
        <v>1079</v>
      </c>
      <c r="C660" s="91" t="s">
        <v>53</v>
      </c>
      <c r="D660" s="91" t="s">
        <v>637</v>
      </c>
      <c r="E660" s="91" t="s">
        <v>638</v>
      </c>
      <c r="F660" s="92">
        <v>1.55</v>
      </c>
      <c r="G660" s="93" t="s">
        <v>30</v>
      </c>
      <c r="H660" s="93" t="s">
        <v>30</v>
      </c>
      <c r="I660" s="94" t="s">
        <v>1079</v>
      </c>
      <c r="J660" s="94" t="s">
        <v>1079</v>
      </c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>
      <c r="A661" s="89"/>
      <c r="B661" s="91" t="s">
        <v>1079</v>
      </c>
      <c r="C661" s="91" t="s">
        <v>28</v>
      </c>
      <c r="D661" s="91" t="s">
        <v>637</v>
      </c>
      <c r="E661" s="91" t="s">
        <v>638</v>
      </c>
      <c r="F661" s="92">
        <v>85.91</v>
      </c>
      <c r="G661" s="93">
        <v>42.0</v>
      </c>
      <c r="H661" s="93">
        <v>2.04547619</v>
      </c>
      <c r="I661" s="94" t="s">
        <v>1079</v>
      </c>
      <c r="J661" s="94" t="s">
        <v>1079</v>
      </c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>
      <c r="A662" s="89"/>
      <c r="B662" s="91" t="s">
        <v>1079</v>
      </c>
      <c r="C662" s="91" t="s">
        <v>34</v>
      </c>
      <c r="D662" s="91" t="s">
        <v>637</v>
      </c>
      <c r="E662" s="91" t="s">
        <v>638</v>
      </c>
      <c r="F662" s="92">
        <v>30.64</v>
      </c>
      <c r="G662" s="93">
        <v>11.0</v>
      </c>
      <c r="H662" s="93">
        <v>2.78545455</v>
      </c>
      <c r="I662" s="94" t="s">
        <v>1079</v>
      </c>
      <c r="J662" s="94" t="s">
        <v>1079</v>
      </c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>
      <c r="A663" s="89"/>
      <c r="B663" s="91" t="s">
        <v>1079</v>
      </c>
      <c r="C663" s="91" t="s">
        <v>32</v>
      </c>
      <c r="D663" s="91" t="s">
        <v>637</v>
      </c>
      <c r="E663" s="91" t="s">
        <v>671</v>
      </c>
      <c r="F663" s="92">
        <v>0.14</v>
      </c>
      <c r="G663" s="93" t="s">
        <v>30</v>
      </c>
      <c r="H663" s="93" t="s">
        <v>30</v>
      </c>
      <c r="I663" s="94" t="s">
        <v>1079</v>
      </c>
      <c r="J663" s="94" t="s">
        <v>1079</v>
      </c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>
      <c r="A664" s="89"/>
      <c r="B664" s="91" t="s">
        <v>1079</v>
      </c>
      <c r="C664" s="91" t="s">
        <v>41</v>
      </c>
      <c r="D664" s="91" t="s">
        <v>637</v>
      </c>
      <c r="E664" s="91" t="s">
        <v>671</v>
      </c>
      <c r="F664" s="92">
        <v>5.36</v>
      </c>
      <c r="G664" s="93" t="s">
        <v>30</v>
      </c>
      <c r="H664" s="93" t="s">
        <v>30</v>
      </c>
      <c r="I664" s="94" t="s">
        <v>1079</v>
      </c>
      <c r="J664" s="94" t="s">
        <v>1079</v>
      </c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>
      <c r="A665" s="89"/>
      <c r="B665" s="91" t="s">
        <v>1079</v>
      </c>
      <c r="C665" s="91" t="s">
        <v>29</v>
      </c>
      <c r="D665" s="91" t="s">
        <v>637</v>
      </c>
      <c r="E665" s="91" t="s">
        <v>671</v>
      </c>
      <c r="F665" s="92">
        <v>0.66</v>
      </c>
      <c r="G665" s="93" t="s">
        <v>30</v>
      </c>
      <c r="H665" s="93" t="s">
        <v>30</v>
      </c>
      <c r="I665" s="94" t="s">
        <v>1079</v>
      </c>
      <c r="J665" s="94" t="s">
        <v>1079</v>
      </c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>
      <c r="A666" s="89"/>
      <c r="B666" s="91" t="s">
        <v>1079</v>
      </c>
      <c r="C666" s="91" t="s">
        <v>28</v>
      </c>
      <c r="D666" s="91" t="s">
        <v>637</v>
      </c>
      <c r="E666" s="91" t="s">
        <v>671</v>
      </c>
      <c r="F666" s="92">
        <v>0.1</v>
      </c>
      <c r="G666" s="93" t="s">
        <v>30</v>
      </c>
      <c r="H666" s="93" t="s">
        <v>30</v>
      </c>
      <c r="I666" s="94" t="s">
        <v>1079</v>
      </c>
      <c r="J666" s="94" t="s">
        <v>1079</v>
      </c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>
      <c r="A667" s="89"/>
      <c r="B667" s="91" t="s">
        <v>1079</v>
      </c>
      <c r="C667" s="91" t="s">
        <v>35</v>
      </c>
      <c r="D667" s="91" t="s">
        <v>637</v>
      </c>
      <c r="E667" s="91" t="s">
        <v>671</v>
      </c>
      <c r="F667" s="92">
        <v>0.04</v>
      </c>
      <c r="G667" s="93" t="s">
        <v>30</v>
      </c>
      <c r="H667" s="93" t="s">
        <v>30</v>
      </c>
      <c r="I667" s="94" t="s">
        <v>1079</v>
      </c>
      <c r="J667" s="94" t="s">
        <v>1079</v>
      </c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>
      <c r="A668" s="89"/>
      <c r="B668" s="91" t="s">
        <v>1079</v>
      </c>
      <c r="C668" s="91" t="s">
        <v>34</v>
      </c>
      <c r="D668" s="91" t="s">
        <v>637</v>
      </c>
      <c r="E668" s="91" t="s">
        <v>671</v>
      </c>
      <c r="F668" s="92">
        <v>4.04</v>
      </c>
      <c r="G668" s="93" t="s">
        <v>30</v>
      </c>
      <c r="H668" s="93" t="s">
        <v>30</v>
      </c>
      <c r="I668" s="94" t="s">
        <v>1079</v>
      </c>
      <c r="J668" s="94" t="s">
        <v>1079</v>
      </c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>
      <c r="A669" s="89"/>
      <c r="B669" s="91" t="s">
        <v>1079</v>
      </c>
      <c r="C669" s="91" t="s">
        <v>47</v>
      </c>
      <c r="D669" s="91" t="s">
        <v>704</v>
      </c>
      <c r="E669" s="91" t="s">
        <v>638</v>
      </c>
      <c r="F669" s="92">
        <v>6.71</v>
      </c>
      <c r="G669" s="93">
        <v>1.0</v>
      </c>
      <c r="H669" s="93">
        <v>6.71</v>
      </c>
      <c r="I669" s="94" t="s">
        <v>1079</v>
      </c>
      <c r="J669" s="94" t="s">
        <v>1079</v>
      </c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>
      <c r="A670" s="89"/>
      <c r="B670" s="91" t="s">
        <v>1079</v>
      </c>
      <c r="C670" s="91" t="s">
        <v>51</v>
      </c>
      <c r="D670" s="91" t="s">
        <v>704</v>
      </c>
      <c r="E670" s="91" t="s">
        <v>638</v>
      </c>
      <c r="F670" s="92">
        <v>0.54</v>
      </c>
      <c r="G670" s="93" t="s">
        <v>30</v>
      </c>
      <c r="H670" s="93" t="s">
        <v>30</v>
      </c>
      <c r="I670" s="94" t="s">
        <v>1079</v>
      </c>
      <c r="J670" s="94" t="s">
        <v>1079</v>
      </c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>
      <c r="A671" s="89"/>
      <c r="B671" s="91" t="s">
        <v>1079</v>
      </c>
      <c r="C671" s="91" t="s">
        <v>36</v>
      </c>
      <c r="D671" s="91" t="s">
        <v>704</v>
      </c>
      <c r="E671" s="91" t="s">
        <v>638</v>
      </c>
      <c r="F671" s="92">
        <v>0.46</v>
      </c>
      <c r="G671" s="93">
        <v>1.0</v>
      </c>
      <c r="H671" s="93">
        <v>0.46</v>
      </c>
      <c r="I671" s="94" t="s">
        <v>1079</v>
      </c>
      <c r="J671" s="94" t="s">
        <v>1079</v>
      </c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>
      <c r="A672" s="89"/>
      <c r="B672" s="91" t="s">
        <v>1079</v>
      </c>
      <c r="C672" s="91" t="s">
        <v>39</v>
      </c>
      <c r="D672" s="91" t="s">
        <v>704</v>
      </c>
      <c r="E672" s="91" t="s">
        <v>638</v>
      </c>
      <c r="F672" s="92">
        <v>1.33</v>
      </c>
      <c r="G672" s="93">
        <v>1.0</v>
      </c>
      <c r="H672" s="93">
        <v>1.33</v>
      </c>
      <c r="I672" s="94" t="s">
        <v>1079</v>
      </c>
      <c r="J672" s="94" t="s">
        <v>1079</v>
      </c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>
      <c r="A673" s="89"/>
      <c r="B673" s="91" t="s">
        <v>1079</v>
      </c>
      <c r="C673" s="91" t="s">
        <v>26</v>
      </c>
      <c r="D673" s="91" t="s">
        <v>704</v>
      </c>
      <c r="E673" s="91" t="s">
        <v>638</v>
      </c>
      <c r="F673" s="92">
        <v>18.43</v>
      </c>
      <c r="G673" s="93">
        <v>19.0</v>
      </c>
      <c r="H673" s="93">
        <v>0.97</v>
      </c>
      <c r="I673" s="94" t="s">
        <v>1079</v>
      </c>
      <c r="J673" s="94" t="s">
        <v>1079</v>
      </c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>
      <c r="A674" s="89"/>
      <c r="B674" s="91" t="s">
        <v>1079</v>
      </c>
      <c r="C674" s="91" t="s">
        <v>26</v>
      </c>
      <c r="D674" s="91" t="s">
        <v>704</v>
      </c>
      <c r="E674" s="91" t="s">
        <v>638</v>
      </c>
      <c r="F674" s="92">
        <v>61.84</v>
      </c>
      <c r="G674" s="93">
        <v>1.0</v>
      </c>
      <c r="H674" s="93">
        <v>61.84</v>
      </c>
      <c r="I674" s="94" t="s">
        <v>1079</v>
      </c>
      <c r="J674" s="94" t="s">
        <v>1079</v>
      </c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>
      <c r="A675" s="89"/>
      <c r="B675" s="91" t="s">
        <v>1079</v>
      </c>
      <c r="C675" s="91" t="s">
        <v>57</v>
      </c>
      <c r="D675" s="91" t="s">
        <v>704</v>
      </c>
      <c r="E675" s="91" t="s">
        <v>638</v>
      </c>
      <c r="F675" s="92">
        <v>2.09</v>
      </c>
      <c r="G675" s="93" t="s">
        <v>30</v>
      </c>
      <c r="H675" s="93" t="s">
        <v>30</v>
      </c>
      <c r="I675" s="94" t="s">
        <v>1079</v>
      </c>
      <c r="J675" s="94" t="s">
        <v>1079</v>
      </c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>
      <c r="A676" s="89"/>
      <c r="B676" s="91" t="s">
        <v>1079</v>
      </c>
      <c r="C676" s="91" t="s">
        <v>42</v>
      </c>
      <c r="D676" s="91" t="s">
        <v>704</v>
      </c>
      <c r="E676" s="91" t="s">
        <v>638</v>
      </c>
      <c r="F676" s="92">
        <v>2.17</v>
      </c>
      <c r="G676" s="93" t="s">
        <v>30</v>
      </c>
      <c r="H676" s="93" t="s">
        <v>30</v>
      </c>
      <c r="I676" s="94" t="s">
        <v>1079</v>
      </c>
      <c r="J676" s="94" t="s">
        <v>1079</v>
      </c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>
      <c r="A677" s="89"/>
      <c r="B677" s="91" t="s">
        <v>1079</v>
      </c>
      <c r="C677" s="91" t="s">
        <v>38</v>
      </c>
      <c r="D677" s="91" t="s">
        <v>704</v>
      </c>
      <c r="E677" s="91" t="s">
        <v>638</v>
      </c>
      <c r="F677" s="92">
        <v>139.54</v>
      </c>
      <c r="G677" s="93">
        <v>46.0</v>
      </c>
      <c r="H677" s="93">
        <v>3.03347826</v>
      </c>
      <c r="I677" s="94" t="s">
        <v>1079</v>
      </c>
      <c r="J677" s="94" t="s">
        <v>1079</v>
      </c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>
      <c r="A678" s="89"/>
      <c r="B678" s="91" t="s">
        <v>1079</v>
      </c>
      <c r="C678" s="91" t="s">
        <v>47</v>
      </c>
      <c r="D678" s="91" t="s">
        <v>704</v>
      </c>
      <c r="E678" s="91" t="s">
        <v>671</v>
      </c>
      <c r="F678" s="92">
        <v>16.63</v>
      </c>
      <c r="G678" s="93">
        <v>5.0</v>
      </c>
      <c r="H678" s="93">
        <v>3.326</v>
      </c>
      <c r="I678" s="94" t="s">
        <v>1079</v>
      </c>
      <c r="J678" s="94" t="s">
        <v>1079</v>
      </c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>
      <c r="A679" s="89"/>
      <c r="B679" s="91" t="s">
        <v>1079</v>
      </c>
      <c r="C679" s="91" t="s">
        <v>38</v>
      </c>
      <c r="D679" s="91" t="s">
        <v>704</v>
      </c>
      <c r="E679" s="91" t="s">
        <v>671</v>
      </c>
      <c r="F679" s="92">
        <v>0.1</v>
      </c>
      <c r="G679" s="93" t="s">
        <v>30</v>
      </c>
      <c r="H679" s="93" t="s">
        <v>30</v>
      </c>
      <c r="I679" s="94" t="s">
        <v>1079</v>
      </c>
      <c r="J679" s="94" t="s">
        <v>1079</v>
      </c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>
      <c r="A680" s="89"/>
      <c r="B680" s="91" t="s">
        <v>1079</v>
      </c>
      <c r="C680" s="91" t="s">
        <v>36</v>
      </c>
      <c r="D680" s="91" t="s">
        <v>704</v>
      </c>
      <c r="E680" s="91" t="s">
        <v>671</v>
      </c>
      <c r="F680" s="92">
        <v>0.3</v>
      </c>
      <c r="G680" s="93" t="s">
        <v>30</v>
      </c>
      <c r="H680" s="93" t="s">
        <v>30</v>
      </c>
      <c r="I680" s="94" t="s">
        <v>1079</v>
      </c>
      <c r="J680" s="94" t="s">
        <v>1079</v>
      </c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>
      <c r="A681" s="89"/>
      <c r="B681" s="91" t="s">
        <v>1079</v>
      </c>
      <c r="C681" s="91" t="s">
        <v>51</v>
      </c>
      <c r="D681" s="91" t="s">
        <v>704</v>
      </c>
      <c r="E681" s="91" t="s">
        <v>671</v>
      </c>
      <c r="F681" s="92">
        <v>0.0</v>
      </c>
      <c r="G681" s="93" t="s">
        <v>30</v>
      </c>
      <c r="H681" s="93" t="s">
        <v>30</v>
      </c>
      <c r="I681" s="94" t="s">
        <v>1079</v>
      </c>
      <c r="J681" s="94" t="s">
        <v>1079</v>
      </c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>
      <c r="A682" s="89"/>
      <c r="B682" s="91" t="s">
        <v>1079</v>
      </c>
      <c r="C682" s="91" t="s">
        <v>39</v>
      </c>
      <c r="D682" s="91" t="s">
        <v>704</v>
      </c>
      <c r="E682" s="91" t="s">
        <v>671</v>
      </c>
      <c r="F682" s="92">
        <v>0.15</v>
      </c>
      <c r="G682" s="93" t="s">
        <v>30</v>
      </c>
      <c r="H682" s="93" t="s">
        <v>30</v>
      </c>
      <c r="I682" s="94" t="s">
        <v>1079</v>
      </c>
      <c r="J682" s="94" t="s">
        <v>1079</v>
      </c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>
      <c r="A683" s="89"/>
      <c r="B683" s="91" t="s">
        <v>1079</v>
      </c>
      <c r="C683" s="91" t="s">
        <v>26</v>
      </c>
      <c r="D683" s="91" t="s">
        <v>704</v>
      </c>
      <c r="E683" s="91" t="s">
        <v>671</v>
      </c>
      <c r="F683" s="92">
        <v>0.72</v>
      </c>
      <c r="G683" s="93" t="s">
        <v>30</v>
      </c>
      <c r="H683" s="93" t="s">
        <v>30</v>
      </c>
      <c r="I683" s="94" t="s">
        <v>1079</v>
      </c>
      <c r="J683" s="94" t="s">
        <v>1079</v>
      </c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>
      <c r="A684" s="89"/>
      <c r="B684" s="91" t="s">
        <v>1079</v>
      </c>
      <c r="C684" s="91" t="s">
        <v>37</v>
      </c>
      <c r="D684" s="91" t="s">
        <v>776</v>
      </c>
      <c r="E684" s="91" t="s">
        <v>638</v>
      </c>
      <c r="F684" s="92">
        <v>84.07</v>
      </c>
      <c r="G684" s="93">
        <v>46.0</v>
      </c>
      <c r="H684" s="93">
        <v>1.8276087</v>
      </c>
      <c r="I684" s="94" t="s">
        <v>1079</v>
      </c>
      <c r="J684" s="94" t="s">
        <v>1079</v>
      </c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>
      <c r="A685" s="89"/>
      <c r="B685" s="91" t="s">
        <v>1079</v>
      </c>
      <c r="C685" s="91" t="s">
        <v>42</v>
      </c>
      <c r="D685" s="91" t="s">
        <v>776</v>
      </c>
      <c r="E685" s="91" t="s">
        <v>638</v>
      </c>
      <c r="F685" s="92">
        <v>15.85</v>
      </c>
      <c r="G685" s="93" t="s">
        <v>30</v>
      </c>
      <c r="H685" s="93" t="s">
        <v>30</v>
      </c>
      <c r="I685" s="94" t="s">
        <v>1079</v>
      </c>
      <c r="J685" s="94" t="s">
        <v>1079</v>
      </c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>
      <c r="A686" s="89"/>
      <c r="B686" s="91" t="s">
        <v>1079</v>
      </c>
      <c r="C686" s="91" t="s">
        <v>29</v>
      </c>
      <c r="D686" s="91" t="s">
        <v>776</v>
      </c>
      <c r="E686" s="91" t="s">
        <v>638</v>
      </c>
      <c r="F686" s="92">
        <v>124.11</v>
      </c>
      <c r="G686" s="93">
        <v>30.0</v>
      </c>
      <c r="H686" s="93">
        <v>4.137</v>
      </c>
      <c r="I686" s="94" t="s">
        <v>1079</v>
      </c>
      <c r="J686" s="94" t="s">
        <v>1079</v>
      </c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>
      <c r="A687" s="89"/>
      <c r="B687" s="91" t="s">
        <v>1079</v>
      </c>
      <c r="C687" s="91" t="s">
        <v>42</v>
      </c>
      <c r="D687" s="91" t="s">
        <v>776</v>
      </c>
      <c r="E687" s="91" t="s">
        <v>671</v>
      </c>
      <c r="F687" s="92">
        <v>10.44</v>
      </c>
      <c r="G687" s="93" t="s">
        <v>30</v>
      </c>
      <c r="H687" s="93" t="s">
        <v>30</v>
      </c>
      <c r="I687" s="94" t="s">
        <v>1079</v>
      </c>
      <c r="J687" s="94" t="s">
        <v>1079</v>
      </c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>
      <c r="A688" s="89"/>
      <c r="B688" s="91" t="s">
        <v>1079</v>
      </c>
      <c r="C688" s="91" t="s">
        <v>37</v>
      </c>
      <c r="D688" s="91" t="s">
        <v>776</v>
      </c>
      <c r="E688" s="91" t="s">
        <v>671</v>
      </c>
      <c r="F688" s="92">
        <v>2.12</v>
      </c>
      <c r="G688" s="93">
        <v>1.0</v>
      </c>
      <c r="H688" s="93">
        <v>2.12</v>
      </c>
      <c r="I688" s="94" t="s">
        <v>1079</v>
      </c>
      <c r="J688" s="94" t="s">
        <v>1079</v>
      </c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>
      <c r="A689" s="89"/>
      <c r="B689" s="91" t="s">
        <v>1079</v>
      </c>
      <c r="C689" s="91" t="s">
        <v>29</v>
      </c>
      <c r="D689" s="91" t="s">
        <v>776</v>
      </c>
      <c r="E689" s="91" t="s">
        <v>671</v>
      </c>
      <c r="F689" s="92">
        <v>4.98</v>
      </c>
      <c r="G689" s="93">
        <v>2.0</v>
      </c>
      <c r="H689" s="93">
        <v>2.49</v>
      </c>
      <c r="I689" s="94" t="s">
        <v>1079</v>
      </c>
      <c r="J689" s="94" t="s">
        <v>1079</v>
      </c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>
      <c r="A690" s="89"/>
      <c r="B690" s="91" t="s">
        <v>1080</v>
      </c>
      <c r="C690" s="91" t="s">
        <v>1059</v>
      </c>
      <c r="D690" s="91" t="s">
        <v>1060</v>
      </c>
      <c r="E690" s="91" t="s">
        <v>1061</v>
      </c>
      <c r="F690" s="92">
        <v>65.16</v>
      </c>
      <c r="G690" s="93" t="s">
        <v>30</v>
      </c>
      <c r="H690" s="93" t="s">
        <v>30</v>
      </c>
      <c r="I690" s="94" t="s">
        <v>1080</v>
      </c>
      <c r="J690" s="94" t="s">
        <v>1080</v>
      </c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>
      <c r="A691" s="89"/>
      <c r="B691" s="91" t="s">
        <v>1080</v>
      </c>
      <c r="C691" s="91" t="s">
        <v>1062</v>
      </c>
      <c r="D691" s="91" t="s">
        <v>1060</v>
      </c>
      <c r="E691" s="91" t="s">
        <v>1061</v>
      </c>
      <c r="F691" s="92">
        <v>0.4</v>
      </c>
      <c r="G691" s="93" t="s">
        <v>30</v>
      </c>
      <c r="H691" s="93" t="s">
        <v>30</v>
      </c>
      <c r="I691" s="94" t="s">
        <v>1080</v>
      </c>
      <c r="J691" s="94" t="s">
        <v>1080</v>
      </c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>
      <c r="A692" s="89"/>
      <c r="B692" s="91" t="s">
        <v>1080</v>
      </c>
      <c r="C692" s="91" t="s">
        <v>1059</v>
      </c>
      <c r="D692" s="91" t="s">
        <v>1060</v>
      </c>
      <c r="E692" s="91" t="s">
        <v>1063</v>
      </c>
      <c r="F692" s="92">
        <v>0.02</v>
      </c>
      <c r="G692" s="93" t="s">
        <v>30</v>
      </c>
      <c r="H692" s="93" t="s">
        <v>30</v>
      </c>
      <c r="I692" s="94" t="s">
        <v>1080</v>
      </c>
      <c r="J692" s="94" t="s">
        <v>1080</v>
      </c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>
      <c r="A693" s="89"/>
      <c r="B693" s="91" t="s">
        <v>1080</v>
      </c>
      <c r="C693" s="91" t="s">
        <v>1062</v>
      </c>
      <c r="D693" s="91" t="s">
        <v>1060</v>
      </c>
      <c r="E693" s="91" t="s">
        <v>1064</v>
      </c>
      <c r="F693" s="92">
        <v>21.2</v>
      </c>
      <c r="G693" s="93" t="s">
        <v>30</v>
      </c>
      <c r="H693" s="93" t="s">
        <v>30</v>
      </c>
      <c r="I693" s="94" t="s">
        <v>1080</v>
      </c>
      <c r="J693" s="94" t="s">
        <v>1080</v>
      </c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>
      <c r="A694" s="89"/>
      <c r="B694" s="91" t="s">
        <v>1080</v>
      </c>
      <c r="C694" s="91" t="s">
        <v>1059</v>
      </c>
      <c r="D694" s="91" t="s">
        <v>1060</v>
      </c>
      <c r="E694" s="91" t="s">
        <v>1064</v>
      </c>
      <c r="F694" s="92">
        <v>182.46</v>
      </c>
      <c r="G694" s="93" t="s">
        <v>30</v>
      </c>
      <c r="H694" s="93" t="s">
        <v>30</v>
      </c>
      <c r="I694" s="94" t="s">
        <v>1080</v>
      </c>
      <c r="J694" s="94" t="s">
        <v>1080</v>
      </c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>
      <c r="A695" s="89"/>
      <c r="B695" s="91" t="s">
        <v>1080</v>
      </c>
      <c r="C695" s="91" t="s">
        <v>1065</v>
      </c>
      <c r="D695" s="91" t="s">
        <v>1066</v>
      </c>
      <c r="E695" s="91" t="s">
        <v>1067</v>
      </c>
      <c r="F695" s="92">
        <v>32.3</v>
      </c>
      <c r="G695" s="93">
        <v>1.0</v>
      </c>
      <c r="H695" s="93">
        <v>32.3</v>
      </c>
      <c r="I695" s="94" t="s">
        <v>1080</v>
      </c>
      <c r="J695" s="94" t="s">
        <v>1080</v>
      </c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>
      <c r="A696" s="89"/>
      <c r="B696" s="91" t="s">
        <v>1080</v>
      </c>
      <c r="C696" s="91" t="s">
        <v>1065</v>
      </c>
      <c r="D696" s="91" t="s">
        <v>1068</v>
      </c>
      <c r="E696" s="91" t="s">
        <v>1069</v>
      </c>
      <c r="F696" s="92">
        <v>10.6</v>
      </c>
      <c r="G696" s="93" t="s">
        <v>30</v>
      </c>
      <c r="H696" s="93" t="s">
        <v>30</v>
      </c>
      <c r="I696" s="94" t="s">
        <v>1080</v>
      </c>
      <c r="J696" s="94" t="s">
        <v>1080</v>
      </c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>
      <c r="A697" s="89"/>
      <c r="B697" s="91" t="s">
        <v>1080</v>
      </c>
      <c r="C697" s="91" t="s">
        <v>1065</v>
      </c>
      <c r="D697" s="91" t="s">
        <v>1068</v>
      </c>
      <c r="E697" s="91" t="s">
        <v>1070</v>
      </c>
      <c r="F697" s="92">
        <v>5.8</v>
      </c>
      <c r="G697" s="93" t="s">
        <v>30</v>
      </c>
      <c r="H697" s="93" t="s">
        <v>30</v>
      </c>
      <c r="I697" s="94" t="s">
        <v>1080</v>
      </c>
      <c r="J697" s="94" t="s">
        <v>1080</v>
      </c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>
      <c r="A698" s="89"/>
      <c r="B698" s="91" t="s">
        <v>1080</v>
      </c>
      <c r="C698" s="91" t="s">
        <v>1065</v>
      </c>
      <c r="D698" s="91" t="s">
        <v>1066</v>
      </c>
      <c r="E698" s="91" t="s">
        <v>1072</v>
      </c>
      <c r="F698" s="92">
        <v>0.31</v>
      </c>
      <c r="G698" s="93" t="s">
        <v>30</v>
      </c>
      <c r="H698" s="93" t="s">
        <v>30</v>
      </c>
      <c r="I698" s="94" t="s">
        <v>1080</v>
      </c>
      <c r="J698" s="94" t="s">
        <v>1080</v>
      </c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>
      <c r="A699" s="89"/>
      <c r="B699" s="91" t="s">
        <v>1080</v>
      </c>
      <c r="C699" s="91" t="s">
        <v>1071</v>
      </c>
      <c r="D699" s="91" t="s">
        <v>1066</v>
      </c>
      <c r="E699" s="91" t="s">
        <v>1072</v>
      </c>
      <c r="F699" s="92">
        <v>1.5</v>
      </c>
      <c r="G699" s="93" t="s">
        <v>30</v>
      </c>
      <c r="H699" s="93" t="s">
        <v>30</v>
      </c>
      <c r="I699" s="94" t="s">
        <v>1080</v>
      </c>
      <c r="J699" s="94" t="s">
        <v>1080</v>
      </c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>
      <c r="A700" s="89"/>
      <c r="B700" s="91" t="s">
        <v>1080</v>
      </c>
      <c r="C700" s="91" t="s">
        <v>1074</v>
      </c>
      <c r="D700" s="91" t="s">
        <v>1066</v>
      </c>
      <c r="E700" s="91" t="s">
        <v>1072</v>
      </c>
      <c r="F700" s="92">
        <v>0.12</v>
      </c>
      <c r="G700" s="93" t="s">
        <v>30</v>
      </c>
      <c r="H700" s="93" t="s">
        <v>30</v>
      </c>
      <c r="I700" s="94" t="s">
        <v>1080</v>
      </c>
      <c r="J700" s="94" t="s">
        <v>1080</v>
      </c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>
      <c r="A701" s="89"/>
      <c r="B701" s="91" t="s">
        <v>1080</v>
      </c>
      <c r="C701" s="91" t="s">
        <v>1075</v>
      </c>
      <c r="D701" s="91" t="s">
        <v>1066</v>
      </c>
      <c r="E701" s="91" t="s">
        <v>1072</v>
      </c>
      <c r="F701" s="92">
        <v>0.46</v>
      </c>
      <c r="G701" s="93" t="s">
        <v>30</v>
      </c>
      <c r="H701" s="93" t="s">
        <v>30</v>
      </c>
      <c r="I701" s="94" t="s">
        <v>1080</v>
      </c>
      <c r="J701" s="94" t="s">
        <v>1080</v>
      </c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>
      <c r="A702" s="89"/>
      <c r="B702" s="91" t="s">
        <v>1080</v>
      </c>
      <c r="C702" s="91" t="s">
        <v>1073</v>
      </c>
      <c r="D702" s="91" t="s">
        <v>1066</v>
      </c>
      <c r="E702" s="91" t="s">
        <v>1067</v>
      </c>
      <c r="F702" s="92">
        <v>0.28</v>
      </c>
      <c r="G702" s="93" t="s">
        <v>30</v>
      </c>
      <c r="H702" s="93" t="s">
        <v>30</v>
      </c>
      <c r="I702" s="94" t="s">
        <v>1080</v>
      </c>
      <c r="J702" s="94" t="s">
        <v>1080</v>
      </c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>
      <c r="A703" s="89"/>
      <c r="B703" s="91" t="s">
        <v>1080</v>
      </c>
      <c r="C703" s="91" t="s">
        <v>1074</v>
      </c>
      <c r="D703" s="91" t="s">
        <v>1066</v>
      </c>
      <c r="E703" s="91" t="s">
        <v>1067</v>
      </c>
      <c r="F703" s="92">
        <v>25.1</v>
      </c>
      <c r="G703" s="93" t="s">
        <v>30</v>
      </c>
      <c r="H703" s="93" t="s">
        <v>30</v>
      </c>
      <c r="I703" s="94" t="s">
        <v>1080</v>
      </c>
      <c r="J703" s="94" t="s">
        <v>1080</v>
      </c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>
      <c r="A704" s="89"/>
      <c r="B704" s="91" t="s">
        <v>1080</v>
      </c>
      <c r="C704" s="91" t="s">
        <v>1071</v>
      </c>
      <c r="D704" s="91" t="s">
        <v>1066</v>
      </c>
      <c r="E704" s="91" t="s">
        <v>1067</v>
      </c>
      <c r="F704" s="92">
        <v>210.96</v>
      </c>
      <c r="G704" s="93">
        <v>1.0</v>
      </c>
      <c r="H704" s="93">
        <v>210.96</v>
      </c>
      <c r="I704" s="94" t="s">
        <v>1080</v>
      </c>
      <c r="J704" s="94" t="s">
        <v>1080</v>
      </c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>
      <c r="A705" s="89"/>
      <c r="B705" s="91" t="s">
        <v>1080</v>
      </c>
      <c r="C705" s="91" t="s">
        <v>1075</v>
      </c>
      <c r="D705" s="91" t="s">
        <v>1068</v>
      </c>
      <c r="E705" s="91" t="s">
        <v>1070</v>
      </c>
      <c r="F705" s="92">
        <v>0.91</v>
      </c>
      <c r="G705" s="93" t="s">
        <v>30</v>
      </c>
      <c r="H705" s="93" t="s">
        <v>30</v>
      </c>
      <c r="I705" s="94" t="s">
        <v>1080</v>
      </c>
      <c r="J705" s="94" t="s">
        <v>1080</v>
      </c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>
      <c r="A706" s="89"/>
      <c r="B706" s="91" t="s">
        <v>1080</v>
      </c>
      <c r="C706" s="91" t="s">
        <v>1074</v>
      </c>
      <c r="D706" s="91" t="s">
        <v>1068</v>
      </c>
      <c r="E706" s="91" t="s">
        <v>1070</v>
      </c>
      <c r="F706" s="92">
        <v>183.56</v>
      </c>
      <c r="G706" s="93">
        <v>3.0</v>
      </c>
      <c r="H706" s="93">
        <v>61.18666667</v>
      </c>
      <c r="I706" s="94" t="s">
        <v>1080</v>
      </c>
      <c r="J706" s="94" t="s">
        <v>1080</v>
      </c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>
      <c r="A707" s="89"/>
      <c r="B707" s="91" t="s">
        <v>1080</v>
      </c>
      <c r="C707" s="91" t="s">
        <v>1071</v>
      </c>
      <c r="D707" s="91" t="s">
        <v>1068</v>
      </c>
      <c r="E707" s="91" t="s">
        <v>1070</v>
      </c>
      <c r="F707" s="92">
        <v>351.2</v>
      </c>
      <c r="G707" s="93">
        <v>2.0</v>
      </c>
      <c r="H707" s="93">
        <v>175.6</v>
      </c>
      <c r="I707" s="94" t="s">
        <v>1080</v>
      </c>
      <c r="J707" s="94" t="s">
        <v>1080</v>
      </c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>
      <c r="A708" s="89"/>
      <c r="B708" s="91" t="s">
        <v>1080</v>
      </c>
      <c r="C708" s="91" t="s">
        <v>1073</v>
      </c>
      <c r="D708" s="91" t="s">
        <v>1068</v>
      </c>
      <c r="E708" s="91" t="s">
        <v>1070</v>
      </c>
      <c r="F708" s="92">
        <v>33.84</v>
      </c>
      <c r="G708" s="93">
        <v>1.0</v>
      </c>
      <c r="H708" s="93">
        <v>33.84</v>
      </c>
      <c r="I708" s="94" t="s">
        <v>1080</v>
      </c>
      <c r="J708" s="94" t="s">
        <v>1080</v>
      </c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>
      <c r="A709" s="89"/>
      <c r="B709" s="91" t="s">
        <v>1080</v>
      </c>
      <c r="C709" s="91" t="s">
        <v>1071</v>
      </c>
      <c r="D709" s="91" t="s">
        <v>1068</v>
      </c>
      <c r="E709" s="91" t="s">
        <v>1069</v>
      </c>
      <c r="F709" s="92">
        <v>11.87</v>
      </c>
      <c r="G709" s="93" t="s">
        <v>30</v>
      </c>
      <c r="H709" s="93" t="s">
        <v>30</v>
      </c>
      <c r="I709" s="94" t="s">
        <v>1080</v>
      </c>
      <c r="J709" s="94" t="s">
        <v>1080</v>
      </c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>
      <c r="A710" s="89"/>
      <c r="B710" s="91" t="s">
        <v>1080</v>
      </c>
      <c r="C710" s="91" t="s">
        <v>1074</v>
      </c>
      <c r="D710" s="91" t="s">
        <v>1068</v>
      </c>
      <c r="E710" s="91" t="s">
        <v>1069</v>
      </c>
      <c r="F710" s="92">
        <v>0.69</v>
      </c>
      <c r="G710" s="93" t="s">
        <v>30</v>
      </c>
      <c r="H710" s="93" t="s">
        <v>30</v>
      </c>
      <c r="I710" s="94" t="s">
        <v>1080</v>
      </c>
      <c r="J710" s="94" t="s">
        <v>1080</v>
      </c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>
      <c r="A711" s="89"/>
      <c r="B711" s="91" t="s">
        <v>1080</v>
      </c>
      <c r="C711" s="91" t="s">
        <v>1073</v>
      </c>
      <c r="D711" s="91" t="s">
        <v>1068</v>
      </c>
      <c r="E711" s="91" t="s">
        <v>1069</v>
      </c>
      <c r="F711" s="92">
        <v>0.8</v>
      </c>
      <c r="G711" s="93" t="s">
        <v>30</v>
      </c>
      <c r="H711" s="93" t="s">
        <v>30</v>
      </c>
      <c r="I711" s="94" t="s">
        <v>1080</v>
      </c>
      <c r="J711" s="94" t="s">
        <v>1080</v>
      </c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>
      <c r="A712" s="89"/>
      <c r="B712" s="91" t="s">
        <v>1080</v>
      </c>
      <c r="C712" s="91" t="s">
        <v>1077</v>
      </c>
      <c r="D712" s="91" t="s">
        <v>1066</v>
      </c>
      <c r="E712" s="91" t="s">
        <v>1067</v>
      </c>
      <c r="F712" s="92">
        <v>0.46</v>
      </c>
      <c r="G712" s="93" t="s">
        <v>30</v>
      </c>
      <c r="H712" s="93" t="s">
        <v>30</v>
      </c>
      <c r="I712" s="94" t="s">
        <v>1080</v>
      </c>
      <c r="J712" s="94" t="s">
        <v>1080</v>
      </c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>
      <c r="A713" s="89"/>
      <c r="B713" s="91" t="s">
        <v>1080</v>
      </c>
      <c r="C713" s="91" t="s">
        <v>1077</v>
      </c>
      <c r="D713" s="91" t="s">
        <v>1068</v>
      </c>
      <c r="E713" s="91" t="s">
        <v>1070</v>
      </c>
      <c r="F713" s="92">
        <v>0.79</v>
      </c>
      <c r="G713" s="93" t="s">
        <v>30</v>
      </c>
      <c r="H713" s="93" t="s">
        <v>30</v>
      </c>
      <c r="I713" s="94" t="s">
        <v>1080</v>
      </c>
      <c r="J713" s="94" t="s">
        <v>1080</v>
      </c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>
      <c r="A714" s="89"/>
      <c r="B714" s="91" t="s">
        <v>1080</v>
      </c>
      <c r="C714" s="91" t="s">
        <v>1076</v>
      </c>
      <c r="D714" s="91" t="s">
        <v>1068</v>
      </c>
      <c r="E714" s="91" t="s">
        <v>1070</v>
      </c>
      <c r="F714" s="92">
        <v>0.52</v>
      </c>
      <c r="G714" s="93" t="s">
        <v>30</v>
      </c>
      <c r="H714" s="93" t="s">
        <v>30</v>
      </c>
      <c r="I714" s="94" t="s">
        <v>1080</v>
      </c>
      <c r="J714" s="94" t="s">
        <v>1080</v>
      </c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>
      <c r="A715" s="89"/>
      <c r="B715" s="91" t="s">
        <v>1080</v>
      </c>
      <c r="C715" s="91" t="s">
        <v>1076</v>
      </c>
      <c r="D715" s="91" t="s">
        <v>1068</v>
      </c>
      <c r="E715" s="91" t="s">
        <v>1069</v>
      </c>
      <c r="F715" s="92">
        <v>0.71</v>
      </c>
      <c r="G715" s="93" t="s">
        <v>30</v>
      </c>
      <c r="H715" s="93" t="s">
        <v>30</v>
      </c>
      <c r="I715" s="94" t="s">
        <v>1080</v>
      </c>
      <c r="J715" s="94" t="s">
        <v>1080</v>
      </c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>
      <c r="A716" s="89"/>
      <c r="B716" s="91" t="s">
        <v>1081</v>
      </c>
      <c r="C716" s="91" t="s">
        <v>1059</v>
      </c>
      <c r="D716" s="91" t="s">
        <v>1060</v>
      </c>
      <c r="E716" s="91" t="s">
        <v>1061</v>
      </c>
      <c r="F716" s="92">
        <v>45.45</v>
      </c>
      <c r="G716" s="93" t="s">
        <v>30</v>
      </c>
      <c r="H716" s="93" t="s">
        <v>30</v>
      </c>
      <c r="I716" s="94" t="s">
        <v>1081</v>
      </c>
      <c r="J716" s="94" t="s">
        <v>1081</v>
      </c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>
      <c r="A717" s="89"/>
      <c r="B717" s="91" t="s">
        <v>1081</v>
      </c>
      <c r="C717" s="91" t="s">
        <v>1062</v>
      </c>
      <c r="D717" s="91" t="s">
        <v>1060</v>
      </c>
      <c r="E717" s="91" t="s">
        <v>1061</v>
      </c>
      <c r="F717" s="92">
        <v>2.44</v>
      </c>
      <c r="G717" s="93" t="s">
        <v>30</v>
      </c>
      <c r="H717" s="93" t="s">
        <v>30</v>
      </c>
      <c r="I717" s="94" t="s">
        <v>1081</v>
      </c>
      <c r="J717" s="94" t="s">
        <v>1081</v>
      </c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>
      <c r="A718" s="89"/>
      <c r="B718" s="91" t="s">
        <v>1081</v>
      </c>
      <c r="C718" s="91" t="s">
        <v>1059</v>
      </c>
      <c r="D718" s="91" t="s">
        <v>1060</v>
      </c>
      <c r="E718" s="91" t="s">
        <v>1063</v>
      </c>
      <c r="F718" s="92">
        <v>0.01</v>
      </c>
      <c r="G718" s="93" t="s">
        <v>30</v>
      </c>
      <c r="H718" s="93" t="s">
        <v>30</v>
      </c>
      <c r="I718" s="94" t="s">
        <v>1081</v>
      </c>
      <c r="J718" s="94" t="s">
        <v>1081</v>
      </c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>
      <c r="A719" s="89"/>
      <c r="B719" s="91" t="s">
        <v>1081</v>
      </c>
      <c r="C719" s="91" t="s">
        <v>1062</v>
      </c>
      <c r="D719" s="91" t="s">
        <v>1060</v>
      </c>
      <c r="E719" s="91" t="s">
        <v>1064</v>
      </c>
      <c r="F719" s="92">
        <v>23.51</v>
      </c>
      <c r="G719" s="93" t="s">
        <v>30</v>
      </c>
      <c r="H719" s="93" t="s">
        <v>30</v>
      </c>
      <c r="I719" s="94" t="s">
        <v>1081</v>
      </c>
      <c r="J719" s="94" t="s">
        <v>1081</v>
      </c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>
      <c r="A720" s="89"/>
      <c r="B720" s="91" t="s">
        <v>1081</v>
      </c>
      <c r="C720" s="91" t="s">
        <v>1059</v>
      </c>
      <c r="D720" s="91" t="s">
        <v>1060</v>
      </c>
      <c r="E720" s="91" t="s">
        <v>1064</v>
      </c>
      <c r="F720" s="92">
        <v>196.61</v>
      </c>
      <c r="G720" s="93" t="s">
        <v>30</v>
      </c>
      <c r="H720" s="93" t="s">
        <v>30</v>
      </c>
      <c r="I720" s="94" t="s">
        <v>1081</v>
      </c>
      <c r="J720" s="94" t="s">
        <v>1081</v>
      </c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>
      <c r="A721" s="89"/>
      <c r="B721" s="91" t="s">
        <v>1081</v>
      </c>
      <c r="C721" s="91" t="s">
        <v>1065</v>
      </c>
      <c r="D721" s="91" t="s">
        <v>1066</v>
      </c>
      <c r="E721" s="91" t="s">
        <v>1067</v>
      </c>
      <c r="F721" s="92">
        <v>31.17</v>
      </c>
      <c r="G721" s="93" t="s">
        <v>30</v>
      </c>
      <c r="H721" s="93" t="s">
        <v>30</v>
      </c>
      <c r="I721" s="94" t="s">
        <v>1081</v>
      </c>
      <c r="J721" s="94" t="s">
        <v>1081</v>
      </c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>
      <c r="A722" s="89"/>
      <c r="B722" s="91" t="s">
        <v>1081</v>
      </c>
      <c r="C722" s="91" t="s">
        <v>1065</v>
      </c>
      <c r="D722" s="91" t="s">
        <v>1068</v>
      </c>
      <c r="E722" s="91" t="s">
        <v>1069</v>
      </c>
      <c r="F722" s="92">
        <v>138.34</v>
      </c>
      <c r="G722" s="93" t="s">
        <v>30</v>
      </c>
      <c r="H722" s="93" t="s">
        <v>30</v>
      </c>
      <c r="I722" s="94" t="s">
        <v>1081</v>
      </c>
      <c r="J722" s="94" t="s">
        <v>1081</v>
      </c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>
      <c r="A723" s="89"/>
      <c r="B723" s="91" t="s">
        <v>1081</v>
      </c>
      <c r="C723" s="91" t="s">
        <v>1071</v>
      </c>
      <c r="D723" s="91" t="s">
        <v>1066</v>
      </c>
      <c r="E723" s="91" t="s">
        <v>1072</v>
      </c>
      <c r="F723" s="92">
        <v>4.1</v>
      </c>
      <c r="G723" s="93" t="s">
        <v>30</v>
      </c>
      <c r="H723" s="93" t="s">
        <v>30</v>
      </c>
      <c r="I723" s="94" t="s">
        <v>1081</v>
      </c>
      <c r="J723" s="94" t="s">
        <v>1081</v>
      </c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>
      <c r="A724" s="89"/>
      <c r="B724" s="91" t="s">
        <v>1081</v>
      </c>
      <c r="C724" s="91" t="s">
        <v>1075</v>
      </c>
      <c r="D724" s="91" t="s">
        <v>1066</v>
      </c>
      <c r="E724" s="91" t="s">
        <v>1072</v>
      </c>
      <c r="F724" s="92">
        <v>0.0</v>
      </c>
      <c r="G724" s="93" t="s">
        <v>30</v>
      </c>
      <c r="H724" s="93" t="s">
        <v>30</v>
      </c>
      <c r="I724" s="94" t="s">
        <v>1081</v>
      </c>
      <c r="J724" s="94" t="s">
        <v>1081</v>
      </c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>
      <c r="A725" s="89"/>
      <c r="B725" s="91" t="s">
        <v>1081</v>
      </c>
      <c r="C725" s="91" t="s">
        <v>1073</v>
      </c>
      <c r="D725" s="91" t="s">
        <v>1066</v>
      </c>
      <c r="E725" s="91" t="s">
        <v>1072</v>
      </c>
      <c r="F725" s="92">
        <v>0.11</v>
      </c>
      <c r="G725" s="93" t="s">
        <v>30</v>
      </c>
      <c r="H725" s="93" t="s">
        <v>30</v>
      </c>
      <c r="I725" s="94" t="s">
        <v>1081</v>
      </c>
      <c r="J725" s="94" t="s">
        <v>1081</v>
      </c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>
      <c r="A726" s="89"/>
      <c r="B726" s="91" t="s">
        <v>1081</v>
      </c>
      <c r="C726" s="91" t="s">
        <v>1073</v>
      </c>
      <c r="D726" s="91" t="s">
        <v>1066</v>
      </c>
      <c r="E726" s="91" t="s">
        <v>1067</v>
      </c>
      <c r="F726" s="92">
        <v>0.03</v>
      </c>
      <c r="G726" s="93" t="s">
        <v>30</v>
      </c>
      <c r="H726" s="93" t="s">
        <v>30</v>
      </c>
      <c r="I726" s="94" t="s">
        <v>1081</v>
      </c>
      <c r="J726" s="94" t="s">
        <v>1081</v>
      </c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>
      <c r="A727" s="89"/>
      <c r="B727" s="91" t="s">
        <v>1081</v>
      </c>
      <c r="C727" s="91" t="s">
        <v>1074</v>
      </c>
      <c r="D727" s="91" t="s">
        <v>1066</v>
      </c>
      <c r="E727" s="91" t="s">
        <v>1067</v>
      </c>
      <c r="F727" s="92">
        <v>42.97</v>
      </c>
      <c r="G727" s="93" t="s">
        <v>30</v>
      </c>
      <c r="H727" s="93" t="s">
        <v>30</v>
      </c>
      <c r="I727" s="94" t="s">
        <v>1081</v>
      </c>
      <c r="J727" s="94" t="s">
        <v>1081</v>
      </c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>
      <c r="A728" s="89"/>
      <c r="B728" s="91" t="s">
        <v>1081</v>
      </c>
      <c r="C728" s="91" t="s">
        <v>1071</v>
      </c>
      <c r="D728" s="91" t="s">
        <v>1066</v>
      </c>
      <c r="E728" s="91" t="s">
        <v>1067</v>
      </c>
      <c r="F728" s="92">
        <v>183.41</v>
      </c>
      <c r="G728" s="93">
        <v>1.0</v>
      </c>
      <c r="H728" s="93">
        <v>183.41</v>
      </c>
      <c r="I728" s="94" t="s">
        <v>1081</v>
      </c>
      <c r="J728" s="94" t="s">
        <v>1081</v>
      </c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>
      <c r="A729" s="89"/>
      <c r="B729" s="91" t="s">
        <v>1081</v>
      </c>
      <c r="C729" s="91" t="s">
        <v>1075</v>
      </c>
      <c r="D729" s="91" t="s">
        <v>1066</v>
      </c>
      <c r="E729" s="91" t="s">
        <v>1067</v>
      </c>
      <c r="F729" s="92">
        <v>0.22</v>
      </c>
      <c r="G729" s="93" t="s">
        <v>30</v>
      </c>
      <c r="H729" s="93" t="s">
        <v>30</v>
      </c>
      <c r="I729" s="94" t="s">
        <v>1081</v>
      </c>
      <c r="J729" s="94" t="s">
        <v>1081</v>
      </c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>
      <c r="A730" s="89"/>
      <c r="B730" s="91" t="s">
        <v>1081</v>
      </c>
      <c r="C730" s="91" t="s">
        <v>1075</v>
      </c>
      <c r="D730" s="91" t="s">
        <v>1068</v>
      </c>
      <c r="E730" s="91" t="s">
        <v>1070</v>
      </c>
      <c r="F730" s="92">
        <v>0.03</v>
      </c>
      <c r="G730" s="93" t="s">
        <v>30</v>
      </c>
      <c r="H730" s="93" t="s">
        <v>30</v>
      </c>
      <c r="I730" s="94" t="s">
        <v>1081</v>
      </c>
      <c r="J730" s="94" t="s">
        <v>1081</v>
      </c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>
      <c r="A731" s="89"/>
      <c r="B731" s="91" t="s">
        <v>1081</v>
      </c>
      <c r="C731" s="91" t="s">
        <v>1074</v>
      </c>
      <c r="D731" s="91" t="s">
        <v>1068</v>
      </c>
      <c r="E731" s="91" t="s">
        <v>1070</v>
      </c>
      <c r="F731" s="92">
        <v>49.17</v>
      </c>
      <c r="G731" s="93">
        <v>4.0</v>
      </c>
      <c r="H731" s="93">
        <v>12.2925</v>
      </c>
      <c r="I731" s="94" t="s">
        <v>1081</v>
      </c>
      <c r="J731" s="94" t="s">
        <v>1081</v>
      </c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>
      <c r="A732" s="89"/>
      <c r="B732" s="91" t="s">
        <v>1081</v>
      </c>
      <c r="C732" s="91" t="s">
        <v>1071</v>
      </c>
      <c r="D732" s="91" t="s">
        <v>1068</v>
      </c>
      <c r="E732" s="91" t="s">
        <v>1070</v>
      </c>
      <c r="F732" s="92">
        <v>364.5</v>
      </c>
      <c r="G732" s="93">
        <v>3.0</v>
      </c>
      <c r="H732" s="93">
        <v>121.5</v>
      </c>
      <c r="I732" s="94" t="s">
        <v>1081</v>
      </c>
      <c r="J732" s="94" t="s">
        <v>1081</v>
      </c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>
      <c r="A733" s="89"/>
      <c r="B733" s="91" t="s">
        <v>1081</v>
      </c>
      <c r="C733" s="91" t="s">
        <v>1073</v>
      </c>
      <c r="D733" s="91" t="s">
        <v>1068</v>
      </c>
      <c r="E733" s="91" t="s">
        <v>1070</v>
      </c>
      <c r="F733" s="92">
        <v>112.68</v>
      </c>
      <c r="G733" s="93" t="s">
        <v>30</v>
      </c>
      <c r="H733" s="93" t="s">
        <v>30</v>
      </c>
      <c r="I733" s="94" t="s">
        <v>1081</v>
      </c>
      <c r="J733" s="94" t="s">
        <v>1081</v>
      </c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>
      <c r="A734" s="89"/>
      <c r="B734" s="91" t="s">
        <v>1081</v>
      </c>
      <c r="C734" s="91" t="s">
        <v>1071</v>
      </c>
      <c r="D734" s="91" t="s">
        <v>1068</v>
      </c>
      <c r="E734" s="91" t="s">
        <v>1069</v>
      </c>
      <c r="F734" s="92">
        <v>8.0</v>
      </c>
      <c r="G734" s="93" t="s">
        <v>30</v>
      </c>
      <c r="H734" s="93" t="s">
        <v>30</v>
      </c>
      <c r="I734" s="94" t="s">
        <v>1081</v>
      </c>
      <c r="J734" s="94" t="s">
        <v>1081</v>
      </c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>
      <c r="A735" s="89"/>
      <c r="B735" s="91" t="s">
        <v>1081</v>
      </c>
      <c r="C735" s="91" t="s">
        <v>1074</v>
      </c>
      <c r="D735" s="91" t="s">
        <v>1068</v>
      </c>
      <c r="E735" s="91" t="s">
        <v>1069</v>
      </c>
      <c r="F735" s="92">
        <v>0.19</v>
      </c>
      <c r="G735" s="93" t="s">
        <v>30</v>
      </c>
      <c r="H735" s="93" t="s">
        <v>30</v>
      </c>
      <c r="I735" s="94" t="s">
        <v>1081</v>
      </c>
      <c r="J735" s="94" t="s">
        <v>1081</v>
      </c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>
      <c r="A736" s="89"/>
      <c r="B736" s="91" t="s">
        <v>1081</v>
      </c>
      <c r="C736" s="91" t="s">
        <v>1077</v>
      </c>
      <c r="D736" s="91" t="s">
        <v>1066</v>
      </c>
      <c r="E736" s="91" t="s">
        <v>1072</v>
      </c>
      <c r="F736" s="92">
        <v>0.0</v>
      </c>
      <c r="G736" s="93" t="s">
        <v>30</v>
      </c>
      <c r="H736" s="93" t="s">
        <v>30</v>
      </c>
      <c r="I736" s="94" t="s">
        <v>1081</v>
      </c>
      <c r="J736" s="94" t="s">
        <v>1081</v>
      </c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>
      <c r="A737" s="89"/>
      <c r="B737" s="91" t="s">
        <v>1081</v>
      </c>
      <c r="C737" s="91" t="s">
        <v>1076</v>
      </c>
      <c r="D737" s="91" t="s">
        <v>1066</v>
      </c>
      <c r="E737" s="91" t="s">
        <v>1067</v>
      </c>
      <c r="F737" s="92">
        <v>0.06</v>
      </c>
      <c r="G737" s="93" t="s">
        <v>30</v>
      </c>
      <c r="H737" s="93" t="s">
        <v>30</v>
      </c>
      <c r="I737" s="94" t="s">
        <v>1081</v>
      </c>
      <c r="J737" s="94" t="s">
        <v>1081</v>
      </c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>
      <c r="A738" s="89"/>
      <c r="B738" s="91" t="s">
        <v>1081</v>
      </c>
      <c r="C738" s="91" t="s">
        <v>1076</v>
      </c>
      <c r="D738" s="91" t="s">
        <v>1068</v>
      </c>
      <c r="E738" s="91" t="s">
        <v>1069</v>
      </c>
      <c r="F738" s="92">
        <v>0.14</v>
      </c>
      <c r="G738" s="93" t="s">
        <v>30</v>
      </c>
      <c r="H738" s="93" t="s">
        <v>30</v>
      </c>
      <c r="I738" s="94" t="s">
        <v>1081</v>
      </c>
      <c r="J738" s="94" t="s">
        <v>1081</v>
      </c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>
      <c r="A739" s="89"/>
      <c r="B739" s="91" t="s">
        <v>1081</v>
      </c>
      <c r="C739" s="91" t="s">
        <v>1077</v>
      </c>
      <c r="D739" s="91" t="s">
        <v>1068</v>
      </c>
      <c r="E739" s="91" t="s">
        <v>1069</v>
      </c>
      <c r="F739" s="92">
        <v>0.0</v>
      </c>
      <c r="G739" s="93" t="s">
        <v>30</v>
      </c>
      <c r="H739" s="93" t="s">
        <v>30</v>
      </c>
      <c r="I739" s="94" t="s">
        <v>1081</v>
      </c>
      <c r="J739" s="94" t="s">
        <v>1081</v>
      </c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>
      <c r="A740" s="89"/>
      <c r="B740" s="91" t="s">
        <v>1082</v>
      </c>
      <c r="C740" s="91" t="s">
        <v>1059</v>
      </c>
      <c r="D740" s="91" t="s">
        <v>1060</v>
      </c>
      <c r="E740" s="91" t="s">
        <v>1061</v>
      </c>
      <c r="F740" s="92">
        <v>41.21</v>
      </c>
      <c r="G740" s="93" t="s">
        <v>30</v>
      </c>
      <c r="H740" s="93" t="s">
        <v>30</v>
      </c>
      <c r="I740" s="94" t="s">
        <v>1082</v>
      </c>
      <c r="J740" s="94" t="s">
        <v>1082</v>
      </c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>
      <c r="A741" s="89"/>
      <c r="B741" s="91" t="s">
        <v>1082</v>
      </c>
      <c r="C741" s="91" t="s">
        <v>1062</v>
      </c>
      <c r="D741" s="91" t="s">
        <v>1060</v>
      </c>
      <c r="E741" s="91" t="s">
        <v>1061</v>
      </c>
      <c r="F741" s="92">
        <v>1.7</v>
      </c>
      <c r="G741" s="93" t="s">
        <v>30</v>
      </c>
      <c r="H741" s="93" t="s">
        <v>30</v>
      </c>
      <c r="I741" s="94" t="s">
        <v>1082</v>
      </c>
      <c r="J741" s="94" t="s">
        <v>1082</v>
      </c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>
      <c r="A742" s="89"/>
      <c r="B742" s="91" t="s">
        <v>1082</v>
      </c>
      <c r="C742" s="91" t="s">
        <v>1059</v>
      </c>
      <c r="D742" s="91" t="s">
        <v>1060</v>
      </c>
      <c r="E742" s="91" t="s">
        <v>1063</v>
      </c>
      <c r="F742" s="92">
        <v>0.02</v>
      </c>
      <c r="G742" s="93" t="s">
        <v>30</v>
      </c>
      <c r="H742" s="93" t="s">
        <v>30</v>
      </c>
      <c r="I742" s="94" t="s">
        <v>1082</v>
      </c>
      <c r="J742" s="94" t="s">
        <v>1082</v>
      </c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>
      <c r="A743" s="89"/>
      <c r="B743" s="91" t="s">
        <v>1082</v>
      </c>
      <c r="C743" s="91" t="s">
        <v>1062</v>
      </c>
      <c r="D743" s="91" t="s">
        <v>1060</v>
      </c>
      <c r="E743" s="91" t="s">
        <v>1064</v>
      </c>
      <c r="F743" s="92">
        <v>25.99</v>
      </c>
      <c r="G743" s="93" t="s">
        <v>30</v>
      </c>
      <c r="H743" s="93" t="s">
        <v>30</v>
      </c>
      <c r="I743" s="94" t="s">
        <v>1082</v>
      </c>
      <c r="J743" s="94" t="s">
        <v>1082</v>
      </c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>
      <c r="A744" s="89"/>
      <c r="B744" s="91" t="s">
        <v>1082</v>
      </c>
      <c r="C744" s="91" t="s">
        <v>1059</v>
      </c>
      <c r="D744" s="91" t="s">
        <v>1060</v>
      </c>
      <c r="E744" s="91" t="s">
        <v>1064</v>
      </c>
      <c r="F744" s="92">
        <v>179.45</v>
      </c>
      <c r="G744" s="93" t="s">
        <v>30</v>
      </c>
      <c r="H744" s="93" t="s">
        <v>30</v>
      </c>
      <c r="I744" s="94" t="s">
        <v>1082</v>
      </c>
      <c r="J744" s="94" t="s">
        <v>1082</v>
      </c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>
      <c r="A745" s="89"/>
      <c r="B745" s="91" t="s">
        <v>1082</v>
      </c>
      <c r="C745" s="91" t="s">
        <v>1065</v>
      </c>
      <c r="D745" s="91" t="s">
        <v>1068</v>
      </c>
      <c r="E745" s="91" t="s">
        <v>1083</v>
      </c>
      <c r="F745" s="92">
        <v>16.96</v>
      </c>
      <c r="G745" s="93" t="s">
        <v>30</v>
      </c>
      <c r="H745" s="93" t="s">
        <v>30</v>
      </c>
      <c r="I745" s="94" t="s">
        <v>1082</v>
      </c>
      <c r="J745" s="94" t="s">
        <v>1082</v>
      </c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>
      <c r="A746" s="89"/>
      <c r="B746" s="91" t="s">
        <v>1082</v>
      </c>
      <c r="C746" s="91" t="s">
        <v>1065</v>
      </c>
      <c r="D746" s="91" t="s">
        <v>1066</v>
      </c>
      <c r="E746" s="91" t="s">
        <v>1067</v>
      </c>
      <c r="F746" s="92">
        <v>10.69</v>
      </c>
      <c r="G746" s="93" t="s">
        <v>30</v>
      </c>
      <c r="H746" s="93" t="s">
        <v>30</v>
      </c>
      <c r="I746" s="94" t="s">
        <v>1082</v>
      </c>
      <c r="J746" s="94" t="s">
        <v>1082</v>
      </c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>
      <c r="A747" s="89"/>
      <c r="B747" s="91" t="s">
        <v>1082</v>
      </c>
      <c r="C747" s="91" t="s">
        <v>1065</v>
      </c>
      <c r="D747" s="91" t="s">
        <v>1068</v>
      </c>
      <c r="E747" s="91" t="s">
        <v>1069</v>
      </c>
      <c r="F747" s="92">
        <v>0.64</v>
      </c>
      <c r="G747" s="93" t="s">
        <v>30</v>
      </c>
      <c r="H747" s="93" t="s">
        <v>30</v>
      </c>
      <c r="I747" s="94" t="s">
        <v>1082</v>
      </c>
      <c r="J747" s="94" t="s">
        <v>1082</v>
      </c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>
      <c r="A748" s="89"/>
      <c r="B748" s="91" t="s">
        <v>1082</v>
      </c>
      <c r="C748" s="91" t="s">
        <v>1065</v>
      </c>
      <c r="D748" s="91" t="s">
        <v>1068</v>
      </c>
      <c r="E748" s="91" t="s">
        <v>1070</v>
      </c>
      <c r="F748" s="92">
        <v>0.17</v>
      </c>
      <c r="G748" s="93" t="s">
        <v>30</v>
      </c>
      <c r="H748" s="93" t="s">
        <v>30</v>
      </c>
      <c r="I748" s="94" t="s">
        <v>1082</v>
      </c>
      <c r="J748" s="94" t="s">
        <v>1082</v>
      </c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>
      <c r="A749" s="89"/>
      <c r="B749" s="91" t="s">
        <v>1082</v>
      </c>
      <c r="C749" s="91" t="s">
        <v>1065</v>
      </c>
      <c r="D749" s="91" t="s">
        <v>1066</v>
      </c>
      <c r="E749" s="91" t="s">
        <v>1072</v>
      </c>
      <c r="F749" s="92">
        <v>0.06</v>
      </c>
      <c r="G749" s="93" t="s">
        <v>30</v>
      </c>
      <c r="H749" s="93" t="s">
        <v>30</v>
      </c>
      <c r="I749" s="94" t="s">
        <v>1082</v>
      </c>
      <c r="J749" s="94" t="s">
        <v>1082</v>
      </c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>
      <c r="A750" s="89"/>
      <c r="B750" s="91" t="s">
        <v>1082</v>
      </c>
      <c r="C750" s="91" t="s">
        <v>1071</v>
      </c>
      <c r="D750" s="91" t="s">
        <v>1066</v>
      </c>
      <c r="E750" s="91" t="s">
        <v>1072</v>
      </c>
      <c r="F750" s="92">
        <v>6.91</v>
      </c>
      <c r="G750" s="93" t="s">
        <v>30</v>
      </c>
      <c r="H750" s="93" t="s">
        <v>30</v>
      </c>
      <c r="I750" s="94" t="s">
        <v>1082</v>
      </c>
      <c r="J750" s="94" t="s">
        <v>1082</v>
      </c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>
      <c r="A751" s="89"/>
      <c r="B751" s="91" t="s">
        <v>1082</v>
      </c>
      <c r="C751" s="91" t="s">
        <v>1074</v>
      </c>
      <c r="D751" s="91" t="s">
        <v>1066</v>
      </c>
      <c r="E751" s="91" t="s">
        <v>1072</v>
      </c>
      <c r="F751" s="92">
        <v>0.05</v>
      </c>
      <c r="G751" s="93" t="s">
        <v>30</v>
      </c>
      <c r="H751" s="93" t="s">
        <v>30</v>
      </c>
      <c r="I751" s="94" t="s">
        <v>1082</v>
      </c>
      <c r="J751" s="94" t="s">
        <v>1082</v>
      </c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>
      <c r="A752" s="89"/>
      <c r="B752" s="91" t="s">
        <v>1082</v>
      </c>
      <c r="C752" s="91" t="s">
        <v>1073</v>
      </c>
      <c r="D752" s="91" t="s">
        <v>1066</v>
      </c>
      <c r="E752" s="91" t="s">
        <v>1067</v>
      </c>
      <c r="F752" s="92">
        <v>0.08</v>
      </c>
      <c r="G752" s="93" t="s">
        <v>30</v>
      </c>
      <c r="H752" s="93" t="s">
        <v>30</v>
      </c>
      <c r="I752" s="94" t="s">
        <v>1082</v>
      </c>
      <c r="J752" s="94" t="s">
        <v>1082</v>
      </c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>
      <c r="A753" s="89"/>
      <c r="B753" s="91" t="s">
        <v>1082</v>
      </c>
      <c r="C753" s="91" t="s">
        <v>1074</v>
      </c>
      <c r="D753" s="91" t="s">
        <v>1066</v>
      </c>
      <c r="E753" s="91" t="s">
        <v>1067</v>
      </c>
      <c r="F753" s="92">
        <v>12.8</v>
      </c>
      <c r="G753" s="93" t="s">
        <v>30</v>
      </c>
      <c r="H753" s="93" t="s">
        <v>30</v>
      </c>
      <c r="I753" s="94" t="s">
        <v>1082</v>
      </c>
      <c r="J753" s="94" t="s">
        <v>1082</v>
      </c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>
      <c r="A754" s="89"/>
      <c r="B754" s="91" t="s">
        <v>1082</v>
      </c>
      <c r="C754" s="91" t="s">
        <v>1071</v>
      </c>
      <c r="D754" s="91" t="s">
        <v>1066</v>
      </c>
      <c r="E754" s="91" t="s">
        <v>1067</v>
      </c>
      <c r="F754" s="92">
        <v>207.31</v>
      </c>
      <c r="G754" s="93" t="s">
        <v>30</v>
      </c>
      <c r="H754" s="93" t="s">
        <v>30</v>
      </c>
      <c r="I754" s="94" t="s">
        <v>1082</v>
      </c>
      <c r="J754" s="94" t="s">
        <v>1082</v>
      </c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>
      <c r="A755" s="89"/>
      <c r="B755" s="91" t="s">
        <v>1082</v>
      </c>
      <c r="C755" s="91" t="s">
        <v>1075</v>
      </c>
      <c r="D755" s="91" t="s">
        <v>1068</v>
      </c>
      <c r="E755" s="91" t="s">
        <v>1070</v>
      </c>
      <c r="F755" s="92">
        <v>1.77</v>
      </c>
      <c r="G755" s="93" t="s">
        <v>30</v>
      </c>
      <c r="H755" s="93" t="s">
        <v>30</v>
      </c>
      <c r="I755" s="94" t="s">
        <v>1082</v>
      </c>
      <c r="J755" s="94" t="s">
        <v>1082</v>
      </c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>
      <c r="A756" s="89"/>
      <c r="B756" s="91" t="s">
        <v>1082</v>
      </c>
      <c r="C756" s="91" t="s">
        <v>1074</v>
      </c>
      <c r="D756" s="91" t="s">
        <v>1068</v>
      </c>
      <c r="E756" s="91" t="s">
        <v>1070</v>
      </c>
      <c r="F756" s="92">
        <v>0.0</v>
      </c>
      <c r="G756" s="93" t="s">
        <v>30</v>
      </c>
      <c r="H756" s="93" t="s">
        <v>30</v>
      </c>
      <c r="I756" s="94" t="s">
        <v>1082</v>
      </c>
      <c r="J756" s="94" t="s">
        <v>1082</v>
      </c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>
      <c r="A757" s="89"/>
      <c r="B757" s="91" t="s">
        <v>1082</v>
      </c>
      <c r="C757" s="91" t="s">
        <v>1073</v>
      </c>
      <c r="D757" s="91" t="s">
        <v>1068</v>
      </c>
      <c r="E757" s="91" t="s">
        <v>1070</v>
      </c>
      <c r="F757" s="92">
        <v>6.49</v>
      </c>
      <c r="G757" s="93" t="s">
        <v>30</v>
      </c>
      <c r="H757" s="93" t="s">
        <v>30</v>
      </c>
      <c r="I757" s="94" t="s">
        <v>1082</v>
      </c>
      <c r="J757" s="94" t="s">
        <v>1082</v>
      </c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>
      <c r="A758" s="89"/>
      <c r="B758" s="91" t="s">
        <v>1082</v>
      </c>
      <c r="C758" s="91" t="s">
        <v>1074</v>
      </c>
      <c r="D758" s="91" t="s">
        <v>1068</v>
      </c>
      <c r="E758" s="91" t="s">
        <v>1069</v>
      </c>
      <c r="F758" s="92">
        <v>0.62</v>
      </c>
      <c r="G758" s="93">
        <v>1.0</v>
      </c>
      <c r="H758" s="93">
        <v>0.62</v>
      </c>
      <c r="I758" s="94" t="s">
        <v>1082</v>
      </c>
      <c r="J758" s="94" t="s">
        <v>1082</v>
      </c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>
      <c r="A759" s="89"/>
      <c r="B759" s="91" t="s">
        <v>1082</v>
      </c>
      <c r="C759" s="91" t="s">
        <v>1075</v>
      </c>
      <c r="D759" s="91" t="s">
        <v>1068</v>
      </c>
      <c r="E759" s="91" t="s">
        <v>1069</v>
      </c>
      <c r="F759" s="92">
        <v>0.31</v>
      </c>
      <c r="G759" s="93" t="s">
        <v>30</v>
      </c>
      <c r="H759" s="93" t="s">
        <v>30</v>
      </c>
      <c r="I759" s="94" t="s">
        <v>1082</v>
      </c>
      <c r="J759" s="94" t="s">
        <v>1082</v>
      </c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>
      <c r="A760" s="89"/>
      <c r="B760" s="91" t="s">
        <v>1082</v>
      </c>
      <c r="C760" s="91" t="s">
        <v>1075</v>
      </c>
      <c r="D760" s="91" t="s">
        <v>1068</v>
      </c>
      <c r="E760" s="91" t="s">
        <v>1083</v>
      </c>
      <c r="F760" s="92">
        <v>0.0</v>
      </c>
      <c r="G760" s="93" t="s">
        <v>30</v>
      </c>
      <c r="H760" s="93" t="s">
        <v>30</v>
      </c>
      <c r="I760" s="94" t="s">
        <v>1082</v>
      </c>
      <c r="J760" s="94" t="s">
        <v>1082</v>
      </c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>
      <c r="A761" s="89"/>
      <c r="B761" s="91" t="s">
        <v>1082</v>
      </c>
      <c r="C761" s="91" t="s">
        <v>1071</v>
      </c>
      <c r="D761" s="91" t="s">
        <v>1068</v>
      </c>
      <c r="E761" s="91" t="s">
        <v>1083</v>
      </c>
      <c r="F761" s="92">
        <v>323.96</v>
      </c>
      <c r="G761" s="93">
        <v>2.0</v>
      </c>
      <c r="H761" s="93">
        <v>161.98</v>
      </c>
      <c r="I761" s="94" t="s">
        <v>1082</v>
      </c>
      <c r="J761" s="94" t="s">
        <v>1082</v>
      </c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>
      <c r="A762" s="89"/>
      <c r="B762" s="91" t="s">
        <v>1082</v>
      </c>
      <c r="C762" s="91" t="s">
        <v>1074</v>
      </c>
      <c r="D762" s="91" t="s">
        <v>1068</v>
      </c>
      <c r="E762" s="91" t="s">
        <v>1083</v>
      </c>
      <c r="F762" s="92">
        <v>14.43</v>
      </c>
      <c r="G762" s="93" t="s">
        <v>30</v>
      </c>
      <c r="H762" s="93" t="s">
        <v>30</v>
      </c>
      <c r="I762" s="94" t="s">
        <v>1082</v>
      </c>
      <c r="J762" s="94" t="s">
        <v>1082</v>
      </c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>
      <c r="A763" s="89"/>
      <c r="B763" s="91" t="s">
        <v>1082</v>
      </c>
      <c r="C763" s="91" t="s">
        <v>1076</v>
      </c>
      <c r="D763" s="91" t="s">
        <v>1066</v>
      </c>
      <c r="E763" s="91" t="s">
        <v>1067</v>
      </c>
      <c r="F763" s="92">
        <v>0.03</v>
      </c>
      <c r="G763" s="93" t="s">
        <v>30</v>
      </c>
      <c r="H763" s="93" t="s">
        <v>30</v>
      </c>
      <c r="I763" s="94" t="s">
        <v>1082</v>
      </c>
      <c r="J763" s="94" t="s">
        <v>1082</v>
      </c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>
      <c r="A764" s="89"/>
      <c r="B764" s="91" t="s">
        <v>1082</v>
      </c>
      <c r="C764" s="91" t="s">
        <v>1076</v>
      </c>
      <c r="D764" s="91" t="s">
        <v>1068</v>
      </c>
      <c r="E764" s="91" t="s">
        <v>1070</v>
      </c>
      <c r="F764" s="92">
        <v>0.0</v>
      </c>
      <c r="G764" s="93" t="s">
        <v>30</v>
      </c>
      <c r="H764" s="93" t="s">
        <v>30</v>
      </c>
      <c r="I764" s="94" t="s">
        <v>1082</v>
      </c>
      <c r="J764" s="94" t="s">
        <v>1082</v>
      </c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>
      <c r="A765" s="89"/>
      <c r="B765" s="91" t="s">
        <v>1082</v>
      </c>
      <c r="C765" s="91" t="s">
        <v>1077</v>
      </c>
      <c r="D765" s="91" t="s">
        <v>1068</v>
      </c>
      <c r="E765" s="91" t="s">
        <v>1069</v>
      </c>
      <c r="F765" s="92">
        <v>0.0</v>
      </c>
      <c r="G765" s="93" t="s">
        <v>30</v>
      </c>
      <c r="H765" s="93" t="s">
        <v>30</v>
      </c>
      <c r="I765" s="94" t="s">
        <v>1082</v>
      </c>
      <c r="J765" s="94" t="s">
        <v>1082</v>
      </c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>
      <c r="A766" s="89"/>
      <c r="B766" s="91" t="s">
        <v>1082</v>
      </c>
      <c r="C766" s="91" t="s">
        <v>1076</v>
      </c>
      <c r="D766" s="91" t="s">
        <v>1068</v>
      </c>
      <c r="E766" s="91" t="s">
        <v>1083</v>
      </c>
      <c r="F766" s="92">
        <v>1.51</v>
      </c>
      <c r="G766" s="93" t="s">
        <v>30</v>
      </c>
      <c r="H766" s="93" t="s">
        <v>30</v>
      </c>
      <c r="I766" s="94" t="s">
        <v>1082</v>
      </c>
      <c r="J766" s="94" t="s">
        <v>1082</v>
      </c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>
      <c r="A767" s="89"/>
      <c r="B767" s="91" t="s">
        <v>1084</v>
      </c>
      <c r="C767" s="91" t="s">
        <v>1059</v>
      </c>
      <c r="D767" s="91" t="s">
        <v>1060</v>
      </c>
      <c r="E767" s="91" t="s">
        <v>1061</v>
      </c>
      <c r="F767" s="92">
        <v>47.57</v>
      </c>
      <c r="G767" s="93" t="s">
        <v>30</v>
      </c>
      <c r="H767" s="93" t="s">
        <v>30</v>
      </c>
      <c r="I767" s="94" t="s">
        <v>1084</v>
      </c>
      <c r="J767" s="94" t="s">
        <v>1084</v>
      </c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>
      <c r="A768" s="89"/>
      <c r="B768" s="91" t="s">
        <v>1084</v>
      </c>
      <c r="C768" s="91" t="s">
        <v>1062</v>
      </c>
      <c r="D768" s="91" t="s">
        <v>1060</v>
      </c>
      <c r="E768" s="91" t="s">
        <v>1061</v>
      </c>
      <c r="F768" s="92">
        <v>0.68</v>
      </c>
      <c r="G768" s="93" t="s">
        <v>30</v>
      </c>
      <c r="H768" s="93" t="s">
        <v>30</v>
      </c>
      <c r="I768" s="94" t="s">
        <v>1084</v>
      </c>
      <c r="J768" s="94" t="s">
        <v>1084</v>
      </c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>
      <c r="A769" s="89"/>
      <c r="B769" s="91" t="s">
        <v>1084</v>
      </c>
      <c r="C769" s="91" t="s">
        <v>1059</v>
      </c>
      <c r="D769" s="91" t="s">
        <v>1060</v>
      </c>
      <c r="E769" s="91" t="s">
        <v>1063</v>
      </c>
      <c r="F769" s="92">
        <v>0.0</v>
      </c>
      <c r="G769" s="93" t="s">
        <v>30</v>
      </c>
      <c r="H769" s="93" t="s">
        <v>30</v>
      </c>
      <c r="I769" s="94" t="s">
        <v>1084</v>
      </c>
      <c r="J769" s="94" t="s">
        <v>1084</v>
      </c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>
      <c r="A770" s="89"/>
      <c r="B770" s="91" t="s">
        <v>1084</v>
      </c>
      <c r="C770" s="91" t="s">
        <v>1062</v>
      </c>
      <c r="D770" s="91" t="s">
        <v>1060</v>
      </c>
      <c r="E770" s="91" t="s">
        <v>1064</v>
      </c>
      <c r="F770" s="92">
        <v>23.99</v>
      </c>
      <c r="G770" s="93" t="s">
        <v>30</v>
      </c>
      <c r="H770" s="93" t="s">
        <v>30</v>
      </c>
      <c r="I770" s="94" t="s">
        <v>1084</v>
      </c>
      <c r="J770" s="94" t="s">
        <v>1084</v>
      </c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>
      <c r="A771" s="89"/>
      <c r="B771" s="91" t="s">
        <v>1084</v>
      </c>
      <c r="C771" s="91" t="s">
        <v>1059</v>
      </c>
      <c r="D771" s="91" t="s">
        <v>1060</v>
      </c>
      <c r="E771" s="91" t="s">
        <v>1064</v>
      </c>
      <c r="F771" s="92">
        <v>188.57</v>
      </c>
      <c r="G771" s="93" t="s">
        <v>30</v>
      </c>
      <c r="H771" s="93" t="s">
        <v>30</v>
      </c>
      <c r="I771" s="94" t="s">
        <v>1084</v>
      </c>
      <c r="J771" s="94" t="s">
        <v>1084</v>
      </c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>
      <c r="A772" s="89"/>
      <c r="B772" s="91" t="s">
        <v>1084</v>
      </c>
      <c r="C772" s="91" t="s">
        <v>1065</v>
      </c>
      <c r="D772" s="91" t="s">
        <v>1068</v>
      </c>
      <c r="E772" s="91" t="s">
        <v>1083</v>
      </c>
      <c r="F772" s="92">
        <v>34.63</v>
      </c>
      <c r="G772" s="93">
        <v>2.0</v>
      </c>
      <c r="H772" s="93">
        <v>17.315</v>
      </c>
      <c r="I772" s="94" t="s">
        <v>1084</v>
      </c>
      <c r="J772" s="94" t="s">
        <v>1084</v>
      </c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>
      <c r="A773" s="89"/>
      <c r="B773" s="91" t="s">
        <v>1084</v>
      </c>
      <c r="C773" s="91" t="s">
        <v>1065</v>
      </c>
      <c r="D773" s="91" t="s">
        <v>1066</v>
      </c>
      <c r="E773" s="91" t="s">
        <v>1067</v>
      </c>
      <c r="F773" s="92">
        <v>14.17</v>
      </c>
      <c r="G773" s="93" t="s">
        <v>30</v>
      </c>
      <c r="H773" s="93" t="s">
        <v>30</v>
      </c>
      <c r="I773" s="94" t="s">
        <v>1084</v>
      </c>
      <c r="J773" s="94" t="s">
        <v>1084</v>
      </c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>
      <c r="A774" s="89"/>
      <c r="B774" s="91" t="s">
        <v>1084</v>
      </c>
      <c r="C774" s="91" t="s">
        <v>1065</v>
      </c>
      <c r="D774" s="91" t="s">
        <v>1068</v>
      </c>
      <c r="E774" s="91" t="s">
        <v>1069</v>
      </c>
      <c r="F774" s="92">
        <v>0.09</v>
      </c>
      <c r="G774" s="93" t="s">
        <v>30</v>
      </c>
      <c r="H774" s="93" t="s">
        <v>30</v>
      </c>
      <c r="I774" s="94" t="s">
        <v>1084</v>
      </c>
      <c r="J774" s="94" t="s">
        <v>1084</v>
      </c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>
      <c r="A775" s="89"/>
      <c r="B775" s="91" t="s">
        <v>1084</v>
      </c>
      <c r="C775" s="91" t="s">
        <v>1065</v>
      </c>
      <c r="D775" s="91" t="s">
        <v>1068</v>
      </c>
      <c r="E775" s="91" t="s">
        <v>1070</v>
      </c>
      <c r="F775" s="92">
        <v>0.3</v>
      </c>
      <c r="G775" s="93" t="s">
        <v>30</v>
      </c>
      <c r="H775" s="93" t="s">
        <v>30</v>
      </c>
      <c r="I775" s="94" t="s">
        <v>1084</v>
      </c>
      <c r="J775" s="94" t="s">
        <v>1084</v>
      </c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>
      <c r="A776" s="89"/>
      <c r="B776" s="91" t="s">
        <v>1084</v>
      </c>
      <c r="C776" s="91" t="s">
        <v>1065</v>
      </c>
      <c r="D776" s="91" t="s">
        <v>1066</v>
      </c>
      <c r="E776" s="91" t="s">
        <v>1072</v>
      </c>
      <c r="F776" s="92">
        <v>0.07</v>
      </c>
      <c r="G776" s="93" t="s">
        <v>30</v>
      </c>
      <c r="H776" s="93" t="s">
        <v>30</v>
      </c>
      <c r="I776" s="94" t="s">
        <v>1084</v>
      </c>
      <c r="J776" s="94" t="s">
        <v>1084</v>
      </c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>
      <c r="A777" s="89"/>
      <c r="B777" s="91" t="s">
        <v>1084</v>
      </c>
      <c r="C777" s="91" t="s">
        <v>1071</v>
      </c>
      <c r="D777" s="91" t="s">
        <v>1066</v>
      </c>
      <c r="E777" s="91" t="s">
        <v>1072</v>
      </c>
      <c r="F777" s="92">
        <v>5.66</v>
      </c>
      <c r="G777" s="93" t="s">
        <v>30</v>
      </c>
      <c r="H777" s="93" t="s">
        <v>30</v>
      </c>
      <c r="I777" s="94" t="s">
        <v>1084</v>
      </c>
      <c r="J777" s="94" t="s">
        <v>1084</v>
      </c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>
      <c r="A778" s="89"/>
      <c r="B778" s="91" t="s">
        <v>1084</v>
      </c>
      <c r="C778" s="91" t="s">
        <v>1074</v>
      </c>
      <c r="D778" s="91" t="s">
        <v>1066</v>
      </c>
      <c r="E778" s="91" t="s">
        <v>1072</v>
      </c>
      <c r="F778" s="92">
        <v>0.07</v>
      </c>
      <c r="G778" s="93" t="s">
        <v>30</v>
      </c>
      <c r="H778" s="93" t="s">
        <v>30</v>
      </c>
      <c r="I778" s="94" t="s">
        <v>1084</v>
      </c>
      <c r="J778" s="94" t="s">
        <v>1084</v>
      </c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>
      <c r="A779" s="89"/>
      <c r="B779" s="91" t="s">
        <v>1084</v>
      </c>
      <c r="C779" s="91" t="s">
        <v>1075</v>
      </c>
      <c r="D779" s="91" t="s">
        <v>1066</v>
      </c>
      <c r="E779" s="91" t="s">
        <v>1072</v>
      </c>
      <c r="F779" s="92">
        <v>0.01</v>
      </c>
      <c r="G779" s="93" t="s">
        <v>30</v>
      </c>
      <c r="H779" s="93" t="s">
        <v>30</v>
      </c>
      <c r="I779" s="94" t="s">
        <v>1084</v>
      </c>
      <c r="J779" s="94" t="s">
        <v>1084</v>
      </c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>
      <c r="A780" s="89"/>
      <c r="B780" s="91" t="s">
        <v>1084</v>
      </c>
      <c r="C780" s="91" t="s">
        <v>1073</v>
      </c>
      <c r="D780" s="91" t="s">
        <v>1066</v>
      </c>
      <c r="E780" s="91" t="s">
        <v>1072</v>
      </c>
      <c r="F780" s="92">
        <v>0.1</v>
      </c>
      <c r="G780" s="93" t="s">
        <v>30</v>
      </c>
      <c r="H780" s="93" t="s">
        <v>30</v>
      </c>
      <c r="I780" s="94" t="s">
        <v>1084</v>
      </c>
      <c r="J780" s="94" t="s">
        <v>1084</v>
      </c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>
      <c r="A781" s="89"/>
      <c r="B781" s="91" t="s">
        <v>1084</v>
      </c>
      <c r="C781" s="91" t="s">
        <v>1074</v>
      </c>
      <c r="D781" s="91" t="s">
        <v>1066</v>
      </c>
      <c r="E781" s="91" t="s">
        <v>1067</v>
      </c>
      <c r="F781" s="92">
        <v>14.56</v>
      </c>
      <c r="G781" s="93" t="s">
        <v>30</v>
      </c>
      <c r="H781" s="93" t="s">
        <v>30</v>
      </c>
      <c r="I781" s="94" t="s">
        <v>1084</v>
      </c>
      <c r="J781" s="94" t="s">
        <v>1084</v>
      </c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>
      <c r="A782" s="89"/>
      <c r="B782" s="91" t="s">
        <v>1084</v>
      </c>
      <c r="C782" s="91" t="s">
        <v>1071</v>
      </c>
      <c r="D782" s="91" t="s">
        <v>1066</v>
      </c>
      <c r="E782" s="91" t="s">
        <v>1067</v>
      </c>
      <c r="F782" s="92">
        <v>243.71</v>
      </c>
      <c r="G782" s="93">
        <v>2.0</v>
      </c>
      <c r="H782" s="93">
        <v>121.855</v>
      </c>
      <c r="I782" s="94" t="s">
        <v>1084</v>
      </c>
      <c r="J782" s="94" t="s">
        <v>1084</v>
      </c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>
      <c r="A783" s="89"/>
      <c r="B783" s="91" t="s">
        <v>1084</v>
      </c>
      <c r="C783" s="91" t="s">
        <v>1075</v>
      </c>
      <c r="D783" s="91" t="s">
        <v>1066</v>
      </c>
      <c r="E783" s="91" t="s">
        <v>1067</v>
      </c>
      <c r="F783" s="92">
        <v>0.04</v>
      </c>
      <c r="G783" s="93" t="s">
        <v>30</v>
      </c>
      <c r="H783" s="93" t="s">
        <v>30</v>
      </c>
      <c r="I783" s="94" t="s">
        <v>1084</v>
      </c>
      <c r="J783" s="94" t="s">
        <v>1084</v>
      </c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>
      <c r="A784" s="89"/>
      <c r="B784" s="91" t="s">
        <v>1084</v>
      </c>
      <c r="C784" s="91" t="s">
        <v>1075</v>
      </c>
      <c r="D784" s="91" t="s">
        <v>1068</v>
      </c>
      <c r="E784" s="91" t="s">
        <v>1070</v>
      </c>
      <c r="F784" s="92">
        <v>0.0</v>
      </c>
      <c r="G784" s="93" t="s">
        <v>30</v>
      </c>
      <c r="H784" s="93" t="s">
        <v>30</v>
      </c>
      <c r="I784" s="94" t="s">
        <v>1084</v>
      </c>
      <c r="J784" s="94" t="s">
        <v>1084</v>
      </c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>
      <c r="A785" s="89"/>
      <c r="B785" s="91" t="s">
        <v>1084</v>
      </c>
      <c r="C785" s="91" t="s">
        <v>1071</v>
      </c>
      <c r="D785" s="91" t="s">
        <v>1068</v>
      </c>
      <c r="E785" s="91" t="s">
        <v>1070</v>
      </c>
      <c r="F785" s="92">
        <v>0.54</v>
      </c>
      <c r="G785" s="93" t="s">
        <v>30</v>
      </c>
      <c r="H785" s="93" t="s">
        <v>30</v>
      </c>
      <c r="I785" s="94" t="s">
        <v>1084</v>
      </c>
      <c r="J785" s="94" t="s">
        <v>1084</v>
      </c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>
      <c r="A786" s="89"/>
      <c r="B786" s="91" t="s">
        <v>1084</v>
      </c>
      <c r="C786" s="91" t="s">
        <v>1073</v>
      </c>
      <c r="D786" s="91" t="s">
        <v>1068</v>
      </c>
      <c r="E786" s="91" t="s">
        <v>1070</v>
      </c>
      <c r="F786" s="92">
        <v>0.01</v>
      </c>
      <c r="G786" s="93" t="s">
        <v>30</v>
      </c>
      <c r="H786" s="93" t="s">
        <v>30</v>
      </c>
      <c r="I786" s="94" t="s">
        <v>1084</v>
      </c>
      <c r="J786" s="94" t="s">
        <v>1084</v>
      </c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>
      <c r="A787" s="89"/>
      <c r="B787" s="91" t="s">
        <v>1084</v>
      </c>
      <c r="C787" s="91" t="s">
        <v>1074</v>
      </c>
      <c r="D787" s="91" t="s">
        <v>1068</v>
      </c>
      <c r="E787" s="91" t="s">
        <v>1069</v>
      </c>
      <c r="F787" s="92">
        <v>0.01</v>
      </c>
      <c r="G787" s="93" t="s">
        <v>30</v>
      </c>
      <c r="H787" s="93" t="s">
        <v>30</v>
      </c>
      <c r="I787" s="94" t="s">
        <v>1084</v>
      </c>
      <c r="J787" s="94" t="s">
        <v>1084</v>
      </c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>
      <c r="A788" s="89"/>
      <c r="B788" s="91" t="s">
        <v>1084</v>
      </c>
      <c r="C788" s="91" t="s">
        <v>1073</v>
      </c>
      <c r="D788" s="91" t="s">
        <v>1068</v>
      </c>
      <c r="E788" s="91" t="s">
        <v>1083</v>
      </c>
      <c r="F788" s="92">
        <v>0.14</v>
      </c>
      <c r="G788" s="93" t="s">
        <v>30</v>
      </c>
      <c r="H788" s="93" t="s">
        <v>30</v>
      </c>
      <c r="I788" s="94" t="s">
        <v>1084</v>
      </c>
      <c r="J788" s="94" t="s">
        <v>1084</v>
      </c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>
      <c r="A789" s="89"/>
      <c r="B789" s="91" t="s">
        <v>1084</v>
      </c>
      <c r="C789" s="91" t="s">
        <v>1075</v>
      </c>
      <c r="D789" s="91" t="s">
        <v>1068</v>
      </c>
      <c r="E789" s="91" t="s">
        <v>1083</v>
      </c>
      <c r="F789" s="92">
        <v>0.0</v>
      </c>
      <c r="G789" s="93" t="s">
        <v>30</v>
      </c>
      <c r="H789" s="93" t="s">
        <v>30</v>
      </c>
      <c r="I789" s="94" t="s">
        <v>1084</v>
      </c>
      <c r="J789" s="94" t="s">
        <v>1084</v>
      </c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>
      <c r="A790" s="89"/>
      <c r="B790" s="91" t="s">
        <v>1084</v>
      </c>
      <c r="C790" s="91" t="s">
        <v>1071</v>
      </c>
      <c r="D790" s="91" t="s">
        <v>1068</v>
      </c>
      <c r="E790" s="91" t="s">
        <v>1083</v>
      </c>
      <c r="F790" s="92">
        <v>531.13</v>
      </c>
      <c r="G790" s="93">
        <v>1.0</v>
      </c>
      <c r="H790" s="93">
        <v>531.13</v>
      </c>
      <c r="I790" s="94" t="s">
        <v>1084</v>
      </c>
      <c r="J790" s="94" t="s">
        <v>1084</v>
      </c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>
      <c r="A791" s="89"/>
      <c r="B791" s="91" t="s">
        <v>1084</v>
      </c>
      <c r="C791" s="91" t="s">
        <v>1074</v>
      </c>
      <c r="D791" s="91" t="s">
        <v>1068</v>
      </c>
      <c r="E791" s="91" t="s">
        <v>1083</v>
      </c>
      <c r="F791" s="92">
        <v>26.1</v>
      </c>
      <c r="G791" s="93" t="s">
        <v>30</v>
      </c>
      <c r="H791" s="93" t="s">
        <v>30</v>
      </c>
      <c r="I791" s="94" t="s">
        <v>1084</v>
      </c>
      <c r="J791" s="94" t="s">
        <v>1084</v>
      </c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>
      <c r="A792" s="89"/>
      <c r="B792" s="91" t="s">
        <v>1084</v>
      </c>
      <c r="C792" s="91" t="s">
        <v>1077</v>
      </c>
      <c r="D792" s="91" t="s">
        <v>1066</v>
      </c>
      <c r="E792" s="91" t="s">
        <v>1067</v>
      </c>
      <c r="F792" s="92">
        <v>0.03</v>
      </c>
      <c r="G792" s="93" t="s">
        <v>30</v>
      </c>
      <c r="H792" s="93" t="s">
        <v>30</v>
      </c>
      <c r="I792" s="94" t="s">
        <v>1084</v>
      </c>
      <c r="J792" s="94" t="s">
        <v>1084</v>
      </c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>
      <c r="A793" s="89"/>
      <c r="B793" s="91" t="s">
        <v>1084</v>
      </c>
      <c r="C793" s="91" t="s">
        <v>1076</v>
      </c>
      <c r="D793" s="91" t="s">
        <v>1066</v>
      </c>
      <c r="E793" s="91" t="s">
        <v>1067</v>
      </c>
      <c r="F793" s="92">
        <v>0.0</v>
      </c>
      <c r="G793" s="93" t="s">
        <v>30</v>
      </c>
      <c r="H793" s="93" t="s">
        <v>30</v>
      </c>
      <c r="I793" s="94" t="s">
        <v>1084</v>
      </c>
      <c r="J793" s="94" t="s">
        <v>1084</v>
      </c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>
      <c r="A794" s="89"/>
      <c r="B794" s="91" t="s">
        <v>1084</v>
      </c>
      <c r="C794" s="91" t="s">
        <v>1077</v>
      </c>
      <c r="D794" s="91" t="s">
        <v>1068</v>
      </c>
      <c r="E794" s="91" t="s">
        <v>1070</v>
      </c>
      <c r="F794" s="92">
        <v>0.0</v>
      </c>
      <c r="G794" s="93" t="s">
        <v>30</v>
      </c>
      <c r="H794" s="93" t="s">
        <v>30</v>
      </c>
      <c r="I794" s="94" t="s">
        <v>1084</v>
      </c>
      <c r="J794" s="94" t="s">
        <v>1084</v>
      </c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>
      <c r="A795" s="89"/>
      <c r="B795" s="91" t="s">
        <v>1084</v>
      </c>
      <c r="C795" s="91" t="s">
        <v>1076</v>
      </c>
      <c r="D795" s="91" t="s">
        <v>1068</v>
      </c>
      <c r="E795" s="91" t="s">
        <v>1070</v>
      </c>
      <c r="F795" s="92">
        <v>0.0</v>
      </c>
      <c r="G795" s="93" t="s">
        <v>30</v>
      </c>
      <c r="H795" s="93" t="s">
        <v>30</v>
      </c>
      <c r="I795" s="94" t="s">
        <v>1084</v>
      </c>
      <c r="J795" s="94" t="s">
        <v>1084</v>
      </c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>
      <c r="A796" s="89"/>
      <c r="B796" s="91" t="s">
        <v>1084</v>
      </c>
      <c r="C796" s="91" t="s">
        <v>1076</v>
      </c>
      <c r="D796" s="91" t="s">
        <v>1068</v>
      </c>
      <c r="E796" s="91" t="s">
        <v>1083</v>
      </c>
      <c r="F796" s="92">
        <v>5.47</v>
      </c>
      <c r="G796" s="93" t="s">
        <v>30</v>
      </c>
      <c r="H796" s="93" t="s">
        <v>30</v>
      </c>
      <c r="I796" s="94" t="s">
        <v>1084</v>
      </c>
      <c r="J796" s="94" t="s">
        <v>1084</v>
      </c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>
      <c r="A797" s="89"/>
      <c r="B797" s="91" t="s">
        <v>1084</v>
      </c>
      <c r="C797" s="91" t="s">
        <v>1077</v>
      </c>
      <c r="D797" s="91" t="s">
        <v>1068</v>
      </c>
      <c r="E797" s="91" t="s">
        <v>1083</v>
      </c>
      <c r="F797" s="92">
        <v>0.04</v>
      </c>
      <c r="G797" s="93" t="s">
        <v>30</v>
      </c>
      <c r="H797" s="93" t="s">
        <v>30</v>
      </c>
      <c r="I797" s="94" t="s">
        <v>1084</v>
      </c>
      <c r="J797" s="94" t="s">
        <v>1084</v>
      </c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>
      <c r="A798" s="89"/>
      <c r="B798" s="91" t="s">
        <v>1085</v>
      </c>
      <c r="C798" s="91" t="s">
        <v>1059</v>
      </c>
      <c r="D798" s="91" t="s">
        <v>1060</v>
      </c>
      <c r="E798" s="91" t="s">
        <v>1061</v>
      </c>
      <c r="F798" s="92">
        <v>38.6</v>
      </c>
      <c r="G798" s="93" t="s">
        <v>30</v>
      </c>
      <c r="H798" s="93" t="s">
        <v>30</v>
      </c>
      <c r="I798" s="94" t="s">
        <v>1085</v>
      </c>
      <c r="J798" s="94" t="s">
        <v>1085</v>
      </c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>
      <c r="A799" s="89"/>
      <c r="B799" s="91" t="s">
        <v>1085</v>
      </c>
      <c r="C799" s="91" t="s">
        <v>1062</v>
      </c>
      <c r="D799" s="91" t="s">
        <v>1060</v>
      </c>
      <c r="E799" s="91" t="s">
        <v>1061</v>
      </c>
      <c r="F799" s="92">
        <v>0.53</v>
      </c>
      <c r="G799" s="93" t="s">
        <v>30</v>
      </c>
      <c r="H799" s="93" t="s">
        <v>30</v>
      </c>
      <c r="I799" s="94" t="s">
        <v>1085</v>
      </c>
      <c r="J799" s="94" t="s">
        <v>1085</v>
      </c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>
      <c r="A800" s="89"/>
      <c r="B800" s="91" t="s">
        <v>1085</v>
      </c>
      <c r="C800" s="91" t="s">
        <v>1059</v>
      </c>
      <c r="D800" s="91" t="s">
        <v>1060</v>
      </c>
      <c r="E800" s="91" t="s">
        <v>1063</v>
      </c>
      <c r="F800" s="92">
        <v>0.01</v>
      </c>
      <c r="G800" s="93" t="s">
        <v>30</v>
      </c>
      <c r="H800" s="93" t="s">
        <v>30</v>
      </c>
      <c r="I800" s="94" t="s">
        <v>1085</v>
      </c>
      <c r="J800" s="94" t="s">
        <v>1085</v>
      </c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>
      <c r="A801" s="89"/>
      <c r="B801" s="91" t="s">
        <v>1085</v>
      </c>
      <c r="C801" s="91" t="s">
        <v>1062</v>
      </c>
      <c r="D801" s="91" t="s">
        <v>1060</v>
      </c>
      <c r="E801" s="91" t="s">
        <v>1064</v>
      </c>
      <c r="F801" s="92">
        <v>17.98</v>
      </c>
      <c r="G801" s="93" t="s">
        <v>30</v>
      </c>
      <c r="H801" s="93" t="s">
        <v>30</v>
      </c>
      <c r="I801" s="94" t="s">
        <v>1085</v>
      </c>
      <c r="J801" s="94" t="s">
        <v>1085</v>
      </c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>
      <c r="A802" s="89"/>
      <c r="B802" s="91" t="s">
        <v>1085</v>
      </c>
      <c r="C802" s="91" t="s">
        <v>1059</v>
      </c>
      <c r="D802" s="91" t="s">
        <v>1060</v>
      </c>
      <c r="E802" s="91" t="s">
        <v>1064</v>
      </c>
      <c r="F802" s="92">
        <v>204.57</v>
      </c>
      <c r="G802" s="93" t="s">
        <v>30</v>
      </c>
      <c r="H802" s="93" t="s">
        <v>30</v>
      </c>
      <c r="I802" s="94" t="s">
        <v>1085</v>
      </c>
      <c r="J802" s="94" t="s">
        <v>1085</v>
      </c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>
      <c r="A803" s="89"/>
      <c r="B803" s="91" t="s">
        <v>1085</v>
      </c>
      <c r="C803" s="91" t="s">
        <v>1065</v>
      </c>
      <c r="D803" s="91" t="s">
        <v>1068</v>
      </c>
      <c r="E803" s="91" t="s">
        <v>1083</v>
      </c>
      <c r="F803" s="92">
        <v>179.01</v>
      </c>
      <c r="G803" s="93" t="s">
        <v>30</v>
      </c>
      <c r="H803" s="93" t="s">
        <v>30</v>
      </c>
      <c r="I803" s="94" t="s">
        <v>1085</v>
      </c>
      <c r="J803" s="94" t="s">
        <v>1085</v>
      </c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>
      <c r="A804" s="89"/>
      <c r="B804" s="91" t="s">
        <v>1085</v>
      </c>
      <c r="C804" s="91" t="s">
        <v>1065</v>
      </c>
      <c r="D804" s="91" t="s">
        <v>1066</v>
      </c>
      <c r="E804" s="91" t="s">
        <v>1067</v>
      </c>
      <c r="F804" s="92">
        <v>104.45</v>
      </c>
      <c r="G804" s="93">
        <v>1.0</v>
      </c>
      <c r="H804" s="93">
        <v>104.45</v>
      </c>
      <c r="I804" s="94" t="s">
        <v>1085</v>
      </c>
      <c r="J804" s="94" t="s">
        <v>1085</v>
      </c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>
      <c r="A805" s="89"/>
      <c r="B805" s="91" t="s">
        <v>1085</v>
      </c>
      <c r="C805" s="91" t="s">
        <v>1065</v>
      </c>
      <c r="D805" s="91" t="s">
        <v>1068</v>
      </c>
      <c r="E805" s="91" t="s">
        <v>1069</v>
      </c>
      <c r="F805" s="92">
        <v>0.38</v>
      </c>
      <c r="G805" s="93" t="s">
        <v>30</v>
      </c>
      <c r="H805" s="93" t="s">
        <v>30</v>
      </c>
      <c r="I805" s="94" t="s">
        <v>1085</v>
      </c>
      <c r="J805" s="94" t="s">
        <v>1085</v>
      </c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>
      <c r="A806" s="89"/>
      <c r="B806" s="91" t="s">
        <v>1085</v>
      </c>
      <c r="C806" s="91" t="s">
        <v>1065</v>
      </c>
      <c r="D806" s="91" t="s">
        <v>1068</v>
      </c>
      <c r="E806" s="91" t="s">
        <v>1070</v>
      </c>
      <c r="F806" s="92">
        <v>2.12</v>
      </c>
      <c r="G806" s="93" t="s">
        <v>30</v>
      </c>
      <c r="H806" s="93" t="s">
        <v>30</v>
      </c>
      <c r="I806" s="94" t="s">
        <v>1085</v>
      </c>
      <c r="J806" s="94" t="s">
        <v>1085</v>
      </c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>
      <c r="A807" s="89"/>
      <c r="B807" s="91" t="s">
        <v>1085</v>
      </c>
      <c r="C807" s="91" t="s">
        <v>1071</v>
      </c>
      <c r="D807" s="91" t="s">
        <v>1066</v>
      </c>
      <c r="E807" s="91" t="s">
        <v>1072</v>
      </c>
      <c r="F807" s="92">
        <v>12.79</v>
      </c>
      <c r="G807" s="93" t="s">
        <v>30</v>
      </c>
      <c r="H807" s="93" t="s">
        <v>30</v>
      </c>
      <c r="I807" s="94" t="s">
        <v>1085</v>
      </c>
      <c r="J807" s="94" t="s">
        <v>1085</v>
      </c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>
      <c r="A808" s="89"/>
      <c r="B808" s="91" t="s">
        <v>1085</v>
      </c>
      <c r="C808" s="91" t="s">
        <v>1074</v>
      </c>
      <c r="D808" s="91" t="s">
        <v>1066</v>
      </c>
      <c r="E808" s="91" t="s">
        <v>1072</v>
      </c>
      <c r="F808" s="92">
        <v>0.02</v>
      </c>
      <c r="G808" s="93" t="s">
        <v>30</v>
      </c>
      <c r="H808" s="93" t="s">
        <v>30</v>
      </c>
      <c r="I808" s="94" t="s">
        <v>1085</v>
      </c>
      <c r="J808" s="94" t="s">
        <v>1085</v>
      </c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>
      <c r="A809" s="89"/>
      <c r="B809" s="91" t="s">
        <v>1085</v>
      </c>
      <c r="C809" s="91" t="s">
        <v>1074</v>
      </c>
      <c r="D809" s="91" t="s">
        <v>1066</v>
      </c>
      <c r="E809" s="91" t="s">
        <v>1067</v>
      </c>
      <c r="F809" s="92">
        <v>63.63</v>
      </c>
      <c r="G809" s="93">
        <v>1.0</v>
      </c>
      <c r="H809" s="93">
        <v>63.63</v>
      </c>
      <c r="I809" s="94" t="s">
        <v>1085</v>
      </c>
      <c r="J809" s="94" t="s">
        <v>1085</v>
      </c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>
      <c r="A810" s="89"/>
      <c r="B810" s="91" t="s">
        <v>1085</v>
      </c>
      <c r="C810" s="91" t="s">
        <v>1071</v>
      </c>
      <c r="D810" s="91" t="s">
        <v>1066</v>
      </c>
      <c r="E810" s="91" t="s">
        <v>1067</v>
      </c>
      <c r="F810" s="92">
        <v>110.18</v>
      </c>
      <c r="G810" s="93" t="s">
        <v>30</v>
      </c>
      <c r="H810" s="93" t="s">
        <v>30</v>
      </c>
      <c r="I810" s="94" t="s">
        <v>1085</v>
      </c>
      <c r="J810" s="94" t="s">
        <v>1085</v>
      </c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>
      <c r="A811" s="89"/>
      <c r="B811" s="91" t="s">
        <v>1085</v>
      </c>
      <c r="C811" s="91" t="s">
        <v>1075</v>
      </c>
      <c r="D811" s="91" t="s">
        <v>1066</v>
      </c>
      <c r="E811" s="91" t="s">
        <v>1067</v>
      </c>
      <c r="F811" s="92">
        <v>0.01</v>
      </c>
      <c r="G811" s="93" t="s">
        <v>30</v>
      </c>
      <c r="H811" s="93" t="s">
        <v>30</v>
      </c>
      <c r="I811" s="94" t="s">
        <v>1085</v>
      </c>
      <c r="J811" s="94" t="s">
        <v>1085</v>
      </c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>
      <c r="A812" s="89"/>
      <c r="B812" s="91" t="s">
        <v>1085</v>
      </c>
      <c r="C812" s="91" t="s">
        <v>1074</v>
      </c>
      <c r="D812" s="91" t="s">
        <v>1068</v>
      </c>
      <c r="E812" s="91" t="s">
        <v>1070</v>
      </c>
      <c r="F812" s="92">
        <v>0.29</v>
      </c>
      <c r="G812" s="93" t="s">
        <v>30</v>
      </c>
      <c r="H812" s="93" t="s">
        <v>30</v>
      </c>
      <c r="I812" s="94" t="s">
        <v>1085</v>
      </c>
      <c r="J812" s="94" t="s">
        <v>1085</v>
      </c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>
      <c r="A813" s="89"/>
      <c r="B813" s="91" t="s">
        <v>1085</v>
      </c>
      <c r="C813" s="91" t="s">
        <v>1071</v>
      </c>
      <c r="D813" s="91" t="s">
        <v>1068</v>
      </c>
      <c r="E813" s="91" t="s">
        <v>1069</v>
      </c>
      <c r="F813" s="92">
        <v>0.0</v>
      </c>
      <c r="G813" s="93" t="s">
        <v>30</v>
      </c>
      <c r="H813" s="93" t="s">
        <v>30</v>
      </c>
      <c r="I813" s="94" t="s">
        <v>1085</v>
      </c>
      <c r="J813" s="94" t="s">
        <v>1085</v>
      </c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>
      <c r="A814" s="89"/>
      <c r="B814" s="91" t="s">
        <v>1085</v>
      </c>
      <c r="C814" s="91" t="s">
        <v>1073</v>
      </c>
      <c r="D814" s="91" t="s">
        <v>1068</v>
      </c>
      <c r="E814" s="91" t="s">
        <v>1083</v>
      </c>
      <c r="F814" s="92">
        <v>0.05</v>
      </c>
      <c r="G814" s="93" t="s">
        <v>30</v>
      </c>
      <c r="H814" s="93" t="s">
        <v>30</v>
      </c>
      <c r="I814" s="94" t="s">
        <v>1085</v>
      </c>
      <c r="J814" s="94" t="s">
        <v>1085</v>
      </c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>
      <c r="A815" s="89"/>
      <c r="B815" s="91" t="s">
        <v>1085</v>
      </c>
      <c r="C815" s="91" t="s">
        <v>1075</v>
      </c>
      <c r="D815" s="91" t="s">
        <v>1068</v>
      </c>
      <c r="E815" s="91" t="s">
        <v>1083</v>
      </c>
      <c r="F815" s="92">
        <v>0.07</v>
      </c>
      <c r="G815" s="93" t="s">
        <v>30</v>
      </c>
      <c r="H815" s="93" t="s">
        <v>30</v>
      </c>
      <c r="I815" s="94" t="s">
        <v>1085</v>
      </c>
      <c r="J815" s="94" t="s">
        <v>1085</v>
      </c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>
      <c r="A816" s="89"/>
      <c r="B816" s="91" t="s">
        <v>1085</v>
      </c>
      <c r="C816" s="91" t="s">
        <v>1071</v>
      </c>
      <c r="D816" s="91" t="s">
        <v>1068</v>
      </c>
      <c r="E816" s="91" t="s">
        <v>1083</v>
      </c>
      <c r="F816" s="92">
        <v>263.06</v>
      </c>
      <c r="G816" s="93">
        <v>1.0</v>
      </c>
      <c r="H816" s="93">
        <v>263.06</v>
      </c>
      <c r="I816" s="94" t="s">
        <v>1085</v>
      </c>
      <c r="J816" s="94" t="s">
        <v>1085</v>
      </c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>
      <c r="A817" s="89"/>
      <c r="B817" s="91" t="s">
        <v>1085</v>
      </c>
      <c r="C817" s="91" t="s">
        <v>1074</v>
      </c>
      <c r="D817" s="91" t="s">
        <v>1068</v>
      </c>
      <c r="E817" s="91" t="s">
        <v>1083</v>
      </c>
      <c r="F817" s="92">
        <v>139.76</v>
      </c>
      <c r="G817" s="93">
        <v>1.0</v>
      </c>
      <c r="H817" s="93">
        <v>139.76</v>
      </c>
      <c r="I817" s="94" t="s">
        <v>1085</v>
      </c>
      <c r="J817" s="94" t="s">
        <v>1085</v>
      </c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>
      <c r="A818" s="89"/>
      <c r="B818" s="91" t="s">
        <v>1085</v>
      </c>
      <c r="C818" s="91" t="s">
        <v>1077</v>
      </c>
      <c r="D818" s="91" t="s">
        <v>1066</v>
      </c>
      <c r="E818" s="91" t="s">
        <v>1072</v>
      </c>
      <c r="F818" s="92">
        <v>0.04</v>
      </c>
      <c r="G818" s="93" t="s">
        <v>30</v>
      </c>
      <c r="H818" s="93" t="s">
        <v>30</v>
      </c>
      <c r="I818" s="94" t="s">
        <v>1085</v>
      </c>
      <c r="J818" s="94" t="s">
        <v>1085</v>
      </c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>
      <c r="A819" s="89"/>
      <c r="B819" s="91" t="s">
        <v>1085</v>
      </c>
      <c r="C819" s="91" t="s">
        <v>1076</v>
      </c>
      <c r="D819" s="91" t="s">
        <v>1066</v>
      </c>
      <c r="E819" s="91" t="s">
        <v>1067</v>
      </c>
      <c r="F819" s="92">
        <v>0.27</v>
      </c>
      <c r="G819" s="93" t="s">
        <v>30</v>
      </c>
      <c r="H819" s="93" t="s">
        <v>30</v>
      </c>
      <c r="I819" s="94" t="s">
        <v>1085</v>
      </c>
      <c r="J819" s="94" t="s">
        <v>1085</v>
      </c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>
      <c r="A820" s="89"/>
      <c r="B820" s="91" t="s">
        <v>1085</v>
      </c>
      <c r="C820" s="91" t="s">
        <v>1076</v>
      </c>
      <c r="D820" s="91" t="s">
        <v>1068</v>
      </c>
      <c r="E820" s="91" t="s">
        <v>1083</v>
      </c>
      <c r="F820" s="92">
        <v>26.32</v>
      </c>
      <c r="G820" s="93" t="s">
        <v>30</v>
      </c>
      <c r="H820" s="93" t="s">
        <v>30</v>
      </c>
      <c r="I820" s="94" t="s">
        <v>1085</v>
      </c>
      <c r="J820" s="94" t="s">
        <v>1085</v>
      </c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>
      <c r="A821" s="89"/>
      <c r="B821" s="91" t="s">
        <v>1085</v>
      </c>
      <c r="C821" s="91" t="s">
        <v>1077</v>
      </c>
      <c r="D821" s="91" t="s">
        <v>1068</v>
      </c>
      <c r="E821" s="91" t="s">
        <v>1083</v>
      </c>
      <c r="F821" s="92">
        <v>0.53</v>
      </c>
      <c r="G821" s="93" t="s">
        <v>30</v>
      </c>
      <c r="H821" s="93" t="s">
        <v>30</v>
      </c>
      <c r="I821" s="94" t="s">
        <v>1085</v>
      </c>
      <c r="J821" s="94" t="s">
        <v>1085</v>
      </c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>
      <c r="A822" s="89"/>
      <c r="B822" s="91" t="s">
        <v>1086</v>
      </c>
      <c r="C822" s="91" t="s">
        <v>1059</v>
      </c>
      <c r="D822" s="91" t="s">
        <v>1060</v>
      </c>
      <c r="E822" s="91" t="s">
        <v>1061</v>
      </c>
      <c r="F822" s="92">
        <v>51.09</v>
      </c>
      <c r="G822" s="93" t="s">
        <v>30</v>
      </c>
      <c r="H822" s="93" t="s">
        <v>30</v>
      </c>
      <c r="I822" s="94" t="s">
        <v>1086</v>
      </c>
      <c r="J822" s="94" t="s">
        <v>1086</v>
      </c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>
      <c r="A823" s="89"/>
      <c r="B823" s="91" t="s">
        <v>1086</v>
      </c>
      <c r="C823" s="91" t="s">
        <v>1062</v>
      </c>
      <c r="D823" s="91" t="s">
        <v>1060</v>
      </c>
      <c r="E823" s="91" t="s">
        <v>1061</v>
      </c>
      <c r="F823" s="92">
        <v>0.13</v>
      </c>
      <c r="G823" s="93" t="s">
        <v>30</v>
      </c>
      <c r="H823" s="93" t="s">
        <v>30</v>
      </c>
      <c r="I823" s="94" t="s">
        <v>1086</v>
      </c>
      <c r="J823" s="94" t="s">
        <v>1086</v>
      </c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>
      <c r="A824" s="89"/>
      <c r="B824" s="91" t="s">
        <v>1086</v>
      </c>
      <c r="C824" s="91" t="s">
        <v>1059</v>
      </c>
      <c r="D824" s="91" t="s">
        <v>1060</v>
      </c>
      <c r="E824" s="91" t="s">
        <v>1063</v>
      </c>
      <c r="F824" s="92">
        <v>0.0</v>
      </c>
      <c r="G824" s="93" t="s">
        <v>30</v>
      </c>
      <c r="H824" s="93" t="s">
        <v>30</v>
      </c>
      <c r="I824" s="94" t="s">
        <v>1086</v>
      </c>
      <c r="J824" s="94" t="s">
        <v>1086</v>
      </c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>
      <c r="A825" s="89"/>
      <c r="B825" s="91" t="s">
        <v>1086</v>
      </c>
      <c r="C825" s="91" t="s">
        <v>1062</v>
      </c>
      <c r="D825" s="91" t="s">
        <v>1060</v>
      </c>
      <c r="E825" s="91" t="s">
        <v>1064</v>
      </c>
      <c r="F825" s="92">
        <v>24.33</v>
      </c>
      <c r="G825" s="93" t="s">
        <v>30</v>
      </c>
      <c r="H825" s="93" t="s">
        <v>30</v>
      </c>
      <c r="I825" s="94" t="s">
        <v>1086</v>
      </c>
      <c r="J825" s="94" t="s">
        <v>1086</v>
      </c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>
      <c r="A826" s="89"/>
      <c r="B826" s="91" t="s">
        <v>1086</v>
      </c>
      <c r="C826" s="91" t="s">
        <v>1059</v>
      </c>
      <c r="D826" s="91" t="s">
        <v>1060</v>
      </c>
      <c r="E826" s="91" t="s">
        <v>1064</v>
      </c>
      <c r="F826" s="92">
        <v>194.68</v>
      </c>
      <c r="G826" s="93" t="s">
        <v>30</v>
      </c>
      <c r="H826" s="93" t="s">
        <v>30</v>
      </c>
      <c r="I826" s="94" t="s">
        <v>1086</v>
      </c>
      <c r="J826" s="94" t="s">
        <v>1086</v>
      </c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>
      <c r="A827" s="89"/>
      <c r="B827" s="91" t="s">
        <v>1086</v>
      </c>
      <c r="C827" s="91" t="s">
        <v>1065</v>
      </c>
      <c r="D827" s="91" t="s">
        <v>1068</v>
      </c>
      <c r="E827" s="91" t="s">
        <v>1083</v>
      </c>
      <c r="F827" s="92">
        <v>161.05</v>
      </c>
      <c r="G827" s="93">
        <v>1.0</v>
      </c>
      <c r="H827" s="93">
        <v>161.05</v>
      </c>
      <c r="I827" s="94" t="s">
        <v>1086</v>
      </c>
      <c r="J827" s="94" t="s">
        <v>1086</v>
      </c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>
      <c r="A828" s="89"/>
      <c r="B828" s="91" t="s">
        <v>1086</v>
      </c>
      <c r="C828" s="91" t="s">
        <v>1065</v>
      </c>
      <c r="D828" s="91" t="s">
        <v>1066</v>
      </c>
      <c r="E828" s="91" t="s">
        <v>1067</v>
      </c>
      <c r="F828" s="92">
        <v>73.43</v>
      </c>
      <c r="G828" s="93" t="s">
        <v>30</v>
      </c>
      <c r="H828" s="93" t="s">
        <v>30</v>
      </c>
      <c r="I828" s="94" t="s">
        <v>1086</v>
      </c>
      <c r="J828" s="94" t="s">
        <v>1086</v>
      </c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>
      <c r="A829" s="89"/>
      <c r="B829" s="91" t="s">
        <v>1086</v>
      </c>
      <c r="C829" s="91" t="s">
        <v>1065</v>
      </c>
      <c r="D829" s="91" t="s">
        <v>1068</v>
      </c>
      <c r="E829" s="91" t="s">
        <v>1069</v>
      </c>
      <c r="F829" s="92">
        <v>0.24</v>
      </c>
      <c r="G829" s="93" t="s">
        <v>30</v>
      </c>
      <c r="H829" s="93" t="s">
        <v>30</v>
      </c>
      <c r="I829" s="94" t="s">
        <v>1086</v>
      </c>
      <c r="J829" s="94" t="s">
        <v>1086</v>
      </c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>
      <c r="A830" s="89"/>
      <c r="B830" s="91" t="s">
        <v>1086</v>
      </c>
      <c r="C830" s="91" t="s">
        <v>1065</v>
      </c>
      <c r="D830" s="91" t="s">
        <v>1068</v>
      </c>
      <c r="E830" s="91" t="s">
        <v>1070</v>
      </c>
      <c r="F830" s="92">
        <v>0.35</v>
      </c>
      <c r="G830" s="93" t="s">
        <v>30</v>
      </c>
      <c r="H830" s="93" t="s">
        <v>30</v>
      </c>
      <c r="I830" s="94" t="s">
        <v>1086</v>
      </c>
      <c r="J830" s="94" t="s">
        <v>1086</v>
      </c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>
      <c r="A831" s="89"/>
      <c r="B831" s="91" t="s">
        <v>1086</v>
      </c>
      <c r="C831" s="91" t="s">
        <v>1065</v>
      </c>
      <c r="D831" s="91" t="s">
        <v>1066</v>
      </c>
      <c r="E831" s="91" t="s">
        <v>1072</v>
      </c>
      <c r="F831" s="92">
        <v>0.18</v>
      </c>
      <c r="G831" s="93" t="s">
        <v>30</v>
      </c>
      <c r="H831" s="93" t="s">
        <v>30</v>
      </c>
      <c r="I831" s="94" t="s">
        <v>1086</v>
      </c>
      <c r="J831" s="94" t="s">
        <v>1086</v>
      </c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>
      <c r="A832" s="89"/>
      <c r="B832" s="91" t="s">
        <v>1086</v>
      </c>
      <c r="C832" s="91" t="s">
        <v>1071</v>
      </c>
      <c r="D832" s="91" t="s">
        <v>1066</v>
      </c>
      <c r="E832" s="91" t="s">
        <v>1072</v>
      </c>
      <c r="F832" s="92">
        <v>7.93</v>
      </c>
      <c r="G832" s="93" t="s">
        <v>30</v>
      </c>
      <c r="H832" s="93" t="s">
        <v>30</v>
      </c>
      <c r="I832" s="94" t="s">
        <v>1086</v>
      </c>
      <c r="J832" s="94" t="s">
        <v>1086</v>
      </c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>
      <c r="A833" s="89"/>
      <c r="B833" s="91" t="s">
        <v>1086</v>
      </c>
      <c r="C833" s="91" t="s">
        <v>1074</v>
      </c>
      <c r="D833" s="91" t="s">
        <v>1066</v>
      </c>
      <c r="E833" s="91" t="s">
        <v>1072</v>
      </c>
      <c r="F833" s="92">
        <v>0.52</v>
      </c>
      <c r="G833" s="93" t="s">
        <v>30</v>
      </c>
      <c r="H833" s="93" t="s">
        <v>30</v>
      </c>
      <c r="I833" s="94" t="s">
        <v>1086</v>
      </c>
      <c r="J833" s="94" t="s">
        <v>1086</v>
      </c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>
      <c r="A834" s="89"/>
      <c r="B834" s="91" t="s">
        <v>1086</v>
      </c>
      <c r="C834" s="91" t="s">
        <v>1075</v>
      </c>
      <c r="D834" s="91" t="s">
        <v>1066</v>
      </c>
      <c r="E834" s="91" t="s">
        <v>1072</v>
      </c>
      <c r="F834" s="92">
        <v>0.0</v>
      </c>
      <c r="G834" s="93" t="s">
        <v>30</v>
      </c>
      <c r="H834" s="93" t="s">
        <v>30</v>
      </c>
      <c r="I834" s="94" t="s">
        <v>1086</v>
      </c>
      <c r="J834" s="94" t="s">
        <v>1086</v>
      </c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>
      <c r="A835" s="89"/>
      <c r="B835" s="91" t="s">
        <v>1086</v>
      </c>
      <c r="C835" s="91" t="s">
        <v>1073</v>
      </c>
      <c r="D835" s="91" t="s">
        <v>1066</v>
      </c>
      <c r="E835" s="91" t="s">
        <v>1067</v>
      </c>
      <c r="F835" s="92">
        <v>0.24</v>
      </c>
      <c r="G835" s="93" t="s">
        <v>30</v>
      </c>
      <c r="H835" s="93" t="s">
        <v>30</v>
      </c>
      <c r="I835" s="94" t="s">
        <v>1086</v>
      </c>
      <c r="J835" s="94" t="s">
        <v>1086</v>
      </c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>
      <c r="A836" s="89"/>
      <c r="B836" s="91" t="s">
        <v>1086</v>
      </c>
      <c r="C836" s="91" t="s">
        <v>1074</v>
      </c>
      <c r="D836" s="91" t="s">
        <v>1066</v>
      </c>
      <c r="E836" s="91" t="s">
        <v>1067</v>
      </c>
      <c r="F836" s="92">
        <v>78.03</v>
      </c>
      <c r="G836" s="93">
        <v>1.0</v>
      </c>
      <c r="H836" s="93">
        <v>78.03</v>
      </c>
      <c r="I836" s="94" t="s">
        <v>1086</v>
      </c>
      <c r="J836" s="94" t="s">
        <v>1086</v>
      </c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>
      <c r="A837" s="89"/>
      <c r="B837" s="91" t="s">
        <v>1086</v>
      </c>
      <c r="C837" s="91" t="s">
        <v>1071</v>
      </c>
      <c r="D837" s="91" t="s">
        <v>1066</v>
      </c>
      <c r="E837" s="91" t="s">
        <v>1067</v>
      </c>
      <c r="F837" s="92">
        <v>30.5</v>
      </c>
      <c r="G837" s="93" t="s">
        <v>30</v>
      </c>
      <c r="H837" s="93" t="s">
        <v>30</v>
      </c>
      <c r="I837" s="94" t="s">
        <v>1086</v>
      </c>
      <c r="J837" s="94" t="s">
        <v>1086</v>
      </c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>
      <c r="A838" s="89"/>
      <c r="B838" s="91" t="s">
        <v>1086</v>
      </c>
      <c r="C838" s="91" t="s">
        <v>1074</v>
      </c>
      <c r="D838" s="91" t="s">
        <v>1068</v>
      </c>
      <c r="E838" s="91" t="s">
        <v>1070</v>
      </c>
      <c r="F838" s="92">
        <v>0.1</v>
      </c>
      <c r="G838" s="93" t="s">
        <v>30</v>
      </c>
      <c r="H838" s="93" t="s">
        <v>30</v>
      </c>
      <c r="I838" s="94" t="s">
        <v>1086</v>
      </c>
      <c r="J838" s="94" t="s">
        <v>1086</v>
      </c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>
      <c r="A839" s="89"/>
      <c r="B839" s="91" t="s">
        <v>1086</v>
      </c>
      <c r="C839" s="91" t="s">
        <v>1071</v>
      </c>
      <c r="D839" s="91" t="s">
        <v>1068</v>
      </c>
      <c r="E839" s="91" t="s">
        <v>1070</v>
      </c>
      <c r="F839" s="92">
        <v>0.06</v>
      </c>
      <c r="G839" s="93" t="s">
        <v>30</v>
      </c>
      <c r="H839" s="93" t="s">
        <v>30</v>
      </c>
      <c r="I839" s="94" t="s">
        <v>1086</v>
      </c>
      <c r="J839" s="94" t="s">
        <v>1086</v>
      </c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>
      <c r="A840" s="89"/>
      <c r="B840" s="91" t="s">
        <v>1086</v>
      </c>
      <c r="C840" s="91" t="s">
        <v>1073</v>
      </c>
      <c r="D840" s="91" t="s">
        <v>1068</v>
      </c>
      <c r="E840" s="91" t="s">
        <v>1070</v>
      </c>
      <c r="F840" s="92">
        <v>0.01</v>
      </c>
      <c r="G840" s="93" t="s">
        <v>30</v>
      </c>
      <c r="H840" s="93" t="s">
        <v>30</v>
      </c>
      <c r="I840" s="94" t="s">
        <v>1086</v>
      </c>
      <c r="J840" s="94" t="s">
        <v>1086</v>
      </c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>
      <c r="A841" s="89"/>
      <c r="B841" s="91" t="s">
        <v>1086</v>
      </c>
      <c r="C841" s="91" t="s">
        <v>1074</v>
      </c>
      <c r="D841" s="91" t="s">
        <v>1068</v>
      </c>
      <c r="E841" s="91" t="s">
        <v>1069</v>
      </c>
      <c r="F841" s="92">
        <v>0.11</v>
      </c>
      <c r="G841" s="93" t="s">
        <v>30</v>
      </c>
      <c r="H841" s="93" t="s">
        <v>30</v>
      </c>
      <c r="I841" s="94" t="s">
        <v>1086</v>
      </c>
      <c r="J841" s="94" t="s">
        <v>1086</v>
      </c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>
      <c r="A842" s="89"/>
      <c r="B842" s="91" t="s">
        <v>1086</v>
      </c>
      <c r="C842" s="91" t="s">
        <v>1073</v>
      </c>
      <c r="D842" s="91" t="s">
        <v>1068</v>
      </c>
      <c r="E842" s="91" t="s">
        <v>1069</v>
      </c>
      <c r="F842" s="92">
        <v>0.01</v>
      </c>
      <c r="G842" s="93" t="s">
        <v>30</v>
      </c>
      <c r="H842" s="93" t="s">
        <v>30</v>
      </c>
      <c r="I842" s="94" t="s">
        <v>1086</v>
      </c>
      <c r="J842" s="94" t="s">
        <v>1086</v>
      </c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>
      <c r="A843" s="89"/>
      <c r="B843" s="91" t="s">
        <v>1086</v>
      </c>
      <c r="C843" s="91" t="s">
        <v>1073</v>
      </c>
      <c r="D843" s="91" t="s">
        <v>1068</v>
      </c>
      <c r="E843" s="91" t="s">
        <v>1083</v>
      </c>
      <c r="F843" s="92">
        <v>0.03</v>
      </c>
      <c r="G843" s="93" t="s">
        <v>30</v>
      </c>
      <c r="H843" s="93" t="s">
        <v>30</v>
      </c>
      <c r="I843" s="94" t="s">
        <v>1086</v>
      </c>
      <c r="J843" s="94" t="s">
        <v>1086</v>
      </c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>
      <c r="A844" s="89"/>
      <c r="B844" s="91" t="s">
        <v>1086</v>
      </c>
      <c r="C844" s="91" t="s">
        <v>1071</v>
      </c>
      <c r="D844" s="91" t="s">
        <v>1068</v>
      </c>
      <c r="E844" s="91" t="s">
        <v>1083</v>
      </c>
      <c r="F844" s="92">
        <v>167.31</v>
      </c>
      <c r="G844" s="93" t="s">
        <v>30</v>
      </c>
      <c r="H844" s="93" t="s">
        <v>30</v>
      </c>
      <c r="I844" s="94" t="s">
        <v>1086</v>
      </c>
      <c r="J844" s="94" t="s">
        <v>1086</v>
      </c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>
      <c r="A845" s="89"/>
      <c r="B845" s="91" t="s">
        <v>1086</v>
      </c>
      <c r="C845" s="91" t="s">
        <v>1074</v>
      </c>
      <c r="D845" s="91" t="s">
        <v>1068</v>
      </c>
      <c r="E845" s="91" t="s">
        <v>1083</v>
      </c>
      <c r="F845" s="92">
        <v>171.09</v>
      </c>
      <c r="G845" s="93">
        <v>3.0</v>
      </c>
      <c r="H845" s="93">
        <v>57.03</v>
      </c>
      <c r="I845" s="94" t="s">
        <v>1086</v>
      </c>
      <c r="J845" s="94" t="s">
        <v>1086</v>
      </c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>
      <c r="A846" s="89"/>
      <c r="B846" s="91" t="s">
        <v>1086</v>
      </c>
      <c r="C846" s="91" t="s">
        <v>1077</v>
      </c>
      <c r="D846" s="91" t="s">
        <v>1066</v>
      </c>
      <c r="E846" s="91" t="s">
        <v>1072</v>
      </c>
      <c r="F846" s="92">
        <v>0.0</v>
      </c>
      <c r="G846" s="93" t="s">
        <v>30</v>
      </c>
      <c r="H846" s="93" t="s">
        <v>30</v>
      </c>
      <c r="I846" s="94" t="s">
        <v>1086</v>
      </c>
      <c r="J846" s="94" t="s">
        <v>1086</v>
      </c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>
      <c r="A847" s="89"/>
      <c r="B847" s="91" t="s">
        <v>1086</v>
      </c>
      <c r="C847" s="91" t="s">
        <v>1077</v>
      </c>
      <c r="D847" s="91" t="s">
        <v>1066</v>
      </c>
      <c r="E847" s="91" t="s">
        <v>1067</v>
      </c>
      <c r="F847" s="92">
        <v>0.13</v>
      </c>
      <c r="G847" s="93" t="s">
        <v>30</v>
      </c>
      <c r="H847" s="93" t="s">
        <v>30</v>
      </c>
      <c r="I847" s="94" t="s">
        <v>1086</v>
      </c>
      <c r="J847" s="94" t="s">
        <v>1086</v>
      </c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>
      <c r="A848" s="89"/>
      <c r="B848" s="91" t="s">
        <v>1086</v>
      </c>
      <c r="C848" s="91" t="s">
        <v>1076</v>
      </c>
      <c r="D848" s="91" t="s">
        <v>1068</v>
      </c>
      <c r="E848" s="91" t="s">
        <v>1070</v>
      </c>
      <c r="F848" s="92">
        <v>0.0</v>
      </c>
      <c r="G848" s="93" t="s">
        <v>30</v>
      </c>
      <c r="H848" s="93" t="s">
        <v>30</v>
      </c>
      <c r="I848" s="94" t="s">
        <v>1086</v>
      </c>
      <c r="J848" s="94" t="s">
        <v>1086</v>
      </c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>
      <c r="A849" s="89"/>
      <c r="B849" s="91" t="s">
        <v>1086</v>
      </c>
      <c r="C849" s="91" t="s">
        <v>1076</v>
      </c>
      <c r="D849" s="91" t="s">
        <v>1068</v>
      </c>
      <c r="E849" s="91" t="s">
        <v>1069</v>
      </c>
      <c r="F849" s="92">
        <v>0.0</v>
      </c>
      <c r="G849" s="93" t="s">
        <v>30</v>
      </c>
      <c r="H849" s="93" t="s">
        <v>30</v>
      </c>
      <c r="I849" s="94" t="s">
        <v>1086</v>
      </c>
      <c r="J849" s="94" t="s">
        <v>1086</v>
      </c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>
      <c r="A850" s="89"/>
      <c r="B850" s="91" t="s">
        <v>1086</v>
      </c>
      <c r="C850" s="91" t="s">
        <v>1076</v>
      </c>
      <c r="D850" s="91" t="s">
        <v>1068</v>
      </c>
      <c r="E850" s="91" t="s">
        <v>1083</v>
      </c>
      <c r="F850" s="92">
        <v>52.71</v>
      </c>
      <c r="G850" s="93" t="s">
        <v>30</v>
      </c>
      <c r="H850" s="93" t="s">
        <v>30</v>
      </c>
      <c r="I850" s="94" t="s">
        <v>1086</v>
      </c>
      <c r="J850" s="94" t="s">
        <v>1086</v>
      </c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>
      <c r="A851" s="89"/>
      <c r="B851" s="91" t="s">
        <v>1087</v>
      </c>
      <c r="C851" s="91" t="s">
        <v>1059</v>
      </c>
      <c r="D851" s="91" t="s">
        <v>1060</v>
      </c>
      <c r="E851" s="91" t="s">
        <v>1061</v>
      </c>
      <c r="F851" s="92">
        <v>32.6</v>
      </c>
      <c r="G851" s="93" t="s">
        <v>30</v>
      </c>
      <c r="H851" s="93" t="s">
        <v>30</v>
      </c>
      <c r="I851" s="94" t="s">
        <v>1087</v>
      </c>
      <c r="J851" s="94" t="s">
        <v>1087</v>
      </c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>
      <c r="A852" s="89"/>
      <c r="B852" s="91" t="s">
        <v>1087</v>
      </c>
      <c r="C852" s="91" t="s">
        <v>1062</v>
      </c>
      <c r="D852" s="91" t="s">
        <v>1060</v>
      </c>
      <c r="E852" s="91" t="s">
        <v>1061</v>
      </c>
      <c r="F852" s="92">
        <v>0.3</v>
      </c>
      <c r="G852" s="93" t="s">
        <v>30</v>
      </c>
      <c r="H852" s="93" t="s">
        <v>30</v>
      </c>
      <c r="I852" s="94" t="s">
        <v>1087</v>
      </c>
      <c r="J852" s="94" t="s">
        <v>1087</v>
      </c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>
      <c r="A853" s="89"/>
      <c r="B853" s="91" t="s">
        <v>1087</v>
      </c>
      <c r="C853" s="91" t="s">
        <v>1062</v>
      </c>
      <c r="D853" s="91" t="s">
        <v>1060</v>
      </c>
      <c r="E853" s="91" t="s">
        <v>1064</v>
      </c>
      <c r="F853" s="92">
        <v>33.45</v>
      </c>
      <c r="G853" s="93" t="s">
        <v>30</v>
      </c>
      <c r="H853" s="93" t="s">
        <v>30</v>
      </c>
      <c r="I853" s="94" t="s">
        <v>1087</v>
      </c>
      <c r="J853" s="94" t="s">
        <v>1087</v>
      </c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>
      <c r="A854" s="89"/>
      <c r="B854" s="91" t="s">
        <v>1087</v>
      </c>
      <c r="C854" s="91" t="s">
        <v>1059</v>
      </c>
      <c r="D854" s="91" t="s">
        <v>1060</v>
      </c>
      <c r="E854" s="91" t="s">
        <v>1064</v>
      </c>
      <c r="F854" s="92">
        <v>221.39</v>
      </c>
      <c r="G854" s="93" t="s">
        <v>30</v>
      </c>
      <c r="H854" s="93" t="s">
        <v>30</v>
      </c>
      <c r="I854" s="94" t="s">
        <v>1087</v>
      </c>
      <c r="J854" s="94" t="s">
        <v>1087</v>
      </c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>
      <c r="A855" s="89"/>
      <c r="B855" s="91" t="s">
        <v>1087</v>
      </c>
      <c r="C855" s="91" t="s">
        <v>1065</v>
      </c>
      <c r="D855" s="91" t="s">
        <v>1068</v>
      </c>
      <c r="E855" s="91" t="s">
        <v>1083</v>
      </c>
      <c r="F855" s="92">
        <v>175.76</v>
      </c>
      <c r="G855" s="93" t="s">
        <v>30</v>
      </c>
      <c r="H855" s="93" t="s">
        <v>30</v>
      </c>
      <c r="I855" s="94" t="s">
        <v>1087</v>
      </c>
      <c r="J855" s="94" t="s">
        <v>1087</v>
      </c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>
      <c r="A856" s="89"/>
      <c r="B856" s="91" t="s">
        <v>1087</v>
      </c>
      <c r="C856" s="91" t="s">
        <v>1065</v>
      </c>
      <c r="D856" s="91" t="s">
        <v>1066</v>
      </c>
      <c r="E856" s="91" t="s">
        <v>1067</v>
      </c>
      <c r="F856" s="92">
        <v>36.05</v>
      </c>
      <c r="G856" s="93" t="s">
        <v>30</v>
      </c>
      <c r="H856" s="93" t="s">
        <v>30</v>
      </c>
      <c r="I856" s="94" t="s">
        <v>1087</v>
      </c>
      <c r="J856" s="94" t="s">
        <v>1087</v>
      </c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>
      <c r="A857" s="89"/>
      <c r="B857" s="91" t="s">
        <v>1087</v>
      </c>
      <c r="C857" s="91" t="s">
        <v>1065</v>
      </c>
      <c r="D857" s="91" t="s">
        <v>1068</v>
      </c>
      <c r="E857" s="91" t="s">
        <v>1069</v>
      </c>
      <c r="F857" s="92">
        <v>0.33</v>
      </c>
      <c r="G857" s="93" t="s">
        <v>30</v>
      </c>
      <c r="H857" s="93" t="s">
        <v>30</v>
      </c>
      <c r="I857" s="94" t="s">
        <v>1087</v>
      </c>
      <c r="J857" s="94" t="s">
        <v>1087</v>
      </c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>
      <c r="A858" s="89"/>
      <c r="B858" s="91" t="s">
        <v>1087</v>
      </c>
      <c r="C858" s="91" t="s">
        <v>1065</v>
      </c>
      <c r="D858" s="91" t="s">
        <v>1068</v>
      </c>
      <c r="E858" s="91" t="s">
        <v>1070</v>
      </c>
      <c r="F858" s="92">
        <v>0.63</v>
      </c>
      <c r="G858" s="93" t="s">
        <v>30</v>
      </c>
      <c r="H858" s="93" t="s">
        <v>30</v>
      </c>
      <c r="I858" s="94" t="s">
        <v>1087</v>
      </c>
      <c r="J858" s="94" t="s">
        <v>1087</v>
      </c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>
      <c r="A859" s="89"/>
      <c r="B859" s="91" t="s">
        <v>1087</v>
      </c>
      <c r="C859" s="91" t="s">
        <v>1065</v>
      </c>
      <c r="D859" s="91" t="s">
        <v>1066</v>
      </c>
      <c r="E859" s="91" t="s">
        <v>1072</v>
      </c>
      <c r="F859" s="92">
        <v>0.53</v>
      </c>
      <c r="G859" s="93" t="s">
        <v>30</v>
      </c>
      <c r="H859" s="93" t="s">
        <v>30</v>
      </c>
      <c r="I859" s="94" t="s">
        <v>1087</v>
      </c>
      <c r="J859" s="94" t="s">
        <v>1087</v>
      </c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>
      <c r="A860" s="89"/>
      <c r="B860" s="91" t="s">
        <v>1087</v>
      </c>
      <c r="C860" s="91" t="s">
        <v>1071</v>
      </c>
      <c r="D860" s="91" t="s">
        <v>1066</v>
      </c>
      <c r="E860" s="91" t="s">
        <v>1072</v>
      </c>
      <c r="F860" s="92">
        <v>8.41</v>
      </c>
      <c r="G860" s="93" t="s">
        <v>30</v>
      </c>
      <c r="H860" s="93" t="s">
        <v>30</v>
      </c>
      <c r="I860" s="94" t="s">
        <v>1087</v>
      </c>
      <c r="J860" s="94" t="s">
        <v>1087</v>
      </c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>
      <c r="A861" s="89"/>
      <c r="B861" s="91" t="s">
        <v>1087</v>
      </c>
      <c r="C861" s="91" t="s">
        <v>1073</v>
      </c>
      <c r="D861" s="91" t="s">
        <v>1066</v>
      </c>
      <c r="E861" s="91" t="s">
        <v>1072</v>
      </c>
      <c r="F861" s="92">
        <v>0.01</v>
      </c>
      <c r="G861" s="93" t="s">
        <v>30</v>
      </c>
      <c r="H861" s="93" t="s">
        <v>30</v>
      </c>
      <c r="I861" s="94" t="s">
        <v>1087</v>
      </c>
      <c r="J861" s="94" t="s">
        <v>1087</v>
      </c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>
      <c r="A862" s="89"/>
      <c r="B862" s="91" t="s">
        <v>1087</v>
      </c>
      <c r="C862" s="91" t="s">
        <v>1074</v>
      </c>
      <c r="D862" s="91" t="s">
        <v>1066</v>
      </c>
      <c r="E862" s="91" t="s">
        <v>1067</v>
      </c>
      <c r="F862" s="92">
        <v>36.47</v>
      </c>
      <c r="G862" s="93">
        <v>1.0</v>
      </c>
      <c r="H862" s="93">
        <v>36.47</v>
      </c>
      <c r="I862" s="94" t="s">
        <v>1087</v>
      </c>
      <c r="J862" s="94" t="s">
        <v>1087</v>
      </c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>
      <c r="A863" s="89"/>
      <c r="B863" s="91" t="s">
        <v>1087</v>
      </c>
      <c r="C863" s="91" t="s">
        <v>1071</v>
      </c>
      <c r="D863" s="91" t="s">
        <v>1066</v>
      </c>
      <c r="E863" s="91" t="s">
        <v>1067</v>
      </c>
      <c r="F863" s="92">
        <v>21.73</v>
      </c>
      <c r="G863" s="93" t="s">
        <v>30</v>
      </c>
      <c r="H863" s="93" t="s">
        <v>30</v>
      </c>
      <c r="I863" s="94" t="s">
        <v>1087</v>
      </c>
      <c r="J863" s="94" t="s">
        <v>1087</v>
      </c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>
      <c r="A864" s="89"/>
      <c r="B864" s="91" t="s">
        <v>1087</v>
      </c>
      <c r="C864" s="91" t="s">
        <v>1074</v>
      </c>
      <c r="D864" s="91" t="s">
        <v>1068</v>
      </c>
      <c r="E864" s="91" t="s">
        <v>1070</v>
      </c>
      <c r="F864" s="92">
        <v>0.44</v>
      </c>
      <c r="G864" s="93" t="s">
        <v>30</v>
      </c>
      <c r="H864" s="93" t="s">
        <v>30</v>
      </c>
      <c r="I864" s="94" t="s">
        <v>1087</v>
      </c>
      <c r="J864" s="94" t="s">
        <v>1087</v>
      </c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>
      <c r="A865" s="89"/>
      <c r="B865" s="91" t="s">
        <v>1087</v>
      </c>
      <c r="C865" s="91" t="s">
        <v>1071</v>
      </c>
      <c r="D865" s="91" t="s">
        <v>1068</v>
      </c>
      <c r="E865" s="91" t="s">
        <v>1070</v>
      </c>
      <c r="F865" s="92">
        <v>0.04</v>
      </c>
      <c r="G865" s="93" t="s">
        <v>30</v>
      </c>
      <c r="H865" s="93" t="s">
        <v>30</v>
      </c>
      <c r="I865" s="94" t="s">
        <v>1087</v>
      </c>
      <c r="J865" s="94" t="s">
        <v>1087</v>
      </c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>
      <c r="A866" s="89"/>
      <c r="B866" s="91" t="s">
        <v>1087</v>
      </c>
      <c r="C866" s="91" t="s">
        <v>1071</v>
      </c>
      <c r="D866" s="91" t="s">
        <v>1068</v>
      </c>
      <c r="E866" s="91" t="s">
        <v>1069</v>
      </c>
      <c r="F866" s="92">
        <v>0.0</v>
      </c>
      <c r="G866" s="93" t="s">
        <v>30</v>
      </c>
      <c r="H866" s="93" t="s">
        <v>30</v>
      </c>
      <c r="I866" s="94" t="s">
        <v>1087</v>
      </c>
      <c r="J866" s="94" t="s">
        <v>1087</v>
      </c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>
      <c r="A867" s="89"/>
      <c r="B867" s="91" t="s">
        <v>1087</v>
      </c>
      <c r="C867" s="91" t="s">
        <v>1074</v>
      </c>
      <c r="D867" s="91" t="s">
        <v>1068</v>
      </c>
      <c r="E867" s="91" t="s">
        <v>1069</v>
      </c>
      <c r="F867" s="92">
        <v>0.02</v>
      </c>
      <c r="G867" s="93" t="s">
        <v>30</v>
      </c>
      <c r="H867" s="93" t="s">
        <v>30</v>
      </c>
      <c r="I867" s="94" t="s">
        <v>1087</v>
      </c>
      <c r="J867" s="94" t="s">
        <v>1087</v>
      </c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>
      <c r="A868" s="89"/>
      <c r="B868" s="91" t="s">
        <v>1087</v>
      </c>
      <c r="C868" s="91" t="s">
        <v>1073</v>
      </c>
      <c r="D868" s="91" t="s">
        <v>1068</v>
      </c>
      <c r="E868" s="91" t="s">
        <v>1083</v>
      </c>
      <c r="F868" s="92">
        <v>0.25</v>
      </c>
      <c r="G868" s="93" t="s">
        <v>30</v>
      </c>
      <c r="H868" s="93" t="s">
        <v>30</v>
      </c>
      <c r="I868" s="94" t="s">
        <v>1087</v>
      </c>
      <c r="J868" s="94" t="s">
        <v>1087</v>
      </c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>
      <c r="A869" s="89"/>
      <c r="B869" s="91" t="s">
        <v>1087</v>
      </c>
      <c r="C869" s="91" t="s">
        <v>1075</v>
      </c>
      <c r="D869" s="91" t="s">
        <v>1068</v>
      </c>
      <c r="E869" s="91" t="s">
        <v>1083</v>
      </c>
      <c r="F869" s="92">
        <v>0.02</v>
      </c>
      <c r="G869" s="93" t="s">
        <v>30</v>
      </c>
      <c r="H869" s="93" t="s">
        <v>30</v>
      </c>
      <c r="I869" s="94" t="s">
        <v>1087</v>
      </c>
      <c r="J869" s="94" t="s">
        <v>1087</v>
      </c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>
      <c r="A870" s="89"/>
      <c r="B870" s="91" t="s">
        <v>1087</v>
      </c>
      <c r="C870" s="91" t="s">
        <v>1071</v>
      </c>
      <c r="D870" s="91" t="s">
        <v>1068</v>
      </c>
      <c r="E870" s="91" t="s">
        <v>1083</v>
      </c>
      <c r="F870" s="92">
        <v>174.71</v>
      </c>
      <c r="G870" s="93">
        <v>1.0</v>
      </c>
      <c r="H870" s="93">
        <v>174.71</v>
      </c>
      <c r="I870" s="94" t="s">
        <v>1087</v>
      </c>
      <c r="J870" s="94" t="s">
        <v>1087</v>
      </c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>
      <c r="A871" s="89"/>
      <c r="B871" s="91" t="s">
        <v>1087</v>
      </c>
      <c r="C871" s="91" t="s">
        <v>1074</v>
      </c>
      <c r="D871" s="91" t="s">
        <v>1068</v>
      </c>
      <c r="E871" s="91" t="s">
        <v>1083</v>
      </c>
      <c r="F871" s="92">
        <v>114.55</v>
      </c>
      <c r="G871" s="93">
        <v>2.0</v>
      </c>
      <c r="H871" s="93">
        <v>57.275</v>
      </c>
      <c r="I871" s="94" t="s">
        <v>1087</v>
      </c>
      <c r="J871" s="94" t="s">
        <v>1087</v>
      </c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>
      <c r="A872" s="89"/>
      <c r="B872" s="91" t="s">
        <v>1087</v>
      </c>
      <c r="C872" s="91" t="s">
        <v>1077</v>
      </c>
      <c r="D872" s="91" t="s">
        <v>1066</v>
      </c>
      <c r="E872" s="91" t="s">
        <v>1067</v>
      </c>
      <c r="F872" s="92">
        <v>0.01</v>
      </c>
      <c r="G872" s="93" t="s">
        <v>30</v>
      </c>
      <c r="H872" s="93" t="s">
        <v>30</v>
      </c>
      <c r="I872" s="94" t="s">
        <v>1087</v>
      </c>
      <c r="J872" s="94" t="s">
        <v>1087</v>
      </c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>
      <c r="A873" s="89"/>
      <c r="B873" s="91" t="s">
        <v>1087</v>
      </c>
      <c r="C873" s="91" t="s">
        <v>1076</v>
      </c>
      <c r="D873" s="91" t="s">
        <v>1066</v>
      </c>
      <c r="E873" s="91" t="s">
        <v>1067</v>
      </c>
      <c r="F873" s="92">
        <v>0.01</v>
      </c>
      <c r="G873" s="93" t="s">
        <v>30</v>
      </c>
      <c r="H873" s="93" t="s">
        <v>30</v>
      </c>
      <c r="I873" s="94" t="s">
        <v>1087</v>
      </c>
      <c r="J873" s="94" t="s">
        <v>1087</v>
      </c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>
      <c r="A874" s="89"/>
      <c r="B874" s="91" t="s">
        <v>1087</v>
      </c>
      <c r="C874" s="91" t="s">
        <v>1076</v>
      </c>
      <c r="D874" s="91" t="s">
        <v>1068</v>
      </c>
      <c r="E874" s="91" t="s">
        <v>1083</v>
      </c>
      <c r="F874" s="92">
        <v>60.39</v>
      </c>
      <c r="G874" s="93" t="s">
        <v>30</v>
      </c>
      <c r="H874" s="93" t="s">
        <v>30</v>
      </c>
      <c r="I874" s="94" t="s">
        <v>1087</v>
      </c>
      <c r="J874" s="94" t="s">
        <v>1087</v>
      </c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>
      <c r="A875" s="89"/>
      <c r="B875" s="91" t="s">
        <v>1087</v>
      </c>
      <c r="C875" s="91" t="s">
        <v>1077</v>
      </c>
      <c r="D875" s="91" t="s">
        <v>1068</v>
      </c>
      <c r="E875" s="91" t="s">
        <v>1083</v>
      </c>
      <c r="F875" s="92">
        <v>0.08</v>
      </c>
      <c r="G875" s="93" t="s">
        <v>30</v>
      </c>
      <c r="H875" s="93" t="s">
        <v>30</v>
      </c>
      <c r="I875" s="94" t="s">
        <v>1087</v>
      </c>
      <c r="J875" s="94" t="s">
        <v>1087</v>
      </c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>
      <c r="A876" s="89"/>
      <c r="B876" s="91" t="s">
        <v>1088</v>
      </c>
      <c r="C876" s="91" t="s">
        <v>1059</v>
      </c>
      <c r="D876" s="91" t="s">
        <v>1060</v>
      </c>
      <c r="E876" s="91" t="s">
        <v>1061</v>
      </c>
      <c r="F876" s="92">
        <v>50.56</v>
      </c>
      <c r="G876" s="93" t="s">
        <v>30</v>
      </c>
      <c r="H876" s="93" t="s">
        <v>30</v>
      </c>
      <c r="I876" s="94" t="s">
        <v>1088</v>
      </c>
      <c r="J876" s="94" t="s">
        <v>1088</v>
      </c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>
      <c r="A877" s="89"/>
      <c r="B877" s="91" t="s">
        <v>1088</v>
      </c>
      <c r="C877" s="91" t="s">
        <v>1062</v>
      </c>
      <c r="D877" s="91" t="s">
        <v>1060</v>
      </c>
      <c r="E877" s="91" t="s">
        <v>1061</v>
      </c>
      <c r="F877" s="92">
        <v>0.29</v>
      </c>
      <c r="G877" s="93" t="s">
        <v>30</v>
      </c>
      <c r="H877" s="93" t="s">
        <v>30</v>
      </c>
      <c r="I877" s="94" t="s">
        <v>1088</v>
      </c>
      <c r="J877" s="94" t="s">
        <v>1088</v>
      </c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>
      <c r="A878" s="89"/>
      <c r="B878" s="91" t="s">
        <v>1088</v>
      </c>
      <c r="C878" s="91" t="s">
        <v>1059</v>
      </c>
      <c r="D878" s="91" t="s">
        <v>1060</v>
      </c>
      <c r="E878" s="91" t="s">
        <v>1063</v>
      </c>
      <c r="F878" s="92">
        <v>0.04</v>
      </c>
      <c r="G878" s="93" t="s">
        <v>30</v>
      </c>
      <c r="H878" s="93" t="s">
        <v>30</v>
      </c>
      <c r="I878" s="94" t="s">
        <v>1088</v>
      </c>
      <c r="J878" s="94" t="s">
        <v>1088</v>
      </c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>
      <c r="A879" s="89"/>
      <c r="B879" s="91" t="s">
        <v>1088</v>
      </c>
      <c r="C879" s="91" t="s">
        <v>1062</v>
      </c>
      <c r="D879" s="91" t="s">
        <v>1060</v>
      </c>
      <c r="E879" s="91" t="s">
        <v>1064</v>
      </c>
      <c r="F879" s="92">
        <v>25.09</v>
      </c>
      <c r="G879" s="93" t="s">
        <v>30</v>
      </c>
      <c r="H879" s="93" t="s">
        <v>30</v>
      </c>
      <c r="I879" s="94" t="s">
        <v>1088</v>
      </c>
      <c r="J879" s="94" t="s">
        <v>1088</v>
      </c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>
      <c r="A880" s="89"/>
      <c r="B880" s="91" t="s">
        <v>1088</v>
      </c>
      <c r="C880" s="91" t="s">
        <v>1059</v>
      </c>
      <c r="D880" s="91" t="s">
        <v>1060</v>
      </c>
      <c r="E880" s="91" t="s">
        <v>1064</v>
      </c>
      <c r="F880" s="92">
        <v>194.19</v>
      </c>
      <c r="G880" s="93" t="s">
        <v>30</v>
      </c>
      <c r="H880" s="93" t="s">
        <v>30</v>
      </c>
      <c r="I880" s="94" t="s">
        <v>1088</v>
      </c>
      <c r="J880" s="94" t="s">
        <v>1088</v>
      </c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>
      <c r="A881" s="89"/>
      <c r="B881" s="91" t="s">
        <v>1088</v>
      </c>
      <c r="C881" s="91" t="s">
        <v>1065</v>
      </c>
      <c r="D881" s="91" t="s">
        <v>1068</v>
      </c>
      <c r="E881" s="91" t="s">
        <v>1083</v>
      </c>
      <c r="F881" s="92">
        <v>174.89</v>
      </c>
      <c r="G881" s="93">
        <v>1.0</v>
      </c>
      <c r="H881" s="93">
        <v>174.89</v>
      </c>
      <c r="I881" s="94" t="s">
        <v>1088</v>
      </c>
      <c r="J881" s="94" t="s">
        <v>1088</v>
      </c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>
      <c r="A882" s="89"/>
      <c r="B882" s="91" t="s">
        <v>1088</v>
      </c>
      <c r="C882" s="91" t="s">
        <v>1065</v>
      </c>
      <c r="D882" s="91" t="s">
        <v>1066</v>
      </c>
      <c r="E882" s="91" t="s">
        <v>1067</v>
      </c>
      <c r="F882" s="92">
        <v>51.3</v>
      </c>
      <c r="G882" s="93" t="s">
        <v>30</v>
      </c>
      <c r="H882" s="93" t="s">
        <v>30</v>
      </c>
      <c r="I882" s="94" t="s">
        <v>1088</v>
      </c>
      <c r="J882" s="94" t="s">
        <v>1088</v>
      </c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>
      <c r="A883" s="89"/>
      <c r="B883" s="91" t="s">
        <v>1088</v>
      </c>
      <c r="C883" s="91" t="s">
        <v>1065</v>
      </c>
      <c r="D883" s="91" t="s">
        <v>1068</v>
      </c>
      <c r="E883" s="91" t="s">
        <v>1069</v>
      </c>
      <c r="F883" s="92">
        <v>0.17</v>
      </c>
      <c r="G883" s="93" t="s">
        <v>30</v>
      </c>
      <c r="H883" s="93" t="s">
        <v>30</v>
      </c>
      <c r="I883" s="94" t="s">
        <v>1088</v>
      </c>
      <c r="J883" s="94" t="s">
        <v>1088</v>
      </c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>
      <c r="A884" s="89"/>
      <c r="B884" s="91" t="s">
        <v>1088</v>
      </c>
      <c r="C884" s="91" t="s">
        <v>1065</v>
      </c>
      <c r="D884" s="91" t="s">
        <v>1068</v>
      </c>
      <c r="E884" s="91" t="s">
        <v>1070</v>
      </c>
      <c r="F884" s="92">
        <v>0.27</v>
      </c>
      <c r="G884" s="93" t="s">
        <v>30</v>
      </c>
      <c r="H884" s="93" t="s">
        <v>30</v>
      </c>
      <c r="I884" s="94" t="s">
        <v>1088</v>
      </c>
      <c r="J884" s="94" t="s">
        <v>1088</v>
      </c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>
      <c r="A885" s="89"/>
      <c r="B885" s="91" t="s">
        <v>1088</v>
      </c>
      <c r="C885" s="91" t="s">
        <v>1065</v>
      </c>
      <c r="D885" s="91" t="s">
        <v>1066</v>
      </c>
      <c r="E885" s="91" t="s">
        <v>1072</v>
      </c>
      <c r="F885" s="92">
        <v>3.84</v>
      </c>
      <c r="G885" s="93" t="s">
        <v>30</v>
      </c>
      <c r="H885" s="93" t="s">
        <v>30</v>
      </c>
      <c r="I885" s="94" t="s">
        <v>1088</v>
      </c>
      <c r="J885" s="94" t="s">
        <v>1088</v>
      </c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>
      <c r="A886" s="89"/>
      <c r="B886" s="91" t="s">
        <v>1088</v>
      </c>
      <c r="C886" s="91" t="s">
        <v>1071</v>
      </c>
      <c r="D886" s="91" t="s">
        <v>1066</v>
      </c>
      <c r="E886" s="91" t="s">
        <v>1072</v>
      </c>
      <c r="F886" s="92">
        <v>3.75</v>
      </c>
      <c r="G886" s="93" t="s">
        <v>30</v>
      </c>
      <c r="H886" s="93" t="s">
        <v>30</v>
      </c>
      <c r="I886" s="94" t="s">
        <v>1088</v>
      </c>
      <c r="J886" s="94" t="s">
        <v>1088</v>
      </c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>
      <c r="A887" s="89"/>
      <c r="B887" s="91" t="s">
        <v>1088</v>
      </c>
      <c r="C887" s="91" t="s">
        <v>1074</v>
      </c>
      <c r="D887" s="91" t="s">
        <v>1066</v>
      </c>
      <c r="E887" s="91" t="s">
        <v>1072</v>
      </c>
      <c r="F887" s="92">
        <v>0.02</v>
      </c>
      <c r="G887" s="93" t="s">
        <v>30</v>
      </c>
      <c r="H887" s="93" t="s">
        <v>30</v>
      </c>
      <c r="I887" s="94" t="s">
        <v>1088</v>
      </c>
      <c r="J887" s="94" t="s">
        <v>1088</v>
      </c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>
      <c r="A888" s="89"/>
      <c r="B888" s="91" t="s">
        <v>1088</v>
      </c>
      <c r="C888" s="91" t="s">
        <v>1074</v>
      </c>
      <c r="D888" s="91" t="s">
        <v>1066</v>
      </c>
      <c r="E888" s="91" t="s">
        <v>1067</v>
      </c>
      <c r="F888" s="92">
        <v>27.75</v>
      </c>
      <c r="G888" s="93" t="s">
        <v>30</v>
      </c>
      <c r="H888" s="93" t="s">
        <v>30</v>
      </c>
      <c r="I888" s="94" t="s">
        <v>1088</v>
      </c>
      <c r="J888" s="94" t="s">
        <v>1088</v>
      </c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>
      <c r="A889" s="89"/>
      <c r="B889" s="91" t="s">
        <v>1088</v>
      </c>
      <c r="C889" s="91" t="s">
        <v>1071</v>
      </c>
      <c r="D889" s="91" t="s">
        <v>1066</v>
      </c>
      <c r="E889" s="91" t="s">
        <v>1067</v>
      </c>
      <c r="F889" s="92">
        <v>8.71</v>
      </c>
      <c r="G889" s="93" t="s">
        <v>30</v>
      </c>
      <c r="H889" s="93" t="s">
        <v>30</v>
      </c>
      <c r="I889" s="94" t="s">
        <v>1088</v>
      </c>
      <c r="J889" s="94" t="s">
        <v>1088</v>
      </c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>
      <c r="A890" s="89"/>
      <c r="B890" s="91" t="s">
        <v>1088</v>
      </c>
      <c r="C890" s="91" t="s">
        <v>1074</v>
      </c>
      <c r="D890" s="91" t="s">
        <v>1068</v>
      </c>
      <c r="E890" s="91" t="s">
        <v>1070</v>
      </c>
      <c r="F890" s="92">
        <v>0.06</v>
      </c>
      <c r="G890" s="93" t="s">
        <v>30</v>
      </c>
      <c r="H890" s="93" t="s">
        <v>30</v>
      </c>
      <c r="I890" s="94" t="s">
        <v>1088</v>
      </c>
      <c r="J890" s="94" t="s">
        <v>1088</v>
      </c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>
      <c r="A891" s="89"/>
      <c r="B891" s="91" t="s">
        <v>1088</v>
      </c>
      <c r="C891" s="91" t="s">
        <v>1073</v>
      </c>
      <c r="D891" s="91" t="s">
        <v>1068</v>
      </c>
      <c r="E891" s="91" t="s">
        <v>1070</v>
      </c>
      <c r="F891" s="92">
        <v>0.01</v>
      </c>
      <c r="G891" s="93" t="s">
        <v>30</v>
      </c>
      <c r="H891" s="93" t="s">
        <v>30</v>
      </c>
      <c r="I891" s="94" t="s">
        <v>1088</v>
      </c>
      <c r="J891" s="94" t="s">
        <v>1088</v>
      </c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>
      <c r="A892" s="89"/>
      <c r="B892" s="91" t="s">
        <v>1088</v>
      </c>
      <c r="C892" s="91" t="s">
        <v>1073</v>
      </c>
      <c r="D892" s="91" t="s">
        <v>1068</v>
      </c>
      <c r="E892" s="91" t="s">
        <v>1069</v>
      </c>
      <c r="F892" s="92">
        <v>0.0</v>
      </c>
      <c r="G892" s="93" t="s">
        <v>30</v>
      </c>
      <c r="H892" s="93" t="s">
        <v>30</v>
      </c>
      <c r="I892" s="94" t="s">
        <v>1088</v>
      </c>
      <c r="J892" s="94" t="s">
        <v>1088</v>
      </c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>
      <c r="A893" s="89"/>
      <c r="B893" s="91" t="s">
        <v>1088</v>
      </c>
      <c r="C893" s="91" t="s">
        <v>1071</v>
      </c>
      <c r="D893" s="91" t="s">
        <v>1068</v>
      </c>
      <c r="E893" s="91" t="s">
        <v>1083</v>
      </c>
      <c r="F893" s="92">
        <v>151.19</v>
      </c>
      <c r="G893" s="93" t="s">
        <v>30</v>
      </c>
      <c r="H893" s="93" t="s">
        <v>30</v>
      </c>
      <c r="I893" s="94" t="s">
        <v>1088</v>
      </c>
      <c r="J893" s="94" t="s">
        <v>1088</v>
      </c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>
      <c r="A894" s="89"/>
      <c r="B894" s="91" t="s">
        <v>1088</v>
      </c>
      <c r="C894" s="91" t="s">
        <v>1074</v>
      </c>
      <c r="D894" s="91" t="s">
        <v>1068</v>
      </c>
      <c r="E894" s="91" t="s">
        <v>1083</v>
      </c>
      <c r="F894" s="92">
        <v>102.92</v>
      </c>
      <c r="G894" s="93">
        <v>1.0</v>
      </c>
      <c r="H894" s="93">
        <v>102.92</v>
      </c>
      <c r="I894" s="94" t="s">
        <v>1088</v>
      </c>
      <c r="J894" s="94" t="s">
        <v>1088</v>
      </c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>
      <c r="A895" s="89"/>
      <c r="B895" s="91" t="s">
        <v>1088</v>
      </c>
      <c r="C895" s="91" t="s">
        <v>1076</v>
      </c>
      <c r="D895" s="91" t="s">
        <v>1066</v>
      </c>
      <c r="E895" s="91" t="s">
        <v>1072</v>
      </c>
      <c r="F895" s="92">
        <v>0.04</v>
      </c>
      <c r="G895" s="93" t="s">
        <v>30</v>
      </c>
      <c r="H895" s="93" t="s">
        <v>30</v>
      </c>
      <c r="I895" s="94" t="s">
        <v>1088</v>
      </c>
      <c r="J895" s="94" t="s">
        <v>1088</v>
      </c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>
      <c r="A896" s="89"/>
      <c r="B896" s="91" t="s">
        <v>1088</v>
      </c>
      <c r="C896" s="91" t="s">
        <v>1077</v>
      </c>
      <c r="D896" s="91" t="s">
        <v>1068</v>
      </c>
      <c r="E896" s="91" t="s">
        <v>1069</v>
      </c>
      <c r="F896" s="92">
        <v>0.0</v>
      </c>
      <c r="G896" s="93" t="s">
        <v>30</v>
      </c>
      <c r="H896" s="93" t="s">
        <v>30</v>
      </c>
      <c r="I896" s="94" t="s">
        <v>1088</v>
      </c>
      <c r="J896" s="94" t="s">
        <v>1088</v>
      </c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>
      <c r="A897" s="89"/>
      <c r="B897" s="91" t="s">
        <v>1088</v>
      </c>
      <c r="C897" s="91" t="s">
        <v>1076</v>
      </c>
      <c r="D897" s="91" t="s">
        <v>1068</v>
      </c>
      <c r="E897" s="91" t="s">
        <v>1083</v>
      </c>
      <c r="F897" s="92">
        <v>4.71</v>
      </c>
      <c r="G897" s="93" t="s">
        <v>30</v>
      </c>
      <c r="H897" s="93" t="s">
        <v>30</v>
      </c>
      <c r="I897" s="94" t="s">
        <v>1088</v>
      </c>
      <c r="J897" s="94" t="s">
        <v>1088</v>
      </c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>
      <c r="A898" s="89"/>
      <c r="B898" s="91" t="s">
        <v>1089</v>
      </c>
      <c r="C898" s="91" t="s">
        <v>1059</v>
      </c>
      <c r="D898" s="91" t="s">
        <v>1060</v>
      </c>
      <c r="E898" s="91" t="s">
        <v>1061</v>
      </c>
      <c r="F898" s="92">
        <v>30.45</v>
      </c>
      <c r="G898" s="93" t="s">
        <v>30</v>
      </c>
      <c r="H898" s="93" t="s">
        <v>30</v>
      </c>
      <c r="I898" s="94" t="s">
        <v>1089</v>
      </c>
      <c r="J898" s="94" t="s">
        <v>1089</v>
      </c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>
      <c r="A899" s="89"/>
      <c r="B899" s="91" t="s">
        <v>1089</v>
      </c>
      <c r="C899" s="91" t="s">
        <v>1062</v>
      </c>
      <c r="D899" s="91" t="s">
        <v>1060</v>
      </c>
      <c r="E899" s="91" t="s">
        <v>1061</v>
      </c>
      <c r="F899" s="92">
        <v>0.11</v>
      </c>
      <c r="G899" s="93" t="s">
        <v>30</v>
      </c>
      <c r="H899" s="93" t="s">
        <v>30</v>
      </c>
      <c r="I899" s="94" t="s">
        <v>1089</v>
      </c>
      <c r="J899" s="94" t="s">
        <v>1089</v>
      </c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>
      <c r="A900" s="89"/>
      <c r="B900" s="91" t="s">
        <v>1089</v>
      </c>
      <c r="C900" s="91" t="s">
        <v>1059</v>
      </c>
      <c r="D900" s="91" t="s">
        <v>1060</v>
      </c>
      <c r="E900" s="91" t="s">
        <v>1063</v>
      </c>
      <c r="F900" s="92">
        <v>0.12</v>
      </c>
      <c r="G900" s="93" t="s">
        <v>30</v>
      </c>
      <c r="H900" s="93" t="s">
        <v>30</v>
      </c>
      <c r="I900" s="94" t="s">
        <v>1089</v>
      </c>
      <c r="J900" s="94" t="s">
        <v>1089</v>
      </c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>
      <c r="A901" s="89"/>
      <c r="B901" s="91" t="s">
        <v>1089</v>
      </c>
      <c r="C901" s="91" t="s">
        <v>1062</v>
      </c>
      <c r="D901" s="91" t="s">
        <v>1060</v>
      </c>
      <c r="E901" s="91" t="s">
        <v>1064</v>
      </c>
      <c r="F901" s="92">
        <v>21.47</v>
      </c>
      <c r="G901" s="93" t="s">
        <v>30</v>
      </c>
      <c r="H901" s="93" t="s">
        <v>30</v>
      </c>
      <c r="I901" s="94" t="s">
        <v>1089</v>
      </c>
      <c r="J901" s="94" t="s">
        <v>1089</v>
      </c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>
      <c r="A902" s="89"/>
      <c r="B902" s="91" t="s">
        <v>1089</v>
      </c>
      <c r="C902" s="91" t="s">
        <v>1059</v>
      </c>
      <c r="D902" s="91" t="s">
        <v>1060</v>
      </c>
      <c r="E902" s="91" t="s">
        <v>1064</v>
      </c>
      <c r="F902" s="92">
        <v>197.11</v>
      </c>
      <c r="G902" s="93" t="s">
        <v>30</v>
      </c>
      <c r="H902" s="93" t="s">
        <v>30</v>
      </c>
      <c r="I902" s="94" t="s">
        <v>1089</v>
      </c>
      <c r="J902" s="94" t="s">
        <v>1089</v>
      </c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>
      <c r="A903" s="89"/>
      <c r="B903" s="91" t="s">
        <v>1089</v>
      </c>
      <c r="C903" s="91" t="s">
        <v>1065</v>
      </c>
      <c r="D903" s="91" t="s">
        <v>1068</v>
      </c>
      <c r="E903" s="91" t="s">
        <v>1083</v>
      </c>
      <c r="F903" s="92">
        <v>130.55</v>
      </c>
      <c r="G903" s="93">
        <v>1.0</v>
      </c>
      <c r="H903" s="93">
        <v>130.55</v>
      </c>
      <c r="I903" s="94" t="s">
        <v>1089</v>
      </c>
      <c r="J903" s="94" t="s">
        <v>1089</v>
      </c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>
      <c r="A904" s="89"/>
      <c r="B904" s="91" t="s">
        <v>1089</v>
      </c>
      <c r="C904" s="91" t="s">
        <v>1065</v>
      </c>
      <c r="D904" s="91" t="s">
        <v>1066</v>
      </c>
      <c r="E904" s="91" t="s">
        <v>1067</v>
      </c>
      <c r="F904" s="92">
        <v>48.73</v>
      </c>
      <c r="G904" s="93" t="s">
        <v>30</v>
      </c>
      <c r="H904" s="93" t="s">
        <v>30</v>
      </c>
      <c r="I904" s="94" t="s">
        <v>1089</v>
      </c>
      <c r="J904" s="94" t="s">
        <v>1089</v>
      </c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>
      <c r="A905" s="89"/>
      <c r="B905" s="91" t="s">
        <v>1089</v>
      </c>
      <c r="C905" s="91" t="s">
        <v>1065</v>
      </c>
      <c r="D905" s="91" t="s">
        <v>1068</v>
      </c>
      <c r="E905" s="91" t="s">
        <v>1069</v>
      </c>
      <c r="F905" s="92">
        <v>0.14</v>
      </c>
      <c r="G905" s="93" t="s">
        <v>30</v>
      </c>
      <c r="H905" s="93" t="s">
        <v>30</v>
      </c>
      <c r="I905" s="94" t="s">
        <v>1089</v>
      </c>
      <c r="J905" s="94" t="s">
        <v>1089</v>
      </c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>
      <c r="A906" s="89"/>
      <c r="B906" s="91" t="s">
        <v>1089</v>
      </c>
      <c r="C906" s="91" t="s">
        <v>1065</v>
      </c>
      <c r="D906" s="91" t="s">
        <v>1068</v>
      </c>
      <c r="E906" s="91" t="s">
        <v>1070</v>
      </c>
      <c r="F906" s="92">
        <v>0.38</v>
      </c>
      <c r="G906" s="93" t="s">
        <v>30</v>
      </c>
      <c r="H906" s="93" t="s">
        <v>30</v>
      </c>
      <c r="I906" s="94" t="s">
        <v>1089</v>
      </c>
      <c r="J906" s="94" t="s">
        <v>1089</v>
      </c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>
      <c r="A907" s="89"/>
      <c r="B907" s="91" t="s">
        <v>1089</v>
      </c>
      <c r="C907" s="91" t="s">
        <v>1065</v>
      </c>
      <c r="D907" s="91" t="s">
        <v>1066</v>
      </c>
      <c r="E907" s="91" t="s">
        <v>1072</v>
      </c>
      <c r="F907" s="92">
        <v>9.56</v>
      </c>
      <c r="G907" s="93" t="s">
        <v>30</v>
      </c>
      <c r="H907" s="93" t="s">
        <v>30</v>
      </c>
      <c r="I907" s="94" t="s">
        <v>1089</v>
      </c>
      <c r="J907" s="94" t="s">
        <v>1089</v>
      </c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>
      <c r="A908" s="89"/>
      <c r="B908" s="91" t="s">
        <v>1089</v>
      </c>
      <c r="C908" s="91" t="s">
        <v>1074</v>
      </c>
      <c r="D908" s="91" t="s">
        <v>1066</v>
      </c>
      <c r="E908" s="91" t="s">
        <v>1072</v>
      </c>
      <c r="F908" s="92">
        <v>0.08</v>
      </c>
      <c r="G908" s="93" t="s">
        <v>30</v>
      </c>
      <c r="H908" s="93" t="s">
        <v>30</v>
      </c>
      <c r="I908" s="94" t="s">
        <v>1089</v>
      </c>
      <c r="J908" s="94" t="s">
        <v>1089</v>
      </c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>
      <c r="A909" s="89"/>
      <c r="B909" s="91" t="s">
        <v>1089</v>
      </c>
      <c r="C909" s="91" t="s">
        <v>1075</v>
      </c>
      <c r="D909" s="91" t="s">
        <v>1066</v>
      </c>
      <c r="E909" s="91" t="s">
        <v>1072</v>
      </c>
      <c r="F909" s="92">
        <v>0.01</v>
      </c>
      <c r="G909" s="93" t="s">
        <v>30</v>
      </c>
      <c r="H909" s="93" t="s">
        <v>30</v>
      </c>
      <c r="I909" s="94" t="s">
        <v>1089</v>
      </c>
      <c r="J909" s="94" t="s">
        <v>1089</v>
      </c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>
      <c r="A910" s="89"/>
      <c r="B910" s="91" t="s">
        <v>1089</v>
      </c>
      <c r="C910" s="91" t="s">
        <v>1073</v>
      </c>
      <c r="D910" s="91" t="s">
        <v>1066</v>
      </c>
      <c r="E910" s="91" t="s">
        <v>1067</v>
      </c>
      <c r="F910" s="92">
        <v>0.2</v>
      </c>
      <c r="G910" s="93" t="s">
        <v>30</v>
      </c>
      <c r="H910" s="93" t="s">
        <v>30</v>
      </c>
      <c r="I910" s="94" t="s">
        <v>1089</v>
      </c>
      <c r="J910" s="94" t="s">
        <v>1089</v>
      </c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>
      <c r="A911" s="89"/>
      <c r="B911" s="91" t="s">
        <v>1089</v>
      </c>
      <c r="C911" s="91" t="s">
        <v>1074</v>
      </c>
      <c r="D911" s="91" t="s">
        <v>1066</v>
      </c>
      <c r="E911" s="91" t="s">
        <v>1067</v>
      </c>
      <c r="F911" s="92">
        <v>35.92</v>
      </c>
      <c r="G911" s="93" t="s">
        <v>30</v>
      </c>
      <c r="H911" s="93" t="s">
        <v>30</v>
      </c>
      <c r="I911" s="94" t="s">
        <v>1089</v>
      </c>
      <c r="J911" s="94" t="s">
        <v>1089</v>
      </c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>
      <c r="A912" s="89"/>
      <c r="B912" s="91" t="s">
        <v>1089</v>
      </c>
      <c r="C912" s="91" t="s">
        <v>1075</v>
      </c>
      <c r="D912" s="91" t="s">
        <v>1066</v>
      </c>
      <c r="E912" s="91" t="s">
        <v>1067</v>
      </c>
      <c r="F912" s="92">
        <v>0.03</v>
      </c>
      <c r="G912" s="93" t="s">
        <v>30</v>
      </c>
      <c r="H912" s="93" t="s">
        <v>30</v>
      </c>
      <c r="I912" s="94" t="s">
        <v>1089</v>
      </c>
      <c r="J912" s="94" t="s">
        <v>1089</v>
      </c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>
      <c r="A913" s="89"/>
      <c r="B913" s="91" t="s">
        <v>1089</v>
      </c>
      <c r="C913" s="91" t="s">
        <v>1071</v>
      </c>
      <c r="D913" s="91" t="s">
        <v>1068</v>
      </c>
      <c r="E913" s="91" t="s">
        <v>1070</v>
      </c>
      <c r="F913" s="92">
        <v>0.02</v>
      </c>
      <c r="G913" s="93" t="s">
        <v>30</v>
      </c>
      <c r="H913" s="93" t="s">
        <v>30</v>
      </c>
      <c r="I913" s="94" t="s">
        <v>1089</v>
      </c>
      <c r="J913" s="94" t="s">
        <v>1089</v>
      </c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>
      <c r="A914" s="89"/>
      <c r="B914" s="91" t="s">
        <v>1089</v>
      </c>
      <c r="C914" s="91" t="s">
        <v>1073</v>
      </c>
      <c r="D914" s="91" t="s">
        <v>1068</v>
      </c>
      <c r="E914" s="91" t="s">
        <v>1070</v>
      </c>
      <c r="F914" s="92">
        <v>0.0</v>
      </c>
      <c r="G914" s="93" t="s">
        <v>30</v>
      </c>
      <c r="H914" s="93" t="s">
        <v>30</v>
      </c>
      <c r="I914" s="94" t="s">
        <v>1089</v>
      </c>
      <c r="J914" s="94" t="s">
        <v>1089</v>
      </c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>
      <c r="A915" s="89"/>
      <c r="B915" s="91" t="s">
        <v>1089</v>
      </c>
      <c r="C915" s="91" t="s">
        <v>1074</v>
      </c>
      <c r="D915" s="91" t="s">
        <v>1068</v>
      </c>
      <c r="E915" s="91" t="s">
        <v>1069</v>
      </c>
      <c r="F915" s="92">
        <v>0.03</v>
      </c>
      <c r="G915" s="93" t="s">
        <v>30</v>
      </c>
      <c r="H915" s="93" t="s">
        <v>30</v>
      </c>
      <c r="I915" s="94" t="s">
        <v>1089</v>
      </c>
      <c r="J915" s="94" t="s">
        <v>1089</v>
      </c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>
      <c r="A916" s="89"/>
      <c r="B916" s="91" t="s">
        <v>1089</v>
      </c>
      <c r="C916" s="91" t="s">
        <v>1073</v>
      </c>
      <c r="D916" s="91" t="s">
        <v>1068</v>
      </c>
      <c r="E916" s="91" t="s">
        <v>1083</v>
      </c>
      <c r="F916" s="92">
        <v>0.32</v>
      </c>
      <c r="G916" s="93" t="s">
        <v>30</v>
      </c>
      <c r="H916" s="93" t="s">
        <v>30</v>
      </c>
      <c r="I916" s="94" t="s">
        <v>1089</v>
      </c>
      <c r="J916" s="94" t="s">
        <v>1089</v>
      </c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>
      <c r="A917" s="89"/>
      <c r="B917" s="91" t="s">
        <v>1089</v>
      </c>
      <c r="C917" s="91" t="s">
        <v>1071</v>
      </c>
      <c r="D917" s="91" t="s">
        <v>1068</v>
      </c>
      <c r="E917" s="91" t="s">
        <v>1083</v>
      </c>
      <c r="F917" s="92">
        <v>154.84</v>
      </c>
      <c r="G917" s="93" t="s">
        <v>30</v>
      </c>
      <c r="H917" s="93" t="s">
        <v>30</v>
      </c>
      <c r="I917" s="94" t="s">
        <v>1089</v>
      </c>
      <c r="J917" s="94" t="s">
        <v>1089</v>
      </c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>
      <c r="A918" s="89"/>
      <c r="B918" s="91" t="s">
        <v>1089</v>
      </c>
      <c r="C918" s="91" t="s">
        <v>1074</v>
      </c>
      <c r="D918" s="91" t="s">
        <v>1068</v>
      </c>
      <c r="E918" s="91" t="s">
        <v>1083</v>
      </c>
      <c r="F918" s="92">
        <v>156.22</v>
      </c>
      <c r="G918" s="93">
        <v>1.0</v>
      </c>
      <c r="H918" s="93">
        <v>156.22</v>
      </c>
      <c r="I918" s="94" t="s">
        <v>1089</v>
      </c>
      <c r="J918" s="94" t="s">
        <v>1089</v>
      </c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>
      <c r="A919" s="89"/>
      <c r="B919" s="91" t="s">
        <v>1089</v>
      </c>
      <c r="C919" s="91" t="s">
        <v>1077</v>
      </c>
      <c r="D919" s="91" t="s">
        <v>1066</v>
      </c>
      <c r="E919" s="91" t="s">
        <v>1072</v>
      </c>
      <c r="F919" s="92">
        <v>0.11</v>
      </c>
      <c r="G919" s="93" t="s">
        <v>30</v>
      </c>
      <c r="H919" s="93" t="s">
        <v>30</v>
      </c>
      <c r="I919" s="94" t="s">
        <v>1089</v>
      </c>
      <c r="J919" s="94" t="s">
        <v>1089</v>
      </c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>
      <c r="A920" s="89"/>
      <c r="B920" s="91" t="s">
        <v>1089</v>
      </c>
      <c r="C920" s="91" t="s">
        <v>1077</v>
      </c>
      <c r="D920" s="91" t="s">
        <v>1066</v>
      </c>
      <c r="E920" s="91" t="s">
        <v>1067</v>
      </c>
      <c r="F920" s="92">
        <v>0.15</v>
      </c>
      <c r="G920" s="93" t="s">
        <v>30</v>
      </c>
      <c r="H920" s="93" t="s">
        <v>30</v>
      </c>
      <c r="I920" s="94" t="s">
        <v>1089</v>
      </c>
      <c r="J920" s="94" t="s">
        <v>1089</v>
      </c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>
      <c r="A921" s="89"/>
      <c r="B921" s="91" t="s">
        <v>1089</v>
      </c>
      <c r="C921" s="91" t="s">
        <v>1076</v>
      </c>
      <c r="D921" s="91" t="s">
        <v>1066</v>
      </c>
      <c r="E921" s="91" t="s">
        <v>1067</v>
      </c>
      <c r="F921" s="92">
        <v>0.0</v>
      </c>
      <c r="G921" s="93" t="s">
        <v>30</v>
      </c>
      <c r="H921" s="93" t="s">
        <v>30</v>
      </c>
      <c r="I921" s="94" t="s">
        <v>1089</v>
      </c>
      <c r="J921" s="94" t="s">
        <v>1089</v>
      </c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>
      <c r="A922" s="89"/>
      <c r="B922" s="91" t="s">
        <v>1089</v>
      </c>
      <c r="C922" s="91" t="s">
        <v>1077</v>
      </c>
      <c r="D922" s="91" t="s">
        <v>1068</v>
      </c>
      <c r="E922" s="91" t="s">
        <v>1070</v>
      </c>
      <c r="F922" s="92">
        <v>0.0</v>
      </c>
      <c r="G922" s="93" t="s">
        <v>30</v>
      </c>
      <c r="H922" s="93" t="s">
        <v>30</v>
      </c>
      <c r="I922" s="94" t="s">
        <v>1089</v>
      </c>
      <c r="J922" s="94" t="s">
        <v>1089</v>
      </c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>
      <c r="A923" s="89"/>
      <c r="B923" s="91" t="s">
        <v>1089</v>
      </c>
      <c r="C923" s="91" t="s">
        <v>1076</v>
      </c>
      <c r="D923" s="91" t="s">
        <v>1068</v>
      </c>
      <c r="E923" s="91" t="s">
        <v>1069</v>
      </c>
      <c r="F923" s="92">
        <v>0.0</v>
      </c>
      <c r="G923" s="93" t="s">
        <v>30</v>
      </c>
      <c r="H923" s="93" t="s">
        <v>30</v>
      </c>
      <c r="I923" s="94" t="s">
        <v>1089</v>
      </c>
      <c r="J923" s="94" t="s">
        <v>1089</v>
      </c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>
      <c r="A924" s="89"/>
      <c r="B924" s="91" t="s">
        <v>1089</v>
      </c>
      <c r="C924" s="91" t="s">
        <v>1076</v>
      </c>
      <c r="D924" s="91" t="s">
        <v>1068</v>
      </c>
      <c r="E924" s="91" t="s">
        <v>1083</v>
      </c>
      <c r="F924" s="92">
        <v>4.07</v>
      </c>
      <c r="G924" s="93" t="s">
        <v>30</v>
      </c>
      <c r="H924" s="93" t="s">
        <v>30</v>
      </c>
      <c r="I924" s="94" t="s">
        <v>1089</v>
      </c>
      <c r="J924" s="94" t="s">
        <v>1089</v>
      </c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>
      <c r="A925" s="89"/>
      <c r="B925" s="91" t="s">
        <v>1089</v>
      </c>
      <c r="C925" s="91" t="s">
        <v>1077</v>
      </c>
      <c r="D925" s="91" t="s">
        <v>1068</v>
      </c>
      <c r="E925" s="91" t="s">
        <v>1083</v>
      </c>
      <c r="F925" s="92">
        <v>0.46</v>
      </c>
      <c r="G925" s="93" t="s">
        <v>30</v>
      </c>
      <c r="H925" s="93" t="s">
        <v>30</v>
      </c>
      <c r="I925" s="94" t="s">
        <v>1089</v>
      </c>
      <c r="J925" s="94" t="s">
        <v>1089</v>
      </c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>
      <c r="A926" s="89"/>
      <c r="B926" s="91" t="s">
        <v>1090</v>
      </c>
      <c r="C926" s="91" t="s">
        <v>1059</v>
      </c>
      <c r="D926" s="91" t="s">
        <v>1060</v>
      </c>
      <c r="E926" s="91" t="s">
        <v>1061</v>
      </c>
      <c r="F926" s="92">
        <v>42.79</v>
      </c>
      <c r="G926" s="93" t="s">
        <v>30</v>
      </c>
      <c r="H926" s="93" t="s">
        <v>30</v>
      </c>
      <c r="I926" s="94" t="s">
        <v>1090</v>
      </c>
      <c r="J926" s="94" t="s">
        <v>1090</v>
      </c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>
      <c r="A927" s="89"/>
      <c r="B927" s="91" t="s">
        <v>1090</v>
      </c>
      <c r="C927" s="91" t="s">
        <v>1062</v>
      </c>
      <c r="D927" s="91" t="s">
        <v>1060</v>
      </c>
      <c r="E927" s="91" t="s">
        <v>1061</v>
      </c>
      <c r="F927" s="92">
        <v>0.84</v>
      </c>
      <c r="G927" s="93" t="s">
        <v>30</v>
      </c>
      <c r="H927" s="93" t="s">
        <v>30</v>
      </c>
      <c r="I927" s="94" t="s">
        <v>1090</v>
      </c>
      <c r="J927" s="94" t="s">
        <v>1090</v>
      </c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>
      <c r="A928" s="89"/>
      <c r="B928" s="91" t="s">
        <v>1090</v>
      </c>
      <c r="C928" s="91" t="s">
        <v>1059</v>
      </c>
      <c r="D928" s="91" t="s">
        <v>1060</v>
      </c>
      <c r="E928" s="91" t="s">
        <v>1063</v>
      </c>
      <c r="F928" s="92">
        <v>0.09</v>
      </c>
      <c r="G928" s="93" t="s">
        <v>30</v>
      </c>
      <c r="H928" s="93" t="s">
        <v>30</v>
      </c>
      <c r="I928" s="94" t="s">
        <v>1090</v>
      </c>
      <c r="J928" s="94" t="s">
        <v>1090</v>
      </c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>
      <c r="A929" s="89"/>
      <c r="B929" s="91" t="s">
        <v>1090</v>
      </c>
      <c r="C929" s="91" t="s">
        <v>1062</v>
      </c>
      <c r="D929" s="91" t="s">
        <v>1060</v>
      </c>
      <c r="E929" s="91" t="s">
        <v>1064</v>
      </c>
      <c r="F929" s="92">
        <v>21.6</v>
      </c>
      <c r="G929" s="93" t="s">
        <v>30</v>
      </c>
      <c r="H929" s="93" t="s">
        <v>30</v>
      </c>
      <c r="I929" s="94" t="s">
        <v>1090</v>
      </c>
      <c r="J929" s="94" t="s">
        <v>1090</v>
      </c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>
      <c r="A930" s="89"/>
      <c r="B930" s="91" t="s">
        <v>1090</v>
      </c>
      <c r="C930" s="91" t="s">
        <v>1059</v>
      </c>
      <c r="D930" s="91" t="s">
        <v>1060</v>
      </c>
      <c r="E930" s="91" t="s">
        <v>1064</v>
      </c>
      <c r="F930" s="92">
        <v>193.5</v>
      </c>
      <c r="G930" s="93" t="s">
        <v>30</v>
      </c>
      <c r="H930" s="93" t="s">
        <v>30</v>
      </c>
      <c r="I930" s="94" t="s">
        <v>1090</v>
      </c>
      <c r="J930" s="94" t="s">
        <v>1090</v>
      </c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>
      <c r="A931" s="89"/>
      <c r="B931" s="91" t="s">
        <v>1090</v>
      </c>
      <c r="C931" s="91" t="s">
        <v>1065</v>
      </c>
      <c r="D931" s="91" t="s">
        <v>1068</v>
      </c>
      <c r="E931" s="91" t="s">
        <v>1083</v>
      </c>
      <c r="F931" s="92">
        <v>90.31</v>
      </c>
      <c r="G931" s="93">
        <v>1.0</v>
      </c>
      <c r="H931" s="93">
        <v>90.31</v>
      </c>
      <c r="I931" s="94" t="s">
        <v>1090</v>
      </c>
      <c r="J931" s="94" t="s">
        <v>1090</v>
      </c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>
      <c r="A932" s="89"/>
      <c r="B932" s="91" t="s">
        <v>1090</v>
      </c>
      <c r="C932" s="91" t="s">
        <v>1065</v>
      </c>
      <c r="D932" s="91" t="s">
        <v>1066</v>
      </c>
      <c r="E932" s="91" t="s">
        <v>1067</v>
      </c>
      <c r="F932" s="92">
        <v>47.16</v>
      </c>
      <c r="G932" s="93" t="s">
        <v>30</v>
      </c>
      <c r="H932" s="93" t="s">
        <v>30</v>
      </c>
      <c r="I932" s="94" t="s">
        <v>1090</v>
      </c>
      <c r="J932" s="94" t="s">
        <v>1090</v>
      </c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>
      <c r="A933" s="89"/>
      <c r="B933" s="91" t="s">
        <v>1090</v>
      </c>
      <c r="C933" s="91" t="s">
        <v>1065</v>
      </c>
      <c r="D933" s="91" t="s">
        <v>1068</v>
      </c>
      <c r="E933" s="91" t="s">
        <v>1069</v>
      </c>
      <c r="F933" s="92">
        <v>0.57</v>
      </c>
      <c r="G933" s="93" t="s">
        <v>30</v>
      </c>
      <c r="H933" s="93" t="s">
        <v>30</v>
      </c>
      <c r="I933" s="94" t="s">
        <v>1090</v>
      </c>
      <c r="J933" s="94" t="s">
        <v>1090</v>
      </c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>
      <c r="A934" s="89"/>
      <c r="B934" s="91" t="s">
        <v>1090</v>
      </c>
      <c r="C934" s="91" t="s">
        <v>1065</v>
      </c>
      <c r="D934" s="91" t="s">
        <v>1068</v>
      </c>
      <c r="E934" s="91" t="s">
        <v>1070</v>
      </c>
      <c r="F934" s="92">
        <v>0.67</v>
      </c>
      <c r="G934" s="93" t="s">
        <v>30</v>
      </c>
      <c r="H934" s="93" t="s">
        <v>30</v>
      </c>
      <c r="I934" s="94" t="s">
        <v>1090</v>
      </c>
      <c r="J934" s="94" t="s">
        <v>1090</v>
      </c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>
      <c r="A935" s="89"/>
      <c r="B935" s="91" t="s">
        <v>1090</v>
      </c>
      <c r="C935" s="91" t="s">
        <v>1065</v>
      </c>
      <c r="D935" s="91" t="s">
        <v>1066</v>
      </c>
      <c r="E935" s="91" t="s">
        <v>1072</v>
      </c>
      <c r="F935" s="92">
        <v>2.94</v>
      </c>
      <c r="G935" s="93" t="s">
        <v>30</v>
      </c>
      <c r="H935" s="93" t="s">
        <v>30</v>
      </c>
      <c r="I935" s="94" t="s">
        <v>1090</v>
      </c>
      <c r="J935" s="94" t="s">
        <v>1090</v>
      </c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>
      <c r="A936" s="89"/>
      <c r="B936" s="91" t="s">
        <v>1090</v>
      </c>
      <c r="C936" s="91" t="s">
        <v>1071</v>
      </c>
      <c r="D936" s="91" t="s">
        <v>1066</v>
      </c>
      <c r="E936" s="91" t="s">
        <v>1072</v>
      </c>
      <c r="F936" s="92">
        <v>2.8</v>
      </c>
      <c r="G936" s="93" t="s">
        <v>30</v>
      </c>
      <c r="H936" s="93" t="s">
        <v>30</v>
      </c>
      <c r="I936" s="94" t="s">
        <v>1090</v>
      </c>
      <c r="J936" s="94" t="s">
        <v>1090</v>
      </c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>
      <c r="A937" s="89"/>
      <c r="B937" s="91" t="s">
        <v>1090</v>
      </c>
      <c r="C937" s="91" t="s">
        <v>1074</v>
      </c>
      <c r="D937" s="91" t="s">
        <v>1066</v>
      </c>
      <c r="E937" s="91" t="s">
        <v>1072</v>
      </c>
      <c r="F937" s="92">
        <v>0.11</v>
      </c>
      <c r="G937" s="93" t="s">
        <v>30</v>
      </c>
      <c r="H937" s="93" t="s">
        <v>30</v>
      </c>
      <c r="I937" s="94" t="s">
        <v>1090</v>
      </c>
      <c r="J937" s="94" t="s">
        <v>1090</v>
      </c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>
      <c r="A938" s="89"/>
      <c r="B938" s="91" t="s">
        <v>1090</v>
      </c>
      <c r="C938" s="91" t="s">
        <v>1073</v>
      </c>
      <c r="D938" s="91" t="s">
        <v>1066</v>
      </c>
      <c r="E938" s="91" t="s">
        <v>1072</v>
      </c>
      <c r="F938" s="92">
        <v>1.7</v>
      </c>
      <c r="G938" s="93" t="s">
        <v>30</v>
      </c>
      <c r="H938" s="93" t="s">
        <v>30</v>
      </c>
      <c r="I938" s="94" t="s">
        <v>1090</v>
      </c>
      <c r="J938" s="94" t="s">
        <v>1090</v>
      </c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>
      <c r="A939" s="89"/>
      <c r="B939" s="91" t="s">
        <v>1090</v>
      </c>
      <c r="C939" s="91" t="s">
        <v>1074</v>
      </c>
      <c r="D939" s="91" t="s">
        <v>1066</v>
      </c>
      <c r="E939" s="91" t="s">
        <v>1067</v>
      </c>
      <c r="F939" s="92">
        <v>41.74</v>
      </c>
      <c r="G939" s="93" t="s">
        <v>30</v>
      </c>
      <c r="H939" s="93" t="s">
        <v>30</v>
      </c>
      <c r="I939" s="94" t="s">
        <v>1090</v>
      </c>
      <c r="J939" s="94" t="s">
        <v>1090</v>
      </c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>
      <c r="A940" s="89"/>
      <c r="B940" s="91" t="s">
        <v>1090</v>
      </c>
      <c r="C940" s="91" t="s">
        <v>1071</v>
      </c>
      <c r="D940" s="91" t="s">
        <v>1066</v>
      </c>
      <c r="E940" s="91" t="s">
        <v>1067</v>
      </c>
      <c r="F940" s="92">
        <v>2.07</v>
      </c>
      <c r="G940" s="93" t="s">
        <v>30</v>
      </c>
      <c r="H940" s="93" t="s">
        <v>30</v>
      </c>
      <c r="I940" s="94" t="s">
        <v>1090</v>
      </c>
      <c r="J940" s="94" t="s">
        <v>1090</v>
      </c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>
      <c r="A941" s="89"/>
      <c r="B941" s="91" t="s">
        <v>1090</v>
      </c>
      <c r="C941" s="91" t="s">
        <v>1075</v>
      </c>
      <c r="D941" s="91" t="s">
        <v>1066</v>
      </c>
      <c r="E941" s="91" t="s">
        <v>1067</v>
      </c>
      <c r="F941" s="92">
        <v>0.07</v>
      </c>
      <c r="G941" s="93" t="s">
        <v>30</v>
      </c>
      <c r="H941" s="93" t="s">
        <v>30</v>
      </c>
      <c r="I941" s="94" t="s">
        <v>1090</v>
      </c>
      <c r="J941" s="94" t="s">
        <v>1090</v>
      </c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>
      <c r="A942" s="89"/>
      <c r="B942" s="91" t="s">
        <v>1090</v>
      </c>
      <c r="C942" s="91" t="s">
        <v>1074</v>
      </c>
      <c r="D942" s="91" t="s">
        <v>1068</v>
      </c>
      <c r="E942" s="91" t="s">
        <v>1070</v>
      </c>
      <c r="F942" s="92">
        <v>0.04</v>
      </c>
      <c r="G942" s="93" t="s">
        <v>30</v>
      </c>
      <c r="H942" s="93" t="s">
        <v>30</v>
      </c>
      <c r="I942" s="94" t="s">
        <v>1090</v>
      </c>
      <c r="J942" s="94" t="s">
        <v>1090</v>
      </c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>
      <c r="A943" s="89"/>
      <c r="B943" s="91" t="s">
        <v>1090</v>
      </c>
      <c r="C943" s="91" t="s">
        <v>1073</v>
      </c>
      <c r="D943" s="91" t="s">
        <v>1068</v>
      </c>
      <c r="E943" s="91" t="s">
        <v>1070</v>
      </c>
      <c r="F943" s="92">
        <v>0.0</v>
      </c>
      <c r="G943" s="93" t="s">
        <v>30</v>
      </c>
      <c r="H943" s="93" t="s">
        <v>30</v>
      </c>
      <c r="I943" s="94" t="s">
        <v>1090</v>
      </c>
      <c r="J943" s="94" t="s">
        <v>1090</v>
      </c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>
      <c r="A944" s="89"/>
      <c r="B944" s="91" t="s">
        <v>1090</v>
      </c>
      <c r="C944" s="91" t="s">
        <v>1071</v>
      </c>
      <c r="D944" s="91" t="s">
        <v>1068</v>
      </c>
      <c r="E944" s="91" t="s">
        <v>1069</v>
      </c>
      <c r="F944" s="92">
        <v>0.0</v>
      </c>
      <c r="G944" s="93" t="s">
        <v>30</v>
      </c>
      <c r="H944" s="93" t="s">
        <v>30</v>
      </c>
      <c r="I944" s="94" t="s">
        <v>1090</v>
      </c>
      <c r="J944" s="94" t="s">
        <v>1090</v>
      </c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>
      <c r="A945" s="89"/>
      <c r="B945" s="91" t="s">
        <v>1090</v>
      </c>
      <c r="C945" s="91" t="s">
        <v>1073</v>
      </c>
      <c r="D945" s="91" t="s">
        <v>1068</v>
      </c>
      <c r="E945" s="91" t="s">
        <v>1083</v>
      </c>
      <c r="F945" s="92">
        <v>0.42</v>
      </c>
      <c r="G945" s="93" t="s">
        <v>30</v>
      </c>
      <c r="H945" s="93" t="s">
        <v>30</v>
      </c>
      <c r="I945" s="94" t="s">
        <v>1090</v>
      </c>
      <c r="J945" s="94" t="s">
        <v>1090</v>
      </c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>
      <c r="A946" s="89"/>
      <c r="B946" s="91" t="s">
        <v>1090</v>
      </c>
      <c r="C946" s="91" t="s">
        <v>1075</v>
      </c>
      <c r="D946" s="91" t="s">
        <v>1068</v>
      </c>
      <c r="E946" s="91" t="s">
        <v>1083</v>
      </c>
      <c r="F946" s="92">
        <v>0.11</v>
      </c>
      <c r="G946" s="93" t="s">
        <v>30</v>
      </c>
      <c r="H946" s="93" t="s">
        <v>30</v>
      </c>
      <c r="I946" s="94" t="s">
        <v>1090</v>
      </c>
      <c r="J946" s="94" t="s">
        <v>1090</v>
      </c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>
      <c r="A947" s="89"/>
      <c r="B947" s="91" t="s">
        <v>1090</v>
      </c>
      <c r="C947" s="91" t="s">
        <v>1071</v>
      </c>
      <c r="D947" s="91" t="s">
        <v>1068</v>
      </c>
      <c r="E947" s="91" t="s">
        <v>1083</v>
      </c>
      <c r="F947" s="92">
        <v>21.65</v>
      </c>
      <c r="G947" s="93" t="s">
        <v>30</v>
      </c>
      <c r="H947" s="93" t="s">
        <v>30</v>
      </c>
      <c r="I947" s="94" t="s">
        <v>1090</v>
      </c>
      <c r="J947" s="94" t="s">
        <v>1090</v>
      </c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>
      <c r="A948" s="89"/>
      <c r="B948" s="91" t="s">
        <v>1090</v>
      </c>
      <c r="C948" s="91" t="s">
        <v>1074</v>
      </c>
      <c r="D948" s="91" t="s">
        <v>1068</v>
      </c>
      <c r="E948" s="91" t="s">
        <v>1083</v>
      </c>
      <c r="F948" s="92">
        <v>355.62</v>
      </c>
      <c r="G948" s="93">
        <v>7.0</v>
      </c>
      <c r="H948" s="93">
        <v>50.80285714</v>
      </c>
      <c r="I948" s="94" t="s">
        <v>1090</v>
      </c>
      <c r="J948" s="94" t="s">
        <v>1090</v>
      </c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>
      <c r="A949" s="89"/>
      <c r="B949" s="91" t="s">
        <v>1090</v>
      </c>
      <c r="C949" s="91" t="s">
        <v>1076</v>
      </c>
      <c r="D949" s="91" t="s">
        <v>1066</v>
      </c>
      <c r="E949" s="91" t="s">
        <v>1067</v>
      </c>
      <c r="F949" s="92">
        <v>0.07</v>
      </c>
      <c r="G949" s="93" t="s">
        <v>30</v>
      </c>
      <c r="H949" s="93" t="s">
        <v>30</v>
      </c>
      <c r="I949" s="94" t="s">
        <v>1090</v>
      </c>
      <c r="J949" s="94" t="s">
        <v>1090</v>
      </c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>
      <c r="A950" s="89"/>
      <c r="B950" s="91" t="s">
        <v>1090</v>
      </c>
      <c r="C950" s="91" t="s">
        <v>1076</v>
      </c>
      <c r="D950" s="91" t="s">
        <v>1068</v>
      </c>
      <c r="E950" s="91" t="s">
        <v>1083</v>
      </c>
      <c r="F950" s="92">
        <v>9.35</v>
      </c>
      <c r="G950" s="93" t="s">
        <v>30</v>
      </c>
      <c r="H950" s="93" t="s">
        <v>30</v>
      </c>
      <c r="I950" s="94" t="s">
        <v>1090</v>
      </c>
      <c r="J950" s="94" t="s">
        <v>1090</v>
      </c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>
      <c r="A951" s="89"/>
      <c r="B951" s="91" t="s">
        <v>1090</v>
      </c>
      <c r="C951" s="91" t="s">
        <v>1077</v>
      </c>
      <c r="D951" s="91" t="s">
        <v>1068</v>
      </c>
      <c r="E951" s="91" t="s">
        <v>1083</v>
      </c>
      <c r="F951" s="92">
        <v>1.43</v>
      </c>
      <c r="G951" s="93" t="s">
        <v>30</v>
      </c>
      <c r="H951" s="93" t="s">
        <v>30</v>
      </c>
      <c r="I951" s="94" t="s">
        <v>1090</v>
      </c>
      <c r="J951" s="94" t="s">
        <v>1090</v>
      </c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>
      <c r="A952" s="89"/>
      <c r="B952" s="91" t="s">
        <v>1091</v>
      </c>
      <c r="C952" s="91" t="s">
        <v>1059</v>
      </c>
      <c r="D952" s="91" t="s">
        <v>1060</v>
      </c>
      <c r="E952" s="91" t="s">
        <v>1061</v>
      </c>
      <c r="F952" s="92">
        <v>39.91</v>
      </c>
      <c r="G952" s="93" t="s">
        <v>30</v>
      </c>
      <c r="H952" s="93" t="s">
        <v>30</v>
      </c>
      <c r="I952" s="94" t="s">
        <v>1091</v>
      </c>
      <c r="J952" s="94" t="s">
        <v>1091</v>
      </c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>
      <c r="A953" s="89"/>
      <c r="B953" s="91" t="s">
        <v>1091</v>
      </c>
      <c r="C953" s="91" t="s">
        <v>1059</v>
      </c>
      <c r="D953" s="91" t="s">
        <v>1060</v>
      </c>
      <c r="E953" s="91" t="s">
        <v>1063</v>
      </c>
      <c r="F953" s="92">
        <v>0.05</v>
      </c>
      <c r="G953" s="93" t="s">
        <v>30</v>
      </c>
      <c r="H953" s="93" t="s">
        <v>30</v>
      </c>
      <c r="I953" s="94" t="s">
        <v>1091</v>
      </c>
      <c r="J953" s="94" t="s">
        <v>1091</v>
      </c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>
      <c r="A954" s="89"/>
      <c r="B954" s="91" t="s">
        <v>1091</v>
      </c>
      <c r="C954" s="91" t="s">
        <v>1062</v>
      </c>
      <c r="D954" s="91" t="s">
        <v>1060</v>
      </c>
      <c r="E954" s="91" t="s">
        <v>1064</v>
      </c>
      <c r="F954" s="92">
        <v>21.67</v>
      </c>
      <c r="G954" s="93" t="s">
        <v>30</v>
      </c>
      <c r="H954" s="93" t="s">
        <v>30</v>
      </c>
      <c r="I954" s="94" t="s">
        <v>1091</v>
      </c>
      <c r="J954" s="94" t="s">
        <v>1091</v>
      </c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>
      <c r="A955" s="89"/>
      <c r="B955" s="91" t="s">
        <v>1091</v>
      </c>
      <c r="C955" s="91" t="s">
        <v>1059</v>
      </c>
      <c r="D955" s="91" t="s">
        <v>1060</v>
      </c>
      <c r="E955" s="91" t="s">
        <v>1064</v>
      </c>
      <c r="F955" s="92">
        <v>197.42</v>
      </c>
      <c r="G955" s="93" t="s">
        <v>30</v>
      </c>
      <c r="H955" s="93" t="s">
        <v>30</v>
      </c>
      <c r="I955" s="94" t="s">
        <v>1091</v>
      </c>
      <c r="J955" s="94" t="s">
        <v>1091</v>
      </c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>
      <c r="A956" s="89"/>
      <c r="B956" s="91" t="s">
        <v>1091</v>
      </c>
      <c r="C956" s="91" t="s">
        <v>1092</v>
      </c>
      <c r="D956" s="91" t="s">
        <v>1068</v>
      </c>
      <c r="E956" s="91" t="s">
        <v>1069</v>
      </c>
      <c r="F956" s="92">
        <v>0.0</v>
      </c>
      <c r="G956" s="93" t="s">
        <v>30</v>
      </c>
      <c r="H956" s="93" t="s">
        <v>30</v>
      </c>
      <c r="I956" s="94" t="s">
        <v>1091</v>
      </c>
      <c r="J956" s="94" t="s">
        <v>1091</v>
      </c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>
      <c r="A957" s="89"/>
      <c r="B957" s="91" t="s">
        <v>1091</v>
      </c>
      <c r="C957" s="91" t="s">
        <v>1093</v>
      </c>
      <c r="D957" s="91" t="s">
        <v>1066</v>
      </c>
      <c r="E957" s="91" t="s">
        <v>1072</v>
      </c>
      <c r="F957" s="92">
        <v>1.39</v>
      </c>
      <c r="G957" s="93" t="s">
        <v>30</v>
      </c>
      <c r="H957" s="93" t="s">
        <v>30</v>
      </c>
      <c r="I957" s="94" t="s">
        <v>1091</v>
      </c>
      <c r="J957" s="94" t="s">
        <v>1091</v>
      </c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>
      <c r="A958" s="89"/>
      <c r="B958" s="91" t="s">
        <v>1091</v>
      </c>
      <c r="C958" s="91" t="s">
        <v>1092</v>
      </c>
      <c r="D958" s="91" t="s">
        <v>1066</v>
      </c>
      <c r="E958" s="91" t="s">
        <v>1067</v>
      </c>
      <c r="F958" s="92">
        <v>0.03</v>
      </c>
      <c r="G958" s="93" t="s">
        <v>30</v>
      </c>
      <c r="H958" s="93" t="s">
        <v>30</v>
      </c>
      <c r="I958" s="94" t="s">
        <v>1091</v>
      </c>
      <c r="J958" s="94" t="s">
        <v>1091</v>
      </c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>
      <c r="A959" s="89"/>
      <c r="B959" s="91" t="s">
        <v>1091</v>
      </c>
      <c r="C959" s="91" t="s">
        <v>1065</v>
      </c>
      <c r="D959" s="91" t="s">
        <v>1068</v>
      </c>
      <c r="E959" s="91" t="s">
        <v>1083</v>
      </c>
      <c r="F959" s="92">
        <v>422.88</v>
      </c>
      <c r="G959" s="93">
        <v>1.0</v>
      </c>
      <c r="H959" s="93">
        <v>422.88</v>
      </c>
      <c r="I959" s="94" t="s">
        <v>1091</v>
      </c>
      <c r="J959" s="94" t="s">
        <v>1091</v>
      </c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>
      <c r="A960" s="89"/>
      <c r="B960" s="91" t="s">
        <v>1091</v>
      </c>
      <c r="C960" s="91" t="s">
        <v>1093</v>
      </c>
      <c r="D960" s="91" t="s">
        <v>1068</v>
      </c>
      <c r="E960" s="91" t="s">
        <v>1083</v>
      </c>
      <c r="F960" s="92">
        <v>11.76</v>
      </c>
      <c r="G960" s="93" t="s">
        <v>30</v>
      </c>
      <c r="H960" s="93" t="s">
        <v>30</v>
      </c>
      <c r="I960" s="94" t="s">
        <v>1091</v>
      </c>
      <c r="J960" s="94" t="s">
        <v>1091</v>
      </c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>
      <c r="A961" s="89"/>
      <c r="B961" s="91" t="s">
        <v>1091</v>
      </c>
      <c r="C961" s="91" t="s">
        <v>1092</v>
      </c>
      <c r="D961" s="91" t="s">
        <v>1068</v>
      </c>
      <c r="E961" s="91" t="s">
        <v>1083</v>
      </c>
      <c r="F961" s="92">
        <v>3.57</v>
      </c>
      <c r="G961" s="93" t="s">
        <v>30</v>
      </c>
      <c r="H961" s="93" t="s">
        <v>30</v>
      </c>
      <c r="I961" s="94" t="s">
        <v>1091</v>
      </c>
      <c r="J961" s="94" t="s">
        <v>1091</v>
      </c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>
      <c r="A962" s="89"/>
      <c r="B962" s="91" t="s">
        <v>1091</v>
      </c>
      <c r="C962" s="91" t="s">
        <v>1065</v>
      </c>
      <c r="D962" s="91" t="s">
        <v>1066</v>
      </c>
      <c r="E962" s="91" t="s">
        <v>1067</v>
      </c>
      <c r="F962" s="92">
        <v>74.43</v>
      </c>
      <c r="G962" s="93">
        <v>2.0</v>
      </c>
      <c r="H962" s="93">
        <v>37.215</v>
      </c>
      <c r="I962" s="94" t="s">
        <v>1091</v>
      </c>
      <c r="J962" s="94" t="s">
        <v>1091</v>
      </c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>
      <c r="A963" s="89"/>
      <c r="B963" s="91" t="s">
        <v>1091</v>
      </c>
      <c r="C963" s="91" t="s">
        <v>1094</v>
      </c>
      <c r="D963" s="91" t="s">
        <v>1068</v>
      </c>
      <c r="E963" s="91" t="s">
        <v>1083</v>
      </c>
      <c r="F963" s="92">
        <v>1.0</v>
      </c>
      <c r="G963" s="93" t="s">
        <v>30</v>
      </c>
      <c r="H963" s="93" t="s">
        <v>30</v>
      </c>
      <c r="I963" s="94" t="s">
        <v>1091</v>
      </c>
      <c r="J963" s="94" t="s">
        <v>1091</v>
      </c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>
      <c r="A964" s="89"/>
      <c r="B964" s="91" t="s">
        <v>1091</v>
      </c>
      <c r="C964" s="91" t="s">
        <v>1065</v>
      </c>
      <c r="D964" s="91" t="s">
        <v>1068</v>
      </c>
      <c r="E964" s="91" t="s">
        <v>1069</v>
      </c>
      <c r="F964" s="92">
        <v>1.06</v>
      </c>
      <c r="G964" s="93" t="s">
        <v>30</v>
      </c>
      <c r="H964" s="93" t="s">
        <v>30</v>
      </c>
      <c r="I964" s="94" t="s">
        <v>1091</v>
      </c>
      <c r="J964" s="94" t="s">
        <v>1091</v>
      </c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>
      <c r="A965" s="89"/>
      <c r="B965" s="91" t="s">
        <v>1091</v>
      </c>
      <c r="C965" s="91" t="s">
        <v>1092</v>
      </c>
      <c r="D965" s="91" t="s">
        <v>1068</v>
      </c>
      <c r="E965" s="91" t="s">
        <v>1070</v>
      </c>
      <c r="F965" s="92">
        <v>0.0</v>
      </c>
      <c r="G965" s="93" t="s">
        <v>30</v>
      </c>
      <c r="H965" s="93" t="s">
        <v>30</v>
      </c>
      <c r="I965" s="94" t="s">
        <v>1091</v>
      </c>
      <c r="J965" s="94" t="s">
        <v>1091</v>
      </c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>
      <c r="A966" s="89"/>
      <c r="B966" s="91" t="s">
        <v>1091</v>
      </c>
      <c r="C966" s="91" t="s">
        <v>1065</v>
      </c>
      <c r="D966" s="91" t="s">
        <v>1068</v>
      </c>
      <c r="E966" s="91" t="s">
        <v>1070</v>
      </c>
      <c r="F966" s="92">
        <v>1.47</v>
      </c>
      <c r="G966" s="93" t="s">
        <v>30</v>
      </c>
      <c r="H966" s="93" t="s">
        <v>30</v>
      </c>
      <c r="I966" s="94" t="s">
        <v>1091</v>
      </c>
      <c r="J966" s="94" t="s">
        <v>1091</v>
      </c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>
      <c r="A967" s="89"/>
      <c r="B967" s="91" t="s">
        <v>1091</v>
      </c>
      <c r="C967" s="91" t="s">
        <v>1093</v>
      </c>
      <c r="D967" s="91" t="s">
        <v>1068</v>
      </c>
      <c r="E967" s="91" t="s">
        <v>1070</v>
      </c>
      <c r="F967" s="92">
        <v>0.0</v>
      </c>
      <c r="G967" s="93" t="s">
        <v>30</v>
      </c>
      <c r="H967" s="93" t="s">
        <v>30</v>
      </c>
      <c r="I967" s="94" t="s">
        <v>1091</v>
      </c>
      <c r="J967" s="94" t="s">
        <v>1091</v>
      </c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>
      <c r="A968" s="89"/>
      <c r="B968" s="91" t="s">
        <v>1091</v>
      </c>
      <c r="C968" s="91" t="s">
        <v>1093</v>
      </c>
      <c r="D968" s="91" t="s">
        <v>1068</v>
      </c>
      <c r="E968" s="91" t="s">
        <v>1069</v>
      </c>
      <c r="F968" s="92">
        <v>0.0</v>
      </c>
      <c r="G968" s="93" t="s">
        <v>30</v>
      </c>
      <c r="H968" s="93" t="s">
        <v>30</v>
      </c>
      <c r="I968" s="94" t="s">
        <v>1091</v>
      </c>
      <c r="J968" s="94" t="s">
        <v>1091</v>
      </c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>
      <c r="A969" s="89"/>
      <c r="B969" s="91" t="s">
        <v>1091</v>
      </c>
      <c r="C969" s="91" t="s">
        <v>1065</v>
      </c>
      <c r="D969" s="91" t="s">
        <v>1066</v>
      </c>
      <c r="E969" s="91" t="s">
        <v>1072</v>
      </c>
      <c r="F969" s="92">
        <v>18.49</v>
      </c>
      <c r="G969" s="93">
        <v>1.0</v>
      </c>
      <c r="H969" s="93">
        <v>18.49</v>
      </c>
      <c r="I969" s="94" t="s">
        <v>1091</v>
      </c>
      <c r="J969" s="94" t="s">
        <v>1091</v>
      </c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>
      <c r="A970" s="89"/>
      <c r="B970" s="91" t="s">
        <v>1091</v>
      </c>
      <c r="C970" s="91" t="s">
        <v>1092</v>
      </c>
      <c r="D970" s="91" t="s">
        <v>1066</v>
      </c>
      <c r="E970" s="91" t="s">
        <v>1072</v>
      </c>
      <c r="F970" s="92">
        <v>0.06</v>
      </c>
      <c r="G970" s="93">
        <v>1.0</v>
      </c>
      <c r="H970" s="93">
        <v>0.06</v>
      </c>
      <c r="I970" s="94" t="s">
        <v>1091</v>
      </c>
      <c r="J970" s="94" t="s">
        <v>1091</v>
      </c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>
      <c r="A971" s="89"/>
      <c r="B971" s="91" t="s">
        <v>1091</v>
      </c>
      <c r="C971" s="91" t="s">
        <v>1074</v>
      </c>
      <c r="D971" s="91" t="s">
        <v>1066</v>
      </c>
      <c r="E971" s="91" t="s">
        <v>1072</v>
      </c>
      <c r="F971" s="92">
        <v>1.85</v>
      </c>
      <c r="G971" s="93" t="s">
        <v>30</v>
      </c>
      <c r="H971" s="93" t="s">
        <v>30</v>
      </c>
      <c r="I971" s="94" t="s">
        <v>1091</v>
      </c>
      <c r="J971" s="94" t="s">
        <v>1091</v>
      </c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>
      <c r="A972" s="89"/>
      <c r="B972" s="91" t="s">
        <v>1091</v>
      </c>
      <c r="C972" s="91" t="s">
        <v>1075</v>
      </c>
      <c r="D972" s="91" t="s">
        <v>1066</v>
      </c>
      <c r="E972" s="91" t="s">
        <v>1072</v>
      </c>
      <c r="F972" s="92">
        <v>0.03</v>
      </c>
      <c r="G972" s="93" t="s">
        <v>30</v>
      </c>
      <c r="H972" s="93" t="s">
        <v>30</v>
      </c>
      <c r="I972" s="94" t="s">
        <v>1091</v>
      </c>
      <c r="J972" s="94" t="s">
        <v>1091</v>
      </c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>
      <c r="A973" s="89"/>
      <c r="B973" s="91" t="s">
        <v>1091</v>
      </c>
      <c r="C973" s="91" t="s">
        <v>1073</v>
      </c>
      <c r="D973" s="91" t="s">
        <v>1066</v>
      </c>
      <c r="E973" s="91" t="s">
        <v>1067</v>
      </c>
      <c r="F973" s="92">
        <v>0.01</v>
      </c>
      <c r="G973" s="93" t="s">
        <v>30</v>
      </c>
      <c r="H973" s="93" t="s">
        <v>30</v>
      </c>
      <c r="I973" s="94" t="s">
        <v>1091</v>
      </c>
      <c r="J973" s="94" t="s">
        <v>1091</v>
      </c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>
      <c r="A974" s="89"/>
      <c r="B974" s="91" t="s">
        <v>1091</v>
      </c>
      <c r="C974" s="91" t="s">
        <v>1074</v>
      </c>
      <c r="D974" s="91" t="s">
        <v>1066</v>
      </c>
      <c r="E974" s="91" t="s">
        <v>1067</v>
      </c>
      <c r="F974" s="92">
        <v>1.08</v>
      </c>
      <c r="G974" s="93" t="s">
        <v>30</v>
      </c>
      <c r="H974" s="93" t="s">
        <v>30</v>
      </c>
      <c r="I974" s="94" t="s">
        <v>1091</v>
      </c>
      <c r="J974" s="94" t="s">
        <v>1091</v>
      </c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>
      <c r="A975" s="89"/>
      <c r="B975" s="91" t="s">
        <v>1091</v>
      </c>
      <c r="C975" s="91" t="s">
        <v>1071</v>
      </c>
      <c r="D975" s="91" t="s">
        <v>1066</v>
      </c>
      <c r="E975" s="91" t="s">
        <v>1067</v>
      </c>
      <c r="F975" s="92">
        <v>0.2</v>
      </c>
      <c r="G975" s="93" t="s">
        <v>30</v>
      </c>
      <c r="H975" s="93" t="s">
        <v>30</v>
      </c>
      <c r="I975" s="94" t="s">
        <v>1091</v>
      </c>
      <c r="J975" s="94" t="s">
        <v>1091</v>
      </c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>
      <c r="A976" s="89"/>
      <c r="B976" s="91" t="s">
        <v>1091</v>
      </c>
      <c r="C976" s="91" t="s">
        <v>1075</v>
      </c>
      <c r="D976" s="91" t="s">
        <v>1068</v>
      </c>
      <c r="E976" s="91" t="s">
        <v>1070</v>
      </c>
      <c r="F976" s="92">
        <v>0.0</v>
      </c>
      <c r="G976" s="93" t="s">
        <v>30</v>
      </c>
      <c r="H976" s="93" t="s">
        <v>30</v>
      </c>
      <c r="I976" s="94" t="s">
        <v>1091</v>
      </c>
      <c r="J976" s="94" t="s">
        <v>1091</v>
      </c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>
      <c r="A977" s="89"/>
      <c r="B977" s="91" t="s">
        <v>1091</v>
      </c>
      <c r="C977" s="91" t="s">
        <v>1074</v>
      </c>
      <c r="D977" s="91" t="s">
        <v>1068</v>
      </c>
      <c r="E977" s="91" t="s">
        <v>1070</v>
      </c>
      <c r="F977" s="92">
        <v>0.08</v>
      </c>
      <c r="G977" s="93" t="s">
        <v>30</v>
      </c>
      <c r="H977" s="93" t="s">
        <v>30</v>
      </c>
      <c r="I977" s="94" t="s">
        <v>1091</v>
      </c>
      <c r="J977" s="94" t="s">
        <v>1091</v>
      </c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>
      <c r="A978" s="89"/>
      <c r="B978" s="91" t="s">
        <v>1091</v>
      </c>
      <c r="C978" s="91" t="s">
        <v>1071</v>
      </c>
      <c r="D978" s="91" t="s">
        <v>1068</v>
      </c>
      <c r="E978" s="91" t="s">
        <v>1070</v>
      </c>
      <c r="F978" s="92">
        <v>0.01</v>
      </c>
      <c r="G978" s="93" t="s">
        <v>30</v>
      </c>
      <c r="H978" s="93" t="s">
        <v>30</v>
      </c>
      <c r="I978" s="94" t="s">
        <v>1091</v>
      </c>
      <c r="J978" s="94" t="s">
        <v>1091</v>
      </c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>
      <c r="A979" s="89"/>
      <c r="B979" s="91" t="s">
        <v>1091</v>
      </c>
      <c r="C979" s="91" t="s">
        <v>1074</v>
      </c>
      <c r="D979" s="91" t="s">
        <v>1068</v>
      </c>
      <c r="E979" s="91" t="s">
        <v>1069</v>
      </c>
      <c r="F979" s="92">
        <v>0.66</v>
      </c>
      <c r="G979" s="93" t="s">
        <v>30</v>
      </c>
      <c r="H979" s="93" t="s">
        <v>30</v>
      </c>
      <c r="I979" s="94" t="s">
        <v>1091</v>
      </c>
      <c r="J979" s="94" t="s">
        <v>1091</v>
      </c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>
      <c r="A980" s="89"/>
      <c r="B980" s="91" t="s">
        <v>1091</v>
      </c>
      <c r="C980" s="91" t="s">
        <v>1075</v>
      </c>
      <c r="D980" s="91" t="s">
        <v>1068</v>
      </c>
      <c r="E980" s="91" t="s">
        <v>1069</v>
      </c>
      <c r="F980" s="92">
        <v>0.0</v>
      </c>
      <c r="G980" s="93" t="s">
        <v>30</v>
      </c>
      <c r="H980" s="93" t="s">
        <v>30</v>
      </c>
      <c r="I980" s="94" t="s">
        <v>1091</v>
      </c>
      <c r="J980" s="94" t="s">
        <v>1091</v>
      </c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>
      <c r="A981" s="89"/>
      <c r="B981" s="91" t="s">
        <v>1091</v>
      </c>
      <c r="C981" s="91" t="s">
        <v>1073</v>
      </c>
      <c r="D981" s="91" t="s">
        <v>1068</v>
      </c>
      <c r="E981" s="91" t="s">
        <v>1083</v>
      </c>
      <c r="F981" s="92">
        <v>0.26</v>
      </c>
      <c r="G981" s="93" t="s">
        <v>30</v>
      </c>
      <c r="H981" s="93" t="s">
        <v>30</v>
      </c>
      <c r="I981" s="94" t="s">
        <v>1091</v>
      </c>
      <c r="J981" s="94" t="s">
        <v>1091</v>
      </c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>
      <c r="A982" s="89"/>
      <c r="B982" s="91" t="s">
        <v>1091</v>
      </c>
      <c r="C982" s="91" t="s">
        <v>1075</v>
      </c>
      <c r="D982" s="91" t="s">
        <v>1068</v>
      </c>
      <c r="E982" s="91" t="s">
        <v>1083</v>
      </c>
      <c r="F982" s="92">
        <v>0.01</v>
      </c>
      <c r="G982" s="93" t="s">
        <v>30</v>
      </c>
      <c r="H982" s="93" t="s">
        <v>30</v>
      </c>
      <c r="I982" s="94" t="s">
        <v>1091</v>
      </c>
      <c r="J982" s="94" t="s">
        <v>1091</v>
      </c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>
      <c r="A983" s="89"/>
      <c r="B983" s="91" t="s">
        <v>1091</v>
      </c>
      <c r="C983" s="91" t="s">
        <v>1074</v>
      </c>
      <c r="D983" s="91" t="s">
        <v>1068</v>
      </c>
      <c r="E983" s="91" t="s">
        <v>1083</v>
      </c>
      <c r="F983" s="92">
        <v>72.37</v>
      </c>
      <c r="G983" s="93" t="s">
        <v>30</v>
      </c>
      <c r="H983" s="93" t="s">
        <v>30</v>
      </c>
      <c r="I983" s="94" t="s">
        <v>1091</v>
      </c>
      <c r="J983" s="94" t="s">
        <v>1091</v>
      </c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>
      <c r="A984" s="89"/>
      <c r="B984" s="91" t="s">
        <v>1091</v>
      </c>
      <c r="C984" s="91" t="s">
        <v>1077</v>
      </c>
      <c r="D984" s="91" t="s">
        <v>1066</v>
      </c>
      <c r="E984" s="91" t="s">
        <v>1072</v>
      </c>
      <c r="F984" s="92">
        <v>0.0</v>
      </c>
      <c r="G984" s="93" t="s">
        <v>30</v>
      </c>
      <c r="H984" s="93" t="s">
        <v>30</v>
      </c>
      <c r="I984" s="94" t="s">
        <v>1091</v>
      </c>
      <c r="J984" s="94" t="s">
        <v>1091</v>
      </c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>
      <c r="A985" s="89"/>
      <c r="B985" s="91" t="s">
        <v>1091</v>
      </c>
      <c r="C985" s="91" t="s">
        <v>1076</v>
      </c>
      <c r="D985" s="91" t="s">
        <v>1066</v>
      </c>
      <c r="E985" s="91" t="s">
        <v>1072</v>
      </c>
      <c r="F985" s="92">
        <v>0.01</v>
      </c>
      <c r="G985" s="93" t="s">
        <v>30</v>
      </c>
      <c r="H985" s="93" t="s">
        <v>30</v>
      </c>
      <c r="I985" s="94" t="s">
        <v>1091</v>
      </c>
      <c r="J985" s="94" t="s">
        <v>1091</v>
      </c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>
      <c r="A986" s="89"/>
      <c r="B986" s="91" t="s">
        <v>1091</v>
      </c>
      <c r="C986" s="91" t="s">
        <v>1077</v>
      </c>
      <c r="D986" s="91" t="s">
        <v>1066</v>
      </c>
      <c r="E986" s="91" t="s">
        <v>1067</v>
      </c>
      <c r="F986" s="92">
        <v>1.24</v>
      </c>
      <c r="G986" s="93" t="s">
        <v>30</v>
      </c>
      <c r="H986" s="93" t="s">
        <v>30</v>
      </c>
      <c r="I986" s="94" t="s">
        <v>1091</v>
      </c>
      <c r="J986" s="94" t="s">
        <v>1091</v>
      </c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>
      <c r="A987" s="89"/>
      <c r="B987" s="91" t="s">
        <v>1091</v>
      </c>
      <c r="C987" s="91" t="s">
        <v>1076</v>
      </c>
      <c r="D987" s="91" t="s">
        <v>1068</v>
      </c>
      <c r="E987" s="91" t="s">
        <v>1070</v>
      </c>
      <c r="F987" s="92">
        <v>0.0</v>
      </c>
      <c r="G987" s="93" t="s">
        <v>30</v>
      </c>
      <c r="H987" s="93" t="s">
        <v>30</v>
      </c>
      <c r="I987" s="94" t="s">
        <v>1091</v>
      </c>
      <c r="J987" s="94" t="s">
        <v>1091</v>
      </c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>
      <c r="A988" s="89"/>
      <c r="B988" s="91" t="s">
        <v>1091</v>
      </c>
      <c r="C988" s="91" t="s">
        <v>1076</v>
      </c>
      <c r="D988" s="91" t="s">
        <v>1068</v>
      </c>
      <c r="E988" s="91" t="s">
        <v>1083</v>
      </c>
      <c r="F988" s="92">
        <v>0.0</v>
      </c>
      <c r="G988" s="93" t="s">
        <v>30</v>
      </c>
      <c r="H988" s="93" t="s">
        <v>30</v>
      </c>
      <c r="I988" s="94" t="s">
        <v>1091</v>
      </c>
      <c r="J988" s="94" t="s">
        <v>1091</v>
      </c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>
      <c r="A989" s="89"/>
      <c r="B989" s="91" t="s">
        <v>1091</v>
      </c>
      <c r="C989" s="91" t="s">
        <v>1077</v>
      </c>
      <c r="D989" s="91" t="s">
        <v>1068</v>
      </c>
      <c r="E989" s="91" t="s">
        <v>1083</v>
      </c>
      <c r="F989" s="92">
        <v>0.53</v>
      </c>
      <c r="G989" s="93" t="s">
        <v>30</v>
      </c>
      <c r="H989" s="93" t="s">
        <v>30</v>
      </c>
      <c r="I989" s="94" t="s">
        <v>1091</v>
      </c>
      <c r="J989" s="94" t="s">
        <v>1091</v>
      </c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>
      <c r="A990" s="89"/>
      <c r="B990" s="91" t="s">
        <v>1095</v>
      </c>
      <c r="C990" s="91" t="s">
        <v>1059</v>
      </c>
      <c r="D990" s="91" t="s">
        <v>1060</v>
      </c>
      <c r="E990" s="91" t="s">
        <v>1061</v>
      </c>
      <c r="F990" s="92">
        <v>29.25</v>
      </c>
      <c r="G990" s="93" t="s">
        <v>30</v>
      </c>
      <c r="H990" s="93" t="s">
        <v>30</v>
      </c>
      <c r="I990" s="94" t="s">
        <v>1095</v>
      </c>
      <c r="J990" s="94" t="s">
        <v>1095</v>
      </c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>
      <c r="A991" s="89"/>
      <c r="B991" s="91" t="s">
        <v>1095</v>
      </c>
      <c r="C991" s="91" t="s">
        <v>1062</v>
      </c>
      <c r="D991" s="91" t="s">
        <v>1060</v>
      </c>
      <c r="E991" s="91" t="s">
        <v>1061</v>
      </c>
      <c r="F991" s="92">
        <v>0.55</v>
      </c>
      <c r="G991" s="93" t="s">
        <v>30</v>
      </c>
      <c r="H991" s="93" t="s">
        <v>30</v>
      </c>
      <c r="I991" s="94" t="s">
        <v>1095</v>
      </c>
      <c r="J991" s="94" t="s">
        <v>1095</v>
      </c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>
      <c r="A992" s="89"/>
      <c r="B992" s="91" t="s">
        <v>1095</v>
      </c>
      <c r="C992" s="91" t="s">
        <v>1059</v>
      </c>
      <c r="D992" s="91" t="s">
        <v>1060</v>
      </c>
      <c r="E992" s="91" t="s">
        <v>1063</v>
      </c>
      <c r="F992" s="92">
        <v>0.0</v>
      </c>
      <c r="G992" s="93" t="s">
        <v>30</v>
      </c>
      <c r="H992" s="93" t="s">
        <v>30</v>
      </c>
      <c r="I992" s="94" t="s">
        <v>1095</v>
      </c>
      <c r="J992" s="94" t="s">
        <v>1095</v>
      </c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>
      <c r="A993" s="89"/>
      <c r="B993" s="91" t="s">
        <v>1095</v>
      </c>
      <c r="C993" s="91" t="s">
        <v>1062</v>
      </c>
      <c r="D993" s="91" t="s">
        <v>1060</v>
      </c>
      <c r="E993" s="91" t="s">
        <v>1064</v>
      </c>
      <c r="F993" s="92">
        <v>40.67</v>
      </c>
      <c r="G993" s="93" t="s">
        <v>30</v>
      </c>
      <c r="H993" s="93" t="s">
        <v>30</v>
      </c>
      <c r="I993" s="94" t="s">
        <v>1095</v>
      </c>
      <c r="J993" s="94" t="s">
        <v>1095</v>
      </c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>
      <c r="A994" s="89"/>
      <c r="B994" s="91" t="s">
        <v>1095</v>
      </c>
      <c r="C994" s="91" t="s">
        <v>1059</v>
      </c>
      <c r="D994" s="91" t="s">
        <v>1060</v>
      </c>
      <c r="E994" s="91" t="s">
        <v>1064</v>
      </c>
      <c r="F994" s="92">
        <v>194.59</v>
      </c>
      <c r="G994" s="93" t="s">
        <v>30</v>
      </c>
      <c r="H994" s="93" t="s">
        <v>30</v>
      </c>
      <c r="I994" s="94" t="s">
        <v>1095</v>
      </c>
      <c r="J994" s="94" t="s">
        <v>1095</v>
      </c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>
      <c r="A995" s="89"/>
      <c r="B995" s="91" t="s">
        <v>1095</v>
      </c>
      <c r="C995" s="91" t="s">
        <v>1092</v>
      </c>
      <c r="D995" s="91" t="s">
        <v>1068</v>
      </c>
      <c r="E995" s="91" t="s">
        <v>1069</v>
      </c>
      <c r="F995" s="92">
        <v>0.05</v>
      </c>
      <c r="G995" s="93" t="s">
        <v>30</v>
      </c>
      <c r="H995" s="93" t="s">
        <v>30</v>
      </c>
      <c r="I995" s="94" t="s">
        <v>1095</v>
      </c>
      <c r="J995" s="94" t="s">
        <v>1095</v>
      </c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>
      <c r="A996" s="89"/>
      <c r="B996" s="91" t="s">
        <v>1095</v>
      </c>
      <c r="C996" s="91" t="s">
        <v>1094</v>
      </c>
      <c r="D996" s="91" t="s">
        <v>1066</v>
      </c>
      <c r="E996" s="91" t="s">
        <v>1067</v>
      </c>
      <c r="F996" s="92">
        <v>0.0</v>
      </c>
      <c r="G996" s="93" t="s">
        <v>30</v>
      </c>
      <c r="H996" s="93" t="s">
        <v>30</v>
      </c>
      <c r="I996" s="94" t="s">
        <v>1095</v>
      </c>
      <c r="J996" s="94" t="s">
        <v>1095</v>
      </c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>
      <c r="A997" s="89"/>
      <c r="B997" s="91" t="s">
        <v>1095</v>
      </c>
      <c r="C997" s="91" t="s">
        <v>1093</v>
      </c>
      <c r="D997" s="91" t="s">
        <v>1066</v>
      </c>
      <c r="E997" s="91" t="s">
        <v>1072</v>
      </c>
      <c r="F997" s="92">
        <v>9.43</v>
      </c>
      <c r="G997" s="93">
        <v>1.0</v>
      </c>
      <c r="H997" s="93">
        <v>9.43</v>
      </c>
      <c r="I997" s="94" t="s">
        <v>1095</v>
      </c>
      <c r="J997" s="94" t="s">
        <v>1095</v>
      </c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>
      <c r="A998" s="89"/>
      <c r="B998" s="91" t="s">
        <v>1095</v>
      </c>
      <c r="C998" s="91" t="s">
        <v>1093</v>
      </c>
      <c r="D998" s="91" t="s">
        <v>1066</v>
      </c>
      <c r="E998" s="91" t="s">
        <v>1067</v>
      </c>
      <c r="F998" s="92">
        <v>1.38</v>
      </c>
      <c r="G998" s="93" t="s">
        <v>30</v>
      </c>
      <c r="H998" s="93" t="s">
        <v>30</v>
      </c>
      <c r="I998" s="94" t="s">
        <v>1095</v>
      </c>
      <c r="J998" s="94" t="s">
        <v>1095</v>
      </c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>
      <c r="A999" s="89"/>
      <c r="B999" s="91" t="s">
        <v>1095</v>
      </c>
      <c r="C999" s="91" t="s">
        <v>1065</v>
      </c>
      <c r="D999" s="91" t="s">
        <v>1068</v>
      </c>
      <c r="E999" s="91" t="s">
        <v>1083</v>
      </c>
      <c r="F999" s="92">
        <v>369.08</v>
      </c>
      <c r="G999" s="93">
        <v>4.0</v>
      </c>
      <c r="H999" s="93">
        <v>92.27</v>
      </c>
      <c r="I999" s="94" t="s">
        <v>1095</v>
      </c>
      <c r="J999" s="94" t="s">
        <v>1095</v>
      </c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>
      <c r="A1000" s="89"/>
      <c r="B1000" s="91" t="s">
        <v>1095</v>
      </c>
      <c r="C1000" s="91" t="s">
        <v>1093</v>
      </c>
      <c r="D1000" s="91" t="s">
        <v>1068</v>
      </c>
      <c r="E1000" s="91" t="s">
        <v>1083</v>
      </c>
      <c r="F1000" s="92">
        <v>69.08</v>
      </c>
      <c r="G1000" s="93" t="s">
        <v>30</v>
      </c>
      <c r="H1000" s="93" t="s">
        <v>30</v>
      </c>
      <c r="I1000" s="94" t="s">
        <v>1095</v>
      </c>
      <c r="J1000" s="94" t="s">
        <v>1095</v>
      </c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  <row r="1001">
      <c r="A1001" s="89"/>
      <c r="B1001" s="91" t="s">
        <v>1095</v>
      </c>
      <c r="C1001" s="91" t="s">
        <v>1092</v>
      </c>
      <c r="D1001" s="91" t="s">
        <v>1068</v>
      </c>
      <c r="E1001" s="91" t="s">
        <v>1083</v>
      </c>
      <c r="F1001" s="92">
        <v>9.93</v>
      </c>
      <c r="G1001" s="93" t="s">
        <v>30</v>
      </c>
      <c r="H1001" s="93" t="s">
        <v>30</v>
      </c>
      <c r="I1001" s="94" t="s">
        <v>1095</v>
      </c>
      <c r="J1001" s="94" t="s">
        <v>1095</v>
      </c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</row>
    <row r="1002">
      <c r="A1002" s="89"/>
      <c r="B1002" s="91" t="s">
        <v>1095</v>
      </c>
      <c r="C1002" s="91" t="s">
        <v>1065</v>
      </c>
      <c r="D1002" s="91" t="s">
        <v>1066</v>
      </c>
      <c r="E1002" s="91" t="s">
        <v>1067</v>
      </c>
      <c r="F1002" s="92">
        <v>38.12</v>
      </c>
      <c r="G1002" s="93">
        <v>1.0</v>
      </c>
      <c r="H1002" s="93">
        <v>38.12</v>
      </c>
      <c r="I1002" s="94" t="s">
        <v>1095</v>
      </c>
      <c r="J1002" s="94" t="s">
        <v>1095</v>
      </c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</row>
    <row r="1003">
      <c r="A1003" s="89"/>
      <c r="B1003" s="91" t="s">
        <v>1095</v>
      </c>
      <c r="C1003" s="91" t="s">
        <v>1094</v>
      </c>
      <c r="D1003" s="91" t="s">
        <v>1068</v>
      </c>
      <c r="E1003" s="91" t="s">
        <v>1083</v>
      </c>
      <c r="F1003" s="92">
        <v>4.93</v>
      </c>
      <c r="G1003" s="93" t="s">
        <v>30</v>
      </c>
      <c r="H1003" s="93" t="s">
        <v>30</v>
      </c>
      <c r="I1003" s="94" t="s">
        <v>1095</v>
      </c>
      <c r="J1003" s="94" t="s">
        <v>1095</v>
      </c>
      <c r="K1003" s="89"/>
      <c r="L1003" s="89"/>
      <c r="M1003" s="89"/>
      <c r="N1003" s="89"/>
      <c r="O1003" s="89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</row>
    <row r="1004">
      <c r="A1004" s="89"/>
      <c r="B1004" s="91" t="s">
        <v>1095</v>
      </c>
      <c r="C1004" s="91" t="s">
        <v>1065</v>
      </c>
      <c r="D1004" s="91" t="s">
        <v>1068</v>
      </c>
      <c r="E1004" s="91" t="s">
        <v>1069</v>
      </c>
      <c r="F1004" s="92">
        <v>0.92</v>
      </c>
      <c r="G1004" s="93" t="s">
        <v>30</v>
      </c>
      <c r="H1004" s="93" t="s">
        <v>30</v>
      </c>
      <c r="I1004" s="94" t="s">
        <v>1095</v>
      </c>
      <c r="J1004" s="94" t="s">
        <v>1095</v>
      </c>
      <c r="K1004" s="89"/>
      <c r="L1004" s="89"/>
      <c r="M1004" s="89"/>
      <c r="N1004" s="89"/>
      <c r="O1004" s="89"/>
      <c r="P1004" s="89"/>
      <c r="Q1004" s="89"/>
      <c r="R1004" s="89"/>
      <c r="S1004" s="89"/>
      <c r="T1004" s="89"/>
      <c r="U1004" s="89"/>
      <c r="V1004" s="89"/>
      <c r="W1004" s="89"/>
      <c r="X1004" s="89"/>
      <c r="Y1004" s="89"/>
      <c r="Z1004" s="89"/>
    </row>
    <row r="1005">
      <c r="A1005" s="89"/>
      <c r="B1005" s="91" t="s">
        <v>1095</v>
      </c>
      <c r="C1005" s="91" t="s">
        <v>1092</v>
      </c>
      <c r="D1005" s="91" t="s">
        <v>1068</v>
      </c>
      <c r="E1005" s="91" t="s">
        <v>1070</v>
      </c>
      <c r="F1005" s="92">
        <v>0.1</v>
      </c>
      <c r="G1005" s="93" t="s">
        <v>30</v>
      </c>
      <c r="H1005" s="93" t="s">
        <v>30</v>
      </c>
      <c r="I1005" s="94" t="s">
        <v>1095</v>
      </c>
      <c r="J1005" s="94" t="s">
        <v>1095</v>
      </c>
      <c r="K1005" s="89"/>
      <c r="L1005" s="89"/>
      <c r="M1005" s="89"/>
      <c r="N1005" s="89"/>
      <c r="O1005" s="89"/>
      <c r="P1005" s="89"/>
      <c r="Q1005" s="89"/>
      <c r="R1005" s="89"/>
      <c r="S1005" s="89"/>
      <c r="T1005" s="89"/>
      <c r="U1005" s="89"/>
      <c r="V1005" s="89"/>
      <c r="W1005" s="89"/>
      <c r="X1005" s="89"/>
      <c r="Y1005" s="89"/>
      <c r="Z1005" s="89"/>
    </row>
    <row r="1006">
      <c r="A1006" s="89"/>
      <c r="B1006" s="91" t="s">
        <v>1095</v>
      </c>
      <c r="C1006" s="91" t="s">
        <v>1065</v>
      </c>
      <c r="D1006" s="91" t="s">
        <v>1068</v>
      </c>
      <c r="E1006" s="91" t="s">
        <v>1070</v>
      </c>
      <c r="F1006" s="92">
        <v>1.41</v>
      </c>
      <c r="G1006" s="93" t="s">
        <v>30</v>
      </c>
      <c r="H1006" s="93" t="s">
        <v>30</v>
      </c>
      <c r="I1006" s="94" t="s">
        <v>1095</v>
      </c>
      <c r="J1006" s="94" t="s">
        <v>1095</v>
      </c>
      <c r="K1006" s="89"/>
      <c r="L1006" s="89"/>
      <c r="M1006" s="89"/>
      <c r="N1006" s="89"/>
      <c r="O1006" s="89"/>
      <c r="P1006" s="89"/>
      <c r="Q1006" s="89"/>
      <c r="R1006" s="89"/>
      <c r="S1006" s="89"/>
      <c r="T1006" s="89"/>
      <c r="U1006" s="89"/>
      <c r="V1006" s="89"/>
      <c r="W1006" s="89"/>
      <c r="X1006" s="89"/>
      <c r="Y1006" s="89"/>
      <c r="Z1006" s="89"/>
    </row>
    <row r="1007">
      <c r="A1007" s="89"/>
      <c r="B1007" s="91" t="s">
        <v>1095</v>
      </c>
      <c r="C1007" s="91" t="s">
        <v>1093</v>
      </c>
      <c r="D1007" s="91" t="s">
        <v>1068</v>
      </c>
      <c r="E1007" s="91" t="s">
        <v>1070</v>
      </c>
      <c r="F1007" s="92">
        <v>0.12</v>
      </c>
      <c r="G1007" s="93" t="s">
        <v>30</v>
      </c>
      <c r="H1007" s="93" t="s">
        <v>30</v>
      </c>
      <c r="I1007" s="94" t="s">
        <v>1095</v>
      </c>
      <c r="J1007" s="94" t="s">
        <v>1095</v>
      </c>
      <c r="K1007" s="89"/>
      <c r="L1007" s="89"/>
      <c r="M1007" s="89"/>
      <c r="N1007" s="89"/>
      <c r="O1007" s="89"/>
      <c r="P1007" s="89"/>
      <c r="Q1007" s="89"/>
      <c r="R1007" s="89"/>
      <c r="S1007" s="89"/>
      <c r="T1007" s="89"/>
      <c r="U1007" s="89"/>
      <c r="V1007" s="89"/>
      <c r="W1007" s="89"/>
      <c r="X1007" s="89"/>
      <c r="Y1007" s="89"/>
      <c r="Z1007" s="89"/>
    </row>
    <row r="1008">
      <c r="A1008" s="89"/>
      <c r="B1008" s="91" t="s">
        <v>1095</v>
      </c>
      <c r="C1008" s="91" t="s">
        <v>1093</v>
      </c>
      <c r="D1008" s="91" t="s">
        <v>1068</v>
      </c>
      <c r="E1008" s="91" t="s">
        <v>1069</v>
      </c>
      <c r="F1008" s="92">
        <v>0.14</v>
      </c>
      <c r="G1008" s="93" t="s">
        <v>30</v>
      </c>
      <c r="H1008" s="93" t="s">
        <v>30</v>
      </c>
      <c r="I1008" s="94" t="s">
        <v>1095</v>
      </c>
      <c r="J1008" s="94" t="s">
        <v>1095</v>
      </c>
      <c r="K1008" s="89"/>
      <c r="L1008" s="89"/>
      <c r="M1008" s="89"/>
      <c r="N1008" s="89"/>
      <c r="O1008" s="89"/>
      <c r="P1008" s="89"/>
      <c r="Q1008" s="89"/>
      <c r="R1008" s="89"/>
      <c r="S1008" s="89"/>
      <c r="T1008" s="89"/>
      <c r="U1008" s="89"/>
      <c r="V1008" s="89"/>
      <c r="W1008" s="89"/>
      <c r="X1008" s="89"/>
      <c r="Y1008" s="89"/>
      <c r="Z1008" s="89"/>
    </row>
    <row r="1009">
      <c r="A1009" s="89"/>
      <c r="B1009" s="91" t="s">
        <v>1095</v>
      </c>
      <c r="C1009" s="91" t="s">
        <v>1094</v>
      </c>
      <c r="D1009" s="91" t="s">
        <v>1068</v>
      </c>
      <c r="E1009" s="91" t="s">
        <v>1070</v>
      </c>
      <c r="F1009" s="92">
        <v>0.0</v>
      </c>
      <c r="G1009" s="93" t="s">
        <v>30</v>
      </c>
      <c r="H1009" s="93" t="s">
        <v>30</v>
      </c>
      <c r="I1009" s="94" t="s">
        <v>1095</v>
      </c>
      <c r="J1009" s="94" t="s">
        <v>1095</v>
      </c>
      <c r="K1009" s="89"/>
      <c r="L1009" s="89"/>
      <c r="M1009" s="89"/>
      <c r="N1009" s="89"/>
      <c r="O1009" s="89"/>
      <c r="P1009" s="89"/>
      <c r="Q1009" s="89"/>
      <c r="R1009" s="89"/>
      <c r="S1009" s="89"/>
      <c r="T1009" s="89"/>
      <c r="U1009" s="89"/>
      <c r="V1009" s="89"/>
      <c r="W1009" s="89"/>
      <c r="X1009" s="89"/>
      <c r="Y1009" s="89"/>
      <c r="Z1009" s="89"/>
    </row>
    <row r="1010">
      <c r="A1010" s="89"/>
      <c r="B1010" s="91" t="s">
        <v>1095</v>
      </c>
      <c r="C1010" s="91" t="s">
        <v>1065</v>
      </c>
      <c r="D1010" s="91" t="s">
        <v>1066</v>
      </c>
      <c r="E1010" s="91" t="s">
        <v>1072</v>
      </c>
      <c r="F1010" s="92">
        <v>25.02</v>
      </c>
      <c r="G1010" s="93" t="s">
        <v>30</v>
      </c>
      <c r="H1010" s="93" t="s">
        <v>30</v>
      </c>
      <c r="I1010" s="94" t="s">
        <v>1095</v>
      </c>
      <c r="J1010" s="94" t="s">
        <v>1095</v>
      </c>
      <c r="K1010" s="89"/>
      <c r="L1010" s="89"/>
      <c r="M1010" s="89"/>
      <c r="N1010" s="89"/>
      <c r="O1010" s="89"/>
      <c r="P1010" s="89"/>
      <c r="Q1010" s="89"/>
      <c r="R1010" s="89"/>
      <c r="S1010" s="89"/>
      <c r="T1010" s="89"/>
      <c r="U1010" s="89"/>
      <c r="V1010" s="89"/>
      <c r="W1010" s="89"/>
      <c r="X1010" s="89"/>
      <c r="Y1010" s="89"/>
      <c r="Z1010" s="89"/>
    </row>
    <row r="1011">
      <c r="A1011" s="89"/>
      <c r="B1011" s="91" t="s">
        <v>1095</v>
      </c>
      <c r="C1011" s="91" t="s">
        <v>1092</v>
      </c>
      <c r="D1011" s="91" t="s">
        <v>1066</v>
      </c>
      <c r="E1011" s="91" t="s">
        <v>1072</v>
      </c>
      <c r="F1011" s="92">
        <v>0.41</v>
      </c>
      <c r="G1011" s="93" t="s">
        <v>30</v>
      </c>
      <c r="H1011" s="93" t="s">
        <v>30</v>
      </c>
      <c r="I1011" s="94" t="s">
        <v>1095</v>
      </c>
      <c r="J1011" s="94" t="s">
        <v>1095</v>
      </c>
      <c r="K1011" s="89"/>
      <c r="L1011" s="89"/>
      <c r="M1011" s="89"/>
      <c r="N1011" s="89"/>
      <c r="O1011" s="89"/>
      <c r="P1011" s="89"/>
      <c r="Q1011" s="89"/>
      <c r="R1011" s="89"/>
      <c r="S1011" s="89"/>
      <c r="T1011" s="89"/>
      <c r="U1011" s="89"/>
      <c r="V1011" s="89"/>
      <c r="W1011" s="89"/>
      <c r="X1011" s="89"/>
      <c r="Y1011" s="89"/>
      <c r="Z1011" s="89"/>
    </row>
    <row r="1012">
      <c r="A1012" s="89"/>
      <c r="B1012" s="91" t="s">
        <v>1095</v>
      </c>
      <c r="C1012" s="91" t="s">
        <v>1094</v>
      </c>
      <c r="D1012" s="91" t="s">
        <v>1066</v>
      </c>
      <c r="E1012" s="91" t="s">
        <v>1072</v>
      </c>
      <c r="F1012" s="92">
        <v>0.04</v>
      </c>
      <c r="G1012" s="93" t="s">
        <v>30</v>
      </c>
      <c r="H1012" s="93" t="s">
        <v>30</v>
      </c>
      <c r="I1012" s="94" t="s">
        <v>1095</v>
      </c>
      <c r="J1012" s="94" t="s">
        <v>1095</v>
      </c>
      <c r="K1012" s="89"/>
      <c r="L1012" s="89"/>
      <c r="M1012" s="89"/>
      <c r="N1012" s="89"/>
      <c r="O1012" s="89"/>
      <c r="P1012" s="89"/>
      <c r="Q1012" s="89"/>
      <c r="R1012" s="89"/>
      <c r="S1012" s="89"/>
      <c r="T1012" s="89"/>
      <c r="U1012" s="89"/>
      <c r="V1012" s="89"/>
      <c r="W1012" s="89"/>
      <c r="X1012" s="89"/>
      <c r="Y1012" s="89"/>
      <c r="Z1012" s="89"/>
    </row>
    <row r="1013">
      <c r="A1013" s="89"/>
      <c r="B1013" s="91" t="s">
        <v>1096</v>
      </c>
      <c r="C1013" s="91" t="s">
        <v>1059</v>
      </c>
      <c r="D1013" s="91" t="s">
        <v>1060</v>
      </c>
      <c r="E1013" s="91" t="s">
        <v>1061</v>
      </c>
      <c r="F1013" s="92">
        <v>34.44</v>
      </c>
      <c r="G1013" s="93" t="s">
        <v>30</v>
      </c>
      <c r="H1013" s="93" t="s">
        <v>30</v>
      </c>
      <c r="I1013" s="94" t="s">
        <v>1096</v>
      </c>
      <c r="J1013" s="94" t="s">
        <v>1096</v>
      </c>
      <c r="K1013" s="89"/>
      <c r="L1013" s="89"/>
      <c r="M1013" s="89"/>
      <c r="N1013" s="89"/>
      <c r="O1013" s="89"/>
      <c r="P1013" s="89"/>
      <c r="Q1013" s="89"/>
      <c r="R1013" s="89"/>
      <c r="S1013" s="89"/>
      <c r="T1013" s="89"/>
      <c r="U1013" s="89"/>
      <c r="V1013" s="89"/>
      <c r="W1013" s="89"/>
      <c r="X1013" s="89"/>
      <c r="Y1013" s="89"/>
      <c r="Z1013" s="89"/>
    </row>
    <row r="1014">
      <c r="A1014" s="89"/>
      <c r="B1014" s="91" t="s">
        <v>1096</v>
      </c>
      <c r="C1014" s="91" t="s">
        <v>1062</v>
      </c>
      <c r="D1014" s="91" t="s">
        <v>1060</v>
      </c>
      <c r="E1014" s="91" t="s">
        <v>1061</v>
      </c>
      <c r="F1014" s="92">
        <v>0.09</v>
      </c>
      <c r="G1014" s="93" t="s">
        <v>30</v>
      </c>
      <c r="H1014" s="93" t="s">
        <v>30</v>
      </c>
      <c r="I1014" s="94" t="s">
        <v>1096</v>
      </c>
      <c r="J1014" s="94" t="s">
        <v>1096</v>
      </c>
      <c r="K1014" s="89"/>
      <c r="L1014" s="89"/>
      <c r="M1014" s="89"/>
      <c r="N1014" s="89"/>
      <c r="O1014" s="89"/>
      <c r="P1014" s="89"/>
      <c r="Q1014" s="89"/>
      <c r="R1014" s="89"/>
      <c r="S1014" s="89"/>
      <c r="T1014" s="89"/>
      <c r="U1014" s="89"/>
      <c r="V1014" s="89"/>
      <c r="W1014" s="89"/>
      <c r="X1014" s="89"/>
      <c r="Y1014" s="89"/>
      <c r="Z1014" s="89"/>
    </row>
    <row r="1015">
      <c r="A1015" s="89"/>
      <c r="B1015" s="91" t="s">
        <v>1096</v>
      </c>
      <c r="C1015" s="91" t="s">
        <v>1059</v>
      </c>
      <c r="D1015" s="91" t="s">
        <v>1060</v>
      </c>
      <c r="E1015" s="91" t="s">
        <v>1063</v>
      </c>
      <c r="F1015" s="92">
        <v>0.0</v>
      </c>
      <c r="G1015" s="93" t="s">
        <v>30</v>
      </c>
      <c r="H1015" s="93" t="s">
        <v>30</v>
      </c>
      <c r="I1015" s="94" t="s">
        <v>1096</v>
      </c>
      <c r="J1015" s="94" t="s">
        <v>1096</v>
      </c>
      <c r="K1015" s="89"/>
      <c r="L1015" s="89"/>
      <c r="M1015" s="89"/>
      <c r="N1015" s="89"/>
      <c r="O1015" s="89"/>
      <c r="P1015" s="89"/>
      <c r="Q1015" s="89"/>
      <c r="R1015" s="89"/>
      <c r="S1015" s="89"/>
      <c r="T1015" s="89"/>
      <c r="U1015" s="89"/>
      <c r="V1015" s="89"/>
      <c r="W1015" s="89"/>
      <c r="X1015" s="89"/>
      <c r="Y1015" s="89"/>
      <c r="Z1015" s="89"/>
    </row>
    <row r="1016">
      <c r="A1016" s="89"/>
      <c r="B1016" s="91" t="s">
        <v>1096</v>
      </c>
      <c r="C1016" s="91" t="s">
        <v>1062</v>
      </c>
      <c r="D1016" s="91" t="s">
        <v>1060</v>
      </c>
      <c r="E1016" s="91" t="s">
        <v>1064</v>
      </c>
      <c r="F1016" s="92">
        <v>19.1</v>
      </c>
      <c r="G1016" s="93" t="s">
        <v>30</v>
      </c>
      <c r="H1016" s="93" t="s">
        <v>30</v>
      </c>
      <c r="I1016" s="94" t="s">
        <v>1096</v>
      </c>
      <c r="J1016" s="94" t="s">
        <v>1096</v>
      </c>
      <c r="K1016" s="89"/>
      <c r="L1016" s="89"/>
      <c r="M1016" s="89"/>
      <c r="N1016" s="89"/>
      <c r="O1016" s="89"/>
      <c r="P1016" s="89"/>
      <c r="Q1016" s="89"/>
      <c r="R1016" s="89"/>
      <c r="S1016" s="89"/>
      <c r="T1016" s="89"/>
      <c r="U1016" s="89"/>
      <c r="V1016" s="89"/>
      <c r="W1016" s="89"/>
      <c r="X1016" s="89"/>
      <c r="Y1016" s="89"/>
      <c r="Z1016" s="89"/>
    </row>
    <row r="1017">
      <c r="A1017" s="89"/>
      <c r="B1017" s="91" t="s">
        <v>1096</v>
      </c>
      <c r="C1017" s="91" t="s">
        <v>1059</v>
      </c>
      <c r="D1017" s="91" t="s">
        <v>1060</v>
      </c>
      <c r="E1017" s="91" t="s">
        <v>1064</v>
      </c>
      <c r="F1017" s="92">
        <v>215.86</v>
      </c>
      <c r="G1017" s="93" t="s">
        <v>30</v>
      </c>
      <c r="H1017" s="93" t="s">
        <v>30</v>
      </c>
      <c r="I1017" s="94" t="s">
        <v>1096</v>
      </c>
      <c r="J1017" s="94" t="s">
        <v>1096</v>
      </c>
      <c r="K1017" s="89"/>
      <c r="L1017" s="89"/>
      <c r="M1017" s="89"/>
      <c r="N1017" s="89"/>
      <c r="O1017" s="89"/>
      <c r="P1017" s="89"/>
      <c r="Q1017" s="89"/>
      <c r="R1017" s="89"/>
      <c r="S1017" s="89"/>
      <c r="T1017" s="89"/>
      <c r="U1017" s="89"/>
      <c r="V1017" s="89"/>
      <c r="W1017" s="89"/>
      <c r="X1017" s="89"/>
      <c r="Y1017" s="89"/>
      <c r="Z1017" s="89"/>
    </row>
    <row r="1018">
      <c r="A1018" s="89"/>
      <c r="B1018" s="91" t="s">
        <v>1096</v>
      </c>
      <c r="C1018" s="91" t="s">
        <v>1092</v>
      </c>
      <c r="D1018" s="91" t="s">
        <v>1068</v>
      </c>
      <c r="E1018" s="91" t="s">
        <v>1069</v>
      </c>
      <c r="F1018" s="92">
        <v>0.45</v>
      </c>
      <c r="G1018" s="93" t="s">
        <v>30</v>
      </c>
      <c r="H1018" s="93" t="s">
        <v>30</v>
      </c>
      <c r="I1018" s="94" t="s">
        <v>1096</v>
      </c>
      <c r="J1018" s="94" t="s">
        <v>1096</v>
      </c>
      <c r="K1018" s="89"/>
      <c r="L1018" s="89"/>
      <c r="M1018" s="89"/>
      <c r="N1018" s="89"/>
      <c r="O1018" s="89"/>
      <c r="P1018" s="89"/>
      <c r="Q1018" s="89"/>
      <c r="R1018" s="89"/>
      <c r="S1018" s="89"/>
      <c r="T1018" s="89"/>
      <c r="U1018" s="89"/>
      <c r="V1018" s="89"/>
      <c r="W1018" s="89"/>
      <c r="X1018" s="89"/>
      <c r="Y1018" s="89"/>
      <c r="Z1018" s="89"/>
    </row>
    <row r="1019">
      <c r="A1019" s="89"/>
      <c r="B1019" s="91" t="s">
        <v>1096</v>
      </c>
      <c r="C1019" s="91" t="s">
        <v>1094</v>
      </c>
      <c r="D1019" s="91" t="s">
        <v>1066</v>
      </c>
      <c r="E1019" s="91" t="s">
        <v>1067</v>
      </c>
      <c r="F1019" s="92">
        <v>0.0</v>
      </c>
      <c r="G1019" s="93" t="s">
        <v>30</v>
      </c>
      <c r="H1019" s="93" t="s">
        <v>30</v>
      </c>
      <c r="I1019" s="94" t="s">
        <v>1096</v>
      </c>
      <c r="J1019" s="94" t="s">
        <v>1096</v>
      </c>
      <c r="K1019" s="89"/>
      <c r="L1019" s="89"/>
      <c r="M1019" s="89"/>
      <c r="N1019" s="89"/>
      <c r="O1019" s="89"/>
      <c r="P1019" s="89"/>
      <c r="Q1019" s="89"/>
      <c r="R1019" s="89"/>
      <c r="S1019" s="89"/>
      <c r="T1019" s="89"/>
      <c r="U1019" s="89"/>
      <c r="V1019" s="89"/>
      <c r="W1019" s="89"/>
      <c r="X1019" s="89"/>
      <c r="Y1019" s="89"/>
      <c r="Z1019" s="89"/>
    </row>
    <row r="1020">
      <c r="A1020" s="89"/>
      <c r="B1020" s="91" t="s">
        <v>1096</v>
      </c>
      <c r="C1020" s="91" t="s">
        <v>1093</v>
      </c>
      <c r="D1020" s="91" t="s">
        <v>1066</v>
      </c>
      <c r="E1020" s="91" t="s">
        <v>1072</v>
      </c>
      <c r="F1020" s="92">
        <v>6.9</v>
      </c>
      <c r="G1020" s="93" t="s">
        <v>30</v>
      </c>
      <c r="H1020" s="93" t="s">
        <v>30</v>
      </c>
      <c r="I1020" s="94" t="s">
        <v>1096</v>
      </c>
      <c r="J1020" s="94" t="s">
        <v>1096</v>
      </c>
      <c r="K1020" s="89"/>
      <c r="L1020" s="89"/>
      <c r="M1020" s="89"/>
      <c r="N1020" s="89"/>
      <c r="O1020" s="89"/>
      <c r="P1020" s="89"/>
      <c r="Q1020" s="89"/>
      <c r="R1020" s="89"/>
      <c r="S1020" s="89"/>
      <c r="T1020" s="89"/>
      <c r="U1020" s="89"/>
      <c r="V1020" s="89"/>
      <c r="W1020" s="89"/>
      <c r="X1020" s="89"/>
      <c r="Y1020" s="89"/>
      <c r="Z1020" s="89"/>
    </row>
    <row r="1021">
      <c r="A1021" s="89"/>
      <c r="B1021" s="91" t="s">
        <v>1096</v>
      </c>
      <c r="C1021" s="91" t="s">
        <v>1092</v>
      </c>
      <c r="D1021" s="91" t="s">
        <v>1066</v>
      </c>
      <c r="E1021" s="91" t="s">
        <v>1067</v>
      </c>
      <c r="F1021" s="92">
        <v>0.12</v>
      </c>
      <c r="G1021" s="93" t="s">
        <v>30</v>
      </c>
      <c r="H1021" s="93" t="s">
        <v>30</v>
      </c>
      <c r="I1021" s="94" t="s">
        <v>1096</v>
      </c>
      <c r="J1021" s="94" t="s">
        <v>1096</v>
      </c>
      <c r="K1021" s="89"/>
      <c r="L1021" s="89"/>
      <c r="M1021" s="89"/>
      <c r="N1021" s="89"/>
      <c r="O1021" s="89"/>
      <c r="P1021" s="89"/>
      <c r="Q1021" s="89"/>
      <c r="R1021" s="89"/>
      <c r="S1021" s="89"/>
      <c r="T1021" s="89"/>
      <c r="U1021" s="89"/>
      <c r="V1021" s="89"/>
      <c r="W1021" s="89"/>
      <c r="X1021" s="89"/>
      <c r="Y1021" s="89"/>
      <c r="Z1021" s="89"/>
    </row>
    <row r="1022">
      <c r="A1022" s="89"/>
      <c r="B1022" s="91" t="s">
        <v>1096</v>
      </c>
      <c r="C1022" s="91" t="s">
        <v>1065</v>
      </c>
      <c r="D1022" s="91" t="s">
        <v>1068</v>
      </c>
      <c r="E1022" s="91" t="s">
        <v>1083</v>
      </c>
      <c r="F1022" s="92">
        <v>131.46</v>
      </c>
      <c r="G1022" s="93">
        <v>1.0</v>
      </c>
      <c r="H1022" s="93">
        <v>131.46</v>
      </c>
      <c r="I1022" s="94" t="s">
        <v>1096</v>
      </c>
      <c r="J1022" s="94" t="s">
        <v>1096</v>
      </c>
      <c r="K1022" s="89"/>
      <c r="L1022" s="89"/>
      <c r="M1022" s="89"/>
      <c r="N1022" s="89"/>
      <c r="O1022" s="89"/>
      <c r="P1022" s="89"/>
      <c r="Q1022" s="89"/>
      <c r="R1022" s="89"/>
      <c r="S1022" s="89"/>
      <c r="T1022" s="89"/>
      <c r="U1022" s="89"/>
      <c r="V1022" s="89"/>
      <c r="W1022" s="89"/>
      <c r="X1022" s="89"/>
      <c r="Y1022" s="89"/>
      <c r="Z1022" s="89"/>
    </row>
    <row r="1023">
      <c r="A1023" s="89"/>
      <c r="B1023" s="91" t="s">
        <v>1096</v>
      </c>
      <c r="C1023" s="91" t="s">
        <v>1093</v>
      </c>
      <c r="D1023" s="91" t="s">
        <v>1068</v>
      </c>
      <c r="E1023" s="91" t="s">
        <v>1083</v>
      </c>
      <c r="F1023" s="92">
        <v>64.39</v>
      </c>
      <c r="G1023" s="93" t="s">
        <v>30</v>
      </c>
      <c r="H1023" s="93" t="s">
        <v>30</v>
      </c>
      <c r="I1023" s="94" t="s">
        <v>1096</v>
      </c>
      <c r="J1023" s="94" t="s">
        <v>1096</v>
      </c>
      <c r="K1023" s="89"/>
      <c r="L1023" s="89"/>
      <c r="M1023" s="89"/>
      <c r="N1023" s="89"/>
      <c r="O1023" s="89"/>
      <c r="P1023" s="89"/>
      <c r="Q1023" s="89"/>
      <c r="R1023" s="89"/>
      <c r="S1023" s="89"/>
      <c r="T1023" s="89"/>
      <c r="U1023" s="89"/>
      <c r="V1023" s="89"/>
      <c r="W1023" s="89"/>
      <c r="X1023" s="89"/>
      <c r="Y1023" s="89"/>
      <c r="Z1023" s="89"/>
    </row>
    <row r="1024">
      <c r="A1024" s="89"/>
      <c r="B1024" s="91" t="s">
        <v>1096</v>
      </c>
      <c r="C1024" s="91" t="s">
        <v>1092</v>
      </c>
      <c r="D1024" s="91" t="s">
        <v>1068</v>
      </c>
      <c r="E1024" s="91" t="s">
        <v>1083</v>
      </c>
      <c r="F1024" s="92">
        <v>51.72</v>
      </c>
      <c r="G1024" s="93" t="s">
        <v>30</v>
      </c>
      <c r="H1024" s="93" t="s">
        <v>30</v>
      </c>
      <c r="I1024" s="94" t="s">
        <v>1096</v>
      </c>
      <c r="J1024" s="94" t="s">
        <v>1096</v>
      </c>
      <c r="K1024" s="89"/>
      <c r="L1024" s="89"/>
      <c r="M1024" s="89"/>
      <c r="N1024" s="89"/>
      <c r="O1024" s="89"/>
      <c r="P1024" s="89"/>
      <c r="Q1024" s="89"/>
      <c r="R1024" s="89"/>
      <c r="S1024" s="89"/>
      <c r="T1024" s="89"/>
      <c r="U1024" s="89"/>
      <c r="V1024" s="89"/>
      <c r="W1024" s="89"/>
      <c r="X1024" s="89"/>
      <c r="Y1024" s="89"/>
      <c r="Z1024" s="89"/>
    </row>
    <row r="1025">
      <c r="A1025" s="89"/>
      <c r="B1025" s="91" t="s">
        <v>1096</v>
      </c>
      <c r="C1025" s="91" t="s">
        <v>1094</v>
      </c>
      <c r="D1025" s="91" t="s">
        <v>1068</v>
      </c>
      <c r="E1025" s="91" t="s">
        <v>1069</v>
      </c>
      <c r="F1025" s="92">
        <v>0.03</v>
      </c>
      <c r="G1025" s="93" t="s">
        <v>30</v>
      </c>
      <c r="H1025" s="93" t="s">
        <v>30</v>
      </c>
      <c r="I1025" s="94" t="s">
        <v>1096</v>
      </c>
      <c r="J1025" s="94" t="s">
        <v>1096</v>
      </c>
      <c r="K1025" s="89"/>
      <c r="L1025" s="89"/>
      <c r="M1025" s="89"/>
      <c r="N1025" s="89"/>
      <c r="O1025" s="89"/>
      <c r="P1025" s="89"/>
      <c r="Q1025" s="89"/>
      <c r="R1025" s="89"/>
      <c r="S1025" s="89"/>
      <c r="T1025" s="89"/>
      <c r="U1025" s="89"/>
      <c r="V1025" s="89"/>
      <c r="W1025" s="89"/>
      <c r="X1025" s="89"/>
      <c r="Y1025" s="89"/>
      <c r="Z1025" s="89"/>
    </row>
    <row r="1026">
      <c r="A1026" s="89"/>
      <c r="B1026" s="91" t="s">
        <v>1096</v>
      </c>
      <c r="C1026" s="91" t="s">
        <v>1065</v>
      </c>
      <c r="D1026" s="91" t="s">
        <v>1066</v>
      </c>
      <c r="E1026" s="91" t="s">
        <v>1067</v>
      </c>
      <c r="F1026" s="92">
        <v>16.18</v>
      </c>
      <c r="G1026" s="93" t="s">
        <v>30</v>
      </c>
      <c r="H1026" s="93" t="s">
        <v>30</v>
      </c>
      <c r="I1026" s="94" t="s">
        <v>1096</v>
      </c>
      <c r="J1026" s="94" t="s">
        <v>1096</v>
      </c>
      <c r="K1026" s="89"/>
      <c r="L1026" s="89"/>
      <c r="M1026" s="89"/>
      <c r="N1026" s="89"/>
      <c r="O1026" s="89"/>
      <c r="P1026" s="89"/>
      <c r="Q1026" s="89"/>
      <c r="R1026" s="89"/>
      <c r="S1026" s="89"/>
      <c r="T1026" s="89"/>
      <c r="U1026" s="89"/>
      <c r="V1026" s="89"/>
      <c r="W1026" s="89"/>
      <c r="X1026" s="89"/>
      <c r="Y1026" s="89"/>
      <c r="Z1026" s="89"/>
    </row>
    <row r="1027">
      <c r="A1027" s="89"/>
      <c r="B1027" s="91" t="s">
        <v>1096</v>
      </c>
      <c r="C1027" s="91" t="s">
        <v>1094</v>
      </c>
      <c r="D1027" s="91" t="s">
        <v>1068</v>
      </c>
      <c r="E1027" s="91" t="s">
        <v>1083</v>
      </c>
      <c r="F1027" s="92">
        <v>8.74</v>
      </c>
      <c r="G1027" s="93" t="s">
        <v>30</v>
      </c>
      <c r="H1027" s="93" t="s">
        <v>30</v>
      </c>
      <c r="I1027" s="94" t="s">
        <v>1096</v>
      </c>
      <c r="J1027" s="94" t="s">
        <v>1096</v>
      </c>
      <c r="K1027" s="89"/>
      <c r="L1027" s="89"/>
      <c r="M1027" s="89"/>
      <c r="N1027" s="89"/>
      <c r="O1027" s="89"/>
      <c r="P1027" s="89"/>
      <c r="Q1027" s="89"/>
      <c r="R1027" s="89"/>
      <c r="S1027" s="89"/>
      <c r="T1027" s="89"/>
      <c r="U1027" s="89"/>
      <c r="V1027" s="89"/>
      <c r="W1027" s="89"/>
      <c r="X1027" s="89"/>
      <c r="Y1027" s="89"/>
      <c r="Z1027" s="89"/>
    </row>
    <row r="1028">
      <c r="A1028" s="89"/>
      <c r="B1028" s="91" t="s">
        <v>1096</v>
      </c>
      <c r="C1028" s="91" t="s">
        <v>1065</v>
      </c>
      <c r="D1028" s="91" t="s">
        <v>1068</v>
      </c>
      <c r="E1028" s="91" t="s">
        <v>1069</v>
      </c>
      <c r="F1028" s="92">
        <v>0.88</v>
      </c>
      <c r="G1028" s="93" t="s">
        <v>30</v>
      </c>
      <c r="H1028" s="93" t="s">
        <v>30</v>
      </c>
      <c r="I1028" s="94" t="s">
        <v>1096</v>
      </c>
      <c r="J1028" s="94" t="s">
        <v>1096</v>
      </c>
      <c r="K1028" s="89"/>
      <c r="L1028" s="89"/>
      <c r="M1028" s="89"/>
      <c r="N1028" s="89"/>
      <c r="O1028" s="89"/>
      <c r="P1028" s="89"/>
      <c r="Q1028" s="89"/>
      <c r="R1028" s="89"/>
      <c r="S1028" s="89"/>
      <c r="T1028" s="89"/>
      <c r="U1028" s="89"/>
      <c r="V1028" s="89"/>
      <c r="W1028" s="89"/>
      <c r="X1028" s="89"/>
      <c r="Y1028" s="89"/>
      <c r="Z1028" s="89"/>
    </row>
    <row r="1029">
      <c r="A1029" s="89"/>
      <c r="B1029" s="91" t="s">
        <v>1096</v>
      </c>
      <c r="C1029" s="91" t="s">
        <v>1092</v>
      </c>
      <c r="D1029" s="91" t="s">
        <v>1068</v>
      </c>
      <c r="E1029" s="91" t="s">
        <v>1070</v>
      </c>
      <c r="F1029" s="92">
        <v>0.12</v>
      </c>
      <c r="G1029" s="93" t="s">
        <v>30</v>
      </c>
      <c r="H1029" s="93" t="s">
        <v>30</v>
      </c>
      <c r="I1029" s="94" t="s">
        <v>1096</v>
      </c>
      <c r="J1029" s="94" t="s">
        <v>1096</v>
      </c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</row>
    <row r="1030">
      <c r="A1030" s="89"/>
      <c r="B1030" s="91" t="s">
        <v>1096</v>
      </c>
      <c r="C1030" s="91" t="s">
        <v>1065</v>
      </c>
      <c r="D1030" s="91" t="s">
        <v>1068</v>
      </c>
      <c r="E1030" s="91" t="s">
        <v>1070</v>
      </c>
      <c r="F1030" s="92">
        <v>0.13</v>
      </c>
      <c r="G1030" s="93" t="s">
        <v>30</v>
      </c>
      <c r="H1030" s="93" t="s">
        <v>30</v>
      </c>
      <c r="I1030" s="94" t="s">
        <v>1096</v>
      </c>
      <c r="J1030" s="94" t="s">
        <v>1096</v>
      </c>
      <c r="K1030" s="89"/>
      <c r="L1030" s="89"/>
      <c r="M1030" s="89"/>
      <c r="N1030" s="89"/>
      <c r="O1030" s="89"/>
      <c r="P1030" s="89"/>
      <c r="Q1030" s="89"/>
      <c r="R1030" s="89"/>
      <c r="S1030" s="89"/>
      <c r="T1030" s="89"/>
      <c r="U1030" s="89"/>
      <c r="V1030" s="89"/>
      <c r="W1030" s="89"/>
      <c r="X1030" s="89"/>
      <c r="Y1030" s="89"/>
      <c r="Z1030" s="89"/>
    </row>
    <row r="1031">
      <c r="A1031" s="89"/>
      <c r="B1031" s="91" t="s">
        <v>1096</v>
      </c>
      <c r="C1031" s="91" t="s">
        <v>1093</v>
      </c>
      <c r="D1031" s="91" t="s">
        <v>1068</v>
      </c>
      <c r="E1031" s="91" t="s">
        <v>1070</v>
      </c>
      <c r="F1031" s="92">
        <v>0.01</v>
      </c>
      <c r="G1031" s="93" t="s">
        <v>30</v>
      </c>
      <c r="H1031" s="93" t="s">
        <v>30</v>
      </c>
      <c r="I1031" s="94" t="s">
        <v>1096</v>
      </c>
      <c r="J1031" s="94" t="s">
        <v>1096</v>
      </c>
      <c r="K1031" s="89"/>
      <c r="L1031" s="89"/>
      <c r="M1031" s="89"/>
      <c r="N1031" s="89"/>
      <c r="O1031" s="89"/>
      <c r="P1031" s="89"/>
      <c r="Q1031" s="89"/>
      <c r="R1031" s="89"/>
      <c r="S1031" s="89"/>
      <c r="T1031" s="89"/>
      <c r="U1031" s="89"/>
      <c r="V1031" s="89"/>
      <c r="W1031" s="89"/>
      <c r="X1031" s="89"/>
      <c r="Y1031" s="89"/>
      <c r="Z1031" s="89"/>
    </row>
    <row r="1032">
      <c r="A1032" s="89"/>
      <c r="B1032" s="91" t="s">
        <v>1096</v>
      </c>
      <c r="C1032" s="91" t="s">
        <v>1093</v>
      </c>
      <c r="D1032" s="91" t="s">
        <v>1068</v>
      </c>
      <c r="E1032" s="91" t="s">
        <v>1069</v>
      </c>
      <c r="F1032" s="92">
        <v>0.23</v>
      </c>
      <c r="G1032" s="93" t="s">
        <v>30</v>
      </c>
      <c r="H1032" s="93" t="s">
        <v>30</v>
      </c>
      <c r="I1032" s="94" t="s">
        <v>1096</v>
      </c>
      <c r="J1032" s="94" t="s">
        <v>1096</v>
      </c>
      <c r="K1032" s="89"/>
      <c r="L1032" s="89"/>
      <c r="M1032" s="89"/>
      <c r="N1032" s="89"/>
      <c r="O1032" s="89"/>
      <c r="P1032" s="89"/>
      <c r="Q1032" s="89"/>
      <c r="R1032" s="89"/>
      <c r="S1032" s="89"/>
      <c r="T1032" s="89"/>
      <c r="U1032" s="89"/>
      <c r="V1032" s="89"/>
      <c r="W1032" s="89"/>
      <c r="X1032" s="89"/>
      <c r="Y1032" s="89"/>
      <c r="Z1032" s="89"/>
    </row>
    <row r="1033">
      <c r="A1033" s="89"/>
      <c r="B1033" s="91" t="s">
        <v>1096</v>
      </c>
      <c r="C1033" s="91" t="s">
        <v>1094</v>
      </c>
      <c r="D1033" s="91" t="s">
        <v>1068</v>
      </c>
      <c r="E1033" s="91" t="s">
        <v>1070</v>
      </c>
      <c r="F1033" s="92">
        <v>0.0</v>
      </c>
      <c r="G1033" s="93" t="s">
        <v>30</v>
      </c>
      <c r="H1033" s="93" t="s">
        <v>30</v>
      </c>
      <c r="I1033" s="94" t="s">
        <v>1096</v>
      </c>
      <c r="J1033" s="94" t="s">
        <v>1096</v>
      </c>
      <c r="K1033" s="89"/>
      <c r="L1033" s="89"/>
      <c r="M1033" s="89"/>
      <c r="N1033" s="89"/>
      <c r="O1033" s="89"/>
      <c r="P1033" s="89"/>
      <c r="Q1033" s="89"/>
      <c r="R1033" s="89"/>
      <c r="S1033" s="89"/>
      <c r="T1033" s="89"/>
      <c r="U1033" s="89"/>
      <c r="V1033" s="89"/>
      <c r="W1033" s="89"/>
      <c r="X1033" s="89"/>
      <c r="Y1033" s="89"/>
      <c r="Z1033" s="89"/>
    </row>
    <row r="1034">
      <c r="A1034" s="89"/>
      <c r="B1034" s="91" t="s">
        <v>1096</v>
      </c>
      <c r="C1034" s="91" t="s">
        <v>1065</v>
      </c>
      <c r="D1034" s="91" t="s">
        <v>1066</v>
      </c>
      <c r="E1034" s="91" t="s">
        <v>1072</v>
      </c>
      <c r="F1034" s="92">
        <v>18.85</v>
      </c>
      <c r="G1034" s="93" t="s">
        <v>30</v>
      </c>
      <c r="H1034" s="93" t="s">
        <v>30</v>
      </c>
      <c r="I1034" s="94" t="s">
        <v>1096</v>
      </c>
      <c r="J1034" s="94" t="s">
        <v>1096</v>
      </c>
      <c r="K1034" s="89"/>
      <c r="L1034" s="89"/>
      <c r="M1034" s="89"/>
      <c r="N1034" s="89"/>
      <c r="O1034" s="89"/>
      <c r="P1034" s="89"/>
      <c r="Q1034" s="89"/>
      <c r="R1034" s="89"/>
      <c r="S1034" s="89"/>
      <c r="T1034" s="89"/>
      <c r="U1034" s="89"/>
      <c r="V1034" s="89"/>
      <c r="W1034" s="89"/>
      <c r="X1034" s="89"/>
      <c r="Y1034" s="89"/>
      <c r="Z1034" s="89"/>
    </row>
    <row r="1035">
      <c r="A1035" s="89"/>
      <c r="B1035" s="91" t="s">
        <v>1096</v>
      </c>
      <c r="C1035" s="91" t="s">
        <v>1092</v>
      </c>
      <c r="D1035" s="91" t="s">
        <v>1066</v>
      </c>
      <c r="E1035" s="91" t="s">
        <v>1072</v>
      </c>
      <c r="F1035" s="92">
        <v>2.55</v>
      </c>
      <c r="G1035" s="93" t="s">
        <v>30</v>
      </c>
      <c r="H1035" s="93" t="s">
        <v>30</v>
      </c>
      <c r="I1035" s="94" t="s">
        <v>1096</v>
      </c>
      <c r="J1035" s="94" t="s">
        <v>1096</v>
      </c>
      <c r="K1035" s="89"/>
      <c r="L1035" s="89"/>
      <c r="M1035" s="89"/>
      <c r="N1035" s="89"/>
      <c r="O1035" s="89"/>
      <c r="P1035" s="89"/>
      <c r="Q1035" s="89"/>
      <c r="R1035" s="89"/>
      <c r="S1035" s="89"/>
      <c r="T1035" s="89"/>
      <c r="U1035" s="89"/>
      <c r="V1035" s="89"/>
      <c r="W1035" s="89"/>
      <c r="X1035" s="89"/>
      <c r="Y1035" s="89"/>
      <c r="Z1035" s="89"/>
    </row>
    <row r="1036">
      <c r="A1036" s="89"/>
      <c r="B1036" s="91" t="s">
        <v>1096</v>
      </c>
      <c r="C1036" s="91" t="s">
        <v>1094</v>
      </c>
      <c r="D1036" s="91" t="s">
        <v>1066</v>
      </c>
      <c r="E1036" s="91" t="s">
        <v>1072</v>
      </c>
      <c r="F1036" s="92">
        <v>1.41</v>
      </c>
      <c r="G1036" s="93" t="s">
        <v>30</v>
      </c>
      <c r="H1036" s="93" t="s">
        <v>30</v>
      </c>
      <c r="I1036" s="94" t="s">
        <v>1096</v>
      </c>
      <c r="J1036" s="94" t="s">
        <v>1096</v>
      </c>
      <c r="K1036" s="89"/>
      <c r="L1036" s="89"/>
      <c r="M1036" s="89"/>
      <c r="N1036" s="89"/>
      <c r="O1036" s="89"/>
      <c r="P1036" s="89"/>
      <c r="Q1036" s="89"/>
      <c r="R1036" s="89"/>
      <c r="S1036" s="89"/>
      <c r="T1036" s="89"/>
      <c r="U1036" s="89"/>
      <c r="V1036" s="89"/>
      <c r="W1036" s="89"/>
      <c r="X1036" s="89"/>
      <c r="Y1036" s="89"/>
      <c r="Z1036" s="89"/>
    </row>
    <row r="1037">
      <c r="A1037" s="89"/>
      <c r="B1037" s="91" t="s">
        <v>1097</v>
      </c>
      <c r="C1037" s="91" t="s">
        <v>1059</v>
      </c>
      <c r="D1037" s="91" t="s">
        <v>1060</v>
      </c>
      <c r="E1037" s="91" t="s">
        <v>1061</v>
      </c>
      <c r="F1037" s="92">
        <v>36.52</v>
      </c>
      <c r="G1037" s="93" t="s">
        <v>30</v>
      </c>
      <c r="H1037" s="93" t="s">
        <v>30</v>
      </c>
      <c r="I1037" s="94" t="s">
        <v>1097</v>
      </c>
      <c r="J1037" s="94" t="s">
        <v>1097</v>
      </c>
      <c r="K1037" s="89"/>
      <c r="L1037" s="89"/>
      <c r="M1037" s="89"/>
      <c r="N1037" s="89"/>
      <c r="O1037" s="89"/>
      <c r="P1037" s="89"/>
      <c r="Q1037" s="89"/>
      <c r="R1037" s="89"/>
      <c r="S1037" s="89"/>
      <c r="T1037" s="89"/>
      <c r="U1037" s="89"/>
      <c r="V1037" s="89"/>
      <c r="W1037" s="89"/>
      <c r="X1037" s="89"/>
      <c r="Y1037" s="89"/>
      <c r="Z1037" s="89"/>
    </row>
    <row r="1038">
      <c r="A1038" s="89"/>
      <c r="B1038" s="91" t="s">
        <v>1097</v>
      </c>
      <c r="C1038" s="91" t="s">
        <v>1062</v>
      </c>
      <c r="D1038" s="91" t="s">
        <v>1060</v>
      </c>
      <c r="E1038" s="91" t="s">
        <v>1061</v>
      </c>
      <c r="F1038" s="92">
        <v>0.03</v>
      </c>
      <c r="G1038" s="93" t="s">
        <v>30</v>
      </c>
      <c r="H1038" s="93" t="s">
        <v>30</v>
      </c>
      <c r="I1038" s="94" t="s">
        <v>1097</v>
      </c>
      <c r="J1038" s="94" t="s">
        <v>1097</v>
      </c>
      <c r="K1038" s="89"/>
      <c r="L1038" s="89"/>
      <c r="M1038" s="89"/>
      <c r="N1038" s="89"/>
      <c r="O1038" s="89"/>
      <c r="P1038" s="89"/>
      <c r="Q1038" s="89"/>
      <c r="R1038" s="89"/>
      <c r="S1038" s="89"/>
      <c r="T1038" s="89"/>
      <c r="U1038" s="89"/>
      <c r="V1038" s="89"/>
      <c r="W1038" s="89"/>
      <c r="X1038" s="89"/>
      <c r="Y1038" s="89"/>
      <c r="Z1038" s="89"/>
    </row>
    <row r="1039">
      <c r="A1039" s="89"/>
      <c r="B1039" s="91" t="s">
        <v>1097</v>
      </c>
      <c r="C1039" s="91" t="s">
        <v>1062</v>
      </c>
      <c r="D1039" s="91" t="s">
        <v>1060</v>
      </c>
      <c r="E1039" s="91" t="s">
        <v>1064</v>
      </c>
      <c r="F1039" s="92">
        <v>15.9</v>
      </c>
      <c r="G1039" s="93" t="s">
        <v>30</v>
      </c>
      <c r="H1039" s="93" t="s">
        <v>30</v>
      </c>
      <c r="I1039" s="94" t="s">
        <v>1097</v>
      </c>
      <c r="J1039" s="94" t="s">
        <v>1097</v>
      </c>
      <c r="K1039" s="89"/>
      <c r="L1039" s="89"/>
      <c r="M1039" s="89"/>
      <c r="N1039" s="89"/>
      <c r="O1039" s="89"/>
      <c r="P1039" s="89"/>
      <c r="Q1039" s="89"/>
      <c r="R1039" s="89"/>
      <c r="S1039" s="89"/>
      <c r="T1039" s="89"/>
      <c r="U1039" s="89"/>
      <c r="V1039" s="89"/>
      <c r="W1039" s="89"/>
      <c r="X1039" s="89"/>
      <c r="Y1039" s="89"/>
      <c r="Z1039" s="89"/>
    </row>
    <row r="1040">
      <c r="A1040" s="89"/>
      <c r="B1040" s="91" t="s">
        <v>1097</v>
      </c>
      <c r="C1040" s="91" t="s">
        <v>1059</v>
      </c>
      <c r="D1040" s="91" t="s">
        <v>1060</v>
      </c>
      <c r="E1040" s="91" t="s">
        <v>1064</v>
      </c>
      <c r="F1040" s="92">
        <v>242.38</v>
      </c>
      <c r="G1040" s="93">
        <v>2.0</v>
      </c>
      <c r="H1040" s="93">
        <v>121.19</v>
      </c>
      <c r="I1040" s="94" t="s">
        <v>1097</v>
      </c>
      <c r="J1040" s="94" t="s">
        <v>1097</v>
      </c>
      <c r="K1040" s="89"/>
      <c r="L1040" s="89"/>
      <c r="M1040" s="89"/>
      <c r="N1040" s="89"/>
      <c r="O1040" s="89"/>
      <c r="P1040" s="89"/>
      <c r="Q1040" s="89"/>
      <c r="R1040" s="89"/>
      <c r="S1040" s="89"/>
      <c r="T1040" s="89"/>
      <c r="U1040" s="89"/>
      <c r="V1040" s="89"/>
      <c r="W1040" s="89"/>
      <c r="X1040" s="89"/>
      <c r="Y1040" s="89"/>
      <c r="Z1040" s="89"/>
    </row>
    <row r="1041">
      <c r="A1041" s="89"/>
      <c r="B1041" s="91" t="s">
        <v>1098</v>
      </c>
      <c r="C1041" s="91" t="s">
        <v>1059</v>
      </c>
      <c r="D1041" s="91" t="s">
        <v>1060</v>
      </c>
      <c r="E1041" s="91" t="s">
        <v>1061</v>
      </c>
      <c r="F1041" s="92">
        <v>31.87</v>
      </c>
      <c r="G1041" s="93" t="s">
        <v>30</v>
      </c>
      <c r="H1041" s="93" t="s">
        <v>30</v>
      </c>
      <c r="I1041" s="94" t="s">
        <v>1098</v>
      </c>
      <c r="J1041" s="94" t="s">
        <v>1098</v>
      </c>
      <c r="K1041" s="89"/>
      <c r="L1041" s="89"/>
      <c r="M1041" s="89"/>
      <c r="N1041" s="89"/>
      <c r="O1041" s="89"/>
      <c r="P1041" s="89"/>
      <c r="Q1041" s="89"/>
      <c r="R1041" s="89"/>
      <c r="S1041" s="89"/>
      <c r="T1041" s="89"/>
      <c r="U1041" s="89"/>
      <c r="V1041" s="89"/>
      <c r="W1041" s="89"/>
      <c r="X1041" s="89"/>
      <c r="Y1041" s="89"/>
      <c r="Z1041" s="89"/>
    </row>
    <row r="1042">
      <c r="A1042" s="89"/>
      <c r="B1042" s="91" t="s">
        <v>1098</v>
      </c>
      <c r="C1042" s="91" t="s">
        <v>1062</v>
      </c>
      <c r="D1042" s="91" t="s">
        <v>1060</v>
      </c>
      <c r="E1042" s="91" t="s">
        <v>1061</v>
      </c>
      <c r="F1042" s="92">
        <v>0.87</v>
      </c>
      <c r="G1042" s="93" t="s">
        <v>30</v>
      </c>
      <c r="H1042" s="93" t="s">
        <v>30</v>
      </c>
      <c r="I1042" s="94" t="s">
        <v>1098</v>
      </c>
      <c r="J1042" s="94" t="s">
        <v>1098</v>
      </c>
      <c r="K1042" s="89"/>
      <c r="L1042" s="89"/>
      <c r="M1042" s="89"/>
      <c r="N1042" s="89"/>
      <c r="O1042" s="89"/>
      <c r="P1042" s="89"/>
      <c r="Q1042" s="89"/>
      <c r="R1042" s="89"/>
      <c r="S1042" s="89"/>
      <c r="T1042" s="89"/>
      <c r="U1042" s="89"/>
      <c r="V1042" s="89"/>
      <c r="W1042" s="89"/>
      <c r="X1042" s="89"/>
      <c r="Y1042" s="89"/>
      <c r="Z1042" s="89"/>
    </row>
    <row r="1043">
      <c r="A1043" s="89"/>
      <c r="B1043" s="91" t="s">
        <v>1098</v>
      </c>
      <c r="C1043" s="91" t="s">
        <v>1062</v>
      </c>
      <c r="D1043" s="91" t="s">
        <v>1060</v>
      </c>
      <c r="E1043" s="91" t="s">
        <v>1063</v>
      </c>
      <c r="F1043" s="92">
        <v>0.0</v>
      </c>
      <c r="G1043" s="93" t="s">
        <v>30</v>
      </c>
      <c r="H1043" s="93" t="s">
        <v>30</v>
      </c>
      <c r="I1043" s="94" t="s">
        <v>1098</v>
      </c>
      <c r="J1043" s="94" t="s">
        <v>1098</v>
      </c>
      <c r="K1043" s="89"/>
      <c r="L1043" s="89"/>
      <c r="M1043" s="89"/>
      <c r="N1043" s="89"/>
      <c r="O1043" s="89"/>
      <c r="P1043" s="89"/>
      <c r="Q1043" s="89"/>
      <c r="R1043" s="89"/>
      <c r="S1043" s="89"/>
      <c r="T1043" s="89"/>
      <c r="U1043" s="89"/>
      <c r="V1043" s="89"/>
      <c r="W1043" s="89"/>
      <c r="X1043" s="89"/>
      <c r="Y1043" s="89"/>
      <c r="Z1043" s="89"/>
    </row>
    <row r="1044">
      <c r="A1044" s="89"/>
      <c r="B1044" s="91" t="s">
        <v>1098</v>
      </c>
      <c r="C1044" s="91" t="s">
        <v>1062</v>
      </c>
      <c r="D1044" s="91" t="s">
        <v>1060</v>
      </c>
      <c r="E1044" s="91" t="s">
        <v>1064</v>
      </c>
      <c r="F1044" s="92">
        <v>19.27</v>
      </c>
      <c r="G1044" s="93" t="s">
        <v>30</v>
      </c>
      <c r="H1044" s="93" t="s">
        <v>30</v>
      </c>
      <c r="I1044" s="94" t="s">
        <v>1098</v>
      </c>
      <c r="J1044" s="94" t="s">
        <v>1098</v>
      </c>
      <c r="K1044" s="89"/>
      <c r="L1044" s="89"/>
      <c r="M1044" s="89"/>
      <c r="N1044" s="89"/>
      <c r="O1044" s="89"/>
      <c r="P1044" s="89"/>
      <c r="Q1044" s="89"/>
      <c r="R1044" s="89"/>
      <c r="S1044" s="89"/>
      <c r="T1044" s="89"/>
      <c r="U1044" s="89"/>
      <c r="V1044" s="89"/>
      <c r="W1044" s="89"/>
      <c r="X1044" s="89"/>
      <c r="Y1044" s="89"/>
      <c r="Z1044" s="89"/>
    </row>
    <row r="1045">
      <c r="A1045" s="89"/>
      <c r="B1045" s="91" t="s">
        <v>1098</v>
      </c>
      <c r="C1045" s="91" t="s">
        <v>1059</v>
      </c>
      <c r="D1045" s="91" t="s">
        <v>1060</v>
      </c>
      <c r="E1045" s="91" t="s">
        <v>1064</v>
      </c>
      <c r="F1045" s="92">
        <v>206.24</v>
      </c>
      <c r="G1045" s="93">
        <v>3.0</v>
      </c>
      <c r="H1045" s="93">
        <v>68.74666667</v>
      </c>
      <c r="I1045" s="94" t="s">
        <v>1098</v>
      </c>
      <c r="J1045" s="94" t="s">
        <v>1098</v>
      </c>
      <c r="K1045" s="89"/>
      <c r="L1045" s="89"/>
      <c r="M1045" s="89"/>
      <c r="N1045" s="89"/>
      <c r="O1045" s="89"/>
      <c r="P1045" s="89"/>
      <c r="Q1045" s="89"/>
      <c r="R1045" s="89"/>
      <c r="S1045" s="89"/>
      <c r="T1045" s="89"/>
      <c r="U1045" s="89"/>
      <c r="V1045" s="89"/>
      <c r="W1045" s="89"/>
      <c r="X1045" s="89"/>
      <c r="Y1045" s="89"/>
      <c r="Z1045" s="89"/>
    </row>
    <row r="1046">
      <c r="A1046" s="89"/>
      <c r="B1046" s="91" t="s">
        <v>1099</v>
      </c>
      <c r="C1046" s="91" t="s">
        <v>1059</v>
      </c>
      <c r="D1046" s="91" t="s">
        <v>1060</v>
      </c>
      <c r="E1046" s="91" t="s">
        <v>1061</v>
      </c>
      <c r="F1046" s="92">
        <v>38.47</v>
      </c>
      <c r="G1046" s="93">
        <v>1.0</v>
      </c>
      <c r="H1046" s="93">
        <v>38.47</v>
      </c>
      <c r="I1046" s="94" t="s">
        <v>1099</v>
      </c>
      <c r="J1046" s="94" t="s">
        <v>1099</v>
      </c>
      <c r="K1046" s="89"/>
      <c r="L1046" s="89"/>
      <c r="M1046" s="89"/>
      <c r="N1046" s="89"/>
      <c r="O1046" s="89"/>
      <c r="P1046" s="89"/>
      <c r="Q1046" s="89"/>
      <c r="R1046" s="89"/>
      <c r="S1046" s="89"/>
      <c r="T1046" s="89"/>
      <c r="U1046" s="89"/>
      <c r="V1046" s="89"/>
      <c r="W1046" s="89"/>
      <c r="X1046" s="89"/>
      <c r="Y1046" s="89"/>
      <c r="Z1046" s="89"/>
    </row>
    <row r="1047">
      <c r="A1047" s="89"/>
      <c r="B1047" s="91" t="s">
        <v>1099</v>
      </c>
      <c r="C1047" s="91" t="s">
        <v>1062</v>
      </c>
      <c r="D1047" s="91" t="s">
        <v>1060</v>
      </c>
      <c r="E1047" s="91" t="s">
        <v>1064</v>
      </c>
      <c r="F1047" s="92">
        <v>23.47</v>
      </c>
      <c r="G1047" s="93">
        <v>1.0</v>
      </c>
      <c r="H1047" s="93">
        <v>23.47</v>
      </c>
      <c r="I1047" s="94" t="s">
        <v>1099</v>
      </c>
      <c r="J1047" s="94" t="s">
        <v>1099</v>
      </c>
      <c r="K1047" s="89"/>
      <c r="L1047" s="89"/>
      <c r="M1047" s="89"/>
      <c r="N1047" s="89"/>
      <c r="O1047" s="89"/>
      <c r="P1047" s="89"/>
      <c r="Q1047" s="89"/>
      <c r="R1047" s="89"/>
      <c r="S1047" s="89"/>
      <c r="T1047" s="89"/>
      <c r="U1047" s="89"/>
      <c r="V1047" s="89"/>
      <c r="W1047" s="89"/>
      <c r="X1047" s="89"/>
      <c r="Y1047" s="89"/>
      <c r="Z1047" s="89"/>
    </row>
    <row r="1048">
      <c r="A1048" s="89"/>
      <c r="B1048" s="91" t="s">
        <v>1099</v>
      </c>
      <c r="C1048" s="91" t="s">
        <v>1059</v>
      </c>
      <c r="D1048" s="91" t="s">
        <v>1060</v>
      </c>
      <c r="E1048" s="91" t="s">
        <v>1064</v>
      </c>
      <c r="F1048" s="92">
        <v>198.97</v>
      </c>
      <c r="G1048" s="93" t="s">
        <v>30</v>
      </c>
      <c r="H1048" s="93" t="s">
        <v>30</v>
      </c>
      <c r="I1048" s="94" t="s">
        <v>1099</v>
      </c>
      <c r="J1048" s="94" t="s">
        <v>1099</v>
      </c>
      <c r="K1048" s="89"/>
      <c r="L1048" s="89"/>
      <c r="M1048" s="89"/>
      <c r="N1048" s="89"/>
      <c r="O1048" s="89"/>
      <c r="P1048" s="89"/>
      <c r="Q1048" s="89"/>
      <c r="R1048" s="89"/>
      <c r="S1048" s="89"/>
      <c r="T1048" s="89"/>
      <c r="U1048" s="89"/>
      <c r="V1048" s="89"/>
      <c r="W1048" s="89"/>
      <c r="X1048" s="89"/>
      <c r="Y1048" s="89"/>
      <c r="Z1048" s="89"/>
    </row>
    <row r="1049">
      <c r="A1049" s="89"/>
      <c r="B1049" s="91" t="s">
        <v>1100</v>
      </c>
      <c r="C1049" s="91" t="s">
        <v>1059</v>
      </c>
      <c r="D1049" s="91" t="s">
        <v>1060</v>
      </c>
      <c r="E1049" s="91" t="s">
        <v>1061</v>
      </c>
      <c r="F1049" s="92">
        <v>48.8</v>
      </c>
      <c r="G1049" s="93" t="s">
        <v>30</v>
      </c>
      <c r="H1049" s="93" t="s">
        <v>30</v>
      </c>
      <c r="I1049" s="94" t="s">
        <v>1100</v>
      </c>
      <c r="J1049" s="94" t="s">
        <v>1100</v>
      </c>
      <c r="K1049" s="89"/>
      <c r="L1049" s="89"/>
      <c r="M1049" s="89"/>
      <c r="N1049" s="89"/>
      <c r="O1049" s="89"/>
      <c r="P1049" s="89"/>
      <c r="Q1049" s="89"/>
      <c r="R1049" s="89"/>
      <c r="S1049" s="89"/>
      <c r="T1049" s="89"/>
      <c r="U1049" s="89"/>
      <c r="V1049" s="89"/>
      <c r="W1049" s="89"/>
      <c r="X1049" s="89"/>
      <c r="Y1049" s="89"/>
      <c r="Z1049" s="89"/>
    </row>
    <row r="1050">
      <c r="A1050" s="89"/>
      <c r="B1050" s="91" t="s">
        <v>1100</v>
      </c>
      <c r="C1050" s="91" t="s">
        <v>1062</v>
      </c>
      <c r="D1050" s="91" t="s">
        <v>1060</v>
      </c>
      <c r="E1050" s="91" t="s">
        <v>1061</v>
      </c>
      <c r="F1050" s="92">
        <v>0.17</v>
      </c>
      <c r="G1050" s="93" t="s">
        <v>30</v>
      </c>
      <c r="H1050" s="93" t="s">
        <v>30</v>
      </c>
      <c r="I1050" s="94" t="s">
        <v>1100</v>
      </c>
      <c r="J1050" s="94" t="s">
        <v>1100</v>
      </c>
      <c r="K1050" s="89"/>
      <c r="L1050" s="89"/>
      <c r="M1050" s="89"/>
      <c r="N1050" s="89"/>
      <c r="O1050" s="89"/>
      <c r="P1050" s="89"/>
      <c r="Q1050" s="89"/>
      <c r="R1050" s="89"/>
      <c r="S1050" s="89"/>
      <c r="T1050" s="89"/>
      <c r="U1050" s="89"/>
      <c r="V1050" s="89"/>
      <c r="W1050" s="89"/>
      <c r="X1050" s="89"/>
      <c r="Y1050" s="89"/>
      <c r="Z1050" s="89"/>
    </row>
    <row r="1051">
      <c r="A1051" s="89"/>
      <c r="B1051" s="91" t="s">
        <v>1100</v>
      </c>
      <c r="C1051" s="91" t="s">
        <v>1059</v>
      </c>
      <c r="D1051" s="91" t="s">
        <v>1060</v>
      </c>
      <c r="E1051" s="91" t="s">
        <v>1063</v>
      </c>
      <c r="F1051" s="92">
        <v>0.0</v>
      </c>
      <c r="G1051" s="93" t="s">
        <v>30</v>
      </c>
      <c r="H1051" s="93" t="s">
        <v>30</v>
      </c>
      <c r="I1051" s="94" t="s">
        <v>1100</v>
      </c>
      <c r="J1051" s="94" t="s">
        <v>1100</v>
      </c>
      <c r="K1051" s="89"/>
      <c r="L1051" s="89"/>
      <c r="M1051" s="89"/>
      <c r="N1051" s="89"/>
      <c r="O1051" s="89"/>
      <c r="P1051" s="89"/>
      <c r="Q1051" s="89"/>
      <c r="R1051" s="89"/>
      <c r="S1051" s="89"/>
      <c r="T1051" s="89"/>
      <c r="U1051" s="89"/>
      <c r="V1051" s="89"/>
      <c r="W1051" s="89"/>
      <c r="X1051" s="89"/>
      <c r="Y1051" s="89"/>
      <c r="Z1051" s="89"/>
    </row>
    <row r="1052">
      <c r="A1052" s="89"/>
      <c r="B1052" s="91" t="s">
        <v>1100</v>
      </c>
      <c r="C1052" s="91" t="s">
        <v>1062</v>
      </c>
      <c r="D1052" s="91" t="s">
        <v>1060</v>
      </c>
      <c r="E1052" s="91" t="s">
        <v>1064</v>
      </c>
      <c r="F1052" s="92">
        <v>31.54</v>
      </c>
      <c r="G1052" s="93">
        <v>2.0</v>
      </c>
      <c r="H1052" s="93">
        <v>15.77</v>
      </c>
      <c r="I1052" s="94" t="s">
        <v>1100</v>
      </c>
      <c r="J1052" s="94" t="s">
        <v>1100</v>
      </c>
      <c r="K1052" s="89"/>
      <c r="L1052" s="89"/>
      <c r="M1052" s="89"/>
      <c r="N1052" s="89"/>
      <c r="O1052" s="89"/>
      <c r="P1052" s="89"/>
      <c r="Q1052" s="89"/>
      <c r="R1052" s="89"/>
      <c r="S1052" s="89"/>
      <c r="T1052" s="89"/>
      <c r="U1052" s="89"/>
      <c r="V1052" s="89"/>
      <c r="W1052" s="89"/>
      <c r="X1052" s="89"/>
      <c r="Y1052" s="89"/>
      <c r="Z1052" s="89"/>
    </row>
    <row r="1053">
      <c r="A1053" s="89"/>
      <c r="B1053" s="91" t="s">
        <v>1100</v>
      </c>
      <c r="C1053" s="91" t="s">
        <v>1059</v>
      </c>
      <c r="D1053" s="91" t="s">
        <v>1060</v>
      </c>
      <c r="E1053" s="91" t="s">
        <v>1064</v>
      </c>
      <c r="F1053" s="92">
        <v>177.5</v>
      </c>
      <c r="G1053" s="93">
        <v>2.0</v>
      </c>
      <c r="H1053" s="93">
        <v>88.75</v>
      </c>
      <c r="I1053" s="94" t="s">
        <v>1100</v>
      </c>
      <c r="J1053" s="94" t="s">
        <v>1100</v>
      </c>
      <c r="K1053" s="89"/>
      <c r="L1053" s="89"/>
      <c r="M1053" s="89"/>
      <c r="N1053" s="89"/>
      <c r="O1053" s="89"/>
      <c r="P1053" s="89"/>
      <c r="Q1053" s="89"/>
      <c r="R1053" s="89"/>
      <c r="S1053" s="89"/>
      <c r="T1053" s="89"/>
      <c r="U1053" s="89"/>
      <c r="V1053" s="89"/>
      <c r="W1053" s="89"/>
      <c r="X1053" s="89"/>
      <c r="Y1053" s="89"/>
      <c r="Z1053" s="89"/>
    </row>
    <row r="1054">
      <c r="A1054" s="89"/>
      <c r="B1054" s="91" t="s">
        <v>1101</v>
      </c>
      <c r="C1054" s="91" t="s">
        <v>1059</v>
      </c>
      <c r="D1054" s="91" t="s">
        <v>1060</v>
      </c>
      <c r="E1054" s="91" t="s">
        <v>1061</v>
      </c>
      <c r="F1054" s="92">
        <v>31.1</v>
      </c>
      <c r="G1054" s="93" t="s">
        <v>30</v>
      </c>
      <c r="H1054" s="93" t="s">
        <v>30</v>
      </c>
      <c r="I1054" s="94" t="s">
        <v>1101</v>
      </c>
      <c r="J1054" s="94" t="s">
        <v>1101</v>
      </c>
      <c r="K1054" s="89"/>
      <c r="L1054" s="89"/>
      <c r="M1054" s="89"/>
      <c r="N1054" s="89"/>
      <c r="O1054" s="89"/>
      <c r="P1054" s="89"/>
      <c r="Q1054" s="89"/>
      <c r="R1054" s="89"/>
      <c r="S1054" s="89"/>
      <c r="T1054" s="89"/>
      <c r="U1054" s="89"/>
      <c r="V1054" s="89"/>
      <c r="W1054" s="89"/>
      <c r="X1054" s="89"/>
      <c r="Y1054" s="89"/>
      <c r="Z1054" s="89"/>
    </row>
    <row r="1055">
      <c r="A1055" s="89"/>
      <c r="B1055" s="91" t="s">
        <v>1101</v>
      </c>
      <c r="C1055" s="91" t="s">
        <v>1062</v>
      </c>
      <c r="D1055" s="91" t="s">
        <v>1060</v>
      </c>
      <c r="E1055" s="91" t="s">
        <v>1061</v>
      </c>
      <c r="F1055" s="92">
        <v>0.28</v>
      </c>
      <c r="G1055" s="93" t="s">
        <v>30</v>
      </c>
      <c r="H1055" s="93" t="s">
        <v>30</v>
      </c>
      <c r="I1055" s="94" t="s">
        <v>1101</v>
      </c>
      <c r="J1055" s="94" t="s">
        <v>1101</v>
      </c>
      <c r="K1055" s="89"/>
      <c r="L1055" s="89"/>
      <c r="M1055" s="89"/>
      <c r="N1055" s="89"/>
      <c r="O1055" s="89"/>
      <c r="P1055" s="89"/>
      <c r="Q1055" s="89"/>
      <c r="R1055" s="89"/>
      <c r="S1055" s="89"/>
      <c r="T1055" s="89"/>
      <c r="U1055" s="89"/>
      <c r="V1055" s="89"/>
      <c r="W1055" s="89"/>
      <c r="X1055" s="89"/>
      <c r="Y1055" s="89"/>
      <c r="Z1055" s="89"/>
    </row>
    <row r="1056">
      <c r="A1056" s="89"/>
      <c r="B1056" s="91" t="s">
        <v>1101</v>
      </c>
      <c r="C1056" s="91" t="s">
        <v>1059</v>
      </c>
      <c r="D1056" s="91" t="s">
        <v>1060</v>
      </c>
      <c r="E1056" s="91" t="s">
        <v>1063</v>
      </c>
      <c r="F1056" s="92">
        <v>0.01</v>
      </c>
      <c r="G1056" s="93" t="s">
        <v>30</v>
      </c>
      <c r="H1056" s="93" t="s">
        <v>30</v>
      </c>
      <c r="I1056" s="94" t="s">
        <v>1101</v>
      </c>
      <c r="J1056" s="94" t="s">
        <v>1101</v>
      </c>
      <c r="K1056" s="89"/>
      <c r="L1056" s="89"/>
      <c r="M1056" s="89"/>
      <c r="N1056" s="89"/>
      <c r="O1056" s="89"/>
      <c r="P1056" s="89"/>
      <c r="Q1056" s="89"/>
      <c r="R1056" s="89"/>
      <c r="S1056" s="89"/>
      <c r="T1056" s="89"/>
      <c r="U1056" s="89"/>
      <c r="V1056" s="89"/>
      <c r="W1056" s="89"/>
      <c r="X1056" s="89"/>
      <c r="Y1056" s="89"/>
      <c r="Z1056" s="89"/>
    </row>
    <row r="1057">
      <c r="A1057" s="89"/>
      <c r="B1057" s="91" t="s">
        <v>1101</v>
      </c>
      <c r="C1057" s="91" t="s">
        <v>1062</v>
      </c>
      <c r="D1057" s="91" t="s">
        <v>1060</v>
      </c>
      <c r="E1057" s="91" t="s">
        <v>1064</v>
      </c>
      <c r="F1057" s="92">
        <v>44.96</v>
      </c>
      <c r="G1057" s="93" t="s">
        <v>30</v>
      </c>
      <c r="H1057" s="93" t="s">
        <v>30</v>
      </c>
      <c r="I1057" s="94" t="s">
        <v>1101</v>
      </c>
      <c r="J1057" s="94" t="s">
        <v>1101</v>
      </c>
      <c r="K1057" s="89"/>
      <c r="L1057" s="89"/>
      <c r="M1057" s="89"/>
      <c r="N1057" s="89"/>
      <c r="O1057" s="89"/>
      <c r="P1057" s="89"/>
      <c r="Q1057" s="89"/>
      <c r="R1057" s="89"/>
      <c r="S1057" s="89"/>
      <c r="T1057" s="89"/>
      <c r="U1057" s="89"/>
      <c r="V1057" s="89"/>
      <c r="W1057" s="89"/>
      <c r="X1057" s="89"/>
      <c r="Y1057" s="89"/>
      <c r="Z1057" s="89"/>
    </row>
    <row r="1058">
      <c r="A1058" s="89"/>
      <c r="B1058" s="91" t="s">
        <v>1101</v>
      </c>
      <c r="C1058" s="91" t="s">
        <v>1059</v>
      </c>
      <c r="D1058" s="91" t="s">
        <v>1060</v>
      </c>
      <c r="E1058" s="91" t="s">
        <v>1064</v>
      </c>
      <c r="F1058" s="92">
        <v>189.61</v>
      </c>
      <c r="G1058" s="93">
        <v>1.0</v>
      </c>
      <c r="H1058" s="93">
        <v>189.61</v>
      </c>
      <c r="I1058" s="94" t="s">
        <v>1101</v>
      </c>
      <c r="J1058" s="94" t="s">
        <v>1101</v>
      </c>
      <c r="K1058" s="89"/>
      <c r="L1058" s="89"/>
      <c r="M1058" s="89"/>
      <c r="N1058" s="89"/>
      <c r="O1058" s="89"/>
      <c r="P1058" s="89"/>
      <c r="Q1058" s="89"/>
      <c r="R1058" s="89"/>
      <c r="S1058" s="89"/>
      <c r="T1058" s="89"/>
      <c r="U1058" s="89"/>
      <c r="V1058" s="89"/>
      <c r="W1058" s="89"/>
      <c r="X1058" s="89"/>
      <c r="Y1058" s="89"/>
      <c r="Z1058" s="89"/>
    </row>
    <row r="1059">
      <c r="A1059" s="89"/>
      <c r="B1059" s="91" t="s">
        <v>1102</v>
      </c>
      <c r="C1059" s="91" t="s">
        <v>1059</v>
      </c>
      <c r="D1059" s="91" t="s">
        <v>1060</v>
      </c>
      <c r="E1059" s="91" t="s">
        <v>1061</v>
      </c>
      <c r="F1059" s="92">
        <v>36.34</v>
      </c>
      <c r="G1059" s="93" t="s">
        <v>30</v>
      </c>
      <c r="H1059" s="93" t="s">
        <v>30</v>
      </c>
      <c r="I1059" s="94" t="s">
        <v>1102</v>
      </c>
      <c r="J1059" s="94" t="s">
        <v>1102</v>
      </c>
      <c r="K1059" s="89"/>
      <c r="L1059" s="89"/>
      <c r="M1059" s="89"/>
      <c r="N1059" s="89"/>
      <c r="O1059" s="89"/>
      <c r="P1059" s="89"/>
      <c r="Q1059" s="89"/>
      <c r="R1059" s="89"/>
      <c r="S1059" s="89"/>
      <c r="T1059" s="89"/>
      <c r="U1059" s="89"/>
      <c r="V1059" s="89"/>
      <c r="W1059" s="89"/>
      <c r="X1059" s="89"/>
      <c r="Y1059" s="89"/>
      <c r="Z1059" s="89"/>
    </row>
    <row r="1060">
      <c r="A1060" s="89"/>
      <c r="B1060" s="91" t="s">
        <v>1102</v>
      </c>
      <c r="C1060" s="91" t="s">
        <v>1062</v>
      </c>
      <c r="D1060" s="91" t="s">
        <v>1060</v>
      </c>
      <c r="E1060" s="91" t="s">
        <v>1061</v>
      </c>
      <c r="F1060" s="92">
        <v>0.01</v>
      </c>
      <c r="G1060" s="93" t="s">
        <v>30</v>
      </c>
      <c r="H1060" s="93" t="s">
        <v>30</v>
      </c>
      <c r="I1060" s="94" t="s">
        <v>1102</v>
      </c>
      <c r="J1060" s="94" t="s">
        <v>1102</v>
      </c>
      <c r="K1060" s="89"/>
      <c r="L1060" s="89"/>
      <c r="M1060" s="89"/>
      <c r="N1060" s="89"/>
      <c r="O1060" s="89"/>
      <c r="P1060" s="89"/>
      <c r="Q1060" s="89"/>
      <c r="R1060" s="89"/>
      <c r="S1060" s="89"/>
      <c r="T1060" s="89"/>
      <c r="U1060" s="89"/>
      <c r="V1060" s="89"/>
      <c r="W1060" s="89"/>
      <c r="X1060" s="89"/>
      <c r="Y1060" s="89"/>
      <c r="Z1060" s="89"/>
    </row>
    <row r="1061">
      <c r="A1061" s="89"/>
      <c r="B1061" s="91" t="s">
        <v>1102</v>
      </c>
      <c r="C1061" s="91" t="s">
        <v>1059</v>
      </c>
      <c r="D1061" s="91" t="s">
        <v>1060</v>
      </c>
      <c r="E1061" s="91" t="s">
        <v>1063</v>
      </c>
      <c r="F1061" s="92">
        <v>0.01</v>
      </c>
      <c r="G1061" s="93" t="s">
        <v>30</v>
      </c>
      <c r="H1061" s="93" t="s">
        <v>30</v>
      </c>
      <c r="I1061" s="94" t="s">
        <v>1102</v>
      </c>
      <c r="J1061" s="94" t="s">
        <v>1102</v>
      </c>
      <c r="K1061" s="89"/>
      <c r="L1061" s="89"/>
      <c r="M1061" s="89"/>
      <c r="N1061" s="89"/>
      <c r="O1061" s="89"/>
      <c r="P1061" s="89"/>
      <c r="Q1061" s="89"/>
      <c r="R1061" s="89"/>
      <c r="S1061" s="89"/>
      <c r="T1061" s="89"/>
      <c r="U1061" s="89"/>
      <c r="V1061" s="89"/>
      <c r="W1061" s="89"/>
      <c r="X1061" s="89"/>
      <c r="Y1061" s="89"/>
      <c r="Z1061" s="89"/>
    </row>
    <row r="1062">
      <c r="A1062" s="89"/>
      <c r="B1062" s="91" t="s">
        <v>1102</v>
      </c>
      <c r="C1062" s="91" t="s">
        <v>1062</v>
      </c>
      <c r="D1062" s="91" t="s">
        <v>1060</v>
      </c>
      <c r="E1062" s="91" t="s">
        <v>1064</v>
      </c>
      <c r="F1062" s="92">
        <v>60.84</v>
      </c>
      <c r="G1062" s="93" t="s">
        <v>30</v>
      </c>
      <c r="H1062" s="93" t="s">
        <v>30</v>
      </c>
      <c r="I1062" s="94" t="s">
        <v>1102</v>
      </c>
      <c r="J1062" s="94" t="s">
        <v>1102</v>
      </c>
      <c r="K1062" s="89"/>
      <c r="L1062" s="89"/>
      <c r="M1062" s="89"/>
      <c r="N1062" s="89"/>
      <c r="O1062" s="89"/>
      <c r="P1062" s="89"/>
      <c r="Q1062" s="89"/>
      <c r="R1062" s="89"/>
      <c r="S1062" s="89"/>
      <c r="T1062" s="89"/>
      <c r="U1062" s="89"/>
      <c r="V1062" s="89"/>
      <c r="W1062" s="89"/>
      <c r="X1062" s="89"/>
      <c r="Y1062" s="89"/>
      <c r="Z1062" s="89"/>
    </row>
    <row r="1063">
      <c r="A1063" s="89"/>
      <c r="B1063" s="91" t="s">
        <v>1102</v>
      </c>
      <c r="C1063" s="91" t="s">
        <v>1059</v>
      </c>
      <c r="D1063" s="91" t="s">
        <v>1060</v>
      </c>
      <c r="E1063" s="91" t="s">
        <v>1064</v>
      </c>
      <c r="F1063" s="92">
        <v>161.7</v>
      </c>
      <c r="G1063" s="93" t="s">
        <v>30</v>
      </c>
      <c r="H1063" s="93" t="s">
        <v>30</v>
      </c>
      <c r="I1063" s="94" t="s">
        <v>1102</v>
      </c>
      <c r="J1063" s="94" t="s">
        <v>1102</v>
      </c>
      <c r="K1063" s="89"/>
      <c r="L1063" s="89"/>
      <c r="M1063" s="89"/>
      <c r="N1063" s="89"/>
      <c r="O1063" s="89"/>
      <c r="P1063" s="89"/>
      <c r="Q1063" s="89"/>
      <c r="R1063" s="89"/>
      <c r="S1063" s="89"/>
      <c r="T1063" s="89"/>
      <c r="U1063" s="89"/>
      <c r="V1063" s="89"/>
      <c r="W1063" s="89"/>
      <c r="X1063" s="89"/>
      <c r="Y1063" s="89"/>
      <c r="Z1063" s="89"/>
    </row>
    <row r="1064">
      <c r="A1064" s="89"/>
      <c r="B1064" s="91" t="s">
        <v>1103</v>
      </c>
      <c r="C1064" s="91" t="s">
        <v>1059</v>
      </c>
      <c r="D1064" s="91" t="s">
        <v>1060</v>
      </c>
      <c r="E1064" s="91" t="s">
        <v>1061</v>
      </c>
      <c r="F1064" s="92">
        <v>29.35</v>
      </c>
      <c r="G1064" s="93" t="s">
        <v>30</v>
      </c>
      <c r="H1064" s="93" t="s">
        <v>30</v>
      </c>
      <c r="I1064" s="94" t="s">
        <v>1103</v>
      </c>
      <c r="J1064" s="94" t="s">
        <v>1103</v>
      </c>
      <c r="K1064" s="89"/>
      <c r="L1064" s="89"/>
      <c r="M1064" s="89"/>
      <c r="N1064" s="89"/>
      <c r="O1064" s="89"/>
      <c r="P1064" s="89"/>
      <c r="Q1064" s="89"/>
      <c r="R1064" s="89"/>
      <c r="S1064" s="89"/>
      <c r="T1064" s="89"/>
      <c r="U1064" s="89"/>
      <c r="V1064" s="89"/>
      <c r="W1064" s="89"/>
      <c r="X1064" s="89"/>
      <c r="Y1064" s="89"/>
      <c r="Z1064" s="89"/>
    </row>
    <row r="1065">
      <c r="A1065" s="89"/>
      <c r="B1065" s="91" t="s">
        <v>1103</v>
      </c>
      <c r="C1065" s="91" t="s">
        <v>1062</v>
      </c>
      <c r="D1065" s="91" t="s">
        <v>1060</v>
      </c>
      <c r="E1065" s="91" t="s">
        <v>1061</v>
      </c>
      <c r="F1065" s="92">
        <v>1.4</v>
      </c>
      <c r="G1065" s="93" t="s">
        <v>30</v>
      </c>
      <c r="H1065" s="93" t="s">
        <v>30</v>
      </c>
      <c r="I1065" s="94" t="s">
        <v>1103</v>
      </c>
      <c r="J1065" s="94" t="s">
        <v>1103</v>
      </c>
      <c r="K1065" s="89"/>
      <c r="L1065" s="89"/>
      <c r="M1065" s="89"/>
      <c r="N1065" s="89"/>
      <c r="O1065" s="89"/>
      <c r="P1065" s="89"/>
      <c r="Q1065" s="89"/>
      <c r="R1065" s="89"/>
      <c r="S1065" s="89"/>
      <c r="T1065" s="89"/>
      <c r="U1065" s="89"/>
      <c r="V1065" s="89"/>
      <c r="W1065" s="89"/>
      <c r="X1065" s="89"/>
      <c r="Y1065" s="89"/>
      <c r="Z1065" s="89"/>
    </row>
    <row r="1066">
      <c r="A1066" s="89"/>
      <c r="B1066" s="91" t="s">
        <v>1103</v>
      </c>
      <c r="C1066" s="91" t="s">
        <v>1062</v>
      </c>
      <c r="D1066" s="91" t="s">
        <v>1060</v>
      </c>
      <c r="E1066" s="91" t="s">
        <v>1064</v>
      </c>
      <c r="F1066" s="92">
        <v>63.21</v>
      </c>
      <c r="G1066" s="93" t="s">
        <v>30</v>
      </c>
      <c r="H1066" s="93" t="s">
        <v>30</v>
      </c>
      <c r="I1066" s="94" t="s">
        <v>1103</v>
      </c>
      <c r="J1066" s="94" t="s">
        <v>1103</v>
      </c>
      <c r="K1066" s="89"/>
      <c r="L1066" s="89"/>
      <c r="M1066" s="89"/>
      <c r="N1066" s="89"/>
      <c r="O1066" s="89"/>
      <c r="P1066" s="89"/>
      <c r="Q1066" s="89"/>
      <c r="R1066" s="89"/>
      <c r="S1066" s="89"/>
      <c r="T1066" s="89"/>
      <c r="U1066" s="89"/>
      <c r="V1066" s="89"/>
      <c r="W1066" s="89"/>
      <c r="X1066" s="89"/>
      <c r="Y1066" s="89"/>
      <c r="Z1066" s="89"/>
    </row>
    <row r="1067">
      <c r="A1067" s="89"/>
      <c r="B1067" s="91" t="s">
        <v>1103</v>
      </c>
      <c r="C1067" s="91" t="s">
        <v>1059</v>
      </c>
      <c r="D1067" s="91" t="s">
        <v>1060</v>
      </c>
      <c r="E1067" s="91" t="s">
        <v>1064</v>
      </c>
      <c r="F1067" s="92">
        <v>174.69</v>
      </c>
      <c r="G1067" s="93">
        <v>2.0</v>
      </c>
      <c r="H1067" s="93">
        <v>87.345</v>
      </c>
      <c r="I1067" s="94" t="s">
        <v>1103</v>
      </c>
      <c r="J1067" s="94" t="s">
        <v>1103</v>
      </c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</row>
    <row r="1068">
      <c r="A1068" s="89"/>
      <c r="B1068" s="91" t="s">
        <v>1104</v>
      </c>
      <c r="C1068" s="91" t="s">
        <v>1059</v>
      </c>
      <c r="D1068" s="91" t="s">
        <v>1060</v>
      </c>
      <c r="E1068" s="91" t="s">
        <v>1061</v>
      </c>
      <c r="F1068" s="92">
        <v>33.98</v>
      </c>
      <c r="G1068" s="93" t="s">
        <v>30</v>
      </c>
      <c r="H1068" s="93" t="s">
        <v>30</v>
      </c>
      <c r="I1068" s="94" t="s">
        <v>1104</v>
      </c>
      <c r="J1068" s="94" t="s">
        <v>1104</v>
      </c>
      <c r="K1068" s="89"/>
      <c r="L1068" s="89"/>
      <c r="M1068" s="89"/>
      <c r="N1068" s="89"/>
      <c r="O1068" s="89"/>
      <c r="P1068" s="89"/>
      <c r="Q1068" s="89"/>
      <c r="R1068" s="89"/>
      <c r="S1068" s="89"/>
      <c r="T1068" s="89"/>
      <c r="U1068" s="89"/>
      <c r="V1068" s="89"/>
      <c r="W1068" s="89"/>
      <c r="X1068" s="89"/>
      <c r="Y1068" s="89"/>
      <c r="Z1068" s="89"/>
    </row>
    <row r="1069">
      <c r="A1069" s="89"/>
      <c r="B1069" s="91" t="s">
        <v>1104</v>
      </c>
      <c r="C1069" s="91" t="s">
        <v>1059</v>
      </c>
      <c r="D1069" s="91" t="s">
        <v>1060</v>
      </c>
      <c r="E1069" s="91" t="s">
        <v>1063</v>
      </c>
      <c r="F1069" s="92">
        <v>0.01</v>
      </c>
      <c r="G1069" s="93" t="s">
        <v>30</v>
      </c>
      <c r="H1069" s="93" t="s">
        <v>30</v>
      </c>
      <c r="I1069" s="94" t="s">
        <v>1104</v>
      </c>
      <c r="J1069" s="94" t="s">
        <v>1104</v>
      </c>
      <c r="K1069" s="89"/>
      <c r="L1069" s="89"/>
      <c r="M1069" s="89"/>
      <c r="N1069" s="89"/>
      <c r="O1069" s="89"/>
      <c r="P1069" s="89"/>
      <c r="Q1069" s="89"/>
      <c r="R1069" s="89"/>
      <c r="S1069" s="89"/>
      <c r="T1069" s="89"/>
      <c r="U1069" s="89"/>
      <c r="V1069" s="89"/>
      <c r="W1069" s="89"/>
      <c r="X1069" s="89"/>
      <c r="Y1069" s="89"/>
      <c r="Z1069" s="89"/>
    </row>
    <row r="1070">
      <c r="A1070" s="89"/>
      <c r="B1070" s="91" t="s">
        <v>1104</v>
      </c>
      <c r="C1070" s="91" t="s">
        <v>1062</v>
      </c>
      <c r="D1070" s="91" t="s">
        <v>1060</v>
      </c>
      <c r="E1070" s="91" t="s">
        <v>1064</v>
      </c>
      <c r="F1070" s="92">
        <v>42.04</v>
      </c>
      <c r="G1070" s="93" t="s">
        <v>30</v>
      </c>
      <c r="H1070" s="93" t="s">
        <v>30</v>
      </c>
      <c r="I1070" s="94" t="s">
        <v>1104</v>
      </c>
      <c r="J1070" s="94" t="s">
        <v>1104</v>
      </c>
      <c r="K1070" s="89"/>
      <c r="L1070" s="89"/>
      <c r="M1070" s="89"/>
      <c r="N1070" s="89"/>
      <c r="O1070" s="89"/>
      <c r="P1070" s="89"/>
      <c r="Q1070" s="89"/>
      <c r="R1070" s="89"/>
      <c r="S1070" s="89"/>
      <c r="T1070" s="89"/>
      <c r="U1070" s="89"/>
      <c r="V1070" s="89"/>
      <c r="W1070" s="89"/>
      <c r="X1070" s="89"/>
      <c r="Y1070" s="89"/>
      <c r="Z1070" s="89"/>
    </row>
    <row r="1071">
      <c r="A1071" s="89"/>
      <c r="B1071" s="91" t="s">
        <v>1104</v>
      </c>
      <c r="C1071" s="91" t="s">
        <v>1059</v>
      </c>
      <c r="D1071" s="91" t="s">
        <v>1060</v>
      </c>
      <c r="E1071" s="91" t="s">
        <v>1064</v>
      </c>
      <c r="F1071" s="92">
        <v>219.98</v>
      </c>
      <c r="G1071" s="93">
        <v>2.0</v>
      </c>
      <c r="H1071" s="93">
        <v>109.99</v>
      </c>
      <c r="I1071" s="94" t="s">
        <v>1104</v>
      </c>
      <c r="J1071" s="94" t="s">
        <v>1104</v>
      </c>
      <c r="K1071" s="89"/>
      <c r="L1071" s="89"/>
      <c r="M1071" s="89"/>
      <c r="N1071" s="89"/>
      <c r="O1071" s="89"/>
      <c r="P1071" s="89"/>
      <c r="Q1071" s="89"/>
      <c r="R1071" s="89"/>
      <c r="S1071" s="89"/>
      <c r="T1071" s="89"/>
      <c r="U1071" s="89"/>
      <c r="V1071" s="89"/>
      <c r="W1071" s="89"/>
      <c r="X1071" s="89"/>
      <c r="Y1071" s="89"/>
      <c r="Z1071" s="89"/>
    </row>
    <row r="1072">
      <c r="A1072" s="89"/>
      <c r="B1072" s="91" t="s">
        <v>1105</v>
      </c>
      <c r="C1072" s="91" t="s">
        <v>1059</v>
      </c>
      <c r="D1072" s="91" t="s">
        <v>1060</v>
      </c>
      <c r="E1072" s="91" t="s">
        <v>1061</v>
      </c>
      <c r="F1072" s="92">
        <v>29.29</v>
      </c>
      <c r="G1072" s="93" t="s">
        <v>30</v>
      </c>
      <c r="H1072" s="93" t="s">
        <v>30</v>
      </c>
      <c r="I1072" s="94" t="s">
        <v>1105</v>
      </c>
      <c r="J1072" s="94" t="s">
        <v>1105</v>
      </c>
      <c r="K1072" s="89"/>
      <c r="L1072" s="89"/>
      <c r="M1072" s="89"/>
      <c r="N1072" s="89"/>
      <c r="O1072" s="89"/>
      <c r="P1072" s="89"/>
      <c r="Q1072" s="89"/>
      <c r="R1072" s="89"/>
      <c r="S1072" s="89"/>
      <c r="T1072" s="89"/>
      <c r="U1072" s="89"/>
      <c r="V1072" s="89"/>
      <c r="W1072" s="89"/>
      <c r="X1072" s="89"/>
      <c r="Y1072" s="89"/>
      <c r="Z1072" s="89"/>
    </row>
    <row r="1073">
      <c r="A1073" s="89"/>
      <c r="B1073" s="91" t="s">
        <v>1105</v>
      </c>
      <c r="C1073" s="91" t="s">
        <v>1062</v>
      </c>
      <c r="D1073" s="91" t="s">
        <v>1060</v>
      </c>
      <c r="E1073" s="91" t="s">
        <v>1061</v>
      </c>
      <c r="F1073" s="92">
        <v>0.33</v>
      </c>
      <c r="G1073" s="93" t="s">
        <v>30</v>
      </c>
      <c r="H1073" s="93" t="s">
        <v>30</v>
      </c>
      <c r="I1073" s="94" t="s">
        <v>1105</v>
      </c>
      <c r="J1073" s="94" t="s">
        <v>1105</v>
      </c>
      <c r="K1073" s="89"/>
      <c r="L1073" s="89"/>
      <c r="M1073" s="89"/>
      <c r="N1073" s="89"/>
      <c r="O1073" s="89"/>
      <c r="P1073" s="89"/>
      <c r="Q1073" s="89"/>
      <c r="R1073" s="89"/>
      <c r="S1073" s="89"/>
      <c r="T1073" s="89"/>
      <c r="U1073" s="89"/>
      <c r="V1073" s="89"/>
      <c r="W1073" s="89"/>
      <c r="X1073" s="89"/>
      <c r="Y1073" s="89"/>
      <c r="Z1073" s="89"/>
    </row>
    <row r="1074">
      <c r="A1074" s="89"/>
      <c r="B1074" s="91" t="s">
        <v>1105</v>
      </c>
      <c r="C1074" s="91" t="s">
        <v>1062</v>
      </c>
      <c r="D1074" s="91" t="s">
        <v>1060</v>
      </c>
      <c r="E1074" s="91" t="s">
        <v>1064</v>
      </c>
      <c r="F1074" s="92">
        <v>32.32</v>
      </c>
      <c r="G1074" s="93" t="s">
        <v>30</v>
      </c>
      <c r="H1074" s="93" t="s">
        <v>30</v>
      </c>
      <c r="I1074" s="94" t="s">
        <v>1105</v>
      </c>
      <c r="J1074" s="94" t="s">
        <v>1105</v>
      </c>
      <c r="K1074" s="89"/>
      <c r="L1074" s="89"/>
      <c r="M1074" s="89"/>
      <c r="N1074" s="89"/>
      <c r="O1074" s="89"/>
      <c r="P1074" s="89"/>
      <c r="Q1074" s="89"/>
      <c r="R1074" s="89"/>
      <c r="S1074" s="89"/>
      <c r="T1074" s="89"/>
      <c r="U1074" s="89"/>
      <c r="V1074" s="89"/>
      <c r="W1074" s="89"/>
      <c r="X1074" s="89"/>
      <c r="Y1074" s="89"/>
      <c r="Z1074" s="89"/>
    </row>
    <row r="1075">
      <c r="A1075" s="89"/>
      <c r="B1075" s="91" t="s">
        <v>1105</v>
      </c>
      <c r="C1075" s="91" t="s">
        <v>1059</v>
      </c>
      <c r="D1075" s="91" t="s">
        <v>1060</v>
      </c>
      <c r="E1075" s="91" t="s">
        <v>1064</v>
      </c>
      <c r="F1075" s="92">
        <v>201.07</v>
      </c>
      <c r="G1075" s="93" t="s">
        <v>30</v>
      </c>
      <c r="H1075" s="93" t="s">
        <v>30</v>
      </c>
      <c r="I1075" s="94" t="s">
        <v>1105</v>
      </c>
      <c r="J1075" s="94" t="s">
        <v>1105</v>
      </c>
      <c r="K1075" s="89"/>
      <c r="L1075" s="89"/>
      <c r="M1075" s="89"/>
      <c r="N1075" s="89"/>
      <c r="O1075" s="89"/>
      <c r="P1075" s="89"/>
      <c r="Q1075" s="89"/>
      <c r="R1075" s="89"/>
      <c r="S1075" s="89"/>
      <c r="T1075" s="89"/>
      <c r="U1075" s="89"/>
      <c r="V1075" s="89"/>
      <c r="W1075" s="89"/>
      <c r="X1075" s="89"/>
      <c r="Y1075" s="89"/>
      <c r="Z1075" s="89"/>
    </row>
    <row r="1076">
      <c r="A1076" s="89"/>
      <c r="B1076" s="91" t="s">
        <v>1106</v>
      </c>
      <c r="C1076" s="91" t="s">
        <v>1059</v>
      </c>
      <c r="D1076" s="91" t="s">
        <v>1060</v>
      </c>
      <c r="E1076" s="91" t="s">
        <v>1061</v>
      </c>
      <c r="F1076" s="92">
        <v>32.84</v>
      </c>
      <c r="G1076" s="93" t="s">
        <v>30</v>
      </c>
      <c r="H1076" s="93" t="s">
        <v>30</v>
      </c>
      <c r="I1076" s="94" t="s">
        <v>1106</v>
      </c>
      <c r="J1076" s="94" t="s">
        <v>1106</v>
      </c>
      <c r="K1076" s="89"/>
      <c r="L1076" s="89"/>
      <c r="M1076" s="89"/>
      <c r="N1076" s="89"/>
      <c r="O1076" s="89"/>
      <c r="P1076" s="89"/>
      <c r="Q1076" s="89"/>
      <c r="R1076" s="89"/>
      <c r="S1076" s="89"/>
      <c r="T1076" s="89"/>
      <c r="U1076" s="89"/>
      <c r="V1076" s="89"/>
      <c r="W1076" s="89"/>
      <c r="X1076" s="89"/>
      <c r="Y1076" s="89"/>
      <c r="Z1076" s="89"/>
    </row>
    <row r="1077">
      <c r="A1077" s="89"/>
      <c r="B1077" s="91" t="s">
        <v>1106</v>
      </c>
      <c r="C1077" s="91" t="s">
        <v>1062</v>
      </c>
      <c r="D1077" s="91" t="s">
        <v>1060</v>
      </c>
      <c r="E1077" s="91" t="s">
        <v>1061</v>
      </c>
      <c r="F1077" s="92">
        <v>0.15</v>
      </c>
      <c r="G1077" s="93" t="s">
        <v>30</v>
      </c>
      <c r="H1077" s="93" t="s">
        <v>30</v>
      </c>
      <c r="I1077" s="94" t="s">
        <v>1106</v>
      </c>
      <c r="J1077" s="94" t="s">
        <v>1106</v>
      </c>
      <c r="K1077" s="89"/>
      <c r="L1077" s="89"/>
      <c r="M1077" s="89"/>
      <c r="N1077" s="89"/>
      <c r="O1077" s="89"/>
      <c r="P1077" s="89"/>
      <c r="Q1077" s="89"/>
      <c r="R1077" s="89"/>
      <c r="S1077" s="89"/>
      <c r="T1077" s="89"/>
      <c r="U1077" s="89"/>
      <c r="V1077" s="89"/>
      <c r="W1077" s="89"/>
      <c r="X1077" s="89"/>
      <c r="Y1077" s="89"/>
      <c r="Z1077" s="89"/>
    </row>
    <row r="1078">
      <c r="A1078" s="89"/>
      <c r="B1078" s="91" t="s">
        <v>1106</v>
      </c>
      <c r="C1078" s="91" t="s">
        <v>1059</v>
      </c>
      <c r="D1078" s="91" t="s">
        <v>1060</v>
      </c>
      <c r="E1078" s="91" t="s">
        <v>1063</v>
      </c>
      <c r="F1078" s="92">
        <v>0.01</v>
      </c>
      <c r="G1078" s="93" t="s">
        <v>30</v>
      </c>
      <c r="H1078" s="93" t="s">
        <v>30</v>
      </c>
      <c r="I1078" s="94" t="s">
        <v>1106</v>
      </c>
      <c r="J1078" s="94" t="s">
        <v>1106</v>
      </c>
      <c r="K1078" s="89"/>
      <c r="L1078" s="89"/>
      <c r="M1078" s="89"/>
      <c r="N1078" s="89"/>
      <c r="O1078" s="89"/>
      <c r="P1078" s="89"/>
      <c r="Q1078" s="89"/>
      <c r="R1078" s="89"/>
      <c r="S1078" s="89"/>
      <c r="T1078" s="89"/>
      <c r="U1078" s="89"/>
      <c r="V1078" s="89"/>
      <c r="W1078" s="89"/>
      <c r="X1078" s="89"/>
      <c r="Y1078" s="89"/>
      <c r="Z1078" s="89"/>
    </row>
    <row r="1079">
      <c r="A1079" s="89"/>
      <c r="B1079" s="91" t="s">
        <v>1106</v>
      </c>
      <c r="C1079" s="91" t="s">
        <v>1062</v>
      </c>
      <c r="D1079" s="91" t="s">
        <v>1060</v>
      </c>
      <c r="E1079" s="91" t="s">
        <v>1064</v>
      </c>
      <c r="F1079" s="92">
        <v>29.81</v>
      </c>
      <c r="G1079" s="93" t="s">
        <v>30</v>
      </c>
      <c r="H1079" s="93" t="s">
        <v>30</v>
      </c>
      <c r="I1079" s="94" t="s">
        <v>1106</v>
      </c>
      <c r="J1079" s="94" t="s">
        <v>1106</v>
      </c>
      <c r="K1079" s="89"/>
      <c r="L1079" s="89"/>
      <c r="M1079" s="89"/>
      <c r="N1079" s="89"/>
      <c r="O1079" s="89"/>
      <c r="P1079" s="89"/>
      <c r="Q1079" s="89"/>
      <c r="R1079" s="89"/>
      <c r="S1079" s="89"/>
      <c r="T1079" s="89"/>
      <c r="U1079" s="89"/>
      <c r="V1079" s="89"/>
      <c r="W1079" s="89"/>
      <c r="X1079" s="89"/>
      <c r="Y1079" s="89"/>
      <c r="Z1079" s="89"/>
    </row>
    <row r="1080">
      <c r="A1080" s="89"/>
      <c r="B1080" s="91" t="s">
        <v>1106</v>
      </c>
      <c r="C1080" s="91" t="s">
        <v>1059</v>
      </c>
      <c r="D1080" s="91" t="s">
        <v>1060</v>
      </c>
      <c r="E1080" s="91" t="s">
        <v>1064</v>
      </c>
      <c r="F1080" s="92">
        <v>201.02</v>
      </c>
      <c r="G1080" s="93" t="s">
        <v>30</v>
      </c>
      <c r="H1080" s="93" t="s">
        <v>30</v>
      </c>
      <c r="I1080" s="94" t="s">
        <v>1106</v>
      </c>
      <c r="J1080" s="94" t="s">
        <v>1106</v>
      </c>
      <c r="K1080" s="89"/>
      <c r="L1080" s="89"/>
      <c r="M1080" s="89"/>
      <c r="N1080" s="89"/>
      <c r="O1080" s="89"/>
      <c r="P1080" s="89"/>
      <c r="Q1080" s="89"/>
      <c r="R1080" s="89"/>
      <c r="S1080" s="89"/>
      <c r="T1080" s="89"/>
      <c r="U1080" s="89"/>
      <c r="V1080" s="89"/>
      <c r="W1080" s="89"/>
      <c r="X1080" s="89"/>
      <c r="Y1080" s="89"/>
      <c r="Z1080" s="89"/>
    </row>
    <row r="1081">
      <c r="A1081" s="89"/>
      <c r="B1081" s="91" t="s">
        <v>1107</v>
      </c>
      <c r="C1081" s="91" t="s">
        <v>1059</v>
      </c>
      <c r="D1081" s="91" t="s">
        <v>1060</v>
      </c>
      <c r="E1081" s="91" t="s">
        <v>1061</v>
      </c>
      <c r="F1081" s="92">
        <v>28.29</v>
      </c>
      <c r="G1081" s="93" t="s">
        <v>30</v>
      </c>
      <c r="H1081" s="93" t="s">
        <v>30</v>
      </c>
      <c r="I1081" s="94" t="s">
        <v>1107</v>
      </c>
      <c r="J1081" s="94" t="s">
        <v>1107</v>
      </c>
      <c r="K1081" s="89"/>
      <c r="L1081" s="89"/>
      <c r="M1081" s="89"/>
      <c r="N1081" s="89"/>
      <c r="O1081" s="89"/>
      <c r="P1081" s="89"/>
      <c r="Q1081" s="89"/>
      <c r="R1081" s="89"/>
      <c r="S1081" s="89"/>
      <c r="T1081" s="89"/>
      <c r="U1081" s="89"/>
      <c r="V1081" s="89"/>
      <c r="W1081" s="89"/>
      <c r="X1081" s="89"/>
      <c r="Y1081" s="89"/>
      <c r="Z1081" s="89"/>
    </row>
    <row r="1082">
      <c r="A1082" s="89"/>
      <c r="B1082" s="91" t="s">
        <v>1107</v>
      </c>
      <c r="C1082" s="91" t="s">
        <v>1062</v>
      </c>
      <c r="D1082" s="91" t="s">
        <v>1060</v>
      </c>
      <c r="E1082" s="91" t="s">
        <v>1061</v>
      </c>
      <c r="F1082" s="92">
        <v>0.21</v>
      </c>
      <c r="G1082" s="93" t="s">
        <v>30</v>
      </c>
      <c r="H1082" s="93" t="s">
        <v>30</v>
      </c>
      <c r="I1082" s="94" t="s">
        <v>1107</v>
      </c>
      <c r="J1082" s="94" t="s">
        <v>1107</v>
      </c>
      <c r="K1082" s="89"/>
      <c r="L1082" s="89"/>
      <c r="M1082" s="89"/>
      <c r="N1082" s="89"/>
      <c r="O1082" s="89"/>
      <c r="P1082" s="89"/>
      <c r="Q1082" s="89"/>
      <c r="R1082" s="89"/>
      <c r="S1082" s="89"/>
      <c r="T1082" s="89"/>
      <c r="U1082" s="89"/>
      <c r="V1082" s="89"/>
      <c r="W1082" s="89"/>
      <c r="X1082" s="89"/>
      <c r="Y1082" s="89"/>
      <c r="Z1082" s="89"/>
    </row>
    <row r="1083">
      <c r="A1083" s="89"/>
      <c r="B1083" s="91" t="s">
        <v>1107</v>
      </c>
      <c r="C1083" s="91" t="s">
        <v>1059</v>
      </c>
      <c r="D1083" s="91" t="s">
        <v>1060</v>
      </c>
      <c r="E1083" s="91" t="s">
        <v>1063</v>
      </c>
      <c r="F1083" s="92">
        <v>0.01</v>
      </c>
      <c r="G1083" s="93" t="s">
        <v>30</v>
      </c>
      <c r="H1083" s="93" t="s">
        <v>30</v>
      </c>
      <c r="I1083" s="94" t="s">
        <v>1107</v>
      </c>
      <c r="J1083" s="94" t="s">
        <v>1107</v>
      </c>
      <c r="K1083" s="89"/>
      <c r="L1083" s="89"/>
      <c r="M1083" s="89"/>
      <c r="N1083" s="89"/>
      <c r="O1083" s="89"/>
      <c r="P1083" s="89"/>
      <c r="Q1083" s="89"/>
      <c r="R1083" s="89"/>
      <c r="S1083" s="89"/>
      <c r="T1083" s="89"/>
      <c r="U1083" s="89"/>
      <c r="V1083" s="89"/>
      <c r="W1083" s="89"/>
      <c r="X1083" s="89"/>
      <c r="Y1083" s="89"/>
      <c r="Z1083" s="89"/>
    </row>
    <row r="1084">
      <c r="A1084" s="89"/>
      <c r="B1084" s="91" t="s">
        <v>1107</v>
      </c>
      <c r="C1084" s="91" t="s">
        <v>1062</v>
      </c>
      <c r="D1084" s="91" t="s">
        <v>1060</v>
      </c>
      <c r="E1084" s="91" t="s">
        <v>1064</v>
      </c>
      <c r="F1084" s="92">
        <v>38.61</v>
      </c>
      <c r="G1084" s="93">
        <v>1.0</v>
      </c>
      <c r="H1084" s="93">
        <v>38.61</v>
      </c>
      <c r="I1084" s="94" t="s">
        <v>1107</v>
      </c>
      <c r="J1084" s="94" t="s">
        <v>1107</v>
      </c>
      <c r="K1084" s="89"/>
      <c r="L1084" s="89"/>
      <c r="M1084" s="89"/>
      <c r="N1084" s="89"/>
      <c r="O1084" s="89"/>
      <c r="P1084" s="89"/>
      <c r="Q1084" s="89"/>
      <c r="R1084" s="89"/>
      <c r="S1084" s="89"/>
      <c r="T1084" s="89"/>
      <c r="U1084" s="89"/>
      <c r="V1084" s="89"/>
      <c r="W1084" s="89"/>
      <c r="X1084" s="89"/>
      <c r="Y1084" s="89"/>
      <c r="Z1084" s="89"/>
    </row>
    <row r="1085">
      <c r="A1085" s="89"/>
      <c r="B1085" s="91" t="s">
        <v>1107</v>
      </c>
      <c r="C1085" s="91" t="s">
        <v>1059</v>
      </c>
      <c r="D1085" s="91" t="s">
        <v>1060</v>
      </c>
      <c r="E1085" s="91" t="s">
        <v>1064</v>
      </c>
      <c r="F1085" s="92">
        <v>192.39</v>
      </c>
      <c r="G1085" s="93">
        <v>1.0</v>
      </c>
      <c r="H1085" s="93">
        <v>192.39</v>
      </c>
      <c r="I1085" s="94" t="s">
        <v>1107</v>
      </c>
      <c r="J1085" s="94" t="s">
        <v>1107</v>
      </c>
      <c r="K1085" s="89"/>
      <c r="L1085" s="89"/>
      <c r="M1085" s="89"/>
      <c r="N1085" s="89"/>
      <c r="O1085" s="89"/>
      <c r="P1085" s="89"/>
      <c r="Q1085" s="89"/>
      <c r="R1085" s="89"/>
      <c r="S1085" s="89"/>
      <c r="T1085" s="89"/>
      <c r="U1085" s="89"/>
      <c r="V1085" s="89"/>
      <c r="W1085" s="89"/>
      <c r="X1085" s="89"/>
      <c r="Y1085" s="89"/>
      <c r="Z1085" s="89"/>
    </row>
    <row r="1086">
      <c r="A1086" s="89"/>
      <c r="B1086" s="91" t="s">
        <v>1108</v>
      </c>
      <c r="C1086" s="91" t="s">
        <v>1059</v>
      </c>
      <c r="D1086" s="91" t="s">
        <v>1060</v>
      </c>
      <c r="E1086" s="91" t="s">
        <v>1061</v>
      </c>
      <c r="F1086" s="92">
        <v>48.26</v>
      </c>
      <c r="G1086" s="93" t="s">
        <v>30</v>
      </c>
      <c r="H1086" s="93" t="s">
        <v>30</v>
      </c>
      <c r="I1086" s="94" t="s">
        <v>1108</v>
      </c>
      <c r="J1086" s="94" t="s">
        <v>1108</v>
      </c>
      <c r="K1086" s="89"/>
      <c r="L1086" s="89"/>
      <c r="M1086" s="89"/>
      <c r="N1086" s="89"/>
      <c r="O1086" s="89"/>
      <c r="P1086" s="89"/>
      <c r="Q1086" s="89"/>
      <c r="R1086" s="89"/>
      <c r="S1086" s="89"/>
      <c r="T1086" s="89"/>
      <c r="U1086" s="89"/>
      <c r="V1086" s="89"/>
      <c r="W1086" s="89"/>
      <c r="X1086" s="89"/>
      <c r="Y1086" s="89"/>
      <c r="Z1086" s="89"/>
    </row>
    <row r="1087">
      <c r="A1087" s="89"/>
      <c r="B1087" s="91" t="s">
        <v>1108</v>
      </c>
      <c r="C1087" s="91" t="s">
        <v>1062</v>
      </c>
      <c r="D1087" s="91" t="s">
        <v>1060</v>
      </c>
      <c r="E1087" s="91" t="s">
        <v>1061</v>
      </c>
      <c r="F1087" s="92">
        <v>4.82</v>
      </c>
      <c r="G1087" s="93" t="s">
        <v>30</v>
      </c>
      <c r="H1087" s="93" t="s">
        <v>30</v>
      </c>
      <c r="I1087" s="94" t="s">
        <v>1108</v>
      </c>
      <c r="J1087" s="94" t="s">
        <v>1108</v>
      </c>
      <c r="K1087" s="89"/>
      <c r="L1087" s="89"/>
      <c r="M1087" s="89"/>
      <c r="N1087" s="89"/>
      <c r="O1087" s="89"/>
      <c r="P1087" s="89"/>
      <c r="Q1087" s="89"/>
      <c r="R1087" s="89"/>
      <c r="S1087" s="89"/>
      <c r="T1087" s="89"/>
      <c r="U1087" s="89"/>
      <c r="V1087" s="89"/>
      <c r="W1087" s="89"/>
      <c r="X1087" s="89"/>
      <c r="Y1087" s="89"/>
      <c r="Z1087" s="89"/>
    </row>
    <row r="1088">
      <c r="A1088" s="89"/>
      <c r="B1088" s="91" t="s">
        <v>1108</v>
      </c>
      <c r="C1088" s="91" t="s">
        <v>1059</v>
      </c>
      <c r="D1088" s="91" t="s">
        <v>1060</v>
      </c>
      <c r="E1088" s="91" t="s">
        <v>1063</v>
      </c>
      <c r="F1088" s="92">
        <v>0.0</v>
      </c>
      <c r="G1088" s="93" t="s">
        <v>30</v>
      </c>
      <c r="H1088" s="93" t="s">
        <v>30</v>
      </c>
      <c r="I1088" s="94" t="s">
        <v>1108</v>
      </c>
      <c r="J1088" s="94" t="s">
        <v>1108</v>
      </c>
      <c r="K1088" s="89"/>
      <c r="L1088" s="89"/>
      <c r="M1088" s="89"/>
      <c r="N1088" s="89"/>
      <c r="O1088" s="89"/>
      <c r="P1088" s="89"/>
      <c r="Q1088" s="89"/>
      <c r="R1088" s="89"/>
      <c r="S1088" s="89"/>
      <c r="T1088" s="89"/>
      <c r="U1088" s="89"/>
      <c r="V1088" s="89"/>
      <c r="W1088" s="89"/>
      <c r="X1088" s="89"/>
      <c r="Y1088" s="89"/>
      <c r="Z1088" s="89"/>
    </row>
    <row r="1089">
      <c r="A1089" s="89"/>
      <c r="B1089" s="91" t="s">
        <v>1108</v>
      </c>
      <c r="C1089" s="91" t="s">
        <v>1062</v>
      </c>
      <c r="D1089" s="91" t="s">
        <v>1060</v>
      </c>
      <c r="E1089" s="91" t="s">
        <v>1063</v>
      </c>
      <c r="F1089" s="92">
        <v>0.0</v>
      </c>
      <c r="G1089" s="93" t="s">
        <v>30</v>
      </c>
      <c r="H1089" s="93" t="s">
        <v>30</v>
      </c>
      <c r="I1089" s="94" t="s">
        <v>1108</v>
      </c>
      <c r="J1089" s="94" t="s">
        <v>1108</v>
      </c>
      <c r="K1089" s="89"/>
      <c r="L1089" s="89"/>
      <c r="M1089" s="89"/>
      <c r="N1089" s="89"/>
      <c r="O1089" s="89"/>
      <c r="P1089" s="89"/>
      <c r="Q1089" s="89"/>
      <c r="R1089" s="89"/>
      <c r="S1089" s="89"/>
      <c r="T1089" s="89"/>
      <c r="U1089" s="89"/>
      <c r="V1089" s="89"/>
      <c r="W1089" s="89"/>
      <c r="X1089" s="89"/>
      <c r="Y1089" s="89"/>
      <c r="Z1089" s="89"/>
    </row>
    <row r="1090">
      <c r="A1090" s="89"/>
      <c r="B1090" s="91" t="s">
        <v>1108</v>
      </c>
      <c r="C1090" s="91" t="s">
        <v>1062</v>
      </c>
      <c r="D1090" s="91" t="s">
        <v>1060</v>
      </c>
      <c r="E1090" s="91" t="s">
        <v>1064</v>
      </c>
      <c r="F1090" s="92">
        <v>37.41</v>
      </c>
      <c r="G1090" s="93" t="s">
        <v>30</v>
      </c>
      <c r="H1090" s="93" t="s">
        <v>30</v>
      </c>
      <c r="I1090" s="94" t="s">
        <v>1108</v>
      </c>
      <c r="J1090" s="94" t="s">
        <v>1108</v>
      </c>
      <c r="K1090" s="89"/>
      <c r="L1090" s="89"/>
      <c r="M1090" s="89"/>
      <c r="N1090" s="89"/>
      <c r="O1090" s="89"/>
      <c r="P1090" s="89"/>
      <c r="Q1090" s="89"/>
      <c r="R1090" s="89"/>
      <c r="S1090" s="89"/>
      <c r="T1090" s="89"/>
      <c r="U1090" s="89"/>
      <c r="V1090" s="89"/>
      <c r="W1090" s="89"/>
      <c r="X1090" s="89"/>
      <c r="Y1090" s="89"/>
      <c r="Z1090" s="89"/>
    </row>
    <row r="1091">
      <c r="A1091" s="89"/>
      <c r="B1091" s="91" t="s">
        <v>1108</v>
      </c>
      <c r="C1091" s="91" t="s">
        <v>1059</v>
      </c>
      <c r="D1091" s="91" t="s">
        <v>1060</v>
      </c>
      <c r="E1091" s="91" t="s">
        <v>1064</v>
      </c>
      <c r="F1091" s="92">
        <v>169.58</v>
      </c>
      <c r="G1091" s="93" t="s">
        <v>30</v>
      </c>
      <c r="H1091" s="93" t="s">
        <v>30</v>
      </c>
      <c r="I1091" s="94" t="s">
        <v>1108</v>
      </c>
      <c r="J1091" s="94" t="s">
        <v>1108</v>
      </c>
      <c r="K1091" s="89"/>
      <c r="L1091" s="89"/>
      <c r="M1091" s="89"/>
      <c r="N1091" s="89"/>
      <c r="O1091" s="89"/>
      <c r="P1091" s="89"/>
      <c r="Q1091" s="89"/>
      <c r="R1091" s="89"/>
      <c r="S1091" s="89"/>
      <c r="T1091" s="89"/>
      <c r="U1091" s="89"/>
      <c r="V1091" s="89"/>
      <c r="W1091" s="89"/>
      <c r="X1091" s="89"/>
      <c r="Y1091" s="89"/>
      <c r="Z1091" s="89"/>
    </row>
    <row r="1092">
      <c r="A1092" s="89"/>
      <c r="B1092" s="91" t="s">
        <v>1109</v>
      </c>
      <c r="C1092" s="91" t="s">
        <v>1059</v>
      </c>
      <c r="D1092" s="91" t="s">
        <v>1060</v>
      </c>
      <c r="E1092" s="91" t="s">
        <v>1061</v>
      </c>
      <c r="F1092" s="92">
        <v>35.33</v>
      </c>
      <c r="G1092" s="93" t="s">
        <v>30</v>
      </c>
      <c r="H1092" s="93" t="s">
        <v>30</v>
      </c>
      <c r="I1092" s="94" t="s">
        <v>1109</v>
      </c>
      <c r="J1092" s="94" t="s">
        <v>1109</v>
      </c>
      <c r="K1092" s="89"/>
      <c r="L1092" s="89"/>
      <c r="M1092" s="89"/>
      <c r="N1092" s="89"/>
      <c r="O1092" s="89"/>
      <c r="P1092" s="89"/>
      <c r="Q1092" s="89"/>
      <c r="R1092" s="89"/>
      <c r="S1092" s="89"/>
      <c r="T1092" s="89"/>
      <c r="U1092" s="89"/>
      <c r="V1092" s="89"/>
      <c r="W1092" s="89"/>
      <c r="X1092" s="89"/>
      <c r="Y1092" s="89"/>
      <c r="Z1092" s="89"/>
    </row>
    <row r="1093">
      <c r="A1093" s="89"/>
      <c r="B1093" s="91" t="s">
        <v>1109</v>
      </c>
      <c r="C1093" s="91" t="s">
        <v>1062</v>
      </c>
      <c r="D1093" s="91" t="s">
        <v>1060</v>
      </c>
      <c r="E1093" s="91" t="s">
        <v>1061</v>
      </c>
      <c r="F1093" s="92">
        <v>3.47</v>
      </c>
      <c r="G1093" s="93" t="s">
        <v>30</v>
      </c>
      <c r="H1093" s="93" t="s">
        <v>30</v>
      </c>
      <c r="I1093" s="94" t="s">
        <v>1109</v>
      </c>
      <c r="J1093" s="94" t="s">
        <v>1109</v>
      </c>
      <c r="K1093" s="89"/>
      <c r="L1093" s="89"/>
      <c r="M1093" s="89"/>
      <c r="N1093" s="89"/>
      <c r="O1093" s="89"/>
      <c r="P1093" s="89"/>
      <c r="Q1093" s="89"/>
      <c r="R1093" s="89"/>
      <c r="S1093" s="89"/>
      <c r="T1093" s="89"/>
      <c r="U1093" s="89"/>
      <c r="V1093" s="89"/>
      <c r="W1093" s="89"/>
      <c r="X1093" s="89"/>
      <c r="Y1093" s="89"/>
      <c r="Z1093" s="89"/>
    </row>
    <row r="1094">
      <c r="A1094" s="89"/>
      <c r="B1094" s="91" t="s">
        <v>1109</v>
      </c>
      <c r="C1094" s="91" t="s">
        <v>1062</v>
      </c>
      <c r="D1094" s="91" t="s">
        <v>1060</v>
      </c>
      <c r="E1094" s="91" t="s">
        <v>1064</v>
      </c>
      <c r="F1094" s="92">
        <v>59.24</v>
      </c>
      <c r="G1094" s="93" t="s">
        <v>30</v>
      </c>
      <c r="H1094" s="93" t="s">
        <v>30</v>
      </c>
      <c r="I1094" s="94" t="s">
        <v>1109</v>
      </c>
      <c r="J1094" s="94" t="s">
        <v>1109</v>
      </c>
      <c r="K1094" s="89"/>
      <c r="L1094" s="89"/>
      <c r="M1094" s="89"/>
      <c r="N1094" s="89"/>
      <c r="O1094" s="89"/>
      <c r="P1094" s="89"/>
      <c r="Q1094" s="89"/>
      <c r="R1094" s="89"/>
      <c r="S1094" s="89"/>
      <c r="T1094" s="89"/>
      <c r="U1094" s="89"/>
      <c r="V1094" s="89"/>
      <c r="W1094" s="89"/>
      <c r="X1094" s="89"/>
      <c r="Y1094" s="89"/>
      <c r="Z1094" s="89"/>
    </row>
    <row r="1095">
      <c r="A1095" s="89"/>
      <c r="B1095" s="91" t="s">
        <v>1109</v>
      </c>
      <c r="C1095" s="91" t="s">
        <v>1059</v>
      </c>
      <c r="D1095" s="91" t="s">
        <v>1060</v>
      </c>
      <c r="E1095" s="91" t="s">
        <v>1064</v>
      </c>
      <c r="F1095" s="92">
        <v>157.94</v>
      </c>
      <c r="G1095" s="93">
        <v>1.0</v>
      </c>
      <c r="H1095" s="93">
        <v>157.94</v>
      </c>
      <c r="I1095" s="94" t="s">
        <v>1109</v>
      </c>
      <c r="J1095" s="94" t="s">
        <v>1109</v>
      </c>
      <c r="K1095" s="89"/>
      <c r="L1095" s="89"/>
      <c r="M1095" s="89"/>
      <c r="N1095" s="89"/>
      <c r="O1095" s="89"/>
      <c r="P1095" s="89"/>
      <c r="Q1095" s="89"/>
      <c r="R1095" s="89"/>
      <c r="S1095" s="89"/>
      <c r="T1095" s="89"/>
      <c r="U1095" s="89"/>
      <c r="V1095" s="89"/>
      <c r="W1095" s="89"/>
      <c r="X1095" s="89"/>
      <c r="Y1095" s="89"/>
      <c r="Z1095" s="89"/>
    </row>
    <row r="1096">
      <c r="A1096" s="89"/>
      <c r="B1096" s="91" t="s">
        <v>1110</v>
      </c>
      <c r="C1096" s="91" t="s">
        <v>1059</v>
      </c>
      <c r="D1096" s="91" t="s">
        <v>1060</v>
      </c>
      <c r="E1096" s="91" t="s">
        <v>1061</v>
      </c>
      <c r="F1096" s="92">
        <v>39.57</v>
      </c>
      <c r="G1096" s="93" t="s">
        <v>30</v>
      </c>
      <c r="H1096" s="93" t="s">
        <v>30</v>
      </c>
      <c r="I1096" s="94" t="s">
        <v>1110</v>
      </c>
      <c r="J1096" s="94" t="s">
        <v>1110</v>
      </c>
      <c r="K1096" s="89"/>
      <c r="L1096" s="89"/>
      <c r="M1096" s="89"/>
      <c r="N1096" s="89"/>
      <c r="O1096" s="89"/>
      <c r="P1096" s="89"/>
      <c r="Q1096" s="89"/>
      <c r="R1096" s="89"/>
      <c r="S1096" s="89"/>
      <c r="T1096" s="89"/>
      <c r="U1096" s="89"/>
      <c r="V1096" s="89"/>
      <c r="W1096" s="89"/>
      <c r="X1096" s="89"/>
      <c r="Y1096" s="89"/>
      <c r="Z1096" s="89"/>
    </row>
    <row r="1097">
      <c r="A1097" s="89"/>
      <c r="B1097" s="91" t="s">
        <v>1110</v>
      </c>
      <c r="C1097" s="91" t="s">
        <v>1062</v>
      </c>
      <c r="D1097" s="91" t="s">
        <v>1060</v>
      </c>
      <c r="E1097" s="91" t="s">
        <v>1061</v>
      </c>
      <c r="F1097" s="92">
        <v>3.9</v>
      </c>
      <c r="G1097" s="93" t="s">
        <v>30</v>
      </c>
      <c r="H1097" s="93" t="s">
        <v>30</v>
      </c>
      <c r="I1097" s="94" t="s">
        <v>1110</v>
      </c>
      <c r="J1097" s="94" t="s">
        <v>1110</v>
      </c>
      <c r="K1097" s="89"/>
      <c r="L1097" s="89"/>
      <c r="M1097" s="89"/>
      <c r="N1097" s="89"/>
      <c r="O1097" s="89"/>
      <c r="P1097" s="89"/>
      <c r="Q1097" s="89"/>
      <c r="R1097" s="89"/>
      <c r="S1097" s="89"/>
      <c r="T1097" s="89"/>
      <c r="U1097" s="89"/>
      <c r="V1097" s="89"/>
      <c r="W1097" s="89"/>
      <c r="X1097" s="89"/>
      <c r="Y1097" s="89"/>
      <c r="Z1097" s="89"/>
    </row>
    <row r="1098">
      <c r="A1098" s="89"/>
      <c r="B1098" s="91" t="s">
        <v>1110</v>
      </c>
      <c r="C1098" s="91" t="s">
        <v>1062</v>
      </c>
      <c r="D1098" s="91" t="s">
        <v>1060</v>
      </c>
      <c r="E1098" s="91" t="s">
        <v>1064</v>
      </c>
      <c r="F1098" s="92">
        <v>56.35</v>
      </c>
      <c r="G1098" s="93">
        <v>1.0</v>
      </c>
      <c r="H1098" s="93">
        <v>56.35</v>
      </c>
      <c r="I1098" s="94" t="s">
        <v>1110</v>
      </c>
      <c r="J1098" s="94" t="s">
        <v>1110</v>
      </c>
      <c r="K1098" s="89"/>
      <c r="L1098" s="89"/>
      <c r="M1098" s="89"/>
      <c r="N1098" s="89"/>
      <c r="O1098" s="89"/>
      <c r="P1098" s="89"/>
      <c r="Q1098" s="89"/>
      <c r="R1098" s="89"/>
      <c r="S1098" s="89"/>
      <c r="T1098" s="89"/>
      <c r="U1098" s="89"/>
      <c r="V1098" s="89"/>
      <c r="W1098" s="89"/>
      <c r="X1098" s="89"/>
      <c r="Y1098" s="89"/>
      <c r="Z1098" s="89"/>
    </row>
    <row r="1099">
      <c r="A1099" s="89"/>
      <c r="B1099" s="91" t="s">
        <v>1110</v>
      </c>
      <c r="C1099" s="91" t="s">
        <v>1059</v>
      </c>
      <c r="D1099" s="91" t="s">
        <v>1060</v>
      </c>
      <c r="E1099" s="91" t="s">
        <v>1064</v>
      </c>
      <c r="F1099" s="92">
        <v>162.79</v>
      </c>
      <c r="G1099" s="93" t="s">
        <v>30</v>
      </c>
      <c r="H1099" s="93" t="s">
        <v>30</v>
      </c>
      <c r="I1099" s="94" t="s">
        <v>1110</v>
      </c>
      <c r="J1099" s="94" t="s">
        <v>1110</v>
      </c>
      <c r="K1099" s="89"/>
      <c r="L1099" s="89"/>
      <c r="M1099" s="89"/>
      <c r="N1099" s="89"/>
      <c r="O1099" s="89"/>
      <c r="P1099" s="89"/>
      <c r="Q1099" s="89"/>
      <c r="R1099" s="89"/>
      <c r="S1099" s="89"/>
      <c r="T1099" s="89"/>
      <c r="U1099" s="89"/>
      <c r="V1099" s="89"/>
      <c r="W1099" s="89"/>
      <c r="X1099" s="89"/>
      <c r="Y1099" s="89"/>
      <c r="Z1099" s="89"/>
    </row>
    <row r="1100">
      <c r="A1100" s="89"/>
      <c r="B1100" s="91" t="s">
        <v>1111</v>
      </c>
      <c r="C1100" s="91" t="s">
        <v>1059</v>
      </c>
      <c r="D1100" s="91" t="s">
        <v>1060</v>
      </c>
      <c r="E1100" s="91" t="s">
        <v>1061</v>
      </c>
      <c r="F1100" s="92">
        <v>51.12</v>
      </c>
      <c r="G1100" s="93" t="s">
        <v>30</v>
      </c>
      <c r="H1100" s="93" t="s">
        <v>30</v>
      </c>
      <c r="I1100" s="94" t="s">
        <v>1111</v>
      </c>
      <c r="J1100" s="94" t="s">
        <v>1111</v>
      </c>
      <c r="K1100" s="89"/>
      <c r="L1100" s="89"/>
      <c r="M1100" s="89"/>
      <c r="N1100" s="89"/>
      <c r="O1100" s="89"/>
      <c r="P1100" s="89"/>
      <c r="Q1100" s="89"/>
      <c r="R1100" s="89"/>
      <c r="S1100" s="89"/>
      <c r="T1100" s="89"/>
      <c r="U1100" s="89"/>
      <c r="V1100" s="89"/>
      <c r="W1100" s="89"/>
      <c r="X1100" s="89"/>
      <c r="Y1100" s="89"/>
      <c r="Z1100" s="89"/>
    </row>
    <row r="1101">
      <c r="A1101" s="89"/>
      <c r="B1101" s="91" t="s">
        <v>1111</v>
      </c>
      <c r="C1101" s="91" t="s">
        <v>1062</v>
      </c>
      <c r="D1101" s="91" t="s">
        <v>1060</v>
      </c>
      <c r="E1101" s="91" t="s">
        <v>1061</v>
      </c>
      <c r="F1101" s="92">
        <v>2.51</v>
      </c>
      <c r="G1101" s="93" t="s">
        <v>30</v>
      </c>
      <c r="H1101" s="93" t="s">
        <v>30</v>
      </c>
      <c r="I1101" s="94" t="s">
        <v>1111</v>
      </c>
      <c r="J1101" s="94" t="s">
        <v>1111</v>
      </c>
      <c r="K1101" s="89"/>
      <c r="L1101" s="89"/>
      <c r="M1101" s="89"/>
      <c r="N1101" s="89"/>
      <c r="O1101" s="89"/>
      <c r="P1101" s="89"/>
      <c r="Q1101" s="89"/>
      <c r="R1101" s="89"/>
      <c r="S1101" s="89"/>
      <c r="T1101" s="89"/>
      <c r="U1101" s="89"/>
      <c r="V1101" s="89"/>
      <c r="W1101" s="89"/>
      <c r="X1101" s="89"/>
      <c r="Y1101" s="89"/>
      <c r="Z1101" s="89"/>
    </row>
    <row r="1102">
      <c r="A1102" s="89"/>
      <c r="B1102" s="91" t="s">
        <v>1111</v>
      </c>
      <c r="C1102" s="91" t="s">
        <v>1062</v>
      </c>
      <c r="D1102" s="91" t="s">
        <v>1060</v>
      </c>
      <c r="E1102" s="91" t="s">
        <v>1064</v>
      </c>
      <c r="F1102" s="92">
        <v>55.87</v>
      </c>
      <c r="G1102" s="93" t="s">
        <v>30</v>
      </c>
      <c r="H1102" s="93" t="s">
        <v>30</v>
      </c>
      <c r="I1102" s="94" t="s">
        <v>1111</v>
      </c>
      <c r="J1102" s="94" t="s">
        <v>1111</v>
      </c>
      <c r="K1102" s="89"/>
      <c r="L1102" s="89"/>
      <c r="M1102" s="89"/>
      <c r="N1102" s="89"/>
      <c r="O1102" s="89"/>
      <c r="P1102" s="89"/>
      <c r="Q1102" s="89"/>
      <c r="R1102" s="89"/>
      <c r="S1102" s="89"/>
      <c r="T1102" s="89"/>
      <c r="U1102" s="89"/>
      <c r="V1102" s="89"/>
      <c r="W1102" s="89"/>
      <c r="X1102" s="89"/>
      <c r="Y1102" s="89"/>
      <c r="Z1102" s="89"/>
    </row>
    <row r="1103">
      <c r="A1103" s="89"/>
      <c r="B1103" s="91" t="s">
        <v>1111</v>
      </c>
      <c r="C1103" s="91" t="s">
        <v>1059</v>
      </c>
      <c r="D1103" s="91" t="s">
        <v>1060</v>
      </c>
      <c r="E1103" s="91" t="s">
        <v>1064</v>
      </c>
      <c r="F1103" s="92">
        <v>191.99</v>
      </c>
      <c r="G1103" s="93" t="s">
        <v>30</v>
      </c>
      <c r="H1103" s="93" t="s">
        <v>30</v>
      </c>
      <c r="I1103" s="94" t="s">
        <v>1111</v>
      </c>
      <c r="J1103" s="94" t="s">
        <v>1111</v>
      </c>
      <c r="K1103" s="89"/>
      <c r="L1103" s="89"/>
      <c r="M1103" s="89"/>
      <c r="N1103" s="89"/>
      <c r="O1103" s="89"/>
      <c r="P1103" s="89"/>
      <c r="Q1103" s="89"/>
      <c r="R1103" s="89"/>
      <c r="S1103" s="89"/>
      <c r="T1103" s="89"/>
      <c r="U1103" s="89"/>
      <c r="V1103" s="89"/>
      <c r="W1103" s="89"/>
      <c r="X1103" s="89"/>
      <c r="Y1103" s="89"/>
      <c r="Z1103" s="89"/>
    </row>
  </sheetData>
  <hyperlinks>
    <hyperlink display="#gid=574214319" location="null!A1" ref="C1"/>
  </hyperlinks>
  <printOptions/>
  <pageMargins bottom="0.75" footer="0.0" header="0.0" left="0.7" right="0.7" top="0.75"/>
  <pageSetup orientation="landscape"/>
  <drawing r:id="rId1"/>
</worksheet>
</file>